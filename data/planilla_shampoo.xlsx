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Jumbo" sheetId="1" state="visible" r:id="rId1"/>
    <sheet xmlns:r="http://schemas.openxmlformats.org/officeDocument/2006/relationships" name="limpio_Jumbo" sheetId="2" state="visible" r:id="rId2"/>
    <sheet xmlns:r="http://schemas.openxmlformats.org/officeDocument/2006/relationships" name="raw_Farmacity" sheetId="3" state="visible" r:id="rId3"/>
    <sheet xmlns:r="http://schemas.openxmlformats.org/officeDocument/2006/relationships" name="limpio_Farmacity" sheetId="4" state="visible" r:id="rId4"/>
    <sheet xmlns:r="http://schemas.openxmlformats.org/officeDocument/2006/relationships" name="raw_Disco" sheetId="5" state="visible" r:id="rId5"/>
    <sheet xmlns:r="http://schemas.openxmlformats.org/officeDocument/2006/relationships" name="limpio_Disco" sheetId="6" state="visible" r:id="rId6"/>
    <sheet xmlns:r="http://schemas.openxmlformats.org/officeDocument/2006/relationships" name="guia_formulas_limpieza" sheetId="7" state="visible" r:id="rId7"/>
    <sheet xmlns:r="http://schemas.openxmlformats.org/officeDocument/2006/relationships" name="estadistica_descriptiva" sheetId="8" state="visible" r:id="rId8"/>
    <sheet xmlns:r="http://schemas.openxmlformats.org/officeDocument/2006/relationships" name="_datos_graficos" sheetId="9" state="visible" r:id="rId9"/>
    <sheet xmlns:r="http://schemas.openxmlformats.org/officeDocument/2006/relationships" name="visualizaciones" sheetId="10" state="visible" r:id="rId10"/>
    <sheet xmlns:r="http://schemas.openxmlformats.org/officeDocument/2006/relationships" name="regresion_linea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FFFFFF"/>
      <sz val="12"/>
    </font>
    <font>
      <b val="1"/>
      <color rgb="00FFFFFF"/>
      <sz val="9"/>
    </font>
    <font>
      <color rgb="00000000"/>
      <sz val="9"/>
    </font>
    <font>
      <i val="1"/>
      <color rgb="00444444"/>
      <sz val="8"/>
    </font>
    <font>
      <i val="1"/>
      <color rgb="00444444"/>
      <sz val="8.5"/>
    </font>
    <font>
      <b val="1"/>
      <sz val="9"/>
    </font>
    <font>
      <sz val="9.5"/>
    </font>
    <font>
      <b val="1"/>
      <sz val="9.5"/>
    </font>
    <font>
      <b val="1"/>
      <color rgb="001C2833"/>
      <sz val="9.5"/>
    </font>
    <font>
      <color rgb="00333333"/>
      <sz val="9"/>
    </font>
  </fonts>
  <fills count="21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D6EAF8"/>
      </patternFill>
    </fill>
    <fill>
      <patternFill patternType="solid">
        <fgColor rgb="001F618D"/>
      </patternFill>
    </fill>
    <fill>
      <patternFill patternType="solid">
        <fgColor rgb="00AED6F1"/>
      </patternFill>
    </fill>
    <fill>
      <patternFill patternType="solid">
        <fgColor rgb="001E8449"/>
      </patternFill>
    </fill>
    <fill>
      <patternFill patternType="solid">
        <fgColor rgb="00D5F5E3"/>
      </patternFill>
    </fill>
    <fill>
      <patternFill patternType="solid">
        <fgColor rgb="00196F3D"/>
      </patternFill>
    </fill>
    <fill>
      <patternFill patternType="solid">
        <fgColor rgb="00A9DFBF"/>
      </patternFill>
    </fill>
    <fill>
      <patternFill patternType="solid">
        <fgColor rgb="007D6608"/>
      </patternFill>
    </fill>
    <fill>
      <patternFill patternType="solid">
        <fgColor rgb="00FEF9E7"/>
      </patternFill>
    </fill>
    <fill>
      <patternFill patternType="solid">
        <fgColor rgb="009A7D0A"/>
      </patternFill>
    </fill>
    <fill>
      <patternFill patternType="solid">
        <fgColor rgb="00F9E79F"/>
      </patternFill>
    </fill>
    <fill>
      <patternFill patternType="solid">
        <fgColor rgb="006C3483"/>
      </patternFill>
    </fill>
    <fill>
      <patternFill patternType="solid">
        <fgColor rgb="001C2833"/>
      </patternFill>
    </fill>
    <fill>
      <patternFill patternType="solid">
        <fgColor rgb="00566573"/>
      </patternFill>
    </fill>
    <fill>
      <patternFill patternType="solid">
        <fgColor rgb="00EAF2FF"/>
      </patternFill>
    </fill>
    <fill>
      <patternFill patternType="solid">
        <fgColor rgb="00117A65"/>
      </patternFill>
    </fill>
    <fill>
      <patternFill patternType="solid">
        <fgColor rgb="00784212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2" fillId="8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2" fillId="10" borderId="1" applyAlignment="1" pivotButton="0" quotePrefix="0" xfId="0">
      <alignment horizontal="center" vertical="center" wrapText="1"/>
    </xf>
    <xf numFmtId="0" fontId="0" fillId="11" borderId="0" pivotButton="0" quotePrefix="0" xfId="0"/>
    <xf numFmtId="0" fontId="2" fillId="12" borderId="0" applyAlignment="1" pivotButton="0" quotePrefix="0" xfId="0">
      <alignment horizontal="center" vertical="center" wrapText="1"/>
    </xf>
    <xf numFmtId="0" fontId="0" fillId="13" borderId="0" pivotButton="0" quotePrefix="0" xfId="0"/>
    <xf numFmtId="0" fontId="2" fillId="14" borderId="1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4" fillId="16" borderId="0" applyAlignment="1" pivotButton="0" quotePrefix="0" xfId="0">
      <alignment horizontal="center" vertical="center" wrapText="1"/>
    </xf>
    <xf numFmtId="0" fontId="5" fillId="17" borderId="0" applyAlignment="1" pivotButton="0" quotePrefix="0" xfId="0">
      <alignment horizontal="left" vertical="center"/>
    </xf>
    <xf numFmtId="0" fontId="5" fillId="17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2" fillId="14" borderId="0" applyAlignment="1" pivotButton="0" quotePrefix="0" xfId="0">
      <alignment horizontal="left" vertical="center" wrapText="1"/>
    </xf>
    <xf numFmtId="0" fontId="2" fillId="18" borderId="0" applyAlignment="1" pivotButton="0" quotePrefix="0" xfId="0">
      <alignment horizontal="left" vertical="center" wrapText="1"/>
    </xf>
    <xf numFmtId="0" fontId="2" fillId="19" borderId="0" applyAlignment="1" pivotButton="0" quotePrefix="0" xfId="0">
      <alignment horizontal="left" vertical="center" wrapText="1"/>
    </xf>
    <xf numFmtId="0" fontId="3" fillId="15" borderId="0" applyAlignment="1" pivotButton="0" quotePrefix="0" xfId="0">
      <alignment horizontal="left" vertical="center"/>
    </xf>
    <xf numFmtId="0" fontId="2" fillId="2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2" fillId="15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plotArea>
      <pieChart>
        <varyColors val="1"/>
        <ser>
          <idx val="0"/>
          <order val="0"/>
          <tx>
            <strRef>
              <f>'_datos_graficos'!B1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'_datos_graficos'!$A$2:$A$4</f>
            </numRef>
          </cat>
          <val>
            <numRef>
              <f>'_datos_graficos'!$B$2:$B$4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'_datos_graficos'!B6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'_datos_graficos'!$A$7:$A$9</f>
            </numRef>
          </cat>
          <val>
            <numRef>
              <f>'_datos_graficos'!$B$7:$B$9</f>
            </numRef>
          </val>
        </ser>
        <ser>
          <idx val="1"/>
          <order val="1"/>
          <tx>
            <strRef>
              <f>'_datos_graficos'!C6</f>
            </strRef>
          </tx>
          <spPr>
            <a:ln xmlns:a="http://schemas.openxmlformats.org/drawingml/2006/main">
              <a:prstDash val="solid"/>
            </a:ln>
          </spPr>
          <cat>
            <numRef>
              <f>'_datos_graficos'!$A$7:$A$9</f>
            </numRef>
          </cat>
          <val>
            <numRef>
              <f>'_datos_graficos'!$C$7:$C$9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'_datos_graficos'!B11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'_datos_graficos'!$A$12:$A$13</f>
            </numRef>
          </cat>
          <val>
            <numRef>
              <f>'_datos_graficos'!$B$12:$B$13</f>
            </numRef>
          </val>
        </ser>
        <ser>
          <idx val="1"/>
          <order val="1"/>
          <tx>
            <strRef>
              <f>'_datos_graficos'!C11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'_datos_graficos'!$A$12:$A$13</f>
            </numRef>
          </cat>
          <val>
            <numRef>
              <f>'_datos_graficos'!$C$12:$C$13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'_datos_graficos'!B15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'_datos_graficos'!$A$16:$A$22</f>
            </numRef>
          </cat>
          <val>
            <numRef>
              <f>'_datos_graficos'!$B$16:$B$22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'_datos_graficos'!B24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'_datos_graficos'!$A$25:$A$45</f>
            </numRef>
          </cat>
          <val>
            <numRef>
              <f>'_datos_graficos'!$B$25:$B$45</f>
            </numRef>
          </val>
        </ser>
        <gapWidth val="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'_datos_graficos'!B47</f>
            </strRef>
          </tx>
          <spPr>
            <a:ln xmlns:a="http://schemas.openxmlformats.org/drawingml/2006/main">
              <a:prstDash val="solid"/>
            </a:ln>
          </spPr>
          <cat>
            <numRef>
              <f>'_datos_graficos'!$A$48:$A$57</f>
            </numRef>
          </cat>
          <val>
            <numRef>
              <f>'_datos_graficos'!$B$48:$B$57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plotArea>
      <barChart>
        <barDir val="col"/>
        <grouping val="stacked"/>
        <ser>
          <idx val="0"/>
          <order val="0"/>
          <tx>
            <strRef>
              <f>'_datos_graficos'!B59</f>
            </strRef>
          </tx>
          <spPr>
            <a:ln xmlns:a="http://schemas.openxmlformats.org/drawingml/2006/main">
              <a:prstDash val="solid"/>
            </a:ln>
          </spPr>
          <cat>
            <numRef>
              <f>'_datos_graficos'!$A$60:$A$62</f>
            </numRef>
          </cat>
          <val>
            <numRef>
              <f>'_datos_graficos'!$B$60:$B$62</f>
            </numRef>
          </val>
        </ser>
        <ser>
          <idx val="1"/>
          <order val="1"/>
          <tx>
            <strRef>
              <f>'_datos_graficos'!C59</f>
            </strRef>
          </tx>
          <spPr>
            <a:ln xmlns:a="http://schemas.openxmlformats.org/drawingml/2006/main">
              <a:prstDash val="solid"/>
            </a:ln>
          </spPr>
          <cat>
            <numRef>
              <f>'_datos_graficos'!$A$60:$A$62</f>
            </numRef>
          </cat>
          <val>
            <numRef>
              <f>'_datos_graficos'!$C$60:$C$62</f>
            </numRef>
          </val>
        </ser>
        <ser>
          <idx val="2"/>
          <order val="2"/>
          <tx>
            <strRef>
              <f>'_datos_graficos'!D59</f>
            </strRef>
          </tx>
          <spPr>
            <a:ln xmlns:a="http://schemas.openxmlformats.org/drawingml/2006/main">
              <a:prstDash val="solid"/>
            </a:ln>
          </spPr>
          <cat>
            <numRef>
              <f>'_datos_graficos'!$A$60:$A$62</f>
            </numRef>
          </cat>
          <val>
            <numRef>
              <f>'_datos_graficos'!$D$60:$D$62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plotArea>
      <scatterChart>
        <scatterStyle val="marker"/>
        <ser>
          <idx val="0"/>
          <order val="0"/>
          <tx>
            <v>Productos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'_datos_graficos'!$A$65:$A$1465</f>
            </numRef>
          </xVal>
          <yVal>
            <numRef>
              <f>'_datos_graficos'!$B$65:$B$1465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Precio ARS vs Volumen ml — con linea de tendencia lineal</a:t>
            </a:r>
          </a:p>
        </rich>
      </tx>
    </title>
    <plotArea>
      <scatterChart>
        <scatterStyle val="marker"/>
        <ser>
          <idx val="0"/>
          <order val="0"/>
          <tx>
            <v>Productos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'regresion_lineal'!$A$5:$A$1405</f>
            </numRef>
          </xVal>
          <yVal>
            <numRef>
              <f>'regresion_lineal'!$B$5:$B$1405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Volumen (ml)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Precio 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3</row>
      <rowOff>0</rowOff>
    </from>
    <ext cx="54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31</row>
      <rowOff>0</rowOff>
    </from>
    <ext cx="540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31</row>
      <rowOff>0</rowOff>
    </from>
    <ext cx="54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59</row>
      <rowOff>0</rowOff>
    </from>
    <ext cx="540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13</col>
      <colOff>0</colOff>
      <row>59</row>
      <rowOff>0</rowOff>
    </from>
    <ext cx="5400000" cy="43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87</row>
      <rowOff>0</rowOff>
    </from>
    <ext cx="5400000" cy="43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13</col>
      <colOff>0</colOff>
      <row>87</row>
      <rowOff>0</rowOff>
    </from>
    <ext cx="5400000" cy="43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0" customWidth="1" min="3" max="3"/>
    <col width="55" customWidth="1" min="4" max="4"/>
    <col width="22" customWidth="1" min="5" max="5"/>
    <col width="13" customWidth="1" min="6" max="6"/>
    <col width="15" customWidth="1" min="7" max="7"/>
    <col width="13" customWidth="1" min="8" max="8"/>
    <col width="13" customWidth="1" min="9" max="9"/>
    <col width="16" customWidth="1" min="10" max="10"/>
    <col width="55" customWidth="1" min="11" max="11"/>
    <col width="17" customWidth="1" min="12" max="12"/>
    <col width="14" customWidth="1" min="13" max="13"/>
    <col width="15" customWidth="1" min="14" max="14"/>
    <col width="55" customWidth="1" min="15" max="15"/>
  </cols>
  <sheetData>
    <row r="1" ht="26" customHeight="1">
      <c r="A1" s="1" t="inlineStr">
        <is>
          <t>fuente</t>
        </is>
      </c>
      <c r="B1" s="1" t="inlineStr">
        <is>
          <t>producto_id</t>
        </is>
      </c>
      <c r="C1" s="1" t="inlineStr">
        <is>
          <t>sku_id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precio_ars</t>
        </is>
      </c>
      <c r="G1" s="1" t="inlineStr">
        <is>
          <t>precio_lista</t>
        </is>
      </c>
      <c r="H1" s="1" t="inlineStr">
        <is>
          <t>disponible</t>
        </is>
      </c>
      <c r="I1" s="1" t="inlineStr">
        <is>
          <t>volumen_ml</t>
        </is>
      </c>
      <c r="J1" s="1" t="inlineStr">
        <is>
          <t>precio_por_ml</t>
        </is>
      </c>
      <c r="K1" s="1" t="inlineStr">
        <is>
          <t>categoria_raw</t>
        </is>
      </c>
      <c r="L1" s="1" t="inlineStr">
        <is>
          <t>tipo_producto</t>
        </is>
      </c>
      <c r="M1" s="1" t="inlineStr">
        <is>
          <t>linea_tipo</t>
        </is>
      </c>
      <c r="N1" s="1" t="inlineStr">
        <is>
          <t>tipo_cabello</t>
        </is>
      </c>
      <c r="O1" s="1" t="inlineStr">
        <is>
          <t>url</t>
        </is>
      </c>
    </row>
    <row r="2">
      <c r="A2" s="2" t="inlineStr">
        <is>
          <t>Jumbo</t>
        </is>
      </c>
      <c r="B2" s="2" t="n">
        <v>405294</v>
      </c>
      <c r="C2" s="2" t="n">
        <v>402229</v>
      </c>
      <c r="D2" s="2" t="inlineStr">
        <is>
          <t>Shampoo Fructis Hydraliss 200ml</t>
        </is>
      </c>
      <c r="E2" s="2" t="inlineStr">
        <is>
          <t>FRUCTIS</t>
        </is>
      </c>
      <c r="F2" s="2" t="n">
        <v>5900</v>
      </c>
      <c r="G2" s="2" t="n">
        <v>487603</v>
      </c>
      <c r="H2" s="2" t="b">
        <v>1</v>
      </c>
      <c r="I2" s="2" t="n">
        <v>200</v>
      </c>
      <c r="J2" s="2" t="n">
        <v>29.5</v>
      </c>
      <c r="K2" s="2" t="inlineStr">
        <is>
          <t>&gt; Perfumería &gt; Cuidado Capilar &gt; Shampoo &gt;</t>
        </is>
      </c>
      <c r="L2" s="2" t="inlineStr">
        <is>
          <t>shampoo</t>
        </is>
      </c>
      <c r="M2" s="2" t="inlineStr">
        <is>
          <t>estandar</t>
        </is>
      </c>
      <c r="N2" s="2" t="inlineStr">
        <is>
          <t>general</t>
        </is>
      </c>
      <c r="O2" s="2" t="inlineStr">
        <is>
          <t>https://www.jumbo.com.ar/shampoo-fructis-hydraliss-200ml/p</t>
        </is>
      </c>
    </row>
    <row r="3">
      <c r="A3" t="inlineStr">
        <is>
          <t>Jumbo</t>
        </is>
      </c>
      <c r="B3" t="n">
        <v>3087475</v>
      </c>
      <c r="C3" t="n">
        <v>3086698</v>
      </c>
      <c r="D3" t="inlineStr">
        <is>
          <t>Shampoo Pantene Restauracion 700ml</t>
        </is>
      </c>
      <c r="E3" t="inlineStr">
        <is>
          <t>PANTENE</t>
        </is>
      </c>
      <c r="F3" t="n">
        <v>17250</v>
      </c>
      <c r="G3" t="n">
        <v>1425620</v>
      </c>
      <c r="H3" t="b">
        <v>1</v>
      </c>
      <c r="I3" t="n">
        <v>700</v>
      </c>
      <c r="J3" t="n">
        <v>24.6429</v>
      </c>
      <c r="K3" t="inlineStr">
        <is>
          <t>&gt; Perfumería &gt; Cuidado Capilar &gt; Shampoo &gt;</t>
        </is>
      </c>
      <c r="L3" t="inlineStr">
        <is>
          <t>shampoo</t>
        </is>
      </c>
      <c r="M3" t="inlineStr">
        <is>
          <t>estandar</t>
        </is>
      </c>
      <c r="N3" t="inlineStr">
        <is>
          <t>general</t>
        </is>
      </c>
      <c r="O3" t="inlineStr">
        <is>
          <t>https://www.jumbo.com.ar/shampoo-pantene-restauracion-700ml/p</t>
        </is>
      </c>
    </row>
    <row r="4">
      <c r="A4" s="2" t="inlineStr">
        <is>
          <t>Jumbo</t>
        </is>
      </c>
      <c r="B4" s="2" t="n">
        <v>400585</v>
      </c>
      <c r="C4" s="2" t="n">
        <v>397923</v>
      </c>
      <c r="D4" s="2" t="inlineStr">
        <is>
          <t>Shampoo Elvive Colorvive 400ml</t>
        </is>
      </c>
      <c r="E4" s="2" t="inlineStr">
        <is>
          <t>ELVIVE</t>
        </is>
      </c>
      <c r="F4" s="2" t="n">
        <v>11123</v>
      </c>
      <c r="G4" s="2" t="n">
        <v>919256</v>
      </c>
      <c r="H4" s="2" t="b">
        <v>1</v>
      </c>
      <c r="I4" s="2" t="n">
        <v>400</v>
      </c>
      <c r="J4" s="2" t="n">
        <v>27.8075</v>
      </c>
      <c r="K4" s="2" t="inlineStr">
        <is>
          <t>&gt; Perfumería &gt; Cuidado Capilar &gt; Shampoo &gt;</t>
        </is>
      </c>
      <c r="L4" s="2" t="inlineStr">
        <is>
          <t>shampoo</t>
        </is>
      </c>
      <c r="M4" s="2" t="inlineStr">
        <is>
          <t>profesional</t>
        </is>
      </c>
      <c r="N4" s="2" t="inlineStr">
        <is>
          <t>tratado</t>
        </is>
      </c>
      <c r="O4" s="2" t="inlineStr">
        <is>
          <t>https://www.jumbo.com.ar/shampoo-elvive-colorvive-400ml/p</t>
        </is>
      </c>
    </row>
    <row r="5">
      <c r="A5" t="inlineStr">
        <is>
          <t>Jumbo</t>
        </is>
      </c>
      <c r="B5" t="n">
        <v>3087378</v>
      </c>
      <c r="C5" t="n">
        <v>3086599</v>
      </c>
      <c r="D5" t="inlineStr">
        <is>
          <t>Shampoo Dove Regeneracionretinol 650ml</t>
        </is>
      </c>
      <c r="E5" t="inlineStr">
        <is>
          <t>DOVE</t>
        </is>
      </c>
      <c r="F5" t="n">
        <v>16700</v>
      </c>
      <c r="G5" t="n">
        <v>1380165</v>
      </c>
      <c r="H5" t="b">
        <v>1</v>
      </c>
      <c r="I5" t="n">
        <v>650</v>
      </c>
      <c r="J5" t="n">
        <v>25.6923</v>
      </c>
      <c r="K5" t="inlineStr">
        <is>
          <t>&gt; Perfumería &gt; Cuidado Capilar &gt; Shampoo &gt;</t>
        </is>
      </c>
      <c r="L5" t="inlineStr">
        <is>
          <t>shampoo</t>
        </is>
      </c>
      <c r="M5" t="inlineStr">
        <is>
          <t>estandar</t>
        </is>
      </c>
      <c r="N5" t="inlineStr">
        <is>
          <t>general</t>
        </is>
      </c>
      <c r="O5" t="inlineStr">
        <is>
          <t>https://www.jumbo.com.ar/shampoo-dove-regeneracionretinol-650ml/p</t>
        </is>
      </c>
    </row>
    <row r="6">
      <c r="A6" s="2" t="inlineStr">
        <is>
          <t>Jumbo</t>
        </is>
      </c>
      <c r="B6" s="2" t="n">
        <v>405288</v>
      </c>
      <c r="C6" s="2" t="n">
        <v>402223</v>
      </c>
      <c r="D6" s="2" t="inlineStr">
        <is>
          <t>Shampoo Fructis Hydraliss 350ml</t>
        </is>
      </c>
      <c r="E6" s="2" t="inlineStr">
        <is>
          <t>FRUCTIS</t>
        </is>
      </c>
      <c r="F6" s="2" t="n">
        <v>8600</v>
      </c>
      <c r="G6" s="2" t="n">
        <v>710744</v>
      </c>
      <c r="H6" s="2" t="b">
        <v>1</v>
      </c>
      <c r="I6" s="2" t="n">
        <v>350</v>
      </c>
      <c r="J6" s="2" t="n">
        <v>24.5714</v>
      </c>
      <c r="K6" s="2" t="inlineStr">
        <is>
          <t>&gt; Perfumería &gt; Cuidado Capilar &gt; Shampoo &gt;</t>
        </is>
      </c>
      <c r="L6" s="2" t="inlineStr">
        <is>
          <t>shampoo</t>
        </is>
      </c>
      <c r="M6" s="2" t="inlineStr">
        <is>
          <t>estandar</t>
        </is>
      </c>
      <c r="N6" s="2" t="inlineStr">
        <is>
          <t>general</t>
        </is>
      </c>
      <c r="O6" s="2" t="inlineStr">
        <is>
          <t>https://www.jumbo.com.ar/shampoo-fructis-hydraliss-350ml/p</t>
        </is>
      </c>
    </row>
    <row r="7">
      <c r="A7" t="inlineStr">
        <is>
          <t>Jumbo</t>
        </is>
      </c>
      <c r="B7" t="n">
        <v>3087465</v>
      </c>
      <c r="C7" t="n">
        <v>3086687</v>
      </c>
      <c r="D7" t="inlineStr">
        <is>
          <t>Shampoo Dove Reconstaminoacido 650ml</t>
        </is>
      </c>
      <c r="E7" t="inlineStr">
        <is>
          <t>DOVE</t>
        </is>
      </c>
      <c r="F7" t="n">
        <v>16700</v>
      </c>
      <c r="G7" t="n">
        <v>1380165</v>
      </c>
      <c r="H7" t="b">
        <v>1</v>
      </c>
      <c r="I7" t="n">
        <v>650</v>
      </c>
      <c r="J7" t="n">
        <v>25.6923</v>
      </c>
      <c r="K7" t="inlineStr">
        <is>
          <t>&gt; Perfumería &gt; Cuidado Capilar &gt; Shampoo &gt;</t>
        </is>
      </c>
      <c r="L7" t="inlineStr">
        <is>
          <t>shampoo</t>
        </is>
      </c>
      <c r="M7" t="inlineStr">
        <is>
          <t>estandar</t>
        </is>
      </c>
      <c r="N7" t="inlineStr">
        <is>
          <t>general</t>
        </is>
      </c>
      <c r="O7" t="inlineStr">
        <is>
          <t>https://www.jumbo.com.ar/shampoo-dove-reconstaminoacido-650ml/p</t>
        </is>
      </c>
    </row>
    <row r="8">
      <c r="A8" s="2" t="inlineStr">
        <is>
          <t>Jumbo</t>
        </is>
      </c>
      <c r="B8" s="2" t="n">
        <v>411249</v>
      </c>
      <c r="C8" s="2" t="n">
        <v>407089</v>
      </c>
      <c r="D8" s="2" t="inlineStr">
        <is>
          <t>Shampoo Dove Hidratacion X400ml</t>
        </is>
      </c>
      <c r="E8" s="2" t="inlineStr">
        <is>
          <t>DOVE</t>
        </is>
      </c>
      <c r="F8" s="2" t="n">
        <v>9150</v>
      </c>
      <c r="G8" s="2" t="n">
        <v>756198</v>
      </c>
      <c r="H8" s="2" t="b">
        <v>1</v>
      </c>
      <c r="I8" s="2" t="n">
        <v>400</v>
      </c>
      <c r="J8" s="2" t="n">
        <v>22.875</v>
      </c>
      <c r="K8" s="2" t="inlineStr">
        <is>
          <t>&gt; Perfumería &gt; Cuidado Capilar &gt; Shampoo &gt;</t>
        </is>
      </c>
      <c r="L8" s="2" t="inlineStr">
        <is>
          <t>shampoo</t>
        </is>
      </c>
      <c r="M8" s="2" t="inlineStr">
        <is>
          <t>estandar</t>
        </is>
      </c>
      <c r="N8" s="2" t="inlineStr">
        <is>
          <t>seco_danado</t>
        </is>
      </c>
      <c r="O8" s="2" t="inlineStr">
        <is>
          <t>https://www.jumbo.com.ar/shampoo-dove-hidratacion-x400ml/p</t>
        </is>
      </c>
    </row>
    <row r="9">
      <c r="A9" t="inlineStr">
        <is>
          <t>Jumbo</t>
        </is>
      </c>
      <c r="B9" t="n">
        <v>412482</v>
      </c>
      <c r="C9" t="n">
        <v>408091</v>
      </c>
      <c r="D9" t="inlineStr">
        <is>
          <t>Shampoo Fructis Liso Coco 200ml</t>
        </is>
      </c>
      <c r="E9" t="inlineStr">
        <is>
          <t>FRUCTIS</t>
        </is>
      </c>
      <c r="F9" t="n">
        <v>5900</v>
      </c>
      <c r="G9" t="n">
        <v>487603</v>
      </c>
      <c r="H9" t="b">
        <v>1</v>
      </c>
      <c r="I9" t="n">
        <v>200</v>
      </c>
      <c r="J9" t="n">
        <v>29.5</v>
      </c>
      <c r="K9" t="inlineStr">
        <is>
          <t>&gt; Perfumería &gt; Cuidado Capilar &gt; Shampoo &gt;</t>
        </is>
      </c>
      <c r="L9" t="inlineStr">
        <is>
          <t>shampoo</t>
        </is>
      </c>
      <c r="M9" t="inlineStr">
        <is>
          <t>estandar</t>
        </is>
      </c>
      <c r="N9" t="inlineStr">
        <is>
          <t>general</t>
        </is>
      </c>
      <c r="O9" t="inlineStr">
        <is>
          <t>https://www.jumbo.com.ar/shampoo-fructis-liso-coco-200ml-3/p</t>
        </is>
      </c>
    </row>
    <row r="10">
      <c r="A10" s="2" t="inlineStr">
        <is>
          <t>Jumbo</t>
        </is>
      </c>
      <c r="B10" s="2" t="n">
        <v>404462</v>
      </c>
      <c r="C10" s="2" t="n">
        <v>401464</v>
      </c>
      <c r="D10" s="2" t="inlineStr">
        <is>
          <t>Shampoo Nutritivo 420 Ml Capilatis</t>
        </is>
      </c>
      <c r="E10" s="2" t="inlineStr">
        <is>
          <t>CAPILATIS</t>
        </is>
      </c>
      <c r="F10" s="2" t="n">
        <v>9650</v>
      </c>
      <c r="G10" s="2" t="n">
        <v>797521</v>
      </c>
      <c r="H10" s="2" t="b">
        <v>1</v>
      </c>
      <c r="I10" s="2" t="n">
        <v>420</v>
      </c>
      <c r="J10" s="2" t="n">
        <v>22.9762</v>
      </c>
      <c r="K10" s="2" t="inlineStr">
        <is>
          <t>&gt; Perfumería &gt; Cuidado Capilar &gt; Shampoo &gt;</t>
        </is>
      </c>
      <c r="L10" s="2" t="inlineStr">
        <is>
          <t>shampoo</t>
        </is>
      </c>
      <c r="M10" s="2" t="inlineStr">
        <is>
          <t>estandar</t>
        </is>
      </c>
      <c r="N10" s="2" t="inlineStr">
        <is>
          <t>general</t>
        </is>
      </c>
      <c r="O10" s="2" t="inlineStr">
        <is>
          <t>https://www.jumbo.com.ar/shampoo-nutritivo-420-ml-capilatis/p</t>
        </is>
      </c>
    </row>
    <row r="11">
      <c r="A11" t="inlineStr">
        <is>
          <t>Jumbo</t>
        </is>
      </c>
      <c r="B11" t="n">
        <v>251369</v>
      </c>
      <c r="C11" t="n">
        <v>250670</v>
      </c>
      <c r="D11" t="inlineStr">
        <is>
          <t>Shampoo Herbal Essences Rosemary 400ml</t>
        </is>
      </c>
      <c r="E11" t="inlineStr">
        <is>
          <t>HERBAL ESSENCES</t>
        </is>
      </c>
      <c r="F11" t="n">
        <v>16900</v>
      </c>
      <c r="G11" t="n">
        <v>1396694</v>
      </c>
      <c r="H11" t="b">
        <v>1</v>
      </c>
      <c r="I11" t="n">
        <v>400</v>
      </c>
      <c r="J11" t="n">
        <v>42.25</v>
      </c>
      <c r="K11" t="inlineStr">
        <is>
          <t>&gt; Perfumería &gt; Cuidado Capilar &gt; Shampoo &gt;</t>
        </is>
      </c>
      <c r="L11" t="inlineStr">
        <is>
          <t>shampoo</t>
        </is>
      </c>
      <c r="M11" t="inlineStr">
        <is>
          <t>estandar</t>
        </is>
      </c>
      <c r="N11" t="inlineStr">
        <is>
          <t>general</t>
        </is>
      </c>
      <c r="O11" t="inlineStr">
        <is>
          <t>https://www.jumbo.com.ar/shampoo-herbal-essences-rosemary-400ml/p</t>
        </is>
      </c>
    </row>
    <row r="12">
      <c r="A12" s="2" t="inlineStr">
        <is>
          <t>Jumbo</t>
        </is>
      </c>
      <c r="B12" s="2" t="n">
        <v>412488</v>
      </c>
      <c r="C12" s="2" t="n">
        <v>408096</v>
      </c>
      <c r="D12" s="2" t="inlineStr">
        <is>
          <t>Shampoo Fructis Regarga Nutritiva 350ml</t>
        </is>
      </c>
      <c r="E12" s="2" t="inlineStr">
        <is>
          <t>FRUCTIS</t>
        </is>
      </c>
      <c r="F12" s="2" t="n">
        <v>8600</v>
      </c>
      <c r="G12" s="2" t="n">
        <v>710744</v>
      </c>
      <c r="H12" s="2" t="b">
        <v>1</v>
      </c>
      <c r="I12" s="2" t="n">
        <v>350</v>
      </c>
      <c r="J12" s="2" t="n">
        <v>24.5714</v>
      </c>
      <c r="K12" s="2" t="inlineStr">
        <is>
          <t>&gt; Perfumería &gt; Cuidado Capilar &gt; Shampoo &gt;</t>
        </is>
      </c>
      <c r="L12" s="2" t="inlineStr">
        <is>
          <t>shampoo</t>
        </is>
      </c>
      <c r="M12" s="2" t="inlineStr">
        <is>
          <t>estandar</t>
        </is>
      </c>
      <c r="N12" s="2" t="inlineStr">
        <is>
          <t>general</t>
        </is>
      </c>
      <c r="O12" s="2" t="inlineStr">
        <is>
          <t>https://www.jumbo.com.ar/shampoo-fructis-regarga-nutritiva-350ml/p</t>
        </is>
      </c>
    </row>
    <row r="13">
      <c r="A13" t="inlineStr">
        <is>
          <t>Jumbo</t>
        </is>
      </c>
      <c r="B13" t="n">
        <v>3087383</v>
      </c>
      <c r="C13" t="n">
        <v>3086604</v>
      </c>
      <c r="D13" t="inlineStr">
        <is>
          <t>Shampoo Dove Nutritri Oleos 650ml</t>
        </is>
      </c>
      <c r="E13" t="inlineStr">
        <is>
          <t>DOVE</t>
        </is>
      </c>
      <c r="F13" t="n">
        <v>16700</v>
      </c>
      <c r="G13" t="n">
        <v>1380165</v>
      </c>
      <c r="H13" t="b">
        <v>1</v>
      </c>
      <c r="I13" t="n">
        <v>650</v>
      </c>
      <c r="J13" t="n">
        <v>25.6923</v>
      </c>
      <c r="K13" t="inlineStr">
        <is>
          <t>&gt; Perfumería &gt; Cuidado Capilar &gt; Shampoo &gt;</t>
        </is>
      </c>
      <c r="L13" t="inlineStr">
        <is>
          <t>shampoo</t>
        </is>
      </c>
      <c r="M13" t="inlineStr">
        <is>
          <t>estandar</t>
        </is>
      </c>
      <c r="N13" t="inlineStr">
        <is>
          <t>general</t>
        </is>
      </c>
      <c r="O13" t="inlineStr">
        <is>
          <t>https://www.jumbo.com.ar/shampoo-dove-nutritri-oleos-650ml/p</t>
        </is>
      </c>
    </row>
    <row r="14">
      <c r="A14" s="2" t="inlineStr">
        <is>
          <t>Jumbo</t>
        </is>
      </c>
      <c r="B14" s="2" t="n">
        <v>251381</v>
      </c>
      <c r="C14" s="2" t="n">
        <v>250684</v>
      </c>
      <c r="D14" s="2" t="inlineStr">
        <is>
          <t>Shampoo Herbal Essences Argan 400ml</t>
        </is>
      </c>
      <c r="E14" s="2" t="inlineStr">
        <is>
          <t>HERBAL ESSENCES</t>
        </is>
      </c>
      <c r="F14" s="2" t="n">
        <v>16550</v>
      </c>
      <c r="G14" s="2" t="n">
        <v>1367769</v>
      </c>
      <c r="H14" s="2" t="b">
        <v>1</v>
      </c>
      <c r="I14" s="2" t="n">
        <v>400</v>
      </c>
      <c r="J14" s="2" t="n">
        <v>41.375</v>
      </c>
      <c r="K14" s="2" t="inlineStr">
        <is>
          <t>&gt; Perfumería &gt; Cuidado Capilar &gt; Shampoo &gt;</t>
        </is>
      </c>
      <c r="L14" s="2" t="inlineStr">
        <is>
          <t>shampoo</t>
        </is>
      </c>
      <c r="M14" s="2" t="inlineStr">
        <is>
          <t>estandar</t>
        </is>
      </c>
      <c r="N14" s="2" t="inlineStr">
        <is>
          <t>general</t>
        </is>
      </c>
      <c r="O14" s="2" t="inlineStr">
        <is>
          <t>https://www.jumbo.com.ar/shampoo-herbal-essences-argan-400ml/p</t>
        </is>
      </c>
    </row>
    <row r="15">
      <c r="A15" t="inlineStr">
        <is>
          <t>Jumbo</t>
        </is>
      </c>
      <c r="B15" t="n">
        <v>411252</v>
      </c>
      <c r="C15" t="n">
        <v>407092</v>
      </c>
      <c r="D15" t="inlineStr">
        <is>
          <t>Shampoo Sedal Preboticos 340 Ml</t>
        </is>
      </c>
      <c r="E15" t="inlineStr">
        <is>
          <t>DOVE</t>
        </is>
      </c>
      <c r="F15" t="n">
        <v>5600</v>
      </c>
      <c r="G15" t="n">
        <v>462810</v>
      </c>
      <c r="H15" t="b">
        <v>1</v>
      </c>
      <c r="I15" t="n">
        <v>340</v>
      </c>
      <c r="J15" t="n">
        <v>16.4706</v>
      </c>
      <c r="K15" t="inlineStr">
        <is>
          <t>&gt; Perfumería &gt; Cuidado Capilar &gt; Shampoo &gt;</t>
        </is>
      </c>
      <c r="L15" t="inlineStr">
        <is>
          <t>shampoo</t>
        </is>
      </c>
      <c r="M15" t="inlineStr">
        <is>
          <t>estandar</t>
        </is>
      </c>
      <c r="N15" t="inlineStr">
        <is>
          <t>general</t>
        </is>
      </c>
      <c r="O15" t="inlineStr">
        <is>
          <t>https://www.jumbo.com.ar/shampoo-sedal-preboticos-340-ml/p</t>
        </is>
      </c>
    </row>
    <row r="16">
      <c r="A16" s="2" t="inlineStr">
        <is>
          <t>Jumbo</t>
        </is>
      </c>
      <c r="B16" s="2" t="n">
        <v>249732</v>
      </c>
      <c r="C16" s="2" t="n">
        <v>246723</v>
      </c>
      <c r="D16" s="2" t="inlineStr">
        <is>
          <t>Shampoo Capilatis Limpieza Prof 420ml</t>
        </is>
      </c>
      <c r="E16" s="2" t="inlineStr">
        <is>
          <t>CAPILATIS</t>
        </is>
      </c>
      <c r="F16" s="2" t="n">
        <v>9650</v>
      </c>
      <c r="G16" s="2" t="n">
        <v>797521</v>
      </c>
      <c r="H16" s="2" t="b">
        <v>1</v>
      </c>
      <c r="I16" s="2" t="n">
        <v>420</v>
      </c>
      <c r="J16" s="2" t="n">
        <v>22.9762</v>
      </c>
      <c r="K16" s="2" t="inlineStr">
        <is>
          <t>&gt; Perfumería &gt; Cuidado Capilar &gt; Shampoo &gt;</t>
        </is>
      </c>
      <c r="L16" s="2" t="inlineStr">
        <is>
          <t>shampoo</t>
        </is>
      </c>
      <c r="M16" s="2" t="inlineStr">
        <is>
          <t>estandar</t>
        </is>
      </c>
      <c r="N16" s="2" t="inlineStr">
        <is>
          <t>general</t>
        </is>
      </c>
      <c r="O16" s="2" t="inlineStr">
        <is>
          <t>https://www.jumbo.com.ar/shampoo-capilatis-limpieza-prof-420ml/p</t>
        </is>
      </c>
    </row>
    <row r="17">
      <c r="A17" t="inlineStr">
        <is>
          <t>Jumbo</t>
        </is>
      </c>
      <c r="B17" t="n">
        <v>3079021</v>
      </c>
      <c r="C17" t="n">
        <v>3078345</v>
      </c>
      <c r="D17" t="inlineStr">
        <is>
          <t>Shampoo Herbal Essences Manzanilla 400ml</t>
        </is>
      </c>
      <c r="E17" t="inlineStr">
        <is>
          <t>HERBAL ESSENCES</t>
        </is>
      </c>
      <c r="F17" t="n">
        <v>16550</v>
      </c>
      <c r="G17" t="n">
        <v>1367769</v>
      </c>
      <c r="H17" t="b">
        <v>1</v>
      </c>
      <c r="I17" t="n">
        <v>400</v>
      </c>
      <c r="J17" t="n">
        <v>41.375</v>
      </c>
      <c r="K17" t="inlineStr">
        <is>
          <t>&gt; Perfumería &gt; Cuidado Capilar &gt; Shampoo &gt;</t>
        </is>
      </c>
      <c r="L17" t="inlineStr">
        <is>
          <t>shampoo</t>
        </is>
      </c>
      <c r="M17" t="inlineStr">
        <is>
          <t>estandar</t>
        </is>
      </c>
      <c r="N17" t="inlineStr">
        <is>
          <t>general</t>
        </is>
      </c>
      <c r="O17" t="inlineStr">
        <is>
          <t>https://www.jumbo.com.ar/shampoo-herbal-essences-manzanilla-400ml/p</t>
        </is>
      </c>
    </row>
    <row r="18">
      <c r="A18" s="2" t="inlineStr">
        <is>
          <t>Jumbo</t>
        </is>
      </c>
      <c r="B18" s="2" t="n">
        <v>389289</v>
      </c>
      <c r="C18" s="2" t="n">
        <v>387395</v>
      </c>
      <c r="D18" s="2" t="inlineStr">
        <is>
          <t>Shampoo Ceramidas 190 Ml Sedal</t>
        </is>
      </c>
      <c r="E18" s="2" t="inlineStr">
        <is>
          <t>SEDAL</t>
        </is>
      </c>
      <c r="F18" s="2" t="n">
        <v>3900</v>
      </c>
      <c r="G18" s="2" t="n">
        <v>322314</v>
      </c>
      <c r="H18" s="2" t="b">
        <v>1</v>
      </c>
      <c r="I18" s="2" t="n">
        <v>190</v>
      </c>
      <c r="J18" s="2" t="n">
        <v>20.5263</v>
      </c>
      <c r="K18" s="2" t="inlineStr">
        <is>
          <t>&gt; Perfumería &gt; Cuidado Capilar &gt; Shampoo &gt;</t>
        </is>
      </c>
      <c r="L18" s="2" t="inlineStr">
        <is>
          <t>shampoo</t>
        </is>
      </c>
      <c r="M18" s="2" t="inlineStr">
        <is>
          <t>estandar</t>
        </is>
      </c>
      <c r="N18" s="2" t="inlineStr">
        <is>
          <t>general</t>
        </is>
      </c>
      <c r="O18" s="2" t="inlineStr">
        <is>
          <t>https://www.jumbo.com.ar/shampoo-ceramidas-190-ml-sedal/p</t>
        </is>
      </c>
    </row>
    <row r="19">
      <c r="A19" t="inlineStr">
        <is>
          <t>Jumbo</t>
        </is>
      </c>
      <c r="B19" t="n">
        <v>251368</v>
      </c>
      <c r="C19" t="n">
        <v>250669</v>
      </c>
      <c r="D19" t="inlineStr">
        <is>
          <t>Shampoo Herbal Essences Coconut 400ml</t>
        </is>
      </c>
      <c r="E19" t="inlineStr">
        <is>
          <t>HERBAL ESSENCES</t>
        </is>
      </c>
      <c r="F19" t="n">
        <v>16550</v>
      </c>
      <c r="G19" t="n">
        <v>1367769</v>
      </c>
      <c r="H19" t="b">
        <v>1</v>
      </c>
      <c r="I19" t="n">
        <v>400</v>
      </c>
      <c r="J19" t="n">
        <v>41.375</v>
      </c>
      <c r="K19" t="inlineStr">
        <is>
          <t>&gt; Perfumería &gt; Cuidado Capilar &gt; Shampoo &gt;</t>
        </is>
      </c>
      <c r="L19" t="inlineStr">
        <is>
          <t>shampoo</t>
        </is>
      </c>
      <c r="M19" t="inlineStr">
        <is>
          <t>estandar</t>
        </is>
      </c>
      <c r="N19" t="inlineStr">
        <is>
          <t>general</t>
        </is>
      </c>
      <c r="O19" t="inlineStr">
        <is>
          <t>https://www.jumbo.com.ar/shampoo-herbal-essences-coconut-400ml/p</t>
        </is>
      </c>
    </row>
    <row r="20">
      <c r="A20" s="2" t="inlineStr">
        <is>
          <t>Jumbo</t>
        </is>
      </c>
      <c r="B20" s="2" t="n">
        <v>3087384</v>
      </c>
      <c r="C20" s="2" t="n">
        <v>3086605</v>
      </c>
      <c r="D20" s="2" t="inlineStr">
        <is>
          <t>Shampoo Dove Humectcoco Antioxi 650ml</t>
        </is>
      </c>
      <c r="E20" s="2" t="inlineStr">
        <is>
          <t>DOVE</t>
        </is>
      </c>
      <c r="F20" s="2" t="n">
        <v>16700</v>
      </c>
      <c r="G20" s="2" t="n">
        <v>1380165</v>
      </c>
      <c r="H20" s="2" t="b">
        <v>1</v>
      </c>
      <c r="I20" s="2" t="n">
        <v>650</v>
      </c>
      <c r="J20" s="2" t="n">
        <v>25.6923</v>
      </c>
      <c r="K20" s="2" t="inlineStr">
        <is>
          <t>&gt; Perfumería &gt; Cuidado Capilar &gt; Shampoo &gt;</t>
        </is>
      </c>
      <c r="L20" s="2" t="inlineStr">
        <is>
          <t>shampoo</t>
        </is>
      </c>
      <c r="M20" s="2" t="inlineStr">
        <is>
          <t>estandar</t>
        </is>
      </c>
      <c r="N20" s="2" t="inlineStr">
        <is>
          <t>general</t>
        </is>
      </c>
      <c r="O20" s="2" t="inlineStr">
        <is>
          <t>https://www.jumbo.com.ar/shampoo-dove-humectcoco-antioxi-650ml/p</t>
        </is>
      </c>
    </row>
    <row r="21">
      <c r="A21" t="inlineStr">
        <is>
          <t>Jumbo</t>
        </is>
      </c>
      <c r="B21" t="n">
        <v>396886</v>
      </c>
      <c r="C21" t="n">
        <v>394642</v>
      </c>
      <c r="D21" t="inlineStr">
        <is>
          <t>Shampoo Dove Reconstrucción Completa 400 Ml</t>
        </is>
      </c>
      <c r="E21" t="inlineStr">
        <is>
          <t>DOVE</t>
        </is>
      </c>
      <c r="F21" t="n">
        <v>9150</v>
      </c>
      <c r="G21" t="n">
        <v>756198</v>
      </c>
      <c r="H21" t="b">
        <v>1</v>
      </c>
      <c r="I21" t="n">
        <v>400</v>
      </c>
      <c r="J21" t="n">
        <v>22.875</v>
      </c>
      <c r="K21" t="inlineStr">
        <is>
          <t>&gt; Perfumería &gt; Cuidado Capilar &gt; Shampoo &gt;</t>
        </is>
      </c>
      <c r="L21" t="inlineStr">
        <is>
          <t>shampoo</t>
        </is>
      </c>
      <c r="M21" t="inlineStr">
        <is>
          <t>estandar</t>
        </is>
      </c>
      <c r="N21" t="inlineStr">
        <is>
          <t>general</t>
        </is>
      </c>
      <c r="O21" t="inlineStr">
        <is>
          <t>https://www.jumbo.com.ar/shampoo-dove-reconstruccion-completa-400-ml-4/p</t>
        </is>
      </c>
    </row>
    <row r="22">
      <c r="A22" s="2" t="inlineStr">
        <is>
          <t>Jumbo</t>
        </is>
      </c>
      <c r="B22" s="2" t="n">
        <v>394212</v>
      </c>
      <c r="C22" s="2" t="n">
        <v>392218</v>
      </c>
      <c r="D22" s="2" t="inlineStr">
        <is>
          <t>Shampoo Dove óleo Nutrición 400 Ml</t>
        </is>
      </c>
      <c r="E22" s="2" t="inlineStr">
        <is>
          <t>DOVE</t>
        </is>
      </c>
      <c r="F22" s="2" t="n">
        <v>9150</v>
      </c>
      <c r="G22" s="2" t="n">
        <v>756198</v>
      </c>
      <c r="H22" s="2" t="b">
        <v>1</v>
      </c>
      <c r="I22" s="2" t="n">
        <v>400</v>
      </c>
      <c r="J22" s="2" t="n">
        <v>22.875</v>
      </c>
      <c r="K22" s="2" t="inlineStr">
        <is>
          <t>&gt; Perfumería &gt; Cuidado Capilar &gt; Shampoo &gt;</t>
        </is>
      </c>
      <c r="L22" s="2" t="inlineStr">
        <is>
          <t>shampoo</t>
        </is>
      </c>
      <c r="M22" s="2" t="inlineStr">
        <is>
          <t>estandar</t>
        </is>
      </c>
      <c r="N22" s="2" t="inlineStr">
        <is>
          <t>general</t>
        </is>
      </c>
      <c r="O22" s="2" t="inlineStr">
        <is>
          <t>https://www.jumbo.com.ar/shampoo-dove-oleo-nutricion-400-ml-3/p</t>
        </is>
      </c>
    </row>
    <row r="23">
      <c r="A23" t="inlineStr">
        <is>
          <t>Jumbo</t>
        </is>
      </c>
      <c r="B23" t="n">
        <v>393556</v>
      </c>
      <c r="C23" t="n">
        <v>391584</v>
      </c>
      <c r="D23" t="inlineStr">
        <is>
          <t>Shampoo Dove Regeneración Extrema 400 Ml</t>
        </is>
      </c>
      <c r="E23" t="inlineStr">
        <is>
          <t>DOVE</t>
        </is>
      </c>
      <c r="F23" t="n">
        <v>9150</v>
      </c>
      <c r="G23" t="n">
        <v>756198</v>
      </c>
      <c r="H23" t="b">
        <v>1</v>
      </c>
      <c r="I23" t="n">
        <v>400</v>
      </c>
      <c r="J23" t="n">
        <v>22.875</v>
      </c>
      <c r="K23" t="inlineStr">
        <is>
          <t>&gt; Perfumería &gt; Cuidado Capilar &gt; Shampoo &gt;</t>
        </is>
      </c>
      <c r="L23" t="inlineStr">
        <is>
          <t>shampoo</t>
        </is>
      </c>
      <c r="M23" t="inlineStr">
        <is>
          <t>estandar</t>
        </is>
      </c>
      <c r="N23" t="inlineStr">
        <is>
          <t>general</t>
        </is>
      </c>
      <c r="O23" t="inlineStr">
        <is>
          <t>https://www.jumbo.com.ar/shampoo-dove-regeneracion-extrema-400-ml-3/p</t>
        </is>
      </c>
    </row>
    <row r="24">
      <c r="A24" s="2" t="inlineStr">
        <is>
          <t>Jumbo</t>
        </is>
      </c>
      <c r="B24" s="2" t="n">
        <v>3078387</v>
      </c>
      <c r="C24" s="2" t="n">
        <v>3077731</v>
      </c>
      <c r="D24" s="2" t="inlineStr">
        <is>
          <t>Shampoo Dove Bond Uv Repair 400ml</t>
        </is>
      </c>
      <c r="E24" s="2" t="inlineStr">
        <is>
          <t>DOVE</t>
        </is>
      </c>
      <c r="F24" s="2" t="n">
        <v>9695</v>
      </c>
      <c r="G24" s="2" t="n">
        <v>801240</v>
      </c>
      <c r="H24" s="2" t="b">
        <v>1</v>
      </c>
      <c r="I24" s="2" t="n">
        <v>400</v>
      </c>
      <c r="J24" s="2" t="n">
        <v>24.2375</v>
      </c>
      <c r="K24" s="2" t="inlineStr">
        <is>
          <t>&gt; Perfumería &gt; Cuidado Capilar &gt; Shampoo &gt;</t>
        </is>
      </c>
      <c r="L24" s="2" t="inlineStr">
        <is>
          <t>shampoo</t>
        </is>
      </c>
      <c r="M24" s="2" t="inlineStr">
        <is>
          <t>profesional</t>
        </is>
      </c>
      <c r="N24" s="2" t="inlineStr">
        <is>
          <t>general</t>
        </is>
      </c>
      <c r="O24" s="2" t="inlineStr">
        <is>
          <t>https://www.jumbo.com.ar/shampoo-dove-bond-uv-repair-400ml/p</t>
        </is>
      </c>
    </row>
    <row r="25">
      <c r="A25" t="inlineStr">
        <is>
          <t>Jumbo</t>
        </is>
      </c>
      <c r="B25" t="n">
        <v>3070279</v>
      </c>
      <c r="C25" t="n">
        <v>3069872</v>
      </c>
      <c r="D25" t="inlineStr">
        <is>
          <t>Shampoo Keratina Antifrizz 500 Ml Tresemmé</t>
        </is>
      </c>
      <c r="E25" t="inlineStr">
        <is>
          <t>TRESEMMÉ</t>
        </is>
      </c>
      <c r="F25" t="n">
        <v>10400</v>
      </c>
      <c r="G25" t="n">
        <v>859504</v>
      </c>
      <c r="H25" t="b">
        <v>1</v>
      </c>
      <c r="I25" t="n">
        <v>500</v>
      </c>
      <c r="J25" t="n">
        <v>20.8</v>
      </c>
      <c r="K25" t="inlineStr">
        <is>
          <t>&gt; Perfumería &gt; Cuidado Capilar &gt; Shampoo &gt;</t>
        </is>
      </c>
      <c r="L25" t="inlineStr">
        <is>
          <t>shampoo</t>
        </is>
      </c>
      <c r="M25" t="inlineStr">
        <is>
          <t>estandar</t>
        </is>
      </c>
      <c r="N25" t="inlineStr">
        <is>
          <t>tratado</t>
        </is>
      </c>
      <c r="O25" t="inlineStr">
        <is>
          <t>https://www.jumbo.com.ar/shampoo-keratina-antifrizz-x-500-ml-tresemme/p</t>
        </is>
      </c>
    </row>
    <row r="26">
      <c r="A26" s="2" t="inlineStr">
        <is>
          <t>Jumbo</t>
        </is>
      </c>
      <c r="B26" s="2" t="n">
        <v>3067580</v>
      </c>
      <c r="C26" s="2" t="n">
        <v>3067444</v>
      </c>
      <c r="D26" s="2" t="inlineStr">
        <is>
          <t>Shampoo Luminous UV 340 Ml Sedal</t>
        </is>
      </c>
      <c r="E26" s="2" t="inlineStr">
        <is>
          <t>SEDAL</t>
        </is>
      </c>
      <c r="F26" s="2" t="n">
        <v>5440</v>
      </c>
      <c r="G26" s="2" t="n">
        <v>449587</v>
      </c>
      <c r="H26" s="2" t="b">
        <v>1</v>
      </c>
      <c r="I26" s="2" t="n">
        <v>340</v>
      </c>
      <c r="J26" s="2" t="n">
        <v>16</v>
      </c>
      <c r="K26" s="2" t="inlineStr">
        <is>
          <t>&gt; Perfumería &gt; Cuidado Capilar &gt; Shampoo &gt;</t>
        </is>
      </c>
      <c r="L26" s="2" t="inlineStr">
        <is>
          <t>shampoo</t>
        </is>
      </c>
      <c r="M26" s="2" t="inlineStr">
        <is>
          <t>estandar</t>
        </is>
      </c>
      <c r="N26" s="2" t="inlineStr">
        <is>
          <t>general</t>
        </is>
      </c>
      <c r="O26" s="2" t="inlineStr">
        <is>
          <t>https://www.jumbo.com.ar/shampoo-luminous-uv-x-340-ml-sedal-2/p</t>
        </is>
      </c>
    </row>
    <row r="27">
      <c r="A27" t="inlineStr">
        <is>
          <t>Jumbo</t>
        </is>
      </c>
      <c r="B27" t="n">
        <v>384331</v>
      </c>
      <c r="C27" t="n">
        <v>383820</v>
      </c>
      <c r="D27" t="inlineStr">
        <is>
          <t>Shampoo Largo Saludable 970 Ml Plusbelle</t>
        </is>
      </c>
      <c r="E27" t="inlineStr">
        <is>
          <t>PLUSBELLE</t>
        </is>
      </c>
      <c r="F27" t="n">
        <v>6350</v>
      </c>
      <c r="G27" t="n">
        <v>524793</v>
      </c>
      <c r="H27" t="b">
        <v>1</v>
      </c>
      <c r="I27" t="n">
        <v>970</v>
      </c>
      <c r="J27" t="n">
        <v>6.5464</v>
      </c>
      <c r="K27" t="inlineStr">
        <is>
          <t>&gt; Perfumería &gt; Cuidado Capilar &gt; Shampoo &gt;</t>
        </is>
      </c>
      <c r="L27" t="inlineStr">
        <is>
          <t>shampoo</t>
        </is>
      </c>
      <c r="M27" t="inlineStr">
        <is>
          <t>estandar</t>
        </is>
      </c>
      <c r="N27" t="inlineStr">
        <is>
          <t>general</t>
        </is>
      </c>
      <c r="O27" t="inlineStr">
        <is>
          <t>https://www.jumbo.com.ar/shampoo-esencia-largo-salud-970-ml-plusbelle/p</t>
        </is>
      </c>
    </row>
    <row r="28">
      <c r="A28" s="2" t="inlineStr">
        <is>
          <t>Jumbo</t>
        </is>
      </c>
      <c r="B28" s="2" t="n">
        <v>3073294</v>
      </c>
      <c r="C28" s="2" t="n">
        <v>3072798</v>
      </c>
      <c r="D28" s="2" t="inlineStr">
        <is>
          <t>Shampoo Reparación Intensiva 350 Ml Bagovit</t>
        </is>
      </c>
      <c r="E28" s="2" t="inlineStr">
        <is>
          <t>BAGOVIT</t>
        </is>
      </c>
      <c r="F28" s="2" t="n">
        <v>9800</v>
      </c>
      <c r="G28" s="2" t="n">
        <v>809917</v>
      </c>
      <c r="H28" s="2" t="b">
        <v>1</v>
      </c>
      <c r="I28" s="2" t="n">
        <v>350</v>
      </c>
      <c r="J28" s="2" t="n">
        <v>28</v>
      </c>
      <c r="K28" s="2" t="inlineStr">
        <is>
          <t>&gt; Perfumería &gt; Cuidado Capilar &gt; Shampoo &gt;</t>
        </is>
      </c>
      <c r="L28" s="2" t="inlineStr">
        <is>
          <t>shampoo</t>
        </is>
      </c>
      <c r="M28" s="2" t="inlineStr">
        <is>
          <t>estandar</t>
        </is>
      </c>
      <c r="N28" s="2" t="inlineStr">
        <is>
          <t>general</t>
        </is>
      </c>
      <c r="O28" s="2" t="inlineStr">
        <is>
          <t>https://www.jumbo.com.ar/shampoo-reparacion-intensiva-x-350-ml-bagovit/p</t>
        </is>
      </c>
    </row>
    <row r="29">
      <c r="A29" t="inlineStr">
        <is>
          <t>Jumbo</t>
        </is>
      </c>
      <c r="B29" t="n">
        <v>389292</v>
      </c>
      <c r="C29" t="n">
        <v>387398</v>
      </c>
      <c r="D29" t="inlineStr">
        <is>
          <t>Shampoo Restauración Instantánea 650 Ml Sedal</t>
        </is>
      </c>
      <c r="E29" t="inlineStr">
        <is>
          <t>SEDAL</t>
        </is>
      </c>
      <c r="F29" t="n">
        <v>9400</v>
      </c>
      <c r="G29" t="n">
        <v>776860</v>
      </c>
      <c r="H29" t="b">
        <v>1</v>
      </c>
      <c r="I29" t="n">
        <v>650</v>
      </c>
      <c r="J29" t="n">
        <v>14.4615</v>
      </c>
      <c r="K29" t="inlineStr">
        <is>
          <t>&gt; Perfumería &gt; Cuidado Capilar &gt; Shampoo &gt;</t>
        </is>
      </c>
      <c r="L29" t="inlineStr">
        <is>
          <t>shampoo</t>
        </is>
      </c>
      <c r="M29" t="inlineStr">
        <is>
          <t>estandar</t>
        </is>
      </c>
      <c r="N29" t="inlineStr">
        <is>
          <t>general</t>
        </is>
      </c>
      <c r="O29" t="inlineStr">
        <is>
          <t>https://www.jumbo.com.ar/shampoo-restauracion-instantanea-650-ml-sedal/p</t>
        </is>
      </c>
    </row>
    <row r="30">
      <c r="A30" s="2" t="inlineStr">
        <is>
          <t>Jumbo</t>
        </is>
      </c>
      <c r="B30" s="2" t="n">
        <v>119620</v>
      </c>
      <c r="C30" s="2" t="n">
        <v>118648</v>
      </c>
      <c r="D30" s="2" t="inlineStr">
        <is>
          <t>Shampoo Bebé Original 750 Ml Johnson's</t>
        </is>
      </c>
      <c r="E30" s="2" t="inlineStr">
        <is>
          <t>JOHNSON BABY</t>
        </is>
      </c>
      <c r="F30" s="2" t="n">
        <v>20700</v>
      </c>
      <c r="G30" s="2" t="n">
        <v>1710744</v>
      </c>
      <c r="H30" s="2" t="b">
        <v>1</v>
      </c>
      <c r="I30" s="2" t="n">
        <v>750</v>
      </c>
      <c r="J30" s="2" t="n">
        <v>27.6</v>
      </c>
      <c r="K30" s="2" t="inlineStr">
        <is>
          <t>&gt; Mundo Bebe &gt; Higiene para el Bebe &gt; Higiene del Bebé &gt;</t>
        </is>
      </c>
      <c r="L30" s="2" t="inlineStr">
        <is>
          <t>shampoo</t>
        </is>
      </c>
      <c r="M30" s="2" t="inlineStr">
        <is>
          <t>estandar</t>
        </is>
      </c>
      <c r="N30" s="2" t="inlineStr">
        <is>
          <t>bebe</t>
        </is>
      </c>
      <c r="O30" s="2" t="inlineStr">
        <is>
          <t>https://www.jumbo.com.ar/toallas-femeninas-con-alas-siempre-libre-especial-x-16-un/p</t>
        </is>
      </c>
    </row>
    <row r="31">
      <c r="A31" t="inlineStr">
        <is>
          <t>Jumbo</t>
        </is>
      </c>
      <c r="B31" t="n">
        <v>31766</v>
      </c>
      <c r="C31" t="n">
        <v>28925</v>
      </c>
      <c r="D31" t="inlineStr">
        <is>
          <t>Shampoo para Auto 600 Cc Silisur</t>
        </is>
      </c>
      <c r="E31" t="inlineStr">
        <is>
          <t>SILISUR</t>
        </is>
      </c>
      <c r="F31" t="n">
        <v>7399</v>
      </c>
      <c r="G31" t="n">
        <v>611488</v>
      </c>
      <c r="H31" t="b">
        <v>1</v>
      </c>
      <c r="I31" t="inlineStr"/>
      <c r="J31" t="inlineStr"/>
      <c r="K31" t="inlineStr">
        <is>
          <t>&gt; Hogar y textil &gt; Automotor &gt; Limpieza &gt;</t>
        </is>
      </c>
      <c r="L31" t="inlineStr">
        <is>
          <t>shampoo</t>
        </is>
      </c>
      <c r="M31" t="inlineStr">
        <is>
          <t>estandar</t>
        </is>
      </c>
      <c r="N31" t="inlineStr">
        <is>
          <t>general</t>
        </is>
      </c>
      <c r="O31" t="inlineStr">
        <is>
          <t>https://www.jumbo.com.ar/shampoo-lava-coche-silisur-vainilla-pride-x-600cc/p</t>
        </is>
      </c>
    </row>
    <row r="32">
      <c r="A32" s="2" t="inlineStr">
        <is>
          <t>Jumbo</t>
        </is>
      </c>
      <c r="B32" s="2" t="n">
        <v>415146</v>
      </c>
      <c r="C32" s="2" t="n">
        <v>410806</v>
      </c>
      <c r="D32" s="2" t="inlineStr">
        <is>
          <t>Shampoo Rizos Definidos 190 Ml Sedal</t>
        </is>
      </c>
      <c r="E32" s="2" t="inlineStr">
        <is>
          <t>SEDAL</t>
        </is>
      </c>
      <c r="F32" s="2" t="n">
        <v>3900</v>
      </c>
      <c r="G32" s="2" t="n">
        <v>322314</v>
      </c>
      <c r="H32" s="2" t="b">
        <v>1</v>
      </c>
      <c r="I32" s="2" t="n">
        <v>190</v>
      </c>
      <c r="J32" s="2" t="n">
        <v>20.5263</v>
      </c>
      <c r="K32" s="2" t="inlineStr">
        <is>
          <t>&gt; Perfumería &gt; Cuidado Capilar &gt; Shampoo &gt;</t>
        </is>
      </c>
      <c r="L32" s="2" t="inlineStr">
        <is>
          <t>shampoo</t>
        </is>
      </c>
      <c r="M32" s="2" t="inlineStr">
        <is>
          <t>estandar</t>
        </is>
      </c>
      <c r="N32" s="2" t="inlineStr">
        <is>
          <t>rizado</t>
        </is>
      </c>
      <c r="O32" s="2" t="inlineStr">
        <is>
          <t>https://www.jumbo.com.ar/shampoo-rizos-definidos-190-ml-sedal/p</t>
        </is>
      </c>
    </row>
    <row r="33">
      <c r="A33" t="inlineStr">
        <is>
          <t>Jumbo</t>
        </is>
      </c>
      <c r="B33" t="n">
        <v>389302</v>
      </c>
      <c r="C33" t="n">
        <v>387408</v>
      </c>
      <c r="D33" t="inlineStr">
        <is>
          <t>Shampoo Crema Balance 190 Ml Sedal</t>
        </is>
      </c>
      <c r="E33" t="inlineStr">
        <is>
          <t>SEDAL</t>
        </is>
      </c>
      <c r="F33" t="n">
        <v>3900</v>
      </c>
      <c r="G33" t="n">
        <v>322314</v>
      </c>
      <c r="H33" t="b">
        <v>1</v>
      </c>
      <c r="I33" t="n">
        <v>190</v>
      </c>
      <c r="J33" t="n">
        <v>20.5263</v>
      </c>
      <c r="K33" t="inlineStr">
        <is>
          <t>&gt; Perfumería &gt; Cuidado Capilar &gt; Shampoo &gt;</t>
        </is>
      </c>
      <c r="L33" t="inlineStr">
        <is>
          <t>shampoo</t>
        </is>
      </c>
      <c r="M33" t="inlineStr">
        <is>
          <t>estandar</t>
        </is>
      </c>
      <c r="N33" t="inlineStr">
        <is>
          <t>general</t>
        </is>
      </c>
      <c r="O33" t="inlineStr">
        <is>
          <t>https://www.jumbo.com.ar/shampoo-crema-balance-190-ml-sedal/p</t>
        </is>
      </c>
    </row>
    <row r="34">
      <c r="A34" s="2" t="inlineStr">
        <is>
          <t>Jumbo</t>
        </is>
      </c>
      <c r="B34" s="2" t="n">
        <v>400516</v>
      </c>
      <c r="C34" s="2" t="n">
        <v>397854</v>
      </c>
      <c r="D34" s="2" t="inlineStr">
        <is>
          <t>Shampoo Hidra Hialurónico 750 Ml Elvive</t>
        </is>
      </c>
      <c r="E34" s="2" t="inlineStr">
        <is>
          <t>ELVIVE</t>
        </is>
      </c>
      <c r="F34" s="2" t="n">
        <v>19400</v>
      </c>
      <c r="G34" s="2" t="n">
        <v>1603306</v>
      </c>
      <c r="H34" s="2" t="b">
        <v>1</v>
      </c>
      <c r="I34" s="2" t="n">
        <v>750</v>
      </c>
      <c r="J34" s="2" t="n">
        <v>25.8667</v>
      </c>
      <c r="K34" s="2" t="inlineStr">
        <is>
          <t>&gt; Perfumería &gt; Cuidado Capilar &gt; Shampoo &gt;</t>
        </is>
      </c>
      <c r="L34" s="2" t="inlineStr">
        <is>
          <t>shampoo</t>
        </is>
      </c>
      <c r="M34" s="2" t="inlineStr">
        <is>
          <t>profesional</t>
        </is>
      </c>
      <c r="N34" s="2" t="inlineStr">
        <is>
          <t>general</t>
        </is>
      </c>
      <c r="O34" s="2" t="inlineStr">
        <is>
          <t>https://www.jumbo.com.ar/shampoo-elvive-hidra-hialuronico-750-ml/p</t>
        </is>
      </c>
    </row>
    <row r="35">
      <c r="A35" t="inlineStr">
        <is>
          <t>Jumbo</t>
        </is>
      </c>
      <c r="B35" t="n">
        <v>397624</v>
      </c>
      <c r="C35" t="n">
        <v>395357</v>
      </c>
      <c r="D35" t="inlineStr">
        <is>
          <t>Shampoo Hialurónico Pure 200 Ml Elvive</t>
        </is>
      </c>
      <c r="E35" t="inlineStr">
        <is>
          <t>ELVIVE</t>
        </is>
      </c>
      <c r="F35" t="n">
        <v>7550</v>
      </c>
      <c r="G35" t="n">
        <v>623967</v>
      </c>
      <c r="H35" t="b">
        <v>1</v>
      </c>
      <c r="I35" t="n">
        <v>200</v>
      </c>
      <c r="J35" t="n">
        <v>37.75</v>
      </c>
      <c r="K35" t="inlineStr">
        <is>
          <t>&gt; Perfumería &gt; Cuidado Capilar &gt; Shampoo &gt;</t>
        </is>
      </c>
      <c r="L35" t="inlineStr">
        <is>
          <t>shampoo</t>
        </is>
      </c>
      <c r="M35" t="inlineStr">
        <is>
          <t>profesional</t>
        </is>
      </c>
      <c r="N35" t="inlineStr">
        <is>
          <t>general</t>
        </is>
      </c>
      <c r="O35" t="inlineStr">
        <is>
          <t>https://www.jumbo.com.ar/shampoo-elvive-hialuronico-pure-200ml/p</t>
        </is>
      </c>
    </row>
    <row r="36">
      <c r="A36" s="2" t="inlineStr">
        <is>
          <t>Jumbo</t>
        </is>
      </c>
      <c r="B36" s="2" t="n">
        <v>396882</v>
      </c>
      <c r="C36" s="2" t="n">
        <v>394638</v>
      </c>
      <c r="D36" s="2" t="inlineStr">
        <is>
          <t>Shampoo Crema Balance 340 Ml Sedal</t>
        </is>
      </c>
      <c r="E36" s="2" t="inlineStr">
        <is>
          <t>SEDAL</t>
        </is>
      </c>
      <c r="F36" s="2" t="n">
        <v>5448</v>
      </c>
      <c r="G36" s="2" t="n">
        <v>450248</v>
      </c>
      <c r="H36" s="2" t="b">
        <v>1</v>
      </c>
      <c r="I36" s="2" t="n">
        <v>340</v>
      </c>
      <c r="J36" s="2" t="n">
        <v>16.0235</v>
      </c>
      <c r="K36" s="2" t="inlineStr">
        <is>
          <t>&gt; Perfumería &gt; Cuidado Capilar &gt; Shampoo &gt;</t>
        </is>
      </c>
      <c r="L36" s="2" t="inlineStr">
        <is>
          <t>shampoo</t>
        </is>
      </c>
      <c r="M36" s="2" t="inlineStr">
        <is>
          <t>estandar</t>
        </is>
      </c>
      <c r="N36" s="2" t="inlineStr">
        <is>
          <t>general</t>
        </is>
      </c>
      <c r="O36" s="2" t="inlineStr">
        <is>
          <t>https://www.jumbo.com.ar/shampoo-crema-balance-340-ml-sedal/p</t>
        </is>
      </c>
    </row>
    <row r="37">
      <c r="A37" t="inlineStr">
        <is>
          <t>Jumbo</t>
        </is>
      </c>
      <c r="B37" t="n">
        <v>389290</v>
      </c>
      <c r="C37" t="n">
        <v>387396</v>
      </c>
      <c r="D37" t="inlineStr">
        <is>
          <t>Shampoo Sedal Ceramidas Botella 340 Ml</t>
        </is>
      </c>
      <c r="E37" t="inlineStr">
        <is>
          <t>SEDAL</t>
        </is>
      </c>
      <c r="F37" t="n">
        <v>5448</v>
      </c>
      <c r="G37" t="n">
        <v>450248</v>
      </c>
      <c r="H37" t="b">
        <v>1</v>
      </c>
      <c r="I37" t="n">
        <v>340</v>
      </c>
      <c r="J37" t="n">
        <v>16.0235</v>
      </c>
      <c r="K37" t="inlineStr">
        <is>
          <t>&gt; Perfumería &gt; Cuidado Capilar &gt; Shampoo &gt;</t>
        </is>
      </c>
      <c r="L37" t="inlineStr">
        <is>
          <t>shampoo</t>
        </is>
      </c>
      <c r="M37" t="inlineStr">
        <is>
          <t>estandar</t>
        </is>
      </c>
      <c r="N37" t="inlineStr">
        <is>
          <t>general</t>
        </is>
      </c>
      <c r="O37" t="inlineStr">
        <is>
          <t>https://www.jumbo.com.ar/shampoo-sedal-ceramidas-botella-340-ml-2/p</t>
        </is>
      </c>
    </row>
    <row r="38">
      <c r="A38" s="2" t="inlineStr">
        <is>
          <t>Jumbo</t>
        </is>
      </c>
      <c r="B38" s="2" t="n">
        <v>3070283</v>
      </c>
      <c r="C38" s="2" t="n">
        <v>3069876</v>
      </c>
      <c r="D38" s="2" t="inlineStr">
        <is>
          <t>Shampoo Ondas Boho 500 Ml Tresemmé</t>
        </is>
      </c>
      <c r="E38" s="2" t="inlineStr">
        <is>
          <t>TRESEMMÉ</t>
        </is>
      </c>
      <c r="F38" s="2" t="n">
        <v>10400</v>
      </c>
      <c r="G38" s="2" t="n">
        <v>859504</v>
      </c>
      <c r="H38" s="2" t="b">
        <v>1</v>
      </c>
      <c r="I38" s="2" t="n">
        <v>500</v>
      </c>
      <c r="J38" s="2" t="n">
        <v>20.8</v>
      </c>
      <c r="K38" s="2" t="inlineStr">
        <is>
          <t>&gt; Perfumería &gt; Cuidado Capilar &gt; Shampoo &gt;</t>
        </is>
      </c>
      <c r="L38" s="2" t="inlineStr">
        <is>
          <t>shampoo</t>
        </is>
      </c>
      <c r="M38" s="2" t="inlineStr">
        <is>
          <t>estandar</t>
        </is>
      </c>
      <c r="N38" s="2" t="inlineStr">
        <is>
          <t>general</t>
        </is>
      </c>
      <c r="O38" s="2" t="inlineStr">
        <is>
          <t>https://www.jumbo.com.ar/shampoo-ondas-boho-x-500-ml-tresemme/p</t>
        </is>
      </c>
    </row>
    <row r="39">
      <c r="A39" t="inlineStr">
        <is>
          <t>Jumbo</t>
        </is>
      </c>
      <c r="B39" t="n">
        <v>3067578</v>
      </c>
      <c r="C39" t="n">
        <v>3067442</v>
      </c>
      <c r="D39" t="inlineStr">
        <is>
          <t>Shampoo Luminous UV 650 Ml Sedal</t>
        </is>
      </c>
      <c r="E39" t="inlineStr">
        <is>
          <t>SEDAL</t>
        </is>
      </c>
      <c r="F39" t="n">
        <v>9000</v>
      </c>
      <c r="G39" t="n">
        <v>743802</v>
      </c>
      <c r="H39" t="b">
        <v>1</v>
      </c>
      <c r="I39" t="n">
        <v>650</v>
      </c>
      <c r="J39" t="n">
        <v>13.8462</v>
      </c>
      <c r="K39" t="inlineStr">
        <is>
          <t>&gt; Perfumería &gt; Cuidado Capilar &gt; Shampoo &gt;</t>
        </is>
      </c>
      <c r="L39" t="inlineStr">
        <is>
          <t>shampoo</t>
        </is>
      </c>
      <c r="M39" t="inlineStr">
        <is>
          <t>estandar</t>
        </is>
      </c>
      <c r="N39" t="inlineStr">
        <is>
          <t>general</t>
        </is>
      </c>
      <c r="O39" t="inlineStr">
        <is>
          <t>https://www.jumbo.com.ar/shampoo-luminous-uv-x-650-ml-sedal/p</t>
        </is>
      </c>
    </row>
    <row r="40">
      <c r="A40" s="2" t="inlineStr">
        <is>
          <t>Jumbo</t>
        </is>
      </c>
      <c r="B40" s="2" t="n">
        <v>421911</v>
      </c>
      <c r="C40" s="2" t="n">
        <v>407093</v>
      </c>
      <c r="D40" s="2" t="inlineStr">
        <is>
          <t>Shampoo Prebioticos Biotina 650 Ml Sedal</t>
        </is>
      </c>
      <c r="E40" s="2" t="inlineStr">
        <is>
          <t>SEDAL</t>
        </is>
      </c>
      <c r="F40" s="2" t="n">
        <v>9400</v>
      </c>
      <c r="G40" s="2" t="n">
        <v>776860</v>
      </c>
      <c r="H40" s="2" t="b">
        <v>1</v>
      </c>
      <c r="I40" s="2" t="n">
        <v>650</v>
      </c>
      <c r="J40" s="2" t="n">
        <v>14.4615</v>
      </c>
      <c r="K40" s="2" t="inlineStr">
        <is>
          <t>&gt; Perfumería &gt; Cuidado Capilar &gt; Shampoo &gt;</t>
        </is>
      </c>
      <c r="L40" s="2" t="inlineStr">
        <is>
          <t>shampoo</t>
        </is>
      </c>
      <c r="M40" s="2" t="inlineStr">
        <is>
          <t>estandar</t>
        </is>
      </c>
      <c r="N40" s="2" t="inlineStr">
        <is>
          <t>general</t>
        </is>
      </c>
      <c r="O40" s="2" t="inlineStr">
        <is>
          <t>https://www.jumbo.com.ar/shampoo-prebioticos-biotina-650-ml-sedal/p</t>
        </is>
      </c>
    </row>
    <row r="41">
      <c r="A41" t="inlineStr">
        <is>
          <t>Jumbo</t>
        </is>
      </c>
      <c r="B41" t="n">
        <v>389300</v>
      </c>
      <c r="C41" t="n">
        <v>387406</v>
      </c>
      <c r="D41" t="inlineStr">
        <is>
          <t>Shampoo Restauración Instantánea 340 Ml Sedal</t>
        </is>
      </c>
      <c r="E41" t="inlineStr">
        <is>
          <t>SEDAL</t>
        </is>
      </c>
      <c r="F41" t="n">
        <v>5800</v>
      </c>
      <c r="G41" t="n">
        <v>479339</v>
      </c>
      <c r="H41" t="b">
        <v>1</v>
      </c>
      <c r="I41" t="n">
        <v>340</v>
      </c>
      <c r="J41" t="n">
        <v>17.0588</v>
      </c>
      <c r="K41" t="inlineStr">
        <is>
          <t>&gt; Perfumería &gt; Cuidado Capilar &gt; Shampoo &gt;</t>
        </is>
      </c>
      <c r="L41" t="inlineStr">
        <is>
          <t>shampoo</t>
        </is>
      </c>
      <c r="M41" t="inlineStr">
        <is>
          <t>estandar</t>
        </is>
      </c>
      <c r="N41" t="inlineStr">
        <is>
          <t>general</t>
        </is>
      </c>
      <c r="O41" t="inlineStr">
        <is>
          <t>https://www.jumbo.com.ar/shampoo-restauracion-instantanea-340-ml-sedal/p</t>
        </is>
      </c>
    </row>
    <row r="42">
      <c r="A42" s="2" t="inlineStr">
        <is>
          <t>Jumbo</t>
        </is>
      </c>
      <c r="B42" s="2" t="n">
        <v>384328</v>
      </c>
      <c r="C42" s="2" t="n">
        <v>383817</v>
      </c>
      <c r="D42" s="2" t="inlineStr">
        <is>
          <t>Shampoo Esencia Restauración 970 Ml Plusbelle</t>
        </is>
      </c>
      <c r="E42" s="2" t="inlineStr">
        <is>
          <t>PLUSBELLE</t>
        </is>
      </c>
      <c r="F42" s="2" t="n">
        <v>6350</v>
      </c>
      <c r="G42" s="2" t="n">
        <v>524793</v>
      </c>
      <c r="H42" s="2" t="b">
        <v>1</v>
      </c>
      <c r="I42" s="2" t="n">
        <v>970</v>
      </c>
      <c r="J42" s="2" t="n">
        <v>6.5464</v>
      </c>
      <c r="K42" s="2" t="inlineStr">
        <is>
          <t>&gt; Perfumería &gt; Cuidado Capilar &gt; Shampoo &gt;</t>
        </is>
      </c>
      <c r="L42" s="2" t="inlineStr">
        <is>
          <t>shampoo</t>
        </is>
      </c>
      <c r="M42" s="2" t="inlineStr">
        <is>
          <t>estandar</t>
        </is>
      </c>
      <c r="N42" s="2" t="inlineStr">
        <is>
          <t>general</t>
        </is>
      </c>
      <c r="O42" s="2" t="inlineStr">
        <is>
          <t>https://www.jumbo.com.ar/shampoo-esencia-restauracion-970-ml-plusbelle/p</t>
        </is>
      </c>
    </row>
    <row r="43">
      <c r="A43" t="inlineStr">
        <is>
          <t>Jumbo</t>
        </is>
      </c>
      <c r="B43" t="n">
        <v>413347</v>
      </c>
      <c r="C43" t="n">
        <v>409228</v>
      </c>
      <c r="D43" t="inlineStr">
        <is>
          <t>Shampoo Keratina Antifrizz 250 Ml Tresemmé</t>
        </is>
      </c>
      <c r="E43" t="inlineStr">
        <is>
          <t>TRESEMMÉ</t>
        </is>
      </c>
      <c r="F43" t="n">
        <v>6300</v>
      </c>
      <c r="G43" t="n">
        <v>520661</v>
      </c>
      <c r="H43" t="b">
        <v>1</v>
      </c>
      <c r="I43" t="n">
        <v>250</v>
      </c>
      <c r="J43" t="n">
        <v>25.2</v>
      </c>
      <c r="K43" t="inlineStr">
        <is>
          <t>&gt; Perfumería &gt; Cuidado Capilar &gt; Shampoo &gt;</t>
        </is>
      </c>
      <c r="L43" t="inlineStr">
        <is>
          <t>shampoo</t>
        </is>
      </c>
      <c r="M43" t="inlineStr">
        <is>
          <t>estandar</t>
        </is>
      </c>
      <c r="N43" t="inlineStr">
        <is>
          <t>tratado</t>
        </is>
      </c>
      <c r="O43" t="inlineStr">
        <is>
          <t>https://www.jumbo.com.ar/shampoo-tresemme-keratina-antifrizz-250-ml/p</t>
        </is>
      </c>
    </row>
    <row r="44">
      <c r="A44" s="2" t="inlineStr">
        <is>
          <t>Jumbo</t>
        </is>
      </c>
      <c r="B44" s="2" t="n">
        <v>397217</v>
      </c>
      <c r="C44" s="2" t="n">
        <v>394958</v>
      </c>
      <c r="D44" s="2" t="inlineStr">
        <is>
          <t>Shampoo Fructis Goodbye Daños 200 Ml</t>
        </is>
      </c>
      <c r="E44" s="2" t="inlineStr">
        <is>
          <t>FRUCTIS</t>
        </is>
      </c>
      <c r="F44" s="2" t="n">
        <v>5900</v>
      </c>
      <c r="G44" s="2" t="n">
        <v>487603</v>
      </c>
      <c r="H44" s="2" t="b">
        <v>1</v>
      </c>
      <c r="I44" s="2" t="n">
        <v>200</v>
      </c>
      <c r="J44" s="2" t="n">
        <v>29.5</v>
      </c>
      <c r="K44" s="2" t="inlineStr">
        <is>
          <t>&gt; Perfumería &gt; Cuidado Capilar &gt; Shampoo &gt;</t>
        </is>
      </c>
      <c r="L44" s="2" t="inlineStr">
        <is>
          <t>shampoo</t>
        </is>
      </c>
      <c r="M44" s="2" t="inlineStr">
        <is>
          <t>estandar</t>
        </is>
      </c>
      <c r="N44" s="2" t="inlineStr">
        <is>
          <t>general</t>
        </is>
      </c>
      <c r="O44" s="2" t="inlineStr">
        <is>
          <t>https://www.jumbo.com.ar/shampoo-fructis-goodbye-danos-200-ml/p</t>
        </is>
      </c>
    </row>
    <row r="45">
      <c r="A45" t="inlineStr">
        <is>
          <t>Jumbo</t>
        </is>
      </c>
      <c r="B45" t="n">
        <v>393563</v>
      </c>
      <c r="C45" t="n">
        <v>391591</v>
      </c>
      <c r="D45" t="inlineStr">
        <is>
          <t>Shampoo Reconstrucción Completa 200 Cc Dove</t>
        </is>
      </c>
      <c r="E45" t="inlineStr">
        <is>
          <t>DOVE</t>
        </is>
      </c>
      <c r="F45" t="n">
        <v>6000</v>
      </c>
      <c r="G45" t="n">
        <v>495868</v>
      </c>
      <c r="H45" t="b">
        <v>1</v>
      </c>
      <c r="I45" t="inlineStr"/>
      <c r="J45" t="inlineStr"/>
      <c r="K45" t="inlineStr">
        <is>
          <t>&gt; Perfumería &gt; Cuidado Capilar &gt; Shampoo &gt;</t>
        </is>
      </c>
      <c r="L45" t="inlineStr">
        <is>
          <t>shampoo</t>
        </is>
      </c>
      <c r="M45" t="inlineStr">
        <is>
          <t>estandar</t>
        </is>
      </c>
      <c r="N45" t="inlineStr">
        <is>
          <t>general</t>
        </is>
      </c>
      <c r="O45" t="inlineStr">
        <is>
          <t>https://www.jumbo.com.ar/shampoo-dove-reconstruccion-completa-200cc/p</t>
        </is>
      </c>
    </row>
    <row r="46">
      <c r="A46" s="2" t="inlineStr">
        <is>
          <t>Jumbo</t>
        </is>
      </c>
      <c r="B46" s="2" t="n">
        <v>413348</v>
      </c>
      <c r="C46" s="2" t="n">
        <v>409229</v>
      </c>
      <c r="D46" s="2" t="inlineStr">
        <is>
          <t>Shampoo Tresemme Cauterización Reparadora 250 Ml</t>
        </is>
      </c>
      <c r="E46" s="2" t="inlineStr">
        <is>
          <t>TRESEMMÉ</t>
        </is>
      </c>
      <c r="F46" s="2" t="n">
        <v>6300</v>
      </c>
      <c r="G46" s="2" t="n">
        <v>520661</v>
      </c>
      <c r="H46" s="2" t="b">
        <v>1</v>
      </c>
      <c r="I46" s="2" t="n">
        <v>250</v>
      </c>
      <c r="J46" s="2" t="n">
        <v>25.2</v>
      </c>
      <c r="K46" s="2" t="inlineStr">
        <is>
          <t>&gt; Perfumería &gt; Cuidado Capilar &gt; Shampoo &gt;</t>
        </is>
      </c>
      <c r="L46" s="2" t="inlineStr">
        <is>
          <t>shampoo</t>
        </is>
      </c>
      <c r="M46" s="2" t="inlineStr">
        <is>
          <t>estandar</t>
        </is>
      </c>
      <c r="N46" s="2" t="inlineStr">
        <is>
          <t>general</t>
        </is>
      </c>
      <c r="O46" s="2" t="inlineStr">
        <is>
          <t>https://www.jumbo.com.ar/shampoo-tresemme-cauterizacion-reparadora-250-ml/p</t>
        </is>
      </c>
    </row>
    <row r="47">
      <c r="A47" t="inlineStr">
        <is>
          <t>Jumbo</t>
        </is>
      </c>
      <c r="B47" t="n">
        <v>3070277</v>
      </c>
      <c r="C47" t="n">
        <v>3069870</v>
      </c>
      <c r="D47" t="inlineStr">
        <is>
          <t>Shampoo Cauterización Reparadora 500 Ml Tresemmé</t>
        </is>
      </c>
      <c r="E47" t="inlineStr">
        <is>
          <t>TRESEMMÉ</t>
        </is>
      </c>
      <c r="F47" t="n">
        <v>10400</v>
      </c>
      <c r="G47" t="n">
        <v>859504</v>
      </c>
      <c r="H47" t="b">
        <v>1</v>
      </c>
      <c r="I47" t="n">
        <v>500</v>
      </c>
      <c r="J47" t="n">
        <v>20.8</v>
      </c>
      <c r="K47" t="inlineStr">
        <is>
          <t>&gt; Perfumería &gt; Cuidado Capilar &gt; Shampoo &gt;</t>
        </is>
      </c>
      <c r="L47" t="inlineStr">
        <is>
          <t>shampoo</t>
        </is>
      </c>
      <c r="M47" t="inlineStr">
        <is>
          <t>estandar</t>
        </is>
      </c>
      <c r="N47" t="inlineStr">
        <is>
          <t>general</t>
        </is>
      </c>
      <c r="O47" t="inlineStr">
        <is>
          <t>https://www.jumbo.com.ar/shampoo-cauterizacion-reparadora-x-500-ml-tresemme/p</t>
        </is>
      </c>
    </row>
    <row r="48">
      <c r="A48" s="2" t="inlineStr">
        <is>
          <t>Jumbo</t>
        </is>
      </c>
      <c r="B48" s="2" t="n">
        <v>389291</v>
      </c>
      <c r="C48" s="2" t="n">
        <v>387397</v>
      </c>
      <c r="D48" s="2" t="inlineStr">
        <is>
          <t>Shampoo Brillo Ceramidas 650 Ml Sedal</t>
        </is>
      </c>
      <c r="E48" s="2" t="inlineStr">
        <is>
          <t>SEDAL</t>
        </is>
      </c>
      <c r="F48" s="2" t="n">
        <v>9400</v>
      </c>
      <c r="G48" s="2" t="n">
        <v>776860</v>
      </c>
      <c r="H48" s="2" t="b">
        <v>1</v>
      </c>
      <c r="I48" s="2" t="n">
        <v>650</v>
      </c>
      <c r="J48" s="2" t="n">
        <v>14.4615</v>
      </c>
      <c r="K48" s="2" t="inlineStr">
        <is>
          <t>&gt; Perfumería &gt; Cuidado Capilar &gt; Shampoo &gt;</t>
        </is>
      </c>
      <c r="L48" s="2" t="inlineStr">
        <is>
          <t>shampoo</t>
        </is>
      </c>
      <c r="M48" s="2" t="inlineStr">
        <is>
          <t>estandar</t>
        </is>
      </c>
      <c r="N48" s="2" t="inlineStr">
        <is>
          <t>general</t>
        </is>
      </c>
      <c r="O48" s="2" t="inlineStr">
        <is>
          <t>https://www.jumbo.com.ar/shampoo-sedal-ceramidas-botella-650-ml-2/p</t>
        </is>
      </c>
    </row>
    <row r="49">
      <c r="A49" t="inlineStr">
        <is>
          <t>Jumbo</t>
        </is>
      </c>
      <c r="B49" t="n">
        <v>3070170</v>
      </c>
      <c r="C49" t="n">
        <v>3069775</v>
      </c>
      <c r="D49" t="inlineStr">
        <is>
          <t>Shampoo Liso Infinito 700 Ml Pantene</t>
        </is>
      </c>
      <c r="E49" t="inlineStr">
        <is>
          <t>PANTENE</t>
        </is>
      </c>
      <c r="F49" t="n">
        <v>17600</v>
      </c>
      <c r="G49" t="n">
        <v>1454545</v>
      </c>
      <c r="H49" t="b">
        <v>1</v>
      </c>
      <c r="I49" t="n">
        <v>700</v>
      </c>
      <c r="J49" t="n">
        <v>25.1429</v>
      </c>
      <c r="K49" t="inlineStr">
        <is>
          <t>&gt; Perfumería &gt; Cuidado Capilar &gt; Shampoo &gt;</t>
        </is>
      </c>
      <c r="L49" t="inlineStr">
        <is>
          <t>shampoo</t>
        </is>
      </c>
      <c r="M49" t="inlineStr">
        <is>
          <t>estandar</t>
        </is>
      </c>
      <c r="N49" t="inlineStr">
        <is>
          <t>general</t>
        </is>
      </c>
      <c r="O49" t="inlineStr">
        <is>
          <t>https://www.jumbo.com.ar/shampoo-provmir-liso-infinito-x-700-ml-pantene/p</t>
        </is>
      </c>
    </row>
    <row r="50">
      <c r="A50" s="2" t="inlineStr">
        <is>
          <t>Jumbo</t>
        </is>
      </c>
      <c r="B50" s="2" t="n">
        <v>415572</v>
      </c>
      <c r="C50" s="2" t="n">
        <v>411156</v>
      </c>
      <c r="D50" s="2" t="inlineStr">
        <is>
          <t>Shampoo Liso Infinito 400 Ml Pantene</t>
        </is>
      </c>
      <c r="E50" s="2" t="inlineStr">
        <is>
          <t>PANTENE</t>
        </is>
      </c>
      <c r="F50" s="2" t="n">
        <v>10750</v>
      </c>
      <c r="G50" s="2" t="n">
        <v>888430</v>
      </c>
      <c r="H50" s="2" t="b">
        <v>1</v>
      </c>
      <c r="I50" s="2" t="n">
        <v>400</v>
      </c>
      <c r="J50" s="2" t="n">
        <v>26.875</v>
      </c>
      <c r="K50" s="2" t="inlineStr">
        <is>
          <t>&gt; Perfumería &gt; Cuidado Capilar &gt; Shampoo &gt;</t>
        </is>
      </c>
      <c r="L50" s="2" t="inlineStr">
        <is>
          <t>shampoo</t>
        </is>
      </c>
      <c r="M50" s="2" t="inlineStr">
        <is>
          <t>estandar</t>
        </is>
      </c>
      <c r="N50" s="2" t="inlineStr">
        <is>
          <t>general</t>
        </is>
      </c>
      <c r="O50" s="2" t="inlineStr">
        <is>
          <t>https://www.jumbo.com.ar/shampoo-pantene-provmir-liso-infinito-400-ml/p</t>
        </is>
      </c>
    </row>
    <row r="51">
      <c r="A51" t="inlineStr">
        <is>
          <t>Jumbo</t>
        </is>
      </c>
      <c r="B51" t="n">
        <v>415143</v>
      </c>
      <c r="C51" t="n">
        <v>410803</v>
      </c>
      <c r="D51" t="inlineStr">
        <is>
          <t>Shampoo Liso Perfecto 340 Ml Sedal</t>
        </is>
      </c>
      <c r="E51" t="inlineStr">
        <is>
          <t>SEDAL</t>
        </is>
      </c>
      <c r="F51" t="n">
        <v>5800</v>
      </c>
      <c r="G51" t="n">
        <v>479339</v>
      </c>
      <c r="H51" t="b">
        <v>1</v>
      </c>
      <c r="I51" t="n">
        <v>340</v>
      </c>
      <c r="J51" t="n">
        <v>17.0588</v>
      </c>
      <c r="K51" t="inlineStr">
        <is>
          <t>&gt; Perfumería &gt; Cuidado Capilar &gt; Shampoo &gt;</t>
        </is>
      </c>
      <c r="L51" t="inlineStr">
        <is>
          <t>shampoo</t>
        </is>
      </c>
      <c r="M51" t="inlineStr">
        <is>
          <t>estandar</t>
        </is>
      </c>
      <c r="N51" t="inlineStr">
        <is>
          <t>general</t>
        </is>
      </c>
      <c r="O51" t="inlineStr">
        <is>
          <t>https://www.jumbo.com.ar/shampoo-liso-perfecto-340-ml-sedal/p</t>
        </is>
      </c>
    </row>
    <row r="52">
      <c r="A52" s="2" t="inlineStr">
        <is>
          <t>Jumbo</t>
        </is>
      </c>
      <c r="B52" s="2" t="n">
        <v>413343</v>
      </c>
      <c r="C52" s="2" t="n">
        <v>409224</v>
      </c>
      <c r="D52" s="2" t="inlineStr">
        <is>
          <t>Shampoo Tresemme Cauterización Reparadora 880 Ml</t>
        </is>
      </c>
      <c r="E52" s="2" t="inlineStr">
        <is>
          <t>TRESEMMÉ</t>
        </is>
      </c>
      <c r="F52" s="2" t="n">
        <v>16550</v>
      </c>
      <c r="G52" s="2" t="n">
        <v>1367769</v>
      </c>
      <c r="H52" s="2" t="b">
        <v>1</v>
      </c>
      <c r="I52" s="2" t="n">
        <v>880</v>
      </c>
      <c r="J52" s="2" t="n">
        <v>18.8068</v>
      </c>
      <c r="K52" s="2" t="inlineStr">
        <is>
          <t>&gt; Perfumería &gt; Cuidado Capilar &gt; Shampoo &gt;</t>
        </is>
      </c>
      <c r="L52" s="2" t="inlineStr">
        <is>
          <t>shampoo</t>
        </is>
      </c>
      <c r="M52" s="2" t="inlineStr">
        <is>
          <t>estandar</t>
        </is>
      </c>
      <c r="N52" s="2" t="inlineStr">
        <is>
          <t>general</t>
        </is>
      </c>
      <c r="O52" s="2" t="inlineStr">
        <is>
          <t>https://www.jumbo.com.ar/shampoo-tresemme-cauterizacion-reparadora-880-ml/p</t>
        </is>
      </c>
    </row>
    <row r="53">
      <c r="A53" t="inlineStr">
        <is>
          <t>Jumbo</t>
        </is>
      </c>
      <c r="B53" t="n">
        <v>389301</v>
      </c>
      <c r="C53" t="n">
        <v>387407</v>
      </c>
      <c r="D53" t="inlineStr">
        <is>
          <t>Shampoo Rizos Definidos 340 Ml Sedal</t>
        </is>
      </c>
      <c r="E53" t="inlineStr">
        <is>
          <t>SEDAL</t>
        </is>
      </c>
      <c r="F53" t="n">
        <v>5800</v>
      </c>
      <c r="G53" t="n">
        <v>479339</v>
      </c>
      <c r="H53" t="b">
        <v>1</v>
      </c>
      <c r="I53" t="n">
        <v>340</v>
      </c>
      <c r="J53" t="n">
        <v>17.0588</v>
      </c>
      <c r="K53" t="inlineStr">
        <is>
          <t>&gt; Perfumería &gt; Cuidado Capilar &gt; Shampoo &gt;</t>
        </is>
      </c>
      <c r="L53" t="inlineStr">
        <is>
          <t>shampoo</t>
        </is>
      </c>
      <c r="M53" t="inlineStr">
        <is>
          <t>estandar</t>
        </is>
      </c>
      <c r="N53" t="inlineStr">
        <is>
          <t>rizado</t>
        </is>
      </c>
      <c r="O53" t="inlineStr">
        <is>
          <t>https://www.jumbo.com.ar/shampoo-rizos-definidos-340-ml-sedal/p</t>
        </is>
      </c>
    </row>
    <row r="54">
      <c r="A54" s="2" t="inlineStr">
        <is>
          <t>Jumbo</t>
        </is>
      </c>
      <c r="B54" s="2" t="n">
        <v>407570</v>
      </c>
      <c r="C54" s="2" t="n">
        <v>403759</v>
      </c>
      <c r="D54" s="2" t="inlineStr">
        <is>
          <t>Shampoo Elvive Reparacion Extreme 200 Ml</t>
        </is>
      </c>
      <c r="E54" s="2" t="inlineStr">
        <is>
          <t>ELVIVE</t>
        </is>
      </c>
      <c r="F54" s="2" t="n">
        <v>7400</v>
      </c>
      <c r="G54" s="2" t="n">
        <v>611570</v>
      </c>
      <c r="H54" s="2" t="b">
        <v>1</v>
      </c>
      <c r="I54" s="2" t="n">
        <v>200</v>
      </c>
      <c r="J54" s="2" t="n">
        <v>37</v>
      </c>
      <c r="K54" s="2" t="inlineStr">
        <is>
          <t>&gt; Perfumería &gt; Cuidado Capilar &gt; Shampoo &gt;</t>
        </is>
      </c>
      <c r="L54" s="2" t="inlineStr">
        <is>
          <t>shampoo</t>
        </is>
      </c>
      <c r="M54" s="2" t="inlineStr">
        <is>
          <t>profesional</t>
        </is>
      </c>
      <c r="N54" s="2" t="inlineStr">
        <is>
          <t>general</t>
        </is>
      </c>
      <c r="O54" s="2" t="inlineStr">
        <is>
          <t>https://www.jumbo.com.ar/shampoo-elvive-reparacion-extreme-200-ml/p</t>
        </is>
      </c>
    </row>
    <row r="55">
      <c r="A55" t="inlineStr">
        <is>
          <t>Jumbo</t>
        </is>
      </c>
      <c r="B55" t="n">
        <v>396887</v>
      </c>
      <c r="C55" t="n">
        <v>394643</v>
      </c>
      <c r="D55" t="inlineStr">
        <is>
          <t>Shampoo Dove Regeneración Extrema 200 Ml</t>
        </is>
      </c>
      <c r="E55" t="inlineStr">
        <is>
          <t>DOVE</t>
        </is>
      </c>
      <c r="F55" t="n">
        <v>6000</v>
      </c>
      <c r="G55" t="n">
        <v>495868</v>
      </c>
      <c r="H55" t="b">
        <v>1</v>
      </c>
      <c r="I55" t="n">
        <v>200</v>
      </c>
      <c r="J55" t="n">
        <v>30</v>
      </c>
      <c r="K55" t="inlineStr">
        <is>
          <t>&gt; Perfumería &gt; Cuidado Capilar &gt; Shampoo &gt;</t>
        </is>
      </c>
      <c r="L55" t="inlineStr">
        <is>
          <t>shampoo</t>
        </is>
      </c>
      <c r="M55" t="inlineStr">
        <is>
          <t>estandar</t>
        </is>
      </c>
      <c r="N55" t="inlineStr">
        <is>
          <t>general</t>
        </is>
      </c>
      <c r="O55" t="inlineStr">
        <is>
          <t>https://www.jumbo.com.ar/shampoo-dove-regeneracion-extrema-200-ml-2/p</t>
        </is>
      </c>
    </row>
    <row r="56">
      <c r="A56" s="2" t="inlineStr">
        <is>
          <t>Jumbo</t>
        </is>
      </c>
      <c r="B56" s="2" t="n">
        <v>394040</v>
      </c>
      <c r="C56" s="2" t="n">
        <v>392064</v>
      </c>
      <c r="D56" s="2" t="inlineStr">
        <is>
          <t>Shampoo Dove Regeneración Extrema 750 Ml</t>
        </is>
      </c>
      <c r="E56" s="2" t="inlineStr">
        <is>
          <t>DOVE</t>
        </is>
      </c>
      <c r="F56" s="2" t="n">
        <v>16450</v>
      </c>
      <c r="G56" s="2" t="n">
        <v>1359504</v>
      </c>
      <c r="H56" s="2" t="b">
        <v>1</v>
      </c>
      <c r="I56" s="2" t="n">
        <v>750</v>
      </c>
      <c r="J56" s="2" t="n">
        <v>21.9333</v>
      </c>
      <c r="K56" s="2" t="inlineStr">
        <is>
          <t>&gt; Perfumería &gt; Cuidado Capilar &gt; Shampoo &gt;</t>
        </is>
      </c>
      <c r="L56" s="2" t="inlineStr">
        <is>
          <t>shampoo</t>
        </is>
      </c>
      <c r="M56" s="2" t="inlineStr">
        <is>
          <t>estandar</t>
        </is>
      </c>
      <c r="N56" s="2" t="inlineStr">
        <is>
          <t>general</t>
        </is>
      </c>
      <c r="O56" s="2" t="inlineStr">
        <is>
          <t>https://www.jumbo.com.ar/shampoo-dove-regeneracion-extrema-750-ml-3/p</t>
        </is>
      </c>
    </row>
    <row r="57">
      <c r="A57" t="inlineStr">
        <is>
          <t>Jumbo</t>
        </is>
      </c>
      <c r="B57" t="n">
        <v>400553</v>
      </c>
      <c r="C57" t="n">
        <v>397891</v>
      </c>
      <c r="D57" t="inlineStr">
        <is>
          <t>Shampoo Elvive Kera-liso Mk 400ml</t>
        </is>
      </c>
      <c r="E57" t="inlineStr">
        <is>
          <t>ELVIVE</t>
        </is>
      </c>
      <c r="F57" t="n">
        <v>11123</v>
      </c>
      <c r="G57" t="n">
        <v>919256</v>
      </c>
      <c r="H57" t="b">
        <v>1</v>
      </c>
      <c r="I57" t="n">
        <v>400</v>
      </c>
      <c r="J57" t="n">
        <v>27.8075</v>
      </c>
      <c r="K57" t="inlineStr">
        <is>
          <t>&gt; Perfumería &gt; Cuidado Capilar &gt; Shampoo &gt;</t>
        </is>
      </c>
      <c r="L57" t="inlineStr">
        <is>
          <t>shampoo</t>
        </is>
      </c>
      <c r="M57" t="inlineStr">
        <is>
          <t>profesional</t>
        </is>
      </c>
      <c r="N57" t="inlineStr">
        <is>
          <t>general</t>
        </is>
      </c>
      <c r="O57" t="inlineStr">
        <is>
          <t>https://www.jumbo.com.ar/shampoo-elvive-kera-liso-mk-400ml/p</t>
        </is>
      </c>
    </row>
    <row r="58">
      <c r="A58" s="2" t="inlineStr">
        <is>
          <t>Jumbo</t>
        </is>
      </c>
      <c r="B58" s="2" t="n">
        <v>389299</v>
      </c>
      <c r="C58" s="2" t="n">
        <v>387405</v>
      </c>
      <c r="D58" s="2" t="inlineStr">
        <is>
          <t>Shampoo Restauración Instantánea 190 Ml Sedal</t>
        </is>
      </c>
      <c r="E58" s="2" t="inlineStr">
        <is>
          <t>SEDAL</t>
        </is>
      </c>
      <c r="F58" s="2" t="n">
        <v>3900</v>
      </c>
      <c r="G58" s="2" t="n">
        <v>322314</v>
      </c>
      <c r="H58" s="2" t="b">
        <v>1</v>
      </c>
      <c r="I58" s="2" t="n">
        <v>190</v>
      </c>
      <c r="J58" s="2" t="n">
        <v>20.5263</v>
      </c>
      <c r="K58" s="2" t="inlineStr">
        <is>
          <t>&gt; Perfumería &gt; Cuidado Capilar &gt; Shampoo &gt;</t>
        </is>
      </c>
      <c r="L58" s="2" t="inlineStr">
        <is>
          <t>shampoo</t>
        </is>
      </c>
      <c r="M58" s="2" t="inlineStr">
        <is>
          <t>estandar</t>
        </is>
      </c>
      <c r="N58" s="2" t="inlineStr">
        <is>
          <t>general</t>
        </is>
      </c>
      <c r="O58" s="2" t="inlineStr">
        <is>
          <t>https://www.jumbo.com.ar/shampoo-restauracion-instantanea-190-ml-sedal/p</t>
        </is>
      </c>
    </row>
    <row r="59">
      <c r="A59" t="inlineStr">
        <is>
          <t>Jumbo</t>
        </is>
      </c>
      <c r="B59" t="n">
        <v>1362367</v>
      </c>
      <c r="C59" t="n">
        <v>1361615</v>
      </c>
      <c r="D59" t="inlineStr">
        <is>
          <t>Shampoo Dove Bond Intense Repair 400 Ml</t>
        </is>
      </c>
      <c r="E59" t="inlineStr">
        <is>
          <t>DOVE</t>
        </is>
      </c>
      <c r="F59" t="n">
        <v>9695</v>
      </c>
      <c r="G59" t="n">
        <v>801240</v>
      </c>
      <c r="H59" t="b">
        <v>1</v>
      </c>
      <c r="I59" t="n">
        <v>400</v>
      </c>
      <c r="J59" t="n">
        <v>24.2375</v>
      </c>
      <c r="K59" t="inlineStr">
        <is>
          <t>&gt; Perfumería &gt; Cuidado Capilar &gt; Shampoo &gt;</t>
        </is>
      </c>
      <c r="L59" t="inlineStr">
        <is>
          <t>shampoo</t>
        </is>
      </c>
      <c r="M59" t="inlineStr">
        <is>
          <t>profesional</t>
        </is>
      </c>
      <c r="N59" t="inlineStr">
        <is>
          <t>general</t>
        </is>
      </c>
      <c r="O59" t="inlineStr">
        <is>
          <t>https://www.jumbo.com.ar/shampoo-dove-bond-intense-repair-400-ml-2/p</t>
        </is>
      </c>
    </row>
    <row r="60">
      <c r="A60" s="2" t="inlineStr">
        <is>
          <t>Jumbo</t>
        </is>
      </c>
      <c r="B60" s="2" t="n">
        <v>316330</v>
      </c>
      <c r="C60" s="2" t="n">
        <v>315564</v>
      </c>
      <c r="D60" s="2" t="inlineStr">
        <is>
          <t>Shampoo Pantene Pro-v Bambú 400 Ml</t>
        </is>
      </c>
      <c r="E60" s="2" t="inlineStr">
        <is>
          <t>PANTENE</t>
        </is>
      </c>
      <c r="F60" s="2" t="n">
        <v>10400</v>
      </c>
      <c r="G60" s="2" t="n">
        <v>859504</v>
      </c>
      <c r="H60" s="2" t="b">
        <v>1</v>
      </c>
      <c r="I60" s="2" t="n">
        <v>400</v>
      </c>
      <c r="J60" s="2" t="n">
        <v>26</v>
      </c>
      <c r="K60" s="2" t="inlineStr">
        <is>
          <t>&gt; Perfumería &gt; Cuidado Capilar &gt; Shampoo &gt;</t>
        </is>
      </c>
      <c r="L60" s="2" t="inlineStr">
        <is>
          <t>shampoo</t>
        </is>
      </c>
      <c r="M60" s="2" t="inlineStr">
        <is>
          <t>profesional</t>
        </is>
      </c>
      <c r="N60" s="2" t="inlineStr">
        <is>
          <t>general</t>
        </is>
      </c>
      <c r="O60" s="2" t="inlineStr">
        <is>
          <t>https://www.jumbo.com.ar/shampoo-pantene-pro-v-bambu-400-ml/p</t>
        </is>
      </c>
    </row>
    <row r="61">
      <c r="A61" t="inlineStr">
        <is>
          <t>Jumbo</t>
        </is>
      </c>
      <c r="B61" t="n">
        <v>1365009</v>
      </c>
      <c r="C61" t="n">
        <v>1363957</v>
      </c>
      <c r="D61" t="inlineStr">
        <is>
          <t>Shampoo Anticomezón 375 Ml Head y Shoulders</t>
        </is>
      </c>
      <c r="E61" t="inlineStr">
        <is>
          <t>HEAD &amp; SHOULDERS</t>
        </is>
      </c>
      <c r="F61" t="n">
        <v>12900</v>
      </c>
      <c r="G61" t="n">
        <v>1066116</v>
      </c>
      <c r="H61" t="b">
        <v>1</v>
      </c>
      <c r="I61" t="n">
        <v>375</v>
      </c>
      <c r="J61" t="n">
        <v>34.4</v>
      </c>
      <c r="K61" t="inlineStr">
        <is>
          <t>&gt; Perfumería &gt; Cuidado Capilar &gt; Shampoo &gt;</t>
        </is>
      </c>
      <c r="L61" t="inlineStr">
        <is>
          <t>shampoo</t>
        </is>
      </c>
      <c r="M61" t="inlineStr">
        <is>
          <t>estandar</t>
        </is>
      </c>
      <c r="N61" t="inlineStr">
        <is>
          <t>general</t>
        </is>
      </c>
      <c r="O61" t="inlineStr">
        <is>
          <t>https://www.jumbo.com.ar/shampoo-anticomezon-375-ml-head-shoulders-2/p</t>
        </is>
      </c>
    </row>
    <row r="62">
      <c r="A62" s="2" t="inlineStr">
        <is>
          <t>Jumbo</t>
        </is>
      </c>
      <c r="B62" s="2" t="n">
        <v>1365006</v>
      </c>
      <c r="C62" s="2" t="n">
        <v>1363954</v>
      </c>
      <c r="D62" s="2" t="inlineStr">
        <is>
          <t>Shampoo Anticomezón 650 Ml Head &amp; Shoulders</t>
        </is>
      </c>
      <c r="E62" s="2" t="inlineStr">
        <is>
          <t>HEAD &amp; SHOULDERS</t>
        </is>
      </c>
      <c r="F62" s="2" t="n">
        <v>19950</v>
      </c>
      <c r="G62" s="2" t="n">
        <v>1648760</v>
      </c>
      <c r="H62" s="2" t="b">
        <v>1</v>
      </c>
      <c r="I62" s="2" t="n">
        <v>650</v>
      </c>
      <c r="J62" s="2" t="n">
        <v>30.6923</v>
      </c>
      <c r="K62" s="2" t="inlineStr">
        <is>
          <t>&gt; Perfumería &gt; Cuidado Capilar &gt; Shampoo &gt;</t>
        </is>
      </c>
      <c r="L62" s="2" t="inlineStr">
        <is>
          <t>shampoo</t>
        </is>
      </c>
      <c r="M62" s="2" t="inlineStr">
        <is>
          <t>estandar</t>
        </is>
      </c>
      <c r="N62" s="2" t="inlineStr">
        <is>
          <t>general</t>
        </is>
      </c>
      <c r="O62" s="2" t="inlineStr">
        <is>
          <t>https://www.jumbo.com.ar/shampoo-anticomezon-650-ml-head-shoulders-2/p</t>
        </is>
      </c>
    </row>
    <row r="63">
      <c r="A63" t="inlineStr">
        <is>
          <t>Jumbo</t>
        </is>
      </c>
      <c r="B63" t="n">
        <v>424110</v>
      </c>
      <c r="C63" t="n">
        <v>417111</v>
      </c>
      <c r="D63" t="inlineStr">
        <is>
          <t>Shampoo Argan 650 Ml Head &amp; Shoulders</t>
        </is>
      </c>
      <c r="E63" t="inlineStr">
        <is>
          <t>HEAD &amp; SHOULDERS</t>
        </is>
      </c>
      <c r="F63" t="n">
        <v>19400</v>
      </c>
      <c r="G63" t="n">
        <v>1603306</v>
      </c>
      <c r="H63" t="b">
        <v>1</v>
      </c>
      <c r="I63" t="n">
        <v>650</v>
      </c>
      <c r="J63" t="n">
        <v>29.8462</v>
      </c>
      <c r="K63" t="inlineStr">
        <is>
          <t>&gt; Perfumería &gt; Cuidado Capilar &gt; Shampoo &gt;</t>
        </is>
      </c>
      <c r="L63" t="inlineStr">
        <is>
          <t>shampoo</t>
        </is>
      </c>
      <c r="M63" t="inlineStr">
        <is>
          <t>estandar</t>
        </is>
      </c>
      <c r="N63" t="inlineStr">
        <is>
          <t>general</t>
        </is>
      </c>
      <c r="O63" t="inlineStr">
        <is>
          <t>https://www.jumbo.com.ar/shampoo-argan-650-ml-head-shoulders-2/p</t>
        </is>
      </c>
    </row>
    <row r="64">
      <c r="A64" s="2" t="inlineStr">
        <is>
          <t>Jumbo</t>
        </is>
      </c>
      <c r="B64" s="2" t="n">
        <v>397216</v>
      </c>
      <c r="C64" s="2" t="n">
        <v>394957</v>
      </c>
      <c r="D64" s="2" t="inlineStr">
        <is>
          <t>Shampoo Reparador Goodbye Daños 350 Ml Fructis</t>
        </is>
      </c>
      <c r="E64" s="2" t="inlineStr">
        <is>
          <t>FRUCTIS</t>
        </is>
      </c>
      <c r="F64" s="2" t="n">
        <v>8600</v>
      </c>
      <c r="G64" s="2" t="n">
        <v>710744</v>
      </c>
      <c r="H64" s="2" t="b">
        <v>1</v>
      </c>
      <c r="I64" s="2" t="n">
        <v>350</v>
      </c>
      <c r="J64" s="2" t="n">
        <v>24.5714</v>
      </c>
      <c r="K64" s="2" t="inlineStr">
        <is>
          <t>&gt; Perfumería &gt; Cuidado Capilar &gt; Shampoo &gt;</t>
        </is>
      </c>
      <c r="L64" s="2" t="inlineStr">
        <is>
          <t>shampoo</t>
        </is>
      </c>
      <c r="M64" s="2" t="inlineStr">
        <is>
          <t>estandar</t>
        </is>
      </c>
      <c r="N64" s="2" t="inlineStr">
        <is>
          <t>general</t>
        </is>
      </c>
      <c r="O64" s="2" t="inlineStr">
        <is>
          <t>https://www.jumbo.com.ar/shampoo-garnier-fructis-cabellos-danados-goodbye-danos-350-ml/p</t>
        </is>
      </c>
    </row>
    <row r="65">
      <c r="A65" t="inlineStr">
        <is>
          <t>Jumbo</t>
        </is>
      </c>
      <c r="B65" t="n">
        <v>3067684</v>
      </c>
      <c r="C65" t="n">
        <v>3067546</v>
      </c>
      <c r="D65" t="inlineStr">
        <is>
          <t>Shampoo Nuhoney 375 Ml Head &amp; Shoulders</t>
        </is>
      </c>
      <c r="E65" t="inlineStr">
        <is>
          <t>HEAD &amp; SHOULDERS</t>
        </is>
      </c>
      <c r="F65" t="n">
        <v>12900</v>
      </c>
      <c r="G65" t="n">
        <v>1066116</v>
      </c>
      <c r="H65" t="b">
        <v>1</v>
      </c>
      <c r="I65" t="n">
        <v>375</v>
      </c>
      <c r="J65" t="n">
        <v>34.4</v>
      </c>
      <c r="K65" t="inlineStr">
        <is>
          <t>&gt; Perfumería &gt; Cuidado Capilar &gt; Shampoo &gt;</t>
        </is>
      </c>
      <c r="L65" t="inlineStr">
        <is>
          <t>shampoo</t>
        </is>
      </c>
      <c r="M65" t="inlineStr">
        <is>
          <t>estandar</t>
        </is>
      </c>
      <c r="N65" t="inlineStr">
        <is>
          <t>general</t>
        </is>
      </c>
      <c r="O65" t="inlineStr">
        <is>
          <t>https://www.jumbo.com.ar/shampoo-nuhoney-375-ml-head-shoulders/p</t>
        </is>
      </c>
    </row>
    <row r="66">
      <c r="A66" s="2" t="inlineStr">
        <is>
          <t>Jumbo</t>
        </is>
      </c>
      <c r="B66" s="2" t="n">
        <v>332379</v>
      </c>
      <c r="C66" s="2" t="n">
        <v>331536</v>
      </c>
      <c r="D66" s="2" t="inlineStr">
        <is>
          <t>Shampoo Kids Fuerza Natural 700 Ml Plusbelle</t>
        </is>
      </c>
      <c r="E66" s="2" t="inlineStr">
        <is>
          <t>PLUSBELLE</t>
        </is>
      </c>
      <c r="F66" s="2" t="n">
        <v>7350</v>
      </c>
      <c r="G66" s="2" t="n">
        <v>607438</v>
      </c>
      <c r="H66" s="2" t="b">
        <v>1</v>
      </c>
      <c r="I66" s="2" t="n">
        <v>700</v>
      </c>
      <c r="J66" s="2" t="n">
        <v>10.5</v>
      </c>
      <c r="K66" s="2" t="inlineStr">
        <is>
          <t>&gt; Mundo Bebe &gt; Higiene para el Bebe &gt; Higiene del Bebé &gt;</t>
        </is>
      </c>
      <c r="L66" s="2" t="inlineStr">
        <is>
          <t>shampoo</t>
        </is>
      </c>
      <c r="M66" s="2" t="inlineStr">
        <is>
          <t>estandar</t>
        </is>
      </c>
      <c r="N66" s="2" t="inlineStr">
        <is>
          <t>bebe</t>
        </is>
      </c>
      <c r="O66" s="2" t="inlineStr">
        <is>
          <t>https://www.jumbo.com.ar/shampoo-kids-fuerza-natural-700-ml-plusbelle/p</t>
        </is>
      </c>
    </row>
    <row r="67">
      <c r="A67" t="inlineStr">
        <is>
          <t>Jumbo</t>
        </is>
      </c>
      <c r="B67" t="n">
        <v>3067581</v>
      </c>
      <c r="C67" t="n">
        <v>3067445</v>
      </c>
      <c r="D67" t="inlineStr">
        <is>
          <t>Shampoo Luminous Uv X 190 Ml Sedal</t>
        </is>
      </c>
      <c r="E67" t="inlineStr">
        <is>
          <t>SEDAL</t>
        </is>
      </c>
      <c r="F67" t="n">
        <v>3850</v>
      </c>
      <c r="G67" t="n">
        <v>318182</v>
      </c>
      <c r="H67" t="b">
        <v>1</v>
      </c>
      <c r="I67" t="n">
        <v>190</v>
      </c>
      <c r="J67" t="n">
        <v>20.2632</v>
      </c>
      <c r="K67" t="inlineStr">
        <is>
          <t>&gt; Perfumería &gt; Cuidado Capilar &gt; Shampoo &gt;</t>
        </is>
      </c>
      <c r="L67" t="inlineStr">
        <is>
          <t>shampoo</t>
        </is>
      </c>
      <c r="M67" t="inlineStr">
        <is>
          <t>estandar</t>
        </is>
      </c>
      <c r="N67" t="inlineStr">
        <is>
          <t>general</t>
        </is>
      </c>
      <c r="O67" t="inlineStr">
        <is>
          <t>https://www.jumbo.com.ar/shampoo-luminous-uv-x-190-ml-sedal-2/p</t>
        </is>
      </c>
    </row>
    <row r="68">
      <c r="A68" s="2" t="inlineStr">
        <is>
          <t>Jumbo</t>
        </is>
      </c>
      <c r="B68" s="2" t="n">
        <v>3067727</v>
      </c>
      <c r="C68" s="2" t="n">
        <v>3067587</v>
      </c>
      <c r="D68" s="2" t="inlineStr">
        <is>
          <t>Shampoo Nuhoney 180 Ml Head &amp; Shoulders</t>
        </is>
      </c>
      <c r="E68" s="2" t="inlineStr">
        <is>
          <t>HEAD &amp; SHOULDERS</t>
        </is>
      </c>
      <c r="F68" s="2" t="n">
        <v>7800</v>
      </c>
      <c r="G68" s="2" t="n">
        <v>644628</v>
      </c>
      <c r="H68" s="2" t="b">
        <v>1</v>
      </c>
      <c r="I68" s="2" t="n">
        <v>180</v>
      </c>
      <c r="J68" s="2" t="n">
        <v>43.3333</v>
      </c>
      <c r="K68" s="2" t="inlineStr">
        <is>
          <t>&gt; Perfumería &gt; Cuidado Capilar &gt; Shampoo &gt;</t>
        </is>
      </c>
      <c r="L68" s="2" t="inlineStr">
        <is>
          <t>shampoo</t>
        </is>
      </c>
      <c r="M68" s="2" t="inlineStr">
        <is>
          <t>estandar</t>
        </is>
      </c>
      <c r="N68" s="2" t="inlineStr">
        <is>
          <t>general</t>
        </is>
      </c>
      <c r="O68" s="2" t="inlineStr">
        <is>
          <t>https://www.jumbo.com.ar/shampoo-nuhoney-180-ml-head-shoulders/p</t>
        </is>
      </c>
    </row>
    <row r="69">
      <c r="A69" t="inlineStr">
        <is>
          <t>Jumbo</t>
        </is>
      </c>
      <c r="B69" t="n">
        <v>3070280</v>
      </c>
      <c r="C69" t="n">
        <v>3069873</v>
      </c>
      <c r="D69" t="inlineStr">
        <is>
          <t>Shampoo Liso Efecto Profesional 500 Ml Tresemmé</t>
        </is>
      </c>
      <c r="E69" t="inlineStr">
        <is>
          <t>TRESEMMÉ</t>
        </is>
      </c>
      <c r="F69" t="n">
        <v>10400</v>
      </c>
      <c r="G69" t="n">
        <v>859504</v>
      </c>
      <c r="H69" t="b">
        <v>1</v>
      </c>
      <c r="I69" t="n">
        <v>500</v>
      </c>
      <c r="J69" t="n">
        <v>20.8</v>
      </c>
      <c r="K69" t="inlineStr">
        <is>
          <t>&gt; Perfumería &gt; Cuidado Capilar &gt; Shampoo &gt;</t>
        </is>
      </c>
      <c r="L69" t="inlineStr">
        <is>
          <t>shampoo</t>
        </is>
      </c>
      <c r="M69" t="inlineStr">
        <is>
          <t>profesional</t>
        </is>
      </c>
      <c r="N69" t="inlineStr">
        <is>
          <t>general</t>
        </is>
      </c>
      <c r="O69" t="inlineStr">
        <is>
          <t>https://www.jumbo.com.ar/shampoo-liso-perfecto-profesional-x-500-ml-tresemme-2/p</t>
        </is>
      </c>
    </row>
    <row r="70">
      <c r="A70" s="2" t="inlineStr">
        <is>
          <t>Jumbo</t>
        </is>
      </c>
      <c r="B70" s="2" t="n">
        <v>349486</v>
      </c>
      <c r="C70" s="2" t="n">
        <v>348146</v>
      </c>
      <c r="D70" s="2" t="inlineStr">
        <is>
          <t>Shampoo Brillo Ceramidas Perladas 1000 Ml Plusbelle</t>
        </is>
      </c>
      <c r="E70" s="2" t="inlineStr">
        <is>
          <t>PLUSBELLE</t>
        </is>
      </c>
      <c r="F70" s="2" t="n">
        <v>5750</v>
      </c>
      <c r="G70" s="2" t="n">
        <v>475207</v>
      </c>
      <c r="H70" s="2" t="b">
        <v>1</v>
      </c>
      <c r="I70" s="2" t="n">
        <v>1000</v>
      </c>
      <c r="J70" s="2" t="n">
        <v>5.75</v>
      </c>
      <c r="K70" s="2" t="inlineStr">
        <is>
          <t>&gt; Perfumería &gt; Cuidado Capilar &gt; Shampoo &gt;</t>
        </is>
      </c>
      <c r="L70" s="2" t="inlineStr">
        <is>
          <t>shampoo</t>
        </is>
      </c>
      <c r="M70" s="2" t="inlineStr">
        <is>
          <t>estandar</t>
        </is>
      </c>
      <c r="N70" s="2" t="inlineStr">
        <is>
          <t>general</t>
        </is>
      </c>
      <c r="O70" s="2" t="inlineStr">
        <is>
          <t>https://www.jumbo.com.ar/shampoo-brillo-1000-ml-plusbelle/p</t>
        </is>
      </c>
    </row>
    <row r="71">
      <c r="A71" t="inlineStr">
        <is>
          <t>Jumbo</t>
        </is>
      </c>
      <c r="B71" t="n">
        <v>80238</v>
      </c>
      <c r="C71" t="n">
        <v>77362</v>
      </c>
      <c r="D71" t="inlineStr">
        <is>
          <t>Shampoo Sandia Dulce 350 Ml Kids Algabo</t>
        </is>
      </c>
      <c r="E71" t="inlineStr">
        <is>
          <t>ALGABO</t>
        </is>
      </c>
      <c r="F71" t="n">
        <v>3750</v>
      </c>
      <c r="G71" t="n">
        <v>309917</v>
      </c>
      <c r="H71" t="b">
        <v>1</v>
      </c>
      <c r="I71" t="n">
        <v>350</v>
      </c>
      <c r="J71" t="n">
        <v>10.7143</v>
      </c>
      <c r="K71" t="inlineStr">
        <is>
          <t>&gt; Mundo Bebe &gt; Higiene para el Bebe &gt; Higiene del Bebé &gt;</t>
        </is>
      </c>
      <c r="L71" t="inlineStr">
        <is>
          <t>shampoo</t>
        </is>
      </c>
      <c r="M71" t="inlineStr">
        <is>
          <t>estandar</t>
        </is>
      </c>
      <c r="N71" t="inlineStr">
        <is>
          <t>bebe</t>
        </is>
      </c>
      <c r="O71" t="inlineStr">
        <is>
          <t>https://www.jumbo.com.ar/shampoo-sandia-dulce-350-ml-kids-algabo/p</t>
        </is>
      </c>
    </row>
    <row r="72">
      <c r="A72" s="2" t="inlineStr">
        <is>
          <t>Jumbo</t>
        </is>
      </c>
      <c r="B72" s="2" t="n">
        <v>1365007</v>
      </c>
      <c r="C72" s="2" t="n">
        <v>1363955</v>
      </c>
      <c r="D72" s="2" t="inlineStr">
        <is>
          <t>Shampoo Anticomezón 180 Ml Head y Shoulders</t>
        </is>
      </c>
      <c r="E72" s="2" t="inlineStr">
        <is>
          <t>HEAD &amp; SHOULDERS</t>
        </is>
      </c>
      <c r="F72" s="2" t="n">
        <v>7800</v>
      </c>
      <c r="G72" s="2" t="n">
        <v>644628</v>
      </c>
      <c r="H72" s="2" t="b">
        <v>1</v>
      </c>
      <c r="I72" s="2" t="n">
        <v>180</v>
      </c>
      <c r="J72" s="2" t="n">
        <v>43.3333</v>
      </c>
      <c r="K72" s="2" t="inlineStr">
        <is>
          <t>&gt; Perfumería &gt; Cuidado Capilar &gt; Shampoo &gt;</t>
        </is>
      </c>
      <c r="L72" s="2" t="inlineStr">
        <is>
          <t>shampoo</t>
        </is>
      </c>
      <c r="M72" s="2" t="inlineStr">
        <is>
          <t>estandar</t>
        </is>
      </c>
      <c r="N72" s="2" t="inlineStr">
        <is>
          <t>general</t>
        </is>
      </c>
      <c r="O72" s="2" t="inlineStr">
        <is>
          <t>https://www.jumbo.com.ar/shampoo-anticomezon-180-ml-head-shoulders-2/p</t>
        </is>
      </c>
    </row>
    <row r="73">
      <c r="A73" t="inlineStr">
        <is>
          <t>Jumbo</t>
        </is>
      </c>
      <c r="B73" t="n">
        <v>414733</v>
      </c>
      <c r="C73" t="n">
        <v>410434</v>
      </c>
      <c r="D73" t="inlineStr">
        <is>
          <t>Shampoo Niños Gotas de Brillo 400 Ml Johnson's</t>
        </is>
      </c>
      <c r="E73" t="inlineStr">
        <is>
          <t>JOHNSON BABY</t>
        </is>
      </c>
      <c r="F73" t="n">
        <v>10650</v>
      </c>
      <c r="G73" t="n">
        <v>880165</v>
      </c>
      <c r="H73" t="b">
        <v>1</v>
      </c>
      <c r="I73" t="n">
        <v>400</v>
      </c>
      <c r="J73" t="n">
        <v>26.625</v>
      </c>
      <c r="K73" t="inlineStr">
        <is>
          <t>&gt; Mundo Bebe &gt; Higiene para el Bebe &gt; Higiene del Bebé &gt;</t>
        </is>
      </c>
      <c r="L73" t="inlineStr">
        <is>
          <t>shampoo</t>
        </is>
      </c>
      <c r="M73" t="inlineStr">
        <is>
          <t>estandar</t>
        </is>
      </c>
      <c r="N73" t="inlineStr">
        <is>
          <t>bebe</t>
        </is>
      </c>
      <c r="O73" t="inlineStr">
        <is>
          <t>https://www.jumbo.com.ar/shampoo-para-ninos-gotas-de-brillo-400-ml-johnson-baby/p</t>
        </is>
      </c>
    </row>
    <row r="74">
      <c r="A74" s="2" t="inlineStr">
        <is>
          <t>Jumbo</t>
        </is>
      </c>
      <c r="B74" s="2" t="n">
        <v>388708</v>
      </c>
      <c r="C74" s="2" t="n">
        <v>386820</v>
      </c>
      <c r="D74" s="2" t="inlineStr">
        <is>
          <t>Shampoo Nutrición Oleo Extraordinario 200 Ml Elvive</t>
        </is>
      </c>
      <c r="E74" s="2" t="inlineStr">
        <is>
          <t>ELVIVE</t>
        </is>
      </c>
      <c r="F74" s="2" t="n">
        <v>7550</v>
      </c>
      <c r="G74" s="2" t="n">
        <v>623967</v>
      </c>
      <c r="H74" s="2" t="b">
        <v>1</v>
      </c>
      <c r="I74" s="2" t="n">
        <v>200</v>
      </c>
      <c r="J74" s="2" t="n">
        <v>37.75</v>
      </c>
      <c r="K74" s="2" t="inlineStr">
        <is>
          <t>&gt; Perfumería &gt; Cuidado Capilar &gt; Shampoo &gt;</t>
        </is>
      </c>
      <c r="L74" s="2" t="inlineStr">
        <is>
          <t>shampoo</t>
        </is>
      </c>
      <c r="M74" s="2" t="inlineStr">
        <is>
          <t>profesional</t>
        </is>
      </c>
      <c r="N74" s="2" t="inlineStr">
        <is>
          <t>general</t>
        </is>
      </c>
      <c r="O74" s="2" t="inlineStr">
        <is>
          <t>https://www.jumbo.com.ar/shampoo-elvive-oleo-extraordinario-nutricion-universal-200-ml/p</t>
        </is>
      </c>
    </row>
    <row r="75">
      <c r="A75" t="inlineStr">
        <is>
          <t>Jumbo</t>
        </is>
      </c>
      <c r="B75" t="n">
        <v>119611</v>
      </c>
      <c r="C75" t="n">
        <v>118639</v>
      </c>
      <c r="D75" t="inlineStr">
        <is>
          <t>Shampoo para Bebé Original 400 Ml Johnson's</t>
        </is>
      </c>
      <c r="E75" t="inlineStr">
        <is>
          <t>JOHNSON BABY</t>
        </is>
      </c>
      <c r="F75" t="n">
        <v>12250</v>
      </c>
      <c r="G75" t="n">
        <v>1012397</v>
      </c>
      <c r="H75" t="b">
        <v>1</v>
      </c>
      <c r="I75" t="n">
        <v>400</v>
      </c>
      <c r="J75" t="n">
        <v>30.625</v>
      </c>
      <c r="K75" t="inlineStr">
        <is>
          <t>&gt; Mundo Bebe &gt; Higiene para el Bebe &gt; Higiene del Bebé &gt;</t>
        </is>
      </c>
      <c r="L75" t="inlineStr">
        <is>
          <t>shampoo</t>
        </is>
      </c>
      <c r="M75" t="inlineStr">
        <is>
          <t>estandar</t>
        </is>
      </c>
      <c r="N75" t="inlineStr">
        <is>
          <t>bebe</t>
        </is>
      </c>
      <c r="O75" t="inlineStr">
        <is>
          <t>https://www.jumbo.com.ar/toallas-femeninas-con-alas-siempre-libre-especial-8-un/p</t>
        </is>
      </c>
    </row>
    <row r="76">
      <c r="A76" s="2" t="inlineStr">
        <is>
          <t>Jumbo</t>
        </is>
      </c>
      <c r="B76" s="2" t="n">
        <v>5996</v>
      </c>
      <c r="C76" s="2" t="n">
        <v>3384</v>
      </c>
      <c r="D76" s="2" t="inlineStr">
        <is>
          <t>Shampoo Iluminador Puro Rubio 420 Ml Capilatis</t>
        </is>
      </c>
      <c r="E76" s="2" t="inlineStr">
        <is>
          <t>CAPILATIS</t>
        </is>
      </c>
      <c r="F76" s="2" t="n">
        <v>9650</v>
      </c>
      <c r="G76" s="2" t="n">
        <v>797521</v>
      </c>
      <c r="H76" s="2" t="b">
        <v>1</v>
      </c>
      <c r="I76" s="2" t="n">
        <v>420</v>
      </c>
      <c r="J76" s="2" t="n">
        <v>22.9762</v>
      </c>
      <c r="K76" s="2" t="inlineStr">
        <is>
          <t>&gt; Perfumería &gt; Cuidado Capilar &gt; Shampoo &gt;</t>
        </is>
      </c>
      <c r="L76" s="2" t="inlineStr">
        <is>
          <t>shampoo</t>
        </is>
      </c>
      <c r="M76" s="2" t="inlineStr">
        <is>
          <t>estandar</t>
        </is>
      </c>
      <c r="N76" s="2" t="inlineStr">
        <is>
          <t>general</t>
        </is>
      </c>
      <c r="O76" s="2" t="inlineStr">
        <is>
          <t>https://www.jumbo.com.ar/shampoo-capilatis-iluminador-420-ml/p</t>
        </is>
      </c>
    </row>
    <row r="77">
      <c r="A77" t="inlineStr">
        <is>
          <t>Jumbo</t>
        </is>
      </c>
      <c r="B77" t="n">
        <v>1362366</v>
      </c>
      <c r="C77" t="n">
        <v>1361614</v>
      </c>
      <c r="D77" t="inlineStr">
        <is>
          <t>Shampoo Bond Intense Repair 200 Ml Dove</t>
        </is>
      </c>
      <c r="E77" t="inlineStr">
        <is>
          <t>DOVE</t>
        </is>
      </c>
      <c r="F77" t="n">
        <v>6750</v>
      </c>
      <c r="G77" t="n">
        <v>557851</v>
      </c>
      <c r="H77" t="b">
        <v>1</v>
      </c>
      <c r="I77" t="n">
        <v>200</v>
      </c>
      <c r="J77" t="n">
        <v>33.75</v>
      </c>
      <c r="K77" t="inlineStr">
        <is>
          <t>&gt; Perfumería &gt; Cuidado Capilar &gt; Shampoo &gt;</t>
        </is>
      </c>
      <c r="L77" t="inlineStr">
        <is>
          <t>shampoo</t>
        </is>
      </c>
      <c r="M77" t="inlineStr">
        <is>
          <t>profesional</t>
        </is>
      </c>
      <c r="N77" t="inlineStr">
        <is>
          <t>general</t>
        </is>
      </c>
      <c r="O77" t="inlineStr">
        <is>
          <t>https://www.jumbo.com.ar/shampoo-dove-bond-intense-repair-200-ml-2/p</t>
        </is>
      </c>
    </row>
    <row r="78">
      <c r="A78" s="2" t="inlineStr">
        <is>
          <t>Jumbo</t>
        </is>
      </c>
      <c r="B78" s="2" t="n">
        <v>389297</v>
      </c>
      <c r="C78" s="2" t="n">
        <v>387403</v>
      </c>
      <c r="D78" s="2" t="inlineStr">
        <is>
          <t>Shampoo Hialurónico y Vitamina A 650 Ml Sedal</t>
        </is>
      </c>
      <c r="E78" s="2" t="inlineStr">
        <is>
          <t>SEDAL</t>
        </is>
      </c>
      <c r="F78" s="2" t="n">
        <v>9400</v>
      </c>
      <c r="G78" s="2" t="n">
        <v>776860</v>
      </c>
      <c r="H78" s="2" t="b">
        <v>1</v>
      </c>
      <c r="I78" s="2" t="n">
        <v>650</v>
      </c>
      <c r="J78" s="2" t="n">
        <v>14.4615</v>
      </c>
      <c r="K78" s="2" t="inlineStr">
        <is>
          <t>&gt; Perfumería &gt; Cuidado Capilar &gt; Shampoo &gt;</t>
        </is>
      </c>
      <c r="L78" s="2" t="inlineStr">
        <is>
          <t>shampoo</t>
        </is>
      </c>
      <c r="M78" s="2" t="inlineStr">
        <is>
          <t>estandar</t>
        </is>
      </c>
      <c r="N78" s="2" t="inlineStr">
        <is>
          <t>general</t>
        </is>
      </c>
      <c r="O78" s="2" t="inlineStr">
        <is>
          <t>https://www.jumbo.com.ar/shampoo-sedal-hialuronico-y-vitamina-a-650-ml-2/p</t>
        </is>
      </c>
    </row>
    <row r="79">
      <c r="A79" t="inlineStr">
        <is>
          <t>Jumbo</t>
        </is>
      </c>
      <c r="B79" t="n">
        <v>384524</v>
      </c>
      <c r="C79" t="n">
        <v>383837</v>
      </c>
      <c r="D79" t="inlineStr">
        <is>
          <t>Shampoo Esencia Control Frizz 970 Ml Plusbelle</t>
        </is>
      </c>
      <c r="E79" t="inlineStr">
        <is>
          <t>PLUSBELLE</t>
        </is>
      </c>
      <c r="F79" t="n">
        <v>6450</v>
      </c>
      <c r="G79" t="n">
        <v>533058</v>
      </c>
      <c r="H79" t="b">
        <v>1</v>
      </c>
      <c r="I79" t="n">
        <v>970</v>
      </c>
      <c r="J79" t="n">
        <v>6.6495</v>
      </c>
      <c r="K79" t="inlineStr">
        <is>
          <t>&gt; Perfumería &gt; Cuidado Capilar &gt; Shampoo &gt;</t>
        </is>
      </c>
      <c r="L79" t="inlineStr">
        <is>
          <t>shampoo</t>
        </is>
      </c>
      <c r="M79" t="inlineStr">
        <is>
          <t>estandar</t>
        </is>
      </c>
      <c r="N79" t="inlineStr">
        <is>
          <t>general</t>
        </is>
      </c>
      <c r="O79" t="inlineStr">
        <is>
          <t>https://www.jumbo.com.ar/shampoo-plusbelle-esencia-control-frizz-970ml/p</t>
        </is>
      </c>
    </row>
    <row r="80">
      <c r="A80" s="2" t="inlineStr">
        <is>
          <t>Jumbo</t>
        </is>
      </c>
      <c r="B80" s="2" t="n">
        <v>275447</v>
      </c>
      <c r="C80" s="2" t="n">
        <v>274743</v>
      </c>
      <c r="D80" s="2" t="inlineStr">
        <is>
          <t>Shampoo Antifall 180 Ml Head &amp; Shoulders</t>
        </is>
      </c>
      <c r="E80" s="2" t="inlineStr">
        <is>
          <t>HEAD &amp; SHOULDERS</t>
        </is>
      </c>
      <c r="F80" s="2" t="n">
        <v>7800</v>
      </c>
      <c r="G80" s="2" t="n">
        <v>644628</v>
      </c>
      <c r="H80" s="2" t="b">
        <v>1</v>
      </c>
      <c r="I80" s="2" t="n">
        <v>180</v>
      </c>
      <c r="J80" s="2" t="n">
        <v>43.3333</v>
      </c>
      <c r="K80" s="2" t="inlineStr">
        <is>
          <t>&gt; Perfumería &gt; Cuidado Capilar &gt; Shampoo &gt;</t>
        </is>
      </c>
      <c r="L80" s="2" t="inlineStr">
        <is>
          <t>shampoo</t>
        </is>
      </c>
      <c r="M80" s="2" t="inlineStr">
        <is>
          <t>estandar</t>
        </is>
      </c>
      <c r="N80" s="2" t="inlineStr">
        <is>
          <t>general</t>
        </is>
      </c>
      <c r="O80" s="2" t="inlineStr">
        <is>
          <t>https://www.jumbo.com.ar/shampoo-antifall-180-ml-head-shoulders-2/p</t>
        </is>
      </c>
    </row>
    <row r="81">
      <c r="A81" t="inlineStr">
        <is>
          <t>Jumbo</t>
        </is>
      </c>
      <c r="B81" t="n">
        <v>3086634</v>
      </c>
      <c r="C81" t="n">
        <v>3085858</v>
      </c>
      <c r="D81" t="inlineStr">
        <is>
          <t>Shampoo Purificante Oil Control 200 Ml Fructis Shampoo Oil Control X 200 Ml Fructis</t>
        </is>
      </c>
      <c r="E81" t="inlineStr">
        <is>
          <t>FRUCTIS</t>
        </is>
      </c>
      <c r="F81" t="n">
        <v>5800</v>
      </c>
      <c r="G81" t="n">
        <v>479339</v>
      </c>
      <c r="H81" t="b">
        <v>1</v>
      </c>
      <c r="I81" t="n">
        <v>200</v>
      </c>
      <c r="J81" t="n">
        <v>29</v>
      </c>
      <c r="K81" t="inlineStr">
        <is>
          <t>&gt; Perfumería &gt; Cuidado Capilar &gt; Shampoo &gt;</t>
        </is>
      </c>
      <c r="L81" t="inlineStr">
        <is>
          <t>shampoo</t>
        </is>
      </c>
      <c r="M81" t="inlineStr">
        <is>
          <t>estandar</t>
        </is>
      </c>
      <c r="N81" t="inlineStr">
        <is>
          <t>general</t>
        </is>
      </c>
      <c r="O81" t="inlineStr">
        <is>
          <t>https://www.jumbo.com.ar/shampoo-oil-control-x-200-ml-fructis/p</t>
        </is>
      </c>
    </row>
    <row r="82">
      <c r="A82" s="2" t="inlineStr">
        <is>
          <t>Jumbo</t>
        </is>
      </c>
      <c r="B82" s="2" t="n">
        <v>389287</v>
      </c>
      <c r="C82" s="2" t="n">
        <v>387393</v>
      </c>
      <c r="D82" s="2" t="inlineStr">
        <is>
          <t>Shampoo Hialurónico y Vita A 190 Ml Sedal</t>
        </is>
      </c>
      <c r="E82" s="2" t="inlineStr">
        <is>
          <t>SEDAL</t>
        </is>
      </c>
      <c r="F82" s="2" t="n">
        <v>3850</v>
      </c>
      <c r="G82" s="2" t="n">
        <v>318182</v>
      </c>
      <c r="H82" s="2" t="b">
        <v>1</v>
      </c>
      <c r="I82" s="2" t="n">
        <v>190</v>
      </c>
      <c r="J82" s="2" t="n">
        <v>20.2632</v>
      </c>
      <c r="K82" s="2" t="inlineStr">
        <is>
          <t>&gt; Perfumería &gt; Cuidado Capilar &gt; Shampoo &gt;</t>
        </is>
      </c>
      <c r="L82" s="2" t="inlineStr">
        <is>
          <t>shampoo</t>
        </is>
      </c>
      <c r="M82" s="2" t="inlineStr">
        <is>
          <t>estandar</t>
        </is>
      </c>
      <c r="N82" s="2" t="inlineStr">
        <is>
          <t>general</t>
        </is>
      </c>
      <c r="O82" s="2" t="inlineStr">
        <is>
          <t>https://www.jumbo.com.ar/shampoo-hialuronico-y-vitamina-a-190-ml-sedal/p</t>
        </is>
      </c>
    </row>
    <row r="83">
      <c r="A83" t="inlineStr">
        <is>
          <t>Jumbo</t>
        </is>
      </c>
      <c r="B83" t="n">
        <v>424003</v>
      </c>
      <c r="C83" t="n">
        <v>417080</v>
      </c>
      <c r="D83" t="inlineStr">
        <is>
          <t>Shampoo Fuerza 650 Ml Head &amp; Shoulders</t>
        </is>
      </c>
      <c r="E83" t="inlineStr">
        <is>
          <t>HEAD &amp; SHOULDERS</t>
        </is>
      </c>
      <c r="F83" t="n">
        <v>19900</v>
      </c>
      <c r="G83" t="n">
        <v>1644628</v>
      </c>
      <c r="H83" t="b">
        <v>1</v>
      </c>
      <c r="I83" t="n">
        <v>650</v>
      </c>
      <c r="J83" t="n">
        <v>30.6154</v>
      </c>
      <c r="K83" t="inlineStr">
        <is>
          <t>&gt; Perfumería &gt; Cuidado Capilar &gt; Shampoo &gt;</t>
        </is>
      </c>
      <c r="L83" t="inlineStr">
        <is>
          <t>shampoo</t>
        </is>
      </c>
      <c r="M83" t="inlineStr">
        <is>
          <t>estandar</t>
        </is>
      </c>
      <c r="N83" t="inlineStr">
        <is>
          <t>general</t>
        </is>
      </c>
      <c r="O83" t="inlineStr">
        <is>
          <t>https://www.jumbo.com.ar/shampoo-fuerza-650-ml-head-shoulders-2/p</t>
        </is>
      </c>
    </row>
    <row r="84">
      <c r="A84" s="2" t="inlineStr">
        <is>
          <t>Jumbo</t>
        </is>
      </c>
      <c r="B84" s="2" t="n">
        <v>393553</v>
      </c>
      <c r="C84" s="2" t="n">
        <v>391581</v>
      </c>
      <c r="D84" s="2" t="inlineStr">
        <is>
          <t>Shampoo Dove Ritual De Reparacion De Coco 400 Ml</t>
        </is>
      </c>
      <c r="E84" s="2" t="inlineStr">
        <is>
          <t>DOVE</t>
        </is>
      </c>
      <c r="F84" s="2" t="n">
        <v>9220</v>
      </c>
      <c r="G84" s="2" t="n">
        <v>761983</v>
      </c>
      <c r="H84" s="2" t="b">
        <v>1</v>
      </c>
      <c r="I84" s="2" t="n">
        <v>400</v>
      </c>
      <c r="J84" s="2" t="n">
        <v>23.05</v>
      </c>
      <c r="K84" s="2" t="inlineStr">
        <is>
          <t>&gt; Perfumería &gt; Cuidado Capilar &gt; Shampoo &gt;</t>
        </is>
      </c>
      <c r="L84" s="2" t="inlineStr">
        <is>
          <t>shampoo</t>
        </is>
      </c>
      <c r="M84" s="2" t="inlineStr">
        <is>
          <t>estandar</t>
        </is>
      </c>
      <c r="N84" s="2" t="inlineStr">
        <is>
          <t>general</t>
        </is>
      </c>
      <c r="O84" s="2" t="inlineStr">
        <is>
          <t>https://www.jumbo.com.ar/shampoo-dove-ritual-de-reparacion-de-coco-400-ml/p</t>
        </is>
      </c>
    </row>
    <row r="85">
      <c r="A85" t="inlineStr">
        <is>
          <t>Jumbo</t>
        </is>
      </c>
      <c r="B85" t="n">
        <v>389288</v>
      </c>
      <c r="C85" t="n">
        <v>387394</v>
      </c>
      <c r="D85" t="inlineStr">
        <is>
          <t>Shampoo Sedal Hialurónico Y Vitamina A 340 Ml</t>
        </is>
      </c>
      <c r="E85" t="inlineStr">
        <is>
          <t>SEDAL</t>
        </is>
      </c>
      <c r="F85" t="n">
        <v>5451</v>
      </c>
      <c r="G85" t="n">
        <v>450496</v>
      </c>
      <c r="H85" t="b">
        <v>1</v>
      </c>
      <c r="I85" t="n">
        <v>340</v>
      </c>
      <c r="J85" t="n">
        <v>16.0324</v>
      </c>
      <c r="K85" t="inlineStr">
        <is>
          <t>&gt; Perfumería &gt; Cuidado Capilar &gt; Shampoo &gt;</t>
        </is>
      </c>
      <c r="L85" t="inlineStr">
        <is>
          <t>shampoo</t>
        </is>
      </c>
      <c r="M85" t="inlineStr">
        <is>
          <t>estandar</t>
        </is>
      </c>
      <c r="N85" t="inlineStr">
        <is>
          <t>general</t>
        </is>
      </c>
      <c r="O85" t="inlineStr">
        <is>
          <t>https://www.jumbo.com.ar/shampoo-sedal-hialuronico-y-vitamina-a-340-ml-2/p</t>
        </is>
      </c>
    </row>
    <row r="86">
      <c r="A86" s="2" t="inlineStr">
        <is>
          <t>Jumbo</t>
        </is>
      </c>
      <c r="B86" s="2" t="n">
        <v>3070236</v>
      </c>
      <c r="C86" s="2" t="n">
        <v>3069839</v>
      </c>
      <c r="D86" s="2" t="inlineStr">
        <is>
          <t>Shampoo Detox Capilar X 500 Ml Tresemmé</t>
        </is>
      </c>
      <c r="E86" s="2" t="inlineStr">
        <is>
          <t>TRESEMMÉ</t>
        </is>
      </c>
      <c r="F86" s="2" t="n">
        <v>10400</v>
      </c>
      <c r="G86" s="2" t="n">
        <v>859504</v>
      </c>
      <c r="H86" s="2" t="b">
        <v>1</v>
      </c>
      <c r="I86" s="2" t="n">
        <v>500</v>
      </c>
      <c r="J86" s="2" t="n">
        <v>20.8</v>
      </c>
      <c r="K86" s="2" t="inlineStr">
        <is>
          <t>&gt; Perfumería &gt; Cuidado Capilar &gt; Shampoo &gt;</t>
        </is>
      </c>
      <c r="L86" s="2" t="inlineStr">
        <is>
          <t>shampoo</t>
        </is>
      </c>
      <c r="M86" s="2" t="inlineStr">
        <is>
          <t>estandar</t>
        </is>
      </c>
      <c r="N86" s="2" t="inlineStr">
        <is>
          <t>general</t>
        </is>
      </c>
      <c r="O86" s="2" t="inlineStr">
        <is>
          <t>https://www.jumbo.com.ar/shampoo-detox-capilar-x-500-ml-tresemme/p</t>
        </is>
      </c>
    </row>
    <row r="87">
      <c r="A87" t="inlineStr">
        <is>
          <t>Jumbo</t>
        </is>
      </c>
      <c r="B87" t="n">
        <v>424000</v>
      </c>
      <c r="C87" t="n">
        <v>417077</v>
      </c>
      <c r="D87" t="inlineStr">
        <is>
          <t>Shampoo Antifall 650 Ml Head &amp; Shoulders</t>
        </is>
      </c>
      <c r="E87" t="inlineStr">
        <is>
          <t>HEAD &amp; SHOULDERS</t>
        </is>
      </c>
      <c r="F87" t="n">
        <v>19950</v>
      </c>
      <c r="G87" t="n">
        <v>1648760</v>
      </c>
      <c r="H87" t="b">
        <v>1</v>
      </c>
      <c r="I87" t="n">
        <v>650</v>
      </c>
      <c r="J87" t="n">
        <v>30.6923</v>
      </c>
      <c r="K87" t="inlineStr">
        <is>
          <t>&gt; Perfumería &gt; Cuidado Capilar &gt; Shampoo &gt;</t>
        </is>
      </c>
      <c r="L87" t="inlineStr">
        <is>
          <t>shampoo</t>
        </is>
      </c>
      <c r="M87" t="inlineStr">
        <is>
          <t>estandar</t>
        </is>
      </c>
      <c r="N87" t="inlineStr">
        <is>
          <t>general</t>
        </is>
      </c>
      <c r="O87" t="inlineStr">
        <is>
          <t>https://www.jumbo.com.ar/shampoo-antifall-650-ml-head-shoulders-2/p</t>
        </is>
      </c>
    </row>
    <row r="88">
      <c r="A88" s="2" t="inlineStr">
        <is>
          <t>Jumbo</t>
        </is>
      </c>
      <c r="B88" s="2" t="n">
        <v>409862</v>
      </c>
      <c r="C88" s="2" t="n">
        <v>405948</v>
      </c>
      <c r="D88" s="2" t="inlineStr">
        <is>
          <t>Shampoo Hidratación Intensa Esencia 970 Ml Plusbelle</t>
        </is>
      </c>
      <c r="E88" s="2" t="inlineStr">
        <is>
          <t>PLUSBELLE</t>
        </is>
      </c>
      <c r="F88" s="2" t="n">
        <v>6012</v>
      </c>
      <c r="G88" s="2" t="n">
        <v>496860</v>
      </c>
      <c r="H88" s="2" t="b">
        <v>1</v>
      </c>
      <c r="I88" s="2" t="n">
        <v>970</v>
      </c>
      <c r="J88" s="2" t="n">
        <v>6.1979</v>
      </c>
      <c r="K88" s="2" t="inlineStr">
        <is>
          <t>&gt; Perfumería &gt; Cuidado Capilar &gt; Shampoo &gt;</t>
        </is>
      </c>
      <c r="L88" s="2" t="inlineStr">
        <is>
          <t>shampoo</t>
        </is>
      </c>
      <c r="M88" s="2" t="inlineStr">
        <is>
          <t>estandar</t>
        </is>
      </c>
      <c r="N88" s="2" t="inlineStr">
        <is>
          <t>seco_danado</t>
        </is>
      </c>
      <c r="O88" s="2" t="inlineStr">
        <is>
          <t>https://www.jumbo.com.ar/shampoo-esencia-970-ml-plusbelle/p</t>
        </is>
      </c>
    </row>
    <row r="89">
      <c r="A89" t="inlineStr">
        <is>
          <t>Jumbo</t>
        </is>
      </c>
      <c r="B89" t="n">
        <v>3067725</v>
      </c>
      <c r="C89" t="n">
        <v>3067585</v>
      </c>
      <c r="D89" t="inlineStr">
        <is>
          <t>Shampoo Anticaída Biotinamina B3 300 Ml Pantene</t>
        </is>
      </c>
      <c r="E89" t="inlineStr">
        <is>
          <t>PANTENE</t>
        </is>
      </c>
      <c r="F89" t="n">
        <v>10250</v>
      </c>
      <c r="G89" t="n">
        <v>847107</v>
      </c>
      <c r="H89" t="b">
        <v>1</v>
      </c>
      <c r="I89" t="n">
        <v>300</v>
      </c>
      <c r="J89" t="n">
        <v>34.1667</v>
      </c>
      <c r="K89" t="inlineStr">
        <is>
          <t>&gt; Perfumería &gt; Cuidado Capilar &gt; Shampoo &gt;</t>
        </is>
      </c>
      <c r="L89" t="inlineStr">
        <is>
          <t>shampoo</t>
        </is>
      </c>
      <c r="M89" t="inlineStr">
        <is>
          <t>estandar</t>
        </is>
      </c>
      <c r="N89" t="inlineStr">
        <is>
          <t>general</t>
        </is>
      </c>
      <c r="O89" t="inlineStr">
        <is>
          <t>https://www.jumbo.com.ar/shampoo-anti-caida-300-ml-pantene/p</t>
        </is>
      </c>
    </row>
    <row r="90">
      <c r="A90" s="2" t="inlineStr">
        <is>
          <t>Jumbo</t>
        </is>
      </c>
      <c r="B90" s="2" t="n">
        <v>316338</v>
      </c>
      <c r="C90" s="2" t="n">
        <v>315572</v>
      </c>
      <c r="D90" s="2" t="inlineStr">
        <is>
          <t>Shampoo Pantene Pro-v Bambú 200 Ml</t>
        </is>
      </c>
      <c r="E90" s="2" t="inlineStr">
        <is>
          <t>PANTENE</t>
        </is>
      </c>
      <c r="F90" s="2" t="n">
        <v>6750</v>
      </c>
      <c r="G90" s="2" t="n">
        <v>557851</v>
      </c>
      <c r="H90" s="2" t="b">
        <v>1</v>
      </c>
      <c r="I90" s="2" t="n">
        <v>200</v>
      </c>
      <c r="J90" s="2" t="n">
        <v>33.75</v>
      </c>
      <c r="K90" s="2" t="inlineStr">
        <is>
          <t>&gt; Perfumería &gt; Cuidado Capilar &gt; Shampoo &gt;</t>
        </is>
      </c>
      <c r="L90" s="2" t="inlineStr">
        <is>
          <t>shampoo</t>
        </is>
      </c>
      <c r="M90" s="2" t="inlineStr">
        <is>
          <t>profesional</t>
        </is>
      </c>
      <c r="N90" s="2" t="inlineStr">
        <is>
          <t>general</t>
        </is>
      </c>
      <c r="O90" s="2" t="inlineStr">
        <is>
          <t>https://www.jumbo.com.ar/shampoo-pantene-pro-v-bambu-200-ml/p</t>
        </is>
      </c>
    </row>
    <row r="91">
      <c r="A91" t="inlineStr">
        <is>
          <t>Jumbo</t>
        </is>
      </c>
      <c r="B91" t="n">
        <v>3073302</v>
      </c>
      <c r="C91" t="n">
        <v>3072807</v>
      </c>
      <c r="D91" t="inlineStr">
        <is>
          <t>Shampoo Plasma Vegetal Regenerador 350 Ml Bagovit</t>
        </is>
      </c>
      <c r="E91" t="inlineStr">
        <is>
          <t>BAGOVIT</t>
        </is>
      </c>
      <c r="F91" t="n">
        <v>9800</v>
      </c>
      <c r="G91" t="n">
        <v>809917</v>
      </c>
      <c r="H91" t="b">
        <v>1</v>
      </c>
      <c r="I91" t="n">
        <v>350</v>
      </c>
      <c r="J91" t="n">
        <v>28</v>
      </c>
      <c r="K91" t="inlineStr">
        <is>
          <t>&gt; Perfumería &gt; Cuidado Capilar &gt; Shampoo &gt;</t>
        </is>
      </c>
      <c r="L91" t="inlineStr">
        <is>
          <t>shampoo</t>
        </is>
      </c>
      <c r="M91" t="inlineStr">
        <is>
          <t>estandar</t>
        </is>
      </c>
      <c r="N91" t="inlineStr">
        <is>
          <t>general</t>
        </is>
      </c>
      <c r="O91" t="inlineStr">
        <is>
          <t>https://www.jumbo.com.ar/shampoo-plasma-vegetal-regenerador-x-350-ml-bagovit/p</t>
        </is>
      </c>
    </row>
    <row r="92">
      <c r="A92" s="2" t="inlineStr">
        <is>
          <t>Jumbo</t>
        </is>
      </c>
      <c r="B92" s="2" t="n">
        <v>3071403</v>
      </c>
      <c r="C92" s="2" t="n">
        <v>3070957</v>
      </c>
      <c r="D92" s="2" t="inlineStr">
        <is>
          <t>Shampoo Control Caspa 415 Ml Tio Nacho</t>
        </is>
      </c>
      <c r="E92" s="2" t="inlineStr">
        <is>
          <t>Tio Nacho</t>
        </is>
      </c>
      <c r="F92" s="2" t="n">
        <v>11700</v>
      </c>
      <c r="G92" s="2" t="n">
        <v>966942</v>
      </c>
      <c r="H92" s="2" t="b">
        <v>1</v>
      </c>
      <c r="I92" s="2" t="n">
        <v>415</v>
      </c>
      <c r="J92" s="2" t="n">
        <v>28.1928</v>
      </c>
      <c r="K92" s="2" t="inlineStr">
        <is>
          <t>&gt; Perfumería &gt; Cuidado Capilar &gt; Shampoo &gt;</t>
        </is>
      </c>
      <c r="L92" s="2" t="inlineStr">
        <is>
          <t>shampoo</t>
        </is>
      </c>
      <c r="M92" s="2" t="inlineStr">
        <is>
          <t>estandar</t>
        </is>
      </c>
      <c r="N92" s="2" t="inlineStr">
        <is>
          <t>anticaspa</t>
        </is>
      </c>
      <c r="O92" s="2" t="inlineStr">
        <is>
          <t>https://www.jumbo.com.ar/shampoo-control-caspa-x-415-ml-tio-nacho-2/p</t>
        </is>
      </c>
    </row>
    <row r="93">
      <c r="A93" t="inlineStr">
        <is>
          <t>Jumbo</t>
        </is>
      </c>
      <c r="B93" t="n">
        <v>3067730</v>
      </c>
      <c r="C93" t="n">
        <v>3067590</v>
      </c>
      <c r="D93" t="inlineStr">
        <is>
          <t>Shampoo Nuhoney 650 Ml Head &amp; Shoulders</t>
        </is>
      </c>
      <c r="E93" t="inlineStr">
        <is>
          <t>HEAD &amp; SHOULDERS</t>
        </is>
      </c>
      <c r="F93" t="n">
        <v>19400</v>
      </c>
      <c r="G93" t="n">
        <v>1603306</v>
      </c>
      <c r="H93" t="b">
        <v>1</v>
      </c>
      <c r="I93" t="n">
        <v>650</v>
      </c>
      <c r="J93" t="n">
        <v>29.8462</v>
      </c>
      <c r="K93" t="inlineStr">
        <is>
          <t>&gt; Perfumería &gt; Cuidado Capilar &gt; Shampoo &gt;</t>
        </is>
      </c>
      <c r="L93" t="inlineStr">
        <is>
          <t>shampoo</t>
        </is>
      </c>
      <c r="M93" t="inlineStr">
        <is>
          <t>estandar</t>
        </is>
      </c>
      <c r="N93" t="inlineStr">
        <is>
          <t>general</t>
        </is>
      </c>
      <c r="O93" t="inlineStr">
        <is>
          <t>https://www.jumbo.com.ar/shampoo-nuhoney-650-ml-head-shoulders/p</t>
        </is>
      </c>
    </row>
    <row r="94">
      <c r="A94" s="2" t="inlineStr">
        <is>
          <t>Jumbo</t>
        </is>
      </c>
      <c r="B94" s="2" t="n">
        <v>414718</v>
      </c>
      <c r="C94" s="2" t="n">
        <v>410419</v>
      </c>
      <c r="D94" s="2" t="inlineStr">
        <is>
          <t>Shampoo Baby Hidratación Intensa 400 Ml Johnson's</t>
        </is>
      </c>
      <c r="E94" s="2" t="inlineStr">
        <is>
          <t>JOHNSON BABY</t>
        </is>
      </c>
      <c r="F94" s="2" t="n">
        <v>10500</v>
      </c>
      <c r="G94" s="2" t="n">
        <v>867769</v>
      </c>
      <c r="H94" s="2" t="b">
        <v>1</v>
      </c>
      <c r="I94" s="2" t="n">
        <v>400</v>
      </c>
      <c r="J94" s="2" t="n">
        <v>26.25</v>
      </c>
      <c r="K94" s="2" t="inlineStr">
        <is>
          <t>&gt; Mundo Bebe &gt; Higiene para el Bebe &gt; Higiene del Bebé &gt;</t>
        </is>
      </c>
      <c r="L94" s="2" t="inlineStr">
        <is>
          <t>shampoo</t>
        </is>
      </c>
      <c r="M94" s="2" t="inlineStr">
        <is>
          <t>estandar</t>
        </is>
      </c>
      <c r="N94" s="2" t="inlineStr">
        <is>
          <t>seco_danado</t>
        </is>
      </c>
      <c r="O94" s="2" t="inlineStr">
        <is>
          <t>https://www.jumbo.com.ar/shampoo-baby-hidratacion-intensa-400-ml-johnson-s/p</t>
        </is>
      </c>
    </row>
    <row r="95">
      <c r="A95" t="inlineStr">
        <is>
          <t>Jumbo</t>
        </is>
      </c>
      <c r="B95" t="n">
        <v>394837</v>
      </c>
      <c r="C95" t="n">
        <v>392836</v>
      </c>
      <c r="D95" t="inlineStr">
        <is>
          <t>Shampoo Hidrata y Fortalece 200 Ml Pantene</t>
        </is>
      </c>
      <c r="E95" t="inlineStr">
        <is>
          <t>PANTENE</t>
        </is>
      </c>
      <c r="F95" t="n">
        <v>6750</v>
      </c>
      <c r="G95" t="n">
        <v>557851</v>
      </c>
      <c r="H95" t="b">
        <v>1</v>
      </c>
      <c r="I95" t="n">
        <v>200</v>
      </c>
      <c r="J95" t="n">
        <v>33.75</v>
      </c>
      <c r="K95" t="inlineStr">
        <is>
          <t>&gt; Perfumería &gt; Cuidado Capilar &gt; Shampoo &gt;</t>
        </is>
      </c>
      <c r="L95" t="inlineStr">
        <is>
          <t>shampoo</t>
        </is>
      </c>
      <c r="M95" t="inlineStr">
        <is>
          <t>estandar</t>
        </is>
      </c>
      <c r="N95" t="inlineStr">
        <is>
          <t>seco_danado</t>
        </is>
      </c>
      <c r="O95" t="inlineStr">
        <is>
          <t>https://www.jumbo.com.ar/shampoo-pro-v-hidrata-y-fortalece-200-ml-pantene-2/p</t>
        </is>
      </c>
    </row>
    <row r="96">
      <c r="A96" s="2" t="inlineStr">
        <is>
          <t>Jumbo</t>
        </is>
      </c>
      <c r="B96" s="2" t="n">
        <v>413365</v>
      </c>
      <c r="C96" s="2" t="n">
        <v>409242</v>
      </c>
      <c r="D96" s="2" t="inlineStr">
        <is>
          <t>Shampoo Liso Efecto Botox 250 Ml Tresemmé</t>
        </is>
      </c>
      <c r="E96" s="2" t="inlineStr">
        <is>
          <t>TRESEMMÉ</t>
        </is>
      </c>
      <c r="F96" s="2" t="n">
        <v>6400</v>
      </c>
      <c r="G96" s="2" t="n">
        <v>528926</v>
      </c>
      <c r="H96" s="2" t="b">
        <v>1</v>
      </c>
      <c r="I96" s="2" t="n">
        <v>250</v>
      </c>
      <c r="J96" s="2" t="n">
        <v>25.6</v>
      </c>
      <c r="K96" s="2" t="inlineStr">
        <is>
          <t>&gt; Perfumería &gt; Cuidado Capilar &gt; Shampoo &gt;</t>
        </is>
      </c>
      <c r="L96" s="2" t="inlineStr">
        <is>
          <t>shampoo</t>
        </is>
      </c>
      <c r="M96" s="2" t="inlineStr">
        <is>
          <t>estandar</t>
        </is>
      </c>
      <c r="N96" s="2" t="inlineStr">
        <is>
          <t>general</t>
        </is>
      </c>
      <c r="O96" s="2" t="inlineStr">
        <is>
          <t>https://www.jumbo.com.ar/shampoo-tresemme-liso-efecto-botox-250-ml/p</t>
        </is>
      </c>
    </row>
    <row r="97">
      <c r="A97" t="inlineStr">
        <is>
          <t>Jumbo</t>
        </is>
      </c>
      <c r="B97" t="n">
        <v>407563</v>
      </c>
      <c r="C97" t="n">
        <v>403752</v>
      </c>
      <c r="D97" t="inlineStr">
        <is>
          <t>Shampoo Reparación Total 5 Keratin 750 Ml Elvive</t>
        </is>
      </c>
      <c r="E97" t="inlineStr">
        <is>
          <t>ELVIVE</t>
        </is>
      </c>
      <c r="F97" t="n">
        <v>19400</v>
      </c>
      <c r="G97" t="n">
        <v>1603306</v>
      </c>
      <c r="H97" t="b">
        <v>1</v>
      </c>
      <c r="I97" t="n">
        <v>750</v>
      </c>
      <c r="J97" t="n">
        <v>25.8667</v>
      </c>
      <c r="K97" t="inlineStr">
        <is>
          <t>&gt; Perfumería &gt; Cuidado Capilar &gt; Shampoo &gt;</t>
        </is>
      </c>
      <c r="L97" t="inlineStr">
        <is>
          <t>shampoo</t>
        </is>
      </c>
      <c r="M97" t="inlineStr">
        <is>
          <t>profesional</t>
        </is>
      </c>
      <c r="N97" t="inlineStr">
        <is>
          <t>general</t>
        </is>
      </c>
      <c r="O97" t="inlineStr">
        <is>
          <t>https://www.jumbo.com.ar/shampoo-elvive-reparacion-total-5-keratin-750-ml/p</t>
        </is>
      </c>
    </row>
    <row r="98">
      <c r="A98" s="2" t="inlineStr">
        <is>
          <t>Jumbo</t>
        </is>
      </c>
      <c r="B98" s="2" t="n">
        <v>407562</v>
      </c>
      <c r="C98" s="2" t="n">
        <v>403751</v>
      </c>
      <c r="D98" s="2" t="inlineStr">
        <is>
          <t>Shampoo Reparación Total 5 Keratin 400 Ml Elvive</t>
        </is>
      </c>
      <c r="E98" s="2" t="inlineStr">
        <is>
          <t>ELVIVE</t>
        </is>
      </c>
      <c r="F98" s="2" t="n">
        <v>11123</v>
      </c>
      <c r="G98" s="2" t="n">
        <v>919256</v>
      </c>
      <c r="H98" s="2" t="b">
        <v>1</v>
      </c>
      <c r="I98" s="2" t="n">
        <v>400</v>
      </c>
      <c r="J98" s="2" t="n">
        <v>27.8075</v>
      </c>
      <c r="K98" s="2" t="inlineStr">
        <is>
          <t>&gt; Perfumería &gt; Cuidado Capilar &gt; Shampoo &gt;</t>
        </is>
      </c>
      <c r="L98" s="2" t="inlineStr">
        <is>
          <t>shampoo</t>
        </is>
      </c>
      <c r="M98" s="2" t="inlineStr">
        <is>
          <t>profesional</t>
        </is>
      </c>
      <c r="N98" s="2" t="inlineStr">
        <is>
          <t>general</t>
        </is>
      </c>
      <c r="O98" s="2" t="inlineStr">
        <is>
          <t>https://www.jumbo.com.ar/shampoo-rt5-keratin-400-ml-elvive/p</t>
        </is>
      </c>
    </row>
    <row r="99">
      <c r="A99" t="inlineStr">
        <is>
          <t>Jumbo</t>
        </is>
      </c>
      <c r="B99" t="n">
        <v>3070160</v>
      </c>
      <c r="C99" t="n">
        <v>3069767</v>
      </c>
      <c r="D99" t="inlineStr">
        <is>
          <t>Shampoo Keratina Repara y Protege 510 Ml Pantene</t>
        </is>
      </c>
      <c r="E99" t="inlineStr">
        <is>
          <t>PANTENE</t>
        </is>
      </c>
      <c r="F99" t="n">
        <v>16750</v>
      </c>
      <c r="G99" t="n">
        <v>1384298</v>
      </c>
      <c r="H99" t="b">
        <v>1</v>
      </c>
      <c r="I99" t="n">
        <v>510</v>
      </c>
      <c r="J99" t="n">
        <v>32.8431</v>
      </c>
      <c r="K99" t="inlineStr">
        <is>
          <t>&gt; Perfumería &gt; Cuidado Capilar &gt; Shampoo &gt;</t>
        </is>
      </c>
      <c r="L99" t="inlineStr">
        <is>
          <t>shampoo</t>
        </is>
      </c>
      <c r="M99" t="inlineStr">
        <is>
          <t>estandar</t>
        </is>
      </c>
      <c r="N99" t="inlineStr">
        <is>
          <t>tratado</t>
        </is>
      </c>
      <c r="O99" t="inlineStr">
        <is>
          <t>https://www.jumbo.com.ar/shampoo-keratina-x-510-ml-pantene-2/p</t>
        </is>
      </c>
    </row>
    <row r="100">
      <c r="A100" s="2" t="inlineStr">
        <is>
          <t>Jumbo</t>
        </is>
      </c>
      <c r="B100" s="2" t="n">
        <v>1360447</v>
      </c>
      <c r="C100" s="2" t="n">
        <v>1360030</v>
      </c>
      <c r="D100" s="2" t="inlineStr">
        <is>
          <t>Shampoo Glycolic Gloss Brillo 72H 750 Ml Elvive</t>
        </is>
      </c>
      <c r="E100" s="2" t="inlineStr">
        <is>
          <t>ELVIVE</t>
        </is>
      </c>
      <c r="F100" s="2" t="n">
        <v>21350</v>
      </c>
      <c r="G100" s="2" t="n">
        <v>1764463</v>
      </c>
      <c r="H100" s="2" t="b">
        <v>1</v>
      </c>
      <c r="I100" s="2" t="n">
        <v>750</v>
      </c>
      <c r="J100" s="2" t="n">
        <v>28.4667</v>
      </c>
      <c r="K100" s="2" t="inlineStr">
        <is>
          <t>&gt; Perfumería &gt; Cuidado Capilar &gt; Shampoo &gt;</t>
        </is>
      </c>
      <c r="L100" s="2" t="inlineStr">
        <is>
          <t>shampoo</t>
        </is>
      </c>
      <c r="M100" s="2" t="inlineStr">
        <is>
          <t>profesional</t>
        </is>
      </c>
      <c r="N100" s="2" t="inlineStr">
        <is>
          <t>general</t>
        </is>
      </c>
      <c r="O100" s="2" t="inlineStr">
        <is>
          <t>https://www.jumbo.com.ar/shampoo-elvive-glyco-gloss-x-750-ml/p</t>
        </is>
      </c>
    </row>
    <row r="101">
      <c r="A101" t="inlineStr">
        <is>
          <t>Jumbo</t>
        </is>
      </c>
      <c r="B101" t="n">
        <v>3071026</v>
      </c>
      <c r="C101" t="n">
        <v>3070599</v>
      </c>
      <c r="D101" t="inlineStr">
        <is>
          <t>Shampoo Dream Liso Anti Frizz 200 Ml Elvive</t>
        </is>
      </c>
      <c r="E101" t="inlineStr">
        <is>
          <t>ELVIVE</t>
        </is>
      </c>
      <c r="F101" t="n">
        <v>8050</v>
      </c>
      <c r="G101" t="n">
        <v>665289</v>
      </c>
      <c r="H101" t="b">
        <v>1</v>
      </c>
      <c r="I101" t="n">
        <v>200</v>
      </c>
      <c r="J101" t="n">
        <v>40.25</v>
      </c>
      <c r="K101" t="inlineStr">
        <is>
          <t>&gt; Perfumería &gt; Cuidado Capilar &gt; Shampoo &gt;</t>
        </is>
      </c>
      <c r="L101" t="inlineStr">
        <is>
          <t>shampoo</t>
        </is>
      </c>
      <c r="M101" t="inlineStr">
        <is>
          <t>profesional</t>
        </is>
      </c>
      <c r="N101" t="inlineStr">
        <is>
          <t>general</t>
        </is>
      </c>
      <c r="O101" t="inlineStr">
        <is>
          <t>https://www.jumbo.com.ar/shampoo-dream-liso-x-200-ml-elvive/p</t>
        </is>
      </c>
    </row>
    <row r="102">
      <c r="A102" s="2" t="inlineStr">
        <is>
          <t>Jumbo</t>
        </is>
      </c>
      <c r="B102" s="2" t="n">
        <v>3070156</v>
      </c>
      <c r="C102" s="2" t="n">
        <v>3069762</v>
      </c>
      <c r="D102" s="2" t="inlineStr">
        <is>
          <t>Shampoo Colágeno Nutre y Revitaliza 300 Ml Pantene</t>
        </is>
      </c>
      <c r="E102" s="2" t="inlineStr">
        <is>
          <t>PANTENE</t>
        </is>
      </c>
      <c r="F102" s="2" t="n">
        <v>10250</v>
      </c>
      <c r="G102" s="2" t="n">
        <v>847107</v>
      </c>
      <c r="H102" s="2" t="b">
        <v>1</v>
      </c>
      <c r="I102" s="2" t="n">
        <v>300</v>
      </c>
      <c r="J102" s="2" t="n">
        <v>34.1667</v>
      </c>
      <c r="K102" s="2" t="inlineStr">
        <is>
          <t>&gt; Perfumería &gt; Cuidado Capilar &gt; Shampoo &gt;</t>
        </is>
      </c>
      <c r="L102" s="2" t="inlineStr">
        <is>
          <t>shampoo</t>
        </is>
      </c>
      <c r="M102" s="2" t="inlineStr">
        <is>
          <t>estandar</t>
        </is>
      </c>
      <c r="N102" s="2" t="inlineStr">
        <is>
          <t>general</t>
        </is>
      </c>
      <c r="O102" s="2" t="inlineStr">
        <is>
          <t>https://www.jumbo.com.ar/shampoo-colageno-x-300-ml-pantene-2/p</t>
        </is>
      </c>
    </row>
    <row r="103">
      <c r="A103" t="inlineStr">
        <is>
          <t>Jumbo</t>
        </is>
      </c>
      <c r="B103" t="n">
        <v>410403</v>
      </c>
      <c r="C103" t="n">
        <v>406409</v>
      </c>
      <c r="D103" t="inlineStr">
        <is>
          <t>Shampoo Herbolaria Milenaria Doypack 400 Ml Tio Nacho</t>
        </is>
      </c>
      <c r="E103" t="inlineStr">
        <is>
          <t>Tio Nacho</t>
        </is>
      </c>
      <c r="F103" t="n">
        <v>8100</v>
      </c>
      <c r="G103" t="n">
        <v>669421</v>
      </c>
      <c r="H103" t="b">
        <v>1</v>
      </c>
      <c r="I103" t="n">
        <v>400</v>
      </c>
      <c r="J103" t="n">
        <v>20.25</v>
      </c>
      <c r="K103" t="inlineStr">
        <is>
          <t>&gt; Perfumería &gt; Cuidado Capilar &gt; Shampoo &gt;</t>
        </is>
      </c>
      <c r="L103" t="inlineStr">
        <is>
          <t>tratamiento</t>
        </is>
      </c>
      <c r="M103" t="inlineStr">
        <is>
          <t>estandar</t>
        </is>
      </c>
      <c r="N103" t="inlineStr">
        <is>
          <t>general</t>
        </is>
      </c>
      <c r="O103" t="inlineStr">
        <is>
          <t>https://www.jumbo.com.ar/shampoo-herbolaria-milenaria-doypack-400-ml-tio-nacho/p</t>
        </is>
      </c>
    </row>
    <row r="104">
      <c r="A104" s="2" t="inlineStr">
        <is>
          <t>Jumbo</t>
        </is>
      </c>
      <c r="B104" s="2" t="n">
        <v>1360449</v>
      </c>
      <c r="C104" s="2" t="n">
        <v>1360032</v>
      </c>
      <c r="D104" s="2" t="inlineStr">
        <is>
          <t>Shampoo Glyco Gloss Brillo 72h 200 Ml Elvive</t>
        </is>
      </c>
      <c r="E104" s="2" t="inlineStr">
        <is>
          <t>ELVIVE</t>
        </is>
      </c>
      <c r="F104" s="2" t="n">
        <v>8050</v>
      </c>
      <c r="G104" s="2" t="n">
        <v>665289</v>
      </c>
      <c r="H104" s="2" t="b">
        <v>1</v>
      </c>
      <c r="I104" s="2" t="n">
        <v>200</v>
      </c>
      <c r="J104" s="2" t="n">
        <v>40.25</v>
      </c>
      <c r="K104" s="2" t="inlineStr">
        <is>
          <t>&gt; Perfumería &gt; Cuidado Capilar &gt; Shampoo &gt;</t>
        </is>
      </c>
      <c r="L104" s="2" t="inlineStr">
        <is>
          <t>shampoo</t>
        </is>
      </c>
      <c r="M104" s="2" t="inlineStr">
        <is>
          <t>profesional</t>
        </is>
      </c>
      <c r="N104" s="2" t="inlineStr">
        <is>
          <t>general</t>
        </is>
      </c>
      <c r="O104" s="2" t="inlineStr">
        <is>
          <t>https://www.jumbo.com.ar/shampoo-elvive-glyco-gloss-200-ml/p</t>
        </is>
      </c>
    </row>
    <row r="105">
      <c r="A105" t="inlineStr">
        <is>
          <t>Jumbo</t>
        </is>
      </c>
      <c r="B105" t="n">
        <v>3073297</v>
      </c>
      <c r="C105" t="n">
        <v>3072802</v>
      </c>
      <c r="D105" t="inlineStr">
        <is>
          <t>Shampoo Pelo Largo y Sin Frizz 350 Ml Bagovit</t>
        </is>
      </c>
      <c r="E105" t="inlineStr">
        <is>
          <t>BAGOVIT</t>
        </is>
      </c>
      <c r="F105" t="n">
        <v>9800</v>
      </c>
      <c r="G105" t="n">
        <v>809917</v>
      </c>
      <c r="H105" t="b">
        <v>1</v>
      </c>
      <c r="I105" t="n">
        <v>350</v>
      </c>
      <c r="J105" t="n">
        <v>28</v>
      </c>
      <c r="K105" t="inlineStr">
        <is>
          <t>&gt; Perfumería &gt; Cuidado Capilar &gt; Shampoo &gt;</t>
        </is>
      </c>
      <c r="L105" t="inlineStr">
        <is>
          <t>shampoo</t>
        </is>
      </c>
      <c r="M105" t="inlineStr">
        <is>
          <t>estandar</t>
        </is>
      </c>
      <c r="N105" t="inlineStr">
        <is>
          <t>general</t>
        </is>
      </c>
      <c r="O105" t="inlineStr">
        <is>
          <t>https://www.jumbo.com.ar/shampoo-pelo-largo-y-sin-frizz-x-350-ml-bagovit/p</t>
        </is>
      </c>
    </row>
    <row r="106">
      <c r="A106" s="2" t="inlineStr">
        <is>
          <t>Jumbo</t>
        </is>
      </c>
      <c r="B106" s="2" t="n">
        <v>19371</v>
      </c>
      <c r="C106" s="2" t="n">
        <v>16579</v>
      </c>
      <c r="D106" s="2" t="inlineStr">
        <is>
          <t>Shampoo para Auto Siliconado Concentrado 1 Lts Revigal</t>
        </is>
      </c>
      <c r="E106" s="2" t="inlineStr">
        <is>
          <t>REVIGAL</t>
        </is>
      </c>
      <c r="F106" s="2" t="n">
        <v>12749</v>
      </c>
      <c r="G106" s="2" t="n">
        <v>1053636</v>
      </c>
      <c r="H106" s="2" t="b">
        <v>1</v>
      </c>
      <c r="I106" s="2" t="inlineStr"/>
      <c r="J106" s="2" t="inlineStr"/>
      <c r="K106" s="2" t="inlineStr">
        <is>
          <t>&gt; Hogar y textil &gt; Automotor &gt; Limpieza &gt;</t>
        </is>
      </c>
      <c r="L106" s="2" t="inlineStr">
        <is>
          <t>shampoo</t>
        </is>
      </c>
      <c r="M106" s="2" t="inlineStr">
        <is>
          <t>estandar</t>
        </is>
      </c>
      <c r="N106" s="2" t="inlineStr">
        <is>
          <t>general</t>
        </is>
      </c>
      <c r="O106" s="2" t="inlineStr">
        <is>
          <t>https://www.jumbo.com.ar/lavacoche-siliconado-concentrado-x-1-l-revigal/p</t>
        </is>
      </c>
    </row>
    <row r="107">
      <c r="A107" t="inlineStr">
        <is>
          <t>Jumbo</t>
        </is>
      </c>
      <c r="B107" t="n">
        <v>3071027</v>
      </c>
      <c r="C107" t="n">
        <v>3070597</v>
      </c>
      <c r="D107" t="inlineStr">
        <is>
          <t>Shampoo Dream Liso Efecto Keratina 400 Ml Elvive</t>
        </is>
      </c>
      <c r="E107" t="inlineStr">
        <is>
          <t>ELVIVE</t>
        </is>
      </c>
      <c r="F107" t="n">
        <v>13350</v>
      </c>
      <c r="G107" t="n">
        <v>1103306</v>
      </c>
      <c r="H107" t="b">
        <v>1</v>
      </c>
      <c r="I107" t="n">
        <v>400</v>
      </c>
      <c r="J107" t="n">
        <v>33.375</v>
      </c>
      <c r="K107" t="inlineStr">
        <is>
          <t>&gt; Perfumería &gt; Cuidado Capilar &gt; Shampoo &gt;</t>
        </is>
      </c>
      <c r="L107" t="inlineStr">
        <is>
          <t>shampoo</t>
        </is>
      </c>
      <c r="M107" t="inlineStr">
        <is>
          <t>profesional</t>
        </is>
      </c>
      <c r="N107" t="inlineStr">
        <is>
          <t>tratado</t>
        </is>
      </c>
      <c r="O107" t="inlineStr">
        <is>
          <t>https://www.jumbo.com.ar/shampoo-dream-liso-x-400-ml-elvive/p</t>
        </is>
      </c>
    </row>
    <row r="108">
      <c r="A108" s="2" t="inlineStr">
        <is>
          <t>Jumbo</t>
        </is>
      </c>
      <c r="B108" s="2" t="n">
        <v>3071025</v>
      </c>
      <c r="C108" s="2" t="n">
        <v>3070596</v>
      </c>
      <c r="D108" s="2" t="inlineStr">
        <is>
          <t>Shampoo Dream Liso Efecto Keratina 750 Ml Elvive</t>
        </is>
      </c>
      <c r="E108" s="2" t="inlineStr">
        <is>
          <t>ELVIVE</t>
        </is>
      </c>
      <c r="F108" s="2" t="n">
        <v>21050</v>
      </c>
      <c r="G108" s="2" t="n">
        <v>1739669</v>
      </c>
      <c r="H108" s="2" t="b">
        <v>1</v>
      </c>
      <c r="I108" s="2" t="n">
        <v>750</v>
      </c>
      <c r="J108" s="2" t="n">
        <v>28.0667</v>
      </c>
      <c r="K108" s="2" t="inlineStr">
        <is>
          <t>&gt; Perfumería &gt; Cuidado Capilar &gt; Shampoo &gt;</t>
        </is>
      </c>
      <c r="L108" s="2" t="inlineStr">
        <is>
          <t>shampoo</t>
        </is>
      </c>
      <c r="M108" s="2" t="inlineStr">
        <is>
          <t>profesional</t>
        </is>
      </c>
      <c r="N108" s="2" t="inlineStr">
        <is>
          <t>tratado</t>
        </is>
      </c>
      <c r="O108" s="2" t="inlineStr">
        <is>
          <t>https://www.jumbo.com.ar/shampoo-dream-liso-x-750-ml-elvive/p</t>
        </is>
      </c>
    </row>
    <row r="109">
      <c r="A109" t="inlineStr">
        <is>
          <t>Jumbo</t>
        </is>
      </c>
      <c r="B109" t="n">
        <v>1360446</v>
      </c>
      <c r="C109" t="n">
        <v>1360029</v>
      </c>
      <c r="D109" t="inlineStr">
        <is>
          <t>Shampoo Glycolic Gloss Brillo 72H 400 Ml Elvive</t>
        </is>
      </c>
      <c r="E109" t="inlineStr">
        <is>
          <t>ELVIVE</t>
        </is>
      </c>
      <c r="F109" t="n">
        <v>13350</v>
      </c>
      <c r="G109" t="n">
        <v>1103306</v>
      </c>
      <c r="H109" t="b">
        <v>1</v>
      </c>
      <c r="I109" t="n">
        <v>400</v>
      </c>
      <c r="J109" t="n">
        <v>33.375</v>
      </c>
      <c r="K109" t="inlineStr">
        <is>
          <t>&gt; Perfumería &gt; Cuidado Capilar &gt; Shampoo &gt;</t>
        </is>
      </c>
      <c r="L109" t="inlineStr">
        <is>
          <t>shampoo</t>
        </is>
      </c>
      <c r="M109" t="inlineStr">
        <is>
          <t>profesional</t>
        </is>
      </c>
      <c r="N109" t="inlineStr">
        <is>
          <t>general</t>
        </is>
      </c>
      <c r="O109" t="inlineStr">
        <is>
          <t>https://www.jumbo.com.ar/shampoo-elvive-glyco-gloss-x-400-ml/p</t>
        </is>
      </c>
    </row>
    <row r="110">
      <c r="A110" s="2" t="inlineStr">
        <is>
          <t>Jumbo</t>
        </is>
      </c>
      <c r="B110" s="2" t="n">
        <v>3086635</v>
      </c>
      <c r="C110" s="2" t="n">
        <v>3085859</v>
      </c>
      <c r="D110" s="2" t="inlineStr">
        <is>
          <t>Shampoo Goodbye Daños Oil Control 350 Ml Fructis Shampoo Fructis Oil Control 350ml</t>
        </is>
      </c>
      <c r="E110" s="2" t="inlineStr">
        <is>
          <t>FRUCTIS</t>
        </is>
      </c>
      <c r="F110" s="2" t="n">
        <v>8400</v>
      </c>
      <c r="G110" s="2" t="n">
        <v>694215</v>
      </c>
      <c r="H110" s="2" t="b">
        <v>1</v>
      </c>
      <c r="I110" s="2" t="n">
        <v>350</v>
      </c>
      <c r="J110" s="2" t="n">
        <v>24</v>
      </c>
      <c r="K110" s="2" t="inlineStr">
        <is>
          <t>&gt; Perfumería &gt; Cuidado Capilar &gt; Shampoo &gt;</t>
        </is>
      </c>
      <c r="L110" s="2" t="inlineStr">
        <is>
          <t>shampoo</t>
        </is>
      </c>
      <c r="M110" s="2" t="inlineStr">
        <is>
          <t>estandar</t>
        </is>
      </c>
      <c r="N110" s="2" t="inlineStr">
        <is>
          <t>general</t>
        </is>
      </c>
      <c r="O110" s="2" t="inlineStr">
        <is>
          <t>https://www.jumbo.com.ar/shampoo-fructis-oil-control-350ml/p</t>
        </is>
      </c>
    </row>
    <row r="111">
      <c r="A111" t="inlineStr">
        <is>
          <t>Jumbo</t>
        </is>
      </c>
      <c r="B111" t="n">
        <v>3069754</v>
      </c>
      <c r="C111" t="n">
        <v>3069359</v>
      </c>
      <c r="D111" t="inlineStr">
        <is>
          <t>Shampoo Colágeno Nutre y Revitaliza 510 Ml Pantene</t>
        </is>
      </c>
      <c r="E111" t="inlineStr">
        <is>
          <t>PANTENE</t>
        </is>
      </c>
      <c r="F111" t="n">
        <v>16450</v>
      </c>
      <c r="G111" t="n">
        <v>1359504</v>
      </c>
      <c r="H111" t="b">
        <v>1</v>
      </c>
      <c r="I111" t="n">
        <v>510</v>
      </c>
      <c r="J111" t="n">
        <v>32.2549</v>
      </c>
      <c r="K111" t="inlineStr">
        <is>
          <t>&gt; Perfumería &gt; Cuidado Capilar &gt; Shampoo &gt;</t>
        </is>
      </c>
      <c r="L111" t="inlineStr">
        <is>
          <t>shampoo</t>
        </is>
      </c>
      <c r="M111" t="inlineStr">
        <is>
          <t>estandar</t>
        </is>
      </c>
      <c r="N111" t="inlineStr">
        <is>
          <t>general</t>
        </is>
      </c>
      <c r="O111" t="inlineStr">
        <is>
          <t>https://www.jumbo.com.ar/shampoo-colageno-x-510-ml-pantene-2/p</t>
        </is>
      </c>
    </row>
    <row r="112">
      <c r="A112" s="2" t="inlineStr">
        <is>
          <t>Jumbo</t>
        </is>
      </c>
      <c r="B112" s="2" t="n">
        <v>400519</v>
      </c>
      <c r="C112" s="2" t="n">
        <v>397857</v>
      </c>
      <c r="D112" s="2" t="inlineStr">
        <is>
          <t>Shampoo Colorvive para Cabello Teñido 750 Ml Elvive</t>
        </is>
      </c>
      <c r="E112" s="2" t="inlineStr">
        <is>
          <t>ELVIVE</t>
        </is>
      </c>
      <c r="F112" s="2" t="n">
        <v>19400</v>
      </c>
      <c r="G112" s="2" t="n">
        <v>1603306</v>
      </c>
      <c r="H112" s="2" t="b">
        <v>1</v>
      </c>
      <c r="I112" s="2" t="n">
        <v>750</v>
      </c>
      <c r="J112" s="2" t="n">
        <v>25.8667</v>
      </c>
      <c r="K112" s="2" t="inlineStr">
        <is>
          <t>&gt; Perfumería &gt; Cuidado Capilar &gt; Shampoo &gt;</t>
        </is>
      </c>
      <c r="L112" s="2" t="inlineStr">
        <is>
          <t>shampoo</t>
        </is>
      </c>
      <c r="M112" s="2" t="inlineStr">
        <is>
          <t>profesional</t>
        </is>
      </c>
      <c r="N112" s="2" t="inlineStr">
        <is>
          <t>tratado</t>
        </is>
      </c>
      <c r="O112" s="2" t="inlineStr">
        <is>
          <t>https://www.jumbo.com.ar/shampoo-elvive-colorvive-750-ml/p</t>
        </is>
      </c>
    </row>
    <row r="113">
      <c r="A113" t="inlineStr">
        <is>
          <t>Jumbo</t>
        </is>
      </c>
      <c r="B113" t="n">
        <v>3070176</v>
      </c>
      <c r="C113" t="n">
        <v>3069776</v>
      </c>
      <c r="D113" t="inlineStr">
        <is>
          <t>Shampoo Keratina Repara y Protege 300 Ml Pantene</t>
        </is>
      </c>
      <c r="E113" t="inlineStr">
        <is>
          <t>PANTENE</t>
        </is>
      </c>
      <c r="F113" t="n">
        <v>10250</v>
      </c>
      <c r="G113" t="n">
        <v>847107</v>
      </c>
      <c r="H113" t="b">
        <v>1</v>
      </c>
      <c r="I113" t="n">
        <v>300</v>
      </c>
      <c r="J113" t="n">
        <v>34.1667</v>
      </c>
      <c r="K113" t="inlineStr">
        <is>
          <t>&gt; Perfumería &gt; Cuidado Capilar &gt; Shampoo &gt;</t>
        </is>
      </c>
      <c r="L113" t="inlineStr">
        <is>
          <t>shampoo</t>
        </is>
      </c>
      <c r="M113" t="inlineStr">
        <is>
          <t>estandar</t>
        </is>
      </c>
      <c r="N113" t="inlineStr">
        <is>
          <t>tratado</t>
        </is>
      </c>
      <c r="O113" t="inlineStr">
        <is>
          <t>https://www.jumbo.com.ar/shampoo-keratina-x-300-ml-pantene-2/p</t>
        </is>
      </c>
    </row>
    <row r="114">
      <c r="A114" s="2" t="inlineStr">
        <is>
          <t>Jumbo</t>
        </is>
      </c>
      <c r="B114" s="2" t="n">
        <v>3070168</v>
      </c>
      <c r="C114" s="2" t="n">
        <v>3069761</v>
      </c>
      <c r="D114" s="2" t="inlineStr">
        <is>
          <t>Shampoo Pro-V Miracles Revitalización 700 Ml Pantene</t>
        </is>
      </c>
      <c r="E114" s="2" t="inlineStr">
        <is>
          <t>PANTENE</t>
        </is>
      </c>
      <c r="F114" s="2" t="n">
        <v>17600</v>
      </c>
      <c r="G114" s="2" t="n">
        <v>1454545</v>
      </c>
      <c r="H114" s="2" t="b">
        <v>1</v>
      </c>
      <c r="I114" s="2" t="n">
        <v>700</v>
      </c>
      <c r="J114" s="2" t="n">
        <v>25.1429</v>
      </c>
      <c r="K114" s="2" t="inlineStr">
        <is>
          <t>&gt; Perfumería &gt; Cuidado Capilar &gt; Shampoo &gt;</t>
        </is>
      </c>
      <c r="L114" s="2" t="inlineStr">
        <is>
          <t>shampoo</t>
        </is>
      </c>
      <c r="M114" s="2" t="inlineStr">
        <is>
          <t>profesional</t>
        </is>
      </c>
      <c r="N114" s="2" t="inlineStr">
        <is>
          <t>general</t>
        </is>
      </c>
      <c r="O114" s="2" t="inlineStr">
        <is>
          <t>https://www.jumbo.com.ar/shampoo-pro-v-miracles-revitalizacion-x-700-ml-pantene/p</t>
        </is>
      </c>
    </row>
    <row r="115">
      <c r="A115" t="inlineStr">
        <is>
          <t>Jumbo</t>
        </is>
      </c>
      <c r="B115" t="n">
        <v>424298</v>
      </c>
      <c r="C115" t="n">
        <v>417178</v>
      </c>
      <c r="D115" t="inlineStr">
        <is>
          <t>Shampoo Nutrición Intensa Óleo de Argán 700 Ml Plusbelle</t>
        </is>
      </c>
      <c r="E115" t="inlineStr">
        <is>
          <t>PLUSBELLE</t>
        </is>
      </c>
      <c r="F115" t="n">
        <v>5550</v>
      </c>
      <c r="G115" t="n">
        <v>458678</v>
      </c>
      <c r="H115" t="b">
        <v>1</v>
      </c>
      <c r="I115" t="n">
        <v>700</v>
      </c>
      <c r="J115" t="n">
        <v>7.9286</v>
      </c>
      <c r="K115" t="inlineStr">
        <is>
          <t>&gt; Perfumería &gt; Cuidado Capilar &gt; Shampoo &gt;</t>
        </is>
      </c>
      <c r="L115" t="inlineStr">
        <is>
          <t>shampoo</t>
        </is>
      </c>
      <c r="M115" t="inlineStr">
        <is>
          <t>estandar</t>
        </is>
      </c>
      <c r="N115" t="inlineStr">
        <is>
          <t>general</t>
        </is>
      </c>
      <c r="O115" t="inlineStr">
        <is>
          <t>https://www.jumbo.com.ar/shampoo-plusbelle-esen-oleo-nut-argan-700-ml/p</t>
        </is>
      </c>
    </row>
    <row r="116">
      <c r="A116" s="2" t="inlineStr">
        <is>
          <t>Jumbo</t>
        </is>
      </c>
      <c r="B116" s="2" t="n">
        <v>420581</v>
      </c>
      <c r="C116" s="2" t="n">
        <v>414934</v>
      </c>
      <c r="D116" s="2" t="inlineStr">
        <is>
          <t>Shampoo Anticanas Henna Egipcia 415 Ml Tio Nacho</t>
        </is>
      </c>
      <c r="E116" s="2" t="inlineStr">
        <is>
          <t>Tio Nacho</t>
        </is>
      </c>
      <c r="F116" s="2" t="n">
        <v>11700</v>
      </c>
      <c r="G116" s="2" t="n">
        <v>966942</v>
      </c>
      <c r="H116" s="2" t="b">
        <v>1</v>
      </c>
      <c r="I116" s="2" t="n">
        <v>415</v>
      </c>
      <c r="J116" s="2" t="n">
        <v>28.1928</v>
      </c>
      <c r="K116" s="2" t="inlineStr">
        <is>
          <t>&gt; Perfumería &gt; Cuidado Capilar &gt; Shampoo &gt;</t>
        </is>
      </c>
      <c r="L116" s="2" t="inlineStr">
        <is>
          <t>shampoo</t>
        </is>
      </c>
      <c r="M116" s="2" t="inlineStr">
        <is>
          <t>estandar</t>
        </is>
      </c>
      <c r="N116" s="2" t="inlineStr">
        <is>
          <t>general</t>
        </is>
      </c>
      <c r="O116" s="2" t="inlineStr">
        <is>
          <t>https://www.jumbo.com.ar/shampoo-henna-egipcia-efecto-anti-canas-415-ml-tio-nacho/p</t>
        </is>
      </c>
    </row>
    <row r="117">
      <c r="A117" t="inlineStr">
        <is>
          <t>Jumbo</t>
        </is>
      </c>
      <c r="B117" t="n">
        <v>410401</v>
      </c>
      <c r="C117" t="n">
        <v>406407</v>
      </c>
      <c r="D117" t="inlineStr">
        <is>
          <t>Shampoo Engrosador Anti-caída 400 Ml Tio Nacho</t>
        </is>
      </c>
      <c r="E117" t="inlineStr">
        <is>
          <t>Tio Nacho</t>
        </is>
      </c>
      <c r="F117" t="n">
        <v>8100</v>
      </c>
      <c r="G117" t="n">
        <v>669421</v>
      </c>
      <c r="H117" t="b">
        <v>1</v>
      </c>
      <c r="I117" t="n">
        <v>400</v>
      </c>
      <c r="J117" t="n">
        <v>20.25</v>
      </c>
      <c r="K117" t="inlineStr">
        <is>
          <t>&gt; Perfumería &gt; Cuidado Capilar &gt; Shampoo &gt;</t>
        </is>
      </c>
      <c r="L117" t="inlineStr">
        <is>
          <t>shampoo</t>
        </is>
      </c>
      <c r="M117" t="inlineStr">
        <is>
          <t>estandar</t>
        </is>
      </c>
      <c r="N117" t="inlineStr">
        <is>
          <t>general</t>
        </is>
      </c>
      <c r="O117" t="inlineStr">
        <is>
          <t>https://www.jumbo.com.ar/shampoo-engrosador-doypack-400-ml-tio-nacho/p</t>
        </is>
      </c>
    </row>
    <row r="118">
      <c r="A118" s="2" t="inlineStr">
        <is>
          <t>Jumbo</t>
        </is>
      </c>
      <c r="B118" s="2" t="n">
        <v>3086924</v>
      </c>
      <c r="C118" s="2" t="n">
        <v>3086148</v>
      </c>
      <c r="D118" s="2" t="inlineStr">
        <is>
          <t>Shampoo Tío Nacho Herbolaria Milenaria V2 415 Ml</t>
        </is>
      </c>
      <c r="E118" s="2" t="inlineStr">
        <is>
          <t>SUAVE</t>
        </is>
      </c>
      <c r="F118" s="2" t="n">
        <v>11100</v>
      </c>
      <c r="G118" s="2" t="n">
        <v>917355</v>
      </c>
      <c r="H118" s="2" t="b">
        <v>1</v>
      </c>
      <c r="I118" s="2" t="n">
        <v>415</v>
      </c>
      <c r="J118" s="2" t="n">
        <v>26.747</v>
      </c>
      <c r="K118" s="2" t="inlineStr">
        <is>
          <t>&gt; Perfumería &gt; Cuidado Capilar &gt; Shampoo &gt;</t>
        </is>
      </c>
      <c r="L118" s="2" t="inlineStr">
        <is>
          <t>shampoo</t>
        </is>
      </c>
      <c r="M118" s="2" t="inlineStr">
        <is>
          <t>estandar</t>
        </is>
      </c>
      <c r="N118" s="2" t="inlineStr">
        <is>
          <t>general</t>
        </is>
      </c>
      <c r="O118" s="2" t="inlineStr">
        <is>
          <t>https://www.jumbo.com.ar/shampoo-tio-nacho-herbolaria-milenaria-v2-415-ml-2/p</t>
        </is>
      </c>
    </row>
    <row r="119">
      <c r="A119" t="inlineStr">
        <is>
          <t>Jumbo</t>
        </is>
      </c>
      <c r="B119" t="n">
        <v>3078386</v>
      </c>
      <c r="C119" t="n">
        <v>3077730</v>
      </c>
      <c r="D119" t="inlineStr">
        <is>
          <t>Shampoo UV Repair y Glow 200 Ml Dove</t>
        </is>
      </c>
      <c r="E119" t="inlineStr">
        <is>
          <t>DOVE</t>
        </is>
      </c>
      <c r="F119" t="n">
        <v>6750</v>
      </c>
      <c r="G119" t="n">
        <v>557851</v>
      </c>
      <c r="H119" t="b">
        <v>1</v>
      </c>
      <c r="I119" t="n">
        <v>200</v>
      </c>
      <c r="J119" t="n">
        <v>33.75</v>
      </c>
      <c r="K119" t="inlineStr">
        <is>
          <t>&gt; Perfumería &gt; Cuidado Capilar &gt; Shampoo &gt;</t>
        </is>
      </c>
      <c r="L119" t="inlineStr">
        <is>
          <t>shampoo</t>
        </is>
      </c>
      <c r="M119" t="inlineStr">
        <is>
          <t>profesional</t>
        </is>
      </c>
      <c r="N119" t="inlineStr">
        <is>
          <t>general</t>
        </is>
      </c>
      <c r="O119" t="inlineStr">
        <is>
          <t>https://www.jumbo.com.ar/shampoo-dove-bond-uv-repair-200ml/p</t>
        </is>
      </c>
    </row>
    <row r="120">
      <c r="A120" s="2" t="inlineStr">
        <is>
          <t>Jumbo</t>
        </is>
      </c>
      <c r="B120" s="2" t="n">
        <v>1362514</v>
      </c>
      <c r="C120" s="2" t="n">
        <v>1361762</v>
      </c>
      <c r="D120" s="2" t="inlineStr">
        <is>
          <t>Shampoo Elvive Reparación Total 5 Keratin 200 Ml</t>
        </is>
      </c>
      <c r="E120" s="2" t="inlineStr">
        <is>
          <t>ELVIVE</t>
        </is>
      </c>
      <c r="F120" s="2" t="n">
        <v>7550</v>
      </c>
      <c r="G120" s="2" t="n">
        <v>623967</v>
      </c>
      <c r="H120" s="2" t="b">
        <v>1</v>
      </c>
      <c r="I120" s="2" t="n">
        <v>200</v>
      </c>
      <c r="J120" s="2" t="n">
        <v>37.75</v>
      </c>
      <c r="K120" s="2" t="inlineStr">
        <is>
          <t>&gt; Perfumería &gt; Cuidado Capilar &gt; Shampoo &gt;</t>
        </is>
      </c>
      <c r="L120" s="2" t="inlineStr">
        <is>
          <t>shampoo</t>
        </is>
      </c>
      <c r="M120" s="2" t="inlineStr">
        <is>
          <t>profesional</t>
        </is>
      </c>
      <c r="N120" s="2" t="inlineStr">
        <is>
          <t>general</t>
        </is>
      </c>
      <c r="O120" s="2" t="inlineStr">
        <is>
          <t>https://www.jumbo.com.ar/shampoo-elvive-reparacion-total-5-keratin-200-ml/p</t>
        </is>
      </c>
    </row>
    <row r="121">
      <c r="A121" t="inlineStr">
        <is>
          <t>Jumbo</t>
        </is>
      </c>
      <c r="B121" t="n">
        <v>407567</v>
      </c>
      <c r="C121" t="n">
        <v>403756</v>
      </c>
      <c r="D121" t="inlineStr">
        <is>
          <t>Shampoo Reparación Total 5 Extreme 750 Ml Elvive</t>
        </is>
      </c>
      <c r="E121" t="inlineStr">
        <is>
          <t>ELVIVE</t>
        </is>
      </c>
      <c r="F121" t="n">
        <v>19400</v>
      </c>
      <c r="G121" t="n">
        <v>1603306</v>
      </c>
      <c r="H121" t="b">
        <v>1</v>
      </c>
      <c r="I121" t="n">
        <v>750</v>
      </c>
      <c r="J121" t="n">
        <v>25.8667</v>
      </c>
      <c r="K121" t="inlineStr">
        <is>
          <t>&gt; Perfumería &gt; Cuidado Capilar &gt; Shampoo &gt;</t>
        </is>
      </c>
      <c r="L121" t="inlineStr">
        <is>
          <t>shampoo</t>
        </is>
      </c>
      <c r="M121" t="inlineStr">
        <is>
          <t>profesional</t>
        </is>
      </c>
      <c r="N121" t="inlineStr">
        <is>
          <t>general</t>
        </is>
      </c>
      <c r="O121" t="inlineStr">
        <is>
          <t>https://www.jumbo.com.ar/shampoo-elvive-reparacion-total-5-extreme-750-ml/p</t>
        </is>
      </c>
    </row>
    <row r="122">
      <c r="A122" s="2" t="inlineStr">
        <is>
          <t>Jumbo</t>
        </is>
      </c>
      <c r="B122" s="2" t="n">
        <v>401192</v>
      </c>
      <c r="C122" s="2" t="n">
        <v>398530</v>
      </c>
      <c r="D122" s="2" t="inlineStr">
        <is>
          <t>Shampoo Detox Limpia y Purifica 200 Ml Pantene</t>
        </is>
      </c>
      <c r="E122" s="2" t="inlineStr">
        <is>
          <t>PANTENE</t>
        </is>
      </c>
      <c r="F122" s="2" t="n">
        <v>6750</v>
      </c>
      <c r="G122" s="2" t="n">
        <v>557851</v>
      </c>
      <c r="H122" s="2" t="b">
        <v>1</v>
      </c>
      <c r="I122" s="2" t="n">
        <v>200</v>
      </c>
      <c r="J122" s="2" t="n">
        <v>33.75</v>
      </c>
      <c r="K122" s="2" t="inlineStr">
        <is>
          <t>&gt; Perfumería &gt; Cuidado Capilar &gt; Shampoo &gt;</t>
        </is>
      </c>
      <c r="L122" s="2" t="inlineStr">
        <is>
          <t>shampoo</t>
        </is>
      </c>
      <c r="M122" s="2" t="inlineStr">
        <is>
          <t>estandar</t>
        </is>
      </c>
      <c r="N122" s="2" t="inlineStr">
        <is>
          <t>general</t>
        </is>
      </c>
      <c r="O122" s="2" t="inlineStr">
        <is>
          <t>https://www.jumbo.com.ar/shampoo-detox-limpia-y-purifica-200-ml-pantene-2/p</t>
        </is>
      </c>
    </row>
    <row r="123">
      <c r="A123" t="inlineStr">
        <is>
          <t>Jumbo</t>
        </is>
      </c>
      <c r="B123" t="n">
        <v>389298</v>
      </c>
      <c r="C123" t="n">
        <v>387404</v>
      </c>
      <c r="D123" t="inlineStr">
        <is>
          <t>Shampoo Colageno Y Vitamina C 190 Ml Sedal</t>
        </is>
      </c>
      <c r="E123" t="inlineStr">
        <is>
          <t>SEDAL</t>
        </is>
      </c>
      <c r="F123" t="n">
        <v>3900</v>
      </c>
      <c r="G123" t="n">
        <v>322314</v>
      </c>
      <c r="H123" t="b">
        <v>1</v>
      </c>
      <c r="I123" t="n">
        <v>190</v>
      </c>
      <c r="J123" t="n">
        <v>20.5263</v>
      </c>
      <c r="K123" t="inlineStr">
        <is>
          <t>&gt; Perfumería &gt; Cuidado Capilar &gt; Shampoo &gt;</t>
        </is>
      </c>
      <c r="L123" t="inlineStr">
        <is>
          <t>shampoo</t>
        </is>
      </c>
      <c r="M123" t="inlineStr">
        <is>
          <t>estandar</t>
        </is>
      </c>
      <c r="N123" t="inlineStr">
        <is>
          <t>general</t>
        </is>
      </c>
      <c r="O123" t="inlineStr">
        <is>
          <t>https://www.jumbo.com.ar/shampoo-colageno-y-vitamina-c-190-ml-sedal/p</t>
        </is>
      </c>
    </row>
    <row r="124">
      <c r="A124" s="2" t="inlineStr">
        <is>
          <t>Jumbo</t>
        </is>
      </c>
      <c r="B124" s="2" t="n">
        <v>31765</v>
      </c>
      <c r="C124" s="2" t="n">
        <v>28924</v>
      </c>
      <c r="D124" s="2" t="inlineStr">
        <is>
          <t>Shampoo Lava Coche Silisur Siliconado Manzana X 600cc</t>
        </is>
      </c>
      <c r="E124" s="2" t="inlineStr">
        <is>
          <t>SILISUR</t>
        </is>
      </c>
      <c r="F124" s="2" t="n">
        <v>10099</v>
      </c>
      <c r="G124" s="2" t="n">
        <v>834628</v>
      </c>
      <c r="H124" s="2" t="b">
        <v>1</v>
      </c>
      <c r="I124" s="2" t="inlineStr"/>
      <c r="J124" s="2" t="inlineStr"/>
      <c r="K124" s="2" t="inlineStr">
        <is>
          <t>&gt; Hogar y textil &gt; Automotor &gt; Limpieza &gt;</t>
        </is>
      </c>
      <c r="L124" s="2" t="inlineStr">
        <is>
          <t>shampoo</t>
        </is>
      </c>
      <c r="M124" s="2" t="inlineStr">
        <is>
          <t>estandar</t>
        </is>
      </c>
      <c r="N124" s="2" t="inlineStr">
        <is>
          <t>general</t>
        </is>
      </c>
      <c r="O124" s="2" t="inlineStr">
        <is>
          <t>https://www.jumbo.com.ar/shampoo-lava-coche-silisur-siliconado-manzana-x-600cc/p</t>
        </is>
      </c>
    </row>
    <row r="125">
      <c r="A125" t="inlineStr">
        <is>
          <t>Jumbo</t>
        </is>
      </c>
      <c r="B125" t="n">
        <v>400530</v>
      </c>
      <c r="C125" t="n">
        <v>397868</v>
      </c>
      <c r="D125" t="inlineStr">
        <is>
          <t>Shampoo Elvive Lóréal Paris Hidra Hialurónico 400 Ml</t>
        </is>
      </c>
      <c r="E125" t="inlineStr">
        <is>
          <t>ELVIVE</t>
        </is>
      </c>
      <c r="F125" t="n">
        <v>11123</v>
      </c>
      <c r="G125" t="n">
        <v>919256</v>
      </c>
      <c r="H125" t="b">
        <v>1</v>
      </c>
      <c r="I125" t="n">
        <v>400</v>
      </c>
      <c r="J125" t="n">
        <v>27.8075</v>
      </c>
      <c r="K125" t="inlineStr">
        <is>
          <t>&gt; Perfumería &gt; Cuidado Capilar &gt; Shampoo &gt;</t>
        </is>
      </c>
      <c r="L125" t="inlineStr">
        <is>
          <t>shampoo</t>
        </is>
      </c>
      <c r="M125" t="inlineStr">
        <is>
          <t>profesional</t>
        </is>
      </c>
      <c r="N125" t="inlineStr">
        <is>
          <t>general</t>
        </is>
      </c>
      <c r="O125" t="inlineStr">
        <is>
          <t>https://www.jumbo.com.ar/shampoo-elvive-loreal-paris-hidra-hialuronico-400-ml/p</t>
        </is>
      </c>
    </row>
    <row r="126">
      <c r="A126" s="2" t="inlineStr">
        <is>
          <t>Jumbo</t>
        </is>
      </c>
      <c r="B126" s="2" t="n">
        <v>397628</v>
      </c>
      <c r="C126" s="2" t="n">
        <v>395361</v>
      </c>
      <c r="D126" s="2" t="inlineStr">
        <is>
          <t>Shampoo Hidra Purificante Hialuronico Pure 750 Ml Elvive</t>
        </is>
      </c>
      <c r="E126" s="2" t="inlineStr">
        <is>
          <t>ELVIVE</t>
        </is>
      </c>
      <c r="F126" s="2" t="n">
        <v>19400</v>
      </c>
      <c r="G126" s="2" t="n">
        <v>1603306</v>
      </c>
      <c r="H126" s="2" t="b">
        <v>1</v>
      </c>
      <c r="I126" s="2" t="n">
        <v>750</v>
      </c>
      <c r="J126" s="2" t="n">
        <v>25.8667</v>
      </c>
      <c r="K126" s="2" t="inlineStr">
        <is>
          <t>&gt; Perfumería &gt; Cuidado Capilar &gt; Shampoo &gt;</t>
        </is>
      </c>
      <c r="L126" s="2" t="inlineStr">
        <is>
          <t>shampoo</t>
        </is>
      </c>
      <c r="M126" s="2" t="inlineStr">
        <is>
          <t>profesional</t>
        </is>
      </c>
      <c r="N126" s="2" t="inlineStr">
        <is>
          <t>general</t>
        </is>
      </c>
      <c r="O126" s="2" t="inlineStr">
        <is>
          <t>https://www.jumbo.com.ar/shampoo-elvive-hialuronico-pure-750-ml/p</t>
        </is>
      </c>
    </row>
    <row r="127">
      <c r="A127" t="inlineStr">
        <is>
          <t>Jumbo</t>
        </is>
      </c>
      <c r="B127" t="n">
        <v>416914</v>
      </c>
      <c r="C127" t="n">
        <v>412458</v>
      </c>
      <c r="D127" t="inlineStr">
        <is>
          <t>Shampoo Rizos Definidos Óleo Extraordinario 400 Ml Elvive</t>
        </is>
      </c>
      <c r="E127" t="inlineStr">
        <is>
          <t>ELVIVE</t>
        </is>
      </c>
      <c r="F127" t="n">
        <v>12000</v>
      </c>
      <c r="G127" t="n">
        <v>991736</v>
      </c>
      <c r="H127" t="b">
        <v>1</v>
      </c>
      <c r="I127" t="n">
        <v>400</v>
      </c>
      <c r="J127" t="n">
        <v>30</v>
      </c>
      <c r="K127" t="inlineStr">
        <is>
          <t>&gt; Perfumería &gt; Cuidado Capilar &gt; Shampoo &gt;</t>
        </is>
      </c>
      <c r="L127" t="inlineStr">
        <is>
          <t>shampoo</t>
        </is>
      </c>
      <c r="M127" t="inlineStr">
        <is>
          <t>profesional</t>
        </is>
      </c>
      <c r="N127" t="inlineStr">
        <is>
          <t>rizado</t>
        </is>
      </c>
      <c r="O127" t="inlineStr">
        <is>
          <t>https://www.jumbo.com.ar/shampoo-elvive-extraordinario-riso-400-ml/p</t>
        </is>
      </c>
    </row>
    <row r="128">
      <c r="A128" s="2" t="inlineStr">
        <is>
          <t>Jumbo</t>
        </is>
      </c>
      <c r="B128" s="2" t="n">
        <v>407568</v>
      </c>
      <c r="C128" s="2" t="n">
        <v>403757</v>
      </c>
      <c r="D128" s="2" t="inlineStr">
        <is>
          <t>Shampoo Reparación Total 5 Extreme 400 Ml Elvive</t>
        </is>
      </c>
      <c r="E128" s="2" t="inlineStr">
        <is>
          <t>ELVIVE</t>
        </is>
      </c>
      <c r="F128" s="2" t="n">
        <v>11123</v>
      </c>
      <c r="G128" s="2" t="n">
        <v>919256</v>
      </c>
      <c r="H128" s="2" t="b">
        <v>1</v>
      </c>
      <c r="I128" s="2" t="n">
        <v>400</v>
      </c>
      <c r="J128" s="2" t="n">
        <v>27.8075</v>
      </c>
      <c r="K128" s="2" t="inlineStr">
        <is>
          <t>&gt; Perfumería &gt; Cuidado Capilar &gt; Shampoo &gt;</t>
        </is>
      </c>
      <c r="L128" s="2" t="inlineStr">
        <is>
          <t>shampoo</t>
        </is>
      </c>
      <c r="M128" s="2" t="inlineStr">
        <is>
          <t>profesional</t>
        </is>
      </c>
      <c r="N128" s="2" t="inlineStr">
        <is>
          <t>general</t>
        </is>
      </c>
      <c r="O128" s="2" t="inlineStr">
        <is>
          <t>https://www.jumbo.com.ar/shampoo-elvive-reparacion-total-5-extreme-400-ml/p</t>
        </is>
      </c>
    </row>
    <row r="129">
      <c r="A129" t="inlineStr">
        <is>
          <t>Jumbo</t>
        </is>
      </c>
      <c r="B129" t="n">
        <v>401198</v>
      </c>
      <c r="C129" t="n">
        <v>398536</v>
      </c>
      <c r="D129" t="inlineStr">
        <is>
          <t>Shampoo Equilibrio Raíz y Puntas 700 Ml Pantene</t>
        </is>
      </c>
      <c r="E129" t="inlineStr">
        <is>
          <t>PANTENE</t>
        </is>
      </c>
      <c r="F129" t="n">
        <v>17600</v>
      </c>
      <c r="G129" t="n">
        <v>1454545</v>
      </c>
      <c r="H129" t="b">
        <v>1</v>
      </c>
      <c r="I129" t="n">
        <v>700</v>
      </c>
      <c r="J129" t="n">
        <v>25.1429</v>
      </c>
      <c r="K129" t="inlineStr">
        <is>
          <t>&gt; Perfumería &gt; Cuidado Capilar &gt; Shampoo &gt;</t>
        </is>
      </c>
      <c r="L129" t="inlineStr">
        <is>
          <t>shampoo</t>
        </is>
      </c>
      <c r="M129" t="inlineStr">
        <is>
          <t>estandar</t>
        </is>
      </c>
      <c r="N129" t="inlineStr">
        <is>
          <t>general</t>
        </is>
      </c>
      <c r="O129" t="inlineStr">
        <is>
          <t>https://www.jumbo.com.ar/shampoo-equilibrante-equilibrio-raiz-y-puntas-700-ml-pantene/p</t>
        </is>
      </c>
    </row>
    <row r="130">
      <c r="A130" s="2" t="inlineStr">
        <is>
          <t>Jumbo</t>
        </is>
      </c>
      <c r="B130" s="2" t="n">
        <v>384041</v>
      </c>
      <c r="C130" s="2" t="n">
        <v>382754</v>
      </c>
      <c r="D130" s="2" t="inlineStr">
        <is>
          <t>Shampoo Garnier Fructis Hair Food Coco 300 Ml</t>
        </is>
      </c>
      <c r="E130" s="2" t="inlineStr">
        <is>
          <t>FRUCTIS</t>
        </is>
      </c>
      <c r="F130" s="2" t="n">
        <v>12050</v>
      </c>
      <c r="G130" s="2" t="n">
        <v>995868</v>
      </c>
      <c r="H130" s="2" t="b">
        <v>1</v>
      </c>
      <c r="I130" s="2" t="n">
        <v>300</v>
      </c>
      <c r="J130" s="2" t="n">
        <v>40.1667</v>
      </c>
      <c r="K130" s="2" t="inlineStr">
        <is>
          <t>&gt; Perfumería &gt; Cuidado Capilar &gt; Shampoo &gt;</t>
        </is>
      </c>
      <c r="L130" s="2" t="inlineStr">
        <is>
          <t>shampoo</t>
        </is>
      </c>
      <c r="M130" s="2" t="inlineStr">
        <is>
          <t>estandar</t>
        </is>
      </c>
      <c r="N130" s="2" t="inlineStr">
        <is>
          <t>general</t>
        </is>
      </c>
      <c r="O130" s="2" t="inlineStr">
        <is>
          <t>https://www.jumbo.com.ar/shampoo-garnier-fructis-hair-food-coco-300-ml/p</t>
        </is>
      </c>
    </row>
    <row r="131">
      <c r="A131" t="inlineStr">
        <is>
          <t>Jumbo</t>
        </is>
      </c>
      <c r="B131" t="n">
        <v>375297</v>
      </c>
      <c r="C131" t="n">
        <v>374015</v>
      </c>
      <c r="D131" t="inlineStr">
        <is>
          <t>Shampoo Matizador Color Vive Violeta 200 Ml Elvive</t>
        </is>
      </c>
      <c r="E131" t="inlineStr">
        <is>
          <t>ELVIVE</t>
        </is>
      </c>
      <c r="F131" t="n">
        <v>8050</v>
      </c>
      <c r="G131" t="n">
        <v>665289</v>
      </c>
      <c r="H131" t="b">
        <v>1</v>
      </c>
      <c r="I131" t="n">
        <v>200</v>
      </c>
      <c r="J131" t="n">
        <v>40.25</v>
      </c>
      <c r="K131" t="inlineStr">
        <is>
          <t>&gt; Perfumería &gt; Cuidado Capilar &gt; Shampoo &gt;</t>
        </is>
      </c>
      <c r="L131" t="inlineStr">
        <is>
          <t>shampoo</t>
        </is>
      </c>
      <c r="M131" t="inlineStr">
        <is>
          <t>profesional</t>
        </is>
      </c>
      <c r="N131" t="inlineStr">
        <is>
          <t>tratado</t>
        </is>
      </c>
      <c r="O131" t="inlineStr">
        <is>
          <t>https://www.jumbo.com.ar/shampoo-elvive-colorvive-200-ml/p</t>
        </is>
      </c>
    </row>
    <row r="132">
      <c r="A132" s="2" t="inlineStr">
        <is>
          <t>Jumbo</t>
        </is>
      </c>
      <c r="B132" s="2" t="n">
        <v>3085237</v>
      </c>
      <c r="C132" s="2" t="n">
        <v>3084470</v>
      </c>
      <c r="D132" s="2" t="inlineStr">
        <is>
          <t>Shampoo Rizos Definidos Oleo Extraordinario 200 Ml Elvive</t>
        </is>
      </c>
      <c r="E132" s="2" t="inlineStr">
        <is>
          <t>ELVIVE</t>
        </is>
      </c>
      <c r="F132" s="2" t="n">
        <v>7200</v>
      </c>
      <c r="G132" s="2" t="n">
        <v>595041</v>
      </c>
      <c r="H132" s="2" t="b">
        <v>1</v>
      </c>
      <c r="I132" s="2" t="n">
        <v>200</v>
      </c>
      <c r="J132" s="2" t="n">
        <v>36</v>
      </c>
      <c r="K132" s="2" t="inlineStr">
        <is>
          <t>&gt; Perfumería &gt; Cuidado Capilar &gt; Shampoo &gt;</t>
        </is>
      </c>
      <c r="L132" s="2" t="inlineStr">
        <is>
          <t>shampoo</t>
        </is>
      </c>
      <c r="M132" s="2" t="inlineStr">
        <is>
          <t>profesional</t>
        </is>
      </c>
      <c r="N132" s="2" t="inlineStr">
        <is>
          <t>rizado</t>
        </is>
      </c>
      <c r="O132" s="2" t="inlineStr">
        <is>
          <t>https://www.jumbo.com.ar/shampoo-elvive-oleo-extraordinario-x-200-ml-2/p</t>
        </is>
      </c>
    </row>
    <row r="133">
      <c r="A133" t="inlineStr">
        <is>
          <t>Jumbo</t>
        </is>
      </c>
      <c r="B133" t="n">
        <v>3070169</v>
      </c>
      <c r="C133" t="n">
        <v>3069764</v>
      </c>
      <c r="D133" t="inlineStr">
        <is>
          <t>Shampoo Voluminizador Pro-V Miracles 700 Ml Pantene</t>
        </is>
      </c>
      <c r="E133" t="inlineStr">
        <is>
          <t>PANTENE</t>
        </is>
      </c>
      <c r="F133" t="n">
        <v>17600</v>
      </c>
      <c r="G133" t="n">
        <v>1454545</v>
      </c>
      <c r="H133" t="b">
        <v>1</v>
      </c>
      <c r="I133" t="n">
        <v>700</v>
      </c>
      <c r="J133" t="n">
        <v>25.1429</v>
      </c>
      <c r="K133" t="inlineStr">
        <is>
          <t>&gt; Perfumería &gt; Cuidado Capilar &gt; Shampoo &gt;</t>
        </is>
      </c>
      <c r="L133" t="inlineStr">
        <is>
          <t>shampoo</t>
        </is>
      </c>
      <c r="M133" t="inlineStr">
        <is>
          <t>profesional</t>
        </is>
      </c>
      <c r="N133" t="inlineStr">
        <is>
          <t>general</t>
        </is>
      </c>
      <c r="O133" t="inlineStr">
        <is>
          <t>https://www.jumbo.com.ar/shampoo-pro-v-miracles-volumizador-x-700-ml-pantene/p</t>
        </is>
      </c>
    </row>
    <row r="134">
      <c r="A134" s="2" t="inlineStr">
        <is>
          <t>Jumbo</t>
        </is>
      </c>
      <c r="B134" s="2" t="n">
        <v>1360443</v>
      </c>
      <c r="C134" s="2" t="n">
        <v>1360027</v>
      </c>
      <c r="D134" s="2" t="inlineStr">
        <is>
          <t>Shampoo Keratina Repara y Protege 200 Ml Pantene</t>
        </is>
      </c>
      <c r="E134" s="2" t="inlineStr">
        <is>
          <t>PANTENE</t>
        </is>
      </c>
      <c r="F134" s="2" t="n">
        <v>6750</v>
      </c>
      <c r="G134" s="2" t="n">
        <v>557851</v>
      </c>
      <c r="H134" s="2" t="b">
        <v>1</v>
      </c>
      <c r="I134" s="2" t="n">
        <v>200</v>
      </c>
      <c r="J134" s="2" t="n">
        <v>33.75</v>
      </c>
      <c r="K134" s="2" t="inlineStr">
        <is>
          <t>&gt; Perfumería &gt; Cuidado Capilar &gt; Shampoo &gt;</t>
        </is>
      </c>
      <c r="L134" s="2" t="inlineStr">
        <is>
          <t>shampoo</t>
        </is>
      </c>
      <c r="M134" s="2" t="inlineStr">
        <is>
          <t>estandar</t>
        </is>
      </c>
      <c r="N134" s="2" t="inlineStr">
        <is>
          <t>tratado</t>
        </is>
      </c>
      <c r="O134" s="2" t="inlineStr">
        <is>
          <t>https://www.jumbo.com.ar/shampoo-keratina-200-ml-pantene/p</t>
        </is>
      </c>
    </row>
    <row r="135">
      <c r="A135" t="inlineStr">
        <is>
          <t>Jumbo</t>
        </is>
      </c>
      <c r="B135" t="n">
        <v>411921</v>
      </c>
      <c r="C135" t="n">
        <v>407642</v>
      </c>
      <c r="D135" t="inlineStr">
        <is>
          <t>Tintura en Shampoo Express Rubio 25 Ml Issue</t>
        </is>
      </c>
      <c r="E135" t="inlineStr">
        <is>
          <t>ISSUE</t>
        </is>
      </c>
      <c r="F135" t="n">
        <v>4950</v>
      </c>
      <c r="G135" t="n">
        <v>409091</v>
      </c>
      <c r="H135" t="b">
        <v>1</v>
      </c>
      <c r="I135" t="n">
        <v>25</v>
      </c>
      <c r="J135" t="n">
        <v>198</v>
      </c>
      <c r="K135" t="inlineStr">
        <is>
          <t>&gt; Perfumería &gt; Cuidado Capilar &gt; Coloración &gt;</t>
        </is>
      </c>
      <c r="L135" t="inlineStr">
        <is>
          <t>shampoo</t>
        </is>
      </c>
      <c r="M135" t="inlineStr">
        <is>
          <t>estandar</t>
        </is>
      </c>
      <c r="N135" t="inlineStr">
        <is>
          <t>tratado</t>
        </is>
      </c>
      <c r="O135" t="inlineStr">
        <is>
          <t>https://www.jumbo.com.ar/shampoo-issue-express-color-rubio-25-ml/p</t>
        </is>
      </c>
    </row>
    <row r="136">
      <c r="A136" s="2" t="inlineStr">
        <is>
          <t>Jumbo</t>
        </is>
      </c>
      <c r="B136" s="2" t="n">
        <v>411920</v>
      </c>
      <c r="C136" s="2" t="n">
        <v>407641</v>
      </c>
      <c r="D136" s="2" t="inlineStr">
        <is>
          <t>Shampoo Tintura Cobertura de Canas Negro 25 Ml Issue</t>
        </is>
      </c>
      <c r="E136" s="2" t="inlineStr">
        <is>
          <t>ISSUE</t>
        </is>
      </c>
      <c r="F136" s="2" t="n">
        <v>4950</v>
      </c>
      <c r="G136" s="2" t="n">
        <v>409091</v>
      </c>
      <c r="H136" s="2" t="b">
        <v>1</v>
      </c>
      <c r="I136" s="2" t="n">
        <v>25</v>
      </c>
      <c r="J136" s="2" t="n">
        <v>198</v>
      </c>
      <c r="K136" s="2" t="inlineStr">
        <is>
          <t>&gt; Perfumería &gt; Cuidado Capilar &gt; Coloración &gt;</t>
        </is>
      </c>
      <c r="L136" s="2" t="inlineStr">
        <is>
          <t>shampoo</t>
        </is>
      </c>
      <c r="M136" s="2" t="inlineStr">
        <is>
          <t>estandar</t>
        </is>
      </c>
      <c r="N136" s="2" t="inlineStr">
        <is>
          <t>tratado</t>
        </is>
      </c>
      <c r="O136" s="2" t="inlineStr">
        <is>
          <t>https://www.jumbo.com.ar/shampoo-issue-color-express-negro-25-ml/p</t>
        </is>
      </c>
    </row>
    <row r="137">
      <c r="A137" t="inlineStr">
        <is>
          <t>Jumbo</t>
        </is>
      </c>
      <c r="B137" t="n">
        <v>389286</v>
      </c>
      <c r="C137" t="n">
        <v>387392</v>
      </c>
      <c r="D137" t="inlineStr">
        <is>
          <t>Shampoo Colageno Y Vitamina C 340 Ml Sedal</t>
        </is>
      </c>
      <c r="E137" t="inlineStr">
        <is>
          <t>SEDAL</t>
        </is>
      </c>
      <c r="F137" t="n">
        <v>5800</v>
      </c>
      <c r="G137" t="n">
        <v>479339</v>
      </c>
      <c r="H137" t="b">
        <v>1</v>
      </c>
      <c r="I137" t="n">
        <v>340</v>
      </c>
      <c r="J137" t="n">
        <v>17.0588</v>
      </c>
      <c r="K137" t="inlineStr">
        <is>
          <t>&gt; Perfumería &gt; Cuidado Capilar &gt; Shampoo &gt;</t>
        </is>
      </c>
      <c r="L137" t="inlineStr">
        <is>
          <t>shampoo</t>
        </is>
      </c>
      <c r="M137" t="inlineStr">
        <is>
          <t>estandar</t>
        </is>
      </c>
      <c r="N137" t="inlineStr">
        <is>
          <t>general</t>
        </is>
      </c>
      <c r="O137" t="inlineStr">
        <is>
          <t>https://www.jumbo.com.ar/shampoo-colageno-y-vitamina-c-340-ml-sedal/p</t>
        </is>
      </c>
    </row>
    <row r="138">
      <c r="A138" s="2" t="inlineStr">
        <is>
          <t>Jumbo</t>
        </is>
      </c>
      <c r="B138" s="2" t="n">
        <v>349088</v>
      </c>
      <c r="C138" s="2" t="n">
        <v>347751</v>
      </c>
      <c r="D138" s="2" t="inlineStr">
        <is>
          <t>Shampoo 3 en 1 Active Fresh 400 Ml Dove</t>
        </is>
      </c>
      <c r="E138" s="2" t="inlineStr">
        <is>
          <t>DOVE</t>
        </is>
      </c>
      <c r="F138" s="2" t="n">
        <v>9505</v>
      </c>
      <c r="G138" s="2" t="n">
        <v>785537</v>
      </c>
      <c r="H138" s="2" t="b">
        <v>1</v>
      </c>
      <c r="I138" s="2" t="n">
        <v>400</v>
      </c>
      <c r="J138" s="2" t="n">
        <v>23.7625</v>
      </c>
      <c r="K138" s="2" t="inlineStr">
        <is>
          <t>&gt; Perfumería &gt; Cuidado Capilar &gt; Shampoo &gt;</t>
        </is>
      </c>
      <c r="L138" s="2" t="inlineStr">
        <is>
          <t>shampoo</t>
        </is>
      </c>
      <c r="M138" s="2" t="inlineStr">
        <is>
          <t>estandar</t>
        </is>
      </c>
      <c r="N138" s="2" t="inlineStr">
        <is>
          <t>general</t>
        </is>
      </c>
      <c r="O138" s="2" t="inlineStr">
        <is>
          <t>https://www.jumbo.com.ar/shampoo-para-hombre-dove-active-fresh-3-en-1-400-ml/p</t>
        </is>
      </c>
    </row>
    <row r="139">
      <c r="A139" t="inlineStr">
        <is>
          <t>Jumbo</t>
        </is>
      </c>
      <c r="B139" t="n">
        <v>275435</v>
      </c>
      <c r="C139" t="n">
        <v>274731</v>
      </c>
      <c r="D139" t="inlineStr">
        <is>
          <t>Shampoo 3 en 1 Anti-Caspa 375 Ml Head y Shoulders</t>
        </is>
      </c>
      <c r="E139" t="inlineStr">
        <is>
          <t>HEAD &amp; SHOULDERS</t>
        </is>
      </c>
      <c r="F139" t="n">
        <v>12900</v>
      </c>
      <c r="G139" t="n">
        <v>1066116</v>
      </c>
      <c r="H139" t="b">
        <v>1</v>
      </c>
      <c r="I139" t="n">
        <v>375</v>
      </c>
      <c r="J139" t="n">
        <v>34.4</v>
      </c>
      <c r="K139" t="inlineStr">
        <is>
          <t>&gt; Perfumería &gt; Cuidado Capilar &gt; Shampoo &gt;</t>
        </is>
      </c>
      <c r="L139" t="inlineStr">
        <is>
          <t>shampoo</t>
        </is>
      </c>
      <c r="M139" t="inlineStr">
        <is>
          <t>estandar</t>
        </is>
      </c>
      <c r="N139" t="inlineStr">
        <is>
          <t>anticaspa</t>
        </is>
      </c>
      <c r="O139" t="inlineStr">
        <is>
          <t>https://www.jumbo.com.ar/shampoo-3-en-1-375-ml-head-shoulders-2/p</t>
        </is>
      </c>
    </row>
    <row r="140">
      <c r="A140" s="2" t="inlineStr">
        <is>
          <t>Jumbo</t>
        </is>
      </c>
      <c r="B140" s="2" t="n">
        <v>424302</v>
      </c>
      <c r="C140" s="2" t="n">
        <v>417182</v>
      </c>
      <c r="D140" s="2" t="inlineStr">
        <is>
          <t>Shampoo Nutrición Cabello Seco Óleo de Coco 700 Ml Plusbelle</t>
        </is>
      </c>
      <c r="E140" s="2" t="inlineStr">
        <is>
          <t>PLUSBELLE</t>
        </is>
      </c>
      <c r="F140" s="2" t="n">
        <v>5550</v>
      </c>
      <c r="G140" s="2" t="n">
        <v>458678</v>
      </c>
      <c r="H140" s="2" t="b">
        <v>1</v>
      </c>
      <c r="I140" s="2" t="n">
        <v>700</v>
      </c>
      <c r="J140" s="2" t="n">
        <v>7.9286</v>
      </c>
      <c r="K140" s="2" t="inlineStr">
        <is>
          <t>&gt; Perfumería &gt; Cuidado Capilar &gt; Shampoo &gt;</t>
        </is>
      </c>
      <c r="L140" s="2" t="inlineStr">
        <is>
          <t>shampoo</t>
        </is>
      </c>
      <c r="M140" s="2" t="inlineStr">
        <is>
          <t>estandar</t>
        </is>
      </c>
      <c r="N140" s="2" t="inlineStr">
        <is>
          <t>seco_danado</t>
        </is>
      </c>
      <c r="O140" s="2" t="inlineStr">
        <is>
          <t>https://www.jumbo.com.ar/shampoo-plusbelle-esen-oleo-nut-coco-700-ml/p</t>
        </is>
      </c>
    </row>
    <row r="141">
      <c r="A141" t="inlineStr">
        <is>
          <t>Jumbo</t>
        </is>
      </c>
      <c r="B141" t="n">
        <v>349085</v>
      </c>
      <c r="C141" t="n">
        <v>347748</v>
      </c>
      <c r="D141" t="inlineStr">
        <is>
          <t>Shampoo 2 en 1 Fuerza Extrema 400 Ml Dove</t>
        </is>
      </c>
      <c r="E141" t="inlineStr">
        <is>
          <t>DOVE</t>
        </is>
      </c>
      <c r="F141" t="n">
        <v>9505</v>
      </c>
      <c r="G141" t="n">
        <v>785537</v>
      </c>
      <c r="H141" t="b">
        <v>1</v>
      </c>
      <c r="I141" t="n">
        <v>400</v>
      </c>
      <c r="J141" t="n">
        <v>23.7625</v>
      </c>
      <c r="K141" t="inlineStr">
        <is>
          <t>&gt; Perfumería &gt; Cuidado Capilar &gt; Shampoo &gt;</t>
        </is>
      </c>
      <c r="L141" t="inlineStr">
        <is>
          <t>shampoo</t>
        </is>
      </c>
      <c r="M141" t="inlineStr">
        <is>
          <t>estandar</t>
        </is>
      </c>
      <c r="N141" t="inlineStr">
        <is>
          <t>general</t>
        </is>
      </c>
      <c r="O141" t="inlineStr">
        <is>
          <t>https://www.jumbo.com.ar/shampoo-dove-men-2en1-fuerza-extrema-400-ml/p</t>
        </is>
      </c>
    </row>
    <row r="142">
      <c r="A142" s="2" t="inlineStr">
        <is>
          <t>Jumbo</t>
        </is>
      </c>
      <c r="B142" s="2" t="n">
        <v>3067728</v>
      </c>
      <c r="C142" s="2" t="n">
        <v>3067588</v>
      </c>
      <c r="D142" s="2" t="inlineStr">
        <is>
          <t>Shampoo Anticaída y Nutrición Biotinamina B3 510 Ml Pantene</t>
        </is>
      </c>
      <c r="E142" s="2" t="inlineStr">
        <is>
          <t>PANTENE</t>
        </is>
      </c>
      <c r="F142" s="2" t="n">
        <v>16750</v>
      </c>
      <c r="G142" s="2" t="n">
        <v>1384298</v>
      </c>
      <c r="H142" s="2" t="b">
        <v>1</v>
      </c>
      <c r="I142" s="2" t="n">
        <v>510</v>
      </c>
      <c r="J142" s="2" t="n">
        <v>32.8431</v>
      </c>
      <c r="K142" s="2" t="inlineStr">
        <is>
          <t>&gt; Perfumería &gt; Cuidado Capilar &gt; Shampoo &gt;</t>
        </is>
      </c>
      <c r="L142" s="2" t="inlineStr">
        <is>
          <t>shampoo</t>
        </is>
      </c>
      <c r="M142" s="2" t="inlineStr">
        <is>
          <t>estandar</t>
        </is>
      </c>
      <c r="N142" s="2" t="inlineStr">
        <is>
          <t>general</t>
        </is>
      </c>
      <c r="O142" s="2" t="inlineStr">
        <is>
          <t>https://www.jumbo.com.ar/shampoo-anti-caida-510-ml-pantene-2/p</t>
        </is>
      </c>
    </row>
    <row r="143">
      <c r="A143" t="inlineStr">
        <is>
          <t>Jumbo</t>
        </is>
      </c>
      <c r="B143" t="n">
        <v>412484</v>
      </c>
      <c r="C143" t="n">
        <v>408093</v>
      </c>
      <c r="D143" t="inlineStr">
        <is>
          <t>Shampoo Liso Coco con Aceite de Coco y Keratina Vegetal 350 Ml Fructis</t>
        </is>
      </c>
      <c r="E143" t="inlineStr">
        <is>
          <t>FRUCTIS</t>
        </is>
      </c>
      <c r="F143" t="n">
        <v>8600</v>
      </c>
      <c r="G143" t="n">
        <v>710744</v>
      </c>
      <c r="H143" t="b">
        <v>1</v>
      </c>
      <c r="I143" t="n">
        <v>350</v>
      </c>
      <c r="J143" t="n">
        <v>24.5714</v>
      </c>
      <c r="K143" t="inlineStr">
        <is>
          <t>&gt; Perfumería &gt; Cuidado Capilar &gt; Shampoo &gt;</t>
        </is>
      </c>
      <c r="L143" t="inlineStr">
        <is>
          <t>shampoo</t>
        </is>
      </c>
      <c r="M143" t="inlineStr">
        <is>
          <t>estandar</t>
        </is>
      </c>
      <c r="N143" t="inlineStr">
        <is>
          <t>tratado</t>
        </is>
      </c>
      <c r="O143" t="inlineStr">
        <is>
          <t>https://www.jumbo.com.ar/shampoo-fructis-liso-coco-350ml-3/p</t>
        </is>
      </c>
    </row>
    <row r="144">
      <c r="A144" s="2" t="inlineStr">
        <is>
          <t>Jumbo</t>
        </is>
      </c>
      <c r="B144" s="2" t="n">
        <v>404463</v>
      </c>
      <c r="C144" s="2" t="n">
        <v>401465</v>
      </c>
      <c r="D144" s="2" t="inlineStr">
        <is>
          <t>Shampoo Cabellos Grasos Menta y Lima 420 Ml Capilatis</t>
        </is>
      </c>
      <c r="E144" s="2" t="inlineStr">
        <is>
          <t>CAPILATIS</t>
        </is>
      </c>
      <c r="F144" s="2" t="n">
        <v>9650</v>
      </c>
      <c r="G144" s="2" t="n">
        <v>797521</v>
      </c>
      <c r="H144" s="2" t="b">
        <v>1</v>
      </c>
      <c r="I144" s="2" t="n">
        <v>420</v>
      </c>
      <c r="J144" s="2" t="n">
        <v>22.9762</v>
      </c>
      <c r="K144" s="2" t="inlineStr">
        <is>
          <t>&gt; Perfumería &gt; Cuidado Capilar &gt; Shampoo &gt;</t>
        </is>
      </c>
      <c r="L144" s="2" t="inlineStr">
        <is>
          <t>shampoo</t>
        </is>
      </c>
      <c r="M144" s="2" t="inlineStr">
        <is>
          <t>estandar</t>
        </is>
      </c>
      <c r="N144" s="2" t="inlineStr">
        <is>
          <t>graso</t>
        </is>
      </c>
      <c r="O144" s="2" t="inlineStr">
        <is>
          <t>https://www.jumbo.com.ar/shampoo-cabellos-grasos-420-ml-capilatis/p</t>
        </is>
      </c>
    </row>
    <row r="145">
      <c r="A145" t="inlineStr">
        <is>
          <t>Jumbo</t>
        </is>
      </c>
      <c r="B145" t="n">
        <v>388717</v>
      </c>
      <c r="C145" t="n">
        <v>386829</v>
      </c>
      <c r="D145" t="inlineStr">
        <is>
          <t>Shampoo Óleo Extraordinario Nutrición Cabello Seco 750 Ml Elvive</t>
        </is>
      </c>
      <c r="E145" t="inlineStr">
        <is>
          <t>ELVIVE</t>
        </is>
      </c>
      <c r="F145" t="n">
        <v>19400</v>
      </c>
      <c r="G145" t="n">
        <v>1603306</v>
      </c>
      <c r="H145" t="b">
        <v>1</v>
      </c>
      <c r="I145" t="n">
        <v>750</v>
      </c>
      <c r="J145" t="n">
        <v>25.8667</v>
      </c>
      <c r="K145" t="inlineStr">
        <is>
          <t>&gt; Perfumería &gt; Cuidado Capilar &gt; Shampoo &gt;</t>
        </is>
      </c>
      <c r="L145" t="inlineStr">
        <is>
          <t>shampoo</t>
        </is>
      </c>
      <c r="M145" t="inlineStr">
        <is>
          <t>profesional</t>
        </is>
      </c>
      <c r="N145" t="inlineStr">
        <is>
          <t>seco_danado</t>
        </is>
      </c>
      <c r="O145" t="inlineStr">
        <is>
          <t>https://www.jumbo.com.ar/shampoo-elvive-oleo-extraordinario-nutricion-universal-750-ml/p</t>
        </is>
      </c>
    </row>
    <row r="146">
      <c r="A146" s="2" t="inlineStr">
        <is>
          <t>Jumbo</t>
        </is>
      </c>
      <c r="B146" s="2" t="n">
        <v>3083503</v>
      </c>
      <c r="C146" s="2" t="n">
        <v>3082778</v>
      </c>
      <c r="D146" s="2" t="inlineStr">
        <is>
          <t>Shampoo Brillo Anti-residuos Glycolic Cristal 750 Ml Elvive</t>
        </is>
      </c>
      <c r="E146" s="2" t="inlineStr">
        <is>
          <t>ELVIVE</t>
        </is>
      </c>
      <c r="F146" s="2" t="n">
        <v>19150</v>
      </c>
      <c r="G146" s="2" t="n">
        <v>1582645</v>
      </c>
      <c r="H146" s="2" t="b">
        <v>1</v>
      </c>
      <c r="I146" s="2" t="n">
        <v>750</v>
      </c>
      <c r="J146" s="2" t="n">
        <v>25.5333</v>
      </c>
      <c r="K146" s="2" t="inlineStr">
        <is>
          <t>&gt; Perfumería &gt; Cuidado Capilar &gt; Shampoo &gt;</t>
        </is>
      </c>
      <c r="L146" s="2" t="inlineStr">
        <is>
          <t>shampoo</t>
        </is>
      </c>
      <c r="M146" s="2" t="inlineStr">
        <is>
          <t>profesional</t>
        </is>
      </c>
      <c r="N146" s="2" t="inlineStr">
        <is>
          <t>general</t>
        </is>
      </c>
      <c r="O146" s="2" t="inlineStr">
        <is>
          <t>https://www.jumbo.com.ar/shampoo-brillo-anti-residuos-glycolic-cristal-x-750-ml-elvive/p</t>
        </is>
      </c>
    </row>
    <row r="147">
      <c r="A147" t="inlineStr">
        <is>
          <t>Jumbo</t>
        </is>
      </c>
      <c r="B147" t="n">
        <v>414717</v>
      </c>
      <c r="C147" t="n">
        <v>410418</v>
      </c>
      <c r="D147" t="inlineStr">
        <is>
          <t>Shampoo Para Niños Hidratación Intensa X 200 Ml Johnson's</t>
        </is>
      </c>
      <c r="E147" t="inlineStr">
        <is>
          <t>JOHNSON BABY</t>
        </is>
      </c>
      <c r="F147" t="n">
        <v>6550</v>
      </c>
      <c r="G147" t="n">
        <v>541322</v>
      </c>
      <c r="H147" t="b">
        <v>1</v>
      </c>
      <c r="I147" t="n">
        <v>200</v>
      </c>
      <c r="J147" t="n">
        <v>32.75</v>
      </c>
      <c r="K147" t="inlineStr">
        <is>
          <t>&gt; Mundo Bebe &gt; Higiene para el Bebe &gt; Higiene del Bebé &gt;</t>
        </is>
      </c>
      <c r="L147" t="inlineStr">
        <is>
          <t>shampoo</t>
        </is>
      </c>
      <c r="M147" t="inlineStr">
        <is>
          <t>estandar</t>
        </is>
      </c>
      <c r="N147" t="inlineStr">
        <is>
          <t>seco_danado</t>
        </is>
      </c>
      <c r="O147" t="inlineStr">
        <is>
          <t>https://www.jumbo.com.ar/shampoo-para-ninos-hidratacion-intensa-x-200-ml-johnson-s/p</t>
        </is>
      </c>
    </row>
    <row r="148">
      <c r="A148" s="2" t="inlineStr">
        <is>
          <t>Jumbo</t>
        </is>
      </c>
      <c r="B148" s="2" t="n">
        <v>275438</v>
      </c>
      <c r="C148" s="2" t="n">
        <v>274734</v>
      </c>
      <c r="D148" s="2" t="inlineStr">
        <is>
          <t>Shampoo Anti-Caspa Anticaída 375 Ml Head y Shoulders</t>
        </is>
      </c>
      <c r="E148" s="2" t="inlineStr">
        <is>
          <t>HEAD &amp; SHOULDERS</t>
        </is>
      </c>
      <c r="F148" s="2" t="n">
        <v>12650</v>
      </c>
      <c r="G148" s="2" t="n">
        <v>1045455</v>
      </c>
      <c r="H148" s="2" t="b">
        <v>1</v>
      </c>
      <c r="I148" s="2" t="n">
        <v>375</v>
      </c>
      <c r="J148" s="2" t="n">
        <v>33.7333</v>
      </c>
      <c r="K148" s="2" t="inlineStr">
        <is>
          <t>&gt; Perfumería &gt; Cuidado Capilar &gt; Shampoo &gt;</t>
        </is>
      </c>
      <c r="L148" s="2" t="inlineStr">
        <is>
          <t>shampoo</t>
        </is>
      </c>
      <c r="M148" s="2" t="inlineStr">
        <is>
          <t>estandar</t>
        </is>
      </c>
      <c r="N148" s="2" t="inlineStr">
        <is>
          <t>anticaspa</t>
        </is>
      </c>
      <c r="O148" s="2" t="inlineStr">
        <is>
          <t>https://www.jumbo.com.ar/shampoo-antifall-375-ml-head-shoulders-2/p</t>
        </is>
      </c>
    </row>
    <row r="149">
      <c r="A149" t="inlineStr">
        <is>
          <t>Jumbo</t>
        </is>
      </c>
      <c r="B149" t="n">
        <v>275414</v>
      </c>
      <c r="C149" t="n">
        <v>274710</v>
      </c>
      <c r="D149" t="inlineStr">
        <is>
          <t>Shampoo Anti-Caspa Manzana 180 Ml Head y Shoulders</t>
        </is>
      </c>
      <c r="E149" t="inlineStr">
        <is>
          <t>HEAD &amp; SHOULDERS</t>
        </is>
      </c>
      <c r="F149" t="n">
        <v>7800</v>
      </c>
      <c r="G149" t="n">
        <v>644628</v>
      </c>
      <c r="H149" t="b">
        <v>1</v>
      </c>
      <c r="I149" t="n">
        <v>180</v>
      </c>
      <c r="J149" t="n">
        <v>43.3333</v>
      </c>
      <c r="K149" t="inlineStr">
        <is>
          <t>&gt; Perfumería &gt; Cuidado Capilar &gt; Shampoo &gt;</t>
        </is>
      </c>
      <c r="L149" t="inlineStr">
        <is>
          <t>shampoo</t>
        </is>
      </c>
      <c r="M149" t="inlineStr">
        <is>
          <t>estandar</t>
        </is>
      </c>
      <c r="N149" t="inlineStr">
        <is>
          <t>anticaspa</t>
        </is>
      </c>
      <c r="O149" t="inlineStr">
        <is>
          <t>https://www.jumbo.com.ar/shampoo-apple-180-ml-head-shoulders-2/p</t>
        </is>
      </c>
    </row>
    <row r="150">
      <c r="A150" s="2" t="inlineStr">
        <is>
          <t>Jumbo</t>
        </is>
      </c>
      <c r="B150" s="2" t="n">
        <v>3086505</v>
      </c>
      <c r="C150" s="2" t="n">
        <v>3085727</v>
      </c>
      <c r="D150" s="2" t="inlineStr">
        <is>
          <t>Shampoo Reparación Profunda Keratina Vegetal 415 Ml Tio Nacho Shampoo Keratina Vegetal  X 415 Ml Tio Nacho</t>
        </is>
      </c>
      <c r="E150" s="2" t="inlineStr">
        <is>
          <t>Tio Nacho</t>
        </is>
      </c>
      <c r="F150" s="2" t="n">
        <v>10800</v>
      </c>
      <c r="G150" s="2" t="n">
        <v>892562</v>
      </c>
      <c r="H150" s="2" t="b">
        <v>1</v>
      </c>
      <c r="I150" s="2" t="n">
        <v>415</v>
      </c>
      <c r="J150" s="2" t="n">
        <v>26.0241</v>
      </c>
      <c r="K150" s="2" t="inlineStr">
        <is>
          <t>&gt; Perfumería &gt; Cuidado Capilar &gt; Shampoo &gt;</t>
        </is>
      </c>
      <c r="L150" s="2" t="inlineStr">
        <is>
          <t>shampoo</t>
        </is>
      </c>
      <c r="M150" s="2" t="inlineStr">
        <is>
          <t>estandar</t>
        </is>
      </c>
      <c r="N150" s="2" t="inlineStr">
        <is>
          <t>tratado</t>
        </is>
      </c>
      <c r="O150" s="2" t="inlineStr">
        <is>
          <t>https://www.jumbo.com.ar/shampoo-keratina-vegetal-x-415-ml-tio-nacho/p</t>
        </is>
      </c>
    </row>
    <row r="151">
      <c r="A151" t="inlineStr">
        <is>
          <t>Jumbo</t>
        </is>
      </c>
      <c r="B151" t="n">
        <v>3085748</v>
      </c>
      <c r="C151" t="n">
        <v>3084976</v>
      </c>
      <c r="D151" t="inlineStr">
        <is>
          <t>Shampoo Anticaida Renovación Capilar X 375 Ml Head &amp; Shoulders</t>
        </is>
      </c>
      <c r="E151" t="inlineStr">
        <is>
          <t>HEAD &amp; SHOULDERS</t>
        </is>
      </c>
      <c r="F151" t="n">
        <v>12600</v>
      </c>
      <c r="G151" t="n">
        <v>1041322</v>
      </c>
      <c r="H151" t="b">
        <v>1</v>
      </c>
      <c r="I151" t="n">
        <v>375</v>
      </c>
      <c r="J151" t="n">
        <v>33.6</v>
      </c>
      <c r="K151" t="inlineStr">
        <is>
          <t>&gt; Perfumería &gt; Cuidado Capilar &gt; Shampoo &gt;</t>
        </is>
      </c>
      <c r="L151" t="inlineStr">
        <is>
          <t>shampoo</t>
        </is>
      </c>
      <c r="M151" t="inlineStr">
        <is>
          <t>estandar</t>
        </is>
      </c>
      <c r="N151" t="inlineStr">
        <is>
          <t>general</t>
        </is>
      </c>
      <c r="O151" t="inlineStr">
        <is>
          <t>https://www.jumbo.com.ar/shampoo-anticaida-renovacion-capilar-x-375-ml-head-shoulders/p</t>
        </is>
      </c>
    </row>
    <row r="152">
      <c r="A152" s="2" t="inlineStr">
        <is>
          <t>Jumbo</t>
        </is>
      </c>
      <c r="B152" s="2" t="n">
        <v>3085746</v>
      </c>
      <c r="C152" s="2" t="n">
        <v>3084974</v>
      </c>
      <c r="D152" s="2" t="inlineStr">
        <is>
          <t>Shampoo Anticaida Renovación Capilar X 650 Ml Head &amp; Shoulders</t>
        </is>
      </c>
      <c r="E152" s="2" t="inlineStr">
        <is>
          <t>HEAD &amp; SHOULDERS</t>
        </is>
      </c>
      <c r="F152" s="2" t="n">
        <v>19450</v>
      </c>
      <c r="G152" s="2" t="n">
        <v>1607438</v>
      </c>
      <c r="H152" s="2" t="b">
        <v>1</v>
      </c>
      <c r="I152" s="2" t="n">
        <v>650</v>
      </c>
      <c r="J152" s="2" t="n">
        <v>29.9231</v>
      </c>
      <c r="K152" s="2" t="inlineStr">
        <is>
          <t>&gt; Perfumería &gt; Cuidado Capilar &gt; Shampoo &gt;</t>
        </is>
      </c>
      <c r="L152" s="2" t="inlineStr">
        <is>
          <t>shampoo</t>
        </is>
      </c>
      <c r="M152" s="2" t="inlineStr">
        <is>
          <t>estandar</t>
        </is>
      </c>
      <c r="N152" s="2" t="inlineStr">
        <is>
          <t>general</t>
        </is>
      </c>
      <c r="O152" s="2" t="inlineStr">
        <is>
          <t>https://www.jumbo.com.ar/shampoo-anticaida-renovacion-capilar-x-650-ml-head-shoulders/p</t>
        </is>
      </c>
    </row>
    <row r="153">
      <c r="A153" t="inlineStr">
        <is>
          <t>Jumbo</t>
        </is>
      </c>
      <c r="B153" t="n">
        <v>414723</v>
      </c>
      <c r="C153" t="n">
        <v>410424</v>
      </c>
      <c r="D153" t="inlineStr">
        <is>
          <t>Shampoo Para Niños Fragancia Prolongada 200 Ml Johnson Baby</t>
        </is>
      </c>
      <c r="E153" t="inlineStr">
        <is>
          <t>JOHNSON BABY</t>
        </is>
      </c>
      <c r="F153" t="n">
        <v>6700</v>
      </c>
      <c r="G153" t="n">
        <v>553719</v>
      </c>
      <c r="H153" t="b">
        <v>1</v>
      </c>
      <c r="I153" t="n">
        <v>200</v>
      </c>
      <c r="J153" t="n">
        <v>33.5</v>
      </c>
      <c r="K153" t="inlineStr">
        <is>
          <t>&gt; Mundo Bebe &gt; Higiene para el Bebe &gt; Higiene del Bebé &gt;</t>
        </is>
      </c>
      <c r="L153" t="inlineStr">
        <is>
          <t>shampoo</t>
        </is>
      </c>
      <c r="M153" t="inlineStr">
        <is>
          <t>estandar</t>
        </is>
      </c>
      <c r="N153" t="inlineStr">
        <is>
          <t>bebe</t>
        </is>
      </c>
      <c r="O153" t="inlineStr">
        <is>
          <t>https://www.jumbo.com.ar/shampoo-para-ninos-fragancia-prolongada-200-ml-johnson-baby/p</t>
        </is>
      </c>
    </row>
    <row r="154">
      <c r="A154" s="2" t="inlineStr">
        <is>
          <t>Jumbo</t>
        </is>
      </c>
      <c r="B154" s="2" t="n">
        <v>414719</v>
      </c>
      <c r="C154" s="2" t="n">
        <v>410420</v>
      </c>
      <c r="D154" s="2" t="inlineStr">
        <is>
          <t>Shampoo Para Niños Gotas De Brillo 200 Ml Johnson Baby</t>
        </is>
      </c>
      <c r="E154" s="2" t="inlineStr">
        <is>
          <t>JOHNSON BABY</t>
        </is>
      </c>
      <c r="F154" s="2" t="n">
        <v>5800</v>
      </c>
      <c r="G154" s="2" t="n">
        <v>479339</v>
      </c>
      <c r="H154" s="2" t="b">
        <v>1</v>
      </c>
      <c r="I154" s="2" t="n">
        <v>200</v>
      </c>
      <c r="J154" s="2" t="n">
        <v>29</v>
      </c>
      <c r="K154" s="2" t="inlineStr">
        <is>
          <t>&gt; Mundo Bebe &gt; Higiene para el Bebe &gt; Higiene del Bebé &gt;</t>
        </is>
      </c>
      <c r="L154" s="2" t="inlineStr">
        <is>
          <t>shampoo</t>
        </is>
      </c>
      <c r="M154" s="2" t="inlineStr">
        <is>
          <t>estandar</t>
        </is>
      </c>
      <c r="N154" s="2" t="inlineStr">
        <is>
          <t>bebe</t>
        </is>
      </c>
      <c r="O154" s="2" t="inlineStr">
        <is>
          <t>https://www.jumbo.com.ar/shampoo-para-ninos-gotas-de-brillo-200-ml-johnson-baby/p</t>
        </is>
      </c>
    </row>
    <row r="155">
      <c r="A155" t="inlineStr">
        <is>
          <t>Jumbo</t>
        </is>
      </c>
      <c r="B155" t="n">
        <v>412491</v>
      </c>
      <c r="C155" t="n">
        <v>408100</v>
      </c>
      <c r="D155" t="inlineStr">
        <is>
          <t>Shampoo Rizos Poderosos con Óleo de Coco y Glicerina 350 Ml Fructis</t>
        </is>
      </c>
      <c r="E155" t="inlineStr">
        <is>
          <t>FRUCTIS</t>
        </is>
      </c>
      <c r="F155" t="n">
        <v>8600</v>
      </c>
      <c r="G155" t="n">
        <v>710744</v>
      </c>
      <c r="H155" t="b">
        <v>1</v>
      </c>
      <c r="I155" t="n">
        <v>350</v>
      </c>
      <c r="J155" t="n">
        <v>24.5714</v>
      </c>
      <c r="K155" t="inlineStr">
        <is>
          <t>&gt; Perfumería &gt; Cuidado Capilar &gt; Shampoo &gt;</t>
        </is>
      </c>
      <c r="L155" t="inlineStr">
        <is>
          <t>shampoo</t>
        </is>
      </c>
      <c r="M155" t="inlineStr">
        <is>
          <t>estandar</t>
        </is>
      </c>
      <c r="N155" t="inlineStr">
        <is>
          <t>rizado</t>
        </is>
      </c>
      <c r="O155" t="inlineStr">
        <is>
          <t>https://www.jumbo.com.ar/shampoo-fructis-rizos-poderosos-350ml-2/p</t>
        </is>
      </c>
    </row>
    <row r="156">
      <c r="A156" s="2" t="inlineStr">
        <is>
          <t>Jumbo</t>
        </is>
      </c>
      <c r="B156" s="2" t="n">
        <v>3079034</v>
      </c>
      <c r="C156" s="2" t="n">
        <v>3078358</v>
      </c>
      <c r="D156" s="2" t="inlineStr">
        <is>
          <t>Shampoo Para Bebé Original Refill X 180 Ml  Johnson's</t>
        </is>
      </c>
      <c r="E156" s="2" t="inlineStr">
        <is>
          <t>JOHNSON BABY</t>
        </is>
      </c>
      <c r="F156" s="2" t="n">
        <v>5350</v>
      </c>
      <c r="G156" s="2" t="n">
        <v>442149</v>
      </c>
      <c r="H156" s="2" t="b">
        <v>1</v>
      </c>
      <c r="I156" s="2" t="n">
        <v>180</v>
      </c>
      <c r="J156" s="2" t="n">
        <v>29.7222</v>
      </c>
      <c r="K156" s="2" t="inlineStr">
        <is>
          <t>&gt; Mundo Bebe &gt; Higiene para el Bebe &gt; Higiene del Bebé &gt;</t>
        </is>
      </c>
      <c r="L156" s="2" t="inlineStr">
        <is>
          <t>shampoo</t>
        </is>
      </c>
      <c r="M156" s="2" t="inlineStr">
        <is>
          <t>estandar</t>
        </is>
      </c>
      <c r="N156" s="2" t="inlineStr">
        <is>
          <t>bebe</t>
        </is>
      </c>
      <c r="O156" s="2" t="inlineStr">
        <is>
          <t>https://www.jumbo.com.ar/shampoo-para-bebe-original-refill-x-180-ml-johnson-s/p</t>
        </is>
      </c>
    </row>
    <row r="157">
      <c r="A157" t="inlineStr">
        <is>
          <t>Jumbo</t>
        </is>
      </c>
      <c r="B157" t="n">
        <v>3083784</v>
      </c>
      <c r="C157" t="n">
        <v>3083042</v>
      </c>
      <c r="D157" t="inlineStr">
        <is>
          <t>Shampoo 2 en 1 Control Caspa 415 Ml Tio Nacho</t>
        </is>
      </c>
      <c r="E157" t="inlineStr">
        <is>
          <t>Tio Nacho</t>
        </is>
      </c>
      <c r="F157" t="n">
        <v>11850</v>
      </c>
      <c r="G157" t="n">
        <v>979339</v>
      </c>
      <c r="H157" t="b">
        <v>1</v>
      </c>
      <c r="I157" t="n">
        <v>415</v>
      </c>
      <c r="J157" t="n">
        <v>28.5542</v>
      </c>
      <c r="K157" t="inlineStr">
        <is>
          <t>&gt; Perfumería &gt; Cuidado Capilar &gt; Shampoo &gt;</t>
        </is>
      </c>
      <c r="L157" t="inlineStr">
        <is>
          <t>shampoo</t>
        </is>
      </c>
      <c r="M157" t="inlineStr">
        <is>
          <t>estandar</t>
        </is>
      </c>
      <c r="N157" t="inlineStr">
        <is>
          <t>anticaspa</t>
        </is>
      </c>
      <c r="O157" t="inlineStr">
        <is>
          <t>https://www.jumbo.com.ar/shampoo-acondicionador-2-en-1-control-caspa-415-ml-tio-nacho/p</t>
        </is>
      </c>
    </row>
    <row r="158">
      <c r="A158" s="2" t="inlineStr">
        <is>
          <t>Jumbo</t>
        </is>
      </c>
      <c r="B158" s="2" t="n">
        <v>400556</v>
      </c>
      <c r="C158" s="2" t="n">
        <v>397894</v>
      </c>
      <c r="D158" s="2" t="inlineStr">
        <is>
          <t>Shampoo Kera-Liso para Cabello Alisado con Calor 200 Ml Elvive</t>
        </is>
      </c>
      <c r="E158" s="2" t="inlineStr">
        <is>
          <t>ELVIVE</t>
        </is>
      </c>
      <c r="F158" s="2" t="n">
        <v>7550</v>
      </c>
      <c r="G158" s="2" t="n">
        <v>623967</v>
      </c>
      <c r="H158" s="2" t="b">
        <v>1</v>
      </c>
      <c r="I158" s="2" t="n">
        <v>200</v>
      </c>
      <c r="J158" s="2" t="n">
        <v>37.75</v>
      </c>
      <c r="K158" s="2" t="inlineStr">
        <is>
          <t>&gt; Perfumería &gt; Cuidado Capilar &gt; Shampoo &gt;</t>
        </is>
      </c>
      <c r="L158" s="2" t="inlineStr">
        <is>
          <t>shampoo</t>
        </is>
      </c>
      <c r="M158" s="2" t="inlineStr">
        <is>
          <t>profesional</t>
        </is>
      </c>
      <c r="N158" s="2" t="inlineStr">
        <is>
          <t>tratado</t>
        </is>
      </c>
      <c r="O158" s="2" t="inlineStr">
        <is>
          <t>https://www.jumbo.com.ar/shampoo-elvive-kera-liso-200-ml/p</t>
        </is>
      </c>
    </row>
    <row r="159">
      <c r="A159" t="inlineStr">
        <is>
          <t>Jumbo</t>
        </is>
      </c>
      <c r="B159" t="n">
        <v>332647</v>
      </c>
      <c r="C159" t="n">
        <v>331802</v>
      </c>
      <c r="D159" t="inlineStr">
        <is>
          <t>Shampoo Anti Caspa Fuerza 180 Ml Head y Shoulders</t>
        </is>
      </c>
      <c r="E159" t="inlineStr">
        <is>
          <t>HEAD &amp; SHOULDERS</t>
        </is>
      </c>
      <c r="F159" t="n">
        <v>7650</v>
      </c>
      <c r="G159" t="n">
        <v>632231</v>
      </c>
      <c r="H159" t="b">
        <v>1</v>
      </c>
      <c r="I159" t="n">
        <v>180</v>
      </c>
      <c r="J159" t="n">
        <v>42.5</v>
      </c>
      <c r="K159" t="inlineStr">
        <is>
          <t>&gt; Perfumería &gt; Cuidado Capilar &gt; Shampoo &gt;</t>
        </is>
      </c>
      <c r="L159" t="inlineStr">
        <is>
          <t>shampoo</t>
        </is>
      </c>
      <c r="M159" t="inlineStr">
        <is>
          <t>estandar</t>
        </is>
      </c>
      <c r="N159" t="inlineStr">
        <is>
          <t>anticaspa</t>
        </is>
      </c>
      <c r="O159" t="inlineStr">
        <is>
          <t>https://www.jumbo.com.ar/shampoo-fuerza-180-ml-head-shoulders-2/p</t>
        </is>
      </c>
    </row>
    <row r="160">
      <c r="A160" s="2" t="inlineStr">
        <is>
          <t>Jumbo</t>
        </is>
      </c>
      <c r="B160" s="2" t="n">
        <v>298524</v>
      </c>
      <c r="C160" s="2" t="n">
        <v>297753</v>
      </c>
      <c r="D160" s="2" t="inlineStr">
        <is>
          <t>Shampoo para Perros y Gatos Pulguicida/Garrapaticida 500 Ml Pet' S Class</t>
        </is>
      </c>
      <c r="E160" s="2" t="inlineStr">
        <is>
          <t>PET' S CLASS</t>
        </is>
      </c>
      <c r="F160" s="2" t="n">
        <v>9600</v>
      </c>
      <c r="G160" s="2" t="n">
        <v>793388</v>
      </c>
      <c r="H160" s="2" t="b">
        <v>1</v>
      </c>
      <c r="I160" s="2" t="n">
        <v>500</v>
      </c>
      <c r="J160" s="2" t="n">
        <v>19.2</v>
      </c>
      <c r="K160" s="2" t="inlineStr">
        <is>
          <t>&gt; Mascotas &gt; Accesorios para Mascotas &gt;</t>
        </is>
      </c>
      <c r="L160" s="2" t="inlineStr">
        <is>
          <t>shampoo</t>
        </is>
      </c>
      <c r="M160" s="2" t="inlineStr">
        <is>
          <t>estandar</t>
        </is>
      </c>
      <c r="N160" s="2" t="inlineStr">
        <is>
          <t>general</t>
        </is>
      </c>
      <c r="O160" s="2" t="inlineStr">
        <is>
          <t>https://www.jumbo.com.ar/shampoo-para-perro-pets-class-pulguicida-garrapata/p</t>
        </is>
      </c>
    </row>
    <row r="161">
      <c r="A161" t="inlineStr">
        <is>
          <t>Jumbo</t>
        </is>
      </c>
      <c r="B161" t="n">
        <v>1360921</v>
      </c>
      <c r="C161" t="n">
        <v>1360329</v>
      </c>
      <c r="D161" t="inlineStr">
        <is>
          <t>Shampoo Men+Care Control Fortificante Anti-Caspa 400 Ml Dove</t>
        </is>
      </c>
      <c r="E161" t="inlineStr">
        <is>
          <t>DOVE</t>
        </is>
      </c>
      <c r="F161" t="n">
        <v>10000</v>
      </c>
      <c r="G161" t="n">
        <v>826446</v>
      </c>
      <c r="H161" t="b">
        <v>1</v>
      </c>
      <c r="I161" t="n">
        <v>400</v>
      </c>
      <c r="J161" t="n">
        <v>25</v>
      </c>
      <c r="K161" t="inlineStr">
        <is>
          <t>&gt; Perfumería &gt; Cuidado Capilar &gt; Shampoo &gt;</t>
        </is>
      </c>
      <c r="L161" t="inlineStr">
        <is>
          <t>shampoo</t>
        </is>
      </c>
      <c r="M161" t="inlineStr">
        <is>
          <t>estandar</t>
        </is>
      </c>
      <c r="N161" t="inlineStr">
        <is>
          <t>anticaspa</t>
        </is>
      </c>
      <c r="O161" t="inlineStr">
        <is>
          <t>https://www.jumbo.com.ar/shampoo-dove-control-fortificante-400-ml-2/p</t>
        </is>
      </c>
    </row>
    <row r="162">
      <c r="A162" s="2" t="inlineStr">
        <is>
          <t>Jumbo</t>
        </is>
      </c>
      <c r="B162" s="2" t="n">
        <v>3083500</v>
      </c>
      <c r="C162" s="2" t="n">
        <v>3082775</v>
      </c>
      <c r="D162" s="2" t="inlineStr">
        <is>
          <t>Shampoo Brillo Anti-residuos Glycolic Cristal 400 Ml Elvive</t>
        </is>
      </c>
      <c r="E162" s="2" t="inlineStr">
        <is>
          <t>ELVIVE</t>
        </is>
      </c>
      <c r="F162" s="2" t="n">
        <v>11400</v>
      </c>
      <c r="G162" s="2" t="n">
        <v>942149</v>
      </c>
      <c r="H162" s="2" t="b">
        <v>1</v>
      </c>
      <c r="I162" s="2" t="n">
        <v>400</v>
      </c>
      <c r="J162" s="2" t="n">
        <v>28.5</v>
      </c>
      <c r="K162" s="2" t="inlineStr">
        <is>
          <t>&gt; Perfumería &gt; Cuidado Capilar &gt; Shampoo &gt;</t>
        </is>
      </c>
      <c r="L162" s="2" t="inlineStr">
        <is>
          <t>shampoo</t>
        </is>
      </c>
      <c r="M162" s="2" t="inlineStr">
        <is>
          <t>profesional</t>
        </is>
      </c>
      <c r="N162" s="2" t="inlineStr">
        <is>
          <t>general</t>
        </is>
      </c>
      <c r="O162" s="2" t="inlineStr">
        <is>
          <t>https://www.jumbo.com.ar/shampoo-brillo-anti-residuos-glycolic-cristal-x-400-ml-elvive/p</t>
        </is>
      </c>
    </row>
    <row r="163">
      <c r="A163" t="inlineStr">
        <is>
          <t>Jumbo</t>
        </is>
      </c>
      <c r="B163" t="n">
        <v>400535</v>
      </c>
      <c r="C163" t="n">
        <v>397873</v>
      </c>
      <c r="D163" t="inlineStr">
        <is>
          <t>Shampoo Hidra Hialurónico para Cabello Deshidratado 200 Ml Elvive</t>
        </is>
      </c>
      <c r="E163" t="inlineStr">
        <is>
          <t>ELVIVE</t>
        </is>
      </c>
      <c r="F163" t="n">
        <v>7550</v>
      </c>
      <c r="G163" t="n">
        <v>623967</v>
      </c>
      <c r="H163" t="b">
        <v>1</v>
      </c>
      <c r="I163" t="n">
        <v>200</v>
      </c>
      <c r="J163" t="n">
        <v>37.75</v>
      </c>
      <c r="K163" t="inlineStr">
        <is>
          <t>&gt; Perfumería &gt; Cuidado Capilar &gt; Shampoo &gt;</t>
        </is>
      </c>
      <c r="L163" t="inlineStr">
        <is>
          <t>shampoo</t>
        </is>
      </c>
      <c r="M163" t="inlineStr">
        <is>
          <t>profesional</t>
        </is>
      </c>
      <c r="N163" t="inlineStr">
        <is>
          <t>seco_danado</t>
        </is>
      </c>
      <c r="O163" t="inlineStr">
        <is>
          <t>https://www.jumbo.com.ar/shampoo-elvive-hidra-hialuronico-200-ml/p</t>
        </is>
      </c>
    </row>
    <row r="164">
      <c r="A164" s="2" t="inlineStr">
        <is>
          <t>Jumbo</t>
        </is>
      </c>
      <c r="B164" s="2" t="n">
        <v>424109</v>
      </c>
      <c r="C164" s="2" t="n">
        <v>417110</v>
      </c>
      <c r="D164" s="2" t="inlineStr">
        <is>
          <t>Shampoo Anti Caspa Manzana Fresh 650 Ml Head y Shoulders</t>
        </is>
      </c>
      <c r="E164" s="2" t="inlineStr">
        <is>
          <t>HEAD &amp; SHOULDERS</t>
        </is>
      </c>
      <c r="F164" s="2" t="n">
        <v>19900</v>
      </c>
      <c r="G164" s="2" t="n">
        <v>1644628</v>
      </c>
      <c r="H164" s="2" t="b">
        <v>1</v>
      </c>
      <c r="I164" s="2" t="n">
        <v>650</v>
      </c>
      <c r="J164" s="2" t="n">
        <v>30.6154</v>
      </c>
      <c r="K164" s="2" t="inlineStr">
        <is>
          <t>&gt; Perfumería &gt; Cuidado Capilar &gt; Shampoo &gt;</t>
        </is>
      </c>
      <c r="L164" s="2" t="inlineStr">
        <is>
          <t>shampoo</t>
        </is>
      </c>
      <c r="M164" s="2" t="inlineStr">
        <is>
          <t>estandar</t>
        </is>
      </c>
      <c r="N164" s="2" t="inlineStr">
        <is>
          <t>anticaspa</t>
        </is>
      </c>
      <c r="O164" s="2" t="inlineStr">
        <is>
          <t>https://www.jumbo.com.ar/shampoo-apple-650-ml-head-shoulders-2/p</t>
        </is>
      </c>
    </row>
    <row r="165">
      <c r="A165" t="inlineStr">
        <is>
          <t>Jumbo</t>
        </is>
      </c>
      <c r="B165" t="n">
        <v>349492</v>
      </c>
      <c r="C165" t="n">
        <v>348152</v>
      </c>
      <c r="D165" t="inlineStr">
        <is>
          <t>Shampoo Protección con Óleo de Coco y Karité 1000 Ml Plusbelle</t>
        </is>
      </c>
      <c r="E165" t="inlineStr">
        <is>
          <t>PLUSBELLE</t>
        </is>
      </c>
      <c r="F165" t="n">
        <v>5750</v>
      </c>
      <c r="G165" t="n">
        <v>475207</v>
      </c>
      <c r="H165" t="b">
        <v>1</v>
      </c>
      <c r="I165" t="n">
        <v>1000</v>
      </c>
      <c r="J165" t="n">
        <v>5.75</v>
      </c>
      <c r="K165" t="inlineStr">
        <is>
          <t>&gt; Perfumería &gt; Cuidado Capilar &gt; Shampoo &gt;</t>
        </is>
      </c>
      <c r="L165" t="inlineStr">
        <is>
          <t>shampoo</t>
        </is>
      </c>
      <c r="M165" t="inlineStr">
        <is>
          <t>estandar</t>
        </is>
      </c>
      <c r="N165" t="inlineStr">
        <is>
          <t>general</t>
        </is>
      </c>
      <c r="O165" t="inlineStr">
        <is>
          <t>https://www.jumbo.com.ar/shampoo-proteccion-1000-ml-plusbelle/p</t>
        </is>
      </c>
    </row>
    <row r="166">
      <c r="A166" s="2" t="inlineStr">
        <is>
          <t>Jumbo</t>
        </is>
      </c>
      <c r="B166" s="2" t="n">
        <v>275406</v>
      </c>
      <c r="C166" s="2" t="n">
        <v>274702</v>
      </c>
      <c r="D166" s="2" t="inlineStr">
        <is>
          <t>Shampoo Anti Caspa Apple 375 Ml Head y Shoulders</t>
        </is>
      </c>
      <c r="E166" s="2" t="inlineStr">
        <is>
          <t>HEAD &amp; SHOULDERS</t>
        </is>
      </c>
      <c r="F166" s="2" t="n">
        <v>12900</v>
      </c>
      <c r="G166" s="2" t="n">
        <v>1066116</v>
      </c>
      <c r="H166" s="2" t="b">
        <v>1</v>
      </c>
      <c r="I166" s="2" t="n">
        <v>375</v>
      </c>
      <c r="J166" s="2" t="n">
        <v>34.4</v>
      </c>
      <c r="K166" s="2" t="inlineStr">
        <is>
          <t>&gt; Perfumería &gt; Cuidado Capilar &gt; Shampoo &gt;</t>
        </is>
      </c>
      <c r="L166" s="2" t="inlineStr">
        <is>
          <t>shampoo</t>
        </is>
      </c>
      <c r="M166" s="2" t="inlineStr">
        <is>
          <t>estandar</t>
        </is>
      </c>
      <c r="N166" s="2" t="inlineStr">
        <is>
          <t>anticaspa</t>
        </is>
      </c>
      <c r="O166" s="2" t="inlineStr">
        <is>
          <t>https://www.jumbo.com.ar/shampoo-apple-375-ml-head-shoulders-2/p</t>
        </is>
      </c>
    </row>
    <row r="167">
      <c r="A167" t="inlineStr">
        <is>
          <t>Jumbo</t>
        </is>
      </c>
      <c r="B167" t="n">
        <v>3083499</v>
      </c>
      <c r="C167" t="n">
        <v>3082774</v>
      </c>
      <c r="D167" t="inlineStr">
        <is>
          <t>Shampoo Brillo Anti-residuos Glycolic Cristal 200 Ml Elvive</t>
        </is>
      </c>
      <c r="E167" t="inlineStr">
        <is>
          <t>ELVIVE</t>
        </is>
      </c>
      <c r="F167" t="n">
        <v>7750</v>
      </c>
      <c r="G167" t="n">
        <v>640496</v>
      </c>
      <c r="H167" t="b">
        <v>1</v>
      </c>
      <c r="I167" t="n">
        <v>200</v>
      </c>
      <c r="J167" t="n">
        <v>38.75</v>
      </c>
      <c r="K167" t="inlineStr">
        <is>
          <t>&gt; Perfumería &gt; Cuidado Capilar &gt; Shampoo &gt;</t>
        </is>
      </c>
      <c r="L167" t="inlineStr">
        <is>
          <t>shampoo</t>
        </is>
      </c>
      <c r="M167" t="inlineStr">
        <is>
          <t>profesional</t>
        </is>
      </c>
      <c r="N167" t="inlineStr">
        <is>
          <t>general</t>
        </is>
      </c>
      <c r="O167" t="inlineStr">
        <is>
          <t>https://www.jumbo.com.ar/shampoo-brillo-anti-residuos-glycolic-cristal-x-200-ml-elvive/p</t>
        </is>
      </c>
    </row>
    <row r="168">
      <c r="A168" s="2" t="inlineStr">
        <is>
          <t>Jumbo</t>
        </is>
      </c>
      <c r="B168" s="2" t="n">
        <v>424004</v>
      </c>
      <c r="C168" s="2" t="n">
        <v>417081</v>
      </c>
      <c r="D168" s="2" t="inlineStr">
        <is>
          <t>Shampoo Anti-Caspa Hidratación Aceite de Coco 650 Ml Head y Shoulders</t>
        </is>
      </c>
      <c r="E168" s="2" t="inlineStr">
        <is>
          <t>HEAD &amp; SHOULDERS</t>
        </is>
      </c>
      <c r="F168" s="2" t="n">
        <v>19900</v>
      </c>
      <c r="G168" s="2" t="n">
        <v>1644628</v>
      </c>
      <c r="H168" s="2" t="b">
        <v>1</v>
      </c>
      <c r="I168" s="2" t="n">
        <v>650</v>
      </c>
      <c r="J168" s="2" t="n">
        <v>30.6154</v>
      </c>
      <c r="K168" s="2" t="inlineStr">
        <is>
          <t>&gt; Perfumería &gt; Cuidado Capilar &gt; Shampoo &gt;</t>
        </is>
      </c>
      <c r="L168" s="2" t="inlineStr">
        <is>
          <t>shampoo</t>
        </is>
      </c>
      <c r="M168" s="2" t="inlineStr">
        <is>
          <t>estandar</t>
        </is>
      </c>
      <c r="N168" s="2" t="inlineStr">
        <is>
          <t>anticaspa</t>
        </is>
      </c>
      <c r="O168" s="2" t="inlineStr">
        <is>
          <t>https://www.jumbo.com.ar/shampoo-coconut-650-ml-head-shoulders-2/p</t>
        </is>
      </c>
    </row>
    <row r="169">
      <c r="A169" t="inlineStr">
        <is>
          <t>Jumbo</t>
        </is>
      </c>
      <c r="B169" t="n">
        <v>414865</v>
      </c>
      <c r="C169" t="n">
        <v>410565</v>
      </c>
      <c r="D169" t="inlineStr">
        <is>
          <t>Shampoo para Niños Rulos de Ensueño con Manteca de Karité 200 Ml Johnson's</t>
        </is>
      </c>
      <c r="E169" t="inlineStr">
        <is>
          <t>JOHNSON BABY</t>
        </is>
      </c>
      <c r="F169" t="n">
        <v>6700</v>
      </c>
      <c r="G169" t="n">
        <v>553719</v>
      </c>
      <c r="H169" t="b">
        <v>1</v>
      </c>
      <c r="I169" t="n">
        <v>200</v>
      </c>
      <c r="J169" t="n">
        <v>33.5</v>
      </c>
      <c r="K169" t="inlineStr">
        <is>
          <t>&gt; Mundo Bebe &gt; Higiene para el Bebe &gt; Higiene del Bebé &gt;</t>
        </is>
      </c>
      <c r="L169" t="inlineStr">
        <is>
          <t>shampoo</t>
        </is>
      </c>
      <c r="M169" t="inlineStr">
        <is>
          <t>estandar</t>
        </is>
      </c>
      <c r="N169" t="inlineStr">
        <is>
          <t>rizado</t>
        </is>
      </c>
      <c r="O169" t="inlineStr">
        <is>
          <t>https://www.jumbo.com.ar/shampoo-para-ninos-rulos-de-ensueno-200-ml-johnson-baby/p</t>
        </is>
      </c>
    </row>
    <row r="170">
      <c r="A170" s="2" t="inlineStr">
        <is>
          <t>Jumbo</t>
        </is>
      </c>
      <c r="B170" s="2" t="n">
        <v>411487</v>
      </c>
      <c r="C170" s="2" t="n">
        <v>407305</v>
      </c>
      <c r="D170" s="2" t="inlineStr">
        <is>
          <t>Shampoo Tratante Anti-Caspa Ortiga Concentrado 420 Ml Capilatis</t>
        </is>
      </c>
      <c r="E170" s="2" t="inlineStr">
        <is>
          <t>CAPILATIS</t>
        </is>
      </c>
      <c r="F170" s="2" t="n">
        <v>10700</v>
      </c>
      <c r="G170" s="2" t="n">
        <v>884298</v>
      </c>
      <c r="H170" s="2" t="b">
        <v>1</v>
      </c>
      <c r="I170" s="2" t="n">
        <v>420</v>
      </c>
      <c r="J170" s="2" t="n">
        <v>25.4762</v>
      </c>
      <c r="K170" s="2" t="inlineStr">
        <is>
          <t>&gt; Perfumería &gt; Cuidado Capilar &gt; Shampoo &gt;</t>
        </is>
      </c>
      <c r="L170" s="2" t="inlineStr">
        <is>
          <t>shampoo</t>
        </is>
      </c>
      <c r="M170" s="2" t="inlineStr">
        <is>
          <t>estandar</t>
        </is>
      </c>
      <c r="N170" s="2" t="inlineStr">
        <is>
          <t>anticaspa</t>
        </is>
      </c>
      <c r="O170" s="2" t="inlineStr">
        <is>
          <t>https://www.jumbo.com.ar/shampoo-ortiga-caspa-concentrado-420-ml-capilatis/p</t>
        </is>
      </c>
    </row>
    <row r="171">
      <c r="A171" t="inlineStr">
        <is>
          <t>Jumbo</t>
        </is>
      </c>
      <c r="B171" t="n">
        <v>400531</v>
      </c>
      <c r="C171" t="n">
        <v>397869</v>
      </c>
      <c r="D171" t="inlineStr">
        <is>
          <t>Shampoo Color Vive para Cabello Teñido 200 Ml Elvive</t>
        </is>
      </c>
      <c r="E171" t="inlineStr">
        <is>
          <t>ELVIVE</t>
        </is>
      </c>
      <c r="F171" t="n">
        <v>7400</v>
      </c>
      <c r="G171" t="n">
        <v>611570</v>
      </c>
      <c r="H171" t="b">
        <v>1</v>
      </c>
      <c r="I171" t="n">
        <v>200</v>
      </c>
      <c r="J171" t="n">
        <v>37</v>
      </c>
      <c r="K171" t="inlineStr">
        <is>
          <t>&gt; Perfumería &gt; Cuidado Capilar &gt; Shampoo &gt;</t>
        </is>
      </c>
      <c r="L171" t="inlineStr">
        <is>
          <t>shampoo</t>
        </is>
      </c>
      <c r="M171" t="inlineStr">
        <is>
          <t>profesional</t>
        </is>
      </c>
      <c r="N171" t="inlineStr">
        <is>
          <t>tratado</t>
        </is>
      </c>
      <c r="O171" t="inlineStr">
        <is>
          <t>https://www.jumbo.com.ar/shampoo-elvive-colorvive-200-ml-3/p</t>
        </is>
      </c>
    </row>
    <row r="172">
      <c r="A172" s="2" t="inlineStr">
        <is>
          <t>Jumbo</t>
        </is>
      </c>
      <c r="B172" s="2" t="n">
        <v>3085747</v>
      </c>
      <c r="C172" s="2" t="n">
        <v>3084975</v>
      </c>
      <c r="D172" s="2" t="inlineStr">
        <is>
          <t>Shampoo Anticaida Renovación Capilar X 180 Ml Head &amp; Shoulders</t>
        </is>
      </c>
      <c r="E172" s="2" t="inlineStr">
        <is>
          <t>HEAD &amp; SHOULDERS</t>
        </is>
      </c>
      <c r="F172" s="2" t="n">
        <v>7550</v>
      </c>
      <c r="G172" s="2" t="n">
        <v>623967</v>
      </c>
      <c r="H172" s="2" t="b">
        <v>1</v>
      </c>
      <c r="I172" s="2" t="n">
        <v>180</v>
      </c>
      <c r="J172" s="2" t="n">
        <v>41.9444</v>
      </c>
      <c r="K172" s="2" t="inlineStr">
        <is>
          <t>&gt; Perfumería &gt; Cuidado Capilar &gt; Shampoo &gt;</t>
        </is>
      </c>
      <c r="L172" s="2" t="inlineStr">
        <is>
          <t>shampoo</t>
        </is>
      </c>
      <c r="M172" s="2" t="inlineStr">
        <is>
          <t>estandar</t>
        </is>
      </c>
      <c r="N172" s="2" t="inlineStr">
        <is>
          <t>general</t>
        </is>
      </c>
      <c r="O172" s="2" t="inlineStr">
        <is>
          <t>https://www.jumbo.com.ar/shampoo-anticaida-renovacion-capilar-x-180-ml-head-shoulders/p</t>
        </is>
      </c>
    </row>
    <row r="173">
      <c r="A173" t="inlineStr">
        <is>
          <t>Jumbo</t>
        </is>
      </c>
      <c r="B173" t="n">
        <v>3073298</v>
      </c>
      <c r="C173" t="n">
        <v>3072803</v>
      </c>
      <c r="D173" t="inlineStr">
        <is>
          <t>Shampoo Brillo Sublime para Cabello Opaco 350 Ml Bagovit</t>
        </is>
      </c>
      <c r="E173" t="inlineStr">
        <is>
          <t>BAGOVIT</t>
        </is>
      </c>
      <c r="F173" t="n">
        <v>9800</v>
      </c>
      <c r="G173" t="n">
        <v>809917</v>
      </c>
      <c r="H173" t="b">
        <v>1</v>
      </c>
      <c r="I173" t="n">
        <v>350</v>
      </c>
      <c r="J173" t="n">
        <v>28</v>
      </c>
      <c r="K173" t="inlineStr">
        <is>
          <t>&gt; Perfumería &gt; Cuidado Capilar &gt; Shampoo &gt;</t>
        </is>
      </c>
      <c r="L173" t="inlineStr">
        <is>
          <t>shampoo</t>
        </is>
      </c>
      <c r="M173" t="inlineStr">
        <is>
          <t>estandar</t>
        </is>
      </c>
      <c r="N173" t="inlineStr">
        <is>
          <t>general</t>
        </is>
      </c>
      <c r="O173" t="inlineStr">
        <is>
          <t>https://www.jumbo.com.ar/shampoo-brillo-sublime-x-350-ml-bagovit/p</t>
        </is>
      </c>
    </row>
    <row r="174">
      <c r="A174" s="2" t="inlineStr">
        <is>
          <t>Jumbo</t>
        </is>
      </c>
      <c r="B174" s="2" t="n">
        <v>411923</v>
      </c>
      <c r="C174" s="2" t="n">
        <v>407644</v>
      </c>
      <c r="D174" s="2" t="inlineStr">
        <is>
          <t>Shampoo Color Express Cobertura de Canas Castaño 25 Ml Issue</t>
        </is>
      </c>
      <c r="E174" s="2" t="inlineStr">
        <is>
          <t>ISSUE</t>
        </is>
      </c>
      <c r="F174" s="2" t="n">
        <v>4950</v>
      </c>
      <c r="G174" s="2" t="n">
        <v>409091</v>
      </c>
      <c r="H174" s="2" t="b">
        <v>1</v>
      </c>
      <c r="I174" s="2" t="n">
        <v>25</v>
      </c>
      <c r="J174" s="2" t="n">
        <v>198</v>
      </c>
      <c r="K174" s="2" t="inlineStr">
        <is>
          <t>&gt; Perfumería &gt; Cuidado Capilar &gt; Coloración &gt;</t>
        </is>
      </c>
      <c r="L174" s="2" t="inlineStr">
        <is>
          <t>shampoo</t>
        </is>
      </c>
      <c r="M174" s="2" t="inlineStr">
        <is>
          <t>estandar</t>
        </is>
      </c>
      <c r="N174" s="2" t="inlineStr">
        <is>
          <t>tratado</t>
        </is>
      </c>
      <c r="O174" s="2" t="inlineStr">
        <is>
          <t>https://www.jumbo.com.ar/shampoo-color-express-castano-25-ml-issue/p</t>
        </is>
      </c>
    </row>
    <row r="175">
      <c r="A175" t="inlineStr">
        <is>
          <t>Jumbo</t>
        </is>
      </c>
      <c r="B175" t="n">
        <v>346768</v>
      </c>
      <c r="C175" t="n">
        <v>345443</v>
      </c>
      <c r="D175" t="inlineStr">
        <is>
          <t>Shampoo Nutrición Intensa Oleo Extraordinario Coco 200 Ml Elvive</t>
        </is>
      </c>
      <c r="E175" t="inlineStr">
        <is>
          <t>ELVIVE</t>
        </is>
      </c>
      <c r="F175" t="n">
        <v>7550</v>
      </c>
      <c r="G175" t="n">
        <v>623967</v>
      </c>
      <c r="H175" t="b">
        <v>1</v>
      </c>
      <c r="I175" t="n">
        <v>200</v>
      </c>
      <c r="J175" t="n">
        <v>37.75</v>
      </c>
      <c r="K175" t="inlineStr">
        <is>
          <t>&gt; Perfumería &gt; Cuidado Capilar &gt; Shampoo &gt;</t>
        </is>
      </c>
      <c r="L175" t="inlineStr">
        <is>
          <t>shampoo</t>
        </is>
      </c>
      <c r="M175" t="inlineStr">
        <is>
          <t>profesional</t>
        </is>
      </c>
      <c r="N175" t="inlineStr">
        <is>
          <t>general</t>
        </is>
      </c>
      <c r="O175" t="inlineStr">
        <is>
          <t>https://www.jumbo.com.ar/shampoo-elvive-oleo-extraordinario-coco-200-ml/p</t>
        </is>
      </c>
    </row>
    <row r="176">
      <c r="A176" s="2" t="inlineStr">
        <is>
          <t>Jumbo</t>
        </is>
      </c>
      <c r="B176" s="2" t="n">
        <v>391923</v>
      </c>
      <c r="C176" s="2" t="n">
        <v>389975</v>
      </c>
      <c r="D176" s="2" t="inlineStr">
        <is>
          <t>Shampoo Anti-Caspa Limpieza y Revitalización 375 Ml Head y Shoulders</t>
        </is>
      </c>
      <c r="E176" s="2" t="inlineStr">
        <is>
          <t>HEAD &amp; SHOULDERS</t>
        </is>
      </c>
      <c r="F176" s="2" t="n">
        <v>12900</v>
      </c>
      <c r="G176" s="2" t="n">
        <v>1066116</v>
      </c>
      <c r="H176" s="2" t="b">
        <v>1</v>
      </c>
      <c r="I176" s="2" t="n">
        <v>375</v>
      </c>
      <c r="J176" s="2" t="n">
        <v>34.4</v>
      </c>
      <c r="K176" s="2" t="inlineStr">
        <is>
          <t>&gt; Perfumería &gt; Cuidado Capilar &gt; Shampoo &gt;</t>
        </is>
      </c>
      <c r="L176" s="2" t="inlineStr">
        <is>
          <t>shampoo</t>
        </is>
      </c>
      <c r="M176" s="2" t="inlineStr">
        <is>
          <t>estandar</t>
        </is>
      </c>
      <c r="N176" s="2" t="inlineStr">
        <is>
          <t>anticaspa</t>
        </is>
      </c>
      <c r="O176" s="2" t="inlineStr">
        <is>
          <t>https://www.jumbo.com.ar/shampoo-limpieza-y-revitalizacion-375-ml-head-shoulders/p</t>
        </is>
      </c>
    </row>
    <row r="177">
      <c r="A177" t="inlineStr">
        <is>
          <t>Jumbo</t>
        </is>
      </c>
      <c r="B177" t="n">
        <v>391857</v>
      </c>
      <c r="C177" t="n">
        <v>389909</v>
      </c>
      <c r="D177" t="inlineStr">
        <is>
          <t>Shampoo Anti-Caspa Aceite de Argán 180 Ml Head y Shoulders</t>
        </is>
      </c>
      <c r="E177" t="inlineStr">
        <is>
          <t>HEAD &amp; SHOULDERS</t>
        </is>
      </c>
      <c r="F177" t="n">
        <v>7800</v>
      </c>
      <c r="G177" t="n">
        <v>644628</v>
      </c>
      <c r="H177" t="b">
        <v>1</v>
      </c>
      <c r="I177" t="n">
        <v>180</v>
      </c>
      <c r="J177" t="n">
        <v>43.3333</v>
      </c>
      <c r="K177" t="inlineStr">
        <is>
          <t>&gt; Perfumería &gt; Cuidado Capilar &gt; Shampoo &gt;</t>
        </is>
      </c>
      <c r="L177" t="inlineStr">
        <is>
          <t>shampoo</t>
        </is>
      </c>
      <c r="M177" t="inlineStr">
        <is>
          <t>estandar</t>
        </is>
      </c>
      <c r="N177" t="inlineStr">
        <is>
          <t>anticaspa</t>
        </is>
      </c>
      <c r="O177" t="inlineStr">
        <is>
          <t>https://www.jumbo.com.ar/shampoo-aceite-de-argan-shampoo-180-ml-head-shoulders-2/p</t>
        </is>
      </c>
    </row>
    <row r="178">
      <c r="A178" s="2" t="inlineStr">
        <is>
          <t>Jumbo</t>
        </is>
      </c>
      <c r="B178" s="2" t="n">
        <v>384031</v>
      </c>
      <c r="C178" s="2" t="n">
        <v>382752</v>
      </c>
      <c r="D178" s="2" t="inlineStr">
        <is>
          <t>Shampoo Hidratación Cabello Deshidratado Aloe Vera 300 Ml Fructis</t>
        </is>
      </c>
      <c r="E178" s="2" t="inlineStr">
        <is>
          <t>FRUCTIS</t>
        </is>
      </c>
      <c r="F178" s="2" t="n">
        <v>12050</v>
      </c>
      <c r="G178" s="2" t="n">
        <v>995868</v>
      </c>
      <c r="H178" s="2" t="b">
        <v>1</v>
      </c>
      <c r="I178" s="2" t="n">
        <v>300</v>
      </c>
      <c r="J178" s="2" t="n">
        <v>40.1667</v>
      </c>
      <c r="K178" s="2" t="inlineStr">
        <is>
          <t>&gt; Perfumería &gt; Cuidado Capilar &gt; Shampoo &gt;</t>
        </is>
      </c>
      <c r="L178" s="2" t="inlineStr">
        <is>
          <t>shampoo</t>
        </is>
      </c>
      <c r="M178" s="2" t="inlineStr">
        <is>
          <t>estandar</t>
        </is>
      </c>
      <c r="N178" s="2" t="inlineStr">
        <is>
          <t>seco_danado</t>
        </is>
      </c>
      <c r="O178" s="2" t="inlineStr">
        <is>
          <t>https://www.jumbo.com.ar/shampoo-fructis-hair-food-aloe-300-ml/p</t>
        </is>
      </c>
    </row>
    <row r="179">
      <c r="A179" t="inlineStr">
        <is>
          <t>Jumbo</t>
        </is>
      </c>
      <c r="B179" t="n">
        <v>310204</v>
      </c>
      <c r="C179" t="n">
        <v>309442</v>
      </c>
      <c r="D179" t="inlineStr">
        <is>
          <t>Shampoo Anti Caspa Hidratación Aceite de Coco 180 Ml Head y Shoulders</t>
        </is>
      </c>
      <c r="E179" t="inlineStr">
        <is>
          <t>HEAD &amp; SHOULDERS</t>
        </is>
      </c>
      <c r="F179" t="n">
        <v>7800</v>
      </c>
      <c r="G179" t="n">
        <v>644628</v>
      </c>
      <c r="H179" t="b">
        <v>1</v>
      </c>
      <c r="I179" t="n">
        <v>180</v>
      </c>
      <c r="J179" t="n">
        <v>43.3333</v>
      </c>
      <c r="K179" t="inlineStr">
        <is>
          <t>&gt; Perfumería &gt; Cuidado Capilar &gt; Shampoo &gt;</t>
        </is>
      </c>
      <c r="L179" t="inlineStr">
        <is>
          <t>shampoo</t>
        </is>
      </c>
      <c r="M179" t="inlineStr">
        <is>
          <t>estandar</t>
        </is>
      </c>
      <c r="N179" t="inlineStr">
        <is>
          <t>anticaspa</t>
        </is>
      </c>
      <c r="O179" t="inlineStr">
        <is>
          <t>https://www.jumbo.com.ar/shampoo-coconut-180-ml-head-shoulders-2/p</t>
        </is>
      </c>
    </row>
    <row r="180">
      <c r="A180" s="2" t="inlineStr">
        <is>
          <t>Jumbo</t>
        </is>
      </c>
      <c r="B180" s="2" t="n">
        <v>401190</v>
      </c>
      <c r="C180" s="2" t="n">
        <v>398528</v>
      </c>
      <c r="D180" s="2" t="inlineStr">
        <is>
          <t>Shampoo Pro-v Miracles Detox Limpia y Purifica 750 Ml Pantene</t>
        </is>
      </c>
      <c r="E180" s="2" t="inlineStr">
        <is>
          <t>PANTENE</t>
        </is>
      </c>
      <c r="F180" s="2" t="n">
        <v>17600</v>
      </c>
      <c r="G180" s="2" t="n">
        <v>1454545</v>
      </c>
      <c r="H180" s="2" t="b">
        <v>1</v>
      </c>
      <c r="I180" s="2" t="n">
        <v>750</v>
      </c>
      <c r="J180" s="2" t="n">
        <v>23.4667</v>
      </c>
      <c r="K180" s="2" t="inlineStr">
        <is>
          <t>&gt; Perfumería &gt; Cuidado Capilar &gt; Shampoo &gt;</t>
        </is>
      </c>
      <c r="L180" s="2" t="inlineStr">
        <is>
          <t>shampoo</t>
        </is>
      </c>
      <c r="M180" s="2" t="inlineStr">
        <is>
          <t>profesional</t>
        </is>
      </c>
      <c r="N180" s="2" t="inlineStr">
        <is>
          <t>general</t>
        </is>
      </c>
      <c r="O180" s="2" t="inlineStr">
        <is>
          <t>https://www.jumbo.com.ar/shampoo-pro-v-miracles-detox-limpia-purifica-750-ml-pantene/p</t>
        </is>
      </c>
    </row>
    <row r="181">
      <c r="A181" t="inlineStr">
        <is>
          <t>Jumbo</t>
        </is>
      </c>
      <c r="B181" t="n">
        <v>401186</v>
      </c>
      <c r="C181" t="n">
        <v>398524</v>
      </c>
      <c r="D181" t="inlineStr">
        <is>
          <t>Shampoo Pro-v Miracles Equilibrio Raíz y Puntas 400 Ml Pantene</t>
        </is>
      </c>
      <c r="E181" t="inlineStr">
        <is>
          <t>PANTENE</t>
        </is>
      </c>
      <c r="F181" t="n">
        <v>10750</v>
      </c>
      <c r="G181" t="n">
        <v>888430</v>
      </c>
      <c r="H181" t="b">
        <v>1</v>
      </c>
      <c r="I181" t="n">
        <v>400</v>
      </c>
      <c r="J181" t="n">
        <v>26.875</v>
      </c>
      <c r="K181" t="inlineStr">
        <is>
          <t>&gt; Perfumería &gt; Cuidado Capilar &gt; Shampoo &gt;</t>
        </is>
      </c>
      <c r="L181" t="inlineStr">
        <is>
          <t>shampoo</t>
        </is>
      </c>
      <c r="M181" t="inlineStr">
        <is>
          <t>profesional</t>
        </is>
      </c>
      <c r="N181" t="inlineStr">
        <is>
          <t>general</t>
        </is>
      </c>
      <c r="O181" t="inlineStr">
        <is>
          <t>https://www.jumbo.com.ar/shampoo-pro-v-miracles-detox-equilibrio-400-ml-pantene/p</t>
        </is>
      </c>
    </row>
    <row r="182">
      <c r="A182" s="2" t="inlineStr">
        <is>
          <t>Jumbo</t>
        </is>
      </c>
      <c r="B182" s="2" t="n">
        <v>412300</v>
      </c>
      <c r="C182" s="2" t="n">
        <v>408002</v>
      </c>
      <c r="D182" s="2" t="inlineStr">
        <is>
          <t>Shampoo Aloe Hidra Clean para Cabello Deshidratado 350 Ml Fructis</t>
        </is>
      </c>
      <c r="E182" s="2" t="inlineStr">
        <is>
          <t>FRUCTIS</t>
        </is>
      </c>
      <c r="F182" s="2" t="n">
        <v>5900</v>
      </c>
      <c r="G182" s="2" t="n">
        <v>487603</v>
      </c>
      <c r="H182" s="2" t="b">
        <v>1</v>
      </c>
      <c r="I182" s="2" t="n">
        <v>350</v>
      </c>
      <c r="J182" s="2" t="n">
        <v>16.8571</v>
      </c>
      <c r="K182" s="2" t="inlineStr">
        <is>
          <t>&gt; Perfumería &gt; Cuidado Capilar &gt; Shampoo &gt;</t>
        </is>
      </c>
      <c r="L182" s="2" t="inlineStr">
        <is>
          <t>shampoo</t>
        </is>
      </c>
      <c r="M182" s="2" t="inlineStr">
        <is>
          <t>estandar</t>
        </is>
      </c>
      <c r="N182" s="2" t="inlineStr">
        <is>
          <t>seco_danado</t>
        </is>
      </c>
      <c r="O182" s="2" t="inlineStr">
        <is>
          <t>https://www.jumbo.com.ar/shampoo-fructis-aloe-hidra-clean-200ml/p</t>
        </is>
      </c>
    </row>
    <row r="183">
      <c r="A183" t="inlineStr">
        <is>
          <t>Jumbo</t>
        </is>
      </c>
      <c r="B183" t="n">
        <v>407561</v>
      </c>
      <c r="C183" t="n">
        <v>403750</v>
      </c>
      <c r="D183" t="inlineStr">
        <is>
          <t>Shampoo Elvive 2 En 1 Reparación Total 5 Keratin 400 Ml</t>
        </is>
      </c>
      <c r="E183" t="inlineStr">
        <is>
          <t>ELVIVE</t>
        </is>
      </c>
      <c r="F183" t="n">
        <v>11123</v>
      </c>
      <c r="G183" t="n">
        <v>919256</v>
      </c>
      <c r="H183" t="b">
        <v>1</v>
      </c>
      <c r="I183" t="n">
        <v>400</v>
      </c>
      <c r="J183" t="n">
        <v>27.8075</v>
      </c>
      <c r="K183" t="inlineStr">
        <is>
          <t>&gt; Perfumería &gt; Cuidado Capilar &gt; Shampoo &gt;</t>
        </is>
      </c>
      <c r="L183" t="inlineStr">
        <is>
          <t>shampoo</t>
        </is>
      </c>
      <c r="M183" t="inlineStr">
        <is>
          <t>profesional</t>
        </is>
      </c>
      <c r="N183" t="inlineStr">
        <is>
          <t>general</t>
        </is>
      </c>
      <c r="O183" t="inlineStr">
        <is>
          <t>https://www.jumbo.com.ar/shampoo-elvive-2-en-1-reparacion-total-5-keratin-400-ml/p</t>
        </is>
      </c>
    </row>
    <row r="184">
      <c r="A184" s="2" t="inlineStr">
        <is>
          <t>Jumbo</t>
        </is>
      </c>
      <c r="B184" s="2" t="n">
        <v>401195</v>
      </c>
      <c r="C184" s="2" t="n">
        <v>398533</v>
      </c>
      <c r="D184" s="2" t="inlineStr">
        <is>
          <t>Shampoo Pro-v Miracles Detox Limpia-purifica 400 Ml Pantene</t>
        </is>
      </c>
      <c r="E184" s="2" t="inlineStr">
        <is>
          <t>PANTENE</t>
        </is>
      </c>
      <c r="F184" s="2" t="n">
        <v>10750</v>
      </c>
      <c r="G184" s="2" t="n">
        <v>888430</v>
      </c>
      <c r="H184" s="2" t="b">
        <v>1</v>
      </c>
      <c r="I184" s="2" t="n">
        <v>400</v>
      </c>
      <c r="J184" s="2" t="n">
        <v>26.875</v>
      </c>
      <c r="K184" s="2" t="inlineStr">
        <is>
          <t>&gt; Perfumería &gt; Cuidado Capilar &gt; Shampoo &gt;</t>
        </is>
      </c>
      <c r="L184" s="2" t="inlineStr">
        <is>
          <t>shampoo</t>
        </is>
      </c>
      <c r="M184" s="2" t="inlineStr">
        <is>
          <t>profesional</t>
        </is>
      </c>
      <c r="N184" s="2" t="inlineStr">
        <is>
          <t>general</t>
        </is>
      </c>
      <c r="O184" s="2" t="inlineStr">
        <is>
          <t>https://www.jumbo.com.ar/shampoo-pro-v-miracles-detox-limpia-purifica-400-ml-pantene/p</t>
        </is>
      </c>
    </row>
    <row r="185">
      <c r="A185" t="inlineStr">
        <is>
          <t>Jumbo</t>
        </is>
      </c>
      <c r="B185" t="n">
        <v>310203</v>
      </c>
      <c r="C185" t="n">
        <v>309441</v>
      </c>
      <c r="D185" t="inlineStr">
        <is>
          <t>Shampoo Anti-Caspa Hidratación Aceite de Coco 375 Ml Head y Shoulders</t>
        </is>
      </c>
      <c r="E185" t="inlineStr">
        <is>
          <t>HEAD &amp; SHOULDERS</t>
        </is>
      </c>
      <c r="F185" t="n">
        <v>12900</v>
      </c>
      <c r="G185" t="n">
        <v>1066116</v>
      </c>
      <c r="H185" t="b">
        <v>1</v>
      </c>
      <c r="I185" t="n">
        <v>375</v>
      </c>
      <c r="J185" t="n">
        <v>34.4</v>
      </c>
      <c r="K185" t="inlineStr">
        <is>
          <t>&gt; Perfumería &gt; Cuidado Capilar &gt; Shampoo &gt;</t>
        </is>
      </c>
      <c r="L185" t="inlineStr">
        <is>
          <t>shampoo</t>
        </is>
      </c>
      <c r="M185" t="inlineStr">
        <is>
          <t>estandar</t>
        </is>
      </c>
      <c r="N185" t="inlineStr">
        <is>
          <t>anticaspa</t>
        </is>
      </c>
      <c r="O185" t="inlineStr">
        <is>
          <t>https://www.jumbo.com.ar/shampoo-coconut-375-ml-head-shoulders-2/p</t>
        </is>
      </c>
    </row>
    <row r="186">
      <c r="A186" s="2" t="inlineStr">
        <is>
          <t>Jumbo</t>
        </is>
      </c>
      <c r="B186" s="2" t="n">
        <v>275424</v>
      </c>
      <c r="C186" s="2" t="n">
        <v>274720</v>
      </c>
      <c r="D186" s="2" t="inlineStr">
        <is>
          <t>Shampoo 3 En 1 180 Ml Head &amp; Shoulders</t>
        </is>
      </c>
      <c r="E186" s="2" t="inlineStr">
        <is>
          <t>HEAD &amp; SHOULDERS</t>
        </is>
      </c>
      <c r="F186" s="2" t="n">
        <v>7800</v>
      </c>
      <c r="G186" s="2" t="n">
        <v>644628</v>
      </c>
      <c r="H186" s="2" t="b">
        <v>1</v>
      </c>
      <c r="I186" s="2" t="n">
        <v>180</v>
      </c>
      <c r="J186" s="2" t="n">
        <v>43.3333</v>
      </c>
      <c r="K186" s="2" t="inlineStr">
        <is>
          <t>&gt; Perfumería &gt; Cuidado Capilar &gt; Shampoo &gt;</t>
        </is>
      </c>
      <c r="L186" s="2" t="inlineStr">
        <is>
          <t>shampoo</t>
        </is>
      </c>
      <c r="M186" s="2" t="inlineStr">
        <is>
          <t>estandar</t>
        </is>
      </c>
      <c r="N186" s="2" t="inlineStr">
        <is>
          <t>general</t>
        </is>
      </c>
      <c r="O186" s="2" t="inlineStr">
        <is>
          <t>https://www.jumbo.com.ar/shampoo-3-en-1-180-ml-head-shoulders-2/p</t>
        </is>
      </c>
    </row>
    <row r="187">
      <c r="A187" t="inlineStr">
        <is>
          <t>Jumbo</t>
        </is>
      </c>
      <c r="B187" t="n">
        <v>275420</v>
      </c>
      <c r="C187" t="n">
        <v>274716</v>
      </c>
      <c r="D187" t="inlineStr">
        <is>
          <t>Shampoo Anti-Caspa Old Spice 180 Ml Head y Shoulders</t>
        </is>
      </c>
      <c r="E187" t="inlineStr">
        <is>
          <t>HEAD &amp; SHOULDERS</t>
        </is>
      </c>
      <c r="F187" t="n">
        <v>7800</v>
      </c>
      <c r="G187" t="n">
        <v>644628</v>
      </c>
      <c r="H187" t="b">
        <v>1</v>
      </c>
      <c r="I187" t="n">
        <v>180</v>
      </c>
      <c r="J187" t="n">
        <v>43.3333</v>
      </c>
      <c r="K187" t="inlineStr">
        <is>
          <t>&gt; Perfumería &gt; Cuidado Capilar &gt; Shampoo &gt;</t>
        </is>
      </c>
      <c r="L187" t="inlineStr">
        <is>
          <t>shampoo</t>
        </is>
      </c>
      <c r="M187" t="inlineStr">
        <is>
          <t>estandar</t>
        </is>
      </c>
      <c r="N187" t="inlineStr">
        <is>
          <t>anticaspa</t>
        </is>
      </c>
      <c r="O187" t="inlineStr">
        <is>
          <t>https://www.jumbo.com.ar/shampoo-old-spice-180-ml-head-shoulders-2/p</t>
        </is>
      </c>
    </row>
    <row r="188">
      <c r="A188" s="2" t="inlineStr">
        <is>
          <t>Jumbo</t>
        </is>
      </c>
      <c r="B188" s="2" t="n">
        <v>3074195</v>
      </c>
      <c r="C188" s="2" t="n">
        <v>3073691</v>
      </c>
      <c r="D188" s="2" t="inlineStr">
        <is>
          <t>Shampoo Hair Food Anti-quiebre Ananá 300 Ml Fructis</t>
        </is>
      </c>
      <c r="E188" s="2" t="inlineStr">
        <is>
          <t>FRUCTIS</t>
        </is>
      </c>
      <c r="F188" s="2" t="n">
        <v>12050</v>
      </c>
      <c r="G188" s="2" t="n">
        <v>995868</v>
      </c>
      <c r="H188" s="2" t="b">
        <v>1</v>
      </c>
      <c r="I188" s="2" t="n">
        <v>300</v>
      </c>
      <c r="J188" s="2" t="n">
        <v>40.1667</v>
      </c>
      <c r="K188" s="2" t="inlineStr">
        <is>
          <t>&gt; Perfumería &gt; Cuidado Capilar &gt; Shampoo &gt;</t>
        </is>
      </c>
      <c r="L188" s="2" t="inlineStr">
        <is>
          <t>shampoo</t>
        </is>
      </c>
      <c r="M188" s="2" t="inlineStr">
        <is>
          <t>estandar</t>
        </is>
      </c>
      <c r="N188" s="2" t="inlineStr">
        <is>
          <t>general</t>
        </is>
      </c>
      <c r="O188" s="2" t="inlineStr">
        <is>
          <t>https://www.jumbo.com.ar/shampoo-fructis-pina-300ml/p</t>
        </is>
      </c>
    </row>
    <row r="189">
      <c r="A189" t="inlineStr">
        <is>
          <t>Jumbo</t>
        </is>
      </c>
      <c r="B189" t="n">
        <v>414731</v>
      </c>
      <c r="C189" t="n">
        <v>410432</v>
      </c>
      <c r="D189" t="inlineStr">
        <is>
          <t>Shampoo Para Bebé Cabello Claro 750 Ml Johnson Baby</t>
        </is>
      </c>
      <c r="E189" t="inlineStr">
        <is>
          <t>JOHNSON BABY</t>
        </is>
      </c>
      <c r="F189" t="n">
        <v>20850</v>
      </c>
      <c r="G189" t="n">
        <v>1723141</v>
      </c>
      <c r="H189" t="b">
        <v>1</v>
      </c>
      <c r="I189" t="n">
        <v>750</v>
      </c>
      <c r="J189" t="n">
        <v>27.8</v>
      </c>
      <c r="K189" t="inlineStr">
        <is>
          <t>&gt; Mundo Bebe &gt; Higiene para el Bebe &gt; Higiene del Bebé &gt;</t>
        </is>
      </c>
      <c r="L189" t="inlineStr">
        <is>
          <t>shampoo</t>
        </is>
      </c>
      <c r="M189" t="inlineStr">
        <is>
          <t>estandar</t>
        </is>
      </c>
      <c r="N189" t="inlineStr">
        <is>
          <t>bebe</t>
        </is>
      </c>
      <c r="O189" t="inlineStr">
        <is>
          <t>https://www.jumbo.com.ar/shampoo-para-bebe-cabello-claro-750-ml-johnson-baby/p</t>
        </is>
      </c>
    </row>
    <row r="190">
      <c r="A190" s="2" t="inlineStr">
        <is>
          <t>Jumbo</t>
        </is>
      </c>
      <c r="B190" s="2" t="n">
        <v>346825</v>
      </c>
      <c r="C190" s="2" t="n">
        <v>345500</v>
      </c>
      <c r="D190" s="2" t="inlineStr">
        <is>
          <t>Shampoo Nutrición Intensa Oleo Extraordinario Coco 750 Ml Elvive</t>
        </is>
      </c>
      <c r="E190" s="2" t="inlineStr">
        <is>
          <t>ELVIVE</t>
        </is>
      </c>
      <c r="F190" s="2" t="n">
        <v>19400</v>
      </c>
      <c r="G190" s="2" t="n">
        <v>1603306</v>
      </c>
      <c r="H190" s="2" t="b">
        <v>1</v>
      </c>
      <c r="I190" s="2" t="n">
        <v>750</v>
      </c>
      <c r="J190" s="2" t="n">
        <v>25.8667</v>
      </c>
      <c r="K190" s="2" t="inlineStr">
        <is>
          <t>&gt; Perfumería &gt; Cuidado Capilar &gt; Shampoo &gt;</t>
        </is>
      </c>
      <c r="L190" s="2" t="inlineStr">
        <is>
          <t>shampoo</t>
        </is>
      </c>
      <c r="M190" s="2" t="inlineStr">
        <is>
          <t>profesional</t>
        </is>
      </c>
      <c r="N190" s="2" t="inlineStr">
        <is>
          <t>general</t>
        </is>
      </c>
      <c r="O190" s="2" t="inlineStr">
        <is>
          <t>https://www.jumbo.com.ar/shampoo-elvive-oleo-extraordinario-coco-750-ml/p</t>
        </is>
      </c>
    </row>
    <row r="191">
      <c r="A191" t="inlineStr">
        <is>
          <t>Jumbo</t>
        </is>
      </c>
      <c r="B191" t="n">
        <v>3073296</v>
      </c>
      <c r="C191" t="n">
        <v>3072801</v>
      </c>
      <c r="D191" t="inlineStr">
        <is>
          <t>Shampoo Nutrición Profunda para Cabello Seco 350 Ml Bagovit</t>
        </is>
      </c>
      <c r="E191" t="inlineStr">
        <is>
          <t>BAGOVIT</t>
        </is>
      </c>
      <c r="F191" t="n">
        <v>9800</v>
      </c>
      <c r="G191" t="n">
        <v>809917</v>
      </c>
      <c r="H191" t="b">
        <v>1</v>
      </c>
      <c r="I191" t="n">
        <v>350</v>
      </c>
      <c r="J191" t="n">
        <v>28</v>
      </c>
      <c r="K191" t="inlineStr">
        <is>
          <t>&gt; Perfumería &gt; Cuidado Capilar &gt; Shampoo &gt;</t>
        </is>
      </c>
      <c r="L191" t="inlineStr">
        <is>
          <t>shampoo</t>
        </is>
      </c>
      <c r="M191" t="inlineStr">
        <is>
          <t>estandar</t>
        </is>
      </c>
      <c r="N191" t="inlineStr">
        <is>
          <t>seco_danado</t>
        </is>
      </c>
      <c r="O191" t="inlineStr">
        <is>
          <t>https://www.jumbo.com.ar/shampoo-nutricion-profunda-x-350-ml-bagovit/p</t>
        </is>
      </c>
    </row>
    <row r="192">
      <c r="A192" s="2" t="inlineStr">
        <is>
          <t>Jumbo</t>
        </is>
      </c>
      <c r="B192" s="2" t="n">
        <v>394821</v>
      </c>
      <c r="C192" s="2" t="n">
        <v>392820</v>
      </c>
      <c r="D192" s="2" t="inlineStr">
        <is>
          <t>Shampoo Pantene Pro-v Miracles Hidrata Y Fortalece 400 Ml</t>
        </is>
      </c>
      <c r="E192" s="2" t="inlineStr">
        <is>
          <t>PANTENE</t>
        </is>
      </c>
      <c r="F192" s="2" t="n">
        <v>10750</v>
      </c>
      <c r="G192" s="2" t="n">
        <v>888430</v>
      </c>
      <c r="H192" s="2" t="b">
        <v>1</v>
      </c>
      <c r="I192" s="2" t="n">
        <v>400</v>
      </c>
      <c r="J192" s="2" t="n">
        <v>26.875</v>
      </c>
      <c r="K192" s="2" t="inlineStr">
        <is>
          <t>&gt; Perfumería &gt; Cuidado Capilar &gt; Shampoo &gt;</t>
        </is>
      </c>
      <c r="L192" s="2" t="inlineStr">
        <is>
          <t>shampoo</t>
        </is>
      </c>
      <c r="M192" s="2" t="inlineStr">
        <is>
          <t>profesional</t>
        </is>
      </c>
      <c r="N192" s="2" t="inlineStr">
        <is>
          <t>seco_danado</t>
        </is>
      </c>
      <c r="O192" s="2" t="inlineStr">
        <is>
          <t>https://www.jumbo.com.ar/shampoo-pantene-pro-v-miracles-hidrata-y-fortalece-400-ml/p</t>
        </is>
      </c>
    </row>
    <row r="193">
      <c r="A193" t="inlineStr">
        <is>
          <t>Jumbo</t>
        </is>
      </c>
      <c r="B193" t="n">
        <v>394213</v>
      </c>
      <c r="C193" t="n">
        <v>392219</v>
      </c>
      <c r="D193" t="inlineStr">
        <is>
          <t>Shampoo Óleo Nutrición para Cabello Seco 200 Ml Dove</t>
        </is>
      </c>
      <c r="E193" t="inlineStr">
        <is>
          <t>DOVE</t>
        </is>
      </c>
      <c r="F193" t="n">
        <v>6000</v>
      </c>
      <c r="G193" t="n">
        <v>495868</v>
      </c>
      <c r="H193" t="b">
        <v>1</v>
      </c>
      <c r="I193" t="n">
        <v>200</v>
      </c>
      <c r="J193" t="n">
        <v>30</v>
      </c>
      <c r="K193" t="inlineStr">
        <is>
          <t>&gt; Perfumería &gt; Cuidado Capilar &gt; Shampoo &gt;</t>
        </is>
      </c>
      <c r="L193" t="inlineStr">
        <is>
          <t>shampoo</t>
        </is>
      </c>
      <c r="M193" t="inlineStr">
        <is>
          <t>estandar</t>
        </is>
      </c>
      <c r="N193" t="inlineStr">
        <is>
          <t>seco_danado</t>
        </is>
      </c>
      <c r="O193" t="inlineStr">
        <is>
          <t>https://www.jumbo.com.ar/shampoo-dove-oleo-nutricion-200-ml/p</t>
        </is>
      </c>
    </row>
    <row r="194">
      <c r="A194" s="2" t="inlineStr">
        <is>
          <t>Jumbo</t>
        </is>
      </c>
      <c r="B194" s="2" t="n">
        <v>334661</v>
      </c>
      <c r="C194" s="2" t="n">
        <v>333783</v>
      </c>
      <c r="D194" s="2" t="inlineStr">
        <is>
          <t>Shampoo Anti Caspa Crece Fuerte desde la Raíz 375 Ml Head y Shoulders</t>
        </is>
      </c>
      <c r="E194" s="2" t="inlineStr">
        <is>
          <t>HEAD &amp; SHOULDERS</t>
        </is>
      </c>
      <c r="F194" s="2" t="n">
        <v>12900</v>
      </c>
      <c r="G194" s="2" t="n">
        <v>1066116</v>
      </c>
      <c r="H194" s="2" t="b">
        <v>1</v>
      </c>
      <c r="I194" s="2" t="n">
        <v>375</v>
      </c>
      <c r="J194" s="2" t="n">
        <v>34.4</v>
      </c>
      <c r="K194" s="2" t="inlineStr">
        <is>
          <t>&gt; Perfumería &gt; Cuidado Capilar &gt; Shampoo &gt;</t>
        </is>
      </c>
      <c r="L194" s="2" t="inlineStr">
        <is>
          <t>shampoo</t>
        </is>
      </c>
      <c r="M194" s="2" t="inlineStr">
        <is>
          <t>estandar</t>
        </is>
      </c>
      <c r="N194" s="2" t="inlineStr">
        <is>
          <t>anticaspa</t>
        </is>
      </c>
      <c r="O194" s="2" t="inlineStr">
        <is>
          <t>https://www.jumbo.com.ar/shampoo-crece-fuerte-desde-la-raiz-375-ml-head-shoulders/p</t>
        </is>
      </c>
    </row>
    <row r="195">
      <c r="A195" t="inlineStr">
        <is>
          <t>Jumbo</t>
        </is>
      </c>
      <c r="B195" t="n">
        <v>414737</v>
      </c>
      <c r="C195" t="n">
        <v>410438</v>
      </c>
      <c r="D195" t="inlineStr">
        <is>
          <t>Shampoo para Bebé Cabello Claro Manzanilla 400 Ml Johnson Baby</t>
        </is>
      </c>
      <c r="E195" t="inlineStr">
        <is>
          <t>JOHNSON BABY</t>
        </is>
      </c>
      <c r="F195" t="n">
        <v>12300</v>
      </c>
      <c r="G195" t="n">
        <v>1016529</v>
      </c>
      <c r="H195" t="b">
        <v>1</v>
      </c>
      <c r="I195" t="n">
        <v>400</v>
      </c>
      <c r="J195" t="n">
        <v>30.75</v>
      </c>
      <c r="K195" t="inlineStr">
        <is>
          <t>&gt; Mundo Bebe &gt; Higiene para el Bebe &gt; Higiene del Bebé &gt;</t>
        </is>
      </c>
      <c r="L195" t="inlineStr">
        <is>
          <t>shampoo</t>
        </is>
      </c>
      <c r="M195" t="inlineStr">
        <is>
          <t>estandar</t>
        </is>
      </c>
      <c r="N195" t="inlineStr">
        <is>
          <t>bebe</t>
        </is>
      </c>
      <c r="O195" t="inlineStr">
        <is>
          <t>https://www.jumbo.com.ar/shampoo-para-bebe-cabello-claro-400-ml-johnson-baby/p</t>
        </is>
      </c>
    </row>
    <row r="196">
      <c r="A196" s="2" t="inlineStr">
        <is>
          <t>Jumbo</t>
        </is>
      </c>
      <c r="B196" s="2" t="n">
        <v>414732</v>
      </c>
      <c r="C196" s="2" t="n">
        <v>410433</v>
      </c>
      <c r="D196" s="2" t="inlineStr">
        <is>
          <t>Shampoo Para Bebé Cabello Claro 200 Ml Johnson Baby</t>
        </is>
      </c>
      <c r="E196" s="2" t="inlineStr">
        <is>
          <t>JOHNSON BABY</t>
        </is>
      </c>
      <c r="F196" s="2" t="n">
        <v>7400</v>
      </c>
      <c r="G196" s="2" t="n">
        <v>611570</v>
      </c>
      <c r="H196" s="2" t="b">
        <v>1</v>
      </c>
      <c r="I196" s="2" t="n">
        <v>200</v>
      </c>
      <c r="J196" s="2" t="n">
        <v>37</v>
      </c>
      <c r="K196" s="2" t="inlineStr">
        <is>
          <t>&gt; Mundo Bebe &gt; Higiene para el Bebe &gt; Higiene del Bebé &gt;</t>
        </is>
      </c>
      <c r="L196" s="2" t="inlineStr">
        <is>
          <t>shampoo</t>
        </is>
      </c>
      <c r="M196" s="2" t="inlineStr">
        <is>
          <t>estandar</t>
        </is>
      </c>
      <c r="N196" s="2" t="inlineStr">
        <is>
          <t>bebe</t>
        </is>
      </c>
      <c r="O196" s="2" t="inlineStr">
        <is>
          <t>https://www.jumbo.com.ar/shampoo-para-bebe-cabello-claro-200-ml-johnson-baby/p</t>
        </is>
      </c>
    </row>
    <row r="197">
      <c r="A197" t="inlineStr">
        <is>
          <t>Jumbo</t>
        </is>
      </c>
      <c r="B197" t="n">
        <v>3073295</v>
      </c>
      <c r="C197" t="n">
        <v>3072800</v>
      </c>
      <c r="D197" t="inlineStr">
        <is>
          <t>Shampoo Color Radiante para Cabello Tinturado 350 Ml Bagovit</t>
        </is>
      </c>
      <c r="E197" t="inlineStr">
        <is>
          <t>BAGOVIT</t>
        </is>
      </c>
      <c r="F197" t="n">
        <v>9800</v>
      </c>
      <c r="G197" t="n">
        <v>809917</v>
      </c>
      <c r="H197" t="b">
        <v>1</v>
      </c>
      <c r="I197" t="n">
        <v>350</v>
      </c>
      <c r="J197" t="n">
        <v>28</v>
      </c>
      <c r="K197" t="inlineStr">
        <is>
          <t>&gt; Perfumería &gt; Cuidado Capilar &gt; Shampoo &gt;</t>
        </is>
      </c>
      <c r="L197" t="inlineStr">
        <is>
          <t>shampoo</t>
        </is>
      </c>
      <c r="M197" t="inlineStr">
        <is>
          <t>estandar</t>
        </is>
      </c>
      <c r="N197" t="inlineStr">
        <is>
          <t>tratado</t>
        </is>
      </c>
      <c r="O197" t="inlineStr">
        <is>
          <t>https://www.jumbo.com.ar/shampoo-color-radiante-x-350-ml-bagovit/p</t>
        </is>
      </c>
    </row>
    <row r="198">
      <c r="A198" s="2" t="inlineStr">
        <is>
          <t>Jumbo</t>
        </is>
      </c>
      <c r="B198" s="2" t="n">
        <v>410392</v>
      </c>
      <c r="C198" s="2" t="n">
        <v>406398</v>
      </c>
      <c r="D198" s="2" t="inlineStr">
        <is>
          <t>Shampoo Aclarante y Anticaída con Jalea Real y Manzanilla 400 Ml Tio Nacho</t>
        </is>
      </c>
      <c r="E198" s="2" t="inlineStr">
        <is>
          <t>Tio Nacho</t>
        </is>
      </c>
      <c r="F198" s="2" t="n">
        <v>8100</v>
      </c>
      <c r="G198" s="2" t="n">
        <v>669421</v>
      </c>
      <c r="H198" s="2" t="b">
        <v>1</v>
      </c>
      <c r="I198" s="2" t="n">
        <v>400</v>
      </c>
      <c r="J198" s="2" t="n">
        <v>20.25</v>
      </c>
      <c r="K198" s="2" t="inlineStr">
        <is>
          <t>&gt; Perfumería &gt; Cuidado Capilar &gt; Shampoo &gt;</t>
        </is>
      </c>
      <c r="L198" s="2" t="inlineStr">
        <is>
          <t>shampoo</t>
        </is>
      </c>
      <c r="M198" s="2" t="inlineStr">
        <is>
          <t>estandar</t>
        </is>
      </c>
      <c r="N198" s="2" t="inlineStr">
        <is>
          <t>general</t>
        </is>
      </c>
      <c r="O198" s="2" t="inlineStr">
        <is>
          <t>https://www.jumbo.com.ar/sshampoo-aclarante-doypack-400-ml-tio-nacho/p</t>
        </is>
      </c>
    </row>
    <row r="199">
      <c r="A199" t="inlineStr">
        <is>
          <t>Jumbo</t>
        </is>
      </c>
      <c r="B199" t="n">
        <v>401196</v>
      </c>
      <c r="C199" t="n">
        <v>398534</v>
      </c>
      <c r="D199" t="inlineStr">
        <is>
          <t>Shampoo Pro-v Miracles Detox Equilibrio 200 Ml Pantene</t>
        </is>
      </c>
      <c r="E199" t="inlineStr">
        <is>
          <t>PANTENE</t>
        </is>
      </c>
      <c r="F199" t="n">
        <v>6500</v>
      </c>
      <c r="G199" t="n">
        <v>537190</v>
      </c>
      <c r="H199" t="b">
        <v>1</v>
      </c>
      <c r="I199" t="n">
        <v>200</v>
      </c>
      <c r="J199" t="n">
        <v>32.5</v>
      </c>
      <c r="K199" t="inlineStr">
        <is>
          <t>&gt; Perfumería &gt; Cuidado Capilar &gt; Shampoo &gt;</t>
        </is>
      </c>
      <c r="L199" t="inlineStr">
        <is>
          <t>shampoo</t>
        </is>
      </c>
      <c r="M199" t="inlineStr">
        <is>
          <t>profesional</t>
        </is>
      </c>
      <c r="N199" t="inlineStr">
        <is>
          <t>general</t>
        </is>
      </c>
      <c r="O199" t="inlineStr">
        <is>
          <t>https://www.jumbo.com.ar/shampoo-pro-v-miracles-detox-equilibrio-200-ml-pantene-2/p</t>
        </is>
      </c>
    </row>
    <row r="200">
      <c r="A200" s="2" t="inlineStr">
        <is>
          <t>Jumbo</t>
        </is>
      </c>
      <c r="B200" s="2" t="n">
        <v>3086846</v>
      </c>
      <c r="C200" s="2" t="n">
        <v>3086065</v>
      </c>
      <c r="D200" s="2" t="inlineStr">
        <is>
          <t>Set Perfume Corporal Y Shampoo Hello Kitty X 200 Ml Algabo</t>
        </is>
      </c>
      <c r="E200" s="2" t="inlineStr">
        <is>
          <t>ALGABO</t>
        </is>
      </c>
      <c r="F200" s="2" t="n">
        <v>13100</v>
      </c>
      <c r="G200" s="2" t="n">
        <v>1082645</v>
      </c>
      <c r="H200" s="2" t="b">
        <v>1</v>
      </c>
      <c r="I200" s="2" t="n">
        <v>200</v>
      </c>
      <c r="J200" s="2" t="n">
        <v>65.5</v>
      </c>
      <c r="K200" s="2" t="inlineStr">
        <is>
          <t>&gt; Perfumería &gt; Cuidado Personal &gt; Cepillos y Esponjas &gt;</t>
        </is>
      </c>
      <c r="L200" s="2" t="inlineStr">
        <is>
          <t>tratamiento</t>
        </is>
      </c>
      <c r="M200" s="2" t="inlineStr">
        <is>
          <t>estandar</t>
        </is>
      </c>
      <c r="N200" s="2" t="inlineStr">
        <is>
          <t>general</t>
        </is>
      </c>
      <c r="O200" s="2" t="inlineStr">
        <is>
          <t>https://www.jumbo.com.ar/set-perfume-corporal-y-shampoo-hello-kitty-x-200-ml-algabo/p</t>
        </is>
      </c>
    </row>
    <row r="201">
      <c r="A201" t="inlineStr">
        <is>
          <t>Jumbo</t>
        </is>
      </c>
      <c r="B201" t="n">
        <v>414725</v>
      </c>
      <c r="C201" t="n">
        <v>410426</v>
      </c>
      <c r="D201" t="inlineStr">
        <is>
          <t>Acondicionador Baby Hidratacion Intensa 200 Ml Johnson's</t>
        </is>
      </c>
      <c r="E201" t="inlineStr">
        <is>
          <t>JOHNSON´S</t>
        </is>
      </c>
      <c r="F201" t="n">
        <v>6700</v>
      </c>
      <c r="G201" t="n">
        <v>553719</v>
      </c>
      <c r="H201" t="b">
        <v>1</v>
      </c>
      <c r="I201" t="n">
        <v>200</v>
      </c>
      <c r="J201" t="n">
        <v>33.5</v>
      </c>
      <c r="K201" t="inlineStr">
        <is>
          <t>&gt; Mundo Bebe &gt; Higiene para el Bebe &gt; Higiene del Bebé &gt;</t>
        </is>
      </c>
      <c r="L201" t="inlineStr">
        <is>
          <t>acondicionador</t>
        </is>
      </c>
      <c r="M201" t="inlineStr">
        <is>
          <t>estandar</t>
        </is>
      </c>
      <c r="N201" t="inlineStr">
        <is>
          <t>seco_danado</t>
        </is>
      </c>
      <c r="O201" t="inlineStr">
        <is>
          <t>https://www.jumbo.com.ar/acondicionador-baby-hidratacion-intensa-200-ml-johnson-s/p</t>
        </is>
      </c>
    </row>
    <row r="202">
      <c r="A202" s="2" t="inlineStr">
        <is>
          <t>Jumbo</t>
        </is>
      </c>
      <c r="B202" s="2" t="n">
        <v>17290</v>
      </c>
      <c r="C202" s="2" t="n">
        <v>14416</v>
      </c>
      <c r="D202" s="2" t="inlineStr">
        <is>
          <t>Spray Para Peinar Niños Gotas De Brillo  200 Ml Johnson Baby</t>
        </is>
      </c>
      <c r="E202" s="2" t="inlineStr">
        <is>
          <t>JOHNSON BABY</t>
        </is>
      </c>
      <c r="F202" s="2" t="n">
        <v>7450</v>
      </c>
      <c r="G202" s="2" t="n">
        <v>615702</v>
      </c>
      <c r="H202" s="2" t="b">
        <v>1</v>
      </c>
      <c r="I202" s="2" t="n">
        <v>200</v>
      </c>
      <c r="J202" s="2" t="n">
        <v>37.25</v>
      </c>
      <c r="K202" s="2" t="inlineStr">
        <is>
          <t>&gt; Mundo Bebe &gt; Higiene para el Bebe &gt; Higiene del Bebé &gt;</t>
        </is>
      </c>
      <c r="L202" s="2" t="inlineStr">
        <is>
          <t>shampoo</t>
        </is>
      </c>
      <c r="M202" s="2" t="inlineStr">
        <is>
          <t>estandar</t>
        </is>
      </c>
      <c r="N202" s="2" t="inlineStr">
        <is>
          <t>bebe</t>
        </is>
      </c>
      <c r="O202" s="2" t="inlineStr">
        <is>
          <t>https://www.jumbo.com.ar/spray-para-peinar-ninos-gotas-de-brillo-200-ml-johnson-baby/p</t>
        </is>
      </c>
    </row>
    <row r="203">
      <c r="A203" t="inlineStr">
        <is>
          <t>Jumbo</t>
        </is>
      </c>
      <c r="B203" t="n">
        <v>414728</v>
      </c>
      <c r="C203" t="n">
        <v>410429</v>
      </c>
      <c r="D203" t="inlineStr">
        <is>
          <t>Acondicionador Para Bebé Original 400 Ml Johnson´s</t>
        </is>
      </c>
      <c r="E203" t="inlineStr">
        <is>
          <t>JOHNSON´S</t>
        </is>
      </c>
      <c r="F203" t="n">
        <v>12300</v>
      </c>
      <c r="G203" t="n">
        <v>1016529</v>
      </c>
      <c r="H203" t="b">
        <v>1</v>
      </c>
      <c r="I203" t="n">
        <v>400</v>
      </c>
      <c r="J203" t="n">
        <v>30.75</v>
      </c>
      <c r="K203" t="inlineStr">
        <is>
          <t>&gt; Mundo Bebe &gt; Higiene para el Bebe &gt; Higiene del Bebé &gt;</t>
        </is>
      </c>
      <c r="L203" t="inlineStr">
        <is>
          <t>acondicionador</t>
        </is>
      </c>
      <c r="M203" t="inlineStr">
        <is>
          <t>estandar</t>
        </is>
      </c>
      <c r="N203" t="inlineStr">
        <is>
          <t>bebe</t>
        </is>
      </c>
      <c r="O203" t="inlineStr">
        <is>
          <t>https://www.jumbo.com.ar/acondicionador-para-bebe-original-400-ml-johnson-s/p</t>
        </is>
      </c>
    </row>
    <row r="204">
      <c r="A204" s="2" t="inlineStr">
        <is>
          <t>Jumbo</t>
        </is>
      </c>
      <c r="B204" s="2" t="n">
        <v>414730</v>
      </c>
      <c r="C204" s="2" t="n">
        <v>410431</v>
      </c>
      <c r="D204" s="2" t="inlineStr">
        <is>
          <t>Acondicionador Para Bebé Cabello Claro 200 Ml Johnson´s</t>
        </is>
      </c>
      <c r="E204" s="2" t="inlineStr">
        <is>
          <t>JOHNSON´S</t>
        </is>
      </c>
      <c r="F204" s="2" t="n">
        <v>7400</v>
      </c>
      <c r="G204" s="2" t="n">
        <v>611570</v>
      </c>
      <c r="H204" s="2" t="b">
        <v>1</v>
      </c>
      <c r="I204" s="2" t="n">
        <v>200</v>
      </c>
      <c r="J204" s="2" t="n">
        <v>37</v>
      </c>
      <c r="K204" s="2" t="inlineStr">
        <is>
          <t>&gt; Mundo Bebe &gt; Higiene para el Bebe &gt; Higiene del Bebé &gt;</t>
        </is>
      </c>
      <c r="L204" s="2" t="inlineStr">
        <is>
          <t>acondicionador</t>
        </is>
      </c>
      <c r="M204" s="2" t="inlineStr">
        <is>
          <t>estandar</t>
        </is>
      </c>
      <c r="N204" s="2" t="inlineStr">
        <is>
          <t>bebe</t>
        </is>
      </c>
      <c r="O204" s="2" t="inlineStr">
        <is>
          <t>https://www.jumbo.com.ar/acondicionador-para-bebe-cabello-claro-200-ml-johnson-s/p</t>
        </is>
      </c>
    </row>
    <row r="205">
      <c r="A205" t="inlineStr">
        <is>
          <t>Jumbo</t>
        </is>
      </c>
      <c r="B205" t="n">
        <v>393568</v>
      </c>
      <c r="C205" t="n">
        <v>391596</v>
      </c>
      <c r="D205" t="inlineStr">
        <is>
          <t>Acondicionador Dove Ritual De Reparación Coco 200 Ml</t>
        </is>
      </c>
      <c r="E205" t="inlineStr">
        <is>
          <t>DOVE</t>
        </is>
      </c>
      <c r="F205" t="n">
        <v>6000</v>
      </c>
      <c r="G205" t="n">
        <v>495868</v>
      </c>
      <c r="H205" t="b">
        <v>1</v>
      </c>
      <c r="I205" t="n">
        <v>200</v>
      </c>
      <c r="J205" t="n">
        <v>30</v>
      </c>
      <c r="K205" t="inlineStr">
        <is>
          <t>&gt; Perfumería &gt; Cuidado Capilar &gt; Acondicionador &gt;</t>
        </is>
      </c>
      <c r="L205" t="inlineStr">
        <is>
          <t>acondicionador</t>
        </is>
      </c>
      <c r="M205" t="inlineStr">
        <is>
          <t>estandar</t>
        </is>
      </c>
      <c r="N205" t="inlineStr">
        <is>
          <t>general</t>
        </is>
      </c>
      <c r="O205" t="inlineStr">
        <is>
          <t>https://www.jumbo.com.ar/acondicionador-dove-ritual-de-reparacion-coco-200-ml/p</t>
        </is>
      </c>
    </row>
    <row r="206">
      <c r="A206" s="2" t="inlineStr">
        <is>
          <t>Jumbo</t>
        </is>
      </c>
      <c r="B206" s="2" t="n">
        <v>415583</v>
      </c>
      <c r="C206" s="2" t="n">
        <v>411167</v>
      </c>
      <c r="D206" s="2" t="inlineStr">
        <is>
          <t>Sahmpoo Pro-v Miracles Volumen 400 Ml Pantene</t>
        </is>
      </c>
      <c r="E206" s="2" t="inlineStr">
        <is>
          <t>PANTENE</t>
        </is>
      </c>
      <c r="F206" s="2" t="n">
        <v>10750</v>
      </c>
      <c r="G206" s="2" t="n">
        <v>888430</v>
      </c>
      <c r="H206" s="2" t="b">
        <v>1</v>
      </c>
      <c r="I206" s="2" t="n">
        <v>400</v>
      </c>
      <c r="J206" s="2" t="n">
        <v>26.875</v>
      </c>
      <c r="K206" s="2" t="inlineStr">
        <is>
          <t>&gt; Perfumería &gt; Cuidado Capilar &gt; Shampoo &gt;</t>
        </is>
      </c>
      <c r="L206" s="2" t="inlineStr">
        <is>
          <t>shampoo</t>
        </is>
      </c>
      <c r="M206" s="2" t="inlineStr">
        <is>
          <t>profesional</t>
        </is>
      </c>
      <c r="N206" s="2" t="inlineStr">
        <is>
          <t>general</t>
        </is>
      </c>
      <c r="O206" s="2" t="inlineStr">
        <is>
          <t>https://www.jumbo.com.ar/sahmpoo-pro-v-miracles-volumen-400-ml-pantene-2/p</t>
        </is>
      </c>
    </row>
    <row r="207">
      <c r="A207" t="inlineStr">
        <is>
          <t>Jumbo</t>
        </is>
      </c>
      <c r="B207" t="n">
        <v>400523</v>
      </c>
      <c r="C207" t="n">
        <v>397861</v>
      </c>
      <c r="D207" t="inlineStr">
        <is>
          <t>Mascarilla Elvive Hidra Hialuronico 300 Gr Mascarilla Elvive Hialuronico 300g</t>
        </is>
      </c>
      <c r="E207" t="inlineStr">
        <is>
          <t>ELVIVE</t>
        </is>
      </c>
      <c r="F207" t="n">
        <v>12050</v>
      </c>
      <c r="G207" t="n">
        <v>995868</v>
      </c>
      <c r="H207" t="b">
        <v>1</v>
      </c>
      <c r="I207" t="n">
        <v>300</v>
      </c>
      <c r="J207" t="n">
        <v>40.1667</v>
      </c>
      <c r="K207" t="inlineStr">
        <is>
          <t>&gt; Perfumería &gt; Cuidado Capilar &gt; Shampoo &gt;</t>
        </is>
      </c>
      <c r="L207" t="inlineStr">
        <is>
          <t>tratamiento</t>
        </is>
      </c>
      <c r="M207" t="inlineStr">
        <is>
          <t>profesional</t>
        </is>
      </c>
      <c r="N207" t="inlineStr">
        <is>
          <t>general</t>
        </is>
      </c>
      <c r="O207" t="inlineStr">
        <is>
          <t>https://www.jumbo.com.ar/mascarilla-elvive-hialuronico-300g/p</t>
        </is>
      </c>
    </row>
    <row r="208">
      <c r="A208" s="2" t="inlineStr">
        <is>
          <t>Jumbo</t>
        </is>
      </c>
      <c r="B208" s="2" t="n">
        <v>392748</v>
      </c>
      <c r="C208" s="2" t="n">
        <v>390800</v>
      </c>
      <c r="D208" s="2" t="inlineStr">
        <is>
          <t>Set Juguete Perro Hueso Colores Pets Fun Hueso De Juguete Pets Para Perro Rosa 1 U</t>
        </is>
      </c>
      <c r="E208" s="2" t="inlineStr">
        <is>
          <t>PET'S FUN</t>
        </is>
      </c>
      <c r="F208" s="2" t="n">
        <v>6150</v>
      </c>
      <c r="G208" s="2" t="n">
        <v>508264</v>
      </c>
      <c r="H208" s="2" t="b">
        <v>1</v>
      </c>
      <c r="I208" s="2" t="inlineStr"/>
      <c r="J208" s="2" t="inlineStr"/>
      <c r="K208" s="2" t="inlineStr">
        <is>
          <t>&gt; Mascotas &gt; Accesorios para Mascotas &gt;</t>
        </is>
      </c>
      <c r="L208" s="2" t="inlineStr">
        <is>
          <t>shampoo</t>
        </is>
      </c>
      <c r="M208" s="2" t="inlineStr">
        <is>
          <t>estandar</t>
        </is>
      </c>
      <c r="N208" s="2" t="inlineStr">
        <is>
          <t>tratado</t>
        </is>
      </c>
      <c r="O208" s="2" t="inlineStr">
        <is>
          <t>https://www.jumbo.com.ar/set-juguete-perro-hueso-colores-pets-fun/p</t>
        </is>
      </c>
    </row>
    <row r="209">
      <c r="A209" t="inlineStr">
        <is>
          <t>Jumbo</t>
        </is>
      </c>
      <c r="B209" t="n">
        <v>392748</v>
      </c>
      <c r="C209" t="n">
        <v>390821</v>
      </c>
      <c r="D209" t="inlineStr">
        <is>
          <t>Set Juguete Perro Hueso Colores Pets Fun Hueso De Juguete Pets Para Perro Amarillo 1 U</t>
        </is>
      </c>
      <c r="E209" t="inlineStr">
        <is>
          <t>PET'S FUN</t>
        </is>
      </c>
      <c r="F209" t="n">
        <v>6780</v>
      </c>
      <c r="G209" t="n">
        <v>560331</v>
      </c>
      <c r="H209" t="b">
        <v>1</v>
      </c>
      <c r="I209" t="inlineStr"/>
      <c r="J209" t="inlineStr"/>
      <c r="K209" t="inlineStr">
        <is>
          <t>&gt; Mascotas &gt; Accesorios para Mascotas &gt;</t>
        </is>
      </c>
      <c r="L209" t="inlineStr">
        <is>
          <t>shampoo</t>
        </is>
      </c>
      <c r="M209" t="inlineStr">
        <is>
          <t>estandar</t>
        </is>
      </c>
      <c r="N209" t="inlineStr">
        <is>
          <t>tratado</t>
        </is>
      </c>
      <c r="O209" t="inlineStr">
        <is>
          <t>https://www.jumbo.com.ar/set-juguete-perro-hueso-colores-pets-fun/p</t>
        </is>
      </c>
    </row>
    <row r="210">
      <c r="A210" s="2" t="inlineStr">
        <is>
          <t>Jumbo</t>
        </is>
      </c>
      <c r="B210" s="2" t="n">
        <v>392748</v>
      </c>
      <c r="C210" s="2" t="n">
        <v>390832</v>
      </c>
      <c r="D210" s="2" t="inlineStr">
        <is>
          <t>Set Juguete Perro Hueso Colores Pets Fun Hueso De Juguete Pets Para Perro Azul 1 U</t>
        </is>
      </c>
      <c r="E210" s="2" t="inlineStr">
        <is>
          <t>PET'S FUN</t>
        </is>
      </c>
      <c r="F210" s="2" t="n">
        <v>6190</v>
      </c>
      <c r="G210" s="2" t="n">
        <v>511570</v>
      </c>
      <c r="H210" s="2" t="b">
        <v>1</v>
      </c>
      <c r="I210" s="2" t="inlineStr"/>
      <c r="J210" s="2" t="inlineStr"/>
      <c r="K210" s="2" t="inlineStr">
        <is>
          <t>&gt; Mascotas &gt; Accesorios para Mascotas &gt;</t>
        </is>
      </c>
      <c r="L210" s="2" t="inlineStr">
        <is>
          <t>shampoo</t>
        </is>
      </c>
      <c r="M210" s="2" t="inlineStr">
        <is>
          <t>estandar</t>
        </is>
      </c>
      <c r="N210" s="2" t="inlineStr">
        <is>
          <t>tratado</t>
        </is>
      </c>
      <c r="O210" s="2" t="inlineStr">
        <is>
          <t>https://www.jumbo.com.ar/set-juguete-perro-hueso-colores-pets-fun/p</t>
        </is>
      </c>
    </row>
    <row r="211">
      <c r="A211" t="inlineStr">
        <is>
          <t>Jumbo</t>
        </is>
      </c>
      <c r="B211" t="n">
        <v>353408</v>
      </c>
      <c r="C211" t="n">
        <v>352040</v>
      </c>
      <c r="D211" t="inlineStr">
        <is>
          <t>Shampoo Dove Real Poder De Las Plantas Fuerza + Bambú 300 Ml</t>
        </is>
      </c>
      <c r="E211" t="inlineStr">
        <is>
          <t>DOVE</t>
        </is>
      </c>
      <c r="F211" t="n">
        <v>6600</v>
      </c>
      <c r="G211" t="n">
        <v>545455</v>
      </c>
      <c r="H211" t="b">
        <v>0</v>
      </c>
      <c r="I211" t="n">
        <v>300</v>
      </c>
      <c r="J211" t="n">
        <v>22</v>
      </c>
      <c r="K211" t="inlineStr">
        <is>
          <t>&gt; Perfumería &gt; Cuidado Capilar &gt; Shampoo &gt;</t>
        </is>
      </c>
      <c r="L211" t="inlineStr">
        <is>
          <t>shampoo</t>
        </is>
      </c>
      <c r="M211" t="inlineStr">
        <is>
          <t>estandar</t>
        </is>
      </c>
      <c r="N211" t="inlineStr">
        <is>
          <t>general</t>
        </is>
      </c>
      <c r="O211" t="inlineStr">
        <is>
          <t>https://www.jumbo.com.ar/shampoo-dove-real-poder-de-las-plantas-fuerza-bambu-300-ml/p</t>
        </is>
      </c>
    </row>
    <row r="212">
      <c r="A212" s="2" t="inlineStr">
        <is>
          <t>Jumbo</t>
        </is>
      </c>
      <c r="B212" s="2" t="n">
        <v>353404</v>
      </c>
      <c r="C212" s="2" t="n">
        <v>352036</v>
      </c>
      <c r="D212" s="2" t="inlineStr">
        <is>
          <t>Acondicionador Dove Purificación  Jengibre 300 Ml</t>
        </is>
      </c>
      <c r="E212" s="2" t="inlineStr">
        <is>
          <t>DOVE</t>
        </is>
      </c>
      <c r="F212" s="2" t="n">
        <v>7150</v>
      </c>
      <c r="G212" s="2" t="n">
        <v>590909</v>
      </c>
      <c r="H212" s="2" t="b">
        <v>0</v>
      </c>
      <c r="I212" s="2" t="n">
        <v>300</v>
      </c>
      <c r="J212" s="2" t="n">
        <v>23.8333</v>
      </c>
      <c r="K212" s="2" t="inlineStr">
        <is>
          <t>&gt; Perfumería &gt; Cuidado Capilar &gt; Acondicionador &gt;</t>
        </is>
      </c>
      <c r="L212" s="2" t="inlineStr">
        <is>
          <t>acondicionador</t>
        </is>
      </c>
      <c r="M212" s="2" t="inlineStr">
        <is>
          <t>estandar</t>
        </is>
      </c>
      <c r="N212" s="2" t="inlineStr">
        <is>
          <t>general</t>
        </is>
      </c>
      <c r="O212" s="2" t="inlineStr">
        <is>
          <t>https://www.jumbo.com.ar/acondicionador-dove-purificacion-jengibre-300-ml/p</t>
        </is>
      </c>
    </row>
    <row r="213">
      <c r="A213" t="inlineStr">
        <is>
          <t>Jumbo</t>
        </is>
      </c>
      <c r="B213" t="n">
        <v>353405</v>
      </c>
      <c r="C213" t="n">
        <v>352037</v>
      </c>
      <c r="D213" t="inlineStr">
        <is>
          <t>Acondicionador Dove Real Poder De Las Plantas Fuerza + Bambú 300 Ml</t>
        </is>
      </c>
      <c r="E213" t="inlineStr">
        <is>
          <t>DOVE</t>
        </is>
      </c>
      <c r="F213" t="n">
        <v>7150</v>
      </c>
      <c r="G213" t="n">
        <v>590909</v>
      </c>
      <c r="H213" t="b">
        <v>0</v>
      </c>
      <c r="I213" t="n">
        <v>300</v>
      </c>
      <c r="J213" t="n">
        <v>23.8333</v>
      </c>
      <c r="K213" t="inlineStr">
        <is>
          <t>&gt; Perfumería &gt; Cuidado Capilar &gt; Acondicionador &gt;</t>
        </is>
      </c>
      <c r="L213" t="inlineStr">
        <is>
          <t>acondicionador</t>
        </is>
      </c>
      <c r="M213" t="inlineStr">
        <is>
          <t>estandar</t>
        </is>
      </c>
      <c r="N213" t="inlineStr">
        <is>
          <t>general</t>
        </is>
      </c>
      <c r="O213" t="inlineStr">
        <is>
          <t>https://www.jumbo.com.ar/acondicionador-dove-real-poder-de-las-plantas-fuerza-bambu-300-ml/p</t>
        </is>
      </c>
    </row>
    <row r="214">
      <c r="A214" s="2" t="inlineStr">
        <is>
          <t>Jumbo</t>
        </is>
      </c>
      <c r="B214" s="2" t="n">
        <v>353407</v>
      </c>
      <c r="C214" s="2" t="n">
        <v>352039</v>
      </c>
      <c r="D214" s="2" t="inlineStr">
        <is>
          <t>Máscara De Tratamiento Dove Nutrición  Geranio 190 Ml</t>
        </is>
      </c>
      <c r="E214" s="2" t="inlineStr">
        <is>
          <t>DOVE</t>
        </is>
      </c>
      <c r="F214" s="2" t="n">
        <v>5050</v>
      </c>
      <c r="G214" s="2" t="n">
        <v>417355</v>
      </c>
      <c r="H214" s="2" t="b">
        <v>0</v>
      </c>
      <c r="I214" s="2" t="n">
        <v>190</v>
      </c>
      <c r="J214" s="2" t="n">
        <v>26.5789</v>
      </c>
      <c r="K214" s="2" t="inlineStr">
        <is>
          <t>&gt; Perfumería &gt; Cuidado Capilar &gt; Reparación y Tratamientos &gt;</t>
        </is>
      </c>
      <c r="L214" s="2" t="inlineStr">
        <is>
          <t>tratamiento</t>
        </is>
      </c>
      <c r="M214" s="2" t="inlineStr">
        <is>
          <t>estandar</t>
        </is>
      </c>
      <c r="N214" s="2" t="inlineStr">
        <is>
          <t>general</t>
        </is>
      </c>
      <c r="O214" s="2" t="inlineStr">
        <is>
          <t>https://www.jumbo.com.ar/mascara-de-tratamiento-dove-nutricion-geranio-190-ml/p</t>
        </is>
      </c>
    </row>
    <row r="215">
      <c r="A215" t="inlineStr">
        <is>
          <t>Jumbo</t>
        </is>
      </c>
      <c r="B215" t="n">
        <v>353397</v>
      </c>
      <c r="C215" t="n">
        <v>352029</v>
      </c>
      <c r="D215" t="inlineStr">
        <is>
          <t>Shampoo Nutrición y Geranio Real Poder de las Plantas 300 Ml Dove Shampoo Dove Real Poder De Las Plantas Nutrición + Geranio 300 Ml</t>
        </is>
      </c>
      <c r="E215" t="inlineStr">
        <is>
          <t>DOVE</t>
        </is>
      </c>
      <c r="F215" t="n">
        <v>6600</v>
      </c>
      <c r="G215" t="n">
        <v>545455</v>
      </c>
      <c r="H215" t="b">
        <v>0</v>
      </c>
      <c r="I215" t="n">
        <v>300</v>
      </c>
      <c r="J215" t="n">
        <v>22</v>
      </c>
      <c r="K215" t="inlineStr">
        <is>
          <t>&gt; Perfumería &gt; Cuidado Capilar &gt; Shampoo &gt;</t>
        </is>
      </c>
      <c r="L215" t="inlineStr">
        <is>
          <t>shampoo</t>
        </is>
      </c>
      <c r="M215" t="inlineStr">
        <is>
          <t>estandar</t>
        </is>
      </c>
      <c r="N215" t="inlineStr">
        <is>
          <t>general</t>
        </is>
      </c>
      <c r="O215" t="inlineStr">
        <is>
          <t>https://www.jumbo.com.ar/shampoo-dove-real-poder-de-las-plantas-nutricion-geranio-300-ml/p</t>
        </is>
      </c>
    </row>
    <row r="216">
      <c r="A216" s="2" t="inlineStr">
        <is>
          <t>Jumbo</t>
        </is>
      </c>
      <c r="B216" s="2" t="n">
        <v>353395</v>
      </c>
      <c r="C216" s="2" t="n">
        <v>352027</v>
      </c>
      <c r="D216" s="2" t="inlineStr">
        <is>
          <t>Shampoo Dove Purificación  Jengibre 300 Ml</t>
        </is>
      </c>
      <c r="E216" s="2" t="inlineStr">
        <is>
          <t>DOVE</t>
        </is>
      </c>
      <c r="F216" s="2" t="n">
        <v>6600</v>
      </c>
      <c r="G216" s="2" t="n">
        <v>545455</v>
      </c>
      <c r="H216" s="2" t="b">
        <v>0</v>
      </c>
      <c r="I216" s="2" t="n">
        <v>300</v>
      </c>
      <c r="J216" s="2" t="n">
        <v>22</v>
      </c>
      <c r="K216" s="2" t="inlineStr">
        <is>
          <t>&gt; Perfumería &gt; Cuidado Capilar &gt; Shampoo &gt;</t>
        </is>
      </c>
      <c r="L216" s="2" t="inlineStr">
        <is>
          <t>shampoo</t>
        </is>
      </c>
      <c r="M216" s="2" t="inlineStr">
        <is>
          <t>estandar</t>
        </is>
      </c>
      <c r="N216" s="2" t="inlineStr">
        <is>
          <t>general</t>
        </is>
      </c>
      <c r="O216" s="2" t="inlineStr">
        <is>
          <t>https://www.jumbo.com.ar/shampoo-dove-purificacion-jengibre-300-ml/p</t>
        </is>
      </c>
    </row>
    <row r="217">
      <c r="A217" t="inlineStr">
        <is>
          <t>Jumbo</t>
        </is>
      </c>
      <c r="B217" t="n">
        <v>353399</v>
      </c>
      <c r="C217" t="n">
        <v>352031</v>
      </c>
      <c r="D217" t="inlineStr">
        <is>
          <t>Acondicionador Dove Nutrición  Geranio 300 Ml</t>
        </is>
      </c>
      <c r="E217" t="inlineStr">
        <is>
          <t>DOVE</t>
        </is>
      </c>
      <c r="F217" t="n">
        <v>6950</v>
      </c>
      <c r="G217" t="n">
        <v>574380</v>
      </c>
      <c r="H217" t="b">
        <v>0</v>
      </c>
      <c r="I217" t="n">
        <v>300</v>
      </c>
      <c r="J217" t="n">
        <v>23.1667</v>
      </c>
      <c r="K217" t="inlineStr">
        <is>
          <t>&gt; Perfumería &gt; Cuidado Capilar &gt; Acondicionador &gt;</t>
        </is>
      </c>
      <c r="L217" t="inlineStr">
        <is>
          <t>acondicionador</t>
        </is>
      </c>
      <c r="M217" t="inlineStr">
        <is>
          <t>estandar</t>
        </is>
      </c>
      <c r="N217" t="inlineStr">
        <is>
          <t>general</t>
        </is>
      </c>
      <c r="O217" t="inlineStr">
        <is>
          <t>https://www.jumbo.com.ar/acondicionador-dove-nutricion-geranio-300-ml/p</t>
        </is>
      </c>
    </row>
    <row r="218">
      <c r="A218" s="2" t="inlineStr">
        <is>
          <t>Jumbo</t>
        </is>
      </c>
      <c r="B218" s="2" t="n">
        <v>353392</v>
      </c>
      <c r="C218" s="2" t="n">
        <v>352024</v>
      </c>
      <c r="D218" s="2" t="inlineStr">
        <is>
          <t>Máscara De Tratamiento Dove Fuerza  Bambú 190 Ml</t>
        </is>
      </c>
      <c r="E218" s="2" t="inlineStr">
        <is>
          <t>DOVE</t>
        </is>
      </c>
      <c r="F218" s="2" t="n">
        <v>5300</v>
      </c>
      <c r="G218" s="2" t="n">
        <v>438017</v>
      </c>
      <c r="H218" s="2" t="b">
        <v>0</v>
      </c>
      <c r="I218" s="2" t="n">
        <v>190</v>
      </c>
      <c r="J218" s="2" t="n">
        <v>27.8947</v>
      </c>
      <c r="K218" s="2" t="inlineStr">
        <is>
          <t>&gt; Perfumería &gt; Cuidado Capilar &gt; Reparación y Tratamientos &gt;</t>
        </is>
      </c>
      <c r="L218" s="2" t="inlineStr">
        <is>
          <t>tratamiento</t>
        </is>
      </c>
      <c r="M218" s="2" t="inlineStr">
        <is>
          <t>estandar</t>
        </is>
      </c>
      <c r="N218" s="2" t="inlineStr">
        <is>
          <t>general</t>
        </is>
      </c>
      <c r="O218" s="2" t="inlineStr">
        <is>
          <t>https://www.jumbo.com.ar/mascara-de-tratamiento-dove-fuerza-bambu-190-ml/p</t>
        </is>
      </c>
    </row>
    <row r="219">
      <c r="A219" t="inlineStr">
        <is>
          <t>Jumbo</t>
        </is>
      </c>
      <c r="B219" t="n">
        <v>345131</v>
      </c>
      <c r="C219" t="n">
        <v>343816</v>
      </c>
      <c r="D219" t="inlineStr">
        <is>
          <t>Shampoo Pantene Prov Essentials Restauración 400ml</t>
        </is>
      </c>
      <c r="E219" t="inlineStr">
        <is>
          <t>PANTENE</t>
        </is>
      </c>
      <c r="F219" t="n">
        <v>1400</v>
      </c>
      <c r="G219" t="n">
        <v>115702</v>
      </c>
      <c r="H219" t="b">
        <v>0</v>
      </c>
      <c r="I219" t="n">
        <v>400</v>
      </c>
      <c r="J219" t="n">
        <v>3.5</v>
      </c>
      <c r="K219" t="inlineStr">
        <is>
          <t>&gt; Perfumería &gt; Cuidado Capilar &gt; Shampoo &gt;</t>
        </is>
      </c>
      <c r="L219" t="inlineStr">
        <is>
          <t>shampoo</t>
        </is>
      </c>
      <c r="M219" t="inlineStr">
        <is>
          <t>profesional</t>
        </is>
      </c>
      <c r="N219" t="inlineStr">
        <is>
          <t>general</t>
        </is>
      </c>
      <c r="O219" t="inlineStr">
        <is>
          <t>https://www.jumbo.com.ar/shampoo-pantene-prov-essentials-restauracion-400ml/p</t>
        </is>
      </c>
    </row>
    <row r="220">
      <c r="A220" s="2" t="inlineStr">
        <is>
          <t>Jumbo</t>
        </is>
      </c>
      <c r="B220" s="2" t="n">
        <v>345292</v>
      </c>
      <c r="C220" s="2" t="n">
        <v>343977</v>
      </c>
      <c r="D220" s="2" t="inlineStr">
        <is>
          <t>Shampoo Pantene Prov Essentials Bambu 400ml</t>
        </is>
      </c>
      <c r="E220" s="2" t="inlineStr">
        <is>
          <t>PANTENE</t>
        </is>
      </c>
      <c r="F220" s="2" t="n">
        <v>858.79</v>
      </c>
      <c r="G220" s="2" t="n">
        <v>70974</v>
      </c>
      <c r="H220" s="2" t="b">
        <v>0</v>
      </c>
      <c r="I220" s="2" t="n">
        <v>400</v>
      </c>
      <c r="J220" s="2" t="n">
        <v>2.147</v>
      </c>
      <c r="K220" s="2" t="inlineStr">
        <is>
          <t>&gt; Perfumería &gt; Cuidado Capilar &gt; Shampoo &gt;</t>
        </is>
      </c>
      <c r="L220" s="2" t="inlineStr">
        <is>
          <t>shampoo</t>
        </is>
      </c>
      <c r="M220" s="2" t="inlineStr">
        <is>
          <t>profesional</t>
        </is>
      </c>
      <c r="N220" s="2" t="inlineStr">
        <is>
          <t>general</t>
        </is>
      </c>
      <c r="O220" s="2" t="inlineStr">
        <is>
          <t>https://www.jumbo.com.ar/shampoo-pantene-prov-essentials-bambu-400ml-2/p</t>
        </is>
      </c>
    </row>
    <row r="221">
      <c r="A221" t="inlineStr">
        <is>
          <t>Jumbo</t>
        </is>
      </c>
      <c r="B221" t="n">
        <v>345283</v>
      </c>
      <c r="C221" t="n">
        <v>343968</v>
      </c>
      <c r="D221" t="inlineStr">
        <is>
          <t>Shampoo Pantene Prov Essentials Hidratación Extrema 400ml</t>
        </is>
      </c>
      <c r="E221" t="inlineStr">
        <is>
          <t>PANTENE</t>
        </is>
      </c>
      <c r="F221" t="n">
        <v>806.35</v>
      </c>
      <c r="G221" t="n">
        <v>66641</v>
      </c>
      <c r="H221" t="b">
        <v>0</v>
      </c>
      <c r="I221" t="n">
        <v>400</v>
      </c>
      <c r="J221" t="n">
        <v>2.0159</v>
      </c>
      <c r="K221" t="inlineStr">
        <is>
          <t>&gt; Perfumería &gt; Cuidado Capilar &gt; Shampoo &gt;</t>
        </is>
      </c>
      <c r="L221" t="inlineStr">
        <is>
          <t>shampoo</t>
        </is>
      </c>
      <c r="M221" t="inlineStr">
        <is>
          <t>profesional</t>
        </is>
      </c>
      <c r="N221" t="inlineStr">
        <is>
          <t>seco_danado</t>
        </is>
      </c>
      <c r="O221" t="inlineStr">
        <is>
          <t>https://www.jumbo.com.ar/shampoo-pantene-prov-essentials-hidratacion-extrema-400ml/p</t>
        </is>
      </c>
    </row>
    <row r="222">
      <c r="A222" s="2" t="inlineStr">
        <is>
          <t>Jumbo</t>
        </is>
      </c>
      <c r="B222" s="2" t="n">
        <v>345133</v>
      </c>
      <c r="C222" s="2" t="n">
        <v>343818</v>
      </c>
      <c r="D222" s="2" t="inlineStr">
        <is>
          <t>Shampoo Pantene Prov Essentials Restauración 750ml</t>
        </is>
      </c>
      <c r="E222" s="2" t="inlineStr">
        <is>
          <t>PANTENE</t>
        </is>
      </c>
      <c r="F222" s="2" t="n">
        <v>1544.85</v>
      </c>
      <c r="G222" s="2" t="n">
        <v>127674</v>
      </c>
      <c r="H222" s="2" t="b">
        <v>0</v>
      </c>
      <c r="I222" s="2" t="n">
        <v>750</v>
      </c>
      <c r="J222" s="2" t="n">
        <v>2.0598</v>
      </c>
      <c r="K222" s="2" t="inlineStr">
        <is>
          <t>&gt; Perfumería &gt; Cuidado Capilar &gt; Shampoo &gt;</t>
        </is>
      </c>
      <c r="L222" s="2" t="inlineStr">
        <is>
          <t>shampoo</t>
        </is>
      </c>
      <c r="M222" s="2" t="inlineStr">
        <is>
          <t>profesional</t>
        </is>
      </c>
      <c r="N222" s="2" t="inlineStr">
        <is>
          <t>general</t>
        </is>
      </c>
      <c r="O222" s="2" t="inlineStr">
        <is>
          <t>https://www.jumbo.com.ar/shampoo-pantene-prov-essentials-restauracion-750ml/p</t>
        </is>
      </c>
    </row>
    <row r="223">
      <c r="A223" t="inlineStr">
        <is>
          <t>Jumbo</t>
        </is>
      </c>
      <c r="B223" t="n">
        <v>46962</v>
      </c>
      <c r="C223" t="n">
        <v>44126</v>
      </c>
      <c r="D223" t="inlineStr">
        <is>
          <t>Shampoo Pantene Pro-v Brillo Extremo 400 Ml</t>
        </is>
      </c>
      <c r="E223" t="inlineStr">
        <is>
          <t>PANTENE</t>
        </is>
      </c>
      <c r="F223" t="n">
        <v>189.89</v>
      </c>
      <c r="G223" t="n">
        <v>15693</v>
      </c>
      <c r="H223" t="b">
        <v>0</v>
      </c>
      <c r="I223" t="n">
        <v>400</v>
      </c>
      <c r="J223" t="n">
        <v>0.4747</v>
      </c>
      <c r="K223" t="inlineStr">
        <is>
          <t>&gt; Perfumería &gt; Cuidado Capilar &gt; Shampoo &gt;</t>
        </is>
      </c>
      <c r="L223" t="inlineStr">
        <is>
          <t>shampoo</t>
        </is>
      </c>
      <c r="M223" t="inlineStr">
        <is>
          <t>profesional</t>
        </is>
      </c>
      <c r="N223" t="inlineStr">
        <is>
          <t>general</t>
        </is>
      </c>
      <c r="O223" t="inlineStr">
        <is>
          <t>https://www.jumbo.com.ar/shampoo-pantene-pro-v-brillo-extremo-400-ml/p</t>
        </is>
      </c>
    </row>
    <row r="224">
      <c r="A224" s="2" t="inlineStr">
        <is>
          <t>Jumbo</t>
        </is>
      </c>
      <c r="B224" s="2" t="n">
        <v>31622</v>
      </c>
      <c r="C224" s="2" t="n">
        <v>28781</v>
      </c>
      <c r="D224" s="2" t="inlineStr">
        <is>
          <t>Shampoo Elvive Reparacion Total 5 400ml</t>
        </is>
      </c>
      <c r="E224" s="2" t="inlineStr">
        <is>
          <t>ELVIVE</t>
        </is>
      </c>
      <c r="F224" s="2" t="n">
        <v>533.79</v>
      </c>
      <c r="G224" s="2" t="n">
        <v>44115</v>
      </c>
      <c r="H224" s="2" t="b">
        <v>0</v>
      </c>
      <c r="I224" s="2" t="n">
        <v>400</v>
      </c>
      <c r="J224" s="2" t="n">
        <v>1.3345</v>
      </c>
      <c r="K224" s="2" t="inlineStr">
        <is>
          <t>&gt; Perfumería &gt; Cuidado Capilar &gt; Shampoo &gt;</t>
        </is>
      </c>
      <c r="L224" s="2" t="inlineStr">
        <is>
          <t>shampoo</t>
        </is>
      </c>
      <c r="M224" s="2" t="inlineStr">
        <is>
          <t>profesional</t>
        </is>
      </c>
      <c r="N224" s="2" t="inlineStr">
        <is>
          <t>general</t>
        </is>
      </c>
      <c r="O224" s="2" t="inlineStr">
        <is>
          <t>https://www.jumbo.com.ar/shampoo-elvive-reparacion-total-5-400ml/p</t>
        </is>
      </c>
    </row>
    <row r="225">
      <c r="A225" t="inlineStr">
        <is>
          <t>Jumbo</t>
        </is>
      </c>
      <c r="B225" t="n">
        <v>262650</v>
      </c>
      <c r="C225" t="n">
        <v>261939</v>
      </c>
      <c r="D225" t="inlineStr">
        <is>
          <t>Shampoo Pantene Pro-v Micelar 400 Ml</t>
        </is>
      </c>
      <c r="E225" t="inlineStr">
        <is>
          <t>PANTENE</t>
        </is>
      </c>
      <c r="F225" t="n">
        <v>189.89</v>
      </c>
      <c r="G225" t="n">
        <v>15693</v>
      </c>
      <c r="H225" t="b">
        <v>0</v>
      </c>
      <c r="I225" t="n">
        <v>400</v>
      </c>
      <c r="J225" t="n">
        <v>0.4747</v>
      </c>
      <c r="K225" t="inlineStr">
        <is>
          <t>&gt; Perfumería &gt; Cuidado Capilar &gt; Shampoo &gt;</t>
        </is>
      </c>
      <c r="L225" t="inlineStr">
        <is>
          <t>shampoo</t>
        </is>
      </c>
      <c r="M225" t="inlineStr">
        <is>
          <t>profesional</t>
        </is>
      </c>
      <c r="N225" t="inlineStr">
        <is>
          <t>general</t>
        </is>
      </c>
      <c r="O225" t="inlineStr">
        <is>
          <t>https://www.jumbo.com.ar/shampoo-pantene-pro-v-micelar-400-ml/p</t>
        </is>
      </c>
    </row>
    <row r="226">
      <c r="A226" s="2" t="inlineStr">
        <is>
          <t>Jumbo</t>
        </is>
      </c>
      <c r="B226" s="2" t="n">
        <v>47599</v>
      </c>
      <c r="C226" s="2" t="n">
        <v>44764</v>
      </c>
      <c r="D226" s="2" t="inlineStr">
        <is>
          <t>Shampoo Pantene Pro-v Restauración 400 Ml</t>
        </is>
      </c>
      <c r="E226" s="2" t="inlineStr">
        <is>
          <t>PANTENE</t>
        </is>
      </c>
      <c r="F226" s="2" t="n">
        <v>189.89</v>
      </c>
      <c r="G226" s="2" t="n">
        <v>15693</v>
      </c>
      <c r="H226" s="2" t="b">
        <v>0</v>
      </c>
      <c r="I226" s="2" t="n">
        <v>400</v>
      </c>
      <c r="J226" s="2" t="n">
        <v>0.4747</v>
      </c>
      <c r="K226" s="2" t="inlineStr">
        <is>
          <t>&gt; Perfumería &gt; Cuidado Capilar &gt; Shampoo &gt;</t>
        </is>
      </c>
      <c r="L226" s="2" t="inlineStr">
        <is>
          <t>shampoo</t>
        </is>
      </c>
      <c r="M226" s="2" t="inlineStr">
        <is>
          <t>profesional</t>
        </is>
      </c>
      <c r="N226" s="2" t="inlineStr">
        <is>
          <t>general</t>
        </is>
      </c>
      <c r="O226" s="2" t="inlineStr">
        <is>
          <t>https://www.jumbo.com.ar/shampoo-pantene-pro-v-restauracion-400-ml/p</t>
        </is>
      </c>
    </row>
    <row r="227">
      <c r="A227" t="inlineStr">
        <is>
          <t>Jumbo</t>
        </is>
      </c>
      <c r="B227" t="n">
        <v>47348</v>
      </c>
      <c r="C227" t="n">
        <v>44513</v>
      </c>
      <c r="D227" t="inlineStr">
        <is>
          <t>Shampoo Pantene Pro-v Liso Extremo 400 Ml</t>
        </is>
      </c>
      <c r="E227" t="inlineStr">
        <is>
          <t>PANTENE</t>
        </is>
      </c>
      <c r="F227" t="n">
        <v>189.89</v>
      </c>
      <c r="G227" t="n">
        <v>15693</v>
      </c>
      <c r="H227" t="b">
        <v>0</v>
      </c>
      <c r="I227" t="n">
        <v>400</v>
      </c>
      <c r="J227" t="n">
        <v>0.4747</v>
      </c>
      <c r="K227" t="inlineStr">
        <is>
          <t>&gt; Perfumería &gt; Cuidado Capilar &gt; Shampoo &gt;</t>
        </is>
      </c>
      <c r="L227" t="inlineStr">
        <is>
          <t>shampoo</t>
        </is>
      </c>
      <c r="M227" t="inlineStr">
        <is>
          <t>profesional</t>
        </is>
      </c>
      <c r="N227" t="inlineStr">
        <is>
          <t>general</t>
        </is>
      </c>
      <c r="O227" t="inlineStr">
        <is>
          <t>https://www.jumbo.com.ar/shampoo-pantene-pro-v-liso-extremo-400-ml/p</t>
        </is>
      </c>
    </row>
    <row r="228">
      <c r="A228" s="2" t="inlineStr">
        <is>
          <t>Jumbo</t>
        </is>
      </c>
      <c r="B228" s="2" t="n">
        <v>308600</v>
      </c>
      <c r="C228" s="2" t="n">
        <v>307837</v>
      </c>
      <c r="D228" s="2" t="inlineStr">
        <is>
          <t>Shampoo Elvive Dream Long Liss 400ml</t>
        </is>
      </c>
      <c r="E228" s="2" t="inlineStr">
        <is>
          <t>ELVIVE</t>
        </is>
      </c>
      <c r="F228" s="2" t="n">
        <v>8800</v>
      </c>
      <c r="G228" s="2" t="n">
        <v>727273</v>
      </c>
      <c r="H228" s="2" t="b">
        <v>0</v>
      </c>
      <c r="I228" s="2" t="n">
        <v>400</v>
      </c>
      <c r="J228" s="2" t="n">
        <v>22</v>
      </c>
      <c r="K228" s="2" t="inlineStr">
        <is>
          <t>&gt; Perfumería &gt; Cuidado Capilar &gt; Shampoo &gt;</t>
        </is>
      </c>
      <c r="L228" s="2" t="inlineStr">
        <is>
          <t>shampoo</t>
        </is>
      </c>
      <c r="M228" s="2" t="inlineStr">
        <is>
          <t>profesional</t>
        </is>
      </c>
      <c r="N228" s="2" t="inlineStr">
        <is>
          <t>general</t>
        </is>
      </c>
      <c r="O228" s="2" t="inlineStr">
        <is>
          <t>https://www.jumbo.com.ar/shampoo-elvive-dream-long-liss-400ml/p</t>
        </is>
      </c>
    </row>
    <row r="229">
      <c r="A229" t="inlineStr">
        <is>
          <t>Jumbo</t>
        </is>
      </c>
      <c r="B229" t="n">
        <v>20043</v>
      </c>
      <c r="C229" t="n">
        <v>17214</v>
      </c>
      <c r="D229" t="inlineStr">
        <is>
          <t>Shampoo Dove Ritual De Fortalecimiento Palta 400 Ml</t>
        </is>
      </c>
      <c r="E229" t="inlineStr">
        <is>
          <t>DOVE</t>
        </is>
      </c>
      <c r="F229" t="n">
        <v>244.89</v>
      </c>
      <c r="G229" t="n">
        <v>20239</v>
      </c>
      <c r="H229" t="b">
        <v>0</v>
      </c>
      <c r="I229" t="n">
        <v>400</v>
      </c>
      <c r="J229" t="n">
        <v>0.6122</v>
      </c>
      <c r="K229" t="inlineStr">
        <is>
          <t>&gt; Perfumería &gt; Cuidado Capilar &gt; Shampoo &gt;</t>
        </is>
      </c>
      <c r="L229" t="inlineStr">
        <is>
          <t>shampoo</t>
        </is>
      </c>
      <c r="M229" t="inlineStr">
        <is>
          <t>estandar</t>
        </is>
      </c>
      <c r="N229" t="inlineStr">
        <is>
          <t>general</t>
        </is>
      </c>
      <c r="O229" t="inlineStr">
        <is>
          <t>https://www.jumbo.com.ar/shampoo-dove-ritual-de-fortalecimiento-palta-400-ml/p</t>
        </is>
      </c>
    </row>
    <row r="230">
      <c r="A230" s="2" t="inlineStr">
        <is>
          <t>Jumbo</t>
        </is>
      </c>
      <c r="B230" s="2" t="n">
        <v>20041</v>
      </c>
      <c r="C230" s="2" t="n">
        <v>17212</v>
      </c>
      <c r="D230" s="2" t="inlineStr">
        <is>
          <t>Shampoo Dove Ritual De Reparación Coco Y Cúrcuma 400 Ml</t>
        </is>
      </c>
      <c r="E230" s="2" t="inlineStr">
        <is>
          <t>DOVE</t>
        </is>
      </c>
      <c r="F230" s="2" t="n">
        <v>244.89</v>
      </c>
      <c r="G230" s="2" t="n">
        <v>20239</v>
      </c>
      <c r="H230" s="2" t="b">
        <v>0</v>
      </c>
      <c r="I230" s="2" t="n">
        <v>400</v>
      </c>
      <c r="J230" s="2" t="n">
        <v>0.6122</v>
      </c>
      <c r="K230" s="2" t="inlineStr">
        <is>
          <t>&gt; Perfumería &gt; Cuidado Capilar &gt; Shampoo &gt;</t>
        </is>
      </c>
      <c r="L230" s="2" t="inlineStr">
        <is>
          <t>shampoo</t>
        </is>
      </c>
      <c r="M230" s="2" t="inlineStr">
        <is>
          <t>estandar</t>
        </is>
      </c>
      <c r="N230" s="2" t="inlineStr">
        <is>
          <t>general</t>
        </is>
      </c>
      <c r="O230" s="2" t="inlineStr">
        <is>
          <t>https://www.jumbo.com.ar/shampoo-dove-ritual-de-reparacion-coco-y-curcuma-400-ml/p</t>
        </is>
      </c>
    </row>
    <row r="231">
      <c r="A231" t="inlineStr">
        <is>
          <t>Jumbo</t>
        </is>
      </c>
      <c r="B231" t="n">
        <v>184357</v>
      </c>
      <c r="C231" t="n">
        <v>208546</v>
      </c>
      <c r="D231" t="inlineStr">
        <is>
          <t>Shampoo Sedal</t>
        </is>
      </c>
      <c r="E231" t="inlineStr">
        <is>
          <t>SEDAL</t>
        </is>
      </c>
      <c r="F231" t="n">
        <v>20.75</v>
      </c>
      <c r="G231" t="n">
        <v>20.75</v>
      </c>
      <c r="H231" t="b">
        <v>0</v>
      </c>
      <c r="I231" t="inlineStr"/>
      <c r="J231" t="inlineStr"/>
      <c r="K231" t="inlineStr">
        <is>
          <t>&gt; Perfumería &gt; Cuidado Capilar &gt; Shampoo &gt;</t>
        </is>
      </c>
      <c r="L231" t="inlineStr">
        <is>
          <t>shampoo</t>
        </is>
      </c>
      <c r="M231" t="inlineStr">
        <is>
          <t>estandar</t>
        </is>
      </c>
      <c r="N231" t="inlineStr">
        <is>
          <t>general</t>
        </is>
      </c>
      <c r="O231" t="inlineStr">
        <is>
          <t>https://www.jumbo.com.ar/shampoo-sedal-58-288667/p</t>
        </is>
      </c>
    </row>
    <row r="232">
      <c r="A232" s="2" t="inlineStr">
        <is>
          <t>Jumbo</t>
        </is>
      </c>
      <c r="B232" s="2" t="n">
        <v>152501</v>
      </c>
      <c r="C232" s="2" t="n">
        <v>150073</v>
      </c>
      <c r="D232" s="2" t="inlineStr">
        <is>
          <t>Shampoo Dove óleo Nutrición 400 Ml</t>
        </is>
      </c>
      <c r="E232" s="2" t="inlineStr">
        <is>
          <t>DOVE</t>
        </is>
      </c>
      <c r="F232" s="2" t="n">
        <v>244.89</v>
      </c>
      <c r="G232" s="2" t="n">
        <v>20239</v>
      </c>
      <c r="H232" s="2" t="b">
        <v>0</v>
      </c>
      <c r="I232" s="2" t="n">
        <v>400</v>
      </c>
      <c r="J232" s="2" t="n">
        <v>0.6122</v>
      </c>
      <c r="K232" s="2" t="inlineStr">
        <is>
          <t>&gt; Perfumería &gt; Cuidado Capilar &gt; Shampoo &gt;</t>
        </is>
      </c>
      <c r="L232" s="2" t="inlineStr">
        <is>
          <t>shampoo</t>
        </is>
      </c>
      <c r="M232" s="2" t="inlineStr">
        <is>
          <t>estandar</t>
        </is>
      </c>
      <c r="N232" s="2" t="inlineStr">
        <is>
          <t>general</t>
        </is>
      </c>
      <c r="O232" s="2" t="inlineStr">
        <is>
          <t>https://www.jumbo.com.ar/shampoo-dove-24-2/p</t>
        </is>
      </c>
    </row>
    <row r="233">
      <c r="A233" t="inlineStr">
        <is>
          <t>Jumbo</t>
        </is>
      </c>
      <c r="B233" t="n">
        <v>122281</v>
      </c>
      <c r="C233" t="n">
        <v>121300</v>
      </c>
      <c r="D233" t="inlineStr">
        <is>
          <t>Shampoo Pantene Liso Extremo 750 Ml</t>
        </is>
      </c>
      <c r="E233" t="inlineStr">
        <is>
          <t>PANTENE</t>
        </is>
      </c>
      <c r="F233" t="n">
        <v>74.37</v>
      </c>
      <c r="G233" t="n">
        <v>6146</v>
      </c>
      <c r="H233" t="b">
        <v>0</v>
      </c>
      <c r="I233" t="n">
        <v>750</v>
      </c>
      <c r="J233" t="n">
        <v>0.0992</v>
      </c>
      <c r="K233" t="inlineStr">
        <is>
          <t>&gt; Perfumería &gt; Cuidado Capilar &gt; Shampoo &gt;</t>
        </is>
      </c>
      <c r="L233" t="inlineStr">
        <is>
          <t>shampoo</t>
        </is>
      </c>
      <c r="M233" t="inlineStr">
        <is>
          <t>estandar</t>
        </is>
      </c>
      <c r="N233" t="inlineStr">
        <is>
          <t>general</t>
        </is>
      </c>
      <c r="O233" t="inlineStr">
        <is>
          <t>https://www.jumbo.com.ar/shampoo-pantene-19-2/p</t>
        </is>
      </c>
    </row>
    <row r="234">
      <c r="A234" s="2" t="inlineStr">
        <is>
          <t>Jumbo</t>
        </is>
      </c>
      <c r="B234" s="2" t="n">
        <v>122152</v>
      </c>
      <c r="C234" s="2" t="n">
        <v>121171</v>
      </c>
      <c r="D234" s="2" t="inlineStr">
        <is>
          <t>Shampoo Capilatisx420ml</t>
        </is>
      </c>
      <c r="E234" s="2" t="inlineStr">
        <is>
          <t>CAPILATIS</t>
        </is>
      </c>
      <c r="F234" s="2" t="n">
        <v>33.79</v>
      </c>
      <c r="G234" s="2" t="n">
        <v>2793</v>
      </c>
      <c r="H234" s="2" t="b">
        <v>0</v>
      </c>
      <c r="I234" s="2" t="n">
        <v>420</v>
      </c>
      <c r="J234" s="2" t="n">
        <v>0.0805</v>
      </c>
      <c r="K234" s="2" t="inlineStr">
        <is>
          <t>&gt; Perfumería &gt; Cuidado Capilar &gt; Shampoo &gt;</t>
        </is>
      </c>
      <c r="L234" s="2" t="inlineStr">
        <is>
          <t>shampoo</t>
        </is>
      </c>
      <c r="M234" s="2" t="inlineStr">
        <is>
          <t>estandar</t>
        </is>
      </c>
      <c r="N234" s="2" t="inlineStr">
        <is>
          <t>general</t>
        </is>
      </c>
      <c r="O234" s="2" t="inlineStr">
        <is>
          <t>https://www.jumbo.com.ar/shampoo-capilatis-8/p</t>
        </is>
      </c>
    </row>
    <row r="235">
      <c r="A235" t="inlineStr">
        <is>
          <t>Jumbo</t>
        </is>
      </c>
      <c r="B235" t="n">
        <v>115983</v>
      </c>
      <c r="C235" t="n">
        <v>115027</v>
      </c>
      <c r="D235" t="inlineStr">
        <is>
          <t>Shampoo Pantene Hidratación 750 Ml</t>
        </is>
      </c>
      <c r="E235" t="inlineStr">
        <is>
          <t>PANTENE</t>
        </is>
      </c>
      <c r="F235" t="n">
        <v>74.37</v>
      </c>
      <c r="G235" t="n">
        <v>6146</v>
      </c>
      <c r="H235" t="b">
        <v>0</v>
      </c>
      <c r="I235" t="n">
        <v>750</v>
      </c>
      <c r="J235" t="n">
        <v>0.0992</v>
      </c>
      <c r="K235" t="inlineStr">
        <is>
          <t>&gt; Perfumería &gt; Cuidado Capilar &gt; Shampoo &gt;</t>
        </is>
      </c>
      <c r="L235" t="inlineStr">
        <is>
          <t>shampoo</t>
        </is>
      </c>
      <c r="M235" t="inlineStr">
        <is>
          <t>estandar</t>
        </is>
      </c>
      <c r="N235" t="inlineStr">
        <is>
          <t>seco_danado</t>
        </is>
      </c>
      <c r="O235" t="inlineStr">
        <is>
          <t>https://www.jumbo.com.ar/shampoo-pantene-20/p</t>
        </is>
      </c>
    </row>
    <row r="236">
      <c r="A236" s="2" t="inlineStr">
        <is>
          <t>Jumbo</t>
        </is>
      </c>
      <c r="B236" s="2" t="n">
        <v>115222</v>
      </c>
      <c r="C236" s="2" t="n">
        <v>114268</v>
      </c>
      <c r="D236" s="2" t="inlineStr">
        <is>
          <t>Shampoo Tresemmé Liso Y Sin Frizz X 900 Ml</t>
        </is>
      </c>
      <c r="E236" s="2" t="inlineStr">
        <is>
          <t>TRESEMMÉ</t>
        </is>
      </c>
      <c r="F236" s="2" t="n">
        <v>28.39</v>
      </c>
      <c r="G236" s="2" t="n">
        <v>2346</v>
      </c>
      <c r="H236" s="2" t="b">
        <v>0</v>
      </c>
      <c r="I236" s="2" t="n">
        <v>900</v>
      </c>
      <c r="J236" s="2" t="n">
        <v>0.0315</v>
      </c>
      <c r="K236" s="2" t="inlineStr">
        <is>
          <t>&gt; Perfumería &gt; Cuidado Capilar &gt; Shampoo &gt;</t>
        </is>
      </c>
      <c r="L236" s="2" t="inlineStr">
        <is>
          <t>shampoo</t>
        </is>
      </c>
      <c r="M236" s="2" t="inlineStr">
        <is>
          <t>estandar</t>
        </is>
      </c>
      <c r="N236" s="2" t="inlineStr">
        <is>
          <t>general</t>
        </is>
      </c>
      <c r="O236" s="2" t="inlineStr">
        <is>
          <t>https://www.jumbo.com.ar/shampoo-tresemme-10-2/p</t>
        </is>
      </c>
    </row>
    <row r="237">
      <c r="A237" t="inlineStr">
        <is>
          <t>Jumbo</t>
        </is>
      </c>
      <c r="B237" t="n">
        <v>115109</v>
      </c>
      <c r="C237" t="n">
        <v>114155</v>
      </c>
      <c r="D237" t="inlineStr">
        <is>
          <t>Shampoo Tresemmé Rizos Definidos X 900 Ml</t>
        </is>
      </c>
      <c r="E237" t="inlineStr">
        <is>
          <t>TRESEMMÉ</t>
        </is>
      </c>
      <c r="F237" t="n">
        <v>38.49</v>
      </c>
      <c r="G237" t="n">
        <v>3181</v>
      </c>
      <c r="H237" t="b">
        <v>0</v>
      </c>
      <c r="I237" t="n">
        <v>900</v>
      </c>
      <c r="J237" t="n">
        <v>0.0428</v>
      </c>
      <c r="K237" t="inlineStr">
        <is>
          <t>&gt; Perfumería &gt; Cuidado Capilar &gt; Shampoo &gt;</t>
        </is>
      </c>
      <c r="L237" t="inlineStr">
        <is>
          <t>shampoo</t>
        </is>
      </c>
      <c r="M237" t="inlineStr">
        <is>
          <t>estandar</t>
        </is>
      </c>
      <c r="N237" t="inlineStr">
        <is>
          <t>rizado</t>
        </is>
      </c>
      <c r="O237" t="inlineStr">
        <is>
          <t>https://www.jumbo.com.ar/shampoo-tresemme-10/p</t>
        </is>
      </c>
    </row>
    <row r="238">
      <c r="A238" s="2" t="inlineStr">
        <is>
          <t>Jumbo</t>
        </is>
      </c>
      <c r="B238" s="2" t="n">
        <v>114726</v>
      </c>
      <c r="C238" s="2" t="n">
        <v>113774</v>
      </c>
      <c r="D238" s="2" t="inlineStr">
        <is>
          <t>Shampoo Porta Shampoo Resaltador De Color Porta 500 Cc</t>
        </is>
      </c>
      <c r="E238" s="2" t="inlineStr">
        <is>
          <t>PORTA</t>
        </is>
      </c>
      <c r="F238" s="2" t="n">
        <v>59.85</v>
      </c>
      <c r="G238" s="2" t="n">
        <v>59.85</v>
      </c>
      <c r="H238" s="2" t="b">
        <v>0</v>
      </c>
      <c r="I238" s="2" t="inlineStr"/>
      <c r="J238" s="2" t="inlineStr"/>
      <c r="K238" s="2" t="inlineStr">
        <is>
          <t>&gt; Mascotas &gt; Accesorios para Mascotas &gt;</t>
        </is>
      </c>
      <c r="L238" s="2" t="inlineStr">
        <is>
          <t>shampoo</t>
        </is>
      </c>
      <c r="M238" s="2" t="inlineStr">
        <is>
          <t>estandar</t>
        </is>
      </c>
      <c r="N238" s="2" t="inlineStr">
        <is>
          <t>tratado</t>
        </is>
      </c>
      <c r="O238" s="2" t="inlineStr">
        <is>
          <t>https://www.jumbo.com.ar/shampoo-porta-6/p</t>
        </is>
      </c>
    </row>
    <row r="239">
      <c r="A239" t="inlineStr">
        <is>
          <t>Jumbo</t>
        </is>
      </c>
      <c r="B239" t="n">
        <v>107314</v>
      </c>
      <c r="C239" t="n">
        <v>104582</v>
      </c>
      <c r="D239" t="inlineStr">
        <is>
          <t>Shampoo Suave Palta Y Oliva Pvc 930 Ml</t>
        </is>
      </c>
      <c r="E239" t="inlineStr">
        <is>
          <t>SUAVE</t>
        </is>
      </c>
      <c r="F239" t="n">
        <v>7.39</v>
      </c>
      <c r="G239" t="n">
        <v>7.39</v>
      </c>
      <c r="H239" t="b">
        <v>0</v>
      </c>
      <c r="I239" t="n">
        <v>930</v>
      </c>
      <c r="J239" t="n">
        <v>0.007900000000000001</v>
      </c>
      <c r="K239" t="inlineStr">
        <is>
          <t>&gt; Perfumería &gt; Cuidado Capilar &gt; Shampoo &gt;</t>
        </is>
      </c>
      <c r="L239" t="inlineStr">
        <is>
          <t>shampoo</t>
        </is>
      </c>
      <c r="M239" t="inlineStr">
        <is>
          <t>estandar</t>
        </is>
      </c>
      <c r="N239" t="inlineStr">
        <is>
          <t>bebe</t>
        </is>
      </c>
      <c r="O239" t="inlineStr">
        <is>
          <t>https://www.jumbo.com.ar/shampoo-suave-2/p</t>
        </is>
      </c>
    </row>
    <row r="240">
      <c r="A240" s="2" t="inlineStr">
        <is>
          <t>Jumbo</t>
        </is>
      </c>
      <c r="B240" s="2" t="n">
        <v>90086</v>
      </c>
      <c r="C240" s="2" t="n">
        <v>87414</v>
      </c>
      <c r="D240" s="2" t="inlineStr">
        <is>
          <t>Shampoo Capilatis-anti-age Hair Therapy-uva Roja-pvc-ml.-350</t>
        </is>
      </c>
      <c r="E240" s="2" t="inlineStr">
        <is>
          <t>CAPILATIS</t>
        </is>
      </c>
      <c r="F240" s="2" t="n">
        <v>80.39</v>
      </c>
      <c r="G240" s="2" t="n">
        <v>6644</v>
      </c>
      <c r="H240" s="2" t="b">
        <v>0</v>
      </c>
      <c r="I240" s="2" t="inlineStr"/>
      <c r="J240" s="2" t="inlineStr"/>
      <c r="K240" s="2" t="inlineStr">
        <is>
          <t>&gt; Perfumería &gt; Cuidado Capilar &gt; Shampoo &gt;</t>
        </is>
      </c>
      <c r="L240" s="2" t="inlineStr">
        <is>
          <t>shampoo</t>
        </is>
      </c>
      <c r="M240" s="2" t="inlineStr">
        <is>
          <t>estandar</t>
        </is>
      </c>
      <c r="N240" s="2" t="inlineStr">
        <is>
          <t>general</t>
        </is>
      </c>
      <c r="O240" s="2" t="inlineStr">
        <is>
          <t>https://www.jumbo.com.ar/shampoo-capilatis-11/p</t>
        </is>
      </c>
    </row>
    <row r="241">
      <c r="A241" t="inlineStr">
        <is>
          <t>Jumbo</t>
        </is>
      </c>
      <c r="B241" t="n">
        <v>77313</v>
      </c>
      <c r="C241" t="n">
        <v>74440</v>
      </c>
      <c r="D241" t="inlineStr">
        <is>
          <t>Shampoo Pantene Liso Y Sedoso 200 Ml</t>
        </is>
      </c>
      <c r="E241" t="inlineStr">
        <is>
          <t>PANTENE</t>
        </is>
      </c>
      <c r="F241" t="n">
        <v>21.33</v>
      </c>
      <c r="G241" t="n">
        <v>1763</v>
      </c>
      <c r="H241" t="b">
        <v>0</v>
      </c>
      <c r="I241" t="n">
        <v>200</v>
      </c>
      <c r="J241" t="n">
        <v>0.1066</v>
      </c>
      <c r="K241" t="inlineStr">
        <is>
          <t>&gt; Perfumería &gt; Cuidado Capilar &gt; Shampoo &gt;</t>
        </is>
      </c>
      <c r="L241" t="inlineStr">
        <is>
          <t>shampoo</t>
        </is>
      </c>
      <c r="M241" t="inlineStr">
        <is>
          <t>estandar</t>
        </is>
      </c>
      <c r="N241" t="inlineStr">
        <is>
          <t>general</t>
        </is>
      </c>
      <c r="O241" t="inlineStr">
        <is>
          <t>https://www.jumbo.com.ar/shampoo-pantene-16/p</t>
        </is>
      </c>
    </row>
    <row r="242">
      <c r="A242" s="2" t="inlineStr">
        <is>
          <t>Jumbo</t>
        </is>
      </c>
      <c r="B242" s="2" t="n">
        <v>77288</v>
      </c>
      <c r="C242" s="2" t="n">
        <v>74415</v>
      </c>
      <c r="D242" s="2" t="inlineStr">
        <is>
          <t>Shampoo Pantene Rizos Definidos 200ml</t>
        </is>
      </c>
      <c r="E242" s="2" t="inlineStr">
        <is>
          <t>PANTENE</t>
        </is>
      </c>
      <c r="F242" s="2" t="n">
        <v>21.33</v>
      </c>
      <c r="G242" s="2" t="n">
        <v>1763</v>
      </c>
      <c r="H242" s="2" t="b">
        <v>0</v>
      </c>
      <c r="I242" s="2" t="n">
        <v>200</v>
      </c>
      <c r="J242" s="2" t="n">
        <v>0.1066</v>
      </c>
      <c r="K242" s="2" t="inlineStr">
        <is>
          <t>&gt; Perfumería &gt; Cuidado Capilar &gt; Shampoo &gt;</t>
        </is>
      </c>
      <c r="L242" s="2" t="inlineStr">
        <is>
          <t>shampoo</t>
        </is>
      </c>
      <c r="M242" s="2" t="inlineStr">
        <is>
          <t>estandar</t>
        </is>
      </c>
      <c r="N242" s="2" t="inlineStr">
        <is>
          <t>rizado</t>
        </is>
      </c>
      <c r="O242" s="2" t="inlineStr">
        <is>
          <t>https://www.jumbo.com.ar/shampoo-pantene-15-5/p</t>
        </is>
      </c>
    </row>
    <row r="243">
      <c r="A243" t="inlineStr">
        <is>
          <t>Jumbo</t>
        </is>
      </c>
      <c r="B243" t="n">
        <v>72262</v>
      </c>
      <c r="C243" t="n">
        <v>69397</v>
      </c>
      <c r="D243" t="inlineStr">
        <is>
          <t>Shampoo Pantene Renovación Profunda X 750 Ml</t>
        </is>
      </c>
      <c r="E243" t="inlineStr">
        <is>
          <t>PANTENE</t>
        </is>
      </c>
      <c r="F243" t="n">
        <v>427.67</v>
      </c>
      <c r="G243" t="n">
        <v>427.67</v>
      </c>
      <c r="H243" t="b">
        <v>0</v>
      </c>
      <c r="I243" t="n">
        <v>750</v>
      </c>
      <c r="J243" t="n">
        <v>0.5702</v>
      </c>
      <c r="K243" t="inlineStr">
        <is>
          <t>&gt; Perfumería &gt; Cuidado Capilar &gt; Shampoo &gt;</t>
        </is>
      </c>
      <c r="L243" t="inlineStr">
        <is>
          <t>shampoo</t>
        </is>
      </c>
      <c r="M243" t="inlineStr">
        <is>
          <t>estandar</t>
        </is>
      </c>
      <c r="N243" t="inlineStr">
        <is>
          <t>general</t>
        </is>
      </c>
      <c r="O243" t="inlineStr">
        <is>
          <t>https://www.jumbo.com.ar/shampoo-pantene-25/p</t>
        </is>
      </c>
    </row>
    <row r="244">
      <c r="A244" s="2" t="inlineStr">
        <is>
          <t>Jumbo</t>
        </is>
      </c>
      <c r="B244" s="2" t="n">
        <v>72120</v>
      </c>
      <c r="C244" s="2" t="n">
        <v>69255</v>
      </c>
      <c r="D244" s="2" t="inlineStr">
        <is>
          <t>Shampoo Dove Hidrotherapy + Spray Para Peinar 215 Ml</t>
        </is>
      </c>
      <c r="E244" s="2" t="inlineStr">
        <is>
          <t>DOVE</t>
        </is>
      </c>
      <c r="F244" s="2" t="n">
        <v>20.39</v>
      </c>
      <c r="G244" s="2" t="n">
        <v>20.39</v>
      </c>
      <c r="H244" s="2" t="b">
        <v>0</v>
      </c>
      <c r="I244" s="2" t="n">
        <v>215</v>
      </c>
      <c r="J244" s="2" t="n">
        <v>0.0948</v>
      </c>
      <c r="K244" s="2" t="inlineStr">
        <is>
          <t>&gt; Perfumería &gt; Cuidado Capilar &gt; Shampoo &gt;</t>
        </is>
      </c>
      <c r="L244" s="2" t="inlineStr">
        <is>
          <t>shampoo</t>
        </is>
      </c>
      <c r="M244" s="2" t="inlineStr">
        <is>
          <t>estandar</t>
        </is>
      </c>
      <c r="N244" s="2" t="inlineStr">
        <is>
          <t>general</t>
        </is>
      </c>
      <c r="O244" s="2" t="inlineStr">
        <is>
          <t>https://www.jumbo.com.ar/shampoo-dove-9/p</t>
        </is>
      </c>
    </row>
    <row r="245">
      <c r="A245" t="inlineStr">
        <is>
          <t>Jumbo</t>
        </is>
      </c>
      <c r="B245" t="n">
        <v>67613</v>
      </c>
      <c r="C245" t="n">
        <v>64753</v>
      </c>
      <c r="D245" t="inlineStr">
        <is>
          <t>Shampoo Vo5</t>
        </is>
      </c>
      <c r="E245" t="inlineStr">
        <is>
          <t>VO5</t>
        </is>
      </c>
      <c r="F245" t="n">
        <v>6.39</v>
      </c>
      <c r="G245" t="n">
        <v>528</v>
      </c>
      <c r="H245" t="b">
        <v>0</v>
      </c>
      <c r="I245" t="inlineStr"/>
      <c r="J245" t="inlineStr"/>
      <c r="K245" t="inlineStr">
        <is>
          <t>&gt; Perfumería &gt; Cuidado Capilar &gt; Shampoo &gt;</t>
        </is>
      </c>
      <c r="L245" t="inlineStr">
        <is>
          <t>shampoo</t>
        </is>
      </c>
      <c r="M245" t="inlineStr">
        <is>
          <t>estandar</t>
        </is>
      </c>
      <c r="N245" t="inlineStr">
        <is>
          <t>general</t>
        </is>
      </c>
      <c r="O245" t="inlineStr">
        <is>
          <t>https://www.jumbo.com.ar/shampoo-vo5-3/p</t>
        </is>
      </c>
    </row>
    <row r="246">
      <c r="A246" s="2" t="inlineStr">
        <is>
          <t>Jumbo</t>
        </is>
      </c>
      <c r="B246" s="2" t="n">
        <v>18735</v>
      </c>
      <c r="C246" s="2" t="n">
        <v>15817</v>
      </c>
      <c r="D246" s="2" t="inlineStr">
        <is>
          <t>Shampoo Porta Shampoo Pulguicida Porta 500 Cc</t>
        </is>
      </c>
      <c r="E246" s="2" t="inlineStr">
        <is>
          <t>PORTA</t>
        </is>
      </c>
      <c r="F246" s="2" t="n">
        <v>88.39</v>
      </c>
      <c r="G246" s="2" t="n">
        <v>88.39</v>
      </c>
      <c r="H246" s="2" t="b">
        <v>0</v>
      </c>
      <c r="I246" s="2" t="inlineStr"/>
      <c r="J246" s="2" t="inlineStr"/>
      <c r="K246" s="2" t="inlineStr">
        <is>
          <t>&gt; Mascotas &gt; Accesorios para Mascotas &gt;</t>
        </is>
      </c>
      <c r="L246" s="2" t="inlineStr">
        <is>
          <t>shampoo</t>
        </is>
      </c>
      <c r="M246" s="2" t="inlineStr">
        <is>
          <t>estandar</t>
        </is>
      </c>
      <c r="N246" s="2" t="inlineStr">
        <is>
          <t>general</t>
        </is>
      </c>
      <c r="O246" s="2" t="inlineStr">
        <is>
          <t>https://www.jumbo.com.ar/shampoo-porta-3/p</t>
        </is>
      </c>
    </row>
    <row r="247">
      <c r="A247" t="inlineStr">
        <is>
          <t>Jumbo</t>
        </is>
      </c>
      <c r="B247" t="n">
        <v>212300</v>
      </c>
      <c r="C247" t="n">
        <v>236957</v>
      </c>
      <c r="D247" t="inlineStr">
        <is>
          <t>Shampoo Sedal</t>
        </is>
      </c>
      <c r="E247" t="inlineStr">
        <is>
          <t>SEDAL</t>
        </is>
      </c>
      <c r="F247" t="n">
        <v>6.09</v>
      </c>
      <c r="G247" t="n">
        <v>6.09</v>
      </c>
      <c r="H247" t="b">
        <v>0</v>
      </c>
      <c r="I247" t="inlineStr"/>
      <c r="J247" t="inlineStr"/>
      <c r="K247" t="inlineStr">
        <is>
          <t>&gt; Perfumería &gt; Cuidado Capilar &gt; Shampoo &gt;</t>
        </is>
      </c>
      <c r="L247" t="inlineStr">
        <is>
          <t>shampoo</t>
        </is>
      </c>
      <c r="M247" t="inlineStr">
        <is>
          <t>estandar</t>
        </is>
      </c>
      <c r="N247" t="inlineStr">
        <is>
          <t>general</t>
        </is>
      </c>
      <c r="O247" t="inlineStr">
        <is>
          <t>https://www.jumbo.com.ar/shampoo-sedal-41/p</t>
        </is>
      </c>
    </row>
    <row r="248">
      <c r="A248" s="2" t="inlineStr">
        <is>
          <t>Jumbo</t>
        </is>
      </c>
      <c r="B248" s="2" t="n">
        <v>184395</v>
      </c>
      <c r="C248" s="2" t="n">
        <v>208659</v>
      </c>
      <c r="D248" s="2" t="inlineStr">
        <is>
          <t>Shampoo Sedal</t>
        </is>
      </c>
      <c r="E248" s="2" t="inlineStr">
        <is>
          <t>SEDAL</t>
        </is>
      </c>
      <c r="F248" s="2" t="n">
        <v>21.85</v>
      </c>
      <c r="G248" s="2" t="n">
        <v>21.85</v>
      </c>
      <c r="H248" s="2" t="b">
        <v>0</v>
      </c>
      <c r="I248" s="2" t="inlineStr"/>
      <c r="J248" s="2" t="inlineStr"/>
      <c r="K248" s="2" t="inlineStr">
        <is>
          <t>&gt; Perfumería &gt; Cuidado Capilar &gt; Shampoo &gt;</t>
        </is>
      </c>
      <c r="L248" s="2" t="inlineStr">
        <is>
          <t>shampoo</t>
        </is>
      </c>
      <c r="M248" s="2" t="inlineStr">
        <is>
          <t>estandar</t>
        </is>
      </c>
      <c r="N248" s="2" t="inlineStr">
        <is>
          <t>general</t>
        </is>
      </c>
      <c r="O248" s="2" t="inlineStr">
        <is>
          <t>https://www.jumbo.com.ar/shampoo-sedal-59-288661/p</t>
        </is>
      </c>
    </row>
    <row r="249">
      <c r="A249" t="inlineStr">
        <is>
          <t>Jumbo</t>
        </is>
      </c>
      <c r="B249" t="n">
        <v>142649</v>
      </c>
      <c r="C249" t="n">
        <v>139561</v>
      </c>
      <c r="D249" t="inlineStr">
        <is>
          <t>Shampoo Capilatis Protector Presentacion Protector Sin Atributo Sin Atributo</t>
        </is>
      </c>
      <c r="E249" t="inlineStr">
        <is>
          <t>CAPILATIS</t>
        </is>
      </c>
      <c r="F249" t="n">
        <v>381.67</v>
      </c>
      <c r="G249" t="n">
        <v>31543</v>
      </c>
      <c r="H249" t="b">
        <v>0</v>
      </c>
      <c r="I249" t="inlineStr"/>
      <c r="J249" t="inlineStr"/>
      <c r="K249" t="inlineStr">
        <is>
          <t>&gt; Perfumería &gt; Cuidado Capilar &gt; Shampoo &gt;</t>
        </is>
      </c>
      <c r="L249" t="inlineStr">
        <is>
          <t>shampoo</t>
        </is>
      </c>
      <c r="M249" t="inlineStr">
        <is>
          <t>estandar</t>
        </is>
      </c>
      <c r="N249" t="inlineStr">
        <is>
          <t>general</t>
        </is>
      </c>
      <c r="O249" t="inlineStr">
        <is>
          <t>https://www.jumbo.com.ar/shampoo-capilatis-5-2/p</t>
        </is>
      </c>
    </row>
    <row r="250">
      <c r="A250" s="2" t="inlineStr">
        <is>
          <t>Jumbo</t>
        </is>
      </c>
      <c r="B250" s="2" t="n">
        <v>137341</v>
      </c>
      <c r="C250" s="2" t="n">
        <v>134254</v>
      </c>
      <c r="D250" s="2" t="inlineStr">
        <is>
          <t>Shampoo Suave-caspa Control-control-pvc-ml.-750</t>
        </is>
      </c>
      <c r="E250" s="2" t="inlineStr">
        <is>
          <t>SUAVE</t>
        </is>
      </c>
      <c r="F250" s="2" t="n">
        <v>10.55</v>
      </c>
      <c r="G250" s="2" t="n">
        <v>872</v>
      </c>
      <c r="H250" s="2" t="b">
        <v>0</v>
      </c>
      <c r="I250" s="2" t="inlineStr"/>
      <c r="J250" s="2" t="inlineStr"/>
      <c r="K250" s="2" t="inlineStr">
        <is>
          <t>&gt; Perfumería &gt; Cuidado Capilar &gt; Shampoo &gt;</t>
        </is>
      </c>
      <c r="L250" s="2" t="inlineStr">
        <is>
          <t>shampoo</t>
        </is>
      </c>
      <c r="M250" s="2" t="inlineStr">
        <is>
          <t>estandar</t>
        </is>
      </c>
      <c r="N250" s="2" t="inlineStr">
        <is>
          <t>anticaspa</t>
        </is>
      </c>
      <c r="O250" s="2" t="inlineStr">
        <is>
          <t>https://www.jumbo.com.ar/shampoo-suave-3/p</t>
        </is>
      </c>
    </row>
    <row r="251">
      <c r="A251" t="inlineStr">
        <is>
          <t>Jumbo</t>
        </is>
      </c>
      <c r="B251" t="n">
        <v>130770</v>
      </c>
      <c r="C251" t="n">
        <v>127699</v>
      </c>
      <c r="D251" t="inlineStr">
        <is>
          <t>Shampoo Dove Reconstrucción Completa 200 Ml</t>
        </is>
      </c>
      <c r="E251" t="inlineStr">
        <is>
          <t>DOVE</t>
        </is>
      </c>
      <c r="F251" t="n">
        <v>135.75</v>
      </c>
      <c r="G251" t="n">
        <v>11219</v>
      </c>
      <c r="H251" t="b">
        <v>0</v>
      </c>
      <c r="I251" t="n">
        <v>200</v>
      </c>
      <c r="J251" t="n">
        <v>0.6787</v>
      </c>
      <c r="K251" t="inlineStr">
        <is>
          <t>&gt; Perfumería &gt; Cuidado Capilar &gt; Shampoo &gt;</t>
        </is>
      </c>
      <c r="L251" t="inlineStr">
        <is>
          <t>shampoo</t>
        </is>
      </c>
      <c r="M251" t="inlineStr">
        <is>
          <t>estandar</t>
        </is>
      </c>
      <c r="N251" t="inlineStr">
        <is>
          <t>general</t>
        </is>
      </c>
      <c r="O251" t="inlineStr">
        <is>
          <t>https://www.jumbo.com.ar/shampoo-dove-23/p</t>
        </is>
      </c>
    </row>
    <row r="252">
      <c r="A252" s="2" t="inlineStr">
        <is>
          <t>Jumbo</t>
        </is>
      </c>
      <c r="B252" s="2" t="n">
        <v>127207</v>
      </c>
      <c r="C252" s="2" t="n">
        <v>109996</v>
      </c>
      <c r="D252" s="2" t="inlineStr">
        <is>
          <t>Shampoo Pantene</t>
        </is>
      </c>
      <c r="E252" s="2" t="inlineStr">
        <is>
          <t>PANTENE</t>
        </is>
      </c>
      <c r="F252" s="2" t="n">
        <v>10.01</v>
      </c>
      <c r="G252" s="2" t="n">
        <v>10.01</v>
      </c>
      <c r="H252" s="2" t="b">
        <v>0</v>
      </c>
      <c r="I252" s="2" t="inlineStr"/>
      <c r="J252" s="2" t="inlineStr"/>
      <c r="K252" s="2" t="inlineStr">
        <is>
          <t>&gt; Perfumería &gt; Cuidado Capilar &gt; Shampoo &gt;</t>
        </is>
      </c>
      <c r="L252" s="2" t="inlineStr">
        <is>
          <t>shampoo</t>
        </is>
      </c>
      <c r="M252" s="2" t="inlineStr">
        <is>
          <t>estandar</t>
        </is>
      </c>
      <c r="N252" s="2" t="inlineStr">
        <is>
          <t>general</t>
        </is>
      </c>
      <c r="O252" s="2" t="inlineStr">
        <is>
          <t>https://www.jumbo.com.ar/shampoo-pantene-62/p</t>
        </is>
      </c>
    </row>
    <row r="253">
      <c r="A253" t="inlineStr">
        <is>
          <t>Jumbo</t>
        </is>
      </c>
      <c r="B253" t="n">
        <v>122346</v>
      </c>
      <c r="C253" t="n">
        <v>121365</v>
      </c>
      <c r="D253" t="inlineStr">
        <is>
          <t>Shampoo Capilatisx420ml Cabello Teñidos  Pvc 420 Ml.</t>
        </is>
      </c>
      <c r="E253" t="inlineStr">
        <is>
          <t>CAPILATIS</t>
        </is>
      </c>
      <c r="F253" t="n">
        <v>32.49</v>
      </c>
      <c r="G253" t="n">
        <v>2685</v>
      </c>
      <c r="H253" t="b">
        <v>0</v>
      </c>
      <c r="I253" t="n">
        <v>420</v>
      </c>
      <c r="J253" t="n">
        <v>0.0774</v>
      </c>
      <c r="K253" t="inlineStr">
        <is>
          <t>&gt; Perfumería &gt; Cuidado Capilar &gt; Shampoo &gt;</t>
        </is>
      </c>
      <c r="L253" t="inlineStr">
        <is>
          <t>shampoo</t>
        </is>
      </c>
      <c r="M253" t="inlineStr">
        <is>
          <t>estandar</t>
        </is>
      </c>
      <c r="N253" t="inlineStr">
        <is>
          <t>tratado</t>
        </is>
      </c>
      <c r="O253" t="inlineStr">
        <is>
          <t>https://www.jumbo.com.ar/shampoo-capilatis-7/p</t>
        </is>
      </c>
    </row>
    <row r="254">
      <c r="A254" s="2" t="inlineStr">
        <is>
          <t>Jumbo</t>
        </is>
      </c>
      <c r="B254" s="2" t="n">
        <v>116360</v>
      </c>
      <c r="C254" s="2" t="n">
        <v>115401</v>
      </c>
      <c r="D254" s="2" t="inlineStr">
        <is>
          <t>Shampoo Pantene Brillo Extremo 400 Ml</t>
        </is>
      </c>
      <c r="E254" s="2" t="inlineStr">
        <is>
          <t>PANTENE</t>
        </is>
      </c>
      <c r="F254" s="2" t="n">
        <v>48.79</v>
      </c>
      <c r="G254" s="2" t="n">
        <v>4032</v>
      </c>
      <c r="H254" s="2" t="b">
        <v>0</v>
      </c>
      <c r="I254" s="2" t="n">
        <v>400</v>
      </c>
      <c r="J254" s="2" t="n">
        <v>0.122</v>
      </c>
      <c r="K254" s="2" t="inlineStr">
        <is>
          <t>&gt; Perfumería &gt; Cuidado Capilar &gt; Shampoo &gt;</t>
        </is>
      </c>
      <c r="L254" s="2" t="inlineStr">
        <is>
          <t>shampoo</t>
        </is>
      </c>
      <c r="M254" s="2" t="inlineStr">
        <is>
          <t>estandar</t>
        </is>
      </c>
      <c r="N254" s="2" t="inlineStr">
        <is>
          <t>general</t>
        </is>
      </c>
      <c r="O254" s="2" t="inlineStr">
        <is>
          <t>https://www.jumbo.com.ar/shampoo-pantene-21/p</t>
        </is>
      </c>
    </row>
    <row r="255">
      <c r="A255" t="inlineStr">
        <is>
          <t>Jumbo</t>
        </is>
      </c>
      <c r="B255" t="n">
        <v>116129</v>
      </c>
      <c r="C255" t="n">
        <v>115173</v>
      </c>
      <c r="D255" t="inlineStr">
        <is>
          <t>Shampoo Capilatis Puro Castaño X 420ml Puro Castaño  Pvc 420 Ml.</t>
        </is>
      </c>
      <c r="E255" t="inlineStr">
        <is>
          <t>CAPILATIS</t>
        </is>
      </c>
      <c r="F255" t="n">
        <v>19.09</v>
      </c>
      <c r="G255" t="n">
        <v>1578</v>
      </c>
      <c r="H255" t="b">
        <v>0</v>
      </c>
      <c r="I255" t="n">
        <v>420</v>
      </c>
      <c r="J255" t="n">
        <v>0.0455</v>
      </c>
      <c r="K255" t="inlineStr">
        <is>
          <t>&gt; Perfumería &gt; Cuidado Capilar &gt; Shampoo &gt;</t>
        </is>
      </c>
      <c r="L255" t="inlineStr">
        <is>
          <t>shampoo</t>
        </is>
      </c>
      <c r="M255" t="inlineStr">
        <is>
          <t>estandar</t>
        </is>
      </c>
      <c r="N255" t="inlineStr">
        <is>
          <t>general</t>
        </is>
      </c>
      <c r="O255" t="inlineStr">
        <is>
          <t>https://www.jumbo.com.ar/shampoo-capilatis-9/p</t>
        </is>
      </c>
    </row>
    <row r="256">
      <c r="A256" s="2" t="inlineStr">
        <is>
          <t>Jumbo</t>
        </is>
      </c>
      <c r="B256" s="2" t="n">
        <v>115893</v>
      </c>
      <c r="C256" s="2" t="n">
        <v>114936</v>
      </c>
      <c r="D256" s="2" t="inlineStr">
        <is>
          <t>Shampoo Pantene Frizz Control X750ml</t>
        </is>
      </c>
      <c r="E256" s="2" t="inlineStr">
        <is>
          <t>PANTENE</t>
        </is>
      </c>
      <c r="F256" s="2" t="n">
        <v>51.07</v>
      </c>
      <c r="G256" s="2" t="n">
        <v>4221</v>
      </c>
      <c r="H256" s="2" t="b">
        <v>0</v>
      </c>
      <c r="I256" s="2" t="n">
        <v>750</v>
      </c>
      <c r="J256" s="2" t="n">
        <v>0.06809999999999999</v>
      </c>
      <c r="K256" s="2" t="inlineStr">
        <is>
          <t>&gt; Perfumería &gt; Cuidado Capilar &gt; Shampoo &gt;</t>
        </is>
      </c>
      <c r="L256" s="2" t="inlineStr">
        <is>
          <t>shampoo</t>
        </is>
      </c>
      <c r="M256" s="2" t="inlineStr">
        <is>
          <t>estandar</t>
        </is>
      </c>
      <c r="N256" s="2" t="inlineStr">
        <is>
          <t>general</t>
        </is>
      </c>
      <c r="O256" s="2" t="inlineStr">
        <is>
          <t>https://www.jumbo.com.ar/shampoo-pantene-19/p</t>
        </is>
      </c>
    </row>
    <row r="257">
      <c r="A257" t="inlineStr">
        <is>
          <t>Jumbo</t>
        </is>
      </c>
      <c r="B257" t="n">
        <v>107895</v>
      </c>
      <c r="C257" t="n">
        <v>105162</v>
      </c>
      <c r="D257" t="inlineStr">
        <is>
          <t>Shampoo Suave Miel Y Almendras X 930 Ml C/u</t>
        </is>
      </c>
      <c r="E257" t="inlineStr">
        <is>
          <t>SUAVE</t>
        </is>
      </c>
      <c r="F257" t="n">
        <v>15.19</v>
      </c>
      <c r="G257" t="n">
        <v>1255</v>
      </c>
      <c r="H257" t="b">
        <v>0</v>
      </c>
      <c r="I257" t="n">
        <v>930</v>
      </c>
      <c r="J257" t="n">
        <v>0.0163</v>
      </c>
      <c r="K257" t="inlineStr">
        <is>
          <t>&gt; Perfumería &gt; Cuidado Capilar &gt; Shampoo &gt;</t>
        </is>
      </c>
      <c r="L257" t="inlineStr">
        <is>
          <t>shampoo</t>
        </is>
      </c>
      <c r="M257" t="inlineStr">
        <is>
          <t>estandar</t>
        </is>
      </c>
      <c r="N257" t="inlineStr">
        <is>
          <t>bebe</t>
        </is>
      </c>
      <c r="O257" t="inlineStr">
        <is>
          <t>https://www.jumbo.com.ar/shampoo-suave-2-4/p</t>
        </is>
      </c>
    </row>
    <row r="258">
      <c r="A258" s="2" t="inlineStr">
        <is>
          <t>Jumbo</t>
        </is>
      </c>
      <c r="B258" s="2" t="n">
        <v>107878</v>
      </c>
      <c r="C258" s="2" t="n">
        <v>105148</v>
      </c>
      <c r="D258" s="2" t="inlineStr">
        <is>
          <t>Shampoo Suave Coco Y Leche X 930 Ml C/u</t>
        </is>
      </c>
      <c r="E258" s="2" t="inlineStr">
        <is>
          <t>SUAVE</t>
        </is>
      </c>
      <c r="F258" s="2" t="n">
        <v>15.19</v>
      </c>
      <c r="G258" s="2" t="n">
        <v>1255</v>
      </c>
      <c r="H258" s="2" t="b">
        <v>0</v>
      </c>
      <c r="I258" s="2" t="n">
        <v>930</v>
      </c>
      <c r="J258" s="2" t="n">
        <v>0.0163</v>
      </c>
      <c r="K258" s="2" t="inlineStr">
        <is>
          <t>&gt; Perfumería &gt; Cuidado Capilar &gt; Shampoo &gt;</t>
        </is>
      </c>
      <c r="L258" s="2" t="inlineStr">
        <is>
          <t>shampoo</t>
        </is>
      </c>
      <c r="M258" s="2" t="inlineStr">
        <is>
          <t>estandar</t>
        </is>
      </c>
      <c r="N258" s="2" t="inlineStr">
        <is>
          <t>bebe</t>
        </is>
      </c>
      <c r="O258" s="2" t="inlineStr">
        <is>
          <t>https://www.jumbo.com.ar/shampoo-suave-2-3/p</t>
        </is>
      </c>
    </row>
    <row r="259">
      <c r="A259" t="inlineStr">
        <is>
          <t>Jumbo</t>
        </is>
      </c>
      <c r="B259" t="n">
        <v>93418</v>
      </c>
      <c r="C259" t="n">
        <v>90746</v>
      </c>
      <c r="D259" t="inlineStr">
        <is>
          <t>Shampoo Capilatis-reactivador De Rulos-pvc-ml.-350</t>
        </is>
      </c>
      <c r="E259" t="inlineStr">
        <is>
          <t>CAPILATIS</t>
        </is>
      </c>
      <c r="F259" t="n">
        <v>35.99</v>
      </c>
      <c r="G259" t="n">
        <v>2974</v>
      </c>
      <c r="H259" t="b">
        <v>0</v>
      </c>
      <c r="I259" t="inlineStr"/>
      <c r="J259" t="inlineStr"/>
      <c r="K259" t="inlineStr">
        <is>
          <t>&gt; Perfumería &gt; Cuidado Capilar &gt; Shampoo &gt;</t>
        </is>
      </c>
      <c r="L259" t="inlineStr">
        <is>
          <t>shampoo</t>
        </is>
      </c>
      <c r="M259" t="inlineStr">
        <is>
          <t>estandar</t>
        </is>
      </c>
      <c r="N259" t="inlineStr">
        <is>
          <t>rizado</t>
        </is>
      </c>
      <c r="O259" t="inlineStr">
        <is>
          <t>https://www.jumbo.com.ar/shampoo-capilatis-12/p</t>
        </is>
      </c>
    </row>
    <row r="260">
      <c r="A260" s="2" t="inlineStr">
        <is>
          <t>Jumbo</t>
        </is>
      </c>
      <c r="B260" s="2" t="n">
        <v>90306</v>
      </c>
      <c r="C260" s="2" t="n">
        <v>87634</v>
      </c>
      <c r="D260" s="2" t="inlineStr">
        <is>
          <t>Shampoo Match Tipo Siliconado Sin Atributo Sin Atributo</t>
        </is>
      </c>
      <c r="E260" s="2" t="inlineStr">
        <is>
          <t>MATCH</t>
        </is>
      </c>
      <c r="F260" s="2" t="n">
        <v>2.95</v>
      </c>
      <c r="G260" s="2" t="n">
        <v>244</v>
      </c>
      <c r="H260" s="2" t="b">
        <v>0</v>
      </c>
      <c r="I260" s="2" t="inlineStr"/>
      <c r="J260" s="2" t="inlineStr"/>
      <c r="K260" s="2" t="inlineStr">
        <is>
          <t>&gt; Hogar y textil &gt; Automotor &gt; Limpieza &gt;</t>
        </is>
      </c>
      <c r="L260" s="2" t="inlineStr">
        <is>
          <t>shampoo</t>
        </is>
      </c>
      <c r="M260" s="2" t="inlineStr">
        <is>
          <t>estandar</t>
        </is>
      </c>
      <c r="N260" s="2" t="inlineStr">
        <is>
          <t>general</t>
        </is>
      </c>
      <c r="O260" s="2" t="inlineStr">
        <is>
          <t>https://www.jumbo.com.ar/shampoo-match/p</t>
        </is>
      </c>
    </row>
    <row r="261">
      <c r="A261" t="inlineStr">
        <is>
          <t>Jumbo</t>
        </is>
      </c>
      <c r="B261" t="n">
        <v>77289</v>
      </c>
      <c r="C261" t="n">
        <v>74416</v>
      </c>
      <c r="D261" t="inlineStr">
        <is>
          <t>Shampoo Pantene Pro V X 200 Ml Frizz Control  Pvc 200 Ml.</t>
        </is>
      </c>
      <c r="E261" t="inlineStr">
        <is>
          <t>PANTENE</t>
        </is>
      </c>
      <c r="F261" t="n">
        <v>173.39</v>
      </c>
      <c r="G261" t="n">
        <v>173.39</v>
      </c>
      <c r="H261" t="b">
        <v>0</v>
      </c>
      <c r="I261" t="n">
        <v>200</v>
      </c>
      <c r="J261" t="n">
        <v>0.8669</v>
      </c>
      <c r="K261" t="inlineStr">
        <is>
          <t>&gt; Perfumería &gt; Cuidado Capilar &gt; Shampoo &gt;</t>
        </is>
      </c>
      <c r="L261" t="inlineStr">
        <is>
          <t>shampoo</t>
        </is>
      </c>
      <c r="M261" t="inlineStr">
        <is>
          <t>profesional</t>
        </is>
      </c>
      <c r="N261" t="inlineStr">
        <is>
          <t>general</t>
        </is>
      </c>
      <c r="O261" t="inlineStr">
        <is>
          <t>https://www.jumbo.com.ar/shampoo-pantene-15-3/p</t>
        </is>
      </c>
    </row>
    <row r="262">
      <c r="A262" s="2" t="inlineStr">
        <is>
          <t>Jumbo</t>
        </is>
      </c>
      <c r="B262" s="2" t="n">
        <v>77277</v>
      </c>
      <c r="C262" s="2" t="n">
        <v>74404</v>
      </c>
      <c r="D262" s="2" t="inlineStr">
        <is>
          <t>Shampoo Pantene Liso Extremo 200 Ml</t>
        </is>
      </c>
      <c r="E262" s="2" t="inlineStr">
        <is>
          <t>PANTENE</t>
        </is>
      </c>
      <c r="F262" s="2" t="n">
        <v>21.33</v>
      </c>
      <c r="G262" s="2" t="n">
        <v>1763</v>
      </c>
      <c r="H262" s="2" t="b">
        <v>0</v>
      </c>
      <c r="I262" s="2" t="n">
        <v>200</v>
      </c>
      <c r="J262" s="2" t="n">
        <v>0.1066</v>
      </c>
      <c r="K262" s="2" t="inlineStr">
        <is>
          <t>&gt; Perfumería &gt; Cuidado Capilar &gt; Shampoo &gt;</t>
        </is>
      </c>
      <c r="L262" s="2" t="inlineStr">
        <is>
          <t>shampoo</t>
        </is>
      </c>
      <c r="M262" s="2" t="inlineStr">
        <is>
          <t>estandar</t>
        </is>
      </c>
      <c r="N262" s="2" t="inlineStr">
        <is>
          <t>general</t>
        </is>
      </c>
      <c r="O262" s="2" t="inlineStr">
        <is>
          <t>https://www.jumbo.com.ar/shampoo-pantene-15-4/p</t>
        </is>
      </c>
    </row>
    <row r="263">
      <c r="A263" t="inlineStr">
        <is>
          <t>Jumbo</t>
        </is>
      </c>
      <c r="B263" t="n">
        <v>77274</v>
      </c>
      <c r="C263" t="n">
        <v>74401</v>
      </c>
      <c r="D263" t="inlineStr">
        <is>
          <t>Shampoo Pantene Cuidado Clásico 200 Ml</t>
        </is>
      </c>
      <c r="E263" t="inlineStr">
        <is>
          <t>PANTENE</t>
        </is>
      </c>
      <c r="F263" t="n">
        <v>21.33</v>
      </c>
      <c r="G263" t="n">
        <v>1763</v>
      </c>
      <c r="H263" t="b">
        <v>0</v>
      </c>
      <c r="I263" t="n">
        <v>200</v>
      </c>
      <c r="J263" t="n">
        <v>0.1066</v>
      </c>
      <c r="K263" t="inlineStr">
        <is>
          <t>&gt; Perfumería &gt; Cuidado Capilar &gt; Shampoo &gt;</t>
        </is>
      </c>
      <c r="L263" t="inlineStr">
        <is>
          <t>shampoo</t>
        </is>
      </c>
      <c r="M263" t="inlineStr">
        <is>
          <t>estandar</t>
        </is>
      </c>
      <c r="N263" t="inlineStr">
        <is>
          <t>general</t>
        </is>
      </c>
      <c r="O263" t="inlineStr">
        <is>
          <t>https://www.jumbo.com.ar/shampoo-pantene-15-2/p</t>
        </is>
      </c>
    </row>
    <row r="264">
      <c r="A264" s="2" t="inlineStr">
        <is>
          <t>Jumbo</t>
        </is>
      </c>
      <c r="B264" s="2" t="n">
        <v>77249</v>
      </c>
      <c r="C264" s="2" t="n">
        <v>74377</v>
      </c>
      <c r="D264" s="2" t="inlineStr">
        <is>
          <t>Shampoo Pantene Hidratación 200 Ml</t>
        </is>
      </c>
      <c r="E264" s="2" t="inlineStr">
        <is>
          <t>PANTENE</t>
        </is>
      </c>
      <c r="F264" s="2" t="n">
        <v>21.33</v>
      </c>
      <c r="G264" s="2" t="n">
        <v>1763</v>
      </c>
      <c r="H264" s="2" t="b">
        <v>0</v>
      </c>
      <c r="I264" s="2" t="n">
        <v>200</v>
      </c>
      <c r="J264" s="2" t="n">
        <v>0.1066</v>
      </c>
      <c r="K264" s="2" t="inlineStr">
        <is>
          <t>&gt; Perfumería &gt; Cuidado Capilar &gt; Shampoo &gt;</t>
        </is>
      </c>
      <c r="L264" s="2" t="inlineStr">
        <is>
          <t>shampoo</t>
        </is>
      </c>
      <c r="M264" s="2" t="inlineStr">
        <is>
          <t>estandar</t>
        </is>
      </c>
      <c r="N264" s="2" t="inlineStr">
        <is>
          <t>seco_danado</t>
        </is>
      </c>
      <c r="O264" s="2" t="inlineStr">
        <is>
          <t>https://www.jumbo.com.ar/shampoo-pantene-15-6/p</t>
        </is>
      </c>
    </row>
    <row r="265">
      <c r="A265" t="inlineStr">
        <is>
          <t>Jumbo</t>
        </is>
      </c>
      <c r="B265" t="n">
        <v>77152</v>
      </c>
      <c r="C265" t="n">
        <v>74280</v>
      </c>
      <c r="D265" t="inlineStr">
        <is>
          <t>Shampoo Pantene Pro V X 200 Ml Volumen Y Cuerpo  Pvc 200 Ml.</t>
        </is>
      </c>
      <c r="E265" t="inlineStr">
        <is>
          <t>PANTENE</t>
        </is>
      </c>
      <c r="F265" t="n">
        <v>173.39</v>
      </c>
      <c r="G265" t="n">
        <v>173.39</v>
      </c>
      <c r="H265" t="b">
        <v>0</v>
      </c>
      <c r="I265" t="n">
        <v>200</v>
      </c>
      <c r="J265" t="n">
        <v>0.8669</v>
      </c>
      <c r="K265" t="inlineStr">
        <is>
          <t>&gt; Perfumería &gt; Cuidado Capilar &gt; Shampoo &gt;</t>
        </is>
      </c>
      <c r="L265" t="inlineStr">
        <is>
          <t>shampoo</t>
        </is>
      </c>
      <c r="M265" t="inlineStr">
        <is>
          <t>profesional</t>
        </is>
      </c>
      <c r="N265" t="inlineStr">
        <is>
          <t>general</t>
        </is>
      </c>
      <c r="O265" t="inlineStr">
        <is>
          <t>https://www.jumbo.com.ar/shampoo-pantene-14/p</t>
        </is>
      </c>
    </row>
    <row r="266">
      <c r="A266" s="2" t="inlineStr">
        <is>
          <t>Jumbo</t>
        </is>
      </c>
      <c r="B266" s="2" t="n">
        <v>72651</v>
      </c>
      <c r="C266" s="2" t="n">
        <v>69787</v>
      </c>
      <c r="D266" s="2" t="inlineStr">
        <is>
          <t>Shampoo Pantene Renovación Profunda X 200 Ml</t>
        </is>
      </c>
      <c r="E266" s="2" t="inlineStr">
        <is>
          <t>PANTENE</t>
        </is>
      </c>
      <c r="F266" s="2" t="n">
        <v>17.45</v>
      </c>
      <c r="G266" s="2" t="n">
        <v>1442</v>
      </c>
      <c r="H266" s="2" t="b">
        <v>0</v>
      </c>
      <c r="I266" s="2" t="n">
        <v>200</v>
      </c>
      <c r="J266" s="2" t="n">
        <v>0.0872</v>
      </c>
      <c r="K266" s="2" t="inlineStr">
        <is>
          <t>&gt; Perfumería &gt; Cuidado Capilar &gt; Shampoo &gt;</t>
        </is>
      </c>
      <c r="L266" s="2" t="inlineStr">
        <is>
          <t>shampoo</t>
        </is>
      </c>
      <c r="M266" s="2" t="inlineStr">
        <is>
          <t>estandar</t>
        </is>
      </c>
      <c r="N266" s="2" t="inlineStr">
        <is>
          <t>general</t>
        </is>
      </c>
      <c r="O266" s="2" t="inlineStr">
        <is>
          <t>https://www.jumbo.com.ar/shampoo-pantene-23-2/p</t>
        </is>
      </c>
    </row>
    <row r="267">
      <c r="A267" t="inlineStr">
        <is>
          <t>Jumbo</t>
        </is>
      </c>
      <c r="B267" t="n">
        <v>30162</v>
      </c>
      <c r="C267" t="n">
        <v>27323</v>
      </c>
      <c r="D267" t="inlineStr">
        <is>
          <t>Shampoo Pantene Pro-v Expert Collection Advanced Keratin Repair 300 Ml</t>
        </is>
      </c>
      <c r="E267" t="inlineStr">
        <is>
          <t>PANTENE</t>
        </is>
      </c>
      <c r="F267" t="n">
        <v>262.01</v>
      </c>
      <c r="G267" t="n">
        <v>21654</v>
      </c>
      <c r="H267" t="b">
        <v>0</v>
      </c>
      <c r="I267" t="n">
        <v>300</v>
      </c>
      <c r="J267" t="n">
        <v>0.8734</v>
      </c>
      <c r="K267" t="inlineStr">
        <is>
          <t>&gt; Perfumería &gt; Cuidado Capilar &gt; Shampoo &gt;</t>
        </is>
      </c>
      <c r="L267" t="inlineStr">
        <is>
          <t>shampoo</t>
        </is>
      </c>
      <c r="M267" t="inlineStr">
        <is>
          <t>profesional</t>
        </is>
      </c>
      <c r="N267" t="inlineStr">
        <is>
          <t>general</t>
        </is>
      </c>
      <c r="O267" t="inlineStr">
        <is>
          <t>https://www.jumbo.com.ar/shampoo-pantene-30/p</t>
        </is>
      </c>
    </row>
    <row r="268">
      <c r="A268" s="2" t="inlineStr">
        <is>
          <t>Jumbo</t>
        </is>
      </c>
      <c r="B268" s="2" t="n">
        <v>18730</v>
      </c>
      <c r="C268" s="2" t="n">
        <v>15809</v>
      </c>
      <c r="D268" s="2" t="inlineStr">
        <is>
          <t>Shampoo Porta Shampoo Desodorante Porta 500 Cc</t>
        </is>
      </c>
      <c r="E268" s="2" t="inlineStr">
        <is>
          <t>PORTA</t>
        </is>
      </c>
      <c r="F268" s="2" t="n">
        <v>97.48999999999999</v>
      </c>
      <c r="G268" s="2" t="n">
        <v>97.48999999999999</v>
      </c>
      <c r="H268" s="2" t="b">
        <v>0</v>
      </c>
      <c r="I268" s="2" t="inlineStr"/>
      <c r="J268" s="2" t="inlineStr"/>
      <c r="K268" s="2" t="inlineStr">
        <is>
          <t>&gt; Mascotas &gt; Accesorios para Mascotas &gt;</t>
        </is>
      </c>
      <c r="L268" s="2" t="inlineStr">
        <is>
          <t>shampoo</t>
        </is>
      </c>
      <c r="M268" s="2" t="inlineStr">
        <is>
          <t>estandar</t>
        </is>
      </c>
      <c r="N268" s="2" t="inlineStr">
        <is>
          <t>general</t>
        </is>
      </c>
      <c r="O268" s="2" t="inlineStr">
        <is>
          <t>https://www.jumbo.com.ar/shampoo-porta-4/p</t>
        </is>
      </c>
    </row>
    <row r="269">
      <c r="A269" t="inlineStr">
        <is>
          <t>Jumbo</t>
        </is>
      </c>
      <c r="B269" t="n">
        <v>18681</v>
      </c>
      <c r="C269" t="n">
        <v>15761</v>
      </c>
      <c r="D269" t="inlineStr">
        <is>
          <t>Shampoo Porta Shampoo Resaltador De Color Porta 500 Cc</t>
        </is>
      </c>
      <c r="E269" t="inlineStr">
        <is>
          <t>PORTA</t>
        </is>
      </c>
      <c r="F269" t="n">
        <v>59.85</v>
      </c>
      <c r="G269" t="n">
        <v>59.85</v>
      </c>
      <c r="H269" t="b">
        <v>0</v>
      </c>
      <c r="I269" t="inlineStr"/>
      <c r="J269" t="inlineStr"/>
      <c r="K269" t="inlineStr">
        <is>
          <t>&gt; Mascotas &gt; Accesorios para Mascotas &gt;</t>
        </is>
      </c>
      <c r="L269" t="inlineStr">
        <is>
          <t>shampoo</t>
        </is>
      </c>
      <c r="M269" t="inlineStr">
        <is>
          <t>estandar</t>
        </is>
      </c>
      <c r="N269" t="inlineStr">
        <is>
          <t>tratado</t>
        </is>
      </c>
      <c r="O269" t="inlineStr">
        <is>
          <t>https://www.jumbo.com.ar/shampoo-porta-5/p</t>
        </is>
      </c>
    </row>
    <row r="270">
      <c r="A270" s="2" t="inlineStr">
        <is>
          <t>Jumbo</t>
        </is>
      </c>
      <c r="B270" s="2" t="n">
        <v>180914</v>
      </c>
      <c r="C270" s="2" t="n">
        <v>200331</v>
      </c>
      <c r="D270" s="2" t="inlineStr">
        <is>
          <t>Shampoo Sedal</t>
        </is>
      </c>
      <c r="E270" s="2" t="inlineStr">
        <is>
          <t>SEDAL</t>
        </is>
      </c>
      <c r="F270" s="2" t="n">
        <v>17.99</v>
      </c>
      <c r="G270" s="2" t="n">
        <v>17.99</v>
      </c>
      <c r="H270" s="2" t="b">
        <v>0</v>
      </c>
      <c r="I270" s="2" t="inlineStr"/>
      <c r="J270" s="2" t="inlineStr"/>
      <c r="K270" s="2" t="inlineStr">
        <is>
          <t>&gt; Perfumería &gt; Cuidado Capilar &gt; Shampoo &gt;</t>
        </is>
      </c>
      <c r="L270" s="2" t="inlineStr">
        <is>
          <t>shampoo</t>
        </is>
      </c>
      <c r="M270" s="2" t="inlineStr">
        <is>
          <t>estandar</t>
        </is>
      </c>
      <c r="N270" s="2" t="inlineStr">
        <is>
          <t>general</t>
        </is>
      </c>
      <c r="O270" s="2" t="inlineStr">
        <is>
          <t>https://www.jumbo.com.ar/shampoo-sedal-9/p</t>
        </is>
      </c>
    </row>
    <row r="271">
      <c r="A271" t="inlineStr">
        <is>
          <t>Jumbo</t>
        </is>
      </c>
      <c r="B271" t="n">
        <v>152475</v>
      </c>
      <c r="C271" t="n">
        <v>150048</v>
      </c>
      <c r="D271" t="inlineStr">
        <is>
          <t>Shampoo Dove óleo Nutrición 200 Ml</t>
        </is>
      </c>
      <c r="E271" t="inlineStr">
        <is>
          <t>DOVE</t>
        </is>
      </c>
      <c r="F271" t="n">
        <v>135.75</v>
      </c>
      <c r="G271" t="n">
        <v>11219</v>
      </c>
      <c r="H271" t="b">
        <v>0</v>
      </c>
      <c r="I271" t="n">
        <v>200</v>
      </c>
      <c r="J271" t="n">
        <v>0.6787</v>
      </c>
      <c r="K271" t="inlineStr">
        <is>
          <t>&gt; Perfumería &gt; Cuidado Capilar &gt; Shampoo &gt;</t>
        </is>
      </c>
      <c r="L271" t="inlineStr">
        <is>
          <t>shampoo</t>
        </is>
      </c>
      <c r="M271" t="inlineStr">
        <is>
          <t>estandar</t>
        </is>
      </c>
      <c r="N271" t="inlineStr">
        <is>
          <t>general</t>
        </is>
      </c>
      <c r="O271" t="inlineStr">
        <is>
          <t>https://www.jumbo.com.ar/shampoo-dove-24/p</t>
        </is>
      </c>
    </row>
    <row r="272">
      <c r="A272" s="2" t="inlineStr">
        <is>
          <t>Jumbo</t>
        </is>
      </c>
      <c r="B272" s="2" t="n">
        <v>138948</v>
      </c>
      <c r="C272" s="2" t="n">
        <v>135859</v>
      </c>
      <c r="D272" s="2" t="inlineStr">
        <is>
          <t>Shampoo Dove-daño Acumulado Therapy-+ac Daño Acumulado X 400 Al 50%-pck-un.-2</t>
        </is>
      </c>
      <c r="E272" s="2" t="inlineStr">
        <is>
          <t>DOVE</t>
        </is>
      </c>
      <c r="F272" s="2" t="n">
        <v>23.57</v>
      </c>
      <c r="G272" s="2" t="n">
        <v>1948</v>
      </c>
      <c r="H272" s="2" t="b">
        <v>0</v>
      </c>
      <c r="I272" s="2" t="inlineStr"/>
      <c r="J272" s="2" t="inlineStr"/>
      <c r="K272" s="2" t="inlineStr">
        <is>
          <t>&gt; Perfumería &gt; Cuidado Capilar &gt; Shampoo &gt;</t>
        </is>
      </c>
      <c r="L272" s="2" t="inlineStr">
        <is>
          <t>shampoo</t>
        </is>
      </c>
      <c r="M272" s="2" t="inlineStr">
        <is>
          <t>estandar</t>
        </is>
      </c>
      <c r="N272" s="2" t="inlineStr">
        <is>
          <t>general</t>
        </is>
      </c>
      <c r="O272" s="2" t="inlineStr">
        <is>
          <t>https://www.jumbo.com.ar/shampoo-dove-10/p</t>
        </is>
      </c>
    </row>
    <row r="273">
      <c r="A273" t="inlineStr">
        <is>
          <t>Jumbo</t>
        </is>
      </c>
      <c r="B273" t="n">
        <v>124169</v>
      </c>
      <c r="C273" t="n">
        <v>123171</v>
      </c>
      <c r="D273" t="inlineStr">
        <is>
          <t>Shampoo Prunelle Familiar Agregados +acondic. Sin Atributo Sin Atributo</t>
        </is>
      </c>
      <c r="E273" t="inlineStr">
        <is>
          <t>PRUNELLE</t>
        </is>
      </c>
      <c r="F273" t="n">
        <v>26.35</v>
      </c>
      <c r="G273" t="n">
        <v>26.35</v>
      </c>
      <c r="H273" t="b">
        <v>0</v>
      </c>
      <c r="I273" t="inlineStr"/>
      <c r="J273" t="inlineStr"/>
      <c r="K273" t="inlineStr">
        <is>
          <t>&gt; Perfumería &gt; Cuidado Capilar &gt; Shampoo &gt;</t>
        </is>
      </c>
      <c r="L273" t="inlineStr">
        <is>
          <t>shampoo</t>
        </is>
      </c>
      <c r="M273" t="inlineStr">
        <is>
          <t>estandar</t>
        </is>
      </c>
      <c r="N273" t="inlineStr">
        <is>
          <t>general</t>
        </is>
      </c>
      <c r="O273" t="inlineStr">
        <is>
          <t>https://www.jumbo.com.ar/shampoo-prunelle-2/p</t>
        </is>
      </c>
    </row>
    <row r="274">
      <c r="A274" s="2" t="inlineStr">
        <is>
          <t>Jumbo</t>
        </is>
      </c>
      <c r="B274" s="2" t="n">
        <v>122202</v>
      </c>
      <c r="C274" s="2" t="n">
        <v>121220</v>
      </c>
      <c r="D274" s="2" t="inlineStr">
        <is>
          <t>Shampoo Pantene Control Caída 750ml</t>
        </is>
      </c>
      <c r="E274" s="2" t="inlineStr">
        <is>
          <t>PANTENE</t>
        </is>
      </c>
      <c r="F274" s="2" t="n">
        <v>74.37</v>
      </c>
      <c r="G274" s="2" t="n">
        <v>6146</v>
      </c>
      <c r="H274" s="2" t="b">
        <v>0</v>
      </c>
      <c r="I274" s="2" t="n">
        <v>750</v>
      </c>
      <c r="J274" s="2" t="n">
        <v>0.0992</v>
      </c>
      <c r="K274" s="2" t="inlineStr">
        <is>
          <t>&gt; Perfumería &gt; Cuidado Capilar &gt; Shampoo &gt;</t>
        </is>
      </c>
      <c r="L274" s="2" t="inlineStr">
        <is>
          <t>shampoo</t>
        </is>
      </c>
      <c r="M274" s="2" t="inlineStr">
        <is>
          <t>estandar</t>
        </is>
      </c>
      <c r="N274" s="2" t="inlineStr">
        <is>
          <t>general</t>
        </is>
      </c>
      <c r="O274" s="2" t="inlineStr">
        <is>
          <t>https://www.jumbo.com.ar/shampoo-pantene-17-2/p</t>
        </is>
      </c>
    </row>
    <row r="275">
      <c r="A275" t="inlineStr">
        <is>
          <t>Jumbo</t>
        </is>
      </c>
      <c r="B275" t="n">
        <v>122197</v>
      </c>
      <c r="C275" t="n">
        <v>121216</v>
      </c>
      <c r="D275" t="inlineStr">
        <is>
          <t>Shampoo Pantene Rizos Definidos 750 Ml</t>
        </is>
      </c>
      <c r="E275" t="inlineStr">
        <is>
          <t>PANTENE</t>
        </is>
      </c>
      <c r="F275" t="n">
        <v>64.34999999999999</v>
      </c>
      <c r="G275" t="n">
        <v>5318</v>
      </c>
      <c r="H275" t="b">
        <v>0</v>
      </c>
      <c r="I275" t="n">
        <v>750</v>
      </c>
      <c r="J275" t="n">
        <v>0.0858</v>
      </c>
      <c r="K275" t="inlineStr">
        <is>
          <t>&gt; Perfumería &gt; Cuidado Capilar &gt; Shampoo &gt;</t>
        </is>
      </c>
      <c r="L275" t="inlineStr">
        <is>
          <t>shampoo</t>
        </is>
      </c>
      <c r="M275" t="inlineStr">
        <is>
          <t>estandar</t>
        </is>
      </c>
      <c r="N275" t="inlineStr">
        <is>
          <t>rizado</t>
        </is>
      </c>
      <c r="O275" t="inlineStr">
        <is>
          <t>https://www.jumbo.com.ar/shampoo-pantene-18/p</t>
        </is>
      </c>
    </row>
    <row r="276">
      <c r="A276" s="2" t="inlineStr">
        <is>
          <t>Jumbo</t>
        </is>
      </c>
      <c r="B276" s="2" t="n">
        <v>122186</v>
      </c>
      <c r="C276" s="2" t="n">
        <v>121205</v>
      </c>
      <c r="D276" s="2" t="inlineStr">
        <is>
          <t>Shampoo Capilatis X500ml</t>
        </is>
      </c>
      <c r="E276" s="2" t="inlineStr">
        <is>
          <t>CAPILATIS</t>
        </is>
      </c>
      <c r="F276" s="2" t="n">
        <v>32.49</v>
      </c>
      <c r="G276" s="2" t="n">
        <v>2685</v>
      </c>
      <c r="H276" s="2" t="b">
        <v>0</v>
      </c>
      <c r="I276" s="2" t="n">
        <v>500</v>
      </c>
      <c r="J276" s="2" t="n">
        <v>0.065</v>
      </c>
      <c r="K276" s="2" t="inlineStr">
        <is>
          <t>&gt; Perfumería &gt; Cuidado Capilar &gt; Shampoo &gt;</t>
        </is>
      </c>
      <c r="L276" s="2" t="inlineStr">
        <is>
          <t>shampoo</t>
        </is>
      </c>
      <c r="M276" s="2" t="inlineStr">
        <is>
          <t>estandar</t>
        </is>
      </c>
      <c r="N276" s="2" t="inlineStr">
        <is>
          <t>general</t>
        </is>
      </c>
      <c r="O276" s="2" t="inlineStr">
        <is>
          <t>https://www.jumbo.com.ar/shampoo-capilatis-6/p</t>
        </is>
      </c>
    </row>
    <row r="277">
      <c r="A277" t="inlineStr">
        <is>
          <t>Jumbo</t>
        </is>
      </c>
      <c r="B277" t="n">
        <v>122012</v>
      </c>
      <c r="C277" t="n">
        <v>121031</v>
      </c>
      <c r="D277" t="inlineStr">
        <is>
          <t>Shampoo Pantene Liso Y Sedoso 750 Ml</t>
        </is>
      </c>
      <c r="E277" t="inlineStr">
        <is>
          <t>PANTENE</t>
        </is>
      </c>
      <c r="F277" t="n">
        <v>51.07</v>
      </c>
      <c r="G277" t="n">
        <v>4221</v>
      </c>
      <c r="H277" t="b">
        <v>0</v>
      </c>
      <c r="I277" t="n">
        <v>750</v>
      </c>
      <c r="J277" t="n">
        <v>0.06809999999999999</v>
      </c>
      <c r="K277" t="inlineStr">
        <is>
          <t>&gt; Perfumería &gt; Cuidado Capilar &gt; Shampoo &gt;</t>
        </is>
      </c>
      <c r="L277" t="inlineStr">
        <is>
          <t>shampoo</t>
        </is>
      </c>
      <c r="M277" t="inlineStr">
        <is>
          <t>estandar</t>
        </is>
      </c>
      <c r="N277" t="inlineStr">
        <is>
          <t>general</t>
        </is>
      </c>
      <c r="O277" t="inlineStr">
        <is>
          <t>https://www.jumbo.com.ar/shampoo-pantene-17/p</t>
        </is>
      </c>
    </row>
    <row r="278">
      <c r="A278" s="2" t="inlineStr">
        <is>
          <t>Jumbo</t>
        </is>
      </c>
      <c r="B278" s="2" t="n">
        <v>115058</v>
      </c>
      <c r="C278" s="2" t="n">
        <v>114104</v>
      </c>
      <c r="D278" s="2" t="inlineStr">
        <is>
          <t>Shampoo Suave Multivitamina E Y B X 930 Ml</t>
        </is>
      </c>
      <c r="E278" s="2" t="inlineStr">
        <is>
          <t>SUAVE</t>
        </is>
      </c>
      <c r="F278" s="2" t="n">
        <v>7.39</v>
      </c>
      <c r="G278" s="2" t="n">
        <v>7.39</v>
      </c>
      <c r="H278" s="2" t="b">
        <v>0</v>
      </c>
      <c r="I278" s="2" t="n">
        <v>930</v>
      </c>
      <c r="J278" s="2" t="n">
        <v>0.007900000000000001</v>
      </c>
      <c r="K278" s="2" t="inlineStr">
        <is>
          <t>&gt; Perfumería &gt; Cuidado Capilar &gt; Shampoo &gt;</t>
        </is>
      </c>
      <c r="L278" s="2" t="inlineStr">
        <is>
          <t>shampoo</t>
        </is>
      </c>
      <c r="M278" s="2" t="inlineStr">
        <is>
          <t>estandar</t>
        </is>
      </c>
      <c r="N278" s="2" t="inlineStr">
        <is>
          <t>bebe</t>
        </is>
      </c>
      <c r="O278" s="2" t="inlineStr">
        <is>
          <t>https://www.jumbo.com.ar/shampoo-suave-2-5/p</t>
        </is>
      </c>
    </row>
    <row r="279">
      <c r="A279" t="inlineStr">
        <is>
          <t>Jumbo</t>
        </is>
      </c>
      <c r="B279" t="n">
        <v>107856</v>
      </c>
      <c r="C279" t="n">
        <v>105123</v>
      </c>
      <c r="D279" t="inlineStr">
        <is>
          <t>Shampoo Suave Vainilla Y Canela Pvc 930 Ml</t>
        </is>
      </c>
      <c r="E279" t="inlineStr">
        <is>
          <t>SUAVE</t>
        </is>
      </c>
      <c r="F279" t="n">
        <v>8.69</v>
      </c>
      <c r="G279" t="n">
        <v>718</v>
      </c>
      <c r="H279" t="b">
        <v>0</v>
      </c>
      <c r="I279" t="n">
        <v>930</v>
      </c>
      <c r="J279" t="n">
        <v>0.009299999999999999</v>
      </c>
      <c r="K279" t="inlineStr">
        <is>
          <t>&gt; Perfumería &gt; Cuidado Capilar &gt; Shampoo &gt;</t>
        </is>
      </c>
      <c r="L279" t="inlineStr">
        <is>
          <t>shampoo</t>
        </is>
      </c>
      <c r="M279" t="inlineStr">
        <is>
          <t>estandar</t>
        </is>
      </c>
      <c r="N279" t="inlineStr">
        <is>
          <t>bebe</t>
        </is>
      </c>
      <c r="O279" t="inlineStr">
        <is>
          <t>https://www.jumbo.com.ar/shampoo-suave-2-2/p</t>
        </is>
      </c>
    </row>
    <row r="280">
      <c r="A280" s="2" t="inlineStr">
        <is>
          <t>Jumbo</t>
        </is>
      </c>
      <c r="B280" s="2" t="n">
        <v>77268</v>
      </c>
      <c r="C280" s="2" t="n">
        <v>74395</v>
      </c>
      <c r="D280" s="2" t="inlineStr">
        <is>
          <t>Shampoo Pantene Control Caída 200 Ml</t>
        </is>
      </c>
      <c r="E280" s="2" t="inlineStr">
        <is>
          <t>PANTENE</t>
        </is>
      </c>
      <c r="F280" s="2" t="n">
        <v>21.33</v>
      </c>
      <c r="G280" s="2" t="n">
        <v>1763</v>
      </c>
      <c r="H280" s="2" t="b">
        <v>0</v>
      </c>
      <c r="I280" s="2" t="n">
        <v>200</v>
      </c>
      <c r="J280" s="2" t="n">
        <v>0.1066</v>
      </c>
      <c r="K280" s="2" t="inlineStr">
        <is>
          <t>&gt; Perfumería &gt; Cuidado Capilar &gt; Shampoo &gt;</t>
        </is>
      </c>
      <c r="L280" s="2" t="inlineStr">
        <is>
          <t>shampoo</t>
        </is>
      </c>
      <c r="M280" s="2" t="inlineStr">
        <is>
          <t>estandar</t>
        </is>
      </c>
      <c r="N280" s="2" t="inlineStr">
        <is>
          <t>general</t>
        </is>
      </c>
      <c r="O280" s="2" t="inlineStr">
        <is>
          <t>https://www.jumbo.com.ar/shampoo-pantene-13/p</t>
        </is>
      </c>
    </row>
    <row r="281">
      <c r="A281" t="inlineStr">
        <is>
          <t>Jumbo</t>
        </is>
      </c>
      <c r="B281" t="n">
        <v>77239</v>
      </c>
      <c r="C281" t="n">
        <v>74367</v>
      </c>
      <c r="D281" t="inlineStr">
        <is>
          <t>Shampoo Pantene Color Radiante 200ml</t>
        </is>
      </c>
      <c r="E281" t="inlineStr">
        <is>
          <t>PANTENE</t>
        </is>
      </c>
      <c r="F281" t="n">
        <v>21.33</v>
      </c>
      <c r="G281" t="n">
        <v>1763</v>
      </c>
      <c r="H281" t="b">
        <v>0</v>
      </c>
      <c r="I281" t="n">
        <v>200</v>
      </c>
      <c r="J281" t="n">
        <v>0.1066</v>
      </c>
      <c r="K281" t="inlineStr">
        <is>
          <t>&gt; Perfumería &gt; Cuidado Capilar &gt; Shampoo &gt;</t>
        </is>
      </c>
      <c r="L281" t="inlineStr">
        <is>
          <t>shampoo</t>
        </is>
      </c>
      <c r="M281" t="inlineStr">
        <is>
          <t>estandar</t>
        </is>
      </c>
      <c r="N281" t="inlineStr">
        <is>
          <t>tratado</t>
        </is>
      </c>
      <c r="O281" t="inlineStr">
        <is>
          <t>https://www.jumbo.com.ar/shampoo-pantene-15/p</t>
        </is>
      </c>
    </row>
    <row r="282">
      <c r="A282" s="2" t="inlineStr">
        <is>
          <t>Jumbo</t>
        </is>
      </c>
      <c r="B282" s="2" t="n">
        <v>77023</v>
      </c>
      <c r="C282" s="2" t="n">
        <v>74151</v>
      </c>
      <c r="D282" s="2" t="inlineStr">
        <is>
          <t>Shampoo Tresemmé Anti-quiebre</t>
        </is>
      </c>
      <c r="E282" s="2" t="inlineStr">
        <is>
          <t>TRESEMMÉ</t>
        </is>
      </c>
      <c r="F282" s="2" t="n">
        <v>51.87</v>
      </c>
      <c r="G282" s="2" t="n">
        <v>4287</v>
      </c>
      <c r="H282" s="2" t="b">
        <v>0</v>
      </c>
      <c r="I282" s="2" t="inlineStr"/>
      <c r="J282" s="2" t="inlineStr"/>
      <c r="K282" s="2" t="inlineStr">
        <is>
          <t>&gt; Perfumería &gt; Cuidado Capilar &gt; Shampoo &gt;</t>
        </is>
      </c>
      <c r="L282" s="2" t="inlineStr">
        <is>
          <t>shampoo</t>
        </is>
      </c>
      <c r="M282" s="2" t="inlineStr">
        <is>
          <t>estandar</t>
        </is>
      </c>
      <c r="N282" s="2" t="inlineStr">
        <is>
          <t>general</t>
        </is>
      </c>
      <c r="O282" s="2" t="inlineStr">
        <is>
          <t>https://www.jumbo.com.ar/shampoo-tresemme-8/p</t>
        </is>
      </c>
    </row>
    <row r="283">
      <c r="A283" t="inlineStr">
        <is>
          <t>Jumbo</t>
        </is>
      </c>
      <c r="B283" t="n">
        <v>73429</v>
      </c>
      <c r="C283" t="n">
        <v>70560</v>
      </c>
      <c r="D283" t="inlineStr">
        <is>
          <t>Shampoo Dove Rizos Therapy X 250 Ml</t>
        </is>
      </c>
      <c r="E283" t="inlineStr">
        <is>
          <t>DOVE</t>
        </is>
      </c>
      <c r="F283" t="n">
        <v>9.5</v>
      </c>
      <c r="G283" t="n">
        <v>9.5</v>
      </c>
      <c r="H283" t="b">
        <v>0</v>
      </c>
      <c r="I283" t="n">
        <v>250</v>
      </c>
      <c r="J283" t="n">
        <v>0.038</v>
      </c>
      <c r="K283" t="inlineStr">
        <is>
          <t>&gt; Perfumería &gt; Cuidado Capilar &gt; Shampoo &gt;</t>
        </is>
      </c>
      <c r="L283" t="inlineStr">
        <is>
          <t>shampoo</t>
        </is>
      </c>
      <c r="M283" t="inlineStr">
        <is>
          <t>estandar</t>
        </is>
      </c>
      <c r="N283" t="inlineStr">
        <is>
          <t>rizado</t>
        </is>
      </c>
      <c r="O283" t="inlineStr">
        <is>
          <t>https://www.jumbo.com.ar/shampoo-dove-27/p</t>
        </is>
      </c>
    </row>
    <row r="284">
      <c r="A284" s="2" t="inlineStr">
        <is>
          <t>Jumbo</t>
        </is>
      </c>
      <c r="B284" s="2" t="n">
        <v>73393</v>
      </c>
      <c r="C284" s="2" t="n">
        <v>70524</v>
      </c>
      <c r="D284" s="2" t="inlineStr">
        <is>
          <t>Shampoo Dove Lisos Therapy X 250 Ml</t>
        </is>
      </c>
      <c r="E284" s="2" t="inlineStr">
        <is>
          <t>DOVE</t>
        </is>
      </c>
      <c r="F284" s="2" t="n">
        <v>9.19</v>
      </c>
      <c r="G284" s="2" t="n">
        <v>9.19</v>
      </c>
      <c r="H284" s="2" t="b">
        <v>0</v>
      </c>
      <c r="I284" s="2" t="n">
        <v>250</v>
      </c>
      <c r="J284" s="2" t="n">
        <v>0.0368</v>
      </c>
      <c r="K284" s="2" t="inlineStr">
        <is>
          <t>&gt; Perfumería &gt; Cuidado Capilar &gt; Shampoo &gt;</t>
        </is>
      </c>
      <c r="L284" s="2" t="inlineStr">
        <is>
          <t>shampoo</t>
        </is>
      </c>
      <c r="M284" s="2" t="inlineStr">
        <is>
          <t>estandar</t>
        </is>
      </c>
      <c r="N284" s="2" t="inlineStr">
        <is>
          <t>general</t>
        </is>
      </c>
      <c r="O284" s="2" t="inlineStr">
        <is>
          <t>https://www.jumbo.com.ar/shampoo-dove/p</t>
        </is>
      </c>
    </row>
    <row r="285">
      <c r="A285" t="inlineStr">
        <is>
          <t>Jumbo</t>
        </is>
      </c>
      <c r="B285" t="n">
        <v>73277</v>
      </c>
      <c r="C285" t="n">
        <v>70409</v>
      </c>
      <c r="D285" t="inlineStr">
        <is>
          <t>Shampoo Pantene Hidratación 400 Ml</t>
        </is>
      </c>
      <c r="E285" t="inlineStr">
        <is>
          <t>PANTENE</t>
        </is>
      </c>
      <c r="F285" t="n">
        <v>48.79</v>
      </c>
      <c r="G285" t="n">
        <v>4032</v>
      </c>
      <c r="H285" t="b">
        <v>0</v>
      </c>
      <c r="I285" t="n">
        <v>400</v>
      </c>
      <c r="J285" t="n">
        <v>0.122</v>
      </c>
      <c r="K285" t="inlineStr">
        <is>
          <t>&gt; Perfumería &gt; Cuidado Capilar &gt; Shampoo &gt;</t>
        </is>
      </c>
      <c r="L285" t="inlineStr">
        <is>
          <t>shampoo</t>
        </is>
      </c>
      <c r="M285" t="inlineStr">
        <is>
          <t>estandar</t>
        </is>
      </c>
      <c r="N285" t="inlineStr">
        <is>
          <t>seco_danado</t>
        </is>
      </c>
      <c r="O285" t="inlineStr">
        <is>
          <t>https://www.jumbo.com.ar/shampoo-pantene-12/p</t>
        </is>
      </c>
    </row>
    <row r="286">
      <c r="A286" s="2" t="inlineStr">
        <is>
          <t>Jumbo</t>
        </is>
      </c>
      <c r="B286" s="2" t="n">
        <v>72432</v>
      </c>
      <c r="C286" s="2" t="n">
        <v>69568</v>
      </c>
      <c r="D286" s="2" t="inlineStr">
        <is>
          <t>Shampoo Pantene Renovación Profunda X 400 Ml</t>
        </is>
      </c>
      <c r="E286" s="2" t="inlineStr">
        <is>
          <t>PANTENE</t>
        </is>
      </c>
      <c r="F286" s="2" t="n">
        <v>103.39</v>
      </c>
      <c r="G286" s="2" t="n">
        <v>103.39</v>
      </c>
      <c r="H286" s="2" t="b">
        <v>0</v>
      </c>
      <c r="I286" s="2" t="n">
        <v>400</v>
      </c>
      <c r="J286" s="2" t="n">
        <v>0.2585</v>
      </c>
      <c r="K286" s="2" t="inlineStr">
        <is>
          <t>&gt; Perfumería &gt; Cuidado Capilar &gt; Shampoo &gt;</t>
        </is>
      </c>
      <c r="L286" s="2" t="inlineStr">
        <is>
          <t>shampoo</t>
        </is>
      </c>
      <c r="M286" s="2" t="inlineStr">
        <is>
          <t>estandar</t>
        </is>
      </c>
      <c r="N286" s="2" t="inlineStr">
        <is>
          <t>general</t>
        </is>
      </c>
      <c r="O286" s="2" t="inlineStr">
        <is>
          <t>https://www.jumbo.com.ar/shampoo-pantene-23/p</t>
        </is>
      </c>
    </row>
    <row r="287">
      <c r="A287" t="inlineStr">
        <is>
          <t>Jumbo</t>
        </is>
      </c>
      <c r="B287" t="n">
        <v>70445</v>
      </c>
      <c r="C287" t="n">
        <v>67580</v>
      </c>
      <c r="D287" t="inlineStr">
        <is>
          <t>Shampoo Dove Control Caida + Tratamiento + Hebilla</t>
        </is>
      </c>
      <c r="E287" t="inlineStr">
        <is>
          <t>DOVE</t>
        </is>
      </c>
      <c r="F287" t="n">
        <v>31.79</v>
      </c>
      <c r="G287" t="n">
        <v>31.79</v>
      </c>
      <c r="H287" t="b">
        <v>0</v>
      </c>
      <c r="I287" t="inlineStr"/>
      <c r="J287" t="inlineStr"/>
      <c r="K287" t="inlineStr">
        <is>
          <t>&gt; Perfumería &gt; Cuidado Capilar &gt; Shampoo &gt;</t>
        </is>
      </c>
      <c r="L287" t="inlineStr">
        <is>
          <t>tratamiento</t>
        </is>
      </c>
      <c r="M287" t="inlineStr">
        <is>
          <t>estandar</t>
        </is>
      </c>
      <c r="N287" t="inlineStr">
        <is>
          <t>general</t>
        </is>
      </c>
      <c r="O287" t="inlineStr">
        <is>
          <t>https://www.jumbo.com.ar/shampoo-dove-6/p</t>
        </is>
      </c>
    </row>
    <row r="288">
      <c r="A288" s="2" t="inlineStr">
        <is>
          <t>Jumbo</t>
        </is>
      </c>
      <c r="B288" s="2" t="n">
        <v>70253</v>
      </c>
      <c r="C288" s="2" t="n">
        <v>67390</v>
      </c>
      <c r="D288" s="2" t="inlineStr">
        <is>
          <t>Shampoo Capilatis Cosm.anticaspa Presentacion Anti-caspa Sin Atributo Sin Atributo</t>
        </is>
      </c>
      <c r="E288" s="2" t="inlineStr">
        <is>
          <t>CAPILATIS</t>
        </is>
      </c>
      <c r="F288" s="2" t="n">
        <v>53.79</v>
      </c>
      <c r="G288" s="2" t="n">
        <v>4445</v>
      </c>
      <c r="H288" s="2" t="b">
        <v>0</v>
      </c>
      <c r="I288" s="2" t="inlineStr"/>
      <c r="J288" s="2" t="inlineStr"/>
      <c r="K288" s="2" t="inlineStr">
        <is>
          <t>&gt; Perfumería &gt; Cuidado Capilar &gt; Shampoo &gt;</t>
        </is>
      </c>
      <c r="L288" s="2" t="inlineStr">
        <is>
          <t>shampoo</t>
        </is>
      </c>
      <c r="M288" s="2" t="inlineStr">
        <is>
          <t>estandar</t>
        </is>
      </c>
      <c r="N288" s="2" t="inlineStr">
        <is>
          <t>anticaspa</t>
        </is>
      </c>
      <c r="O288" s="2" t="inlineStr">
        <is>
          <t>https://www.jumbo.com.ar/shampoo-capilatis-10-2/p</t>
        </is>
      </c>
    </row>
    <row r="289">
      <c r="A289" t="inlineStr">
        <is>
          <t>Jumbo</t>
        </is>
      </c>
      <c r="B289" t="n">
        <v>64176</v>
      </c>
      <c r="C289" t="n">
        <v>61325</v>
      </c>
      <c r="D289" t="inlineStr">
        <is>
          <t>Shampoo Tresemmé</t>
        </is>
      </c>
      <c r="E289" t="inlineStr">
        <is>
          <t>TRESEMMÉ</t>
        </is>
      </c>
      <c r="F289" t="n">
        <v>11.55</v>
      </c>
      <c r="G289" t="n">
        <v>11.55</v>
      </c>
      <c r="H289" t="b">
        <v>0</v>
      </c>
      <c r="I289" t="inlineStr"/>
      <c r="J289" t="inlineStr"/>
      <c r="K289" t="inlineStr">
        <is>
          <t>&gt; Perfumería &gt; Cuidado Capilar &gt; Shampoo &gt;</t>
        </is>
      </c>
      <c r="L289" t="inlineStr">
        <is>
          <t>shampoo</t>
        </is>
      </c>
      <c r="M289" t="inlineStr">
        <is>
          <t>estandar</t>
        </is>
      </c>
      <c r="N289" t="inlineStr">
        <is>
          <t>general</t>
        </is>
      </c>
      <c r="O289" t="inlineStr">
        <is>
          <t>https://www.jumbo.com.ar/shampoo-tresemme-5-2/p</t>
        </is>
      </c>
    </row>
    <row r="290">
      <c r="A290" s="2" t="inlineStr">
        <is>
          <t>Jumbo</t>
        </is>
      </c>
      <c r="B290" s="2" t="n">
        <v>63990</v>
      </c>
      <c r="C290" s="2" t="n">
        <v>61138</v>
      </c>
      <c r="D290" s="2" t="inlineStr">
        <is>
          <t>Shampoo Elvive</t>
        </is>
      </c>
      <c r="E290" s="2" t="inlineStr">
        <is>
          <t>ELVIVE</t>
        </is>
      </c>
      <c r="F290" s="2" t="n">
        <v>22.85</v>
      </c>
      <c r="G290" s="2" t="n">
        <v>22.85</v>
      </c>
      <c r="H290" s="2" t="b">
        <v>0</v>
      </c>
      <c r="I290" s="2" t="inlineStr"/>
      <c r="J290" s="2" t="inlineStr"/>
      <c r="K290" s="2" t="inlineStr">
        <is>
          <t>&gt; Perfumería &gt; Cuidado Capilar &gt; Shampoo &gt;</t>
        </is>
      </c>
      <c r="L290" s="2" t="inlineStr">
        <is>
          <t>shampoo</t>
        </is>
      </c>
      <c r="M290" s="2" t="inlineStr">
        <is>
          <t>profesional</t>
        </is>
      </c>
      <c r="N290" s="2" t="inlineStr">
        <is>
          <t>general</t>
        </is>
      </c>
      <c r="O290" s="2" t="inlineStr">
        <is>
          <t>https://www.jumbo.com.ar/shampoo-elvive-2/p</t>
        </is>
      </c>
    </row>
    <row r="291">
      <c r="A291" t="inlineStr">
        <is>
          <t>Jumbo</t>
        </is>
      </c>
      <c r="B291" t="n">
        <v>30161</v>
      </c>
      <c r="C291" t="n">
        <v>27322</v>
      </c>
      <c r="D291" t="inlineStr">
        <is>
          <t>Shampoo Pantene Pro-v Expert Collection Age Defy 300 Ml</t>
        </is>
      </c>
      <c r="E291" t="inlineStr">
        <is>
          <t>PANTENE</t>
        </is>
      </c>
      <c r="F291" t="n">
        <v>312.53</v>
      </c>
      <c r="G291" t="n">
        <v>25829</v>
      </c>
      <c r="H291" t="b">
        <v>0</v>
      </c>
      <c r="I291" t="n">
        <v>300</v>
      </c>
      <c r="J291" t="n">
        <v>1.0418</v>
      </c>
      <c r="K291" t="inlineStr">
        <is>
          <t>&gt; Perfumería &gt; Cuidado Capilar &gt; Shampoo &gt;</t>
        </is>
      </c>
      <c r="L291" t="inlineStr">
        <is>
          <t>shampoo</t>
        </is>
      </c>
      <c r="M291" t="inlineStr">
        <is>
          <t>profesional</t>
        </is>
      </c>
      <c r="N291" t="inlineStr">
        <is>
          <t>general</t>
        </is>
      </c>
      <c r="O291" t="inlineStr">
        <is>
          <t>https://www.jumbo.com.ar/shampoo-pantene-29/p</t>
        </is>
      </c>
    </row>
    <row r="292">
      <c r="A292" s="2" t="inlineStr">
        <is>
          <t>Jumbo</t>
        </is>
      </c>
      <c r="B292" s="2" t="n">
        <v>20239</v>
      </c>
      <c r="C292" s="2" t="n">
        <v>17411</v>
      </c>
      <c r="D292" s="2" t="inlineStr">
        <is>
          <t>Shampoo Capilatis Cosmetico Equilibrio Presentacion Equilibrio Tipo Cabello Normal</t>
        </is>
      </c>
      <c r="E292" s="2" t="inlineStr">
        <is>
          <t>CAPILATIS</t>
        </is>
      </c>
      <c r="F292" s="2" t="n">
        <v>77.39</v>
      </c>
      <c r="G292" s="2" t="n">
        <v>6396</v>
      </c>
      <c r="H292" s="2" t="b">
        <v>0</v>
      </c>
      <c r="I292" s="2" t="inlineStr"/>
      <c r="J292" s="2" t="inlineStr"/>
      <c r="K292" s="2" t="inlineStr">
        <is>
          <t>&gt; Perfumería &gt; Cuidado Capilar &gt; Shampoo &gt;</t>
        </is>
      </c>
      <c r="L292" s="2" t="inlineStr">
        <is>
          <t>shampoo</t>
        </is>
      </c>
      <c r="M292" s="2" t="inlineStr">
        <is>
          <t>estandar</t>
        </is>
      </c>
      <c r="N292" s="2" t="inlineStr">
        <is>
          <t>general</t>
        </is>
      </c>
      <c r="O292" s="2" t="inlineStr">
        <is>
          <t>https://www.jumbo.com.ar/shampoo-capilatis-10/p</t>
        </is>
      </c>
    </row>
    <row r="293">
      <c r="A293" t="inlineStr">
        <is>
          <t>Jumbo</t>
        </is>
      </c>
      <c r="B293" t="n">
        <v>179064</v>
      </c>
      <c r="C293" t="n">
        <v>197032</v>
      </c>
      <c r="D293" t="inlineStr">
        <is>
          <t>Shampoo Capilatis Ortiga-aloe Shampoo Más Loción Cja 2 Un.</t>
        </is>
      </c>
      <c r="E293" t="inlineStr">
        <is>
          <t>CAPILATIS</t>
        </is>
      </c>
      <c r="F293" t="n">
        <v>17.16</v>
      </c>
      <c r="G293" t="n">
        <v>17.16</v>
      </c>
      <c r="H293" t="b">
        <v>0</v>
      </c>
      <c r="I293" t="inlineStr"/>
      <c r="J293" t="inlineStr"/>
      <c r="K293" t="inlineStr">
        <is>
          <t>&gt; Perfumería &gt; Cuidado Capilar &gt; Shampoo &gt;</t>
        </is>
      </c>
      <c r="L293" t="inlineStr">
        <is>
          <t>shampoo</t>
        </is>
      </c>
      <c r="M293" t="inlineStr">
        <is>
          <t>estandar</t>
        </is>
      </c>
      <c r="N293" t="inlineStr">
        <is>
          <t>general</t>
        </is>
      </c>
      <c r="O293" t="inlineStr">
        <is>
          <t>https://www.jumbo.com.ar/shampoo-capilatis-34-169278/p</t>
        </is>
      </c>
    </row>
    <row r="294">
      <c r="A294" s="2" t="inlineStr">
        <is>
          <t>Jumbo</t>
        </is>
      </c>
      <c r="B294" s="2" t="n">
        <v>363112</v>
      </c>
      <c r="C294" s="2" t="n">
        <v>361855</v>
      </c>
      <c r="D294" s="2" t="inlineStr">
        <is>
          <t>Shampoo Alternativa Natural Pvc 500 Cc</t>
        </is>
      </c>
      <c r="E294" s="2" t="inlineStr">
        <is>
          <t>ALTERNATIVA NATURAL</t>
        </is>
      </c>
      <c r="F294" s="2" t="n">
        <v>12.89</v>
      </c>
      <c r="G294" s="2" t="n">
        <v>1065</v>
      </c>
      <c r="H294" s="2" t="b">
        <v>0</v>
      </c>
      <c r="I294" s="2" t="inlineStr"/>
      <c r="J294" s="2" t="inlineStr"/>
      <c r="K294" s="2" t="inlineStr">
        <is>
          <t>&gt; Mascotas &gt; Accesorios para Mascotas &gt;</t>
        </is>
      </c>
      <c r="L294" s="2" t="inlineStr">
        <is>
          <t>shampoo</t>
        </is>
      </c>
      <c r="M294" s="2" t="inlineStr">
        <is>
          <t>estandar</t>
        </is>
      </c>
      <c r="N294" s="2" t="inlineStr">
        <is>
          <t>general</t>
        </is>
      </c>
      <c r="O294" s="2" t="inlineStr">
        <is>
          <t>https://www.jumbo.com.ar/shampoo-alternativa-natural/p</t>
        </is>
      </c>
    </row>
    <row r="295">
      <c r="A295" t="inlineStr">
        <is>
          <t>Jumbo</t>
        </is>
      </c>
      <c r="B295" t="n">
        <v>339227</v>
      </c>
      <c r="C295" t="n">
        <v>337912</v>
      </c>
      <c r="D295" t="inlineStr">
        <is>
          <t>Shampoo Botikpuro Romero</t>
        </is>
      </c>
      <c r="E295" t="inlineStr">
        <is>
          <t>BOTIK PURO</t>
        </is>
      </c>
      <c r="F295" t="n">
        <v>983.25</v>
      </c>
      <c r="G295" t="n">
        <v>81260</v>
      </c>
      <c r="H295" t="b">
        <v>0</v>
      </c>
      <c r="I295" t="inlineStr"/>
      <c r="J295" t="inlineStr"/>
      <c r="K295" t="inlineStr">
        <is>
          <t>&gt; Perfumería &gt; Cuidado Capilar &gt; Shampoo &gt;</t>
        </is>
      </c>
      <c r="L295" t="inlineStr">
        <is>
          <t>shampoo</t>
        </is>
      </c>
      <c r="M295" t="inlineStr">
        <is>
          <t>estandar</t>
        </is>
      </c>
      <c r="N295" t="inlineStr">
        <is>
          <t>general</t>
        </is>
      </c>
      <c r="O295" t="inlineStr">
        <is>
          <t>https://www.jumbo.com.ar/shampoo-botikpuro-romero-2/p</t>
        </is>
      </c>
    </row>
    <row r="296">
      <c r="A296" s="2" t="inlineStr">
        <is>
          <t>Jumbo</t>
        </is>
      </c>
      <c r="B296" s="2" t="n">
        <v>263644</v>
      </c>
      <c r="C296" s="2" t="n">
        <v>263364</v>
      </c>
      <c r="D296" s="2" t="inlineStr">
        <is>
          <t>Shampoo Suave Manzanilla</t>
        </is>
      </c>
      <c r="E296" s="2" t="inlineStr">
        <is>
          <t>SUAVE</t>
        </is>
      </c>
      <c r="F296" s="2" t="n">
        <v>103.84</v>
      </c>
      <c r="G296" s="2" t="n">
        <v>8582</v>
      </c>
      <c r="H296" s="2" t="b">
        <v>0</v>
      </c>
      <c r="I296" s="2" t="inlineStr"/>
      <c r="J296" s="2" t="inlineStr"/>
      <c r="K296" s="2" t="inlineStr">
        <is>
          <t>&gt; Perfumería &gt; Cuidado Capilar &gt; Shampoo &gt;</t>
        </is>
      </c>
      <c r="L296" s="2" t="inlineStr">
        <is>
          <t>shampoo</t>
        </is>
      </c>
      <c r="M296" s="2" t="inlineStr">
        <is>
          <t>estandar</t>
        </is>
      </c>
      <c r="N296" s="2" t="inlineStr">
        <is>
          <t>bebe</t>
        </is>
      </c>
      <c r="O296" s="2" t="inlineStr">
        <is>
          <t>https://www.jumbo.com.ar/shampoo-suave-manzanilla/p</t>
        </is>
      </c>
    </row>
    <row r="297">
      <c r="A297" t="inlineStr">
        <is>
          <t>Jumbo</t>
        </is>
      </c>
      <c r="B297" t="n">
        <v>134492</v>
      </c>
      <c r="C297" t="n">
        <v>131402</v>
      </c>
      <c r="D297" t="inlineStr">
        <is>
          <t>Shampoo Sedal Sos-+ Aconcidionador X 200ml-reconstruccion Estructural X 350ml.-bli-un.-2</t>
        </is>
      </c>
      <c r="E297" t="inlineStr">
        <is>
          <t>SEDAL SOS</t>
        </is>
      </c>
      <c r="F297" t="n">
        <v>25.47</v>
      </c>
      <c r="G297" t="n">
        <v>2105</v>
      </c>
      <c r="H297" t="b">
        <v>0</v>
      </c>
      <c r="I297" t="n">
        <v>200</v>
      </c>
      <c r="J297" t="n">
        <v>0.1273</v>
      </c>
      <c r="K297" t="inlineStr">
        <is>
          <t>&gt; Perfumería &gt; Cuidado Capilar &gt; Shampoo &gt;</t>
        </is>
      </c>
      <c r="L297" t="inlineStr">
        <is>
          <t>shampoo</t>
        </is>
      </c>
      <c r="M297" t="inlineStr">
        <is>
          <t>estandar</t>
        </is>
      </c>
      <c r="N297" t="inlineStr">
        <is>
          <t>general</t>
        </is>
      </c>
      <c r="O297" t="inlineStr">
        <is>
          <t>https://www.jumbo.com.ar/shampoo-sedal-sos-13/p</t>
        </is>
      </c>
    </row>
    <row r="298">
      <c r="A298" s="2" t="inlineStr">
        <is>
          <t>Jumbo</t>
        </is>
      </c>
      <c r="B298" s="2" t="n">
        <v>128499</v>
      </c>
      <c r="C298" s="2" t="n">
        <v>111278</v>
      </c>
      <c r="D298" s="2" t="inlineStr">
        <is>
          <t>Shampoo Anticaspa Clear-+ Deo Dove X 175 Ml-bli-un.-2</t>
        </is>
      </c>
      <c r="E298" s="2" t="inlineStr">
        <is>
          <t>CLEAR</t>
        </is>
      </c>
      <c r="F298" s="2" t="n">
        <v>17.79</v>
      </c>
      <c r="G298" s="2" t="n">
        <v>1470</v>
      </c>
      <c r="H298" s="2" t="b">
        <v>0</v>
      </c>
      <c r="I298" s="2" t="n">
        <v>175</v>
      </c>
      <c r="J298" s="2" t="n">
        <v>0.1017</v>
      </c>
      <c r="K298" s="2" t="inlineStr">
        <is>
          <t>&gt; Perfumería &gt; Cuidado Capilar &gt; Shampoo &gt;</t>
        </is>
      </c>
      <c r="L298" s="2" t="inlineStr">
        <is>
          <t>shampoo</t>
        </is>
      </c>
      <c r="M298" s="2" t="inlineStr">
        <is>
          <t>estandar</t>
        </is>
      </c>
      <c r="N298" s="2" t="inlineStr">
        <is>
          <t>anticaspa</t>
        </is>
      </c>
      <c r="O298" s="2" t="inlineStr">
        <is>
          <t>https://www.jumbo.com.ar/shampoo-anticaspa-clear-2/p</t>
        </is>
      </c>
    </row>
    <row r="299">
      <c r="A299" t="inlineStr">
        <is>
          <t>Jumbo</t>
        </is>
      </c>
      <c r="B299" t="n">
        <v>127217</v>
      </c>
      <c r="C299" t="n">
        <v>110006</v>
      </c>
      <c r="D299" t="inlineStr">
        <is>
          <t>Shampoo Elvive Cosmetico</t>
        </is>
      </c>
      <c r="E299" t="inlineStr">
        <is>
          <t>ELVIVE</t>
        </is>
      </c>
      <c r="F299" t="n">
        <v>16.67</v>
      </c>
      <c r="G299" t="n">
        <v>16.67</v>
      </c>
      <c r="H299" t="b">
        <v>0</v>
      </c>
      <c r="I299" t="inlineStr"/>
      <c r="J299" t="inlineStr"/>
      <c r="K299" t="inlineStr">
        <is>
          <t>&gt; Perfumería &gt; Cuidado Capilar &gt; Shampoo &gt;</t>
        </is>
      </c>
      <c r="L299" t="inlineStr">
        <is>
          <t>shampoo</t>
        </is>
      </c>
      <c r="M299" t="inlineStr">
        <is>
          <t>profesional</t>
        </is>
      </c>
      <c r="N299" t="inlineStr">
        <is>
          <t>general</t>
        </is>
      </c>
      <c r="O299" t="inlineStr">
        <is>
          <t>https://www.jumbo.com.ar/shampoo-elvive-cosmetico-95/p</t>
        </is>
      </c>
    </row>
    <row r="300">
      <c r="A300" s="2" t="inlineStr">
        <is>
          <t>Jumbo</t>
        </is>
      </c>
      <c r="B300" s="2" t="n">
        <v>114810</v>
      </c>
      <c r="C300" s="2" t="n">
        <v>113858</v>
      </c>
      <c r="D300" s="2" t="inlineStr">
        <is>
          <t>Shampoo Plusbelle Familiar</t>
        </is>
      </c>
      <c r="E300" s="2" t="inlineStr">
        <is>
          <t>PLUSBELLE</t>
        </is>
      </c>
      <c r="F300" s="2" t="n">
        <v>6.05</v>
      </c>
      <c r="G300" s="2" t="n">
        <v>6.05</v>
      </c>
      <c r="H300" s="2" t="b">
        <v>0</v>
      </c>
      <c r="I300" s="2" t="inlineStr"/>
      <c r="J300" s="2" t="inlineStr"/>
      <c r="K300" s="2" t="inlineStr">
        <is>
          <t>&gt; Perfumería &gt; Cuidado Capilar &gt; Shampoo &gt;</t>
        </is>
      </c>
      <c r="L300" s="2" t="inlineStr">
        <is>
          <t>shampoo</t>
        </is>
      </c>
      <c r="M300" s="2" t="inlineStr">
        <is>
          <t>estandar</t>
        </is>
      </c>
      <c r="N300" s="2" t="inlineStr">
        <is>
          <t>general</t>
        </is>
      </c>
      <c r="O300" s="2" t="inlineStr">
        <is>
          <t>https://www.jumbo.com.ar/shampoo-plusbelle-familiar-14/p</t>
        </is>
      </c>
    </row>
    <row r="301">
      <c r="A301" t="inlineStr">
        <is>
          <t>Jumbo</t>
        </is>
      </c>
      <c r="B301" t="n">
        <v>107163</v>
      </c>
      <c r="C301" t="n">
        <v>104430</v>
      </c>
      <c r="D301" t="inlineStr">
        <is>
          <t>Shampoo Sedal Sos Reparación + Crema Tratamiento Reparación</t>
        </is>
      </c>
      <c r="E301" t="inlineStr">
        <is>
          <t>SEDAL SOS</t>
        </is>
      </c>
      <c r="F301" t="n">
        <v>12.39</v>
      </c>
      <c r="G301" t="n">
        <v>12.39</v>
      </c>
      <c r="H301" t="b">
        <v>0</v>
      </c>
      <c r="I301" t="inlineStr"/>
      <c r="J301" t="inlineStr"/>
      <c r="K301" t="inlineStr">
        <is>
          <t>&gt; Perfumería &gt; Cuidado Capilar &gt; Shampoo &gt;</t>
        </is>
      </c>
      <c r="L301" t="inlineStr">
        <is>
          <t>tratamiento</t>
        </is>
      </c>
      <c r="M301" t="inlineStr">
        <is>
          <t>estandar</t>
        </is>
      </c>
      <c r="N301" t="inlineStr">
        <is>
          <t>general</t>
        </is>
      </c>
      <c r="O301" t="inlineStr">
        <is>
          <t>https://www.jumbo.com.ar/shampoo-sedal-sos-9/p</t>
        </is>
      </c>
    </row>
    <row r="302">
      <c r="A302" s="2" t="inlineStr">
        <is>
          <t>Jumbo</t>
        </is>
      </c>
      <c r="B302" s="2" t="n">
        <v>102116</v>
      </c>
      <c r="C302" s="2" t="n">
        <v>99421</v>
      </c>
      <c r="D302" s="2" t="inlineStr">
        <is>
          <t>Shampoo Elvive  Cosmetico</t>
        </is>
      </c>
      <c r="E302" s="2" t="inlineStr">
        <is>
          <t>ELVIVE</t>
        </is>
      </c>
      <c r="F302" s="2" t="n">
        <v>12.65</v>
      </c>
      <c r="G302" s="2" t="n">
        <v>12.65</v>
      </c>
      <c r="H302" s="2" t="b">
        <v>0</v>
      </c>
      <c r="I302" s="2" t="inlineStr"/>
      <c r="J302" s="2" t="inlineStr"/>
      <c r="K302" s="2" t="inlineStr">
        <is>
          <t>&gt; Perfumería &gt; Cuidado Capilar &gt; Shampoo &gt;</t>
        </is>
      </c>
      <c r="L302" s="2" t="inlineStr">
        <is>
          <t>shampoo</t>
        </is>
      </c>
      <c r="M302" s="2" t="inlineStr">
        <is>
          <t>profesional</t>
        </is>
      </c>
      <c r="N302" s="2" t="inlineStr">
        <is>
          <t>general</t>
        </is>
      </c>
      <c r="O302" s="2" t="inlineStr">
        <is>
          <t>https://www.jumbo.com.ar/shampoo-elvive-cosmetico-29/p</t>
        </is>
      </c>
    </row>
    <row r="303">
      <c r="A303" t="inlineStr">
        <is>
          <t>Jumbo</t>
        </is>
      </c>
      <c r="B303" t="n">
        <v>72518</v>
      </c>
      <c r="C303" t="n">
        <v>69654</v>
      </c>
      <c r="D303" t="inlineStr">
        <is>
          <t>Shampoo Plusbelle Familiar Creme Hidro Pro Pvc 1 Lt.</t>
        </is>
      </c>
      <c r="E303" t="inlineStr">
        <is>
          <t>PLUSBELLE</t>
        </is>
      </c>
      <c r="F303" t="n">
        <v>16.23</v>
      </c>
      <c r="G303" t="n">
        <v>1341</v>
      </c>
      <c r="H303" t="b">
        <v>0</v>
      </c>
      <c r="I303" t="inlineStr"/>
      <c r="J303" t="inlineStr"/>
      <c r="K303" t="inlineStr">
        <is>
          <t>&gt; Perfumería &gt; Cuidado Capilar &gt; Shampoo &gt;</t>
        </is>
      </c>
      <c r="L303" t="inlineStr">
        <is>
          <t>shampoo</t>
        </is>
      </c>
      <c r="M303" t="inlineStr">
        <is>
          <t>estandar</t>
        </is>
      </c>
      <c r="N303" t="inlineStr">
        <is>
          <t>general</t>
        </is>
      </c>
      <c r="O303" t="inlineStr">
        <is>
          <t>https://www.jumbo.com.ar/shampoo-plusbelle-familiar/p</t>
        </is>
      </c>
    </row>
    <row r="304">
      <c r="A304" s="2" t="inlineStr">
        <is>
          <t>Jumbo</t>
        </is>
      </c>
      <c r="B304" s="2" t="n">
        <v>72516</v>
      </c>
      <c r="C304" s="2" t="n">
        <v>69652</v>
      </c>
      <c r="D304" s="2" t="inlineStr">
        <is>
          <t>Shampoo Plusbelle Familiar</t>
        </is>
      </c>
      <c r="E304" s="2" t="inlineStr">
        <is>
          <t>PLUSBELLE</t>
        </is>
      </c>
      <c r="F304" s="2" t="n">
        <v>10.13</v>
      </c>
      <c r="G304" s="2" t="n">
        <v>10.13</v>
      </c>
      <c r="H304" s="2" t="b">
        <v>0</v>
      </c>
      <c r="I304" s="2" t="inlineStr"/>
      <c r="J304" s="2" t="inlineStr"/>
      <c r="K304" s="2" t="inlineStr">
        <is>
          <t>&gt; Perfumería &gt; Cuidado Capilar &gt; Shampoo &gt;</t>
        </is>
      </c>
      <c r="L304" s="2" t="inlineStr">
        <is>
          <t>shampoo</t>
        </is>
      </c>
      <c r="M304" s="2" t="inlineStr">
        <is>
          <t>estandar</t>
        </is>
      </c>
      <c r="N304" s="2" t="inlineStr">
        <is>
          <t>general</t>
        </is>
      </c>
      <c r="O304" s="2" t="inlineStr">
        <is>
          <t>https://www.jumbo.com.ar/shampoo-plusbelle-familiar-2/p</t>
        </is>
      </c>
    </row>
    <row r="305">
      <c r="A305" t="inlineStr">
        <is>
          <t>Jumbo</t>
        </is>
      </c>
      <c r="B305" t="n">
        <v>68653</v>
      </c>
      <c r="C305" t="n">
        <v>65791</v>
      </c>
      <c r="D305" t="inlineStr">
        <is>
          <t>Shampoo Elvive Cosmetico</t>
        </is>
      </c>
      <c r="E305" t="inlineStr">
        <is>
          <t>ELVIVE</t>
        </is>
      </c>
      <c r="F305" t="n">
        <v>7.97</v>
      </c>
      <c r="G305" t="n">
        <v>7.97</v>
      </c>
      <c r="H305" t="b">
        <v>0</v>
      </c>
      <c r="I305" t="inlineStr"/>
      <c r="J305" t="inlineStr"/>
      <c r="K305" t="inlineStr">
        <is>
          <t>&gt; Perfumería &gt; Cuidado Capilar &gt; Shampoo &gt;</t>
        </is>
      </c>
      <c r="L305" t="inlineStr">
        <is>
          <t>shampoo</t>
        </is>
      </c>
      <c r="M305" t="inlineStr">
        <is>
          <t>profesional</t>
        </is>
      </c>
      <c r="N305" t="inlineStr">
        <is>
          <t>general</t>
        </is>
      </c>
      <c r="O305" t="inlineStr">
        <is>
          <t>https://www.jumbo.com.ar/shampoo-elvive-cosmetico-2/p</t>
        </is>
      </c>
    </row>
    <row r="306">
      <c r="A306" s="2" t="inlineStr">
        <is>
          <t>Jumbo</t>
        </is>
      </c>
      <c r="B306" s="2" t="n">
        <v>67967</v>
      </c>
      <c r="C306" s="2" t="n">
        <v>65105</v>
      </c>
      <c r="D306" s="2" t="inlineStr">
        <is>
          <t>Shampoo Elvive Cosmetico Shampoo Elvive Nutri Gloss X 400 Ml</t>
        </is>
      </c>
      <c r="E306" s="2" t="inlineStr">
        <is>
          <t>ELVIVE</t>
        </is>
      </c>
      <c r="F306" s="2" t="n">
        <v>91.65000000000001</v>
      </c>
      <c r="G306" s="2" t="n">
        <v>7574</v>
      </c>
      <c r="H306" s="2" t="b">
        <v>0</v>
      </c>
      <c r="I306" s="2" t="n">
        <v>400</v>
      </c>
      <c r="J306" s="2" t="n">
        <v>0.2291</v>
      </c>
      <c r="K306" s="2" t="inlineStr">
        <is>
          <t>&gt; Perfumería &gt; Cuidado Capilar &gt; Shampoo &gt;</t>
        </is>
      </c>
      <c r="L306" s="2" t="inlineStr">
        <is>
          <t>shampoo</t>
        </is>
      </c>
      <c r="M306" s="2" t="inlineStr">
        <is>
          <t>profesional</t>
        </is>
      </c>
      <c r="N306" s="2" t="inlineStr">
        <is>
          <t>general</t>
        </is>
      </c>
      <c r="O306" s="2" t="inlineStr">
        <is>
          <t>https://www.jumbo.com.ar/shampoo-elvive-cosmetico-10-2/p</t>
        </is>
      </c>
    </row>
    <row r="307">
      <c r="A307" t="inlineStr">
        <is>
          <t>Jumbo</t>
        </is>
      </c>
      <c r="B307" t="n">
        <v>67934</v>
      </c>
      <c r="C307" t="n">
        <v>65072</v>
      </c>
      <c r="D307" t="inlineStr">
        <is>
          <t>Shampoo Elvive Cosmetico Shampoo Elvive Anti Quiebre X 400 Ml</t>
        </is>
      </c>
      <c r="E307" t="inlineStr">
        <is>
          <t>ELVIVE</t>
        </is>
      </c>
      <c r="F307" t="n">
        <v>16.52</v>
      </c>
      <c r="G307" t="n">
        <v>16.52</v>
      </c>
      <c r="H307" t="b">
        <v>0</v>
      </c>
      <c r="I307" t="n">
        <v>400</v>
      </c>
      <c r="J307" t="n">
        <v>0.0413</v>
      </c>
      <c r="K307" t="inlineStr">
        <is>
          <t>&gt; Perfumería &gt; Cuidado Capilar &gt; Shampoo &gt;</t>
        </is>
      </c>
      <c r="L307" t="inlineStr">
        <is>
          <t>shampoo</t>
        </is>
      </c>
      <c r="M307" t="inlineStr">
        <is>
          <t>profesional</t>
        </is>
      </c>
      <c r="N307" t="inlineStr">
        <is>
          <t>general</t>
        </is>
      </c>
      <c r="O307" t="inlineStr">
        <is>
          <t>https://www.jumbo.com.ar/shampoo-elvive-cosmetico-10/p</t>
        </is>
      </c>
    </row>
    <row r="308">
      <c r="A308" s="2" t="inlineStr">
        <is>
          <t>Jumbo</t>
        </is>
      </c>
      <c r="B308" s="2" t="n">
        <v>64005</v>
      </c>
      <c r="C308" s="2" t="n">
        <v>61153</v>
      </c>
      <c r="D308" s="2" t="inlineStr">
        <is>
          <t>Shampoo Elvive Set</t>
        </is>
      </c>
      <c r="E308" s="2" t="inlineStr">
        <is>
          <t>ELVIVE</t>
        </is>
      </c>
      <c r="F308" s="2" t="n">
        <v>18.79</v>
      </c>
      <c r="G308" s="2" t="n">
        <v>18.79</v>
      </c>
      <c r="H308" s="2" t="b">
        <v>0</v>
      </c>
      <c r="I308" s="2" t="inlineStr"/>
      <c r="J308" s="2" t="inlineStr"/>
      <c r="K308" s="2" t="inlineStr">
        <is>
          <t>&gt; Perfumería &gt; Cuidado Capilar &gt; Shampoo &gt;</t>
        </is>
      </c>
      <c r="L308" s="2" t="inlineStr">
        <is>
          <t>shampoo</t>
        </is>
      </c>
      <c r="M308" s="2" t="inlineStr">
        <is>
          <t>profesional</t>
        </is>
      </c>
      <c r="N308" s="2" t="inlineStr">
        <is>
          <t>general</t>
        </is>
      </c>
      <c r="O308" s="2" t="inlineStr">
        <is>
          <t>https://www.jumbo.com.ar/shampoo-elvive-set-6/p</t>
        </is>
      </c>
    </row>
    <row r="309">
      <c r="A309" t="inlineStr">
        <is>
          <t>Jumbo</t>
        </is>
      </c>
      <c r="B309" t="n">
        <v>29621</v>
      </c>
      <c r="C309" t="n">
        <v>26783</v>
      </c>
      <c r="D309" t="inlineStr">
        <is>
          <t>Shampoo Herbal Essences Hidradisíaco 300 Ml</t>
        </is>
      </c>
      <c r="E309" t="inlineStr">
        <is>
          <t>HERBAL ESSENCES</t>
        </is>
      </c>
      <c r="F309" t="n">
        <v>162.43</v>
      </c>
      <c r="G309" t="n">
        <v>13424</v>
      </c>
      <c r="H309" t="b">
        <v>0</v>
      </c>
      <c r="I309" t="n">
        <v>300</v>
      </c>
      <c r="J309" t="n">
        <v>0.5414</v>
      </c>
      <c r="K309" t="inlineStr">
        <is>
          <t>&gt; Perfumería &gt; Cuidado Capilar &gt; Shampoo &gt;</t>
        </is>
      </c>
      <c r="L309" t="inlineStr">
        <is>
          <t>shampoo</t>
        </is>
      </c>
      <c r="M309" t="inlineStr">
        <is>
          <t>estandar</t>
        </is>
      </c>
      <c r="N309" t="inlineStr">
        <is>
          <t>general</t>
        </is>
      </c>
      <c r="O309" t="inlineStr">
        <is>
          <t>https://www.jumbo.com.ar/shampoo-herbal-essences-7/p</t>
        </is>
      </c>
    </row>
    <row r="310">
      <c r="A310" s="2" t="inlineStr">
        <is>
          <t>Jumbo</t>
        </is>
      </c>
      <c r="B310" s="2" t="n">
        <v>127602</v>
      </c>
      <c r="C310" s="2" t="n">
        <v>110386</v>
      </c>
      <c r="D310" s="2" t="inlineStr">
        <is>
          <t>Shampoo Elvive Cosmetico</t>
        </is>
      </c>
      <c r="E310" s="2" t="inlineStr">
        <is>
          <t>ELVIVE</t>
        </is>
      </c>
      <c r="F310" s="2" t="n">
        <v>91.65000000000001</v>
      </c>
      <c r="G310" s="2" t="n">
        <v>7574</v>
      </c>
      <c r="H310" s="2" t="b">
        <v>0</v>
      </c>
      <c r="I310" s="2" t="inlineStr"/>
      <c r="J310" s="2" t="inlineStr"/>
      <c r="K310" s="2" t="inlineStr">
        <is>
          <t>&gt; Perfumería &gt; Cuidado Capilar &gt; Shampoo &gt;</t>
        </is>
      </c>
      <c r="L310" s="2" t="inlineStr">
        <is>
          <t>shampoo</t>
        </is>
      </c>
      <c r="M310" s="2" t="inlineStr">
        <is>
          <t>profesional</t>
        </is>
      </c>
      <c r="N310" s="2" t="inlineStr">
        <is>
          <t>general</t>
        </is>
      </c>
      <c r="O310" s="2" t="inlineStr">
        <is>
          <t>https://www.jumbo.com.ar/shampoo-elvive-cosmetico-97/p</t>
        </is>
      </c>
    </row>
    <row r="311">
      <c r="A311" t="inlineStr">
        <is>
          <t>Jumbo</t>
        </is>
      </c>
      <c r="B311" t="n">
        <v>122254</v>
      </c>
      <c r="C311" t="n">
        <v>121273</v>
      </c>
      <c r="D311" t="inlineStr">
        <is>
          <t>Shampoo Capilatisx300ml</t>
        </is>
      </c>
      <c r="E311" t="inlineStr">
        <is>
          <t>CAPILATIS</t>
        </is>
      </c>
      <c r="F311" t="n">
        <v>15</v>
      </c>
      <c r="G311" t="n">
        <v>15</v>
      </c>
      <c r="H311" t="b">
        <v>0</v>
      </c>
      <c r="I311" t="n">
        <v>300</v>
      </c>
      <c r="J311" t="n">
        <v>0.05</v>
      </c>
      <c r="K311" t="inlineStr">
        <is>
          <t>&gt; Perfumería &gt; Cuidado Capilar &gt; Shampoo &gt;</t>
        </is>
      </c>
      <c r="L311" t="inlineStr">
        <is>
          <t>shampoo</t>
        </is>
      </c>
      <c r="M311" t="inlineStr">
        <is>
          <t>estandar</t>
        </is>
      </c>
      <c r="N311" t="inlineStr">
        <is>
          <t>general</t>
        </is>
      </c>
      <c r="O311" t="inlineStr">
        <is>
          <t>https://www.jumbo.com.ar/shampoo-capilatisx300ml/p</t>
        </is>
      </c>
    </row>
    <row r="312">
      <c r="A312" s="2" t="inlineStr">
        <is>
          <t>Jumbo</t>
        </is>
      </c>
      <c r="B312" s="2" t="n">
        <v>114886</v>
      </c>
      <c r="C312" s="2" t="n">
        <v>113933</v>
      </c>
      <c r="D312" s="2" t="inlineStr">
        <is>
          <t>Shampoo Elvive Cosmetico 2 En 1 Anti Quiebre Pet 250 Ml</t>
        </is>
      </c>
      <c r="E312" s="2" t="inlineStr">
        <is>
          <t>ELVIVE</t>
        </is>
      </c>
      <c r="F312" s="2" t="n">
        <v>7.97</v>
      </c>
      <c r="G312" s="2" t="n">
        <v>7.97</v>
      </c>
      <c r="H312" s="2" t="b">
        <v>0</v>
      </c>
      <c r="I312" s="2" t="n">
        <v>250</v>
      </c>
      <c r="J312" s="2" t="n">
        <v>0.0319</v>
      </c>
      <c r="K312" s="2" t="inlineStr">
        <is>
          <t>&gt; Perfumería &gt; Cuidado Capilar &gt; Shampoo &gt;</t>
        </is>
      </c>
      <c r="L312" s="2" t="inlineStr">
        <is>
          <t>shampoo</t>
        </is>
      </c>
      <c r="M312" s="2" t="inlineStr">
        <is>
          <t>profesional</t>
        </is>
      </c>
      <c r="N312" s="2" t="inlineStr">
        <is>
          <t>general</t>
        </is>
      </c>
      <c r="O312" s="2" t="inlineStr">
        <is>
          <t>https://www.jumbo.com.ar/shampoo-elvive-cosmetico-5/p</t>
        </is>
      </c>
    </row>
    <row r="313">
      <c r="A313" t="inlineStr">
        <is>
          <t>Jumbo</t>
        </is>
      </c>
      <c r="B313" t="n">
        <v>111930</v>
      </c>
      <c r="C313" t="n">
        <v>78749</v>
      </c>
      <c r="D313" t="inlineStr">
        <is>
          <t>Shampoo Plusbelle Familiar Algas Marinas Hidro Pro Pvc 1 Lt.</t>
        </is>
      </c>
      <c r="E313" t="inlineStr">
        <is>
          <t>PLUSBELLE</t>
        </is>
      </c>
      <c r="F313" t="n">
        <v>16.23</v>
      </c>
      <c r="G313" t="n">
        <v>1341</v>
      </c>
      <c r="H313" t="b">
        <v>0</v>
      </c>
      <c r="I313" t="inlineStr"/>
      <c r="J313" t="inlineStr"/>
      <c r="K313" t="inlineStr">
        <is>
          <t>&gt; Perfumería &gt; Cuidado Capilar &gt; Shampoo &gt;</t>
        </is>
      </c>
      <c r="L313" t="inlineStr">
        <is>
          <t>shampoo</t>
        </is>
      </c>
      <c r="M313" t="inlineStr">
        <is>
          <t>estandar</t>
        </is>
      </c>
      <c r="N313" t="inlineStr">
        <is>
          <t>general</t>
        </is>
      </c>
      <c r="O313" t="inlineStr">
        <is>
          <t>https://www.jumbo.com.ar/shampoo-plusbelle-familiar-5/p</t>
        </is>
      </c>
    </row>
    <row r="314">
      <c r="A314" s="2" t="inlineStr">
        <is>
          <t>Jumbo</t>
        </is>
      </c>
      <c r="B314" s="2" t="n">
        <v>72557</v>
      </c>
      <c r="C314" s="2" t="n">
        <v>69693</v>
      </c>
      <c r="D314" s="2" t="inlineStr">
        <is>
          <t>Shampoo Plusbelle Familiar</t>
        </is>
      </c>
      <c r="E314" s="2" t="inlineStr">
        <is>
          <t>PLUSBELLE</t>
        </is>
      </c>
      <c r="F314" s="2" t="n">
        <v>11.59</v>
      </c>
      <c r="G314" s="2" t="n">
        <v>11.59</v>
      </c>
      <c r="H314" s="2" t="b">
        <v>0</v>
      </c>
      <c r="I314" s="2" t="inlineStr"/>
      <c r="J314" s="2" t="inlineStr"/>
      <c r="K314" s="2" t="inlineStr">
        <is>
          <t>&gt; Perfumería &gt; Cuidado Capilar &gt; Shampoo &gt;</t>
        </is>
      </c>
      <c r="L314" s="2" t="inlineStr">
        <is>
          <t>shampoo</t>
        </is>
      </c>
      <c r="M314" s="2" t="inlineStr">
        <is>
          <t>estandar</t>
        </is>
      </c>
      <c r="N314" s="2" t="inlineStr">
        <is>
          <t>general</t>
        </is>
      </c>
      <c r="O314" s="2" t="inlineStr">
        <is>
          <t>https://www.jumbo.com.ar/shampoo-plusbelle-familiar-6/p</t>
        </is>
      </c>
    </row>
    <row r="315">
      <c r="A315" t="inlineStr">
        <is>
          <t>Jumbo</t>
        </is>
      </c>
      <c r="B315" t="n">
        <v>71153</v>
      </c>
      <c r="C315" t="n">
        <v>68287</v>
      </c>
      <c r="D315" t="inlineStr">
        <is>
          <t>Shampoo Elvive Cosmetico</t>
        </is>
      </c>
      <c r="E315" t="inlineStr">
        <is>
          <t>ELVIVE</t>
        </is>
      </c>
      <c r="F315" t="n">
        <v>61.83</v>
      </c>
      <c r="G315" t="n">
        <v>61.83</v>
      </c>
      <c r="H315" t="b">
        <v>0</v>
      </c>
      <c r="I315" t="inlineStr"/>
      <c r="J315" t="inlineStr"/>
      <c r="K315" t="inlineStr">
        <is>
          <t>&gt; Perfumería &gt; Cuidado Capilar &gt; Shampoo &gt;</t>
        </is>
      </c>
      <c r="L315" t="inlineStr">
        <is>
          <t>shampoo</t>
        </is>
      </c>
      <c r="M315" t="inlineStr">
        <is>
          <t>profesional</t>
        </is>
      </c>
      <c r="N315" t="inlineStr">
        <is>
          <t>general</t>
        </is>
      </c>
      <c r="O315" t="inlineStr">
        <is>
          <t>https://www.jumbo.com.ar/shampoo-elvive-cosmetico/p</t>
        </is>
      </c>
    </row>
    <row r="316">
      <c r="A316" s="2" t="inlineStr">
        <is>
          <t>Jumbo</t>
        </is>
      </c>
      <c r="B316" s="2" t="n">
        <v>70103</v>
      </c>
      <c r="C316" s="2" t="n">
        <v>67240</v>
      </c>
      <c r="D316" s="2" t="inlineStr">
        <is>
          <t>Shampoo Elvive Cosmetico</t>
        </is>
      </c>
      <c r="E316" s="2" t="inlineStr">
        <is>
          <t>ELVIVE</t>
        </is>
      </c>
      <c r="F316" s="2" t="n">
        <v>10.45</v>
      </c>
      <c r="G316" s="2" t="n">
        <v>10.45</v>
      </c>
      <c r="H316" s="2" t="b">
        <v>0</v>
      </c>
      <c r="I316" s="2" t="inlineStr"/>
      <c r="J316" s="2" t="inlineStr"/>
      <c r="K316" s="2" t="inlineStr">
        <is>
          <t>&gt; Perfumería &gt; Cuidado Capilar &gt; Shampoo &gt;</t>
        </is>
      </c>
      <c r="L316" s="2" t="inlineStr">
        <is>
          <t>shampoo</t>
        </is>
      </c>
      <c r="M316" s="2" t="inlineStr">
        <is>
          <t>profesional</t>
        </is>
      </c>
      <c r="N316" s="2" t="inlineStr">
        <is>
          <t>general</t>
        </is>
      </c>
      <c r="O316" s="2" t="inlineStr">
        <is>
          <t>https://www.jumbo.com.ar/shampoo-elvive-cosmetico-31/p</t>
        </is>
      </c>
    </row>
    <row r="317">
      <c r="A317" t="inlineStr">
        <is>
          <t>Jumbo</t>
        </is>
      </c>
      <c r="B317" t="n">
        <v>69780</v>
      </c>
      <c r="C317" t="n">
        <v>66917</v>
      </c>
      <c r="D317" t="inlineStr">
        <is>
          <t>Shampoo Nenin Familiar</t>
        </is>
      </c>
      <c r="E317" t="inlineStr">
        <is>
          <t>NENNIN NATURESSENCE</t>
        </is>
      </c>
      <c r="F317" t="n">
        <v>5.35</v>
      </c>
      <c r="G317" t="n">
        <v>5.35</v>
      </c>
      <c r="H317" t="b">
        <v>0</v>
      </c>
      <c r="I317" t="inlineStr"/>
      <c r="J317" t="inlineStr"/>
      <c r="K317" t="inlineStr">
        <is>
          <t>&gt; Perfumería &gt; Cuidado Capilar &gt; Shampoo &gt;</t>
        </is>
      </c>
      <c r="L317" t="inlineStr">
        <is>
          <t>shampoo</t>
        </is>
      </c>
      <c r="M317" t="inlineStr">
        <is>
          <t>estandar</t>
        </is>
      </c>
      <c r="N317" t="inlineStr">
        <is>
          <t>general</t>
        </is>
      </c>
      <c r="O317" t="inlineStr">
        <is>
          <t>https://www.jumbo.com.ar/shampoo-nenin-familiar-2/p</t>
        </is>
      </c>
    </row>
    <row r="318">
      <c r="A318" s="2" t="inlineStr">
        <is>
          <t>Jumbo</t>
        </is>
      </c>
      <c r="B318" s="2" t="n">
        <v>69778</v>
      </c>
      <c r="C318" s="2" t="n">
        <v>66915</v>
      </c>
      <c r="D318" s="2" t="inlineStr">
        <is>
          <t>Shampoo Nenin Familiar</t>
        </is>
      </c>
      <c r="E318" s="2" t="inlineStr">
        <is>
          <t>NENNIN NATURESSENCE</t>
        </is>
      </c>
      <c r="F318" s="2" t="n">
        <v>5.35</v>
      </c>
      <c r="G318" s="2" t="n">
        <v>5.35</v>
      </c>
      <c r="H318" s="2" t="b">
        <v>0</v>
      </c>
      <c r="I318" s="2" t="inlineStr"/>
      <c r="J318" s="2" t="inlineStr"/>
      <c r="K318" s="2" t="inlineStr">
        <is>
          <t>&gt; Perfumería &gt; Cuidado Capilar &gt; Shampoo &gt;</t>
        </is>
      </c>
      <c r="L318" s="2" t="inlineStr">
        <is>
          <t>shampoo</t>
        </is>
      </c>
      <c r="M318" s="2" t="inlineStr">
        <is>
          <t>estandar</t>
        </is>
      </c>
      <c r="N318" s="2" t="inlineStr">
        <is>
          <t>general</t>
        </is>
      </c>
      <c r="O318" s="2" t="inlineStr">
        <is>
          <t>https://www.jumbo.com.ar/shampoo-nenin-familiar-4/p</t>
        </is>
      </c>
    </row>
    <row r="319">
      <c r="A319" t="inlineStr">
        <is>
          <t>Jumbo</t>
        </is>
      </c>
      <c r="B319" t="n">
        <v>68668</v>
      </c>
      <c r="C319" t="n">
        <v>65806</v>
      </c>
      <c r="D319" t="inlineStr">
        <is>
          <t>Shampoo Elvive Cosmetico Volumen Control  Pvc 400 Ml.</t>
        </is>
      </c>
      <c r="E319" t="inlineStr">
        <is>
          <t>ELVIVE</t>
        </is>
      </c>
      <c r="F319" t="n">
        <v>91.65000000000001</v>
      </c>
      <c r="G319" t="n">
        <v>7574</v>
      </c>
      <c r="H319" t="b">
        <v>0</v>
      </c>
      <c r="I319" t="n">
        <v>400</v>
      </c>
      <c r="J319" t="n">
        <v>0.2291</v>
      </c>
      <c r="K319" t="inlineStr">
        <is>
          <t>&gt; Perfumería &gt; Cuidado Capilar &gt; Shampoo &gt;</t>
        </is>
      </c>
      <c r="L319" t="inlineStr">
        <is>
          <t>shampoo</t>
        </is>
      </c>
      <c r="M319" t="inlineStr">
        <is>
          <t>profesional</t>
        </is>
      </c>
      <c r="N319" t="inlineStr">
        <is>
          <t>general</t>
        </is>
      </c>
      <c r="O319" t="inlineStr">
        <is>
          <t>https://www.jumbo.com.ar/shampoo-elvive-cosmetico-13/p</t>
        </is>
      </c>
    </row>
    <row r="320">
      <c r="A320" s="2" t="inlineStr">
        <is>
          <t>Jumbo</t>
        </is>
      </c>
      <c r="B320" s="2" t="n">
        <v>67961</v>
      </c>
      <c r="C320" s="2" t="n">
        <v>65099</v>
      </c>
      <c r="D320" s="2" t="inlineStr">
        <is>
          <t>Shampoo Elvive Cosmetico Shampoo Elvive Colorvive X 400 Ml</t>
        </is>
      </c>
      <c r="E320" s="2" t="inlineStr">
        <is>
          <t>ELVIVE</t>
        </is>
      </c>
      <c r="F320" s="2" t="n">
        <v>91.65000000000001</v>
      </c>
      <c r="G320" s="2" t="n">
        <v>7574</v>
      </c>
      <c r="H320" s="2" t="b">
        <v>0</v>
      </c>
      <c r="I320" s="2" t="n">
        <v>400</v>
      </c>
      <c r="J320" s="2" t="n">
        <v>0.2291</v>
      </c>
      <c r="K320" s="2" t="inlineStr">
        <is>
          <t>&gt; Perfumería &gt; Cuidado Capilar &gt; Shampoo &gt;</t>
        </is>
      </c>
      <c r="L320" s="2" t="inlineStr">
        <is>
          <t>shampoo</t>
        </is>
      </c>
      <c r="M320" s="2" t="inlineStr">
        <is>
          <t>profesional</t>
        </is>
      </c>
      <c r="N320" s="2" t="inlineStr">
        <is>
          <t>tratado</t>
        </is>
      </c>
      <c r="O320" s="2" t="inlineStr">
        <is>
          <t>https://www.jumbo.com.ar/shampoo-elvive-cosmetico-9-2/p</t>
        </is>
      </c>
    </row>
    <row r="321">
      <c r="A321" t="inlineStr">
        <is>
          <t>Jumbo</t>
        </is>
      </c>
      <c r="B321" t="n">
        <v>67948</v>
      </c>
      <c r="C321" t="n">
        <v>65086</v>
      </c>
      <c r="D321" t="inlineStr">
        <is>
          <t>Shampoo Elvive Cosmetico Shampoo Elvive Citrus X 400 Ml</t>
        </is>
      </c>
      <c r="E321" t="inlineStr">
        <is>
          <t>ELVIVE</t>
        </is>
      </c>
      <c r="F321" t="n">
        <v>61.83</v>
      </c>
      <c r="G321" t="n">
        <v>61.83</v>
      </c>
      <c r="H321" t="b">
        <v>0</v>
      </c>
      <c r="I321" t="n">
        <v>400</v>
      </c>
      <c r="J321" t="n">
        <v>0.1546</v>
      </c>
      <c r="K321" t="inlineStr">
        <is>
          <t>&gt; Perfumería &gt; Cuidado Capilar &gt; Shampoo &gt;</t>
        </is>
      </c>
      <c r="L321" t="inlineStr">
        <is>
          <t>shampoo</t>
        </is>
      </c>
      <c r="M321" t="inlineStr">
        <is>
          <t>profesional</t>
        </is>
      </c>
      <c r="N321" t="inlineStr">
        <is>
          <t>general</t>
        </is>
      </c>
      <c r="O321" t="inlineStr">
        <is>
          <t>https://www.jumbo.com.ar/shampoo-elvive-cosmetico-12/p</t>
        </is>
      </c>
    </row>
    <row r="322">
      <c r="A322" s="2" t="inlineStr">
        <is>
          <t>Jumbo</t>
        </is>
      </c>
      <c r="B322" s="2" t="n">
        <v>67351</v>
      </c>
      <c r="C322" s="2" t="n">
        <v>64489</v>
      </c>
      <c r="D322" s="2" t="inlineStr">
        <is>
          <t>Shampoo Plusbelle Evolution</t>
        </is>
      </c>
      <c r="E322" s="2" t="inlineStr">
        <is>
          <t>PLUSBELLE EVOLUTION</t>
        </is>
      </c>
      <c r="F322" s="2" t="n">
        <v>6.15</v>
      </c>
      <c r="G322" s="2" t="n">
        <v>6.15</v>
      </c>
      <c r="H322" s="2" t="b">
        <v>0</v>
      </c>
      <c r="I322" s="2" t="inlineStr"/>
      <c r="J322" s="2" t="inlineStr"/>
      <c r="K322" s="2" t="inlineStr">
        <is>
          <t>&gt; Perfumería &gt; Cuidado Capilar &gt; Shampoo &gt;</t>
        </is>
      </c>
      <c r="L322" s="2" t="inlineStr">
        <is>
          <t>shampoo</t>
        </is>
      </c>
      <c r="M322" s="2" t="inlineStr">
        <is>
          <t>estandar</t>
        </is>
      </c>
      <c r="N322" s="2" t="inlineStr">
        <is>
          <t>general</t>
        </is>
      </c>
      <c r="O322" s="2" t="inlineStr">
        <is>
          <t>https://www.jumbo.com.ar/shampoo-plusbelle-evolution-2/p</t>
        </is>
      </c>
    </row>
    <row r="323">
      <c r="A323" t="inlineStr">
        <is>
          <t>Jumbo</t>
        </is>
      </c>
      <c r="B323" t="n">
        <v>53664</v>
      </c>
      <c r="C323" t="n">
        <v>50826</v>
      </c>
      <c r="D323" t="inlineStr">
        <is>
          <t>Shampoo Elvive Cosmetico. Shampoo Elvive Cosmetico Volumen Control  Pvc 750 Ml.</t>
        </is>
      </c>
      <c r="E323" t="inlineStr">
        <is>
          <t>ELVIVE</t>
        </is>
      </c>
      <c r="F323" t="n">
        <v>146.95</v>
      </c>
      <c r="G323" t="n">
        <v>12145</v>
      </c>
      <c r="H323" t="b">
        <v>0</v>
      </c>
      <c r="I323" t="n">
        <v>750</v>
      </c>
      <c r="J323" t="n">
        <v>0.1959</v>
      </c>
      <c r="K323" t="inlineStr">
        <is>
          <t>&gt; Perfumería &gt; Cuidado Capilar &gt; Shampoo &gt;</t>
        </is>
      </c>
      <c r="L323" t="inlineStr">
        <is>
          <t>shampoo</t>
        </is>
      </c>
      <c r="M323" t="inlineStr">
        <is>
          <t>profesional</t>
        </is>
      </c>
      <c r="N323" t="inlineStr">
        <is>
          <t>general</t>
        </is>
      </c>
      <c r="O323" t="inlineStr">
        <is>
          <t>https://www.jumbo.com.ar/shampoo-elvive-cosmetico-14/p</t>
        </is>
      </c>
    </row>
    <row r="324">
      <c r="A324" s="2" t="inlineStr">
        <is>
          <t>Jumbo</t>
        </is>
      </c>
      <c r="B324" s="2" t="n">
        <v>38425</v>
      </c>
      <c r="C324" s="2" t="n">
        <v>35582</v>
      </c>
      <c r="D324" s="2" t="inlineStr">
        <is>
          <t>Shampoo Siliconado Autopolish</t>
        </is>
      </c>
      <c r="E324" s="2" t="inlineStr">
        <is>
          <t>AUTOPOLISH</t>
        </is>
      </c>
      <c r="F324" s="2" t="n">
        <v>400.69</v>
      </c>
      <c r="G324" s="2" t="n">
        <v>33115</v>
      </c>
      <c r="H324" s="2" t="b">
        <v>0</v>
      </c>
      <c r="I324" s="2" t="inlineStr"/>
      <c r="J324" s="2" t="inlineStr"/>
      <c r="K324" s="2" t="inlineStr">
        <is>
          <t>&gt; Hogar y textil &gt; Automotor &gt; Limpieza &gt;</t>
        </is>
      </c>
      <c r="L324" s="2" t="inlineStr">
        <is>
          <t>shampoo</t>
        </is>
      </c>
      <c r="M324" s="2" t="inlineStr">
        <is>
          <t>estandar</t>
        </is>
      </c>
      <c r="N324" s="2" t="inlineStr">
        <is>
          <t>general</t>
        </is>
      </c>
      <c r="O324" s="2" t="inlineStr">
        <is>
          <t>https://www.jumbo.com.ar/shampoo-siliconado-autopolish/p</t>
        </is>
      </c>
    </row>
    <row r="325">
      <c r="A325" t="inlineStr">
        <is>
          <t>Jumbo</t>
        </is>
      </c>
      <c r="B325" t="n">
        <v>30961</v>
      </c>
      <c r="C325" t="n">
        <v>28120</v>
      </c>
      <c r="D325" t="inlineStr">
        <is>
          <t>Shampoo Johnson Baby Shampoo Para Bebé Johnson's® Cabello Claro X 750 Ml</t>
        </is>
      </c>
      <c r="E325" t="inlineStr">
        <is>
          <t>JOHNSON BABY</t>
        </is>
      </c>
      <c r="F325" t="n">
        <v>492.99</v>
      </c>
      <c r="G325" t="n">
        <v>40743</v>
      </c>
      <c r="H325" t="b">
        <v>0</v>
      </c>
      <c r="I325" t="n">
        <v>750</v>
      </c>
      <c r="J325" t="n">
        <v>0.6573</v>
      </c>
      <c r="K325" t="inlineStr">
        <is>
          <t>&gt; Mundo Bebe &gt; Higiene para el Bebe &gt; Higiene del Bebé &gt;</t>
        </is>
      </c>
      <c r="L325" t="inlineStr">
        <is>
          <t>shampoo</t>
        </is>
      </c>
      <c r="M325" t="inlineStr">
        <is>
          <t>estandar</t>
        </is>
      </c>
      <c r="N325" t="inlineStr">
        <is>
          <t>bebe</t>
        </is>
      </c>
      <c r="O325" t="inlineStr">
        <is>
          <t>https://www.jumbo.com.ar/shampoo-johnson-baby-13-2/p</t>
        </is>
      </c>
    </row>
    <row r="326">
      <c r="A326" s="2" t="inlineStr">
        <is>
          <t>Jumbo</t>
        </is>
      </c>
      <c r="B326" s="2" t="n">
        <v>29696</v>
      </c>
      <c r="C326" s="2" t="n">
        <v>26858</v>
      </c>
      <c r="D326" s="2" t="inlineStr">
        <is>
          <t>Shampoo Johnson Baby Shampoo Para Niños Johnson's® Fragancia Prolongada X 200 Ml</t>
        </is>
      </c>
      <c r="E326" s="2" t="inlineStr">
        <is>
          <t>JOHNSON BABY</t>
        </is>
      </c>
      <c r="F326" s="2" t="n">
        <v>248.89</v>
      </c>
      <c r="G326" s="2" t="n">
        <v>20569</v>
      </c>
      <c r="H326" s="2" t="b">
        <v>0</v>
      </c>
      <c r="I326" s="2" t="n">
        <v>200</v>
      </c>
      <c r="J326" s="2" t="n">
        <v>1.2444</v>
      </c>
      <c r="K326" s="2" t="inlineStr">
        <is>
          <t>&gt; Mundo Bebe &gt; Higiene para el Bebe &gt; Higiene del Bebé &gt;</t>
        </is>
      </c>
      <c r="L326" s="2" t="inlineStr">
        <is>
          <t>shampoo</t>
        </is>
      </c>
      <c r="M326" s="2" t="inlineStr">
        <is>
          <t>estandar</t>
        </is>
      </c>
      <c r="N326" s="2" t="inlineStr">
        <is>
          <t>bebe</t>
        </is>
      </c>
      <c r="O326" s="2" t="inlineStr">
        <is>
          <t>https://www.jumbo.com.ar/shampoo-johnson-baby-12/p</t>
        </is>
      </c>
    </row>
    <row r="327">
      <c r="A327" t="inlineStr">
        <is>
          <t>Jumbo</t>
        </is>
      </c>
      <c r="B327" t="n">
        <v>3092</v>
      </c>
      <c r="C327" t="n">
        <v>247745</v>
      </c>
      <c r="D327" t="inlineStr">
        <is>
          <t>Shampoo Johnson Baby Shampoo Para Bebé Johnson's® Protección Uv X 200 Ml</t>
        </is>
      </c>
      <c r="E327" t="inlineStr">
        <is>
          <t>JOHNSON BABY</t>
        </is>
      </c>
      <c r="F327" t="n">
        <v>213.39</v>
      </c>
      <c r="G327" t="n">
        <v>17636</v>
      </c>
      <c r="H327" t="b">
        <v>0</v>
      </c>
      <c r="I327" t="n">
        <v>200</v>
      </c>
      <c r="J327" t="n">
        <v>1.0669</v>
      </c>
      <c r="K327" t="inlineStr">
        <is>
          <t>&gt; Mundo Bebe &gt; Higiene para el Bebe &gt; Higiene del Bebé &gt;</t>
        </is>
      </c>
      <c r="L327" t="inlineStr">
        <is>
          <t>shampoo</t>
        </is>
      </c>
      <c r="M327" t="inlineStr">
        <is>
          <t>estandar</t>
        </is>
      </c>
      <c r="N327" t="inlineStr">
        <is>
          <t>bebe</t>
        </is>
      </c>
      <c r="O327" t="inlineStr">
        <is>
          <t>https://www.jumbo.com.ar/shampoo-johnson-baby-9/p</t>
        </is>
      </c>
    </row>
    <row r="328">
      <c r="A328" s="2" t="inlineStr">
        <is>
          <t>Jumbo</t>
        </is>
      </c>
      <c r="B328" s="2" t="n">
        <v>297871</v>
      </c>
      <c r="C328" s="2" t="n">
        <v>297101</v>
      </c>
      <c r="D328" s="2" t="inlineStr">
        <is>
          <t>Minions Shampoo 200ml</t>
        </is>
      </c>
      <c r="E328" s="2" t="inlineStr">
        <is>
          <t>ALGABO</t>
        </is>
      </c>
      <c r="F328" s="2" t="n">
        <v>133.52</v>
      </c>
      <c r="G328" s="2" t="n">
        <v>133.52</v>
      </c>
      <c r="H328" s="2" t="b">
        <v>0</v>
      </c>
      <c r="I328" s="2" t="n">
        <v>200</v>
      </c>
      <c r="J328" s="2" t="n">
        <v>0.6676</v>
      </c>
      <c r="K328" s="2" t="inlineStr">
        <is>
          <t>&gt; Mundo Bebe &gt; Higiene para el Bebe &gt; Higiene del Bebé &gt;</t>
        </is>
      </c>
      <c r="L328" s="2" t="inlineStr">
        <is>
          <t>shampoo</t>
        </is>
      </c>
      <c r="M328" s="2" t="inlineStr">
        <is>
          <t>estandar</t>
        </is>
      </c>
      <c r="N328" s="2" t="inlineStr">
        <is>
          <t>general</t>
        </is>
      </c>
      <c r="O328" s="2" t="inlineStr">
        <is>
          <t>https://www.jumbo.com.ar/minions-shampoo-200ml/p</t>
        </is>
      </c>
    </row>
    <row r="329">
      <c r="A329" t="inlineStr">
        <is>
          <t>Jumbo</t>
        </is>
      </c>
      <c r="B329" t="n">
        <v>297863</v>
      </c>
      <c r="C329" t="n">
        <v>297093</v>
      </c>
      <c r="D329" t="inlineStr">
        <is>
          <t>Frozen Shampoo 200ml</t>
        </is>
      </c>
      <c r="E329" t="inlineStr">
        <is>
          <t>ALGABO</t>
        </is>
      </c>
      <c r="F329" t="n">
        <v>129</v>
      </c>
      <c r="G329" t="n">
        <v>129</v>
      </c>
      <c r="H329" t="b">
        <v>0</v>
      </c>
      <c r="I329" t="n">
        <v>200</v>
      </c>
      <c r="J329" t="n">
        <v>0.645</v>
      </c>
      <c r="K329" t="inlineStr">
        <is>
          <t>&gt; Mundo Bebe &gt; Higiene para el Bebe &gt; Higiene del Bebé &gt;</t>
        </is>
      </c>
      <c r="L329" t="inlineStr">
        <is>
          <t>shampoo</t>
        </is>
      </c>
      <c r="M329" t="inlineStr">
        <is>
          <t>estandar</t>
        </is>
      </c>
      <c r="N329" t="inlineStr">
        <is>
          <t>general</t>
        </is>
      </c>
      <c r="O329" t="inlineStr">
        <is>
          <t>https://www.jumbo.com.ar/frozen-shampoo-200ml/p</t>
        </is>
      </c>
    </row>
    <row r="330">
      <c r="A330" s="2" t="inlineStr">
        <is>
          <t>Jumbo</t>
        </is>
      </c>
      <c r="B330" s="2" t="n">
        <v>232064</v>
      </c>
      <c r="C330" s="2" t="n">
        <v>207383</v>
      </c>
      <c r="D330" s="2" t="inlineStr">
        <is>
          <t>Shampoo Plusbelle Familiar</t>
        </is>
      </c>
      <c r="E330" s="2" t="inlineStr">
        <is>
          <t>PLUSBELLE</t>
        </is>
      </c>
      <c r="F330" s="2" t="n">
        <v>5.09</v>
      </c>
      <c r="G330" s="2" t="n">
        <v>5.09</v>
      </c>
      <c r="H330" s="2" t="b">
        <v>0</v>
      </c>
      <c r="I330" s="2" t="inlineStr"/>
      <c r="J330" s="2" t="inlineStr"/>
      <c r="K330" s="2" t="inlineStr">
        <is>
          <t>&gt; Perfumería &gt; Cuidado Capilar &gt; Shampoo &gt;</t>
        </is>
      </c>
      <c r="L330" s="2" t="inlineStr">
        <is>
          <t>shampoo</t>
        </is>
      </c>
      <c r="M330" s="2" t="inlineStr">
        <is>
          <t>estandar</t>
        </is>
      </c>
      <c r="N330" s="2" t="inlineStr">
        <is>
          <t>general</t>
        </is>
      </c>
      <c r="O330" s="2" t="inlineStr">
        <is>
          <t>https://www.jumbo.com.ar/shampoo-plusbelle-familiar-21/p</t>
        </is>
      </c>
    </row>
    <row r="331">
      <c r="A331" t="inlineStr">
        <is>
          <t>Jumbo</t>
        </is>
      </c>
      <c r="B331" t="n">
        <v>134500</v>
      </c>
      <c r="C331" t="n">
        <v>131412</v>
      </c>
      <c r="D331" t="inlineStr">
        <is>
          <t>Shampoo Sedal Sos-+ Acondicionador Sedal X 200 Ml-clima Resist-bli-un.-2</t>
        </is>
      </c>
      <c r="E331" t="inlineStr">
        <is>
          <t>SEDAL SOS</t>
        </is>
      </c>
      <c r="F331" t="n">
        <v>20.99</v>
      </c>
      <c r="G331" t="n">
        <v>1735</v>
      </c>
      <c r="H331" t="b">
        <v>0</v>
      </c>
      <c r="I331" t="n">
        <v>200</v>
      </c>
      <c r="J331" t="n">
        <v>0.1049</v>
      </c>
      <c r="K331" t="inlineStr">
        <is>
          <t>&gt; Perfumería &gt; Cuidado Capilar &gt; Shampoo &gt;</t>
        </is>
      </c>
      <c r="L331" t="inlineStr">
        <is>
          <t>acondicionador</t>
        </is>
      </c>
      <c r="M331" t="inlineStr">
        <is>
          <t>estandar</t>
        </is>
      </c>
      <c r="N331" t="inlineStr">
        <is>
          <t>general</t>
        </is>
      </c>
      <c r="O331" t="inlineStr">
        <is>
          <t>https://www.jumbo.com.ar/shampoo-sedal-sos-12/p</t>
        </is>
      </c>
    </row>
    <row r="332">
      <c r="A332" s="2" t="inlineStr">
        <is>
          <t>Jumbo</t>
        </is>
      </c>
      <c r="B332" s="2" t="n">
        <v>127969</v>
      </c>
      <c r="C332" s="2" t="n">
        <v>110748</v>
      </c>
      <c r="D332" s="2" t="inlineStr">
        <is>
          <t>Shampoo Anticaspa Clear-+ Deo Dove X 175 Ml-brillo-bli-un.-2</t>
        </is>
      </c>
      <c r="E332" s="2" t="inlineStr">
        <is>
          <t>CLEAR</t>
        </is>
      </c>
      <c r="F332" s="2" t="n">
        <v>19.83</v>
      </c>
      <c r="G332" s="2" t="n">
        <v>1639</v>
      </c>
      <c r="H332" s="2" t="b">
        <v>0</v>
      </c>
      <c r="I332" s="2" t="n">
        <v>175</v>
      </c>
      <c r="J332" s="2" t="n">
        <v>0.1133</v>
      </c>
      <c r="K332" s="2" t="inlineStr">
        <is>
          <t>&gt; Perfumería &gt; Cuidado Capilar &gt; Shampoo &gt;</t>
        </is>
      </c>
      <c r="L332" s="2" t="inlineStr">
        <is>
          <t>shampoo</t>
        </is>
      </c>
      <c r="M332" s="2" t="inlineStr">
        <is>
          <t>estandar</t>
        </is>
      </c>
      <c r="N332" s="2" t="inlineStr">
        <is>
          <t>anticaspa</t>
        </is>
      </c>
      <c r="O332" s="2" t="inlineStr">
        <is>
          <t>https://www.jumbo.com.ar/shampoo-anticaspa-clear/p</t>
        </is>
      </c>
    </row>
    <row r="333">
      <c r="A333" t="inlineStr">
        <is>
          <t>Jumbo</t>
        </is>
      </c>
      <c r="B333" t="n">
        <v>127334</v>
      </c>
      <c r="C333" t="n">
        <v>110123</v>
      </c>
      <c r="D333" t="inlineStr">
        <is>
          <t>Shampoo Elvive Cosmetico</t>
        </is>
      </c>
      <c r="E333" t="inlineStr">
        <is>
          <t>ELVIVE</t>
        </is>
      </c>
      <c r="F333" t="n">
        <v>13.57</v>
      </c>
      <c r="G333" t="n">
        <v>13.57</v>
      </c>
      <c r="H333" t="b">
        <v>0</v>
      </c>
      <c r="I333" t="inlineStr"/>
      <c r="J333" t="inlineStr"/>
      <c r="K333" t="inlineStr">
        <is>
          <t>&gt; Perfumería &gt; Cuidado Capilar &gt; Shampoo &gt;</t>
        </is>
      </c>
      <c r="L333" t="inlineStr">
        <is>
          <t>shampoo</t>
        </is>
      </c>
      <c r="M333" t="inlineStr">
        <is>
          <t>profesional</t>
        </is>
      </c>
      <c r="N333" t="inlineStr">
        <is>
          <t>general</t>
        </is>
      </c>
      <c r="O333" t="inlineStr">
        <is>
          <t>https://www.jumbo.com.ar/shampoo-elvive-cosmetico-96/p</t>
        </is>
      </c>
    </row>
    <row r="334">
      <c r="A334" s="2" t="inlineStr">
        <is>
          <t>Jumbo</t>
        </is>
      </c>
      <c r="B334" s="2" t="n">
        <v>116087</v>
      </c>
      <c r="C334" s="2" t="n">
        <v>115131</v>
      </c>
      <c r="D334" s="2" t="inlineStr">
        <is>
          <t>Shampoo Anticaspa Triatop Shampoo Triatop Tratamiento Intensivo X 240 Ml</t>
        </is>
      </c>
      <c r="E334" s="2" t="inlineStr">
        <is>
          <t>TRIATOP</t>
        </is>
      </c>
      <c r="F334" s="2" t="n">
        <v>23.07</v>
      </c>
      <c r="G334" s="2" t="n">
        <v>23.07</v>
      </c>
      <c r="H334" s="2" t="b">
        <v>0</v>
      </c>
      <c r="I334" s="2" t="n">
        <v>240</v>
      </c>
      <c r="J334" s="2" t="n">
        <v>0.0961</v>
      </c>
      <c r="K334" s="2" t="inlineStr">
        <is>
          <t>&gt; Perfumería &gt; Cuidado Capilar &gt; Shampoo &gt;</t>
        </is>
      </c>
      <c r="L334" s="2" t="inlineStr">
        <is>
          <t>tratamiento</t>
        </is>
      </c>
      <c r="M334" s="2" t="inlineStr">
        <is>
          <t>estandar</t>
        </is>
      </c>
      <c r="N334" s="2" t="inlineStr">
        <is>
          <t>anticaspa</t>
        </is>
      </c>
      <c r="O334" s="2" t="inlineStr">
        <is>
          <t>https://www.jumbo.com.ar/shampoo-anticaspa-triatop-2/p</t>
        </is>
      </c>
    </row>
    <row r="335">
      <c r="A335" t="inlineStr">
        <is>
          <t>Jumbo</t>
        </is>
      </c>
      <c r="B335" t="n">
        <v>72606</v>
      </c>
      <c r="C335" t="n">
        <v>69741</v>
      </c>
      <c r="D335" t="inlineStr">
        <is>
          <t>Shampoo Plusbelle Familiar</t>
        </is>
      </c>
      <c r="E335" t="inlineStr">
        <is>
          <t>PLUSBELLE</t>
        </is>
      </c>
      <c r="F335" t="n">
        <v>10.13</v>
      </c>
      <c r="G335" t="n">
        <v>10.13</v>
      </c>
      <c r="H335" t="b">
        <v>0</v>
      </c>
      <c r="I335" t="inlineStr"/>
      <c r="J335" t="inlineStr"/>
      <c r="K335" t="inlineStr">
        <is>
          <t>&gt; Perfumería &gt; Cuidado Capilar &gt; Shampoo &gt;</t>
        </is>
      </c>
      <c r="L335" t="inlineStr">
        <is>
          <t>shampoo</t>
        </is>
      </c>
      <c r="M335" t="inlineStr">
        <is>
          <t>estandar</t>
        </is>
      </c>
      <c r="N335" t="inlineStr">
        <is>
          <t>general</t>
        </is>
      </c>
      <c r="O335" t="inlineStr">
        <is>
          <t>https://www.jumbo.com.ar/shampoo-plusbelle-familiar-7/p</t>
        </is>
      </c>
    </row>
    <row r="336">
      <c r="A336" s="2" t="inlineStr">
        <is>
          <t>Jumbo</t>
        </is>
      </c>
      <c r="B336" s="2" t="n">
        <v>72523</v>
      </c>
      <c r="C336" s="2" t="n">
        <v>69659</v>
      </c>
      <c r="D336" s="2" t="inlineStr">
        <is>
          <t>Shampoo Plusbelle Familiar Extra  Brillo  Pvc 1 Lt</t>
        </is>
      </c>
      <c r="E336" s="2" t="inlineStr">
        <is>
          <t>PLUSBELLE</t>
        </is>
      </c>
      <c r="F336" s="2" t="n">
        <v>11.59</v>
      </c>
      <c r="G336" s="2" t="n">
        <v>11.59</v>
      </c>
      <c r="H336" s="2" t="b">
        <v>0</v>
      </c>
      <c r="I336" s="2" t="inlineStr"/>
      <c r="J336" s="2" t="inlineStr"/>
      <c r="K336" s="2" t="inlineStr">
        <is>
          <t>&gt; Perfumería &gt; Cuidado Capilar &gt; Shampoo &gt;</t>
        </is>
      </c>
      <c r="L336" s="2" t="inlineStr">
        <is>
          <t>shampoo</t>
        </is>
      </c>
      <c r="M336" s="2" t="inlineStr">
        <is>
          <t>estandar</t>
        </is>
      </c>
      <c r="N336" s="2" t="inlineStr">
        <is>
          <t>general</t>
        </is>
      </c>
      <c r="O336" s="2" t="inlineStr">
        <is>
          <t>https://www.jumbo.com.ar/shampoo-plusbelle-familiar-3/p</t>
        </is>
      </c>
    </row>
    <row r="337">
      <c r="A337" t="inlineStr">
        <is>
          <t>Jumbo</t>
        </is>
      </c>
      <c r="B337" t="n">
        <v>69783</v>
      </c>
      <c r="C337" t="n">
        <v>66920</v>
      </c>
      <c r="D337" t="inlineStr">
        <is>
          <t>Shampoo Nenin Familiar</t>
        </is>
      </c>
      <c r="E337" t="inlineStr">
        <is>
          <t>NENNIN NATURESSENCE</t>
        </is>
      </c>
      <c r="F337" t="n">
        <v>5.35</v>
      </c>
      <c r="G337" t="n">
        <v>5.35</v>
      </c>
      <c r="H337" t="b">
        <v>0</v>
      </c>
      <c r="I337" t="inlineStr"/>
      <c r="J337" t="inlineStr"/>
      <c r="K337" t="inlineStr">
        <is>
          <t>&gt; Perfumería &gt; Cuidado Capilar &gt; Shampoo &gt;</t>
        </is>
      </c>
      <c r="L337" t="inlineStr">
        <is>
          <t>shampoo</t>
        </is>
      </c>
      <c r="M337" t="inlineStr">
        <is>
          <t>estandar</t>
        </is>
      </c>
      <c r="N337" t="inlineStr">
        <is>
          <t>general</t>
        </is>
      </c>
      <c r="O337" t="inlineStr">
        <is>
          <t>https://www.jumbo.com.ar/shampoo-nenin-familiar/p</t>
        </is>
      </c>
    </row>
    <row r="338">
      <c r="A338" s="2" t="inlineStr">
        <is>
          <t>Jumbo</t>
        </is>
      </c>
      <c r="B338" s="2" t="n">
        <v>69199</v>
      </c>
      <c r="C338" s="2" t="n">
        <v>66334</v>
      </c>
      <c r="D338" s="2" t="inlineStr">
        <is>
          <t>Shampoo Anticaspa Elvive X 400 Ml</t>
        </is>
      </c>
      <c r="E338" s="2" t="inlineStr">
        <is>
          <t>ELVIVE</t>
        </is>
      </c>
      <c r="F338" s="2" t="n">
        <v>17.2</v>
      </c>
      <c r="G338" s="2" t="n">
        <v>17.2</v>
      </c>
      <c r="H338" s="2" t="b">
        <v>0</v>
      </c>
      <c r="I338" s="2" t="n">
        <v>400</v>
      </c>
      <c r="J338" s="2" t="n">
        <v>0.043</v>
      </c>
      <c r="K338" s="2" t="inlineStr">
        <is>
          <t>&gt; Perfumería &gt; Cuidado Capilar &gt; Shampoo &gt;</t>
        </is>
      </c>
      <c r="L338" s="2" t="inlineStr">
        <is>
          <t>shampoo</t>
        </is>
      </c>
      <c r="M338" s="2" t="inlineStr">
        <is>
          <t>profesional</t>
        </is>
      </c>
      <c r="N338" s="2" t="inlineStr">
        <is>
          <t>anticaspa</t>
        </is>
      </c>
      <c r="O338" s="2" t="inlineStr">
        <is>
          <t>https://www.jumbo.com.ar/shampoo-anticaspa-elvive-3/p</t>
        </is>
      </c>
    </row>
    <row r="339">
      <c r="A339" t="inlineStr">
        <is>
          <t>Jumbo</t>
        </is>
      </c>
      <c r="B339" t="n">
        <v>68903</v>
      </c>
      <c r="C339" t="n">
        <v>66040</v>
      </c>
      <c r="D339" t="inlineStr">
        <is>
          <t>Shampoo Anticaspa Elvive X 400 Ml</t>
        </is>
      </c>
      <c r="E339" t="inlineStr">
        <is>
          <t>ELVIVE</t>
        </is>
      </c>
      <c r="F339" t="n">
        <v>25.49</v>
      </c>
      <c r="G339" t="n">
        <v>2107</v>
      </c>
      <c r="H339" t="b">
        <v>0</v>
      </c>
      <c r="I339" t="n">
        <v>400</v>
      </c>
      <c r="J339" t="n">
        <v>0.06370000000000001</v>
      </c>
      <c r="K339" t="inlineStr">
        <is>
          <t>&gt; Perfumería &gt; Cuidado Capilar &gt; Shampoo &gt;</t>
        </is>
      </c>
      <c r="L339" t="inlineStr">
        <is>
          <t>shampoo</t>
        </is>
      </c>
      <c r="M339" t="inlineStr">
        <is>
          <t>profesional</t>
        </is>
      </c>
      <c r="N339" t="inlineStr">
        <is>
          <t>anticaspa</t>
        </is>
      </c>
      <c r="O339" t="inlineStr">
        <is>
          <t>https://www.jumbo.com.ar/shampoo-anticaspa-elvive/p</t>
        </is>
      </c>
    </row>
    <row r="340">
      <c r="A340" s="2" t="inlineStr">
        <is>
          <t>Jumbo</t>
        </is>
      </c>
      <c r="B340" s="2" t="n">
        <v>67981</v>
      </c>
      <c r="C340" s="2" t="n">
        <v>65119</v>
      </c>
      <c r="D340" s="2" t="inlineStr">
        <is>
          <t>Shampoo Elvive Cosmetico Shampoo Elvive Hydra Curl X 400 Ml</t>
        </is>
      </c>
      <c r="E340" s="2" t="inlineStr">
        <is>
          <t>ELVIVE</t>
        </is>
      </c>
      <c r="F340" s="2" t="n">
        <v>91.65000000000001</v>
      </c>
      <c r="G340" s="2" t="n">
        <v>7574</v>
      </c>
      <c r="H340" s="2" t="b">
        <v>0</v>
      </c>
      <c r="I340" s="2" t="n">
        <v>400</v>
      </c>
      <c r="J340" s="2" t="n">
        <v>0.2291</v>
      </c>
      <c r="K340" s="2" t="inlineStr">
        <is>
          <t>&gt; Perfumería &gt; Cuidado Capilar &gt; Shampoo &gt;</t>
        </is>
      </c>
      <c r="L340" s="2" t="inlineStr">
        <is>
          <t>shampoo</t>
        </is>
      </c>
      <c r="M340" s="2" t="inlineStr">
        <is>
          <t>profesional</t>
        </is>
      </c>
      <c r="N340" s="2" t="inlineStr">
        <is>
          <t>rizado</t>
        </is>
      </c>
      <c r="O340" s="2" t="inlineStr">
        <is>
          <t>https://www.jumbo.com.ar/shampoo-elvive-cosmetico-11-2/p</t>
        </is>
      </c>
    </row>
    <row r="341">
      <c r="A341" t="inlineStr">
        <is>
          <t>Jumbo</t>
        </is>
      </c>
      <c r="B341" t="n">
        <v>67949</v>
      </c>
      <c r="C341" t="n">
        <v>65087</v>
      </c>
      <c r="D341" t="inlineStr">
        <is>
          <t>Shampoo Elvive Cosmetico Shampoo Elvive Liss Intense X 400 Ml</t>
        </is>
      </c>
      <c r="E341" t="inlineStr">
        <is>
          <t>ELVIVE</t>
        </is>
      </c>
      <c r="F341" t="n">
        <v>91.65000000000001</v>
      </c>
      <c r="G341" t="n">
        <v>7574</v>
      </c>
      <c r="H341" t="b">
        <v>0</v>
      </c>
      <c r="I341" t="n">
        <v>400</v>
      </c>
      <c r="J341" t="n">
        <v>0.2291</v>
      </c>
      <c r="K341" t="inlineStr">
        <is>
          <t>&gt; Perfumería &gt; Cuidado Capilar &gt; Shampoo &gt;</t>
        </is>
      </c>
      <c r="L341" t="inlineStr">
        <is>
          <t>shampoo</t>
        </is>
      </c>
      <c r="M341" t="inlineStr">
        <is>
          <t>profesional</t>
        </is>
      </c>
      <c r="N341" t="inlineStr">
        <is>
          <t>general</t>
        </is>
      </c>
      <c r="O341" t="inlineStr">
        <is>
          <t>https://www.jumbo.com.ar/shampoo-elvive-cosmetico-9/p</t>
        </is>
      </c>
    </row>
    <row r="342">
      <c r="A342" s="2" t="inlineStr">
        <is>
          <t>Jumbo</t>
        </is>
      </c>
      <c r="B342" s="2" t="n">
        <v>52076</v>
      </c>
      <c r="C342" s="2" t="n">
        <v>49242</v>
      </c>
      <c r="D342" s="2" t="inlineStr">
        <is>
          <t>Shampoo Suave Kids</t>
        </is>
      </c>
      <c r="E342" s="2" t="inlineStr">
        <is>
          <t>SUAVE</t>
        </is>
      </c>
      <c r="F342" s="2" t="n">
        <v>682.5700000000001</v>
      </c>
      <c r="G342" s="2" t="n">
        <v>56411</v>
      </c>
      <c r="H342" s="2" t="b">
        <v>0</v>
      </c>
      <c r="I342" s="2" t="inlineStr"/>
      <c r="J342" s="2" t="inlineStr"/>
      <c r="K342" s="2" t="inlineStr">
        <is>
          <t>&gt; Mundo Bebe &gt; Higiene para el Bebe &gt; Higiene del Bebé &gt;</t>
        </is>
      </c>
      <c r="L342" s="2" t="inlineStr">
        <is>
          <t>shampoo</t>
        </is>
      </c>
      <c r="M342" s="2" t="inlineStr">
        <is>
          <t>estandar</t>
        </is>
      </c>
      <c r="N342" s="2" t="inlineStr">
        <is>
          <t>bebe</t>
        </is>
      </c>
      <c r="O342" s="2" t="inlineStr">
        <is>
          <t>https://www.jumbo.com.ar/shampoo-suave-kids-2/p</t>
        </is>
      </c>
    </row>
    <row r="343">
      <c r="A343" t="inlineStr">
        <is>
          <t>Jumbo</t>
        </is>
      </c>
      <c r="B343" t="n">
        <v>42166</v>
      </c>
      <c r="C343" t="n">
        <v>39336</v>
      </c>
      <c r="D343" t="inlineStr">
        <is>
          <t>Shampoo Herbal Essences Delirio De Control 300 Ml</t>
        </is>
      </c>
      <c r="E343" t="inlineStr">
        <is>
          <t>HERBAL ESSENCES</t>
        </is>
      </c>
      <c r="F343" t="n">
        <v>157.69</v>
      </c>
      <c r="G343" t="n">
        <v>13032</v>
      </c>
      <c r="H343" t="b">
        <v>0</v>
      </c>
      <c r="I343" t="n">
        <v>300</v>
      </c>
      <c r="J343" t="n">
        <v>0.5256</v>
      </c>
      <c r="K343" t="inlineStr">
        <is>
          <t>&gt; Perfumería &gt; Cuidado Capilar &gt; Shampoo &gt;</t>
        </is>
      </c>
      <c r="L343" t="inlineStr">
        <is>
          <t>shampoo</t>
        </is>
      </c>
      <c r="M343" t="inlineStr">
        <is>
          <t>estandar</t>
        </is>
      </c>
      <c r="N343" t="inlineStr">
        <is>
          <t>general</t>
        </is>
      </c>
      <c r="O343" t="inlineStr">
        <is>
          <t>https://www.jumbo.com.ar/shampoo-herbal-essences-2/p</t>
        </is>
      </c>
    </row>
    <row r="344">
      <c r="A344" s="2" t="inlineStr">
        <is>
          <t>Jumbo</t>
        </is>
      </c>
      <c r="B344" s="2" t="n">
        <v>30954</v>
      </c>
      <c r="C344" s="2" t="n">
        <v>28113</v>
      </c>
      <c r="D344" s="2" t="inlineStr">
        <is>
          <t>Shampoo Johnson Baby Shampoo Para Bebé Johnson's® Cabello Claro X 400 Ml</t>
        </is>
      </c>
      <c r="E344" s="2" t="inlineStr">
        <is>
          <t>JOHNSON BABY</t>
        </is>
      </c>
      <c r="F344" s="2" t="n">
        <v>274.97</v>
      </c>
      <c r="G344" s="2" t="n">
        <v>22725</v>
      </c>
      <c r="H344" s="2" t="b">
        <v>0</v>
      </c>
      <c r="I344" s="2" t="n">
        <v>400</v>
      </c>
      <c r="J344" s="2" t="n">
        <v>0.6874</v>
      </c>
      <c r="K344" s="2" t="inlineStr">
        <is>
          <t>&gt; Mundo Bebe &gt; Higiene para el Bebe &gt; Higiene del Bebé &gt;</t>
        </is>
      </c>
      <c r="L344" s="2" t="inlineStr">
        <is>
          <t>shampoo</t>
        </is>
      </c>
      <c r="M344" s="2" t="inlineStr">
        <is>
          <t>estandar</t>
        </is>
      </c>
      <c r="N344" s="2" t="inlineStr">
        <is>
          <t>bebe</t>
        </is>
      </c>
      <c r="O344" s="2" t="inlineStr">
        <is>
          <t>https://www.jumbo.com.ar/shampoo-johnson-baby-13/p</t>
        </is>
      </c>
    </row>
    <row r="345">
      <c r="A345" t="inlineStr">
        <is>
          <t>Jumbo</t>
        </is>
      </c>
      <c r="B345" t="n">
        <v>157946</v>
      </c>
      <c r="C345" t="n">
        <v>155505</v>
      </c>
      <c r="D345" t="inlineStr">
        <is>
          <t>Shampoo Johnson Baby Manzanilla Shampoo 400ml+acond 200ml Pck 2 Un.</t>
        </is>
      </c>
      <c r="E345" t="inlineStr">
        <is>
          <t>JOHNSON BABY</t>
        </is>
      </c>
      <c r="F345" t="n">
        <v>17.69</v>
      </c>
      <c r="G345" t="n">
        <v>17.69</v>
      </c>
      <c r="H345" t="b">
        <v>0</v>
      </c>
      <c r="I345" t="n">
        <v>400</v>
      </c>
      <c r="J345" t="n">
        <v>0.0442</v>
      </c>
      <c r="K345" t="inlineStr">
        <is>
          <t>&gt; Mundo Bebe &gt; Higiene para el Bebe &gt; Higiene del Bebé &gt;</t>
        </is>
      </c>
      <c r="L345" t="inlineStr">
        <is>
          <t>shampoo</t>
        </is>
      </c>
      <c r="M345" t="inlineStr">
        <is>
          <t>estandar</t>
        </is>
      </c>
      <c r="N345" t="inlineStr">
        <is>
          <t>general</t>
        </is>
      </c>
      <c r="O345" t="inlineStr">
        <is>
          <t>https://www.jumbo.com.ar/shampoo-johnson-baby-manzanilla-shampoo-400ml-acond-200ml-pck-2-un/p</t>
        </is>
      </c>
    </row>
    <row r="346">
      <c r="A346" s="2" t="inlineStr">
        <is>
          <t>Jumbo</t>
        </is>
      </c>
      <c r="B346" s="2" t="n">
        <v>1369603</v>
      </c>
      <c r="C346" s="2" t="n">
        <v>1367902</v>
      </c>
      <c r="D346" s="2" t="inlineStr">
        <is>
          <t>Shampoo Tio Nachito 400ml</t>
        </is>
      </c>
      <c r="E346" s="2" t="inlineStr">
        <is>
          <t>TIO NACHITO</t>
        </is>
      </c>
      <c r="F346" s="2" t="n">
        <v>10500</v>
      </c>
      <c r="G346" s="2" t="n">
        <v>867769</v>
      </c>
      <c r="H346" s="2" t="b">
        <v>0</v>
      </c>
      <c r="I346" s="2" t="n">
        <v>400</v>
      </c>
      <c r="J346" s="2" t="n">
        <v>26.25</v>
      </c>
      <c r="K346" s="2" t="inlineStr">
        <is>
          <t>&gt; Perfumería &gt; Cuidado Capilar &gt; Shampoo &gt;</t>
        </is>
      </c>
      <c r="L346" s="2" t="inlineStr">
        <is>
          <t>shampoo</t>
        </is>
      </c>
      <c r="M346" s="2" t="inlineStr">
        <is>
          <t>estandar</t>
        </is>
      </c>
      <c r="N346" s="2" t="inlineStr">
        <is>
          <t>general</t>
        </is>
      </c>
      <c r="O346" s="2" t="inlineStr">
        <is>
          <t>https://www.jumbo.com.ar/shampoo-tio-nachito-400ml/p</t>
        </is>
      </c>
    </row>
    <row r="347">
      <c r="A347" t="inlineStr">
        <is>
          <t>Jumbo</t>
        </is>
      </c>
      <c r="B347" t="n">
        <v>394684</v>
      </c>
      <c r="C347" t="n">
        <v>392683</v>
      </c>
      <c r="D347" t="inlineStr">
        <is>
          <t>Shampoo Ogx Biotin 385ml</t>
        </is>
      </c>
      <c r="E347" t="inlineStr">
        <is>
          <t>OGX</t>
        </is>
      </c>
      <c r="F347" t="n">
        <v>9896.09</v>
      </c>
      <c r="G347" t="n">
        <v>817859</v>
      </c>
      <c r="H347" t="b">
        <v>0</v>
      </c>
      <c r="I347" t="n">
        <v>385</v>
      </c>
      <c r="J347" t="n">
        <v>25.7041</v>
      </c>
      <c r="K347" t="inlineStr">
        <is>
          <t>&gt; Perfumería &gt; Cuidado Capilar &gt; Shampoo &gt;</t>
        </is>
      </c>
      <c r="L347" t="inlineStr">
        <is>
          <t>shampoo</t>
        </is>
      </c>
      <c r="M347" t="inlineStr">
        <is>
          <t>estandar</t>
        </is>
      </c>
      <c r="N347" t="inlineStr">
        <is>
          <t>general</t>
        </is>
      </c>
      <c r="O347" t="inlineStr">
        <is>
          <t>https://www.jumbo.com.ar/shampoo-ogx-biotin-385ml/p</t>
        </is>
      </c>
    </row>
    <row r="348">
      <c r="A348" s="2" t="inlineStr">
        <is>
          <t>Jumbo</t>
        </is>
      </c>
      <c r="B348" s="2" t="n">
        <v>375609</v>
      </c>
      <c r="C348" s="2" t="n">
        <v>374327</v>
      </c>
      <c r="D348" s="2" t="inlineStr">
        <is>
          <t>Shampoo Suave Antifrizz 930ml</t>
        </is>
      </c>
      <c r="E348" s="2" t="inlineStr">
        <is>
          <t>SUAVE</t>
        </is>
      </c>
      <c r="F348" s="2" t="n">
        <v>659.55</v>
      </c>
      <c r="G348" s="2" t="n">
        <v>54508</v>
      </c>
      <c r="H348" s="2" t="b">
        <v>0</v>
      </c>
      <c r="I348" s="2" t="n">
        <v>930</v>
      </c>
      <c r="J348" s="2" t="n">
        <v>0.7092000000000001</v>
      </c>
      <c r="K348" s="2" t="inlineStr">
        <is>
          <t>&gt; Perfumería &gt; Cuidado Capilar &gt; Shampoo &gt;</t>
        </is>
      </c>
      <c r="L348" s="2" t="inlineStr">
        <is>
          <t>shampoo</t>
        </is>
      </c>
      <c r="M348" s="2" t="inlineStr">
        <is>
          <t>estandar</t>
        </is>
      </c>
      <c r="N348" s="2" t="inlineStr">
        <is>
          <t>bebe</t>
        </is>
      </c>
      <c r="O348" s="2" t="inlineStr">
        <is>
          <t>https://www.jumbo.com.ar/shampoo-suave-antifrizz-930ml/p</t>
        </is>
      </c>
    </row>
    <row r="349">
      <c r="A349" t="inlineStr">
        <is>
          <t>Jumbo</t>
        </is>
      </c>
      <c r="B349" t="n">
        <v>375600</v>
      </c>
      <c r="C349" t="n">
        <v>374318</v>
      </c>
      <c r="D349" t="inlineStr">
        <is>
          <t>Shampoo Suave Manzana 930ml</t>
        </is>
      </c>
      <c r="E349" t="inlineStr">
        <is>
          <t>SUAVE</t>
        </is>
      </c>
      <c r="F349" t="n">
        <v>2181.29</v>
      </c>
      <c r="G349" t="n">
        <v>180272</v>
      </c>
      <c r="H349" t="b">
        <v>0</v>
      </c>
      <c r="I349" t="n">
        <v>930</v>
      </c>
      <c r="J349" t="n">
        <v>2.3455</v>
      </c>
      <c r="K349" t="inlineStr">
        <is>
          <t>&gt; Perfumería &gt; Cuidado Capilar &gt; Shampoo &gt;</t>
        </is>
      </c>
      <c r="L349" t="inlineStr">
        <is>
          <t>shampoo</t>
        </is>
      </c>
      <c r="M349" t="inlineStr">
        <is>
          <t>estandar</t>
        </is>
      </c>
      <c r="N349" t="inlineStr">
        <is>
          <t>bebe</t>
        </is>
      </c>
      <c r="O349" t="inlineStr">
        <is>
          <t>https://www.jumbo.com.ar/shampoo-suave-manzana-930ml/p</t>
        </is>
      </c>
    </row>
    <row r="350">
      <c r="A350" s="2" t="inlineStr">
        <is>
          <t>Jumbo</t>
        </is>
      </c>
      <c r="B350" s="2" t="n">
        <v>375599</v>
      </c>
      <c r="C350" s="2" t="n">
        <v>374317</v>
      </c>
      <c r="D350" s="2" t="inlineStr">
        <is>
          <t>Shampoo Suave Rubios 930ml</t>
        </is>
      </c>
      <c r="E350" s="2" t="inlineStr">
        <is>
          <t>SUAVE</t>
        </is>
      </c>
      <c r="F350" s="2" t="n">
        <v>569.6900000000001</v>
      </c>
      <c r="G350" s="2" t="n">
        <v>47082</v>
      </c>
      <c r="H350" s="2" t="b">
        <v>0</v>
      </c>
      <c r="I350" s="2" t="n">
        <v>930</v>
      </c>
      <c r="J350" s="2" t="n">
        <v>0.6126</v>
      </c>
      <c r="K350" s="2" t="inlineStr">
        <is>
          <t>&gt; Perfumería &gt; Cuidado Capilar &gt; Shampoo &gt;</t>
        </is>
      </c>
      <c r="L350" s="2" t="inlineStr">
        <is>
          <t>shampoo</t>
        </is>
      </c>
      <c r="M350" s="2" t="inlineStr">
        <is>
          <t>estandar</t>
        </is>
      </c>
      <c r="N350" s="2" t="inlineStr">
        <is>
          <t>bebe</t>
        </is>
      </c>
      <c r="O350" s="2" t="inlineStr">
        <is>
          <t>https://www.jumbo.com.ar/shampoo-suave-rubios-930ml/p</t>
        </is>
      </c>
    </row>
    <row r="351">
      <c r="A351" t="inlineStr">
        <is>
          <t>Jumbo</t>
        </is>
      </c>
      <c r="B351" t="n">
        <v>337423</v>
      </c>
      <c r="C351" t="n">
        <v>336526</v>
      </c>
      <c r="D351" t="inlineStr">
        <is>
          <t>Shampoo Dove Reconstruccion 400ml</t>
        </is>
      </c>
      <c r="E351" t="inlineStr">
        <is>
          <t>DOVE</t>
        </is>
      </c>
      <c r="F351" t="n">
        <v>603.09</v>
      </c>
      <c r="G351" t="n">
        <v>49842</v>
      </c>
      <c r="H351" t="b">
        <v>0</v>
      </c>
      <c r="I351" t="n">
        <v>400</v>
      </c>
      <c r="J351" t="n">
        <v>1.5077</v>
      </c>
      <c r="K351" t="inlineStr">
        <is>
          <t>&gt; Perfumería &gt; Cuidado Capilar &gt; Shampoo &gt;</t>
        </is>
      </c>
      <c r="L351" t="inlineStr">
        <is>
          <t>shampoo</t>
        </is>
      </c>
      <c r="M351" t="inlineStr">
        <is>
          <t>estandar</t>
        </is>
      </c>
      <c r="N351" t="inlineStr">
        <is>
          <t>general</t>
        </is>
      </c>
      <c r="O351" t="inlineStr">
        <is>
          <t>https://www.jumbo.com.ar/shampoo-dove-reconstruccion-400ml-2/p</t>
        </is>
      </c>
    </row>
    <row r="352">
      <c r="A352" s="2" t="inlineStr">
        <is>
          <t>Jumbo</t>
        </is>
      </c>
      <c r="B352" s="2" t="n">
        <v>336045</v>
      </c>
      <c r="C352" s="2" t="n">
        <v>335154</v>
      </c>
      <c r="D352" s="2" t="inlineStr">
        <is>
          <t>Shampoo Sedal Coco 650ml</t>
        </is>
      </c>
      <c r="E352" s="2" t="inlineStr">
        <is>
          <t>SEDAL</t>
        </is>
      </c>
      <c r="F352" s="2" t="n">
        <v>457.87</v>
      </c>
      <c r="G352" s="2" t="n">
        <v>37841</v>
      </c>
      <c r="H352" s="2" t="b">
        <v>0</v>
      </c>
      <c r="I352" s="2" t="n">
        <v>650</v>
      </c>
      <c r="J352" s="2" t="n">
        <v>0.7044</v>
      </c>
      <c r="K352" s="2" t="inlineStr">
        <is>
          <t>&gt; Perfumería &gt; Cuidado Capilar &gt; Shampoo &gt;</t>
        </is>
      </c>
      <c r="L352" s="2" t="inlineStr">
        <is>
          <t>shampoo</t>
        </is>
      </c>
      <c r="M352" s="2" t="inlineStr">
        <is>
          <t>estandar</t>
        </is>
      </c>
      <c r="N352" s="2" t="inlineStr">
        <is>
          <t>general</t>
        </is>
      </c>
      <c r="O352" s="2" t="inlineStr">
        <is>
          <t>https://www.jumbo.com.ar/shampoo-sedal-coco-650ml/p</t>
        </is>
      </c>
    </row>
    <row r="353">
      <c r="A353" t="inlineStr">
        <is>
          <t>Jumbo</t>
        </is>
      </c>
      <c r="B353" t="n">
        <v>332168</v>
      </c>
      <c r="C353" t="n">
        <v>331326</v>
      </c>
      <c r="D353" t="inlineStr">
        <is>
          <t>Shampoo Plusbelle Detox 1lt</t>
        </is>
      </c>
      <c r="E353" t="inlineStr">
        <is>
          <t>PLUSBELLE</t>
        </is>
      </c>
      <c r="F353" t="n">
        <v>454.55</v>
      </c>
      <c r="G353" t="n">
        <v>37566</v>
      </c>
      <c r="H353" t="b">
        <v>0</v>
      </c>
      <c r="I353" t="inlineStr"/>
      <c r="J353" t="inlineStr"/>
      <c r="K353" t="inlineStr">
        <is>
          <t>&gt; Perfumería &gt; Cuidado Capilar &gt; Shampoo &gt;</t>
        </is>
      </c>
      <c r="L353" t="inlineStr">
        <is>
          <t>shampoo</t>
        </is>
      </c>
      <c r="M353" t="inlineStr">
        <is>
          <t>estandar</t>
        </is>
      </c>
      <c r="N353" t="inlineStr">
        <is>
          <t>general</t>
        </is>
      </c>
      <c r="O353" t="inlineStr">
        <is>
          <t>https://www.jumbo.com.ar/shampoo-plusbelle-detox-1lt/p</t>
        </is>
      </c>
    </row>
    <row r="354">
      <c r="A354" s="2" t="inlineStr">
        <is>
          <t>Jumbo</t>
        </is>
      </c>
      <c r="B354" s="2" t="n">
        <v>332166</v>
      </c>
      <c r="C354" s="2" t="n">
        <v>331324</v>
      </c>
      <c r="D354" s="2" t="inlineStr">
        <is>
          <t>Shampoo Plusbelle Balance 1lt</t>
        </is>
      </c>
      <c r="E354" s="2" t="inlineStr">
        <is>
          <t>PLUSBELLE</t>
        </is>
      </c>
      <c r="F354" s="2" t="n">
        <v>454.55</v>
      </c>
      <c r="G354" s="2" t="n">
        <v>37566</v>
      </c>
      <c r="H354" s="2" t="b">
        <v>0</v>
      </c>
      <c r="I354" s="2" t="inlineStr"/>
      <c r="J354" s="2" t="inlineStr"/>
      <c r="K354" s="2" t="inlineStr">
        <is>
          <t>&gt; Perfumería &gt; Cuidado Capilar &gt; Shampoo &gt;</t>
        </is>
      </c>
      <c r="L354" s="2" t="inlineStr">
        <is>
          <t>shampoo</t>
        </is>
      </c>
      <c r="M354" s="2" t="inlineStr">
        <is>
          <t>estandar</t>
        </is>
      </c>
      <c r="N354" s="2" t="inlineStr">
        <is>
          <t>general</t>
        </is>
      </c>
      <c r="O354" s="2" t="inlineStr">
        <is>
          <t>https://www.jumbo.com.ar/shampoo-plusbelle-balance-1lt/p</t>
        </is>
      </c>
    </row>
    <row r="355">
      <c r="A355" t="inlineStr">
        <is>
          <t>Jumbo</t>
        </is>
      </c>
      <c r="B355" t="n">
        <v>332159</v>
      </c>
      <c r="C355" t="n">
        <v>331317</v>
      </c>
      <c r="D355" t="inlineStr">
        <is>
          <t>Shampoo Plusbelle Restructuracion 970ml</t>
        </is>
      </c>
      <c r="E355" t="inlineStr">
        <is>
          <t>PLUSBELLE</t>
        </is>
      </c>
      <c r="F355" t="n">
        <v>545.45</v>
      </c>
      <c r="G355" t="n">
        <v>45079</v>
      </c>
      <c r="H355" t="b">
        <v>0</v>
      </c>
      <c r="I355" t="n">
        <v>970</v>
      </c>
      <c r="J355" t="n">
        <v>0.5623</v>
      </c>
      <c r="K355" t="inlineStr">
        <is>
          <t>&gt; Perfumería &gt; Cuidado Capilar &gt; Shampoo &gt;</t>
        </is>
      </c>
      <c r="L355" t="inlineStr">
        <is>
          <t>shampoo</t>
        </is>
      </c>
      <c r="M355" t="inlineStr">
        <is>
          <t>estandar</t>
        </is>
      </c>
      <c r="N355" t="inlineStr">
        <is>
          <t>general</t>
        </is>
      </c>
      <c r="O355" t="inlineStr">
        <is>
          <t>https://www.jumbo.com.ar/shampoo-plusbelle-restructuracion-970ml/p</t>
        </is>
      </c>
    </row>
    <row r="356">
      <c r="A356" s="2" t="inlineStr">
        <is>
          <t>Jumbo</t>
        </is>
      </c>
      <c r="B356" s="2" t="n">
        <v>331677</v>
      </c>
      <c r="C356" s="2" t="n">
        <v>330835</v>
      </c>
      <c r="D356" s="2" t="inlineStr">
        <is>
          <t>Shampoo Plusbelle Antioxidante 1lt</t>
        </is>
      </c>
      <c r="E356" s="2" t="inlineStr">
        <is>
          <t>PLUSBELLE</t>
        </is>
      </c>
      <c r="F356" s="2" t="n">
        <v>454.55</v>
      </c>
      <c r="G356" s="2" t="n">
        <v>37566</v>
      </c>
      <c r="H356" s="2" t="b">
        <v>0</v>
      </c>
      <c r="I356" s="2" t="inlineStr"/>
      <c r="J356" s="2" t="inlineStr"/>
      <c r="K356" s="2" t="inlineStr">
        <is>
          <t>&gt; Perfumería &gt; Cuidado Capilar &gt; Shampoo &gt;</t>
        </is>
      </c>
      <c r="L356" s="2" t="inlineStr">
        <is>
          <t>shampoo</t>
        </is>
      </c>
      <c r="M356" s="2" t="inlineStr">
        <is>
          <t>estandar</t>
        </is>
      </c>
      <c r="N356" s="2" t="inlineStr">
        <is>
          <t>general</t>
        </is>
      </c>
      <c r="O356" s="2" t="inlineStr">
        <is>
          <t>https://www.jumbo.com.ar/shampoo-plusbelle-antioxidante-1lt/p</t>
        </is>
      </c>
    </row>
    <row r="357">
      <c r="A357" t="inlineStr">
        <is>
          <t>Jumbo</t>
        </is>
      </c>
      <c r="B357" t="n">
        <v>317286</v>
      </c>
      <c r="C357" t="n">
        <v>316532</v>
      </c>
      <c r="D357" t="inlineStr">
        <is>
          <t>Shampoo Sedal Carbon 190ml</t>
        </is>
      </c>
      <c r="E357" t="inlineStr">
        <is>
          <t>SEDAL</t>
        </is>
      </c>
      <c r="F357" t="n">
        <v>219.53</v>
      </c>
      <c r="G357" t="n">
        <v>18143</v>
      </c>
      <c r="H357" t="b">
        <v>0</v>
      </c>
      <c r="I357" t="n">
        <v>190</v>
      </c>
      <c r="J357" t="n">
        <v>1.1554</v>
      </c>
      <c r="K357" t="inlineStr">
        <is>
          <t>&gt; Perfumería &gt; Cuidado Capilar &gt; Shampoo &gt;</t>
        </is>
      </c>
      <c r="L357" t="inlineStr">
        <is>
          <t>shampoo</t>
        </is>
      </c>
      <c r="M357" t="inlineStr">
        <is>
          <t>estandar</t>
        </is>
      </c>
      <c r="N357" t="inlineStr">
        <is>
          <t>general</t>
        </is>
      </c>
      <c r="O357" t="inlineStr">
        <is>
          <t>https://www.jumbo.com.ar/shampoo-sedal-carbon-190ml/p</t>
        </is>
      </c>
    </row>
    <row r="358">
      <c r="A358" s="2" t="inlineStr">
        <is>
          <t>Jumbo</t>
        </is>
      </c>
      <c r="B358" s="2" t="n">
        <v>317280</v>
      </c>
      <c r="C358" s="2" t="n">
        <v>316526</v>
      </c>
      <c r="D358" s="2" t="inlineStr">
        <is>
          <t>Shampoo Sedal Carbon 340ml</t>
        </is>
      </c>
      <c r="E358" s="2" t="inlineStr">
        <is>
          <t>SEDAL</t>
        </is>
      </c>
      <c r="F358" s="2" t="n">
        <v>286.27</v>
      </c>
      <c r="G358" s="2" t="n">
        <v>23659</v>
      </c>
      <c r="H358" s="2" t="b">
        <v>0</v>
      </c>
      <c r="I358" s="2" t="n">
        <v>340</v>
      </c>
      <c r="J358" s="2" t="n">
        <v>0.842</v>
      </c>
      <c r="K358" s="2" t="inlineStr">
        <is>
          <t>&gt; Perfumería &gt; Cuidado Capilar &gt; Shampoo &gt;</t>
        </is>
      </c>
      <c r="L358" s="2" t="inlineStr">
        <is>
          <t>shampoo</t>
        </is>
      </c>
      <c r="M358" s="2" t="inlineStr">
        <is>
          <t>estandar</t>
        </is>
      </c>
      <c r="N358" s="2" t="inlineStr">
        <is>
          <t>general</t>
        </is>
      </c>
      <c r="O358" s="2" t="inlineStr">
        <is>
          <t>https://www.jumbo.com.ar/shampoo-sedal-carbon-340ml/p</t>
        </is>
      </c>
    </row>
    <row r="359">
      <c r="A359" t="inlineStr">
        <is>
          <t>Jumbo</t>
        </is>
      </c>
      <c r="B359" t="n">
        <v>312934</v>
      </c>
      <c r="C359" t="n">
        <v>312172</v>
      </c>
      <c r="D359" t="inlineStr">
        <is>
          <t>Shampoo Biferdil Keratina 400ml</t>
        </is>
      </c>
      <c r="E359" t="inlineStr">
        <is>
          <t>BIFERDIL</t>
        </is>
      </c>
      <c r="F359" t="n">
        <v>10413.85</v>
      </c>
      <c r="G359" t="n">
        <v>860649</v>
      </c>
      <c r="H359" t="b">
        <v>0</v>
      </c>
      <c r="I359" t="n">
        <v>400</v>
      </c>
      <c r="J359" t="n">
        <v>26.0346</v>
      </c>
      <c r="K359" t="inlineStr">
        <is>
          <t>&gt; Perfumería &gt; Cuidado Capilar &gt; Shampoo &gt;</t>
        </is>
      </c>
      <c r="L359" t="inlineStr">
        <is>
          <t>shampoo</t>
        </is>
      </c>
      <c r="M359" t="inlineStr">
        <is>
          <t>estandar</t>
        </is>
      </c>
      <c r="N359" t="inlineStr">
        <is>
          <t>tratado</t>
        </is>
      </c>
      <c r="O359" t="inlineStr">
        <is>
          <t>https://www.jumbo.com.ar/shampoo-biferdil-keratina-400ml/p</t>
        </is>
      </c>
    </row>
    <row r="360">
      <c r="A360" s="2" t="inlineStr">
        <is>
          <t>Jumbo</t>
        </is>
      </c>
      <c r="B360" s="2" t="n">
        <v>311249</v>
      </c>
      <c r="C360" s="2" t="n">
        <v>310484</v>
      </c>
      <c r="D360" s="2" t="inlineStr">
        <is>
          <t>Shampoo Docilidad 1 L</t>
        </is>
      </c>
      <c r="E360" s="2" t="inlineStr">
        <is>
          <t>PLUSBELLE</t>
        </is>
      </c>
      <c r="F360" s="2" t="n">
        <v>213.19</v>
      </c>
      <c r="G360" s="2" t="n">
        <v>17619</v>
      </c>
      <c r="H360" s="2" t="b">
        <v>0</v>
      </c>
      <c r="I360" s="2" t="n">
        <v>1000</v>
      </c>
      <c r="J360" s="2" t="n">
        <v>0.2132</v>
      </c>
      <c r="K360" s="2" t="inlineStr">
        <is>
          <t>&gt; Perfumería &gt; Cuidado Capilar &gt; Shampoo &gt;</t>
        </is>
      </c>
      <c r="L360" s="2" t="inlineStr">
        <is>
          <t>shampoo</t>
        </is>
      </c>
      <c r="M360" s="2" t="inlineStr">
        <is>
          <t>estandar</t>
        </is>
      </c>
      <c r="N360" s="2" t="inlineStr">
        <is>
          <t>general</t>
        </is>
      </c>
      <c r="O360" s="2" t="inlineStr">
        <is>
          <t>https://www.jumbo.com.ar/shampoo-docilidad-1-l/p</t>
        </is>
      </c>
    </row>
    <row r="361">
      <c r="A361" t="inlineStr">
        <is>
          <t>Jumbo</t>
        </is>
      </c>
      <c r="B361" t="n">
        <v>307900</v>
      </c>
      <c r="C361" t="n">
        <v>307138</v>
      </c>
      <c r="D361" t="inlineStr">
        <is>
          <t>Shampoo Polyana Nutricion 300ml</t>
        </is>
      </c>
      <c r="E361" t="inlineStr">
        <is>
          <t>POLYANA</t>
        </is>
      </c>
      <c r="F361" t="n">
        <v>300</v>
      </c>
      <c r="G361" t="n">
        <v>24793</v>
      </c>
      <c r="H361" t="b">
        <v>0</v>
      </c>
      <c r="I361" t="n">
        <v>300</v>
      </c>
      <c r="J361" t="n">
        <v>1</v>
      </c>
      <c r="K361" t="inlineStr">
        <is>
          <t>&gt; Perfumería &gt; Cuidado Capilar &gt; Shampoo &gt;</t>
        </is>
      </c>
      <c r="L361" t="inlineStr">
        <is>
          <t>shampoo</t>
        </is>
      </c>
      <c r="M361" t="inlineStr">
        <is>
          <t>estandar</t>
        </is>
      </c>
      <c r="N361" t="inlineStr">
        <is>
          <t>general</t>
        </is>
      </c>
      <c r="O361" t="inlineStr">
        <is>
          <t>https://www.jumbo.com.ar/shampoo-polyana-nutricion-300ml/p</t>
        </is>
      </c>
    </row>
    <row r="362">
      <c r="A362" s="2" t="inlineStr">
        <is>
          <t>Jumbo</t>
        </is>
      </c>
      <c r="B362" s="2" t="n">
        <v>288718</v>
      </c>
      <c r="C362" s="2" t="n">
        <v>287965</v>
      </c>
      <c r="D362" s="2" t="inlineStr">
        <is>
          <t>Shampoo Elvive Reconstructor 200ml</t>
        </is>
      </c>
      <c r="E362" s="2" t="inlineStr">
        <is>
          <t>ELVIVE</t>
        </is>
      </c>
      <c r="F362" s="2" t="n">
        <v>290.85</v>
      </c>
      <c r="G362" s="2" t="n">
        <v>24037</v>
      </c>
      <c r="H362" s="2" t="b">
        <v>0</v>
      </c>
      <c r="I362" s="2" t="n">
        <v>200</v>
      </c>
      <c r="J362" s="2" t="n">
        <v>1.4543</v>
      </c>
      <c r="K362" s="2" t="inlineStr">
        <is>
          <t>&gt; Perfumería &gt; Cuidado Capilar &gt; Shampoo &gt;</t>
        </is>
      </c>
      <c r="L362" s="2" t="inlineStr">
        <is>
          <t>shampoo</t>
        </is>
      </c>
      <c r="M362" s="2" t="inlineStr">
        <is>
          <t>profesional</t>
        </is>
      </c>
      <c r="N362" s="2" t="inlineStr">
        <is>
          <t>general</t>
        </is>
      </c>
      <c r="O362" s="2" t="inlineStr">
        <is>
          <t>https://www.jumbo.com.ar/shampoo-elvive-reconstructor-200ml/p</t>
        </is>
      </c>
    </row>
    <row r="363">
      <c r="A363" t="inlineStr">
        <is>
          <t>Jumbo</t>
        </is>
      </c>
      <c r="B363" t="n">
        <v>272972</v>
      </c>
      <c r="C363" t="n">
        <v>272233</v>
      </c>
      <c r="D363" t="inlineStr">
        <is>
          <t>Shampoo Roby Lacio Sedoso</t>
        </is>
      </c>
      <c r="E363" t="inlineStr">
        <is>
          <t>ROBY</t>
        </is>
      </c>
      <c r="F363" t="n">
        <v>58.99</v>
      </c>
      <c r="G363" t="n">
        <v>4875</v>
      </c>
      <c r="H363" t="b">
        <v>0</v>
      </c>
      <c r="I363" t="inlineStr"/>
      <c r="J363" t="inlineStr"/>
      <c r="K363" t="inlineStr">
        <is>
          <t>&gt; Perfumería &gt; Cuidado Capilar &gt; Shampoo &gt;</t>
        </is>
      </c>
      <c r="L363" t="inlineStr">
        <is>
          <t>shampoo</t>
        </is>
      </c>
      <c r="M363" t="inlineStr">
        <is>
          <t>estandar</t>
        </is>
      </c>
      <c r="N363" t="inlineStr">
        <is>
          <t>tratado</t>
        </is>
      </c>
      <c r="O363" t="inlineStr">
        <is>
          <t>https://www.jumbo.com.ar/shampoo-roby-lacio-sedoso/p</t>
        </is>
      </c>
    </row>
    <row r="364">
      <c r="A364" s="2" t="inlineStr">
        <is>
          <t>Jumbo</t>
        </is>
      </c>
      <c r="B364" s="2" t="n">
        <v>263624</v>
      </c>
      <c r="C364" s="2" t="n">
        <v>263344</v>
      </c>
      <c r="D364" s="2" t="inlineStr">
        <is>
          <t>Shampoo Dove Hidratacion 400ml</t>
        </is>
      </c>
      <c r="E364" s="2" t="inlineStr">
        <is>
          <t>DOVE</t>
        </is>
      </c>
      <c r="F364" s="2" t="n">
        <v>244.89</v>
      </c>
      <c r="G364" s="2" t="n">
        <v>20239</v>
      </c>
      <c r="H364" s="2" t="b">
        <v>0</v>
      </c>
      <c r="I364" s="2" t="n">
        <v>400</v>
      </c>
      <c r="J364" s="2" t="n">
        <v>0.6122</v>
      </c>
      <c r="K364" s="2" t="inlineStr">
        <is>
          <t>&gt; Perfumería &gt; Cuidado Capilar &gt; Shampoo &gt;</t>
        </is>
      </c>
      <c r="L364" s="2" t="inlineStr">
        <is>
          <t>shampoo</t>
        </is>
      </c>
      <c r="M364" s="2" t="inlineStr">
        <is>
          <t>estandar</t>
        </is>
      </c>
      <c r="N364" s="2" t="inlineStr">
        <is>
          <t>seco_danado</t>
        </is>
      </c>
      <c r="O364" s="2" t="inlineStr">
        <is>
          <t>https://www.jumbo.com.ar/shampoo-dove-hidratacion-400ml/p</t>
        </is>
      </c>
    </row>
    <row r="365">
      <c r="A365" t="inlineStr">
        <is>
          <t>Jumbo</t>
        </is>
      </c>
      <c r="B365" t="n">
        <v>113221</v>
      </c>
      <c r="C365" t="n">
        <v>112270</v>
      </c>
      <c r="D365" t="inlineStr">
        <is>
          <t>Shampoo Elvive Cosmetico  250</t>
        </is>
      </c>
      <c r="E365" t="inlineStr">
        <is>
          <t>ELVIVE</t>
        </is>
      </c>
      <c r="F365" t="n">
        <v>7.97</v>
      </c>
      <c r="G365" t="n">
        <v>7.97</v>
      </c>
      <c r="H365" t="b">
        <v>0</v>
      </c>
      <c r="I365" t="inlineStr"/>
      <c r="J365" t="inlineStr"/>
      <c r="K365" t="inlineStr">
        <is>
          <t>&gt; Perfumería &gt; Cuidado Capilar &gt; Shampoo &gt;</t>
        </is>
      </c>
      <c r="L365" t="inlineStr">
        <is>
          <t>shampoo</t>
        </is>
      </c>
      <c r="M365" t="inlineStr">
        <is>
          <t>profesional</t>
        </is>
      </c>
      <c r="N365" t="inlineStr">
        <is>
          <t>general</t>
        </is>
      </c>
      <c r="O365" t="inlineStr">
        <is>
          <t>https://www.jumbo.com.ar/shampoo-elvive-cosmetico-250/p</t>
        </is>
      </c>
    </row>
    <row r="366">
      <c r="A366" s="2" t="inlineStr">
        <is>
          <t>Jumbo</t>
        </is>
      </c>
      <c r="B366" s="2" t="n">
        <v>92548</v>
      </c>
      <c r="C366" s="2" t="n">
        <v>89876</v>
      </c>
      <c r="D366" s="2" t="inlineStr">
        <is>
          <t>Shampoo Babelito-pvc-ml.-500</t>
        </is>
      </c>
      <c r="E366" s="2" t="inlineStr">
        <is>
          <t>BABELITO</t>
        </is>
      </c>
      <c r="F366" s="2" t="n">
        <v>31.99</v>
      </c>
      <c r="G366" s="2" t="n">
        <v>31.99</v>
      </c>
      <c r="H366" s="2" t="b">
        <v>0</v>
      </c>
      <c r="I366" s="2" t="inlineStr"/>
      <c r="J366" s="2" t="inlineStr"/>
      <c r="K366" s="2" t="inlineStr">
        <is>
          <t>&gt; Mundo Bebe &gt; Higiene para el Bebe &gt; Higiene del Bebé &gt;</t>
        </is>
      </c>
      <c r="L366" s="2" t="inlineStr">
        <is>
          <t>shampoo</t>
        </is>
      </c>
      <c r="M366" s="2" t="inlineStr">
        <is>
          <t>estandar</t>
        </is>
      </c>
      <c r="N366" s="2" t="inlineStr">
        <is>
          <t>general</t>
        </is>
      </c>
      <c r="O366" s="2" t="inlineStr">
        <is>
          <t>https://www.jumbo.com.ar/shampoo-babelito-pvc-ml-500/p</t>
        </is>
      </c>
    </row>
    <row r="367">
      <c r="A367" t="inlineStr">
        <is>
          <t>Jumbo</t>
        </is>
      </c>
      <c r="B367" t="n">
        <v>47311</v>
      </c>
      <c r="C367" t="n">
        <v>44476</v>
      </c>
      <c r="D367" t="inlineStr">
        <is>
          <t>Shampoo Pantene Restauracion 200ml</t>
        </is>
      </c>
      <c r="E367" t="inlineStr">
        <is>
          <t>PANTENE</t>
        </is>
      </c>
      <c r="F367" t="n">
        <v>173.39</v>
      </c>
      <c r="G367" t="n">
        <v>14330</v>
      </c>
      <c r="H367" t="b">
        <v>0</v>
      </c>
      <c r="I367" t="n">
        <v>200</v>
      </c>
      <c r="J367" t="n">
        <v>0.8669</v>
      </c>
      <c r="K367" t="inlineStr">
        <is>
          <t>&gt; Perfumería &gt; Cuidado Capilar &gt; Shampoo &gt;</t>
        </is>
      </c>
      <c r="L367" t="inlineStr">
        <is>
          <t>shampoo</t>
        </is>
      </c>
      <c r="M367" t="inlineStr">
        <is>
          <t>estandar</t>
        </is>
      </c>
      <c r="N367" t="inlineStr">
        <is>
          <t>general</t>
        </is>
      </c>
      <c r="O367" t="inlineStr">
        <is>
          <t>https://www.jumbo.com.ar/shampoo-pantene-restauracion-200ml/p</t>
        </is>
      </c>
    </row>
    <row r="368">
      <c r="A368" s="2" t="inlineStr">
        <is>
          <t>Jumbo</t>
        </is>
      </c>
      <c r="B368" s="2" t="n">
        <v>41536</v>
      </c>
      <c r="C368" s="2" t="n">
        <v>38701</v>
      </c>
      <c r="D368" s="2" t="inlineStr">
        <is>
          <t>Shampoo Fructis Brillo 350ml</t>
        </is>
      </c>
      <c r="E368" s="2" t="inlineStr">
        <is>
          <t>FRUCTIS</t>
        </is>
      </c>
      <c r="F368" s="2" t="n">
        <v>536.89</v>
      </c>
      <c r="G368" s="2" t="n">
        <v>44371</v>
      </c>
      <c r="H368" s="2" t="b">
        <v>0</v>
      </c>
      <c r="I368" s="2" t="n">
        <v>350</v>
      </c>
      <c r="J368" s="2" t="n">
        <v>1.534</v>
      </c>
      <c r="K368" s="2" t="inlineStr">
        <is>
          <t>&gt; Perfumería &gt; Cuidado Capilar &gt; Shampoo &gt;</t>
        </is>
      </c>
      <c r="L368" s="2" t="inlineStr">
        <is>
          <t>shampoo</t>
        </is>
      </c>
      <c r="M368" s="2" t="inlineStr">
        <is>
          <t>estandar</t>
        </is>
      </c>
      <c r="N368" s="2" t="inlineStr">
        <is>
          <t>general</t>
        </is>
      </c>
      <c r="O368" s="2" t="inlineStr">
        <is>
          <t>https://www.jumbo.com.ar/shampoo-fructis-brillo-350ml-2/p</t>
        </is>
      </c>
    </row>
    <row r="369">
      <c r="A369" t="inlineStr">
        <is>
          <t>Jumbo</t>
        </is>
      </c>
      <c r="B369" t="n">
        <v>36883</v>
      </c>
      <c r="C369" t="n">
        <v>34042</v>
      </c>
      <c r="D369" t="inlineStr">
        <is>
          <t>Shampoo Johnson Baby 400ml Shampoo Johnson Baby 400 Ml</t>
        </is>
      </c>
      <c r="E369" t="inlineStr">
        <is>
          <t>JOHNSON BABY</t>
        </is>
      </c>
      <c r="F369" t="n">
        <v>274.97</v>
      </c>
      <c r="G369" t="n">
        <v>22725</v>
      </c>
      <c r="H369" t="b">
        <v>0</v>
      </c>
      <c r="I369" t="n">
        <v>400</v>
      </c>
      <c r="J369" t="n">
        <v>0.6874</v>
      </c>
      <c r="K369" t="inlineStr">
        <is>
          <t>&gt; Mundo Bebe &gt; Higiene para el Bebe &gt; Higiene del Bebé &gt;</t>
        </is>
      </c>
      <c r="L369" t="inlineStr">
        <is>
          <t>shampoo</t>
        </is>
      </c>
      <c r="M369" t="inlineStr">
        <is>
          <t>estandar</t>
        </is>
      </c>
      <c r="N369" t="inlineStr">
        <is>
          <t>general</t>
        </is>
      </c>
      <c r="O369" t="inlineStr">
        <is>
          <t>https://www.jumbo.com.ar/shampoo-johnson-baby-400ml/p</t>
        </is>
      </c>
    </row>
    <row r="370">
      <c r="A370" s="2" t="inlineStr">
        <is>
          <t>Jumbo</t>
        </is>
      </c>
      <c r="B370" s="2" t="n">
        <v>36862</v>
      </c>
      <c r="C370" s="2" t="n">
        <v>34021</v>
      </c>
      <c r="D370" s="2" t="inlineStr">
        <is>
          <t>Shampoo Johnson Baby 200ml Shampoo Johnson Baby 200 Ml</t>
        </is>
      </c>
      <c r="E370" s="2" t="inlineStr">
        <is>
          <t>JOHNSON BABY</t>
        </is>
      </c>
      <c r="F370" s="2" t="n">
        <v>213.39</v>
      </c>
      <c r="G370" s="2" t="n">
        <v>17636</v>
      </c>
      <c r="H370" s="2" t="b">
        <v>0</v>
      </c>
      <c r="I370" s="2" t="n">
        <v>200</v>
      </c>
      <c r="J370" s="2" t="n">
        <v>1.0669</v>
      </c>
      <c r="K370" s="2" t="inlineStr">
        <is>
          <t>&gt; Mundo Bebe &gt; Higiene para el Bebe &gt; Higiene del Bebé &gt;</t>
        </is>
      </c>
      <c r="L370" s="2" t="inlineStr">
        <is>
          <t>shampoo</t>
        </is>
      </c>
      <c r="M370" s="2" t="inlineStr">
        <is>
          <t>estandar</t>
        </is>
      </c>
      <c r="N370" s="2" t="inlineStr">
        <is>
          <t>general</t>
        </is>
      </c>
      <c r="O370" s="2" t="inlineStr">
        <is>
          <t>https://www.jumbo.com.ar/shampoo-johnson-baby-200ml/p</t>
        </is>
      </c>
    </row>
    <row r="371">
      <c r="A371" t="inlineStr">
        <is>
          <t>Jumbo</t>
        </is>
      </c>
      <c r="B371" t="n">
        <v>19666</v>
      </c>
      <c r="C371" t="n">
        <v>16830</v>
      </c>
      <c r="D371" t="inlineStr">
        <is>
          <t>Shampoo Sedal Liso 650ml</t>
        </is>
      </c>
      <c r="E371" t="inlineStr">
        <is>
          <t>SEDAL</t>
        </is>
      </c>
      <c r="F371" t="n">
        <v>246.25</v>
      </c>
      <c r="G371" t="n">
        <v>20351</v>
      </c>
      <c r="H371" t="b">
        <v>0</v>
      </c>
      <c r="I371" t="n">
        <v>650</v>
      </c>
      <c r="J371" t="n">
        <v>0.3788</v>
      </c>
      <c r="K371" t="inlineStr">
        <is>
          <t>&gt; Perfumería &gt; Cuidado Capilar &gt; Shampoo &gt;</t>
        </is>
      </c>
      <c r="L371" t="inlineStr">
        <is>
          <t>shampoo</t>
        </is>
      </c>
      <c r="M371" t="inlineStr">
        <is>
          <t>estandar</t>
        </is>
      </c>
      <c r="N371" t="inlineStr">
        <is>
          <t>general</t>
        </is>
      </c>
      <c r="O371" t="inlineStr">
        <is>
          <t>https://www.jumbo.com.ar/shampoo-sedal-liso-650ml/p</t>
        </is>
      </c>
    </row>
    <row r="372">
      <c r="A372" s="2" t="inlineStr">
        <is>
          <t>Jumbo</t>
        </is>
      </c>
      <c r="B372" s="2" t="n">
        <v>19536</v>
      </c>
      <c r="C372" s="2" t="n">
        <v>16692</v>
      </c>
      <c r="D372" s="2" t="inlineStr">
        <is>
          <t>Shampoo Tresemme 750 Ml</t>
        </is>
      </c>
      <c r="E372" s="2" t="inlineStr">
        <is>
          <t>TRESEMMÉ</t>
        </is>
      </c>
      <c r="F372" s="2" t="n">
        <v>447.75</v>
      </c>
      <c r="G372" s="2" t="n">
        <v>37004</v>
      </c>
      <c r="H372" s="2" t="b">
        <v>0</v>
      </c>
      <c r="I372" s="2" t="n">
        <v>750</v>
      </c>
      <c r="J372" s="2" t="n">
        <v>0.597</v>
      </c>
      <c r="K372" s="2" t="inlineStr">
        <is>
          <t>&gt; Perfumería &gt; Cuidado Capilar &gt; Shampoo &gt;</t>
        </is>
      </c>
      <c r="L372" s="2" t="inlineStr">
        <is>
          <t>shampoo</t>
        </is>
      </c>
      <c r="M372" s="2" t="inlineStr">
        <is>
          <t>estandar</t>
        </is>
      </c>
      <c r="N372" s="2" t="inlineStr">
        <is>
          <t>general</t>
        </is>
      </c>
      <c r="O372" s="2" t="inlineStr">
        <is>
          <t>https://www.jumbo.com.ar/shampoo-tresemme-750-ml-2/p</t>
        </is>
      </c>
    </row>
    <row r="373">
      <c r="A373" t="inlineStr">
        <is>
          <t>Jumbo</t>
        </is>
      </c>
      <c r="B373" t="n">
        <v>19533</v>
      </c>
      <c r="C373" t="n">
        <v>16688</v>
      </c>
      <c r="D373" t="inlineStr">
        <is>
          <t>Shampoo Tresemme Keratina750ml Shampoo Tresemme Liso Keratina 750 Ml</t>
        </is>
      </c>
      <c r="E373" t="inlineStr">
        <is>
          <t>TRESEMMÉ</t>
        </is>
      </c>
      <c r="F373" t="n">
        <v>814.35</v>
      </c>
      <c r="G373" t="n">
        <v>67302</v>
      </c>
      <c r="H373" t="b">
        <v>0</v>
      </c>
      <c r="I373" t="n">
        <v>750</v>
      </c>
      <c r="J373" t="n">
        <v>1.0858</v>
      </c>
      <c r="K373" t="inlineStr">
        <is>
          <t>&gt; Perfumería &gt; Cuidado Capilar &gt; Shampoo &gt;</t>
        </is>
      </c>
      <c r="L373" t="inlineStr">
        <is>
          <t>shampoo</t>
        </is>
      </c>
      <c r="M373" t="inlineStr">
        <is>
          <t>estandar</t>
        </is>
      </c>
      <c r="N373" t="inlineStr">
        <is>
          <t>tratado</t>
        </is>
      </c>
      <c r="O373" t="inlineStr">
        <is>
          <t>https://www.jumbo.com.ar/shampoo-tresemme-keratina750ml/p</t>
        </is>
      </c>
    </row>
    <row r="374">
      <c r="A374" s="2" t="inlineStr">
        <is>
          <t>Jumbo</t>
        </is>
      </c>
      <c r="B374" s="2" t="n">
        <v>19523</v>
      </c>
      <c r="C374" s="2" t="n">
        <v>16677</v>
      </c>
      <c r="D374" s="2" t="inlineStr">
        <is>
          <t>Shampoo Tresemmé Despeinado Perfecto Shampoo Tresemme Despeinado Perfecto 400 Ml</t>
        </is>
      </c>
      <c r="E374" s="2" t="inlineStr">
        <is>
          <t>TRESEMMÉ</t>
        </is>
      </c>
      <c r="F374" s="2" t="n">
        <v>283.29</v>
      </c>
      <c r="G374" s="2" t="n">
        <v>23412</v>
      </c>
      <c r="H374" s="2" t="b">
        <v>0</v>
      </c>
      <c r="I374" s="2" t="n">
        <v>400</v>
      </c>
      <c r="J374" s="2" t="n">
        <v>0.7082000000000001</v>
      </c>
      <c r="K374" s="2" t="inlineStr">
        <is>
          <t>&gt; Perfumería &gt; Cuidado Capilar &gt; Shampoo &gt;</t>
        </is>
      </c>
      <c r="L374" s="2" t="inlineStr">
        <is>
          <t>shampoo</t>
        </is>
      </c>
      <c r="M374" s="2" t="inlineStr">
        <is>
          <t>estandar</t>
        </is>
      </c>
      <c r="N374" s="2" t="inlineStr">
        <is>
          <t>general</t>
        </is>
      </c>
      <c r="O374" s="2" t="inlineStr">
        <is>
          <t>https://www.jumbo.com.ar/shampoo-tresemme-despeinado-perfecto/p</t>
        </is>
      </c>
    </row>
    <row r="375">
      <c r="A375" t="inlineStr">
        <is>
          <t>Jumbo</t>
        </is>
      </c>
      <c r="B375" t="n">
        <v>19522</v>
      </c>
      <c r="C375" t="n">
        <v>16676</v>
      </c>
      <c r="D375" t="inlineStr">
        <is>
          <t>Shampoo Tresemme Hidratacion 400ml Shampoo Tresemme Hidratación Profunda 400 Ml</t>
        </is>
      </c>
      <c r="E375" t="inlineStr">
        <is>
          <t>TRESEMMÉ</t>
        </is>
      </c>
      <c r="F375" t="n">
        <v>472.75</v>
      </c>
      <c r="G375" t="n">
        <v>39070</v>
      </c>
      <c r="H375" t="b">
        <v>0</v>
      </c>
      <c r="I375" t="n">
        <v>400</v>
      </c>
      <c r="J375" t="n">
        <v>1.1819</v>
      </c>
      <c r="K375" t="inlineStr">
        <is>
          <t>&gt; Perfumería &gt; Cuidado Capilar &gt; Shampoo &gt;</t>
        </is>
      </c>
      <c r="L375" t="inlineStr">
        <is>
          <t>shampoo</t>
        </is>
      </c>
      <c r="M375" t="inlineStr">
        <is>
          <t>estandar</t>
        </is>
      </c>
      <c r="N375" t="inlineStr">
        <is>
          <t>seco_danado</t>
        </is>
      </c>
      <c r="O375" t="inlineStr">
        <is>
          <t>https://www.jumbo.com.ar/shampoo-tresemme-hidratacion-400ml/p</t>
        </is>
      </c>
    </row>
    <row r="376">
      <c r="A376" s="2" t="inlineStr">
        <is>
          <t>Jumbo</t>
        </is>
      </c>
      <c r="B376" s="2" t="n">
        <v>12037</v>
      </c>
      <c r="C376" s="2" t="n">
        <v>9297</v>
      </c>
      <c r="D376" s="2" t="inlineStr">
        <is>
          <t>Shampoo Elvive Fibralogy 400ml</t>
        </is>
      </c>
      <c r="E376" s="2" t="inlineStr">
        <is>
          <t>ELVIVE</t>
        </is>
      </c>
      <c r="F376" s="2" t="n">
        <v>430.95</v>
      </c>
      <c r="G376" s="2" t="n">
        <v>35616</v>
      </c>
      <c r="H376" s="2" t="b">
        <v>0</v>
      </c>
      <c r="I376" s="2" t="n">
        <v>400</v>
      </c>
      <c r="J376" s="2" t="n">
        <v>1.0774</v>
      </c>
      <c r="K376" s="2" t="inlineStr">
        <is>
          <t>&gt; Perfumería &gt; Cuidado Capilar &gt; Shampoo &gt;</t>
        </is>
      </c>
      <c r="L376" s="2" t="inlineStr">
        <is>
          <t>shampoo</t>
        </is>
      </c>
      <c r="M376" s="2" t="inlineStr">
        <is>
          <t>profesional</t>
        </is>
      </c>
      <c r="N376" s="2" t="inlineStr">
        <is>
          <t>general</t>
        </is>
      </c>
      <c r="O376" s="2" t="inlineStr">
        <is>
          <t>https://www.jumbo.com.ar/shampoo-elvive-fibralogy-400ml/p</t>
        </is>
      </c>
    </row>
    <row r="377">
      <c r="A377" t="inlineStr">
        <is>
          <t>Jumbo</t>
        </is>
      </c>
      <c r="B377" t="n">
        <v>7407</v>
      </c>
      <c r="C377" t="n">
        <v>4736</v>
      </c>
      <c r="D377" t="inlineStr">
        <is>
          <t>Shampoo Pantene Rizos 750ml</t>
        </is>
      </c>
      <c r="E377" t="inlineStr">
        <is>
          <t>PANTENE</t>
        </is>
      </c>
      <c r="F377" t="n">
        <v>494.89</v>
      </c>
      <c r="G377" t="n">
        <v>40900</v>
      </c>
      <c r="H377" t="b">
        <v>0</v>
      </c>
      <c r="I377" t="n">
        <v>750</v>
      </c>
      <c r="J377" t="n">
        <v>0.6599</v>
      </c>
      <c r="K377" t="inlineStr">
        <is>
          <t>&gt; Perfumería &gt; Cuidado Capilar &gt; Shampoo &gt;</t>
        </is>
      </c>
      <c r="L377" t="inlineStr">
        <is>
          <t>shampoo</t>
        </is>
      </c>
      <c r="M377" t="inlineStr">
        <is>
          <t>estandar</t>
        </is>
      </c>
      <c r="N377" t="inlineStr">
        <is>
          <t>rizado</t>
        </is>
      </c>
      <c r="O377" t="inlineStr">
        <is>
          <t>https://www.jumbo.com.ar/shampoo-pantene-rizos-750ml/p</t>
        </is>
      </c>
    </row>
    <row r="378">
      <c r="A378" s="2" t="inlineStr">
        <is>
          <t>Jumbo</t>
        </is>
      </c>
      <c r="B378" s="2" t="n">
        <v>3448</v>
      </c>
      <c r="C378" s="2" t="n">
        <v>248545</v>
      </c>
      <c r="D378" s="2" t="inlineStr">
        <is>
          <t>Shampoo Elvive Citrus 200ml</t>
        </is>
      </c>
      <c r="E378" s="2" t="inlineStr">
        <is>
          <t>ELVIVE</t>
        </is>
      </c>
      <c r="F378" s="2" t="n">
        <v>290.85</v>
      </c>
      <c r="G378" s="2" t="n">
        <v>24037</v>
      </c>
      <c r="H378" s="2" t="b">
        <v>0</v>
      </c>
      <c r="I378" s="2" t="n">
        <v>200</v>
      </c>
      <c r="J378" s="2" t="n">
        <v>1.4543</v>
      </c>
      <c r="K378" s="2" t="inlineStr">
        <is>
          <t>&gt; Perfumería &gt; Cuidado Capilar &gt; Shampoo &gt;</t>
        </is>
      </c>
      <c r="L378" s="2" t="inlineStr">
        <is>
          <t>shampoo</t>
        </is>
      </c>
      <c r="M378" s="2" t="inlineStr">
        <is>
          <t>profesional</t>
        </is>
      </c>
      <c r="N378" s="2" t="inlineStr">
        <is>
          <t>general</t>
        </is>
      </c>
      <c r="O378" s="2" t="inlineStr">
        <is>
          <t>https://www.jumbo.com.ar/shampoo-elvive-citrus-200ml/p</t>
        </is>
      </c>
    </row>
    <row r="379">
      <c r="A379" t="inlineStr">
        <is>
          <t>Jumbo</t>
        </is>
      </c>
      <c r="B379" t="n">
        <v>3427</v>
      </c>
      <c r="C379" t="n">
        <v>248527</v>
      </c>
      <c r="D379" t="inlineStr">
        <is>
          <t>Pantene Shampoo Hidrocauterizacion 750ml</t>
        </is>
      </c>
      <c r="E379" t="inlineStr">
        <is>
          <t>PANTENE</t>
        </is>
      </c>
      <c r="F379" t="n">
        <v>74.37</v>
      </c>
      <c r="G379" t="n">
        <v>6146</v>
      </c>
      <c r="H379" t="b">
        <v>0</v>
      </c>
      <c r="I379" t="n">
        <v>750</v>
      </c>
      <c r="J379" t="n">
        <v>0.0992</v>
      </c>
      <c r="K379" t="inlineStr">
        <is>
          <t>&gt; Perfumería &gt; Cuidado Capilar &gt; Shampoo &gt;</t>
        </is>
      </c>
      <c r="L379" t="inlineStr">
        <is>
          <t>shampoo</t>
        </is>
      </c>
      <c r="M379" t="inlineStr">
        <is>
          <t>estandar</t>
        </is>
      </c>
      <c r="N379" t="inlineStr">
        <is>
          <t>general</t>
        </is>
      </c>
      <c r="O379" t="inlineStr">
        <is>
          <t>https://www.jumbo.com.ar/shampoo-pantene-2/p</t>
        </is>
      </c>
    </row>
    <row r="380">
      <c r="A380" s="2" t="inlineStr">
        <is>
          <t>Jumbo</t>
        </is>
      </c>
      <c r="B380" s="2" t="n">
        <v>272456</v>
      </c>
      <c r="C380" s="2" t="n">
        <v>271757</v>
      </c>
      <c r="D380" s="2" t="inlineStr">
        <is>
          <t>Shampoo Para Niños Johnson's® Shampoo Fuerza Y Vitamina X 200 Ml</t>
        </is>
      </c>
      <c r="E380" s="2" t="inlineStr">
        <is>
          <t>JOHNSON BABY</t>
        </is>
      </c>
      <c r="F380" s="2" t="n">
        <v>88.48999999999999</v>
      </c>
      <c r="G380" s="2" t="n">
        <v>7313</v>
      </c>
      <c r="H380" s="2" t="b">
        <v>0</v>
      </c>
      <c r="I380" s="2" t="n">
        <v>200</v>
      </c>
      <c r="J380" s="2" t="n">
        <v>0.4424</v>
      </c>
      <c r="K380" s="2" t="inlineStr">
        <is>
          <t>&gt; Mundo Bebe &gt; Higiene para el Bebe &gt; Higiene del Bebé &gt;</t>
        </is>
      </c>
      <c r="L380" s="2" t="inlineStr">
        <is>
          <t>shampoo</t>
        </is>
      </c>
      <c r="M380" s="2" t="inlineStr">
        <is>
          <t>estandar</t>
        </is>
      </c>
      <c r="N380" s="2" t="inlineStr">
        <is>
          <t>bebe</t>
        </is>
      </c>
      <c r="O380" s="2" t="inlineStr">
        <is>
          <t>https://www.jumbo.com.ar/shampoo-para-ninos-johnson-s-shampoo-fuerza-y-vitamina-x-200-ml/p</t>
        </is>
      </c>
    </row>
    <row r="381">
      <c r="A381" t="inlineStr">
        <is>
          <t>Jumbo</t>
        </is>
      </c>
      <c r="B381" t="n">
        <v>272455</v>
      </c>
      <c r="C381" t="n">
        <v>271759</v>
      </c>
      <c r="D381" t="inlineStr">
        <is>
          <t>Shampoo Para Niños Johnson's® Shampoo Fuerza Y Vitamina X 400 Ml</t>
        </is>
      </c>
      <c r="E381" t="inlineStr">
        <is>
          <t>JOHNSON BABY</t>
        </is>
      </c>
      <c r="F381" t="n">
        <v>239.65</v>
      </c>
      <c r="G381" t="n">
        <v>19806</v>
      </c>
      <c r="H381" t="b">
        <v>0</v>
      </c>
      <c r="I381" t="n">
        <v>400</v>
      </c>
      <c r="J381" t="n">
        <v>0.5991</v>
      </c>
      <c r="K381" t="inlineStr">
        <is>
          <t>&gt; Mundo Bebe &gt; Higiene para el Bebe &gt; Higiene del Bebé &gt;</t>
        </is>
      </c>
      <c r="L381" t="inlineStr">
        <is>
          <t>shampoo</t>
        </is>
      </c>
      <c r="M381" t="inlineStr">
        <is>
          <t>estandar</t>
        </is>
      </c>
      <c r="N381" t="inlineStr">
        <is>
          <t>bebe</t>
        </is>
      </c>
      <c r="O381" t="inlineStr">
        <is>
          <t>https://www.jumbo.com.ar/shampoo-para-ninos-johnson-s-shampoo-fuerza-y-vitamina-x-400-ml/p</t>
        </is>
      </c>
    </row>
    <row r="382">
      <c r="A382" s="2" t="inlineStr">
        <is>
          <t>Jumbo</t>
        </is>
      </c>
      <c r="B382" s="2" t="n">
        <v>410229</v>
      </c>
      <c r="C382" s="2" t="n">
        <v>406235</v>
      </c>
      <c r="D382" s="2" t="inlineStr">
        <is>
          <t>Shampoo Polyana Hidratacion 900ml</t>
        </is>
      </c>
      <c r="E382" s="2" t="inlineStr">
        <is>
          <t>PLUSBELLE</t>
        </is>
      </c>
      <c r="F382" s="2" t="n">
        <v>607.99</v>
      </c>
      <c r="G382" s="2" t="n">
        <v>50247</v>
      </c>
      <c r="H382" s="2" t="b">
        <v>0</v>
      </c>
      <c r="I382" s="2" t="n">
        <v>900</v>
      </c>
      <c r="J382" s="2" t="n">
        <v>0.6755</v>
      </c>
      <c r="K382" s="2" t="inlineStr">
        <is>
          <t>&gt; Perfumería &gt; Cuidado Capilar &gt; Shampoo &gt;</t>
        </is>
      </c>
      <c r="L382" s="2" t="inlineStr">
        <is>
          <t>shampoo</t>
        </is>
      </c>
      <c r="M382" s="2" t="inlineStr">
        <is>
          <t>estandar</t>
        </is>
      </c>
      <c r="N382" s="2" t="inlineStr">
        <is>
          <t>seco_danado</t>
        </is>
      </c>
      <c r="O382" s="2" t="inlineStr">
        <is>
          <t>https://www.jumbo.com.ar/shampoo-polyana-hidratacion-900ml/p</t>
        </is>
      </c>
    </row>
    <row r="383">
      <c r="A383" t="inlineStr">
        <is>
          <t>Jumbo</t>
        </is>
      </c>
      <c r="B383" t="n">
        <v>375608</v>
      </c>
      <c r="C383" t="n">
        <v>374326</v>
      </c>
      <c r="D383" t="inlineStr">
        <is>
          <t>Shampoo Suave Coco 930ml</t>
        </is>
      </c>
      <c r="E383" t="inlineStr">
        <is>
          <t>SUAVE</t>
        </is>
      </c>
      <c r="F383" t="n">
        <v>2400</v>
      </c>
      <c r="G383" t="n">
        <v>198347</v>
      </c>
      <c r="H383" t="b">
        <v>0</v>
      </c>
      <c r="I383" t="n">
        <v>930</v>
      </c>
      <c r="J383" t="n">
        <v>2.5806</v>
      </c>
      <c r="K383" t="inlineStr">
        <is>
          <t>&gt; Perfumería &gt; Cuidado Capilar &gt; Shampoo &gt;</t>
        </is>
      </c>
      <c r="L383" t="inlineStr">
        <is>
          <t>shampoo</t>
        </is>
      </c>
      <c r="M383" t="inlineStr">
        <is>
          <t>estandar</t>
        </is>
      </c>
      <c r="N383" t="inlineStr">
        <is>
          <t>bebe</t>
        </is>
      </c>
      <c r="O383" t="inlineStr">
        <is>
          <t>https://www.jumbo.com.ar/shampoo-suave-coco-930ml/p</t>
        </is>
      </c>
    </row>
    <row r="384">
      <c r="A384" s="2" t="inlineStr">
        <is>
          <t>Jumbo</t>
        </is>
      </c>
      <c r="B384" s="2" t="n">
        <v>349497</v>
      </c>
      <c r="C384" s="2" t="n">
        <v>348157</v>
      </c>
      <c r="D384" s="2" t="inlineStr">
        <is>
          <t>Shampoo Plusbelle Reparacion 1000ml</t>
        </is>
      </c>
      <c r="E384" s="2" t="inlineStr">
        <is>
          <t>PLUSBELLE</t>
        </is>
      </c>
      <c r="F384" s="2" t="n">
        <v>1214.29</v>
      </c>
      <c r="G384" s="2" t="n">
        <v>100355</v>
      </c>
      <c r="H384" s="2" t="b">
        <v>0</v>
      </c>
      <c r="I384" s="2" t="n">
        <v>1000</v>
      </c>
      <c r="J384" s="2" t="n">
        <v>1.2143</v>
      </c>
      <c r="K384" s="2" t="inlineStr">
        <is>
          <t>&gt; Perfumería &gt; Cuidado Capilar &gt; Shampoo &gt;</t>
        </is>
      </c>
      <c r="L384" s="2" t="inlineStr">
        <is>
          <t>shampoo</t>
        </is>
      </c>
      <c r="M384" s="2" t="inlineStr">
        <is>
          <t>estandar</t>
        </is>
      </c>
      <c r="N384" s="2" t="inlineStr">
        <is>
          <t>general</t>
        </is>
      </c>
      <c r="O384" s="2" t="inlineStr">
        <is>
          <t>https://www.jumbo.com.ar/shampoo-plusbelle-reparacion-1000ml-2/p</t>
        </is>
      </c>
    </row>
    <row r="385">
      <c r="A385" t="inlineStr">
        <is>
          <t>Jumbo</t>
        </is>
      </c>
      <c r="B385" t="n">
        <v>349495</v>
      </c>
      <c r="C385" t="n">
        <v>348155</v>
      </c>
      <c r="D385" t="inlineStr">
        <is>
          <t>Shampoo Plusbelle Docilidad 1000ml</t>
        </is>
      </c>
      <c r="E385" t="inlineStr">
        <is>
          <t>PLUSBELLE</t>
        </is>
      </c>
      <c r="F385" t="n">
        <v>941.27</v>
      </c>
      <c r="G385" t="n">
        <v>77791</v>
      </c>
      <c r="H385" t="b">
        <v>0</v>
      </c>
      <c r="I385" t="n">
        <v>1000</v>
      </c>
      <c r="J385" t="n">
        <v>0.9413</v>
      </c>
      <c r="K385" t="inlineStr">
        <is>
          <t>&gt; Perfumería &gt; Cuidado Capilar &gt; Shampoo &gt;</t>
        </is>
      </c>
      <c r="L385" t="inlineStr">
        <is>
          <t>shampoo</t>
        </is>
      </c>
      <c r="M385" t="inlineStr">
        <is>
          <t>estandar</t>
        </is>
      </c>
      <c r="N385" t="inlineStr">
        <is>
          <t>general</t>
        </is>
      </c>
      <c r="O385" t="inlineStr">
        <is>
          <t>https://www.jumbo.com.ar/shampoo-plusbelle-docilidad-1000ml-2/p</t>
        </is>
      </c>
    </row>
    <row r="386">
      <c r="A386" s="2" t="inlineStr">
        <is>
          <t>Jumbo</t>
        </is>
      </c>
      <c r="B386" s="2" t="n">
        <v>349490</v>
      </c>
      <c r="C386" s="2" t="n">
        <v>348150</v>
      </c>
      <c r="D386" s="2" t="inlineStr">
        <is>
          <t>Shampoo Plusbelle Suavidad 1000ml</t>
        </is>
      </c>
      <c r="E386" s="2" t="inlineStr">
        <is>
          <t>PLUSBELLE</t>
        </is>
      </c>
      <c r="F386" s="2" t="n">
        <v>5100</v>
      </c>
      <c r="G386" s="2" t="n">
        <v>421488</v>
      </c>
      <c r="H386" s="2" t="b">
        <v>0</v>
      </c>
      <c r="I386" s="2" t="n">
        <v>1000</v>
      </c>
      <c r="J386" s="2" t="n">
        <v>5.1</v>
      </c>
      <c r="K386" s="2" t="inlineStr">
        <is>
          <t>&gt; Perfumería &gt; Cuidado Capilar &gt; Shampoo &gt;</t>
        </is>
      </c>
      <c r="L386" s="2" t="inlineStr">
        <is>
          <t>shampoo</t>
        </is>
      </c>
      <c r="M386" s="2" t="inlineStr">
        <is>
          <t>estandar</t>
        </is>
      </c>
      <c r="N386" s="2" t="inlineStr">
        <is>
          <t>general</t>
        </is>
      </c>
      <c r="O386" s="2" t="inlineStr">
        <is>
          <t>https://www.jumbo.com.ar/shampoo-plusbelle-suavidad-1000ml-2/p</t>
        </is>
      </c>
    </row>
    <row r="387">
      <c r="A387" t="inlineStr">
        <is>
          <t>Jumbo</t>
        </is>
      </c>
      <c r="B387" t="n">
        <v>339246</v>
      </c>
      <c r="C387" t="n">
        <v>337931</v>
      </c>
      <c r="D387" t="inlineStr">
        <is>
          <t>Shampoo Botikpuro Calendula Manzanilla</t>
        </is>
      </c>
      <c r="E387" t="inlineStr">
        <is>
          <t>BOTIK PURO</t>
        </is>
      </c>
      <c r="F387" t="n">
        <v>1202.89</v>
      </c>
      <c r="G387" t="n">
        <v>99412</v>
      </c>
      <c r="H387" t="b">
        <v>0</v>
      </c>
      <c r="I387" t="inlineStr"/>
      <c r="J387" t="inlineStr"/>
      <c r="K387" t="inlineStr">
        <is>
          <t>&gt; Perfumería &gt; Cuidado Capilar &gt; Shampoo &gt;</t>
        </is>
      </c>
      <c r="L387" t="inlineStr">
        <is>
          <t>shampoo</t>
        </is>
      </c>
      <c r="M387" t="inlineStr">
        <is>
          <t>estandar</t>
        </is>
      </c>
      <c r="N387" t="inlineStr">
        <is>
          <t>general</t>
        </is>
      </c>
      <c r="O387" t="inlineStr">
        <is>
          <t>https://www.jumbo.com.ar/shampoo-botikpuro-calendula-manzanilla-2/p</t>
        </is>
      </c>
    </row>
    <row r="388">
      <c r="A388" s="2" t="inlineStr">
        <is>
          <t>Jumbo</t>
        </is>
      </c>
      <c r="B388" s="2" t="n">
        <v>338990</v>
      </c>
      <c r="C388" s="2" t="n">
        <v>316523</v>
      </c>
      <c r="D388" s="2" t="inlineStr">
        <is>
          <t>Shampoo Suave Manzanilla 930ml Shampoo Suave Manzanilla Rubios 930 Ml</t>
        </is>
      </c>
      <c r="E388" s="2" t="inlineStr">
        <is>
          <t>SUAVE</t>
        </is>
      </c>
      <c r="F388" s="2" t="n">
        <v>339.05</v>
      </c>
      <c r="G388" s="2" t="n">
        <v>28021</v>
      </c>
      <c r="H388" s="2" t="b">
        <v>0</v>
      </c>
      <c r="I388" s="2" t="n">
        <v>930</v>
      </c>
      <c r="J388" s="2" t="n">
        <v>0.3646</v>
      </c>
      <c r="K388" s="2" t="inlineStr">
        <is>
          <t>&gt; Perfumería &gt; Cuidado Capilar &gt; Shampoo &gt;</t>
        </is>
      </c>
      <c r="L388" s="2" t="inlineStr">
        <is>
          <t>shampoo</t>
        </is>
      </c>
      <c r="M388" s="2" t="inlineStr">
        <is>
          <t>estandar</t>
        </is>
      </c>
      <c r="N388" s="2" t="inlineStr">
        <is>
          <t>bebe</t>
        </is>
      </c>
      <c r="O388" s="2" t="inlineStr">
        <is>
          <t>https://www.jumbo.com.ar/shampoo-suave-manzanilla-930ml/p</t>
        </is>
      </c>
    </row>
    <row r="389">
      <c r="A389" t="inlineStr">
        <is>
          <t>Jumbo</t>
        </is>
      </c>
      <c r="B389" t="n">
        <v>337418</v>
      </c>
      <c r="C389" t="n">
        <v>336521</v>
      </c>
      <c r="D389" t="inlineStr">
        <is>
          <t>Shampoo Dove Reconstruccion 200ml</t>
        </is>
      </c>
      <c r="E389" t="inlineStr">
        <is>
          <t>DOVE</t>
        </is>
      </c>
      <c r="F389" t="n">
        <v>450</v>
      </c>
      <c r="G389" t="n">
        <v>37190</v>
      </c>
      <c r="H389" t="b">
        <v>0</v>
      </c>
      <c r="I389" t="n">
        <v>200</v>
      </c>
      <c r="J389" t="n">
        <v>2.25</v>
      </c>
      <c r="K389" t="inlineStr">
        <is>
          <t>&gt; Perfumería &gt; Cuidado Capilar &gt; Shampoo &gt;</t>
        </is>
      </c>
      <c r="L389" t="inlineStr">
        <is>
          <t>shampoo</t>
        </is>
      </c>
      <c r="M389" t="inlineStr">
        <is>
          <t>estandar</t>
        </is>
      </c>
      <c r="N389" t="inlineStr">
        <is>
          <t>general</t>
        </is>
      </c>
      <c r="O389" t="inlineStr">
        <is>
          <t>https://www.jumbo.com.ar/shampoo-dove-reconstruccion-200ml-2/p</t>
        </is>
      </c>
    </row>
    <row r="390">
      <c r="A390" s="2" t="inlineStr">
        <is>
          <t>Jumbo</t>
        </is>
      </c>
      <c r="B390" s="2" t="n">
        <v>332177</v>
      </c>
      <c r="C390" s="2" t="n">
        <v>331335</v>
      </c>
      <c r="D390" s="2" t="inlineStr">
        <is>
          <t>Shampoo Plusbelle Suavidad 1lt</t>
        </is>
      </c>
      <c r="E390" s="2" t="inlineStr">
        <is>
          <t>PLUSBELLE</t>
        </is>
      </c>
      <c r="F390" s="2" t="n">
        <v>454.55</v>
      </c>
      <c r="G390" s="2" t="n">
        <v>37566</v>
      </c>
      <c r="H390" s="2" t="b">
        <v>0</v>
      </c>
      <c r="I390" s="2" t="inlineStr"/>
      <c r="J390" s="2" t="inlineStr"/>
      <c r="K390" s="2" t="inlineStr">
        <is>
          <t>&gt; Perfumería &gt; Cuidado Capilar &gt; Shampoo &gt;</t>
        </is>
      </c>
      <c r="L390" s="2" t="inlineStr">
        <is>
          <t>shampoo</t>
        </is>
      </c>
      <c r="M390" s="2" t="inlineStr">
        <is>
          <t>estandar</t>
        </is>
      </c>
      <c r="N390" s="2" t="inlineStr">
        <is>
          <t>general</t>
        </is>
      </c>
      <c r="O390" s="2" t="inlineStr">
        <is>
          <t>https://www.jumbo.com.ar/shampoo-plusbelle-suavidad-1lt/p</t>
        </is>
      </c>
    </row>
    <row r="391">
      <c r="A391" t="inlineStr">
        <is>
          <t>Jumbo</t>
        </is>
      </c>
      <c r="B391" t="n">
        <v>332165</v>
      </c>
      <c r="C391" t="n">
        <v>331323</v>
      </c>
      <c r="D391" t="inlineStr">
        <is>
          <t>Shampoo Plusbelle Frescura 1lt</t>
        </is>
      </c>
      <c r="E391" t="inlineStr">
        <is>
          <t>PLUSBELLE</t>
        </is>
      </c>
      <c r="F391" t="n">
        <v>454.55</v>
      </c>
      <c r="G391" t="n">
        <v>37566</v>
      </c>
      <c r="H391" t="b">
        <v>0</v>
      </c>
      <c r="I391" t="inlineStr"/>
      <c r="J391" t="inlineStr"/>
      <c r="K391" t="inlineStr">
        <is>
          <t>&gt; Perfumería &gt; Cuidado Capilar &gt; Shampoo &gt;</t>
        </is>
      </c>
      <c r="L391" t="inlineStr">
        <is>
          <t>shampoo</t>
        </is>
      </c>
      <c r="M391" t="inlineStr">
        <is>
          <t>estandar</t>
        </is>
      </c>
      <c r="N391" t="inlineStr">
        <is>
          <t>general</t>
        </is>
      </c>
      <c r="O391" t="inlineStr">
        <is>
          <t>https://www.jumbo.com.ar/shampoo-plusbelle-frescura-1lt/p</t>
        </is>
      </c>
    </row>
    <row r="392">
      <c r="A392" s="2" t="inlineStr">
        <is>
          <t>Jumbo</t>
        </is>
      </c>
      <c r="B392" s="2" t="n">
        <v>297874</v>
      </c>
      <c r="C392" s="2" t="n">
        <v>297104</v>
      </c>
      <c r="D392" s="2" t="inlineStr">
        <is>
          <t>Avengers Spiderman Shampoo 200ml</t>
        </is>
      </c>
      <c r="E392" s="2" t="inlineStr">
        <is>
          <t>ALGABO</t>
        </is>
      </c>
      <c r="F392" s="2" t="n">
        <v>129</v>
      </c>
      <c r="G392" s="2" t="n">
        <v>129</v>
      </c>
      <c r="H392" s="2" t="b">
        <v>0</v>
      </c>
      <c r="I392" s="2" t="n">
        <v>200</v>
      </c>
      <c r="J392" s="2" t="n">
        <v>0.645</v>
      </c>
      <c r="K392" s="2" t="inlineStr">
        <is>
          <t>&gt; Mundo Bebe &gt; Higiene para el Bebe &gt; Higiene del Bebé &gt;</t>
        </is>
      </c>
      <c r="L392" s="2" t="inlineStr">
        <is>
          <t>shampoo</t>
        </is>
      </c>
      <c r="M392" s="2" t="inlineStr">
        <is>
          <t>estandar</t>
        </is>
      </c>
      <c r="N392" s="2" t="inlineStr">
        <is>
          <t>general</t>
        </is>
      </c>
      <c r="O392" s="2" t="inlineStr">
        <is>
          <t>https://www.jumbo.com.ar/avengers-spiderman-shampoo-200ml/p</t>
        </is>
      </c>
    </row>
    <row r="393">
      <c r="A393" t="inlineStr">
        <is>
          <t>Jumbo</t>
        </is>
      </c>
      <c r="B393" t="n">
        <v>294912</v>
      </c>
      <c r="C393" t="n">
        <v>294143</v>
      </c>
      <c r="D393" t="inlineStr">
        <is>
          <t>Shampoo Plusbelle Proteccion Natural</t>
        </is>
      </c>
      <c r="E393" t="inlineStr">
        <is>
          <t>PLUSBELLE</t>
        </is>
      </c>
      <c r="F393" t="n">
        <v>155.65</v>
      </c>
      <c r="G393" t="n">
        <v>12864</v>
      </c>
      <c r="H393" t="b">
        <v>0</v>
      </c>
      <c r="I393" t="inlineStr"/>
      <c r="J393" t="inlineStr"/>
      <c r="K393" t="inlineStr">
        <is>
          <t>&gt; Perfumería &gt; Cuidado Capilar &gt; Shampoo &gt;</t>
        </is>
      </c>
      <c r="L393" t="inlineStr">
        <is>
          <t>shampoo</t>
        </is>
      </c>
      <c r="M393" t="inlineStr">
        <is>
          <t>estandar</t>
        </is>
      </c>
      <c r="N393" t="inlineStr">
        <is>
          <t>general</t>
        </is>
      </c>
      <c r="O393" t="inlineStr">
        <is>
          <t>https://www.jumbo.com.ar/shampoo-plusbelle-proteccion-natural/p</t>
        </is>
      </c>
    </row>
    <row r="394">
      <c r="A394" s="2" t="inlineStr">
        <is>
          <t>Jumbo</t>
        </is>
      </c>
      <c r="B394" s="2" t="n">
        <v>277404</v>
      </c>
      <c r="C394" s="2" t="n">
        <v>276690</v>
      </c>
      <c r="D394" s="2" t="inlineStr">
        <is>
          <t>Shampoo Capilatis Pure Silver</t>
        </is>
      </c>
      <c r="E394" s="2" t="inlineStr">
        <is>
          <t>CAPILATIS</t>
        </is>
      </c>
      <c r="F394" s="2" t="n">
        <v>808</v>
      </c>
      <c r="G394" s="2" t="n">
        <v>808</v>
      </c>
      <c r="H394" s="2" t="b">
        <v>0</v>
      </c>
      <c r="I394" s="2" t="inlineStr"/>
      <c r="J394" s="2" t="inlineStr"/>
      <c r="K394" s="2" t="inlineStr">
        <is>
          <t>&gt; Perfumería &gt; Cuidado Capilar &gt; Shampoo &gt;</t>
        </is>
      </c>
      <c r="L394" s="2" t="inlineStr">
        <is>
          <t>shampoo</t>
        </is>
      </c>
      <c r="M394" s="2" t="inlineStr">
        <is>
          <t>estandar</t>
        </is>
      </c>
      <c r="N394" s="2" t="inlineStr">
        <is>
          <t>general</t>
        </is>
      </c>
      <c r="O394" s="2" t="inlineStr">
        <is>
          <t>https://www.jumbo.com.ar/shampoo-capilatis-pure-silver/p</t>
        </is>
      </c>
    </row>
    <row r="395">
      <c r="A395" t="inlineStr">
        <is>
          <t>Jumbo</t>
        </is>
      </c>
      <c r="B395" t="n">
        <v>272969</v>
      </c>
      <c r="C395" t="n">
        <v>272236</v>
      </c>
      <c r="D395" t="inlineStr">
        <is>
          <t>Shampoo Roby Rulos Hidratados</t>
        </is>
      </c>
      <c r="E395" t="inlineStr">
        <is>
          <t>ROBY</t>
        </is>
      </c>
      <c r="F395" t="n">
        <v>58.99</v>
      </c>
      <c r="G395" t="n">
        <v>4875</v>
      </c>
      <c r="H395" t="b">
        <v>0</v>
      </c>
      <c r="I395" t="inlineStr"/>
      <c r="J395" t="inlineStr"/>
      <c r="K395" t="inlineStr">
        <is>
          <t>&gt; Perfumería &gt; Cuidado Capilar &gt; Shampoo &gt;</t>
        </is>
      </c>
      <c r="L395" t="inlineStr">
        <is>
          <t>shampoo</t>
        </is>
      </c>
      <c r="M395" t="inlineStr">
        <is>
          <t>estandar</t>
        </is>
      </c>
      <c r="N395" t="inlineStr">
        <is>
          <t>rizado</t>
        </is>
      </c>
      <c r="O395" t="inlineStr">
        <is>
          <t>https://www.jumbo.com.ar/shampoo-roby-rulos-hidratados/p</t>
        </is>
      </c>
    </row>
    <row r="396">
      <c r="A396" s="2" t="inlineStr">
        <is>
          <t>Jumbo</t>
        </is>
      </c>
      <c r="B396" s="2" t="n">
        <v>271706</v>
      </c>
      <c r="C396" s="2" t="n">
        <v>271185</v>
      </c>
      <c r="D396" s="2" t="inlineStr">
        <is>
          <t>Shampoo Sedal Restauracion 300ml</t>
        </is>
      </c>
      <c r="E396" s="2" t="inlineStr">
        <is>
          <t>SEDAL</t>
        </is>
      </c>
      <c r="F396" s="2" t="n">
        <v>196.89</v>
      </c>
      <c r="G396" s="2" t="n">
        <v>16272</v>
      </c>
      <c r="H396" s="2" t="b">
        <v>0</v>
      </c>
      <c r="I396" s="2" t="n">
        <v>300</v>
      </c>
      <c r="J396" s="2" t="n">
        <v>0.6563</v>
      </c>
      <c r="K396" s="2" t="inlineStr">
        <is>
          <t>&gt; Perfumería &gt; Cuidado Capilar &gt; Shampoo &gt;</t>
        </is>
      </c>
      <c r="L396" s="2" t="inlineStr">
        <is>
          <t>shampoo</t>
        </is>
      </c>
      <c r="M396" s="2" t="inlineStr">
        <is>
          <t>estandar</t>
        </is>
      </c>
      <c r="N396" s="2" t="inlineStr">
        <is>
          <t>general</t>
        </is>
      </c>
      <c r="O396" s="2" t="inlineStr">
        <is>
          <t>https://www.jumbo.com.ar/shampoo-sedal-restauracion-300ml/p</t>
        </is>
      </c>
    </row>
    <row r="397">
      <c r="A397" t="inlineStr">
        <is>
          <t>Jumbo</t>
        </is>
      </c>
      <c r="B397" t="n">
        <v>137977</v>
      </c>
      <c r="C397" t="n">
        <v>134888</v>
      </c>
      <c r="D397" t="inlineStr">
        <is>
          <t>Pantene Shampoo Summer 400ml</t>
        </is>
      </c>
      <c r="E397" t="inlineStr">
        <is>
          <t>PANTENE</t>
        </is>
      </c>
      <c r="F397" t="n">
        <v>48.79</v>
      </c>
      <c r="G397" t="n">
        <v>4032</v>
      </c>
      <c r="H397" t="b">
        <v>0</v>
      </c>
      <c r="I397" t="n">
        <v>400</v>
      </c>
      <c r="J397" t="n">
        <v>0.122</v>
      </c>
      <c r="K397" t="inlineStr">
        <is>
          <t>&gt; Perfumería &gt; Cuidado Capilar &gt; Shampoo &gt;</t>
        </is>
      </c>
      <c r="L397" t="inlineStr">
        <is>
          <t>shampoo</t>
        </is>
      </c>
      <c r="M397" t="inlineStr">
        <is>
          <t>estandar</t>
        </is>
      </c>
      <c r="N397" t="inlineStr">
        <is>
          <t>general</t>
        </is>
      </c>
      <c r="O397" t="inlineStr">
        <is>
          <t>https://www.jumbo.com.ar/pantene-shampoo-summer-400ml-2/p</t>
        </is>
      </c>
    </row>
    <row r="398">
      <c r="A398" s="2" t="inlineStr">
        <is>
          <t>Jumbo</t>
        </is>
      </c>
      <c r="B398" s="2" t="n">
        <v>132229</v>
      </c>
      <c r="C398" s="2" t="n">
        <v>129145</v>
      </c>
      <c r="D398" s="2" t="inlineStr">
        <is>
          <t>Pantene Shampoo Restauración 400ml</t>
        </is>
      </c>
      <c r="E398" s="2" t="inlineStr">
        <is>
          <t>PANTENE</t>
        </is>
      </c>
      <c r="F398" s="2" t="n">
        <v>48.79</v>
      </c>
      <c r="G398" s="2" t="n">
        <v>4032</v>
      </c>
      <c r="H398" s="2" t="b">
        <v>0</v>
      </c>
      <c r="I398" s="2" t="n">
        <v>400</v>
      </c>
      <c r="J398" s="2" t="n">
        <v>0.122</v>
      </c>
      <c r="K398" s="2" t="inlineStr">
        <is>
          <t>&gt; Perfumería &gt; Cuidado Capilar &gt; Shampoo &gt;</t>
        </is>
      </c>
      <c r="L398" s="2" t="inlineStr">
        <is>
          <t>shampoo</t>
        </is>
      </c>
      <c r="M398" s="2" t="inlineStr">
        <is>
          <t>estandar</t>
        </is>
      </c>
      <c r="N398" s="2" t="inlineStr">
        <is>
          <t>general</t>
        </is>
      </c>
      <c r="O398" s="2" t="inlineStr">
        <is>
          <t>https://www.jumbo.com.ar/pantene-shampoo-restauracion-400ml/p</t>
        </is>
      </c>
    </row>
    <row r="399">
      <c r="A399" t="inlineStr">
        <is>
          <t>Jumbo</t>
        </is>
      </c>
      <c r="B399" t="n">
        <v>116062</v>
      </c>
      <c r="C399" t="n">
        <v>115107</v>
      </c>
      <c r="D399" t="inlineStr">
        <is>
          <t>Shampoo Suave X350ml Protección Del Color  Pvc 350 Ml.</t>
        </is>
      </c>
      <c r="E399" t="inlineStr">
        <is>
          <t>SUAVE</t>
        </is>
      </c>
      <c r="F399" t="n">
        <v>3.25</v>
      </c>
      <c r="G399" t="n">
        <v>3.25</v>
      </c>
      <c r="H399" t="b">
        <v>0</v>
      </c>
      <c r="I399" t="n">
        <v>350</v>
      </c>
      <c r="J399" t="n">
        <v>0.009299999999999999</v>
      </c>
      <c r="K399" t="inlineStr">
        <is>
          <t>&gt; Perfumería &gt; Cuidado Capilar &gt; Shampoo &gt;</t>
        </is>
      </c>
      <c r="L399" t="inlineStr">
        <is>
          <t>shampoo</t>
        </is>
      </c>
      <c r="M399" t="inlineStr">
        <is>
          <t>estandar</t>
        </is>
      </c>
      <c r="N399" t="inlineStr">
        <is>
          <t>tratado</t>
        </is>
      </c>
      <c r="O399" t="inlineStr">
        <is>
          <t>https://www.jumbo.com.ar/shampoo-suave-x350ml/p</t>
        </is>
      </c>
    </row>
    <row r="400">
      <c r="A400" s="2" t="inlineStr">
        <is>
          <t>Jumbo</t>
        </is>
      </c>
      <c r="B400" s="2" t="n">
        <v>113691</v>
      </c>
      <c r="C400" s="2" t="n">
        <v>112741</v>
      </c>
      <c r="D400" s="2" t="inlineStr">
        <is>
          <t>Shampoo L´oreal Kids</t>
        </is>
      </c>
      <c r="E400" s="2" t="inlineStr">
        <is>
          <t>L´OREAL KIDS</t>
        </is>
      </c>
      <c r="F400" s="2" t="n">
        <v>11.23</v>
      </c>
      <c r="G400" s="2" t="n">
        <v>11.23</v>
      </c>
      <c r="H400" s="2" t="b">
        <v>0</v>
      </c>
      <c r="I400" s="2" t="inlineStr"/>
      <c r="J400" s="2" t="inlineStr"/>
      <c r="K400" s="2" t="inlineStr">
        <is>
          <t>&gt; Mundo Bebe &gt; Higiene para el Bebe &gt; Higiene del Bebé &gt;</t>
        </is>
      </c>
      <c r="L400" s="2" t="inlineStr">
        <is>
          <t>shampoo</t>
        </is>
      </c>
      <c r="M400" s="2" t="inlineStr">
        <is>
          <t>estandar</t>
        </is>
      </c>
      <c r="N400" s="2" t="inlineStr">
        <is>
          <t>bebe</t>
        </is>
      </c>
      <c r="O400" s="2" t="inlineStr">
        <is>
          <t>https://www.jumbo.com.ar/shampoo-l-oreal-kids-5/p</t>
        </is>
      </c>
    </row>
    <row r="401">
      <c r="A401" t="inlineStr">
        <is>
          <t>Jumbo</t>
        </is>
      </c>
      <c r="B401" t="n">
        <v>111862</v>
      </c>
      <c r="C401" t="n">
        <v>78683</v>
      </c>
      <c r="D401" t="inlineStr">
        <is>
          <t>Shampoo Plusbelle Hidratacion 1lt</t>
        </is>
      </c>
      <c r="E401" t="inlineStr">
        <is>
          <t>PLUSBELLE</t>
        </is>
      </c>
      <c r="F401" t="n">
        <v>203.69</v>
      </c>
      <c r="G401" t="n">
        <v>16834</v>
      </c>
      <c r="H401" t="b">
        <v>0</v>
      </c>
      <c r="I401" t="inlineStr"/>
      <c r="J401" t="inlineStr"/>
      <c r="K401" t="inlineStr">
        <is>
          <t>&gt; Perfumería &gt; Cuidado Capilar &gt; Shampoo &gt;</t>
        </is>
      </c>
      <c r="L401" t="inlineStr">
        <is>
          <t>shampoo</t>
        </is>
      </c>
      <c r="M401" t="inlineStr">
        <is>
          <t>estandar</t>
        </is>
      </c>
      <c r="N401" t="inlineStr">
        <is>
          <t>seco_danado</t>
        </is>
      </c>
      <c r="O401" t="inlineStr">
        <is>
          <t>https://www.jumbo.com.ar/shampoo-plusbelle-hidratacion-1lt-2/p</t>
        </is>
      </c>
    </row>
    <row r="402">
      <c r="A402" s="2" t="inlineStr">
        <is>
          <t>Jumbo</t>
        </is>
      </c>
      <c r="B402" s="2" t="n">
        <v>111841</v>
      </c>
      <c r="C402" s="2" t="n">
        <v>78662</v>
      </c>
      <c r="D402" s="2" t="inlineStr">
        <is>
          <t>Shampoo Elvive Renutricion 400ml</t>
        </is>
      </c>
      <c r="E402" s="2" t="inlineStr">
        <is>
          <t>ELVIVE</t>
        </is>
      </c>
      <c r="F402" s="2" t="n">
        <v>430.95</v>
      </c>
      <c r="G402" s="2" t="n">
        <v>35616</v>
      </c>
      <c r="H402" s="2" t="b">
        <v>0</v>
      </c>
      <c r="I402" s="2" t="n">
        <v>400</v>
      </c>
      <c r="J402" s="2" t="n">
        <v>1.0774</v>
      </c>
      <c r="K402" s="2" t="inlineStr">
        <is>
          <t>&gt; Perfumería &gt; Cuidado Capilar &gt; Shampoo &gt;</t>
        </is>
      </c>
      <c r="L402" s="2" t="inlineStr">
        <is>
          <t>shampoo</t>
        </is>
      </c>
      <c r="M402" s="2" t="inlineStr">
        <is>
          <t>profesional</t>
        </is>
      </c>
      <c r="N402" s="2" t="inlineStr">
        <is>
          <t>general</t>
        </is>
      </c>
      <c r="O402" s="2" t="inlineStr">
        <is>
          <t>https://www.jumbo.com.ar/shampoo-elvive-renutricion-400ml/p</t>
        </is>
      </c>
    </row>
    <row r="403">
      <c r="A403" t="inlineStr">
        <is>
          <t>Jumbo</t>
        </is>
      </c>
      <c r="B403" t="n">
        <v>42013</v>
      </c>
      <c r="C403" t="n">
        <v>39177</v>
      </c>
      <c r="D403" t="inlineStr">
        <is>
          <t>Shampoo Fructis Brillo 200ml</t>
        </is>
      </c>
      <c r="E403" t="inlineStr">
        <is>
          <t>FRUCTIS</t>
        </is>
      </c>
      <c r="F403" t="n">
        <v>233.45</v>
      </c>
      <c r="G403" t="n">
        <v>19293</v>
      </c>
      <c r="H403" t="b">
        <v>0</v>
      </c>
      <c r="I403" t="n">
        <v>200</v>
      </c>
      <c r="J403" t="n">
        <v>1.1672</v>
      </c>
      <c r="K403" t="inlineStr">
        <is>
          <t>&gt; Perfumería &gt; Cuidado Capilar &gt; Shampoo &gt;</t>
        </is>
      </c>
      <c r="L403" t="inlineStr">
        <is>
          <t>shampoo</t>
        </is>
      </c>
      <c r="M403" t="inlineStr">
        <is>
          <t>estandar</t>
        </is>
      </c>
      <c r="N403" t="inlineStr">
        <is>
          <t>general</t>
        </is>
      </c>
      <c r="O403" t="inlineStr">
        <is>
          <t>https://www.jumbo.com.ar/shampoo-fructis-brillo-200ml-2/p</t>
        </is>
      </c>
    </row>
    <row r="404">
      <c r="A404" s="2" t="inlineStr">
        <is>
          <t>Jumbo</t>
        </is>
      </c>
      <c r="B404" s="2" t="n">
        <v>41645</v>
      </c>
      <c r="C404" s="2" t="n">
        <v>38810</v>
      </c>
      <c r="D404" s="2" t="inlineStr">
        <is>
          <t>Shampoo Fructis Control 200ml</t>
        </is>
      </c>
      <c r="E404" s="2" t="inlineStr">
        <is>
          <t>FRUCTIS</t>
        </is>
      </c>
      <c r="F404" s="2" t="n">
        <v>213.99</v>
      </c>
      <c r="G404" s="2" t="n">
        <v>17685</v>
      </c>
      <c r="H404" s="2" t="b">
        <v>0</v>
      </c>
      <c r="I404" s="2" t="n">
        <v>200</v>
      </c>
      <c r="J404" s="2" t="n">
        <v>1.0699</v>
      </c>
      <c r="K404" s="2" t="inlineStr">
        <is>
          <t>&gt; Perfumería &gt; Cuidado Capilar &gt; Shampoo &gt;</t>
        </is>
      </c>
      <c r="L404" s="2" t="inlineStr">
        <is>
          <t>shampoo</t>
        </is>
      </c>
      <c r="M404" s="2" t="inlineStr">
        <is>
          <t>estandar</t>
        </is>
      </c>
      <c r="N404" s="2" t="inlineStr">
        <is>
          <t>general</t>
        </is>
      </c>
      <c r="O404" s="2" t="inlineStr">
        <is>
          <t>https://www.jumbo.com.ar/shampoo-fructis-control-200ml-2/p</t>
        </is>
      </c>
    </row>
    <row r="405">
      <c r="A405" t="inlineStr">
        <is>
          <t>Jumbo</t>
        </is>
      </c>
      <c r="B405" t="n">
        <v>19650</v>
      </c>
      <c r="C405" t="n">
        <v>16812</v>
      </c>
      <c r="D405" t="inlineStr">
        <is>
          <t>Shampoo Sedal Rizos 340ml</t>
        </is>
      </c>
      <c r="E405" t="inlineStr">
        <is>
          <t>SEDAL</t>
        </is>
      </c>
      <c r="F405" t="n">
        <v>155.69</v>
      </c>
      <c r="G405" t="n">
        <v>12867</v>
      </c>
      <c r="H405" t="b">
        <v>0</v>
      </c>
      <c r="I405" t="n">
        <v>340</v>
      </c>
      <c r="J405" t="n">
        <v>0.4579</v>
      </c>
      <c r="K405" t="inlineStr">
        <is>
          <t>&gt; Perfumería &gt; Cuidado Capilar &gt; Shampoo &gt;</t>
        </is>
      </c>
      <c r="L405" t="inlineStr">
        <is>
          <t>shampoo</t>
        </is>
      </c>
      <c r="M405" t="inlineStr">
        <is>
          <t>estandar</t>
        </is>
      </c>
      <c r="N405" t="inlineStr">
        <is>
          <t>rizado</t>
        </is>
      </c>
      <c r="O405" t="inlineStr">
        <is>
          <t>https://www.jumbo.com.ar/shampoo-sedal-rizos-340ml/p</t>
        </is>
      </c>
    </row>
    <row r="406">
      <c r="A406" s="2" t="inlineStr">
        <is>
          <t>Jumbo</t>
        </is>
      </c>
      <c r="B406" s="2" t="n">
        <v>19649</v>
      </c>
      <c r="C406" s="2" t="n">
        <v>16811</v>
      </c>
      <c r="D406" s="2" t="inlineStr">
        <is>
          <t>Shampoo Sedal Liso 340ml</t>
        </is>
      </c>
      <c r="E406" s="2" t="inlineStr">
        <is>
          <t>SEDAL</t>
        </is>
      </c>
      <c r="F406" s="2" t="n">
        <v>450</v>
      </c>
      <c r="G406" s="2" t="n">
        <v>37190</v>
      </c>
      <c r="H406" s="2" t="b">
        <v>0</v>
      </c>
      <c r="I406" s="2" t="n">
        <v>340</v>
      </c>
      <c r="J406" s="2" t="n">
        <v>1.3235</v>
      </c>
      <c r="K406" s="2" t="inlineStr">
        <is>
          <t>&gt; Perfumería &gt; Cuidado Capilar &gt; Shampoo &gt;</t>
        </is>
      </c>
      <c r="L406" s="2" t="inlineStr">
        <is>
          <t>shampoo</t>
        </is>
      </c>
      <c r="M406" s="2" t="inlineStr">
        <is>
          <t>estandar</t>
        </is>
      </c>
      <c r="N406" s="2" t="inlineStr">
        <is>
          <t>general</t>
        </is>
      </c>
      <c r="O406" s="2" t="inlineStr">
        <is>
          <t>https://www.jumbo.com.ar/shampoo-sedal-liso-340ml/p</t>
        </is>
      </c>
    </row>
    <row r="407">
      <c r="A407" t="inlineStr">
        <is>
          <t>Jumbo</t>
        </is>
      </c>
      <c r="B407" t="n">
        <v>19551</v>
      </c>
      <c r="C407" t="n">
        <v>16708</v>
      </c>
      <c r="D407" t="inlineStr">
        <is>
          <t>Shampoo Sedal Ceramidas 190ml</t>
        </is>
      </c>
      <c r="E407" t="inlineStr">
        <is>
          <t>SEDAL SOS</t>
        </is>
      </c>
      <c r="F407" t="n">
        <v>166.17</v>
      </c>
      <c r="G407" t="n">
        <v>13733</v>
      </c>
      <c r="H407" t="b">
        <v>0</v>
      </c>
      <c r="I407" t="n">
        <v>190</v>
      </c>
      <c r="J407" t="n">
        <v>0.8746</v>
      </c>
      <c r="K407" t="inlineStr">
        <is>
          <t>&gt; Perfumería &gt; Cuidado Capilar &gt; Shampoo &gt;</t>
        </is>
      </c>
      <c r="L407" t="inlineStr">
        <is>
          <t>shampoo</t>
        </is>
      </c>
      <c r="M407" t="inlineStr">
        <is>
          <t>estandar</t>
        </is>
      </c>
      <c r="N407" t="inlineStr">
        <is>
          <t>general</t>
        </is>
      </c>
      <c r="O407" t="inlineStr">
        <is>
          <t>https://www.jumbo.com.ar/shampoo-sedal-ceramidas-190ml/p</t>
        </is>
      </c>
    </row>
    <row r="408">
      <c r="A408" s="2" t="inlineStr">
        <is>
          <t>Jumbo</t>
        </is>
      </c>
      <c r="B408" s="2" t="n">
        <v>19535</v>
      </c>
      <c r="C408" s="2" t="n">
        <v>16691</v>
      </c>
      <c r="D408" s="2" t="inlineStr">
        <is>
          <t>Shampoo Tresemme Hidratacion 750ml</t>
        </is>
      </c>
      <c r="E408" s="2" t="inlineStr">
        <is>
          <t>TRESEMMÉ</t>
        </is>
      </c>
      <c r="F408" s="2" t="n">
        <v>814.35</v>
      </c>
      <c r="G408" s="2" t="n">
        <v>67302</v>
      </c>
      <c r="H408" s="2" t="b">
        <v>0</v>
      </c>
      <c r="I408" s="2" t="n">
        <v>750</v>
      </c>
      <c r="J408" s="2" t="n">
        <v>1.0858</v>
      </c>
      <c r="K408" s="2" t="inlineStr">
        <is>
          <t>&gt; Perfumería &gt; Cuidado Capilar &gt; Shampoo &gt;</t>
        </is>
      </c>
      <c r="L408" s="2" t="inlineStr">
        <is>
          <t>shampoo</t>
        </is>
      </c>
      <c r="M408" s="2" t="inlineStr">
        <is>
          <t>estandar</t>
        </is>
      </c>
      <c r="N408" s="2" t="inlineStr">
        <is>
          <t>seco_danado</t>
        </is>
      </c>
      <c r="O408" s="2" t="inlineStr">
        <is>
          <t>https://www.jumbo.com.ar/shampoo-tresemme-hidratacion-750ml/p</t>
        </is>
      </c>
    </row>
    <row r="409">
      <c r="A409" t="inlineStr">
        <is>
          <t>Jumbo</t>
        </is>
      </c>
      <c r="B409" t="n">
        <v>17781</v>
      </c>
      <c r="C409" t="n">
        <v>14900</v>
      </c>
      <c r="D409" t="inlineStr">
        <is>
          <t>Shampoo Triatop Intenso 400ml</t>
        </is>
      </c>
      <c r="E409" t="inlineStr">
        <is>
          <t>TRIATOP</t>
        </is>
      </c>
      <c r="F409" t="n">
        <v>603.37</v>
      </c>
      <c r="G409" t="n">
        <v>49865</v>
      </c>
      <c r="H409" t="b">
        <v>0</v>
      </c>
      <c r="I409" t="n">
        <v>400</v>
      </c>
      <c r="J409" t="n">
        <v>1.5084</v>
      </c>
      <c r="K409" t="inlineStr">
        <is>
          <t>&gt; Perfumería &gt; Cuidado Capilar &gt; Shampoo &gt;</t>
        </is>
      </c>
      <c r="L409" t="inlineStr">
        <is>
          <t>shampoo</t>
        </is>
      </c>
      <c r="M409" t="inlineStr">
        <is>
          <t>estandar</t>
        </is>
      </c>
      <c r="N409" t="inlineStr">
        <is>
          <t>general</t>
        </is>
      </c>
      <c r="O409" t="inlineStr">
        <is>
          <t>https://www.jumbo.com.ar/shampoo-triatop-intenso-400ml/p</t>
        </is>
      </c>
    </row>
    <row r="410">
      <c r="A410" s="2" t="inlineStr">
        <is>
          <t>Jumbo</t>
        </is>
      </c>
      <c r="B410" s="2" t="n">
        <v>14381</v>
      </c>
      <c r="C410" s="2" t="n">
        <v>11564</v>
      </c>
      <c r="D410" s="2" t="inlineStr">
        <is>
          <t>Shampoo Capilatis Caida 350ml</t>
        </is>
      </c>
      <c r="E410" s="2" t="inlineStr">
        <is>
          <t>CAPILATIS</t>
        </is>
      </c>
      <c r="F410" s="2" t="n">
        <v>1403.55</v>
      </c>
      <c r="G410" s="2" t="n">
        <v>115996</v>
      </c>
      <c r="H410" s="2" t="b">
        <v>0</v>
      </c>
      <c r="I410" s="2" t="n">
        <v>350</v>
      </c>
      <c r="J410" s="2" t="n">
        <v>4.0101</v>
      </c>
      <c r="K410" s="2" t="inlineStr">
        <is>
          <t>&gt; Perfumería &gt; Cuidado Capilar &gt; Shampoo &gt;</t>
        </is>
      </c>
      <c r="L410" s="2" t="inlineStr">
        <is>
          <t>shampoo</t>
        </is>
      </c>
      <c r="M410" s="2" t="inlineStr">
        <is>
          <t>estandar</t>
        </is>
      </c>
      <c r="N410" s="2" t="inlineStr">
        <is>
          <t>general</t>
        </is>
      </c>
      <c r="O410" s="2" t="inlineStr">
        <is>
          <t>https://www.jumbo.com.ar/shampoo-capilatis-caida-350ml/p</t>
        </is>
      </c>
    </row>
    <row r="411">
      <c r="A411" t="inlineStr">
        <is>
          <t>Jumbo</t>
        </is>
      </c>
      <c r="B411" t="n">
        <v>8108</v>
      </c>
      <c r="C411" t="n">
        <v>5434</v>
      </c>
      <c r="D411" t="inlineStr">
        <is>
          <t>Shampoo Plusbelle Hydro-reparacion Shampoo Plusbelle Hydro Reparación 650 Ml</t>
        </is>
      </c>
      <c r="E411" t="inlineStr">
        <is>
          <t>PLUSBELLE</t>
        </is>
      </c>
      <c r="F411" t="n">
        <v>71.67</v>
      </c>
      <c r="G411" t="n">
        <v>5923</v>
      </c>
      <c r="H411" t="b">
        <v>0</v>
      </c>
      <c r="I411" t="n">
        <v>650</v>
      </c>
      <c r="J411" t="n">
        <v>0.1103</v>
      </c>
      <c r="K411" t="inlineStr">
        <is>
          <t>&gt; Perfumería &gt; Cuidado Capilar &gt; Shampoo &gt;</t>
        </is>
      </c>
      <c r="L411" t="inlineStr">
        <is>
          <t>shampoo</t>
        </is>
      </c>
      <c r="M411" t="inlineStr">
        <is>
          <t>estandar</t>
        </is>
      </c>
      <c r="N411" t="inlineStr">
        <is>
          <t>general</t>
        </is>
      </c>
      <c r="O411" t="inlineStr">
        <is>
          <t>https://www.jumbo.com.ar/shampoo-plusbelle-hydro-reparacion/p</t>
        </is>
      </c>
    </row>
    <row r="412">
      <c r="A412" s="2" t="inlineStr">
        <is>
          <t>Jumbo</t>
        </is>
      </c>
      <c r="B412" s="2" t="n">
        <v>7346</v>
      </c>
      <c r="C412" s="2" t="n">
        <v>4678</v>
      </c>
      <c r="D412" s="2" t="inlineStr">
        <is>
          <t>Shampoo Pantene Rizos 200ml</t>
        </is>
      </c>
      <c r="E412" s="2" t="inlineStr">
        <is>
          <t>PANTENE</t>
        </is>
      </c>
      <c r="F412" s="2" t="n">
        <v>173.39</v>
      </c>
      <c r="G412" s="2" t="n">
        <v>14330</v>
      </c>
      <c r="H412" s="2" t="b">
        <v>0</v>
      </c>
      <c r="I412" s="2" t="n">
        <v>200</v>
      </c>
      <c r="J412" s="2" t="n">
        <v>0.8669</v>
      </c>
      <c r="K412" s="2" t="inlineStr">
        <is>
          <t>&gt; Perfumería &gt; Cuidado Capilar &gt; Shampoo &gt;</t>
        </is>
      </c>
      <c r="L412" s="2" t="inlineStr">
        <is>
          <t>shampoo</t>
        </is>
      </c>
      <c r="M412" s="2" t="inlineStr">
        <is>
          <t>estandar</t>
        </is>
      </c>
      <c r="N412" s="2" t="inlineStr">
        <is>
          <t>rizado</t>
        </is>
      </c>
      <c r="O412" s="2" t="inlineStr">
        <is>
          <t>https://www.jumbo.com.ar/shampoo-pantene-rizos-200ml/p</t>
        </is>
      </c>
    </row>
    <row r="413">
      <c r="A413" t="inlineStr">
        <is>
          <t>Jumbo</t>
        </is>
      </c>
      <c r="B413" t="n">
        <v>3068435</v>
      </c>
      <c r="C413" t="n">
        <v>3068185</v>
      </c>
      <c r="D413" t="inlineStr">
        <is>
          <t>Shampoo Con Palo Amargo Capilatis</t>
        </is>
      </c>
      <c r="E413" t="inlineStr">
        <is>
          <t>CAPILATIS</t>
        </is>
      </c>
      <c r="F413" t="n">
        <v>9250</v>
      </c>
      <c r="G413" t="n">
        <v>764463</v>
      </c>
      <c r="H413" t="b">
        <v>0</v>
      </c>
      <c r="I413" t="inlineStr"/>
      <c r="J413" t="inlineStr"/>
      <c r="K413" t="inlineStr">
        <is>
          <t>&gt; Perfumería &gt; Cuidado Capilar &gt; Shampoo &gt;</t>
        </is>
      </c>
      <c r="L413" t="inlineStr">
        <is>
          <t>shampoo</t>
        </is>
      </c>
      <c r="M413" t="inlineStr">
        <is>
          <t>estandar</t>
        </is>
      </c>
      <c r="N413" t="inlineStr">
        <is>
          <t>general</t>
        </is>
      </c>
      <c r="O413" t="inlineStr">
        <is>
          <t>https://www.jumbo.com.ar/shampoo-con-palo-amargo-capilatis/p</t>
        </is>
      </c>
    </row>
    <row r="414">
      <c r="A414" s="2" t="inlineStr">
        <is>
          <t>Jumbo</t>
        </is>
      </c>
      <c r="B414" s="2" t="n">
        <v>415575</v>
      </c>
      <c r="C414" s="2" t="n">
        <v>411159</v>
      </c>
      <c r="D414" s="2" t="inlineStr">
        <is>
          <t>Shampoo Revilitacion 400 Ml Pantene</t>
        </is>
      </c>
      <c r="E414" s="2" t="inlineStr">
        <is>
          <t>PANTENE</t>
        </is>
      </c>
      <c r="F414" s="2" t="n">
        <v>10000</v>
      </c>
      <c r="G414" s="2" t="n">
        <v>826446</v>
      </c>
      <c r="H414" s="2" t="b">
        <v>0</v>
      </c>
      <c r="I414" s="2" t="n">
        <v>400</v>
      </c>
      <c r="J414" s="2" t="n">
        <v>25</v>
      </c>
      <c r="K414" s="2" t="inlineStr">
        <is>
          <t>&gt; Perfumería &gt; Cuidado Capilar &gt; Shampoo &gt;</t>
        </is>
      </c>
      <c r="L414" s="2" t="inlineStr">
        <is>
          <t>shampoo</t>
        </is>
      </c>
      <c r="M414" s="2" t="inlineStr">
        <is>
          <t>estandar</t>
        </is>
      </c>
      <c r="N414" s="2" t="inlineStr">
        <is>
          <t>general</t>
        </is>
      </c>
      <c r="O414" s="2" t="inlineStr">
        <is>
          <t>https://www.jumbo.com.ar/shampoo-revilitacion-400-ml-pantene/p</t>
        </is>
      </c>
    </row>
    <row r="415">
      <c r="A415" t="inlineStr">
        <is>
          <t>Jumbo</t>
        </is>
      </c>
      <c r="B415" t="n">
        <v>415574</v>
      </c>
      <c r="C415" t="n">
        <v>411158</v>
      </c>
      <c r="D415" t="inlineStr">
        <is>
          <t>Shampoo Pantene  Revilitacion 750 Ml</t>
        </is>
      </c>
      <c r="E415" t="inlineStr">
        <is>
          <t>PANTENE</t>
        </is>
      </c>
      <c r="F415" t="n">
        <v>12550</v>
      </c>
      <c r="G415" t="n">
        <v>1037190</v>
      </c>
      <c r="H415" t="b">
        <v>0</v>
      </c>
      <c r="I415" t="n">
        <v>750</v>
      </c>
      <c r="J415" t="n">
        <v>16.7333</v>
      </c>
      <c r="K415" t="inlineStr">
        <is>
          <t>&gt; Perfumería &gt; Cuidado Capilar &gt; Shampoo &gt;</t>
        </is>
      </c>
      <c r="L415" t="inlineStr">
        <is>
          <t>shampoo</t>
        </is>
      </c>
      <c r="M415" t="inlineStr">
        <is>
          <t>estandar</t>
        </is>
      </c>
      <c r="N415" t="inlineStr">
        <is>
          <t>general</t>
        </is>
      </c>
      <c r="O415" t="inlineStr">
        <is>
          <t>https://www.jumbo.com.ar/shampoo-pantene-revilitacion-750-ml/p</t>
        </is>
      </c>
    </row>
    <row r="416">
      <c r="A416" s="2" t="inlineStr">
        <is>
          <t>Jumbo</t>
        </is>
      </c>
      <c r="B416" s="2" t="n">
        <v>410232</v>
      </c>
      <c r="C416" s="2" t="n">
        <v>406236</v>
      </c>
      <c r="D416" s="2" t="inlineStr">
        <is>
          <t>Shampoo Swing Hidratacion Prof 600ml</t>
        </is>
      </c>
      <c r="E416" s="2" t="inlineStr">
        <is>
          <t>SWING</t>
        </is>
      </c>
      <c r="F416" s="2" t="n">
        <v>916.89</v>
      </c>
      <c r="G416" s="2" t="n">
        <v>75776</v>
      </c>
      <c r="H416" s="2" t="b">
        <v>0</v>
      </c>
      <c r="I416" s="2" t="n">
        <v>600</v>
      </c>
      <c r="J416" s="2" t="n">
        <v>1.5281</v>
      </c>
      <c r="K416" s="2" t="inlineStr">
        <is>
          <t>&gt; Perfumería &gt; Cuidado Capilar &gt; Shampoo &gt;</t>
        </is>
      </c>
      <c r="L416" s="2" t="inlineStr">
        <is>
          <t>shampoo</t>
        </is>
      </c>
      <c r="M416" s="2" t="inlineStr">
        <is>
          <t>estandar</t>
        </is>
      </c>
      <c r="N416" s="2" t="inlineStr">
        <is>
          <t>seco_danado</t>
        </is>
      </c>
      <c r="O416" s="2" t="inlineStr">
        <is>
          <t>https://www.jumbo.com.ar/shampoo-swing-hidratacion-prof-600ml/p</t>
        </is>
      </c>
    </row>
    <row r="417">
      <c r="A417" t="inlineStr">
        <is>
          <t>Jumbo</t>
        </is>
      </c>
      <c r="B417" t="n">
        <v>397687</v>
      </c>
      <c r="C417" t="n">
        <v>395421</v>
      </c>
      <c r="D417" t="inlineStr">
        <is>
          <t>Shampoo Dove Cuidado Delicad 400ml</t>
        </is>
      </c>
      <c r="E417" t="inlineStr">
        <is>
          <t>DOVE</t>
        </is>
      </c>
      <c r="F417" t="n">
        <v>1211.79</v>
      </c>
      <c r="G417" t="n">
        <v>100148</v>
      </c>
      <c r="H417" t="b">
        <v>0</v>
      </c>
      <c r="I417" t="n">
        <v>400</v>
      </c>
      <c r="J417" t="n">
        <v>3.0295</v>
      </c>
      <c r="K417" t="inlineStr">
        <is>
          <t>&gt; Perfumería &gt; Cuidado Capilar &gt; Shampoo &gt;</t>
        </is>
      </c>
      <c r="L417" t="inlineStr">
        <is>
          <t>shampoo</t>
        </is>
      </c>
      <c r="M417" t="inlineStr">
        <is>
          <t>estandar</t>
        </is>
      </c>
      <c r="N417" t="inlineStr">
        <is>
          <t>general</t>
        </is>
      </c>
      <c r="O417" t="inlineStr">
        <is>
          <t>https://www.jumbo.com.ar/shampoo-dove-cuidado-delicad-400ml/p</t>
        </is>
      </c>
    </row>
    <row r="418">
      <c r="A418" s="2" t="inlineStr">
        <is>
          <t>Jumbo</t>
        </is>
      </c>
      <c r="B418" s="2" t="n">
        <v>394677</v>
      </c>
      <c r="C418" s="2" t="n">
        <v>392676</v>
      </c>
      <c r="D418" s="2" t="inlineStr">
        <is>
          <t>Shampoo Ogx Coconut Miracle 385ml</t>
        </is>
      </c>
      <c r="E418" s="2" t="inlineStr">
        <is>
          <t>OGX</t>
        </is>
      </c>
      <c r="F418" s="2" t="n">
        <v>9896.09</v>
      </c>
      <c r="G418" s="2" t="n">
        <v>817859</v>
      </c>
      <c r="H418" s="2" t="b">
        <v>0</v>
      </c>
      <c r="I418" s="2" t="n">
        <v>385</v>
      </c>
      <c r="J418" s="2" t="n">
        <v>25.7041</v>
      </c>
      <c r="K418" s="2" t="inlineStr">
        <is>
          <t>&gt; Perfumería &gt; Cuidado Capilar &gt; Shampoo &gt;</t>
        </is>
      </c>
      <c r="L418" s="2" t="inlineStr">
        <is>
          <t>shampoo</t>
        </is>
      </c>
      <c r="M418" s="2" t="inlineStr">
        <is>
          <t>estandar</t>
        </is>
      </c>
      <c r="N418" s="2" t="inlineStr">
        <is>
          <t>general</t>
        </is>
      </c>
      <c r="O418" s="2" t="inlineStr">
        <is>
          <t>https://www.jumbo.com.ar/shampoo-ogx-coconut-miracle-385ml/p</t>
        </is>
      </c>
    </row>
    <row r="419">
      <c r="A419" t="inlineStr">
        <is>
          <t>Jumbo</t>
        </is>
      </c>
      <c r="B419" t="n">
        <v>394354</v>
      </c>
      <c r="C419" t="n">
        <v>392360</v>
      </c>
      <c r="D419" t="inlineStr">
        <is>
          <t>Shampoo Dove Hidratacion Intensa 400ml</t>
        </is>
      </c>
      <c r="E419" t="inlineStr">
        <is>
          <t>DOVE</t>
        </is>
      </c>
      <c r="F419" t="n">
        <v>1211.79</v>
      </c>
      <c r="G419" t="n">
        <v>100148</v>
      </c>
      <c r="H419" t="b">
        <v>0</v>
      </c>
      <c r="I419" t="n">
        <v>400</v>
      </c>
      <c r="J419" t="n">
        <v>3.0295</v>
      </c>
      <c r="K419" t="inlineStr">
        <is>
          <t>&gt; Perfumería &gt; Cuidado Capilar &gt; Shampoo &gt;</t>
        </is>
      </c>
      <c r="L419" t="inlineStr">
        <is>
          <t>shampoo</t>
        </is>
      </c>
      <c r="M419" t="inlineStr">
        <is>
          <t>estandar</t>
        </is>
      </c>
      <c r="N419" t="inlineStr">
        <is>
          <t>seco_danado</t>
        </is>
      </c>
      <c r="O419" t="inlineStr">
        <is>
          <t>https://www.jumbo.com.ar/shampoo-dove-hidratacion-intensa-400ml/p</t>
        </is>
      </c>
    </row>
    <row r="420">
      <c r="A420" s="2" t="inlineStr">
        <is>
          <t>Jumbo</t>
        </is>
      </c>
      <c r="B420" s="2" t="n">
        <v>391974</v>
      </c>
      <c r="C420" s="2" t="n">
        <v>390026</v>
      </c>
      <c r="D420" s="2" t="inlineStr">
        <is>
          <t>Shampoo Plusbelle Restauracion Dp 300ml</t>
        </is>
      </c>
      <c r="E420" s="2" t="inlineStr">
        <is>
          <t>PLUSBELLE</t>
        </is>
      </c>
      <c r="F420" s="2" t="n">
        <v>1081.75</v>
      </c>
      <c r="G420" s="2" t="n">
        <v>89401</v>
      </c>
      <c r="H420" s="2" t="b">
        <v>0</v>
      </c>
      <c r="I420" s="2" t="n">
        <v>300</v>
      </c>
      <c r="J420" s="2" t="n">
        <v>3.6058</v>
      </c>
      <c r="K420" s="2" t="inlineStr">
        <is>
          <t>&gt; Perfumería &gt; Cuidado Capilar &gt; Shampoo &gt;</t>
        </is>
      </c>
      <c r="L420" s="2" t="inlineStr">
        <is>
          <t>shampoo</t>
        </is>
      </c>
      <c r="M420" s="2" t="inlineStr">
        <is>
          <t>estandar</t>
        </is>
      </c>
      <c r="N420" s="2" t="inlineStr">
        <is>
          <t>general</t>
        </is>
      </c>
      <c r="O420" s="2" t="inlineStr">
        <is>
          <t>https://www.jumbo.com.ar/shampoo-plusbelle-restauracion-dp-300ml/p</t>
        </is>
      </c>
    </row>
    <row r="421">
      <c r="A421" t="inlineStr">
        <is>
          <t>Jumbo</t>
        </is>
      </c>
      <c r="B421" t="n">
        <v>391512</v>
      </c>
      <c r="C421" t="n">
        <v>339969</v>
      </c>
      <c r="D421" t="inlineStr">
        <is>
          <t>Tío Nacho Shampoo Purificación 415ml</t>
        </is>
      </c>
      <c r="E421" t="inlineStr">
        <is>
          <t>Tio Nacho</t>
        </is>
      </c>
      <c r="F421" t="n">
        <v>785.29</v>
      </c>
      <c r="G421" t="n">
        <v>64900</v>
      </c>
      <c r="H421" t="b">
        <v>0</v>
      </c>
      <c r="I421" t="n">
        <v>415</v>
      </c>
      <c r="J421" t="n">
        <v>1.8923</v>
      </c>
      <c r="K421" t="inlineStr">
        <is>
          <t>&gt; Perfumería &gt; Cuidado Capilar &gt; Shampoo &gt;</t>
        </is>
      </c>
      <c r="L421" t="inlineStr">
        <is>
          <t>shampoo</t>
        </is>
      </c>
      <c r="M421" t="inlineStr">
        <is>
          <t>estandar</t>
        </is>
      </c>
      <c r="N421" t="inlineStr">
        <is>
          <t>general</t>
        </is>
      </c>
      <c r="O421" t="inlineStr">
        <is>
          <t>https://www.jumbo.com.ar/tio-nacho-shampoo-purificacion-415ml/p</t>
        </is>
      </c>
    </row>
    <row r="422">
      <c r="A422" s="2" t="inlineStr">
        <is>
          <t>Jumbo</t>
        </is>
      </c>
      <c r="B422" s="2" t="n">
        <v>390201</v>
      </c>
      <c r="C422" s="2" t="n">
        <v>388292</v>
      </c>
      <c r="D422" s="2" t="inlineStr">
        <is>
          <t>Shampoo Pantene Hidratación 400 Ml</t>
        </is>
      </c>
      <c r="E422" s="2" t="inlineStr">
        <is>
          <t>PANTENE</t>
        </is>
      </c>
      <c r="F422" s="2" t="n">
        <v>1292.77</v>
      </c>
      <c r="G422" s="2" t="n">
        <v>106841</v>
      </c>
      <c r="H422" s="2" t="b">
        <v>0</v>
      </c>
      <c r="I422" s="2" t="n">
        <v>400</v>
      </c>
      <c r="J422" s="2" t="n">
        <v>3.2319</v>
      </c>
      <c r="K422" s="2" t="inlineStr">
        <is>
          <t>&gt; Perfumería &gt; Cuidado Capilar &gt; Shampoo &gt;</t>
        </is>
      </c>
      <c r="L422" s="2" t="inlineStr">
        <is>
          <t>shampoo</t>
        </is>
      </c>
      <c r="M422" s="2" t="inlineStr">
        <is>
          <t>estandar</t>
        </is>
      </c>
      <c r="N422" s="2" t="inlineStr">
        <is>
          <t>seco_danado</t>
        </is>
      </c>
      <c r="O422" s="2" t="inlineStr">
        <is>
          <t>https://www.jumbo.com.ar/shampoo-pantene-hidratacion-400-ml-2/p</t>
        </is>
      </c>
    </row>
    <row r="423">
      <c r="A423" t="inlineStr">
        <is>
          <t>Jumbo</t>
        </is>
      </c>
      <c r="B423" t="n">
        <v>386637</v>
      </c>
      <c r="C423" t="n">
        <v>384916</v>
      </c>
      <c r="D423" t="inlineStr">
        <is>
          <t>Shampoo Head&amp;shoulders Fuerza 180ml</t>
        </is>
      </c>
      <c r="E423" t="inlineStr">
        <is>
          <t>HEAD &amp; SHOULDERS</t>
        </is>
      </c>
      <c r="F423" t="n">
        <v>742.87</v>
      </c>
      <c r="G423" t="n">
        <v>61394</v>
      </c>
      <c r="H423" t="b">
        <v>0</v>
      </c>
      <c r="I423" t="n">
        <v>180</v>
      </c>
      <c r="J423" t="n">
        <v>4.1271</v>
      </c>
      <c r="K423" t="inlineStr">
        <is>
          <t>&gt; Perfumería &gt; Cuidado Capilar &gt; Shampoo &gt;</t>
        </is>
      </c>
      <c r="L423" t="inlineStr">
        <is>
          <t>shampoo</t>
        </is>
      </c>
      <c r="M423" t="inlineStr">
        <is>
          <t>estandar</t>
        </is>
      </c>
      <c r="N423" t="inlineStr">
        <is>
          <t>general</t>
        </is>
      </c>
      <c r="O423" t="inlineStr">
        <is>
          <t>https://www.jumbo.com.ar/shampoo-head-shoulders-fuerza-180ml/p</t>
        </is>
      </c>
    </row>
    <row r="424">
      <c r="A424" s="2" t="inlineStr">
        <is>
          <t>Jumbo</t>
        </is>
      </c>
      <c r="B424" s="2" t="n">
        <v>386635</v>
      </c>
      <c r="C424" s="2" t="n">
        <v>384914</v>
      </c>
      <c r="D424" s="2" t="inlineStr">
        <is>
          <t>Shampoo Head&amp;shoulders Limpieza 375ml</t>
        </is>
      </c>
      <c r="E424" s="2" t="inlineStr">
        <is>
          <t>HEAD &amp; SHOULDERS</t>
        </is>
      </c>
      <c r="F424" s="2" t="n">
        <v>1199.29</v>
      </c>
      <c r="G424" s="2" t="n">
        <v>99115</v>
      </c>
      <c r="H424" s="2" t="b">
        <v>0</v>
      </c>
      <c r="I424" s="2" t="n">
        <v>375</v>
      </c>
      <c r="J424" s="2" t="n">
        <v>3.1981</v>
      </c>
      <c r="K424" s="2" t="inlineStr">
        <is>
          <t>&gt; Perfumería &gt; Cuidado Capilar &gt; Shampoo &gt;</t>
        </is>
      </c>
      <c r="L424" s="2" t="inlineStr">
        <is>
          <t>shampoo</t>
        </is>
      </c>
      <c r="M424" s="2" t="inlineStr">
        <is>
          <t>estandar</t>
        </is>
      </c>
      <c r="N424" s="2" t="inlineStr">
        <is>
          <t>general</t>
        </is>
      </c>
      <c r="O424" s="2" t="inlineStr">
        <is>
          <t>https://www.jumbo.com.ar/shampoo-head-shoulders-limpieza-375ml/p</t>
        </is>
      </c>
    </row>
    <row r="425">
      <c r="A425" t="inlineStr">
        <is>
          <t>Jumbo</t>
        </is>
      </c>
      <c r="B425" t="n">
        <v>386632</v>
      </c>
      <c r="C425" t="n">
        <v>384911</v>
      </c>
      <c r="D425" t="inlineStr">
        <is>
          <t>Shampoo Head&amp;shoulders Fuerza 375ml</t>
        </is>
      </c>
      <c r="E425" t="inlineStr">
        <is>
          <t>HEAD &amp; SHOULDERS</t>
        </is>
      </c>
      <c r="F425" t="n">
        <v>910.13</v>
      </c>
      <c r="G425" t="n">
        <v>75217</v>
      </c>
      <c r="H425" t="b">
        <v>0</v>
      </c>
      <c r="I425" t="n">
        <v>375</v>
      </c>
      <c r="J425" t="n">
        <v>2.427</v>
      </c>
      <c r="K425" t="inlineStr">
        <is>
          <t>&gt; Perfumería &gt; Cuidado Capilar &gt; Shampoo &gt;</t>
        </is>
      </c>
      <c r="L425" t="inlineStr">
        <is>
          <t>shampoo</t>
        </is>
      </c>
      <c r="M425" t="inlineStr">
        <is>
          <t>estandar</t>
        </is>
      </c>
      <c r="N425" t="inlineStr">
        <is>
          <t>general</t>
        </is>
      </c>
      <c r="O425" t="inlineStr">
        <is>
          <t>https://www.jumbo.com.ar/shampoo-head-shoulders-fuerza-375ml/p</t>
        </is>
      </c>
    </row>
    <row r="426">
      <c r="A426" s="2" t="inlineStr">
        <is>
          <t>Jumbo</t>
        </is>
      </c>
      <c r="B426" s="2" t="n">
        <v>386630</v>
      </c>
      <c r="C426" s="2" t="n">
        <v>384909</v>
      </c>
      <c r="D426" s="2" t="inlineStr">
        <is>
          <t>Shampoo Head And Shoulders Suave</t>
        </is>
      </c>
      <c r="E426" s="2" t="inlineStr">
        <is>
          <t>HEAD &amp; SHOULDERS</t>
        </is>
      </c>
      <c r="F426" s="2" t="n">
        <v>707.49</v>
      </c>
      <c r="G426" s="2" t="n">
        <v>58470</v>
      </c>
      <c r="H426" s="2" t="b">
        <v>0</v>
      </c>
      <c r="I426" s="2" t="inlineStr"/>
      <c r="J426" s="2" t="inlineStr"/>
      <c r="K426" s="2" t="inlineStr">
        <is>
          <t>&gt; Perfumería &gt; Cuidado Capilar &gt; Shampoo &gt;</t>
        </is>
      </c>
      <c r="L426" s="2" t="inlineStr">
        <is>
          <t>shampoo</t>
        </is>
      </c>
      <c r="M426" s="2" t="inlineStr">
        <is>
          <t>estandar</t>
        </is>
      </c>
      <c r="N426" s="2" t="inlineStr">
        <is>
          <t>bebe</t>
        </is>
      </c>
      <c r="O426" s="2" t="inlineStr">
        <is>
          <t>https://www.jumbo.com.ar/shampoo-head-and-shoulders-suave/p</t>
        </is>
      </c>
    </row>
    <row r="427">
      <c r="A427" t="inlineStr">
        <is>
          <t>Jumbo</t>
        </is>
      </c>
      <c r="B427" t="n">
        <v>386629</v>
      </c>
      <c r="C427" t="n">
        <v>384908</v>
      </c>
      <c r="D427" t="inlineStr">
        <is>
          <t>Shampoo Head&amp;shoulders Purificación 375ml</t>
        </is>
      </c>
      <c r="E427" t="inlineStr">
        <is>
          <t>HEAD &amp; SHOULDERS</t>
        </is>
      </c>
      <c r="F427" t="n">
        <v>1176.95</v>
      </c>
      <c r="G427" t="n">
        <v>97269</v>
      </c>
      <c r="H427" t="b">
        <v>0</v>
      </c>
      <c r="I427" t="n">
        <v>375</v>
      </c>
      <c r="J427" t="n">
        <v>3.1385</v>
      </c>
      <c r="K427" t="inlineStr">
        <is>
          <t>&gt; Perfumería &gt; Cuidado Capilar &gt; Shampoo &gt;</t>
        </is>
      </c>
      <c r="L427" t="inlineStr">
        <is>
          <t>shampoo</t>
        </is>
      </c>
      <c r="M427" t="inlineStr">
        <is>
          <t>estandar</t>
        </is>
      </c>
      <c r="N427" t="inlineStr">
        <is>
          <t>general</t>
        </is>
      </c>
      <c r="O427" t="inlineStr">
        <is>
          <t>https://www.jumbo.com.ar/shampoo-head-shoulders-purificacion-375ml/p</t>
        </is>
      </c>
    </row>
    <row r="428">
      <c r="A428" s="2" t="inlineStr">
        <is>
          <t>Jumbo</t>
        </is>
      </c>
      <c r="B428" s="2" t="n">
        <v>386611</v>
      </c>
      <c r="C428" s="2" t="n">
        <v>384890</v>
      </c>
      <c r="D428" s="2" t="inlineStr">
        <is>
          <t>Shampoo Head&amp;shoulders Humecta 375ml</t>
        </is>
      </c>
      <c r="E428" s="2" t="inlineStr">
        <is>
          <t>HEAD &amp; SHOULDERS</t>
        </is>
      </c>
      <c r="F428" s="2" t="n">
        <v>1280.39</v>
      </c>
      <c r="G428" s="2" t="n">
        <v>105817</v>
      </c>
      <c r="H428" s="2" t="b">
        <v>0</v>
      </c>
      <c r="I428" s="2" t="n">
        <v>375</v>
      </c>
      <c r="J428" s="2" t="n">
        <v>3.4144</v>
      </c>
      <c r="K428" s="2" t="inlineStr">
        <is>
          <t>&gt; Perfumería &gt; Cuidado Capilar &gt; Shampoo &gt;</t>
        </is>
      </c>
      <c r="L428" s="2" t="inlineStr">
        <is>
          <t>shampoo</t>
        </is>
      </c>
      <c r="M428" s="2" t="inlineStr">
        <is>
          <t>estandar</t>
        </is>
      </c>
      <c r="N428" s="2" t="inlineStr">
        <is>
          <t>general</t>
        </is>
      </c>
      <c r="O428" s="2" t="inlineStr">
        <is>
          <t>https://www.jumbo.com.ar/shampoo-head-shoulders-humecta-375ml/p</t>
        </is>
      </c>
    </row>
    <row r="429">
      <c r="A429" t="inlineStr">
        <is>
          <t>Jumbo</t>
        </is>
      </c>
      <c r="B429" t="n">
        <v>386606</v>
      </c>
      <c r="C429" t="n">
        <v>384885</v>
      </c>
      <c r="D429" t="inlineStr">
        <is>
          <t>Shampoo Head&amp;shoulders Detox 375ml</t>
        </is>
      </c>
      <c r="E429" t="inlineStr">
        <is>
          <t>HEAD &amp; SHOULDERS</t>
        </is>
      </c>
      <c r="F429" t="n">
        <v>1199.29</v>
      </c>
      <c r="G429" t="n">
        <v>99115</v>
      </c>
      <c r="H429" t="b">
        <v>0</v>
      </c>
      <c r="I429" t="n">
        <v>375</v>
      </c>
      <c r="J429" t="n">
        <v>3.1981</v>
      </c>
      <c r="K429" t="inlineStr">
        <is>
          <t>&gt; Perfumería &gt; Cuidado Capilar &gt; Shampoo &gt;</t>
        </is>
      </c>
      <c r="L429" t="inlineStr">
        <is>
          <t>shampoo</t>
        </is>
      </c>
      <c r="M429" t="inlineStr">
        <is>
          <t>estandar</t>
        </is>
      </c>
      <c r="N429" t="inlineStr">
        <is>
          <t>general</t>
        </is>
      </c>
      <c r="O429" t="inlineStr">
        <is>
          <t>https://www.jumbo.com.ar/shampoo-head-shoulders-detox-375ml/p</t>
        </is>
      </c>
    </row>
    <row r="430">
      <c r="A430" s="2" t="inlineStr">
        <is>
          <t>Jumbo</t>
        </is>
      </c>
      <c r="B430" s="2" t="n">
        <v>384232</v>
      </c>
      <c r="C430" s="2" t="n">
        <v>382917</v>
      </c>
      <c r="D430" s="2" t="inlineStr">
        <is>
          <t>Shampoo Tresemme Cauterización Reparación 500ml</t>
        </is>
      </c>
      <c r="E430" s="2" t="inlineStr">
        <is>
          <t>TRESEMMÉ</t>
        </is>
      </c>
      <c r="F430" s="2" t="n">
        <v>1650</v>
      </c>
      <c r="G430" s="2" t="n">
        <v>136364</v>
      </c>
      <c r="H430" s="2" t="b">
        <v>0</v>
      </c>
      <c r="I430" s="2" t="n">
        <v>500</v>
      </c>
      <c r="J430" s="2" t="n">
        <v>3.3</v>
      </c>
      <c r="K430" s="2" t="inlineStr">
        <is>
          <t>&gt; Perfumería &gt; Cuidado Capilar &gt; Shampoo &gt;</t>
        </is>
      </c>
      <c r="L430" s="2" t="inlineStr">
        <is>
          <t>shampoo</t>
        </is>
      </c>
      <c r="M430" s="2" t="inlineStr">
        <is>
          <t>estandar</t>
        </is>
      </c>
      <c r="N430" s="2" t="inlineStr">
        <is>
          <t>general</t>
        </is>
      </c>
      <c r="O430" s="2" t="inlineStr">
        <is>
          <t>https://www.jumbo.com.ar/shampoo-tresemme-cauterizacion-reparacion-500ml/p</t>
        </is>
      </c>
    </row>
    <row r="431">
      <c r="A431" t="inlineStr">
        <is>
          <t>Jumbo</t>
        </is>
      </c>
      <c r="B431" t="n">
        <v>375233</v>
      </c>
      <c r="C431" t="n">
        <v>373951</v>
      </c>
      <c r="D431" t="inlineStr">
        <is>
          <t>Shampoo Fructis Liso Coco 350ml</t>
        </is>
      </c>
      <c r="E431" t="inlineStr">
        <is>
          <t>FRUCTIS</t>
        </is>
      </c>
      <c r="F431" t="n">
        <v>1322.59</v>
      </c>
      <c r="G431" t="n">
        <v>109305</v>
      </c>
      <c r="H431" t="b">
        <v>0</v>
      </c>
      <c r="I431" t="n">
        <v>350</v>
      </c>
      <c r="J431" t="n">
        <v>3.7788</v>
      </c>
      <c r="K431" t="inlineStr">
        <is>
          <t>&gt; Perfumería &gt; Cuidado Capilar &gt; Shampoo &gt;</t>
        </is>
      </c>
      <c r="L431" t="inlineStr">
        <is>
          <t>shampoo</t>
        </is>
      </c>
      <c r="M431" t="inlineStr">
        <is>
          <t>estandar</t>
        </is>
      </c>
      <c r="N431" t="inlineStr">
        <is>
          <t>general</t>
        </is>
      </c>
      <c r="O431" t="inlineStr">
        <is>
          <t>https://www.jumbo.com.ar/shampoo-fructis-liso-coco-350ml-2/p</t>
        </is>
      </c>
    </row>
    <row r="432">
      <c r="A432" s="2" t="inlineStr">
        <is>
          <t>Jumbo</t>
        </is>
      </c>
      <c r="B432" s="2" t="n">
        <v>375232</v>
      </c>
      <c r="C432" s="2" t="n">
        <v>373950</v>
      </c>
      <c r="D432" s="2" t="inlineStr">
        <is>
          <t>Shampoo Fructis Liso Coco 200ml</t>
        </is>
      </c>
      <c r="E432" s="2" t="inlineStr">
        <is>
          <t>FRUCTIS</t>
        </is>
      </c>
      <c r="F432" s="2" t="n">
        <v>947.35</v>
      </c>
      <c r="G432" s="2" t="n">
        <v>78293</v>
      </c>
      <c r="H432" s="2" t="b">
        <v>0</v>
      </c>
      <c r="I432" s="2" t="n">
        <v>200</v>
      </c>
      <c r="J432" s="2" t="n">
        <v>4.7367</v>
      </c>
      <c r="K432" s="2" t="inlineStr">
        <is>
          <t>&gt; Perfumería &gt; Cuidado Capilar &gt; Shampoo &gt;</t>
        </is>
      </c>
      <c r="L432" s="2" t="inlineStr">
        <is>
          <t>shampoo</t>
        </is>
      </c>
      <c r="M432" s="2" t="inlineStr">
        <is>
          <t>estandar</t>
        </is>
      </c>
      <c r="N432" s="2" t="inlineStr">
        <is>
          <t>general</t>
        </is>
      </c>
      <c r="O432" s="2" t="inlineStr">
        <is>
          <t>https://www.jumbo.com.ar/shampoo-fructis-liso-coco-200ml-2/p</t>
        </is>
      </c>
    </row>
    <row r="433">
      <c r="A433" t="inlineStr">
        <is>
          <t>Jumbo</t>
        </is>
      </c>
      <c r="B433" t="n">
        <v>349501</v>
      </c>
      <c r="C433" t="n">
        <v>348161</v>
      </c>
      <c r="D433" t="inlineStr">
        <is>
          <t>Shampoo Plusbelle Reactivación Hidratante 1000</t>
        </is>
      </c>
      <c r="E433" t="inlineStr">
        <is>
          <t>PLUSBELLE</t>
        </is>
      </c>
      <c r="F433" t="n">
        <v>676.27</v>
      </c>
      <c r="G433" t="n">
        <v>55890</v>
      </c>
      <c r="H433" t="b">
        <v>0</v>
      </c>
      <c r="I433" t="inlineStr"/>
      <c r="J433" t="inlineStr"/>
      <c r="K433" t="inlineStr">
        <is>
          <t>&gt; Perfumería &gt; Cuidado Capilar &gt; Shampoo &gt;</t>
        </is>
      </c>
      <c r="L433" t="inlineStr">
        <is>
          <t>shampoo</t>
        </is>
      </c>
      <c r="M433" t="inlineStr">
        <is>
          <t>estandar</t>
        </is>
      </c>
      <c r="N433" t="inlineStr">
        <is>
          <t>seco_danado</t>
        </is>
      </c>
      <c r="O433" t="inlineStr">
        <is>
          <t>https://www.jumbo.com.ar/shampoo-plusbelle-reactivacion-hidratante-1000/p</t>
        </is>
      </c>
    </row>
    <row r="434">
      <c r="A434" s="2" t="inlineStr">
        <is>
          <t>Jumbo</t>
        </is>
      </c>
      <c r="B434" s="2" t="n">
        <v>349057</v>
      </c>
      <c r="C434" s="2" t="n">
        <v>347720</v>
      </c>
      <c r="D434" s="2" t="inlineStr">
        <is>
          <t>Shampoo Dove Regeneración Extrema 750ml.</t>
        </is>
      </c>
      <c r="E434" s="2" t="inlineStr">
        <is>
          <t>DOVE</t>
        </is>
      </c>
      <c r="F434" s="2" t="n">
        <v>2100</v>
      </c>
      <c r="G434" s="2" t="n">
        <v>173554</v>
      </c>
      <c r="H434" s="2" t="b">
        <v>0</v>
      </c>
      <c r="I434" s="2" t="n">
        <v>750</v>
      </c>
      <c r="J434" s="2" t="n">
        <v>2.8</v>
      </c>
      <c r="K434" s="2" t="inlineStr">
        <is>
          <t>&gt; Perfumería &gt; Cuidado Capilar &gt; Shampoo &gt;</t>
        </is>
      </c>
      <c r="L434" s="2" t="inlineStr">
        <is>
          <t>shampoo</t>
        </is>
      </c>
      <c r="M434" s="2" t="inlineStr">
        <is>
          <t>estandar</t>
        </is>
      </c>
      <c r="N434" s="2" t="inlineStr">
        <is>
          <t>general</t>
        </is>
      </c>
      <c r="O434" s="2" t="inlineStr">
        <is>
          <t>https://www.jumbo.com.ar/shampoo-dove-regeneracion-extrema-750ml/p</t>
        </is>
      </c>
    </row>
    <row r="435">
      <c r="A435" t="inlineStr">
        <is>
          <t>Jumbo</t>
        </is>
      </c>
      <c r="B435" t="n">
        <v>347671</v>
      </c>
      <c r="C435" t="n">
        <v>346344</v>
      </c>
      <c r="D435" t="inlineStr">
        <is>
          <t>Shampoo  Sedal  Ceramidas  340 Ml</t>
        </is>
      </c>
      <c r="E435" t="inlineStr">
        <is>
          <t>SEDAL</t>
        </is>
      </c>
      <c r="F435" t="n">
        <v>469.67</v>
      </c>
      <c r="G435" t="n">
        <v>38816</v>
      </c>
      <c r="H435" t="b">
        <v>0</v>
      </c>
      <c r="I435" t="n">
        <v>340</v>
      </c>
      <c r="J435" t="n">
        <v>1.3814</v>
      </c>
      <c r="K435" t="inlineStr">
        <is>
          <t>&gt; Perfumería &gt; Cuidado Capilar &gt; Shampoo &gt;</t>
        </is>
      </c>
      <c r="L435" t="inlineStr">
        <is>
          <t>shampoo</t>
        </is>
      </c>
      <c r="M435" t="inlineStr">
        <is>
          <t>estandar</t>
        </is>
      </c>
      <c r="N435" t="inlineStr">
        <is>
          <t>general</t>
        </is>
      </c>
      <c r="O435" t="inlineStr">
        <is>
          <t>https://www.jumbo.com.ar/shampoo-sedal-ceramidas-340-ml/p</t>
        </is>
      </c>
    </row>
    <row r="436">
      <c r="A436" s="2" t="inlineStr">
        <is>
          <t>Jumbo</t>
        </is>
      </c>
      <c r="B436" s="2" t="n">
        <v>346763</v>
      </c>
      <c r="C436" s="2" t="n">
        <v>345438</v>
      </c>
      <c r="D436" s="2" t="inlineStr">
        <is>
          <t>Shampoo Elvive Extreme Reconstructor 200ml</t>
        </is>
      </c>
      <c r="E436" s="2" t="inlineStr">
        <is>
          <t>ELVIVE</t>
        </is>
      </c>
      <c r="F436" s="2" t="n">
        <v>784.49</v>
      </c>
      <c r="G436" s="2" t="n">
        <v>64834</v>
      </c>
      <c r="H436" s="2" t="b">
        <v>0</v>
      </c>
      <c r="I436" s="2" t="n">
        <v>200</v>
      </c>
      <c r="J436" s="2" t="n">
        <v>3.9224</v>
      </c>
      <c r="K436" s="2" t="inlineStr">
        <is>
          <t>&gt; Perfumería &gt; Cuidado Capilar &gt; Shampoo &gt;</t>
        </is>
      </c>
      <c r="L436" s="2" t="inlineStr">
        <is>
          <t>shampoo</t>
        </is>
      </c>
      <c r="M436" s="2" t="inlineStr">
        <is>
          <t>profesional</t>
        </is>
      </c>
      <c r="N436" s="2" t="inlineStr">
        <is>
          <t>general</t>
        </is>
      </c>
      <c r="O436" s="2" t="inlineStr">
        <is>
          <t>https://www.jumbo.com.ar/shampoo-elvive-extreme-reconstructor-200ml-2/p</t>
        </is>
      </c>
    </row>
    <row r="437">
      <c r="A437" t="inlineStr">
        <is>
          <t>Jumbo</t>
        </is>
      </c>
      <c r="B437" t="n">
        <v>346761</v>
      </c>
      <c r="C437" t="n">
        <v>345436</v>
      </c>
      <c r="D437" t="inlineStr">
        <is>
          <t>Shampoo Elvive Arcilla Purificante 200ml</t>
        </is>
      </c>
      <c r="E437" t="inlineStr">
        <is>
          <t>ELVIVE</t>
        </is>
      </c>
      <c r="F437" t="n">
        <v>5750</v>
      </c>
      <c r="G437" t="n">
        <v>475207</v>
      </c>
      <c r="H437" t="b">
        <v>0</v>
      </c>
      <c r="I437" t="n">
        <v>200</v>
      </c>
      <c r="J437" t="n">
        <v>28.75</v>
      </c>
      <c r="K437" t="inlineStr">
        <is>
          <t>&gt; Perfumería &gt; Cuidado Capilar &gt; Shampoo &gt;</t>
        </is>
      </c>
      <c r="L437" t="inlineStr">
        <is>
          <t>shampoo</t>
        </is>
      </c>
      <c r="M437" t="inlineStr">
        <is>
          <t>profesional</t>
        </is>
      </c>
      <c r="N437" t="inlineStr">
        <is>
          <t>general</t>
        </is>
      </c>
      <c r="O437" t="inlineStr">
        <is>
          <t>https://www.jumbo.com.ar/shampoo-elvive-arcilla-purificante-200ml/p</t>
        </is>
      </c>
    </row>
    <row r="438">
      <c r="A438" s="2" t="inlineStr">
        <is>
          <t>Jumbo</t>
        </is>
      </c>
      <c r="B438" s="2" t="n">
        <v>343815</v>
      </c>
      <c r="C438" s="2" t="n">
        <v>342499</v>
      </c>
      <c r="D438" s="2" t="inlineStr">
        <is>
          <t>Shampoo Sedal Bomba Nutricion 650ml</t>
        </is>
      </c>
      <c r="E438" s="2" t="inlineStr">
        <is>
          <t>SEDAL</t>
        </is>
      </c>
      <c r="F438" s="2" t="n">
        <v>615.1900000000001</v>
      </c>
      <c r="G438" s="2" t="n">
        <v>50842</v>
      </c>
      <c r="H438" s="2" t="b">
        <v>0</v>
      </c>
      <c r="I438" s="2" t="n">
        <v>650</v>
      </c>
      <c r="J438" s="2" t="n">
        <v>0.9464</v>
      </c>
      <c r="K438" s="2" t="inlineStr">
        <is>
          <t>&gt; Perfumería &gt; Cuidado Capilar &gt; Shampoo &gt;</t>
        </is>
      </c>
      <c r="L438" s="2" t="inlineStr">
        <is>
          <t>shampoo</t>
        </is>
      </c>
      <c r="M438" s="2" t="inlineStr">
        <is>
          <t>estandar</t>
        </is>
      </c>
      <c r="N438" s="2" t="inlineStr">
        <is>
          <t>general</t>
        </is>
      </c>
      <c r="O438" s="2" t="inlineStr">
        <is>
          <t>https://www.jumbo.com.ar/shampoo-sedal-bomba-nutricion-650ml-2/p</t>
        </is>
      </c>
    </row>
    <row r="439">
      <c r="A439" t="inlineStr">
        <is>
          <t>Jumbo</t>
        </is>
      </c>
      <c r="B439" t="n">
        <v>342072</v>
      </c>
      <c r="C439" t="n">
        <v>340767</v>
      </c>
      <c r="D439" t="inlineStr">
        <is>
          <t>Shampoo Sedal Crema Balance 340ml</t>
        </is>
      </c>
      <c r="E439" t="inlineStr">
        <is>
          <t>SEDAL</t>
        </is>
      </c>
      <c r="F439" t="n">
        <v>231.46</v>
      </c>
      <c r="G439" t="n">
        <v>19129</v>
      </c>
      <c r="H439" t="b">
        <v>0</v>
      </c>
      <c r="I439" t="n">
        <v>340</v>
      </c>
      <c r="J439" t="n">
        <v>0.6808</v>
      </c>
      <c r="K439" t="inlineStr">
        <is>
          <t>&gt; Perfumería &gt; Cuidado Capilar &gt; Shampoo &gt;</t>
        </is>
      </c>
      <c r="L439" t="inlineStr">
        <is>
          <t>shampoo</t>
        </is>
      </c>
      <c r="M439" t="inlineStr">
        <is>
          <t>estandar</t>
        </is>
      </c>
      <c r="N439" t="inlineStr">
        <is>
          <t>general</t>
        </is>
      </c>
      <c r="O439" t="inlineStr">
        <is>
          <t>https://www.jumbo.com.ar/shampoo-sedal-crema-balance-340ml-2-2/p</t>
        </is>
      </c>
    </row>
    <row r="440">
      <c r="A440" s="2" t="inlineStr">
        <is>
          <t>Jumbo</t>
        </is>
      </c>
      <c r="B440" s="2" t="n">
        <v>341267</v>
      </c>
      <c r="C440" s="2" t="n">
        <v>339956</v>
      </c>
      <c r="D440" s="2" t="inlineStr">
        <is>
          <t>Tío Nacho Shampoo Purificación 200ml</t>
        </is>
      </c>
      <c r="E440" s="2" t="inlineStr">
        <is>
          <t>Tio Nacho</t>
        </is>
      </c>
      <c r="F440" s="2" t="n">
        <v>457.87</v>
      </c>
      <c r="G440" s="2" t="n">
        <v>37841</v>
      </c>
      <c r="H440" s="2" t="b">
        <v>0</v>
      </c>
      <c r="I440" s="2" t="n">
        <v>200</v>
      </c>
      <c r="J440" s="2" t="n">
        <v>2.2894</v>
      </c>
      <c r="K440" s="2" t="inlineStr">
        <is>
          <t>&gt; Perfumería &gt; Cuidado Capilar &gt; Shampoo &gt;</t>
        </is>
      </c>
      <c r="L440" s="2" t="inlineStr">
        <is>
          <t>shampoo</t>
        </is>
      </c>
      <c r="M440" s="2" t="inlineStr">
        <is>
          <t>estandar</t>
        </is>
      </c>
      <c r="N440" s="2" t="inlineStr">
        <is>
          <t>general</t>
        </is>
      </c>
      <c r="O440" s="2" t="inlineStr">
        <is>
          <t>https://www.jumbo.com.ar/tio-nacho-shampoo-purificacion-200ml-2/p</t>
        </is>
      </c>
    </row>
    <row r="441">
      <c r="A441" t="inlineStr">
        <is>
          <t>Jumbo</t>
        </is>
      </c>
      <c r="B441" t="n">
        <v>339396</v>
      </c>
      <c r="C441" t="n">
        <v>338087</v>
      </c>
      <c r="D441" t="inlineStr">
        <is>
          <t>Shampoo Fructis Recarga Nutritiva 350ml</t>
        </is>
      </c>
      <c r="E441" t="inlineStr">
        <is>
          <t>FRUCTIS</t>
        </is>
      </c>
      <c r="F441" t="n">
        <v>635.1900000000001</v>
      </c>
      <c r="G441" t="n">
        <v>52495</v>
      </c>
      <c r="H441" t="b">
        <v>0</v>
      </c>
      <c r="I441" t="n">
        <v>350</v>
      </c>
      <c r="J441" t="n">
        <v>1.8148</v>
      </c>
      <c r="K441" t="inlineStr">
        <is>
          <t>&gt; Perfumería &gt; Cuidado Capilar &gt; Shampoo &gt;</t>
        </is>
      </c>
      <c r="L441" t="inlineStr">
        <is>
          <t>shampoo</t>
        </is>
      </c>
      <c r="M441" t="inlineStr">
        <is>
          <t>estandar</t>
        </is>
      </c>
      <c r="N441" t="inlineStr">
        <is>
          <t>general</t>
        </is>
      </c>
      <c r="O441" t="inlineStr">
        <is>
          <t>https://www.jumbo.com.ar/shampoo-fructis-recarga-nutritiva-350ml-3/p</t>
        </is>
      </c>
    </row>
    <row r="442">
      <c r="A442" s="2" t="inlineStr">
        <is>
          <t>Jumbo</t>
        </is>
      </c>
      <c r="B442" s="2" t="n">
        <v>339394</v>
      </c>
      <c r="C442" s="2" t="n">
        <v>338085</v>
      </c>
      <c r="D442" s="2" t="inlineStr">
        <is>
          <t>Shampoo Fructis Recarga Nutritiva 200ml</t>
        </is>
      </c>
      <c r="E442" s="2" t="inlineStr">
        <is>
          <t>FRUCTIS</t>
        </is>
      </c>
      <c r="F442" s="2" t="n">
        <v>436.19</v>
      </c>
      <c r="G442" s="2" t="n">
        <v>36049</v>
      </c>
      <c r="H442" s="2" t="b">
        <v>0</v>
      </c>
      <c r="I442" s="2" t="n">
        <v>200</v>
      </c>
      <c r="J442" s="2" t="n">
        <v>2.181</v>
      </c>
      <c r="K442" s="2" t="inlineStr">
        <is>
          <t>&gt; Perfumería &gt; Cuidado Capilar &gt; Shampoo &gt;</t>
        </is>
      </c>
      <c r="L442" s="2" t="inlineStr">
        <is>
          <t>shampoo</t>
        </is>
      </c>
      <c r="M442" s="2" t="inlineStr">
        <is>
          <t>estandar</t>
        </is>
      </c>
      <c r="N442" s="2" t="inlineStr">
        <is>
          <t>general</t>
        </is>
      </c>
      <c r="O442" s="2" t="inlineStr">
        <is>
          <t>https://www.jumbo.com.ar/shampoo-fructis-recarga-nutritiva-200ml-2/p</t>
        </is>
      </c>
    </row>
    <row r="443">
      <c r="A443" t="inlineStr">
        <is>
          <t>Jumbo</t>
        </is>
      </c>
      <c r="B443" t="n">
        <v>338980</v>
      </c>
      <c r="C443" t="n">
        <v>316509</v>
      </c>
      <c r="D443" t="inlineStr">
        <is>
          <t>Shampoo Suave Lacio Antifrizz 930ml Shampoo Suave Lacio Antifrizz 930 Ml</t>
        </is>
      </c>
      <c r="E443" t="inlineStr">
        <is>
          <t>SUAVE</t>
        </is>
      </c>
      <c r="F443" t="n">
        <v>322.89</v>
      </c>
      <c r="G443" t="n">
        <v>26685</v>
      </c>
      <c r="H443" t="b">
        <v>0</v>
      </c>
      <c r="I443" t="n">
        <v>930</v>
      </c>
      <c r="J443" t="n">
        <v>0.3472</v>
      </c>
      <c r="K443" t="inlineStr">
        <is>
          <t>&gt; Perfumería &gt; Cuidado Capilar &gt; Shampoo &gt;</t>
        </is>
      </c>
      <c r="L443" t="inlineStr">
        <is>
          <t>shampoo</t>
        </is>
      </c>
      <c r="M443" t="inlineStr">
        <is>
          <t>estandar</t>
        </is>
      </c>
      <c r="N443" t="inlineStr">
        <is>
          <t>tratado</t>
        </is>
      </c>
      <c r="O443" t="inlineStr">
        <is>
          <t>https://www.jumbo.com.ar/shampoo-suave-lacio-antifrizz-930ml/p</t>
        </is>
      </c>
    </row>
    <row r="444">
      <c r="A444" s="2" t="inlineStr">
        <is>
          <t>Jumbo</t>
        </is>
      </c>
      <c r="B444" s="2" t="n">
        <v>337421</v>
      </c>
      <c r="C444" s="2" t="n">
        <v>336524</v>
      </c>
      <c r="D444" s="2" t="inlineStr">
        <is>
          <t>Shampoo Dove Oleo Nutricion 200ml</t>
        </is>
      </c>
      <c r="E444" s="2" t="inlineStr">
        <is>
          <t>DOVE</t>
        </is>
      </c>
      <c r="F444" s="2" t="n">
        <v>398.39</v>
      </c>
      <c r="G444" s="2" t="n">
        <v>32925</v>
      </c>
      <c r="H444" s="2" t="b">
        <v>0</v>
      </c>
      <c r="I444" s="2" t="n">
        <v>200</v>
      </c>
      <c r="J444" s="2" t="n">
        <v>1.9919</v>
      </c>
      <c r="K444" s="2" t="inlineStr">
        <is>
          <t>&gt; Perfumería &gt; Cuidado Capilar &gt; Shampoo &gt;</t>
        </is>
      </c>
      <c r="L444" s="2" t="inlineStr">
        <is>
          <t>shampoo</t>
        </is>
      </c>
      <c r="M444" s="2" t="inlineStr">
        <is>
          <t>estandar</t>
        </is>
      </c>
      <c r="N444" s="2" t="inlineStr">
        <is>
          <t>general</t>
        </is>
      </c>
      <c r="O444" s="2" t="inlineStr">
        <is>
          <t>https://www.jumbo.com.ar/shampoo-dove-oleo-nutricion-200ml-2/p</t>
        </is>
      </c>
    </row>
    <row r="445">
      <c r="A445" t="inlineStr">
        <is>
          <t>Jumbo</t>
        </is>
      </c>
      <c r="B445" t="n">
        <v>337420</v>
      </c>
      <c r="C445" t="n">
        <v>336523</v>
      </c>
      <c r="D445" t="inlineStr">
        <is>
          <t>Shampoo Dove Regeneracion Extrema 400ml</t>
        </is>
      </c>
      <c r="E445" t="inlineStr">
        <is>
          <t>DOVE</t>
        </is>
      </c>
      <c r="F445" t="n">
        <v>603.09</v>
      </c>
      <c r="G445" t="n">
        <v>49842</v>
      </c>
      <c r="H445" t="b">
        <v>0</v>
      </c>
      <c r="I445" t="n">
        <v>400</v>
      </c>
      <c r="J445" t="n">
        <v>1.5077</v>
      </c>
      <c r="K445" t="inlineStr">
        <is>
          <t>&gt; Perfumería &gt; Cuidado Capilar &gt; Shampoo &gt;</t>
        </is>
      </c>
      <c r="L445" t="inlineStr">
        <is>
          <t>shampoo</t>
        </is>
      </c>
      <c r="M445" t="inlineStr">
        <is>
          <t>estandar</t>
        </is>
      </c>
      <c r="N445" t="inlineStr">
        <is>
          <t>general</t>
        </is>
      </c>
      <c r="O445" t="inlineStr">
        <is>
          <t>https://www.jumbo.com.ar/shampoo-dove-regeneracion-extrema-400ml-2/p</t>
        </is>
      </c>
    </row>
    <row r="446">
      <c r="A446" s="2" t="inlineStr">
        <is>
          <t>Jumbo</t>
        </is>
      </c>
      <c r="B446" s="2" t="n">
        <v>336804</v>
      </c>
      <c r="C446" s="2" t="n">
        <v>335906</v>
      </c>
      <c r="D446" s="2" t="inlineStr">
        <is>
          <t>Shampoo Sedal Bomba Argan 340ml</t>
        </is>
      </c>
      <c r="E446" s="2" t="inlineStr">
        <is>
          <t>SEDAL</t>
        </is>
      </c>
      <c r="F446" s="2" t="n">
        <v>286.27</v>
      </c>
      <c r="G446" s="2" t="n">
        <v>23659</v>
      </c>
      <c r="H446" s="2" t="b">
        <v>0</v>
      </c>
      <c r="I446" s="2" t="n">
        <v>340</v>
      </c>
      <c r="J446" s="2" t="n">
        <v>0.842</v>
      </c>
      <c r="K446" s="2" t="inlineStr">
        <is>
          <t>&gt; Perfumería &gt; Cuidado Capilar &gt; Shampoo &gt;</t>
        </is>
      </c>
      <c r="L446" s="2" t="inlineStr">
        <is>
          <t>shampoo</t>
        </is>
      </c>
      <c r="M446" s="2" t="inlineStr">
        <is>
          <t>estandar</t>
        </is>
      </c>
      <c r="N446" s="2" t="inlineStr">
        <is>
          <t>general</t>
        </is>
      </c>
      <c r="O446" s="2" t="inlineStr">
        <is>
          <t>https://www.jumbo.com.ar/shampoo-sedal-bomba-argan-340ml/p</t>
        </is>
      </c>
    </row>
    <row r="447">
      <c r="A447" t="inlineStr">
        <is>
          <t>Jumbo</t>
        </is>
      </c>
      <c r="B447" t="n">
        <v>336802</v>
      </c>
      <c r="C447" t="n">
        <v>335904</v>
      </c>
      <c r="D447" t="inlineStr">
        <is>
          <t>Shampoo Sedal Bomba Nutricion 340ml</t>
        </is>
      </c>
      <c r="E447" t="inlineStr">
        <is>
          <t>SEDAL</t>
        </is>
      </c>
      <c r="F447" t="n">
        <v>286.27</v>
      </c>
      <c r="G447" t="n">
        <v>23659</v>
      </c>
      <c r="H447" t="b">
        <v>0</v>
      </c>
      <c r="I447" t="n">
        <v>340</v>
      </c>
      <c r="J447" t="n">
        <v>0.842</v>
      </c>
      <c r="K447" t="inlineStr">
        <is>
          <t>&gt; Perfumería &gt; Cuidado Capilar &gt; Shampoo &gt;</t>
        </is>
      </c>
      <c r="L447" t="inlineStr">
        <is>
          <t>shampoo</t>
        </is>
      </c>
      <c r="M447" t="inlineStr">
        <is>
          <t>estandar</t>
        </is>
      </c>
      <c r="N447" t="inlineStr">
        <is>
          <t>general</t>
        </is>
      </c>
      <c r="O447" t="inlineStr">
        <is>
          <t>https://www.jumbo.com.ar/shampoo-sedal-bomba-nutricion-340ml/p</t>
        </is>
      </c>
    </row>
    <row r="448">
      <c r="A448" s="2" t="inlineStr">
        <is>
          <t>Jumbo</t>
        </is>
      </c>
      <c r="B448" s="2" t="n">
        <v>336043</v>
      </c>
      <c r="C448" s="2" t="n">
        <v>335152</v>
      </c>
      <c r="D448" s="2" t="inlineStr">
        <is>
          <t>Shampoo Sedal Bomba Detox 340ml</t>
        </is>
      </c>
      <c r="E448" s="2" t="inlineStr">
        <is>
          <t>SEDAL</t>
        </is>
      </c>
      <c r="F448" s="2" t="n">
        <v>235.29</v>
      </c>
      <c r="G448" s="2" t="n">
        <v>19445</v>
      </c>
      <c r="H448" s="2" t="b">
        <v>0</v>
      </c>
      <c r="I448" s="2" t="n">
        <v>340</v>
      </c>
      <c r="J448" s="2" t="n">
        <v>0.6919999999999999</v>
      </c>
      <c r="K448" s="2" t="inlineStr">
        <is>
          <t>&gt; Perfumería &gt; Cuidado Capilar &gt; Shampoo &gt;</t>
        </is>
      </c>
      <c r="L448" s="2" t="inlineStr">
        <is>
          <t>shampoo</t>
        </is>
      </c>
      <c r="M448" s="2" t="inlineStr">
        <is>
          <t>estandar</t>
        </is>
      </c>
      <c r="N448" s="2" t="inlineStr">
        <is>
          <t>general</t>
        </is>
      </c>
      <c r="O448" s="2" t="inlineStr">
        <is>
          <t>https://www.jumbo.com.ar/shampoo-sedal-bomba-detox-340ml/p</t>
        </is>
      </c>
    </row>
    <row r="449">
      <c r="A449" t="inlineStr">
        <is>
          <t>Jumbo</t>
        </is>
      </c>
      <c r="B449" t="n">
        <v>336033</v>
      </c>
      <c r="C449" t="n">
        <v>335142</v>
      </c>
      <c r="D449" t="inlineStr">
        <is>
          <t>Shampoo Sedal Bomba Argan 190ml</t>
        </is>
      </c>
      <c r="E449" t="inlineStr">
        <is>
          <t>SEDAL</t>
        </is>
      </c>
      <c r="F449" t="n">
        <v>180.39</v>
      </c>
      <c r="G449" t="n">
        <v>14908</v>
      </c>
      <c r="H449" t="b">
        <v>0</v>
      </c>
      <c r="I449" t="n">
        <v>190</v>
      </c>
      <c r="J449" t="n">
        <v>0.9494</v>
      </c>
      <c r="K449" t="inlineStr">
        <is>
          <t>&gt; Perfumería &gt; Cuidado Capilar &gt; Shampoo &gt;</t>
        </is>
      </c>
      <c r="L449" t="inlineStr">
        <is>
          <t>shampoo</t>
        </is>
      </c>
      <c r="M449" t="inlineStr">
        <is>
          <t>estandar</t>
        </is>
      </c>
      <c r="N449" t="inlineStr">
        <is>
          <t>general</t>
        </is>
      </c>
      <c r="O449" t="inlineStr">
        <is>
          <t>https://www.jumbo.com.ar/shampoo-sedal-bomba-argan-190ml/p</t>
        </is>
      </c>
    </row>
    <row r="450">
      <c r="A450" s="2" t="inlineStr">
        <is>
          <t>Jumbo</t>
        </is>
      </c>
      <c r="B450" s="2" t="n">
        <v>336031</v>
      </c>
      <c r="C450" s="2" t="n">
        <v>335140</v>
      </c>
      <c r="D450" s="2" t="inlineStr">
        <is>
          <t>Shampoo Sedal Bomba Nutricion 190ml</t>
        </is>
      </c>
      <c r="E450" s="2" t="inlineStr">
        <is>
          <t>SEDAL</t>
        </is>
      </c>
      <c r="F450" s="2" t="n">
        <v>180.39</v>
      </c>
      <c r="G450" s="2" t="n">
        <v>14908</v>
      </c>
      <c r="H450" s="2" t="b">
        <v>0</v>
      </c>
      <c r="I450" s="2" t="n">
        <v>190</v>
      </c>
      <c r="J450" s="2" t="n">
        <v>0.9494</v>
      </c>
      <c r="K450" s="2" t="inlineStr">
        <is>
          <t>&gt; Perfumería &gt; Cuidado Capilar &gt; Shampoo &gt;</t>
        </is>
      </c>
      <c r="L450" s="2" t="inlineStr">
        <is>
          <t>shampoo</t>
        </is>
      </c>
      <c r="M450" s="2" t="inlineStr">
        <is>
          <t>estandar</t>
        </is>
      </c>
      <c r="N450" s="2" t="inlineStr">
        <is>
          <t>general</t>
        </is>
      </c>
      <c r="O450" s="2" t="inlineStr">
        <is>
          <t>https://www.jumbo.com.ar/shampoo-sedal-bomba-nutricion-190ml/p</t>
        </is>
      </c>
    </row>
    <row r="451">
      <c r="A451" t="inlineStr">
        <is>
          <t>Jumbo</t>
        </is>
      </c>
      <c r="B451" t="n">
        <v>332082</v>
      </c>
      <c r="C451" t="n">
        <v>331243</v>
      </c>
      <c r="D451" t="inlineStr">
        <is>
          <t>Shampoo Dove Reparacion Coco 200ml</t>
        </is>
      </c>
      <c r="E451" t="inlineStr">
        <is>
          <t>DOVE</t>
        </is>
      </c>
      <c r="F451" t="n">
        <v>306.47</v>
      </c>
      <c r="G451" t="n">
        <v>25328</v>
      </c>
      <c r="H451" t="b">
        <v>0</v>
      </c>
      <c r="I451" t="n">
        <v>200</v>
      </c>
      <c r="J451" t="n">
        <v>1.5324</v>
      </c>
      <c r="K451" t="inlineStr">
        <is>
          <t>&gt; Perfumería &gt; Cuidado Capilar &gt; Shampoo &gt;</t>
        </is>
      </c>
      <c r="L451" t="inlineStr">
        <is>
          <t>shampoo</t>
        </is>
      </c>
      <c r="M451" t="inlineStr">
        <is>
          <t>estandar</t>
        </is>
      </c>
      <c r="N451" t="inlineStr">
        <is>
          <t>general</t>
        </is>
      </c>
      <c r="O451" t="inlineStr">
        <is>
          <t>https://www.jumbo.com.ar/shampoo-dove-reparacion-coco-200ml/p</t>
        </is>
      </c>
    </row>
    <row r="452">
      <c r="A452" s="2" t="inlineStr">
        <is>
          <t>Jumbo</t>
        </is>
      </c>
      <c r="B452" s="2" t="n">
        <v>312935</v>
      </c>
      <c r="C452" s="2" t="n">
        <v>312173</v>
      </c>
      <c r="D452" s="2" t="inlineStr">
        <is>
          <t>Shampoo Biferdil 1007 400 Ml</t>
        </is>
      </c>
      <c r="E452" s="2" t="inlineStr">
        <is>
          <t>BIFERDIL</t>
        </is>
      </c>
      <c r="F452" s="2" t="n">
        <v>12500</v>
      </c>
      <c r="G452" s="2" t="n">
        <v>1033058</v>
      </c>
      <c r="H452" s="2" t="b">
        <v>0</v>
      </c>
      <c r="I452" s="2" t="n">
        <v>400</v>
      </c>
      <c r="J452" s="2" t="n">
        <v>31.25</v>
      </c>
      <c r="K452" s="2" t="inlineStr">
        <is>
          <t>&gt; Perfumería &gt; Cuidado Capilar &gt; Shampoo &gt;</t>
        </is>
      </c>
      <c r="L452" s="2" t="inlineStr">
        <is>
          <t>shampoo</t>
        </is>
      </c>
      <c r="M452" s="2" t="inlineStr">
        <is>
          <t>estandar</t>
        </is>
      </c>
      <c r="N452" s="2" t="inlineStr">
        <is>
          <t>general</t>
        </is>
      </c>
      <c r="O452" s="2" t="inlineStr">
        <is>
          <t>https://www.jumbo.com.ar/shampoo-biferdil-1007-400-ml/p</t>
        </is>
      </c>
    </row>
    <row r="453">
      <c r="A453" t="inlineStr">
        <is>
          <t>Jumbo</t>
        </is>
      </c>
      <c r="B453" t="n">
        <v>263343</v>
      </c>
      <c r="C453" t="n">
        <v>263128</v>
      </c>
      <c r="D453" t="inlineStr">
        <is>
          <t>Shampoo Capilatis Platinum X 370ml</t>
        </is>
      </c>
      <c r="E453" t="inlineStr">
        <is>
          <t>CAPILATIS</t>
        </is>
      </c>
      <c r="F453" t="n">
        <v>403.84</v>
      </c>
      <c r="G453" t="n">
        <v>33375</v>
      </c>
      <c r="H453" t="b">
        <v>0</v>
      </c>
      <c r="I453" t="n">
        <v>370</v>
      </c>
      <c r="J453" t="n">
        <v>1.0915</v>
      </c>
      <c r="K453" t="inlineStr">
        <is>
          <t>&gt; Perfumería &gt; Cuidado Capilar &gt; Shampoo &gt;</t>
        </is>
      </c>
      <c r="L453" t="inlineStr">
        <is>
          <t>shampoo</t>
        </is>
      </c>
      <c r="M453" t="inlineStr">
        <is>
          <t>estandar</t>
        </is>
      </c>
      <c r="N453" t="inlineStr">
        <is>
          <t>general</t>
        </is>
      </c>
      <c r="O453" t="inlineStr">
        <is>
          <t>https://www.jumbo.com.ar/shampoo-capilatis-platinum-x-370ml/p</t>
        </is>
      </c>
    </row>
    <row r="454">
      <c r="A454" s="2" t="inlineStr">
        <is>
          <t>Jumbo</t>
        </is>
      </c>
      <c r="B454" s="2" t="n">
        <v>262714</v>
      </c>
      <c r="C454" s="2" t="n">
        <v>262003</v>
      </c>
      <c r="D454" s="2" t="inlineStr">
        <is>
          <t>Shampoo Marc Anthony Argan 250ml</t>
        </is>
      </c>
      <c r="E454" s="2" t="inlineStr">
        <is>
          <t>MARC ANTHONY</t>
        </is>
      </c>
      <c r="F454" s="2" t="n">
        <v>822.6900000000001</v>
      </c>
      <c r="G454" s="2" t="n">
        <v>67991</v>
      </c>
      <c r="H454" s="2" t="b">
        <v>0</v>
      </c>
      <c r="I454" s="2" t="n">
        <v>250</v>
      </c>
      <c r="J454" s="2" t="n">
        <v>3.2908</v>
      </c>
      <c r="K454" s="2" t="inlineStr">
        <is>
          <t>&gt; Perfumería &gt; Cuidado Capilar &gt; Shampoo &gt;</t>
        </is>
      </c>
      <c r="L454" s="2" t="inlineStr">
        <is>
          <t>shampoo</t>
        </is>
      </c>
      <c r="M454" s="2" t="inlineStr">
        <is>
          <t>estandar</t>
        </is>
      </c>
      <c r="N454" s="2" t="inlineStr">
        <is>
          <t>general</t>
        </is>
      </c>
      <c r="O454" s="2" t="inlineStr">
        <is>
          <t>https://www.jumbo.com.ar/shampoo-marc-anthony-argan-250ml/p</t>
        </is>
      </c>
    </row>
    <row r="455">
      <c r="A455" t="inlineStr">
        <is>
          <t>Jumbo</t>
        </is>
      </c>
      <c r="B455" t="n">
        <v>256894</v>
      </c>
      <c r="C455" t="n">
        <v>256188</v>
      </c>
      <c r="D455" t="inlineStr">
        <is>
          <t>Shampoo Il Salone Mythic 500ml</t>
        </is>
      </c>
      <c r="E455" t="inlineStr">
        <is>
          <t>IL SALONE</t>
        </is>
      </c>
      <c r="F455" t="n">
        <v>799.99</v>
      </c>
      <c r="G455" t="n">
        <v>66115</v>
      </c>
      <c r="H455" t="b">
        <v>0</v>
      </c>
      <c r="I455" t="n">
        <v>500</v>
      </c>
      <c r="J455" t="n">
        <v>1.6</v>
      </c>
      <c r="K455" t="inlineStr">
        <is>
          <t>&gt; Perfumería &gt; Cuidado Capilar &gt; Shampoo &gt;</t>
        </is>
      </c>
      <c r="L455" t="inlineStr">
        <is>
          <t>shampoo</t>
        </is>
      </c>
      <c r="M455" t="inlineStr">
        <is>
          <t>estandar</t>
        </is>
      </c>
      <c r="N455" t="inlineStr">
        <is>
          <t>general</t>
        </is>
      </c>
      <c r="O455" t="inlineStr">
        <is>
          <t>https://www.jumbo.com.ar/shampoo-il-salone-mythic-500ml/p</t>
        </is>
      </c>
    </row>
    <row r="456">
      <c r="A456" s="2" t="inlineStr">
        <is>
          <t>Jumbo</t>
        </is>
      </c>
      <c r="B456" s="2" t="n">
        <v>215573</v>
      </c>
      <c r="C456" s="2" t="n">
        <v>232192</v>
      </c>
      <c r="D456" s="2" t="inlineStr">
        <is>
          <t>Shampoo Elvive Cosmetico  2 U</t>
        </is>
      </c>
      <c r="E456" s="2" t="inlineStr">
        <is>
          <t>ELVIVE</t>
        </is>
      </c>
      <c r="F456" s="2" t="n">
        <v>13.67</v>
      </c>
      <c r="G456" s="2" t="n">
        <v>13.67</v>
      </c>
      <c r="H456" s="2" t="b">
        <v>0</v>
      </c>
      <c r="I456" s="2" t="inlineStr"/>
      <c r="J456" s="2" t="inlineStr"/>
      <c r="K456" s="2" t="inlineStr">
        <is>
          <t>&gt; Perfumería &gt; Cuidado Capilar &gt; Shampoo &gt;</t>
        </is>
      </c>
      <c r="L456" s="2" t="inlineStr">
        <is>
          <t>shampoo</t>
        </is>
      </c>
      <c r="M456" s="2" t="inlineStr">
        <is>
          <t>profesional</t>
        </is>
      </c>
      <c r="N456" s="2" t="inlineStr">
        <is>
          <t>general</t>
        </is>
      </c>
      <c r="O456" s="2" t="inlineStr">
        <is>
          <t>https://www.jumbo.com.ar/shampoo-elvive-cosmetico-2-u-3-248138/p</t>
        </is>
      </c>
    </row>
    <row r="457">
      <c r="A457" t="inlineStr">
        <is>
          <t>Jumbo</t>
        </is>
      </c>
      <c r="B457" t="n">
        <v>179059</v>
      </c>
      <c r="C457" t="n">
        <v>197021</v>
      </c>
      <c r="D457" t="inlineStr">
        <is>
          <t>Shampoo Capilatis Cosmético + Loción</t>
        </is>
      </c>
      <c r="E457" t="inlineStr">
        <is>
          <t>CAPILATIS</t>
        </is>
      </c>
      <c r="F457" t="n">
        <v>18.09</v>
      </c>
      <c r="G457" t="n">
        <v>18.09</v>
      </c>
      <c r="H457" t="b">
        <v>0</v>
      </c>
      <c r="I457" t="inlineStr"/>
      <c r="J457" t="inlineStr"/>
      <c r="K457" t="inlineStr">
        <is>
          <t>&gt; Perfumería &gt; Cuidado Capilar &gt; Shampoo &gt;</t>
        </is>
      </c>
      <c r="L457" t="inlineStr">
        <is>
          <t>shampoo</t>
        </is>
      </c>
      <c r="M457" t="inlineStr">
        <is>
          <t>estandar</t>
        </is>
      </c>
      <c r="N457" t="inlineStr">
        <is>
          <t>general</t>
        </is>
      </c>
      <c r="O457" t="inlineStr">
        <is>
          <t>https://www.jumbo.com.ar/shampoo-capilatis-33-169275/p</t>
        </is>
      </c>
    </row>
    <row r="458">
      <c r="A458" s="2" t="inlineStr">
        <is>
          <t>Jumbo</t>
        </is>
      </c>
      <c r="B458" s="2" t="n">
        <v>178543</v>
      </c>
      <c r="C458" s="2" t="n">
        <v>196164</v>
      </c>
      <c r="D458" s="2" t="inlineStr">
        <is>
          <t>Shampoo Capilatis Cosmético + Loción</t>
        </is>
      </c>
      <c r="E458" s="2" t="inlineStr">
        <is>
          <t>CAPILATIS</t>
        </is>
      </c>
      <c r="F458" s="2" t="n">
        <v>17.15</v>
      </c>
      <c r="G458" s="2" t="n">
        <v>17.15</v>
      </c>
      <c r="H458" s="2" t="b">
        <v>0</v>
      </c>
      <c r="I458" s="2" t="inlineStr"/>
      <c r="J458" s="2" t="inlineStr"/>
      <c r="K458" s="2" t="inlineStr">
        <is>
          <t>&gt; Perfumería &gt; Cuidado Capilar &gt; Shampoo &gt;</t>
        </is>
      </c>
      <c r="L458" s="2" t="inlineStr">
        <is>
          <t>shampoo</t>
        </is>
      </c>
      <c r="M458" s="2" t="inlineStr">
        <is>
          <t>estandar</t>
        </is>
      </c>
      <c r="N458" s="2" t="inlineStr">
        <is>
          <t>general</t>
        </is>
      </c>
      <c r="O458" s="2" t="inlineStr">
        <is>
          <t>https://www.jumbo.com.ar/shampoo-capilatis-32-169281/p</t>
        </is>
      </c>
    </row>
    <row r="459">
      <c r="A459" t="inlineStr">
        <is>
          <t>Jumbo</t>
        </is>
      </c>
      <c r="B459" t="n">
        <v>146567</v>
      </c>
      <c r="C459" t="n">
        <v>143476</v>
      </c>
      <c r="D459" t="inlineStr">
        <is>
          <t>Shampoo Herbal Ess Hidrasiaco 700ml Shampoo Herbal Essences Hidradisíaco 700 Ml</t>
        </is>
      </c>
      <c r="E459" t="inlineStr">
        <is>
          <t>HERBAL ESSENCES</t>
        </is>
      </c>
      <c r="F459" t="n">
        <v>297.99</v>
      </c>
      <c r="G459" t="n">
        <v>24627</v>
      </c>
      <c r="H459" t="b">
        <v>0</v>
      </c>
      <c r="I459" t="n">
        <v>700</v>
      </c>
      <c r="J459" t="n">
        <v>0.4257</v>
      </c>
      <c r="K459" t="inlineStr">
        <is>
          <t>&gt; Perfumería &gt; Cuidado Capilar &gt; Shampoo &gt;</t>
        </is>
      </c>
      <c r="L459" t="inlineStr">
        <is>
          <t>shampoo</t>
        </is>
      </c>
      <c r="M459" t="inlineStr">
        <is>
          <t>estandar</t>
        </is>
      </c>
      <c r="N459" t="inlineStr">
        <is>
          <t>general</t>
        </is>
      </c>
      <c r="O459" t="inlineStr">
        <is>
          <t>https://www.jumbo.com.ar/shampoo-herbal-ess-hidrasiaco-700ml/p</t>
        </is>
      </c>
    </row>
    <row r="460">
      <c r="A460" s="2" t="inlineStr">
        <is>
          <t>Jumbo</t>
        </is>
      </c>
      <c r="B460" s="2" t="n">
        <v>119034</v>
      </c>
      <c r="C460" s="2" t="n">
        <v>118064</v>
      </c>
      <c r="D460" s="2" t="inlineStr">
        <is>
          <t>Shampoo Flex X 250 Ml</t>
        </is>
      </c>
      <c r="E460" s="2" t="inlineStr">
        <is>
          <t>FLEX</t>
        </is>
      </c>
      <c r="F460" s="2" t="n">
        <v>5.95</v>
      </c>
      <c r="G460" s="2" t="n">
        <v>5.95</v>
      </c>
      <c r="H460" s="2" t="b">
        <v>0</v>
      </c>
      <c r="I460" s="2" t="n">
        <v>250</v>
      </c>
      <c r="J460" s="2" t="n">
        <v>0.0238</v>
      </c>
      <c r="K460" s="2" t="inlineStr">
        <is>
          <t>&gt; Perfumería &gt; Cuidado Capilar &gt; Shampoo &gt;</t>
        </is>
      </c>
      <c r="L460" s="2" t="inlineStr">
        <is>
          <t>shampoo</t>
        </is>
      </c>
      <c r="M460" s="2" t="inlineStr">
        <is>
          <t>estandar</t>
        </is>
      </c>
      <c r="N460" s="2" t="inlineStr">
        <is>
          <t>general</t>
        </is>
      </c>
      <c r="O460" s="2" t="inlineStr">
        <is>
          <t>https://www.jumbo.com.ar/shampoo-flex-x-250-ml-4/p</t>
        </is>
      </c>
    </row>
    <row r="461">
      <c r="A461" t="inlineStr">
        <is>
          <t>Jumbo</t>
        </is>
      </c>
      <c r="B461" t="n">
        <v>115218</v>
      </c>
      <c r="C461" t="n">
        <v>114264</v>
      </c>
      <c r="D461" t="inlineStr">
        <is>
          <t>Shampoo Dove X 3 Un Shampoo Dove Lisos Therapy X 400 Ml + Acondicionador X 250 Ml + Hebilla</t>
        </is>
      </c>
      <c r="E461" t="inlineStr">
        <is>
          <t>DOVE</t>
        </is>
      </c>
      <c r="F461" t="n">
        <v>22.27</v>
      </c>
      <c r="G461" t="n">
        <v>22.27</v>
      </c>
      <c r="H461" t="b">
        <v>0</v>
      </c>
      <c r="I461" t="n">
        <v>400</v>
      </c>
      <c r="J461" t="n">
        <v>0.0557</v>
      </c>
      <c r="K461" t="inlineStr">
        <is>
          <t>&gt; Perfumería &gt; Cuidado Capilar &gt; Shampoo &gt;</t>
        </is>
      </c>
      <c r="L461" t="inlineStr">
        <is>
          <t>acondicionador</t>
        </is>
      </c>
      <c r="M461" t="inlineStr">
        <is>
          <t>estandar</t>
        </is>
      </c>
      <c r="N461" t="inlineStr">
        <is>
          <t>general</t>
        </is>
      </c>
      <c r="O461" t="inlineStr">
        <is>
          <t>https://www.jumbo.com.ar/shampoo-dove-x-3-un/p</t>
        </is>
      </c>
    </row>
    <row r="462">
      <c r="A462" s="2" t="inlineStr">
        <is>
          <t>Jumbo</t>
        </is>
      </c>
      <c r="B462" s="2" t="n">
        <v>111280</v>
      </c>
      <c r="C462" s="2" t="n">
        <v>108521</v>
      </c>
      <c r="D462" s="2" t="inlineStr">
        <is>
          <t>Shampoo Hidrolavado Autopolish-cja-un.-1</t>
        </is>
      </c>
      <c r="E462" s="2" t="inlineStr">
        <is>
          <t>AUTOPOLISH</t>
        </is>
      </c>
      <c r="F462" s="2" t="n">
        <v>73.95</v>
      </c>
      <c r="G462" s="2" t="n">
        <v>6112</v>
      </c>
      <c r="H462" s="2" t="b">
        <v>0</v>
      </c>
      <c r="I462" s="2" t="inlineStr"/>
      <c r="J462" s="2" t="inlineStr"/>
      <c r="K462" s="2" t="inlineStr">
        <is>
          <t>&gt; Hogar y textil &gt; Automotor &gt; Limpieza &gt;</t>
        </is>
      </c>
      <c r="L462" s="2" t="inlineStr">
        <is>
          <t>shampoo</t>
        </is>
      </c>
      <c r="M462" s="2" t="inlineStr">
        <is>
          <t>estandar</t>
        </is>
      </c>
      <c r="N462" s="2" t="inlineStr">
        <is>
          <t>general</t>
        </is>
      </c>
      <c r="O462" s="2" t="inlineStr">
        <is>
          <t>https://www.jumbo.com.ar/shampoo-hidrolavado-autopolish-cja-un-1/p</t>
        </is>
      </c>
    </row>
    <row r="463">
      <c r="A463" t="inlineStr">
        <is>
          <t>Jumbo</t>
        </is>
      </c>
      <c r="B463" t="n">
        <v>107118</v>
      </c>
      <c r="C463" t="n">
        <v>104385</v>
      </c>
      <c r="D463" t="inlineStr">
        <is>
          <t>Shampoo Nenin Familiar X 930ml Almendras Y Coco  Pvc 930 Ml.</t>
        </is>
      </c>
      <c r="E463" t="inlineStr">
        <is>
          <t>NENNIN NATURESSENCE</t>
        </is>
      </c>
      <c r="F463" t="n">
        <v>4.13</v>
      </c>
      <c r="G463" t="n">
        <v>4.13</v>
      </c>
      <c r="H463" t="b">
        <v>0</v>
      </c>
      <c r="I463" t="n">
        <v>930</v>
      </c>
      <c r="J463" t="n">
        <v>0.0044</v>
      </c>
      <c r="K463" t="inlineStr">
        <is>
          <t>&gt; Perfumería &gt; Cuidado Capilar &gt; Shampoo &gt;</t>
        </is>
      </c>
      <c r="L463" t="inlineStr">
        <is>
          <t>shampoo</t>
        </is>
      </c>
      <c r="M463" t="inlineStr">
        <is>
          <t>estandar</t>
        </is>
      </c>
      <c r="N463" t="inlineStr">
        <is>
          <t>general</t>
        </is>
      </c>
      <c r="O463" t="inlineStr">
        <is>
          <t>https://www.jumbo.com.ar/shampoo-nenin-familiar-x-930ml/p</t>
        </is>
      </c>
    </row>
    <row r="464">
      <c r="A464" s="2" t="inlineStr">
        <is>
          <t>Jumbo</t>
        </is>
      </c>
      <c r="B464" s="2" t="n">
        <v>96702</v>
      </c>
      <c r="C464" s="2" t="n">
        <v>94019</v>
      </c>
      <c r="D464" s="2" t="inlineStr">
        <is>
          <t>Shampoo Babelito-manzana-pvc-ml.-500</t>
        </is>
      </c>
      <c r="E464" s="2" t="inlineStr">
        <is>
          <t>BABELITO</t>
        </is>
      </c>
      <c r="F464" s="2" t="n">
        <v>33.13</v>
      </c>
      <c r="G464" s="2" t="n">
        <v>33.13</v>
      </c>
      <c r="H464" s="2" t="b">
        <v>0</v>
      </c>
      <c r="I464" s="2" t="inlineStr"/>
      <c r="J464" s="2" t="inlineStr"/>
      <c r="K464" s="2" t="inlineStr">
        <is>
          <t>&gt; Mundo Bebe &gt; Higiene para el Bebe &gt; Higiene del Bebé &gt;</t>
        </is>
      </c>
      <c r="L464" s="2" t="inlineStr">
        <is>
          <t>shampoo</t>
        </is>
      </c>
      <c r="M464" s="2" t="inlineStr">
        <is>
          <t>estandar</t>
        </is>
      </c>
      <c r="N464" s="2" t="inlineStr">
        <is>
          <t>general</t>
        </is>
      </c>
      <c r="O464" s="2" t="inlineStr">
        <is>
          <t>https://www.jumbo.com.ar/shampoo-babelito-manzana-pvc-ml-500/p</t>
        </is>
      </c>
    </row>
    <row r="465">
      <c r="A465" t="inlineStr">
        <is>
          <t>Jumbo</t>
        </is>
      </c>
      <c r="B465" t="n">
        <v>83576</v>
      </c>
      <c r="C465" t="n">
        <v>80914</v>
      </c>
      <c r="D465" t="inlineStr">
        <is>
          <t>Shampoo Flex X 250 Ml</t>
        </is>
      </c>
      <c r="E465" t="inlineStr">
        <is>
          <t>FLEX</t>
        </is>
      </c>
      <c r="F465" t="n">
        <v>6.59</v>
      </c>
      <c r="G465" t="n">
        <v>6.59</v>
      </c>
      <c r="H465" t="b">
        <v>0</v>
      </c>
      <c r="I465" t="n">
        <v>250</v>
      </c>
      <c r="J465" t="n">
        <v>0.0264</v>
      </c>
      <c r="K465" t="inlineStr">
        <is>
          <t>&gt; Perfumería &gt; Cuidado Capilar &gt; Shampoo &gt;</t>
        </is>
      </c>
      <c r="L465" t="inlineStr">
        <is>
          <t>shampoo</t>
        </is>
      </c>
      <c r="M465" t="inlineStr">
        <is>
          <t>estandar</t>
        </is>
      </c>
      <c r="N465" t="inlineStr">
        <is>
          <t>general</t>
        </is>
      </c>
      <c r="O465" t="inlineStr">
        <is>
          <t>https://www.jumbo.com.ar/shampoo-flex-x-250-ml-2/p</t>
        </is>
      </c>
    </row>
    <row r="466">
      <c r="A466" s="2" t="inlineStr">
        <is>
          <t>Jumbo</t>
        </is>
      </c>
      <c r="B466" s="2" t="n">
        <v>70802</v>
      </c>
      <c r="C466" s="2" t="n">
        <v>67936</v>
      </c>
      <c r="D466" s="2" t="inlineStr">
        <is>
          <t>Shampoo Anticaspa Head &amp; Shoulders</t>
        </is>
      </c>
      <c r="E466" s="2" t="inlineStr">
        <is>
          <t>HEAD &amp; SHOULDERS</t>
        </is>
      </c>
      <c r="F466" s="2" t="n">
        <v>24.05</v>
      </c>
      <c r="G466" s="2" t="n">
        <v>24.05</v>
      </c>
      <c r="H466" s="2" t="b">
        <v>0</v>
      </c>
      <c r="I466" s="2" t="inlineStr"/>
      <c r="J466" s="2" t="inlineStr"/>
      <c r="K466" s="2" t="inlineStr">
        <is>
          <t>&gt; Perfumería &gt; Cuidado Capilar &gt; Shampoo &gt;</t>
        </is>
      </c>
      <c r="L466" s="2" t="inlineStr">
        <is>
          <t>shampoo</t>
        </is>
      </c>
      <c r="M466" s="2" t="inlineStr">
        <is>
          <t>estandar</t>
        </is>
      </c>
      <c r="N466" s="2" t="inlineStr">
        <is>
          <t>anticaspa</t>
        </is>
      </c>
      <c r="O466" s="2" t="inlineStr">
        <is>
          <t>https://www.jumbo.com.ar/shampoo-anticaspa-head-shoulders-19/p</t>
        </is>
      </c>
    </row>
    <row r="467">
      <c r="A467" t="inlineStr">
        <is>
          <t>Jumbo</t>
        </is>
      </c>
      <c r="B467" t="n">
        <v>44459</v>
      </c>
      <c r="C467" t="n">
        <v>41630</v>
      </c>
      <c r="D467" t="inlineStr">
        <is>
          <t>Shampoo Elvive Oleo Extraordinario 750ml</t>
        </is>
      </c>
      <c r="E467" t="inlineStr">
        <is>
          <t>ELVIVE</t>
        </is>
      </c>
      <c r="F467" t="n">
        <v>745.65</v>
      </c>
      <c r="G467" t="n">
        <v>61624</v>
      </c>
      <c r="H467" t="b">
        <v>0</v>
      </c>
      <c r="I467" t="n">
        <v>750</v>
      </c>
      <c r="J467" t="n">
        <v>0.9942</v>
      </c>
      <c r="K467" t="inlineStr">
        <is>
          <t>&gt; Perfumería &gt; Cuidado Capilar &gt; Shampoo &gt;</t>
        </is>
      </c>
      <c r="L467" t="inlineStr">
        <is>
          <t>shampoo</t>
        </is>
      </c>
      <c r="M467" t="inlineStr">
        <is>
          <t>profesional</t>
        </is>
      </c>
      <c r="N467" t="inlineStr">
        <is>
          <t>general</t>
        </is>
      </c>
      <c r="O467" t="inlineStr">
        <is>
          <t>https://www.jumbo.com.ar/shampoo-elvive-oleo-extraordinario-750ml-2/p</t>
        </is>
      </c>
    </row>
    <row r="468">
      <c r="A468" s="2" t="inlineStr">
        <is>
          <t>Jumbo</t>
        </is>
      </c>
      <c r="B468" s="2" t="n">
        <v>41776</v>
      </c>
      <c r="C468" s="2" t="n">
        <v>38940</v>
      </c>
      <c r="D468" s="2" t="inlineStr">
        <is>
          <t>Shampoo Fructis Oil Repair 350ml</t>
        </is>
      </c>
      <c r="E468" s="2" t="inlineStr">
        <is>
          <t>FRUCTIS</t>
        </is>
      </c>
      <c r="F468" s="2" t="n">
        <v>262.17</v>
      </c>
      <c r="G468" s="2" t="n">
        <v>21667</v>
      </c>
      <c r="H468" s="2" t="b">
        <v>0</v>
      </c>
      <c r="I468" s="2" t="n">
        <v>350</v>
      </c>
      <c r="J468" s="2" t="n">
        <v>0.7491</v>
      </c>
      <c r="K468" s="2" t="inlineStr">
        <is>
          <t>&gt; Perfumería &gt; Cuidado Capilar &gt; Shampoo &gt;</t>
        </is>
      </c>
      <c r="L468" s="2" t="inlineStr">
        <is>
          <t>shampoo</t>
        </is>
      </c>
      <c r="M468" s="2" t="inlineStr">
        <is>
          <t>profesional</t>
        </is>
      </c>
      <c r="N468" s="2" t="inlineStr">
        <is>
          <t>general</t>
        </is>
      </c>
      <c r="O468" s="2" t="inlineStr">
        <is>
          <t>https://www.jumbo.com.ar/shampoo-fructis-oil-repair-350ml-2/p</t>
        </is>
      </c>
    </row>
    <row r="469">
      <c r="A469" t="inlineStr">
        <is>
          <t>Jumbo</t>
        </is>
      </c>
      <c r="B469" t="n">
        <v>41764</v>
      </c>
      <c r="C469" t="n">
        <v>38928</v>
      </c>
      <c r="D469" t="inlineStr">
        <is>
          <t>Shampoo Fructis Oil Repair 200ml</t>
        </is>
      </c>
      <c r="E469" t="inlineStr">
        <is>
          <t>FRUCTIS</t>
        </is>
      </c>
      <c r="F469" t="n">
        <v>213.99</v>
      </c>
      <c r="G469" t="n">
        <v>17685</v>
      </c>
      <c r="H469" t="b">
        <v>0</v>
      </c>
      <c r="I469" t="n">
        <v>200</v>
      </c>
      <c r="J469" t="n">
        <v>1.0699</v>
      </c>
      <c r="K469" t="inlineStr">
        <is>
          <t>&gt; Perfumería &gt; Cuidado Capilar &gt; Shampoo &gt;</t>
        </is>
      </c>
      <c r="L469" t="inlineStr">
        <is>
          <t>shampoo</t>
        </is>
      </c>
      <c r="M469" t="inlineStr">
        <is>
          <t>profesional</t>
        </is>
      </c>
      <c r="N469" t="inlineStr">
        <is>
          <t>general</t>
        </is>
      </c>
      <c r="O469" t="inlineStr">
        <is>
          <t>https://www.jumbo.com.ar/shampoo-fructis-oil-repair-200ml-2/p</t>
        </is>
      </c>
    </row>
    <row r="470">
      <c r="A470" s="2" t="inlineStr">
        <is>
          <t>Jumbo</t>
        </is>
      </c>
      <c r="B470" s="2" t="n">
        <v>40468</v>
      </c>
      <c r="C470" s="2" t="n">
        <v>37633</v>
      </c>
      <c r="D470" s="2" t="inlineStr">
        <is>
          <t>Shampoo Elvive Arcilla Extra 400ml</t>
        </is>
      </c>
      <c r="E470" s="2" t="inlineStr">
        <is>
          <t>ELVIVE</t>
        </is>
      </c>
      <c r="F470" s="2" t="n">
        <v>533.79</v>
      </c>
      <c r="G470" s="2" t="n">
        <v>44115</v>
      </c>
      <c r="H470" s="2" t="b">
        <v>0</v>
      </c>
      <c r="I470" s="2" t="n">
        <v>400</v>
      </c>
      <c r="J470" s="2" t="n">
        <v>1.3345</v>
      </c>
      <c r="K470" s="2" t="inlineStr">
        <is>
          <t>&gt; Perfumería &gt; Cuidado Capilar &gt; Shampoo &gt;</t>
        </is>
      </c>
      <c r="L470" s="2" t="inlineStr">
        <is>
          <t>shampoo</t>
        </is>
      </c>
      <c r="M470" s="2" t="inlineStr">
        <is>
          <t>profesional</t>
        </is>
      </c>
      <c r="N470" s="2" t="inlineStr">
        <is>
          <t>general</t>
        </is>
      </c>
      <c r="O470" s="2" t="inlineStr">
        <is>
          <t>https://www.jumbo.com.ar/shampoo-elvive-arcilla-extra-400ml-2/p</t>
        </is>
      </c>
    </row>
    <row r="471">
      <c r="A471" t="inlineStr">
        <is>
          <t>Jumbo</t>
        </is>
      </c>
      <c r="B471" t="n">
        <v>40237</v>
      </c>
      <c r="C471" t="n">
        <v>37403</v>
      </c>
      <c r="D471" t="inlineStr">
        <is>
          <t>Shampoo Elvive Arcilla Extra 200ml</t>
        </is>
      </c>
      <c r="E471" t="inlineStr">
        <is>
          <t>ELVIVE</t>
        </is>
      </c>
      <c r="F471" t="n">
        <v>290.85</v>
      </c>
      <c r="G471" t="n">
        <v>24037</v>
      </c>
      <c r="H471" t="b">
        <v>0</v>
      </c>
      <c r="I471" t="n">
        <v>200</v>
      </c>
      <c r="J471" t="n">
        <v>1.4543</v>
      </c>
      <c r="K471" t="inlineStr">
        <is>
          <t>&gt; Perfumería &gt; Cuidado Capilar &gt; Shampoo &gt;</t>
        </is>
      </c>
      <c r="L471" t="inlineStr">
        <is>
          <t>shampoo</t>
        </is>
      </c>
      <c r="M471" t="inlineStr">
        <is>
          <t>profesional</t>
        </is>
      </c>
      <c r="N471" t="inlineStr">
        <is>
          <t>general</t>
        </is>
      </c>
      <c r="O471" t="inlineStr">
        <is>
          <t>https://www.jumbo.com.ar/shampoo-elvive-arcilla-extra-200ml/p</t>
        </is>
      </c>
    </row>
    <row r="472">
      <c r="A472" s="2" t="inlineStr">
        <is>
          <t>Jumbo</t>
        </is>
      </c>
      <c r="B472" s="2" t="n">
        <v>40225</v>
      </c>
      <c r="C472" s="2" t="n">
        <v>37391</v>
      </c>
      <c r="D472" s="2" t="inlineStr">
        <is>
          <t>Shampoo Elvive Arcilla Extra 75400ml</t>
        </is>
      </c>
      <c r="E472" s="2" t="inlineStr">
        <is>
          <t>ELVIVE</t>
        </is>
      </c>
      <c r="F472" s="2" t="n">
        <v>745.65</v>
      </c>
      <c r="G472" s="2" t="n">
        <v>61624</v>
      </c>
      <c r="H472" s="2" t="b">
        <v>0</v>
      </c>
      <c r="I472" s="2" t="n">
        <v>75400</v>
      </c>
      <c r="J472" s="2" t="n">
        <v>0.009900000000000001</v>
      </c>
      <c r="K472" s="2" t="inlineStr">
        <is>
          <t>&gt; Perfumería &gt; Cuidado Capilar &gt; Shampoo &gt;</t>
        </is>
      </c>
      <c r="L472" s="2" t="inlineStr">
        <is>
          <t>shampoo</t>
        </is>
      </c>
      <c r="M472" s="2" t="inlineStr">
        <is>
          <t>profesional</t>
        </is>
      </c>
      <c r="N472" s="2" t="inlineStr">
        <is>
          <t>general</t>
        </is>
      </c>
      <c r="O472" s="2" t="inlineStr">
        <is>
          <t>https://www.jumbo.com.ar/shampoo-elvive-arcilla-extra-75400ml/p</t>
        </is>
      </c>
    </row>
    <row r="473">
      <c r="A473" t="inlineStr">
        <is>
          <t>Jumbo</t>
        </is>
      </c>
      <c r="B473" t="n">
        <v>35722</v>
      </c>
      <c r="C473" t="n">
        <v>32880</v>
      </c>
      <c r="D473" t="inlineStr">
        <is>
          <t>Shampoo Capilatis Nutritivo 420 Ml</t>
        </is>
      </c>
      <c r="E473" t="inlineStr">
        <is>
          <t>CAPILATIS</t>
        </is>
      </c>
      <c r="F473" t="n">
        <v>381.67</v>
      </c>
      <c r="G473" t="n">
        <v>31543</v>
      </c>
      <c r="H473" t="b">
        <v>0</v>
      </c>
      <c r="I473" t="n">
        <v>420</v>
      </c>
      <c r="J473" t="n">
        <v>0.9087</v>
      </c>
      <c r="K473" t="inlineStr">
        <is>
          <t>&gt; Perfumería &gt; Cuidado Capilar &gt; Shampoo &gt;</t>
        </is>
      </c>
      <c r="L473" t="inlineStr">
        <is>
          <t>shampoo</t>
        </is>
      </c>
      <c r="M473" t="inlineStr">
        <is>
          <t>estandar</t>
        </is>
      </c>
      <c r="N473" t="inlineStr">
        <is>
          <t>general</t>
        </is>
      </c>
      <c r="O473" t="inlineStr">
        <is>
          <t>https://www.jumbo.com.ar/shampoo-capilatis-nutritivo-420-ml/p</t>
        </is>
      </c>
    </row>
    <row r="474">
      <c r="A474" s="2" t="inlineStr">
        <is>
          <t>Jumbo</t>
        </is>
      </c>
      <c r="B474" s="2" t="n">
        <v>34311</v>
      </c>
      <c r="C474" s="2" t="n">
        <v>31469</v>
      </c>
      <c r="D474" s="2" t="inlineStr">
        <is>
          <t>Shampoo Aloe Vera 1 Lt</t>
        </is>
      </c>
      <c r="E474" s="2" t="inlineStr">
        <is>
          <t>SIN MARCA</t>
        </is>
      </c>
      <c r="F474" s="2" t="n">
        <v>123.15</v>
      </c>
      <c r="G474" s="2" t="n">
        <v>123.15</v>
      </c>
      <c r="H474" s="2" t="b">
        <v>0</v>
      </c>
      <c r="I474" s="2" t="inlineStr"/>
      <c r="J474" s="2" t="inlineStr"/>
      <c r="K474" s="2" t="inlineStr">
        <is>
          <t>&gt; Mascotas &gt; Accesorios para Mascotas &gt;</t>
        </is>
      </c>
      <c r="L474" s="2" t="inlineStr">
        <is>
          <t>shampoo</t>
        </is>
      </c>
      <c r="M474" s="2" t="inlineStr">
        <is>
          <t>estandar</t>
        </is>
      </c>
      <c r="N474" s="2" t="inlineStr">
        <is>
          <t>general</t>
        </is>
      </c>
      <c r="O474" s="2" t="inlineStr">
        <is>
          <t>https://www.jumbo.com.ar/shampoo-aloe-vera-1-lt/p</t>
        </is>
      </c>
    </row>
    <row r="475">
      <c r="A475" t="inlineStr">
        <is>
          <t>Jumbo</t>
        </is>
      </c>
      <c r="B475" t="n">
        <v>33886</v>
      </c>
      <c r="C475" t="n">
        <v>31044</v>
      </c>
      <c r="D475" t="inlineStr">
        <is>
          <t>Pediculicida Capilatis Shampoo 500 Ml</t>
        </is>
      </c>
      <c r="E475" t="inlineStr">
        <is>
          <t>CAPILATIS</t>
        </is>
      </c>
      <c r="F475" t="n">
        <v>1800</v>
      </c>
      <c r="G475" t="n">
        <v>148760</v>
      </c>
      <c r="H475" t="b">
        <v>0</v>
      </c>
      <c r="I475" t="n">
        <v>500</v>
      </c>
      <c r="J475" t="n">
        <v>3.6</v>
      </c>
      <c r="K475" t="inlineStr">
        <is>
          <t>&gt; Perfumería &gt; Cuidado Capilar &gt; Pediculosis &gt;</t>
        </is>
      </c>
      <c r="L475" t="inlineStr">
        <is>
          <t>shampoo</t>
        </is>
      </c>
      <c r="M475" t="inlineStr">
        <is>
          <t>estandar</t>
        </is>
      </c>
      <c r="N475" t="inlineStr">
        <is>
          <t>general</t>
        </is>
      </c>
      <c r="O475" t="inlineStr">
        <is>
          <t>https://www.jumbo.com.ar/pediculicida-capilatis-shampoo-500-ml/p</t>
        </is>
      </c>
    </row>
    <row r="476">
      <c r="A476" s="2" t="inlineStr">
        <is>
          <t>Jumbo</t>
        </is>
      </c>
      <c r="B476" s="2" t="n">
        <v>31684</v>
      </c>
      <c r="C476" s="2" t="n">
        <v>28843</v>
      </c>
      <c r="D476" s="2" t="inlineStr">
        <is>
          <t>Shampoo Elvive Color Vive 750ml</t>
        </is>
      </c>
      <c r="E476" s="2" t="inlineStr">
        <is>
          <t>ELVIVE</t>
        </is>
      </c>
      <c r="F476" s="2" t="n">
        <v>683.47</v>
      </c>
      <c r="G476" s="2" t="n">
        <v>56485</v>
      </c>
      <c r="H476" s="2" t="b">
        <v>0</v>
      </c>
      <c r="I476" s="2" t="n">
        <v>750</v>
      </c>
      <c r="J476" s="2" t="n">
        <v>0.9113</v>
      </c>
      <c r="K476" s="2" t="inlineStr">
        <is>
          <t>&gt; Perfumería &gt; Cuidado Capilar &gt; Shampoo &gt;</t>
        </is>
      </c>
      <c r="L476" s="2" t="inlineStr">
        <is>
          <t>shampoo</t>
        </is>
      </c>
      <c r="M476" s="2" t="inlineStr">
        <is>
          <t>profesional</t>
        </is>
      </c>
      <c r="N476" s="2" t="inlineStr">
        <is>
          <t>tratado</t>
        </is>
      </c>
      <c r="O476" s="2" t="inlineStr">
        <is>
          <t>https://www.jumbo.com.ar/shampoo-elvive-color-vive-750ml/p</t>
        </is>
      </c>
    </row>
    <row r="477">
      <c r="A477" t="inlineStr">
        <is>
          <t>Jumbo</t>
        </is>
      </c>
      <c r="B477" t="n">
        <v>31256</v>
      </c>
      <c r="C477" t="n">
        <v>28415</v>
      </c>
      <c r="D477" t="inlineStr">
        <is>
          <t>Shampoo Elvive Kera Liso 400ml</t>
        </is>
      </c>
      <c r="E477" t="inlineStr">
        <is>
          <t>ELVIVE</t>
        </is>
      </c>
      <c r="F477" t="n">
        <v>533.79</v>
      </c>
      <c r="G477" t="n">
        <v>44115</v>
      </c>
      <c r="H477" t="b">
        <v>0</v>
      </c>
      <c r="I477" t="n">
        <v>400</v>
      </c>
      <c r="J477" t="n">
        <v>1.3345</v>
      </c>
      <c r="K477" t="inlineStr">
        <is>
          <t>&gt; Perfumería &gt; Cuidado Capilar &gt; Shampoo &gt;</t>
        </is>
      </c>
      <c r="L477" t="inlineStr">
        <is>
          <t>shampoo</t>
        </is>
      </c>
      <c r="M477" t="inlineStr">
        <is>
          <t>profesional</t>
        </is>
      </c>
      <c r="N477" t="inlineStr">
        <is>
          <t>general</t>
        </is>
      </c>
      <c r="O477" t="inlineStr">
        <is>
          <t>https://www.jumbo.com.ar/shampoo-elvive-kera-liso-400ml/p</t>
        </is>
      </c>
    </row>
    <row r="478">
      <c r="A478" s="2" t="inlineStr">
        <is>
          <t>Jumbo</t>
        </is>
      </c>
      <c r="B478" s="2" t="n">
        <v>29625</v>
      </c>
      <c r="C478" s="2" t="n">
        <v>26787</v>
      </c>
      <c r="D478" s="2" t="inlineStr">
        <is>
          <t>Shampoo Herbal Essences 300 Ml</t>
        </is>
      </c>
      <c r="E478" s="2" t="inlineStr">
        <is>
          <t>HERBAL ESSENCES</t>
        </is>
      </c>
      <c r="F478" s="2" t="n">
        <v>157.69</v>
      </c>
      <c r="G478" s="2" t="n">
        <v>13032</v>
      </c>
      <c r="H478" s="2" t="b">
        <v>0</v>
      </c>
      <c r="I478" s="2" t="n">
        <v>300</v>
      </c>
      <c r="J478" s="2" t="n">
        <v>0.5256</v>
      </c>
      <c r="K478" s="2" t="inlineStr">
        <is>
          <t>&gt; Perfumería &gt; Cuidado Capilar &gt; Shampoo &gt;</t>
        </is>
      </c>
      <c r="L478" s="2" t="inlineStr">
        <is>
          <t>shampoo</t>
        </is>
      </c>
      <c r="M478" s="2" t="inlineStr">
        <is>
          <t>estandar</t>
        </is>
      </c>
      <c r="N478" s="2" t="inlineStr">
        <is>
          <t>general</t>
        </is>
      </c>
      <c r="O478" s="2" t="inlineStr">
        <is>
          <t>https://www.jumbo.com.ar/shampoo-herbal-essences-3/p</t>
        </is>
      </c>
    </row>
    <row r="479">
      <c r="A479" t="inlineStr">
        <is>
          <t>Jumbo</t>
        </is>
      </c>
      <c r="B479" t="n">
        <v>29434</v>
      </c>
      <c r="C479" t="n">
        <v>26597</v>
      </c>
      <c r="D479" t="inlineStr">
        <is>
          <t>Shampoo Familiar Ceramidas 1 L</t>
        </is>
      </c>
      <c r="E479" t="inlineStr">
        <is>
          <t>PLUSBELLE</t>
        </is>
      </c>
      <c r="F479" t="n">
        <v>61.39</v>
      </c>
      <c r="G479" t="n">
        <v>5074</v>
      </c>
      <c r="H479" t="b">
        <v>0</v>
      </c>
      <c r="I479" t="n">
        <v>1000</v>
      </c>
      <c r="J479" t="n">
        <v>0.0614</v>
      </c>
      <c r="K479" t="inlineStr">
        <is>
          <t>&gt; Perfumería &gt; Cuidado Capilar &gt; Shampoo &gt;</t>
        </is>
      </c>
      <c r="L479" t="inlineStr">
        <is>
          <t>shampoo</t>
        </is>
      </c>
      <c r="M479" t="inlineStr">
        <is>
          <t>estandar</t>
        </is>
      </c>
      <c r="N479" t="inlineStr">
        <is>
          <t>general</t>
        </is>
      </c>
      <c r="O479" t="inlineStr">
        <is>
          <t>https://www.jumbo.com.ar/shampoo-familiar/p</t>
        </is>
      </c>
    </row>
    <row r="480">
      <c r="A480" s="2" t="inlineStr">
        <is>
          <t>Jumbo</t>
        </is>
      </c>
      <c r="B480" s="2" t="n">
        <v>19672</v>
      </c>
      <c r="C480" s="2" t="n">
        <v>16837</v>
      </c>
      <c r="D480" s="2" t="inlineStr">
        <is>
          <t>Shampoo Sedal Pureza Detox 650ml</t>
        </is>
      </c>
      <c r="E480" s="2" t="inlineStr">
        <is>
          <t>SEDAL</t>
        </is>
      </c>
      <c r="F480" s="2" t="n">
        <v>246.25</v>
      </c>
      <c r="G480" s="2" t="n">
        <v>20351</v>
      </c>
      <c r="H480" s="2" t="b">
        <v>0</v>
      </c>
      <c r="I480" s="2" t="n">
        <v>650</v>
      </c>
      <c r="J480" s="2" t="n">
        <v>0.3788</v>
      </c>
      <c r="K480" s="2" t="inlineStr">
        <is>
          <t>&gt; Perfumería &gt; Cuidado Capilar &gt; Shampoo &gt;</t>
        </is>
      </c>
      <c r="L480" s="2" t="inlineStr">
        <is>
          <t>shampoo</t>
        </is>
      </c>
      <c r="M480" s="2" t="inlineStr">
        <is>
          <t>estandar</t>
        </is>
      </c>
      <c r="N480" s="2" t="inlineStr">
        <is>
          <t>general</t>
        </is>
      </c>
      <c r="O480" s="2" t="inlineStr">
        <is>
          <t>https://www.jumbo.com.ar/shampoo-sedal-pureza-detox-650ml/p</t>
        </is>
      </c>
    </row>
    <row r="481">
      <c r="A481" t="inlineStr">
        <is>
          <t>Jumbo</t>
        </is>
      </c>
      <c r="B481" t="n">
        <v>13523</v>
      </c>
      <c r="C481" t="n">
        <v>10720</v>
      </c>
      <c r="D481" t="inlineStr">
        <is>
          <t>Shampoo Capilatis-fortificado-pet-ml.-400</t>
        </is>
      </c>
      <c r="E481" t="inlineStr">
        <is>
          <t>CAPILATIS</t>
        </is>
      </c>
      <c r="F481" t="n">
        <v>488.77</v>
      </c>
      <c r="G481" t="n">
        <v>40394</v>
      </c>
      <c r="H481" t="b">
        <v>0</v>
      </c>
      <c r="I481" t="inlineStr"/>
      <c r="J481" t="inlineStr"/>
      <c r="K481" t="inlineStr">
        <is>
          <t>&gt; Perfumería &gt; Cuidado Capilar &gt; Shampoo &gt;</t>
        </is>
      </c>
      <c r="L481" t="inlineStr">
        <is>
          <t>shampoo</t>
        </is>
      </c>
      <c r="M481" t="inlineStr">
        <is>
          <t>estandar</t>
        </is>
      </c>
      <c r="N481" t="inlineStr">
        <is>
          <t>general</t>
        </is>
      </c>
      <c r="O481" t="inlineStr">
        <is>
          <t>https://www.jumbo.com.ar/shampoo-capilatis-14/p</t>
        </is>
      </c>
    </row>
    <row r="482">
      <c r="A482" s="2" t="inlineStr">
        <is>
          <t>Jumbo</t>
        </is>
      </c>
      <c r="B482" s="2" t="n">
        <v>8039</v>
      </c>
      <c r="C482" s="2" t="n">
        <v>5365</v>
      </c>
      <c r="D482" s="2" t="inlineStr">
        <is>
          <t>Shampoo Capilatis Manzanilla 500 Ml</t>
        </is>
      </c>
      <c r="E482" s="2" t="inlineStr">
        <is>
          <t>CAPILATIS</t>
        </is>
      </c>
      <c r="F482" s="2" t="n">
        <v>632.73</v>
      </c>
      <c r="G482" s="2" t="n">
        <v>52292</v>
      </c>
      <c r="H482" s="2" t="b">
        <v>0</v>
      </c>
      <c r="I482" s="2" t="n">
        <v>500</v>
      </c>
      <c r="J482" s="2" t="n">
        <v>1.2655</v>
      </c>
      <c r="K482" s="2" t="inlineStr">
        <is>
          <t>&gt; Perfumería &gt; Cuidado Capilar &gt; Shampoo &gt;</t>
        </is>
      </c>
      <c r="L482" s="2" t="inlineStr">
        <is>
          <t>shampoo</t>
        </is>
      </c>
      <c r="M482" s="2" t="inlineStr">
        <is>
          <t>estandar</t>
        </is>
      </c>
      <c r="N482" s="2" t="inlineStr">
        <is>
          <t>general</t>
        </is>
      </c>
      <c r="O482" s="2" t="inlineStr">
        <is>
          <t>https://www.jumbo.com.ar/shampoo-capilatis-manzanilla-500-ml/p</t>
        </is>
      </c>
    </row>
    <row r="483">
      <c r="A483" t="inlineStr">
        <is>
          <t>Jumbo</t>
        </is>
      </c>
      <c r="B483" t="n">
        <v>8033</v>
      </c>
      <c r="C483" t="n">
        <v>5359</v>
      </c>
      <c r="D483" t="inlineStr">
        <is>
          <t>Shampoo Capilatis Equilibrance 410 Cc</t>
        </is>
      </c>
      <c r="E483" t="inlineStr">
        <is>
          <t>CAPILATIS</t>
        </is>
      </c>
      <c r="F483" t="n">
        <v>1952.87</v>
      </c>
      <c r="G483" t="n">
        <v>161394</v>
      </c>
      <c r="H483" t="b">
        <v>0</v>
      </c>
      <c r="I483" t="inlineStr"/>
      <c r="J483" t="inlineStr"/>
      <c r="K483" t="inlineStr">
        <is>
          <t>&gt; Perfumería &gt; Cuidado Capilar &gt; Shampoo &gt;</t>
        </is>
      </c>
      <c r="L483" t="inlineStr">
        <is>
          <t>shampoo</t>
        </is>
      </c>
      <c r="M483" t="inlineStr">
        <is>
          <t>estandar</t>
        </is>
      </c>
      <c r="N483" t="inlineStr">
        <is>
          <t>general</t>
        </is>
      </c>
      <c r="O483" t="inlineStr">
        <is>
          <t>https://www.jumbo.com.ar/shampoo-capilatis-equilibrance-410-cc/p</t>
        </is>
      </c>
    </row>
    <row r="484">
      <c r="A484" s="2" t="inlineStr">
        <is>
          <t>Jumbo</t>
        </is>
      </c>
      <c r="B484" s="2" t="n">
        <v>7736</v>
      </c>
      <c r="C484" s="2" t="n">
        <v>5060</v>
      </c>
      <c r="D484" s="2" t="inlineStr">
        <is>
          <t>Pantene Shampoo Control Caida 750ml</t>
        </is>
      </c>
      <c r="E484" s="2" t="inlineStr">
        <is>
          <t>PANTENE</t>
        </is>
      </c>
      <c r="F484" s="2" t="n">
        <v>74.37</v>
      </c>
      <c r="G484" s="2" t="n">
        <v>6146</v>
      </c>
      <c r="H484" s="2" t="b">
        <v>0</v>
      </c>
      <c r="I484" s="2" t="n">
        <v>750</v>
      </c>
      <c r="J484" s="2" t="n">
        <v>0.0992</v>
      </c>
      <c r="K484" s="2" t="inlineStr">
        <is>
          <t>&gt; Perfumería &gt; Cuidado Capilar &gt; Shampoo &gt;</t>
        </is>
      </c>
      <c r="L484" s="2" t="inlineStr">
        <is>
          <t>shampoo</t>
        </is>
      </c>
      <c r="M484" s="2" t="inlineStr">
        <is>
          <t>estandar</t>
        </is>
      </c>
      <c r="N484" s="2" t="inlineStr">
        <is>
          <t>general</t>
        </is>
      </c>
      <c r="O484" s="2" t="inlineStr">
        <is>
          <t>https://www.jumbo.com.ar/shampoo-pantene-7/p</t>
        </is>
      </c>
    </row>
    <row r="485">
      <c r="A485" t="inlineStr">
        <is>
          <t>Jumbo</t>
        </is>
      </c>
      <c r="B485" t="n">
        <v>7689</v>
      </c>
      <c r="C485" t="n">
        <v>5015</v>
      </c>
      <c r="D485" t="inlineStr">
        <is>
          <t>Shampoo Elvive Rt Extreme 400ml</t>
        </is>
      </c>
      <c r="E485" t="inlineStr">
        <is>
          <t>ELVIVE</t>
        </is>
      </c>
      <c r="F485" t="n">
        <v>470.17</v>
      </c>
      <c r="G485" t="n">
        <v>38857</v>
      </c>
      <c r="H485" t="b">
        <v>0</v>
      </c>
      <c r="I485" t="n">
        <v>400</v>
      </c>
      <c r="J485" t="n">
        <v>1.1754</v>
      </c>
      <c r="K485" t="inlineStr">
        <is>
          <t>&gt; Perfumería &gt; Cuidado Capilar &gt; Shampoo &gt;</t>
        </is>
      </c>
      <c r="L485" t="inlineStr">
        <is>
          <t>shampoo</t>
        </is>
      </c>
      <c r="M485" t="inlineStr">
        <is>
          <t>profesional</t>
        </is>
      </c>
      <c r="N485" t="inlineStr">
        <is>
          <t>general</t>
        </is>
      </c>
      <c r="O485" t="inlineStr">
        <is>
          <t>https://www.jumbo.com.ar/shampoo-elvive-rt-extreme-400ml/p</t>
        </is>
      </c>
    </row>
    <row r="486">
      <c r="A486" s="2" t="inlineStr">
        <is>
          <t>Jumbo</t>
        </is>
      </c>
      <c r="B486" s="2" t="n">
        <v>7686</v>
      </c>
      <c r="C486" s="2" t="n">
        <v>5012</v>
      </c>
      <c r="D486" s="2" t="inlineStr">
        <is>
          <t>Shampoo Elvive Rt Extreme 750ml</t>
        </is>
      </c>
      <c r="E486" s="2" t="inlineStr">
        <is>
          <t>ELVIVE</t>
        </is>
      </c>
      <c r="F486" s="2" t="n">
        <v>745.65</v>
      </c>
      <c r="G486" s="2" t="n">
        <v>61624</v>
      </c>
      <c r="H486" s="2" t="b">
        <v>0</v>
      </c>
      <c r="I486" s="2" t="n">
        <v>750</v>
      </c>
      <c r="J486" s="2" t="n">
        <v>0.9942</v>
      </c>
      <c r="K486" s="2" t="inlineStr">
        <is>
          <t>&gt; Perfumería &gt; Cuidado Capilar &gt; Shampoo &gt;</t>
        </is>
      </c>
      <c r="L486" s="2" t="inlineStr">
        <is>
          <t>shampoo</t>
        </is>
      </c>
      <c r="M486" s="2" t="inlineStr">
        <is>
          <t>profesional</t>
        </is>
      </c>
      <c r="N486" s="2" t="inlineStr">
        <is>
          <t>general</t>
        </is>
      </c>
      <c r="O486" s="2" t="inlineStr">
        <is>
          <t>https://www.jumbo.com.ar/shampoo-elvive-rt-extreme-750ml/p</t>
        </is>
      </c>
    </row>
    <row r="487">
      <c r="A487" t="inlineStr">
        <is>
          <t>Jumbo</t>
        </is>
      </c>
      <c r="B487" t="n">
        <v>5941</v>
      </c>
      <c r="C487" t="n">
        <v>3330</v>
      </c>
      <c r="D487" t="inlineStr">
        <is>
          <t>Shampoo Engrosador 410 Ml Capilatis</t>
        </is>
      </c>
      <c r="E487" t="inlineStr">
        <is>
          <t>CAPILATIS</t>
        </is>
      </c>
      <c r="F487" t="n">
        <v>9250</v>
      </c>
      <c r="G487" t="n">
        <v>764463</v>
      </c>
      <c r="H487" t="b">
        <v>0</v>
      </c>
      <c r="I487" t="n">
        <v>410</v>
      </c>
      <c r="J487" t="n">
        <v>22.561</v>
      </c>
      <c r="K487" t="inlineStr">
        <is>
          <t>&gt; Perfumería &gt; Cuidado Capilar &gt; Shampoo &gt;</t>
        </is>
      </c>
      <c r="L487" t="inlineStr">
        <is>
          <t>shampoo</t>
        </is>
      </c>
      <c r="M487" t="inlineStr">
        <is>
          <t>estandar</t>
        </is>
      </c>
      <c r="N487" t="inlineStr">
        <is>
          <t>general</t>
        </is>
      </c>
      <c r="O487" t="inlineStr">
        <is>
          <t>https://www.jumbo.com.ar/shampoo-capilatis-engrosador-410-ml/p</t>
        </is>
      </c>
    </row>
    <row r="488">
      <c r="A488" s="2" t="inlineStr">
        <is>
          <t>Jumbo</t>
        </is>
      </c>
      <c r="B488" s="2" t="n">
        <v>4496</v>
      </c>
      <c r="C488" s="2" t="n">
        <v>26235</v>
      </c>
      <c r="D488" s="2" t="inlineStr">
        <is>
          <t>Shampoo Babelito Manzana 200 Ml</t>
        </is>
      </c>
      <c r="E488" s="2" t="inlineStr">
        <is>
          <t>BABELITO</t>
        </is>
      </c>
      <c r="F488" s="2" t="n">
        <v>58.19</v>
      </c>
      <c r="G488" s="2" t="n">
        <v>58.19</v>
      </c>
      <c r="H488" s="2" t="b">
        <v>0</v>
      </c>
      <c r="I488" s="2" t="n">
        <v>200</v>
      </c>
      <c r="J488" s="2" t="n">
        <v>0.2909</v>
      </c>
      <c r="K488" s="2" t="inlineStr">
        <is>
          <t>&gt; Mundo Bebe &gt; Higiene para el Bebe &gt; Higiene del Bebé &gt;</t>
        </is>
      </c>
      <c r="L488" s="2" t="inlineStr">
        <is>
          <t>shampoo</t>
        </is>
      </c>
      <c r="M488" s="2" t="inlineStr">
        <is>
          <t>estandar</t>
        </is>
      </c>
      <c r="N488" s="2" t="inlineStr">
        <is>
          <t>general</t>
        </is>
      </c>
      <c r="O488" s="2" t="inlineStr">
        <is>
          <t>https://www.jumbo.com.ar/shampoo-babelito/p</t>
        </is>
      </c>
    </row>
    <row r="489">
      <c r="A489" t="inlineStr">
        <is>
          <t>Jumbo</t>
        </is>
      </c>
      <c r="B489" t="n">
        <v>3087947</v>
      </c>
      <c r="C489" t="n">
        <v>3087175</v>
      </c>
      <c r="D489" t="inlineStr">
        <is>
          <t>Shampoo Elvive Lifter Colageno 750ml</t>
        </is>
      </c>
      <c r="E489" t="inlineStr">
        <is>
          <t>ELVIVE</t>
        </is>
      </c>
      <c r="F489" t="n">
        <v>21000</v>
      </c>
      <c r="G489" t="n">
        <v>1735537</v>
      </c>
      <c r="H489" t="b">
        <v>0</v>
      </c>
      <c r="I489" t="n">
        <v>750</v>
      </c>
      <c r="J489" t="n">
        <v>28</v>
      </c>
      <c r="K489" t="inlineStr">
        <is>
          <t>&gt; Perfumería &gt; Cuidado Capilar &gt; Shampoo &gt;</t>
        </is>
      </c>
      <c r="L489" t="inlineStr">
        <is>
          <t>shampoo</t>
        </is>
      </c>
      <c r="M489" t="inlineStr">
        <is>
          <t>profesional</t>
        </is>
      </c>
      <c r="N489" t="inlineStr">
        <is>
          <t>general</t>
        </is>
      </c>
      <c r="O489" t="inlineStr">
        <is>
          <t>https://www.jumbo.com.ar/shampoo-elvive-lifter-colageno-750ml/p</t>
        </is>
      </c>
    </row>
    <row r="490">
      <c r="A490" s="2" t="inlineStr">
        <is>
          <t>Jumbo</t>
        </is>
      </c>
      <c r="B490" s="2" t="n">
        <v>1360436</v>
      </c>
      <c r="C490" s="2" t="n">
        <v>1360021</v>
      </c>
      <c r="D490" s="2" t="inlineStr">
        <is>
          <t>Shampoo Pantene Keratina 400 Ml</t>
        </is>
      </c>
      <c r="E490" s="2" t="inlineStr">
        <is>
          <t>PANTENE</t>
        </is>
      </c>
      <c r="F490" s="2" t="n">
        <v>10000</v>
      </c>
      <c r="G490" s="2" t="n">
        <v>826446</v>
      </c>
      <c r="H490" s="2" t="b">
        <v>0</v>
      </c>
      <c r="I490" s="2" t="n">
        <v>400</v>
      </c>
      <c r="J490" s="2" t="n">
        <v>25</v>
      </c>
      <c r="K490" s="2" t="inlineStr">
        <is>
          <t>&gt; Perfumería &gt; Cuidado Capilar &gt; Shampoo &gt;</t>
        </is>
      </c>
      <c r="L490" s="2" t="inlineStr">
        <is>
          <t>shampoo</t>
        </is>
      </c>
      <c r="M490" s="2" t="inlineStr">
        <is>
          <t>estandar</t>
        </is>
      </c>
      <c r="N490" s="2" t="inlineStr">
        <is>
          <t>tratado</t>
        </is>
      </c>
      <c r="O490" s="2" t="inlineStr">
        <is>
          <t>https://www.jumbo.com.ar/shampoo-pantene-keratina-400-ml/p</t>
        </is>
      </c>
    </row>
    <row r="491">
      <c r="A491" t="inlineStr">
        <is>
          <t>Jumbo</t>
        </is>
      </c>
      <c r="B491" t="n">
        <v>412040</v>
      </c>
      <c r="C491" t="n">
        <v>407755</v>
      </c>
      <c r="D491" t="inlineStr">
        <is>
          <t>Shampoo Fuerza 1000 Ml Plusbelle</t>
        </is>
      </c>
      <c r="E491" t="inlineStr">
        <is>
          <t>PLUSBELLE</t>
        </is>
      </c>
      <c r="F491" t="n">
        <v>5600</v>
      </c>
      <c r="G491" t="n">
        <v>462810</v>
      </c>
      <c r="H491" t="b">
        <v>0</v>
      </c>
      <c r="I491" t="n">
        <v>1000</v>
      </c>
      <c r="J491" t="n">
        <v>5.6</v>
      </c>
      <c r="K491" t="inlineStr">
        <is>
          <t>&gt; Perfumería &gt; Cuidado Capilar &gt; Shampoo &gt;</t>
        </is>
      </c>
      <c r="L491" t="inlineStr">
        <is>
          <t>shampoo</t>
        </is>
      </c>
      <c r="M491" t="inlineStr">
        <is>
          <t>estandar</t>
        </is>
      </c>
      <c r="N491" t="inlineStr">
        <is>
          <t>general</t>
        </is>
      </c>
      <c r="O491" t="inlineStr">
        <is>
          <t>https://www.jumbo.com.ar/shampoo-antioxidante-1000-ml-plusbelle/p</t>
        </is>
      </c>
    </row>
    <row r="492">
      <c r="A492" s="2" t="inlineStr">
        <is>
          <t>Jumbo</t>
        </is>
      </c>
      <c r="B492" s="2" t="n">
        <v>411477</v>
      </c>
      <c r="C492" s="2" t="n">
        <v>407295</v>
      </c>
      <c r="D492" s="2" t="inlineStr">
        <is>
          <t>Shampoo Capilatis Manzanilla 420 Ml</t>
        </is>
      </c>
      <c r="E492" s="2" t="inlineStr">
        <is>
          <t>CAPILATIS</t>
        </is>
      </c>
      <c r="F492" s="2" t="n">
        <v>8809.469999999999</v>
      </c>
      <c r="G492" s="2" t="n">
        <v>728055</v>
      </c>
      <c r="H492" s="2" t="b">
        <v>0</v>
      </c>
      <c r="I492" s="2" t="n">
        <v>420</v>
      </c>
      <c r="J492" s="2" t="n">
        <v>20.9749</v>
      </c>
      <c r="K492" s="2" t="inlineStr">
        <is>
          <t>&gt; Perfumería &gt; Cuidado Capilar &gt; Shampoo &gt;</t>
        </is>
      </c>
      <c r="L492" s="2" t="inlineStr">
        <is>
          <t>shampoo</t>
        </is>
      </c>
      <c r="M492" s="2" t="inlineStr">
        <is>
          <t>estandar</t>
        </is>
      </c>
      <c r="N492" s="2" t="inlineStr">
        <is>
          <t>general</t>
        </is>
      </c>
      <c r="O492" s="2" t="inlineStr">
        <is>
          <t>https://www.jumbo.com.ar/shampoo-capilatis-manzanilla-420-ml/p</t>
        </is>
      </c>
    </row>
    <row r="493">
      <c r="A493" t="inlineStr">
        <is>
          <t>Jumbo</t>
        </is>
      </c>
      <c r="B493" t="n">
        <v>411250</v>
      </c>
      <c r="C493" t="n">
        <v>407090</v>
      </c>
      <c r="D493" t="inlineStr">
        <is>
          <t>Shampoo Dove Brillo 400 Ml</t>
        </is>
      </c>
      <c r="E493" t="inlineStr">
        <is>
          <t>DOVE</t>
        </is>
      </c>
      <c r="F493" t="n">
        <v>9605.870000000001</v>
      </c>
      <c r="G493" t="n">
        <v>793874</v>
      </c>
      <c r="H493" t="b">
        <v>0</v>
      </c>
      <c r="I493" t="n">
        <v>400</v>
      </c>
      <c r="J493" t="n">
        <v>24.0147</v>
      </c>
      <c r="K493" t="inlineStr">
        <is>
          <t>&gt; Perfumería &gt; Cuidado Capilar &gt; Shampoo &gt;</t>
        </is>
      </c>
      <c r="L493" t="inlineStr">
        <is>
          <t>shampoo</t>
        </is>
      </c>
      <c r="M493" t="inlineStr">
        <is>
          <t>estandar</t>
        </is>
      </c>
      <c r="N493" t="inlineStr">
        <is>
          <t>general</t>
        </is>
      </c>
      <c r="O493" t="inlineStr">
        <is>
          <t>https://www.jumbo.com.ar/shampoo-dove-brillo-400-ml/p</t>
        </is>
      </c>
    </row>
    <row r="494">
      <c r="A494" s="2" t="inlineStr">
        <is>
          <t>Jumbo</t>
        </is>
      </c>
      <c r="B494" s="2" t="n">
        <v>390230</v>
      </c>
      <c r="C494" s="2" t="n">
        <v>388321</v>
      </c>
      <c r="D494" s="2" t="inlineStr">
        <is>
          <t>Shampoo Pantene Hidratación 750 Ml</t>
        </is>
      </c>
      <c r="E494" s="2" t="inlineStr">
        <is>
          <t>PANTENE</t>
        </is>
      </c>
      <c r="F494" s="2" t="n">
        <v>2201.77</v>
      </c>
      <c r="G494" s="2" t="n">
        <v>181964</v>
      </c>
      <c r="H494" s="2" t="b">
        <v>0</v>
      </c>
      <c r="I494" s="2" t="n">
        <v>750</v>
      </c>
      <c r="J494" s="2" t="n">
        <v>2.9357</v>
      </c>
      <c r="K494" s="2" t="inlineStr">
        <is>
          <t>&gt; Perfumería &gt; Cuidado Capilar &gt; Shampoo &gt;</t>
        </is>
      </c>
      <c r="L494" s="2" t="inlineStr">
        <is>
          <t>shampoo</t>
        </is>
      </c>
      <c r="M494" s="2" t="inlineStr">
        <is>
          <t>estandar</t>
        </is>
      </c>
      <c r="N494" s="2" t="inlineStr">
        <is>
          <t>seco_danado</t>
        </is>
      </c>
      <c r="O494" s="2" t="inlineStr">
        <is>
          <t>https://www.jumbo.com.ar/shampoo-pantene-hidratacion-750-ml/p</t>
        </is>
      </c>
    </row>
    <row r="495">
      <c r="A495" t="inlineStr">
        <is>
          <t>Jumbo</t>
        </is>
      </c>
      <c r="B495" t="n">
        <v>386643</v>
      </c>
      <c r="C495" t="n">
        <v>384922</v>
      </c>
      <c r="D495" t="inlineStr">
        <is>
          <t>Shampoo Head&amp;shoulders Fuerza 700ml</t>
        </is>
      </c>
      <c r="E495" t="inlineStr">
        <is>
          <t>HEAD &amp; SHOULDERS</t>
        </is>
      </c>
      <c r="F495" t="n">
        <v>2017.73</v>
      </c>
      <c r="G495" t="n">
        <v>166755</v>
      </c>
      <c r="H495" t="b">
        <v>0</v>
      </c>
      <c r="I495" t="n">
        <v>700</v>
      </c>
      <c r="J495" t="n">
        <v>2.8825</v>
      </c>
      <c r="K495" t="inlineStr">
        <is>
          <t>&gt; Perfumería &gt; Cuidado Capilar &gt; Shampoo &gt;</t>
        </is>
      </c>
      <c r="L495" t="inlineStr">
        <is>
          <t>shampoo</t>
        </is>
      </c>
      <c r="M495" t="inlineStr">
        <is>
          <t>estandar</t>
        </is>
      </c>
      <c r="N495" t="inlineStr">
        <is>
          <t>general</t>
        </is>
      </c>
      <c r="O495" t="inlineStr">
        <is>
          <t>https://www.jumbo.com.ar/shampoo-head-shoulders-fuerza-700ml/p</t>
        </is>
      </c>
    </row>
    <row r="496">
      <c r="A496" s="2" t="inlineStr">
        <is>
          <t>Jumbo</t>
        </is>
      </c>
      <c r="B496" s="2" t="n">
        <v>386639</v>
      </c>
      <c r="C496" s="2" t="n">
        <v>384918</v>
      </c>
      <c r="D496" s="2" t="inlineStr">
        <is>
          <t>Shampoo Head&amp;shoulders Men 180ml</t>
        </is>
      </c>
      <c r="E496" s="2" t="inlineStr">
        <is>
          <t>HEAD &amp; SHOULDERS</t>
        </is>
      </c>
      <c r="F496" s="2" t="n">
        <v>728.99</v>
      </c>
      <c r="G496" s="2" t="n">
        <v>60247</v>
      </c>
      <c r="H496" s="2" t="b">
        <v>0</v>
      </c>
      <c r="I496" s="2" t="n">
        <v>180</v>
      </c>
      <c r="J496" s="2" t="n">
        <v>4.0499</v>
      </c>
      <c r="K496" s="2" t="inlineStr">
        <is>
          <t>&gt; Perfumería &gt; Cuidado Capilar &gt; Shampoo &gt;</t>
        </is>
      </c>
      <c r="L496" s="2" t="inlineStr">
        <is>
          <t>shampoo</t>
        </is>
      </c>
      <c r="M496" s="2" t="inlineStr">
        <is>
          <t>estandar</t>
        </is>
      </c>
      <c r="N496" s="2" t="inlineStr">
        <is>
          <t>general</t>
        </is>
      </c>
      <c r="O496" s="2" t="inlineStr">
        <is>
          <t>https://www.jumbo.com.ar/shampoo-head-shoulders-men-180ml/p</t>
        </is>
      </c>
    </row>
    <row r="497">
      <c r="A497" t="inlineStr">
        <is>
          <t>Jumbo</t>
        </is>
      </c>
      <c r="B497" t="n">
        <v>386638</v>
      </c>
      <c r="C497" t="n">
        <v>384917</v>
      </c>
      <c r="D497" t="inlineStr">
        <is>
          <t>Shampoo Head&amp;shoulders Suave 180ml</t>
        </is>
      </c>
      <c r="E497" t="inlineStr">
        <is>
          <t>HEAD &amp; SHOULDERS</t>
        </is>
      </c>
      <c r="F497" t="n">
        <v>1199.29</v>
      </c>
      <c r="G497" t="n">
        <v>99115</v>
      </c>
      <c r="H497" t="b">
        <v>0</v>
      </c>
      <c r="I497" t="n">
        <v>180</v>
      </c>
      <c r="J497" t="n">
        <v>6.6627</v>
      </c>
      <c r="K497" t="inlineStr">
        <is>
          <t>&gt; Perfumería &gt; Cuidado Capilar &gt; Shampoo &gt;</t>
        </is>
      </c>
      <c r="L497" t="inlineStr">
        <is>
          <t>shampoo</t>
        </is>
      </c>
      <c r="M497" t="inlineStr">
        <is>
          <t>estandar</t>
        </is>
      </c>
      <c r="N497" t="inlineStr">
        <is>
          <t>bebe</t>
        </is>
      </c>
      <c r="O497" t="inlineStr">
        <is>
          <t>https://www.jumbo.com.ar/shampoo-head-shoulders-suave-180ml/p</t>
        </is>
      </c>
    </row>
    <row r="498">
      <c r="A498" s="2" t="inlineStr">
        <is>
          <t>Jumbo</t>
        </is>
      </c>
      <c r="B498" s="2" t="n">
        <v>386631</v>
      </c>
      <c r="C498" s="2" t="n">
        <v>384910</v>
      </c>
      <c r="D498" s="2" t="inlineStr">
        <is>
          <t>Shampoo Head&amp;shoulders Manzana 700ml</t>
        </is>
      </c>
      <c r="E498" s="2" t="inlineStr">
        <is>
          <t>HEAD &amp; SHOULDERS</t>
        </is>
      </c>
      <c r="F498" s="2" t="n">
        <v>9729.99</v>
      </c>
      <c r="G498" s="2" t="n">
        <v>804131</v>
      </c>
      <c r="H498" s="2" t="b">
        <v>0</v>
      </c>
      <c r="I498" s="2" t="n">
        <v>700</v>
      </c>
      <c r="J498" s="2" t="n">
        <v>13.9</v>
      </c>
      <c r="K498" s="2" t="inlineStr">
        <is>
          <t>&gt; Perfumería &gt; Cuidado Capilar &gt; Shampoo &gt;</t>
        </is>
      </c>
      <c r="L498" s="2" t="inlineStr">
        <is>
          <t>shampoo</t>
        </is>
      </c>
      <c r="M498" s="2" t="inlineStr">
        <is>
          <t>estandar</t>
        </is>
      </c>
      <c r="N498" s="2" t="inlineStr">
        <is>
          <t>general</t>
        </is>
      </c>
      <c r="O498" s="2" t="inlineStr">
        <is>
          <t>https://www.jumbo.com.ar/shampoo-head-shoulders-manzana-700ml/p</t>
        </is>
      </c>
    </row>
    <row r="499">
      <c r="A499" t="inlineStr">
        <is>
          <t>Jumbo</t>
        </is>
      </c>
      <c r="B499" t="n">
        <v>384233</v>
      </c>
      <c r="C499" t="n">
        <v>382918</v>
      </c>
      <c r="D499" t="inlineStr">
        <is>
          <t>Shampoo Tresemme Kera Antifrizz 500ml</t>
        </is>
      </c>
      <c r="E499" t="inlineStr">
        <is>
          <t>TRESEMMÉ</t>
        </is>
      </c>
      <c r="F499" t="n">
        <v>1600</v>
      </c>
      <c r="G499" t="n">
        <v>132231</v>
      </c>
      <c r="H499" t="b">
        <v>0</v>
      </c>
      <c r="I499" t="n">
        <v>500</v>
      </c>
      <c r="J499" t="n">
        <v>3.2</v>
      </c>
      <c r="K499" t="inlineStr">
        <is>
          <t>&gt; Perfumería &gt; Cuidado Capilar &gt; Shampoo &gt;</t>
        </is>
      </c>
      <c r="L499" t="inlineStr">
        <is>
          <t>shampoo</t>
        </is>
      </c>
      <c r="M499" t="inlineStr">
        <is>
          <t>estandar</t>
        </is>
      </c>
      <c r="N499" t="inlineStr">
        <is>
          <t>general</t>
        </is>
      </c>
      <c r="O499" t="inlineStr">
        <is>
          <t>https://www.jumbo.com.ar/shampoo-tresemme-kera-antifrizz-500ml/p</t>
        </is>
      </c>
    </row>
    <row r="500">
      <c r="A500" s="2" t="inlineStr">
        <is>
          <t>Jumbo</t>
        </is>
      </c>
      <c r="B500" s="2" t="n">
        <v>384192</v>
      </c>
      <c r="C500" s="2" t="n">
        <v>382893</v>
      </c>
      <c r="D500" s="2" t="inlineStr">
        <is>
          <t>Shampoo Tresemme Kera Antifrizz 250ml</t>
        </is>
      </c>
      <c r="E500" s="2" t="inlineStr">
        <is>
          <t>TRESEMMÉ</t>
        </is>
      </c>
      <c r="F500" s="2" t="n">
        <v>1000</v>
      </c>
      <c r="G500" s="2" t="n">
        <v>82645</v>
      </c>
      <c r="H500" s="2" t="b">
        <v>0</v>
      </c>
      <c r="I500" s="2" t="n">
        <v>250</v>
      </c>
      <c r="J500" s="2" t="n">
        <v>4</v>
      </c>
      <c r="K500" s="2" t="inlineStr">
        <is>
          <t>&gt; Perfumería &gt; Cuidado Capilar &gt; Shampoo &gt;</t>
        </is>
      </c>
      <c r="L500" s="2" t="inlineStr">
        <is>
          <t>shampoo</t>
        </is>
      </c>
      <c r="M500" s="2" t="inlineStr">
        <is>
          <t>estandar</t>
        </is>
      </c>
      <c r="N500" s="2" t="inlineStr">
        <is>
          <t>general</t>
        </is>
      </c>
      <c r="O500" s="2" t="inlineStr">
        <is>
          <t>https://www.jumbo.com.ar/shampoo-tresemme-kera-antifrizz-250ml/p</t>
        </is>
      </c>
    </row>
    <row r="501">
      <c r="A501" t="inlineStr">
        <is>
          <t>Jumbo</t>
        </is>
      </c>
      <c r="B501" t="n">
        <v>383679</v>
      </c>
      <c r="C501" t="n">
        <v>382394</v>
      </c>
      <c r="D501" t="inlineStr">
        <is>
          <t>Shampoo Colageno 700 Ml Pantene</t>
        </is>
      </c>
      <c r="E501" t="inlineStr">
        <is>
          <t>PANTENE</t>
        </is>
      </c>
      <c r="F501" t="n">
        <v>15200</v>
      </c>
      <c r="G501" t="n">
        <v>1256198</v>
      </c>
      <c r="H501" t="b">
        <v>0</v>
      </c>
      <c r="I501" t="n">
        <v>700</v>
      </c>
      <c r="J501" t="n">
        <v>21.7143</v>
      </c>
      <c r="K501" t="inlineStr">
        <is>
          <t>&gt; Perfumería &gt; Cuidado Capilar &gt; Shampoo &gt;</t>
        </is>
      </c>
      <c r="L501" t="inlineStr">
        <is>
          <t>shampoo</t>
        </is>
      </c>
      <c r="M501" t="inlineStr">
        <is>
          <t>estandar</t>
        </is>
      </c>
      <c r="N501" t="inlineStr">
        <is>
          <t>general</t>
        </is>
      </c>
      <c r="O501" t="inlineStr">
        <is>
          <t>https://www.jumbo.com.ar/shampoo-colageno-700-ml-pantene-2/p</t>
        </is>
      </c>
    </row>
    <row r="502">
      <c r="A502" s="2" t="inlineStr">
        <is>
          <t>Jumbo</t>
        </is>
      </c>
      <c r="B502" s="2" t="n">
        <v>375602</v>
      </c>
      <c r="C502" s="2" t="n">
        <v>374320</v>
      </c>
      <c r="D502" s="2" t="inlineStr">
        <is>
          <t>Shampoo Suave Brillo Ceramidas 930ml</t>
        </is>
      </c>
      <c r="E502" s="2" t="inlineStr">
        <is>
          <t>SUAVE</t>
        </is>
      </c>
      <c r="F502" s="2" t="n">
        <v>302.49</v>
      </c>
      <c r="G502" s="2" t="n">
        <v>24999</v>
      </c>
      <c r="H502" s="2" t="b">
        <v>0</v>
      </c>
      <c r="I502" s="2" t="n">
        <v>930</v>
      </c>
      <c r="J502" s="2" t="n">
        <v>0.3253</v>
      </c>
      <c r="K502" s="2" t="inlineStr">
        <is>
          <t>&gt; Perfumería &gt; Cuidado Capilar &gt; Shampoo &gt;</t>
        </is>
      </c>
      <c r="L502" s="2" t="inlineStr">
        <is>
          <t>shampoo</t>
        </is>
      </c>
      <c r="M502" s="2" t="inlineStr">
        <is>
          <t>estandar</t>
        </is>
      </c>
      <c r="N502" s="2" t="inlineStr">
        <is>
          <t>bebe</t>
        </is>
      </c>
      <c r="O502" s="2" t="inlineStr">
        <is>
          <t>https://www.jumbo.com.ar/shampoo-suave-brillo-ceramidas-930ml/p</t>
        </is>
      </c>
    </row>
    <row r="503">
      <c r="A503" t="inlineStr">
        <is>
          <t>Jumbo</t>
        </is>
      </c>
      <c r="B503" t="n">
        <v>364122</v>
      </c>
      <c r="C503" t="n">
        <v>362865</v>
      </c>
      <c r="D503" t="inlineStr">
        <is>
          <t>Shampoo St Tropez Manzana 930ml</t>
        </is>
      </c>
      <c r="E503" t="inlineStr">
        <is>
          <t>ST TROPEZ</t>
        </is>
      </c>
      <c r="F503" t="n">
        <v>3840</v>
      </c>
      <c r="G503" t="n">
        <v>317355</v>
      </c>
      <c r="H503" t="b">
        <v>0</v>
      </c>
      <c r="I503" t="n">
        <v>930</v>
      </c>
      <c r="J503" t="n">
        <v>4.129</v>
      </c>
      <c r="K503" t="inlineStr">
        <is>
          <t>&gt; Perfumería &gt; Cuidado Capilar &gt; Shampoo &gt;</t>
        </is>
      </c>
      <c r="L503" t="inlineStr">
        <is>
          <t>shampoo</t>
        </is>
      </c>
      <c r="M503" t="inlineStr">
        <is>
          <t>estandar</t>
        </is>
      </c>
      <c r="N503" t="inlineStr">
        <is>
          <t>general</t>
        </is>
      </c>
      <c r="O503" t="inlineStr">
        <is>
          <t>https://www.jumbo.com.ar/shampoo-st-tropez-manzana-930ml/p</t>
        </is>
      </c>
    </row>
    <row r="504">
      <c r="A504" s="2" t="inlineStr">
        <is>
          <t>Jumbo</t>
        </is>
      </c>
      <c r="B504" s="2" t="n">
        <v>347670</v>
      </c>
      <c r="C504" s="2" t="n">
        <v>346343</v>
      </c>
      <c r="D504" s="2" t="inlineStr">
        <is>
          <t>Shampoo  Sedal  Ceramidas  190 Ml</t>
        </is>
      </c>
      <c r="E504" s="2" t="inlineStr">
        <is>
          <t>SEDAL</t>
        </is>
      </c>
      <c r="F504" s="2" t="n">
        <v>359.35</v>
      </c>
      <c r="G504" s="2" t="n">
        <v>29698</v>
      </c>
      <c r="H504" s="2" t="b">
        <v>0</v>
      </c>
      <c r="I504" s="2" t="n">
        <v>190</v>
      </c>
      <c r="J504" s="2" t="n">
        <v>1.8913</v>
      </c>
      <c r="K504" s="2" t="inlineStr">
        <is>
          <t>&gt; Perfumería &gt; Cuidado Capilar &gt; Shampoo &gt;</t>
        </is>
      </c>
      <c r="L504" s="2" t="inlineStr">
        <is>
          <t>shampoo</t>
        </is>
      </c>
      <c r="M504" s="2" t="inlineStr">
        <is>
          <t>estandar</t>
        </is>
      </c>
      <c r="N504" s="2" t="inlineStr">
        <is>
          <t>general</t>
        </is>
      </c>
      <c r="O504" s="2" t="inlineStr">
        <is>
          <t>https://www.jumbo.com.ar/shampoo-sedal-ceramidas-190-ml/p</t>
        </is>
      </c>
    </row>
    <row r="505">
      <c r="A505" t="inlineStr">
        <is>
          <t>Jumbo</t>
        </is>
      </c>
      <c r="B505" t="n">
        <v>346757</v>
      </c>
      <c r="C505" t="n">
        <v>345432</v>
      </c>
      <c r="D505" t="inlineStr">
        <is>
          <t>Shampoo Elvive Extreme Reconstructor 750ml..</t>
        </is>
      </c>
      <c r="E505" t="inlineStr">
        <is>
          <t>ELVIVE</t>
        </is>
      </c>
      <c r="F505" t="n">
        <v>2013.63</v>
      </c>
      <c r="G505" t="n">
        <v>166416</v>
      </c>
      <c r="H505" t="b">
        <v>0</v>
      </c>
      <c r="I505" t="n">
        <v>750</v>
      </c>
      <c r="J505" t="n">
        <v>2.6848</v>
      </c>
      <c r="K505" t="inlineStr">
        <is>
          <t>&gt; Perfumería &gt; Cuidado Capilar &gt; Shampoo &gt;</t>
        </is>
      </c>
      <c r="L505" t="inlineStr">
        <is>
          <t>shampoo</t>
        </is>
      </c>
      <c r="M505" t="inlineStr">
        <is>
          <t>profesional</t>
        </is>
      </c>
      <c r="N505" t="inlineStr">
        <is>
          <t>general</t>
        </is>
      </c>
      <c r="O505" t="inlineStr">
        <is>
          <t>https://www.jumbo.com.ar/shampoo-elvive-extreme-reconstructor-750ml/p</t>
        </is>
      </c>
    </row>
    <row r="506">
      <c r="A506" s="2" t="inlineStr">
        <is>
          <t>Jumbo</t>
        </is>
      </c>
      <c r="B506" s="2" t="n">
        <v>346749</v>
      </c>
      <c r="C506" s="2" t="n">
        <v>345424</v>
      </c>
      <c r="D506" s="2" t="inlineStr">
        <is>
          <t>Shampoo Elvive Extreme Reconstructor 400ml</t>
        </is>
      </c>
      <c r="E506" s="2" t="inlineStr">
        <is>
          <t>ELVIVE</t>
        </is>
      </c>
      <c r="F506" s="2" t="n">
        <v>1151.55</v>
      </c>
      <c r="G506" s="2" t="n">
        <v>95169</v>
      </c>
      <c r="H506" s="2" t="b">
        <v>0</v>
      </c>
      <c r="I506" s="2" t="n">
        <v>400</v>
      </c>
      <c r="J506" s="2" t="n">
        <v>2.8789</v>
      </c>
      <c r="K506" s="2" t="inlineStr">
        <is>
          <t>&gt; Perfumería &gt; Cuidado Capilar &gt; Shampoo &gt;</t>
        </is>
      </c>
      <c r="L506" s="2" t="inlineStr">
        <is>
          <t>shampoo</t>
        </is>
      </c>
      <c r="M506" s="2" t="inlineStr">
        <is>
          <t>profesional</t>
        </is>
      </c>
      <c r="N506" s="2" t="inlineStr">
        <is>
          <t>general</t>
        </is>
      </c>
      <c r="O506" s="2" t="inlineStr">
        <is>
          <t>https://www.jumbo.com.ar/shampoo-elvive-extreme-reconstructor-400ml-2/p</t>
        </is>
      </c>
    </row>
    <row r="507">
      <c r="A507" t="inlineStr">
        <is>
          <t>Jumbo</t>
        </is>
      </c>
      <c r="B507" t="n">
        <v>344021</v>
      </c>
      <c r="C507" t="n">
        <v>342706</v>
      </c>
      <c r="D507" t="inlineStr">
        <is>
          <t>Shampoo Sedal Bomba Nutricion 340ml...</t>
        </is>
      </c>
      <c r="E507" t="inlineStr">
        <is>
          <t>SEDAL</t>
        </is>
      </c>
      <c r="F507" t="n">
        <v>850</v>
      </c>
      <c r="G507" t="n">
        <v>70248</v>
      </c>
      <c r="H507" t="b">
        <v>0</v>
      </c>
      <c r="I507" t="n">
        <v>340</v>
      </c>
      <c r="J507" t="n">
        <v>2.5</v>
      </c>
      <c r="K507" t="inlineStr">
        <is>
          <t>&gt; Perfumería &gt; Cuidado Capilar &gt; Shampoo &gt;</t>
        </is>
      </c>
      <c r="L507" t="inlineStr">
        <is>
          <t>shampoo</t>
        </is>
      </c>
      <c r="M507" t="inlineStr">
        <is>
          <t>estandar</t>
        </is>
      </c>
      <c r="N507" t="inlineStr">
        <is>
          <t>general</t>
        </is>
      </c>
      <c r="O507" t="inlineStr">
        <is>
          <t>https://www.jumbo.com.ar/shampoo-sedal-bomba-nutricion-340ml-2/p</t>
        </is>
      </c>
    </row>
    <row r="508">
      <c r="A508" s="2" t="inlineStr">
        <is>
          <t>Jumbo</t>
        </is>
      </c>
      <c r="B508" s="2" t="n">
        <v>338991</v>
      </c>
      <c r="C508" s="2" t="n">
        <v>316524</v>
      </c>
      <c r="D508" s="2" t="inlineStr">
        <is>
          <t>Shampoo Suave Suavidad Cuidado 930ml Shampoo Suave Suavidad Cuidado 930 Ml</t>
        </is>
      </c>
      <c r="E508" s="2" t="inlineStr">
        <is>
          <t>SUAVE</t>
        </is>
      </c>
      <c r="F508" s="2" t="n">
        <v>178.37</v>
      </c>
      <c r="G508" s="2" t="n">
        <v>14741</v>
      </c>
      <c r="H508" s="2" t="b">
        <v>0</v>
      </c>
      <c r="I508" s="2" t="n">
        <v>930</v>
      </c>
      <c r="J508" s="2" t="n">
        <v>0.1918</v>
      </c>
      <c r="K508" s="2" t="inlineStr">
        <is>
          <t>&gt; Perfumería &gt; Cuidado Capilar &gt; Shampoo &gt;</t>
        </is>
      </c>
      <c r="L508" s="2" t="inlineStr">
        <is>
          <t>shampoo</t>
        </is>
      </c>
      <c r="M508" s="2" t="inlineStr">
        <is>
          <t>estandar</t>
        </is>
      </c>
      <c r="N508" s="2" t="inlineStr">
        <is>
          <t>bebe</t>
        </is>
      </c>
      <c r="O508" s="2" t="inlineStr">
        <is>
          <t>https://www.jumbo.com.ar/shampoo-suave-suavidad-cuidado-930ml/p</t>
        </is>
      </c>
    </row>
    <row r="509">
      <c r="A509" t="inlineStr">
        <is>
          <t>Jumbo</t>
        </is>
      </c>
      <c r="B509" t="n">
        <v>338989</v>
      </c>
      <c r="C509" t="n">
        <v>316522</v>
      </c>
      <c r="D509" t="inlineStr">
        <is>
          <t>Shampoo Suave Crema Nutricion 930ml Shampoo Suave Crema Nutrición 930 Ml</t>
        </is>
      </c>
      <c r="E509" t="inlineStr">
        <is>
          <t>SUAVE</t>
        </is>
      </c>
      <c r="F509" t="n">
        <v>276.19</v>
      </c>
      <c r="G509" t="n">
        <v>22826</v>
      </c>
      <c r="H509" t="b">
        <v>0</v>
      </c>
      <c r="I509" t="n">
        <v>930</v>
      </c>
      <c r="J509" t="n">
        <v>0.297</v>
      </c>
      <c r="K509" t="inlineStr">
        <is>
          <t>&gt; Perfumería &gt; Cuidado Capilar &gt; Shampoo &gt;</t>
        </is>
      </c>
      <c r="L509" t="inlineStr">
        <is>
          <t>shampoo</t>
        </is>
      </c>
      <c r="M509" t="inlineStr">
        <is>
          <t>estandar</t>
        </is>
      </c>
      <c r="N509" t="inlineStr">
        <is>
          <t>bebe</t>
        </is>
      </c>
      <c r="O509" t="inlineStr">
        <is>
          <t>https://www.jumbo.com.ar/shampoo-suave-crema-nutricion-930ml/p</t>
        </is>
      </c>
    </row>
    <row r="510">
      <c r="A510" s="2" t="inlineStr">
        <is>
          <t>Jumbo</t>
        </is>
      </c>
      <c r="B510" s="2" t="n">
        <v>338988</v>
      </c>
      <c r="C510" s="2" t="n">
        <v>316521</v>
      </c>
      <c r="D510" s="2" t="inlineStr">
        <is>
          <t>Shampoo Suave Brillo Ceramidas 930ml. Shampoo Suave Brillo Ceramidas 930 Ml</t>
        </is>
      </c>
      <c r="E510" s="2" t="inlineStr">
        <is>
          <t>SUAVE</t>
        </is>
      </c>
      <c r="F510" s="2" t="n">
        <v>238.55</v>
      </c>
      <c r="G510" s="2" t="n">
        <v>19715</v>
      </c>
      <c r="H510" s="2" t="b">
        <v>0</v>
      </c>
      <c r="I510" s="2" t="n">
        <v>930</v>
      </c>
      <c r="J510" s="2" t="n">
        <v>0.2565</v>
      </c>
      <c r="K510" s="2" t="inlineStr">
        <is>
          <t>&gt; Perfumería &gt; Cuidado Capilar &gt; Shampoo &gt;</t>
        </is>
      </c>
      <c r="L510" s="2" t="inlineStr">
        <is>
          <t>shampoo</t>
        </is>
      </c>
      <c r="M510" s="2" t="inlineStr">
        <is>
          <t>estandar</t>
        </is>
      </c>
      <c r="N510" s="2" t="inlineStr">
        <is>
          <t>bebe</t>
        </is>
      </c>
      <c r="O510" s="2" t="inlineStr">
        <is>
          <t>https://www.jumbo.com.ar/shampoo-suave-brillo-ceramidas-930ml-2/p</t>
        </is>
      </c>
    </row>
    <row r="511">
      <c r="A511" t="inlineStr">
        <is>
          <t>Jumbo</t>
        </is>
      </c>
      <c r="B511" t="n">
        <v>333481</v>
      </c>
      <c r="C511" t="n">
        <v>332611</v>
      </c>
      <c r="D511" t="inlineStr">
        <is>
          <t>Shampoo Fructis Goodbye Daños 650ml</t>
        </is>
      </c>
      <c r="E511" t="inlineStr">
        <is>
          <t>FRUCTIS</t>
        </is>
      </c>
      <c r="F511" t="n">
        <v>743.79</v>
      </c>
      <c r="G511" t="n">
        <v>61470</v>
      </c>
      <c r="H511" t="b">
        <v>0</v>
      </c>
      <c r="I511" t="n">
        <v>650</v>
      </c>
      <c r="J511" t="n">
        <v>1.1443</v>
      </c>
      <c r="K511" t="inlineStr">
        <is>
          <t>&gt; Perfumería &gt; Cuidado Capilar &gt; Shampoo &gt;</t>
        </is>
      </c>
      <c r="L511" t="inlineStr">
        <is>
          <t>shampoo</t>
        </is>
      </c>
      <c r="M511" t="inlineStr">
        <is>
          <t>estandar</t>
        </is>
      </c>
      <c r="N511" t="inlineStr">
        <is>
          <t>general</t>
        </is>
      </c>
      <c r="O511" t="inlineStr">
        <is>
          <t>https://www.jumbo.com.ar/shampoo-fructis-goodbye-danos-650ml/p</t>
        </is>
      </c>
    </row>
    <row r="512">
      <c r="A512" s="2" t="inlineStr">
        <is>
          <t>Jumbo</t>
        </is>
      </c>
      <c r="B512" s="2" t="n">
        <v>332162</v>
      </c>
      <c r="C512" s="2" t="n">
        <v>331320</v>
      </c>
      <c r="D512" s="2" t="inlineStr">
        <is>
          <t>Shampoo Plusbelle Control Frizz 970ml</t>
        </is>
      </c>
      <c r="E512" s="2" t="inlineStr">
        <is>
          <t>PLUSBELLE</t>
        </is>
      </c>
      <c r="F512" s="2" t="n">
        <v>545.45</v>
      </c>
      <c r="G512" s="2" t="n">
        <v>45079</v>
      </c>
      <c r="H512" s="2" t="b">
        <v>0</v>
      </c>
      <c r="I512" s="2" t="n">
        <v>970</v>
      </c>
      <c r="J512" s="2" t="n">
        <v>0.5623</v>
      </c>
      <c r="K512" s="2" t="inlineStr">
        <is>
          <t>&gt; Perfumería &gt; Cuidado Capilar &gt; Shampoo &gt;</t>
        </is>
      </c>
      <c r="L512" s="2" t="inlineStr">
        <is>
          <t>shampoo</t>
        </is>
      </c>
      <c r="M512" s="2" t="inlineStr">
        <is>
          <t>estandar</t>
        </is>
      </c>
      <c r="N512" s="2" t="inlineStr">
        <is>
          <t>general</t>
        </is>
      </c>
      <c r="O512" s="2" t="inlineStr">
        <is>
          <t>https://www.jumbo.com.ar/shampoo-plusbelle-control-frizz-970ml/p</t>
        </is>
      </c>
    </row>
    <row r="513">
      <c r="A513" t="inlineStr">
        <is>
          <t>Jumbo</t>
        </is>
      </c>
      <c r="B513" t="n">
        <v>332160</v>
      </c>
      <c r="C513" t="n">
        <v>331318</v>
      </c>
      <c r="D513" t="inlineStr">
        <is>
          <t>Shampoo Plusbelle Largo Saludable 970ml</t>
        </is>
      </c>
      <c r="E513" t="inlineStr">
        <is>
          <t>PLUSBELLE</t>
        </is>
      </c>
      <c r="F513" t="n">
        <v>545.45</v>
      </c>
      <c r="G513" t="n">
        <v>45079</v>
      </c>
      <c r="H513" t="b">
        <v>0</v>
      </c>
      <c r="I513" t="n">
        <v>970</v>
      </c>
      <c r="J513" t="n">
        <v>0.5623</v>
      </c>
      <c r="K513" t="inlineStr">
        <is>
          <t>&gt; Perfumería &gt; Cuidado Capilar &gt; Shampoo &gt;</t>
        </is>
      </c>
      <c r="L513" t="inlineStr">
        <is>
          <t>shampoo</t>
        </is>
      </c>
      <c r="M513" t="inlineStr">
        <is>
          <t>estandar</t>
        </is>
      </c>
      <c r="N513" t="inlineStr">
        <is>
          <t>general</t>
        </is>
      </c>
      <c r="O513" t="inlineStr">
        <is>
          <t>https://www.jumbo.com.ar/shampoo-plusbelle-largo-saludable-970ml/p</t>
        </is>
      </c>
    </row>
    <row r="514">
      <c r="A514" s="2" t="inlineStr">
        <is>
          <t>Jumbo</t>
        </is>
      </c>
      <c r="B514" s="2" t="n">
        <v>331661</v>
      </c>
      <c r="C514" s="2" t="n">
        <v>330819</v>
      </c>
      <c r="D514" s="2" t="inlineStr">
        <is>
          <t>Shampoo Hidra Hialurónico Elvive 400ml</t>
        </is>
      </c>
      <c r="E514" s="2" t="inlineStr">
        <is>
          <t>ELVIVE</t>
        </is>
      </c>
      <c r="F514" s="2" t="n">
        <v>1188.09</v>
      </c>
      <c r="G514" s="2" t="n">
        <v>98189</v>
      </c>
      <c r="H514" s="2" t="b">
        <v>0</v>
      </c>
      <c r="I514" s="2" t="n">
        <v>400</v>
      </c>
      <c r="J514" s="2" t="n">
        <v>2.9702</v>
      </c>
      <c r="K514" s="2" t="inlineStr">
        <is>
          <t>&gt; Perfumería &gt; Cuidado Capilar &gt; Shampoo &gt;</t>
        </is>
      </c>
      <c r="L514" s="2" t="inlineStr">
        <is>
          <t>shampoo</t>
        </is>
      </c>
      <c r="M514" s="2" t="inlineStr">
        <is>
          <t>profesional</t>
        </is>
      </c>
      <c r="N514" s="2" t="inlineStr">
        <is>
          <t>general</t>
        </is>
      </c>
      <c r="O514" s="2" t="inlineStr">
        <is>
          <t>https://www.jumbo.com.ar/shampoo-hidra-hialuronico-elvive-400ml/p</t>
        </is>
      </c>
    </row>
    <row r="515">
      <c r="A515" t="inlineStr">
        <is>
          <t>Jumbo</t>
        </is>
      </c>
      <c r="B515" t="n">
        <v>331658</v>
      </c>
      <c r="C515" t="n">
        <v>330816</v>
      </c>
      <c r="D515" t="inlineStr">
        <is>
          <t>Elvive Shampoo Hidra Hialuronico 200ml</t>
        </is>
      </c>
      <c r="E515" t="inlineStr">
        <is>
          <t>ELVIVE</t>
        </is>
      </c>
      <c r="F515" t="n">
        <v>770.85</v>
      </c>
      <c r="G515" t="n">
        <v>63707</v>
      </c>
      <c r="H515" t="b">
        <v>0</v>
      </c>
      <c r="I515" t="n">
        <v>200</v>
      </c>
      <c r="J515" t="n">
        <v>3.8542</v>
      </c>
      <c r="K515" t="inlineStr">
        <is>
          <t>&gt; Perfumería &gt; Cuidado Capilar &gt; Shampoo &gt;</t>
        </is>
      </c>
      <c r="L515" t="inlineStr">
        <is>
          <t>shampoo</t>
        </is>
      </c>
      <c r="M515" t="inlineStr">
        <is>
          <t>profesional</t>
        </is>
      </c>
      <c r="N515" t="inlineStr">
        <is>
          <t>general</t>
        </is>
      </c>
      <c r="O515" t="inlineStr">
        <is>
          <t>https://www.jumbo.com.ar/elvive-shampoo-hidra-hialuronico-200ml/p</t>
        </is>
      </c>
    </row>
    <row r="516">
      <c r="A516" s="2" t="inlineStr">
        <is>
          <t>Jumbo</t>
        </is>
      </c>
      <c r="B516" s="2" t="n">
        <v>295449</v>
      </c>
      <c r="C516" s="2" t="n">
        <v>294678</v>
      </c>
      <c r="D516" s="2" t="inlineStr">
        <is>
          <t>Shampoo Plusbelle Esencia Restauracion 1l</t>
        </is>
      </c>
      <c r="E516" s="2" t="inlineStr">
        <is>
          <t>PLUSBELLE</t>
        </is>
      </c>
      <c r="F516" s="2" t="n">
        <v>239.47</v>
      </c>
      <c r="G516" s="2" t="n">
        <v>19791</v>
      </c>
      <c r="H516" s="2" t="b">
        <v>0</v>
      </c>
      <c r="I516" s="2" t="n">
        <v>1000</v>
      </c>
      <c r="J516" s="2" t="n">
        <v>0.2395</v>
      </c>
      <c r="K516" s="2" t="inlineStr">
        <is>
          <t>&gt; Perfumería &gt; Cuidado Capilar &gt; Shampoo &gt;</t>
        </is>
      </c>
      <c r="L516" s="2" t="inlineStr">
        <is>
          <t>shampoo</t>
        </is>
      </c>
      <c r="M516" s="2" t="inlineStr">
        <is>
          <t>estandar</t>
        </is>
      </c>
      <c r="N516" s="2" t="inlineStr">
        <is>
          <t>general</t>
        </is>
      </c>
      <c r="O516" s="2" t="inlineStr">
        <is>
          <t>https://www.jumbo.com.ar/shampoo-plusbelle-esencia-restauracion-1l/p</t>
        </is>
      </c>
    </row>
    <row r="517">
      <c r="A517" t="inlineStr">
        <is>
          <t>Jumbo</t>
        </is>
      </c>
      <c r="B517" t="n">
        <v>288721</v>
      </c>
      <c r="C517" t="n">
        <v>287968</v>
      </c>
      <c r="D517" t="inlineStr">
        <is>
          <t>Shampoo Elvive Dream Long 400ml</t>
        </is>
      </c>
      <c r="E517" t="inlineStr">
        <is>
          <t>ELVIVE</t>
        </is>
      </c>
      <c r="F517" t="n">
        <v>470.17</v>
      </c>
      <c r="G517" t="n">
        <v>38857</v>
      </c>
      <c r="H517" t="b">
        <v>0</v>
      </c>
      <c r="I517" t="n">
        <v>400</v>
      </c>
      <c r="J517" t="n">
        <v>1.1754</v>
      </c>
      <c r="K517" t="inlineStr">
        <is>
          <t>&gt; Perfumería &gt; Cuidado Capilar &gt; Shampoo &gt;</t>
        </is>
      </c>
      <c r="L517" t="inlineStr">
        <is>
          <t>shampoo</t>
        </is>
      </c>
      <c r="M517" t="inlineStr">
        <is>
          <t>profesional</t>
        </is>
      </c>
      <c r="N517" t="inlineStr">
        <is>
          <t>general</t>
        </is>
      </c>
      <c r="O517" t="inlineStr">
        <is>
          <t>https://www.jumbo.com.ar/shampoo-elvive-dream-long-400ml/p</t>
        </is>
      </c>
    </row>
    <row r="518">
      <c r="A518" s="2" t="inlineStr">
        <is>
          <t>Jumbo</t>
        </is>
      </c>
      <c r="B518" s="2" t="n">
        <v>273580</v>
      </c>
      <c r="C518" s="2" t="n">
        <v>272866</v>
      </c>
      <c r="D518" s="2" t="inlineStr">
        <is>
          <t>Shampoo Herbal Essences Grapefruit 400ml</t>
        </is>
      </c>
      <c r="E518" s="2" t="inlineStr">
        <is>
          <t>HERBAL ESSENCES</t>
        </is>
      </c>
      <c r="F518" s="2" t="n">
        <v>15700</v>
      </c>
      <c r="G518" s="2" t="n">
        <v>1297521</v>
      </c>
      <c r="H518" s="2" t="b">
        <v>0</v>
      </c>
      <c r="I518" s="2" t="n">
        <v>400</v>
      </c>
      <c r="J518" s="2" t="n">
        <v>39.25</v>
      </c>
      <c r="K518" s="2" t="inlineStr">
        <is>
          <t>&gt; Perfumería &gt; Cuidado Capilar &gt; Shampoo &gt;</t>
        </is>
      </c>
      <c r="L518" s="2" t="inlineStr">
        <is>
          <t>shampoo</t>
        </is>
      </c>
      <c r="M518" s="2" t="inlineStr">
        <is>
          <t>estandar</t>
        </is>
      </c>
      <c r="N518" s="2" t="inlineStr">
        <is>
          <t>general</t>
        </is>
      </c>
      <c r="O518" s="2" t="inlineStr">
        <is>
          <t>https://www.jumbo.com.ar/shampoo-herbal-essences-grapefruit-400ml/p</t>
        </is>
      </c>
    </row>
    <row r="519">
      <c r="A519" t="inlineStr">
        <is>
          <t>Jumbo</t>
        </is>
      </c>
      <c r="B519" t="n">
        <v>271687</v>
      </c>
      <c r="C519" t="n">
        <v>271166</v>
      </c>
      <c r="D519" t="inlineStr">
        <is>
          <t>Shampoo Sedal Crema Balance 300ml</t>
        </is>
      </c>
      <c r="E519" t="inlineStr">
        <is>
          <t>SEDAL</t>
        </is>
      </c>
      <c r="F519" t="n">
        <v>196.89</v>
      </c>
      <c r="G519" t="n">
        <v>16272</v>
      </c>
      <c r="H519" t="b">
        <v>0</v>
      </c>
      <c r="I519" t="n">
        <v>300</v>
      </c>
      <c r="J519" t="n">
        <v>0.6563</v>
      </c>
      <c r="K519" t="inlineStr">
        <is>
          <t>&gt; Perfumería &gt; Cuidado Capilar &gt; Shampoo &gt;</t>
        </is>
      </c>
      <c r="L519" t="inlineStr">
        <is>
          <t>shampoo</t>
        </is>
      </c>
      <c r="M519" t="inlineStr">
        <is>
          <t>estandar</t>
        </is>
      </c>
      <c r="N519" t="inlineStr">
        <is>
          <t>general</t>
        </is>
      </c>
      <c r="O519" t="inlineStr">
        <is>
          <t>https://www.jumbo.com.ar/shampoo-sedal-crema-balance-300ml/p</t>
        </is>
      </c>
    </row>
    <row r="520">
      <c r="A520" s="2" t="inlineStr">
        <is>
          <t>Jumbo</t>
        </is>
      </c>
      <c r="B520" s="2" t="n">
        <v>261488</v>
      </c>
      <c r="C520" s="2" t="n">
        <v>260779</v>
      </c>
      <c r="D520" s="2" t="inlineStr">
        <is>
          <t>Shampoo Plusbelle Fuerza X1lt</t>
        </is>
      </c>
      <c r="E520" s="2" t="inlineStr">
        <is>
          <t>PLUSBELLE</t>
        </is>
      </c>
      <c r="F520" s="2" t="n">
        <v>135.15</v>
      </c>
      <c r="G520" s="2" t="n">
        <v>11169</v>
      </c>
      <c r="H520" s="2" t="b">
        <v>0</v>
      </c>
      <c r="I520" s="2" t="inlineStr"/>
      <c r="J520" s="2" t="inlineStr"/>
      <c r="K520" s="2" t="inlineStr">
        <is>
          <t>&gt; Perfumería &gt; Cuidado Capilar &gt; Shampoo &gt;</t>
        </is>
      </c>
      <c r="L520" s="2" t="inlineStr">
        <is>
          <t>shampoo</t>
        </is>
      </c>
      <c r="M520" s="2" t="inlineStr">
        <is>
          <t>estandar</t>
        </is>
      </c>
      <c r="N520" s="2" t="inlineStr">
        <is>
          <t>general</t>
        </is>
      </c>
      <c r="O520" s="2" t="inlineStr">
        <is>
          <t>https://www.jumbo.com.ar/shampoo-plusbelle-fuerza-x1lt/p</t>
        </is>
      </c>
    </row>
    <row r="521">
      <c r="A521" t="inlineStr">
        <is>
          <t>Jumbo</t>
        </is>
      </c>
      <c r="B521" t="n">
        <v>260115</v>
      </c>
      <c r="C521" t="n">
        <v>259409</v>
      </c>
      <c r="D521" t="inlineStr">
        <is>
          <t>Shampoo Alta Moda Detox 300ml</t>
        </is>
      </c>
      <c r="E521" t="inlineStr">
        <is>
          <t>ALTA MODA</t>
        </is>
      </c>
      <c r="F521" t="n">
        <v>184.89</v>
      </c>
      <c r="G521" t="n">
        <v>15280</v>
      </c>
      <c r="H521" t="b">
        <v>0</v>
      </c>
      <c r="I521" t="n">
        <v>300</v>
      </c>
      <c r="J521" t="n">
        <v>0.6163</v>
      </c>
      <c r="K521" t="inlineStr">
        <is>
          <t>&gt; Perfumería &gt; Cuidado Capilar &gt; Shampoo &gt;</t>
        </is>
      </c>
      <c r="L521" t="inlineStr">
        <is>
          <t>shampoo</t>
        </is>
      </c>
      <c r="M521" t="inlineStr">
        <is>
          <t>estandar</t>
        </is>
      </c>
      <c r="N521" t="inlineStr">
        <is>
          <t>general</t>
        </is>
      </c>
      <c r="O521" t="inlineStr">
        <is>
          <t>https://www.jumbo.com.ar/shampoo-alta-moda-detox-300ml/p</t>
        </is>
      </c>
    </row>
    <row r="522">
      <c r="A522" s="2" t="inlineStr">
        <is>
          <t>Jumbo</t>
        </is>
      </c>
      <c r="B522" s="2" t="n">
        <v>256896</v>
      </c>
      <c r="C522" s="2" t="n">
        <v>256190</v>
      </c>
      <c r="D522" s="2" t="inlineStr">
        <is>
          <t>Shampoo Il Salone Glorious 500ml</t>
        </is>
      </c>
      <c r="E522" s="2" t="inlineStr">
        <is>
          <t>IL SALONE</t>
        </is>
      </c>
      <c r="F522" s="2" t="n">
        <v>799.99</v>
      </c>
      <c r="G522" s="2" t="n">
        <v>66115</v>
      </c>
      <c r="H522" s="2" t="b">
        <v>0</v>
      </c>
      <c r="I522" s="2" t="n">
        <v>500</v>
      </c>
      <c r="J522" s="2" t="n">
        <v>1.6</v>
      </c>
      <c r="K522" s="2" t="inlineStr">
        <is>
          <t>&gt; Perfumería &gt; Cuidado Capilar &gt; Shampoo &gt;</t>
        </is>
      </c>
      <c r="L522" s="2" t="inlineStr">
        <is>
          <t>shampoo</t>
        </is>
      </c>
      <c r="M522" s="2" t="inlineStr">
        <is>
          <t>estandar</t>
        </is>
      </c>
      <c r="N522" s="2" t="inlineStr">
        <is>
          <t>general</t>
        </is>
      </c>
      <c r="O522" s="2" t="inlineStr">
        <is>
          <t>https://www.jumbo.com.ar/shampoo-il-salone-glorious-500ml/p</t>
        </is>
      </c>
    </row>
    <row r="523">
      <c r="A523" t="inlineStr">
        <is>
          <t>Jumbo</t>
        </is>
      </c>
      <c r="B523" t="n">
        <v>254983</v>
      </c>
      <c r="C523" t="n">
        <v>254277</v>
      </c>
      <c r="D523" t="inlineStr">
        <is>
          <t>Shampoo Fructis Liso Coco 350ml</t>
        </is>
      </c>
      <c r="E523" t="inlineStr">
        <is>
          <t>FRUCTIS</t>
        </is>
      </c>
      <c r="F523" t="n">
        <v>320.67</v>
      </c>
      <c r="G523" t="n">
        <v>26502</v>
      </c>
      <c r="H523" t="b">
        <v>0</v>
      </c>
      <c r="I523" t="n">
        <v>350</v>
      </c>
      <c r="J523" t="n">
        <v>0.9162</v>
      </c>
      <c r="K523" t="inlineStr">
        <is>
          <t>&gt; Perfumería &gt; Cuidado Capilar &gt; Shampoo &gt;</t>
        </is>
      </c>
      <c r="L523" t="inlineStr">
        <is>
          <t>shampoo</t>
        </is>
      </c>
      <c r="M523" t="inlineStr">
        <is>
          <t>estandar</t>
        </is>
      </c>
      <c r="N523" t="inlineStr">
        <is>
          <t>general</t>
        </is>
      </c>
      <c r="O523" t="inlineStr">
        <is>
          <t>https://www.jumbo.com.ar/shampoo-fructis-liso-coco-350ml/p</t>
        </is>
      </c>
    </row>
    <row r="524">
      <c r="A524" s="2" t="inlineStr">
        <is>
          <t>Jumbo</t>
        </is>
      </c>
      <c r="B524" s="2" t="n">
        <v>215557</v>
      </c>
      <c r="C524" s="2" t="n">
        <v>232212</v>
      </c>
      <c r="D524" s="2" t="inlineStr">
        <is>
          <t>Shampoo Elvive Cosmetico  2 U</t>
        </is>
      </c>
      <c r="E524" s="2" t="inlineStr">
        <is>
          <t>ELVIVE</t>
        </is>
      </c>
      <c r="F524" s="2" t="n">
        <v>13.67</v>
      </c>
      <c r="G524" s="2" t="n">
        <v>13.67</v>
      </c>
      <c r="H524" s="2" t="b">
        <v>0</v>
      </c>
      <c r="I524" s="2" t="inlineStr"/>
      <c r="J524" s="2" t="inlineStr"/>
      <c r="K524" s="2" t="inlineStr">
        <is>
          <t>&gt; Perfumería &gt; Cuidado Capilar &gt; Shampoo &gt;</t>
        </is>
      </c>
      <c r="L524" s="2" t="inlineStr">
        <is>
          <t>shampoo</t>
        </is>
      </c>
      <c r="M524" s="2" t="inlineStr">
        <is>
          <t>profesional</t>
        </is>
      </c>
      <c r="N524" s="2" t="inlineStr">
        <is>
          <t>general</t>
        </is>
      </c>
      <c r="O524" s="2" t="inlineStr">
        <is>
          <t>https://www.jumbo.com.ar/shampoo-elvive-cosmetico-2-u-248136/p</t>
        </is>
      </c>
    </row>
    <row r="525">
      <c r="A525" t="inlineStr">
        <is>
          <t>Jumbo</t>
        </is>
      </c>
      <c r="B525" t="n">
        <v>150890</v>
      </c>
      <c r="C525" t="n">
        <v>147801</v>
      </c>
      <c r="D525" t="inlineStr">
        <is>
          <t>Shampoo Dove X 200 Ml-color Duradero-+ Aco 200 + Cream De Tratamiento Al 50%-bli-un.-3</t>
        </is>
      </c>
      <c r="E525" t="inlineStr">
        <is>
          <t>DOVE</t>
        </is>
      </c>
      <c r="F525" t="n">
        <v>32.53</v>
      </c>
      <c r="G525" t="n">
        <v>2688</v>
      </c>
      <c r="H525" t="b">
        <v>0</v>
      </c>
      <c r="I525" t="n">
        <v>200</v>
      </c>
      <c r="J525" t="n">
        <v>0.1627</v>
      </c>
      <c r="K525" t="inlineStr">
        <is>
          <t>&gt; Perfumería &gt; Cuidado Capilar &gt; Shampoo &gt;</t>
        </is>
      </c>
      <c r="L525" t="inlineStr">
        <is>
          <t>tratamiento</t>
        </is>
      </c>
      <c r="M525" t="inlineStr">
        <is>
          <t>estandar</t>
        </is>
      </c>
      <c r="N525" t="inlineStr">
        <is>
          <t>tratado</t>
        </is>
      </c>
      <c r="O525" t="inlineStr">
        <is>
          <t>https://www.jumbo.com.ar/shampoo-dove-x-200-ml-2/p</t>
        </is>
      </c>
    </row>
    <row r="526">
      <c r="A526" s="2" t="inlineStr">
        <is>
          <t>Jumbo</t>
        </is>
      </c>
      <c r="B526" s="2" t="n">
        <v>141010</v>
      </c>
      <c r="C526" s="2" t="n">
        <v>137921</v>
      </c>
      <c r="D526" s="2" t="inlineStr">
        <is>
          <t>Shampoo Vo5-manzanilla-pck-un.-2</t>
        </is>
      </c>
      <c r="E526" s="2" t="inlineStr">
        <is>
          <t>VO5</t>
        </is>
      </c>
      <c r="F526" s="2" t="n">
        <v>9.99</v>
      </c>
      <c r="G526" s="2" t="n">
        <v>9.99</v>
      </c>
      <c r="H526" s="2" t="b">
        <v>0</v>
      </c>
      <c r="I526" s="2" t="inlineStr"/>
      <c r="J526" s="2" t="inlineStr"/>
      <c r="K526" s="2" t="inlineStr">
        <is>
          <t>&gt; Perfumería &gt; Cuidado Capilar &gt; Shampoo &gt;</t>
        </is>
      </c>
      <c r="L526" s="2" t="inlineStr">
        <is>
          <t>shampoo</t>
        </is>
      </c>
      <c r="M526" s="2" t="inlineStr">
        <is>
          <t>estandar</t>
        </is>
      </c>
      <c r="N526" s="2" t="inlineStr">
        <is>
          <t>general</t>
        </is>
      </c>
      <c r="O526" s="2" t="inlineStr">
        <is>
          <t>https://www.jumbo.com.ar/shampoo-vo5-manzanilla-pck-un-2-2/p</t>
        </is>
      </c>
    </row>
    <row r="527">
      <c r="A527" t="inlineStr">
        <is>
          <t>Jumbo</t>
        </is>
      </c>
      <c r="B527" t="n">
        <v>132314</v>
      </c>
      <c r="C527" t="n">
        <v>129230</v>
      </c>
      <c r="D527" t="inlineStr">
        <is>
          <t>Pantene Shampoo Rizos Definidos 200ml</t>
        </is>
      </c>
      <c r="E527" t="inlineStr">
        <is>
          <t>PANTENE</t>
        </is>
      </c>
      <c r="F527" t="n">
        <v>24.67</v>
      </c>
      <c r="G527" t="n">
        <v>2039</v>
      </c>
      <c r="H527" t="b">
        <v>0</v>
      </c>
      <c r="I527" t="n">
        <v>200</v>
      </c>
      <c r="J527" t="n">
        <v>0.1234</v>
      </c>
      <c r="K527" t="inlineStr">
        <is>
          <t>&gt; Perfumería &gt; Cuidado Capilar &gt; Shampoo &gt;</t>
        </is>
      </c>
      <c r="L527" t="inlineStr">
        <is>
          <t>shampoo</t>
        </is>
      </c>
      <c r="M527" t="inlineStr">
        <is>
          <t>estandar</t>
        </is>
      </c>
      <c r="N527" t="inlineStr">
        <is>
          <t>rizado</t>
        </is>
      </c>
      <c r="O527" t="inlineStr">
        <is>
          <t>https://www.jumbo.com.ar/pantene-shampoo-rizos-definidos-200ml/p</t>
        </is>
      </c>
    </row>
    <row r="528">
      <c r="A528" s="2" t="inlineStr">
        <is>
          <t>Jumbo</t>
        </is>
      </c>
      <c r="B528" s="2" t="n">
        <v>132298</v>
      </c>
      <c r="C528" s="2" t="n">
        <v>129213</v>
      </c>
      <c r="D528" s="2" t="inlineStr">
        <is>
          <t>Shampoo Pantene Hidratación 400 Ml</t>
        </is>
      </c>
      <c r="E528" s="2" t="inlineStr">
        <is>
          <t>PANTENE</t>
        </is>
      </c>
      <c r="F528" s="2" t="n">
        <v>48.79</v>
      </c>
      <c r="G528" s="2" t="n">
        <v>4032</v>
      </c>
      <c r="H528" s="2" t="b">
        <v>0</v>
      </c>
      <c r="I528" s="2" t="n">
        <v>400</v>
      </c>
      <c r="J528" s="2" t="n">
        <v>0.122</v>
      </c>
      <c r="K528" s="2" t="inlineStr">
        <is>
          <t>&gt; Perfumería &gt; Cuidado Capilar &gt; Shampoo &gt;</t>
        </is>
      </c>
      <c r="L528" s="2" t="inlineStr">
        <is>
          <t>shampoo</t>
        </is>
      </c>
      <c r="M528" s="2" t="inlineStr">
        <is>
          <t>estandar</t>
        </is>
      </c>
      <c r="N528" s="2" t="inlineStr">
        <is>
          <t>seco_danado</t>
        </is>
      </c>
      <c r="O528" s="2" t="inlineStr">
        <is>
          <t>https://www.jumbo.com.ar/shampoo-pantene-hidratacion-400-ml/p</t>
        </is>
      </c>
    </row>
    <row r="529">
      <c r="A529" t="inlineStr">
        <is>
          <t>Jumbo</t>
        </is>
      </c>
      <c r="B529" t="n">
        <v>132291</v>
      </c>
      <c r="C529" t="n">
        <v>129207</v>
      </c>
      <c r="D529" t="inlineStr">
        <is>
          <t>Pantene Shampoo Cuidado Clásico 400ml</t>
        </is>
      </c>
      <c r="E529" t="inlineStr">
        <is>
          <t>PANTENE</t>
        </is>
      </c>
      <c r="F529" t="n">
        <v>48.79</v>
      </c>
      <c r="G529" t="n">
        <v>4032</v>
      </c>
      <c r="H529" t="b">
        <v>0</v>
      </c>
      <c r="I529" t="n">
        <v>400</v>
      </c>
      <c r="J529" t="n">
        <v>0.122</v>
      </c>
      <c r="K529" t="inlineStr">
        <is>
          <t>&gt; Perfumería &gt; Cuidado Capilar &gt; Shampoo &gt;</t>
        </is>
      </c>
      <c r="L529" t="inlineStr">
        <is>
          <t>shampoo</t>
        </is>
      </c>
      <c r="M529" t="inlineStr">
        <is>
          <t>estandar</t>
        </is>
      </c>
      <c r="N529" t="inlineStr">
        <is>
          <t>general</t>
        </is>
      </c>
      <c r="O529" t="inlineStr">
        <is>
          <t>https://www.jumbo.com.ar/pantene-shampoo-cuidado-clasico-400ml/p</t>
        </is>
      </c>
    </row>
    <row r="530">
      <c r="A530" s="2" t="inlineStr">
        <is>
          <t>Jumbo</t>
        </is>
      </c>
      <c r="B530" s="2" t="n">
        <v>119120</v>
      </c>
      <c r="C530" s="2" t="n">
        <v>118150</v>
      </c>
      <c r="D530" s="2" t="inlineStr">
        <is>
          <t>Shampoo Flex X 250 Ml</t>
        </is>
      </c>
      <c r="E530" s="2" t="inlineStr">
        <is>
          <t>FLEX</t>
        </is>
      </c>
      <c r="F530" s="2" t="n">
        <v>5.95</v>
      </c>
      <c r="G530" s="2" t="n">
        <v>5.95</v>
      </c>
      <c r="H530" s="2" t="b">
        <v>0</v>
      </c>
      <c r="I530" s="2" t="n">
        <v>250</v>
      </c>
      <c r="J530" s="2" t="n">
        <v>0.0238</v>
      </c>
      <c r="K530" s="2" t="inlineStr">
        <is>
          <t>&gt; Perfumería &gt; Cuidado Capilar &gt; Shampoo &gt;</t>
        </is>
      </c>
      <c r="L530" s="2" t="inlineStr">
        <is>
          <t>shampoo</t>
        </is>
      </c>
      <c r="M530" s="2" t="inlineStr">
        <is>
          <t>estandar</t>
        </is>
      </c>
      <c r="N530" s="2" t="inlineStr">
        <is>
          <t>general</t>
        </is>
      </c>
      <c r="O530" s="2" t="inlineStr">
        <is>
          <t>https://www.jumbo.com.ar/shampoo-flex-x-250-ml-5/p</t>
        </is>
      </c>
    </row>
    <row r="531">
      <c r="A531" t="inlineStr">
        <is>
          <t>Jumbo</t>
        </is>
      </c>
      <c r="B531" t="n">
        <v>113260</v>
      </c>
      <c r="C531" t="n">
        <v>112311</v>
      </c>
      <c r="D531" t="inlineStr">
        <is>
          <t>Shampoo Porta X 1 Un Shampoo Porta Bot 500 Cc. Seco (sin Agua)</t>
        </is>
      </c>
      <c r="E531" t="inlineStr">
        <is>
          <t>PORTA</t>
        </is>
      </c>
      <c r="F531" t="n">
        <v>10.37</v>
      </c>
      <c r="G531" t="n">
        <v>10.37</v>
      </c>
      <c r="H531" t="b">
        <v>0</v>
      </c>
      <c r="I531" t="inlineStr"/>
      <c r="J531" t="inlineStr"/>
      <c r="K531" t="inlineStr">
        <is>
          <t>&gt; Mascotas &gt; Accesorios para Mascotas &gt;</t>
        </is>
      </c>
      <c r="L531" t="inlineStr">
        <is>
          <t>shampoo</t>
        </is>
      </c>
      <c r="M531" t="inlineStr">
        <is>
          <t>estandar</t>
        </is>
      </c>
      <c r="N531" t="inlineStr">
        <is>
          <t>seco_danado</t>
        </is>
      </c>
      <c r="O531" t="inlineStr">
        <is>
          <t>https://www.jumbo.com.ar/shampoo-porta-x-1-un-2/p</t>
        </is>
      </c>
    </row>
    <row r="532">
      <c r="A532" s="2" t="inlineStr">
        <is>
          <t>Jumbo</t>
        </is>
      </c>
      <c r="B532" s="2" t="n">
        <v>98031</v>
      </c>
      <c r="C532" s="2" t="n">
        <v>95346</v>
      </c>
      <c r="D532" s="2" t="inlineStr">
        <is>
          <t>Shampoo Herbal Ess Prolongalo 300ml Shampoo Herbal Essences Prolóngalos 300 Ml</t>
        </is>
      </c>
      <c r="E532" s="2" t="inlineStr">
        <is>
          <t>HERBAL ESSENCES</t>
        </is>
      </c>
      <c r="F532" s="2" t="n">
        <v>162.43</v>
      </c>
      <c r="G532" s="2" t="n">
        <v>13424</v>
      </c>
      <c r="H532" s="2" t="b">
        <v>0</v>
      </c>
      <c r="I532" s="2" t="n">
        <v>300</v>
      </c>
      <c r="J532" s="2" t="n">
        <v>0.5414</v>
      </c>
      <c r="K532" s="2" t="inlineStr">
        <is>
          <t>&gt; Perfumería &gt; Cuidado Capilar &gt; Shampoo &gt;</t>
        </is>
      </c>
      <c r="L532" s="2" t="inlineStr">
        <is>
          <t>shampoo</t>
        </is>
      </c>
      <c r="M532" s="2" t="inlineStr">
        <is>
          <t>estandar</t>
        </is>
      </c>
      <c r="N532" s="2" t="inlineStr">
        <is>
          <t>general</t>
        </is>
      </c>
      <c r="O532" s="2" t="inlineStr">
        <is>
          <t>https://www.jumbo.com.ar/shampoo-herbal-ess-prolongalo-300ml/p</t>
        </is>
      </c>
    </row>
    <row r="533">
      <c r="A533" t="inlineStr">
        <is>
          <t>Jumbo</t>
        </is>
      </c>
      <c r="B533" t="n">
        <v>49377</v>
      </c>
      <c r="C533" t="n">
        <v>46540</v>
      </c>
      <c r="D533" t="inlineStr">
        <is>
          <t>Shampoo Capilatis Ortiga Cardo 350ml</t>
        </is>
      </c>
      <c r="E533" t="inlineStr">
        <is>
          <t>CAPILATIS</t>
        </is>
      </c>
      <c r="F533" t="n">
        <v>1096.49</v>
      </c>
      <c r="G533" t="n">
        <v>90619</v>
      </c>
      <c r="H533" t="b">
        <v>0</v>
      </c>
      <c r="I533" t="n">
        <v>350</v>
      </c>
      <c r="J533" t="n">
        <v>3.1328</v>
      </c>
      <c r="K533" t="inlineStr">
        <is>
          <t>&gt; Perfumería &gt; Cuidado Capilar &gt; Shampoo &gt;</t>
        </is>
      </c>
      <c r="L533" t="inlineStr">
        <is>
          <t>shampoo</t>
        </is>
      </c>
      <c r="M533" t="inlineStr">
        <is>
          <t>estandar</t>
        </is>
      </c>
      <c r="N533" t="inlineStr">
        <is>
          <t>general</t>
        </is>
      </c>
      <c r="O533" t="inlineStr">
        <is>
          <t>https://www.jumbo.com.ar/shampoo-capilatis-ortiga-cardo-350ml-2/p</t>
        </is>
      </c>
    </row>
    <row r="534">
      <c r="A534" s="2" t="inlineStr">
        <is>
          <t>Jumbo</t>
        </is>
      </c>
      <c r="B534" s="2" t="n">
        <v>44614</v>
      </c>
      <c r="C534" s="2" t="n">
        <v>41785</v>
      </c>
      <c r="D534" s="2" t="inlineStr">
        <is>
          <t>Shampoo Elvive Oleo Extraordinario 200ml</t>
        </is>
      </c>
      <c r="E534" s="2" t="inlineStr">
        <is>
          <t>ELVIVE</t>
        </is>
      </c>
      <c r="F534" s="2" t="n">
        <v>550</v>
      </c>
      <c r="G534" s="2" t="n">
        <v>45455</v>
      </c>
      <c r="H534" s="2" t="b">
        <v>0</v>
      </c>
      <c r="I534" s="2" t="n">
        <v>200</v>
      </c>
      <c r="J534" s="2" t="n">
        <v>2.75</v>
      </c>
      <c r="K534" s="2" t="inlineStr">
        <is>
          <t>&gt; Perfumería &gt; Cuidado Capilar &gt; Shampoo &gt;</t>
        </is>
      </c>
      <c r="L534" s="2" t="inlineStr">
        <is>
          <t>shampoo</t>
        </is>
      </c>
      <c r="M534" s="2" t="inlineStr">
        <is>
          <t>profesional</t>
        </is>
      </c>
      <c r="N534" s="2" t="inlineStr">
        <is>
          <t>general</t>
        </is>
      </c>
      <c r="O534" s="2" t="inlineStr">
        <is>
          <t>https://www.jumbo.com.ar/shampoo-elvive-oleo-extraordinario-200ml-2/p</t>
        </is>
      </c>
    </row>
    <row r="535">
      <c r="A535" t="inlineStr">
        <is>
          <t>Jumbo</t>
        </is>
      </c>
      <c r="B535" t="n">
        <v>154469</v>
      </c>
      <c r="C535" t="n">
        <v>152040</v>
      </c>
      <c r="D535" t="inlineStr">
        <is>
          <t>Shampoo Elvive Set-shampoo Liss Intense X400ml +leche Para Peinar-bli-un.-2</t>
        </is>
      </c>
      <c r="E535" t="inlineStr">
        <is>
          <t>ELVIVE</t>
        </is>
      </c>
      <c r="F535" t="n">
        <v>41.53</v>
      </c>
      <c r="G535" t="n">
        <v>3432</v>
      </c>
      <c r="H535" t="b">
        <v>0</v>
      </c>
      <c r="I535" t="n">
        <v>400</v>
      </c>
      <c r="J535" t="n">
        <v>0.1038</v>
      </c>
      <c r="K535" t="inlineStr">
        <is>
          <t>&gt; Perfumería &gt; Cuidado Capilar &gt; Shampoo &gt;</t>
        </is>
      </c>
      <c r="L535" t="inlineStr">
        <is>
          <t>shampoo</t>
        </is>
      </c>
      <c r="M535" t="inlineStr">
        <is>
          <t>profesional</t>
        </is>
      </c>
      <c r="N535" t="inlineStr">
        <is>
          <t>general</t>
        </is>
      </c>
      <c r="O535" t="inlineStr">
        <is>
          <t>https://www.jumbo.com.ar/shampoo-elvive-set-shampoo-liss-intense-x400ml-leche-para-peinar-bli-un-2-2/p</t>
        </is>
      </c>
    </row>
    <row r="536">
      <c r="A536" s="2" t="inlineStr">
        <is>
          <t>Jumbo</t>
        </is>
      </c>
      <c r="B536" s="2" t="n">
        <v>3087946</v>
      </c>
      <c r="C536" s="2" t="n">
        <v>3087174</v>
      </c>
      <c r="D536" s="2" t="inlineStr">
        <is>
          <t>Shampoo Elvive Lifter Colageno 400ml</t>
        </is>
      </c>
      <c r="E536" s="2" t="inlineStr">
        <is>
          <t>ELVIVE</t>
        </is>
      </c>
      <c r="F536" s="2" t="n">
        <v>13150</v>
      </c>
      <c r="G536" s="2" t="n">
        <v>1086777</v>
      </c>
      <c r="H536" s="2" t="b">
        <v>0</v>
      </c>
      <c r="I536" s="2" t="n">
        <v>400</v>
      </c>
      <c r="J536" s="2" t="n">
        <v>32.875</v>
      </c>
      <c r="K536" s="2" t="inlineStr">
        <is>
          <t>&gt; Perfumería &gt; Cuidado Capilar &gt; Shampoo &gt;</t>
        </is>
      </c>
      <c r="L536" s="2" t="inlineStr">
        <is>
          <t>shampoo</t>
        </is>
      </c>
      <c r="M536" s="2" t="inlineStr">
        <is>
          <t>profesional</t>
        </is>
      </c>
      <c r="N536" s="2" t="inlineStr">
        <is>
          <t>general</t>
        </is>
      </c>
      <c r="O536" s="2" t="inlineStr">
        <is>
          <t>https://www.jumbo.com.ar/shampoo-elvive-lifter-colageno-400ml/p</t>
        </is>
      </c>
    </row>
    <row r="537">
      <c r="A537" t="inlineStr">
        <is>
          <t>Jumbo</t>
        </is>
      </c>
      <c r="B537" t="n">
        <v>3085472</v>
      </c>
      <c r="C537" t="n">
        <v>308079</v>
      </c>
      <c r="D537" t="inlineStr">
        <is>
          <t>Shampoo Bic Flex 3 Hybrid</t>
        </is>
      </c>
      <c r="E537" t="inlineStr">
        <is>
          <t>BIC</t>
        </is>
      </c>
      <c r="F537" t="n">
        <v>11850</v>
      </c>
      <c r="G537" t="n">
        <v>979339</v>
      </c>
      <c r="H537" t="b">
        <v>0</v>
      </c>
      <c r="I537" t="inlineStr"/>
      <c r="J537" t="inlineStr"/>
      <c r="K537" t="inlineStr">
        <is>
          <t>&gt; Perfumería &gt; Cuidado Personal &gt; Productos Para Afeitarse &gt;</t>
        </is>
      </c>
      <c r="L537" t="inlineStr">
        <is>
          <t>shampoo</t>
        </is>
      </c>
      <c r="M537" t="inlineStr">
        <is>
          <t>estandar</t>
        </is>
      </c>
      <c r="N537" t="inlineStr">
        <is>
          <t>general</t>
        </is>
      </c>
      <c r="O537" t="inlineStr">
        <is>
          <t>https://www.jumbo.com.ar/shampoo-bic-flex-3-hybrid-3/p</t>
        </is>
      </c>
    </row>
    <row r="538">
      <c r="A538" s="2" t="inlineStr">
        <is>
          <t>Jumbo</t>
        </is>
      </c>
      <c r="B538" s="2" t="n">
        <v>404466</v>
      </c>
      <c r="C538" s="2" t="n">
        <v>401468</v>
      </c>
      <c r="D538" s="2" t="inlineStr">
        <is>
          <t>Shampoo Anticaspa 260 Ml Capilatis Shampoo Capilatis Anticaspa 260 Ml</t>
        </is>
      </c>
      <c r="E538" s="2" t="inlineStr">
        <is>
          <t>CAPILATIS</t>
        </is>
      </c>
      <c r="F538" s="2" t="n">
        <v>15250</v>
      </c>
      <c r="G538" s="2" t="n">
        <v>1260331</v>
      </c>
      <c r="H538" s="2" t="b">
        <v>0</v>
      </c>
      <c r="I538" s="2" t="n">
        <v>260</v>
      </c>
      <c r="J538" s="2" t="n">
        <v>58.6538</v>
      </c>
      <c r="K538" s="2" t="inlineStr">
        <is>
          <t>&gt; Perfumería &gt; Cuidado Capilar &gt; Shampoo &gt;</t>
        </is>
      </c>
      <c r="L538" s="2" t="inlineStr">
        <is>
          <t>shampoo</t>
        </is>
      </c>
      <c r="M538" s="2" t="inlineStr">
        <is>
          <t>estandar</t>
        </is>
      </c>
      <c r="N538" s="2" t="inlineStr">
        <is>
          <t>anticaspa</t>
        </is>
      </c>
      <c r="O538" s="2" t="inlineStr">
        <is>
          <t>https://www.jumbo.com.ar/shampoo-capilatis-anticaspa-260-ml/p</t>
        </is>
      </c>
    </row>
    <row r="539">
      <c r="A539" t="inlineStr">
        <is>
          <t>Jumbo</t>
        </is>
      </c>
      <c r="B539" t="n">
        <v>394679</v>
      </c>
      <c r="C539" t="n">
        <v>392678</v>
      </c>
      <c r="D539" t="inlineStr">
        <is>
          <t>Shampoo Ogx Anti-breakage 385ml</t>
        </is>
      </c>
      <c r="E539" t="inlineStr">
        <is>
          <t>OGX</t>
        </is>
      </c>
      <c r="F539" t="n">
        <v>9896.09</v>
      </c>
      <c r="G539" t="n">
        <v>817859</v>
      </c>
      <c r="H539" t="b">
        <v>0</v>
      </c>
      <c r="I539" t="n">
        <v>385</v>
      </c>
      <c r="J539" t="n">
        <v>25.7041</v>
      </c>
      <c r="K539" t="inlineStr">
        <is>
          <t>&gt; Perfumería &gt; Cuidado Capilar &gt; Shampoo &gt;</t>
        </is>
      </c>
      <c r="L539" t="inlineStr">
        <is>
          <t>shampoo</t>
        </is>
      </c>
      <c r="M539" t="inlineStr">
        <is>
          <t>estandar</t>
        </is>
      </c>
      <c r="N539" t="inlineStr">
        <is>
          <t>general</t>
        </is>
      </c>
      <c r="O539" t="inlineStr">
        <is>
          <t>https://www.jumbo.com.ar/shampoo-ogx-anti-breakage-385ml/p</t>
        </is>
      </c>
    </row>
    <row r="540">
      <c r="A540" s="2" t="inlineStr">
        <is>
          <t>Jumbo</t>
        </is>
      </c>
      <c r="B540" s="2" t="n">
        <v>390234</v>
      </c>
      <c r="C540" s="2" t="n">
        <v>388325</v>
      </c>
      <c r="D540" s="2" t="inlineStr">
        <is>
          <t>Shampoo Pantene Restauración 750 Ml</t>
        </is>
      </c>
      <c r="E540" s="2" t="inlineStr">
        <is>
          <t>PANTENE</t>
        </is>
      </c>
      <c r="F540" s="2" t="n">
        <v>8500</v>
      </c>
      <c r="G540" s="2" t="n">
        <v>702479</v>
      </c>
      <c r="H540" s="2" t="b">
        <v>0</v>
      </c>
      <c r="I540" s="2" t="n">
        <v>750</v>
      </c>
      <c r="J540" s="2" t="n">
        <v>11.3333</v>
      </c>
      <c r="K540" s="2" t="inlineStr">
        <is>
          <t>&gt; Perfumería &gt; Cuidado Capilar &gt; Shampoo &gt;</t>
        </is>
      </c>
      <c r="L540" s="2" t="inlineStr">
        <is>
          <t>shampoo</t>
        </is>
      </c>
      <c r="M540" s="2" t="inlineStr">
        <is>
          <t>estandar</t>
        </is>
      </c>
      <c r="N540" s="2" t="inlineStr">
        <is>
          <t>general</t>
        </is>
      </c>
      <c r="O540" s="2" t="inlineStr">
        <is>
          <t>https://www.jumbo.com.ar/shampoo-pantene-restauracion-750-ml/p</t>
        </is>
      </c>
    </row>
    <row r="541">
      <c r="A541" t="inlineStr">
        <is>
          <t>Jumbo</t>
        </is>
      </c>
      <c r="B541" t="n">
        <v>390229</v>
      </c>
      <c r="C541" t="n">
        <v>388320</v>
      </c>
      <c r="D541" t="inlineStr">
        <is>
          <t>Shampoo Pantene Prov Bambu 700ml</t>
        </is>
      </c>
      <c r="E541" t="inlineStr">
        <is>
          <t>PANTENE</t>
        </is>
      </c>
      <c r="F541" t="n">
        <v>2137.67</v>
      </c>
      <c r="G541" t="n">
        <v>176667</v>
      </c>
      <c r="H541" t="b">
        <v>0</v>
      </c>
      <c r="I541" t="n">
        <v>700</v>
      </c>
      <c r="J541" t="n">
        <v>3.0538</v>
      </c>
      <c r="K541" t="inlineStr">
        <is>
          <t>&gt; Perfumería &gt; Cuidado Capilar &gt; Shampoo &gt;</t>
        </is>
      </c>
      <c r="L541" t="inlineStr">
        <is>
          <t>shampoo</t>
        </is>
      </c>
      <c r="M541" t="inlineStr">
        <is>
          <t>profesional</t>
        </is>
      </c>
      <c r="N541" t="inlineStr">
        <is>
          <t>general</t>
        </is>
      </c>
      <c r="O541" t="inlineStr">
        <is>
          <t>https://www.jumbo.com.ar/shampoo-pantene-prov-bambu-700ml/p</t>
        </is>
      </c>
    </row>
    <row r="542">
      <c r="A542" s="2" t="inlineStr">
        <is>
          <t>Jumbo</t>
        </is>
      </c>
      <c r="B542" s="2" t="n">
        <v>386641</v>
      </c>
      <c r="C542" s="2" t="n">
        <v>384920</v>
      </c>
      <c r="D542" s="2" t="inlineStr">
        <is>
          <t>Shampoo Head&amp;shoulders Purificación 180ml</t>
        </is>
      </c>
      <c r="E542" s="2" t="inlineStr">
        <is>
          <t>HEAD &amp; SHOULDERS</t>
        </is>
      </c>
      <c r="F542" s="2" t="n">
        <v>694.29</v>
      </c>
      <c r="G542" s="2" t="n">
        <v>57379</v>
      </c>
      <c r="H542" s="2" t="b">
        <v>0</v>
      </c>
      <c r="I542" s="2" t="n">
        <v>180</v>
      </c>
      <c r="J542" s="2" t="n">
        <v>3.8572</v>
      </c>
      <c r="K542" s="2" t="inlineStr">
        <is>
          <t>&gt; Perfumería &gt; Cuidado Capilar &gt; Shampoo &gt;</t>
        </is>
      </c>
      <c r="L542" s="2" t="inlineStr">
        <is>
          <t>shampoo</t>
        </is>
      </c>
      <c r="M542" s="2" t="inlineStr">
        <is>
          <t>estandar</t>
        </is>
      </c>
      <c r="N542" s="2" t="inlineStr">
        <is>
          <t>general</t>
        </is>
      </c>
      <c r="O542" s="2" t="inlineStr">
        <is>
          <t>https://www.jumbo.com.ar/shampoo-head-shoulders-purificacion-180ml/p</t>
        </is>
      </c>
    </row>
    <row r="543">
      <c r="A543" t="inlineStr">
        <is>
          <t>Jumbo</t>
        </is>
      </c>
      <c r="B543" t="n">
        <v>386634</v>
      </c>
      <c r="C543" t="n">
        <v>384913</v>
      </c>
      <c r="D543" t="inlineStr">
        <is>
          <t>Shampoo Head&amp;shoulders Men 375ml</t>
        </is>
      </c>
      <c r="E543" t="inlineStr">
        <is>
          <t>HEAD &amp; SHOULDERS</t>
        </is>
      </c>
      <c r="F543" t="n">
        <v>1176.95</v>
      </c>
      <c r="G543" t="n">
        <v>97269</v>
      </c>
      <c r="H543" t="b">
        <v>0</v>
      </c>
      <c r="I543" t="n">
        <v>375</v>
      </c>
      <c r="J543" t="n">
        <v>3.1385</v>
      </c>
      <c r="K543" t="inlineStr">
        <is>
          <t>&gt; Perfumería &gt; Cuidado Capilar &gt; Shampoo &gt;</t>
        </is>
      </c>
      <c r="L543" t="inlineStr">
        <is>
          <t>shampoo</t>
        </is>
      </c>
      <c r="M543" t="inlineStr">
        <is>
          <t>estandar</t>
        </is>
      </c>
      <c r="N543" t="inlineStr">
        <is>
          <t>general</t>
        </is>
      </c>
      <c r="O543" t="inlineStr">
        <is>
          <t>https://www.jumbo.com.ar/shampoo-head-shoulders-men-375ml/p</t>
        </is>
      </c>
    </row>
    <row r="544">
      <c r="A544" s="2" t="inlineStr">
        <is>
          <t>Jumbo</t>
        </is>
      </c>
      <c r="B544" s="2" t="n">
        <v>386627</v>
      </c>
      <c r="C544" s="2" t="n">
        <v>384906</v>
      </c>
      <c r="D544" s="2" t="inlineStr">
        <is>
          <t>Shampoo Head&amp;shoulders Manzana 180ml</t>
        </is>
      </c>
      <c r="E544" s="2" t="inlineStr">
        <is>
          <t>HEAD &amp; SHOULDERS</t>
        </is>
      </c>
      <c r="F544" s="2" t="n">
        <v>5100</v>
      </c>
      <c r="G544" s="2" t="n">
        <v>421488</v>
      </c>
      <c r="H544" s="2" t="b">
        <v>0</v>
      </c>
      <c r="I544" s="2" t="n">
        <v>180</v>
      </c>
      <c r="J544" s="2" t="n">
        <v>28.3333</v>
      </c>
      <c r="K544" s="2" t="inlineStr">
        <is>
          <t>&gt; Perfumería &gt; Cuidado Capilar &gt; Shampoo &gt;</t>
        </is>
      </c>
      <c r="L544" s="2" t="inlineStr">
        <is>
          <t>shampoo</t>
        </is>
      </c>
      <c r="M544" s="2" t="inlineStr">
        <is>
          <t>estandar</t>
        </is>
      </c>
      <c r="N544" s="2" t="inlineStr">
        <is>
          <t>general</t>
        </is>
      </c>
      <c r="O544" s="2" t="inlineStr">
        <is>
          <t>https://www.jumbo.com.ar/shampoo-head-shoulders-manzana-180ml/p</t>
        </is>
      </c>
    </row>
    <row r="545">
      <c r="A545" t="inlineStr">
        <is>
          <t>Jumbo</t>
        </is>
      </c>
      <c r="B545" t="n">
        <v>386620</v>
      </c>
      <c r="C545" t="n">
        <v>384899</v>
      </c>
      <c r="D545" t="inlineStr">
        <is>
          <t>Shampoo Head&amp;shoulders Hidratación 700ml</t>
        </is>
      </c>
      <c r="E545" t="inlineStr">
        <is>
          <t>HEAD &amp; SHOULDERS</t>
        </is>
      </c>
      <c r="F545" t="n">
        <v>10540.85</v>
      </c>
      <c r="G545" t="n">
        <v>871145</v>
      </c>
      <c r="H545" t="b">
        <v>0</v>
      </c>
      <c r="I545" t="n">
        <v>700</v>
      </c>
      <c r="J545" t="n">
        <v>15.0584</v>
      </c>
      <c r="K545" t="inlineStr">
        <is>
          <t>&gt; Perfumería &gt; Cuidado Capilar &gt; Shampoo &gt;</t>
        </is>
      </c>
      <c r="L545" t="inlineStr">
        <is>
          <t>shampoo</t>
        </is>
      </c>
      <c r="M545" t="inlineStr">
        <is>
          <t>estandar</t>
        </is>
      </c>
      <c r="N545" t="inlineStr">
        <is>
          <t>seco_danado</t>
        </is>
      </c>
      <c r="O545" t="inlineStr">
        <is>
          <t>https://www.jumbo.com.ar/shampoo-head-shoulders-hidratacion-700ml/p</t>
        </is>
      </c>
    </row>
    <row r="546">
      <c r="A546" s="2" t="inlineStr">
        <is>
          <t>Jumbo</t>
        </is>
      </c>
      <c r="B546" s="2" t="n">
        <v>384235</v>
      </c>
      <c r="C546" s="2" t="n">
        <v>382919</v>
      </c>
      <c r="D546" s="2" t="inlineStr">
        <is>
          <t>Shampoo Tresemme Matiz Ultravioleta 250ml</t>
        </is>
      </c>
      <c r="E546" s="2" t="inlineStr">
        <is>
          <t>TRESEMMÉ</t>
        </is>
      </c>
      <c r="F546" s="2" t="n">
        <v>506.29</v>
      </c>
      <c r="G546" s="2" t="n">
        <v>41842</v>
      </c>
      <c r="H546" s="2" t="b">
        <v>0</v>
      </c>
      <c r="I546" s="2" t="n">
        <v>250</v>
      </c>
      <c r="J546" s="2" t="n">
        <v>2.0252</v>
      </c>
      <c r="K546" s="2" t="inlineStr">
        <is>
          <t>&gt; Perfumería &gt; Cuidado Capilar &gt; Shampoo &gt;</t>
        </is>
      </c>
      <c r="L546" s="2" t="inlineStr">
        <is>
          <t>shampoo</t>
        </is>
      </c>
      <c r="M546" s="2" t="inlineStr">
        <is>
          <t>estandar</t>
        </is>
      </c>
      <c r="N546" s="2" t="inlineStr">
        <is>
          <t>general</t>
        </is>
      </c>
      <c r="O546" s="2" t="inlineStr">
        <is>
          <t>https://www.jumbo.com.ar/shampoo-tresemme-matiz-ultravioleta-250ml/p</t>
        </is>
      </c>
    </row>
    <row r="547">
      <c r="A547" t="inlineStr">
        <is>
          <t>Jumbo</t>
        </is>
      </c>
      <c r="B547" t="n">
        <v>384222</v>
      </c>
      <c r="C547" t="n">
        <v>382911</v>
      </c>
      <c r="D547" t="inlineStr">
        <is>
          <t>Shampoo Tresemme Ondas Boho 500ml</t>
        </is>
      </c>
      <c r="E547" t="inlineStr">
        <is>
          <t>TRESEMMÉ</t>
        </is>
      </c>
      <c r="F547" t="n">
        <v>1463.69</v>
      </c>
      <c r="G547" t="n">
        <v>120966</v>
      </c>
      <c r="H547" t="b">
        <v>0</v>
      </c>
      <c r="I547" t="n">
        <v>500</v>
      </c>
      <c r="J547" t="n">
        <v>2.9274</v>
      </c>
      <c r="K547" t="inlineStr">
        <is>
          <t>&gt; Perfumería &gt; Cuidado Capilar &gt; Shampoo &gt;</t>
        </is>
      </c>
      <c r="L547" t="inlineStr">
        <is>
          <t>shampoo</t>
        </is>
      </c>
      <c r="M547" t="inlineStr">
        <is>
          <t>estandar</t>
        </is>
      </c>
      <c r="N547" t="inlineStr">
        <is>
          <t>general</t>
        </is>
      </c>
      <c r="O547" t="inlineStr">
        <is>
          <t>https://www.jumbo.com.ar/shampoo-tresemme-ondas-boho-500ml/p</t>
        </is>
      </c>
    </row>
    <row r="548">
      <c r="A548" s="2" t="inlineStr">
        <is>
          <t>Jumbo</t>
        </is>
      </c>
      <c r="B548" s="2" t="n">
        <v>384194</v>
      </c>
      <c r="C548" s="2" t="n">
        <v>382895</v>
      </c>
      <c r="D548" s="2" t="inlineStr">
        <is>
          <t>Shampoo Tresemme Kera Antifrizz 880ml</t>
        </is>
      </c>
      <c r="E548" s="2" t="inlineStr">
        <is>
          <t>TRESEMMÉ</t>
        </is>
      </c>
      <c r="F548" s="2" t="n">
        <v>2684.29</v>
      </c>
      <c r="G548" s="2" t="n">
        <v>221842</v>
      </c>
      <c r="H548" s="2" t="b">
        <v>0</v>
      </c>
      <c r="I548" s="2" t="n">
        <v>880</v>
      </c>
      <c r="J548" s="2" t="n">
        <v>3.0503</v>
      </c>
      <c r="K548" s="2" t="inlineStr">
        <is>
          <t>&gt; Perfumería &gt; Cuidado Capilar &gt; Shampoo &gt;</t>
        </is>
      </c>
      <c r="L548" s="2" t="inlineStr">
        <is>
          <t>shampoo</t>
        </is>
      </c>
      <c r="M548" s="2" t="inlineStr">
        <is>
          <t>estandar</t>
        </is>
      </c>
      <c r="N548" s="2" t="inlineStr">
        <is>
          <t>general</t>
        </is>
      </c>
      <c r="O548" s="2" t="inlineStr">
        <is>
          <t>https://www.jumbo.com.ar/shampoo-tresemme-kera-antifrizz-880ml/p</t>
        </is>
      </c>
    </row>
    <row r="549">
      <c r="A549" t="inlineStr">
        <is>
          <t>Jumbo</t>
        </is>
      </c>
      <c r="B549" t="n">
        <v>384190</v>
      </c>
      <c r="C549" t="n">
        <v>382891</v>
      </c>
      <c r="D549" t="inlineStr">
        <is>
          <t>Shampoo Tresemme Cauterización Reparación 880ml</t>
        </is>
      </c>
      <c r="E549" t="inlineStr">
        <is>
          <t>TRESEMMÉ</t>
        </is>
      </c>
      <c r="F549" t="n">
        <v>2556.45</v>
      </c>
      <c r="G549" t="n">
        <v>211277</v>
      </c>
      <c r="H549" t="b">
        <v>0</v>
      </c>
      <c r="I549" t="n">
        <v>880</v>
      </c>
      <c r="J549" t="n">
        <v>2.9051</v>
      </c>
      <c r="K549" t="inlineStr">
        <is>
          <t>&gt; Perfumería &gt; Cuidado Capilar &gt; Shampoo &gt;</t>
        </is>
      </c>
      <c r="L549" t="inlineStr">
        <is>
          <t>shampoo</t>
        </is>
      </c>
      <c r="M549" t="inlineStr">
        <is>
          <t>estandar</t>
        </is>
      </c>
      <c r="N549" t="inlineStr">
        <is>
          <t>general</t>
        </is>
      </c>
      <c r="O549" t="inlineStr">
        <is>
          <t>https://www.jumbo.com.ar/shampoo-tresemme-cauterizacion-reparacion-880ml/p</t>
        </is>
      </c>
    </row>
    <row r="550">
      <c r="A550" s="2" t="inlineStr">
        <is>
          <t>Jumbo</t>
        </is>
      </c>
      <c r="B550" s="2" t="n">
        <v>375248</v>
      </c>
      <c r="C550" s="2" t="n">
        <v>373966</v>
      </c>
      <c r="D550" s="2" t="inlineStr">
        <is>
          <t>Shampoo Fructis Recarga Nutritiva 350ml</t>
        </is>
      </c>
      <c r="E550" s="2" t="inlineStr">
        <is>
          <t>FRUCTIS</t>
        </is>
      </c>
      <c r="F550" s="2" t="n">
        <v>1259.63</v>
      </c>
      <c r="G550" s="2" t="n">
        <v>104102</v>
      </c>
      <c r="H550" s="2" t="b">
        <v>0</v>
      </c>
      <c r="I550" s="2" t="n">
        <v>350</v>
      </c>
      <c r="J550" s="2" t="n">
        <v>3.5989</v>
      </c>
      <c r="K550" s="2" t="inlineStr">
        <is>
          <t>&gt; Perfumería &gt; Cuidado Capilar &gt; Shampoo &gt;</t>
        </is>
      </c>
      <c r="L550" s="2" t="inlineStr">
        <is>
          <t>shampoo</t>
        </is>
      </c>
      <c r="M550" s="2" t="inlineStr">
        <is>
          <t>estandar</t>
        </is>
      </c>
      <c r="N550" s="2" t="inlineStr">
        <is>
          <t>general</t>
        </is>
      </c>
      <c r="O550" s="2" t="inlineStr">
        <is>
          <t>https://www.jumbo.com.ar/shampoo-fructis-recarga-nutritiva-350ml-2/p</t>
        </is>
      </c>
    </row>
    <row r="551">
      <c r="A551" t="inlineStr">
        <is>
          <t>Jumbo</t>
        </is>
      </c>
      <c r="B551" t="n">
        <v>375235</v>
      </c>
      <c r="C551" t="n">
        <v>373953</v>
      </c>
      <c r="D551" t="inlineStr">
        <is>
          <t>Shampoo Fructis Rizos Poderosos 350ml</t>
        </is>
      </c>
      <c r="E551" t="inlineStr">
        <is>
          <t>FRUCTIS</t>
        </is>
      </c>
      <c r="F551" t="n">
        <v>1388.75</v>
      </c>
      <c r="G551" t="n">
        <v>114773</v>
      </c>
      <c r="H551" t="b">
        <v>0</v>
      </c>
      <c r="I551" t="n">
        <v>350</v>
      </c>
      <c r="J551" t="n">
        <v>3.9679</v>
      </c>
      <c r="K551" t="inlineStr">
        <is>
          <t>&gt; Perfumería &gt; Cuidado Capilar &gt; Shampoo &gt;</t>
        </is>
      </c>
      <c r="L551" t="inlineStr">
        <is>
          <t>shampoo</t>
        </is>
      </c>
      <c r="M551" t="inlineStr">
        <is>
          <t>estandar</t>
        </is>
      </c>
      <c r="N551" t="inlineStr">
        <is>
          <t>rizado</t>
        </is>
      </c>
      <c r="O551" t="inlineStr">
        <is>
          <t>https://www.jumbo.com.ar/shampoo-fructis-rizos-poderosos-350ml-4/p</t>
        </is>
      </c>
    </row>
    <row r="552">
      <c r="A552" s="2" t="inlineStr">
        <is>
          <t>Jumbo</t>
        </is>
      </c>
      <c r="B552" s="2" t="n">
        <v>375231</v>
      </c>
      <c r="C552" s="2" t="n">
        <v>373949</v>
      </c>
      <c r="D552" s="2" t="inlineStr">
        <is>
          <t>Shampoo Fructis Rizo Manejable 200ml</t>
        </is>
      </c>
      <c r="E552" s="2" t="inlineStr">
        <is>
          <t>FRUCTIS</t>
        </is>
      </c>
      <c r="F552" s="2" t="n">
        <v>947.35</v>
      </c>
      <c r="G552" s="2" t="n">
        <v>78293</v>
      </c>
      <c r="H552" s="2" t="b">
        <v>0</v>
      </c>
      <c r="I552" s="2" t="n">
        <v>200</v>
      </c>
      <c r="J552" s="2" t="n">
        <v>4.7367</v>
      </c>
      <c r="K552" s="2" t="inlineStr">
        <is>
          <t>&gt; Perfumería &gt; Cuidado Capilar &gt; Shampoo &gt;</t>
        </is>
      </c>
      <c r="L552" s="2" t="inlineStr">
        <is>
          <t>shampoo</t>
        </is>
      </c>
      <c r="M552" s="2" t="inlineStr">
        <is>
          <t>estandar</t>
        </is>
      </c>
      <c r="N552" s="2" t="inlineStr">
        <is>
          <t>general</t>
        </is>
      </c>
      <c r="O552" s="2" t="inlineStr">
        <is>
          <t>https://www.jumbo.com.ar/shampoo-fructis-rizo-manejable-200ml/p</t>
        </is>
      </c>
    </row>
    <row r="553">
      <c r="A553" t="inlineStr">
        <is>
          <t>Jumbo</t>
        </is>
      </c>
      <c r="B553" t="n">
        <v>349047</v>
      </c>
      <c r="C553" t="n">
        <v>347710</v>
      </c>
      <c r="D553" t="inlineStr">
        <is>
          <t>Shampoo Dove Oleo Nutricion 750ml</t>
        </is>
      </c>
      <c r="E553" t="inlineStr">
        <is>
          <t>DOVE</t>
        </is>
      </c>
      <c r="F553" t="n">
        <v>1352.37</v>
      </c>
      <c r="G553" t="n">
        <v>111766</v>
      </c>
      <c r="H553" t="b">
        <v>0</v>
      </c>
      <c r="I553" t="n">
        <v>750</v>
      </c>
      <c r="J553" t="n">
        <v>1.8032</v>
      </c>
      <c r="K553" t="inlineStr">
        <is>
          <t>&gt; Perfumería &gt; Cuidado Capilar &gt; Shampoo &gt;</t>
        </is>
      </c>
      <c r="L553" t="inlineStr">
        <is>
          <t>shampoo</t>
        </is>
      </c>
      <c r="M553" t="inlineStr">
        <is>
          <t>estandar</t>
        </is>
      </c>
      <c r="N553" t="inlineStr">
        <is>
          <t>general</t>
        </is>
      </c>
      <c r="O553" t="inlineStr">
        <is>
          <t>https://www.jumbo.com.ar/shampoo-dove-oleo-nutricion-750ml-2/p</t>
        </is>
      </c>
    </row>
    <row r="554">
      <c r="A554" s="2" t="inlineStr">
        <is>
          <t>Jumbo</t>
        </is>
      </c>
      <c r="B554" s="2" t="n">
        <v>347699</v>
      </c>
      <c r="C554" s="2" t="n">
        <v>346374</v>
      </c>
      <c r="D554" s="2" t="inlineStr">
        <is>
          <t>Shampoo Sedal Restauracion Instantanea 300ml</t>
        </is>
      </c>
      <c r="E554" s="2" t="inlineStr">
        <is>
          <t>SEDAL</t>
        </is>
      </c>
      <c r="F554" s="2" t="n">
        <v>420.05</v>
      </c>
      <c r="G554" s="2" t="n">
        <v>34715</v>
      </c>
      <c r="H554" s="2" t="b">
        <v>0</v>
      </c>
      <c r="I554" s="2" t="n">
        <v>300</v>
      </c>
      <c r="J554" s="2" t="n">
        <v>1.4002</v>
      </c>
      <c r="K554" s="2" t="inlineStr">
        <is>
          <t>&gt; Perfumería &gt; Cuidado Capilar &gt; Shampoo &gt;</t>
        </is>
      </c>
      <c r="L554" s="2" t="inlineStr">
        <is>
          <t>shampoo</t>
        </is>
      </c>
      <c r="M554" s="2" t="inlineStr">
        <is>
          <t>estandar</t>
        </is>
      </c>
      <c r="N554" s="2" t="inlineStr">
        <is>
          <t>general</t>
        </is>
      </c>
      <c r="O554" s="2" t="inlineStr">
        <is>
          <t>https://www.jumbo.com.ar/shampoo-sedal-restauracion-instantanea-300ml-2/p</t>
        </is>
      </c>
    </row>
    <row r="555">
      <c r="A555" t="inlineStr">
        <is>
          <t>Jumbo</t>
        </is>
      </c>
      <c r="B555" t="n">
        <v>347678</v>
      </c>
      <c r="C555" t="n">
        <v>346351</v>
      </c>
      <c r="D555" t="inlineStr">
        <is>
          <t>Shampoo  Sedal  Ceramidas  650 Ml</t>
        </is>
      </c>
      <c r="E555" t="inlineStr">
        <is>
          <t>SEDAL</t>
        </is>
      </c>
      <c r="F555" t="n">
        <v>880.05</v>
      </c>
      <c r="G555" t="n">
        <v>72731</v>
      </c>
      <c r="H555" t="b">
        <v>0</v>
      </c>
      <c r="I555" t="n">
        <v>650</v>
      </c>
      <c r="J555" t="n">
        <v>1.3539</v>
      </c>
      <c r="K555" t="inlineStr">
        <is>
          <t>&gt; Perfumería &gt; Cuidado Capilar &gt; Shampoo &gt;</t>
        </is>
      </c>
      <c r="L555" t="inlineStr">
        <is>
          <t>shampoo</t>
        </is>
      </c>
      <c r="M555" t="inlineStr">
        <is>
          <t>estandar</t>
        </is>
      </c>
      <c r="N555" t="inlineStr">
        <is>
          <t>general</t>
        </is>
      </c>
      <c r="O555" t="inlineStr">
        <is>
          <t>https://www.jumbo.com.ar/shampoo-sedal-ceramidas-650-ml/p</t>
        </is>
      </c>
    </row>
    <row r="556">
      <c r="A556" s="2" t="inlineStr">
        <is>
          <t>Jumbo</t>
        </is>
      </c>
      <c r="B556" s="2" t="n">
        <v>346831</v>
      </c>
      <c r="C556" s="2" t="n">
        <v>345506</v>
      </c>
      <c r="D556" s="2" t="inlineStr">
        <is>
          <t>Shampoo Elvive Caida Resist 400ml</t>
        </is>
      </c>
      <c r="E556" s="2" t="inlineStr">
        <is>
          <t>ELVIVE</t>
        </is>
      </c>
      <c r="F556" s="2" t="n">
        <v>1077.33</v>
      </c>
      <c r="G556" s="2" t="n">
        <v>89036</v>
      </c>
      <c r="H556" s="2" t="b">
        <v>0</v>
      </c>
      <c r="I556" s="2" t="n">
        <v>400</v>
      </c>
      <c r="J556" s="2" t="n">
        <v>2.6933</v>
      </c>
      <c r="K556" s="2" t="inlineStr">
        <is>
          <t>&gt; Perfumería &gt; Cuidado Capilar &gt; Shampoo &gt;</t>
        </is>
      </c>
      <c r="L556" s="2" t="inlineStr">
        <is>
          <t>shampoo</t>
        </is>
      </c>
      <c r="M556" s="2" t="inlineStr">
        <is>
          <t>profesional</t>
        </is>
      </c>
      <c r="N556" s="2" t="inlineStr">
        <is>
          <t>general</t>
        </is>
      </c>
      <c r="O556" s="2" t="inlineStr">
        <is>
          <t>https://www.jumbo.com.ar/shampoo-elvive-caida-resist-400ml/p</t>
        </is>
      </c>
    </row>
    <row r="557">
      <c r="A557" t="inlineStr">
        <is>
          <t>Jumbo</t>
        </is>
      </c>
      <c r="B557" t="n">
        <v>346767</v>
      </c>
      <c r="C557" t="n">
        <v>345442</v>
      </c>
      <c r="D557" t="inlineStr">
        <is>
          <t>Shampoo Elvive Arcilla Purificante 750ml</t>
        </is>
      </c>
      <c r="E557" t="inlineStr">
        <is>
          <t>ELVIVE</t>
        </is>
      </c>
      <c r="F557" t="n">
        <v>1604.37</v>
      </c>
      <c r="G557" t="n">
        <v>132593</v>
      </c>
      <c r="H557" t="b">
        <v>0</v>
      </c>
      <c r="I557" t="n">
        <v>750</v>
      </c>
      <c r="J557" t="n">
        <v>2.1392</v>
      </c>
      <c r="K557" t="inlineStr">
        <is>
          <t>&gt; Perfumería &gt; Cuidado Capilar &gt; Shampoo &gt;</t>
        </is>
      </c>
      <c r="L557" t="inlineStr">
        <is>
          <t>shampoo</t>
        </is>
      </c>
      <c r="M557" t="inlineStr">
        <is>
          <t>profesional</t>
        </is>
      </c>
      <c r="N557" t="inlineStr">
        <is>
          <t>general</t>
        </is>
      </c>
      <c r="O557" t="inlineStr">
        <is>
          <t>https://www.jumbo.com.ar/shampoo-elvive-arcilla-purificante-750ml/p</t>
        </is>
      </c>
    </row>
    <row r="558">
      <c r="A558" s="2" t="inlineStr">
        <is>
          <t>Jumbo</t>
        </is>
      </c>
      <c r="B558" s="2" t="n">
        <v>344034</v>
      </c>
      <c r="C558" s="2" t="n">
        <v>342719</v>
      </c>
      <c r="D558" s="2" t="inlineStr">
        <is>
          <t>Shampoo Sedal Bomba Argan 190ml...</t>
        </is>
      </c>
      <c r="E558" s="2" t="inlineStr">
        <is>
          <t>SEDAL</t>
        </is>
      </c>
      <c r="F558" s="2" t="n">
        <v>359.35</v>
      </c>
      <c r="G558" s="2" t="n">
        <v>29698</v>
      </c>
      <c r="H558" s="2" t="b">
        <v>0</v>
      </c>
      <c r="I558" s="2" t="n">
        <v>190</v>
      </c>
      <c r="J558" s="2" t="n">
        <v>1.8913</v>
      </c>
      <c r="K558" s="2" t="inlineStr">
        <is>
          <t>&gt; Perfumería &gt; Cuidado Capilar &gt; Shampoo &gt;</t>
        </is>
      </c>
      <c r="L558" s="2" t="inlineStr">
        <is>
          <t>shampoo</t>
        </is>
      </c>
      <c r="M558" s="2" t="inlineStr">
        <is>
          <t>estandar</t>
        </is>
      </c>
      <c r="N558" s="2" t="inlineStr">
        <is>
          <t>general</t>
        </is>
      </c>
      <c r="O558" s="2" t="inlineStr">
        <is>
          <t>https://www.jumbo.com.ar/shampoo-sedal-bomba-argan-190ml-3/p</t>
        </is>
      </c>
    </row>
    <row r="559">
      <c r="A559" t="inlineStr">
        <is>
          <t>Jumbo</t>
        </is>
      </c>
      <c r="B559" t="n">
        <v>341810</v>
      </c>
      <c r="C559" t="n">
        <v>340497</v>
      </c>
      <c r="D559" t="inlineStr">
        <is>
          <t>Shampoo Head&amp;shoulders Sensitive 700ml</t>
        </is>
      </c>
      <c r="E559" t="inlineStr">
        <is>
          <t>HEAD &amp; SHOULDERS</t>
        </is>
      </c>
      <c r="F559" t="n">
        <v>1115.39</v>
      </c>
      <c r="G559" t="n">
        <v>92181</v>
      </c>
      <c r="H559" t="b">
        <v>0</v>
      </c>
      <c r="I559" t="n">
        <v>700</v>
      </c>
      <c r="J559" t="n">
        <v>1.5934</v>
      </c>
      <c r="K559" t="inlineStr">
        <is>
          <t>&gt; Perfumería &gt; Cuidado Capilar &gt; Shampoo &gt;</t>
        </is>
      </c>
      <c r="L559" t="inlineStr">
        <is>
          <t>shampoo</t>
        </is>
      </c>
      <c r="M559" t="inlineStr">
        <is>
          <t>estandar</t>
        </is>
      </c>
      <c r="N559" t="inlineStr">
        <is>
          <t>general</t>
        </is>
      </c>
      <c r="O559" t="inlineStr">
        <is>
          <t>https://www.jumbo.com.ar/shampoo-head-shoulders-sensitive-700ml-2/p</t>
        </is>
      </c>
    </row>
    <row r="560">
      <c r="A560" s="2" t="inlineStr">
        <is>
          <t>Jumbo</t>
        </is>
      </c>
      <c r="B560" s="2" t="n">
        <v>339248</v>
      </c>
      <c r="C560" s="2" t="n">
        <v>337933</v>
      </c>
      <c r="D560" s="2" t="inlineStr">
        <is>
          <t>Shampoo Botikpuro Extra Suave Eco</t>
        </is>
      </c>
      <c r="E560" s="2" t="inlineStr">
        <is>
          <t>BOTIK PURO</t>
        </is>
      </c>
      <c r="F560" s="2" t="n">
        <v>5376.67</v>
      </c>
      <c r="G560" s="2" t="n">
        <v>444353</v>
      </c>
      <c r="H560" s="2" t="b">
        <v>0</v>
      </c>
      <c r="I560" s="2" t="inlineStr"/>
      <c r="J560" s="2" t="inlineStr"/>
      <c r="K560" s="2" t="inlineStr">
        <is>
          <t>&gt; Perfumería &gt; Cuidado Capilar &gt; Shampoo &gt;</t>
        </is>
      </c>
      <c r="L560" s="2" t="inlineStr">
        <is>
          <t>shampoo</t>
        </is>
      </c>
      <c r="M560" s="2" t="inlineStr">
        <is>
          <t>estandar</t>
        </is>
      </c>
      <c r="N560" s="2" t="inlineStr">
        <is>
          <t>bebe</t>
        </is>
      </c>
      <c r="O560" s="2" t="inlineStr">
        <is>
          <t>https://www.jumbo.com.ar/shampoo-botikpuro-extra-suave-eco-2/p</t>
        </is>
      </c>
    </row>
    <row r="561">
      <c r="A561" t="inlineStr">
        <is>
          <t>Jumbo</t>
        </is>
      </c>
      <c r="B561" t="n">
        <v>338992</v>
      </c>
      <c r="C561" t="n">
        <v>316525</v>
      </c>
      <c r="D561" t="inlineStr">
        <is>
          <t>Shampoo Suave Aloe Detox 930ml Shampoo Suave Aloe Detox 930 Ml</t>
        </is>
      </c>
      <c r="E561" t="inlineStr">
        <is>
          <t>SUAVE</t>
        </is>
      </c>
      <c r="F561" t="n">
        <v>322.89</v>
      </c>
      <c r="G561" t="n">
        <v>26685</v>
      </c>
      <c r="H561" t="b">
        <v>0</v>
      </c>
      <c r="I561" t="n">
        <v>930</v>
      </c>
      <c r="J561" t="n">
        <v>0.3472</v>
      </c>
      <c r="K561" t="inlineStr">
        <is>
          <t>&gt; Perfumería &gt; Cuidado Capilar &gt; Shampoo &gt;</t>
        </is>
      </c>
      <c r="L561" t="inlineStr">
        <is>
          <t>shampoo</t>
        </is>
      </c>
      <c r="M561" t="inlineStr">
        <is>
          <t>estandar</t>
        </is>
      </c>
      <c r="N561" t="inlineStr">
        <is>
          <t>bebe</t>
        </is>
      </c>
      <c r="O561" t="inlineStr">
        <is>
          <t>https://www.jumbo.com.ar/shampoo-suave-aloe-detox-930ml/p</t>
        </is>
      </c>
    </row>
    <row r="562">
      <c r="A562" s="2" t="inlineStr">
        <is>
          <t>Jumbo</t>
        </is>
      </c>
      <c r="B562" s="2" t="n">
        <v>338987</v>
      </c>
      <c r="C562" s="2" t="n">
        <v>316520</v>
      </c>
      <c r="D562" s="2" t="inlineStr">
        <is>
          <t>Shampoo Suave Fuerza Nutritiva 930ml</t>
        </is>
      </c>
      <c r="E562" s="2" t="inlineStr">
        <is>
          <t>SUAVE</t>
        </is>
      </c>
      <c r="F562" s="2" t="n">
        <v>339.05</v>
      </c>
      <c r="G562" s="2" t="n">
        <v>28021</v>
      </c>
      <c r="H562" s="2" t="b">
        <v>0</v>
      </c>
      <c r="I562" s="2" t="n">
        <v>930</v>
      </c>
      <c r="J562" s="2" t="n">
        <v>0.3646</v>
      </c>
      <c r="K562" s="2" t="inlineStr">
        <is>
          <t>&gt; Perfumería &gt; Cuidado Capilar &gt; Shampoo &gt;</t>
        </is>
      </c>
      <c r="L562" s="2" t="inlineStr">
        <is>
          <t>shampoo</t>
        </is>
      </c>
      <c r="M562" s="2" t="inlineStr">
        <is>
          <t>estandar</t>
        </is>
      </c>
      <c r="N562" s="2" t="inlineStr">
        <is>
          <t>bebe</t>
        </is>
      </c>
      <c r="O562" s="2" t="inlineStr">
        <is>
          <t>https://www.jumbo.com.ar/shampoo-suave-fuerza-nutritiva-930ml/p</t>
        </is>
      </c>
    </row>
    <row r="563">
      <c r="A563" t="inlineStr">
        <is>
          <t>Jumbo</t>
        </is>
      </c>
      <c r="B563" t="n">
        <v>337419</v>
      </c>
      <c r="C563" t="n">
        <v>336522</v>
      </c>
      <c r="D563" t="inlineStr">
        <is>
          <t>Shampoo Dove Regeneracion Extrema 200ml</t>
        </is>
      </c>
      <c r="E563" t="inlineStr">
        <is>
          <t>DOVE</t>
        </is>
      </c>
      <c r="F563" t="n">
        <v>398.39</v>
      </c>
      <c r="G563" t="n">
        <v>32925</v>
      </c>
      <c r="H563" t="b">
        <v>0</v>
      </c>
      <c r="I563" t="n">
        <v>200</v>
      </c>
      <c r="J563" t="n">
        <v>1.9919</v>
      </c>
      <c r="K563" t="inlineStr">
        <is>
          <t>&gt; Perfumería &gt; Cuidado Capilar &gt; Shampoo &gt;</t>
        </is>
      </c>
      <c r="L563" t="inlineStr">
        <is>
          <t>shampoo</t>
        </is>
      </c>
      <c r="M563" t="inlineStr">
        <is>
          <t>estandar</t>
        </is>
      </c>
      <c r="N563" t="inlineStr">
        <is>
          <t>general</t>
        </is>
      </c>
      <c r="O563" t="inlineStr">
        <is>
          <t>https://www.jumbo.com.ar/shampoo-dove-regeneracion-extrema-200ml-2/p</t>
        </is>
      </c>
    </row>
    <row r="564">
      <c r="A564" s="2" t="inlineStr">
        <is>
          <t>Jumbo</t>
        </is>
      </c>
      <c r="B564" s="2" t="n">
        <v>331660</v>
      </c>
      <c r="C564" s="2" t="n">
        <v>330818</v>
      </c>
      <c r="D564" s="2" t="inlineStr">
        <is>
          <t>Elvive Shampoo Hidra Hialuronico 750ml</t>
        </is>
      </c>
      <c r="E564" s="2" t="inlineStr">
        <is>
          <t>ELVIVE</t>
        </is>
      </c>
      <c r="F564" s="2" t="n">
        <v>6900</v>
      </c>
      <c r="G564" s="2" t="n">
        <v>570248</v>
      </c>
      <c r="H564" s="2" t="b">
        <v>0</v>
      </c>
      <c r="I564" s="2" t="n">
        <v>750</v>
      </c>
      <c r="J564" s="2" t="n">
        <v>9.199999999999999</v>
      </c>
      <c r="K564" s="2" t="inlineStr">
        <is>
          <t>&gt; Perfumería &gt; Cuidado Capilar &gt; Shampoo &gt;</t>
        </is>
      </c>
      <c r="L564" s="2" t="inlineStr">
        <is>
          <t>shampoo</t>
        </is>
      </c>
      <c r="M564" s="2" t="inlineStr">
        <is>
          <t>profesional</t>
        </is>
      </c>
      <c r="N564" s="2" t="inlineStr">
        <is>
          <t>general</t>
        </is>
      </c>
      <c r="O564" s="2" t="inlineStr">
        <is>
          <t>https://www.jumbo.com.ar/elvive-shampoo-hidra-hialuronico-750ml/p</t>
        </is>
      </c>
    </row>
    <row r="565">
      <c r="A565" t="inlineStr">
        <is>
          <t>Jumbo</t>
        </is>
      </c>
      <c r="B565" t="n">
        <v>330753</v>
      </c>
      <c r="C565" t="n">
        <v>329501</v>
      </c>
      <c r="D565" t="inlineStr">
        <is>
          <t>Shampoo Johnson Baby Original 750</t>
        </is>
      </c>
      <c r="E565" t="inlineStr">
        <is>
          <t>JOHNSON BABY</t>
        </is>
      </c>
      <c r="F565" t="n">
        <v>1719.49</v>
      </c>
      <c r="G565" t="n">
        <v>142107</v>
      </c>
      <c r="H565" t="b">
        <v>0</v>
      </c>
      <c r="I565" t="inlineStr"/>
      <c r="J565" t="inlineStr"/>
      <c r="K565" t="inlineStr">
        <is>
          <t>&gt; Mundo Bebe &gt; Higiene para el Bebe &gt; Higiene del Bebé &gt;</t>
        </is>
      </c>
      <c r="L565" t="inlineStr">
        <is>
          <t>shampoo</t>
        </is>
      </c>
      <c r="M565" t="inlineStr">
        <is>
          <t>estandar</t>
        </is>
      </c>
      <c r="N565" t="inlineStr">
        <is>
          <t>general</t>
        </is>
      </c>
      <c r="O565" t="inlineStr">
        <is>
          <t>https://www.jumbo.com.ar/shampoo-johnson-baby-original-750/p</t>
        </is>
      </c>
    </row>
    <row r="566">
      <c r="A566" s="2" t="inlineStr">
        <is>
          <t>Jumbo</t>
        </is>
      </c>
      <c r="B566" s="2" t="n">
        <v>330726</v>
      </c>
      <c r="C566" s="2" t="n">
        <v>329474</v>
      </c>
      <c r="D566" s="2" t="inlineStr">
        <is>
          <t>Shampoo Johnson Baby Manzanilla 200</t>
        </is>
      </c>
      <c r="E566" s="2" t="inlineStr">
        <is>
          <t>JOHNSON BABY</t>
        </is>
      </c>
      <c r="F566" s="2" t="n">
        <v>593.1900000000001</v>
      </c>
      <c r="G566" s="2" t="n">
        <v>49024</v>
      </c>
      <c r="H566" s="2" t="b">
        <v>0</v>
      </c>
      <c r="I566" s="2" t="inlineStr"/>
      <c r="J566" s="2" t="inlineStr"/>
      <c r="K566" s="2" t="inlineStr">
        <is>
          <t>&gt; Mundo Bebe &gt; Higiene para el Bebe &gt; Higiene del Bebé &gt;</t>
        </is>
      </c>
      <c r="L566" s="2" t="inlineStr">
        <is>
          <t>shampoo</t>
        </is>
      </c>
      <c r="M566" s="2" t="inlineStr">
        <is>
          <t>estandar</t>
        </is>
      </c>
      <c r="N566" s="2" t="inlineStr">
        <is>
          <t>general</t>
        </is>
      </c>
      <c r="O566" s="2" t="inlineStr">
        <is>
          <t>https://www.jumbo.com.ar/shampoo-johnson-baby-manzanilla-200/p</t>
        </is>
      </c>
    </row>
    <row r="567">
      <c r="A567" t="inlineStr">
        <is>
          <t>Jumbo</t>
        </is>
      </c>
      <c r="B567" t="n">
        <v>330716</v>
      </c>
      <c r="C567" t="n">
        <v>329464</v>
      </c>
      <c r="D567" t="inlineStr">
        <is>
          <t>Shampoo Johnson Baby Manzanilla 750</t>
        </is>
      </c>
      <c r="E567" t="inlineStr">
        <is>
          <t>JOHNSON BABY</t>
        </is>
      </c>
      <c r="F567" t="n">
        <v>1658.49</v>
      </c>
      <c r="G567" t="n">
        <v>137065</v>
      </c>
      <c r="H567" t="b">
        <v>0</v>
      </c>
      <c r="I567" t="inlineStr"/>
      <c r="J567" t="inlineStr"/>
      <c r="K567" t="inlineStr">
        <is>
          <t>&gt; Mundo Bebe &gt; Higiene para el Bebe &gt; Higiene del Bebé &gt;</t>
        </is>
      </c>
      <c r="L567" t="inlineStr">
        <is>
          <t>shampoo</t>
        </is>
      </c>
      <c r="M567" t="inlineStr">
        <is>
          <t>estandar</t>
        </is>
      </c>
      <c r="N567" t="inlineStr">
        <is>
          <t>general</t>
        </is>
      </c>
      <c r="O567" t="inlineStr">
        <is>
          <t>https://www.jumbo.com.ar/shampoo-johnson-baby-manzanilla-750/p</t>
        </is>
      </c>
    </row>
    <row r="568">
      <c r="A568" s="2" t="inlineStr">
        <is>
          <t>Jumbo</t>
        </is>
      </c>
      <c r="B568" s="2" t="n">
        <v>313290</v>
      </c>
      <c r="C568" s="2" t="n">
        <v>312528</v>
      </c>
      <c r="D568" s="2" t="inlineStr">
        <is>
          <t>Shampoo Biferdil Alisado 300 Ml</t>
        </is>
      </c>
      <c r="E568" s="2" t="inlineStr">
        <is>
          <t>BIFERDIL</t>
        </is>
      </c>
      <c r="F568" s="2" t="n">
        <v>18550</v>
      </c>
      <c r="G568" s="2" t="n">
        <v>1533058</v>
      </c>
      <c r="H568" s="2" t="b">
        <v>0</v>
      </c>
      <c r="I568" s="2" t="n">
        <v>300</v>
      </c>
      <c r="J568" s="2" t="n">
        <v>61.8333</v>
      </c>
      <c r="K568" s="2" t="inlineStr">
        <is>
          <t>&gt; Perfumería &gt; Cuidado Capilar &gt; Shampoo &gt;</t>
        </is>
      </c>
      <c r="L568" s="2" t="inlineStr">
        <is>
          <t>shampoo</t>
        </is>
      </c>
      <c r="M568" s="2" t="inlineStr">
        <is>
          <t>estandar</t>
        </is>
      </c>
      <c r="N568" s="2" t="inlineStr">
        <is>
          <t>tratado</t>
        </is>
      </c>
      <c r="O568" s="2" t="inlineStr">
        <is>
          <t>https://www.jumbo.com.ar/shampoo-biferdil-alisado-300-ml/p</t>
        </is>
      </c>
    </row>
    <row r="569">
      <c r="A569" t="inlineStr">
        <is>
          <t>Jumbo</t>
        </is>
      </c>
      <c r="B569" t="n">
        <v>312933</v>
      </c>
      <c r="C569" t="n">
        <v>312171</v>
      </c>
      <c r="D569" t="inlineStr">
        <is>
          <t>Shampoo Biferdil Bioxidil 250 Ml</t>
        </is>
      </c>
      <c r="E569" t="inlineStr">
        <is>
          <t>BIFERDIL</t>
        </is>
      </c>
      <c r="F569" t="n">
        <v>23650</v>
      </c>
      <c r="G569" t="n">
        <v>1954545</v>
      </c>
      <c r="H569" t="b">
        <v>0</v>
      </c>
      <c r="I569" t="n">
        <v>250</v>
      </c>
      <c r="J569" t="n">
        <v>94.59999999999999</v>
      </c>
      <c r="K569" t="inlineStr">
        <is>
          <t>&gt; Perfumería &gt; Cuidado Capilar &gt; Shampoo &gt;</t>
        </is>
      </c>
      <c r="L569" t="inlineStr">
        <is>
          <t>shampoo</t>
        </is>
      </c>
      <c r="M569" t="inlineStr">
        <is>
          <t>estandar</t>
        </is>
      </c>
      <c r="N569" t="inlineStr">
        <is>
          <t>general</t>
        </is>
      </c>
      <c r="O569" t="inlineStr">
        <is>
          <t>https://www.jumbo.com.ar/shampoo-biferdil-bioxidil-250-ml/p</t>
        </is>
      </c>
    </row>
    <row r="570">
      <c r="A570" s="2" t="inlineStr">
        <is>
          <t>Jumbo</t>
        </is>
      </c>
      <c r="B570" s="2" t="n">
        <v>309884</v>
      </c>
      <c r="C570" s="2" t="n">
        <v>309121</v>
      </c>
      <c r="D570" s="2" t="inlineStr">
        <is>
          <t>Shampoo Swing Reparintens 200 Ml</t>
        </is>
      </c>
      <c r="E570" s="2" t="inlineStr">
        <is>
          <t>SWING</t>
        </is>
      </c>
      <c r="F570" s="2" t="n">
        <v>63.05</v>
      </c>
      <c r="G570" s="2" t="n">
        <v>5211</v>
      </c>
      <c r="H570" s="2" t="b">
        <v>0</v>
      </c>
      <c r="I570" s="2" t="n">
        <v>200</v>
      </c>
      <c r="J570" s="2" t="n">
        <v>0.3152</v>
      </c>
      <c r="K570" s="2" t="inlineStr">
        <is>
          <t>&gt; Perfumería &gt; Cuidado Capilar &gt; Shampoo &gt;</t>
        </is>
      </c>
      <c r="L570" s="2" t="inlineStr">
        <is>
          <t>shampoo</t>
        </is>
      </c>
      <c r="M570" s="2" t="inlineStr">
        <is>
          <t>estandar</t>
        </is>
      </c>
      <c r="N570" s="2" t="inlineStr">
        <is>
          <t>general</t>
        </is>
      </c>
      <c r="O570" s="2" t="inlineStr">
        <is>
          <t>https://www.jumbo.com.ar/shampoo-swing-reparintens-200-ml/p</t>
        </is>
      </c>
    </row>
    <row r="571">
      <c r="A571" t="inlineStr">
        <is>
          <t>Jumbo</t>
        </is>
      </c>
      <c r="B571" t="n">
        <v>300154</v>
      </c>
      <c r="C571" t="n">
        <v>299372</v>
      </c>
      <c r="D571" t="inlineStr">
        <is>
          <t>Shampoo Dove Fuerza Vital 400ml</t>
        </is>
      </c>
      <c r="E571" t="inlineStr">
        <is>
          <t>DOVE</t>
        </is>
      </c>
      <c r="F571" t="n">
        <v>244.89</v>
      </c>
      <c r="G571" t="n">
        <v>20239</v>
      </c>
      <c r="H571" t="b">
        <v>0</v>
      </c>
      <c r="I571" t="n">
        <v>400</v>
      </c>
      <c r="J571" t="n">
        <v>0.6122</v>
      </c>
      <c r="K571" t="inlineStr">
        <is>
          <t>&gt; Perfumería &gt; Cuidado Capilar &gt; Shampoo &gt;</t>
        </is>
      </c>
      <c r="L571" t="inlineStr">
        <is>
          <t>shampoo</t>
        </is>
      </c>
      <c r="M571" t="inlineStr">
        <is>
          <t>estandar</t>
        </is>
      </c>
      <c r="N571" t="inlineStr">
        <is>
          <t>general</t>
        </is>
      </c>
      <c r="O571" t="inlineStr">
        <is>
          <t>https://www.jumbo.com.ar/shampoo-dove-fuerza-vital-400ml/p</t>
        </is>
      </c>
    </row>
    <row r="572">
      <c r="A572" s="2" t="inlineStr">
        <is>
          <t>Jumbo</t>
        </is>
      </c>
      <c r="B572" s="2" t="n">
        <v>263631</v>
      </c>
      <c r="C572" s="2" t="n">
        <v>263351</v>
      </c>
      <c r="D572" s="2" t="inlineStr">
        <is>
          <t>Shampoo Dove Oleo Micelar 400ml</t>
        </is>
      </c>
      <c r="E572" s="2" t="inlineStr">
        <is>
          <t>DOVE</t>
        </is>
      </c>
      <c r="F572" s="2" t="n">
        <v>244.89</v>
      </c>
      <c r="G572" s="2" t="n">
        <v>20239</v>
      </c>
      <c r="H572" s="2" t="b">
        <v>0</v>
      </c>
      <c r="I572" s="2" t="n">
        <v>400</v>
      </c>
      <c r="J572" s="2" t="n">
        <v>0.6122</v>
      </c>
      <c r="K572" s="2" t="inlineStr">
        <is>
          <t>&gt; Perfumería &gt; Cuidado Capilar &gt; Shampoo &gt;</t>
        </is>
      </c>
      <c r="L572" s="2" t="inlineStr">
        <is>
          <t>shampoo</t>
        </is>
      </c>
      <c r="M572" s="2" t="inlineStr">
        <is>
          <t>estandar</t>
        </is>
      </c>
      <c r="N572" s="2" t="inlineStr">
        <is>
          <t>general</t>
        </is>
      </c>
      <c r="O572" s="2" t="inlineStr">
        <is>
          <t>https://www.jumbo.com.ar/shampoo-dove-oleo-micelar-400ml/p</t>
        </is>
      </c>
    </row>
    <row r="573">
      <c r="A573" t="inlineStr">
        <is>
          <t>Jumbo</t>
        </is>
      </c>
      <c r="B573" t="n">
        <v>254987</v>
      </c>
      <c r="C573" t="n">
        <v>254281</v>
      </c>
      <c r="D573" t="inlineStr">
        <is>
          <t>Shampoo Fructis Liso Coco 200ml</t>
        </is>
      </c>
      <c r="E573" t="inlineStr">
        <is>
          <t>FRUCTIS</t>
        </is>
      </c>
      <c r="F573" t="n">
        <v>261.69</v>
      </c>
      <c r="G573" t="n">
        <v>21627</v>
      </c>
      <c r="H573" t="b">
        <v>0</v>
      </c>
      <c r="I573" t="n">
        <v>200</v>
      </c>
      <c r="J573" t="n">
        <v>1.3084</v>
      </c>
      <c r="K573" t="inlineStr">
        <is>
          <t>&gt; Perfumería &gt; Cuidado Capilar &gt; Shampoo &gt;</t>
        </is>
      </c>
      <c r="L573" t="inlineStr">
        <is>
          <t>shampoo</t>
        </is>
      </c>
      <c r="M573" t="inlineStr">
        <is>
          <t>estandar</t>
        </is>
      </c>
      <c r="N573" t="inlineStr">
        <is>
          <t>general</t>
        </is>
      </c>
      <c r="O573" t="inlineStr">
        <is>
          <t>https://www.jumbo.com.ar/shampoo-fructis-liso-coco-200ml/p</t>
        </is>
      </c>
    </row>
    <row r="574">
      <c r="A574" s="2" t="inlineStr">
        <is>
          <t>Jumbo</t>
        </is>
      </c>
      <c r="B574" s="2" t="n">
        <v>247602</v>
      </c>
      <c r="C574" s="2" t="n">
        <v>244280</v>
      </c>
      <c r="D574" s="2" t="inlineStr">
        <is>
          <t>Shampoo Tresemme Bajo Poo 400ml</t>
        </is>
      </c>
      <c r="E574" s="2" t="inlineStr">
        <is>
          <t>TRESEMMÉ</t>
        </is>
      </c>
      <c r="F574" s="2" t="n">
        <v>283.29</v>
      </c>
      <c r="G574" s="2" t="n">
        <v>23412</v>
      </c>
      <c r="H574" s="2" t="b">
        <v>0</v>
      </c>
      <c r="I574" s="2" t="n">
        <v>400</v>
      </c>
      <c r="J574" s="2" t="n">
        <v>0.7082000000000001</v>
      </c>
      <c r="K574" s="2" t="inlineStr">
        <is>
          <t>&gt; Perfumería &gt; Cuidado Capilar &gt; Shampoo &gt;</t>
        </is>
      </c>
      <c r="L574" s="2" t="inlineStr">
        <is>
          <t>shampoo</t>
        </is>
      </c>
      <c r="M574" s="2" t="inlineStr">
        <is>
          <t>estandar</t>
        </is>
      </c>
      <c r="N574" s="2" t="inlineStr">
        <is>
          <t>general</t>
        </is>
      </c>
      <c r="O574" s="2" t="inlineStr">
        <is>
          <t>https://www.jumbo.com.ar/shampoo-tresemme-bajo-poo-400ml/p</t>
        </is>
      </c>
    </row>
    <row r="575">
      <c r="A575" t="inlineStr">
        <is>
          <t>Jumbo</t>
        </is>
      </c>
      <c r="B575" t="n">
        <v>215565</v>
      </c>
      <c r="C575" t="n">
        <v>232203</v>
      </c>
      <c r="D575" t="inlineStr">
        <is>
          <t>Shampoo Elvive Cosmetico  2 U</t>
        </is>
      </c>
      <c r="E575" t="inlineStr">
        <is>
          <t>ELVIVE</t>
        </is>
      </c>
      <c r="F575" t="n">
        <v>15.05</v>
      </c>
      <c r="G575" t="n">
        <v>15.05</v>
      </c>
      <c r="H575" t="b">
        <v>0</v>
      </c>
      <c r="I575" t="inlineStr"/>
      <c r="J575" t="inlineStr"/>
      <c r="K575" t="inlineStr">
        <is>
          <t>&gt; Perfumería &gt; Cuidado Capilar &gt; Shampoo &gt;</t>
        </is>
      </c>
      <c r="L575" t="inlineStr">
        <is>
          <t>shampoo</t>
        </is>
      </c>
      <c r="M575" t="inlineStr">
        <is>
          <t>profesional</t>
        </is>
      </c>
      <c r="N575" t="inlineStr">
        <is>
          <t>general</t>
        </is>
      </c>
      <c r="O575" t="inlineStr">
        <is>
          <t>https://www.jumbo.com.ar/shampoo-elvive-cosmetico-2-u-2-248126/p</t>
        </is>
      </c>
    </row>
    <row r="576">
      <c r="A576" s="2" t="inlineStr">
        <is>
          <t>Jumbo</t>
        </is>
      </c>
      <c r="B576" s="2" t="n">
        <v>155217</v>
      </c>
      <c r="C576" s="2" t="n">
        <v>152787</v>
      </c>
      <c r="D576" s="2" t="inlineStr">
        <is>
          <t>Shampoo Plusbelle Familiar-pvc-ml.-200</t>
        </is>
      </c>
      <c r="E576" s="2" t="inlineStr">
        <is>
          <t>PLUSBELLE</t>
        </is>
      </c>
      <c r="F576" s="2" t="n">
        <v>8.529999999999999</v>
      </c>
      <c r="G576" s="2" t="n">
        <v>705</v>
      </c>
      <c r="H576" s="2" t="b">
        <v>0</v>
      </c>
      <c r="I576" s="2" t="inlineStr"/>
      <c r="J576" s="2" t="inlineStr"/>
      <c r="K576" s="2" t="inlineStr">
        <is>
          <t>&gt; Perfumería &gt; Cuidado Capilar &gt; Shampoo &gt;</t>
        </is>
      </c>
      <c r="L576" s="2" t="inlineStr">
        <is>
          <t>shampoo</t>
        </is>
      </c>
      <c r="M576" s="2" t="inlineStr">
        <is>
          <t>estandar</t>
        </is>
      </c>
      <c r="N576" s="2" t="inlineStr">
        <is>
          <t>general</t>
        </is>
      </c>
      <c r="O576" s="2" t="inlineStr">
        <is>
          <t>https://www.jumbo.com.ar/shampoo-plusbelle-familiar-pvc-ml-200-2/p</t>
        </is>
      </c>
    </row>
    <row r="577">
      <c r="A577" t="inlineStr">
        <is>
          <t>Jumbo</t>
        </is>
      </c>
      <c r="B577" t="n">
        <v>141000</v>
      </c>
      <c r="C577" t="n">
        <v>137910</v>
      </c>
      <c r="D577" t="inlineStr">
        <is>
          <t>Shampoo Vo5-equilibrante-paq-un.-2</t>
        </is>
      </c>
      <c r="E577" t="inlineStr">
        <is>
          <t>VO5</t>
        </is>
      </c>
      <c r="F577" t="n">
        <v>12.49</v>
      </c>
      <c r="G577" t="n">
        <v>12.49</v>
      </c>
      <c r="H577" t="b">
        <v>0</v>
      </c>
      <c r="I577" t="inlineStr"/>
      <c r="J577" t="inlineStr"/>
      <c r="K577" t="inlineStr">
        <is>
          <t>&gt; Perfumería &gt; Cuidado Capilar &gt; Shampoo &gt;</t>
        </is>
      </c>
      <c r="L577" t="inlineStr">
        <is>
          <t>shampoo</t>
        </is>
      </c>
      <c r="M577" t="inlineStr">
        <is>
          <t>estandar</t>
        </is>
      </c>
      <c r="N577" t="inlineStr">
        <is>
          <t>general</t>
        </is>
      </c>
      <c r="O577" t="inlineStr">
        <is>
          <t>https://www.jumbo.com.ar/shampoo-vo5-equilibrante-paq-un-2-2/p</t>
        </is>
      </c>
    </row>
    <row r="578">
      <c r="A578" s="2" t="inlineStr">
        <is>
          <t>Jumbo</t>
        </is>
      </c>
      <c r="B578" s="2" t="n">
        <v>132224</v>
      </c>
      <c r="C578" s="2" t="n">
        <v>129140</v>
      </c>
      <c r="D578" s="2" t="inlineStr">
        <is>
          <t>Pantene Shampoo Hidratacion Balanceada 200ml</t>
        </is>
      </c>
      <c r="E578" s="2" t="inlineStr">
        <is>
          <t>PANTENE</t>
        </is>
      </c>
      <c r="F578" s="2" t="n">
        <v>24.67</v>
      </c>
      <c r="G578" s="2" t="n">
        <v>2039</v>
      </c>
      <c r="H578" s="2" t="b">
        <v>0</v>
      </c>
      <c r="I578" s="2" t="n">
        <v>200</v>
      </c>
      <c r="J578" s="2" t="n">
        <v>0.1234</v>
      </c>
      <c r="K578" s="2" t="inlineStr">
        <is>
          <t>&gt; Perfumería &gt; Cuidado Capilar &gt; Shampoo &gt;</t>
        </is>
      </c>
      <c r="L578" s="2" t="inlineStr">
        <is>
          <t>shampoo</t>
        </is>
      </c>
      <c r="M578" s="2" t="inlineStr">
        <is>
          <t>estandar</t>
        </is>
      </c>
      <c r="N578" s="2" t="inlineStr">
        <is>
          <t>seco_danado</t>
        </is>
      </c>
      <c r="O578" s="2" t="inlineStr">
        <is>
          <t>https://www.jumbo.com.ar/pantene-shampoo-hidratacion-balanceada-200ml/p</t>
        </is>
      </c>
    </row>
    <row r="579">
      <c r="A579" t="inlineStr">
        <is>
          <t>Jumbo</t>
        </is>
      </c>
      <c r="B579" t="n">
        <v>130621</v>
      </c>
      <c r="C579" t="n">
        <v>127550</v>
      </c>
      <c r="D579" t="inlineStr">
        <is>
          <t>Shampoo Pantene Fusión Naturaleza 200 Ml</t>
        </is>
      </c>
      <c r="E579" t="inlineStr">
        <is>
          <t>PANTENE</t>
        </is>
      </c>
      <c r="F579" t="n">
        <v>24.67</v>
      </c>
      <c r="G579" t="n">
        <v>2039</v>
      </c>
      <c r="H579" t="b">
        <v>0</v>
      </c>
      <c r="I579" t="n">
        <v>200</v>
      </c>
      <c r="J579" t="n">
        <v>0.1234</v>
      </c>
      <c r="K579" t="inlineStr">
        <is>
          <t>&gt; Perfumería &gt; Cuidado Capilar &gt; Shampoo &gt;</t>
        </is>
      </c>
      <c r="L579" t="inlineStr">
        <is>
          <t>shampoo</t>
        </is>
      </c>
      <c r="M579" t="inlineStr">
        <is>
          <t>estandar</t>
        </is>
      </c>
      <c r="N579" t="inlineStr">
        <is>
          <t>general</t>
        </is>
      </c>
      <c r="O579" t="inlineStr">
        <is>
          <t>https://www.jumbo.com.ar/shampoo-pantene-fusion-naturaleza-200-ml-2/p</t>
        </is>
      </c>
    </row>
    <row r="580">
      <c r="A580" s="2" t="inlineStr">
        <is>
          <t>Jumbo</t>
        </is>
      </c>
      <c r="B580" s="2" t="n">
        <v>117746</v>
      </c>
      <c r="C580" s="2" t="n">
        <v>116784</v>
      </c>
      <c r="D580" s="2" t="inlineStr">
        <is>
          <t>Shampoo Dove X 200 Ml Shampoo Dove Advanced Therapy Control Quiebre X 200 Ml</t>
        </is>
      </c>
      <c r="E580" s="2" t="inlineStr">
        <is>
          <t>DOVE</t>
        </is>
      </c>
      <c r="F580" s="2" t="n">
        <v>15.09</v>
      </c>
      <c r="G580" s="2" t="n">
        <v>15.09</v>
      </c>
      <c r="H580" s="2" t="b">
        <v>0</v>
      </c>
      <c r="I580" s="2" t="n">
        <v>200</v>
      </c>
      <c r="J580" s="2" t="n">
        <v>0.0755</v>
      </c>
      <c r="K580" s="2" t="inlineStr">
        <is>
          <t>&gt; Perfumería &gt; Cuidado Capilar &gt; Shampoo &gt;</t>
        </is>
      </c>
      <c r="L580" s="2" t="inlineStr">
        <is>
          <t>shampoo</t>
        </is>
      </c>
      <c r="M580" s="2" t="inlineStr">
        <is>
          <t>estandar</t>
        </is>
      </c>
      <c r="N580" s="2" t="inlineStr">
        <is>
          <t>general</t>
        </is>
      </c>
      <c r="O580" s="2" t="inlineStr">
        <is>
          <t>https://www.jumbo.com.ar/shampoo-dove-x-200-ml/p</t>
        </is>
      </c>
    </row>
    <row r="581">
      <c r="A581" t="inlineStr">
        <is>
          <t>Jumbo</t>
        </is>
      </c>
      <c r="B581" t="n">
        <v>115906</v>
      </c>
      <c r="C581" t="n">
        <v>114950</v>
      </c>
      <c r="D581" t="inlineStr">
        <is>
          <t>Shampoo Anticaspa Head &amp; Shoulders Head &amp; Shoulders Shampoo Citrusfresh 700ml</t>
        </is>
      </c>
      <c r="E581" t="inlineStr">
        <is>
          <t>HEAD &amp; SHOULDERS</t>
        </is>
      </c>
      <c r="F581" t="n">
        <v>135.89</v>
      </c>
      <c r="G581" t="n">
        <v>11231</v>
      </c>
      <c r="H581" t="b">
        <v>0</v>
      </c>
      <c r="I581" t="n">
        <v>700</v>
      </c>
      <c r="J581" t="n">
        <v>0.1941</v>
      </c>
      <c r="K581" t="inlineStr">
        <is>
          <t>&gt; Perfumería &gt; Cuidado Capilar &gt; Shampoo &gt;</t>
        </is>
      </c>
      <c r="L581" t="inlineStr">
        <is>
          <t>shampoo</t>
        </is>
      </c>
      <c r="M581" t="inlineStr">
        <is>
          <t>estandar</t>
        </is>
      </c>
      <c r="N581" t="inlineStr">
        <is>
          <t>anticaspa</t>
        </is>
      </c>
      <c r="O581" t="inlineStr">
        <is>
          <t>https://www.jumbo.com.ar/shampoo-anticaspa-head-shoulders-3-2/p</t>
        </is>
      </c>
    </row>
    <row r="582">
      <c r="A582" s="2" t="inlineStr">
        <is>
          <t>Jumbo</t>
        </is>
      </c>
      <c r="B582" s="2" t="n">
        <v>62550</v>
      </c>
      <c r="C582" s="2" t="n">
        <v>59699</v>
      </c>
      <c r="D582" s="2" t="inlineStr">
        <is>
          <t>Shampoo Flex X 250 Ml</t>
        </is>
      </c>
      <c r="E582" s="2" t="inlineStr">
        <is>
          <t>FLEX</t>
        </is>
      </c>
      <c r="F582" s="2" t="n">
        <v>6.09</v>
      </c>
      <c r="G582" s="2" t="n">
        <v>6.09</v>
      </c>
      <c r="H582" s="2" t="b">
        <v>0</v>
      </c>
      <c r="I582" s="2" t="n">
        <v>250</v>
      </c>
      <c r="J582" s="2" t="n">
        <v>0.0244</v>
      </c>
      <c r="K582" s="2" t="inlineStr">
        <is>
          <t>&gt; Perfumería &gt; Cuidado Capilar &gt; Shampoo &gt;</t>
        </is>
      </c>
      <c r="L582" s="2" t="inlineStr">
        <is>
          <t>shampoo</t>
        </is>
      </c>
      <c r="M582" s="2" t="inlineStr">
        <is>
          <t>estandar</t>
        </is>
      </c>
      <c r="N582" s="2" t="inlineStr">
        <is>
          <t>general</t>
        </is>
      </c>
      <c r="O582" s="2" t="inlineStr">
        <is>
          <t>https://www.jumbo.com.ar/shampoo-flex-x-250-ml-3/p</t>
        </is>
      </c>
    </row>
    <row r="583">
      <c r="A583" t="inlineStr">
        <is>
          <t>Jumbo</t>
        </is>
      </c>
      <c r="B583" t="n">
        <v>57735</v>
      </c>
      <c r="C583" t="n">
        <v>54892</v>
      </c>
      <c r="D583" t="inlineStr">
        <is>
          <t>Shampoo Sedal Pvc 350 Ml</t>
        </is>
      </c>
      <c r="E583" t="inlineStr">
        <is>
          <t>SEDAL</t>
        </is>
      </c>
      <c r="F583" t="n">
        <v>8.390000000000001</v>
      </c>
      <c r="G583" t="n">
        <v>693</v>
      </c>
      <c r="H583" t="b">
        <v>0</v>
      </c>
      <c r="I583" t="n">
        <v>350</v>
      </c>
      <c r="J583" t="n">
        <v>0.024</v>
      </c>
      <c r="K583" t="inlineStr">
        <is>
          <t>&gt; Perfumería &gt; Cuidado Capilar &gt; Shampoo &gt;</t>
        </is>
      </c>
      <c r="L583" t="inlineStr">
        <is>
          <t>shampoo</t>
        </is>
      </c>
      <c r="M583" t="inlineStr">
        <is>
          <t>estandar</t>
        </is>
      </c>
      <c r="N583" t="inlineStr">
        <is>
          <t>general</t>
        </is>
      </c>
      <c r="O583" t="inlineStr">
        <is>
          <t>https://www.jumbo.com.ar/shampoo-sedal-pvc-350-ml/p</t>
        </is>
      </c>
    </row>
    <row r="584">
      <c r="A584" s="2" t="inlineStr">
        <is>
          <t>Jumbo</t>
        </is>
      </c>
      <c r="B584" s="2" t="n">
        <v>55312</v>
      </c>
      <c r="C584" s="2" t="n">
        <v>52472</v>
      </c>
      <c r="D584" s="2" t="inlineStr">
        <is>
          <t>Shampoo Suave Pvc 350 Ml</t>
        </is>
      </c>
      <c r="E584" s="2" t="inlineStr">
        <is>
          <t>SUAVE</t>
        </is>
      </c>
      <c r="F584" s="2" t="n">
        <v>3.25</v>
      </c>
      <c r="G584" s="2" t="n">
        <v>3.25</v>
      </c>
      <c r="H584" s="2" t="b">
        <v>0</v>
      </c>
      <c r="I584" s="2" t="n">
        <v>350</v>
      </c>
      <c r="J584" s="2" t="n">
        <v>0.009299999999999999</v>
      </c>
      <c r="K584" s="2" t="inlineStr">
        <is>
          <t>&gt; Perfumería &gt; Cuidado Capilar &gt; Shampoo &gt;</t>
        </is>
      </c>
      <c r="L584" s="2" t="inlineStr">
        <is>
          <t>shampoo</t>
        </is>
      </c>
      <c r="M584" s="2" t="inlineStr">
        <is>
          <t>estandar</t>
        </is>
      </c>
      <c r="N584" s="2" t="inlineStr">
        <is>
          <t>bebe</t>
        </is>
      </c>
      <c r="O584" s="2" t="inlineStr">
        <is>
          <t>https://www.jumbo.com.ar/shampoo-suave-pvc-350-ml-4/p</t>
        </is>
      </c>
    </row>
    <row r="585">
      <c r="A585" t="inlineStr">
        <is>
          <t>Jumbo</t>
        </is>
      </c>
      <c r="B585" t="n">
        <v>44248</v>
      </c>
      <c r="C585" t="n">
        <v>41421</v>
      </c>
      <c r="D585" t="inlineStr">
        <is>
          <t>Shampoo Elvive Oleo Extraordinario 400ml</t>
        </is>
      </c>
      <c r="E585" t="inlineStr">
        <is>
          <t>ELVIVE</t>
        </is>
      </c>
      <c r="F585" t="n">
        <v>470.17</v>
      </c>
      <c r="G585" t="n">
        <v>38857</v>
      </c>
      <c r="H585" t="b">
        <v>0</v>
      </c>
      <c r="I585" t="n">
        <v>400</v>
      </c>
      <c r="J585" t="n">
        <v>1.1754</v>
      </c>
      <c r="K585" t="inlineStr">
        <is>
          <t>&gt; Perfumería &gt; Cuidado Capilar &gt; Shampoo &gt;</t>
        </is>
      </c>
      <c r="L585" t="inlineStr">
        <is>
          <t>shampoo</t>
        </is>
      </c>
      <c r="M585" t="inlineStr">
        <is>
          <t>profesional</t>
        </is>
      </c>
      <c r="N585" t="inlineStr">
        <is>
          <t>general</t>
        </is>
      </c>
      <c r="O585" t="inlineStr">
        <is>
          <t>https://www.jumbo.com.ar/shampoo-elvive-oleo-extraordinario-400ml-2/p</t>
        </is>
      </c>
    </row>
    <row r="586">
      <c r="A586" s="2" t="inlineStr">
        <is>
          <t>Jumbo</t>
        </is>
      </c>
      <c r="B586" s="2" t="n">
        <v>43768</v>
      </c>
      <c r="C586" s="2" t="n">
        <v>40939</v>
      </c>
      <c r="D586" s="2" t="inlineStr">
        <is>
          <t>Shampoo Life Quality Algas 950ml</t>
        </is>
      </c>
      <c r="E586" s="2" t="inlineStr">
        <is>
          <t>LIFE QUALITY</t>
        </is>
      </c>
      <c r="F586" s="2" t="n">
        <v>1150</v>
      </c>
      <c r="G586" s="2" t="n">
        <v>95041</v>
      </c>
      <c r="H586" s="2" t="b">
        <v>0</v>
      </c>
      <c r="I586" s="2" t="n">
        <v>950</v>
      </c>
      <c r="J586" s="2" t="n">
        <v>1.2105</v>
      </c>
      <c r="K586" s="2" t="inlineStr">
        <is>
          <t>&gt; Perfumería &gt; Cuidado Capilar &gt; Shampoo &gt;</t>
        </is>
      </c>
      <c r="L586" s="2" t="inlineStr">
        <is>
          <t>shampoo</t>
        </is>
      </c>
      <c r="M586" s="2" t="inlineStr">
        <is>
          <t>estandar</t>
        </is>
      </c>
      <c r="N586" s="2" t="inlineStr">
        <is>
          <t>general</t>
        </is>
      </c>
      <c r="O586" s="2" t="inlineStr">
        <is>
          <t>https://www.jumbo.com.ar/shampoo-life-quality-algas-950ml/p</t>
        </is>
      </c>
    </row>
    <row r="587">
      <c r="A587" t="inlineStr">
        <is>
          <t>Jumbo</t>
        </is>
      </c>
      <c r="B587" t="n">
        <v>43263</v>
      </c>
      <c r="C587" t="n">
        <v>40434</v>
      </c>
      <c r="D587" t="inlineStr">
        <is>
          <t>Shampoo Suave Lavanda 930 Ml</t>
        </is>
      </c>
      <c r="E587" t="inlineStr">
        <is>
          <t>SUAVE</t>
        </is>
      </c>
      <c r="F587" t="n">
        <v>37.17</v>
      </c>
      <c r="G587" t="n">
        <v>3072</v>
      </c>
      <c r="H587" t="b">
        <v>0</v>
      </c>
      <c r="I587" t="n">
        <v>930</v>
      </c>
      <c r="J587" t="n">
        <v>0.04</v>
      </c>
      <c r="K587" t="inlineStr">
        <is>
          <t>&gt; Perfumería &gt; Cuidado Capilar &gt; Shampoo &gt;</t>
        </is>
      </c>
      <c r="L587" t="inlineStr">
        <is>
          <t>shampoo</t>
        </is>
      </c>
      <c r="M587" t="inlineStr">
        <is>
          <t>estandar</t>
        </is>
      </c>
      <c r="N587" t="inlineStr">
        <is>
          <t>bebe</t>
        </is>
      </c>
      <c r="O587" t="inlineStr">
        <is>
          <t>https://www.jumbo.com.ar/shampoo-suave-lavanda-930-ml/p</t>
        </is>
      </c>
    </row>
    <row r="588">
      <c r="A588" s="2" t="inlineStr">
        <is>
          <t>Jumbo</t>
        </is>
      </c>
      <c r="B588" s="2" t="n">
        <v>41561</v>
      </c>
      <c r="C588" s="2" t="n">
        <v>38726</v>
      </c>
      <c r="D588" s="2" t="inlineStr">
        <is>
          <t>Shampoo Fructis Goodbye Daños 200ml</t>
        </is>
      </c>
      <c r="E588" s="2" t="inlineStr">
        <is>
          <t>FRUCTIS</t>
        </is>
      </c>
      <c r="F588" s="2" t="n">
        <v>397.25</v>
      </c>
      <c r="G588" s="2" t="n">
        <v>32831</v>
      </c>
      <c r="H588" s="2" t="b">
        <v>0</v>
      </c>
      <c r="I588" s="2" t="n">
        <v>200</v>
      </c>
      <c r="J588" s="2" t="n">
        <v>1.9863</v>
      </c>
      <c r="K588" s="2" t="inlineStr">
        <is>
          <t>&gt; Perfumería &gt; Cuidado Capilar &gt; Shampoo &gt;</t>
        </is>
      </c>
      <c r="L588" s="2" t="inlineStr">
        <is>
          <t>shampoo</t>
        </is>
      </c>
      <c r="M588" s="2" t="inlineStr">
        <is>
          <t>estandar</t>
        </is>
      </c>
      <c r="N588" s="2" t="inlineStr">
        <is>
          <t>general</t>
        </is>
      </c>
      <c r="O588" s="2" t="inlineStr">
        <is>
          <t>https://www.jumbo.com.ar/shampoo-fructis-goodbye-danos-200ml/p</t>
        </is>
      </c>
    </row>
    <row r="589">
      <c r="A589" t="inlineStr">
        <is>
          <t>Jumbo</t>
        </is>
      </c>
      <c r="B589" t="n">
        <v>31471</v>
      </c>
      <c r="C589" t="n">
        <v>28630</v>
      </c>
      <c r="D589" t="inlineStr">
        <is>
          <t>Shampoo Elvive Color Vive 200ml</t>
        </is>
      </c>
      <c r="E589" t="inlineStr">
        <is>
          <t>ELVIVE</t>
        </is>
      </c>
      <c r="F589" t="n">
        <v>330.19</v>
      </c>
      <c r="G589" t="n">
        <v>27288</v>
      </c>
      <c r="H589" t="b">
        <v>0</v>
      </c>
      <c r="I589" t="n">
        <v>200</v>
      </c>
      <c r="J589" t="n">
        <v>1.6509</v>
      </c>
      <c r="K589" t="inlineStr">
        <is>
          <t>&gt; Perfumería &gt; Cuidado Capilar &gt; Shampoo &gt;</t>
        </is>
      </c>
      <c r="L589" t="inlineStr">
        <is>
          <t>shampoo</t>
        </is>
      </c>
      <c r="M589" t="inlineStr">
        <is>
          <t>profesional</t>
        </is>
      </c>
      <c r="N589" t="inlineStr">
        <is>
          <t>tratado</t>
        </is>
      </c>
      <c r="O589" t="inlineStr">
        <is>
          <t>https://www.jumbo.com.ar/shampoo-elvive-color-vive-200ml/p</t>
        </is>
      </c>
    </row>
    <row r="590">
      <c r="A590" s="2" t="inlineStr">
        <is>
          <t>Jumbo</t>
        </is>
      </c>
      <c r="B590" s="2" t="n">
        <v>31248</v>
      </c>
      <c r="C590" s="2" t="n">
        <v>28407</v>
      </c>
      <c r="D590" s="2" t="inlineStr">
        <is>
          <t>Shampoo Elvive Kera Liso750ml</t>
        </is>
      </c>
      <c r="E590" s="2" t="inlineStr">
        <is>
          <t>ELVIVE</t>
        </is>
      </c>
      <c r="F590" s="2" t="n">
        <v>683.47</v>
      </c>
      <c r="G590" s="2" t="n">
        <v>56485</v>
      </c>
      <c r="H590" s="2" t="b">
        <v>0</v>
      </c>
      <c r="I590" s="2" t="n">
        <v>750</v>
      </c>
      <c r="J590" s="2" t="n">
        <v>0.9113</v>
      </c>
      <c r="K590" s="2" t="inlineStr">
        <is>
          <t>&gt; Perfumería &gt; Cuidado Capilar &gt; Shampoo &gt;</t>
        </is>
      </c>
      <c r="L590" s="2" t="inlineStr">
        <is>
          <t>shampoo</t>
        </is>
      </c>
      <c r="M590" s="2" t="inlineStr">
        <is>
          <t>profesional</t>
        </is>
      </c>
      <c r="N590" s="2" t="inlineStr">
        <is>
          <t>general</t>
        </is>
      </c>
      <c r="O590" s="2" t="inlineStr">
        <is>
          <t>https://www.jumbo.com.ar/shampoo-elvive-kera-liso750ml/p</t>
        </is>
      </c>
    </row>
    <row r="591">
      <c r="A591" t="inlineStr">
        <is>
          <t>Jumbo</t>
        </is>
      </c>
      <c r="B591" t="n">
        <v>31007</v>
      </c>
      <c r="C591" t="n">
        <v>28166</v>
      </c>
      <c r="D591" t="inlineStr">
        <is>
          <t>Shampoo Elvive Caida Resist 200ml</t>
        </is>
      </c>
      <c r="E591" t="inlineStr">
        <is>
          <t>ELVIVE</t>
        </is>
      </c>
      <c r="F591" t="n">
        <v>266.59</v>
      </c>
      <c r="G591" t="n">
        <v>22032</v>
      </c>
      <c r="H591" t="b">
        <v>0</v>
      </c>
      <c r="I591" t="n">
        <v>200</v>
      </c>
      <c r="J591" t="n">
        <v>1.3329</v>
      </c>
      <c r="K591" t="inlineStr">
        <is>
          <t>&gt; Perfumería &gt; Cuidado Capilar &gt; Shampoo &gt;</t>
        </is>
      </c>
      <c r="L591" t="inlineStr">
        <is>
          <t>shampoo</t>
        </is>
      </c>
      <c r="M591" t="inlineStr">
        <is>
          <t>profesional</t>
        </is>
      </c>
      <c r="N591" t="inlineStr">
        <is>
          <t>general</t>
        </is>
      </c>
      <c r="O591" t="inlineStr">
        <is>
          <t>https://www.jumbo.com.ar/shampoo-elvive-caida-resist-200ml/p</t>
        </is>
      </c>
    </row>
    <row r="592">
      <c r="A592" s="2" t="inlineStr">
        <is>
          <t>Jumbo</t>
        </is>
      </c>
      <c r="B592" s="2" t="n">
        <v>29637</v>
      </c>
      <c r="C592" s="2" t="n">
        <v>26799</v>
      </c>
      <c r="D592" s="2" t="inlineStr">
        <is>
          <t>Shampoo Herbal Ess Alborotalo 300ml Shampoo Herbal Essences Alborótalos 300 Ml</t>
        </is>
      </c>
      <c r="E592" s="2" t="inlineStr">
        <is>
          <t>HERBAL ESSENCES</t>
        </is>
      </c>
      <c r="F592" s="2" t="n">
        <v>162.43</v>
      </c>
      <c r="G592" s="2" t="n">
        <v>13424</v>
      </c>
      <c r="H592" s="2" t="b">
        <v>0</v>
      </c>
      <c r="I592" s="2" t="n">
        <v>300</v>
      </c>
      <c r="J592" s="2" t="n">
        <v>0.5414</v>
      </c>
      <c r="K592" s="2" t="inlineStr">
        <is>
          <t>&gt; Perfumería &gt; Cuidado Capilar &gt; Shampoo &gt;</t>
        </is>
      </c>
      <c r="L592" s="2" t="inlineStr">
        <is>
          <t>shampoo</t>
        </is>
      </c>
      <c r="M592" s="2" t="inlineStr">
        <is>
          <t>estandar</t>
        </is>
      </c>
      <c r="N592" s="2" t="inlineStr">
        <is>
          <t>general</t>
        </is>
      </c>
      <c r="O592" s="2" t="inlineStr">
        <is>
          <t>https://www.jumbo.com.ar/shampoo-herbal-ess-alborotalo-300ml/p</t>
        </is>
      </c>
    </row>
    <row r="593">
      <c r="A593" t="inlineStr">
        <is>
          <t>Jumbo</t>
        </is>
      </c>
      <c r="B593" t="n">
        <v>22427</v>
      </c>
      <c r="C593" t="n">
        <v>19589</v>
      </c>
      <c r="D593" t="inlineStr">
        <is>
          <t>Shampoo Elvive Rizos Hidratados 400ml</t>
        </is>
      </c>
      <c r="E593" t="inlineStr">
        <is>
          <t>ELVIVE</t>
        </is>
      </c>
      <c r="F593" t="n">
        <v>470.17</v>
      </c>
      <c r="G593" t="n">
        <v>38857</v>
      </c>
      <c r="H593" t="b">
        <v>0</v>
      </c>
      <c r="I593" t="n">
        <v>400</v>
      </c>
      <c r="J593" t="n">
        <v>1.1754</v>
      </c>
      <c r="K593" t="inlineStr">
        <is>
          <t>&gt; Perfumería &gt; Cuidado Capilar &gt; Shampoo &gt;</t>
        </is>
      </c>
      <c r="L593" t="inlineStr">
        <is>
          <t>shampoo</t>
        </is>
      </c>
      <c r="M593" t="inlineStr">
        <is>
          <t>profesional</t>
        </is>
      </c>
      <c r="N593" t="inlineStr">
        <is>
          <t>rizado</t>
        </is>
      </c>
      <c r="O593" t="inlineStr">
        <is>
          <t>https://www.jumbo.com.ar/shampoo-elvive-rizos-hidratados-400ml/p</t>
        </is>
      </c>
    </row>
    <row r="594">
      <c r="A594" s="2" t="inlineStr">
        <is>
          <t>Jumbo</t>
        </is>
      </c>
      <c r="B594" s="2" t="n">
        <v>19654</v>
      </c>
      <c r="C594" s="2" t="n">
        <v>16817</v>
      </c>
      <c r="D594" s="2" t="inlineStr">
        <is>
          <t>Shampoo Sedal Bomba De Nutrición 340ml</t>
        </is>
      </c>
      <c r="E594" s="2" t="inlineStr">
        <is>
          <t>SEDAL</t>
        </is>
      </c>
      <c r="F594" s="2" t="n">
        <v>155.69</v>
      </c>
      <c r="G594" s="2" t="n">
        <v>12867</v>
      </c>
      <c r="H594" s="2" t="b">
        <v>0</v>
      </c>
      <c r="I594" s="2" t="n">
        <v>340</v>
      </c>
      <c r="J594" s="2" t="n">
        <v>0.4579</v>
      </c>
      <c r="K594" s="2" t="inlineStr">
        <is>
          <t>&gt; Perfumería &gt; Cuidado Capilar &gt; Shampoo &gt;</t>
        </is>
      </c>
      <c r="L594" s="2" t="inlineStr">
        <is>
          <t>shampoo</t>
        </is>
      </c>
      <c r="M594" s="2" t="inlineStr">
        <is>
          <t>estandar</t>
        </is>
      </c>
      <c r="N594" s="2" t="inlineStr">
        <is>
          <t>general</t>
        </is>
      </c>
      <c r="O594" s="2" t="inlineStr">
        <is>
          <t>https://www.jumbo.com.ar/shampoo-sedal-bomba-de-nutricion-340ml/p</t>
        </is>
      </c>
    </row>
    <row r="595">
      <c r="A595" t="inlineStr">
        <is>
          <t>Jumbo</t>
        </is>
      </c>
      <c r="B595" t="n">
        <v>15778</v>
      </c>
      <c r="C595" t="n">
        <v>12920</v>
      </c>
      <c r="D595" t="inlineStr">
        <is>
          <t>Shampoo Porta X 1 Un Shampoo Desodorante Porta 500 Cc</t>
        </is>
      </c>
      <c r="E595" t="inlineStr">
        <is>
          <t>PORTA</t>
        </is>
      </c>
      <c r="F595" t="n">
        <v>84.98999999999999</v>
      </c>
      <c r="G595" t="n">
        <v>84.98999999999999</v>
      </c>
      <c r="H595" t="b">
        <v>0</v>
      </c>
      <c r="I595" t="inlineStr"/>
      <c r="J595" t="inlineStr"/>
      <c r="K595" t="inlineStr">
        <is>
          <t>&gt; Mascotas &gt; Accesorios para Mascotas &gt;</t>
        </is>
      </c>
      <c r="L595" t="inlineStr">
        <is>
          <t>shampoo</t>
        </is>
      </c>
      <c r="M595" t="inlineStr">
        <is>
          <t>estandar</t>
        </is>
      </c>
      <c r="N595" t="inlineStr">
        <is>
          <t>general</t>
        </is>
      </c>
      <c r="O595" t="inlineStr">
        <is>
          <t>https://www.jumbo.com.ar/shampoo-porta-x-1-un/p</t>
        </is>
      </c>
    </row>
    <row r="596">
      <c r="A596" s="2" t="inlineStr">
        <is>
          <t>Jumbo</t>
        </is>
      </c>
      <c r="B596" s="2" t="n">
        <v>7679</v>
      </c>
      <c r="C596" s="2" t="n">
        <v>5005</v>
      </c>
      <c r="D596" s="2" t="inlineStr">
        <is>
          <t>Shampoo Elvive Rt Extreme 200ml</t>
        </is>
      </c>
      <c r="E596" s="2" t="inlineStr">
        <is>
          <t>ELVIVE</t>
        </is>
      </c>
      <c r="F596" s="2" t="n">
        <v>290.85</v>
      </c>
      <c r="G596" s="2" t="n">
        <v>24037</v>
      </c>
      <c r="H596" s="2" t="b">
        <v>0</v>
      </c>
      <c r="I596" s="2" t="n">
        <v>200</v>
      </c>
      <c r="J596" s="2" t="n">
        <v>1.4543</v>
      </c>
      <c r="K596" s="2" t="inlineStr">
        <is>
          <t>&gt; Perfumería &gt; Cuidado Capilar &gt; Shampoo &gt;</t>
        </is>
      </c>
      <c r="L596" s="2" t="inlineStr">
        <is>
          <t>shampoo</t>
        </is>
      </c>
      <c r="M596" s="2" t="inlineStr">
        <is>
          <t>profesional</t>
        </is>
      </c>
      <c r="N596" s="2" t="inlineStr">
        <is>
          <t>general</t>
        </is>
      </c>
      <c r="O596" s="2" t="inlineStr">
        <is>
          <t>https://www.jumbo.com.ar/shampoo-elvive-rt-extreme-200ml/p</t>
        </is>
      </c>
    </row>
    <row r="597">
      <c r="A597" t="inlineStr">
        <is>
          <t>Jumbo</t>
        </is>
      </c>
      <c r="B597" t="n">
        <v>7418</v>
      </c>
      <c r="C597" t="n">
        <v>4746</v>
      </c>
      <c r="D597" t="inlineStr">
        <is>
          <t>Shampoo Pantene Cuidado Clasico 400ml</t>
        </is>
      </c>
      <c r="E597" t="inlineStr">
        <is>
          <t>PANTENE</t>
        </is>
      </c>
      <c r="F597" t="n">
        <v>201.27</v>
      </c>
      <c r="G597" t="n">
        <v>16634</v>
      </c>
      <c r="H597" t="b">
        <v>0</v>
      </c>
      <c r="I597" t="n">
        <v>400</v>
      </c>
      <c r="J597" t="n">
        <v>0.5032</v>
      </c>
      <c r="K597" t="inlineStr">
        <is>
          <t>&gt; Perfumería &gt; Cuidado Capilar &gt; Shampoo &gt;</t>
        </is>
      </c>
      <c r="L597" t="inlineStr">
        <is>
          <t>shampoo</t>
        </is>
      </c>
      <c r="M597" t="inlineStr">
        <is>
          <t>estandar</t>
        </is>
      </c>
      <c r="N597" t="inlineStr">
        <is>
          <t>general</t>
        </is>
      </c>
      <c r="O597" t="inlineStr">
        <is>
          <t>https://www.jumbo.com.ar/shampoo-pantene-cuidado-clasico-400ml-3/p</t>
        </is>
      </c>
    </row>
    <row r="598">
      <c r="A598" s="2" t="inlineStr">
        <is>
          <t>Jumbo</t>
        </is>
      </c>
      <c r="B598" s="2" t="n">
        <v>7325</v>
      </c>
      <c r="C598" s="2" t="n">
        <v>4659</v>
      </c>
      <c r="D598" s="2" t="inlineStr">
        <is>
          <t>Shampoo Pantene Control Caida 400ml</t>
        </is>
      </c>
      <c r="E598" s="2" t="inlineStr">
        <is>
          <t>PANTENE</t>
        </is>
      </c>
      <c r="F598" s="2" t="n">
        <v>201.27</v>
      </c>
      <c r="G598" s="2" t="n">
        <v>16634</v>
      </c>
      <c r="H598" s="2" t="b">
        <v>0</v>
      </c>
      <c r="I598" s="2" t="n">
        <v>400</v>
      </c>
      <c r="J598" s="2" t="n">
        <v>0.5032</v>
      </c>
      <c r="K598" s="2" t="inlineStr">
        <is>
          <t>&gt; Perfumería &gt; Cuidado Capilar &gt; Shampoo &gt;</t>
        </is>
      </c>
      <c r="L598" s="2" t="inlineStr">
        <is>
          <t>shampoo</t>
        </is>
      </c>
      <c r="M598" s="2" t="inlineStr">
        <is>
          <t>estandar</t>
        </is>
      </c>
      <c r="N598" s="2" t="inlineStr">
        <is>
          <t>general</t>
        </is>
      </c>
      <c r="O598" s="2" t="inlineStr">
        <is>
          <t>https://www.jumbo.com.ar/shampoo-pantene-control-caida-400ml/p</t>
        </is>
      </c>
    </row>
    <row r="599">
      <c r="A599" t="inlineStr">
        <is>
          <t>Jumbo</t>
        </is>
      </c>
      <c r="B599" t="n">
        <v>3418</v>
      </c>
      <c r="C599" t="n">
        <v>248541</v>
      </c>
      <c r="D599" t="inlineStr">
        <is>
          <t>Shampoo Pantene Hidrocauterización 400 Ml</t>
        </is>
      </c>
      <c r="E599" t="inlineStr">
        <is>
          <t>PANTENE</t>
        </is>
      </c>
      <c r="F599" t="n">
        <v>48.79</v>
      </c>
      <c r="G599" t="n">
        <v>4032</v>
      </c>
      <c r="H599" t="b">
        <v>0</v>
      </c>
      <c r="I599" t="n">
        <v>400</v>
      </c>
      <c r="J599" t="n">
        <v>0.122</v>
      </c>
      <c r="K599" t="inlineStr">
        <is>
          <t>&gt; Perfumería &gt; Cuidado Capilar &gt; Shampoo &gt;</t>
        </is>
      </c>
      <c r="L599" t="inlineStr">
        <is>
          <t>shampoo</t>
        </is>
      </c>
      <c r="M599" t="inlineStr">
        <is>
          <t>estandar</t>
        </is>
      </c>
      <c r="N599" t="inlineStr">
        <is>
          <t>general</t>
        </is>
      </c>
      <c r="O599" t="inlineStr">
        <is>
          <t>https://www.jumbo.com.ar/shampoo-pantene/p</t>
        </is>
      </c>
    </row>
    <row r="600">
      <c r="A600" s="2" t="inlineStr">
        <is>
          <t>Jumbo</t>
        </is>
      </c>
      <c r="B600" s="2" t="n">
        <v>2853</v>
      </c>
      <c r="C600" s="2" t="n">
        <v>246021</v>
      </c>
      <c r="D600" s="2" t="inlineStr">
        <is>
          <t>Shampoo Capilatis Fuerza 420 Ml</t>
        </is>
      </c>
      <c r="E600" s="2" t="inlineStr">
        <is>
          <t>CAPILATIS</t>
        </is>
      </c>
      <c r="F600" s="2" t="n">
        <v>306.93</v>
      </c>
      <c r="G600" s="2" t="n">
        <v>25366</v>
      </c>
      <c r="H600" s="2" t="b">
        <v>0</v>
      </c>
      <c r="I600" s="2" t="n">
        <v>420</v>
      </c>
      <c r="J600" s="2" t="n">
        <v>0.7308</v>
      </c>
      <c r="K600" s="2" t="inlineStr">
        <is>
          <t>&gt; Perfumería &gt; Cuidado Capilar &gt; Shampoo &gt;</t>
        </is>
      </c>
      <c r="L600" s="2" t="inlineStr">
        <is>
          <t>shampoo</t>
        </is>
      </c>
      <c r="M600" s="2" t="inlineStr">
        <is>
          <t>estandar</t>
        </is>
      </c>
      <c r="N600" s="2" t="inlineStr">
        <is>
          <t>general</t>
        </is>
      </c>
      <c r="O600" s="2" t="inlineStr">
        <is>
          <t>https://www.jumbo.com.ar/shampoo-capilatis-fuerza-420-ml/p</t>
        </is>
      </c>
    </row>
    <row r="601">
      <c r="A601" t="inlineStr">
        <is>
          <t>Jumbo</t>
        </is>
      </c>
      <c r="B601" t="n">
        <v>3088130</v>
      </c>
      <c r="C601" t="n">
        <v>3087355</v>
      </c>
      <c r="D601" t="inlineStr">
        <is>
          <t>Shampoo Neutro Muffler Pro 12n 500cc</t>
        </is>
      </c>
      <c r="E601" t="inlineStr">
        <is>
          <t>MUFFLER</t>
        </is>
      </c>
      <c r="F601" t="n">
        <v>11561.55</v>
      </c>
      <c r="G601" t="n">
        <v>955500</v>
      </c>
      <c r="H601" t="b">
        <v>0</v>
      </c>
      <c r="I601" t="inlineStr"/>
      <c r="J601" t="inlineStr"/>
      <c r="K601" t="inlineStr">
        <is>
          <t>&gt; Hogar y textil &gt; Automotor &gt; Limpieza &gt;</t>
        </is>
      </c>
      <c r="L601" t="inlineStr">
        <is>
          <t>shampoo</t>
        </is>
      </c>
      <c r="M601" t="inlineStr">
        <is>
          <t>estandar</t>
        </is>
      </c>
      <c r="N601" t="inlineStr">
        <is>
          <t>general</t>
        </is>
      </c>
      <c r="O601" t="inlineStr">
        <is>
          <t>https://www.jumbo.com.ar/shampoo-neutro-muffler-pro-12n-500cc/p</t>
        </is>
      </c>
    </row>
    <row r="602">
      <c r="A602" s="2" t="inlineStr">
        <is>
          <t>Jumbo</t>
        </is>
      </c>
      <c r="B602" s="2" t="n">
        <v>3086914</v>
      </c>
      <c r="C602" s="2" t="n">
        <v>3086138</v>
      </c>
      <c r="D602" s="2" t="inlineStr">
        <is>
          <t>Shampoo Tío Nacho Purificación 200 Ml</t>
        </is>
      </c>
      <c r="E602" s="2" t="inlineStr">
        <is>
          <t>SUAVE</t>
        </is>
      </c>
      <c r="F602" s="2" t="n">
        <v>5500</v>
      </c>
      <c r="G602" s="2" t="n">
        <v>454545</v>
      </c>
      <c r="H602" s="2" t="b">
        <v>0</v>
      </c>
      <c r="I602" s="2" t="n">
        <v>200</v>
      </c>
      <c r="J602" s="2" t="n">
        <v>27.5</v>
      </c>
      <c r="K602" s="2" t="inlineStr">
        <is>
          <t>&gt; Perfumería &gt; Cuidado Capilar &gt; Shampoo &gt;</t>
        </is>
      </c>
      <c r="L602" s="2" t="inlineStr">
        <is>
          <t>shampoo</t>
        </is>
      </c>
      <c r="M602" s="2" t="inlineStr">
        <is>
          <t>estandar</t>
        </is>
      </c>
      <c r="N602" s="2" t="inlineStr">
        <is>
          <t>general</t>
        </is>
      </c>
      <c r="O602" s="2" t="inlineStr">
        <is>
          <t>https://www.jumbo.com.ar/shampoo-tio-nacho-purificacion-200-ml-2/p</t>
        </is>
      </c>
    </row>
    <row r="603">
      <c r="A603" t="inlineStr">
        <is>
          <t>Jumbo</t>
        </is>
      </c>
      <c r="B603" t="n">
        <v>3070275</v>
      </c>
      <c r="C603" t="n">
        <v>3069868</v>
      </c>
      <c r="D603" t="inlineStr">
        <is>
          <t>Shampoo Brillo Lamelar 500 Ml Tresemmé</t>
        </is>
      </c>
      <c r="E603" t="inlineStr">
        <is>
          <t>TRESEMMÉ</t>
        </is>
      </c>
      <c r="F603" t="n">
        <v>9650</v>
      </c>
      <c r="G603" t="n">
        <v>797521</v>
      </c>
      <c r="H603" t="b">
        <v>0</v>
      </c>
      <c r="I603" t="n">
        <v>500</v>
      </c>
      <c r="J603" t="n">
        <v>19.3</v>
      </c>
      <c r="K603" t="inlineStr">
        <is>
          <t>&gt; Perfumería &gt; Cuidado Capilar &gt; Shampoo &gt;</t>
        </is>
      </c>
      <c r="L603" t="inlineStr">
        <is>
          <t>shampoo</t>
        </is>
      </c>
      <c r="M603" t="inlineStr">
        <is>
          <t>estandar</t>
        </is>
      </c>
      <c r="N603" t="inlineStr">
        <is>
          <t>general</t>
        </is>
      </c>
      <c r="O603" t="inlineStr">
        <is>
          <t>https://www.jumbo.com.ar/shampoo-brillo-lamelar-x-500-ml-tresemme/p</t>
        </is>
      </c>
    </row>
    <row r="604">
      <c r="A604" s="2" t="inlineStr">
        <is>
          <t>Jumbo</t>
        </is>
      </c>
      <c r="B604" s="2" t="n">
        <v>413368</v>
      </c>
      <c r="C604" s="2" t="n">
        <v>409245</v>
      </c>
      <c r="D604" s="2" t="inlineStr">
        <is>
          <t>Shampoo Tresemme Brillo Lamelar 500 Ml</t>
        </is>
      </c>
      <c r="E604" s="2" t="inlineStr">
        <is>
          <t>TRESEMMÉ</t>
        </is>
      </c>
      <c r="F604" s="2" t="n">
        <v>6850</v>
      </c>
      <c r="G604" s="2" t="n">
        <v>566116</v>
      </c>
      <c r="H604" s="2" t="b">
        <v>0</v>
      </c>
      <c r="I604" s="2" t="n">
        <v>500</v>
      </c>
      <c r="J604" s="2" t="n">
        <v>13.7</v>
      </c>
      <c r="K604" s="2" t="inlineStr">
        <is>
          <t>&gt; Perfumería &gt; Cuidado Capilar &gt; Shampoo &gt;</t>
        </is>
      </c>
      <c r="L604" s="2" t="inlineStr">
        <is>
          <t>shampoo</t>
        </is>
      </c>
      <c r="M604" s="2" t="inlineStr">
        <is>
          <t>estandar</t>
        </is>
      </c>
      <c r="N604" s="2" t="inlineStr">
        <is>
          <t>general</t>
        </is>
      </c>
      <c r="O604" s="2" t="inlineStr">
        <is>
          <t>https://www.jumbo.com.ar/shampoo-tresemme-brillo-lamelar-500-ml/p</t>
        </is>
      </c>
    </row>
    <row r="605">
      <c r="A605" t="inlineStr">
        <is>
          <t>Jumbo</t>
        </is>
      </c>
      <c r="B605" t="n">
        <v>413342</v>
      </c>
      <c r="C605" t="n">
        <v>409223</v>
      </c>
      <c r="D605" t="inlineStr">
        <is>
          <t>Shampoo Keratina Antifrizz 880 Ml Tresemmé</t>
        </is>
      </c>
      <c r="E605" t="inlineStr">
        <is>
          <t>TRESEMMÉ</t>
        </is>
      </c>
      <c r="F605" t="n">
        <v>15050</v>
      </c>
      <c r="G605" t="n">
        <v>1243802</v>
      </c>
      <c r="H605" t="b">
        <v>0</v>
      </c>
      <c r="I605" t="n">
        <v>880</v>
      </c>
      <c r="J605" t="n">
        <v>17.1023</v>
      </c>
      <c r="K605" t="inlineStr">
        <is>
          <t>&gt; Perfumería &gt; Cuidado Capilar &gt; Shampoo &gt;</t>
        </is>
      </c>
      <c r="L605" t="inlineStr">
        <is>
          <t>shampoo</t>
        </is>
      </c>
      <c r="M605" t="inlineStr">
        <is>
          <t>estandar</t>
        </is>
      </c>
      <c r="N605" t="inlineStr">
        <is>
          <t>tratado</t>
        </is>
      </c>
      <c r="O605" t="inlineStr">
        <is>
          <t>https://www.jumbo.com.ar/shampoo-tresemme-keratina-antifrizz-880-ml/p</t>
        </is>
      </c>
    </row>
    <row r="606">
      <c r="A606" s="2" t="inlineStr">
        <is>
          <t>Jumbo</t>
        </is>
      </c>
      <c r="B606" s="2" t="n">
        <v>413338</v>
      </c>
      <c r="C606" s="2" t="n">
        <v>409219</v>
      </c>
      <c r="D606" s="2" t="inlineStr">
        <is>
          <t>Shampoo Detox Capilar 500 Ml Tresemmé Shampoo Tresemme Detox Capilar 500 Ml</t>
        </is>
      </c>
      <c r="E606" s="2" t="inlineStr">
        <is>
          <t>TRESEMMÉ</t>
        </is>
      </c>
      <c r="F606" s="2" t="n">
        <v>7100</v>
      </c>
      <c r="G606" s="2" t="n">
        <v>586777</v>
      </c>
      <c r="H606" s="2" t="b">
        <v>0</v>
      </c>
      <c r="I606" s="2" t="n">
        <v>500</v>
      </c>
      <c r="J606" s="2" t="n">
        <v>14.2</v>
      </c>
      <c r="K606" s="2" t="inlineStr">
        <is>
          <t>&gt; Perfumería &gt; Cuidado Capilar &gt; Shampoo &gt;</t>
        </is>
      </c>
      <c r="L606" s="2" t="inlineStr">
        <is>
          <t>shampoo</t>
        </is>
      </c>
      <c r="M606" s="2" t="inlineStr">
        <is>
          <t>estandar</t>
        </is>
      </c>
      <c r="N606" s="2" t="inlineStr">
        <is>
          <t>general</t>
        </is>
      </c>
      <c r="O606" s="2" t="inlineStr">
        <is>
          <t>https://www.jumbo.com.ar/shampoo-tresemme-detox-capilar-500-ml/p</t>
        </is>
      </c>
    </row>
    <row r="607">
      <c r="A607" t="inlineStr">
        <is>
          <t>Jumbo</t>
        </is>
      </c>
      <c r="B607" t="n">
        <v>411476</v>
      </c>
      <c r="C607" t="n">
        <v>407294</v>
      </c>
      <c r="D607" t="inlineStr">
        <is>
          <t>Shampoo Capilatis Reparación Absoluta 350 Ml</t>
        </is>
      </c>
      <c r="E607" t="inlineStr">
        <is>
          <t>CAPILATIS</t>
        </is>
      </c>
      <c r="F607" t="n">
        <v>12650</v>
      </c>
      <c r="G607" t="n">
        <v>1045455</v>
      </c>
      <c r="H607" t="b">
        <v>0</v>
      </c>
      <c r="I607" t="n">
        <v>350</v>
      </c>
      <c r="J607" t="n">
        <v>36.1429</v>
      </c>
      <c r="K607" t="inlineStr">
        <is>
          <t>&gt; Perfumería &gt; Cuidado Capilar &gt; Shampoo &gt;</t>
        </is>
      </c>
      <c r="L607" t="inlineStr">
        <is>
          <t>shampoo</t>
        </is>
      </c>
      <c r="M607" t="inlineStr">
        <is>
          <t>estandar</t>
        </is>
      </c>
      <c r="N607" t="inlineStr">
        <is>
          <t>general</t>
        </is>
      </c>
      <c r="O607" t="inlineStr">
        <is>
          <t>https://www.jumbo.com.ar/shampoo-capilatis-reparacion-absoluta-350-ml/p</t>
        </is>
      </c>
    </row>
    <row r="608">
      <c r="A608" s="2" t="inlineStr">
        <is>
          <t>Jumbo</t>
        </is>
      </c>
      <c r="B608" s="2" t="n">
        <v>397683</v>
      </c>
      <c r="C608" s="2" t="n">
        <v>395416</v>
      </c>
      <c r="D608" s="2" t="inlineStr">
        <is>
          <t>Shampoo Dove Nutr Oleo Mic 400ml</t>
        </is>
      </c>
      <c r="E608" s="2" t="inlineStr">
        <is>
          <t>DOVE</t>
        </is>
      </c>
      <c r="F608" s="2" t="n">
        <v>1211.79</v>
      </c>
      <c r="G608" s="2" t="n">
        <v>100148</v>
      </c>
      <c r="H608" s="2" t="b">
        <v>0</v>
      </c>
      <c r="I608" s="2" t="n">
        <v>400</v>
      </c>
      <c r="J608" s="2" t="n">
        <v>3.0295</v>
      </c>
      <c r="K608" s="2" t="inlineStr">
        <is>
          <t>&gt; Perfumería &gt; Cuidado Capilar &gt; Shampoo &gt;</t>
        </is>
      </c>
      <c r="L608" s="2" t="inlineStr">
        <is>
          <t>shampoo</t>
        </is>
      </c>
      <c r="M608" s="2" t="inlineStr">
        <is>
          <t>estandar</t>
        </is>
      </c>
      <c r="N608" s="2" t="inlineStr">
        <is>
          <t>general</t>
        </is>
      </c>
      <c r="O608" s="2" t="inlineStr">
        <is>
          <t>https://www.jumbo.com.ar/shampoo-dove-nutr-oleo-mic-400ml/p</t>
        </is>
      </c>
    </row>
    <row r="609">
      <c r="A609" t="inlineStr">
        <is>
          <t>Jumbo</t>
        </is>
      </c>
      <c r="B609" t="n">
        <v>396883</v>
      </c>
      <c r="C609" t="n">
        <v>394639</v>
      </c>
      <c r="D609" t="inlineStr">
        <is>
          <t>Shampoo Restauración Instantánea 300 Ml Sedal</t>
        </is>
      </c>
      <c r="E609" t="inlineStr">
        <is>
          <t>SEDAL</t>
        </is>
      </c>
      <c r="F609" t="n">
        <v>3800</v>
      </c>
      <c r="G609" t="n">
        <v>314050</v>
      </c>
      <c r="H609" t="b">
        <v>0</v>
      </c>
      <c r="I609" t="n">
        <v>300</v>
      </c>
      <c r="J609" t="n">
        <v>12.6667</v>
      </c>
      <c r="K609" t="inlineStr">
        <is>
          <t>&gt; Perfumería &gt; Cuidado Capilar &gt; Shampoo &gt;</t>
        </is>
      </c>
      <c r="L609" t="inlineStr">
        <is>
          <t>shampoo</t>
        </is>
      </c>
      <c r="M609" t="inlineStr">
        <is>
          <t>estandar</t>
        </is>
      </c>
      <c r="N609" t="inlineStr">
        <is>
          <t>general</t>
        </is>
      </c>
      <c r="O609" t="inlineStr">
        <is>
          <t>https://www.jumbo.com.ar/shampoo-sedal-restauracion-instantanea-300ml/p</t>
        </is>
      </c>
    </row>
    <row r="610">
      <c r="A610" s="2" t="inlineStr">
        <is>
          <t>Jumbo</t>
        </is>
      </c>
      <c r="B610" s="2" t="n">
        <v>393380</v>
      </c>
      <c r="C610" s="2" t="n">
        <v>391408</v>
      </c>
      <c r="D610" s="2" t="inlineStr">
        <is>
          <t>Shampoo Dove Ritual De Crecimiento 400 Ml</t>
        </is>
      </c>
      <c r="E610" s="2" t="inlineStr">
        <is>
          <t>DOVE</t>
        </is>
      </c>
      <c r="F610" s="2" t="n">
        <v>8650</v>
      </c>
      <c r="G610" s="2" t="n">
        <v>714876</v>
      </c>
      <c r="H610" s="2" t="b">
        <v>0</v>
      </c>
      <c r="I610" s="2" t="n">
        <v>400</v>
      </c>
      <c r="J610" s="2" t="n">
        <v>21.625</v>
      </c>
      <c r="K610" s="2" t="inlineStr">
        <is>
          <t>&gt; Perfumería &gt; Cuidado Capilar &gt; Shampoo &gt;</t>
        </is>
      </c>
      <c r="L610" s="2" t="inlineStr">
        <is>
          <t>shampoo</t>
        </is>
      </c>
      <c r="M610" s="2" t="inlineStr">
        <is>
          <t>estandar</t>
        </is>
      </c>
      <c r="N610" s="2" t="inlineStr">
        <is>
          <t>general</t>
        </is>
      </c>
      <c r="O610" s="2" t="inlineStr">
        <is>
          <t>https://www.jumbo.com.ar/shampoo-dove-ritual-de-crecimiento-400-ml/p</t>
        </is>
      </c>
    </row>
    <row r="611">
      <c r="A611" t="inlineStr">
        <is>
          <t>Jumbo</t>
        </is>
      </c>
      <c r="B611" t="n">
        <v>393376</v>
      </c>
      <c r="C611" t="n">
        <v>391404</v>
      </c>
      <c r="D611" t="inlineStr">
        <is>
          <t>Shampoo Óleo Nutrición 750 Ml Dove</t>
        </is>
      </c>
      <c r="E611" t="inlineStr">
        <is>
          <t>DOVE</t>
        </is>
      </c>
      <c r="F611" t="n">
        <v>14550</v>
      </c>
      <c r="G611" t="n">
        <v>1202479</v>
      </c>
      <c r="H611" t="b">
        <v>0</v>
      </c>
      <c r="I611" t="n">
        <v>750</v>
      </c>
      <c r="J611" t="n">
        <v>19.4</v>
      </c>
      <c r="K611" t="inlineStr">
        <is>
          <t>&gt; Perfumería &gt; Cuidado Capilar &gt; Shampoo &gt;</t>
        </is>
      </c>
      <c r="L611" t="inlineStr">
        <is>
          <t>shampoo</t>
        </is>
      </c>
      <c r="M611" t="inlineStr">
        <is>
          <t>estandar</t>
        </is>
      </c>
      <c r="N611" t="inlineStr">
        <is>
          <t>general</t>
        </is>
      </c>
      <c r="O611" t="inlineStr">
        <is>
          <t>https://www.jumbo.com.ar/shampoo-dove-oleo-nutricion-750-ml-4/p</t>
        </is>
      </c>
    </row>
    <row r="612">
      <c r="A612" s="2" t="inlineStr">
        <is>
          <t>Jumbo</t>
        </is>
      </c>
      <c r="B612" s="2" t="n">
        <v>391961</v>
      </c>
      <c r="C612" s="2" t="n">
        <v>390013</v>
      </c>
      <c r="D612" s="2" t="inlineStr">
        <is>
          <t>Shampoo Algabo Kids Piojos 500 Ml</t>
        </is>
      </c>
      <c r="E612" s="2" t="inlineStr">
        <is>
          <t>ALGABO</t>
        </is>
      </c>
      <c r="F612" s="2" t="n">
        <v>1750</v>
      </c>
      <c r="G612" s="2" t="n">
        <v>144628</v>
      </c>
      <c r="H612" s="2" t="b">
        <v>0</v>
      </c>
      <c r="I612" s="2" t="n">
        <v>500</v>
      </c>
      <c r="J612" s="2" t="n">
        <v>3.5</v>
      </c>
      <c r="K612" s="2" t="inlineStr">
        <is>
          <t>&gt; Mundo Bebe &gt; Higiene para el Bebe &gt; Higiene del Bebé &gt;</t>
        </is>
      </c>
      <c r="L612" s="2" t="inlineStr">
        <is>
          <t>shampoo</t>
        </is>
      </c>
      <c r="M612" s="2" t="inlineStr">
        <is>
          <t>estandar</t>
        </is>
      </c>
      <c r="N612" s="2" t="inlineStr">
        <is>
          <t>bebe</t>
        </is>
      </c>
      <c r="O612" s="2" t="inlineStr">
        <is>
          <t>https://www.jumbo.com.ar/shampoo-algabo-kids-piojos-500-ml/p</t>
        </is>
      </c>
    </row>
    <row r="613">
      <c r="A613" t="inlineStr">
        <is>
          <t>Jumbo</t>
        </is>
      </c>
      <c r="B613" t="n">
        <v>384196</v>
      </c>
      <c r="C613" t="n">
        <v>382897</v>
      </c>
      <c r="D613" t="inlineStr">
        <is>
          <t>Shampoo Tresemme Liso Efecto Botox 500ml</t>
        </is>
      </c>
      <c r="E613" t="inlineStr">
        <is>
          <t>TRESEMMÉ</t>
        </is>
      </c>
      <c r="F613" t="n">
        <v>1463.73</v>
      </c>
      <c r="G613" t="n">
        <v>120969</v>
      </c>
      <c r="H613" t="b">
        <v>0</v>
      </c>
      <c r="I613" t="n">
        <v>500</v>
      </c>
      <c r="J613" t="n">
        <v>2.9275</v>
      </c>
      <c r="K613" t="inlineStr">
        <is>
          <t>&gt; Perfumería &gt; Cuidado Capilar &gt; Shampoo &gt;</t>
        </is>
      </c>
      <c r="L613" t="inlineStr">
        <is>
          <t>shampoo</t>
        </is>
      </c>
      <c r="M613" t="inlineStr">
        <is>
          <t>estandar</t>
        </is>
      </c>
      <c r="N613" t="inlineStr">
        <is>
          <t>general</t>
        </is>
      </c>
      <c r="O613" t="inlineStr">
        <is>
          <t>https://www.jumbo.com.ar/shampoo-tresemme-liso-efecto-botox-500ml/p</t>
        </is>
      </c>
    </row>
    <row r="614">
      <c r="A614" s="2" t="inlineStr">
        <is>
          <t>Jumbo</t>
        </is>
      </c>
      <c r="B614" s="2" t="n">
        <v>384195</v>
      </c>
      <c r="C614" s="2" t="n">
        <v>382896</v>
      </c>
      <c r="D614" s="2" t="inlineStr">
        <is>
          <t>Shampoo Tresemme Ondas Boho 250 Ml</t>
        </is>
      </c>
      <c r="E614" s="2" t="inlineStr">
        <is>
          <t>TRESEMMÉ</t>
        </is>
      </c>
      <c r="F614" s="2" t="n">
        <v>823.35</v>
      </c>
      <c r="G614" s="2" t="n">
        <v>68045</v>
      </c>
      <c r="H614" s="2" t="b">
        <v>0</v>
      </c>
      <c r="I614" s="2" t="n">
        <v>250</v>
      </c>
      <c r="J614" s="2" t="n">
        <v>3.2934</v>
      </c>
      <c r="K614" s="2" t="inlineStr">
        <is>
          <t>&gt; Perfumería &gt; Cuidado Capilar &gt; Shampoo &gt;</t>
        </is>
      </c>
      <c r="L614" s="2" t="inlineStr">
        <is>
          <t>shampoo</t>
        </is>
      </c>
      <c r="M614" s="2" t="inlineStr">
        <is>
          <t>estandar</t>
        </is>
      </c>
      <c r="N614" s="2" t="inlineStr">
        <is>
          <t>general</t>
        </is>
      </c>
      <c r="O614" s="2" t="inlineStr">
        <is>
          <t>https://www.jumbo.com.ar/shampoo-tresemme-ondas-boho-250-ml-2/p</t>
        </is>
      </c>
    </row>
    <row r="615">
      <c r="A615" t="inlineStr">
        <is>
          <t>Jumbo</t>
        </is>
      </c>
      <c r="B615" t="n">
        <v>384189</v>
      </c>
      <c r="C615" t="n">
        <v>382890</v>
      </c>
      <c r="D615" t="inlineStr">
        <is>
          <t>Shampoo Tresemme Cauterización Reparación 250 Ml</t>
        </is>
      </c>
      <c r="E615" t="inlineStr">
        <is>
          <t>TRESEMMÉ</t>
        </is>
      </c>
      <c r="F615" t="n">
        <v>1050</v>
      </c>
      <c r="G615" t="n">
        <v>86777</v>
      </c>
      <c r="H615" t="b">
        <v>0</v>
      </c>
      <c r="I615" t="n">
        <v>250</v>
      </c>
      <c r="J615" t="n">
        <v>4.2</v>
      </c>
      <c r="K615" t="inlineStr">
        <is>
          <t>&gt; Perfumería &gt; Cuidado Capilar &gt; Shampoo &gt;</t>
        </is>
      </c>
      <c r="L615" t="inlineStr">
        <is>
          <t>shampoo</t>
        </is>
      </c>
      <c r="M615" t="inlineStr">
        <is>
          <t>estandar</t>
        </is>
      </c>
      <c r="N615" t="inlineStr">
        <is>
          <t>general</t>
        </is>
      </c>
      <c r="O615" t="inlineStr">
        <is>
          <t>https://www.jumbo.com.ar/shampoo-tresemme-cauterizacion-reparacion-250-ml/p</t>
        </is>
      </c>
    </row>
    <row r="616">
      <c r="A616" s="2" t="inlineStr">
        <is>
          <t>Jumbo</t>
        </is>
      </c>
      <c r="B616" s="2" t="n">
        <v>384062</v>
      </c>
      <c r="C616" s="2" t="n">
        <v>382759</v>
      </c>
      <c r="D616" s="2" t="inlineStr">
        <is>
          <t>Shampoo Fructis Hair Food Banana 300ml</t>
        </is>
      </c>
      <c r="E616" s="2" t="inlineStr">
        <is>
          <t>FRUCTIS</t>
        </is>
      </c>
      <c r="F616" s="2" t="n">
        <v>9750</v>
      </c>
      <c r="G616" s="2" t="n">
        <v>805785</v>
      </c>
      <c r="H616" s="2" t="b">
        <v>0</v>
      </c>
      <c r="I616" s="2" t="n">
        <v>300</v>
      </c>
      <c r="J616" s="2" t="n">
        <v>32.5</v>
      </c>
      <c r="K616" s="2" t="inlineStr">
        <is>
          <t>&gt; Perfumería &gt; Cuidado Capilar &gt; Shampoo &gt;</t>
        </is>
      </c>
      <c r="L616" s="2" t="inlineStr">
        <is>
          <t>shampoo</t>
        </is>
      </c>
      <c r="M616" s="2" t="inlineStr">
        <is>
          <t>estandar</t>
        </is>
      </c>
      <c r="N616" s="2" t="inlineStr">
        <is>
          <t>general</t>
        </is>
      </c>
      <c r="O616" s="2" t="inlineStr">
        <is>
          <t>https://www.jumbo.com.ar/shampoo-fructis-hair-food-banana-300ml-3/p</t>
        </is>
      </c>
    </row>
    <row r="617">
      <c r="A617" t="inlineStr">
        <is>
          <t>Jumbo</t>
        </is>
      </c>
      <c r="B617" t="n">
        <v>354056</v>
      </c>
      <c r="C617" t="n">
        <v>352687</v>
      </c>
      <c r="D617" t="inlineStr">
        <is>
          <t>Shampoo Elvive Color Vive Protector 750ml</t>
        </is>
      </c>
      <c r="E617" t="inlineStr">
        <is>
          <t>ELVIVE</t>
        </is>
      </c>
      <c r="F617" t="n">
        <v>2450</v>
      </c>
      <c r="G617" t="n">
        <v>202479</v>
      </c>
      <c r="H617" t="b">
        <v>0</v>
      </c>
      <c r="I617" t="n">
        <v>750</v>
      </c>
      <c r="J617" t="n">
        <v>3.2667</v>
      </c>
      <c r="K617" t="inlineStr">
        <is>
          <t>&gt; Perfumería &gt; Cuidado Capilar &gt; Shampoo &gt;</t>
        </is>
      </c>
      <c r="L617" t="inlineStr">
        <is>
          <t>shampoo</t>
        </is>
      </c>
      <c r="M617" t="inlineStr">
        <is>
          <t>profesional</t>
        </is>
      </c>
      <c r="N617" t="inlineStr">
        <is>
          <t>tratado</t>
        </is>
      </c>
      <c r="O617" t="inlineStr">
        <is>
          <t>https://www.jumbo.com.ar/shampoo-elvive-color-vive-protector-750ml/p</t>
        </is>
      </c>
    </row>
    <row r="618">
      <c r="A618" s="2" t="inlineStr">
        <is>
          <t>Jumbo</t>
        </is>
      </c>
      <c r="B618" s="2" t="n">
        <v>353889</v>
      </c>
      <c r="C618" s="2" t="n">
        <v>352520</v>
      </c>
      <c r="D618" s="2" t="inlineStr">
        <is>
          <t>Shampoo Plusbelle Esencia Reconstrucción 700 Ml</t>
        </is>
      </c>
      <c r="E618" s="2" t="inlineStr">
        <is>
          <t>PLUSBELLE</t>
        </is>
      </c>
      <c r="F618" s="2" t="n">
        <v>2650</v>
      </c>
      <c r="G618" s="2" t="n">
        <v>219008</v>
      </c>
      <c r="H618" s="2" t="b">
        <v>0</v>
      </c>
      <c r="I618" s="2" t="n">
        <v>700</v>
      </c>
      <c r="J618" s="2" t="n">
        <v>3.7857</v>
      </c>
      <c r="K618" s="2" t="inlineStr">
        <is>
          <t>&gt; Perfumería &gt; Cuidado Capilar &gt; Shampoo &gt;</t>
        </is>
      </c>
      <c r="L618" s="2" t="inlineStr">
        <is>
          <t>shampoo</t>
        </is>
      </c>
      <c r="M618" s="2" t="inlineStr">
        <is>
          <t>estandar</t>
        </is>
      </c>
      <c r="N618" s="2" t="inlineStr">
        <is>
          <t>general</t>
        </is>
      </c>
      <c r="O618" s="2" t="inlineStr">
        <is>
          <t>https://www.jumbo.com.ar/shampoo-plusbelle-esencia-reconstruccion-700-ml/p</t>
        </is>
      </c>
    </row>
    <row r="619">
      <c r="A619" t="inlineStr">
        <is>
          <t>Jumbo</t>
        </is>
      </c>
      <c r="B619" t="n">
        <v>353872</v>
      </c>
      <c r="C619" t="n">
        <v>352503</v>
      </c>
      <c r="D619" t="inlineStr">
        <is>
          <t>Shampoo Plusbelle Esencia Protección 700 Ml</t>
        </is>
      </c>
      <c r="E619" t="inlineStr">
        <is>
          <t>PLUSBELLE</t>
        </is>
      </c>
      <c r="F619" t="n">
        <v>2650</v>
      </c>
      <c r="G619" t="n">
        <v>219008</v>
      </c>
      <c r="H619" t="b">
        <v>0</v>
      </c>
      <c r="I619" t="n">
        <v>700</v>
      </c>
      <c r="J619" t="n">
        <v>3.7857</v>
      </c>
      <c r="K619" t="inlineStr">
        <is>
          <t>&gt; Perfumería &gt; Cuidado Capilar &gt; Shampoo &gt;</t>
        </is>
      </c>
      <c r="L619" t="inlineStr">
        <is>
          <t>shampoo</t>
        </is>
      </c>
      <c r="M619" t="inlineStr">
        <is>
          <t>estandar</t>
        </is>
      </c>
      <c r="N619" t="inlineStr">
        <is>
          <t>general</t>
        </is>
      </c>
      <c r="O619" t="inlineStr">
        <is>
          <t>https://www.jumbo.com.ar/shampoo-plusbelle-esencia-proteccion-700-ml/p</t>
        </is>
      </c>
    </row>
    <row r="620">
      <c r="A620" s="2" t="inlineStr">
        <is>
          <t>Jumbo</t>
        </is>
      </c>
      <c r="B620" s="2" t="n">
        <v>352449</v>
      </c>
      <c r="C620" s="2" t="n">
        <v>351085</v>
      </c>
      <c r="D620" s="2" t="inlineStr">
        <is>
          <t>Shampoo  Avocado Solido 60 Gr Fructis Shampoo Fructis Avocado Solido 60g</t>
        </is>
      </c>
      <c r="E620" s="2" t="inlineStr">
        <is>
          <t>FRUCTIS</t>
        </is>
      </c>
      <c r="F620" s="2" t="n">
        <v>2800</v>
      </c>
      <c r="G620" s="2" t="n">
        <v>231405</v>
      </c>
      <c r="H620" s="2" t="b">
        <v>0</v>
      </c>
      <c r="I620" s="2" t="n">
        <v>60</v>
      </c>
      <c r="J620" s="2" t="n">
        <v>46.6667</v>
      </c>
      <c r="K620" s="2" t="inlineStr">
        <is>
          <t>&gt; Perfumería &gt; Cuidado Capilar &gt; Shampoo &gt;</t>
        </is>
      </c>
      <c r="L620" s="2" t="inlineStr">
        <is>
          <t>shampoo</t>
        </is>
      </c>
      <c r="M620" s="2" t="inlineStr">
        <is>
          <t>estandar</t>
        </is>
      </c>
      <c r="N620" s="2" t="inlineStr">
        <is>
          <t>general</t>
        </is>
      </c>
      <c r="O620" s="2" t="inlineStr">
        <is>
          <t>https://www.jumbo.com.ar/shampoo-fructis-avocado-solido-60g-2/p</t>
        </is>
      </c>
    </row>
    <row r="621">
      <c r="A621" t="inlineStr">
        <is>
          <t>Jumbo</t>
        </is>
      </c>
      <c r="B621" t="n">
        <v>349496</v>
      </c>
      <c r="C621" t="n">
        <v>348156</v>
      </c>
      <c r="D621" t="inlineStr">
        <is>
          <t>Shampoo Vitalidad Renovadora 1000 Ml Plusbelle</t>
        </is>
      </c>
      <c r="E621" t="inlineStr">
        <is>
          <t>PLUSBELLE</t>
        </is>
      </c>
      <c r="F621" t="n">
        <v>3650</v>
      </c>
      <c r="G621" t="n">
        <v>301653</v>
      </c>
      <c r="H621" t="b">
        <v>0</v>
      </c>
      <c r="I621" t="n">
        <v>1000</v>
      </c>
      <c r="J621" t="n">
        <v>3.65</v>
      </c>
      <c r="K621" t="inlineStr">
        <is>
          <t>&gt; Perfumería &gt; Cuidado Capilar &gt; Shampoo &gt;</t>
        </is>
      </c>
      <c r="L621" t="inlineStr">
        <is>
          <t>shampoo</t>
        </is>
      </c>
      <c r="M621" t="inlineStr">
        <is>
          <t>estandar</t>
        </is>
      </c>
      <c r="N621" t="inlineStr">
        <is>
          <t>general</t>
        </is>
      </c>
      <c r="O621" t="inlineStr">
        <is>
          <t>https://www.jumbo.com.ar/shampoo-vitalidad-renovadora-1000-ml-plusbelle/p</t>
        </is>
      </c>
    </row>
    <row r="622">
      <c r="A622" s="2" t="inlineStr">
        <is>
          <t>Jumbo</t>
        </is>
      </c>
      <c r="B622" s="2" t="n">
        <v>348057</v>
      </c>
      <c r="C622" s="2" t="n">
        <v>346732</v>
      </c>
      <c r="D622" s="2" t="inlineStr">
        <is>
          <t>Shampoo Algabo Brillo Eco-pack 930ml</t>
        </is>
      </c>
      <c r="E622" s="2" t="inlineStr">
        <is>
          <t>ELVIVE</t>
        </is>
      </c>
      <c r="F622" s="2" t="n">
        <v>221.47</v>
      </c>
      <c r="G622" s="2" t="n">
        <v>18303</v>
      </c>
      <c r="H622" s="2" t="b">
        <v>0</v>
      </c>
      <c r="I622" s="2" t="n">
        <v>930</v>
      </c>
      <c r="J622" s="2" t="n">
        <v>0.2381</v>
      </c>
      <c r="K622" s="2" t="inlineStr">
        <is>
          <t>&gt; Perfumería &gt; Cuidado Capilar &gt; Shampoo &gt;</t>
        </is>
      </c>
      <c r="L622" s="2" t="inlineStr">
        <is>
          <t>tratamiento</t>
        </is>
      </c>
      <c r="M622" s="2" t="inlineStr">
        <is>
          <t>profesional</t>
        </is>
      </c>
      <c r="N622" s="2" t="inlineStr">
        <is>
          <t>general</t>
        </is>
      </c>
      <c r="O622" s="2" t="inlineStr">
        <is>
          <t>https://www.jumbo.com.ar/shampoo-algabo-brillo-eco-pack-930ml-2/p</t>
        </is>
      </c>
    </row>
    <row r="623">
      <c r="A623" t="inlineStr">
        <is>
          <t>Jumbo</t>
        </is>
      </c>
      <c r="B623" t="n">
        <v>347680</v>
      </c>
      <c r="C623" t="n">
        <v>346353</v>
      </c>
      <c r="D623" t="inlineStr">
        <is>
          <t>Shampoo  Sedal  Liso Perfecto  650 Ml</t>
        </is>
      </c>
      <c r="E623" t="inlineStr">
        <is>
          <t>SEDAL</t>
        </is>
      </c>
      <c r="F623" t="n">
        <v>880.05</v>
      </c>
      <c r="G623" t="n">
        <v>72731</v>
      </c>
      <c r="H623" t="b">
        <v>0</v>
      </c>
      <c r="I623" t="n">
        <v>650</v>
      </c>
      <c r="J623" t="n">
        <v>1.3539</v>
      </c>
      <c r="K623" t="inlineStr">
        <is>
          <t>&gt; Perfumería &gt; Cuidado Capilar &gt; Shampoo &gt;</t>
        </is>
      </c>
      <c r="L623" t="inlineStr">
        <is>
          <t>shampoo</t>
        </is>
      </c>
      <c r="M623" t="inlineStr">
        <is>
          <t>estandar</t>
        </is>
      </c>
      <c r="N623" t="inlineStr">
        <is>
          <t>general</t>
        </is>
      </c>
      <c r="O623" t="inlineStr">
        <is>
          <t>https://www.jumbo.com.ar/shampoo-sedal-liso-perfecto-650-ml/p</t>
        </is>
      </c>
    </row>
    <row r="624">
      <c r="A624" s="2" t="inlineStr">
        <is>
          <t>Jumbo</t>
        </is>
      </c>
      <c r="B624" s="2" t="n">
        <v>347679</v>
      </c>
      <c r="C624" s="2" t="n">
        <v>346352</v>
      </c>
      <c r="D624" s="2" t="inlineStr">
        <is>
          <t>Shampoo  Sedal  Crema Balance  650 Ml</t>
        </is>
      </c>
      <c r="E624" s="2" t="inlineStr">
        <is>
          <t>SEDAL</t>
        </is>
      </c>
      <c r="F624" s="2" t="n">
        <v>880.05</v>
      </c>
      <c r="G624" s="2" t="n">
        <v>72731</v>
      </c>
      <c r="H624" s="2" t="b">
        <v>0</v>
      </c>
      <c r="I624" s="2" t="n">
        <v>650</v>
      </c>
      <c r="J624" s="2" t="n">
        <v>1.3539</v>
      </c>
      <c r="K624" s="2" t="inlineStr">
        <is>
          <t>&gt; Perfumería &gt; Cuidado Capilar &gt; Shampoo &gt;</t>
        </is>
      </c>
      <c r="L624" s="2" t="inlineStr">
        <is>
          <t>shampoo</t>
        </is>
      </c>
      <c r="M624" s="2" t="inlineStr">
        <is>
          <t>estandar</t>
        </is>
      </c>
      <c r="N624" s="2" t="inlineStr">
        <is>
          <t>general</t>
        </is>
      </c>
      <c r="O624" s="2" t="inlineStr">
        <is>
          <t>https://www.jumbo.com.ar/shampoo-sedal-crema-balance-650-ml/p</t>
        </is>
      </c>
    </row>
    <row r="625">
      <c r="A625" t="inlineStr">
        <is>
          <t>Jumbo</t>
        </is>
      </c>
      <c r="B625" t="n">
        <v>347677</v>
      </c>
      <c r="C625" t="n">
        <v>346350</v>
      </c>
      <c r="D625" t="inlineStr">
        <is>
          <t>Shampoo  Sedal  Restauración Instantánea  340 Ml</t>
        </is>
      </c>
      <c r="E625" t="inlineStr">
        <is>
          <t>SEDAL</t>
        </is>
      </c>
      <c r="F625" t="n">
        <v>900</v>
      </c>
      <c r="G625" t="n">
        <v>74380</v>
      </c>
      <c r="H625" t="b">
        <v>0</v>
      </c>
      <c r="I625" t="n">
        <v>340</v>
      </c>
      <c r="J625" t="n">
        <v>2.6471</v>
      </c>
      <c r="K625" t="inlineStr">
        <is>
          <t>&gt; Perfumería &gt; Cuidado Capilar &gt; Shampoo &gt;</t>
        </is>
      </c>
      <c r="L625" t="inlineStr">
        <is>
          <t>shampoo</t>
        </is>
      </c>
      <c r="M625" t="inlineStr">
        <is>
          <t>estandar</t>
        </is>
      </c>
      <c r="N625" t="inlineStr">
        <is>
          <t>general</t>
        </is>
      </c>
      <c r="O625" t="inlineStr">
        <is>
          <t>https://www.jumbo.com.ar/shampoo-sedal-restauracion-instantanea-340-ml-2/p</t>
        </is>
      </c>
    </row>
    <row r="626">
      <c r="A626" s="2" t="inlineStr">
        <is>
          <t>Jumbo</t>
        </is>
      </c>
      <c r="B626" s="2" t="n">
        <v>347676</v>
      </c>
      <c r="C626" s="2" t="n">
        <v>346349</v>
      </c>
      <c r="D626" s="2" t="inlineStr">
        <is>
          <t>Shampoo  Sedal  Rizos Definidos  340 Ml</t>
        </is>
      </c>
      <c r="E626" s="2" t="inlineStr">
        <is>
          <t>SEDAL</t>
        </is>
      </c>
      <c r="F626" s="2" t="n">
        <v>469.67</v>
      </c>
      <c r="G626" s="2" t="n">
        <v>38816</v>
      </c>
      <c r="H626" s="2" t="b">
        <v>0</v>
      </c>
      <c r="I626" s="2" t="n">
        <v>340</v>
      </c>
      <c r="J626" s="2" t="n">
        <v>1.3814</v>
      </c>
      <c r="K626" s="2" t="inlineStr">
        <is>
          <t>&gt; Perfumería &gt; Cuidado Capilar &gt; Shampoo &gt;</t>
        </is>
      </c>
      <c r="L626" s="2" t="inlineStr">
        <is>
          <t>shampoo</t>
        </is>
      </c>
      <c r="M626" s="2" t="inlineStr">
        <is>
          <t>estandar</t>
        </is>
      </c>
      <c r="N626" s="2" t="inlineStr">
        <is>
          <t>rizado</t>
        </is>
      </c>
      <c r="O626" s="2" t="inlineStr">
        <is>
          <t>https://www.jumbo.com.ar/shampoo-sedal-rizos-definidos-340-ml/p</t>
        </is>
      </c>
    </row>
    <row r="627">
      <c r="A627" t="inlineStr">
        <is>
          <t>Jumbo</t>
        </is>
      </c>
      <c r="B627" t="n">
        <v>347653</v>
      </c>
      <c r="C627" t="n">
        <v>346326</v>
      </c>
      <c r="D627" t="inlineStr">
        <is>
          <t>Shampoo  Dove  Hidratación Intensa  200 Ml</t>
        </is>
      </c>
      <c r="E627" t="inlineStr">
        <is>
          <t>DOVE</t>
        </is>
      </c>
      <c r="F627" t="n">
        <v>584.29</v>
      </c>
      <c r="G627" t="n">
        <v>48288</v>
      </c>
      <c r="H627" t="b">
        <v>0</v>
      </c>
      <c r="I627" t="n">
        <v>200</v>
      </c>
      <c r="J627" t="n">
        <v>2.9214</v>
      </c>
      <c r="K627" t="inlineStr">
        <is>
          <t>&gt; Perfumería &gt; Cuidado Capilar &gt; Shampoo &gt;</t>
        </is>
      </c>
      <c r="L627" t="inlineStr">
        <is>
          <t>shampoo</t>
        </is>
      </c>
      <c r="M627" t="inlineStr">
        <is>
          <t>estandar</t>
        </is>
      </c>
      <c r="N627" t="inlineStr">
        <is>
          <t>seco_danado</t>
        </is>
      </c>
      <c r="O627" t="inlineStr">
        <is>
          <t>https://www.jumbo.com.ar/shampoo-dove-hidratacion-intensa-200-ml-2/p</t>
        </is>
      </c>
    </row>
    <row r="628">
      <c r="A628" s="2" t="inlineStr">
        <is>
          <t>Jumbo</t>
        </is>
      </c>
      <c r="B628" s="2" t="n">
        <v>346765</v>
      </c>
      <c r="C628" s="2" t="n">
        <v>345440</v>
      </c>
      <c r="D628" s="2" t="inlineStr">
        <is>
          <t>Shampoo Arcilla Extraordinaria 400 Ml Elvive</t>
        </is>
      </c>
      <c r="E628" s="2" t="inlineStr">
        <is>
          <t>ELVIVE</t>
        </is>
      </c>
      <c r="F628" s="2" t="n">
        <v>9550</v>
      </c>
      <c r="G628" s="2" t="n">
        <v>789256</v>
      </c>
      <c r="H628" s="2" t="b">
        <v>0</v>
      </c>
      <c r="I628" s="2" t="n">
        <v>400</v>
      </c>
      <c r="J628" s="2" t="n">
        <v>23.875</v>
      </c>
      <c r="K628" s="2" t="inlineStr">
        <is>
          <t>&gt; Perfumería &gt; Cuidado Capilar &gt; Shampoo &gt;</t>
        </is>
      </c>
      <c r="L628" s="2" t="inlineStr">
        <is>
          <t>shampoo</t>
        </is>
      </c>
      <c r="M628" s="2" t="inlineStr">
        <is>
          <t>profesional</t>
        </is>
      </c>
      <c r="N628" s="2" t="inlineStr">
        <is>
          <t>general</t>
        </is>
      </c>
      <c r="O628" s="2" t="inlineStr">
        <is>
          <t>https://www.jumbo.com.ar/shampoo-elvive-arcilla-purificante-400-ml/p</t>
        </is>
      </c>
    </row>
    <row r="629">
      <c r="A629" t="inlineStr">
        <is>
          <t>Jumbo</t>
        </is>
      </c>
      <c r="B629" t="n">
        <v>345294</v>
      </c>
      <c r="C629" t="n">
        <v>343979</v>
      </c>
      <c r="D629" t="inlineStr">
        <is>
          <t>Shampoo Pantene Essentials Rizos Definidos 400ml</t>
        </is>
      </c>
      <c r="E629" t="inlineStr">
        <is>
          <t>PANTENE</t>
        </is>
      </c>
      <c r="F629" t="n">
        <v>806.35</v>
      </c>
      <c r="G629" t="n">
        <v>66641</v>
      </c>
      <c r="H629" t="b">
        <v>0</v>
      </c>
      <c r="I629" t="n">
        <v>400</v>
      </c>
      <c r="J629" t="n">
        <v>2.0159</v>
      </c>
      <c r="K629" t="inlineStr">
        <is>
          <t>&gt; Perfumería &gt; Cuidado Capilar &gt; Shampoo &gt;</t>
        </is>
      </c>
      <c r="L629" t="inlineStr">
        <is>
          <t>shampoo</t>
        </is>
      </c>
      <c r="M629" t="inlineStr">
        <is>
          <t>estandar</t>
        </is>
      </c>
      <c r="N629" t="inlineStr">
        <is>
          <t>rizado</t>
        </is>
      </c>
      <c r="O629" t="inlineStr">
        <is>
          <t>https://www.jumbo.com.ar/shampoo-pantene-essentials-rizos-definidos-400ml/p</t>
        </is>
      </c>
    </row>
    <row r="630">
      <c r="A630" s="2" t="inlineStr">
        <is>
          <t>Jumbo</t>
        </is>
      </c>
      <c r="B630" s="2" t="n">
        <v>345285</v>
      </c>
      <c r="C630" s="2" t="n">
        <v>343970</v>
      </c>
      <c r="D630" s="2" t="inlineStr">
        <is>
          <t>Shampoo Pantene Porv Essent 2en1 400ml</t>
        </is>
      </c>
      <c r="E630" s="2" t="inlineStr">
        <is>
          <t>PANTENE</t>
        </is>
      </c>
      <c r="F630" s="2" t="n">
        <v>399.49</v>
      </c>
      <c r="G630" s="2" t="n">
        <v>33016</v>
      </c>
      <c r="H630" s="2" t="b">
        <v>0</v>
      </c>
      <c r="I630" s="2" t="n">
        <v>400</v>
      </c>
      <c r="J630" s="2" t="n">
        <v>0.9987</v>
      </c>
      <c r="K630" s="2" t="inlineStr">
        <is>
          <t>&gt; Perfumería &gt; Cuidado Capilar &gt; Shampoo &gt;</t>
        </is>
      </c>
      <c r="L630" s="2" t="inlineStr">
        <is>
          <t>shampoo</t>
        </is>
      </c>
      <c r="M630" s="2" t="inlineStr">
        <is>
          <t>estandar</t>
        </is>
      </c>
      <c r="N630" s="2" t="inlineStr">
        <is>
          <t>general</t>
        </is>
      </c>
      <c r="O630" s="2" t="inlineStr">
        <is>
          <t>https://www.jumbo.com.ar/shampoo-pantene-porv-essent-2en1-400ml/p</t>
        </is>
      </c>
    </row>
    <row r="631">
      <c r="A631" t="inlineStr">
        <is>
          <t>Jumbo</t>
        </is>
      </c>
      <c r="B631" t="n">
        <v>345110</v>
      </c>
      <c r="C631" t="n">
        <v>343795</v>
      </c>
      <c r="D631" t="inlineStr">
        <is>
          <t>Shampoo Pantene Prov Essentials Brillo 750ml..</t>
        </is>
      </c>
      <c r="E631" t="inlineStr">
        <is>
          <t>PANTENE</t>
        </is>
      </c>
      <c r="F631" t="n">
        <v>1496.95</v>
      </c>
      <c r="G631" t="n">
        <v>123715</v>
      </c>
      <c r="H631" t="b">
        <v>0</v>
      </c>
      <c r="I631" t="n">
        <v>750</v>
      </c>
      <c r="J631" t="n">
        <v>1.9959</v>
      </c>
      <c r="K631" t="inlineStr">
        <is>
          <t>&gt; Perfumería &gt; Cuidado Capilar &gt; Shampoo &gt;</t>
        </is>
      </c>
      <c r="L631" t="inlineStr">
        <is>
          <t>shampoo</t>
        </is>
      </c>
      <c r="M631" t="inlineStr">
        <is>
          <t>profesional</t>
        </is>
      </c>
      <c r="N631" t="inlineStr">
        <is>
          <t>general</t>
        </is>
      </c>
      <c r="O631" t="inlineStr">
        <is>
          <t>https://www.jumbo.com.ar/shampoo-pantene-prov-essentials-brillo-750ml-2/p</t>
        </is>
      </c>
    </row>
    <row r="632">
      <c r="A632" s="2" t="inlineStr">
        <is>
          <t>Jumbo</t>
        </is>
      </c>
      <c r="B632" s="2" t="n">
        <v>345108</v>
      </c>
      <c r="C632" s="2" t="n">
        <v>343793</v>
      </c>
      <c r="D632" s="2" t="inlineStr">
        <is>
          <t>Shampoo Pantene Prov Essentials Brillo 400ml</t>
        </is>
      </c>
      <c r="E632" s="2" t="inlineStr">
        <is>
          <t>PANTENE</t>
        </is>
      </c>
      <c r="F632" s="2" t="n">
        <v>858.79</v>
      </c>
      <c r="G632" s="2" t="n">
        <v>70974</v>
      </c>
      <c r="H632" s="2" t="b">
        <v>0</v>
      </c>
      <c r="I632" s="2" t="n">
        <v>400</v>
      </c>
      <c r="J632" s="2" t="n">
        <v>2.147</v>
      </c>
      <c r="K632" s="2" t="inlineStr">
        <is>
          <t>&gt; Perfumería &gt; Cuidado Capilar &gt; Shampoo &gt;</t>
        </is>
      </c>
      <c r="L632" s="2" t="inlineStr">
        <is>
          <t>shampoo</t>
        </is>
      </c>
      <c r="M632" s="2" t="inlineStr">
        <is>
          <t>profesional</t>
        </is>
      </c>
      <c r="N632" s="2" t="inlineStr">
        <is>
          <t>general</t>
        </is>
      </c>
      <c r="O632" s="2" t="inlineStr">
        <is>
          <t>https://www.jumbo.com.ar/shampoo-pantene-prov-essentials-brillo-400ml-2/p</t>
        </is>
      </c>
    </row>
    <row r="633">
      <c r="A633" t="inlineStr">
        <is>
          <t>Jumbo</t>
        </is>
      </c>
      <c r="B633" t="n">
        <v>345055</v>
      </c>
      <c r="C633" t="n">
        <v>343740</v>
      </c>
      <c r="D633" t="inlineStr">
        <is>
          <t>Shampoo Pantene Prov Essentials Hidrat 200ml</t>
        </is>
      </c>
      <c r="E633" t="inlineStr">
        <is>
          <t>PANTENE</t>
        </is>
      </c>
      <c r="F633" t="n">
        <v>346.63</v>
      </c>
      <c r="G633" t="n">
        <v>28647</v>
      </c>
      <c r="H633" t="b">
        <v>0</v>
      </c>
      <c r="I633" t="n">
        <v>200</v>
      </c>
      <c r="J633" t="n">
        <v>1.7331</v>
      </c>
      <c r="K633" t="inlineStr">
        <is>
          <t>&gt; Perfumería &gt; Cuidado Capilar &gt; Shampoo &gt;</t>
        </is>
      </c>
      <c r="L633" t="inlineStr">
        <is>
          <t>shampoo</t>
        </is>
      </c>
      <c r="M633" t="inlineStr">
        <is>
          <t>profesional</t>
        </is>
      </c>
      <c r="N633" t="inlineStr">
        <is>
          <t>seco_danado</t>
        </is>
      </c>
      <c r="O633" t="inlineStr">
        <is>
          <t>https://www.jumbo.com.ar/shampoo-pantene-prov-essentials-hidrat-200ml-2/p</t>
        </is>
      </c>
    </row>
    <row r="634">
      <c r="A634" s="2" t="inlineStr">
        <is>
          <t>Jumbo</t>
        </is>
      </c>
      <c r="B634" s="2" t="n">
        <v>345054</v>
      </c>
      <c r="C634" s="2" t="n">
        <v>343739</v>
      </c>
      <c r="D634" s="2" t="inlineStr">
        <is>
          <t>Shampoo Pantene Prov Essentials Hidratacion 400ml</t>
        </is>
      </c>
      <c r="E634" s="2" t="inlineStr">
        <is>
          <t>PANTENE</t>
        </is>
      </c>
      <c r="F634" s="2" t="n">
        <v>858.79</v>
      </c>
      <c r="G634" s="2" t="n">
        <v>70974</v>
      </c>
      <c r="H634" s="2" t="b">
        <v>0</v>
      </c>
      <c r="I634" s="2" t="n">
        <v>400</v>
      </c>
      <c r="J634" s="2" t="n">
        <v>2.147</v>
      </c>
      <c r="K634" s="2" t="inlineStr">
        <is>
          <t>&gt; Perfumería &gt; Cuidado Capilar &gt; Shampoo &gt;</t>
        </is>
      </c>
      <c r="L634" s="2" t="inlineStr">
        <is>
          <t>shampoo</t>
        </is>
      </c>
      <c r="M634" s="2" t="inlineStr">
        <is>
          <t>profesional</t>
        </is>
      </c>
      <c r="N634" s="2" t="inlineStr">
        <is>
          <t>seco_danado</t>
        </is>
      </c>
      <c r="O634" s="2" t="inlineStr">
        <is>
          <t>https://www.jumbo.com.ar/shampoo-pantene-prov-essentials-hidratacion-400ml/p</t>
        </is>
      </c>
    </row>
    <row r="635">
      <c r="A635" t="inlineStr">
        <is>
          <t>Jumbo</t>
        </is>
      </c>
      <c r="B635" t="n">
        <v>337366</v>
      </c>
      <c r="C635" t="n">
        <v>336469</v>
      </c>
      <c r="D635" t="inlineStr">
        <is>
          <t>Shampoo Dove Regeneración Extrema 750 Ml</t>
        </is>
      </c>
      <c r="E635" t="inlineStr">
        <is>
          <t>DOVE</t>
        </is>
      </c>
      <c r="F635" t="n">
        <v>1031.19</v>
      </c>
      <c r="G635" t="n">
        <v>85222</v>
      </c>
      <c r="H635" t="b">
        <v>0</v>
      </c>
      <c r="I635" t="n">
        <v>750</v>
      </c>
      <c r="J635" t="n">
        <v>1.3749</v>
      </c>
      <c r="K635" t="inlineStr">
        <is>
          <t>&gt; Perfumería &gt; Cuidado Capilar &gt; Shampoo &gt;</t>
        </is>
      </c>
      <c r="L635" t="inlineStr">
        <is>
          <t>shampoo</t>
        </is>
      </c>
      <c r="M635" t="inlineStr">
        <is>
          <t>estandar</t>
        </is>
      </c>
      <c r="N635" t="inlineStr">
        <is>
          <t>general</t>
        </is>
      </c>
      <c r="O635" t="inlineStr">
        <is>
          <t>https://www.jumbo.com.ar/shampoo-dove-regeneracion-extrema-750-ml-2/p</t>
        </is>
      </c>
    </row>
    <row r="636">
      <c r="A636" s="2" t="inlineStr">
        <is>
          <t>Jumbo</t>
        </is>
      </c>
      <c r="B636" s="2" t="n">
        <v>333068</v>
      </c>
      <c r="C636" s="2" t="n">
        <v>332216</v>
      </c>
      <c r="D636" s="2" t="inlineStr">
        <is>
          <t>Shampoo Hidratación Intensa 400ml Johnson Baby</t>
        </is>
      </c>
      <c r="E636" s="2" t="inlineStr">
        <is>
          <t>JOHNSON BABY</t>
        </is>
      </c>
      <c r="F636" s="2" t="n">
        <v>906.99</v>
      </c>
      <c r="G636" s="2" t="n">
        <v>74958</v>
      </c>
      <c r="H636" s="2" t="b">
        <v>0</v>
      </c>
      <c r="I636" s="2" t="n">
        <v>400</v>
      </c>
      <c r="J636" s="2" t="n">
        <v>2.2675</v>
      </c>
      <c r="K636" s="2" t="inlineStr">
        <is>
          <t>&gt; Mundo Bebe &gt; Higiene para el Bebe &gt; Higiene del Bebé &gt;</t>
        </is>
      </c>
      <c r="L636" s="2" t="inlineStr">
        <is>
          <t>shampoo</t>
        </is>
      </c>
      <c r="M636" s="2" t="inlineStr">
        <is>
          <t>estandar</t>
        </is>
      </c>
      <c r="N636" s="2" t="inlineStr">
        <is>
          <t>seco_danado</t>
        </is>
      </c>
      <c r="O636" s="2" t="inlineStr">
        <is>
          <t>https://www.jumbo.com.ar/shampoo-hidratacion-intensa-400ml-johnson-baby/p</t>
        </is>
      </c>
    </row>
    <row r="637">
      <c r="A637" t="inlineStr">
        <is>
          <t>Jumbo</t>
        </is>
      </c>
      <c r="B637" t="n">
        <v>332080</v>
      </c>
      <c r="C637" t="n">
        <v>331241</v>
      </c>
      <c r="D637" t="inlineStr">
        <is>
          <t>Shampoo Dove Ritual Detox 400 Ml</t>
        </is>
      </c>
      <c r="E637" t="inlineStr">
        <is>
          <t>DOVE</t>
        </is>
      </c>
      <c r="F637" t="n">
        <v>397.79</v>
      </c>
      <c r="G637" t="n">
        <v>32875</v>
      </c>
      <c r="H637" t="b">
        <v>0</v>
      </c>
      <c r="I637" t="n">
        <v>400</v>
      </c>
      <c r="J637" t="n">
        <v>0.9945000000000001</v>
      </c>
      <c r="K637" t="inlineStr">
        <is>
          <t>&gt; Perfumería &gt; Cuidado Capilar &gt; Shampoo &gt;</t>
        </is>
      </c>
      <c r="L637" t="inlineStr">
        <is>
          <t>shampoo</t>
        </is>
      </c>
      <c r="M637" t="inlineStr">
        <is>
          <t>estandar</t>
        </is>
      </c>
      <c r="N637" t="inlineStr">
        <is>
          <t>general</t>
        </is>
      </c>
      <c r="O637" t="inlineStr">
        <is>
          <t>https://www.jumbo.com.ar/shampoo-dove-ritual-detox-400-ml/p</t>
        </is>
      </c>
    </row>
    <row r="638">
      <c r="A638" s="2" t="inlineStr">
        <is>
          <t>Jumbo</t>
        </is>
      </c>
      <c r="B638" s="2" t="n">
        <v>313257</v>
      </c>
      <c r="C638" s="2" t="n">
        <v>312495</v>
      </c>
      <c r="D638" s="2" t="inlineStr">
        <is>
          <t>Shampoo Fructis Hair Food Coco 300ml</t>
        </is>
      </c>
      <c r="E638" s="2" t="inlineStr">
        <is>
          <t>FRUCTIS</t>
        </is>
      </c>
      <c r="F638" s="2" t="n">
        <v>643.67</v>
      </c>
      <c r="G638" s="2" t="n">
        <v>53196</v>
      </c>
      <c r="H638" s="2" t="b">
        <v>0</v>
      </c>
      <c r="I638" s="2" t="n">
        <v>300</v>
      </c>
      <c r="J638" s="2" t="n">
        <v>2.1456</v>
      </c>
      <c r="K638" s="2" t="inlineStr">
        <is>
          <t>&gt; Perfumería &gt; Cuidado Capilar &gt; Shampoo &gt;</t>
        </is>
      </c>
      <c r="L638" s="2" t="inlineStr">
        <is>
          <t>shampoo</t>
        </is>
      </c>
      <c r="M638" s="2" t="inlineStr">
        <is>
          <t>estandar</t>
        </is>
      </c>
      <c r="N638" s="2" t="inlineStr">
        <is>
          <t>general</t>
        </is>
      </c>
      <c r="O638" s="2" t="inlineStr">
        <is>
          <t>https://www.jumbo.com.ar/shampoo-fructis-hair-food-coco-300ml/p</t>
        </is>
      </c>
    </row>
    <row r="639">
      <c r="A639" t="inlineStr">
        <is>
          <t>Jumbo</t>
        </is>
      </c>
      <c r="B639" t="n">
        <v>312953</v>
      </c>
      <c r="C639" t="n">
        <v>312191</v>
      </c>
      <c r="D639" t="inlineStr">
        <is>
          <t>Shampoo Aclarante Manzanilla 400 Ml Biferdil</t>
        </is>
      </c>
      <c r="E639" t="inlineStr">
        <is>
          <t>BIFERDIL</t>
        </is>
      </c>
      <c r="F639" t="n">
        <v>11950</v>
      </c>
      <c r="G639" t="n">
        <v>987603</v>
      </c>
      <c r="H639" t="b">
        <v>0</v>
      </c>
      <c r="I639" t="n">
        <v>400</v>
      </c>
      <c r="J639" t="n">
        <v>29.875</v>
      </c>
      <c r="K639" t="inlineStr">
        <is>
          <t>&gt; Perfumería &gt; Cuidado Capilar &gt; Shampoo &gt;</t>
        </is>
      </c>
      <c r="L639" t="inlineStr">
        <is>
          <t>shampoo</t>
        </is>
      </c>
      <c r="M639" t="inlineStr">
        <is>
          <t>estandar</t>
        </is>
      </c>
      <c r="N639" t="inlineStr">
        <is>
          <t>general</t>
        </is>
      </c>
      <c r="O639" t="inlineStr">
        <is>
          <t>https://www.jumbo.com.ar/shampoo-manzanilla-400-ml-biferdil/p</t>
        </is>
      </c>
    </row>
    <row r="640">
      <c r="A640" s="2" t="inlineStr">
        <is>
          <t>Jumbo</t>
        </is>
      </c>
      <c r="B640" s="2" t="n">
        <v>309895</v>
      </c>
      <c r="C640" s="2" t="n">
        <v>309132</v>
      </c>
      <c r="D640" s="2" t="inlineStr">
        <is>
          <t>Shampoo Swing Brillo Radiante 200 Ml</t>
        </is>
      </c>
      <c r="E640" s="2" t="inlineStr">
        <is>
          <t>SWING</t>
        </is>
      </c>
      <c r="F640" s="2" t="n">
        <v>63.89</v>
      </c>
      <c r="G640" s="2" t="n">
        <v>5280</v>
      </c>
      <c r="H640" s="2" t="b">
        <v>0</v>
      </c>
      <c r="I640" s="2" t="n">
        <v>200</v>
      </c>
      <c r="J640" s="2" t="n">
        <v>0.3195</v>
      </c>
      <c r="K640" s="2" t="inlineStr">
        <is>
          <t>&gt; Perfumería &gt; Cuidado Capilar &gt; Shampoo &gt;</t>
        </is>
      </c>
      <c r="L640" s="2" t="inlineStr">
        <is>
          <t>shampoo</t>
        </is>
      </c>
      <c r="M640" s="2" t="inlineStr">
        <is>
          <t>estandar</t>
        </is>
      </c>
      <c r="N640" s="2" t="inlineStr">
        <is>
          <t>general</t>
        </is>
      </c>
      <c r="O640" s="2" t="inlineStr">
        <is>
          <t>https://www.jumbo.com.ar/shampoo-swing-brillo-radiante-200-ml/p</t>
        </is>
      </c>
    </row>
    <row r="641">
      <c r="A641" t="inlineStr">
        <is>
          <t>Jumbo</t>
        </is>
      </c>
      <c r="B641" t="n">
        <v>309888</v>
      </c>
      <c r="C641" t="n">
        <v>309125</v>
      </c>
      <c r="D641" t="inlineStr">
        <is>
          <t>Shampoo Swing Brillo Radiante 400 Ml</t>
        </is>
      </c>
      <c r="E641" t="inlineStr">
        <is>
          <t>SWING</t>
        </is>
      </c>
      <c r="F641" t="n">
        <v>800</v>
      </c>
      <c r="G641" t="n">
        <v>66116</v>
      </c>
      <c r="H641" t="b">
        <v>0</v>
      </c>
      <c r="I641" t="n">
        <v>400</v>
      </c>
      <c r="J641" t="n">
        <v>2</v>
      </c>
      <c r="K641" t="inlineStr">
        <is>
          <t>&gt; Perfumería &gt; Cuidado Capilar &gt; Shampoo &gt;</t>
        </is>
      </c>
      <c r="L641" t="inlineStr">
        <is>
          <t>shampoo</t>
        </is>
      </c>
      <c r="M641" t="inlineStr">
        <is>
          <t>estandar</t>
        </is>
      </c>
      <c r="N641" t="inlineStr">
        <is>
          <t>general</t>
        </is>
      </c>
      <c r="O641" t="inlineStr">
        <is>
          <t>https://www.jumbo.com.ar/shampoo-swing-brillo-radiante-400-ml/p</t>
        </is>
      </c>
    </row>
    <row r="642">
      <c r="A642" s="2" t="inlineStr">
        <is>
          <t>Jumbo</t>
        </is>
      </c>
      <c r="B642" s="2" t="n">
        <v>308634</v>
      </c>
      <c r="C642" s="2" t="n">
        <v>307871</v>
      </c>
      <c r="D642" s="2" t="inlineStr">
        <is>
          <t>Shampoo Elvive Dream Long Liss 750ml</t>
        </is>
      </c>
      <c r="E642" s="2" t="inlineStr">
        <is>
          <t>ELVIVE</t>
        </is>
      </c>
      <c r="F642" s="2" t="n">
        <v>14500</v>
      </c>
      <c r="G642" s="2" t="n">
        <v>1198347</v>
      </c>
      <c r="H642" s="2" t="b">
        <v>0</v>
      </c>
      <c r="I642" s="2" t="n">
        <v>750</v>
      </c>
      <c r="J642" s="2" t="n">
        <v>19.3333</v>
      </c>
      <c r="K642" s="2" t="inlineStr">
        <is>
          <t>&gt; Perfumería &gt; Cuidado Capilar &gt; Shampoo &gt;</t>
        </is>
      </c>
      <c r="L642" s="2" t="inlineStr">
        <is>
          <t>shampoo</t>
        </is>
      </c>
      <c r="M642" s="2" t="inlineStr">
        <is>
          <t>profesional</t>
        </is>
      </c>
      <c r="N642" s="2" t="inlineStr">
        <is>
          <t>general</t>
        </is>
      </c>
      <c r="O642" s="2" t="inlineStr">
        <is>
          <t>https://www.jumbo.com.ar/shampoo-elvive-dream-long-liss-750ml/p</t>
        </is>
      </c>
    </row>
    <row r="643">
      <c r="A643" t="inlineStr">
        <is>
          <t>Jumbo</t>
        </is>
      </c>
      <c r="B643" t="n">
        <v>307898</v>
      </c>
      <c r="C643" t="n">
        <v>307136</v>
      </c>
      <c r="D643" t="inlineStr">
        <is>
          <t>Shampoo Polyana Ceramidas Doypack 300 Ml</t>
        </is>
      </c>
      <c r="E643" t="inlineStr">
        <is>
          <t>POLYANA</t>
        </is>
      </c>
      <c r="F643" t="n">
        <v>106.99</v>
      </c>
      <c r="G643" t="n">
        <v>8842</v>
      </c>
      <c r="H643" t="b">
        <v>0</v>
      </c>
      <c r="I643" t="n">
        <v>300</v>
      </c>
      <c r="J643" t="n">
        <v>0.3566</v>
      </c>
      <c r="K643" t="inlineStr">
        <is>
          <t>&gt; Perfumería &gt; Cuidado Capilar &gt; Shampoo &gt;</t>
        </is>
      </c>
      <c r="L643" t="inlineStr">
        <is>
          <t>tratamiento</t>
        </is>
      </c>
      <c r="M643" t="inlineStr">
        <is>
          <t>estandar</t>
        </is>
      </c>
      <c r="N643" t="inlineStr">
        <is>
          <t>general</t>
        </is>
      </c>
      <c r="O643" t="inlineStr">
        <is>
          <t>https://www.jumbo.com.ar/shampoo-polyana-ceramidas-doypack-300-ml/p</t>
        </is>
      </c>
    </row>
    <row r="644">
      <c r="A644" s="2" t="inlineStr">
        <is>
          <t>Jumbo</t>
        </is>
      </c>
      <c r="B644" s="2" t="n">
        <v>295748</v>
      </c>
      <c r="C644" s="2" t="n">
        <v>294978</v>
      </c>
      <c r="D644" s="2" t="inlineStr">
        <is>
          <t>Shampoo Anticaspa Clear Men Scalpfoods Detox</t>
        </is>
      </c>
      <c r="E644" s="2" t="inlineStr">
        <is>
          <t>CLEAR</t>
        </is>
      </c>
      <c r="F644" s="2" t="n">
        <v>230.63</v>
      </c>
      <c r="G644" s="2" t="n">
        <v>19060</v>
      </c>
      <c r="H644" s="2" t="b">
        <v>0</v>
      </c>
      <c r="I644" s="2" t="inlineStr"/>
      <c r="J644" s="2" t="inlineStr"/>
      <c r="K644" s="2" t="inlineStr">
        <is>
          <t>&gt; Perfumería &gt; Cuidado Capilar &gt; Shampoo &gt;</t>
        </is>
      </c>
      <c r="L644" s="2" t="inlineStr">
        <is>
          <t>shampoo</t>
        </is>
      </c>
      <c r="M644" s="2" t="inlineStr">
        <is>
          <t>estandar</t>
        </is>
      </c>
      <c r="N644" s="2" t="inlineStr">
        <is>
          <t>anticaspa</t>
        </is>
      </c>
      <c r="O644" s="2" t="inlineStr">
        <is>
          <t>https://www.jumbo.com.ar/shampoo-anticaspa-clear-men-scalpfoods-detox/p</t>
        </is>
      </c>
    </row>
    <row r="645">
      <c r="A645" t="inlineStr">
        <is>
          <t>Jumbo</t>
        </is>
      </c>
      <c r="B645" t="n">
        <v>295745</v>
      </c>
      <c r="C645" t="n">
        <v>294975</v>
      </c>
      <c r="D645" t="inlineStr">
        <is>
          <t>Shampoo Anticaspa Clear Men Scalpfoods Detox</t>
        </is>
      </c>
      <c r="E645" t="inlineStr">
        <is>
          <t>CLEAR</t>
        </is>
      </c>
      <c r="F645" t="n">
        <v>134.69</v>
      </c>
      <c r="G645" t="n">
        <v>11131</v>
      </c>
      <c r="H645" t="b">
        <v>0</v>
      </c>
      <c r="I645" t="inlineStr"/>
      <c r="J645" t="inlineStr"/>
      <c r="K645" t="inlineStr">
        <is>
          <t>&gt; Perfumería &gt; Cuidado Capilar &gt; Shampoo &gt;</t>
        </is>
      </c>
      <c r="L645" t="inlineStr">
        <is>
          <t>shampoo</t>
        </is>
      </c>
      <c r="M645" t="inlineStr">
        <is>
          <t>estandar</t>
        </is>
      </c>
      <c r="N645" t="inlineStr">
        <is>
          <t>anticaspa</t>
        </is>
      </c>
      <c r="O645" t="inlineStr">
        <is>
          <t>https://www.jumbo.com.ar/shampoo-anticaspa-clear-men-scalpfoods-detox-3/p</t>
        </is>
      </c>
    </row>
    <row r="646">
      <c r="A646" s="2" t="inlineStr">
        <is>
          <t>Jumbo</t>
        </is>
      </c>
      <c r="B646" s="2" t="n">
        <v>295167</v>
      </c>
      <c r="C646" s="2" t="n">
        <v>294496</v>
      </c>
      <c r="D646" s="2" t="inlineStr">
        <is>
          <t>Shampoo Fructis Aloe Hidra Bomb 350ml</t>
        </is>
      </c>
      <c r="E646" s="2" t="inlineStr">
        <is>
          <t>FRUCTIS</t>
        </is>
      </c>
      <c r="F646" s="2" t="n">
        <v>3300</v>
      </c>
      <c r="G646" s="2" t="n">
        <v>272727</v>
      </c>
      <c r="H646" s="2" t="b">
        <v>0</v>
      </c>
      <c r="I646" s="2" t="n">
        <v>350</v>
      </c>
      <c r="J646" s="2" t="n">
        <v>9.428599999999999</v>
      </c>
      <c r="K646" s="2" t="inlineStr">
        <is>
          <t>&gt; Perfumería &gt; Cuidado Capilar &gt; Shampoo &gt;</t>
        </is>
      </c>
      <c r="L646" s="2" t="inlineStr">
        <is>
          <t>shampoo</t>
        </is>
      </c>
      <c r="M646" s="2" t="inlineStr">
        <is>
          <t>estandar</t>
        </is>
      </c>
      <c r="N646" s="2" t="inlineStr">
        <is>
          <t>general</t>
        </is>
      </c>
      <c r="O646" s="2" t="inlineStr">
        <is>
          <t>https://www.jumbo.com.ar/shampoo-fructis-aloe-hidra-bomb-350ml/p</t>
        </is>
      </c>
    </row>
    <row r="647">
      <c r="A647" t="inlineStr">
        <is>
          <t>Jumbo</t>
        </is>
      </c>
      <c r="B647" t="n">
        <v>295009</v>
      </c>
      <c r="C647" t="n">
        <v>294240</v>
      </c>
      <c r="D647" t="inlineStr">
        <is>
          <t>Shampoo Sedal Bomba Coco 190 Ml</t>
        </is>
      </c>
      <c r="E647" t="inlineStr">
        <is>
          <t>SEDAL</t>
        </is>
      </c>
      <c r="F647" t="n">
        <v>166.17</v>
      </c>
      <c r="G647" t="n">
        <v>13733</v>
      </c>
      <c r="H647" t="b">
        <v>0</v>
      </c>
      <c r="I647" t="n">
        <v>190</v>
      </c>
      <c r="J647" t="n">
        <v>0.8746</v>
      </c>
      <c r="K647" t="inlineStr">
        <is>
          <t>&gt; Perfumería &gt; Cuidado Capilar &gt; Shampoo &gt;</t>
        </is>
      </c>
      <c r="L647" t="inlineStr">
        <is>
          <t>shampoo</t>
        </is>
      </c>
      <c r="M647" t="inlineStr">
        <is>
          <t>estandar</t>
        </is>
      </c>
      <c r="N647" t="inlineStr">
        <is>
          <t>general</t>
        </is>
      </c>
      <c r="O647" t="inlineStr">
        <is>
          <t>https://www.jumbo.com.ar/shampoo-sedal-bomba-coco-190-ml/p</t>
        </is>
      </c>
    </row>
    <row r="648">
      <c r="A648" s="2" t="inlineStr">
        <is>
          <t>Jumbo</t>
        </is>
      </c>
      <c r="B648" s="2" t="n">
        <v>269213</v>
      </c>
      <c r="C648" s="2" t="n">
        <v>268719</v>
      </c>
      <c r="D648" s="2" t="inlineStr">
        <is>
          <t>Shampoo Il Salone  Keratina 500 Ml</t>
        </is>
      </c>
      <c r="E648" s="2" t="inlineStr">
        <is>
          <t>IL SALONE</t>
        </is>
      </c>
      <c r="F648" s="2" t="n">
        <v>467.07</v>
      </c>
      <c r="G648" s="2" t="n">
        <v>38601</v>
      </c>
      <c r="H648" s="2" t="b">
        <v>0</v>
      </c>
      <c r="I648" s="2" t="n">
        <v>500</v>
      </c>
      <c r="J648" s="2" t="n">
        <v>0.9341</v>
      </c>
      <c r="K648" s="2" t="inlineStr">
        <is>
          <t>&gt; Perfumería &gt; Cuidado Capilar &gt; Shampoo &gt;</t>
        </is>
      </c>
      <c r="L648" s="2" t="inlineStr">
        <is>
          <t>shampoo</t>
        </is>
      </c>
      <c r="M648" s="2" t="inlineStr">
        <is>
          <t>estandar</t>
        </is>
      </c>
      <c r="N648" s="2" t="inlineStr">
        <is>
          <t>tratado</t>
        </is>
      </c>
      <c r="O648" s="2" t="inlineStr">
        <is>
          <t>https://www.jumbo.com.ar/shampoo-il-salone-keratina-500-ml/p</t>
        </is>
      </c>
    </row>
    <row r="649">
      <c r="A649" t="inlineStr">
        <is>
          <t>Jumbo</t>
        </is>
      </c>
      <c r="B649" t="n">
        <v>263638</v>
      </c>
      <c r="C649" t="n">
        <v>263358</v>
      </c>
      <c r="D649" t="inlineStr">
        <is>
          <t>Shampoo Suave Palta Y Argan 930ml</t>
        </is>
      </c>
      <c r="E649" t="inlineStr">
        <is>
          <t>SUAVE</t>
        </is>
      </c>
      <c r="F649" t="n">
        <v>103.84</v>
      </c>
      <c r="G649" t="n">
        <v>8582</v>
      </c>
      <c r="H649" t="b">
        <v>0</v>
      </c>
      <c r="I649" t="n">
        <v>930</v>
      </c>
      <c r="J649" t="n">
        <v>0.1117</v>
      </c>
      <c r="K649" t="inlineStr">
        <is>
          <t>&gt; Perfumería &gt; Cuidado Capilar &gt; Shampoo &gt;</t>
        </is>
      </c>
      <c r="L649" t="inlineStr">
        <is>
          <t>shampoo</t>
        </is>
      </c>
      <c r="M649" t="inlineStr">
        <is>
          <t>estandar</t>
        </is>
      </c>
      <c r="N649" t="inlineStr">
        <is>
          <t>bebe</t>
        </is>
      </c>
      <c r="O649" t="inlineStr">
        <is>
          <t>https://www.jumbo.com.ar/shampoo-suave-palta-y-argan-930ml/p</t>
        </is>
      </c>
    </row>
    <row r="650">
      <c r="A650" s="2" t="inlineStr">
        <is>
          <t>Jumbo</t>
        </is>
      </c>
      <c r="B650" s="2" t="n">
        <v>249724</v>
      </c>
      <c r="C650" s="2" t="n">
        <v>246715</v>
      </c>
      <c r="D650" s="2" t="inlineStr">
        <is>
          <t>Tío Nacho Ultrahidratante Shampoo 415 Ml</t>
        </is>
      </c>
      <c r="E650" s="2" t="inlineStr">
        <is>
          <t>Tio Nacho</t>
        </is>
      </c>
      <c r="F650" s="2" t="n">
        <v>1550</v>
      </c>
      <c r="G650" s="2" t="n">
        <v>128099</v>
      </c>
      <c r="H650" s="2" t="b">
        <v>0</v>
      </c>
      <c r="I650" s="2" t="n">
        <v>415</v>
      </c>
      <c r="J650" s="2" t="n">
        <v>3.7349</v>
      </c>
      <c r="K650" s="2" t="inlineStr">
        <is>
          <t>&gt; Perfumería &gt; Cuidado Capilar &gt; Shampoo &gt;</t>
        </is>
      </c>
      <c r="L650" s="2" t="inlineStr">
        <is>
          <t>shampoo</t>
        </is>
      </c>
      <c r="M650" s="2" t="inlineStr">
        <is>
          <t>estandar</t>
        </is>
      </c>
      <c r="N650" s="2" t="inlineStr">
        <is>
          <t>seco_danado</t>
        </is>
      </c>
      <c r="O650" s="2" t="inlineStr">
        <is>
          <t>https://www.jumbo.com.ar/tio-nacho-ultrahidratante-shampoo-415-ml/p</t>
        </is>
      </c>
    </row>
    <row r="651">
      <c r="A651" t="inlineStr">
        <is>
          <t>Jumbo</t>
        </is>
      </c>
      <c r="B651" t="n">
        <v>248619</v>
      </c>
      <c r="C651" t="n">
        <v>245601</v>
      </c>
      <c r="D651" t="inlineStr">
        <is>
          <t>Shampoo Sedal Bomba Argán 190 Ml</t>
        </is>
      </c>
      <c r="E651" t="inlineStr">
        <is>
          <t>SEDAL</t>
        </is>
      </c>
      <c r="F651" t="n">
        <v>166.17</v>
      </c>
      <c r="G651" t="n">
        <v>13733</v>
      </c>
      <c r="H651" t="b">
        <v>0</v>
      </c>
      <c r="I651" t="n">
        <v>190</v>
      </c>
      <c r="J651" t="n">
        <v>0.8746</v>
      </c>
      <c r="K651" t="inlineStr">
        <is>
          <t>&gt; Perfumería &gt; Cuidado Capilar &gt; Shampoo &gt;</t>
        </is>
      </c>
      <c r="L651" t="inlineStr">
        <is>
          <t>shampoo</t>
        </is>
      </c>
      <c r="M651" t="inlineStr">
        <is>
          <t>estandar</t>
        </is>
      </c>
      <c r="N651" t="inlineStr">
        <is>
          <t>general</t>
        </is>
      </c>
      <c r="O651" t="inlineStr">
        <is>
          <t>https://www.jumbo.com.ar/shampoo-sedal-bomba-argan-190-ml-2/p</t>
        </is>
      </c>
    </row>
    <row r="652">
      <c r="A652" s="2" t="inlineStr">
        <is>
          <t>Jumbo</t>
        </is>
      </c>
      <c r="B652" s="2" t="n">
        <v>248618</v>
      </c>
      <c r="C652" s="2" t="n">
        <v>245600</v>
      </c>
      <c r="D652" s="2" t="inlineStr">
        <is>
          <t>Shampoo Sedal Bomba Argán 650 Ml</t>
        </is>
      </c>
      <c r="E652" s="2" t="inlineStr">
        <is>
          <t>SEDAL</t>
        </is>
      </c>
      <c r="F652" s="2" t="n">
        <v>246.25</v>
      </c>
      <c r="G652" s="2" t="n">
        <v>20351</v>
      </c>
      <c r="H652" s="2" t="b">
        <v>0</v>
      </c>
      <c r="I652" s="2" t="n">
        <v>650</v>
      </c>
      <c r="J652" s="2" t="n">
        <v>0.3788</v>
      </c>
      <c r="K652" s="2" t="inlineStr">
        <is>
          <t>&gt; Perfumería &gt; Cuidado Capilar &gt; Shampoo &gt;</t>
        </is>
      </c>
      <c r="L652" s="2" t="inlineStr">
        <is>
          <t>shampoo</t>
        </is>
      </c>
      <c r="M652" s="2" t="inlineStr">
        <is>
          <t>estandar</t>
        </is>
      </c>
      <c r="N652" s="2" t="inlineStr">
        <is>
          <t>general</t>
        </is>
      </c>
      <c r="O652" s="2" t="inlineStr">
        <is>
          <t>https://www.jumbo.com.ar/shampoo-sedal-bomba-argan-650-ml/p</t>
        </is>
      </c>
    </row>
    <row r="653">
      <c r="A653" t="inlineStr">
        <is>
          <t>Jumbo</t>
        </is>
      </c>
      <c r="B653" t="n">
        <v>246759</v>
      </c>
      <c r="C653" t="n">
        <v>243671</v>
      </c>
      <c r="D653" t="inlineStr">
        <is>
          <t>Shampoo Vo5 Lacio Luminoso X 790ml</t>
        </is>
      </c>
      <c r="E653" t="inlineStr">
        <is>
          <t>VO5</t>
        </is>
      </c>
      <c r="F653" t="n">
        <v>59.73</v>
      </c>
      <c r="G653" t="n">
        <v>59.73</v>
      </c>
      <c r="H653" t="b">
        <v>0</v>
      </c>
      <c r="I653" t="n">
        <v>790</v>
      </c>
      <c r="J653" t="n">
        <v>0.0756</v>
      </c>
      <c r="K653" t="inlineStr">
        <is>
          <t>&gt; Perfumería &gt; Cuidado Capilar &gt; Shampoo &gt;</t>
        </is>
      </c>
      <c r="L653" t="inlineStr">
        <is>
          <t>shampoo</t>
        </is>
      </c>
      <c r="M653" t="inlineStr">
        <is>
          <t>estandar</t>
        </is>
      </c>
      <c r="N653" t="inlineStr">
        <is>
          <t>tratado</t>
        </is>
      </c>
      <c r="O653" t="inlineStr">
        <is>
          <t>https://www.jumbo.com.ar/shampoo-vo5-lacio-luminoso-x-790ml/p</t>
        </is>
      </c>
    </row>
    <row r="654">
      <c r="A654" s="2" t="inlineStr">
        <is>
          <t>Jumbo</t>
        </is>
      </c>
      <c r="B654" s="2" t="n">
        <v>190033</v>
      </c>
      <c r="C654" s="2" t="n">
        <v>232578</v>
      </c>
      <c r="D654" s="2" t="inlineStr">
        <is>
          <t>Shampoo Folicure Original + Ampolla Folicure</t>
        </is>
      </c>
      <c r="E654" s="2" t="inlineStr">
        <is>
          <t>FOLICURE</t>
        </is>
      </c>
      <c r="F654" s="2" t="n">
        <v>19.99</v>
      </c>
      <c r="G654" s="2" t="n">
        <v>19.99</v>
      </c>
      <c r="H654" s="2" t="b">
        <v>0</v>
      </c>
      <c r="I654" s="2" t="inlineStr"/>
      <c r="J654" s="2" t="inlineStr"/>
      <c r="K654" s="2" t="inlineStr">
        <is>
          <t>&gt; Perfumería &gt; Cuidado Capilar &gt; Shampoo &gt;</t>
        </is>
      </c>
      <c r="L654" s="2" t="inlineStr">
        <is>
          <t>shampoo</t>
        </is>
      </c>
      <c r="M654" s="2" t="inlineStr">
        <is>
          <t>estandar</t>
        </is>
      </c>
      <c r="N654" s="2" t="inlineStr">
        <is>
          <t>general</t>
        </is>
      </c>
      <c r="O654" s="2" t="inlineStr">
        <is>
          <t>https://www.jumbo.com.ar/shampoo-folicure-5-349482/p</t>
        </is>
      </c>
    </row>
    <row r="655">
      <c r="A655" t="inlineStr">
        <is>
          <t>Jumbo</t>
        </is>
      </c>
      <c r="B655" t="n">
        <v>167196</v>
      </c>
      <c r="C655" t="n">
        <v>165022</v>
      </c>
      <c r="D655" t="inlineStr">
        <is>
          <t>Shampoo Tresemmé-limpieza Profunda-pvc-ml.-750</t>
        </is>
      </c>
      <c r="E655" t="inlineStr">
        <is>
          <t>TRESEMMÉ</t>
        </is>
      </c>
      <c r="F655" t="n">
        <v>55.29</v>
      </c>
      <c r="G655" t="n">
        <v>4569</v>
      </c>
      <c r="H655" t="b">
        <v>0</v>
      </c>
      <c r="I655" t="inlineStr"/>
      <c r="J655" t="inlineStr"/>
      <c r="K655" t="inlineStr">
        <is>
          <t>&gt; Perfumería &gt; Cuidado Capilar &gt; Shampoo &gt;</t>
        </is>
      </c>
      <c r="L655" t="inlineStr">
        <is>
          <t>shampoo</t>
        </is>
      </c>
      <c r="M655" t="inlineStr">
        <is>
          <t>estandar</t>
        </is>
      </c>
      <c r="N655" t="inlineStr">
        <is>
          <t>general</t>
        </is>
      </c>
      <c r="O655" t="inlineStr">
        <is>
          <t>https://www.jumbo.com.ar/shampoo-tresemme-limpieza-profunda-pvc-ml-750/p</t>
        </is>
      </c>
    </row>
    <row r="656">
      <c r="A656" s="2" t="inlineStr">
        <is>
          <t>Jumbo</t>
        </is>
      </c>
      <c r="B656" s="2" t="n">
        <v>25406</v>
      </c>
      <c r="C656" s="2" t="n">
        <v>22566</v>
      </c>
      <c r="D656" s="2" t="inlineStr">
        <is>
          <t>Acondicionador Diario Pro-v Hidratación Extrema 170 Ml Pantene</t>
        </is>
      </c>
      <c r="E656" s="2" t="inlineStr">
        <is>
          <t>PANTENE</t>
        </is>
      </c>
      <c r="F656" s="2" t="n">
        <v>10000</v>
      </c>
      <c r="G656" s="2" t="n">
        <v>826446</v>
      </c>
      <c r="H656" s="2" t="b">
        <v>1</v>
      </c>
      <c r="I656" s="2" t="n">
        <v>170</v>
      </c>
      <c r="J656" s="2" t="n">
        <v>58.8235</v>
      </c>
      <c r="K656" s="2" t="inlineStr">
        <is>
          <t>&gt; Perfumería &gt; Cuidado Capilar &gt; Acondicionador &gt;</t>
        </is>
      </c>
      <c r="L656" s="2" t="inlineStr">
        <is>
          <t>acondicionador</t>
        </is>
      </c>
      <c r="M656" s="2" t="inlineStr">
        <is>
          <t>profesional</t>
        </is>
      </c>
      <c r="N656" s="2" t="inlineStr">
        <is>
          <t>seco_danado</t>
        </is>
      </c>
      <c r="O656" s="2" t="inlineStr">
        <is>
          <t>https://www.jumbo.com.ar/acondicionador-diario-pro-v-hidratacion-extrema-170-ml-pantene/p</t>
        </is>
      </c>
    </row>
    <row r="657">
      <c r="A657" t="inlineStr">
        <is>
          <t>Jumbo</t>
        </is>
      </c>
      <c r="B657" t="n">
        <v>3087374</v>
      </c>
      <c r="C657" t="n">
        <v>3086595</v>
      </c>
      <c r="D657" t="inlineStr">
        <is>
          <t>Acondicionador Dove Reconstaminoacido 650ml</t>
        </is>
      </c>
      <c r="E657" t="inlineStr">
        <is>
          <t>DOVE</t>
        </is>
      </c>
      <c r="F657" t="n">
        <v>16700</v>
      </c>
      <c r="G657" t="n">
        <v>1380165</v>
      </c>
      <c r="H657" t="b">
        <v>1</v>
      </c>
      <c r="I657" t="n">
        <v>650</v>
      </c>
      <c r="J657" t="n">
        <v>25.6923</v>
      </c>
      <c r="K657" t="inlineStr">
        <is>
          <t>&gt; Perfumería &gt; Cuidado Capilar &gt; Acondicionador &gt;</t>
        </is>
      </c>
      <c r="L657" t="inlineStr">
        <is>
          <t>acondicionador</t>
        </is>
      </c>
      <c r="M657" t="inlineStr">
        <is>
          <t>estandar</t>
        </is>
      </c>
      <c r="N657" t="inlineStr">
        <is>
          <t>general</t>
        </is>
      </c>
      <c r="O657" t="inlineStr">
        <is>
          <t>https://www.jumbo.com.ar/acondicionador-dove-reconstaminoacido-650ml/p</t>
        </is>
      </c>
    </row>
    <row r="658">
      <c r="A658" s="2" t="inlineStr">
        <is>
          <t>Jumbo</t>
        </is>
      </c>
      <c r="B658" s="2" t="n">
        <v>3087382</v>
      </c>
      <c r="C658" s="2" t="n">
        <v>3086603</v>
      </c>
      <c r="D658" s="2" t="inlineStr">
        <is>
          <t>Acondicionador Dove Regeneracionretinol 650ml</t>
        </is>
      </c>
      <c r="E658" s="2" t="inlineStr">
        <is>
          <t>DOVE</t>
        </is>
      </c>
      <c r="F658" s="2" t="n">
        <v>16700</v>
      </c>
      <c r="G658" s="2" t="n">
        <v>1380165</v>
      </c>
      <c r="H658" s="2" t="b">
        <v>1</v>
      </c>
      <c r="I658" s="2" t="n">
        <v>650</v>
      </c>
      <c r="J658" s="2" t="n">
        <v>25.6923</v>
      </c>
      <c r="K658" s="2" t="inlineStr">
        <is>
          <t>&gt; Perfumería &gt; Cuidado Capilar &gt; Acondicionador &gt;</t>
        </is>
      </c>
      <c r="L658" s="2" t="inlineStr">
        <is>
          <t>acondicionador</t>
        </is>
      </c>
      <c r="M658" s="2" t="inlineStr">
        <is>
          <t>estandar</t>
        </is>
      </c>
      <c r="N658" s="2" t="inlineStr">
        <is>
          <t>general</t>
        </is>
      </c>
      <c r="O658" s="2" t="inlineStr">
        <is>
          <t>https://www.jumbo.com.ar/acondicionador-dove-regeneracionretinol-650ml/p</t>
        </is>
      </c>
    </row>
    <row r="659">
      <c r="A659" t="inlineStr">
        <is>
          <t>Jumbo</t>
        </is>
      </c>
      <c r="B659" t="n">
        <v>411246</v>
      </c>
      <c r="C659" t="n">
        <v>407086</v>
      </c>
      <c r="D659" t="inlineStr">
        <is>
          <t>Acondicionador Dove Hidratacion 400 Ml</t>
        </is>
      </c>
      <c r="E659" t="inlineStr">
        <is>
          <t>DOVE</t>
        </is>
      </c>
      <c r="F659" t="n">
        <v>9150</v>
      </c>
      <c r="G659" t="n">
        <v>756198</v>
      </c>
      <c r="H659" t="b">
        <v>1</v>
      </c>
      <c r="I659" t="n">
        <v>400</v>
      </c>
      <c r="J659" t="n">
        <v>22.875</v>
      </c>
      <c r="K659" t="inlineStr">
        <is>
          <t>&gt; Perfumería &gt; Cuidado Capilar &gt; Acondicionador &gt;</t>
        </is>
      </c>
      <c r="L659" t="inlineStr">
        <is>
          <t>acondicionador</t>
        </is>
      </c>
      <c r="M659" t="inlineStr">
        <is>
          <t>estandar</t>
        </is>
      </c>
      <c r="N659" t="inlineStr">
        <is>
          <t>seco_danado</t>
        </is>
      </c>
      <c r="O659" t="inlineStr">
        <is>
          <t>https://www.jumbo.com.ar/acondicionador-dove-hidratacion-400-ml/p</t>
        </is>
      </c>
    </row>
    <row r="660">
      <c r="A660" s="2" t="inlineStr">
        <is>
          <t>Jumbo</t>
        </is>
      </c>
      <c r="B660" s="2" t="n">
        <v>396962</v>
      </c>
      <c r="C660" s="2" t="n">
        <v>394718</v>
      </c>
      <c r="D660" s="2" t="inlineStr">
        <is>
          <t>Acondicionador Restauración 970 Ml Plusbelle</t>
        </is>
      </c>
      <c r="E660" s="2" t="inlineStr">
        <is>
          <t>PLUSBELLE</t>
        </is>
      </c>
      <c r="F660" s="2" t="n">
        <v>6350</v>
      </c>
      <c r="G660" s="2" t="n">
        <v>524793</v>
      </c>
      <c r="H660" s="2" t="b">
        <v>1</v>
      </c>
      <c r="I660" s="2" t="n">
        <v>970</v>
      </c>
      <c r="J660" s="2" t="n">
        <v>6.5464</v>
      </c>
      <c r="K660" s="2" t="inlineStr">
        <is>
          <t>&gt; Perfumería &gt; Cuidado Capilar &gt; Acondicionador &gt;</t>
        </is>
      </c>
      <c r="L660" s="2" t="inlineStr">
        <is>
          <t>acondicionador</t>
        </is>
      </c>
      <c r="M660" s="2" t="inlineStr">
        <is>
          <t>estandar</t>
        </is>
      </c>
      <c r="N660" s="2" t="inlineStr">
        <is>
          <t>general</t>
        </is>
      </c>
      <c r="O660" s="2" t="inlineStr">
        <is>
          <t>https://www.jumbo.com.ar/acondicionador-esencia-restauracion-970-ml-plusbelle/p</t>
        </is>
      </c>
    </row>
    <row r="661">
      <c r="A661" t="inlineStr">
        <is>
          <t>Jumbo</t>
        </is>
      </c>
      <c r="B661" t="n">
        <v>251373</v>
      </c>
      <c r="C661" t="n">
        <v>250674</v>
      </c>
      <c r="D661" t="inlineStr">
        <is>
          <t>Acondicionador Herbal Essences Coconut 400ml</t>
        </is>
      </c>
      <c r="E661" t="inlineStr">
        <is>
          <t>HERBAL ESSENCES</t>
        </is>
      </c>
      <c r="F661" t="n">
        <v>16800</v>
      </c>
      <c r="G661" t="n">
        <v>1388430</v>
      </c>
      <c r="H661" t="b">
        <v>1</v>
      </c>
      <c r="I661" t="n">
        <v>400</v>
      </c>
      <c r="J661" t="n">
        <v>42</v>
      </c>
      <c r="K661" t="inlineStr">
        <is>
          <t>&gt; Perfumería &gt; Cuidado Capilar &gt; Acondicionador &gt;</t>
        </is>
      </c>
      <c r="L661" t="inlineStr">
        <is>
          <t>acondicionador</t>
        </is>
      </c>
      <c r="M661" t="inlineStr">
        <is>
          <t>estandar</t>
        </is>
      </c>
      <c r="N661" t="inlineStr">
        <is>
          <t>general</t>
        </is>
      </c>
      <c r="O661" t="inlineStr">
        <is>
          <t>https://www.jumbo.com.ar/acondicionador-herbal-essences-coconut-400ml/p</t>
        </is>
      </c>
    </row>
    <row r="662">
      <c r="A662" s="2" t="inlineStr">
        <is>
          <t>Jumbo</t>
        </is>
      </c>
      <c r="B662" s="2" t="n">
        <v>3068263</v>
      </c>
      <c r="C662" s="2" t="n">
        <v>3068091</v>
      </c>
      <c r="D662" s="2" t="inlineStr">
        <is>
          <t>Acondicionador Probiotics 200 Ml Fructis</t>
        </is>
      </c>
      <c r="E662" s="2" t="inlineStr">
        <is>
          <t>FRUCTIS</t>
        </is>
      </c>
      <c r="F662" s="2" t="n">
        <v>5900</v>
      </c>
      <c r="G662" s="2" t="n">
        <v>487603</v>
      </c>
      <c r="H662" s="2" t="b">
        <v>1</v>
      </c>
      <c r="I662" s="2" t="n">
        <v>200</v>
      </c>
      <c r="J662" s="2" t="n">
        <v>29.5</v>
      </c>
      <c r="K662" s="2" t="inlineStr">
        <is>
          <t>&gt; Perfumería &gt; Cuidado Capilar &gt; Acondicionador &gt;</t>
        </is>
      </c>
      <c r="L662" s="2" t="inlineStr">
        <is>
          <t>acondicionador</t>
        </is>
      </c>
      <c r="M662" s="2" t="inlineStr">
        <is>
          <t>estandar</t>
        </is>
      </c>
      <c r="N662" s="2" t="inlineStr">
        <is>
          <t>general</t>
        </is>
      </c>
      <c r="O662" s="2" t="inlineStr">
        <is>
          <t>https://www.jumbo.com.ar/acondicionador-probiotics-x-200-ml-fructis-2/p</t>
        </is>
      </c>
    </row>
    <row r="663">
      <c r="A663" t="inlineStr">
        <is>
          <t>Jumbo</t>
        </is>
      </c>
      <c r="B663" t="n">
        <v>394353</v>
      </c>
      <c r="C663" t="n">
        <v>392359</v>
      </c>
      <c r="D663" t="inlineStr">
        <is>
          <t>Acondicionador Ceramidas 190 Ml Sedal</t>
        </is>
      </c>
      <c r="E663" t="inlineStr">
        <is>
          <t>SEDAL</t>
        </is>
      </c>
      <c r="F663" t="n">
        <v>3900</v>
      </c>
      <c r="G663" t="n">
        <v>322314</v>
      </c>
      <c r="H663" t="b">
        <v>1</v>
      </c>
      <c r="I663" t="n">
        <v>190</v>
      </c>
      <c r="J663" t="n">
        <v>20.5263</v>
      </c>
      <c r="K663" t="inlineStr">
        <is>
          <t>&gt; Perfumería &gt; Cuidado Capilar &gt; Acondicionador &gt;</t>
        </is>
      </c>
      <c r="L663" t="inlineStr">
        <is>
          <t>acondicionador</t>
        </is>
      </c>
      <c r="M663" t="inlineStr">
        <is>
          <t>estandar</t>
        </is>
      </c>
      <c r="N663" t="inlineStr">
        <is>
          <t>general</t>
        </is>
      </c>
      <c r="O663" t="inlineStr">
        <is>
          <t>https://www.jumbo.com.ar/acondicionador-ceramidas-190-ml-sedal/p</t>
        </is>
      </c>
    </row>
    <row r="664">
      <c r="A664" s="2" t="inlineStr">
        <is>
          <t>Jumbo</t>
        </is>
      </c>
      <c r="B664" s="2" t="n">
        <v>251370</v>
      </c>
      <c r="C664" s="2" t="n">
        <v>250672</v>
      </c>
      <c r="D664" s="2" t="inlineStr">
        <is>
          <t>Acondicionador Herbal Essences Argan400ml</t>
        </is>
      </c>
      <c r="E664" s="2" t="inlineStr">
        <is>
          <t>HERBAL ESSENCES</t>
        </is>
      </c>
      <c r="F664" s="2" t="n">
        <v>16800</v>
      </c>
      <c r="G664" s="2" t="n">
        <v>1388430</v>
      </c>
      <c r="H664" s="2" t="b">
        <v>1</v>
      </c>
      <c r="I664" s="2" t="n">
        <v>400</v>
      </c>
      <c r="J664" s="2" t="n">
        <v>42</v>
      </c>
      <c r="K664" s="2" t="inlineStr">
        <is>
          <t>&gt; Perfumería &gt; Cuidado Capilar &gt; Acondicionador &gt;</t>
        </is>
      </c>
      <c r="L664" s="2" t="inlineStr">
        <is>
          <t>acondicionador</t>
        </is>
      </c>
      <c r="M664" s="2" t="inlineStr">
        <is>
          <t>estandar</t>
        </is>
      </c>
      <c r="N664" s="2" t="inlineStr">
        <is>
          <t>general</t>
        </is>
      </c>
      <c r="O664" s="2" t="inlineStr">
        <is>
          <t>https://www.jumbo.com.ar/acondicionador-herbal-essences-argan400ml/p</t>
        </is>
      </c>
    </row>
    <row r="665">
      <c r="A665" t="inlineStr">
        <is>
          <t>Jumbo</t>
        </is>
      </c>
      <c r="B665" t="n">
        <v>3070282</v>
      </c>
      <c r="C665" t="n">
        <v>3069875</v>
      </c>
      <c r="D665" t="inlineStr">
        <is>
          <t>Acondicionador Keratina Antifrizz 500 Ml Tresemmé</t>
        </is>
      </c>
      <c r="E665" t="inlineStr">
        <is>
          <t>TRESEMMÉ</t>
        </is>
      </c>
      <c r="F665" t="n">
        <v>10700</v>
      </c>
      <c r="G665" t="n">
        <v>884298</v>
      </c>
      <c r="H665" t="b">
        <v>1</v>
      </c>
      <c r="I665" t="n">
        <v>500</v>
      </c>
      <c r="J665" t="n">
        <v>21.4</v>
      </c>
      <c r="K665" t="inlineStr">
        <is>
          <t>&gt; Perfumería &gt; Cuidado Capilar &gt; Acondicionador &gt;</t>
        </is>
      </c>
      <c r="L665" t="inlineStr">
        <is>
          <t>acondicionador</t>
        </is>
      </c>
      <c r="M665" t="inlineStr">
        <is>
          <t>estandar</t>
        </is>
      </c>
      <c r="N665" t="inlineStr">
        <is>
          <t>tratado</t>
        </is>
      </c>
      <c r="O665" t="inlineStr">
        <is>
          <t>https://www.jumbo.com.ar/acondicionador-keratina-antifrizz-x-500-ml-tresemme-2/p</t>
        </is>
      </c>
    </row>
    <row r="666">
      <c r="A666" s="2" t="inlineStr">
        <is>
          <t>Jumbo</t>
        </is>
      </c>
      <c r="B666" s="2" t="n">
        <v>393559</v>
      </c>
      <c r="C666" s="2" t="n">
        <v>391587</v>
      </c>
      <c r="D666" s="2" t="inlineStr">
        <is>
          <t>Acondicionador Dove óleo Nutrición 400 Ml</t>
        </is>
      </c>
      <c r="E666" s="2" t="inlineStr">
        <is>
          <t>DOVE</t>
        </is>
      </c>
      <c r="F666" s="2" t="n">
        <v>9150</v>
      </c>
      <c r="G666" s="2" t="n">
        <v>756198</v>
      </c>
      <c r="H666" s="2" t="b">
        <v>1</v>
      </c>
      <c r="I666" s="2" t="n">
        <v>400</v>
      </c>
      <c r="J666" s="2" t="n">
        <v>22.875</v>
      </c>
      <c r="K666" s="2" t="inlineStr">
        <is>
          <t>&gt; Perfumería &gt; Cuidado Capilar &gt; Acondicionador &gt;</t>
        </is>
      </c>
      <c r="L666" s="2" t="inlineStr">
        <is>
          <t>acondicionador</t>
        </is>
      </c>
      <c r="M666" s="2" t="inlineStr">
        <is>
          <t>estandar</t>
        </is>
      </c>
      <c r="N666" s="2" t="inlineStr">
        <is>
          <t>general</t>
        </is>
      </c>
      <c r="O666" s="2" t="inlineStr">
        <is>
          <t>https://www.jumbo.com.ar/acondicionador-dove-oleo-nutricion-400-ml-3/p</t>
        </is>
      </c>
    </row>
    <row r="667">
      <c r="A667" t="inlineStr">
        <is>
          <t>Jumbo</t>
        </is>
      </c>
      <c r="B667" t="n">
        <v>3070159</v>
      </c>
      <c r="C667" t="n">
        <v>3069766</v>
      </c>
      <c r="D667" t="inlineStr">
        <is>
          <t>Acondicionador Keratina X 510 Ml Pantene</t>
        </is>
      </c>
      <c r="E667" t="inlineStr">
        <is>
          <t>PANTENE</t>
        </is>
      </c>
      <c r="F667" t="n">
        <v>16400</v>
      </c>
      <c r="G667" t="n">
        <v>1355372</v>
      </c>
      <c r="H667" t="b">
        <v>1</v>
      </c>
      <c r="I667" t="n">
        <v>510</v>
      </c>
      <c r="J667" t="n">
        <v>32.1569</v>
      </c>
      <c r="K667" t="inlineStr">
        <is>
          <t>&gt; Perfumería &gt; Cuidado Capilar &gt; Acondicionador &gt;</t>
        </is>
      </c>
      <c r="L667" t="inlineStr">
        <is>
          <t>acondicionador</t>
        </is>
      </c>
      <c r="M667" t="inlineStr">
        <is>
          <t>estandar</t>
        </is>
      </c>
      <c r="N667" t="inlineStr">
        <is>
          <t>tratado</t>
        </is>
      </c>
      <c r="O667" t="inlineStr">
        <is>
          <t>https://www.jumbo.com.ar/acondicionador-keratina-x-510-ml-pantene/p</t>
        </is>
      </c>
    </row>
    <row r="668">
      <c r="A668" s="2" t="inlineStr">
        <is>
          <t>Jumbo</t>
        </is>
      </c>
      <c r="B668" s="2" t="n">
        <v>3070158</v>
      </c>
      <c r="C668" s="2" t="n">
        <v>3069763</v>
      </c>
      <c r="D668" s="2" t="inlineStr">
        <is>
          <t>Acondicionador Colágeno Hidratación 510 Ml Pantene</t>
        </is>
      </c>
      <c r="E668" s="2" t="inlineStr">
        <is>
          <t>PANTENE</t>
        </is>
      </c>
      <c r="F668" s="2" t="n">
        <v>16400</v>
      </c>
      <c r="G668" s="2" t="n">
        <v>1355372</v>
      </c>
      <c r="H668" s="2" t="b">
        <v>1</v>
      </c>
      <c r="I668" s="2" t="n">
        <v>510</v>
      </c>
      <c r="J668" s="2" t="n">
        <v>32.1569</v>
      </c>
      <c r="K668" s="2" t="inlineStr">
        <is>
          <t>&gt; Perfumería &gt; Cuidado Capilar &gt; Acondicionador &gt;</t>
        </is>
      </c>
      <c r="L668" s="2" t="inlineStr">
        <is>
          <t>acondicionador</t>
        </is>
      </c>
      <c r="M668" s="2" t="inlineStr">
        <is>
          <t>estandar</t>
        </is>
      </c>
      <c r="N668" s="2" t="inlineStr">
        <is>
          <t>seco_danado</t>
        </is>
      </c>
      <c r="O668" s="2" t="inlineStr">
        <is>
          <t>https://www.jumbo.com.ar/acondicionador-colageno-x-510-ml-pantene-2/p</t>
        </is>
      </c>
    </row>
    <row r="669">
      <c r="A669" t="inlineStr">
        <is>
          <t>Jumbo</t>
        </is>
      </c>
      <c r="B669" t="n">
        <v>3066238</v>
      </c>
      <c r="C669" t="n">
        <v>3066154</v>
      </c>
      <c r="D669" t="inlineStr">
        <is>
          <t>Acondicionador Luminous UV 650 Ml Sedal</t>
        </is>
      </c>
      <c r="E669" t="inlineStr">
        <is>
          <t>SEDAL</t>
        </is>
      </c>
      <c r="F669" t="n">
        <v>9400</v>
      </c>
      <c r="G669" t="n">
        <v>776860</v>
      </c>
      <c r="H669" t="b">
        <v>1</v>
      </c>
      <c r="I669" t="n">
        <v>650</v>
      </c>
      <c r="J669" t="n">
        <v>14.4615</v>
      </c>
      <c r="K669" t="inlineStr">
        <is>
          <t>&gt; Perfumería &gt; Cuidado Capilar &gt; Acondicionador &gt;</t>
        </is>
      </c>
      <c r="L669" t="inlineStr">
        <is>
          <t>acondicionador</t>
        </is>
      </c>
      <c r="M669" t="inlineStr">
        <is>
          <t>estandar</t>
        </is>
      </c>
      <c r="N669" t="inlineStr">
        <is>
          <t>general</t>
        </is>
      </c>
      <c r="O669" t="inlineStr">
        <is>
          <t>https://www.jumbo.com.ar/acondicionador-luminous-uv-x-650-ml-sedal-2/p</t>
        </is>
      </c>
    </row>
    <row r="670">
      <c r="A670" s="2" t="inlineStr">
        <is>
          <t>Jumbo</t>
        </is>
      </c>
      <c r="B670" s="2" t="n">
        <v>401188</v>
      </c>
      <c r="C670" s="2" t="n">
        <v>398526</v>
      </c>
      <c r="D670" s="2" t="inlineStr">
        <is>
          <t>Acondicionador Hidratante Equilibrio 700 Ml Pantene</t>
        </is>
      </c>
      <c r="E670" s="2" t="inlineStr">
        <is>
          <t>PANTENE</t>
        </is>
      </c>
      <c r="F670" s="2" t="n">
        <v>17250</v>
      </c>
      <c r="G670" s="2" t="n">
        <v>1425620</v>
      </c>
      <c r="H670" s="2" t="b">
        <v>1</v>
      </c>
      <c r="I670" s="2" t="n">
        <v>700</v>
      </c>
      <c r="J670" s="2" t="n">
        <v>24.6429</v>
      </c>
      <c r="K670" s="2" t="inlineStr">
        <is>
          <t>&gt; Perfumería &gt; Cuidado Capilar &gt; Acondicionador &gt;</t>
        </is>
      </c>
      <c r="L670" s="2" t="inlineStr">
        <is>
          <t>acondicionador</t>
        </is>
      </c>
      <c r="M670" s="2" t="inlineStr">
        <is>
          <t>estandar</t>
        </is>
      </c>
      <c r="N670" s="2" t="inlineStr">
        <is>
          <t>seco_danado</t>
        </is>
      </c>
      <c r="O670" s="2" t="inlineStr">
        <is>
          <t>https://www.jumbo.com.ar/acondicionador-hidratante-equilibrio-700-ml-pantene/p</t>
        </is>
      </c>
    </row>
    <row r="671">
      <c r="A671" t="inlineStr">
        <is>
          <t>Jumbo</t>
        </is>
      </c>
      <c r="B671" t="n">
        <v>397929</v>
      </c>
      <c r="C671" t="n">
        <v>395664</v>
      </c>
      <c r="D671" t="inlineStr">
        <is>
          <t>Acondicionador Crema Balance 340 Ml Sedal</t>
        </is>
      </c>
      <c r="E671" t="inlineStr">
        <is>
          <t>SEDAL</t>
        </is>
      </c>
      <c r="F671" t="n">
        <v>5450</v>
      </c>
      <c r="G671" t="n">
        <v>450413</v>
      </c>
      <c r="H671" t="b">
        <v>1</v>
      </c>
      <c r="I671" t="n">
        <v>340</v>
      </c>
      <c r="J671" t="n">
        <v>16.0294</v>
      </c>
      <c r="K671" t="inlineStr">
        <is>
          <t>&gt; Perfumería &gt; Cuidado Capilar &gt; Acondicionador &gt;</t>
        </is>
      </c>
      <c r="L671" t="inlineStr">
        <is>
          <t>acondicionador</t>
        </is>
      </c>
      <c r="M671" t="inlineStr">
        <is>
          <t>estandar</t>
        </is>
      </c>
      <c r="N671" t="inlineStr">
        <is>
          <t>general</t>
        </is>
      </c>
      <c r="O671" t="inlineStr">
        <is>
          <t>https://www.jumbo.com.ar/acondicionador-crema-balance-340-ml-sedal/p</t>
        </is>
      </c>
    </row>
    <row r="672">
      <c r="A672" s="2" t="inlineStr">
        <is>
          <t>Jumbo</t>
        </is>
      </c>
      <c r="B672" s="2" t="n">
        <v>397197</v>
      </c>
      <c r="C672" s="2" t="n">
        <v>394938</v>
      </c>
      <c r="D672" s="2" t="inlineStr">
        <is>
          <t>Acondicionador Goodbye Daños 350 Ml Fructis</t>
        </is>
      </c>
      <c r="E672" s="2" t="inlineStr">
        <is>
          <t>FRUCTIS</t>
        </is>
      </c>
      <c r="F672" s="2" t="n">
        <v>8450</v>
      </c>
      <c r="G672" s="2" t="n">
        <v>698347</v>
      </c>
      <c r="H672" s="2" t="b">
        <v>1</v>
      </c>
      <c r="I672" s="2" t="n">
        <v>350</v>
      </c>
      <c r="J672" s="2" t="n">
        <v>24.1429</v>
      </c>
      <c r="K672" s="2" t="inlineStr">
        <is>
          <t>&gt; Perfumería &gt; Cuidado Capilar &gt; Acondicionador &gt;</t>
        </is>
      </c>
      <c r="L672" s="2" t="inlineStr">
        <is>
          <t>acondicionador</t>
        </is>
      </c>
      <c r="M672" s="2" t="inlineStr">
        <is>
          <t>estandar</t>
        </is>
      </c>
      <c r="N672" s="2" t="inlineStr">
        <is>
          <t>general</t>
        </is>
      </c>
      <c r="O672" s="2" t="inlineStr">
        <is>
          <t>https://www.jumbo.com.ar/enjuague-cabello-danado-goodbye-danos-x350-fructis-garnier/p</t>
        </is>
      </c>
    </row>
    <row r="673">
      <c r="A673" t="inlineStr">
        <is>
          <t>Jumbo</t>
        </is>
      </c>
      <c r="B673" t="n">
        <v>393381</v>
      </c>
      <c r="C673" t="n">
        <v>391409</v>
      </c>
      <c r="D673" t="inlineStr">
        <is>
          <t>Acondicionador Rizos Definidos 340 Ml Sedal</t>
        </is>
      </c>
      <c r="E673" t="inlineStr">
        <is>
          <t>SEDAL</t>
        </is>
      </c>
      <c r="F673" t="n">
        <v>5450</v>
      </c>
      <c r="G673" t="n">
        <v>450413</v>
      </c>
      <c r="H673" t="b">
        <v>1</v>
      </c>
      <c r="I673" t="n">
        <v>340</v>
      </c>
      <c r="J673" t="n">
        <v>16.0294</v>
      </c>
      <c r="K673" t="inlineStr">
        <is>
          <t>&gt; Perfumería &gt; Cuidado Capilar &gt; Acondicionador &gt;</t>
        </is>
      </c>
      <c r="L673" t="inlineStr">
        <is>
          <t>acondicionador</t>
        </is>
      </c>
      <c r="M673" t="inlineStr">
        <is>
          <t>estandar</t>
        </is>
      </c>
      <c r="N673" t="inlineStr">
        <is>
          <t>rizado</t>
        </is>
      </c>
      <c r="O673" t="inlineStr">
        <is>
          <t>https://www.jumbo.com.ar/acondicionador-rizos-definidos-340-ml-sedal/p</t>
        </is>
      </c>
    </row>
    <row r="674">
      <c r="A674" s="2" t="inlineStr">
        <is>
          <t>Jumbo</t>
        </is>
      </c>
      <c r="B674" s="2" t="n">
        <v>339398</v>
      </c>
      <c r="C674" s="2" t="n">
        <v>338089</v>
      </c>
      <c r="D674" s="2" t="inlineStr">
        <is>
          <t>Acondicionador Recarga Nutritiva 650 Ml Fructis</t>
        </is>
      </c>
      <c r="E674" s="2" t="inlineStr">
        <is>
          <t>FRUCTIS</t>
        </is>
      </c>
      <c r="F674" s="2" t="n">
        <v>12950</v>
      </c>
      <c r="G674" s="2" t="n">
        <v>1070248</v>
      </c>
      <c r="H674" s="2" t="b">
        <v>1</v>
      </c>
      <c r="I674" s="2" t="n">
        <v>650</v>
      </c>
      <c r="J674" s="2" t="n">
        <v>19.9231</v>
      </c>
      <c r="K674" s="2" t="inlineStr">
        <is>
          <t>&gt; Perfumería &gt; Cuidado Capilar &gt; Acondicionador &gt;</t>
        </is>
      </c>
      <c r="L674" s="2" t="inlineStr">
        <is>
          <t>acondicionador</t>
        </is>
      </c>
      <c r="M674" s="2" t="inlineStr">
        <is>
          <t>estandar</t>
        </is>
      </c>
      <c r="N674" s="2" t="inlineStr">
        <is>
          <t>general</t>
        </is>
      </c>
      <c r="O674" s="2" t="inlineStr">
        <is>
          <t>https://www.jumbo.com.ar/acondicionador-recarga-nutritiva-650-ml-fructis/p</t>
        </is>
      </c>
    </row>
    <row r="675">
      <c r="A675" t="inlineStr">
        <is>
          <t>Jumbo</t>
        </is>
      </c>
      <c r="B675" t="n">
        <v>3065222</v>
      </c>
      <c r="C675" t="n">
        <v>3065221</v>
      </c>
      <c r="D675" t="inlineStr">
        <is>
          <t>Acondicionador Liso Infinito 700 Ml Pantene</t>
        </is>
      </c>
      <c r="E675" t="inlineStr">
        <is>
          <t>PANTENE</t>
        </is>
      </c>
      <c r="F675" t="n">
        <v>17250</v>
      </c>
      <c r="G675" t="n">
        <v>1425620</v>
      </c>
      <c r="H675" t="b">
        <v>1</v>
      </c>
      <c r="I675" t="n">
        <v>700</v>
      </c>
      <c r="J675" t="n">
        <v>24.6429</v>
      </c>
      <c r="K675" t="inlineStr">
        <is>
          <t>&gt; Perfumería &gt; Cuidado Capilar &gt; Acondicionador &gt;</t>
        </is>
      </c>
      <c r="L675" t="inlineStr">
        <is>
          <t>acondicionador</t>
        </is>
      </c>
      <c r="M675" t="inlineStr">
        <is>
          <t>estandar</t>
        </is>
      </c>
      <c r="N675" t="inlineStr">
        <is>
          <t>general</t>
        </is>
      </c>
      <c r="O675" t="inlineStr">
        <is>
          <t>https://www.jumbo.com.ar/acondicionador-pro-v-miracles-liso-finito-700-ml-pantene-2/p</t>
        </is>
      </c>
    </row>
    <row r="676">
      <c r="A676" s="2" t="inlineStr">
        <is>
          <t>Jumbo</t>
        </is>
      </c>
      <c r="B676" s="2" t="n">
        <v>396960</v>
      </c>
      <c r="C676" s="2" t="n">
        <v>394716</v>
      </c>
      <c r="D676" s="2" t="inlineStr">
        <is>
          <t>Acondicionador Largo Saludable 970 Ml Plusbelle</t>
        </is>
      </c>
      <c r="E676" s="2" t="inlineStr">
        <is>
          <t>PLUSBELLE</t>
        </is>
      </c>
      <c r="F676" s="2" t="n">
        <v>6350</v>
      </c>
      <c r="G676" s="2" t="n">
        <v>524793</v>
      </c>
      <c r="H676" s="2" t="b">
        <v>1</v>
      </c>
      <c r="I676" s="2" t="n">
        <v>970</v>
      </c>
      <c r="J676" s="2" t="n">
        <v>6.5464</v>
      </c>
      <c r="K676" s="2" t="inlineStr">
        <is>
          <t>&gt; Perfumería &gt; Cuidado Capilar &gt; Acondicionador &gt;</t>
        </is>
      </c>
      <c r="L676" s="2" t="inlineStr">
        <is>
          <t>acondicionador</t>
        </is>
      </c>
      <c r="M676" s="2" t="inlineStr">
        <is>
          <t>estandar</t>
        </is>
      </c>
      <c r="N676" s="2" t="inlineStr">
        <is>
          <t>general</t>
        </is>
      </c>
      <c r="O676" s="2" t="inlineStr">
        <is>
          <t>https://www.jumbo.com.ar/acondicionador-largo-saludable-970-ml-plusbelle/p</t>
        </is>
      </c>
    </row>
    <row r="677">
      <c r="A677" t="inlineStr">
        <is>
          <t>Jumbo</t>
        </is>
      </c>
      <c r="B677" t="n">
        <v>393577</v>
      </c>
      <c r="C677" t="n">
        <v>391605</v>
      </c>
      <c r="D677" t="inlineStr">
        <is>
          <t>Acondicionador Reconstrucción Completa 200 Ml Dove</t>
        </is>
      </c>
      <c r="E677" t="inlineStr">
        <is>
          <t>DOVE</t>
        </is>
      </c>
      <c r="F677" t="n">
        <v>6000</v>
      </c>
      <c r="G677" t="n">
        <v>495868</v>
      </c>
      <c r="H677" t="b">
        <v>1</v>
      </c>
      <c r="I677" t="n">
        <v>200</v>
      </c>
      <c r="J677" t="n">
        <v>30</v>
      </c>
      <c r="K677" t="inlineStr">
        <is>
          <t>&gt; Perfumería &gt; Cuidado Capilar &gt; Acondicionador &gt;</t>
        </is>
      </c>
      <c r="L677" t="inlineStr">
        <is>
          <t>acondicionador</t>
        </is>
      </c>
      <c r="M677" t="inlineStr">
        <is>
          <t>estandar</t>
        </is>
      </c>
      <c r="N677" t="inlineStr">
        <is>
          <t>general</t>
        </is>
      </c>
      <c r="O677" t="inlineStr">
        <is>
          <t>https://www.jumbo.com.ar/acondicionador-dove-reconstruccion-completa-200-ml-2/p</t>
        </is>
      </c>
    </row>
    <row r="678">
      <c r="A678" s="2" t="inlineStr">
        <is>
          <t>Jumbo</t>
        </is>
      </c>
      <c r="B678" s="2" t="n">
        <v>412481</v>
      </c>
      <c r="C678" s="2" t="n">
        <v>408090</v>
      </c>
      <c r="D678" s="2" t="inlineStr">
        <is>
          <t>Acondicionador Liso Coco 200 Ml Fructis</t>
        </is>
      </c>
      <c r="E678" s="2" t="inlineStr">
        <is>
          <t>FRUCTIS</t>
        </is>
      </c>
      <c r="F678" s="2" t="n">
        <v>5900</v>
      </c>
      <c r="G678" s="2" t="n">
        <v>487603</v>
      </c>
      <c r="H678" s="2" t="b">
        <v>1</v>
      </c>
      <c r="I678" s="2" t="n">
        <v>200</v>
      </c>
      <c r="J678" s="2" t="n">
        <v>29.5</v>
      </c>
      <c r="K678" s="2" t="inlineStr">
        <is>
          <t>&gt; Perfumería &gt; Cuidado Capilar &gt; Acondicionador &gt;</t>
        </is>
      </c>
      <c r="L678" s="2" t="inlineStr">
        <is>
          <t>acondicionador</t>
        </is>
      </c>
      <c r="M678" s="2" t="inlineStr">
        <is>
          <t>estandar</t>
        </is>
      </c>
      <c r="N678" s="2" t="inlineStr">
        <is>
          <t>general</t>
        </is>
      </c>
      <c r="O678" s="2" t="inlineStr">
        <is>
          <t>https://www.jumbo.com.ar/acondicionador-fructis-liso-coco-200ml-2/p</t>
        </is>
      </c>
    </row>
    <row r="679">
      <c r="A679" t="inlineStr">
        <is>
          <t>Jumbo</t>
        </is>
      </c>
      <c r="B679" t="n">
        <v>3066243</v>
      </c>
      <c r="C679" t="n">
        <v>3066159</v>
      </c>
      <c r="D679" t="inlineStr">
        <is>
          <t>Acondicionador Luminous UV 190 Ml Sedal</t>
        </is>
      </c>
      <c r="E679" t="inlineStr">
        <is>
          <t>SEDAL</t>
        </is>
      </c>
      <c r="F679" t="n">
        <v>3900</v>
      </c>
      <c r="G679" t="n">
        <v>322314</v>
      </c>
      <c r="H679" t="b">
        <v>1</v>
      </c>
      <c r="I679" t="n">
        <v>190</v>
      </c>
      <c r="J679" t="n">
        <v>20.5263</v>
      </c>
      <c r="K679" t="inlineStr">
        <is>
          <t>&gt; Perfumería &gt; Cuidado Capilar &gt; Acondicionador &gt;</t>
        </is>
      </c>
      <c r="L679" t="inlineStr">
        <is>
          <t>acondicionador</t>
        </is>
      </c>
      <c r="M679" t="inlineStr">
        <is>
          <t>estandar</t>
        </is>
      </c>
      <c r="N679" t="inlineStr">
        <is>
          <t>general</t>
        </is>
      </c>
      <c r="O679" t="inlineStr">
        <is>
          <t>https://www.jumbo.com.ar/acondicionador-luminous-uv-x-190-ml-sedal-2/p</t>
        </is>
      </c>
    </row>
    <row r="680">
      <c r="A680" s="2" t="inlineStr">
        <is>
          <t>Jumbo</t>
        </is>
      </c>
      <c r="B680" s="2" t="n">
        <v>397907</v>
      </c>
      <c r="C680" s="2" t="n">
        <v>395642</v>
      </c>
      <c r="D680" s="2" t="inlineStr">
        <is>
          <t>Acondicionador Restauracion Instantanea 650 Ml Sedal</t>
        </is>
      </c>
      <c r="E680" s="2" t="inlineStr">
        <is>
          <t>SEDAL</t>
        </is>
      </c>
      <c r="F680" s="2" t="n">
        <v>9350</v>
      </c>
      <c r="G680" s="2" t="n">
        <v>772727</v>
      </c>
      <c r="H680" s="2" t="b">
        <v>1</v>
      </c>
      <c r="I680" s="2" t="n">
        <v>650</v>
      </c>
      <c r="J680" s="2" t="n">
        <v>14.3846</v>
      </c>
      <c r="K680" s="2" t="inlineStr">
        <is>
          <t>&gt; Perfumería &gt; Cuidado Capilar &gt; Acondicionador &gt;</t>
        </is>
      </c>
      <c r="L680" s="2" t="inlineStr">
        <is>
          <t>acondicionador</t>
        </is>
      </c>
      <c r="M680" s="2" t="inlineStr">
        <is>
          <t>estandar</t>
        </is>
      </c>
      <c r="N680" s="2" t="inlineStr">
        <is>
          <t>general</t>
        </is>
      </c>
      <c r="O680" s="2" t="inlineStr">
        <is>
          <t>https://www.jumbo.com.ar/acondicionador-restauracion-instantanea-650-ml-sedal/p</t>
        </is>
      </c>
    </row>
    <row r="681">
      <c r="A681" t="inlineStr">
        <is>
          <t>Jumbo</t>
        </is>
      </c>
      <c r="B681" t="n">
        <v>413326</v>
      </c>
      <c r="C681" t="n">
        <v>409131</v>
      </c>
      <c r="D681" t="inlineStr">
        <is>
          <t>Acondicionador Cauterización Reparadora 250 Ml Tresemmé</t>
        </is>
      </c>
      <c r="E681" t="inlineStr">
        <is>
          <t>TRESEMMÉ</t>
        </is>
      </c>
      <c r="F681" t="n">
        <v>6200</v>
      </c>
      <c r="G681" t="n">
        <v>512397</v>
      </c>
      <c r="H681" t="b">
        <v>1</v>
      </c>
      <c r="I681" t="n">
        <v>250</v>
      </c>
      <c r="J681" t="n">
        <v>24.8</v>
      </c>
      <c r="K681" t="inlineStr">
        <is>
          <t>&gt; Perfumería &gt; Cuidado Capilar &gt; Acondicionador &gt;</t>
        </is>
      </c>
      <c r="L681" t="inlineStr">
        <is>
          <t>acondicionador</t>
        </is>
      </c>
      <c r="M681" t="inlineStr">
        <is>
          <t>estandar</t>
        </is>
      </c>
      <c r="N681" t="inlineStr">
        <is>
          <t>general</t>
        </is>
      </c>
      <c r="O681" t="inlineStr">
        <is>
          <t>https://www.jumbo.com.ar/acondicionador-tresemme-cauterizacion-reparadora-250-ml/p</t>
        </is>
      </c>
    </row>
    <row r="682">
      <c r="A682" s="2" t="inlineStr">
        <is>
          <t>Jumbo</t>
        </is>
      </c>
      <c r="B682" s="2" t="n">
        <v>397925</v>
      </c>
      <c r="C682" s="2" t="n">
        <v>395660</v>
      </c>
      <c r="D682" s="2" t="inlineStr">
        <is>
          <t>Acondicionador Crema Balance 650 Ml Sedal</t>
        </is>
      </c>
      <c r="E682" s="2" t="inlineStr">
        <is>
          <t>SEDAL</t>
        </is>
      </c>
      <c r="F682" s="2" t="n">
        <v>9350</v>
      </c>
      <c r="G682" s="2" t="n">
        <v>772727</v>
      </c>
      <c r="H682" s="2" t="b">
        <v>1</v>
      </c>
      <c r="I682" s="2" t="n">
        <v>650</v>
      </c>
      <c r="J682" s="2" t="n">
        <v>14.3846</v>
      </c>
      <c r="K682" s="2" t="inlineStr">
        <is>
          <t>&gt; Perfumería &gt; Cuidado Capilar &gt; Acondicionador &gt;</t>
        </is>
      </c>
      <c r="L682" s="2" t="inlineStr">
        <is>
          <t>acondicionador</t>
        </is>
      </c>
      <c r="M682" s="2" t="inlineStr">
        <is>
          <t>estandar</t>
        </is>
      </c>
      <c r="N682" s="2" t="inlineStr">
        <is>
          <t>general</t>
        </is>
      </c>
      <c r="O682" s="2" t="inlineStr">
        <is>
          <t>https://www.jumbo.com.ar/acondicionador-sedal-crema-balance-650-ml-3/p</t>
        </is>
      </c>
    </row>
    <row r="683">
      <c r="A683" t="inlineStr">
        <is>
          <t>Jumbo</t>
        </is>
      </c>
      <c r="B683" t="n">
        <v>393378</v>
      </c>
      <c r="C683" t="n">
        <v>391406</v>
      </c>
      <c r="D683" t="inlineStr">
        <is>
          <t>Acondicionador Crema Balance 190 Ml Sedal</t>
        </is>
      </c>
      <c r="E683" t="inlineStr">
        <is>
          <t>SEDAL</t>
        </is>
      </c>
      <c r="F683" t="n">
        <v>3900</v>
      </c>
      <c r="G683" t="n">
        <v>322314</v>
      </c>
      <c r="H683" t="b">
        <v>1</v>
      </c>
      <c r="I683" t="n">
        <v>190</v>
      </c>
      <c r="J683" t="n">
        <v>20.5263</v>
      </c>
      <c r="K683" t="inlineStr">
        <is>
          <t>&gt; Perfumería &gt; Cuidado Capilar &gt; Acondicionador &gt;</t>
        </is>
      </c>
      <c r="L683" t="inlineStr">
        <is>
          <t>acondicionador</t>
        </is>
      </c>
      <c r="M683" t="inlineStr">
        <is>
          <t>estandar</t>
        </is>
      </c>
      <c r="N683" t="inlineStr">
        <is>
          <t>general</t>
        </is>
      </c>
      <c r="O683" t="inlineStr">
        <is>
          <t>https://www.jumbo.com.ar/acondicionador-crema-balance-190-ml-sedal/p</t>
        </is>
      </c>
    </row>
    <row r="684">
      <c r="A684" s="2" t="inlineStr">
        <is>
          <t>Jumbo</t>
        </is>
      </c>
      <c r="B684" s="2" t="n">
        <v>393569</v>
      </c>
      <c r="C684" s="2" t="n">
        <v>391597</v>
      </c>
      <c r="D684" s="2" t="inlineStr">
        <is>
          <t>Acondicionador Dove Reconstrucción Completa 400 Ml</t>
        </is>
      </c>
      <c r="E684" s="2" t="inlineStr">
        <is>
          <t>DOVE</t>
        </is>
      </c>
      <c r="F684" s="2" t="n">
        <v>9150</v>
      </c>
      <c r="G684" s="2" t="n">
        <v>756198</v>
      </c>
      <c r="H684" s="2" t="b">
        <v>1</v>
      </c>
      <c r="I684" s="2" t="n">
        <v>400</v>
      </c>
      <c r="J684" s="2" t="n">
        <v>22.875</v>
      </c>
      <c r="K684" s="2" t="inlineStr">
        <is>
          <t>&gt; Perfumería &gt; Cuidado Capilar &gt; Acondicionador &gt;</t>
        </is>
      </c>
      <c r="L684" s="2" t="inlineStr">
        <is>
          <t>acondicionador</t>
        </is>
      </c>
      <c r="M684" s="2" t="inlineStr">
        <is>
          <t>estandar</t>
        </is>
      </c>
      <c r="N684" s="2" t="inlineStr">
        <is>
          <t>general</t>
        </is>
      </c>
      <c r="O684" s="2" t="inlineStr">
        <is>
          <t>https://www.jumbo.com.ar/acondicionador-dove-reconstruccion-completa-400-ml-3/p</t>
        </is>
      </c>
    </row>
    <row r="685">
      <c r="A685" t="inlineStr">
        <is>
          <t>Jumbo</t>
        </is>
      </c>
      <c r="B685" t="n">
        <v>400612</v>
      </c>
      <c r="C685" t="n">
        <v>397950</v>
      </c>
      <c r="D685" t="inlineStr">
        <is>
          <t>Acondicionador Hidra Hialurónico 400 Ml Elvive</t>
        </is>
      </c>
      <c r="E685" t="inlineStr">
        <is>
          <t>ELVIVE</t>
        </is>
      </c>
      <c r="F685" t="n">
        <v>12050</v>
      </c>
      <c r="G685" t="n">
        <v>995868</v>
      </c>
      <c r="H685" t="b">
        <v>1</v>
      </c>
      <c r="I685" t="n">
        <v>400</v>
      </c>
      <c r="J685" t="n">
        <v>30.125</v>
      </c>
      <c r="K685" t="inlineStr">
        <is>
          <t>&gt; Perfumería &gt; Cuidado Capilar &gt; Acondicionador &gt;</t>
        </is>
      </c>
      <c r="L685" t="inlineStr">
        <is>
          <t>acondicionador</t>
        </is>
      </c>
      <c r="M685" t="inlineStr">
        <is>
          <t>profesional</t>
        </is>
      </c>
      <c r="N685" t="inlineStr">
        <is>
          <t>general</t>
        </is>
      </c>
      <c r="O685" t="inlineStr">
        <is>
          <t>https://www.jumbo.com.ar/acondicionador-elvive-loreal-paris-hidra-hialuronico-400-ml/p</t>
        </is>
      </c>
    </row>
    <row r="686">
      <c r="A686" s="2" t="inlineStr">
        <is>
          <t>Jumbo</t>
        </is>
      </c>
      <c r="B686" s="2" t="n">
        <v>407565</v>
      </c>
      <c r="C686" s="2" t="n">
        <v>403754</v>
      </c>
      <c r="D686" s="2" t="inlineStr">
        <is>
          <t>Acondicionador Elvive Reparación Total 400 Ml</t>
        </is>
      </c>
      <c r="E686" s="2" t="inlineStr">
        <is>
          <t>ELVIVE</t>
        </is>
      </c>
      <c r="F686" s="2" t="n">
        <v>12050</v>
      </c>
      <c r="G686" s="2" t="n">
        <v>995868</v>
      </c>
      <c r="H686" s="2" t="b">
        <v>1</v>
      </c>
      <c r="I686" s="2" t="n">
        <v>400</v>
      </c>
      <c r="J686" s="2" t="n">
        <v>30.125</v>
      </c>
      <c r="K686" s="2" t="inlineStr">
        <is>
          <t>&gt; Perfumería &gt; Cuidado Capilar &gt; Acondicionador &gt;</t>
        </is>
      </c>
      <c r="L686" s="2" t="inlineStr">
        <is>
          <t>acondicionador</t>
        </is>
      </c>
      <c r="M686" s="2" t="inlineStr">
        <is>
          <t>profesional</t>
        </is>
      </c>
      <c r="N686" s="2" t="inlineStr">
        <is>
          <t>general</t>
        </is>
      </c>
      <c r="O686" s="2" t="inlineStr">
        <is>
          <t>https://www.jumbo.com.ar/acondicionador-elvive-reparacion-total-400-ml/p</t>
        </is>
      </c>
    </row>
    <row r="687">
      <c r="A687" t="inlineStr">
        <is>
          <t>Jumbo</t>
        </is>
      </c>
      <c r="B687" t="n">
        <v>397623</v>
      </c>
      <c r="C687" t="n">
        <v>395356</v>
      </c>
      <c r="D687" t="inlineStr">
        <is>
          <t>Acondicionador Hialurónico Pure 400 Ml Elvive</t>
        </is>
      </c>
      <c r="E687" t="inlineStr">
        <is>
          <t>ELVIVE</t>
        </is>
      </c>
      <c r="F687" t="n">
        <v>12050</v>
      </c>
      <c r="G687" t="n">
        <v>995868</v>
      </c>
      <c r="H687" t="b">
        <v>1</v>
      </c>
      <c r="I687" t="n">
        <v>400</v>
      </c>
      <c r="J687" t="n">
        <v>30.125</v>
      </c>
      <c r="K687" t="inlineStr">
        <is>
          <t>&gt; Perfumería &gt; Cuidado Capilar &gt; Acondicionador &gt;</t>
        </is>
      </c>
      <c r="L687" t="inlineStr">
        <is>
          <t>acondicionador</t>
        </is>
      </c>
      <c r="M687" t="inlineStr">
        <is>
          <t>profesional</t>
        </is>
      </c>
      <c r="N687" t="inlineStr">
        <is>
          <t>general</t>
        </is>
      </c>
      <c r="O687" t="inlineStr">
        <is>
          <t>https://www.jumbo.com.ar/acondicionador-elvive-hialuronico-pure-400-ml/p</t>
        </is>
      </c>
    </row>
    <row r="688">
      <c r="A688" s="2" t="inlineStr">
        <is>
          <t>Jumbo</t>
        </is>
      </c>
      <c r="B688" s="2" t="n">
        <v>3078384</v>
      </c>
      <c r="C688" s="2" t="n">
        <v>3077728</v>
      </c>
      <c r="D688" s="2" t="inlineStr">
        <is>
          <t>Acondicionador Dove Bond Uv Repair 250ml</t>
        </is>
      </c>
      <c r="E688" s="2" t="inlineStr">
        <is>
          <t>DOVE</t>
        </is>
      </c>
      <c r="F688" s="2" t="n">
        <v>9450</v>
      </c>
      <c r="G688" s="2" t="n">
        <v>780992</v>
      </c>
      <c r="H688" s="2" t="b">
        <v>1</v>
      </c>
      <c r="I688" s="2" t="n">
        <v>250</v>
      </c>
      <c r="J688" s="2" t="n">
        <v>37.8</v>
      </c>
      <c r="K688" s="2" t="inlineStr">
        <is>
          <t>&gt; Perfumería &gt; Cuidado Capilar &gt; Acondicionador &gt;</t>
        </is>
      </c>
      <c r="L688" s="2" t="inlineStr">
        <is>
          <t>acondicionador</t>
        </is>
      </c>
      <c r="M688" s="2" t="inlineStr">
        <is>
          <t>profesional</t>
        </is>
      </c>
      <c r="N688" s="2" t="inlineStr">
        <is>
          <t>general</t>
        </is>
      </c>
      <c r="O688" s="2" t="inlineStr">
        <is>
          <t>https://www.jumbo.com.ar/acondicionador-dove-bond-uv-repair-250ml/p</t>
        </is>
      </c>
    </row>
    <row r="689">
      <c r="A689" t="inlineStr">
        <is>
          <t>Jumbo</t>
        </is>
      </c>
      <c r="B689" t="n">
        <v>411255</v>
      </c>
      <c r="C689" t="n">
        <v>407095</v>
      </c>
      <c r="D689" t="inlineStr">
        <is>
          <t>Acondicionador Prebioticos Biotina 650 Ml Sedal</t>
        </is>
      </c>
      <c r="E689" t="inlineStr">
        <is>
          <t>SEDAL</t>
        </is>
      </c>
      <c r="F689" t="n">
        <v>9350</v>
      </c>
      <c r="G689" t="n">
        <v>772727</v>
      </c>
      <c r="H689" t="b">
        <v>1</v>
      </c>
      <c r="I689" t="n">
        <v>650</v>
      </c>
      <c r="J689" t="n">
        <v>14.3846</v>
      </c>
      <c r="K689" t="inlineStr">
        <is>
          <t>&gt; Perfumería &gt; Cuidado Capilar &gt; Acondicionador &gt;</t>
        </is>
      </c>
      <c r="L689" t="inlineStr">
        <is>
          <t>acondicionador</t>
        </is>
      </c>
      <c r="M689" t="inlineStr">
        <is>
          <t>estandar</t>
        </is>
      </c>
      <c r="N689" t="inlineStr">
        <is>
          <t>general</t>
        </is>
      </c>
      <c r="O689" t="inlineStr">
        <is>
          <t>https://www.jumbo.com.ar/acondicionador-prebioticos-biotina-650-ml-sedal/p</t>
        </is>
      </c>
    </row>
    <row r="690">
      <c r="A690" s="2" t="inlineStr">
        <is>
          <t>Jumbo</t>
        </is>
      </c>
      <c r="B690" s="2" t="n">
        <v>411254</v>
      </c>
      <c r="C690" s="2" t="n">
        <v>407094</v>
      </c>
      <c r="D690" s="2" t="inlineStr">
        <is>
          <t>Acondicionador Prebióticos Biotina 340 Ml Sedal</t>
        </is>
      </c>
      <c r="E690" s="2" t="inlineStr">
        <is>
          <t>SEDAL</t>
        </is>
      </c>
      <c r="F690" s="2" t="n">
        <v>5600</v>
      </c>
      <c r="G690" s="2" t="n">
        <v>462810</v>
      </c>
      <c r="H690" s="2" t="b">
        <v>1</v>
      </c>
      <c r="I690" s="2" t="n">
        <v>340</v>
      </c>
      <c r="J690" s="2" t="n">
        <v>16.4706</v>
      </c>
      <c r="K690" s="2" t="inlineStr">
        <is>
          <t>&gt; Perfumería &gt; Cuidado Capilar &gt; Acondicionador &gt;</t>
        </is>
      </c>
      <c r="L690" s="2" t="inlineStr">
        <is>
          <t>acondicionador</t>
        </is>
      </c>
      <c r="M690" s="2" t="inlineStr">
        <is>
          <t>estandar</t>
        </is>
      </c>
      <c r="N690" s="2" t="inlineStr">
        <is>
          <t>general</t>
        </is>
      </c>
      <c r="O690" s="2" t="inlineStr">
        <is>
          <t>https://www.jumbo.com.ar/acondicionador-prebioticos-biotina-340-ml-sedal/p</t>
        </is>
      </c>
    </row>
    <row r="691">
      <c r="A691" t="inlineStr">
        <is>
          <t>Jumbo</t>
        </is>
      </c>
      <c r="B691" t="n">
        <v>397629</v>
      </c>
      <c r="C691" t="n">
        <v>395362</v>
      </c>
      <c r="D691" t="inlineStr">
        <is>
          <t>Acondicionador Elvive Hialuronico Pure 200 Ml</t>
        </is>
      </c>
      <c r="E691" t="inlineStr">
        <is>
          <t>ELVIVE</t>
        </is>
      </c>
      <c r="F691" t="n">
        <v>7450</v>
      </c>
      <c r="G691" t="n">
        <v>615702</v>
      </c>
      <c r="H691" t="b">
        <v>1</v>
      </c>
      <c r="I691" t="n">
        <v>200</v>
      </c>
      <c r="J691" t="n">
        <v>37.25</v>
      </c>
      <c r="K691" t="inlineStr">
        <is>
          <t>&gt; Perfumería &gt; Cuidado Capilar &gt; Acondicionador &gt;</t>
        </is>
      </c>
      <c r="L691" t="inlineStr">
        <is>
          <t>acondicionador</t>
        </is>
      </c>
      <c r="M691" t="inlineStr">
        <is>
          <t>profesional</t>
        </is>
      </c>
      <c r="N691" t="inlineStr">
        <is>
          <t>general</t>
        </is>
      </c>
      <c r="O691" t="inlineStr">
        <is>
          <t>https://www.jumbo.com.ar/acondicionador-elvive-hialuronico-pure-200-ml/p</t>
        </is>
      </c>
    </row>
    <row r="692">
      <c r="A692" s="2" t="inlineStr">
        <is>
          <t>Jumbo</t>
        </is>
      </c>
      <c r="B692" s="2" t="n">
        <v>3079031</v>
      </c>
      <c r="C692" s="2" t="n">
        <v>3078355</v>
      </c>
      <c r="D692" s="2" t="inlineStr">
        <is>
          <t>Acondicionador Herbal Essences Rosa Mosqueta 240ml</t>
        </is>
      </c>
      <c r="E692" s="2" t="inlineStr">
        <is>
          <t>HERBAL ESSENCES</t>
        </is>
      </c>
      <c r="F692" s="2" t="n">
        <v>13100</v>
      </c>
      <c r="G692" s="2" t="n">
        <v>1082645</v>
      </c>
      <c r="H692" s="2" t="b">
        <v>1</v>
      </c>
      <c r="I692" s="2" t="n">
        <v>240</v>
      </c>
      <c r="J692" s="2" t="n">
        <v>54.5833</v>
      </c>
      <c r="K692" s="2" t="inlineStr">
        <is>
          <t>&gt; Perfumería &gt; Cuidado Capilar &gt; Acondicionador &gt;</t>
        </is>
      </c>
      <c r="L692" s="2" t="inlineStr">
        <is>
          <t>acondicionador</t>
        </is>
      </c>
      <c r="M692" s="2" t="inlineStr">
        <is>
          <t>estandar</t>
        </is>
      </c>
      <c r="N692" s="2" t="inlineStr">
        <is>
          <t>general</t>
        </is>
      </c>
      <c r="O692" s="2" t="inlineStr">
        <is>
          <t>https://www.jumbo.com.ar/acondicionador-herbal-essences-rosa-mosqueta-240ml/p</t>
        </is>
      </c>
    </row>
    <row r="693">
      <c r="A693" t="inlineStr">
        <is>
          <t>Jumbo</t>
        </is>
      </c>
      <c r="B693" t="n">
        <v>413356</v>
      </c>
      <c r="C693" t="n">
        <v>409215</v>
      </c>
      <c r="D693" t="inlineStr">
        <is>
          <t>Acondicionador Keratina Antifrizz 250 Ml Tresemmé</t>
        </is>
      </c>
      <c r="E693" t="inlineStr">
        <is>
          <t>TRESEMMÉ</t>
        </is>
      </c>
      <c r="F693" t="n">
        <v>6200</v>
      </c>
      <c r="G693" t="n">
        <v>512397</v>
      </c>
      <c r="H693" t="b">
        <v>1</v>
      </c>
      <c r="I693" t="n">
        <v>250</v>
      </c>
      <c r="J693" t="n">
        <v>24.8</v>
      </c>
      <c r="K693" t="inlineStr">
        <is>
          <t>&gt; Perfumería &gt; Cuidado Capilar &gt; Acondicionador &gt;</t>
        </is>
      </c>
      <c r="L693" t="inlineStr">
        <is>
          <t>acondicionador</t>
        </is>
      </c>
      <c r="M693" t="inlineStr">
        <is>
          <t>estandar</t>
        </is>
      </c>
      <c r="N693" t="inlineStr">
        <is>
          <t>tratado</t>
        </is>
      </c>
      <c r="O693" t="inlineStr">
        <is>
          <t>https://www.jumbo.com.ar/acondicionador-keratina-antifrizz-x-250-ml-tresemme/p</t>
        </is>
      </c>
    </row>
    <row r="694">
      <c r="A694" s="2" t="inlineStr">
        <is>
          <t>Jumbo</t>
        </is>
      </c>
      <c r="B694" s="2" t="n">
        <v>397908</v>
      </c>
      <c r="C694" s="2" t="n">
        <v>395643</v>
      </c>
      <c r="D694" s="2" t="inlineStr">
        <is>
          <t>Acondicionador Restauración Instantánea 340 Ml Sedal</t>
        </is>
      </c>
      <c r="E694" s="2" t="inlineStr">
        <is>
          <t>SEDAL</t>
        </is>
      </c>
      <c r="F694" s="2" t="n">
        <v>5450</v>
      </c>
      <c r="G694" s="2" t="n">
        <v>450413</v>
      </c>
      <c r="H694" s="2" t="b">
        <v>1</v>
      </c>
      <c r="I694" s="2" t="n">
        <v>340</v>
      </c>
      <c r="J694" s="2" t="n">
        <v>16.0294</v>
      </c>
      <c r="K694" s="2" t="inlineStr">
        <is>
          <t>&gt; Perfumería &gt; Cuidado Capilar &gt; Acondicionador &gt;</t>
        </is>
      </c>
      <c r="L694" s="2" t="inlineStr">
        <is>
          <t>acondicionador</t>
        </is>
      </c>
      <c r="M694" s="2" t="inlineStr">
        <is>
          <t>estandar</t>
        </is>
      </c>
      <c r="N694" s="2" t="inlineStr">
        <is>
          <t>general</t>
        </is>
      </c>
      <c r="O694" s="2" t="inlineStr">
        <is>
          <t>https://www.jumbo.com.ar/acondicionador-restauracion-instantanea-340-ml-sedal/p</t>
        </is>
      </c>
    </row>
    <row r="695">
      <c r="A695" t="inlineStr">
        <is>
          <t>Jumbo</t>
        </is>
      </c>
      <c r="B695" t="n">
        <v>416917</v>
      </c>
      <c r="C695" t="n">
        <v>412461</v>
      </c>
      <c r="D695" t="inlineStr">
        <is>
          <t>Acondicionador Rizos Definidos 190 Ml Sedal</t>
        </is>
      </c>
      <c r="E695" t="inlineStr">
        <is>
          <t>SEDAL</t>
        </is>
      </c>
      <c r="F695" t="n">
        <v>3900</v>
      </c>
      <c r="G695" t="n">
        <v>322314</v>
      </c>
      <c r="H695" t="b">
        <v>1</v>
      </c>
      <c r="I695" t="n">
        <v>190</v>
      </c>
      <c r="J695" t="n">
        <v>20.5263</v>
      </c>
      <c r="K695" t="inlineStr">
        <is>
          <t>&gt; Perfumería &gt; Cuidado Capilar &gt; Acondicionador &gt;</t>
        </is>
      </c>
      <c r="L695" t="inlineStr">
        <is>
          <t>acondicionador</t>
        </is>
      </c>
      <c r="M695" t="inlineStr">
        <is>
          <t>estandar</t>
        </is>
      </c>
      <c r="N695" t="inlineStr">
        <is>
          <t>rizado</t>
        </is>
      </c>
      <c r="O695" t="inlineStr">
        <is>
          <t>https://www.jumbo.com.ar/acondicioandor-rizos-definidos-190-ml-sedal/p</t>
        </is>
      </c>
    </row>
    <row r="696">
      <c r="A696" s="2" t="inlineStr">
        <is>
          <t>Jumbo</t>
        </is>
      </c>
      <c r="B696" s="2" t="n">
        <v>393565</v>
      </c>
      <c r="C696" s="2" t="n">
        <v>391593</v>
      </c>
      <c r="D696" s="2" t="inlineStr">
        <is>
          <t>Acondicionador Dove Regeneración Extrema 400 Ml</t>
        </is>
      </c>
      <c r="E696" s="2" t="inlineStr">
        <is>
          <t>DOVE</t>
        </is>
      </c>
      <c r="F696" s="2" t="n">
        <v>9150</v>
      </c>
      <c r="G696" s="2" t="n">
        <v>756198</v>
      </c>
      <c r="H696" s="2" t="b">
        <v>1</v>
      </c>
      <c r="I696" s="2" t="n">
        <v>400</v>
      </c>
      <c r="J696" s="2" t="n">
        <v>22.875</v>
      </c>
      <c r="K696" s="2" t="inlineStr">
        <is>
          <t>&gt; Perfumería &gt; Cuidado Capilar &gt; Acondicionador &gt;</t>
        </is>
      </c>
      <c r="L696" s="2" t="inlineStr">
        <is>
          <t>acondicionador</t>
        </is>
      </c>
      <c r="M696" s="2" t="inlineStr">
        <is>
          <t>estandar</t>
        </is>
      </c>
      <c r="N696" s="2" t="inlineStr">
        <is>
          <t>general</t>
        </is>
      </c>
      <c r="O696" s="2" t="inlineStr">
        <is>
          <t>https://www.jumbo.com.ar/acondicionador-dove-regeneracion-extrema-400-ml-3/p</t>
        </is>
      </c>
    </row>
    <row r="697">
      <c r="A697" t="inlineStr">
        <is>
          <t>Jumbo</t>
        </is>
      </c>
      <c r="B697" t="n">
        <v>3070281</v>
      </c>
      <c r="C697" t="n">
        <v>3069874</v>
      </c>
      <c r="D697" t="inlineStr">
        <is>
          <t>Acondicionador Detox Capilar 500 Ml Tresemmé</t>
        </is>
      </c>
      <c r="E697" t="inlineStr">
        <is>
          <t>TRESEMMÉ</t>
        </is>
      </c>
      <c r="F697" t="n">
        <v>10700</v>
      </c>
      <c r="G697" t="n">
        <v>884298</v>
      </c>
      <c r="H697" t="b">
        <v>1</v>
      </c>
      <c r="I697" t="n">
        <v>500</v>
      </c>
      <c r="J697" t="n">
        <v>21.4</v>
      </c>
      <c r="K697" t="inlineStr">
        <is>
          <t>&gt; Perfumería &gt; Cuidado Capilar &gt; Acondicionador &gt;</t>
        </is>
      </c>
      <c r="L697" t="inlineStr">
        <is>
          <t>acondicionador</t>
        </is>
      </c>
      <c r="M697" t="inlineStr">
        <is>
          <t>estandar</t>
        </is>
      </c>
      <c r="N697" t="inlineStr">
        <is>
          <t>general</t>
        </is>
      </c>
      <c r="O697" t="inlineStr">
        <is>
          <t>https://www.jumbo.com.ar/acondicionador-detox-capilar-x-500-ml-tresemme-2/p</t>
        </is>
      </c>
    </row>
    <row r="698">
      <c r="A698" s="2" t="inlineStr">
        <is>
          <t>Jumbo</t>
        </is>
      </c>
      <c r="B698" s="2" t="n">
        <v>3070278</v>
      </c>
      <c r="C698" s="2" t="n">
        <v>3069871</v>
      </c>
      <c r="D698" s="2" t="inlineStr">
        <is>
          <t>Acondicionador Cauterización Reparadora 500 Ml Tresemmé</t>
        </is>
      </c>
      <c r="E698" s="2" t="inlineStr">
        <is>
          <t>TRESEMMÉ</t>
        </is>
      </c>
      <c r="F698" s="2" t="n">
        <v>10700</v>
      </c>
      <c r="G698" s="2" t="n">
        <v>884298</v>
      </c>
      <c r="H698" s="2" t="b">
        <v>1</v>
      </c>
      <c r="I698" s="2" t="n">
        <v>500</v>
      </c>
      <c r="J698" s="2" t="n">
        <v>21.4</v>
      </c>
      <c r="K698" s="2" t="inlineStr">
        <is>
          <t>&gt; Perfumería &gt; Cuidado Capilar &gt; Acondicionador &gt;</t>
        </is>
      </c>
      <c r="L698" s="2" t="inlineStr">
        <is>
          <t>acondicionador</t>
        </is>
      </c>
      <c r="M698" s="2" t="inlineStr">
        <is>
          <t>estandar</t>
        </is>
      </c>
      <c r="N698" s="2" t="inlineStr">
        <is>
          <t>general</t>
        </is>
      </c>
      <c r="O698" s="2" t="inlineStr">
        <is>
          <t>https://www.jumbo.com.ar/acondicionador-cauterizacion-reparadora-x-500-ml-tresemme/p</t>
        </is>
      </c>
    </row>
    <row r="699">
      <c r="A699" t="inlineStr">
        <is>
          <t>Jumbo</t>
        </is>
      </c>
      <c r="B699" t="n">
        <v>3066239</v>
      </c>
      <c r="C699" t="n">
        <v>3066155</v>
      </c>
      <c r="D699" t="inlineStr">
        <is>
          <t>Acondicionador Luminous UV 340 Ml Sedal</t>
        </is>
      </c>
      <c r="E699" t="inlineStr">
        <is>
          <t>SEDAL</t>
        </is>
      </c>
      <c r="F699" t="n">
        <v>5457</v>
      </c>
      <c r="G699" t="n">
        <v>450992</v>
      </c>
      <c r="H699" t="b">
        <v>1</v>
      </c>
      <c r="I699" t="n">
        <v>340</v>
      </c>
      <c r="J699" t="n">
        <v>16.05</v>
      </c>
      <c r="K699" t="inlineStr">
        <is>
          <t>&gt; Perfumería &gt; Cuidado Capilar &gt; Acondicionador &gt;</t>
        </is>
      </c>
      <c r="L699" t="inlineStr">
        <is>
          <t>acondicionador</t>
        </is>
      </c>
      <c r="M699" t="inlineStr">
        <is>
          <t>estandar</t>
        </is>
      </c>
      <c r="N699" t="inlineStr">
        <is>
          <t>general</t>
        </is>
      </c>
      <c r="O699" t="inlineStr">
        <is>
          <t>https://www.jumbo.com.ar/acondicionador-luminous-uv-x-340-ml-sedal-2/p</t>
        </is>
      </c>
    </row>
    <row r="700">
      <c r="A700" s="2" t="inlineStr">
        <is>
          <t>Jumbo</t>
        </is>
      </c>
      <c r="B700" s="2" t="n">
        <v>415569</v>
      </c>
      <c r="C700" s="2" t="n">
        <v>411153</v>
      </c>
      <c r="D700" s="2" t="inlineStr">
        <is>
          <t>Acondicionador Liso Infinito 400 Ml Pantene</t>
        </is>
      </c>
      <c r="E700" s="2" t="inlineStr">
        <is>
          <t>PANTENE</t>
        </is>
      </c>
      <c r="F700" s="2" t="n">
        <v>10300</v>
      </c>
      <c r="G700" s="2" t="n">
        <v>851240</v>
      </c>
      <c r="H700" s="2" t="b">
        <v>1</v>
      </c>
      <c r="I700" s="2" t="n">
        <v>400</v>
      </c>
      <c r="J700" s="2" t="n">
        <v>25.75</v>
      </c>
      <c r="K700" s="2" t="inlineStr">
        <is>
          <t>&gt; Perfumería &gt; Cuidado Capilar &gt; Acondicionador &gt;</t>
        </is>
      </c>
      <c r="L700" s="2" t="inlineStr">
        <is>
          <t>acondicionador</t>
        </is>
      </c>
      <c r="M700" s="2" t="inlineStr">
        <is>
          <t>estandar</t>
        </is>
      </c>
      <c r="N700" s="2" t="inlineStr">
        <is>
          <t>general</t>
        </is>
      </c>
      <c r="O700" s="2" t="inlineStr">
        <is>
          <t>https://www.jumbo.com.ar/acondicionador-pro-v-miracles-liso-infinito-400-ml-pantene/p</t>
        </is>
      </c>
    </row>
    <row r="701">
      <c r="A701" t="inlineStr">
        <is>
          <t>Jumbo</t>
        </is>
      </c>
      <c r="B701" t="n">
        <v>400517</v>
      </c>
      <c r="C701" t="n">
        <v>397855</v>
      </c>
      <c r="D701" t="inlineStr">
        <is>
          <t>Acondicionador Hidra Hialurónico 200 Ml Elvive</t>
        </is>
      </c>
      <c r="E701" t="inlineStr">
        <is>
          <t>ELVIVE</t>
        </is>
      </c>
      <c r="F701" t="n">
        <v>7250</v>
      </c>
      <c r="G701" t="n">
        <v>599174</v>
      </c>
      <c r="H701" t="b">
        <v>1</v>
      </c>
      <c r="I701" t="n">
        <v>200</v>
      </c>
      <c r="J701" t="n">
        <v>36.25</v>
      </c>
      <c r="K701" t="inlineStr">
        <is>
          <t>&gt; Perfumería &gt; Cuidado Capilar &gt; Acondicionador &gt;</t>
        </is>
      </c>
      <c r="L701" t="inlineStr">
        <is>
          <t>acondicionador</t>
        </is>
      </c>
      <c r="M701" t="inlineStr">
        <is>
          <t>profesional</t>
        </is>
      </c>
      <c r="N701" t="inlineStr">
        <is>
          <t>general</t>
        </is>
      </c>
      <c r="O701" t="inlineStr">
        <is>
          <t>https://www.jumbo.com.ar/acodicionador-elvive-hidra-hialuronico-200-ml/p</t>
        </is>
      </c>
    </row>
    <row r="702">
      <c r="A702" s="2" t="inlineStr">
        <is>
          <t>Jumbo</t>
        </is>
      </c>
      <c r="B702" s="2" t="n">
        <v>397916</v>
      </c>
      <c r="C702" s="2" t="n">
        <v>395651</v>
      </c>
      <c r="D702" s="2" t="inlineStr">
        <is>
          <t>Acondicionador Liso Perfecto 340 Ml Sedal</t>
        </is>
      </c>
      <c r="E702" s="2" t="inlineStr">
        <is>
          <t>SEDAL</t>
        </is>
      </c>
      <c r="F702" s="2" t="n">
        <v>5450</v>
      </c>
      <c r="G702" s="2" t="n">
        <v>450413</v>
      </c>
      <c r="H702" s="2" t="b">
        <v>1</v>
      </c>
      <c r="I702" s="2" t="n">
        <v>340</v>
      </c>
      <c r="J702" s="2" t="n">
        <v>16.0294</v>
      </c>
      <c r="K702" s="2" t="inlineStr">
        <is>
          <t>&gt; Perfumería &gt; Cuidado Capilar &gt; Acondicionador &gt;</t>
        </is>
      </c>
      <c r="L702" s="2" t="inlineStr">
        <is>
          <t>acondicionador</t>
        </is>
      </c>
      <c r="M702" s="2" t="inlineStr">
        <is>
          <t>estandar</t>
        </is>
      </c>
      <c r="N702" s="2" t="inlineStr">
        <is>
          <t>general</t>
        </is>
      </c>
      <c r="O702" s="2" t="inlineStr">
        <is>
          <t>https://www.jumbo.com.ar/acondicionador-liso-perfecto-340-ml-sedal/p</t>
        </is>
      </c>
    </row>
    <row r="703">
      <c r="A703" t="inlineStr">
        <is>
          <t>Jumbo</t>
        </is>
      </c>
      <c r="B703" t="n">
        <v>416913</v>
      </c>
      <c r="C703" t="n">
        <v>412457</v>
      </c>
      <c r="D703" t="inlineStr">
        <is>
          <t>Acondicionador Elvive Extraordinario Rizos 400 Ml</t>
        </is>
      </c>
      <c r="E703" t="inlineStr">
        <is>
          <t>ELVIVE</t>
        </is>
      </c>
      <c r="F703" t="n">
        <v>11550</v>
      </c>
      <c r="G703" t="n">
        <v>954545</v>
      </c>
      <c r="H703" t="b">
        <v>1</v>
      </c>
      <c r="I703" t="n">
        <v>400</v>
      </c>
      <c r="J703" t="n">
        <v>28.875</v>
      </c>
      <c r="K703" t="inlineStr">
        <is>
          <t>&gt; Perfumería &gt; Cuidado Capilar &gt; Acondicionador &gt;</t>
        </is>
      </c>
      <c r="L703" t="inlineStr">
        <is>
          <t>acondicionador</t>
        </is>
      </c>
      <c r="M703" t="inlineStr">
        <is>
          <t>profesional</t>
        </is>
      </c>
      <c r="N703" t="inlineStr">
        <is>
          <t>rizado</t>
        </is>
      </c>
      <c r="O703" t="inlineStr">
        <is>
          <t>https://www.jumbo.com.ar/acondicionador-elvive-extraordinario-rizos-400-ml/p</t>
        </is>
      </c>
    </row>
    <row r="704">
      <c r="A704" s="2" t="inlineStr">
        <is>
          <t>Jumbo</t>
        </is>
      </c>
      <c r="B704" s="2" t="n">
        <v>397911</v>
      </c>
      <c r="C704" s="2" t="n">
        <v>395646</v>
      </c>
      <c r="D704" s="2" t="inlineStr">
        <is>
          <t>Acondicionador Sedal Ceramidas Botella 650 Ml</t>
        </is>
      </c>
      <c r="E704" s="2" t="inlineStr">
        <is>
          <t>SEDAL</t>
        </is>
      </c>
      <c r="F704" s="2" t="n">
        <v>8850</v>
      </c>
      <c r="G704" s="2" t="n">
        <v>731405</v>
      </c>
      <c r="H704" s="2" t="b">
        <v>1</v>
      </c>
      <c r="I704" s="2" t="n">
        <v>650</v>
      </c>
      <c r="J704" s="2" t="n">
        <v>13.6154</v>
      </c>
      <c r="K704" s="2" t="inlineStr">
        <is>
          <t>&gt; Perfumería &gt; Cuidado Capilar &gt; Acondicionador &gt;</t>
        </is>
      </c>
      <c r="L704" s="2" t="inlineStr">
        <is>
          <t>acondicionador</t>
        </is>
      </c>
      <c r="M704" s="2" t="inlineStr">
        <is>
          <t>estandar</t>
        </is>
      </c>
      <c r="N704" s="2" t="inlineStr">
        <is>
          <t>general</t>
        </is>
      </c>
      <c r="O704" s="2" t="inlineStr">
        <is>
          <t>https://www.jumbo.com.ar/acondicionador-sedal-ceramidas-botella-650-ml-2/p</t>
        </is>
      </c>
    </row>
    <row r="705">
      <c r="A705" t="inlineStr">
        <is>
          <t>Jumbo</t>
        </is>
      </c>
      <c r="B705" t="n">
        <v>397159</v>
      </c>
      <c r="C705" t="n">
        <v>394900</v>
      </c>
      <c r="D705" t="inlineStr">
        <is>
          <t>Acondicionador Sedal Ceramidas Botella 340 Ml</t>
        </is>
      </c>
      <c r="E705" t="inlineStr">
        <is>
          <t>SEDAL</t>
        </is>
      </c>
      <c r="F705" t="n">
        <v>5450</v>
      </c>
      <c r="G705" t="n">
        <v>450413</v>
      </c>
      <c r="H705" t="b">
        <v>1</v>
      </c>
      <c r="I705" t="n">
        <v>340</v>
      </c>
      <c r="J705" t="n">
        <v>16.0294</v>
      </c>
      <c r="K705" t="inlineStr">
        <is>
          <t>&gt; Perfumería &gt; Cuidado Capilar &gt; Acondicionador &gt;</t>
        </is>
      </c>
      <c r="L705" t="inlineStr">
        <is>
          <t>acondicionador</t>
        </is>
      </c>
      <c r="M705" t="inlineStr">
        <is>
          <t>estandar</t>
        </is>
      </c>
      <c r="N705" t="inlineStr">
        <is>
          <t>general</t>
        </is>
      </c>
      <c r="O705" t="inlineStr">
        <is>
          <t>https://www.jumbo.com.ar/acondicionador-sedal-ceramidas-botella-340-ml-2/p</t>
        </is>
      </c>
    </row>
    <row r="706">
      <c r="A706" s="2" t="inlineStr">
        <is>
          <t>Jumbo</t>
        </is>
      </c>
      <c r="B706" s="2" t="n">
        <v>407572</v>
      </c>
      <c r="C706" s="2" t="n">
        <v>403761</v>
      </c>
      <c r="D706" s="2" t="inlineStr">
        <is>
          <t>Acondicionador Reparación Total Extreme 400 Ml Elvive</t>
        </is>
      </c>
      <c r="E706" s="2" t="inlineStr">
        <is>
          <t>ELVIVE</t>
        </is>
      </c>
      <c r="F706" s="2" t="n">
        <v>12050</v>
      </c>
      <c r="G706" s="2" t="n">
        <v>995868</v>
      </c>
      <c r="H706" s="2" t="b">
        <v>1</v>
      </c>
      <c r="I706" s="2" t="n">
        <v>400</v>
      </c>
      <c r="J706" s="2" t="n">
        <v>30.125</v>
      </c>
      <c r="K706" s="2" t="inlineStr">
        <is>
          <t>&gt; Perfumería &gt; Cuidado Capilar &gt; Acondicionador &gt;</t>
        </is>
      </c>
      <c r="L706" s="2" t="inlineStr">
        <is>
          <t>acondicionador</t>
        </is>
      </c>
      <c r="M706" s="2" t="inlineStr">
        <is>
          <t>profesional</t>
        </is>
      </c>
      <c r="N706" s="2" t="inlineStr">
        <is>
          <t>general</t>
        </is>
      </c>
      <c r="O706" s="2" t="inlineStr">
        <is>
          <t>https://www.jumbo.com.ar/acondicionador-elvive-reparacion-total-extreme-400-ml/p</t>
        </is>
      </c>
    </row>
    <row r="707">
      <c r="A707" t="inlineStr">
        <is>
          <t>Jumbo</t>
        </is>
      </c>
      <c r="B707" t="n">
        <v>394816</v>
      </c>
      <c r="C707" t="n">
        <v>392815</v>
      </c>
      <c r="D707" t="inlineStr">
        <is>
          <t>Acondicionador Hidrata y Fortalece 400 Ml Pantene</t>
        </is>
      </c>
      <c r="E707" t="inlineStr">
        <is>
          <t>PANTENE</t>
        </is>
      </c>
      <c r="F707" t="n">
        <v>10300</v>
      </c>
      <c r="G707" t="n">
        <v>851240</v>
      </c>
      <c r="H707" t="b">
        <v>1</v>
      </c>
      <c r="I707" t="n">
        <v>400</v>
      </c>
      <c r="J707" t="n">
        <v>25.75</v>
      </c>
      <c r="K707" t="inlineStr">
        <is>
          <t>&gt; Perfumería &gt; Cuidado Capilar &gt; Acondicionador &gt;</t>
        </is>
      </c>
      <c r="L707" t="inlineStr">
        <is>
          <t>acondicionador</t>
        </is>
      </c>
      <c r="M707" t="inlineStr">
        <is>
          <t>estandar</t>
        </is>
      </c>
      <c r="N707" t="inlineStr">
        <is>
          <t>seco_danado</t>
        </is>
      </c>
      <c r="O707" t="inlineStr">
        <is>
          <t>https://www.jumbo.com.ar/acondicionador-pantene-hidrata-y-fortalece-400-ml/p</t>
        </is>
      </c>
    </row>
    <row r="708">
      <c r="A708" s="2" t="inlineStr">
        <is>
          <t>Jumbo</t>
        </is>
      </c>
      <c r="B708" s="2" t="n">
        <v>393746</v>
      </c>
      <c r="C708" s="2" t="n">
        <v>391774</v>
      </c>
      <c r="D708" s="2" t="inlineStr">
        <is>
          <t>Acondicionador Óleo Extraordinario Nutrición 400 Ml Elvive</t>
        </is>
      </c>
      <c r="E708" s="2" t="inlineStr">
        <is>
          <t>ELVIVE</t>
        </is>
      </c>
      <c r="F708" s="2" t="n">
        <v>12050</v>
      </c>
      <c r="G708" s="2" t="n">
        <v>995868</v>
      </c>
      <c r="H708" s="2" t="b">
        <v>1</v>
      </c>
      <c r="I708" s="2" t="n">
        <v>400</v>
      </c>
      <c r="J708" s="2" t="n">
        <v>30.125</v>
      </c>
      <c r="K708" s="2" t="inlineStr">
        <is>
          <t>&gt; Perfumería &gt; Cuidado Capilar &gt; Acondicionador &gt;</t>
        </is>
      </c>
      <c r="L708" s="2" t="inlineStr">
        <is>
          <t>acondicionador</t>
        </is>
      </c>
      <c r="M708" s="2" t="inlineStr">
        <is>
          <t>profesional</t>
        </is>
      </c>
      <c r="N708" s="2" t="inlineStr">
        <is>
          <t>general</t>
        </is>
      </c>
      <c r="O708" s="2" t="inlineStr">
        <is>
          <t>https://www.jumbo.com.ar/acondicionador-elvive-loreal-oleo-extraordinario-nutricion-400-ml/p</t>
        </is>
      </c>
    </row>
    <row r="709">
      <c r="A709" t="inlineStr">
        <is>
          <t>Jumbo</t>
        </is>
      </c>
      <c r="B709" t="n">
        <v>349498</v>
      </c>
      <c r="C709" t="n">
        <v>348158</v>
      </c>
      <c r="D709" t="inlineStr">
        <is>
          <t>Acondicionador Brillo Ceramidas Perladas 1000 Ml Plusbelle</t>
        </is>
      </c>
      <c r="E709" t="inlineStr">
        <is>
          <t>PLUSBELLE</t>
        </is>
      </c>
      <c r="F709" t="n">
        <v>5650</v>
      </c>
      <c r="G709" t="n">
        <v>466942</v>
      </c>
      <c r="H709" t="b">
        <v>1</v>
      </c>
      <c r="I709" t="n">
        <v>1000</v>
      </c>
      <c r="J709" t="n">
        <v>5.65</v>
      </c>
      <c r="K709" t="inlineStr">
        <is>
          <t>&gt; Perfumería &gt; Cuidado Capilar &gt; Acondicionador &gt;</t>
        </is>
      </c>
      <c r="L709" t="inlineStr">
        <is>
          <t>acondicionador</t>
        </is>
      </c>
      <c r="M709" t="inlineStr">
        <is>
          <t>estandar</t>
        </is>
      </c>
      <c r="N709" t="inlineStr">
        <is>
          <t>general</t>
        </is>
      </c>
      <c r="O709" t="inlineStr">
        <is>
          <t>https://www.jumbo.com.ar/acondicionador-brillo-1000-ml-plusbelle/p</t>
        </is>
      </c>
    </row>
    <row r="710">
      <c r="A710" s="2" t="inlineStr">
        <is>
          <t>Jumbo</t>
        </is>
      </c>
      <c r="B710" s="2" t="n">
        <v>409856</v>
      </c>
      <c r="C710" s="2" t="n">
        <v>405942</v>
      </c>
      <c r="D710" s="2" t="inlineStr">
        <is>
          <t>Acondicionador Hidratación Intensa Esencia 970 Ml Plusbelle</t>
        </is>
      </c>
      <c r="E710" s="2" t="inlineStr">
        <is>
          <t>PLUSBELLE</t>
        </is>
      </c>
      <c r="F710" s="2" t="n">
        <v>6350</v>
      </c>
      <c r="G710" s="2" t="n">
        <v>524793</v>
      </c>
      <c r="H710" s="2" t="b">
        <v>1</v>
      </c>
      <c r="I710" s="2" t="n">
        <v>970</v>
      </c>
      <c r="J710" s="2" t="n">
        <v>6.5464</v>
      </c>
      <c r="K710" s="2" t="inlineStr">
        <is>
          <t>&gt; Perfumería &gt; Cuidado Capilar &gt; Acondicionador &gt;</t>
        </is>
      </c>
      <c r="L710" s="2" t="inlineStr">
        <is>
          <t>acondicionador</t>
        </is>
      </c>
      <c r="M710" s="2" t="inlineStr">
        <is>
          <t>estandar</t>
        </is>
      </c>
      <c r="N710" s="2" t="inlineStr">
        <is>
          <t>seco_danado</t>
        </is>
      </c>
      <c r="O710" s="2" t="inlineStr">
        <is>
          <t>https://www.jumbo.com.ar/acondicionador-esencia-970-ml-plusbelle/p</t>
        </is>
      </c>
    </row>
    <row r="711">
      <c r="A711" t="inlineStr">
        <is>
          <t>Jumbo</t>
        </is>
      </c>
      <c r="B711" t="n">
        <v>332408</v>
      </c>
      <c r="C711" t="n">
        <v>331565</v>
      </c>
      <c r="D711" t="inlineStr">
        <is>
          <t>Acondicionador Kids Ph Balanceado 350 Ml Plusbelle</t>
        </is>
      </c>
      <c r="E711" t="inlineStr">
        <is>
          <t>PLUSBELLE</t>
        </is>
      </c>
      <c r="F711" t="n">
        <v>4650</v>
      </c>
      <c r="G711" t="n">
        <v>384298</v>
      </c>
      <c r="H711" t="b">
        <v>1</v>
      </c>
      <c r="I711" t="n">
        <v>350</v>
      </c>
      <c r="J711" t="n">
        <v>13.2857</v>
      </c>
      <c r="K711" t="inlineStr">
        <is>
          <t>&gt; Mundo Bebe &gt; Higiene para el Bebe &gt; Higiene del Bebé &gt;</t>
        </is>
      </c>
      <c r="L711" t="inlineStr">
        <is>
          <t>acondicionador</t>
        </is>
      </c>
      <c r="M711" t="inlineStr">
        <is>
          <t>estandar</t>
        </is>
      </c>
      <c r="N711" t="inlineStr">
        <is>
          <t>bebe</t>
        </is>
      </c>
      <c r="O711" t="inlineStr">
        <is>
          <t>https://www.jumbo.com.ar/acondicionador-kids-ph-balanceado-350-ml-plusbelle/p</t>
        </is>
      </c>
    </row>
    <row r="712">
      <c r="A712" s="2" t="inlineStr">
        <is>
          <t>Jumbo</t>
        </is>
      </c>
      <c r="B712" s="2" t="n">
        <v>3086921</v>
      </c>
      <c r="C712" s="2" t="n">
        <v>3086145</v>
      </c>
      <c r="D712" s="2" t="inlineStr">
        <is>
          <t>Acondicionador Aclarante Manzanilla 415 Ml Tío Nacho</t>
        </is>
      </c>
      <c r="E712" s="2" t="inlineStr">
        <is>
          <t>SUAVE</t>
        </is>
      </c>
      <c r="F712" s="2" t="n">
        <v>11350</v>
      </c>
      <c r="G712" s="2" t="n">
        <v>938017</v>
      </c>
      <c r="H712" s="2" t="b">
        <v>1</v>
      </c>
      <c r="I712" s="2" t="n">
        <v>415</v>
      </c>
      <c r="J712" s="2" t="n">
        <v>27.3494</v>
      </c>
      <c r="K712" s="2" t="inlineStr">
        <is>
          <t>&gt; Perfumería &gt; Cuidado Capilar &gt; Acondicionador &gt;</t>
        </is>
      </c>
      <c r="L712" s="2" t="inlineStr">
        <is>
          <t>acondicionador</t>
        </is>
      </c>
      <c r="M712" s="2" t="inlineStr">
        <is>
          <t>estandar</t>
        </is>
      </c>
      <c r="N712" s="2" t="inlineStr">
        <is>
          <t>general</t>
        </is>
      </c>
      <c r="O712" s="2" t="inlineStr">
        <is>
          <t>https://www.jumbo.com.ar/acondicionador-tio-nacho-aclarante-v2-415-ml-2/p</t>
        </is>
      </c>
    </row>
    <row r="713">
      <c r="A713" t="inlineStr">
        <is>
          <t>Jumbo</t>
        </is>
      </c>
      <c r="B713" t="n">
        <v>298538</v>
      </c>
      <c r="C713" t="n">
        <v>297767</v>
      </c>
      <c r="D713" t="inlineStr">
        <is>
          <t>Acondicionador Para Perro Pets Class X500cm3</t>
        </is>
      </c>
      <c r="E713" t="inlineStr">
        <is>
          <t>PET' S CLASS</t>
        </is>
      </c>
      <c r="F713" t="n">
        <v>7900</v>
      </c>
      <c r="G713" t="n">
        <v>652893</v>
      </c>
      <c r="H713" t="b">
        <v>1</v>
      </c>
      <c r="I713" t="inlineStr"/>
      <c r="J713" t="inlineStr"/>
      <c r="K713" t="inlineStr">
        <is>
          <t>&gt; Mascotas &gt; Accesorios para Mascotas &gt;</t>
        </is>
      </c>
      <c r="L713" t="inlineStr">
        <is>
          <t>acondicionador</t>
        </is>
      </c>
      <c r="M713" t="inlineStr">
        <is>
          <t>estandar</t>
        </is>
      </c>
      <c r="N713" t="inlineStr">
        <is>
          <t>general</t>
        </is>
      </c>
      <c r="O713" t="inlineStr">
        <is>
          <t>https://www.jumbo.com.ar/acondicionador-para-perro-pets-class-x500cm3/p</t>
        </is>
      </c>
    </row>
    <row r="714">
      <c r="A714" s="2" t="inlineStr">
        <is>
          <t>Jumbo</t>
        </is>
      </c>
      <c r="B714" s="2" t="n">
        <v>29576</v>
      </c>
      <c r="C714" s="2" t="n">
        <v>26738</v>
      </c>
      <c r="D714" s="2" t="inlineStr">
        <is>
          <t>Acondicionador Keratina Hair Therapy 350 Ml Capilatis</t>
        </is>
      </c>
      <c r="E714" s="2" t="inlineStr">
        <is>
          <t>CAPILATIS</t>
        </is>
      </c>
      <c r="F714" s="2" t="n">
        <v>9550</v>
      </c>
      <c r="G714" s="2" t="n">
        <v>789256</v>
      </c>
      <c r="H714" s="2" t="b">
        <v>1</v>
      </c>
      <c r="I714" s="2" t="n">
        <v>350</v>
      </c>
      <c r="J714" s="2" t="n">
        <v>27.2857</v>
      </c>
      <c r="K714" s="2" t="inlineStr">
        <is>
          <t>&gt; Perfumería &gt; Cuidado Capilar &gt; Acondicionador &gt;</t>
        </is>
      </c>
      <c r="L714" s="2" t="inlineStr">
        <is>
          <t>acondicionador</t>
        </is>
      </c>
      <c r="M714" s="2" t="inlineStr">
        <is>
          <t>estandar</t>
        </is>
      </c>
      <c r="N714" s="2" t="inlineStr">
        <is>
          <t>tratado</t>
        </is>
      </c>
      <c r="O714" s="2" t="inlineStr">
        <is>
          <t>https://www.jumbo.com.ar/acondicionador-keratina-hair-therapy-350-ml-capilatis/p</t>
        </is>
      </c>
    </row>
    <row r="715">
      <c r="A715" t="inlineStr">
        <is>
          <t>Jumbo</t>
        </is>
      </c>
      <c r="B715" t="n">
        <v>413330</v>
      </c>
      <c r="C715" t="n">
        <v>409135</v>
      </c>
      <c r="D715" t="inlineStr">
        <is>
          <t>Acondicionador Tresemme Liso Efecto Botox 250 Ml</t>
        </is>
      </c>
      <c r="E715" t="inlineStr">
        <is>
          <t>TRESEMMÉ</t>
        </is>
      </c>
      <c r="F715" t="n">
        <v>6150</v>
      </c>
      <c r="G715" t="n">
        <v>508264</v>
      </c>
      <c r="H715" t="b">
        <v>1</v>
      </c>
      <c r="I715" t="n">
        <v>250</v>
      </c>
      <c r="J715" t="n">
        <v>24.6</v>
      </c>
      <c r="K715" t="inlineStr">
        <is>
          <t>&gt; Perfumería &gt; Cuidado Capilar &gt; Acondicionador &gt;</t>
        </is>
      </c>
      <c r="L715" t="inlineStr">
        <is>
          <t>acondicionador</t>
        </is>
      </c>
      <c r="M715" t="inlineStr">
        <is>
          <t>estandar</t>
        </is>
      </c>
      <c r="N715" t="inlineStr">
        <is>
          <t>general</t>
        </is>
      </c>
      <c r="O715" t="inlineStr">
        <is>
          <t>https://www.jumbo.com.ar/acondicionador-tresemme-liso-efecto-botox-250-ml/p</t>
        </is>
      </c>
    </row>
    <row r="716">
      <c r="A716" s="2" t="inlineStr">
        <is>
          <t>Jumbo</t>
        </is>
      </c>
      <c r="B716" s="2" t="n">
        <v>332409</v>
      </c>
      <c r="C716" s="2" t="n">
        <v>331566</v>
      </c>
      <c r="D716" s="2" t="inlineStr">
        <is>
          <t>Acondicionador Kids Protección Natural 350 Ml Plusbelle</t>
        </is>
      </c>
      <c r="E716" s="2" t="inlineStr">
        <is>
          <t>PLUSBELLE</t>
        </is>
      </c>
      <c r="F716" s="2" t="n">
        <v>4650</v>
      </c>
      <c r="G716" s="2" t="n">
        <v>384298</v>
      </c>
      <c r="H716" s="2" t="b">
        <v>1</v>
      </c>
      <c r="I716" s="2" t="n">
        <v>350</v>
      </c>
      <c r="J716" s="2" t="n">
        <v>13.2857</v>
      </c>
      <c r="K716" s="2" t="inlineStr">
        <is>
          <t>&gt; Mundo Bebe &gt; Higiene para el Bebe &gt; Higiene del Bebé &gt;</t>
        </is>
      </c>
      <c r="L716" s="2" t="inlineStr">
        <is>
          <t>acondicionador</t>
        </is>
      </c>
      <c r="M716" s="2" t="inlineStr">
        <is>
          <t>estandar</t>
        </is>
      </c>
      <c r="N716" s="2" t="inlineStr">
        <is>
          <t>bebe</t>
        </is>
      </c>
      <c r="O716" s="2" t="inlineStr">
        <is>
          <t>https://www.jumbo.com.ar/acondicionador-kids-proteccion-natural-350-ml-plusbelle/p</t>
        </is>
      </c>
    </row>
    <row r="717">
      <c r="A717" t="inlineStr">
        <is>
          <t>Jumbo</t>
        </is>
      </c>
      <c r="B717" t="n">
        <v>1363724</v>
      </c>
      <c r="C717" t="n">
        <v>1362814</v>
      </c>
      <c r="D717" t="inlineStr">
        <is>
          <t>Acondicionador Bond Intense Repair 250 Ml Dove</t>
        </is>
      </c>
      <c r="E717" t="inlineStr">
        <is>
          <t>DOVE</t>
        </is>
      </c>
      <c r="F717" t="n">
        <v>9300</v>
      </c>
      <c r="G717" t="n">
        <v>768595</v>
      </c>
      <c r="H717" t="b">
        <v>1</v>
      </c>
      <c r="I717" t="n">
        <v>250</v>
      </c>
      <c r="J717" t="n">
        <v>37.2</v>
      </c>
      <c r="K717" t="inlineStr">
        <is>
          <t>&gt; Perfumería &gt; Cuidado Capilar &gt; Acondicionador &gt;</t>
        </is>
      </c>
      <c r="L717" t="inlineStr">
        <is>
          <t>acondicionador</t>
        </is>
      </c>
      <c r="M717" t="inlineStr">
        <is>
          <t>profesional</t>
        </is>
      </c>
      <c r="N717" t="inlineStr">
        <is>
          <t>general</t>
        </is>
      </c>
      <c r="O717" t="inlineStr">
        <is>
          <t>https://www.jumbo.com.ar/acondicionador-dove-bond-intense-repair-250-ml-2/p</t>
        </is>
      </c>
    </row>
    <row r="718">
      <c r="A718" s="2" t="inlineStr">
        <is>
          <t>Jumbo</t>
        </is>
      </c>
      <c r="B718" s="2" t="n">
        <v>414735</v>
      </c>
      <c r="C718" s="2" t="n">
        <v>410436</v>
      </c>
      <c r="D718" s="2" t="inlineStr">
        <is>
          <t>Acondicionador Kids Gotas de Brillo 200 Ml Johnson's</t>
        </is>
      </c>
      <c r="E718" s="2" t="inlineStr">
        <is>
          <t>JOHNSON´S</t>
        </is>
      </c>
      <c r="F718" s="2" t="n">
        <v>5900</v>
      </c>
      <c r="G718" s="2" t="n">
        <v>487603</v>
      </c>
      <c r="H718" s="2" t="b">
        <v>1</v>
      </c>
      <c r="I718" s="2" t="n">
        <v>200</v>
      </c>
      <c r="J718" s="2" t="n">
        <v>29.5</v>
      </c>
      <c r="K718" s="2" t="inlineStr">
        <is>
          <t>&gt; Mundo Bebe &gt; Higiene para el Bebe &gt; Higiene del Bebé &gt;</t>
        </is>
      </c>
      <c r="L718" s="2" t="inlineStr">
        <is>
          <t>acondicionador</t>
        </is>
      </c>
      <c r="M718" s="2" t="inlineStr">
        <is>
          <t>estandar</t>
        </is>
      </c>
      <c r="N718" s="2" t="inlineStr">
        <is>
          <t>bebe</t>
        </is>
      </c>
      <c r="O718" s="2" t="inlineStr">
        <is>
          <t>https://www.jumbo.com.ar/acondicionador-para-ninos-gotas-de-brillo-200-ml-johnson-s/p</t>
        </is>
      </c>
    </row>
    <row r="719">
      <c r="A719" t="inlineStr">
        <is>
          <t>Jumbo</t>
        </is>
      </c>
      <c r="B719" t="n">
        <v>407574</v>
      </c>
      <c r="C719" t="n">
        <v>403763</v>
      </c>
      <c r="D719" t="inlineStr">
        <is>
          <t>Acondicionador Reparación Total Extreme 750 Ml Elvive</t>
        </is>
      </c>
      <c r="E719" t="inlineStr">
        <is>
          <t>ELVIVE</t>
        </is>
      </c>
      <c r="F719" t="n">
        <v>18600</v>
      </c>
      <c r="G719" t="n">
        <v>1537190</v>
      </c>
      <c r="H719" t="b">
        <v>1</v>
      </c>
      <c r="I719" t="n">
        <v>750</v>
      </c>
      <c r="J719" t="n">
        <v>24.8</v>
      </c>
      <c r="K719" t="inlineStr">
        <is>
          <t>&gt; Perfumería &gt; Cuidado Capilar &gt; Acondicionador &gt;</t>
        </is>
      </c>
      <c r="L719" t="inlineStr">
        <is>
          <t>acondicionador</t>
        </is>
      </c>
      <c r="M719" t="inlineStr">
        <is>
          <t>profesional</t>
        </is>
      </c>
      <c r="N719" t="inlineStr">
        <is>
          <t>general</t>
        </is>
      </c>
      <c r="O719" t="inlineStr">
        <is>
          <t>https://www.jumbo.com.ar/acondicionador-elvive-rt5-extreme-750ml-3/p</t>
        </is>
      </c>
    </row>
    <row r="720">
      <c r="A720" s="2" t="inlineStr">
        <is>
          <t>Jumbo</t>
        </is>
      </c>
      <c r="B720" s="2" t="n">
        <v>3071028</v>
      </c>
      <c r="C720" s="2" t="n">
        <v>3070598</v>
      </c>
      <c r="D720" s="2" t="inlineStr">
        <is>
          <t>Acondicionador Dream Liso X 200 Ml Elvive</t>
        </is>
      </c>
      <c r="E720" s="2" t="inlineStr">
        <is>
          <t>ELVIVE</t>
        </is>
      </c>
      <c r="F720" s="2" t="n">
        <v>8050</v>
      </c>
      <c r="G720" s="2" t="n">
        <v>665289</v>
      </c>
      <c r="H720" s="2" t="b">
        <v>1</v>
      </c>
      <c r="I720" s="2" t="n">
        <v>200</v>
      </c>
      <c r="J720" s="2" t="n">
        <v>40.25</v>
      </c>
      <c r="K720" s="2" t="inlineStr">
        <is>
          <t>&gt; Perfumería &gt; Cuidado Capilar &gt; Acondicionador &gt;</t>
        </is>
      </c>
      <c r="L720" s="2" t="inlineStr">
        <is>
          <t>acondicionador</t>
        </is>
      </c>
      <c r="M720" s="2" t="inlineStr">
        <is>
          <t>profesional</t>
        </is>
      </c>
      <c r="N720" s="2" t="inlineStr">
        <is>
          <t>general</t>
        </is>
      </c>
      <c r="O720" s="2" t="inlineStr">
        <is>
          <t>https://www.jumbo.com.ar/acondicionador-dream-liso-x-200-ml-elvive/p</t>
        </is>
      </c>
    </row>
    <row r="721">
      <c r="A721" t="inlineStr">
        <is>
          <t>Jumbo</t>
        </is>
      </c>
      <c r="B721" t="n">
        <v>424299</v>
      </c>
      <c r="C721" t="n">
        <v>417179</v>
      </c>
      <c r="D721" t="inlineStr">
        <is>
          <t>Acondicionador Nutrición Óleo de Coco 700 Ml Plusbelle</t>
        </is>
      </c>
      <c r="E721" t="inlineStr">
        <is>
          <t>PLUSBELLE</t>
        </is>
      </c>
      <c r="F721" t="n">
        <v>5350</v>
      </c>
      <c r="G721" t="n">
        <v>442149</v>
      </c>
      <c r="H721" t="b">
        <v>1</v>
      </c>
      <c r="I721" t="n">
        <v>700</v>
      </c>
      <c r="J721" t="n">
        <v>7.6429</v>
      </c>
      <c r="K721" t="inlineStr">
        <is>
          <t>&gt; Perfumería &gt; Cuidado Capilar &gt; Acondicionador &gt;</t>
        </is>
      </c>
      <c r="L721" t="inlineStr">
        <is>
          <t>acondicionador</t>
        </is>
      </c>
      <c r="M721" t="inlineStr">
        <is>
          <t>estandar</t>
        </is>
      </c>
      <c r="N721" t="inlineStr">
        <is>
          <t>general</t>
        </is>
      </c>
      <c r="O721" t="inlineStr">
        <is>
          <t>https://www.jumbo.com.ar/acondicionador-plusbelle-esen-oleo-nut-coco-70-2/p</t>
        </is>
      </c>
    </row>
    <row r="722">
      <c r="A722" s="2" t="inlineStr">
        <is>
          <t>Jumbo</t>
        </is>
      </c>
      <c r="B722" s="2" t="n">
        <v>397902</v>
      </c>
      <c r="C722" s="2" t="n">
        <v>395637</v>
      </c>
      <c r="D722" s="2" t="inlineStr">
        <is>
          <t>Acondicionador Sedal Hialurónico Y Vitamina A 340 Ml</t>
        </is>
      </c>
      <c r="E722" s="2" t="inlineStr">
        <is>
          <t>SEDAL</t>
        </is>
      </c>
      <c r="F722" s="2" t="n">
        <v>5434</v>
      </c>
      <c r="G722" s="2" t="n">
        <v>449091</v>
      </c>
      <c r="H722" s="2" t="b">
        <v>1</v>
      </c>
      <c r="I722" s="2" t="n">
        <v>340</v>
      </c>
      <c r="J722" s="2" t="n">
        <v>15.9824</v>
      </c>
      <c r="K722" s="2" t="inlineStr">
        <is>
          <t>&gt; Perfumería &gt; Cuidado Capilar &gt; Acondicionador &gt;</t>
        </is>
      </c>
      <c r="L722" s="2" t="inlineStr">
        <is>
          <t>acondicionador</t>
        </is>
      </c>
      <c r="M722" s="2" t="inlineStr">
        <is>
          <t>estandar</t>
        </is>
      </c>
      <c r="N722" s="2" t="inlineStr">
        <is>
          <t>general</t>
        </is>
      </c>
      <c r="O722" s="2" t="inlineStr">
        <is>
          <t>https://www.jumbo.com.ar/acondicionador-sedal-hialuronico-y-vitamina-a-340-ml-2/p</t>
        </is>
      </c>
    </row>
    <row r="723">
      <c r="A723" t="inlineStr">
        <is>
          <t>Jumbo</t>
        </is>
      </c>
      <c r="B723" t="n">
        <v>3066020</v>
      </c>
      <c r="C723" t="n">
        <v>3065977</v>
      </c>
      <c r="D723" t="inlineStr">
        <is>
          <t>Acondicionador Anti Caida X 510 Ml Pantene</t>
        </is>
      </c>
      <c r="E723" t="inlineStr">
        <is>
          <t>PANTENE</t>
        </is>
      </c>
      <c r="F723" t="n">
        <v>16400</v>
      </c>
      <c r="G723" t="n">
        <v>1355372</v>
      </c>
      <c r="H723" t="b">
        <v>1</v>
      </c>
      <c r="I723" t="n">
        <v>510</v>
      </c>
      <c r="J723" t="n">
        <v>32.1569</v>
      </c>
      <c r="K723" t="inlineStr">
        <is>
          <t>&gt; Perfumería &gt; Cuidado Capilar &gt; Acondicionador &gt;</t>
        </is>
      </c>
      <c r="L723" t="inlineStr">
        <is>
          <t>acondicionador</t>
        </is>
      </c>
      <c r="M723" t="inlineStr">
        <is>
          <t>estandar</t>
        </is>
      </c>
      <c r="N723" t="inlineStr">
        <is>
          <t>general</t>
        </is>
      </c>
      <c r="O723" t="inlineStr">
        <is>
          <t>https://www.jumbo.com.ar/acondicionador-anti-caida-x-510-ml-pantene-2/p</t>
        </is>
      </c>
    </row>
    <row r="724">
      <c r="A724" s="2" t="inlineStr">
        <is>
          <t>Jumbo</t>
        </is>
      </c>
      <c r="B724" s="2" t="n">
        <v>414736</v>
      </c>
      <c r="C724" s="2" t="n">
        <v>410437</v>
      </c>
      <c r="D724" s="2" t="inlineStr">
        <is>
          <t>Acondicionador para Bebé Original 200 Ml Johnson's</t>
        </is>
      </c>
      <c r="E724" s="2" t="inlineStr">
        <is>
          <t>JOHNSON´S</t>
        </is>
      </c>
      <c r="F724" s="2" t="n">
        <v>7300</v>
      </c>
      <c r="G724" s="2" t="n">
        <v>603306</v>
      </c>
      <c r="H724" s="2" t="b">
        <v>1</v>
      </c>
      <c r="I724" s="2" t="n">
        <v>200</v>
      </c>
      <c r="J724" s="2" t="n">
        <v>36.5</v>
      </c>
      <c r="K724" s="2" t="inlineStr">
        <is>
          <t>&gt; Mundo Bebe &gt; Higiene para el Bebe &gt; Higiene del Bebé &gt;</t>
        </is>
      </c>
      <c r="L724" s="2" t="inlineStr">
        <is>
          <t>acondicionador</t>
        </is>
      </c>
      <c r="M724" s="2" t="inlineStr">
        <is>
          <t>estandar</t>
        </is>
      </c>
      <c r="N724" s="2" t="inlineStr">
        <is>
          <t>bebe</t>
        </is>
      </c>
      <c r="O724" s="2" t="inlineStr">
        <is>
          <t>https://www.jumbo.com.ar/acondicionador-para-bebe-original-200-ml-johnson-s/p</t>
        </is>
      </c>
    </row>
    <row r="725">
      <c r="A725" t="inlineStr">
        <is>
          <t>Jumbo</t>
        </is>
      </c>
      <c r="B725" t="n">
        <v>407566</v>
      </c>
      <c r="C725" t="n">
        <v>403755</v>
      </c>
      <c r="D725" t="inlineStr">
        <is>
          <t>Acondicionador Reparación Total Extreme 200 Ml Elvive</t>
        </is>
      </c>
      <c r="E725" t="inlineStr">
        <is>
          <t>ELVIVE</t>
        </is>
      </c>
      <c r="F725" t="n">
        <v>7450</v>
      </c>
      <c r="G725" t="n">
        <v>615702</v>
      </c>
      <c r="H725" t="b">
        <v>1</v>
      </c>
      <c r="I725" t="n">
        <v>200</v>
      </c>
      <c r="J725" t="n">
        <v>37.25</v>
      </c>
      <c r="K725" t="inlineStr">
        <is>
          <t>&gt; Perfumería &gt; Cuidado Capilar &gt; Acondicionador &gt;</t>
        </is>
      </c>
      <c r="L725" t="inlineStr">
        <is>
          <t>acondicionador</t>
        </is>
      </c>
      <c r="M725" t="inlineStr">
        <is>
          <t>profesional</t>
        </is>
      </c>
      <c r="N725" t="inlineStr">
        <is>
          <t>general</t>
        </is>
      </c>
      <c r="O725" t="inlineStr">
        <is>
          <t>https://www.jumbo.com.ar/acondicionador-elvive-rt5-extreme-200-ml/p</t>
        </is>
      </c>
    </row>
    <row r="726">
      <c r="A726" s="2" t="inlineStr">
        <is>
          <t>Jumbo</t>
        </is>
      </c>
      <c r="B726" s="2" t="n">
        <v>397914</v>
      </c>
      <c r="C726" s="2" t="n">
        <v>395649</v>
      </c>
      <c r="D726" s="2" t="inlineStr">
        <is>
          <t>Acondicionador Hialuronico Y Vitamina A 190 Ml Sedal</t>
        </is>
      </c>
      <c r="E726" s="2" t="inlineStr">
        <is>
          <t>SEDAL</t>
        </is>
      </c>
      <c r="F726" s="2" t="n">
        <v>3900</v>
      </c>
      <c r="G726" s="2" t="n">
        <v>322314</v>
      </c>
      <c r="H726" s="2" t="b">
        <v>1</v>
      </c>
      <c r="I726" s="2" t="n">
        <v>190</v>
      </c>
      <c r="J726" s="2" t="n">
        <v>20.5263</v>
      </c>
      <c r="K726" s="2" t="inlineStr">
        <is>
          <t>&gt; Perfumería &gt; Cuidado Capilar &gt; Acondicionador &gt;</t>
        </is>
      </c>
      <c r="L726" s="2" t="inlineStr">
        <is>
          <t>acondicionador</t>
        </is>
      </c>
      <c r="M726" s="2" t="inlineStr">
        <is>
          <t>estandar</t>
        </is>
      </c>
      <c r="N726" s="2" t="inlineStr">
        <is>
          <t>general</t>
        </is>
      </c>
      <c r="O726" s="2" t="inlineStr">
        <is>
          <t>https://www.jumbo.com.ar/acondicionador-hialuronico-y-vitamina-a-190-ml-sedal/p</t>
        </is>
      </c>
    </row>
    <row r="727">
      <c r="A727" t="inlineStr">
        <is>
          <t>Jumbo</t>
        </is>
      </c>
      <c r="B727" t="n">
        <v>3086639</v>
      </c>
      <c r="C727" t="n">
        <v>3085863</v>
      </c>
      <c r="D727" t="inlineStr">
        <is>
          <t>Acondicionador Oil Control X 200 Ml Fructis</t>
        </is>
      </c>
      <c r="E727" t="inlineStr">
        <is>
          <t>FRUCTIS</t>
        </is>
      </c>
      <c r="F727" t="n">
        <v>5800</v>
      </c>
      <c r="G727" t="n">
        <v>479339</v>
      </c>
      <c r="H727" t="b">
        <v>1</v>
      </c>
      <c r="I727" t="n">
        <v>200</v>
      </c>
      <c r="J727" t="n">
        <v>29</v>
      </c>
      <c r="K727" t="inlineStr">
        <is>
          <t>&gt; Perfumería &gt; Cuidado Capilar &gt; Acondicionador &gt;</t>
        </is>
      </c>
      <c r="L727" t="inlineStr">
        <is>
          <t>acondicionador</t>
        </is>
      </c>
      <c r="M727" t="inlineStr">
        <is>
          <t>estandar</t>
        </is>
      </c>
      <c r="N727" t="inlineStr">
        <is>
          <t>general</t>
        </is>
      </c>
      <c r="O727" t="inlineStr">
        <is>
          <t>https://www.jumbo.com.ar/acondicionador-oil-control-x-200-ml-fructis/p</t>
        </is>
      </c>
    </row>
    <row r="728">
      <c r="A728" s="2" t="inlineStr">
        <is>
          <t>Jumbo</t>
        </is>
      </c>
      <c r="B728" s="2" t="n">
        <v>414509</v>
      </c>
      <c r="C728" s="2" t="n">
        <v>410232</v>
      </c>
      <c r="D728" s="2" t="inlineStr">
        <is>
          <t>Acondicionador Prebióticos + Biotina 190 Ml Sedal</t>
        </is>
      </c>
      <c r="E728" s="2" t="inlineStr">
        <is>
          <t>SEDAL</t>
        </is>
      </c>
      <c r="F728" s="2" t="n">
        <v>3900</v>
      </c>
      <c r="G728" s="2" t="n">
        <v>322314</v>
      </c>
      <c r="H728" s="2" t="b">
        <v>1</v>
      </c>
      <c r="I728" s="2" t="n">
        <v>190</v>
      </c>
      <c r="J728" s="2" t="n">
        <v>20.5263</v>
      </c>
      <c r="K728" s="2" t="inlineStr">
        <is>
          <t>&gt; Perfumería &gt; Cuidado Capilar &gt; Acondicionador &gt;</t>
        </is>
      </c>
      <c r="L728" s="2" t="inlineStr">
        <is>
          <t>acondicionador</t>
        </is>
      </c>
      <c r="M728" s="2" t="inlineStr">
        <is>
          <t>estandar</t>
        </is>
      </c>
      <c r="N728" s="2" t="inlineStr">
        <is>
          <t>general</t>
        </is>
      </c>
      <c r="O728" s="2" t="inlineStr">
        <is>
          <t>https://www.jumbo.com.ar/acondicionador-prebioticos-biotina-190-ml-sedal/p</t>
        </is>
      </c>
    </row>
    <row r="729">
      <c r="A729" t="inlineStr">
        <is>
          <t>Jumbo</t>
        </is>
      </c>
      <c r="B729" t="n">
        <v>398318</v>
      </c>
      <c r="C729" t="n">
        <v>396051</v>
      </c>
      <c r="D729" t="inlineStr">
        <is>
          <t>Acondicionador Revitalización 300 Ml  Head &amp; Shoulders Acondicionador Head &amp; Shoulders Revitalización 300 Ml</t>
        </is>
      </c>
      <c r="E729" t="inlineStr">
        <is>
          <t>HEAD &amp; SHOULDERS</t>
        </is>
      </c>
      <c r="F729" t="n">
        <v>12200</v>
      </c>
      <c r="G729" t="n">
        <v>1008264</v>
      </c>
      <c r="H729" t="b">
        <v>1</v>
      </c>
      <c r="I729" t="n">
        <v>300</v>
      </c>
      <c r="J729" t="n">
        <v>40.6667</v>
      </c>
      <c r="K729" t="inlineStr">
        <is>
          <t>&gt; Perfumería &gt; Cuidado Capilar &gt; Acondicionador &gt;</t>
        </is>
      </c>
      <c r="L729" t="inlineStr">
        <is>
          <t>acondicionador</t>
        </is>
      </c>
      <c r="M729" t="inlineStr">
        <is>
          <t>estandar</t>
        </is>
      </c>
      <c r="N729" t="inlineStr">
        <is>
          <t>general</t>
        </is>
      </c>
      <c r="O729" t="inlineStr">
        <is>
          <t>https://www.jumbo.com.ar/acondicionador-head-shoulders-aceite-de-argan-300-ml/p</t>
        </is>
      </c>
    </row>
    <row r="730">
      <c r="A730" s="2" t="inlineStr">
        <is>
          <t>Jumbo</t>
        </is>
      </c>
      <c r="B730" s="2" t="n">
        <v>397917</v>
      </c>
      <c r="C730" s="2" t="n">
        <v>395652</v>
      </c>
      <c r="D730" s="2" t="inlineStr">
        <is>
          <t>Acondicionador Sedal Hialurónico Y Vitamina A 650 Ml</t>
        </is>
      </c>
      <c r="E730" s="2" t="inlineStr">
        <is>
          <t>SEDAL</t>
        </is>
      </c>
      <c r="F730" s="2" t="n">
        <v>9350</v>
      </c>
      <c r="G730" s="2" t="n">
        <v>772727</v>
      </c>
      <c r="H730" s="2" t="b">
        <v>1</v>
      </c>
      <c r="I730" s="2" t="n">
        <v>650</v>
      </c>
      <c r="J730" s="2" t="n">
        <v>14.3846</v>
      </c>
      <c r="K730" s="2" t="inlineStr">
        <is>
          <t>&gt; Perfumería &gt; Cuidado Capilar &gt; Acondicionador &gt;</t>
        </is>
      </c>
      <c r="L730" s="2" t="inlineStr">
        <is>
          <t>acondicionador</t>
        </is>
      </c>
      <c r="M730" s="2" t="inlineStr">
        <is>
          <t>estandar</t>
        </is>
      </c>
      <c r="N730" s="2" t="inlineStr">
        <is>
          <t>general</t>
        </is>
      </c>
      <c r="O730" s="2" t="inlineStr">
        <is>
          <t>https://www.jumbo.com.ar/acondicionador-sedal-hialuronico-y-vitamina-a-650-ml-2/p</t>
        </is>
      </c>
    </row>
    <row r="731">
      <c r="A731" t="inlineStr">
        <is>
          <t>Jumbo</t>
        </is>
      </c>
      <c r="B731" t="n">
        <v>3087376</v>
      </c>
      <c r="C731" t="n">
        <v>3086597</v>
      </c>
      <c r="D731" t="inlineStr">
        <is>
          <t>Acondicionador Nutrición Tri-Óleos 650 Ml Dove Acondicionador Dove Nutritri Oleos 650ml</t>
        </is>
      </c>
      <c r="E731" t="inlineStr">
        <is>
          <t>DOVE</t>
        </is>
      </c>
      <c r="F731" t="n">
        <v>16700</v>
      </c>
      <c r="G731" t="n">
        <v>1380165</v>
      </c>
      <c r="H731" t="b">
        <v>1</v>
      </c>
      <c r="I731" t="n">
        <v>650</v>
      </c>
      <c r="J731" t="n">
        <v>25.6923</v>
      </c>
      <c r="K731" t="inlineStr">
        <is>
          <t>&gt; Perfumería &gt; Cuidado Capilar &gt; Acondicionador &gt;</t>
        </is>
      </c>
      <c r="L731" t="inlineStr">
        <is>
          <t>acondicionador</t>
        </is>
      </c>
      <c r="M731" t="inlineStr">
        <is>
          <t>estandar</t>
        </is>
      </c>
      <c r="N731" t="inlineStr">
        <is>
          <t>general</t>
        </is>
      </c>
      <c r="O731" t="inlineStr">
        <is>
          <t>https://www.jumbo.com.ar/acondicionador-dove-nutritri-oleos-650ml/p</t>
        </is>
      </c>
    </row>
    <row r="732">
      <c r="A732" s="2" t="inlineStr">
        <is>
          <t>Jumbo</t>
        </is>
      </c>
      <c r="B732" s="2" t="n">
        <v>393767</v>
      </c>
      <c r="C732" s="2" t="n">
        <v>391788</v>
      </c>
      <c r="D732" s="2" t="inlineStr">
        <is>
          <t>Acondicionador Óleo Extraordinario Nutrición 200 Ml Elvive</t>
        </is>
      </c>
      <c r="E732" s="2" t="inlineStr">
        <is>
          <t>ELVIVE</t>
        </is>
      </c>
      <c r="F732" s="2" t="n">
        <v>7450</v>
      </c>
      <c r="G732" s="2" t="n">
        <v>615702</v>
      </c>
      <c r="H732" s="2" t="b">
        <v>1</v>
      </c>
      <c r="I732" s="2" t="n">
        <v>200</v>
      </c>
      <c r="J732" s="2" t="n">
        <v>37.25</v>
      </c>
      <c r="K732" s="2" t="inlineStr">
        <is>
          <t>&gt; Perfumería &gt; Cuidado Capilar &gt; Acondicionador &gt;</t>
        </is>
      </c>
      <c r="L732" s="2" t="inlineStr">
        <is>
          <t>acondicionador</t>
        </is>
      </c>
      <c r="M732" s="2" t="inlineStr">
        <is>
          <t>profesional</t>
        </is>
      </c>
      <c r="N732" s="2" t="inlineStr">
        <is>
          <t>general</t>
        </is>
      </c>
      <c r="O732" s="2" t="inlineStr">
        <is>
          <t>https://www.jumbo.com.ar/acondicionador-oleo-extraordinario-nutricion-universal-200ml/p</t>
        </is>
      </c>
    </row>
    <row r="733">
      <c r="A733" t="inlineStr">
        <is>
          <t>Jumbo</t>
        </is>
      </c>
      <c r="B733" t="n">
        <v>3086920</v>
      </c>
      <c r="C733" t="n">
        <v>3086144</v>
      </c>
      <c r="D733" t="inlineStr">
        <is>
          <t>Tío Nacho Acondicionador Engrosador V2 415 Ml</t>
        </is>
      </c>
      <c r="E733" t="inlineStr">
        <is>
          <t>SUAVE</t>
        </is>
      </c>
      <c r="F733" t="n">
        <v>11350</v>
      </c>
      <c r="G733" t="n">
        <v>938017</v>
      </c>
      <c r="H733" t="b">
        <v>1</v>
      </c>
      <c r="I733" t="n">
        <v>415</v>
      </c>
      <c r="J733" t="n">
        <v>27.3494</v>
      </c>
      <c r="K733" t="inlineStr">
        <is>
          <t>&gt; Perfumería &gt; Cuidado Capilar &gt; Acondicionador &gt;</t>
        </is>
      </c>
      <c r="L733" t="inlineStr">
        <is>
          <t>acondicionador</t>
        </is>
      </c>
      <c r="M733" t="inlineStr">
        <is>
          <t>estandar</t>
        </is>
      </c>
      <c r="N733" t="inlineStr">
        <is>
          <t>general</t>
        </is>
      </c>
      <c r="O733" t="inlineStr">
        <is>
          <t>https://www.jumbo.com.ar/tio-nacho-acondicionador-engrosador-v2-415-ml-2/p</t>
        </is>
      </c>
    </row>
    <row r="734">
      <c r="A734" s="2" t="inlineStr">
        <is>
          <t>Jumbo</t>
        </is>
      </c>
      <c r="B734" s="2" t="n">
        <v>3071024</v>
      </c>
      <c r="C734" s="2" t="n">
        <v>3070595</v>
      </c>
      <c r="D734" s="2" t="inlineStr">
        <is>
          <t>Acondicionador Dream Liso Anti-frizz 750 Ml Elvive</t>
        </is>
      </c>
      <c r="E734" s="2" t="inlineStr">
        <is>
          <t>ELVIVE</t>
        </is>
      </c>
      <c r="F734" s="2" t="n">
        <v>21050</v>
      </c>
      <c r="G734" s="2" t="n">
        <v>1739669</v>
      </c>
      <c r="H734" s="2" t="b">
        <v>1</v>
      </c>
      <c r="I734" s="2" t="n">
        <v>750</v>
      </c>
      <c r="J734" s="2" t="n">
        <v>28.0667</v>
      </c>
      <c r="K734" s="2" t="inlineStr">
        <is>
          <t>&gt; Perfumería &gt; Cuidado Capilar &gt; Acondicionador &gt;</t>
        </is>
      </c>
      <c r="L734" s="2" t="inlineStr">
        <is>
          <t>acondicionador</t>
        </is>
      </c>
      <c r="M734" s="2" t="inlineStr">
        <is>
          <t>profesional</t>
        </is>
      </c>
      <c r="N734" s="2" t="inlineStr">
        <is>
          <t>general</t>
        </is>
      </c>
      <c r="O734" s="2" t="inlineStr">
        <is>
          <t>https://www.jumbo.com.ar/acondicionador-dream-liso-x-750-ml-elvive/p</t>
        </is>
      </c>
    </row>
    <row r="735">
      <c r="A735" t="inlineStr">
        <is>
          <t>Jumbo</t>
        </is>
      </c>
      <c r="B735" t="n">
        <v>1360441</v>
      </c>
      <c r="C735" t="n">
        <v>1360025</v>
      </c>
      <c r="D735" t="inlineStr">
        <is>
          <t>Acondicionador 3 Minute Miracle Nutrición 170 Ml Pantene</t>
        </is>
      </c>
      <c r="E735" t="inlineStr">
        <is>
          <t>PANTENE</t>
        </is>
      </c>
      <c r="F735" t="n">
        <v>9850</v>
      </c>
      <c r="G735" t="n">
        <v>814050</v>
      </c>
      <c r="H735" t="b">
        <v>1</v>
      </c>
      <c r="I735" t="n">
        <v>170</v>
      </c>
      <c r="J735" t="n">
        <v>57.9412</v>
      </c>
      <c r="K735" t="inlineStr">
        <is>
          <t>&gt; Perfumería &gt; Cuidado Capilar &gt; Reparación y Tratamientos &gt;</t>
        </is>
      </c>
      <c r="L735" t="inlineStr">
        <is>
          <t>acondicionador</t>
        </is>
      </c>
      <c r="M735" t="inlineStr">
        <is>
          <t>estandar</t>
        </is>
      </c>
      <c r="N735" t="inlineStr">
        <is>
          <t>general</t>
        </is>
      </c>
      <c r="O735" t="inlineStr">
        <is>
          <t>https://www.jumbo.com.ar/acondicionador-3-minute-miracle-nutricion-170-ml-pantene-2/p</t>
        </is>
      </c>
    </row>
    <row r="736">
      <c r="A736" s="2" t="inlineStr">
        <is>
          <t>Jumbo</t>
        </is>
      </c>
      <c r="B736" s="2" t="n">
        <v>416912</v>
      </c>
      <c r="C736" s="2" t="n">
        <v>412456</v>
      </c>
      <c r="D736" s="2" t="inlineStr">
        <is>
          <t>Acondicionador Óleo Extraordinario Rizos Definidos 200 Ml Elvive</t>
        </is>
      </c>
      <c r="E736" s="2" t="inlineStr">
        <is>
          <t>ELVIVE</t>
        </is>
      </c>
      <c r="F736" s="2" t="n">
        <v>7450</v>
      </c>
      <c r="G736" s="2" t="n">
        <v>615702</v>
      </c>
      <c r="H736" s="2" t="b">
        <v>1</v>
      </c>
      <c r="I736" s="2" t="n">
        <v>200</v>
      </c>
      <c r="J736" s="2" t="n">
        <v>37.25</v>
      </c>
      <c r="K736" s="2" t="inlineStr">
        <is>
          <t>&gt; Perfumería &gt; Cuidado Capilar &gt; Acondicionador &gt;</t>
        </is>
      </c>
      <c r="L736" s="2" t="inlineStr">
        <is>
          <t>acondicionador</t>
        </is>
      </c>
      <c r="M736" s="2" t="inlineStr">
        <is>
          <t>profesional</t>
        </is>
      </c>
      <c r="N736" s="2" t="inlineStr">
        <is>
          <t>rizado</t>
        </is>
      </c>
      <c r="O736" s="2" t="inlineStr">
        <is>
          <t>https://www.jumbo.com.ar/acondicionador-elvive-extraordinario-riso-200-ml/p</t>
        </is>
      </c>
    </row>
    <row r="737">
      <c r="A737" t="inlineStr">
        <is>
          <t>Jumbo</t>
        </is>
      </c>
      <c r="B737" t="n">
        <v>3079026</v>
      </c>
      <c r="C737" t="n">
        <v>3078350</v>
      </c>
      <c r="D737" t="inlineStr">
        <is>
          <t>Acondicionador Nutre y Crece Bambú 250 Ml Pantene</t>
        </is>
      </c>
      <c r="E737" t="inlineStr">
        <is>
          <t>PANTENE</t>
        </is>
      </c>
      <c r="F737" t="n">
        <v>10300</v>
      </c>
      <c r="G737" t="n">
        <v>851240</v>
      </c>
      <c r="H737" t="b">
        <v>1</v>
      </c>
      <c r="I737" t="n">
        <v>250</v>
      </c>
      <c r="J737" t="n">
        <v>41.2</v>
      </c>
      <c r="K737" t="inlineStr">
        <is>
          <t>&gt; Perfumería &gt; Cuidado Capilar &gt; Acondicionador &gt;</t>
        </is>
      </c>
      <c r="L737" t="inlineStr">
        <is>
          <t>acondicionador</t>
        </is>
      </c>
      <c r="M737" t="inlineStr">
        <is>
          <t>estandar</t>
        </is>
      </c>
      <c r="N737" t="inlineStr">
        <is>
          <t>general</t>
        </is>
      </c>
      <c r="O737" t="inlineStr">
        <is>
          <t>https://www.jumbo.com.ar/acondicionador-pantene-bamboo-250ml/p</t>
        </is>
      </c>
    </row>
    <row r="738">
      <c r="A738" s="2" t="inlineStr">
        <is>
          <t>Jumbo</t>
        </is>
      </c>
      <c r="B738" s="2" t="n">
        <v>3066019</v>
      </c>
      <c r="C738" s="2" t="n">
        <v>3065976</v>
      </c>
      <c r="D738" s="2" t="inlineStr">
        <is>
          <t>Acondicionador Anti-Caída Biotinamina B3 250 Ml Pantene</t>
        </is>
      </c>
      <c r="E738" s="2" t="inlineStr">
        <is>
          <t>PANTENE</t>
        </is>
      </c>
      <c r="F738" s="2" t="n">
        <v>10250</v>
      </c>
      <c r="G738" s="2" t="n">
        <v>847107</v>
      </c>
      <c r="H738" s="2" t="b">
        <v>1</v>
      </c>
      <c r="I738" s="2" t="n">
        <v>250</v>
      </c>
      <c r="J738" s="2" t="n">
        <v>41</v>
      </c>
      <c r="K738" s="2" t="inlineStr">
        <is>
          <t>&gt; Perfumería &gt; Cuidado Capilar &gt; Acondicionador &gt;</t>
        </is>
      </c>
      <c r="L738" s="2" t="inlineStr">
        <is>
          <t>acondicionador</t>
        </is>
      </c>
      <c r="M738" s="2" t="inlineStr">
        <is>
          <t>estandar</t>
        </is>
      </c>
      <c r="N738" s="2" t="inlineStr">
        <is>
          <t>general</t>
        </is>
      </c>
      <c r="O738" s="2" t="inlineStr">
        <is>
          <t>https://www.jumbo.com.ar/acondicionador-anti-caida-x-250-ml-pantene/p</t>
        </is>
      </c>
    </row>
    <row r="739">
      <c r="A739" t="inlineStr">
        <is>
          <t>Jumbo</t>
        </is>
      </c>
      <c r="B739" t="n">
        <v>1361140</v>
      </c>
      <c r="C739" t="n">
        <v>1360545</v>
      </c>
      <c r="D739" t="inlineStr">
        <is>
          <t>Acondicionador Keratina Repara y Protege 200 Ml Pantene</t>
        </is>
      </c>
      <c r="E739" t="inlineStr">
        <is>
          <t>PANTENE</t>
        </is>
      </c>
      <c r="F739" t="n">
        <v>6600</v>
      </c>
      <c r="G739" t="n">
        <v>545455</v>
      </c>
      <c r="H739" t="b">
        <v>1</v>
      </c>
      <c r="I739" t="n">
        <v>200</v>
      </c>
      <c r="J739" t="n">
        <v>33</v>
      </c>
      <c r="K739" t="inlineStr">
        <is>
          <t>&gt; Perfumería &gt; Cuidado Capilar &gt; Acondicionador &gt;</t>
        </is>
      </c>
      <c r="L739" t="inlineStr">
        <is>
          <t>acondicionador</t>
        </is>
      </c>
      <c r="M739" t="inlineStr">
        <is>
          <t>estandar</t>
        </is>
      </c>
      <c r="N739" t="inlineStr">
        <is>
          <t>tratado</t>
        </is>
      </c>
      <c r="O739" t="inlineStr">
        <is>
          <t>https://www.jumbo.com.ar/acondicionador-keratina-200-ml-pantene/p</t>
        </is>
      </c>
    </row>
    <row r="740">
      <c r="A740" s="2" t="inlineStr">
        <is>
          <t>Jumbo</t>
        </is>
      </c>
      <c r="B740" s="2" t="n">
        <v>1360448</v>
      </c>
      <c r="C740" s="2" t="n">
        <v>1360031</v>
      </c>
      <c r="D740" s="2" t="inlineStr">
        <is>
          <t>Acondicionador Glycolic Gloss Sellador de Brillo 200 Ml Elvive</t>
        </is>
      </c>
      <c r="E740" s="2" t="inlineStr">
        <is>
          <t>ELVIVE</t>
        </is>
      </c>
      <c r="F740" s="2" t="n">
        <v>8050</v>
      </c>
      <c r="G740" s="2" t="n">
        <v>665289</v>
      </c>
      <c r="H740" s="2" t="b">
        <v>1</v>
      </c>
      <c r="I740" s="2" t="n">
        <v>200</v>
      </c>
      <c r="J740" s="2" t="n">
        <v>40.25</v>
      </c>
      <c r="K740" s="2" t="inlineStr">
        <is>
          <t>&gt; Perfumería &gt; Cuidado Capilar &gt; Acondicionador &gt;</t>
        </is>
      </c>
      <c r="L740" s="2" t="inlineStr">
        <is>
          <t>acondicionador</t>
        </is>
      </c>
      <c r="M740" s="2" t="inlineStr">
        <is>
          <t>profesional</t>
        </is>
      </c>
      <c r="N740" s="2" t="inlineStr">
        <is>
          <t>general</t>
        </is>
      </c>
      <c r="O740" s="2" t="inlineStr">
        <is>
          <t>https://www.jumbo.com.ar/acondicionador-elvive-glyco-gloss-200ml/p</t>
        </is>
      </c>
    </row>
    <row r="741">
      <c r="A741" t="inlineStr">
        <is>
          <t>Jumbo</t>
        </is>
      </c>
      <c r="B741" t="n">
        <v>3083504</v>
      </c>
      <c r="C741" t="n">
        <v>3082779</v>
      </c>
      <c r="D741" t="inlineStr">
        <is>
          <t>Acondicionador Brillo Cristalino Glycolic Cristal 200 Ml Elvive</t>
        </is>
      </c>
      <c r="E741" t="inlineStr">
        <is>
          <t>ELVIVE</t>
        </is>
      </c>
      <c r="F741" t="n">
        <v>8450</v>
      </c>
      <c r="G741" t="n">
        <v>698347</v>
      </c>
      <c r="H741" t="b">
        <v>1</v>
      </c>
      <c r="I741" t="n">
        <v>200</v>
      </c>
      <c r="J741" t="n">
        <v>42.25</v>
      </c>
      <c r="K741" t="inlineStr">
        <is>
          <t>&gt; Perfumería &gt; Cuidado Capilar &gt; Acondicionador &gt;</t>
        </is>
      </c>
      <c r="L741" t="inlineStr">
        <is>
          <t>acondicionador</t>
        </is>
      </c>
      <c r="M741" t="inlineStr">
        <is>
          <t>profesional</t>
        </is>
      </c>
      <c r="N741" t="inlineStr">
        <is>
          <t>general</t>
        </is>
      </c>
      <c r="O741" t="inlineStr">
        <is>
          <t>https://www.jumbo.com.ar/acondicionador-brillo-cristalino-glycolic-cristal-x-200-ml-elvive/p</t>
        </is>
      </c>
    </row>
    <row r="742">
      <c r="A742" s="2" t="inlineStr">
        <is>
          <t>Jumbo</t>
        </is>
      </c>
      <c r="B742" s="2" t="n">
        <v>1360450</v>
      </c>
      <c r="C742" s="2" t="n">
        <v>1360033</v>
      </c>
      <c r="D742" s="2" t="inlineStr">
        <is>
          <t>Acondicionador Glycolic Gloss Sellador de Brillo 400 Ml Elvive</t>
        </is>
      </c>
      <c r="E742" s="2" t="inlineStr">
        <is>
          <t>ELVIVE</t>
        </is>
      </c>
      <c r="F742" s="2" t="n">
        <v>13350</v>
      </c>
      <c r="G742" s="2" t="n">
        <v>1103306</v>
      </c>
      <c r="H742" s="2" t="b">
        <v>1</v>
      </c>
      <c r="I742" s="2" t="n">
        <v>400</v>
      </c>
      <c r="J742" s="2" t="n">
        <v>33.375</v>
      </c>
      <c r="K742" s="2" t="inlineStr">
        <is>
          <t>&gt; Perfumería &gt; Cuidado Capilar &gt; Acondicionador &gt;</t>
        </is>
      </c>
      <c r="L742" s="2" t="inlineStr">
        <is>
          <t>acondicionador</t>
        </is>
      </c>
      <c r="M742" s="2" t="inlineStr">
        <is>
          <t>profesional</t>
        </is>
      </c>
      <c r="N742" s="2" t="inlineStr">
        <is>
          <t>general</t>
        </is>
      </c>
      <c r="O742" s="2" t="inlineStr">
        <is>
          <t>https://www.jumbo.com.ar/acondicionador-elvive-glyco-gloss-400ml/p</t>
        </is>
      </c>
    </row>
    <row r="743">
      <c r="A743" t="inlineStr">
        <is>
          <t>Jumbo</t>
        </is>
      </c>
      <c r="B743" t="n">
        <v>407560</v>
      </c>
      <c r="C743" t="n">
        <v>403749</v>
      </c>
      <c r="D743" t="inlineStr">
        <is>
          <t>Acondicionador Reparación Total 5 Keratin 750 Ml Elvive</t>
        </is>
      </c>
      <c r="E743" t="inlineStr">
        <is>
          <t>ELVIVE</t>
        </is>
      </c>
      <c r="F743" t="n">
        <v>18600</v>
      </c>
      <c r="G743" t="n">
        <v>1537190</v>
      </c>
      <c r="H743" t="b">
        <v>1</v>
      </c>
      <c r="I743" t="n">
        <v>750</v>
      </c>
      <c r="J743" t="n">
        <v>24.8</v>
      </c>
      <c r="K743" t="inlineStr">
        <is>
          <t>&gt; Perfumería &gt; Cuidado Capilar &gt; Acondicionador &gt;</t>
        </is>
      </c>
      <c r="L743" t="inlineStr">
        <is>
          <t>acondicionador</t>
        </is>
      </c>
      <c r="M743" t="inlineStr">
        <is>
          <t>profesional</t>
        </is>
      </c>
      <c r="N743" t="inlineStr">
        <is>
          <t>general</t>
        </is>
      </c>
      <c r="O743" t="inlineStr">
        <is>
          <t>https://www.jumbo.com.ar/acondicionador-elvive-rt5-keratin-750ml/p</t>
        </is>
      </c>
    </row>
    <row r="744">
      <c r="A744" s="2" t="inlineStr">
        <is>
          <t>Jumbo</t>
        </is>
      </c>
      <c r="B744" s="2" t="n">
        <v>1360452</v>
      </c>
      <c r="C744" s="2" t="n">
        <v>1360035</v>
      </c>
      <c r="D744" s="2" t="inlineStr">
        <is>
          <t>Acondicionador Glyco Gloss Sellador de Brillo 750 Ml Elvive</t>
        </is>
      </c>
      <c r="E744" s="2" t="inlineStr">
        <is>
          <t>ELVIVE</t>
        </is>
      </c>
      <c r="F744" s="2" t="n">
        <v>21350</v>
      </c>
      <c r="G744" s="2" t="n">
        <v>1764463</v>
      </c>
      <c r="H744" s="2" t="b">
        <v>1</v>
      </c>
      <c r="I744" s="2" t="n">
        <v>750</v>
      </c>
      <c r="J744" s="2" t="n">
        <v>28.4667</v>
      </c>
      <c r="K744" s="2" t="inlineStr">
        <is>
          <t>&gt; Perfumería &gt; Cuidado Capilar &gt; Acondicionador &gt;</t>
        </is>
      </c>
      <c r="L744" s="2" t="inlineStr">
        <is>
          <t>acondicionador</t>
        </is>
      </c>
      <c r="M744" s="2" t="inlineStr">
        <is>
          <t>profesional</t>
        </is>
      </c>
      <c r="N744" s="2" t="inlineStr">
        <is>
          <t>general</t>
        </is>
      </c>
      <c r="O744" s="2" t="inlineStr">
        <is>
          <t>https://www.jumbo.com.ar/acondicionador-elvive-glyco-gloss-750ml/p</t>
        </is>
      </c>
    </row>
    <row r="745">
      <c r="A745" t="inlineStr">
        <is>
          <t>Jumbo</t>
        </is>
      </c>
      <c r="B745" t="n">
        <v>415585</v>
      </c>
      <c r="C745" t="n">
        <v>411169</v>
      </c>
      <c r="D745" t="inlineStr">
        <is>
          <t>Acondicionador Revitalización Repara y Hidrata 400 Ml Pantene</t>
        </is>
      </c>
      <c r="E745" t="inlineStr">
        <is>
          <t>PANTENE</t>
        </is>
      </c>
      <c r="F745" t="n">
        <v>10300</v>
      </c>
      <c r="G745" t="n">
        <v>851240</v>
      </c>
      <c r="H745" t="b">
        <v>1</v>
      </c>
      <c r="I745" t="n">
        <v>400</v>
      </c>
      <c r="J745" t="n">
        <v>25.75</v>
      </c>
      <c r="K745" t="inlineStr">
        <is>
          <t>&gt; Perfumería &gt; Cuidado Capilar &gt; Acondicionador &gt;</t>
        </is>
      </c>
      <c r="L745" t="inlineStr">
        <is>
          <t>acondicionador</t>
        </is>
      </c>
      <c r="M745" t="inlineStr">
        <is>
          <t>estandar</t>
        </is>
      </c>
      <c r="N745" t="inlineStr">
        <is>
          <t>seco_danado</t>
        </is>
      </c>
      <c r="O745" t="inlineStr">
        <is>
          <t>https://www.jumbo.com.ar/acondicionador-revitalizacion-400-ml-pantene/p</t>
        </is>
      </c>
    </row>
    <row r="746">
      <c r="A746" s="2" t="inlineStr">
        <is>
          <t>Jumbo</t>
        </is>
      </c>
      <c r="B746" s="2" t="n">
        <v>401191</v>
      </c>
      <c r="C746" s="2" t="n">
        <v>398529</v>
      </c>
      <c r="D746" s="2" t="inlineStr">
        <is>
          <t>Acondicionador Detox Limpia y Purifica 700 Ml Pantene</t>
        </is>
      </c>
      <c r="E746" s="2" t="inlineStr">
        <is>
          <t>PANTENE</t>
        </is>
      </c>
      <c r="F746" s="2" t="n">
        <v>17500</v>
      </c>
      <c r="G746" s="2" t="n">
        <v>1446281</v>
      </c>
      <c r="H746" s="2" t="b">
        <v>1</v>
      </c>
      <c r="I746" s="2" t="n">
        <v>700</v>
      </c>
      <c r="J746" s="2" t="n">
        <v>25</v>
      </c>
      <c r="K746" s="2" t="inlineStr">
        <is>
          <t>&gt; Perfumería &gt; Cuidado Capilar &gt; Acondicionador &gt;</t>
        </is>
      </c>
      <c r="L746" s="2" t="inlineStr">
        <is>
          <t>acondicionador</t>
        </is>
      </c>
      <c r="M746" s="2" t="inlineStr">
        <is>
          <t>estandar</t>
        </is>
      </c>
      <c r="N746" s="2" t="inlineStr">
        <is>
          <t>general</t>
        </is>
      </c>
      <c r="O746" s="2" t="inlineStr">
        <is>
          <t>https://www.jumbo.com.ar/acondicionador-detox-limpia-purifica-700-ml-pantene-2/p</t>
        </is>
      </c>
    </row>
    <row r="747">
      <c r="A747" t="inlineStr">
        <is>
          <t>Jumbo</t>
        </is>
      </c>
      <c r="B747" t="n">
        <v>3070161</v>
      </c>
      <c r="C747" t="n">
        <v>3069768</v>
      </c>
      <c r="D747" t="inlineStr">
        <is>
          <t>Acondicionador Keratina Repara y Protege 250 Ml Pantene</t>
        </is>
      </c>
      <c r="E747" t="inlineStr">
        <is>
          <t>PANTENE</t>
        </is>
      </c>
      <c r="F747" t="n">
        <v>10250</v>
      </c>
      <c r="G747" t="n">
        <v>847107</v>
      </c>
      <c r="H747" t="b">
        <v>1</v>
      </c>
      <c r="I747" t="n">
        <v>250</v>
      </c>
      <c r="J747" t="n">
        <v>41</v>
      </c>
      <c r="K747" t="inlineStr">
        <is>
          <t>&gt; Perfumería &gt; Cuidado Capilar &gt; Acondicionador &gt;</t>
        </is>
      </c>
      <c r="L747" t="inlineStr">
        <is>
          <t>acondicionador</t>
        </is>
      </c>
      <c r="M747" t="inlineStr">
        <is>
          <t>estandar</t>
        </is>
      </c>
      <c r="N747" t="inlineStr">
        <is>
          <t>tratado</t>
        </is>
      </c>
      <c r="O747" t="inlineStr">
        <is>
          <t>https://www.jumbo.com.ar/acondicionador-keratina-x-250-ml-pantene-2/p</t>
        </is>
      </c>
    </row>
    <row r="748">
      <c r="A748" s="2" t="inlineStr">
        <is>
          <t>Jumbo</t>
        </is>
      </c>
      <c r="B748" s="2" t="n">
        <v>397622</v>
      </c>
      <c r="C748" s="2" t="n">
        <v>395355</v>
      </c>
      <c r="D748" s="2" t="inlineStr">
        <is>
          <t>Acondicionador Hidra Equilibrante Hialuronico Pure 750 Ml Elvive</t>
        </is>
      </c>
      <c r="E748" s="2" t="inlineStr">
        <is>
          <t>ELVIVE</t>
        </is>
      </c>
      <c r="F748" s="2" t="n">
        <v>18600</v>
      </c>
      <c r="G748" s="2" t="n">
        <v>1537190</v>
      </c>
      <c r="H748" s="2" t="b">
        <v>1</v>
      </c>
      <c r="I748" s="2" t="n">
        <v>750</v>
      </c>
      <c r="J748" s="2" t="n">
        <v>24.8</v>
      </c>
      <c r="K748" s="2" t="inlineStr">
        <is>
          <t>&gt; Perfumería &gt; Cuidado Capilar &gt; Acondicionador &gt;</t>
        </is>
      </c>
      <c r="L748" s="2" t="inlineStr">
        <is>
          <t>acondicionador</t>
        </is>
      </c>
      <c r="M748" s="2" t="inlineStr">
        <is>
          <t>profesional</t>
        </is>
      </c>
      <c r="N748" s="2" t="inlineStr">
        <is>
          <t>general</t>
        </is>
      </c>
      <c r="O748" s="2" t="inlineStr">
        <is>
          <t>https://www.jumbo.com.ar/acondicionador-elvive-hialuronico-pure-750-ml/p</t>
        </is>
      </c>
    </row>
    <row r="749">
      <c r="A749" t="inlineStr">
        <is>
          <t>Jumbo</t>
        </is>
      </c>
      <c r="B749" t="n">
        <v>3087375</v>
      </c>
      <c r="C749" t="n">
        <v>3086596</v>
      </c>
      <c r="D749" t="inlineStr">
        <is>
          <t>Acondicionador Humectación y Coco Antioxi 650 Ml Dove Acondicionador Dove Humectcoco Antioxi 650ml</t>
        </is>
      </c>
      <c r="E749" t="inlineStr">
        <is>
          <t>DOVE</t>
        </is>
      </c>
      <c r="F749" t="n">
        <v>16700</v>
      </c>
      <c r="G749" t="n">
        <v>1380165</v>
      </c>
      <c r="H749" t="b">
        <v>1</v>
      </c>
      <c r="I749" t="n">
        <v>650</v>
      </c>
      <c r="J749" t="n">
        <v>25.6923</v>
      </c>
      <c r="K749" t="inlineStr">
        <is>
          <t>&gt; Perfumería &gt; Cuidado Capilar &gt; Acondicionador &gt;</t>
        </is>
      </c>
      <c r="L749" t="inlineStr">
        <is>
          <t>acondicionador</t>
        </is>
      </c>
      <c r="M749" t="inlineStr">
        <is>
          <t>estandar</t>
        </is>
      </c>
      <c r="N749" t="inlineStr">
        <is>
          <t>general</t>
        </is>
      </c>
      <c r="O749" t="inlineStr">
        <is>
          <t>https://www.jumbo.com.ar/acondicionador-dove-humectcoco-antioxi-650ml/p</t>
        </is>
      </c>
    </row>
    <row r="750">
      <c r="A750" s="2" t="inlineStr">
        <is>
          <t>Jumbo</t>
        </is>
      </c>
      <c r="B750" s="2" t="n">
        <v>3086640</v>
      </c>
      <c r="C750" s="2" t="n">
        <v>3085864</v>
      </c>
      <c r="D750" s="2" t="inlineStr">
        <is>
          <t>Acondicionador Goodbye Daños Oil Control 350 Ml Fructis Acondicionador Oil Control X 350 Ml Fructis</t>
        </is>
      </c>
      <c r="E750" s="2" t="inlineStr">
        <is>
          <t>FRUCTIS</t>
        </is>
      </c>
      <c r="F750" s="2" t="n">
        <v>8550</v>
      </c>
      <c r="G750" s="2" t="n">
        <v>706612</v>
      </c>
      <c r="H750" s="2" t="b">
        <v>1</v>
      </c>
      <c r="I750" s="2" t="n">
        <v>350</v>
      </c>
      <c r="J750" s="2" t="n">
        <v>24.4286</v>
      </c>
      <c r="K750" s="2" t="inlineStr">
        <is>
          <t>&gt; Perfumería &gt; Cuidado Capilar &gt; Acondicionador &gt;</t>
        </is>
      </c>
      <c r="L750" s="2" t="inlineStr">
        <is>
          <t>acondicionador</t>
        </is>
      </c>
      <c r="M750" s="2" t="inlineStr">
        <is>
          <t>estandar</t>
        </is>
      </c>
      <c r="N750" s="2" t="inlineStr">
        <is>
          <t>general</t>
        </is>
      </c>
      <c r="O750" s="2" t="inlineStr">
        <is>
          <t>https://www.jumbo.com.ar/acondicionador-oil-control-x-350-ml-fructis/p</t>
        </is>
      </c>
    </row>
    <row r="751">
      <c r="A751" t="inlineStr">
        <is>
          <t>Jumbo</t>
        </is>
      </c>
      <c r="B751" t="n">
        <v>3065220</v>
      </c>
      <c r="C751" t="n">
        <v>3065219</v>
      </c>
      <c r="D751" t="inlineStr">
        <is>
          <t>Acondicionador Pro-v Miracles Hidrata 700 Ml Pantene</t>
        </is>
      </c>
      <c r="E751" t="inlineStr">
        <is>
          <t>PANTENE</t>
        </is>
      </c>
      <c r="F751" t="n">
        <v>17250</v>
      </c>
      <c r="G751" t="n">
        <v>1425620</v>
      </c>
      <c r="H751" t="b">
        <v>1</v>
      </c>
      <c r="I751" t="n">
        <v>700</v>
      </c>
      <c r="J751" t="n">
        <v>24.6429</v>
      </c>
      <c r="K751" t="inlineStr">
        <is>
          <t>&gt; Perfumería &gt; Cuidado Capilar &gt; Acondicionador &gt;</t>
        </is>
      </c>
      <c r="L751" t="inlineStr">
        <is>
          <t>acondicionador</t>
        </is>
      </c>
      <c r="M751" t="inlineStr">
        <is>
          <t>profesional</t>
        </is>
      </c>
      <c r="N751" t="inlineStr">
        <is>
          <t>seco_danado</t>
        </is>
      </c>
      <c r="O751" t="inlineStr">
        <is>
          <t>https://www.jumbo.com.ar/acondicionador-pro-v-miracles-hidrata-700-ml-pantene-2/p</t>
        </is>
      </c>
    </row>
    <row r="752">
      <c r="A752" s="2" t="inlineStr">
        <is>
          <t>Jumbo</t>
        </is>
      </c>
      <c r="B752" s="2" t="n">
        <v>1371393</v>
      </c>
      <c r="C752" s="2" t="n">
        <v>1369515</v>
      </c>
      <c r="D752" s="2" t="inlineStr">
        <is>
          <t>Acondicionador Aloe Hidra Clean Hidratación 350 Ml Fructis</t>
        </is>
      </c>
      <c r="E752" s="2" t="inlineStr">
        <is>
          <t>FRUCTIS</t>
        </is>
      </c>
      <c r="F752" s="2" t="n">
        <v>8250</v>
      </c>
      <c r="G752" s="2" t="n">
        <v>681818</v>
      </c>
      <c r="H752" s="2" t="b">
        <v>1</v>
      </c>
      <c r="I752" s="2" t="n">
        <v>350</v>
      </c>
      <c r="J752" s="2" t="n">
        <v>23.5714</v>
      </c>
      <c r="K752" s="2" t="inlineStr">
        <is>
          <t>&gt; Perfumería &gt; Cuidado Capilar &gt; Acondicionador &gt;</t>
        </is>
      </c>
      <c r="L752" s="2" t="inlineStr">
        <is>
          <t>acondicionador</t>
        </is>
      </c>
      <c r="M752" s="2" t="inlineStr">
        <is>
          <t>estandar</t>
        </is>
      </c>
      <c r="N752" s="2" t="inlineStr">
        <is>
          <t>seco_danado</t>
        </is>
      </c>
      <c r="O752" s="2" t="inlineStr">
        <is>
          <t>https://www.jumbo.com.ar/acondicionador-fructis-aloe-water-350-ml-2/p</t>
        </is>
      </c>
    </row>
    <row r="753">
      <c r="A753" t="inlineStr">
        <is>
          <t>Jumbo</t>
        </is>
      </c>
      <c r="B753" t="n">
        <v>1362524</v>
      </c>
      <c r="C753" t="n">
        <v>1361772</v>
      </c>
      <c r="D753" t="inlineStr">
        <is>
          <t>Acondicionador Reparación Total 5 Keratin 200 Ml Elvive</t>
        </is>
      </c>
      <c r="E753" t="inlineStr">
        <is>
          <t>ELVIVE</t>
        </is>
      </c>
      <c r="F753" t="n">
        <v>7450</v>
      </c>
      <c r="G753" t="n">
        <v>615702</v>
      </c>
      <c r="H753" t="b">
        <v>1</v>
      </c>
      <c r="I753" t="n">
        <v>200</v>
      </c>
      <c r="J753" t="n">
        <v>37.25</v>
      </c>
      <c r="K753" t="inlineStr">
        <is>
          <t>&gt; Perfumería &gt; Cuidado Capilar &gt; Acondicionador &gt;</t>
        </is>
      </c>
      <c r="L753" t="inlineStr">
        <is>
          <t>acondicionador</t>
        </is>
      </c>
      <c r="M753" t="inlineStr">
        <is>
          <t>profesional</t>
        </is>
      </c>
      <c r="N753" t="inlineStr">
        <is>
          <t>general</t>
        </is>
      </c>
      <c r="O753" t="inlineStr">
        <is>
          <t>https://www.jumbo.com.ar/acondicionador-elvive-reparacion-total-5-keratin-200-ml/p</t>
        </is>
      </c>
    </row>
    <row r="754">
      <c r="A754" s="2" t="inlineStr">
        <is>
          <t>Jumbo</t>
        </is>
      </c>
      <c r="B754" s="2" t="n">
        <v>405287</v>
      </c>
      <c r="C754" s="2" t="n">
        <v>402222</v>
      </c>
      <c r="D754" s="2" t="inlineStr">
        <is>
          <t>Acondicionador Hydraliss Hidratación y Frizz 350 Ml Fructis</t>
        </is>
      </c>
      <c r="E754" s="2" t="inlineStr">
        <is>
          <t>FRUCTIS</t>
        </is>
      </c>
      <c r="F754" s="2" t="n">
        <v>8250</v>
      </c>
      <c r="G754" s="2" t="n">
        <v>681818</v>
      </c>
      <c r="H754" s="2" t="b">
        <v>1</v>
      </c>
      <c r="I754" s="2" t="n">
        <v>350</v>
      </c>
      <c r="J754" s="2" t="n">
        <v>23.5714</v>
      </c>
      <c r="K754" s="2" t="inlineStr">
        <is>
          <t>&gt; Perfumería &gt; Cuidado Capilar &gt; Acondicionador &gt;</t>
        </is>
      </c>
      <c r="L754" s="2" t="inlineStr">
        <is>
          <t>acondicionador</t>
        </is>
      </c>
      <c r="M754" s="2" t="inlineStr">
        <is>
          <t>estandar</t>
        </is>
      </c>
      <c r="N754" s="2" t="inlineStr">
        <is>
          <t>seco_danado</t>
        </is>
      </c>
      <c r="O754" s="2" t="inlineStr">
        <is>
          <t>https://www.jumbo.com.ar/acondicionador-fructis-hydraliss-350ml/p</t>
        </is>
      </c>
    </row>
    <row r="755">
      <c r="A755" t="inlineStr">
        <is>
          <t>Jumbo</t>
        </is>
      </c>
      <c r="B755" t="n">
        <v>3086925</v>
      </c>
      <c r="C755" t="n">
        <v>3086149</v>
      </c>
      <c r="D755" t="inlineStr">
        <is>
          <t>Acondicionador Tío Nacho Herbolaria Milenaria V2 415 Ml</t>
        </is>
      </c>
      <c r="E755" t="inlineStr">
        <is>
          <t>SUAVE</t>
        </is>
      </c>
      <c r="F755" t="n">
        <v>11350</v>
      </c>
      <c r="G755" t="n">
        <v>938017</v>
      </c>
      <c r="H755" t="b">
        <v>1</v>
      </c>
      <c r="I755" t="n">
        <v>415</v>
      </c>
      <c r="J755" t="n">
        <v>27.3494</v>
      </c>
      <c r="K755" t="inlineStr">
        <is>
          <t>&gt; Perfumería &gt; Cuidado Capilar &gt; Acondicionador &gt;</t>
        </is>
      </c>
      <c r="L755" t="inlineStr">
        <is>
          <t>acondicionador</t>
        </is>
      </c>
      <c r="M755" t="inlineStr">
        <is>
          <t>estandar</t>
        </is>
      </c>
      <c r="N755" t="inlineStr">
        <is>
          <t>general</t>
        </is>
      </c>
      <c r="O755" t="inlineStr">
        <is>
          <t>https://www.jumbo.com.ar/acondicionador-tio-nacho-herbolaria-milenaria-v2-415-ml-2/p</t>
        </is>
      </c>
    </row>
    <row r="756">
      <c r="A756" s="2" t="inlineStr">
        <is>
          <t>Jumbo</t>
        </is>
      </c>
      <c r="B756" s="2" t="n">
        <v>412483</v>
      </c>
      <c r="C756" s="2" t="n">
        <v>408092</v>
      </c>
      <c r="D756" s="2" t="inlineStr">
        <is>
          <t>Acondicionador Liso Coco Hidratación Intensa 350 Ml Fructis</t>
        </is>
      </c>
      <c r="E756" s="2" t="inlineStr">
        <is>
          <t>FRUCTIS</t>
        </is>
      </c>
      <c r="F756" s="2" t="n">
        <v>8250</v>
      </c>
      <c r="G756" s="2" t="n">
        <v>681818</v>
      </c>
      <c r="H756" s="2" t="b">
        <v>1</v>
      </c>
      <c r="I756" s="2" t="n">
        <v>350</v>
      </c>
      <c r="J756" s="2" t="n">
        <v>23.5714</v>
      </c>
      <c r="K756" s="2" t="inlineStr">
        <is>
          <t>&gt; Perfumería &gt; Cuidado Capilar &gt; Acondicionador &gt;</t>
        </is>
      </c>
      <c r="L756" s="2" t="inlineStr">
        <is>
          <t>acondicionador</t>
        </is>
      </c>
      <c r="M756" s="2" t="inlineStr">
        <is>
          <t>estandar</t>
        </is>
      </c>
      <c r="N756" s="2" t="inlineStr">
        <is>
          <t>seco_danado</t>
        </is>
      </c>
      <c r="O756" s="2" t="inlineStr">
        <is>
          <t>https://www.jumbo.com.ar/acondicionador-fructis-liso-coco-350-ml/p</t>
        </is>
      </c>
    </row>
    <row r="757">
      <c r="A757" t="inlineStr">
        <is>
          <t>Jumbo</t>
        </is>
      </c>
      <c r="B757" t="n">
        <v>3083498</v>
      </c>
      <c r="C757" t="n">
        <v>3082773</v>
      </c>
      <c r="D757" t="inlineStr">
        <is>
          <t>Acondicionador Brillo Cristalino Glycolic Cristal 750 Ml Elvive</t>
        </is>
      </c>
      <c r="E757" t="inlineStr">
        <is>
          <t>ELVIVE</t>
        </is>
      </c>
      <c r="F757" t="n">
        <v>22350</v>
      </c>
      <c r="G757" t="n">
        <v>1847107</v>
      </c>
      <c r="H757" t="b">
        <v>1</v>
      </c>
      <c r="I757" t="n">
        <v>750</v>
      </c>
      <c r="J757" t="n">
        <v>29.8</v>
      </c>
      <c r="K757" t="inlineStr">
        <is>
          <t>&gt; Perfumería &gt; Cuidado Capilar &gt; Acondicionador &gt;</t>
        </is>
      </c>
      <c r="L757" t="inlineStr">
        <is>
          <t>acondicionador</t>
        </is>
      </c>
      <c r="M757" t="inlineStr">
        <is>
          <t>profesional</t>
        </is>
      </c>
      <c r="N757" t="inlineStr">
        <is>
          <t>general</t>
        </is>
      </c>
      <c r="O757" t="inlineStr">
        <is>
          <t>https://www.jumbo.com.ar/acondicionador-brillo-cristalino-glycolic-cristal-x-750-ml-elvive/p</t>
        </is>
      </c>
    </row>
    <row r="758">
      <c r="A758" s="2" t="inlineStr">
        <is>
          <t>Jumbo</t>
        </is>
      </c>
      <c r="B758" s="2" t="n">
        <v>3070986</v>
      </c>
      <c r="C758" s="2" t="n">
        <v>3070556</v>
      </c>
      <c r="D758" s="2" t="inlineStr">
        <is>
          <t>Acondicionador Sellador Liso Dream Liso 400 Ml Elvive</t>
        </is>
      </c>
      <c r="E758" s="2" t="inlineStr">
        <is>
          <t>ELVIVE</t>
        </is>
      </c>
      <c r="F758" s="2" t="n">
        <v>13350</v>
      </c>
      <c r="G758" s="2" t="n">
        <v>1103306</v>
      </c>
      <c r="H758" s="2" t="b">
        <v>1</v>
      </c>
      <c r="I758" s="2" t="n">
        <v>400</v>
      </c>
      <c r="J758" s="2" t="n">
        <v>33.375</v>
      </c>
      <c r="K758" s="2" t="inlineStr">
        <is>
          <t>&gt; Perfumería &gt; Cuidado Capilar &gt; Acondicionador &gt;</t>
        </is>
      </c>
      <c r="L758" s="2" t="inlineStr">
        <is>
          <t>acondicionador</t>
        </is>
      </c>
      <c r="M758" s="2" t="inlineStr">
        <is>
          <t>profesional</t>
        </is>
      </c>
      <c r="N758" s="2" t="inlineStr">
        <is>
          <t>general</t>
        </is>
      </c>
      <c r="O758" s="2" t="inlineStr">
        <is>
          <t>https://www.jumbo.com.ar/acondicionador-dream-liso-x-400-ml-elvive/p</t>
        </is>
      </c>
    </row>
    <row r="759">
      <c r="A759" t="inlineStr">
        <is>
          <t>Jumbo</t>
        </is>
      </c>
      <c r="B759" t="n">
        <v>3068265</v>
      </c>
      <c r="C759" t="n">
        <v>3068093</v>
      </c>
      <c r="D759" t="inlineStr">
        <is>
          <t>Acondicionador Probiotics para Cabello Frágil 350 Ml Fructis</t>
        </is>
      </c>
      <c r="E759" t="inlineStr">
        <is>
          <t>FRUCTIS</t>
        </is>
      </c>
      <c r="F759" t="n">
        <v>8250</v>
      </c>
      <c r="G759" t="n">
        <v>681818</v>
      </c>
      <c r="H759" t="b">
        <v>1</v>
      </c>
      <c r="I759" t="n">
        <v>350</v>
      </c>
      <c r="J759" t="n">
        <v>23.5714</v>
      </c>
      <c r="K759" t="inlineStr">
        <is>
          <t>&gt; Perfumería &gt; Cuidado Capilar &gt; Acondicionador &gt;</t>
        </is>
      </c>
      <c r="L759" t="inlineStr">
        <is>
          <t>acondicionador</t>
        </is>
      </c>
      <c r="M759" t="inlineStr">
        <is>
          <t>estandar</t>
        </is>
      </c>
      <c r="N759" t="inlineStr">
        <is>
          <t>general</t>
        </is>
      </c>
      <c r="O759" t="inlineStr">
        <is>
          <t>https://www.jumbo.com.ar/acondicionador-probiotics-x-350-ml-fructis-2/p</t>
        </is>
      </c>
    </row>
    <row r="760">
      <c r="A760" s="2" t="inlineStr">
        <is>
          <t>Jumbo</t>
        </is>
      </c>
      <c r="B760" s="2" t="n">
        <v>414729</v>
      </c>
      <c r="C760" s="2" t="n">
        <v>410430</v>
      </c>
      <c r="D760" s="2" t="inlineStr">
        <is>
          <t>Acondicionador para Bebé Cabello Claro 400 Ml Johnson's</t>
        </is>
      </c>
      <c r="E760" s="2" t="inlineStr">
        <is>
          <t>JOHNSON´S</t>
        </is>
      </c>
      <c r="F760" s="2" t="n">
        <v>12300</v>
      </c>
      <c r="G760" s="2" t="n">
        <v>1016529</v>
      </c>
      <c r="H760" s="2" t="b">
        <v>1</v>
      </c>
      <c r="I760" s="2" t="n">
        <v>400</v>
      </c>
      <c r="J760" s="2" t="n">
        <v>30.75</v>
      </c>
      <c r="K760" s="2" t="inlineStr">
        <is>
          <t>&gt; Mundo Bebe &gt; Higiene para el Bebe &gt; Higiene del Bebé &gt;</t>
        </is>
      </c>
      <c r="L760" s="2" t="inlineStr">
        <is>
          <t>acondicionador</t>
        </is>
      </c>
      <c r="M760" s="2" t="inlineStr">
        <is>
          <t>estandar</t>
        </is>
      </c>
      <c r="N760" s="2" t="inlineStr">
        <is>
          <t>bebe</t>
        </is>
      </c>
      <c r="O760" s="2" t="inlineStr">
        <is>
          <t>https://www.jumbo.com.ar/acondicionador-para-bebe-cabello-claro-400-ml-johnson-s/p</t>
        </is>
      </c>
    </row>
    <row r="761">
      <c r="A761" t="inlineStr">
        <is>
          <t>Jumbo</t>
        </is>
      </c>
      <c r="B761" t="n">
        <v>414726</v>
      </c>
      <c r="C761" t="n">
        <v>410427</v>
      </c>
      <c r="D761" t="inlineStr">
        <is>
          <t>Acondicionador para Niños Fragancia Prolongada 200 Ml Johnson's</t>
        </is>
      </c>
      <c r="E761" t="inlineStr">
        <is>
          <t>JOHNSON´S</t>
        </is>
      </c>
      <c r="F761" t="n">
        <v>6550</v>
      </c>
      <c r="G761" t="n">
        <v>541322</v>
      </c>
      <c r="H761" t="b">
        <v>1</v>
      </c>
      <c r="I761" t="n">
        <v>200</v>
      </c>
      <c r="J761" t="n">
        <v>32.75</v>
      </c>
      <c r="K761" t="inlineStr">
        <is>
          <t>&gt; Mundo Bebe &gt; Higiene para el Bebe &gt; Higiene del Bebé &gt;</t>
        </is>
      </c>
      <c r="L761" t="inlineStr">
        <is>
          <t>acondicionador</t>
        </is>
      </c>
      <c r="M761" t="inlineStr">
        <is>
          <t>estandar</t>
        </is>
      </c>
      <c r="N761" t="inlineStr">
        <is>
          <t>bebe</t>
        </is>
      </c>
      <c r="O761" t="inlineStr">
        <is>
          <t>https://www.jumbo.com.ar/acondicionador-para-ninos-fragancia-prolongada-200-ml-johnson-s/p</t>
        </is>
      </c>
    </row>
    <row r="762">
      <c r="A762" s="2" t="inlineStr">
        <is>
          <t>Jumbo</t>
        </is>
      </c>
      <c r="B762" s="2" t="n">
        <v>375298</v>
      </c>
      <c r="C762" s="2" t="n">
        <v>374016</v>
      </c>
      <c r="D762" s="2" t="inlineStr">
        <is>
          <t>Acondicionador Color Vive Violeta Matizador 200 Ml Elvive</t>
        </is>
      </c>
      <c r="E762" s="2" t="inlineStr">
        <is>
          <t>ELVIVE</t>
        </is>
      </c>
      <c r="F762" s="2" t="n">
        <v>7650</v>
      </c>
      <c r="G762" s="2" t="n">
        <v>632231</v>
      </c>
      <c r="H762" s="2" t="b">
        <v>1</v>
      </c>
      <c r="I762" s="2" t="n">
        <v>200</v>
      </c>
      <c r="J762" s="2" t="n">
        <v>38.25</v>
      </c>
      <c r="K762" s="2" t="inlineStr">
        <is>
          <t>&gt; Perfumería &gt; Cuidado Capilar &gt; Acondicionador &gt;</t>
        </is>
      </c>
      <c r="L762" s="2" t="inlineStr">
        <is>
          <t>acondicionador</t>
        </is>
      </c>
      <c r="M762" s="2" t="inlineStr">
        <is>
          <t>profesional</t>
        </is>
      </c>
      <c r="N762" s="2" t="inlineStr">
        <is>
          <t>tratado</t>
        </is>
      </c>
      <c r="O762" s="2" t="inlineStr">
        <is>
          <t>https://www.jumbo.com.ar/acondicionador-elvive-colorvive-violeta-matizador-200-ml/p</t>
        </is>
      </c>
    </row>
    <row r="763">
      <c r="A763" t="inlineStr">
        <is>
          <t>Jumbo</t>
        </is>
      </c>
      <c r="B763" t="n">
        <v>3073306</v>
      </c>
      <c r="C763" t="n">
        <v>3072811</v>
      </c>
      <c r="D763" t="inlineStr">
        <is>
          <t>Acondicionador Pelo Largo y sin Frizz 350 Ml Bagovit</t>
        </is>
      </c>
      <c r="E763" t="inlineStr">
        <is>
          <t>BAGOVIT</t>
        </is>
      </c>
      <c r="F763" t="n">
        <v>9800</v>
      </c>
      <c r="G763" t="n">
        <v>809917</v>
      </c>
      <c r="H763" t="b">
        <v>1</v>
      </c>
      <c r="I763" t="n">
        <v>350</v>
      </c>
      <c r="J763" t="n">
        <v>28</v>
      </c>
      <c r="K763" t="inlineStr">
        <is>
          <t>&gt; Perfumería &gt; Cuidado Capilar &gt; Acondicionador &gt;</t>
        </is>
      </c>
      <c r="L763" t="inlineStr">
        <is>
          <t>acondicionador</t>
        </is>
      </c>
      <c r="M763" t="inlineStr">
        <is>
          <t>estandar</t>
        </is>
      </c>
      <c r="N763" t="inlineStr">
        <is>
          <t>general</t>
        </is>
      </c>
      <c r="O763" t="inlineStr">
        <is>
          <t>https://www.jumbo.com.ar/acondicionador-pelo-largo-y-sin-frizz-x-350-ml-bagovit/p</t>
        </is>
      </c>
    </row>
    <row r="764">
      <c r="A764" s="2" t="inlineStr">
        <is>
          <t>Jumbo</t>
        </is>
      </c>
      <c r="B764" s="2" t="n">
        <v>3070157</v>
      </c>
      <c r="C764" s="2" t="n">
        <v>3069765</v>
      </c>
      <c r="D764" s="2" t="inlineStr">
        <is>
          <t>Acondicionador Colágeno Nutre y Revitaliza 250 Ml Pantene</t>
        </is>
      </c>
      <c r="E764" s="2" t="inlineStr">
        <is>
          <t>PANTENE</t>
        </is>
      </c>
      <c r="F764" s="2" t="n">
        <v>10550</v>
      </c>
      <c r="G764" s="2" t="n">
        <v>871901</v>
      </c>
      <c r="H764" s="2" t="b">
        <v>1</v>
      </c>
      <c r="I764" s="2" t="n">
        <v>250</v>
      </c>
      <c r="J764" s="2" t="n">
        <v>42.2</v>
      </c>
      <c r="K764" s="2" t="inlineStr">
        <is>
          <t>&gt; Perfumería &gt; Cuidado Capilar &gt; Acondicionador &gt;</t>
        </is>
      </c>
      <c r="L764" s="2" t="inlineStr">
        <is>
          <t>acondicionador</t>
        </is>
      </c>
      <c r="M764" s="2" t="inlineStr">
        <is>
          <t>estandar</t>
        </is>
      </c>
      <c r="N764" s="2" t="inlineStr">
        <is>
          <t>general</t>
        </is>
      </c>
      <c r="O764" s="2" t="inlineStr">
        <is>
          <t>https://www.jumbo.com.ar/acondicionador-colageno-x-250-ml-pantene-2/p</t>
        </is>
      </c>
    </row>
    <row r="765">
      <c r="A765" t="inlineStr">
        <is>
          <t>Jumbo</t>
        </is>
      </c>
      <c r="B765" t="n">
        <v>415581</v>
      </c>
      <c r="C765" t="n">
        <v>411165</v>
      </c>
      <c r="D765" t="inlineStr">
        <is>
          <t>Acondicionador Pro-V Miracles Volumen 400 Ml Pantene</t>
        </is>
      </c>
      <c r="E765" t="inlineStr">
        <is>
          <t>PANTENE</t>
        </is>
      </c>
      <c r="F765" t="n">
        <v>10300</v>
      </c>
      <c r="G765" t="n">
        <v>851240</v>
      </c>
      <c r="H765" t="b">
        <v>1</v>
      </c>
      <c r="I765" t="n">
        <v>400</v>
      </c>
      <c r="J765" t="n">
        <v>25.75</v>
      </c>
      <c r="K765" t="inlineStr">
        <is>
          <t>&gt; Perfumería &gt; Cuidado Capilar &gt; Acondicionador &gt;</t>
        </is>
      </c>
      <c r="L765" t="inlineStr">
        <is>
          <t>acondicionador</t>
        </is>
      </c>
      <c r="M765" t="inlineStr">
        <is>
          <t>profesional</t>
        </is>
      </c>
      <c r="N765" t="inlineStr">
        <is>
          <t>general</t>
        </is>
      </c>
      <c r="O765" t="inlineStr">
        <is>
          <t>https://www.jumbo.com.ar/acondicionador-pro-v-miracles-volumen-400-ml-pantene/p</t>
        </is>
      </c>
    </row>
    <row r="766">
      <c r="A766" s="2" t="inlineStr">
        <is>
          <t>Jumbo</t>
        </is>
      </c>
      <c r="B766" s="2" t="n">
        <v>397915</v>
      </c>
      <c r="C766" s="2" t="n">
        <v>395650</v>
      </c>
      <c r="D766" s="2" t="inlineStr">
        <is>
          <t>Acondicionador Colageno Y Vitamina C 650 Ml Sedal</t>
        </is>
      </c>
      <c r="E766" s="2" t="inlineStr">
        <is>
          <t>SEDAL</t>
        </is>
      </c>
      <c r="F766" s="2" t="n">
        <v>9350</v>
      </c>
      <c r="G766" s="2" t="n">
        <v>772727</v>
      </c>
      <c r="H766" s="2" t="b">
        <v>1</v>
      </c>
      <c r="I766" s="2" t="n">
        <v>650</v>
      </c>
      <c r="J766" s="2" t="n">
        <v>14.3846</v>
      </c>
      <c r="K766" s="2" t="inlineStr">
        <is>
          <t>&gt; Perfumería &gt; Cuidado Capilar &gt; Acondicionador &gt;</t>
        </is>
      </c>
      <c r="L766" s="2" t="inlineStr">
        <is>
          <t>acondicionador</t>
        </is>
      </c>
      <c r="M766" s="2" t="inlineStr">
        <is>
          <t>estandar</t>
        </is>
      </c>
      <c r="N766" s="2" t="inlineStr">
        <is>
          <t>general</t>
        </is>
      </c>
      <c r="O766" s="2" t="inlineStr">
        <is>
          <t>https://www.jumbo.com.ar/acondicionador-colageno-y-vitamina-c-650-ml-sedal/p</t>
        </is>
      </c>
    </row>
    <row r="767">
      <c r="A767" t="inlineStr">
        <is>
          <t>Jumbo</t>
        </is>
      </c>
      <c r="B767" t="n">
        <v>384081</v>
      </c>
      <c r="C767" t="n">
        <v>382764</v>
      </c>
      <c r="D767" t="inlineStr">
        <is>
          <t>Acondicionador Hair Food Revitalizante Sandía 300 Ml Fructis</t>
        </is>
      </c>
      <c r="E767" t="inlineStr">
        <is>
          <t>FRUCTIS</t>
        </is>
      </c>
      <c r="F767" t="n">
        <v>12050</v>
      </c>
      <c r="G767" t="n">
        <v>995868</v>
      </c>
      <c r="H767" t="b">
        <v>1</v>
      </c>
      <c r="I767" t="n">
        <v>300</v>
      </c>
      <c r="J767" t="n">
        <v>40.1667</v>
      </c>
      <c r="K767" t="inlineStr">
        <is>
          <t>&gt; Perfumería &gt; Cuidado Capilar &gt; Acondicionador &gt;</t>
        </is>
      </c>
      <c r="L767" t="inlineStr">
        <is>
          <t>acondicionador</t>
        </is>
      </c>
      <c r="M767" t="inlineStr">
        <is>
          <t>estandar</t>
        </is>
      </c>
      <c r="N767" t="inlineStr">
        <is>
          <t>general</t>
        </is>
      </c>
      <c r="O767" t="inlineStr">
        <is>
          <t>https://www.jumbo.com.ar/acondicionador-fructis-hair-food-sandia-300-ml/p</t>
        </is>
      </c>
    </row>
    <row r="768">
      <c r="A768" s="2" t="inlineStr">
        <is>
          <t>Jumbo</t>
        </is>
      </c>
      <c r="B768" s="2" t="n">
        <v>25079</v>
      </c>
      <c r="C768" s="2" t="n">
        <v>22240</v>
      </c>
      <c r="D768" s="2" t="inlineStr">
        <is>
          <t>Acondicionador 3 Minute Miracle Restauración 170 Ml Pantene</t>
        </is>
      </c>
      <c r="E768" s="2" t="inlineStr">
        <is>
          <t>PANTENE</t>
        </is>
      </c>
      <c r="F768" s="2" t="n">
        <v>10000</v>
      </c>
      <c r="G768" s="2" t="n">
        <v>826446</v>
      </c>
      <c r="H768" s="2" t="b">
        <v>1</v>
      </c>
      <c r="I768" s="2" t="n">
        <v>170</v>
      </c>
      <c r="J768" s="2" t="n">
        <v>58.8235</v>
      </c>
      <c r="K768" s="2" t="inlineStr">
        <is>
          <t>&gt; Perfumería &gt; Cuidado Capilar &gt; Acondicionador &gt;</t>
        </is>
      </c>
      <c r="L768" s="2" t="inlineStr">
        <is>
          <t>acondicionador</t>
        </is>
      </c>
      <c r="M768" s="2" t="inlineStr">
        <is>
          <t>estandar</t>
        </is>
      </c>
      <c r="N768" s="2" t="inlineStr">
        <is>
          <t>general</t>
        </is>
      </c>
      <c r="O768" s="2" t="inlineStr">
        <is>
          <t>https://www.jumbo.com.ar/acondicionador-diario-pantene-pro-v-3-minute-miracle-restauracion-170-ml/p</t>
        </is>
      </c>
    </row>
    <row r="769">
      <c r="A769" t="inlineStr">
        <is>
          <t>Jumbo</t>
        </is>
      </c>
      <c r="B769" t="n">
        <v>397905</v>
      </c>
      <c r="C769" t="n">
        <v>395640</v>
      </c>
      <c r="D769" t="inlineStr">
        <is>
          <t>Acondicionador Colágeno y Vitamina C 340 Ml Sedal</t>
        </is>
      </c>
      <c r="E769" t="inlineStr">
        <is>
          <t>SEDAL</t>
        </is>
      </c>
      <c r="F769" t="n">
        <v>5800</v>
      </c>
      <c r="G769" t="n">
        <v>479339</v>
      </c>
      <c r="H769" t="b">
        <v>1</v>
      </c>
      <c r="I769" t="n">
        <v>340</v>
      </c>
      <c r="J769" t="n">
        <v>17.0588</v>
      </c>
      <c r="K769" t="inlineStr">
        <is>
          <t>&gt; Perfumería &gt; Cuidado Capilar &gt; Acondicionador &gt;</t>
        </is>
      </c>
      <c r="L769" t="inlineStr">
        <is>
          <t>acondicionador</t>
        </is>
      </c>
      <c r="M769" t="inlineStr">
        <is>
          <t>estandar</t>
        </is>
      </c>
      <c r="N769" t="inlineStr">
        <is>
          <t>general</t>
        </is>
      </c>
      <c r="O769" t="inlineStr">
        <is>
          <t>https://www.jumbo.com.ar/acondicionador-colageno-y-vitamina-c-340-ml-sedal/p</t>
        </is>
      </c>
    </row>
    <row r="770">
      <c r="A770" s="2" t="inlineStr">
        <is>
          <t>Jumbo</t>
        </is>
      </c>
      <c r="B770" s="2" t="n">
        <v>393560</v>
      </c>
      <c r="C770" s="2" t="n">
        <v>391588</v>
      </c>
      <c r="D770" s="2" t="inlineStr">
        <is>
          <t>Acondicionador Colageno Y Vitamina C 190 Ml Sedal</t>
        </is>
      </c>
      <c r="E770" s="2" t="inlineStr">
        <is>
          <t>SEDAL</t>
        </is>
      </c>
      <c r="F770" s="2" t="n">
        <v>3900</v>
      </c>
      <c r="G770" s="2" t="n">
        <v>322314</v>
      </c>
      <c r="H770" s="2" t="b">
        <v>1</v>
      </c>
      <c r="I770" s="2" t="n">
        <v>190</v>
      </c>
      <c r="J770" s="2" t="n">
        <v>20.5263</v>
      </c>
      <c r="K770" s="2" t="inlineStr">
        <is>
          <t>&gt; Perfumería &gt; Cuidado Capilar &gt; Acondicionador &gt;</t>
        </is>
      </c>
      <c r="L770" s="2" t="inlineStr">
        <is>
          <t>acondicionador</t>
        </is>
      </c>
      <c r="M770" s="2" t="inlineStr">
        <is>
          <t>estandar</t>
        </is>
      </c>
      <c r="N770" s="2" t="inlineStr">
        <is>
          <t>general</t>
        </is>
      </c>
      <c r="O770" s="2" t="inlineStr">
        <is>
          <t>https://www.jumbo.com.ar/acondicionador-colageno-y-vitamina-c-190-ml-sedal/p</t>
        </is>
      </c>
    </row>
    <row r="771">
      <c r="A771" t="inlineStr">
        <is>
          <t>Jumbo</t>
        </is>
      </c>
      <c r="B771" t="n">
        <v>401199</v>
      </c>
      <c r="C771" t="n">
        <v>398537</v>
      </c>
      <c r="D771" t="inlineStr">
        <is>
          <t>Acondicionador Pro-v Miracles Con Detox 400 Ml Pantene</t>
        </is>
      </c>
      <c r="E771" t="inlineStr">
        <is>
          <t>PANTENE</t>
        </is>
      </c>
      <c r="F771" t="n">
        <v>10300</v>
      </c>
      <c r="G771" t="n">
        <v>851240</v>
      </c>
      <c r="H771" t="b">
        <v>1</v>
      </c>
      <c r="I771" t="n">
        <v>400</v>
      </c>
      <c r="J771" t="n">
        <v>25.75</v>
      </c>
      <c r="K771" t="inlineStr">
        <is>
          <t>&gt; Perfumería &gt; Cuidado Capilar &gt; Acondicionador &gt;</t>
        </is>
      </c>
      <c r="L771" t="inlineStr">
        <is>
          <t>acondicionador</t>
        </is>
      </c>
      <c r="M771" t="inlineStr">
        <is>
          <t>profesional</t>
        </is>
      </c>
      <c r="N771" t="inlineStr">
        <is>
          <t>general</t>
        </is>
      </c>
      <c r="O771" t="inlineStr">
        <is>
          <t>https://www.jumbo.com.ar/acondicionador-pro-v-miracles-con-detox-400-ml-pantene-2/p</t>
        </is>
      </c>
    </row>
    <row r="772">
      <c r="A772" s="2" t="inlineStr">
        <is>
          <t>Jumbo</t>
        </is>
      </c>
      <c r="B772" s="2" t="n">
        <v>400534</v>
      </c>
      <c r="C772" s="2" t="n">
        <v>397872</v>
      </c>
      <c r="D772" s="2" t="inlineStr">
        <is>
          <t>Acondicionador Color Vive para Cabello Teñido 750 Ml Elvive</t>
        </is>
      </c>
      <c r="E772" s="2" t="inlineStr">
        <is>
          <t>ELVIVE</t>
        </is>
      </c>
      <c r="F772" s="2" t="n">
        <v>18600</v>
      </c>
      <c r="G772" s="2" t="n">
        <v>1537190</v>
      </c>
      <c r="H772" s="2" t="b">
        <v>1</v>
      </c>
      <c r="I772" s="2" t="n">
        <v>750</v>
      </c>
      <c r="J772" s="2" t="n">
        <v>24.8</v>
      </c>
      <c r="K772" s="2" t="inlineStr">
        <is>
          <t>&gt; Perfumería &gt; Cuidado Capilar &gt; Acondicionador &gt;</t>
        </is>
      </c>
      <c r="L772" s="2" t="inlineStr">
        <is>
          <t>acondicionador</t>
        </is>
      </c>
      <c r="M772" s="2" t="inlineStr">
        <is>
          <t>profesional</t>
        </is>
      </c>
      <c r="N772" s="2" t="inlineStr">
        <is>
          <t>tratado</t>
        </is>
      </c>
      <c r="O772" s="2" t="inlineStr">
        <is>
          <t>https://www.jumbo.com.ar/acondicionador-elvive-color-vive-750-ml/p</t>
        </is>
      </c>
    </row>
    <row r="773">
      <c r="A773" t="inlineStr">
        <is>
          <t>Jumbo</t>
        </is>
      </c>
      <c r="B773" t="n">
        <v>400533</v>
      </c>
      <c r="C773" t="n">
        <v>397871</v>
      </c>
      <c r="D773" t="inlineStr">
        <is>
          <t>Acondicionador Color Vive para Cabello Teñido 400 Ml Elvive</t>
        </is>
      </c>
      <c r="E773" t="inlineStr">
        <is>
          <t>ELVIVE</t>
        </is>
      </c>
      <c r="F773" t="n">
        <v>12050</v>
      </c>
      <c r="G773" t="n">
        <v>995868</v>
      </c>
      <c r="H773" t="b">
        <v>1</v>
      </c>
      <c r="I773" t="n">
        <v>400</v>
      </c>
      <c r="J773" t="n">
        <v>30.125</v>
      </c>
      <c r="K773" t="inlineStr">
        <is>
          <t>&gt; Perfumería &gt; Cuidado Capilar &gt; Acondicionador &gt;</t>
        </is>
      </c>
      <c r="L773" t="inlineStr">
        <is>
          <t>acondicionador</t>
        </is>
      </c>
      <c r="M773" t="inlineStr">
        <is>
          <t>profesional</t>
        </is>
      </c>
      <c r="N773" t="inlineStr">
        <is>
          <t>tratado</t>
        </is>
      </c>
      <c r="O773" t="inlineStr">
        <is>
          <t>https://www.jumbo.com.ar/acondicionador-elvive-color-vive-400-ml/p</t>
        </is>
      </c>
    </row>
    <row r="774">
      <c r="A774" s="2" t="inlineStr">
        <is>
          <t>Jumbo</t>
        </is>
      </c>
      <c r="B774" s="2" t="n">
        <v>346771</v>
      </c>
      <c r="C774" s="2" t="n">
        <v>345446</v>
      </c>
      <c r="D774" s="2" t="inlineStr">
        <is>
          <t>Acondicionador Oleo Extraordinario Nutrición Intensa Coco 200 Ml Elvive</t>
        </is>
      </c>
      <c r="E774" s="2" t="inlineStr">
        <is>
          <t>ELVIVE</t>
        </is>
      </c>
      <c r="F774" s="2" t="n">
        <v>7250</v>
      </c>
      <c r="G774" s="2" t="n">
        <v>599174</v>
      </c>
      <c r="H774" s="2" t="b">
        <v>1</v>
      </c>
      <c r="I774" s="2" t="n">
        <v>200</v>
      </c>
      <c r="J774" s="2" t="n">
        <v>36.25</v>
      </c>
      <c r="K774" s="2" t="inlineStr">
        <is>
          <t>&gt; Perfumería &gt; Cuidado Capilar &gt; Acondicionador &gt;</t>
        </is>
      </c>
      <c r="L774" s="2" t="inlineStr">
        <is>
          <t>acondicionador</t>
        </is>
      </c>
      <c r="M774" s="2" t="inlineStr">
        <is>
          <t>profesional</t>
        </is>
      </c>
      <c r="N774" s="2" t="inlineStr">
        <is>
          <t>general</t>
        </is>
      </c>
      <c r="O774" s="2" t="inlineStr">
        <is>
          <t>https://www.jumbo.com.ar/acondicionador-elvive-oleo-extraordinario-coco-200-ml/p</t>
        </is>
      </c>
    </row>
    <row r="775">
      <c r="A775" t="inlineStr">
        <is>
          <t>Jumbo</t>
        </is>
      </c>
      <c r="B775" t="n">
        <v>400521</v>
      </c>
      <c r="C775" t="n">
        <v>397859</v>
      </c>
      <c r="D775" t="inlineStr">
        <is>
          <t>Acondicionador Color Vive para Cabello Teñido 200 Ml Elvive</t>
        </is>
      </c>
      <c r="E775" t="inlineStr">
        <is>
          <t>ELVIVE</t>
        </is>
      </c>
      <c r="F775" t="n">
        <v>7250</v>
      </c>
      <c r="G775" t="n">
        <v>599174</v>
      </c>
      <c r="H775" t="b">
        <v>1</v>
      </c>
      <c r="I775" t="n">
        <v>200</v>
      </c>
      <c r="J775" t="n">
        <v>36.25</v>
      </c>
      <c r="K775" t="inlineStr">
        <is>
          <t>&gt; Perfumería &gt; Cuidado Capilar &gt; Acondicionador &gt;</t>
        </is>
      </c>
      <c r="L775" t="inlineStr">
        <is>
          <t>acondicionador</t>
        </is>
      </c>
      <c r="M775" t="inlineStr">
        <is>
          <t>profesional</t>
        </is>
      </c>
      <c r="N775" t="inlineStr">
        <is>
          <t>tratado</t>
        </is>
      </c>
      <c r="O775" t="inlineStr">
        <is>
          <t>https://www.jumbo.com.ar/acondicionador-elvive-color-vive-200-ml/p</t>
        </is>
      </c>
    </row>
    <row r="776">
      <c r="A776" s="2" t="inlineStr">
        <is>
          <t>Jumbo</t>
        </is>
      </c>
      <c r="B776" s="2" t="n">
        <v>3074194</v>
      </c>
      <c r="C776" s="2" t="n">
        <v>3073690</v>
      </c>
      <c r="D776" s="2" t="inlineStr">
        <is>
          <t>Acondicionador Hair Food Anti-quiebre Ananá 300 Ml Fructis</t>
        </is>
      </c>
      <c r="E776" s="2" t="inlineStr">
        <is>
          <t>FRUCTIS</t>
        </is>
      </c>
      <c r="F776" s="2" t="n">
        <v>12050</v>
      </c>
      <c r="G776" s="2" t="n">
        <v>995868</v>
      </c>
      <c r="H776" s="2" t="b">
        <v>1</v>
      </c>
      <c r="I776" s="2" t="n">
        <v>300</v>
      </c>
      <c r="J776" s="2" t="n">
        <v>40.1667</v>
      </c>
      <c r="K776" s="2" t="inlineStr">
        <is>
          <t>&gt; Perfumería &gt; Cuidado Capilar &gt; Acondicionador &gt;</t>
        </is>
      </c>
      <c r="L776" s="2" t="inlineStr">
        <is>
          <t>acondicionador</t>
        </is>
      </c>
      <c r="M776" s="2" t="inlineStr">
        <is>
          <t>estandar</t>
        </is>
      </c>
      <c r="N776" s="2" t="inlineStr">
        <is>
          <t>general</t>
        </is>
      </c>
      <c r="O776" s="2" t="inlineStr">
        <is>
          <t>https://www.jumbo.com.ar/acondicionador-fructis-pina-300ml/p</t>
        </is>
      </c>
    </row>
    <row r="777">
      <c r="A777" t="inlineStr">
        <is>
          <t>Jumbo</t>
        </is>
      </c>
      <c r="B777" t="n">
        <v>307401</v>
      </c>
      <c r="C777" t="n">
        <v>306638</v>
      </c>
      <c r="D777" t="inlineStr">
        <is>
          <t>Acondicionador Dermo Protección Caída 300 Ml Head y Shoulders</t>
        </is>
      </c>
      <c r="E777" t="inlineStr">
        <is>
          <t>HEAD &amp; SHOULDERS</t>
        </is>
      </c>
      <c r="F777" t="n">
        <v>12200</v>
      </c>
      <c r="G777" t="n">
        <v>1008264</v>
      </c>
      <c r="H777" t="b">
        <v>1</v>
      </c>
      <c r="I777" t="n">
        <v>300</v>
      </c>
      <c r="J777" t="n">
        <v>40.6667</v>
      </c>
      <c r="K777" t="inlineStr">
        <is>
          <t>&gt; Perfumería &gt; Cuidado Capilar &gt; Acondicionador &gt;</t>
        </is>
      </c>
      <c r="L777" t="inlineStr">
        <is>
          <t>acondicionador</t>
        </is>
      </c>
      <c r="M777" t="inlineStr">
        <is>
          <t>estandar</t>
        </is>
      </c>
      <c r="N777" t="inlineStr">
        <is>
          <t>general</t>
        </is>
      </c>
      <c r="O777" t="inlineStr">
        <is>
          <t>https://www.jumbo.com.ar/acondicionador-dermo-proteccion-caida-300-ml-head-shoulders/p</t>
        </is>
      </c>
    </row>
    <row r="778">
      <c r="A778" s="2" t="inlineStr">
        <is>
          <t>Jumbo</t>
        </is>
      </c>
      <c r="B778" s="2" t="n">
        <v>410396</v>
      </c>
      <c r="C778" s="2" t="n">
        <v>406402</v>
      </c>
      <c r="D778" s="2" t="inlineStr">
        <is>
          <t>Acondicionador Anti-caída Herbolaria Milenaria 400 Ml Tio Nacho</t>
        </is>
      </c>
      <c r="E778" s="2" t="inlineStr">
        <is>
          <t>Tio Nacho</t>
        </is>
      </c>
      <c r="F778" s="2" t="n">
        <v>8100</v>
      </c>
      <c r="G778" s="2" t="n">
        <v>669421</v>
      </c>
      <c r="H778" s="2" t="b">
        <v>1</v>
      </c>
      <c r="I778" s="2" t="n">
        <v>400</v>
      </c>
      <c r="J778" s="2" t="n">
        <v>20.25</v>
      </c>
      <c r="K778" s="2" t="inlineStr">
        <is>
          <t>&gt; Perfumería &gt; Cuidado Capilar &gt; Acondicionador &gt;</t>
        </is>
      </c>
      <c r="L778" s="2" t="inlineStr">
        <is>
          <t>acondicionador</t>
        </is>
      </c>
      <c r="M778" s="2" t="inlineStr">
        <is>
          <t>estandar</t>
        </is>
      </c>
      <c r="N778" s="2" t="inlineStr">
        <is>
          <t>general</t>
        </is>
      </c>
      <c r="O778" s="2" t="inlineStr">
        <is>
          <t>https://www.jumbo.com.ar/acondicionador-herbolaria-400-ml-tio-nacho/p</t>
        </is>
      </c>
    </row>
    <row r="779">
      <c r="A779" t="inlineStr">
        <is>
          <t>Jumbo</t>
        </is>
      </c>
      <c r="B779" t="n">
        <v>3083501</v>
      </c>
      <c r="C779" t="n">
        <v>3082776</v>
      </c>
      <c r="D779" t="inlineStr">
        <is>
          <t>Acondicionador Brillo Cristalino Glycolic Cristal X 400 Ml Elvive</t>
        </is>
      </c>
      <c r="E779" t="inlineStr">
        <is>
          <t>ELVIVE</t>
        </is>
      </c>
      <c r="F779" t="n">
        <v>12750</v>
      </c>
      <c r="G779" t="n">
        <v>1053719</v>
      </c>
      <c r="H779" t="b">
        <v>1</v>
      </c>
      <c r="I779" t="n">
        <v>400</v>
      </c>
      <c r="J779" t="n">
        <v>31.875</v>
      </c>
      <c r="K779" t="inlineStr">
        <is>
          <t>&gt; Perfumería &gt; Cuidado Capilar &gt; Acondicionador &gt;</t>
        </is>
      </c>
      <c r="L779" t="inlineStr">
        <is>
          <t>acondicionador</t>
        </is>
      </c>
      <c r="M779" t="inlineStr">
        <is>
          <t>profesional</t>
        </is>
      </c>
      <c r="N779" t="inlineStr">
        <is>
          <t>general</t>
        </is>
      </c>
      <c r="O779" t="inlineStr">
        <is>
          <t>https://www.jumbo.com.ar/acondicionador-brillo-cristalino-glycolic-cristal-x-400-ml-elvive/p</t>
        </is>
      </c>
    </row>
    <row r="780">
      <c r="A780" s="2" t="inlineStr">
        <is>
          <t>Jumbo</t>
        </is>
      </c>
      <c r="B780" s="2" t="n">
        <v>3086507</v>
      </c>
      <c r="C780" s="2" t="n">
        <v>3085729</v>
      </c>
      <c r="D780" s="2" t="inlineStr">
        <is>
          <t>Acondicionador Reparación Profunda Keratina Vegetal 415 Ml Tio Nacho Acondicionador Keratina Vegetal X 415 Ml Tio Nacho</t>
        </is>
      </c>
      <c r="E780" s="2" t="inlineStr">
        <is>
          <t>Tio Nacho</t>
        </is>
      </c>
      <c r="F780" s="2" t="n">
        <v>10800</v>
      </c>
      <c r="G780" s="2" t="n">
        <v>892562</v>
      </c>
      <c r="H780" s="2" t="b">
        <v>1</v>
      </c>
      <c r="I780" s="2" t="n">
        <v>415</v>
      </c>
      <c r="J780" s="2" t="n">
        <v>26.0241</v>
      </c>
      <c r="K780" s="2" t="inlineStr">
        <is>
          <t>&gt; Perfumería &gt; Cuidado Capilar &gt; Acondicionador &gt;</t>
        </is>
      </c>
      <c r="L780" s="2" t="inlineStr">
        <is>
          <t>acondicionador</t>
        </is>
      </c>
      <c r="M780" s="2" t="inlineStr">
        <is>
          <t>estandar</t>
        </is>
      </c>
      <c r="N780" s="2" t="inlineStr">
        <is>
          <t>tratado</t>
        </is>
      </c>
      <c r="O780" s="2" t="inlineStr">
        <is>
          <t>https://www.jumbo.com.ar/acondicionador-keratina-vegetal-x-415-ml-tio-nacho/p</t>
        </is>
      </c>
    </row>
    <row r="781">
      <c r="A781" t="inlineStr">
        <is>
          <t>Jumbo</t>
        </is>
      </c>
      <c r="B781" t="n">
        <v>412487</v>
      </c>
      <c r="C781" t="n">
        <v>408095</v>
      </c>
      <c r="D781" t="inlineStr">
        <is>
          <t>Acondicionador Recarga Nutritiva para Cabello Seco 350 Ml Fructis</t>
        </is>
      </c>
      <c r="E781" t="inlineStr">
        <is>
          <t>FRUCTIS</t>
        </is>
      </c>
      <c r="F781" t="n">
        <v>5900</v>
      </c>
      <c r="G781" t="n">
        <v>487603</v>
      </c>
      <c r="H781" t="b">
        <v>1</v>
      </c>
      <c r="I781" t="n">
        <v>350</v>
      </c>
      <c r="J781" t="n">
        <v>16.8571</v>
      </c>
      <c r="K781" t="inlineStr">
        <is>
          <t>&gt; Perfumería &gt; Cuidado Capilar &gt; Acondicionador &gt;</t>
        </is>
      </c>
      <c r="L781" t="inlineStr">
        <is>
          <t>acondicionador</t>
        </is>
      </c>
      <c r="M781" t="inlineStr">
        <is>
          <t>estandar</t>
        </is>
      </c>
      <c r="N781" t="inlineStr">
        <is>
          <t>seco_danado</t>
        </is>
      </c>
      <c r="O781" t="inlineStr">
        <is>
          <t>https://www.jumbo.com.ar/acondicionador-fructis-recarga-nutritiva-200-ml/p</t>
        </is>
      </c>
    </row>
    <row r="782">
      <c r="A782" s="2" t="inlineStr">
        <is>
          <t>Jumbo</t>
        </is>
      </c>
      <c r="B782" s="2" t="n">
        <v>3068434</v>
      </c>
      <c r="C782" s="2" t="n">
        <v>3068184</v>
      </c>
      <c r="D782" s="2" t="inlineStr">
        <is>
          <t>Acondicionador Ácido Glicólico para Cabellos Teñidos 350 Ml Capilatis</t>
        </is>
      </c>
      <c r="E782" s="2" t="inlineStr">
        <is>
          <t>CAPILATIS</t>
        </is>
      </c>
      <c r="F782" s="2" t="n">
        <v>12650</v>
      </c>
      <c r="G782" s="2" t="n">
        <v>1045455</v>
      </c>
      <c r="H782" s="2" t="b">
        <v>1</v>
      </c>
      <c r="I782" s="2" t="n">
        <v>350</v>
      </c>
      <c r="J782" s="2" t="n">
        <v>36.1429</v>
      </c>
      <c r="K782" s="2" t="inlineStr">
        <is>
          <t>&gt; Perfumería &gt; Cuidado Capilar &gt; Acondicionador &gt;</t>
        </is>
      </c>
      <c r="L782" s="2" t="inlineStr">
        <is>
          <t>acondicionador</t>
        </is>
      </c>
      <c r="M782" s="2" t="inlineStr">
        <is>
          <t>estandar</t>
        </is>
      </c>
      <c r="N782" s="2" t="inlineStr">
        <is>
          <t>tratado</t>
        </is>
      </c>
      <c r="O782" s="2" t="inlineStr">
        <is>
          <t>https://www.jumbo.com.ar/acondicionador-con-acido-glicolico-capilatis/p</t>
        </is>
      </c>
    </row>
    <row r="783">
      <c r="A783" t="inlineStr">
        <is>
          <t>Jumbo</t>
        </is>
      </c>
      <c r="B783" t="n">
        <v>349469</v>
      </c>
      <c r="C783" t="n">
        <v>348129</v>
      </c>
      <c r="D783" t="inlineStr">
        <is>
          <t>Acondicionador Protección con Óleo de Coco y Karité 1000 Ml Plusbelle</t>
        </is>
      </c>
      <c r="E783" t="inlineStr">
        <is>
          <t>PLUSBELLE</t>
        </is>
      </c>
      <c r="F783" t="n">
        <v>5650</v>
      </c>
      <c r="G783" t="n">
        <v>466942</v>
      </c>
      <c r="H783" t="b">
        <v>1</v>
      </c>
      <c r="I783" t="n">
        <v>1000</v>
      </c>
      <c r="J783" t="n">
        <v>5.65</v>
      </c>
      <c r="K783" t="inlineStr">
        <is>
          <t>&gt; Perfumería &gt; Cuidado Capilar &gt; Acondicionador &gt;</t>
        </is>
      </c>
      <c r="L783" t="inlineStr">
        <is>
          <t>acondicionador</t>
        </is>
      </c>
      <c r="M783" t="inlineStr">
        <is>
          <t>estandar</t>
        </is>
      </c>
      <c r="N783" t="inlineStr">
        <is>
          <t>general</t>
        </is>
      </c>
      <c r="O783" t="inlineStr">
        <is>
          <t>https://www.jumbo.com.ar/acondicionador-proteccion-1000-ml-plusbelle/p</t>
        </is>
      </c>
    </row>
    <row r="784">
      <c r="A784" s="2" t="inlineStr">
        <is>
          <t>Jumbo</t>
        </is>
      </c>
      <c r="B784" s="2" t="n">
        <v>331399</v>
      </c>
      <c r="C784" s="2" t="n">
        <v>330571</v>
      </c>
      <c r="D784" s="2" t="inlineStr">
        <is>
          <t>Acondicionador Anti-Caspa Crece Fuerte 300 Ml Head y Shoulders</t>
        </is>
      </c>
      <c r="E784" s="2" t="inlineStr">
        <is>
          <t>HEAD &amp; SHOULDERS</t>
        </is>
      </c>
      <c r="F784" s="2" t="n">
        <v>12200</v>
      </c>
      <c r="G784" s="2" t="n">
        <v>1008264</v>
      </c>
      <c r="H784" s="2" t="b">
        <v>1</v>
      </c>
      <c r="I784" s="2" t="n">
        <v>300</v>
      </c>
      <c r="J784" s="2" t="n">
        <v>40.6667</v>
      </c>
      <c r="K784" s="2" t="inlineStr">
        <is>
          <t>&gt; Perfumería &gt; Cuidado Capilar &gt; Acondicionador &gt;</t>
        </is>
      </c>
      <c r="L784" s="2" t="inlineStr">
        <is>
          <t>acondicionador</t>
        </is>
      </c>
      <c r="M784" s="2" t="inlineStr">
        <is>
          <t>estandar</t>
        </is>
      </c>
      <c r="N784" s="2" t="inlineStr">
        <is>
          <t>anticaspa</t>
        </is>
      </c>
      <c r="O784" s="2" t="inlineStr">
        <is>
          <t>https://www.jumbo.com.ar/acondicionador-crece-fuerte-300-ml-head-shoulders/p</t>
        </is>
      </c>
    </row>
    <row r="785">
      <c r="A785" t="inlineStr">
        <is>
          <t>Jumbo</t>
        </is>
      </c>
      <c r="B785" t="n">
        <v>349467</v>
      </c>
      <c r="C785" t="n">
        <v>348127</v>
      </c>
      <c r="D785" t="inlineStr">
        <is>
          <t>Acondicionador Nutrición con Óleo de Argán y Macadamia 1000 Ml Plusbelle</t>
        </is>
      </c>
      <c r="E785" t="inlineStr">
        <is>
          <t>PLUSBELLE</t>
        </is>
      </c>
      <c r="F785" t="n">
        <v>5600</v>
      </c>
      <c r="G785" t="n">
        <v>462810</v>
      </c>
      <c r="H785" t="b">
        <v>1</v>
      </c>
      <c r="I785" t="n">
        <v>1000</v>
      </c>
      <c r="J785" t="n">
        <v>5.6</v>
      </c>
      <c r="K785" t="inlineStr">
        <is>
          <t>&gt; Perfumería &gt; Cuidado Capilar &gt; Acondicionador &gt;</t>
        </is>
      </c>
      <c r="L785" t="inlineStr">
        <is>
          <t>acondicionador</t>
        </is>
      </c>
      <c r="M785" t="inlineStr">
        <is>
          <t>estandar</t>
        </is>
      </c>
      <c r="N785" t="inlineStr">
        <is>
          <t>general</t>
        </is>
      </c>
      <c r="O785" t="inlineStr">
        <is>
          <t>https://www.jumbo.com.ar/acondicionador-nutricion-1000-ml-plusbelle/p</t>
        </is>
      </c>
    </row>
    <row r="786">
      <c r="A786" s="2" t="inlineStr">
        <is>
          <t>Jumbo</t>
        </is>
      </c>
      <c r="B786" s="2" t="n">
        <v>410394</v>
      </c>
      <c r="C786" s="2" t="n">
        <v>406400</v>
      </c>
      <c r="D786" s="2" t="inlineStr">
        <is>
          <t>Acondicionador Engrosador Anti-caída con Jalea Real y Extracto de Ortiga 400 Ml Tio Nacho</t>
        </is>
      </c>
      <c r="E786" s="2" t="inlineStr">
        <is>
          <t>Tio Nacho</t>
        </is>
      </c>
      <c r="F786" s="2" t="n">
        <v>8100</v>
      </c>
      <c r="G786" s="2" t="n">
        <v>669421</v>
      </c>
      <c r="H786" s="2" t="b">
        <v>1</v>
      </c>
      <c r="I786" s="2" t="n">
        <v>400</v>
      </c>
      <c r="J786" s="2" t="n">
        <v>20.25</v>
      </c>
      <c r="K786" s="2" t="inlineStr">
        <is>
          <t>&gt; Perfumería &gt; Cuidado Capilar &gt; Acondicionador &gt;</t>
        </is>
      </c>
      <c r="L786" s="2" t="inlineStr">
        <is>
          <t>acondicionador</t>
        </is>
      </c>
      <c r="M786" s="2" t="inlineStr">
        <is>
          <t>estandar</t>
        </is>
      </c>
      <c r="N786" s="2" t="inlineStr">
        <is>
          <t>general</t>
        </is>
      </c>
      <c r="O786" s="2" t="inlineStr">
        <is>
          <t>https://www.jumbo.com.ar/acondicionador-engrosador-doypack-400-ml-tio-nacho/p</t>
        </is>
      </c>
    </row>
    <row r="787">
      <c r="A787" t="inlineStr">
        <is>
          <t>Jumbo</t>
        </is>
      </c>
      <c r="B787" t="n">
        <v>346772</v>
      </c>
      <c r="C787" t="n">
        <v>345447</v>
      </c>
      <c r="D787" t="inlineStr">
        <is>
          <t>Acondicionador Oleo Extraordinario Nutrición Intensa con Óleo de Coco 400 Ml Elvive</t>
        </is>
      </c>
      <c r="E787" t="inlineStr">
        <is>
          <t>ELVIVE</t>
        </is>
      </c>
      <c r="F787" t="n">
        <v>12050</v>
      </c>
      <c r="G787" t="n">
        <v>995868</v>
      </c>
      <c r="H787" t="b">
        <v>1</v>
      </c>
      <c r="I787" t="n">
        <v>400</v>
      </c>
      <c r="J787" t="n">
        <v>30.125</v>
      </c>
      <c r="K787" t="inlineStr">
        <is>
          <t>&gt; Perfumería &gt; Cuidado Capilar &gt; Acondicionador &gt;</t>
        </is>
      </c>
      <c r="L787" t="inlineStr">
        <is>
          <t>acondicionador</t>
        </is>
      </c>
      <c r="M787" t="inlineStr">
        <is>
          <t>profesional</t>
        </is>
      </c>
      <c r="N787" t="inlineStr">
        <is>
          <t>general</t>
        </is>
      </c>
      <c r="O787" t="inlineStr">
        <is>
          <t>https://www.jumbo.com.ar/acondicionador-elvive-oleo-extraordinario-oleo-de-coco-400-ml/p</t>
        </is>
      </c>
    </row>
    <row r="788">
      <c r="A788" s="2" t="inlineStr">
        <is>
          <t>Jumbo</t>
        </is>
      </c>
      <c r="B788" s="2" t="n">
        <v>412489</v>
      </c>
      <c r="C788" s="2" t="n">
        <v>408097</v>
      </c>
      <c r="D788" s="2" t="inlineStr">
        <is>
          <t>Acondicionador Recarga Nutritiva Oil Repair 3 con Óleos de Aguacate Coco y Argán 350 Ml Fructis</t>
        </is>
      </c>
      <c r="E788" s="2" t="inlineStr">
        <is>
          <t>FRUCTIS</t>
        </is>
      </c>
      <c r="F788" s="2" t="n">
        <v>8450</v>
      </c>
      <c r="G788" s="2" t="n">
        <v>698347</v>
      </c>
      <c r="H788" s="2" t="b">
        <v>1</v>
      </c>
      <c r="I788" s="2" t="n">
        <v>350</v>
      </c>
      <c r="J788" s="2" t="n">
        <v>24.1429</v>
      </c>
      <c r="K788" s="2" t="inlineStr">
        <is>
          <t>&gt; Perfumería &gt; Cuidado Capilar &gt; Acondicionador &gt;</t>
        </is>
      </c>
      <c r="L788" s="2" t="inlineStr">
        <is>
          <t>acondicionador</t>
        </is>
      </c>
      <c r="M788" s="2" t="inlineStr">
        <is>
          <t>profesional</t>
        </is>
      </c>
      <c r="N788" s="2" t="inlineStr">
        <is>
          <t>general</t>
        </is>
      </c>
      <c r="O788" s="2" t="inlineStr">
        <is>
          <t>https://www.jumbo.com.ar/fru-or-recarga-nutri-arg-aco-350ml/p</t>
        </is>
      </c>
    </row>
    <row r="789">
      <c r="A789" t="inlineStr">
        <is>
          <t>Jumbo</t>
        </is>
      </c>
      <c r="B789" t="n">
        <v>310206</v>
      </c>
      <c r="C789" t="n">
        <v>309444</v>
      </c>
      <c r="D789" t="inlineStr">
        <is>
          <t>Acondicionador Anti Caspa Hidratación Aceite de Coco 300 Ml Head y Shoulders</t>
        </is>
      </c>
      <c r="E789" t="inlineStr">
        <is>
          <t>HEAD &amp; SHOULDERS</t>
        </is>
      </c>
      <c r="F789" t="n">
        <v>12200</v>
      </c>
      <c r="G789" t="n">
        <v>1008264</v>
      </c>
      <c r="H789" t="b">
        <v>1</v>
      </c>
      <c r="I789" t="n">
        <v>300</v>
      </c>
      <c r="J789" t="n">
        <v>40.6667</v>
      </c>
      <c r="K789" t="inlineStr">
        <is>
          <t>&gt; Perfumería &gt; Cuidado Capilar &gt; Acondicionador &gt;</t>
        </is>
      </c>
      <c r="L789" t="inlineStr">
        <is>
          <t>acondicionador</t>
        </is>
      </c>
      <c r="M789" t="inlineStr">
        <is>
          <t>estandar</t>
        </is>
      </c>
      <c r="N789" t="inlineStr">
        <is>
          <t>anticaspa</t>
        </is>
      </c>
      <c r="O789" t="inlineStr">
        <is>
          <t>https://www.jumbo.com.ar/acondicionador-hidratacion-aceite-de-coco-300-ml-head-shoulders/p</t>
        </is>
      </c>
    </row>
    <row r="790">
      <c r="A790" s="2" t="inlineStr">
        <is>
          <t>Jumbo</t>
        </is>
      </c>
      <c r="B790" s="2" t="n">
        <v>307403</v>
      </c>
      <c r="C790" s="2" t="n">
        <v>306640</v>
      </c>
      <c r="D790" s="2" t="inlineStr">
        <is>
          <t>Acondicionador Anti Caspa Dermo Manzana Fresh 300 Ml Head y Shoulders</t>
        </is>
      </c>
      <c r="E790" s="2" t="inlineStr">
        <is>
          <t>HEAD &amp; SHOULDERS</t>
        </is>
      </c>
      <c r="F790" s="2" t="n">
        <v>12200</v>
      </c>
      <c r="G790" s="2" t="n">
        <v>1008264</v>
      </c>
      <c r="H790" s="2" t="b">
        <v>1</v>
      </c>
      <c r="I790" s="2" t="n">
        <v>300</v>
      </c>
      <c r="J790" s="2" t="n">
        <v>40.6667</v>
      </c>
      <c r="K790" s="2" t="inlineStr">
        <is>
          <t>&gt; Perfumería &gt; Cuidado Capilar &gt; Acondicionador &gt;</t>
        </is>
      </c>
      <c r="L790" s="2" t="inlineStr">
        <is>
          <t>acondicionador</t>
        </is>
      </c>
      <c r="M790" s="2" t="inlineStr">
        <is>
          <t>estandar</t>
        </is>
      </c>
      <c r="N790" s="2" t="inlineStr">
        <is>
          <t>anticaspa</t>
        </is>
      </c>
      <c r="O790" s="2" t="inlineStr">
        <is>
          <t>https://www.jumbo.com.ar/acondicionador-dermo-manzana-fresh-300-ml-head-shoulders/p</t>
        </is>
      </c>
    </row>
    <row r="791">
      <c r="A791" t="inlineStr">
        <is>
          <t>Jumbo</t>
        </is>
      </c>
      <c r="B791" t="n">
        <v>3087477</v>
      </c>
      <c r="C791" t="n">
        <v>3086703</v>
      </c>
      <c r="D791" t="inlineStr">
        <is>
          <t>Acondicionadorpantene Restauracion 700ml</t>
        </is>
      </c>
      <c r="E791" t="inlineStr">
        <is>
          <t>PANTENE</t>
        </is>
      </c>
      <c r="F791" t="n">
        <v>17250</v>
      </c>
      <c r="G791" t="n">
        <v>1425620</v>
      </c>
      <c r="H791" t="b">
        <v>1</v>
      </c>
      <c r="I791" t="n">
        <v>700</v>
      </c>
      <c r="J791" t="n">
        <v>24.6429</v>
      </c>
      <c r="K791" t="inlineStr">
        <is>
          <t>&gt; Perfumería &gt; Cuidado Capilar &gt; Acondicionador &gt;</t>
        </is>
      </c>
      <c r="L791" t="inlineStr">
        <is>
          <t>acondicionador</t>
        </is>
      </c>
      <c r="M791" t="inlineStr">
        <is>
          <t>estandar</t>
        </is>
      </c>
      <c r="N791" t="inlineStr">
        <is>
          <t>general</t>
        </is>
      </c>
      <c r="O791" t="inlineStr">
        <is>
          <t>https://www.jumbo.com.ar/acondicionadorpantene-restauracion-700ml/p</t>
        </is>
      </c>
    </row>
    <row r="792">
      <c r="A792" s="2" t="inlineStr">
        <is>
          <t>Jumbo</t>
        </is>
      </c>
      <c r="B792" s="2" t="n">
        <v>392754</v>
      </c>
      <c r="C792" s="2" t="n">
        <v>390804</v>
      </c>
      <c r="D792" s="2" t="inlineStr">
        <is>
          <t>Juguete Perro Frisbee Verde Pets Fun</t>
        </is>
      </c>
      <c r="E792" s="2" t="inlineStr">
        <is>
          <t>PET'S FUN</t>
        </is>
      </c>
      <c r="F792" s="2" t="n">
        <v>5000</v>
      </c>
      <c r="G792" s="2" t="n">
        <v>413223</v>
      </c>
      <c r="H792" s="2" t="b">
        <v>1</v>
      </c>
      <c r="I792" s="2" t="inlineStr"/>
      <c r="J792" s="2" t="inlineStr"/>
      <c r="K792" s="2" t="inlineStr">
        <is>
          <t>&gt; Mascotas &gt; Accesorios para Mascotas &gt;</t>
        </is>
      </c>
      <c r="L792" s="2" t="inlineStr">
        <is>
          <t>shampoo</t>
        </is>
      </c>
      <c r="M792" s="2" t="inlineStr">
        <is>
          <t>estandar</t>
        </is>
      </c>
      <c r="N792" s="2" t="inlineStr">
        <is>
          <t>general</t>
        </is>
      </c>
      <c r="O792" s="2" t="inlineStr">
        <is>
          <t>https://www.jumbo.com.ar/juguete-perro-frisbee-verde-pets-fun/p</t>
        </is>
      </c>
    </row>
    <row r="793">
      <c r="A793" t="inlineStr">
        <is>
          <t>Jumbo</t>
        </is>
      </c>
      <c r="B793" t="n">
        <v>392763</v>
      </c>
      <c r="C793" t="n">
        <v>390838</v>
      </c>
      <c r="D793" t="inlineStr">
        <is>
          <t>Set Juguete Perro Frisbee Pets Fun</t>
        </is>
      </c>
      <c r="E793" t="inlineStr">
        <is>
          <t>PET'S FUN</t>
        </is>
      </c>
      <c r="F793" t="n">
        <v>5000</v>
      </c>
      <c r="G793" t="n">
        <v>413223</v>
      </c>
      <c r="H793" t="b">
        <v>1</v>
      </c>
      <c r="I793" t="inlineStr"/>
      <c r="J793" t="inlineStr"/>
      <c r="K793" t="inlineStr">
        <is>
          <t>&gt; Mascotas &gt; Accesorios para Mascotas &gt;</t>
        </is>
      </c>
      <c r="L793" t="inlineStr">
        <is>
          <t>shampoo</t>
        </is>
      </c>
      <c r="M793" t="inlineStr">
        <is>
          <t>estandar</t>
        </is>
      </c>
      <c r="N793" t="inlineStr">
        <is>
          <t>general</t>
        </is>
      </c>
      <c r="O793" t="inlineStr">
        <is>
          <t>https://www.jumbo.com.ar/set-juguete-perro-frisbee-pets-fun/p</t>
        </is>
      </c>
    </row>
    <row r="794">
      <c r="A794" s="2" t="inlineStr">
        <is>
          <t>Jumbo</t>
        </is>
      </c>
      <c r="B794" s="2" t="n">
        <v>345290</v>
      </c>
      <c r="C794" s="2" t="n">
        <v>343975</v>
      </c>
      <c r="D794" s="2" t="inlineStr">
        <is>
          <t>Acondicionador Pantene Prov Essentials Hidratación Extrema 400ml</t>
        </is>
      </c>
      <c r="E794" s="2" t="inlineStr">
        <is>
          <t>PANTENE</t>
        </is>
      </c>
      <c r="F794" s="2" t="n">
        <v>858.79</v>
      </c>
      <c r="G794" s="2" t="n">
        <v>70974</v>
      </c>
      <c r="H794" s="2" t="b">
        <v>0</v>
      </c>
      <c r="I794" s="2" t="n">
        <v>400</v>
      </c>
      <c r="J794" s="2" t="n">
        <v>2.147</v>
      </c>
      <c r="K794" s="2" t="inlineStr">
        <is>
          <t>&gt; Perfumería &gt; Cuidado Capilar &gt; Acondicionador &gt;</t>
        </is>
      </c>
      <c r="L794" s="2" t="inlineStr">
        <is>
          <t>acondicionador</t>
        </is>
      </c>
      <c r="M794" s="2" t="inlineStr">
        <is>
          <t>profesional</t>
        </is>
      </c>
      <c r="N794" s="2" t="inlineStr">
        <is>
          <t>seco_danado</t>
        </is>
      </c>
      <c r="O794" s="2" t="inlineStr">
        <is>
          <t>https://www.jumbo.com.ar/acondicionador-pantene-prov-essentials-hidratacion-extrema-400ml/p</t>
        </is>
      </c>
    </row>
    <row r="795">
      <c r="A795" t="inlineStr">
        <is>
          <t>Jumbo</t>
        </is>
      </c>
      <c r="B795" t="n">
        <v>345298</v>
      </c>
      <c r="C795" t="n">
        <v>343983</v>
      </c>
      <c r="D795" t="inlineStr">
        <is>
          <t>Acondicionador Panetene Prov Essentials Bambu 400ml</t>
        </is>
      </c>
      <c r="E795" t="inlineStr">
        <is>
          <t>PANTENE</t>
        </is>
      </c>
      <c r="F795" t="n">
        <v>832.15</v>
      </c>
      <c r="G795" t="n">
        <v>68773</v>
      </c>
      <c r="H795" t="b">
        <v>0</v>
      </c>
      <c r="I795" t="n">
        <v>400</v>
      </c>
      <c r="J795" t="n">
        <v>2.0804</v>
      </c>
      <c r="K795" t="inlineStr">
        <is>
          <t>&gt; Perfumería &gt; Cuidado Capilar &gt; Acondicionador &gt;</t>
        </is>
      </c>
      <c r="L795" t="inlineStr">
        <is>
          <t>acondicionador</t>
        </is>
      </c>
      <c r="M795" t="inlineStr">
        <is>
          <t>estandar</t>
        </is>
      </c>
      <c r="N795" t="inlineStr">
        <is>
          <t>general</t>
        </is>
      </c>
      <c r="O795" t="inlineStr">
        <is>
          <t>https://www.jumbo.com.ar/acondicionador-panetene-prov-essentials-bambu-400ml/p</t>
        </is>
      </c>
    </row>
    <row r="796">
      <c r="A796" s="2" t="inlineStr">
        <is>
          <t>Jumbo</t>
        </is>
      </c>
      <c r="B796" s="2" t="n">
        <v>345100</v>
      </c>
      <c r="C796" s="2" t="n">
        <v>343785</v>
      </c>
      <c r="D796" s="2" t="inlineStr">
        <is>
          <t>Acondicionador Prov Essentials Restauración 750ml</t>
        </is>
      </c>
      <c r="E796" s="2" t="inlineStr">
        <is>
          <t>PANTENE</t>
        </is>
      </c>
      <c r="F796" s="2" t="n">
        <v>1450.49</v>
      </c>
      <c r="G796" s="2" t="n">
        <v>119875</v>
      </c>
      <c r="H796" s="2" t="b">
        <v>0</v>
      </c>
      <c r="I796" s="2" t="n">
        <v>750</v>
      </c>
      <c r="J796" s="2" t="n">
        <v>1.934</v>
      </c>
      <c r="K796" s="2" t="inlineStr">
        <is>
          <t>&gt; Perfumería &gt; Cuidado Capilar &gt; Acondicionador &gt;</t>
        </is>
      </c>
      <c r="L796" s="2" t="inlineStr">
        <is>
          <t>acondicionador</t>
        </is>
      </c>
      <c r="M796" s="2" t="inlineStr">
        <is>
          <t>estandar</t>
        </is>
      </c>
      <c r="N796" s="2" t="inlineStr">
        <is>
          <t>general</t>
        </is>
      </c>
      <c r="O796" s="2" t="inlineStr">
        <is>
          <t>https://www.jumbo.com.ar/acondicionador-prov-essentials-restauracion-750ml/p</t>
        </is>
      </c>
    </row>
    <row r="797">
      <c r="A797" t="inlineStr">
        <is>
          <t>Jumbo</t>
        </is>
      </c>
      <c r="B797" t="n">
        <v>308646</v>
      </c>
      <c r="C797" t="n">
        <v>307883</v>
      </c>
      <c r="D797" t="inlineStr">
        <is>
          <t>Acondicionador Dream Long Liss 400 Ml Elvive</t>
        </is>
      </c>
      <c r="E797" t="inlineStr">
        <is>
          <t>ELVIVE</t>
        </is>
      </c>
      <c r="F797" t="n">
        <v>9550</v>
      </c>
      <c r="G797" t="n">
        <v>789256</v>
      </c>
      <c r="H797" t="b">
        <v>0</v>
      </c>
      <c r="I797" t="n">
        <v>400</v>
      </c>
      <c r="J797" t="n">
        <v>23.875</v>
      </c>
      <c r="K797" t="inlineStr">
        <is>
          <t>&gt; Perfumería &gt; Cuidado Capilar &gt; Acondicionador &gt;</t>
        </is>
      </c>
      <c r="L797" t="inlineStr">
        <is>
          <t>acondicionador</t>
        </is>
      </c>
      <c r="M797" t="inlineStr">
        <is>
          <t>profesional</t>
        </is>
      </c>
      <c r="N797" t="inlineStr">
        <is>
          <t>general</t>
        </is>
      </c>
      <c r="O797" t="inlineStr">
        <is>
          <t>https://www.jumbo.com.ar/acondicionador-elvive-dream-long-liss-400ml/p</t>
        </is>
      </c>
    </row>
    <row r="798">
      <c r="A798" s="2" t="inlineStr">
        <is>
          <t>Jumbo</t>
        </is>
      </c>
      <c r="B798" s="2" t="n">
        <v>47403</v>
      </c>
      <c r="C798" s="2" t="n">
        <v>44569</v>
      </c>
      <c r="D798" s="2" t="inlineStr">
        <is>
          <t>Acondicionador Pantene Pro-v Brillo Extremo 400 Ml</t>
        </is>
      </c>
      <c r="E798" s="2" t="inlineStr">
        <is>
          <t>PANTENE</t>
        </is>
      </c>
      <c r="F798" s="2" t="n">
        <v>315.75</v>
      </c>
      <c r="G798" s="2" t="n">
        <v>26095</v>
      </c>
      <c r="H798" s="2" t="b">
        <v>0</v>
      </c>
      <c r="I798" s="2" t="n">
        <v>400</v>
      </c>
      <c r="J798" s="2" t="n">
        <v>0.7894</v>
      </c>
      <c r="K798" s="2" t="inlineStr">
        <is>
          <t>&gt; Perfumería &gt; Cuidado Capilar &gt; Acondicionador &gt;</t>
        </is>
      </c>
      <c r="L798" s="2" t="inlineStr">
        <is>
          <t>acondicionador</t>
        </is>
      </c>
      <c r="M798" s="2" t="inlineStr">
        <is>
          <t>profesional</t>
        </is>
      </c>
      <c r="N798" s="2" t="inlineStr">
        <is>
          <t>general</t>
        </is>
      </c>
      <c r="O798" s="2" t="inlineStr">
        <is>
          <t>https://www.jumbo.com.ar/acondicionador-pantene-pro-v-brillo-extremo-400-ml/p</t>
        </is>
      </c>
    </row>
    <row r="799">
      <c r="A799" t="inlineStr">
        <is>
          <t>Jumbo</t>
        </is>
      </c>
      <c r="B799" t="n">
        <v>47650</v>
      </c>
      <c r="C799" t="n">
        <v>44815</v>
      </c>
      <c r="D799" t="inlineStr">
        <is>
          <t>Acondicionador Pantene Restaura 400ml</t>
        </is>
      </c>
      <c r="E799" t="inlineStr">
        <is>
          <t>PANTENE</t>
        </is>
      </c>
      <c r="F799" t="n">
        <v>315.75</v>
      </c>
      <c r="G799" t="n">
        <v>26095</v>
      </c>
      <c r="H799" t="b">
        <v>0</v>
      </c>
      <c r="I799" t="n">
        <v>400</v>
      </c>
      <c r="J799" t="n">
        <v>0.7894</v>
      </c>
      <c r="K799" t="inlineStr">
        <is>
          <t>&gt; Perfumería &gt; Cuidado Capilar &gt; Acondicionador &gt;</t>
        </is>
      </c>
      <c r="L799" t="inlineStr">
        <is>
          <t>acondicionador</t>
        </is>
      </c>
      <c r="M799" t="inlineStr">
        <is>
          <t>estandar</t>
        </is>
      </c>
      <c r="N799" t="inlineStr">
        <is>
          <t>general</t>
        </is>
      </c>
      <c r="O799" t="inlineStr">
        <is>
          <t>https://www.jumbo.com.ar/acondicionador-pantene-restaura-400ml-2/p</t>
        </is>
      </c>
    </row>
    <row r="800">
      <c r="A800" s="2" t="inlineStr">
        <is>
          <t>Jumbo</t>
        </is>
      </c>
      <c r="B800" s="2" t="n">
        <v>31586</v>
      </c>
      <c r="C800" s="2" t="n">
        <v>28745</v>
      </c>
      <c r="D800" s="2" t="inlineStr">
        <is>
          <t>Acondicionador Elvive Rep Total 5 400ml Acondicionador Elvive Reparación Total 5 400ml</t>
        </is>
      </c>
      <c r="E800" s="2" t="inlineStr">
        <is>
          <t>ELVIVE</t>
        </is>
      </c>
      <c r="F800" s="2" t="n">
        <v>1000</v>
      </c>
      <c r="G800" s="2" t="n">
        <v>82645</v>
      </c>
      <c r="H800" s="2" t="b">
        <v>0</v>
      </c>
      <c r="I800" s="2" t="n">
        <v>400</v>
      </c>
      <c r="J800" s="2" t="n">
        <v>2.5</v>
      </c>
      <c r="K800" s="2" t="inlineStr">
        <is>
          <t>&gt; Perfumería &gt; Cuidado Capilar &gt; Acondicionador &gt;</t>
        </is>
      </c>
      <c r="L800" s="2" t="inlineStr">
        <is>
          <t>acondicionador</t>
        </is>
      </c>
      <c r="M800" s="2" t="inlineStr">
        <is>
          <t>profesional</t>
        </is>
      </c>
      <c r="N800" s="2" t="inlineStr">
        <is>
          <t>general</t>
        </is>
      </c>
      <c r="O800" s="2" t="inlineStr">
        <is>
          <t>https://www.jumbo.com.ar/acondicionador-elvive-rep-total-5-400ml/p</t>
        </is>
      </c>
    </row>
    <row r="801">
      <c r="A801" t="inlineStr">
        <is>
          <t>Jumbo</t>
        </is>
      </c>
      <c r="B801" t="n">
        <v>262652</v>
      </c>
      <c r="C801" t="n">
        <v>261941</v>
      </c>
      <c r="D801" t="inlineStr">
        <is>
          <t>Acondicionador Pantene Pro-v Micelar 400 Ml</t>
        </is>
      </c>
      <c r="E801" t="inlineStr">
        <is>
          <t>PANTENE</t>
        </is>
      </c>
      <c r="F801" t="n">
        <v>315.75</v>
      </c>
      <c r="G801" t="n">
        <v>26095</v>
      </c>
      <c r="H801" t="b">
        <v>0</v>
      </c>
      <c r="I801" t="n">
        <v>400</v>
      </c>
      <c r="J801" t="n">
        <v>0.7894</v>
      </c>
      <c r="K801" t="inlineStr">
        <is>
          <t>&gt; Perfumería &gt; Cuidado Capilar &gt; Acondicionador &gt;</t>
        </is>
      </c>
      <c r="L801" t="inlineStr">
        <is>
          <t>acondicionador</t>
        </is>
      </c>
      <c r="M801" t="inlineStr">
        <is>
          <t>profesional</t>
        </is>
      </c>
      <c r="N801" t="inlineStr">
        <is>
          <t>general</t>
        </is>
      </c>
      <c r="O801" t="inlineStr">
        <is>
          <t>https://www.jumbo.com.ar/acondicionador-pantene-pro-v-micelar-400-ml/p</t>
        </is>
      </c>
    </row>
    <row r="802">
      <c r="A802" s="2" t="inlineStr">
        <is>
          <t>Jumbo</t>
        </is>
      </c>
      <c r="B802" s="2" t="n">
        <v>43818</v>
      </c>
      <c r="C802" s="2" t="n">
        <v>40989</v>
      </c>
      <c r="D802" s="2" t="inlineStr">
        <is>
          <t>Acondicionador Elvive Oleo Extra 400ml</t>
        </is>
      </c>
      <c r="E802" s="2" t="inlineStr">
        <is>
          <t>ELVIVE</t>
        </is>
      </c>
      <c r="F802" s="2" t="n">
        <v>644.15</v>
      </c>
      <c r="G802" s="2" t="n">
        <v>53236</v>
      </c>
      <c r="H802" s="2" t="b">
        <v>0</v>
      </c>
      <c r="I802" s="2" t="n">
        <v>400</v>
      </c>
      <c r="J802" s="2" t="n">
        <v>1.6104</v>
      </c>
      <c r="K802" s="2" t="inlineStr">
        <is>
          <t>&gt; Perfumería &gt; Cuidado Capilar &gt; Acondicionador &gt;</t>
        </is>
      </c>
      <c r="L802" s="2" t="inlineStr">
        <is>
          <t>acondicionador</t>
        </is>
      </c>
      <c r="M802" s="2" t="inlineStr">
        <is>
          <t>profesional</t>
        </is>
      </c>
      <c r="N802" s="2" t="inlineStr">
        <is>
          <t>general</t>
        </is>
      </c>
      <c r="O802" s="2" t="inlineStr">
        <is>
          <t>https://www.jumbo.com.ar/acondicionador-elvive-oleo-extra-400ml-2/p</t>
        </is>
      </c>
    </row>
    <row r="803">
      <c r="A803" t="inlineStr">
        <is>
          <t>Jumbo</t>
        </is>
      </c>
      <c r="B803" t="n">
        <v>152068</v>
      </c>
      <c r="C803" t="n">
        <v>149638</v>
      </c>
      <c r="D803" t="inlineStr">
        <is>
          <t>Acondicionador Dove óleo Nutrición 400 Ml</t>
        </is>
      </c>
      <c r="E803" t="inlineStr">
        <is>
          <t>DOVE</t>
        </is>
      </c>
      <c r="F803" t="n">
        <v>477.49</v>
      </c>
      <c r="G803" t="n">
        <v>39462</v>
      </c>
      <c r="H803" t="b">
        <v>0</v>
      </c>
      <c r="I803" t="n">
        <v>400</v>
      </c>
      <c r="J803" t="n">
        <v>1.1937</v>
      </c>
      <c r="K803" t="inlineStr">
        <is>
          <t>&gt; Perfumería &gt; Cuidado Capilar &gt; Acondicionador &gt;</t>
        </is>
      </c>
      <c r="L803" t="inlineStr">
        <is>
          <t>acondicionador</t>
        </is>
      </c>
      <c r="M803" t="inlineStr">
        <is>
          <t>estandar</t>
        </is>
      </c>
      <c r="N803" t="inlineStr">
        <is>
          <t>general</t>
        </is>
      </c>
      <c r="O803" t="inlineStr">
        <is>
          <t>https://www.jumbo.com.ar/acondicionador-dove-21/p</t>
        </is>
      </c>
    </row>
    <row r="804">
      <c r="A804" s="2" t="inlineStr">
        <is>
          <t>Jumbo</t>
        </is>
      </c>
      <c r="B804" s="2" t="n">
        <v>20045</v>
      </c>
      <c r="C804" s="2" t="n">
        <v>17216</v>
      </c>
      <c r="D804" s="2" t="inlineStr">
        <is>
          <t>Acondicionador Dove Ritual De Reparación Coco Y Cúrcuma 400 Ml</t>
        </is>
      </c>
      <c r="E804" s="2" t="inlineStr">
        <is>
          <t>DOVE</t>
        </is>
      </c>
      <c r="F804" s="2" t="n">
        <v>477.49</v>
      </c>
      <c r="G804" s="2" t="n">
        <v>39462</v>
      </c>
      <c r="H804" s="2" t="b">
        <v>0</v>
      </c>
      <c r="I804" s="2" t="n">
        <v>400</v>
      </c>
      <c r="J804" s="2" t="n">
        <v>1.1937</v>
      </c>
      <c r="K804" s="2" t="inlineStr">
        <is>
          <t>&gt; Perfumería &gt; Cuidado Capilar &gt; Acondicionador &gt;</t>
        </is>
      </c>
      <c r="L804" s="2" t="inlineStr">
        <is>
          <t>acondicionador</t>
        </is>
      </c>
      <c r="M804" s="2" t="inlineStr">
        <is>
          <t>estandar</t>
        </is>
      </c>
      <c r="N804" s="2" t="inlineStr">
        <is>
          <t>general</t>
        </is>
      </c>
      <c r="O804" s="2" t="inlineStr">
        <is>
          <t>https://www.jumbo.com.ar/acondicionador-dove-ritual-de-reparacion-coco-y-curcuma-400-ml/p</t>
        </is>
      </c>
    </row>
    <row r="805">
      <c r="A805" t="inlineStr">
        <is>
          <t>Jumbo</t>
        </is>
      </c>
      <c r="B805" t="n">
        <v>20046</v>
      </c>
      <c r="C805" t="n">
        <v>17217</v>
      </c>
      <c r="D805" t="inlineStr">
        <is>
          <t>Acondicionador Ritual De Dove Fortalecimiento Palta 400 Ml</t>
        </is>
      </c>
      <c r="E805" t="inlineStr">
        <is>
          <t>DOVE</t>
        </is>
      </c>
      <c r="F805" t="n">
        <v>477.49</v>
      </c>
      <c r="G805" t="n">
        <v>39462</v>
      </c>
      <c r="H805" t="b">
        <v>0</v>
      </c>
      <c r="I805" t="n">
        <v>400</v>
      </c>
      <c r="J805" t="n">
        <v>1.1937</v>
      </c>
      <c r="K805" t="inlineStr">
        <is>
          <t>&gt; Perfumería &gt; Cuidado Capilar &gt; Acondicionador &gt;</t>
        </is>
      </c>
      <c r="L805" t="inlineStr">
        <is>
          <t>acondicionador</t>
        </is>
      </c>
      <c r="M805" t="inlineStr">
        <is>
          <t>estandar</t>
        </is>
      </c>
      <c r="N805" t="inlineStr">
        <is>
          <t>general</t>
        </is>
      </c>
      <c r="O805" t="inlineStr">
        <is>
          <t>https://www.jumbo.com.ar/acondicionador-ritual-de-dove-fortalecimiento-palta-400-ml/p</t>
        </is>
      </c>
    </row>
    <row r="806">
      <c r="A806" s="2" t="inlineStr">
        <is>
          <t>Jumbo</t>
        </is>
      </c>
      <c r="B806" s="2" t="n">
        <v>130627</v>
      </c>
      <c r="C806" s="2" t="n">
        <v>127556</v>
      </c>
      <c r="D806" s="2" t="inlineStr">
        <is>
          <t>Acondicionador Dove Recontrucción Completa 200 Ml</t>
        </is>
      </c>
      <c r="E806" s="2" t="inlineStr">
        <is>
          <t>DOVE</t>
        </is>
      </c>
      <c r="F806" s="2" t="n">
        <v>135.75</v>
      </c>
      <c r="G806" s="2" t="n">
        <v>11219</v>
      </c>
      <c r="H806" s="2" t="b">
        <v>0</v>
      </c>
      <c r="I806" s="2" t="n">
        <v>200</v>
      </c>
      <c r="J806" s="2" t="n">
        <v>0.6787</v>
      </c>
      <c r="K806" s="2" t="inlineStr">
        <is>
          <t>&gt; Perfumería &gt; Cuidado Capilar &gt; Acondicionador &gt;</t>
        </is>
      </c>
      <c r="L806" s="2" t="inlineStr">
        <is>
          <t>acondicionador</t>
        </is>
      </c>
      <c r="M806" s="2" t="inlineStr">
        <is>
          <t>estandar</t>
        </is>
      </c>
      <c r="N806" s="2" t="inlineStr">
        <is>
          <t>general</t>
        </is>
      </c>
      <c r="O806" s="2" t="inlineStr">
        <is>
          <t>https://www.jumbo.com.ar/acondicionador-dove-20/p</t>
        </is>
      </c>
    </row>
    <row r="807">
      <c r="A807" t="inlineStr">
        <is>
          <t>Jumbo</t>
        </is>
      </c>
      <c r="B807" t="n">
        <v>122257</v>
      </c>
      <c r="C807" t="n">
        <v>121276</v>
      </c>
      <c r="D807" t="inlineStr">
        <is>
          <t>Acondicionador Capilatis Puro Castaño  Pvcx 420 Ml.</t>
        </is>
      </c>
      <c r="E807" t="inlineStr">
        <is>
          <t>CAPILATIS</t>
        </is>
      </c>
      <c r="F807" t="n">
        <v>18.73</v>
      </c>
      <c r="G807" t="n">
        <v>18.73</v>
      </c>
      <c r="H807" t="b">
        <v>0</v>
      </c>
      <c r="I807" t="n">
        <v>420</v>
      </c>
      <c r="J807" t="n">
        <v>0.0446</v>
      </c>
      <c r="K807" t="inlineStr">
        <is>
          <t>&gt; Perfumería &gt; Cuidado Capilar &gt; Acondicionador &gt;</t>
        </is>
      </c>
      <c r="L807" t="inlineStr">
        <is>
          <t>acondicionador</t>
        </is>
      </c>
      <c r="M807" t="inlineStr">
        <is>
          <t>estandar</t>
        </is>
      </c>
      <c r="N807" t="inlineStr">
        <is>
          <t>general</t>
        </is>
      </c>
      <c r="O807" t="inlineStr">
        <is>
          <t>https://www.jumbo.com.ar/acondicionador-capilatis-3/p</t>
        </is>
      </c>
    </row>
    <row r="808">
      <c r="A808" s="2" t="inlineStr">
        <is>
          <t>Jumbo</t>
        </is>
      </c>
      <c r="B808" s="2" t="n">
        <v>122091</v>
      </c>
      <c r="C808" s="2" t="n">
        <v>121110</v>
      </c>
      <c r="D808" s="2" t="inlineStr">
        <is>
          <t>Acondicionador Pantene Control Caída 750 Ml</t>
        </is>
      </c>
      <c r="E808" s="2" t="inlineStr">
        <is>
          <t>PANTENE</t>
        </is>
      </c>
      <c r="F808" s="2" t="n">
        <v>284.77</v>
      </c>
      <c r="G808" s="2" t="n">
        <v>23535</v>
      </c>
      <c r="H808" s="2" t="b">
        <v>0</v>
      </c>
      <c r="I808" s="2" t="n">
        <v>750</v>
      </c>
      <c r="J808" s="2" t="n">
        <v>0.3797</v>
      </c>
      <c r="K808" s="2" t="inlineStr">
        <is>
          <t>&gt; Perfumería &gt; Cuidado Capilar &gt; Acondicionador &gt;</t>
        </is>
      </c>
      <c r="L808" s="2" t="inlineStr">
        <is>
          <t>acondicionador</t>
        </is>
      </c>
      <c r="M808" s="2" t="inlineStr">
        <is>
          <t>estandar</t>
        </is>
      </c>
      <c r="N808" s="2" t="inlineStr">
        <is>
          <t>general</t>
        </is>
      </c>
      <c r="O808" s="2" t="inlineStr">
        <is>
          <t>https://www.jumbo.com.ar/acondicionador-pantene-20/p</t>
        </is>
      </c>
    </row>
    <row r="809">
      <c r="A809" t="inlineStr">
        <is>
          <t>Jumbo</t>
        </is>
      </c>
      <c r="B809" t="n">
        <v>115151</v>
      </c>
      <c r="C809" t="n">
        <v>114197</v>
      </c>
      <c r="D809" t="inlineStr">
        <is>
          <t>Acondicionador Tresemmé Rizos Definidos X 900 Ml</t>
        </is>
      </c>
      <c r="E809" t="inlineStr">
        <is>
          <t>TRESEMMÉ</t>
        </is>
      </c>
      <c r="F809" t="n">
        <v>28.39</v>
      </c>
      <c r="G809" t="n">
        <v>2346</v>
      </c>
      <c r="H809" t="b">
        <v>0</v>
      </c>
      <c r="I809" t="n">
        <v>900</v>
      </c>
      <c r="J809" t="n">
        <v>0.0315</v>
      </c>
      <c r="K809" t="inlineStr">
        <is>
          <t>&gt; Perfumería &gt; Cuidado Capilar &gt; Acondicionador &gt;</t>
        </is>
      </c>
      <c r="L809" t="inlineStr">
        <is>
          <t>acondicionador</t>
        </is>
      </c>
      <c r="M809" t="inlineStr">
        <is>
          <t>estandar</t>
        </is>
      </c>
      <c r="N809" t="inlineStr">
        <is>
          <t>rizado</t>
        </is>
      </c>
      <c r="O809" t="inlineStr">
        <is>
          <t>https://www.jumbo.com.ar/acondicionador-tresemme-10-2/p</t>
        </is>
      </c>
    </row>
    <row r="810">
      <c r="A810" s="2" t="inlineStr">
        <is>
          <t>Jumbo</t>
        </is>
      </c>
      <c r="B810" s="2" t="n">
        <v>77399</v>
      </c>
      <c r="C810" s="2" t="n">
        <v>74526</v>
      </c>
      <c r="D810" s="2" t="inlineStr">
        <is>
          <t>Acondicionador Pantene Pro V Frizz Control  Pvc 200 Ml</t>
        </is>
      </c>
      <c r="E810" s="2" t="inlineStr">
        <is>
          <t>PANTENE</t>
        </is>
      </c>
      <c r="F810" s="2" t="n">
        <v>17.45</v>
      </c>
      <c r="G810" s="2" t="n">
        <v>1442</v>
      </c>
      <c r="H810" s="2" t="b">
        <v>0</v>
      </c>
      <c r="I810" s="2" t="n">
        <v>200</v>
      </c>
      <c r="J810" s="2" t="n">
        <v>0.0872</v>
      </c>
      <c r="K810" s="2" t="inlineStr">
        <is>
          <t>&gt; Perfumería &gt; Cuidado Capilar &gt; Acondicionador &gt;</t>
        </is>
      </c>
      <c r="L810" s="2" t="inlineStr">
        <is>
          <t>acondicionador</t>
        </is>
      </c>
      <c r="M810" s="2" t="inlineStr">
        <is>
          <t>profesional</t>
        </is>
      </c>
      <c r="N810" s="2" t="inlineStr">
        <is>
          <t>general</t>
        </is>
      </c>
      <c r="O810" s="2" t="inlineStr">
        <is>
          <t>https://www.jumbo.com.ar/acondicionador-pantene-15-2/p</t>
        </is>
      </c>
    </row>
    <row r="811">
      <c r="A811" t="inlineStr">
        <is>
          <t>Jumbo</t>
        </is>
      </c>
      <c r="B811" t="n">
        <v>77299</v>
      </c>
      <c r="C811" t="n">
        <v>74426</v>
      </c>
      <c r="D811" t="inlineStr">
        <is>
          <t>Acondicionador Pantene Hidratación 200 Ml</t>
        </is>
      </c>
      <c r="E811" t="inlineStr">
        <is>
          <t>PANTENE</t>
        </is>
      </c>
      <c r="F811" t="n">
        <v>22.79</v>
      </c>
      <c r="G811" t="n">
        <v>1883</v>
      </c>
      <c r="H811" t="b">
        <v>0</v>
      </c>
      <c r="I811" t="n">
        <v>200</v>
      </c>
      <c r="J811" t="n">
        <v>0.1139</v>
      </c>
      <c r="K811" t="inlineStr">
        <is>
          <t>&gt; Perfumería &gt; Cuidado Capilar &gt; Acondicionador &gt;</t>
        </is>
      </c>
      <c r="L811" t="inlineStr">
        <is>
          <t>acondicionador</t>
        </is>
      </c>
      <c r="M811" t="inlineStr">
        <is>
          <t>estandar</t>
        </is>
      </c>
      <c r="N811" t="inlineStr">
        <is>
          <t>seco_danado</t>
        </is>
      </c>
      <c r="O811" t="inlineStr">
        <is>
          <t>https://www.jumbo.com.ar/acondicionador-pantene-16-2/p</t>
        </is>
      </c>
    </row>
    <row r="812">
      <c r="A812" s="2" t="inlineStr">
        <is>
          <t>Jumbo</t>
        </is>
      </c>
      <c r="B812" s="2" t="n">
        <v>77292</v>
      </c>
      <c r="C812" s="2" t="n">
        <v>74419</v>
      </c>
      <c r="D812" s="2" t="inlineStr">
        <is>
          <t>Acondicionador Pantene Control Caída 200 Ml</t>
        </is>
      </c>
      <c r="E812" s="2" t="inlineStr">
        <is>
          <t>PANTENE</t>
        </is>
      </c>
      <c r="F812" s="2" t="n">
        <v>22.79</v>
      </c>
      <c r="G812" s="2" t="n">
        <v>1883</v>
      </c>
      <c r="H812" s="2" t="b">
        <v>0</v>
      </c>
      <c r="I812" s="2" t="n">
        <v>200</v>
      </c>
      <c r="J812" s="2" t="n">
        <v>0.1139</v>
      </c>
      <c r="K812" s="2" t="inlineStr">
        <is>
          <t>&gt; Perfumería &gt; Cuidado Capilar &gt; Acondicionador &gt;</t>
        </is>
      </c>
      <c r="L812" s="2" t="inlineStr">
        <is>
          <t>acondicionador</t>
        </is>
      </c>
      <c r="M812" s="2" t="inlineStr">
        <is>
          <t>estandar</t>
        </is>
      </c>
      <c r="N812" s="2" t="inlineStr">
        <is>
          <t>general</t>
        </is>
      </c>
      <c r="O812" s="2" t="inlineStr">
        <is>
          <t>https://www.jumbo.com.ar/acondicionador-pantene-16/p</t>
        </is>
      </c>
    </row>
    <row r="813">
      <c r="A813" t="inlineStr">
        <is>
          <t>Jumbo</t>
        </is>
      </c>
      <c r="B813" t="n">
        <v>73407</v>
      </c>
      <c r="C813" t="n">
        <v>70538</v>
      </c>
      <c r="D813" t="inlineStr">
        <is>
          <t>Acondicionador Dove Liso Y Natural X 250 Ml</t>
        </is>
      </c>
      <c r="E813" t="inlineStr">
        <is>
          <t>DOVE</t>
        </is>
      </c>
      <c r="F813" t="n">
        <v>9.67</v>
      </c>
      <c r="G813" t="n">
        <v>9.67</v>
      </c>
      <c r="H813" t="b">
        <v>0</v>
      </c>
      <c r="I813" t="n">
        <v>250</v>
      </c>
      <c r="J813" t="n">
        <v>0.0387</v>
      </c>
      <c r="K813" t="inlineStr">
        <is>
          <t>&gt; Perfumería &gt; Cuidado Capilar &gt; Acondicionador &gt;</t>
        </is>
      </c>
      <c r="L813" t="inlineStr">
        <is>
          <t>acondicionador</t>
        </is>
      </c>
      <c r="M813" t="inlineStr">
        <is>
          <t>estandar</t>
        </is>
      </c>
      <c r="N813" t="inlineStr">
        <is>
          <t>general</t>
        </is>
      </c>
      <c r="O813" t="inlineStr">
        <is>
          <t>https://www.jumbo.com.ar/acondicionador-dove-3/p</t>
        </is>
      </c>
    </row>
    <row r="814">
      <c r="A814" s="2" t="inlineStr">
        <is>
          <t>Jumbo</t>
        </is>
      </c>
      <c r="B814" s="2" t="n">
        <v>33609</v>
      </c>
      <c r="C814" s="2" t="n">
        <v>30768</v>
      </c>
      <c r="D814" s="2" t="inlineStr">
        <is>
          <t>Acondicionador Porta 500 Cc</t>
        </is>
      </c>
      <c r="E814" s="2" t="inlineStr">
        <is>
          <t>PORTA</t>
        </is>
      </c>
      <c r="F814" s="2" t="n">
        <v>16.79</v>
      </c>
      <c r="G814" s="2" t="n">
        <v>16.79</v>
      </c>
      <c r="H814" s="2" t="b">
        <v>0</v>
      </c>
      <c r="I814" s="2" t="inlineStr"/>
      <c r="J814" s="2" t="inlineStr"/>
      <c r="K814" s="2" t="inlineStr">
        <is>
          <t>&gt; Mascotas &gt; Accesorios para Mascotas &gt;</t>
        </is>
      </c>
      <c r="L814" s="2" t="inlineStr">
        <is>
          <t>acondicionador</t>
        </is>
      </c>
      <c r="M814" s="2" t="inlineStr">
        <is>
          <t>estandar</t>
        </is>
      </c>
      <c r="N814" s="2" t="inlineStr">
        <is>
          <t>general</t>
        </is>
      </c>
      <c r="O814" s="2" t="inlineStr">
        <is>
          <t>https://www.jumbo.com.ar/acondicionador-porta/p</t>
        </is>
      </c>
    </row>
    <row r="815">
      <c r="A815" t="inlineStr">
        <is>
          <t>Jumbo</t>
        </is>
      </c>
      <c r="B815" t="n">
        <v>28971</v>
      </c>
      <c r="C815" t="n">
        <v>26132</v>
      </c>
      <c r="D815" t="inlineStr">
        <is>
          <t>Acondicionador Dove Dove Acondicionador Control Caida X 400 Ml</t>
        </is>
      </c>
      <c r="E815" t="inlineStr">
        <is>
          <t>DOVE</t>
        </is>
      </c>
      <c r="F815" t="n">
        <v>84.89</v>
      </c>
      <c r="G815" t="n">
        <v>7016</v>
      </c>
      <c r="H815" t="b">
        <v>0</v>
      </c>
      <c r="I815" t="n">
        <v>400</v>
      </c>
      <c r="J815" t="n">
        <v>0.2122</v>
      </c>
      <c r="K815" t="inlineStr">
        <is>
          <t>&gt; Perfumería &gt; Cuidado Capilar &gt; Acondicionador &gt;</t>
        </is>
      </c>
      <c r="L815" t="inlineStr">
        <is>
          <t>acondicionador</t>
        </is>
      </c>
      <c r="M815" t="inlineStr">
        <is>
          <t>estandar</t>
        </is>
      </c>
      <c r="N815" t="inlineStr">
        <is>
          <t>general</t>
        </is>
      </c>
      <c r="O815" t="inlineStr">
        <is>
          <t>https://www.jumbo.com.ar/acondicionador-dove-6/p</t>
        </is>
      </c>
    </row>
    <row r="816">
      <c r="A816" s="2" t="inlineStr">
        <is>
          <t>Jumbo</t>
        </is>
      </c>
      <c r="B816" s="2" t="n">
        <v>19539</v>
      </c>
      <c r="C816" s="2" t="n">
        <v>16696</v>
      </c>
      <c r="D816" s="2" t="inlineStr">
        <is>
          <t>Acondicionador Tresemmé Acondicionador Tresemme Hidratación Profunda 750 Ml</t>
        </is>
      </c>
      <c r="E816" s="2" t="inlineStr">
        <is>
          <t>TRESEMMÉ</t>
        </is>
      </c>
      <c r="F816" s="2" t="n">
        <v>898.65</v>
      </c>
      <c r="G816" s="2" t="n">
        <v>74269</v>
      </c>
      <c r="H816" s="2" t="b">
        <v>0</v>
      </c>
      <c r="I816" s="2" t="n">
        <v>750</v>
      </c>
      <c r="J816" s="2" t="n">
        <v>1.1982</v>
      </c>
      <c r="K816" s="2" t="inlineStr">
        <is>
          <t>&gt; Perfumería &gt; Cuidado Capilar &gt; Acondicionador &gt;</t>
        </is>
      </c>
      <c r="L816" s="2" t="inlineStr">
        <is>
          <t>acondicionador</t>
        </is>
      </c>
      <c r="M816" s="2" t="inlineStr">
        <is>
          <t>estandar</t>
        </is>
      </c>
      <c r="N816" s="2" t="inlineStr">
        <is>
          <t>seco_danado</t>
        </is>
      </c>
      <c r="O816" s="2" t="inlineStr">
        <is>
          <t>https://www.jumbo.com.ar/acondicionador-tresemme-24/p</t>
        </is>
      </c>
    </row>
    <row r="817">
      <c r="A817" t="inlineStr">
        <is>
          <t>Jumbo</t>
        </is>
      </c>
      <c r="B817" t="n">
        <v>122128</v>
      </c>
      <c r="C817" t="n">
        <v>121147</v>
      </c>
      <c r="D817" t="inlineStr">
        <is>
          <t>Acondicionador Pantene Rizos Definidos 750 Ml</t>
        </is>
      </c>
      <c r="E817" t="inlineStr">
        <is>
          <t>PANTENE</t>
        </is>
      </c>
      <c r="F817" t="n">
        <v>64.34999999999999</v>
      </c>
      <c r="G817" t="n">
        <v>5318</v>
      </c>
      <c r="H817" t="b">
        <v>0</v>
      </c>
      <c r="I817" t="n">
        <v>750</v>
      </c>
      <c r="J817" t="n">
        <v>0.0858</v>
      </c>
      <c r="K817" t="inlineStr">
        <is>
          <t>&gt; Perfumería &gt; Cuidado Capilar &gt; Acondicionador &gt;</t>
        </is>
      </c>
      <c r="L817" t="inlineStr">
        <is>
          <t>acondicionador</t>
        </is>
      </c>
      <c r="M817" t="inlineStr">
        <is>
          <t>estandar</t>
        </is>
      </c>
      <c r="N817" t="inlineStr">
        <is>
          <t>rizado</t>
        </is>
      </c>
      <c r="O817" t="inlineStr">
        <is>
          <t>https://www.jumbo.com.ar/acondicionador-pantene-17-2/p</t>
        </is>
      </c>
    </row>
    <row r="818">
      <c r="A818" s="2" t="inlineStr">
        <is>
          <t>Jumbo</t>
        </is>
      </c>
      <c r="B818" s="2" t="n">
        <v>121968</v>
      </c>
      <c r="C818" s="2" t="n">
        <v>120991</v>
      </c>
      <c r="D818" s="2" t="inlineStr">
        <is>
          <t>Acondicionador Pantene Acondic Pantene Liso Y Sedoso 750 Ml</t>
        </is>
      </c>
      <c r="E818" s="2" t="inlineStr">
        <is>
          <t>PANTENE</t>
        </is>
      </c>
      <c r="F818" s="2" t="n">
        <v>457.59</v>
      </c>
      <c r="G818" s="2" t="n">
        <v>457.59</v>
      </c>
      <c r="H818" s="2" t="b">
        <v>0</v>
      </c>
      <c r="I818" s="2" t="n">
        <v>750</v>
      </c>
      <c r="J818" s="2" t="n">
        <v>0.6101</v>
      </c>
      <c r="K818" s="2" t="inlineStr">
        <is>
          <t>&gt; Perfumería &gt; Cuidado Capilar &gt; Acondicionador &gt;</t>
        </is>
      </c>
      <c r="L818" s="2" t="inlineStr">
        <is>
          <t>acondicionador</t>
        </is>
      </c>
      <c r="M818" s="2" t="inlineStr">
        <is>
          <t>estandar</t>
        </is>
      </c>
      <c r="N818" s="2" t="inlineStr">
        <is>
          <t>general</t>
        </is>
      </c>
      <c r="O818" s="2" t="inlineStr">
        <is>
          <t>https://www.jumbo.com.ar/acondicionador-pantene-17/p</t>
        </is>
      </c>
    </row>
    <row r="819">
      <c r="A819" t="inlineStr">
        <is>
          <t>Jumbo</t>
        </is>
      </c>
      <c r="B819" t="n">
        <v>121924</v>
      </c>
      <c r="C819" t="n">
        <v>120945</v>
      </c>
      <c r="D819" t="inlineStr">
        <is>
          <t>Acondicionador Pantene Liso Extremo 750 Ml</t>
        </is>
      </c>
      <c r="E819" t="inlineStr">
        <is>
          <t>PANTENE</t>
        </is>
      </c>
      <c r="F819" t="n">
        <v>284.77</v>
      </c>
      <c r="G819" t="n">
        <v>23535</v>
      </c>
      <c r="H819" t="b">
        <v>0</v>
      </c>
      <c r="I819" t="n">
        <v>750</v>
      </c>
      <c r="J819" t="n">
        <v>0.3797</v>
      </c>
      <c r="K819" t="inlineStr">
        <is>
          <t>&gt; Perfumería &gt; Cuidado Capilar &gt; Acondicionador &gt;</t>
        </is>
      </c>
      <c r="L819" t="inlineStr">
        <is>
          <t>acondicionador</t>
        </is>
      </c>
      <c r="M819" t="inlineStr">
        <is>
          <t>estandar</t>
        </is>
      </c>
      <c r="N819" t="inlineStr">
        <is>
          <t>general</t>
        </is>
      </c>
      <c r="O819" t="inlineStr">
        <is>
          <t>https://www.jumbo.com.ar/acondicionador-pantene-19/p</t>
        </is>
      </c>
    </row>
    <row r="820">
      <c r="A820" s="2" t="inlineStr">
        <is>
          <t>Jumbo</t>
        </is>
      </c>
      <c r="B820" s="2" t="n">
        <v>114858</v>
      </c>
      <c r="C820" s="2" t="n">
        <v>113905</v>
      </c>
      <c r="D820" s="2" t="inlineStr">
        <is>
          <t>Acondicionador Pantene Brillo Extremo 750 Ml</t>
        </is>
      </c>
      <c r="E820" s="2" t="inlineStr">
        <is>
          <t>PANTENE</t>
        </is>
      </c>
      <c r="F820" s="2" t="n">
        <v>74.37</v>
      </c>
      <c r="G820" s="2" t="n">
        <v>6146</v>
      </c>
      <c r="H820" s="2" t="b">
        <v>0</v>
      </c>
      <c r="I820" s="2" t="n">
        <v>750</v>
      </c>
      <c r="J820" s="2" t="n">
        <v>0.0992</v>
      </c>
      <c r="K820" s="2" t="inlineStr">
        <is>
          <t>&gt; Perfumería &gt; Cuidado Capilar &gt; Acondicionador &gt;</t>
        </is>
      </c>
      <c r="L820" s="2" t="inlineStr">
        <is>
          <t>acondicionador</t>
        </is>
      </c>
      <c r="M820" s="2" t="inlineStr">
        <is>
          <t>estandar</t>
        </is>
      </c>
      <c r="N820" s="2" t="inlineStr">
        <is>
          <t>general</t>
        </is>
      </c>
      <c r="O820" s="2" t="inlineStr">
        <is>
          <t>https://www.jumbo.com.ar/acondicionador-pantene-23/p</t>
        </is>
      </c>
    </row>
    <row r="821">
      <c r="A821" t="inlineStr">
        <is>
          <t>Jumbo</t>
        </is>
      </c>
      <c r="B821" t="n">
        <v>77395</v>
      </c>
      <c r="C821" t="n">
        <v>74522</v>
      </c>
      <c r="D821" t="inlineStr">
        <is>
          <t>Acondicionador Pantene Rizos Definidos 200ml</t>
        </is>
      </c>
      <c r="E821" t="inlineStr">
        <is>
          <t>PANTENE</t>
        </is>
      </c>
      <c r="F821" t="n">
        <v>22.79</v>
      </c>
      <c r="G821" t="n">
        <v>1883</v>
      </c>
      <c r="H821" t="b">
        <v>0</v>
      </c>
      <c r="I821" t="n">
        <v>200</v>
      </c>
      <c r="J821" t="n">
        <v>0.1139</v>
      </c>
      <c r="K821" t="inlineStr">
        <is>
          <t>&gt; Perfumería &gt; Cuidado Capilar &gt; Acondicionador &gt;</t>
        </is>
      </c>
      <c r="L821" t="inlineStr">
        <is>
          <t>acondicionador</t>
        </is>
      </c>
      <c r="M821" t="inlineStr">
        <is>
          <t>estandar</t>
        </is>
      </c>
      <c r="N821" t="inlineStr">
        <is>
          <t>rizado</t>
        </is>
      </c>
      <c r="O821" t="inlineStr">
        <is>
          <t>https://www.jumbo.com.ar/acondicionador-pantene-15-4/p</t>
        </is>
      </c>
    </row>
    <row r="822">
      <c r="A822" s="2" t="inlineStr">
        <is>
          <t>Jumbo</t>
        </is>
      </c>
      <c r="B822" s="2" t="n">
        <v>77388</v>
      </c>
      <c r="C822" s="2" t="n">
        <v>74515</v>
      </c>
      <c r="D822" s="2" t="inlineStr">
        <is>
          <t>Acondicionador Pantene Liso Y Sedoso 200 Ml</t>
        </is>
      </c>
      <c r="E822" s="2" t="inlineStr">
        <is>
          <t>PANTENE</t>
        </is>
      </c>
      <c r="F822" s="2" t="n">
        <v>22.79</v>
      </c>
      <c r="G822" s="2" t="n">
        <v>1883</v>
      </c>
      <c r="H822" s="2" t="b">
        <v>0</v>
      </c>
      <c r="I822" s="2" t="n">
        <v>200</v>
      </c>
      <c r="J822" s="2" t="n">
        <v>0.1139</v>
      </c>
      <c r="K822" s="2" t="inlineStr">
        <is>
          <t>&gt; Perfumería &gt; Cuidado Capilar &gt; Acondicionador &gt;</t>
        </is>
      </c>
      <c r="L822" s="2" t="inlineStr">
        <is>
          <t>acondicionador</t>
        </is>
      </c>
      <c r="M822" s="2" t="inlineStr">
        <is>
          <t>estandar</t>
        </is>
      </c>
      <c r="N822" s="2" t="inlineStr">
        <is>
          <t>general</t>
        </is>
      </c>
      <c r="O822" s="2" t="inlineStr">
        <is>
          <t>https://www.jumbo.com.ar/acondicionador-pantene-15-3/p</t>
        </is>
      </c>
    </row>
    <row r="823">
      <c r="A823" t="inlineStr">
        <is>
          <t>Jumbo</t>
        </is>
      </c>
      <c r="B823" t="n">
        <v>77301</v>
      </c>
      <c r="C823" t="n">
        <v>74428</v>
      </c>
      <c r="D823" t="inlineStr">
        <is>
          <t>Acondicionador Pantene Liso Extremo 200 Ml</t>
        </is>
      </c>
      <c r="E823" t="inlineStr">
        <is>
          <t>PANTENE</t>
        </is>
      </c>
      <c r="F823" t="n">
        <v>22.79</v>
      </c>
      <c r="G823" t="n">
        <v>1883</v>
      </c>
      <c r="H823" t="b">
        <v>0</v>
      </c>
      <c r="I823" t="n">
        <v>200</v>
      </c>
      <c r="J823" t="n">
        <v>0.1139</v>
      </c>
      <c r="K823" t="inlineStr">
        <is>
          <t>&gt; Perfumería &gt; Cuidado Capilar &gt; Acondicionador &gt;</t>
        </is>
      </c>
      <c r="L823" t="inlineStr">
        <is>
          <t>acondicionador</t>
        </is>
      </c>
      <c r="M823" t="inlineStr">
        <is>
          <t>estandar</t>
        </is>
      </c>
      <c r="N823" t="inlineStr">
        <is>
          <t>general</t>
        </is>
      </c>
      <c r="O823" t="inlineStr">
        <is>
          <t>https://www.jumbo.com.ar/acondicionador-pantene-15/p</t>
        </is>
      </c>
    </row>
    <row r="824">
      <c r="A824" s="2" t="inlineStr">
        <is>
          <t>Jumbo</t>
        </is>
      </c>
      <c r="B824" s="2" t="n">
        <v>73013</v>
      </c>
      <c r="C824" s="2" t="n">
        <v>70145</v>
      </c>
      <c r="D824" s="2" t="inlineStr">
        <is>
          <t>Acondicionador Dove Liso Y Natural X 400 Ml</t>
        </is>
      </c>
      <c r="E824" s="2" t="inlineStr">
        <is>
          <t>DOVE</t>
        </is>
      </c>
      <c r="F824" s="2" t="n">
        <v>49.05</v>
      </c>
      <c r="G824" s="2" t="n">
        <v>49.05</v>
      </c>
      <c r="H824" s="2" t="b">
        <v>0</v>
      </c>
      <c r="I824" s="2" t="n">
        <v>400</v>
      </c>
      <c r="J824" s="2" t="n">
        <v>0.1226</v>
      </c>
      <c r="K824" s="2" t="inlineStr">
        <is>
          <t>&gt; Perfumería &gt; Cuidado Capilar &gt; Acondicionador &gt;</t>
        </is>
      </c>
      <c r="L824" s="2" t="inlineStr">
        <is>
          <t>acondicionador</t>
        </is>
      </c>
      <c r="M824" s="2" t="inlineStr">
        <is>
          <t>estandar</t>
        </is>
      </c>
      <c r="N824" s="2" t="inlineStr">
        <is>
          <t>general</t>
        </is>
      </c>
      <c r="O824" s="2" t="inlineStr">
        <is>
          <t>https://www.jumbo.com.ar/acondicionador-dove/p</t>
        </is>
      </c>
    </row>
    <row r="825">
      <c r="A825" t="inlineStr">
        <is>
          <t>Jumbo</t>
        </is>
      </c>
      <c r="B825" t="n">
        <v>72658</v>
      </c>
      <c r="C825" t="n">
        <v>69794</v>
      </c>
      <c r="D825" t="inlineStr">
        <is>
          <t>Acondicionador Pantene Renovación Profunda X 750 Ml</t>
        </is>
      </c>
      <c r="E825" t="inlineStr">
        <is>
          <t>PANTENE</t>
        </is>
      </c>
      <c r="F825" t="n">
        <v>457.59</v>
      </c>
      <c r="G825" t="n">
        <v>457.59</v>
      </c>
      <c r="H825" t="b">
        <v>0</v>
      </c>
      <c r="I825" t="n">
        <v>750</v>
      </c>
      <c r="J825" t="n">
        <v>0.6101</v>
      </c>
      <c r="K825" t="inlineStr">
        <is>
          <t>&gt; Perfumería &gt; Cuidado Capilar &gt; Acondicionador &gt;</t>
        </is>
      </c>
      <c r="L825" t="inlineStr">
        <is>
          <t>acondicionador</t>
        </is>
      </c>
      <c r="M825" t="inlineStr">
        <is>
          <t>estandar</t>
        </is>
      </c>
      <c r="N825" t="inlineStr">
        <is>
          <t>general</t>
        </is>
      </c>
      <c r="O825" t="inlineStr">
        <is>
          <t>https://www.jumbo.com.ar/acondicionador-pantene-26/p</t>
        </is>
      </c>
    </row>
    <row r="826">
      <c r="A826" s="2" t="inlineStr">
        <is>
          <t>Jumbo</t>
        </is>
      </c>
      <c r="B826" s="2" t="n">
        <v>72436</v>
      </c>
      <c r="C826" s="2" t="n">
        <v>69572</v>
      </c>
      <c r="D826" s="2" t="inlineStr">
        <is>
          <t>Acondicionador Pantene Renovavión Profunda X 200 Ml</t>
        </is>
      </c>
      <c r="E826" s="2" t="inlineStr">
        <is>
          <t>PANTENE</t>
        </is>
      </c>
      <c r="F826" s="2" t="n">
        <v>173.39</v>
      </c>
      <c r="G826" s="2" t="n">
        <v>173.39</v>
      </c>
      <c r="H826" s="2" t="b">
        <v>0</v>
      </c>
      <c r="I826" s="2" t="n">
        <v>200</v>
      </c>
      <c r="J826" s="2" t="n">
        <v>0.8669</v>
      </c>
      <c r="K826" s="2" t="inlineStr">
        <is>
          <t>&gt; Perfumería &gt; Cuidado Capilar &gt; Acondicionador &gt;</t>
        </is>
      </c>
      <c r="L826" s="2" t="inlineStr">
        <is>
          <t>acondicionador</t>
        </is>
      </c>
      <c r="M826" s="2" t="inlineStr">
        <is>
          <t>estandar</t>
        </is>
      </c>
      <c r="N826" s="2" t="inlineStr">
        <is>
          <t>general</t>
        </is>
      </c>
      <c r="O826" s="2" t="inlineStr">
        <is>
          <t>https://www.jumbo.com.ar/acondicionador-pantene-25-2/p</t>
        </is>
      </c>
    </row>
    <row r="827">
      <c r="A827" t="inlineStr">
        <is>
          <t>Jumbo</t>
        </is>
      </c>
      <c r="B827" t="n">
        <v>57850</v>
      </c>
      <c r="C827" t="n">
        <v>55004</v>
      </c>
      <c r="D827" t="inlineStr">
        <is>
          <t>Acondicionador Sedal</t>
        </is>
      </c>
      <c r="E827" t="inlineStr">
        <is>
          <t>SEDAL</t>
        </is>
      </c>
      <c r="F827" t="n">
        <v>8.35</v>
      </c>
      <c r="G827" t="n">
        <v>8.35</v>
      </c>
      <c r="H827" t="b">
        <v>0</v>
      </c>
      <c r="I827" t="inlineStr"/>
      <c r="J827" t="inlineStr"/>
      <c r="K827" t="inlineStr">
        <is>
          <t>&gt; Perfumería &gt; Cuidado Capilar &gt; Acondicionador &gt;</t>
        </is>
      </c>
      <c r="L827" t="inlineStr">
        <is>
          <t>acondicionador</t>
        </is>
      </c>
      <c r="M827" t="inlineStr">
        <is>
          <t>estandar</t>
        </is>
      </c>
      <c r="N827" t="inlineStr">
        <is>
          <t>general</t>
        </is>
      </c>
      <c r="O827" t="inlineStr">
        <is>
          <t>https://www.jumbo.com.ar/acondicionador-sedal-34/p</t>
        </is>
      </c>
    </row>
    <row r="828">
      <c r="A828" s="2" t="inlineStr">
        <is>
          <t>Jumbo</t>
        </is>
      </c>
      <c r="B828" s="2" t="n">
        <v>30163</v>
      </c>
      <c r="C828" s="2" t="n">
        <v>27324</v>
      </c>
      <c r="D828" s="2" t="inlineStr">
        <is>
          <t>Acondicionador Pantene Pro-v Expert Collection Advanced Keratin Repair 250 Ml</t>
        </is>
      </c>
      <c r="E828" s="2" t="inlineStr">
        <is>
          <t>PANTENE</t>
        </is>
      </c>
      <c r="F828" s="2" t="n">
        <v>291.93</v>
      </c>
      <c r="G828" s="2" t="n">
        <v>24126</v>
      </c>
      <c r="H828" s="2" t="b">
        <v>0</v>
      </c>
      <c r="I828" s="2" t="n">
        <v>250</v>
      </c>
      <c r="J828" s="2" t="n">
        <v>1.1677</v>
      </c>
      <c r="K828" s="2" t="inlineStr">
        <is>
          <t>&gt; Perfumería &gt; Cuidado Capilar &gt; Acondicionador &gt;</t>
        </is>
      </c>
      <c r="L828" s="2" t="inlineStr">
        <is>
          <t>acondicionador</t>
        </is>
      </c>
      <c r="M828" s="2" t="inlineStr">
        <is>
          <t>profesional</t>
        </is>
      </c>
      <c r="N828" s="2" t="inlineStr">
        <is>
          <t>general</t>
        </is>
      </c>
      <c r="O828" s="2" t="inlineStr">
        <is>
          <t>https://www.jumbo.com.ar/acondicionador-pantene-32/p</t>
        </is>
      </c>
    </row>
    <row r="829">
      <c r="A829" t="inlineStr">
        <is>
          <t>Jumbo</t>
        </is>
      </c>
      <c r="B829" t="n">
        <v>152072</v>
      </c>
      <c r="C829" t="n">
        <v>149645</v>
      </c>
      <c r="D829" t="inlineStr">
        <is>
          <t>Acondicionador Dove óleo Nutrición 200 Ml</t>
        </is>
      </c>
      <c r="E829" t="inlineStr">
        <is>
          <t>DOVE</t>
        </is>
      </c>
      <c r="F829" t="n">
        <v>333.73</v>
      </c>
      <c r="G829" t="n">
        <v>27581</v>
      </c>
      <c r="H829" t="b">
        <v>0</v>
      </c>
      <c r="I829" t="n">
        <v>200</v>
      </c>
      <c r="J829" t="n">
        <v>1.6687</v>
      </c>
      <c r="K829" t="inlineStr">
        <is>
          <t>&gt; Perfumería &gt; Cuidado Capilar &gt; Acondicionador &gt;</t>
        </is>
      </c>
      <c r="L829" t="inlineStr">
        <is>
          <t>acondicionador</t>
        </is>
      </c>
      <c r="M829" t="inlineStr">
        <is>
          <t>estandar</t>
        </is>
      </c>
      <c r="N829" t="inlineStr">
        <is>
          <t>general</t>
        </is>
      </c>
      <c r="O829" t="inlineStr">
        <is>
          <t>https://www.jumbo.com.ar/acondicionador-dove-21-2/p</t>
        </is>
      </c>
    </row>
    <row r="830">
      <c r="A830" s="2" t="inlineStr">
        <is>
          <t>Jumbo</t>
        </is>
      </c>
      <c r="B830" s="2" t="n">
        <v>122332</v>
      </c>
      <c r="C830" s="2" t="n">
        <v>121351</v>
      </c>
      <c r="D830" s="2" t="inlineStr">
        <is>
          <t>Acondicionador Pantene Color Radiante 750ml</t>
        </is>
      </c>
      <c r="E830" s="2" t="inlineStr">
        <is>
          <t>PANTENE</t>
        </is>
      </c>
      <c r="F830" s="2" t="n">
        <v>27.65</v>
      </c>
      <c r="G830" s="2" t="n">
        <v>27.65</v>
      </c>
      <c r="H830" s="2" t="b">
        <v>0</v>
      </c>
      <c r="I830" s="2" t="n">
        <v>750</v>
      </c>
      <c r="J830" s="2" t="n">
        <v>0.0369</v>
      </c>
      <c r="K830" s="2" t="inlineStr">
        <is>
          <t>&gt; Perfumería &gt; Cuidado Capilar &gt; Acondicionador &gt;</t>
        </is>
      </c>
      <c r="L830" s="2" t="inlineStr">
        <is>
          <t>acondicionador</t>
        </is>
      </c>
      <c r="M830" s="2" t="inlineStr">
        <is>
          <t>estandar</t>
        </is>
      </c>
      <c r="N830" s="2" t="inlineStr">
        <is>
          <t>tratado</t>
        </is>
      </c>
      <c r="O830" s="2" t="inlineStr">
        <is>
          <t>https://www.jumbo.com.ar/acondicionador-pantene-18-2/p</t>
        </is>
      </c>
    </row>
    <row r="831">
      <c r="A831" t="inlineStr">
        <is>
          <t>Jumbo</t>
        </is>
      </c>
      <c r="B831" t="n">
        <v>121951</v>
      </c>
      <c r="C831" t="n">
        <v>120972</v>
      </c>
      <c r="D831" t="inlineStr">
        <is>
          <t>Acondicionador Pantenex750ml Frizz Control  Pvc 750 Ml.</t>
        </is>
      </c>
      <c r="E831" t="inlineStr">
        <is>
          <t>PANTENE</t>
        </is>
      </c>
      <c r="F831" t="n">
        <v>457.59</v>
      </c>
      <c r="G831" t="n">
        <v>457.59</v>
      </c>
      <c r="H831" t="b">
        <v>0</v>
      </c>
      <c r="I831" t="n">
        <v>750</v>
      </c>
      <c r="J831" t="n">
        <v>0.6101</v>
      </c>
      <c r="K831" t="inlineStr">
        <is>
          <t>&gt; Perfumería &gt; Cuidado Capilar &gt; Acondicionador &gt;</t>
        </is>
      </c>
      <c r="L831" t="inlineStr">
        <is>
          <t>acondicionador</t>
        </is>
      </c>
      <c r="M831" t="inlineStr">
        <is>
          <t>estandar</t>
        </is>
      </c>
      <c r="N831" t="inlineStr">
        <is>
          <t>general</t>
        </is>
      </c>
      <c r="O831" t="inlineStr">
        <is>
          <t>https://www.jumbo.com.ar/acondicionador-pantene-18/p</t>
        </is>
      </c>
    </row>
    <row r="832">
      <c r="A832" s="2" t="inlineStr">
        <is>
          <t>Jumbo</t>
        </is>
      </c>
      <c r="B832" s="2" t="n">
        <v>117758</v>
      </c>
      <c r="C832" s="2" t="n">
        <v>116797</v>
      </c>
      <c r="D832" s="2" t="inlineStr">
        <is>
          <t>Acondicionador Dove Acond Dove Advanced Therapy Anti-frizz</t>
        </is>
      </c>
      <c r="E832" s="2" t="inlineStr">
        <is>
          <t>DOVE</t>
        </is>
      </c>
      <c r="F832" s="2" t="n">
        <v>15.29</v>
      </c>
      <c r="G832" s="2" t="n">
        <v>15.29</v>
      </c>
      <c r="H832" s="2" t="b">
        <v>0</v>
      </c>
      <c r="I832" s="2" t="inlineStr"/>
      <c r="J832" s="2" t="inlineStr"/>
      <c r="K832" s="2" t="inlineStr">
        <is>
          <t>&gt; Perfumería &gt; Cuidado Capilar &gt; Acondicionador &gt;</t>
        </is>
      </c>
      <c r="L832" s="2" t="inlineStr">
        <is>
          <t>acondicionador</t>
        </is>
      </c>
      <c r="M832" s="2" t="inlineStr">
        <is>
          <t>estandar</t>
        </is>
      </c>
      <c r="N832" s="2" t="inlineStr">
        <is>
          <t>general</t>
        </is>
      </c>
      <c r="O832" s="2" t="inlineStr">
        <is>
          <t>https://www.jumbo.com.ar/acondicionador-dove-4-2/p</t>
        </is>
      </c>
    </row>
    <row r="833">
      <c r="A833" t="inlineStr">
        <is>
          <t>Jumbo</t>
        </is>
      </c>
      <c r="B833" t="n">
        <v>116559</v>
      </c>
      <c r="C833" t="n">
        <v>115599</v>
      </c>
      <c r="D833" t="inlineStr">
        <is>
          <t>Acondicionador Pantene Brillo Extremo 200 Ml</t>
        </is>
      </c>
      <c r="E833" t="inlineStr">
        <is>
          <t>PANTENE</t>
        </is>
      </c>
      <c r="F833" t="n">
        <v>22.79</v>
      </c>
      <c r="G833" t="n">
        <v>1883</v>
      </c>
      <c r="H833" t="b">
        <v>0</v>
      </c>
      <c r="I833" t="n">
        <v>200</v>
      </c>
      <c r="J833" t="n">
        <v>0.1139</v>
      </c>
      <c r="K833" t="inlineStr">
        <is>
          <t>&gt; Perfumería &gt; Cuidado Capilar &gt; Acondicionador &gt;</t>
        </is>
      </c>
      <c r="L833" t="inlineStr">
        <is>
          <t>acondicionador</t>
        </is>
      </c>
      <c r="M833" t="inlineStr">
        <is>
          <t>estandar</t>
        </is>
      </c>
      <c r="N833" t="inlineStr">
        <is>
          <t>general</t>
        </is>
      </c>
      <c r="O833" t="inlineStr">
        <is>
          <t>https://www.jumbo.com.ar/acondicionador-pantene-22/p</t>
        </is>
      </c>
    </row>
    <row r="834">
      <c r="A834" s="2" t="inlineStr">
        <is>
          <t>Jumbo</t>
        </is>
      </c>
      <c r="B834" s="2" t="n">
        <v>116320</v>
      </c>
      <c r="C834" s="2" t="n">
        <v>115362</v>
      </c>
      <c r="D834" s="2" t="inlineStr">
        <is>
          <t>Acondicionador Pantene Brillo Extremo 400 Ml</t>
        </is>
      </c>
      <c r="E834" s="2" t="inlineStr">
        <is>
          <t>PANTENE</t>
        </is>
      </c>
      <c r="F834" s="2" t="n">
        <v>48.79</v>
      </c>
      <c r="G834" s="2" t="n">
        <v>4032</v>
      </c>
      <c r="H834" s="2" t="b">
        <v>0</v>
      </c>
      <c r="I834" s="2" t="n">
        <v>400</v>
      </c>
      <c r="J834" s="2" t="n">
        <v>0.122</v>
      </c>
      <c r="K834" s="2" t="inlineStr">
        <is>
          <t>&gt; Perfumería &gt; Cuidado Capilar &gt; Acondicionador &gt;</t>
        </is>
      </c>
      <c r="L834" s="2" t="inlineStr">
        <is>
          <t>acondicionador</t>
        </is>
      </c>
      <c r="M834" s="2" t="inlineStr">
        <is>
          <t>estandar</t>
        </is>
      </c>
      <c r="N834" s="2" t="inlineStr">
        <is>
          <t>general</t>
        </is>
      </c>
      <c r="O834" s="2" t="inlineStr">
        <is>
          <t>https://www.jumbo.com.ar/acondicionador-pantene-21/p</t>
        </is>
      </c>
    </row>
    <row r="835">
      <c r="A835" t="inlineStr">
        <is>
          <t>Jumbo</t>
        </is>
      </c>
      <c r="B835" t="n">
        <v>115907</v>
      </c>
      <c r="C835" t="n">
        <v>114951</v>
      </c>
      <c r="D835" t="inlineStr">
        <is>
          <t>Acondicionador Flex Cosmetico X 250ml</t>
        </is>
      </c>
      <c r="E835" t="inlineStr">
        <is>
          <t>FLEX</t>
        </is>
      </c>
      <c r="F835" t="n">
        <v>5.95</v>
      </c>
      <c r="G835" t="n">
        <v>5.95</v>
      </c>
      <c r="H835" t="b">
        <v>0</v>
      </c>
      <c r="I835" t="n">
        <v>250</v>
      </c>
      <c r="J835" t="n">
        <v>0.0238</v>
      </c>
      <c r="K835" t="inlineStr">
        <is>
          <t>&gt; Perfumería &gt; Cuidado Capilar &gt; Acondicionador &gt;</t>
        </is>
      </c>
      <c r="L835" t="inlineStr">
        <is>
          <t>acondicionador</t>
        </is>
      </c>
      <c r="M835" t="inlineStr">
        <is>
          <t>estandar</t>
        </is>
      </c>
      <c r="N835" t="inlineStr">
        <is>
          <t>general</t>
        </is>
      </c>
      <c r="O835" t="inlineStr">
        <is>
          <t>https://www.jumbo.com.ar/acondicionador-flex-2/p</t>
        </is>
      </c>
    </row>
    <row r="836">
      <c r="A836" s="2" t="inlineStr">
        <is>
          <t>Jumbo</t>
        </is>
      </c>
      <c r="B836" s="2" t="n">
        <v>89555</v>
      </c>
      <c r="C836" s="2" t="n">
        <v>86883</v>
      </c>
      <c r="D836" s="2" t="inlineStr">
        <is>
          <t>Acondicionador Sedal</t>
        </is>
      </c>
      <c r="E836" s="2" t="inlineStr">
        <is>
          <t>SEDAL</t>
        </is>
      </c>
      <c r="F836" s="2" t="n">
        <v>5.45</v>
      </c>
      <c r="G836" s="2" t="n">
        <v>5.45</v>
      </c>
      <c r="H836" s="2" t="b">
        <v>0</v>
      </c>
      <c r="I836" s="2" t="inlineStr"/>
      <c r="J836" s="2" t="inlineStr"/>
      <c r="K836" s="2" t="inlineStr">
        <is>
          <t>&gt; Perfumería &gt; Cuidado Capilar &gt; Acondicionador &gt;</t>
        </is>
      </c>
      <c r="L836" s="2" t="inlineStr">
        <is>
          <t>acondicionador</t>
        </is>
      </c>
      <c r="M836" s="2" t="inlineStr">
        <is>
          <t>estandar</t>
        </is>
      </c>
      <c r="N836" s="2" t="inlineStr">
        <is>
          <t>general</t>
        </is>
      </c>
      <c r="O836" s="2" t="inlineStr">
        <is>
          <t>https://www.jumbo.com.ar/acondicionador-sedal-29/p</t>
        </is>
      </c>
    </row>
    <row r="837">
      <c r="A837" t="inlineStr">
        <is>
          <t>Jumbo</t>
        </is>
      </c>
      <c r="B837" t="n">
        <v>73433</v>
      </c>
      <c r="C837" t="n">
        <v>70564</v>
      </c>
      <c r="D837" t="inlineStr">
        <is>
          <t>Acondicionador Pantene Hidratación 400 Ml</t>
        </is>
      </c>
      <c r="E837" t="inlineStr">
        <is>
          <t>PANTENE</t>
        </is>
      </c>
      <c r="F837" t="n">
        <v>48.79</v>
      </c>
      <c r="G837" t="n">
        <v>4032</v>
      </c>
      <c r="H837" t="b">
        <v>0</v>
      </c>
      <c r="I837" t="n">
        <v>400</v>
      </c>
      <c r="J837" t="n">
        <v>0.122</v>
      </c>
      <c r="K837" t="inlineStr">
        <is>
          <t>&gt; Perfumería &gt; Cuidado Capilar &gt; Acondicionador &gt;</t>
        </is>
      </c>
      <c r="L837" t="inlineStr">
        <is>
          <t>acondicionador</t>
        </is>
      </c>
      <c r="M837" t="inlineStr">
        <is>
          <t>estandar</t>
        </is>
      </c>
      <c r="N837" t="inlineStr">
        <is>
          <t>seco_danado</t>
        </is>
      </c>
      <c r="O837" t="inlineStr">
        <is>
          <t>https://www.jumbo.com.ar/acondicionador-pantene-14/p</t>
        </is>
      </c>
    </row>
    <row r="838">
      <c r="A838" s="2" t="inlineStr">
        <is>
          <t>Jumbo</t>
        </is>
      </c>
      <c r="B838" s="2" t="n">
        <v>73361</v>
      </c>
      <c r="C838" s="2" t="n">
        <v>70492</v>
      </c>
      <c r="D838" s="2" t="inlineStr">
        <is>
          <t>Acondicionador Dove Rizos Therapy X 400 Ml</t>
        </is>
      </c>
      <c r="E838" s="2" t="inlineStr">
        <is>
          <t>DOVE</t>
        </is>
      </c>
      <c r="F838" s="2" t="n">
        <v>14.69</v>
      </c>
      <c r="G838" s="2" t="n">
        <v>14.69</v>
      </c>
      <c r="H838" s="2" t="b">
        <v>0</v>
      </c>
      <c r="I838" s="2" t="n">
        <v>400</v>
      </c>
      <c r="J838" s="2" t="n">
        <v>0.0367</v>
      </c>
      <c r="K838" s="2" t="inlineStr">
        <is>
          <t>&gt; Perfumería &gt; Cuidado Capilar &gt; Acondicionador &gt;</t>
        </is>
      </c>
      <c r="L838" s="2" t="inlineStr">
        <is>
          <t>acondicionador</t>
        </is>
      </c>
      <c r="M838" s="2" t="inlineStr">
        <is>
          <t>estandar</t>
        </is>
      </c>
      <c r="N838" s="2" t="inlineStr">
        <is>
          <t>rizado</t>
        </is>
      </c>
      <c r="O838" s="2" t="inlineStr">
        <is>
          <t>https://www.jumbo.com.ar/acondicionador-dove-23/p</t>
        </is>
      </c>
    </row>
    <row r="839">
      <c r="A839" t="inlineStr">
        <is>
          <t>Jumbo</t>
        </is>
      </c>
      <c r="B839" t="n">
        <v>72289</v>
      </c>
      <c r="C839" t="n">
        <v>69424</v>
      </c>
      <c r="D839" t="inlineStr">
        <is>
          <t>Acondicionador Pantene Renovación Profunda X 400 Ml</t>
        </is>
      </c>
      <c r="E839" t="inlineStr">
        <is>
          <t>PANTENE</t>
        </is>
      </c>
      <c r="F839" t="n">
        <v>16.47</v>
      </c>
      <c r="G839" t="n">
        <v>1361</v>
      </c>
      <c r="H839" t="b">
        <v>0</v>
      </c>
      <c r="I839" t="n">
        <v>400</v>
      </c>
      <c r="J839" t="n">
        <v>0.0412</v>
      </c>
      <c r="K839" t="inlineStr">
        <is>
          <t>&gt; Perfumería &gt; Cuidado Capilar &gt; Acondicionador &gt;</t>
        </is>
      </c>
      <c r="L839" t="inlineStr">
        <is>
          <t>acondicionador</t>
        </is>
      </c>
      <c r="M839" t="inlineStr">
        <is>
          <t>estandar</t>
        </is>
      </c>
      <c r="N839" t="inlineStr">
        <is>
          <t>general</t>
        </is>
      </c>
      <c r="O839" t="inlineStr">
        <is>
          <t>https://www.jumbo.com.ar/acondicionador-pantene-25/p</t>
        </is>
      </c>
    </row>
    <row r="840">
      <c r="A840" s="2" t="inlineStr">
        <is>
          <t>Jumbo</t>
        </is>
      </c>
      <c r="B840" s="2" t="n">
        <v>69301</v>
      </c>
      <c r="C840" s="2" t="n">
        <v>66436</v>
      </c>
      <c r="D840" s="2" t="inlineStr">
        <is>
          <t>Acondicionador Dove Dove Acondicionador Control Caida X 250 Ml</t>
        </is>
      </c>
      <c r="E840" s="2" t="inlineStr">
        <is>
          <t>DOVE</t>
        </is>
      </c>
      <c r="F840" s="2" t="n">
        <v>10.29</v>
      </c>
      <c r="G840" s="2" t="n">
        <v>10.29</v>
      </c>
      <c r="H840" s="2" t="b">
        <v>0</v>
      </c>
      <c r="I840" s="2" t="n">
        <v>250</v>
      </c>
      <c r="J840" s="2" t="n">
        <v>0.0412</v>
      </c>
      <c r="K840" s="2" t="inlineStr">
        <is>
          <t>&gt; Perfumería &gt; Cuidado Capilar &gt; Acondicionador &gt;</t>
        </is>
      </c>
      <c r="L840" s="2" t="inlineStr">
        <is>
          <t>acondicionador</t>
        </is>
      </c>
      <c r="M840" s="2" t="inlineStr">
        <is>
          <t>estandar</t>
        </is>
      </c>
      <c r="N840" s="2" t="inlineStr">
        <is>
          <t>general</t>
        </is>
      </c>
      <c r="O840" s="2" t="inlineStr">
        <is>
          <t>https://www.jumbo.com.ar/acondicionador-dove-7/p</t>
        </is>
      </c>
    </row>
    <row r="841">
      <c r="A841" t="inlineStr">
        <is>
          <t>Jumbo</t>
        </is>
      </c>
      <c r="B841" t="n">
        <v>19528</v>
      </c>
      <c r="C841" t="n">
        <v>16683</v>
      </c>
      <c r="D841" t="inlineStr">
        <is>
          <t>Acondicionador Tresemmé Acondicionador Tresemme Hidratación Profunda 400 Ml</t>
        </is>
      </c>
      <c r="E841" t="inlineStr">
        <is>
          <t>TRESEMMÉ</t>
        </is>
      </c>
      <c r="F841" t="n">
        <v>433.69</v>
      </c>
      <c r="G841" t="n">
        <v>35842</v>
      </c>
      <c r="H841" t="b">
        <v>0</v>
      </c>
      <c r="I841" t="n">
        <v>400</v>
      </c>
      <c r="J841" t="n">
        <v>1.0842</v>
      </c>
      <c r="K841" t="inlineStr">
        <is>
          <t>&gt; Perfumería &gt; Cuidado Capilar &gt; Acondicionador &gt;</t>
        </is>
      </c>
      <c r="L841" t="inlineStr">
        <is>
          <t>acondicionador</t>
        </is>
      </c>
      <c r="M841" t="inlineStr">
        <is>
          <t>estandar</t>
        </is>
      </c>
      <c r="N841" t="inlineStr">
        <is>
          <t>seco_danado</t>
        </is>
      </c>
      <c r="O841" t="inlineStr">
        <is>
          <t>https://www.jumbo.com.ar/acondicionador-tresemme-8/p</t>
        </is>
      </c>
    </row>
    <row r="842">
      <c r="A842" s="2" t="inlineStr">
        <is>
          <t>Jumbo</t>
        </is>
      </c>
      <c r="B842" s="2" t="n">
        <v>6047</v>
      </c>
      <c r="C842" s="2" t="n">
        <v>3433</v>
      </c>
      <c r="D842" s="2" t="inlineStr">
        <is>
          <t>Acondicionador Pantene Hidratación 750 Ml</t>
        </is>
      </c>
      <c r="E842" s="2" t="inlineStr">
        <is>
          <t>PANTENE</t>
        </is>
      </c>
      <c r="F842" s="2" t="n">
        <v>284.77</v>
      </c>
      <c r="G842" s="2" t="n">
        <v>23535</v>
      </c>
      <c r="H842" s="2" t="b">
        <v>0</v>
      </c>
      <c r="I842" s="2" t="n">
        <v>750</v>
      </c>
      <c r="J842" s="2" t="n">
        <v>0.3797</v>
      </c>
      <c r="K842" s="2" t="inlineStr">
        <is>
          <t>&gt; Perfumería &gt; Cuidado Capilar &gt; Acondicionador &gt;</t>
        </is>
      </c>
      <c r="L842" s="2" t="inlineStr">
        <is>
          <t>acondicionador</t>
        </is>
      </c>
      <c r="M842" s="2" t="inlineStr">
        <is>
          <t>estandar</t>
        </is>
      </c>
      <c r="N842" s="2" t="inlineStr">
        <is>
          <t>seco_danado</t>
        </is>
      </c>
      <c r="O842" s="2" t="inlineStr">
        <is>
          <t>https://www.jumbo.com.ar/acondicionador-pantene-4/p</t>
        </is>
      </c>
    </row>
    <row r="843">
      <c r="A843" t="inlineStr">
        <is>
          <t>Jumbo</t>
        </is>
      </c>
      <c r="B843" t="n">
        <v>127524</v>
      </c>
      <c r="C843" t="n">
        <v>110307</v>
      </c>
      <c r="D843" t="inlineStr">
        <is>
          <t>Acondicionador Comfort 900ml Acondicionador Comfort Con Siliconas 900 Ml</t>
        </is>
      </c>
      <c r="E843" t="inlineStr">
        <is>
          <t>COMFORT</t>
        </is>
      </c>
      <c r="F843" t="n">
        <v>8.869999999999999</v>
      </c>
      <c r="G843" t="n">
        <v>8.869999999999999</v>
      </c>
      <c r="H843" t="b">
        <v>0</v>
      </c>
      <c r="I843" t="n">
        <v>900</v>
      </c>
      <c r="J843" t="n">
        <v>0.009900000000000001</v>
      </c>
      <c r="K843" t="inlineStr">
        <is>
          <t>&gt; Limpieza &gt; Cuidado Para La Ropa &gt; Suavizantes &gt;</t>
        </is>
      </c>
      <c r="L843" t="inlineStr">
        <is>
          <t>acondicionador</t>
        </is>
      </c>
      <c r="M843" t="inlineStr">
        <is>
          <t>estandar</t>
        </is>
      </c>
      <c r="N843" t="inlineStr">
        <is>
          <t>general</t>
        </is>
      </c>
      <c r="O843" t="inlineStr">
        <is>
          <t>https://www.jumbo.com.ar/acondicionador-comfort-900ml-2/p</t>
        </is>
      </c>
    </row>
    <row r="844">
      <c r="A844" s="2" t="inlineStr">
        <is>
          <t>Jumbo</t>
        </is>
      </c>
      <c r="B844" s="2" t="n">
        <v>67452</v>
      </c>
      <c r="C844" s="2" t="n">
        <v>64591</v>
      </c>
      <c r="D844" s="2" t="inlineStr">
        <is>
          <t>Acondicionador Plusbelle Evolution</t>
        </is>
      </c>
      <c r="E844" s="2" t="inlineStr">
        <is>
          <t>PLUSBELLE EVOLUTION</t>
        </is>
      </c>
      <c r="F844" s="2" t="n">
        <v>6</v>
      </c>
      <c r="G844" s="2" t="n">
        <v>6</v>
      </c>
      <c r="H844" s="2" t="b">
        <v>0</v>
      </c>
      <c r="I844" s="2" t="inlineStr"/>
      <c r="J844" s="2" t="inlineStr"/>
      <c r="K844" s="2" t="inlineStr">
        <is>
          <t>&gt; Perfumería &gt; Cuidado Capilar &gt; Acondicionador &gt;</t>
        </is>
      </c>
      <c r="L844" s="2" t="inlineStr">
        <is>
          <t>acondicionador</t>
        </is>
      </c>
      <c r="M844" s="2" t="inlineStr">
        <is>
          <t>estandar</t>
        </is>
      </c>
      <c r="N844" s="2" t="inlineStr">
        <is>
          <t>general</t>
        </is>
      </c>
      <c r="O844" s="2" t="inlineStr">
        <is>
          <t>https://www.jumbo.com.ar/acondicionador-plusbelle-evolution-7/p</t>
        </is>
      </c>
    </row>
    <row r="845">
      <c r="A845" t="inlineStr">
        <is>
          <t>Jumbo</t>
        </is>
      </c>
      <c r="B845" t="n">
        <v>67448</v>
      </c>
      <c r="C845" t="n">
        <v>64587</v>
      </c>
      <c r="D845" t="inlineStr">
        <is>
          <t>Acondicionador Plusbelle Evolution</t>
        </is>
      </c>
      <c r="E845" t="inlineStr">
        <is>
          <t>PLUSBELLE EVOLUTION</t>
        </is>
      </c>
      <c r="F845" t="n">
        <v>6</v>
      </c>
      <c r="G845" t="n">
        <v>6</v>
      </c>
      <c r="H845" t="b">
        <v>0</v>
      </c>
      <c r="I845" t="inlineStr"/>
      <c r="J845" t="inlineStr"/>
      <c r="K845" t="inlineStr">
        <is>
          <t>&gt; Perfumería &gt; Cuidado Capilar &gt; Acondicionador &gt;</t>
        </is>
      </c>
      <c r="L845" t="inlineStr">
        <is>
          <t>acondicionador</t>
        </is>
      </c>
      <c r="M845" t="inlineStr">
        <is>
          <t>estandar</t>
        </is>
      </c>
      <c r="N845" t="inlineStr">
        <is>
          <t>general</t>
        </is>
      </c>
      <c r="O845" t="inlineStr">
        <is>
          <t>https://www.jumbo.com.ar/acondicionador-plusbelle-evolution-6/p</t>
        </is>
      </c>
    </row>
    <row r="846">
      <c r="A846" s="2" t="inlineStr">
        <is>
          <t>Jumbo</t>
        </is>
      </c>
      <c r="B846" s="2" t="n">
        <v>67415</v>
      </c>
      <c r="C846" s="2" t="n">
        <v>64553</v>
      </c>
      <c r="D846" s="2" t="inlineStr">
        <is>
          <t>Acondicionador Plusbelle Evolution</t>
        </is>
      </c>
      <c r="E846" s="2" t="inlineStr">
        <is>
          <t>PLUSBELLE EVOLUTION</t>
        </is>
      </c>
      <c r="F846" s="2" t="n">
        <v>6</v>
      </c>
      <c r="G846" s="2" t="n">
        <v>6</v>
      </c>
      <c r="H846" s="2" t="b">
        <v>0</v>
      </c>
      <c r="I846" s="2" t="inlineStr"/>
      <c r="J846" s="2" t="inlineStr"/>
      <c r="K846" s="2" t="inlineStr">
        <is>
          <t>&gt; Perfumería &gt; Cuidado Capilar &gt; Acondicionador &gt;</t>
        </is>
      </c>
      <c r="L846" s="2" t="inlineStr">
        <is>
          <t>acondicionador</t>
        </is>
      </c>
      <c r="M846" s="2" t="inlineStr">
        <is>
          <t>estandar</t>
        </is>
      </c>
      <c r="N846" s="2" t="inlineStr">
        <is>
          <t>general</t>
        </is>
      </c>
      <c r="O846" s="2" t="inlineStr">
        <is>
          <t>https://www.jumbo.com.ar/acondicionador-plusbelle-evolution-5/p</t>
        </is>
      </c>
    </row>
    <row r="847">
      <c r="A847" t="inlineStr">
        <is>
          <t>Jumbo</t>
        </is>
      </c>
      <c r="B847" t="n">
        <v>42993</v>
      </c>
      <c r="C847" t="n">
        <v>40164</v>
      </c>
      <c r="D847" t="inlineStr">
        <is>
          <t>Acondicionador Head&amp;shoulder Acondicionador Head &amp; Shoulders Humecta 400 Ml</t>
        </is>
      </c>
      <c r="E847" t="inlineStr">
        <is>
          <t>HEAD &amp; SHOULDERS</t>
        </is>
      </c>
      <c r="F847" t="n">
        <v>90.06999999999999</v>
      </c>
      <c r="G847" t="n">
        <v>7444</v>
      </c>
      <c r="H847" t="b">
        <v>0</v>
      </c>
      <c r="I847" t="n">
        <v>400</v>
      </c>
      <c r="J847" t="n">
        <v>0.2252</v>
      </c>
      <c r="K847" t="inlineStr">
        <is>
          <t>&gt; Perfumería &gt; Cuidado Capilar &gt; Acondicionador &gt;</t>
        </is>
      </c>
      <c r="L847" t="inlineStr">
        <is>
          <t>acondicionador</t>
        </is>
      </c>
      <c r="M847" t="inlineStr">
        <is>
          <t>estandar</t>
        </is>
      </c>
      <c r="N847" t="inlineStr">
        <is>
          <t>general</t>
        </is>
      </c>
      <c r="O847" t="inlineStr">
        <is>
          <t>https://www.jumbo.com.ar/acondicionador-head-shoulder-5-2/p</t>
        </is>
      </c>
    </row>
    <row r="848">
      <c r="A848" s="2" t="inlineStr">
        <is>
          <t>Jumbo</t>
        </is>
      </c>
      <c r="B848" s="2" t="n">
        <v>67728</v>
      </c>
      <c r="C848" s="2" t="n">
        <v>64865</v>
      </c>
      <c r="D848" s="2" t="inlineStr">
        <is>
          <t>Acondicionador V05 Cosmetico</t>
        </is>
      </c>
      <c r="E848" s="2" t="inlineStr">
        <is>
          <t>VO5</t>
        </is>
      </c>
      <c r="F848" s="2" t="n">
        <v>5.73</v>
      </c>
      <c r="G848" s="2" t="n">
        <v>5.73</v>
      </c>
      <c r="H848" s="2" t="b">
        <v>0</v>
      </c>
      <c r="I848" s="2" t="inlineStr"/>
      <c r="J848" s="2" t="inlineStr"/>
      <c r="K848" s="2" t="inlineStr">
        <is>
          <t>&gt; Perfumería &gt; Cuidado Capilar &gt; Acondicionador &gt;</t>
        </is>
      </c>
      <c r="L848" s="2" t="inlineStr">
        <is>
          <t>acondicionador</t>
        </is>
      </c>
      <c r="M848" s="2" t="inlineStr">
        <is>
          <t>estandar</t>
        </is>
      </c>
      <c r="N848" s="2" t="inlineStr">
        <is>
          <t>general</t>
        </is>
      </c>
      <c r="O848" s="2" t="inlineStr">
        <is>
          <t>https://www.jumbo.com.ar/acondicionador-v05-cosmetico-3/p</t>
        </is>
      </c>
    </row>
    <row r="849">
      <c r="A849" t="inlineStr">
        <is>
          <t>Jumbo</t>
        </is>
      </c>
      <c r="B849" t="n">
        <v>67727</v>
      </c>
      <c r="C849" t="n">
        <v>64866</v>
      </c>
      <c r="D849" t="inlineStr">
        <is>
          <t>Acondicionador Plusbelle Evolution</t>
        </is>
      </c>
      <c r="E849" t="inlineStr">
        <is>
          <t>PLUSBELLE EVOLUTION</t>
        </is>
      </c>
      <c r="F849" t="n">
        <v>6</v>
      </c>
      <c r="G849" t="n">
        <v>6</v>
      </c>
      <c r="H849" t="b">
        <v>0</v>
      </c>
      <c r="I849" t="inlineStr"/>
      <c r="J849" t="inlineStr"/>
      <c r="K849" t="inlineStr">
        <is>
          <t>&gt; Perfumería &gt; Cuidado Capilar &gt; Acondicionador &gt;</t>
        </is>
      </c>
      <c r="L849" t="inlineStr">
        <is>
          <t>acondicionador</t>
        </is>
      </c>
      <c r="M849" t="inlineStr">
        <is>
          <t>estandar</t>
        </is>
      </c>
      <c r="N849" t="inlineStr">
        <is>
          <t>general</t>
        </is>
      </c>
      <c r="O849" t="inlineStr">
        <is>
          <t>https://www.jumbo.com.ar/acondicionador-plusbelle-evolution-8/p</t>
        </is>
      </c>
    </row>
    <row r="850">
      <c r="A850" s="2" t="inlineStr">
        <is>
          <t>Jumbo</t>
        </is>
      </c>
      <c r="B850" s="2" t="n">
        <v>34919</v>
      </c>
      <c r="C850" s="2" t="n">
        <v>32078</v>
      </c>
      <c r="D850" s="2" t="inlineStr">
        <is>
          <t>Acondicionador Herbal Essences Hidradisíaco 300 Ml</t>
        </is>
      </c>
      <c r="E850" s="2" t="inlineStr">
        <is>
          <t>HERBAL ESSENCES</t>
        </is>
      </c>
      <c r="F850" s="2" t="n">
        <v>157.69</v>
      </c>
      <c r="G850" s="2" t="n">
        <v>13032</v>
      </c>
      <c r="H850" s="2" t="b">
        <v>0</v>
      </c>
      <c r="I850" s="2" t="n">
        <v>300</v>
      </c>
      <c r="J850" s="2" t="n">
        <v>0.5256</v>
      </c>
      <c r="K850" s="2" t="inlineStr">
        <is>
          <t>&gt; Perfumería &gt; Cuidado Capilar &gt; Acondicionador &gt;</t>
        </is>
      </c>
      <c r="L850" s="2" t="inlineStr">
        <is>
          <t>acondicionador</t>
        </is>
      </c>
      <c r="M850" s="2" t="inlineStr">
        <is>
          <t>estandar</t>
        </is>
      </c>
      <c r="N850" s="2" t="inlineStr">
        <is>
          <t>general</t>
        </is>
      </c>
      <c r="O850" s="2" t="inlineStr">
        <is>
          <t>https://www.jumbo.com.ar/acondicionador-herbal-essences-7-2/p</t>
        </is>
      </c>
    </row>
    <row r="851">
      <c r="A851" t="inlineStr">
        <is>
          <t>Jumbo</t>
        </is>
      </c>
      <c r="B851" t="n">
        <v>127035</v>
      </c>
      <c r="C851" t="n">
        <v>109823</v>
      </c>
      <c r="D851" t="inlineStr">
        <is>
          <t>Acondicionador Comfort 900ml Acondicionador Comfort Clasico Con Siliconas X 900 Ml</t>
        </is>
      </c>
      <c r="E851" t="inlineStr">
        <is>
          <t>COMFORT</t>
        </is>
      </c>
      <c r="F851" t="n">
        <v>7.19</v>
      </c>
      <c r="G851" t="n">
        <v>7.19</v>
      </c>
      <c r="H851" t="b">
        <v>0</v>
      </c>
      <c r="I851" t="n">
        <v>900</v>
      </c>
      <c r="J851" t="n">
        <v>0.008</v>
      </c>
      <c r="K851" t="inlineStr">
        <is>
          <t>&gt; Limpieza &gt; Cuidado Para La Ropa &gt; Suavizantes &gt;</t>
        </is>
      </c>
      <c r="L851" t="inlineStr">
        <is>
          <t>acondicionador</t>
        </is>
      </c>
      <c r="M851" t="inlineStr">
        <is>
          <t>estandar</t>
        </is>
      </c>
      <c r="N851" t="inlineStr">
        <is>
          <t>general</t>
        </is>
      </c>
      <c r="O851" t="inlineStr">
        <is>
          <t>https://www.jumbo.com.ar/acondicionador-comfort-900ml/p</t>
        </is>
      </c>
    </row>
    <row r="852">
      <c r="A852" s="2" t="inlineStr">
        <is>
          <t>Jumbo</t>
        </is>
      </c>
      <c r="B852" s="2" t="n">
        <v>122170</v>
      </c>
      <c r="C852" s="2" t="n">
        <v>121189</v>
      </c>
      <c r="D852" s="2" t="inlineStr">
        <is>
          <t>Acondicionador Capilatisx420ml Puro Rojo  Pvc X 420 Ml.</t>
        </is>
      </c>
      <c r="E852" s="2" t="inlineStr">
        <is>
          <t>CAPILATIS</t>
        </is>
      </c>
      <c r="F852" s="2" t="n">
        <v>11.34</v>
      </c>
      <c r="G852" s="2" t="n">
        <v>11.34</v>
      </c>
      <c r="H852" s="2" t="b">
        <v>0</v>
      </c>
      <c r="I852" s="2" t="n">
        <v>420</v>
      </c>
      <c r="J852" s="2" t="n">
        <v>0.027</v>
      </c>
      <c r="K852" s="2" t="inlineStr">
        <is>
          <t>&gt; Perfumería &gt; Cuidado Capilar &gt; Acondicionador &gt;</t>
        </is>
      </c>
      <c r="L852" s="2" t="inlineStr">
        <is>
          <t>acondicionador</t>
        </is>
      </c>
      <c r="M852" s="2" t="inlineStr">
        <is>
          <t>estandar</t>
        </is>
      </c>
      <c r="N852" s="2" t="inlineStr">
        <is>
          <t>general</t>
        </is>
      </c>
      <c r="O852" s="2" t="inlineStr">
        <is>
          <t>https://www.jumbo.com.ar/acondicionador-capilatisx420ml/p</t>
        </is>
      </c>
    </row>
    <row r="853">
      <c r="A853" t="inlineStr">
        <is>
          <t>Jumbo</t>
        </is>
      </c>
      <c r="B853" t="n">
        <v>67726</v>
      </c>
      <c r="C853" t="n">
        <v>64864</v>
      </c>
      <c r="D853" t="inlineStr">
        <is>
          <t>Acondicionador V05 Cosmetico</t>
        </is>
      </c>
      <c r="E853" t="inlineStr">
        <is>
          <t>VO5</t>
        </is>
      </c>
      <c r="F853" t="n">
        <v>6.15</v>
      </c>
      <c r="G853" t="n">
        <v>508</v>
      </c>
      <c r="H853" t="b">
        <v>0</v>
      </c>
      <c r="I853" t="inlineStr"/>
      <c r="J853" t="inlineStr"/>
      <c r="K853" t="inlineStr">
        <is>
          <t>&gt; Perfumería &gt; Cuidado Capilar &gt; Acondicionador &gt;</t>
        </is>
      </c>
      <c r="L853" t="inlineStr">
        <is>
          <t>acondicionador</t>
        </is>
      </c>
      <c r="M853" t="inlineStr">
        <is>
          <t>estandar</t>
        </is>
      </c>
      <c r="N853" t="inlineStr">
        <is>
          <t>general</t>
        </is>
      </c>
      <c r="O853" t="inlineStr">
        <is>
          <t>https://www.jumbo.com.ar/acondicionador-v05-cosmetico-2/p</t>
        </is>
      </c>
    </row>
    <row r="854">
      <c r="A854" s="2" t="inlineStr">
        <is>
          <t>Jumbo</t>
        </is>
      </c>
      <c r="B854" s="2" t="n">
        <v>67411</v>
      </c>
      <c r="C854" s="2" t="n">
        <v>64550</v>
      </c>
      <c r="D854" s="2" t="inlineStr">
        <is>
          <t>Acondicionador Plusbelle Evolution</t>
        </is>
      </c>
      <c r="E854" s="2" t="inlineStr">
        <is>
          <t>PLUSBELLE EVOLUTION</t>
        </is>
      </c>
      <c r="F854" s="2" t="n">
        <v>5.05</v>
      </c>
      <c r="G854" s="2" t="n">
        <v>417</v>
      </c>
      <c r="H854" s="2" t="b">
        <v>0</v>
      </c>
      <c r="I854" s="2" t="inlineStr"/>
      <c r="J854" s="2" t="inlineStr"/>
      <c r="K854" s="2" t="inlineStr">
        <is>
          <t>&gt; Perfumería &gt; Cuidado Capilar &gt; Acondicionador &gt;</t>
        </is>
      </c>
      <c r="L854" s="2" t="inlineStr">
        <is>
          <t>acondicionador</t>
        </is>
      </c>
      <c r="M854" s="2" t="inlineStr">
        <is>
          <t>estandar</t>
        </is>
      </c>
      <c r="N854" s="2" t="inlineStr">
        <is>
          <t>general</t>
        </is>
      </c>
      <c r="O854" s="2" t="inlineStr">
        <is>
          <t>https://www.jumbo.com.ar/acondicionador-plusbelle-evolution-4/p</t>
        </is>
      </c>
    </row>
    <row r="855">
      <c r="A855" t="inlineStr">
        <is>
          <t>Jumbo</t>
        </is>
      </c>
      <c r="B855" t="n">
        <v>34510</v>
      </c>
      <c r="C855" t="n">
        <v>31669</v>
      </c>
      <c r="D855" t="inlineStr">
        <is>
          <t>Acondicionador Herbal Essences Alborótalos 300 Ml</t>
        </is>
      </c>
      <c r="E855" t="inlineStr">
        <is>
          <t>HERBAL ESSENCES</t>
        </is>
      </c>
      <c r="F855" t="n">
        <v>157.69</v>
      </c>
      <c r="G855" t="n">
        <v>13032</v>
      </c>
      <c r="H855" t="b">
        <v>0</v>
      </c>
      <c r="I855" t="n">
        <v>300</v>
      </c>
      <c r="J855" t="n">
        <v>0.5256</v>
      </c>
      <c r="K855" t="inlineStr">
        <is>
          <t>&gt; Perfumería &gt; Cuidado Capilar &gt; Acondicionador &gt;</t>
        </is>
      </c>
      <c r="L855" t="inlineStr">
        <is>
          <t>acondicionador</t>
        </is>
      </c>
      <c r="M855" t="inlineStr">
        <is>
          <t>estandar</t>
        </is>
      </c>
      <c r="N855" t="inlineStr">
        <is>
          <t>general</t>
        </is>
      </c>
      <c r="O855" t="inlineStr">
        <is>
          <t>https://www.jumbo.com.ar/acondicionador-herbal-essences-7/p</t>
        </is>
      </c>
    </row>
    <row r="856">
      <c r="A856" s="2" t="inlineStr">
        <is>
          <t>Jumbo</t>
        </is>
      </c>
      <c r="B856" s="2" t="n">
        <v>1361144</v>
      </c>
      <c r="C856" s="2" t="n">
        <v>1360549</v>
      </c>
      <c r="D856" s="2" t="inlineStr">
        <is>
          <t>Acondicionador Pantene Keratin 400ml</t>
        </is>
      </c>
      <c r="E856" s="2" t="inlineStr">
        <is>
          <t>PANTENE</t>
        </is>
      </c>
      <c r="F856" s="2" t="n">
        <v>10000</v>
      </c>
      <c r="G856" s="2" t="n">
        <v>826446</v>
      </c>
      <c r="H856" s="2" t="b">
        <v>0</v>
      </c>
      <c r="I856" s="2" t="n">
        <v>400</v>
      </c>
      <c r="J856" s="2" t="n">
        <v>25</v>
      </c>
      <c r="K856" s="2" t="inlineStr">
        <is>
          <t>&gt; Perfumería &gt; Cuidado Capilar &gt; Acondicionador &gt;</t>
        </is>
      </c>
      <c r="L856" s="2" t="inlineStr">
        <is>
          <t>acondicionador</t>
        </is>
      </c>
      <c r="M856" s="2" t="inlineStr">
        <is>
          <t>estandar</t>
        </is>
      </c>
      <c r="N856" s="2" t="inlineStr">
        <is>
          <t>general</t>
        </is>
      </c>
      <c r="O856" s="2" t="inlineStr">
        <is>
          <t>https://www.jumbo.com.ar/acondicionador-pantene-keratin-400ml/p</t>
        </is>
      </c>
    </row>
    <row r="857">
      <c r="A857" t="inlineStr">
        <is>
          <t>Jumbo</t>
        </is>
      </c>
      <c r="B857" t="n">
        <v>394685</v>
      </c>
      <c r="C857" t="n">
        <v>392684</v>
      </c>
      <c r="D857" t="inlineStr">
        <is>
          <t>Acondicionador Ogx Biotin 385ml</t>
        </is>
      </c>
      <c r="E857" t="inlineStr">
        <is>
          <t>OGX</t>
        </is>
      </c>
      <c r="F857" t="n">
        <v>9896.09</v>
      </c>
      <c r="G857" t="n">
        <v>817859</v>
      </c>
      <c r="H857" t="b">
        <v>0</v>
      </c>
      <c r="I857" t="n">
        <v>385</v>
      </c>
      <c r="J857" t="n">
        <v>25.7041</v>
      </c>
      <c r="K857" t="inlineStr">
        <is>
          <t>&gt; Perfumería &gt; Cuidado Capilar &gt; Acondicionador &gt;</t>
        </is>
      </c>
      <c r="L857" t="inlineStr">
        <is>
          <t>acondicionador</t>
        </is>
      </c>
      <c r="M857" t="inlineStr">
        <is>
          <t>estandar</t>
        </is>
      </c>
      <c r="N857" t="inlineStr">
        <is>
          <t>general</t>
        </is>
      </c>
      <c r="O857" t="inlineStr">
        <is>
          <t>https://www.jumbo.com.ar/acondicionador-ogx-biotin-385ml/p</t>
        </is>
      </c>
    </row>
    <row r="858">
      <c r="A858" s="2" t="inlineStr">
        <is>
          <t>Jumbo</t>
        </is>
      </c>
      <c r="B858" s="2" t="n">
        <v>375613</v>
      </c>
      <c r="C858" s="2" t="n">
        <v>374331</v>
      </c>
      <c r="D858" s="2" t="inlineStr">
        <is>
          <t>Acondicionador Suave Antifrizz 930ml</t>
        </is>
      </c>
      <c r="E858" s="2" t="inlineStr">
        <is>
          <t>SUAVE</t>
        </is>
      </c>
      <c r="F858" s="2" t="n">
        <v>750</v>
      </c>
      <c r="G858" s="2" t="n">
        <v>61983</v>
      </c>
      <c r="H858" s="2" t="b">
        <v>0</v>
      </c>
      <c r="I858" s="2" t="n">
        <v>930</v>
      </c>
      <c r="J858" s="2" t="n">
        <v>0.8065</v>
      </c>
      <c r="K858" s="2" t="inlineStr">
        <is>
          <t>&gt; Perfumería &gt; Cuidado Capilar &gt; Acondicionador &gt;</t>
        </is>
      </c>
      <c r="L858" s="2" t="inlineStr">
        <is>
          <t>acondicionador</t>
        </is>
      </c>
      <c r="M858" s="2" t="inlineStr">
        <is>
          <t>estandar</t>
        </is>
      </c>
      <c r="N858" s="2" t="inlineStr">
        <is>
          <t>bebe</t>
        </is>
      </c>
      <c r="O858" s="2" t="inlineStr">
        <is>
          <t>https://www.jumbo.com.ar/acondicionador-suave-antifrizz-930ml/p</t>
        </is>
      </c>
    </row>
    <row r="859">
      <c r="A859" t="inlineStr">
        <is>
          <t>Jumbo</t>
        </is>
      </c>
      <c r="B859" t="n">
        <v>375605</v>
      </c>
      <c r="C859" t="n">
        <v>374323</v>
      </c>
      <c r="D859" t="inlineStr">
        <is>
          <t>Acondicionador Suave Manzana 930ml</t>
        </is>
      </c>
      <c r="E859" t="inlineStr">
        <is>
          <t>SUAVE</t>
        </is>
      </c>
      <c r="F859" t="n">
        <v>692.53</v>
      </c>
      <c r="G859" t="n">
        <v>57234</v>
      </c>
      <c r="H859" t="b">
        <v>0</v>
      </c>
      <c r="I859" t="n">
        <v>930</v>
      </c>
      <c r="J859" t="n">
        <v>0.7447</v>
      </c>
      <c r="K859" t="inlineStr">
        <is>
          <t>&gt; Perfumería &gt; Cuidado Capilar &gt; Acondicionador &gt;</t>
        </is>
      </c>
      <c r="L859" t="inlineStr">
        <is>
          <t>acondicionador</t>
        </is>
      </c>
      <c r="M859" t="inlineStr">
        <is>
          <t>estandar</t>
        </is>
      </c>
      <c r="N859" t="inlineStr">
        <is>
          <t>bebe</t>
        </is>
      </c>
      <c r="O859" t="inlineStr">
        <is>
          <t>https://www.jumbo.com.ar/acondicionador-suave-manzana-930ml/p</t>
        </is>
      </c>
    </row>
    <row r="860">
      <c r="A860" s="2" t="inlineStr">
        <is>
          <t>Jumbo</t>
        </is>
      </c>
      <c r="B860" s="2" t="n">
        <v>350046</v>
      </c>
      <c r="C860" s="2" t="n">
        <v>348706</v>
      </c>
      <c r="D860" s="2" t="inlineStr">
        <is>
          <t>Acondicionador Plusbelle Reconexion 1000ml</t>
        </is>
      </c>
      <c r="E860" s="2" t="inlineStr">
        <is>
          <t>PLUSBELLE</t>
        </is>
      </c>
      <c r="F860" s="2" t="n">
        <v>450</v>
      </c>
      <c r="G860" s="2" t="n">
        <v>37190</v>
      </c>
      <c r="H860" s="2" t="b">
        <v>0</v>
      </c>
      <c r="I860" s="2" t="n">
        <v>1000</v>
      </c>
      <c r="J860" s="2" t="n">
        <v>0.45</v>
      </c>
      <c r="K860" s="2" t="inlineStr">
        <is>
          <t>&gt; Perfumería &gt; Cuidado Capilar &gt; Acondicionador &gt;</t>
        </is>
      </c>
      <c r="L860" s="2" t="inlineStr">
        <is>
          <t>acondicionador</t>
        </is>
      </c>
      <c r="M860" s="2" t="inlineStr">
        <is>
          <t>estandar</t>
        </is>
      </c>
      <c r="N860" s="2" t="inlineStr">
        <is>
          <t>general</t>
        </is>
      </c>
      <c r="O860" s="2" t="inlineStr">
        <is>
          <t>https://www.jumbo.com.ar/acondicionador-plusbelle-reconexion-1000ml-2/p</t>
        </is>
      </c>
    </row>
    <row r="861">
      <c r="A861" t="inlineStr">
        <is>
          <t>Jumbo</t>
        </is>
      </c>
      <c r="B861" t="n">
        <v>339232</v>
      </c>
      <c r="C861" t="n">
        <v>337917</v>
      </c>
      <c r="D861" t="inlineStr">
        <is>
          <t>Acondicionador Botikpuro Rosa Mosqueta</t>
        </is>
      </c>
      <c r="E861" t="inlineStr">
        <is>
          <t>BOTIK PURO</t>
        </is>
      </c>
      <c r="F861" t="n">
        <v>7850</v>
      </c>
      <c r="G861" t="n">
        <v>648760</v>
      </c>
      <c r="H861" t="b">
        <v>0</v>
      </c>
      <c r="I861" t="inlineStr"/>
      <c r="J861" t="inlineStr"/>
      <c r="K861" t="inlineStr">
        <is>
          <t>&gt; Perfumería &gt; Cuidado Capilar &gt; Acondicionador &gt;</t>
        </is>
      </c>
      <c r="L861" t="inlineStr">
        <is>
          <t>acondicionador</t>
        </is>
      </c>
      <c r="M861" t="inlineStr">
        <is>
          <t>estandar</t>
        </is>
      </c>
      <c r="N861" t="inlineStr">
        <is>
          <t>general</t>
        </is>
      </c>
      <c r="O861" t="inlineStr">
        <is>
          <t>https://www.jumbo.com.ar/acondicionador-botikpuro-rosa-mosqueta-2/p</t>
        </is>
      </c>
    </row>
    <row r="862">
      <c r="A862" s="2" t="inlineStr">
        <is>
          <t>Jumbo</t>
        </is>
      </c>
      <c r="B862" s="2" t="n">
        <v>338983</v>
      </c>
      <c r="C862" s="2" t="n">
        <v>316516</v>
      </c>
      <c r="D862" s="2" t="inlineStr">
        <is>
          <t>Acondicionador Suave Suavidad Cuidado 930 Ml</t>
        </is>
      </c>
      <c r="E862" s="2" t="inlineStr">
        <is>
          <t>SUAVE</t>
        </is>
      </c>
      <c r="F862" s="2" t="n">
        <v>178.37</v>
      </c>
      <c r="G862" s="2" t="n">
        <v>14741</v>
      </c>
      <c r="H862" s="2" t="b">
        <v>0</v>
      </c>
      <c r="I862" s="2" t="n">
        <v>930</v>
      </c>
      <c r="J862" s="2" t="n">
        <v>0.1918</v>
      </c>
      <c r="K862" s="2" t="inlineStr">
        <is>
          <t>&gt; Perfumería &gt; Cuidado Capilar &gt; Acondicionador &gt;</t>
        </is>
      </c>
      <c r="L862" s="2" t="inlineStr">
        <is>
          <t>acondicionador</t>
        </is>
      </c>
      <c r="M862" s="2" t="inlineStr">
        <is>
          <t>estandar</t>
        </is>
      </c>
      <c r="N862" s="2" t="inlineStr">
        <is>
          <t>bebe</t>
        </is>
      </c>
      <c r="O862" s="2" t="inlineStr">
        <is>
          <t>https://www.jumbo.com.ar/acondicionador-suave-suavidad-cuidado/p</t>
        </is>
      </c>
    </row>
    <row r="863">
      <c r="A863" t="inlineStr">
        <is>
          <t>Jumbo</t>
        </is>
      </c>
      <c r="B863" t="n">
        <v>338981</v>
      </c>
      <c r="C863" t="n">
        <v>316514</v>
      </c>
      <c r="D863" t="inlineStr">
        <is>
          <t>Acondicionador Suave Manzanilla 930ml Acondicionador Suave Manzanilla Rubios 930 Ml</t>
        </is>
      </c>
      <c r="E863" t="inlineStr">
        <is>
          <t>SUAVE</t>
        </is>
      </c>
      <c r="F863" t="n">
        <v>322.89</v>
      </c>
      <c r="G863" t="n">
        <v>26685</v>
      </c>
      <c r="H863" t="b">
        <v>0</v>
      </c>
      <c r="I863" t="n">
        <v>930</v>
      </c>
      <c r="J863" t="n">
        <v>0.3472</v>
      </c>
      <c r="K863" t="inlineStr">
        <is>
          <t>&gt; Perfumería &gt; Cuidado Capilar &gt; Acondicionador &gt;</t>
        </is>
      </c>
      <c r="L863" t="inlineStr">
        <is>
          <t>acondicionador</t>
        </is>
      </c>
      <c r="M863" t="inlineStr">
        <is>
          <t>estandar</t>
        </is>
      </c>
      <c r="N863" t="inlineStr">
        <is>
          <t>bebe</t>
        </is>
      </c>
      <c r="O863" t="inlineStr">
        <is>
          <t>https://www.jumbo.com.ar/acondicionador-suave-manzanilla-930ml/p</t>
        </is>
      </c>
    </row>
    <row r="864">
      <c r="A864" s="2" t="inlineStr">
        <is>
          <t>Jumbo</t>
        </is>
      </c>
      <c r="B864" s="2" t="n">
        <v>337414</v>
      </c>
      <c r="C864" s="2" t="n">
        <v>336517</v>
      </c>
      <c r="D864" s="2" t="inlineStr">
        <is>
          <t>Acondicionador Dove Nutricion 750ml</t>
        </is>
      </c>
      <c r="E864" s="2" t="inlineStr">
        <is>
          <t>DOVE</t>
        </is>
      </c>
      <c r="F864" s="2" t="n">
        <v>1350</v>
      </c>
      <c r="G864" s="2" t="n">
        <v>111570</v>
      </c>
      <c r="H864" s="2" t="b">
        <v>0</v>
      </c>
      <c r="I864" s="2" t="n">
        <v>750</v>
      </c>
      <c r="J864" s="2" t="n">
        <v>1.8</v>
      </c>
      <c r="K864" s="2" t="inlineStr">
        <is>
          <t>&gt; Perfumería &gt; Cuidado Capilar &gt; Acondicionador &gt;</t>
        </is>
      </c>
      <c r="L864" s="2" t="inlineStr">
        <is>
          <t>acondicionador</t>
        </is>
      </c>
      <c r="M864" s="2" t="inlineStr">
        <is>
          <t>estandar</t>
        </is>
      </c>
      <c r="N864" s="2" t="inlineStr">
        <is>
          <t>general</t>
        </is>
      </c>
      <c r="O864" s="2" t="inlineStr">
        <is>
          <t>https://www.jumbo.com.ar/acondicionador-dove-nutricion-750ml-2/p</t>
        </is>
      </c>
    </row>
    <row r="865">
      <c r="A865" t="inlineStr">
        <is>
          <t>Jumbo</t>
        </is>
      </c>
      <c r="B865" t="n">
        <v>337410</v>
      </c>
      <c r="C865" t="n">
        <v>336513</v>
      </c>
      <c r="D865" t="inlineStr">
        <is>
          <t>Acondicionador Dove Reconstruccion 400ml</t>
        </is>
      </c>
      <c r="E865" t="inlineStr">
        <is>
          <t>DOVE</t>
        </is>
      </c>
      <c r="F865" t="n">
        <v>6400</v>
      </c>
      <c r="G865" t="n">
        <v>528926</v>
      </c>
      <c r="H865" t="b">
        <v>0</v>
      </c>
      <c r="I865" t="n">
        <v>400</v>
      </c>
      <c r="J865" t="n">
        <v>16</v>
      </c>
      <c r="K865" t="inlineStr">
        <is>
          <t>&gt; Perfumería &gt; Cuidado Capilar &gt; Acondicionador &gt;</t>
        </is>
      </c>
      <c r="L865" t="inlineStr">
        <is>
          <t>acondicionador</t>
        </is>
      </c>
      <c r="M865" t="inlineStr">
        <is>
          <t>estandar</t>
        </is>
      </c>
      <c r="N865" t="inlineStr">
        <is>
          <t>general</t>
        </is>
      </c>
      <c r="O865" t="inlineStr">
        <is>
          <t>https://www.jumbo.com.ar/acondicionador-dove-reconstruccion-400ml-2/p</t>
        </is>
      </c>
    </row>
    <row r="866">
      <c r="A866" s="2" t="inlineStr">
        <is>
          <t>Jumbo</t>
        </is>
      </c>
      <c r="B866" s="2" t="n">
        <v>337409</v>
      </c>
      <c r="C866" s="2" t="n">
        <v>336512</v>
      </c>
      <c r="D866" s="2" t="inlineStr">
        <is>
          <t>Acondicionador Dove Regeneracion 200ml</t>
        </is>
      </c>
      <c r="E866" s="2" t="inlineStr">
        <is>
          <t>DOVE</t>
        </is>
      </c>
      <c r="F866" s="2" t="n">
        <v>398.39</v>
      </c>
      <c r="G866" s="2" t="n">
        <v>32925</v>
      </c>
      <c r="H866" s="2" t="b">
        <v>0</v>
      </c>
      <c r="I866" s="2" t="n">
        <v>200</v>
      </c>
      <c r="J866" s="2" t="n">
        <v>1.9919</v>
      </c>
      <c r="K866" s="2" t="inlineStr">
        <is>
          <t>&gt; Perfumería &gt; Cuidado Capilar &gt; Acondicionador &gt;</t>
        </is>
      </c>
      <c r="L866" s="2" t="inlineStr">
        <is>
          <t>acondicionador</t>
        </is>
      </c>
      <c r="M866" s="2" t="inlineStr">
        <is>
          <t>estandar</t>
        </is>
      </c>
      <c r="N866" s="2" t="inlineStr">
        <is>
          <t>general</t>
        </is>
      </c>
      <c r="O866" s="2" t="inlineStr">
        <is>
          <t>https://www.jumbo.com.ar/acondicionador-dove-regeneracion-200ml-2/p</t>
        </is>
      </c>
    </row>
    <row r="867">
      <c r="A867" t="inlineStr">
        <is>
          <t>Jumbo</t>
        </is>
      </c>
      <c r="B867" t="n">
        <v>336805</v>
      </c>
      <c r="C867" t="n">
        <v>335907</v>
      </c>
      <c r="D867" t="inlineStr">
        <is>
          <t>Acondicionador Sedal Antifrizz 340ml</t>
        </is>
      </c>
      <c r="E867" t="inlineStr">
        <is>
          <t>SEDAL</t>
        </is>
      </c>
      <c r="F867" t="n">
        <v>286.27</v>
      </c>
      <c r="G867" t="n">
        <v>23659</v>
      </c>
      <c r="H867" t="b">
        <v>0</v>
      </c>
      <c r="I867" t="n">
        <v>340</v>
      </c>
      <c r="J867" t="n">
        <v>0.842</v>
      </c>
      <c r="K867" t="inlineStr">
        <is>
          <t>&gt; Perfumería &gt; Cuidado Capilar &gt; Acondicionador &gt;</t>
        </is>
      </c>
      <c r="L867" t="inlineStr">
        <is>
          <t>acondicionador</t>
        </is>
      </c>
      <c r="M867" t="inlineStr">
        <is>
          <t>estandar</t>
        </is>
      </c>
      <c r="N867" t="inlineStr">
        <is>
          <t>general</t>
        </is>
      </c>
      <c r="O867" t="inlineStr">
        <is>
          <t>https://www.jumbo.com.ar/acondicionador-sedal-antifrizz-340ml/p</t>
        </is>
      </c>
    </row>
    <row r="868">
      <c r="A868" s="2" t="inlineStr">
        <is>
          <t>Jumbo</t>
        </is>
      </c>
      <c r="B868" s="2" t="n">
        <v>336046</v>
      </c>
      <c r="C868" s="2" t="n">
        <v>335155</v>
      </c>
      <c r="D868" s="2" t="inlineStr">
        <is>
          <t>Acondicionador Sedal Coco 650ml</t>
        </is>
      </c>
      <c r="E868" s="2" t="inlineStr">
        <is>
          <t>SEDAL</t>
        </is>
      </c>
      <c r="F868" s="2" t="n">
        <v>457.87</v>
      </c>
      <c r="G868" s="2" t="n">
        <v>37841</v>
      </c>
      <c r="H868" s="2" t="b">
        <v>0</v>
      </c>
      <c r="I868" s="2" t="n">
        <v>650</v>
      </c>
      <c r="J868" s="2" t="n">
        <v>0.7044</v>
      </c>
      <c r="K868" s="2" t="inlineStr">
        <is>
          <t>&gt; Perfumería &gt; Cuidado Capilar &gt; Acondicionador &gt;</t>
        </is>
      </c>
      <c r="L868" s="2" t="inlineStr">
        <is>
          <t>acondicionador</t>
        </is>
      </c>
      <c r="M868" s="2" t="inlineStr">
        <is>
          <t>estandar</t>
        </is>
      </c>
      <c r="N868" s="2" t="inlineStr">
        <is>
          <t>general</t>
        </is>
      </c>
      <c r="O868" s="2" t="inlineStr">
        <is>
          <t>https://www.jumbo.com.ar/acondicionador-sedal-coco-650ml/p</t>
        </is>
      </c>
    </row>
    <row r="869">
      <c r="A869" t="inlineStr">
        <is>
          <t>Jumbo</t>
        </is>
      </c>
      <c r="B869" t="n">
        <v>332174</v>
      </c>
      <c r="C869" t="n">
        <v>331332</v>
      </c>
      <c r="D869" t="inlineStr">
        <is>
          <t>Acondicionador Plusbelle Nutricion 1lt</t>
        </is>
      </c>
      <c r="E869" t="inlineStr">
        <is>
          <t>PLUSBELLE</t>
        </is>
      </c>
      <c r="F869" t="n">
        <v>454.55</v>
      </c>
      <c r="G869" t="n">
        <v>37566</v>
      </c>
      <c r="H869" t="b">
        <v>0</v>
      </c>
      <c r="I869" t="inlineStr"/>
      <c r="J869" t="inlineStr"/>
      <c r="K869" t="inlineStr">
        <is>
          <t>&gt; Perfumería &gt; Cuidado Capilar &gt; Acondicionador &gt;</t>
        </is>
      </c>
      <c r="L869" t="inlineStr">
        <is>
          <t>acondicionador</t>
        </is>
      </c>
      <c r="M869" t="inlineStr">
        <is>
          <t>estandar</t>
        </is>
      </c>
      <c r="N869" t="inlineStr">
        <is>
          <t>general</t>
        </is>
      </c>
      <c r="O869" t="inlineStr">
        <is>
          <t>https://www.jumbo.com.ar/acondicionador-plusbelle-nutricion-1lt/p</t>
        </is>
      </c>
    </row>
    <row r="870">
      <c r="A870" s="2" t="inlineStr">
        <is>
          <t>Jumbo</t>
        </is>
      </c>
      <c r="B870" s="2" t="n">
        <v>332163</v>
      </c>
      <c r="C870" s="2" t="n">
        <v>331321</v>
      </c>
      <c r="D870" s="2" t="inlineStr">
        <is>
          <t>Acondicionador Plusbelle Frizz 970ml</t>
        </is>
      </c>
      <c r="E870" s="2" t="inlineStr">
        <is>
          <t>PLUSBELLE</t>
        </is>
      </c>
      <c r="F870" s="2" t="n">
        <v>545.47</v>
      </c>
      <c r="G870" s="2" t="n">
        <v>45080</v>
      </c>
      <c r="H870" s="2" t="b">
        <v>0</v>
      </c>
      <c r="I870" s="2" t="n">
        <v>970</v>
      </c>
      <c r="J870" s="2" t="n">
        <v>0.5623</v>
      </c>
      <c r="K870" s="2" t="inlineStr">
        <is>
          <t>&gt; Perfumería &gt; Cuidado Capilar &gt; Acondicionador &gt;</t>
        </is>
      </c>
      <c r="L870" s="2" t="inlineStr">
        <is>
          <t>acondicionador</t>
        </is>
      </c>
      <c r="M870" s="2" t="inlineStr">
        <is>
          <t>estandar</t>
        </is>
      </c>
      <c r="N870" s="2" t="inlineStr">
        <is>
          <t>general</t>
        </is>
      </c>
      <c r="O870" s="2" t="inlineStr">
        <is>
          <t>https://www.jumbo.com.ar/acondicionador-plusbelle-frizz-970ml/p</t>
        </is>
      </c>
    </row>
    <row r="871">
      <c r="A871" t="inlineStr">
        <is>
          <t>Jumbo</t>
        </is>
      </c>
      <c r="B871" t="n">
        <v>332161</v>
      </c>
      <c r="C871" t="n">
        <v>331319</v>
      </c>
      <c r="D871" t="inlineStr">
        <is>
          <t>Acondicionador Plusbelle Restructu 970ml</t>
        </is>
      </c>
      <c r="E871" t="inlineStr">
        <is>
          <t>PLUSBELLE</t>
        </is>
      </c>
      <c r="F871" t="n">
        <v>545.47</v>
      </c>
      <c r="G871" t="n">
        <v>45080</v>
      </c>
      <c r="H871" t="b">
        <v>0</v>
      </c>
      <c r="I871" t="n">
        <v>970</v>
      </c>
      <c r="J871" t="n">
        <v>0.5623</v>
      </c>
      <c r="K871" t="inlineStr">
        <is>
          <t>&gt; Perfumería &gt; Cuidado Capilar &gt; Acondicionador &gt;</t>
        </is>
      </c>
      <c r="L871" t="inlineStr">
        <is>
          <t>acondicionador</t>
        </is>
      </c>
      <c r="M871" t="inlineStr">
        <is>
          <t>estandar</t>
        </is>
      </c>
      <c r="N871" t="inlineStr">
        <is>
          <t>general</t>
        </is>
      </c>
      <c r="O871" t="inlineStr">
        <is>
          <t>https://www.jumbo.com.ar/acondicionador-plusbelle-restructu-970ml/p</t>
        </is>
      </c>
    </row>
    <row r="872">
      <c r="A872" s="2" t="inlineStr">
        <is>
          <t>Jumbo</t>
        </is>
      </c>
      <c r="B872" s="2" t="n">
        <v>331450</v>
      </c>
      <c r="C872" s="2" t="n">
        <v>330622</v>
      </c>
      <c r="D872" s="2" t="inlineStr">
        <is>
          <t>Acondicionador Fructis Goodbye 650ml</t>
        </is>
      </c>
      <c r="E872" s="2" t="inlineStr">
        <is>
          <t>FRUCTIS</t>
        </is>
      </c>
      <c r="F872" s="2" t="n">
        <v>743.79</v>
      </c>
      <c r="G872" s="2" t="n">
        <v>61470</v>
      </c>
      <c r="H872" s="2" t="b">
        <v>0</v>
      </c>
      <c r="I872" s="2" t="n">
        <v>650</v>
      </c>
      <c r="J872" s="2" t="n">
        <v>1.1443</v>
      </c>
      <c r="K872" s="2" t="inlineStr">
        <is>
          <t>&gt; Perfumería &gt; Cuidado Capilar &gt; Acondicionador &gt;</t>
        </is>
      </c>
      <c r="L872" s="2" t="inlineStr">
        <is>
          <t>acondicionador</t>
        </is>
      </c>
      <c r="M872" s="2" t="inlineStr">
        <is>
          <t>estandar</t>
        </is>
      </c>
      <c r="N872" s="2" t="inlineStr">
        <is>
          <t>general</t>
        </is>
      </c>
      <c r="O872" s="2" t="inlineStr">
        <is>
          <t>https://www.jumbo.com.ar/acondicionador-fructis-goodbye-650ml/p</t>
        </is>
      </c>
    </row>
    <row r="873">
      <c r="A873" t="inlineStr">
        <is>
          <t>Jumbo</t>
        </is>
      </c>
      <c r="B873" t="n">
        <v>331204</v>
      </c>
      <c r="C873" t="n">
        <v>330376</v>
      </c>
      <c r="D873" t="inlineStr">
        <is>
          <t>Acondicionador Plusbelle Fuerza 970ml</t>
        </is>
      </c>
      <c r="E873" t="inlineStr">
        <is>
          <t>PLUSBELLE</t>
        </is>
      </c>
      <c r="F873" t="n">
        <v>545.47</v>
      </c>
      <c r="G873" t="n">
        <v>45080</v>
      </c>
      <c r="H873" t="b">
        <v>0</v>
      </c>
      <c r="I873" t="n">
        <v>970</v>
      </c>
      <c r="J873" t="n">
        <v>0.5623</v>
      </c>
      <c r="K873" t="inlineStr">
        <is>
          <t>&gt; Perfumería &gt; Cuidado Capilar &gt; Acondicionador &gt;</t>
        </is>
      </c>
      <c r="L873" t="inlineStr">
        <is>
          <t>acondicionador</t>
        </is>
      </c>
      <c r="M873" t="inlineStr">
        <is>
          <t>estandar</t>
        </is>
      </c>
      <c r="N873" t="inlineStr">
        <is>
          <t>general</t>
        </is>
      </c>
      <c r="O873" t="inlineStr">
        <is>
          <t>https://www.jumbo.com.ar/acondicionador-plusbelle-fuerza-970ml/p</t>
        </is>
      </c>
    </row>
    <row r="874">
      <c r="A874" s="2" t="inlineStr">
        <is>
          <t>Jumbo</t>
        </is>
      </c>
      <c r="B874" s="2" t="n">
        <v>288736</v>
      </c>
      <c r="C874" s="2" t="n">
        <v>287983</v>
      </c>
      <c r="D874" s="2" t="inlineStr">
        <is>
          <t>Acondicionador Elvive Desenredante 750ml</t>
        </is>
      </c>
      <c r="E874" s="2" t="inlineStr">
        <is>
          <t>ELVIVE</t>
        </is>
      </c>
      <c r="F874" s="2" t="n">
        <v>745.65</v>
      </c>
      <c r="G874" s="2" t="n">
        <v>61624</v>
      </c>
      <c r="H874" s="2" t="b">
        <v>0</v>
      </c>
      <c r="I874" s="2" t="n">
        <v>750</v>
      </c>
      <c r="J874" s="2" t="n">
        <v>0.9942</v>
      </c>
      <c r="K874" s="2" t="inlineStr">
        <is>
          <t>&gt; Perfumería &gt; Cuidado Capilar &gt; Acondicionador &gt;</t>
        </is>
      </c>
      <c r="L874" s="2" t="inlineStr">
        <is>
          <t>acondicionador</t>
        </is>
      </c>
      <c r="M874" s="2" t="inlineStr">
        <is>
          <t>profesional</t>
        </is>
      </c>
      <c r="N874" s="2" t="inlineStr">
        <is>
          <t>general</t>
        </is>
      </c>
      <c r="O874" s="2" t="inlineStr">
        <is>
          <t>https://www.jumbo.com.ar/acondicionador-elvive-desenredante-750ml/p</t>
        </is>
      </c>
    </row>
    <row r="875">
      <c r="A875" t="inlineStr">
        <is>
          <t>Jumbo</t>
        </is>
      </c>
      <c r="B875" t="n">
        <v>79294</v>
      </c>
      <c r="C875" t="n">
        <v>76421</v>
      </c>
      <c r="D875" t="inlineStr">
        <is>
          <t>Acondicionador Para Pisos Echo Pvc 1 Lt</t>
        </is>
      </c>
      <c r="E875" t="inlineStr">
        <is>
          <t>ECHO</t>
        </is>
      </c>
      <c r="F875" t="n">
        <v>5.53</v>
      </c>
      <c r="G875" t="n">
        <v>5.53</v>
      </c>
      <c r="H875" t="b">
        <v>0</v>
      </c>
      <c r="I875" t="inlineStr"/>
      <c r="J875" t="inlineStr"/>
      <c r="K875" t="inlineStr">
        <is>
          <t>&gt; Limpieza &gt; Limpieza de Pisos y Muebles &gt; Ceras y Autobrillos &gt;</t>
        </is>
      </c>
      <c r="L875" t="inlineStr">
        <is>
          <t>acondicionador</t>
        </is>
      </c>
      <c r="M875" t="inlineStr">
        <is>
          <t>estandar</t>
        </is>
      </c>
      <c r="N875" t="inlineStr">
        <is>
          <t>general</t>
        </is>
      </c>
      <c r="O875" t="inlineStr">
        <is>
          <t>https://www.jumbo.com.ar/acondicionador-para-pisos-echo-6/p</t>
        </is>
      </c>
    </row>
    <row r="876">
      <c r="A876" s="2" t="inlineStr">
        <is>
          <t>Jumbo</t>
        </is>
      </c>
      <c r="B876" s="2" t="n">
        <v>70072</v>
      </c>
      <c r="C876" s="2" t="n">
        <v>67208</v>
      </c>
      <c r="D876" s="2" t="inlineStr">
        <is>
          <t>Acondicionador Para Pisos Polycera Lavanda  Pvc 750 Cc.</t>
        </is>
      </c>
      <c r="E876" s="2" t="inlineStr">
        <is>
          <t>POLYCERA</t>
        </is>
      </c>
      <c r="F876" s="2" t="n">
        <v>4.58</v>
      </c>
      <c r="G876" s="2" t="n">
        <v>4.58</v>
      </c>
      <c r="H876" s="2" t="b">
        <v>0</v>
      </c>
      <c r="I876" s="2" t="inlineStr"/>
      <c r="J876" s="2" t="inlineStr"/>
      <c r="K876" s="2" t="inlineStr">
        <is>
          <t>&gt; Limpieza &gt; Limpieza de Pisos y Muebles &gt; Ceras y Autobrillos &gt;</t>
        </is>
      </c>
      <c r="L876" s="2" t="inlineStr">
        <is>
          <t>acondicionador</t>
        </is>
      </c>
      <c r="M876" s="2" t="inlineStr">
        <is>
          <t>estandar</t>
        </is>
      </c>
      <c r="N876" s="2" t="inlineStr">
        <is>
          <t>general</t>
        </is>
      </c>
      <c r="O876" s="2" t="inlineStr">
        <is>
          <t>https://www.jumbo.com.ar/acondicionador-para-pisos-polycera/p</t>
        </is>
      </c>
    </row>
    <row r="877">
      <c r="A877" t="inlineStr">
        <is>
          <t>Jumbo</t>
        </is>
      </c>
      <c r="B877" t="n">
        <v>47652</v>
      </c>
      <c r="C877" t="n">
        <v>44817</v>
      </c>
      <c r="D877" t="inlineStr">
        <is>
          <t>Acondicionador Pantene Restaura 200ml</t>
        </is>
      </c>
      <c r="E877" t="inlineStr">
        <is>
          <t>PANTENE</t>
        </is>
      </c>
      <c r="F877" t="n">
        <v>173.39</v>
      </c>
      <c r="G877" t="n">
        <v>14330</v>
      </c>
      <c r="H877" t="b">
        <v>0</v>
      </c>
      <c r="I877" t="n">
        <v>200</v>
      </c>
      <c r="J877" t="n">
        <v>0.8669</v>
      </c>
      <c r="K877" t="inlineStr">
        <is>
          <t>&gt; Perfumería &gt; Cuidado Capilar &gt; Acondicionador &gt;</t>
        </is>
      </c>
      <c r="L877" t="inlineStr">
        <is>
          <t>acondicionador</t>
        </is>
      </c>
      <c r="M877" t="inlineStr">
        <is>
          <t>estandar</t>
        </is>
      </c>
      <c r="N877" t="inlineStr">
        <is>
          <t>general</t>
        </is>
      </c>
      <c r="O877" t="inlineStr">
        <is>
          <t>https://www.jumbo.com.ar/acondicionador-pantene-restaura-200ml/p</t>
        </is>
      </c>
    </row>
    <row r="878">
      <c r="A878" s="2" t="inlineStr">
        <is>
          <t>Jumbo</t>
        </is>
      </c>
      <c r="B878" s="2" t="n">
        <v>42367</v>
      </c>
      <c r="C878" s="2" t="n">
        <v>39537</v>
      </c>
      <c r="D878" s="2" t="inlineStr">
        <is>
          <t>Acondicionador Plusbelle Hidratacion 1lt</t>
        </is>
      </c>
      <c r="E878" s="2" t="inlineStr">
        <is>
          <t>PLUSBELLE</t>
        </is>
      </c>
      <c r="F878" s="2" t="n">
        <v>164.99</v>
      </c>
      <c r="G878" s="2" t="n">
        <v>13636</v>
      </c>
      <c r="H878" s="2" t="b">
        <v>0</v>
      </c>
      <c r="I878" s="2" t="inlineStr"/>
      <c r="J878" s="2" t="inlineStr"/>
      <c r="K878" s="2" t="inlineStr">
        <is>
          <t>&gt; Perfumería &gt; Cuidado Capilar &gt; Acondicionador &gt;</t>
        </is>
      </c>
      <c r="L878" s="2" t="inlineStr">
        <is>
          <t>acondicionador</t>
        </is>
      </c>
      <c r="M878" s="2" t="inlineStr">
        <is>
          <t>estandar</t>
        </is>
      </c>
      <c r="N878" s="2" t="inlineStr">
        <is>
          <t>seco_danado</t>
        </is>
      </c>
      <c r="O878" s="2" t="inlineStr">
        <is>
          <t>https://www.jumbo.com.ar/acondicionador-plusbelle-hidratacion-1lt-2/p</t>
        </is>
      </c>
    </row>
    <row r="879">
      <c r="A879" t="inlineStr">
        <is>
          <t>Jumbo</t>
        </is>
      </c>
      <c r="B879" t="n">
        <v>42008</v>
      </c>
      <c r="C879" t="n">
        <v>39172</v>
      </c>
      <c r="D879" t="inlineStr">
        <is>
          <t>Acondicionador Babelito Manzanilla 400ml</t>
        </is>
      </c>
      <c r="E879" t="inlineStr">
        <is>
          <t>BABELITO</t>
        </is>
      </c>
      <c r="F879" t="n">
        <v>97.47</v>
      </c>
      <c r="G879" t="n">
        <v>97.47</v>
      </c>
      <c r="H879" t="b">
        <v>0</v>
      </c>
      <c r="I879" t="n">
        <v>400</v>
      </c>
      <c r="J879" t="n">
        <v>0.2437</v>
      </c>
      <c r="K879" t="inlineStr">
        <is>
          <t>&gt; Mundo Bebe &gt; Higiene para el Bebe &gt; Higiene del Bebé &gt;</t>
        </is>
      </c>
      <c r="L879" t="inlineStr">
        <is>
          <t>acondicionador</t>
        </is>
      </c>
      <c r="M879" t="inlineStr">
        <is>
          <t>estandar</t>
        </is>
      </c>
      <c r="N879" t="inlineStr">
        <is>
          <t>general</t>
        </is>
      </c>
      <c r="O879" t="inlineStr">
        <is>
          <t>https://www.jumbo.com.ar/acondicionador-babelito-manzanilla-400ml/p</t>
        </is>
      </c>
    </row>
    <row r="880">
      <c r="A880" s="2" t="inlineStr">
        <is>
          <t>Jumbo</t>
        </is>
      </c>
      <c r="B880" s="2" t="n">
        <v>41879</v>
      </c>
      <c r="C880" s="2" t="n">
        <v>39043</v>
      </c>
      <c r="D880" s="2" t="inlineStr">
        <is>
          <t>Acondicionador Fructis Brillo 350ml</t>
        </is>
      </c>
      <c r="E880" s="2" t="inlineStr">
        <is>
          <t>FRUCTIS</t>
        </is>
      </c>
      <c r="F880" s="2" t="n">
        <v>339.97</v>
      </c>
      <c r="G880" s="2" t="n">
        <v>28097</v>
      </c>
      <c r="H880" s="2" t="b">
        <v>0</v>
      </c>
      <c r="I880" s="2" t="n">
        <v>350</v>
      </c>
      <c r="J880" s="2" t="n">
        <v>0.9713000000000001</v>
      </c>
      <c r="K880" s="2" t="inlineStr">
        <is>
          <t>&gt; Perfumería &gt; Cuidado Capilar &gt; Acondicionador &gt;</t>
        </is>
      </c>
      <c r="L880" s="2" t="inlineStr">
        <is>
          <t>acondicionador</t>
        </is>
      </c>
      <c r="M880" s="2" t="inlineStr">
        <is>
          <t>estandar</t>
        </is>
      </c>
      <c r="N880" s="2" t="inlineStr">
        <is>
          <t>general</t>
        </is>
      </c>
      <c r="O880" s="2" t="inlineStr">
        <is>
          <t>https://www.jumbo.com.ar/acondicionador-fructis-brillo-350ml-2/p</t>
        </is>
      </c>
    </row>
    <row r="881">
      <c r="A881" t="inlineStr">
        <is>
          <t>Jumbo</t>
        </is>
      </c>
      <c r="B881" t="n">
        <v>41864</v>
      </c>
      <c r="C881" t="n">
        <v>39028</v>
      </c>
      <c r="D881" t="inlineStr">
        <is>
          <t>Acondicionador Fructis Brillo 200ml</t>
        </is>
      </c>
      <c r="E881" t="inlineStr">
        <is>
          <t>FRUCTIS</t>
        </is>
      </c>
      <c r="F881" t="n">
        <v>233.45</v>
      </c>
      <c r="G881" t="n">
        <v>19293</v>
      </c>
      <c r="H881" t="b">
        <v>0</v>
      </c>
      <c r="I881" t="n">
        <v>200</v>
      </c>
      <c r="J881" t="n">
        <v>1.1672</v>
      </c>
      <c r="K881" t="inlineStr">
        <is>
          <t>&gt; Perfumería &gt; Cuidado Capilar &gt; Acondicionador &gt;</t>
        </is>
      </c>
      <c r="L881" t="inlineStr">
        <is>
          <t>acondicionador</t>
        </is>
      </c>
      <c r="M881" t="inlineStr">
        <is>
          <t>estandar</t>
        </is>
      </c>
      <c r="N881" t="inlineStr">
        <is>
          <t>general</t>
        </is>
      </c>
      <c r="O881" t="inlineStr">
        <is>
          <t>https://www.jumbo.com.ar/acondicionador-fructis-brillo-200ml-2/p</t>
        </is>
      </c>
    </row>
    <row r="882">
      <c r="A882" s="2" t="inlineStr">
        <is>
          <t>Jumbo</t>
        </is>
      </c>
      <c r="B882" s="2" t="n">
        <v>41720</v>
      </c>
      <c r="C882" s="2" t="n">
        <v>38884</v>
      </c>
      <c r="D882" s="2" t="inlineStr">
        <is>
          <t>Acondicionador Fructis Control 350ml</t>
        </is>
      </c>
      <c r="E882" s="2" t="inlineStr">
        <is>
          <t>FRUCTIS</t>
        </is>
      </c>
      <c r="F882" s="2" t="n">
        <v>403.25</v>
      </c>
      <c r="G882" s="2" t="n">
        <v>33326</v>
      </c>
      <c r="H882" s="2" t="b">
        <v>0</v>
      </c>
      <c r="I882" s="2" t="n">
        <v>350</v>
      </c>
      <c r="J882" s="2" t="n">
        <v>1.1521</v>
      </c>
      <c r="K882" s="2" t="inlineStr">
        <is>
          <t>&gt; Perfumería &gt; Cuidado Capilar &gt; Acondicionador &gt;</t>
        </is>
      </c>
      <c r="L882" s="2" t="inlineStr">
        <is>
          <t>acondicionador</t>
        </is>
      </c>
      <c r="M882" s="2" t="inlineStr">
        <is>
          <t>estandar</t>
        </is>
      </c>
      <c r="N882" s="2" t="inlineStr">
        <is>
          <t>general</t>
        </is>
      </c>
      <c r="O882" s="2" t="inlineStr">
        <is>
          <t>https://www.jumbo.com.ar/acondicionador-fructis-control-350ml-2/p</t>
        </is>
      </c>
    </row>
    <row r="883">
      <c r="A883" t="inlineStr">
        <is>
          <t>Jumbo</t>
        </is>
      </c>
      <c r="B883" t="n">
        <v>41692</v>
      </c>
      <c r="C883" t="n">
        <v>38856</v>
      </c>
      <c r="D883" t="inlineStr">
        <is>
          <t>Acondicionador Fructis Control 200ml</t>
        </is>
      </c>
      <c r="E883" t="inlineStr">
        <is>
          <t>FRUCTIS</t>
        </is>
      </c>
      <c r="F883" t="n">
        <v>233.45</v>
      </c>
      <c r="G883" t="n">
        <v>19293</v>
      </c>
      <c r="H883" t="b">
        <v>0</v>
      </c>
      <c r="I883" t="n">
        <v>200</v>
      </c>
      <c r="J883" t="n">
        <v>1.1672</v>
      </c>
      <c r="K883" t="inlineStr">
        <is>
          <t>&gt; Perfumería &gt; Cuidado Capilar &gt; Acondicionador &gt;</t>
        </is>
      </c>
      <c r="L883" t="inlineStr">
        <is>
          <t>acondicionador</t>
        </is>
      </c>
      <c r="M883" t="inlineStr">
        <is>
          <t>estandar</t>
        </is>
      </c>
      <c r="N883" t="inlineStr">
        <is>
          <t>general</t>
        </is>
      </c>
      <c r="O883" t="inlineStr">
        <is>
          <t>https://www.jumbo.com.ar/acondicionador-fructis-control-200ml-2/p</t>
        </is>
      </c>
    </row>
    <row r="884">
      <c r="A884" s="2" t="inlineStr">
        <is>
          <t>Jumbo</t>
        </is>
      </c>
      <c r="B884" s="2" t="n">
        <v>41574</v>
      </c>
      <c r="C884" s="2" t="n">
        <v>38739</v>
      </c>
      <c r="D884" s="2" t="inlineStr">
        <is>
          <t>Acondicionador Fructis Brillo 650ml</t>
        </is>
      </c>
      <c r="E884" s="2" t="inlineStr">
        <is>
          <t>FRUCTIS</t>
        </is>
      </c>
      <c r="F884" s="2" t="n">
        <v>415.89</v>
      </c>
      <c r="G884" s="2" t="n">
        <v>34371</v>
      </c>
      <c r="H884" s="2" t="b">
        <v>0</v>
      </c>
      <c r="I884" s="2" t="n">
        <v>650</v>
      </c>
      <c r="J884" s="2" t="n">
        <v>0.6398</v>
      </c>
      <c r="K884" s="2" t="inlineStr">
        <is>
          <t>&gt; Perfumería &gt; Cuidado Capilar &gt; Acondicionador &gt;</t>
        </is>
      </c>
      <c r="L884" s="2" t="inlineStr">
        <is>
          <t>acondicionador</t>
        </is>
      </c>
      <c r="M884" s="2" t="inlineStr">
        <is>
          <t>estandar</t>
        </is>
      </c>
      <c r="N884" s="2" t="inlineStr">
        <is>
          <t>general</t>
        </is>
      </c>
      <c r="O884" s="2" t="inlineStr">
        <is>
          <t>https://www.jumbo.com.ar/acondicionador-fructis-brillo-650ml-2/p</t>
        </is>
      </c>
    </row>
    <row r="885">
      <c r="A885" t="inlineStr">
        <is>
          <t>Jumbo</t>
        </is>
      </c>
      <c r="B885" t="n">
        <v>39468</v>
      </c>
      <c r="C885" t="n">
        <v>36634</v>
      </c>
      <c r="D885" t="inlineStr">
        <is>
          <t>Acondicionador Capilatis Lifting 350ml</t>
        </is>
      </c>
      <c r="E885" t="inlineStr">
        <is>
          <t>CAPILATIS</t>
        </is>
      </c>
      <c r="F885" t="n">
        <v>1868.39</v>
      </c>
      <c r="G885" t="n">
        <v>154412</v>
      </c>
      <c r="H885" t="b">
        <v>0</v>
      </c>
      <c r="I885" t="n">
        <v>350</v>
      </c>
      <c r="J885" t="n">
        <v>5.3383</v>
      </c>
      <c r="K885" t="inlineStr">
        <is>
          <t>&gt; Perfumería &gt; Cuidado Capilar &gt; Acondicionador &gt;</t>
        </is>
      </c>
      <c r="L885" t="inlineStr">
        <is>
          <t>acondicionador</t>
        </is>
      </c>
      <c r="M885" t="inlineStr">
        <is>
          <t>estandar</t>
        </is>
      </c>
      <c r="N885" t="inlineStr">
        <is>
          <t>general</t>
        </is>
      </c>
      <c r="O885" t="inlineStr">
        <is>
          <t>https://www.jumbo.com.ar/acondicionador-capilatis-lifting-350ml/p</t>
        </is>
      </c>
    </row>
    <row r="886">
      <c r="A886" s="2" t="inlineStr">
        <is>
          <t>Jumbo</t>
        </is>
      </c>
      <c r="B886" s="2" t="n">
        <v>35198</v>
      </c>
      <c r="C886" s="2" t="n">
        <v>32356</v>
      </c>
      <c r="D886" s="2" t="inlineStr">
        <is>
          <t>Acondicionador Caspa 340 Ml</t>
        </is>
      </c>
      <c r="E886" s="2" t="inlineStr">
        <is>
          <t>SEDAL SOS</t>
        </is>
      </c>
      <c r="F886" s="2" t="n">
        <v>89.98999999999999</v>
      </c>
      <c r="G886" s="2" t="n">
        <v>7437</v>
      </c>
      <c r="H886" s="2" t="b">
        <v>0</v>
      </c>
      <c r="I886" s="2" t="n">
        <v>340</v>
      </c>
      <c r="J886" s="2" t="n">
        <v>0.2647</v>
      </c>
      <c r="K886" s="2" t="inlineStr">
        <is>
          <t>&gt; Perfumería &gt; Cuidado Capilar &gt; Acondicionador &gt;</t>
        </is>
      </c>
      <c r="L886" s="2" t="inlineStr">
        <is>
          <t>acondicionador</t>
        </is>
      </c>
      <c r="M886" s="2" t="inlineStr">
        <is>
          <t>estandar</t>
        </is>
      </c>
      <c r="N886" s="2" t="inlineStr">
        <is>
          <t>anticaspa</t>
        </is>
      </c>
      <c r="O886" s="2" t="inlineStr">
        <is>
          <t>https://www.jumbo.com.ar/acondicionador-sedal-sos-2/p</t>
        </is>
      </c>
    </row>
    <row r="887">
      <c r="A887" t="inlineStr">
        <is>
          <t>Jumbo</t>
        </is>
      </c>
      <c r="B887" t="n">
        <v>20017</v>
      </c>
      <c r="C887" t="n">
        <v>17188</v>
      </c>
      <c r="D887" t="inlineStr">
        <is>
          <t>Acondicionador Dove Recuperacion Extrema Acondicionador Dove Recuperación Extrema 200 Ml</t>
        </is>
      </c>
      <c r="E887" t="inlineStr">
        <is>
          <t>DOVE</t>
        </is>
      </c>
      <c r="F887" t="n">
        <v>108.53</v>
      </c>
      <c r="G887" t="n">
        <v>8969</v>
      </c>
      <c r="H887" t="b">
        <v>0</v>
      </c>
      <c r="I887" t="n">
        <v>200</v>
      </c>
      <c r="J887" t="n">
        <v>0.5426</v>
      </c>
      <c r="K887" t="inlineStr">
        <is>
          <t>&gt; Perfumería &gt; Cuidado Capilar &gt; Acondicionador &gt;</t>
        </is>
      </c>
      <c r="L887" t="inlineStr">
        <is>
          <t>acondicionador</t>
        </is>
      </c>
      <c r="M887" t="inlineStr">
        <is>
          <t>estandar</t>
        </is>
      </c>
      <c r="N887" t="inlineStr">
        <is>
          <t>general</t>
        </is>
      </c>
      <c r="O887" t="inlineStr">
        <is>
          <t>https://www.jumbo.com.ar/acondicionador-dove-recuperacion-extrema/p</t>
        </is>
      </c>
    </row>
    <row r="888">
      <c r="A888" s="2" t="inlineStr">
        <is>
          <t>Jumbo</t>
        </is>
      </c>
      <c r="B888" s="2" t="n">
        <v>19537</v>
      </c>
      <c r="C888" s="2" t="n">
        <v>16693</v>
      </c>
      <c r="D888" s="2" t="inlineStr">
        <is>
          <t>Acondicionador Tresemme Keratina 750ml Acondicionador Tresemme Liso Keratina 750 Ml</t>
        </is>
      </c>
      <c r="E888" s="2" t="inlineStr">
        <is>
          <t>TRESEMMÉ</t>
        </is>
      </c>
      <c r="F888" s="2" t="n">
        <v>979.55</v>
      </c>
      <c r="G888" s="2" t="n">
        <v>80955</v>
      </c>
      <c r="H888" s="2" t="b">
        <v>0</v>
      </c>
      <c r="I888" s="2" t="n">
        <v>750</v>
      </c>
      <c r="J888" s="2" t="n">
        <v>1.3061</v>
      </c>
      <c r="K888" s="2" t="inlineStr">
        <is>
          <t>&gt; Perfumería &gt; Cuidado Capilar &gt; Acondicionador &gt;</t>
        </is>
      </c>
      <c r="L888" s="2" t="inlineStr">
        <is>
          <t>acondicionador</t>
        </is>
      </c>
      <c r="M888" s="2" t="inlineStr">
        <is>
          <t>estandar</t>
        </is>
      </c>
      <c r="N888" s="2" t="inlineStr">
        <is>
          <t>tratado</t>
        </is>
      </c>
      <c r="O888" s="2" t="inlineStr">
        <is>
          <t>https://www.jumbo.com.ar/acondicionador-tresemme-keratina-750ml/p</t>
        </is>
      </c>
    </row>
    <row r="889">
      <c r="A889" t="inlineStr">
        <is>
          <t>Jumbo</t>
        </is>
      </c>
      <c r="B889" t="n">
        <v>8107</v>
      </c>
      <c r="C889" t="n">
        <v>5433</v>
      </c>
      <c r="D889" t="inlineStr">
        <is>
          <t>Acondicionador Plusbelle Hydro-reparaci Acondicionador Plusbelle Hydro Reparación 650 Ml</t>
        </is>
      </c>
      <c r="E889" t="inlineStr">
        <is>
          <t>PLUSBELLE</t>
        </is>
      </c>
      <c r="F889" t="n">
        <v>71.65000000000001</v>
      </c>
      <c r="G889" t="n">
        <v>5921</v>
      </c>
      <c r="H889" t="b">
        <v>0</v>
      </c>
      <c r="I889" t="n">
        <v>650</v>
      </c>
      <c r="J889" t="n">
        <v>0.1102</v>
      </c>
      <c r="K889" t="inlineStr">
        <is>
          <t>&gt; Perfumería &gt; Cuidado Capilar &gt; Acondicionador &gt;</t>
        </is>
      </c>
      <c r="L889" t="inlineStr">
        <is>
          <t>acondicionador</t>
        </is>
      </c>
      <c r="M889" t="inlineStr">
        <is>
          <t>estandar</t>
        </is>
      </c>
      <c r="N889" t="inlineStr">
        <is>
          <t>general</t>
        </is>
      </c>
      <c r="O889" t="inlineStr">
        <is>
          <t>https://www.jumbo.com.ar/acondicionador-plusbelle-hydro-reparaci/p</t>
        </is>
      </c>
    </row>
    <row r="890">
      <c r="A890" s="2" t="inlineStr">
        <is>
          <t>Jumbo</t>
        </is>
      </c>
      <c r="B890" s="2" t="n">
        <v>7428</v>
      </c>
      <c r="C890" s="2" t="n">
        <v>4755</v>
      </c>
      <c r="D890" s="2" t="inlineStr">
        <is>
          <t>Acondicionador Pantene Clasico 400ml</t>
        </is>
      </c>
      <c r="E890" s="2" t="inlineStr">
        <is>
          <t>PANTENE</t>
        </is>
      </c>
      <c r="F890" s="2" t="n">
        <v>334.69</v>
      </c>
      <c r="G890" s="2" t="n">
        <v>27660</v>
      </c>
      <c r="H890" s="2" t="b">
        <v>0</v>
      </c>
      <c r="I890" s="2" t="n">
        <v>400</v>
      </c>
      <c r="J890" s="2" t="n">
        <v>0.8367</v>
      </c>
      <c r="K890" s="2" t="inlineStr">
        <is>
          <t>&gt; Perfumería &gt; Cuidado Capilar &gt; Acondicionador &gt;</t>
        </is>
      </c>
      <c r="L890" s="2" t="inlineStr">
        <is>
          <t>acondicionador</t>
        </is>
      </c>
      <c r="M890" s="2" t="inlineStr">
        <is>
          <t>estandar</t>
        </is>
      </c>
      <c r="N890" s="2" t="inlineStr">
        <is>
          <t>general</t>
        </is>
      </c>
      <c r="O890" s="2" t="inlineStr">
        <is>
          <t>https://www.jumbo.com.ar/acondicionador-pantene-clasico-400ml/p</t>
        </is>
      </c>
    </row>
    <row r="891">
      <c r="A891" t="inlineStr">
        <is>
          <t>Jumbo</t>
        </is>
      </c>
      <c r="B891" t="n">
        <v>7396</v>
      </c>
      <c r="C891" t="n">
        <v>4725</v>
      </c>
      <c r="D891" t="inlineStr">
        <is>
          <t>Acondicionador Pantene Rizos 400ml</t>
        </is>
      </c>
      <c r="E891" t="inlineStr">
        <is>
          <t>PANTENE</t>
        </is>
      </c>
      <c r="F891" t="n">
        <v>334.67</v>
      </c>
      <c r="G891" t="n">
        <v>27659</v>
      </c>
      <c r="H891" t="b">
        <v>0</v>
      </c>
      <c r="I891" t="n">
        <v>400</v>
      </c>
      <c r="J891" t="n">
        <v>0.8367</v>
      </c>
      <c r="K891" t="inlineStr">
        <is>
          <t>&gt; Perfumería &gt; Cuidado Capilar &gt; Acondicionador &gt;</t>
        </is>
      </c>
      <c r="L891" t="inlineStr">
        <is>
          <t>acondicionador</t>
        </is>
      </c>
      <c r="M891" t="inlineStr">
        <is>
          <t>estandar</t>
        </is>
      </c>
      <c r="N891" t="inlineStr">
        <is>
          <t>rizado</t>
        </is>
      </c>
      <c r="O891" t="inlineStr">
        <is>
          <t>https://www.jumbo.com.ar/acondicionador-pantene-rizos-400ml/p</t>
        </is>
      </c>
    </row>
    <row r="892">
      <c r="A892" s="2" t="inlineStr">
        <is>
          <t>Jumbo</t>
        </is>
      </c>
      <c r="B892" s="2" t="n">
        <v>4495</v>
      </c>
      <c r="C892" s="2" t="n">
        <v>26027</v>
      </c>
      <c r="D892" s="2" t="inlineStr">
        <is>
          <t>Acondicionador Babelito 200 Ml</t>
        </is>
      </c>
      <c r="E892" s="2" t="inlineStr">
        <is>
          <t>BABELITO</t>
        </is>
      </c>
      <c r="F892" s="2" t="n">
        <v>58.95</v>
      </c>
      <c r="G892" s="2" t="n">
        <v>58.95</v>
      </c>
      <c r="H892" s="2" t="b">
        <v>0</v>
      </c>
      <c r="I892" s="2" t="n">
        <v>200</v>
      </c>
      <c r="J892" s="2" t="n">
        <v>0.2948</v>
      </c>
      <c r="K892" s="2" t="inlineStr">
        <is>
          <t>&gt; Mundo Bebe &gt; Higiene para el Bebe &gt; Higiene del Bebé &gt;</t>
        </is>
      </c>
      <c r="L892" s="2" t="inlineStr">
        <is>
          <t>acondicionador</t>
        </is>
      </c>
      <c r="M892" s="2" t="inlineStr">
        <is>
          <t>estandar</t>
        </is>
      </c>
      <c r="N892" s="2" t="inlineStr">
        <is>
          <t>general</t>
        </is>
      </c>
      <c r="O892" s="2" t="inlineStr">
        <is>
          <t>https://www.jumbo.com.ar/acondicionador-p-cabello-babelito/p</t>
        </is>
      </c>
    </row>
    <row r="893">
      <c r="A893" t="inlineStr">
        <is>
          <t>Jumbo</t>
        </is>
      </c>
      <c r="B893" t="n">
        <v>410228</v>
      </c>
      <c r="C893" t="n">
        <v>406234</v>
      </c>
      <c r="D893" t="inlineStr">
        <is>
          <t>Acondicionador Polyana Ceramidas 900ml</t>
        </is>
      </c>
      <c r="E893" t="inlineStr">
        <is>
          <t>POLYANA</t>
        </is>
      </c>
      <c r="F893" t="n">
        <v>607.99</v>
      </c>
      <c r="G893" t="n">
        <v>50247</v>
      </c>
      <c r="H893" t="b">
        <v>0</v>
      </c>
      <c r="I893" t="n">
        <v>900</v>
      </c>
      <c r="J893" t="n">
        <v>0.6755</v>
      </c>
      <c r="K893" t="inlineStr">
        <is>
          <t>&gt; Perfumería &gt; Cuidado Capilar &gt; Acondicionador &gt;</t>
        </is>
      </c>
      <c r="L893" t="inlineStr">
        <is>
          <t>acondicionador</t>
        </is>
      </c>
      <c r="M893" t="inlineStr">
        <is>
          <t>estandar</t>
        </is>
      </c>
      <c r="N893" t="inlineStr">
        <is>
          <t>general</t>
        </is>
      </c>
      <c r="O893" t="inlineStr">
        <is>
          <t>https://www.jumbo.com.ar/acondicionador-polyana-ceramidas-900ml/p</t>
        </is>
      </c>
    </row>
    <row r="894">
      <c r="A894" s="2" t="inlineStr">
        <is>
          <t>Jumbo</t>
        </is>
      </c>
      <c r="B894" s="2" t="n">
        <v>375614</v>
      </c>
      <c r="C894" s="2" t="n">
        <v>374332</v>
      </c>
      <c r="D894" s="2" t="inlineStr">
        <is>
          <t>Acondicionador Suave Ceramidas 930ml</t>
        </is>
      </c>
      <c r="E894" s="2" t="inlineStr">
        <is>
          <t>SUAVE</t>
        </is>
      </c>
      <c r="F894" s="2" t="n">
        <v>302.49</v>
      </c>
      <c r="G894" s="2" t="n">
        <v>24999</v>
      </c>
      <c r="H894" s="2" t="b">
        <v>0</v>
      </c>
      <c r="I894" s="2" t="n">
        <v>930</v>
      </c>
      <c r="J894" s="2" t="n">
        <v>0.3253</v>
      </c>
      <c r="K894" s="2" t="inlineStr">
        <is>
          <t>&gt; Perfumería &gt; Cuidado Capilar &gt; Acondicionador &gt;</t>
        </is>
      </c>
      <c r="L894" s="2" t="inlineStr">
        <is>
          <t>acondicionador</t>
        </is>
      </c>
      <c r="M894" s="2" t="inlineStr">
        <is>
          <t>estandar</t>
        </is>
      </c>
      <c r="N894" s="2" t="inlineStr">
        <is>
          <t>bebe</t>
        </is>
      </c>
      <c r="O894" s="2" t="inlineStr">
        <is>
          <t>https://www.jumbo.com.ar/acondicionador-suave-ceramidas-930ml/p</t>
        </is>
      </c>
    </row>
    <row r="895">
      <c r="A895" t="inlineStr">
        <is>
          <t>Jumbo</t>
        </is>
      </c>
      <c r="B895" t="n">
        <v>349997</v>
      </c>
      <c r="C895" t="n">
        <v>348657</v>
      </c>
      <c r="D895" t="inlineStr">
        <is>
          <t>Acondicionador Elvive Pvc 400ml Acondicionador Elvive 400ml</t>
        </is>
      </c>
      <c r="E895" t="inlineStr">
        <is>
          <t>ELVIVE</t>
        </is>
      </c>
      <c r="F895" t="n">
        <v>1366.09</v>
      </c>
      <c r="G895" t="n">
        <v>112900</v>
      </c>
      <c r="H895" t="b">
        <v>0</v>
      </c>
      <c r="I895" t="n">
        <v>400</v>
      </c>
      <c r="J895" t="n">
        <v>3.4152</v>
      </c>
      <c r="K895" t="inlineStr">
        <is>
          <t>&gt; Perfumería &gt; Cuidado Capilar &gt; Acondicionador &gt;</t>
        </is>
      </c>
      <c r="L895" t="inlineStr">
        <is>
          <t>acondicionador</t>
        </is>
      </c>
      <c r="M895" t="inlineStr">
        <is>
          <t>profesional</t>
        </is>
      </c>
      <c r="N895" t="inlineStr">
        <is>
          <t>general</t>
        </is>
      </c>
      <c r="O895" t="inlineStr">
        <is>
          <t>https://www.jumbo.com.ar/acondicionador-elvive-pvc-400ml/p</t>
        </is>
      </c>
    </row>
    <row r="896">
      <c r="A896" s="2" t="inlineStr">
        <is>
          <t>Jumbo</t>
        </is>
      </c>
      <c r="B896" s="2" t="n">
        <v>338984</v>
      </c>
      <c r="C896" s="2" t="n">
        <v>316517</v>
      </c>
      <c r="D896" s="2" t="inlineStr">
        <is>
          <t>Acondicionador Suave Fuerza Nutritiva 930 Ml</t>
        </is>
      </c>
      <c r="E896" s="2" t="inlineStr">
        <is>
          <t>SUAVE</t>
        </is>
      </c>
      <c r="F896" s="2" t="n">
        <v>339.05</v>
      </c>
      <c r="G896" s="2" t="n">
        <v>28021</v>
      </c>
      <c r="H896" s="2" t="b">
        <v>0</v>
      </c>
      <c r="I896" s="2" t="n">
        <v>930</v>
      </c>
      <c r="J896" s="2" t="n">
        <v>0.3646</v>
      </c>
      <c r="K896" s="2" t="inlineStr">
        <is>
          <t>&gt; Perfumería &gt; Cuidado Capilar &gt; Acondicionador &gt;</t>
        </is>
      </c>
      <c r="L896" s="2" t="inlineStr">
        <is>
          <t>acondicionador</t>
        </is>
      </c>
      <c r="M896" s="2" t="inlineStr">
        <is>
          <t>estandar</t>
        </is>
      </c>
      <c r="N896" s="2" t="inlineStr">
        <is>
          <t>bebe</t>
        </is>
      </c>
      <c r="O896" s="2" t="inlineStr">
        <is>
          <t>https://www.jumbo.com.ar/acondicionador-suave-fuerza-nutritiva/p</t>
        </is>
      </c>
    </row>
    <row r="897">
      <c r="A897" t="inlineStr">
        <is>
          <t>Jumbo</t>
        </is>
      </c>
      <c r="B897" t="n">
        <v>338982</v>
      </c>
      <c r="C897" t="n">
        <v>316515</v>
      </c>
      <c r="D897" t="inlineStr">
        <is>
          <t>Acondicionador Suave Brillo Ceramidas 930 Ml</t>
        </is>
      </c>
      <c r="E897" t="inlineStr">
        <is>
          <t>SUAVE</t>
        </is>
      </c>
      <c r="F897" t="n">
        <v>229.29</v>
      </c>
      <c r="G897" t="n">
        <v>18950</v>
      </c>
      <c r="H897" t="b">
        <v>0</v>
      </c>
      <c r="I897" t="n">
        <v>930</v>
      </c>
      <c r="J897" t="n">
        <v>0.2465</v>
      </c>
      <c r="K897" t="inlineStr">
        <is>
          <t>&gt; Perfumería &gt; Cuidado Capilar &gt; Acondicionador &gt;</t>
        </is>
      </c>
      <c r="L897" t="inlineStr">
        <is>
          <t>acondicionador</t>
        </is>
      </c>
      <c r="M897" t="inlineStr">
        <is>
          <t>estandar</t>
        </is>
      </c>
      <c r="N897" t="inlineStr">
        <is>
          <t>bebe</t>
        </is>
      </c>
      <c r="O897" t="inlineStr">
        <is>
          <t>https://www.jumbo.com.ar/acondicionador-suave-brillo-ceramidas/p</t>
        </is>
      </c>
    </row>
    <row r="898">
      <c r="A898" s="2" t="inlineStr">
        <is>
          <t>Jumbo</t>
        </is>
      </c>
      <c r="B898" s="2" t="n">
        <v>337416</v>
      </c>
      <c r="C898" s="2" t="n">
        <v>336519</v>
      </c>
      <c r="D898" s="2" t="inlineStr">
        <is>
          <t>Acondicionador Dove Reconstruccion 750ml</t>
        </is>
      </c>
      <c r="E898" s="2" t="inlineStr">
        <is>
          <t>DOVE</t>
        </is>
      </c>
      <c r="F898" s="2" t="n">
        <v>1031.19</v>
      </c>
      <c r="G898" s="2" t="n">
        <v>85222</v>
      </c>
      <c r="H898" s="2" t="b">
        <v>0</v>
      </c>
      <c r="I898" s="2" t="n">
        <v>750</v>
      </c>
      <c r="J898" s="2" t="n">
        <v>1.3749</v>
      </c>
      <c r="K898" s="2" t="inlineStr">
        <is>
          <t>&gt; Perfumería &gt; Cuidado Capilar &gt; Acondicionador &gt;</t>
        </is>
      </c>
      <c r="L898" s="2" t="inlineStr">
        <is>
          <t>acondicionador</t>
        </is>
      </c>
      <c r="M898" s="2" t="inlineStr">
        <is>
          <t>estandar</t>
        </is>
      </c>
      <c r="N898" s="2" t="inlineStr">
        <is>
          <t>general</t>
        </is>
      </c>
      <c r="O898" s="2" t="inlineStr">
        <is>
          <t>https://www.jumbo.com.ar/acondicionador-dove-reconstruccion-750ml-2/p</t>
        </is>
      </c>
    </row>
    <row r="899">
      <c r="A899" t="inlineStr">
        <is>
          <t>Jumbo</t>
        </is>
      </c>
      <c r="B899" t="n">
        <v>337415</v>
      </c>
      <c r="C899" t="n">
        <v>336518</v>
      </c>
      <c r="D899" t="inlineStr">
        <is>
          <t>Acondicionador Dove Nutricion 400ml</t>
        </is>
      </c>
      <c r="E899" t="inlineStr">
        <is>
          <t>DOVE</t>
        </is>
      </c>
      <c r="F899" t="n">
        <v>603.09</v>
      </c>
      <c r="G899" t="n">
        <v>49842</v>
      </c>
      <c r="H899" t="b">
        <v>0</v>
      </c>
      <c r="I899" t="n">
        <v>400</v>
      </c>
      <c r="J899" t="n">
        <v>1.5077</v>
      </c>
      <c r="K899" t="inlineStr">
        <is>
          <t>&gt; Perfumería &gt; Cuidado Capilar &gt; Acondicionador &gt;</t>
        </is>
      </c>
      <c r="L899" t="inlineStr">
        <is>
          <t>acondicionador</t>
        </is>
      </c>
      <c r="M899" t="inlineStr">
        <is>
          <t>estandar</t>
        </is>
      </c>
      <c r="N899" t="inlineStr">
        <is>
          <t>general</t>
        </is>
      </c>
      <c r="O899" t="inlineStr">
        <is>
          <t>https://www.jumbo.com.ar/acondicionador-dove-nutricion-400ml-2/p</t>
        </is>
      </c>
    </row>
    <row r="900">
      <c r="A900" s="2" t="inlineStr">
        <is>
          <t>Jumbo</t>
        </is>
      </c>
      <c r="B900" s="2" t="n">
        <v>332179</v>
      </c>
      <c r="C900" s="2" t="n">
        <v>331337</v>
      </c>
      <c r="D900" s="2" t="inlineStr">
        <is>
          <t>Acondicionador Plusbelle Brillo 1lt</t>
        </is>
      </c>
      <c r="E900" s="2" t="inlineStr">
        <is>
          <t>PLUSBELLE</t>
        </is>
      </c>
      <c r="F900" s="2" t="n">
        <v>454.55</v>
      </c>
      <c r="G900" s="2" t="n">
        <v>37566</v>
      </c>
      <c r="H900" s="2" t="b">
        <v>0</v>
      </c>
      <c r="I900" s="2" t="inlineStr"/>
      <c r="J900" s="2" t="inlineStr"/>
      <c r="K900" s="2" t="inlineStr">
        <is>
          <t>&gt; Perfumería &gt; Cuidado Capilar &gt; Acondicionador &gt;</t>
        </is>
      </c>
      <c r="L900" s="2" t="inlineStr">
        <is>
          <t>acondicionador</t>
        </is>
      </c>
      <c r="M900" s="2" t="inlineStr">
        <is>
          <t>estandar</t>
        </is>
      </c>
      <c r="N900" s="2" t="inlineStr">
        <is>
          <t>general</t>
        </is>
      </c>
      <c r="O900" s="2" t="inlineStr">
        <is>
          <t>https://www.jumbo.com.ar/acondicionador-plusbelle-brillo-1lt/p</t>
        </is>
      </c>
    </row>
    <row r="901">
      <c r="A901" t="inlineStr">
        <is>
          <t>Jumbo</t>
        </is>
      </c>
      <c r="B901" t="n">
        <v>332173</v>
      </c>
      <c r="C901" t="n">
        <v>331331</v>
      </c>
      <c r="D901" t="inlineStr">
        <is>
          <t>Acondicionador Plusbelle Balance 1lt</t>
        </is>
      </c>
      <c r="E901" t="inlineStr">
        <is>
          <t>PLUSBELLE</t>
        </is>
      </c>
      <c r="F901" t="n">
        <v>600</v>
      </c>
      <c r="G901" t="n">
        <v>49587</v>
      </c>
      <c r="H901" t="b">
        <v>0</v>
      </c>
      <c r="I901" t="inlineStr"/>
      <c r="J901" t="inlineStr"/>
      <c r="K901" t="inlineStr">
        <is>
          <t>&gt; Perfumería &gt; Cuidado Capilar &gt; Acondicionador &gt;</t>
        </is>
      </c>
      <c r="L901" t="inlineStr">
        <is>
          <t>acondicionador</t>
        </is>
      </c>
      <c r="M901" t="inlineStr">
        <is>
          <t>estandar</t>
        </is>
      </c>
      <c r="N901" t="inlineStr">
        <is>
          <t>general</t>
        </is>
      </c>
      <c r="O901" t="inlineStr">
        <is>
          <t>https://www.jumbo.com.ar/acondicionador-plusbelle-balance-1lt/p</t>
        </is>
      </c>
    </row>
    <row r="902">
      <c r="A902" s="2" t="inlineStr">
        <is>
          <t>Jumbo</t>
        </is>
      </c>
      <c r="B902" s="2" t="n">
        <v>332172</v>
      </c>
      <c r="C902" s="2" t="n">
        <v>331330</v>
      </c>
      <c r="D902" s="2" t="inlineStr">
        <is>
          <t>Acondicionador Plusbelle Largo 970ml</t>
        </is>
      </c>
      <c r="E902" s="2" t="inlineStr">
        <is>
          <t>PLUSBELLE</t>
        </is>
      </c>
      <c r="F902" s="2" t="n">
        <v>545.47</v>
      </c>
      <c r="G902" s="2" t="n">
        <v>45080</v>
      </c>
      <c r="H902" s="2" t="b">
        <v>0</v>
      </c>
      <c r="I902" s="2" t="n">
        <v>970</v>
      </c>
      <c r="J902" s="2" t="n">
        <v>0.5623</v>
      </c>
      <c r="K902" s="2" t="inlineStr">
        <is>
          <t>&gt; Perfumería &gt; Cuidado Capilar &gt; Acondicionador &gt;</t>
        </is>
      </c>
      <c r="L902" s="2" t="inlineStr">
        <is>
          <t>acondicionador</t>
        </is>
      </c>
      <c r="M902" s="2" t="inlineStr">
        <is>
          <t>estandar</t>
        </is>
      </c>
      <c r="N902" s="2" t="inlineStr">
        <is>
          <t>general</t>
        </is>
      </c>
      <c r="O902" s="2" t="inlineStr">
        <is>
          <t>https://www.jumbo.com.ar/acondicionador-plusbelle-largo-970ml/p</t>
        </is>
      </c>
    </row>
    <row r="903">
      <c r="A903" t="inlineStr">
        <is>
          <t>Jumbo</t>
        </is>
      </c>
      <c r="B903" t="n">
        <v>332170</v>
      </c>
      <c r="C903" t="n">
        <v>331328</v>
      </c>
      <c r="D903" t="inlineStr">
        <is>
          <t>Acondicionador Plusbelle Docilidad 1lt</t>
        </is>
      </c>
      <c r="E903" t="inlineStr">
        <is>
          <t>PLUSBELLE</t>
        </is>
      </c>
      <c r="F903" t="n">
        <v>454.53</v>
      </c>
      <c r="G903" t="n">
        <v>37564</v>
      </c>
      <c r="H903" t="b">
        <v>0</v>
      </c>
      <c r="I903" t="inlineStr"/>
      <c r="J903" t="inlineStr"/>
      <c r="K903" t="inlineStr">
        <is>
          <t>&gt; Perfumería &gt; Cuidado Capilar &gt; Acondicionador &gt;</t>
        </is>
      </c>
      <c r="L903" t="inlineStr">
        <is>
          <t>acondicionador</t>
        </is>
      </c>
      <c r="M903" t="inlineStr">
        <is>
          <t>estandar</t>
        </is>
      </c>
      <c r="N903" t="inlineStr">
        <is>
          <t>general</t>
        </is>
      </c>
      <c r="O903" t="inlineStr">
        <is>
          <t>https://www.jumbo.com.ar/acondicionador-plusbelle-docilidad-1lt/p</t>
        </is>
      </c>
    </row>
    <row r="904">
      <c r="A904" s="2" t="inlineStr">
        <is>
          <t>Jumbo</t>
        </is>
      </c>
      <c r="B904" s="2" t="n">
        <v>332167</v>
      </c>
      <c r="C904" s="2" t="n">
        <v>331325</v>
      </c>
      <c r="D904" s="2" t="inlineStr">
        <is>
          <t>Acondicionador Plusbelle Frescura 1lt</t>
        </is>
      </c>
      <c r="E904" s="2" t="inlineStr">
        <is>
          <t>PLUSBELLE</t>
        </is>
      </c>
      <c r="F904" s="2" t="n">
        <v>454.55</v>
      </c>
      <c r="G904" s="2" t="n">
        <v>37566</v>
      </c>
      <c r="H904" s="2" t="b">
        <v>0</v>
      </c>
      <c r="I904" s="2" t="inlineStr"/>
      <c r="J904" s="2" t="inlineStr"/>
      <c r="K904" s="2" t="inlineStr">
        <is>
          <t>&gt; Perfumería &gt; Cuidado Capilar &gt; Acondicionador &gt;</t>
        </is>
      </c>
      <c r="L904" s="2" t="inlineStr">
        <is>
          <t>acondicionador</t>
        </is>
      </c>
      <c r="M904" s="2" t="inlineStr">
        <is>
          <t>estandar</t>
        </is>
      </c>
      <c r="N904" s="2" t="inlineStr">
        <is>
          <t>general</t>
        </is>
      </c>
      <c r="O904" s="2" t="inlineStr">
        <is>
          <t>https://www.jumbo.com.ar/acondicionador-plusbelle-frescura-1lt/p</t>
        </is>
      </c>
    </row>
    <row r="905">
      <c r="A905" t="inlineStr">
        <is>
          <t>Jumbo</t>
        </is>
      </c>
      <c r="B905" t="n">
        <v>317285</v>
      </c>
      <c r="C905" t="n">
        <v>316531</v>
      </c>
      <c r="D905" t="inlineStr">
        <is>
          <t>Acondicionador Sedal Carbon 650ml</t>
        </is>
      </c>
      <c r="E905" t="inlineStr">
        <is>
          <t>SEDAL</t>
        </is>
      </c>
      <c r="F905" t="n">
        <v>557.0700000000001</v>
      </c>
      <c r="G905" t="n">
        <v>46039</v>
      </c>
      <c r="H905" t="b">
        <v>0</v>
      </c>
      <c r="I905" t="n">
        <v>650</v>
      </c>
      <c r="J905" t="n">
        <v>0.857</v>
      </c>
      <c r="K905" t="inlineStr">
        <is>
          <t>&gt; Perfumería &gt; Cuidado Capilar &gt; Acondicionador &gt;</t>
        </is>
      </c>
      <c r="L905" t="inlineStr">
        <is>
          <t>acondicionador</t>
        </is>
      </c>
      <c r="M905" t="inlineStr">
        <is>
          <t>estandar</t>
        </is>
      </c>
      <c r="N905" t="inlineStr">
        <is>
          <t>general</t>
        </is>
      </c>
      <c r="O905" t="inlineStr">
        <is>
          <t>https://www.jumbo.com.ar/acondicionador-sedal-carbon-650ml/p</t>
        </is>
      </c>
    </row>
    <row r="906">
      <c r="A906" s="2" t="inlineStr">
        <is>
          <t>Jumbo</t>
        </is>
      </c>
      <c r="B906" s="2" t="n">
        <v>307906</v>
      </c>
      <c r="C906" s="2" t="n">
        <v>307144</v>
      </c>
      <c r="D906" s="2" t="inlineStr">
        <is>
          <t>Acondicionador Polyana Nutricion 300ml</t>
        </is>
      </c>
      <c r="E906" s="2" t="inlineStr">
        <is>
          <t>POLYANA</t>
        </is>
      </c>
      <c r="F906" s="2" t="n">
        <v>116.65</v>
      </c>
      <c r="G906" s="2" t="n">
        <v>9641</v>
      </c>
      <c r="H906" s="2" t="b">
        <v>0</v>
      </c>
      <c r="I906" s="2" t="n">
        <v>300</v>
      </c>
      <c r="J906" s="2" t="n">
        <v>0.3888</v>
      </c>
      <c r="K906" s="2" t="inlineStr">
        <is>
          <t>&gt; Perfumería &gt; Cuidado Capilar &gt; Acondicionador &gt;</t>
        </is>
      </c>
      <c r="L906" s="2" t="inlineStr">
        <is>
          <t>acondicionador</t>
        </is>
      </c>
      <c r="M906" s="2" t="inlineStr">
        <is>
          <t>estandar</t>
        </is>
      </c>
      <c r="N906" s="2" t="inlineStr">
        <is>
          <t>general</t>
        </is>
      </c>
      <c r="O906" s="2" t="inlineStr">
        <is>
          <t>https://www.jumbo.com.ar/acondicionador-polyana-nutricion-300ml/p</t>
        </is>
      </c>
    </row>
    <row r="907">
      <c r="A907" t="inlineStr">
        <is>
          <t>Jumbo</t>
        </is>
      </c>
      <c r="B907" t="n">
        <v>307901</v>
      </c>
      <c r="C907" t="n">
        <v>307139</v>
      </c>
      <c r="D907" t="inlineStr">
        <is>
          <t>Acondicionador Polyana Balance 300ml</t>
        </is>
      </c>
      <c r="E907" t="inlineStr">
        <is>
          <t>POLYANA</t>
        </is>
      </c>
      <c r="F907" t="n">
        <v>250</v>
      </c>
      <c r="G907" t="n">
        <v>20661</v>
      </c>
      <c r="H907" t="b">
        <v>0</v>
      </c>
      <c r="I907" t="n">
        <v>300</v>
      </c>
      <c r="J907" t="n">
        <v>0.8333</v>
      </c>
      <c r="K907" t="inlineStr">
        <is>
          <t>&gt; Perfumería &gt; Cuidado Capilar &gt; Acondicionador &gt;</t>
        </is>
      </c>
      <c r="L907" t="inlineStr">
        <is>
          <t>acondicionador</t>
        </is>
      </c>
      <c r="M907" t="inlineStr">
        <is>
          <t>estandar</t>
        </is>
      </c>
      <c r="N907" t="inlineStr">
        <is>
          <t>general</t>
        </is>
      </c>
      <c r="O907" t="inlineStr">
        <is>
          <t>https://www.jumbo.com.ar/acondicionador-polyana-balance-300ml/p</t>
        </is>
      </c>
    </row>
    <row r="908">
      <c r="A908" s="2" t="inlineStr">
        <is>
          <t>Jumbo</t>
        </is>
      </c>
      <c r="B908" s="2" t="n">
        <v>307880</v>
      </c>
      <c r="C908" s="2" t="n">
        <v>307118</v>
      </c>
      <c r="D908" s="2" t="inlineStr">
        <is>
          <t>Acondicionador Algabo Manzanilla 930ml</t>
        </is>
      </c>
      <c r="E908" s="2" t="inlineStr">
        <is>
          <t>ALGABO</t>
        </is>
      </c>
      <c r="F908" s="2" t="n">
        <v>113.09</v>
      </c>
      <c r="G908" s="2" t="n">
        <v>9346</v>
      </c>
      <c r="H908" s="2" t="b">
        <v>0</v>
      </c>
      <c r="I908" s="2" t="n">
        <v>930</v>
      </c>
      <c r="J908" s="2" t="n">
        <v>0.1216</v>
      </c>
      <c r="K908" s="2" t="inlineStr">
        <is>
          <t>&gt; Perfumería &gt; Cuidado Capilar &gt; Acondicionador &gt;</t>
        </is>
      </c>
      <c r="L908" s="2" t="inlineStr">
        <is>
          <t>acondicionador</t>
        </is>
      </c>
      <c r="M908" s="2" t="inlineStr">
        <is>
          <t>estandar</t>
        </is>
      </c>
      <c r="N908" s="2" t="inlineStr">
        <is>
          <t>general</t>
        </is>
      </c>
      <c r="O908" s="2" t="inlineStr">
        <is>
          <t>https://www.jumbo.com.ar/acondicionador-algabo-manzanilla-930ml/p</t>
        </is>
      </c>
    </row>
    <row r="909">
      <c r="A909" t="inlineStr">
        <is>
          <t>Jumbo</t>
        </is>
      </c>
      <c r="B909" t="n">
        <v>288747</v>
      </c>
      <c r="C909" t="n">
        <v>287994</v>
      </c>
      <c r="D909" t="inlineStr">
        <is>
          <t>Acondicionador Elvive Desenredante 400ml</t>
        </is>
      </c>
      <c r="E909" t="inlineStr">
        <is>
          <t>ELVIVE</t>
        </is>
      </c>
      <c r="F909" t="n">
        <v>470.23</v>
      </c>
      <c r="G909" t="n">
        <v>38862</v>
      </c>
      <c r="H909" t="b">
        <v>0</v>
      </c>
      <c r="I909" t="n">
        <v>400</v>
      </c>
      <c r="J909" t="n">
        <v>1.1756</v>
      </c>
      <c r="K909" t="inlineStr">
        <is>
          <t>&gt; Perfumería &gt; Cuidado Capilar &gt; Acondicionador &gt;</t>
        </is>
      </c>
      <c r="L909" t="inlineStr">
        <is>
          <t>acondicionador</t>
        </is>
      </c>
      <c r="M909" t="inlineStr">
        <is>
          <t>profesional</t>
        </is>
      </c>
      <c r="N909" t="inlineStr">
        <is>
          <t>general</t>
        </is>
      </c>
      <c r="O909" t="inlineStr">
        <is>
          <t>https://www.jumbo.com.ar/acondicionador-elvive-desenredante-400ml/p</t>
        </is>
      </c>
    </row>
    <row r="910">
      <c r="A910" s="2" t="inlineStr">
        <is>
          <t>Jumbo</t>
        </is>
      </c>
      <c r="B910" s="2" t="n">
        <v>271685</v>
      </c>
      <c r="C910" s="2" t="n">
        <v>271164</v>
      </c>
      <c r="D910" s="2" t="inlineStr">
        <is>
          <t>Acondicionador Sedal Hidratacion Micelar</t>
        </is>
      </c>
      <c r="E910" s="2" t="inlineStr">
        <is>
          <t>SEDAL</t>
        </is>
      </c>
      <c r="F910" s="2" t="n">
        <v>130.65</v>
      </c>
      <c r="G910" s="2" t="n">
        <v>10798</v>
      </c>
      <c r="H910" s="2" t="b">
        <v>0</v>
      </c>
      <c r="I910" s="2" t="inlineStr"/>
      <c r="J910" s="2" t="inlineStr"/>
      <c r="K910" s="2" t="inlineStr">
        <is>
          <t>&gt; Perfumería &gt; Cuidado Capilar &gt; Acondicionador &gt;</t>
        </is>
      </c>
      <c r="L910" s="2" t="inlineStr">
        <is>
          <t>acondicionador</t>
        </is>
      </c>
      <c r="M910" s="2" t="inlineStr">
        <is>
          <t>estandar</t>
        </is>
      </c>
      <c r="N910" s="2" t="inlineStr">
        <is>
          <t>seco_danado</t>
        </is>
      </c>
      <c r="O910" s="2" t="inlineStr">
        <is>
          <t>https://www.jumbo.com.ar/acondicionador-sedal-hidratacion-micelar-2/p</t>
        </is>
      </c>
    </row>
    <row r="911">
      <c r="A911" t="inlineStr">
        <is>
          <t>Jumbo</t>
        </is>
      </c>
      <c r="B911" t="n">
        <v>271678</v>
      </c>
      <c r="C911" t="n">
        <v>271157</v>
      </c>
      <c r="D911" t="inlineStr">
        <is>
          <t>Acondicionador Sedal Hidratacion Micelar.</t>
        </is>
      </c>
      <c r="E911" t="inlineStr">
        <is>
          <t>SEDAL</t>
        </is>
      </c>
      <c r="F911" t="n">
        <v>227.35</v>
      </c>
      <c r="G911" t="n">
        <v>18789</v>
      </c>
      <c r="H911" t="b">
        <v>0</v>
      </c>
      <c r="I911" t="inlineStr"/>
      <c r="J911" t="inlineStr"/>
      <c r="K911" t="inlineStr">
        <is>
          <t>&gt; Perfumería &gt; Cuidado Capilar &gt; Acondicionador &gt;</t>
        </is>
      </c>
      <c r="L911" t="inlineStr">
        <is>
          <t>acondicionador</t>
        </is>
      </c>
      <c r="M911" t="inlineStr">
        <is>
          <t>estandar</t>
        </is>
      </c>
      <c r="N911" t="inlineStr">
        <is>
          <t>seco_danado</t>
        </is>
      </c>
      <c r="O911" t="inlineStr">
        <is>
          <t>https://www.jumbo.com.ar/acondicionador-sedal-hidratacion-micelar/p</t>
        </is>
      </c>
    </row>
    <row r="912">
      <c r="A912" s="2" t="inlineStr">
        <is>
          <t>Jumbo</t>
        </is>
      </c>
      <c r="B912" s="2" t="n">
        <v>254985</v>
      </c>
      <c r="C912" s="2" t="n">
        <v>254279</v>
      </c>
      <c r="D912" s="2" t="inlineStr">
        <is>
          <t>Acondicionador Fructis Coco 350ml</t>
        </is>
      </c>
      <c r="E912" s="2" t="inlineStr">
        <is>
          <t>FRUCTIS</t>
        </is>
      </c>
      <c r="F912" s="2" t="n">
        <v>385.97</v>
      </c>
      <c r="G912" s="2" t="n">
        <v>31898</v>
      </c>
      <c r="H912" s="2" t="b">
        <v>0</v>
      </c>
      <c r="I912" s="2" t="n">
        <v>350</v>
      </c>
      <c r="J912" s="2" t="n">
        <v>1.1028</v>
      </c>
      <c r="K912" s="2" t="inlineStr">
        <is>
          <t>&gt; Perfumería &gt; Cuidado Capilar &gt; Acondicionador &gt;</t>
        </is>
      </c>
      <c r="L912" s="2" t="inlineStr">
        <is>
          <t>acondicionador</t>
        </is>
      </c>
      <c r="M912" s="2" t="inlineStr">
        <is>
          <t>estandar</t>
        </is>
      </c>
      <c r="N912" s="2" t="inlineStr">
        <is>
          <t>general</t>
        </is>
      </c>
      <c r="O912" s="2" t="inlineStr">
        <is>
          <t>https://www.jumbo.com.ar/acondicionador-fructis-coco-350ml/p</t>
        </is>
      </c>
    </row>
    <row r="913">
      <c r="A913" t="inlineStr">
        <is>
          <t>Jumbo</t>
        </is>
      </c>
      <c r="B913" t="n">
        <v>254984</v>
      </c>
      <c r="C913" t="n">
        <v>254278</v>
      </c>
      <c r="D913" t="inlineStr">
        <is>
          <t>Acondicionador Fructis Coco 200ml</t>
        </is>
      </c>
      <c r="E913" t="inlineStr">
        <is>
          <t>FRUCTIS</t>
        </is>
      </c>
      <c r="F913" t="n">
        <v>600</v>
      </c>
      <c r="G913" t="n">
        <v>49587</v>
      </c>
      <c r="H913" t="b">
        <v>0</v>
      </c>
      <c r="I913" t="n">
        <v>200</v>
      </c>
      <c r="J913" t="n">
        <v>3</v>
      </c>
      <c r="K913" t="inlineStr">
        <is>
          <t>&gt; Perfumería &gt; Cuidado Capilar &gt; Acondicionador &gt;</t>
        </is>
      </c>
      <c r="L913" t="inlineStr">
        <is>
          <t>acondicionador</t>
        </is>
      </c>
      <c r="M913" t="inlineStr">
        <is>
          <t>estandar</t>
        </is>
      </c>
      <c r="N913" t="inlineStr">
        <is>
          <t>general</t>
        </is>
      </c>
      <c r="O913" t="inlineStr">
        <is>
          <t>https://www.jumbo.com.ar/acondicionador-fructis-coco-200ml/p</t>
        </is>
      </c>
    </row>
    <row r="914">
      <c r="A914" s="2" t="inlineStr">
        <is>
          <t>Jumbo</t>
        </is>
      </c>
      <c r="B914" s="2" t="n">
        <v>167570</v>
      </c>
      <c r="C914" s="2" t="n">
        <v>165109</v>
      </c>
      <c r="D914" s="2" t="inlineStr">
        <is>
          <t>Pantene Acondicionador Hidrocauterizacion 200ml</t>
        </is>
      </c>
      <c r="E914" s="2" t="inlineStr">
        <is>
          <t>PANTENE</t>
        </is>
      </c>
      <c r="F914" s="2" t="n">
        <v>24.67</v>
      </c>
      <c r="G914" s="2" t="n">
        <v>2039</v>
      </c>
      <c r="H914" s="2" t="b">
        <v>0</v>
      </c>
      <c r="I914" s="2" t="n">
        <v>200</v>
      </c>
      <c r="J914" s="2" t="n">
        <v>0.1234</v>
      </c>
      <c r="K914" s="2" t="inlineStr">
        <is>
          <t>&gt; Perfumería &gt; Cuidado Capilar &gt; Acondicionador &gt;</t>
        </is>
      </c>
      <c r="L914" s="2" t="inlineStr">
        <is>
          <t>acondicionador</t>
        </is>
      </c>
      <c r="M914" s="2" t="inlineStr">
        <is>
          <t>estandar</t>
        </is>
      </c>
      <c r="N914" s="2" t="inlineStr">
        <is>
          <t>general</t>
        </is>
      </c>
      <c r="O914" s="2" t="inlineStr">
        <is>
          <t>https://www.jumbo.com.ar/pantene-acondicionador-hidrocauterizacion-200ml/p</t>
        </is>
      </c>
    </row>
    <row r="915">
      <c r="A915" t="inlineStr">
        <is>
          <t>Jumbo</t>
        </is>
      </c>
      <c r="B915" t="n">
        <v>137974</v>
      </c>
      <c r="C915" t="n">
        <v>134885</v>
      </c>
      <c r="D915" t="inlineStr">
        <is>
          <t>Pantene Acondicionador Summer 400ml</t>
        </is>
      </c>
      <c r="E915" t="inlineStr">
        <is>
          <t>PANTENE</t>
        </is>
      </c>
      <c r="F915" t="n">
        <v>97.29000000000001</v>
      </c>
      <c r="G915" t="n">
        <v>8041</v>
      </c>
      <c r="H915" t="b">
        <v>0</v>
      </c>
      <c r="I915" t="n">
        <v>400</v>
      </c>
      <c r="J915" t="n">
        <v>0.2432</v>
      </c>
      <c r="K915" t="inlineStr">
        <is>
          <t>&gt; Perfumería &gt; Cuidado Capilar &gt; Acondicionador &gt;</t>
        </is>
      </c>
      <c r="L915" t="inlineStr">
        <is>
          <t>acondicionador</t>
        </is>
      </c>
      <c r="M915" t="inlineStr">
        <is>
          <t>estandar</t>
        </is>
      </c>
      <c r="N915" t="inlineStr">
        <is>
          <t>general</t>
        </is>
      </c>
      <c r="O915" t="inlineStr">
        <is>
          <t>https://www.jumbo.com.ar/pantene-acondicionador-summer-400ml-2/p</t>
        </is>
      </c>
    </row>
    <row r="916">
      <c r="A916" s="2" t="inlineStr">
        <is>
          <t>Jumbo</t>
        </is>
      </c>
      <c r="B916" s="2" t="n">
        <v>132340</v>
      </c>
      <c r="C916" s="2" t="n">
        <v>129256</v>
      </c>
      <c r="D916" s="2" t="inlineStr">
        <is>
          <t>Pantene Acondicionador Brilloextremo 750ml</t>
        </is>
      </c>
      <c r="E916" s="2" t="inlineStr">
        <is>
          <t>PANTENE</t>
        </is>
      </c>
      <c r="F916" s="2" t="n">
        <v>284.77</v>
      </c>
      <c r="G916" s="2" t="n">
        <v>23535</v>
      </c>
      <c r="H916" s="2" t="b">
        <v>0</v>
      </c>
      <c r="I916" s="2" t="n">
        <v>750</v>
      </c>
      <c r="J916" s="2" t="n">
        <v>0.3797</v>
      </c>
      <c r="K916" s="2" t="inlineStr">
        <is>
          <t>&gt; Perfumería &gt; Cuidado Capilar &gt; Acondicionador &gt;</t>
        </is>
      </c>
      <c r="L916" s="2" t="inlineStr">
        <is>
          <t>acondicionador</t>
        </is>
      </c>
      <c r="M916" s="2" t="inlineStr">
        <is>
          <t>estandar</t>
        </is>
      </c>
      <c r="N916" s="2" t="inlineStr">
        <is>
          <t>general</t>
        </is>
      </c>
      <c r="O916" s="2" t="inlineStr">
        <is>
          <t>https://www.jumbo.com.ar/pantene-acondicionador-brilloextremo-750ml/p</t>
        </is>
      </c>
    </row>
    <row r="917">
      <c r="A917" t="inlineStr">
        <is>
          <t>Jumbo</t>
        </is>
      </c>
      <c r="B917" t="n">
        <v>132238</v>
      </c>
      <c r="C917" t="n">
        <v>129154</v>
      </c>
      <c r="D917" t="inlineStr">
        <is>
          <t>Pantene Acondicionador Restauracion 400ml</t>
        </is>
      </c>
      <c r="E917" t="inlineStr">
        <is>
          <t>PANTENE</t>
        </is>
      </c>
      <c r="F917" t="n">
        <v>97.29000000000001</v>
      </c>
      <c r="G917" t="n">
        <v>8041</v>
      </c>
      <c r="H917" t="b">
        <v>0</v>
      </c>
      <c r="I917" t="n">
        <v>400</v>
      </c>
      <c r="J917" t="n">
        <v>0.2432</v>
      </c>
      <c r="K917" t="inlineStr">
        <is>
          <t>&gt; Perfumería &gt; Cuidado Capilar &gt; Acondicionador &gt;</t>
        </is>
      </c>
      <c r="L917" t="inlineStr">
        <is>
          <t>acondicionador</t>
        </is>
      </c>
      <c r="M917" t="inlineStr">
        <is>
          <t>estandar</t>
        </is>
      </c>
      <c r="N917" t="inlineStr">
        <is>
          <t>general</t>
        </is>
      </c>
      <c r="O917" t="inlineStr">
        <is>
          <t>https://www.jumbo.com.ar/pantene-acondicionador-restauracion-400ml/p</t>
        </is>
      </c>
    </row>
    <row r="918">
      <c r="A918" s="2" t="inlineStr">
        <is>
          <t>Jumbo</t>
        </is>
      </c>
      <c r="B918" s="2" t="n">
        <v>59393</v>
      </c>
      <c r="C918" s="2" t="n">
        <v>56544</v>
      </c>
      <c r="D918" s="2" t="inlineStr">
        <is>
          <t>Acondicionador Sedal  750 Ml</t>
        </is>
      </c>
      <c r="E918" s="2" t="inlineStr">
        <is>
          <t>SEDAL</t>
        </is>
      </c>
      <c r="F918" s="2" t="n">
        <v>9.279999999999999</v>
      </c>
      <c r="G918" s="2" t="n">
        <v>9.279999999999999</v>
      </c>
      <c r="H918" s="2" t="b">
        <v>0</v>
      </c>
      <c r="I918" s="2" t="n">
        <v>750</v>
      </c>
      <c r="J918" s="2" t="n">
        <v>0.0124</v>
      </c>
      <c r="K918" s="2" t="inlineStr">
        <is>
          <t>&gt; Perfumería &gt; Cuidado Capilar &gt; Acondicionador &gt;</t>
        </is>
      </c>
      <c r="L918" s="2" t="inlineStr">
        <is>
          <t>acondicionador</t>
        </is>
      </c>
      <c r="M918" s="2" t="inlineStr">
        <is>
          <t>estandar</t>
        </is>
      </c>
      <c r="N918" s="2" t="inlineStr">
        <is>
          <t>general</t>
        </is>
      </c>
      <c r="O918" s="2" t="inlineStr">
        <is>
          <t>https://www.jumbo.com.ar/acondicionador-sedal-750-ml-2/p</t>
        </is>
      </c>
    </row>
    <row r="919">
      <c r="A919" t="inlineStr">
        <is>
          <t>Jumbo</t>
        </is>
      </c>
      <c r="B919" t="n">
        <v>46116</v>
      </c>
      <c r="C919" t="n">
        <v>43290</v>
      </c>
      <c r="D919" t="inlineStr">
        <is>
          <t>Acondicionador Head &amp; Shoulders Apple Fresh 400 Ml</t>
        </is>
      </c>
      <c r="E919" t="inlineStr">
        <is>
          <t>HEAD &amp; SHOULDERS</t>
        </is>
      </c>
      <c r="F919" t="n">
        <v>134.83</v>
      </c>
      <c r="G919" t="n">
        <v>11143</v>
      </c>
      <c r="H919" t="b">
        <v>0</v>
      </c>
      <c r="I919" t="n">
        <v>400</v>
      </c>
      <c r="J919" t="n">
        <v>0.3371</v>
      </c>
      <c r="K919" t="inlineStr">
        <is>
          <t>&gt; Perfumería &gt; Cuidado Capilar &gt; Acondicionador &gt;</t>
        </is>
      </c>
      <c r="L919" t="inlineStr">
        <is>
          <t>acondicionador</t>
        </is>
      </c>
      <c r="M919" t="inlineStr">
        <is>
          <t>estandar</t>
        </is>
      </c>
      <c r="N919" t="inlineStr">
        <is>
          <t>general</t>
        </is>
      </c>
      <c r="O919" t="inlineStr">
        <is>
          <t>https://www.jumbo.com.ar/acondicionador-head-shoulders-11/p</t>
        </is>
      </c>
    </row>
    <row r="920">
      <c r="A920" s="2" t="inlineStr">
        <is>
          <t>Jumbo</t>
        </is>
      </c>
      <c r="B920" s="2" t="n">
        <v>31760</v>
      </c>
      <c r="C920" s="2" t="n">
        <v>28919</v>
      </c>
      <c r="D920" s="2" t="inlineStr">
        <is>
          <t>Acondicionador Sedal Liso 650ml Acondicionador Sedal Liso Perfecto 650 Ml</t>
        </is>
      </c>
      <c r="E920" s="2" t="inlineStr">
        <is>
          <t>SEDAL</t>
        </is>
      </c>
      <c r="F920" s="2" t="n">
        <v>296.07</v>
      </c>
      <c r="G920" s="2" t="n">
        <v>24469</v>
      </c>
      <c r="H920" s="2" t="b">
        <v>0</v>
      </c>
      <c r="I920" s="2" t="n">
        <v>650</v>
      </c>
      <c r="J920" s="2" t="n">
        <v>0.4555</v>
      </c>
      <c r="K920" s="2" t="inlineStr">
        <is>
          <t>&gt; Perfumería &gt; Cuidado Capilar &gt; Acondicionador &gt;</t>
        </is>
      </c>
      <c r="L920" s="2" t="inlineStr">
        <is>
          <t>acondicionador</t>
        </is>
      </c>
      <c r="M920" s="2" t="inlineStr">
        <is>
          <t>estandar</t>
        </is>
      </c>
      <c r="N920" s="2" t="inlineStr">
        <is>
          <t>general</t>
        </is>
      </c>
      <c r="O920" s="2" t="inlineStr">
        <is>
          <t>https://www.jumbo.com.ar/acondicionador-sedal-liso-650ml/p</t>
        </is>
      </c>
    </row>
    <row r="921">
      <c r="A921" t="inlineStr">
        <is>
          <t>Jumbo</t>
        </is>
      </c>
      <c r="B921" t="n">
        <v>31097</v>
      </c>
      <c r="C921" t="n">
        <v>28256</v>
      </c>
      <c r="D921" t="inlineStr">
        <is>
          <t>Acondicionador Sedal Rizos 650ml</t>
        </is>
      </c>
      <c r="E921" t="inlineStr">
        <is>
          <t>SEDAL</t>
        </is>
      </c>
      <c r="F921" t="n">
        <v>370.17</v>
      </c>
      <c r="G921" t="n">
        <v>30593</v>
      </c>
      <c r="H921" t="b">
        <v>0</v>
      </c>
      <c r="I921" t="n">
        <v>650</v>
      </c>
      <c r="J921" t="n">
        <v>0.5695</v>
      </c>
      <c r="K921" t="inlineStr">
        <is>
          <t>&gt; Perfumería &gt; Cuidado Capilar &gt; Acondicionador &gt;</t>
        </is>
      </c>
      <c r="L921" t="inlineStr">
        <is>
          <t>acondicionador</t>
        </is>
      </c>
      <c r="M921" t="inlineStr">
        <is>
          <t>estandar</t>
        </is>
      </c>
      <c r="N921" t="inlineStr">
        <is>
          <t>rizado</t>
        </is>
      </c>
      <c r="O921" t="inlineStr">
        <is>
          <t>https://www.jumbo.com.ar/acondicionador-sedal-rizos-650ml/p</t>
        </is>
      </c>
    </row>
    <row r="922">
      <c r="A922" s="2" t="inlineStr">
        <is>
          <t>Jumbo</t>
        </is>
      </c>
      <c r="B922" s="2" t="n">
        <v>31006</v>
      </c>
      <c r="C922" s="2" t="n">
        <v>28165</v>
      </c>
      <c r="D922" s="2" t="inlineStr">
        <is>
          <t>Acondicionador Elvive Renutricion 400ml</t>
        </is>
      </c>
      <c r="E922" s="2" t="inlineStr">
        <is>
          <t>ELVIVE</t>
        </is>
      </c>
      <c r="F922" s="2" t="n">
        <v>430.99</v>
      </c>
      <c r="G922" s="2" t="n">
        <v>35619</v>
      </c>
      <c r="H922" s="2" t="b">
        <v>0</v>
      </c>
      <c r="I922" s="2" t="n">
        <v>400</v>
      </c>
      <c r="J922" s="2" t="n">
        <v>1.0775</v>
      </c>
      <c r="K922" s="2" t="inlineStr">
        <is>
          <t>&gt; Perfumería &gt; Cuidado Capilar &gt; Acondicionador &gt;</t>
        </is>
      </c>
      <c r="L922" s="2" t="inlineStr">
        <is>
          <t>acondicionador</t>
        </is>
      </c>
      <c r="M922" s="2" t="inlineStr">
        <is>
          <t>profesional</t>
        </is>
      </c>
      <c r="N922" s="2" t="inlineStr">
        <is>
          <t>general</t>
        </is>
      </c>
      <c r="O922" s="2" t="inlineStr">
        <is>
          <t>https://www.jumbo.com.ar/acondicionador-elvive-renutricion-400ml/p</t>
        </is>
      </c>
    </row>
    <row r="923">
      <c r="A923" t="inlineStr">
        <is>
          <t>Jumbo</t>
        </is>
      </c>
      <c r="B923" t="n">
        <v>19660</v>
      </c>
      <c r="C923" t="n">
        <v>16823</v>
      </c>
      <c r="D923" t="inlineStr">
        <is>
          <t>Acondicionador Sedal Ceramidas 340ml</t>
        </is>
      </c>
      <c r="E923" t="inlineStr">
        <is>
          <t>SEDAL SOS</t>
        </is>
      </c>
      <c r="F923" t="n">
        <v>176.59</v>
      </c>
      <c r="G923" t="n">
        <v>14594</v>
      </c>
      <c r="H923" t="b">
        <v>0</v>
      </c>
      <c r="I923" t="n">
        <v>340</v>
      </c>
      <c r="J923" t="n">
        <v>0.5194</v>
      </c>
      <c r="K923" t="inlineStr">
        <is>
          <t>&gt; Perfumería &gt; Cuidado Capilar &gt; Acondicionador &gt;</t>
        </is>
      </c>
      <c r="L923" t="inlineStr">
        <is>
          <t>acondicionador</t>
        </is>
      </c>
      <c r="M923" t="inlineStr">
        <is>
          <t>estandar</t>
        </is>
      </c>
      <c r="N923" t="inlineStr">
        <is>
          <t>general</t>
        </is>
      </c>
      <c r="O923" t="inlineStr">
        <is>
          <t>https://www.jumbo.com.ar/acondicionador-sedal-ceramidas-340ml/p</t>
        </is>
      </c>
    </row>
    <row r="924">
      <c r="A924" s="2" t="inlineStr">
        <is>
          <t>Jumbo</t>
        </is>
      </c>
      <c r="B924" s="2" t="n">
        <v>19659</v>
      </c>
      <c r="C924" s="2" t="n">
        <v>16822</v>
      </c>
      <c r="D924" s="2" t="inlineStr">
        <is>
          <t>Acondicionador Sedal Rizos 340ml</t>
        </is>
      </c>
      <c r="E924" s="2" t="inlineStr">
        <is>
          <t>SEDAL</t>
        </is>
      </c>
      <c r="F924" s="2" t="n">
        <v>155.69</v>
      </c>
      <c r="G924" s="2" t="n">
        <v>12867</v>
      </c>
      <c r="H924" s="2" t="b">
        <v>0</v>
      </c>
      <c r="I924" s="2" t="n">
        <v>340</v>
      </c>
      <c r="J924" s="2" t="n">
        <v>0.4579</v>
      </c>
      <c r="K924" s="2" t="inlineStr">
        <is>
          <t>&gt; Perfumería &gt; Cuidado Capilar &gt; Acondicionador &gt;</t>
        </is>
      </c>
      <c r="L924" s="2" t="inlineStr">
        <is>
          <t>acondicionador</t>
        </is>
      </c>
      <c r="M924" s="2" t="inlineStr">
        <is>
          <t>estandar</t>
        </is>
      </c>
      <c r="N924" s="2" t="inlineStr">
        <is>
          <t>rizado</t>
        </is>
      </c>
      <c r="O924" s="2" t="inlineStr">
        <is>
          <t>https://www.jumbo.com.ar/acondicionador-sedal-rizos-340ml/p</t>
        </is>
      </c>
    </row>
    <row r="925">
      <c r="A925" t="inlineStr">
        <is>
          <t>Jumbo</t>
        </is>
      </c>
      <c r="B925" t="n">
        <v>19658</v>
      </c>
      <c r="C925" t="n">
        <v>16821</v>
      </c>
      <c r="D925" t="inlineStr">
        <is>
          <t>Acondicionador Sedal Liso 340ml</t>
        </is>
      </c>
      <c r="E925" t="inlineStr">
        <is>
          <t>SEDAL</t>
        </is>
      </c>
      <c r="F925" t="n">
        <v>400</v>
      </c>
      <c r="G925" t="n">
        <v>33058</v>
      </c>
      <c r="H925" t="b">
        <v>0</v>
      </c>
      <c r="I925" t="n">
        <v>340</v>
      </c>
      <c r="J925" t="n">
        <v>1.1765</v>
      </c>
      <c r="K925" t="inlineStr">
        <is>
          <t>&gt; Perfumería &gt; Cuidado Capilar &gt; Acondicionador &gt;</t>
        </is>
      </c>
      <c r="L925" t="inlineStr">
        <is>
          <t>acondicionador</t>
        </is>
      </c>
      <c r="M925" t="inlineStr">
        <is>
          <t>estandar</t>
        </is>
      </c>
      <c r="N925" t="inlineStr">
        <is>
          <t>general</t>
        </is>
      </c>
      <c r="O925" t="inlineStr">
        <is>
          <t>https://www.jumbo.com.ar/acondicionador-sedal-liso-340ml/p</t>
        </is>
      </c>
    </row>
    <row r="926">
      <c r="A926" s="2" t="inlineStr">
        <is>
          <t>Jumbo</t>
        </is>
      </c>
      <c r="B926" s="2" t="n">
        <v>19517</v>
      </c>
      <c r="C926" s="2" t="n">
        <v>16663</v>
      </c>
      <c r="D926" s="2" t="inlineStr">
        <is>
          <t>Acondicionador Tresemme 200 Ml</t>
        </is>
      </c>
      <c r="E926" s="2" t="inlineStr">
        <is>
          <t>TRESEMMÉ</t>
        </is>
      </c>
      <c r="F926" s="2" t="n">
        <v>123.69</v>
      </c>
      <c r="G926" s="2" t="n">
        <v>10222</v>
      </c>
      <c r="H926" s="2" t="b">
        <v>0</v>
      </c>
      <c r="I926" s="2" t="n">
        <v>200</v>
      </c>
      <c r="J926" s="2" t="n">
        <v>0.6183999999999999</v>
      </c>
      <c r="K926" s="2" t="inlineStr">
        <is>
          <t>&gt; Perfumería &gt; Cuidado Capilar &gt; Acondicionador &gt;</t>
        </is>
      </c>
      <c r="L926" s="2" t="inlineStr">
        <is>
          <t>acondicionador</t>
        </is>
      </c>
      <c r="M926" s="2" t="inlineStr">
        <is>
          <t>estandar</t>
        </is>
      </c>
      <c r="N926" s="2" t="inlineStr">
        <is>
          <t>general</t>
        </is>
      </c>
      <c r="O926" s="2" t="inlineStr">
        <is>
          <t>https://www.jumbo.com.ar/acondicionador-tresemme-200-ml/p</t>
        </is>
      </c>
    </row>
    <row r="927">
      <c r="A927" t="inlineStr">
        <is>
          <t>Jumbo</t>
        </is>
      </c>
      <c r="B927" t="n">
        <v>14383</v>
      </c>
      <c r="C927" t="n">
        <v>11566</v>
      </c>
      <c r="D927" t="inlineStr">
        <is>
          <t>Acondicionador Capilatis Ortiga 350ml</t>
        </is>
      </c>
      <c r="E927" t="inlineStr">
        <is>
          <t>CAPILATIS</t>
        </is>
      </c>
      <c r="F927" t="n">
        <v>941.23</v>
      </c>
      <c r="G927" t="n">
        <v>77788</v>
      </c>
      <c r="H927" t="b">
        <v>0</v>
      </c>
      <c r="I927" t="n">
        <v>350</v>
      </c>
      <c r="J927" t="n">
        <v>2.6892</v>
      </c>
      <c r="K927" t="inlineStr">
        <is>
          <t>&gt; Perfumería &gt; Cuidado Capilar &gt; Acondicionador &gt;</t>
        </is>
      </c>
      <c r="L927" t="inlineStr">
        <is>
          <t>acondicionador</t>
        </is>
      </c>
      <c r="M927" t="inlineStr">
        <is>
          <t>estandar</t>
        </is>
      </c>
      <c r="N927" t="inlineStr">
        <is>
          <t>general</t>
        </is>
      </c>
      <c r="O927" t="inlineStr">
        <is>
          <t>https://www.jumbo.com.ar/acondicionador-capilatis-ortiga-350ml/p</t>
        </is>
      </c>
    </row>
    <row r="928">
      <c r="A928" s="2" t="inlineStr">
        <is>
          <t>Jumbo</t>
        </is>
      </c>
      <c r="B928" s="2" t="n">
        <v>1361142</v>
      </c>
      <c r="C928" s="2" t="n">
        <v>1360547</v>
      </c>
      <c r="D928" s="2" t="inlineStr">
        <is>
          <t>Acondicionador Keratina 700 Ml Pantene</t>
        </is>
      </c>
      <c r="E928" s="2" t="inlineStr">
        <is>
          <t>PANTENE</t>
        </is>
      </c>
      <c r="F928" s="2" t="n">
        <v>14500</v>
      </c>
      <c r="G928" s="2" t="n">
        <v>1198347</v>
      </c>
      <c r="H928" s="2" t="b">
        <v>0</v>
      </c>
      <c r="I928" s="2" t="n">
        <v>700</v>
      </c>
      <c r="J928" s="2" t="n">
        <v>20.7143</v>
      </c>
      <c r="K928" s="2" t="inlineStr">
        <is>
          <t>&gt; Perfumería &gt; Cuidado Capilar &gt; Acondicionador &gt;</t>
        </is>
      </c>
      <c r="L928" s="2" t="inlineStr">
        <is>
          <t>acondicionador</t>
        </is>
      </c>
      <c r="M928" s="2" t="inlineStr">
        <is>
          <t>estandar</t>
        </is>
      </c>
      <c r="N928" s="2" t="inlineStr">
        <is>
          <t>tratado</t>
        </is>
      </c>
      <c r="O928" s="2" t="inlineStr">
        <is>
          <t>https://www.jumbo.com.ar/acondicionador-keratina-700-ml-pantene/p</t>
        </is>
      </c>
    </row>
    <row r="929">
      <c r="A929" t="inlineStr">
        <is>
          <t>Jumbo</t>
        </is>
      </c>
      <c r="B929" t="n">
        <v>415584</v>
      </c>
      <c r="C929" t="n">
        <v>411168</v>
      </c>
      <c r="D929" t="inlineStr">
        <is>
          <t>Acondicionador Pantene  Revilitacion 750 Ml</t>
        </is>
      </c>
      <c r="E929" t="inlineStr">
        <is>
          <t>PANTENE</t>
        </is>
      </c>
      <c r="F929" t="n">
        <v>15650</v>
      </c>
      <c r="G929" t="n">
        <v>1293388</v>
      </c>
      <c r="H929" t="b">
        <v>0</v>
      </c>
      <c r="I929" t="n">
        <v>750</v>
      </c>
      <c r="J929" t="n">
        <v>20.8667</v>
      </c>
      <c r="K929" t="inlineStr">
        <is>
          <t>&gt; Perfumería &gt; Cuidado Capilar &gt; Acondicionador &gt;</t>
        </is>
      </c>
      <c r="L929" t="inlineStr">
        <is>
          <t>acondicionador</t>
        </is>
      </c>
      <c r="M929" t="inlineStr">
        <is>
          <t>estandar</t>
        </is>
      </c>
      <c r="N929" t="inlineStr">
        <is>
          <t>general</t>
        </is>
      </c>
      <c r="O929" t="inlineStr">
        <is>
          <t>https://www.jumbo.com.ar/acondicionador-pantene-revilitacion-750-ml/p</t>
        </is>
      </c>
    </row>
    <row r="930">
      <c r="A930" s="2" t="inlineStr">
        <is>
          <t>Jumbo</t>
        </is>
      </c>
      <c r="B930" s="2" t="n">
        <v>394680</v>
      </c>
      <c r="C930" s="2" t="n">
        <v>392679</v>
      </c>
      <c r="D930" s="2" t="inlineStr">
        <is>
          <t>Acondicionador Pantene Bamboo 235 Ml</t>
        </is>
      </c>
      <c r="E930" s="2" t="inlineStr">
        <is>
          <t>PANTENE</t>
        </is>
      </c>
      <c r="F930" s="2" t="n">
        <v>14050</v>
      </c>
      <c r="G930" s="2" t="n">
        <v>1161157</v>
      </c>
      <c r="H930" s="2" t="b">
        <v>0</v>
      </c>
      <c r="I930" s="2" t="n">
        <v>235</v>
      </c>
      <c r="J930" s="2" t="n">
        <v>59.7872</v>
      </c>
      <c r="K930" s="2" t="inlineStr">
        <is>
          <t>&gt; Perfumería &gt; Cuidado Capilar &gt; Acondicionador &gt;</t>
        </is>
      </c>
      <c r="L930" s="2" t="inlineStr">
        <is>
          <t>acondicionador</t>
        </is>
      </c>
      <c r="M930" s="2" t="inlineStr">
        <is>
          <t>estandar</t>
        </is>
      </c>
      <c r="N930" s="2" t="inlineStr">
        <is>
          <t>general</t>
        </is>
      </c>
      <c r="O930" s="2" t="inlineStr">
        <is>
          <t>https://www.jumbo.com.ar/acondicionador-pantene-bamboo-235-ml/p</t>
        </is>
      </c>
    </row>
    <row r="931">
      <c r="A931" t="inlineStr">
        <is>
          <t>Jumbo</t>
        </is>
      </c>
      <c r="B931" t="n">
        <v>384224</v>
      </c>
      <c r="C931" t="n">
        <v>382913</v>
      </c>
      <c r="D931" t="inlineStr">
        <is>
          <t>Acondicionador Tresemme Cauterización Repa 880ml</t>
        </is>
      </c>
      <c r="E931" t="inlineStr">
        <is>
          <t>TRESEMMÉ</t>
        </is>
      </c>
      <c r="F931" t="n">
        <v>2750</v>
      </c>
      <c r="G931" t="n">
        <v>227273</v>
      </c>
      <c r="H931" t="b">
        <v>0</v>
      </c>
      <c r="I931" t="n">
        <v>880</v>
      </c>
      <c r="J931" t="n">
        <v>3.125</v>
      </c>
      <c r="K931" t="inlineStr">
        <is>
          <t>&gt; Perfumería &gt; Cuidado Capilar &gt; Acondicionador &gt;</t>
        </is>
      </c>
      <c r="L931" t="inlineStr">
        <is>
          <t>acondicionador</t>
        </is>
      </c>
      <c r="M931" t="inlineStr">
        <is>
          <t>estandar</t>
        </is>
      </c>
      <c r="N931" t="inlineStr">
        <is>
          <t>general</t>
        </is>
      </c>
      <c r="O931" t="inlineStr">
        <is>
          <t>https://www.jumbo.com.ar/acondicionador-tresemme-cauterizacion-repa-880ml/p</t>
        </is>
      </c>
    </row>
    <row r="932">
      <c r="A932" s="2" t="inlineStr">
        <is>
          <t>Jumbo</t>
        </is>
      </c>
      <c r="B932" s="2" t="n">
        <v>384217</v>
      </c>
      <c r="C932" s="2" t="n">
        <v>382907</v>
      </c>
      <c r="D932" s="2" t="inlineStr">
        <is>
          <t>Acondicionador Tresemme Matiz Ultravioleta 250ml</t>
        </is>
      </c>
      <c r="E932" s="2" t="inlineStr">
        <is>
          <t>TRESEMMÉ</t>
        </is>
      </c>
      <c r="F932" s="2" t="n">
        <v>506.29</v>
      </c>
      <c r="G932" s="2" t="n">
        <v>41842</v>
      </c>
      <c r="H932" s="2" t="b">
        <v>0</v>
      </c>
      <c r="I932" s="2" t="n">
        <v>250</v>
      </c>
      <c r="J932" s="2" t="n">
        <v>2.0252</v>
      </c>
      <c r="K932" s="2" t="inlineStr">
        <is>
          <t>&gt; Perfumería &gt; Cuidado Capilar &gt; Acondicionador &gt;</t>
        </is>
      </c>
      <c r="L932" s="2" t="inlineStr">
        <is>
          <t>acondicionador</t>
        </is>
      </c>
      <c r="M932" s="2" t="inlineStr">
        <is>
          <t>estandar</t>
        </is>
      </c>
      <c r="N932" s="2" t="inlineStr">
        <is>
          <t>general</t>
        </is>
      </c>
      <c r="O932" s="2" t="inlineStr">
        <is>
          <t>https://www.jumbo.com.ar/acondicionador-tresemme-matiz-ultravioleta-250ml/p</t>
        </is>
      </c>
    </row>
    <row r="933">
      <c r="A933" t="inlineStr">
        <is>
          <t>Jumbo</t>
        </is>
      </c>
      <c r="B933" t="n">
        <v>393662</v>
      </c>
      <c r="C933" t="n">
        <v>391690</v>
      </c>
      <c r="D933" t="inlineStr">
        <is>
          <t>Acondicionador Pantene Restauración 750 Ml</t>
        </is>
      </c>
      <c r="E933" t="inlineStr">
        <is>
          <t>PANTENE</t>
        </is>
      </c>
      <c r="F933" t="n">
        <v>3082.47</v>
      </c>
      <c r="G933" t="n">
        <v>254750</v>
      </c>
      <c r="H933" t="b">
        <v>0</v>
      </c>
      <c r="I933" t="n">
        <v>750</v>
      </c>
      <c r="J933" t="n">
        <v>4.11</v>
      </c>
      <c r="K933" t="inlineStr">
        <is>
          <t>&gt; Perfumería &gt; Cuidado Capilar &gt; Acondicionador &gt;</t>
        </is>
      </c>
      <c r="L933" t="inlineStr">
        <is>
          <t>acondicionador</t>
        </is>
      </c>
      <c r="M933" t="inlineStr">
        <is>
          <t>estandar</t>
        </is>
      </c>
      <c r="N933" t="inlineStr">
        <is>
          <t>general</t>
        </is>
      </c>
      <c r="O933" t="inlineStr">
        <is>
          <t>https://www.jumbo.com.ar/acondicionador-pantene-restauracion-750-ml/p</t>
        </is>
      </c>
    </row>
    <row r="934">
      <c r="A934" s="2" t="inlineStr">
        <is>
          <t>Jumbo</t>
        </is>
      </c>
      <c r="B934" s="2" t="n">
        <v>393611</v>
      </c>
      <c r="C934" s="2" t="n">
        <v>391639</v>
      </c>
      <c r="D934" s="2" t="inlineStr">
        <is>
          <t>Acondicionador Pantene Hidratación 400 Ml</t>
        </is>
      </c>
      <c r="E934" s="2" t="inlineStr">
        <is>
          <t>PANTENE</t>
        </is>
      </c>
      <c r="F934" s="2" t="n">
        <v>10000</v>
      </c>
      <c r="G934" s="2" t="n">
        <v>826446</v>
      </c>
      <c r="H934" s="2" t="b">
        <v>0</v>
      </c>
      <c r="I934" s="2" t="n">
        <v>400</v>
      </c>
      <c r="J934" s="2" t="n">
        <v>25</v>
      </c>
      <c r="K934" s="2" t="inlineStr">
        <is>
          <t>&gt; Perfumería &gt; Cuidado Capilar &gt; Acondicionador &gt;</t>
        </is>
      </c>
      <c r="L934" s="2" t="inlineStr">
        <is>
          <t>acondicionador</t>
        </is>
      </c>
      <c r="M934" s="2" t="inlineStr">
        <is>
          <t>estandar</t>
        </is>
      </c>
      <c r="N934" s="2" t="inlineStr">
        <is>
          <t>seco_danado</t>
        </is>
      </c>
      <c r="O934" s="2" t="inlineStr">
        <is>
          <t>https://www.jumbo.com.ar/acondicionador-pantene-hidratacion-400-ml/p</t>
        </is>
      </c>
    </row>
    <row r="935">
      <c r="A935" t="inlineStr">
        <is>
          <t>Jumbo</t>
        </is>
      </c>
      <c r="B935" t="n">
        <v>375236</v>
      </c>
      <c r="C935" t="n">
        <v>373954</v>
      </c>
      <c r="D935" t="inlineStr">
        <is>
          <t>Acondicionador Fructis Rizos Poderosos 350ml</t>
        </is>
      </c>
      <c r="E935" t="inlineStr">
        <is>
          <t>FRUCTIS</t>
        </is>
      </c>
      <c r="F935" t="n">
        <v>1233.85</v>
      </c>
      <c r="G935" t="n">
        <v>101971</v>
      </c>
      <c r="H935" t="b">
        <v>0</v>
      </c>
      <c r="I935" t="n">
        <v>350</v>
      </c>
      <c r="J935" t="n">
        <v>3.5253</v>
      </c>
      <c r="K935" t="inlineStr">
        <is>
          <t>&gt; Perfumería &gt; Cuidado Capilar &gt; Acondicionador &gt;</t>
        </is>
      </c>
      <c r="L935" t="inlineStr">
        <is>
          <t>acondicionador</t>
        </is>
      </c>
      <c r="M935" t="inlineStr">
        <is>
          <t>estandar</t>
        </is>
      </c>
      <c r="N935" t="inlineStr">
        <is>
          <t>rizado</t>
        </is>
      </c>
      <c r="O935" t="inlineStr">
        <is>
          <t>https://www.jumbo.com.ar/acondicionador-fructis-rizos-poderosos-350ml/p</t>
        </is>
      </c>
    </row>
    <row r="936">
      <c r="A936" s="2" t="inlineStr">
        <is>
          <t>Jumbo</t>
        </is>
      </c>
      <c r="B936" s="2" t="n">
        <v>375230</v>
      </c>
      <c r="C936" s="2" t="n">
        <v>373948</v>
      </c>
      <c r="D936" s="2" t="inlineStr">
        <is>
          <t>Acondicionador Fructis Rizo Manejable 200ml</t>
        </is>
      </c>
      <c r="E936" s="2" t="inlineStr">
        <is>
          <t>FRUCTIS</t>
        </is>
      </c>
      <c r="F936" s="2" t="n">
        <v>801.59</v>
      </c>
      <c r="G936" s="2" t="n">
        <v>66247</v>
      </c>
      <c r="H936" s="2" t="b">
        <v>0</v>
      </c>
      <c r="I936" s="2" t="n">
        <v>200</v>
      </c>
      <c r="J936" s="2" t="n">
        <v>4.008</v>
      </c>
      <c r="K936" s="2" t="inlineStr">
        <is>
          <t>&gt; Perfumería &gt; Cuidado Capilar &gt; Acondicionador &gt;</t>
        </is>
      </c>
      <c r="L936" s="2" t="inlineStr">
        <is>
          <t>acondicionador</t>
        </is>
      </c>
      <c r="M936" s="2" t="inlineStr">
        <is>
          <t>estandar</t>
        </is>
      </c>
      <c r="N936" s="2" t="inlineStr">
        <is>
          <t>general</t>
        </is>
      </c>
      <c r="O936" s="2" t="inlineStr">
        <is>
          <t>https://www.jumbo.com.ar/acondicionador-fructis-rizo-manejable-200ml/p</t>
        </is>
      </c>
    </row>
    <row r="937">
      <c r="A937" t="inlineStr">
        <is>
          <t>Jumbo</t>
        </is>
      </c>
      <c r="B937" t="n">
        <v>349471</v>
      </c>
      <c r="C937" t="n">
        <v>348131</v>
      </c>
      <c r="D937" t="inlineStr">
        <is>
          <t>Acondicionador Plusbelle Docilidad 1000 Ml</t>
        </is>
      </c>
      <c r="E937" t="inlineStr">
        <is>
          <t>PLUSBELLE</t>
        </is>
      </c>
      <c r="F937" t="n">
        <v>1050</v>
      </c>
      <c r="G937" t="n">
        <v>86777</v>
      </c>
      <c r="H937" t="b">
        <v>0</v>
      </c>
      <c r="I937" t="n">
        <v>1000</v>
      </c>
      <c r="J937" t="n">
        <v>1.05</v>
      </c>
      <c r="K937" t="inlineStr">
        <is>
          <t>&gt; Perfumería &gt; Cuidado Capilar &gt; Acondicionador &gt;</t>
        </is>
      </c>
      <c r="L937" t="inlineStr">
        <is>
          <t>acondicionador</t>
        </is>
      </c>
      <c r="M937" t="inlineStr">
        <is>
          <t>estandar</t>
        </is>
      </c>
      <c r="N937" t="inlineStr">
        <is>
          <t>general</t>
        </is>
      </c>
      <c r="O937" t="inlineStr">
        <is>
          <t>https://www.jumbo.com.ar/acondicionador-plusbelle-docilidad-1000-ml/p</t>
        </is>
      </c>
    </row>
    <row r="938">
      <c r="A938" s="2" t="inlineStr">
        <is>
          <t>Jumbo</t>
        </is>
      </c>
      <c r="B938" s="2" t="n">
        <v>349470</v>
      </c>
      <c r="C938" s="2" t="n">
        <v>348130</v>
      </c>
      <c r="D938" s="2" t="inlineStr">
        <is>
          <t>Acondicionador Plusbelle Reparación 1000 Ml</t>
        </is>
      </c>
      <c r="E938" s="2" t="inlineStr">
        <is>
          <t>PLUSBELLE</t>
        </is>
      </c>
      <c r="F938" s="2" t="n">
        <v>1214.29</v>
      </c>
      <c r="G938" s="2" t="n">
        <v>100355</v>
      </c>
      <c r="H938" s="2" t="b">
        <v>0</v>
      </c>
      <c r="I938" s="2" t="n">
        <v>1000</v>
      </c>
      <c r="J938" s="2" t="n">
        <v>1.2143</v>
      </c>
      <c r="K938" s="2" t="inlineStr">
        <is>
          <t>&gt; Perfumería &gt; Cuidado Capilar &gt; Acondicionador &gt;</t>
        </is>
      </c>
      <c r="L938" s="2" t="inlineStr">
        <is>
          <t>acondicionador</t>
        </is>
      </c>
      <c r="M938" s="2" t="inlineStr">
        <is>
          <t>estandar</t>
        </is>
      </c>
      <c r="N938" s="2" t="inlineStr">
        <is>
          <t>general</t>
        </is>
      </c>
      <c r="O938" s="2" t="inlineStr">
        <is>
          <t>https://www.jumbo.com.ar/acondicionador-plusbelle-reparacion-1000-ml/p</t>
        </is>
      </c>
    </row>
    <row r="939">
      <c r="A939" t="inlineStr">
        <is>
          <t>Jumbo</t>
        </is>
      </c>
      <c r="B939" t="n">
        <v>346762</v>
      </c>
      <c r="C939" t="n">
        <v>345437</v>
      </c>
      <c r="D939" t="inlineStr">
        <is>
          <t>Acondicionador Elvive Extreme Reconstructor 200ml</t>
        </is>
      </c>
      <c r="E939" t="inlineStr">
        <is>
          <t>ELVIVE</t>
        </is>
      </c>
      <c r="F939" t="n">
        <v>850</v>
      </c>
      <c r="G939" t="n">
        <v>70248</v>
      </c>
      <c r="H939" t="b">
        <v>0</v>
      </c>
      <c r="I939" t="n">
        <v>200</v>
      </c>
      <c r="J939" t="n">
        <v>4.25</v>
      </c>
      <c r="K939" t="inlineStr">
        <is>
          <t>&gt; Perfumería &gt; Cuidado Capilar &gt; Acondicionador &gt;</t>
        </is>
      </c>
      <c r="L939" t="inlineStr">
        <is>
          <t>acondicionador</t>
        </is>
      </c>
      <c r="M939" t="inlineStr">
        <is>
          <t>profesional</t>
        </is>
      </c>
      <c r="N939" t="inlineStr">
        <is>
          <t>general</t>
        </is>
      </c>
      <c r="O939" t="inlineStr">
        <is>
          <t>https://www.jumbo.com.ar/acondicionador-elvive-extreme-reconstructor-200ml/p</t>
        </is>
      </c>
    </row>
    <row r="940">
      <c r="A940" s="2" t="inlineStr">
        <is>
          <t>Jumbo</t>
        </is>
      </c>
      <c r="B940" s="2" t="n">
        <v>341814</v>
      </c>
      <c r="C940" s="2" t="n">
        <v>340501</v>
      </c>
      <c r="D940" s="2" t="inlineStr">
        <is>
          <t>Acondicionador Head&amp;shoulders Sensitive 300ml</t>
        </is>
      </c>
      <c r="E940" s="2" t="inlineStr">
        <is>
          <t>HEAD &amp; SHOULDERS</t>
        </is>
      </c>
      <c r="F940" s="2" t="n">
        <v>8150</v>
      </c>
      <c r="G940" s="2" t="n">
        <v>673554</v>
      </c>
      <c r="H940" s="2" t="b">
        <v>0</v>
      </c>
      <c r="I940" s="2" t="n">
        <v>300</v>
      </c>
      <c r="J940" s="2" t="n">
        <v>27.1667</v>
      </c>
      <c r="K940" s="2" t="inlineStr">
        <is>
          <t>&gt; Perfumería &gt; Cuidado Capilar &gt; Acondicionador &gt;</t>
        </is>
      </c>
      <c r="L940" s="2" t="inlineStr">
        <is>
          <t>acondicionador</t>
        </is>
      </c>
      <c r="M940" s="2" t="inlineStr">
        <is>
          <t>estandar</t>
        </is>
      </c>
      <c r="N940" s="2" t="inlineStr">
        <is>
          <t>general</t>
        </is>
      </c>
      <c r="O940" s="2" t="inlineStr">
        <is>
          <t>https://www.jumbo.com.ar/acondicionador-head-shoulders-sensitive-300ml-2/p</t>
        </is>
      </c>
    </row>
    <row r="941">
      <c r="A941" t="inlineStr">
        <is>
          <t>Jumbo</t>
        </is>
      </c>
      <c r="B941" t="n">
        <v>341264</v>
      </c>
      <c r="C941" t="n">
        <v>339953</v>
      </c>
      <c r="D941" t="inlineStr">
        <is>
          <t>Tío Nacho Acondicionador Purificación 415ml</t>
        </is>
      </c>
      <c r="E941" t="inlineStr">
        <is>
          <t>Tio Nacho</t>
        </is>
      </c>
      <c r="F941" t="n">
        <v>785.29</v>
      </c>
      <c r="G941" t="n">
        <v>64900</v>
      </c>
      <c r="H941" t="b">
        <v>0</v>
      </c>
      <c r="I941" t="n">
        <v>415</v>
      </c>
      <c r="J941" t="n">
        <v>1.8923</v>
      </c>
      <c r="K941" t="inlineStr">
        <is>
          <t>&gt; Perfumería &gt; Cuidado Capilar &gt; Acondicionador &gt;</t>
        </is>
      </c>
      <c r="L941" t="inlineStr">
        <is>
          <t>acondicionador</t>
        </is>
      </c>
      <c r="M941" t="inlineStr">
        <is>
          <t>estandar</t>
        </is>
      </c>
      <c r="N941" t="inlineStr">
        <is>
          <t>general</t>
        </is>
      </c>
      <c r="O941" t="inlineStr">
        <is>
          <t>https://www.jumbo.com.ar/tio-nacho-acondicionador-purificacion-415ml/p</t>
        </is>
      </c>
    </row>
    <row r="942">
      <c r="A942" s="2" t="inlineStr">
        <is>
          <t>Jumbo</t>
        </is>
      </c>
      <c r="B942" s="2" t="n">
        <v>339395</v>
      </c>
      <c r="C942" s="2" t="n">
        <v>338086</v>
      </c>
      <c r="D942" s="2" t="inlineStr">
        <is>
          <t>Acondicionador Fructis Recarga Nut 350ml</t>
        </is>
      </c>
      <c r="E942" s="2" t="inlineStr">
        <is>
          <t>FRUCTIS</t>
        </is>
      </c>
      <c r="F942" s="2" t="n">
        <v>635.1900000000001</v>
      </c>
      <c r="G942" s="2" t="n">
        <v>52495</v>
      </c>
      <c r="H942" s="2" t="b">
        <v>0</v>
      </c>
      <c r="I942" s="2" t="n">
        <v>350</v>
      </c>
      <c r="J942" s="2" t="n">
        <v>1.8148</v>
      </c>
      <c r="K942" s="2" t="inlineStr">
        <is>
          <t>&gt; Perfumería &gt; Cuidado Capilar &gt; Acondicionador &gt;</t>
        </is>
      </c>
      <c r="L942" s="2" t="inlineStr">
        <is>
          <t>acondicionador</t>
        </is>
      </c>
      <c r="M942" s="2" t="inlineStr">
        <is>
          <t>estandar</t>
        </is>
      </c>
      <c r="N942" s="2" t="inlineStr">
        <is>
          <t>general</t>
        </is>
      </c>
      <c r="O942" s="2" t="inlineStr">
        <is>
          <t>https://www.jumbo.com.ar/acondicionador-fructis-recarga-nut-350ml-2/p</t>
        </is>
      </c>
    </row>
    <row r="943">
      <c r="A943" t="inlineStr">
        <is>
          <t>Jumbo</t>
        </is>
      </c>
      <c r="B943" t="n">
        <v>338985</v>
      </c>
      <c r="C943" t="n">
        <v>316518</v>
      </c>
      <c r="D943" t="inlineStr">
        <is>
          <t>Acondicionador Suave Aloe Detox 930ml Acondicionador Suave Aloe Detox 930 Ml</t>
        </is>
      </c>
      <c r="E943" t="inlineStr">
        <is>
          <t>SUAVE</t>
        </is>
      </c>
      <c r="F943" t="n">
        <v>307.55</v>
      </c>
      <c r="G943" t="n">
        <v>25417</v>
      </c>
      <c r="H943" t="b">
        <v>0</v>
      </c>
      <c r="I943" t="n">
        <v>930</v>
      </c>
      <c r="J943" t="n">
        <v>0.3307</v>
      </c>
      <c r="K943" t="inlineStr">
        <is>
          <t>&gt; Perfumería &gt; Cuidado Capilar &gt; Acondicionador &gt;</t>
        </is>
      </c>
      <c r="L943" t="inlineStr">
        <is>
          <t>acondicionador</t>
        </is>
      </c>
      <c r="M943" t="inlineStr">
        <is>
          <t>estandar</t>
        </is>
      </c>
      <c r="N943" t="inlineStr">
        <is>
          <t>bebe</t>
        </is>
      </c>
      <c r="O943" t="inlineStr">
        <is>
          <t>https://www.jumbo.com.ar/acondicionador-suave-aloe-detox-930ml/p</t>
        </is>
      </c>
    </row>
    <row r="944">
      <c r="A944" s="2" t="inlineStr">
        <is>
          <t>Jumbo</t>
        </is>
      </c>
      <c r="B944" s="2" t="n">
        <v>333072</v>
      </c>
      <c r="C944" s="2" t="n">
        <v>332220</v>
      </c>
      <c r="D944" s="2" t="inlineStr">
        <is>
          <t>Jabon Acondicionador Fragancia Prolongada 200ml</t>
        </is>
      </c>
      <c r="E944" s="2" t="inlineStr">
        <is>
          <t>JOHNSON BABY</t>
        </is>
      </c>
      <c r="F944" s="2" t="n">
        <v>1050</v>
      </c>
      <c r="G944" s="2" t="n">
        <v>86777</v>
      </c>
      <c r="H944" s="2" t="b">
        <v>0</v>
      </c>
      <c r="I944" s="2" t="n">
        <v>200</v>
      </c>
      <c r="J944" s="2" t="n">
        <v>5.25</v>
      </c>
      <c r="K944" s="2" t="inlineStr">
        <is>
          <t>&gt; Mundo Bebe &gt; Higiene para el Bebe &gt; Higiene del Bebé &gt;</t>
        </is>
      </c>
      <c r="L944" s="2" t="inlineStr">
        <is>
          <t>acondicionador</t>
        </is>
      </c>
      <c r="M944" s="2" t="inlineStr">
        <is>
          <t>estandar</t>
        </is>
      </c>
      <c r="N944" s="2" t="inlineStr">
        <is>
          <t>general</t>
        </is>
      </c>
      <c r="O944" s="2" t="inlineStr">
        <is>
          <t>https://www.jumbo.com.ar/jabon-acondicionador-fragancia-prolongada-200ml/p</t>
        </is>
      </c>
    </row>
    <row r="945">
      <c r="A945" t="inlineStr">
        <is>
          <t>Jumbo</t>
        </is>
      </c>
      <c r="B945" t="n">
        <v>331659</v>
      </c>
      <c r="C945" t="n">
        <v>330817</v>
      </c>
      <c r="D945" t="inlineStr">
        <is>
          <t>Elvive Acondicionador Hidra Hialuronico 200ml</t>
        </is>
      </c>
      <c r="E945" t="inlineStr">
        <is>
          <t>ELVIVE</t>
        </is>
      </c>
      <c r="F945" t="n">
        <v>770.85</v>
      </c>
      <c r="G945" t="n">
        <v>63707</v>
      </c>
      <c r="H945" t="b">
        <v>0</v>
      </c>
      <c r="I945" t="n">
        <v>200</v>
      </c>
      <c r="J945" t="n">
        <v>3.8542</v>
      </c>
      <c r="K945" t="inlineStr">
        <is>
          <t>&gt; Perfumería &gt; Cuidado Capilar &gt; Acondicionador &gt;</t>
        </is>
      </c>
      <c r="L945" t="inlineStr">
        <is>
          <t>acondicionador</t>
        </is>
      </c>
      <c r="M945" t="inlineStr">
        <is>
          <t>profesional</t>
        </is>
      </c>
      <c r="N945" t="inlineStr">
        <is>
          <t>general</t>
        </is>
      </c>
      <c r="O945" t="inlineStr">
        <is>
          <t>https://www.jumbo.com.ar/elvive-acondicionador-hidra-hialuronico-200ml/p</t>
        </is>
      </c>
    </row>
    <row r="946">
      <c r="A946" s="2" t="inlineStr">
        <is>
          <t>Jumbo</t>
        </is>
      </c>
      <c r="B946" s="2" t="n">
        <v>313254</v>
      </c>
      <c r="C946" s="2" t="n">
        <v>312492</v>
      </c>
      <c r="D946" s="2" t="inlineStr">
        <is>
          <t>Acondicionador Fructis Food Aloe 300ml</t>
        </is>
      </c>
      <c r="E946" s="2" t="inlineStr">
        <is>
          <t>FRUCTIS</t>
        </is>
      </c>
      <c r="F946" s="2" t="n">
        <v>557.25</v>
      </c>
      <c r="G946" s="2" t="n">
        <v>46054</v>
      </c>
      <c r="H946" s="2" t="b">
        <v>0</v>
      </c>
      <c r="I946" s="2" t="n">
        <v>300</v>
      </c>
      <c r="J946" s="2" t="n">
        <v>1.8575</v>
      </c>
      <c r="K946" s="2" t="inlineStr">
        <is>
          <t>&gt; Perfumería &gt; Cuidado Capilar &gt; Acondicionador &gt;</t>
        </is>
      </c>
      <c r="L946" s="2" t="inlineStr">
        <is>
          <t>acondicionador</t>
        </is>
      </c>
      <c r="M946" s="2" t="inlineStr">
        <is>
          <t>estandar</t>
        </is>
      </c>
      <c r="N946" s="2" t="inlineStr">
        <is>
          <t>general</t>
        </is>
      </c>
      <c r="O946" s="2" t="inlineStr">
        <is>
          <t>https://www.jumbo.com.ar/acondicionador-fructis-food-aloe-300ml/p</t>
        </is>
      </c>
    </row>
    <row r="947">
      <c r="A947" t="inlineStr">
        <is>
          <t>Jumbo</t>
        </is>
      </c>
      <c r="B947" t="n">
        <v>307902</v>
      </c>
      <c r="C947" t="n">
        <v>307140</v>
      </c>
      <c r="D947" t="inlineStr">
        <is>
          <t>Acondicionador Polyana Ceramidas 300 Ml</t>
        </is>
      </c>
      <c r="E947" t="inlineStr">
        <is>
          <t>POLYANA</t>
        </is>
      </c>
      <c r="F947" t="n">
        <v>300</v>
      </c>
      <c r="G947" t="n">
        <v>24793</v>
      </c>
      <c r="H947" t="b">
        <v>0</v>
      </c>
      <c r="I947" t="n">
        <v>300</v>
      </c>
      <c r="J947" t="n">
        <v>1</v>
      </c>
      <c r="K947" t="inlineStr">
        <is>
          <t>&gt; Perfumería &gt; Cuidado Capilar &gt; Acondicionador &gt;</t>
        </is>
      </c>
      <c r="L947" t="inlineStr">
        <is>
          <t>acondicionador</t>
        </is>
      </c>
      <c r="M947" t="inlineStr">
        <is>
          <t>estandar</t>
        </is>
      </c>
      <c r="N947" t="inlineStr">
        <is>
          <t>general</t>
        </is>
      </c>
      <c r="O947" t="inlineStr">
        <is>
          <t>https://www.jumbo.com.ar/acondicionador-polyana-ceramidas-300-ml/p</t>
        </is>
      </c>
    </row>
    <row r="948">
      <c r="A948" s="2" t="inlineStr">
        <is>
          <t>Jumbo</t>
        </is>
      </c>
      <c r="B948" s="2" t="n">
        <v>300067</v>
      </c>
      <c r="C948" s="2" t="n">
        <v>299284</v>
      </c>
      <c r="D948" s="2" t="inlineStr">
        <is>
          <t>Acondicionador Suave Naturals Detox Refrescant</t>
        </is>
      </c>
      <c r="E948" s="2" t="inlineStr">
        <is>
          <t>SUAVE</t>
        </is>
      </c>
      <c r="F948" s="2" t="n">
        <v>128.59</v>
      </c>
      <c r="G948" s="2" t="n">
        <v>10627</v>
      </c>
      <c r="H948" s="2" t="b">
        <v>0</v>
      </c>
      <c r="I948" s="2" t="inlineStr"/>
      <c r="J948" s="2" t="inlineStr"/>
      <c r="K948" s="2" t="inlineStr">
        <is>
          <t>&gt; Perfumería &gt; Cuidado Capilar &gt; Acondicionador &gt;</t>
        </is>
      </c>
      <c r="L948" s="2" t="inlineStr">
        <is>
          <t>acondicionador</t>
        </is>
      </c>
      <c r="M948" s="2" t="inlineStr">
        <is>
          <t>estandar</t>
        </is>
      </c>
      <c r="N948" s="2" t="inlineStr">
        <is>
          <t>bebe</t>
        </is>
      </c>
      <c r="O948" s="2" t="inlineStr">
        <is>
          <t>https://www.jumbo.com.ar/acondicionador-suave-naturals-detox-refrescant/p</t>
        </is>
      </c>
    </row>
    <row r="949">
      <c r="A949" t="inlineStr">
        <is>
          <t>Jumbo</t>
        </is>
      </c>
      <c r="B949" t="n">
        <v>300056</v>
      </c>
      <c r="C949" t="n">
        <v>299273</v>
      </c>
      <c r="D949" t="inlineStr">
        <is>
          <t>Acondicionador Dove Fuerza Vital 400ml</t>
        </is>
      </c>
      <c r="E949" t="inlineStr">
        <is>
          <t>DOVE</t>
        </is>
      </c>
      <c r="F949" t="n">
        <v>549.95</v>
      </c>
      <c r="G949" t="n">
        <v>45450</v>
      </c>
      <c r="H949" t="b">
        <v>0</v>
      </c>
      <c r="I949" t="n">
        <v>400</v>
      </c>
      <c r="J949" t="n">
        <v>1.3749</v>
      </c>
      <c r="K949" t="inlineStr">
        <is>
          <t>&gt; Perfumería &gt; Cuidado Capilar &gt; Acondicionador &gt;</t>
        </is>
      </c>
      <c r="L949" t="inlineStr">
        <is>
          <t>acondicionador</t>
        </is>
      </c>
      <c r="M949" t="inlineStr">
        <is>
          <t>estandar</t>
        </is>
      </c>
      <c r="N949" t="inlineStr">
        <is>
          <t>general</t>
        </is>
      </c>
      <c r="O949" t="inlineStr">
        <is>
          <t>https://www.jumbo.com.ar/acondicionador-dove-fuerza-vital-400ml/p</t>
        </is>
      </c>
    </row>
    <row r="950">
      <c r="A950" s="2" t="inlineStr">
        <is>
          <t>Jumbo</t>
        </is>
      </c>
      <c r="B950" s="2" t="n">
        <v>294860</v>
      </c>
      <c r="C950" s="2" t="n">
        <v>294091</v>
      </c>
      <c r="D950" s="2" t="inlineStr">
        <is>
          <t>Acondicionador Fructis Hidra Bomb 350ml</t>
        </is>
      </c>
      <c r="E950" s="2" t="inlineStr">
        <is>
          <t>FRUCTIS</t>
        </is>
      </c>
      <c r="F950" s="2" t="n">
        <v>917.79</v>
      </c>
      <c r="G950" s="2" t="n">
        <v>75850</v>
      </c>
      <c r="H950" s="2" t="b">
        <v>0</v>
      </c>
      <c r="I950" s="2" t="n">
        <v>350</v>
      </c>
      <c r="J950" s="2" t="n">
        <v>2.6223</v>
      </c>
      <c r="K950" s="2" t="inlineStr">
        <is>
          <t>&gt; Perfumería &gt; Cuidado Capilar &gt; Acondicionador &gt;</t>
        </is>
      </c>
      <c r="L950" s="2" t="inlineStr">
        <is>
          <t>acondicionador</t>
        </is>
      </c>
      <c r="M950" s="2" t="inlineStr">
        <is>
          <t>estandar</t>
        </is>
      </c>
      <c r="N950" s="2" t="inlineStr">
        <is>
          <t>general</t>
        </is>
      </c>
      <c r="O950" s="2" t="inlineStr">
        <is>
          <t>https://www.jumbo.com.ar/acondicionador-fructis-hidra-bomb-350ml/p</t>
        </is>
      </c>
    </row>
    <row r="951">
      <c r="A951" t="inlineStr">
        <is>
          <t>Jumbo</t>
        </is>
      </c>
      <c r="B951" t="n">
        <v>263625</v>
      </c>
      <c r="C951" t="n">
        <v>263345</v>
      </c>
      <c r="D951" t="inlineStr">
        <is>
          <t>Acondicionador Suave Manzanilla 930 Ml</t>
        </is>
      </c>
      <c r="E951" t="inlineStr">
        <is>
          <t>SUAVE</t>
        </is>
      </c>
      <c r="F951" t="n">
        <v>103.84</v>
      </c>
      <c r="G951" t="n">
        <v>8582</v>
      </c>
      <c r="H951" t="b">
        <v>0</v>
      </c>
      <c r="I951" t="n">
        <v>930</v>
      </c>
      <c r="J951" t="n">
        <v>0.1117</v>
      </c>
      <c r="K951" t="inlineStr">
        <is>
          <t>&gt; Perfumería &gt; Cuidado Capilar &gt; Acondicionador &gt;</t>
        </is>
      </c>
      <c r="L951" t="inlineStr">
        <is>
          <t>acondicionador</t>
        </is>
      </c>
      <c r="M951" t="inlineStr">
        <is>
          <t>estandar</t>
        </is>
      </c>
      <c r="N951" t="inlineStr">
        <is>
          <t>bebe</t>
        </is>
      </c>
      <c r="O951" t="inlineStr">
        <is>
          <t>https://www.jumbo.com.ar/acondicionador-suave-manzanilla-930-ml/p</t>
        </is>
      </c>
    </row>
    <row r="952">
      <c r="A952" s="2" t="inlineStr">
        <is>
          <t>Jumbo</t>
        </is>
      </c>
      <c r="B952" s="2" t="n">
        <v>262727</v>
      </c>
      <c r="C952" s="2" t="n">
        <v>262016</v>
      </c>
      <c r="D952" s="2" t="inlineStr">
        <is>
          <t>Acondicionador Marc Anthony Argan 250ml</t>
        </is>
      </c>
      <c r="E952" s="2" t="inlineStr">
        <is>
          <t>MARC ANTHONY</t>
        </is>
      </c>
      <c r="F952" s="2" t="n">
        <v>880.29</v>
      </c>
      <c r="G952" s="2" t="n">
        <v>72751</v>
      </c>
      <c r="H952" s="2" t="b">
        <v>0</v>
      </c>
      <c r="I952" s="2" t="n">
        <v>250</v>
      </c>
      <c r="J952" s="2" t="n">
        <v>3.5212</v>
      </c>
      <c r="K952" s="2" t="inlineStr">
        <is>
          <t>&gt; Perfumería &gt; Cuidado Capilar &gt; Acondicionador &gt;</t>
        </is>
      </c>
      <c r="L952" s="2" t="inlineStr">
        <is>
          <t>acondicionador</t>
        </is>
      </c>
      <c r="M952" s="2" t="inlineStr">
        <is>
          <t>estandar</t>
        </is>
      </c>
      <c r="N952" s="2" t="inlineStr">
        <is>
          <t>general</t>
        </is>
      </c>
      <c r="O952" s="2" t="inlineStr">
        <is>
          <t>https://www.jumbo.com.ar/acondicionador-marc-anthony-argan-250ml/p</t>
        </is>
      </c>
    </row>
    <row r="953">
      <c r="A953" t="inlineStr">
        <is>
          <t>Jumbo</t>
        </is>
      </c>
      <c r="B953" t="n">
        <v>262725</v>
      </c>
      <c r="C953" t="n">
        <v>262014</v>
      </c>
      <c r="D953" t="inlineStr">
        <is>
          <t>Acondicionador Marc Anthony Coco 250ml</t>
        </is>
      </c>
      <c r="E953" t="inlineStr">
        <is>
          <t>MARC ANTHONY</t>
        </is>
      </c>
      <c r="F953" t="n">
        <v>880.29</v>
      </c>
      <c r="G953" t="n">
        <v>72751</v>
      </c>
      <c r="H953" t="b">
        <v>0</v>
      </c>
      <c r="I953" t="n">
        <v>250</v>
      </c>
      <c r="J953" t="n">
        <v>3.5212</v>
      </c>
      <c r="K953" t="inlineStr">
        <is>
          <t>&gt; Perfumería &gt; Cuidado Capilar &gt; Acondicionador &gt;</t>
        </is>
      </c>
      <c r="L953" t="inlineStr">
        <is>
          <t>acondicionador</t>
        </is>
      </c>
      <c r="M953" t="inlineStr">
        <is>
          <t>estandar</t>
        </is>
      </c>
      <c r="N953" t="inlineStr">
        <is>
          <t>general</t>
        </is>
      </c>
      <c r="O953" t="inlineStr">
        <is>
          <t>https://www.jumbo.com.ar/acondicionador-marc-anthony-coco-250ml/p</t>
        </is>
      </c>
    </row>
    <row r="954">
      <c r="A954" s="2" t="inlineStr">
        <is>
          <t>Jumbo</t>
        </is>
      </c>
      <c r="B954" s="2" t="n">
        <v>247593</v>
      </c>
      <c r="C954" s="2" t="n">
        <v>244274</v>
      </c>
      <c r="D954" s="2" t="inlineStr">
        <is>
          <t>Acondicionador Tresemme Bajo Poo 400ml</t>
        </is>
      </c>
      <c r="E954" s="2" t="inlineStr">
        <is>
          <t>TRESEMMÉ</t>
        </is>
      </c>
      <c r="F954" s="2" t="n">
        <v>283.29</v>
      </c>
      <c r="G954" s="2" t="n">
        <v>23412</v>
      </c>
      <c r="H954" s="2" t="b">
        <v>0</v>
      </c>
      <c r="I954" s="2" t="n">
        <v>400</v>
      </c>
      <c r="J954" s="2" t="n">
        <v>0.7082000000000001</v>
      </c>
      <c r="K954" s="2" t="inlineStr">
        <is>
          <t>&gt; Perfumería &gt; Cuidado Capilar &gt; Acondicionador &gt;</t>
        </is>
      </c>
      <c r="L954" s="2" t="inlineStr">
        <is>
          <t>acondicionador</t>
        </is>
      </c>
      <c r="M954" s="2" t="inlineStr">
        <is>
          <t>estandar</t>
        </is>
      </c>
      <c r="N954" s="2" t="inlineStr">
        <is>
          <t>general</t>
        </is>
      </c>
      <c r="O954" s="2" t="inlineStr">
        <is>
          <t>https://www.jumbo.com.ar/acondicionador-tresemme-bajo-poo-400ml/p</t>
        </is>
      </c>
    </row>
    <row r="955">
      <c r="A955" t="inlineStr">
        <is>
          <t>Jumbo</t>
        </is>
      </c>
      <c r="B955" t="n">
        <v>134227</v>
      </c>
      <c r="C955" t="n">
        <v>131137</v>
      </c>
      <c r="D955" t="inlineStr">
        <is>
          <t>Acondicionador Comfort-original-paq-un.-2</t>
        </is>
      </c>
      <c r="E955" t="inlineStr">
        <is>
          <t>COMFORT</t>
        </is>
      </c>
      <c r="F955" t="n">
        <v>15.75</v>
      </c>
      <c r="G955" t="n">
        <v>15.75</v>
      </c>
      <c r="H955" t="b">
        <v>0</v>
      </c>
      <c r="I955" t="inlineStr"/>
      <c r="J955" t="inlineStr"/>
      <c r="K955" t="inlineStr">
        <is>
          <t>&gt; Limpieza &gt; Cuidado Para La Ropa &gt; Suavizantes &gt;</t>
        </is>
      </c>
      <c r="L955" t="inlineStr">
        <is>
          <t>acondicionador</t>
        </is>
      </c>
      <c r="M955" t="inlineStr">
        <is>
          <t>estandar</t>
        </is>
      </c>
      <c r="N955" t="inlineStr">
        <is>
          <t>general</t>
        </is>
      </c>
      <c r="O955" t="inlineStr">
        <is>
          <t>https://www.jumbo.com.ar/acondicionador-comfort-original-paq-un-2/p</t>
        </is>
      </c>
    </row>
    <row r="956">
      <c r="A956" s="2" t="inlineStr">
        <is>
          <t>Jumbo</t>
        </is>
      </c>
      <c r="B956" s="2" t="n">
        <v>130575</v>
      </c>
      <c r="C956" s="2" t="n">
        <v>127504</v>
      </c>
      <c r="D956" s="2" t="inlineStr">
        <is>
          <t>Acondicionador Pantene Fusión Naturaleza 400ml</t>
        </is>
      </c>
      <c r="E956" s="2" t="inlineStr">
        <is>
          <t>PANTENE</t>
        </is>
      </c>
      <c r="F956" s="2" t="n">
        <v>40.15</v>
      </c>
      <c r="G956" s="2" t="n">
        <v>3318</v>
      </c>
      <c r="H956" s="2" t="b">
        <v>0</v>
      </c>
      <c r="I956" s="2" t="n">
        <v>400</v>
      </c>
      <c r="J956" s="2" t="n">
        <v>0.1004</v>
      </c>
      <c r="K956" s="2" t="inlineStr">
        <is>
          <t>&gt; Perfumería &gt; Cuidado Capilar &gt; Acondicionador &gt;</t>
        </is>
      </c>
      <c r="L956" s="2" t="inlineStr">
        <is>
          <t>acondicionador</t>
        </is>
      </c>
      <c r="M956" s="2" t="inlineStr">
        <is>
          <t>estandar</t>
        </is>
      </c>
      <c r="N956" s="2" t="inlineStr">
        <is>
          <t>general</t>
        </is>
      </c>
      <c r="O956" s="2" t="inlineStr">
        <is>
          <t>https://www.jumbo.com.ar/acondicionador-pantene-fusion-naturaleza-400ml/p</t>
        </is>
      </c>
    </row>
    <row r="957">
      <c r="A957" t="inlineStr">
        <is>
          <t>Jumbo</t>
        </is>
      </c>
      <c r="B957" t="n">
        <v>115493</v>
      </c>
      <c r="C957" t="n">
        <v>114539</v>
      </c>
      <c r="D957" t="inlineStr">
        <is>
          <t>Acondicionador Comfort X 2 Un Suavizante Comfort Clasico + Suavizante Comfort Creme Almendras Pack 2u</t>
        </is>
      </c>
      <c r="E957" t="inlineStr">
        <is>
          <t>COMFORT</t>
        </is>
      </c>
      <c r="F957" t="n">
        <v>9.369999999999999</v>
      </c>
      <c r="G957" t="n">
        <v>9.369999999999999</v>
      </c>
      <c r="H957" t="b">
        <v>0</v>
      </c>
      <c r="I957" t="inlineStr"/>
      <c r="J957" t="inlineStr"/>
      <c r="K957" t="inlineStr">
        <is>
          <t>&gt; Limpieza &gt; Cuidado Para La Ropa &gt; Suavizantes &gt;</t>
        </is>
      </c>
      <c r="L957" t="inlineStr">
        <is>
          <t>acondicionador</t>
        </is>
      </c>
      <c r="M957" t="inlineStr">
        <is>
          <t>estandar</t>
        </is>
      </c>
      <c r="N957" t="inlineStr">
        <is>
          <t>general</t>
        </is>
      </c>
      <c r="O957" t="inlineStr">
        <is>
          <t>https://www.jumbo.com.ar/acondicionador-comfort-x-2-un-2/p</t>
        </is>
      </c>
    </row>
    <row r="958">
      <c r="A958" s="2" t="inlineStr">
        <is>
          <t>Jumbo</t>
        </is>
      </c>
      <c r="B958" s="2" t="n">
        <v>111840</v>
      </c>
      <c r="C958" s="2" t="n">
        <v>78661</v>
      </c>
      <c r="D958" s="2" t="inlineStr">
        <is>
          <t>Acondicionador Elvive Caida Resist 200ml</t>
        </is>
      </c>
      <c r="E958" s="2" t="inlineStr">
        <is>
          <t>ELVIVE</t>
        </is>
      </c>
      <c r="F958" s="2" t="n">
        <v>266.59</v>
      </c>
      <c r="G958" s="2" t="n">
        <v>22032</v>
      </c>
      <c r="H958" s="2" t="b">
        <v>0</v>
      </c>
      <c r="I958" s="2" t="n">
        <v>200</v>
      </c>
      <c r="J958" s="2" t="n">
        <v>1.3329</v>
      </c>
      <c r="K958" s="2" t="inlineStr">
        <is>
          <t>&gt; Perfumería &gt; Cuidado Capilar &gt; Acondicionador &gt;</t>
        </is>
      </c>
      <c r="L958" s="2" t="inlineStr">
        <is>
          <t>acondicionador</t>
        </is>
      </c>
      <c r="M958" s="2" t="inlineStr">
        <is>
          <t>profesional</t>
        </is>
      </c>
      <c r="N958" s="2" t="inlineStr">
        <is>
          <t>general</t>
        </is>
      </c>
      <c r="O958" s="2" t="inlineStr">
        <is>
          <t>https://www.jumbo.com.ar/acondicionador-elvive-caida-resist-200ml/p</t>
        </is>
      </c>
    </row>
    <row r="959">
      <c r="A959" t="inlineStr">
        <is>
          <t>Jumbo</t>
        </is>
      </c>
      <c r="B959" t="n">
        <v>44630</v>
      </c>
      <c r="C959" t="n">
        <v>41801</v>
      </c>
      <c r="D959" t="inlineStr">
        <is>
          <t>Acondicionador Elvive O Extra Prof 200ml</t>
        </is>
      </c>
      <c r="E959" t="inlineStr">
        <is>
          <t>ELVIVE</t>
        </is>
      </c>
      <c r="F959" t="n">
        <v>290.85</v>
      </c>
      <c r="G959" t="n">
        <v>24037</v>
      </c>
      <c r="H959" t="b">
        <v>0</v>
      </c>
      <c r="I959" t="n">
        <v>200</v>
      </c>
      <c r="J959" t="n">
        <v>1.4543</v>
      </c>
      <c r="K959" t="inlineStr">
        <is>
          <t>&gt; Perfumería &gt; Cuidado Capilar &gt; Acondicionador &gt;</t>
        </is>
      </c>
      <c r="L959" t="inlineStr">
        <is>
          <t>acondicionador</t>
        </is>
      </c>
      <c r="M959" t="inlineStr">
        <is>
          <t>profesional</t>
        </is>
      </c>
      <c r="N959" t="inlineStr">
        <is>
          <t>general</t>
        </is>
      </c>
      <c r="O959" t="inlineStr">
        <is>
          <t>https://www.jumbo.com.ar/acondicionador-elvive-o-extra-prof-200ml-2/p</t>
        </is>
      </c>
    </row>
    <row r="960">
      <c r="A960" s="2" t="inlineStr">
        <is>
          <t>Jumbo</t>
        </is>
      </c>
      <c r="B960" s="2" t="n">
        <v>44619</v>
      </c>
      <c r="C960" s="2" t="n">
        <v>41790</v>
      </c>
      <c r="D960" s="2" t="inlineStr">
        <is>
          <t>Acondicionador Elvive O Extra Prof 400ml</t>
        </is>
      </c>
      <c r="E960" s="2" t="inlineStr">
        <is>
          <t>ELVIVE</t>
        </is>
      </c>
      <c r="F960" s="2" t="n">
        <v>470.23</v>
      </c>
      <c r="G960" s="2" t="n">
        <v>38862</v>
      </c>
      <c r="H960" s="2" t="b">
        <v>0</v>
      </c>
      <c r="I960" s="2" t="n">
        <v>400</v>
      </c>
      <c r="J960" s="2" t="n">
        <v>1.1756</v>
      </c>
      <c r="K960" s="2" t="inlineStr">
        <is>
          <t>&gt; Perfumería &gt; Cuidado Capilar &gt; Acondicionador &gt;</t>
        </is>
      </c>
      <c r="L960" s="2" t="inlineStr">
        <is>
          <t>acondicionador</t>
        </is>
      </c>
      <c r="M960" s="2" t="inlineStr">
        <is>
          <t>profesional</t>
        </is>
      </c>
      <c r="N960" s="2" t="inlineStr">
        <is>
          <t>general</t>
        </is>
      </c>
      <c r="O960" s="2" t="inlineStr">
        <is>
          <t>https://www.jumbo.com.ar/acondicionador-elvive-o-extra-prof-400ml-2/p</t>
        </is>
      </c>
    </row>
    <row r="961">
      <c r="A961" t="inlineStr">
        <is>
          <t>Jumbo</t>
        </is>
      </c>
      <c r="B961" t="n">
        <v>42719</v>
      </c>
      <c r="C961" t="n">
        <v>39890</v>
      </c>
      <c r="D961" t="inlineStr">
        <is>
          <t>Acondicionador Plusbelle Antíoxidante 1 L</t>
        </is>
      </c>
      <c r="E961" t="inlineStr">
        <is>
          <t>PLUSBELLE</t>
        </is>
      </c>
      <c r="F961" t="n">
        <v>155.65</v>
      </c>
      <c r="G961" t="n">
        <v>12864</v>
      </c>
      <c r="H961" t="b">
        <v>0</v>
      </c>
      <c r="I961" t="n">
        <v>1000</v>
      </c>
      <c r="J961" t="n">
        <v>0.1557</v>
      </c>
      <c r="K961" t="inlineStr">
        <is>
          <t>&gt; Perfumería &gt; Cuidado Capilar &gt; Acondicionador &gt;</t>
        </is>
      </c>
      <c r="L961" t="inlineStr">
        <is>
          <t>acondicionador</t>
        </is>
      </c>
      <c r="M961" t="inlineStr">
        <is>
          <t>estandar</t>
        </is>
      </c>
      <c r="N961" t="inlineStr">
        <is>
          <t>general</t>
        </is>
      </c>
      <c r="O961" t="inlineStr">
        <is>
          <t>https://www.jumbo.com.ar/acondicionador-plusbelle-antioxidante-1-l/p</t>
        </is>
      </c>
    </row>
    <row r="962">
      <c r="A962" s="2" t="inlineStr">
        <is>
          <t>Jumbo</t>
        </is>
      </c>
      <c r="B962" s="2" t="n">
        <v>41550</v>
      </c>
      <c r="C962" s="2" t="n">
        <v>38715</v>
      </c>
      <c r="D962" s="2" t="inlineStr">
        <is>
          <t>Acondicionador Fructis Oil Repair 650ml</t>
        </is>
      </c>
      <c r="E962" s="2" t="inlineStr">
        <is>
          <t>FRUCTIS</t>
        </is>
      </c>
      <c r="F962" s="2" t="n">
        <v>381.19</v>
      </c>
      <c r="G962" s="2" t="n">
        <v>31503</v>
      </c>
      <c r="H962" s="2" t="b">
        <v>0</v>
      </c>
      <c r="I962" s="2" t="n">
        <v>650</v>
      </c>
      <c r="J962" s="2" t="n">
        <v>0.5864</v>
      </c>
      <c r="K962" s="2" t="inlineStr">
        <is>
          <t>&gt; Perfumería &gt; Cuidado Capilar &gt; Acondicionador &gt;</t>
        </is>
      </c>
      <c r="L962" s="2" t="inlineStr">
        <is>
          <t>acondicionador</t>
        </is>
      </c>
      <c r="M962" s="2" t="inlineStr">
        <is>
          <t>profesional</t>
        </is>
      </c>
      <c r="N962" s="2" t="inlineStr">
        <is>
          <t>general</t>
        </is>
      </c>
      <c r="O962" s="2" t="inlineStr">
        <is>
          <t>https://www.jumbo.com.ar/acondicionador-fructis-oil-repair-650ml-2/p</t>
        </is>
      </c>
    </row>
    <row r="963">
      <c r="A963" t="inlineStr">
        <is>
          <t>Jumbo</t>
        </is>
      </c>
      <c r="B963" t="n">
        <v>41369</v>
      </c>
      <c r="C963" t="n">
        <v>38534</v>
      </c>
      <c r="D963" t="inlineStr">
        <is>
          <t>Acondicionador Fructis Goodbye Daños 350ml</t>
        </is>
      </c>
      <c r="E963" t="inlineStr">
        <is>
          <t>FRUCTIS</t>
        </is>
      </c>
      <c r="F963" t="n">
        <v>596.99</v>
      </c>
      <c r="G963" t="n">
        <v>49338</v>
      </c>
      <c r="H963" t="b">
        <v>0</v>
      </c>
      <c r="I963" t="n">
        <v>350</v>
      </c>
      <c r="J963" t="n">
        <v>1.7057</v>
      </c>
      <c r="K963" t="inlineStr">
        <is>
          <t>&gt; Perfumería &gt; Cuidado Capilar &gt; Acondicionador &gt;</t>
        </is>
      </c>
      <c r="L963" t="inlineStr">
        <is>
          <t>acondicionador</t>
        </is>
      </c>
      <c r="M963" t="inlineStr">
        <is>
          <t>estandar</t>
        </is>
      </c>
      <c r="N963" t="inlineStr">
        <is>
          <t>general</t>
        </is>
      </c>
      <c r="O963" t="inlineStr">
        <is>
          <t>https://www.jumbo.com.ar/acondicionador-fructis-goodbye-danos-350ml-2/p</t>
        </is>
      </c>
    </row>
    <row r="964">
      <c r="A964" s="2" t="inlineStr">
        <is>
          <t>Jumbo</t>
        </is>
      </c>
      <c r="B964" s="2" t="n">
        <v>32220</v>
      </c>
      <c r="C964" s="2" t="n">
        <v>29379</v>
      </c>
      <c r="D964" s="2" t="inlineStr">
        <is>
          <t>Acondicionador Elvive Kera Brillo 750ml</t>
        </is>
      </c>
      <c r="E964" s="2" t="inlineStr">
        <is>
          <t>ELVIVE</t>
        </is>
      </c>
      <c r="F964" s="2" t="n">
        <v>745.65</v>
      </c>
      <c r="G964" s="2" t="n">
        <v>61624</v>
      </c>
      <c r="H964" s="2" t="b">
        <v>0</v>
      </c>
      <c r="I964" s="2" t="n">
        <v>750</v>
      </c>
      <c r="J964" s="2" t="n">
        <v>0.9942</v>
      </c>
      <c r="K964" s="2" t="inlineStr">
        <is>
          <t>&gt; Perfumería &gt; Cuidado Capilar &gt; Acondicionador &gt;</t>
        </is>
      </c>
      <c r="L964" s="2" t="inlineStr">
        <is>
          <t>acondicionador</t>
        </is>
      </c>
      <c r="M964" s="2" t="inlineStr">
        <is>
          <t>profesional</t>
        </is>
      </c>
      <c r="N964" s="2" t="inlineStr">
        <is>
          <t>general</t>
        </is>
      </c>
      <c r="O964" s="2" t="inlineStr">
        <is>
          <t>https://www.jumbo.com.ar/acondicionador-elvive-kera-brillo-750ml/p</t>
        </is>
      </c>
    </row>
    <row r="965">
      <c r="A965" t="inlineStr">
        <is>
          <t>Jumbo</t>
        </is>
      </c>
      <c r="B965" t="n">
        <v>32208</v>
      </c>
      <c r="C965" t="n">
        <v>29367</v>
      </c>
      <c r="D965" t="inlineStr">
        <is>
          <t>Acondicionador Elvive Kera Liso 750ml</t>
        </is>
      </c>
      <c r="E965" t="inlineStr">
        <is>
          <t>ELVIVE</t>
        </is>
      </c>
      <c r="F965" t="n">
        <v>683.47</v>
      </c>
      <c r="G965" t="n">
        <v>56485</v>
      </c>
      <c r="H965" t="b">
        <v>0</v>
      </c>
      <c r="I965" t="n">
        <v>750</v>
      </c>
      <c r="J965" t="n">
        <v>0.9113</v>
      </c>
      <c r="K965" t="inlineStr">
        <is>
          <t>&gt; Perfumería &gt; Cuidado Capilar &gt; Acondicionador &gt;</t>
        </is>
      </c>
      <c r="L965" t="inlineStr">
        <is>
          <t>acondicionador</t>
        </is>
      </c>
      <c r="M965" t="inlineStr">
        <is>
          <t>profesional</t>
        </is>
      </c>
      <c r="N965" t="inlineStr">
        <is>
          <t>general</t>
        </is>
      </c>
      <c r="O965" t="inlineStr">
        <is>
          <t>https://www.jumbo.com.ar/acondicionador-elvive-kera-liso-750ml/p</t>
        </is>
      </c>
    </row>
    <row r="966">
      <c r="A966" s="2" t="inlineStr">
        <is>
          <t>Jumbo</t>
        </is>
      </c>
      <c r="B966" s="2" t="n">
        <v>31505</v>
      </c>
      <c r="C966" s="2" t="n">
        <v>28664</v>
      </c>
      <c r="D966" s="2" t="inlineStr">
        <is>
          <t>Acondicionador Elvive Color Vive 400ml</t>
        </is>
      </c>
      <c r="E966" s="2" t="inlineStr">
        <is>
          <t>ELVIVE</t>
        </is>
      </c>
      <c r="F966" s="2" t="n">
        <v>533.85</v>
      </c>
      <c r="G966" s="2" t="n">
        <v>44120</v>
      </c>
      <c r="H966" s="2" t="b">
        <v>0</v>
      </c>
      <c r="I966" s="2" t="n">
        <v>400</v>
      </c>
      <c r="J966" s="2" t="n">
        <v>1.3346</v>
      </c>
      <c r="K966" s="2" t="inlineStr">
        <is>
          <t>&gt; Perfumería &gt; Cuidado Capilar &gt; Acondicionador &gt;</t>
        </is>
      </c>
      <c r="L966" s="2" t="inlineStr">
        <is>
          <t>acondicionador</t>
        </is>
      </c>
      <c r="M966" s="2" t="inlineStr">
        <is>
          <t>profesional</t>
        </is>
      </c>
      <c r="N966" s="2" t="inlineStr">
        <is>
          <t>tratado</t>
        </is>
      </c>
      <c r="O966" s="2" t="inlineStr">
        <is>
          <t>https://www.jumbo.com.ar/acondicionador-elvive-color-vive-400ml-2/p</t>
        </is>
      </c>
    </row>
    <row r="967">
      <c r="A967" t="inlineStr">
        <is>
          <t>Jumbo</t>
        </is>
      </c>
      <c r="B967" t="n">
        <v>31315</v>
      </c>
      <c r="C967" t="n">
        <v>28474</v>
      </c>
      <c r="D967" t="inlineStr">
        <is>
          <t>Acondicionador Elvive Kera Liso 400ml</t>
        </is>
      </c>
      <c r="E967" t="inlineStr">
        <is>
          <t>ELVIVE</t>
        </is>
      </c>
      <c r="F967" t="n">
        <v>533.85</v>
      </c>
      <c r="G967" t="n">
        <v>44120</v>
      </c>
      <c r="H967" t="b">
        <v>0</v>
      </c>
      <c r="I967" t="n">
        <v>400</v>
      </c>
      <c r="J967" t="n">
        <v>1.3346</v>
      </c>
      <c r="K967" t="inlineStr">
        <is>
          <t>&gt; Perfumería &gt; Cuidado Capilar &gt; Acondicionador &gt;</t>
        </is>
      </c>
      <c r="L967" t="inlineStr">
        <is>
          <t>acondicionador</t>
        </is>
      </c>
      <c r="M967" t="inlineStr">
        <is>
          <t>profesional</t>
        </is>
      </c>
      <c r="N967" t="inlineStr">
        <is>
          <t>general</t>
        </is>
      </c>
      <c r="O967" t="inlineStr">
        <is>
          <t>https://www.jumbo.com.ar/acondicionador-elvive-kera-liso-400ml-2/p</t>
        </is>
      </c>
    </row>
    <row r="968">
      <c r="A968" s="2" t="inlineStr">
        <is>
          <t>Jumbo</t>
        </is>
      </c>
      <c r="B968" s="2" t="n">
        <v>30912</v>
      </c>
      <c r="C968" s="2" t="n">
        <v>28071</v>
      </c>
      <c r="D968" s="2" t="inlineStr">
        <is>
          <t>Acondicionador Elvive Kera Brillo 200ml</t>
        </is>
      </c>
      <c r="E968" s="2" t="inlineStr">
        <is>
          <t>ELVIVE</t>
        </is>
      </c>
      <c r="F968" s="2" t="n">
        <v>330.19</v>
      </c>
      <c r="G968" s="2" t="n">
        <v>27288</v>
      </c>
      <c r="H968" s="2" t="b">
        <v>0</v>
      </c>
      <c r="I968" s="2" t="n">
        <v>200</v>
      </c>
      <c r="J968" s="2" t="n">
        <v>1.6509</v>
      </c>
      <c r="K968" s="2" t="inlineStr">
        <is>
          <t>&gt; Perfumería &gt; Cuidado Capilar &gt; Acondicionador &gt;</t>
        </is>
      </c>
      <c r="L968" s="2" t="inlineStr">
        <is>
          <t>acondicionador</t>
        </is>
      </c>
      <c r="M968" s="2" t="inlineStr">
        <is>
          <t>profesional</t>
        </is>
      </c>
      <c r="N968" s="2" t="inlineStr">
        <is>
          <t>general</t>
        </is>
      </c>
      <c r="O968" s="2" t="inlineStr">
        <is>
          <t>https://www.jumbo.com.ar/acondicionador-elvive-kera-brillo-200ml/p</t>
        </is>
      </c>
    </row>
    <row r="969">
      <c r="A969" t="inlineStr">
        <is>
          <t>Jumbo</t>
        </is>
      </c>
      <c r="B969" t="n">
        <v>28027</v>
      </c>
      <c r="C969" t="n">
        <v>25186</v>
      </c>
      <c r="D969" t="inlineStr">
        <is>
          <t>Acondicionador Plusbelle Alisado X-tremo</t>
        </is>
      </c>
      <c r="E969" t="inlineStr">
        <is>
          <t>PLUSBELLE</t>
        </is>
      </c>
      <c r="F969" t="n">
        <v>155.25</v>
      </c>
      <c r="G969" t="n">
        <v>12831</v>
      </c>
      <c r="H969" t="b">
        <v>0</v>
      </c>
      <c r="I969" t="inlineStr"/>
      <c r="J969" t="inlineStr"/>
      <c r="K969" t="inlineStr">
        <is>
          <t>&gt; Perfumería &gt; Cuidado Capilar &gt; Acondicionador &gt;</t>
        </is>
      </c>
      <c r="L969" t="inlineStr">
        <is>
          <t>acondicionador</t>
        </is>
      </c>
      <c r="M969" t="inlineStr">
        <is>
          <t>estandar</t>
        </is>
      </c>
      <c r="N969" t="inlineStr">
        <is>
          <t>tratado</t>
        </is>
      </c>
      <c r="O969" t="inlineStr">
        <is>
          <t>https://www.jumbo.com.ar/acondicionador-plusbelle-alisado-x-tremo/p</t>
        </is>
      </c>
    </row>
    <row r="970">
      <c r="A970" s="2" t="inlineStr">
        <is>
          <t>Jumbo</t>
        </is>
      </c>
      <c r="B970" s="2" t="n">
        <v>28019</v>
      </c>
      <c r="C970" s="2" t="n">
        <v>25178</v>
      </c>
      <c r="D970" s="2" t="inlineStr">
        <is>
          <t>Acondicionador Head &amp; Shoulders Winter 400 Ml</t>
        </is>
      </c>
      <c r="E970" s="2" t="inlineStr">
        <is>
          <t>HEAD &amp; SHOULDERS</t>
        </is>
      </c>
      <c r="F970" s="2" t="n">
        <v>167.29</v>
      </c>
      <c r="G970" s="2" t="n">
        <v>13826</v>
      </c>
      <c r="H970" s="2" t="b">
        <v>0</v>
      </c>
      <c r="I970" s="2" t="n">
        <v>400</v>
      </c>
      <c r="J970" s="2" t="n">
        <v>0.4182</v>
      </c>
      <c r="K970" s="2" t="inlineStr">
        <is>
          <t>&gt; Perfumería &gt; Cuidado Capilar &gt; Acondicionador &gt;</t>
        </is>
      </c>
      <c r="L970" s="2" t="inlineStr">
        <is>
          <t>acondicionador</t>
        </is>
      </c>
      <c r="M970" s="2" t="inlineStr">
        <is>
          <t>estandar</t>
        </is>
      </c>
      <c r="N970" s="2" t="inlineStr">
        <is>
          <t>general</t>
        </is>
      </c>
      <c r="O970" s="2" t="inlineStr">
        <is>
          <t>https://www.jumbo.com.ar/acondicionador-head-shoulders-winter-2/p</t>
        </is>
      </c>
    </row>
    <row r="971">
      <c r="A971" t="inlineStr">
        <is>
          <t>Jumbo</t>
        </is>
      </c>
      <c r="B971" t="n">
        <v>27986</v>
      </c>
      <c r="C971" t="n">
        <v>25145</v>
      </c>
      <c r="D971" t="inlineStr">
        <is>
          <t>Acondicionador Head &amp; Shoulders Winter 200 Ml</t>
        </is>
      </c>
      <c r="E971" t="inlineStr">
        <is>
          <t>HEAD &amp; SHOULDERS</t>
        </is>
      </c>
      <c r="F971" t="n">
        <v>45.29</v>
      </c>
      <c r="G971" t="n">
        <v>3743</v>
      </c>
      <c r="H971" t="b">
        <v>0</v>
      </c>
      <c r="I971" t="n">
        <v>200</v>
      </c>
      <c r="J971" t="n">
        <v>0.2264</v>
      </c>
      <c r="K971" t="inlineStr">
        <is>
          <t>&gt; Perfumería &gt; Cuidado Capilar &gt; Acondicionador &gt;</t>
        </is>
      </c>
      <c r="L971" t="inlineStr">
        <is>
          <t>acondicionador</t>
        </is>
      </c>
      <c r="M971" t="inlineStr">
        <is>
          <t>estandar</t>
        </is>
      </c>
      <c r="N971" t="inlineStr">
        <is>
          <t>general</t>
        </is>
      </c>
      <c r="O971" t="inlineStr">
        <is>
          <t>https://www.jumbo.com.ar/acondicionador-head-shoulders-winter/p</t>
        </is>
      </c>
    </row>
    <row r="972">
      <c r="A972" s="2" t="inlineStr">
        <is>
          <t>Jumbo</t>
        </is>
      </c>
      <c r="B972" s="2" t="n">
        <v>22428</v>
      </c>
      <c r="C972" s="2" t="n">
        <v>19590</v>
      </c>
      <c r="D972" s="2" t="inlineStr">
        <is>
          <t>Acondicionador Elvive Rizos Hidr 400ml</t>
        </is>
      </c>
      <c r="E972" s="2" t="inlineStr">
        <is>
          <t>ELVIVE</t>
        </is>
      </c>
      <c r="F972" s="2" t="n">
        <v>850</v>
      </c>
      <c r="G972" s="2" t="n">
        <v>70248</v>
      </c>
      <c r="H972" s="2" t="b">
        <v>0</v>
      </c>
      <c r="I972" s="2" t="n">
        <v>400</v>
      </c>
      <c r="J972" s="2" t="n">
        <v>2.125</v>
      </c>
      <c r="K972" s="2" t="inlineStr">
        <is>
          <t>&gt; Perfumería &gt; Cuidado Capilar &gt; Acondicionador &gt;</t>
        </is>
      </c>
      <c r="L972" s="2" t="inlineStr">
        <is>
          <t>acondicionador</t>
        </is>
      </c>
      <c r="M972" s="2" t="inlineStr">
        <is>
          <t>profesional</t>
        </is>
      </c>
      <c r="N972" s="2" t="inlineStr">
        <is>
          <t>rizado</t>
        </is>
      </c>
      <c r="O972" s="2" t="inlineStr">
        <is>
          <t>https://www.jumbo.com.ar/acondicionador-elvive-rizos-hidr-400ml/p</t>
        </is>
      </c>
    </row>
    <row r="973">
      <c r="A973" t="inlineStr">
        <is>
          <t>Jumbo</t>
        </is>
      </c>
      <c r="B973" t="n">
        <v>19664</v>
      </c>
      <c r="C973" t="n">
        <v>16828</v>
      </c>
      <c r="D973" t="inlineStr">
        <is>
          <t>Acondicionador Sedal Pureza Detox 340ml</t>
        </is>
      </c>
      <c r="E973" t="inlineStr">
        <is>
          <t>SEDAL</t>
        </is>
      </c>
      <c r="F973" t="n">
        <v>155.69</v>
      </c>
      <c r="G973" t="n">
        <v>12867</v>
      </c>
      <c r="H973" t="b">
        <v>0</v>
      </c>
      <c r="I973" t="n">
        <v>340</v>
      </c>
      <c r="J973" t="n">
        <v>0.4579</v>
      </c>
      <c r="K973" t="inlineStr">
        <is>
          <t>&gt; Perfumería &gt; Cuidado Capilar &gt; Acondicionador &gt;</t>
        </is>
      </c>
      <c r="L973" t="inlineStr">
        <is>
          <t>acondicionador</t>
        </is>
      </c>
      <c r="M973" t="inlineStr">
        <is>
          <t>estandar</t>
        </is>
      </c>
      <c r="N973" t="inlineStr">
        <is>
          <t>general</t>
        </is>
      </c>
      <c r="O973" t="inlineStr">
        <is>
          <t>https://www.jumbo.com.ar/acondicionador-sedal-pureza-detox-340ml/p</t>
        </is>
      </c>
    </row>
    <row r="974">
      <c r="A974" s="2" t="inlineStr">
        <is>
          <t>Jumbo</t>
        </is>
      </c>
      <c r="B974" s="2" t="n">
        <v>18072</v>
      </c>
      <c r="C974" s="2" t="n">
        <v>15169</v>
      </c>
      <c r="D974" s="2" t="inlineStr">
        <is>
          <t>Acondicionador Antiall Cosmético 350 Ml</t>
        </is>
      </c>
      <c r="E974" s="2" t="inlineStr">
        <is>
          <t>ANTIALL</t>
        </is>
      </c>
      <c r="F974" s="2" t="n">
        <v>47.79</v>
      </c>
      <c r="G974" s="2" t="n">
        <v>3950</v>
      </c>
      <c r="H974" s="2" t="b">
        <v>0</v>
      </c>
      <c r="I974" s="2" t="n">
        <v>350</v>
      </c>
      <c r="J974" s="2" t="n">
        <v>0.1365</v>
      </c>
      <c r="K974" s="2" t="inlineStr">
        <is>
          <t>&gt; Perfumería &gt; Cuidado Capilar &gt; Acondicionador &gt;</t>
        </is>
      </c>
      <c r="L974" s="2" t="inlineStr">
        <is>
          <t>acondicionador</t>
        </is>
      </c>
      <c r="M974" s="2" t="inlineStr">
        <is>
          <t>estandar</t>
        </is>
      </c>
      <c r="N974" s="2" t="inlineStr">
        <is>
          <t>general</t>
        </is>
      </c>
      <c r="O974" s="2" t="inlineStr">
        <is>
          <t>https://www.jumbo.com.ar/acondicionador-antiall-cosmetico-350-ml/p</t>
        </is>
      </c>
    </row>
    <row r="975">
      <c r="A975" t="inlineStr">
        <is>
          <t>Jumbo</t>
        </is>
      </c>
      <c r="B975" t="n">
        <v>7785</v>
      </c>
      <c r="C975" t="n">
        <v>5109</v>
      </c>
      <c r="D975" t="inlineStr">
        <is>
          <t>Acondicionador Pantene Liso Sedoso 400ml</t>
        </is>
      </c>
      <c r="E975" t="inlineStr">
        <is>
          <t>PANTENE</t>
        </is>
      </c>
      <c r="F975" t="n">
        <v>315.75</v>
      </c>
      <c r="G975" t="n">
        <v>26095</v>
      </c>
      <c r="H975" t="b">
        <v>0</v>
      </c>
      <c r="I975" t="n">
        <v>400</v>
      </c>
      <c r="J975" t="n">
        <v>0.7894</v>
      </c>
      <c r="K975" t="inlineStr">
        <is>
          <t>&gt; Perfumería &gt; Cuidado Capilar &gt; Acondicionador &gt;</t>
        </is>
      </c>
      <c r="L975" t="inlineStr">
        <is>
          <t>acondicionador</t>
        </is>
      </c>
      <c r="M975" t="inlineStr">
        <is>
          <t>estandar</t>
        </is>
      </c>
      <c r="N975" t="inlineStr">
        <is>
          <t>general</t>
        </is>
      </c>
      <c r="O975" t="inlineStr">
        <is>
          <t>https://www.jumbo.com.ar/acondicionador-pantene-liso-sedoso-400ml/p</t>
        </is>
      </c>
    </row>
    <row r="976">
      <c r="A976" s="2" t="inlineStr">
        <is>
          <t>Jumbo</t>
        </is>
      </c>
      <c r="B976" s="2" t="n">
        <v>7694</v>
      </c>
      <c r="C976" s="2" t="n">
        <v>5020</v>
      </c>
      <c r="D976" s="2" t="inlineStr">
        <is>
          <t>Acondicionador Elvive Rt5 Extreme 200ml</t>
        </is>
      </c>
      <c r="E976" s="2" t="inlineStr">
        <is>
          <t>ELVIVE</t>
        </is>
      </c>
      <c r="F976" s="2" t="n">
        <v>290.85</v>
      </c>
      <c r="G976" s="2" t="n">
        <v>24037</v>
      </c>
      <c r="H976" s="2" t="b">
        <v>0</v>
      </c>
      <c r="I976" s="2" t="n">
        <v>200</v>
      </c>
      <c r="J976" s="2" t="n">
        <v>1.4543</v>
      </c>
      <c r="K976" s="2" t="inlineStr">
        <is>
          <t>&gt; Perfumería &gt; Cuidado Capilar &gt; Acondicionador &gt;</t>
        </is>
      </c>
      <c r="L976" s="2" t="inlineStr">
        <is>
          <t>acondicionador</t>
        </is>
      </c>
      <c r="M976" s="2" t="inlineStr">
        <is>
          <t>profesional</t>
        </is>
      </c>
      <c r="N976" s="2" t="inlineStr">
        <is>
          <t>general</t>
        </is>
      </c>
      <c r="O976" s="2" t="inlineStr">
        <is>
          <t>https://www.jumbo.com.ar/acondicionador-elvive-rt5-extreme-200ml/p</t>
        </is>
      </c>
    </row>
    <row r="977">
      <c r="A977" t="inlineStr">
        <is>
          <t>Jumbo</t>
        </is>
      </c>
      <c r="B977" t="n">
        <v>3087929</v>
      </c>
      <c r="C977" t="n">
        <v>3087157</v>
      </c>
      <c r="D977" t="inlineStr">
        <is>
          <t>Acondicionador Elvive Lifter Colageno 7500ml</t>
        </is>
      </c>
      <c r="E977" t="inlineStr">
        <is>
          <t>ELVIVE</t>
        </is>
      </c>
      <c r="F977" t="n">
        <v>21000</v>
      </c>
      <c r="G977" t="n">
        <v>1735537</v>
      </c>
      <c r="H977" t="b">
        <v>0</v>
      </c>
      <c r="I977" t="n">
        <v>7500</v>
      </c>
      <c r="J977" t="n">
        <v>2.8</v>
      </c>
      <c r="K977" t="inlineStr">
        <is>
          <t>&gt; Perfumería &gt; Cuidado Capilar &gt; Acondicionador &gt;</t>
        </is>
      </c>
      <c r="L977" t="inlineStr">
        <is>
          <t>acondicionador</t>
        </is>
      </c>
      <c r="M977" t="inlineStr">
        <is>
          <t>profesional</t>
        </is>
      </c>
      <c r="N977" t="inlineStr">
        <is>
          <t>general</t>
        </is>
      </c>
      <c r="O977" t="inlineStr">
        <is>
          <t>https://www.jumbo.com.ar/acondicionador-elvive-lifter-colageno-7500ml/p</t>
        </is>
      </c>
    </row>
    <row r="978">
      <c r="A978" s="2" t="inlineStr">
        <is>
          <t>Jumbo</t>
        </is>
      </c>
      <c r="B978" s="2" t="n">
        <v>3068520</v>
      </c>
      <c r="C978" s="2" t="n">
        <v>3068259</v>
      </c>
      <c r="D978" s="2" t="inlineStr">
        <is>
          <t>Acondicionador Antioxi 1000 Ml Plusbelle</t>
        </is>
      </c>
      <c r="E978" s="2" t="inlineStr">
        <is>
          <t>PLUSBELLE</t>
        </is>
      </c>
      <c r="F978" s="2" t="n">
        <v>5600</v>
      </c>
      <c r="G978" s="2" t="n">
        <v>462810</v>
      </c>
      <c r="H978" s="2" t="b">
        <v>0</v>
      </c>
      <c r="I978" s="2" t="n">
        <v>1000</v>
      </c>
      <c r="J978" s="2" t="n">
        <v>5.6</v>
      </c>
      <c r="K978" s="2" t="inlineStr">
        <is>
          <t>&gt; Perfumería &gt; Cuidado Capilar &gt; Acondicionador &gt;</t>
        </is>
      </c>
      <c r="L978" s="2" t="inlineStr">
        <is>
          <t>acondicionador</t>
        </is>
      </c>
      <c r="M978" s="2" t="inlineStr">
        <is>
          <t>estandar</t>
        </is>
      </c>
      <c r="N978" s="2" t="inlineStr">
        <is>
          <t>general</t>
        </is>
      </c>
      <c r="O978" s="2" t="inlineStr">
        <is>
          <t>https://www.jumbo.com.ar/acondicionador-antioxi-1000-ml-plusbelle/p</t>
        </is>
      </c>
    </row>
    <row r="979">
      <c r="A979" t="inlineStr">
        <is>
          <t>Jumbo</t>
        </is>
      </c>
      <c r="B979" t="n">
        <v>412490</v>
      </c>
      <c r="C979" t="n">
        <v>408099</v>
      </c>
      <c r="D979" t="inlineStr">
        <is>
          <t>Acondicionador Fructis Rizos Poderosos 200ml</t>
        </is>
      </c>
      <c r="E979" t="inlineStr">
        <is>
          <t>FRUCTIS</t>
        </is>
      </c>
      <c r="F979" t="n">
        <v>4850</v>
      </c>
      <c r="G979" t="n">
        <v>400826</v>
      </c>
      <c r="H979" t="b">
        <v>0</v>
      </c>
      <c r="I979" t="n">
        <v>200</v>
      </c>
      <c r="J979" t="n">
        <v>24.25</v>
      </c>
      <c r="K979" t="inlineStr">
        <is>
          <t>&gt; Perfumería &gt; Cuidado Capilar &gt; Acondicionador &gt;</t>
        </is>
      </c>
      <c r="L979" t="inlineStr">
        <is>
          <t>acondicionador</t>
        </is>
      </c>
      <c r="M979" t="inlineStr">
        <is>
          <t>estandar</t>
        </is>
      </c>
      <c r="N979" t="inlineStr">
        <is>
          <t>rizado</t>
        </is>
      </c>
      <c r="O979" t="inlineStr">
        <is>
          <t>https://www.jumbo.com.ar/acondicionador-fructis-rizos-poderosos-200ml/p</t>
        </is>
      </c>
    </row>
    <row r="980">
      <c r="A980" s="2" t="inlineStr">
        <is>
          <t>Jumbo</t>
        </is>
      </c>
      <c r="B980" s="2" t="n">
        <v>411248</v>
      </c>
      <c r="C980" s="2" t="n">
        <v>407088</v>
      </c>
      <c r="D980" s="2" t="inlineStr">
        <is>
          <t>Acondicionador Dove Brillo 400 Ml</t>
        </is>
      </c>
      <c r="E980" s="2" t="inlineStr">
        <is>
          <t>DOVE</t>
        </is>
      </c>
      <c r="F980" s="2" t="n">
        <v>8620.65</v>
      </c>
      <c r="G980" s="2" t="n">
        <v>712450</v>
      </c>
      <c r="H980" s="2" t="b">
        <v>0</v>
      </c>
      <c r="I980" s="2" t="n">
        <v>400</v>
      </c>
      <c r="J980" s="2" t="n">
        <v>21.5516</v>
      </c>
      <c r="K980" s="2" t="inlineStr">
        <is>
          <t>&gt; Perfumería &gt; Cuidado Capilar &gt; Acondicionador &gt;</t>
        </is>
      </c>
      <c r="L980" s="2" t="inlineStr">
        <is>
          <t>acondicionador</t>
        </is>
      </c>
      <c r="M980" s="2" t="inlineStr">
        <is>
          <t>estandar</t>
        </is>
      </c>
      <c r="N980" s="2" t="inlineStr">
        <is>
          <t>general</t>
        </is>
      </c>
      <c r="O980" s="2" t="inlineStr">
        <is>
          <t>https://www.jumbo.com.ar/acondicionador-dove-brillo-400-ml/p</t>
        </is>
      </c>
    </row>
    <row r="981">
      <c r="A981" t="inlineStr">
        <is>
          <t>Jumbo</t>
        </is>
      </c>
      <c r="B981" t="n">
        <v>404479</v>
      </c>
      <c r="C981" t="n">
        <v>401481</v>
      </c>
      <c r="D981" t="inlineStr">
        <is>
          <t>Acondicionador Nutritivo 420 Ml Capilatis</t>
        </is>
      </c>
      <c r="E981" t="inlineStr">
        <is>
          <t>CAPILATIS</t>
        </is>
      </c>
      <c r="F981" t="n">
        <v>9250</v>
      </c>
      <c r="G981" t="n">
        <v>764463</v>
      </c>
      <c r="H981" t="b">
        <v>0</v>
      </c>
      <c r="I981" t="n">
        <v>420</v>
      </c>
      <c r="J981" t="n">
        <v>22.0238</v>
      </c>
      <c r="K981" t="inlineStr">
        <is>
          <t>&gt; Perfumería &gt; Cuidado Capilar &gt; Acondicionador &gt;</t>
        </is>
      </c>
      <c r="L981" t="inlineStr">
        <is>
          <t>acondicionador</t>
        </is>
      </c>
      <c r="M981" t="inlineStr">
        <is>
          <t>estandar</t>
        </is>
      </c>
      <c r="N981" t="inlineStr">
        <is>
          <t>general</t>
        </is>
      </c>
      <c r="O981" t="inlineStr">
        <is>
          <t>https://www.jumbo.com.ar/acondicionador-nutritivo-420-ml-capilatis/p</t>
        </is>
      </c>
    </row>
    <row r="982">
      <c r="A982" s="2" t="inlineStr">
        <is>
          <t>Jumbo</t>
        </is>
      </c>
      <c r="B982" s="2" t="n">
        <v>394676</v>
      </c>
      <c r="C982" s="2" t="n">
        <v>392675</v>
      </c>
      <c r="D982" s="2" t="inlineStr">
        <is>
          <t>Acondicionador Ogx Argán 385 Ml</t>
        </is>
      </c>
      <c r="E982" s="2" t="inlineStr">
        <is>
          <t>OGX</t>
        </is>
      </c>
      <c r="F982" s="2" t="n">
        <v>9896.09</v>
      </c>
      <c r="G982" s="2" t="n">
        <v>817859</v>
      </c>
      <c r="H982" s="2" t="b">
        <v>0</v>
      </c>
      <c r="I982" s="2" t="n">
        <v>385</v>
      </c>
      <c r="J982" s="2" t="n">
        <v>25.7041</v>
      </c>
      <c r="K982" s="2" t="inlineStr">
        <is>
          <t>&gt; Perfumería &gt; Cuidado Capilar &gt; Acondicionador &gt;</t>
        </is>
      </c>
      <c r="L982" s="2" t="inlineStr">
        <is>
          <t>acondicionador</t>
        </is>
      </c>
      <c r="M982" s="2" t="inlineStr">
        <is>
          <t>estandar</t>
        </is>
      </c>
      <c r="N982" s="2" t="inlineStr">
        <is>
          <t>general</t>
        </is>
      </c>
      <c r="O982" s="2" t="inlineStr">
        <is>
          <t>https://www.jumbo.com.ar/acondicionador-ogx-argan-385-ml/p</t>
        </is>
      </c>
    </row>
    <row r="983">
      <c r="A983" t="inlineStr">
        <is>
          <t>Jumbo</t>
        </is>
      </c>
      <c r="B983" t="n">
        <v>394484</v>
      </c>
      <c r="C983" t="n">
        <v>392483</v>
      </c>
      <c r="D983" t="inlineStr">
        <is>
          <t>Acondicionador Plusbelle Restauración 300 Ml</t>
        </is>
      </c>
      <c r="E983" t="inlineStr">
        <is>
          <t>PLUSBELLE</t>
        </is>
      </c>
      <c r="F983" t="n">
        <v>2300</v>
      </c>
      <c r="G983" t="n">
        <v>190083</v>
      </c>
      <c r="H983" t="b">
        <v>0</v>
      </c>
      <c r="I983" t="n">
        <v>300</v>
      </c>
      <c r="J983" t="n">
        <v>7.6667</v>
      </c>
      <c r="K983" t="inlineStr">
        <is>
          <t>&gt; Perfumería &gt; Cuidado Capilar &gt; Acondicionador &gt;</t>
        </is>
      </c>
      <c r="L983" t="inlineStr">
        <is>
          <t>acondicionador</t>
        </is>
      </c>
      <c r="M983" t="inlineStr">
        <is>
          <t>estandar</t>
        </is>
      </c>
      <c r="N983" t="inlineStr">
        <is>
          <t>general</t>
        </is>
      </c>
      <c r="O983" t="inlineStr">
        <is>
          <t>https://www.jumbo.com.ar/acondicionador-plusbelle-restauracion-300-ml/p</t>
        </is>
      </c>
    </row>
    <row r="984">
      <c r="A984" s="2" t="inlineStr">
        <is>
          <t>Jumbo</t>
        </is>
      </c>
      <c r="B984" s="2" t="n">
        <v>393645</v>
      </c>
      <c r="C984" s="2" t="n">
        <v>391673</v>
      </c>
      <c r="D984" s="2" t="inlineStr">
        <is>
          <t>Acondicionador Pantene Hidratación 750 Ml</t>
        </is>
      </c>
      <c r="E984" s="2" t="inlineStr">
        <is>
          <t>PANTENE</t>
        </is>
      </c>
      <c r="F984" s="2" t="n">
        <v>2096.89</v>
      </c>
      <c r="G984" s="2" t="n">
        <v>173297</v>
      </c>
      <c r="H984" s="2" t="b">
        <v>0</v>
      </c>
      <c r="I984" s="2" t="n">
        <v>750</v>
      </c>
      <c r="J984" s="2" t="n">
        <v>2.7959</v>
      </c>
      <c r="K984" s="2" t="inlineStr">
        <is>
          <t>&gt; Perfumería &gt; Cuidado Capilar &gt; Acondicionador &gt;</t>
        </is>
      </c>
      <c r="L984" s="2" t="inlineStr">
        <is>
          <t>acondicionador</t>
        </is>
      </c>
      <c r="M984" s="2" t="inlineStr">
        <is>
          <t>estandar</t>
        </is>
      </c>
      <c r="N984" s="2" t="inlineStr">
        <is>
          <t>seco_danado</t>
        </is>
      </c>
      <c r="O984" s="2" t="inlineStr">
        <is>
          <t>https://www.jumbo.com.ar/acondicionador-pantene-hidratacion-750-ml/p</t>
        </is>
      </c>
    </row>
    <row r="985">
      <c r="A985" t="inlineStr">
        <is>
          <t>Jumbo</t>
        </is>
      </c>
      <c r="B985" t="n">
        <v>375270</v>
      </c>
      <c r="C985" t="n">
        <v>373988</v>
      </c>
      <c r="D985" t="inlineStr">
        <is>
          <t>Acondicionador Fructis Recarga Nutritiva 350ml</t>
        </is>
      </c>
      <c r="E985" t="inlineStr">
        <is>
          <t>FRUCTIS</t>
        </is>
      </c>
      <c r="F985" t="n">
        <v>1350</v>
      </c>
      <c r="G985" t="n">
        <v>111570</v>
      </c>
      <c r="H985" t="b">
        <v>0</v>
      </c>
      <c r="I985" t="n">
        <v>350</v>
      </c>
      <c r="J985" t="n">
        <v>3.8571</v>
      </c>
      <c r="K985" t="inlineStr">
        <is>
          <t>&gt; Perfumería &gt; Cuidado Capilar &gt; Acondicionador &gt;</t>
        </is>
      </c>
      <c r="L985" t="inlineStr">
        <is>
          <t>acondicionador</t>
        </is>
      </c>
      <c r="M985" t="inlineStr">
        <is>
          <t>estandar</t>
        </is>
      </c>
      <c r="N985" t="inlineStr">
        <is>
          <t>general</t>
        </is>
      </c>
      <c r="O985" t="inlineStr">
        <is>
          <t>https://www.jumbo.com.ar/acondicionador-fructis-recarga-nutritiva-350ml/p</t>
        </is>
      </c>
    </row>
    <row r="986">
      <c r="A986" s="2" t="inlineStr">
        <is>
          <t>Jumbo</t>
        </is>
      </c>
      <c r="B986" s="2" t="n">
        <v>375240</v>
      </c>
      <c r="C986" s="2" t="n">
        <v>373958</v>
      </c>
      <c r="D986" s="2" t="inlineStr">
        <is>
          <t>Acondicionador Fructis Recarga Nutritiva 200ml</t>
        </is>
      </c>
      <c r="E986" s="2" t="inlineStr">
        <is>
          <t>FRUCTIS</t>
        </is>
      </c>
      <c r="F986" s="2" t="n">
        <v>900</v>
      </c>
      <c r="G986" s="2" t="n">
        <v>74380</v>
      </c>
      <c r="H986" s="2" t="b">
        <v>0</v>
      </c>
      <c r="I986" s="2" t="n">
        <v>200</v>
      </c>
      <c r="J986" s="2" t="n">
        <v>4.5</v>
      </c>
      <c r="K986" s="2" t="inlineStr">
        <is>
          <t>&gt; Perfumería &gt; Cuidado Capilar &gt; Acondicionador &gt;</t>
        </is>
      </c>
      <c r="L986" s="2" t="inlineStr">
        <is>
          <t>acondicionador</t>
        </is>
      </c>
      <c r="M986" s="2" t="inlineStr">
        <is>
          <t>estandar</t>
        </is>
      </c>
      <c r="N986" s="2" t="inlineStr">
        <is>
          <t>general</t>
        </is>
      </c>
      <c r="O986" s="2" t="inlineStr">
        <is>
          <t>https://www.jumbo.com.ar/acondicionador-fructis-recarga-nutritiva-200ml-3/p</t>
        </is>
      </c>
    </row>
    <row r="987">
      <c r="A987" t="inlineStr">
        <is>
          <t>Jumbo</t>
        </is>
      </c>
      <c r="B987" t="n">
        <v>347697</v>
      </c>
      <c r="C987" t="n">
        <v>346372</v>
      </c>
      <c r="D987" t="inlineStr">
        <is>
          <t>Acondicionador  Sedal  Ceramidas  650 Ml</t>
        </is>
      </c>
      <c r="E987" t="inlineStr">
        <is>
          <t>SEDAL</t>
        </is>
      </c>
      <c r="F987" t="n">
        <v>1350</v>
      </c>
      <c r="G987" t="n">
        <v>111570</v>
      </c>
      <c r="H987" t="b">
        <v>0</v>
      </c>
      <c r="I987" t="n">
        <v>650</v>
      </c>
      <c r="J987" t="n">
        <v>2.0769</v>
      </c>
      <c r="K987" t="inlineStr">
        <is>
          <t>&gt; Perfumería &gt; Cuidado Capilar &gt; Acondicionador &gt;</t>
        </is>
      </c>
      <c r="L987" t="inlineStr">
        <is>
          <t>acondicionador</t>
        </is>
      </c>
      <c r="M987" t="inlineStr">
        <is>
          <t>estandar</t>
        </is>
      </c>
      <c r="N987" t="inlineStr">
        <is>
          <t>general</t>
        </is>
      </c>
      <c r="O987" t="inlineStr">
        <is>
          <t>https://www.jumbo.com.ar/acondicionador-sedal-ceramidas-650-ml/p</t>
        </is>
      </c>
    </row>
    <row r="988">
      <c r="A988" s="2" t="inlineStr">
        <is>
          <t>Jumbo</t>
        </is>
      </c>
      <c r="B988" s="2" t="n">
        <v>345098</v>
      </c>
      <c r="C988" s="2" t="n">
        <v>343783</v>
      </c>
      <c r="D988" s="2" t="inlineStr">
        <is>
          <t>Acondicionador Prov Essentials Restauración 200ml</t>
        </is>
      </c>
      <c r="E988" s="2" t="inlineStr">
        <is>
          <t>PANTENE</t>
        </is>
      </c>
      <c r="F988" s="2" t="n">
        <v>1100</v>
      </c>
      <c r="G988" s="2" t="n">
        <v>90909</v>
      </c>
      <c r="H988" s="2" t="b">
        <v>0</v>
      </c>
      <c r="I988" s="2" t="n">
        <v>200</v>
      </c>
      <c r="J988" s="2" t="n">
        <v>5.5</v>
      </c>
      <c r="K988" s="2" t="inlineStr">
        <is>
          <t>&gt; Perfumería &gt; Cuidado Capilar &gt; Acondicionador &gt;</t>
        </is>
      </c>
      <c r="L988" s="2" t="inlineStr">
        <is>
          <t>acondicionador</t>
        </is>
      </c>
      <c r="M988" s="2" t="inlineStr">
        <is>
          <t>estandar</t>
        </is>
      </c>
      <c r="N988" s="2" t="inlineStr">
        <is>
          <t>general</t>
        </is>
      </c>
      <c r="O988" s="2" t="inlineStr">
        <is>
          <t>https://www.jumbo.com.ar/acondicionador-prov-essentials-restauracion-200ml/p</t>
        </is>
      </c>
    </row>
    <row r="989">
      <c r="A989" t="inlineStr">
        <is>
          <t>Jumbo</t>
        </is>
      </c>
      <c r="B989" t="n">
        <v>344165</v>
      </c>
      <c r="C989" t="n">
        <v>342849</v>
      </c>
      <c r="D989" t="inlineStr">
        <is>
          <t>Acondicionador Pantene Brillo X400ml</t>
        </is>
      </c>
      <c r="E989" t="inlineStr">
        <is>
          <t>PANTENE</t>
        </is>
      </c>
      <c r="F989" t="n">
        <v>304.45</v>
      </c>
      <c r="G989" t="n">
        <v>25161</v>
      </c>
      <c r="H989" t="b">
        <v>0</v>
      </c>
      <c r="I989" t="n">
        <v>400</v>
      </c>
      <c r="J989" t="n">
        <v>0.7611</v>
      </c>
      <c r="K989" t="inlineStr">
        <is>
          <t>&gt; Perfumería &gt; Cuidado Capilar &gt; Acondicionador &gt;</t>
        </is>
      </c>
      <c r="L989" t="inlineStr">
        <is>
          <t>acondicionador</t>
        </is>
      </c>
      <c r="M989" t="inlineStr">
        <is>
          <t>estandar</t>
        </is>
      </c>
      <c r="N989" t="inlineStr">
        <is>
          <t>general</t>
        </is>
      </c>
      <c r="O989" t="inlineStr">
        <is>
          <t>https://www.jumbo.com.ar/acondicionador-pantene-brillo-x400ml-2/p</t>
        </is>
      </c>
    </row>
    <row r="990">
      <c r="A990" s="2" t="inlineStr">
        <is>
          <t>Jumbo</t>
        </is>
      </c>
      <c r="B990" s="2" t="n">
        <v>344022</v>
      </c>
      <c r="C990" s="2" t="n">
        <v>342707</v>
      </c>
      <c r="D990" s="2" t="inlineStr">
        <is>
          <t>Acondicionador Sedal Bomba Argan 340ml..</t>
        </is>
      </c>
      <c r="E990" s="2" t="inlineStr">
        <is>
          <t>SEDAL</t>
        </is>
      </c>
      <c r="F990" s="2" t="n">
        <v>469.67</v>
      </c>
      <c r="G990" s="2" t="n">
        <v>38816</v>
      </c>
      <c r="H990" s="2" t="b">
        <v>0</v>
      </c>
      <c r="I990" s="2" t="n">
        <v>340</v>
      </c>
      <c r="J990" s="2" t="n">
        <v>1.3814</v>
      </c>
      <c r="K990" s="2" t="inlineStr">
        <is>
          <t>&gt; Perfumería &gt; Cuidado Capilar &gt; Acondicionador &gt;</t>
        </is>
      </c>
      <c r="L990" s="2" t="inlineStr">
        <is>
          <t>acondicionador</t>
        </is>
      </c>
      <c r="M990" s="2" t="inlineStr">
        <is>
          <t>estandar</t>
        </is>
      </c>
      <c r="N990" s="2" t="inlineStr">
        <is>
          <t>general</t>
        </is>
      </c>
      <c r="O990" s="2" t="inlineStr">
        <is>
          <t>https://www.jumbo.com.ar/acondicionador-sedal-bomba-argan-340ml-3/p</t>
        </is>
      </c>
    </row>
    <row r="991">
      <c r="A991" t="inlineStr">
        <is>
          <t>Jumbo</t>
        </is>
      </c>
      <c r="B991" t="n">
        <v>339393</v>
      </c>
      <c r="C991" t="n">
        <v>338084</v>
      </c>
      <c r="D991" t="inlineStr">
        <is>
          <t>Acondicionador Fructis Recarga Nutritiva 200ml</t>
        </is>
      </c>
      <c r="E991" t="inlineStr">
        <is>
          <t>FRUCTIS</t>
        </is>
      </c>
      <c r="F991" t="n">
        <v>532.6900000000001</v>
      </c>
      <c r="G991" t="n">
        <v>44024</v>
      </c>
      <c r="H991" t="b">
        <v>0</v>
      </c>
      <c r="I991" t="n">
        <v>200</v>
      </c>
      <c r="J991" t="n">
        <v>2.6635</v>
      </c>
      <c r="K991" t="inlineStr">
        <is>
          <t>&gt; Perfumería &gt; Cuidado Capilar &gt; Acondicionador &gt;</t>
        </is>
      </c>
      <c r="L991" t="inlineStr">
        <is>
          <t>acondicionador</t>
        </is>
      </c>
      <c r="M991" t="inlineStr">
        <is>
          <t>estandar</t>
        </is>
      </c>
      <c r="N991" t="inlineStr">
        <is>
          <t>general</t>
        </is>
      </c>
      <c r="O991" t="inlineStr">
        <is>
          <t>https://www.jumbo.com.ar/acondicionador-fructis-recarga-nutritiva-200ml-2/p</t>
        </is>
      </c>
    </row>
    <row r="992">
      <c r="A992" s="2" t="inlineStr">
        <is>
          <t>Jumbo</t>
        </is>
      </c>
      <c r="B992" s="2" t="n">
        <v>336035</v>
      </c>
      <c r="C992" s="2" t="n">
        <v>335144</v>
      </c>
      <c r="D992" s="2" t="inlineStr">
        <is>
          <t>Acondicionador Sedal Bomba Argan 190ml</t>
        </is>
      </c>
      <c r="E992" s="2" t="inlineStr">
        <is>
          <t>SEDAL</t>
        </is>
      </c>
      <c r="F992" s="2" t="n">
        <v>180.39</v>
      </c>
      <c r="G992" s="2" t="n">
        <v>14908</v>
      </c>
      <c r="H992" s="2" t="b">
        <v>0</v>
      </c>
      <c r="I992" s="2" t="n">
        <v>190</v>
      </c>
      <c r="J992" s="2" t="n">
        <v>0.9494</v>
      </c>
      <c r="K992" s="2" t="inlineStr">
        <is>
          <t>&gt; Perfumería &gt; Cuidado Capilar &gt; Acondicionador &gt;</t>
        </is>
      </c>
      <c r="L992" s="2" t="inlineStr">
        <is>
          <t>acondicionador</t>
        </is>
      </c>
      <c r="M992" s="2" t="inlineStr">
        <is>
          <t>estandar</t>
        </is>
      </c>
      <c r="N992" s="2" t="inlineStr">
        <is>
          <t>general</t>
        </is>
      </c>
      <c r="O992" s="2" t="inlineStr">
        <is>
          <t>https://www.jumbo.com.ar/acondicionador-sedal-bomba-argan-190ml/p</t>
        </is>
      </c>
    </row>
    <row r="993">
      <c r="A993" t="inlineStr">
        <is>
          <t>Jumbo</t>
        </is>
      </c>
      <c r="B993" t="n">
        <v>331662</v>
      </c>
      <c r="C993" t="n">
        <v>330820</v>
      </c>
      <c r="D993" t="inlineStr">
        <is>
          <t>Elvive Acondicionador Hidra Hialuronico 750ml</t>
        </is>
      </c>
      <c r="E993" t="inlineStr">
        <is>
          <t>ELVIVE</t>
        </is>
      </c>
      <c r="F993" t="n">
        <v>1978.59</v>
      </c>
      <c r="G993" t="n">
        <v>163520</v>
      </c>
      <c r="H993" t="b">
        <v>0</v>
      </c>
      <c r="I993" t="n">
        <v>750</v>
      </c>
      <c r="J993" t="n">
        <v>2.6381</v>
      </c>
      <c r="K993" t="inlineStr">
        <is>
          <t>&gt; Perfumería &gt; Cuidado Capilar &gt; Acondicionador &gt;</t>
        </is>
      </c>
      <c r="L993" t="inlineStr">
        <is>
          <t>acondicionador</t>
        </is>
      </c>
      <c r="M993" t="inlineStr">
        <is>
          <t>profesional</t>
        </is>
      </c>
      <c r="N993" t="inlineStr">
        <is>
          <t>general</t>
        </is>
      </c>
      <c r="O993" t="inlineStr">
        <is>
          <t>https://www.jumbo.com.ar/elvive-acondicionador-hidra-hialuronico-750ml/p</t>
        </is>
      </c>
    </row>
    <row r="994">
      <c r="A994" s="2" t="inlineStr">
        <is>
          <t>Jumbo</t>
        </is>
      </c>
      <c r="B994" s="2" t="n">
        <v>317817</v>
      </c>
      <c r="C994" s="2" t="n">
        <v>317062</v>
      </c>
      <c r="D994" s="2" t="inlineStr">
        <is>
          <t>Acondicionador Tio Nacho Verano 200ml</t>
        </is>
      </c>
      <c r="E994" s="2" t="inlineStr">
        <is>
          <t>Tio Nacho</t>
        </is>
      </c>
      <c r="F994" s="2" t="n">
        <v>448.25</v>
      </c>
      <c r="G994" s="2" t="n">
        <v>37045</v>
      </c>
      <c r="H994" s="2" t="b">
        <v>0</v>
      </c>
      <c r="I994" s="2" t="n">
        <v>200</v>
      </c>
      <c r="J994" s="2" t="n">
        <v>2.2412</v>
      </c>
      <c r="K994" s="2" t="inlineStr">
        <is>
          <t>&gt; Perfumería &gt; Cuidado Capilar &gt; Acondicionador &gt;</t>
        </is>
      </c>
      <c r="L994" s="2" t="inlineStr">
        <is>
          <t>acondicionador</t>
        </is>
      </c>
      <c r="M994" s="2" t="inlineStr">
        <is>
          <t>estandar</t>
        </is>
      </c>
      <c r="N994" s="2" t="inlineStr">
        <is>
          <t>general</t>
        </is>
      </c>
      <c r="O994" s="2" t="inlineStr">
        <is>
          <t>https://www.jumbo.com.ar/acondicionador-tio-nacho-verano-200ml/p</t>
        </is>
      </c>
    </row>
    <row r="995">
      <c r="A995" t="inlineStr">
        <is>
          <t>Jumbo</t>
        </is>
      </c>
      <c r="B995" t="n">
        <v>317816</v>
      </c>
      <c r="C995" t="n">
        <v>317061</v>
      </c>
      <c r="D995" t="inlineStr">
        <is>
          <t>Acondicionador Tio Nacho Verano 415ml</t>
        </is>
      </c>
      <c r="E995" t="inlineStr">
        <is>
          <t>Tio Nacho</t>
        </is>
      </c>
      <c r="F995" t="n">
        <v>770.89</v>
      </c>
      <c r="G995" t="n">
        <v>63710</v>
      </c>
      <c r="H995" t="b">
        <v>0</v>
      </c>
      <c r="I995" t="n">
        <v>415</v>
      </c>
      <c r="J995" t="n">
        <v>1.8576</v>
      </c>
      <c r="K995" t="inlineStr">
        <is>
          <t>&gt; Perfumería &gt; Cuidado Capilar &gt; Acondicionador &gt;</t>
        </is>
      </c>
      <c r="L995" t="inlineStr">
        <is>
          <t>acondicionador</t>
        </is>
      </c>
      <c r="M995" t="inlineStr">
        <is>
          <t>estandar</t>
        </is>
      </c>
      <c r="N995" t="inlineStr">
        <is>
          <t>general</t>
        </is>
      </c>
      <c r="O995" t="inlineStr">
        <is>
          <t>https://www.jumbo.com.ar/acondicionador-tio-nacho-verano-415ml/p</t>
        </is>
      </c>
    </row>
    <row r="996">
      <c r="A996" s="2" t="inlineStr">
        <is>
          <t>Jumbo</t>
        </is>
      </c>
      <c r="B996" s="2" t="n">
        <v>313256</v>
      </c>
      <c r="C996" s="2" t="n">
        <v>312494</v>
      </c>
      <c r="D996" s="2" t="inlineStr">
        <is>
          <t>Acondicionador Fructis Food Coco 300ml</t>
        </is>
      </c>
      <c r="E996" s="2" t="inlineStr">
        <is>
          <t>FRUCTIS</t>
        </is>
      </c>
      <c r="F996" s="2" t="n">
        <v>1300</v>
      </c>
      <c r="G996" s="2" t="n">
        <v>107438</v>
      </c>
      <c r="H996" s="2" t="b">
        <v>0</v>
      </c>
      <c r="I996" s="2" t="n">
        <v>300</v>
      </c>
      <c r="J996" s="2" t="n">
        <v>4.3333</v>
      </c>
      <c r="K996" s="2" t="inlineStr">
        <is>
          <t>&gt; Perfumería &gt; Cuidado Capilar &gt; Acondicionador &gt;</t>
        </is>
      </c>
      <c r="L996" s="2" t="inlineStr">
        <is>
          <t>acondicionador</t>
        </is>
      </c>
      <c r="M996" s="2" t="inlineStr">
        <is>
          <t>estandar</t>
        </is>
      </c>
      <c r="N996" s="2" t="inlineStr">
        <is>
          <t>general</t>
        </is>
      </c>
      <c r="O996" s="2" t="inlineStr">
        <is>
          <t>https://www.jumbo.com.ar/acondicionador-fructis-food-coco-300ml/p</t>
        </is>
      </c>
    </row>
    <row r="997">
      <c r="A997" t="inlineStr">
        <is>
          <t>Jumbo</t>
        </is>
      </c>
      <c r="B997" t="n">
        <v>312943</v>
      </c>
      <c r="C997" t="n">
        <v>312181</v>
      </c>
      <c r="D997" t="inlineStr">
        <is>
          <t>Acondicionador Biferdil Alisado 295 Ml</t>
        </is>
      </c>
      <c r="E997" t="inlineStr">
        <is>
          <t>BIFERDIL</t>
        </is>
      </c>
      <c r="F997" t="n">
        <v>19950</v>
      </c>
      <c r="G997" t="n">
        <v>1648760</v>
      </c>
      <c r="H997" t="b">
        <v>0</v>
      </c>
      <c r="I997" t="n">
        <v>295</v>
      </c>
      <c r="J997" t="n">
        <v>67.6271</v>
      </c>
      <c r="K997" t="inlineStr">
        <is>
          <t>&gt; Perfumería &gt; Cuidado Capilar &gt; Reparación y Tratamientos &gt;</t>
        </is>
      </c>
      <c r="L997" t="inlineStr">
        <is>
          <t>acondicionador</t>
        </is>
      </c>
      <c r="M997" t="inlineStr">
        <is>
          <t>estandar</t>
        </is>
      </c>
      <c r="N997" t="inlineStr">
        <is>
          <t>tratado</t>
        </is>
      </c>
      <c r="O997" t="inlineStr">
        <is>
          <t>https://www.jumbo.com.ar/acondicionador-biferdil-alisado-295-ml/p</t>
        </is>
      </c>
    </row>
    <row r="998">
      <c r="A998" s="2" t="inlineStr">
        <is>
          <t>Jumbo</t>
        </is>
      </c>
      <c r="B998" s="2" t="n">
        <v>309886</v>
      </c>
      <c r="C998" s="2" t="n">
        <v>309123</v>
      </c>
      <c r="D998" s="2" t="inlineStr">
        <is>
          <t>Acondicionador Swing Radiante 200 Ml</t>
        </is>
      </c>
      <c r="E998" s="2" t="inlineStr">
        <is>
          <t>SWING</t>
        </is>
      </c>
      <c r="F998" s="2" t="n">
        <v>63.89</v>
      </c>
      <c r="G998" s="2" t="n">
        <v>5280</v>
      </c>
      <c r="H998" s="2" t="b">
        <v>0</v>
      </c>
      <c r="I998" s="2" t="n">
        <v>200</v>
      </c>
      <c r="J998" s="2" t="n">
        <v>0.3195</v>
      </c>
      <c r="K998" s="2" t="inlineStr">
        <is>
          <t>&gt; Perfumería &gt; Cuidado Capilar &gt; Acondicionador &gt;</t>
        </is>
      </c>
      <c r="L998" s="2" t="inlineStr">
        <is>
          <t>acondicionador</t>
        </is>
      </c>
      <c r="M998" s="2" t="inlineStr">
        <is>
          <t>estandar</t>
        </is>
      </c>
      <c r="N998" s="2" t="inlineStr">
        <is>
          <t>general</t>
        </is>
      </c>
      <c r="O998" s="2" t="inlineStr">
        <is>
          <t>https://www.jumbo.com.ar/acondicionador-swing-radiante-200-ml/p</t>
        </is>
      </c>
    </row>
    <row r="999">
      <c r="A999" t="inlineStr">
        <is>
          <t>Jumbo</t>
        </is>
      </c>
      <c r="B999" t="n">
        <v>309881</v>
      </c>
      <c r="C999" t="n">
        <v>309118</v>
      </c>
      <c r="D999" t="inlineStr">
        <is>
          <t>Acondicionador Swing Hidratancion 200 Ml</t>
        </is>
      </c>
      <c r="E999" t="inlineStr">
        <is>
          <t>SWING</t>
        </is>
      </c>
      <c r="F999" t="n">
        <v>57.05</v>
      </c>
      <c r="G999" t="n">
        <v>4715</v>
      </c>
      <c r="H999" t="b">
        <v>0</v>
      </c>
      <c r="I999" t="n">
        <v>200</v>
      </c>
      <c r="J999" t="n">
        <v>0.2853</v>
      </c>
      <c r="K999" t="inlineStr">
        <is>
          <t>&gt; Perfumería &gt; Cuidado Capilar &gt; Acondicionador &gt;</t>
        </is>
      </c>
      <c r="L999" t="inlineStr">
        <is>
          <t>acondicionador</t>
        </is>
      </c>
      <c r="M999" t="inlineStr">
        <is>
          <t>estandar</t>
        </is>
      </c>
      <c r="N999" t="inlineStr">
        <is>
          <t>seco_danado</t>
        </is>
      </c>
      <c r="O999" t="inlineStr">
        <is>
          <t>https://www.jumbo.com.ar/acondicionador-swing-hidratancion-200-ml/p</t>
        </is>
      </c>
    </row>
    <row r="1000">
      <c r="A1000" s="2" t="inlineStr">
        <is>
          <t>Jumbo</t>
        </is>
      </c>
      <c r="B1000" s="2" t="n">
        <v>307882</v>
      </c>
      <c r="C1000" s="2" t="n">
        <v>307120</v>
      </c>
      <c r="D1000" s="2" t="inlineStr">
        <is>
          <t>Acondicionador Algabo Palta Argan 930ml</t>
        </is>
      </c>
      <c r="E1000" s="2" t="inlineStr">
        <is>
          <t>ALGABO</t>
        </is>
      </c>
      <c r="F1000" s="2" t="n">
        <v>113.09</v>
      </c>
      <c r="G1000" s="2" t="n">
        <v>9346</v>
      </c>
      <c r="H1000" s="2" t="b">
        <v>0</v>
      </c>
      <c r="I1000" s="2" t="n">
        <v>930</v>
      </c>
      <c r="J1000" s="2" t="n">
        <v>0.1216</v>
      </c>
      <c r="K1000" s="2" t="inlineStr">
        <is>
          <t>&gt; Perfumería &gt; Cuidado Capilar &gt; Acondicionador &gt;</t>
        </is>
      </c>
      <c r="L1000" s="2" t="inlineStr">
        <is>
          <t>acondicionador</t>
        </is>
      </c>
      <c r="M1000" s="2" t="inlineStr">
        <is>
          <t>estandar</t>
        </is>
      </c>
      <c r="N1000" s="2" t="inlineStr">
        <is>
          <t>general</t>
        </is>
      </c>
      <c r="O1000" s="2" t="inlineStr">
        <is>
          <t>https://www.jumbo.com.ar/acondicionador-algabo-palta-argan-930ml/p</t>
        </is>
      </c>
    </row>
    <row r="1001">
      <c r="A1001" t="inlineStr">
        <is>
          <t>Jumbo</t>
        </is>
      </c>
      <c r="B1001" t="n">
        <v>300011</v>
      </c>
      <c r="C1001" t="n">
        <v>299228</v>
      </c>
      <c r="D1001" t="inlineStr">
        <is>
          <t>Acondicionador Tio Nacho Nutricion Verano</t>
        </is>
      </c>
      <c r="E1001" t="inlineStr">
        <is>
          <t>Tio Nacho</t>
        </is>
      </c>
      <c r="F1001" t="n">
        <v>287.87</v>
      </c>
      <c r="G1001" t="n">
        <v>23791</v>
      </c>
      <c r="H1001" t="b">
        <v>0</v>
      </c>
      <c r="I1001" t="inlineStr"/>
      <c r="J1001" t="inlineStr"/>
      <c r="K1001" t="inlineStr">
        <is>
          <t>&gt; Perfumería &gt; Cuidado Capilar &gt; Acondicionador &gt;</t>
        </is>
      </c>
      <c r="L1001" t="inlineStr">
        <is>
          <t>acondicionador</t>
        </is>
      </c>
      <c r="M1001" t="inlineStr">
        <is>
          <t>estandar</t>
        </is>
      </c>
      <c r="N1001" t="inlineStr">
        <is>
          <t>general</t>
        </is>
      </c>
      <c r="O1001" t="inlineStr">
        <is>
          <t>https://www.jumbo.com.ar/acondicionador-tio-nacho-nutricion-verano/p</t>
        </is>
      </c>
    </row>
    <row r="1002">
      <c r="A1002" s="2" t="inlineStr">
        <is>
          <t>Jumbo</t>
        </is>
      </c>
      <c r="B1002" s="2" t="n">
        <v>263633</v>
      </c>
      <c r="C1002" s="2" t="n">
        <v>263353</v>
      </c>
      <c r="D1002" s="2" t="inlineStr">
        <is>
          <t>Acondicionador Dove Hidratacion Intensa 200ml</t>
        </is>
      </c>
      <c r="E1002" s="2" t="inlineStr">
        <is>
          <t>DOVE</t>
        </is>
      </c>
      <c r="F1002" s="2" t="n">
        <v>280.77</v>
      </c>
      <c r="G1002" s="2" t="n">
        <v>23204</v>
      </c>
      <c r="H1002" s="2" t="b">
        <v>0</v>
      </c>
      <c r="I1002" s="2" t="n">
        <v>200</v>
      </c>
      <c r="J1002" s="2" t="n">
        <v>1.4038</v>
      </c>
      <c r="K1002" s="2" t="inlineStr">
        <is>
          <t>&gt; Perfumería &gt; Cuidado Capilar &gt; Acondicionador &gt;</t>
        </is>
      </c>
      <c r="L1002" s="2" t="inlineStr">
        <is>
          <t>acondicionador</t>
        </is>
      </c>
      <c r="M1002" s="2" t="inlineStr">
        <is>
          <t>estandar</t>
        </is>
      </c>
      <c r="N1002" s="2" t="inlineStr">
        <is>
          <t>seco_danado</t>
        </is>
      </c>
      <c r="O1002" s="2" t="inlineStr">
        <is>
          <t>https://www.jumbo.com.ar/acondicionador-dove-hidratacion-intensa-200ml/p</t>
        </is>
      </c>
    </row>
    <row r="1003">
      <c r="A1003" t="inlineStr">
        <is>
          <t>Jumbo</t>
        </is>
      </c>
      <c r="B1003" t="n">
        <v>263621</v>
      </c>
      <c r="C1003" t="n">
        <v>263341</v>
      </c>
      <c r="D1003" t="inlineStr">
        <is>
          <t>Acondicionador Dove Oleo Micelar 200ml</t>
        </is>
      </c>
      <c r="E1003" t="inlineStr">
        <is>
          <t>DOVE</t>
        </is>
      </c>
      <c r="F1003" t="n">
        <v>152.49</v>
      </c>
      <c r="G1003" t="n">
        <v>12602</v>
      </c>
      <c r="H1003" t="b">
        <v>0</v>
      </c>
      <c r="I1003" t="n">
        <v>200</v>
      </c>
      <c r="J1003" t="n">
        <v>0.7625</v>
      </c>
      <c r="K1003" t="inlineStr">
        <is>
          <t>&gt; Perfumería &gt; Cuidado Capilar &gt; Acondicionador &gt;</t>
        </is>
      </c>
      <c r="L1003" t="inlineStr">
        <is>
          <t>acondicionador</t>
        </is>
      </c>
      <c r="M1003" t="inlineStr">
        <is>
          <t>estandar</t>
        </is>
      </c>
      <c r="N1003" t="inlineStr">
        <is>
          <t>general</t>
        </is>
      </c>
      <c r="O1003" t="inlineStr">
        <is>
          <t>https://www.jumbo.com.ar/acondicionador-dove-oleo-micelar-200ml/p</t>
        </is>
      </c>
    </row>
    <row r="1004">
      <c r="A1004" s="2" t="inlineStr">
        <is>
          <t>Jumbo</t>
        </is>
      </c>
      <c r="B1004" s="2" t="n">
        <v>263396</v>
      </c>
      <c r="C1004" s="2" t="n">
        <v>263154</v>
      </c>
      <c r="D1004" s="2" t="inlineStr">
        <is>
          <t>Acondicionador Pantene Restauración 10 Ml</t>
        </is>
      </c>
      <c r="E1004" s="2" t="inlineStr">
        <is>
          <t>PANTENE</t>
        </is>
      </c>
      <c r="F1004" s="2" t="n">
        <v>5.99</v>
      </c>
      <c r="G1004" s="2" t="n">
        <v>495</v>
      </c>
      <c r="H1004" s="2" t="b">
        <v>0</v>
      </c>
      <c r="I1004" s="2" t="n">
        <v>10</v>
      </c>
      <c r="J1004" s="2" t="n">
        <v>0.599</v>
      </c>
      <c r="K1004" s="2" t="inlineStr">
        <is>
          <t>&gt; Perfumería &gt; Cuidado Capilar &gt; Acondicionador &gt;</t>
        </is>
      </c>
      <c r="L1004" s="2" t="inlineStr">
        <is>
          <t>acondicionador</t>
        </is>
      </c>
      <c r="M1004" s="2" t="inlineStr">
        <is>
          <t>estandar</t>
        </is>
      </c>
      <c r="N1004" s="2" t="inlineStr">
        <is>
          <t>general</t>
        </is>
      </c>
      <c r="O1004" s="2" t="inlineStr">
        <is>
          <t>https://www.jumbo.com.ar/acondicionador-pantene-restauracion-10-ml/p</t>
        </is>
      </c>
    </row>
    <row r="1005">
      <c r="A1005" t="inlineStr">
        <is>
          <t>Jumbo</t>
        </is>
      </c>
      <c r="B1005" t="n">
        <v>261492</v>
      </c>
      <c r="C1005" t="n">
        <v>260783</v>
      </c>
      <c r="D1005" t="inlineStr">
        <is>
          <t>Acondicionador Plusbelle Fuerza 1000 Ml</t>
        </is>
      </c>
      <c r="E1005" t="inlineStr">
        <is>
          <t>PLUSBELLE</t>
        </is>
      </c>
      <c r="F1005" t="n">
        <v>135.15</v>
      </c>
      <c r="G1005" t="n">
        <v>11169</v>
      </c>
      <c r="H1005" t="b">
        <v>0</v>
      </c>
      <c r="I1005" t="n">
        <v>1000</v>
      </c>
      <c r="J1005" t="n">
        <v>0.1351</v>
      </c>
      <c r="K1005" t="inlineStr">
        <is>
          <t>&gt; Perfumería &gt; Cuidado Capilar &gt; Acondicionador &gt;</t>
        </is>
      </c>
      <c r="L1005" t="inlineStr">
        <is>
          <t>acondicionador</t>
        </is>
      </c>
      <c r="M1005" t="inlineStr">
        <is>
          <t>estandar</t>
        </is>
      </c>
      <c r="N1005" t="inlineStr">
        <is>
          <t>general</t>
        </is>
      </c>
      <c r="O1005" t="inlineStr">
        <is>
          <t>https://www.jumbo.com.ar/acondicionador-plusbelle-fuerza-1000-ml/p</t>
        </is>
      </c>
    </row>
    <row r="1006">
      <c r="A1006" s="2" t="inlineStr">
        <is>
          <t>Jumbo</t>
        </is>
      </c>
      <c r="B1006" s="2" t="n">
        <v>256895</v>
      </c>
      <c r="C1006" s="2" t="n">
        <v>256189</v>
      </c>
      <c r="D1006" s="2" t="inlineStr">
        <is>
          <t>Acondicionador Il Salone Epic 500ml</t>
        </is>
      </c>
      <c r="E1006" s="2" t="inlineStr">
        <is>
          <t>IL SALONE</t>
        </is>
      </c>
      <c r="F1006" s="2" t="n">
        <v>799.99</v>
      </c>
      <c r="G1006" s="2" t="n">
        <v>66115</v>
      </c>
      <c r="H1006" s="2" t="b">
        <v>0</v>
      </c>
      <c r="I1006" s="2" t="n">
        <v>500</v>
      </c>
      <c r="J1006" s="2" t="n">
        <v>1.6</v>
      </c>
      <c r="K1006" s="2" t="inlineStr">
        <is>
          <t>&gt; Perfumería &gt; Cuidado Capilar &gt; Acondicionador &gt;</t>
        </is>
      </c>
      <c r="L1006" s="2" t="inlineStr">
        <is>
          <t>acondicionador</t>
        </is>
      </c>
      <c r="M1006" s="2" t="inlineStr">
        <is>
          <t>estandar</t>
        </is>
      </c>
      <c r="N1006" s="2" t="inlineStr">
        <is>
          <t>general</t>
        </is>
      </c>
      <c r="O1006" s="2" t="inlineStr">
        <is>
          <t>https://www.jumbo.com.ar/acondicionador-il-salone-epic-500ml/p</t>
        </is>
      </c>
    </row>
    <row r="1007">
      <c r="A1007" t="inlineStr">
        <is>
          <t>Jumbo</t>
        </is>
      </c>
      <c r="B1007" t="n">
        <v>132338</v>
      </c>
      <c r="C1007" t="n">
        <v>129252</v>
      </c>
      <c r="D1007" t="inlineStr">
        <is>
          <t>Pantene Acondicionador Liso Extremo 750ml</t>
        </is>
      </c>
      <c r="E1007" t="inlineStr">
        <is>
          <t>PANTENE</t>
        </is>
      </c>
      <c r="F1007" t="n">
        <v>284.77</v>
      </c>
      <c r="G1007" t="n">
        <v>23535</v>
      </c>
      <c r="H1007" t="b">
        <v>0</v>
      </c>
      <c r="I1007" t="n">
        <v>750</v>
      </c>
      <c r="J1007" t="n">
        <v>0.3797</v>
      </c>
      <c r="K1007" t="inlineStr">
        <is>
          <t>&gt; Perfumería &gt; Cuidado Capilar &gt; Acondicionador &gt;</t>
        </is>
      </c>
      <c r="L1007" t="inlineStr">
        <is>
          <t>acondicionador</t>
        </is>
      </c>
      <c r="M1007" t="inlineStr">
        <is>
          <t>estandar</t>
        </is>
      </c>
      <c r="N1007" t="inlineStr">
        <is>
          <t>general</t>
        </is>
      </c>
      <c r="O1007" t="inlineStr">
        <is>
          <t>https://www.jumbo.com.ar/pantene-acondicionador-liso-extremo-750ml/p</t>
        </is>
      </c>
    </row>
    <row r="1008">
      <c r="A1008" s="2" t="inlineStr">
        <is>
          <t>Jumbo</t>
        </is>
      </c>
      <c r="B1008" s="2" t="n">
        <v>132255</v>
      </c>
      <c r="C1008" s="2" t="n">
        <v>129171</v>
      </c>
      <c r="D1008" s="2" t="inlineStr">
        <is>
          <t>Pantene Acondicionador Hidratacion Balanceada 200ml</t>
        </is>
      </c>
      <c r="E1008" s="2" t="inlineStr">
        <is>
          <t>PANTENE</t>
        </is>
      </c>
      <c r="F1008" s="2" t="n">
        <v>24.67</v>
      </c>
      <c r="G1008" s="2" t="n">
        <v>2039</v>
      </c>
      <c r="H1008" s="2" t="b">
        <v>0</v>
      </c>
      <c r="I1008" s="2" t="n">
        <v>200</v>
      </c>
      <c r="J1008" s="2" t="n">
        <v>0.1234</v>
      </c>
      <c r="K1008" s="2" t="inlineStr">
        <is>
          <t>&gt; Perfumería &gt; Cuidado Capilar &gt; Acondicionador &gt;</t>
        </is>
      </c>
      <c r="L1008" s="2" t="inlineStr">
        <is>
          <t>acondicionador</t>
        </is>
      </c>
      <c r="M1008" s="2" t="inlineStr">
        <is>
          <t>estandar</t>
        </is>
      </c>
      <c r="N1008" s="2" t="inlineStr">
        <is>
          <t>seco_danado</t>
        </is>
      </c>
      <c r="O1008" s="2" t="inlineStr">
        <is>
          <t>https://www.jumbo.com.ar/pantene-acondicionador-hidratacion-balanceada-200ml/p</t>
        </is>
      </c>
    </row>
    <row r="1009">
      <c r="A1009" t="inlineStr">
        <is>
          <t>Jumbo</t>
        </is>
      </c>
      <c r="B1009" t="n">
        <v>44701</v>
      </c>
      <c r="C1009" t="n">
        <v>41872</v>
      </c>
      <c r="D1009" t="inlineStr">
        <is>
          <t>Acondicionador Elvive Oleo Extra 200ml</t>
        </is>
      </c>
      <c r="E1009" t="inlineStr">
        <is>
          <t>ELVIVE</t>
        </is>
      </c>
      <c r="F1009" t="n">
        <v>386.79</v>
      </c>
      <c r="G1009" t="n">
        <v>31966</v>
      </c>
      <c r="H1009" t="b">
        <v>0</v>
      </c>
      <c r="I1009" t="n">
        <v>200</v>
      </c>
      <c r="J1009" t="n">
        <v>1.934</v>
      </c>
      <c r="K1009" t="inlineStr">
        <is>
          <t>&gt; Perfumería &gt; Cuidado Capilar &gt; Acondicionador &gt;</t>
        </is>
      </c>
      <c r="L1009" t="inlineStr">
        <is>
          <t>acondicionador</t>
        </is>
      </c>
      <c r="M1009" t="inlineStr">
        <is>
          <t>profesional</t>
        </is>
      </c>
      <c r="N1009" t="inlineStr">
        <is>
          <t>general</t>
        </is>
      </c>
      <c r="O1009" t="inlineStr">
        <is>
          <t>https://www.jumbo.com.ar/acondicionador-elvive-oleo-extra-200ml-2/p</t>
        </is>
      </c>
    </row>
    <row r="1010">
      <c r="A1010" s="2" t="inlineStr">
        <is>
          <t>Jumbo</t>
        </is>
      </c>
      <c r="B1010" s="2" t="n">
        <v>44252</v>
      </c>
      <c r="C1010" s="2" t="n">
        <v>41423</v>
      </c>
      <c r="D1010" s="2" t="inlineStr">
        <is>
          <t>Acondicionador Elvive Oleo Extra 750ml</t>
        </is>
      </c>
      <c r="E1010" s="2" t="inlineStr">
        <is>
          <t>ELVIVE</t>
        </is>
      </c>
      <c r="F1010" s="2" t="n">
        <v>745.65</v>
      </c>
      <c r="G1010" s="2" t="n">
        <v>61624</v>
      </c>
      <c r="H1010" s="2" t="b">
        <v>0</v>
      </c>
      <c r="I1010" s="2" t="n">
        <v>750</v>
      </c>
      <c r="J1010" s="2" t="n">
        <v>0.9942</v>
      </c>
      <c r="K1010" s="2" t="inlineStr">
        <is>
          <t>&gt; Perfumería &gt; Cuidado Capilar &gt; Acondicionador &gt;</t>
        </is>
      </c>
      <c r="L1010" s="2" t="inlineStr">
        <is>
          <t>acondicionador</t>
        </is>
      </c>
      <c r="M1010" s="2" t="inlineStr">
        <is>
          <t>profesional</t>
        </is>
      </c>
      <c r="N1010" s="2" t="inlineStr">
        <is>
          <t>general</t>
        </is>
      </c>
      <c r="O1010" s="2" t="inlineStr">
        <is>
          <t>https://www.jumbo.com.ar/acondicionador-elvive-oleo-extra-750ml-2/p</t>
        </is>
      </c>
    </row>
    <row r="1011">
      <c r="A1011" t="inlineStr">
        <is>
          <t>Jumbo</t>
        </is>
      </c>
      <c r="B1011" t="n">
        <v>43405</v>
      </c>
      <c r="C1011" t="n">
        <v>40576</v>
      </c>
      <c r="D1011" t="inlineStr">
        <is>
          <t>Acondicionador Suave Lavanda 930 Ml</t>
        </is>
      </c>
      <c r="E1011" t="inlineStr">
        <is>
          <t>SUAVE</t>
        </is>
      </c>
      <c r="F1011" t="n">
        <v>46.39</v>
      </c>
      <c r="G1011" t="n">
        <v>3834</v>
      </c>
      <c r="H1011" t="b">
        <v>0</v>
      </c>
      <c r="I1011" t="n">
        <v>930</v>
      </c>
      <c r="J1011" t="n">
        <v>0.0499</v>
      </c>
      <c r="K1011" t="inlineStr">
        <is>
          <t>&gt; Perfumería &gt; Cuidado Capilar &gt; Acondicionador &gt;</t>
        </is>
      </c>
      <c r="L1011" t="inlineStr">
        <is>
          <t>acondicionador</t>
        </is>
      </c>
      <c r="M1011" t="inlineStr">
        <is>
          <t>estandar</t>
        </is>
      </c>
      <c r="N1011" t="inlineStr">
        <is>
          <t>bebe</t>
        </is>
      </c>
      <c r="O1011" t="inlineStr">
        <is>
          <t>https://www.jumbo.com.ar/acondicionador-suave-lavanda-930-ml/p</t>
        </is>
      </c>
    </row>
    <row r="1012">
      <c r="A1012" s="2" t="inlineStr">
        <is>
          <t>Jumbo</t>
        </is>
      </c>
      <c r="B1012" s="2" t="n">
        <v>42729</v>
      </c>
      <c r="C1012" s="2" t="n">
        <v>39900</v>
      </c>
      <c r="D1012" s="2" t="inlineStr">
        <is>
          <t>Acondicionador Plusbelle Energizante 1 L</t>
        </is>
      </c>
      <c r="E1012" s="2" t="inlineStr">
        <is>
          <t>PLUSBELLE</t>
        </is>
      </c>
      <c r="F1012" s="2" t="n">
        <v>155.65</v>
      </c>
      <c r="G1012" s="2" t="n">
        <v>12864</v>
      </c>
      <c r="H1012" s="2" t="b">
        <v>0</v>
      </c>
      <c r="I1012" s="2" t="n">
        <v>1000</v>
      </c>
      <c r="J1012" s="2" t="n">
        <v>0.1557</v>
      </c>
      <c r="K1012" s="2" t="inlineStr">
        <is>
          <t>&gt; Perfumería &gt; Cuidado Capilar &gt; Acondicionador &gt;</t>
        </is>
      </c>
      <c r="L1012" s="2" t="inlineStr">
        <is>
          <t>acondicionador</t>
        </is>
      </c>
      <c r="M1012" s="2" t="inlineStr">
        <is>
          <t>estandar</t>
        </is>
      </c>
      <c r="N1012" s="2" t="inlineStr">
        <is>
          <t>general</t>
        </is>
      </c>
      <c r="O1012" s="2" t="inlineStr">
        <is>
          <t>https://www.jumbo.com.ar/acondicionador-plusbelle-energizante-1-l/p</t>
        </is>
      </c>
    </row>
    <row r="1013">
      <c r="A1013" t="inlineStr">
        <is>
          <t>Jumbo</t>
        </is>
      </c>
      <c r="B1013" t="n">
        <v>42574</v>
      </c>
      <c r="C1013" t="n">
        <v>39745</v>
      </c>
      <c r="D1013" t="inlineStr">
        <is>
          <t>Acondicionador Plusbelle Humectación 1 L</t>
        </is>
      </c>
      <c r="E1013" t="inlineStr">
        <is>
          <t>PLUSBELLE</t>
        </is>
      </c>
      <c r="F1013" t="n">
        <v>109.57</v>
      </c>
      <c r="G1013" t="n">
        <v>9055</v>
      </c>
      <c r="H1013" t="b">
        <v>0</v>
      </c>
      <c r="I1013" t="n">
        <v>1000</v>
      </c>
      <c r="J1013" t="n">
        <v>0.1096</v>
      </c>
      <c r="K1013" t="inlineStr">
        <is>
          <t>&gt; Perfumería &gt; Cuidado Capilar &gt; Acondicionador &gt;</t>
        </is>
      </c>
      <c r="L1013" t="inlineStr">
        <is>
          <t>acondicionador</t>
        </is>
      </c>
      <c r="M1013" t="inlineStr">
        <is>
          <t>estandar</t>
        </is>
      </c>
      <c r="N1013" t="inlineStr">
        <is>
          <t>general</t>
        </is>
      </c>
      <c r="O1013" t="inlineStr">
        <is>
          <t>https://www.jumbo.com.ar/acondicionador-plusbelle-humectacion-1-l/p</t>
        </is>
      </c>
    </row>
    <row r="1014">
      <c r="A1014" s="2" t="inlineStr">
        <is>
          <t>Jumbo</t>
        </is>
      </c>
      <c r="B1014" s="2" t="n">
        <v>41568</v>
      </c>
      <c r="C1014" s="2" t="n">
        <v>38733</v>
      </c>
      <c r="D1014" s="2" t="inlineStr">
        <is>
          <t>Acondicionador Fructis Goodbye Daños 200ml</t>
        </is>
      </c>
      <c r="E1014" s="2" t="inlineStr">
        <is>
          <t>FRUCTIS</t>
        </is>
      </c>
      <c r="F1014" s="2" t="n">
        <v>409.97</v>
      </c>
      <c r="G1014" s="2" t="n">
        <v>33882</v>
      </c>
      <c r="H1014" s="2" t="b">
        <v>0</v>
      </c>
      <c r="I1014" s="2" t="n">
        <v>200</v>
      </c>
      <c r="J1014" s="2" t="n">
        <v>2.0499</v>
      </c>
      <c r="K1014" s="2" t="inlineStr">
        <is>
          <t>&gt; Perfumería &gt; Cuidado Capilar &gt; Acondicionador &gt;</t>
        </is>
      </c>
      <c r="L1014" s="2" t="inlineStr">
        <is>
          <t>acondicionador</t>
        </is>
      </c>
      <c r="M1014" s="2" t="inlineStr">
        <is>
          <t>estandar</t>
        </is>
      </c>
      <c r="N1014" s="2" t="inlineStr">
        <is>
          <t>general</t>
        </is>
      </c>
      <c r="O1014" s="2" t="inlineStr">
        <is>
          <t>https://www.jumbo.com.ar/acondicionador-fructis-goodbye-danos-200ml-2/p</t>
        </is>
      </c>
    </row>
    <row r="1015">
      <c r="A1015" t="inlineStr">
        <is>
          <t>Jumbo</t>
        </is>
      </c>
      <c r="B1015" t="n">
        <v>41405</v>
      </c>
      <c r="C1015" t="n">
        <v>38570</v>
      </c>
      <c r="D1015" t="inlineStr">
        <is>
          <t>Acondicionador Fructis Oil Repair 350ml</t>
        </is>
      </c>
      <c r="E1015" t="inlineStr">
        <is>
          <t>FRUCTIS</t>
        </is>
      </c>
      <c r="F1015" t="n">
        <v>311.59</v>
      </c>
      <c r="G1015" t="n">
        <v>25751</v>
      </c>
      <c r="H1015" t="b">
        <v>0</v>
      </c>
      <c r="I1015" t="n">
        <v>350</v>
      </c>
      <c r="J1015" t="n">
        <v>0.8903</v>
      </c>
      <c r="K1015" t="inlineStr">
        <is>
          <t>&gt; Perfumería &gt; Cuidado Capilar &gt; Acondicionador &gt;</t>
        </is>
      </c>
      <c r="L1015" t="inlineStr">
        <is>
          <t>acondicionador</t>
        </is>
      </c>
      <c r="M1015" t="inlineStr">
        <is>
          <t>profesional</t>
        </is>
      </c>
      <c r="N1015" t="inlineStr">
        <is>
          <t>general</t>
        </is>
      </c>
      <c r="O1015" t="inlineStr">
        <is>
          <t>https://www.jumbo.com.ar/acondicionador-fructis-oil-repair-350ml-2/p</t>
        </is>
      </c>
    </row>
    <row r="1016">
      <c r="A1016" s="2" t="inlineStr">
        <is>
          <t>Jumbo</t>
        </is>
      </c>
      <c r="B1016" s="2" t="n">
        <v>41396</v>
      </c>
      <c r="C1016" s="2" t="n">
        <v>38561</v>
      </c>
      <c r="D1016" s="2" t="inlineStr">
        <is>
          <t>Acondicionador Fructis Oil Repair 200ml</t>
        </is>
      </c>
      <c r="E1016" s="2" t="inlineStr">
        <is>
          <t>FRUCTIS</t>
        </is>
      </c>
      <c r="F1016" s="2" t="n">
        <v>213.99</v>
      </c>
      <c r="G1016" s="2" t="n">
        <v>17685</v>
      </c>
      <c r="H1016" s="2" t="b">
        <v>0</v>
      </c>
      <c r="I1016" s="2" t="n">
        <v>200</v>
      </c>
      <c r="J1016" s="2" t="n">
        <v>1.0699</v>
      </c>
      <c r="K1016" s="2" t="inlineStr">
        <is>
          <t>&gt; Perfumería &gt; Cuidado Capilar &gt; Acondicionador &gt;</t>
        </is>
      </c>
      <c r="L1016" s="2" t="inlineStr">
        <is>
          <t>acondicionador</t>
        </is>
      </c>
      <c r="M1016" s="2" t="inlineStr">
        <is>
          <t>profesional</t>
        </is>
      </c>
      <c r="N1016" s="2" t="inlineStr">
        <is>
          <t>general</t>
        </is>
      </c>
      <c r="O1016" s="2" t="inlineStr">
        <is>
          <t>https://www.jumbo.com.ar/acondicionador-fructis-oil-repair-200ml-2/p</t>
        </is>
      </c>
    </row>
    <row r="1017">
      <c r="A1017" t="inlineStr">
        <is>
          <t>Jumbo</t>
        </is>
      </c>
      <c r="B1017" t="n">
        <v>34504</v>
      </c>
      <c r="C1017" t="n">
        <v>31663</v>
      </c>
      <c r="D1017" t="inlineStr">
        <is>
          <t>Acondicionador Herbal Ess Hidrasic 670ml Acondicionador Herbal Essences Hidradisíaco 670 Ml</t>
        </is>
      </c>
      <c r="E1017" t="inlineStr">
        <is>
          <t>HERBAL ESSENCES</t>
        </is>
      </c>
      <c r="F1017" t="n">
        <v>297.99</v>
      </c>
      <c r="G1017" t="n">
        <v>24627</v>
      </c>
      <c r="H1017" t="b">
        <v>0</v>
      </c>
      <c r="I1017" t="n">
        <v>670</v>
      </c>
      <c r="J1017" t="n">
        <v>0.4448</v>
      </c>
      <c r="K1017" t="inlineStr">
        <is>
          <t>&gt; Perfumería &gt; Cuidado Capilar &gt; Acondicionador &gt;</t>
        </is>
      </c>
      <c r="L1017" t="inlineStr">
        <is>
          <t>acondicionador</t>
        </is>
      </c>
      <c r="M1017" t="inlineStr">
        <is>
          <t>estandar</t>
        </is>
      </c>
      <c r="N1017" t="inlineStr">
        <is>
          <t>general</t>
        </is>
      </c>
      <c r="O1017" t="inlineStr">
        <is>
          <t>https://www.jumbo.com.ar/acondicionador-herbal-ess-hidrasic-670ml/p</t>
        </is>
      </c>
    </row>
    <row r="1018">
      <c r="A1018" s="2" t="inlineStr">
        <is>
          <t>Jumbo</t>
        </is>
      </c>
      <c r="B1018" s="2" t="n">
        <v>31699</v>
      </c>
      <c r="C1018" s="2" t="n">
        <v>28858</v>
      </c>
      <c r="D1018" s="2" t="inlineStr">
        <is>
          <t>Acondicionador Elvive Rizos Hidr 200ml</t>
        </is>
      </c>
      <c r="E1018" s="2" t="inlineStr">
        <is>
          <t>ELVIVE</t>
        </is>
      </c>
      <c r="F1018" s="2" t="n">
        <v>266.59</v>
      </c>
      <c r="G1018" s="2" t="n">
        <v>22032</v>
      </c>
      <c r="H1018" s="2" t="b">
        <v>0</v>
      </c>
      <c r="I1018" s="2" t="n">
        <v>200</v>
      </c>
      <c r="J1018" s="2" t="n">
        <v>1.3329</v>
      </c>
      <c r="K1018" s="2" t="inlineStr">
        <is>
          <t>&gt; Perfumería &gt; Cuidado Capilar &gt; Acondicionador &gt;</t>
        </is>
      </c>
      <c r="L1018" s="2" t="inlineStr">
        <is>
          <t>acondicionador</t>
        </is>
      </c>
      <c r="M1018" s="2" t="inlineStr">
        <is>
          <t>profesional</t>
        </is>
      </c>
      <c r="N1018" s="2" t="inlineStr">
        <is>
          <t>rizado</t>
        </is>
      </c>
      <c r="O1018" s="2" t="inlineStr">
        <is>
          <t>https://www.jumbo.com.ar/acondicionador-elvive-rizos-hidr-200ml/p</t>
        </is>
      </c>
    </row>
    <row r="1019">
      <c r="A1019" t="inlineStr">
        <is>
          <t>Jumbo</t>
        </is>
      </c>
      <c r="B1019" t="n">
        <v>31577</v>
      </c>
      <c r="C1019" t="n">
        <v>28736</v>
      </c>
      <c r="D1019" t="inlineStr">
        <is>
          <t>Acondicionador Elvive Caida Resist 750ml</t>
        </is>
      </c>
      <c r="E1019" t="inlineStr">
        <is>
          <t>ELVIVE</t>
        </is>
      </c>
      <c r="F1019" t="n">
        <v>229.53</v>
      </c>
      <c r="G1019" t="n">
        <v>18969</v>
      </c>
      <c r="H1019" t="b">
        <v>0</v>
      </c>
      <c r="I1019" t="n">
        <v>750</v>
      </c>
      <c r="J1019" t="n">
        <v>0.306</v>
      </c>
      <c r="K1019" t="inlineStr">
        <is>
          <t>&gt; Perfumería &gt; Cuidado Capilar &gt; Acondicionador &gt;</t>
        </is>
      </c>
      <c r="L1019" t="inlineStr">
        <is>
          <t>acondicionador</t>
        </is>
      </c>
      <c r="M1019" t="inlineStr">
        <is>
          <t>profesional</t>
        </is>
      </c>
      <c r="N1019" t="inlineStr">
        <is>
          <t>general</t>
        </is>
      </c>
      <c r="O1019" t="inlineStr">
        <is>
          <t>https://www.jumbo.com.ar/acondicionador-elvive-caida-resist-750ml/p</t>
        </is>
      </c>
    </row>
    <row r="1020">
      <c r="A1020" s="2" t="inlineStr">
        <is>
          <t>Jumbo</t>
        </is>
      </c>
      <c r="B1020" s="2" t="n">
        <v>31513</v>
      </c>
      <c r="C1020" s="2" t="n">
        <v>28671</v>
      </c>
      <c r="D1020" s="2" t="inlineStr">
        <is>
          <t>Acondicionador Elvive Color Vive 750ml</t>
        </is>
      </c>
      <c r="E1020" s="2" t="inlineStr">
        <is>
          <t>ELVIVE</t>
        </is>
      </c>
      <c r="F1020" s="2" t="n">
        <v>745.65</v>
      </c>
      <c r="G1020" s="2" t="n">
        <v>61624</v>
      </c>
      <c r="H1020" s="2" t="b">
        <v>0</v>
      </c>
      <c r="I1020" s="2" t="n">
        <v>750</v>
      </c>
      <c r="J1020" s="2" t="n">
        <v>0.9942</v>
      </c>
      <c r="K1020" s="2" t="inlineStr">
        <is>
          <t>&gt; Perfumería &gt; Cuidado Capilar &gt; Acondicionador &gt;</t>
        </is>
      </c>
      <c r="L1020" s="2" t="inlineStr">
        <is>
          <t>acondicionador</t>
        </is>
      </c>
      <c r="M1020" s="2" t="inlineStr">
        <is>
          <t>profesional</t>
        </is>
      </c>
      <c r="N1020" s="2" t="inlineStr">
        <is>
          <t>tratado</t>
        </is>
      </c>
      <c r="O1020" s="2" t="inlineStr">
        <is>
          <t>https://www.jumbo.com.ar/acondicionador-elvive-color-vive-750ml/p</t>
        </is>
      </c>
    </row>
    <row r="1021">
      <c r="A1021" t="inlineStr">
        <is>
          <t>Jumbo</t>
        </is>
      </c>
      <c r="B1021" t="n">
        <v>19657</v>
      </c>
      <c r="C1021" t="n">
        <v>16820</v>
      </c>
      <c r="D1021" t="inlineStr">
        <is>
          <t>Acondicionador Sedal Crema Balance 340ml</t>
        </is>
      </c>
      <c r="E1021" t="inlineStr">
        <is>
          <t>SEDAL</t>
        </is>
      </c>
      <c r="F1021" t="n">
        <v>176.59</v>
      </c>
      <c r="G1021" t="n">
        <v>14594</v>
      </c>
      <c r="H1021" t="b">
        <v>0</v>
      </c>
      <c r="I1021" t="n">
        <v>340</v>
      </c>
      <c r="J1021" t="n">
        <v>0.5194</v>
      </c>
      <c r="K1021" t="inlineStr">
        <is>
          <t>&gt; Perfumería &gt; Cuidado Capilar &gt; Acondicionador &gt;</t>
        </is>
      </c>
      <c r="L1021" t="inlineStr">
        <is>
          <t>acondicionador</t>
        </is>
      </c>
      <c r="M1021" t="inlineStr">
        <is>
          <t>estandar</t>
        </is>
      </c>
      <c r="N1021" t="inlineStr">
        <is>
          <t>general</t>
        </is>
      </c>
      <c r="O1021" t="inlineStr">
        <is>
          <t>https://www.jumbo.com.ar/acondicionador-sedal-crema-balance-340ml/p</t>
        </is>
      </c>
    </row>
    <row r="1022">
      <c r="A1022" s="2" t="inlineStr">
        <is>
          <t>Jumbo</t>
        </is>
      </c>
      <c r="B1022" s="2" t="n">
        <v>19538</v>
      </c>
      <c r="C1022" s="2" t="n">
        <v>16695</v>
      </c>
      <c r="D1022" s="2" t="inlineStr">
        <is>
          <t>Acondicionador Tresemme Detox Capilar 750ml</t>
        </is>
      </c>
      <c r="E1022" s="2" t="inlineStr">
        <is>
          <t>TRESEMMÉ</t>
        </is>
      </c>
      <c r="F1022" s="2" t="n">
        <v>538.59</v>
      </c>
      <c r="G1022" s="2" t="n">
        <v>44512</v>
      </c>
      <c r="H1022" s="2" t="b">
        <v>0</v>
      </c>
      <c r="I1022" s="2" t="n">
        <v>750</v>
      </c>
      <c r="J1022" s="2" t="n">
        <v>0.7181</v>
      </c>
      <c r="K1022" s="2" t="inlineStr">
        <is>
          <t>&gt; Perfumería &gt; Cuidado Capilar &gt; Acondicionador &gt;</t>
        </is>
      </c>
      <c r="L1022" s="2" t="inlineStr">
        <is>
          <t>acondicionador</t>
        </is>
      </c>
      <c r="M1022" s="2" t="inlineStr">
        <is>
          <t>estandar</t>
        </is>
      </c>
      <c r="N1022" s="2" t="inlineStr">
        <is>
          <t>general</t>
        </is>
      </c>
      <c r="O1022" s="2" t="inlineStr">
        <is>
          <t>https://www.jumbo.com.ar/acondicionador-tresemme-detox-capilar-750ml/p</t>
        </is>
      </c>
    </row>
    <row r="1023">
      <c r="A1023" t="inlineStr">
        <is>
          <t>Jumbo</t>
        </is>
      </c>
      <c r="B1023" t="n">
        <v>7704</v>
      </c>
      <c r="C1023" t="n">
        <v>5030</v>
      </c>
      <c r="D1023" t="inlineStr">
        <is>
          <t>Pantene Acondicionador Hidratacion Balanceada 750ml</t>
        </is>
      </c>
      <c r="E1023" t="inlineStr">
        <is>
          <t>PANTENE</t>
        </is>
      </c>
      <c r="F1023" t="n">
        <v>284.77</v>
      </c>
      <c r="G1023" t="n">
        <v>23535</v>
      </c>
      <c r="H1023" t="b">
        <v>0</v>
      </c>
      <c r="I1023" t="n">
        <v>750</v>
      </c>
      <c r="J1023" t="n">
        <v>0.3797</v>
      </c>
      <c r="K1023" t="inlineStr">
        <is>
          <t>&gt; Perfumería &gt; Cuidado Capilar &gt; Acondicionador &gt;</t>
        </is>
      </c>
      <c r="L1023" t="inlineStr">
        <is>
          <t>acondicionador</t>
        </is>
      </c>
      <c r="M1023" t="inlineStr">
        <is>
          <t>estandar</t>
        </is>
      </c>
      <c r="N1023" t="inlineStr">
        <is>
          <t>seco_danado</t>
        </is>
      </c>
      <c r="O1023" t="inlineStr">
        <is>
          <t>https://www.jumbo.com.ar/acondicionador-pantene-5/p</t>
        </is>
      </c>
    </row>
    <row r="1024">
      <c r="A1024" s="2" t="inlineStr">
        <is>
          <t>Jumbo</t>
        </is>
      </c>
      <c r="B1024" s="2" t="n">
        <v>7331</v>
      </c>
      <c r="C1024" s="2" t="n">
        <v>4665</v>
      </c>
      <c r="D1024" s="2" t="inlineStr">
        <is>
          <t>Acondicionador Pantene Cont Caida 750ml</t>
        </is>
      </c>
      <c r="E1024" s="2" t="inlineStr">
        <is>
          <t>PANTENE</t>
        </is>
      </c>
      <c r="F1024" s="2" t="n">
        <v>457.55</v>
      </c>
      <c r="G1024" s="2" t="n">
        <v>37814</v>
      </c>
      <c r="H1024" s="2" t="b">
        <v>0</v>
      </c>
      <c r="I1024" s="2" t="n">
        <v>750</v>
      </c>
      <c r="J1024" s="2" t="n">
        <v>0.6101</v>
      </c>
      <c r="K1024" s="2" t="inlineStr">
        <is>
          <t>&gt; Perfumería &gt; Cuidado Capilar &gt; Acondicionador &gt;</t>
        </is>
      </c>
      <c r="L1024" s="2" t="inlineStr">
        <is>
          <t>acondicionador</t>
        </is>
      </c>
      <c r="M1024" s="2" t="inlineStr">
        <is>
          <t>estandar</t>
        </is>
      </c>
      <c r="N1024" s="2" t="inlineStr">
        <is>
          <t>general</t>
        </is>
      </c>
      <c r="O1024" s="2" t="inlineStr">
        <is>
          <t>https://www.jumbo.com.ar/acondicionador-pantene-cont-caida-750ml/p</t>
        </is>
      </c>
    </row>
    <row r="1025">
      <c r="A1025" t="inlineStr">
        <is>
          <t>Jumbo</t>
        </is>
      </c>
      <c r="B1025" t="n">
        <v>4497</v>
      </c>
      <c r="C1025" t="n">
        <v>26540</v>
      </c>
      <c r="D1025" t="inlineStr">
        <is>
          <t>Acondicionador Babelito Manzana 200 Ml</t>
        </is>
      </c>
      <c r="E1025" t="inlineStr">
        <is>
          <t>BABELITO</t>
        </is>
      </c>
      <c r="F1025" t="n">
        <v>123.99</v>
      </c>
      <c r="G1025" t="n">
        <v>123.99</v>
      </c>
      <c r="H1025" t="b">
        <v>0</v>
      </c>
      <c r="I1025" t="n">
        <v>200</v>
      </c>
      <c r="J1025" t="n">
        <v>0.62</v>
      </c>
      <c r="K1025" t="inlineStr">
        <is>
          <t>&gt; Mundo Bebe &gt; Higiene para el Bebe &gt; Higiene del Bebé &gt;</t>
        </is>
      </c>
      <c r="L1025" t="inlineStr">
        <is>
          <t>acondicionador</t>
        </is>
      </c>
      <c r="M1025" t="inlineStr">
        <is>
          <t>estandar</t>
        </is>
      </c>
      <c r="N1025" t="inlineStr">
        <is>
          <t>general</t>
        </is>
      </c>
      <c r="O1025" t="inlineStr">
        <is>
          <t>https://www.jumbo.com.ar/acondicionador-p-cabello-babelito-2/p</t>
        </is>
      </c>
    </row>
    <row r="1026">
      <c r="A1026" s="2" t="inlineStr">
        <is>
          <t>Jumbo</t>
        </is>
      </c>
      <c r="B1026" s="2" t="n">
        <v>384215</v>
      </c>
      <c r="C1026" s="2" t="n">
        <v>382905</v>
      </c>
      <c r="D1026" s="2" t="inlineStr">
        <is>
          <t>Acondicionador Tresemme Kera Antifrizz 880ml</t>
        </is>
      </c>
      <c r="E1026" s="2" t="inlineStr">
        <is>
          <t>TRESEMMÉ</t>
        </is>
      </c>
      <c r="F1026" s="2" t="n">
        <v>2556.45</v>
      </c>
      <c r="G1026" s="2" t="n">
        <v>211277</v>
      </c>
      <c r="H1026" s="2" t="b">
        <v>0</v>
      </c>
      <c r="I1026" s="2" t="n">
        <v>880</v>
      </c>
      <c r="J1026" s="2" t="n">
        <v>2.9051</v>
      </c>
      <c r="K1026" s="2" t="inlineStr">
        <is>
          <t>&gt; Perfumería &gt; Cuidado Capilar &gt; Acondicionador &gt;</t>
        </is>
      </c>
      <c r="L1026" s="2" t="inlineStr">
        <is>
          <t>acondicionador</t>
        </is>
      </c>
      <c r="M1026" s="2" t="inlineStr">
        <is>
          <t>estandar</t>
        </is>
      </c>
      <c r="N1026" s="2" t="inlineStr">
        <is>
          <t>general</t>
        </is>
      </c>
      <c r="O1026" s="2" t="inlineStr">
        <is>
          <t>https://www.jumbo.com.ar/acondicionador-tresemme-kera-antifrizz-880ml/p</t>
        </is>
      </c>
    </row>
    <row r="1027">
      <c r="A1027" t="inlineStr">
        <is>
          <t>Jumbo</t>
        </is>
      </c>
      <c r="B1027" t="n">
        <v>375247</v>
      </c>
      <c r="C1027" t="n">
        <v>373965</v>
      </c>
      <c r="D1027" t="inlineStr">
        <is>
          <t>Acondicionador Fructis Liso Coco 350ml</t>
        </is>
      </c>
      <c r="E1027" t="inlineStr">
        <is>
          <t>FRUCTIS</t>
        </is>
      </c>
      <c r="F1027" t="n">
        <v>1250</v>
      </c>
      <c r="G1027" t="n">
        <v>103306</v>
      </c>
      <c r="H1027" t="b">
        <v>0</v>
      </c>
      <c r="I1027" t="n">
        <v>350</v>
      </c>
      <c r="J1027" t="n">
        <v>3.5714</v>
      </c>
      <c r="K1027" t="inlineStr">
        <is>
          <t>&gt; Perfumería &gt; Cuidado Capilar &gt; Acondicionador &gt;</t>
        </is>
      </c>
      <c r="L1027" t="inlineStr">
        <is>
          <t>acondicionador</t>
        </is>
      </c>
      <c r="M1027" t="inlineStr">
        <is>
          <t>estandar</t>
        </is>
      </c>
      <c r="N1027" t="inlineStr">
        <is>
          <t>general</t>
        </is>
      </c>
      <c r="O1027" t="inlineStr">
        <is>
          <t>https://www.jumbo.com.ar/acondicionador-fructis-liso-coco-350ml/p</t>
        </is>
      </c>
    </row>
    <row r="1028">
      <c r="A1028" s="2" t="inlineStr">
        <is>
          <t>Jumbo</t>
        </is>
      </c>
      <c r="B1028" s="2" t="n">
        <v>347728</v>
      </c>
      <c r="C1028" s="2" t="n">
        <v>346403</v>
      </c>
      <c r="D1028" s="2" t="inlineStr">
        <is>
          <t>Acondicionador Sedal Ceramidas 340 Ml</t>
        </is>
      </c>
      <c r="E1028" s="2" t="inlineStr">
        <is>
          <t>SEDAL</t>
        </is>
      </c>
      <c r="F1028" s="2" t="n">
        <v>469.67</v>
      </c>
      <c r="G1028" s="2" t="n">
        <v>38816</v>
      </c>
      <c r="H1028" s="2" t="b">
        <v>0</v>
      </c>
      <c r="I1028" s="2" t="n">
        <v>340</v>
      </c>
      <c r="J1028" s="2" t="n">
        <v>1.3814</v>
      </c>
      <c r="K1028" s="2" t="inlineStr">
        <is>
          <t>&gt; Perfumería &gt; Cuidado Capilar &gt; Acondicionador &gt;</t>
        </is>
      </c>
      <c r="L1028" s="2" t="inlineStr">
        <is>
          <t>acondicionador</t>
        </is>
      </c>
      <c r="M1028" s="2" t="inlineStr">
        <is>
          <t>estandar</t>
        </is>
      </c>
      <c r="N1028" s="2" t="inlineStr">
        <is>
          <t>general</t>
        </is>
      </c>
      <c r="O1028" s="2" t="inlineStr">
        <is>
          <t>https://www.jumbo.com.ar/acondicionador-sedal-ceramidas-340-ml/p</t>
        </is>
      </c>
    </row>
    <row r="1029">
      <c r="A1029" t="inlineStr">
        <is>
          <t>Jumbo</t>
        </is>
      </c>
      <c r="B1029" t="n">
        <v>347721</v>
      </c>
      <c r="C1029" t="n">
        <v>346396</v>
      </c>
      <c r="D1029" t="inlineStr">
        <is>
          <t>Acondicionador Sedal Ceramidas 190 Ml</t>
        </is>
      </c>
      <c r="E1029" t="inlineStr">
        <is>
          <t>SEDAL</t>
        </is>
      </c>
      <c r="F1029" t="n">
        <v>359.35</v>
      </c>
      <c r="G1029" t="n">
        <v>29698</v>
      </c>
      <c r="H1029" t="b">
        <v>0</v>
      </c>
      <c r="I1029" t="n">
        <v>190</v>
      </c>
      <c r="J1029" t="n">
        <v>1.8913</v>
      </c>
      <c r="K1029" t="inlineStr">
        <is>
          <t>&gt; Perfumería &gt; Cuidado Capilar &gt; Acondicionador &gt;</t>
        </is>
      </c>
      <c r="L1029" t="inlineStr">
        <is>
          <t>acondicionador</t>
        </is>
      </c>
      <c r="M1029" t="inlineStr">
        <is>
          <t>estandar</t>
        </is>
      </c>
      <c r="N1029" t="inlineStr">
        <is>
          <t>general</t>
        </is>
      </c>
      <c r="O1029" t="inlineStr">
        <is>
          <t>https://www.jumbo.com.ar/acondicionador-sedal-ceramidas-190-ml-2/p</t>
        </is>
      </c>
    </row>
    <row r="1030">
      <c r="A1030" s="2" t="inlineStr">
        <is>
          <t>Jumbo</t>
        </is>
      </c>
      <c r="B1030" s="2" t="n">
        <v>347700</v>
      </c>
      <c r="C1030" s="2" t="n">
        <v>346375</v>
      </c>
      <c r="D1030" s="2" t="inlineStr">
        <is>
          <t>Acondicionador Sedal Ceramidas Hidratante 300ml</t>
        </is>
      </c>
      <c r="E1030" s="2" t="inlineStr">
        <is>
          <t>SEDAL</t>
        </is>
      </c>
      <c r="F1030" s="2" t="n">
        <v>420.05</v>
      </c>
      <c r="G1030" s="2" t="n">
        <v>34715</v>
      </c>
      <c r="H1030" s="2" t="b">
        <v>0</v>
      </c>
      <c r="I1030" s="2" t="n">
        <v>300</v>
      </c>
      <c r="J1030" s="2" t="n">
        <v>1.4002</v>
      </c>
      <c r="K1030" s="2" t="inlineStr">
        <is>
          <t>&gt; Perfumería &gt; Cuidado Capilar &gt; Acondicionador &gt;</t>
        </is>
      </c>
      <c r="L1030" s="2" t="inlineStr">
        <is>
          <t>acondicionador</t>
        </is>
      </c>
      <c r="M1030" s="2" t="inlineStr">
        <is>
          <t>estandar</t>
        </is>
      </c>
      <c r="N1030" s="2" t="inlineStr">
        <is>
          <t>seco_danado</t>
        </is>
      </c>
      <c r="O1030" s="2" t="inlineStr">
        <is>
          <t>https://www.jumbo.com.ar/acondicionador-sedal-ceramidas-hidratante-300ml/p</t>
        </is>
      </c>
    </row>
    <row r="1031">
      <c r="A1031" t="inlineStr">
        <is>
          <t>Jumbo</t>
        </is>
      </c>
      <c r="B1031" t="n">
        <v>346830</v>
      </c>
      <c r="C1031" t="n">
        <v>345505</v>
      </c>
      <c r="D1031" t="inlineStr">
        <is>
          <t>Acondicionador Elvive Caida Resist 400ml</t>
        </is>
      </c>
      <c r="E1031" t="inlineStr">
        <is>
          <t>ELVIVE</t>
        </is>
      </c>
      <c r="F1031" t="n">
        <v>1350</v>
      </c>
      <c r="G1031" t="n">
        <v>111570</v>
      </c>
      <c r="H1031" t="b">
        <v>0</v>
      </c>
      <c r="I1031" t="n">
        <v>400</v>
      </c>
      <c r="J1031" t="n">
        <v>3.375</v>
      </c>
      <c r="K1031" t="inlineStr">
        <is>
          <t>&gt; Perfumería &gt; Cuidado Capilar &gt; Acondicionador &gt;</t>
        </is>
      </c>
      <c r="L1031" t="inlineStr">
        <is>
          <t>acondicionador</t>
        </is>
      </c>
      <c r="M1031" t="inlineStr">
        <is>
          <t>profesional</t>
        </is>
      </c>
      <c r="N1031" t="inlineStr">
        <is>
          <t>general</t>
        </is>
      </c>
      <c r="O1031" t="inlineStr">
        <is>
          <t>https://www.jumbo.com.ar/acondicionador-elvive-caida-resist-400ml-2/p</t>
        </is>
      </c>
    </row>
    <row r="1032">
      <c r="A1032" s="2" t="inlineStr">
        <is>
          <t>Jumbo</t>
        </is>
      </c>
      <c r="B1032" s="2" t="n">
        <v>346744</v>
      </c>
      <c r="C1032" s="2" t="n">
        <v>345419</v>
      </c>
      <c r="D1032" s="2" t="inlineStr">
        <is>
          <t>Acondicionador Elvive Extreme Reconstructor 750ml</t>
        </is>
      </c>
      <c r="E1032" s="2" t="inlineStr">
        <is>
          <t>ELVIVE</t>
        </is>
      </c>
      <c r="F1032" s="2" t="n">
        <v>2650</v>
      </c>
      <c r="G1032" s="2" t="n">
        <v>219008</v>
      </c>
      <c r="H1032" s="2" t="b">
        <v>0</v>
      </c>
      <c r="I1032" s="2" t="n">
        <v>750</v>
      </c>
      <c r="J1032" s="2" t="n">
        <v>3.5333</v>
      </c>
      <c r="K1032" s="2" t="inlineStr">
        <is>
          <t>&gt; Perfumería &gt; Cuidado Capilar &gt; Acondicionador &gt;</t>
        </is>
      </c>
      <c r="L1032" s="2" t="inlineStr">
        <is>
          <t>acondicionador</t>
        </is>
      </c>
      <c r="M1032" s="2" t="inlineStr">
        <is>
          <t>profesional</t>
        </is>
      </c>
      <c r="N1032" s="2" t="inlineStr">
        <is>
          <t>general</t>
        </is>
      </c>
      <c r="O1032" s="2" t="inlineStr">
        <is>
          <t>https://www.jumbo.com.ar/acondicionador-elvive-extreme-reconstructor-750ml/p</t>
        </is>
      </c>
    </row>
    <row r="1033">
      <c r="A1033" t="inlineStr">
        <is>
          <t>Jumbo</t>
        </is>
      </c>
      <c r="B1033" t="n">
        <v>346742</v>
      </c>
      <c r="C1033" t="n">
        <v>345417</v>
      </c>
      <c r="D1033" t="inlineStr">
        <is>
          <t>Acondicionador Elvive Extreme Reconstructor 400ml</t>
        </is>
      </c>
      <c r="E1033" t="inlineStr">
        <is>
          <t>ELVIVE</t>
        </is>
      </c>
      <c r="F1033" t="n">
        <v>1151.55</v>
      </c>
      <c r="G1033" t="n">
        <v>95169</v>
      </c>
      <c r="H1033" t="b">
        <v>0</v>
      </c>
      <c r="I1033" t="n">
        <v>400</v>
      </c>
      <c r="J1033" t="n">
        <v>2.8789</v>
      </c>
      <c r="K1033" t="inlineStr">
        <is>
          <t>&gt; Perfumería &gt; Cuidado Capilar &gt; Acondicionador &gt;</t>
        </is>
      </c>
      <c r="L1033" t="inlineStr">
        <is>
          <t>acondicionador</t>
        </is>
      </c>
      <c r="M1033" t="inlineStr">
        <is>
          <t>profesional</t>
        </is>
      </c>
      <c r="N1033" t="inlineStr">
        <is>
          <t>general</t>
        </is>
      </c>
      <c r="O1033" t="inlineStr">
        <is>
          <t>https://www.jumbo.com.ar/acondicionador-elvive-extreme-reconstructor-400ml/p</t>
        </is>
      </c>
    </row>
    <row r="1034">
      <c r="A1034" s="2" t="inlineStr">
        <is>
          <t>Jumbo</t>
        </is>
      </c>
      <c r="B1034" s="2" t="n">
        <v>341265</v>
      </c>
      <c r="C1034" s="2" t="n">
        <v>339954</v>
      </c>
      <c r="D1034" s="2" t="inlineStr">
        <is>
          <t>Tío Nacho Acondicionador Purificación 200ml</t>
        </is>
      </c>
      <c r="E1034" s="2" t="inlineStr">
        <is>
          <t>Tio Nacho</t>
        </is>
      </c>
      <c r="F1034" s="2" t="n">
        <v>457.87</v>
      </c>
      <c r="G1034" s="2" t="n">
        <v>37841</v>
      </c>
      <c r="H1034" s="2" t="b">
        <v>0</v>
      </c>
      <c r="I1034" s="2" t="n">
        <v>200</v>
      </c>
      <c r="J1034" s="2" t="n">
        <v>2.2894</v>
      </c>
      <c r="K1034" s="2" t="inlineStr">
        <is>
          <t>&gt; Perfumería &gt; Cuidado Capilar &gt; Acondicionador &gt;</t>
        </is>
      </c>
      <c r="L1034" s="2" t="inlineStr">
        <is>
          <t>acondicionador</t>
        </is>
      </c>
      <c r="M1034" s="2" t="inlineStr">
        <is>
          <t>estandar</t>
        </is>
      </c>
      <c r="N1034" s="2" t="inlineStr">
        <is>
          <t>general</t>
        </is>
      </c>
      <c r="O1034" s="2" t="inlineStr">
        <is>
          <t>https://www.jumbo.com.ar/tio-nacho-acondicionador-purificacion-200ml/p</t>
        </is>
      </c>
    </row>
    <row r="1035">
      <c r="A1035" t="inlineStr">
        <is>
          <t>Jumbo</t>
        </is>
      </c>
      <c r="B1035" t="n">
        <v>337408</v>
      </c>
      <c r="C1035" t="n">
        <v>336511</v>
      </c>
      <c r="D1035" t="inlineStr">
        <is>
          <t>Acondicionador Dove Oleo Nutricion 200ml</t>
        </is>
      </c>
      <c r="E1035" t="inlineStr">
        <is>
          <t>DOVE</t>
        </is>
      </c>
      <c r="F1035" t="n">
        <v>341.59</v>
      </c>
      <c r="G1035" t="n">
        <v>28231</v>
      </c>
      <c r="H1035" t="b">
        <v>0</v>
      </c>
      <c r="I1035" t="n">
        <v>200</v>
      </c>
      <c r="J1035" t="n">
        <v>1.7079</v>
      </c>
      <c r="K1035" t="inlineStr">
        <is>
          <t>&gt; Perfumería &gt; Cuidado Capilar &gt; Acondicionador &gt;</t>
        </is>
      </c>
      <c r="L1035" t="inlineStr">
        <is>
          <t>acondicionador</t>
        </is>
      </c>
      <c r="M1035" t="inlineStr">
        <is>
          <t>estandar</t>
        </is>
      </c>
      <c r="N1035" t="inlineStr">
        <is>
          <t>general</t>
        </is>
      </c>
      <c r="O1035" t="inlineStr">
        <is>
          <t>https://www.jumbo.com.ar/acondicionador-dove-oleo-nutricion-200ml-2/p</t>
        </is>
      </c>
    </row>
    <row r="1036">
      <c r="A1036" s="2" t="inlineStr">
        <is>
          <t>Jumbo</t>
        </is>
      </c>
      <c r="B1036" s="2" t="n">
        <v>336810</v>
      </c>
      <c r="C1036" s="2" t="n">
        <v>335912</v>
      </c>
      <c r="D1036" s="2" t="inlineStr">
        <is>
          <t>Acondicionador Sedal Bomba Argan 340ml</t>
        </is>
      </c>
      <c r="E1036" s="2" t="inlineStr">
        <is>
          <t>SEDAL</t>
        </is>
      </c>
      <c r="F1036" s="2" t="n">
        <v>286.27</v>
      </c>
      <c r="G1036" s="2" t="n">
        <v>23659</v>
      </c>
      <c r="H1036" s="2" t="b">
        <v>0</v>
      </c>
      <c r="I1036" s="2" t="n">
        <v>340</v>
      </c>
      <c r="J1036" s="2" t="n">
        <v>0.842</v>
      </c>
      <c r="K1036" s="2" t="inlineStr">
        <is>
          <t>&gt; Perfumería &gt; Cuidado Capilar &gt; Acondicionador &gt;</t>
        </is>
      </c>
      <c r="L1036" s="2" t="inlineStr">
        <is>
          <t>acondicionador</t>
        </is>
      </c>
      <c r="M1036" s="2" t="inlineStr">
        <is>
          <t>estandar</t>
        </is>
      </c>
      <c r="N1036" s="2" t="inlineStr">
        <is>
          <t>general</t>
        </is>
      </c>
      <c r="O1036" s="2" t="inlineStr">
        <is>
          <t>https://www.jumbo.com.ar/acondicionador-sedal-bomba-argan-340ml/p</t>
        </is>
      </c>
    </row>
    <row r="1037">
      <c r="A1037" t="inlineStr">
        <is>
          <t>Jumbo</t>
        </is>
      </c>
      <c r="B1037" t="n">
        <v>336042</v>
      </c>
      <c r="C1037" t="n">
        <v>335151</v>
      </c>
      <c r="D1037" t="inlineStr">
        <is>
          <t>Acondicionador Sedal Bomba Detox 340ml</t>
        </is>
      </c>
      <c r="E1037" t="inlineStr">
        <is>
          <t>SEDAL</t>
        </is>
      </c>
      <c r="F1037" t="n">
        <v>251.77</v>
      </c>
      <c r="G1037" t="n">
        <v>20807</v>
      </c>
      <c r="H1037" t="b">
        <v>0</v>
      </c>
      <c r="I1037" t="n">
        <v>340</v>
      </c>
      <c r="J1037" t="n">
        <v>0.7405</v>
      </c>
      <c r="K1037" t="inlineStr">
        <is>
          <t>&gt; Perfumería &gt; Cuidado Capilar &gt; Acondicionador &gt;</t>
        </is>
      </c>
      <c r="L1037" t="inlineStr">
        <is>
          <t>acondicionador</t>
        </is>
      </c>
      <c r="M1037" t="inlineStr">
        <is>
          <t>estandar</t>
        </is>
      </c>
      <c r="N1037" t="inlineStr">
        <is>
          <t>general</t>
        </is>
      </c>
      <c r="O1037" t="inlineStr">
        <is>
          <t>https://www.jumbo.com.ar/acondicionador-sedal-bomba-detox-340ml/p</t>
        </is>
      </c>
    </row>
    <row r="1038">
      <c r="A1038" s="2" t="inlineStr">
        <is>
          <t>Jumbo</t>
        </is>
      </c>
      <c r="B1038" s="2" t="n">
        <v>336019</v>
      </c>
      <c r="C1038" s="2" t="n">
        <v>335129</v>
      </c>
      <c r="D1038" s="2" t="inlineStr">
        <is>
          <t>Acondicionador Sedal Bomba Argan 650ml</t>
        </is>
      </c>
      <c r="E1038" s="2" t="inlineStr">
        <is>
          <t>SEDAL</t>
        </is>
      </c>
      <c r="F1038" s="2" t="n">
        <v>489.95</v>
      </c>
      <c r="G1038" s="2" t="n">
        <v>40492</v>
      </c>
      <c r="H1038" s="2" t="b">
        <v>0</v>
      </c>
      <c r="I1038" s="2" t="n">
        <v>650</v>
      </c>
      <c r="J1038" s="2" t="n">
        <v>0.7538</v>
      </c>
      <c r="K1038" s="2" t="inlineStr">
        <is>
          <t>&gt; Perfumería &gt; Cuidado Capilar &gt; Acondicionador &gt;</t>
        </is>
      </c>
      <c r="L1038" s="2" t="inlineStr">
        <is>
          <t>acondicionador</t>
        </is>
      </c>
      <c r="M1038" s="2" t="inlineStr">
        <is>
          <t>estandar</t>
        </is>
      </c>
      <c r="N1038" s="2" t="inlineStr">
        <is>
          <t>general</t>
        </is>
      </c>
      <c r="O1038" s="2" t="inlineStr">
        <is>
          <t>https://www.jumbo.com.ar/acondicionador-sedal-bomba-argan-650ml/p</t>
        </is>
      </c>
    </row>
    <row r="1039">
      <c r="A1039" t="inlineStr">
        <is>
          <t>Jumbo</t>
        </is>
      </c>
      <c r="B1039" t="n">
        <v>332176</v>
      </c>
      <c r="C1039" t="n">
        <v>331334</v>
      </c>
      <c r="D1039" t="inlineStr">
        <is>
          <t>Acondicionador Plusbelle Antioxidante 1000 Ml</t>
        </is>
      </c>
      <c r="E1039" t="inlineStr">
        <is>
          <t>PLUSBELLE</t>
        </is>
      </c>
      <c r="F1039" t="n">
        <v>600</v>
      </c>
      <c r="G1039" t="n">
        <v>49587</v>
      </c>
      <c r="H1039" t="b">
        <v>0</v>
      </c>
      <c r="I1039" t="n">
        <v>1000</v>
      </c>
      <c r="J1039" t="n">
        <v>0.6</v>
      </c>
      <c r="K1039" t="inlineStr">
        <is>
          <t>&gt; Perfumería &gt; Cuidado Capilar &gt; Acondicionador &gt;</t>
        </is>
      </c>
      <c r="L1039" t="inlineStr">
        <is>
          <t>acondicionador</t>
        </is>
      </c>
      <c r="M1039" t="inlineStr">
        <is>
          <t>estandar</t>
        </is>
      </c>
      <c r="N1039" t="inlineStr">
        <is>
          <t>general</t>
        </is>
      </c>
      <c r="O1039" t="inlineStr">
        <is>
          <t>https://www.jumbo.com.ar/acondicionador-plusbelle-antioxidante-1000-ml/p</t>
        </is>
      </c>
    </row>
    <row r="1040">
      <c r="A1040" s="2" t="inlineStr">
        <is>
          <t>Jumbo</t>
        </is>
      </c>
      <c r="B1040" s="2" t="n">
        <v>313258</v>
      </c>
      <c r="C1040" s="2" t="n">
        <v>312496</v>
      </c>
      <c r="D1040" s="2" t="inlineStr">
        <is>
          <t>Acondicionador Fructis Food Palta 300ml</t>
        </is>
      </c>
      <c r="E1040" s="2" t="inlineStr">
        <is>
          <t>FRUCTIS</t>
        </is>
      </c>
      <c r="F1040" s="2" t="n">
        <v>624.75</v>
      </c>
      <c r="G1040" s="2" t="n">
        <v>51632</v>
      </c>
      <c r="H1040" s="2" t="b">
        <v>0</v>
      </c>
      <c r="I1040" s="2" t="n">
        <v>300</v>
      </c>
      <c r="J1040" s="2" t="n">
        <v>2.0825</v>
      </c>
      <c r="K1040" s="2" t="inlineStr">
        <is>
          <t>&gt; Perfumería &gt; Cuidado Capilar &gt; Acondicionador &gt;</t>
        </is>
      </c>
      <c r="L1040" s="2" t="inlineStr">
        <is>
          <t>acondicionador</t>
        </is>
      </c>
      <c r="M1040" s="2" t="inlineStr">
        <is>
          <t>estandar</t>
        </is>
      </c>
      <c r="N1040" s="2" t="inlineStr">
        <is>
          <t>general</t>
        </is>
      </c>
      <c r="O1040" s="2" t="inlineStr">
        <is>
          <t>https://www.jumbo.com.ar/acondicionador-fructis-food-palta-300ml/p</t>
        </is>
      </c>
    </row>
    <row r="1041">
      <c r="A1041" t="inlineStr">
        <is>
          <t>Jumbo</t>
        </is>
      </c>
      <c r="B1041" t="n">
        <v>313244</v>
      </c>
      <c r="C1041" t="n">
        <v>312482</v>
      </c>
      <c r="D1041" t="inlineStr">
        <is>
          <t>Acondicionador Fructis Food Banana 300ml</t>
        </is>
      </c>
      <c r="E1041" t="inlineStr">
        <is>
          <t>FRUCTIS</t>
        </is>
      </c>
      <c r="F1041" t="n">
        <v>557.25</v>
      </c>
      <c r="G1041" t="n">
        <v>46054</v>
      </c>
      <c r="H1041" t="b">
        <v>0</v>
      </c>
      <c r="I1041" t="n">
        <v>300</v>
      </c>
      <c r="J1041" t="n">
        <v>1.8575</v>
      </c>
      <c r="K1041" t="inlineStr">
        <is>
          <t>&gt; Perfumería &gt; Cuidado Capilar &gt; Acondicionador &gt;</t>
        </is>
      </c>
      <c r="L1041" t="inlineStr">
        <is>
          <t>acondicionador</t>
        </is>
      </c>
      <c r="M1041" t="inlineStr">
        <is>
          <t>estandar</t>
        </is>
      </c>
      <c r="N1041" t="inlineStr">
        <is>
          <t>general</t>
        </is>
      </c>
      <c r="O1041" t="inlineStr">
        <is>
          <t>https://www.jumbo.com.ar/acondicionador-fructis-food-banana-300ml/p</t>
        </is>
      </c>
    </row>
    <row r="1042">
      <c r="A1042" s="2" t="inlineStr">
        <is>
          <t>Jumbo</t>
        </is>
      </c>
      <c r="B1042" s="2" t="n">
        <v>295739</v>
      </c>
      <c r="C1042" s="2" t="n">
        <v>294969</v>
      </c>
      <c r="D1042" s="2" t="inlineStr">
        <is>
          <t>Acondicionador Clear Scalpfoods Detox Diario</t>
        </is>
      </c>
      <c r="E1042" s="2" t="inlineStr">
        <is>
          <t>CLEAR</t>
        </is>
      </c>
      <c r="F1042" s="2" t="n">
        <v>134.69</v>
      </c>
      <c r="G1042" s="2" t="n">
        <v>11131</v>
      </c>
      <c r="H1042" s="2" t="b">
        <v>0</v>
      </c>
      <c r="I1042" s="2" t="inlineStr"/>
      <c r="J1042" s="2" t="inlineStr"/>
      <c r="K1042" s="2" t="inlineStr">
        <is>
          <t>&gt; Perfumería &gt; Cuidado Capilar &gt; Acondicionador &gt;</t>
        </is>
      </c>
      <c r="L1042" s="2" t="inlineStr">
        <is>
          <t>acondicionador</t>
        </is>
      </c>
      <c r="M1042" s="2" t="inlineStr">
        <is>
          <t>estandar</t>
        </is>
      </c>
      <c r="N1042" s="2" t="inlineStr">
        <is>
          <t>general</t>
        </is>
      </c>
      <c r="O1042" s="2" t="inlineStr">
        <is>
          <t>https://www.jumbo.com.ar/acondicionador-clear-scalpfoods-detox-diario/p</t>
        </is>
      </c>
    </row>
    <row r="1043">
      <c r="A1043" t="inlineStr">
        <is>
          <t>Jumbo</t>
        </is>
      </c>
      <c r="B1043" t="n">
        <v>295446</v>
      </c>
      <c r="C1043" t="n">
        <v>294675</v>
      </c>
      <c r="D1043" t="inlineStr">
        <is>
          <t>Acondicionador Plusbelle Esencia Restauracion 1l</t>
        </is>
      </c>
      <c r="E1043" t="inlineStr">
        <is>
          <t>PLUSBELLE</t>
        </is>
      </c>
      <c r="F1043" t="n">
        <v>350</v>
      </c>
      <c r="G1043" t="n">
        <v>28926</v>
      </c>
      <c r="H1043" t="b">
        <v>0</v>
      </c>
      <c r="I1043" t="n">
        <v>1000</v>
      </c>
      <c r="J1043" t="n">
        <v>0.35</v>
      </c>
      <c r="K1043" t="inlineStr">
        <is>
          <t>&gt; Perfumería &gt; Cuidado Capilar &gt; Acondicionador &gt;</t>
        </is>
      </c>
      <c r="L1043" t="inlineStr">
        <is>
          <t>acondicionador</t>
        </is>
      </c>
      <c r="M1043" t="inlineStr">
        <is>
          <t>estandar</t>
        </is>
      </c>
      <c r="N1043" t="inlineStr">
        <is>
          <t>general</t>
        </is>
      </c>
      <c r="O1043" t="inlineStr">
        <is>
          <t>https://www.jumbo.com.ar/acondicionador-plusbelle-esencia-restauracion-1l/p</t>
        </is>
      </c>
    </row>
    <row r="1044">
      <c r="A1044" s="2" t="inlineStr">
        <is>
          <t>Jumbo</t>
        </is>
      </c>
      <c r="B1044" s="2" t="n">
        <v>275363</v>
      </c>
      <c r="C1044" s="2" t="n">
        <v>274659</v>
      </c>
      <c r="D1044" s="2" t="inlineStr">
        <is>
          <t>Acondicionador Head &amp; Shoulders Humectacion</t>
        </is>
      </c>
      <c r="E1044" s="2" t="inlineStr">
        <is>
          <t>HEAD &amp; SHOULDERS</t>
        </is>
      </c>
      <c r="F1044" s="2" t="n">
        <v>208.19</v>
      </c>
      <c r="G1044" s="2" t="n">
        <v>17206</v>
      </c>
      <c r="H1044" s="2" t="b">
        <v>0</v>
      </c>
      <c r="I1044" s="2" t="inlineStr"/>
      <c r="J1044" s="2" t="inlineStr"/>
      <c r="K1044" s="2" t="inlineStr">
        <is>
          <t>&gt; Perfumería &gt; Cuidado Capilar &gt; Acondicionador &gt;</t>
        </is>
      </c>
      <c r="L1044" s="2" t="inlineStr">
        <is>
          <t>acondicionador</t>
        </is>
      </c>
      <c r="M1044" s="2" t="inlineStr">
        <is>
          <t>estandar</t>
        </is>
      </c>
      <c r="N1044" s="2" t="inlineStr">
        <is>
          <t>general</t>
        </is>
      </c>
      <c r="O1044" s="2" t="inlineStr">
        <is>
          <t>https://www.jumbo.com.ar/acondicionador-head-shoulders-humectacion/p</t>
        </is>
      </c>
    </row>
    <row r="1045">
      <c r="A1045" t="inlineStr">
        <is>
          <t>Jumbo</t>
        </is>
      </c>
      <c r="B1045" t="n">
        <v>271686</v>
      </c>
      <c r="C1045" t="n">
        <v>271165</v>
      </c>
      <c r="D1045" t="inlineStr">
        <is>
          <t>Acondicionador Sedal Crema Balance 300ml</t>
        </is>
      </c>
      <c r="E1045" t="inlineStr">
        <is>
          <t>SEDAL</t>
        </is>
      </c>
      <c r="F1045" t="n">
        <v>143.73</v>
      </c>
      <c r="G1045" t="n">
        <v>11879</v>
      </c>
      <c r="H1045" t="b">
        <v>0</v>
      </c>
      <c r="I1045" t="n">
        <v>300</v>
      </c>
      <c r="J1045" t="n">
        <v>0.4791</v>
      </c>
      <c r="K1045" t="inlineStr">
        <is>
          <t>&gt; Perfumería &gt; Cuidado Capilar &gt; Acondicionador &gt;</t>
        </is>
      </c>
      <c r="L1045" t="inlineStr">
        <is>
          <t>acondicionador</t>
        </is>
      </c>
      <c r="M1045" t="inlineStr">
        <is>
          <t>estandar</t>
        </is>
      </c>
      <c r="N1045" t="inlineStr">
        <is>
          <t>general</t>
        </is>
      </c>
      <c r="O1045" t="inlineStr">
        <is>
          <t>https://www.jumbo.com.ar/acondicionador-sedal-crema-balance-300ml/p</t>
        </is>
      </c>
    </row>
    <row r="1046">
      <c r="A1046" s="2" t="inlineStr">
        <is>
          <t>Jumbo</t>
        </is>
      </c>
      <c r="B1046" s="2" t="n">
        <v>263628</v>
      </c>
      <c r="C1046" s="2" t="n">
        <v>263348</v>
      </c>
      <c r="D1046" s="2" t="inlineStr">
        <is>
          <t>Acondicionador Dove Oleo Micelar 400ml</t>
        </is>
      </c>
      <c r="E1046" s="2" t="inlineStr">
        <is>
          <t>DOVE</t>
        </is>
      </c>
      <c r="F1046" s="2" t="n">
        <v>549.95</v>
      </c>
      <c r="G1046" s="2" t="n">
        <v>45450</v>
      </c>
      <c r="H1046" s="2" t="b">
        <v>0</v>
      </c>
      <c r="I1046" s="2" t="n">
        <v>400</v>
      </c>
      <c r="J1046" s="2" t="n">
        <v>1.3749</v>
      </c>
      <c r="K1046" s="2" t="inlineStr">
        <is>
          <t>&gt; Perfumería &gt; Cuidado Capilar &gt; Acondicionador &gt;</t>
        </is>
      </c>
      <c r="L1046" s="2" t="inlineStr">
        <is>
          <t>acondicionador</t>
        </is>
      </c>
      <c r="M1046" s="2" t="inlineStr">
        <is>
          <t>estandar</t>
        </is>
      </c>
      <c r="N1046" s="2" t="inlineStr">
        <is>
          <t>general</t>
        </is>
      </c>
      <c r="O1046" s="2" t="inlineStr">
        <is>
          <t>https://www.jumbo.com.ar/acondicionador-dove-oleo-micelar-400ml/p</t>
        </is>
      </c>
    </row>
    <row r="1047">
      <c r="A1047" t="inlineStr">
        <is>
          <t>Jumbo</t>
        </is>
      </c>
      <c r="B1047" t="n">
        <v>262719</v>
      </c>
      <c r="C1047" t="n">
        <v>262008</v>
      </c>
      <c r="D1047" t="inlineStr">
        <is>
          <t>Acondicionador Marc Anthony Frizz 250ml</t>
        </is>
      </c>
      <c r="E1047" t="inlineStr">
        <is>
          <t>MARC ANTHONY</t>
        </is>
      </c>
      <c r="F1047" t="n">
        <v>880.29</v>
      </c>
      <c r="G1047" t="n">
        <v>72751</v>
      </c>
      <c r="H1047" t="b">
        <v>0</v>
      </c>
      <c r="I1047" t="n">
        <v>250</v>
      </c>
      <c r="J1047" t="n">
        <v>3.5212</v>
      </c>
      <c r="K1047" t="inlineStr">
        <is>
          <t>&gt; Perfumería &gt; Cuidado Capilar &gt; Acondicionador &gt;</t>
        </is>
      </c>
      <c r="L1047" t="inlineStr">
        <is>
          <t>acondicionador</t>
        </is>
      </c>
      <c r="M1047" t="inlineStr">
        <is>
          <t>estandar</t>
        </is>
      </c>
      <c r="N1047" t="inlineStr">
        <is>
          <t>general</t>
        </is>
      </c>
      <c r="O1047" t="inlineStr">
        <is>
          <t>https://www.jumbo.com.ar/acondicionador-marc-anthony-frizz-250ml/p</t>
        </is>
      </c>
    </row>
    <row r="1048">
      <c r="A1048" s="2" t="inlineStr">
        <is>
          <t>Jumbo</t>
        </is>
      </c>
      <c r="B1048" s="2" t="n">
        <v>261491</v>
      </c>
      <c r="C1048" s="2" t="n">
        <v>260782</v>
      </c>
      <c r="D1048" s="2" t="inlineStr">
        <is>
          <t>Acondicionador Plusbelle Detox 1 L</t>
        </is>
      </c>
      <c r="E1048" s="2" t="inlineStr">
        <is>
          <t>PLUSBELLE</t>
        </is>
      </c>
      <c r="F1048" s="2" t="n">
        <v>155.65</v>
      </c>
      <c r="G1048" s="2" t="n">
        <v>12864</v>
      </c>
      <c r="H1048" s="2" t="b">
        <v>0</v>
      </c>
      <c r="I1048" s="2" t="n">
        <v>1000</v>
      </c>
      <c r="J1048" s="2" t="n">
        <v>0.1557</v>
      </c>
      <c r="K1048" s="2" t="inlineStr">
        <is>
          <t>&gt; Perfumería &gt; Cuidado Capilar &gt; Acondicionador &gt;</t>
        </is>
      </c>
      <c r="L1048" s="2" t="inlineStr">
        <is>
          <t>acondicionador</t>
        </is>
      </c>
      <c r="M1048" s="2" t="inlineStr">
        <is>
          <t>estandar</t>
        </is>
      </c>
      <c r="N1048" s="2" t="inlineStr">
        <is>
          <t>general</t>
        </is>
      </c>
      <c r="O1048" s="2" t="inlineStr">
        <is>
          <t>https://www.jumbo.com.ar/acondicionador-plusbelle-detox-1-l/p</t>
        </is>
      </c>
    </row>
    <row r="1049">
      <c r="A1049" t="inlineStr">
        <is>
          <t>Jumbo</t>
        </is>
      </c>
      <c r="B1049" t="n">
        <v>260116</v>
      </c>
      <c r="C1049" t="n">
        <v>259410</v>
      </c>
      <c r="D1049" t="inlineStr">
        <is>
          <t>Acondicionador Alta Moda Detox 300ml</t>
        </is>
      </c>
      <c r="E1049" t="inlineStr">
        <is>
          <t>ALTA MODA</t>
        </is>
      </c>
      <c r="F1049" t="n">
        <v>184.89</v>
      </c>
      <c r="G1049" t="n">
        <v>15280</v>
      </c>
      <c r="H1049" t="b">
        <v>0</v>
      </c>
      <c r="I1049" t="n">
        <v>300</v>
      </c>
      <c r="J1049" t="n">
        <v>0.6163</v>
      </c>
      <c r="K1049" t="inlineStr">
        <is>
          <t>&gt; Perfumería &gt; Cuidado Capilar &gt; Acondicionador &gt;</t>
        </is>
      </c>
      <c r="L1049" t="inlineStr">
        <is>
          <t>acondicionador</t>
        </is>
      </c>
      <c r="M1049" t="inlineStr">
        <is>
          <t>estandar</t>
        </is>
      </c>
      <c r="N1049" t="inlineStr">
        <is>
          <t>general</t>
        </is>
      </c>
      <c r="O1049" t="inlineStr">
        <is>
          <t>https://www.jumbo.com.ar/acondicionador-alta-moda-detox-300ml/p</t>
        </is>
      </c>
    </row>
    <row r="1050">
      <c r="A1050" s="2" t="inlineStr">
        <is>
          <t>Jumbo</t>
        </is>
      </c>
      <c r="B1050" s="2" t="n">
        <v>254986</v>
      </c>
      <c r="C1050" s="2" t="n">
        <v>254280</v>
      </c>
      <c r="D1050" s="2" t="inlineStr">
        <is>
          <t>Acondicionador Coco 650 Ml Fructis</t>
        </is>
      </c>
      <c r="E1050" s="2" t="inlineStr">
        <is>
          <t>FRUCTIS</t>
        </is>
      </c>
      <c r="F1050" s="2" t="n">
        <v>11550</v>
      </c>
      <c r="G1050" s="2" t="n">
        <v>954545</v>
      </c>
      <c r="H1050" s="2" t="b">
        <v>0</v>
      </c>
      <c r="I1050" s="2" t="n">
        <v>650</v>
      </c>
      <c r="J1050" s="2" t="n">
        <v>17.7692</v>
      </c>
      <c r="K1050" s="2" t="inlineStr">
        <is>
          <t>&gt; Perfumería &gt; Cuidado Capilar &gt; Acondicionador &gt;</t>
        </is>
      </c>
      <c r="L1050" s="2" t="inlineStr">
        <is>
          <t>acondicionador</t>
        </is>
      </c>
      <c r="M1050" s="2" t="inlineStr">
        <is>
          <t>estandar</t>
        </is>
      </c>
      <c r="N1050" s="2" t="inlineStr">
        <is>
          <t>general</t>
        </is>
      </c>
      <c r="O1050" s="2" t="inlineStr">
        <is>
          <t>https://www.jumbo.com.ar/acondicionador-coco-650-ml-fructis/p</t>
        </is>
      </c>
    </row>
    <row r="1051">
      <c r="A1051" t="inlineStr">
        <is>
          <t>Jumbo</t>
        </is>
      </c>
      <c r="B1051" t="n">
        <v>179237</v>
      </c>
      <c r="C1051" t="n">
        <v>197331</v>
      </c>
      <c r="D1051" t="inlineStr">
        <is>
          <t>Acondicionador Aquamarine X 240 Cc</t>
        </is>
      </c>
      <c r="E1051" t="inlineStr">
        <is>
          <t>AQUAMARINE</t>
        </is>
      </c>
      <c r="F1051" t="n">
        <v>2.69</v>
      </c>
      <c r="G1051" t="n">
        <v>2.69</v>
      </c>
      <c r="H1051" t="b">
        <v>0</v>
      </c>
      <c r="I1051" t="inlineStr"/>
      <c r="J1051" t="inlineStr"/>
      <c r="K1051" t="inlineStr">
        <is>
          <t>&gt; Perfumería &gt; Cuidado Capilar &gt; Acondicionador &gt;</t>
        </is>
      </c>
      <c r="L1051" t="inlineStr">
        <is>
          <t>acondicionador</t>
        </is>
      </c>
      <c r="M1051" t="inlineStr">
        <is>
          <t>estandar</t>
        </is>
      </c>
      <c r="N1051" t="inlineStr">
        <is>
          <t>general</t>
        </is>
      </c>
      <c r="O1051" t="inlineStr">
        <is>
          <t>https://www.jumbo.com.ar/acondicionador-aquamarine-x-240-cc/p</t>
        </is>
      </c>
    </row>
    <row r="1052">
      <c r="A1052" s="2" t="inlineStr">
        <is>
          <t>Jumbo</t>
        </is>
      </c>
      <c r="B1052" s="2" t="n">
        <v>159648</v>
      </c>
      <c r="C1052" s="2" t="n">
        <v>157206</v>
      </c>
      <c r="D1052" s="2" t="inlineStr">
        <is>
          <t>Acondicionador Comfort Clásico 2 L</t>
        </is>
      </c>
      <c r="E1052" s="2" t="inlineStr">
        <is>
          <t>COMFORT</t>
        </is>
      </c>
      <c r="F1052" s="2" t="n">
        <v>20.87</v>
      </c>
      <c r="G1052" s="2" t="n">
        <v>20.87</v>
      </c>
      <c r="H1052" s="2" t="b">
        <v>0</v>
      </c>
      <c r="I1052" s="2" t="n">
        <v>2000</v>
      </c>
      <c r="J1052" s="2" t="n">
        <v>0.0104</v>
      </c>
      <c r="K1052" s="2" t="inlineStr">
        <is>
          <t>&gt; Limpieza &gt; Cuidado Para La Ropa &gt; Suavizantes &gt;</t>
        </is>
      </c>
      <c r="L1052" s="2" t="inlineStr">
        <is>
          <t>acondicionador</t>
        </is>
      </c>
      <c r="M1052" s="2" t="inlineStr">
        <is>
          <t>estandar</t>
        </is>
      </c>
      <c r="N1052" s="2" t="inlineStr">
        <is>
          <t>general</t>
        </is>
      </c>
      <c r="O1052" s="2" t="inlineStr">
        <is>
          <t>https://www.jumbo.com.ar/acondicionador-comfort-clasico-2-l-2/p</t>
        </is>
      </c>
    </row>
    <row r="1053">
      <c r="A1053" t="inlineStr">
        <is>
          <t>Jumbo</t>
        </is>
      </c>
      <c r="B1053" t="n">
        <v>146506</v>
      </c>
      <c r="C1053" t="n">
        <v>143414</v>
      </c>
      <c r="D1053" t="inlineStr">
        <is>
          <t>Acondicionador Herbal Ess Prolonga 300ml Acondicionador Herbal Essences Prolóngalos 300 Ml</t>
        </is>
      </c>
      <c r="E1053" t="inlineStr">
        <is>
          <t>HERBAL ESSENCES</t>
        </is>
      </c>
      <c r="F1053" t="n">
        <v>157.69</v>
      </c>
      <c r="G1053" t="n">
        <v>13032</v>
      </c>
      <c r="H1053" t="b">
        <v>0</v>
      </c>
      <c r="I1053" t="n">
        <v>300</v>
      </c>
      <c r="J1053" t="n">
        <v>0.5256</v>
      </c>
      <c r="K1053" t="inlineStr">
        <is>
          <t>&gt; Perfumería &gt; Cuidado Capilar &gt; Acondicionador &gt;</t>
        </is>
      </c>
      <c r="L1053" t="inlineStr">
        <is>
          <t>acondicionador</t>
        </is>
      </c>
      <c r="M1053" t="inlineStr">
        <is>
          <t>estandar</t>
        </is>
      </c>
      <c r="N1053" t="inlineStr">
        <is>
          <t>general</t>
        </is>
      </c>
      <c r="O1053" t="inlineStr">
        <is>
          <t>https://www.jumbo.com.ar/acondicionador-herbal-ess-prolonga-300ml/p</t>
        </is>
      </c>
    </row>
    <row r="1054">
      <c r="A1054" s="2" t="inlineStr">
        <is>
          <t>Jumbo</t>
        </is>
      </c>
      <c r="B1054" s="2" t="n">
        <v>130651</v>
      </c>
      <c r="C1054" s="2" t="n">
        <v>127580</v>
      </c>
      <c r="D1054" s="2" t="inlineStr">
        <is>
          <t>Acondicionador Pantene Fusión Naturaleza 750ml</t>
        </is>
      </c>
      <c r="E1054" s="2" t="inlineStr">
        <is>
          <t>PANTENE</t>
        </is>
      </c>
      <c r="F1054" s="2" t="n">
        <v>284.77</v>
      </c>
      <c r="G1054" s="2" t="n">
        <v>23535</v>
      </c>
      <c r="H1054" s="2" t="b">
        <v>0</v>
      </c>
      <c r="I1054" s="2" t="n">
        <v>750</v>
      </c>
      <c r="J1054" s="2" t="n">
        <v>0.3797</v>
      </c>
      <c r="K1054" s="2" t="inlineStr">
        <is>
          <t>&gt; Perfumería &gt; Cuidado Capilar &gt; Acondicionador &gt;</t>
        </is>
      </c>
      <c r="L1054" s="2" t="inlineStr">
        <is>
          <t>acondicionador</t>
        </is>
      </c>
      <c r="M1054" s="2" t="inlineStr">
        <is>
          <t>estandar</t>
        </is>
      </c>
      <c r="N1054" s="2" t="inlineStr">
        <is>
          <t>general</t>
        </is>
      </c>
      <c r="O1054" s="2" t="inlineStr">
        <is>
          <t>https://www.jumbo.com.ar/acondicionador-pantene-fusion-naturaleza-750ml/p</t>
        </is>
      </c>
    </row>
    <row r="1055">
      <c r="A1055" t="inlineStr">
        <is>
          <t>Jumbo</t>
        </is>
      </c>
      <c r="B1055" t="n">
        <v>57755</v>
      </c>
      <c r="C1055" t="n">
        <v>54910</v>
      </c>
      <c r="D1055" t="inlineStr">
        <is>
          <t>Acondicionador Sedal Pvc 200 Ml</t>
        </is>
      </c>
      <c r="E1055" t="inlineStr">
        <is>
          <t>SEDAL</t>
        </is>
      </c>
      <c r="F1055" t="n">
        <v>5.45</v>
      </c>
      <c r="G1055" t="n">
        <v>5.45</v>
      </c>
      <c r="H1055" t="b">
        <v>0</v>
      </c>
      <c r="I1055" t="n">
        <v>200</v>
      </c>
      <c r="J1055" t="n">
        <v>0.0272</v>
      </c>
      <c r="K1055" t="inlineStr">
        <is>
          <t>&gt; Perfumería &gt; Cuidado Capilar &gt; Acondicionador &gt;</t>
        </is>
      </c>
      <c r="L1055" t="inlineStr">
        <is>
          <t>acondicionador</t>
        </is>
      </c>
      <c r="M1055" t="inlineStr">
        <is>
          <t>estandar</t>
        </is>
      </c>
      <c r="N1055" t="inlineStr">
        <is>
          <t>general</t>
        </is>
      </c>
      <c r="O1055" t="inlineStr">
        <is>
          <t>https://www.jumbo.com.ar/acondicionador-sedal-pvc-200-ml/p</t>
        </is>
      </c>
    </row>
    <row r="1056">
      <c r="A1056" s="2" t="inlineStr">
        <is>
          <t>Jumbo</t>
        </is>
      </c>
      <c r="B1056" s="2" t="n">
        <v>45696</v>
      </c>
      <c r="C1056" s="2" t="n">
        <v>42869</v>
      </c>
      <c r="D1056" s="2" t="inlineStr">
        <is>
          <t>Acondicionador Pantene Summer 400 Ml</t>
        </is>
      </c>
      <c r="E1056" s="2" t="inlineStr">
        <is>
          <t>PANTENE</t>
        </is>
      </c>
      <c r="F1056" s="2" t="n">
        <v>315.75</v>
      </c>
      <c r="G1056" s="2" t="n">
        <v>26095</v>
      </c>
      <c r="H1056" s="2" t="b">
        <v>0</v>
      </c>
      <c r="I1056" s="2" t="n">
        <v>400</v>
      </c>
      <c r="J1056" s="2" t="n">
        <v>0.7894</v>
      </c>
      <c r="K1056" s="2" t="inlineStr">
        <is>
          <t>&gt; Perfumería &gt; Cuidado Capilar &gt; Acondicionador &gt;</t>
        </is>
      </c>
      <c r="L1056" s="2" t="inlineStr">
        <is>
          <t>acondicionador</t>
        </is>
      </c>
      <c r="M1056" s="2" t="inlineStr">
        <is>
          <t>estandar</t>
        </is>
      </c>
      <c r="N1056" s="2" t="inlineStr">
        <is>
          <t>general</t>
        </is>
      </c>
      <c r="O1056" s="2" t="inlineStr">
        <is>
          <t>https://www.jumbo.com.ar/acondicionador-pantene-summer-400-ml/p</t>
        </is>
      </c>
    </row>
    <row r="1057">
      <c r="A1057" t="inlineStr">
        <is>
          <t>Jumbo</t>
        </is>
      </c>
      <c r="B1057" t="n">
        <v>45687</v>
      </c>
      <c r="C1057" t="n">
        <v>42860</v>
      </c>
      <c r="D1057" t="inlineStr">
        <is>
          <t>Acondicionador Pantene Summer 200 Ml</t>
        </is>
      </c>
      <c r="E1057" t="inlineStr">
        <is>
          <t>PANTENE</t>
        </is>
      </c>
      <c r="F1057" t="n">
        <v>173.39</v>
      </c>
      <c r="G1057" t="n">
        <v>14330</v>
      </c>
      <c r="H1057" t="b">
        <v>0</v>
      </c>
      <c r="I1057" t="n">
        <v>200</v>
      </c>
      <c r="J1057" t="n">
        <v>0.8669</v>
      </c>
      <c r="K1057" t="inlineStr">
        <is>
          <t>&gt; Perfumería &gt; Cuidado Capilar &gt; Acondicionador &gt;</t>
        </is>
      </c>
      <c r="L1057" t="inlineStr">
        <is>
          <t>acondicionador</t>
        </is>
      </c>
      <c r="M1057" t="inlineStr">
        <is>
          <t>estandar</t>
        </is>
      </c>
      <c r="N1057" t="inlineStr">
        <is>
          <t>general</t>
        </is>
      </c>
      <c r="O1057" t="inlineStr">
        <is>
          <t>https://www.jumbo.com.ar/acondicionador-pantene-summer-200-ml/p</t>
        </is>
      </c>
    </row>
    <row r="1058">
      <c r="A1058" s="2" t="inlineStr">
        <is>
          <t>Jumbo</t>
        </is>
      </c>
      <c r="B1058" s="2" t="n">
        <v>44101</v>
      </c>
      <c r="C1058" s="2" t="n">
        <v>41272</v>
      </c>
      <c r="D1058" s="2" t="inlineStr">
        <is>
          <t>Acondicionador Elvive O Extra Prof 750ml</t>
        </is>
      </c>
      <c r="E1058" s="2" t="inlineStr">
        <is>
          <t>ELVIVE</t>
        </is>
      </c>
      <c r="F1058" s="2" t="n">
        <v>745.65</v>
      </c>
      <c r="G1058" s="2" t="n">
        <v>61624</v>
      </c>
      <c r="H1058" s="2" t="b">
        <v>0</v>
      </c>
      <c r="I1058" s="2" t="n">
        <v>750</v>
      </c>
      <c r="J1058" s="2" t="n">
        <v>0.9942</v>
      </c>
      <c r="K1058" s="2" t="inlineStr">
        <is>
          <t>&gt; Perfumería &gt; Cuidado Capilar &gt; Acondicionador &gt;</t>
        </is>
      </c>
      <c r="L1058" s="2" t="inlineStr">
        <is>
          <t>acondicionador</t>
        </is>
      </c>
      <c r="M1058" s="2" t="inlineStr">
        <is>
          <t>profesional</t>
        </is>
      </c>
      <c r="N1058" s="2" t="inlineStr">
        <is>
          <t>general</t>
        </is>
      </c>
      <c r="O1058" s="2" t="inlineStr">
        <is>
          <t>https://www.jumbo.com.ar/acondicionador-elvive-o-extra-prof-750ml-2/p</t>
        </is>
      </c>
    </row>
    <row r="1059">
      <c r="A1059" t="inlineStr">
        <is>
          <t>Jumbo</t>
        </is>
      </c>
      <c r="B1059" t="n">
        <v>42285</v>
      </c>
      <c r="C1059" t="n">
        <v>39455</v>
      </c>
      <c r="D1059" t="inlineStr">
        <is>
          <t>Acondicionador Sedal Crema Balance 650ml</t>
        </is>
      </c>
      <c r="E1059" t="inlineStr">
        <is>
          <t>SEDAL</t>
        </is>
      </c>
      <c r="F1059" t="n">
        <v>550</v>
      </c>
      <c r="G1059" t="n">
        <v>45455</v>
      </c>
      <c r="H1059" t="b">
        <v>0</v>
      </c>
      <c r="I1059" t="n">
        <v>650</v>
      </c>
      <c r="J1059" t="n">
        <v>0.8462</v>
      </c>
      <c r="K1059" t="inlineStr">
        <is>
          <t>&gt; Perfumería &gt; Cuidado Capilar &gt; Acondicionador &gt;</t>
        </is>
      </c>
      <c r="L1059" t="inlineStr">
        <is>
          <t>acondicionador</t>
        </is>
      </c>
      <c r="M1059" t="inlineStr">
        <is>
          <t>estandar</t>
        </is>
      </c>
      <c r="N1059" t="inlineStr">
        <is>
          <t>general</t>
        </is>
      </c>
      <c r="O1059" t="inlineStr">
        <is>
          <t>https://www.jumbo.com.ar/acondicionador-sedal-crema-balance-650ml-2/p</t>
        </is>
      </c>
    </row>
    <row r="1060">
      <c r="A1060" s="2" t="inlineStr">
        <is>
          <t>Jumbo</t>
        </is>
      </c>
      <c r="B1060" s="2" t="n">
        <v>42244</v>
      </c>
      <c r="C1060" s="2" t="n">
        <v>39414</v>
      </c>
      <c r="D1060" s="2" t="inlineStr">
        <is>
          <t>Acondicionador Sedal Pureza Detox 650ml</t>
        </is>
      </c>
      <c r="E1060" s="2" t="inlineStr">
        <is>
          <t>SEDAL</t>
        </is>
      </c>
      <c r="F1060" s="2" t="n">
        <v>227.35</v>
      </c>
      <c r="G1060" s="2" t="n">
        <v>18789</v>
      </c>
      <c r="H1060" s="2" t="b">
        <v>0</v>
      </c>
      <c r="I1060" s="2" t="n">
        <v>650</v>
      </c>
      <c r="J1060" s="2" t="n">
        <v>0.3498</v>
      </c>
      <c r="K1060" s="2" t="inlineStr">
        <is>
          <t>&gt; Perfumería &gt; Cuidado Capilar &gt; Acondicionador &gt;</t>
        </is>
      </c>
      <c r="L1060" s="2" t="inlineStr">
        <is>
          <t>acondicionador</t>
        </is>
      </c>
      <c r="M1060" s="2" t="inlineStr">
        <is>
          <t>estandar</t>
        </is>
      </c>
      <c r="N1060" s="2" t="inlineStr">
        <is>
          <t>general</t>
        </is>
      </c>
      <c r="O1060" s="2" t="inlineStr">
        <is>
          <t>https://www.jumbo.com.ar/acondicionador-sedal-pureza-detox-650ml/p</t>
        </is>
      </c>
    </row>
    <row r="1061">
      <c r="A1061" t="inlineStr">
        <is>
          <t>Jumbo</t>
        </is>
      </c>
      <c r="B1061" t="n">
        <v>38573</v>
      </c>
      <c r="C1061" t="n">
        <v>35728</v>
      </c>
      <c r="D1061" t="inlineStr">
        <is>
          <t>Acondicionador Alta Moda Cream 300ml</t>
        </is>
      </c>
      <c r="E1061" t="inlineStr">
        <is>
          <t>ALTA MODA</t>
        </is>
      </c>
      <c r="F1061" t="n">
        <v>156.39</v>
      </c>
      <c r="G1061" t="n">
        <v>12925</v>
      </c>
      <c r="H1061" t="b">
        <v>0</v>
      </c>
      <c r="I1061" t="n">
        <v>300</v>
      </c>
      <c r="J1061" t="n">
        <v>0.5213</v>
      </c>
      <c r="K1061" t="inlineStr">
        <is>
          <t>&gt; Perfumería &gt; Cuidado Capilar &gt; Acondicionador &gt;</t>
        </is>
      </c>
      <c r="L1061" t="inlineStr">
        <is>
          <t>acondicionador</t>
        </is>
      </c>
      <c r="M1061" t="inlineStr">
        <is>
          <t>estandar</t>
        </is>
      </c>
      <c r="N1061" t="inlineStr">
        <is>
          <t>general</t>
        </is>
      </c>
      <c r="O1061" t="inlineStr">
        <is>
          <t>https://www.jumbo.com.ar/acondicionador-alta-moda-cream-300ml/p</t>
        </is>
      </c>
    </row>
    <row r="1062">
      <c r="A1062" s="2" t="inlineStr">
        <is>
          <t>Jumbo</t>
        </is>
      </c>
      <c r="B1062" s="2" t="n">
        <v>36160</v>
      </c>
      <c r="C1062" s="2" t="n">
        <v>33319</v>
      </c>
      <c r="D1062" s="2" t="inlineStr">
        <is>
          <t>Acondicionador Capilatis Nutritivo 420 Ml</t>
        </is>
      </c>
      <c r="E1062" s="2" t="inlineStr">
        <is>
          <t>CAPILATIS</t>
        </is>
      </c>
      <c r="F1062" s="2" t="n">
        <v>323.17</v>
      </c>
      <c r="G1062" s="2" t="n">
        <v>26708</v>
      </c>
      <c r="H1062" s="2" t="b">
        <v>0</v>
      </c>
      <c r="I1062" s="2" t="n">
        <v>420</v>
      </c>
      <c r="J1062" s="2" t="n">
        <v>0.7695</v>
      </c>
      <c r="K1062" s="2" t="inlineStr">
        <is>
          <t>&gt; Perfumería &gt; Cuidado Capilar &gt; Acondicionador &gt;</t>
        </is>
      </c>
      <c r="L1062" s="2" t="inlineStr">
        <is>
          <t>acondicionador</t>
        </is>
      </c>
      <c r="M1062" s="2" t="inlineStr">
        <is>
          <t>estandar</t>
        </is>
      </c>
      <c r="N1062" s="2" t="inlineStr">
        <is>
          <t>general</t>
        </is>
      </c>
      <c r="O1062" s="2" t="inlineStr">
        <is>
          <t>https://www.jumbo.com.ar/acondicionador-capilatis-nutritivo-420-ml/p</t>
        </is>
      </c>
    </row>
    <row r="1063">
      <c r="A1063" t="inlineStr">
        <is>
          <t>Jumbo</t>
        </is>
      </c>
      <c r="B1063" t="n">
        <v>31689</v>
      </c>
      <c r="C1063" t="n">
        <v>28848</v>
      </c>
      <c r="D1063" t="inlineStr">
        <is>
          <t>Acondicionador Elvive Color Vive 200ml</t>
        </is>
      </c>
      <c r="E1063" t="inlineStr">
        <is>
          <t>ELVIVE</t>
        </is>
      </c>
      <c r="F1063" t="n">
        <v>330.19</v>
      </c>
      <c r="G1063" t="n">
        <v>27288</v>
      </c>
      <c r="H1063" t="b">
        <v>0</v>
      </c>
      <c r="I1063" t="n">
        <v>200</v>
      </c>
      <c r="J1063" t="n">
        <v>1.6509</v>
      </c>
      <c r="K1063" t="inlineStr">
        <is>
          <t>&gt; Perfumería &gt; Cuidado Capilar &gt; Acondicionador &gt;</t>
        </is>
      </c>
      <c r="L1063" t="inlineStr">
        <is>
          <t>acondicionador</t>
        </is>
      </c>
      <c r="M1063" t="inlineStr">
        <is>
          <t>profesional</t>
        </is>
      </c>
      <c r="N1063" t="inlineStr">
        <is>
          <t>tratado</t>
        </is>
      </c>
      <c r="O1063" t="inlineStr">
        <is>
          <t>https://www.jumbo.com.ar/acondicionador-elvive-color-vive-200ml/p</t>
        </is>
      </c>
    </row>
    <row r="1064">
      <c r="A1064" s="2" t="inlineStr">
        <is>
          <t>Jumbo</t>
        </is>
      </c>
      <c r="B1064" s="2" t="n">
        <v>31269</v>
      </c>
      <c r="C1064" s="2" t="n">
        <v>28429</v>
      </c>
      <c r="D1064" s="2" t="inlineStr">
        <is>
          <t>Acondicionador Elvive Kera Liso 200ml</t>
        </is>
      </c>
      <c r="E1064" s="2" t="inlineStr">
        <is>
          <t>ELVIVE</t>
        </is>
      </c>
      <c r="F1064" s="2" t="n">
        <v>330.19</v>
      </c>
      <c r="G1064" s="2" t="n">
        <v>27288</v>
      </c>
      <c r="H1064" s="2" t="b">
        <v>0</v>
      </c>
      <c r="I1064" s="2" t="n">
        <v>200</v>
      </c>
      <c r="J1064" s="2" t="n">
        <v>1.6509</v>
      </c>
      <c r="K1064" s="2" t="inlineStr">
        <is>
          <t>&gt; Perfumería &gt; Cuidado Capilar &gt; Acondicionador &gt;</t>
        </is>
      </c>
      <c r="L1064" s="2" t="inlineStr">
        <is>
          <t>acondicionador</t>
        </is>
      </c>
      <c r="M1064" s="2" t="inlineStr">
        <is>
          <t>profesional</t>
        </is>
      </c>
      <c r="N1064" s="2" t="inlineStr">
        <is>
          <t>general</t>
        </is>
      </c>
      <c r="O1064" s="2" t="inlineStr">
        <is>
          <t>https://www.jumbo.com.ar/acondicionador-elvive-kera-liso-200ml/p</t>
        </is>
      </c>
    </row>
    <row r="1065">
      <c r="A1065" t="inlineStr">
        <is>
          <t>Jumbo</t>
        </is>
      </c>
      <c r="B1065" t="n">
        <v>31013</v>
      </c>
      <c r="C1065" t="n">
        <v>28172</v>
      </c>
      <c r="D1065" t="inlineStr">
        <is>
          <t>Acondicionador Elvive Caida Resist 400ml</t>
        </is>
      </c>
      <c r="E1065" t="inlineStr">
        <is>
          <t>ELVIVE</t>
        </is>
      </c>
      <c r="F1065" t="n">
        <v>430.99</v>
      </c>
      <c r="G1065" t="n">
        <v>35619</v>
      </c>
      <c r="H1065" t="b">
        <v>0</v>
      </c>
      <c r="I1065" t="n">
        <v>400</v>
      </c>
      <c r="J1065" t="n">
        <v>1.0775</v>
      </c>
      <c r="K1065" t="inlineStr">
        <is>
          <t>&gt; Perfumería &gt; Cuidado Capilar &gt; Acondicionador &gt;</t>
        </is>
      </c>
      <c r="L1065" t="inlineStr">
        <is>
          <t>acondicionador</t>
        </is>
      </c>
      <c r="M1065" t="inlineStr">
        <is>
          <t>profesional</t>
        </is>
      </c>
      <c r="N1065" t="inlineStr">
        <is>
          <t>general</t>
        </is>
      </c>
      <c r="O1065" t="inlineStr">
        <is>
          <t>https://www.jumbo.com.ar/acondicionador-elvive-caida-resist-400ml/p</t>
        </is>
      </c>
    </row>
    <row r="1066">
      <c r="A1066" s="2" t="inlineStr">
        <is>
          <t>Jumbo</t>
        </is>
      </c>
      <c r="B1066" s="2" t="n">
        <v>30916</v>
      </c>
      <c r="C1066" s="2" t="n">
        <v>28075</v>
      </c>
      <c r="D1066" s="2" t="inlineStr">
        <is>
          <t>Acondicionador Elvive Kera Brillo 400ml</t>
        </is>
      </c>
      <c r="E1066" s="2" t="inlineStr">
        <is>
          <t>ELVIVE</t>
        </is>
      </c>
      <c r="F1066" s="2" t="n">
        <v>533.85</v>
      </c>
      <c r="G1066" s="2" t="n">
        <v>44120</v>
      </c>
      <c r="H1066" s="2" t="b">
        <v>0</v>
      </c>
      <c r="I1066" s="2" t="n">
        <v>400</v>
      </c>
      <c r="J1066" s="2" t="n">
        <v>1.3346</v>
      </c>
      <c r="K1066" s="2" t="inlineStr">
        <is>
          <t>&gt; Perfumería &gt; Cuidado Capilar &gt; Acondicionador &gt;</t>
        </is>
      </c>
      <c r="L1066" s="2" t="inlineStr">
        <is>
          <t>acondicionador</t>
        </is>
      </c>
      <c r="M1066" s="2" t="inlineStr">
        <is>
          <t>profesional</t>
        </is>
      </c>
      <c r="N1066" s="2" t="inlineStr">
        <is>
          <t>general</t>
        </is>
      </c>
      <c r="O1066" s="2" t="inlineStr">
        <is>
          <t>https://www.jumbo.com.ar/acondicionador-elvive-kera-brillo-400ml/p</t>
        </is>
      </c>
    </row>
    <row r="1067">
      <c r="A1067" t="inlineStr">
        <is>
          <t>Jumbo</t>
        </is>
      </c>
      <c r="B1067" t="n">
        <v>29436</v>
      </c>
      <c r="C1067" t="n">
        <v>26599</v>
      </c>
      <c r="D1067" t="inlineStr">
        <is>
          <t>Acondicionador Plusbelle Ceramidas 1 L</t>
        </is>
      </c>
      <c r="E1067" t="inlineStr">
        <is>
          <t>PLUSBELLE</t>
        </is>
      </c>
      <c r="F1067" t="n">
        <v>35.33</v>
      </c>
      <c r="G1067" t="n">
        <v>2920</v>
      </c>
      <c r="H1067" t="b">
        <v>0</v>
      </c>
      <c r="I1067" t="n">
        <v>1000</v>
      </c>
      <c r="J1067" t="n">
        <v>0.0353</v>
      </c>
      <c r="K1067" t="inlineStr">
        <is>
          <t>&gt; Perfumería &gt; Cuidado Capilar &gt; Acondicionador &gt;</t>
        </is>
      </c>
      <c r="L1067" t="inlineStr">
        <is>
          <t>acondicionador</t>
        </is>
      </c>
      <c r="M1067" t="inlineStr">
        <is>
          <t>estandar</t>
        </is>
      </c>
      <c r="N1067" t="inlineStr">
        <is>
          <t>general</t>
        </is>
      </c>
      <c r="O1067" t="inlineStr">
        <is>
          <t>https://www.jumbo.com.ar/crema-de-enjuague-plusbelle-7/p</t>
        </is>
      </c>
    </row>
    <row r="1068">
      <c r="A1068" s="2" t="inlineStr">
        <is>
          <t>Jumbo</t>
        </is>
      </c>
      <c r="B1068" s="2" t="n">
        <v>26867</v>
      </c>
      <c r="C1068" s="2" t="n">
        <v>24026</v>
      </c>
      <c r="D1068" s="2" t="inlineStr">
        <is>
          <t>Acondicionador Comfort Clásico 2 L</t>
        </is>
      </c>
      <c r="E1068" s="2" t="inlineStr">
        <is>
          <t>COMFORT</t>
        </is>
      </c>
      <c r="F1068" s="2" t="n">
        <v>28.59</v>
      </c>
      <c r="G1068" s="2" t="n">
        <v>28.59</v>
      </c>
      <c r="H1068" s="2" t="b">
        <v>0</v>
      </c>
      <c r="I1068" s="2" t="n">
        <v>2000</v>
      </c>
      <c r="J1068" s="2" t="n">
        <v>0.0143</v>
      </c>
      <c r="K1068" s="2" t="inlineStr">
        <is>
          <t>&gt; Limpieza &gt; Cuidado Para La Ropa &gt; Suavizantes &gt;</t>
        </is>
      </c>
      <c r="L1068" s="2" t="inlineStr">
        <is>
          <t>acondicionador</t>
        </is>
      </c>
      <c r="M1068" s="2" t="inlineStr">
        <is>
          <t>estandar</t>
        </is>
      </c>
      <c r="N1068" s="2" t="inlineStr">
        <is>
          <t>general</t>
        </is>
      </c>
      <c r="O1068" s="2" t="inlineStr">
        <is>
          <t>https://www.jumbo.com.ar/acondicionador-comfort/p</t>
        </is>
      </c>
    </row>
    <row r="1069">
      <c r="A1069" t="inlineStr">
        <is>
          <t>Jumbo</t>
        </is>
      </c>
      <c r="B1069" t="n">
        <v>19643</v>
      </c>
      <c r="C1069" t="n">
        <v>16804</v>
      </c>
      <c r="D1069" t="inlineStr">
        <is>
          <t>Acondicionador Sedal Ceramidas 190 Ml</t>
        </is>
      </c>
      <c r="E1069" t="inlineStr">
        <is>
          <t>SEDAL SOS</t>
        </is>
      </c>
      <c r="F1069" t="n">
        <v>130.65</v>
      </c>
      <c r="G1069" t="n">
        <v>10798</v>
      </c>
      <c r="H1069" t="b">
        <v>0</v>
      </c>
      <c r="I1069" t="n">
        <v>190</v>
      </c>
      <c r="J1069" t="n">
        <v>0.6876</v>
      </c>
      <c r="K1069" t="inlineStr">
        <is>
          <t>&gt; Perfumería &gt; Cuidado Capilar &gt; Acondicionador &gt;</t>
        </is>
      </c>
      <c r="L1069" t="inlineStr">
        <is>
          <t>acondicionador</t>
        </is>
      </c>
      <c r="M1069" t="inlineStr">
        <is>
          <t>estandar</t>
        </is>
      </c>
      <c r="N1069" t="inlineStr">
        <is>
          <t>general</t>
        </is>
      </c>
      <c r="O1069" t="inlineStr">
        <is>
          <t>https://www.jumbo.com.ar/acondicionador-sedal-ceramidas-190-ml/p</t>
        </is>
      </c>
    </row>
    <row r="1070">
      <c r="A1070" s="2" t="inlineStr">
        <is>
          <t>Jumbo</t>
        </is>
      </c>
      <c r="B1070" s="2" t="n">
        <v>13527</v>
      </c>
      <c r="C1070" s="2" t="n">
        <v>10724</v>
      </c>
      <c r="D1070" s="2" t="inlineStr">
        <is>
          <t>Acondicionador Capilatis Fortificado 400 Ml</t>
        </is>
      </c>
      <c r="E1070" s="2" t="inlineStr">
        <is>
          <t>CAPILATIS</t>
        </is>
      </c>
      <c r="F1070" s="2" t="n">
        <v>91.29000000000001</v>
      </c>
      <c r="G1070" s="2" t="n">
        <v>7545</v>
      </c>
      <c r="H1070" s="2" t="b">
        <v>0</v>
      </c>
      <c r="I1070" s="2" t="n">
        <v>400</v>
      </c>
      <c r="J1070" s="2" t="n">
        <v>0.2282</v>
      </c>
      <c r="K1070" s="2" t="inlineStr">
        <is>
          <t>&gt; Perfumería &gt; Cuidado Capilar &gt; Acondicionador &gt;</t>
        </is>
      </c>
      <c r="L1070" s="2" t="inlineStr">
        <is>
          <t>acondicionador</t>
        </is>
      </c>
      <c r="M1070" s="2" t="inlineStr">
        <is>
          <t>estandar</t>
        </is>
      </c>
      <c r="N1070" s="2" t="inlineStr">
        <is>
          <t>general</t>
        </is>
      </c>
      <c r="O1070" s="2" t="inlineStr">
        <is>
          <t>https://www.jumbo.com.ar/acondicionador-capilatis-6/p</t>
        </is>
      </c>
    </row>
    <row r="1071">
      <c r="A1071" t="inlineStr">
        <is>
          <t>Jumbo</t>
        </is>
      </c>
      <c r="B1071" t="n">
        <v>8068</v>
      </c>
      <c r="C1071" t="n">
        <v>5394</v>
      </c>
      <c r="D1071" t="inlineStr">
        <is>
          <t>Acondicionador Capilatis Manzanilla 500 Ml</t>
        </is>
      </c>
      <c r="E1071" t="inlineStr">
        <is>
          <t>CAPILATIS</t>
        </is>
      </c>
      <c r="F1071" t="n">
        <v>928.39</v>
      </c>
      <c r="G1071" t="n">
        <v>76726</v>
      </c>
      <c r="H1071" t="b">
        <v>0</v>
      </c>
      <c r="I1071" t="n">
        <v>500</v>
      </c>
      <c r="J1071" t="n">
        <v>1.8568</v>
      </c>
      <c r="K1071" t="inlineStr">
        <is>
          <t>&gt; Perfumería &gt; Cuidado Capilar &gt; Acondicionador &gt;</t>
        </is>
      </c>
      <c r="L1071" t="inlineStr">
        <is>
          <t>acondicionador</t>
        </is>
      </c>
      <c r="M1071" t="inlineStr">
        <is>
          <t>estandar</t>
        </is>
      </c>
      <c r="N1071" t="inlineStr">
        <is>
          <t>general</t>
        </is>
      </c>
      <c r="O1071" t="inlineStr">
        <is>
          <t>https://www.jumbo.com.ar/acondicionador-capilatis-manzanilla-500-ml/p</t>
        </is>
      </c>
    </row>
    <row r="1072">
      <c r="A1072" s="2" t="inlineStr">
        <is>
          <t>Jumbo</t>
        </is>
      </c>
      <c r="B1072" s="2" t="n">
        <v>7693</v>
      </c>
      <c r="C1072" s="2" t="n">
        <v>5019</v>
      </c>
      <c r="D1072" s="2" t="inlineStr">
        <is>
          <t>Acondicionador Elvive Rt5 Extreme 400ml</t>
        </is>
      </c>
      <c r="E1072" s="2" t="inlineStr">
        <is>
          <t>ELVIVE</t>
        </is>
      </c>
      <c r="F1072" s="2" t="n">
        <v>533.85</v>
      </c>
      <c r="G1072" s="2" t="n">
        <v>44120</v>
      </c>
      <c r="H1072" s="2" t="b">
        <v>0</v>
      </c>
      <c r="I1072" s="2" t="n">
        <v>400</v>
      </c>
      <c r="J1072" s="2" t="n">
        <v>1.3346</v>
      </c>
      <c r="K1072" s="2" t="inlineStr">
        <is>
          <t>&gt; Perfumería &gt; Cuidado Capilar &gt; Acondicionador &gt;</t>
        </is>
      </c>
      <c r="L1072" s="2" t="inlineStr">
        <is>
          <t>acondicionador</t>
        </is>
      </c>
      <c r="M1072" s="2" t="inlineStr">
        <is>
          <t>profesional</t>
        </is>
      </c>
      <c r="N1072" s="2" t="inlineStr">
        <is>
          <t>general</t>
        </is>
      </c>
      <c r="O1072" s="2" t="inlineStr">
        <is>
          <t>https://www.jumbo.com.ar/acondicionador-elvive-rt5-extreme-400ml/p</t>
        </is>
      </c>
    </row>
    <row r="1073">
      <c r="A1073" t="inlineStr">
        <is>
          <t>Jumbo</t>
        </is>
      </c>
      <c r="B1073" t="n">
        <v>7683</v>
      </c>
      <c r="C1073" t="n">
        <v>5009</v>
      </c>
      <c r="D1073" t="inlineStr">
        <is>
          <t>Acondicionador Elvive Rt5 Extreme 750ml</t>
        </is>
      </c>
      <c r="E1073" t="inlineStr">
        <is>
          <t>ELVIVE</t>
        </is>
      </c>
      <c r="F1073" t="n">
        <v>745.65</v>
      </c>
      <c r="G1073" t="n">
        <v>61624</v>
      </c>
      <c r="H1073" t="b">
        <v>0</v>
      </c>
      <c r="I1073" t="n">
        <v>750</v>
      </c>
      <c r="J1073" t="n">
        <v>0.9942</v>
      </c>
      <c r="K1073" t="inlineStr">
        <is>
          <t>&gt; Perfumería &gt; Cuidado Capilar &gt; Acondicionador &gt;</t>
        </is>
      </c>
      <c r="L1073" t="inlineStr">
        <is>
          <t>acondicionador</t>
        </is>
      </c>
      <c r="M1073" t="inlineStr">
        <is>
          <t>profesional</t>
        </is>
      </c>
      <c r="N1073" t="inlineStr">
        <is>
          <t>general</t>
        </is>
      </c>
      <c r="O1073" t="inlineStr">
        <is>
          <t>https://www.jumbo.com.ar/acondicionador-elvive-rt5-extreme-750ml/p</t>
        </is>
      </c>
    </row>
    <row r="1074">
      <c r="A1074" s="2" t="inlineStr">
        <is>
          <t>Jumbo</t>
        </is>
      </c>
      <c r="B1074" s="2" t="n">
        <v>6042</v>
      </c>
      <c r="C1074" s="2" t="n">
        <v>3428</v>
      </c>
      <c r="D1074" s="2" t="inlineStr">
        <is>
          <t>Acondicionador Capilatis Engrasador 410 Ml</t>
        </is>
      </c>
      <c r="E1074" s="2" t="inlineStr">
        <is>
          <t>CAPILATIS</t>
        </is>
      </c>
      <c r="F1074" s="2" t="n">
        <v>921.59</v>
      </c>
      <c r="G1074" s="2" t="n">
        <v>76164</v>
      </c>
      <c r="H1074" s="2" t="b">
        <v>0</v>
      </c>
      <c r="I1074" s="2" t="n">
        <v>410</v>
      </c>
      <c r="J1074" s="2" t="n">
        <v>2.2478</v>
      </c>
      <c r="K1074" s="2" t="inlineStr">
        <is>
          <t>&gt; Perfumería &gt; Cuidado Capilar &gt; Acondicionador &gt;</t>
        </is>
      </c>
      <c r="L1074" s="2" t="inlineStr">
        <is>
          <t>acondicionador</t>
        </is>
      </c>
      <c r="M1074" s="2" t="inlineStr">
        <is>
          <t>estandar</t>
        </is>
      </c>
      <c r="N1074" s="2" t="inlineStr">
        <is>
          <t>graso</t>
        </is>
      </c>
      <c r="O1074" s="2" t="inlineStr">
        <is>
          <t>https://www.jumbo.com.ar/acondicionador-capilatis-engrasador-410-ml/p</t>
        </is>
      </c>
    </row>
    <row r="1075">
      <c r="A1075" t="inlineStr">
        <is>
          <t>Jumbo</t>
        </is>
      </c>
      <c r="B1075" t="n">
        <v>3070284</v>
      </c>
      <c r="C1075" t="n">
        <v>3069877</v>
      </c>
      <c r="D1075" t="inlineStr">
        <is>
          <t>Acondicionador Ondas Boho 500 Ml Tresemmé</t>
        </is>
      </c>
      <c r="E1075" t="inlineStr">
        <is>
          <t>TRESEMMÉ</t>
        </is>
      </c>
      <c r="F1075" t="n">
        <v>9650</v>
      </c>
      <c r="G1075" t="n">
        <v>797521</v>
      </c>
      <c r="H1075" t="b">
        <v>0</v>
      </c>
      <c r="I1075" t="n">
        <v>500</v>
      </c>
      <c r="J1075" t="n">
        <v>19.3</v>
      </c>
      <c r="K1075" t="inlineStr">
        <is>
          <t>&gt; Perfumería &gt; Cuidado Capilar &gt; Acondicionador &gt;</t>
        </is>
      </c>
      <c r="L1075" t="inlineStr">
        <is>
          <t>acondicionador</t>
        </is>
      </c>
      <c r="M1075" t="inlineStr">
        <is>
          <t>estandar</t>
        </is>
      </c>
      <c r="N1075" t="inlineStr">
        <is>
          <t>general</t>
        </is>
      </c>
      <c r="O1075" t="inlineStr">
        <is>
          <t>https://www.jumbo.com.ar/acondicionador-ondas-boho-x-500-ml-tresemme-2/p</t>
        </is>
      </c>
    </row>
    <row r="1076">
      <c r="A1076" s="2" t="inlineStr">
        <is>
          <t>Jumbo</t>
        </is>
      </c>
      <c r="B1076" s="2" t="n">
        <v>3070276</v>
      </c>
      <c r="C1076" s="2" t="n">
        <v>3069869</v>
      </c>
      <c r="D1076" s="2" t="inlineStr">
        <is>
          <t>Acondicionador Brillo Lamelar 500 Ml Tresemmé</t>
        </is>
      </c>
      <c r="E1076" s="2" t="inlineStr">
        <is>
          <t>TRESEMMÉ</t>
        </is>
      </c>
      <c r="F1076" s="2" t="n">
        <v>9650</v>
      </c>
      <c r="G1076" s="2" t="n">
        <v>797521</v>
      </c>
      <c r="H1076" s="2" t="b">
        <v>0</v>
      </c>
      <c r="I1076" s="2" t="n">
        <v>500</v>
      </c>
      <c r="J1076" s="2" t="n">
        <v>19.3</v>
      </c>
      <c r="K1076" s="2" t="inlineStr">
        <is>
          <t>&gt; Perfumería &gt; Cuidado Capilar &gt; Acondicionador &gt;</t>
        </is>
      </c>
      <c r="L1076" s="2" t="inlineStr">
        <is>
          <t>acondicionador</t>
        </is>
      </c>
      <c r="M1076" s="2" t="inlineStr">
        <is>
          <t>estandar</t>
        </is>
      </c>
      <c r="N1076" s="2" t="inlineStr">
        <is>
          <t>general</t>
        </is>
      </c>
      <c r="O1076" s="2" t="inlineStr">
        <is>
          <t>https://www.jumbo.com.ar/acondicionador-brillo-lamelar-x-500-ml-tresemme-2/p</t>
        </is>
      </c>
    </row>
    <row r="1077">
      <c r="A1077" t="inlineStr">
        <is>
          <t>Jumbo</t>
        </is>
      </c>
      <c r="B1077" t="n">
        <v>3068504</v>
      </c>
      <c r="C1077" t="n">
        <v>3068246</v>
      </c>
      <c r="D1077" t="inlineStr">
        <is>
          <t>Kids Acondicionador Sandia Dulce 350ml Algabo</t>
        </is>
      </c>
      <c r="E1077" t="inlineStr">
        <is>
          <t>ALGABO</t>
        </is>
      </c>
      <c r="F1077" t="n">
        <v>3836.02</v>
      </c>
      <c r="G1077" t="n">
        <v>317026</v>
      </c>
      <c r="H1077" t="b">
        <v>0</v>
      </c>
      <c r="I1077" t="n">
        <v>350</v>
      </c>
      <c r="J1077" t="n">
        <v>10.9601</v>
      </c>
      <c r="K1077" t="inlineStr">
        <is>
          <t>&gt; Mundo Bebe &gt; Higiene para el Bebe &gt; Higiene del Bebé &gt;</t>
        </is>
      </c>
      <c r="L1077" t="inlineStr">
        <is>
          <t>acondicionador</t>
        </is>
      </c>
      <c r="M1077" t="inlineStr">
        <is>
          <t>estandar</t>
        </is>
      </c>
      <c r="N1077" t="inlineStr">
        <is>
          <t>bebe</t>
        </is>
      </c>
      <c r="O1077" t="inlineStr">
        <is>
          <t>https://www.jumbo.com.ar/kids-acondicionador-sandia-dulce-350ml-algabo/p</t>
        </is>
      </c>
    </row>
    <row r="1078">
      <c r="A1078" s="2" t="inlineStr">
        <is>
          <t>Jumbo</t>
        </is>
      </c>
      <c r="B1078" s="2" t="n">
        <v>1369907</v>
      </c>
      <c r="C1078" s="2" t="n">
        <v>1368157</v>
      </c>
      <c r="D1078" s="2" t="inlineStr">
        <is>
          <t>Acondicionador Reparador Hidratante 400 Ml Veganis</t>
        </is>
      </c>
      <c r="E1078" s="2" t="inlineStr">
        <is>
          <t>VEGANIS</t>
        </is>
      </c>
      <c r="F1078" s="2" t="n">
        <v>14500</v>
      </c>
      <c r="G1078" s="2" t="n">
        <v>1198347</v>
      </c>
      <c r="H1078" s="2" t="b">
        <v>0</v>
      </c>
      <c r="I1078" s="2" t="n">
        <v>400</v>
      </c>
      <c r="J1078" s="2" t="n">
        <v>36.25</v>
      </c>
      <c r="K1078" s="2" t="inlineStr">
        <is>
          <t>&gt; Perfumería &gt; Cuidado Capilar &gt; Acondicionador &gt;</t>
        </is>
      </c>
      <c r="L1078" s="2" t="inlineStr">
        <is>
          <t>acondicionador</t>
        </is>
      </c>
      <c r="M1078" s="2" t="inlineStr">
        <is>
          <t>estandar</t>
        </is>
      </c>
      <c r="N1078" s="2" t="inlineStr">
        <is>
          <t>seco_danado</t>
        </is>
      </c>
      <c r="O1078" s="2" t="inlineStr">
        <is>
          <t>https://www.jumbo.com.ar/acondicionador-veganis-plant-powered-renovador/p</t>
        </is>
      </c>
    </row>
    <row r="1079">
      <c r="A1079" t="inlineStr">
        <is>
          <t>Jumbo</t>
        </is>
      </c>
      <c r="B1079" t="n">
        <v>1364418</v>
      </c>
      <c r="C1079" t="n">
        <v>1363417</v>
      </c>
      <c r="D1079" t="inlineStr">
        <is>
          <t>Acondicionador Veganis Double Trouble Acido Hi</t>
        </is>
      </c>
      <c r="E1079" t="inlineStr">
        <is>
          <t>VEGANIS</t>
        </is>
      </c>
      <c r="F1079" t="n">
        <v>11900</v>
      </c>
      <c r="G1079" t="n">
        <v>983471</v>
      </c>
      <c r="H1079" t="b">
        <v>0</v>
      </c>
      <c r="I1079" t="inlineStr"/>
      <c r="J1079" t="inlineStr"/>
      <c r="K1079" t="inlineStr">
        <is>
          <t>&gt; Perfumería &gt; Cuidado Capilar &gt; Acondicionador &gt;</t>
        </is>
      </c>
      <c r="L1079" t="inlineStr">
        <is>
          <t>acondicionador</t>
        </is>
      </c>
      <c r="M1079" t="inlineStr">
        <is>
          <t>estandar</t>
        </is>
      </c>
      <c r="N1079" t="inlineStr">
        <is>
          <t>general</t>
        </is>
      </c>
      <c r="O1079" t="inlineStr">
        <is>
          <t>https://www.jumbo.com.ar/acondicionador-veganis-double-trouble-acido-hi/p</t>
        </is>
      </c>
    </row>
    <row r="1080">
      <c r="A1080" s="2" t="inlineStr">
        <is>
          <t>Jumbo</t>
        </is>
      </c>
      <c r="B1080" s="2" t="n">
        <v>413352</v>
      </c>
      <c r="C1080" s="2" t="n">
        <v>409213</v>
      </c>
      <c r="D1080" s="2" t="inlineStr">
        <is>
          <t>Acondicionador Tresemme Brillo Lamelar 880 Ml</t>
        </is>
      </c>
      <c r="E1080" s="2" t="inlineStr">
        <is>
          <t>TRESEMMÉ</t>
        </is>
      </c>
      <c r="F1080" s="2" t="n">
        <v>15050</v>
      </c>
      <c r="G1080" s="2" t="n">
        <v>1243802</v>
      </c>
      <c r="H1080" s="2" t="b">
        <v>0</v>
      </c>
      <c r="I1080" s="2" t="n">
        <v>880</v>
      </c>
      <c r="J1080" s="2" t="n">
        <v>17.1023</v>
      </c>
      <c r="K1080" s="2" t="inlineStr">
        <is>
          <t>&gt; Perfumería &gt; Cuidado Capilar &gt; Acondicionador &gt;</t>
        </is>
      </c>
      <c r="L1080" s="2" t="inlineStr">
        <is>
          <t>acondicionador</t>
        </is>
      </c>
      <c r="M1080" s="2" t="inlineStr">
        <is>
          <t>estandar</t>
        </is>
      </c>
      <c r="N1080" s="2" t="inlineStr">
        <is>
          <t>general</t>
        </is>
      </c>
      <c r="O1080" s="2" t="inlineStr">
        <is>
          <t>https://www.jumbo.com.ar/acondicionador-tresemme-brillo-lamelar-880-ml/p</t>
        </is>
      </c>
    </row>
    <row r="1081">
      <c r="A1081" t="inlineStr">
        <is>
          <t>Jumbo</t>
        </is>
      </c>
      <c r="B1081" t="n">
        <v>413332</v>
      </c>
      <c r="C1081" t="n">
        <v>409137</v>
      </c>
      <c r="D1081" t="inlineStr">
        <is>
          <t>Acondicionador  Keratina Antifrizz 500 Ml Tresemme</t>
        </is>
      </c>
      <c r="E1081" t="inlineStr">
        <is>
          <t>TRESEMMÉ</t>
        </is>
      </c>
      <c r="F1081" t="n">
        <v>6550</v>
      </c>
      <c r="G1081" t="n">
        <v>541322</v>
      </c>
      <c r="H1081" t="b">
        <v>0</v>
      </c>
      <c r="I1081" t="n">
        <v>500</v>
      </c>
      <c r="J1081" t="n">
        <v>13.1</v>
      </c>
      <c r="K1081" t="inlineStr">
        <is>
          <t>&gt; Perfumería &gt; Cuidado Capilar &gt; Acondicionador &gt;</t>
        </is>
      </c>
      <c r="L1081" t="inlineStr">
        <is>
          <t>acondicionador</t>
        </is>
      </c>
      <c r="M1081" t="inlineStr">
        <is>
          <t>estandar</t>
        </is>
      </c>
      <c r="N1081" t="inlineStr">
        <is>
          <t>tratado</t>
        </is>
      </c>
      <c r="O1081" t="inlineStr">
        <is>
          <t>https://www.jumbo.com.ar/acondicionador-keratina-antifrizz-500-ml-tresemme-2/p</t>
        </is>
      </c>
    </row>
    <row r="1082">
      <c r="A1082" s="2" t="inlineStr">
        <is>
          <t>Jumbo</t>
        </is>
      </c>
      <c r="B1082" s="2" t="n">
        <v>413331</v>
      </c>
      <c r="C1082" s="2" t="n">
        <v>409136</v>
      </c>
      <c r="D1082" s="2" t="inlineStr">
        <is>
          <t>Acondicionador Tresemme Brillo Lamelar 500 Ml</t>
        </is>
      </c>
      <c r="E1082" s="2" t="inlineStr">
        <is>
          <t>TRESEMMÉ</t>
        </is>
      </c>
      <c r="F1082" s="2" t="n">
        <v>7100</v>
      </c>
      <c r="G1082" s="2" t="n">
        <v>586777</v>
      </c>
      <c r="H1082" s="2" t="b">
        <v>0</v>
      </c>
      <c r="I1082" s="2" t="n">
        <v>500</v>
      </c>
      <c r="J1082" s="2" t="n">
        <v>14.2</v>
      </c>
      <c r="K1082" s="2" t="inlineStr">
        <is>
          <t>&gt; Perfumería &gt; Cuidado Capilar &gt; Acondicionador &gt;</t>
        </is>
      </c>
      <c r="L1082" s="2" t="inlineStr">
        <is>
          <t>acondicionador</t>
        </is>
      </c>
      <c r="M1082" s="2" t="inlineStr">
        <is>
          <t>estandar</t>
        </is>
      </c>
      <c r="N1082" s="2" t="inlineStr">
        <is>
          <t>general</t>
        </is>
      </c>
      <c r="O1082" s="2" t="inlineStr">
        <is>
          <t>https://www.jumbo.com.ar/acondicionador-tresemme-brillo-lamelar-500-ml-2/p</t>
        </is>
      </c>
    </row>
    <row r="1083">
      <c r="A1083" t="inlineStr">
        <is>
          <t>Jumbo</t>
        </is>
      </c>
      <c r="B1083" t="n">
        <v>413327</v>
      </c>
      <c r="C1083" t="n">
        <v>409132</v>
      </c>
      <c r="D1083" t="inlineStr">
        <is>
          <t>Acondicionador Tresemme Detox Capilar 500 Ml</t>
        </is>
      </c>
      <c r="E1083" t="inlineStr">
        <is>
          <t>TRESEMMÉ</t>
        </is>
      </c>
      <c r="F1083" t="n">
        <v>6850</v>
      </c>
      <c r="G1083" t="n">
        <v>566116</v>
      </c>
      <c r="H1083" t="b">
        <v>0</v>
      </c>
      <c r="I1083" t="n">
        <v>500</v>
      </c>
      <c r="J1083" t="n">
        <v>13.7</v>
      </c>
      <c r="K1083" t="inlineStr">
        <is>
          <t>&gt; Perfumería &gt; Cuidado Capilar &gt; Acondicionador &gt;</t>
        </is>
      </c>
      <c r="L1083" t="inlineStr">
        <is>
          <t>acondicionador</t>
        </is>
      </c>
      <c r="M1083" t="inlineStr">
        <is>
          <t>estandar</t>
        </is>
      </c>
      <c r="N1083" t="inlineStr">
        <is>
          <t>general</t>
        </is>
      </c>
      <c r="O1083" t="inlineStr">
        <is>
          <t>https://www.jumbo.com.ar/acondicionador-tresemme-detox-capilar-500-ml/p</t>
        </is>
      </c>
    </row>
    <row r="1084">
      <c r="A1084" s="2" t="inlineStr">
        <is>
          <t>Jumbo</t>
        </is>
      </c>
      <c r="B1084" s="2" t="n">
        <v>410389</v>
      </c>
      <c r="C1084" s="2" t="n">
        <v>406395</v>
      </c>
      <c r="D1084" s="2" t="inlineStr">
        <is>
          <t>Acondicionador Aclarante 400 Ml Tio Nacho</t>
        </is>
      </c>
      <c r="E1084" s="2" t="inlineStr">
        <is>
          <t>Tio Nacho</t>
        </is>
      </c>
      <c r="F1084" s="2" t="n">
        <v>7700</v>
      </c>
      <c r="G1084" s="2" t="n">
        <v>636364</v>
      </c>
      <c r="H1084" s="2" t="b">
        <v>0</v>
      </c>
      <c r="I1084" s="2" t="n">
        <v>400</v>
      </c>
      <c r="J1084" s="2" t="n">
        <v>19.25</v>
      </c>
      <c r="K1084" s="2" t="inlineStr">
        <is>
          <t>&gt; Perfumería &gt; Cuidado Capilar &gt; Acondicionador &gt;</t>
        </is>
      </c>
      <c r="L1084" s="2" t="inlineStr">
        <is>
          <t>acondicionador</t>
        </is>
      </c>
      <c r="M1084" s="2" t="inlineStr">
        <is>
          <t>estandar</t>
        </is>
      </c>
      <c r="N1084" s="2" t="inlineStr">
        <is>
          <t>general</t>
        </is>
      </c>
      <c r="O1084" s="2" t="inlineStr">
        <is>
          <t>https://www.jumbo.com.ar/acondicionador-aclarante-400-ml-tio-nacho/p</t>
        </is>
      </c>
    </row>
    <row r="1085">
      <c r="A1085" t="inlineStr">
        <is>
          <t>Jumbo</t>
        </is>
      </c>
      <c r="B1085" t="n">
        <v>397182</v>
      </c>
      <c r="C1085" t="n">
        <v>394923</v>
      </c>
      <c r="D1085" t="inlineStr">
        <is>
          <t>Acondicionador Reconstrucción Completa 750 Ml Dove</t>
        </is>
      </c>
      <c r="E1085" t="inlineStr">
        <is>
          <t>DOVE</t>
        </is>
      </c>
      <c r="F1085" t="n">
        <v>14550</v>
      </c>
      <c r="G1085" t="n">
        <v>1202479</v>
      </c>
      <c r="H1085" t="b">
        <v>0</v>
      </c>
      <c r="I1085" t="n">
        <v>750</v>
      </c>
      <c r="J1085" t="n">
        <v>19.4</v>
      </c>
      <c r="K1085" t="inlineStr">
        <is>
          <t>&gt; Perfumería &gt; Cuidado Capilar &gt; Acondicionador &gt;</t>
        </is>
      </c>
      <c r="L1085" t="inlineStr">
        <is>
          <t>acondicionador</t>
        </is>
      </c>
      <c r="M1085" t="inlineStr">
        <is>
          <t>estandar</t>
        </is>
      </c>
      <c r="N1085" t="inlineStr">
        <is>
          <t>general</t>
        </is>
      </c>
      <c r="O1085" t="inlineStr">
        <is>
          <t>https://www.jumbo.com.ar/acondicionador-dove-reconstruccion-completa-750-ml-2/p</t>
        </is>
      </c>
    </row>
    <row r="1086">
      <c r="A1086" s="2" t="inlineStr">
        <is>
          <t>Jumbo</t>
        </is>
      </c>
      <c r="B1086" s="2" t="n">
        <v>396888</v>
      </c>
      <c r="C1086" s="2" t="n">
        <v>394644</v>
      </c>
      <c r="D1086" s="2" t="inlineStr">
        <is>
          <t>Acondicionador Bomba Argán 340 Ml Sedal</t>
        </is>
      </c>
      <c r="E1086" s="2" t="inlineStr">
        <is>
          <t>SEDAL</t>
        </is>
      </c>
      <c r="F1086" s="2" t="n">
        <v>4450</v>
      </c>
      <c r="G1086" s="2" t="n">
        <v>367769</v>
      </c>
      <c r="H1086" s="2" t="b">
        <v>0</v>
      </c>
      <c r="I1086" s="2" t="n">
        <v>340</v>
      </c>
      <c r="J1086" s="2" t="n">
        <v>13.0882</v>
      </c>
      <c r="K1086" s="2" t="inlineStr">
        <is>
          <t>&gt; Perfumería &gt; Cuidado Capilar &gt; Acondicionador &gt;</t>
        </is>
      </c>
      <c r="L1086" s="2" t="inlineStr">
        <is>
          <t>acondicionador</t>
        </is>
      </c>
      <c r="M1086" s="2" t="inlineStr">
        <is>
          <t>estandar</t>
        </is>
      </c>
      <c r="N1086" s="2" t="inlineStr">
        <is>
          <t>general</t>
        </is>
      </c>
      <c r="O1086" s="2" t="inlineStr">
        <is>
          <t>https://www.jumbo.com.ar/acondicionador-bomba-argan-340-ml-sedal/p</t>
        </is>
      </c>
    </row>
    <row r="1087">
      <c r="A1087" t="inlineStr">
        <is>
          <t>Jumbo</t>
        </is>
      </c>
      <c r="B1087" t="n">
        <v>393575</v>
      </c>
      <c r="C1087" t="n">
        <v>391603</v>
      </c>
      <c r="D1087" t="inlineStr">
        <is>
          <t>Acondicionador Sedal Bomba Argán 190 Ml</t>
        </is>
      </c>
      <c r="E1087" t="inlineStr">
        <is>
          <t>SEDAL</t>
        </is>
      </c>
      <c r="F1087" t="n">
        <v>2850</v>
      </c>
      <c r="G1087" t="n">
        <v>235537</v>
      </c>
      <c r="H1087" t="b">
        <v>0</v>
      </c>
      <c r="I1087" t="n">
        <v>190</v>
      </c>
      <c r="J1087" t="n">
        <v>15</v>
      </c>
      <c r="K1087" t="inlineStr">
        <is>
          <t>&gt; Perfumería &gt; Cuidado Capilar &gt; Acondicionador &gt;</t>
        </is>
      </c>
      <c r="L1087" t="inlineStr">
        <is>
          <t>acondicionador</t>
        </is>
      </c>
      <c r="M1087" t="inlineStr">
        <is>
          <t>estandar</t>
        </is>
      </c>
      <c r="N1087" t="inlineStr">
        <is>
          <t>general</t>
        </is>
      </c>
      <c r="O1087" t="inlineStr">
        <is>
          <t>https://www.jumbo.com.ar/acondicionador-sedal-bomba-argan-190-ml/p</t>
        </is>
      </c>
    </row>
    <row r="1088">
      <c r="A1088" s="2" t="inlineStr">
        <is>
          <t>Jumbo</t>
        </is>
      </c>
      <c r="B1088" s="2" t="n">
        <v>393562</v>
      </c>
      <c r="C1088" s="2" t="n">
        <v>391590</v>
      </c>
      <c r="D1088" s="2" t="inlineStr">
        <is>
          <t>Super Acondicionador Dove Oleo Nutricion 170ml</t>
        </is>
      </c>
      <c r="E1088" s="2" t="inlineStr">
        <is>
          <t>DOVE</t>
        </is>
      </c>
      <c r="F1088" s="2" t="n">
        <v>4050</v>
      </c>
      <c r="G1088" s="2" t="n">
        <v>334711</v>
      </c>
      <c r="H1088" s="2" t="b">
        <v>0</v>
      </c>
      <c r="I1088" s="2" t="n">
        <v>170</v>
      </c>
      <c r="J1088" s="2" t="n">
        <v>23.8235</v>
      </c>
      <c r="K1088" s="2" t="inlineStr">
        <is>
          <t>&gt; Perfumería &gt; Cuidado Capilar &gt; Acondicionador &gt;</t>
        </is>
      </c>
      <c r="L1088" s="2" t="inlineStr">
        <is>
          <t>acondicionador</t>
        </is>
      </c>
      <c r="M1088" s="2" t="inlineStr">
        <is>
          <t>estandar</t>
        </is>
      </c>
      <c r="N1088" s="2" t="inlineStr">
        <is>
          <t>general</t>
        </is>
      </c>
      <c r="O1088" s="2" t="inlineStr">
        <is>
          <t>https://www.jumbo.com.ar/super-acondicionador-dove-oleo-nutricion-170ml/p</t>
        </is>
      </c>
    </row>
    <row r="1089">
      <c r="A1089" t="inlineStr">
        <is>
          <t>Jumbo</t>
        </is>
      </c>
      <c r="B1089" t="n">
        <v>393382</v>
      </c>
      <c r="C1089" t="n">
        <v>391410</v>
      </c>
      <c r="D1089" t="inlineStr">
        <is>
          <t>Acondicionador Liso Perfecto 650 Ml Sedal Acondicionador Sedal Liso Perfecto 650 Ml</t>
        </is>
      </c>
      <c r="E1089" t="inlineStr">
        <is>
          <t>SEDAL</t>
        </is>
      </c>
      <c r="F1089" t="n">
        <v>8650</v>
      </c>
      <c r="G1089" t="n">
        <v>714876</v>
      </c>
      <c r="H1089" t="b">
        <v>0</v>
      </c>
      <c r="I1089" t="n">
        <v>650</v>
      </c>
      <c r="J1089" t="n">
        <v>13.3077</v>
      </c>
      <c r="K1089" t="inlineStr">
        <is>
          <t>&gt; Perfumería &gt; Cuidado Capilar &gt; Acondicionador &gt;</t>
        </is>
      </c>
      <c r="L1089" t="inlineStr">
        <is>
          <t>acondicionador</t>
        </is>
      </c>
      <c r="M1089" t="inlineStr">
        <is>
          <t>estandar</t>
        </is>
      </c>
      <c r="N1089" t="inlineStr">
        <is>
          <t>general</t>
        </is>
      </c>
      <c r="O1089" t="inlineStr">
        <is>
          <t>https://www.jumbo.com.ar/acondicionador-sedal-liso-perfecto-650-ml-2/p</t>
        </is>
      </c>
    </row>
    <row r="1090">
      <c r="A1090" s="2" t="inlineStr">
        <is>
          <t>Jumbo</t>
        </is>
      </c>
      <c r="B1090" s="2" t="n">
        <v>384216</v>
      </c>
      <c r="C1090" s="2" t="n">
        <v>382906</v>
      </c>
      <c r="D1090" s="2" t="inlineStr">
        <is>
          <t>Acondicionador Tresemme Ondas Boho 250 Ml</t>
        </is>
      </c>
      <c r="E1090" s="2" t="inlineStr">
        <is>
          <t>TRESEMMÉ</t>
        </is>
      </c>
      <c r="F1090" s="2" t="n">
        <v>950</v>
      </c>
      <c r="G1090" s="2" t="n">
        <v>78512</v>
      </c>
      <c r="H1090" s="2" t="b">
        <v>0</v>
      </c>
      <c r="I1090" s="2" t="n">
        <v>250</v>
      </c>
      <c r="J1090" s="2" t="n">
        <v>3.8</v>
      </c>
      <c r="K1090" s="2" t="inlineStr">
        <is>
          <t>&gt; Perfumería &gt; Cuidado Capilar &gt; Acondicionador &gt;</t>
        </is>
      </c>
      <c r="L1090" s="2" t="inlineStr">
        <is>
          <t>acondicionador</t>
        </is>
      </c>
      <c r="M1090" s="2" t="inlineStr">
        <is>
          <t>estandar</t>
        </is>
      </c>
      <c r="N1090" s="2" t="inlineStr">
        <is>
          <t>general</t>
        </is>
      </c>
      <c r="O1090" s="2" t="inlineStr">
        <is>
          <t>https://www.jumbo.com.ar/acondicionador-tresemme-ondas-boho-250-ml-2/p</t>
        </is>
      </c>
    </row>
    <row r="1091">
      <c r="A1091" t="inlineStr">
        <is>
          <t>Jumbo</t>
        </is>
      </c>
      <c r="B1091" t="n">
        <v>384212</v>
      </c>
      <c r="C1091" t="n">
        <v>382904</v>
      </c>
      <c r="D1091" t="inlineStr">
        <is>
          <t>Acondicionador Tresemme Liso Efecto Botox 250ml</t>
        </is>
      </c>
      <c r="E1091" t="inlineStr">
        <is>
          <t>TRESEMMÉ</t>
        </is>
      </c>
      <c r="F1091" t="n">
        <v>1050</v>
      </c>
      <c r="G1091" t="n">
        <v>86777</v>
      </c>
      <c r="H1091" t="b">
        <v>0</v>
      </c>
      <c r="I1091" t="n">
        <v>250</v>
      </c>
      <c r="J1091" t="n">
        <v>4.2</v>
      </c>
      <c r="K1091" t="inlineStr">
        <is>
          <t>&gt; Perfumería &gt; Cuidado Capilar &gt; Acondicionador &gt;</t>
        </is>
      </c>
      <c r="L1091" t="inlineStr">
        <is>
          <t>acondicionador</t>
        </is>
      </c>
      <c r="M1091" t="inlineStr">
        <is>
          <t>estandar</t>
        </is>
      </c>
      <c r="N1091" t="inlineStr">
        <is>
          <t>general</t>
        </is>
      </c>
      <c r="O1091" t="inlineStr">
        <is>
          <t>https://www.jumbo.com.ar/acondicionador-tresemme-liso-efecto-botox-250ml/p</t>
        </is>
      </c>
    </row>
    <row r="1092">
      <c r="A1092" s="2" t="inlineStr">
        <is>
          <t>Jumbo</t>
        </is>
      </c>
      <c r="B1092" s="2" t="n">
        <v>384203</v>
      </c>
      <c r="C1092" s="2" t="n">
        <v>382899</v>
      </c>
      <c r="D1092" s="2" t="inlineStr">
        <is>
          <t>Acondicionador Tresemme Liso Efecto Botox 500ml</t>
        </is>
      </c>
      <c r="E1092" s="2" t="inlineStr">
        <is>
          <t>TRESEMMÉ</t>
        </is>
      </c>
      <c r="F1092" s="2" t="n">
        <v>1550</v>
      </c>
      <c r="G1092" s="2" t="n">
        <v>128099</v>
      </c>
      <c r="H1092" s="2" t="b">
        <v>0</v>
      </c>
      <c r="I1092" s="2" t="n">
        <v>500</v>
      </c>
      <c r="J1092" s="2" t="n">
        <v>3.1</v>
      </c>
      <c r="K1092" s="2" t="inlineStr">
        <is>
          <t>&gt; Perfumería &gt; Cuidado Capilar &gt; Acondicionador &gt;</t>
        </is>
      </c>
      <c r="L1092" s="2" t="inlineStr">
        <is>
          <t>acondicionador</t>
        </is>
      </c>
      <c r="M1092" s="2" t="inlineStr">
        <is>
          <t>estandar</t>
        </is>
      </c>
      <c r="N1092" s="2" t="inlineStr">
        <is>
          <t>general</t>
        </is>
      </c>
      <c r="O1092" s="2" t="inlineStr">
        <is>
          <t>https://www.jumbo.com.ar/acondicionador-tresemme-liso-efecto-botox-500ml/p</t>
        </is>
      </c>
    </row>
    <row r="1093">
      <c r="A1093" t="inlineStr">
        <is>
          <t>Jumbo</t>
        </is>
      </c>
      <c r="B1093" t="n">
        <v>383670</v>
      </c>
      <c r="C1093" t="n">
        <v>382385</v>
      </c>
      <c r="D1093" t="inlineStr">
        <is>
          <t>Acondicionador Colágeno Hidratante 700 Ml Pantene</t>
        </is>
      </c>
      <c r="E1093" t="inlineStr">
        <is>
          <t>PANTENE</t>
        </is>
      </c>
      <c r="F1093" t="n">
        <v>15650</v>
      </c>
      <c r="G1093" t="n">
        <v>1293388</v>
      </c>
      <c r="H1093" t="b">
        <v>0</v>
      </c>
      <c r="I1093" t="n">
        <v>700</v>
      </c>
      <c r="J1093" t="n">
        <v>22.3571</v>
      </c>
      <c r="K1093" t="inlineStr">
        <is>
          <t>&gt; Perfumería &gt; Cuidado Capilar &gt; Acondicionador &gt;</t>
        </is>
      </c>
      <c r="L1093" t="inlineStr">
        <is>
          <t>acondicionador</t>
        </is>
      </c>
      <c r="M1093" t="inlineStr">
        <is>
          <t>estandar</t>
        </is>
      </c>
      <c r="N1093" t="inlineStr">
        <is>
          <t>seco_danado</t>
        </is>
      </c>
      <c r="O1093" t="inlineStr">
        <is>
          <t>https://www.jumbo.com.ar/acondicionador-colageno-700-ml-pantene-2/p</t>
        </is>
      </c>
    </row>
    <row r="1094">
      <c r="A1094" s="2" t="inlineStr">
        <is>
          <t>Jumbo</t>
        </is>
      </c>
      <c r="B1094" s="2" t="n">
        <v>375245</v>
      </c>
      <c r="C1094" s="2" t="n">
        <v>373963</v>
      </c>
      <c r="D1094" s="2" t="inlineStr">
        <is>
          <t>Acondicionador Fructis Liso Coco 200 Ml</t>
        </is>
      </c>
      <c r="E1094" s="2" t="inlineStr">
        <is>
          <t>FRUCTIS</t>
        </is>
      </c>
      <c r="F1094" s="2" t="n">
        <v>1300</v>
      </c>
      <c r="G1094" s="2" t="n">
        <v>107438</v>
      </c>
      <c r="H1094" s="2" t="b">
        <v>0</v>
      </c>
      <c r="I1094" s="2" t="n">
        <v>200</v>
      </c>
      <c r="J1094" s="2" t="n">
        <v>6.5</v>
      </c>
      <c r="K1094" s="2" t="inlineStr">
        <is>
          <t>&gt; Perfumería &gt; Cuidado Capilar &gt; Acondicionador &gt;</t>
        </is>
      </c>
      <c r="L1094" s="2" t="inlineStr">
        <is>
          <t>acondicionador</t>
        </is>
      </c>
      <c r="M1094" s="2" t="inlineStr">
        <is>
          <t>estandar</t>
        </is>
      </c>
      <c r="N1094" s="2" t="inlineStr">
        <is>
          <t>general</t>
        </is>
      </c>
      <c r="O1094" s="2" t="inlineStr">
        <is>
          <t>https://www.jumbo.com.ar/acondicionador-fructis-liso-coco-200-ml/p</t>
        </is>
      </c>
    </row>
    <row r="1095">
      <c r="A1095" t="inlineStr">
        <is>
          <t>Jumbo</t>
        </is>
      </c>
      <c r="B1095" t="n">
        <v>364194</v>
      </c>
      <c r="C1095" t="n">
        <v>362937</v>
      </c>
      <c r="D1095" t="inlineStr">
        <is>
          <t>Acondicionador Ceramidas 930 Ml St Tropez</t>
        </is>
      </c>
      <c r="E1095" t="inlineStr">
        <is>
          <t>ST TROPEZ</t>
        </is>
      </c>
      <c r="F1095" t="n">
        <v>3950</v>
      </c>
      <c r="G1095" t="n">
        <v>326446</v>
      </c>
      <c r="H1095" t="b">
        <v>0</v>
      </c>
      <c r="I1095" t="n">
        <v>930</v>
      </c>
      <c r="J1095" t="n">
        <v>4.2473</v>
      </c>
      <c r="K1095" t="inlineStr">
        <is>
          <t>&gt; Perfumería &gt; Cuidado Capilar &gt; Acondicionador &gt;</t>
        </is>
      </c>
      <c r="L1095" t="inlineStr">
        <is>
          <t>acondicionador</t>
        </is>
      </c>
      <c r="M1095" t="inlineStr">
        <is>
          <t>estandar</t>
        </is>
      </c>
      <c r="N1095" t="inlineStr">
        <is>
          <t>general</t>
        </is>
      </c>
      <c r="O1095" t="inlineStr">
        <is>
          <t>https://www.jumbo.com.ar/acondicionador-st-tropez-ceramidas-930ml/p</t>
        </is>
      </c>
    </row>
    <row r="1096">
      <c r="A1096" s="2" t="inlineStr">
        <is>
          <t>Jumbo</t>
        </is>
      </c>
      <c r="B1096" s="2" t="n">
        <v>354060</v>
      </c>
      <c r="C1096" s="2" t="n">
        <v>352691</v>
      </c>
      <c r="D1096" s="2" t="inlineStr">
        <is>
          <t>Acondicionador Elvive Color Vive Protector 750ml</t>
        </is>
      </c>
      <c r="E1096" s="2" t="inlineStr">
        <is>
          <t>ELVIVE</t>
        </is>
      </c>
      <c r="F1096" s="2" t="n">
        <v>2450</v>
      </c>
      <c r="G1096" s="2" t="n">
        <v>202479</v>
      </c>
      <c r="H1096" s="2" t="b">
        <v>0</v>
      </c>
      <c r="I1096" s="2" t="n">
        <v>750</v>
      </c>
      <c r="J1096" s="2" t="n">
        <v>3.2667</v>
      </c>
      <c r="K1096" s="2" t="inlineStr">
        <is>
          <t>&gt; Perfumería &gt; Cuidado Capilar &gt; Acondicionador &gt;</t>
        </is>
      </c>
      <c r="L1096" s="2" t="inlineStr">
        <is>
          <t>acondicionador</t>
        </is>
      </c>
      <c r="M1096" s="2" t="inlineStr">
        <is>
          <t>profesional</t>
        </is>
      </c>
      <c r="N1096" s="2" t="inlineStr">
        <is>
          <t>tratado</t>
        </is>
      </c>
      <c r="O1096" s="2" t="inlineStr">
        <is>
          <t>https://www.jumbo.com.ar/acondicionador-elvive-color-vive-protector-750ml/p</t>
        </is>
      </c>
    </row>
    <row r="1097">
      <c r="A1097" t="inlineStr">
        <is>
          <t>Jumbo</t>
        </is>
      </c>
      <c r="B1097" t="n">
        <v>349999</v>
      </c>
      <c r="C1097" t="n">
        <v>348659</v>
      </c>
      <c r="D1097" t="inlineStr">
        <is>
          <t>Acondicionador Elvive Reparador Total 5 750ml</t>
        </is>
      </c>
      <c r="E1097" t="inlineStr">
        <is>
          <t>ELVIVE</t>
        </is>
      </c>
      <c r="F1097" t="n">
        <v>1966.59</v>
      </c>
      <c r="G1097" t="n">
        <v>162528</v>
      </c>
      <c r="H1097" t="b">
        <v>0</v>
      </c>
      <c r="I1097" t="n">
        <v>750</v>
      </c>
      <c r="J1097" t="n">
        <v>2.6221</v>
      </c>
      <c r="K1097" t="inlineStr">
        <is>
          <t>&gt; Perfumería &gt; Cuidado Capilar &gt; Acondicionador &gt;</t>
        </is>
      </c>
      <c r="L1097" t="inlineStr">
        <is>
          <t>acondicionador</t>
        </is>
      </c>
      <c r="M1097" t="inlineStr">
        <is>
          <t>profesional</t>
        </is>
      </c>
      <c r="N1097" t="inlineStr">
        <is>
          <t>general</t>
        </is>
      </c>
      <c r="O1097" t="inlineStr">
        <is>
          <t>https://www.jumbo.com.ar/acondicionador-elvive-reparador-total-5-750ml-2/p</t>
        </is>
      </c>
    </row>
    <row r="1098">
      <c r="A1098" s="2" t="inlineStr">
        <is>
          <t>Jumbo</t>
        </is>
      </c>
      <c r="B1098" s="2" t="n">
        <v>349468</v>
      </c>
      <c r="C1098" s="2" t="n">
        <v>348128</v>
      </c>
      <c r="D1098" s="2" t="inlineStr">
        <is>
          <t>Acondicionador Balance Reparador 1000 Ml Plusbelle Acondicionador Balance 1000 Ml Plusbelle</t>
        </is>
      </c>
      <c r="E1098" s="2" t="inlineStr">
        <is>
          <t>PLUSBELLE</t>
        </is>
      </c>
      <c r="F1098" s="2" t="n">
        <v>4350</v>
      </c>
      <c r="G1098" s="2" t="n">
        <v>359504</v>
      </c>
      <c r="H1098" s="2" t="b">
        <v>0</v>
      </c>
      <c r="I1098" s="2" t="n">
        <v>1000</v>
      </c>
      <c r="J1098" s="2" t="n">
        <v>4.35</v>
      </c>
      <c r="K1098" s="2" t="inlineStr">
        <is>
          <t>&gt; Perfumería &gt; Cuidado Capilar &gt; Acondicionador &gt;</t>
        </is>
      </c>
      <c r="L1098" s="2" t="inlineStr">
        <is>
          <t>acondicionador</t>
        </is>
      </c>
      <c r="M1098" s="2" t="inlineStr">
        <is>
          <t>estandar</t>
        </is>
      </c>
      <c r="N1098" s="2" t="inlineStr">
        <is>
          <t>general</t>
        </is>
      </c>
      <c r="O1098" s="2" t="inlineStr">
        <is>
          <t>https://www.jumbo.com.ar/acondicionador-balance-1000-ml-plusbelle/p</t>
        </is>
      </c>
    </row>
    <row r="1099">
      <c r="A1099" t="inlineStr">
        <is>
          <t>Jumbo</t>
        </is>
      </c>
      <c r="B1099" t="n">
        <v>348042</v>
      </c>
      <c r="C1099" t="n">
        <v>346717</v>
      </c>
      <c r="D1099" t="inlineStr">
        <is>
          <t>Acondicionador Algabo Hidratación Eco-pack 930</t>
        </is>
      </c>
      <c r="E1099" t="inlineStr">
        <is>
          <t>ELVIVE</t>
        </is>
      </c>
      <c r="F1099" t="n">
        <v>221.47</v>
      </c>
      <c r="G1099" t="n">
        <v>18303</v>
      </c>
      <c r="H1099" t="b">
        <v>0</v>
      </c>
      <c r="I1099" t="inlineStr"/>
      <c r="J1099" t="inlineStr"/>
      <c r="K1099" t="inlineStr">
        <is>
          <t>&gt; Perfumería &gt; Cuidado Capilar &gt; Acondicionador &gt;</t>
        </is>
      </c>
      <c r="L1099" t="inlineStr">
        <is>
          <t>acondicionador</t>
        </is>
      </c>
      <c r="M1099" t="inlineStr">
        <is>
          <t>profesional</t>
        </is>
      </c>
      <c r="N1099" t="inlineStr">
        <is>
          <t>seco_danado</t>
        </is>
      </c>
      <c r="O1099" t="inlineStr">
        <is>
          <t>https://www.jumbo.com.ar/acondicionador-algabo-hidratacion-eco-pack-930/p</t>
        </is>
      </c>
    </row>
    <row r="1100">
      <c r="A1100" s="2" t="inlineStr">
        <is>
          <t>Jumbo</t>
        </is>
      </c>
      <c r="B1100" s="2" t="n">
        <v>347727</v>
      </c>
      <c r="C1100" s="2" t="n">
        <v>346402</v>
      </c>
      <c r="D1100" s="2" t="inlineStr">
        <is>
          <t>Acondicionador  Sedal  Liso Perfecto  340 Ml</t>
        </is>
      </c>
      <c r="E1100" s="2" t="inlineStr">
        <is>
          <t>SEDAL</t>
        </is>
      </c>
      <c r="F1100" s="2" t="n">
        <v>469.67</v>
      </c>
      <c r="G1100" s="2" t="n">
        <v>38816</v>
      </c>
      <c r="H1100" s="2" t="b">
        <v>0</v>
      </c>
      <c r="I1100" s="2" t="n">
        <v>340</v>
      </c>
      <c r="J1100" s="2" t="n">
        <v>1.3814</v>
      </c>
      <c r="K1100" s="2" t="inlineStr">
        <is>
          <t>&gt; Perfumería &gt; Cuidado Capilar &gt; Acondicionador &gt;</t>
        </is>
      </c>
      <c r="L1100" s="2" t="inlineStr">
        <is>
          <t>acondicionador</t>
        </is>
      </c>
      <c r="M1100" s="2" t="inlineStr">
        <is>
          <t>estandar</t>
        </is>
      </c>
      <c r="N1100" s="2" t="inlineStr">
        <is>
          <t>general</t>
        </is>
      </c>
      <c r="O1100" s="2" t="inlineStr">
        <is>
          <t>https://www.jumbo.com.ar/acondicionador-sedal-liso-perfecto-340-ml/p</t>
        </is>
      </c>
    </row>
    <row r="1101">
      <c r="A1101" t="inlineStr">
        <is>
          <t>Jumbo</t>
        </is>
      </c>
      <c r="B1101" t="n">
        <v>347630</v>
      </c>
      <c r="C1101" t="n">
        <v>346303</v>
      </c>
      <c r="D1101" t="inlineStr">
        <is>
          <t>Acondicionador  Dove  Hidratación Intensa  200 Ml</t>
        </is>
      </c>
      <c r="E1101" t="inlineStr">
        <is>
          <t>DOVE</t>
        </is>
      </c>
      <c r="F1101" t="n">
        <v>584.29</v>
      </c>
      <c r="G1101" t="n">
        <v>48288</v>
      </c>
      <c r="H1101" t="b">
        <v>0</v>
      </c>
      <c r="I1101" t="n">
        <v>200</v>
      </c>
      <c r="J1101" t="n">
        <v>2.9214</v>
      </c>
      <c r="K1101" t="inlineStr">
        <is>
          <t>&gt; Perfumería &gt; Cuidado Capilar &gt; Acondicionador &gt;</t>
        </is>
      </c>
      <c r="L1101" t="inlineStr">
        <is>
          <t>acondicionador</t>
        </is>
      </c>
      <c r="M1101" t="inlineStr">
        <is>
          <t>estandar</t>
        </is>
      </c>
      <c r="N1101" t="inlineStr">
        <is>
          <t>seco_danado</t>
        </is>
      </c>
      <c r="O1101" t="inlineStr">
        <is>
          <t>https://www.jumbo.com.ar/acondicionador-dove-hidratacion-intensa-200-ml/p</t>
        </is>
      </c>
    </row>
    <row r="1102">
      <c r="A1102" s="2" t="inlineStr">
        <is>
          <t>Jumbo</t>
        </is>
      </c>
      <c r="B1102" s="2" t="n">
        <v>345272</v>
      </c>
      <c r="C1102" s="2" t="n">
        <v>343957</v>
      </c>
      <c r="D1102" s="2" t="inlineStr">
        <is>
          <t>Acondicionador Pantene Prov Essentials Hidratante 200ml</t>
        </is>
      </c>
      <c r="E1102" s="2" t="inlineStr">
        <is>
          <t>PANTENE</t>
        </is>
      </c>
      <c r="F1102" s="2" t="n">
        <v>531.49</v>
      </c>
      <c r="G1102" s="2" t="n">
        <v>43925</v>
      </c>
      <c r="H1102" s="2" t="b">
        <v>0</v>
      </c>
      <c r="I1102" s="2" t="n">
        <v>200</v>
      </c>
      <c r="J1102" s="2" t="n">
        <v>2.6574</v>
      </c>
      <c r="K1102" s="2" t="inlineStr">
        <is>
          <t>&gt; Perfumería &gt; Cuidado Capilar &gt; Acondicionador &gt;</t>
        </is>
      </c>
      <c r="L1102" s="2" t="inlineStr">
        <is>
          <t>acondicionador</t>
        </is>
      </c>
      <c r="M1102" s="2" t="inlineStr">
        <is>
          <t>profesional</t>
        </is>
      </c>
      <c r="N1102" s="2" t="inlineStr">
        <is>
          <t>seco_danado</t>
        </is>
      </c>
      <c r="O1102" s="2" t="inlineStr">
        <is>
          <t>https://www.jumbo.com.ar/acondicionador-pantene-prov-essentials-hidratante-200ml/p</t>
        </is>
      </c>
    </row>
    <row r="1103">
      <c r="A1103" t="inlineStr">
        <is>
          <t>Jumbo</t>
        </is>
      </c>
      <c r="B1103" t="n">
        <v>345109</v>
      </c>
      <c r="C1103" t="n">
        <v>343794</v>
      </c>
      <c r="D1103" t="inlineStr">
        <is>
          <t>Acondicionador Pantene Prov Essentials Brillo 400ml</t>
        </is>
      </c>
      <c r="E1103" t="inlineStr">
        <is>
          <t>PANTENE</t>
        </is>
      </c>
      <c r="F1103" t="n">
        <v>858.79</v>
      </c>
      <c r="G1103" t="n">
        <v>70974</v>
      </c>
      <c r="H1103" t="b">
        <v>0</v>
      </c>
      <c r="I1103" t="n">
        <v>400</v>
      </c>
      <c r="J1103" t="n">
        <v>2.147</v>
      </c>
      <c r="K1103" t="inlineStr">
        <is>
          <t>&gt; Perfumería &gt; Cuidado Capilar &gt; Acondicionador &gt;</t>
        </is>
      </c>
      <c r="L1103" t="inlineStr">
        <is>
          <t>acondicionador</t>
        </is>
      </c>
      <c r="M1103" t="inlineStr">
        <is>
          <t>profesional</t>
        </is>
      </c>
      <c r="N1103" t="inlineStr">
        <is>
          <t>general</t>
        </is>
      </c>
      <c r="O1103" t="inlineStr">
        <is>
          <t>https://www.jumbo.com.ar/acondicionador-pantene-prov-essentials-brillo-400ml/p</t>
        </is>
      </c>
    </row>
    <row r="1104">
      <c r="A1104" s="2" t="inlineStr">
        <is>
          <t>Jumbo</t>
        </is>
      </c>
      <c r="B1104" s="2" t="n">
        <v>345105</v>
      </c>
      <c r="C1104" s="2" t="n">
        <v>343790</v>
      </c>
      <c r="D1104" s="2" t="inlineStr">
        <is>
          <t>Acondicionador Pantene Prov Essentials Fuerza 750ml</t>
        </is>
      </c>
      <c r="E1104" s="2" t="inlineStr">
        <is>
          <t>PANTENE</t>
        </is>
      </c>
      <c r="F1104" s="2" t="n">
        <v>2450</v>
      </c>
      <c r="G1104" s="2" t="n">
        <v>202479</v>
      </c>
      <c r="H1104" s="2" t="b">
        <v>0</v>
      </c>
      <c r="I1104" s="2" t="n">
        <v>750</v>
      </c>
      <c r="J1104" s="2" t="n">
        <v>3.2667</v>
      </c>
      <c r="K1104" s="2" t="inlineStr">
        <is>
          <t>&gt; Perfumería &gt; Cuidado Capilar &gt; Acondicionador &gt;</t>
        </is>
      </c>
      <c r="L1104" s="2" t="inlineStr">
        <is>
          <t>acondicionador</t>
        </is>
      </c>
      <c r="M1104" s="2" t="inlineStr">
        <is>
          <t>profesional</t>
        </is>
      </c>
      <c r="N1104" s="2" t="inlineStr">
        <is>
          <t>general</t>
        </is>
      </c>
      <c r="O1104" s="2" t="inlineStr">
        <is>
          <t>https://www.jumbo.com.ar/acondicionador-pantene-prov-essentials-fuerza-750ml/p</t>
        </is>
      </c>
    </row>
    <row r="1105">
      <c r="A1105" t="inlineStr">
        <is>
          <t>Jumbo</t>
        </is>
      </c>
      <c r="B1105" t="n">
        <v>345053</v>
      </c>
      <c r="C1105" t="n">
        <v>343738</v>
      </c>
      <c r="D1105" t="inlineStr">
        <is>
          <t>Acondicionador Pantene Prov Essentials Micelar 400ml</t>
        </is>
      </c>
      <c r="E1105" t="inlineStr">
        <is>
          <t>PANTENE</t>
        </is>
      </c>
      <c r="F1105" t="n">
        <v>858.79</v>
      </c>
      <c r="G1105" t="n">
        <v>70974</v>
      </c>
      <c r="H1105" t="b">
        <v>0</v>
      </c>
      <c r="I1105" t="n">
        <v>400</v>
      </c>
      <c r="J1105" t="n">
        <v>2.147</v>
      </c>
      <c r="K1105" t="inlineStr">
        <is>
          <t>&gt; Perfumería &gt; Cuidado Capilar &gt; Acondicionador &gt;</t>
        </is>
      </c>
      <c r="L1105" t="inlineStr">
        <is>
          <t>acondicionador</t>
        </is>
      </c>
      <c r="M1105" t="inlineStr">
        <is>
          <t>profesional</t>
        </is>
      </c>
      <c r="N1105" t="inlineStr">
        <is>
          <t>general</t>
        </is>
      </c>
      <c r="O1105" t="inlineStr">
        <is>
          <t>https://www.jumbo.com.ar/acondicionador-pantene-prov-essentials-micelar-400ml/p</t>
        </is>
      </c>
    </row>
    <row r="1106">
      <c r="A1106" s="2" t="inlineStr">
        <is>
          <t>Jumbo</t>
        </is>
      </c>
      <c r="B1106" s="2" t="n">
        <v>337411</v>
      </c>
      <c r="C1106" s="2" t="n">
        <v>336514</v>
      </c>
      <c r="D1106" s="2" t="inlineStr">
        <is>
          <t>Acondicionador Dove Reconstrucción Completa 200 Ml</t>
        </is>
      </c>
      <c r="E1106" s="2" t="inlineStr">
        <is>
          <t>DOVE</t>
        </is>
      </c>
      <c r="F1106" s="2" t="n">
        <v>398.39</v>
      </c>
      <c r="G1106" s="2" t="n">
        <v>32925</v>
      </c>
      <c r="H1106" s="2" t="b">
        <v>0</v>
      </c>
      <c r="I1106" s="2" t="n">
        <v>200</v>
      </c>
      <c r="J1106" s="2" t="n">
        <v>1.9919</v>
      </c>
      <c r="K1106" s="2" t="inlineStr">
        <is>
          <t>&gt; Perfumería &gt; Cuidado Capilar &gt; Acondicionador &gt;</t>
        </is>
      </c>
      <c r="L1106" s="2" t="inlineStr">
        <is>
          <t>acondicionador</t>
        </is>
      </c>
      <c r="M1106" s="2" t="inlineStr">
        <is>
          <t>estandar</t>
        </is>
      </c>
      <c r="N1106" s="2" t="inlineStr">
        <is>
          <t>general</t>
        </is>
      </c>
      <c r="O1106" s="2" t="inlineStr">
        <is>
          <t>https://www.jumbo.com.ar/acondicionador-dove-reconstruccion-completa-200-ml/p</t>
        </is>
      </c>
    </row>
    <row r="1107">
      <c r="A1107" t="inlineStr">
        <is>
          <t>Jumbo</t>
        </is>
      </c>
      <c r="B1107" t="n">
        <v>336032</v>
      </c>
      <c r="C1107" t="n">
        <v>335141</v>
      </c>
      <c r="D1107" t="inlineStr">
        <is>
          <t>Acondicionador Sedal Bomba Nutri Antifrizz 190ml</t>
        </is>
      </c>
      <c r="E1107" t="inlineStr">
        <is>
          <t>SEDAL</t>
        </is>
      </c>
      <c r="F1107" t="n">
        <v>180.39</v>
      </c>
      <c r="G1107" t="n">
        <v>14908</v>
      </c>
      <c r="H1107" t="b">
        <v>0</v>
      </c>
      <c r="I1107" t="n">
        <v>190</v>
      </c>
      <c r="J1107" t="n">
        <v>0.9494</v>
      </c>
      <c r="K1107" t="inlineStr">
        <is>
          <t>&gt; Perfumería &gt; Cuidado Capilar &gt; Acondicionador &gt;</t>
        </is>
      </c>
      <c r="L1107" t="inlineStr">
        <is>
          <t>acondicionador</t>
        </is>
      </c>
      <c r="M1107" t="inlineStr">
        <is>
          <t>estandar</t>
        </is>
      </c>
      <c r="N1107" t="inlineStr">
        <is>
          <t>general</t>
        </is>
      </c>
      <c r="O1107" t="inlineStr">
        <is>
          <t>https://www.jumbo.com.ar/acondicionador-sedal-bomba-nutri-antifrizz-190ml/p</t>
        </is>
      </c>
    </row>
    <row r="1108">
      <c r="A1108" s="2" t="inlineStr">
        <is>
          <t>Jumbo</t>
        </is>
      </c>
      <c r="B1108" s="2" t="n">
        <v>333070</v>
      </c>
      <c r="C1108" s="2" t="n">
        <v>332218</v>
      </c>
      <c r="D1108" s="2" t="inlineStr">
        <is>
          <t>Acondicionador Gotas De Brillo 400ml Johnson Baby</t>
        </is>
      </c>
      <c r="E1108" s="2" t="inlineStr">
        <is>
          <t>JOHNSON BABY</t>
        </is>
      </c>
      <c r="F1108" s="2" t="n">
        <v>935.89</v>
      </c>
      <c r="G1108" s="2" t="n">
        <v>77346</v>
      </c>
      <c r="H1108" s="2" t="b">
        <v>0</v>
      </c>
      <c r="I1108" s="2" t="n">
        <v>400</v>
      </c>
      <c r="J1108" s="2" t="n">
        <v>2.3397</v>
      </c>
      <c r="K1108" s="2" t="inlineStr">
        <is>
          <t>&gt; Mundo Bebe &gt; Higiene para el Bebe &gt; Higiene del Bebé &gt;</t>
        </is>
      </c>
      <c r="L1108" s="2" t="inlineStr">
        <is>
          <t>acondicionador</t>
        </is>
      </c>
      <c r="M1108" s="2" t="inlineStr">
        <is>
          <t>estandar</t>
        </is>
      </c>
      <c r="N1108" s="2" t="inlineStr">
        <is>
          <t>general</t>
        </is>
      </c>
      <c r="O1108" s="2" t="inlineStr">
        <is>
          <t>https://www.jumbo.com.ar/acondicionador-gotas-de-brillo-400ml-johnson-baby/p</t>
        </is>
      </c>
    </row>
    <row r="1109">
      <c r="A1109" t="inlineStr">
        <is>
          <t>Jumbo</t>
        </is>
      </c>
      <c r="B1109" t="n">
        <v>332827</v>
      </c>
      <c r="C1109" t="n">
        <v>331975</v>
      </c>
      <c r="D1109" t="inlineStr">
        <is>
          <t>Acondicionador Pantene Pro-vmiracles Hidrat.750ml</t>
        </is>
      </c>
      <c r="E1109" t="inlineStr">
        <is>
          <t>PANTENE</t>
        </is>
      </c>
      <c r="F1109" t="n">
        <v>693.77</v>
      </c>
      <c r="G1109" t="n">
        <v>57336</v>
      </c>
      <c r="H1109" t="b">
        <v>0</v>
      </c>
      <c r="I1109" t="n">
        <v>750</v>
      </c>
      <c r="J1109" t="n">
        <v>0.925</v>
      </c>
      <c r="K1109" t="inlineStr">
        <is>
          <t>&gt; Perfumería &gt; Cuidado Capilar &gt; Acondicionador &gt;</t>
        </is>
      </c>
      <c r="L1109" t="inlineStr">
        <is>
          <t>acondicionador</t>
        </is>
      </c>
      <c r="M1109" t="inlineStr">
        <is>
          <t>profesional</t>
        </is>
      </c>
      <c r="N1109" t="inlineStr">
        <is>
          <t>seco_danado</t>
        </is>
      </c>
      <c r="O1109" t="inlineStr">
        <is>
          <t>https://www.jumbo.com.ar/acondicionador-pantene-pro-vmiracles-hidrat-750ml/p</t>
        </is>
      </c>
    </row>
    <row r="1110">
      <c r="A1110" s="2" t="inlineStr">
        <is>
          <t>Jumbo</t>
        </is>
      </c>
      <c r="B1110" s="2" t="n">
        <v>312206</v>
      </c>
      <c r="C1110" s="2" t="n">
        <v>311444</v>
      </c>
      <c r="D1110" s="2" t="inlineStr">
        <is>
          <t>Acondicionador Dove Regeneración Extrema 400 Ml</t>
        </is>
      </c>
      <c r="E1110" s="2" t="inlineStr">
        <is>
          <t>DOVE</t>
        </is>
      </c>
      <c r="F1110" s="2" t="n">
        <v>244.89</v>
      </c>
      <c r="G1110" s="2" t="n">
        <v>20239</v>
      </c>
      <c r="H1110" s="2" t="b">
        <v>0</v>
      </c>
      <c r="I1110" s="2" t="n">
        <v>400</v>
      </c>
      <c r="J1110" s="2" t="n">
        <v>0.6122</v>
      </c>
      <c r="K1110" s="2" t="inlineStr">
        <is>
          <t>&gt; Perfumería &gt; Cuidado Capilar &gt; Acondicionador &gt;</t>
        </is>
      </c>
      <c r="L1110" s="2" t="inlineStr">
        <is>
          <t>acondicionador</t>
        </is>
      </c>
      <c r="M1110" s="2" t="inlineStr">
        <is>
          <t>estandar</t>
        </is>
      </c>
      <c r="N1110" s="2" t="inlineStr">
        <is>
          <t>general</t>
        </is>
      </c>
      <c r="O1110" s="2" t="inlineStr">
        <is>
          <t>https://www.jumbo.com.ar/acondicionador-dove-regeneracion-extrema-400-ml/p</t>
        </is>
      </c>
    </row>
    <row r="1111">
      <c r="A1111" t="inlineStr">
        <is>
          <t>Jumbo</t>
        </is>
      </c>
      <c r="B1111" t="n">
        <v>310266</v>
      </c>
      <c r="C1111" t="n">
        <v>309504</v>
      </c>
      <c r="D1111" t="inlineStr">
        <is>
          <t>Ogx® Coconut Milk Acondicionador 385 Ml</t>
        </is>
      </c>
      <c r="E1111" t="inlineStr">
        <is>
          <t>OGX</t>
        </is>
      </c>
      <c r="F1111" t="n">
        <v>599.49</v>
      </c>
      <c r="G1111" t="n">
        <v>49545</v>
      </c>
      <c r="H1111" t="b">
        <v>0</v>
      </c>
      <c r="I1111" t="n">
        <v>385</v>
      </c>
      <c r="J1111" t="n">
        <v>1.5571</v>
      </c>
      <c r="K1111" t="inlineStr">
        <is>
          <t>&gt; Perfumería &gt; Cuidado Capilar &gt; Acondicionador &gt;</t>
        </is>
      </c>
      <c r="L1111" t="inlineStr">
        <is>
          <t>acondicionador</t>
        </is>
      </c>
      <c r="M1111" t="inlineStr">
        <is>
          <t>estandar</t>
        </is>
      </c>
      <c r="N1111" t="inlineStr">
        <is>
          <t>general</t>
        </is>
      </c>
      <c r="O1111" t="inlineStr">
        <is>
          <t>https://www.jumbo.com.ar/ogx-coconut-milk-acondicionador-385-ml/p</t>
        </is>
      </c>
    </row>
    <row r="1112">
      <c r="A1112" s="2" t="inlineStr">
        <is>
          <t>Jumbo</t>
        </is>
      </c>
      <c r="B1112" s="2" t="n">
        <v>296060</v>
      </c>
      <c r="C1112" s="2" t="n">
        <v>295290</v>
      </c>
      <c r="D1112" s="2" t="inlineStr">
        <is>
          <t>Tío Nacho Acondicionador Ultrahidratante 200 Ml</t>
        </is>
      </c>
      <c r="E1112" s="2" t="inlineStr">
        <is>
          <t>Tio Nacho</t>
        </is>
      </c>
      <c r="F1112" s="2" t="n">
        <v>357.13</v>
      </c>
      <c r="G1112" s="2" t="n">
        <v>29515</v>
      </c>
      <c r="H1112" s="2" t="b">
        <v>0</v>
      </c>
      <c r="I1112" s="2" t="n">
        <v>200</v>
      </c>
      <c r="J1112" s="2" t="n">
        <v>1.7856</v>
      </c>
      <c r="K1112" s="2" t="inlineStr">
        <is>
          <t>&gt; Perfumería &gt; Cuidado Capilar &gt; Acondicionador &gt;</t>
        </is>
      </c>
      <c r="L1112" s="2" t="inlineStr">
        <is>
          <t>acondicionador</t>
        </is>
      </c>
      <c r="M1112" s="2" t="inlineStr">
        <is>
          <t>estandar</t>
        </is>
      </c>
      <c r="N1112" s="2" t="inlineStr">
        <is>
          <t>seco_danado</t>
        </is>
      </c>
      <c r="O1112" s="2" t="inlineStr">
        <is>
          <t>https://www.jumbo.com.ar/tio-nacho-acondicionador-ultrahidratante-200-ml/p</t>
        </is>
      </c>
    </row>
    <row r="1113">
      <c r="A1113" t="inlineStr">
        <is>
          <t>Jumbo</t>
        </is>
      </c>
      <c r="B1113" t="n">
        <v>295742</v>
      </c>
      <c r="C1113" t="n">
        <v>294972</v>
      </c>
      <c r="D1113" t="inlineStr">
        <is>
          <t>Acondicionador Dove Ritual De Crecimiento 400 Ml</t>
        </is>
      </c>
      <c r="E1113" t="inlineStr">
        <is>
          <t>DOVE</t>
        </is>
      </c>
      <c r="F1113" t="n">
        <v>477.49</v>
      </c>
      <c r="G1113" t="n">
        <v>39462</v>
      </c>
      <c r="H1113" t="b">
        <v>0</v>
      </c>
      <c r="I1113" t="n">
        <v>400</v>
      </c>
      <c r="J1113" t="n">
        <v>1.1937</v>
      </c>
      <c r="K1113" t="inlineStr">
        <is>
          <t>&gt; Perfumería &gt; Cuidado Capilar &gt; Acondicionador &gt;</t>
        </is>
      </c>
      <c r="L1113" t="inlineStr">
        <is>
          <t>acondicionador</t>
        </is>
      </c>
      <c r="M1113" t="inlineStr">
        <is>
          <t>estandar</t>
        </is>
      </c>
      <c r="N1113" t="inlineStr">
        <is>
          <t>general</t>
        </is>
      </c>
      <c r="O1113" t="inlineStr">
        <is>
          <t>https://www.jumbo.com.ar/acondicionador-dove-ritual-de-crecimiento-400-ml/p</t>
        </is>
      </c>
    </row>
    <row r="1114">
      <c r="A1114" s="2" t="inlineStr">
        <is>
          <t>Jumbo</t>
        </is>
      </c>
      <c r="B1114" s="2" t="n">
        <v>294872</v>
      </c>
      <c r="C1114" s="2" t="n">
        <v>294102</v>
      </c>
      <c r="D1114" s="2" t="inlineStr">
        <is>
          <t>Acondicionador Head&amp;shoulder Purif Capi 375ml</t>
        </is>
      </c>
      <c r="E1114" s="2" t="inlineStr">
        <is>
          <t>HEAD &amp; SHOULDERS</t>
        </is>
      </c>
      <c r="F1114" s="2" t="n">
        <v>285.17</v>
      </c>
      <c r="G1114" s="2" t="n">
        <v>23568</v>
      </c>
      <c r="H1114" s="2" t="b">
        <v>0</v>
      </c>
      <c r="I1114" s="2" t="n">
        <v>375</v>
      </c>
      <c r="J1114" s="2" t="n">
        <v>0.7605</v>
      </c>
      <c r="K1114" s="2" t="inlineStr">
        <is>
          <t>&gt; Perfumería &gt; Cuidado Capilar &gt; Acondicionador &gt;</t>
        </is>
      </c>
      <c r="L1114" s="2" t="inlineStr">
        <is>
          <t>acondicionador</t>
        </is>
      </c>
      <c r="M1114" s="2" t="inlineStr">
        <is>
          <t>estandar</t>
        </is>
      </c>
      <c r="N1114" s="2" t="inlineStr">
        <is>
          <t>general</t>
        </is>
      </c>
      <c r="O1114" s="2" t="inlineStr">
        <is>
          <t>https://www.jumbo.com.ar/acondicionador-head-shoulder-purif-capi-375ml/p</t>
        </is>
      </c>
    </row>
    <row r="1115">
      <c r="A1115" t="inlineStr">
        <is>
          <t>Jumbo</t>
        </is>
      </c>
      <c r="B1115" t="n">
        <v>277774</v>
      </c>
      <c r="C1115" t="n">
        <v>277052</v>
      </c>
      <c r="D1115" t="inlineStr">
        <is>
          <t>Promo Acondicionador Anti Edad 20% Off</t>
        </is>
      </c>
      <c r="E1115" t="inlineStr">
        <is>
          <t>Tio Nacho</t>
        </is>
      </c>
      <c r="F1115" t="n">
        <v>185.35</v>
      </c>
      <c r="G1115" t="n">
        <v>185.35</v>
      </c>
      <c r="H1115" t="b">
        <v>0</v>
      </c>
      <c r="I1115" t="inlineStr"/>
      <c r="J1115" t="inlineStr"/>
      <c r="K1115" t="inlineStr">
        <is>
          <t>&gt; Perfumería &gt; Cuidado Capilar &gt; Acondicionador &gt;</t>
        </is>
      </c>
      <c r="L1115" t="inlineStr">
        <is>
          <t>acondicionador</t>
        </is>
      </c>
      <c r="M1115" t="inlineStr">
        <is>
          <t>estandar</t>
        </is>
      </c>
      <c r="N1115" t="inlineStr">
        <is>
          <t>general</t>
        </is>
      </c>
      <c r="O1115" t="inlineStr">
        <is>
          <t>https://www.jumbo.com.ar/promo-acondicionador-anti-edad-20-off/p</t>
        </is>
      </c>
    </row>
    <row r="1116">
      <c r="A1116" s="2" t="inlineStr">
        <is>
          <t>Jumbo</t>
        </is>
      </c>
      <c r="B1116" s="2" t="n">
        <v>276912</v>
      </c>
      <c r="C1116" s="2" t="n">
        <v>276198</v>
      </c>
      <c r="D1116" s="2" t="inlineStr">
        <is>
          <t>Acondicionador Rulos Hidratados 200 Ml Roby Acondicionador Roby Rulos Hidratados 200 Ml</t>
        </is>
      </c>
      <c r="E1116" s="2" t="inlineStr">
        <is>
          <t>ROBY</t>
        </is>
      </c>
      <c r="F1116" s="2" t="n">
        <v>87.22</v>
      </c>
      <c r="G1116" s="2" t="n">
        <v>87.22</v>
      </c>
      <c r="H1116" s="2" t="b">
        <v>0</v>
      </c>
      <c r="I1116" s="2" t="n">
        <v>200</v>
      </c>
      <c r="J1116" s="2" t="n">
        <v>0.4361</v>
      </c>
      <c r="K1116" s="2" t="inlineStr">
        <is>
          <t>&gt; Perfumería &gt; Cuidado Capilar &gt; Acondicionador &gt;</t>
        </is>
      </c>
      <c r="L1116" s="2" t="inlineStr">
        <is>
          <t>acondicionador</t>
        </is>
      </c>
      <c r="M1116" s="2" t="inlineStr">
        <is>
          <t>estandar</t>
        </is>
      </c>
      <c r="N1116" s="2" t="inlineStr">
        <is>
          <t>rizado</t>
        </is>
      </c>
      <c r="O1116" s="2" t="inlineStr">
        <is>
          <t>https://www.jumbo.com.ar/acondicionador-roby-rulos-hidratados-200-ml/p</t>
        </is>
      </c>
    </row>
    <row r="1117">
      <c r="A1117" t="inlineStr">
        <is>
          <t>Jumbo</t>
        </is>
      </c>
      <c r="B1117" t="n">
        <v>276911</v>
      </c>
      <c r="C1117" t="n">
        <v>276197</v>
      </c>
      <c r="D1117" t="inlineStr">
        <is>
          <t>Acondicionador Lacio Sedoso 200 Ml Roby Acondicionador Roby Lacio Sedoso 200 Ml</t>
        </is>
      </c>
      <c r="E1117" t="inlineStr">
        <is>
          <t>ROBY</t>
        </is>
      </c>
      <c r="F1117" t="n">
        <v>87.45999999999999</v>
      </c>
      <c r="G1117" t="n">
        <v>87.45999999999999</v>
      </c>
      <c r="H1117" t="b">
        <v>0</v>
      </c>
      <c r="I1117" t="n">
        <v>200</v>
      </c>
      <c r="J1117" t="n">
        <v>0.4373</v>
      </c>
      <c r="K1117" t="inlineStr">
        <is>
          <t>&gt; Perfumería &gt; Cuidado Capilar &gt; Acondicionador &gt;</t>
        </is>
      </c>
      <c r="L1117" t="inlineStr">
        <is>
          <t>acondicionador</t>
        </is>
      </c>
      <c r="M1117" t="inlineStr">
        <is>
          <t>estandar</t>
        </is>
      </c>
      <c r="N1117" t="inlineStr">
        <is>
          <t>tratado</t>
        </is>
      </c>
      <c r="O1117" t="inlineStr">
        <is>
          <t>https://www.jumbo.com.ar/acondicionador-roby-lacio-sedoso-200-ml/p</t>
        </is>
      </c>
    </row>
    <row r="1118">
      <c r="A1118" s="2" t="inlineStr">
        <is>
          <t>Jumbo</t>
        </is>
      </c>
      <c r="B1118" s="2" t="n">
        <v>275449</v>
      </c>
      <c r="C1118" s="2" t="n">
        <v>274745</v>
      </c>
      <c r="D1118" s="2" t="inlineStr">
        <is>
          <t>Acondicionador Head &amp; Shoulders 180 Ml</t>
        </is>
      </c>
      <c r="E1118" s="2" t="inlineStr">
        <is>
          <t>HEAD &amp; SHOULDERS</t>
        </is>
      </c>
      <c r="F1118" s="2" t="n">
        <v>310.59</v>
      </c>
      <c r="G1118" s="2" t="n">
        <v>25669</v>
      </c>
      <c r="H1118" s="2" t="b">
        <v>0</v>
      </c>
      <c r="I1118" s="2" t="n">
        <v>180</v>
      </c>
      <c r="J1118" s="2" t="n">
        <v>1.7255</v>
      </c>
      <c r="K1118" s="2" t="inlineStr">
        <is>
          <t>&gt; Perfumería &gt; Cuidado Capilar &gt; Acondicionador &gt;</t>
        </is>
      </c>
      <c r="L1118" s="2" t="inlineStr">
        <is>
          <t>acondicionador</t>
        </is>
      </c>
      <c r="M1118" s="2" t="inlineStr">
        <is>
          <t>estandar</t>
        </is>
      </c>
      <c r="N1118" s="2" t="inlineStr">
        <is>
          <t>general</t>
        </is>
      </c>
      <c r="O1118" s="2" t="inlineStr">
        <is>
          <t>https://www.jumbo.com.ar/acondicionador-head-shoulders-180-ml/p</t>
        </is>
      </c>
    </row>
    <row r="1119">
      <c r="A1119" t="inlineStr">
        <is>
          <t>Jumbo</t>
        </is>
      </c>
      <c r="B1119" t="n">
        <v>248651</v>
      </c>
      <c r="C1119" t="n">
        <v>245633</v>
      </c>
      <c r="D1119" t="inlineStr">
        <is>
          <t>Acondicionador Sedal Bomba Argán 190 Ml</t>
        </is>
      </c>
      <c r="E1119" t="inlineStr">
        <is>
          <t>SEDAL</t>
        </is>
      </c>
      <c r="F1119" t="n">
        <v>130.65</v>
      </c>
      <c r="G1119" t="n">
        <v>10798</v>
      </c>
      <c r="H1119" t="b">
        <v>0</v>
      </c>
      <c r="I1119" t="n">
        <v>190</v>
      </c>
      <c r="J1119" t="n">
        <v>0.6876</v>
      </c>
      <c r="K1119" t="inlineStr">
        <is>
          <t>&gt; Perfumería &gt; Cuidado Capilar &gt; Acondicionador &gt;</t>
        </is>
      </c>
      <c r="L1119" t="inlineStr">
        <is>
          <t>acondicionador</t>
        </is>
      </c>
      <c r="M1119" t="inlineStr">
        <is>
          <t>estandar</t>
        </is>
      </c>
      <c r="N1119" t="inlineStr">
        <is>
          <t>general</t>
        </is>
      </c>
      <c r="O1119" t="inlineStr">
        <is>
          <t>https://www.jumbo.com.ar/acondicionador-sedal-bomba-argan-190-ml-2/p</t>
        </is>
      </c>
    </row>
    <row r="1120">
      <c r="A1120" s="2" t="inlineStr">
        <is>
          <t>Jumbo</t>
        </is>
      </c>
      <c r="B1120" s="2" t="n">
        <v>246468</v>
      </c>
      <c r="C1120" s="2" t="n">
        <v>243358</v>
      </c>
      <c r="D1120" s="2" t="inlineStr">
        <is>
          <t>Acondicionador Dove óleo Nutrición 750 Ml</t>
        </is>
      </c>
      <c r="E1120" s="2" t="inlineStr">
        <is>
          <t>DOVE</t>
        </is>
      </c>
      <c r="F1120" s="2" t="n">
        <v>266.25</v>
      </c>
      <c r="G1120" s="2" t="n">
        <v>22004</v>
      </c>
      <c r="H1120" s="2" t="b">
        <v>0</v>
      </c>
      <c r="I1120" s="2" t="n">
        <v>750</v>
      </c>
      <c r="J1120" s="2" t="n">
        <v>0.355</v>
      </c>
      <c r="K1120" s="2" t="inlineStr">
        <is>
          <t>&gt; Perfumería &gt; Cuidado Capilar &gt; Acondicionador &gt;</t>
        </is>
      </c>
      <c r="L1120" s="2" t="inlineStr">
        <is>
          <t>acondicionador</t>
        </is>
      </c>
      <c r="M1120" s="2" t="inlineStr">
        <is>
          <t>estandar</t>
        </is>
      </c>
      <c r="N1120" s="2" t="inlineStr">
        <is>
          <t>general</t>
        </is>
      </c>
      <c r="O1120" s="2" t="inlineStr">
        <is>
          <t>https://www.jumbo.com.ar/acondicionador-dove-oleo-nutricion-750-ml-3/p</t>
        </is>
      </c>
    </row>
    <row r="1121">
      <c r="A1121" t="inlineStr">
        <is>
          <t>Jumbo</t>
        </is>
      </c>
      <c r="B1121" t="n">
        <v>182939</v>
      </c>
      <c r="C1121" t="n">
        <v>204633</v>
      </c>
      <c r="D1121" t="inlineStr">
        <is>
          <t>Acondicionador Pantene Liso Y Sedos 200m</t>
        </is>
      </c>
      <c r="E1121" t="inlineStr">
        <is>
          <t>PANTENE</t>
        </is>
      </c>
      <c r="F1121" t="n">
        <v>5.29</v>
      </c>
      <c r="G1121" t="n">
        <v>5.29</v>
      </c>
      <c r="H1121" t="b">
        <v>0</v>
      </c>
      <c r="I1121" t="inlineStr"/>
      <c r="J1121" t="inlineStr"/>
      <c r="K1121" t="inlineStr">
        <is>
          <t>&gt; Perfumería &gt; Cuidado Capilar &gt; Acondicionador &gt;</t>
        </is>
      </c>
      <c r="L1121" t="inlineStr">
        <is>
          <t>acondicionador</t>
        </is>
      </c>
      <c r="M1121" t="inlineStr">
        <is>
          <t>estandar</t>
        </is>
      </c>
      <c r="N1121" t="inlineStr">
        <is>
          <t>general</t>
        </is>
      </c>
      <c r="O1121" t="inlineStr">
        <is>
          <t>https://www.jumbo.com.ar/acondicionador-pantene-26-193781/p</t>
        </is>
      </c>
    </row>
    <row r="1122">
      <c r="A1122" s="2" t="inlineStr">
        <is>
          <t>Jumbo</t>
        </is>
      </c>
      <c r="B1122" s="2" t="n">
        <v>160643</v>
      </c>
      <c r="C1122" s="2" t="n">
        <v>158193</v>
      </c>
      <c r="D1122" s="2" t="inlineStr">
        <is>
          <t>Acondicionador Comfort Jojoba X  900 Ml.</t>
        </is>
      </c>
      <c r="E1122" s="2" t="inlineStr">
        <is>
          <t>COMFORT</t>
        </is>
      </c>
      <c r="F1122" s="2" t="n">
        <v>6.47</v>
      </c>
      <c r="G1122" s="2" t="n">
        <v>6.47</v>
      </c>
      <c r="H1122" s="2" t="b">
        <v>0</v>
      </c>
      <c r="I1122" s="2" t="n">
        <v>900</v>
      </c>
      <c r="J1122" s="2" t="n">
        <v>0.0072</v>
      </c>
      <c r="K1122" s="2" t="inlineStr">
        <is>
          <t>&gt; Limpieza &gt; Cuidado Para La Ropa &gt; Suavizantes &gt;</t>
        </is>
      </c>
      <c r="L1122" s="2" t="inlineStr">
        <is>
          <t>acondicionador</t>
        </is>
      </c>
      <c r="M1122" s="2" t="inlineStr">
        <is>
          <t>estandar</t>
        </is>
      </c>
      <c r="N1122" s="2" t="inlineStr">
        <is>
          <t>general</t>
        </is>
      </c>
      <c r="O1122" s="2" t="inlineStr">
        <is>
          <t>https://www.jumbo.com.ar/acondicionador-comfort-jojoba-x-900-ml-2/p</t>
        </is>
      </c>
    </row>
    <row r="1123">
      <c r="A1123" t="inlineStr">
        <is>
          <t>Jumbo</t>
        </is>
      </c>
      <c r="B1123" t="n">
        <v>149891</v>
      </c>
      <c r="C1123" t="n">
        <v>146800</v>
      </c>
      <c r="D1123" t="inlineStr">
        <is>
          <t>Acondicionador Tresemmé-rituals-repair-pvc-ml.-400</t>
        </is>
      </c>
      <c r="E1123" t="inlineStr">
        <is>
          <t>TRESEMMÉ</t>
        </is>
      </c>
      <c r="F1123" t="n">
        <v>77.69</v>
      </c>
      <c r="G1123" t="n">
        <v>6421</v>
      </c>
      <c r="H1123" t="b">
        <v>0</v>
      </c>
      <c r="I1123" t="inlineStr"/>
      <c r="J1123" t="inlineStr"/>
      <c r="K1123" t="inlineStr">
        <is>
          <t>&gt; Perfumería &gt; Cuidado Capilar &gt; Acondicionador &gt;</t>
        </is>
      </c>
      <c r="L1123" t="inlineStr">
        <is>
          <t>acondicionador</t>
        </is>
      </c>
      <c r="M1123" t="inlineStr">
        <is>
          <t>profesional</t>
        </is>
      </c>
      <c r="N1123" t="inlineStr">
        <is>
          <t>general</t>
        </is>
      </c>
      <c r="O1123" t="inlineStr">
        <is>
          <t>https://www.jumbo.com.ar/acondicionador-tresemme-rituals-repair-pvc-ml-400-2/p</t>
        </is>
      </c>
    </row>
    <row r="1124">
      <c r="A1124" s="2" t="inlineStr">
        <is>
          <t>Jumbo</t>
        </is>
      </c>
      <c r="B1124" s="2" t="n">
        <v>275416</v>
      </c>
      <c r="C1124" s="2" t="n">
        <v>274712</v>
      </c>
      <c r="D1124" s="2" t="inlineStr">
        <is>
          <t>Acondicionador Head &amp; Shoulders Manzana Fresh</t>
        </is>
      </c>
      <c r="E1124" s="2" t="inlineStr">
        <is>
          <t>HEAD &amp; SHOULDERS</t>
        </is>
      </c>
      <c r="F1124" s="2" t="n">
        <v>208.19</v>
      </c>
      <c r="G1124" s="2" t="n">
        <v>17206</v>
      </c>
      <c r="H1124" s="2" t="b">
        <v>0</v>
      </c>
      <c r="I1124" s="2" t="inlineStr"/>
      <c r="J1124" s="2" t="inlineStr"/>
      <c r="K1124" s="2" t="inlineStr">
        <is>
          <t>&gt; Perfumería &gt; Cuidado Capilar &gt; Acondicionador &gt;</t>
        </is>
      </c>
      <c r="L1124" s="2" t="inlineStr">
        <is>
          <t>acondicionador</t>
        </is>
      </c>
      <c r="M1124" s="2" t="inlineStr">
        <is>
          <t>estandar</t>
        </is>
      </c>
      <c r="N1124" s="2" t="inlineStr">
        <is>
          <t>general</t>
        </is>
      </c>
      <c r="O1124" s="2" t="inlineStr">
        <is>
          <t>https://www.jumbo.com.ar/acondicionador-head-shoulders-manzana-fresh-2/p</t>
        </is>
      </c>
    </row>
    <row r="1125">
      <c r="A1125" t="inlineStr">
        <is>
          <t>Jumbo</t>
        </is>
      </c>
      <c r="B1125" t="n">
        <v>275402</v>
      </c>
      <c r="C1125" t="n">
        <v>274698</v>
      </c>
      <c r="D1125" t="inlineStr">
        <is>
          <t>Acondicionador Head &amp; Shoulders Nutricion Prof</t>
        </is>
      </c>
      <c r="E1125" t="inlineStr">
        <is>
          <t>HEAD &amp; SHOULDERS</t>
        </is>
      </c>
      <c r="F1125" t="n">
        <v>118.99</v>
      </c>
      <c r="G1125" t="n">
        <v>9834</v>
      </c>
      <c r="H1125" t="b">
        <v>0</v>
      </c>
      <c r="I1125" t="inlineStr"/>
      <c r="J1125" t="inlineStr"/>
      <c r="K1125" t="inlineStr">
        <is>
          <t>&gt; Perfumería &gt; Cuidado Capilar &gt; Acondicionador &gt;</t>
        </is>
      </c>
      <c r="L1125" t="inlineStr">
        <is>
          <t>acondicionador</t>
        </is>
      </c>
      <c r="M1125" t="inlineStr">
        <is>
          <t>estandar</t>
        </is>
      </c>
      <c r="N1125" t="inlineStr">
        <is>
          <t>general</t>
        </is>
      </c>
      <c r="O1125" t="inlineStr">
        <is>
          <t>https://www.jumbo.com.ar/acondicionador-head-shoulders-nutricion-prof/p</t>
        </is>
      </c>
    </row>
    <row r="1126">
      <c r="A1126" s="2" t="inlineStr">
        <is>
          <t>Jumbo</t>
        </is>
      </c>
      <c r="B1126" s="2" t="n">
        <v>249731</v>
      </c>
      <c r="C1126" s="2" t="n">
        <v>246722</v>
      </c>
      <c r="D1126" s="2" t="inlineStr">
        <is>
          <t>Tío Nacho Acondicionador Ultrahidratante 415 Ml</t>
        </is>
      </c>
      <c r="E1126" s="2" t="inlineStr">
        <is>
          <t>Tio Nacho</t>
        </is>
      </c>
      <c r="F1126" s="2" t="n">
        <v>839.09</v>
      </c>
      <c r="G1126" s="2" t="n">
        <v>69346</v>
      </c>
      <c r="H1126" s="2" t="b">
        <v>0</v>
      </c>
      <c r="I1126" s="2" t="n">
        <v>415</v>
      </c>
      <c r="J1126" s="2" t="n">
        <v>2.0219</v>
      </c>
      <c r="K1126" s="2" t="inlineStr">
        <is>
          <t>&gt; Perfumería &gt; Cuidado Capilar &gt; Acondicionador &gt;</t>
        </is>
      </c>
      <c r="L1126" s="2" t="inlineStr">
        <is>
          <t>acondicionador</t>
        </is>
      </c>
      <c r="M1126" s="2" t="inlineStr">
        <is>
          <t>estandar</t>
        </is>
      </c>
      <c r="N1126" s="2" t="inlineStr">
        <is>
          <t>seco_danado</t>
        </is>
      </c>
      <c r="O1126" s="2" t="inlineStr">
        <is>
          <t>https://www.jumbo.com.ar/tio-nacho-acondicionador-ultrahidratante-415-ml/p</t>
        </is>
      </c>
    </row>
    <row r="1127">
      <c r="A1127" t="inlineStr">
        <is>
          <t>Jumbo</t>
        </is>
      </c>
      <c r="B1127" t="n">
        <v>247604</v>
      </c>
      <c r="C1127" t="n">
        <v>244285</v>
      </c>
      <c r="D1127" t="inlineStr">
        <is>
          <t>Acondicionador Tresemmé Bajo Poo 3en1 200ml</t>
        </is>
      </c>
      <c r="E1127" t="inlineStr">
        <is>
          <t>TRESEMMÉ</t>
        </is>
      </c>
      <c r="F1127" t="n">
        <v>123.69</v>
      </c>
      <c r="G1127" t="n">
        <v>10222</v>
      </c>
      <c r="H1127" t="b">
        <v>0</v>
      </c>
      <c r="I1127" t="n">
        <v>200</v>
      </c>
      <c r="J1127" t="n">
        <v>0.6183999999999999</v>
      </c>
      <c r="K1127" t="inlineStr">
        <is>
          <t>&gt; Perfumería &gt; Cuidado Capilar &gt; Acondicionador &gt;</t>
        </is>
      </c>
      <c r="L1127" t="inlineStr">
        <is>
          <t>acondicionador</t>
        </is>
      </c>
      <c r="M1127" t="inlineStr">
        <is>
          <t>estandar</t>
        </is>
      </c>
      <c r="N1127" t="inlineStr">
        <is>
          <t>general</t>
        </is>
      </c>
      <c r="O1127" t="inlineStr">
        <is>
          <t>https://www.jumbo.com.ar/acondicionador-tresemme-bajo-poo-3en1-200ml/p</t>
        </is>
      </c>
    </row>
    <row r="1128">
      <c r="A1128" s="2" t="inlineStr">
        <is>
          <t>Jumbo</t>
        </is>
      </c>
      <c r="B1128" s="2" t="n">
        <v>157463</v>
      </c>
      <c r="C1128" s="2" t="n">
        <v>155022</v>
      </c>
      <c r="D1128" s="2" t="inlineStr">
        <is>
          <t>Acondicionador Dove-puntas Reconstruidas-pvc-ml.-200</t>
        </is>
      </c>
      <c r="E1128" s="2" t="inlineStr">
        <is>
          <t>DOVE</t>
        </is>
      </c>
      <c r="F1128" s="2" t="n">
        <v>48.93</v>
      </c>
      <c r="G1128" s="2" t="n">
        <v>4044</v>
      </c>
      <c r="H1128" s="2" t="b">
        <v>0</v>
      </c>
      <c r="I1128" s="2" t="inlineStr"/>
      <c r="J1128" s="2" t="inlineStr"/>
      <c r="K1128" s="2" t="inlineStr">
        <is>
          <t>&gt; Perfumería &gt; Cuidado Capilar &gt; Acondicionador &gt;</t>
        </is>
      </c>
      <c r="L1128" s="2" t="inlineStr">
        <is>
          <t>acondicionador</t>
        </is>
      </c>
      <c r="M1128" s="2" t="inlineStr">
        <is>
          <t>estandar</t>
        </is>
      </c>
      <c r="N1128" s="2" t="inlineStr">
        <is>
          <t>general</t>
        </is>
      </c>
      <c r="O1128" s="2" t="inlineStr">
        <is>
          <t>https://www.jumbo.com.ar/acondicionador-dove-puntas-reconstruidas-pvc-ml-200-2/p</t>
        </is>
      </c>
    </row>
    <row r="1129">
      <c r="A1129" t="inlineStr">
        <is>
          <t>Jumbo</t>
        </is>
      </c>
      <c r="B1129" t="n">
        <v>150037</v>
      </c>
      <c r="C1129" t="n">
        <v>146946</v>
      </c>
      <c r="D1129" t="inlineStr">
        <is>
          <t>Acondicionador Plusbelle Kids-prevención-pvc-ml.-750</t>
        </is>
      </c>
      <c r="E1129" t="inlineStr">
        <is>
          <t>PLUSBELLE</t>
        </is>
      </c>
      <c r="F1129" t="n">
        <v>25.59</v>
      </c>
      <c r="G1129" t="n">
        <v>25.59</v>
      </c>
      <c r="H1129" t="b">
        <v>0</v>
      </c>
      <c r="I1129" t="inlineStr"/>
      <c r="J1129" t="inlineStr"/>
      <c r="K1129" t="inlineStr">
        <is>
          <t>&gt; Mundo Bebe &gt; Higiene para el Bebe &gt; Higiene del Bebé &gt;</t>
        </is>
      </c>
      <c r="L1129" t="inlineStr">
        <is>
          <t>acondicionador</t>
        </is>
      </c>
      <c r="M1129" t="inlineStr">
        <is>
          <t>estandar</t>
        </is>
      </c>
      <c r="N1129" t="inlineStr">
        <is>
          <t>bebe</t>
        </is>
      </c>
      <c r="O1129" t="inlineStr">
        <is>
          <t>https://www.jumbo.com.ar/acondicionador-plusbelle-kids-prevencion-pvc-ml-750/p</t>
        </is>
      </c>
    </row>
    <row r="1130">
      <c r="A1130" s="2" t="inlineStr">
        <is>
          <t>Jumbo</t>
        </is>
      </c>
      <c r="B1130" s="2" t="n">
        <v>149406</v>
      </c>
      <c r="C1130" s="2" t="n">
        <v>146298</v>
      </c>
      <c r="D1130" s="2" t="inlineStr">
        <is>
          <t>Acondicionador Tresemmé-smooth Keratin-pvc-ml.-900</t>
        </is>
      </c>
      <c r="E1130" s="2" t="inlineStr">
        <is>
          <t>TRESEMMÉ</t>
        </is>
      </c>
      <c r="F1130" s="2" t="n">
        <v>49.45</v>
      </c>
      <c r="G1130" s="2" t="n">
        <v>4087</v>
      </c>
      <c r="H1130" s="2" t="b">
        <v>0</v>
      </c>
      <c r="I1130" s="2" t="inlineStr"/>
      <c r="J1130" s="2" t="inlineStr"/>
      <c r="K1130" s="2" t="inlineStr">
        <is>
          <t>&gt; Perfumería &gt; Cuidado Capilar &gt; Acondicionador &gt;</t>
        </is>
      </c>
      <c r="L1130" s="2" t="inlineStr">
        <is>
          <t>acondicionador</t>
        </is>
      </c>
      <c r="M1130" s="2" t="inlineStr">
        <is>
          <t>estandar</t>
        </is>
      </c>
      <c r="N1130" s="2" t="inlineStr">
        <is>
          <t>general</t>
        </is>
      </c>
      <c r="O1130" s="2" t="inlineStr">
        <is>
          <t>https://www.jumbo.com.ar/acondicionador-tresemme-smooth-keratin-pvc-ml-900-2/p</t>
        </is>
      </c>
    </row>
    <row r="1131">
      <c r="A1131" t="inlineStr">
        <is>
          <t>Jumbo</t>
        </is>
      </c>
      <c r="B1131" t="n">
        <v>147391</v>
      </c>
      <c r="C1131" t="n">
        <v>144301</v>
      </c>
      <c r="D1131" t="inlineStr">
        <is>
          <t>Acondicionador Herbal Essences  Paracaídas 300 Ml</t>
        </is>
      </c>
      <c r="E1131" t="inlineStr">
        <is>
          <t>HERBAL ESSENCES</t>
        </is>
      </c>
      <c r="F1131" t="n">
        <v>157.69</v>
      </c>
      <c r="G1131" t="n">
        <v>13032</v>
      </c>
      <c r="H1131" t="b">
        <v>0</v>
      </c>
      <c r="I1131" t="n">
        <v>300</v>
      </c>
      <c r="J1131" t="n">
        <v>0.5256</v>
      </c>
      <c r="K1131" t="inlineStr">
        <is>
          <t>&gt; Perfumería &gt; Cuidado Capilar &gt; Acondicionador &gt;</t>
        </is>
      </c>
      <c r="L1131" t="inlineStr">
        <is>
          <t>acondicionador</t>
        </is>
      </c>
      <c r="M1131" t="inlineStr">
        <is>
          <t>estandar</t>
        </is>
      </c>
      <c r="N1131" t="inlineStr">
        <is>
          <t>general</t>
        </is>
      </c>
      <c r="O1131" t="inlineStr">
        <is>
          <t>https://www.jumbo.com.ar/acondicionador-herbal-essences-paracaidas-300-ml-2/p</t>
        </is>
      </c>
    </row>
    <row r="1132">
      <c r="A1132" s="2" t="inlineStr">
        <is>
          <t>Jumbo</t>
        </is>
      </c>
      <c r="B1132" s="2" t="n">
        <v>146499</v>
      </c>
      <c r="C1132" s="2" t="n">
        <v>143408</v>
      </c>
      <c r="D1132" s="2" t="inlineStr">
        <is>
          <t>Acondicionador Herbal Essences Prolóngalo 670 Ml</t>
        </is>
      </c>
      <c r="E1132" s="2" t="inlineStr">
        <is>
          <t>HERBAL ESSENCES</t>
        </is>
      </c>
      <c r="F1132" s="2" t="n">
        <v>297.99</v>
      </c>
      <c r="G1132" s="2" t="n">
        <v>24627</v>
      </c>
      <c r="H1132" s="2" t="b">
        <v>0</v>
      </c>
      <c r="I1132" s="2" t="n">
        <v>670</v>
      </c>
      <c r="J1132" s="2" t="n">
        <v>0.4448</v>
      </c>
      <c r="K1132" s="2" t="inlineStr">
        <is>
          <t>&gt; Perfumería &gt; Cuidado Capilar &gt; Acondicionador &gt;</t>
        </is>
      </c>
      <c r="L1132" s="2" t="inlineStr">
        <is>
          <t>acondicionador</t>
        </is>
      </c>
      <c r="M1132" s="2" t="inlineStr">
        <is>
          <t>estandar</t>
        </is>
      </c>
      <c r="N1132" s="2" t="inlineStr">
        <is>
          <t>general</t>
        </is>
      </c>
      <c r="O1132" s="2" t="inlineStr">
        <is>
          <t>https://www.jumbo.com.ar/acondicionador-herbal-essences-prolongalo-670-ml-2/p</t>
        </is>
      </c>
    </row>
    <row r="1133">
      <c r="A1133" t="inlineStr">
        <is>
          <t>Jumbo</t>
        </is>
      </c>
      <c r="B1133" t="n">
        <v>130754</v>
      </c>
      <c r="C1133" t="n">
        <v>127682</v>
      </c>
      <c r="D1133" t="inlineStr">
        <is>
          <t>Acondicionador Dove-color Duradero-pvc-ml.-200</t>
        </is>
      </c>
      <c r="E1133" t="inlineStr">
        <is>
          <t>DOVE</t>
        </is>
      </c>
      <c r="F1133" t="n">
        <v>20.59</v>
      </c>
      <c r="G1133" t="n">
        <v>1702</v>
      </c>
      <c r="H1133" t="b">
        <v>0</v>
      </c>
      <c r="I1133" t="inlineStr"/>
      <c r="J1133" t="inlineStr"/>
      <c r="K1133" t="inlineStr">
        <is>
          <t>&gt; Perfumería &gt; Cuidado Capilar &gt; Acondicionador &gt;</t>
        </is>
      </c>
      <c r="L1133" t="inlineStr">
        <is>
          <t>acondicionador</t>
        </is>
      </c>
      <c r="M1133" t="inlineStr">
        <is>
          <t>estandar</t>
        </is>
      </c>
      <c r="N1133" t="inlineStr">
        <is>
          <t>tratado</t>
        </is>
      </c>
      <c r="O1133" t="inlineStr">
        <is>
          <t>https://www.jumbo.com.ar/acondicionador-dove-color-duradero-pvc-ml-200/p</t>
        </is>
      </c>
    </row>
    <row r="1134">
      <c r="A1134" s="2" t="inlineStr">
        <is>
          <t>Jumbo</t>
        </is>
      </c>
      <c r="B1134" s="2" t="n">
        <v>130744</v>
      </c>
      <c r="C1134" s="2" t="n">
        <v>127673</v>
      </c>
      <c r="D1134" s="2" t="inlineStr">
        <is>
          <t>Acondicionador Dove-hidratación Intensa-pet-ml.-200</t>
        </is>
      </c>
      <c r="E1134" s="2" t="inlineStr">
        <is>
          <t>DOVE</t>
        </is>
      </c>
      <c r="F1134" s="2" t="n">
        <v>20.59</v>
      </c>
      <c r="G1134" s="2" t="n">
        <v>1702</v>
      </c>
      <c r="H1134" s="2" t="b">
        <v>0</v>
      </c>
      <c r="I1134" s="2" t="inlineStr"/>
      <c r="J1134" s="2" t="inlineStr"/>
      <c r="K1134" s="2" t="inlineStr">
        <is>
          <t>&gt; Perfumería &gt; Cuidado Capilar &gt; Acondicionador &gt;</t>
        </is>
      </c>
      <c r="L1134" s="2" t="inlineStr">
        <is>
          <t>acondicionador</t>
        </is>
      </c>
      <c r="M1134" s="2" t="inlineStr">
        <is>
          <t>estandar</t>
        </is>
      </c>
      <c r="N1134" s="2" t="inlineStr">
        <is>
          <t>seco_danado</t>
        </is>
      </c>
      <c r="O1134" s="2" t="inlineStr">
        <is>
          <t>https://www.jumbo.com.ar/acondicionador-dove-hidratacion-intensa-pet-ml-200/p</t>
        </is>
      </c>
    </row>
    <row r="1135">
      <c r="A1135" t="inlineStr">
        <is>
          <t>Jumbo</t>
        </is>
      </c>
      <c r="B1135" t="n">
        <v>130731</v>
      </c>
      <c r="C1135" t="n">
        <v>127660</v>
      </c>
      <c r="D1135" t="inlineStr">
        <is>
          <t>Acondicionador Dove-control Caida-pvc-ml.-200</t>
        </is>
      </c>
      <c r="E1135" t="inlineStr">
        <is>
          <t>DOVE</t>
        </is>
      </c>
      <c r="F1135" t="n">
        <v>20.59</v>
      </c>
      <c r="G1135" t="n">
        <v>1702</v>
      </c>
      <c r="H1135" t="b">
        <v>0</v>
      </c>
      <c r="I1135" t="inlineStr"/>
      <c r="J1135" t="inlineStr"/>
      <c r="K1135" t="inlineStr">
        <is>
          <t>&gt; Perfumería &gt; Cuidado Capilar &gt; Acondicionador &gt;</t>
        </is>
      </c>
      <c r="L1135" t="inlineStr">
        <is>
          <t>acondicionador</t>
        </is>
      </c>
      <c r="M1135" t="inlineStr">
        <is>
          <t>estandar</t>
        </is>
      </c>
      <c r="N1135" t="inlineStr">
        <is>
          <t>general</t>
        </is>
      </c>
      <c r="O1135" t="inlineStr">
        <is>
          <t>https://www.jumbo.com.ar/acondicionador-dove-control-caida-pvc-ml-200/p</t>
        </is>
      </c>
    </row>
    <row r="1136">
      <c r="A1136" s="2" t="inlineStr">
        <is>
          <t>Jumbo</t>
        </is>
      </c>
      <c r="B1136" s="2" t="n">
        <v>130638</v>
      </c>
      <c r="C1136" s="2" t="n">
        <v>127570</v>
      </c>
      <c r="D1136" s="2" t="inlineStr">
        <is>
          <t>Acondicionador Pantene Fusión Naturaleza 400 Ml</t>
        </is>
      </c>
      <c r="E1136" s="2" t="inlineStr">
        <is>
          <t>PANTENE</t>
        </is>
      </c>
      <c r="F1136" s="2" t="n">
        <v>48.79</v>
      </c>
      <c r="G1136" s="2" t="n">
        <v>4032</v>
      </c>
      <c r="H1136" s="2" t="b">
        <v>0</v>
      </c>
      <c r="I1136" s="2" t="n">
        <v>400</v>
      </c>
      <c r="J1136" s="2" t="n">
        <v>0.122</v>
      </c>
      <c r="K1136" s="2" t="inlineStr">
        <is>
          <t>&gt; Perfumería &gt; Cuidado Capilar &gt; Acondicionador &gt;</t>
        </is>
      </c>
      <c r="L1136" s="2" t="inlineStr">
        <is>
          <t>acondicionador</t>
        </is>
      </c>
      <c r="M1136" s="2" t="inlineStr">
        <is>
          <t>estandar</t>
        </is>
      </c>
      <c r="N1136" s="2" t="inlineStr">
        <is>
          <t>general</t>
        </is>
      </c>
      <c r="O1136" s="2" t="inlineStr">
        <is>
          <t>https://www.jumbo.com.ar/acondicionador-pantene-fusion-naturaleza-400-ml/p</t>
        </is>
      </c>
    </row>
    <row r="1137">
      <c r="A1137" t="inlineStr">
        <is>
          <t>Jumbo</t>
        </is>
      </c>
      <c r="B1137" t="n">
        <v>130631</v>
      </c>
      <c r="C1137" t="n">
        <v>127560</v>
      </c>
      <c r="D1137" t="inlineStr">
        <is>
          <t>Acondicionador Pantene Fusión Naturaleza 200 Ml</t>
        </is>
      </c>
      <c r="E1137" t="inlineStr">
        <is>
          <t>PANTENE</t>
        </is>
      </c>
      <c r="F1137" t="n">
        <v>21.33</v>
      </c>
      <c r="G1137" t="n">
        <v>1763</v>
      </c>
      <c r="H1137" t="b">
        <v>0</v>
      </c>
      <c r="I1137" t="n">
        <v>200</v>
      </c>
      <c r="J1137" t="n">
        <v>0.1066</v>
      </c>
      <c r="K1137" t="inlineStr">
        <is>
          <t>&gt; Perfumería &gt; Cuidado Capilar &gt; Acondicionador &gt;</t>
        </is>
      </c>
      <c r="L1137" t="inlineStr">
        <is>
          <t>acondicionador</t>
        </is>
      </c>
      <c r="M1137" t="inlineStr">
        <is>
          <t>estandar</t>
        </is>
      </c>
      <c r="N1137" t="inlineStr">
        <is>
          <t>general</t>
        </is>
      </c>
      <c r="O1137" t="inlineStr">
        <is>
          <t>https://www.jumbo.com.ar/acondicionador-pantene-fusion-naturaleza-200-ml-2/p</t>
        </is>
      </c>
    </row>
    <row r="1138">
      <c r="A1138" s="2" t="inlineStr">
        <is>
          <t>Jumbo</t>
        </is>
      </c>
      <c r="B1138" s="2" t="n">
        <v>130579</v>
      </c>
      <c r="C1138" s="2" t="n">
        <v>127508</v>
      </c>
      <c r="D1138" s="2" t="inlineStr">
        <is>
          <t>Acondicionador Pantene Fusión Naturaleza 200 Ml</t>
        </is>
      </c>
      <c r="E1138" s="2" t="inlineStr">
        <is>
          <t>PANTENE</t>
        </is>
      </c>
      <c r="F1138" s="2" t="n">
        <v>21.33</v>
      </c>
      <c r="G1138" s="2" t="n">
        <v>1763</v>
      </c>
      <c r="H1138" s="2" t="b">
        <v>0</v>
      </c>
      <c r="I1138" s="2" t="n">
        <v>200</v>
      </c>
      <c r="J1138" s="2" t="n">
        <v>0.1066</v>
      </c>
      <c r="K1138" s="2" t="inlineStr">
        <is>
          <t>&gt; Perfumería &gt; Cuidado Capilar &gt; Acondicionador &gt;</t>
        </is>
      </c>
      <c r="L1138" s="2" t="inlineStr">
        <is>
          <t>acondicionador</t>
        </is>
      </c>
      <c r="M1138" s="2" t="inlineStr">
        <is>
          <t>estandar</t>
        </is>
      </c>
      <c r="N1138" s="2" t="inlineStr">
        <is>
          <t>general</t>
        </is>
      </c>
      <c r="O1138" s="2" t="inlineStr">
        <is>
          <t>https://www.jumbo.com.ar/acondicionador-pantene-fusion-naturaleza-200-ml/p</t>
        </is>
      </c>
    </row>
    <row r="1139">
      <c r="A1139" t="inlineStr">
        <is>
          <t>Jumbo</t>
        </is>
      </c>
      <c r="B1139" t="n">
        <v>92910</v>
      </c>
      <c r="C1139" t="n">
        <v>90238</v>
      </c>
      <c r="D1139" t="inlineStr">
        <is>
          <t>Acondicionador Tresemmé Climate-control-pet-ml.-400</t>
        </is>
      </c>
      <c r="E1139" t="inlineStr">
        <is>
          <t>TRESEMMÉ</t>
        </is>
      </c>
      <c r="F1139" t="n">
        <v>77.69</v>
      </c>
      <c r="G1139" t="n">
        <v>6421</v>
      </c>
      <c r="H1139" t="b">
        <v>0</v>
      </c>
      <c r="I1139" t="inlineStr"/>
      <c r="J1139" t="inlineStr"/>
      <c r="K1139" t="inlineStr">
        <is>
          <t>&gt; Perfumería &gt; Cuidado Capilar &gt; Acondicionador &gt;</t>
        </is>
      </c>
      <c r="L1139" t="inlineStr">
        <is>
          <t>acondicionador</t>
        </is>
      </c>
      <c r="M1139" t="inlineStr">
        <is>
          <t>estandar</t>
        </is>
      </c>
      <c r="N1139" t="inlineStr">
        <is>
          <t>general</t>
        </is>
      </c>
      <c r="O1139" t="inlineStr">
        <is>
          <t>https://www.jumbo.com.ar/acondicionador-tresemme-climate-control-pet-ml-400/p</t>
        </is>
      </c>
    </row>
    <row r="1140">
      <c r="A1140" s="2" t="inlineStr">
        <is>
          <t>Jumbo</t>
        </is>
      </c>
      <c r="B1140" s="2" t="n">
        <v>91739</v>
      </c>
      <c r="C1140" s="2" t="n">
        <v>89067</v>
      </c>
      <c r="D1140" s="2" t="inlineStr">
        <is>
          <t>Acondicionador Tresemmé-split Remedy-pvc-ml.-400</t>
        </is>
      </c>
      <c r="E1140" s="2" t="inlineStr">
        <is>
          <t>TRESEMMÉ</t>
        </is>
      </c>
      <c r="F1140" s="2" t="n">
        <v>51.87</v>
      </c>
      <c r="G1140" s="2" t="n">
        <v>4287</v>
      </c>
      <c r="H1140" s="2" t="b">
        <v>0</v>
      </c>
      <c r="I1140" s="2" t="inlineStr"/>
      <c r="J1140" s="2" t="inlineStr"/>
      <c r="K1140" s="2" t="inlineStr">
        <is>
          <t>&gt; Perfumería &gt; Cuidado Capilar &gt; Acondicionador &gt;</t>
        </is>
      </c>
      <c r="L1140" s="2" t="inlineStr">
        <is>
          <t>acondicionador</t>
        </is>
      </c>
      <c r="M1140" s="2" t="inlineStr">
        <is>
          <t>estandar</t>
        </is>
      </c>
      <c r="N1140" s="2" t="inlineStr">
        <is>
          <t>general</t>
        </is>
      </c>
      <c r="O1140" s="2" t="inlineStr">
        <is>
          <t>https://www.jumbo.com.ar/acondicionador-tresemme-split-remedy-pvc-ml-400/p</t>
        </is>
      </c>
    </row>
    <row r="1141">
      <c r="A1141" t="inlineStr">
        <is>
          <t>Jumbo</t>
        </is>
      </c>
      <c r="B1141" t="n">
        <v>65272</v>
      </c>
      <c r="C1141" t="n">
        <v>62422</v>
      </c>
      <c r="D1141" t="inlineStr">
        <is>
          <t>Acondicionador Aquamarine  Natural Pvc 930 Ml</t>
        </is>
      </c>
      <c r="E1141" t="inlineStr">
        <is>
          <t>AQUAMARINE</t>
        </is>
      </c>
      <c r="F1141" t="n">
        <v>6.8</v>
      </c>
      <c r="G1141" t="n">
        <v>6.8</v>
      </c>
      <c r="H1141" t="b">
        <v>0</v>
      </c>
      <c r="I1141" t="n">
        <v>930</v>
      </c>
      <c r="J1141" t="n">
        <v>0.0073</v>
      </c>
      <c r="K1141" t="inlineStr">
        <is>
          <t>&gt; Perfumería &gt; Cuidado Capilar &gt; Acondicionador &gt;</t>
        </is>
      </c>
      <c r="L1141" t="inlineStr">
        <is>
          <t>acondicionador</t>
        </is>
      </c>
      <c r="M1141" t="inlineStr">
        <is>
          <t>estandar</t>
        </is>
      </c>
      <c r="N1141" t="inlineStr">
        <is>
          <t>general</t>
        </is>
      </c>
      <c r="O1141" t="inlineStr">
        <is>
          <t>https://www.jumbo.com.ar/acondicionador-aquamarine-natural-pvc-930-ml/p</t>
        </is>
      </c>
    </row>
    <row r="1142">
      <c r="A1142" s="2" t="inlineStr">
        <is>
          <t>Jumbo</t>
        </is>
      </c>
      <c r="B1142" s="2" t="n">
        <v>62552</v>
      </c>
      <c r="C1142" s="2" t="n">
        <v>59701</v>
      </c>
      <c r="D1142" s="2" t="inlineStr">
        <is>
          <t>Acondicionador Flex Cosmético X 250 Ml</t>
        </is>
      </c>
      <c r="E1142" s="2" t="inlineStr">
        <is>
          <t>FLEX</t>
        </is>
      </c>
      <c r="F1142" s="2" t="n">
        <v>5.45</v>
      </c>
      <c r="G1142" s="2" t="n">
        <v>5.45</v>
      </c>
      <c r="H1142" s="2" t="b">
        <v>0</v>
      </c>
      <c r="I1142" s="2" t="n">
        <v>250</v>
      </c>
      <c r="J1142" s="2" t="n">
        <v>0.0218</v>
      </c>
      <c r="K1142" s="2" t="inlineStr">
        <is>
          <t>&gt; Perfumería &gt; Cuidado Capilar &gt; Acondicionador &gt;</t>
        </is>
      </c>
      <c r="L1142" s="2" t="inlineStr">
        <is>
          <t>acondicionador</t>
        </is>
      </c>
      <c r="M1142" s="2" t="inlineStr">
        <is>
          <t>estandar</t>
        </is>
      </c>
      <c r="N1142" s="2" t="inlineStr">
        <is>
          <t>general</t>
        </is>
      </c>
      <c r="O1142" s="2" t="inlineStr">
        <is>
          <t>https://www.jumbo.com.ar/acondicionador-flex-cosmetico-x-250-ml-3/p</t>
        </is>
      </c>
    </row>
    <row r="1143">
      <c r="A1143" t="inlineStr">
        <is>
          <t>Jumbo</t>
        </is>
      </c>
      <c r="B1143" t="n">
        <v>57743</v>
      </c>
      <c r="C1143" t="n">
        <v>54900</v>
      </c>
      <c r="D1143" t="inlineStr">
        <is>
          <t>Acondicionador Sedal Ceramidas Pvc 350 Ml</t>
        </is>
      </c>
      <c r="E1143" t="inlineStr">
        <is>
          <t>SEDAL</t>
        </is>
      </c>
      <c r="F1143" t="n">
        <v>8.390000000000001</v>
      </c>
      <c r="G1143" t="n">
        <v>8.390000000000001</v>
      </c>
      <c r="H1143" t="b">
        <v>0</v>
      </c>
      <c r="I1143" t="n">
        <v>350</v>
      </c>
      <c r="J1143" t="n">
        <v>0.024</v>
      </c>
      <c r="K1143" t="inlineStr">
        <is>
          <t>&gt; Perfumería &gt; Cuidado Capilar &gt; Acondicionador &gt;</t>
        </is>
      </c>
      <c r="L1143" t="inlineStr">
        <is>
          <t>acondicionador</t>
        </is>
      </c>
      <c r="M1143" t="inlineStr">
        <is>
          <t>estandar</t>
        </is>
      </c>
      <c r="N1143" t="inlineStr">
        <is>
          <t>general</t>
        </is>
      </c>
      <c r="O1143" t="inlineStr">
        <is>
          <t>https://www.jumbo.com.ar/acondicionador-sedal-ceramidas-pvc-350-ml/p</t>
        </is>
      </c>
    </row>
    <row r="1144">
      <c r="A1144" s="2" t="inlineStr">
        <is>
          <t>Jumbo</t>
        </is>
      </c>
      <c r="B1144" s="2" t="n">
        <v>56340</v>
      </c>
      <c r="C1144" s="2" t="n">
        <v>53498</v>
      </c>
      <c r="D1144" s="2" t="inlineStr">
        <is>
          <t>Acondicionador P/cabello Babelito-pvc-ml.-500</t>
        </is>
      </c>
      <c r="E1144" s="2" t="inlineStr">
        <is>
          <t>BABELITO</t>
        </is>
      </c>
      <c r="F1144" s="2" t="n">
        <v>33.57</v>
      </c>
      <c r="G1144" s="2" t="n">
        <v>33.57</v>
      </c>
      <c r="H1144" s="2" t="b">
        <v>0</v>
      </c>
      <c r="I1144" s="2" t="inlineStr"/>
      <c r="J1144" s="2" t="inlineStr"/>
      <c r="K1144" s="2" t="inlineStr">
        <is>
          <t>&gt; Mundo Bebe &gt; Higiene para el Bebe &gt; Higiene del Bebé &gt;</t>
        </is>
      </c>
      <c r="L1144" s="2" t="inlineStr">
        <is>
          <t>acondicionador</t>
        </is>
      </c>
      <c r="M1144" s="2" t="inlineStr">
        <is>
          <t>estandar</t>
        </is>
      </c>
      <c r="N1144" s="2" t="inlineStr">
        <is>
          <t>general</t>
        </is>
      </c>
      <c r="O1144" s="2" t="inlineStr">
        <is>
          <t>https://www.jumbo.com.ar/acondicionador-p-cabello-babelito-pvc-ml-500/p</t>
        </is>
      </c>
    </row>
    <row r="1145">
      <c r="A1145" t="inlineStr">
        <is>
          <t>Jumbo</t>
        </is>
      </c>
      <c r="B1145" t="n">
        <v>55775</v>
      </c>
      <c r="C1145" t="n">
        <v>52933</v>
      </c>
      <c r="D1145" t="inlineStr">
        <is>
          <t>Acondicionador Pantene Frizz Control 400 Ml</t>
        </is>
      </c>
      <c r="E1145" t="inlineStr">
        <is>
          <t>PANTENE</t>
        </is>
      </c>
      <c r="F1145" t="n">
        <v>29.59</v>
      </c>
      <c r="G1145" t="n">
        <v>2445</v>
      </c>
      <c r="H1145" t="b">
        <v>0</v>
      </c>
      <c r="I1145" t="n">
        <v>400</v>
      </c>
      <c r="J1145" t="n">
        <v>0.074</v>
      </c>
      <c r="K1145" t="inlineStr">
        <is>
          <t>&gt; Perfumería &gt; Cuidado Capilar &gt; Acondicionador &gt;</t>
        </is>
      </c>
      <c r="L1145" t="inlineStr">
        <is>
          <t>acondicionador</t>
        </is>
      </c>
      <c r="M1145" t="inlineStr">
        <is>
          <t>estandar</t>
        </is>
      </c>
      <c r="N1145" t="inlineStr">
        <is>
          <t>general</t>
        </is>
      </c>
      <c r="O1145" t="inlineStr">
        <is>
          <t>https://www.jumbo.com.ar/acondicionador-pantene-frizz-control-400-ml/p</t>
        </is>
      </c>
    </row>
    <row r="1146">
      <c r="A1146" s="2" t="inlineStr">
        <is>
          <t>Jumbo</t>
        </is>
      </c>
      <c r="B1146" s="2" t="n">
        <v>55361</v>
      </c>
      <c r="C1146" s="2" t="n">
        <v>52520</v>
      </c>
      <c r="D1146" s="2" t="inlineStr">
        <is>
          <t>Acondicionador Sedal Lissage Pvc 420 Ml.</t>
        </is>
      </c>
      <c r="E1146" s="2" t="inlineStr">
        <is>
          <t>SEDAL</t>
        </is>
      </c>
      <c r="F1146" s="2" t="n">
        <v>8.390000000000001</v>
      </c>
      <c r="G1146" s="2" t="n">
        <v>8.390000000000001</v>
      </c>
      <c r="H1146" s="2" t="b">
        <v>0</v>
      </c>
      <c r="I1146" s="2" t="n">
        <v>420</v>
      </c>
      <c r="J1146" s="2" t="n">
        <v>0.02</v>
      </c>
      <c r="K1146" s="2" t="inlineStr">
        <is>
          <t>&gt; Perfumería &gt; Cuidado Capilar &gt; Acondicionador &gt;</t>
        </is>
      </c>
      <c r="L1146" s="2" t="inlineStr">
        <is>
          <t>acondicionador</t>
        </is>
      </c>
      <c r="M1146" s="2" t="inlineStr">
        <is>
          <t>estandar</t>
        </is>
      </c>
      <c r="N1146" s="2" t="inlineStr">
        <is>
          <t>general</t>
        </is>
      </c>
      <c r="O1146" s="2" t="inlineStr">
        <is>
          <t>https://www.jumbo.com.ar/acondicionador-sedal-lissage-pvc-420-ml/p</t>
        </is>
      </c>
    </row>
    <row r="1147">
      <c r="A1147" t="inlineStr">
        <is>
          <t>Jumbo</t>
        </is>
      </c>
      <c r="B1147" t="n">
        <v>48953</v>
      </c>
      <c r="C1147" t="n">
        <v>46117</v>
      </c>
      <c r="D1147" t="inlineStr">
        <is>
          <t>Spray Fijador Vo5 Acondicionador 412 Ml</t>
        </is>
      </c>
      <c r="E1147" t="inlineStr">
        <is>
          <t>VO5</t>
        </is>
      </c>
      <c r="F1147" t="n">
        <v>197.84</v>
      </c>
      <c r="G1147" t="n">
        <v>16350</v>
      </c>
      <c r="H1147" t="b">
        <v>0</v>
      </c>
      <c r="I1147" t="n">
        <v>412</v>
      </c>
      <c r="J1147" t="n">
        <v>0.4802</v>
      </c>
      <c r="K1147" t="inlineStr">
        <is>
          <t>&gt; Perfumería &gt; Cuidado Capilar &gt; Fijación &gt;</t>
        </is>
      </c>
      <c r="L1147" t="inlineStr">
        <is>
          <t>acondicionador</t>
        </is>
      </c>
      <c r="M1147" t="inlineStr">
        <is>
          <t>estandar</t>
        </is>
      </c>
      <c r="N1147" t="inlineStr">
        <is>
          <t>general</t>
        </is>
      </c>
      <c r="O1147" t="inlineStr">
        <is>
          <t>https://www.jumbo.com.ar/spray-fijador-vo5-acondicionador-412-ml/p</t>
        </is>
      </c>
    </row>
    <row r="1148">
      <c r="A1148" s="2" t="inlineStr">
        <is>
          <t>Jumbo</t>
        </is>
      </c>
      <c r="B1148" s="2" t="n">
        <v>46930</v>
      </c>
      <c r="C1148" s="2" t="n">
        <v>44094</v>
      </c>
      <c r="D1148" s="2" t="inlineStr">
        <is>
          <t>Acondicionador Pantene Pro-v Hidratación 750ml</t>
        </is>
      </c>
      <c r="E1148" s="2" t="inlineStr">
        <is>
          <t>PANTENE</t>
        </is>
      </c>
      <c r="F1148" s="2" t="n">
        <v>457.55</v>
      </c>
      <c r="G1148" s="2" t="n">
        <v>37814</v>
      </c>
      <c r="H1148" s="2" t="b">
        <v>0</v>
      </c>
      <c r="I1148" s="2" t="n">
        <v>750</v>
      </c>
      <c r="J1148" s="2" t="n">
        <v>0.6101</v>
      </c>
      <c r="K1148" s="2" t="inlineStr">
        <is>
          <t>&gt; Perfumería &gt; Cuidado Capilar &gt; Acondicionador &gt;</t>
        </is>
      </c>
      <c r="L1148" s="2" t="inlineStr">
        <is>
          <t>acondicionador</t>
        </is>
      </c>
      <c r="M1148" s="2" t="inlineStr">
        <is>
          <t>profesional</t>
        </is>
      </c>
      <c r="N1148" s="2" t="inlineStr">
        <is>
          <t>seco_danado</t>
        </is>
      </c>
      <c r="O1148" s="2" t="inlineStr">
        <is>
          <t>https://www.jumbo.com.ar/acondicionador-pantene-pro-v-hidratacion-750ml/p</t>
        </is>
      </c>
    </row>
    <row r="1149">
      <c r="A1149" t="inlineStr">
        <is>
          <t>Jumbo</t>
        </is>
      </c>
      <c r="B1149" t="n">
        <v>46648</v>
      </c>
      <c r="C1149" t="n">
        <v>43813</v>
      </c>
      <c r="D1149" t="inlineStr">
        <is>
          <t>Acondicionador Capilatis Dermo Protector 420 Ml</t>
        </is>
      </c>
      <c r="E1149" t="inlineStr">
        <is>
          <t>CAPILATIS</t>
        </is>
      </c>
      <c r="F1149" t="n">
        <v>105.19</v>
      </c>
      <c r="G1149" t="n">
        <v>8693</v>
      </c>
      <c r="H1149" t="b">
        <v>0</v>
      </c>
      <c r="I1149" t="n">
        <v>420</v>
      </c>
      <c r="J1149" t="n">
        <v>0.2505</v>
      </c>
      <c r="K1149" t="inlineStr">
        <is>
          <t>&gt; Perfumería &gt; Cuidado Capilar &gt; Acondicionador &gt;</t>
        </is>
      </c>
      <c r="L1149" t="inlineStr">
        <is>
          <t>acondicionador</t>
        </is>
      </c>
      <c r="M1149" t="inlineStr">
        <is>
          <t>estandar</t>
        </is>
      </c>
      <c r="N1149" t="inlineStr">
        <is>
          <t>general</t>
        </is>
      </c>
      <c r="O1149" t="inlineStr">
        <is>
          <t>https://www.jumbo.com.ar/acondicionador-capilatis-dermo-protector-420-ml/p</t>
        </is>
      </c>
    </row>
    <row r="1150">
      <c r="A1150" s="2" t="inlineStr">
        <is>
          <t>Jumbo</t>
        </is>
      </c>
      <c r="B1150" s="2" t="n">
        <v>43504</v>
      </c>
      <c r="C1150" s="2" t="n">
        <v>40675</v>
      </c>
      <c r="D1150" s="2" t="inlineStr">
        <is>
          <t>Acondicionador Dove Protección Térmica 750 Ml</t>
        </is>
      </c>
      <c r="E1150" s="2" t="inlineStr">
        <is>
          <t>DOVE</t>
        </is>
      </c>
      <c r="F1150" s="2" t="n">
        <v>190.39</v>
      </c>
      <c r="G1150" s="2" t="n">
        <v>15735</v>
      </c>
      <c r="H1150" s="2" t="b">
        <v>0</v>
      </c>
      <c r="I1150" s="2" t="n">
        <v>750</v>
      </c>
      <c r="J1150" s="2" t="n">
        <v>0.2539</v>
      </c>
      <c r="K1150" s="2" t="inlineStr">
        <is>
          <t>&gt; Perfumería &gt; Cuidado Capilar &gt; Acondicionador &gt;</t>
        </is>
      </c>
      <c r="L1150" s="2" t="inlineStr">
        <is>
          <t>acondicionador</t>
        </is>
      </c>
      <c r="M1150" s="2" t="inlineStr">
        <is>
          <t>estandar</t>
        </is>
      </c>
      <c r="N1150" s="2" t="inlineStr">
        <is>
          <t>general</t>
        </is>
      </c>
      <c r="O1150" s="2" t="inlineStr">
        <is>
          <t>https://www.jumbo.com.ar/acondicionador-dove-proteccion-termica-750-ml/p</t>
        </is>
      </c>
    </row>
    <row r="1151">
      <c r="A1151" t="inlineStr">
        <is>
          <t>Jumbo</t>
        </is>
      </c>
      <c r="B1151" t="n">
        <v>43346</v>
      </c>
      <c r="C1151" t="n">
        <v>40518</v>
      </c>
      <c r="D1151" t="inlineStr">
        <is>
          <t>Acondicionador Tresemme Blindaje Platinium 750 Ml</t>
        </is>
      </c>
      <c r="E1151" t="inlineStr">
        <is>
          <t>TRESEMMÉ</t>
        </is>
      </c>
      <c r="F1151" t="n">
        <v>538.59</v>
      </c>
      <c r="G1151" t="n">
        <v>44512</v>
      </c>
      <c r="H1151" t="b">
        <v>0</v>
      </c>
      <c r="I1151" t="n">
        <v>750</v>
      </c>
      <c r="J1151" t="n">
        <v>0.7181</v>
      </c>
      <c r="K1151" t="inlineStr">
        <is>
          <t>&gt; Perfumería &gt; Cuidado Capilar &gt; Acondicionador &gt;</t>
        </is>
      </c>
      <c r="L1151" t="inlineStr">
        <is>
          <t>acondicionador</t>
        </is>
      </c>
      <c r="M1151" t="inlineStr">
        <is>
          <t>estandar</t>
        </is>
      </c>
      <c r="N1151" t="inlineStr">
        <is>
          <t>general</t>
        </is>
      </c>
      <c r="O1151" t="inlineStr">
        <is>
          <t>https://www.jumbo.com.ar/acondicionador-tresemme-blindaje-platinium-750-ml/p</t>
        </is>
      </c>
    </row>
    <row r="1152">
      <c r="A1152" s="2" t="inlineStr">
        <is>
          <t>Jumbo</t>
        </is>
      </c>
      <c r="B1152" s="2" t="n">
        <v>42959</v>
      </c>
      <c r="C1152" s="2" t="n">
        <v>40130</v>
      </c>
      <c r="D1152" s="2" t="inlineStr">
        <is>
          <t>Acondicionador Plusbelle Puntas Nutridas 1 L</t>
        </is>
      </c>
      <c r="E1152" s="2" t="inlineStr">
        <is>
          <t>PLUSBELLE</t>
        </is>
      </c>
      <c r="F1152" s="2" t="n">
        <v>155.65</v>
      </c>
      <c r="G1152" s="2" t="n">
        <v>12864</v>
      </c>
      <c r="H1152" s="2" t="b">
        <v>0</v>
      </c>
      <c r="I1152" s="2" t="n">
        <v>1000</v>
      </c>
      <c r="J1152" s="2" t="n">
        <v>0.1557</v>
      </c>
      <c r="K1152" s="2" t="inlineStr">
        <is>
          <t>&gt; Perfumería &gt; Cuidado Capilar &gt; Acondicionador &gt;</t>
        </is>
      </c>
      <c r="L1152" s="2" t="inlineStr">
        <is>
          <t>acondicionador</t>
        </is>
      </c>
      <c r="M1152" s="2" t="inlineStr">
        <is>
          <t>estandar</t>
        </is>
      </c>
      <c r="N1152" s="2" t="inlineStr">
        <is>
          <t>general</t>
        </is>
      </c>
      <c r="O1152" s="2" t="inlineStr">
        <is>
          <t>https://www.jumbo.com.ar/acondicionador-plusbelle-puntas-nutridas-1-l/p</t>
        </is>
      </c>
    </row>
    <row r="1153">
      <c r="A1153" t="inlineStr">
        <is>
          <t>Jumbo</t>
        </is>
      </c>
      <c r="B1153" t="n">
        <v>42900</v>
      </c>
      <c r="C1153" t="n">
        <v>40071</v>
      </c>
      <c r="D1153" t="inlineStr">
        <is>
          <t>Acondicionador Dove Post Alisado 200 Ml</t>
        </is>
      </c>
      <c r="E1153" t="inlineStr">
        <is>
          <t>DOVE</t>
        </is>
      </c>
      <c r="F1153" t="n">
        <v>108.53</v>
      </c>
      <c r="G1153" t="n">
        <v>8969</v>
      </c>
      <c r="H1153" t="b">
        <v>0</v>
      </c>
      <c r="I1153" t="n">
        <v>200</v>
      </c>
      <c r="J1153" t="n">
        <v>0.5426</v>
      </c>
      <c r="K1153" t="inlineStr">
        <is>
          <t>&gt; Perfumería &gt; Cuidado Capilar &gt; Acondicionador &gt;</t>
        </is>
      </c>
      <c r="L1153" t="inlineStr">
        <is>
          <t>acondicionador</t>
        </is>
      </c>
      <c r="M1153" t="inlineStr">
        <is>
          <t>estandar</t>
        </is>
      </c>
      <c r="N1153" t="inlineStr">
        <is>
          <t>tratado</t>
        </is>
      </c>
      <c r="O1153" t="inlineStr">
        <is>
          <t>https://www.jumbo.com.ar/acondicionador-dove-post-alisado-200-ml/p</t>
        </is>
      </c>
    </row>
    <row r="1154">
      <c r="A1154" s="2" t="inlineStr">
        <is>
          <t>Jumbo</t>
        </is>
      </c>
      <c r="B1154" s="2" t="n">
        <v>42850</v>
      </c>
      <c r="C1154" s="2" t="n">
        <v>40021</v>
      </c>
      <c r="D1154" s="2" t="inlineStr">
        <is>
          <t>Acondicionador Pantene Reparación Rejuvenecedora 200 Ml</t>
        </is>
      </c>
      <c r="E1154" s="2" t="inlineStr">
        <is>
          <t>PANTENE</t>
        </is>
      </c>
      <c r="F1154" s="2" t="n">
        <v>42.77</v>
      </c>
      <c r="G1154" s="2" t="n">
        <v>3535</v>
      </c>
      <c r="H1154" s="2" t="b">
        <v>0</v>
      </c>
      <c r="I1154" s="2" t="n">
        <v>200</v>
      </c>
      <c r="J1154" s="2" t="n">
        <v>0.2139</v>
      </c>
      <c r="K1154" s="2" t="inlineStr">
        <is>
          <t>&gt; Perfumería &gt; Cuidado Capilar &gt; Acondicionador &gt;</t>
        </is>
      </c>
      <c r="L1154" s="2" t="inlineStr">
        <is>
          <t>acondicionador</t>
        </is>
      </c>
      <c r="M1154" s="2" t="inlineStr">
        <is>
          <t>estandar</t>
        </is>
      </c>
      <c r="N1154" s="2" t="inlineStr">
        <is>
          <t>general</t>
        </is>
      </c>
      <c r="O1154" s="2" t="inlineStr">
        <is>
          <t>https://www.jumbo.com.ar/acondicionador-pantene-reparacion-rejuvenecedora-200-ml/p</t>
        </is>
      </c>
    </row>
    <row r="1155">
      <c r="A1155" t="inlineStr">
        <is>
          <t>Jumbo</t>
        </is>
      </c>
      <c r="B1155" t="n">
        <v>42763</v>
      </c>
      <c r="C1155" t="n">
        <v>39934</v>
      </c>
      <c r="D1155" t="inlineStr">
        <is>
          <t>Acondicionador Plusbelle Nutrición Creme 1 L</t>
        </is>
      </c>
      <c r="E1155" t="inlineStr">
        <is>
          <t>PLUSBELLE</t>
        </is>
      </c>
      <c r="F1155" t="n">
        <v>155.65</v>
      </c>
      <c r="G1155" t="n">
        <v>12864</v>
      </c>
      <c r="H1155" t="b">
        <v>0</v>
      </c>
      <c r="I1155" t="n">
        <v>1000</v>
      </c>
      <c r="J1155" t="n">
        <v>0.1557</v>
      </c>
      <c r="K1155" t="inlineStr">
        <is>
          <t>&gt; Perfumería &gt; Cuidado Capilar &gt; Acondicionador &gt;</t>
        </is>
      </c>
      <c r="L1155" t="inlineStr">
        <is>
          <t>acondicionador</t>
        </is>
      </c>
      <c r="M1155" t="inlineStr">
        <is>
          <t>estandar</t>
        </is>
      </c>
      <c r="N1155" t="inlineStr">
        <is>
          <t>general</t>
        </is>
      </c>
      <c r="O1155" t="inlineStr">
        <is>
          <t>https://www.jumbo.com.ar/acondicionador-plusbelle-nutricion-creme-1-l/p</t>
        </is>
      </c>
    </row>
    <row r="1156">
      <c r="A1156" s="2" t="inlineStr">
        <is>
          <t>Jumbo</t>
        </is>
      </c>
      <c r="B1156" s="2" t="n">
        <v>42698</v>
      </c>
      <c r="C1156" s="2" t="n">
        <v>39869</v>
      </c>
      <c r="D1156" s="2" t="inlineStr">
        <is>
          <t>Acondicionador Dove Color Duradero 400 Ml</t>
        </is>
      </c>
      <c r="E1156" s="2" t="inlineStr">
        <is>
          <t>DOVE</t>
        </is>
      </c>
      <c r="F1156" s="2" t="n">
        <v>171.99</v>
      </c>
      <c r="G1156" s="2" t="n">
        <v>14214</v>
      </c>
      <c r="H1156" s="2" t="b">
        <v>0</v>
      </c>
      <c r="I1156" s="2" t="n">
        <v>400</v>
      </c>
      <c r="J1156" s="2" t="n">
        <v>0.43</v>
      </c>
      <c r="K1156" s="2" t="inlineStr">
        <is>
          <t>&gt; Perfumería &gt; Cuidado Capilar &gt; Acondicionador &gt;</t>
        </is>
      </c>
      <c r="L1156" s="2" t="inlineStr">
        <is>
          <t>acondicionador</t>
        </is>
      </c>
      <c r="M1156" s="2" t="inlineStr">
        <is>
          <t>estandar</t>
        </is>
      </c>
      <c r="N1156" s="2" t="inlineStr">
        <is>
          <t>tratado</t>
        </is>
      </c>
      <c r="O1156" s="2" t="inlineStr">
        <is>
          <t>https://www.jumbo.com.ar/acondicionador-dove-color-duradero-400-ml/p</t>
        </is>
      </c>
    </row>
    <row r="1157">
      <c r="A1157" t="inlineStr">
        <is>
          <t>Jumbo</t>
        </is>
      </c>
      <c r="B1157" t="n">
        <v>42455</v>
      </c>
      <c r="C1157" t="n">
        <v>39625</v>
      </c>
      <c r="D1157" t="inlineStr">
        <is>
          <t>Acondicionador Dove Color Duradero 200 Ml</t>
        </is>
      </c>
      <c r="E1157" t="inlineStr">
        <is>
          <t>DOVE</t>
        </is>
      </c>
      <c r="F1157" t="n">
        <v>108.53</v>
      </c>
      <c r="G1157" t="n">
        <v>8969</v>
      </c>
      <c r="H1157" t="b">
        <v>0</v>
      </c>
      <c r="I1157" t="n">
        <v>200</v>
      </c>
      <c r="J1157" t="n">
        <v>0.5426</v>
      </c>
      <c r="K1157" t="inlineStr">
        <is>
          <t>&gt; Perfumería &gt; Cuidado Capilar &gt; Acondicionador &gt;</t>
        </is>
      </c>
      <c r="L1157" t="inlineStr">
        <is>
          <t>acondicionador</t>
        </is>
      </c>
      <c r="M1157" t="inlineStr">
        <is>
          <t>estandar</t>
        </is>
      </c>
      <c r="N1157" t="inlineStr">
        <is>
          <t>tratado</t>
        </is>
      </c>
      <c r="O1157" t="inlineStr">
        <is>
          <t>https://www.jumbo.com.ar/acondicionador-dove-color-duradero-200-ml/p</t>
        </is>
      </c>
    </row>
    <row r="1158">
      <c r="A1158" s="2" t="inlineStr">
        <is>
          <t>Jumbo</t>
        </is>
      </c>
      <c r="B1158" s="2" t="n">
        <v>41068</v>
      </c>
      <c r="C1158" s="2" t="n">
        <v>38233</v>
      </c>
      <c r="D1158" s="2" t="inlineStr">
        <is>
          <t>Tío Nacho Acondicionador Aclarante 200 Ml</t>
        </is>
      </c>
      <c r="E1158" s="2" t="inlineStr">
        <is>
          <t>Tio Nacho</t>
        </is>
      </c>
      <c r="F1158" s="2" t="n">
        <v>489.15</v>
      </c>
      <c r="G1158" s="2" t="n">
        <v>40426</v>
      </c>
      <c r="H1158" s="2" t="b">
        <v>0</v>
      </c>
      <c r="I1158" s="2" t="n">
        <v>200</v>
      </c>
      <c r="J1158" s="2" t="n">
        <v>2.4457</v>
      </c>
      <c r="K1158" s="2" t="inlineStr">
        <is>
          <t>&gt; Perfumería &gt; Cuidado Capilar &gt; Acondicionador &gt;</t>
        </is>
      </c>
      <c r="L1158" s="2" t="inlineStr">
        <is>
          <t>acondicionador</t>
        </is>
      </c>
      <c r="M1158" s="2" t="inlineStr">
        <is>
          <t>estandar</t>
        </is>
      </c>
      <c r="N1158" s="2" t="inlineStr">
        <is>
          <t>general</t>
        </is>
      </c>
      <c r="O1158" s="2" t="inlineStr">
        <is>
          <t>https://www.jumbo.com.ar/tio-nacho-acondicionador-aclarante-200-ml/p</t>
        </is>
      </c>
    </row>
    <row r="1159">
      <c r="A1159" t="inlineStr">
        <is>
          <t>Jumbo</t>
        </is>
      </c>
      <c r="B1159" t="n">
        <v>40734</v>
      </c>
      <c r="C1159" t="n">
        <v>37899</v>
      </c>
      <c r="D1159" t="inlineStr">
        <is>
          <t>Acondicionador Tio Nacho Antioxidante 415 Ml</t>
        </is>
      </c>
      <c r="E1159" t="inlineStr">
        <is>
          <t>Tio Nacho</t>
        </is>
      </c>
      <c r="F1159" t="n">
        <v>478.85</v>
      </c>
      <c r="G1159" t="n">
        <v>39574</v>
      </c>
      <c r="H1159" t="b">
        <v>0</v>
      </c>
      <c r="I1159" t="n">
        <v>415</v>
      </c>
      <c r="J1159" t="n">
        <v>1.1539</v>
      </c>
      <c r="K1159" t="inlineStr">
        <is>
          <t>&gt; Perfumería &gt; Cuidado Capilar &gt; Acondicionador &gt;</t>
        </is>
      </c>
      <c r="L1159" t="inlineStr">
        <is>
          <t>acondicionador</t>
        </is>
      </c>
      <c r="M1159" t="inlineStr">
        <is>
          <t>estandar</t>
        </is>
      </c>
      <c r="N1159" t="inlineStr">
        <is>
          <t>general</t>
        </is>
      </c>
      <c r="O1159" t="inlineStr">
        <is>
          <t>https://www.jumbo.com.ar/acondicionador-tio-nacho-antioxidante-415-ml/p</t>
        </is>
      </c>
    </row>
    <row r="1160">
      <c r="A1160" s="2" t="inlineStr">
        <is>
          <t>Jumbo</t>
        </is>
      </c>
      <c r="B1160" s="2" t="n">
        <v>32284</v>
      </c>
      <c r="C1160" s="2" t="n">
        <v>29443</v>
      </c>
      <c r="D1160" s="2" t="inlineStr">
        <is>
          <t>Acondicionador Tresemme Puntas Perfectas 400 Ml</t>
        </is>
      </c>
      <c r="E1160" s="2" t="inlineStr">
        <is>
          <t>TRESEMMÉ</t>
        </is>
      </c>
      <c r="F1160" s="2" t="n">
        <v>77.69</v>
      </c>
      <c r="G1160" s="2" t="n">
        <v>6421</v>
      </c>
      <c r="H1160" s="2" t="b">
        <v>0</v>
      </c>
      <c r="I1160" s="2" t="n">
        <v>400</v>
      </c>
      <c r="J1160" s="2" t="n">
        <v>0.1942</v>
      </c>
      <c r="K1160" s="2" t="inlineStr">
        <is>
          <t>&gt; Perfumería &gt; Cuidado Capilar &gt; Acondicionador &gt;</t>
        </is>
      </c>
      <c r="L1160" s="2" t="inlineStr">
        <is>
          <t>acondicionador</t>
        </is>
      </c>
      <c r="M1160" s="2" t="inlineStr">
        <is>
          <t>estandar</t>
        </is>
      </c>
      <c r="N1160" s="2" t="inlineStr">
        <is>
          <t>general</t>
        </is>
      </c>
      <c r="O1160" s="2" t="inlineStr">
        <is>
          <t>https://www.jumbo.com.ar/acondicionador-tresemme-23/p</t>
        </is>
      </c>
    </row>
    <row r="1161">
      <c r="A1161" t="inlineStr">
        <is>
          <t>Jumbo</t>
        </is>
      </c>
      <c r="B1161" t="n">
        <v>32120</v>
      </c>
      <c r="C1161" t="n">
        <v>29279</v>
      </c>
      <c r="D1161" t="inlineStr">
        <is>
          <t>Acondicionador Tresemme Rituales De Reparación 400 Ml</t>
        </is>
      </c>
      <c r="E1161" t="inlineStr">
        <is>
          <t>TRESEMMÉ</t>
        </is>
      </c>
      <c r="F1161" t="n">
        <v>77.69</v>
      </c>
      <c r="G1161" t="n">
        <v>6421</v>
      </c>
      <c r="H1161" t="b">
        <v>0</v>
      </c>
      <c r="I1161" t="n">
        <v>400</v>
      </c>
      <c r="J1161" t="n">
        <v>0.1942</v>
      </c>
      <c r="K1161" t="inlineStr">
        <is>
          <t>&gt; Perfumería &gt; Cuidado Capilar &gt; Acondicionador &gt;</t>
        </is>
      </c>
      <c r="L1161" t="inlineStr">
        <is>
          <t>acondicionador</t>
        </is>
      </c>
      <c r="M1161" t="inlineStr">
        <is>
          <t>estandar</t>
        </is>
      </c>
      <c r="N1161" t="inlineStr">
        <is>
          <t>general</t>
        </is>
      </c>
      <c r="O1161" t="inlineStr">
        <is>
          <t>https://www.jumbo.com.ar/acondicionador-tresemme-21/p</t>
        </is>
      </c>
    </row>
    <row r="1162">
      <c r="A1162" s="2" t="inlineStr">
        <is>
          <t>Jumbo</t>
        </is>
      </c>
      <c r="B1162" s="2" t="n">
        <v>31933</v>
      </c>
      <c r="C1162" s="2" t="n">
        <v>29092</v>
      </c>
      <c r="D1162" s="2" t="inlineStr">
        <is>
          <t>Acondicionador Tresemme Rizos Perfectos 750 Ml</t>
        </is>
      </c>
      <c r="E1162" s="2" t="inlineStr">
        <is>
          <t>TRESEMMÉ</t>
        </is>
      </c>
      <c r="F1162" s="2" t="n">
        <v>131.35</v>
      </c>
      <c r="G1162" s="2" t="n">
        <v>10855</v>
      </c>
      <c r="H1162" s="2" t="b">
        <v>0</v>
      </c>
      <c r="I1162" s="2" t="n">
        <v>750</v>
      </c>
      <c r="J1162" s="2" t="n">
        <v>0.1751</v>
      </c>
      <c r="K1162" s="2" t="inlineStr">
        <is>
          <t>&gt; Perfumería &gt; Cuidado Capilar &gt; Acondicionador &gt;</t>
        </is>
      </c>
      <c r="L1162" s="2" t="inlineStr">
        <is>
          <t>acondicionador</t>
        </is>
      </c>
      <c r="M1162" s="2" t="inlineStr">
        <is>
          <t>estandar</t>
        </is>
      </c>
      <c r="N1162" s="2" t="inlineStr">
        <is>
          <t>rizado</t>
        </is>
      </c>
      <c r="O1162" s="2" t="inlineStr">
        <is>
          <t>https://www.jumbo.com.ar/acondicionador-tresemme-16/p</t>
        </is>
      </c>
    </row>
    <row r="1163">
      <c r="A1163" t="inlineStr">
        <is>
          <t>Jumbo</t>
        </is>
      </c>
      <c r="B1163" t="n">
        <v>22051</v>
      </c>
      <c r="C1163" t="n">
        <v>19214</v>
      </c>
      <c r="D1163" t="inlineStr">
        <is>
          <t>Acondicionador Brillo Extremo 410 Ml Capilatis Acondicionador Capilatis Brillo Extremo 410 Ml</t>
        </is>
      </c>
      <c r="E1163" t="inlineStr">
        <is>
          <t>CAPILATIS</t>
        </is>
      </c>
      <c r="F1163" t="n">
        <v>8800</v>
      </c>
      <c r="G1163" t="n">
        <v>727273</v>
      </c>
      <c r="H1163" t="b">
        <v>0</v>
      </c>
      <c r="I1163" t="n">
        <v>410</v>
      </c>
      <c r="J1163" t="n">
        <v>21.4634</v>
      </c>
      <c r="K1163" t="inlineStr">
        <is>
          <t>&gt; Perfumería &gt; Cuidado Capilar &gt; Acondicionador &gt;</t>
        </is>
      </c>
      <c r="L1163" t="inlineStr">
        <is>
          <t>acondicionador</t>
        </is>
      </c>
      <c r="M1163" t="inlineStr">
        <is>
          <t>estandar</t>
        </is>
      </c>
      <c r="N1163" t="inlineStr">
        <is>
          <t>general</t>
        </is>
      </c>
      <c r="O1163" t="inlineStr">
        <is>
          <t>https://www.jumbo.com.ar/acondicionador-capilatis-brillo-extremo-410-ml/p</t>
        </is>
      </c>
    </row>
    <row r="1164">
      <c r="A1164" s="2" t="inlineStr">
        <is>
          <t>Jumbo</t>
        </is>
      </c>
      <c r="B1164" s="2" t="n">
        <v>20021</v>
      </c>
      <c r="C1164" s="2" t="n">
        <v>17192</v>
      </c>
      <c r="D1164" s="2" t="inlineStr">
        <is>
          <t>Dove Acondicionador Botella Reconstrucción Completa 400ml Acondicionador Dove Reconstrucción Completa 400 Ml</t>
        </is>
      </c>
      <c r="E1164" s="2" t="inlineStr">
        <is>
          <t>DOVE</t>
        </is>
      </c>
      <c r="F1164" s="2" t="n">
        <v>229.19</v>
      </c>
      <c r="G1164" s="2" t="n">
        <v>18941</v>
      </c>
      <c r="H1164" s="2" t="b">
        <v>0</v>
      </c>
      <c r="I1164" s="2" t="n">
        <v>400</v>
      </c>
      <c r="J1164" s="2" t="n">
        <v>0.573</v>
      </c>
      <c r="K1164" s="2" t="inlineStr">
        <is>
          <t>&gt; Perfumería &gt; Cuidado Capilar &gt; Acondicionador &gt;</t>
        </is>
      </c>
      <c r="L1164" s="2" t="inlineStr">
        <is>
          <t>acondicionador</t>
        </is>
      </c>
      <c r="M1164" s="2" t="inlineStr">
        <is>
          <t>estandar</t>
        </is>
      </c>
      <c r="N1164" s="2" t="inlineStr">
        <is>
          <t>general</t>
        </is>
      </c>
      <c r="O1164" s="2" t="inlineStr">
        <is>
          <t>https://www.jumbo.com.ar/dove-acondicionador-botella-reconstruccion-completa-400ml/p</t>
        </is>
      </c>
    </row>
    <row r="1165">
      <c r="A1165" t="inlineStr">
        <is>
          <t>Jumbo</t>
        </is>
      </c>
      <c r="B1165" t="n">
        <v>19661</v>
      </c>
      <c r="C1165" t="n">
        <v>16824</v>
      </c>
      <c r="D1165" t="inlineStr">
        <is>
          <t>Acondicionador Sedal Restauración Instantánea 340 Ml</t>
        </is>
      </c>
      <c r="E1165" t="inlineStr">
        <is>
          <t>SEDAL</t>
        </is>
      </c>
      <c r="F1165" t="n">
        <v>500</v>
      </c>
      <c r="G1165" t="n">
        <v>41322</v>
      </c>
      <c r="H1165" t="b">
        <v>0</v>
      </c>
      <c r="I1165" t="n">
        <v>340</v>
      </c>
      <c r="J1165" t="n">
        <v>1.4706</v>
      </c>
      <c r="K1165" t="inlineStr">
        <is>
          <t>&gt; Perfumería &gt; Cuidado Capilar &gt; Acondicionador &gt;</t>
        </is>
      </c>
      <c r="L1165" t="inlineStr">
        <is>
          <t>acondicionador</t>
        </is>
      </c>
      <c r="M1165" t="inlineStr">
        <is>
          <t>estandar</t>
        </is>
      </c>
      <c r="N1165" t="inlineStr">
        <is>
          <t>general</t>
        </is>
      </c>
      <c r="O1165" t="inlineStr">
        <is>
          <t>https://www.jumbo.com.ar/acondicionador-sedal-restauracion-instantanea-340-ml/p</t>
        </is>
      </c>
    </row>
    <row r="1166">
      <c r="A1166" s="2" t="inlineStr">
        <is>
          <t>Jumbo</t>
        </is>
      </c>
      <c r="B1166" s="2" t="n">
        <v>19529</v>
      </c>
      <c r="C1166" s="2" t="n">
        <v>16684</v>
      </c>
      <c r="D1166" s="2" t="inlineStr">
        <is>
          <t>Acondicionador Tresemme Despeinado Perfecto 400 Ml</t>
        </is>
      </c>
      <c r="E1166" s="2" t="inlineStr">
        <is>
          <t>TRESEMMÉ</t>
        </is>
      </c>
      <c r="F1166" s="2" t="n">
        <v>283.29</v>
      </c>
      <c r="G1166" s="2" t="n">
        <v>23412</v>
      </c>
      <c r="H1166" s="2" t="b">
        <v>0</v>
      </c>
      <c r="I1166" s="2" t="n">
        <v>400</v>
      </c>
      <c r="J1166" s="2" t="n">
        <v>0.7082000000000001</v>
      </c>
      <c r="K1166" s="2" t="inlineStr">
        <is>
          <t>&gt; Perfumería &gt; Cuidado Capilar &gt; Acondicionador &gt;</t>
        </is>
      </c>
      <c r="L1166" s="2" t="inlineStr">
        <is>
          <t>acondicionador</t>
        </is>
      </c>
      <c r="M1166" s="2" t="inlineStr">
        <is>
          <t>estandar</t>
        </is>
      </c>
      <c r="N1166" s="2" t="inlineStr">
        <is>
          <t>general</t>
        </is>
      </c>
      <c r="O1166" s="2" t="inlineStr">
        <is>
          <t>https://www.jumbo.com.ar/acondicionador-tresemme-despeinado-perfecto-400-ml/p</t>
        </is>
      </c>
    </row>
    <row r="1167">
      <c r="A1167" t="inlineStr">
        <is>
          <t>Jumbo</t>
        </is>
      </c>
      <c r="B1167" t="n">
        <v>19527</v>
      </c>
      <c r="C1167" t="n">
        <v>16682</v>
      </c>
      <c r="D1167" t="inlineStr">
        <is>
          <t>Acondicionador Tresemme Regeneración Tresplex 400 Ml</t>
        </is>
      </c>
      <c r="E1167" t="inlineStr">
        <is>
          <t>TRESEMMÉ</t>
        </is>
      </c>
      <c r="F1167" t="n">
        <v>1050</v>
      </c>
      <c r="G1167" t="n">
        <v>86777</v>
      </c>
      <c r="H1167" t="b">
        <v>0</v>
      </c>
      <c r="I1167" t="n">
        <v>400</v>
      </c>
      <c r="J1167" t="n">
        <v>2.625</v>
      </c>
      <c r="K1167" t="inlineStr">
        <is>
          <t>&gt; Perfumería &gt; Cuidado Capilar &gt; Acondicionador &gt;</t>
        </is>
      </c>
      <c r="L1167" t="inlineStr">
        <is>
          <t>acondicionador</t>
        </is>
      </c>
      <c r="M1167" t="inlineStr">
        <is>
          <t>estandar</t>
        </is>
      </c>
      <c r="N1167" t="inlineStr">
        <is>
          <t>general</t>
        </is>
      </c>
      <c r="O1167" t="inlineStr">
        <is>
          <t>https://www.jumbo.com.ar/acondicionador-tresemme-regeneracion-tresplex-400-ml/p</t>
        </is>
      </c>
    </row>
    <row r="1168">
      <c r="A1168" s="2" t="inlineStr">
        <is>
          <t>Jumbo</t>
        </is>
      </c>
      <c r="B1168" s="2" t="n">
        <v>19520</v>
      </c>
      <c r="C1168" s="2" t="n">
        <v>16669</v>
      </c>
      <c r="D1168" s="2" t="inlineStr">
        <is>
          <t>Acondicionador Tresemmé Detox Capilar X 200ml</t>
        </is>
      </c>
      <c r="E1168" s="2" t="inlineStr">
        <is>
          <t>TRESEMMÉ</t>
        </is>
      </c>
      <c r="F1168" s="2" t="n">
        <v>123.69</v>
      </c>
      <c r="G1168" s="2" t="n">
        <v>10222</v>
      </c>
      <c r="H1168" s="2" t="b">
        <v>0</v>
      </c>
      <c r="I1168" s="2" t="n">
        <v>200</v>
      </c>
      <c r="J1168" s="2" t="n">
        <v>0.6183999999999999</v>
      </c>
      <c r="K1168" s="2" t="inlineStr">
        <is>
          <t>&gt; Perfumería &gt; Cuidado Capilar &gt; Acondicionador &gt;</t>
        </is>
      </c>
      <c r="L1168" s="2" t="inlineStr">
        <is>
          <t>acondicionador</t>
        </is>
      </c>
      <c r="M1168" s="2" t="inlineStr">
        <is>
          <t>estandar</t>
        </is>
      </c>
      <c r="N1168" s="2" t="inlineStr">
        <is>
          <t>general</t>
        </is>
      </c>
      <c r="O1168" s="2" t="inlineStr">
        <is>
          <t>https://www.jumbo.com.ar/acondicionador-tresemme-detox-capilar-x-200ml/p</t>
        </is>
      </c>
    </row>
    <row r="1169">
      <c r="A1169" t="inlineStr">
        <is>
          <t>Jumbo</t>
        </is>
      </c>
      <c r="B1169" t="n">
        <v>19519</v>
      </c>
      <c r="C1169" t="n">
        <v>16667</v>
      </c>
      <c r="D1169" t="inlineStr">
        <is>
          <t>Acondicionador Tresemme Hidratación Profunda 200 Ml</t>
        </is>
      </c>
      <c r="E1169" t="inlineStr">
        <is>
          <t>TRESEMMÉ</t>
        </is>
      </c>
      <c r="F1169" t="n">
        <v>123.69</v>
      </c>
      <c r="G1169" t="n">
        <v>10222</v>
      </c>
      <c r="H1169" t="b">
        <v>0</v>
      </c>
      <c r="I1169" t="n">
        <v>200</v>
      </c>
      <c r="J1169" t="n">
        <v>0.6183999999999999</v>
      </c>
      <c r="K1169" t="inlineStr">
        <is>
          <t>&gt; Perfumería &gt; Cuidado Capilar &gt; Acondicionador &gt;</t>
        </is>
      </c>
      <c r="L1169" t="inlineStr">
        <is>
          <t>acondicionador</t>
        </is>
      </c>
      <c r="M1169" t="inlineStr">
        <is>
          <t>estandar</t>
        </is>
      </c>
      <c r="N1169" t="inlineStr">
        <is>
          <t>seco_danado</t>
        </is>
      </c>
      <c r="O1169" t="inlineStr">
        <is>
          <t>https://www.jumbo.com.ar/acondicionador-tresemme-hidratacion-profunda-200-ml/p</t>
        </is>
      </c>
    </row>
    <row r="1170">
      <c r="A1170" s="2" t="inlineStr">
        <is>
          <t>Jumbo</t>
        </is>
      </c>
      <c r="B1170" s="2" t="n">
        <v>4033</v>
      </c>
      <c r="C1170" s="2" t="n">
        <v>248236</v>
      </c>
      <c r="D1170" s="2" t="inlineStr">
        <is>
          <t>Acondicionador Suave Niños Manzanilla 350 Ml</t>
        </is>
      </c>
      <c r="E1170" s="2" t="inlineStr">
        <is>
          <t>COTTON TAILS</t>
        </is>
      </c>
      <c r="F1170" s="2" t="n">
        <v>208.67</v>
      </c>
      <c r="G1170" s="2" t="n">
        <v>17245</v>
      </c>
      <c r="H1170" s="2" t="b">
        <v>0</v>
      </c>
      <c r="I1170" s="2" t="n">
        <v>350</v>
      </c>
      <c r="J1170" s="2" t="n">
        <v>0.5962</v>
      </c>
      <c r="K1170" s="2" t="inlineStr">
        <is>
          <t>&gt; Mundo Bebe &gt; Higiene para el Bebe &gt; Higiene del Bebé &gt;</t>
        </is>
      </c>
      <c r="L1170" s="2" t="inlineStr">
        <is>
          <t>acondicionador</t>
        </is>
      </c>
      <c r="M1170" s="2" t="inlineStr">
        <is>
          <t>estandar</t>
        </is>
      </c>
      <c r="N1170" s="2" t="inlineStr">
        <is>
          <t>bebe</t>
        </is>
      </c>
      <c r="O1170" s="2" t="inlineStr">
        <is>
          <t>https://www.jumbo.com.ar/acondicionador-suave-ninos-manzanilla-350-ml/p</t>
        </is>
      </c>
    </row>
    <row r="1171">
      <c r="A1171" t="inlineStr">
        <is>
          <t>Jumbo</t>
        </is>
      </c>
      <c r="B1171" t="n">
        <v>3516</v>
      </c>
      <c r="C1171" t="n">
        <v>248543</v>
      </c>
      <c r="D1171" t="inlineStr">
        <is>
          <t>Acondicionador Elvive Nutri Gloss 200 Ml</t>
        </is>
      </c>
      <c r="E1171" t="inlineStr">
        <is>
          <t>ELVIVE</t>
        </is>
      </c>
      <c r="F1171" t="n">
        <v>266.59</v>
      </c>
      <c r="G1171" t="n">
        <v>22032</v>
      </c>
      <c r="H1171" t="b">
        <v>0</v>
      </c>
      <c r="I1171" t="n">
        <v>200</v>
      </c>
      <c r="J1171" t="n">
        <v>1.3329</v>
      </c>
      <c r="K1171" t="inlineStr">
        <is>
          <t>&gt; Perfumería &gt; Cuidado Capilar &gt; Acondicionador &gt;</t>
        </is>
      </c>
      <c r="L1171" t="inlineStr">
        <is>
          <t>acondicionador</t>
        </is>
      </c>
      <c r="M1171" t="inlineStr">
        <is>
          <t>profesional</t>
        </is>
      </c>
      <c r="N1171" t="inlineStr">
        <is>
          <t>general</t>
        </is>
      </c>
      <c r="O1171" t="inlineStr">
        <is>
          <t>https://www.jumbo.com.ar/crema-de-enjuague-elvive-2/p</t>
        </is>
      </c>
    </row>
    <row r="1172">
      <c r="A1172" s="2" t="inlineStr">
        <is>
          <t>Jumbo</t>
        </is>
      </c>
      <c r="B1172" s="2" t="n">
        <v>421917</v>
      </c>
      <c r="C1172" s="2" t="n">
        <v>381817</v>
      </c>
      <c r="D1172" s="2" t="inlineStr">
        <is>
          <t>Acondicionador Tío Nacho Purificación 200 Ml</t>
        </is>
      </c>
      <c r="E1172" s="2" t="inlineStr">
        <is>
          <t>SUAVE</t>
        </is>
      </c>
      <c r="F1172" s="2" t="n">
        <v>5500</v>
      </c>
      <c r="G1172" s="2" t="n">
        <v>454545</v>
      </c>
      <c r="H1172" s="2" t="b">
        <v>0</v>
      </c>
      <c r="I1172" s="2" t="n">
        <v>200</v>
      </c>
      <c r="J1172" s="2" t="n">
        <v>27.5</v>
      </c>
      <c r="K1172" s="2" t="inlineStr">
        <is>
          <t>&gt; Perfumería &gt; Cuidado Capilar &gt; Acondicionador &gt;</t>
        </is>
      </c>
      <c r="L1172" s="2" t="inlineStr">
        <is>
          <t>acondicionador</t>
        </is>
      </c>
      <c r="M1172" s="2" t="inlineStr">
        <is>
          <t>estandar</t>
        </is>
      </c>
      <c r="N1172" s="2" t="inlineStr">
        <is>
          <t>general</t>
        </is>
      </c>
      <c r="O1172" s="2" t="inlineStr">
        <is>
          <t>https://www.jumbo.com.ar/acondicionador-tio-nacho-purificacion-200-ml-2/p</t>
        </is>
      </c>
    </row>
    <row r="1173">
      <c r="A1173" t="inlineStr">
        <is>
          <t>Jumbo</t>
        </is>
      </c>
      <c r="B1173" t="n">
        <v>421916</v>
      </c>
      <c r="C1173" t="n">
        <v>381825</v>
      </c>
      <c r="D1173" t="inlineStr">
        <is>
          <t>Acondicionador Tío Nacho Purificación 415 Ml</t>
        </is>
      </c>
      <c r="E1173" t="inlineStr">
        <is>
          <t>Tio Nacho</t>
        </is>
      </c>
      <c r="F1173" t="n">
        <v>9000</v>
      </c>
      <c r="G1173" t="n">
        <v>743802</v>
      </c>
      <c r="H1173" t="b">
        <v>0</v>
      </c>
      <c r="I1173" t="n">
        <v>415</v>
      </c>
      <c r="J1173" t="n">
        <v>21.6867</v>
      </c>
      <c r="K1173" t="inlineStr">
        <is>
          <t>&gt; Perfumería &gt; Cuidado Capilar &gt; Acondicionador &gt;</t>
        </is>
      </c>
      <c r="L1173" t="inlineStr">
        <is>
          <t>acondicionador</t>
        </is>
      </c>
      <c r="M1173" t="inlineStr">
        <is>
          <t>estandar</t>
        </is>
      </c>
      <c r="N1173" t="inlineStr">
        <is>
          <t>general</t>
        </is>
      </c>
      <c r="O1173" t="inlineStr">
        <is>
          <t>https://www.jumbo.com.ar/acondicionador-tio-nacho-purificacion-415-ml-2/p</t>
        </is>
      </c>
    </row>
    <row r="1174">
      <c r="A1174" s="2" t="inlineStr">
        <is>
          <t>Jumbo</t>
        </is>
      </c>
      <c r="B1174" s="2" t="n">
        <v>415568</v>
      </c>
      <c r="C1174" s="2" t="n">
        <v>411152</v>
      </c>
      <c r="D1174" s="2" t="inlineStr">
        <is>
          <t>Acondicionador Liso Infinito 750 Ml Pantene Acondicionador Pantene Provmir Liso Infinito 750 Ml</t>
        </is>
      </c>
      <c r="E1174" s="2" t="inlineStr">
        <is>
          <t>PANTENE</t>
        </is>
      </c>
      <c r="F1174" s="2" t="n">
        <v>14500</v>
      </c>
      <c r="G1174" s="2" t="n">
        <v>1198347</v>
      </c>
      <c r="H1174" s="2" t="b">
        <v>0</v>
      </c>
      <c r="I1174" s="2" t="n">
        <v>750</v>
      </c>
      <c r="J1174" s="2" t="n">
        <v>19.3333</v>
      </c>
      <c r="K1174" s="2" t="inlineStr">
        <is>
          <t>&gt; Perfumería &gt; Cuidado Capilar &gt; Acondicionador &gt;</t>
        </is>
      </c>
      <c r="L1174" s="2" t="inlineStr">
        <is>
          <t>acondicionador</t>
        </is>
      </c>
      <c r="M1174" s="2" t="inlineStr">
        <is>
          <t>profesional</t>
        </is>
      </c>
      <c r="N1174" s="2" t="inlineStr">
        <is>
          <t>general</t>
        </is>
      </c>
      <c r="O1174" s="2" t="inlineStr">
        <is>
          <t>https://www.jumbo.com.ar/acondicionador-pantene-provmir-liso-infinito-750-ml/p</t>
        </is>
      </c>
    </row>
    <row r="1175">
      <c r="A1175" t="inlineStr">
        <is>
          <t>Jumbo</t>
        </is>
      </c>
      <c r="B1175" t="n">
        <v>413358</v>
      </c>
      <c r="C1175" t="n">
        <v>409235</v>
      </c>
      <c r="D1175" t="inlineStr">
        <is>
          <t>Acondicionador Ondas Boho 250 Ml Tresemmé</t>
        </is>
      </c>
      <c r="E1175" t="inlineStr">
        <is>
          <t>TRESEMMÉ</t>
        </is>
      </c>
      <c r="F1175" t="n">
        <v>4500</v>
      </c>
      <c r="G1175" t="n">
        <v>371901</v>
      </c>
      <c r="H1175" t="b">
        <v>0</v>
      </c>
      <c r="I1175" t="n">
        <v>250</v>
      </c>
      <c r="J1175" t="n">
        <v>18</v>
      </c>
      <c r="K1175" t="inlineStr">
        <is>
          <t>&gt; Perfumería &gt; Cuidado Capilar &gt; Acondicionador &gt;</t>
        </is>
      </c>
      <c r="L1175" t="inlineStr">
        <is>
          <t>acondicionador</t>
        </is>
      </c>
      <c r="M1175" t="inlineStr">
        <is>
          <t>estandar</t>
        </is>
      </c>
      <c r="N1175" t="inlineStr">
        <is>
          <t>general</t>
        </is>
      </c>
      <c r="O1175" t="inlineStr">
        <is>
          <t>https://www.jumbo.com.ar/acondicionador-tresemme-ondas-boho-250-ml/p</t>
        </is>
      </c>
    </row>
    <row r="1176">
      <c r="A1176" s="2" t="inlineStr">
        <is>
          <t>Jumbo</t>
        </is>
      </c>
      <c r="B1176" s="2" t="n">
        <v>413334</v>
      </c>
      <c r="C1176" s="2" t="n">
        <v>409139</v>
      </c>
      <c r="D1176" s="2" t="inlineStr">
        <is>
          <t>Acondicionador Cauterización Reparadora 880 Ml Tresemmé</t>
        </is>
      </c>
      <c r="E1176" s="2" t="inlineStr">
        <is>
          <t>TRESEMMÉ</t>
        </is>
      </c>
      <c r="F1176" s="2" t="n">
        <v>15050</v>
      </c>
      <c r="G1176" s="2" t="n">
        <v>1243802</v>
      </c>
      <c r="H1176" s="2" t="b">
        <v>0</v>
      </c>
      <c r="I1176" s="2" t="n">
        <v>880</v>
      </c>
      <c r="J1176" s="2" t="n">
        <v>17.1023</v>
      </c>
      <c r="K1176" s="2" t="inlineStr">
        <is>
          <t>&gt; Perfumería &gt; Cuidado Capilar &gt; Acondicionador &gt;</t>
        </is>
      </c>
      <c r="L1176" s="2" t="inlineStr">
        <is>
          <t>acondicionador</t>
        </is>
      </c>
      <c r="M1176" s="2" t="inlineStr">
        <is>
          <t>estandar</t>
        </is>
      </c>
      <c r="N1176" s="2" t="inlineStr">
        <is>
          <t>general</t>
        </is>
      </c>
      <c r="O1176" s="2" t="inlineStr">
        <is>
          <t>https://www.jumbo.com.ar/acondicionador-tresemme-cauterizacion-reparadora-880-ml/p</t>
        </is>
      </c>
    </row>
    <row r="1177">
      <c r="A1177" t="inlineStr">
        <is>
          <t>Jumbo</t>
        </is>
      </c>
      <c r="B1177" t="n">
        <v>413333</v>
      </c>
      <c r="C1177" t="n">
        <v>409138</v>
      </c>
      <c r="D1177" t="inlineStr">
        <is>
          <t>Acondicionador Tresemme Brillo Lamelar 250 Ml</t>
        </is>
      </c>
      <c r="E1177" t="inlineStr">
        <is>
          <t>TRESEMMÉ</t>
        </is>
      </c>
      <c r="F1177" t="n">
        <v>5950</v>
      </c>
      <c r="G1177" t="n">
        <v>491736</v>
      </c>
      <c r="H1177" t="b">
        <v>0</v>
      </c>
      <c r="I1177" t="n">
        <v>250</v>
      </c>
      <c r="J1177" t="n">
        <v>23.8</v>
      </c>
      <c r="K1177" t="inlineStr">
        <is>
          <t>&gt; Perfumería &gt; Cuidado Capilar &gt; Acondicionador &gt;</t>
        </is>
      </c>
      <c r="L1177" t="inlineStr">
        <is>
          <t>acondicionador</t>
        </is>
      </c>
      <c r="M1177" t="inlineStr">
        <is>
          <t>estandar</t>
        </is>
      </c>
      <c r="N1177" t="inlineStr">
        <is>
          <t>general</t>
        </is>
      </c>
      <c r="O1177" t="inlineStr">
        <is>
          <t>https://www.jumbo.com.ar/acondicionador-tresemme-brillo-lamelar-250-ml/p</t>
        </is>
      </c>
    </row>
    <row r="1178">
      <c r="A1178" s="2" t="inlineStr">
        <is>
          <t>Jumbo</t>
        </is>
      </c>
      <c r="B1178" s="2" t="n">
        <v>412296</v>
      </c>
      <c r="C1178" s="2" t="n">
        <v>407998</v>
      </c>
      <c r="D1178" s="2" t="inlineStr">
        <is>
          <t>Acondicionador Fructis Liso Coconut 650 Ml</t>
        </is>
      </c>
      <c r="E1178" s="2" t="inlineStr">
        <is>
          <t>FRUCTIS</t>
        </is>
      </c>
      <c r="F1178" s="2" t="n">
        <v>9650</v>
      </c>
      <c r="G1178" s="2" t="n">
        <v>797521</v>
      </c>
      <c r="H1178" s="2" t="b">
        <v>0</v>
      </c>
      <c r="I1178" s="2" t="n">
        <v>650</v>
      </c>
      <c r="J1178" s="2" t="n">
        <v>14.8462</v>
      </c>
      <c r="K1178" s="2" t="inlineStr">
        <is>
          <t>&gt; Perfumería &gt; Cuidado Capilar &gt; Acondicionador &gt;</t>
        </is>
      </c>
      <c r="L1178" s="2" t="inlineStr">
        <is>
          <t>acondicionador</t>
        </is>
      </c>
      <c r="M1178" s="2" t="inlineStr">
        <is>
          <t>estandar</t>
        </is>
      </c>
      <c r="N1178" s="2" t="inlineStr">
        <is>
          <t>general</t>
        </is>
      </c>
      <c r="O1178" s="2" t="inlineStr">
        <is>
          <t>https://www.jumbo.com.ar/acondicionador-fructis-liso-coconut-650-ml/p</t>
        </is>
      </c>
    </row>
    <row r="1179">
      <c r="A1179" t="inlineStr">
        <is>
          <t>Jumbo</t>
        </is>
      </c>
      <c r="B1179" t="n">
        <v>411493</v>
      </c>
      <c r="C1179" t="n">
        <v>407312</v>
      </c>
      <c r="D1179" t="inlineStr">
        <is>
          <t>Acondicionador Capilatis Reparación Absoluta 350 Ml</t>
        </is>
      </c>
      <c r="E1179" t="inlineStr">
        <is>
          <t>CAPILATIS</t>
        </is>
      </c>
      <c r="F1179" t="n">
        <v>12650</v>
      </c>
      <c r="G1179" t="n">
        <v>1045455</v>
      </c>
      <c r="H1179" t="b">
        <v>0</v>
      </c>
      <c r="I1179" t="n">
        <v>350</v>
      </c>
      <c r="J1179" t="n">
        <v>36.1429</v>
      </c>
      <c r="K1179" t="inlineStr">
        <is>
          <t>&gt; Perfumería &gt; Cuidado Capilar &gt; Acondicionador &gt;</t>
        </is>
      </c>
      <c r="L1179" t="inlineStr">
        <is>
          <t>acondicionador</t>
        </is>
      </c>
      <c r="M1179" t="inlineStr">
        <is>
          <t>estandar</t>
        </is>
      </c>
      <c r="N1179" t="inlineStr">
        <is>
          <t>general</t>
        </is>
      </c>
      <c r="O1179" t="inlineStr">
        <is>
          <t>https://www.jumbo.com.ar/acondicionador-capilatis-reparacion-absoluta-350-ml/p</t>
        </is>
      </c>
    </row>
    <row r="1180">
      <c r="A1180" s="2" t="inlineStr">
        <is>
          <t>Jumbo</t>
        </is>
      </c>
      <c r="B1180" s="2" t="n">
        <v>405337</v>
      </c>
      <c r="C1180" s="2" t="n">
        <v>93586</v>
      </c>
      <c r="D1180" s="2" t="inlineStr">
        <is>
          <t>Acondicionador Llanofertil Chips X 8 Dm3 Molido  Paq 8 Dm3</t>
        </is>
      </c>
      <c r="E1180" s="2" t="inlineStr">
        <is>
          <t>SIN MARCA</t>
        </is>
      </c>
      <c r="F1180" s="2" t="n">
        <v>1.49</v>
      </c>
      <c r="G1180" s="2" t="n">
        <v>1.49</v>
      </c>
      <c r="H1180" s="2" t="b">
        <v>0</v>
      </c>
      <c r="I1180" s="2" t="inlineStr"/>
      <c r="J1180" s="2" t="inlineStr"/>
      <c r="K1180" s="2" t="inlineStr">
        <is>
          <t>&gt; Tiempo Libre &gt; Aire Libre &gt; Jardín &gt;</t>
        </is>
      </c>
      <c r="L1180" s="2" t="inlineStr">
        <is>
          <t>acondicionador</t>
        </is>
      </c>
      <c r="M1180" s="2" t="inlineStr">
        <is>
          <t>estandar</t>
        </is>
      </c>
      <c r="N1180" s="2" t="inlineStr">
        <is>
          <t>general</t>
        </is>
      </c>
      <c r="O1180" s="2" t="inlineStr">
        <is>
          <t>https://www.jumbo.com.ar/acondicionador-llanofertil-chips-x-8-dm3/p</t>
        </is>
      </c>
    </row>
    <row r="1181">
      <c r="A1181" t="inlineStr">
        <is>
          <t>Jumbo</t>
        </is>
      </c>
      <c r="B1181" t="n">
        <v>400529</v>
      </c>
      <c r="C1181" t="n">
        <v>397867</v>
      </c>
      <c r="D1181" t="inlineStr">
        <is>
          <t>Acondicionador Hidra Hialurónico 750 Ml Elvive</t>
        </is>
      </c>
      <c r="E1181" t="inlineStr">
        <is>
          <t>ELVIVE</t>
        </is>
      </c>
      <c r="F1181" t="n">
        <v>16800</v>
      </c>
      <c r="G1181" t="n">
        <v>1388430</v>
      </c>
      <c r="H1181" t="b">
        <v>0</v>
      </c>
      <c r="I1181" t="n">
        <v>750</v>
      </c>
      <c r="J1181" t="n">
        <v>22.4</v>
      </c>
      <c r="K1181" t="inlineStr">
        <is>
          <t>&gt; Perfumería &gt; Cuidado Capilar &gt; Acondicionador &gt;</t>
        </is>
      </c>
      <c r="L1181" t="inlineStr">
        <is>
          <t>acondicionador</t>
        </is>
      </c>
      <c r="M1181" t="inlineStr">
        <is>
          <t>profesional</t>
        </is>
      </c>
      <c r="N1181" t="inlineStr">
        <is>
          <t>general</t>
        </is>
      </c>
      <c r="O1181" t="inlineStr">
        <is>
          <t>https://www.jumbo.com.ar/acodicionador-elvive-hidra-con-acido-hialuronico-750-ml/p</t>
        </is>
      </c>
    </row>
    <row r="1182">
      <c r="A1182" s="2" t="inlineStr">
        <is>
          <t>Jumbo</t>
        </is>
      </c>
      <c r="B1182" s="2" t="n">
        <v>397906</v>
      </c>
      <c r="C1182" s="2" t="n">
        <v>395641</v>
      </c>
      <c r="D1182" s="2" t="inlineStr">
        <is>
          <t>Acondicionador Brillo Ceramidas 300 Ml Sedal</t>
        </is>
      </c>
      <c r="E1182" s="2" t="inlineStr">
        <is>
          <t>SEDAL</t>
        </is>
      </c>
      <c r="F1182" s="2" t="n">
        <v>3800</v>
      </c>
      <c r="G1182" s="2" t="n">
        <v>314050</v>
      </c>
      <c r="H1182" s="2" t="b">
        <v>0</v>
      </c>
      <c r="I1182" s="2" t="n">
        <v>300</v>
      </c>
      <c r="J1182" s="2" t="n">
        <v>12.6667</v>
      </c>
      <c r="K1182" s="2" t="inlineStr">
        <is>
          <t>&gt; Perfumería &gt; Cuidado Capilar &gt; Acondicionador &gt;</t>
        </is>
      </c>
      <c r="L1182" s="2" t="inlineStr">
        <is>
          <t>acondicionador</t>
        </is>
      </c>
      <c r="M1182" s="2" t="inlineStr">
        <is>
          <t>estandar</t>
        </is>
      </c>
      <c r="N1182" s="2" t="inlineStr">
        <is>
          <t>general</t>
        </is>
      </c>
      <c r="O1182" s="2" t="inlineStr">
        <is>
          <t>https://www.jumbo.com.ar/acondicionador-sedal-ceramidas-300ml/p</t>
        </is>
      </c>
    </row>
    <row r="1183">
      <c r="A1183" t="inlineStr">
        <is>
          <t>Jumbo</t>
        </is>
      </c>
      <c r="B1183" t="n">
        <v>397666</v>
      </c>
      <c r="C1183" t="n">
        <v>395399</v>
      </c>
      <c r="D1183" t="inlineStr">
        <is>
          <t>Acondicionador Dove Cuidado Delicado 400 Ml</t>
        </is>
      </c>
      <c r="E1183" t="inlineStr">
        <is>
          <t>DOVE</t>
        </is>
      </c>
      <c r="F1183" t="n">
        <v>1211.79</v>
      </c>
      <c r="G1183" t="n">
        <v>100148</v>
      </c>
      <c r="H1183" t="b">
        <v>0</v>
      </c>
      <c r="I1183" t="n">
        <v>400</v>
      </c>
      <c r="J1183" t="n">
        <v>3.0295</v>
      </c>
      <c r="K1183" t="inlineStr">
        <is>
          <t>&gt; Perfumería &gt; Cuidado Capilar &gt; Acondicionador &gt;</t>
        </is>
      </c>
      <c r="L1183" t="inlineStr">
        <is>
          <t>acondicionador</t>
        </is>
      </c>
      <c r="M1183" t="inlineStr">
        <is>
          <t>estandar</t>
        </is>
      </c>
      <c r="N1183" t="inlineStr">
        <is>
          <t>general</t>
        </is>
      </c>
      <c r="O1183" t="inlineStr">
        <is>
          <t>https://www.jumbo.com.ar/acondicionador-dove-cuidado-delicado-400-ml/p</t>
        </is>
      </c>
    </row>
    <row r="1184">
      <c r="A1184" s="2" t="inlineStr">
        <is>
          <t>Jumbo</t>
        </is>
      </c>
      <c r="B1184" s="2" t="n">
        <v>397303</v>
      </c>
      <c r="C1184" s="2" t="n">
        <v>395043</v>
      </c>
      <c r="D1184" s="2" t="inlineStr">
        <is>
          <t>Acondicionador Algabo Eco Pack Pepino 300ml</t>
        </is>
      </c>
      <c r="E1184" s="2" t="inlineStr">
        <is>
          <t>ALGABO</t>
        </is>
      </c>
      <c r="F1184" s="2" t="n">
        <v>216.93</v>
      </c>
      <c r="G1184" s="2" t="n">
        <v>17928</v>
      </c>
      <c r="H1184" s="2" t="b">
        <v>0</v>
      </c>
      <c r="I1184" s="2" t="n">
        <v>300</v>
      </c>
      <c r="J1184" s="2" t="n">
        <v>0.7231</v>
      </c>
      <c r="K1184" s="2" t="inlineStr">
        <is>
          <t>&gt; Perfumería &gt; Cuidado Capilar &gt; Acondicionador &gt;</t>
        </is>
      </c>
      <c r="L1184" s="2" t="inlineStr">
        <is>
          <t>acondicionador</t>
        </is>
      </c>
      <c r="M1184" s="2" t="inlineStr">
        <is>
          <t>estandar</t>
        </is>
      </c>
      <c r="N1184" s="2" t="inlineStr">
        <is>
          <t>general</t>
        </is>
      </c>
      <c r="O1184" s="2" t="inlineStr">
        <is>
          <t>https://www.jumbo.com.ar/acondicionador-algabo-eco-pack-pepino-300ml/p</t>
        </is>
      </c>
    </row>
    <row r="1185">
      <c r="A1185" t="inlineStr">
        <is>
          <t>Jumbo</t>
        </is>
      </c>
      <c r="B1185" t="n">
        <v>394681</v>
      </c>
      <c r="C1185" t="n">
        <v>392680</v>
      </c>
      <c r="D1185" t="inlineStr">
        <is>
          <t>Oleo Acondicionador Ogx Anti-breakage 385ml</t>
        </is>
      </c>
      <c r="E1185" t="inlineStr">
        <is>
          <t>OGX</t>
        </is>
      </c>
      <c r="F1185" t="n">
        <v>9896.09</v>
      </c>
      <c r="G1185" t="n">
        <v>817859</v>
      </c>
      <c r="H1185" t="b">
        <v>0</v>
      </c>
      <c r="I1185" t="n">
        <v>385</v>
      </c>
      <c r="J1185" t="n">
        <v>25.7041</v>
      </c>
      <c r="K1185" t="inlineStr">
        <is>
          <t>&gt; Perfumería &gt; Cuidado Capilar &gt; Acondicionador &gt;</t>
        </is>
      </c>
      <c r="L1185" t="inlineStr">
        <is>
          <t>acondicionador</t>
        </is>
      </c>
      <c r="M1185" t="inlineStr">
        <is>
          <t>estandar</t>
        </is>
      </c>
      <c r="N1185" t="inlineStr">
        <is>
          <t>general</t>
        </is>
      </c>
      <c r="O1185" t="inlineStr">
        <is>
          <t>https://www.jumbo.com.ar/oleo-acondicionador-ogx-anti-breakage-385ml/p</t>
        </is>
      </c>
    </row>
    <row r="1186">
      <c r="A1186" s="2" t="inlineStr">
        <is>
          <t>Jumbo</t>
        </is>
      </c>
      <c r="B1186" s="2" t="n">
        <v>393647</v>
      </c>
      <c r="C1186" s="2" t="n">
        <v>391675</v>
      </c>
      <c r="D1186" s="2" t="inlineStr">
        <is>
          <t>Acondicionador Pantene Hidratación Extrema 750 Ml</t>
        </is>
      </c>
      <c r="E1186" s="2" t="inlineStr">
        <is>
          <t>PANTENE</t>
        </is>
      </c>
      <c r="F1186" s="2" t="n">
        <v>3250</v>
      </c>
      <c r="G1186" s="2" t="n">
        <v>268595</v>
      </c>
      <c r="H1186" s="2" t="b">
        <v>0</v>
      </c>
      <c r="I1186" s="2" t="n">
        <v>750</v>
      </c>
      <c r="J1186" s="2" t="n">
        <v>4.3333</v>
      </c>
      <c r="K1186" s="2" t="inlineStr">
        <is>
          <t>&gt; Perfumería &gt; Cuidado Capilar &gt; Acondicionador &gt;</t>
        </is>
      </c>
      <c r="L1186" s="2" t="inlineStr">
        <is>
          <t>acondicionador</t>
        </is>
      </c>
      <c r="M1186" s="2" t="inlineStr">
        <is>
          <t>estandar</t>
        </is>
      </c>
      <c r="N1186" s="2" t="inlineStr">
        <is>
          <t>seco_danado</t>
        </is>
      </c>
      <c r="O1186" s="2" t="inlineStr">
        <is>
          <t>https://www.jumbo.com.ar/acondicionador-pantene-hidratacion-extrema-750-ml/p</t>
        </is>
      </c>
    </row>
    <row r="1187">
      <c r="A1187" t="inlineStr">
        <is>
          <t>Jumbo</t>
        </is>
      </c>
      <c r="B1187" t="n">
        <v>384223</v>
      </c>
      <c r="C1187" t="n">
        <v>382912</v>
      </c>
      <c r="D1187" t="inlineStr">
        <is>
          <t>Acondicionador Tresemmé Cauterización Reparadora 500 Ml</t>
        </is>
      </c>
      <c r="E1187" t="inlineStr">
        <is>
          <t>TRESEMMÉ</t>
        </is>
      </c>
      <c r="F1187" t="n">
        <v>1650</v>
      </c>
      <c r="G1187" t="n">
        <v>136364</v>
      </c>
      <c r="H1187" t="b">
        <v>0</v>
      </c>
      <c r="I1187" t="n">
        <v>500</v>
      </c>
      <c r="J1187" t="n">
        <v>3.3</v>
      </c>
      <c r="K1187" t="inlineStr">
        <is>
          <t>&gt; Perfumería &gt; Cuidado Capilar &gt; Acondicionador &gt;</t>
        </is>
      </c>
      <c r="L1187" t="inlineStr">
        <is>
          <t>acondicionador</t>
        </is>
      </c>
      <c r="M1187" t="inlineStr">
        <is>
          <t>estandar</t>
        </is>
      </c>
      <c r="N1187" t="inlineStr">
        <is>
          <t>general</t>
        </is>
      </c>
      <c r="O1187" t="inlineStr">
        <is>
          <t>https://www.jumbo.com.ar/acondicionador-tresemme-cauterizacion-reparadora-500-ml-2/p</t>
        </is>
      </c>
    </row>
    <row r="1188">
      <c r="A1188" s="2" t="inlineStr">
        <is>
          <t>Jumbo</t>
        </is>
      </c>
      <c r="B1188" s="2" t="n">
        <v>384219</v>
      </c>
      <c r="C1188" s="2" t="n">
        <v>382909</v>
      </c>
      <c r="D1188" s="2" t="inlineStr">
        <is>
          <t>Acondicionador Tresemme Ondas Boho 880 Ml</t>
        </is>
      </c>
      <c r="E1188" s="2" t="inlineStr">
        <is>
          <t>TRESEMMÉ</t>
        </is>
      </c>
      <c r="F1188" s="2" t="n">
        <v>2900</v>
      </c>
      <c r="G1188" s="2" t="n">
        <v>239669</v>
      </c>
      <c r="H1188" s="2" t="b">
        <v>0</v>
      </c>
      <c r="I1188" s="2" t="n">
        <v>880</v>
      </c>
      <c r="J1188" s="2" t="n">
        <v>3.2955</v>
      </c>
      <c r="K1188" s="2" t="inlineStr">
        <is>
          <t>&gt; Perfumería &gt; Cuidado Capilar &gt; Acondicionador &gt;</t>
        </is>
      </c>
      <c r="L1188" s="2" t="inlineStr">
        <is>
          <t>acondicionador</t>
        </is>
      </c>
      <c r="M1188" s="2" t="inlineStr">
        <is>
          <t>estandar</t>
        </is>
      </c>
      <c r="N1188" s="2" t="inlineStr">
        <is>
          <t>general</t>
        </is>
      </c>
      <c r="O1188" s="2" t="inlineStr">
        <is>
          <t>https://www.jumbo.com.ar/acondicionador-tresemme-ondas-boho-880-ml-2/p</t>
        </is>
      </c>
    </row>
    <row r="1189">
      <c r="A1189" t="inlineStr">
        <is>
          <t>Jumbo</t>
        </is>
      </c>
      <c r="B1189" t="n">
        <v>384218</v>
      </c>
      <c r="C1189" t="n">
        <v>382908</v>
      </c>
      <c r="D1189" t="inlineStr">
        <is>
          <t>Acondicionador Tresemme Liso Efecto Botox 880ml</t>
        </is>
      </c>
      <c r="E1189" t="inlineStr">
        <is>
          <t>TRESEMMÉ</t>
        </is>
      </c>
      <c r="F1189" t="n">
        <v>2684.29</v>
      </c>
      <c r="G1189" t="n">
        <v>221842</v>
      </c>
      <c r="H1189" t="b">
        <v>0</v>
      </c>
      <c r="I1189" t="n">
        <v>880</v>
      </c>
      <c r="J1189" t="n">
        <v>3.0503</v>
      </c>
      <c r="K1189" t="inlineStr">
        <is>
          <t>&gt; Perfumería &gt; Cuidado Capilar &gt; Acondicionador &gt;</t>
        </is>
      </c>
      <c r="L1189" t="inlineStr">
        <is>
          <t>acondicionador</t>
        </is>
      </c>
      <c r="M1189" t="inlineStr">
        <is>
          <t>estandar</t>
        </is>
      </c>
      <c r="N1189" t="inlineStr">
        <is>
          <t>general</t>
        </is>
      </c>
      <c r="O1189" t="inlineStr">
        <is>
          <t>https://www.jumbo.com.ar/acondicionador-tresemme-liso-efecto-botox-880ml/p</t>
        </is>
      </c>
    </row>
    <row r="1190">
      <c r="A1190" s="2" t="inlineStr">
        <is>
          <t>Jumbo</t>
        </is>
      </c>
      <c r="B1190" s="2" t="n">
        <v>384208</v>
      </c>
      <c r="C1190" s="2" t="n">
        <v>382900</v>
      </c>
      <c r="D1190" s="2" t="inlineStr">
        <is>
          <t>Acondicionador Tresemme Keratina Antifrizz 250 Ml</t>
        </is>
      </c>
      <c r="E1190" s="2" t="inlineStr">
        <is>
          <t>TRESEMMÉ</t>
        </is>
      </c>
      <c r="F1190" s="2" t="n">
        <v>1000</v>
      </c>
      <c r="G1190" s="2" t="n">
        <v>82645</v>
      </c>
      <c r="H1190" s="2" t="b">
        <v>0</v>
      </c>
      <c r="I1190" s="2" t="n">
        <v>250</v>
      </c>
      <c r="J1190" s="2" t="n">
        <v>4</v>
      </c>
      <c r="K1190" s="2" t="inlineStr">
        <is>
          <t>&gt; Perfumería &gt; Cuidado Capilar &gt; Acondicionador &gt;</t>
        </is>
      </c>
      <c r="L1190" s="2" t="inlineStr">
        <is>
          <t>acondicionador</t>
        </is>
      </c>
      <c r="M1190" s="2" t="inlineStr">
        <is>
          <t>estandar</t>
        </is>
      </c>
      <c r="N1190" s="2" t="inlineStr">
        <is>
          <t>tratado</t>
        </is>
      </c>
      <c r="O1190" s="2" t="inlineStr">
        <is>
          <t>https://www.jumbo.com.ar/acondicionador-tresemme-keratina-antifrizz-250-ml-2/p</t>
        </is>
      </c>
    </row>
    <row r="1191">
      <c r="A1191" t="inlineStr">
        <is>
          <t>Jumbo</t>
        </is>
      </c>
      <c r="B1191" t="n">
        <v>384197</v>
      </c>
      <c r="C1191" t="n">
        <v>382898</v>
      </c>
      <c r="D1191" t="inlineStr">
        <is>
          <t>Acondicionador Tresemme Ondas Boho 500 Ml</t>
        </is>
      </c>
      <c r="E1191" t="inlineStr">
        <is>
          <t>TRESEMMÉ</t>
        </is>
      </c>
      <c r="F1191" t="n">
        <v>1500</v>
      </c>
      <c r="G1191" t="n">
        <v>123967</v>
      </c>
      <c r="H1191" t="b">
        <v>0</v>
      </c>
      <c r="I1191" t="n">
        <v>500</v>
      </c>
      <c r="J1191" t="n">
        <v>3</v>
      </c>
      <c r="K1191" t="inlineStr">
        <is>
          <t>&gt; Perfumería &gt; Cuidado Capilar &gt; Acondicionador &gt;</t>
        </is>
      </c>
      <c r="L1191" t="inlineStr">
        <is>
          <t>acondicionador</t>
        </is>
      </c>
      <c r="M1191" t="inlineStr">
        <is>
          <t>estandar</t>
        </is>
      </c>
      <c r="N1191" t="inlineStr">
        <is>
          <t>general</t>
        </is>
      </c>
      <c r="O1191" t="inlineStr">
        <is>
          <t>https://www.jumbo.com.ar/acondicionador-tresemme-ondas-boho-500-ml-2/p</t>
        </is>
      </c>
    </row>
    <row r="1192">
      <c r="A1192" s="2" t="inlineStr">
        <is>
          <t>Jumbo</t>
        </is>
      </c>
      <c r="B1192" s="2" t="n">
        <v>354052</v>
      </c>
      <c r="C1192" s="2" t="n">
        <v>352683</v>
      </c>
      <c r="D1192" s="2" t="inlineStr">
        <is>
          <t>Acondicionador Elvive Kera-liso 230° 400ml</t>
        </is>
      </c>
      <c r="E1192" s="2" t="inlineStr">
        <is>
          <t>ELVIVE</t>
        </is>
      </c>
      <c r="F1192" s="2" t="n">
        <v>1239.09</v>
      </c>
      <c r="G1192" s="2" t="n">
        <v>102404</v>
      </c>
      <c r="H1192" s="2" t="b">
        <v>0</v>
      </c>
      <c r="I1192" s="2" t="n">
        <v>400</v>
      </c>
      <c r="J1192" s="2" t="n">
        <v>3.0977</v>
      </c>
      <c r="K1192" s="2" t="inlineStr">
        <is>
          <t>&gt; Perfumería &gt; Cuidado Capilar &gt; Acondicionador &gt;</t>
        </is>
      </c>
      <c r="L1192" s="2" t="inlineStr">
        <is>
          <t>acondicionador</t>
        </is>
      </c>
      <c r="M1192" s="2" t="inlineStr">
        <is>
          <t>profesional</t>
        </is>
      </c>
      <c r="N1192" s="2" t="inlineStr">
        <is>
          <t>general</t>
        </is>
      </c>
      <c r="O1192" s="2" t="inlineStr">
        <is>
          <t>https://www.jumbo.com.ar/acondicionador-elvive-kera-liso-230-400ml/p</t>
        </is>
      </c>
    </row>
    <row r="1193">
      <c r="A1193" t="inlineStr">
        <is>
          <t>Jumbo</t>
        </is>
      </c>
      <c r="B1193" t="n">
        <v>354050</v>
      </c>
      <c r="C1193" t="n">
        <v>352681</v>
      </c>
      <c r="D1193" t="inlineStr">
        <is>
          <t>Acondicionador Elvive Kera-liso 230° 200ml</t>
        </is>
      </c>
      <c r="E1193" t="inlineStr">
        <is>
          <t>ELVIVE</t>
        </is>
      </c>
      <c r="F1193" t="n">
        <v>1000</v>
      </c>
      <c r="G1193" t="n">
        <v>82645</v>
      </c>
      <c r="H1193" t="b">
        <v>0</v>
      </c>
      <c r="I1193" t="n">
        <v>200</v>
      </c>
      <c r="J1193" t="n">
        <v>5</v>
      </c>
      <c r="K1193" t="inlineStr">
        <is>
          <t>&gt; Perfumería &gt; Cuidado Capilar &gt; Acondicionador &gt;</t>
        </is>
      </c>
      <c r="L1193" t="inlineStr">
        <is>
          <t>acondicionador</t>
        </is>
      </c>
      <c r="M1193" t="inlineStr">
        <is>
          <t>profesional</t>
        </is>
      </c>
      <c r="N1193" t="inlineStr">
        <is>
          <t>general</t>
        </is>
      </c>
      <c r="O1193" t="inlineStr">
        <is>
          <t>https://www.jumbo.com.ar/acondicionador-elvive-kera-liso-230-200ml/p</t>
        </is>
      </c>
    </row>
    <row r="1194">
      <c r="A1194" s="2" t="inlineStr">
        <is>
          <t>Jumbo</t>
        </is>
      </c>
      <c r="B1194" s="2" t="n">
        <v>354043</v>
      </c>
      <c r="C1194" s="2" t="n">
        <v>352674</v>
      </c>
      <c r="D1194" s="2" t="inlineStr">
        <is>
          <t>Acondicionador Elvive Color Vive Protector 200ml</t>
        </is>
      </c>
      <c r="E1194" s="2" t="inlineStr">
        <is>
          <t>ELVIVE</t>
        </is>
      </c>
      <c r="F1194" s="2" t="n">
        <v>1000</v>
      </c>
      <c r="G1194" s="2" t="n">
        <v>82645</v>
      </c>
      <c r="H1194" s="2" t="b">
        <v>0</v>
      </c>
      <c r="I1194" s="2" t="n">
        <v>200</v>
      </c>
      <c r="J1194" s="2" t="n">
        <v>5</v>
      </c>
      <c r="K1194" s="2" t="inlineStr">
        <is>
          <t>&gt; Perfumería &gt; Cuidado Capilar &gt; Acondicionador &gt;</t>
        </is>
      </c>
      <c r="L1194" s="2" t="inlineStr">
        <is>
          <t>acondicionador</t>
        </is>
      </c>
      <c r="M1194" s="2" t="inlineStr">
        <is>
          <t>profesional</t>
        </is>
      </c>
      <c r="N1194" s="2" t="inlineStr">
        <is>
          <t>tratado</t>
        </is>
      </c>
      <c r="O1194" s="2" t="inlineStr">
        <is>
          <t>https://www.jumbo.com.ar/acondicionador-elvive-color-vive-protector-200ml/p</t>
        </is>
      </c>
    </row>
    <row r="1195">
      <c r="A1195" t="inlineStr">
        <is>
          <t>Jumbo</t>
        </is>
      </c>
      <c r="B1195" t="n">
        <v>353920</v>
      </c>
      <c r="C1195" t="n">
        <v>352551</v>
      </c>
      <c r="D1195" t="inlineStr">
        <is>
          <t>Acondicionador Plusbelle Escencia Reconstruccion 700 Ml</t>
        </is>
      </c>
      <c r="E1195" t="inlineStr">
        <is>
          <t>PLUSBELLE</t>
        </is>
      </c>
      <c r="F1195" t="n">
        <v>2650</v>
      </c>
      <c r="G1195" t="n">
        <v>219008</v>
      </c>
      <c r="H1195" t="b">
        <v>0</v>
      </c>
      <c r="I1195" t="n">
        <v>700</v>
      </c>
      <c r="J1195" t="n">
        <v>3.7857</v>
      </c>
      <c r="K1195" t="inlineStr">
        <is>
          <t>&gt; Perfumería &gt; Cuidado Capilar &gt; Acondicionador &gt;</t>
        </is>
      </c>
      <c r="L1195" t="inlineStr">
        <is>
          <t>acondicionador</t>
        </is>
      </c>
      <c r="M1195" t="inlineStr">
        <is>
          <t>estandar</t>
        </is>
      </c>
      <c r="N1195" t="inlineStr">
        <is>
          <t>general</t>
        </is>
      </c>
      <c r="O1195" t="inlineStr">
        <is>
          <t>https://www.jumbo.com.ar/acondicionador-plusbelle-escencia-reconstruccion-700-ml/p</t>
        </is>
      </c>
    </row>
    <row r="1196">
      <c r="A1196" s="2" t="inlineStr">
        <is>
          <t>Jumbo</t>
        </is>
      </c>
      <c r="B1196" s="2" t="n">
        <v>353868</v>
      </c>
      <c r="C1196" s="2" t="n">
        <v>352499</v>
      </c>
      <c r="D1196" s="2" t="inlineStr">
        <is>
          <t>Acondicionador Plusbelle Escencia Protección 700 Ml</t>
        </is>
      </c>
      <c r="E1196" s="2" t="inlineStr">
        <is>
          <t>PLUSBELLE</t>
        </is>
      </c>
      <c r="F1196" s="2" t="n">
        <v>2650</v>
      </c>
      <c r="G1196" s="2" t="n">
        <v>219008</v>
      </c>
      <c r="H1196" s="2" t="b">
        <v>0</v>
      </c>
      <c r="I1196" s="2" t="n">
        <v>700</v>
      </c>
      <c r="J1196" s="2" t="n">
        <v>3.7857</v>
      </c>
      <c r="K1196" s="2" t="inlineStr">
        <is>
          <t>&gt; Perfumería &gt; Cuidado Capilar &gt; Acondicionador &gt;</t>
        </is>
      </c>
      <c r="L1196" s="2" t="inlineStr">
        <is>
          <t>acondicionador</t>
        </is>
      </c>
      <c r="M1196" s="2" t="inlineStr">
        <is>
          <t>estandar</t>
        </is>
      </c>
      <c r="N1196" s="2" t="inlineStr">
        <is>
          <t>general</t>
        </is>
      </c>
      <c r="O1196" s="2" t="inlineStr">
        <is>
          <t>https://www.jumbo.com.ar/acondicionador-plusbelle-escencia-proteccion-700-ml/p</t>
        </is>
      </c>
    </row>
    <row r="1197">
      <c r="A1197" t="inlineStr">
        <is>
          <t>Jumbo</t>
        </is>
      </c>
      <c r="B1197" t="n">
        <v>349995</v>
      </c>
      <c r="C1197" t="n">
        <v>348655</v>
      </c>
      <c r="D1197" t="inlineStr">
        <is>
          <t>Acondicionador Elvive Reparador Total 5 200ml</t>
        </is>
      </c>
      <c r="E1197" t="inlineStr">
        <is>
          <t>ELVIVE</t>
        </is>
      </c>
      <c r="F1197" t="n">
        <v>1150</v>
      </c>
      <c r="G1197" t="n">
        <v>95041</v>
      </c>
      <c r="H1197" t="b">
        <v>0</v>
      </c>
      <c r="I1197" t="n">
        <v>200</v>
      </c>
      <c r="J1197" t="n">
        <v>5.75</v>
      </c>
      <c r="K1197" t="inlineStr">
        <is>
          <t>&gt; Perfumería &gt; Cuidado Capilar &gt; Acondicionador &gt;</t>
        </is>
      </c>
      <c r="L1197" t="inlineStr">
        <is>
          <t>acondicionador</t>
        </is>
      </c>
      <c r="M1197" t="inlineStr">
        <is>
          <t>profesional</t>
        </is>
      </c>
      <c r="N1197" t="inlineStr">
        <is>
          <t>general</t>
        </is>
      </c>
      <c r="O1197" t="inlineStr">
        <is>
          <t>https://www.jumbo.com.ar/acondicionador-elvive-reparador-total-5-200ml-2/p</t>
        </is>
      </c>
    </row>
    <row r="1198">
      <c r="A1198" s="2" t="inlineStr">
        <is>
          <t>Jumbo</t>
        </is>
      </c>
      <c r="B1198" s="2" t="n">
        <v>349473</v>
      </c>
      <c r="C1198" s="2" t="n">
        <v>348133</v>
      </c>
      <c r="D1198" s="2" t="inlineStr">
        <is>
          <t>Acondicionador Vitalidad Renovación 1000 Ml Plusbelle</t>
        </is>
      </c>
      <c r="E1198" s="2" t="inlineStr">
        <is>
          <t>PLUSBELLE</t>
        </is>
      </c>
      <c r="F1198" s="2" t="n">
        <v>4200</v>
      </c>
      <c r="G1198" s="2" t="n">
        <v>347107</v>
      </c>
      <c r="H1198" s="2" t="b">
        <v>0</v>
      </c>
      <c r="I1198" s="2" t="n">
        <v>1000</v>
      </c>
      <c r="J1198" s="2" t="n">
        <v>4.2</v>
      </c>
      <c r="K1198" s="2" t="inlineStr">
        <is>
          <t>&gt; Perfumería &gt; Cuidado Capilar &gt; Acondicionador &gt;</t>
        </is>
      </c>
      <c r="L1198" s="2" t="inlineStr">
        <is>
          <t>acondicionador</t>
        </is>
      </c>
      <c r="M1198" s="2" t="inlineStr">
        <is>
          <t>estandar</t>
        </is>
      </c>
      <c r="N1198" s="2" t="inlineStr">
        <is>
          <t>general</t>
        </is>
      </c>
      <c r="O1198" s="2" t="inlineStr">
        <is>
          <t>https://www.jumbo.com.ar/acondicionador-vitalidad-renovacion-1000-ml-plusbelle/p</t>
        </is>
      </c>
    </row>
    <row r="1199">
      <c r="A1199" t="inlineStr">
        <is>
          <t>Jumbo</t>
        </is>
      </c>
      <c r="B1199" t="n">
        <v>348056</v>
      </c>
      <c r="C1199" t="n">
        <v>346731</v>
      </c>
      <c r="D1199" t="inlineStr">
        <is>
          <t>Acondicionador Algabo Brillo Eco-pack 930ml</t>
        </is>
      </c>
      <c r="E1199" t="inlineStr">
        <is>
          <t>ELVIVE</t>
        </is>
      </c>
      <c r="F1199" t="n">
        <v>221.47</v>
      </c>
      <c r="G1199" t="n">
        <v>18303</v>
      </c>
      <c r="H1199" t="b">
        <v>0</v>
      </c>
      <c r="I1199" t="n">
        <v>930</v>
      </c>
      <c r="J1199" t="n">
        <v>0.2381</v>
      </c>
      <c r="K1199" t="inlineStr">
        <is>
          <t>&gt; Perfumería &gt; Cuidado Capilar &gt; Acondicionador &gt;</t>
        </is>
      </c>
      <c r="L1199" t="inlineStr">
        <is>
          <t>acondicionador</t>
        </is>
      </c>
      <c r="M1199" t="inlineStr">
        <is>
          <t>profesional</t>
        </is>
      </c>
      <c r="N1199" t="inlineStr">
        <is>
          <t>general</t>
        </is>
      </c>
      <c r="O1199" t="inlineStr">
        <is>
          <t>https://www.jumbo.com.ar/acondicionador-algabo-brillo-eco-pack-930ml-2/p</t>
        </is>
      </c>
    </row>
    <row r="1200">
      <c r="A1200" s="2" t="inlineStr">
        <is>
          <t>Jumbo</t>
        </is>
      </c>
      <c r="B1200" s="2" t="n">
        <v>348043</v>
      </c>
      <c r="C1200" s="2" t="n">
        <v>346718</v>
      </c>
      <c r="D1200" s="2" t="inlineStr">
        <is>
          <t>Acondicionador Algabo Suavidad Eco-pack 930ml</t>
        </is>
      </c>
      <c r="E1200" s="2" t="inlineStr">
        <is>
          <t>ELVIVE</t>
        </is>
      </c>
      <c r="F1200" s="2" t="n">
        <v>221.47</v>
      </c>
      <c r="G1200" s="2" t="n">
        <v>18303</v>
      </c>
      <c r="H1200" s="2" t="b">
        <v>0</v>
      </c>
      <c r="I1200" s="2" t="n">
        <v>930</v>
      </c>
      <c r="J1200" s="2" t="n">
        <v>0.2381</v>
      </c>
      <c r="K1200" s="2" t="inlineStr">
        <is>
          <t>&gt; Perfumería &gt; Cuidado Capilar &gt; Acondicionador &gt;</t>
        </is>
      </c>
      <c r="L1200" s="2" t="inlineStr">
        <is>
          <t>acondicionador</t>
        </is>
      </c>
      <c r="M1200" s="2" t="inlineStr">
        <is>
          <t>profesional</t>
        </is>
      </c>
      <c r="N1200" s="2" t="inlineStr">
        <is>
          <t>general</t>
        </is>
      </c>
      <c r="O1200" s="2" t="inlineStr">
        <is>
          <t>https://www.jumbo.com.ar/acondicionador-algabo-suavidad-eco-pack-930ml-2/p</t>
        </is>
      </c>
    </row>
    <row r="1201">
      <c r="A1201" t="inlineStr">
        <is>
          <t>Jumbo</t>
        </is>
      </c>
      <c r="B1201" t="n">
        <v>347726</v>
      </c>
      <c r="C1201" t="n">
        <v>346401</v>
      </c>
      <c r="D1201" t="inlineStr">
        <is>
          <t>Acondicionador  Sedal  Restauración Instantánea  190 Ml</t>
        </is>
      </c>
      <c r="E1201" t="inlineStr">
        <is>
          <t>SEDAL</t>
        </is>
      </c>
      <c r="F1201" t="n">
        <v>600</v>
      </c>
      <c r="G1201" t="n">
        <v>49587</v>
      </c>
      <c r="H1201" t="b">
        <v>0</v>
      </c>
      <c r="I1201" t="n">
        <v>190</v>
      </c>
      <c r="J1201" t="n">
        <v>3.1579</v>
      </c>
      <c r="K1201" t="inlineStr">
        <is>
          <t>&gt; Perfumería &gt; Cuidado Capilar &gt; Acondicionador &gt;</t>
        </is>
      </c>
      <c r="L1201" t="inlineStr">
        <is>
          <t>acondicionador</t>
        </is>
      </c>
      <c r="M1201" t="inlineStr">
        <is>
          <t>estandar</t>
        </is>
      </c>
      <c r="N1201" t="inlineStr">
        <is>
          <t>general</t>
        </is>
      </c>
      <c r="O1201" t="inlineStr">
        <is>
          <t>https://www.jumbo.com.ar/acondicionador-sedal-restauracion-instantanea-190-ml-2/p</t>
        </is>
      </c>
    </row>
    <row r="1202">
      <c r="A1202" s="2" t="inlineStr">
        <is>
          <t>Jumbo</t>
        </is>
      </c>
      <c r="B1202" s="2" t="n">
        <v>347694</v>
      </c>
      <c r="C1202" s="2" t="n">
        <v>346369</v>
      </c>
      <c r="D1202" s="2" t="inlineStr">
        <is>
          <t>Acondicionador  Sedal  Liso Perfecto  650 Ml</t>
        </is>
      </c>
      <c r="E1202" s="2" t="inlineStr">
        <is>
          <t>SEDAL</t>
        </is>
      </c>
      <c r="F1202" s="2" t="n">
        <v>880.05</v>
      </c>
      <c r="G1202" s="2" t="n">
        <v>72731</v>
      </c>
      <c r="H1202" s="2" t="b">
        <v>0</v>
      </c>
      <c r="I1202" s="2" t="n">
        <v>650</v>
      </c>
      <c r="J1202" s="2" t="n">
        <v>1.3539</v>
      </c>
      <c r="K1202" s="2" t="inlineStr">
        <is>
          <t>&gt; Perfumería &gt; Cuidado Capilar &gt; Acondicionador &gt;</t>
        </is>
      </c>
      <c r="L1202" s="2" t="inlineStr">
        <is>
          <t>acondicionador</t>
        </is>
      </c>
      <c r="M1202" s="2" t="inlineStr">
        <is>
          <t>estandar</t>
        </is>
      </c>
      <c r="N1202" s="2" t="inlineStr">
        <is>
          <t>general</t>
        </is>
      </c>
      <c r="O1202" s="2" t="inlineStr">
        <is>
          <t>https://www.jumbo.com.ar/acondicionador-sedal-liso-perfecto-650-ml/p</t>
        </is>
      </c>
    </row>
    <row r="1203">
      <c r="A1203" t="inlineStr">
        <is>
          <t>Jumbo</t>
        </is>
      </c>
      <c r="B1203" t="n">
        <v>346764</v>
      </c>
      <c r="C1203" t="n">
        <v>345439</v>
      </c>
      <c r="D1203" t="inlineStr">
        <is>
          <t>Acondicionador Arcilla Extraordinaria 400 Ml Elvive</t>
        </is>
      </c>
      <c r="E1203" t="inlineStr">
        <is>
          <t>ELVIVE</t>
        </is>
      </c>
      <c r="F1203" t="n">
        <v>9550</v>
      </c>
      <c r="G1203" t="n">
        <v>789256</v>
      </c>
      <c r="H1203" t="b">
        <v>0</v>
      </c>
      <c r="I1203" t="n">
        <v>400</v>
      </c>
      <c r="J1203" t="n">
        <v>23.875</v>
      </c>
      <c r="K1203" t="inlineStr">
        <is>
          <t>&gt; Perfumería &gt; Cuidado Capilar &gt; Acondicionador &gt;</t>
        </is>
      </c>
      <c r="L1203" t="inlineStr">
        <is>
          <t>acondicionador</t>
        </is>
      </c>
      <c r="M1203" t="inlineStr">
        <is>
          <t>profesional</t>
        </is>
      </c>
      <c r="N1203" t="inlineStr">
        <is>
          <t>general</t>
        </is>
      </c>
      <c r="O1203" t="inlineStr">
        <is>
          <t>https://www.jumbo.com.ar/acodicionador-elvive-arcilla-purificante-400-ml/p</t>
        </is>
      </c>
    </row>
    <row r="1204">
      <c r="A1204" s="2" t="inlineStr">
        <is>
          <t>Jumbo</t>
        </is>
      </c>
      <c r="B1204" s="2" t="n">
        <v>346760</v>
      </c>
      <c r="C1204" s="2" t="n">
        <v>345435</v>
      </c>
      <c r="D1204" s="2" t="inlineStr">
        <is>
          <t>Acondicionador Arcilla Extraordinaria 200 Ml Elvive Acodicionador Elvive Arcilla Purificante 200ml</t>
        </is>
      </c>
      <c r="E1204" s="2" t="inlineStr">
        <is>
          <t>ELVIVE</t>
        </is>
      </c>
      <c r="F1204" s="2" t="n">
        <v>5450</v>
      </c>
      <c r="G1204" s="2" t="n">
        <v>450413</v>
      </c>
      <c r="H1204" s="2" t="b">
        <v>0</v>
      </c>
      <c r="I1204" s="2" t="n">
        <v>200</v>
      </c>
      <c r="J1204" s="2" t="n">
        <v>27.25</v>
      </c>
      <c r="K1204" s="2" t="inlineStr">
        <is>
          <t>&gt; Perfumería &gt; Cuidado Capilar &gt; Acondicionador &gt;</t>
        </is>
      </c>
      <c r="L1204" s="2" t="inlineStr">
        <is>
          <t>acondicionador</t>
        </is>
      </c>
      <c r="M1204" s="2" t="inlineStr">
        <is>
          <t>profesional</t>
        </is>
      </c>
      <c r="N1204" s="2" t="inlineStr">
        <is>
          <t>general</t>
        </is>
      </c>
      <c r="O1204" s="2" t="inlineStr">
        <is>
          <t>https://www.jumbo.com.ar/acodicionador-elvive-arcilla-purificante-200ml/p</t>
        </is>
      </c>
    </row>
    <row r="1205">
      <c r="A1205" t="inlineStr">
        <is>
          <t>Jumbo</t>
        </is>
      </c>
      <c r="B1205" t="n">
        <v>346752</v>
      </c>
      <c r="C1205" t="n">
        <v>345427</v>
      </c>
      <c r="D1205" t="inlineStr">
        <is>
          <t>Acondicionador Elvive Dream Length 400 Ml</t>
        </is>
      </c>
      <c r="E1205" t="inlineStr">
        <is>
          <t>ELVIVE</t>
        </is>
      </c>
      <c r="F1205" t="n">
        <v>10800</v>
      </c>
      <c r="G1205" t="n">
        <v>892562</v>
      </c>
      <c r="H1205" t="b">
        <v>0</v>
      </c>
      <c r="I1205" t="n">
        <v>400</v>
      </c>
      <c r="J1205" t="n">
        <v>27</v>
      </c>
      <c r="K1205" t="inlineStr">
        <is>
          <t>&gt; Perfumería &gt; Cuidado Capilar &gt; Acondicionador &gt;</t>
        </is>
      </c>
      <c r="L1205" t="inlineStr">
        <is>
          <t>acondicionador</t>
        </is>
      </c>
      <c r="M1205" t="inlineStr">
        <is>
          <t>profesional</t>
        </is>
      </c>
      <c r="N1205" t="inlineStr">
        <is>
          <t>general</t>
        </is>
      </c>
      <c r="O1205" t="inlineStr">
        <is>
          <t>https://www.jumbo.com.ar/acondicionador-elvive-dream-length-400-ml/p</t>
        </is>
      </c>
    </row>
    <row r="1206">
      <c r="A1206" s="2" t="inlineStr">
        <is>
          <t>Jumbo</t>
        </is>
      </c>
      <c r="B1206" s="2" t="n">
        <v>345301</v>
      </c>
      <c r="C1206" s="2" t="n">
        <v>343986</v>
      </c>
      <c r="D1206" s="2" t="inlineStr">
        <is>
          <t>Acondicionador Pantene Prov Essent Cuidado 400ml</t>
        </is>
      </c>
      <c r="E1206" s="2" t="inlineStr">
        <is>
          <t>PANTENE</t>
        </is>
      </c>
      <c r="F1206" s="2" t="n">
        <v>800</v>
      </c>
      <c r="G1206" s="2" t="n">
        <v>66116</v>
      </c>
      <c r="H1206" s="2" t="b">
        <v>0</v>
      </c>
      <c r="I1206" s="2" t="n">
        <v>400</v>
      </c>
      <c r="J1206" s="2" t="n">
        <v>2</v>
      </c>
      <c r="K1206" s="2" t="inlineStr">
        <is>
          <t>&gt; Perfumería &gt; Cuidado Capilar &gt; Acondicionador &gt;</t>
        </is>
      </c>
      <c r="L1206" s="2" t="inlineStr">
        <is>
          <t>acondicionador</t>
        </is>
      </c>
      <c r="M1206" s="2" t="inlineStr">
        <is>
          <t>profesional</t>
        </is>
      </c>
      <c r="N1206" s="2" t="inlineStr">
        <is>
          <t>general</t>
        </is>
      </c>
      <c r="O1206" s="2" t="inlineStr">
        <is>
          <t>https://www.jumbo.com.ar/acondicionador-pantene-prov-essent-cuidado-400ml/p</t>
        </is>
      </c>
    </row>
    <row r="1207">
      <c r="A1207" t="inlineStr">
        <is>
          <t>Jumbo</t>
        </is>
      </c>
      <c r="B1207" t="n">
        <v>345299</v>
      </c>
      <c r="C1207" t="n">
        <v>343984</v>
      </c>
      <c r="D1207" t="inlineStr">
        <is>
          <t>Acondicionador Panetene Prov Essentials Bambu 750ml</t>
        </is>
      </c>
      <c r="E1207" t="inlineStr">
        <is>
          <t>PANTENE</t>
        </is>
      </c>
      <c r="F1207" t="n">
        <v>1496.95</v>
      </c>
      <c r="G1207" t="n">
        <v>123715</v>
      </c>
      <c r="H1207" t="b">
        <v>0</v>
      </c>
      <c r="I1207" t="n">
        <v>750</v>
      </c>
      <c r="J1207" t="n">
        <v>1.9959</v>
      </c>
      <c r="K1207" t="inlineStr">
        <is>
          <t>&gt; Perfumería &gt; Cuidado Capilar &gt; Acondicionador &gt;</t>
        </is>
      </c>
      <c r="L1207" t="inlineStr">
        <is>
          <t>acondicionador</t>
        </is>
      </c>
      <c r="M1207" t="inlineStr">
        <is>
          <t>estandar</t>
        </is>
      </c>
      <c r="N1207" t="inlineStr">
        <is>
          <t>general</t>
        </is>
      </c>
      <c r="O1207" t="inlineStr">
        <is>
          <t>https://www.jumbo.com.ar/acondicionador-panetene-prov-essentials-bambu-750ml/p</t>
        </is>
      </c>
    </row>
    <row r="1208">
      <c r="A1208" s="2" t="inlineStr">
        <is>
          <t>Jumbo</t>
        </is>
      </c>
      <c r="B1208" s="2" t="n">
        <v>345273</v>
      </c>
      <c r="C1208" s="2" t="n">
        <v>343958</v>
      </c>
      <c r="D1208" s="2" t="inlineStr">
        <is>
          <t>Acondicionador Pantene Prov Essentials Hidratante 400ml</t>
        </is>
      </c>
      <c r="E1208" s="2" t="inlineStr">
        <is>
          <t>PANTENE</t>
        </is>
      </c>
      <c r="F1208" s="2" t="n">
        <v>858.79</v>
      </c>
      <c r="G1208" s="2" t="n">
        <v>70974</v>
      </c>
      <c r="H1208" s="2" t="b">
        <v>0</v>
      </c>
      <c r="I1208" s="2" t="n">
        <v>400</v>
      </c>
      <c r="J1208" s="2" t="n">
        <v>2.147</v>
      </c>
      <c r="K1208" s="2" t="inlineStr">
        <is>
          <t>&gt; Perfumería &gt; Cuidado Capilar &gt; Acondicionador &gt;</t>
        </is>
      </c>
      <c r="L1208" s="2" t="inlineStr">
        <is>
          <t>acondicionador</t>
        </is>
      </c>
      <c r="M1208" s="2" t="inlineStr">
        <is>
          <t>profesional</t>
        </is>
      </c>
      <c r="N1208" s="2" t="inlineStr">
        <is>
          <t>seco_danado</t>
        </is>
      </c>
      <c r="O1208" s="2" t="inlineStr">
        <is>
          <t>https://www.jumbo.com.ar/acondicionador-pantene-prov-essentials-hidratante-400ml/p</t>
        </is>
      </c>
    </row>
    <row r="1209">
      <c r="A1209" t="inlineStr">
        <is>
          <t>Jumbo</t>
        </is>
      </c>
      <c r="B1209" t="n">
        <v>345112</v>
      </c>
      <c r="C1209" t="n">
        <v>343797</v>
      </c>
      <c r="D1209" t="inlineStr">
        <is>
          <t>Acondicionador Pantene Prov Essentials Brillo 750ml</t>
        </is>
      </c>
      <c r="E1209" t="inlineStr">
        <is>
          <t>PANTENE</t>
        </is>
      </c>
      <c r="F1209" t="n">
        <v>1450.49</v>
      </c>
      <c r="G1209" t="n">
        <v>119875</v>
      </c>
      <c r="H1209" t="b">
        <v>0</v>
      </c>
      <c r="I1209" t="n">
        <v>750</v>
      </c>
      <c r="J1209" t="n">
        <v>1.934</v>
      </c>
      <c r="K1209" t="inlineStr">
        <is>
          <t>&gt; Perfumería &gt; Cuidado Capilar &gt; Acondicionador &gt;</t>
        </is>
      </c>
      <c r="L1209" t="inlineStr">
        <is>
          <t>acondicionador</t>
        </is>
      </c>
      <c r="M1209" t="inlineStr">
        <is>
          <t>profesional</t>
        </is>
      </c>
      <c r="N1209" t="inlineStr">
        <is>
          <t>general</t>
        </is>
      </c>
      <c r="O1209" t="inlineStr">
        <is>
          <t>https://www.jumbo.com.ar/acondicionador-pantene-prov-essentials-brillo-750ml/p</t>
        </is>
      </c>
    </row>
    <row r="1210">
      <c r="A1210" s="2" t="inlineStr">
        <is>
          <t>Jumbo</t>
        </is>
      </c>
      <c r="B1210" s="2" t="n">
        <v>345104</v>
      </c>
      <c r="C1210" s="2" t="n">
        <v>343789</v>
      </c>
      <c r="D1210" s="2" t="inlineStr">
        <is>
          <t>Acondicionador Pantene Prov Essentials Fuerza 400ml</t>
        </is>
      </c>
      <c r="E1210" s="2" t="inlineStr">
        <is>
          <t>PANTENE</t>
        </is>
      </c>
      <c r="F1210" s="2" t="n">
        <v>1550</v>
      </c>
      <c r="G1210" s="2" t="n">
        <v>128099</v>
      </c>
      <c r="H1210" s="2" t="b">
        <v>0</v>
      </c>
      <c r="I1210" s="2" t="n">
        <v>400</v>
      </c>
      <c r="J1210" s="2" t="n">
        <v>3.875</v>
      </c>
      <c r="K1210" s="2" t="inlineStr">
        <is>
          <t>&gt; Perfumería &gt; Cuidado Capilar &gt; Acondicionador &gt;</t>
        </is>
      </c>
      <c r="L1210" s="2" t="inlineStr">
        <is>
          <t>acondicionador</t>
        </is>
      </c>
      <c r="M1210" s="2" t="inlineStr">
        <is>
          <t>profesional</t>
        </is>
      </c>
      <c r="N1210" s="2" t="inlineStr">
        <is>
          <t>general</t>
        </is>
      </c>
      <c r="O1210" s="2" t="inlineStr">
        <is>
          <t>https://www.jumbo.com.ar/acondicionador-pantene-prov-essentials-fuerza-400ml/p</t>
        </is>
      </c>
    </row>
    <row r="1211">
      <c r="A1211" t="inlineStr">
        <is>
          <t>Jumbo</t>
        </is>
      </c>
      <c r="B1211" t="n">
        <v>345052</v>
      </c>
      <c r="C1211" t="n">
        <v>343737</v>
      </c>
      <c r="D1211" t="inlineStr">
        <is>
          <t>Acondicionador Pantene Prov Essentials Micelar 750ml</t>
        </is>
      </c>
      <c r="E1211" t="inlineStr">
        <is>
          <t>PANTENE</t>
        </is>
      </c>
      <c r="F1211" t="n">
        <v>1544.85</v>
      </c>
      <c r="G1211" t="n">
        <v>127674</v>
      </c>
      <c r="H1211" t="b">
        <v>0</v>
      </c>
      <c r="I1211" t="n">
        <v>750</v>
      </c>
      <c r="J1211" t="n">
        <v>2.0598</v>
      </c>
      <c r="K1211" t="inlineStr">
        <is>
          <t>&gt; Perfumería &gt; Cuidado Capilar &gt; Acondicionador &gt;</t>
        </is>
      </c>
      <c r="L1211" t="inlineStr">
        <is>
          <t>acondicionador</t>
        </is>
      </c>
      <c r="M1211" t="inlineStr">
        <is>
          <t>profesional</t>
        </is>
      </c>
      <c r="N1211" t="inlineStr">
        <is>
          <t>general</t>
        </is>
      </c>
      <c r="O1211" t="inlineStr">
        <is>
          <t>https://www.jumbo.com.ar/acondicionador-pantene-prov-essentials-micelar-750ml/p</t>
        </is>
      </c>
    </row>
    <row r="1212">
      <c r="A1212" s="2" t="inlineStr">
        <is>
          <t>Jumbo</t>
        </is>
      </c>
      <c r="B1212" s="2" t="n">
        <v>336021</v>
      </c>
      <c r="C1212" s="2" t="n">
        <v>335131</v>
      </c>
      <c r="D1212" s="2" t="inlineStr">
        <is>
          <t>Acondicionador Sedal Bomba Nutri Antifrizz 650ml</t>
        </is>
      </c>
      <c r="E1212" s="2" t="inlineStr">
        <is>
          <t>SEDAL</t>
        </is>
      </c>
      <c r="F1212" s="2" t="n">
        <v>457.87</v>
      </c>
      <c r="G1212" s="2" t="n">
        <v>37841</v>
      </c>
      <c r="H1212" s="2" t="b">
        <v>0</v>
      </c>
      <c r="I1212" s="2" t="n">
        <v>650</v>
      </c>
      <c r="J1212" s="2" t="n">
        <v>0.7044</v>
      </c>
      <c r="K1212" s="2" t="inlineStr">
        <is>
          <t>&gt; Perfumería &gt; Cuidado Capilar &gt; Acondicionador &gt;</t>
        </is>
      </c>
      <c r="L1212" s="2" t="inlineStr">
        <is>
          <t>acondicionador</t>
        </is>
      </c>
      <c r="M1212" s="2" t="inlineStr">
        <is>
          <t>estandar</t>
        </is>
      </c>
      <c r="N1212" s="2" t="inlineStr">
        <is>
          <t>general</t>
        </is>
      </c>
      <c r="O1212" s="2" t="inlineStr">
        <is>
          <t>https://www.jumbo.com.ar/acondicionador-sedal-bomba-nutri-antifrizz-650ml/p</t>
        </is>
      </c>
    </row>
    <row r="1213">
      <c r="A1213" t="inlineStr">
        <is>
          <t>Jumbo</t>
        </is>
      </c>
      <c r="B1213" t="n">
        <v>332081</v>
      </c>
      <c r="C1213" t="n">
        <v>331242</v>
      </c>
      <c r="D1213" t="inlineStr">
        <is>
          <t>Acondicionador Dove Ritual Detox 400 Ml</t>
        </is>
      </c>
      <c r="E1213" t="inlineStr">
        <is>
          <t>DOVE</t>
        </is>
      </c>
      <c r="F1213" t="n">
        <v>397.79</v>
      </c>
      <c r="G1213" t="n">
        <v>32875</v>
      </c>
      <c r="H1213" t="b">
        <v>0</v>
      </c>
      <c r="I1213" t="n">
        <v>400</v>
      </c>
      <c r="J1213" t="n">
        <v>0.9945000000000001</v>
      </c>
      <c r="K1213" t="inlineStr">
        <is>
          <t>&gt; Perfumería &gt; Cuidado Capilar &gt; Acondicionador &gt;</t>
        </is>
      </c>
      <c r="L1213" t="inlineStr">
        <is>
          <t>acondicionador</t>
        </is>
      </c>
      <c r="M1213" t="inlineStr">
        <is>
          <t>estandar</t>
        </is>
      </c>
      <c r="N1213" t="inlineStr">
        <is>
          <t>general</t>
        </is>
      </c>
      <c r="O1213" t="inlineStr">
        <is>
          <t>https://www.jumbo.com.ar/acondicionador-dove-ritual-detox-400-ml/p</t>
        </is>
      </c>
    </row>
    <row r="1214">
      <c r="A1214" s="2" t="inlineStr">
        <is>
          <t>Jumbo</t>
        </is>
      </c>
      <c r="B1214" s="2" t="n">
        <v>332078</v>
      </c>
      <c r="C1214" s="2" t="n">
        <v>331238</v>
      </c>
      <c r="D1214" s="2" t="inlineStr">
        <is>
          <t>Acondicionador Dove Ritual De Fortalecimiento 400 Ml</t>
        </is>
      </c>
      <c r="E1214" s="2" t="inlineStr">
        <is>
          <t>DOVE</t>
        </is>
      </c>
      <c r="F1214" s="2" t="n">
        <v>463.89</v>
      </c>
      <c r="G1214" s="2" t="n">
        <v>38338</v>
      </c>
      <c r="H1214" s="2" t="b">
        <v>0</v>
      </c>
      <c r="I1214" s="2" t="n">
        <v>400</v>
      </c>
      <c r="J1214" s="2" t="n">
        <v>1.1597</v>
      </c>
      <c r="K1214" s="2" t="inlineStr">
        <is>
          <t>&gt; Perfumería &gt; Cuidado Capilar &gt; Acondicionador &gt;</t>
        </is>
      </c>
      <c r="L1214" s="2" t="inlineStr">
        <is>
          <t>acondicionador</t>
        </is>
      </c>
      <c r="M1214" s="2" t="inlineStr">
        <is>
          <t>estandar</t>
        </is>
      </c>
      <c r="N1214" s="2" t="inlineStr">
        <is>
          <t>general</t>
        </is>
      </c>
      <c r="O1214" s="2" t="inlineStr">
        <is>
          <t>https://www.jumbo.com.ar/acondicionador-dove-ritual-de-fortalecimiento-400-ml/p</t>
        </is>
      </c>
    </row>
    <row r="1215">
      <c r="A1215" t="inlineStr">
        <is>
          <t>Jumbo</t>
        </is>
      </c>
      <c r="B1215" t="n">
        <v>309882</v>
      </c>
      <c r="C1215" t="n">
        <v>309119</v>
      </c>
      <c r="D1215" t="inlineStr">
        <is>
          <t>Acondicionador Swing Repa Intensa 200 Ml</t>
        </is>
      </c>
      <c r="E1215" t="inlineStr">
        <is>
          <t>SWING</t>
        </is>
      </c>
      <c r="F1215" t="n">
        <v>63.05</v>
      </c>
      <c r="G1215" t="n">
        <v>5211</v>
      </c>
      <c r="H1215" t="b">
        <v>0</v>
      </c>
      <c r="I1215" t="n">
        <v>200</v>
      </c>
      <c r="J1215" t="n">
        <v>0.3152</v>
      </c>
      <c r="K1215" t="inlineStr">
        <is>
          <t>&gt; Perfumería &gt; Cuidado Capilar &gt; Acondicionador &gt;</t>
        </is>
      </c>
      <c r="L1215" t="inlineStr">
        <is>
          <t>acondicionador</t>
        </is>
      </c>
      <c r="M1215" t="inlineStr">
        <is>
          <t>estandar</t>
        </is>
      </c>
      <c r="N1215" t="inlineStr">
        <is>
          <t>general</t>
        </is>
      </c>
      <c r="O1215" t="inlineStr">
        <is>
          <t>https://www.jumbo.com.ar/acondicionador-swing-repa-intensa-200-ml/p</t>
        </is>
      </c>
    </row>
    <row r="1216">
      <c r="A1216" s="2" t="inlineStr">
        <is>
          <t>Jumbo</t>
        </is>
      </c>
      <c r="B1216" s="2" t="n">
        <v>309877</v>
      </c>
      <c r="C1216" s="2" t="n">
        <v>309114</v>
      </c>
      <c r="D1216" s="2" t="inlineStr">
        <is>
          <t>Acondicionador Swing Hidratacion Profunda 400 Ml</t>
        </is>
      </c>
      <c r="E1216" s="2" t="inlineStr">
        <is>
          <t>SWING</t>
        </is>
      </c>
      <c r="F1216" s="2" t="n">
        <v>900</v>
      </c>
      <c r="G1216" s="2" t="n">
        <v>74380</v>
      </c>
      <c r="H1216" s="2" t="b">
        <v>0</v>
      </c>
      <c r="I1216" s="2" t="n">
        <v>400</v>
      </c>
      <c r="J1216" s="2" t="n">
        <v>2.25</v>
      </c>
      <c r="K1216" s="2" t="inlineStr">
        <is>
          <t>&gt; Perfumería &gt; Cuidado Capilar &gt; Acondicionador &gt;</t>
        </is>
      </c>
      <c r="L1216" s="2" t="inlineStr">
        <is>
          <t>acondicionador</t>
        </is>
      </c>
      <c r="M1216" s="2" t="inlineStr">
        <is>
          <t>estandar</t>
        </is>
      </c>
      <c r="N1216" s="2" t="inlineStr">
        <is>
          <t>seco_danado</t>
        </is>
      </c>
      <c r="O1216" s="2" t="inlineStr">
        <is>
          <t>https://www.jumbo.com.ar/acondicionador-swing-hidratacion-profunda-400-ml/p</t>
        </is>
      </c>
    </row>
    <row r="1217">
      <c r="A1217" t="inlineStr">
        <is>
          <t>Jumbo</t>
        </is>
      </c>
      <c r="B1217" t="n">
        <v>295447</v>
      </c>
      <c r="C1217" t="n">
        <v>294676</v>
      </c>
      <c r="D1217" t="inlineStr">
        <is>
          <t>Acondicionador Plusbelle Esencia Largo 1 L</t>
        </is>
      </c>
      <c r="E1217" t="inlineStr">
        <is>
          <t>PLUSBELLE</t>
        </is>
      </c>
      <c r="F1217" t="n">
        <v>239.47</v>
      </c>
      <c r="G1217" t="n">
        <v>19791</v>
      </c>
      <c r="H1217" t="b">
        <v>0</v>
      </c>
      <c r="I1217" t="n">
        <v>1000</v>
      </c>
      <c r="J1217" t="n">
        <v>0.2395</v>
      </c>
      <c r="K1217" t="inlineStr">
        <is>
          <t>&gt; Perfumería &gt; Cuidado Capilar &gt; Acondicionador &gt;</t>
        </is>
      </c>
      <c r="L1217" t="inlineStr">
        <is>
          <t>acondicionador</t>
        </is>
      </c>
      <c r="M1217" t="inlineStr">
        <is>
          <t>estandar</t>
        </is>
      </c>
      <c r="N1217" t="inlineStr">
        <is>
          <t>general</t>
        </is>
      </c>
      <c r="O1217" t="inlineStr">
        <is>
          <t>https://www.jumbo.com.ar/acondicionador-plusbelle-esencia-largo-1-l/p</t>
        </is>
      </c>
    </row>
    <row r="1218">
      <c r="A1218" s="2" t="inlineStr">
        <is>
          <t>Jumbo</t>
        </is>
      </c>
      <c r="B1218" s="2" t="n">
        <v>295010</v>
      </c>
      <c r="C1218" s="2" t="n">
        <v>294241</v>
      </c>
      <c r="D1218" s="2" t="inlineStr">
        <is>
          <t>Acondicionador Sedal Bomba Coco 650 Ml</t>
        </is>
      </c>
      <c r="E1218" s="2" t="inlineStr">
        <is>
          <t>SEDAL</t>
        </is>
      </c>
      <c r="F1218" s="2" t="n">
        <v>246.25</v>
      </c>
      <c r="G1218" s="2" t="n">
        <v>20351</v>
      </c>
      <c r="H1218" s="2" t="b">
        <v>0</v>
      </c>
      <c r="I1218" s="2" t="n">
        <v>650</v>
      </c>
      <c r="J1218" s="2" t="n">
        <v>0.3788</v>
      </c>
      <c r="K1218" s="2" t="inlineStr">
        <is>
          <t>&gt; Perfumería &gt; Cuidado Capilar &gt; Acondicionador &gt;</t>
        </is>
      </c>
      <c r="L1218" s="2" t="inlineStr">
        <is>
          <t>acondicionador</t>
        </is>
      </c>
      <c r="M1218" s="2" t="inlineStr">
        <is>
          <t>estandar</t>
        </is>
      </c>
      <c r="N1218" s="2" t="inlineStr">
        <is>
          <t>general</t>
        </is>
      </c>
      <c r="O1218" s="2" t="inlineStr">
        <is>
          <t>https://www.jumbo.com.ar/acondicionador-sedal-bomba-coco-650-ml/p</t>
        </is>
      </c>
    </row>
    <row r="1219">
      <c r="A1219" t="inlineStr">
        <is>
          <t>Jumbo</t>
        </is>
      </c>
      <c r="B1219" t="n">
        <v>295007</v>
      </c>
      <c r="C1219" t="n">
        <v>294238</v>
      </c>
      <c r="D1219" t="inlineStr">
        <is>
          <t>Acondicionador Sedal Bomba Coco 340 Ml</t>
        </is>
      </c>
      <c r="E1219" t="inlineStr">
        <is>
          <t>SEDAL</t>
        </is>
      </c>
      <c r="F1219" t="n">
        <v>155.69</v>
      </c>
      <c r="G1219" t="n">
        <v>12867</v>
      </c>
      <c r="H1219" t="b">
        <v>0</v>
      </c>
      <c r="I1219" t="n">
        <v>340</v>
      </c>
      <c r="J1219" t="n">
        <v>0.4579</v>
      </c>
      <c r="K1219" t="inlineStr">
        <is>
          <t>&gt; Perfumería &gt; Cuidado Capilar &gt; Acondicionador &gt;</t>
        </is>
      </c>
      <c r="L1219" t="inlineStr">
        <is>
          <t>acondicionador</t>
        </is>
      </c>
      <c r="M1219" t="inlineStr">
        <is>
          <t>estandar</t>
        </is>
      </c>
      <c r="N1219" t="inlineStr">
        <is>
          <t>general</t>
        </is>
      </c>
      <c r="O1219" t="inlineStr">
        <is>
          <t>https://www.jumbo.com.ar/acondicionador-sedal-bomba-coco-340-ml/p</t>
        </is>
      </c>
    </row>
    <row r="1220">
      <c r="A1220" s="2" t="inlineStr">
        <is>
          <t>Jumbo</t>
        </is>
      </c>
      <c r="B1220" s="2" t="n">
        <v>294871</v>
      </c>
      <c r="C1220" s="2" t="n">
        <v>294101</v>
      </c>
      <c r="D1220" s="2" t="inlineStr">
        <is>
          <t>Acondicionador Head&amp;shoulder Purif Capi 180ml</t>
        </is>
      </c>
      <c r="E1220" s="2" t="inlineStr">
        <is>
          <t>HEAD &amp; SHOULDERS</t>
        </is>
      </c>
      <c r="F1220" s="2" t="n">
        <v>162.99</v>
      </c>
      <c r="G1220" s="2" t="n">
        <v>13470</v>
      </c>
      <c r="H1220" s="2" t="b">
        <v>0</v>
      </c>
      <c r="I1220" s="2" t="n">
        <v>180</v>
      </c>
      <c r="J1220" s="2" t="n">
        <v>0.9055</v>
      </c>
      <c r="K1220" s="2" t="inlineStr">
        <is>
          <t>&gt; Perfumería &gt; Cuidado Capilar &gt; Acondicionador &gt;</t>
        </is>
      </c>
      <c r="L1220" s="2" t="inlineStr">
        <is>
          <t>acondicionador</t>
        </is>
      </c>
      <c r="M1220" s="2" t="inlineStr">
        <is>
          <t>estandar</t>
        </is>
      </c>
      <c r="N1220" s="2" t="inlineStr">
        <is>
          <t>general</t>
        </is>
      </c>
      <c r="O1220" s="2" t="inlineStr">
        <is>
          <t>https://www.jumbo.com.ar/acondicionador-head-shoulder-purif-capi-180ml/p</t>
        </is>
      </c>
    </row>
    <row r="1221">
      <c r="A1221" t="inlineStr">
        <is>
          <t>Jumbo</t>
        </is>
      </c>
      <c r="B1221" t="n">
        <v>294859</v>
      </c>
      <c r="C1221" t="n">
        <v>294090</v>
      </c>
      <c r="D1221" t="inlineStr">
        <is>
          <t>Acondicionador Fructis Hidra Bomb 350 Ml</t>
        </is>
      </c>
      <c r="E1221" t="inlineStr">
        <is>
          <t>FRUCTIS</t>
        </is>
      </c>
      <c r="F1221" t="n">
        <v>3350</v>
      </c>
      <c r="G1221" t="n">
        <v>276860</v>
      </c>
      <c r="H1221" t="b">
        <v>0</v>
      </c>
      <c r="I1221" t="n">
        <v>350</v>
      </c>
      <c r="J1221" t="n">
        <v>9.571400000000001</v>
      </c>
      <c r="K1221" t="inlineStr">
        <is>
          <t>&gt; Perfumería &gt; Cuidado Capilar &gt; Acondicionador &gt;</t>
        </is>
      </c>
      <c r="L1221" t="inlineStr">
        <is>
          <t>acondicionador</t>
        </is>
      </c>
      <c r="M1221" t="inlineStr">
        <is>
          <t>estandar</t>
        </is>
      </c>
      <c r="N1221" t="inlineStr">
        <is>
          <t>general</t>
        </is>
      </c>
      <c r="O1221" t="inlineStr">
        <is>
          <t>https://www.jumbo.com.ar/acondicionador-fructis-hidra-bomb-350-ml/p</t>
        </is>
      </c>
    </row>
    <row r="1222">
      <c r="A1222" s="2" t="inlineStr">
        <is>
          <t>Jumbo</t>
        </is>
      </c>
      <c r="B1222" s="2" t="n">
        <v>275455</v>
      </c>
      <c r="C1222" s="2" t="n">
        <v>274751</v>
      </c>
      <c r="D1222" s="2" t="inlineStr">
        <is>
          <t>Acondicionador Head &amp; Shoulders 375 Ml</t>
        </is>
      </c>
      <c r="E1222" s="2" t="inlineStr">
        <is>
          <t>HEAD &amp; SHOULDERS</t>
        </is>
      </c>
      <c r="F1222" s="2" t="n">
        <v>208.19</v>
      </c>
      <c r="G1222" s="2" t="n">
        <v>17206</v>
      </c>
      <c r="H1222" s="2" t="b">
        <v>0</v>
      </c>
      <c r="I1222" s="2" t="n">
        <v>375</v>
      </c>
      <c r="J1222" s="2" t="n">
        <v>0.5552</v>
      </c>
      <c r="K1222" s="2" t="inlineStr">
        <is>
          <t>&gt; Perfumería &gt; Cuidado Capilar &gt; Acondicionador &gt;</t>
        </is>
      </c>
      <c r="L1222" s="2" t="inlineStr">
        <is>
          <t>acondicionador</t>
        </is>
      </c>
      <c r="M1222" s="2" t="inlineStr">
        <is>
          <t>estandar</t>
        </is>
      </c>
      <c r="N1222" s="2" t="inlineStr">
        <is>
          <t>general</t>
        </is>
      </c>
      <c r="O1222" s="2" t="inlineStr">
        <is>
          <t>https://www.jumbo.com.ar/acondicionador-head-shoulders-375-ml/p</t>
        </is>
      </c>
    </row>
    <row r="1223">
      <c r="A1223" t="inlineStr">
        <is>
          <t>Jumbo</t>
        </is>
      </c>
      <c r="B1223" t="n">
        <v>3421</v>
      </c>
      <c r="C1223" t="n">
        <v>248492</v>
      </c>
      <c r="D1223" t="inlineStr">
        <is>
          <t>Acondicionador Pantene Hidrocauterización 400 M L</t>
        </is>
      </c>
      <c r="E1223" t="inlineStr">
        <is>
          <t>PANTENE</t>
        </is>
      </c>
      <c r="F1223" t="n">
        <v>97.29000000000001</v>
      </c>
      <c r="G1223" t="n">
        <v>8041</v>
      </c>
      <c r="H1223" t="b">
        <v>0</v>
      </c>
      <c r="I1223" t="inlineStr"/>
      <c r="J1223" t="inlineStr"/>
      <c r="K1223" t="inlineStr">
        <is>
          <t>&gt; Perfumería &gt; Cuidado Capilar &gt; Acondicionador &gt;</t>
        </is>
      </c>
      <c r="L1223" t="inlineStr">
        <is>
          <t>acondicionador</t>
        </is>
      </c>
      <c r="M1223" t="inlineStr">
        <is>
          <t>estandar</t>
        </is>
      </c>
      <c r="N1223" t="inlineStr">
        <is>
          <t>general</t>
        </is>
      </c>
      <c r="O1223" t="inlineStr">
        <is>
          <t>https://www.jumbo.com.ar/acondicionador-pantene-2/p</t>
        </is>
      </c>
    </row>
    <row r="1224">
      <c r="A1224" s="2" t="inlineStr">
        <is>
          <t>Jumbo</t>
        </is>
      </c>
      <c r="B1224" s="2" t="n">
        <v>3373</v>
      </c>
      <c r="C1224" s="2" t="n">
        <v>16825</v>
      </c>
      <c r="D1224" s="2" t="inlineStr">
        <is>
          <t>Acondicionador Sedal Crecimiento Saludable 340 Ml</t>
        </is>
      </c>
      <c r="E1224" s="2" t="inlineStr">
        <is>
          <t>SEDAL</t>
        </is>
      </c>
      <c r="F1224" s="2" t="n">
        <v>109.89</v>
      </c>
      <c r="G1224" s="2" t="n">
        <v>9082</v>
      </c>
      <c r="H1224" s="2" t="b">
        <v>0</v>
      </c>
      <c r="I1224" s="2" t="n">
        <v>340</v>
      </c>
      <c r="J1224" s="2" t="n">
        <v>0.3232</v>
      </c>
      <c r="K1224" s="2" t="inlineStr">
        <is>
          <t>&gt; Perfumería &gt; Cuidado Capilar &gt; Acondicionador &gt;</t>
        </is>
      </c>
      <c r="L1224" s="2" t="inlineStr">
        <is>
          <t>acondicionador</t>
        </is>
      </c>
      <c r="M1224" s="2" t="inlineStr">
        <is>
          <t>estandar</t>
        </is>
      </c>
      <c r="N1224" s="2" t="inlineStr">
        <is>
          <t>general</t>
        </is>
      </c>
      <c r="O1224" s="2" t="inlineStr">
        <is>
          <t>https://www.jumbo.com.ar/acondicionador-sedal-crecimiento-saludable-340-ml/p</t>
        </is>
      </c>
    </row>
    <row r="1225">
      <c r="A1225" t="inlineStr">
        <is>
          <t>Jumbo</t>
        </is>
      </c>
      <c r="B1225" t="n">
        <v>3086915</v>
      </c>
      <c r="C1225" t="n">
        <v>3086139</v>
      </c>
      <c r="D1225" t="inlineStr">
        <is>
          <t>Acondicionador Tio Nacho Engrosador 200 Ml</t>
        </is>
      </c>
      <c r="E1225" t="inlineStr">
        <is>
          <t>SUAVE</t>
        </is>
      </c>
      <c r="F1225" t="n">
        <v>7350</v>
      </c>
      <c r="G1225" t="n">
        <v>607438</v>
      </c>
      <c r="H1225" t="b">
        <v>0</v>
      </c>
      <c r="I1225" t="n">
        <v>200</v>
      </c>
      <c r="J1225" t="n">
        <v>36.75</v>
      </c>
      <c r="K1225" t="inlineStr">
        <is>
          <t>&gt; Perfumería &gt; Cuidado Capilar &gt; Acondicionador &gt;</t>
        </is>
      </c>
      <c r="L1225" t="inlineStr">
        <is>
          <t>acondicionador</t>
        </is>
      </c>
      <c r="M1225" t="inlineStr">
        <is>
          <t>estandar</t>
        </is>
      </c>
      <c r="N1225" t="inlineStr">
        <is>
          <t>general</t>
        </is>
      </c>
      <c r="O1225" t="inlineStr">
        <is>
          <t>https://www.jumbo.com.ar/acondicionador-tio-nacho-engrosador-200-ml-2/p</t>
        </is>
      </c>
    </row>
    <row r="1226">
      <c r="A1226" s="2" t="inlineStr">
        <is>
          <t>Jumbo</t>
        </is>
      </c>
      <c r="B1226" s="2" t="n">
        <v>3068267</v>
      </c>
      <c r="C1226" s="2" t="n">
        <v>3068095</v>
      </c>
      <c r="D1226" s="2" t="inlineStr">
        <is>
          <t>Acondicionador Probiotics X 650 Ml Fructis</t>
        </is>
      </c>
      <c r="E1226" s="2" t="inlineStr">
        <is>
          <t>FRUCTIS</t>
        </is>
      </c>
      <c r="F1226" s="2" t="n">
        <v>11550</v>
      </c>
      <c r="G1226" s="2" t="n">
        <v>954545</v>
      </c>
      <c r="H1226" s="2" t="b">
        <v>0</v>
      </c>
      <c r="I1226" s="2" t="n">
        <v>650</v>
      </c>
      <c r="J1226" s="2" t="n">
        <v>17.7692</v>
      </c>
      <c r="K1226" s="2" t="inlineStr">
        <is>
          <t>&gt; Perfumería &gt; Cuidado Capilar &gt; Acondicionador &gt;</t>
        </is>
      </c>
      <c r="L1226" s="2" t="inlineStr">
        <is>
          <t>acondicionador</t>
        </is>
      </c>
      <c r="M1226" s="2" t="inlineStr">
        <is>
          <t>estandar</t>
        </is>
      </c>
      <c r="N1226" s="2" t="inlineStr">
        <is>
          <t>general</t>
        </is>
      </c>
      <c r="O1226" s="2" t="inlineStr">
        <is>
          <t>https://www.jumbo.com.ar/acondicionador-probiotics-x-650-ml-fructis-2/p</t>
        </is>
      </c>
    </row>
    <row r="1227">
      <c r="A1227" t="inlineStr">
        <is>
          <t>Jumbo</t>
        </is>
      </c>
      <c r="B1227" t="n">
        <v>415570</v>
      </c>
      <c r="C1227" t="n">
        <v>411154</v>
      </c>
      <c r="D1227" t="inlineStr">
        <is>
          <t>Acondicionador Liso Infinito 200 Ml Pantene</t>
        </is>
      </c>
      <c r="E1227" t="inlineStr">
        <is>
          <t>PANTENE</t>
        </is>
      </c>
      <c r="F1227" t="n">
        <v>6200</v>
      </c>
      <c r="G1227" t="n">
        <v>512397</v>
      </c>
      <c r="H1227" t="b">
        <v>0</v>
      </c>
      <c r="I1227" t="n">
        <v>200</v>
      </c>
      <c r="J1227" t="n">
        <v>31</v>
      </c>
      <c r="K1227" t="inlineStr">
        <is>
          <t>&gt; Perfumería &gt; Cuidado Capilar &gt; Acondicionador &gt;</t>
        </is>
      </c>
      <c r="L1227" t="inlineStr">
        <is>
          <t>acondicionador</t>
        </is>
      </c>
      <c r="M1227" t="inlineStr">
        <is>
          <t>estandar</t>
        </is>
      </c>
      <c r="N1227" t="inlineStr">
        <is>
          <t>general</t>
        </is>
      </c>
      <c r="O1227" t="inlineStr">
        <is>
          <t>https://www.jumbo.com.ar/acondicionador-pro-v-miracles-liso-infinito-200-ml-pantene-2/p</t>
        </is>
      </c>
    </row>
    <row r="1228">
      <c r="A1228" s="2" t="inlineStr">
        <is>
          <t>Jumbo</t>
        </is>
      </c>
      <c r="B1228" s="2" t="n">
        <v>413355</v>
      </c>
      <c r="C1228" s="2" t="n">
        <v>409214</v>
      </c>
      <c r="D1228" s="2" t="inlineStr">
        <is>
          <t>Acondicionador Tresemme Ondas Boho 880 Ml</t>
        </is>
      </c>
      <c r="E1228" s="2" t="inlineStr">
        <is>
          <t>TRESEMMÉ</t>
        </is>
      </c>
      <c r="F1228" s="2" t="n">
        <v>15050</v>
      </c>
      <c r="G1228" s="2" t="n">
        <v>1243802</v>
      </c>
      <c r="H1228" s="2" t="b">
        <v>0</v>
      </c>
      <c r="I1228" s="2" t="n">
        <v>880</v>
      </c>
      <c r="J1228" s="2" t="n">
        <v>17.1023</v>
      </c>
      <c r="K1228" s="2" t="inlineStr">
        <is>
          <t>&gt; Perfumería &gt; Cuidado Capilar &gt; Acondicionador &gt;</t>
        </is>
      </c>
      <c r="L1228" s="2" t="inlineStr">
        <is>
          <t>acondicionador</t>
        </is>
      </c>
      <c r="M1228" s="2" t="inlineStr">
        <is>
          <t>estandar</t>
        </is>
      </c>
      <c r="N1228" s="2" t="inlineStr">
        <is>
          <t>general</t>
        </is>
      </c>
      <c r="O1228" s="2" t="inlineStr">
        <is>
          <t>https://www.jumbo.com.ar/acondicionador-tresemme-ondas-boho-880-ml/p</t>
        </is>
      </c>
    </row>
    <row r="1229">
      <c r="A1229" t="inlineStr">
        <is>
          <t>Jumbo</t>
        </is>
      </c>
      <c r="B1229" t="n">
        <v>413351</v>
      </c>
      <c r="C1229" t="n">
        <v>409212</v>
      </c>
      <c r="D1229" t="inlineStr">
        <is>
          <t>Acondicionador Keratina Antifrizz 880 Ml Tresemmé</t>
        </is>
      </c>
      <c r="E1229" t="inlineStr">
        <is>
          <t>TRESEMMÉ</t>
        </is>
      </c>
      <c r="F1229" t="n">
        <v>15050</v>
      </c>
      <c r="G1229" t="n">
        <v>1243802</v>
      </c>
      <c r="H1229" t="b">
        <v>0</v>
      </c>
      <c r="I1229" t="n">
        <v>880</v>
      </c>
      <c r="J1229" t="n">
        <v>17.1023</v>
      </c>
      <c r="K1229" t="inlineStr">
        <is>
          <t>&gt; Perfumería &gt; Cuidado Capilar &gt; Acondicionador &gt;</t>
        </is>
      </c>
      <c r="L1229" t="inlineStr">
        <is>
          <t>acondicionador</t>
        </is>
      </c>
      <c r="M1229" t="inlineStr">
        <is>
          <t>estandar</t>
        </is>
      </c>
      <c r="N1229" t="inlineStr">
        <is>
          <t>tratado</t>
        </is>
      </c>
      <c r="O1229" t="inlineStr">
        <is>
          <t>https://www.jumbo.com.ar/acondicionador-tresemme-keratina-antifrizz-880-ml/p</t>
        </is>
      </c>
    </row>
    <row r="1230">
      <c r="A1230" s="2" t="inlineStr">
        <is>
          <t>Jumbo</t>
        </is>
      </c>
      <c r="B1230" s="2" t="n">
        <v>413329</v>
      </c>
      <c r="C1230" s="2" t="n">
        <v>409134</v>
      </c>
      <c r="D1230" s="2" t="inlineStr">
        <is>
          <t>Acondicionador Tresemme Ondas Boho 500 Ml</t>
        </is>
      </c>
      <c r="E1230" s="2" t="inlineStr">
        <is>
          <t>TRESEMMÉ</t>
        </is>
      </c>
      <c r="F1230" s="2" t="n">
        <v>6550</v>
      </c>
      <c r="G1230" s="2" t="n">
        <v>541322</v>
      </c>
      <c r="H1230" s="2" t="b">
        <v>0</v>
      </c>
      <c r="I1230" s="2" t="n">
        <v>500</v>
      </c>
      <c r="J1230" s="2" t="n">
        <v>13.1</v>
      </c>
      <c r="K1230" s="2" t="inlineStr">
        <is>
          <t>&gt; Perfumería &gt; Cuidado Capilar &gt; Acondicionador &gt;</t>
        </is>
      </c>
      <c r="L1230" s="2" t="inlineStr">
        <is>
          <t>acondicionador</t>
        </is>
      </c>
      <c r="M1230" s="2" t="inlineStr">
        <is>
          <t>estandar</t>
        </is>
      </c>
      <c r="N1230" s="2" t="inlineStr">
        <is>
          <t>general</t>
        </is>
      </c>
      <c r="O1230" s="2" t="inlineStr">
        <is>
          <t>https://www.jumbo.com.ar/acondicionador-tresemme-ondas-boho-500-ml/p</t>
        </is>
      </c>
    </row>
    <row r="1231">
      <c r="A1231" t="inlineStr">
        <is>
          <t>Jumbo</t>
        </is>
      </c>
      <c r="B1231" t="n">
        <v>413325</v>
      </c>
      <c r="C1231" t="n">
        <v>409130</v>
      </c>
      <c r="D1231" t="inlineStr">
        <is>
          <t>Acondicionador Tresemme Cauterización Reparadora 500 Ml</t>
        </is>
      </c>
      <c r="E1231" t="inlineStr">
        <is>
          <t>TRESEMMÉ</t>
        </is>
      </c>
      <c r="F1231" t="n">
        <v>6850</v>
      </c>
      <c r="G1231" t="n">
        <v>566116</v>
      </c>
      <c r="H1231" t="b">
        <v>0</v>
      </c>
      <c r="I1231" t="n">
        <v>500</v>
      </c>
      <c r="J1231" t="n">
        <v>13.7</v>
      </c>
      <c r="K1231" t="inlineStr">
        <is>
          <t>&gt; Perfumería &gt; Cuidado Capilar &gt; Acondicionador &gt;</t>
        </is>
      </c>
      <c r="L1231" t="inlineStr">
        <is>
          <t>acondicionador</t>
        </is>
      </c>
      <c r="M1231" t="inlineStr">
        <is>
          <t>estandar</t>
        </is>
      </c>
      <c r="N1231" t="inlineStr">
        <is>
          <t>general</t>
        </is>
      </c>
      <c r="O1231" t="inlineStr">
        <is>
          <t>https://www.jumbo.com.ar/acondicionador-tresemme-cauterizacion-reparadora-500-ml/p</t>
        </is>
      </c>
    </row>
    <row r="1232">
      <c r="A1232" s="2" t="inlineStr">
        <is>
          <t>Jumbo</t>
        </is>
      </c>
      <c r="B1232" s="2" t="n">
        <v>412492</v>
      </c>
      <c r="C1232" s="2" t="n">
        <v>408101</v>
      </c>
      <c r="D1232" s="2" t="inlineStr">
        <is>
          <t>Acondicionador Rizos Poderosos 350 Ml Fructis</t>
        </is>
      </c>
      <c r="E1232" s="2" t="inlineStr">
        <is>
          <t>FRUCTIS</t>
        </is>
      </c>
      <c r="F1232" s="2" t="n">
        <v>7350</v>
      </c>
      <c r="G1232" s="2" t="n">
        <v>607438</v>
      </c>
      <c r="H1232" s="2" t="b">
        <v>0</v>
      </c>
      <c r="I1232" s="2" t="n">
        <v>350</v>
      </c>
      <c r="J1232" s="2" t="n">
        <v>21</v>
      </c>
      <c r="K1232" s="2" t="inlineStr">
        <is>
          <t>&gt; Perfumería &gt; Cuidado Capilar &gt; Acondicionador &gt;</t>
        </is>
      </c>
      <c r="L1232" s="2" t="inlineStr">
        <is>
          <t>acondicionador</t>
        </is>
      </c>
      <c r="M1232" s="2" t="inlineStr">
        <is>
          <t>estandar</t>
        </is>
      </c>
      <c r="N1232" s="2" t="inlineStr">
        <is>
          <t>rizado</t>
        </is>
      </c>
      <c r="O1232" s="2" t="inlineStr">
        <is>
          <t>https://www.jumbo.com.ar/acondicionador-fructis-rizos-poderosos-350ml-2/p</t>
        </is>
      </c>
    </row>
    <row r="1233">
      <c r="A1233" t="inlineStr">
        <is>
          <t>Jumbo</t>
        </is>
      </c>
      <c r="B1233" t="n">
        <v>397909</v>
      </c>
      <c r="C1233" t="n">
        <v>395644</v>
      </c>
      <c r="D1233" t="inlineStr">
        <is>
          <t>Acondicionador Liso Perfecto 190 Ml Sedal</t>
        </is>
      </c>
      <c r="E1233" t="inlineStr">
        <is>
          <t>SEDAL</t>
        </is>
      </c>
      <c r="F1233" t="n">
        <v>3600</v>
      </c>
      <c r="G1233" t="n">
        <v>297521</v>
      </c>
      <c r="H1233" t="b">
        <v>0</v>
      </c>
      <c r="I1233" t="n">
        <v>190</v>
      </c>
      <c r="J1233" t="n">
        <v>18.9474</v>
      </c>
      <c r="K1233" t="inlineStr">
        <is>
          <t>&gt; Perfumería &gt; Cuidado Capilar &gt; Acondicionador &gt;</t>
        </is>
      </c>
      <c r="L1233" t="inlineStr">
        <is>
          <t>acondicionador</t>
        </is>
      </c>
      <c r="M1233" t="inlineStr">
        <is>
          <t>estandar</t>
        </is>
      </c>
      <c r="N1233" t="inlineStr">
        <is>
          <t>general</t>
        </is>
      </c>
      <c r="O1233" t="inlineStr">
        <is>
          <t>https://www.jumbo.com.ar/acondicionador-liso-perfecto-190-ml-sedal/p</t>
        </is>
      </c>
    </row>
    <row r="1234">
      <c r="A1234" s="2" t="inlineStr">
        <is>
          <t>Jumbo</t>
        </is>
      </c>
      <c r="B1234" s="2" t="n">
        <v>397901</v>
      </c>
      <c r="C1234" s="2" t="n">
        <v>395636</v>
      </c>
      <c r="D1234" s="2" t="inlineStr">
        <is>
          <t>Acondicionador Sedal Bomba Argan 650 Ml</t>
        </is>
      </c>
      <c r="E1234" s="2" t="inlineStr">
        <is>
          <t>SEDAL</t>
        </is>
      </c>
      <c r="F1234" s="2" t="n">
        <v>5850</v>
      </c>
      <c r="G1234" s="2" t="n">
        <v>483471</v>
      </c>
      <c r="H1234" s="2" t="b">
        <v>0</v>
      </c>
      <c r="I1234" s="2" t="n">
        <v>650</v>
      </c>
      <c r="J1234" s="2" t="n">
        <v>9</v>
      </c>
      <c r="K1234" s="2" t="inlineStr">
        <is>
          <t>&gt; Perfumería &gt; Cuidado Capilar &gt; Acondicionador &gt;</t>
        </is>
      </c>
      <c r="L1234" s="2" t="inlineStr">
        <is>
          <t>acondicionador</t>
        </is>
      </c>
      <c r="M1234" s="2" t="inlineStr">
        <is>
          <t>estandar</t>
        </is>
      </c>
      <c r="N1234" s="2" t="inlineStr">
        <is>
          <t>general</t>
        </is>
      </c>
      <c r="O1234" s="2" t="inlineStr">
        <is>
          <t>https://www.jumbo.com.ar/acondicionador-sedal-bomba-argan-650-ml/p</t>
        </is>
      </c>
    </row>
    <row r="1235">
      <c r="A1235" t="inlineStr">
        <is>
          <t>Jumbo</t>
        </is>
      </c>
      <c r="B1235" t="n">
        <v>397180</v>
      </c>
      <c r="C1235" t="n">
        <v>394921</v>
      </c>
      <c r="D1235" t="inlineStr">
        <is>
          <t>Acondicionador Dove Regeneración Extrema 750 Ml</t>
        </is>
      </c>
      <c r="E1235" t="inlineStr">
        <is>
          <t>DOVE</t>
        </is>
      </c>
      <c r="F1235" t="n">
        <v>14550</v>
      </c>
      <c r="G1235" t="n">
        <v>1202479</v>
      </c>
      <c r="H1235" t="b">
        <v>0</v>
      </c>
      <c r="I1235" t="n">
        <v>750</v>
      </c>
      <c r="J1235" t="n">
        <v>19.4</v>
      </c>
      <c r="K1235" t="inlineStr">
        <is>
          <t>&gt; Perfumería &gt; Cuidado Capilar &gt; Acondicionador &gt;</t>
        </is>
      </c>
      <c r="L1235" t="inlineStr">
        <is>
          <t>acondicionador</t>
        </is>
      </c>
      <c r="M1235" t="inlineStr">
        <is>
          <t>estandar</t>
        </is>
      </c>
      <c r="N1235" t="inlineStr">
        <is>
          <t>general</t>
        </is>
      </c>
      <c r="O1235" t="inlineStr">
        <is>
          <t>https://www.jumbo.com.ar/acondicionador-dove-regeneracion-extrema-750-ml-2/p</t>
        </is>
      </c>
    </row>
    <row r="1236">
      <c r="A1236" s="2" t="inlineStr">
        <is>
          <t>Jumbo</t>
        </is>
      </c>
      <c r="B1236" s="2" t="n">
        <v>396958</v>
      </c>
      <c r="C1236" s="2" t="n">
        <v>394714</v>
      </c>
      <c r="D1236" s="2" t="inlineStr">
        <is>
          <t>Acondicionador Fuerza Reparadora 970 Ml Plusbelle</t>
        </is>
      </c>
      <c r="E1236" s="2" t="inlineStr">
        <is>
          <t>PLUSBELLE</t>
        </is>
      </c>
      <c r="F1236" s="2" t="n">
        <v>5600</v>
      </c>
      <c r="G1236" s="2" t="n">
        <v>462810</v>
      </c>
      <c r="H1236" s="2" t="b">
        <v>0</v>
      </c>
      <c r="I1236" s="2" t="n">
        <v>970</v>
      </c>
      <c r="J1236" s="2" t="n">
        <v>5.7732</v>
      </c>
      <c r="K1236" s="2" t="inlineStr">
        <is>
          <t>&gt; Perfumería &gt; Cuidado Capilar &gt; Acondicionador &gt;</t>
        </is>
      </c>
      <c r="L1236" s="2" t="inlineStr">
        <is>
          <t>acondicionador</t>
        </is>
      </c>
      <c r="M1236" s="2" t="inlineStr">
        <is>
          <t>estandar</t>
        </is>
      </c>
      <c r="N1236" s="2" t="inlineStr">
        <is>
          <t>general</t>
        </is>
      </c>
      <c r="O1236" s="2" t="inlineStr">
        <is>
          <t>https://www.jumbo.com.ar/acondicionador-fuerza-reparadora-970-ml-plusbelle/p</t>
        </is>
      </c>
    </row>
    <row r="1237">
      <c r="A1237" t="inlineStr">
        <is>
          <t>Jumbo</t>
        </is>
      </c>
      <c r="B1237" t="n">
        <v>394485</v>
      </c>
      <c r="C1237" t="n">
        <v>392484</v>
      </c>
      <c r="D1237" t="inlineStr">
        <is>
          <t>Acondicionador Plusbelle Largo Saludable 300 Ml</t>
        </is>
      </c>
      <c r="E1237" t="inlineStr">
        <is>
          <t>PLUSBELLE</t>
        </is>
      </c>
      <c r="F1237" t="n">
        <v>2300</v>
      </c>
      <c r="G1237" t="n">
        <v>190083</v>
      </c>
      <c r="H1237" t="b">
        <v>0</v>
      </c>
      <c r="I1237" t="n">
        <v>300</v>
      </c>
      <c r="J1237" t="n">
        <v>7.6667</v>
      </c>
      <c r="K1237" t="inlineStr">
        <is>
          <t>&gt; Perfumería &gt; Cuidado Capilar &gt; Acondicionador &gt;</t>
        </is>
      </c>
      <c r="L1237" t="inlineStr">
        <is>
          <t>acondicionador</t>
        </is>
      </c>
      <c r="M1237" t="inlineStr">
        <is>
          <t>estandar</t>
        </is>
      </c>
      <c r="N1237" t="inlineStr">
        <is>
          <t>general</t>
        </is>
      </c>
      <c r="O1237" t="inlineStr">
        <is>
          <t>https://www.jumbo.com.ar/acondicionador-plusbelle-largo-saludable-300-ml/p</t>
        </is>
      </c>
    </row>
    <row r="1238">
      <c r="A1238" s="2" t="inlineStr">
        <is>
          <t>Jumbo</t>
        </is>
      </c>
      <c r="B1238" s="2" t="n">
        <v>393617</v>
      </c>
      <c r="C1238" s="2" t="n">
        <v>391645</v>
      </c>
      <c r="D1238" s="2" t="inlineStr">
        <is>
          <t>Acondicionador Pantene Hidratación Extrema 400 Ml</t>
        </is>
      </c>
      <c r="E1238" s="2" t="inlineStr">
        <is>
          <t>PANTENE</t>
        </is>
      </c>
      <c r="F1238" s="2" t="n">
        <v>6650</v>
      </c>
      <c r="G1238" s="2" t="n">
        <v>549587</v>
      </c>
      <c r="H1238" s="2" t="b">
        <v>0</v>
      </c>
      <c r="I1238" s="2" t="n">
        <v>400</v>
      </c>
      <c r="J1238" s="2" t="n">
        <v>16.625</v>
      </c>
      <c r="K1238" s="2" t="inlineStr">
        <is>
          <t>&gt; Perfumería &gt; Cuidado Capilar &gt; Acondicionador &gt;</t>
        </is>
      </c>
      <c r="L1238" s="2" t="inlineStr">
        <is>
          <t>acondicionador</t>
        </is>
      </c>
      <c r="M1238" s="2" t="inlineStr">
        <is>
          <t>estandar</t>
        </is>
      </c>
      <c r="N1238" s="2" t="inlineStr">
        <is>
          <t>seco_danado</t>
        </is>
      </c>
      <c r="O1238" s="2" t="inlineStr">
        <is>
          <t>https://www.jumbo.com.ar/acondicionador-pantene-hidratacion-extrema-400-ml/p</t>
        </is>
      </c>
    </row>
    <row r="1239">
      <c r="A1239" t="inlineStr">
        <is>
          <t>Jumbo</t>
        </is>
      </c>
      <c r="B1239" t="n">
        <v>393377</v>
      </c>
      <c r="C1239" t="n">
        <v>391405</v>
      </c>
      <c r="D1239" t="inlineStr">
        <is>
          <t>Acondicionador Rizos Definidos 650 Ml Sedal</t>
        </is>
      </c>
      <c r="E1239" t="inlineStr">
        <is>
          <t>SEDAL</t>
        </is>
      </c>
      <c r="F1239" t="n">
        <v>8650</v>
      </c>
      <c r="G1239" t="n">
        <v>714876</v>
      </c>
      <c r="H1239" t="b">
        <v>0</v>
      </c>
      <c r="I1239" t="n">
        <v>650</v>
      </c>
      <c r="J1239" t="n">
        <v>13.3077</v>
      </c>
      <c r="K1239" t="inlineStr">
        <is>
          <t>&gt; Perfumería &gt; Cuidado Capilar &gt; Acondicionador &gt;</t>
        </is>
      </c>
      <c r="L1239" t="inlineStr">
        <is>
          <t>acondicionador</t>
        </is>
      </c>
      <c r="M1239" t="inlineStr">
        <is>
          <t>estandar</t>
        </is>
      </c>
      <c r="N1239" t="inlineStr">
        <is>
          <t>rizado</t>
        </is>
      </c>
      <c r="O1239" t="inlineStr">
        <is>
          <t>https://www.jumbo.com.ar/acondicionador-sedal-rizos-definidos-650-ml-2/p</t>
        </is>
      </c>
    </row>
    <row r="1240">
      <c r="A1240" s="2" t="inlineStr">
        <is>
          <t>Jumbo</t>
        </is>
      </c>
      <c r="B1240" s="2" t="n">
        <v>391957</v>
      </c>
      <c r="C1240" s="2" t="n">
        <v>390009</v>
      </c>
      <c r="D1240" s="2" t="inlineStr">
        <is>
          <t>Acondicionador Algabo Kids Piojos 500 Ml</t>
        </is>
      </c>
      <c r="E1240" s="2" t="inlineStr">
        <is>
          <t>ALGABO</t>
        </is>
      </c>
      <c r="F1240" s="2" t="n">
        <v>1605.77</v>
      </c>
      <c r="G1240" s="2" t="n">
        <v>132708</v>
      </c>
      <c r="H1240" s="2" t="b">
        <v>0</v>
      </c>
      <c r="I1240" s="2" t="n">
        <v>500</v>
      </c>
      <c r="J1240" s="2" t="n">
        <v>3.2115</v>
      </c>
      <c r="K1240" s="2" t="inlineStr">
        <is>
          <t>&gt; Mundo Bebe &gt; Higiene para el Bebe &gt; Higiene del Bebé &gt;</t>
        </is>
      </c>
      <c r="L1240" s="2" t="inlineStr">
        <is>
          <t>acondicionador</t>
        </is>
      </c>
      <c r="M1240" s="2" t="inlineStr">
        <is>
          <t>estandar</t>
        </is>
      </c>
      <c r="N1240" s="2" t="inlineStr">
        <is>
          <t>bebe</t>
        </is>
      </c>
      <c r="O1240" s="2" t="inlineStr">
        <is>
          <t>https://www.jumbo.com.ar/acondicionador-algabo-kids-piojos-500-ml/p</t>
        </is>
      </c>
    </row>
    <row r="1241">
      <c r="A1241" t="inlineStr">
        <is>
          <t>Jumbo</t>
        </is>
      </c>
      <c r="B1241" t="n">
        <v>384211</v>
      </c>
      <c r="C1241" t="n">
        <v>382903</v>
      </c>
      <c r="D1241" t="inlineStr">
        <is>
          <t>Acondicionador Tresemme Keratina Antifrizz 500 Ml</t>
        </is>
      </c>
      <c r="E1241" t="inlineStr">
        <is>
          <t>TRESEMMÉ</t>
        </is>
      </c>
      <c r="F1241" t="n">
        <v>1500</v>
      </c>
      <c r="G1241" t="n">
        <v>123967</v>
      </c>
      <c r="H1241" t="b">
        <v>0</v>
      </c>
      <c r="I1241" t="n">
        <v>500</v>
      </c>
      <c r="J1241" t="n">
        <v>3</v>
      </c>
      <c r="K1241" t="inlineStr">
        <is>
          <t>&gt; Perfumería &gt; Cuidado Capilar &gt; Acondicionador &gt;</t>
        </is>
      </c>
      <c r="L1241" t="inlineStr">
        <is>
          <t>acondicionador</t>
        </is>
      </c>
      <c r="M1241" t="inlineStr">
        <is>
          <t>estandar</t>
        </is>
      </c>
      <c r="N1241" t="inlineStr">
        <is>
          <t>tratado</t>
        </is>
      </c>
      <c r="O1241" t="inlineStr">
        <is>
          <t>https://www.jumbo.com.ar/acondicionador-tresemme-keratina-antifrizz-500-ml-2/p</t>
        </is>
      </c>
    </row>
    <row r="1242">
      <c r="A1242" s="2" t="inlineStr">
        <is>
          <t>Jumbo</t>
        </is>
      </c>
      <c r="B1242" s="2" t="n">
        <v>384210</v>
      </c>
      <c r="C1242" s="2" t="n">
        <v>382902</v>
      </c>
      <c r="D1242" s="2" t="inlineStr">
        <is>
          <t>Acondicionador Tresemme Cauterización Reparadora 250 Ml</t>
        </is>
      </c>
      <c r="E1242" s="2" t="inlineStr">
        <is>
          <t>TRESEMMÉ</t>
        </is>
      </c>
      <c r="F1242" s="2" t="n">
        <v>1000</v>
      </c>
      <c r="G1242" s="2" t="n">
        <v>82645</v>
      </c>
      <c r="H1242" s="2" t="b">
        <v>0</v>
      </c>
      <c r="I1242" s="2" t="n">
        <v>250</v>
      </c>
      <c r="J1242" s="2" t="n">
        <v>4</v>
      </c>
      <c r="K1242" s="2" t="inlineStr">
        <is>
          <t>&gt; Perfumería &gt; Cuidado Capilar &gt; Acondicionador &gt;</t>
        </is>
      </c>
      <c r="L1242" s="2" t="inlineStr">
        <is>
          <t>acondicionador</t>
        </is>
      </c>
      <c r="M1242" s="2" t="inlineStr">
        <is>
          <t>estandar</t>
        </is>
      </c>
      <c r="N1242" s="2" t="inlineStr">
        <is>
          <t>general</t>
        </is>
      </c>
      <c r="O1242" s="2" t="inlineStr">
        <is>
          <t>https://www.jumbo.com.ar/acondicionador-tresemme-cauterizacion-reparadora-250-ml-2/p</t>
        </is>
      </c>
    </row>
    <row r="1243">
      <c r="A1243" t="inlineStr">
        <is>
          <t>Jumbo</t>
        </is>
      </c>
      <c r="B1243" t="n">
        <v>384209</v>
      </c>
      <c r="C1243" t="n">
        <v>382901</v>
      </c>
      <c r="D1243" t="inlineStr">
        <is>
          <t>Acondicionador Tresemme Detox Capilar 500 Ml</t>
        </is>
      </c>
      <c r="E1243" t="inlineStr">
        <is>
          <t>TRESEMMÉ</t>
        </is>
      </c>
      <c r="F1243" t="n">
        <v>1650</v>
      </c>
      <c r="G1243" t="n">
        <v>136364</v>
      </c>
      <c r="H1243" t="b">
        <v>0</v>
      </c>
      <c r="I1243" t="n">
        <v>500</v>
      </c>
      <c r="J1243" t="n">
        <v>3.3</v>
      </c>
      <c r="K1243" t="inlineStr">
        <is>
          <t>&gt; Perfumería &gt; Cuidado Capilar &gt; Acondicionador &gt;</t>
        </is>
      </c>
      <c r="L1243" t="inlineStr">
        <is>
          <t>acondicionador</t>
        </is>
      </c>
      <c r="M1243" t="inlineStr">
        <is>
          <t>estandar</t>
        </is>
      </c>
      <c r="N1243" t="inlineStr">
        <is>
          <t>general</t>
        </is>
      </c>
      <c r="O1243" t="inlineStr">
        <is>
          <t>https://www.jumbo.com.ar/acondicionador-tresemme-detox-capilar-500-ml-2/p</t>
        </is>
      </c>
    </row>
    <row r="1244">
      <c r="A1244" s="2" t="inlineStr">
        <is>
          <t>Jumbo</t>
        </is>
      </c>
      <c r="B1244" s="2" t="n">
        <v>383669</v>
      </c>
      <c r="C1244" s="2" t="n">
        <v>382384</v>
      </c>
      <c r="D1244" s="2" t="inlineStr">
        <is>
          <t>Acondicionador Con Colágeno 400 Ml Pantene</t>
        </is>
      </c>
      <c r="E1244" s="2" t="inlineStr">
        <is>
          <t>PANTENE</t>
        </is>
      </c>
      <c r="F1244" s="2" t="n">
        <v>10000</v>
      </c>
      <c r="G1244" s="2" t="n">
        <v>826446</v>
      </c>
      <c r="H1244" s="2" t="b">
        <v>0</v>
      </c>
      <c r="I1244" s="2" t="n">
        <v>400</v>
      </c>
      <c r="J1244" s="2" t="n">
        <v>25</v>
      </c>
      <c r="K1244" s="2" t="inlineStr">
        <is>
          <t>&gt; Perfumería &gt; Cuidado Capilar &gt; Acondicionador &gt;</t>
        </is>
      </c>
      <c r="L1244" s="2" t="inlineStr">
        <is>
          <t>acondicionador</t>
        </is>
      </c>
      <c r="M1244" s="2" t="inlineStr">
        <is>
          <t>estandar</t>
        </is>
      </c>
      <c r="N1244" s="2" t="inlineStr">
        <is>
          <t>general</t>
        </is>
      </c>
      <c r="O1244" s="2" t="inlineStr">
        <is>
          <t>https://www.jumbo.com.ar/acondicionador-con-colageno-400-ml-pantene/p</t>
        </is>
      </c>
    </row>
    <row r="1245">
      <c r="A1245" t="inlineStr">
        <is>
          <t>Jumbo</t>
        </is>
      </c>
      <c r="B1245" t="n">
        <v>381126</v>
      </c>
      <c r="C1245" t="n">
        <v>379840</v>
      </c>
      <c r="D1245" t="inlineStr">
        <is>
          <t>Acondicionador Suave Aloe Y Pepino 930ml</t>
        </is>
      </c>
      <c r="E1245" t="inlineStr">
        <is>
          <t>SUAVE</t>
        </is>
      </c>
      <c r="F1245" t="n">
        <v>692.53</v>
      </c>
      <c r="G1245" t="n">
        <v>57234</v>
      </c>
      <c r="H1245" t="b">
        <v>0</v>
      </c>
      <c r="I1245" t="n">
        <v>930</v>
      </c>
      <c r="J1245" t="n">
        <v>0.7447</v>
      </c>
      <c r="K1245" t="inlineStr">
        <is>
          <t>&gt; Perfumería &gt; Cuidado Capilar &gt; Acondicionador &gt;</t>
        </is>
      </c>
      <c r="L1245" t="inlineStr">
        <is>
          <t>acondicionador</t>
        </is>
      </c>
      <c r="M1245" t="inlineStr">
        <is>
          <t>estandar</t>
        </is>
      </c>
      <c r="N1245" t="inlineStr">
        <is>
          <t>bebe</t>
        </is>
      </c>
      <c r="O1245" t="inlineStr">
        <is>
          <t>https://www.jumbo.com.ar/acondicionador-suave-aloe-y-pepino-930ml/p</t>
        </is>
      </c>
    </row>
    <row r="1246">
      <c r="A1246" s="2" t="inlineStr">
        <is>
          <t>Jumbo</t>
        </is>
      </c>
      <c r="B1246" s="2" t="n">
        <v>375616</v>
      </c>
      <c r="C1246" s="2" t="n">
        <v>374334</v>
      </c>
      <c r="D1246" s="2" t="inlineStr">
        <is>
          <t>Acondicionador Suave Fuerza Nutritiva 930 Ml</t>
        </is>
      </c>
      <c r="E1246" s="2" t="inlineStr">
        <is>
          <t>SUAVE</t>
        </is>
      </c>
      <c r="F1246" s="2" t="n">
        <v>692.53</v>
      </c>
      <c r="G1246" s="2" t="n">
        <v>57234</v>
      </c>
      <c r="H1246" s="2" t="b">
        <v>0</v>
      </c>
      <c r="I1246" s="2" t="n">
        <v>930</v>
      </c>
      <c r="J1246" s="2" t="n">
        <v>0.7447</v>
      </c>
      <c r="K1246" s="2" t="inlineStr">
        <is>
          <t>&gt; Perfumería &gt; Cuidado Capilar &gt; Acondicionador &gt;</t>
        </is>
      </c>
      <c r="L1246" s="2" t="inlineStr">
        <is>
          <t>acondicionador</t>
        </is>
      </c>
      <c r="M1246" s="2" t="inlineStr">
        <is>
          <t>estandar</t>
        </is>
      </c>
      <c r="N1246" s="2" t="inlineStr">
        <is>
          <t>bebe</t>
        </is>
      </c>
      <c r="O1246" s="2" t="inlineStr">
        <is>
          <t>https://www.jumbo.com.ar/acondicionador-suave-fuerza-nutritiva-930-ml-2/p</t>
        </is>
      </c>
    </row>
    <row r="1247">
      <c r="A1247" t="inlineStr">
        <is>
          <t>Jumbo</t>
        </is>
      </c>
      <c r="B1247" t="n">
        <v>364195</v>
      </c>
      <c r="C1247" t="n">
        <v>362938</v>
      </c>
      <c r="D1247" t="inlineStr">
        <is>
          <t>Acondicionador Manzana 930 Ml St Tropez</t>
        </is>
      </c>
      <c r="E1247" t="inlineStr">
        <is>
          <t>ST TROPEZ</t>
        </is>
      </c>
      <c r="F1247" t="n">
        <v>3840</v>
      </c>
      <c r="G1247" t="n">
        <v>317355</v>
      </c>
      <c r="H1247" t="b">
        <v>0</v>
      </c>
      <c r="I1247" t="n">
        <v>930</v>
      </c>
      <c r="J1247" t="n">
        <v>4.129</v>
      </c>
      <c r="K1247" t="inlineStr">
        <is>
          <t>&gt; Perfumería &gt; Cuidado Capilar &gt; Acondicionador &gt;</t>
        </is>
      </c>
      <c r="L1247" t="inlineStr">
        <is>
          <t>acondicionador</t>
        </is>
      </c>
      <c r="M1247" t="inlineStr">
        <is>
          <t>estandar</t>
        </is>
      </c>
      <c r="N1247" t="inlineStr">
        <is>
          <t>general</t>
        </is>
      </c>
      <c r="O1247" t="inlineStr">
        <is>
          <t>https://www.jumbo.com.ar/acondicionador-st-tropez-manzana-930ml/p</t>
        </is>
      </c>
    </row>
    <row r="1248">
      <c r="A1248" s="2" t="inlineStr">
        <is>
          <t>Jumbo</t>
        </is>
      </c>
      <c r="B1248" s="2" t="n">
        <v>354057</v>
      </c>
      <c r="C1248" s="2" t="n">
        <v>352688</v>
      </c>
      <c r="D1248" s="2" t="inlineStr">
        <is>
          <t>Acondicionador Elvive Color Vive Protector 400ml</t>
        </is>
      </c>
      <c r="E1248" s="2" t="inlineStr">
        <is>
          <t>ELVIVE</t>
        </is>
      </c>
      <c r="F1248" s="2" t="n">
        <v>1239.09</v>
      </c>
      <c r="G1248" s="2" t="n">
        <v>102404</v>
      </c>
      <c r="H1248" s="2" t="b">
        <v>0</v>
      </c>
      <c r="I1248" s="2" t="n">
        <v>400</v>
      </c>
      <c r="J1248" s="2" t="n">
        <v>3.0977</v>
      </c>
      <c r="K1248" s="2" t="inlineStr">
        <is>
          <t>&gt; Perfumería &gt; Cuidado Capilar &gt; Acondicionador &gt;</t>
        </is>
      </c>
      <c r="L1248" s="2" t="inlineStr">
        <is>
          <t>acondicionador</t>
        </is>
      </c>
      <c r="M1248" s="2" t="inlineStr">
        <is>
          <t>profesional</t>
        </is>
      </c>
      <c r="N1248" s="2" t="inlineStr">
        <is>
          <t>tratado</t>
        </is>
      </c>
      <c r="O1248" s="2" t="inlineStr">
        <is>
          <t>https://www.jumbo.com.ar/acondicionador-elvive-color-vive-protector-400ml/p</t>
        </is>
      </c>
    </row>
    <row r="1249">
      <c r="A1249" t="inlineStr">
        <is>
          <t>Jumbo</t>
        </is>
      </c>
      <c r="B1249" t="n">
        <v>349484</v>
      </c>
      <c r="C1249" t="n">
        <v>348144</v>
      </c>
      <c r="D1249" t="inlineStr">
        <is>
          <t>Acondicionador Suavidad Manzana 1000 Ml Plusbelle Acondicionador Plusbelle Suavidad 1000ml</t>
        </is>
      </c>
      <c r="E1249" t="inlineStr">
        <is>
          <t>PLUSBELLE</t>
        </is>
      </c>
      <c r="F1249" t="n">
        <v>5100</v>
      </c>
      <c r="G1249" t="n">
        <v>421488</v>
      </c>
      <c r="H1249" t="b">
        <v>0</v>
      </c>
      <c r="I1249" t="n">
        <v>1000</v>
      </c>
      <c r="J1249" t="n">
        <v>5.1</v>
      </c>
      <c r="K1249" t="inlineStr">
        <is>
          <t>&gt; Perfumería &gt; Cuidado Capilar &gt; Acondicionador &gt;</t>
        </is>
      </c>
      <c r="L1249" t="inlineStr">
        <is>
          <t>acondicionador</t>
        </is>
      </c>
      <c r="M1249" t="inlineStr">
        <is>
          <t>estandar</t>
        </is>
      </c>
      <c r="N1249" t="inlineStr">
        <is>
          <t>general</t>
        </is>
      </c>
      <c r="O1249" t="inlineStr">
        <is>
          <t>https://www.jumbo.com.ar/acondicionador-plusbelle-suavidad-1000ml-2/p</t>
        </is>
      </c>
    </row>
    <row r="1250">
      <c r="A1250" s="2" t="inlineStr">
        <is>
          <t>Jumbo</t>
        </is>
      </c>
      <c r="B1250" s="2" t="n">
        <v>347730</v>
      </c>
      <c r="C1250" s="2" t="n">
        <v>346405</v>
      </c>
      <c r="D1250" s="2" t="inlineStr">
        <is>
          <t>Acondicionador Sedal Rizos Definidos 340 Ml</t>
        </is>
      </c>
      <c r="E1250" s="2" t="inlineStr">
        <is>
          <t>SEDAL</t>
        </is>
      </c>
      <c r="F1250" s="2" t="n">
        <v>800</v>
      </c>
      <c r="G1250" s="2" t="n">
        <v>66116</v>
      </c>
      <c r="H1250" s="2" t="b">
        <v>0</v>
      </c>
      <c r="I1250" s="2" t="n">
        <v>340</v>
      </c>
      <c r="J1250" s="2" t="n">
        <v>2.3529</v>
      </c>
      <c r="K1250" s="2" t="inlineStr">
        <is>
          <t>&gt; Perfumería &gt; Cuidado Capilar &gt; Acondicionador &gt;</t>
        </is>
      </c>
      <c r="L1250" s="2" t="inlineStr">
        <is>
          <t>acondicionador</t>
        </is>
      </c>
      <c r="M1250" s="2" t="inlineStr">
        <is>
          <t>estandar</t>
        </is>
      </c>
      <c r="N1250" s="2" t="inlineStr">
        <is>
          <t>rizado</t>
        </is>
      </c>
      <c r="O1250" s="2" t="inlineStr">
        <is>
          <t>https://www.jumbo.com.ar/acondicionador-sedal-rizos-definidos-340-ml/p</t>
        </is>
      </c>
    </row>
    <row r="1251">
      <c r="A1251" t="inlineStr">
        <is>
          <t>Jumbo</t>
        </is>
      </c>
      <c r="B1251" t="n">
        <v>347729</v>
      </c>
      <c r="C1251" t="n">
        <v>346404</v>
      </c>
      <c r="D1251" t="inlineStr">
        <is>
          <t>Acondicionador  Sedal  Crema Balance  340 Ml</t>
        </is>
      </c>
      <c r="E1251" t="inlineStr">
        <is>
          <t>SEDAL</t>
        </is>
      </c>
      <c r="F1251" t="n">
        <v>850</v>
      </c>
      <c r="G1251" t="n">
        <v>70248</v>
      </c>
      <c r="H1251" t="b">
        <v>0</v>
      </c>
      <c r="I1251" t="n">
        <v>340</v>
      </c>
      <c r="J1251" t="n">
        <v>2.5</v>
      </c>
      <c r="K1251" t="inlineStr">
        <is>
          <t>&gt; Perfumería &gt; Cuidado Capilar &gt; Acondicionador &gt;</t>
        </is>
      </c>
      <c r="L1251" t="inlineStr">
        <is>
          <t>acondicionador</t>
        </is>
      </c>
      <c r="M1251" t="inlineStr">
        <is>
          <t>estandar</t>
        </is>
      </c>
      <c r="N1251" t="inlineStr">
        <is>
          <t>general</t>
        </is>
      </c>
      <c r="O1251" t="inlineStr">
        <is>
          <t>https://www.jumbo.com.ar/acondicionador-sedal-crema-balance-340-ml/p</t>
        </is>
      </c>
    </row>
    <row r="1252">
      <c r="A1252" s="2" t="inlineStr">
        <is>
          <t>Jumbo</t>
        </is>
      </c>
      <c r="B1252" s="2" t="n">
        <v>347723</v>
      </c>
      <c r="C1252" s="2" t="n">
        <v>346398</v>
      </c>
      <c r="D1252" s="2" t="inlineStr">
        <is>
          <t>Acondicionador  Sedal  Restauración Instantánea  340 Ml</t>
        </is>
      </c>
      <c r="E1252" s="2" t="inlineStr">
        <is>
          <t>SEDAL</t>
        </is>
      </c>
      <c r="F1252" s="2" t="n">
        <v>850</v>
      </c>
      <c r="G1252" s="2" t="n">
        <v>70248</v>
      </c>
      <c r="H1252" s="2" t="b">
        <v>0</v>
      </c>
      <c r="I1252" s="2" t="n">
        <v>340</v>
      </c>
      <c r="J1252" s="2" t="n">
        <v>2.5</v>
      </c>
      <c r="K1252" s="2" t="inlineStr">
        <is>
          <t>&gt; Perfumería &gt; Cuidado Capilar &gt; Acondicionador &gt;</t>
        </is>
      </c>
      <c r="L1252" s="2" t="inlineStr">
        <is>
          <t>acondicionador</t>
        </is>
      </c>
      <c r="M1252" s="2" t="inlineStr">
        <is>
          <t>estandar</t>
        </is>
      </c>
      <c r="N1252" s="2" t="inlineStr">
        <is>
          <t>general</t>
        </is>
      </c>
      <c r="O1252" s="2" t="inlineStr">
        <is>
          <t>https://www.jumbo.com.ar/acondicionador-sedal-restauracion-instantanea-340-ml-2/p</t>
        </is>
      </c>
    </row>
    <row r="1253">
      <c r="A1253" t="inlineStr">
        <is>
          <t>Jumbo</t>
        </is>
      </c>
      <c r="B1253" t="n">
        <v>347696</v>
      </c>
      <c r="C1253" t="n">
        <v>346371</v>
      </c>
      <c r="D1253" t="inlineStr">
        <is>
          <t>Acondicionador Sedal Rizos Definidos 650 Ml</t>
        </is>
      </c>
      <c r="E1253" t="inlineStr">
        <is>
          <t>SEDAL</t>
        </is>
      </c>
      <c r="F1253" t="n">
        <v>1450</v>
      </c>
      <c r="G1253" t="n">
        <v>119835</v>
      </c>
      <c r="H1253" t="b">
        <v>0</v>
      </c>
      <c r="I1253" t="n">
        <v>650</v>
      </c>
      <c r="J1253" t="n">
        <v>2.2308</v>
      </c>
      <c r="K1253" t="inlineStr">
        <is>
          <t>&gt; Perfumería &gt; Cuidado Capilar &gt; Acondicionador &gt;</t>
        </is>
      </c>
      <c r="L1253" t="inlineStr">
        <is>
          <t>acondicionador</t>
        </is>
      </c>
      <c r="M1253" t="inlineStr">
        <is>
          <t>estandar</t>
        </is>
      </c>
      <c r="N1253" t="inlineStr">
        <is>
          <t>rizado</t>
        </is>
      </c>
      <c r="O1253" t="inlineStr">
        <is>
          <t>https://www.jumbo.com.ar/acondicionador-sedal-rizos-definidos-650-ml/p</t>
        </is>
      </c>
    </row>
    <row r="1254">
      <c r="A1254" s="2" t="inlineStr">
        <is>
          <t>Jumbo</t>
        </is>
      </c>
      <c r="B1254" s="2" t="n">
        <v>347695</v>
      </c>
      <c r="C1254" s="2" t="n">
        <v>346370</v>
      </c>
      <c r="D1254" s="2" t="inlineStr">
        <is>
          <t>Acondicionador  Sedal  Crema Balance  650 Ml</t>
        </is>
      </c>
      <c r="E1254" s="2" t="inlineStr">
        <is>
          <t>SEDAL</t>
        </is>
      </c>
      <c r="F1254" s="2" t="n">
        <v>880.05</v>
      </c>
      <c r="G1254" s="2" t="n">
        <v>72731</v>
      </c>
      <c r="H1254" s="2" t="b">
        <v>0</v>
      </c>
      <c r="I1254" s="2" t="n">
        <v>650</v>
      </c>
      <c r="J1254" s="2" t="n">
        <v>1.3539</v>
      </c>
      <c r="K1254" s="2" t="inlineStr">
        <is>
          <t>&gt; Perfumería &gt; Cuidado Capilar &gt; Acondicionador &gt;</t>
        </is>
      </c>
      <c r="L1254" s="2" t="inlineStr">
        <is>
          <t>acondicionador</t>
        </is>
      </c>
      <c r="M1254" s="2" t="inlineStr">
        <is>
          <t>estandar</t>
        </is>
      </c>
      <c r="N1254" s="2" t="inlineStr">
        <is>
          <t>general</t>
        </is>
      </c>
      <c r="O1254" s="2" t="inlineStr">
        <is>
          <t>https://www.jumbo.com.ar/acondicionador-sedal-crema-balance-650-ml/p</t>
        </is>
      </c>
    </row>
    <row r="1255">
      <c r="A1255" t="inlineStr">
        <is>
          <t>Jumbo</t>
        </is>
      </c>
      <c r="B1255" t="n">
        <v>347693</v>
      </c>
      <c r="C1255" t="n">
        <v>346368</v>
      </c>
      <c r="D1255" t="inlineStr">
        <is>
          <t>Acondicionador Sedal Restauración Instantánea 650 Ml</t>
        </is>
      </c>
      <c r="E1255" t="inlineStr">
        <is>
          <t>SEDAL</t>
        </is>
      </c>
      <c r="F1255" t="n">
        <v>1350</v>
      </c>
      <c r="G1255" t="n">
        <v>111570</v>
      </c>
      <c r="H1255" t="b">
        <v>0</v>
      </c>
      <c r="I1255" t="n">
        <v>650</v>
      </c>
      <c r="J1255" t="n">
        <v>2.0769</v>
      </c>
      <c r="K1255" t="inlineStr">
        <is>
          <t>&gt; Perfumería &gt; Cuidado Capilar &gt; Acondicionador &gt;</t>
        </is>
      </c>
      <c r="L1255" t="inlineStr">
        <is>
          <t>acondicionador</t>
        </is>
      </c>
      <c r="M1255" t="inlineStr">
        <is>
          <t>estandar</t>
        </is>
      </c>
      <c r="N1255" t="inlineStr">
        <is>
          <t>general</t>
        </is>
      </c>
      <c r="O1255" t="inlineStr">
        <is>
          <t>https://www.jumbo.com.ar/acondicionador-sedal-restauracion-instantanea-650-ml-2/p</t>
        </is>
      </c>
    </row>
    <row r="1256">
      <c r="A1256" s="2" t="inlineStr">
        <is>
          <t>Jumbo</t>
        </is>
      </c>
      <c r="B1256" s="2" t="n">
        <v>347650</v>
      </c>
      <c r="C1256" s="2" t="n">
        <v>346323</v>
      </c>
      <c r="D1256" s="2" t="inlineStr">
        <is>
          <t>Acondicionador  Dove  Hidratación Intensa  400 Ml</t>
        </is>
      </c>
      <c r="E1256" s="2" t="inlineStr">
        <is>
          <t>DOVE</t>
        </is>
      </c>
      <c r="F1256" s="2" t="n">
        <v>6950</v>
      </c>
      <c r="G1256" s="2" t="n">
        <v>574380</v>
      </c>
      <c r="H1256" s="2" t="b">
        <v>0</v>
      </c>
      <c r="I1256" s="2" t="n">
        <v>400</v>
      </c>
      <c r="J1256" s="2" t="n">
        <v>17.375</v>
      </c>
      <c r="K1256" s="2" t="inlineStr">
        <is>
          <t>&gt; Perfumería &gt; Cuidado Capilar &gt; Acondicionador &gt;</t>
        </is>
      </c>
      <c r="L1256" s="2" t="inlineStr">
        <is>
          <t>acondicionador</t>
        </is>
      </c>
      <c r="M1256" s="2" t="inlineStr">
        <is>
          <t>estandar</t>
        </is>
      </c>
      <c r="N1256" s="2" t="inlineStr">
        <is>
          <t>seco_danado</t>
        </is>
      </c>
      <c r="O1256" s="2" t="inlineStr">
        <is>
          <t>https://www.jumbo.com.ar/acondicionador-dove-hidratacion-intensa-400-ml-2/p</t>
        </is>
      </c>
    </row>
    <row r="1257">
      <c r="A1257" t="inlineStr">
        <is>
          <t>Jumbo</t>
        </is>
      </c>
      <c r="B1257" t="n">
        <v>345275</v>
      </c>
      <c r="C1257" t="n">
        <v>343960</v>
      </c>
      <c r="D1257" t="inlineStr">
        <is>
          <t>Acondicionador Pantene Prov Essentials Hidratante 750ml</t>
        </is>
      </c>
      <c r="E1257" t="inlineStr">
        <is>
          <t>PANTENE</t>
        </is>
      </c>
      <c r="F1257" t="n">
        <v>1394.75</v>
      </c>
      <c r="G1257" t="n">
        <v>115269</v>
      </c>
      <c r="H1257" t="b">
        <v>0</v>
      </c>
      <c r="I1257" t="n">
        <v>750</v>
      </c>
      <c r="J1257" t="n">
        <v>1.8597</v>
      </c>
      <c r="K1257" t="inlineStr">
        <is>
          <t>&gt; Perfumería &gt; Cuidado Capilar &gt; Acondicionador &gt;</t>
        </is>
      </c>
      <c r="L1257" t="inlineStr">
        <is>
          <t>acondicionador</t>
        </is>
      </c>
      <c r="M1257" t="inlineStr">
        <is>
          <t>profesional</t>
        </is>
      </c>
      <c r="N1257" t="inlineStr">
        <is>
          <t>seco_danado</t>
        </is>
      </c>
      <c r="O1257" t="inlineStr">
        <is>
          <t>https://www.jumbo.com.ar/acondicionador-pantene-prov-essentials-hidratante-750ml/p</t>
        </is>
      </c>
    </row>
    <row r="1258">
      <c r="A1258" s="2" t="inlineStr">
        <is>
          <t>Jumbo</t>
        </is>
      </c>
      <c r="B1258" s="2" t="n">
        <v>345107</v>
      </c>
      <c r="C1258" s="2" t="n">
        <v>343792</v>
      </c>
      <c r="D1258" s="2" t="inlineStr">
        <is>
          <t>Acondicionador Pantene Prov Essentials Brillo 200ml</t>
        </is>
      </c>
      <c r="E1258" s="2" t="inlineStr">
        <is>
          <t>PANTENE</t>
        </is>
      </c>
      <c r="F1258" s="2" t="n">
        <v>531.49</v>
      </c>
      <c r="G1258" s="2" t="n">
        <v>43925</v>
      </c>
      <c r="H1258" s="2" t="b">
        <v>0</v>
      </c>
      <c r="I1258" s="2" t="n">
        <v>200</v>
      </c>
      <c r="J1258" s="2" t="n">
        <v>2.6574</v>
      </c>
      <c r="K1258" s="2" t="inlineStr">
        <is>
          <t>&gt; Perfumería &gt; Cuidado Capilar &gt; Acondicionador &gt;</t>
        </is>
      </c>
      <c r="L1258" s="2" t="inlineStr">
        <is>
          <t>acondicionador</t>
        </is>
      </c>
      <c r="M1258" s="2" t="inlineStr">
        <is>
          <t>profesional</t>
        </is>
      </c>
      <c r="N1258" s="2" t="inlineStr">
        <is>
          <t>general</t>
        </is>
      </c>
      <c r="O1258" s="2" t="inlineStr">
        <is>
          <t>https://www.jumbo.com.ar/acondicionador-pantene-prov-essentials-brillo-200ml/p</t>
        </is>
      </c>
    </row>
    <row r="1259">
      <c r="A1259" t="inlineStr">
        <is>
          <t>Jumbo</t>
        </is>
      </c>
      <c r="B1259" t="n">
        <v>345097</v>
      </c>
      <c r="C1259" t="n">
        <v>343782</v>
      </c>
      <c r="D1259" t="inlineStr">
        <is>
          <t>Acondicionador Pantene Prov Essentials Restauración 400ml</t>
        </is>
      </c>
      <c r="E1259" t="inlineStr">
        <is>
          <t>PANTENE</t>
        </is>
      </c>
      <c r="F1259" t="n">
        <v>1500</v>
      </c>
      <c r="G1259" t="n">
        <v>123967</v>
      </c>
      <c r="H1259" t="b">
        <v>0</v>
      </c>
      <c r="I1259" t="n">
        <v>400</v>
      </c>
      <c r="J1259" t="n">
        <v>3.75</v>
      </c>
      <c r="K1259" t="inlineStr">
        <is>
          <t>&gt; Perfumería &gt; Cuidado Capilar &gt; Acondicionador &gt;</t>
        </is>
      </c>
      <c r="L1259" t="inlineStr">
        <is>
          <t>acondicionador</t>
        </is>
      </c>
      <c r="M1259" t="inlineStr">
        <is>
          <t>profesional</t>
        </is>
      </c>
      <c r="N1259" t="inlineStr">
        <is>
          <t>general</t>
        </is>
      </c>
      <c r="O1259" t="inlineStr">
        <is>
          <t>https://www.jumbo.com.ar/acondicionador-pantene-prov-essentials-restauracion-400ml/p</t>
        </is>
      </c>
    </row>
    <row r="1260">
      <c r="A1260" s="2" t="inlineStr">
        <is>
          <t>Jumbo</t>
        </is>
      </c>
      <c r="B1260" s="2" t="n">
        <v>339223</v>
      </c>
      <c r="C1260" s="2" t="n">
        <v>337908</v>
      </c>
      <c r="D1260" s="2" t="inlineStr">
        <is>
          <t>Acondicionador Bio Desenredante Natural Botik Puro</t>
        </is>
      </c>
      <c r="E1260" s="2" t="inlineStr">
        <is>
          <t>BOTIK PURO</t>
        </is>
      </c>
      <c r="F1260" s="2" t="n">
        <v>4019.99</v>
      </c>
      <c r="G1260" s="2" t="n">
        <v>332231</v>
      </c>
      <c r="H1260" s="2" t="b">
        <v>0</v>
      </c>
      <c r="I1260" s="2" t="inlineStr"/>
      <c r="J1260" s="2" t="inlineStr"/>
      <c r="K1260" s="2" t="inlineStr">
        <is>
          <t>&gt; Perfumería &gt; Cuidado Capilar &gt; Acondicionador &gt;</t>
        </is>
      </c>
      <c r="L1260" s="2" t="inlineStr">
        <is>
          <t>acondicionador</t>
        </is>
      </c>
      <c r="M1260" s="2" t="inlineStr">
        <is>
          <t>estandar</t>
        </is>
      </c>
      <c r="N1260" s="2" t="inlineStr">
        <is>
          <t>general</t>
        </is>
      </c>
      <c r="O1260" s="2" t="inlineStr">
        <is>
          <t>https://www.jumbo.com.ar/acondicionador-bio-desenredante-natural-botik-puro/p</t>
        </is>
      </c>
    </row>
    <row r="1261">
      <c r="A1261" t="inlineStr">
        <is>
          <t>Jumbo</t>
        </is>
      </c>
      <c r="B1261" t="n">
        <v>333571</v>
      </c>
      <c r="C1261" t="n">
        <v>332702</v>
      </c>
      <c r="D1261" t="inlineStr">
        <is>
          <t>Acondicionador Alta Moda Color Prt 300ml</t>
        </is>
      </c>
      <c r="E1261" t="inlineStr">
        <is>
          <t>ALTA MODA</t>
        </is>
      </c>
      <c r="F1261" t="n">
        <v>224.95</v>
      </c>
      <c r="G1261" t="n">
        <v>18591</v>
      </c>
      <c r="H1261" t="b">
        <v>0</v>
      </c>
      <c r="I1261" t="n">
        <v>300</v>
      </c>
      <c r="J1261" t="n">
        <v>0.7498</v>
      </c>
      <c r="K1261" t="inlineStr">
        <is>
          <t>&gt; Perfumería &gt; Cuidado Capilar &gt; Acondicionador &gt;</t>
        </is>
      </c>
      <c r="L1261" t="inlineStr">
        <is>
          <t>acondicionador</t>
        </is>
      </c>
      <c r="M1261" t="inlineStr">
        <is>
          <t>estandar</t>
        </is>
      </c>
      <c r="N1261" t="inlineStr">
        <is>
          <t>tratado</t>
        </is>
      </c>
      <c r="O1261" t="inlineStr">
        <is>
          <t>https://www.jumbo.com.ar/acondicionador-alta-moda-color-prt-300ml/p</t>
        </is>
      </c>
    </row>
    <row r="1262">
      <c r="A1262" s="2" t="inlineStr">
        <is>
          <t>Jumbo</t>
        </is>
      </c>
      <c r="B1262" s="2" t="n">
        <v>332079</v>
      </c>
      <c r="C1262" s="2" t="n">
        <v>331240</v>
      </c>
      <c r="D1262" s="2" t="inlineStr">
        <is>
          <t>Acondicionador Dove Ritual De Equinacea 400 Ml</t>
        </is>
      </c>
      <c r="E1262" s="2" t="inlineStr">
        <is>
          <t>DOVE</t>
        </is>
      </c>
      <c r="F1262" s="2" t="n">
        <v>463.89</v>
      </c>
      <c r="G1262" s="2" t="n">
        <v>38338</v>
      </c>
      <c r="H1262" s="2" t="b">
        <v>0</v>
      </c>
      <c r="I1262" s="2" t="n">
        <v>400</v>
      </c>
      <c r="J1262" s="2" t="n">
        <v>1.1597</v>
      </c>
      <c r="K1262" s="2" t="inlineStr">
        <is>
          <t>&gt; Perfumería &gt; Cuidado Capilar &gt; Acondicionador &gt;</t>
        </is>
      </c>
      <c r="L1262" s="2" t="inlineStr">
        <is>
          <t>acondicionador</t>
        </is>
      </c>
      <c r="M1262" s="2" t="inlineStr">
        <is>
          <t>estandar</t>
        </is>
      </c>
      <c r="N1262" s="2" t="inlineStr">
        <is>
          <t>general</t>
        </is>
      </c>
      <c r="O1262" s="2" t="inlineStr">
        <is>
          <t>https://www.jumbo.com.ar/acondicionador-dove-ritual-de-equinacea-400-ml/p</t>
        </is>
      </c>
    </row>
    <row r="1263">
      <c r="A1263" t="inlineStr">
        <is>
          <t>Jumbo</t>
        </is>
      </c>
      <c r="B1263" t="n">
        <v>312947</v>
      </c>
      <c r="C1263" t="n">
        <v>312185</v>
      </c>
      <c r="D1263" t="inlineStr">
        <is>
          <t>Acondicionador Balsam Vitaminado 800 Ml Biferdil</t>
        </is>
      </c>
      <c r="E1263" t="inlineStr">
        <is>
          <t>BIFERDIL</t>
        </is>
      </c>
      <c r="F1263" t="n">
        <v>18450</v>
      </c>
      <c r="G1263" t="n">
        <v>1524793</v>
      </c>
      <c r="H1263" t="b">
        <v>0</v>
      </c>
      <c r="I1263" t="n">
        <v>800</v>
      </c>
      <c r="J1263" t="n">
        <v>23.0625</v>
      </c>
      <c r="K1263" t="inlineStr">
        <is>
          <t>&gt; Perfumería &gt; Cuidado Capilar &gt; Reparación y Tratamientos &gt;</t>
        </is>
      </c>
      <c r="L1263" t="inlineStr">
        <is>
          <t>acondicionador</t>
        </is>
      </c>
      <c r="M1263" t="inlineStr">
        <is>
          <t>estandar</t>
        </is>
      </c>
      <c r="N1263" t="inlineStr">
        <is>
          <t>general</t>
        </is>
      </c>
      <c r="O1263" t="inlineStr">
        <is>
          <t>https://www.jumbo.com.ar/acondicionador-biferdil-vitaminado-800-ml/p</t>
        </is>
      </c>
    </row>
    <row r="1264">
      <c r="A1264" s="2" t="inlineStr">
        <is>
          <t>Jumbo</t>
        </is>
      </c>
      <c r="B1264" s="2" t="n">
        <v>312209</v>
      </c>
      <c r="C1264" s="2" t="n">
        <v>311447</v>
      </c>
      <c r="D1264" s="2" t="inlineStr">
        <is>
          <t>Acondicionador Dove Regeneración Extrema 750 Ml</t>
        </is>
      </c>
      <c r="E1264" s="2" t="inlineStr">
        <is>
          <t>DOVE</t>
        </is>
      </c>
      <c r="F1264" s="2" t="n">
        <v>418.79</v>
      </c>
      <c r="G1264" s="2" t="n">
        <v>34611</v>
      </c>
      <c r="H1264" s="2" t="b">
        <v>0</v>
      </c>
      <c r="I1264" s="2" t="n">
        <v>750</v>
      </c>
      <c r="J1264" s="2" t="n">
        <v>0.5584</v>
      </c>
      <c r="K1264" s="2" t="inlineStr">
        <is>
          <t>&gt; Perfumería &gt; Cuidado Capilar &gt; Acondicionador &gt;</t>
        </is>
      </c>
      <c r="L1264" s="2" t="inlineStr">
        <is>
          <t>acondicionador</t>
        </is>
      </c>
      <c r="M1264" s="2" t="inlineStr">
        <is>
          <t>estandar</t>
        </is>
      </c>
      <c r="N1264" s="2" t="inlineStr">
        <is>
          <t>general</t>
        </is>
      </c>
      <c r="O1264" s="2" t="inlineStr">
        <is>
          <t>https://www.jumbo.com.ar/acondicionador-dove-regeneracion-extrema-750-ml/p</t>
        </is>
      </c>
    </row>
    <row r="1265">
      <c r="A1265" t="inlineStr">
        <is>
          <t>Jumbo</t>
        </is>
      </c>
      <c r="B1265" t="n">
        <v>312203</v>
      </c>
      <c r="C1265" t="n">
        <v>311441</v>
      </c>
      <c r="D1265" t="inlineStr">
        <is>
          <t>Acondicionador Dove Regeneración Extrema 200 Ml</t>
        </is>
      </c>
      <c r="E1265" t="inlineStr">
        <is>
          <t>DOVE</t>
        </is>
      </c>
      <c r="F1265" t="n">
        <v>161.79</v>
      </c>
      <c r="G1265" t="n">
        <v>13371</v>
      </c>
      <c r="H1265" t="b">
        <v>0</v>
      </c>
      <c r="I1265" t="n">
        <v>200</v>
      </c>
      <c r="J1265" t="n">
        <v>0.8089</v>
      </c>
      <c r="K1265" t="inlineStr">
        <is>
          <t>&gt; Perfumería &gt; Cuidado Capilar &gt; Acondicionador &gt;</t>
        </is>
      </c>
      <c r="L1265" t="inlineStr">
        <is>
          <t>acondicionador</t>
        </is>
      </c>
      <c r="M1265" t="inlineStr">
        <is>
          <t>estandar</t>
        </is>
      </c>
      <c r="N1265" t="inlineStr">
        <is>
          <t>general</t>
        </is>
      </c>
      <c r="O1265" t="inlineStr">
        <is>
          <t>https://www.jumbo.com.ar/acondicionador-dove-regeneracion-extrema-200-ml/p</t>
        </is>
      </c>
    </row>
    <row r="1266">
      <c r="A1266" s="2" t="inlineStr">
        <is>
          <t>Jumbo</t>
        </is>
      </c>
      <c r="B1266" s="2" t="n">
        <v>310069</v>
      </c>
      <c r="C1266" s="2" t="n">
        <v>309307</v>
      </c>
      <c r="D1266" s="2" t="inlineStr">
        <is>
          <t>Acondicionador Swing Reparación Intensa 400 Ml</t>
        </is>
      </c>
      <c r="E1266" s="2" t="inlineStr">
        <is>
          <t>SWING</t>
        </is>
      </c>
      <c r="F1266" s="2" t="n">
        <v>900</v>
      </c>
      <c r="G1266" s="2" t="n">
        <v>74380</v>
      </c>
      <c r="H1266" s="2" t="b">
        <v>0</v>
      </c>
      <c r="I1266" s="2" t="n">
        <v>400</v>
      </c>
      <c r="J1266" s="2" t="n">
        <v>2.25</v>
      </c>
      <c r="K1266" s="2" t="inlineStr">
        <is>
          <t>&gt; Perfumería &gt; Cuidado Capilar &gt; Acondicionador &gt;</t>
        </is>
      </c>
      <c r="L1266" s="2" t="inlineStr">
        <is>
          <t>acondicionador</t>
        </is>
      </c>
      <c r="M1266" s="2" t="inlineStr">
        <is>
          <t>estandar</t>
        </is>
      </c>
      <c r="N1266" s="2" t="inlineStr">
        <is>
          <t>general</t>
        </is>
      </c>
      <c r="O1266" s="2" t="inlineStr">
        <is>
          <t>https://www.jumbo.com.ar/acondicionador-swing-reparacion-intensa-400-ml/p</t>
        </is>
      </c>
    </row>
    <row r="1267">
      <c r="A1267" t="inlineStr">
        <is>
          <t>Jumbo</t>
        </is>
      </c>
      <c r="B1267" t="n">
        <v>309876</v>
      </c>
      <c r="C1267" t="n">
        <v>309113</v>
      </c>
      <c r="D1267" t="inlineStr">
        <is>
          <t>Acondicionador Swing Brillo Radiante 400 Ml</t>
        </is>
      </c>
      <c r="E1267" t="inlineStr">
        <is>
          <t>SWING</t>
        </is>
      </c>
      <c r="F1267" t="n">
        <v>900</v>
      </c>
      <c r="G1267" t="n">
        <v>74380</v>
      </c>
      <c r="H1267" t="b">
        <v>0</v>
      </c>
      <c r="I1267" t="n">
        <v>400</v>
      </c>
      <c r="J1267" t="n">
        <v>2.25</v>
      </c>
      <c r="K1267" t="inlineStr">
        <is>
          <t>&gt; Perfumería &gt; Cuidado Capilar &gt; Acondicionador &gt;</t>
        </is>
      </c>
      <c r="L1267" t="inlineStr">
        <is>
          <t>acondicionador</t>
        </is>
      </c>
      <c r="M1267" t="inlineStr">
        <is>
          <t>estandar</t>
        </is>
      </c>
      <c r="N1267" t="inlineStr">
        <is>
          <t>general</t>
        </is>
      </c>
      <c r="O1267" t="inlineStr">
        <is>
          <t>https://www.jumbo.com.ar/acondicionador-swing-brillo-radiante-400-ml/p</t>
        </is>
      </c>
    </row>
    <row r="1268">
      <c r="A1268" s="2" t="inlineStr">
        <is>
          <t>Jumbo</t>
        </is>
      </c>
      <c r="B1268" s="2" t="n">
        <v>298572</v>
      </c>
      <c r="C1268" s="2" t="n">
        <v>297801</v>
      </c>
      <c r="D1268" s="2" t="inlineStr">
        <is>
          <t>Acondicionador Dove Ritual Detox 400 Ml</t>
        </is>
      </c>
      <c r="E1268" s="2" t="inlineStr">
        <is>
          <t>DOVE</t>
        </is>
      </c>
      <c r="F1268" s="2" t="n">
        <v>477.49</v>
      </c>
      <c r="G1268" s="2" t="n">
        <v>39462</v>
      </c>
      <c r="H1268" s="2" t="b">
        <v>0</v>
      </c>
      <c r="I1268" s="2" t="n">
        <v>400</v>
      </c>
      <c r="J1268" s="2" t="n">
        <v>1.1937</v>
      </c>
      <c r="K1268" s="2" t="inlineStr">
        <is>
          <t>&gt; Perfumería &gt; Cuidado Capilar &gt; Acondicionador &gt;</t>
        </is>
      </c>
      <c r="L1268" s="2" t="inlineStr">
        <is>
          <t>acondicionador</t>
        </is>
      </c>
      <c r="M1268" s="2" t="inlineStr">
        <is>
          <t>estandar</t>
        </is>
      </c>
      <c r="N1268" s="2" t="inlineStr">
        <is>
          <t>general</t>
        </is>
      </c>
      <c r="O1268" s="2" t="inlineStr">
        <is>
          <t>https://www.jumbo.com.ar/acondicionador-dove-ritual-detox-400-ml-2/p</t>
        </is>
      </c>
    </row>
    <row r="1269">
      <c r="A1269" t="inlineStr">
        <is>
          <t>Jumbo</t>
        </is>
      </c>
      <c r="B1269" t="n">
        <v>295004</v>
      </c>
      <c r="C1269" t="n">
        <v>294235</v>
      </c>
      <c r="D1269" t="inlineStr">
        <is>
          <t>Acondicionador Sedal Bomba Coco 190 Ml</t>
        </is>
      </c>
      <c r="E1269" t="inlineStr">
        <is>
          <t>SEDAL</t>
        </is>
      </c>
      <c r="F1269" t="n">
        <v>130.65</v>
      </c>
      <c r="G1269" t="n">
        <v>10798</v>
      </c>
      <c r="H1269" t="b">
        <v>0</v>
      </c>
      <c r="I1269" t="n">
        <v>190</v>
      </c>
      <c r="J1269" t="n">
        <v>0.6876</v>
      </c>
      <c r="K1269" t="inlineStr">
        <is>
          <t>&gt; Perfumería &gt; Cuidado Capilar &gt; Acondicionador &gt;</t>
        </is>
      </c>
      <c r="L1269" t="inlineStr">
        <is>
          <t>acondicionador</t>
        </is>
      </c>
      <c r="M1269" t="inlineStr">
        <is>
          <t>estandar</t>
        </is>
      </c>
      <c r="N1269" t="inlineStr">
        <is>
          <t>general</t>
        </is>
      </c>
      <c r="O1269" t="inlineStr">
        <is>
          <t>https://www.jumbo.com.ar/acondicionador-sedal-bomba-coco-190-ml/p</t>
        </is>
      </c>
    </row>
    <row r="1270">
      <c r="A1270" s="2" t="inlineStr">
        <is>
          <t>Jumbo</t>
        </is>
      </c>
      <c r="B1270" s="2" t="n">
        <v>294920</v>
      </c>
      <c r="C1270" s="2" t="n">
        <v>294151</v>
      </c>
      <c r="D1270" s="2" t="inlineStr">
        <is>
          <t>Acondicionador Plusbelle Proteccion Natural 1000 Ml</t>
        </is>
      </c>
      <c r="E1270" s="2" t="inlineStr">
        <is>
          <t>PLUSBELLE</t>
        </is>
      </c>
      <c r="F1270" s="2" t="n">
        <v>155.65</v>
      </c>
      <c r="G1270" s="2" t="n">
        <v>12864</v>
      </c>
      <c r="H1270" s="2" t="b">
        <v>0</v>
      </c>
      <c r="I1270" s="2" t="n">
        <v>1000</v>
      </c>
      <c r="J1270" s="2" t="n">
        <v>0.1557</v>
      </c>
      <c r="K1270" s="2" t="inlineStr">
        <is>
          <t>&gt; Perfumería &gt; Cuidado Capilar &gt; Acondicionador &gt;</t>
        </is>
      </c>
      <c r="L1270" s="2" t="inlineStr">
        <is>
          <t>acondicionador</t>
        </is>
      </c>
      <c r="M1270" s="2" t="inlineStr">
        <is>
          <t>estandar</t>
        </is>
      </c>
      <c r="N1270" s="2" t="inlineStr">
        <is>
          <t>general</t>
        </is>
      </c>
      <c r="O1270" s="2" t="inlineStr">
        <is>
          <t>https://www.jumbo.com.ar/acondicionador-plusbelle-proteccion-natural-1000-ml/p</t>
        </is>
      </c>
    </row>
    <row r="1271">
      <c r="A1271" t="inlineStr">
        <is>
          <t>Jumbo</t>
        </is>
      </c>
      <c r="B1271" t="n">
        <v>292354</v>
      </c>
      <c r="C1271" t="n">
        <v>291586</v>
      </c>
      <c r="D1271" t="inlineStr">
        <is>
          <t>Acondicionador Tresemmé-thermal Recovery-pvc-ml.-400</t>
        </is>
      </c>
      <c r="E1271" t="inlineStr">
        <is>
          <t>TRESEMMÉ</t>
        </is>
      </c>
      <c r="F1271" t="n">
        <v>77.69</v>
      </c>
      <c r="G1271" t="n">
        <v>6421</v>
      </c>
      <c r="H1271" t="b">
        <v>0</v>
      </c>
      <c r="I1271" t="inlineStr"/>
      <c r="J1271" t="inlineStr"/>
      <c r="K1271" t="inlineStr">
        <is>
          <t>&gt; Perfumería &gt; Cuidado Capilar &gt; Acondicionador &gt;</t>
        </is>
      </c>
      <c r="L1271" t="inlineStr">
        <is>
          <t>acondicionador</t>
        </is>
      </c>
      <c r="M1271" t="inlineStr">
        <is>
          <t>estandar</t>
        </is>
      </c>
      <c r="N1271" t="inlineStr">
        <is>
          <t>general</t>
        </is>
      </c>
      <c r="O1271" t="inlineStr">
        <is>
          <t>https://www.jumbo.com.ar/acondicionador-tresemme-thermal-recovery-pvc-ml-400/p</t>
        </is>
      </c>
    </row>
    <row r="1272">
      <c r="A1272" s="2" t="inlineStr">
        <is>
          <t>Jumbo</t>
        </is>
      </c>
      <c r="B1272" s="2" t="n">
        <v>275412</v>
      </c>
      <c r="C1272" s="2" t="n">
        <v>274708</v>
      </c>
      <c r="D1272" s="2" t="inlineStr">
        <is>
          <t>Acondicionador Head &amp; Shoulders Manzana Fresh</t>
        </is>
      </c>
      <c r="E1272" s="2" t="inlineStr">
        <is>
          <t>HEAD &amp; SHOULDERS</t>
        </is>
      </c>
      <c r="F1272" s="2" t="n">
        <v>310.59</v>
      </c>
      <c r="G1272" s="2" t="n">
        <v>25669</v>
      </c>
      <c r="H1272" s="2" t="b">
        <v>0</v>
      </c>
      <c r="I1272" s="2" t="inlineStr"/>
      <c r="J1272" s="2" t="inlineStr"/>
      <c r="K1272" s="2" t="inlineStr">
        <is>
          <t>&gt; Perfumería &gt; Cuidado Capilar &gt; Acondicionador &gt;</t>
        </is>
      </c>
      <c r="L1272" s="2" t="inlineStr">
        <is>
          <t>acondicionador</t>
        </is>
      </c>
      <c r="M1272" s="2" t="inlineStr">
        <is>
          <t>estandar</t>
        </is>
      </c>
      <c r="N1272" s="2" t="inlineStr">
        <is>
          <t>general</t>
        </is>
      </c>
      <c r="O1272" s="2" t="inlineStr">
        <is>
          <t>https://www.jumbo.com.ar/acondicionador-head-shoulders-manzana-fresh/p</t>
        </is>
      </c>
    </row>
    <row r="1273">
      <c r="A1273" t="inlineStr">
        <is>
          <t>Jumbo</t>
        </is>
      </c>
      <c r="B1273" t="n">
        <v>386973</v>
      </c>
      <c r="C1273" t="n">
        <v>385299</v>
      </c>
      <c r="D1273" t="inlineStr">
        <is>
          <t>Shampoo Para Niños Johnson's Rulos De Ensueño 200 Ml</t>
        </is>
      </c>
      <c r="E1273" t="inlineStr">
        <is>
          <t>JOHNSON´S</t>
        </is>
      </c>
      <c r="F1273" t="n">
        <v>1250</v>
      </c>
      <c r="G1273" t="n">
        <v>103306</v>
      </c>
      <c r="H1273" t="b">
        <v>0</v>
      </c>
      <c r="I1273" t="n">
        <v>200</v>
      </c>
      <c r="J1273" t="n">
        <v>6.25</v>
      </c>
      <c r="K1273" t="inlineStr">
        <is>
          <t>&gt; Mundo Bebe &gt; Higiene para el Bebe &gt; Higiene del Bebé &gt;</t>
        </is>
      </c>
      <c r="L1273" t="inlineStr">
        <is>
          <t>shampoo</t>
        </is>
      </c>
      <c r="M1273" t="inlineStr">
        <is>
          <t>estandar</t>
        </is>
      </c>
      <c r="N1273" t="inlineStr">
        <is>
          <t>rizado</t>
        </is>
      </c>
      <c r="O1273" t="inlineStr">
        <is>
          <t>https://www.jumbo.com.ar/shampoo-para-ninos-johnson-s-rulos-de-ensueno-200-ml/p</t>
        </is>
      </c>
    </row>
    <row r="1274">
      <c r="A1274" s="2" t="inlineStr">
        <is>
          <t>Jumbo</t>
        </is>
      </c>
      <c r="B1274" s="2" t="n">
        <v>3529</v>
      </c>
      <c r="C1274" s="2" t="n">
        <v>248504</v>
      </c>
      <c r="D1274" s="2" t="inlineStr">
        <is>
          <t>Shampoo Para Bebé Johnson's® Rulos Definidos X 200 Ml</t>
        </is>
      </c>
      <c r="E1274" s="2" t="inlineStr">
        <is>
          <t>JOHNSON BABY</t>
        </is>
      </c>
      <c r="F1274" s="2" t="n">
        <v>213.39</v>
      </c>
      <c r="G1274" s="2" t="n">
        <v>17636</v>
      </c>
      <c r="H1274" s="2" t="b">
        <v>0</v>
      </c>
      <c r="I1274" s="2" t="n">
        <v>200</v>
      </c>
      <c r="J1274" s="2" t="n">
        <v>1.0669</v>
      </c>
      <c r="K1274" s="2" t="inlineStr">
        <is>
          <t>&gt; Mundo Bebe &gt; Higiene para el Bebe &gt; Higiene del Bebé &gt;</t>
        </is>
      </c>
      <c r="L1274" s="2" t="inlineStr">
        <is>
          <t>shampoo</t>
        </is>
      </c>
      <c r="M1274" s="2" t="inlineStr">
        <is>
          <t>estandar</t>
        </is>
      </c>
      <c r="N1274" s="2" t="inlineStr">
        <is>
          <t>rizado</t>
        </is>
      </c>
      <c r="O1274" s="2" t="inlineStr">
        <is>
          <t>https://www.jumbo.com.ar/shampoo-para-bebe-johnson-s-rulos-definidos-200-ml/p</t>
        </is>
      </c>
    </row>
    <row r="1275">
      <c r="A1275" t="inlineStr">
        <is>
          <t>Jumbo</t>
        </is>
      </c>
      <c r="B1275" t="n">
        <v>149893</v>
      </c>
      <c r="C1275" t="n">
        <v>146802</v>
      </c>
      <c r="D1275" t="inlineStr">
        <is>
          <t>Shampoo Plusbelle-plusbelle Effect-rulos Control-pvc-ml.-750</t>
        </is>
      </c>
      <c r="E1275" t="inlineStr">
        <is>
          <t>PLUSBELLE</t>
        </is>
      </c>
      <c r="F1275" t="n">
        <v>13.85</v>
      </c>
      <c r="G1275" t="n">
        <v>1145</v>
      </c>
      <c r="H1275" t="b">
        <v>0</v>
      </c>
      <c r="I1275" t="inlineStr"/>
      <c r="J1275" t="inlineStr"/>
      <c r="K1275" t="inlineStr">
        <is>
          <t>&gt; Perfumería &gt; Cuidado Capilar &gt; Shampoo &gt;</t>
        </is>
      </c>
      <c r="L1275" t="inlineStr">
        <is>
          <t>shampoo</t>
        </is>
      </c>
      <c r="M1275" t="inlineStr">
        <is>
          <t>estandar</t>
        </is>
      </c>
      <c r="N1275" t="inlineStr">
        <is>
          <t>rizado</t>
        </is>
      </c>
      <c r="O1275" t="inlineStr">
        <is>
          <t>https://www.jumbo.com.ar/shampoo-plusbelle-plusbelle-effect-rulos-control-pvc-ml-750-2/p</t>
        </is>
      </c>
    </row>
    <row r="1276">
      <c r="A1276" s="2" t="inlineStr">
        <is>
          <t>Jumbo</t>
        </is>
      </c>
      <c r="B1276" s="2" t="n">
        <v>333048</v>
      </c>
      <c r="C1276" s="2" t="n">
        <v>332196</v>
      </c>
      <c r="D1276" s="2" t="inlineStr">
        <is>
          <t>Shampoo Para Niños Johnson's Rulos De Ensueño X 200 Ml.</t>
        </is>
      </c>
      <c r="E1276" s="2" t="inlineStr">
        <is>
          <t>JOHNSON BABY</t>
        </is>
      </c>
      <c r="F1276" s="2" t="n">
        <v>614.73</v>
      </c>
      <c r="G1276" s="2" t="n">
        <v>50804</v>
      </c>
      <c r="H1276" s="2" t="b">
        <v>0</v>
      </c>
      <c r="I1276" s="2" t="n">
        <v>200</v>
      </c>
      <c r="J1276" s="2" t="n">
        <v>3.0737</v>
      </c>
      <c r="K1276" s="2" t="inlineStr">
        <is>
          <t>&gt; Mundo Bebe &gt; Higiene para el Bebe &gt; Higiene del Bebé &gt;</t>
        </is>
      </c>
      <c r="L1276" s="2" t="inlineStr">
        <is>
          <t>shampoo</t>
        </is>
      </c>
      <c r="M1276" s="2" t="inlineStr">
        <is>
          <t>estandar</t>
        </is>
      </c>
      <c r="N1276" s="2" t="inlineStr">
        <is>
          <t>rizado</t>
        </is>
      </c>
      <c r="O1276" s="2" t="inlineStr">
        <is>
          <t>https://www.jumbo.com.ar/shampoo-para-ninos-johnson-s-rulos-de-ensueno-x-200-ml/p</t>
        </is>
      </c>
    </row>
    <row r="1277">
      <c r="A1277" t="inlineStr">
        <is>
          <t>Jumbo</t>
        </is>
      </c>
      <c r="B1277" t="n">
        <v>48478</v>
      </c>
      <c r="C1277" t="n">
        <v>45643</v>
      </c>
      <c r="D1277" t="inlineStr">
        <is>
          <t>Shampoo Para Bebé Johnson's® Rulos Definidos X 400 Ml</t>
        </is>
      </c>
      <c r="E1277" t="inlineStr">
        <is>
          <t>JOHNSON BABY</t>
        </is>
      </c>
      <c r="F1277" t="n">
        <v>274.97</v>
      </c>
      <c r="G1277" t="n">
        <v>22725</v>
      </c>
      <c r="H1277" t="b">
        <v>0</v>
      </c>
      <c r="I1277" t="n">
        <v>400</v>
      </c>
      <c r="J1277" t="n">
        <v>0.6874</v>
      </c>
      <c r="K1277" t="inlineStr">
        <is>
          <t>&gt; Mundo Bebe &gt; Higiene para el Bebe &gt; Higiene del Bebé &gt;</t>
        </is>
      </c>
      <c r="L1277" t="inlineStr">
        <is>
          <t>shampoo</t>
        </is>
      </c>
      <c r="M1277" t="inlineStr">
        <is>
          <t>estandar</t>
        </is>
      </c>
      <c r="N1277" t="inlineStr">
        <is>
          <t>rizado</t>
        </is>
      </c>
      <c r="O1277" t="inlineStr">
        <is>
          <t>https://www.jumbo.com.ar/shampoo-para-bebe-johnson-s-rulos-definidos-x-400-ml/p</t>
        </is>
      </c>
    </row>
    <row r="1278">
      <c r="A1278" s="2" t="inlineStr">
        <is>
          <t>Jumbo</t>
        </is>
      </c>
      <c r="B1278" s="2" t="n">
        <v>271672</v>
      </c>
      <c r="C1278" s="2" t="n">
        <v>271151</v>
      </c>
      <c r="D1278" s="2" t="inlineStr">
        <is>
          <t>Shampoo Baby Dove Cabello Rizado/con Rulos Ph Neutro 200 Ml</t>
        </is>
      </c>
      <c r="E1278" s="2" t="inlineStr">
        <is>
          <t>DOVE BABY</t>
        </is>
      </c>
      <c r="F1278" s="2" t="n">
        <v>427.27</v>
      </c>
      <c r="G1278" s="2" t="n">
        <v>35312</v>
      </c>
      <c r="H1278" s="2" t="b">
        <v>0</v>
      </c>
      <c r="I1278" s="2" t="n">
        <v>200</v>
      </c>
      <c r="J1278" s="2" t="n">
        <v>2.1363</v>
      </c>
      <c r="K1278" s="2" t="inlineStr">
        <is>
          <t>&gt; Mundo Bebe &gt; Higiene para el Bebe &gt; Higiene del Bebé &gt;</t>
        </is>
      </c>
      <c r="L1278" s="2" t="inlineStr">
        <is>
          <t>shampoo</t>
        </is>
      </c>
      <c r="M1278" s="2" t="inlineStr">
        <is>
          <t>estandar</t>
        </is>
      </c>
      <c r="N1278" s="2" t="inlineStr">
        <is>
          <t>rizado</t>
        </is>
      </c>
      <c r="O1278" s="2" t="inlineStr">
        <is>
          <t>https://www.jumbo.com.ar/shampoo-baby-dove-cabello-rizado-con-rulos-ph-neutro-200-ml/p</t>
        </is>
      </c>
    </row>
    <row r="1279">
      <c r="A1279" t="inlineStr">
        <is>
          <t>Jumbo</t>
        </is>
      </c>
      <c r="B1279" t="n">
        <v>414724</v>
      </c>
      <c r="C1279" t="n">
        <v>410425</v>
      </c>
      <c r="D1279" t="inlineStr">
        <is>
          <t>Acondicionador Para Niños Rulos De Ensueño 200 Ml Johnson´s</t>
        </is>
      </c>
      <c r="E1279" t="inlineStr">
        <is>
          <t>JOHNSON´S</t>
        </is>
      </c>
      <c r="F1279" t="n">
        <v>5800</v>
      </c>
      <c r="G1279" t="n">
        <v>479339</v>
      </c>
      <c r="H1279" t="b">
        <v>0</v>
      </c>
      <c r="I1279" t="n">
        <v>200</v>
      </c>
      <c r="J1279" t="n">
        <v>29</v>
      </c>
      <c r="K1279" t="inlineStr">
        <is>
          <t>&gt; Mundo Bebe &gt; Higiene para el Bebe &gt; Higiene del Bebé &gt;</t>
        </is>
      </c>
      <c r="L1279" t="inlineStr">
        <is>
          <t>acondicionador</t>
        </is>
      </c>
      <c r="M1279" t="inlineStr">
        <is>
          <t>estandar</t>
        </is>
      </c>
      <c r="N1279" t="inlineStr">
        <is>
          <t>rizado</t>
        </is>
      </c>
      <c r="O1279" t="inlineStr">
        <is>
          <t>https://www.jumbo.com.ar/acondicionador-para-ninos-rulos-de-ensueno-200-ml-johnson-s/p</t>
        </is>
      </c>
    </row>
    <row r="1280">
      <c r="A1280" s="2" t="inlineStr">
        <is>
          <t>Jumbo</t>
        </is>
      </c>
      <c r="B1280" s="2" t="n">
        <v>333440</v>
      </c>
      <c r="C1280" s="2" t="n">
        <v>332588</v>
      </c>
      <c r="D1280" s="2" t="inlineStr">
        <is>
          <t>Acondicionador Para Niños Johnson's® Rulos De Ensueño X 200 Ml.</t>
        </is>
      </c>
      <c r="E1280" s="2" t="inlineStr">
        <is>
          <t>JOHNSON BABY</t>
        </is>
      </c>
      <c r="F1280" s="2" t="n">
        <v>609.89</v>
      </c>
      <c r="G1280" s="2" t="n">
        <v>50404</v>
      </c>
      <c r="H1280" s="2" t="b">
        <v>0</v>
      </c>
      <c r="I1280" s="2" t="n">
        <v>200</v>
      </c>
      <c r="J1280" s="2" t="n">
        <v>3.0494</v>
      </c>
      <c r="K1280" s="2" t="inlineStr">
        <is>
          <t>&gt; Mundo Bebe &gt; Higiene para el Bebe &gt; Higiene del Bebé &gt;</t>
        </is>
      </c>
      <c r="L1280" s="2" t="inlineStr">
        <is>
          <t>acondicionador</t>
        </is>
      </c>
      <c r="M1280" s="2" t="inlineStr">
        <is>
          <t>estandar</t>
        </is>
      </c>
      <c r="N1280" s="2" t="inlineStr">
        <is>
          <t>rizado</t>
        </is>
      </c>
      <c r="O1280" s="2" t="inlineStr">
        <is>
          <t>https://www.jumbo.com.ar/acondicionador-para-ninos-johnson-s-rulos-de-ensueno-x-200-ml/p</t>
        </is>
      </c>
    </row>
    <row r="1281">
      <c r="A1281" t="inlineStr">
        <is>
          <t>Jumbo</t>
        </is>
      </c>
      <c r="B1281" t="n">
        <v>19668</v>
      </c>
      <c r="C1281" t="n">
        <v>16833</v>
      </c>
      <c r="D1281" t="inlineStr">
        <is>
          <t>Shampoo Sedal Rizos 650ml</t>
        </is>
      </c>
      <c r="E1281" t="inlineStr">
        <is>
          <t>SEDAL</t>
        </is>
      </c>
      <c r="F1281" t="n">
        <v>370.17</v>
      </c>
      <c r="G1281" t="n">
        <v>30593</v>
      </c>
      <c r="H1281" t="b">
        <v>0</v>
      </c>
      <c r="I1281" t="n">
        <v>650</v>
      </c>
      <c r="J1281" t="n">
        <v>0.5695</v>
      </c>
      <c r="K1281" t="inlineStr">
        <is>
          <t>&gt; Perfumería &gt; Cuidado Capilar &gt; Shampoo &gt;</t>
        </is>
      </c>
      <c r="L1281" t="inlineStr">
        <is>
          <t>shampoo</t>
        </is>
      </c>
      <c r="M1281" t="inlineStr">
        <is>
          <t>estandar</t>
        </is>
      </c>
      <c r="N1281" t="inlineStr">
        <is>
          <t>rizado</t>
        </is>
      </c>
      <c r="O1281" t="inlineStr">
        <is>
          <t>https://www.jumbo.com.ar/shampoo-sedal-rizos-650ml/p</t>
        </is>
      </c>
    </row>
    <row r="1282">
      <c r="A1282" s="2" t="inlineStr">
        <is>
          <t>Jumbo</t>
        </is>
      </c>
      <c r="B1282" s="2" t="n">
        <v>7408</v>
      </c>
      <c r="C1282" s="2" t="n">
        <v>4737</v>
      </c>
      <c r="D1282" s="2" t="inlineStr">
        <is>
          <t>Shampoo Pantene Rizos 400ml</t>
        </is>
      </c>
      <c r="E1282" s="2" t="inlineStr">
        <is>
          <t>PANTENE</t>
        </is>
      </c>
      <c r="F1282" s="2" t="n">
        <v>201.27</v>
      </c>
      <c r="G1282" s="2" t="n">
        <v>16634</v>
      </c>
      <c r="H1282" s="2" t="b">
        <v>0</v>
      </c>
      <c r="I1282" s="2" t="n">
        <v>400</v>
      </c>
      <c r="J1282" s="2" t="n">
        <v>0.5032</v>
      </c>
      <c r="K1282" s="2" t="inlineStr">
        <is>
          <t>&gt; Perfumería &gt; Cuidado Capilar &gt; Shampoo &gt;</t>
        </is>
      </c>
      <c r="L1282" s="2" t="inlineStr">
        <is>
          <t>shampoo</t>
        </is>
      </c>
      <c r="M1282" s="2" t="inlineStr">
        <is>
          <t>estandar</t>
        </is>
      </c>
      <c r="N1282" s="2" t="inlineStr">
        <is>
          <t>rizado</t>
        </is>
      </c>
      <c r="O1282" s="2" t="inlineStr">
        <is>
          <t>https://www.jumbo.com.ar/shampoo-pantene-rizos-400ml/p</t>
        </is>
      </c>
    </row>
    <row r="1283">
      <c r="A1283" t="inlineStr">
        <is>
          <t>Jumbo</t>
        </is>
      </c>
      <c r="B1283" t="n">
        <v>134791</v>
      </c>
      <c r="C1283" t="n">
        <v>131703</v>
      </c>
      <c r="D1283" t="inlineStr">
        <is>
          <t>Shampoo Anticaspa Clear Men-brillo-pvc-ml.-240</t>
        </is>
      </c>
      <c r="E1283" t="inlineStr">
        <is>
          <t>CLEAR</t>
        </is>
      </c>
      <c r="F1283" t="n">
        <v>11.15</v>
      </c>
      <c r="G1283" t="n">
        <v>921</v>
      </c>
      <c r="H1283" t="b">
        <v>0</v>
      </c>
      <c r="I1283" t="inlineStr"/>
      <c r="J1283" t="inlineStr"/>
      <c r="K1283" t="inlineStr">
        <is>
          <t>&gt; Perfumería &gt; Cuidado Capilar &gt; Shampoo &gt;</t>
        </is>
      </c>
      <c r="L1283" t="inlineStr">
        <is>
          <t>shampoo</t>
        </is>
      </c>
      <c r="M1283" t="inlineStr">
        <is>
          <t>estandar</t>
        </is>
      </c>
      <c r="N1283" t="inlineStr">
        <is>
          <t>anticaspa</t>
        </is>
      </c>
      <c r="O1283" t="inlineStr">
        <is>
          <t>https://www.jumbo.com.ar/shampoo-anticaspa-clear-men-6/p</t>
        </is>
      </c>
    </row>
    <row r="1284">
      <c r="A1284" s="2" t="inlineStr">
        <is>
          <t>Jumbo</t>
        </is>
      </c>
      <c r="B1284" s="2" t="n">
        <v>24714</v>
      </c>
      <c r="C1284" s="2" t="n">
        <v>21878</v>
      </c>
      <c r="D1284" s="2" t="inlineStr">
        <is>
          <t>Shampoo Anticaspa Head &amp; Shoulders Shampoo Head &amp; Shoulders Relax Control Comezón 200 Ml</t>
        </is>
      </c>
      <c r="E1284" s="2" t="inlineStr">
        <is>
          <t>HEAD &amp; SHOULDERS</t>
        </is>
      </c>
      <c r="F1284" s="2" t="n">
        <v>70.43000000000001</v>
      </c>
      <c r="G1284" s="2" t="n">
        <v>5821</v>
      </c>
      <c r="H1284" s="2" t="b">
        <v>0</v>
      </c>
      <c r="I1284" s="2" t="n">
        <v>200</v>
      </c>
      <c r="J1284" s="2" t="n">
        <v>0.3522</v>
      </c>
      <c r="K1284" s="2" t="inlineStr">
        <is>
          <t>&gt; Perfumería &gt; Cuidado Capilar &gt; Shampoo &gt;</t>
        </is>
      </c>
      <c r="L1284" s="2" t="inlineStr">
        <is>
          <t>shampoo</t>
        </is>
      </c>
      <c r="M1284" s="2" t="inlineStr">
        <is>
          <t>estandar</t>
        </is>
      </c>
      <c r="N1284" s="2" t="inlineStr">
        <is>
          <t>anticaspa</t>
        </is>
      </c>
      <c r="O1284" s="2" t="inlineStr">
        <is>
          <t>https://www.jumbo.com.ar/shampoo-anticaspa-head-shoulders-42/p</t>
        </is>
      </c>
    </row>
    <row r="1285">
      <c r="A1285" t="inlineStr">
        <is>
          <t>Jumbo</t>
        </is>
      </c>
      <c r="B1285" t="n">
        <v>24648</v>
      </c>
      <c r="C1285" t="n">
        <v>21812</v>
      </c>
      <c r="D1285" t="inlineStr">
        <is>
          <t>Shampoo Anticaspa Head &amp; Shoulders Relax 400 Ml</t>
        </is>
      </c>
      <c r="E1285" t="inlineStr">
        <is>
          <t>HEAD &amp; SHOULDERS</t>
        </is>
      </c>
      <c r="F1285" t="n">
        <v>168.19</v>
      </c>
      <c r="G1285" t="n">
        <v>13900</v>
      </c>
      <c r="H1285" t="b">
        <v>0</v>
      </c>
      <c r="I1285" t="n">
        <v>400</v>
      </c>
      <c r="J1285" t="n">
        <v>0.4205</v>
      </c>
      <c r="K1285" t="inlineStr">
        <is>
          <t>&gt; Perfumería &gt; Cuidado Capilar &gt; Shampoo &gt;</t>
        </is>
      </c>
      <c r="L1285" t="inlineStr">
        <is>
          <t>shampoo</t>
        </is>
      </c>
      <c r="M1285" t="inlineStr">
        <is>
          <t>estandar</t>
        </is>
      </c>
      <c r="N1285" t="inlineStr">
        <is>
          <t>anticaspa</t>
        </is>
      </c>
      <c r="O1285" t="inlineStr">
        <is>
          <t>https://www.jumbo.com.ar/shampoo-anticaspa-head-shoulders-16/p</t>
        </is>
      </c>
    </row>
    <row r="1286">
      <c r="A1286" s="2" t="inlineStr">
        <is>
          <t>Jumbo</t>
        </is>
      </c>
      <c r="B1286" s="2" t="n">
        <v>82800</v>
      </c>
      <c r="C1286" s="2" t="n">
        <v>80136</v>
      </c>
      <c r="D1286" s="2" t="inlineStr">
        <is>
          <t>Shampoo Anticaspa Elvive-citrus-pvc-ml.-200</t>
        </is>
      </c>
      <c r="E1286" s="2" t="inlineStr">
        <is>
          <t>ELVIVE</t>
        </is>
      </c>
      <c r="F1286" s="2" t="n">
        <v>12.39</v>
      </c>
      <c r="G1286" s="2" t="n">
        <v>1024</v>
      </c>
      <c r="H1286" s="2" t="b">
        <v>0</v>
      </c>
      <c r="I1286" s="2" t="inlineStr"/>
      <c r="J1286" s="2" t="inlineStr"/>
      <c r="K1286" s="2" t="inlineStr">
        <is>
          <t>&gt; Perfumería &gt; Cuidado Capilar &gt; Shampoo &gt;</t>
        </is>
      </c>
      <c r="L1286" s="2" t="inlineStr">
        <is>
          <t>shampoo</t>
        </is>
      </c>
      <c r="M1286" s="2" t="inlineStr">
        <is>
          <t>profesional</t>
        </is>
      </c>
      <c r="N1286" s="2" t="inlineStr">
        <is>
          <t>anticaspa</t>
        </is>
      </c>
      <c r="O1286" s="2" t="inlineStr">
        <is>
          <t>https://www.jumbo.com.ar/shampoo-anticaspa-elvive-7/p</t>
        </is>
      </c>
    </row>
    <row r="1287">
      <c r="A1287" t="inlineStr">
        <is>
          <t>Jumbo</t>
        </is>
      </c>
      <c r="B1287" t="n">
        <v>295738</v>
      </c>
      <c r="C1287" t="n">
        <v>294968</v>
      </c>
      <c r="D1287" t="inlineStr">
        <is>
          <t>Shampoo Anticaspa Clear Men Scalpfoods Detox</t>
        </is>
      </c>
      <c r="E1287" t="inlineStr">
        <is>
          <t>CLEAR</t>
        </is>
      </c>
      <c r="F1287" t="n">
        <v>134.69</v>
      </c>
      <c r="G1287" t="n">
        <v>11131</v>
      </c>
      <c r="H1287" t="b">
        <v>0</v>
      </c>
      <c r="I1287" t="inlineStr"/>
      <c r="J1287" t="inlineStr"/>
      <c r="K1287" t="inlineStr">
        <is>
          <t>&gt; Perfumería &gt; Cuidado Capilar &gt; Shampoo &gt;</t>
        </is>
      </c>
      <c r="L1287" t="inlineStr">
        <is>
          <t>shampoo</t>
        </is>
      </c>
      <c r="M1287" t="inlineStr">
        <is>
          <t>estandar</t>
        </is>
      </c>
      <c r="N1287" t="inlineStr">
        <is>
          <t>anticaspa</t>
        </is>
      </c>
      <c r="O1287" t="inlineStr">
        <is>
          <t>https://www.jumbo.com.ar/shampoo-anticaspa-clear-men-scalpfoods-detox-4/p</t>
        </is>
      </c>
    </row>
    <row r="1288">
      <c r="A1288" s="2" t="inlineStr">
        <is>
          <t>Jumbo</t>
        </is>
      </c>
      <c r="B1288" s="2" t="n">
        <v>295747</v>
      </c>
      <c r="C1288" s="2" t="n">
        <v>294977</v>
      </c>
      <c r="D1288" s="2" t="inlineStr">
        <is>
          <t>Shampoo Anticaspa Clear Men Scalpfoods Detox</t>
        </is>
      </c>
      <c r="E1288" s="2" t="inlineStr">
        <is>
          <t>CLEAR</t>
        </is>
      </c>
      <c r="F1288" s="2" t="n">
        <v>230.63</v>
      </c>
      <c r="G1288" s="2" t="n">
        <v>19060</v>
      </c>
      <c r="H1288" s="2" t="b">
        <v>0</v>
      </c>
      <c r="I1288" s="2" t="inlineStr"/>
      <c r="J1288" s="2" t="inlineStr"/>
      <c r="K1288" s="2" t="inlineStr">
        <is>
          <t>&gt; Perfumería &gt; Cuidado Capilar &gt; Shampoo &gt;</t>
        </is>
      </c>
      <c r="L1288" s="2" t="inlineStr">
        <is>
          <t>shampoo</t>
        </is>
      </c>
      <c r="M1288" s="2" t="inlineStr">
        <is>
          <t>estandar</t>
        </is>
      </c>
      <c r="N1288" s="2" t="inlineStr">
        <is>
          <t>anticaspa</t>
        </is>
      </c>
      <c r="O1288" s="2" t="inlineStr">
        <is>
          <t>https://www.jumbo.com.ar/shampoo-anticaspa-clear-men-scalpfoods-detox-2/p</t>
        </is>
      </c>
    </row>
    <row r="1289">
      <c r="A1289" t="inlineStr">
        <is>
          <t>Jumbo</t>
        </is>
      </c>
      <c r="B1289" t="n">
        <v>13333</v>
      </c>
      <c r="C1289" t="n">
        <v>10546</v>
      </c>
      <c r="D1289" t="inlineStr">
        <is>
          <t>Shampoo Anticaspa Capilatis Ortiga 410 Cc</t>
        </is>
      </c>
      <c r="E1289" t="inlineStr">
        <is>
          <t>CAPILATIS</t>
        </is>
      </c>
      <c r="F1289" t="n">
        <v>1008.99</v>
      </c>
      <c r="G1289" t="n">
        <v>83388</v>
      </c>
      <c r="H1289" t="b">
        <v>0</v>
      </c>
      <c r="I1289" t="inlineStr"/>
      <c r="J1289" t="inlineStr"/>
      <c r="K1289" t="inlineStr">
        <is>
          <t>&gt; Perfumería &gt; Cuidado Capilar &gt; Shampoo &gt;</t>
        </is>
      </c>
      <c r="L1289" t="inlineStr">
        <is>
          <t>shampoo</t>
        </is>
      </c>
      <c r="M1289" t="inlineStr">
        <is>
          <t>estandar</t>
        </is>
      </c>
      <c r="N1289" t="inlineStr">
        <is>
          <t>anticaspa</t>
        </is>
      </c>
      <c r="O1289" t="inlineStr">
        <is>
          <t>https://www.jumbo.com.ar/shampoo-anticaspa-capilatis-ortiga-410-cc/p</t>
        </is>
      </c>
    </row>
    <row r="1290">
      <c r="A1290" s="2" t="inlineStr">
        <is>
          <t>Jumbo</t>
        </is>
      </c>
      <c r="B1290" s="2" t="n">
        <v>160203</v>
      </c>
      <c r="C1290" s="2" t="n">
        <v>157762</v>
      </c>
      <c r="D1290" s="2" t="inlineStr">
        <is>
          <t>Shampoo Anticaspa Elvive-control Citrus-pvc-ml.-400</t>
        </is>
      </c>
      <c r="E1290" s="2" t="inlineStr">
        <is>
          <t>ELVIVE</t>
        </is>
      </c>
      <c r="F1290" s="2" t="n">
        <v>26.85</v>
      </c>
      <c r="G1290" s="2" t="n">
        <v>2219</v>
      </c>
      <c r="H1290" s="2" t="b">
        <v>0</v>
      </c>
      <c r="I1290" s="2" t="inlineStr"/>
      <c r="J1290" s="2" t="inlineStr"/>
      <c r="K1290" s="2" t="inlineStr">
        <is>
          <t>&gt; Perfumería &gt; Cuidado Capilar &gt; Shampoo &gt;</t>
        </is>
      </c>
      <c r="L1290" s="2" t="inlineStr">
        <is>
          <t>shampoo</t>
        </is>
      </c>
      <c r="M1290" s="2" t="inlineStr">
        <is>
          <t>profesional</t>
        </is>
      </c>
      <c r="N1290" s="2" t="inlineStr">
        <is>
          <t>anticaspa</t>
        </is>
      </c>
      <c r="O1290" s="2" t="inlineStr">
        <is>
          <t>https://www.jumbo.com.ar/shampoo-anticaspa-elvive-control-citrus-pvc-ml-400-2/p</t>
        </is>
      </c>
    </row>
    <row r="1291">
      <c r="A1291" t="inlineStr">
        <is>
          <t>Jumbo</t>
        </is>
      </c>
      <c r="B1291" t="n">
        <v>115905</v>
      </c>
      <c r="C1291" t="n">
        <v>114949</v>
      </c>
      <c r="D1291" t="inlineStr">
        <is>
          <t>Shampoo Anticaspa Head &amp; Shoulders X700ml Shampoo Head &amp; Shoulders X700ml Liso Y Sedoso  Pvc 700 Ml.</t>
        </is>
      </c>
      <c r="E1291" t="inlineStr">
        <is>
          <t>HEAD &amp; SHOULDERS</t>
        </is>
      </c>
      <c r="F1291" t="n">
        <v>27.66</v>
      </c>
      <c r="G1291" t="n">
        <v>27.66</v>
      </c>
      <c r="H1291" t="b">
        <v>0</v>
      </c>
      <c r="I1291" t="n">
        <v>700</v>
      </c>
      <c r="J1291" t="n">
        <v>0.0395</v>
      </c>
      <c r="K1291" t="inlineStr">
        <is>
          <t>&gt; Perfumería &gt; Cuidado Capilar &gt; Shampoo &gt;</t>
        </is>
      </c>
      <c r="L1291" t="inlineStr">
        <is>
          <t>shampoo</t>
        </is>
      </c>
      <c r="M1291" t="inlineStr">
        <is>
          <t>estandar</t>
        </is>
      </c>
      <c r="N1291" t="inlineStr">
        <is>
          <t>anticaspa</t>
        </is>
      </c>
      <c r="O1291" t="inlineStr">
        <is>
          <t>https://www.jumbo.com.ar/shampoo-anticaspa-head-shoulders-x700ml/p</t>
        </is>
      </c>
    </row>
    <row r="1292">
      <c r="A1292" s="2" t="inlineStr">
        <is>
          <t>Jumbo</t>
        </is>
      </c>
      <c r="B1292" s="2" t="n">
        <v>160189</v>
      </c>
      <c r="C1292" s="2" t="n">
        <v>157748</v>
      </c>
      <c r="D1292" s="2" t="inlineStr">
        <is>
          <t>Shampoo Anticaspa Elvive-control Citrus-pvc-ml.-200</t>
        </is>
      </c>
      <c r="E1292" s="2" t="inlineStr">
        <is>
          <t>ELVIVE</t>
        </is>
      </c>
      <c r="F1292" s="2" t="n">
        <v>11.57</v>
      </c>
      <c r="G1292" s="2" t="n">
        <v>11.57</v>
      </c>
      <c r="H1292" s="2" t="b">
        <v>0</v>
      </c>
      <c r="I1292" s="2" t="inlineStr"/>
      <c r="J1292" s="2" t="inlineStr"/>
      <c r="K1292" s="2" t="inlineStr">
        <is>
          <t>&gt; Perfumería &gt; Cuidado Capilar &gt; Shampoo &gt;</t>
        </is>
      </c>
      <c r="L1292" s="2" t="inlineStr">
        <is>
          <t>shampoo</t>
        </is>
      </c>
      <c r="M1292" s="2" t="inlineStr">
        <is>
          <t>profesional</t>
        </is>
      </c>
      <c r="N1292" s="2" t="inlineStr">
        <is>
          <t>anticaspa</t>
        </is>
      </c>
      <c r="O1292" s="2" t="inlineStr">
        <is>
          <t>https://www.jumbo.com.ar/shampoo-anticaspa-elvive-control-citrus-pvc-ml-200-2/p</t>
        </is>
      </c>
    </row>
    <row r="1293">
      <c r="A1293" t="inlineStr">
        <is>
          <t>Jumbo</t>
        </is>
      </c>
      <c r="B1293" t="n">
        <v>141252</v>
      </c>
      <c r="C1293" t="n">
        <v>138164</v>
      </c>
      <c r="D1293" t="inlineStr">
        <is>
          <t>Shampoo Anticaspa Clear Men-mentol-pet-ml.-400</t>
        </is>
      </c>
      <c r="E1293" t="inlineStr">
        <is>
          <t>CLEAR</t>
        </is>
      </c>
      <c r="F1293" t="n">
        <v>87.09</v>
      </c>
      <c r="G1293" t="n">
        <v>7198</v>
      </c>
      <c r="H1293" t="b">
        <v>0</v>
      </c>
      <c r="I1293" t="inlineStr"/>
      <c r="J1293" t="inlineStr"/>
      <c r="K1293" t="inlineStr">
        <is>
          <t>&gt; Perfumería &gt; Cuidado Capilar &gt; Shampoo &gt;</t>
        </is>
      </c>
      <c r="L1293" t="inlineStr">
        <is>
          <t>shampoo</t>
        </is>
      </c>
      <c r="M1293" t="inlineStr">
        <is>
          <t>estandar</t>
        </is>
      </c>
      <c r="N1293" t="inlineStr">
        <is>
          <t>anticaspa</t>
        </is>
      </c>
      <c r="O1293" t="inlineStr">
        <is>
          <t>https://www.jumbo.com.ar/shampoo-anticaspa-clear-men-mentol-pet-ml-400-2/p</t>
        </is>
      </c>
    </row>
    <row r="1294">
      <c r="A1294" s="2" t="inlineStr">
        <is>
          <t>Jumbo</t>
        </is>
      </c>
      <c r="B1294" s="2" t="n">
        <v>141263</v>
      </c>
      <c r="C1294" s="2" t="n">
        <v>138173</v>
      </c>
      <c r="D1294" s="2" t="inlineStr">
        <is>
          <t>Shampoo Anticaspa Clear Unisex-mentol-pet-ml.-400</t>
        </is>
      </c>
      <c r="E1294" s="2" t="inlineStr">
        <is>
          <t>CLEAR</t>
        </is>
      </c>
      <c r="F1294" s="2" t="n">
        <v>87.09</v>
      </c>
      <c r="G1294" s="2" t="n">
        <v>7198</v>
      </c>
      <c r="H1294" s="2" t="b">
        <v>0</v>
      </c>
      <c r="I1294" s="2" t="inlineStr"/>
      <c r="J1294" s="2" t="inlineStr"/>
      <c r="K1294" s="2" t="inlineStr">
        <is>
          <t>&gt; Perfumería &gt; Cuidado Capilar &gt; Shampoo &gt;</t>
        </is>
      </c>
      <c r="L1294" s="2" t="inlineStr">
        <is>
          <t>shampoo</t>
        </is>
      </c>
      <c r="M1294" s="2" t="inlineStr">
        <is>
          <t>estandar</t>
        </is>
      </c>
      <c r="N1294" s="2" t="inlineStr">
        <is>
          <t>anticaspa</t>
        </is>
      </c>
      <c r="O1294" s="2" t="inlineStr">
        <is>
          <t>https://www.jumbo.com.ar/shampoo-anticaspa-clear-unisex-mentol-pet-ml-400-2/p</t>
        </is>
      </c>
    </row>
    <row r="1295">
      <c r="A1295" t="inlineStr">
        <is>
          <t>Jumbo</t>
        </is>
      </c>
      <c r="B1295" t="n">
        <v>141260</v>
      </c>
      <c r="C1295" t="n">
        <v>138170</v>
      </c>
      <c r="D1295" t="inlineStr">
        <is>
          <t>Shampoo Anticaspa Clear Men-mentol-pet-ml.-200</t>
        </is>
      </c>
      <c r="E1295" t="inlineStr">
        <is>
          <t>CLEAR</t>
        </is>
      </c>
      <c r="F1295" t="n">
        <v>45.89</v>
      </c>
      <c r="G1295" t="n">
        <v>3793</v>
      </c>
      <c r="H1295" t="b">
        <v>0</v>
      </c>
      <c r="I1295" t="inlineStr"/>
      <c r="J1295" t="inlineStr"/>
      <c r="K1295" t="inlineStr">
        <is>
          <t>&gt; Perfumería &gt; Cuidado Capilar &gt; Shampoo &gt;</t>
        </is>
      </c>
      <c r="L1295" t="inlineStr">
        <is>
          <t>shampoo</t>
        </is>
      </c>
      <c r="M1295" t="inlineStr">
        <is>
          <t>estandar</t>
        </is>
      </c>
      <c r="N1295" t="inlineStr">
        <is>
          <t>anticaspa</t>
        </is>
      </c>
      <c r="O1295" t="inlineStr">
        <is>
          <t>https://www.jumbo.com.ar/shampoo-anticaspa-clear-men-mentol-pet-ml-200-2/p</t>
        </is>
      </c>
    </row>
    <row r="1296">
      <c r="A1296" s="2" t="inlineStr">
        <is>
          <t>Jumbo</t>
        </is>
      </c>
      <c r="B1296" s="2" t="n">
        <v>103294</v>
      </c>
      <c r="C1296" s="2" t="n">
        <v>100591</v>
      </c>
      <c r="D1296" s="2" t="inlineStr">
        <is>
          <t>Shampoo Anticaspa Clear Unisex-mentol-pvc-ml.-200</t>
        </is>
      </c>
      <c r="E1296" s="2" t="inlineStr">
        <is>
          <t>CLEAR</t>
        </is>
      </c>
      <c r="F1296" s="2" t="n">
        <v>45.89</v>
      </c>
      <c r="G1296" s="2" t="n">
        <v>3793</v>
      </c>
      <c r="H1296" s="2" t="b">
        <v>0</v>
      </c>
      <c r="I1296" s="2" t="inlineStr"/>
      <c r="J1296" s="2" t="inlineStr"/>
      <c r="K1296" s="2" t="inlineStr">
        <is>
          <t>&gt; Perfumería &gt; Cuidado Capilar &gt; Shampoo &gt;</t>
        </is>
      </c>
      <c r="L1296" s="2" t="inlineStr">
        <is>
          <t>shampoo</t>
        </is>
      </c>
      <c r="M1296" s="2" t="inlineStr">
        <is>
          <t>estandar</t>
        </is>
      </c>
      <c r="N1296" s="2" t="inlineStr">
        <is>
          <t>anticaspa</t>
        </is>
      </c>
      <c r="O1296" s="2" t="inlineStr">
        <is>
          <t>https://www.jumbo.com.ar/shampoo-anticaspa-clear-unisex-mentol-pvc-ml-200/p</t>
        </is>
      </c>
    </row>
    <row r="1297">
      <c r="A1297" t="inlineStr">
        <is>
          <t>Jumbo</t>
        </is>
      </c>
      <c r="B1297" t="n">
        <v>181571</v>
      </c>
      <c r="C1297" t="n">
        <v>201828</v>
      </c>
      <c r="D1297" t="inlineStr">
        <is>
          <t>Shampoo Anticaspa Elvive Cabellos Secos Pck 2 Un.</t>
        </is>
      </c>
      <c r="E1297" t="inlineStr">
        <is>
          <t>ELVIVE</t>
        </is>
      </c>
      <c r="F1297" t="n">
        <v>17.43</v>
      </c>
      <c r="G1297" t="n">
        <v>17.43</v>
      </c>
      <c r="H1297" t="b">
        <v>0</v>
      </c>
      <c r="I1297" t="inlineStr"/>
      <c r="J1297" t="inlineStr"/>
      <c r="K1297" t="inlineStr">
        <is>
          <t>&gt; Perfumería &gt; Cuidado Capilar &gt; Shampoo &gt;</t>
        </is>
      </c>
      <c r="L1297" t="inlineStr">
        <is>
          <t>shampoo</t>
        </is>
      </c>
      <c r="M1297" t="inlineStr">
        <is>
          <t>profesional</t>
        </is>
      </c>
      <c r="N1297" t="inlineStr">
        <is>
          <t>anticaspa</t>
        </is>
      </c>
      <c r="O1297" t="inlineStr">
        <is>
          <t>https://www.jumbo.com.ar/shampoo-anticaspa-elvive-pck-2-un-2-246125/p</t>
        </is>
      </c>
    </row>
    <row r="1298">
      <c r="A1298" s="2" t="inlineStr">
        <is>
          <t>Jumbo</t>
        </is>
      </c>
      <c r="B1298" s="2" t="n">
        <v>174853</v>
      </c>
      <c r="C1298" s="2" t="n">
        <v>186466</v>
      </c>
      <c r="D1298" s="2" t="inlineStr">
        <is>
          <t>Shampoo Anticaspa Head &amp; Shoulders X 3 Un</t>
        </is>
      </c>
      <c r="E1298" s="2" t="inlineStr">
        <is>
          <t>HEAD &amp; SHOULDERS</t>
        </is>
      </c>
      <c r="F1298" s="2" t="n">
        <v>15.19</v>
      </c>
      <c r="G1298" s="2" t="n">
        <v>15.19</v>
      </c>
      <c r="H1298" s="2" t="b">
        <v>0</v>
      </c>
      <c r="I1298" s="2" t="inlineStr"/>
      <c r="J1298" s="2" t="inlineStr"/>
      <c r="K1298" s="2" t="inlineStr">
        <is>
          <t>&gt; Perfumería &gt; Cuidado Capilar &gt; Shampoo &gt;</t>
        </is>
      </c>
      <c r="L1298" s="2" t="inlineStr">
        <is>
          <t>shampoo</t>
        </is>
      </c>
      <c r="M1298" s="2" t="inlineStr">
        <is>
          <t>estandar</t>
        </is>
      </c>
      <c r="N1298" s="2" t="inlineStr">
        <is>
          <t>anticaspa</t>
        </is>
      </c>
      <c r="O1298" s="2" t="inlineStr">
        <is>
          <t>https://www.jumbo.com.ar/shampoo-anticaspa-head-shoulders-x-3-un-2/p</t>
        </is>
      </c>
    </row>
    <row r="1299">
      <c r="A1299" t="inlineStr">
        <is>
          <t>Jumbo</t>
        </is>
      </c>
      <c r="B1299" t="n">
        <v>134739</v>
      </c>
      <c r="C1299" t="n">
        <v>131652</v>
      </c>
      <c r="D1299" t="inlineStr">
        <is>
          <t>Shampoo Anticaspa Clear Men-control Caida-pvc-ml.-240</t>
        </is>
      </c>
      <c r="E1299" t="inlineStr">
        <is>
          <t>CLEAR</t>
        </is>
      </c>
      <c r="F1299" t="n">
        <v>14.99</v>
      </c>
      <c r="G1299" t="n">
        <v>14.99</v>
      </c>
      <c r="H1299" t="b">
        <v>0</v>
      </c>
      <c r="I1299" t="inlineStr"/>
      <c r="J1299" t="inlineStr"/>
      <c r="K1299" t="inlineStr">
        <is>
          <t>&gt; Perfumería &gt; Cuidado Capilar &gt; Shampoo &gt;</t>
        </is>
      </c>
      <c r="L1299" t="inlineStr">
        <is>
          <t>shampoo</t>
        </is>
      </c>
      <c r="M1299" t="inlineStr">
        <is>
          <t>estandar</t>
        </is>
      </c>
      <c r="N1299" t="inlineStr">
        <is>
          <t>anticaspa</t>
        </is>
      </c>
      <c r="O1299" t="inlineStr">
        <is>
          <t>https://www.jumbo.com.ar/shampoo-anticaspa-clear-men-control-caida-pvc-ml-240/p</t>
        </is>
      </c>
    </row>
    <row r="1300">
      <c r="A1300" s="2" t="inlineStr">
        <is>
          <t>Jumbo</t>
        </is>
      </c>
      <c r="B1300" s="2" t="n">
        <v>8825</v>
      </c>
      <c r="C1300" s="2" t="n">
        <v>6119</v>
      </c>
      <c r="D1300" s="2" t="inlineStr">
        <is>
          <t>Shampoo Anticaspa Head &amp; Shoulders Suave 400 Cc</t>
        </is>
      </c>
      <c r="E1300" s="2" t="inlineStr">
        <is>
          <t>HEAD &amp; SHOULDERS</t>
        </is>
      </c>
      <c r="F1300" s="2" t="n">
        <v>168.19</v>
      </c>
      <c r="G1300" s="2" t="n">
        <v>13900</v>
      </c>
      <c r="H1300" s="2" t="b">
        <v>0</v>
      </c>
      <c r="I1300" s="2" t="inlineStr"/>
      <c r="J1300" s="2" t="inlineStr"/>
      <c r="K1300" s="2" t="inlineStr">
        <is>
          <t>&gt; Perfumería &gt; Cuidado Capilar &gt; Shampoo &gt;</t>
        </is>
      </c>
      <c r="L1300" s="2" t="inlineStr">
        <is>
          <t>shampoo</t>
        </is>
      </c>
      <c r="M1300" s="2" t="inlineStr">
        <is>
          <t>estandar</t>
        </is>
      </c>
      <c r="N1300" s="2" t="inlineStr">
        <is>
          <t>anticaspa</t>
        </is>
      </c>
      <c r="O1300" s="2" t="inlineStr">
        <is>
          <t>https://www.jumbo.com.ar/shampoo-anticaspa-head-shoulders-suave-400-cc/p</t>
        </is>
      </c>
    </row>
    <row r="1301">
      <c r="A1301" t="inlineStr">
        <is>
          <t>Jumbo</t>
        </is>
      </c>
      <c r="B1301" t="n">
        <v>181734</v>
      </c>
      <c r="C1301" t="n">
        <v>202160</v>
      </c>
      <c r="D1301" t="inlineStr">
        <is>
          <t>Shampoo Anticaspa Elvive Cabellos Normales Pck 2 Un.</t>
        </is>
      </c>
      <c r="E1301" t="inlineStr">
        <is>
          <t>ELVIVE</t>
        </is>
      </c>
      <c r="F1301" t="n">
        <v>17.43</v>
      </c>
      <c r="G1301" t="n">
        <v>17.43</v>
      </c>
      <c r="H1301" t="b">
        <v>0</v>
      </c>
      <c r="I1301" t="inlineStr"/>
      <c r="J1301" t="inlineStr"/>
      <c r="K1301" t="inlineStr">
        <is>
          <t>&gt; Perfumería &gt; Cuidado Capilar &gt; Shampoo &gt;</t>
        </is>
      </c>
      <c r="L1301" t="inlineStr">
        <is>
          <t>shampoo</t>
        </is>
      </c>
      <c r="M1301" t="inlineStr">
        <is>
          <t>profesional</t>
        </is>
      </c>
      <c r="N1301" t="inlineStr">
        <is>
          <t>anticaspa</t>
        </is>
      </c>
      <c r="O1301" t="inlineStr">
        <is>
          <t>https://www.jumbo.com.ar/shampoo-anticaspa-elvive-pck-2-un-3-246128/p</t>
        </is>
      </c>
    </row>
    <row r="1302">
      <c r="A1302" s="2" t="inlineStr">
        <is>
          <t>Jumbo</t>
        </is>
      </c>
      <c r="B1302" s="2" t="n">
        <v>162966</v>
      </c>
      <c r="C1302" s="2" t="n">
        <v>160503</v>
      </c>
      <c r="D1302" s="2" t="inlineStr">
        <is>
          <t>Shampoo Anticaspa Head &amp; Shoulders-relax-pvc-ml.-700</t>
        </is>
      </c>
      <c r="E1302" s="2" t="inlineStr">
        <is>
          <t>HEAD &amp; SHOULDERS</t>
        </is>
      </c>
      <c r="F1302" s="2" t="n">
        <v>60.57</v>
      </c>
      <c r="G1302" s="2" t="n">
        <v>5006</v>
      </c>
      <c r="H1302" s="2" t="b">
        <v>0</v>
      </c>
      <c r="I1302" s="2" t="inlineStr"/>
      <c r="J1302" s="2" t="inlineStr"/>
      <c r="K1302" s="2" t="inlineStr">
        <is>
          <t>&gt; Perfumería &gt; Cuidado Capilar &gt; Shampoo &gt;</t>
        </is>
      </c>
      <c r="L1302" s="2" t="inlineStr">
        <is>
          <t>shampoo</t>
        </is>
      </c>
      <c r="M1302" s="2" t="inlineStr">
        <is>
          <t>estandar</t>
        </is>
      </c>
      <c r="N1302" s="2" t="inlineStr">
        <is>
          <t>anticaspa</t>
        </is>
      </c>
      <c r="O1302" s="2" t="inlineStr">
        <is>
          <t>https://www.jumbo.com.ar/shampoo-anticaspa-head-shoulders-relax-pvc-ml-700/p</t>
        </is>
      </c>
    </row>
    <row r="1303">
      <c r="A1303" t="inlineStr">
        <is>
          <t>Jumbo</t>
        </is>
      </c>
      <c r="B1303" t="n">
        <v>106811</v>
      </c>
      <c r="C1303" t="n">
        <v>104080</v>
      </c>
      <c r="D1303" t="inlineStr">
        <is>
          <t>Shampoo Anticaspa Head &amp; Shoulders X 200 Ml</t>
        </is>
      </c>
      <c r="E1303" t="inlineStr">
        <is>
          <t>HEAD &amp; SHOULDERS</t>
        </is>
      </c>
      <c r="F1303" t="n">
        <v>17.25</v>
      </c>
      <c r="G1303" t="n">
        <v>17.25</v>
      </c>
      <c r="H1303" t="b">
        <v>0</v>
      </c>
      <c r="I1303" t="n">
        <v>200</v>
      </c>
      <c r="J1303" t="n">
        <v>0.0862</v>
      </c>
      <c r="K1303" t="inlineStr">
        <is>
          <t>&gt; Perfumería &gt; Cuidado Capilar &gt; Shampoo &gt;</t>
        </is>
      </c>
      <c r="L1303" t="inlineStr">
        <is>
          <t>shampoo</t>
        </is>
      </c>
      <c r="M1303" t="inlineStr">
        <is>
          <t>estandar</t>
        </is>
      </c>
      <c r="N1303" t="inlineStr">
        <is>
          <t>anticaspa</t>
        </is>
      </c>
      <c r="O1303" t="inlineStr">
        <is>
          <t>https://www.jumbo.com.ar/shampoo-anticaspa-head-shoulders-x-200-ml/p</t>
        </is>
      </c>
    </row>
    <row r="1304">
      <c r="A1304" s="2" t="inlineStr">
        <is>
          <t>Jumbo</t>
        </is>
      </c>
      <c r="B1304" s="2" t="n">
        <v>79699</v>
      </c>
      <c r="C1304" s="2" t="n">
        <v>76826</v>
      </c>
      <c r="D1304" s="2" t="inlineStr">
        <is>
          <t>Shampoo Anticaspa Head &amp; Shoulders X 2 Un Shampoo Anticaspa Liso Y Sedoso X 400 Ml + Acondicionador Head &amp; Shoul Pck 2 U</t>
        </is>
      </c>
      <c r="E1304" s="2" t="inlineStr">
        <is>
          <t>HEAD &amp; SHOULDERS</t>
        </is>
      </c>
      <c r="F1304" s="2" t="n">
        <v>19.59</v>
      </c>
      <c r="G1304" s="2" t="n">
        <v>19.59</v>
      </c>
      <c r="H1304" s="2" t="b">
        <v>0</v>
      </c>
      <c r="I1304" s="2" t="n">
        <v>400</v>
      </c>
      <c r="J1304" s="2" t="n">
        <v>0.049</v>
      </c>
      <c r="K1304" s="2" t="inlineStr">
        <is>
          <t>&gt; Perfumería &gt; Cuidado Capilar &gt; Shampoo &gt;</t>
        </is>
      </c>
      <c r="L1304" s="2" t="inlineStr">
        <is>
          <t>acondicionador</t>
        </is>
      </c>
      <c r="M1304" s="2" t="inlineStr">
        <is>
          <t>estandar</t>
        </is>
      </c>
      <c r="N1304" s="2" t="inlineStr">
        <is>
          <t>anticaspa</t>
        </is>
      </c>
      <c r="O1304" s="2" t="inlineStr">
        <is>
          <t>https://www.jumbo.com.ar/shampoo-anticaspa-head-shoulders-x-2-un/p</t>
        </is>
      </c>
    </row>
    <row r="1305">
      <c r="A1305" t="inlineStr">
        <is>
          <t>Jumbo</t>
        </is>
      </c>
      <c r="B1305" t="n">
        <v>115233</v>
      </c>
      <c r="C1305" t="n">
        <v>114279</v>
      </c>
      <c r="D1305" t="inlineStr">
        <is>
          <t>Shampoo Anticaspa Head &amp; Shoulders X 700 Ml</t>
        </is>
      </c>
      <c r="E1305" t="inlineStr">
        <is>
          <t>HEAD &amp; SHOULDERS</t>
        </is>
      </c>
      <c r="F1305" t="n">
        <v>41.99</v>
      </c>
      <c r="G1305" t="n">
        <v>41.99</v>
      </c>
      <c r="H1305" t="b">
        <v>0</v>
      </c>
      <c r="I1305" t="n">
        <v>700</v>
      </c>
      <c r="J1305" t="n">
        <v>0.06</v>
      </c>
      <c r="K1305" t="inlineStr">
        <is>
          <t>&gt; Perfumería &gt; Cuidado Capilar &gt; Shampoo &gt;</t>
        </is>
      </c>
      <c r="L1305" t="inlineStr">
        <is>
          <t>shampoo</t>
        </is>
      </c>
      <c r="M1305" t="inlineStr">
        <is>
          <t>estandar</t>
        </is>
      </c>
      <c r="N1305" t="inlineStr">
        <is>
          <t>anticaspa</t>
        </is>
      </c>
      <c r="O1305" t="inlineStr">
        <is>
          <t>https://www.jumbo.com.ar/shampoo-anticaspa-head-shoulders-x-700-ml/p</t>
        </is>
      </c>
    </row>
    <row r="1306">
      <c r="A1306" s="2" t="inlineStr">
        <is>
          <t>Jumbo</t>
        </is>
      </c>
      <c r="B1306" s="2" t="n">
        <v>122343</v>
      </c>
      <c r="C1306" s="2" t="n">
        <v>121362</v>
      </c>
      <c r="D1306" s="2" t="inlineStr">
        <is>
          <t>Shampoo Anticaspa Triatop Cabello Normal/seco  Pvc 120 Cc.</t>
        </is>
      </c>
      <c r="E1306" s="2" t="inlineStr">
        <is>
          <t>TRIATOP</t>
        </is>
      </c>
      <c r="F1306" s="2" t="n">
        <v>16.36</v>
      </c>
      <c r="G1306" s="2" t="n">
        <v>16.36</v>
      </c>
      <c r="H1306" s="2" t="b">
        <v>0</v>
      </c>
      <c r="I1306" s="2" t="inlineStr"/>
      <c r="J1306" s="2" t="inlineStr"/>
      <c r="K1306" s="2" t="inlineStr">
        <is>
          <t>&gt; Perfumería &gt; Cuidado Capilar &gt; Shampoo &gt;</t>
        </is>
      </c>
      <c r="L1306" s="2" t="inlineStr">
        <is>
          <t>shampoo</t>
        </is>
      </c>
      <c r="M1306" s="2" t="inlineStr">
        <is>
          <t>estandar</t>
        </is>
      </c>
      <c r="N1306" s="2" t="inlineStr">
        <is>
          <t>anticaspa</t>
        </is>
      </c>
      <c r="O1306" s="2" t="inlineStr">
        <is>
          <t>https://www.jumbo.com.ar/shampoo-anticaspa-triatop-cabello-normal-seco-pvc-120-cc/p</t>
        </is>
      </c>
    </row>
    <row r="1307">
      <c r="A1307" t="inlineStr">
        <is>
          <t>Jumbo</t>
        </is>
      </c>
      <c r="B1307" t="n">
        <v>36074</v>
      </c>
      <c r="C1307" t="n">
        <v>33232</v>
      </c>
      <c r="D1307" t="inlineStr">
        <is>
          <t>Shampoo Anticaspa Head &amp; Shoulders Limpieza Renovada 400 Ml</t>
        </is>
      </c>
      <c r="E1307" t="inlineStr">
        <is>
          <t>HEAD &amp; SHOULDERS</t>
        </is>
      </c>
      <c r="F1307" t="n">
        <v>168.19</v>
      </c>
      <c r="G1307" t="n">
        <v>13900</v>
      </c>
      <c r="H1307" t="b">
        <v>0</v>
      </c>
      <c r="I1307" t="n">
        <v>400</v>
      </c>
      <c r="J1307" t="n">
        <v>0.4205</v>
      </c>
      <c r="K1307" t="inlineStr">
        <is>
          <t>&gt; Perfumería &gt; Cuidado Capilar &gt; Shampoo &gt;</t>
        </is>
      </c>
      <c r="L1307" t="inlineStr">
        <is>
          <t>shampoo</t>
        </is>
      </c>
      <c r="M1307" t="inlineStr">
        <is>
          <t>estandar</t>
        </is>
      </c>
      <c r="N1307" t="inlineStr">
        <is>
          <t>anticaspa</t>
        </is>
      </c>
      <c r="O1307" t="inlineStr">
        <is>
          <t>https://www.jumbo.com.ar/shampoo-anticaspa-head-shoulders-limpieza-renovada-400-ml/p</t>
        </is>
      </c>
    </row>
    <row r="1308">
      <c r="A1308" s="2" t="inlineStr">
        <is>
          <t>Jumbo</t>
        </is>
      </c>
      <c r="B1308" s="2" t="n">
        <v>8838</v>
      </c>
      <c r="C1308" s="2" t="n">
        <v>6131</v>
      </c>
      <c r="D1308" s="2" t="inlineStr">
        <is>
          <t>Shampoo Anticaspa Head &amp; Shoulders Accion Humectante 400 Ml</t>
        </is>
      </c>
      <c r="E1308" s="2" t="inlineStr">
        <is>
          <t>HEAD &amp; SHOULDERS</t>
        </is>
      </c>
      <c r="F1308" s="2" t="n">
        <v>168.19</v>
      </c>
      <c r="G1308" s="2" t="n">
        <v>13900</v>
      </c>
      <c r="H1308" s="2" t="b">
        <v>0</v>
      </c>
      <c r="I1308" s="2" t="n">
        <v>400</v>
      </c>
      <c r="J1308" s="2" t="n">
        <v>0.4205</v>
      </c>
      <c r="K1308" s="2" t="inlineStr">
        <is>
          <t>&gt; Perfumería &gt; Cuidado Capilar &gt; Shampoo &gt;</t>
        </is>
      </c>
      <c r="L1308" s="2" t="inlineStr">
        <is>
          <t>shampoo</t>
        </is>
      </c>
      <c r="M1308" s="2" t="inlineStr">
        <is>
          <t>estandar</t>
        </is>
      </c>
      <c r="N1308" s="2" t="inlineStr">
        <is>
          <t>anticaspa</t>
        </is>
      </c>
      <c r="O1308" s="2" t="inlineStr">
        <is>
          <t>https://www.jumbo.com.ar/shampoo-anticaspa-head-shoulders-accion-humectante-400-ml/p</t>
        </is>
      </c>
    </row>
    <row r="1309">
      <c r="A1309" t="inlineStr">
        <is>
          <t>Jumbo</t>
        </is>
      </c>
      <c r="B1309" t="n">
        <v>5023</v>
      </c>
      <c r="C1309" t="n">
        <v>2564</v>
      </c>
      <c r="D1309" t="inlineStr">
        <is>
          <t>Shampoo Anticaspa Head &amp; Shoulders Accion Humectante 200 Ml</t>
        </is>
      </c>
      <c r="E1309" t="inlineStr">
        <is>
          <t>HEAD &amp; SHOULDERS</t>
        </is>
      </c>
      <c r="F1309" t="n">
        <v>70.43000000000001</v>
      </c>
      <c r="G1309" t="n">
        <v>5821</v>
      </c>
      <c r="H1309" t="b">
        <v>0</v>
      </c>
      <c r="I1309" t="n">
        <v>200</v>
      </c>
      <c r="J1309" t="n">
        <v>0.3522</v>
      </c>
      <c r="K1309" t="inlineStr">
        <is>
          <t>&gt; Perfumería &gt; Cuidado Capilar &gt; Shampoo &gt;</t>
        </is>
      </c>
      <c r="L1309" t="inlineStr">
        <is>
          <t>shampoo</t>
        </is>
      </c>
      <c r="M1309" t="inlineStr">
        <is>
          <t>estandar</t>
        </is>
      </c>
      <c r="N1309" t="inlineStr">
        <is>
          <t>anticaspa</t>
        </is>
      </c>
      <c r="O1309" t="inlineStr">
        <is>
          <t>https://www.jumbo.com.ar/shampoo-anticaspa-head-shoulders-accion-humectante-200-ml/p</t>
        </is>
      </c>
    </row>
    <row r="1310">
      <c r="A1310" s="2" t="inlineStr">
        <is>
          <t>Jumbo</t>
        </is>
      </c>
      <c r="B1310" s="2" t="n">
        <v>5025</v>
      </c>
      <c r="C1310" s="2" t="n">
        <v>2566</v>
      </c>
      <c r="D1310" s="2" t="inlineStr">
        <is>
          <t>Shampoo Anticaspa Head &amp; Shoulders Limpieza Renovada 200 Ml</t>
        </is>
      </c>
      <c r="E1310" s="2" t="inlineStr">
        <is>
          <t>HEAD &amp; SHOULDERS</t>
        </is>
      </c>
      <c r="F1310" s="2" t="n">
        <v>70.43000000000001</v>
      </c>
      <c r="G1310" s="2" t="n">
        <v>5821</v>
      </c>
      <c r="H1310" s="2" t="b">
        <v>0</v>
      </c>
      <c r="I1310" s="2" t="n">
        <v>200</v>
      </c>
      <c r="J1310" s="2" t="n">
        <v>0.3522</v>
      </c>
      <c r="K1310" s="2" t="inlineStr">
        <is>
          <t>&gt; Perfumería &gt; Cuidado Capilar &gt; Shampoo &gt;</t>
        </is>
      </c>
      <c r="L1310" s="2" t="inlineStr">
        <is>
          <t>shampoo</t>
        </is>
      </c>
      <c r="M1310" s="2" t="inlineStr">
        <is>
          <t>estandar</t>
        </is>
      </c>
      <c r="N1310" s="2" t="inlineStr">
        <is>
          <t>anticaspa</t>
        </is>
      </c>
      <c r="O1310" s="2" t="inlineStr">
        <is>
          <t>https://www.jumbo.com.ar/shampoo-anticaspa-head-shoulders-limpieza-renovada-200-ml/p</t>
        </is>
      </c>
    </row>
    <row r="1311">
      <c r="A1311" t="inlineStr">
        <is>
          <t>Jumbo</t>
        </is>
      </c>
      <c r="B1311" t="n">
        <v>134620</v>
      </c>
      <c r="C1311" t="n">
        <v>131532</v>
      </c>
      <c r="D1311" t="inlineStr">
        <is>
          <t>Shampoo Anticaspa Head &amp; Shoulders-+ Acondicionador-relax-pck-un.-2</t>
        </is>
      </c>
      <c r="E1311" t="inlineStr">
        <is>
          <t>HEAD &amp; SHOULDERS</t>
        </is>
      </c>
      <c r="F1311" t="n">
        <v>26.25</v>
      </c>
      <c r="G1311" t="n">
        <v>26.25</v>
      </c>
      <c r="H1311" t="b">
        <v>0</v>
      </c>
      <c r="I1311" t="inlineStr"/>
      <c r="J1311" t="inlineStr"/>
      <c r="K1311" t="inlineStr">
        <is>
          <t>&gt; Perfumería &gt; Cuidado Capilar &gt; Shampoo &gt;</t>
        </is>
      </c>
      <c r="L1311" t="inlineStr">
        <is>
          <t>acondicionador</t>
        </is>
      </c>
      <c r="M1311" t="inlineStr">
        <is>
          <t>estandar</t>
        </is>
      </c>
      <c r="N1311" t="inlineStr">
        <is>
          <t>anticaspa</t>
        </is>
      </c>
      <c r="O1311" t="inlineStr">
        <is>
          <t>https://www.jumbo.com.ar/shampoo-anticaspa-head-shoulders-acondicionador-relax-pck-un-2/p</t>
        </is>
      </c>
    </row>
    <row r="1312">
      <c r="A1312" s="2" t="inlineStr">
        <is>
          <t>Jumbo</t>
        </is>
      </c>
      <c r="B1312" s="2" t="n">
        <v>46263</v>
      </c>
      <c r="C1312" s="2" t="n">
        <v>43436</v>
      </c>
      <c r="D1312" s="2" t="inlineStr">
        <is>
          <t>Shampoo Anticaspa Head &amp; Shoulders Apple Fresh 700 Ml</t>
        </is>
      </c>
      <c r="E1312" s="2" t="inlineStr">
        <is>
          <t>HEAD &amp; SHOULDERS</t>
        </is>
      </c>
      <c r="F1312" s="2" t="n">
        <v>130.53</v>
      </c>
      <c r="G1312" s="2" t="n">
        <v>10788</v>
      </c>
      <c r="H1312" s="2" t="b">
        <v>0</v>
      </c>
      <c r="I1312" s="2" t="n">
        <v>700</v>
      </c>
      <c r="J1312" s="2" t="n">
        <v>0.1865</v>
      </c>
      <c r="K1312" s="2" t="inlineStr">
        <is>
          <t>&gt; Perfumería &gt; Cuidado Capilar &gt; Shampoo &gt;</t>
        </is>
      </c>
      <c r="L1312" s="2" t="inlineStr">
        <is>
          <t>shampoo</t>
        </is>
      </c>
      <c r="M1312" s="2" t="inlineStr">
        <is>
          <t>estandar</t>
        </is>
      </c>
      <c r="N1312" s="2" t="inlineStr">
        <is>
          <t>anticaspa</t>
        </is>
      </c>
      <c r="O1312" s="2" t="inlineStr">
        <is>
          <t>https://www.jumbo.com.ar/shampoo-anticaspa-head-shoulders-apple-fresh-700-ml/p</t>
        </is>
      </c>
    </row>
    <row r="1313">
      <c r="A1313" t="inlineStr">
        <is>
          <t>Jumbo</t>
        </is>
      </c>
      <c r="B1313" t="n">
        <v>148520</v>
      </c>
      <c r="C1313" t="n">
        <v>145429</v>
      </c>
      <c r="D1313" t="inlineStr">
        <is>
          <t>Shampoo Anticaspa Clear-+aco Caida Defense X200ml-pck-un.-2</t>
        </is>
      </c>
      <c r="E1313" t="inlineStr">
        <is>
          <t>CLEAR</t>
        </is>
      </c>
      <c r="F1313" t="n">
        <v>24.35</v>
      </c>
      <c r="G1313" t="n">
        <v>24.35</v>
      </c>
      <c r="H1313" t="b">
        <v>0</v>
      </c>
      <c r="I1313" t="n">
        <v>200</v>
      </c>
      <c r="J1313" t="n">
        <v>0.1218</v>
      </c>
      <c r="K1313" t="inlineStr">
        <is>
          <t>&gt; Perfumería &gt; Cuidado Capilar &gt; Shampoo &gt;</t>
        </is>
      </c>
      <c r="L1313" t="inlineStr">
        <is>
          <t>shampoo</t>
        </is>
      </c>
      <c r="M1313" t="inlineStr">
        <is>
          <t>estandar</t>
        </is>
      </c>
      <c r="N1313" t="inlineStr">
        <is>
          <t>anticaspa</t>
        </is>
      </c>
      <c r="O1313" t="inlineStr">
        <is>
          <t>https://www.jumbo.com.ar/shampoo-anticaspa-clear-aco-caida-defense-x200ml-pck-un-2-2/p</t>
        </is>
      </c>
    </row>
    <row r="1314">
      <c r="A1314" s="2" t="inlineStr">
        <is>
          <t>Jumbo</t>
        </is>
      </c>
      <c r="B1314" s="2" t="n">
        <v>134613</v>
      </c>
      <c r="C1314" s="2" t="n">
        <v>131525</v>
      </c>
      <c r="D1314" s="2" t="inlineStr">
        <is>
          <t>Shampoo Anticaspa Head &amp; Shoulders-+ Acondicionador-acción Humectante-pck-un.-2</t>
        </is>
      </c>
      <c r="E1314" s="2" t="inlineStr">
        <is>
          <t>HEAD &amp; SHOULDERS</t>
        </is>
      </c>
      <c r="F1314" s="2" t="n">
        <v>30.59</v>
      </c>
      <c r="G1314" s="2" t="n">
        <v>2528</v>
      </c>
      <c r="H1314" s="2" t="b">
        <v>0</v>
      </c>
      <c r="I1314" s="2" t="inlineStr"/>
      <c r="J1314" s="2" t="inlineStr"/>
      <c r="K1314" s="2" t="inlineStr">
        <is>
          <t>&gt; Perfumería &gt; Cuidado Capilar &gt; Shampoo &gt;</t>
        </is>
      </c>
      <c r="L1314" s="2" t="inlineStr">
        <is>
          <t>acondicionador</t>
        </is>
      </c>
      <c r="M1314" s="2" t="inlineStr">
        <is>
          <t>estandar</t>
        </is>
      </c>
      <c r="N1314" s="2" t="inlineStr">
        <is>
          <t>anticaspa</t>
        </is>
      </c>
      <c r="O1314" s="2" t="inlineStr">
        <is>
          <t>https://www.jumbo.com.ar/shampoo-anticaspa-head-shoulders-acondicionador-accion-humectante-pck-un-2/p</t>
        </is>
      </c>
    </row>
    <row r="1315">
      <c r="A1315" t="inlineStr">
        <is>
          <t>Jumbo</t>
        </is>
      </c>
      <c r="B1315" t="n">
        <v>49575</v>
      </c>
      <c r="C1315" t="n">
        <v>46739</v>
      </c>
      <c r="D1315" t="inlineStr">
        <is>
          <t>Shampoo Anticaspa Head &amp; Shoulders Protección Y Caída 400 Ml</t>
        </is>
      </c>
      <c r="E1315" t="inlineStr">
        <is>
          <t>HEAD &amp; SHOULDERS</t>
        </is>
      </c>
      <c r="F1315" t="n">
        <v>168.19</v>
      </c>
      <c r="G1315" t="n">
        <v>13900</v>
      </c>
      <c r="H1315" t="b">
        <v>0</v>
      </c>
      <c r="I1315" t="n">
        <v>400</v>
      </c>
      <c r="J1315" t="n">
        <v>0.4205</v>
      </c>
      <c r="K1315" t="inlineStr">
        <is>
          <t>&gt; Perfumería &gt; Cuidado Capilar &gt; Shampoo &gt;</t>
        </is>
      </c>
      <c r="L1315" t="inlineStr">
        <is>
          <t>shampoo</t>
        </is>
      </c>
      <c r="M1315" t="inlineStr">
        <is>
          <t>estandar</t>
        </is>
      </c>
      <c r="N1315" t="inlineStr">
        <is>
          <t>anticaspa</t>
        </is>
      </c>
      <c r="O1315" t="inlineStr">
        <is>
          <t>https://www.jumbo.com.ar/shampoo-anticaspa-head-shoulders-proteccion-y-caida-400-ml/p</t>
        </is>
      </c>
    </row>
    <row r="1316">
      <c r="A1316" s="2" t="inlineStr">
        <is>
          <t>Jumbo</t>
        </is>
      </c>
      <c r="B1316" s="2" t="n">
        <v>159949</v>
      </c>
      <c r="C1316" s="2" t="n">
        <v>157508</v>
      </c>
      <c r="D1316" s="2" t="inlineStr">
        <is>
          <t>Shampoo Anticaspa Elvive X 200 Ml-cabello Normal-pvc-ml.-200</t>
        </is>
      </c>
      <c r="E1316" s="2" t="inlineStr">
        <is>
          <t>ELVIVE</t>
        </is>
      </c>
      <c r="F1316" s="2" t="n">
        <v>10.07</v>
      </c>
      <c r="G1316" s="2" t="n">
        <v>10.07</v>
      </c>
      <c r="H1316" s="2" t="b">
        <v>0</v>
      </c>
      <c r="I1316" s="2" t="n">
        <v>200</v>
      </c>
      <c r="J1316" s="2" t="n">
        <v>0.0503</v>
      </c>
      <c r="K1316" s="2" t="inlineStr">
        <is>
          <t>&gt; Perfumería &gt; Cuidado Capilar &gt; Shampoo &gt;</t>
        </is>
      </c>
      <c r="L1316" s="2" t="inlineStr">
        <is>
          <t>shampoo</t>
        </is>
      </c>
      <c r="M1316" s="2" t="inlineStr">
        <is>
          <t>profesional</t>
        </is>
      </c>
      <c r="N1316" s="2" t="inlineStr">
        <is>
          <t>anticaspa</t>
        </is>
      </c>
      <c r="O1316" s="2" t="inlineStr">
        <is>
          <t>https://www.jumbo.com.ar/shampoo-anticaspa-elvive-x-200-ml-cabello-normal-pvc-ml-200-2/p</t>
        </is>
      </c>
    </row>
    <row r="1317">
      <c r="A1317" t="inlineStr">
        <is>
          <t>Jumbo</t>
        </is>
      </c>
      <c r="B1317" t="n">
        <v>159935</v>
      </c>
      <c r="C1317" t="n">
        <v>157493</v>
      </c>
      <c r="D1317" t="inlineStr">
        <is>
          <t>Shampoo Anticaspa Elvive X 200 Ml-cabellos Secos-pvc-ml.-200</t>
        </is>
      </c>
      <c r="E1317" t="inlineStr">
        <is>
          <t>ELVIVE</t>
        </is>
      </c>
      <c r="F1317" t="n">
        <v>10.59</v>
      </c>
      <c r="G1317" t="n">
        <v>10.59</v>
      </c>
      <c r="H1317" t="b">
        <v>0</v>
      </c>
      <c r="I1317" t="n">
        <v>200</v>
      </c>
      <c r="J1317" t="n">
        <v>0.0529</v>
      </c>
      <c r="K1317" t="inlineStr">
        <is>
          <t>&gt; Perfumería &gt; Cuidado Capilar &gt; Shampoo &gt;</t>
        </is>
      </c>
      <c r="L1317" t="inlineStr">
        <is>
          <t>shampoo</t>
        </is>
      </c>
      <c r="M1317" t="inlineStr">
        <is>
          <t>profesional</t>
        </is>
      </c>
      <c r="N1317" t="inlineStr">
        <is>
          <t>anticaspa</t>
        </is>
      </c>
      <c r="O1317" t="inlineStr">
        <is>
          <t>https://www.jumbo.com.ar/shampoo-anticaspa-elvive-x-200-ml-cabellos-secos-pvc-ml-200-2/p</t>
        </is>
      </c>
    </row>
    <row r="1318">
      <c r="A1318" s="2" t="inlineStr">
        <is>
          <t>Jumbo</t>
        </is>
      </c>
      <c r="B1318" s="2" t="n">
        <v>159810</v>
      </c>
      <c r="C1318" s="2" t="n">
        <v>157369</v>
      </c>
      <c r="D1318" s="2" t="inlineStr">
        <is>
          <t>Shampoo Anticaspa Elvive X 200 Ml-cabellos Grasos-pvc-ml.-200</t>
        </is>
      </c>
      <c r="E1318" s="2" t="inlineStr">
        <is>
          <t>ELVIVE</t>
        </is>
      </c>
      <c r="F1318" s="2" t="n">
        <v>16.19</v>
      </c>
      <c r="G1318" s="2" t="n">
        <v>16.19</v>
      </c>
      <c r="H1318" s="2" t="b">
        <v>0</v>
      </c>
      <c r="I1318" s="2" t="n">
        <v>200</v>
      </c>
      <c r="J1318" s="2" t="n">
        <v>0.081</v>
      </c>
      <c r="K1318" s="2" t="inlineStr">
        <is>
          <t>&gt; Perfumería &gt; Cuidado Capilar &gt; Shampoo &gt;</t>
        </is>
      </c>
      <c r="L1318" s="2" t="inlineStr">
        <is>
          <t>shampoo</t>
        </is>
      </c>
      <c r="M1318" s="2" t="inlineStr">
        <is>
          <t>profesional</t>
        </is>
      </c>
      <c r="N1318" s="2" t="inlineStr">
        <is>
          <t>anticaspa</t>
        </is>
      </c>
      <c r="O1318" s="2" t="inlineStr">
        <is>
          <t>https://www.jumbo.com.ar/shampoo-anticaspa-elvive-x-200-ml-cabellos-grasos-pvc-ml-200-2/p</t>
        </is>
      </c>
    </row>
    <row r="1319">
      <c r="A1319" t="inlineStr">
        <is>
          <t>Jumbo</t>
        </is>
      </c>
      <c r="B1319" t="n">
        <v>134671</v>
      </c>
      <c r="C1319" t="n">
        <v>131583</v>
      </c>
      <c r="D1319" t="inlineStr">
        <is>
          <t>Shampoo Anticaspa Head &amp; Shoulders-+ Acondicionador-protección Caída-pck-un.-2</t>
        </is>
      </c>
      <c r="E1319" t="inlineStr">
        <is>
          <t>HEAD &amp; SHOULDERS</t>
        </is>
      </c>
      <c r="F1319" t="n">
        <v>32.75</v>
      </c>
      <c r="G1319" t="n">
        <v>32.75</v>
      </c>
      <c r="H1319" t="b">
        <v>0</v>
      </c>
      <c r="I1319" t="inlineStr"/>
      <c r="J1319" t="inlineStr"/>
      <c r="K1319" t="inlineStr">
        <is>
          <t>&gt; Perfumería &gt; Cuidado Capilar &gt; Shampoo &gt;</t>
        </is>
      </c>
      <c r="L1319" t="inlineStr">
        <is>
          <t>acondicionador</t>
        </is>
      </c>
      <c r="M1319" t="inlineStr">
        <is>
          <t>estandar</t>
        </is>
      </c>
      <c r="N1319" t="inlineStr">
        <is>
          <t>anticaspa</t>
        </is>
      </c>
      <c r="O1319" t="inlineStr">
        <is>
          <t>https://www.jumbo.com.ar/shampoo-anticaspa-head-shoulders-acondicionador-proteccion-caida-pck-un-2/p</t>
        </is>
      </c>
    </row>
    <row r="1320">
      <c r="A1320" s="2" t="inlineStr">
        <is>
          <t>Jumbo</t>
        </is>
      </c>
      <c r="B1320" s="2" t="n">
        <v>85698</v>
      </c>
      <c r="C1320" s="2" t="n">
        <v>83026</v>
      </c>
      <c r="D1320" s="2" t="inlineStr">
        <is>
          <t>Shampoo Anticaspa Head &amp; Shoulders Citrus Fresh Pvc 400 Ml</t>
        </is>
      </c>
      <c r="E1320" s="2" t="inlineStr">
        <is>
          <t>HEAD &amp; SHOULDERS</t>
        </is>
      </c>
      <c r="F1320" s="2" t="n">
        <v>37.39</v>
      </c>
      <c r="G1320" s="2" t="n">
        <v>3090</v>
      </c>
      <c r="H1320" s="2" t="b">
        <v>0</v>
      </c>
      <c r="I1320" s="2" t="n">
        <v>400</v>
      </c>
      <c r="J1320" s="2" t="n">
        <v>0.0935</v>
      </c>
      <c r="K1320" s="2" t="inlineStr">
        <is>
          <t>&gt; Perfumería &gt; Cuidado Capilar &gt; Shampoo &gt;</t>
        </is>
      </c>
      <c r="L1320" s="2" t="inlineStr">
        <is>
          <t>shampoo</t>
        </is>
      </c>
      <c r="M1320" s="2" t="inlineStr">
        <is>
          <t>estandar</t>
        </is>
      </c>
      <c r="N1320" s="2" t="inlineStr">
        <is>
          <t>anticaspa</t>
        </is>
      </c>
      <c r="O1320" s="2" t="inlineStr">
        <is>
          <t>https://www.jumbo.com.ar/shampoo-anticaspa-head-shoulders-63/p</t>
        </is>
      </c>
    </row>
    <row r="1321">
      <c r="A1321" t="inlineStr">
        <is>
          <t>Jumbo</t>
        </is>
      </c>
      <c r="B1321" t="n">
        <v>68211</v>
      </c>
      <c r="C1321" t="n">
        <v>65349</v>
      </c>
      <c r="D1321" t="inlineStr">
        <is>
          <t>Shampoo Anticaspa 'head &amp; Shoulders' Mentol Refrescante X 200 Ml.</t>
        </is>
      </c>
      <c r="E1321" t="inlineStr">
        <is>
          <t>HEAD &amp; SHOULDERS</t>
        </is>
      </c>
      <c r="F1321" t="n">
        <v>22.93</v>
      </c>
      <c r="G1321" t="n">
        <v>22.93</v>
      </c>
      <c r="H1321" t="b">
        <v>0</v>
      </c>
      <c r="I1321" t="n">
        <v>200</v>
      </c>
      <c r="J1321" t="n">
        <v>0.1147</v>
      </c>
      <c r="K1321" t="inlineStr">
        <is>
          <t>&gt; Perfumería &gt; Cuidado Capilar &gt; Shampoo &gt;</t>
        </is>
      </c>
      <c r="L1321" t="inlineStr">
        <is>
          <t>shampoo</t>
        </is>
      </c>
      <c r="M1321" t="inlineStr">
        <is>
          <t>estandar</t>
        </is>
      </c>
      <c r="N1321" t="inlineStr">
        <is>
          <t>anticaspa</t>
        </is>
      </c>
      <c r="O1321" t="inlineStr">
        <is>
          <t>https://www.jumbo.com.ar/shampoo-anticaspa-head-shoulders-mentol-refrescante-x-200-ml/p</t>
        </is>
      </c>
    </row>
    <row r="1322">
      <c r="A1322" s="2" t="inlineStr">
        <is>
          <t>Jumbo</t>
        </is>
      </c>
      <c r="B1322" s="2" t="n">
        <v>24667</v>
      </c>
      <c r="C1322" s="2" t="n">
        <v>21831</v>
      </c>
      <c r="D1322" s="2" t="inlineStr">
        <is>
          <t>Shampoo Anticaspa Head &amp; Shoulders Protección Y Caída 200 Ml</t>
        </is>
      </c>
      <c r="E1322" s="2" t="inlineStr">
        <is>
          <t>HEAD &amp; SHOULDERS</t>
        </is>
      </c>
      <c r="F1322" s="2" t="n">
        <v>70.43000000000001</v>
      </c>
      <c r="G1322" s="2" t="n">
        <v>5821</v>
      </c>
      <c r="H1322" s="2" t="b">
        <v>0</v>
      </c>
      <c r="I1322" s="2" t="n">
        <v>200</v>
      </c>
      <c r="J1322" s="2" t="n">
        <v>0.3522</v>
      </c>
      <c r="K1322" s="2" t="inlineStr">
        <is>
          <t>&gt; Perfumería &gt; Cuidado Capilar &gt; Shampoo &gt;</t>
        </is>
      </c>
      <c r="L1322" s="2" t="inlineStr">
        <is>
          <t>shampoo</t>
        </is>
      </c>
      <c r="M1322" s="2" t="inlineStr">
        <is>
          <t>estandar</t>
        </is>
      </c>
      <c r="N1322" s="2" t="inlineStr">
        <is>
          <t>anticaspa</t>
        </is>
      </c>
      <c r="O1322" s="2" t="inlineStr">
        <is>
          <t>https://www.jumbo.com.ar/shampoo-anticaspa-head-shoulders-proteccion-y-caida-200-ml/p</t>
        </is>
      </c>
    </row>
    <row r="1323">
      <c r="A1323" t="inlineStr">
        <is>
          <t>Jumbo</t>
        </is>
      </c>
      <c r="B1323" t="n">
        <v>117188</v>
      </c>
      <c r="C1323" t="n">
        <v>116227</v>
      </c>
      <c r="D1323" t="inlineStr">
        <is>
          <t>Shampoo Anticaspa Head &amp; Shoulders Mentol Refrescante Pvc 400 Cc</t>
        </is>
      </c>
      <c r="E1323" t="inlineStr">
        <is>
          <t>HEAD &amp; SHOULDERS</t>
        </is>
      </c>
      <c r="F1323" t="n">
        <v>37.39</v>
      </c>
      <c r="G1323" t="n">
        <v>3090</v>
      </c>
      <c r="H1323" t="b">
        <v>0</v>
      </c>
      <c r="I1323" t="inlineStr"/>
      <c r="J1323" t="inlineStr"/>
      <c r="K1323" t="inlineStr">
        <is>
          <t>&gt; Perfumería &gt; Cuidado Capilar &gt; Shampoo &gt;</t>
        </is>
      </c>
      <c r="L1323" t="inlineStr">
        <is>
          <t>shampoo</t>
        </is>
      </c>
      <c r="M1323" t="inlineStr">
        <is>
          <t>estandar</t>
        </is>
      </c>
      <c r="N1323" t="inlineStr">
        <is>
          <t>anticaspa</t>
        </is>
      </c>
      <c r="O1323" t="inlineStr">
        <is>
          <t>https://www.jumbo.com.ar/shampoo-anticaspa-head-shoulders-mentol-refrescante-pvc-400-cc/p</t>
        </is>
      </c>
    </row>
    <row r="1324">
      <c r="A1324" s="2" t="inlineStr">
        <is>
          <t>Jumbo</t>
        </is>
      </c>
      <c r="B1324" s="2" t="n">
        <v>51758</v>
      </c>
      <c r="C1324" s="2" t="n">
        <v>48926</v>
      </c>
      <c r="D1324" s="2" t="inlineStr">
        <is>
          <t>Shampoo Anticaspa Head &amp; Shoulders Liso Y Sedoso Pvc 400 Ml</t>
        </is>
      </c>
      <c r="E1324" s="2" t="inlineStr">
        <is>
          <t>HEAD &amp; SHOULDERS</t>
        </is>
      </c>
      <c r="F1324" s="2" t="n">
        <v>20.99</v>
      </c>
      <c r="G1324" s="2" t="n">
        <v>20.99</v>
      </c>
      <c r="H1324" s="2" t="b">
        <v>0</v>
      </c>
      <c r="I1324" s="2" t="n">
        <v>400</v>
      </c>
      <c r="J1324" s="2" t="n">
        <v>0.0525</v>
      </c>
      <c r="K1324" s="2" t="inlineStr">
        <is>
          <t>&gt; Perfumería &gt; Cuidado Capilar &gt; Shampoo &gt;</t>
        </is>
      </c>
      <c r="L1324" s="2" t="inlineStr">
        <is>
          <t>shampoo</t>
        </is>
      </c>
      <c r="M1324" s="2" t="inlineStr">
        <is>
          <t>estandar</t>
        </is>
      </c>
      <c r="N1324" s="2" t="inlineStr">
        <is>
          <t>anticaspa</t>
        </is>
      </c>
      <c r="O1324" s="2" t="inlineStr">
        <is>
          <t>https://www.jumbo.com.ar/shampoo-anticaspa-head-shoulders-liso-y-sedoso-pvc-400-ml/p</t>
        </is>
      </c>
    </row>
    <row r="1325">
      <c r="A1325" t="inlineStr">
        <is>
          <t>Jumbo</t>
        </is>
      </c>
      <c r="B1325" t="n">
        <v>25895</v>
      </c>
      <c r="C1325" t="n">
        <v>23055</v>
      </c>
      <c r="D1325" t="inlineStr">
        <is>
          <t>Shampoo Anticaspa Clear Men Dual Effect 2 En 1 400 Ml</t>
        </is>
      </c>
      <c r="E1325" t="inlineStr">
        <is>
          <t>CLEAR</t>
        </is>
      </c>
      <c r="F1325" t="n">
        <v>87.09</v>
      </c>
      <c r="G1325" t="n">
        <v>7198</v>
      </c>
      <c r="H1325" t="b">
        <v>0</v>
      </c>
      <c r="I1325" t="n">
        <v>400</v>
      </c>
      <c r="J1325" t="n">
        <v>0.2177</v>
      </c>
      <c r="K1325" t="inlineStr">
        <is>
          <t>&gt; Perfumería &gt; Cuidado Capilar &gt; Shampoo &gt;</t>
        </is>
      </c>
      <c r="L1325" t="inlineStr">
        <is>
          <t>shampoo</t>
        </is>
      </c>
      <c r="M1325" t="inlineStr">
        <is>
          <t>estandar</t>
        </is>
      </c>
      <c r="N1325" t="inlineStr">
        <is>
          <t>anticaspa</t>
        </is>
      </c>
      <c r="O1325" t="inlineStr">
        <is>
          <t>https://www.jumbo.com.ar/shampoo-anticaspa-clear-men-x-400-ml/p</t>
        </is>
      </c>
    </row>
    <row r="1326">
      <c r="A1326" s="2" t="inlineStr">
        <is>
          <t>Jumbo</t>
        </is>
      </c>
      <c r="B1326" s="2" t="n">
        <v>164023</v>
      </c>
      <c r="C1326" s="2" t="n">
        <v>161563</v>
      </c>
      <c r="D1326" s="2" t="inlineStr">
        <is>
          <t>Shampoo Anticaspa Head &amp; Shoulders-+ Trat X150ml.-humectación-bli-un.-2</t>
        </is>
      </c>
      <c r="E1326" s="2" t="inlineStr">
        <is>
          <t>HEAD &amp; SHOULDERS</t>
        </is>
      </c>
      <c r="F1326" s="2" t="n">
        <v>32.15</v>
      </c>
      <c r="G1326" s="2" t="n">
        <v>32.15</v>
      </c>
      <c r="H1326" s="2" t="b">
        <v>0</v>
      </c>
      <c r="I1326" s="2" t="n">
        <v>150</v>
      </c>
      <c r="J1326" s="2" t="n">
        <v>0.2143</v>
      </c>
      <c r="K1326" s="2" t="inlineStr">
        <is>
          <t>&gt; Perfumería &gt; Cuidado Capilar &gt; Shampoo &gt;</t>
        </is>
      </c>
      <c r="L1326" s="2" t="inlineStr">
        <is>
          <t>shampoo</t>
        </is>
      </c>
      <c r="M1326" s="2" t="inlineStr">
        <is>
          <t>estandar</t>
        </is>
      </c>
      <c r="N1326" s="2" t="inlineStr">
        <is>
          <t>anticaspa</t>
        </is>
      </c>
      <c r="O1326" s="2" t="inlineStr">
        <is>
          <t>https://www.jumbo.com.ar/shampoo-anticaspa-head-shoulders-trat-x150ml-humectacion-bli-un-2/p</t>
        </is>
      </c>
    </row>
    <row r="1327">
      <c r="A1327" t="inlineStr">
        <is>
          <t>Jumbo</t>
        </is>
      </c>
      <c r="B1327" t="n">
        <v>103193</v>
      </c>
      <c r="C1327" t="n">
        <v>100491</v>
      </c>
      <c r="D1327" t="inlineStr">
        <is>
          <t>Shampoo Anticaspa Clear Unisex X 400ml-mentol-nueva Presentacion-pvc-ml.-400</t>
        </is>
      </c>
      <c r="E1327" t="inlineStr">
        <is>
          <t>CLEAR</t>
        </is>
      </c>
      <c r="F1327" t="n">
        <v>87.09</v>
      </c>
      <c r="G1327" t="n">
        <v>7198</v>
      </c>
      <c r="H1327" t="b">
        <v>0</v>
      </c>
      <c r="I1327" t="n">
        <v>400</v>
      </c>
      <c r="J1327" t="n">
        <v>0.2177</v>
      </c>
      <c r="K1327" t="inlineStr">
        <is>
          <t>&gt; Perfumería &gt; Cuidado Capilar &gt; Shampoo &gt;</t>
        </is>
      </c>
      <c r="L1327" t="inlineStr">
        <is>
          <t>shampoo</t>
        </is>
      </c>
      <c r="M1327" t="inlineStr">
        <is>
          <t>estandar</t>
        </is>
      </c>
      <c r="N1327" t="inlineStr">
        <is>
          <t>anticaspa</t>
        </is>
      </c>
      <c r="O1327" t="inlineStr">
        <is>
          <t>https://www.jumbo.com.ar/shampoo-anticaspa-clear-unisex-x-400ml-mentol-nueva-presentacion-pvc-ml-400/p</t>
        </is>
      </c>
    </row>
    <row r="1328">
      <c r="A1328" s="2" t="inlineStr">
        <is>
          <t>Jumbo</t>
        </is>
      </c>
      <c r="B1328" s="2" t="n">
        <v>20006</v>
      </c>
      <c r="C1328" s="2" t="n">
        <v>17177</v>
      </c>
      <c r="D1328" s="2" t="inlineStr">
        <is>
          <t>Shampoo Anticaspa Clear Men Dual Effect 2 En 1 200 Ml</t>
        </is>
      </c>
      <c r="E1328" s="2" t="inlineStr">
        <is>
          <t>CLEAR</t>
        </is>
      </c>
      <c r="F1328" s="2" t="n">
        <v>45.89</v>
      </c>
      <c r="G1328" s="2" t="n">
        <v>3793</v>
      </c>
      <c r="H1328" s="2" t="b">
        <v>0</v>
      </c>
      <c r="I1328" s="2" t="n">
        <v>200</v>
      </c>
      <c r="J1328" s="2" t="n">
        <v>0.2295</v>
      </c>
      <c r="K1328" s="2" t="inlineStr">
        <is>
          <t>&gt; Perfumería &gt; Cuidado Capilar &gt; Shampoo &gt;</t>
        </is>
      </c>
      <c r="L1328" s="2" t="inlineStr">
        <is>
          <t>shampoo</t>
        </is>
      </c>
      <c r="M1328" s="2" t="inlineStr">
        <is>
          <t>estandar</t>
        </is>
      </c>
      <c r="N1328" s="2" t="inlineStr">
        <is>
          <t>anticaspa</t>
        </is>
      </c>
      <c r="O1328" s="2" t="inlineStr">
        <is>
          <t>https://www.jumbo.com.ar/shampoo-anticaspa-clear-men-x-200ml/p</t>
        </is>
      </c>
    </row>
    <row r="1329">
      <c r="A1329" t="inlineStr">
        <is>
          <t>Jumbo</t>
        </is>
      </c>
      <c r="B1329" t="n">
        <v>116465</v>
      </c>
      <c r="C1329" t="n">
        <v>115505</v>
      </c>
      <c r="D1329" t="inlineStr">
        <is>
          <t>Shampoo Anticaspa Head &amp; Shoulders X 400 Ml  Pureza Y Brillo</t>
        </is>
      </c>
      <c r="E1329" t="inlineStr">
        <is>
          <t>HEAD &amp; SHOULDERS</t>
        </is>
      </c>
      <c r="F1329" t="n">
        <v>30.15</v>
      </c>
      <c r="G1329" t="n">
        <v>30.15</v>
      </c>
      <c r="H1329" t="b">
        <v>0</v>
      </c>
      <c r="I1329" t="n">
        <v>400</v>
      </c>
      <c r="J1329" t="n">
        <v>0.07539999999999999</v>
      </c>
      <c r="K1329" t="inlineStr">
        <is>
          <t>&gt; Perfumería &gt; Cuidado Capilar &gt; Shampoo &gt;</t>
        </is>
      </c>
      <c r="L1329" t="inlineStr">
        <is>
          <t>shampoo</t>
        </is>
      </c>
      <c r="M1329" t="inlineStr">
        <is>
          <t>estandar</t>
        </is>
      </c>
      <c r="N1329" t="inlineStr">
        <is>
          <t>anticaspa</t>
        </is>
      </c>
      <c r="O1329" t="inlineStr">
        <is>
          <t>https://www.jumbo.com.ar/shampoo-anticaspa-head-shoulders-x-400-ml-pureza-y-brillo/p</t>
        </is>
      </c>
    </row>
    <row r="1330">
      <c r="A1330" s="2" t="inlineStr">
        <is>
          <t>Jumbo</t>
        </is>
      </c>
      <c r="B1330" s="2" t="n">
        <v>51645</v>
      </c>
      <c r="C1330" s="2" t="n">
        <v>48813</v>
      </c>
      <c r="D1330" s="2" t="inlineStr">
        <is>
          <t>Shampoo Anticaspa Head &amp; Shoul Sencitive  Con Aloe Vera Pvc 400 Ml</t>
        </is>
      </c>
      <c r="E1330" s="2" t="inlineStr">
        <is>
          <t>HEAD &amp; SHOULDERS</t>
        </is>
      </c>
      <c r="F1330" s="2" t="n">
        <v>37.39</v>
      </c>
      <c r="G1330" s="2" t="n">
        <v>3090</v>
      </c>
      <c r="H1330" s="2" t="b">
        <v>0</v>
      </c>
      <c r="I1330" s="2" t="n">
        <v>400</v>
      </c>
      <c r="J1330" s="2" t="n">
        <v>0.0935</v>
      </c>
      <c r="K1330" s="2" t="inlineStr">
        <is>
          <t>&gt; Perfumería &gt; Cuidado Capilar &gt; Shampoo &gt;</t>
        </is>
      </c>
      <c r="L1330" s="2" t="inlineStr">
        <is>
          <t>shampoo</t>
        </is>
      </c>
      <c r="M1330" s="2" t="inlineStr">
        <is>
          <t>estandar</t>
        </is>
      </c>
      <c r="N1330" s="2" t="inlineStr">
        <is>
          <t>anticaspa</t>
        </is>
      </c>
      <c r="O1330" s="2" t="inlineStr">
        <is>
          <t>https://www.jumbo.com.ar/shampoo-anticaspa-head-shoul-sencitive-con-aloe-vera-pvc-400-ml/p</t>
        </is>
      </c>
    </row>
    <row r="1331">
      <c r="A1331" t="inlineStr">
        <is>
          <t>Jumbo</t>
        </is>
      </c>
      <c r="B1331" t="n">
        <v>128497</v>
      </c>
      <c r="C1331" t="n">
        <v>111276</v>
      </c>
      <c r="D1331" t="inlineStr">
        <is>
          <t>Shampoo Anticaspa Clear-+ Deo Dove X 175 Ml-caida Control-bli-un.-2</t>
        </is>
      </c>
      <c r="E1331" t="inlineStr">
        <is>
          <t>CLEAR</t>
        </is>
      </c>
      <c r="F1331" t="n">
        <v>16.93</v>
      </c>
      <c r="G1331" t="n">
        <v>16.93</v>
      </c>
      <c r="H1331" t="b">
        <v>0</v>
      </c>
      <c r="I1331" t="n">
        <v>175</v>
      </c>
      <c r="J1331" t="n">
        <v>0.09669999999999999</v>
      </c>
      <c r="K1331" t="inlineStr">
        <is>
          <t>&gt; Perfumería &gt; Cuidado Capilar &gt; Shampoo &gt;</t>
        </is>
      </c>
      <c r="L1331" t="inlineStr">
        <is>
          <t>shampoo</t>
        </is>
      </c>
      <c r="M1331" t="inlineStr">
        <is>
          <t>estandar</t>
        </is>
      </c>
      <c r="N1331" t="inlineStr">
        <is>
          <t>anticaspa</t>
        </is>
      </c>
      <c r="O1331" t="inlineStr">
        <is>
          <t>https://www.jumbo.com.ar/shampoo-anticaspa-clear-deo-dove-x-175-ml-caida-control-bli-un-2/p</t>
        </is>
      </c>
    </row>
    <row r="1332">
      <c r="A1332" s="2" t="inlineStr">
        <is>
          <t>Jumbo</t>
        </is>
      </c>
      <c r="B1332" s="2" t="n">
        <v>106426</v>
      </c>
      <c r="C1332" s="2" t="n">
        <v>103698</v>
      </c>
      <c r="D1332" s="2" t="inlineStr">
        <is>
          <t>Shampoo Anticaspa Head &amp; Shoulders Extra Volumen &amp; Brillo Pvc 400 Cc</t>
        </is>
      </c>
      <c r="E1332" s="2" t="inlineStr">
        <is>
          <t>HEAD &amp; SHOULDERS</t>
        </is>
      </c>
      <c r="F1332" s="2" t="n">
        <v>20.99</v>
      </c>
      <c r="G1332" s="2" t="n">
        <v>20.99</v>
      </c>
      <c r="H1332" s="2" t="b">
        <v>0</v>
      </c>
      <c r="I1332" s="2" t="inlineStr"/>
      <c r="J1332" s="2" t="inlineStr"/>
      <c r="K1332" s="2" t="inlineStr">
        <is>
          <t>&gt; Perfumería &gt; Cuidado Capilar &gt; Shampoo &gt;</t>
        </is>
      </c>
      <c r="L1332" s="2" t="inlineStr">
        <is>
          <t>shampoo</t>
        </is>
      </c>
      <c r="M1332" s="2" t="inlineStr">
        <is>
          <t>estandar</t>
        </is>
      </c>
      <c r="N1332" s="2" t="inlineStr">
        <is>
          <t>anticaspa</t>
        </is>
      </c>
      <c r="O1332" s="2" t="inlineStr">
        <is>
          <t>https://www.jumbo.com.ar/shampoo-anticaspa-head-shoulders-extra-volumen-brillo-pvc-400-cc/p</t>
        </is>
      </c>
    </row>
    <row r="1333">
      <c r="A1333" t="inlineStr">
        <is>
          <t>Jumbo</t>
        </is>
      </c>
      <c r="B1333" t="n">
        <v>103603</v>
      </c>
      <c r="C1333" t="n">
        <v>100900</v>
      </c>
      <c r="D1333" t="inlineStr">
        <is>
          <t>Shampoo Anticaspa Clear Unisex X 400ml-renovación Diaria-nueva Presentacion-pvc-ml.-400</t>
        </is>
      </c>
      <c r="E1333" t="inlineStr">
        <is>
          <t>CLEAR</t>
        </is>
      </c>
      <c r="F1333" t="n">
        <v>87.09</v>
      </c>
      <c r="G1333" t="n">
        <v>7198</v>
      </c>
      <c r="H1333" t="b">
        <v>0</v>
      </c>
      <c r="I1333" t="n">
        <v>400</v>
      </c>
      <c r="J1333" t="n">
        <v>0.2177</v>
      </c>
      <c r="K1333" t="inlineStr">
        <is>
          <t>&gt; Perfumería &gt; Cuidado Capilar &gt; Shampoo &gt;</t>
        </is>
      </c>
      <c r="L1333" t="inlineStr">
        <is>
          <t>shampoo</t>
        </is>
      </c>
      <c r="M1333" t="inlineStr">
        <is>
          <t>estandar</t>
        </is>
      </c>
      <c r="N1333" t="inlineStr">
        <is>
          <t>anticaspa</t>
        </is>
      </c>
      <c r="O1333" t="inlineStr">
        <is>
          <t>https://www.jumbo.com.ar/shampoo-anticaspa-clear-unisex-x-400ml-renovacion-diaria-nueva-presentacion-pvc-ml-400/p</t>
        </is>
      </c>
    </row>
    <row r="1334">
      <c r="A1334" s="2" t="inlineStr">
        <is>
          <t>Jumbo</t>
        </is>
      </c>
      <c r="B1334" s="2" t="n">
        <v>103584</v>
      </c>
      <c r="C1334" s="2" t="n">
        <v>100882</v>
      </c>
      <c r="D1334" s="2" t="inlineStr">
        <is>
          <t>Shampoo Anticaspa Clear Unisex X 200ml-crecimiento Fuerza-nueva Presentacion-pvc-ml.-200</t>
        </is>
      </c>
      <c r="E1334" s="2" t="inlineStr">
        <is>
          <t>CLEAR</t>
        </is>
      </c>
      <c r="F1334" s="2" t="n">
        <v>45.89</v>
      </c>
      <c r="G1334" s="2" t="n">
        <v>3793</v>
      </c>
      <c r="H1334" s="2" t="b">
        <v>0</v>
      </c>
      <c r="I1334" s="2" t="n">
        <v>200</v>
      </c>
      <c r="J1334" s="2" t="n">
        <v>0.2295</v>
      </c>
      <c r="K1334" s="2" t="inlineStr">
        <is>
          <t>&gt; Perfumería &gt; Cuidado Capilar &gt; Shampoo &gt;</t>
        </is>
      </c>
      <c r="L1334" s="2" t="inlineStr">
        <is>
          <t>shampoo</t>
        </is>
      </c>
      <c r="M1334" s="2" t="inlineStr">
        <is>
          <t>estandar</t>
        </is>
      </c>
      <c r="N1334" s="2" t="inlineStr">
        <is>
          <t>anticaspa</t>
        </is>
      </c>
      <c r="O1334" s="2" t="inlineStr">
        <is>
          <t>https://www.jumbo.com.ar/shampoo-anticaspa-clear-unisex-x-200ml-crecimiento-fuerza-nueva-presentacion-pvc-ml-200/p</t>
        </is>
      </c>
    </row>
    <row r="1335">
      <c r="A1335" t="inlineStr">
        <is>
          <t>Jumbo</t>
        </is>
      </c>
      <c r="B1335" t="n">
        <v>103231</v>
      </c>
      <c r="C1335" t="n">
        <v>100528</v>
      </c>
      <c r="D1335" t="inlineStr">
        <is>
          <t>Shampoo Anticaspa Clear Unisex X 200ml-renovación Diaria-nueva Presentacion-pvc-ml.-200</t>
        </is>
      </c>
      <c r="E1335" t="inlineStr">
        <is>
          <t>CLEAR</t>
        </is>
      </c>
      <c r="F1335" t="n">
        <v>45.89</v>
      </c>
      <c r="G1335" t="n">
        <v>3793</v>
      </c>
      <c r="H1335" t="b">
        <v>0</v>
      </c>
      <c r="I1335" t="n">
        <v>200</v>
      </c>
      <c r="J1335" t="n">
        <v>0.2295</v>
      </c>
      <c r="K1335" t="inlineStr">
        <is>
          <t>&gt; Perfumería &gt; Cuidado Capilar &gt; Shampoo &gt;</t>
        </is>
      </c>
      <c r="L1335" t="inlineStr">
        <is>
          <t>shampoo</t>
        </is>
      </c>
      <c r="M1335" t="inlineStr">
        <is>
          <t>estandar</t>
        </is>
      </c>
      <c r="N1335" t="inlineStr">
        <is>
          <t>anticaspa</t>
        </is>
      </c>
      <c r="O1335" t="inlineStr">
        <is>
          <t>https://www.jumbo.com.ar/shampoo-anticaspa-clear-unisex-x-200ml-renovacion-diaria-nueva-presentacion-pvc-ml-200/p</t>
        </is>
      </c>
    </row>
    <row r="1336">
      <c r="A1336" s="2" t="inlineStr">
        <is>
          <t>Jumbo</t>
        </is>
      </c>
      <c r="B1336" s="2" t="n">
        <v>25566</v>
      </c>
      <c r="C1336" s="2" t="n">
        <v>22726</v>
      </c>
      <c r="D1336" s="2" t="inlineStr">
        <is>
          <t>Shampoo Unisex Anticaspa Clear Caida Control 400 Ml</t>
        </is>
      </c>
      <c r="E1336" s="2" t="inlineStr">
        <is>
          <t>CLEAR</t>
        </is>
      </c>
      <c r="F1336" s="2" t="n">
        <v>87.09</v>
      </c>
      <c r="G1336" s="2" t="n">
        <v>7198</v>
      </c>
      <c r="H1336" s="2" t="b">
        <v>0</v>
      </c>
      <c r="I1336" s="2" t="n">
        <v>400</v>
      </c>
      <c r="J1336" s="2" t="n">
        <v>0.2177</v>
      </c>
      <c r="K1336" s="2" t="inlineStr">
        <is>
          <t>&gt; Perfumería &gt; Cuidado Capilar &gt; Shampoo &gt;</t>
        </is>
      </c>
      <c r="L1336" s="2" t="inlineStr">
        <is>
          <t>shampoo</t>
        </is>
      </c>
      <c r="M1336" s="2" t="inlineStr">
        <is>
          <t>estandar</t>
        </is>
      </c>
      <c r="N1336" s="2" t="inlineStr">
        <is>
          <t>anticaspa</t>
        </is>
      </c>
      <c r="O1336" s="2" t="inlineStr">
        <is>
          <t>https://www.jumbo.com.ar/shampoo-anticaspa-clear-unisex-x-400ml-2/p</t>
        </is>
      </c>
    </row>
    <row r="1337">
      <c r="A1337" t="inlineStr">
        <is>
          <t>Jumbo</t>
        </is>
      </c>
      <c r="B1337" t="n">
        <v>25422</v>
      </c>
      <c r="C1337" t="n">
        <v>22582</v>
      </c>
      <c r="D1337" t="inlineStr">
        <is>
          <t>Shampoo Unisex Anticaspa Clear Caida Defense 400 Ml</t>
        </is>
      </c>
      <c r="E1337" t="inlineStr">
        <is>
          <t>CLEAR</t>
        </is>
      </c>
      <c r="F1337" t="n">
        <v>87.09</v>
      </c>
      <c r="G1337" t="n">
        <v>7198</v>
      </c>
      <c r="H1337" t="b">
        <v>0</v>
      </c>
      <c r="I1337" t="n">
        <v>400</v>
      </c>
      <c r="J1337" t="n">
        <v>0.2177</v>
      </c>
      <c r="K1337" t="inlineStr">
        <is>
          <t>&gt; Perfumería &gt; Cuidado Capilar &gt; Shampoo &gt;</t>
        </is>
      </c>
      <c r="L1337" t="inlineStr">
        <is>
          <t>shampoo</t>
        </is>
      </c>
      <c r="M1337" t="inlineStr">
        <is>
          <t>estandar</t>
        </is>
      </c>
      <c r="N1337" t="inlineStr">
        <is>
          <t>anticaspa</t>
        </is>
      </c>
      <c r="O1337" t="inlineStr">
        <is>
          <t>https://www.jumbo.com.ar/shampoo-anticaspa-clear-unisex-x-400-ml/p</t>
        </is>
      </c>
    </row>
    <row r="1338">
      <c r="A1338" s="2" t="inlineStr">
        <is>
          <t>Jumbo</t>
        </is>
      </c>
      <c r="B1338" s="2" t="n">
        <v>59973</v>
      </c>
      <c r="C1338" s="2" t="n">
        <v>57123</v>
      </c>
      <c r="D1338" s="2" t="inlineStr">
        <is>
          <t>Shampoo Triatop Anticaspa Uso Diario X 240 Ml.</t>
        </is>
      </c>
      <c r="E1338" s="2" t="inlineStr">
        <is>
          <t>TRIATOP</t>
        </is>
      </c>
      <c r="F1338" s="2" t="n">
        <v>23.77</v>
      </c>
      <c r="G1338" s="2" t="n">
        <v>23.77</v>
      </c>
      <c r="H1338" s="2" t="b">
        <v>0</v>
      </c>
      <c r="I1338" s="2" t="n">
        <v>240</v>
      </c>
      <c r="J1338" s="2" t="n">
        <v>0.099</v>
      </c>
      <c r="K1338" s="2" t="inlineStr">
        <is>
          <t>&gt; Perfumería &gt; Cuidado Capilar &gt; Shampoo &gt;</t>
        </is>
      </c>
      <c r="L1338" s="2" t="inlineStr">
        <is>
          <t>shampoo</t>
        </is>
      </c>
      <c r="M1338" s="2" t="inlineStr">
        <is>
          <t>estandar</t>
        </is>
      </c>
      <c r="N1338" s="2" t="inlineStr">
        <is>
          <t>anticaspa</t>
        </is>
      </c>
      <c r="O1338" s="2" t="inlineStr">
        <is>
          <t>https://www.jumbo.com.ar/shampoo-triatop-anticaspa-uso-diario-x-240-ml/p</t>
        </is>
      </c>
    </row>
    <row r="1339">
      <c r="A1339" t="inlineStr">
        <is>
          <t>Jumbo</t>
        </is>
      </c>
      <c r="B1339" t="n">
        <v>30592</v>
      </c>
      <c r="C1339" t="n">
        <v>27751</v>
      </c>
      <c r="D1339" t="inlineStr">
        <is>
          <t>Shampoo Unisex Anticaspa Clear Crecimiento Fuerza 400 Ml</t>
        </is>
      </c>
      <c r="E1339" t="inlineStr">
        <is>
          <t>CLEAR</t>
        </is>
      </c>
      <c r="F1339" t="n">
        <v>87.09</v>
      </c>
      <c r="G1339" t="n">
        <v>7198</v>
      </c>
      <c r="H1339" t="b">
        <v>0</v>
      </c>
      <c r="I1339" t="n">
        <v>400</v>
      </c>
      <c r="J1339" t="n">
        <v>0.2177</v>
      </c>
      <c r="K1339" t="inlineStr">
        <is>
          <t>&gt; Perfumería &gt; Cuidado Capilar &gt; Shampoo &gt;</t>
        </is>
      </c>
      <c r="L1339" t="inlineStr">
        <is>
          <t>shampoo</t>
        </is>
      </c>
      <c r="M1339" t="inlineStr">
        <is>
          <t>estandar</t>
        </is>
      </c>
      <c r="N1339" t="inlineStr">
        <is>
          <t>anticaspa</t>
        </is>
      </c>
      <c r="O1339" t="inlineStr">
        <is>
          <t>https://www.jumbo.com.ar/shampoo-anticaspa-clear-unisex-x-400ml-4/p</t>
        </is>
      </c>
    </row>
    <row r="1340">
      <c r="A1340" s="2" t="inlineStr">
        <is>
          <t>Jumbo</t>
        </is>
      </c>
      <c r="B1340" s="2" t="n">
        <v>20007</v>
      </c>
      <c r="C1340" s="2" t="n">
        <v>17178</v>
      </c>
      <c r="D1340" s="2" t="inlineStr">
        <is>
          <t>Shampoo Unisex Anticaspa Clear Caida Control 200 Ml</t>
        </is>
      </c>
      <c r="E1340" s="2" t="inlineStr">
        <is>
          <t>CLEAR</t>
        </is>
      </c>
      <c r="F1340" s="2" t="n">
        <v>45.89</v>
      </c>
      <c r="G1340" s="2" t="n">
        <v>3793</v>
      </c>
      <c r="H1340" s="2" t="b">
        <v>0</v>
      </c>
      <c r="I1340" s="2" t="n">
        <v>200</v>
      </c>
      <c r="J1340" s="2" t="n">
        <v>0.2295</v>
      </c>
      <c r="K1340" s="2" t="inlineStr">
        <is>
          <t>&gt; Perfumería &gt; Cuidado Capilar &gt; Shampoo &gt;</t>
        </is>
      </c>
      <c r="L1340" s="2" t="inlineStr">
        <is>
          <t>shampoo</t>
        </is>
      </c>
      <c r="M1340" s="2" t="inlineStr">
        <is>
          <t>estandar</t>
        </is>
      </c>
      <c r="N1340" s="2" t="inlineStr">
        <is>
          <t>anticaspa</t>
        </is>
      </c>
      <c r="O1340" s="2" t="inlineStr">
        <is>
          <t>https://www.jumbo.com.ar/shampoo-anticaspa-clear-unisex-x-200ml-3/p</t>
        </is>
      </c>
    </row>
    <row r="1341">
      <c r="A1341" t="inlineStr">
        <is>
          <t>Jumbo</t>
        </is>
      </c>
      <c r="B1341" t="n">
        <v>20004</v>
      </c>
      <c r="C1341" t="n">
        <v>17175</v>
      </c>
      <c r="D1341" t="inlineStr">
        <is>
          <t>Shampoo Unisex Anticaspa Clear Caida Defense 200 Ml</t>
        </is>
      </c>
      <c r="E1341" t="inlineStr">
        <is>
          <t>CLEAR</t>
        </is>
      </c>
      <c r="F1341" t="n">
        <v>45.89</v>
      </c>
      <c r="G1341" t="n">
        <v>3793</v>
      </c>
      <c r="H1341" t="b">
        <v>0</v>
      </c>
      <c r="I1341" t="n">
        <v>200</v>
      </c>
      <c r="J1341" t="n">
        <v>0.2295</v>
      </c>
      <c r="K1341" t="inlineStr">
        <is>
          <t>&gt; Perfumería &gt; Cuidado Capilar &gt; Shampoo &gt;</t>
        </is>
      </c>
      <c r="L1341" t="inlineStr">
        <is>
          <t>shampoo</t>
        </is>
      </c>
      <c r="M1341" t="inlineStr">
        <is>
          <t>estandar</t>
        </is>
      </c>
      <c r="N1341" t="inlineStr">
        <is>
          <t>anticaspa</t>
        </is>
      </c>
      <c r="O1341" t="inlineStr">
        <is>
          <t>https://www.jumbo.com.ar/shampoo-anticaspa-clear-unisex-x-200ml/p</t>
        </is>
      </c>
    </row>
    <row r="1342">
      <c r="A1342" s="2" t="inlineStr">
        <is>
          <t>Jumbo</t>
        </is>
      </c>
      <c r="B1342" s="2" t="n">
        <v>25420</v>
      </c>
      <c r="C1342" s="2" t="n">
        <v>22580</v>
      </c>
      <c r="D1342" s="2" t="inlineStr">
        <is>
          <t>Shampoo Anticaspa Clear Unisex X 200 Ml-ice Cool Menthol-nueva Presentación-pvc-ml.-200</t>
        </is>
      </c>
      <c r="E1342" s="2" t="inlineStr">
        <is>
          <t>CLEAR</t>
        </is>
      </c>
      <c r="F1342" s="2" t="n">
        <v>45.89</v>
      </c>
      <c r="G1342" s="2" t="n">
        <v>3793</v>
      </c>
      <c r="H1342" s="2" t="b">
        <v>0</v>
      </c>
      <c r="I1342" s="2" t="n">
        <v>200</v>
      </c>
      <c r="J1342" s="2" t="n">
        <v>0.2295</v>
      </c>
      <c r="K1342" s="2" t="inlineStr">
        <is>
          <t>&gt; Perfumería &gt; Cuidado Capilar &gt; Shampoo &gt;</t>
        </is>
      </c>
      <c r="L1342" s="2" t="inlineStr">
        <is>
          <t>shampoo</t>
        </is>
      </c>
      <c r="M1342" s="2" t="inlineStr">
        <is>
          <t>estandar</t>
        </is>
      </c>
      <c r="N1342" s="2" t="inlineStr">
        <is>
          <t>anticaspa</t>
        </is>
      </c>
      <c r="O1342" s="2" t="inlineStr">
        <is>
          <t>https://www.jumbo.com.ar/shampoo-anticaspa-clear-unisex-x-200-ml/p</t>
        </is>
      </c>
    </row>
    <row r="1343">
      <c r="A1343" t="inlineStr">
        <is>
          <t>Jumbo</t>
        </is>
      </c>
      <c r="B1343" t="n">
        <v>59996</v>
      </c>
      <c r="C1343" t="n">
        <v>57146</v>
      </c>
      <c r="D1343" t="inlineStr">
        <is>
          <t>Shampoo Triatop Anticaspa Cabello Normal A Seco X 240 Ml.</t>
        </is>
      </c>
      <c r="E1343" t="inlineStr">
        <is>
          <t>TRIATOP</t>
        </is>
      </c>
      <c r="F1343" t="n">
        <v>23.77</v>
      </c>
      <c r="G1343" t="n">
        <v>23.77</v>
      </c>
      <c r="H1343" t="b">
        <v>0</v>
      </c>
      <c r="I1343" t="n">
        <v>240</v>
      </c>
      <c r="J1343" t="n">
        <v>0.099</v>
      </c>
      <c r="K1343" t="inlineStr">
        <is>
          <t>&gt; Perfumería &gt; Cuidado Capilar &gt; Shampoo &gt;</t>
        </is>
      </c>
      <c r="L1343" t="inlineStr">
        <is>
          <t>shampoo</t>
        </is>
      </c>
      <c r="M1343" t="inlineStr">
        <is>
          <t>estandar</t>
        </is>
      </c>
      <c r="N1343" t="inlineStr">
        <is>
          <t>anticaspa</t>
        </is>
      </c>
      <c r="O1343" t="inlineStr">
        <is>
          <t>https://www.jumbo.com.ar/shampoo-triatop-anticaspa-cabello-normal-a-seco-x-240-ml/p</t>
        </is>
      </c>
    </row>
    <row r="1344">
      <c r="A1344" s="2" t="inlineStr">
        <is>
          <t>Jumbo</t>
        </is>
      </c>
      <c r="B1344" s="2" t="n">
        <v>25904</v>
      </c>
      <c r="C1344" s="2" t="n">
        <v>23064</v>
      </c>
      <c r="D1344" s="2" t="inlineStr">
        <is>
          <t>Shampoo Unisex Anticaspa Clear Ice Cool Menthol 400 Ml</t>
        </is>
      </c>
      <c r="E1344" s="2" t="inlineStr">
        <is>
          <t>CLEAR</t>
        </is>
      </c>
      <c r="F1344" s="2" t="n">
        <v>87.09</v>
      </c>
      <c r="G1344" s="2" t="n">
        <v>7198</v>
      </c>
      <c r="H1344" s="2" t="b">
        <v>0</v>
      </c>
      <c r="I1344" s="2" t="n">
        <v>400</v>
      </c>
      <c r="J1344" s="2" t="n">
        <v>0.2177</v>
      </c>
      <c r="K1344" s="2" t="inlineStr">
        <is>
          <t>&gt; Perfumería &gt; Cuidado Capilar &gt; Shampoo &gt;</t>
        </is>
      </c>
      <c r="L1344" s="2" t="inlineStr">
        <is>
          <t>shampoo</t>
        </is>
      </c>
      <c r="M1344" s="2" t="inlineStr">
        <is>
          <t>estandar</t>
        </is>
      </c>
      <c r="N1344" s="2" t="inlineStr">
        <is>
          <t>anticaspa</t>
        </is>
      </c>
      <c r="O1344" s="2" t="inlineStr">
        <is>
          <t>https://www.jumbo.com.ar/shampoo-anticaspa-clear-unisex-x-400ml-3/p</t>
        </is>
      </c>
    </row>
    <row r="1345">
      <c r="A1345" t="inlineStr">
        <is>
          <t>Jumbo</t>
        </is>
      </c>
      <c r="B1345" t="n">
        <v>20005</v>
      </c>
      <c r="C1345" t="n">
        <v>17176</v>
      </c>
      <c r="D1345" t="inlineStr">
        <is>
          <t>Shampoo Unisex Anticaspa Clear Suavidad Y Brillo 200 Ml</t>
        </is>
      </c>
      <c r="E1345" t="inlineStr">
        <is>
          <t>CLEAR</t>
        </is>
      </c>
      <c r="F1345" t="n">
        <v>45.89</v>
      </c>
      <c r="G1345" t="n">
        <v>3793</v>
      </c>
      <c r="H1345" t="b">
        <v>0</v>
      </c>
      <c r="I1345" t="n">
        <v>200</v>
      </c>
      <c r="J1345" t="n">
        <v>0.2295</v>
      </c>
      <c r="K1345" t="inlineStr">
        <is>
          <t>&gt; Perfumería &gt; Cuidado Capilar &gt; Shampoo &gt;</t>
        </is>
      </c>
      <c r="L1345" t="inlineStr">
        <is>
          <t>shampoo</t>
        </is>
      </c>
      <c r="M1345" t="inlineStr">
        <is>
          <t>estandar</t>
        </is>
      </c>
      <c r="N1345" t="inlineStr">
        <is>
          <t>anticaspa</t>
        </is>
      </c>
      <c r="O1345" t="inlineStr">
        <is>
          <t>https://www.jumbo.com.ar/shampoo-anticaspa-clear-unisex-x-200ml-2/p</t>
        </is>
      </c>
    </row>
    <row r="1346">
      <c r="A1346" s="2" t="inlineStr">
        <is>
          <t>Jumbo</t>
        </is>
      </c>
      <c r="B1346" s="2" t="n">
        <v>59995</v>
      </c>
      <c r="C1346" s="2" t="n">
        <v>57145</v>
      </c>
      <c r="D1346" s="2" t="inlineStr">
        <is>
          <t>Shampoo Triatop Anticaspa Cabello Normal A Graso X 240 Ml.</t>
        </is>
      </c>
      <c r="E1346" s="2" t="inlineStr">
        <is>
          <t>TRIATOP</t>
        </is>
      </c>
      <c r="F1346" s="2" t="n">
        <v>23.77</v>
      </c>
      <c r="G1346" s="2" t="n">
        <v>23.77</v>
      </c>
      <c r="H1346" s="2" t="b">
        <v>0</v>
      </c>
      <c r="I1346" s="2" t="n">
        <v>240</v>
      </c>
      <c r="J1346" s="2" t="n">
        <v>0.099</v>
      </c>
      <c r="K1346" s="2" t="inlineStr">
        <is>
          <t>&gt; Perfumería &gt; Cuidado Capilar &gt; Shampoo &gt;</t>
        </is>
      </c>
      <c r="L1346" s="2" t="inlineStr">
        <is>
          <t>shampoo</t>
        </is>
      </c>
      <c r="M1346" s="2" t="inlineStr">
        <is>
          <t>estandar</t>
        </is>
      </c>
      <c r="N1346" s="2" t="inlineStr">
        <is>
          <t>anticaspa</t>
        </is>
      </c>
      <c r="O1346" s="2" t="inlineStr">
        <is>
          <t>https://www.jumbo.com.ar/shampoo-triatop-anticaspa-cabello-normal-a-graso-x-240-ml/p</t>
        </is>
      </c>
    </row>
    <row r="1347">
      <c r="A1347" t="inlineStr">
        <is>
          <t>Jumbo</t>
        </is>
      </c>
      <c r="B1347" t="n">
        <v>25421</v>
      </c>
      <c r="C1347" t="n">
        <v>22581</v>
      </c>
      <c r="D1347" t="inlineStr">
        <is>
          <t>Shampoo Unisex Anticaspa Clear Suavidad Y Brillo 400 Ml</t>
        </is>
      </c>
      <c r="E1347" t="inlineStr">
        <is>
          <t>CLEAR</t>
        </is>
      </c>
      <c r="F1347" t="n">
        <v>87.09</v>
      </c>
      <c r="G1347" t="n">
        <v>7198</v>
      </c>
      <c r="H1347" t="b">
        <v>0</v>
      </c>
      <c r="I1347" t="n">
        <v>400</v>
      </c>
      <c r="J1347" t="n">
        <v>0.2177</v>
      </c>
      <c r="K1347" t="inlineStr">
        <is>
          <t>&gt; Perfumería &gt; Cuidado Capilar &gt; Shampoo &gt;</t>
        </is>
      </c>
      <c r="L1347" t="inlineStr">
        <is>
          <t>shampoo</t>
        </is>
      </c>
      <c r="M1347" t="inlineStr">
        <is>
          <t>estandar</t>
        </is>
      </c>
      <c r="N1347" t="inlineStr">
        <is>
          <t>anticaspa</t>
        </is>
      </c>
      <c r="O1347" t="inlineStr">
        <is>
          <t>https://www.jumbo.com.ar/shampoo-anticaspa-clear-unisex-x-400ml/p</t>
        </is>
      </c>
    </row>
    <row r="1348">
      <c r="A1348" s="2" t="inlineStr">
        <is>
          <t>Jumbo</t>
        </is>
      </c>
      <c r="B1348" s="2" t="n">
        <v>210656</v>
      </c>
      <c r="C1348" s="2" t="n">
        <v>234353</v>
      </c>
      <c r="D1348" s="2" t="inlineStr">
        <is>
          <t>Shampoo Anticaspa  Head &amp; Shoulders X 2 Un-prot. Caída   X 400 Ml-+ Acond. Prot. Caída   X 400 Ml-bl</t>
        </is>
      </c>
      <c r="E1348" s="2" t="inlineStr">
        <is>
          <t>HEAD &amp; SHOULDERS</t>
        </is>
      </c>
      <c r="F1348" s="2" t="n">
        <v>30.33</v>
      </c>
      <c r="G1348" s="2" t="n">
        <v>30.33</v>
      </c>
      <c r="H1348" s="2" t="b">
        <v>0</v>
      </c>
      <c r="I1348" s="2" t="n">
        <v>400</v>
      </c>
      <c r="J1348" s="2" t="n">
        <v>0.07580000000000001</v>
      </c>
      <c r="K1348" s="2" t="inlineStr">
        <is>
          <t>&gt; Perfumería &gt; Cuidado Capilar &gt; Shampoo &gt;</t>
        </is>
      </c>
      <c r="L1348" s="2" t="inlineStr">
        <is>
          <t>shampoo</t>
        </is>
      </c>
      <c r="M1348" s="2" t="inlineStr">
        <is>
          <t>estandar</t>
        </is>
      </c>
      <c r="N1348" s="2" t="inlineStr">
        <is>
          <t>anticaspa</t>
        </is>
      </c>
      <c r="O1348" s="2" t="inlineStr">
        <is>
          <t>https://www.jumbo.com.ar/shampoo-anticaspa-head-shoulders-x-2-un-2-352330/p</t>
        </is>
      </c>
    </row>
    <row r="1349">
      <c r="A1349" t="inlineStr">
        <is>
          <t>Jumbo</t>
        </is>
      </c>
      <c r="B1349" t="n">
        <v>210669</v>
      </c>
      <c r="C1349" t="n">
        <v>234387</v>
      </c>
      <c r="D1349" t="inlineStr">
        <is>
          <t>Shampoo Anticaspa Head &amp; Shoulders X 2 Un-liso Y Sedoso X400ml-+ Acond. Liso  Sedoso X 400 Ml-bli-un</t>
        </is>
      </c>
      <c r="E1349" t="inlineStr">
        <is>
          <t>HEAD &amp; SHOULDERS</t>
        </is>
      </c>
      <c r="F1349" t="n">
        <v>30.33</v>
      </c>
      <c r="G1349" t="n">
        <v>30.33</v>
      </c>
      <c r="H1349" t="b">
        <v>0</v>
      </c>
      <c r="I1349" t="n">
        <v>400</v>
      </c>
      <c r="J1349" t="n">
        <v>0.07580000000000001</v>
      </c>
      <c r="K1349" t="inlineStr">
        <is>
          <t>&gt; Perfumería &gt; Cuidado Capilar &gt; Shampoo &gt;</t>
        </is>
      </c>
      <c r="L1349" t="inlineStr">
        <is>
          <t>shampoo</t>
        </is>
      </c>
      <c r="M1349" t="inlineStr">
        <is>
          <t>estandar</t>
        </is>
      </c>
      <c r="N1349" t="inlineStr">
        <is>
          <t>anticaspa</t>
        </is>
      </c>
      <c r="O1349" t="inlineStr">
        <is>
          <t>https://www.jumbo.com.ar/shampoo-anticaspa-head-shoulders-x-2-un-3-352332/p</t>
        </is>
      </c>
    </row>
    <row r="1350">
      <c r="A1350" s="2" t="inlineStr">
        <is>
          <t>Jumbo</t>
        </is>
      </c>
      <c r="B1350" s="2" t="n">
        <v>70785</v>
      </c>
      <c r="C1350" s="2" t="n">
        <v>67921</v>
      </c>
      <c r="D1350" s="2" t="inlineStr">
        <is>
          <t>Head &amp; Shoulders Shampoo Humecta 700ml</t>
        </is>
      </c>
      <c r="E1350" s="2" t="inlineStr">
        <is>
          <t>HEAD &amp; SHOULDERS</t>
        </is>
      </c>
      <c r="F1350" s="2" t="n">
        <v>43.19</v>
      </c>
      <c r="G1350" s="2" t="n">
        <v>43.19</v>
      </c>
      <c r="H1350" s="2" t="b">
        <v>0</v>
      </c>
      <c r="I1350" s="2" t="n">
        <v>700</v>
      </c>
      <c r="J1350" s="2" t="n">
        <v>0.0617</v>
      </c>
      <c r="K1350" s="2" t="inlineStr">
        <is>
          <t>&gt; Perfumería &gt; Cuidado Capilar &gt; Shampoo &gt;</t>
        </is>
      </c>
      <c r="L1350" s="2" t="inlineStr">
        <is>
          <t>shampoo</t>
        </is>
      </c>
      <c r="M1350" s="2" t="inlineStr">
        <is>
          <t>estandar</t>
        </is>
      </c>
      <c r="N1350" s="2" t="inlineStr">
        <is>
          <t>general</t>
        </is>
      </c>
      <c r="O1350" s="2" t="inlineStr">
        <is>
          <t>https://www.jumbo.com.ar/head-shoulders-shampoo-humecta-700ml/p</t>
        </is>
      </c>
    </row>
    <row r="1351">
      <c r="A1351" t="inlineStr">
        <is>
          <t>Jumbo</t>
        </is>
      </c>
      <c r="B1351" t="n">
        <v>248099</v>
      </c>
      <c r="C1351" t="n">
        <v>244782</v>
      </c>
      <c r="D1351" t="inlineStr">
        <is>
          <t>Shampoo Clear Men Caida Control X 400ml</t>
        </is>
      </c>
      <c r="E1351" t="inlineStr">
        <is>
          <t>CLEAR</t>
        </is>
      </c>
      <c r="F1351" t="n">
        <v>9950</v>
      </c>
      <c r="G1351" t="n">
        <v>822314</v>
      </c>
      <c r="H1351" t="b">
        <v>0</v>
      </c>
      <c r="I1351" t="n">
        <v>400</v>
      </c>
      <c r="J1351" t="n">
        <v>24.875</v>
      </c>
      <c r="K1351" t="inlineStr">
        <is>
          <t>&gt; Perfumería &gt; Cuidado Capilar &gt; Shampoo &gt;</t>
        </is>
      </c>
      <c r="L1351" t="inlineStr">
        <is>
          <t>shampoo</t>
        </is>
      </c>
      <c r="M1351" t="inlineStr">
        <is>
          <t>estandar</t>
        </is>
      </c>
      <c r="N1351" t="inlineStr">
        <is>
          <t>general</t>
        </is>
      </c>
      <c r="O1351" t="inlineStr">
        <is>
          <t>https://www.jumbo.com.ar/shampoo-clear-men-caida-control-x-400ml/p</t>
        </is>
      </c>
    </row>
    <row r="1352">
      <c r="A1352" s="2" t="inlineStr">
        <is>
          <t>Jumbo</t>
        </is>
      </c>
      <c r="B1352" s="2" t="n">
        <v>248102</v>
      </c>
      <c r="C1352" s="2" t="n">
        <v>244785</v>
      </c>
      <c r="D1352" s="2" t="inlineStr">
        <is>
          <t>Shampoo Clear Men Caida Control X 200ml</t>
        </is>
      </c>
      <c r="E1352" s="2" t="inlineStr">
        <is>
          <t>CLEAR</t>
        </is>
      </c>
      <c r="F1352" s="2" t="n">
        <v>4600</v>
      </c>
      <c r="G1352" s="2" t="n">
        <v>380165</v>
      </c>
      <c r="H1352" s="2" t="b">
        <v>0</v>
      </c>
      <c r="I1352" s="2" t="n">
        <v>200</v>
      </c>
      <c r="J1352" s="2" t="n">
        <v>23</v>
      </c>
      <c r="K1352" s="2" t="inlineStr">
        <is>
          <t>&gt; Perfumería &gt; Cuidado Capilar &gt; Shampoo &gt;</t>
        </is>
      </c>
      <c r="L1352" s="2" t="inlineStr">
        <is>
          <t>shampoo</t>
        </is>
      </c>
      <c r="M1352" s="2" t="inlineStr">
        <is>
          <t>estandar</t>
        </is>
      </c>
      <c r="N1352" s="2" t="inlineStr">
        <is>
          <t>general</t>
        </is>
      </c>
      <c r="O1352" s="2" t="inlineStr">
        <is>
          <t>https://www.jumbo.com.ar/shampoo-clear-men-caida-control-x-200ml/p</t>
        </is>
      </c>
    </row>
    <row r="1353">
      <c r="A1353" t="inlineStr">
        <is>
          <t>Jumbo</t>
        </is>
      </c>
      <c r="B1353" t="n">
        <v>248101</v>
      </c>
      <c r="C1353" t="n">
        <v>244784</v>
      </c>
      <c r="D1353" t="inlineStr">
        <is>
          <t>Shampoo Clear Women S&amp;b X 400ml</t>
        </is>
      </c>
      <c r="E1353" t="inlineStr">
        <is>
          <t>CLEAR</t>
        </is>
      </c>
      <c r="F1353" t="n">
        <v>209.19</v>
      </c>
      <c r="G1353" t="n">
        <v>17288</v>
      </c>
      <c r="H1353" t="b">
        <v>0</v>
      </c>
      <c r="I1353" t="n">
        <v>400</v>
      </c>
      <c r="J1353" t="n">
        <v>0.523</v>
      </c>
      <c r="K1353" t="inlineStr">
        <is>
          <t>&gt; Perfumería &gt; Cuidado Capilar &gt; Shampoo &gt;</t>
        </is>
      </c>
      <c r="L1353" t="inlineStr">
        <is>
          <t>shampoo</t>
        </is>
      </c>
      <c r="M1353" t="inlineStr">
        <is>
          <t>estandar</t>
        </is>
      </c>
      <c r="N1353" t="inlineStr">
        <is>
          <t>general</t>
        </is>
      </c>
      <c r="O1353" t="inlineStr">
        <is>
          <t>https://www.jumbo.com.ar/shampoo-clear-women-s-b-x-400ml/p</t>
        </is>
      </c>
    </row>
    <row r="1354">
      <c r="A1354" s="2" t="inlineStr">
        <is>
          <t>Jumbo</t>
        </is>
      </c>
      <c r="B1354" s="2" t="n">
        <v>248098</v>
      </c>
      <c r="C1354" s="2" t="n">
        <v>244781</v>
      </c>
      <c r="D1354" s="2" t="inlineStr">
        <is>
          <t>Shampoo Clear Women S&amp;b 200 Ml</t>
        </is>
      </c>
      <c r="E1354" s="2" t="inlineStr">
        <is>
          <t>CLEAR</t>
        </is>
      </c>
      <c r="F1354" s="2" t="n">
        <v>126.39</v>
      </c>
      <c r="G1354" s="2" t="n">
        <v>10445</v>
      </c>
      <c r="H1354" s="2" t="b">
        <v>0</v>
      </c>
      <c r="I1354" s="2" t="n">
        <v>200</v>
      </c>
      <c r="J1354" s="2" t="n">
        <v>0.632</v>
      </c>
      <c r="K1354" s="2" t="inlineStr">
        <is>
          <t>&gt; Perfumería &gt; Cuidado Capilar &gt; Shampoo &gt;</t>
        </is>
      </c>
      <c r="L1354" s="2" t="inlineStr">
        <is>
          <t>shampoo</t>
        </is>
      </c>
      <c r="M1354" s="2" t="inlineStr">
        <is>
          <t>estandar</t>
        </is>
      </c>
      <c r="N1354" s="2" t="inlineStr">
        <is>
          <t>general</t>
        </is>
      </c>
      <c r="O1354" s="2" t="inlineStr">
        <is>
          <t>https://www.jumbo.com.ar/shampoo-clear-women-s-b-200-ml/p</t>
        </is>
      </c>
    </row>
    <row r="1355">
      <c r="A1355" t="inlineStr">
        <is>
          <t>Jumbo</t>
        </is>
      </c>
      <c r="B1355" t="n">
        <v>248105</v>
      </c>
      <c r="C1355" t="n">
        <v>244788</v>
      </c>
      <c r="D1355" t="inlineStr">
        <is>
          <t>Shampoo Clear Women Caida Defense X 400ml</t>
        </is>
      </c>
      <c r="E1355" t="inlineStr">
        <is>
          <t>CLEAR</t>
        </is>
      </c>
      <c r="F1355" t="n">
        <v>232.88</v>
      </c>
      <c r="G1355" t="n">
        <v>232.88</v>
      </c>
      <c r="H1355" t="b">
        <v>0</v>
      </c>
      <c r="I1355" t="n">
        <v>400</v>
      </c>
      <c r="J1355" t="n">
        <v>0.5822000000000001</v>
      </c>
      <c r="K1355" t="inlineStr">
        <is>
          <t>&gt; Perfumería &gt; Cuidado Capilar &gt; Shampoo &gt;</t>
        </is>
      </c>
      <c r="L1355" t="inlineStr">
        <is>
          <t>shampoo</t>
        </is>
      </c>
      <c r="M1355" t="inlineStr">
        <is>
          <t>estandar</t>
        </is>
      </c>
      <c r="N1355" t="inlineStr">
        <is>
          <t>general</t>
        </is>
      </c>
      <c r="O1355" t="inlineStr">
        <is>
          <t>https://www.jumbo.com.ar/shampoo-clear-women-caida-defense-x-400ml/p</t>
        </is>
      </c>
    </row>
    <row r="1356">
      <c r="A1356" s="2" t="inlineStr">
        <is>
          <t>Jumbo</t>
        </is>
      </c>
      <c r="B1356" s="2" t="n">
        <v>248104</v>
      </c>
      <c r="C1356" s="2" t="n">
        <v>244787</v>
      </c>
      <c r="D1356" s="2" t="inlineStr">
        <is>
          <t>Shampoo Clear Women Caida Defense X 200ml</t>
        </is>
      </c>
      <c r="E1356" s="2" t="inlineStr">
        <is>
          <t>CLEAR</t>
        </is>
      </c>
      <c r="F1356" s="2" t="n">
        <v>143.87</v>
      </c>
      <c r="G1356" s="2" t="n">
        <v>143.87</v>
      </c>
      <c r="H1356" s="2" t="b">
        <v>0</v>
      </c>
      <c r="I1356" s="2" t="n">
        <v>200</v>
      </c>
      <c r="J1356" s="2" t="n">
        <v>0.7194</v>
      </c>
      <c r="K1356" s="2" t="inlineStr">
        <is>
          <t>&gt; Perfumería &gt; Cuidado Capilar &gt; Shampoo &gt;</t>
        </is>
      </c>
      <c r="L1356" s="2" t="inlineStr">
        <is>
          <t>shampoo</t>
        </is>
      </c>
      <c r="M1356" s="2" t="inlineStr">
        <is>
          <t>estandar</t>
        </is>
      </c>
      <c r="N1356" s="2" t="inlineStr">
        <is>
          <t>general</t>
        </is>
      </c>
      <c r="O1356" s="2" t="inlineStr">
        <is>
          <t>https://www.jumbo.com.ar/shampoo-clear-women-caida-defense-x-200ml/p</t>
        </is>
      </c>
    </row>
    <row r="1357">
      <c r="A1357" t="inlineStr">
        <is>
          <t>Jumbo</t>
        </is>
      </c>
      <c r="B1357" t="n">
        <v>248103</v>
      </c>
      <c r="C1357" t="n">
        <v>244786</v>
      </c>
      <c r="D1357" t="inlineStr">
        <is>
          <t>Shampoo Clear Men Dual Effect 2en1 X 200ml</t>
        </is>
      </c>
      <c r="E1357" t="inlineStr">
        <is>
          <t>CLEAR</t>
        </is>
      </c>
      <c r="F1357" t="n">
        <v>126.39</v>
      </c>
      <c r="G1357" t="n">
        <v>10445</v>
      </c>
      <c r="H1357" t="b">
        <v>0</v>
      </c>
      <c r="I1357" t="n">
        <v>200</v>
      </c>
      <c r="J1357" t="n">
        <v>0.632</v>
      </c>
      <c r="K1357" t="inlineStr">
        <is>
          <t>&gt; Perfumería &gt; Cuidado Capilar &gt; Shampoo &gt;</t>
        </is>
      </c>
      <c r="L1357" t="inlineStr">
        <is>
          <t>shampoo</t>
        </is>
      </c>
      <c r="M1357" t="inlineStr">
        <is>
          <t>estandar</t>
        </is>
      </c>
      <c r="N1357" t="inlineStr">
        <is>
          <t>general</t>
        </is>
      </c>
      <c r="O1357" t="inlineStr">
        <is>
          <t>https://www.jumbo.com.ar/shampoo-clear-men-dual-effect-2en1-x-200ml/p</t>
        </is>
      </c>
    </row>
    <row r="1358">
      <c r="A1358" s="2" t="inlineStr">
        <is>
          <t>Jumbo</t>
        </is>
      </c>
      <c r="B1358" s="2" t="n">
        <v>248100</v>
      </c>
      <c r="C1358" s="2" t="n">
        <v>244783</v>
      </c>
      <c r="D1358" s="2" t="inlineStr">
        <is>
          <t>Shampoo Clear Men Dual Effect 2en1 X 400ml</t>
        </is>
      </c>
      <c r="E1358" s="2" t="inlineStr">
        <is>
          <t>CLEAR</t>
        </is>
      </c>
      <c r="F1358" s="2" t="n">
        <v>9950</v>
      </c>
      <c r="G1358" s="2" t="n">
        <v>822314</v>
      </c>
      <c r="H1358" s="2" t="b">
        <v>0</v>
      </c>
      <c r="I1358" s="2" t="n">
        <v>400</v>
      </c>
      <c r="J1358" s="2" t="n">
        <v>24.875</v>
      </c>
      <c r="K1358" s="2" t="inlineStr">
        <is>
          <t>&gt; Perfumería &gt; Cuidado Capilar &gt; Shampoo &gt;</t>
        </is>
      </c>
      <c r="L1358" s="2" t="inlineStr">
        <is>
          <t>shampoo</t>
        </is>
      </c>
      <c r="M1358" s="2" t="inlineStr">
        <is>
          <t>estandar</t>
        </is>
      </c>
      <c r="N1358" s="2" t="inlineStr">
        <is>
          <t>general</t>
        </is>
      </c>
      <c r="O1358" s="2" t="inlineStr">
        <is>
          <t>https://www.jumbo.com.ar/shampoo-clear-men-dual-effect-2en1-x-400ml/p</t>
        </is>
      </c>
    </row>
    <row r="1359">
      <c r="A1359" t="inlineStr">
        <is>
          <t>Jumbo</t>
        </is>
      </c>
      <c r="B1359" t="n">
        <v>248109</v>
      </c>
      <c r="C1359" t="n">
        <v>244792</v>
      </c>
      <c r="D1359" t="inlineStr">
        <is>
          <t>Shampoo Clear Men Ice Cool Menthol X 200ml</t>
        </is>
      </c>
      <c r="E1359" t="inlineStr">
        <is>
          <t>CLEAR</t>
        </is>
      </c>
      <c r="F1359" t="n">
        <v>126.39</v>
      </c>
      <c r="G1359" t="n">
        <v>10445</v>
      </c>
      <c r="H1359" t="b">
        <v>0</v>
      </c>
      <c r="I1359" t="n">
        <v>200</v>
      </c>
      <c r="J1359" t="n">
        <v>0.632</v>
      </c>
      <c r="K1359" t="inlineStr">
        <is>
          <t>&gt; Perfumería &gt; Cuidado Capilar &gt; Shampoo &gt;</t>
        </is>
      </c>
      <c r="L1359" t="inlineStr">
        <is>
          <t>shampoo</t>
        </is>
      </c>
      <c r="M1359" t="inlineStr">
        <is>
          <t>estandar</t>
        </is>
      </c>
      <c r="N1359" t="inlineStr">
        <is>
          <t>general</t>
        </is>
      </c>
      <c r="O1359" t="inlineStr">
        <is>
          <t>https://www.jumbo.com.ar/shampoo-clear-men-ice-cool-menthol-x-200ml/p</t>
        </is>
      </c>
    </row>
    <row r="1360">
      <c r="A1360" s="2" t="inlineStr">
        <is>
          <t>Jumbo</t>
        </is>
      </c>
      <c r="B1360" s="2" t="n">
        <v>248108</v>
      </c>
      <c r="C1360" s="2" t="n">
        <v>244791</v>
      </c>
      <c r="D1360" s="2" t="inlineStr">
        <is>
          <t>Shampoo Clear Men Ice Cool Menthol X 400ml</t>
        </is>
      </c>
      <c r="E1360" s="2" t="inlineStr">
        <is>
          <t>CLEAR</t>
        </is>
      </c>
      <c r="F1360" s="2" t="n">
        <v>209.19</v>
      </c>
      <c r="G1360" s="2" t="n">
        <v>17288</v>
      </c>
      <c r="H1360" s="2" t="b">
        <v>0</v>
      </c>
      <c r="I1360" s="2" t="n">
        <v>400</v>
      </c>
      <c r="J1360" s="2" t="n">
        <v>0.523</v>
      </c>
      <c r="K1360" s="2" t="inlineStr">
        <is>
          <t>&gt; Perfumería &gt; Cuidado Capilar &gt; Shampoo &gt;</t>
        </is>
      </c>
      <c r="L1360" s="2" t="inlineStr">
        <is>
          <t>shampoo</t>
        </is>
      </c>
      <c r="M1360" s="2" t="inlineStr">
        <is>
          <t>estandar</t>
        </is>
      </c>
      <c r="N1360" s="2" t="inlineStr">
        <is>
          <t>general</t>
        </is>
      </c>
      <c r="O1360" s="2" t="inlineStr">
        <is>
          <t>https://www.jumbo.com.ar/shampoo-clear-men-ice-cool-menthol-x-400ml/p</t>
        </is>
      </c>
    </row>
    <row r="1361">
      <c r="A1361" t="inlineStr">
        <is>
          <t>Jumbo</t>
        </is>
      </c>
      <c r="B1361" t="n">
        <v>47293</v>
      </c>
      <c r="C1361" t="n">
        <v>44458</v>
      </c>
      <c r="D1361" t="inlineStr">
        <is>
          <t>Shampoo Ma Evans Argan 400 Ml</t>
        </is>
      </c>
      <c r="E1361" t="inlineStr">
        <is>
          <t>MA EVANS</t>
        </is>
      </c>
      <c r="F1361" t="n">
        <v>91.47</v>
      </c>
      <c r="G1361" t="n">
        <v>7560</v>
      </c>
      <c r="H1361" t="b">
        <v>0</v>
      </c>
      <c r="I1361" t="n">
        <v>400</v>
      </c>
      <c r="J1361" t="n">
        <v>0.2287</v>
      </c>
      <c r="K1361" t="inlineStr">
        <is>
          <t>&gt; Perfumería &gt; Cuidado Capilar &gt; Shampoo &gt;</t>
        </is>
      </c>
      <c r="L1361" t="inlineStr">
        <is>
          <t>shampoo</t>
        </is>
      </c>
      <c r="M1361" t="inlineStr">
        <is>
          <t>estandar</t>
        </is>
      </c>
      <c r="N1361" t="inlineStr">
        <is>
          <t>general</t>
        </is>
      </c>
      <c r="O1361" t="inlineStr">
        <is>
          <t>https://www.jumbo.com.ar/shampoo-ma-evans-argan-400-ml/p</t>
        </is>
      </c>
    </row>
    <row r="1362">
      <c r="A1362" s="2" t="inlineStr">
        <is>
          <t>Jumbo</t>
        </is>
      </c>
      <c r="B1362" s="2" t="n">
        <v>25776</v>
      </c>
      <c r="C1362" s="2" t="n">
        <v>22936</v>
      </c>
      <c r="D1362" s="2" t="inlineStr">
        <is>
          <t>Shampoo Triatop Clinical 250ml</t>
        </is>
      </c>
      <c r="E1362" s="2" t="inlineStr">
        <is>
          <t>TRIATOP</t>
        </is>
      </c>
      <c r="F1362" s="2" t="n">
        <v>717.29</v>
      </c>
      <c r="G1362" s="2" t="n">
        <v>59280</v>
      </c>
      <c r="H1362" s="2" t="b">
        <v>0</v>
      </c>
      <c r="I1362" s="2" t="n">
        <v>250</v>
      </c>
      <c r="J1362" s="2" t="n">
        <v>2.8692</v>
      </c>
      <c r="K1362" s="2" t="inlineStr">
        <is>
          <t>&gt; Perfumería &gt; Cuidado Capilar &gt; Shampoo &gt;</t>
        </is>
      </c>
      <c r="L1362" s="2" t="inlineStr">
        <is>
          <t>shampoo</t>
        </is>
      </c>
      <c r="M1362" s="2" t="inlineStr">
        <is>
          <t>estandar</t>
        </is>
      </c>
      <c r="N1362" s="2" t="inlineStr">
        <is>
          <t>general</t>
        </is>
      </c>
      <c r="O1362" s="2" t="inlineStr">
        <is>
          <t>https://www.jumbo.com.ar/shampoo-triatop-clinical-250ml/p</t>
        </is>
      </c>
    </row>
    <row r="1363">
      <c r="A1363" t="inlineStr">
        <is>
          <t>Jumbo</t>
        </is>
      </c>
      <c r="B1363" t="n">
        <v>40755</v>
      </c>
      <c r="C1363" t="n">
        <v>37920</v>
      </c>
      <c r="D1363" t="inlineStr">
        <is>
          <t>Shampoo Triatop Clinical 120ml</t>
        </is>
      </c>
      <c r="E1363" t="inlineStr">
        <is>
          <t>TRIATOP</t>
        </is>
      </c>
      <c r="F1363" t="n">
        <v>352.67</v>
      </c>
      <c r="G1363" t="n">
        <v>29146</v>
      </c>
      <c r="H1363" t="b">
        <v>0</v>
      </c>
      <c r="I1363" t="n">
        <v>120</v>
      </c>
      <c r="J1363" t="n">
        <v>2.9389</v>
      </c>
      <c r="K1363" t="inlineStr">
        <is>
          <t>&gt; Perfumería &gt; Cuidado Capilar &gt; Shampoo &gt;</t>
        </is>
      </c>
      <c r="L1363" t="inlineStr">
        <is>
          <t>shampoo</t>
        </is>
      </c>
      <c r="M1363" t="inlineStr">
        <is>
          <t>estandar</t>
        </is>
      </c>
      <c r="N1363" t="inlineStr">
        <is>
          <t>general</t>
        </is>
      </c>
      <c r="O1363" t="inlineStr">
        <is>
          <t>https://www.jumbo.com.ar/shampoo-triatop-clinical-120ml-2/p</t>
        </is>
      </c>
    </row>
    <row r="1364">
      <c r="A1364" s="2" t="inlineStr">
        <is>
          <t>Jumbo</t>
        </is>
      </c>
      <c r="B1364" s="2" t="n">
        <v>40762</v>
      </c>
      <c r="C1364" s="2" t="n">
        <v>37927</v>
      </c>
      <c r="D1364" s="2" t="inlineStr">
        <is>
          <t>Shampoo Triatop Clinical 120 Ml</t>
        </is>
      </c>
      <c r="E1364" s="2" t="inlineStr">
        <is>
          <t>TRIATOP</t>
        </is>
      </c>
      <c r="F1364" s="2" t="n">
        <v>241.5</v>
      </c>
      <c r="G1364" s="2" t="n">
        <v>241.5</v>
      </c>
      <c r="H1364" s="2" t="b">
        <v>0</v>
      </c>
      <c r="I1364" s="2" t="n">
        <v>120</v>
      </c>
      <c r="J1364" s="2" t="n">
        <v>2.0125</v>
      </c>
      <c r="K1364" s="2" t="inlineStr">
        <is>
          <t>&gt; Perfumería &gt; Cuidado Capilar &gt; Shampoo &gt;</t>
        </is>
      </c>
      <c r="L1364" s="2" t="inlineStr">
        <is>
          <t>shampoo</t>
        </is>
      </c>
      <c r="M1364" s="2" t="inlineStr">
        <is>
          <t>estandar</t>
        </is>
      </c>
      <c r="N1364" s="2" t="inlineStr">
        <is>
          <t>general</t>
        </is>
      </c>
      <c r="O1364" s="2" t="inlineStr">
        <is>
          <t>https://www.jumbo.com.ar/shampoo-triatop-clinical-120-ml-2/p</t>
        </is>
      </c>
    </row>
    <row r="1365">
      <c r="A1365" t="inlineStr">
        <is>
          <t>Jumbo</t>
        </is>
      </c>
      <c r="B1365" t="n">
        <v>17745</v>
      </c>
      <c r="C1365" t="n">
        <v>14864</v>
      </c>
      <c r="D1365" t="inlineStr">
        <is>
          <t>Shampoo Triatop Control Caspa Combate Intensivo 250 Ml</t>
        </is>
      </c>
      <c r="E1365" t="inlineStr">
        <is>
          <t>TRIATOP</t>
        </is>
      </c>
      <c r="F1365" t="n">
        <v>91.97</v>
      </c>
      <c r="G1365" t="n">
        <v>7601</v>
      </c>
      <c r="H1365" t="b">
        <v>0</v>
      </c>
      <c r="I1365" t="n">
        <v>250</v>
      </c>
      <c r="J1365" t="n">
        <v>0.3679</v>
      </c>
      <c r="K1365" t="inlineStr">
        <is>
          <t>&gt; Perfumería &gt; Cuidado Capilar &gt; Shampoo &gt;</t>
        </is>
      </c>
      <c r="L1365" t="inlineStr">
        <is>
          <t>shampoo</t>
        </is>
      </c>
      <c r="M1365" t="inlineStr">
        <is>
          <t>estandar</t>
        </is>
      </c>
      <c r="N1365" t="inlineStr">
        <is>
          <t>anticaspa</t>
        </is>
      </c>
      <c r="O1365" t="inlineStr">
        <is>
          <t>https://www.jumbo.com.ar/shampoo-triatop-control-caspa-combate-intensivo-250-ml/p</t>
        </is>
      </c>
    </row>
    <row r="1366">
      <c r="A1366" s="2" t="inlineStr">
        <is>
          <t>Jumbo</t>
        </is>
      </c>
      <c r="B1366" s="2" t="n">
        <v>295076</v>
      </c>
      <c r="C1366" s="2" t="n">
        <v>294306</v>
      </c>
      <c r="D1366" s="2" t="inlineStr">
        <is>
          <t>Shampoo Head &amp; Shoulders Purificación Capilar Carbón Activado 700 Ml</t>
        </is>
      </c>
      <c r="E1366" s="2" t="inlineStr">
        <is>
          <t>HEAD &amp; SHOULDERS</t>
        </is>
      </c>
      <c r="F1366" s="2" t="n">
        <v>598.9299999999999</v>
      </c>
      <c r="G1366" s="2" t="n">
        <v>49498</v>
      </c>
      <c r="H1366" s="2" t="b">
        <v>0</v>
      </c>
      <c r="I1366" s="2" t="n">
        <v>700</v>
      </c>
      <c r="J1366" s="2" t="n">
        <v>0.8556</v>
      </c>
      <c r="K1366" s="2" t="inlineStr">
        <is>
          <t>&gt; Perfumería &gt; Cuidado Capilar &gt; Shampoo &gt;</t>
        </is>
      </c>
      <c r="L1366" s="2" t="inlineStr">
        <is>
          <t>shampoo</t>
        </is>
      </c>
      <c r="M1366" s="2" t="inlineStr">
        <is>
          <t>estandar</t>
        </is>
      </c>
      <c r="N1366" s="2" t="inlineStr">
        <is>
          <t>general</t>
        </is>
      </c>
      <c r="O1366" s="2" t="inlineStr">
        <is>
          <t>https://www.jumbo.com.ar/shampoo-head-shoulders-purificacion-capilar-carbon-activado-700-ml/p</t>
        </is>
      </c>
    </row>
    <row r="1367">
      <c r="A1367" t="inlineStr">
        <is>
          <t>Jumbo</t>
        </is>
      </c>
      <c r="B1367" t="n">
        <v>9248</v>
      </c>
      <c r="C1367" t="n">
        <v>6534</v>
      </c>
      <c r="D1367" t="inlineStr">
        <is>
          <t>Shampoo Dove Caspa Control 200 Ml</t>
        </is>
      </c>
      <c r="E1367" t="inlineStr">
        <is>
          <t>DOVE</t>
        </is>
      </c>
      <c r="F1367" t="n">
        <v>191.59</v>
      </c>
      <c r="G1367" t="n">
        <v>15834</v>
      </c>
      <c r="H1367" t="b">
        <v>0</v>
      </c>
      <c r="I1367" t="n">
        <v>200</v>
      </c>
      <c r="J1367" t="n">
        <v>0.9579</v>
      </c>
      <c r="K1367" t="inlineStr">
        <is>
          <t>&gt; Perfumería &gt; Cuidado Capilar &gt; Shampoo &gt;</t>
        </is>
      </c>
      <c r="L1367" t="inlineStr">
        <is>
          <t>shampoo</t>
        </is>
      </c>
      <c r="M1367" t="inlineStr">
        <is>
          <t>estandar</t>
        </is>
      </c>
      <c r="N1367" t="inlineStr">
        <is>
          <t>anticaspa</t>
        </is>
      </c>
      <c r="O1367" t="inlineStr">
        <is>
          <t>https://www.jumbo.com.ar/shampoo-dove-7/p</t>
        </is>
      </c>
    </row>
    <row r="1368">
      <c r="A1368" s="2" t="inlineStr">
        <is>
          <t>Jumbo</t>
        </is>
      </c>
      <c r="B1368" s="2" t="n">
        <v>349086</v>
      </c>
      <c r="C1368" s="2" t="n">
        <v>347749</v>
      </c>
      <c r="D1368" s="2" t="inlineStr">
        <is>
          <t>Shampoo  Dove Men Caspa Control 200 Ml</t>
        </is>
      </c>
      <c r="E1368" s="2" t="inlineStr">
        <is>
          <t>DOVE</t>
        </is>
      </c>
      <c r="F1368" s="2" t="n">
        <v>3750</v>
      </c>
      <c r="G1368" s="2" t="n">
        <v>309917</v>
      </c>
      <c r="H1368" s="2" t="b">
        <v>0</v>
      </c>
      <c r="I1368" s="2" t="n">
        <v>200</v>
      </c>
      <c r="J1368" s="2" t="n">
        <v>18.75</v>
      </c>
      <c r="K1368" s="2" t="inlineStr">
        <is>
          <t>&gt; Perfumería &gt; Cuidado Capilar &gt; Shampoo &gt;</t>
        </is>
      </c>
      <c r="L1368" s="2" t="inlineStr">
        <is>
          <t>shampoo</t>
        </is>
      </c>
      <c r="M1368" s="2" t="inlineStr">
        <is>
          <t>estandar</t>
        </is>
      </c>
      <c r="N1368" s="2" t="inlineStr">
        <is>
          <t>anticaspa</t>
        </is>
      </c>
      <c r="O1368" s="2" t="inlineStr">
        <is>
          <t>https://www.jumbo.com.ar/shampoo-dove-men-caspa-control-200-ml/p</t>
        </is>
      </c>
    </row>
    <row r="1369">
      <c r="A1369" t="inlineStr">
        <is>
          <t>Jumbo</t>
        </is>
      </c>
      <c r="B1369" t="n">
        <v>40211</v>
      </c>
      <c r="C1369" t="n">
        <v>37377</v>
      </c>
      <c r="D1369" t="inlineStr">
        <is>
          <t>Shampoo Anti-caspa Arcilla Purificante Elvive L Oréal Paris 200 Ml</t>
        </is>
      </c>
      <c r="E1369" t="inlineStr">
        <is>
          <t>ELVIVE</t>
        </is>
      </c>
      <c r="F1369" t="n">
        <v>266.59</v>
      </c>
      <c r="G1369" t="n">
        <v>22032</v>
      </c>
      <c r="H1369" t="b">
        <v>0</v>
      </c>
      <c r="I1369" t="n">
        <v>200</v>
      </c>
      <c r="J1369" t="n">
        <v>1.3329</v>
      </c>
      <c r="K1369" t="inlineStr">
        <is>
          <t>&gt; Perfumería &gt; Cuidado Capilar &gt; Shampoo &gt;</t>
        </is>
      </c>
      <c r="L1369" t="inlineStr">
        <is>
          <t>shampoo</t>
        </is>
      </c>
      <c r="M1369" t="inlineStr">
        <is>
          <t>profesional</t>
        </is>
      </c>
      <c r="N1369" t="inlineStr">
        <is>
          <t>anticaspa</t>
        </is>
      </c>
      <c r="O1369" t="inlineStr">
        <is>
          <t>https://www.jumbo.com.ar/shampoo-anti-caspa-arcilla-purificante-elvive-l-oreal-paris-200-ml/p</t>
        </is>
      </c>
    </row>
    <row r="1370">
      <c r="A1370" s="2" t="inlineStr">
        <is>
          <t>Jumbo</t>
        </is>
      </c>
      <c r="B1370" s="2" t="n">
        <v>49793</v>
      </c>
      <c r="C1370" s="2" t="n">
        <v>46956</v>
      </c>
      <c r="D1370" s="2" t="inlineStr">
        <is>
          <t>Kit Keratina Ma Evans Brasileña Tratamiento 70 Ml</t>
        </is>
      </c>
      <c r="E1370" s="2" t="inlineStr">
        <is>
          <t>MA EVANS</t>
        </is>
      </c>
      <c r="F1370" s="2" t="n">
        <v>344.19</v>
      </c>
      <c r="G1370" s="2" t="n">
        <v>28445</v>
      </c>
      <c r="H1370" s="2" t="b">
        <v>0</v>
      </c>
      <c r="I1370" s="2" t="n">
        <v>70</v>
      </c>
      <c r="J1370" s="2" t="n">
        <v>4.917</v>
      </c>
      <c r="K1370" s="2" t="inlineStr">
        <is>
          <t>&gt; Perfumería &gt; Cuidado Capilar &gt; Reparación y Tratamientos &gt;</t>
        </is>
      </c>
      <c r="L1370" s="2" t="inlineStr">
        <is>
          <t>tratamiento</t>
        </is>
      </c>
      <c r="M1370" s="2" t="inlineStr">
        <is>
          <t>estandar</t>
        </is>
      </c>
      <c r="N1370" s="2" t="inlineStr">
        <is>
          <t>tratado</t>
        </is>
      </c>
      <c r="O1370" s="2" t="inlineStr">
        <is>
          <t>https://www.jumbo.com.ar/kit-keratina-ma-evans-brasilena-tratamiento-70-ml/p</t>
        </is>
      </c>
    </row>
    <row r="1371">
      <c r="A1371" t="inlineStr">
        <is>
          <t>Jumbo</t>
        </is>
      </c>
      <c r="B1371" t="n">
        <v>276491</v>
      </c>
      <c r="C1371" t="n">
        <v>275777</v>
      </c>
      <c r="D1371" t="inlineStr">
        <is>
          <t>Shampoo Seco Pantene Pro-v 140 G</t>
        </is>
      </c>
      <c r="E1371" t="inlineStr">
        <is>
          <t>PANTENE</t>
        </is>
      </c>
      <c r="F1371" t="n">
        <v>407.95</v>
      </c>
      <c r="G1371" t="n">
        <v>33715</v>
      </c>
      <c r="H1371" t="b">
        <v>0</v>
      </c>
      <c r="I1371" t="n">
        <v>140</v>
      </c>
      <c r="J1371" t="n">
        <v>2.9139</v>
      </c>
      <c r="K1371" t="inlineStr">
        <is>
          <t>&gt; Perfumería &gt; Cuidado Capilar &gt; Shampoo &gt;</t>
        </is>
      </c>
      <c r="L1371" t="inlineStr">
        <is>
          <t>shampoo</t>
        </is>
      </c>
      <c r="M1371" t="inlineStr">
        <is>
          <t>profesional</t>
        </is>
      </c>
      <c r="N1371" t="inlineStr">
        <is>
          <t>seco_danado</t>
        </is>
      </c>
      <c r="O1371" t="inlineStr">
        <is>
          <t>https://www.jumbo.com.ar/shampoo-seco-pantene-pro-v-140-g/p</t>
        </is>
      </c>
    </row>
    <row r="1372">
      <c r="A1372" s="2" t="inlineStr">
        <is>
          <t>Jumbo</t>
        </is>
      </c>
      <c r="B1372" s="2" t="n">
        <v>117143</v>
      </c>
      <c r="C1372" s="2" t="n">
        <v>116182</v>
      </c>
      <c r="D1372" s="2" t="inlineStr">
        <is>
          <t>Shampoo Capilatis Cabello Seco X 400 Ml.</t>
        </is>
      </c>
      <c r="E1372" s="2" t="inlineStr">
        <is>
          <t>CAPILATIS</t>
        </is>
      </c>
      <c r="F1372" s="2" t="n">
        <v>31.65</v>
      </c>
      <c r="G1372" s="2" t="n">
        <v>2616</v>
      </c>
      <c r="H1372" s="2" t="b">
        <v>0</v>
      </c>
      <c r="I1372" s="2" t="n">
        <v>400</v>
      </c>
      <c r="J1372" s="2" t="n">
        <v>0.0791</v>
      </c>
      <c r="K1372" s="2" t="inlineStr">
        <is>
          <t>&gt; Perfumería &gt; Cuidado Capilar &gt; Shampoo &gt;</t>
        </is>
      </c>
      <c r="L1372" s="2" t="inlineStr">
        <is>
          <t>shampoo</t>
        </is>
      </c>
      <c r="M1372" s="2" t="inlineStr">
        <is>
          <t>estandar</t>
        </is>
      </c>
      <c r="N1372" s="2" t="inlineStr">
        <is>
          <t>seco_danado</t>
        </is>
      </c>
      <c r="O1372" s="2" t="inlineStr">
        <is>
          <t>https://www.jumbo.com.ar/shampoo-capilatis-cabello-seco-x-400-ml/p</t>
        </is>
      </c>
    </row>
    <row r="1373">
      <c r="A1373" t="inlineStr">
        <is>
          <t>Jumbo</t>
        </is>
      </c>
      <c r="B1373" t="n">
        <v>1359652</v>
      </c>
      <c r="C1373" t="n">
        <v>1359495</v>
      </c>
      <c r="D1373" t="inlineStr">
        <is>
          <t>Shampoo Hidratación Cabello Seco Coconut Milk 385 Ml Ogx</t>
        </is>
      </c>
      <c r="E1373" t="inlineStr">
        <is>
          <t>OGX</t>
        </is>
      </c>
      <c r="F1373" t="n">
        <v>29950</v>
      </c>
      <c r="G1373" t="n">
        <v>2475207</v>
      </c>
      <c r="H1373" t="b">
        <v>0</v>
      </c>
      <c r="I1373" t="n">
        <v>385</v>
      </c>
      <c r="J1373" t="n">
        <v>77.79219999999999</v>
      </c>
      <c r="K1373" t="inlineStr">
        <is>
          <t>&gt; Perfumería &gt; Cuidado Capilar &gt; Shampoo &gt;</t>
        </is>
      </c>
      <c r="L1373" t="inlineStr">
        <is>
          <t>shampoo</t>
        </is>
      </c>
      <c r="M1373" t="inlineStr">
        <is>
          <t>estandar</t>
        </is>
      </c>
      <c r="N1373" t="inlineStr">
        <is>
          <t>seco_danado</t>
        </is>
      </c>
      <c r="O1373" t="inlineStr">
        <is>
          <t>https://www.jumbo.com.ar/shampoo-ogx-coconut-milk-385-ml-2/p</t>
        </is>
      </c>
    </row>
    <row r="1374">
      <c r="A1374" s="2" t="inlineStr">
        <is>
          <t>Jumbo</t>
        </is>
      </c>
      <c r="B1374" s="2" t="n">
        <v>411486</v>
      </c>
      <c r="C1374" s="2" t="n">
        <v>407304</v>
      </c>
      <c r="D1374" s="2" t="inlineStr">
        <is>
          <t>Shampoo Ortiga Concentrado para Cabello Seco 420 Ml Capilatis</t>
        </is>
      </c>
      <c r="E1374" s="2" t="inlineStr">
        <is>
          <t>CAPILATIS</t>
        </is>
      </c>
      <c r="F1374" s="2" t="n">
        <v>10400</v>
      </c>
      <c r="G1374" s="2" t="n">
        <v>859504</v>
      </c>
      <c r="H1374" s="2" t="b">
        <v>0</v>
      </c>
      <c r="I1374" s="2" t="n">
        <v>420</v>
      </c>
      <c r="J1374" s="2" t="n">
        <v>24.7619</v>
      </c>
      <c r="K1374" s="2" t="inlineStr">
        <is>
          <t>&gt; Perfumería &gt; Cuidado Capilar &gt; Shampoo &gt;</t>
        </is>
      </c>
      <c r="L1374" s="2" t="inlineStr">
        <is>
          <t>shampoo</t>
        </is>
      </c>
      <c r="M1374" s="2" t="inlineStr">
        <is>
          <t>estandar</t>
        </is>
      </c>
      <c r="N1374" s="2" t="inlineStr">
        <is>
          <t>seco_danado</t>
        </is>
      </c>
      <c r="O1374" s="2" t="inlineStr">
        <is>
          <t>https://www.jumbo.com.ar/shampoo-ortiga-seco-concentrado-420-ml-capilatis/p</t>
        </is>
      </c>
    </row>
    <row r="1375">
      <c r="A1375" t="inlineStr">
        <is>
          <t>Jumbo</t>
        </is>
      </c>
      <c r="B1375" t="n">
        <v>86114</v>
      </c>
      <c r="C1375" t="n">
        <v>83439</v>
      </c>
      <c r="D1375" t="inlineStr">
        <is>
          <t>Shampoo Capilatis Simple Y Puro Cabello Seco Y Dañado Pvc 300 Ml</t>
        </is>
      </c>
      <c r="E1375" t="inlineStr">
        <is>
          <t>CAPILATIS</t>
        </is>
      </c>
      <c r="F1375" t="n">
        <v>15</v>
      </c>
      <c r="G1375" t="n">
        <v>15</v>
      </c>
      <c r="H1375" t="b">
        <v>0</v>
      </c>
      <c r="I1375" t="n">
        <v>300</v>
      </c>
      <c r="J1375" t="n">
        <v>0.05</v>
      </c>
      <c r="K1375" t="inlineStr">
        <is>
          <t>&gt; Perfumería &gt; Cuidado Capilar &gt; Shampoo &gt;</t>
        </is>
      </c>
      <c r="L1375" t="inlineStr">
        <is>
          <t>shampoo</t>
        </is>
      </c>
      <c r="M1375" t="inlineStr">
        <is>
          <t>estandar</t>
        </is>
      </c>
      <c r="N1375" t="inlineStr">
        <is>
          <t>seco_danado</t>
        </is>
      </c>
      <c r="O1375" t="inlineStr">
        <is>
          <t>https://www.jumbo.com.ar/shampoo-capilatis-simple-y-puro-cabello-seco-y-danado-pvc-300-ml/p</t>
        </is>
      </c>
    </row>
    <row r="1376">
      <c r="A1376" s="2" t="inlineStr">
        <is>
          <t>Jumbo</t>
        </is>
      </c>
      <c r="B1376" s="2" t="n">
        <v>4703</v>
      </c>
      <c r="C1376" s="2" t="n">
        <v>2328</v>
      </c>
      <c r="D1376" s="2" t="inlineStr">
        <is>
          <t>Shampoo Capilatis Cabellos Secos 410 Ml</t>
        </is>
      </c>
      <c r="E1376" s="2" t="inlineStr">
        <is>
          <t>CAPILATIS</t>
        </is>
      </c>
      <c r="F1376" s="2" t="n">
        <v>1096.49</v>
      </c>
      <c r="G1376" s="2" t="n">
        <v>90619</v>
      </c>
      <c r="H1376" s="2" t="b">
        <v>0</v>
      </c>
      <c r="I1376" s="2" t="n">
        <v>410</v>
      </c>
      <c r="J1376" s="2" t="n">
        <v>2.6744</v>
      </c>
      <c r="K1376" s="2" t="inlineStr">
        <is>
          <t>&gt; Perfumería &gt; Cuidado Capilar &gt; Shampoo &gt;</t>
        </is>
      </c>
      <c r="L1376" s="2" t="inlineStr">
        <is>
          <t>shampoo</t>
        </is>
      </c>
      <c r="M1376" s="2" t="inlineStr">
        <is>
          <t>estandar</t>
        </is>
      </c>
      <c r="N1376" s="2" t="inlineStr">
        <is>
          <t>seco_danado</t>
        </is>
      </c>
      <c r="O1376" s="2" t="inlineStr">
        <is>
          <t>https://www.jumbo.com.ar/shampoo-capilatis-cabellos-secos-410-ml/p</t>
        </is>
      </c>
    </row>
    <row r="1377">
      <c r="A1377" t="inlineStr">
        <is>
          <t>Jumbo</t>
        </is>
      </c>
      <c r="B1377" t="n">
        <v>35702</v>
      </c>
      <c r="C1377" t="n">
        <v>32860</v>
      </c>
      <c r="D1377" t="inlineStr">
        <is>
          <t>Shampoo Capilatis Cabellos Secos 420 M L</t>
        </is>
      </c>
      <c r="E1377" t="inlineStr">
        <is>
          <t>CAPILATIS</t>
        </is>
      </c>
      <c r="F1377" t="n">
        <v>381.67</v>
      </c>
      <c r="G1377" t="n">
        <v>31543</v>
      </c>
      <c r="H1377" t="b">
        <v>0</v>
      </c>
      <c r="I1377" t="inlineStr"/>
      <c r="J1377" t="inlineStr"/>
      <c r="K1377" t="inlineStr">
        <is>
          <t>&gt; Perfumería &gt; Cuidado Capilar &gt; Shampoo &gt;</t>
        </is>
      </c>
      <c r="L1377" t="inlineStr">
        <is>
          <t>shampoo</t>
        </is>
      </c>
      <c r="M1377" t="inlineStr">
        <is>
          <t>estandar</t>
        </is>
      </c>
      <c r="N1377" t="inlineStr">
        <is>
          <t>seco_danado</t>
        </is>
      </c>
      <c r="O1377" t="inlineStr">
        <is>
          <t>https://www.jumbo.com.ar/shampoo-capilatis-20/p</t>
        </is>
      </c>
    </row>
    <row r="1378">
      <c r="A1378" s="2" t="inlineStr">
        <is>
          <t>Jumbo</t>
        </is>
      </c>
      <c r="B1378" s="2" t="n">
        <v>19665</v>
      </c>
      <c r="C1378" s="2" t="n">
        <v>16829</v>
      </c>
      <c r="D1378" s="2" t="inlineStr">
        <is>
          <t>Shampoo Sedal Crema Balance 650ml</t>
        </is>
      </c>
      <c r="E1378" s="2" t="inlineStr">
        <is>
          <t>SEDAL</t>
        </is>
      </c>
      <c r="F1378" s="2" t="n">
        <v>227.37</v>
      </c>
      <c r="G1378" s="2" t="n">
        <v>18791</v>
      </c>
      <c r="H1378" s="2" t="b">
        <v>0</v>
      </c>
      <c r="I1378" s="2" t="n">
        <v>650</v>
      </c>
      <c r="J1378" s="2" t="n">
        <v>0.3498</v>
      </c>
      <c r="K1378" s="2" t="inlineStr">
        <is>
          <t>&gt; Perfumería &gt; Cuidado Capilar &gt; Shampoo &gt;</t>
        </is>
      </c>
      <c r="L1378" s="2" t="inlineStr">
        <is>
          <t>shampoo</t>
        </is>
      </c>
      <c r="M1378" s="2" t="inlineStr">
        <is>
          <t>estandar</t>
        </is>
      </c>
      <c r="N1378" s="2" t="inlineStr">
        <is>
          <t>general</t>
        </is>
      </c>
      <c r="O1378" s="2" t="inlineStr">
        <is>
          <t>https://www.jumbo.com.ar/shampoo-sedal-crema-balance-650ml/p</t>
        </is>
      </c>
    </row>
    <row r="1379">
      <c r="A1379" t="inlineStr">
        <is>
          <t>Jumbo</t>
        </is>
      </c>
      <c r="B1379" t="n">
        <v>300012</v>
      </c>
      <c r="C1379" t="n">
        <v>299229</v>
      </c>
      <c r="D1379" t="inlineStr">
        <is>
          <t>Shampoo Tio Nacho Nutricion Verano Pelo Reseco</t>
        </is>
      </c>
      <c r="E1379" t="inlineStr">
        <is>
          <t>Tio Nacho</t>
        </is>
      </c>
      <c r="F1379" t="n">
        <v>287.87</v>
      </c>
      <c r="G1379" t="n">
        <v>23791</v>
      </c>
      <c r="H1379" t="b">
        <v>0</v>
      </c>
      <c r="I1379" t="inlineStr"/>
      <c r="J1379" t="inlineStr"/>
      <c r="K1379" t="inlineStr">
        <is>
          <t>&gt; Perfumería &gt; Cuidado Capilar &gt; Shampoo &gt;</t>
        </is>
      </c>
      <c r="L1379" t="inlineStr">
        <is>
          <t>shampoo</t>
        </is>
      </c>
      <c r="M1379" t="inlineStr">
        <is>
          <t>estandar</t>
        </is>
      </c>
      <c r="N1379" t="inlineStr">
        <is>
          <t>seco_danado</t>
        </is>
      </c>
      <c r="O1379" t="inlineStr">
        <is>
          <t>https://www.jumbo.com.ar/shampoo-tio-nacho-nutricion-verano-pelo-reseco/p</t>
        </is>
      </c>
    </row>
    <row r="1380">
      <c r="A1380" s="2" t="inlineStr">
        <is>
          <t>Jumbo</t>
        </is>
      </c>
      <c r="B1380" s="2" t="n">
        <v>19667</v>
      </c>
      <c r="C1380" s="2" t="n">
        <v>16832</v>
      </c>
      <c r="D1380" s="2" t="inlineStr">
        <is>
          <t>Shampoo Sedal Ceramidas 650ml</t>
        </is>
      </c>
      <c r="E1380" s="2" t="inlineStr">
        <is>
          <t>SEDAL</t>
        </is>
      </c>
      <c r="F1380" s="2" t="n">
        <v>246.25</v>
      </c>
      <c r="G1380" s="2" t="n">
        <v>20351</v>
      </c>
      <c r="H1380" s="2" t="b">
        <v>0</v>
      </c>
      <c r="I1380" s="2" t="n">
        <v>650</v>
      </c>
      <c r="J1380" s="2" t="n">
        <v>0.3788</v>
      </c>
      <c r="K1380" s="2" t="inlineStr">
        <is>
          <t>&gt; Perfumería &gt; Cuidado Capilar &gt; Shampoo &gt;</t>
        </is>
      </c>
      <c r="L1380" s="2" t="inlineStr">
        <is>
          <t>shampoo</t>
        </is>
      </c>
      <c r="M1380" s="2" t="inlineStr">
        <is>
          <t>estandar</t>
        </is>
      </c>
      <c r="N1380" s="2" t="inlineStr">
        <is>
          <t>general</t>
        </is>
      </c>
      <c r="O1380" s="2" t="inlineStr">
        <is>
          <t>https://www.jumbo.com.ar/shampoo-sedal-ceramidas-650ml/p</t>
        </is>
      </c>
    </row>
    <row r="1381">
      <c r="A1381" t="inlineStr">
        <is>
          <t>Jumbo</t>
        </is>
      </c>
      <c r="B1381" t="n">
        <v>19651</v>
      </c>
      <c r="C1381" t="n">
        <v>16813</v>
      </c>
      <c r="D1381" t="inlineStr">
        <is>
          <t>Shampoo Sedal Ceramidas 340ml</t>
        </is>
      </c>
      <c r="E1381" t="inlineStr">
        <is>
          <t>SEDAL SOS</t>
        </is>
      </c>
      <c r="F1381" t="n">
        <v>500</v>
      </c>
      <c r="G1381" t="n">
        <v>41322</v>
      </c>
      <c r="H1381" t="b">
        <v>0</v>
      </c>
      <c r="I1381" t="n">
        <v>340</v>
      </c>
      <c r="J1381" t="n">
        <v>1.4706</v>
      </c>
      <c r="K1381" t="inlineStr">
        <is>
          <t>&gt; Perfumería &gt; Cuidado Capilar &gt; Shampoo &gt;</t>
        </is>
      </c>
      <c r="L1381" t="inlineStr">
        <is>
          <t>shampoo</t>
        </is>
      </c>
      <c r="M1381" t="inlineStr">
        <is>
          <t>estandar</t>
        </is>
      </c>
      <c r="N1381" t="inlineStr">
        <is>
          <t>general</t>
        </is>
      </c>
      <c r="O1381" t="inlineStr">
        <is>
          <t>https://www.jumbo.com.ar/shampoo-sedal-ceramidas-340ml/p</t>
        </is>
      </c>
    </row>
    <row r="1382">
      <c r="A1382" s="2" t="inlineStr">
        <is>
          <t>Jumbo</t>
        </is>
      </c>
      <c r="B1382" s="2" t="n">
        <v>19516</v>
      </c>
      <c r="C1382" s="2" t="n">
        <v>16662</v>
      </c>
      <c r="D1382" s="2" t="inlineStr">
        <is>
          <t>Shampoo Tresemme Hidratación Profunda 200 Ml</t>
        </is>
      </c>
      <c r="E1382" s="2" t="inlineStr">
        <is>
          <t>TRESEMMÉ</t>
        </is>
      </c>
      <c r="F1382" s="2" t="n">
        <v>123.69</v>
      </c>
      <c r="G1382" s="2" t="n">
        <v>10222</v>
      </c>
      <c r="H1382" s="2" t="b">
        <v>0</v>
      </c>
      <c r="I1382" s="2" t="n">
        <v>200</v>
      </c>
      <c r="J1382" s="2" t="n">
        <v>0.6183999999999999</v>
      </c>
      <c r="K1382" s="2" t="inlineStr">
        <is>
          <t>&gt; Perfumería &gt; Cuidado Capilar &gt; Shampoo &gt;</t>
        </is>
      </c>
      <c r="L1382" s="2" t="inlineStr">
        <is>
          <t>shampoo</t>
        </is>
      </c>
      <c r="M1382" s="2" t="inlineStr">
        <is>
          <t>estandar</t>
        </is>
      </c>
      <c r="N1382" s="2" t="inlineStr">
        <is>
          <t>seco_danado</t>
        </is>
      </c>
      <c r="O1382" s="2" t="inlineStr">
        <is>
          <t>https://www.jumbo.com.ar/shampoo-tresemme-hidratacion-profunda-200-ml/p</t>
        </is>
      </c>
    </row>
    <row r="1383">
      <c r="A1383" t="inlineStr">
        <is>
          <t>Jumbo</t>
        </is>
      </c>
      <c r="B1383" t="n">
        <v>19512</v>
      </c>
      <c r="C1383" t="n">
        <v>16658</v>
      </c>
      <c r="D1383" t="inlineStr">
        <is>
          <t>Shampoo Tresemme Blind Platinum 200 Ml</t>
        </is>
      </c>
      <c r="E1383" t="inlineStr">
        <is>
          <t>TRESEMMÉ</t>
        </is>
      </c>
      <c r="F1383" t="n">
        <v>123.69</v>
      </c>
      <c r="G1383" t="n">
        <v>10222</v>
      </c>
      <c r="H1383" t="b">
        <v>0</v>
      </c>
      <c r="I1383" t="n">
        <v>200</v>
      </c>
      <c r="J1383" t="n">
        <v>0.6183999999999999</v>
      </c>
      <c r="K1383" t="inlineStr">
        <is>
          <t>&gt; Perfumería &gt; Cuidado Capilar &gt; Shampoo &gt;</t>
        </is>
      </c>
      <c r="L1383" t="inlineStr">
        <is>
          <t>shampoo</t>
        </is>
      </c>
      <c r="M1383" t="inlineStr">
        <is>
          <t>estandar</t>
        </is>
      </c>
      <c r="N1383" t="inlineStr">
        <is>
          <t>general</t>
        </is>
      </c>
      <c r="O1383" t="inlineStr">
        <is>
          <t>https://www.jumbo.com.ar/shampoo-tresemme-blind-platinum-200-ml/p</t>
        </is>
      </c>
    </row>
    <row r="1384">
      <c r="A1384" s="2" t="inlineStr">
        <is>
          <t>Jumbo</t>
        </is>
      </c>
      <c r="B1384" s="2" t="n">
        <v>19653</v>
      </c>
      <c r="C1384" s="2" t="n">
        <v>16816</v>
      </c>
      <c r="D1384" s="2" t="inlineStr">
        <is>
          <t>Shampoo Sedal Restauración Instantánea 340 Ml</t>
        </is>
      </c>
      <c r="E1384" s="2" t="inlineStr">
        <is>
          <t>SEDAL</t>
        </is>
      </c>
      <c r="F1384" s="2" t="n">
        <v>166.63</v>
      </c>
      <c r="G1384" s="2" t="n">
        <v>13771</v>
      </c>
      <c r="H1384" s="2" t="b">
        <v>0</v>
      </c>
      <c r="I1384" s="2" t="n">
        <v>340</v>
      </c>
      <c r="J1384" s="2" t="n">
        <v>0.4901</v>
      </c>
      <c r="K1384" s="2" t="inlineStr">
        <is>
          <t>&gt; Perfumería &gt; Cuidado Capilar &gt; Shampoo &gt;</t>
        </is>
      </c>
      <c r="L1384" s="2" t="inlineStr">
        <is>
          <t>shampoo</t>
        </is>
      </c>
      <c r="M1384" s="2" t="inlineStr">
        <is>
          <t>estandar</t>
        </is>
      </c>
      <c r="N1384" s="2" t="inlineStr">
        <is>
          <t>general</t>
        </is>
      </c>
      <c r="O1384" s="2" t="inlineStr">
        <is>
          <t>https://www.jumbo.com.ar/shampoo-sedal-restauracion-instantanea-340-ml/p</t>
        </is>
      </c>
    </row>
    <row r="1385">
      <c r="A1385" t="inlineStr">
        <is>
          <t>Jumbo</t>
        </is>
      </c>
      <c r="B1385" t="n">
        <v>47217</v>
      </c>
      <c r="C1385" t="n">
        <v>44382</v>
      </c>
      <c r="D1385" t="inlineStr">
        <is>
          <t>Shampoo Herbal Essences Daily Detox Hidratación 300 Ml</t>
        </is>
      </c>
      <c r="E1385" t="inlineStr">
        <is>
          <t>HERBAL ESSENCES</t>
        </is>
      </c>
      <c r="F1385" t="n">
        <v>157.69</v>
      </c>
      <c r="G1385" t="n">
        <v>13032</v>
      </c>
      <c r="H1385" t="b">
        <v>0</v>
      </c>
      <c r="I1385" t="n">
        <v>300</v>
      </c>
      <c r="J1385" t="n">
        <v>0.5256</v>
      </c>
      <c r="K1385" t="inlineStr">
        <is>
          <t>&gt; Perfumería &gt; Cuidado Capilar &gt; Shampoo &gt;</t>
        </is>
      </c>
      <c r="L1385" t="inlineStr">
        <is>
          <t>shampoo</t>
        </is>
      </c>
      <c r="M1385" t="inlineStr">
        <is>
          <t>estandar</t>
        </is>
      </c>
      <c r="N1385" t="inlineStr">
        <is>
          <t>seco_danado</t>
        </is>
      </c>
      <c r="O1385" t="inlineStr">
        <is>
          <t>https://www.jumbo.com.ar/shampoo-herbal-essences-daily-detox-hidratacion-300-ml/p</t>
        </is>
      </c>
    </row>
    <row r="1386">
      <c r="A1386" s="2" t="inlineStr">
        <is>
          <t>Jumbo</t>
        </is>
      </c>
      <c r="B1386" s="2" t="n">
        <v>46981</v>
      </c>
      <c r="C1386" s="2" t="n">
        <v>44145</v>
      </c>
      <c r="D1386" s="2" t="inlineStr">
        <is>
          <t>Shampoo Pantene Pro-v Hidratación 200 Ml</t>
        </is>
      </c>
      <c r="E1386" s="2" t="inlineStr">
        <is>
          <t>PANTENE</t>
        </is>
      </c>
      <c r="F1386" s="2" t="n">
        <v>173.39</v>
      </c>
      <c r="G1386" s="2" t="n">
        <v>14330</v>
      </c>
      <c r="H1386" s="2" t="b">
        <v>0</v>
      </c>
      <c r="I1386" s="2" t="n">
        <v>200</v>
      </c>
      <c r="J1386" s="2" t="n">
        <v>0.8669</v>
      </c>
      <c r="K1386" s="2" t="inlineStr">
        <is>
          <t>&gt; Perfumería &gt; Cuidado Capilar &gt; Shampoo &gt;</t>
        </is>
      </c>
      <c r="L1386" s="2" t="inlineStr">
        <is>
          <t>shampoo</t>
        </is>
      </c>
      <c r="M1386" s="2" t="inlineStr">
        <is>
          <t>profesional</t>
        </is>
      </c>
      <c r="N1386" s="2" t="inlineStr">
        <is>
          <t>seco_danado</t>
        </is>
      </c>
      <c r="O1386" s="2" t="inlineStr">
        <is>
          <t>https://www.jumbo.com.ar/shampoo-pantene-pro-v-hidratacion-200-ml-2/p</t>
        </is>
      </c>
    </row>
    <row r="1387">
      <c r="A1387" t="inlineStr">
        <is>
          <t>Jumbo</t>
        </is>
      </c>
      <c r="B1387" t="n">
        <v>47010</v>
      </c>
      <c r="C1387" t="n">
        <v>44174</v>
      </c>
      <c r="D1387" t="inlineStr">
        <is>
          <t>Shampoo Pantene Pro-v Hidratación 400 Ml</t>
        </is>
      </c>
      <c r="E1387" t="inlineStr">
        <is>
          <t>PANTENE</t>
        </is>
      </c>
      <c r="F1387" t="n">
        <v>189.89</v>
      </c>
      <c r="G1387" t="n">
        <v>15693</v>
      </c>
      <c r="H1387" t="b">
        <v>0</v>
      </c>
      <c r="I1387" t="n">
        <v>400</v>
      </c>
      <c r="J1387" t="n">
        <v>0.4747</v>
      </c>
      <c r="K1387" t="inlineStr">
        <is>
          <t>&gt; Perfumería &gt; Cuidado Capilar &gt; Shampoo &gt;</t>
        </is>
      </c>
      <c r="L1387" t="inlineStr">
        <is>
          <t>shampoo</t>
        </is>
      </c>
      <c r="M1387" t="inlineStr">
        <is>
          <t>profesional</t>
        </is>
      </c>
      <c r="N1387" t="inlineStr">
        <is>
          <t>seco_danado</t>
        </is>
      </c>
      <c r="O1387" t="inlineStr">
        <is>
          <t>https://www.jumbo.com.ar/shampoo-pantene-pro-v-hidratacion-400-ml/p</t>
        </is>
      </c>
    </row>
    <row r="1388">
      <c r="A1388" s="2" t="inlineStr">
        <is>
          <t>Jumbo</t>
        </is>
      </c>
      <c r="B1388" s="2" t="n">
        <v>19648</v>
      </c>
      <c r="C1388" s="2" t="n">
        <v>16810</v>
      </c>
      <c r="D1388" s="2" t="inlineStr">
        <is>
          <t>Shampoo Sedal Crema Balance 340ml</t>
        </is>
      </c>
      <c r="E1388" s="2" t="inlineStr">
        <is>
          <t>SEDAL</t>
        </is>
      </c>
      <c r="F1388" s="2" t="n">
        <v>500</v>
      </c>
      <c r="G1388" s="2" t="n">
        <v>41322</v>
      </c>
      <c r="H1388" s="2" t="b">
        <v>0</v>
      </c>
      <c r="I1388" s="2" t="n">
        <v>340</v>
      </c>
      <c r="J1388" s="2" t="n">
        <v>1.4706</v>
      </c>
      <c r="K1388" s="2" t="inlineStr">
        <is>
          <t>&gt; Perfumería &gt; Cuidado Capilar &gt; Shampoo &gt;</t>
        </is>
      </c>
      <c r="L1388" s="2" t="inlineStr">
        <is>
          <t>shampoo</t>
        </is>
      </c>
      <c r="M1388" s="2" t="inlineStr">
        <is>
          <t>estandar</t>
        </is>
      </c>
      <c r="N1388" s="2" t="inlineStr">
        <is>
          <t>general</t>
        </is>
      </c>
      <c r="O1388" s="2" t="inlineStr">
        <is>
          <t>https://www.jumbo.com.ar/shampoo-sedal-crema-balance-340ml/p</t>
        </is>
      </c>
    </row>
    <row r="1389">
      <c r="A1389" t="inlineStr">
        <is>
          <t>Jumbo</t>
        </is>
      </c>
      <c r="B1389" t="n">
        <v>295000</v>
      </c>
      <c r="C1389" t="n">
        <v>294231</v>
      </c>
      <c r="D1389" t="inlineStr">
        <is>
          <t>Shampoo Sedal Bomba Coco 650 Ml</t>
        </is>
      </c>
      <c r="E1389" t="inlineStr">
        <is>
          <t>SEDAL</t>
        </is>
      </c>
      <c r="F1389" t="n">
        <v>246.25</v>
      </c>
      <c r="G1389" t="n">
        <v>20351</v>
      </c>
      <c r="H1389" t="b">
        <v>0</v>
      </c>
      <c r="I1389" t="n">
        <v>650</v>
      </c>
      <c r="J1389" t="n">
        <v>0.3788</v>
      </c>
      <c r="K1389" t="inlineStr">
        <is>
          <t>&gt; Perfumería &gt; Cuidado Capilar &gt; Shampoo &gt;</t>
        </is>
      </c>
      <c r="L1389" t="inlineStr">
        <is>
          <t>shampoo</t>
        </is>
      </c>
      <c r="M1389" t="inlineStr">
        <is>
          <t>estandar</t>
        </is>
      </c>
      <c r="N1389" t="inlineStr">
        <is>
          <t>general</t>
        </is>
      </c>
      <c r="O1389" t="inlineStr">
        <is>
          <t>https://www.jumbo.com.ar/shampoo-sedal-bomba-coco-650-ml/p</t>
        </is>
      </c>
    </row>
    <row r="1390">
      <c r="A1390" s="2" t="inlineStr">
        <is>
          <t>Jumbo</t>
        </is>
      </c>
      <c r="B1390" s="2" t="n">
        <v>7416</v>
      </c>
      <c r="C1390" s="2" t="n">
        <v>4744</v>
      </c>
      <c r="D1390" s="2" t="inlineStr">
        <is>
          <t>Shampoo Pantene Pro-v Cuidado Clásico 200 Ml</t>
        </is>
      </c>
      <c r="E1390" s="2" t="inlineStr">
        <is>
          <t>PANTENE</t>
        </is>
      </c>
      <c r="F1390" s="2" t="n">
        <v>173.39</v>
      </c>
      <c r="G1390" s="2" t="n">
        <v>14330</v>
      </c>
      <c r="H1390" s="2" t="b">
        <v>0</v>
      </c>
      <c r="I1390" s="2" t="n">
        <v>200</v>
      </c>
      <c r="J1390" s="2" t="n">
        <v>0.8669</v>
      </c>
      <c r="K1390" s="2" t="inlineStr">
        <is>
          <t>&gt; Perfumería &gt; Cuidado Capilar &gt; Shampoo &gt;</t>
        </is>
      </c>
      <c r="L1390" s="2" t="inlineStr">
        <is>
          <t>shampoo</t>
        </is>
      </c>
      <c r="M1390" s="2" t="inlineStr">
        <is>
          <t>profesional</t>
        </is>
      </c>
      <c r="N1390" s="2" t="inlineStr">
        <is>
          <t>general</t>
        </is>
      </c>
      <c r="O1390" s="2" t="inlineStr">
        <is>
          <t>https://www.jumbo.com.ar/shampoo-pantene-pro-v-cuidado-clasico-200-ml/p</t>
        </is>
      </c>
    </row>
    <row r="1391">
      <c r="A1391" t="inlineStr">
        <is>
          <t>Jumbo</t>
        </is>
      </c>
      <c r="B1391" t="n">
        <v>19546</v>
      </c>
      <c r="C1391" t="n">
        <v>16703</v>
      </c>
      <c r="D1391" t="inlineStr">
        <is>
          <t>Shampoo Sedal Crema Balance 190 Ml</t>
        </is>
      </c>
      <c r="E1391" t="inlineStr">
        <is>
          <t>SEDAL</t>
        </is>
      </c>
      <c r="F1391" t="n">
        <v>166.17</v>
      </c>
      <c r="G1391" t="n">
        <v>13733</v>
      </c>
      <c r="H1391" t="b">
        <v>0</v>
      </c>
      <c r="I1391" t="n">
        <v>190</v>
      </c>
      <c r="J1391" t="n">
        <v>0.8746</v>
      </c>
      <c r="K1391" t="inlineStr">
        <is>
          <t>&gt; Perfumería &gt; Cuidado Capilar &gt; Shampoo &gt;</t>
        </is>
      </c>
      <c r="L1391" t="inlineStr">
        <is>
          <t>shampoo</t>
        </is>
      </c>
      <c r="M1391" t="inlineStr">
        <is>
          <t>estandar</t>
        </is>
      </c>
      <c r="N1391" t="inlineStr">
        <is>
          <t>general</t>
        </is>
      </c>
      <c r="O1391" t="inlineStr">
        <is>
          <t>https://www.jumbo.com.ar/shampoo-sedal-crema-balance-190-ml/p</t>
        </is>
      </c>
    </row>
    <row r="1392">
      <c r="A1392" s="2" t="inlineStr">
        <is>
          <t>Jumbo</t>
        </is>
      </c>
      <c r="B1392" s="2" t="n">
        <v>99139</v>
      </c>
      <c r="C1392" s="2" t="n">
        <v>96449</v>
      </c>
      <c r="D1392" s="2" t="inlineStr">
        <is>
          <t>Shampoo Suave Fruvit Energy Cabellos Secos Pet 350 Ml</t>
        </is>
      </c>
      <c r="E1392" s="2" t="inlineStr">
        <is>
          <t>SUAVE</t>
        </is>
      </c>
      <c r="F1392" s="2" t="n">
        <v>3.25</v>
      </c>
      <c r="G1392" s="2" t="n">
        <v>3.25</v>
      </c>
      <c r="H1392" s="2" t="b">
        <v>0</v>
      </c>
      <c r="I1392" s="2" t="n">
        <v>350</v>
      </c>
      <c r="J1392" s="2" t="n">
        <v>0.009299999999999999</v>
      </c>
      <c r="K1392" s="2" t="inlineStr">
        <is>
          <t>&gt; Perfumería &gt; Cuidado Capilar &gt; Shampoo &gt;</t>
        </is>
      </c>
      <c r="L1392" s="2" t="inlineStr">
        <is>
          <t>shampoo</t>
        </is>
      </c>
      <c r="M1392" s="2" t="inlineStr">
        <is>
          <t>estandar</t>
        </is>
      </c>
      <c r="N1392" s="2" t="inlineStr">
        <is>
          <t>seco_danado</t>
        </is>
      </c>
      <c r="O1392" s="2" t="inlineStr">
        <is>
          <t>https://www.jumbo.com.ar/shampoo-suave-fruvit-energy-cabellos-secos-pet-350-ml/p</t>
        </is>
      </c>
    </row>
    <row r="1393">
      <c r="A1393" t="inlineStr">
        <is>
          <t>Jumbo</t>
        </is>
      </c>
      <c r="B1393" t="n">
        <v>59504</v>
      </c>
      <c r="C1393" t="n">
        <v>56654</v>
      </c>
      <c r="D1393" t="inlineStr">
        <is>
          <t>Shampoo Dove Reconstrucción Completa 400 Ml</t>
        </is>
      </c>
      <c r="E1393" t="inlineStr">
        <is>
          <t>DOVE</t>
        </is>
      </c>
      <c r="F1393" t="n">
        <v>244.89</v>
      </c>
      <c r="G1393" t="n">
        <v>20239</v>
      </c>
      <c r="H1393" t="b">
        <v>0</v>
      </c>
      <c r="I1393" t="n">
        <v>400</v>
      </c>
      <c r="J1393" t="n">
        <v>0.6122</v>
      </c>
      <c r="K1393" t="inlineStr">
        <is>
          <t>&gt; Perfumería &gt; Cuidado Capilar &gt; Shampoo &gt;</t>
        </is>
      </c>
      <c r="L1393" t="inlineStr">
        <is>
          <t>shampoo</t>
        </is>
      </c>
      <c r="M1393" t="inlineStr">
        <is>
          <t>estandar</t>
        </is>
      </c>
      <c r="N1393" t="inlineStr">
        <is>
          <t>general</t>
        </is>
      </c>
      <c r="O1393" t="inlineStr">
        <is>
          <t>https://www.jumbo.com.ar/shampoo-dove-reconstruccion-completa-400-ml/p</t>
        </is>
      </c>
    </row>
    <row r="1394">
      <c r="A1394" s="2" t="inlineStr">
        <is>
          <t>Jumbo</t>
        </is>
      </c>
      <c r="B1394" s="2" t="n">
        <v>119598</v>
      </c>
      <c r="C1394" s="2" t="n">
        <v>118626</v>
      </c>
      <c r="D1394" s="2" t="inlineStr">
        <is>
          <t>Shampoo Dove Reconstrucción Completa 750 Ml</t>
        </is>
      </c>
      <c r="E1394" s="2" t="inlineStr">
        <is>
          <t>DOVE</t>
        </is>
      </c>
      <c r="F1394" s="2" t="n">
        <v>465.07</v>
      </c>
      <c r="G1394" s="2" t="n">
        <v>38436</v>
      </c>
      <c r="H1394" s="2" t="b">
        <v>0</v>
      </c>
      <c r="I1394" s="2" t="n">
        <v>750</v>
      </c>
      <c r="J1394" s="2" t="n">
        <v>0.6201</v>
      </c>
      <c r="K1394" s="2" t="inlineStr">
        <is>
          <t>&gt; Perfumería &gt; Cuidado Capilar &gt; Shampoo &gt;</t>
        </is>
      </c>
      <c r="L1394" s="2" t="inlineStr">
        <is>
          <t>shampoo</t>
        </is>
      </c>
      <c r="M1394" s="2" t="inlineStr">
        <is>
          <t>estandar</t>
        </is>
      </c>
      <c r="N1394" s="2" t="inlineStr">
        <is>
          <t>general</t>
        </is>
      </c>
      <c r="O1394" s="2" t="inlineStr">
        <is>
          <t>https://www.jumbo.com.ar/shampoo-dove-reconstruccion-completa-750-ml/p</t>
        </is>
      </c>
    </row>
    <row r="1395">
      <c r="A1395" t="inlineStr">
        <is>
          <t>Jumbo</t>
        </is>
      </c>
      <c r="B1395" t="n">
        <v>263641</v>
      </c>
      <c r="C1395" t="n">
        <v>263361</v>
      </c>
      <c r="D1395" t="inlineStr">
        <is>
          <t>Shampoo Dove Hidratación Intensa 200 Ml</t>
        </is>
      </c>
      <c r="E1395" t="inlineStr">
        <is>
          <t>DOVE</t>
        </is>
      </c>
      <c r="F1395" t="n">
        <v>192.79</v>
      </c>
      <c r="G1395" t="n">
        <v>15933</v>
      </c>
      <c r="H1395" t="b">
        <v>0</v>
      </c>
      <c r="I1395" t="n">
        <v>200</v>
      </c>
      <c r="J1395" t="n">
        <v>0.9639</v>
      </c>
      <c r="K1395" t="inlineStr">
        <is>
          <t>&gt; Perfumería &gt; Cuidado Capilar &gt; Shampoo &gt;</t>
        </is>
      </c>
      <c r="L1395" t="inlineStr">
        <is>
          <t>shampoo</t>
        </is>
      </c>
      <c r="M1395" t="inlineStr">
        <is>
          <t>estandar</t>
        </is>
      </c>
      <c r="N1395" t="inlineStr">
        <is>
          <t>seco_danado</t>
        </is>
      </c>
      <c r="O1395" t="inlineStr">
        <is>
          <t>https://www.jumbo.com.ar/shampoo-dove-hidratacion-intensa-200-ml/p</t>
        </is>
      </c>
    </row>
    <row r="1396">
      <c r="A1396" s="2" t="inlineStr">
        <is>
          <t>Jumbo</t>
        </is>
      </c>
      <c r="B1396" s="2" t="n">
        <v>45460</v>
      </c>
      <c r="C1396" s="2" t="n">
        <v>42635</v>
      </c>
      <c r="D1396" s="2" t="inlineStr">
        <is>
          <t>Shampoo Pantene Pro-v Summer Edition 200 Ml</t>
        </is>
      </c>
      <c r="E1396" s="2" t="inlineStr">
        <is>
          <t>PANTENE</t>
        </is>
      </c>
      <c r="F1396" s="2" t="n">
        <v>104.45</v>
      </c>
      <c r="G1396" s="2" t="n">
        <v>8632</v>
      </c>
      <c r="H1396" s="2" t="b">
        <v>0</v>
      </c>
      <c r="I1396" s="2" t="n">
        <v>200</v>
      </c>
      <c r="J1396" s="2" t="n">
        <v>0.5222</v>
      </c>
      <c r="K1396" s="2" t="inlineStr">
        <is>
          <t>&gt; Perfumería &gt; Cuidado Capilar &gt; Shampoo &gt;</t>
        </is>
      </c>
      <c r="L1396" s="2" t="inlineStr">
        <is>
          <t>shampoo</t>
        </is>
      </c>
      <c r="M1396" s="2" t="inlineStr">
        <is>
          <t>profesional</t>
        </is>
      </c>
      <c r="N1396" s="2" t="inlineStr">
        <is>
          <t>general</t>
        </is>
      </c>
      <c r="O1396" s="2" t="inlineStr">
        <is>
          <t>https://www.jumbo.com.ar/shampoo-pantene-pro-v-summer-edition-200-ml/p</t>
        </is>
      </c>
    </row>
    <row r="1397">
      <c r="A1397" t="inlineStr">
        <is>
          <t>Jumbo</t>
        </is>
      </c>
      <c r="B1397" t="n">
        <v>45472</v>
      </c>
      <c r="C1397" t="n">
        <v>42647</v>
      </c>
      <c r="D1397" t="inlineStr">
        <is>
          <t>Shampoo Pantene Pro-v Summer Edition 400 Ml</t>
        </is>
      </c>
      <c r="E1397" t="inlineStr">
        <is>
          <t>PANTENE</t>
        </is>
      </c>
      <c r="F1397" t="n">
        <v>202.19</v>
      </c>
      <c r="G1397" t="n">
        <v>16710</v>
      </c>
      <c r="H1397" t="b">
        <v>0</v>
      </c>
      <c r="I1397" t="n">
        <v>400</v>
      </c>
      <c r="J1397" t="n">
        <v>0.5054999999999999</v>
      </c>
      <c r="K1397" t="inlineStr">
        <is>
          <t>&gt; Perfumería &gt; Cuidado Capilar &gt; Shampoo &gt;</t>
        </is>
      </c>
      <c r="L1397" t="inlineStr">
        <is>
          <t>shampoo</t>
        </is>
      </c>
      <c r="M1397" t="inlineStr">
        <is>
          <t>profesional</t>
        </is>
      </c>
      <c r="N1397" t="inlineStr">
        <is>
          <t>general</t>
        </is>
      </c>
      <c r="O1397" t="inlineStr">
        <is>
          <t>https://www.jumbo.com.ar/shampoo-pantene-pro-v-summer-edition-400-ml/p</t>
        </is>
      </c>
    </row>
    <row r="1398">
      <c r="A1398" s="2" t="inlineStr">
        <is>
          <t>Jumbo</t>
        </is>
      </c>
      <c r="B1398" s="2" t="n">
        <v>19917</v>
      </c>
      <c r="C1398" s="2" t="n">
        <v>17088</v>
      </c>
      <c r="D1398" s="2" t="inlineStr">
        <is>
          <t>Shampoo Dove Ritual De Reparación Coco Y Cúrcuma 200 Ml</t>
        </is>
      </c>
      <c r="E1398" s="2" t="inlineStr">
        <is>
          <t>DOVE</t>
        </is>
      </c>
      <c r="F1398" s="2" t="n">
        <v>135.75</v>
      </c>
      <c r="G1398" s="2" t="n">
        <v>11219</v>
      </c>
      <c r="H1398" s="2" t="b">
        <v>0</v>
      </c>
      <c r="I1398" s="2" t="n">
        <v>200</v>
      </c>
      <c r="J1398" s="2" t="n">
        <v>0.6787</v>
      </c>
      <c r="K1398" s="2" t="inlineStr">
        <is>
          <t>&gt; Perfumería &gt; Cuidado Capilar &gt; Shampoo &gt;</t>
        </is>
      </c>
      <c r="L1398" s="2" t="inlineStr">
        <is>
          <t>shampoo</t>
        </is>
      </c>
      <c r="M1398" s="2" t="inlineStr">
        <is>
          <t>estandar</t>
        </is>
      </c>
      <c r="N1398" s="2" t="inlineStr">
        <is>
          <t>general</t>
        </is>
      </c>
      <c r="O1398" s="2" t="inlineStr">
        <is>
          <t>https://www.jumbo.com.ar/shampoo-dove-ritual-de-reparacion-coco-y-curcuma-200-ml/p</t>
        </is>
      </c>
    </row>
    <row r="1399">
      <c r="A1399" t="inlineStr">
        <is>
          <t>Jumbo</t>
        </is>
      </c>
      <c r="B1399" t="n">
        <v>276506</v>
      </c>
      <c r="C1399" t="n">
        <v>275792</v>
      </c>
      <c r="D1399" t="inlineStr">
        <is>
          <t>Shampoo Oleo Extraordinario X400ml Elvive Loreal Paris</t>
        </is>
      </c>
      <c r="E1399" t="inlineStr">
        <is>
          <t>ELVIVE</t>
        </is>
      </c>
      <c r="F1399" t="n">
        <v>644.0700000000001</v>
      </c>
      <c r="G1399" t="n">
        <v>53229</v>
      </c>
      <c r="H1399" t="b">
        <v>0</v>
      </c>
      <c r="I1399" t="n">
        <v>400</v>
      </c>
      <c r="J1399" t="n">
        <v>1.6102</v>
      </c>
      <c r="K1399" t="inlineStr">
        <is>
          <t>&gt; Perfumería &gt; Cuidado Capilar &gt; Shampoo &gt;</t>
        </is>
      </c>
      <c r="L1399" t="inlineStr">
        <is>
          <t>shampoo</t>
        </is>
      </c>
      <c r="M1399" t="inlineStr">
        <is>
          <t>profesional</t>
        </is>
      </c>
      <c r="N1399" t="inlineStr">
        <is>
          <t>general</t>
        </is>
      </c>
      <c r="O1399" t="inlineStr">
        <is>
          <t>https://www.jumbo.com.ar/shampoo-oleo-extraordinario-x400ml-elvive-loreal-paris/p</t>
        </is>
      </c>
    </row>
    <row r="1400">
      <c r="A1400" s="2" t="inlineStr">
        <is>
          <t>Jumbo</t>
        </is>
      </c>
      <c r="B1400" s="2" t="n">
        <v>7718</v>
      </c>
      <c r="C1400" s="2" t="n">
        <v>5043</v>
      </c>
      <c r="D1400" s="2" t="inlineStr">
        <is>
          <t>2en1 Pantene Pro-v Cuidado Clásico 400 Ml</t>
        </is>
      </c>
      <c r="E1400" s="2" t="inlineStr">
        <is>
          <t>PANTENE</t>
        </is>
      </c>
      <c r="F1400" s="2" t="n">
        <v>201.27</v>
      </c>
      <c r="G1400" s="2" t="n">
        <v>16634</v>
      </c>
      <c r="H1400" s="2" t="b">
        <v>0</v>
      </c>
      <c r="I1400" s="2" t="n">
        <v>400</v>
      </c>
      <c r="J1400" s="2" t="n">
        <v>0.5032</v>
      </c>
      <c r="K1400" s="2" t="inlineStr">
        <is>
          <t>&gt; Perfumería &gt; Cuidado Capilar &gt; Shampoo &gt;</t>
        </is>
      </c>
      <c r="L1400" s="2" t="inlineStr">
        <is>
          <t>shampoo</t>
        </is>
      </c>
      <c r="M1400" s="2" t="inlineStr">
        <is>
          <t>profesional</t>
        </is>
      </c>
      <c r="N1400" s="2" t="inlineStr">
        <is>
          <t>general</t>
        </is>
      </c>
      <c r="O1400" s="2" t="inlineStr">
        <is>
          <t>https://www.jumbo.com.ar/2en1-pantene-pro-v-cuidado-clasico-400-ml/p</t>
        </is>
      </c>
    </row>
    <row r="1401">
      <c r="A1401" t="inlineStr">
        <is>
          <t>Jumbo</t>
        </is>
      </c>
      <c r="B1401" t="n">
        <v>19518</v>
      </c>
      <c r="C1401" t="n">
        <v>16665</v>
      </c>
      <c r="D1401" t="inlineStr">
        <is>
          <t>Acondicionador Tresemme Blind Platinum 200 Ml</t>
        </is>
      </c>
      <c r="E1401" t="inlineStr">
        <is>
          <t>TRESEMMÉ</t>
        </is>
      </c>
      <c r="F1401" t="n">
        <v>123.69</v>
      </c>
      <c r="G1401" t="n">
        <v>10222</v>
      </c>
      <c r="H1401" t="b">
        <v>0</v>
      </c>
      <c r="I1401" t="n">
        <v>200</v>
      </c>
      <c r="J1401" t="n">
        <v>0.6183999999999999</v>
      </c>
      <c r="K1401" t="inlineStr">
        <is>
          <t>&gt; Perfumería &gt; Cuidado Capilar &gt; Acondicionador &gt;</t>
        </is>
      </c>
      <c r="L1401" t="inlineStr">
        <is>
          <t>acondicionador</t>
        </is>
      </c>
      <c r="M1401" t="inlineStr">
        <is>
          <t>estandar</t>
        </is>
      </c>
      <c r="N1401" t="inlineStr">
        <is>
          <t>general</t>
        </is>
      </c>
      <c r="O1401" t="inlineStr">
        <is>
          <t>https://www.jumbo.com.ar/acondicionador-tresemme-blind-platinum-200-ml/p</t>
        </is>
      </c>
    </row>
    <row r="1402">
      <c r="A1402" s="2" t="inlineStr">
        <is>
          <t>Jumbo</t>
        </is>
      </c>
      <c r="B1402" s="2" t="n">
        <v>27902</v>
      </c>
      <c r="C1402" s="2" t="n">
        <v>25061</v>
      </c>
      <c r="D1402" s="2" t="inlineStr">
        <is>
          <t>Crema De Tratamiento Dove Reconstruccion Extrema Crema Tratamiento Dove Reconstrucción Extrema 3 U</t>
        </is>
      </c>
      <c r="E1402" s="2" t="inlineStr">
        <is>
          <t>DOVE</t>
        </is>
      </c>
      <c r="F1402" s="2" t="n">
        <v>103.83</v>
      </c>
      <c r="G1402" s="2" t="n">
        <v>8581</v>
      </c>
      <c r="H1402" s="2" t="b">
        <v>0</v>
      </c>
      <c r="I1402" s="2" t="inlineStr"/>
      <c r="J1402" s="2" t="inlineStr"/>
      <c r="K1402" s="2" t="inlineStr">
        <is>
          <t>&gt; Perfumería &gt; Cuidado Capilar &gt; Reparación y Tratamientos &gt;</t>
        </is>
      </c>
      <c r="L1402" s="2" t="inlineStr">
        <is>
          <t>tratamiento</t>
        </is>
      </c>
      <c r="M1402" s="2" t="inlineStr">
        <is>
          <t>estandar</t>
        </is>
      </c>
      <c r="N1402" s="2" t="inlineStr">
        <is>
          <t>general</t>
        </is>
      </c>
      <c r="O1402" s="2" t="inlineStr">
        <is>
          <t>https://www.jumbo.com.ar/crema-de-tratamiento-dove-reconstruccion-extrema/p</t>
        </is>
      </c>
    </row>
    <row r="1403">
      <c r="A1403" t="inlineStr">
        <is>
          <t>Jumbo</t>
        </is>
      </c>
      <c r="B1403" t="n">
        <v>31682</v>
      </c>
      <c r="C1403" t="n">
        <v>28841</v>
      </c>
      <c r="D1403" t="inlineStr">
        <is>
          <t>Acondicionador Sedal Ceramidas 650ml</t>
        </is>
      </c>
      <c r="E1403" t="inlineStr">
        <is>
          <t>SEDAL</t>
        </is>
      </c>
      <c r="F1403" t="n">
        <v>306.09</v>
      </c>
      <c r="G1403" t="n">
        <v>25297</v>
      </c>
      <c r="H1403" t="b">
        <v>0</v>
      </c>
      <c r="I1403" t="n">
        <v>650</v>
      </c>
      <c r="J1403" t="n">
        <v>0.4709</v>
      </c>
      <c r="K1403" t="inlineStr">
        <is>
          <t>&gt; Perfumería &gt; Cuidado Capilar &gt; Acondicionador &gt;</t>
        </is>
      </c>
      <c r="L1403" t="inlineStr">
        <is>
          <t>acondicionador</t>
        </is>
      </c>
      <c r="M1403" t="inlineStr">
        <is>
          <t>estandar</t>
        </is>
      </c>
      <c r="N1403" t="inlineStr">
        <is>
          <t>general</t>
        </is>
      </c>
      <c r="O1403" t="inlineStr">
        <is>
          <t>https://www.jumbo.com.ar/acondicionador-sedal-ceramidas-650ml/p</t>
        </is>
      </c>
    </row>
    <row r="1404">
      <c r="A1404" s="2" t="inlineStr">
        <is>
          <t>Jumbo</t>
        </is>
      </c>
      <c r="B1404" s="2" t="n">
        <v>19683</v>
      </c>
      <c r="C1404" s="2" t="n">
        <v>16848</v>
      </c>
      <c r="D1404" s="2" t="inlineStr">
        <is>
          <t>Crema Para Peinar Sedal Ceramidas Pote 300 Ml</t>
        </is>
      </c>
      <c r="E1404" s="2" t="inlineStr">
        <is>
          <t>SEDAL</t>
        </is>
      </c>
      <c r="F1404" s="2" t="n">
        <v>900</v>
      </c>
      <c r="G1404" s="2" t="n">
        <v>74380</v>
      </c>
      <c r="H1404" s="2" t="b">
        <v>0</v>
      </c>
      <c r="I1404" s="2" t="n">
        <v>300</v>
      </c>
      <c r="J1404" s="2" t="n">
        <v>3</v>
      </c>
      <c r="K1404" s="2" t="inlineStr">
        <is>
          <t>&gt; Perfumería &gt; Cuidado Capilar &gt; Reparación y Tratamientos &gt;</t>
        </is>
      </c>
      <c r="L1404" s="2" t="inlineStr">
        <is>
          <t>shampoo</t>
        </is>
      </c>
      <c r="M1404" s="2" t="inlineStr">
        <is>
          <t>estandar</t>
        </is>
      </c>
      <c r="N1404" s="2" t="inlineStr">
        <is>
          <t>general</t>
        </is>
      </c>
      <c r="O1404" s="2" t="inlineStr">
        <is>
          <t>https://www.jumbo.com.ar/crema-para-peinar-sedal-ceramidas-pote-300-ml/p</t>
        </is>
      </c>
    </row>
    <row r="1405">
      <c r="A1405" t="inlineStr">
        <is>
          <t>Jumbo</t>
        </is>
      </c>
      <c r="B1405" t="n">
        <v>413361</v>
      </c>
      <c r="C1405" t="n">
        <v>409238</v>
      </c>
      <c r="D1405" t="inlineStr">
        <is>
          <t>Máscara de Tratamiento Reparación Intra Capilar 300 Ml Tresemmé</t>
        </is>
      </c>
      <c r="E1405" t="inlineStr">
        <is>
          <t>TRESEMMÉ</t>
        </is>
      </c>
      <c r="F1405" t="n">
        <v>9500</v>
      </c>
      <c r="G1405" t="n">
        <v>785124</v>
      </c>
      <c r="H1405" t="b">
        <v>1</v>
      </c>
      <c r="I1405" t="n">
        <v>300</v>
      </c>
      <c r="J1405" t="n">
        <v>31.6667</v>
      </c>
      <c r="K1405" t="inlineStr">
        <is>
          <t>&gt; Perfumería &gt; Cuidado Capilar &gt; Reparación y Tratamientos &gt;</t>
        </is>
      </c>
      <c r="L1405" t="inlineStr">
        <is>
          <t>tratamiento</t>
        </is>
      </c>
      <c r="M1405" t="inlineStr">
        <is>
          <t>estandar</t>
        </is>
      </c>
      <c r="N1405" t="inlineStr">
        <is>
          <t>general</t>
        </is>
      </c>
      <c r="O1405" t="inlineStr">
        <is>
          <t>https://www.jumbo.com.ar/mascara-de-tratamiento-reparacion-intra-capilar-300-ml-tresemme-2/p</t>
        </is>
      </c>
    </row>
    <row r="1406">
      <c r="A1406" s="2" t="inlineStr">
        <is>
          <t>Jumbo</t>
        </is>
      </c>
      <c r="B1406" s="2" t="n">
        <v>413363</v>
      </c>
      <c r="C1406" s="2" t="n">
        <v>409240</v>
      </c>
      <c r="D1406" s="2" t="inlineStr">
        <is>
          <t>Máscara de Tratamiento Reparación Intra Capilar 300 Ml Tresemmé</t>
        </is>
      </c>
      <c r="E1406" s="2" t="inlineStr">
        <is>
          <t>TRESEMMÉ</t>
        </is>
      </c>
      <c r="F1406" s="2" t="n">
        <v>10400</v>
      </c>
      <c r="G1406" s="2" t="n">
        <v>859504</v>
      </c>
      <c r="H1406" s="2" t="b">
        <v>1</v>
      </c>
      <c r="I1406" s="2" t="n">
        <v>300</v>
      </c>
      <c r="J1406" s="2" t="n">
        <v>34.6667</v>
      </c>
      <c r="K1406" s="2" t="inlineStr">
        <is>
          <t>&gt; Perfumería &gt; Cuidado Capilar &gt; Reparación y Tratamientos &gt;</t>
        </is>
      </c>
      <c r="L1406" s="2" t="inlineStr">
        <is>
          <t>tratamiento</t>
        </is>
      </c>
      <c r="M1406" s="2" t="inlineStr">
        <is>
          <t>estandar</t>
        </is>
      </c>
      <c r="N1406" s="2" t="inlineStr">
        <is>
          <t>general</t>
        </is>
      </c>
      <c r="O1406" s="2" t="inlineStr">
        <is>
          <t>https://www.jumbo.com.ar/mascara-de-tratamiento-reparacion-intra-capilar-300-ml-tresemme/p</t>
        </is>
      </c>
    </row>
    <row r="1407">
      <c r="A1407" t="inlineStr">
        <is>
          <t>Jumbo</t>
        </is>
      </c>
      <c r="B1407" t="n">
        <v>375497</v>
      </c>
      <c r="C1407" t="n">
        <v>374215</v>
      </c>
      <c r="D1407" t="inlineStr">
        <is>
          <t>Tratamiento Plusbelle Escencia Oleos Prot 400m</t>
        </is>
      </c>
      <c r="E1407" t="inlineStr">
        <is>
          <t>PLUSBELLE</t>
        </is>
      </c>
      <c r="F1407" t="n">
        <v>2350</v>
      </c>
      <c r="G1407" t="n">
        <v>194215</v>
      </c>
      <c r="H1407" t="b">
        <v>1</v>
      </c>
      <c r="I1407" t="inlineStr"/>
      <c r="J1407" t="inlineStr"/>
      <c r="K1407" t="inlineStr">
        <is>
          <t>&gt; Perfumería &gt; Cuidado Capilar &gt; Reparación y Tratamientos &gt;</t>
        </is>
      </c>
      <c r="L1407" t="inlineStr">
        <is>
          <t>tratamiento</t>
        </is>
      </c>
      <c r="M1407" t="inlineStr">
        <is>
          <t>estandar</t>
        </is>
      </c>
      <c r="N1407" t="inlineStr">
        <is>
          <t>general</t>
        </is>
      </c>
      <c r="O1407" t="inlineStr">
        <is>
          <t>https://www.jumbo.com.ar/tratamiento-plusbelle-escencia-oleos-prot-400m-3/p</t>
        </is>
      </c>
    </row>
    <row r="1408">
      <c r="A1408" s="2" t="inlineStr">
        <is>
          <t>Jumbo</t>
        </is>
      </c>
      <c r="B1408" s="2" t="n">
        <v>3071022</v>
      </c>
      <c r="C1408" s="2" t="n">
        <v>3070593</v>
      </c>
      <c r="D1408" s="2" t="inlineStr">
        <is>
          <t>Crema Tratamiento Dream Liso X 300 Gr Elvive</t>
        </is>
      </c>
      <c r="E1408" s="2" t="inlineStr">
        <is>
          <t>ELVIVE</t>
        </is>
      </c>
      <c r="F1408" s="2" t="n">
        <v>12600</v>
      </c>
      <c r="G1408" s="2" t="n">
        <v>1041322</v>
      </c>
      <c r="H1408" s="2" t="b">
        <v>1</v>
      </c>
      <c r="I1408" s="2" t="n">
        <v>300</v>
      </c>
      <c r="J1408" s="2" t="n">
        <v>42</v>
      </c>
      <c r="K1408" s="2" t="inlineStr">
        <is>
          <t>&gt; Perfumería &gt; Cuidado Capilar &gt; Reparación y Tratamientos &gt;</t>
        </is>
      </c>
      <c r="L1408" s="2" t="inlineStr">
        <is>
          <t>tratamiento</t>
        </is>
      </c>
      <c r="M1408" s="2" t="inlineStr">
        <is>
          <t>profesional</t>
        </is>
      </c>
      <c r="N1408" s="2" t="inlineStr">
        <is>
          <t>general</t>
        </is>
      </c>
      <c r="O1408" s="2" t="inlineStr">
        <is>
          <t>https://www.jumbo.com.ar/crema-tratamiento-dream-liso-x-300-gr-elvive/p</t>
        </is>
      </c>
    </row>
    <row r="1409">
      <c r="A1409" t="inlineStr">
        <is>
          <t>Jumbo</t>
        </is>
      </c>
      <c r="B1409" t="n">
        <v>141684</v>
      </c>
      <c r="C1409" t="n">
        <v>138595</v>
      </c>
      <c r="D1409" t="inlineStr">
        <is>
          <t>Tratamiento Capilar Sedal-ceramidas-pot-gr.-400</t>
        </is>
      </c>
      <c r="E1409" t="inlineStr">
        <is>
          <t>SEDAL</t>
        </is>
      </c>
      <c r="F1409" t="n">
        <v>18.49</v>
      </c>
      <c r="G1409" t="n">
        <v>1528</v>
      </c>
      <c r="H1409" t="b">
        <v>0</v>
      </c>
      <c r="I1409" t="inlineStr"/>
      <c r="J1409" t="inlineStr"/>
      <c r="K1409" t="inlineStr">
        <is>
          <t>&gt; Perfumería &gt; Cuidado Capilar &gt; Reparación y Tratamientos &gt;</t>
        </is>
      </c>
      <c r="L1409" t="inlineStr">
        <is>
          <t>tratamiento</t>
        </is>
      </c>
      <c r="M1409" t="inlineStr">
        <is>
          <t>estandar</t>
        </is>
      </c>
      <c r="N1409" t="inlineStr">
        <is>
          <t>general</t>
        </is>
      </c>
      <c r="O1409" t="inlineStr">
        <is>
          <t>https://www.jumbo.com.ar/tratamiento-capilar-sedal-3-2/p</t>
        </is>
      </c>
    </row>
    <row r="1410">
      <c r="A1410" s="2" t="inlineStr">
        <is>
          <t>Jumbo</t>
        </is>
      </c>
      <c r="B1410" s="2" t="n">
        <v>122341</v>
      </c>
      <c r="C1410" s="2" t="n">
        <v>121360</v>
      </c>
      <c r="D1410" s="2" t="inlineStr">
        <is>
          <t>Tratamiento Capilar Capilatis Seco 200 Gr</t>
        </is>
      </c>
      <c r="E1410" s="2" t="inlineStr">
        <is>
          <t>CAPILATIS</t>
        </is>
      </c>
      <c r="F1410" s="2" t="n">
        <v>184.99</v>
      </c>
      <c r="G1410" s="2" t="n">
        <v>15288</v>
      </c>
      <c r="H1410" s="2" t="b">
        <v>0</v>
      </c>
      <c r="I1410" s="2" t="n">
        <v>200</v>
      </c>
      <c r="J1410" s="2" t="n">
        <v>0.925</v>
      </c>
      <c r="K1410" s="2" t="inlineStr">
        <is>
          <t>&gt; Perfumería &gt; Cuidado Capilar &gt; Reparación y Tratamientos &gt;</t>
        </is>
      </c>
      <c r="L1410" s="2" t="inlineStr">
        <is>
          <t>tratamiento</t>
        </is>
      </c>
      <c r="M1410" s="2" t="inlineStr">
        <is>
          <t>estandar</t>
        </is>
      </c>
      <c r="N1410" s="2" t="inlineStr">
        <is>
          <t>seco_danado</t>
        </is>
      </c>
      <c r="O1410" s="2" t="inlineStr">
        <is>
          <t>https://www.jumbo.com.ar/tratamiento-capilar-capilatis-8/p</t>
        </is>
      </c>
    </row>
    <row r="1411">
      <c r="A1411" t="inlineStr">
        <is>
          <t>Jumbo</t>
        </is>
      </c>
      <c r="B1411" t="n">
        <v>122151</v>
      </c>
      <c r="C1411" t="n">
        <v>121170</v>
      </c>
      <c r="D1411" t="inlineStr">
        <is>
          <t>Tratamiento Capilar Capilatis Hidratante Nutritiva 120 Ml</t>
        </is>
      </c>
      <c r="E1411" t="inlineStr">
        <is>
          <t>CAPILATIS</t>
        </is>
      </c>
      <c r="F1411" t="n">
        <v>75.56999999999999</v>
      </c>
      <c r="G1411" t="n">
        <v>75.56999999999999</v>
      </c>
      <c r="H1411" t="b">
        <v>0</v>
      </c>
      <c r="I1411" t="n">
        <v>120</v>
      </c>
      <c r="J1411" t="n">
        <v>0.6297</v>
      </c>
      <c r="K1411" t="inlineStr">
        <is>
          <t>&gt; Perfumería &gt; Cuidado Capilar &gt; Reparación y Tratamientos &gt;</t>
        </is>
      </c>
      <c r="L1411" t="inlineStr">
        <is>
          <t>tratamiento</t>
        </is>
      </c>
      <c r="M1411" t="inlineStr">
        <is>
          <t>estandar</t>
        </is>
      </c>
      <c r="N1411" t="inlineStr">
        <is>
          <t>seco_danado</t>
        </is>
      </c>
      <c r="O1411" t="inlineStr">
        <is>
          <t>https://www.jumbo.com.ar/tratamiento-capilar-capilatis-3/p</t>
        </is>
      </c>
    </row>
    <row r="1412">
      <c r="A1412" s="2" t="inlineStr">
        <is>
          <t>Jumbo</t>
        </is>
      </c>
      <c r="B1412" s="2" t="n">
        <v>116797</v>
      </c>
      <c r="C1412" s="2" t="n">
        <v>115837</v>
      </c>
      <c r="D1412" s="2" t="inlineStr">
        <is>
          <t>Tratamiento Capilar Capilatis X200gr</t>
        </is>
      </c>
      <c r="E1412" s="2" t="inlineStr">
        <is>
          <t>CAPILATIS</t>
        </is>
      </c>
      <c r="F1412" s="2" t="n">
        <v>13</v>
      </c>
      <c r="G1412" s="2" t="n">
        <v>13</v>
      </c>
      <c r="H1412" s="2" t="b">
        <v>0</v>
      </c>
      <c r="I1412" s="2" t="n">
        <v>200</v>
      </c>
      <c r="J1412" s="2" t="n">
        <v>0.065</v>
      </c>
      <c r="K1412" s="2" t="inlineStr">
        <is>
          <t>&gt; Perfumería &gt; Cuidado Capilar &gt; Reparación y Tratamientos &gt;</t>
        </is>
      </c>
      <c r="L1412" s="2" t="inlineStr">
        <is>
          <t>tratamiento</t>
        </is>
      </c>
      <c r="M1412" s="2" t="inlineStr">
        <is>
          <t>estandar</t>
        </is>
      </c>
      <c r="N1412" s="2" t="inlineStr">
        <is>
          <t>general</t>
        </is>
      </c>
      <c r="O1412" s="2" t="inlineStr">
        <is>
          <t>https://www.jumbo.com.ar/tratamiento-capilar-capilatis-9-2/p</t>
        </is>
      </c>
    </row>
    <row r="1413">
      <c r="A1413" t="inlineStr">
        <is>
          <t>Jumbo</t>
        </is>
      </c>
      <c r="B1413" t="n">
        <v>116480</v>
      </c>
      <c r="C1413" t="n">
        <v>115520</v>
      </c>
      <c r="D1413" t="inlineStr">
        <is>
          <t>Tratamiento Capilar Capilatis X 200gr</t>
        </is>
      </c>
      <c r="E1413" t="inlineStr">
        <is>
          <t>CAPILATIS</t>
        </is>
      </c>
      <c r="F1413" t="n">
        <v>52.23</v>
      </c>
      <c r="G1413" t="n">
        <v>52.23</v>
      </c>
      <c r="H1413" t="b">
        <v>0</v>
      </c>
      <c r="I1413" t="n">
        <v>200</v>
      </c>
      <c r="J1413" t="n">
        <v>0.2611</v>
      </c>
      <c r="K1413" t="inlineStr">
        <is>
          <t>&gt; Perfumería &gt; Cuidado Capilar &gt; Reparación y Tratamientos &gt;</t>
        </is>
      </c>
      <c r="L1413" t="inlineStr">
        <is>
          <t>tratamiento</t>
        </is>
      </c>
      <c r="M1413" t="inlineStr">
        <is>
          <t>estandar</t>
        </is>
      </c>
      <c r="N1413" t="inlineStr">
        <is>
          <t>general</t>
        </is>
      </c>
      <c r="O1413" t="inlineStr">
        <is>
          <t>https://www.jumbo.com.ar/tratamiento-capilar-capilatis-9/p</t>
        </is>
      </c>
    </row>
    <row r="1414">
      <c r="A1414" s="2" t="inlineStr">
        <is>
          <t>Jumbo</t>
        </is>
      </c>
      <c r="B1414" s="2" t="n">
        <v>69456</v>
      </c>
      <c r="C1414" s="2" t="n">
        <v>66594</v>
      </c>
      <c r="D1414" s="2" t="inlineStr">
        <is>
          <t>Tratamiento Capilar Sedal</t>
        </is>
      </c>
      <c r="E1414" s="2" t="inlineStr">
        <is>
          <t>SEDAL</t>
        </is>
      </c>
      <c r="F1414" s="2" t="n">
        <v>12.69</v>
      </c>
      <c r="G1414" s="2" t="n">
        <v>12.69</v>
      </c>
      <c r="H1414" s="2" t="b">
        <v>0</v>
      </c>
      <c r="I1414" s="2" t="inlineStr"/>
      <c r="J1414" s="2" t="inlineStr"/>
      <c r="K1414" s="2" t="inlineStr">
        <is>
          <t>&gt; Perfumería &gt; Cuidado Capilar &gt; Reparación y Tratamientos &gt;</t>
        </is>
      </c>
      <c r="L1414" s="2" t="inlineStr">
        <is>
          <t>tratamiento</t>
        </is>
      </c>
      <c r="M1414" s="2" t="inlineStr">
        <is>
          <t>estandar</t>
        </is>
      </c>
      <c r="N1414" s="2" t="inlineStr">
        <is>
          <t>general</t>
        </is>
      </c>
      <c r="O1414" s="2" t="inlineStr">
        <is>
          <t>https://www.jumbo.com.ar/tratamiento-capilar-sedal-2/p</t>
        </is>
      </c>
    </row>
    <row r="1415">
      <c r="A1415" t="inlineStr">
        <is>
          <t>Jumbo</t>
        </is>
      </c>
      <c r="B1415" t="n">
        <v>141430</v>
      </c>
      <c r="C1415" t="n">
        <v>138342</v>
      </c>
      <c r="D1415" t="inlineStr">
        <is>
          <t>Tratamiento Capilar Sedal-rizos Obedientes-pet-gr.-400</t>
        </is>
      </c>
      <c r="E1415" t="inlineStr">
        <is>
          <t>SEDAL</t>
        </is>
      </c>
      <c r="F1415" t="n">
        <v>18.49</v>
      </c>
      <c r="G1415" t="n">
        <v>1528</v>
      </c>
      <c r="H1415" t="b">
        <v>0</v>
      </c>
      <c r="I1415" t="inlineStr"/>
      <c r="J1415" t="inlineStr"/>
      <c r="K1415" t="inlineStr">
        <is>
          <t>&gt; Perfumería &gt; Cuidado Capilar &gt; Reparación y Tratamientos &gt;</t>
        </is>
      </c>
      <c r="L1415" t="inlineStr">
        <is>
          <t>tratamiento</t>
        </is>
      </c>
      <c r="M1415" t="inlineStr">
        <is>
          <t>estandar</t>
        </is>
      </c>
      <c r="N1415" t="inlineStr">
        <is>
          <t>rizado</t>
        </is>
      </c>
      <c r="O1415" t="inlineStr">
        <is>
          <t>https://www.jumbo.com.ar/tratamiento-capilar-sedal-3/p</t>
        </is>
      </c>
    </row>
    <row r="1416">
      <c r="A1416" s="2" t="inlineStr">
        <is>
          <t>Jumbo</t>
        </is>
      </c>
      <c r="B1416" s="2" t="n">
        <v>38271</v>
      </c>
      <c r="C1416" s="2" t="n">
        <v>35428</v>
      </c>
      <c r="D1416" s="2" t="inlineStr">
        <is>
          <t>Tratamiento Capilar Pantene Summer 300 Ml</t>
        </is>
      </c>
      <c r="E1416" s="2" t="inlineStr">
        <is>
          <t>PANTENE</t>
        </is>
      </c>
      <c r="F1416" s="2" t="n">
        <v>367.09</v>
      </c>
      <c r="G1416" s="2" t="n">
        <v>30338</v>
      </c>
      <c r="H1416" s="2" t="b">
        <v>0</v>
      </c>
      <c r="I1416" s="2" t="n">
        <v>300</v>
      </c>
      <c r="J1416" s="2" t="n">
        <v>1.2236</v>
      </c>
      <c r="K1416" s="2" t="inlineStr">
        <is>
          <t>&gt; Perfumería &gt; Cuidado Capilar &gt; Reparación y Tratamientos &gt;</t>
        </is>
      </c>
      <c r="L1416" s="2" t="inlineStr">
        <is>
          <t>tratamiento</t>
        </is>
      </c>
      <c r="M1416" s="2" t="inlineStr">
        <is>
          <t>estandar</t>
        </is>
      </c>
      <c r="N1416" s="2" t="inlineStr">
        <is>
          <t>general</t>
        </is>
      </c>
      <c r="O1416" s="2" t="inlineStr">
        <is>
          <t>https://www.jumbo.com.ar/tratamiento-capilar-pantene-4/p</t>
        </is>
      </c>
    </row>
    <row r="1417">
      <c r="A1417" t="inlineStr">
        <is>
          <t>Jumbo</t>
        </is>
      </c>
      <c r="B1417" t="n">
        <v>6014</v>
      </c>
      <c r="C1417" t="n">
        <v>3402</v>
      </c>
      <c r="D1417" t="inlineStr">
        <is>
          <t>Tratamiento Capilar Capilatis Iluminador 200 Gr</t>
        </is>
      </c>
      <c r="E1417" t="inlineStr">
        <is>
          <t>CAPILATIS</t>
        </is>
      </c>
      <c r="F1417" t="n">
        <v>80.45</v>
      </c>
      <c r="G1417" t="n">
        <v>6649</v>
      </c>
      <c r="H1417" t="b">
        <v>0</v>
      </c>
      <c r="I1417" t="n">
        <v>200</v>
      </c>
      <c r="J1417" t="n">
        <v>0.4022</v>
      </c>
      <c r="K1417" t="inlineStr">
        <is>
          <t>&gt; Perfumería &gt; Cuidado Capilar &gt; Reparación y Tratamientos &gt;</t>
        </is>
      </c>
      <c r="L1417" t="inlineStr">
        <is>
          <t>tratamiento</t>
        </is>
      </c>
      <c r="M1417" t="inlineStr">
        <is>
          <t>estandar</t>
        </is>
      </c>
      <c r="N1417" t="inlineStr">
        <is>
          <t>general</t>
        </is>
      </c>
      <c r="O1417" t="inlineStr">
        <is>
          <t>https://www.jumbo.com.ar/tratamiento-capilar-capilatis/p</t>
        </is>
      </c>
    </row>
    <row r="1418">
      <c r="A1418" s="2" t="inlineStr">
        <is>
          <t>Jumbo</t>
        </is>
      </c>
      <c r="B1418" s="2" t="n">
        <v>141424</v>
      </c>
      <c r="C1418" s="2" t="n">
        <v>138335</v>
      </c>
      <c r="D1418" s="2" t="inlineStr">
        <is>
          <t>Tratamiento Capilar Sedal-crecimiento-pet-ml.-400</t>
        </is>
      </c>
      <c r="E1418" s="2" t="inlineStr">
        <is>
          <t>SEDAL</t>
        </is>
      </c>
      <c r="F1418" s="2" t="n">
        <v>18.49</v>
      </c>
      <c r="G1418" s="2" t="n">
        <v>1528</v>
      </c>
      <c r="H1418" s="2" t="b">
        <v>0</v>
      </c>
      <c r="I1418" s="2" t="inlineStr"/>
      <c r="J1418" s="2" t="inlineStr"/>
      <c r="K1418" s="2" t="inlineStr">
        <is>
          <t>&gt; Perfumería &gt; Cuidado Capilar &gt; Reparación y Tratamientos &gt;</t>
        </is>
      </c>
      <c r="L1418" s="2" t="inlineStr">
        <is>
          <t>tratamiento</t>
        </is>
      </c>
      <c r="M1418" s="2" t="inlineStr">
        <is>
          <t>estandar</t>
        </is>
      </c>
      <c r="N1418" s="2" t="inlineStr">
        <is>
          <t>general</t>
        </is>
      </c>
      <c r="O1418" s="2" t="inlineStr">
        <is>
          <t>https://www.jumbo.com.ar/tratamiento-capilar-sedal-4/p</t>
        </is>
      </c>
    </row>
    <row r="1419">
      <c r="A1419" t="inlineStr">
        <is>
          <t>Jumbo</t>
        </is>
      </c>
      <c r="B1419" t="n">
        <v>122164</v>
      </c>
      <c r="C1419" t="n">
        <v>121184</v>
      </c>
      <c r="D1419" t="inlineStr">
        <is>
          <t>Tratamiento Capilar Capilatisx200g Selectivo  Pmo 200 Gr.</t>
        </is>
      </c>
      <c r="E1419" t="inlineStr">
        <is>
          <t>CAPILATIS</t>
        </is>
      </c>
      <c r="F1419" t="n">
        <v>52.23</v>
      </c>
      <c r="G1419" t="n">
        <v>4317</v>
      </c>
      <c r="H1419" t="b">
        <v>0</v>
      </c>
      <c r="I1419" t="n">
        <v>200</v>
      </c>
      <c r="J1419" t="n">
        <v>0.2611</v>
      </c>
      <c r="K1419" t="inlineStr">
        <is>
          <t>&gt; Perfumería &gt; Cuidado Capilar &gt; Reparación y Tratamientos &gt;</t>
        </is>
      </c>
      <c r="L1419" t="inlineStr">
        <is>
          <t>tratamiento</t>
        </is>
      </c>
      <c r="M1419" t="inlineStr">
        <is>
          <t>estandar</t>
        </is>
      </c>
      <c r="N1419" t="inlineStr">
        <is>
          <t>general</t>
        </is>
      </c>
      <c r="O1419" t="inlineStr">
        <is>
          <t>https://www.jumbo.com.ar/tratamiento-capilar-capilatis-7/p</t>
        </is>
      </c>
    </row>
    <row r="1420">
      <c r="A1420" s="2" t="inlineStr">
        <is>
          <t>Jumbo</t>
        </is>
      </c>
      <c r="B1420" s="2" t="n">
        <v>122345</v>
      </c>
      <c r="C1420" s="2" t="n">
        <v>121364</v>
      </c>
      <c r="D1420" s="2" t="inlineStr">
        <is>
          <t>Tratamiento Capilar Capilatis X200g</t>
        </is>
      </c>
      <c r="E1420" s="2" t="inlineStr">
        <is>
          <t>CAPILATIS</t>
        </is>
      </c>
      <c r="F1420" s="2" t="n">
        <v>52.23</v>
      </c>
      <c r="G1420" s="2" t="n">
        <v>4317</v>
      </c>
      <c r="H1420" s="2" t="b">
        <v>0</v>
      </c>
      <c r="I1420" s="2" t="n">
        <v>200</v>
      </c>
      <c r="J1420" s="2" t="n">
        <v>0.2611</v>
      </c>
      <c r="K1420" s="2" t="inlineStr">
        <is>
          <t>&gt; Perfumería &gt; Cuidado Capilar &gt; Reparación y Tratamientos &gt;</t>
        </is>
      </c>
      <c r="L1420" s="2" t="inlineStr">
        <is>
          <t>tratamiento</t>
        </is>
      </c>
      <c r="M1420" s="2" t="inlineStr">
        <is>
          <t>estandar</t>
        </is>
      </c>
      <c r="N1420" s="2" t="inlineStr">
        <is>
          <t>general</t>
        </is>
      </c>
      <c r="O1420" s="2" t="inlineStr">
        <is>
          <t>https://www.jumbo.com.ar/tratamiento-capilar-capilatis-x200g-3/p</t>
        </is>
      </c>
    </row>
    <row r="1421">
      <c r="A1421" t="inlineStr">
        <is>
          <t>Jumbo</t>
        </is>
      </c>
      <c r="B1421" t="n">
        <v>19540</v>
      </c>
      <c r="C1421" t="n">
        <v>16697</v>
      </c>
      <c r="D1421" t="inlineStr">
        <is>
          <t>Tratamiento Capilar Tresemmé 400 Gr</t>
        </is>
      </c>
      <c r="E1421" t="inlineStr">
        <is>
          <t>TRESEMMÉ</t>
        </is>
      </c>
      <c r="F1421" t="n">
        <v>291.19</v>
      </c>
      <c r="G1421" t="n">
        <v>24065</v>
      </c>
      <c r="H1421" t="b">
        <v>0</v>
      </c>
      <c r="I1421" t="n">
        <v>400</v>
      </c>
      <c r="J1421" t="n">
        <v>0.728</v>
      </c>
      <c r="K1421" t="inlineStr">
        <is>
          <t>&gt; Perfumería &gt; Cuidado Capilar &gt; Reparación y Tratamientos &gt;</t>
        </is>
      </c>
      <c r="L1421" t="inlineStr">
        <is>
          <t>tratamiento</t>
        </is>
      </c>
      <c r="M1421" t="inlineStr">
        <is>
          <t>estandar</t>
        </is>
      </c>
      <c r="N1421" t="inlineStr">
        <is>
          <t>general</t>
        </is>
      </c>
      <c r="O1421" t="inlineStr">
        <is>
          <t>https://www.jumbo.com.ar/tratamiento-capilar-tresemme-400-gr/p</t>
        </is>
      </c>
    </row>
    <row r="1422">
      <c r="A1422" s="2" t="inlineStr">
        <is>
          <t>Jumbo</t>
        </is>
      </c>
      <c r="B1422" s="2" t="n">
        <v>277406</v>
      </c>
      <c r="C1422" s="2" t="n">
        <v>276692</v>
      </c>
      <c r="D1422" s="2" t="inlineStr">
        <is>
          <t>Tratamiento Capilar Capilatis Natural Oil</t>
        </is>
      </c>
      <c r="E1422" s="2" t="inlineStr">
        <is>
          <t>CAPILATIS</t>
        </is>
      </c>
      <c r="F1422" s="2" t="n">
        <v>493</v>
      </c>
      <c r="G1422" s="2" t="n">
        <v>493</v>
      </c>
      <c r="H1422" s="2" t="b">
        <v>0</v>
      </c>
      <c r="I1422" s="2" t="inlineStr"/>
      <c r="J1422" s="2" t="inlineStr"/>
      <c r="K1422" s="2" t="inlineStr">
        <is>
          <t>&gt; Perfumería &gt; Cuidado Capilar &gt; Reparación y Tratamientos &gt;</t>
        </is>
      </c>
      <c r="L1422" s="2" t="inlineStr">
        <is>
          <t>tratamiento</t>
        </is>
      </c>
      <c r="M1422" s="2" t="inlineStr">
        <is>
          <t>estandar</t>
        </is>
      </c>
      <c r="N1422" s="2" t="inlineStr">
        <is>
          <t>general</t>
        </is>
      </c>
      <c r="O1422" s="2" t="inlineStr">
        <is>
          <t>https://www.jumbo.com.ar/tratamiento-capilar-capilatis-natural-oil/p</t>
        </is>
      </c>
    </row>
    <row r="1423">
      <c r="A1423" t="inlineStr">
        <is>
          <t>Jumbo</t>
        </is>
      </c>
      <c r="B1423" t="n">
        <v>116058</v>
      </c>
      <c r="C1423" t="n">
        <v>115102</v>
      </c>
      <c r="D1423" t="inlineStr">
        <is>
          <t>Tratamiento Capilar Capilatis X200g</t>
        </is>
      </c>
      <c r="E1423" t="inlineStr">
        <is>
          <t>CAPILATIS</t>
        </is>
      </c>
      <c r="F1423" t="n">
        <v>10.95</v>
      </c>
      <c r="G1423" t="n">
        <v>10.95</v>
      </c>
      <c r="H1423" t="b">
        <v>0</v>
      </c>
      <c r="I1423" t="n">
        <v>200</v>
      </c>
      <c r="J1423" t="n">
        <v>0.0547</v>
      </c>
      <c r="K1423" t="inlineStr">
        <is>
          <t>&gt; Perfumería &gt; Cuidado Capilar &gt; Reparación y Tratamientos &gt;</t>
        </is>
      </c>
      <c r="L1423" t="inlineStr">
        <is>
          <t>tratamiento</t>
        </is>
      </c>
      <c r="M1423" t="inlineStr">
        <is>
          <t>estandar</t>
        </is>
      </c>
      <c r="N1423" t="inlineStr">
        <is>
          <t>general</t>
        </is>
      </c>
      <c r="O1423" t="inlineStr">
        <is>
          <t>https://www.jumbo.com.ar/tratamiento-capilar-capilatis-x200g/p</t>
        </is>
      </c>
    </row>
    <row r="1424">
      <c r="A1424" s="2" t="inlineStr">
        <is>
          <t>Jumbo</t>
        </is>
      </c>
      <c r="B1424" s="2" t="n">
        <v>135250</v>
      </c>
      <c r="C1424" s="2" t="n">
        <v>132162</v>
      </c>
      <c r="D1424" s="2" t="inlineStr">
        <is>
          <t>Tratamiento Capilar Capilatis-biodegradable-bli-ml.-10</t>
        </is>
      </c>
      <c r="E1424" s="2" t="inlineStr">
        <is>
          <t>CAPILATIS</t>
        </is>
      </c>
      <c r="F1424" s="2" t="n">
        <v>20.17</v>
      </c>
      <c r="G1424" s="2" t="n">
        <v>1667</v>
      </c>
      <c r="H1424" s="2" t="b">
        <v>0</v>
      </c>
      <c r="I1424" s="2" t="inlineStr"/>
      <c r="J1424" s="2" t="inlineStr"/>
      <c r="K1424" s="2" t="inlineStr">
        <is>
          <t>&gt; Perfumería &gt; Cuidado Capilar &gt; Reparación y Tratamientos &gt;</t>
        </is>
      </c>
      <c r="L1424" s="2" t="inlineStr">
        <is>
          <t>tratamiento</t>
        </is>
      </c>
      <c r="M1424" s="2" t="inlineStr">
        <is>
          <t>estandar</t>
        </is>
      </c>
      <c r="N1424" s="2" t="inlineStr">
        <is>
          <t>general</t>
        </is>
      </c>
      <c r="O1424" s="2" t="inlineStr">
        <is>
          <t>https://www.jumbo.com.ar/tratamiento-capilar-capilatis-biodegradable-bli-ml-10/p</t>
        </is>
      </c>
    </row>
    <row r="1425">
      <c r="A1425" t="inlineStr">
        <is>
          <t>Jumbo</t>
        </is>
      </c>
      <c r="B1425" t="n">
        <v>35955</v>
      </c>
      <c r="C1425" t="n">
        <v>33113</v>
      </c>
      <c r="D1425" t="inlineStr">
        <is>
          <t>Tratamiento Capilar Capilatis Nutritivo 200 Gr</t>
        </is>
      </c>
      <c r="E1425" t="inlineStr">
        <is>
          <t>CAPILATIS</t>
        </is>
      </c>
      <c r="F1425" t="n">
        <v>166.12</v>
      </c>
      <c r="G1425" t="n">
        <v>13729</v>
      </c>
      <c r="H1425" t="b">
        <v>0</v>
      </c>
      <c r="I1425" t="n">
        <v>200</v>
      </c>
      <c r="J1425" t="n">
        <v>0.8306</v>
      </c>
      <c r="K1425" t="inlineStr">
        <is>
          <t>&gt; Perfumería &gt; Cuidado Capilar &gt; Reparación y Tratamientos &gt;</t>
        </is>
      </c>
      <c r="L1425" t="inlineStr">
        <is>
          <t>tratamiento</t>
        </is>
      </c>
      <c r="M1425" t="inlineStr">
        <is>
          <t>estandar</t>
        </is>
      </c>
      <c r="N1425" t="inlineStr">
        <is>
          <t>general</t>
        </is>
      </c>
      <c r="O1425" t="inlineStr">
        <is>
          <t>https://www.jumbo.com.ar/tratamiento-capilar-capilatis-nutritivo-200-gr/p</t>
        </is>
      </c>
    </row>
    <row r="1426">
      <c r="A1426" s="2" t="inlineStr">
        <is>
          <t>Jumbo</t>
        </is>
      </c>
      <c r="B1426" s="2" t="n">
        <v>383078</v>
      </c>
      <c r="C1426" s="2" t="n">
        <v>381793</v>
      </c>
      <c r="D1426" s="2" t="inlineStr">
        <is>
          <t>Tratamiento Capilar Protección Color 160 Grs Issue</t>
        </is>
      </c>
      <c r="E1426" s="2" t="inlineStr">
        <is>
          <t>ISSUE</t>
        </is>
      </c>
      <c r="F1426" s="2" t="n">
        <v>4400</v>
      </c>
      <c r="G1426" s="2" t="n">
        <v>363636</v>
      </c>
      <c r="H1426" s="2" t="b">
        <v>0</v>
      </c>
      <c r="I1426" s="2" t="inlineStr"/>
      <c r="J1426" s="2" t="inlineStr"/>
      <c r="K1426" s="2" t="inlineStr">
        <is>
          <t>&gt; Perfumería &gt; Cuidado Capilar &gt; Reparación y Tratamientos &gt;</t>
        </is>
      </c>
      <c r="L1426" s="2" t="inlineStr">
        <is>
          <t>tratamiento</t>
        </is>
      </c>
      <c r="M1426" s="2" t="inlineStr">
        <is>
          <t>estandar</t>
        </is>
      </c>
      <c r="N1426" s="2" t="inlineStr">
        <is>
          <t>tratado</t>
        </is>
      </c>
      <c r="O1426" s="2" t="inlineStr">
        <is>
          <t>https://www.jumbo.com.ar/tratamiento-capilar-issue-proteccion-color-160-gr/p</t>
        </is>
      </c>
    </row>
    <row r="1427">
      <c r="A1427" t="inlineStr">
        <is>
          <t>Jumbo</t>
        </is>
      </c>
      <c r="B1427" t="n">
        <v>383044</v>
      </c>
      <c r="C1427" t="n">
        <v>381759</v>
      </c>
      <c r="D1427" t="inlineStr">
        <is>
          <t>Tratamiento Capilar Brillo Extremo 150 Grs Issue</t>
        </is>
      </c>
      <c r="E1427" t="inlineStr">
        <is>
          <t>ISSUE</t>
        </is>
      </c>
      <c r="F1427" t="n">
        <v>4400</v>
      </c>
      <c r="G1427" t="n">
        <v>363636</v>
      </c>
      <c r="H1427" t="b">
        <v>0</v>
      </c>
      <c r="I1427" t="inlineStr"/>
      <c r="J1427" t="inlineStr"/>
      <c r="K1427" t="inlineStr">
        <is>
          <t>&gt; Perfumería &gt; Cuidado Capilar &gt; Reparación y Tratamientos &gt;</t>
        </is>
      </c>
      <c r="L1427" t="inlineStr">
        <is>
          <t>tratamiento</t>
        </is>
      </c>
      <c r="M1427" t="inlineStr">
        <is>
          <t>estandar</t>
        </is>
      </c>
      <c r="N1427" t="inlineStr">
        <is>
          <t>general</t>
        </is>
      </c>
      <c r="O1427" t="inlineStr">
        <is>
          <t>https://www.jumbo.com.ar/tratamiento-issue-brillo-extremo-150-gr/p</t>
        </is>
      </c>
    </row>
    <row r="1428">
      <c r="A1428" s="2" t="inlineStr">
        <is>
          <t>Jumbo</t>
        </is>
      </c>
      <c r="B1428" s="2" t="n">
        <v>149254</v>
      </c>
      <c r="C1428" s="2" t="n">
        <v>146146</v>
      </c>
      <c r="D1428" s="2" t="inlineStr">
        <is>
          <t>Tratamiento Capilar Tresemmé-smooth Keratin-pot-gr.-226</t>
        </is>
      </c>
      <c r="E1428" s="2" t="inlineStr">
        <is>
          <t>TRESEMMÉ</t>
        </is>
      </c>
      <c r="F1428" s="2" t="n">
        <v>30.23</v>
      </c>
      <c r="G1428" s="2" t="n">
        <v>2498</v>
      </c>
      <c r="H1428" s="2" t="b">
        <v>0</v>
      </c>
      <c r="I1428" s="2" t="inlineStr"/>
      <c r="J1428" s="2" t="inlineStr"/>
      <c r="K1428" s="2" t="inlineStr">
        <is>
          <t>&gt; Perfumería &gt; Cuidado Capilar &gt; Reparación y Tratamientos &gt;</t>
        </is>
      </c>
      <c r="L1428" s="2" t="inlineStr">
        <is>
          <t>tratamiento</t>
        </is>
      </c>
      <c r="M1428" s="2" t="inlineStr">
        <is>
          <t>estandar</t>
        </is>
      </c>
      <c r="N1428" s="2" t="inlineStr">
        <is>
          <t>general</t>
        </is>
      </c>
      <c r="O1428" s="2" t="inlineStr">
        <is>
          <t>https://www.jumbo.com.ar/tratamiento-capilar-tresemme-smooth-keratin-pot-gr-226-2/p</t>
        </is>
      </c>
    </row>
    <row r="1429">
      <c r="A1429" t="inlineStr">
        <is>
          <t>Jumbo</t>
        </is>
      </c>
      <c r="B1429" t="n">
        <v>141427</v>
      </c>
      <c r="C1429" t="n">
        <v>138338</v>
      </c>
      <c r="D1429" t="inlineStr">
        <is>
          <t>Tratamiento Capilar Sedal-reconstrucción Estructural-pet-gr.-400</t>
        </is>
      </c>
      <c r="E1429" t="inlineStr">
        <is>
          <t>SEDAL</t>
        </is>
      </c>
      <c r="F1429" t="n">
        <v>32.05</v>
      </c>
      <c r="G1429" t="n">
        <v>2649</v>
      </c>
      <c r="H1429" t="b">
        <v>0</v>
      </c>
      <c r="I1429" t="inlineStr"/>
      <c r="J1429" t="inlineStr"/>
      <c r="K1429" t="inlineStr">
        <is>
          <t>&gt; Perfumería &gt; Cuidado Capilar &gt; Reparación y Tratamientos &gt;</t>
        </is>
      </c>
      <c r="L1429" t="inlineStr">
        <is>
          <t>tratamiento</t>
        </is>
      </c>
      <c r="M1429" t="inlineStr">
        <is>
          <t>estandar</t>
        </is>
      </c>
      <c r="N1429" t="inlineStr">
        <is>
          <t>general</t>
        </is>
      </c>
      <c r="O1429" t="inlineStr">
        <is>
          <t>https://www.jumbo.com.ar/tratamiento-capilar-sedal-reconstruccion-estructural-pet-gr-400-2/p</t>
        </is>
      </c>
    </row>
    <row r="1430">
      <c r="A1430" s="2" t="inlineStr">
        <is>
          <t>Jumbo</t>
        </is>
      </c>
      <c r="B1430" s="2" t="n">
        <v>39233</v>
      </c>
      <c r="C1430" s="2" t="n">
        <v>36399</v>
      </c>
      <c r="D1430" s="2" t="inlineStr">
        <is>
          <t>Tratamiento Capilar Tresemme Termo Activado 60 Ml</t>
        </is>
      </c>
      <c r="E1430" s="2" t="inlineStr">
        <is>
          <t>TRESEMMÉ</t>
        </is>
      </c>
      <c r="F1430" s="2" t="n">
        <v>102.79</v>
      </c>
      <c r="G1430" s="2" t="n">
        <v>102.79</v>
      </c>
      <c r="H1430" s="2" t="b">
        <v>0</v>
      </c>
      <c r="I1430" s="2" t="n">
        <v>60</v>
      </c>
      <c r="J1430" s="2" t="n">
        <v>1.7132</v>
      </c>
      <c r="K1430" s="2" t="inlineStr">
        <is>
          <t>&gt; Perfumería &gt; Cuidado Capilar &gt; Reparación y Tratamientos &gt;</t>
        </is>
      </c>
      <c r="L1430" s="2" t="inlineStr">
        <is>
          <t>tratamiento</t>
        </is>
      </c>
      <c r="M1430" s="2" t="inlineStr">
        <is>
          <t>estandar</t>
        </is>
      </c>
      <c r="N1430" s="2" t="inlineStr">
        <is>
          <t>general</t>
        </is>
      </c>
      <c r="O1430" s="2" t="inlineStr">
        <is>
          <t>https://www.jumbo.com.ar/tratamiento-capilar-tresemme-8/p</t>
        </is>
      </c>
    </row>
    <row r="1431">
      <c r="A1431" t="inlineStr">
        <is>
          <t>Jumbo</t>
        </is>
      </c>
      <c r="B1431" t="n">
        <v>35918</v>
      </c>
      <c r="C1431" t="n">
        <v>33075</v>
      </c>
      <c r="D1431" t="inlineStr">
        <is>
          <t>Tratamiento Capilar Capilatis Cabellos Dañados 200 Gr</t>
        </is>
      </c>
      <c r="E1431" t="inlineStr">
        <is>
          <t>CAPILATIS</t>
        </is>
      </c>
      <c r="F1431" t="n">
        <v>167.78</v>
      </c>
      <c r="G1431" t="n">
        <v>13866</v>
      </c>
      <c r="H1431" t="b">
        <v>0</v>
      </c>
      <c r="I1431" t="n">
        <v>200</v>
      </c>
      <c r="J1431" t="n">
        <v>0.8389</v>
      </c>
      <c r="K1431" t="inlineStr">
        <is>
          <t>&gt; Perfumería &gt; Cuidado Capilar &gt; Reparación y Tratamientos &gt;</t>
        </is>
      </c>
      <c r="L1431" t="inlineStr">
        <is>
          <t>tratamiento</t>
        </is>
      </c>
      <c r="M1431" t="inlineStr">
        <is>
          <t>estandar</t>
        </is>
      </c>
      <c r="N1431" t="inlineStr">
        <is>
          <t>seco_danado</t>
        </is>
      </c>
      <c r="O1431" t="inlineStr">
        <is>
          <t>https://www.jumbo.com.ar/tratamiento-capilar-capilatis-cabellos-danados-200-gr/p</t>
        </is>
      </c>
    </row>
    <row r="1432">
      <c r="A1432" s="2" t="inlineStr">
        <is>
          <t>Jumbo</t>
        </is>
      </c>
      <c r="B1432" s="2" t="n">
        <v>34131</v>
      </c>
      <c r="C1432" s="2" t="n">
        <v>31289</v>
      </c>
      <c r="D1432" s="2" t="inlineStr">
        <is>
          <t>Tratamiento Capilar Capilatis-baño De Luz-bli-ml.-10</t>
        </is>
      </c>
      <c r="E1432" s="2" t="inlineStr">
        <is>
          <t>CAPILATIS</t>
        </is>
      </c>
      <c r="F1432" s="2" t="n">
        <v>50.49</v>
      </c>
      <c r="G1432" s="2" t="n">
        <v>4173</v>
      </c>
      <c r="H1432" s="2" t="b">
        <v>0</v>
      </c>
      <c r="I1432" s="2" t="inlineStr"/>
      <c r="J1432" s="2" t="inlineStr"/>
      <c r="K1432" s="2" t="inlineStr">
        <is>
          <t>&gt; Perfumería &gt; Cuidado Capilar &gt; Reparación y Tratamientos &gt;</t>
        </is>
      </c>
      <c r="L1432" s="2" t="inlineStr">
        <is>
          <t>tratamiento</t>
        </is>
      </c>
      <c r="M1432" s="2" t="inlineStr">
        <is>
          <t>estandar</t>
        </is>
      </c>
      <c r="N1432" s="2" t="inlineStr">
        <is>
          <t>general</t>
        </is>
      </c>
      <c r="O1432" s="2" t="inlineStr">
        <is>
          <t>https://www.jumbo.com.ar/tratamiento-capilar-capilatis-4/p</t>
        </is>
      </c>
    </row>
    <row r="1433">
      <c r="A1433" t="inlineStr">
        <is>
          <t>Jumbo</t>
        </is>
      </c>
      <c r="B1433" t="n">
        <v>30174</v>
      </c>
      <c r="C1433" t="n">
        <v>27335</v>
      </c>
      <c r="D1433" t="inlineStr">
        <is>
          <t>Tratamiento Capilar Pantene Age Defy 125 Ml</t>
        </is>
      </c>
      <c r="E1433" t="inlineStr">
        <is>
          <t>PANTENE</t>
        </is>
      </c>
      <c r="F1433" t="n">
        <v>121.79</v>
      </c>
      <c r="G1433" t="n">
        <v>10065</v>
      </c>
      <c r="H1433" t="b">
        <v>0</v>
      </c>
      <c r="I1433" t="n">
        <v>125</v>
      </c>
      <c r="J1433" t="n">
        <v>0.9743000000000001</v>
      </c>
      <c r="K1433" t="inlineStr">
        <is>
          <t>&gt; Perfumería &gt; Cuidado Capilar &gt; Reparación y Tratamientos &gt;</t>
        </is>
      </c>
      <c r="L1433" t="inlineStr">
        <is>
          <t>tratamiento</t>
        </is>
      </c>
      <c r="M1433" t="inlineStr">
        <is>
          <t>estandar</t>
        </is>
      </c>
      <c r="N1433" t="inlineStr">
        <is>
          <t>general</t>
        </is>
      </c>
      <c r="O1433" t="inlineStr">
        <is>
          <t>https://www.jumbo.com.ar/tratamiento-capilar-pantene-2/p</t>
        </is>
      </c>
    </row>
    <row r="1434">
      <c r="A1434" s="2" t="inlineStr">
        <is>
          <t>Jumbo</t>
        </is>
      </c>
      <c r="B1434" s="2" t="n">
        <v>30068</v>
      </c>
      <c r="C1434" s="2" t="n">
        <v>27229</v>
      </c>
      <c r="D1434" s="2" t="inlineStr">
        <is>
          <t>Tratamiento Capilar Pantene Termo Protect 150 Ml</t>
        </is>
      </c>
      <c r="E1434" s="2" t="inlineStr">
        <is>
          <t>PANTENE</t>
        </is>
      </c>
      <c r="F1434" s="2" t="n">
        <v>60.77</v>
      </c>
      <c r="G1434" s="2" t="n">
        <v>5022</v>
      </c>
      <c r="H1434" s="2" t="b">
        <v>0</v>
      </c>
      <c r="I1434" s="2" t="n">
        <v>150</v>
      </c>
      <c r="J1434" s="2" t="n">
        <v>0.4051</v>
      </c>
      <c r="K1434" s="2" t="inlineStr">
        <is>
          <t>&gt; Perfumería &gt; Cuidado Capilar &gt; Reparación y Tratamientos &gt;</t>
        </is>
      </c>
      <c r="L1434" s="2" t="inlineStr">
        <is>
          <t>tratamiento</t>
        </is>
      </c>
      <c r="M1434" s="2" t="inlineStr">
        <is>
          <t>estandar</t>
        </is>
      </c>
      <c r="N1434" s="2" t="inlineStr">
        <is>
          <t>general</t>
        </is>
      </c>
      <c r="O1434" s="2" t="inlineStr">
        <is>
          <t>https://www.jumbo.com.ar/tratamiento-capilar-pantene/p</t>
        </is>
      </c>
    </row>
    <row r="1435">
      <c r="A1435" t="inlineStr">
        <is>
          <t>Jumbo</t>
        </is>
      </c>
      <c r="B1435" t="n">
        <v>22045</v>
      </c>
      <c r="C1435" t="n">
        <v>19208</v>
      </c>
      <c r="D1435" t="inlineStr">
        <is>
          <t>Tratamiento Capilar Capilatis Brillo Extremo 200 Gr</t>
        </is>
      </c>
      <c r="E1435" t="inlineStr">
        <is>
          <t>CAPILATIS</t>
        </is>
      </c>
      <c r="F1435" t="n">
        <v>607.85</v>
      </c>
      <c r="G1435" t="n">
        <v>50236</v>
      </c>
      <c r="H1435" t="b">
        <v>0</v>
      </c>
      <c r="I1435" t="n">
        <v>200</v>
      </c>
      <c r="J1435" t="n">
        <v>3.0393</v>
      </c>
      <c r="K1435" t="inlineStr">
        <is>
          <t>&gt; Perfumería &gt; Cuidado Capilar &gt; Reparación y Tratamientos &gt;</t>
        </is>
      </c>
      <c r="L1435" t="inlineStr">
        <is>
          <t>tratamiento</t>
        </is>
      </c>
      <c r="M1435" t="inlineStr">
        <is>
          <t>estandar</t>
        </is>
      </c>
      <c r="N1435" t="inlineStr">
        <is>
          <t>general</t>
        </is>
      </c>
      <c r="O1435" t="inlineStr">
        <is>
          <t>https://www.jumbo.com.ar/tratamiento-capilar-capilatis-brillo-extremo-200-gr/p</t>
        </is>
      </c>
    </row>
    <row r="1436">
      <c r="A1436" s="2" t="inlineStr">
        <is>
          <t>Jumbo</t>
        </is>
      </c>
      <c r="B1436" s="2" t="n">
        <v>3928</v>
      </c>
      <c r="C1436" s="2" t="n">
        <v>1952</v>
      </c>
      <c r="D1436" s="2" t="inlineStr">
        <is>
          <t>Tratamiento Capilar Tresemmé-hidratación Profunda-pet-gr.-400</t>
        </is>
      </c>
      <c r="E1436" s="2" t="inlineStr">
        <is>
          <t>TRESEMMÉ</t>
        </is>
      </c>
      <c r="F1436" s="2" t="n">
        <v>170.57</v>
      </c>
      <c r="G1436" s="2" t="n">
        <v>14097</v>
      </c>
      <c r="H1436" s="2" t="b">
        <v>0</v>
      </c>
      <c r="I1436" s="2" t="inlineStr"/>
      <c r="J1436" s="2" t="inlineStr"/>
      <c r="K1436" s="2" t="inlineStr">
        <is>
          <t>&gt; Perfumería &gt; Cuidado Capilar &gt; Reparación y Tratamientos &gt;</t>
        </is>
      </c>
      <c r="L1436" s="2" t="inlineStr">
        <is>
          <t>tratamiento</t>
        </is>
      </c>
      <c r="M1436" s="2" t="inlineStr">
        <is>
          <t>estandar</t>
        </is>
      </c>
      <c r="N1436" s="2" t="inlineStr">
        <is>
          <t>seco_danado</t>
        </is>
      </c>
      <c r="O1436" s="2" t="inlineStr">
        <is>
          <t>https://www.jumbo.com.ar/tratamiento-capilar-tresemme-4/p</t>
        </is>
      </c>
    </row>
    <row r="1437">
      <c r="A1437" t="inlineStr">
        <is>
          <t>Jumbo</t>
        </is>
      </c>
      <c r="B1437" t="n">
        <v>3891</v>
      </c>
      <c r="C1437" t="n">
        <v>1922</v>
      </c>
      <c r="D1437" t="inlineStr">
        <is>
          <t>Tratamiento Capilar Tresemme Infusión Queratina 400 Gr</t>
        </is>
      </c>
      <c r="E1437" t="inlineStr">
        <is>
          <t>TRESEMMÉ</t>
        </is>
      </c>
      <c r="F1437" t="n">
        <v>291.19</v>
      </c>
      <c r="G1437" t="n">
        <v>24065</v>
      </c>
      <c r="H1437" t="b">
        <v>0</v>
      </c>
      <c r="I1437" t="n">
        <v>400</v>
      </c>
      <c r="J1437" t="n">
        <v>0.728</v>
      </c>
      <c r="K1437" t="inlineStr">
        <is>
          <t>&gt; Perfumería &gt; Cuidado Capilar &gt; Reparación y Tratamientos &gt;</t>
        </is>
      </c>
      <c r="L1437" t="inlineStr">
        <is>
          <t>tratamiento</t>
        </is>
      </c>
      <c r="M1437" t="inlineStr">
        <is>
          <t>estandar</t>
        </is>
      </c>
      <c r="N1437" t="inlineStr">
        <is>
          <t>general</t>
        </is>
      </c>
      <c r="O1437" t="inlineStr">
        <is>
          <t>https://www.jumbo.com.ar/tratamiento-capilar-tresemme-infusion-queratina-400-gr/p</t>
        </is>
      </c>
    </row>
    <row r="1438">
      <c r="A1438" s="2" t="inlineStr">
        <is>
          <t>Jumbo</t>
        </is>
      </c>
      <c r="B1438" s="2" t="n">
        <v>146615</v>
      </c>
      <c r="C1438" s="2" t="n">
        <v>143524</v>
      </c>
      <c r="D1438" s="2" t="inlineStr">
        <is>
          <t>Tratamiento Capilar Sedal-color Vital-pmo-gr.-400</t>
        </is>
      </c>
      <c r="E1438" s="2" t="inlineStr">
        <is>
          <t>SEDAL</t>
        </is>
      </c>
      <c r="F1438" s="2" t="n">
        <v>26.27</v>
      </c>
      <c r="G1438" s="2" t="n">
        <v>2171</v>
      </c>
      <c r="H1438" s="2" t="b">
        <v>0</v>
      </c>
      <c r="I1438" s="2" t="inlineStr"/>
      <c r="J1438" s="2" t="inlineStr"/>
      <c r="K1438" s="2" t="inlineStr">
        <is>
          <t>&gt; Perfumería &gt; Cuidado Capilar &gt; Reparación y Tratamientos &gt;</t>
        </is>
      </c>
      <c r="L1438" s="2" t="inlineStr">
        <is>
          <t>tratamiento</t>
        </is>
      </c>
      <c r="M1438" s="2" t="inlineStr">
        <is>
          <t>estandar</t>
        </is>
      </c>
      <c r="N1438" s="2" t="inlineStr">
        <is>
          <t>tratado</t>
        </is>
      </c>
      <c r="O1438" s="2" t="inlineStr">
        <is>
          <t>https://www.jumbo.com.ar/tratamiento-capilar-sedal-color-vital-pmo-gr-400-2/p</t>
        </is>
      </c>
    </row>
    <row r="1439">
      <c r="A1439" t="inlineStr">
        <is>
          <t>Jumbo</t>
        </is>
      </c>
      <c r="B1439" t="n">
        <v>25637</v>
      </c>
      <c r="C1439" t="n">
        <v>22797</v>
      </c>
      <c r="D1439" t="inlineStr">
        <is>
          <t>Tratamiento Capilar Sedal Restauración Instantánea 400 Gr</t>
        </is>
      </c>
      <c r="E1439" t="inlineStr">
        <is>
          <t>SEDAL</t>
        </is>
      </c>
      <c r="F1439" t="n">
        <v>110.19</v>
      </c>
      <c r="G1439" t="n">
        <v>9107</v>
      </c>
      <c r="H1439" t="b">
        <v>0</v>
      </c>
      <c r="I1439" t="n">
        <v>400</v>
      </c>
      <c r="J1439" t="n">
        <v>0.2755</v>
      </c>
      <c r="K1439" t="inlineStr">
        <is>
          <t>&gt; Perfumería &gt; Cuidado Capilar &gt; Reparación y Tratamientos &gt;</t>
        </is>
      </c>
      <c r="L1439" t="inlineStr">
        <is>
          <t>tratamiento</t>
        </is>
      </c>
      <c r="M1439" t="inlineStr">
        <is>
          <t>estandar</t>
        </is>
      </c>
      <c r="N1439" t="inlineStr">
        <is>
          <t>general</t>
        </is>
      </c>
      <c r="O1439" t="inlineStr">
        <is>
          <t>https://www.jumbo.com.ar/tratamiento-capilar-sedal-restauracion-instantanea-400-gr/p</t>
        </is>
      </c>
    </row>
    <row r="1440">
      <c r="A1440" s="2" t="inlineStr">
        <is>
          <t>Jumbo</t>
        </is>
      </c>
      <c r="B1440" s="2" t="n">
        <v>3903</v>
      </c>
      <c r="C1440" s="2" t="n">
        <v>1929</v>
      </c>
      <c r="D1440" s="2" t="inlineStr">
        <is>
          <t>Tratamiento Capilar Tresemme Rituales De Reparación 400 Gr</t>
        </is>
      </c>
      <c r="E1440" s="2" t="inlineStr">
        <is>
          <t>TRESEMMÉ</t>
        </is>
      </c>
      <c r="F1440" s="2" t="n">
        <v>103.89</v>
      </c>
      <c r="G1440" s="2" t="n">
        <v>8586</v>
      </c>
      <c r="H1440" s="2" t="b">
        <v>0</v>
      </c>
      <c r="I1440" s="2" t="n">
        <v>400</v>
      </c>
      <c r="J1440" s="2" t="n">
        <v>0.2597</v>
      </c>
      <c r="K1440" s="2" t="inlineStr">
        <is>
          <t>&gt; Perfumería &gt; Cuidado Capilar &gt; Reparación y Tratamientos &gt;</t>
        </is>
      </c>
      <c r="L1440" s="2" t="inlineStr">
        <is>
          <t>tratamiento</t>
        </is>
      </c>
      <c r="M1440" s="2" t="inlineStr">
        <is>
          <t>estandar</t>
        </is>
      </c>
      <c r="N1440" s="2" t="inlineStr">
        <is>
          <t>general</t>
        </is>
      </c>
      <c r="O1440" s="2" t="inlineStr">
        <is>
          <t>https://www.jumbo.com.ar/tratamiento-capilar-tresemme-rituales-de-reparacion-400-gr/p</t>
        </is>
      </c>
    </row>
    <row r="1441">
      <c r="A1441" t="inlineStr">
        <is>
          <t>Jumbo</t>
        </is>
      </c>
      <c r="B1441" t="n">
        <v>3900</v>
      </c>
      <c r="C1441" t="n">
        <v>1928</v>
      </c>
      <c r="D1441" t="inlineStr">
        <is>
          <t>Tratamiento Capilar Tresemmé-puntas Perfectas-pet-gr.-400</t>
        </is>
      </c>
      <c r="E1441" t="inlineStr">
        <is>
          <t>TRESEMMÉ</t>
        </is>
      </c>
      <c r="F1441" t="n">
        <v>170.57</v>
      </c>
      <c r="G1441" t="n">
        <v>14097</v>
      </c>
      <c r="H1441" t="b">
        <v>0</v>
      </c>
      <c r="I1441" t="inlineStr"/>
      <c r="J1441" t="inlineStr"/>
      <c r="K1441" t="inlineStr">
        <is>
          <t>&gt; Perfumería &gt; Cuidado Capilar &gt; Reparación y Tratamientos &gt;</t>
        </is>
      </c>
      <c r="L1441" t="inlineStr">
        <is>
          <t>tratamiento</t>
        </is>
      </c>
      <c r="M1441" t="inlineStr">
        <is>
          <t>estandar</t>
        </is>
      </c>
      <c r="N1441" t="inlineStr">
        <is>
          <t>general</t>
        </is>
      </c>
      <c r="O1441" t="inlineStr">
        <is>
          <t>https://www.jumbo.com.ar/tratamiento-capilar-tresemme-2/p</t>
        </is>
      </c>
    </row>
    <row r="1442">
      <c r="A1442" s="2" t="inlineStr">
        <is>
          <t>Jumbo</t>
        </is>
      </c>
      <c r="B1442" s="2" t="n">
        <v>3087925</v>
      </c>
      <c r="C1442" s="2" t="n">
        <v>3087153</v>
      </c>
      <c r="D1442" s="2" t="inlineStr">
        <is>
          <t>Tratamiento Capilar Collagen Lifter 100 Ml Elvive Serum Elvive Lifter Colageno 100ml</t>
        </is>
      </c>
      <c r="E1442" s="2" t="inlineStr">
        <is>
          <t>ELVIVE</t>
        </is>
      </c>
      <c r="F1442" s="2" t="n">
        <v>21000</v>
      </c>
      <c r="G1442" s="2" t="n">
        <v>1735537</v>
      </c>
      <c r="H1442" s="2" t="b">
        <v>0</v>
      </c>
      <c r="I1442" s="2" t="n">
        <v>100</v>
      </c>
      <c r="J1442" s="2" t="n">
        <v>210</v>
      </c>
      <c r="K1442" s="2" t="inlineStr">
        <is>
          <t>&gt; Perfumería &gt; Cuidado Capilar &gt; Reparación y Tratamientos &gt;</t>
        </is>
      </c>
      <c r="L1442" s="2" t="inlineStr">
        <is>
          <t>tratamiento</t>
        </is>
      </c>
      <c r="M1442" s="2" t="inlineStr">
        <is>
          <t>profesional</t>
        </is>
      </c>
      <c r="N1442" s="2" t="inlineStr">
        <is>
          <t>general</t>
        </is>
      </c>
      <c r="O1442" s="2" t="inlineStr">
        <is>
          <t>https://www.jumbo.com.ar/serum-elvive-lifter-colageno-100ml/p</t>
        </is>
      </c>
    </row>
    <row r="1443">
      <c r="A1443" t="inlineStr">
        <is>
          <t>Jumbo</t>
        </is>
      </c>
      <c r="B1443" t="n">
        <v>383074</v>
      </c>
      <c r="C1443" t="n">
        <v>381789</v>
      </c>
      <c r="D1443" t="inlineStr">
        <is>
          <t>Tratamiento Capilar Extra Reparación 150 Grs Issue</t>
        </is>
      </c>
      <c r="E1443" t="inlineStr">
        <is>
          <t>ISSUE</t>
        </is>
      </c>
      <c r="F1443" t="n">
        <v>4400</v>
      </c>
      <c r="G1443" t="n">
        <v>363636</v>
      </c>
      <c r="H1443" t="b">
        <v>0</v>
      </c>
      <c r="I1443" t="inlineStr"/>
      <c r="J1443" t="inlineStr"/>
      <c r="K1443" t="inlineStr">
        <is>
          <t>&gt; Perfumería &gt; Cuidado Capilar &gt; Reparación y Tratamientos &gt;</t>
        </is>
      </c>
      <c r="L1443" t="inlineStr">
        <is>
          <t>tratamiento</t>
        </is>
      </c>
      <c r="M1443" t="inlineStr">
        <is>
          <t>estandar</t>
        </is>
      </c>
      <c r="N1443" t="inlineStr">
        <is>
          <t>general</t>
        </is>
      </c>
      <c r="O1443" t="inlineStr">
        <is>
          <t>https://www.jumbo.com.ar/tratamiento-issue-extra-reparacion-150g/p</t>
        </is>
      </c>
    </row>
    <row r="1444">
      <c r="A1444" s="2" t="inlineStr">
        <is>
          <t>Jumbo</t>
        </is>
      </c>
      <c r="B1444" s="2" t="n">
        <v>150244</v>
      </c>
      <c r="C1444" s="2" t="n">
        <v>147152</v>
      </c>
      <c r="D1444" s="2" t="inlineStr">
        <is>
          <t>Tratamiento Capilar Plusbelle-extra  Brillo-pvc-ml.-400</t>
        </is>
      </c>
      <c r="E1444" s="2" t="inlineStr">
        <is>
          <t>PLUSBELLE</t>
        </is>
      </c>
      <c r="F1444" s="2" t="n">
        <v>21.95</v>
      </c>
      <c r="G1444" s="2" t="n">
        <v>1814</v>
      </c>
      <c r="H1444" s="2" t="b">
        <v>0</v>
      </c>
      <c r="I1444" s="2" t="inlineStr"/>
      <c r="J1444" s="2" t="inlineStr"/>
      <c r="K1444" s="2" t="inlineStr">
        <is>
          <t>&gt; Perfumería &gt; Cuidado Capilar &gt; Reparación y Tratamientos &gt;</t>
        </is>
      </c>
      <c r="L1444" s="2" t="inlineStr">
        <is>
          <t>tratamiento</t>
        </is>
      </c>
      <c r="M1444" s="2" t="inlineStr">
        <is>
          <t>estandar</t>
        </is>
      </c>
      <c r="N1444" s="2" t="inlineStr">
        <is>
          <t>general</t>
        </is>
      </c>
      <c r="O1444" s="2" t="inlineStr">
        <is>
          <t>https://www.jumbo.com.ar/tratamiento-capilar-plusbelle-extra-brillo-pvc-ml-400-2/p</t>
        </is>
      </c>
    </row>
    <row r="1445">
      <c r="A1445" t="inlineStr">
        <is>
          <t>Jumbo</t>
        </is>
      </c>
      <c r="B1445" t="n">
        <v>150230</v>
      </c>
      <c r="C1445" t="n">
        <v>147140</v>
      </c>
      <c r="D1445" t="inlineStr">
        <is>
          <t>Tratamiento Capilar Plusbelle-reparación Total-pvc-ml.-400</t>
        </is>
      </c>
      <c r="E1445" t="inlineStr">
        <is>
          <t>PLUSBELLE</t>
        </is>
      </c>
      <c r="F1445" t="n">
        <v>21.95</v>
      </c>
      <c r="G1445" t="n">
        <v>1814</v>
      </c>
      <c r="H1445" t="b">
        <v>0</v>
      </c>
      <c r="I1445" t="inlineStr"/>
      <c r="J1445" t="inlineStr"/>
      <c r="K1445" t="inlineStr">
        <is>
          <t>&gt; Perfumería &gt; Cuidado Capilar &gt; Reparación y Tratamientos &gt;</t>
        </is>
      </c>
      <c r="L1445" t="inlineStr">
        <is>
          <t>tratamiento</t>
        </is>
      </c>
      <c r="M1445" t="inlineStr">
        <is>
          <t>estandar</t>
        </is>
      </c>
      <c r="N1445" t="inlineStr">
        <is>
          <t>general</t>
        </is>
      </c>
      <c r="O1445" t="inlineStr">
        <is>
          <t>https://www.jumbo.com.ar/tratamiento-capilar-plusbelle-reparacion-total-pvc-ml-400-2/p</t>
        </is>
      </c>
    </row>
    <row r="1446">
      <c r="A1446" s="2" t="inlineStr">
        <is>
          <t>Jumbo</t>
        </is>
      </c>
      <c r="B1446" s="2" t="n">
        <v>149885</v>
      </c>
      <c r="C1446" s="2" t="n">
        <v>146794</v>
      </c>
      <c r="D1446" s="2" t="inlineStr">
        <is>
          <t>Tratamiento Capilar Tresemmé-rituals-repair-pot-ml.-233</t>
        </is>
      </c>
      <c r="E1446" s="2" t="inlineStr">
        <is>
          <t>TRESEMMÉ</t>
        </is>
      </c>
      <c r="F1446" s="2" t="n">
        <v>25.09</v>
      </c>
      <c r="G1446" s="2" t="n">
        <v>2074</v>
      </c>
      <c r="H1446" s="2" t="b">
        <v>0</v>
      </c>
      <c r="I1446" s="2" t="inlineStr"/>
      <c r="J1446" s="2" t="inlineStr"/>
      <c r="K1446" s="2" t="inlineStr">
        <is>
          <t>&gt; Perfumería &gt; Cuidado Capilar &gt; Reparación y Tratamientos &gt;</t>
        </is>
      </c>
      <c r="L1446" s="2" t="inlineStr">
        <is>
          <t>tratamiento</t>
        </is>
      </c>
      <c r="M1446" s="2" t="inlineStr">
        <is>
          <t>profesional</t>
        </is>
      </c>
      <c r="N1446" s="2" t="inlineStr">
        <is>
          <t>general</t>
        </is>
      </c>
      <c r="O1446" s="2" t="inlineStr">
        <is>
          <t>https://www.jumbo.com.ar/tratamiento-capilar-tresemme-rituals-repair-pot-ml-233-2/p</t>
        </is>
      </c>
    </row>
    <row r="1447">
      <c r="A1447" t="inlineStr">
        <is>
          <t>Jumbo</t>
        </is>
      </c>
      <c r="B1447" t="n">
        <v>135764</v>
      </c>
      <c r="C1447" t="n">
        <v>132678</v>
      </c>
      <c r="D1447" t="inlineStr">
        <is>
          <t>Tratamiento Capilar Capilatis-brillo Extremo-bli-ml.-10</t>
        </is>
      </c>
      <c r="E1447" t="inlineStr">
        <is>
          <t>CAPILATIS</t>
        </is>
      </c>
      <c r="F1447" t="n">
        <v>20.17</v>
      </c>
      <c r="G1447" t="n">
        <v>1667</v>
      </c>
      <c r="H1447" t="b">
        <v>0</v>
      </c>
      <c r="I1447" t="inlineStr"/>
      <c r="J1447" t="inlineStr"/>
      <c r="K1447" t="inlineStr">
        <is>
          <t>&gt; Perfumería &gt; Cuidado Capilar &gt; Reparación y Tratamientos &gt;</t>
        </is>
      </c>
      <c r="L1447" t="inlineStr">
        <is>
          <t>tratamiento</t>
        </is>
      </c>
      <c r="M1447" t="inlineStr">
        <is>
          <t>estandar</t>
        </is>
      </c>
      <c r="N1447" t="inlineStr">
        <is>
          <t>general</t>
        </is>
      </c>
      <c r="O1447" t="inlineStr">
        <is>
          <t>https://www.jumbo.com.ar/tratamiento-capilar-capilatis-brillo-extremo-bli-ml-10-2/p</t>
        </is>
      </c>
    </row>
    <row r="1448">
      <c r="A1448" s="2" t="inlineStr">
        <is>
          <t>Jumbo</t>
        </is>
      </c>
      <c r="B1448" s="2" t="n">
        <v>91984</v>
      </c>
      <c r="C1448" s="2" t="n">
        <v>89313</v>
      </c>
      <c r="D1448" s="2" t="inlineStr">
        <is>
          <t>Tratamiento Capilar Tresemmé-split Remedy-pot-gr.-226</t>
        </is>
      </c>
      <c r="E1448" s="2" t="inlineStr">
        <is>
          <t>TRESEMMÉ</t>
        </is>
      </c>
      <c r="F1448" s="2" t="n">
        <v>20.99</v>
      </c>
      <c r="G1448" s="2" t="n">
        <v>1735</v>
      </c>
      <c r="H1448" s="2" t="b">
        <v>0</v>
      </c>
      <c r="I1448" s="2" t="inlineStr"/>
      <c r="J1448" s="2" t="inlineStr"/>
      <c r="K1448" s="2" t="inlineStr">
        <is>
          <t>&gt; Perfumería &gt; Cuidado Capilar &gt; Reparación y Tratamientos &gt;</t>
        </is>
      </c>
      <c r="L1448" s="2" t="inlineStr">
        <is>
          <t>tratamiento</t>
        </is>
      </c>
      <c r="M1448" s="2" t="inlineStr">
        <is>
          <t>estandar</t>
        </is>
      </c>
      <c r="N1448" s="2" t="inlineStr">
        <is>
          <t>general</t>
        </is>
      </c>
      <c r="O1448" s="2" t="inlineStr">
        <is>
          <t>https://www.jumbo.com.ar/tratamiento-capilar-tresemme-split-remedy-pot-gr-226/p</t>
        </is>
      </c>
    </row>
    <row r="1449">
      <c r="A1449" t="inlineStr">
        <is>
          <t>Jumbo</t>
        </is>
      </c>
      <c r="B1449" t="n">
        <v>55293</v>
      </c>
      <c r="C1449" t="n">
        <v>52453</v>
      </c>
      <c r="D1449" t="inlineStr">
        <is>
          <t>Tratamiento Capilar Sedal Verano Pot 450 Gr.</t>
        </is>
      </c>
      <c r="E1449" t="inlineStr">
        <is>
          <t>SEDAL</t>
        </is>
      </c>
      <c r="F1449" t="n">
        <v>7.49</v>
      </c>
      <c r="G1449" t="n">
        <v>7.49</v>
      </c>
      <c r="H1449" t="b">
        <v>0</v>
      </c>
      <c r="I1449" t="n">
        <v>450</v>
      </c>
      <c r="J1449" t="n">
        <v>0.0166</v>
      </c>
      <c r="K1449" t="inlineStr">
        <is>
          <t>&gt; Perfumería &gt; Cuidado Capilar &gt; Reparación y Tratamientos &gt;</t>
        </is>
      </c>
      <c r="L1449" t="inlineStr">
        <is>
          <t>tratamiento</t>
        </is>
      </c>
      <c r="M1449" t="inlineStr">
        <is>
          <t>estandar</t>
        </is>
      </c>
      <c r="N1449" t="inlineStr">
        <is>
          <t>general</t>
        </is>
      </c>
      <c r="O1449" t="inlineStr">
        <is>
          <t>https://www.jumbo.com.ar/tratamiento-capilar-sedal-verano-pot-450-gr/p</t>
        </is>
      </c>
    </row>
    <row r="1450">
      <c r="A1450" s="2" t="inlineStr">
        <is>
          <t>Jumbo</t>
        </is>
      </c>
      <c r="B1450" s="2" t="n">
        <v>47283</v>
      </c>
      <c r="C1450" s="2" t="n">
        <v>44448</v>
      </c>
      <c r="D1450" s="2" t="inlineStr">
        <is>
          <t>Tratamiento Capilar Pantene Micro Blindaje 160 Ml</t>
        </is>
      </c>
      <c r="E1450" s="2" t="inlineStr">
        <is>
          <t>PANTENE</t>
        </is>
      </c>
      <c r="F1450" s="2" t="n">
        <v>88.09</v>
      </c>
      <c r="G1450" s="2" t="n">
        <v>7280</v>
      </c>
      <c r="H1450" s="2" t="b">
        <v>0</v>
      </c>
      <c r="I1450" s="2" t="n">
        <v>160</v>
      </c>
      <c r="J1450" s="2" t="n">
        <v>0.5506</v>
      </c>
      <c r="K1450" s="2" t="inlineStr">
        <is>
          <t>&gt; Perfumería &gt; Cuidado Capilar &gt; Reparación y Tratamientos &gt;</t>
        </is>
      </c>
      <c r="L1450" s="2" t="inlineStr">
        <is>
          <t>tratamiento</t>
        </is>
      </c>
      <c r="M1450" s="2" t="inlineStr">
        <is>
          <t>estandar</t>
        </is>
      </c>
      <c r="N1450" s="2" t="inlineStr">
        <is>
          <t>general</t>
        </is>
      </c>
      <c r="O1450" s="2" t="inlineStr">
        <is>
          <t>https://www.jumbo.com.ar/tratamiento-capilar-pantene-micro-blindaje-160-ml/p</t>
        </is>
      </c>
    </row>
    <row r="1451">
      <c r="A1451" t="inlineStr">
        <is>
          <t>Jumbo</t>
        </is>
      </c>
      <c r="B1451" t="n">
        <v>42857</v>
      </c>
      <c r="C1451" t="n">
        <v>40028</v>
      </c>
      <c r="D1451" t="inlineStr">
        <is>
          <t>Tratamiento Capilar Pantene Reparación Rejuvenecedora 300 Ml</t>
        </is>
      </c>
      <c r="E1451" t="inlineStr">
        <is>
          <t>PANTENE</t>
        </is>
      </c>
      <c r="F1451" t="n">
        <v>68.19</v>
      </c>
      <c r="G1451" t="n">
        <v>5636</v>
      </c>
      <c r="H1451" t="b">
        <v>0</v>
      </c>
      <c r="I1451" t="n">
        <v>300</v>
      </c>
      <c r="J1451" t="n">
        <v>0.2273</v>
      </c>
      <c r="K1451" t="inlineStr">
        <is>
          <t>&gt; Perfumería &gt; Cuidado Capilar &gt; Reparación y Tratamientos &gt;</t>
        </is>
      </c>
      <c r="L1451" t="inlineStr">
        <is>
          <t>tratamiento</t>
        </is>
      </c>
      <c r="M1451" t="inlineStr">
        <is>
          <t>estandar</t>
        </is>
      </c>
      <c r="N1451" t="inlineStr">
        <is>
          <t>general</t>
        </is>
      </c>
      <c r="O1451" t="inlineStr">
        <is>
          <t>https://www.jumbo.com.ar/tratamiento-capilar-pantene-reparacion-rejuvenecedora-300-ml/p</t>
        </is>
      </c>
    </row>
    <row r="1452">
      <c r="A1452" s="2" t="inlineStr">
        <is>
          <t>Jumbo</t>
        </is>
      </c>
      <c r="B1452" s="2" t="n">
        <v>19541</v>
      </c>
      <c r="C1452" s="2" t="n">
        <v>16698</v>
      </c>
      <c r="D1452" s="2" t="inlineStr">
        <is>
          <t>Tratamiento Capilar Tresemme Blindaje Platinium 400 Gr</t>
        </is>
      </c>
      <c r="E1452" s="2" t="inlineStr">
        <is>
          <t>TRESEMMÉ</t>
        </is>
      </c>
      <c r="F1452" s="2" t="n">
        <v>291.19</v>
      </c>
      <c r="G1452" s="2" t="n">
        <v>24065</v>
      </c>
      <c r="H1452" s="2" t="b">
        <v>0</v>
      </c>
      <c r="I1452" s="2" t="n">
        <v>400</v>
      </c>
      <c r="J1452" s="2" t="n">
        <v>0.728</v>
      </c>
      <c r="K1452" s="2" t="inlineStr">
        <is>
          <t>&gt; Perfumería &gt; Cuidado Capilar &gt; Reparación y Tratamientos &gt;</t>
        </is>
      </c>
      <c r="L1452" s="2" t="inlineStr">
        <is>
          <t>tratamiento</t>
        </is>
      </c>
      <c r="M1452" s="2" t="inlineStr">
        <is>
          <t>estandar</t>
        </is>
      </c>
      <c r="N1452" s="2" t="inlineStr">
        <is>
          <t>general</t>
        </is>
      </c>
      <c r="O1452" s="2" t="inlineStr">
        <is>
          <t>https://www.jumbo.com.ar/tratamiento-capilar-tresemme-blindaje-platinium-400-gr/p</t>
        </is>
      </c>
    </row>
    <row r="1453">
      <c r="A1453" t="inlineStr">
        <is>
          <t>Jumbo</t>
        </is>
      </c>
      <c r="B1453" t="n">
        <v>3935</v>
      </c>
      <c r="C1453" t="n">
        <v>1955</v>
      </c>
      <c r="D1453" t="inlineStr">
        <is>
          <t>Tratamiento Capilar Tresemme Control Caída 400 Gr</t>
        </is>
      </c>
      <c r="E1453" t="inlineStr">
        <is>
          <t>TRESEMMÉ</t>
        </is>
      </c>
      <c r="F1453" t="n">
        <v>170.57</v>
      </c>
      <c r="G1453" t="n">
        <v>14097</v>
      </c>
      <c r="H1453" t="b">
        <v>0</v>
      </c>
      <c r="I1453" t="n">
        <v>400</v>
      </c>
      <c r="J1453" t="n">
        <v>0.4264</v>
      </c>
      <c r="K1453" t="inlineStr">
        <is>
          <t>&gt; Perfumería &gt; Cuidado Capilar &gt; Reparación y Tratamientos &gt;</t>
        </is>
      </c>
      <c r="L1453" t="inlineStr">
        <is>
          <t>tratamiento</t>
        </is>
      </c>
      <c r="M1453" t="inlineStr">
        <is>
          <t>estandar</t>
        </is>
      </c>
      <c r="N1453" t="inlineStr">
        <is>
          <t>general</t>
        </is>
      </c>
      <c r="O1453" t="inlineStr">
        <is>
          <t>https://www.jumbo.com.ar/tratamiento-capilar-tresemme-control-caida-400-gr/p</t>
        </is>
      </c>
    </row>
    <row r="1454">
      <c r="A1454" s="2" t="inlineStr">
        <is>
          <t>Jumbo</t>
        </is>
      </c>
      <c r="B1454" s="2" t="n">
        <v>149439</v>
      </c>
      <c r="C1454" s="2" t="n">
        <v>146329</v>
      </c>
      <c r="D1454" s="2" t="inlineStr">
        <is>
          <t>Tratamiento Capilar Tresemmé-rituals-nocturno Repair-pot-ml.-233</t>
        </is>
      </c>
      <c r="E1454" s="2" t="inlineStr">
        <is>
          <t>TRESEMMÉ</t>
        </is>
      </c>
      <c r="F1454" s="2" t="n">
        <v>20.15</v>
      </c>
      <c r="G1454" s="2" t="n">
        <v>1665</v>
      </c>
      <c r="H1454" s="2" t="b">
        <v>0</v>
      </c>
      <c r="I1454" s="2" t="inlineStr"/>
      <c r="J1454" s="2" t="inlineStr"/>
      <c r="K1454" s="2" t="inlineStr">
        <is>
          <t>&gt; Perfumería &gt; Cuidado Capilar &gt; Reparación y Tratamientos &gt;</t>
        </is>
      </c>
      <c r="L1454" s="2" t="inlineStr">
        <is>
          <t>tratamiento</t>
        </is>
      </c>
      <c r="M1454" s="2" t="inlineStr">
        <is>
          <t>profesional</t>
        </is>
      </c>
      <c r="N1454" s="2" t="inlineStr">
        <is>
          <t>general</t>
        </is>
      </c>
      <c r="O1454" s="2" t="inlineStr">
        <is>
          <t>https://www.jumbo.com.ar/tratamiento-capilar-tresemme-rituals-nocturno-repair-pot-ml-233-2/p</t>
        </is>
      </c>
    </row>
    <row r="1455">
      <c r="A1455" t="inlineStr">
        <is>
          <t>Jumbo</t>
        </is>
      </c>
      <c r="B1455" t="n">
        <v>144218</v>
      </c>
      <c r="C1455" t="n">
        <v>141129</v>
      </c>
      <c r="D1455" t="inlineStr">
        <is>
          <t>Tratamiento Capilar Sedal Liso Perfecto X 450 Ml</t>
        </is>
      </c>
      <c r="E1455" t="inlineStr">
        <is>
          <t>SEDAL</t>
        </is>
      </c>
      <c r="F1455" t="n">
        <v>10.59</v>
      </c>
      <c r="G1455" t="n">
        <v>10.59</v>
      </c>
      <c r="H1455" t="b">
        <v>0</v>
      </c>
      <c r="I1455" t="n">
        <v>450</v>
      </c>
      <c r="J1455" t="n">
        <v>0.0235</v>
      </c>
      <c r="K1455" t="inlineStr">
        <is>
          <t>&gt; Perfumería &gt; Cuidado Capilar &gt; Reparación y Tratamientos &gt;</t>
        </is>
      </c>
      <c r="L1455" t="inlineStr">
        <is>
          <t>tratamiento</t>
        </is>
      </c>
      <c r="M1455" t="inlineStr">
        <is>
          <t>estandar</t>
        </is>
      </c>
      <c r="N1455" t="inlineStr">
        <is>
          <t>general</t>
        </is>
      </c>
      <c r="O1455" t="inlineStr">
        <is>
          <t>https://www.jumbo.com.ar/tratamiento-capilar-sedal-liso-perfecto-x-450-ml-2/p</t>
        </is>
      </c>
    </row>
    <row r="1456">
      <c r="A1456" s="2" t="inlineStr">
        <is>
          <t>Jumbo</t>
        </is>
      </c>
      <c r="B1456" s="2" t="n">
        <v>144185</v>
      </c>
      <c r="C1456" s="2" t="n">
        <v>141096</v>
      </c>
      <c r="D1456" s="2" t="inlineStr">
        <is>
          <t>Tratamiento Capilar Sedal Rizos Obedientes X 450 Ml</t>
        </is>
      </c>
      <c r="E1456" s="2" t="inlineStr">
        <is>
          <t>SEDAL</t>
        </is>
      </c>
      <c r="F1456" s="2" t="n">
        <v>14.23</v>
      </c>
      <c r="G1456" s="2" t="n">
        <v>14.23</v>
      </c>
      <c r="H1456" s="2" t="b">
        <v>0</v>
      </c>
      <c r="I1456" s="2" t="n">
        <v>450</v>
      </c>
      <c r="J1456" s="2" t="n">
        <v>0.0316</v>
      </c>
      <c r="K1456" s="2" t="inlineStr">
        <is>
          <t>&gt; Perfumería &gt; Cuidado Capilar &gt; Reparación y Tratamientos &gt;</t>
        </is>
      </c>
      <c r="L1456" s="2" t="inlineStr">
        <is>
          <t>tratamiento</t>
        </is>
      </c>
      <c r="M1456" s="2" t="inlineStr">
        <is>
          <t>estandar</t>
        </is>
      </c>
      <c r="N1456" s="2" t="inlineStr">
        <is>
          <t>rizado</t>
        </is>
      </c>
      <c r="O1456" s="2" t="inlineStr">
        <is>
          <t>https://www.jumbo.com.ar/tratamiento-capilar-sedal-rizos-obedientes-x-450-ml-2/p</t>
        </is>
      </c>
    </row>
    <row r="1457">
      <c r="A1457" t="inlineStr">
        <is>
          <t>Jumbo</t>
        </is>
      </c>
      <c r="B1457" t="n">
        <v>3071065</v>
      </c>
      <c r="C1457" t="n">
        <v>3070628</v>
      </c>
      <c r="D1457" t="inlineStr">
        <is>
          <t>Spray Tratamiento Capilar Hydra Oil 120 Ml Tresemmé Spray  Para El Cabello Hydra Oil X 120 Ml Tresemmé</t>
        </is>
      </c>
      <c r="E1457" t="inlineStr">
        <is>
          <t>TRESEMMÉ</t>
        </is>
      </c>
      <c r="F1457" t="n">
        <v>12150</v>
      </c>
      <c r="G1457" t="n">
        <v>1004132</v>
      </c>
      <c r="H1457" t="b">
        <v>0</v>
      </c>
      <c r="I1457" t="n">
        <v>120</v>
      </c>
      <c r="J1457" t="n">
        <v>101.25</v>
      </c>
      <c r="K1457" t="inlineStr">
        <is>
          <t>&gt; Perfumería &gt; Cuidado Capilar &gt; Reparación y Tratamientos &gt;</t>
        </is>
      </c>
      <c r="L1457" t="inlineStr">
        <is>
          <t>tratamiento</t>
        </is>
      </c>
      <c r="M1457" t="inlineStr">
        <is>
          <t>estandar</t>
        </is>
      </c>
      <c r="N1457" t="inlineStr">
        <is>
          <t>general</t>
        </is>
      </c>
      <c r="O1457" t="inlineStr">
        <is>
          <t>https://www.jumbo.com.ar/spray-para-el-cabello-hydra-oil-x-120-ml-tresemme/p</t>
        </is>
      </c>
    </row>
    <row r="1458">
      <c r="A1458" s="2" t="inlineStr">
        <is>
          <t>Jumbo</t>
        </is>
      </c>
      <c r="B1458" s="2" t="n">
        <v>3073300</v>
      </c>
      <c r="C1458" s="2" t="n">
        <v>3072805</v>
      </c>
      <c r="D1458" s="2" t="inlineStr">
        <is>
          <t>Tratamiento Capilar Vegetal Regenerador X 300 Ml Bagovit</t>
        </is>
      </c>
      <c r="E1458" s="2" t="inlineStr">
        <is>
          <t>BAGOVIT</t>
        </is>
      </c>
      <c r="F1458" s="2" t="n">
        <v>9700</v>
      </c>
      <c r="G1458" s="2" t="n">
        <v>801653</v>
      </c>
      <c r="H1458" s="2" t="b">
        <v>0</v>
      </c>
      <c r="I1458" s="2" t="n">
        <v>300</v>
      </c>
      <c r="J1458" s="2" t="n">
        <v>32.3333</v>
      </c>
      <c r="K1458" s="2" t="inlineStr">
        <is>
          <t>&gt; Perfumería &gt; Cuidado Capilar &gt; Reparación y Tratamientos &gt;</t>
        </is>
      </c>
      <c r="L1458" s="2" t="inlineStr">
        <is>
          <t>tratamiento</t>
        </is>
      </c>
      <c r="M1458" s="2" t="inlineStr">
        <is>
          <t>estandar</t>
        </is>
      </c>
      <c r="N1458" s="2" t="inlineStr">
        <is>
          <t>general</t>
        </is>
      </c>
      <c r="O1458" s="2" t="inlineStr">
        <is>
          <t>https://www.jumbo.com.ar/tratamiento-capilar-vegetal-regenerador-x-300-ml-bagovit/p</t>
        </is>
      </c>
    </row>
    <row r="1459">
      <c r="A1459" t="inlineStr">
        <is>
          <t>Jumbo</t>
        </is>
      </c>
      <c r="B1459" t="n">
        <v>174769</v>
      </c>
      <c r="C1459" t="n">
        <v>186256</v>
      </c>
      <c r="D1459" t="inlineStr">
        <is>
          <t>Tratamiento Capilar Estilisse Rulos Atractivos Pote 330 Ml</t>
        </is>
      </c>
      <c r="E1459" t="inlineStr">
        <is>
          <t>NENNIN NATURESSENCE</t>
        </is>
      </c>
      <c r="F1459" t="n">
        <v>4.49</v>
      </c>
      <c r="G1459" t="n">
        <v>4.49</v>
      </c>
      <c r="H1459" t="b">
        <v>0</v>
      </c>
      <c r="I1459" t="n">
        <v>330</v>
      </c>
      <c r="J1459" t="n">
        <v>0.0136</v>
      </c>
      <c r="K1459" t="inlineStr">
        <is>
          <t>&gt; Perfumería &gt; Cuidado Capilar &gt; Reparación y Tratamientos &gt;</t>
        </is>
      </c>
      <c r="L1459" t="inlineStr">
        <is>
          <t>tratamiento</t>
        </is>
      </c>
      <c r="M1459" t="inlineStr">
        <is>
          <t>estandar</t>
        </is>
      </c>
      <c r="N1459" t="inlineStr">
        <is>
          <t>rizado</t>
        </is>
      </c>
      <c r="O1459" t="inlineStr">
        <is>
          <t>https://www.jumbo.com.ar/tratamiento-capilar-estilisse-rulos-atractivos-pote-330-ml/p</t>
        </is>
      </c>
    </row>
    <row r="1460">
      <c r="A1460" s="2" t="inlineStr">
        <is>
          <t>Jumbo</t>
        </is>
      </c>
      <c r="B1460" s="2" t="n">
        <v>148932</v>
      </c>
      <c r="C1460" s="2" t="n">
        <v>145824</v>
      </c>
      <c r="D1460" s="2" t="inlineStr">
        <is>
          <t>Tratamiento Capilar Plusbelle-plusbelle Effect-reparación Total-pot-ml.-400</t>
        </is>
      </c>
      <c r="E1460" s="2" t="inlineStr">
        <is>
          <t>PLUSBELLE</t>
        </is>
      </c>
      <c r="F1460" s="2" t="n">
        <v>14.47</v>
      </c>
      <c r="G1460" s="2" t="n">
        <v>1196</v>
      </c>
      <c r="H1460" s="2" t="b">
        <v>0</v>
      </c>
      <c r="I1460" s="2" t="inlineStr"/>
      <c r="J1460" s="2" t="inlineStr"/>
      <c r="K1460" s="2" t="inlineStr">
        <is>
          <t>&gt; Perfumería &gt; Cuidado Capilar &gt; Reparación y Tratamientos &gt;</t>
        </is>
      </c>
      <c r="L1460" s="2" t="inlineStr">
        <is>
          <t>tratamiento</t>
        </is>
      </c>
      <c r="M1460" s="2" t="inlineStr">
        <is>
          <t>estandar</t>
        </is>
      </c>
      <c r="N1460" s="2" t="inlineStr">
        <is>
          <t>general</t>
        </is>
      </c>
      <c r="O1460" s="2" t="inlineStr">
        <is>
          <t>https://www.jumbo.com.ar/tratamiento-capilar-plusbelle-plusbelle-effect-reparacion-total-pot-ml-400-2/p</t>
        </is>
      </c>
    </row>
    <row r="1461">
      <c r="A1461" t="inlineStr">
        <is>
          <t>Jumbo</t>
        </is>
      </c>
      <c r="B1461" t="n">
        <v>135324</v>
      </c>
      <c r="C1461" t="n">
        <v>132237</v>
      </c>
      <c r="D1461" t="inlineStr">
        <is>
          <t>Tratamiento Capilar Capilatis-para Caída Del Cabello-bli-ml.-10</t>
        </is>
      </c>
      <c r="E1461" t="inlineStr">
        <is>
          <t>CAPILATIS</t>
        </is>
      </c>
      <c r="F1461" t="n">
        <v>20.17</v>
      </c>
      <c r="G1461" t="n">
        <v>1667</v>
      </c>
      <c r="H1461" t="b">
        <v>0</v>
      </c>
      <c r="I1461" t="inlineStr"/>
      <c r="J1461" t="inlineStr"/>
      <c r="K1461" t="inlineStr">
        <is>
          <t>&gt; Perfumería &gt; Cuidado Capilar &gt; Reparación y Tratamientos &gt;</t>
        </is>
      </c>
      <c r="L1461" t="inlineStr">
        <is>
          <t>tratamiento</t>
        </is>
      </c>
      <c r="M1461" t="inlineStr">
        <is>
          <t>estandar</t>
        </is>
      </c>
      <c r="N1461" t="inlineStr">
        <is>
          <t>general</t>
        </is>
      </c>
      <c r="O1461" t="inlineStr">
        <is>
          <t>https://www.jumbo.com.ar/tratamiento-capilar-capilatis-para-caida-del-cabello-bli-ml-10/p</t>
        </is>
      </c>
    </row>
    <row r="1462">
      <c r="A1462" s="2" t="inlineStr">
        <is>
          <t>Jumbo</t>
        </is>
      </c>
      <c r="B1462" s="2" t="n">
        <v>383083</v>
      </c>
      <c r="C1462" s="2" t="n">
        <v>381798</v>
      </c>
      <c r="D1462" s="2" t="inlineStr">
        <is>
          <t>Tratamiento Capilar Canas Fabulosas Anti-Amarillo 150 Grs Issue</t>
        </is>
      </c>
      <c r="E1462" s="2" t="inlineStr">
        <is>
          <t>ISSUE</t>
        </is>
      </c>
      <c r="F1462" s="2" t="n">
        <v>4400</v>
      </c>
      <c r="G1462" s="2" t="n">
        <v>363636</v>
      </c>
      <c r="H1462" s="2" t="b">
        <v>0</v>
      </c>
      <c r="I1462" s="2" t="inlineStr"/>
      <c r="J1462" s="2" t="inlineStr"/>
      <c r="K1462" s="2" t="inlineStr">
        <is>
          <t>&gt; Perfumería &gt; Cuidado Capilar &gt; Reparación y Tratamientos &gt;</t>
        </is>
      </c>
      <c r="L1462" s="2" t="inlineStr">
        <is>
          <t>tratamiento</t>
        </is>
      </c>
      <c r="M1462" s="2" t="inlineStr">
        <is>
          <t>estandar</t>
        </is>
      </c>
      <c r="N1462" s="2" t="inlineStr">
        <is>
          <t>general</t>
        </is>
      </c>
      <c r="O1462" s="2" t="inlineStr">
        <is>
          <t>https://www.jumbo.com.ar/tratamiento-capilar-issue-canas-fabulosas-150-gr/p</t>
        </is>
      </c>
    </row>
    <row r="1463">
      <c r="A1463" t="inlineStr">
        <is>
          <t>Jumbo</t>
        </is>
      </c>
      <c r="B1463" t="n">
        <v>149502</v>
      </c>
      <c r="C1463" t="n">
        <v>146394</v>
      </c>
      <c r="D1463" t="inlineStr">
        <is>
          <t>Tratamiento Capilar Plusbelle-plusbelle Effect-control Caida-pot-ml.-400</t>
        </is>
      </c>
      <c r="E1463" t="inlineStr">
        <is>
          <t>PLUSBELLE</t>
        </is>
      </c>
      <c r="F1463" t="n">
        <v>18.35</v>
      </c>
      <c r="G1463" t="n">
        <v>18.35</v>
      </c>
      <c r="H1463" t="b">
        <v>0</v>
      </c>
      <c r="I1463" t="inlineStr"/>
      <c r="J1463" t="inlineStr"/>
      <c r="K1463" t="inlineStr">
        <is>
          <t>&gt; Perfumería &gt; Cuidado Capilar &gt; Reparación y Tratamientos &gt;</t>
        </is>
      </c>
      <c r="L1463" t="inlineStr">
        <is>
          <t>tratamiento</t>
        </is>
      </c>
      <c r="M1463" t="inlineStr">
        <is>
          <t>estandar</t>
        </is>
      </c>
      <c r="N1463" t="inlineStr">
        <is>
          <t>general</t>
        </is>
      </c>
      <c r="O1463" t="inlineStr">
        <is>
          <t>https://www.jumbo.com.ar/tratamiento-capilar-plusbelle-plusbelle-effect-control-caida-pot-ml-400/p</t>
        </is>
      </c>
    </row>
    <row r="1464">
      <c r="A1464" s="2" t="inlineStr">
        <is>
          <t>Jumbo</t>
        </is>
      </c>
      <c r="B1464" s="2" t="n">
        <v>149108</v>
      </c>
      <c r="C1464" s="2" t="n">
        <v>146000</v>
      </c>
      <c r="D1464" s="2" t="inlineStr">
        <is>
          <t>Tratamiento Capilar Plusbelle-plusbelle Effect-extra  Brillo-pot-ml.-400</t>
        </is>
      </c>
      <c r="E1464" s="2" t="inlineStr">
        <is>
          <t>PLUSBELLE</t>
        </is>
      </c>
      <c r="F1464" s="2" t="n">
        <v>14.47</v>
      </c>
      <c r="G1464" s="2" t="n">
        <v>1196</v>
      </c>
      <c r="H1464" s="2" t="b">
        <v>0</v>
      </c>
      <c r="I1464" s="2" t="inlineStr"/>
      <c r="J1464" s="2" t="inlineStr"/>
      <c r="K1464" s="2" t="inlineStr">
        <is>
          <t>&gt; Perfumería &gt; Cuidado Capilar &gt; Reparación y Tratamientos &gt;</t>
        </is>
      </c>
      <c r="L1464" s="2" t="inlineStr">
        <is>
          <t>tratamiento</t>
        </is>
      </c>
      <c r="M1464" s="2" t="inlineStr">
        <is>
          <t>estandar</t>
        </is>
      </c>
      <c r="N1464" s="2" t="inlineStr">
        <is>
          <t>general</t>
        </is>
      </c>
      <c r="O1464" s="2" t="inlineStr">
        <is>
          <t>https://www.jumbo.com.ar/tratamiento-capilar-plusbelle-plusbelle-effect-extra-brillo-pot-ml-400-2/p</t>
        </is>
      </c>
    </row>
    <row r="1465">
      <c r="A1465" t="inlineStr">
        <is>
          <t>Jumbo</t>
        </is>
      </c>
      <c r="B1465" t="n">
        <v>135554</v>
      </c>
      <c r="C1465" t="n">
        <v>132466</v>
      </c>
      <c r="D1465" t="inlineStr">
        <is>
          <t>Tratamiento Capilar Capilatis-u2 Rattle &amp; Hum-bli-ml.-10</t>
        </is>
      </c>
      <c r="E1465" t="inlineStr">
        <is>
          <t>CAPILATIS</t>
        </is>
      </c>
      <c r="F1465" t="n">
        <v>33.95</v>
      </c>
      <c r="G1465" t="n">
        <v>2806</v>
      </c>
      <c r="H1465" t="b">
        <v>0</v>
      </c>
      <c r="I1465" t="inlineStr"/>
      <c r="J1465" t="inlineStr"/>
      <c r="K1465" t="inlineStr">
        <is>
          <t>&gt; Perfumería &gt; Cuidado Capilar &gt; Reparación y Tratamientos &gt;</t>
        </is>
      </c>
      <c r="L1465" t="inlineStr">
        <is>
          <t>tratamiento</t>
        </is>
      </c>
      <c r="M1465" t="inlineStr">
        <is>
          <t>estandar</t>
        </is>
      </c>
      <c r="N1465" t="inlineStr">
        <is>
          <t>general</t>
        </is>
      </c>
      <c r="O1465" t="inlineStr">
        <is>
          <t>https://www.jumbo.com.ar/tratamiento-capilar-capilatis-u2-rattle-hum-bli-ml-10/p</t>
        </is>
      </c>
    </row>
    <row r="1466">
      <c r="A1466" s="2" t="inlineStr">
        <is>
          <t>Jumbo</t>
        </is>
      </c>
      <c r="B1466" s="2" t="n">
        <v>90744</v>
      </c>
      <c r="C1466" s="2" t="n">
        <v>88072</v>
      </c>
      <c r="D1466" s="2" t="inlineStr">
        <is>
          <t>Tratamiento Capilar Plusbelle-color Brillante-plusbelle Effect.-pvc-ml.-400</t>
        </is>
      </c>
      <c r="E1466" s="2" t="inlineStr">
        <is>
          <t>PLUSBELLE</t>
        </is>
      </c>
      <c r="F1466" s="2" t="n">
        <v>21.89</v>
      </c>
      <c r="G1466" s="2" t="n">
        <v>1809</v>
      </c>
      <c r="H1466" s="2" t="b">
        <v>0</v>
      </c>
      <c r="I1466" s="2" t="inlineStr"/>
      <c r="J1466" s="2" t="inlineStr"/>
      <c r="K1466" s="2" t="inlineStr">
        <is>
          <t>&gt; Perfumería &gt; Cuidado Capilar &gt; Reparación y Tratamientos &gt;</t>
        </is>
      </c>
      <c r="L1466" s="2" t="inlineStr">
        <is>
          <t>tratamiento</t>
        </is>
      </c>
      <c r="M1466" s="2" t="inlineStr">
        <is>
          <t>estandar</t>
        </is>
      </c>
      <c r="N1466" s="2" t="inlineStr">
        <is>
          <t>tratado</t>
        </is>
      </c>
      <c r="O1466" s="2" t="inlineStr">
        <is>
          <t>https://www.jumbo.com.ar/tratamiento-capilar-plusbelle-color-brillante-plusbelle-effect-pvc-ml-400/p</t>
        </is>
      </c>
    </row>
    <row r="1467">
      <c r="A1467" t="inlineStr">
        <is>
          <t>Jumbo</t>
        </is>
      </c>
      <c r="B1467" t="n">
        <v>30223</v>
      </c>
      <c r="C1467" t="n">
        <v>27382</v>
      </c>
      <c r="D1467" t="inlineStr">
        <is>
          <t>Tratamiento Capilar Pantene Microactive Split End Fuser 100 Ml</t>
        </is>
      </c>
      <c r="E1467" t="inlineStr">
        <is>
          <t>PANTENE</t>
        </is>
      </c>
      <c r="F1467" t="n">
        <v>121.79</v>
      </c>
      <c r="G1467" t="n">
        <v>10065</v>
      </c>
      <c r="H1467" t="b">
        <v>0</v>
      </c>
      <c r="I1467" t="n">
        <v>100</v>
      </c>
      <c r="J1467" t="n">
        <v>1.2179</v>
      </c>
      <c r="K1467" t="inlineStr">
        <is>
          <t>&gt; Perfumería &gt; Cuidado Capilar &gt; Reparación y Tratamientos &gt;</t>
        </is>
      </c>
      <c r="L1467" t="inlineStr">
        <is>
          <t>tratamiento</t>
        </is>
      </c>
      <c r="M1467" t="inlineStr">
        <is>
          <t>estandar</t>
        </is>
      </c>
      <c r="N1467" t="inlineStr">
        <is>
          <t>general</t>
        </is>
      </c>
      <c r="O1467" t="inlineStr">
        <is>
          <t>https://www.jumbo.com.ar/tratamiento-capilar-pantene-3/p</t>
        </is>
      </c>
    </row>
    <row r="1468">
      <c r="A1468" s="2" t="inlineStr">
        <is>
          <t>Jumbo</t>
        </is>
      </c>
      <c r="B1468" s="2" t="n">
        <v>135496</v>
      </c>
      <c r="C1468" s="2" t="n">
        <v>132408</v>
      </c>
      <c r="D1468" s="2" t="inlineStr">
        <is>
          <t>Tratamiento Capilar Capilatis-ortiga-para Caída Del Cabello-bli-ml.-10</t>
        </is>
      </c>
      <c r="E1468" s="2" t="inlineStr">
        <is>
          <t>CAPILATIS</t>
        </is>
      </c>
      <c r="F1468" s="2" t="n">
        <v>20.17</v>
      </c>
      <c r="G1468" s="2" t="n">
        <v>1667</v>
      </c>
      <c r="H1468" s="2" t="b">
        <v>0</v>
      </c>
      <c r="I1468" s="2" t="inlineStr"/>
      <c r="J1468" s="2" t="inlineStr"/>
      <c r="K1468" s="2" t="inlineStr">
        <is>
          <t>&gt; Perfumería &gt; Cuidado Capilar &gt; Reparación y Tratamientos &gt;</t>
        </is>
      </c>
      <c r="L1468" s="2" t="inlineStr">
        <is>
          <t>tratamiento</t>
        </is>
      </c>
      <c r="M1468" s="2" t="inlineStr">
        <is>
          <t>estandar</t>
        </is>
      </c>
      <c r="N1468" s="2" t="inlineStr">
        <is>
          <t>general</t>
        </is>
      </c>
      <c r="O1468" s="2" t="inlineStr">
        <is>
          <t>https://www.jumbo.com.ar/tratamiento-capilar-capilatis-ortiga-para-caida-del-cabello-bli-ml-10/p</t>
        </is>
      </c>
    </row>
    <row r="1469">
      <c r="A1469" t="inlineStr">
        <is>
          <t>Jumbo</t>
        </is>
      </c>
      <c r="B1469" t="n">
        <v>160082</v>
      </c>
      <c r="C1469" t="n">
        <v>157639</v>
      </c>
      <c r="D1469" t="inlineStr">
        <is>
          <t>Tratamiento Capilar Plusbelle X 450 Ml-reparación Y  Fuerza-pet-ml.-450</t>
        </is>
      </c>
      <c r="E1469" t="inlineStr">
        <is>
          <t>PLUSBELLE</t>
        </is>
      </c>
      <c r="F1469" t="n">
        <v>10.35</v>
      </c>
      <c r="G1469" t="n">
        <v>10.35</v>
      </c>
      <c r="H1469" t="b">
        <v>0</v>
      </c>
      <c r="I1469" t="n">
        <v>450</v>
      </c>
      <c r="J1469" t="n">
        <v>0.023</v>
      </c>
      <c r="K1469" t="inlineStr">
        <is>
          <t>&gt; Perfumería &gt; Cuidado Capilar &gt; Reparación y Tratamientos &gt;</t>
        </is>
      </c>
      <c r="L1469" t="inlineStr">
        <is>
          <t>tratamiento</t>
        </is>
      </c>
      <c r="M1469" t="inlineStr">
        <is>
          <t>estandar</t>
        </is>
      </c>
      <c r="N1469" t="inlineStr">
        <is>
          <t>general</t>
        </is>
      </c>
      <c r="O1469" t="inlineStr">
        <is>
          <t>https://www.jumbo.com.ar/tratamiento-capilar-plusbelle-x-450-ml-reparacion-y-fuerza-pet-ml-450-2/p</t>
        </is>
      </c>
    </row>
    <row r="1470">
      <c r="A1470" s="2" t="inlineStr">
        <is>
          <t>Jumbo</t>
        </is>
      </c>
      <c r="B1470" s="2" t="n">
        <v>58826</v>
      </c>
      <c r="C1470" s="2" t="n">
        <v>55981</v>
      </c>
      <c r="D1470" s="2" t="inlineStr">
        <is>
          <t>Tratamiento Capilar Capilatis-anti-age Hair Therapy-con Uva Roja-pvc-ml.-350</t>
        </is>
      </c>
      <c r="E1470" s="2" t="inlineStr">
        <is>
          <t>CAPILATIS</t>
        </is>
      </c>
      <c r="F1470" s="2" t="n">
        <v>23.37</v>
      </c>
      <c r="G1470" s="2" t="n">
        <v>23.37</v>
      </c>
      <c r="H1470" s="2" t="b">
        <v>0</v>
      </c>
      <c r="I1470" s="2" t="inlineStr"/>
      <c r="J1470" s="2" t="inlineStr"/>
      <c r="K1470" s="2" t="inlineStr">
        <is>
          <t>&gt; Perfumería &gt; Cuidado Capilar &gt; Reparación y Tratamientos &gt;</t>
        </is>
      </c>
      <c r="L1470" s="2" t="inlineStr">
        <is>
          <t>tratamiento</t>
        </is>
      </c>
      <c r="M1470" s="2" t="inlineStr">
        <is>
          <t>estandar</t>
        </is>
      </c>
      <c r="N1470" s="2" t="inlineStr">
        <is>
          <t>general</t>
        </is>
      </c>
      <c r="O1470" s="2" t="inlineStr">
        <is>
          <t>https://www.jumbo.com.ar/tratamiento-capilar-capilatis-anti-age-hair-therapy-con-uva-roja-pvc-ml-350/p</t>
        </is>
      </c>
    </row>
    <row r="1471">
      <c r="A1471" t="inlineStr">
        <is>
          <t>Jumbo</t>
        </is>
      </c>
      <c r="B1471" t="n">
        <v>58248</v>
      </c>
      <c r="C1471" t="n">
        <v>55402</v>
      </c>
      <c r="D1471" t="inlineStr">
        <is>
          <t>Tratamiento Capilar Capilatis-vida-color Hair Therapy-con Uva Blanca-pvc-gr.-170</t>
        </is>
      </c>
      <c r="E1471" t="inlineStr">
        <is>
          <t>CAPILATIS</t>
        </is>
      </c>
      <c r="F1471" t="n">
        <v>23.37</v>
      </c>
      <c r="G1471" t="n">
        <v>1931</v>
      </c>
      <c r="H1471" t="b">
        <v>0</v>
      </c>
      <c r="I1471" t="inlineStr"/>
      <c r="J1471" t="inlineStr"/>
      <c r="K1471" t="inlineStr">
        <is>
          <t>&gt; Perfumería &gt; Cuidado Capilar &gt; Reparación y Tratamientos &gt;</t>
        </is>
      </c>
      <c r="L1471" t="inlineStr">
        <is>
          <t>tratamiento</t>
        </is>
      </c>
      <c r="M1471" t="inlineStr">
        <is>
          <t>estandar</t>
        </is>
      </c>
      <c r="N1471" t="inlineStr">
        <is>
          <t>tratado</t>
        </is>
      </c>
      <c r="O1471" t="inlineStr">
        <is>
          <t>https://www.jumbo.com.ar/tratamiento-capilar-capilatis-vida-color-hair-therapy-con-uva-blanca-pvc-gr-170/p</t>
        </is>
      </c>
    </row>
    <row r="1472">
      <c r="A1472" s="2" t="inlineStr">
        <is>
          <t>Jumbo</t>
        </is>
      </c>
      <c r="B1472" s="2" t="n">
        <v>16363</v>
      </c>
      <c r="C1472" s="2" t="n">
        <v>13500</v>
      </c>
      <c r="D1472" s="2" t="inlineStr">
        <is>
          <t>Tratamiento Capilatis Intensivo 140gr Tratamiento Capilar Capilatis  Intensivo  Pvc X 140 Gr.</t>
        </is>
      </c>
      <c r="E1472" s="2" t="inlineStr">
        <is>
          <t>CAPILATIS</t>
        </is>
      </c>
      <c r="F1472" s="2" t="n">
        <v>84.19</v>
      </c>
      <c r="G1472" s="2" t="n">
        <v>6958</v>
      </c>
      <c r="H1472" s="2" t="b">
        <v>0</v>
      </c>
      <c r="I1472" s="2" t="n">
        <v>140</v>
      </c>
      <c r="J1472" s="2" t="n">
        <v>0.6014</v>
      </c>
      <c r="K1472" s="2" t="inlineStr">
        <is>
          <t>&gt; Perfumería &gt; Cuidado Capilar &gt; Reparación y Tratamientos &gt;</t>
        </is>
      </c>
      <c r="L1472" s="2" t="inlineStr">
        <is>
          <t>tratamiento</t>
        </is>
      </c>
      <c r="M1472" s="2" t="inlineStr">
        <is>
          <t>estandar</t>
        </is>
      </c>
      <c r="N1472" s="2" t="inlineStr">
        <is>
          <t>general</t>
        </is>
      </c>
      <c r="O1472" s="2" t="inlineStr">
        <is>
          <t>https://www.jumbo.com.ar/tratamiento-capilatis-intensivo-140gr/p</t>
        </is>
      </c>
    </row>
    <row r="1473">
      <c r="A1473" t="inlineStr">
        <is>
          <t>Jumbo</t>
        </is>
      </c>
      <c r="B1473" t="n">
        <v>18073</v>
      </c>
      <c r="C1473" t="n">
        <v>15170</v>
      </c>
      <c r="D1473" t="inlineStr">
        <is>
          <t>Tratamiento Pote Oleo Nutrición Capilar 200 Ml</t>
        </is>
      </c>
      <c r="E1473" t="inlineStr">
        <is>
          <t>DOVE</t>
        </is>
      </c>
      <c r="F1473" t="n">
        <v>69.09</v>
      </c>
      <c r="G1473" t="n">
        <v>5710</v>
      </c>
      <c r="H1473" t="b">
        <v>0</v>
      </c>
      <c r="I1473" t="n">
        <v>200</v>
      </c>
      <c r="J1473" t="n">
        <v>0.3455</v>
      </c>
      <c r="K1473" t="inlineStr">
        <is>
          <t>&gt; Perfumería &gt; Cuidado Capilar &gt; Reparación y Tratamientos &gt;</t>
        </is>
      </c>
      <c r="L1473" t="inlineStr">
        <is>
          <t>tratamiento</t>
        </is>
      </c>
      <c r="M1473" t="inlineStr">
        <is>
          <t>estandar</t>
        </is>
      </c>
      <c r="N1473" t="inlineStr">
        <is>
          <t>general</t>
        </is>
      </c>
      <c r="O1473" t="inlineStr">
        <is>
          <t>https://www.jumbo.com.ar/tratamiento-pote-oleo-nutricion-capilar-200-ml/p</t>
        </is>
      </c>
    </row>
    <row r="1474">
      <c r="A1474" s="2" t="inlineStr">
        <is>
          <t>Jumbo</t>
        </is>
      </c>
      <c r="B1474" s="2" t="n">
        <v>259795</v>
      </c>
      <c r="C1474" s="2" t="n">
        <v>259089</v>
      </c>
      <c r="D1474" s="2" t="inlineStr">
        <is>
          <t>Tratamiento Issue Keratina 150gr</t>
        </is>
      </c>
      <c r="E1474" s="2" t="inlineStr">
        <is>
          <t>ROBY</t>
        </is>
      </c>
      <c r="F1474" s="2" t="n">
        <v>333.37</v>
      </c>
      <c r="G1474" s="2" t="n">
        <v>27551</v>
      </c>
      <c r="H1474" s="2" t="b">
        <v>0</v>
      </c>
      <c r="I1474" s="2" t="n">
        <v>150</v>
      </c>
      <c r="J1474" s="2" t="n">
        <v>2.2225</v>
      </c>
      <c r="K1474" s="2" t="inlineStr">
        <is>
          <t>&gt; Perfumería &gt; Cuidado Capilar &gt; Reparación y Tratamientos &gt;</t>
        </is>
      </c>
      <c r="L1474" s="2" t="inlineStr">
        <is>
          <t>tratamiento</t>
        </is>
      </c>
      <c r="M1474" s="2" t="inlineStr">
        <is>
          <t>estandar</t>
        </is>
      </c>
      <c r="N1474" s="2" t="inlineStr">
        <is>
          <t>tratado</t>
        </is>
      </c>
      <c r="O1474" s="2" t="inlineStr">
        <is>
          <t>https://www.jumbo.com.ar/tratamiento-issue-keratina-150gr/p</t>
        </is>
      </c>
    </row>
    <row r="1475">
      <c r="A1475" t="inlineStr">
        <is>
          <t>Jumbo</t>
        </is>
      </c>
      <c r="B1475" t="n">
        <v>259796</v>
      </c>
      <c r="C1475" t="n">
        <v>259090</v>
      </c>
      <c r="D1475" t="inlineStr">
        <is>
          <t>Tratamiento Issue Shock Brillo 150gr</t>
        </is>
      </c>
      <c r="E1475" t="inlineStr">
        <is>
          <t>ROBY</t>
        </is>
      </c>
      <c r="F1475" t="n">
        <v>246.59</v>
      </c>
      <c r="G1475" t="n">
        <v>20379</v>
      </c>
      <c r="H1475" t="b">
        <v>0</v>
      </c>
      <c r="I1475" t="n">
        <v>150</v>
      </c>
      <c r="J1475" t="n">
        <v>1.6439</v>
      </c>
      <c r="K1475" t="inlineStr">
        <is>
          <t>&gt; Perfumería &gt; Cuidado Capilar &gt; Reparación y Tratamientos &gt;</t>
        </is>
      </c>
      <c r="L1475" t="inlineStr">
        <is>
          <t>tratamiento</t>
        </is>
      </c>
      <c r="M1475" t="inlineStr">
        <is>
          <t>estandar</t>
        </is>
      </c>
      <c r="N1475" t="inlineStr">
        <is>
          <t>general</t>
        </is>
      </c>
      <c r="O1475" t="inlineStr">
        <is>
          <t>https://www.jumbo.com.ar/tratamiento-issue-shock-brillo-150gr/p</t>
        </is>
      </c>
    </row>
    <row r="1476">
      <c r="A1476" s="2" t="inlineStr">
        <is>
          <t>Jumbo</t>
        </is>
      </c>
      <c r="B1476" s="2" t="n">
        <v>384229</v>
      </c>
      <c r="C1476" s="2" t="n">
        <v>382915</v>
      </c>
      <c r="D1476" s="2" t="inlineStr">
        <is>
          <t>Máscara Tratamiento Tresemme Reparación Intra Capilar 300 Gr</t>
        </is>
      </c>
      <c r="E1476" s="2" t="inlineStr">
        <is>
          <t>TRESEMMÉ</t>
        </is>
      </c>
      <c r="F1476" s="2" t="n">
        <v>1850</v>
      </c>
      <c r="G1476" s="2" t="n">
        <v>152893</v>
      </c>
      <c r="H1476" s="2" t="b">
        <v>0</v>
      </c>
      <c r="I1476" s="2" t="n">
        <v>300</v>
      </c>
      <c r="J1476" s="2" t="n">
        <v>6.1667</v>
      </c>
      <c r="K1476" s="2" t="inlineStr">
        <is>
          <t>&gt; Perfumería &gt; Cuidado Capilar &gt; Reparación y Tratamientos &gt;</t>
        </is>
      </c>
      <c r="L1476" s="2" t="inlineStr">
        <is>
          <t>tratamiento</t>
        </is>
      </c>
      <c r="M1476" s="2" t="inlineStr">
        <is>
          <t>estandar</t>
        </is>
      </c>
      <c r="N1476" s="2" t="inlineStr">
        <is>
          <t>general</t>
        </is>
      </c>
      <c r="O1476" s="2" t="inlineStr">
        <is>
          <t>https://www.jumbo.com.ar/mascara-tratamiento-tresemme-reparacion-intra-capilar-300-gr/p</t>
        </is>
      </c>
    </row>
    <row r="1477">
      <c r="A1477" t="inlineStr">
        <is>
          <t>Jumbo</t>
        </is>
      </c>
      <c r="B1477" t="n">
        <v>75361</v>
      </c>
      <c r="C1477" t="n">
        <v>72491</v>
      </c>
      <c r="D1477" t="inlineStr">
        <is>
          <t>Tratamiento Capilatis Cabello Teñido X 200 Gr.</t>
        </is>
      </c>
      <c r="E1477" t="inlineStr">
        <is>
          <t>CAPILATIS</t>
        </is>
      </c>
      <c r="F1477" t="n">
        <v>5.17</v>
      </c>
      <c r="G1477" t="n">
        <v>427</v>
      </c>
      <c r="H1477" t="b">
        <v>0</v>
      </c>
      <c r="I1477" t="n">
        <v>200</v>
      </c>
      <c r="J1477" t="n">
        <v>0.0258</v>
      </c>
      <c r="K1477" t="inlineStr">
        <is>
          <t>&gt; Perfumería &gt; Cuidado Capilar &gt; Reparación y Tratamientos &gt;</t>
        </is>
      </c>
      <c r="L1477" t="inlineStr">
        <is>
          <t>tratamiento</t>
        </is>
      </c>
      <c r="M1477" t="inlineStr">
        <is>
          <t>estandar</t>
        </is>
      </c>
      <c r="N1477" t="inlineStr">
        <is>
          <t>tratado</t>
        </is>
      </c>
      <c r="O1477" t="inlineStr">
        <is>
          <t>https://www.jumbo.com.ar/tratamiento-capilatis-cabello-tenido-x-200-gr/p</t>
        </is>
      </c>
    </row>
    <row r="1478">
      <c r="A1478" s="2" t="inlineStr">
        <is>
          <t>Jumbo</t>
        </is>
      </c>
      <c r="B1478" s="2" t="n">
        <v>29587</v>
      </c>
      <c r="C1478" s="2" t="n">
        <v>26749</v>
      </c>
      <c r="D1478" s="2" t="inlineStr">
        <is>
          <t>Tratamiento Capilatis Keratina 170gr</t>
        </is>
      </c>
      <c r="E1478" s="2" t="inlineStr">
        <is>
          <t>CAPILATIS</t>
        </is>
      </c>
      <c r="F1478" s="2" t="n">
        <v>1228.24</v>
      </c>
      <c r="G1478" s="2" t="n">
        <v>101507</v>
      </c>
      <c r="H1478" s="2" t="b">
        <v>0</v>
      </c>
      <c r="I1478" s="2" t="n">
        <v>170</v>
      </c>
      <c r="J1478" s="2" t="n">
        <v>7.2249</v>
      </c>
      <c r="K1478" s="2" t="inlineStr">
        <is>
          <t>&gt; Perfumería &gt; Cuidado Capilar &gt; Reparación y Tratamientos &gt;</t>
        </is>
      </c>
      <c r="L1478" s="2" t="inlineStr">
        <is>
          <t>tratamiento</t>
        </is>
      </c>
      <c r="M1478" s="2" t="inlineStr">
        <is>
          <t>estandar</t>
        </is>
      </c>
      <c r="N1478" s="2" t="inlineStr">
        <is>
          <t>tratado</t>
        </is>
      </c>
      <c r="O1478" s="2" t="inlineStr">
        <is>
          <t>https://www.jumbo.com.ar/tratamiento-capilatis-keratina-170gr-2/p</t>
        </is>
      </c>
    </row>
    <row r="1479">
      <c r="A1479" t="inlineStr">
        <is>
          <t>Jumbo</t>
        </is>
      </c>
      <c r="B1479" t="n">
        <v>288729</v>
      </c>
      <c r="C1479" t="n">
        <v>287976</v>
      </c>
      <c r="D1479" t="inlineStr">
        <is>
          <t>Tratamiento Capilatis Aloe 170gr</t>
        </is>
      </c>
      <c r="E1479" t="inlineStr">
        <is>
          <t>CAPILATIS</t>
        </is>
      </c>
      <c r="F1479" t="n">
        <v>1471.39</v>
      </c>
      <c r="G1479" t="n">
        <v>121602</v>
      </c>
      <c r="H1479" t="b">
        <v>0</v>
      </c>
      <c r="I1479" t="n">
        <v>170</v>
      </c>
      <c r="J1479" t="n">
        <v>8.655200000000001</v>
      </c>
      <c r="K1479" t="inlineStr">
        <is>
          <t>&gt; Perfumería &gt; Cuidado Capilar &gt; Reparación y Tratamientos &gt;</t>
        </is>
      </c>
      <c r="L1479" t="inlineStr">
        <is>
          <t>tratamiento</t>
        </is>
      </c>
      <c r="M1479" t="inlineStr">
        <is>
          <t>estandar</t>
        </is>
      </c>
      <c r="N1479" t="inlineStr">
        <is>
          <t>general</t>
        </is>
      </c>
      <c r="O1479" t="inlineStr">
        <is>
          <t>https://www.jumbo.com.ar/tratamiento-capilatis-aloe-170gr/p</t>
        </is>
      </c>
    </row>
    <row r="1480">
      <c r="A1480" s="2" t="inlineStr">
        <is>
          <t>Jumbo</t>
        </is>
      </c>
      <c r="B1480" s="2" t="n">
        <v>39434</v>
      </c>
      <c r="C1480" s="2" t="n">
        <v>36600</v>
      </c>
      <c r="D1480" s="2" t="inlineStr">
        <is>
          <t>Tratamiento Capilatis Lifting 170gr</t>
        </is>
      </c>
      <c r="E1480" s="2" t="inlineStr">
        <is>
          <t>CAPILATIS</t>
        </is>
      </c>
      <c r="F1480" s="2" t="n">
        <v>1450</v>
      </c>
      <c r="G1480" s="2" t="n">
        <v>119835</v>
      </c>
      <c r="H1480" s="2" t="b">
        <v>0</v>
      </c>
      <c r="I1480" s="2" t="n">
        <v>170</v>
      </c>
      <c r="J1480" s="2" t="n">
        <v>8.529400000000001</v>
      </c>
      <c r="K1480" s="2" t="inlineStr">
        <is>
          <t>&gt; Perfumería &gt; Cuidado Capilar &gt; Reparación y Tratamientos &gt;</t>
        </is>
      </c>
      <c r="L1480" s="2" t="inlineStr">
        <is>
          <t>tratamiento</t>
        </is>
      </c>
      <c r="M1480" s="2" t="inlineStr">
        <is>
          <t>estandar</t>
        </is>
      </c>
      <c r="N1480" s="2" t="inlineStr">
        <is>
          <t>general</t>
        </is>
      </c>
      <c r="O1480" s="2" t="inlineStr">
        <is>
          <t>https://www.jumbo.com.ar/tratamiento-capilatis-lifting-170gr/p</t>
        </is>
      </c>
    </row>
    <row r="1481">
      <c r="A1481" t="inlineStr">
        <is>
          <t>Jumbo</t>
        </is>
      </c>
      <c r="B1481" t="n">
        <v>323295</v>
      </c>
      <c r="C1481" t="n">
        <v>322145</v>
      </c>
      <c r="D1481" t="inlineStr">
        <is>
          <t>Tratamiento 919 Hidratante Aloe 150gr</t>
        </is>
      </c>
      <c r="E1481" t="inlineStr">
        <is>
          <t>919</t>
        </is>
      </c>
      <c r="F1481" t="n">
        <v>330.49</v>
      </c>
      <c r="G1481" t="n">
        <v>27313</v>
      </c>
      <c r="H1481" t="b">
        <v>0</v>
      </c>
      <c r="I1481" t="n">
        <v>150</v>
      </c>
      <c r="J1481" t="n">
        <v>2.2033</v>
      </c>
      <c r="K1481" t="inlineStr">
        <is>
          <t>&gt; Perfumería &gt; Cuidado Capilar &gt; Reparación y Tratamientos &gt;</t>
        </is>
      </c>
      <c r="L1481" t="inlineStr">
        <is>
          <t>tratamiento</t>
        </is>
      </c>
      <c r="M1481" t="inlineStr">
        <is>
          <t>estandar</t>
        </is>
      </c>
      <c r="N1481" t="inlineStr">
        <is>
          <t>seco_danado</t>
        </is>
      </c>
      <c r="O1481" t="inlineStr">
        <is>
          <t>https://www.jumbo.com.ar/tratamiento-919-hidratante-aloe-150gr/p</t>
        </is>
      </c>
    </row>
    <row r="1482">
      <c r="A1482" s="2" t="inlineStr">
        <is>
          <t>Jumbo</t>
        </is>
      </c>
      <c r="B1482" s="2" t="n">
        <v>323301</v>
      </c>
      <c r="C1482" s="2" t="n">
        <v>322151</v>
      </c>
      <c r="D1482" s="2" t="inlineStr">
        <is>
          <t>Tratamiento 919 Reparacion Argan 150gr</t>
        </is>
      </c>
      <c r="E1482" s="2" t="inlineStr">
        <is>
          <t>919</t>
        </is>
      </c>
      <c r="F1482" s="2" t="n">
        <v>533.6900000000001</v>
      </c>
      <c r="G1482" s="2" t="n">
        <v>44107</v>
      </c>
      <c r="H1482" s="2" t="b">
        <v>0</v>
      </c>
      <c r="I1482" s="2" t="n">
        <v>150</v>
      </c>
      <c r="J1482" s="2" t="n">
        <v>3.5579</v>
      </c>
      <c r="K1482" s="2" t="inlineStr">
        <is>
          <t>&gt; Perfumería &gt; Cuidado Capilar &gt; Reparación y Tratamientos &gt;</t>
        </is>
      </c>
      <c r="L1482" s="2" t="inlineStr">
        <is>
          <t>tratamiento</t>
        </is>
      </c>
      <c r="M1482" s="2" t="inlineStr">
        <is>
          <t>estandar</t>
        </is>
      </c>
      <c r="N1482" s="2" t="inlineStr">
        <is>
          <t>general</t>
        </is>
      </c>
      <c r="O1482" s="2" t="inlineStr">
        <is>
          <t>https://www.jumbo.com.ar/tratamiento-919-reparacion-argan-150gr/p</t>
        </is>
      </c>
    </row>
    <row r="1483">
      <c r="A1483" t="inlineStr">
        <is>
          <t>Jumbo</t>
        </is>
      </c>
      <c r="B1483" t="n">
        <v>307681</v>
      </c>
      <c r="C1483" t="n">
        <v>306919</v>
      </c>
      <c r="D1483" t="inlineStr">
        <is>
          <t>Tratamiento Fructis Food Aloe 350ml</t>
        </is>
      </c>
      <c r="E1483" t="inlineStr">
        <is>
          <t>ELVIVE</t>
        </is>
      </c>
      <c r="F1483" t="n">
        <v>994.33</v>
      </c>
      <c r="G1483" t="n">
        <v>82176</v>
      </c>
      <c r="H1483" t="b">
        <v>0</v>
      </c>
      <c r="I1483" t="n">
        <v>350</v>
      </c>
      <c r="J1483" t="n">
        <v>2.8409</v>
      </c>
      <c r="K1483" t="inlineStr">
        <is>
          <t>&gt; Perfumería &gt; Cuidado Capilar &gt; Reparación y Tratamientos &gt;</t>
        </is>
      </c>
      <c r="L1483" t="inlineStr">
        <is>
          <t>tratamiento</t>
        </is>
      </c>
      <c r="M1483" t="inlineStr">
        <is>
          <t>profesional</t>
        </is>
      </c>
      <c r="N1483" t="inlineStr">
        <is>
          <t>general</t>
        </is>
      </c>
      <c r="O1483" t="inlineStr">
        <is>
          <t>https://www.jumbo.com.ar/tratamiento-fructis-food-aloe-350ml/p</t>
        </is>
      </c>
    </row>
    <row r="1484">
      <c r="A1484" s="2" t="inlineStr">
        <is>
          <t>Jumbo</t>
        </is>
      </c>
      <c r="B1484" s="2" t="n">
        <v>312208</v>
      </c>
      <c r="C1484" s="2" t="n">
        <v>311446</v>
      </c>
      <c r="D1484" s="2" t="inlineStr">
        <is>
          <t>Máscara De Tratamiento Dove 1 Minuto 300 Gr</t>
        </is>
      </c>
      <c r="E1484" s="2" t="inlineStr">
        <is>
          <t>DOVE</t>
        </is>
      </c>
      <c r="F1484" s="2" t="n">
        <v>1150</v>
      </c>
      <c r="G1484" s="2" t="n">
        <v>95041</v>
      </c>
      <c r="H1484" s="2" t="b">
        <v>0</v>
      </c>
      <c r="I1484" s="2" t="n">
        <v>300</v>
      </c>
      <c r="J1484" s="2" t="n">
        <v>3.8333</v>
      </c>
      <c r="K1484" s="2" t="inlineStr">
        <is>
          <t>&gt; Perfumería &gt; Cuidado Capilar &gt; Reparación y Tratamientos &gt;</t>
        </is>
      </c>
      <c r="L1484" s="2" t="inlineStr">
        <is>
          <t>tratamiento</t>
        </is>
      </c>
      <c r="M1484" s="2" t="inlineStr">
        <is>
          <t>estandar</t>
        </is>
      </c>
      <c r="N1484" s="2" t="inlineStr">
        <is>
          <t>general</t>
        </is>
      </c>
      <c r="O1484" s="2" t="inlineStr">
        <is>
          <t>https://www.jumbo.com.ar/mascara-de-tratamiento-dove-1-minuto-300-gr/p</t>
        </is>
      </c>
    </row>
    <row r="1485">
      <c r="A1485" t="inlineStr">
        <is>
          <t>Jumbo</t>
        </is>
      </c>
      <c r="B1485" t="n">
        <v>340351</v>
      </c>
      <c r="C1485" t="n">
        <v>339043</v>
      </c>
      <c r="D1485" t="inlineStr">
        <is>
          <t>Tratamiento Intensivo Pantene Miracles Pelo Seco 300 Ml</t>
        </is>
      </c>
      <c r="E1485" t="inlineStr">
        <is>
          <t>PANTENE</t>
        </is>
      </c>
      <c r="F1485" t="n">
        <v>1024.09</v>
      </c>
      <c r="G1485" t="n">
        <v>84636</v>
      </c>
      <c r="H1485" t="b">
        <v>0</v>
      </c>
      <c r="I1485" t="n">
        <v>300</v>
      </c>
      <c r="J1485" t="n">
        <v>3.4136</v>
      </c>
      <c r="K1485" t="inlineStr">
        <is>
          <t>&gt; Perfumería &gt; Cuidado Capilar &gt; Reparación y Tratamientos &gt;</t>
        </is>
      </c>
      <c r="L1485" t="inlineStr">
        <is>
          <t>tratamiento</t>
        </is>
      </c>
      <c r="M1485" t="inlineStr">
        <is>
          <t>estandar</t>
        </is>
      </c>
      <c r="N1485" t="inlineStr">
        <is>
          <t>seco_danado</t>
        </is>
      </c>
      <c r="O1485" t="inlineStr">
        <is>
          <t>https://www.jumbo.com.ar/tratamiento-intensivo-pantene-miracles-pelo-seco-300-ml/p</t>
        </is>
      </c>
    </row>
    <row r="1486">
      <c r="A1486" s="2" t="inlineStr">
        <is>
          <t>Jumbo</t>
        </is>
      </c>
      <c r="B1486" s="2" t="n">
        <v>41111</v>
      </c>
      <c r="C1486" s="2" t="n">
        <v>38276</v>
      </c>
      <c r="D1486" s="2" t="inlineStr">
        <is>
          <t>Ampolla Capilar Pantene Pro-v Fuerza Y Reconstrucción 45 Ml</t>
        </is>
      </c>
      <c r="E1486" s="2" t="inlineStr">
        <is>
          <t>PANTENE</t>
        </is>
      </c>
      <c r="F1486" s="2" t="n">
        <v>466.27</v>
      </c>
      <c r="G1486" s="2" t="n">
        <v>38535</v>
      </c>
      <c r="H1486" s="2" t="b">
        <v>0</v>
      </c>
      <c r="I1486" s="2" t="n">
        <v>45</v>
      </c>
      <c r="J1486" s="2" t="n">
        <v>10.3616</v>
      </c>
      <c r="K1486" s="2" t="inlineStr">
        <is>
          <t>&gt; Perfumería &gt; Cuidado Capilar &gt; Reparación y Tratamientos &gt;</t>
        </is>
      </c>
      <c r="L1486" s="2" t="inlineStr">
        <is>
          <t>shampoo</t>
        </is>
      </c>
      <c r="M1486" s="2" t="inlineStr">
        <is>
          <t>profesional</t>
        </is>
      </c>
      <c r="N1486" s="2" t="inlineStr">
        <is>
          <t>general</t>
        </is>
      </c>
      <c r="O1486" s="2" t="inlineStr">
        <is>
          <t>https://www.jumbo.com.ar/ampolla-capilar-pantene-pro-v-fuerza-y-reconstruccion-45-ml/p</t>
        </is>
      </c>
    </row>
    <row r="1487">
      <c r="A1487" t="inlineStr">
        <is>
          <t>Jumbo</t>
        </is>
      </c>
      <c r="B1487" t="n">
        <v>41096</v>
      </c>
      <c r="C1487" t="n">
        <v>38260</v>
      </c>
      <c r="D1487" t="inlineStr">
        <is>
          <t>Ampolla Capilar Pantene Pro-v Fuerza Y Reconstrucción 15 Ml</t>
        </is>
      </c>
      <c r="E1487" t="inlineStr">
        <is>
          <t>PANTENE</t>
        </is>
      </c>
      <c r="F1487" t="n">
        <v>157.47</v>
      </c>
      <c r="G1487" t="n">
        <v>13014</v>
      </c>
      <c r="H1487" t="b">
        <v>0</v>
      </c>
      <c r="I1487" t="n">
        <v>15</v>
      </c>
      <c r="J1487" t="n">
        <v>10.498</v>
      </c>
      <c r="K1487" t="inlineStr">
        <is>
          <t>&gt; Perfumería &gt; Cuidado Capilar &gt; Reparación y Tratamientos &gt;</t>
        </is>
      </c>
      <c r="L1487" t="inlineStr">
        <is>
          <t>shampoo</t>
        </is>
      </c>
      <c r="M1487" t="inlineStr">
        <is>
          <t>profesional</t>
        </is>
      </c>
      <c r="N1487" t="inlineStr">
        <is>
          <t>general</t>
        </is>
      </c>
      <c r="O1487" t="inlineStr">
        <is>
          <t>https://www.jumbo.com.ar/ampolla-capilar-pantene-pro-v-fuerza-y-reconstruccion-15-ml/p</t>
        </is>
      </c>
    </row>
    <row r="1488">
      <c r="A1488" s="2" t="inlineStr">
        <is>
          <t>Jumbo</t>
        </is>
      </c>
      <c r="B1488" s="2" t="n">
        <v>3493</v>
      </c>
      <c r="C1488" s="2" t="n">
        <v>1582</v>
      </c>
      <c r="D1488" s="2" t="inlineStr">
        <is>
          <t>Ampolla Capilar Pantene Pro-v Hidratación Extrema De 15 Ml C/u</t>
        </is>
      </c>
      <c r="E1488" s="2" t="inlineStr">
        <is>
          <t>PANTENE</t>
        </is>
      </c>
      <c r="F1488" s="2" t="n">
        <v>200</v>
      </c>
      <c r="G1488" s="2" t="n">
        <v>16529</v>
      </c>
      <c r="H1488" s="2" t="b">
        <v>0</v>
      </c>
      <c r="I1488" s="2" t="n">
        <v>15</v>
      </c>
      <c r="J1488" s="2" t="n">
        <v>13.3333</v>
      </c>
      <c r="K1488" s="2" t="inlineStr">
        <is>
          <t>&gt; Perfumería &gt; Cuidado Capilar &gt; Reparación y Tratamientos &gt;</t>
        </is>
      </c>
      <c r="L1488" s="2" t="inlineStr">
        <is>
          <t>shampoo</t>
        </is>
      </c>
      <c r="M1488" s="2" t="inlineStr">
        <is>
          <t>profesional</t>
        </is>
      </c>
      <c r="N1488" s="2" t="inlineStr">
        <is>
          <t>seco_danado</t>
        </is>
      </c>
      <c r="O1488" s="2" t="inlineStr">
        <is>
          <t>https://www.jumbo.com.ar/ampolla-capilar-pantene-pro-v-hidratacion-extrema-de-15-ml-c-u/p</t>
        </is>
      </c>
    </row>
    <row r="1489">
      <c r="A1489" t="inlineStr">
        <is>
          <t>Jumbo</t>
        </is>
      </c>
      <c r="B1489" t="n">
        <v>43942</v>
      </c>
      <c r="C1489" t="n">
        <v>41113</v>
      </c>
      <c r="D1489" t="inlineStr">
        <is>
          <t>Ampolla Capilar Pantene Pro-v Restauración 15 Ml</t>
        </is>
      </c>
      <c r="E1489" t="inlineStr">
        <is>
          <t>PANTENE</t>
        </is>
      </c>
      <c r="F1489" t="n">
        <v>600</v>
      </c>
      <c r="G1489" t="n">
        <v>49587</v>
      </c>
      <c r="H1489" t="b">
        <v>0</v>
      </c>
      <c r="I1489" t="n">
        <v>15</v>
      </c>
      <c r="J1489" t="n">
        <v>40</v>
      </c>
      <c r="K1489" t="inlineStr">
        <is>
          <t>&gt; Perfumería &gt; Cuidado Capilar &gt; Reparación y Tratamientos &gt;</t>
        </is>
      </c>
      <c r="L1489" t="inlineStr">
        <is>
          <t>shampoo</t>
        </is>
      </c>
      <c r="M1489" t="inlineStr">
        <is>
          <t>profesional</t>
        </is>
      </c>
      <c r="N1489" t="inlineStr">
        <is>
          <t>general</t>
        </is>
      </c>
      <c r="O1489" t="inlineStr">
        <is>
          <t>https://www.jumbo.com.ar/ampolla-capilar-pantene-pro-v-restauracion-15-ml/p</t>
        </is>
      </c>
    </row>
    <row r="1490">
      <c r="A1490" s="2" t="inlineStr">
        <is>
          <t>Jumbo</t>
        </is>
      </c>
      <c r="B1490" s="2" t="n">
        <v>44861</v>
      </c>
      <c r="C1490" s="2" t="n">
        <v>42036</v>
      </c>
      <c r="D1490" s="2" t="inlineStr">
        <is>
          <t>Ampolla Capilar Pro-v Restauración 45 Ml Pantene</t>
        </is>
      </c>
      <c r="E1490" s="2" t="inlineStr">
        <is>
          <t>PANTENE</t>
        </is>
      </c>
      <c r="F1490" s="2" t="n">
        <v>7350</v>
      </c>
      <c r="G1490" s="2" t="n">
        <v>607438</v>
      </c>
      <c r="H1490" s="2" t="b">
        <v>0</v>
      </c>
      <c r="I1490" s="2" t="n">
        <v>45</v>
      </c>
      <c r="J1490" s="2" t="n">
        <v>163.3333</v>
      </c>
      <c r="K1490" s="2" t="inlineStr">
        <is>
          <t>&gt; Perfumería &gt; Cuidado Capilar &gt; Reparación y Tratamientos &gt;</t>
        </is>
      </c>
      <c r="L1490" s="2" t="inlineStr">
        <is>
          <t>shampoo</t>
        </is>
      </c>
      <c r="M1490" s="2" t="inlineStr">
        <is>
          <t>profesional</t>
        </is>
      </c>
      <c r="N1490" s="2" t="inlineStr">
        <is>
          <t>general</t>
        </is>
      </c>
      <c r="O1490" s="2" t="inlineStr">
        <is>
          <t>https://www.jumbo.com.ar/ampolla-capilar-pro-v-restauracion-45-ml-pantene/p</t>
        </is>
      </c>
    </row>
    <row r="1491">
      <c r="A1491" t="inlineStr">
        <is>
          <t>Jumbo</t>
        </is>
      </c>
      <c r="B1491" t="n">
        <v>210378</v>
      </c>
      <c r="C1491" t="n">
        <v>233339</v>
      </c>
      <c r="D1491" t="inlineStr">
        <is>
          <t>Crema Peinar Rulos Roby 200ml Tratamiento Capilar Roby Rulos Hidratados 200 Ml</t>
        </is>
      </c>
      <c r="E1491" t="inlineStr">
        <is>
          <t>ROBY</t>
        </is>
      </c>
      <c r="F1491" t="n">
        <v>333.29</v>
      </c>
      <c r="G1491" t="n">
        <v>27545</v>
      </c>
      <c r="H1491" t="b">
        <v>0</v>
      </c>
      <c r="I1491" t="n">
        <v>200</v>
      </c>
      <c r="J1491" t="n">
        <v>1.6665</v>
      </c>
      <c r="K1491" t="inlineStr">
        <is>
          <t>&gt; Perfumería &gt; Cuidado Capilar &gt; Reparación y Tratamientos &gt;</t>
        </is>
      </c>
      <c r="L1491" t="inlineStr">
        <is>
          <t>tratamiento</t>
        </is>
      </c>
      <c r="M1491" t="inlineStr">
        <is>
          <t>estandar</t>
        </is>
      </c>
      <c r="N1491" t="inlineStr">
        <is>
          <t>rizado</t>
        </is>
      </c>
      <c r="O1491" t="inlineStr">
        <is>
          <t>https://www.jumbo.com.ar/crema-peinar-rulos-roby-200ml/p</t>
        </is>
      </c>
    </row>
    <row r="1492">
      <c r="A1492" s="2" t="inlineStr">
        <is>
          <t>Jumbo</t>
        </is>
      </c>
      <c r="B1492" s="2" t="n">
        <v>247597</v>
      </c>
      <c r="C1492" s="2" t="n">
        <v>244278</v>
      </c>
      <c r="D1492" s="2" t="inlineStr">
        <is>
          <t>Mascarilla Tresemmé Bajo Poo 3 En 1 400 Ml</t>
        </is>
      </c>
      <c r="E1492" s="2" t="inlineStr">
        <is>
          <t>TRESEMMÉ</t>
        </is>
      </c>
      <c r="F1492" s="2" t="n">
        <v>291.19</v>
      </c>
      <c r="G1492" s="2" t="n">
        <v>24065</v>
      </c>
      <c r="H1492" s="2" t="b">
        <v>0</v>
      </c>
      <c r="I1492" s="2" t="n">
        <v>400</v>
      </c>
      <c r="J1492" s="2" t="n">
        <v>0.728</v>
      </c>
      <c r="K1492" s="2" t="inlineStr">
        <is>
          <t>&gt; Perfumería &gt; Cuidado Capilar &gt; Reparación y Tratamientos &gt;</t>
        </is>
      </c>
      <c r="L1492" s="2" t="inlineStr">
        <is>
          <t>tratamiento</t>
        </is>
      </c>
      <c r="M1492" s="2" t="inlineStr">
        <is>
          <t>estandar</t>
        </is>
      </c>
      <c r="N1492" s="2" t="inlineStr">
        <is>
          <t>general</t>
        </is>
      </c>
      <c r="O1492" s="2" t="inlineStr">
        <is>
          <t>https://www.jumbo.com.ar/mascarilla-tresemme-bajo-poo-3-en-1-400-ml/p</t>
        </is>
      </c>
    </row>
    <row r="1493">
      <c r="A1493" t="inlineStr">
        <is>
          <t>Jumbo</t>
        </is>
      </c>
      <c r="B1493" t="n">
        <v>262653</v>
      </c>
      <c r="C1493" t="n">
        <v>261942</v>
      </c>
      <c r="D1493" t="inlineStr">
        <is>
          <t>Booster De Hidratación Pantene Pro-v Brillo Micelar 160 Ml</t>
        </is>
      </c>
      <c r="E1493" t="inlineStr">
        <is>
          <t>PANTENE</t>
        </is>
      </c>
      <c r="F1493" t="n">
        <v>900</v>
      </c>
      <c r="G1493" t="n">
        <v>74380</v>
      </c>
      <c r="H1493" t="b">
        <v>0</v>
      </c>
      <c r="I1493" t="n">
        <v>160</v>
      </c>
      <c r="J1493" t="n">
        <v>5.625</v>
      </c>
      <c r="K1493" t="inlineStr">
        <is>
          <t>&gt; Perfumería &gt; Cuidado Capilar &gt; Reparación y Tratamientos &gt;</t>
        </is>
      </c>
      <c r="L1493" t="inlineStr">
        <is>
          <t>shampoo</t>
        </is>
      </c>
      <c r="M1493" t="inlineStr">
        <is>
          <t>profesional</t>
        </is>
      </c>
      <c r="N1493" t="inlineStr">
        <is>
          <t>seco_danado</t>
        </is>
      </c>
      <c r="O1493" t="inlineStr">
        <is>
          <t>https://www.jumbo.com.ar/booster-de-hidratacion-pantene-pro-v-brillo-micelar-160-ml/p</t>
        </is>
      </c>
    </row>
    <row r="1494">
      <c r="A1494" s="2" t="inlineStr">
        <is>
          <t>Jumbo</t>
        </is>
      </c>
      <c r="B1494" s="2" t="n">
        <v>3531</v>
      </c>
      <c r="C1494" s="2" t="n">
        <v>1611</v>
      </c>
      <c r="D1494" s="2" t="inlineStr">
        <is>
          <t>Kit De 3 Ampollas Capilares Pantene Pro-v Hidratación Extrema De 15 Ml C/u</t>
        </is>
      </c>
      <c r="E1494" s="2" t="inlineStr">
        <is>
          <t>PANTENE</t>
        </is>
      </c>
      <c r="F1494" s="2" t="n">
        <v>489.69</v>
      </c>
      <c r="G1494" s="2" t="n">
        <v>40470</v>
      </c>
      <c r="H1494" s="2" t="b">
        <v>0</v>
      </c>
      <c r="I1494" s="2" t="n">
        <v>15</v>
      </c>
      <c r="J1494" s="2" t="n">
        <v>32.646</v>
      </c>
      <c r="K1494" s="2" t="inlineStr">
        <is>
          <t>&gt; Perfumería &gt; Cuidado Capilar &gt; Reparación y Tratamientos &gt;</t>
        </is>
      </c>
      <c r="L1494" s="2" t="inlineStr">
        <is>
          <t>tratamiento</t>
        </is>
      </c>
      <c r="M1494" s="2" t="inlineStr">
        <is>
          <t>profesional</t>
        </is>
      </c>
      <c r="N1494" s="2" t="inlineStr">
        <is>
          <t>seco_danado</t>
        </is>
      </c>
      <c r="O1494" s="2" t="inlineStr">
        <is>
          <t>https://www.jumbo.com.ar/kit-de-3-ampollas-capilares-pantene-pro-v-hidratacion-extrema-de-15-ml-c-u-2/p</t>
        </is>
      </c>
    </row>
    <row r="1495">
      <c r="A1495" t="inlineStr">
        <is>
          <t>Jumbo</t>
        </is>
      </c>
      <c r="B1495" t="n">
        <v>19681</v>
      </c>
      <c r="C1495" t="n">
        <v>16846</v>
      </c>
      <c r="D1495" t="inlineStr">
        <is>
          <t>Crema De Peinar Sedal Rizos Obedientes 300 Ml</t>
        </is>
      </c>
      <c r="E1495" t="inlineStr">
        <is>
          <t>SEDAL</t>
        </is>
      </c>
      <c r="F1495" t="n">
        <v>950</v>
      </c>
      <c r="G1495" t="n">
        <v>78512</v>
      </c>
      <c r="H1495" t="b">
        <v>0</v>
      </c>
      <c r="I1495" t="n">
        <v>300</v>
      </c>
      <c r="J1495" t="n">
        <v>3.1667</v>
      </c>
      <c r="K1495" t="inlineStr">
        <is>
          <t>&gt; Perfumería &gt; Cuidado Capilar &gt; Reparación y Tratamientos &gt;</t>
        </is>
      </c>
      <c r="L1495" t="inlineStr">
        <is>
          <t>shampoo</t>
        </is>
      </c>
      <c r="M1495" t="inlineStr">
        <is>
          <t>estandar</t>
        </is>
      </c>
      <c r="N1495" t="inlineStr">
        <is>
          <t>rizado</t>
        </is>
      </c>
      <c r="O1495" t="inlineStr">
        <is>
          <t>https://www.jumbo.com.ar/crema-de-peinar-sedal-rizos-obedientes-300-ml/p</t>
        </is>
      </c>
    </row>
    <row r="1496">
      <c r="A1496" s="2" t="inlineStr">
        <is>
          <t>Jumbo</t>
        </is>
      </c>
      <c r="B1496" s="2" t="n">
        <v>45466</v>
      </c>
      <c r="C1496" s="2" t="n">
        <v>42641</v>
      </c>
      <c r="D1496" s="2" t="inlineStr">
        <is>
          <t>Crema Para Peinar Pantene Pro-v Summer Edition 300 Ml</t>
        </is>
      </c>
      <c r="E1496" s="2" t="inlineStr">
        <is>
          <t>PANTENE</t>
        </is>
      </c>
      <c r="F1496" s="2" t="n">
        <v>257.57</v>
      </c>
      <c r="G1496" s="2" t="n">
        <v>21287</v>
      </c>
      <c r="H1496" s="2" t="b">
        <v>0</v>
      </c>
      <c r="I1496" s="2" t="n">
        <v>300</v>
      </c>
      <c r="J1496" s="2" t="n">
        <v>0.8586</v>
      </c>
      <c r="K1496" s="2" t="inlineStr">
        <is>
          <t>&gt; Perfumería &gt; Cuidado Capilar &gt; Reparación y Tratamientos &gt;</t>
        </is>
      </c>
      <c r="L1496" s="2" t="inlineStr">
        <is>
          <t>shampoo</t>
        </is>
      </c>
      <c r="M1496" s="2" t="inlineStr">
        <is>
          <t>profesional</t>
        </is>
      </c>
      <c r="N1496" s="2" t="inlineStr">
        <is>
          <t>general</t>
        </is>
      </c>
      <c r="O1496" s="2" t="inlineStr">
        <is>
          <t>https://www.jumbo.com.ar/crema-para-peinar-pantene-pro-v-summer-edition-300-ml/p</t>
        </is>
      </c>
    </row>
    <row r="1497">
      <c r="A1497" t="inlineStr">
        <is>
          <t>Jumbo</t>
        </is>
      </c>
      <c r="B1497" t="n">
        <v>18088</v>
      </c>
      <c r="C1497" t="n">
        <v>15182</v>
      </c>
      <c r="D1497" t="inlineStr">
        <is>
          <t>Tío Nacho Shampoo Engrosador 415 Ml</t>
        </is>
      </c>
      <c r="E1497" t="inlineStr">
        <is>
          <t>Tio Nacho</t>
        </is>
      </c>
      <c r="F1497" t="n">
        <v>756.23</v>
      </c>
      <c r="G1497" t="n">
        <v>62498</v>
      </c>
      <c r="H1497" t="b">
        <v>0</v>
      </c>
      <c r="I1497" t="n">
        <v>415</v>
      </c>
      <c r="J1497" t="n">
        <v>1.8222</v>
      </c>
      <c r="K1497" t="inlineStr">
        <is>
          <t>&gt; Perfumería &gt; Cuidado Capilar &gt; Shampoo &gt;</t>
        </is>
      </c>
      <c r="L1497" t="inlineStr">
        <is>
          <t>shampoo</t>
        </is>
      </c>
      <c r="M1497" t="inlineStr">
        <is>
          <t>estandar</t>
        </is>
      </c>
      <c r="N1497" t="inlineStr">
        <is>
          <t>general</t>
        </is>
      </c>
      <c r="O1497" t="inlineStr">
        <is>
          <t>https://www.jumbo.com.ar/tio-nacho-shampoo-engrosador-415-ml/p</t>
        </is>
      </c>
    </row>
    <row r="1498">
      <c r="A1498" s="2" t="inlineStr">
        <is>
          <t>Jumbo</t>
        </is>
      </c>
      <c r="B1498" s="2" t="n">
        <v>18090</v>
      </c>
      <c r="C1498" s="2" t="n">
        <v>15184</v>
      </c>
      <c r="D1498" s="2" t="inlineStr">
        <is>
          <t>Tío Nacho Acondicionador Engrosador 415 Ml</t>
        </is>
      </c>
      <c r="E1498" s="2" t="inlineStr">
        <is>
          <t>Tio Nacho</t>
        </is>
      </c>
      <c r="F1498" s="2" t="n">
        <v>756.23</v>
      </c>
      <c r="G1498" s="2" t="n">
        <v>62498</v>
      </c>
      <c r="H1498" s="2" t="b">
        <v>0</v>
      </c>
      <c r="I1498" s="2" t="n">
        <v>415</v>
      </c>
      <c r="J1498" s="2" t="n">
        <v>1.8222</v>
      </c>
      <c r="K1498" s="2" t="inlineStr">
        <is>
          <t>&gt; Perfumería &gt; Cuidado Capilar &gt; Acondicionador &gt;</t>
        </is>
      </c>
      <c r="L1498" s="2" t="inlineStr">
        <is>
          <t>acondicionador</t>
        </is>
      </c>
      <c r="M1498" s="2" t="inlineStr">
        <is>
          <t>estandar</t>
        </is>
      </c>
      <c r="N1498" s="2" t="inlineStr">
        <is>
          <t>general</t>
        </is>
      </c>
      <c r="O1498" s="2" t="inlineStr">
        <is>
          <t>https://www.jumbo.com.ar/tio-nacho-acondicionador-engrosador-415-ml/p</t>
        </is>
      </c>
    </row>
    <row r="1499">
      <c r="A1499" t="inlineStr">
        <is>
          <t>Jumbo</t>
        </is>
      </c>
      <c r="B1499" t="n">
        <v>4494</v>
      </c>
      <c r="C1499" t="n">
        <v>11417</v>
      </c>
      <c r="D1499" t="inlineStr">
        <is>
          <t>Shampoo Para Bebé Babelito 200 Ml</t>
        </is>
      </c>
      <c r="E1499" t="inlineStr">
        <is>
          <t>BABELITO</t>
        </is>
      </c>
      <c r="F1499" t="n">
        <v>58.95</v>
      </c>
      <c r="G1499" t="n">
        <v>58.95</v>
      </c>
      <c r="H1499" t="b">
        <v>0</v>
      </c>
      <c r="I1499" t="n">
        <v>200</v>
      </c>
      <c r="J1499" t="n">
        <v>0.2948</v>
      </c>
      <c r="K1499" t="inlineStr">
        <is>
          <t>&gt; Mundo Bebe &gt; Higiene para el Bebe &gt; Higiene del Bebé &gt;</t>
        </is>
      </c>
      <c r="L1499" t="inlineStr">
        <is>
          <t>shampoo</t>
        </is>
      </c>
      <c r="M1499" t="inlineStr">
        <is>
          <t>estandar</t>
        </is>
      </c>
      <c r="N1499" t="inlineStr">
        <is>
          <t>bebe</t>
        </is>
      </c>
      <c r="O1499" t="inlineStr">
        <is>
          <t>https://www.jumbo.com.ar/shampoo-para-bebe-babelito/p</t>
        </is>
      </c>
    </row>
    <row r="1500">
      <c r="A1500" s="2" t="inlineStr">
        <is>
          <t>Jumbo</t>
        </is>
      </c>
      <c r="B1500" s="2" t="n">
        <v>382904</v>
      </c>
      <c r="C1500" s="2" t="n">
        <v>381619</v>
      </c>
      <c r="D1500" s="2" t="inlineStr">
        <is>
          <t>Shampoo Para Bebé Johnson's Original 400 Ml</t>
        </is>
      </c>
      <c r="E1500" s="2" t="inlineStr">
        <is>
          <t>JOHNSON´S</t>
        </is>
      </c>
      <c r="F1500" s="2" t="n">
        <v>2214.09</v>
      </c>
      <c r="G1500" s="2" t="n">
        <v>182983</v>
      </c>
      <c r="H1500" s="2" t="b">
        <v>0</v>
      </c>
      <c r="I1500" s="2" t="n">
        <v>400</v>
      </c>
      <c r="J1500" s="2" t="n">
        <v>5.5352</v>
      </c>
      <c r="K1500" s="2" t="inlineStr">
        <is>
          <t>&gt; Mundo Bebe &gt; Higiene para el Bebe &gt; Higiene del Bebé &gt;</t>
        </is>
      </c>
      <c r="L1500" s="2" t="inlineStr">
        <is>
          <t>shampoo</t>
        </is>
      </c>
      <c r="M1500" s="2" t="inlineStr">
        <is>
          <t>estandar</t>
        </is>
      </c>
      <c r="N1500" s="2" t="inlineStr">
        <is>
          <t>bebe</t>
        </is>
      </c>
      <c r="O1500" s="2" t="inlineStr">
        <is>
          <t>https://www.jumbo.com.ar/shampoo-para-bebe-johnson-s-original-400-ml/p</t>
        </is>
      </c>
    </row>
    <row r="1501">
      <c r="A1501" t="inlineStr">
        <is>
          <t>Jumbo</t>
        </is>
      </c>
      <c r="B1501" t="n">
        <v>382901</v>
      </c>
      <c r="C1501" t="n">
        <v>381616</v>
      </c>
      <c r="D1501" t="inlineStr">
        <is>
          <t>Shampoo Para Bebé Johnson's Original 200 Ml</t>
        </is>
      </c>
      <c r="E1501" t="inlineStr">
        <is>
          <t>JOHNSON´S</t>
        </is>
      </c>
      <c r="F1501" t="n">
        <v>1419.89</v>
      </c>
      <c r="G1501" t="n">
        <v>117346</v>
      </c>
      <c r="H1501" t="b">
        <v>0</v>
      </c>
      <c r="I1501" t="n">
        <v>200</v>
      </c>
      <c r="J1501" t="n">
        <v>7.0995</v>
      </c>
      <c r="K1501" t="inlineStr">
        <is>
          <t>&gt; Mundo Bebe &gt; Higiene para el Bebe &gt; Higiene del Bebé &gt;</t>
        </is>
      </c>
      <c r="L1501" t="inlineStr">
        <is>
          <t>shampoo</t>
        </is>
      </c>
      <c r="M1501" t="inlineStr">
        <is>
          <t>estandar</t>
        </is>
      </c>
      <c r="N1501" t="inlineStr">
        <is>
          <t>bebe</t>
        </is>
      </c>
      <c r="O1501" t="inlineStr">
        <is>
          <t>https://www.jumbo.com.ar/shampoo-para-bebe-johnson-s-original-200-ml/p</t>
        </is>
      </c>
    </row>
    <row r="1502">
      <c r="A1502" s="2" t="inlineStr">
        <is>
          <t>Jumbo</t>
        </is>
      </c>
      <c r="B1502" s="2" t="n">
        <v>129116</v>
      </c>
      <c r="C1502" s="2" t="n">
        <v>126046</v>
      </c>
      <c r="D1502" s="2" t="inlineStr">
        <is>
          <t>Shampoo Para Bebé Original 200 Ml Johnson's</t>
        </is>
      </c>
      <c r="E1502" s="2" t="inlineStr">
        <is>
          <t>JOHNSON´S</t>
        </is>
      </c>
      <c r="F1502" s="2" t="n">
        <v>6200</v>
      </c>
      <c r="G1502" s="2" t="n">
        <v>512397</v>
      </c>
      <c r="H1502" s="2" t="b">
        <v>0</v>
      </c>
      <c r="I1502" s="2" t="n">
        <v>200</v>
      </c>
      <c r="J1502" s="2" t="n">
        <v>31</v>
      </c>
      <c r="K1502" s="2" t="inlineStr">
        <is>
          <t>&gt; Mundo Bebe &gt; Higiene para el Bebe &gt; Higiene del Bebé &gt;</t>
        </is>
      </c>
      <c r="L1502" s="2" t="inlineStr">
        <is>
          <t>shampoo</t>
        </is>
      </c>
      <c r="M1502" s="2" t="inlineStr">
        <is>
          <t>estandar</t>
        </is>
      </c>
      <c r="N1502" s="2" t="inlineStr">
        <is>
          <t>bebe</t>
        </is>
      </c>
      <c r="O1502" s="2" t="inlineStr">
        <is>
          <t>https://www.jumbo.com.ar/toallas-femeninas-sin-alas-siempre-libre-especial-x-8-un/p</t>
        </is>
      </c>
    </row>
    <row r="1503">
      <c r="A1503" t="inlineStr">
        <is>
          <t>Jumbo</t>
        </is>
      </c>
      <c r="B1503" t="n">
        <v>68993</v>
      </c>
      <c r="C1503" t="n">
        <v>66130</v>
      </c>
      <c r="D1503" t="inlineStr">
        <is>
          <t>Shampoo Para Bebe Babylook X 200 Ml</t>
        </is>
      </c>
      <c r="E1503" t="inlineStr">
        <is>
          <t>BABYLOOK</t>
        </is>
      </c>
      <c r="F1503" t="n">
        <v>17.99</v>
      </c>
      <c r="G1503" t="n">
        <v>17.99</v>
      </c>
      <c r="H1503" t="b">
        <v>0</v>
      </c>
      <c r="I1503" t="n">
        <v>200</v>
      </c>
      <c r="J1503" t="n">
        <v>0.08989999999999999</v>
      </c>
      <c r="K1503" t="inlineStr">
        <is>
          <t>&gt; Mundo Bebe &gt; Higiene para el Bebe &gt; Higiene del Bebé &gt;</t>
        </is>
      </c>
      <c r="L1503" t="inlineStr">
        <is>
          <t>shampoo</t>
        </is>
      </c>
      <c r="M1503" t="inlineStr">
        <is>
          <t>estandar</t>
        </is>
      </c>
      <c r="N1503" t="inlineStr">
        <is>
          <t>bebe</t>
        </is>
      </c>
      <c r="O1503" t="inlineStr">
        <is>
          <t>https://www.jumbo.com.ar/shampoo-para-bebe-babylook-x-200-ml-2/p</t>
        </is>
      </c>
    </row>
    <row r="1504">
      <c r="A1504" s="2" t="inlineStr">
        <is>
          <t>Jumbo</t>
        </is>
      </c>
      <c r="B1504" s="2" t="n">
        <v>382903</v>
      </c>
      <c r="C1504" s="2" t="n">
        <v>381618</v>
      </c>
      <c r="D1504" s="2" t="inlineStr">
        <is>
          <t>Shampoo Para Bebé Johnson's Cabello Claro 400 Ml</t>
        </is>
      </c>
      <c r="E1504" s="2" t="inlineStr">
        <is>
          <t>JOHNSON´S</t>
        </is>
      </c>
      <c r="F1504" s="2" t="n">
        <v>2183.32</v>
      </c>
      <c r="G1504" s="2" t="n">
        <v>180440</v>
      </c>
      <c r="H1504" s="2" t="b">
        <v>0</v>
      </c>
      <c r="I1504" s="2" t="n">
        <v>400</v>
      </c>
      <c r="J1504" s="2" t="n">
        <v>5.4583</v>
      </c>
      <c r="K1504" s="2" t="inlineStr">
        <is>
          <t>&gt; Mundo Bebe &gt; Higiene para el Bebe &gt; Higiene del Bebé &gt;</t>
        </is>
      </c>
      <c r="L1504" s="2" t="inlineStr">
        <is>
          <t>shampoo</t>
        </is>
      </c>
      <c r="M1504" s="2" t="inlineStr">
        <is>
          <t>estandar</t>
        </is>
      </c>
      <c r="N1504" s="2" t="inlineStr">
        <is>
          <t>bebe</t>
        </is>
      </c>
      <c r="O1504" s="2" t="inlineStr">
        <is>
          <t>https://www.jumbo.com.ar/shampoo-para-bebe-johnson-s-cabello-claro-400-ml/p</t>
        </is>
      </c>
    </row>
    <row r="1505">
      <c r="A1505" t="inlineStr">
        <is>
          <t>Jumbo</t>
        </is>
      </c>
      <c r="B1505" t="n">
        <v>218705</v>
      </c>
      <c r="C1505" t="n">
        <v>228396</v>
      </c>
      <c r="D1505" t="inlineStr">
        <is>
          <t>Shampoo Infanzia Bebe Sin Lagrimas Pet 200 Ml.</t>
        </is>
      </c>
      <c r="E1505" t="inlineStr">
        <is>
          <t>INFANZIA</t>
        </is>
      </c>
      <c r="F1505" t="n">
        <v>6.87</v>
      </c>
      <c r="G1505" t="n">
        <v>6.87</v>
      </c>
      <c r="H1505" t="b">
        <v>0</v>
      </c>
      <c r="I1505" t="n">
        <v>200</v>
      </c>
      <c r="J1505" t="n">
        <v>0.0343</v>
      </c>
      <c r="K1505" t="inlineStr">
        <is>
          <t>&gt; Mundo Bebe &gt; Higiene para el Bebe &gt; Higiene del Bebé &gt;</t>
        </is>
      </c>
      <c r="L1505" t="inlineStr">
        <is>
          <t>shampoo</t>
        </is>
      </c>
      <c r="M1505" t="inlineStr">
        <is>
          <t>estandar</t>
        </is>
      </c>
      <c r="N1505" t="inlineStr">
        <is>
          <t>bebe</t>
        </is>
      </c>
      <c r="O1505" t="inlineStr">
        <is>
          <t>https://www.jumbo.com.ar/shampoo-infanzia-bebe-sin-lagrimas-pet-200-ml-250448/p</t>
        </is>
      </c>
    </row>
    <row r="1506">
      <c r="A1506" s="2" t="inlineStr">
        <is>
          <t>Jumbo</t>
        </is>
      </c>
      <c r="B1506" s="2" t="n">
        <v>382911</v>
      </c>
      <c r="C1506" s="2" t="n">
        <v>381626</v>
      </c>
      <c r="D1506" s="2" t="inlineStr">
        <is>
          <t>Shampoo Para Bebé Johnson's Original X 750 Ml.</t>
        </is>
      </c>
      <c r="E1506" s="2" t="inlineStr">
        <is>
          <t>JOHNSON´S</t>
        </is>
      </c>
      <c r="F1506" s="2" t="n">
        <v>4168.39</v>
      </c>
      <c r="G1506" s="2" t="n">
        <v>344495</v>
      </c>
      <c r="H1506" s="2" t="b">
        <v>0</v>
      </c>
      <c r="I1506" s="2" t="n">
        <v>750</v>
      </c>
      <c r="J1506" s="2" t="n">
        <v>5.5579</v>
      </c>
      <c r="K1506" s="2" t="inlineStr">
        <is>
          <t>&gt; Mundo Bebe &gt; Higiene para el Bebe &gt; Higiene del Bebé &gt;</t>
        </is>
      </c>
      <c r="L1506" s="2" t="inlineStr">
        <is>
          <t>shampoo</t>
        </is>
      </c>
      <c r="M1506" s="2" t="inlineStr">
        <is>
          <t>estandar</t>
        </is>
      </c>
      <c r="N1506" s="2" t="inlineStr">
        <is>
          <t>bebe</t>
        </is>
      </c>
      <c r="O1506" s="2" t="inlineStr">
        <is>
          <t>https://www.jumbo.com.ar/shampoo-johnson-baby-original-750ml/p</t>
        </is>
      </c>
    </row>
    <row r="1507">
      <c r="A1507" t="inlineStr">
        <is>
          <t>Jumbo</t>
        </is>
      </c>
      <c r="B1507" t="n">
        <v>333049</v>
      </c>
      <c r="C1507" t="n">
        <v>332197</v>
      </c>
      <c r="D1507" t="inlineStr">
        <is>
          <t>Shampoo Para Bebé Johnson's Cabello Oscuro X200 Ml</t>
        </is>
      </c>
      <c r="E1507" t="inlineStr">
        <is>
          <t>JOHNSON BABY</t>
        </is>
      </c>
      <c r="F1507" t="n">
        <v>569.15</v>
      </c>
      <c r="G1507" t="n">
        <v>47037</v>
      </c>
      <c r="H1507" t="b">
        <v>0</v>
      </c>
      <c r="I1507" t="n">
        <v>200</v>
      </c>
      <c r="J1507" t="n">
        <v>2.8457</v>
      </c>
      <c r="K1507" t="inlineStr">
        <is>
          <t>&gt; Mundo Bebe &gt; Higiene para el Bebe &gt; Higiene del Bebé &gt;</t>
        </is>
      </c>
      <c r="L1507" t="inlineStr">
        <is>
          <t>shampoo</t>
        </is>
      </c>
      <c r="M1507" t="inlineStr">
        <is>
          <t>estandar</t>
        </is>
      </c>
      <c r="N1507" t="inlineStr">
        <is>
          <t>bebe</t>
        </is>
      </c>
      <c r="O1507" t="inlineStr">
        <is>
          <t>https://www.jumbo.com.ar/shampoo-para-bebe-johnson-s-cabello-oscuro-x200-ml/p</t>
        </is>
      </c>
    </row>
    <row r="1508">
      <c r="A1508" s="2" t="inlineStr">
        <is>
          <t>Jumbo</t>
        </is>
      </c>
      <c r="B1508" s="2" t="n">
        <v>51753</v>
      </c>
      <c r="C1508" s="2" t="n">
        <v>48921</v>
      </c>
      <c r="D1508" s="2" t="inlineStr">
        <is>
          <t>Shampoo Para Bebe Petit Enfant Kids  Pvc 240 Ml</t>
        </is>
      </c>
      <c r="E1508" s="2" t="inlineStr">
        <is>
          <t>PETIT ENFANT</t>
        </is>
      </c>
      <c r="F1508" s="2" t="n">
        <v>9.99</v>
      </c>
      <c r="G1508" s="2" t="n">
        <v>9.99</v>
      </c>
      <c r="H1508" s="2" t="b">
        <v>0</v>
      </c>
      <c r="I1508" s="2" t="n">
        <v>240</v>
      </c>
      <c r="J1508" s="2" t="n">
        <v>0.0416</v>
      </c>
      <c r="K1508" s="2" t="inlineStr">
        <is>
          <t>&gt; Mundo Bebe &gt; Higiene para el Bebe &gt; Higiene del Bebé &gt;</t>
        </is>
      </c>
      <c r="L1508" s="2" t="inlineStr">
        <is>
          <t>shampoo</t>
        </is>
      </c>
      <c r="M1508" s="2" t="inlineStr">
        <is>
          <t>estandar</t>
        </is>
      </c>
      <c r="N1508" s="2" t="inlineStr">
        <is>
          <t>bebe</t>
        </is>
      </c>
      <c r="O1508" s="2" t="inlineStr">
        <is>
          <t>https://www.jumbo.com.ar/shampoo-para-bebe-petit-enfant-kids-pvc-240-ml/p</t>
        </is>
      </c>
    </row>
    <row r="1509">
      <c r="A1509" t="inlineStr">
        <is>
          <t>Jumbo</t>
        </is>
      </c>
      <c r="B1509" t="n">
        <v>43356</v>
      </c>
      <c r="C1509" t="n">
        <v>40527</v>
      </c>
      <c r="D1509" t="inlineStr">
        <is>
          <t>Shampoo Para Bebé Johnson's® Ph Balanceado X 750 Ml</t>
        </is>
      </c>
      <c r="E1509" t="inlineStr">
        <is>
          <t>JOHNSON BABY</t>
        </is>
      </c>
      <c r="F1509" t="n">
        <v>492.99</v>
      </c>
      <c r="G1509" t="n">
        <v>40743</v>
      </c>
      <c r="H1509" t="b">
        <v>0</v>
      </c>
      <c r="I1509" t="n">
        <v>750</v>
      </c>
      <c r="J1509" t="n">
        <v>0.6573</v>
      </c>
      <c r="K1509" t="inlineStr">
        <is>
          <t>&gt; Mundo Bebe &gt; Higiene para el Bebe &gt; Higiene del Bebé &gt;</t>
        </is>
      </c>
      <c r="L1509" t="inlineStr">
        <is>
          <t>shampoo</t>
        </is>
      </c>
      <c r="M1509" t="inlineStr">
        <is>
          <t>estandar</t>
        </is>
      </c>
      <c r="N1509" t="inlineStr">
        <is>
          <t>bebe</t>
        </is>
      </c>
      <c r="O1509" t="inlineStr">
        <is>
          <t>https://www.jumbo.com.ar/shampoo-para-bebe-johnson-s-ph-balanceado-x-750-ml/p</t>
        </is>
      </c>
    </row>
    <row r="1510">
      <c r="A1510" s="2" t="inlineStr">
        <is>
          <t>Jumbo</t>
        </is>
      </c>
      <c r="B1510" s="2" t="n">
        <v>382902</v>
      </c>
      <c r="C1510" s="2" t="n">
        <v>381617</v>
      </c>
      <c r="D1510" s="2" t="inlineStr">
        <is>
          <t>Shampoo Para Bebé Johnson's Cabello Claro X 200 Ml.</t>
        </is>
      </c>
      <c r="E1510" s="2" t="inlineStr">
        <is>
          <t>JOHNSON´S</t>
        </is>
      </c>
      <c r="F1510" s="2" t="n">
        <v>1550</v>
      </c>
      <c r="G1510" s="2" t="n">
        <v>128099</v>
      </c>
      <c r="H1510" s="2" t="b">
        <v>0</v>
      </c>
      <c r="I1510" s="2" t="n">
        <v>200</v>
      </c>
      <c r="J1510" s="2" t="n">
        <v>7.75</v>
      </c>
      <c r="K1510" s="2" t="inlineStr">
        <is>
          <t>&gt; Mundo Bebe &gt; Higiene para el Bebe &gt; Higiene del Bebé &gt;</t>
        </is>
      </c>
      <c r="L1510" s="2" t="inlineStr">
        <is>
          <t>shampoo</t>
        </is>
      </c>
      <c r="M1510" s="2" t="inlineStr">
        <is>
          <t>estandar</t>
        </is>
      </c>
      <c r="N1510" s="2" t="inlineStr">
        <is>
          <t>bebe</t>
        </is>
      </c>
      <c r="O1510" s="2" t="inlineStr">
        <is>
          <t>https://www.jumbo.com.ar/shampoo-johnson-baby-manzanilla-200ml/p</t>
        </is>
      </c>
    </row>
    <row r="1511">
      <c r="A1511" t="inlineStr">
        <is>
          <t>Jumbo</t>
        </is>
      </c>
      <c r="B1511" t="n">
        <v>330727</v>
      </c>
      <c r="C1511" t="n">
        <v>329475</v>
      </c>
      <c r="D1511" t="inlineStr">
        <is>
          <t>Shampoo Para Bebé Johnson's® Ph Balanceado X 400 Ml.</t>
        </is>
      </c>
      <c r="E1511" t="inlineStr">
        <is>
          <t>JOHNSON BABY</t>
        </is>
      </c>
      <c r="F1511" t="n">
        <v>958.99</v>
      </c>
      <c r="G1511" t="n">
        <v>79255</v>
      </c>
      <c r="H1511" t="b">
        <v>0</v>
      </c>
      <c r="I1511" t="n">
        <v>400</v>
      </c>
      <c r="J1511" t="n">
        <v>2.3975</v>
      </c>
      <c r="K1511" t="inlineStr">
        <is>
          <t>&gt; Mundo Bebe &gt; Higiene para el Bebe &gt; Higiene del Bebé &gt;</t>
        </is>
      </c>
      <c r="L1511" t="inlineStr">
        <is>
          <t>shampoo</t>
        </is>
      </c>
      <c r="M1511" t="inlineStr">
        <is>
          <t>estandar</t>
        </is>
      </c>
      <c r="N1511" t="inlineStr">
        <is>
          <t>bebe</t>
        </is>
      </c>
      <c r="O1511" t="inlineStr">
        <is>
          <t>https://www.jumbo.com.ar/shampoo-para-bebe-johnson-s-ph-balanceado-x-400-ml/p</t>
        </is>
      </c>
    </row>
    <row r="1512">
      <c r="A1512" s="2" t="inlineStr">
        <is>
          <t>Jumbo</t>
        </is>
      </c>
      <c r="B1512" s="2" t="n">
        <v>119683</v>
      </c>
      <c r="C1512" s="2" t="n">
        <v>118711</v>
      </c>
      <c r="D1512" s="2" t="inlineStr">
        <is>
          <t>Shampoo Para Bebe Veritas Sin Lagrimas Pvc 220 Ml</t>
        </is>
      </c>
      <c r="E1512" s="2" t="inlineStr">
        <is>
          <t>VERITAS</t>
        </is>
      </c>
      <c r="F1512" s="2" t="n">
        <v>5.87</v>
      </c>
      <c r="G1512" s="2" t="n">
        <v>5.87</v>
      </c>
      <c r="H1512" s="2" t="b">
        <v>0</v>
      </c>
      <c r="I1512" s="2" t="n">
        <v>220</v>
      </c>
      <c r="J1512" s="2" t="n">
        <v>0.0267</v>
      </c>
      <c r="K1512" s="2" t="inlineStr">
        <is>
          <t>&gt; Mundo Bebe &gt; Higiene para el Bebe &gt; Higiene del Bebé &gt;</t>
        </is>
      </c>
      <c r="L1512" s="2" t="inlineStr">
        <is>
          <t>shampoo</t>
        </is>
      </c>
      <c r="M1512" s="2" t="inlineStr">
        <is>
          <t>estandar</t>
        </is>
      </c>
      <c r="N1512" s="2" t="inlineStr">
        <is>
          <t>bebe</t>
        </is>
      </c>
      <c r="O1512" s="2" t="inlineStr">
        <is>
          <t>https://www.jumbo.com.ar/shampoo-para-bebe-veritas-sin-lagrimas-pvc-220-ml/p</t>
        </is>
      </c>
    </row>
    <row r="1513">
      <c r="A1513" t="inlineStr">
        <is>
          <t>Jumbo</t>
        </is>
      </c>
      <c r="B1513" t="n">
        <v>43376</v>
      </c>
      <c r="C1513" t="n">
        <v>40547</v>
      </c>
      <c r="D1513" t="inlineStr">
        <is>
          <t>Shampoo Para Bebé Johnson's® Ph Balanceado X 200 Ml</t>
        </is>
      </c>
      <c r="E1513" t="inlineStr">
        <is>
          <t>JOHNSON BABY</t>
        </is>
      </c>
      <c r="F1513" t="n">
        <v>213.39</v>
      </c>
      <c r="G1513" t="n">
        <v>17636</v>
      </c>
      <c r="H1513" t="b">
        <v>0</v>
      </c>
      <c r="I1513" t="n">
        <v>200</v>
      </c>
      <c r="J1513" t="n">
        <v>1.0669</v>
      </c>
      <c r="K1513" t="inlineStr">
        <is>
          <t>&gt; Mundo Bebe &gt; Higiene para el Bebe &gt; Higiene del Bebé &gt;</t>
        </is>
      </c>
      <c r="L1513" t="inlineStr">
        <is>
          <t>shampoo</t>
        </is>
      </c>
      <c r="M1513" t="inlineStr">
        <is>
          <t>estandar</t>
        </is>
      </c>
      <c r="N1513" t="inlineStr">
        <is>
          <t>bebe</t>
        </is>
      </c>
      <c r="O1513" t="inlineStr">
        <is>
          <t>https://www.jumbo.com.ar/shampoo-para-bebe-johnson-s-ph-balanceado-x-200-ml/p</t>
        </is>
      </c>
    </row>
    <row r="1514">
      <c r="A1514" s="2" t="inlineStr">
        <is>
          <t>Jumbo</t>
        </is>
      </c>
      <c r="B1514" s="2" t="n">
        <v>24371</v>
      </c>
      <c r="C1514" s="2" t="n">
        <v>21535</v>
      </c>
      <c r="D1514" s="2" t="inlineStr">
        <is>
          <t>Shampoo Para Bebé Johnson's® Ph Balanceado - 400 Ml</t>
        </is>
      </c>
      <c r="E1514" s="2" t="inlineStr">
        <is>
          <t>JOHNSON BABY</t>
        </is>
      </c>
      <c r="F1514" s="2" t="n">
        <v>274.97</v>
      </c>
      <c r="G1514" s="2" t="n">
        <v>22725</v>
      </c>
      <c r="H1514" s="2" t="b">
        <v>0</v>
      </c>
      <c r="I1514" s="2" t="n">
        <v>400</v>
      </c>
      <c r="J1514" s="2" t="n">
        <v>0.6874</v>
      </c>
      <c r="K1514" s="2" t="inlineStr">
        <is>
          <t>&gt; Mundo Bebe &gt; Higiene para el Bebe &gt; Higiene del Bebé &gt;</t>
        </is>
      </c>
      <c r="L1514" s="2" t="inlineStr">
        <is>
          <t>shampoo</t>
        </is>
      </c>
      <c r="M1514" s="2" t="inlineStr">
        <is>
          <t>estandar</t>
        </is>
      </c>
      <c r="N1514" s="2" t="inlineStr">
        <is>
          <t>bebe</t>
        </is>
      </c>
      <c r="O1514" s="2" t="inlineStr">
        <is>
          <t>https://www.jumbo.com.ar/shampoo-para-bebe-johnson-s-ph-balanceado-400-ml/p</t>
        </is>
      </c>
    </row>
    <row r="1515">
      <c r="A1515" t="inlineStr">
        <is>
          <t>Jumbo</t>
        </is>
      </c>
      <c r="B1515" t="n">
        <v>3091</v>
      </c>
      <c r="C1515" t="n">
        <v>244946</v>
      </c>
      <c r="D1515" t="inlineStr">
        <is>
          <t>Shampoo Para Bebé Johnson's® Protección Uv X 400 Ml</t>
        </is>
      </c>
      <c r="E1515" t="inlineStr">
        <is>
          <t>JOHNSON BABY</t>
        </is>
      </c>
      <c r="F1515" t="n">
        <v>274.97</v>
      </c>
      <c r="G1515" t="n">
        <v>22725</v>
      </c>
      <c r="H1515" t="b">
        <v>0</v>
      </c>
      <c r="I1515" t="n">
        <v>400</v>
      </c>
      <c r="J1515" t="n">
        <v>0.6874</v>
      </c>
      <c r="K1515" t="inlineStr">
        <is>
          <t>&gt; Mundo Bebe &gt; Higiene para el Bebe &gt; Higiene del Bebé &gt;</t>
        </is>
      </c>
      <c r="L1515" t="inlineStr">
        <is>
          <t>shampoo</t>
        </is>
      </c>
      <c r="M1515" t="inlineStr">
        <is>
          <t>estandar</t>
        </is>
      </c>
      <c r="N1515" t="inlineStr">
        <is>
          <t>bebe</t>
        </is>
      </c>
      <c r="O1515" t="inlineStr">
        <is>
          <t>https://www.jumbo.com.ar/shampoo-para-bebe-johnson-s-proteccion-uv-x-400-ml/p</t>
        </is>
      </c>
    </row>
    <row r="1516">
      <c r="A1516" s="2" t="inlineStr">
        <is>
          <t>Jumbo</t>
        </is>
      </c>
      <c r="B1516" s="2" t="n">
        <v>382900</v>
      </c>
      <c r="C1516" s="2" t="n">
        <v>381615</v>
      </c>
      <c r="D1516" s="2" t="inlineStr">
        <is>
          <t>Shampoo Para Bebé Johnson's Cabello Claro X 750 Ml.</t>
        </is>
      </c>
      <c r="E1516" s="2" t="inlineStr">
        <is>
          <t>JOHNSON´S</t>
        </is>
      </c>
      <c r="F1516" s="2" t="n">
        <v>3700</v>
      </c>
      <c r="G1516" s="2" t="n">
        <v>305785</v>
      </c>
      <c r="H1516" s="2" t="b">
        <v>0</v>
      </c>
      <c r="I1516" s="2" t="n">
        <v>750</v>
      </c>
      <c r="J1516" s="2" t="n">
        <v>4.9333</v>
      </c>
      <c r="K1516" s="2" t="inlineStr">
        <is>
          <t>&gt; Mundo Bebe &gt; Higiene para el Bebe &gt; Higiene del Bebé &gt;</t>
        </is>
      </c>
      <c r="L1516" s="2" t="inlineStr">
        <is>
          <t>shampoo</t>
        </is>
      </c>
      <c r="M1516" s="2" t="inlineStr">
        <is>
          <t>estandar</t>
        </is>
      </c>
      <c r="N1516" s="2" t="inlineStr">
        <is>
          <t>bebe</t>
        </is>
      </c>
      <c r="O1516" s="2" t="inlineStr">
        <is>
          <t>https://www.jumbo.com.ar/shampoo-para-bebe-johnson-s-cabello-claro-x-750-ml/p</t>
        </is>
      </c>
    </row>
    <row r="1517">
      <c r="A1517" t="inlineStr">
        <is>
          <t>Jumbo</t>
        </is>
      </c>
      <c r="B1517" t="n">
        <v>330725</v>
      </c>
      <c r="C1517" t="n">
        <v>329473</v>
      </c>
      <c r="D1517" t="inlineStr">
        <is>
          <t>Shampoo Para Bebé Johnson's® Ph Balanceado X 200 Ml.</t>
        </is>
      </c>
      <c r="E1517" t="inlineStr">
        <is>
          <t>JOHNSON BABY</t>
        </is>
      </c>
      <c r="F1517" t="n">
        <v>614.99</v>
      </c>
      <c r="G1517" t="n">
        <v>50826</v>
      </c>
      <c r="H1517" t="b">
        <v>0</v>
      </c>
      <c r="I1517" t="n">
        <v>200</v>
      </c>
      <c r="J1517" t="n">
        <v>3.0749</v>
      </c>
      <c r="K1517" t="inlineStr">
        <is>
          <t>&gt; Mundo Bebe &gt; Higiene para el Bebe &gt; Higiene del Bebé &gt;</t>
        </is>
      </c>
      <c r="L1517" t="inlineStr">
        <is>
          <t>shampoo</t>
        </is>
      </c>
      <c r="M1517" t="inlineStr">
        <is>
          <t>estandar</t>
        </is>
      </c>
      <c r="N1517" t="inlineStr">
        <is>
          <t>bebe</t>
        </is>
      </c>
      <c r="O1517" t="inlineStr">
        <is>
          <t>https://www.jumbo.com.ar/shampoo-para-bebe-johnson-s-ph-balanceado-x-200-ml-2/p</t>
        </is>
      </c>
    </row>
    <row r="1518">
      <c r="A1518" s="2" t="inlineStr">
        <is>
          <t>Jumbo</t>
        </is>
      </c>
      <c r="B1518" s="2" t="n">
        <v>330717</v>
      </c>
      <c r="C1518" s="2" t="n">
        <v>329465</v>
      </c>
      <c r="D1518" s="2" t="inlineStr">
        <is>
          <t>Shampoo Para Bebé Johnson's® Cabello Claro X 400 Ml.</t>
        </is>
      </c>
      <c r="E1518" s="2" t="inlineStr">
        <is>
          <t>JOHNSON BABY</t>
        </is>
      </c>
      <c r="F1518" s="2" t="n">
        <v>958.99</v>
      </c>
      <c r="G1518" s="2" t="n">
        <v>79255</v>
      </c>
      <c r="H1518" s="2" t="b">
        <v>0</v>
      </c>
      <c r="I1518" s="2" t="n">
        <v>400</v>
      </c>
      <c r="J1518" s="2" t="n">
        <v>2.3975</v>
      </c>
      <c r="K1518" s="2" t="inlineStr">
        <is>
          <t>&gt; Mundo Bebe &gt; Higiene para el Bebe &gt; Higiene del Bebé &gt;</t>
        </is>
      </c>
      <c r="L1518" s="2" t="inlineStr">
        <is>
          <t>shampoo</t>
        </is>
      </c>
      <c r="M1518" s="2" t="inlineStr">
        <is>
          <t>estandar</t>
        </is>
      </c>
      <c r="N1518" s="2" t="inlineStr">
        <is>
          <t>bebe</t>
        </is>
      </c>
      <c r="O1518" s="2" t="inlineStr">
        <is>
          <t>https://www.jumbo.com.ar/shampoo-para-bebe-johnson-s-cabello-claro-x-400-ml/p</t>
        </is>
      </c>
    </row>
    <row r="1519">
      <c r="A1519" t="inlineStr">
        <is>
          <t>Jumbo</t>
        </is>
      </c>
      <c r="B1519" t="n">
        <v>46698</v>
      </c>
      <c r="C1519" t="n">
        <v>43862</v>
      </c>
      <c r="D1519" t="inlineStr">
        <is>
          <t>Shampoo Para Bebé Johnson's® Cabello Claro X 200 Ml</t>
        </is>
      </c>
      <c r="E1519" t="inlineStr">
        <is>
          <t>JOHNSON BABY</t>
        </is>
      </c>
      <c r="F1519" t="n">
        <v>213.39</v>
      </c>
      <c r="G1519" t="n">
        <v>17636</v>
      </c>
      <c r="H1519" t="b">
        <v>0</v>
      </c>
      <c r="I1519" t="n">
        <v>200</v>
      </c>
      <c r="J1519" t="n">
        <v>1.0669</v>
      </c>
      <c r="K1519" t="inlineStr">
        <is>
          <t>&gt; Mundo Bebe &gt; Higiene para el Bebe &gt; Higiene del Bebé &gt;</t>
        </is>
      </c>
      <c r="L1519" t="inlineStr">
        <is>
          <t>shampoo</t>
        </is>
      </c>
      <c r="M1519" t="inlineStr">
        <is>
          <t>estandar</t>
        </is>
      </c>
      <c r="N1519" t="inlineStr">
        <is>
          <t>bebe</t>
        </is>
      </c>
      <c r="O1519" t="inlineStr">
        <is>
          <t>https://www.jumbo.com.ar/shampoo-para-bebe-johnson-s-cabello-claro-x-200-ml/p</t>
        </is>
      </c>
    </row>
    <row r="1520">
      <c r="A1520" s="2" t="inlineStr">
        <is>
          <t>Jumbo</t>
        </is>
      </c>
      <c r="B1520" s="2" t="n">
        <v>81194</v>
      </c>
      <c r="C1520" s="2" t="n">
        <v>78318</v>
      </c>
      <c r="D1520" s="2" t="inlineStr">
        <is>
          <t>Shampoo Danielle Para Bebe  200 Cc</t>
        </is>
      </c>
      <c r="E1520" s="2" t="inlineStr">
        <is>
          <t>DANIELLE</t>
        </is>
      </c>
      <c r="F1520" s="2" t="n">
        <v>9.390000000000001</v>
      </c>
      <c r="G1520" s="2" t="n">
        <v>9.390000000000001</v>
      </c>
      <c r="H1520" s="2" t="b">
        <v>0</v>
      </c>
      <c r="I1520" s="2" t="inlineStr"/>
      <c r="J1520" s="2" t="inlineStr"/>
      <c r="K1520" s="2" t="inlineStr">
        <is>
          <t>&gt; Mundo Bebe &gt; Higiene para el Bebe &gt; Higiene del Bebé &gt;</t>
        </is>
      </c>
      <c r="L1520" s="2" t="inlineStr">
        <is>
          <t>shampoo</t>
        </is>
      </c>
      <c r="M1520" s="2" t="inlineStr">
        <is>
          <t>estandar</t>
        </is>
      </c>
      <c r="N1520" s="2" t="inlineStr">
        <is>
          <t>bebe</t>
        </is>
      </c>
      <c r="O1520" s="2" t="inlineStr">
        <is>
          <t>https://www.jumbo.com.ar/shampoo-para-bebe-danielle/p</t>
        </is>
      </c>
    </row>
    <row r="1521">
      <c r="A1521" t="inlineStr">
        <is>
          <t>Jumbo</t>
        </is>
      </c>
      <c r="B1521" t="n">
        <v>48725</v>
      </c>
      <c r="C1521" t="n">
        <v>45890</v>
      </c>
      <c r="D1521" t="inlineStr">
        <is>
          <t>Shampoo Vea Para Bebe X 230 Ml Sin Lagrimas  Pvc 230 Ml.</t>
        </is>
      </c>
      <c r="E1521" t="inlineStr">
        <is>
          <t>VEA</t>
        </is>
      </c>
      <c r="F1521" t="n">
        <v>3.24</v>
      </c>
      <c r="G1521" t="n">
        <v>3.24</v>
      </c>
      <c r="H1521" t="b">
        <v>0</v>
      </c>
      <c r="I1521" t="n">
        <v>230</v>
      </c>
      <c r="J1521" t="n">
        <v>0.0141</v>
      </c>
      <c r="K1521" t="inlineStr">
        <is>
          <t>&gt; Mundo Bebe &gt; Higiene para el Bebe &gt; Higiene del Bebé &gt;</t>
        </is>
      </c>
      <c r="L1521" t="inlineStr">
        <is>
          <t>shampoo</t>
        </is>
      </c>
      <c r="M1521" t="inlineStr">
        <is>
          <t>estandar</t>
        </is>
      </c>
      <c r="N1521" t="inlineStr">
        <is>
          <t>bebe</t>
        </is>
      </c>
      <c r="O1521" t="inlineStr">
        <is>
          <t>https://www.jumbo.com.ar/shampoo-vea-para-bebe-x-230-ml-sin-lagrimas-pvc-230-ml/p</t>
        </is>
      </c>
    </row>
    <row r="1522">
      <c r="A1522" s="2" t="inlineStr">
        <is>
          <t>Jumbo</t>
        </is>
      </c>
      <c r="B1522" s="2" t="n">
        <v>41744</v>
      </c>
      <c r="C1522" s="2" t="n">
        <v>38908</v>
      </c>
      <c r="D1522" s="2" t="inlineStr">
        <is>
          <t>Shampoo Para Beb? Babelito Manzanilla 400ml Shampoo Para Bebé Babelito Manzanilla 400ml</t>
        </is>
      </c>
      <c r="E1522" s="2" t="inlineStr">
        <is>
          <t>BABELITO</t>
        </is>
      </c>
      <c r="F1522" s="2" t="n">
        <v>93.29000000000001</v>
      </c>
      <c r="G1522" s="2" t="n">
        <v>93.29000000000001</v>
      </c>
      <c r="H1522" s="2" t="b">
        <v>0</v>
      </c>
      <c r="I1522" s="2" t="n">
        <v>400</v>
      </c>
      <c r="J1522" s="2" t="n">
        <v>0.2332</v>
      </c>
      <c r="K1522" s="2" t="inlineStr">
        <is>
          <t>&gt; Mundo Bebe &gt; Higiene para el Bebe &gt; Higiene del Bebé &gt;</t>
        </is>
      </c>
      <c r="L1522" s="2" t="inlineStr">
        <is>
          <t>shampoo</t>
        </is>
      </c>
      <c r="M1522" s="2" t="inlineStr">
        <is>
          <t>estandar</t>
        </is>
      </c>
      <c r="N1522" s="2" t="inlineStr">
        <is>
          <t>bebe</t>
        </is>
      </c>
      <c r="O1522" s="2" t="inlineStr">
        <is>
          <t>https://www.jumbo.com.ar/shampoo-para-beb-babelito-manzanilla-400ml/p</t>
        </is>
      </c>
    </row>
    <row r="1523">
      <c r="A1523" t="inlineStr">
        <is>
          <t>Jumbo</t>
        </is>
      </c>
      <c r="B1523" t="n">
        <v>333436</v>
      </c>
      <c r="C1523" t="n">
        <v>332584</v>
      </c>
      <c r="D1523" t="inlineStr">
        <is>
          <t>Shampoo Hidratación Intensa 200ml Johnson Baby</t>
        </is>
      </c>
      <c r="E1523" t="inlineStr">
        <is>
          <t>JOHNSON BABY</t>
        </is>
      </c>
      <c r="F1523" t="n">
        <v>950</v>
      </c>
      <c r="G1523" t="n">
        <v>78512</v>
      </c>
      <c r="H1523" t="b">
        <v>0</v>
      </c>
      <c r="I1523" t="n">
        <v>200</v>
      </c>
      <c r="J1523" t="n">
        <v>4.75</v>
      </c>
      <c r="K1523" t="inlineStr">
        <is>
          <t>&gt; Mundo Bebe &gt; Higiene para el Bebe &gt; Higiene del Bebé &gt;</t>
        </is>
      </c>
      <c r="L1523" t="inlineStr">
        <is>
          <t>shampoo</t>
        </is>
      </c>
      <c r="M1523" t="inlineStr">
        <is>
          <t>estandar</t>
        </is>
      </c>
      <c r="N1523" t="inlineStr">
        <is>
          <t>seco_danado</t>
        </is>
      </c>
      <c r="O1523" t="inlineStr">
        <is>
          <t>https://www.jumbo.com.ar/shampoo-hidratacion-intensa-200ml-johnson-baby/p</t>
        </is>
      </c>
    </row>
    <row r="1524">
      <c r="A1524" s="2" t="inlineStr">
        <is>
          <t>Jumbo</t>
        </is>
      </c>
      <c r="B1524" s="2" t="n">
        <v>333076</v>
      </c>
      <c r="C1524" s="2" t="n">
        <v>332224</v>
      </c>
      <c r="D1524" s="2" t="inlineStr">
        <is>
          <t>Shampoo Para Niños Johnson's® Gotas De Brillo® X 200 Ml.</t>
        </is>
      </c>
      <c r="E1524" s="2" t="inlineStr">
        <is>
          <t>JOHNSON BABY</t>
        </is>
      </c>
      <c r="F1524" s="2" t="n">
        <v>604.95</v>
      </c>
      <c r="G1524" s="2" t="n">
        <v>49996</v>
      </c>
      <c r="H1524" s="2" t="b">
        <v>0</v>
      </c>
      <c r="I1524" s="2" t="n">
        <v>200</v>
      </c>
      <c r="J1524" s="2" t="n">
        <v>3.0248</v>
      </c>
      <c r="K1524" s="2" t="inlineStr">
        <is>
          <t>&gt; Mundo Bebe &gt; Higiene para el Bebe &gt; Higiene del Bebé &gt;</t>
        </is>
      </c>
      <c r="L1524" s="2" t="inlineStr">
        <is>
          <t>shampoo</t>
        </is>
      </c>
      <c r="M1524" s="2" t="inlineStr">
        <is>
          <t>estandar</t>
        </is>
      </c>
      <c r="N1524" s="2" t="inlineStr">
        <is>
          <t>bebe</t>
        </is>
      </c>
      <c r="O1524" s="2" t="inlineStr">
        <is>
          <t>https://www.jumbo.com.ar/shampoo-para-ninos-johnson-s-gotas-de-brillo-x-200-ml-2/p</t>
        </is>
      </c>
    </row>
    <row r="1525">
      <c r="A1525" t="inlineStr">
        <is>
          <t>Jumbo</t>
        </is>
      </c>
      <c r="B1525" t="n">
        <v>333075</v>
      </c>
      <c r="C1525" t="n">
        <v>332223</v>
      </c>
      <c r="D1525" t="inlineStr">
        <is>
          <t>Shampoo Para Niños Johnson's® Gotas De Brillo® X 400 Ml.</t>
        </is>
      </c>
      <c r="E1525" t="inlineStr">
        <is>
          <t>JOHNSON BABY</t>
        </is>
      </c>
      <c r="F1525" t="n">
        <v>943.29</v>
      </c>
      <c r="G1525" t="n">
        <v>77958</v>
      </c>
      <c r="H1525" t="b">
        <v>0</v>
      </c>
      <c r="I1525" t="n">
        <v>400</v>
      </c>
      <c r="J1525" t="n">
        <v>2.3582</v>
      </c>
      <c r="K1525" t="inlineStr">
        <is>
          <t>&gt; Mundo Bebe &gt; Higiene para el Bebe &gt; Higiene del Bebé &gt;</t>
        </is>
      </c>
      <c r="L1525" t="inlineStr">
        <is>
          <t>shampoo</t>
        </is>
      </c>
      <c r="M1525" t="inlineStr">
        <is>
          <t>estandar</t>
        </is>
      </c>
      <c r="N1525" t="inlineStr">
        <is>
          <t>bebe</t>
        </is>
      </c>
      <c r="O1525" t="inlineStr">
        <is>
          <t>https://www.jumbo.com.ar/shampoo-para-ninos-johnson-s-gotas-de-brillo-x-400-ml-3/p</t>
        </is>
      </c>
    </row>
    <row r="1526">
      <c r="A1526" s="2" t="inlineStr">
        <is>
          <t>Jumbo</t>
        </is>
      </c>
      <c r="B1526" s="2" t="n">
        <v>333069</v>
      </c>
      <c r="C1526" s="2" t="n">
        <v>332217</v>
      </c>
      <c r="D1526" s="2" t="inlineStr">
        <is>
          <t>Acondicionador Para Bebé Johnson's® Ph Balanceado X 200 Ml.</t>
        </is>
      </c>
      <c r="E1526" s="2" t="inlineStr">
        <is>
          <t>JOHNSON BABY</t>
        </is>
      </c>
      <c r="F1526" s="2" t="n">
        <v>900</v>
      </c>
      <c r="G1526" s="2" t="n">
        <v>74380</v>
      </c>
      <c r="H1526" s="2" t="b">
        <v>0</v>
      </c>
      <c r="I1526" s="2" t="n">
        <v>200</v>
      </c>
      <c r="J1526" s="2" t="n">
        <v>4.5</v>
      </c>
      <c r="K1526" s="2" t="inlineStr">
        <is>
          <t>&gt; Mundo Bebe &gt; Higiene para el Bebe &gt; Higiene del Bebé &gt;</t>
        </is>
      </c>
      <c r="L1526" s="2" t="inlineStr">
        <is>
          <t>acondicionador</t>
        </is>
      </c>
      <c r="M1526" s="2" t="inlineStr">
        <is>
          <t>estandar</t>
        </is>
      </c>
      <c r="N1526" s="2" t="inlineStr">
        <is>
          <t>bebe</t>
        </is>
      </c>
      <c r="O1526" s="2" t="inlineStr">
        <is>
          <t>https://www.jumbo.com.ar/acondicionador-para-bebe-johnson-s-ph-balanceado-x-200-ml-2/p</t>
        </is>
      </c>
    </row>
    <row r="1527">
      <c r="A1527" t="inlineStr">
        <is>
          <t>Jumbo</t>
        </is>
      </c>
      <c r="B1527" t="n">
        <v>37853</v>
      </c>
      <c r="C1527" t="n">
        <v>35011</v>
      </c>
      <c r="D1527" t="inlineStr">
        <is>
          <t>Shampoo Dove Baby Sensible 200 Ml</t>
        </is>
      </c>
      <c r="E1527" t="inlineStr">
        <is>
          <t>DOVE BABY</t>
        </is>
      </c>
      <c r="F1527" t="n">
        <v>151.09</v>
      </c>
      <c r="G1527" t="n">
        <v>12487</v>
      </c>
      <c r="H1527" t="b">
        <v>0</v>
      </c>
      <c r="I1527" t="n">
        <v>200</v>
      </c>
      <c r="J1527" t="n">
        <v>0.7554999999999999</v>
      </c>
      <c r="K1527" t="inlineStr">
        <is>
          <t>&gt; Mundo Bebe &gt; Higiene para el Bebe &gt; Higiene del Bebé &gt;</t>
        </is>
      </c>
      <c r="L1527" t="inlineStr">
        <is>
          <t>shampoo</t>
        </is>
      </c>
      <c r="M1527" t="inlineStr">
        <is>
          <t>estandar</t>
        </is>
      </c>
      <c r="N1527" t="inlineStr">
        <is>
          <t>general</t>
        </is>
      </c>
      <c r="O1527" t="inlineStr">
        <is>
          <t>https://www.jumbo.com.ar/shampoo-dove-baby-sensible-200-ml/p</t>
        </is>
      </c>
    </row>
    <row r="1528">
      <c r="A1528" s="2" t="inlineStr">
        <is>
          <t>Jumbo</t>
        </is>
      </c>
      <c r="B1528" s="2" t="n">
        <v>661</v>
      </c>
      <c r="C1528" s="2" t="n">
        <v>248024</v>
      </c>
      <c r="D1528" s="2" t="inlineStr">
        <is>
          <t>Acondicionador Para Bebé Johnson's® Ph Balanceado X 200 Ml</t>
        </is>
      </c>
      <c r="E1528" s="2" t="inlineStr">
        <is>
          <t>JOHNSON BABY</t>
        </is>
      </c>
      <c r="F1528" s="2" t="n">
        <v>213.39</v>
      </c>
      <c r="G1528" s="2" t="n">
        <v>17636</v>
      </c>
      <c r="H1528" s="2" t="b">
        <v>0</v>
      </c>
      <c r="I1528" s="2" t="n">
        <v>200</v>
      </c>
      <c r="J1528" s="2" t="n">
        <v>1.0669</v>
      </c>
      <c r="K1528" s="2" t="inlineStr">
        <is>
          <t>&gt; Mundo Bebe &gt; Higiene para el Bebe &gt; Higiene del Bebé &gt;</t>
        </is>
      </c>
      <c r="L1528" s="2" t="inlineStr">
        <is>
          <t>acondicionador</t>
        </is>
      </c>
      <c r="M1528" s="2" t="inlineStr">
        <is>
          <t>estandar</t>
        </is>
      </c>
      <c r="N1528" s="2" t="inlineStr">
        <is>
          <t>bebe</t>
        </is>
      </c>
      <c r="O1528" s="2" t="inlineStr">
        <is>
          <t>https://www.jumbo.com.ar/acondicionador-para-bebe-johnson-s-ph-balanceado-x-200-ml/p</t>
        </is>
      </c>
    </row>
    <row r="1529">
      <c r="A1529" t="inlineStr">
        <is>
          <t>Jumbo</t>
        </is>
      </c>
      <c r="B1529" t="n">
        <v>660</v>
      </c>
      <c r="C1529" t="n">
        <v>248023</v>
      </c>
      <c r="D1529" t="inlineStr">
        <is>
          <t>Acondicionador Para Bebé Johnson's® Ph Balanceado X 400 Ml</t>
        </is>
      </c>
      <c r="E1529" t="inlineStr">
        <is>
          <t>JOHNSON BABY</t>
        </is>
      </c>
      <c r="F1529" t="n">
        <v>274.97</v>
      </c>
      <c r="G1529" t="n">
        <v>22725</v>
      </c>
      <c r="H1529" t="b">
        <v>0</v>
      </c>
      <c r="I1529" t="n">
        <v>400</v>
      </c>
      <c r="J1529" t="n">
        <v>0.6874</v>
      </c>
      <c r="K1529" t="inlineStr">
        <is>
          <t>&gt; Mundo Bebe &gt; Higiene para el Bebe &gt; Higiene del Bebé &gt;</t>
        </is>
      </c>
      <c r="L1529" t="inlineStr">
        <is>
          <t>acondicionador</t>
        </is>
      </c>
      <c r="M1529" t="inlineStr">
        <is>
          <t>estandar</t>
        </is>
      </c>
      <c r="N1529" t="inlineStr">
        <is>
          <t>bebe</t>
        </is>
      </c>
      <c r="O1529" t="inlineStr">
        <is>
          <t>https://www.jumbo.com.ar/acondicionador-para-bebe-johnson-s-ph-balanceado-x-400-ml/p</t>
        </is>
      </c>
    </row>
    <row r="1530">
      <c r="A1530" s="2" t="inlineStr">
        <is>
          <t>Jumbo</t>
        </is>
      </c>
      <c r="B1530" s="2" t="n">
        <v>76663</v>
      </c>
      <c r="C1530" s="2" t="n">
        <v>73791</v>
      </c>
      <c r="D1530" s="2" t="inlineStr">
        <is>
          <t>Shampoo Huggies Para Beb? X 250 Ml Shampoo Huggies Para Bebé X 250 Ml</t>
        </is>
      </c>
      <c r="E1530" s="2" t="inlineStr">
        <is>
          <t>HUGGIES</t>
        </is>
      </c>
      <c r="F1530" s="2" t="n">
        <v>9.890000000000001</v>
      </c>
      <c r="G1530" s="2" t="n">
        <v>9.890000000000001</v>
      </c>
      <c r="H1530" s="2" t="b">
        <v>0</v>
      </c>
      <c r="I1530" s="2" t="n">
        <v>250</v>
      </c>
      <c r="J1530" s="2" t="n">
        <v>0.0396</v>
      </c>
      <c r="K1530" s="2" t="inlineStr">
        <is>
          <t>&gt; Mundo Bebe &gt; Higiene para el Bebe &gt; Higiene del Bebé &gt;</t>
        </is>
      </c>
      <c r="L1530" s="2" t="inlineStr">
        <is>
          <t>shampoo</t>
        </is>
      </c>
      <c r="M1530" s="2" t="inlineStr">
        <is>
          <t>estandar</t>
        </is>
      </c>
      <c r="N1530" s="2" t="inlineStr">
        <is>
          <t>bebe</t>
        </is>
      </c>
      <c r="O1530" s="2" t="inlineStr">
        <is>
          <t>https://www.jumbo.com.ar/shampoo-huggies-para-bebe-x-250-ml/p</t>
        </is>
      </c>
    </row>
    <row r="1531">
      <c r="A1531" t="inlineStr">
        <is>
          <t>Jumbo</t>
        </is>
      </c>
      <c r="B1531" t="n">
        <v>634</v>
      </c>
      <c r="C1531" t="n">
        <v>248027</v>
      </c>
      <c r="D1531" t="inlineStr">
        <is>
          <t>Acondicionador Para Bebé Johnson's® Cabello Claro X 400 Ml</t>
        </is>
      </c>
      <c r="E1531" t="inlineStr">
        <is>
          <t>JOHNSON BABY</t>
        </is>
      </c>
      <c r="F1531" t="n">
        <v>274.97</v>
      </c>
      <c r="G1531" t="n">
        <v>22725</v>
      </c>
      <c r="H1531" t="b">
        <v>0</v>
      </c>
      <c r="I1531" t="n">
        <v>400</v>
      </c>
      <c r="J1531" t="n">
        <v>0.6874</v>
      </c>
      <c r="K1531" t="inlineStr">
        <is>
          <t>&gt; Mundo Bebe &gt; Higiene para el Bebe &gt; Higiene del Bebé &gt;</t>
        </is>
      </c>
      <c r="L1531" t="inlineStr">
        <is>
          <t>acondicionador</t>
        </is>
      </c>
      <c r="M1531" t="inlineStr">
        <is>
          <t>estandar</t>
        </is>
      </c>
      <c r="N1531" t="inlineStr">
        <is>
          <t>bebe</t>
        </is>
      </c>
      <c r="O1531" t="inlineStr">
        <is>
          <t>https://www.jumbo.com.ar/acondicionador-para-bebe-johnson-s-cabello-claro-x-400-ml/p</t>
        </is>
      </c>
    </row>
    <row r="1532">
      <c r="A1532" s="2" t="inlineStr">
        <is>
          <t>Jumbo</t>
        </is>
      </c>
      <c r="B1532" s="2" t="n">
        <v>627</v>
      </c>
      <c r="C1532" s="2" t="n">
        <v>248025</v>
      </c>
      <c r="D1532" s="2" t="inlineStr">
        <is>
          <t>Acondicionador Para Bebé Johnson's® Cabello Claro X 200 Ml</t>
        </is>
      </c>
      <c r="E1532" s="2" t="inlineStr">
        <is>
          <t>JOHNSON BABY</t>
        </is>
      </c>
      <c r="F1532" s="2" t="n">
        <v>213.39</v>
      </c>
      <c r="G1532" s="2" t="n">
        <v>17636</v>
      </c>
      <c r="H1532" s="2" t="b">
        <v>0</v>
      </c>
      <c r="I1532" s="2" t="n">
        <v>200</v>
      </c>
      <c r="J1532" s="2" t="n">
        <v>1.0669</v>
      </c>
      <c r="K1532" s="2" t="inlineStr">
        <is>
          <t>&gt; Mundo Bebe &gt; Higiene para el Bebe &gt; Higiene del Bebé &gt;</t>
        </is>
      </c>
      <c r="L1532" s="2" t="inlineStr">
        <is>
          <t>acondicionador</t>
        </is>
      </c>
      <c r="M1532" s="2" t="inlineStr">
        <is>
          <t>estandar</t>
        </is>
      </c>
      <c r="N1532" s="2" t="inlineStr">
        <is>
          <t>bebe</t>
        </is>
      </c>
      <c r="O1532" s="2" t="inlineStr">
        <is>
          <t>https://www.jumbo.com.ar/acondicionador-para-bebe-johnson-s-cabello-claro-x-200-ml/p</t>
        </is>
      </c>
    </row>
    <row r="1533">
      <c r="A1533" t="inlineStr">
        <is>
          <t>Jumbo</t>
        </is>
      </c>
      <c r="B1533" t="n">
        <v>333071</v>
      </c>
      <c r="C1533" t="n">
        <v>332219</v>
      </c>
      <c r="D1533" t="inlineStr">
        <is>
          <t>Acondicionador Para Bebé Johnson's® Ph Balanceado X 400 Ml.</t>
        </is>
      </c>
      <c r="E1533" t="inlineStr">
        <is>
          <t>JOHNSON BABY</t>
        </is>
      </c>
      <c r="F1533" t="n">
        <v>1306.03</v>
      </c>
      <c r="G1533" t="n">
        <v>107936</v>
      </c>
      <c r="H1533" t="b">
        <v>0</v>
      </c>
      <c r="I1533" t="n">
        <v>400</v>
      </c>
      <c r="J1533" t="n">
        <v>3.2651</v>
      </c>
      <c r="K1533" t="inlineStr">
        <is>
          <t>&gt; Mundo Bebe &gt; Higiene para el Bebe &gt; Higiene del Bebé &gt;</t>
        </is>
      </c>
      <c r="L1533" t="inlineStr">
        <is>
          <t>acondicionador</t>
        </is>
      </c>
      <c r="M1533" t="inlineStr">
        <is>
          <t>estandar</t>
        </is>
      </c>
      <c r="N1533" t="inlineStr">
        <is>
          <t>bebe</t>
        </is>
      </c>
      <c r="O1533" t="inlineStr">
        <is>
          <t>https://www.jumbo.com.ar/acondicionador-para-bebe-johnson-s-ph-balanceado-x-400-ml-2/p</t>
        </is>
      </c>
    </row>
    <row r="1534">
      <c r="A1534" s="2" t="inlineStr">
        <is>
          <t>Jumbo</t>
        </is>
      </c>
      <c r="B1534" s="2" t="n">
        <v>386977</v>
      </c>
      <c r="C1534" s="2" t="n">
        <v>385303</v>
      </c>
      <c r="D1534" s="2" t="inlineStr">
        <is>
          <t>Shampoo Niños Johnson's Fragancia Prolongada X200 Ml.</t>
        </is>
      </c>
      <c r="E1534" s="2" t="inlineStr">
        <is>
          <t>JOHNSON´S</t>
        </is>
      </c>
      <c r="F1534" s="2" t="n">
        <v>1218.99</v>
      </c>
      <c r="G1534" s="2" t="n">
        <v>100743</v>
      </c>
      <c r="H1534" s="2" t="b">
        <v>0</v>
      </c>
      <c r="I1534" s="2" t="n">
        <v>200</v>
      </c>
      <c r="J1534" s="2" t="n">
        <v>6.0949</v>
      </c>
      <c r="K1534" s="2" t="inlineStr">
        <is>
          <t>&gt; Mundo Bebe &gt; Higiene para el Bebe &gt; Higiene del Bebé &gt;</t>
        </is>
      </c>
      <c r="L1534" s="2" t="inlineStr">
        <is>
          <t>shampoo</t>
        </is>
      </c>
      <c r="M1534" s="2" t="inlineStr">
        <is>
          <t>estandar</t>
        </is>
      </c>
      <c r="N1534" s="2" t="inlineStr">
        <is>
          <t>bebe</t>
        </is>
      </c>
      <c r="O1534" s="2" t="inlineStr">
        <is>
          <t>https://www.jumbo.com.ar/shampoo-ninos-johnson-s-fragancia-prolongada-x200-ml/p</t>
        </is>
      </c>
    </row>
    <row r="1535">
      <c r="A1535" t="inlineStr">
        <is>
          <t>Jumbo</t>
        </is>
      </c>
      <c r="B1535" t="n">
        <v>333074</v>
      </c>
      <c r="C1535" t="n">
        <v>332222</v>
      </c>
      <c r="D1535" t="inlineStr">
        <is>
          <t>Acondicionador Para Bebé Johnson's® Cabello Claro X 200 Ml.</t>
        </is>
      </c>
      <c r="E1535" t="inlineStr">
        <is>
          <t>JOHNSON BABY</t>
        </is>
      </c>
      <c r="F1535" t="n">
        <v>950</v>
      </c>
      <c r="G1535" t="n">
        <v>78512</v>
      </c>
      <c r="H1535" t="b">
        <v>0</v>
      </c>
      <c r="I1535" t="n">
        <v>200</v>
      </c>
      <c r="J1535" t="n">
        <v>4.75</v>
      </c>
      <c r="K1535" t="inlineStr">
        <is>
          <t>&gt; Mundo Bebe &gt; Higiene para el Bebe &gt; Higiene del Bebé &gt;</t>
        </is>
      </c>
      <c r="L1535" t="inlineStr">
        <is>
          <t>acondicionador</t>
        </is>
      </c>
      <c r="M1535" t="inlineStr">
        <is>
          <t>estandar</t>
        </is>
      </c>
      <c r="N1535" t="inlineStr">
        <is>
          <t>bebe</t>
        </is>
      </c>
      <c r="O1535" t="inlineStr">
        <is>
          <t>https://www.jumbo.com.ar/acondicionador-para-bebe-johnson-s-cabello-claro-x-200-ml-2/p</t>
        </is>
      </c>
    </row>
    <row r="1536">
      <c r="A1536" s="2" t="inlineStr">
        <is>
          <t>Jumbo</t>
        </is>
      </c>
      <c r="B1536" s="2" t="n">
        <v>46767</v>
      </c>
      <c r="C1536" s="2" t="n">
        <v>43931</v>
      </c>
      <c r="D1536" s="2" t="inlineStr">
        <is>
          <t>Shampoo Para Niños Johnson's® Hidratación Intensa X 200 Ml</t>
        </is>
      </c>
      <c r="E1536" s="2" t="inlineStr">
        <is>
          <t>JOHNSON BABY</t>
        </is>
      </c>
      <c r="F1536" s="2" t="n">
        <v>213.39</v>
      </c>
      <c r="G1536" s="2" t="n">
        <v>17636</v>
      </c>
      <c r="H1536" s="2" t="b">
        <v>0</v>
      </c>
      <c r="I1536" s="2" t="n">
        <v>200</v>
      </c>
      <c r="J1536" s="2" t="n">
        <v>1.0669</v>
      </c>
      <c r="K1536" s="2" t="inlineStr">
        <is>
          <t>&gt; Mundo Bebe &gt; Higiene para el Bebe &gt; Higiene del Bebé &gt;</t>
        </is>
      </c>
      <c r="L1536" s="2" t="inlineStr">
        <is>
          <t>shampoo</t>
        </is>
      </c>
      <c r="M1536" s="2" t="inlineStr">
        <is>
          <t>estandar</t>
        </is>
      </c>
      <c r="N1536" s="2" t="inlineStr">
        <is>
          <t>seco_danado</t>
        </is>
      </c>
      <c r="O1536" s="2" t="inlineStr">
        <is>
          <t>https://www.jumbo.com.ar/shampoo-para-ninos-johnson-s-hidratacion-intensa-x-200-ml/p</t>
        </is>
      </c>
    </row>
    <row r="1537">
      <c r="A1537" t="inlineStr">
        <is>
          <t>Jumbo</t>
        </is>
      </c>
      <c r="B1537" t="n">
        <v>386979</v>
      </c>
      <c r="C1537" t="n">
        <v>385305</v>
      </c>
      <c r="D1537" t="inlineStr">
        <is>
          <t>Shampoo Para Niños Johnson's Gotas De Brillo X 200 Ml.</t>
        </is>
      </c>
      <c r="E1537" t="inlineStr">
        <is>
          <t>JOHNSON´S</t>
        </is>
      </c>
      <c r="F1537" t="n">
        <v>1160.95</v>
      </c>
      <c r="G1537" t="n">
        <v>95946</v>
      </c>
      <c r="H1537" t="b">
        <v>0</v>
      </c>
      <c r="I1537" t="n">
        <v>200</v>
      </c>
      <c r="J1537" t="n">
        <v>5.8048</v>
      </c>
      <c r="K1537" t="inlineStr">
        <is>
          <t>&gt; Mundo Bebe &gt; Higiene para el Bebe &gt; Higiene del Bebé &gt;</t>
        </is>
      </c>
      <c r="L1537" t="inlineStr">
        <is>
          <t>shampoo</t>
        </is>
      </c>
      <c r="M1537" t="inlineStr">
        <is>
          <t>estandar</t>
        </is>
      </c>
      <c r="N1537" t="inlineStr">
        <is>
          <t>bebe</t>
        </is>
      </c>
      <c r="O1537" t="inlineStr">
        <is>
          <t>https://www.jumbo.com.ar/shampoo-jhonson-baby-gotas-brillo-200ml/p</t>
        </is>
      </c>
    </row>
    <row r="1538">
      <c r="A1538" s="2" t="inlineStr">
        <is>
          <t>Jumbo</t>
        </is>
      </c>
      <c r="B1538" s="2" t="n">
        <v>386978</v>
      </c>
      <c r="C1538" s="2" t="n">
        <v>385304</v>
      </c>
      <c r="D1538" s="2" t="inlineStr">
        <is>
          <t>Shampoo Para Niños Johnson's Gotas De Brillo X 400 Ml.</t>
        </is>
      </c>
      <c r="E1538" s="2" t="inlineStr">
        <is>
          <t>JOHNSON´S</t>
        </is>
      </c>
      <c r="F1538" s="2" t="n">
        <v>1813.97</v>
      </c>
      <c r="G1538" s="2" t="n">
        <v>149915</v>
      </c>
      <c r="H1538" s="2" t="b">
        <v>0</v>
      </c>
      <c r="I1538" s="2" t="n">
        <v>400</v>
      </c>
      <c r="J1538" s="2" t="n">
        <v>4.5349</v>
      </c>
      <c r="K1538" s="2" t="inlineStr">
        <is>
          <t>&gt; Mundo Bebe &gt; Higiene para el Bebe &gt; Higiene del Bebé &gt;</t>
        </is>
      </c>
      <c r="L1538" s="2" t="inlineStr">
        <is>
          <t>shampoo</t>
        </is>
      </c>
      <c r="M1538" s="2" t="inlineStr">
        <is>
          <t>estandar</t>
        </is>
      </c>
      <c r="N1538" s="2" t="inlineStr">
        <is>
          <t>bebe</t>
        </is>
      </c>
      <c r="O1538" s="2" t="inlineStr">
        <is>
          <t>https://www.jumbo.com.ar/shampoo-para-ninos-johnson-s-gotas-de-brillo-x-400-ml/p</t>
        </is>
      </c>
    </row>
    <row r="1539">
      <c r="A1539" t="inlineStr">
        <is>
          <t>Jumbo</t>
        </is>
      </c>
      <c r="B1539" t="n">
        <v>3361</v>
      </c>
      <c r="C1539" t="n">
        <v>248540</v>
      </c>
      <c r="D1539" t="inlineStr">
        <is>
          <t>Shampoo Para Niños Johnson's® Fragancia Prolongada X 400 Ml.</t>
        </is>
      </c>
      <c r="E1539" t="inlineStr">
        <is>
          <t>JOHNSON BABY</t>
        </is>
      </c>
      <c r="F1539" t="n">
        <v>274.97</v>
      </c>
      <c r="G1539" t="n">
        <v>22725</v>
      </c>
      <c r="H1539" t="b">
        <v>0</v>
      </c>
      <c r="I1539" t="n">
        <v>400</v>
      </c>
      <c r="J1539" t="n">
        <v>0.6874</v>
      </c>
      <c r="K1539" t="inlineStr">
        <is>
          <t>&gt; Mundo Bebe &gt; Higiene para el Bebe &gt; Higiene del Bebé &gt;</t>
        </is>
      </c>
      <c r="L1539" t="inlineStr">
        <is>
          <t>shampoo</t>
        </is>
      </c>
      <c r="M1539" t="inlineStr">
        <is>
          <t>estandar</t>
        </is>
      </c>
      <c r="N1539" t="inlineStr">
        <is>
          <t>bebe</t>
        </is>
      </c>
      <c r="O1539" t="inlineStr">
        <is>
          <t>https://www.jumbo.com.ar/shampoo-para-ninos-johnson-s-fragancia-prolongada-x-400-ml/p</t>
        </is>
      </c>
    </row>
    <row r="1540">
      <c r="A1540" s="2" t="inlineStr">
        <is>
          <t>Jumbo</t>
        </is>
      </c>
      <c r="B1540" s="2" t="n">
        <v>17195</v>
      </c>
      <c r="C1540" s="2" t="n">
        <v>14321</v>
      </c>
      <c r="D1540" s="2" t="inlineStr">
        <is>
          <t>Shampoo Para Niños Johnson's® Gotas De Brillo® X 750 Ml</t>
        </is>
      </c>
      <c r="E1540" s="2" t="inlineStr">
        <is>
          <t>JOHNSON BABY</t>
        </is>
      </c>
      <c r="F1540" s="2" t="n">
        <v>492.99</v>
      </c>
      <c r="G1540" s="2" t="n">
        <v>40743</v>
      </c>
      <c r="H1540" s="2" t="b">
        <v>0</v>
      </c>
      <c r="I1540" s="2" t="n">
        <v>750</v>
      </c>
      <c r="J1540" s="2" t="n">
        <v>0.6573</v>
      </c>
      <c r="K1540" s="2" t="inlineStr">
        <is>
          <t>&gt; Mundo Bebe &gt; Higiene para el Bebe &gt; Higiene del Bebé &gt;</t>
        </is>
      </c>
      <c r="L1540" s="2" t="inlineStr">
        <is>
          <t>shampoo</t>
        </is>
      </c>
      <c r="M1540" s="2" t="inlineStr">
        <is>
          <t>estandar</t>
        </is>
      </c>
      <c r="N1540" s="2" t="inlineStr">
        <is>
          <t>bebe</t>
        </is>
      </c>
      <c r="O1540" s="2" t="inlineStr">
        <is>
          <t>https://www.jumbo.com.ar/shampoo-para-ninos-johnson-s-gotas-de-brillo-x-750-ml/p</t>
        </is>
      </c>
    </row>
    <row r="1541">
      <c r="A1541" t="inlineStr">
        <is>
          <t>Jumbo</t>
        </is>
      </c>
      <c r="B1541" t="n">
        <v>17165</v>
      </c>
      <c r="C1541" t="n">
        <v>14291</v>
      </c>
      <c r="D1541" t="inlineStr">
        <is>
          <t>Shampoo Para Niños Johnson's® Gotas De Brillo® X 400 Ml</t>
        </is>
      </c>
      <c r="E1541" t="inlineStr">
        <is>
          <t>JOHNSON BABY</t>
        </is>
      </c>
      <c r="F1541" t="n">
        <v>274.97</v>
      </c>
      <c r="G1541" t="n">
        <v>22725</v>
      </c>
      <c r="H1541" t="b">
        <v>0</v>
      </c>
      <c r="I1541" t="n">
        <v>400</v>
      </c>
      <c r="J1541" t="n">
        <v>0.6874</v>
      </c>
      <c r="K1541" t="inlineStr">
        <is>
          <t>&gt; Mundo Bebe &gt; Higiene para el Bebe &gt; Higiene del Bebé &gt;</t>
        </is>
      </c>
      <c r="L1541" t="inlineStr">
        <is>
          <t>shampoo</t>
        </is>
      </c>
      <c r="M1541" t="inlineStr">
        <is>
          <t>estandar</t>
        </is>
      </c>
      <c r="N1541" t="inlineStr">
        <is>
          <t>bebe</t>
        </is>
      </c>
      <c r="O1541" t="inlineStr">
        <is>
          <t>https://www.jumbo.com.ar/shampoo-para-ninos-johnson-s-gotas-de-brillo-x-400-ml-2/p</t>
        </is>
      </c>
    </row>
    <row r="1542">
      <c r="A1542" s="2" t="inlineStr">
        <is>
          <t>Jumbo</t>
        </is>
      </c>
      <c r="B1542" s="2" t="n">
        <v>17163</v>
      </c>
      <c r="C1542" s="2" t="n">
        <v>14289</v>
      </c>
      <c r="D1542" s="2" t="inlineStr">
        <is>
          <t>Shampoo Para Niños Johnson's® Gotas De Brillo® X 200 Ml</t>
        </is>
      </c>
      <c r="E1542" s="2" t="inlineStr">
        <is>
          <t>JOHNSON BABY</t>
        </is>
      </c>
      <c r="F1542" s="2" t="n">
        <v>213.39</v>
      </c>
      <c r="G1542" s="2" t="n">
        <v>17636</v>
      </c>
      <c r="H1542" s="2" t="b">
        <v>0</v>
      </c>
      <c r="I1542" s="2" t="n">
        <v>200</v>
      </c>
      <c r="J1542" s="2" t="n">
        <v>1.0669</v>
      </c>
      <c r="K1542" s="2" t="inlineStr">
        <is>
          <t>&gt; Mundo Bebe &gt; Higiene para el Bebe &gt; Higiene del Bebé &gt;</t>
        </is>
      </c>
      <c r="L1542" s="2" t="inlineStr">
        <is>
          <t>shampoo</t>
        </is>
      </c>
      <c r="M1542" s="2" t="inlineStr">
        <is>
          <t>estandar</t>
        </is>
      </c>
      <c r="N1542" s="2" t="inlineStr">
        <is>
          <t>bebe</t>
        </is>
      </c>
      <c r="O1542" s="2" t="inlineStr">
        <is>
          <t>https://www.jumbo.com.ar/shampoo-para-ninos-johnson-s-gotas-de-brillo-x-200-ml/p</t>
        </is>
      </c>
    </row>
    <row r="1543">
      <c r="A1543" t="inlineStr">
        <is>
          <t>Jumbo</t>
        </is>
      </c>
      <c r="B1543" t="n">
        <v>333437</v>
      </c>
      <c r="C1543" t="n">
        <v>332585</v>
      </c>
      <c r="D1543" t="inlineStr">
        <is>
          <t>Acondicinador Hidratación Intensa 200ml Johnson Baby</t>
        </is>
      </c>
      <c r="E1543" t="inlineStr">
        <is>
          <t>JOHNSON BABY</t>
        </is>
      </c>
      <c r="F1543" t="n">
        <v>600.1900000000001</v>
      </c>
      <c r="G1543" t="n">
        <v>49602</v>
      </c>
      <c r="H1543" t="b">
        <v>0</v>
      </c>
      <c r="I1543" t="n">
        <v>200</v>
      </c>
      <c r="J1543" t="n">
        <v>3.001</v>
      </c>
      <c r="K1543" t="inlineStr">
        <is>
          <t>&gt; Mundo Bebe &gt; Higiene para el Bebe &gt; Higiene del Bebé &gt;</t>
        </is>
      </c>
      <c r="L1543" t="inlineStr">
        <is>
          <t>shampoo</t>
        </is>
      </c>
      <c r="M1543" t="inlineStr">
        <is>
          <t>estandar</t>
        </is>
      </c>
      <c r="N1543" t="inlineStr">
        <is>
          <t>seco_danado</t>
        </is>
      </c>
      <c r="O1543" t="inlineStr">
        <is>
          <t>https://www.jumbo.com.ar/acondicinador-hidratacion-intensa-200ml-johnson-baby/p</t>
        </is>
      </c>
    </row>
    <row r="1544">
      <c r="A1544" s="2" t="inlineStr">
        <is>
          <t>Jumbo</t>
        </is>
      </c>
      <c r="B1544" s="2" t="n">
        <v>333067</v>
      </c>
      <c r="C1544" s="2" t="n">
        <v>332215</v>
      </c>
      <c r="D1544" s="2" t="inlineStr">
        <is>
          <t>Acondicionador Para Niños Johnson's® Gotas De Brillo® X 200 Ml.</t>
        </is>
      </c>
      <c r="E1544" s="2" t="inlineStr">
        <is>
          <t>JOHNSON BABY</t>
        </is>
      </c>
      <c r="F1544" s="2" t="n">
        <v>600.1900000000001</v>
      </c>
      <c r="G1544" s="2" t="n">
        <v>49602</v>
      </c>
      <c r="H1544" s="2" t="b">
        <v>0</v>
      </c>
      <c r="I1544" s="2" t="n">
        <v>200</v>
      </c>
      <c r="J1544" s="2" t="n">
        <v>3.001</v>
      </c>
      <c r="K1544" s="2" t="inlineStr">
        <is>
          <t>&gt; Mundo Bebe &gt; Higiene para el Bebe &gt; Higiene del Bebé &gt;</t>
        </is>
      </c>
      <c r="L1544" s="2" t="inlineStr">
        <is>
          <t>acondicionador</t>
        </is>
      </c>
      <c r="M1544" s="2" t="inlineStr">
        <is>
          <t>estandar</t>
        </is>
      </c>
      <c r="N1544" s="2" t="inlineStr">
        <is>
          <t>bebe</t>
        </is>
      </c>
      <c r="O1544" s="2" t="inlineStr">
        <is>
          <t>https://www.jumbo.com.ar/acondicionador-para-ninos-johnson-s-gotas-de-brillo-x-200-ml-2/p</t>
        </is>
      </c>
    </row>
    <row r="1545">
      <c r="A1545" t="inlineStr">
        <is>
          <t>Jumbo</t>
        </is>
      </c>
      <c r="B1545" t="n">
        <v>397058</v>
      </c>
      <c r="C1545" t="n">
        <v>394814</v>
      </c>
      <c r="D1545" t="inlineStr">
        <is>
          <t>Crema Hidratante Johnsons Baby Dormir 200ml</t>
        </is>
      </c>
      <c r="E1545" t="inlineStr">
        <is>
          <t>JOHNSON BABY</t>
        </is>
      </c>
      <c r="F1545" t="n">
        <v>5450</v>
      </c>
      <c r="G1545" t="n">
        <v>450413</v>
      </c>
      <c r="H1545" t="b">
        <v>0</v>
      </c>
      <c r="I1545" t="n">
        <v>200</v>
      </c>
      <c r="J1545" t="n">
        <v>27.25</v>
      </c>
      <c r="K1545" t="inlineStr">
        <is>
          <t>&gt; Mundo Bebe &gt; Higiene para el Bebe &gt; Higiene del Bebé &gt;</t>
        </is>
      </c>
      <c r="L1545" t="inlineStr">
        <is>
          <t>shampoo</t>
        </is>
      </c>
      <c r="M1545" t="inlineStr">
        <is>
          <t>estandar</t>
        </is>
      </c>
      <c r="N1545" t="inlineStr">
        <is>
          <t>seco_danado</t>
        </is>
      </c>
      <c r="O1545" t="inlineStr">
        <is>
          <t>https://www.jumbo.com.ar/crema-hidratante-johnsons-baby-dormir-200ml/p</t>
        </is>
      </c>
    </row>
    <row r="1546">
      <c r="A1546" s="2" t="inlineStr">
        <is>
          <t>Jumbo</t>
        </is>
      </c>
      <c r="B1546" s="2" t="n">
        <v>414734</v>
      </c>
      <c r="C1546" s="2" t="n">
        <v>410435</v>
      </c>
      <c r="D1546" s="2" t="inlineStr">
        <is>
          <t>Acondicionador Para Niños  Gotas De Brillo 400 Ml Johnson´s</t>
        </is>
      </c>
      <c r="E1546" s="2" t="inlineStr">
        <is>
          <t>JOHNSON´S</t>
        </is>
      </c>
      <c r="F1546" s="2" t="n">
        <v>8950</v>
      </c>
      <c r="G1546" s="2" t="n">
        <v>739669</v>
      </c>
      <c r="H1546" s="2" t="b">
        <v>0</v>
      </c>
      <c r="I1546" s="2" t="n">
        <v>400</v>
      </c>
      <c r="J1546" s="2" t="n">
        <v>22.375</v>
      </c>
      <c r="K1546" s="2" t="inlineStr">
        <is>
          <t>&gt; Mundo Bebe &gt; Higiene para el Bebe &gt; Higiene del Bebé &gt;</t>
        </is>
      </c>
      <c r="L1546" s="2" t="inlineStr">
        <is>
          <t>acondicionador</t>
        </is>
      </c>
      <c r="M1546" s="2" t="inlineStr">
        <is>
          <t>estandar</t>
        </is>
      </c>
      <c r="N1546" s="2" t="inlineStr">
        <is>
          <t>bebe</t>
        </is>
      </c>
      <c r="O1546" s="2" t="inlineStr">
        <is>
          <t>https://www.jumbo.com.ar/acondicionador-para-ninos-gotas-de-brillo-400-ml-johnson-s/p</t>
        </is>
      </c>
    </row>
    <row r="1547">
      <c r="A1547" t="inlineStr">
        <is>
          <t>Jumbo</t>
        </is>
      </c>
      <c r="B1547" t="n">
        <v>19080</v>
      </c>
      <c r="C1547" t="n">
        <v>16149</v>
      </c>
      <c r="D1547" t="inlineStr">
        <is>
          <t>Acondicionador Para Niños Johnson's® Hidratación Intensa X 200 Ml</t>
        </is>
      </c>
      <c r="E1547" t="inlineStr">
        <is>
          <t>JOHNSON BABY</t>
        </is>
      </c>
      <c r="F1547" t="n">
        <v>172</v>
      </c>
      <c r="G1547" t="n">
        <v>172</v>
      </c>
      <c r="H1547" t="b">
        <v>0</v>
      </c>
      <c r="I1547" t="n">
        <v>200</v>
      </c>
      <c r="J1547" t="n">
        <v>0.86</v>
      </c>
      <c r="K1547" t="inlineStr">
        <is>
          <t>&gt; Mundo Bebe &gt; Higiene para el Bebe &gt; Higiene del Bebé &gt;</t>
        </is>
      </c>
      <c r="L1547" t="inlineStr">
        <is>
          <t>acondicionador</t>
        </is>
      </c>
      <c r="M1547" t="inlineStr">
        <is>
          <t>estandar</t>
        </is>
      </c>
      <c r="N1547" t="inlineStr">
        <is>
          <t>seco_danado</t>
        </is>
      </c>
      <c r="O1547" t="inlineStr">
        <is>
          <t>https://www.jumbo.com.ar/acondicionador-para-ninos-johnson-s-hidratacion-intensa-x-200-ml/p</t>
        </is>
      </c>
    </row>
    <row r="1548">
      <c r="A1548" s="2" t="inlineStr">
        <is>
          <t>Jumbo</t>
        </is>
      </c>
      <c r="B1548" s="2" t="n">
        <v>17292</v>
      </c>
      <c r="C1548" s="2" t="n">
        <v>14418</v>
      </c>
      <c r="D1548" s="2" t="inlineStr">
        <is>
          <t>Acondicionador Para Niños Johnson's® Gotas De Brillo® X 200 Ml</t>
        </is>
      </c>
      <c r="E1548" s="2" t="inlineStr">
        <is>
          <t>JOHNSON BABY</t>
        </is>
      </c>
      <c r="F1548" s="2" t="n">
        <v>213.39</v>
      </c>
      <c r="G1548" s="2" t="n">
        <v>17636</v>
      </c>
      <c r="H1548" s="2" t="b">
        <v>0</v>
      </c>
      <c r="I1548" s="2" t="n">
        <v>200</v>
      </c>
      <c r="J1548" s="2" t="n">
        <v>1.0669</v>
      </c>
      <c r="K1548" s="2" t="inlineStr">
        <is>
          <t>&gt; Mundo Bebe &gt; Higiene para el Bebe &gt; Higiene del Bebé &gt;</t>
        </is>
      </c>
      <c r="L1548" s="2" t="inlineStr">
        <is>
          <t>acondicionador</t>
        </is>
      </c>
      <c r="M1548" s="2" t="inlineStr">
        <is>
          <t>estandar</t>
        </is>
      </c>
      <c r="N1548" s="2" t="inlineStr">
        <is>
          <t>bebe</t>
        </is>
      </c>
      <c r="O1548" s="2" t="inlineStr">
        <is>
          <t>https://www.jumbo.com.ar/acondicionador-para-ninos-johnson-s-gotas-de-brillo-x-200-ml/p</t>
        </is>
      </c>
    </row>
    <row r="1549">
      <c r="A1549" t="inlineStr">
        <is>
          <t>Jumbo</t>
        </is>
      </c>
      <c r="B1549" t="n">
        <v>272457</v>
      </c>
      <c r="C1549" t="n">
        <v>271758</v>
      </c>
      <c r="D1549" t="inlineStr">
        <is>
          <t>Acondicionador Para Niños Johnson's® Fuerza Y Vitamina X 200 Ml</t>
        </is>
      </c>
      <c r="E1549" t="inlineStr">
        <is>
          <t>JOHNSON BABY</t>
        </is>
      </c>
      <c r="F1549" t="n">
        <v>153.69</v>
      </c>
      <c r="G1549" t="n">
        <v>12702</v>
      </c>
      <c r="H1549" t="b">
        <v>0</v>
      </c>
      <c r="I1549" t="n">
        <v>200</v>
      </c>
      <c r="J1549" t="n">
        <v>0.7684</v>
      </c>
      <c r="K1549" t="inlineStr">
        <is>
          <t>&gt; Mundo Bebe &gt; Higiene para el Bebe &gt; Higiene del Bebé &gt;</t>
        </is>
      </c>
      <c r="L1549" t="inlineStr">
        <is>
          <t>acondicionador</t>
        </is>
      </c>
      <c r="M1549" t="inlineStr">
        <is>
          <t>estandar</t>
        </is>
      </c>
      <c r="N1549" t="inlineStr">
        <is>
          <t>bebe</t>
        </is>
      </c>
      <c r="O1549" t="inlineStr">
        <is>
          <t>https://www.jumbo.com.ar/acondicionador-para-ninos-johnson-s-fuerza-y-vitamina-x-200-ml/p</t>
        </is>
      </c>
    </row>
    <row r="1550">
      <c r="A1550" s="2" t="inlineStr">
        <is>
          <t>Jumbo</t>
        </is>
      </c>
      <c r="B1550" s="2" t="n">
        <v>17293</v>
      </c>
      <c r="C1550" s="2" t="n">
        <v>14419</v>
      </c>
      <c r="D1550" s="2" t="inlineStr">
        <is>
          <t>Acondicionador Para Niños Johnson's® Gotas De Brillo® X 400 Ml</t>
        </is>
      </c>
      <c r="E1550" s="2" t="inlineStr">
        <is>
          <t>JOHNSON BABY</t>
        </is>
      </c>
      <c r="F1550" s="2" t="n">
        <v>274.97</v>
      </c>
      <c r="G1550" s="2" t="n">
        <v>22725</v>
      </c>
      <c r="H1550" s="2" t="b">
        <v>0</v>
      </c>
      <c r="I1550" s="2" t="n">
        <v>400</v>
      </c>
      <c r="J1550" s="2" t="n">
        <v>0.6874</v>
      </c>
      <c r="K1550" s="2" t="inlineStr">
        <is>
          <t>&gt; Mundo Bebe &gt; Higiene para el Bebe &gt; Higiene del Bebé &gt;</t>
        </is>
      </c>
      <c r="L1550" s="2" t="inlineStr">
        <is>
          <t>acondicionador</t>
        </is>
      </c>
      <c r="M1550" s="2" t="inlineStr">
        <is>
          <t>estandar</t>
        </is>
      </c>
      <c r="N1550" s="2" t="inlineStr">
        <is>
          <t>bebe</t>
        </is>
      </c>
      <c r="O1550" s="2" t="inlineStr">
        <is>
          <t>https://www.jumbo.com.ar/acondicionador-para-ninos-johnson-s-gotas-de-brillo-x-400-ml/p</t>
        </is>
      </c>
    </row>
    <row r="1551">
      <c r="A1551" t="inlineStr">
        <is>
          <t>Jumbo</t>
        </is>
      </c>
      <c r="B1551" t="n">
        <v>19020</v>
      </c>
      <c r="C1551" t="n">
        <v>16092</v>
      </c>
      <c r="D1551" t="inlineStr">
        <is>
          <t>Crema Para Peinar Para Niños Johnson's® Hidratación Intensa X 150 Ml</t>
        </is>
      </c>
      <c r="E1551" t="inlineStr">
        <is>
          <t>JOHNSON BABY</t>
        </is>
      </c>
      <c r="F1551" t="n">
        <v>265</v>
      </c>
      <c r="G1551" t="n">
        <v>265</v>
      </c>
      <c r="H1551" t="b">
        <v>0</v>
      </c>
      <c r="I1551" t="n">
        <v>150</v>
      </c>
      <c r="J1551" t="n">
        <v>1.7667</v>
      </c>
      <c r="K1551" t="inlineStr">
        <is>
          <t>&gt; Mundo Bebe &gt; Higiene para el Bebe &gt; Higiene del Bebé &gt;</t>
        </is>
      </c>
      <c r="L1551" t="inlineStr">
        <is>
          <t>shampoo</t>
        </is>
      </c>
      <c r="M1551" t="inlineStr">
        <is>
          <t>estandar</t>
        </is>
      </c>
      <c r="N1551" t="inlineStr">
        <is>
          <t>seco_danado</t>
        </is>
      </c>
      <c r="O1551" t="inlineStr">
        <is>
          <t>https://www.jumbo.com.ar/crema-para-peinar-para-ninos-johnson-s-hidratacion-intensa-x-150-ml/p</t>
        </is>
      </c>
    </row>
    <row r="1552">
      <c r="A1552" s="2" t="inlineStr">
        <is>
          <t>Jumbo</t>
        </is>
      </c>
      <c r="B1552" s="2" t="n">
        <v>413369</v>
      </c>
      <c r="C1552" s="2" t="n">
        <v>409246</v>
      </c>
      <c r="D1552" s="2" t="inlineStr">
        <is>
          <t>Shampoo Keratina Antifrizz 500 Ml Tresemmé</t>
        </is>
      </c>
      <c r="E1552" s="2" t="inlineStr">
        <is>
          <t>TRESEMMÉ</t>
        </is>
      </c>
      <c r="F1552" s="2" t="n">
        <v>6550</v>
      </c>
      <c r="G1552" s="2" t="n">
        <v>541322</v>
      </c>
      <c r="H1552" s="2" t="b">
        <v>0</v>
      </c>
      <c r="I1552" s="2" t="n">
        <v>500</v>
      </c>
      <c r="J1552" s="2" t="n">
        <v>13.1</v>
      </c>
      <c r="K1552" s="2" t="inlineStr">
        <is>
          <t>&gt; Perfumería &gt; Cuidado Capilar &gt; Shampoo &gt;</t>
        </is>
      </c>
      <c r="L1552" s="2" t="inlineStr">
        <is>
          <t>shampoo</t>
        </is>
      </c>
      <c r="M1552" s="2" t="inlineStr">
        <is>
          <t>estandar</t>
        </is>
      </c>
      <c r="N1552" s="2" t="inlineStr">
        <is>
          <t>tratado</t>
        </is>
      </c>
      <c r="O1552" s="2" t="inlineStr">
        <is>
          <t>https://www.jumbo.com.ar/shampoo-tresemme-keratina-antifrizz-500-ml/p</t>
        </is>
      </c>
    </row>
    <row r="1553">
      <c r="A1553" t="inlineStr">
        <is>
          <t>Jumbo</t>
        </is>
      </c>
      <c r="B1553" t="n">
        <v>19521</v>
      </c>
      <c r="C1553" t="n">
        <v>16671</v>
      </c>
      <c r="D1553" t="inlineStr">
        <is>
          <t>Shampoo Tresemme Keratina 400ml Shampoo Tresemme Liso Keratina 400 Ml</t>
        </is>
      </c>
      <c r="E1553" t="inlineStr">
        <is>
          <t>TRESEMMÉ</t>
        </is>
      </c>
      <c r="F1553" t="n">
        <v>472.75</v>
      </c>
      <c r="G1553" t="n">
        <v>39070</v>
      </c>
      <c r="H1553" t="b">
        <v>0</v>
      </c>
      <c r="I1553" t="n">
        <v>400</v>
      </c>
      <c r="J1553" t="n">
        <v>1.1819</v>
      </c>
      <c r="K1553" t="inlineStr">
        <is>
          <t>&gt; Perfumería &gt; Cuidado Capilar &gt; Shampoo &gt;</t>
        </is>
      </c>
      <c r="L1553" t="inlineStr">
        <is>
          <t>shampoo</t>
        </is>
      </c>
      <c r="M1553" t="inlineStr">
        <is>
          <t>estandar</t>
        </is>
      </c>
      <c r="N1553" t="inlineStr">
        <is>
          <t>tratado</t>
        </is>
      </c>
      <c r="O1553" t="inlineStr">
        <is>
          <t>https://www.jumbo.com.ar/shampoo-tresemme-keratina-400ml/p</t>
        </is>
      </c>
    </row>
    <row r="1554">
      <c r="A1554" s="2" t="inlineStr">
        <is>
          <t>Jumbo</t>
        </is>
      </c>
      <c r="B1554" s="2" t="n">
        <v>29577</v>
      </c>
      <c r="C1554" s="2" t="n">
        <v>26739</v>
      </c>
      <c r="D1554" s="2" t="inlineStr">
        <is>
          <t>Shampoo Keratina Hair Therapy 350 Ml Capilatis</t>
        </is>
      </c>
      <c r="E1554" s="2" t="inlineStr">
        <is>
          <t>CAPILATIS</t>
        </is>
      </c>
      <c r="F1554" s="2" t="n">
        <v>9250</v>
      </c>
      <c r="G1554" s="2" t="n">
        <v>764463</v>
      </c>
      <c r="H1554" s="2" t="b">
        <v>0</v>
      </c>
      <c r="I1554" s="2" t="n">
        <v>350</v>
      </c>
      <c r="J1554" s="2" t="n">
        <v>26.4286</v>
      </c>
      <c r="K1554" s="2" t="inlineStr">
        <is>
          <t>&gt; Perfumería &gt; Cuidado Capilar &gt; Shampoo &gt;</t>
        </is>
      </c>
      <c r="L1554" s="2" t="inlineStr">
        <is>
          <t>shampoo</t>
        </is>
      </c>
      <c r="M1554" s="2" t="inlineStr">
        <is>
          <t>estandar</t>
        </is>
      </c>
      <c r="N1554" s="2" t="inlineStr">
        <is>
          <t>tratado</t>
        </is>
      </c>
      <c r="O1554" s="2" t="inlineStr">
        <is>
          <t>https://www.jumbo.com.ar/shampoo-keratina-hair-therapy-350-ml-capilatis/p</t>
        </is>
      </c>
    </row>
    <row r="1555">
      <c r="A1555" t="inlineStr">
        <is>
          <t>Jumbo</t>
        </is>
      </c>
      <c r="B1555" t="n">
        <v>1360435</v>
      </c>
      <c r="C1555" t="n">
        <v>1360020</v>
      </c>
      <c r="D1555" t="inlineStr">
        <is>
          <t>Shampoo Keratina Repara y Protege 700 Ml Pantene</t>
        </is>
      </c>
      <c r="E1555" t="inlineStr">
        <is>
          <t>PANTENE</t>
        </is>
      </c>
      <c r="F1555" t="n">
        <v>14500</v>
      </c>
      <c r="G1555" t="n">
        <v>1198347</v>
      </c>
      <c r="H1555" t="b">
        <v>0</v>
      </c>
      <c r="I1555" t="n">
        <v>700</v>
      </c>
      <c r="J1555" t="n">
        <v>20.7143</v>
      </c>
      <c r="K1555" t="inlineStr">
        <is>
          <t>&gt; Perfumería &gt; Cuidado Capilar &gt; Shampoo &gt;</t>
        </is>
      </c>
      <c r="L1555" t="inlineStr">
        <is>
          <t>shampoo</t>
        </is>
      </c>
      <c r="M1555" t="inlineStr">
        <is>
          <t>estandar</t>
        </is>
      </c>
      <c r="N1555" t="inlineStr">
        <is>
          <t>tratado</t>
        </is>
      </c>
      <c r="O1555" t="inlineStr">
        <is>
          <t>https://www.jumbo.com.ar/shampoo-keratina-700-ml-pantene/p</t>
        </is>
      </c>
    </row>
    <row r="1556">
      <c r="A1556" s="2" t="inlineStr">
        <is>
          <t>Jumbo</t>
        </is>
      </c>
      <c r="B1556" s="2" t="n">
        <v>112827</v>
      </c>
      <c r="C1556" s="2" t="n">
        <v>111879</v>
      </c>
      <c r="D1556" s="2" t="inlineStr">
        <is>
          <t>Shampoo Nenin Familiar Keratina Pvc 930 Ml</t>
        </is>
      </c>
      <c r="E1556" s="2" t="inlineStr">
        <is>
          <t>NENNIN NATURESSENCE</t>
        </is>
      </c>
      <c r="F1556" s="2" t="n">
        <v>3.75</v>
      </c>
      <c r="G1556" s="2" t="n">
        <v>3.75</v>
      </c>
      <c r="H1556" s="2" t="b">
        <v>0</v>
      </c>
      <c r="I1556" s="2" t="n">
        <v>930</v>
      </c>
      <c r="J1556" s="2" t="n">
        <v>0.004</v>
      </c>
      <c r="K1556" s="2" t="inlineStr">
        <is>
          <t>&gt; Perfumería &gt; Cuidado Capilar &gt; Shampoo &gt;</t>
        </is>
      </c>
      <c r="L1556" s="2" t="inlineStr">
        <is>
          <t>shampoo</t>
        </is>
      </c>
      <c r="M1556" s="2" t="inlineStr">
        <is>
          <t>estandar</t>
        </is>
      </c>
      <c r="N1556" s="2" t="inlineStr">
        <is>
          <t>tratado</t>
        </is>
      </c>
      <c r="O1556" s="2" t="inlineStr">
        <is>
          <t>https://www.jumbo.com.ar/shampoo-nenin-familiar-keratina-pvc-930-ml/p</t>
        </is>
      </c>
    </row>
    <row r="1557">
      <c r="A1557" t="inlineStr">
        <is>
          <t>Jumbo</t>
        </is>
      </c>
      <c r="B1557" t="n">
        <v>96589</v>
      </c>
      <c r="C1557" t="n">
        <v>93906</v>
      </c>
      <c r="D1557" t="inlineStr">
        <is>
          <t>Shampoo Plusbelle Familiar-ceramidas-plus Keratina-pvc-lt.-1</t>
        </is>
      </c>
      <c r="E1557" t="inlineStr">
        <is>
          <t>PLUSBELLE</t>
        </is>
      </c>
      <c r="F1557" t="n">
        <v>19.65</v>
      </c>
      <c r="G1557" t="n">
        <v>1624</v>
      </c>
      <c r="H1557" t="b">
        <v>0</v>
      </c>
      <c r="I1557" t="inlineStr"/>
      <c r="J1557" t="inlineStr"/>
      <c r="K1557" t="inlineStr">
        <is>
          <t>&gt; Perfumería &gt; Cuidado Capilar &gt; Shampoo &gt;</t>
        </is>
      </c>
      <c r="L1557" t="inlineStr">
        <is>
          <t>shampoo</t>
        </is>
      </c>
      <c r="M1557" t="inlineStr">
        <is>
          <t>estandar</t>
        </is>
      </c>
      <c r="N1557" t="inlineStr">
        <is>
          <t>tratado</t>
        </is>
      </c>
      <c r="O1557" t="inlineStr">
        <is>
          <t>https://www.jumbo.com.ar/shampoo-plusbelle-familiar-ceramidas-plus-keratina-pvc-lt-1/p</t>
        </is>
      </c>
    </row>
    <row r="1558">
      <c r="A1558" s="2" t="inlineStr">
        <is>
          <t>Jumbo</t>
        </is>
      </c>
      <c r="B1558" s="2" t="n">
        <v>19525</v>
      </c>
      <c r="C1558" s="2" t="n">
        <v>16680</v>
      </c>
      <c r="D1558" s="2" t="inlineStr">
        <is>
          <t>Acondicionador Tresemme Keratina 400ml Acondicionador Tresemme Liso Keratina 400 Ml</t>
        </is>
      </c>
      <c r="E1558" s="2" t="inlineStr">
        <is>
          <t>TRESEMMÉ</t>
        </is>
      </c>
      <c r="F1558" s="2" t="n">
        <v>472.75</v>
      </c>
      <c r="G1558" s="2" t="n">
        <v>39070</v>
      </c>
      <c r="H1558" s="2" t="b">
        <v>0</v>
      </c>
      <c r="I1558" s="2" t="n">
        <v>400</v>
      </c>
      <c r="J1558" s="2" t="n">
        <v>1.1819</v>
      </c>
      <c r="K1558" s="2" t="inlineStr">
        <is>
          <t>&gt; Perfumería &gt; Cuidado Capilar &gt; Acondicionador &gt;</t>
        </is>
      </c>
      <c r="L1558" s="2" t="inlineStr">
        <is>
          <t>acondicionador</t>
        </is>
      </c>
      <c r="M1558" s="2" t="inlineStr">
        <is>
          <t>estandar</t>
        </is>
      </c>
      <c r="N1558" s="2" t="inlineStr">
        <is>
          <t>tratado</t>
        </is>
      </c>
      <c r="O1558" s="2" t="inlineStr">
        <is>
          <t>https://www.jumbo.com.ar/acondicionador-tresemme-keratina-400ml/p</t>
        </is>
      </c>
    </row>
    <row r="1559">
      <c r="A1559" t="inlineStr">
        <is>
          <t>Jumbo</t>
        </is>
      </c>
      <c r="B1559" t="n">
        <v>1360924</v>
      </c>
      <c r="C1559" t="n">
        <v>1360332</v>
      </c>
      <c r="D1559" t="inlineStr">
        <is>
          <t>Shampoo Baby Baby Dove Cabello Claro 400 Ml</t>
        </is>
      </c>
      <c r="E1559" t="inlineStr">
        <is>
          <t>DOVE BABY</t>
        </is>
      </c>
      <c r="F1559" t="n">
        <v>7292.75</v>
      </c>
      <c r="G1559" t="n">
        <v>602707</v>
      </c>
      <c r="H1559" t="b">
        <v>0</v>
      </c>
      <c r="I1559" t="n">
        <v>400</v>
      </c>
      <c r="J1559" t="n">
        <v>18.2319</v>
      </c>
      <c r="K1559" t="inlineStr">
        <is>
          <t>&gt; Mundo Bebe &gt; Higiene para el Bebe &gt; Higiene del Bebé &gt;</t>
        </is>
      </c>
      <c r="L1559" t="inlineStr">
        <is>
          <t>shampoo</t>
        </is>
      </c>
      <c r="M1559" t="inlineStr">
        <is>
          <t>estandar</t>
        </is>
      </c>
      <c r="N1559" t="inlineStr">
        <is>
          <t>general</t>
        </is>
      </c>
      <c r="O1559" t="inlineStr">
        <is>
          <t>https://www.jumbo.com.ar/shampoo-baby-baby-dove-cabello-claro-400-ml/p</t>
        </is>
      </c>
    </row>
    <row r="1560">
      <c r="A1560" s="2" t="inlineStr">
        <is>
          <t>Jumbo</t>
        </is>
      </c>
      <c r="B1560" s="2" t="n">
        <v>271680</v>
      </c>
      <c r="C1560" s="2" t="n">
        <v>271159</v>
      </c>
      <c r="D1560" s="2" t="inlineStr">
        <is>
          <t>Shampoo Cabello Claro Humectación 200 Ml Baby Dove</t>
        </is>
      </c>
      <c r="E1560" s="2" t="inlineStr">
        <is>
          <t>DOVE BABY</t>
        </is>
      </c>
      <c r="F1560" s="2" t="n">
        <v>6850</v>
      </c>
      <c r="G1560" s="2" t="n">
        <v>566116</v>
      </c>
      <c r="H1560" s="2" t="b">
        <v>0</v>
      </c>
      <c r="I1560" s="2" t="n">
        <v>200</v>
      </c>
      <c r="J1560" s="2" t="n">
        <v>34.25</v>
      </c>
      <c r="K1560" s="2" t="inlineStr">
        <is>
          <t>&gt; Mundo Bebe &gt; Higiene para el Bebe &gt; Higiene del Bebé &gt;</t>
        </is>
      </c>
      <c r="L1560" s="2" t="inlineStr">
        <is>
          <t>shampoo</t>
        </is>
      </c>
      <c r="M1560" s="2" t="inlineStr">
        <is>
          <t>estandar</t>
        </is>
      </c>
      <c r="N1560" s="2" t="inlineStr">
        <is>
          <t>general</t>
        </is>
      </c>
      <c r="O1560" s="2" t="inlineStr">
        <is>
          <t>https://www.jumbo.com.ar/shampoo-baby-dove-cabello-claro-humectacion-ph-neutro-200-ml/p</t>
        </is>
      </c>
    </row>
    <row r="1561">
      <c r="A1561" t="inlineStr">
        <is>
          <t>Jumbo</t>
        </is>
      </c>
      <c r="B1561" t="n">
        <v>143612</v>
      </c>
      <c r="C1561" t="n">
        <v>140523</v>
      </c>
      <c r="D1561" t="inlineStr">
        <is>
          <t>Shampoo Dove Color Therapy Cabello Descolorado X 250 Ml</t>
        </is>
      </c>
      <c r="E1561" t="inlineStr">
        <is>
          <t>DOVE</t>
        </is>
      </c>
      <c r="F1561" t="n">
        <v>9.17</v>
      </c>
      <c r="G1561" t="n">
        <v>9.17</v>
      </c>
      <c r="H1561" t="b">
        <v>0</v>
      </c>
      <c r="I1561" t="n">
        <v>250</v>
      </c>
      <c r="J1561" t="n">
        <v>0.0367</v>
      </c>
      <c r="K1561" t="inlineStr">
        <is>
          <t>&gt; Perfumería &gt; Cuidado Capilar &gt; Shampoo &gt;</t>
        </is>
      </c>
      <c r="L1561" t="inlineStr">
        <is>
          <t>shampoo</t>
        </is>
      </c>
      <c r="M1561" t="inlineStr">
        <is>
          <t>estandar</t>
        </is>
      </c>
      <c r="N1561" t="inlineStr">
        <is>
          <t>tratado</t>
        </is>
      </c>
      <c r="O1561" t="inlineStr">
        <is>
          <t>https://www.jumbo.com.ar/shampoo-dove-color-therapy-cabello-descolorado-x-250-ml-2/p</t>
        </is>
      </c>
    </row>
    <row r="1562">
      <c r="A1562" s="2" t="inlineStr">
        <is>
          <t>Jumbo</t>
        </is>
      </c>
      <c r="B1562" s="2" t="n">
        <v>143601</v>
      </c>
      <c r="C1562" s="2" t="n">
        <v>140512</v>
      </c>
      <c r="D1562" s="2" t="inlineStr">
        <is>
          <t>Acondicionador Dove Color Therapy Cabello Descolorado X 250 Ml</t>
        </is>
      </c>
      <c r="E1562" s="2" t="inlineStr">
        <is>
          <t>DOVE</t>
        </is>
      </c>
      <c r="F1562" s="2" t="n">
        <v>9.67</v>
      </c>
      <c r="G1562" s="2" t="n">
        <v>9.67</v>
      </c>
      <c r="H1562" s="2" t="b">
        <v>0</v>
      </c>
      <c r="I1562" s="2" t="n">
        <v>250</v>
      </c>
      <c r="J1562" s="2" t="n">
        <v>0.0387</v>
      </c>
      <c r="K1562" s="2" t="inlineStr">
        <is>
          <t>&gt; Perfumería &gt; Cuidado Capilar &gt; Acondicionador &gt;</t>
        </is>
      </c>
      <c r="L1562" s="2" t="inlineStr">
        <is>
          <t>acondicionador</t>
        </is>
      </c>
      <c r="M1562" s="2" t="inlineStr">
        <is>
          <t>estandar</t>
        </is>
      </c>
      <c r="N1562" s="2" t="inlineStr">
        <is>
          <t>tratado</t>
        </is>
      </c>
      <c r="O1562" s="2" t="inlineStr">
        <is>
          <t>https://www.jumbo.com.ar/acondicionador-dove-color-therapy-cabello-descolorado-x-250-ml-2/p</t>
        </is>
      </c>
    </row>
    <row r="1563">
      <c r="A1563" t="inlineStr">
        <is>
          <t>Jumbo</t>
        </is>
      </c>
      <c r="B1563" t="n">
        <v>143615</v>
      </c>
      <c r="C1563" t="n">
        <v>140526</v>
      </c>
      <c r="D1563" t="inlineStr">
        <is>
          <t>Shampoo Dove Color Therapy Cabello Descolorado X 400 Ml</t>
        </is>
      </c>
      <c r="E1563" t="inlineStr">
        <is>
          <t>DOVE</t>
        </is>
      </c>
      <c r="F1563" t="n">
        <v>63.33</v>
      </c>
      <c r="G1563" t="n">
        <v>5234</v>
      </c>
      <c r="H1563" t="b">
        <v>0</v>
      </c>
      <c r="I1563" t="n">
        <v>400</v>
      </c>
      <c r="J1563" t="n">
        <v>0.1583</v>
      </c>
      <c r="K1563" t="inlineStr">
        <is>
          <t>&gt; Perfumería &gt; Cuidado Capilar &gt; Shampoo &gt;</t>
        </is>
      </c>
      <c r="L1563" t="inlineStr">
        <is>
          <t>shampoo</t>
        </is>
      </c>
      <c r="M1563" t="inlineStr">
        <is>
          <t>estandar</t>
        </is>
      </c>
      <c r="N1563" t="inlineStr">
        <is>
          <t>tratado</t>
        </is>
      </c>
      <c r="O1563" t="inlineStr">
        <is>
          <t>https://www.jumbo.com.ar/shampoo-dove-color-therapy-cabello-descolorado-x-400-ml-2/p</t>
        </is>
      </c>
    </row>
    <row r="1564">
      <c r="A1564" s="2" t="inlineStr">
        <is>
          <t>Jumbo</t>
        </is>
      </c>
      <c r="B1564" s="2" t="n">
        <v>59522</v>
      </c>
      <c r="C1564" s="2" t="n">
        <v>56672</v>
      </c>
      <c r="D1564" s="2" t="inlineStr">
        <is>
          <t>Acondicionador Dove Cabellos Teñidos X 400 Ml</t>
        </is>
      </c>
      <c r="E1564" s="2" t="inlineStr">
        <is>
          <t>DOVE</t>
        </is>
      </c>
      <c r="F1564" s="2" t="n">
        <v>49.05</v>
      </c>
      <c r="G1564" s="2" t="n">
        <v>49.05</v>
      </c>
      <c r="H1564" s="2" t="b">
        <v>0</v>
      </c>
      <c r="I1564" s="2" t="n">
        <v>400</v>
      </c>
      <c r="J1564" s="2" t="n">
        <v>0.1226</v>
      </c>
      <c r="K1564" s="2" t="inlineStr">
        <is>
          <t>&gt; Perfumería &gt; Cuidado Capilar &gt; Acondicionador &gt;</t>
        </is>
      </c>
      <c r="L1564" s="2" t="inlineStr">
        <is>
          <t>acondicionador</t>
        </is>
      </c>
      <c r="M1564" s="2" t="inlineStr">
        <is>
          <t>estandar</t>
        </is>
      </c>
      <c r="N1564" s="2" t="inlineStr">
        <is>
          <t>tratado</t>
        </is>
      </c>
      <c r="O1564" s="2" t="inlineStr">
        <is>
          <t>https://www.jumbo.com.ar/acondicionador-dove-cabellos-tenidos-x-400-ml/p</t>
        </is>
      </c>
    </row>
    <row r="1565">
      <c r="A1565" t="inlineStr">
        <is>
          <t>Jumbo</t>
        </is>
      </c>
      <c r="B1565" t="n">
        <v>59549</v>
      </c>
      <c r="C1565" t="n">
        <v>56699</v>
      </c>
      <c r="D1565" t="inlineStr">
        <is>
          <t>Shampoo Dove Cabellos Teñidos X 400 Ml</t>
        </is>
      </c>
      <c r="E1565" t="inlineStr">
        <is>
          <t>DOVE</t>
        </is>
      </c>
      <c r="F1565" t="n">
        <v>63.33</v>
      </c>
      <c r="G1565" t="n">
        <v>5234</v>
      </c>
      <c r="H1565" t="b">
        <v>0</v>
      </c>
      <c r="I1565" t="n">
        <v>400</v>
      </c>
      <c r="J1565" t="n">
        <v>0.1583</v>
      </c>
      <c r="K1565" t="inlineStr">
        <is>
          <t>&gt; Perfumería &gt; Cuidado Capilar &gt; Shampoo &gt;</t>
        </is>
      </c>
      <c r="L1565" t="inlineStr">
        <is>
          <t>shampoo</t>
        </is>
      </c>
      <c r="M1565" t="inlineStr">
        <is>
          <t>estandar</t>
        </is>
      </c>
      <c r="N1565" t="inlineStr">
        <is>
          <t>tratado</t>
        </is>
      </c>
      <c r="O1565" t="inlineStr">
        <is>
          <t>https://www.jumbo.com.ar/shampoo-dove-cabellos-tenidos-x-400-ml/p</t>
        </is>
      </c>
    </row>
    <row r="1566">
      <c r="A1566" s="2" t="inlineStr">
        <is>
          <t>Jumbo</t>
        </is>
      </c>
      <c r="B1566" s="2" t="n">
        <v>347640</v>
      </c>
      <c r="C1566" s="2" t="n">
        <v>346313</v>
      </c>
      <c r="D1566" s="2" t="inlineStr">
        <is>
          <t>Shampoo Para El Cabello Dove  óleo Micelar B 400 Ml</t>
        </is>
      </c>
      <c r="E1566" s="2" t="inlineStr">
        <is>
          <t>DOVE</t>
        </is>
      </c>
      <c r="F1566" s="2" t="n">
        <v>934.1900000000001</v>
      </c>
      <c r="G1566" s="2" t="n">
        <v>77206</v>
      </c>
      <c r="H1566" s="2" t="b">
        <v>0</v>
      </c>
      <c r="I1566" s="2" t="n">
        <v>400</v>
      </c>
      <c r="J1566" s="2" t="n">
        <v>2.3355</v>
      </c>
      <c r="K1566" s="2" t="inlineStr">
        <is>
          <t>&gt; Perfumería &gt; Cuidado Capilar &gt; Shampoo &gt;</t>
        </is>
      </c>
      <c r="L1566" s="2" t="inlineStr">
        <is>
          <t>shampoo</t>
        </is>
      </c>
      <c r="M1566" s="2" t="inlineStr">
        <is>
          <t>estandar</t>
        </is>
      </c>
      <c r="N1566" s="2" t="inlineStr">
        <is>
          <t>general</t>
        </is>
      </c>
      <c r="O1566" s="2" t="inlineStr">
        <is>
          <t>https://www.jumbo.com.ar/shampoo-para-el-cabello-dove-oleo-micelar-b-400-ml/p</t>
        </is>
      </c>
    </row>
    <row r="1567">
      <c r="A1567" t="inlineStr">
        <is>
          <t>Jumbo</t>
        </is>
      </c>
      <c r="B1567" t="n">
        <v>347654</v>
      </c>
      <c r="C1567" t="n">
        <v>346327</v>
      </c>
      <c r="D1567" t="inlineStr">
        <is>
          <t>Shampoo Para El Cabello Dove Cuidado Delicado Botella 400 Ml</t>
        </is>
      </c>
      <c r="E1567" t="inlineStr">
        <is>
          <t>DOVE</t>
        </is>
      </c>
      <c r="F1567" t="n">
        <v>830.49</v>
      </c>
      <c r="G1567" t="n">
        <v>68636</v>
      </c>
      <c r="H1567" t="b">
        <v>0</v>
      </c>
      <c r="I1567" t="n">
        <v>400</v>
      </c>
      <c r="J1567" t="n">
        <v>2.0762</v>
      </c>
      <c r="K1567" t="inlineStr">
        <is>
          <t>&gt; Perfumería &gt; Cuidado Capilar &gt; Shampoo &gt;</t>
        </is>
      </c>
      <c r="L1567" t="inlineStr">
        <is>
          <t>shampoo</t>
        </is>
      </c>
      <c r="M1567" t="inlineStr">
        <is>
          <t>estandar</t>
        </is>
      </c>
      <c r="N1567" t="inlineStr">
        <is>
          <t>general</t>
        </is>
      </c>
      <c r="O1567" t="inlineStr">
        <is>
          <t>https://www.jumbo.com.ar/shampoo-para-el-cabello-dove-cuidado-delicado-botella-400-ml/p</t>
        </is>
      </c>
    </row>
    <row r="1568">
      <c r="A1568" s="2" t="inlineStr">
        <is>
          <t>Jumbo</t>
        </is>
      </c>
      <c r="B1568" s="2" t="n">
        <v>347632</v>
      </c>
      <c r="C1568" s="2" t="n">
        <v>346305</v>
      </c>
      <c r="D1568" s="2" t="inlineStr">
        <is>
          <t>Acondicionador Para El Cabello Dove  Cuidado Delicado Botella 400 Ml</t>
        </is>
      </c>
      <c r="E1568" s="2" t="inlineStr">
        <is>
          <t>DOVE</t>
        </is>
      </c>
      <c r="F1568" s="2" t="n">
        <v>830.49</v>
      </c>
      <c r="G1568" s="2" t="n">
        <v>68636</v>
      </c>
      <c r="H1568" s="2" t="b">
        <v>0</v>
      </c>
      <c r="I1568" s="2" t="n">
        <v>400</v>
      </c>
      <c r="J1568" s="2" t="n">
        <v>2.0762</v>
      </c>
      <c r="K1568" s="2" t="inlineStr">
        <is>
          <t>&gt; Perfumería &gt; Cuidado Capilar &gt; Acondicionador &gt;</t>
        </is>
      </c>
      <c r="L1568" s="2" t="inlineStr">
        <is>
          <t>acondicionador</t>
        </is>
      </c>
      <c r="M1568" s="2" t="inlineStr">
        <is>
          <t>estandar</t>
        </is>
      </c>
      <c r="N1568" s="2" t="inlineStr">
        <is>
          <t>general</t>
        </is>
      </c>
      <c r="O1568" s="2" t="inlineStr">
        <is>
          <t>https://www.jumbo.com.ar/acondicionador-para-el-cabello-dove-cuidado-delicado-botella-400-ml/p</t>
        </is>
      </c>
    </row>
    <row r="1569">
      <c r="A1569" t="inlineStr">
        <is>
          <t>Jumbo</t>
        </is>
      </c>
      <c r="B1569" t="n">
        <v>347651</v>
      </c>
      <c r="C1569" t="n">
        <v>346324</v>
      </c>
      <c r="D1569" t="inlineStr">
        <is>
          <t>Acondicionador Para El Cabello Dove  Largos Fuertes Y Flexibles 400 Ml</t>
        </is>
      </c>
      <c r="E1569" t="inlineStr">
        <is>
          <t>DOVE</t>
        </is>
      </c>
      <c r="F1569" t="n">
        <v>830.49</v>
      </c>
      <c r="G1569" t="n">
        <v>68636</v>
      </c>
      <c r="H1569" t="b">
        <v>0</v>
      </c>
      <c r="I1569" t="n">
        <v>400</v>
      </c>
      <c r="J1569" t="n">
        <v>2.0762</v>
      </c>
      <c r="K1569" t="inlineStr">
        <is>
          <t>&gt; Perfumería &gt; Cuidado Capilar &gt; Acondicionador &gt;</t>
        </is>
      </c>
      <c r="L1569" t="inlineStr">
        <is>
          <t>acondicionador</t>
        </is>
      </c>
      <c r="M1569" t="inlineStr">
        <is>
          <t>estandar</t>
        </is>
      </c>
      <c r="N1569" t="inlineStr">
        <is>
          <t>general</t>
        </is>
      </c>
      <c r="O1569" t="inlineStr">
        <is>
          <t>https://www.jumbo.com.ar/acondicionador-para-el-cabello-dove-largos-fuertes-y-flexibles-400-ml/p</t>
        </is>
      </c>
    </row>
    <row r="1570">
      <c r="A1570" s="2" t="inlineStr">
        <is>
          <t>Jumbo</t>
        </is>
      </c>
      <c r="B1570" s="2" t="n">
        <v>347636</v>
      </c>
      <c r="C1570" s="2" t="n">
        <v>346309</v>
      </c>
      <c r="D1570" s="2" t="inlineStr">
        <is>
          <t>Shampoo Para El Cabello Dove  Largos Fuertes Y Flexibles 400 Ml</t>
        </is>
      </c>
      <c r="E1570" s="2" t="inlineStr">
        <is>
          <t>DOVE</t>
        </is>
      </c>
      <c r="F1570" s="2" t="n">
        <v>934.1900000000001</v>
      </c>
      <c r="G1570" s="2" t="n">
        <v>77206</v>
      </c>
      <c r="H1570" s="2" t="b">
        <v>0</v>
      </c>
      <c r="I1570" s="2" t="n">
        <v>400</v>
      </c>
      <c r="J1570" s="2" t="n">
        <v>2.3355</v>
      </c>
      <c r="K1570" s="2" t="inlineStr">
        <is>
          <t>&gt; Perfumería &gt; Cuidado Capilar &gt; Shampoo &gt;</t>
        </is>
      </c>
      <c r="L1570" s="2" t="inlineStr">
        <is>
          <t>shampoo</t>
        </is>
      </c>
      <c r="M1570" s="2" t="inlineStr">
        <is>
          <t>estandar</t>
        </is>
      </c>
      <c r="N1570" s="2" t="inlineStr">
        <is>
          <t>general</t>
        </is>
      </c>
      <c r="O1570" s="2" t="inlineStr">
        <is>
          <t>https://www.jumbo.com.ar/shampoo-para-el-cabello-dove-largos-fuertes-y-flexibles-400-ml/p</t>
        </is>
      </c>
    </row>
    <row r="1571">
      <c r="A1571" t="inlineStr">
        <is>
          <t>Jumbo</t>
        </is>
      </c>
      <c r="B1571" t="n">
        <v>143605</v>
      </c>
      <c r="C1571" t="n">
        <v>140517</v>
      </c>
      <c r="D1571" t="inlineStr">
        <is>
          <t>Dove Therapy Acondicionador Cabellos Teñidos X 250 Ml</t>
        </is>
      </c>
      <c r="E1571" t="inlineStr">
        <is>
          <t>DOVE</t>
        </is>
      </c>
      <c r="F1571" t="n">
        <v>10.15</v>
      </c>
      <c r="G1571" t="n">
        <v>10.15</v>
      </c>
      <c r="H1571" t="b">
        <v>0</v>
      </c>
      <c r="I1571" t="n">
        <v>250</v>
      </c>
      <c r="J1571" t="n">
        <v>0.0406</v>
      </c>
      <c r="K1571" t="inlineStr">
        <is>
          <t>&gt; Perfumería &gt; Cuidado Capilar &gt; Acondicionador &gt;</t>
        </is>
      </c>
      <c r="L1571" t="inlineStr">
        <is>
          <t>acondicionador</t>
        </is>
      </c>
      <c r="M1571" t="inlineStr">
        <is>
          <t>estandar</t>
        </is>
      </c>
      <c r="N1571" t="inlineStr">
        <is>
          <t>tratado</t>
        </is>
      </c>
      <c r="O1571" t="inlineStr">
        <is>
          <t>https://www.jumbo.com.ar/dove-therapy-acondicionador-cabellos-tenidos-x-250-ml-2/p</t>
        </is>
      </c>
    </row>
    <row r="1572">
      <c r="A1572" s="2" t="inlineStr">
        <is>
          <t>Jumbo</t>
        </is>
      </c>
      <c r="B1572" s="2" t="n">
        <v>143600</v>
      </c>
      <c r="C1572" s="2" t="n">
        <v>140511</v>
      </c>
      <c r="D1572" s="2" t="inlineStr">
        <is>
          <t>Dove Therapy Acondicionador Cabellos Teñidos X 400 Ml</t>
        </is>
      </c>
      <c r="E1572" s="2" t="inlineStr">
        <is>
          <t>DOVE</t>
        </is>
      </c>
      <c r="F1572" s="2" t="n">
        <v>63.33</v>
      </c>
      <c r="G1572" s="2" t="n">
        <v>5234</v>
      </c>
      <c r="H1572" s="2" t="b">
        <v>0</v>
      </c>
      <c r="I1572" s="2" t="n">
        <v>400</v>
      </c>
      <c r="J1572" s="2" t="n">
        <v>0.1583</v>
      </c>
      <c r="K1572" s="2" t="inlineStr">
        <is>
          <t>&gt; Perfumería &gt; Cuidado Capilar &gt; Acondicionador &gt;</t>
        </is>
      </c>
      <c r="L1572" s="2" t="inlineStr">
        <is>
          <t>acondicionador</t>
        </is>
      </c>
      <c r="M1572" s="2" t="inlineStr">
        <is>
          <t>estandar</t>
        </is>
      </c>
      <c r="N1572" s="2" t="inlineStr">
        <is>
          <t>tratado</t>
        </is>
      </c>
      <c r="O1572" s="2" t="inlineStr">
        <is>
          <t>https://www.jumbo.com.ar/dove-therapy-acondicionador-cabellos-tenidos-x-400-ml/p</t>
        </is>
      </c>
    </row>
    <row r="1573">
      <c r="A1573" t="inlineStr">
        <is>
          <t>Jumbo</t>
        </is>
      </c>
      <c r="B1573" t="n">
        <v>143588</v>
      </c>
      <c r="C1573" t="n">
        <v>140499</v>
      </c>
      <c r="D1573" t="inlineStr">
        <is>
          <t>Dove Therapy Shampoo Cabellos Teñidos X 400 Ml</t>
        </is>
      </c>
      <c r="E1573" t="inlineStr">
        <is>
          <t>DOVE</t>
        </is>
      </c>
      <c r="F1573" t="n">
        <v>84.89</v>
      </c>
      <c r="G1573" t="n">
        <v>7016</v>
      </c>
      <c r="H1573" t="b">
        <v>0</v>
      </c>
      <c r="I1573" t="n">
        <v>400</v>
      </c>
      <c r="J1573" t="n">
        <v>0.2122</v>
      </c>
      <c r="K1573" t="inlineStr">
        <is>
          <t>&gt; Perfumería &gt; Cuidado Capilar &gt; Shampoo &gt;</t>
        </is>
      </c>
      <c r="L1573" t="inlineStr">
        <is>
          <t>shampoo</t>
        </is>
      </c>
      <c r="M1573" t="inlineStr">
        <is>
          <t>estandar</t>
        </is>
      </c>
      <c r="N1573" t="inlineStr">
        <is>
          <t>tratado</t>
        </is>
      </c>
      <c r="O1573" t="inlineStr">
        <is>
          <t>https://www.jumbo.com.ar/dove-therapy-shampoo-cabellos-tenidos-x-400-ml-2/p</t>
        </is>
      </c>
    </row>
    <row r="1574">
      <c r="A1574" s="2" t="inlineStr">
        <is>
          <t>Jumbo</t>
        </is>
      </c>
      <c r="B1574" s="2" t="n">
        <v>143593</v>
      </c>
      <c r="C1574" s="2" t="n">
        <v>140504</v>
      </c>
      <c r="D1574" s="2" t="inlineStr">
        <is>
          <t>Dove Therapy Shampoo Cabellos Teñidos X 250 Ml</t>
        </is>
      </c>
      <c r="E1574" s="2" t="inlineStr">
        <is>
          <t>DOVE</t>
        </is>
      </c>
      <c r="F1574" s="2" t="n">
        <v>9.91</v>
      </c>
      <c r="G1574" s="2" t="n">
        <v>9.91</v>
      </c>
      <c r="H1574" s="2" t="b">
        <v>0</v>
      </c>
      <c r="I1574" s="2" t="n">
        <v>250</v>
      </c>
      <c r="J1574" s="2" t="n">
        <v>0.0396</v>
      </c>
      <c r="K1574" s="2" t="inlineStr">
        <is>
          <t>&gt; Perfumería &gt; Cuidado Capilar &gt; Shampoo &gt;</t>
        </is>
      </c>
      <c r="L1574" s="2" t="inlineStr">
        <is>
          <t>shampoo</t>
        </is>
      </c>
      <c r="M1574" s="2" t="inlineStr">
        <is>
          <t>estandar</t>
        </is>
      </c>
      <c r="N1574" s="2" t="inlineStr">
        <is>
          <t>tratado</t>
        </is>
      </c>
      <c r="O1574" s="2" t="inlineStr">
        <is>
          <t>https://www.jumbo.com.ar/dove-therapy-shampoo-cabellos-tenidos-x-250-ml-2/p</t>
        </is>
      </c>
    </row>
    <row r="1575">
      <c r="A1575" t="inlineStr">
        <is>
          <t>Jumbo</t>
        </is>
      </c>
      <c r="B1575" t="n">
        <v>263623</v>
      </c>
      <c r="C1575" t="n">
        <v>263343</v>
      </c>
      <c r="D1575" t="inlineStr">
        <is>
          <t>Acondicionador Dove Hidratacion 400ml</t>
        </is>
      </c>
      <c r="E1575" t="inlineStr">
        <is>
          <t>DOVE</t>
        </is>
      </c>
      <c r="F1575" t="n">
        <v>549.95</v>
      </c>
      <c r="G1575" t="n">
        <v>45450</v>
      </c>
      <c r="H1575" t="b">
        <v>0</v>
      </c>
      <c r="I1575" t="n">
        <v>400</v>
      </c>
      <c r="J1575" t="n">
        <v>1.3749</v>
      </c>
      <c r="K1575" t="inlineStr">
        <is>
          <t>&gt; Perfumería &gt; Cuidado Capilar &gt; Acondicionador &gt;</t>
        </is>
      </c>
      <c r="L1575" t="inlineStr">
        <is>
          <t>acondicionador</t>
        </is>
      </c>
      <c r="M1575" t="inlineStr">
        <is>
          <t>estandar</t>
        </is>
      </c>
      <c r="N1575" t="inlineStr">
        <is>
          <t>seco_danado</t>
        </is>
      </c>
      <c r="O1575" t="inlineStr">
        <is>
          <t>https://www.jumbo.com.ar/acondicionador-dove-hidratacion-400ml/p</t>
        </is>
      </c>
    </row>
    <row r="1576">
      <c r="A1576" s="2" t="inlineStr">
        <is>
          <t>Jumbo</t>
        </is>
      </c>
      <c r="B1576" s="2" t="n">
        <v>27989</v>
      </c>
      <c r="C1576" s="2" t="n">
        <v>25148</v>
      </c>
      <c r="D1576" s="2" t="inlineStr">
        <is>
          <t>Crema De Tratamiento Dove Recuperacion Extrema Crema Tratamiento Dove Recuperación Extrema 350 Gr</t>
        </is>
      </c>
      <c r="E1576" s="2" t="inlineStr">
        <is>
          <t>DOVE</t>
        </is>
      </c>
      <c r="F1576" s="2" t="n">
        <v>95.89</v>
      </c>
      <c r="G1576" s="2" t="n">
        <v>7925</v>
      </c>
      <c r="H1576" s="2" t="b">
        <v>0</v>
      </c>
      <c r="I1576" s="2" t="n">
        <v>350</v>
      </c>
      <c r="J1576" s="2" t="n">
        <v>0.274</v>
      </c>
      <c r="K1576" s="2" t="inlineStr">
        <is>
          <t>&gt; Perfumería &gt; Cuidado Capilar &gt; Reparación y Tratamientos &gt;</t>
        </is>
      </c>
      <c r="L1576" s="2" t="inlineStr">
        <is>
          <t>tratamiento</t>
        </is>
      </c>
      <c r="M1576" s="2" t="inlineStr">
        <is>
          <t>estandar</t>
        </is>
      </c>
      <c r="N1576" s="2" t="inlineStr">
        <is>
          <t>general</t>
        </is>
      </c>
      <c r="O1576" s="2" t="inlineStr">
        <is>
          <t>https://www.jumbo.com.ar/crema-de-tratamiento-dove-recuperacion-extrema/p</t>
        </is>
      </c>
    </row>
    <row r="1577">
      <c r="A1577" t="inlineStr">
        <is>
          <t>Jumbo</t>
        </is>
      </c>
      <c r="B1577" t="n">
        <v>16267</v>
      </c>
      <c r="C1577" t="n">
        <v>13406</v>
      </c>
      <c r="D1577" t="inlineStr">
        <is>
          <t>Acondicionador Dove Reconstrucción Completa 750 Ml</t>
        </is>
      </c>
      <c r="E1577" t="inlineStr">
        <is>
          <t>DOVE</t>
        </is>
      </c>
      <c r="F1577" t="n">
        <v>266.25</v>
      </c>
      <c r="G1577" t="n">
        <v>22004</v>
      </c>
      <c r="H1577" t="b">
        <v>0</v>
      </c>
      <c r="I1577" t="n">
        <v>750</v>
      </c>
      <c r="J1577" t="n">
        <v>0.355</v>
      </c>
      <c r="K1577" t="inlineStr">
        <is>
          <t>&gt; Perfumería &gt; Cuidado Capilar &gt; Acondicionador &gt;</t>
        </is>
      </c>
      <c r="L1577" t="inlineStr">
        <is>
          <t>acondicionador</t>
        </is>
      </c>
      <c r="M1577" t="inlineStr">
        <is>
          <t>estandar</t>
        </is>
      </c>
      <c r="N1577" t="inlineStr">
        <is>
          <t>general</t>
        </is>
      </c>
      <c r="O1577" t="inlineStr">
        <is>
          <t>https://www.jumbo.com.ar/acondicionador-dove-reconstruccion-completa-750-ml/p</t>
        </is>
      </c>
    </row>
    <row r="1578">
      <c r="A1578" s="2" t="inlineStr">
        <is>
          <t>Jumbo</t>
        </is>
      </c>
      <c r="B1578" s="2" t="n">
        <v>20039</v>
      </c>
      <c r="C1578" s="2" t="n">
        <v>17210</v>
      </c>
      <c r="D1578" s="2" t="inlineStr">
        <is>
          <t>Acondicionador Dove Ritual De Reparación Coco Y Cúrcuma 200 Ml</t>
        </is>
      </c>
      <c r="E1578" s="2" t="inlineStr">
        <is>
          <t>DOVE</t>
        </is>
      </c>
      <c r="F1578" s="2" t="n">
        <v>135.75</v>
      </c>
      <c r="G1578" s="2" t="n">
        <v>11219</v>
      </c>
      <c r="H1578" s="2" t="b">
        <v>0</v>
      </c>
      <c r="I1578" s="2" t="n">
        <v>200</v>
      </c>
      <c r="J1578" s="2" t="n">
        <v>0.6787</v>
      </c>
      <c r="K1578" s="2" t="inlineStr">
        <is>
          <t>&gt; Perfumería &gt; Cuidado Capilar &gt; Acondicionador &gt;</t>
        </is>
      </c>
      <c r="L1578" s="2" t="inlineStr">
        <is>
          <t>acondicionador</t>
        </is>
      </c>
      <c r="M1578" s="2" t="inlineStr">
        <is>
          <t>estandar</t>
        </is>
      </c>
      <c r="N1578" s="2" t="inlineStr">
        <is>
          <t>general</t>
        </is>
      </c>
      <c r="O1578" s="2" t="inlineStr">
        <is>
          <t>https://www.jumbo.com.ar/acondicionador-dove-ritual-de-reparacion-coco-y-curcuma-200-ml/p</t>
        </is>
      </c>
    </row>
    <row r="1579">
      <c r="A1579" t="inlineStr">
        <is>
          <t>Jumbo</t>
        </is>
      </c>
      <c r="B1579" t="n">
        <v>275373</v>
      </c>
      <c r="C1579" t="n">
        <v>274669</v>
      </c>
      <c r="D1579" t="inlineStr">
        <is>
          <t>Super Acondicionador Dove Factor Nutrición 60 - 170 Ml</t>
        </is>
      </c>
      <c r="E1579" t="inlineStr">
        <is>
          <t>DOVE</t>
        </is>
      </c>
      <c r="F1579" t="n">
        <v>737.67</v>
      </c>
      <c r="G1579" t="n">
        <v>60964</v>
      </c>
      <c r="H1579" t="b">
        <v>0</v>
      </c>
      <c r="I1579" t="n">
        <v>170</v>
      </c>
      <c r="J1579" t="n">
        <v>4.3392</v>
      </c>
      <c r="K1579" t="inlineStr">
        <is>
          <t>&gt; Perfumería &gt; Cuidado Capilar &gt; Acondicionador &gt;</t>
        </is>
      </c>
      <c r="L1579" t="inlineStr">
        <is>
          <t>acondicionador</t>
        </is>
      </c>
      <c r="M1579" t="inlineStr">
        <is>
          <t>estandar</t>
        </is>
      </c>
      <c r="N1579" t="inlineStr">
        <is>
          <t>general</t>
        </is>
      </c>
      <c r="O1579" t="inlineStr">
        <is>
          <t>https://www.jumbo.com.ar/super-acondicionador-dove-factor-nutricion-60-170-ml/p</t>
        </is>
      </c>
    </row>
    <row r="1580">
      <c r="A1580" s="2" t="inlineStr">
        <is>
          <t>Jumbo</t>
        </is>
      </c>
      <c r="B1580" s="2" t="n">
        <v>3066021</v>
      </c>
      <c r="C1580" s="2" t="n">
        <v>3065978</v>
      </c>
      <c r="D1580" s="2" t="inlineStr">
        <is>
          <t>Crema Peinar Anti Caida X 300 Ml Pantene</t>
        </is>
      </c>
      <c r="E1580" s="2" t="inlineStr">
        <is>
          <t>PANTENE</t>
        </is>
      </c>
      <c r="F1580" s="2" t="n">
        <v>9400</v>
      </c>
      <c r="G1580" s="2" t="n">
        <v>776860</v>
      </c>
      <c r="H1580" s="2" t="b">
        <v>1</v>
      </c>
      <c r="I1580" s="2" t="n">
        <v>300</v>
      </c>
      <c r="J1580" s="2" t="n">
        <v>31.3333</v>
      </c>
      <c r="K1580" s="2" t="inlineStr">
        <is>
          <t>&gt; Perfumería &gt; Cuidado Capilar &gt; Reparación y Tratamientos &gt;</t>
        </is>
      </c>
      <c r="L1580" s="2" t="inlineStr">
        <is>
          <t>shampoo</t>
        </is>
      </c>
      <c r="M1580" s="2" t="inlineStr">
        <is>
          <t>estandar</t>
        </is>
      </c>
      <c r="N1580" s="2" t="inlineStr">
        <is>
          <t>general</t>
        </is>
      </c>
      <c r="O1580" s="2" t="inlineStr">
        <is>
          <t>https://www.jumbo.com.ar/crema-peinar-anti-caida-x-300-ml-pantene/p</t>
        </is>
      </c>
    </row>
    <row r="1581">
      <c r="A1581" t="inlineStr">
        <is>
          <t>Jumbo</t>
        </is>
      </c>
      <c r="B1581" t="n">
        <v>3066017</v>
      </c>
      <c r="C1581" t="n">
        <v>3065974</v>
      </c>
      <c r="D1581" t="inlineStr">
        <is>
          <t>Tratamiento Oil Nutritivo X 95 Ml Pantene</t>
        </is>
      </c>
      <c r="E1581" t="inlineStr">
        <is>
          <t>PANTENE</t>
        </is>
      </c>
      <c r="F1581" t="n">
        <v>21350</v>
      </c>
      <c r="G1581" t="n">
        <v>1764463</v>
      </c>
      <c r="H1581" t="b">
        <v>1</v>
      </c>
      <c r="I1581" t="n">
        <v>95</v>
      </c>
      <c r="J1581" t="n">
        <v>224.7368</v>
      </c>
      <c r="K1581" t="inlineStr">
        <is>
          <t>&gt; Perfumería &gt; Cuidado Capilar &gt; Reparación y Tratamientos &gt;</t>
        </is>
      </c>
      <c r="L1581" t="inlineStr">
        <is>
          <t>tratamiento</t>
        </is>
      </c>
      <c r="M1581" t="inlineStr">
        <is>
          <t>estandar</t>
        </is>
      </c>
      <c r="N1581" t="inlineStr">
        <is>
          <t>general</t>
        </is>
      </c>
      <c r="O1581" t="inlineStr">
        <is>
          <t>https://www.jumbo.com.ar/tratamiento-oil-nutritivo-x-95-ml-pantene/p</t>
        </is>
      </c>
    </row>
    <row r="1582">
      <c r="A1582" s="2" t="inlineStr">
        <is>
          <t>Jumbo</t>
        </is>
      </c>
      <c r="B1582" s="2" t="n">
        <v>1360444</v>
      </c>
      <c r="C1582" s="2" t="n">
        <v>1360028</v>
      </c>
      <c r="D1582" s="2" t="inlineStr">
        <is>
          <t>Mascarilla Intensiva Hidratación 270 Ml Pantene</t>
        </is>
      </c>
      <c r="E1582" s="2" t="inlineStr">
        <is>
          <t>PANTENE</t>
        </is>
      </c>
      <c r="F1582" s="2" t="n">
        <v>10400</v>
      </c>
      <c r="G1582" s="2" t="n">
        <v>859504</v>
      </c>
      <c r="H1582" s="2" t="b">
        <v>1</v>
      </c>
      <c r="I1582" s="2" t="n">
        <v>270</v>
      </c>
      <c r="J1582" s="2" t="n">
        <v>38.5185</v>
      </c>
      <c r="K1582" s="2" t="inlineStr">
        <is>
          <t>&gt; Perfumería &gt; Cuidado Capilar &gt; Reparación y Tratamientos &gt;</t>
        </is>
      </c>
      <c r="L1582" s="2" t="inlineStr">
        <is>
          <t>tratamiento</t>
        </is>
      </c>
      <c r="M1582" s="2" t="inlineStr">
        <is>
          <t>estandar</t>
        </is>
      </c>
      <c r="N1582" s="2" t="inlineStr">
        <is>
          <t>seco_danado</t>
        </is>
      </c>
      <c r="O1582" s="2" t="inlineStr">
        <is>
          <t>https://www.jumbo.com.ar/mascarilla-intensiva-hidratacion-270-ml-pantene-2/p</t>
        </is>
      </c>
    </row>
    <row r="1583">
      <c r="A1583" t="inlineStr">
        <is>
          <t>Jumbo</t>
        </is>
      </c>
      <c r="B1583" t="n">
        <v>1360439</v>
      </c>
      <c r="C1583" t="n">
        <v>1360023</v>
      </c>
      <c r="D1583" t="inlineStr">
        <is>
          <t>Mascarilla Intensiva Restauración 270 Ml Pantene</t>
        </is>
      </c>
      <c r="E1583" t="inlineStr">
        <is>
          <t>PANTENE</t>
        </is>
      </c>
      <c r="F1583" t="n">
        <v>10400</v>
      </c>
      <c r="G1583" t="n">
        <v>859504</v>
      </c>
      <c r="H1583" t="b">
        <v>1</v>
      </c>
      <c r="I1583" t="n">
        <v>270</v>
      </c>
      <c r="J1583" t="n">
        <v>38.5185</v>
      </c>
      <c r="K1583" t="inlineStr">
        <is>
          <t>&gt; Perfumería &gt; Cuidado Capilar &gt; Reparación y Tratamientos &gt;</t>
        </is>
      </c>
      <c r="L1583" t="inlineStr">
        <is>
          <t>tratamiento</t>
        </is>
      </c>
      <c r="M1583" t="inlineStr">
        <is>
          <t>estandar</t>
        </is>
      </c>
      <c r="N1583" t="inlineStr">
        <is>
          <t>general</t>
        </is>
      </c>
      <c r="O1583" t="inlineStr">
        <is>
          <t>https://www.jumbo.com.ar/mascarilla-intensiva-restauracion-270-ml-pantene-2/p</t>
        </is>
      </c>
    </row>
    <row r="1584">
      <c r="A1584" s="2" t="inlineStr">
        <is>
          <t>Jumbo</t>
        </is>
      </c>
      <c r="B1584" s="2" t="n">
        <v>383675</v>
      </c>
      <c r="C1584" s="2" t="n">
        <v>382390</v>
      </c>
      <c r="D1584" s="2" t="inlineStr">
        <is>
          <t>Crema para Peinar Colágeno Nutre y Revitaliza 300 Ml Pantene</t>
        </is>
      </c>
      <c r="E1584" s="2" t="inlineStr">
        <is>
          <t>PANTENE</t>
        </is>
      </c>
      <c r="F1584" s="2" t="n">
        <v>9250</v>
      </c>
      <c r="G1584" s="2" t="n">
        <v>764463</v>
      </c>
      <c r="H1584" s="2" t="b">
        <v>1</v>
      </c>
      <c r="I1584" s="2" t="n">
        <v>300</v>
      </c>
      <c r="J1584" s="2" t="n">
        <v>30.8333</v>
      </c>
      <c r="K1584" s="2" t="inlineStr">
        <is>
          <t>&gt; Perfumería &gt; Cuidado Capilar &gt; Reparación y Tratamientos &gt;</t>
        </is>
      </c>
      <c r="L1584" s="2" t="inlineStr">
        <is>
          <t>shampoo</t>
        </is>
      </c>
      <c r="M1584" s="2" t="inlineStr">
        <is>
          <t>estandar</t>
        </is>
      </c>
      <c r="N1584" s="2" t="inlineStr">
        <is>
          <t>general</t>
        </is>
      </c>
      <c r="O1584" s="2" t="inlineStr">
        <is>
          <t>https://www.jumbo.com.ar/crema-para-peinar-colageno-nutre-y-revitaliza-300-ml-pantene/p</t>
        </is>
      </c>
    </row>
    <row r="1585">
      <c r="A1585" t="inlineStr">
        <is>
          <t>Jumbo</t>
        </is>
      </c>
      <c r="B1585" t="n">
        <v>1360442</v>
      </c>
      <c r="C1585" t="n">
        <v>1360026</v>
      </c>
      <c r="D1585" t="inlineStr">
        <is>
          <t>Mascarilla Intensiva Nutrición 270 Ml Pantene</t>
        </is>
      </c>
      <c r="E1585" t="inlineStr">
        <is>
          <t>PANTENE</t>
        </is>
      </c>
      <c r="F1585" t="n">
        <v>10400</v>
      </c>
      <c r="G1585" t="n">
        <v>859504</v>
      </c>
      <c r="H1585" t="b">
        <v>1</v>
      </c>
      <c r="I1585" t="n">
        <v>270</v>
      </c>
      <c r="J1585" t="n">
        <v>38.5185</v>
      </c>
      <c r="K1585" t="inlineStr">
        <is>
          <t>&gt; Perfumería &gt; Cuidado Capilar &gt; Reparación y Tratamientos &gt;</t>
        </is>
      </c>
      <c r="L1585" t="inlineStr">
        <is>
          <t>tratamiento</t>
        </is>
      </c>
      <c r="M1585" t="inlineStr">
        <is>
          <t>estandar</t>
        </is>
      </c>
      <c r="N1585" t="inlineStr">
        <is>
          <t>general</t>
        </is>
      </c>
      <c r="O1585" t="inlineStr">
        <is>
          <t>https://www.jumbo.com.ar/mascarilla-intensiva-nutricion-270-ml-pantene-2/p</t>
        </is>
      </c>
    </row>
    <row r="1586">
      <c r="A1586" s="2" t="inlineStr">
        <is>
          <t>Jumbo</t>
        </is>
      </c>
      <c r="B1586" s="2" t="n">
        <v>3079024</v>
      </c>
      <c r="C1586" s="2" t="n">
        <v>3078348</v>
      </c>
      <c r="D1586" s="2" t="inlineStr">
        <is>
          <t>Acondicionador Nutre y Crece Bambú 150 Ml Pantene</t>
        </is>
      </c>
      <c r="E1586" s="2" t="inlineStr">
        <is>
          <t>PANTENE</t>
        </is>
      </c>
      <c r="F1586" s="2" t="n">
        <v>6200</v>
      </c>
      <c r="G1586" s="2" t="n">
        <v>512397</v>
      </c>
      <c r="H1586" s="2" t="b">
        <v>0</v>
      </c>
      <c r="I1586" s="2" t="n">
        <v>150</v>
      </c>
      <c r="J1586" s="2" t="n">
        <v>41.3333</v>
      </c>
      <c r="K1586" s="2" t="inlineStr">
        <is>
          <t>&gt; Perfumería &gt; Cuidado Capilar &gt; Acondicionador &gt;</t>
        </is>
      </c>
      <c r="L1586" s="2" t="inlineStr">
        <is>
          <t>acondicionador</t>
        </is>
      </c>
      <c r="M1586" s="2" t="inlineStr">
        <is>
          <t>estandar</t>
        </is>
      </c>
      <c r="N1586" s="2" t="inlineStr">
        <is>
          <t>general</t>
        </is>
      </c>
      <c r="O1586" s="2" t="inlineStr">
        <is>
          <t>https://www.jumbo.com.ar/acondicionador-pantene-bamboo-150ml/p</t>
        </is>
      </c>
    </row>
    <row r="1587">
      <c r="A1587" t="inlineStr">
        <is>
          <t>Jumbo</t>
        </is>
      </c>
      <c r="B1587" t="n">
        <v>3066018</v>
      </c>
      <c r="C1587" t="n">
        <v>3065975</v>
      </c>
      <c r="D1587" t="inlineStr">
        <is>
          <t>Tonico Capilar Anticaida X 60 Ml Pantene</t>
        </is>
      </c>
      <c r="E1587" t="inlineStr">
        <is>
          <t>PANTENE</t>
        </is>
      </c>
      <c r="F1587" t="n">
        <v>24950</v>
      </c>
      <c r="G1587" t="n">
        <v>2061983</v>
      </c>
      <c r="H1587" t="b">
        <v>0</v>
      </c>
      <c r="I1587" t="n">
        <v>60</v>
      </c>
      <c r="J1587" t="n">
        <v>415.8333</v>
      </c>
      <c r="K1587" t="inlineStr">
        <is>
          <t>&gt; Perfumería &gt; Cuidado Capilar &gt; Reparación y Tratamientos &gt;</t>
        </is>
      </c>
      <c r="L1587" t="inlineStr">
        <is>
          <t>shampoo</t>
        </is>
      </c>
      <c r="M1587" t="inlineStr">
        <is>
          <t>estandar</t>
        </is>
      </c>
      <c r="N1587" t="inlineStr">
        <is>
          <t>general</t>
        </is>
      </c>
      <c r="O1587" t="inlineStr">
        <is>
          <t>https://www.jumbo.com.ar/tonico-capilar-anticaida-x-60-ml-pantene-2/p</t>
        </is>
      </c>
    </row>
    <row r="1588">
      <c r="A1588" s="2" t="inlineStr">
        <is>
          <t>Jumbo</t>
        </is>
      </c>
      <c r="B1588" s="2" t="n">
        <v>3065221</v>
      </c>
      <c r="C1588" s="2" t="n">
        <v>3065220</v>
      </c>
      <c r="D1588" s="2" t="inlineStr">
        <is>
          <t>Acondicionador Pro-v Miracles Revitalización 700 Ml Pantene</t>
        </is>
      </c>
      <c r="E1588" s="2" t="inlineStr">
        <is>
          <t>PANTENE</t>
        </is>
      </c>
      <c r="F1588" s="2" t="n">
        <v>16300</v>
      </c>
      <c r="G1588" s="2" t="n">
        <v>1347107</v>
      </c>
      <c r="H1588" s="2" t="b">
        <v>0</v>
      </c>
      <c r="I1588" s="2" t="n">
        <v>700</v>
      </c>
      <c r="J1588" s="2" t="n">
        <v>23.2857</v>
      </c>
      <c r="K1588" s="2" t="inlineStr">
        <is>
          <t>&gt; Perfumería &gt; Cuidado Capilar &gt; Acondicionador &gt;</t>
        </is>
      </c>
      <c r="L1588" s="2" t="inlineStr">
        <is>
          <t>acondicionador</t>
        </is>
      </c>
      <c r="M1588" s="2" t="inlineStr">
        <is>
          <t>profesional</t>
        </is>
      </c>
      <c r="N1588" s="2" t="inlineStr">
        <is>
          <t>general</t>
        </is>
      </c>
      <c r="O1588" s="2" t="inlineStr">
        <is>
          <t>https://www.jumbo.com.ar/acondicionador-pro-v-miracles-revilitacion-400-ml-pantene/p</t>
        </is>
      </c>
    </row>
    <row r="1589">
      <c r="A1589" t="inlineStr">
        <is>
          <t>Jumbo</t>
        </is>
      </c>
      <c r="B1589" t="n">
        <v>3065219</v>
      </c>
      <c r="C1589" t="n">
        <v>3065218</v>
      </c>
      <c r="D1589" t="inlineStr">
        <is>
          <t>Acondicionador Pro-v Miracles Volumen 700 Ml Pantene</t>
        </is>
      </c>
      <c r="E1589" t="inlineStr">
        <is>
          <t>PANTENE</t>
        </is>
      </c>
      <c r="F1589" t="n">
        <v>10555.18</v>
      </c>
      <c r="G1589" t="n">
        <v>872329</v>
      </c>
      <c r="H1589" t="b">
        <v>0</v>
      </c>
      <c r="I1589" t="n">
        <v>700</v>
      </c>
      <c r="J1589" t="n">
        <v>15.0788</v>
      </c>
      <c r="K1589" t="inlineStr">
        <is>
          <t>&gt; Perfumería &gt; Cuidado Capilar &gt; Acondicionador &gt;</t>
        </is>
      </c>
      <c r="L1589" t="inlineStr">
        <is>
          <t>acondicionador</t>
        </is>
      </c>
      <c r="M1589" t="inlineStr">
        <is>
          <t>profesional</t>
        </is>
      </c>
      <c r="N1589" t="inlineStr">
        <is>
          <t>general</t>
        </is>
      </c>
      <c r="O1589" t="inlineStr">
        <is>
          <t>https://www.jumbo.com.ar/acondicionador-pro-v-miracles-volumen-700-ml-pantene/p</t>
        </is>
      </c>
    </row>
    <row r="1590">
      <c r="A1590" s="2" t="inlineStr">
        <is>
          <t>Jumbo</t>
        </is>
      </c>
      <c r="B1590" s="2" t="n">
        <v>3065194</v>
      </c>
      <c r="C1590" s="2" t="n">
        <v>3065193</v>
      </c>
      <c r="D1590" s="2" t="inlineStr">
        <is>
          <t>Shampoo Pro-v Miracles Hidrata y Fortalece 700 Ml Pantene</t>
        </is>
      </c>
      <c r="E1590" s="2" t="inlineStr">
        <is>
          <t>PANTENE</t>
        </is>
      </c>
      <c r="F1590" s="2" t="n">
        <v>16300</v>
      </c>
      <c r="G1590" s="2" t="n">
        <v>1347107</v>
      </c>
      <c r="H1590" s="2" t="b">
        <v>0</v>
      </c>
      <c r="I1590" s="2" t="n">
        <v>700</v>
      </c>
      <c r="J1590" s="2" t="n">
        <v>23.2857</v>
      </c>
      <c r="K1590" s="2" t="inlineStr">
        <is>
          <t>&gt; Perfumería &gt; Cuidado Capilar &gt; Shampoo &gt;</t>
        </is>
      </c>
      <c r="L1590" s="2" t="inlineStr">
        <is>
          <t>shampoo</t>
        </is>
      </c>
      <c r="M1590" s="2" t="inlineStr">
        <is>
          <t>profesional</t>
        </is>
      </c>
      <c r="N1590" s="2" t="inlineStr">
        <is>
          <t>seco_danado</t>
        </is>
      </c>
      <c r="O1590" s="2" t="inlineStr">
        <is>
          <t>https://www.jumbo.com.ar/shampoo-pro-v-miracles-hidrata-700-ml-pantene/p</t>
        </is>
      </c>
    </row>
    <row r="1591">
      <c r="A1591" t="inlineStr">
        <is>
          <t>Jumbo</t>
        </is>
      </c>
      <c r="B1591" t="n">
        <v>1360440</v>
      </c>
      <c r="C1591" t="n">
        <v>1360024</v>
      </c>
      <c r="D1591" t="inlineStr">
        <is>
          <t>Crema para Peinar Keratina Repara y Protege 300 Ml Pantene</t>
        </is>
      </c>
      <c r="E1591" t="inlineStr">
        <is>
          <t>PANTENE</t>
        </is>
      </c>
      <c r="F1591" t="n">
        <v>8750</v>
      </c>
      <c r="G1591" t="n">
        <v>723141</v>
      </c>
      <c r="H1591" t="b">
        <v>0</v>
      </c>
      <c r="I1591" t="n">
        <v>300</v>
      </c>
      <c r="J1591" t="n">
        <v>29.1667</v>
      </c>
      <c r="K1591" t="inlineStr">
        <is>
          <t>&gt; Perfumería &gt; Cuidado Capilar &gt; Reparación y Tratamientos &gt;</t>
        </is>
      </c>
      <c r="L1591" t="inlineStr">
        <is>
          <t>shampoo</t>
        </is>
      </c>
      <c r="M1591" t="inlineStr">
        <is>
          <t>estandar</t>
        </is>
      </c>
      <c r="N1591" t="inlineStr">
        <is>
          <t>tratado</t>
        </is>
      </c>
      <c r="O1591" t="inlineStr">
        <is>
          <t>https://www.jumbo.com.ar/crema-para-peinar-keratina-300-ml-pantene-2/p</t>
        </is>
      </c>
    </row>
    <row r="1592">
      <c r="A1592" s="2" t="inlineStr">
        <is>
          <t>Jumbo</t>
        </is>
      </c>
      <c r="B1592" s="2" t="n">
        <v>415582</v>
      </c>
      <c r="C1592" s="2" t="n">
        <v>411166</v>
      </c>
      <c r="D1592" s="2" t="inlineStr">
        <is>
          <t>Acondicionador Volumen Pro-v Miracles 200 Ml Pantene</t>
        </is>
      </c>
      <c r="E1592" s="2" t="inlineStr">
        <is>
          <t>PANTENE</t>
        </is>
      </c>
      <c r="F1592" s="2" t="n">
        <v>6200</v>
      </c>
      <c r="G1592" s="2" t="n">
        <v>512397</v>
      </c>
      <c r="H1592" s="2" t="b">
        <v>0</v>
      </c>
      <c r="I1592" s="2" t="n">
        <v>200</v>
      </c>
      <c r="J1592" s="2" t="n">
        <v>31</v>
      </c>
      <c r="K1592" s="2" t="inlineStr">
        <is>
          <t>&gt; Perfumería &gt; Cuidado Capilar &gt; Acondicionador &gt;</t>
        </is>
      </c>
      <c r="L1592" s="2" t="inlineStr">
        <is>
          <t>acondicionador</t>
        </is>
      </c>
      <c r="M1592" s="2" t="inlineStr">
        <is>
          <t>profesional</t>
        </is>
      </c>
      <c r="N1592" s="2" t="inlineStr">
        <is>
          <t>general</t>
        </is>
      </c>
      <c r="O1592" s="2" t="inlineStr">
        <is>
          <t>https://www.jumbo.com.ar/acondicionador-pro-v-miracles-volumen-200-ml-pantene-2/p</t>
        </is>
      </c>
    </row>
    <row r="1593">
      <c r="A1593" t="inlineStr">
        <is>
          <t>Jumbo</t>
        </is>
      </c>
      <c r="B1593" t="n">
        <v>415580</v>
      </c>
      <c r="C1593" t="n">
        <v>411164</v>
      </c>
      <c r="D1593" t="inlineStr">
        <is>
          <t>Acondicionador Pro-v Miracles Volumen 750 Ml Pantene</t>
        </is>
      </c>
      <c r="E1593" t="inlineStr">
        <is>
          <t>PANTENE</t>
        </is>
      </c>
      <c r="F1593" t="n">
        <v>16300</v>
      </c>
      <c r="G1593" t="n">
        <v>1347107</v>
      </c>
      <c r="H1593" t="b">
        <v>0</v>
      </c>
      <c r="I1593" t="n">
        <v>750</v>
      </c>
      <c r="J1593" t="n">
        <v>21.7333</v>
      </c>
      <c r="K1593" t="inlineStr">
        <is>
          <t>&gt; Perfumería &gt; Cuidado Capilar &gt; Acondicionador &gt;</t>
        </is>
      </c>
      <c r="L1593" t="inlineStr">
        <is>
          <t>acondicionador</t>
        </is>
      </c>
      <c r="M1593" t="inlineStr">
        <is>
          <t>profesional</t>
        </is>
      </c>
      <c r="N1593" t="inlineStr">
        <is>
          <t>general</t>
        </is>
      </c>
      <c r="O1593" t="inlineStr">
        <is>
          <t>https://www.jumbo.com.ar/acondicionador-pro-v-miracles-volumen-750-ml-pantene/p</t>
        </is>
      </c>
    </row>
    <row r="1594">
      <c r="A1594" s="2" t="inlineStr">
        <is>
          <t>Jumbo</t>
        </is>
      </c>
      <c r="B1594" s="2" t="n">
        <v>415579</v>
      </c>
      <c r="C1594" s="2" t="n">
        <v>411163</v>
      </c>
      <c r="D1594" s="2" t="inlineStr">
        <is>
          <t>Shampoo Pro-v Miracles Volumen 200 Ml Pantene</t>
        </is>
      </c>
      <c r="E1594" s="2" t="inlineStr">
        <is>
          <t>PANTENE</t>
        </is>
      </c>
      <c r="F1594" s="2" t="n">
        <v>6200</v>
      </c>
      <c r="G1594" s="2" t="n">
        <v>512397</v>
      </c>
      <c r="H1594" s="2" t="b">
        <v>0</v>
      </c>
      <c r="I1594" s="2" t="n">
        <v>200</v>
      </c>
      <c r="J1594" s="2" t="n">
        <v>31</v>
      </c>
      <c r="K1594" s="2" t="inlineStr">
        <is>
          <t>&gt; Perfumería &gt; Cuidado Capilar &gt; Shampoo &gt;</t>
        </is>
      </c>
      <c r="L1594" s="2" t="inlineStr">
        <is>
          <t>shampoo</t>
        </is>
      </c>
      <c r="M1594" s="2" t="inlineStr">
        <is>
          <t>profesional</t>
        </is>
      </c>
      <c r="N1594" s="2" t="inlineStr">
        <is>
          <t>general</t>
        </is>
      </c>
      <c r="O1594" s="2" t="inlineStr">
        <is>
          <t>https://www.jumbo.com.ar/shampoo-pro-v-miracles-volumen-200-ml-pantene-2/p</t>
        </is>
      </c>
    </row>
    <row r="1595">
      <c r="A1595" t="inlineStr">
        <is>
          <t>Jumbo</t>
        </is>
      </c>
      <c r="B1595" t="n">
        <v>415578</v>
      </c>
      <c r="C1595" t="n">
        <v>411162</v>
      </c>
      <c r="D1595" t="inlineStr">
        <is>
          <t>Sahmpoo Pantene Provmir Volumen 750 Ml</t>
        </is>
      </c>
      <c r="E1595" t="inlineStr">
        <is>
          <t>PANTENE</t>
        </is>
      </c>
      <c r="F1595" t="n">
        <v>14500</v>
      </c>
      <c r="G1595" t="n">
        <v>1198347</v>
      </c>
      <c r="H1595" t="b">
        <v>0</v>
      </c>
      <c r="I1595" t="n">
        <v>750</v>
      </c>
      <c r="J1595" t="n">
        <v>19.3333</v>
      </c>
      <c r="K1595" t="inlineStr">
        <is>
          <t>&gt; Perfumería &gt; Cuidado Capilar &gt; Shampoo &gt;</t>
        </is>
      </c>
      <c r="L1595" t="inlineStr">
        <is>
          <t>shampoo</t>
        </is>
      </c>
      <c r="M1595" t="inlineStr">
        <is>
          <t>profesional</t>
        </is>
      </c>
      <c r="N1595" t="inlineStr">
        <is>
          <t>general</t>
        </is>
      </c>
      <c r="O1595" t="inlineStr">
        <is>
          <t>https://www.jumbo.com.ar/sahmpoo-pantene-provmir-volumen-750-ml/p</t>
        </is>
      </c>
    </row>
    <row r="1596">
      <c r="A1596" s="2" t="inlineStr">
        <is>
          <t>Jumbo</t>
        </is>
      </c>
      <c r="B1596" s="2" t="n">
        <v>415577</v>
      </c>
      <c r="C1596" s="2" t="n">
        <v>411161</v>
      </c>
      <c r="D1596" s="2" t="inlineStr">
        <is>
          <t>Shampoo Liso Infinito Pro-v Miracles 200 Ml Pantene</t>
        </is>
      </c>
      <c r="E1596" s="2" t="inlineStr">
        <is>
          <t>PANTENE</t>
        </is>
      </c>
      <c r="F1596" s="2" t="n">
        <v>6200</v>
      </c>
      <c r="G1596" s="2" t="n">
        <v>512397</v>
      </c>
      <c r="H1596" s="2" t="b">
        <v>0</v>
      </c>
      <c r="I1596" s="2" t="n">
        <v>200</v>
      </c>
      <c r="J1596" s="2" t="n">
        <v>31</v>
      </c>
      <c r="K1596" s="2" t="inlineStr">
        <is>
          <t>&gt; Perfumería &gt; Cuidado Capilar &gt; Shampoo &gt;</t>
        </is>
      </c>
      <c r="L1596" s="2" t="inlineStr">
        <is>
          <t>shampoo</t>
        </is>
      </c>
      <c r="M1596" s="2" t="inlineStr">
        <is>
          <t>profesional</t>
        </is>
      </c>
      <c r="N1596" s="2" t="inlineStr">
        <is>
          <t>general</t>
        </is>
      </c>
      <c r="O1596" s="2" t="inlineStr">
        <is>
          <t>https://www.jumbo.com.ar/shampoo-pro-v-miracles-liso-infinito-200-ml-pantene-2/p</t>
        </is>
      </c>
    </row>
    <row r="1597">
      <c r="A1597" t="inlineStr">
        <is>
          <t>Jumbo</t>
        </is>
      </c>
      <c r="B1597" t="n">
        <v>415576</v>
      </c>
      <c r="C1597" t="n">
        <v>411160</v>
      </c>
      <c r="D1597" t="inlineStr">
        <is>
          <t>Shampoo Revitalización Repara y Hidrata 200 Ml Pantene</t>
        </is>
      </c>
      <c r="E1597" t="inlineStr">
        <is>
          <t>PANTENE</t>
        </is>
      </c>
      <c r="F1597" t="n">
        <v>5900</v>
      </c>
      <c r="G1597" t="n">
        <v>487603</v>
      </c>
      <c r="H1597" t="b">
        <v>0</v>
      </c>
      <c r="I1597" t="n">
        <v>200</v>
      </c>
      <c r="J1597" t="n">
        <v>29.5</v>
      </c>
      <c r="K1597" t="inlineStr">
        <is>
          <t>&gt; Perfumería &gt; Cuidado Capilar &gt; Shampoo &gt;</t>
        </is>
      </c>
      <c r="L1597" t="inlineStr">
        <is>
          <t>shampoo</t>
        </is>
      </c>
      <c r="M1597" t="inlineStr">
        <is>
          <t>estandar</t>
        </is>
      </c>
      <c r="N1597" t="inlineStr">
        <is>
          <t>seco_danado</t>
        </is>
      </c>
      <c r="O1597" t="inlineStr">
        <is>
          <t>https://www.jumbo.com.ar/shampoo-revilitacion-200-ml-pantene-2/p</t>
        </is>
      </c>
    </row>
    <row r="1598">
      <c r="A1598" s="2" t="inlineStr">
        <is>
          <t>Jumbo</t>
        </is>
      </c>
      <c r="B1598" s="2" t="n">
        <v>415573</v>
      </c>
      <c r="C1598" s="2" t="n">
        <v>411157</v>
      </c>
      <c r="D1598" s="2" t="inlineStr">
        <is>
          <t>Acondicionador Revitalización Repara y Hidrata 200 Ml Pantene</t>
        </is>
      </c>
      <c r="E1598" s="2" t="inlineStr">
        <is>
          <t>PANTENE</t>
        </is>
      </c>
      <c r="F1598" s="2" t="n">
        <v>6200</v>
      </c>
      <c r="G1598" s="2" t="n">
        <v>512397</v>
      </c>
      <c r="H1598" s="2" t="b">
        <v>0</v>
      </c>
      <c r="I1598" s="2" t="n">
        <v>200</v>
      </c>
      <c r="J1598" s="2" t="n">
        <v>31</v>
      </c>
      <c r="K1598" s="2" t="inlineStr">
        <is>
          <t>&gt; Perfumería &gt; Cuidado Capilar &gt; Acondicionador &gt;</t>
        </is>
      </c>
      <c r="L1598" s="2" t="inlineStr">
        <is>
          <t>acondicionador</t>
        </is>
      </c>
      <c r="M1598" s="2" t="inlineStr">
        <is>
          <t>estandar</t>
        </is>
      </c>
      <c r="N1598" s="2" t="inlineStr">
        <is>
          <t>seco_danado</t>
        </is>
      </c>
      <c r="O1598" s="2" t="inlineStr">
        <is>
          <t>https://www.jumbo.com.ar/acondicionador-revilitacion-200-ml-pantene-2/p</t>
        </is>
      </c>
    </row>
    <row r="1599">
      <c r="A1599" t="inlineStr">
        <is>
          <t>Jumbo</t>
        </is>
      </c>
      <c r="B1599" t="n">
        <v>415571</v>
      </c>
      <c r="C1599" t="n">
        <v>411155</v>
      </c>
      <c r="D1599" t="inlineStr">
        <is>
          <t>Shampoo Pantene  Liso Infinito 750 Ml</t>
        </is>
      </c>
      <c r="E1599" t="inlineStr">
        <is>
          <t>PANTENE</t>
        </is>
      </c>
      <c r="F1599" t="n">
        <v>14050</v>
      </c>
      <c r="G1599" t="n">
        <v>1161157</v>
      </c>
      <c r="H1599" t="b">
        <v>0</v>
      </c>
      <c r="I1599" t="n">
        <v>750</v>
      </c>
      <c r="J1599" t="n">
        <v>18.7333</v>
      </c>
      <c r="K1599" t="inlineStr">
        <is>
          <t>&gt; Perfumería &gt; Cuidado Capilar &gt; Shampoo &gt;</t>
        </is>
      </c>
      <c r="L1599" t="inlineStr">
        <is>
          <t>shampoo</t>
        </is>
      </c>
      <c r="M1599" t="inlineStr">
        <is>
          <t>estandar</t>
        </is>
      </c>
      <c r="N1599" t="inlineStr">
        <is>
          <t>general</t>
        </is>
      </c>
      <c r="O1599" t="inlineStr">
        <is>
          <t>https://www.jumbo.com.ar/shampoo-pantene-liso-infinito-750-ml/p</t>
        </is>
      </c>
    </row>
    <row r="1600">
      <c r="A1600" s="2" t="inlineStr">
        <is>
          <t>Jumbo</t>
        </is>
      </c>
      <c r="B1600" s="2" t="n">
        <v>401197</v>
      </c>
      <c r="C1600" s="2" t="n">
        <v>398535</v>
      </c>
      <c r="D1600" s="2" t="inlineStr">
        <is>
          <t>Acondicionador Pro-v Miracles Detox 200 Ml Pantene</t>
        </is>
      </c>
      <c r="E1600" s="2" t="inlineStr">
        <is>
          <t>PANTENE</t>
        </is>
      </c>
      <c r="F1600" s="2" t="n">
        <v>6200</v>
      </c>
      <c r="G1600" s="2" t="n">
        <v>512397</v>
      </c>
      <c r="H1600" s="2" t="b">
        <v>0</v>
      </c>
      <c r="I1600" s="2" t="n">
        <v>200</v>
      </c>
      <c r="J1600" s="2" t="n">
        <v>31</v>
      </c>
      <c r="K1600" s="2" t="inlineStr">
        <is>
          <t>&gt; Perfumería &gt; Cuidado Capilar &gt; Acondicionador &gt;</t>
        </is>
      </c>
      <c r="L1600" s="2" t="inlineStr">
        <is>
          <t>acondicionador</t>
        </is>
      </c>
      <c r="M1600" s="2" t="inlineStr">
        <is>
          <t>profesional</t>
        </is>
      </c>
      <c r="N1600" s="2" t="inlineStr">
        <is>
          <t>general</t>
        </is>
      </c>
      <c r="O1600" s="2" t="inlineStr">
        <is>
          <t>https://www.jumbo.com.ar/acondicionador-pro-v-miracles-detox-200-ml-pantene-3/p</t>
        </is>
      </c>
    </row>
    <row r="1601">
      <c r="A1601" t="inlineStr">
        <is>
          <t>Jumbo</t>
        </is>
      </c>
      <c r="B1601" t="n">
        <v>401194</v>
      </c>
      <c r="C1601" t="n">
        <v>398532</v>
      </c>
      <c r="D1601" t="inlineStr">
        <is>
          <t>Acondicionador Pro-v Miracles Equilibrio 400 Ml Pantene</t>
        </is>
      </c>
      <c r="E1601" t="inlineStr">
        <is>
          <t>PANTENE</t>
        </is>
      </c>
      <c r="F1601" t="n">
        <v>10000</v>
      </c>
      <c r="G1601" t="n">
        <v>826446</v>
      </c>
      <c r="H1601" t="b">
        <v>0</v>
      </c>
      <c r="I1601" t="n">
        <v>400</v>
      </c>
      <c r="J1601" t="n">
        <v>25</v>
      </c>
      <c r="K1601" t="inlineStr">
        <is>
          <t>&gt; Perfumería &gt; Cuidado Capilar &gt; Acondicionador &gt;</t>
        </is>
      </c>
      <c r="L1601" t="inlineStr">
        <is>
          <t>acondicionador</t>
        </is>
      </c>
      <c r="M1601" t="inlineStr">
        <is>
          <t>profesional</t>
        </is>
      </c>
      <c r="N1601" t="inlineStr">
        <is>
          <t>general</t>
        </is>
      </c>
      <c r="O1601" t="inlineStr">
        <is>
          <t>https://www.jumbo.com.ar/acondicionador-pro-v-miracles-equilibrio-400-ml-pantene-2/p</t>
        </is>
      </c>
    </row>
    <row r="1602">
      <c r="A1602" s="2" t="inlineStr">
        <is>
          <t>Jumbo</t>
        </is>
      </c>
      <c r="B1602" s="2" t="n">
        <v>401185</v>
      </c>
      <c r="C1602" s="2" t="n">
        <v>398523</v>
      </c>
      <c r="D1602" s="2" t="inlineStr">
        <is>
          <t>Acondicionador Hidratante Pro-V Miracles Detox 200 Ml Pantene</t>
        </is>
      </c>
      <c r="E1602" s="2" t="inlineStr">
        <is>
          <t>PANTENE</t>
        </is>
      </c>
      <c r="F1602" s="2" t="n">
        <v>6200</v>
      </c>
      <c r="G1602" s="2" t="n">
        <v>512397</v>
      </c>
      <c r="H1602" s="2" t="b">
        <v>0</v>
      </c>
      <c r="I1602" s="2" t="n">
        <v>200</v>
      </c>
      <c r="J1602" s="2" t="n">
        <v>31</v>
      </c>
      <c r="K1602" s="2" t="inlineStr">
        <is>
          <t>&gt; Perfumería &gt; Cuidado Capilar &gt; Acondicionador &gt;</t>
        </is>
      </c>
      <c r="L1602" s="2" t="inlineStr">
        <is>
          <t>acondicionador</t>
        </is>
      </c>
      <c r="M1602" s="2" t="inlineStr">
        <is>
          <t>profesional</t>
        </is>
      </c>
      <c r="N1602" s="2" t="inlineStr">
        <is>
          <t>seco_danado</t>
        </is>
      </c>
      <c r="O1602" s="2" t="inlineStr">
        <is>
          <t>https://www.jumbo.com.ar/acondicionador-pro-v-miracles-detox-200-ml-pantene-2/p</t>
        </is>
      </c>
    </row>
    <row r="1603">
      <c r="A1603" t="inlineStr">
        <is>
          <t>Jumbo</t>
        </is>
      </c>
      <c r="B1603" t="n">
        <v>397945</v>
      </c>
      <c r="C1603" t="n">
        <v>395680</v>
      </c>
      <c r="D1603" t="inlineStr">
        <is>
          <t>Acondicionador Pantene Pro-v Fuerza Y Reconstrucción 200 Ml</t>
        </is>
      </c>
      <c r="E1603" t="inlineStr">
        <is>
          <t>PANTENE</t>
        </is>
      </c>
      <c r="F1603" t="n">
        <v>700</v>
      </c>
      <c r="G1603" t="n">
        <v>57851</v>
      </c>
      <c r="H1603" t="b">
        <v>0</v>
      </c>
      <c r="I1603" t="n">
        <v>200</v>
      </c>
      <c r="J1603" t="n">
        <v>3.5</v>
      </c>
      <c r="K1603" t="inlineStr">
        <is>
          <t>&gt; Perfumería &gt; Cuidado Capilar &gt; Acondicionador &gt;</t>
        </is>
      </c>
      <c r="L1603" t="inlineStr">
        <is>
          <t>acondicionador</t>
        </is>
      </c>
      <c r="M1603" t="inlineStr">
        <is>
          <t>profesional</t>
        </is>
      </c>
      <c r="N1603" t="inlineStr">
        <is>
          <t>general</t>
        </is>
      </c>
      <c r="O1603" t="inlineStr">
        <is>
          <t>https://www.jumbo.com.ar/acondicionador-pantene-pro-v-fuerza-y-reconstruccion-200-ml-2/p</t>
        </is>
      </c>
    </row>
    <row r="1604">
      <c r="A1604" s="2" t="inlineStr">
        <is>
          <t>Jumbo</t>
        </is>
      </c>
      <c r="B1604" s="2" t="n">
        <v>394847</v>
      </c>
      <c r="C1604" s="2" t="n">
        <v>392846</v>
      </c>
      <c r="D1604" s="2" t="inlineStr">
        <is>
          <t>Acondicionador Hidrata y Fortalece 750 Ml Pantene</t>
        </is>
      </c>
      <c r="E1604" s="2" t="inlineStr">
        <is>
          <t>PANTENE</t>
        </is>
      </c>
      <c r="F1604" s="2" t="n">
        <v>15650</v>
      </c>
      <c r="G1604" s="2" t="n">
        <v>1293388</v>
      </c>
      <c r="H1604" s="2" t="b">
        <v>0</v>
      </c>
      <c r="I1604" s="2" t="n">
        <v>750</v>
      </c>
      <c r="J1604" s="2" t="n">
        <v>20.8667</v>
      </c>
      <c r="K1604" s="2" t="inlineStr">
        <is>
          <t>&gt; Perfumería &gt; Cuidado Capilar &gt; Acondicionador &gt;</t>
        </is>
      </c>
      <c r="L1604" s="2" t="inlineStr">
        <is>
          <t>acondicionador</t>
        </is>
      </c>
      <c r="M1604" s="2" t="inlineStr">
        <is>
          <t>estandar</t>
        </is>
      </c>
      <c r="N1604" s="2" t="inlineStr">
        <is>
          <t>seco_danado</t>
        </is>
      </c>
      <c r="O1604" s="2" t="inlineStr">
        <is>
          <t>https://www.jumbo.com.ar/acondicionador-pantene-pro-v-750-ml/p</t>
        </is>
      </c>
    </row>
    <row r="1605">
      <c r="A1605" t="inlineStr">
        <is>
          <t>Jumbo</t>
        </is>
      </c>
      <c r="B1605" t="n">
        <v>394830</v>
      </c>
      <c r="C1605" t="n">
        <v>392829</v>
      </c>
      <c r="D1605" t="inlineStr">
        <is>
          <t>Shampoo Pantene Pro-v 750 Ml</t>
        </is>
      </c>
      <c r="E1605" t="inlineStr">
        <is>
          <t>PANTENE</t>
        </is>
      </c>
      <c r="F1605" t="n">
        <v>15650</v>
      </c>
      <c r="G1605" t="n">
        <v>1293388</v>
      </c>
      <c r="H1605" t="b">
        <v>0</v>
      </c>
      <c r="I1605" t="n">
        <v>750</v>
      </c>
      <c r="J1605" t="n">
        <v>20.8667</v>
      </c>
      <c r="K1605" t="inlineStr">
        <is>
          <t>&gt; Perfumería &gt; Cuidado Capilar &gt; Shampoo &gt;</t>
        </is>
      </c>
      <c r="L1605" t="inlineStr">
        <is>
          <t>shampoo</t>
        </is>
      </c>
      <c r="M1605" t="inlineStr">
        <is>
          <t>profesional</t>
        </is>
      </c>
      <c r="N1605" t="inlineStr">
        <is>
          <t>general</t>
        </is>
      </c>
      <c r="O1605" t="inlineStr">
        <is>
          <t>https://www.jumbo.com.ar/shampoo-pantene-pro-v-750-ml/p</t>
        </is>
      </c>
    </row>
    <row r="1606">
      <c r="A1606" s="2" t="inlineStr">
        <is>
          <t>Jumbo</t>
        </is>
      </c>
      <c r="B1606" s="2" t="n">
        <v>394826</v>
      </c>
      <c r="C1606" s="2" t="n">
        <v>392825</v>
      </c>
      <c r="D1606" s="2" t="inlineStr">
        <is>
          <t>Acondicionador Hidratante Pro-v Miracles 200 Ml Pantene</t>
        </is>
      </c>
      <c r="E1606" s="2" t="inlineStr">
        <is>
          <t>PANTENE</t>
        </is>
      </c>
      <c r="F1606" s="2" t="n">
        <v>6200</v>
      </c>
      <c r="G1606" s="2" t="n">
        <v>512397</v>
      </c>
      <c r="H1606" s="2" t="b">
        <v>0</v>
      </c>
      <c r="I1606" s="2" t="n">
        <v>200</v>
      </c>
      <c r="J1606" s="2" t="n">
        <v>31</v>
      </c>
      <c r="K1606" s="2" t="inlineStr">
        <is>
          <t>&gt; Perfumería &gt; Cuidado Capilar &gt; Acondicionador &gt;</t>
        </is>
      </c>
      <c r="L1606" s="2" t="inlineStr">
        <is>
          <t>acondicionador</t>
        </is>
      </c>
      <c r="M1606" s="2" t="inlineStr">
        <is>
          <t>profesional</t>
        </is>
      </c>
      <c r="N1606" s="2" t="inlineStr">
        <is>
          <t>seco_danado</t>
        </is>
      </c>
      <c r="O1606" s="2" t="inlineStr">
        <is>
          <t>https://www.jumbo.com.ar/acondicionador-pro-v-miracles-200-ml-pantene-2/p</t>
        </is>
      </c>
    </row>
    <row r="1607">
      <c r="A1607" t="inlineStr">
        <is>
          <t>Jumbo</t>
        </is>
      </c>
      <c r="B1607" t="n">
        <v>394667</v>
      </c>
      <c r="C1607" t="n">
        <v>392666</v>
      </c>
      <c r="D1607" t="inlineStr">
        <is>
          <t>Shampoo Pantene Frizz Control Rose 270 Ml</t>
        </is>
      </c>
      <c r="E1607" t="inlineStr">
        <is>
          <t>PANTENE</t>
        </is>
      </c>
      <c r="F1607" t="n">
        <v>13150</v>
      </c>
      <c r="G1607" t="n">
        <v>1086777</v>
      </c>
      <c r="H1607" t="b">
        <v>0</v>
      </c>
      <c r="I1607" t="n">
        <v>270</v>
      </c>
      <c r="J1607" t="n">
        <v>48.7037</v>
      </c>
      <c r="K1607" t="inlineStr">
        <is>
          <t>&gt; Perfumería &gt; Cuidado Capilar &gt; Shampoo &gt;</t>
        </is>
      </c>
      <c r="L1607" t="inlineStr">
        <is>
          <t>shampoo</t>
        </is>
      </c>
      <c r="M1607" t="inlineStr">
        <is>
          <t>estandar</t>
        </is>
      </c>
      <c r="N1607" t="inlineStr">
        <is>
          <t>general</t>
        </is>
      </c>
      <c r="O1607" t="inlineStr">
        <is>
          <t>https://www.jumbo.com.ar/shampoo-pantene-frizz-control-rose-270-ml/p</t>
        </is>
      </c>
    </row>
    <row r="1608">
      <c r="A1608" s="2" t="inlineStr">
        <is>
          <t>Jumbo</t>
        </is>
      </c>
      <c r="B1608" s="2" t="n">
        <v>394663</v>
      </c>
      <c r="C1608" s="2" t="n">
        <v>392662</v>
      </c>
      <c r="D1608" s="2" t="inlineStr">
        <is>
          <t>Shampoo Pantene Volume Multiplier Bamboo 270 Ml</t>
        </is>
      </c>
      <c r="E1608" s="2" t="inlineStr">
        <is>
          <t>PANTENE</t>
        </is>
      </c>
      <c r="F1608" s="2" t="n">
        <v>14350</v>
      </c>
      <c r="G1608" s="2" t="n">
        <v>1185950</v>
      </c>
      <c r="H1608" s="2" t="b">
        <v>0</v>
      </c>
      <c r="I1608" s="2" t="n">
        <v>270</v>
      </c>
      <c r="J1608" s="2" t="n">
        <v>53.1481</v>
      </c>
      <c r="K1608" s="2" t="inlineStr">
        <is>
          <t>&gt; Perfumería &gt; Cuidado Capilar &gt; Shampoo &gt;</t>
        </is>
      </c>
      <c r="L1608" s="2" t="inlineStr">
        <is>
          <t>shampoo</t>
        </is>
      </c>
      <c r="M1608" s="2" t="inlineStr">
        <is>
          <t>estandar</t>
        </is>
      </c>
      <c r="N1608" s="2" t="inlineStr">
        <is>
          <t>general</t>
        </is>
      </c>
      <c r="O1608" s="2" t="inlineStr">
        <is>
          <t>https://www.jumbo.com.ar/shampoo-pantene-volume-multiplier-bamboo-270-ml/p</t>
        </is>
      </c>
    </row>
    <row r="1609">
      <c r="A1609" t="inlineStr">
        <is>
          <t>Jumbo</t>
        </is>
      </c>
      <c r="B1609" t="n">
        <v>394645</v>
      </c>
      <c r="C1609" t="n">
        <v>392644</v>
      </c>
      <c r="D1609" t="inlineStr">
        <is>
          <t>Acondicionador Frizz Control Rose 235 Ml Pantene</t>
        </is>
      </c>
      <c r="E1609" t="inlineStr">
        <is>
          <t>PANTENE</t>
        </is>
      </c>
      <c r="F1609" t="n">
        <v>14050</v>
      </c>
      <c r="G1609" t="n">
        <v>1161157</v>
      </c>
      <c r="H1609" t="b">
        <v>0</v>
      </c>
      <c r="I1609" t="n">
        <v>235</v>
      </c>
      <c r="J1609" t="n">
        <v>59.7872</v>
      </c>
      <c r="K1609" t="inlineStr">
        <is>
          <t>&gt; Perfumería &gt; Cuidado Capilar &gt; Acondicionador &gt;</t>
        </is>
      </c>
      <c r="L1609" t="inlineStr">
        <is>
          <t>acondicionador</t>
        </is>
      </c>
      <c r="M1609" t="inlineStr">
        <is>
          <t>estandar</t>
        </is>
      </c>
      <c r="N1609" t="inlineStr">
        <is>
          <t>general</t>
        </is>
      </c>
      <c r="O1609" t="inlineStr">
        <is>
          <t>https://www.jumbo.com.ar/acondicionador-frizz-control-rose-235-ml-pantene/p</t>
        </is>
      </c>
    </row>
    <row r="1610">
      <c r="A1610" s="2" t="inlineStr">
        <is>
          <t>Jumbo</t>
        </is>
      </c>
      <c r="B1610" s="2" t="n">
        <v>394643</v>
      </c>
      <c r="C1610" s="2" t="n">
        <v>392642</v>
      </c>
      <c r="D1610" s="2" t="inlineStr">
        <is>
          <t>Tratamiento Engrosador Pantene Volume Multiplier Bamboo 110 Ml</t>
        </is>
      </c>
      <c r="E1610" s="2" t="inlineStr">
        <is>
          <t>PANTENE</t>
        </is>
      </c>
      <c r="F1610" s="2" t="n">
        <v>2767.99</v>
      </c>
      <c r="G1610" s="2" t="n">
        <v>228760</v>
      </c>
      <c r="H1610" s="2" t="b">
        <v>0</v>
      </c>
      <c r="I1610" s="2" t="n">
        <v>110</v>
      </c>
      <c r="J1610" s="2" t="n">
        <v>25.1635</v>
      </c>
      <c r="K1610" s="2" t="inlineStr">
        <is>
          <t>&gt; Perfumería &gt; Cuidado Capilar &gt; Reparación y Tratamientos &gt;</t>
        </is>
      </c>
      <c r="L1610" s="2" t="inlineStr">
        <is>
          <t>tratamiento</t>
        </is>
      </c>
      <c r="M1610" s="2" t="inlineStr">
        <is>
          <t>estandar</t>
        </is>
      </c>
      <c r="N1610" s="2" t="inlineStr">
        <is>
          <t>general</t>
        </is>
      </c>
      <c r="O1610" s="2" t="inlineStr">
        <is>
          <t>https://www.jumbo.com.ar/tratamiento-engrosador-pantene-volume-multiplier-bamboo-110-ml/p</t>
        </is>
      </c>
    </row>
    <row r="1611">
      <c r="A1611" t="inlineStr">
        <is>
          <t>Jumbo</t>
        </is>
      </c>
      <c r="B1611" t="n">
        <v>393766</v>
      </c>
      <c r="C1611" t="n">
        <v>391787</v>
      </c>
      <c r="D1611" t="inlineStr">
        <is>
          <t>Acond Pantene Prov Bambu 700ml</t>
        </is>
      </c>
      <c r="E1611" t="inlineStr">
        <is>
          <t>PANTENE</t>
        </is>
      </c>
      <c r="F1611" t="n">
        <v>2900</v>
      </c>
      <c r="G1611" t="n">
        <v>239669</v>
      </c>
      <c r="H1611" t="b">
        <v>0</v>
      </c>
      <c r="I1611" t="n">
        <v>700</v>
      </c>
      <c r="J1611" t="n">
        <v>4.1429</v>
      </c>
      <c r="K1611" t="inlineStr">
        <is>
          <t>&gt; Perfumería &gt; Cuidado Capilar &gt; Acondicionador &gt;</t>
        </is>
      </c>
      <c r="L1611" t="inlineStr">
        <is>
          <t>shampoo</t>
        </is>
      </c>
      <c r="M1611" t="inlineStr">
        <is>
          <t>profesional</t>
        </is>
      </c>
      <c r="N1611" t="inlineStr">
        <is>
          <t>general</t>
        </is>
      </c>
      <c r="O1611" t="inlineStr">
        <is>
          <t>https://www.jumbo.com.ar/acond-pantene-prov-bambu-700ml/p</t>
        </is>
      </c>
    </row>
    <row r="1612">
      <c r="A1612" s="2" t="inlineStr">
        <is>
          <t>Jumbo</t>
        </is>
      </c>
      <c r="B1612" s="2" t="n">
        <v>393765</v>
      </c>
      <c r="C1612" s="2" t="n">
        <v>391786</v>
      </c>
      <c r="D1612" s="2" t="inlineStr">
        <is>
          <t>Pantene Pro-v Solutions Rizos Definidos Acondicionador 400 Ml</t>
        </is>
      </c>
      <c r="E1612" s="2" t="inlineStr">
        <is>
          <t>PANTENE</t>
        </is>
      </c>
      <c r="F1612" s="2" t="n">
        <v>1650</v>
      </c>
      <c r="G1612" s="2" t="n">
        <v>136364</v>
      </c>
      <c r="H1612" s="2" t="b">
        <v>0</v>
      </c>
      <c r="I1612" s="2" t="n">
        <v>400</v>
      </c>
      <c r="J1612" s="2" t="n">
        <v>4.125</v>
      </c>
      <c r="K1612" s="2" t="inlineStr">
        <is>
          <t>&gt; Perfumería &gt; Cuidado Capilar &gt; Acondicionador &gt;</t>
        </is>
      </c>
      <c r="L1612" s="2" t="inlineStr">
        <is>
          <t>acondicionador</t>
        </is>
      </c>
      <c r="M1612" s="2" t="inlineStr">
        <is>
          <t>profesional</t>
        </is>
      </c>
      <c r="N1612" s="2" t="inlineStr">
        <is>
          <t>rizado</t>
        </is>
      </c>
      <c r="O1612" s="2" t="inlineStr">
        <is>
          <t>https://www.jumbo.com.ar/pantene-pro-v-solutions-rizos-definidos-acondicionador-400-ml/p</t>
        </is>
      </c>
    </row>
    <row r="1613">
      <c r="A1613" t="inlineStr">
        <is>
          <t>Jumbo</t>
        </is>
      </c>
      <c r="B1613" t="n">
        <v>393764</v>
      </c>
      <c r="C1613" t="n">
        <v>391785</v>
      </c>
      <c r="D1613" t="inlineStr">
        <is>
          <t>Acondicionador Pantene Pro-v Brillo Extremo 400 Ml</t>
        </is>
      </c>
      <c r="E1613" t="inlineStr">
        <is>
          <t>PANTENE</t>
        </is>
      </c>
      <c r="F1613" t="n">
        <v>10000</v>
      </c>
      <c r="G1613" t="n">
        <v>826446</v>
      </c>
      <c r="H1613" t="b">
        <v>0</v>
      </c>
      <c r="I1613" t="n">
        <v>400</v>
      </c>
      <c r="J1613" t="n">
        <v>25</v>
      </c>
      <c r="K1613" t="inlineStr">
        <is>
          <t>&gt; Perfumería &gt; Cuidado Capilar &gt; Acondicionador &gt;</t>
        </is>
      </c>
      <c r="L1613" t="inlineStr">
        <is>
          <t>acondicionador</t>
        </is>
      </c>
      <c r="M1613" t="inlineStr">
        <is>
          <t>profesional</t>
        </is>
      </c>
      <c r="N1613" t="inlineStr">
        <is>
          <t>general</t>
        </is>
      </c>
      <c r="O1613" t="inlineStr">
        <is>
          <t>https://www.jumbo.com.ar/acondicionador-pantene-pro-v-brillo-extremo-400-ml-2/p</t>
        </is>
      </c>
    </row>
    <row r="1614">
      <c r="A1614" s="2" t="inlineStr">
        <is>
          <t>Jumbo</t>
        </is>
      </c>
      <c r="B1614" s="2" t="n">
        <v>393763</v>
      </c>
      <c r="C1614" s="2" t="n">
        <v>391784</v>
      </c>
      <c r="D1614" s="2" t="inlineStr">
        <is>
          <t>Acondicionador Pantene Pro-v Bambu 400 Ml</t>
        </is>
      </c>
      <c r="E1614" s="2" t="inlineStr">
        <is>
          <t>PANTENE</t>
        </is>
      </c>
      <c r="F1614" s="2" t="n">
        <v>10000</v>
      </c>
      <c r="G1614" s="2" t="n">
        <v>826446</v>
      </c>
      <c r="H1614" s="2" t="b">
        <v>0</v>
      </c>
      <c r="I1614" s="2" t="n">
        <v>400</v>
      </c>
      <c r="J1614" s="2" t="n">
        <v>25</v>
      </c>
      <c r="K1614" s="2" t="inlineStr">
        <is>
          <t>&gt; Perfumería &gt; Cuidado Capilar &gt; Acondicionador &gt;</t>
        </is>
      </c>
      <c r="L1614" s="2" t="inlineStr">
        <is>
          <t>acondicionador</t>
        </is>
      </c>
      <c r="M1614" s="2" t="inlineStr">
        <is>
          <t>profesional</t>
        </is>
      </c>
      <c r="N1614" s="2" t="inlineStr">
        <is>
          <t>general</t>
        </is>
      </c>
      <c r="O1614" s="2" t="inlineStr">
        <is>
          <t>https://www.jumbo.com.ar/acondicionador-pantene-pro-v-bambu-400-ml-2/p</t>
        </is>
      </c>
    </row>
    <row r="1615">
      <c r="A1615" t="inlineStr">
        <is>
          <t>Jumbo</t>
        </is>
      </c>
      <c r="B1615" t="n">
        <v>393667</v>
      </c>
      <c r="C1615" t="n">
        <v>391695</v>
      </c>
      <c r="D1615" t="inlineStr">
        <is>
          <t>Acond Pantene Prov Brillo Extremo 750ml</t>
        </is>
      </c>
      <c r="E1615" t="inlineStr">
        <is>
          <t>PANTENE</t>
        </is>
      </c>
      <c r="F1615" t="n">
        <v>3250</v>
      </c>
      <c r="G1615" t="n">
        <v>268595</v>
      </c>
      <c r="H1615" t="b">
        <v>0</v>
      </c>
      <c r="I1615" t="n">
        <v>750</v>
      </c>
      <c r="J1615" t="n">
        <v>4.3333</v>
      </c>
      <c r="K1615" t="inlineStr">
        <is>
          <t>&gt; Perfumería &gt; Cuidado Capilar &gt; Acondicionador &gt;</t>
        </is>
      </c>
      <c r="L1615" t="inlineStr">
        <is>
          <t>shampoo</t>
        </is>
      </c>
      <c r="M1615" t="inlineStr">
        <is>
          <t>profesional</t>
        </is>
      </c>
      <c r="N1615" t="inlineStr">
        <is>
          <t>general</t>
        </is>
      </c>
      <c r="O1615" t="inlineStr">
        <is>
          <t>https://www.jumbo.com.ar/acond-pantene-prov-brillo-extremo-750ml/p</t>
        </is>
      </c>
    </row>
    <row r="1616">
      <c r="A1616" s="2" t="inlineStr">
        <is>
          <t>Jumbo</t>
        </is>
      </c>
      <c r="B1616" s="2" t="n">
        <v>393666</v>
      </c>
      <c r="C1616" s="2" t="n">
        <v>391694</v>
      </c>
      <c r="D1616" s="2" t="inlineStr">
        <is>
          <t>Acondicionador Pantene Pro-v Brillo Extremo 200 Ml</t>
        </is>
      </c>
      <c r="E1616" s="2" t="inlineStr">
        <is>
          <t>PANTENE</t>
        </is>
      </c>
      <c r="F1616" s="2" t="n">
        <v>1150</v>
      </c>
      <c r="G1616" s="2" t="n">
        <v>95041</v>
      </c>
      <c r="H1616" s="2" t="b">
        <v>0</v>
      </c>
      <c r="I1616" s="2" t="n">
        <v>200</v>
      </c>
      <c r="J1616" s="2" t="n">
        <v>5.75</v>
      </c>
      <c r="K1616" s="2" t="inlineStr">
        <is>
          <t>&gt; Perfumería &gt; Cuidado Capilar &gt; Acondicionador &gt;</t>
        </is>
      </c>
      <c r="L1616" s="2" t="inlineStr">
        <is>
          <t>acondicionador</t>
        </is>
      </c>
      <c r="M1616" s="2" t="inlineStr">
        <is>
          <t>profesional</t>
        </is>
      </c>
      <c r="N1616" s="2" t="inlineStr">
        <is>
          <t>general</t>
        </is>
      </c>
      <c r="O1616" s="2" t="inlineStr">
        <is>
          <t>https://www.jumbo.com.ar/acondicionador-pantene-pro-v-brillo-extremo-200-ml-2/p</t>
        </is>
      </c>
    </row>
    <row r="1617">
      <c r="A1617" t="inlineStr">
        <is>
          <t>Jumbo</t>
        </is>
      </c>
      <c r="B1617" t="n">
        <v>393665</v>
      </c>
      <c r="C1617" t="n">
        <v>391693</v>
      </c>
      <c r="D1617" t="inlineStr">
        <is>
          <t>Acond Pantene Prov Hidrata 200ml</t>
        </is>
      </c>
      <c r="E1617" t="inlineStr">
        <is>
          <t>PANTENE</t>
        </is>
      </c>
      <c r="F1617" t="n">
        <v>1000</v>
      </c>
      <c r="G1617" t="n">
        <v>82645</v>
      </c>
      <c r="H1617" t="b">
        <v>0</v>
      </c>
      <c r="I1617" t="n">
        <v>200</v>
      </c>
      <c r="J1617" t="n">
        <v>5</v>
      </c>
      <c r="K1617" t="inlineStr">
        <is>
          <t>&gt; Perfumería &gt; Cuidado Capilar &gt; Acondicionador &gt;</t>
        </is>
      </c>
      <c r="L1617" t="inlineStr">
        <is>
          <t>shampoo</t>
        </is>
      </c>
      <c r="M1617" t="inlineStr">
        <is>
          <t>profesional</t>
        </is>
      </c>
      <c r="N1617" t="inlineStr">
        <is>
          <t>seco_danado</t>
        </is>
      </c>
      <c r="O1617" t="inlineStr">
        <is>
          <t>https://www.jumbo.com.ar/acond-pantene-prov-hidrata-200ml/p</t>
        </is>
      </c>
    </row>
    <row r="1618">
      <c r="A1618" s="2" t="inlineStr">
        <is>
          <t>Jumbo</t>
        </is>
      </c>
      <c r="B1618" s="2" t="n">
        <v>393664</v>
      </c>
      <c r="C1618" s="2" t="n">
        <v>391692</v>
      </c>
      <c r="D1618" s="2" t="inlineStr">
        <is>
          <t>Acond Pantene Prov Cuidado Clasico 400ml</t>
        </is>
      </c>
      <c r="E1618" s="2" t="inlineStr">
        <is>
          <t>PANTENE</t>
        </is>
      </c>
      <c r="F1618" s="2" t="n">
        <v>461.29</v>
      </c>
      <c r="G1618" s="2" t="n">
        <v>38123</v>
      </c>
      <c r="H1618" s="2" t="b">
        <v>0</v>
      </c>
      <c r="I1618" s="2" t="n">
        <v>400</v>
      </c>
      <c r="J1618" s="2" t="n">
        <v>1.1532</v>
      </c>
      <c r="K1618" s="2" t="inlineStr">
        <is>
          <t>&gt; Perfumería &gt; Cuidado Capilar &gt; Acondicionador &gt;</t>
        </is>
      </c>
      <c r="L1618" s="2" t="inlineStr">
        <is>
          <t>shampoo</t>
        </is>
      </c>
      <c r="M1618" s="2" t="inlineStr">
        <is>
          <t>profesional</t>
        </is>
      </c>
      <c r="N1618" s="2" t="inlineStr">
        <is>
          <t>general</t>
        </is>
      </c>
      <c r="O1618" s="2" t="inlineStr">
        <is>
          <t>https://www.jumbo.com.ar/acond-pantene-prov-cuidado-clasico-400ml/p</t>
        </is>
      </c>
    </row>
    <row r="1619">
      <c r="A1619" t="inlineStr">
        <is>
          <t>Jumbo</t>
        </is>
      </c>
      <c r="B1619" t="n">
        <v>393660</v>
      </c>
      <c r="C1619" t="n">
        <v>391688</v>
      </c>
      <c r="D1619" t="inlineStr">
        <is>
          <t>Acondicionador Pantene Pro-v Restauración 200 Ml</t>
        </is>
      </c>
      <c r="E1619" t="inlineStr">
        <is>
          <t>PANTENE</t>
        </is>
      </c>
      <c r="F1619" t="n">
        <v>4950</v>
      </c>
      <c r="G1619" t="n">
        <v>409091</v>
      </c>
      <c r="H1619" t="b">
        <v>0</v>
      </c>
      <c r="I1619" t="n">
        <v>200</v>
      </c>
      <c r="J1619" t="n">
        <v>24.75</v>
      </c>
      <c r="K1619" t="inlineStr">
        <is>
          <t>&gt; Perfumería &gt; Cuidado Capilar &gt; Acondicionador &gt;</t>
        </is>
      </c>
      <c r="L1619" t="inlineStr">
        <is>
          <t>acondicionador</t>
        </is>
      </c>
      <c r="M1619" t="inlineStr">
        <is>
          <t>profesional</t>
        </is>
      </c>
      <c r="N1619" t="inlineStr">
        <is>
          <t>general</t>
        </is>
      </c>
      <c r="O1619" t="inlineStr">
        <is>
          <t>https://www.jumbo.com.ar/acondicionador-pantene-pro-v-restauracion-200-ml-2/p</t>
        </is>
      </c>
    </row>
    <row r="1620">
      <c r="A1620" s="2" t="inlineStr">
        <is>
          <t>Jumbo</t>
        </is>
      </c>
      <c r="B1620" s="2" t="n">
        <v>393657</v>
      </c>
      <c r="C1620" s="2" t="n">
        <v>391685</v>
      </c>
      <c r="D1620" s="2" t="inlineStr">
        <is>
          <t>Acondicionador Restauración Pro-V 400 Ml Pantene</t>
        </is>
      </c>
      <c r="E1620" s="2" t="inlineStr">
        <is>
          <t>PANTENE</t>
        </is>
      </c>
      <c r="F1620" s="2" t="n">
        <v>10000</v>
      </c>
      <c r="G1620" s="2" t="n">
        <v>826446</v>
      </c>
      <c r="H1620" s="2" t="b">
        <v>0</v>
      </c>
      <c r="I1620" s="2" t="n">
        <v>400</v>
      </c>
      <c r="J1620" s="2" t="n">
        <v>25</v>
      </c>
      <c r="K1620" s="2" t="inlineStr">
        <is>
          <t>&gt; Perfumería &gt; Cuidado Capilar &gt; Acondicionador &gt;</t>
        </is>
      </c>
      <c r="L1620" s="2" t="inlineStr">
        <is>
          <t>acondicionador</t>
        </is>
      </c>
      <c r="M1620" s="2" t="inlineStr">
        <is>
          <t>profesional</t>
        </is>
      </c>
      <c r="N1620" s="2" t="inlineStr">
        <is>
          <t>general</t>
        </is>
      </c>
      <c r="O1620" s="2" t="inlineStr">
        <is>
          <t>https://www.jumbo.com.ar/acondicionador-pro-v-solutions-restauracion-400-ml-pantene/p</t>
        </is>
      </c>
    </row>
    <row r="1621">
      <c r="A1621" t="inlineStr">
        <is>
          <t>Jumbo</t>
        </is>
      </c>
      <c r="B1621" t="n">
        <v>393656</v>
      </c>
      <c r="C1621" t="n">
        <v>391684</v>
      </c>
      <c r="D1621" t="inlineStr">
        <is>
          <t>Acond Pantene Prov Hidratacion Extr 200ml</t>
        </is>
      </c>
      <c r="E1621" t="inlineStr">
        <is>
          <t>PANTENE</t>
        </is>
      </c>
      <c r="F1621" t="n">
        <v>627.83</v>
      </c>
      <c r="G1621" t="n">
        <v>51887</v>
      </c>
      <c r="H1621" t="b">
        <v>0</v>
      </c>
      <c r="I1621" t="n">
        <v>200</v>
      </c>
      <c r="J1621" t="n">
        <v>3.1392</v>
      </c>
      <c r="K1621" t="inlineStr">
        <is>
          <t>&gt; Perfumería &gt; Cuidado Capilar &gt; Acondicionador &gt;</t>
        </is>
      </c>
      <c r="L1621" t="inlineStr">
        <is>
          <t>shampoo</t>
        </is>
      </c>
      <c r="M1621" t="inlineStr">
        <is>
          <t>profesional</t>
        </is>
      </c>
      <c r="N1621" t="inlineStr">
        <is>
          <t>seco_danado</t>
        </is>
      </c>
      <c r="O1621" t="inlineStr">
        <is>
          <t>https://www.jumbo.com.ar/acond-pantene-prov-hidratacion-extr-200ml/p</t>
        </is>
      </c>
    </row>
    <row r="1622">
      <c r="A1622" s="2" t="inlineStr">
        <is>
          <t>Jumbo</t>
        </is>
      </c>
      <c r="B1622" s="2" t="n">
        <v>393651</v>
      </c>
      <c r="C1622" s="2" t="n">
        <v>391679</v>
      </c>
      <c r="D1622" s="2" t="inlineStr">
        <is>
          <t>Acondicionador Pantene Pro-v Solutions Control Caída 400 Ml</t>
        </is>
      </c>
      <c r="E1622" s="2" t="inlineStr">
        <is>
          <t>PANTENE</t>
        </is>
      </c>
      <c r="F1622" s="2" t="n">
        <v>10000</v>
      </c>
      <c r="G1622" s="2" t="n">
        <v>826446</v>
      </c>
      <c r="H1622" s="2" t="b">
        <v>0</v>
      </c>
      <c r="I1622" s="2" t="n">
        <v>400</v>
      </c>
      <c r="J1622" s="2" t="n">
        <v>25</v>
      </c>
      <c r="K1622" s="2" t="inlineStr">
        <is>
          <t>&gt; Perfumería &gt; Cuidado Capilar &gt; Acondicionador &gt;</t>
        </is>
      </c>
      <c r="L1622" s="2" t="inlineStr">
        <is>
          <t>acondicionador</t>
        </is>
      </c>
      <c r="M1622" s="2" t="inlineStr">
        <is>
          <t>profesional</t>
        </is>
      </c>
      <c r="N1622" s="2" t="inlineStr">
        <is>
          <t>general</t>
        </is>
      </c>
      <c r="O1622" s="2" t="inlineStr">
        <is>
          <t>https://www.jumbo.com.ar/acondicionador-pantene-pro-v-solutions-control-caida-400-ml/p</t>
        </is>
      </c>
    </row>
    <row r="1623">
      <c r="A1623" t="inlineStr">
        <is>
          <t>Jumbo</t>
        </is>
      </c>
      <c r="B1623" t="n">
        <v>393644</v>
      </c>
      <c r="C1623" t="n">
        <v>391672</v>
      </c>
      <c r="D1623" t="inlineStr">
        <is>
          <t>Acondicionador Pantene Pro-v Bambu 200 Ml</t>
        </is>
      </c>
      <c r="E1623" t="inlineStr">
        <is>
          <t>PANTENE</t>
        </is>
      </c>
      <c r="F1623" t="n">
        <v>1400</v>
      </c>
      <c r="G1623" t="n">
        <v>115702</v>
      </c>
      <c r="H1623" t="b">
        <v>0</v>
      </c>
      <c r="I1623" t="n">
        <v>200</v>
      </c>
      <c r="J1623" t="n">
        <v>7</v>
      </c>
      <c r="K1623" t="inlineStr">
        <is>
          <t>&gt; Perfumería &gt; Cuidado Capilar &gt; Acondicionador &gt;</t>
        </is>
      </c>
      <c r="L1623" t="inlineStr">
        <is>
          <t>acondicionador</t>
        </is>
      </c>
      <c r="M1623" t="inlineStr">
        <is>
          <t>profesional</t>
        </is>
      </c>
      <c r="N1623" t="inlineStr">
        <is>
          <t>general</t>
        </is>
      </c>
      <c r="O1623" t="inlineStr">
        <is>
          <t>https://www.jumbo.com.ar/acondicionador-pantene-pro-v-bambu-200-ml-2/p</t>
        </is>
      </c>
    </row>
    <row r="1624">
      <c r="A1624" s="2" t="inlineStr">
        <is>
          <t>Jumbo</t>
        </is>
      </c>
      <c r="B1624" s="2" t="n">
        <v>393612</v>
      </c>
      <c r="C1624" s="2" t="n">
        <v>391640</v>
      </c>
      <c r="D1624" s="2" t="inlineStr">
        <is>
          <t>Acondicionador Pantene Pro-v Fuerza Reconstrucción 400 Ml</t>
        </is>
      </c>
      <c r="E1624" s="2" t="inlineStr">
        <is>
          <t>PANTENE</t>
        </is>
      </c>
      <c r="F1624" s="2" t="n">
        <v>1850</v>
      </c>
      <c r="G1624" s="2" t="n">
        <v>152893</v>
      </c>
      <c r="H1624" s="2" t="b">
        <v>0</v>
      </c>
      <c r="I1624" s="2" t="n">
        <v>400</v>
      </c>
      <c r="J1624" s="2" t="n">
        <v>4.625</v>
      </c>
      <c r="K1624" s="2" t="inlineStr">
        <is>
          <t>&gt; Perfumería &gt; Cuidado Capilar &gt; Acondicionador &gt;</t>
        </is>
      </c>
      <c r="L1624" s="2" t="inlineStr">
        <is>
          <t>acondicionador</t>
        </is>
      </c>
      <c r="M1624" s="2" t="inlineStr">
        <is>
          <t>profesional</t>
        </is>
      </c>
      <c r="N1624" s="2" t="inlineStr">
        <is>
          <t>general</t>
        </is>
      </c>
      <c r="O1624" s="2" t="inlineStr">
        <is>
          <t>https://www.jumbo.com.ar/acondicionador-pantene-pro-v-fuerza-reconstruccion-400-ml/p</t>
        </is>
      </c>
    </row>
    <row r="1625">
      <c r="A1625" t="inlineStr">
        <is>
          <t>Jumbo</t>
        </is>
      </c>
      <c r="B1625" t="n">
        <v>390273</v>
      </c>
      <c r="C1625" t="n">
        <v>388359</v>
      </c>
      <c r="D1625" t="inlineStr">
        <is>
          <t>Shampoo Pantene Prov Fuerza Y Reco 200ml</t>
        </is>
      </c>
      <c r="E1625" t="inlineStr">
        <is>
          <t>PANTENE</t>
        </is>
      </c>
      <c r="F1625" t="n">
        <v>379.19</v>
      </c>
      <c r="G1625" t="n">
        <v>31338</v>
      </c>
      <c r="H1625" t="b">
        <v>0</v>
      </c>
      <c r="I1625" t="n">
        <v>200</v>
      </c>
      <c r="J1625" t="n">
        <v>1.896</v>
      </c>
      <c r="K1625" t="inlineStr">
        <is>
          <t>&gt; Perfumería &gt; Cuidado Capilar &gt; Shampoo &gt;</t>
        </is>
      </c>
      <c r="L1625" t="inlineStr">
        <is>
          <t>shampoo</t>
        </is>
      </c>
      <c r="M1625" t="inlineStr">
        <is>
          <t>profesional</t>
        </is>
      </c>
      <c r="N1625" t="inlineStr">
        <is>
          <t>general</t>
        </is>
      </c>
      <c r="O1625" t="inlineStr">
        <is>
          <t>https://www.jumbo.com.ar/shampoo-pantene-prov-fuerza-y-reco-200ml/p</t>
        </is>
      </c>
    </row>
    <row r="1626">
      <c r="A1626" s="2" t="inlineStr">
        <is>
          <t>Jumbo</t>
        </is>
      </c>
      <c r="B1626" s="2" t="n">
        <v>390268</v>
      </c>
      <c r="C1626" s="2" t="n">
        <v>388354</v>
      </c>
      <c r="D1626" s="2" t="inlineStr">
        <is>
          <t>Shampoo Pantene Pro-v Fuerza Y Reconstrucción 750 Ml</t>
        </is>
      </c>
      <c r="E1626" s="2" t="inlineStr">
        <is>
          <t>PANTENE</t>
        </is>
      </c>
      <c r="F1626" s="2" t="n">
        <v>1612.49</v>
      </c>
      <c r="G1626" s="2" t="n">
        <v>133264</v>
      </c>
      <c r="H1626" s="2" t="b">
        <v>0</v>
      </c>
      <c r="I1626" s="2" t="n">
        <v>750</v>
      </c>
      <c r="J1626" s="2" t="n">
        <v>2.15</v>
      </c>
      <c r="K1626" s="2" t="inlineStr">
        <is>
          <t>&gt; Perfumería &gt; Cuidado Capilar &gt; Shampoo &gt;</t>
        </is>
      </c>
      <c r="L1626" s="2" t="inlineStr">
        <is>
          <t>shampoo</t>
        </is>
      </c>
      <c r="M1626" s="2" t="inlineStr">
        <is>
          <t>profesional</t>
        </is>
      </c>
      <c r="N1626" s="2" t="inlineStr">
        <is>
          <t>general</t>
        </is>
      </c>
      <c r="O1626" s="2" t="inlineStr">
        <is>
          <t>https://www.jumbo.com.ar/shampoo-pantene-pro-v-fuerza-y-reconstruccion-750-ml-2/p</t>
        </is>
      </c>
    </row>
    <row r="1627">
      <c r="A1627" t="inlineStr">
        <is>
          <t>Jumbo</t>
        </is>
      </c>
      <c r="B1627" t="n">
        <v>390238</v>
      </c>
      <c r="C1627" t="n">
        <v>388329</v>
      </c>
      <c r="D1627" t="inlineStr">
        <is>
          <t>Shampoo Pantene Prov Cuidado Clasico 400ml</t>
        </is>
      </c>
      <c r="E1627" t="inlineStr">
        <is>
          <t>PANTENE</t>
        </is>
      </c>
      <c r="F1627" t="n">
        <v>461.29</v>
      </c>
      <c r="G1627" t="n">
        <v>38123</v>
      </c>
      <c r="H1627" t="b">
        <v>0</v>
      </c>
      <c r="I1627" t="n">
        <v>400</v>
      </c>
      <c r="J1627" t="n">
        <v>1.1532</v>
      </c>
      <c r="K1627" t="inlineStr">
        <is>
          <t>&gt; Perfumería &gt; Cuidado Capilar &gt; Shampoo &gt;</t>
        </is>
      </c>
      <c r="L1627" t="inlineStr">
        <is>
          <t>shampoo</t>
        </is>
      </c>
      <c r="M1627" t="inlineStr">
        <is>
          <t>profesional</t>
        </is>
      </c>
      <c r="N1627" t="inlineStr">
        <is>
          <t>general</t>
        </is>
      </c>
      <c r="O1627" t="inlineStr">
        <is>
          <t>https://www.jumbo.com.ar/shampoo-pantene-prov-cuidado-clasico-400ml/p</t>
        </is>
      </c>
    </row>
    <row r="1628">
      <c r="A1628" s="2" t="inlineStr">
        <is>
          <t>Jumbo</t>
        </is>
      </c>
      <c r="B1628" s="2" t="n">
        <v>390237</v>
      </c>
      <c r="C1628" s="2" t="n">
        <v>388328</v>
      </c>
      <c r="D1628" s="2" t="inlineStr">
        <is>
          <t>Shampoo Pantene Prov Brillo Extremo 200ml</t>
        </is>
      </c>
      <c r="E1628" s="2" t="inlineStr">
        <is>
          <t>PANTENE</t>
        </is>
      </c>
      <c r="F1628" s="2" t="n">
        <v>745.99</v>
      </c>
      <c r="G1628" s="2" t="n">
        <v>61652</v>
      </c>
      <c r="H1628" s="2" t="b">
        <v>0</v>
      </c>
      <c r="I1628" s="2" t="n">
        <v>200</v>
      </c>
      <c r="J1628" s="2" t="n">
        <v>3.73</v>
      </c>
      <c r="K1628" s="2" t="inlineStr">
        <is>
          <t>&gt; Perfumería &gt; Cuidado Capilar &gt; Shampoo &gt;</t>
        </is>
      </c>
      <c r="L1628" s="2" t="inlineStr">
        <is>
          <t>shampoo</t>
        </is>
      </c>
      <c r="M1628" s="2" t="inlineStr">
        <is>
          <t>profesional</t>
        </is>
      </c>
      <c r="N1628" s="2" t="inlineStr">
        <is>
          <t>general</t>
        </is>
      </c>
      <c r="O1628" s="2" t="inlineStr">
        <is>
          <t>https://www.jumbo.com.ar/shampoo-pantene-prov-brillo-extremo-200ml/p</t>
        </is>
      </c>
    </row>
    <row r="1629">
      <c r="A1629" t="inlineStr">
        <is>
          <t>Jumbo</t>
        </is>
      </c>
      <c r="B1629" t="n">
        <v>390236</v>
      </c>
      <c r="C1629" t="n">
        <v>388327</v>
      </c>
      <c r="D1629" t="inlineStr">
        <is>
          <t>Shampoo Pantene Prov Cuidado Clasico 200ml</t>
        </is>
      </c>
      <c r="E1629" t="inlineStr">
        <is>
          <t>PANTENE</t>
        </is>
      </c>
      <c r="F1629" t="n">
        <v>325.69</v>
      </c>
      <c r="G1629" t="n">
        <v>26917</v>
      </c>
      <c r="H1629" t="b">
        <v>0</v>
      </c>
      <c r="I1629" t="n">
        <v>200</v>
      </c>
      <c r="J1629" t="n">
        <v>1.6284</v>
      </c>
      <c r="K1629" t="inlineStr">
        <is>
          <t>&gt; Perfumería &gt; Cuidado Capilar &gt; Shampoo &gt;</t>
        </is>
      </c>
      <c r="L1629" t="inlineStr">
        <is>
          <t>shampoo</t>
        </is>
      </c>
      <c r="M1629" t="inlineStr">
        <is>
          <t>profesional</t>
        </is>
      </c>
      <c r="N1629" t="inlineStr">
        <is>
          <t>general</t>
        </is>
      </c>
      <c r="O1629" t="inlineStr">
        <is>
          <t>https://www.jumbo.com.ar/shampoo-pantene-prov-cuidado-clasico-200ml/p</t>
        </is>
      </c>
    </row>
    <row r="1630">
      <c r="A1630" s="2" t="inlineStr">
        <is>
          <t>Jumbo</t>
        </is>
      </c>
      <c r="B1630" s="2" t="n">
        <v>390235</v>
      </c>
      <c r="C1630" s="2" t="n">
        <v>388326</v>
      </c>
      <c r="D1630" s="2" t="inlineStr">
        <is>
          <t>Shampoo Pantene Pro-v Hidrata 200 Ml</t>
        </is>
      </c>
      <c r="E1630" s="2" t="inlineStr">
        <is>
          <t>PANTENE</t>
        </is>
      </c>
      <c r="F1630" s="2" t="n">
        <v>1100</v>
      </c>
      <c r="G1630" s="2" t="n">
        <v>90909</v>
      </c>
      <c r="H1630" s="2" t="b">
        <v>0</v>
      </c>
      <c r="I1630" s="2" t="n">
        <v>200</v>
      </c>
      <c r="J1630" s="2" t="n">
        <v>5.5</v>
      </c>
      <c r="K1630" s="2" t="inlineStr">
        <is>
          <t>&gt; Perfumería &gt; Cuidado Capilar &gt; Shampoo &gt;</t>
        </is>
      </c>
      <c r="L1630" s="2" t="inlineStr">
        <is>
          <t>shampoo</t>
        </is>
      </c>
      <c r="M1630" s="2" t="inlineStr">
        <is>
          <t>profesional</t>
        </is>
      </c>
      <c r="N1630" s="2" t="inlineStr">
        <is>
          <t>seco_danado</t>
        </is>
      </c>
      <c r="O1630" s="2" t="inlineStr">
        <is>
          <t>https://www.jumbo.com.ar/shampoo-pantene-pro-v-hidrata-200-ml/p</t>
        </is>
      </c>
    </row>
    <row r="1631">
      <c r="A1631" t="inlineStr">
        <is>
          <t>Jumbo</t>
        </is>
      </c>
      <c r="B1631" t="n">
        <v>390233</v>
      </c>
      <c r="C1631" t="n">
        <v>388324</v>
      </c>
      <c r="D1631" t="inlineStr">
        <is>
          <t>Shampoo Pantene Pro-v Control Caida 400 Ml</t>
        </is>
      </c>
      <c r="E1631" t="inlineStr">
        <is>
          <t>PANTENE</t>
        </is>
      </c>
      <c r="F1631" t="n">
        <v>6150</v>
      </c>
      <c r="G1631" t="n">
        <v>508264</v>
      </c>
      <c r="H1631" t="b">
        <v>0</v>
      </c>
      <c r="I1631" t="n">
        <v>400</v>
      </c>
      <c r="J1631" t="n">
        <v>15.375</v>
      </c>
      <c r="K1631" t="inlineStr">
        <is>
          <t>&gt; Perfumería &gt; Cuidado Capilar &gt; Shampoo &gt;</t>
        </is>
      </c>
      <c r="L1631" t="inlineStr">
        <is>
          <t>shampoo</t>
        </is>
      </c>
      <c r="M1631" t="inlineStr">
        <is>
          <t>profesional</t>
        </is>
      </c>
      <c r="N1631" t="inlineStr">
        <is>
          <t>general</t>
        </is>
      </c>
      <c r="O1631" t="inlineStr">
        <is>
          <t>https://www.jumbo.com.ar/shampoo-pantene-pro-v-control-caida-400-ml/p</t>
        </is>
      </c>
    </row>
    <row r="1632">
      <c r="A1632" s="2" t="inlineStr">
        <is>
          <t>Jumbo</t>
        </is>
      </c>
      <c r="B1632" s="2" t="n">
        <v>390232</v>
      </c>
      <c r="C1632" s="2" t="n">
        <v>388323</v>
      </c>
      <c r="D1632" s="2" t="inlineStr">
        <is>
          <t>Shampoo Pantene Pro-v Rizos Definidos 400 Ml</t>
        </is>
      </c>
      <c r="E1632" s="2" t="inlineStr">
        <is>
          <t>PANTENE</t>
        </is>
      </c>
      <c r="F1632" s="2" t="n">
        <v>1165.69</v>
      </c>
      <c r="G1632" s="2" t="n">
        <v>96338</v>
      </c>
      <c r="H1632" s="2" t="b">
        <v>0</v>
      </c>
      <c r="I1632" s="2" t="n">
        <v>400</v>
      </c>
      <c r="J1632" s="2" t="n">
        <v>2.9142</v>
      </c>
      <c r="K1632" s="2" t="inlineStr">
        <is>
          <t>&gt; Perfumería &gt; Cuidado Capilar &gt; Shampoo &gt;</t>
        </is>
      </c>
      <c r="L1632" s="2" t="inlineStr">
        <is>
          <t>shampoo</t>
        </is>
      </c>
      <c r="M1632" s="2" t="inlineStr">
        <is>
          <t>profesional</t>
        </is>
      </c>
      <c r="N1632" s="2" t="inlineStr">
        <is>
          <t>rizado</t>
        </is>
      </c>
      <c r="O1632" s="2" t="inlineStr">
        <is>
          <t>https://www.jumbo.com.ar/shampoo-pantene-pro-v-rizos-definidos-400-ml-2/p</t>
        </is>
      </c>
    </row>
    <row r="1633">
      <c r="A1633" t="inlineStr">
        <is>
          <t>Jumbo</t>
        </is>
      </c>
      <c r="B1633" t="n">
        <v>390228</v>
      </c>
      <c r="C1633" t="n">
        <v>388319</v>
      </c>
      <c r="D1633" t="inlineStr">
        <is>
          <t>Shampoo Pantene Pro-v Bambu 400 Ml</t>
        </is>
      </c>
      <c r="E1633" t="inlineStr">
        <is>
          <t>PANTENE</t>
        </is>
      </c>
      <c r="F1633" t="n">
        <v>6150</v>
      </c>
      <c r="G1633" t="n">
        <v>508264</v>
      </c>
      <c r="H1633" t="b">
        <v>0</v>
      </c>
      <c r="I1633" t="n">
        <v>400</v>
      </c>
      <c r="J1633" t="n">
        <v>15.375</v>
      </c>
      <c r="K1633" t="inlineStr">
        <is>
          <t>&gt; Perfumería &gt; Cuidado Capilar &gt; Shampoo &gt;</t>
        </is>
      </c>
      <c r="L1633" t="inlineStr">
        <is>
          <t>shampoo</t>
        </is>
      </c>
      <c r="M1633" t="inlineStr">
        <is>
          <t>profesional</t>
        </is>
      </c>
      <c r="N1633" t="inlineStr">
        <is>
          <t>general</t>
        </is>
      </c>
      <c r="O1633" t="inlineStr">
        <is>
          <t>https://www.jumbo.com.ar/shampoo-pantene-pro-v-bambu-400-ml-2/p</t>
        </is>
      </c>
    </row>
    <row r="1634">
      <c r="A1634" s="2" t="inlineStr">
        <is>
          <t>Jumbo</t>
        </is>
      </c>
      <c r="B1634" s="2" t="n">
        <v>390227</v>
      </c>
      <c r="C1634" s="2" t="n">
        <v>388318</v>
      </c>
      <c r="D1634" s="2" t="inlineStr">
        <is>
          <t>Shampoo Pantene Hidratación Extrema 750 Ml</t>
        </is>
      </c>
      <c r="E1634" s="2" t="inlineStr">
        <is>
          <t>PANTENE</t>
        </is>
      </c>
      <c r="F1634" s="2" t="n">
        <v>3000</v>
      </c>
      <c r="G1634" s="2" t="n">
        <v>247934</v>
      </c>
      <c r="H1634" s="2" t="b">
        <v>0</v>
      </c>
      <c r="I1634" s="2" t="n">
        <v>750</v>
      </c>
      <c r="J1634" s="2" t="n">
        <v>4</v>
      </c>
      <c r="K1634" s="2" t="inlineStr">
        <is>
          <t>&gt; Perfumería &gt; Cuidado Capilar &gt; Shampoo &gt;</t>
        </is>
      </c>
      <c r="L1634" s="2" t="inlineStr">
        <is>
          <t>shampoo</t>
        </is>
      </c>
      <c r="M1634" s="2" t="inlineStr">
        <is>
          <t>estandar</t>
        </is>
      </c>
      <c r="N1634" s="2" t="inlineStr">
        <is>
          <t>seco_danado</t>
        </is>
      </c>
      <c r="O1634" s="2" t="inlineStr">
        <is>
          <t>https://www.jumbo.com.ar/shampoo-pantene-hidratacion-extrema-750-ml/p</t>
        </is>
      </c>
    </row>
    <row r="1635">
      <c r="A1635" t="inlineStr">
        <is>
          <t>Jumbo</t>
        </is>
      </c>
      <c r="B1635" t="n">
        <v>390226</v>
      </c>
      <c r="C1635" t="n">
        <v>388317</v>
      </c>
      <c r="D1635" t="inlineStr">
        <is>
          <t>Shampoo Pantene Pro-v Restauración 200 Ml</t>
        </is>
      </c>
      <c r="E1635" t="inlineStr">
        <is>
          <t>PANTENE</t>
        </is>
      </c>
      <c r="F1635" t="n">
        <v>5350</v>
      </c>
      <c r="G1635" t="n">
        <v>442149</v>
      </c>
      <c r="H1635" t="b">
        <v>0</v>
      </c>
      <c r="I1635" t="n">
        <v>200</v>
      </c>
      <c r="J1635" t="n">
        <v>26.75</v>
      </c>
      <c r="K1635" t="inlineStr">
        <is>
          <t>&gt; Perfumería &gt; Cuidado Capilar &gt; Shampoo &gt;</t>
        </is>
      </c>
      <c r="L1635" t="inlineStr">
        <is>
          <t>shampoo</t>
        </is>
      </c>
      <c r="M1635" t="inlineStr">
        <is>
          <t>profesional</t>
        </is>
      </c>
      <c r="N1635" t="inlineStr">
        <is>
          <t>general</t>
        </is>
      </c>
      <c r="O1635" t="inlineStr">
        <is>
          <t>https://www.jumbo.com.ar/shampoo-pantene-pro-v-restauracion-200-ml-2/p</t>
        </is>
      </c>
    </row>
    <row r="1636">
      <c r="A1636" s="2" t="inlineStr">
        <is>
          <t>Jumbo</t>
        </is>
      </c>
      <c r="B1636" s="2" t="n">
        <v>390225</v>
      </c>
      <c r="C1636" s="2" t="n">
        <v>388316</v>
      </c>
      <c r="D1636" s="2" t="inlineStr">
        <is>
          <t>Shampoo Y Acondicionador Pantene Cuidado Clásico Pro-v Solutions 200 Ml</t>
        </is>
      </c>
      <c r="E1636" s="2" t="inlineStr">
        <is>
          <t>PANTENE</t>
        </is>
      </c>
      <c r="F1636" s="2" t="n">
        <v>341.99</v>
      </c>
      <c r="G1636" s="2" t="n">
        <v>28264</v>
      </c>
      <c r="H1636" s="2" t="b">
        <v>0</v>
      </c>
      <c r="I1636" s="2" t="n">
        <v>200</v>
      </c>
      <c r="J1636" s="2" t="n">
        <v>1.71</v>
      </c>
      <c r="K1636" s="2" t="inlineStr">
        <is>
          <t>&gt; Perfumería &gt; Cuidado Capilar &gt; Shampoo &gt;</t>
        </is>
      </c>
      <c r="L1636" s="2" t="inlineStr">
        <is>
          <t>acondicionador</t>
        </is>
      </c>
      <c r="M1636" s="2" t="inlineStr">
        <is>
          <t>profesional</t>
        </is>
      </c>
      <c r="N1636" s="2" t="inlineStr">
        <is>
          <t>general</t>
        </is>
      </c>
      <c r="O1636" s="2" t="inlineStr">
        <is>
          <t>https://www.jumbo.com.ar/shampoo-y-acondicionador-pantene-cuidado-clasico-pro-v-solutions-200-ml/p</t>
        </is>
      </c>
    </row>
    <row r="1637">
      <c r="A1637" t="inlineStr">
        <is>
          <t>Jumbo</t>
        </is>
      </c>
      <c r="B1637" t="n">
        <v>390224</v>
      </c>
      <c r="C1637" t="n">
        <v>388315</v>
      </c>
      <c r="D1637" t="inlineStr">
        <is>
          <t>Shampoo Pantene Prov Hidratacion Extr 200ml</t>
        </is>
      </c>
      <c r="E1637" t="inlineStr">
        <is>
          <t>PANTENE</t>
        </is>
      </c>
      <c r="F1637" t="n">
        <v>1000</v>
      </c>
      <c r="G1637" t="n">
        <v>82645</v>
      </c>
      <c r="H1637" t="b">
        <v>0</v>
      </c>
      <c r="I1637" t="n">
        <v>200</v>
      </c>
      <c r="J1637" t="n">
        <v>5</v>
      </c>
      <c r="K1637" t="inlineStr">
        <is>
          <t>&gt; Perfumería &gt; Cuidado Capilar &gt; Shampoo &gt;</t>
        </is>
      </c>
      <c r="L1637" t="inlineStr">
        <is>
          <t>shampoo</t>
        </is>
      </c>
      <c r="M1637" t="inlineStr">
        <is>
          <t>profesional</t>
        </is>
      </c>
      <c r="N1637" t="inlineStr">
        <is>
          <t>seco_danado</t>
        </is>
      </c>
      <c r="O1637" t="inlineStr">
        <is>
          <t>https://www.jumbo.com.ar/shampoo-pantene-prov-hidratacion-extr-200ml/p</t>
        </is>
      </c>
    </row>
    <row r="1638">
      <c r="A1638" s="2" t="inlineStr">
        <is>
          <t>Jumbo</t>
        </is>
      </c>
      <c r="B1638" s="2" t="n">
        <v>390223</v>
      </c>
      <c r="C1638" s="2" t="n">
        <v>388314</v>
      </c>
      <c r="D1638" s="2" t="inlineStr">
        <is>
          <t>Shampoo Pantene Pro-v Brillo Extremo 750 Ml</t>
        </is>
      </c>
      <c r="E1638" s="2" t="inlineStr">
        <is>
          <t>PANTENE</t>
        </is>
      </c>
      <c r="F1638" s="2" t="n">
        <v>2137.67</v>
      </c>
      <c r="G1638" s="2" t="n">
        <v>176667</v>
      </c>
      <c r="H1638" s="2" t="b">
        <v>0</v>
      </c>
      <c r="I1638" s="2" t="n">
        <v>750</v>
      </c>
      <c r="J1638" s="2" t="n">
        <v>2.8502</v>
      </c>
      <c r="K1638" s="2" t="inlineStr">
        <is>
          <t>&gt; Perfumería &gt; Cuidado Capilar &gt; Shampoo &gt;</t>
        </is>
      </c>
      <c r="L1638" s="2" t="inlineStr">
        <is>
          <t>shampoo</t>
        </is>
      </c>
      <c r="M1638" s="2" t="inlineStr">
        <is>
          <t>profesional</t>
        </is>
      </c>
      <c r="N1638" s="2" t="inlineStr">
        <is>
          <t>general</t>
        </is>
      </c>
      <c r="O1638" s="2" t="inlineStr">
        <is>
          <t>https://www.jumbo.com.ar/shampoo-pantene-pro-v-brillo-extremo-750-ml-2/p</t>
        </is>
      </c>
    </row>
    <row r="1639">
      <c r="A1639" t="inlineStr">
        <is>
          <t>Jumbo</t>
        </is>
      </c>
      <c r="B1639" t="n">
        <v>390222</v>
      </c>
      <c r="C1639" t="n">
        <v>388313</v>
      </c>
      <c r="D1639" t="inlineStr">
        <is>
          <t>Shampoo Pantene Pro-v Bambú 200 Ml</t>
        </is>
      </c>
      <c r="E1639" t="inlineStr">
        <is>
          <t>PANTENE</t>
        </is>
      </c>
      <c r="F1639" t="n">
        <v>783.27</v>
      </c>
      <c r="G1639" t="n">
        <v>64733</v>
      </c>
      <c r="H1639" t="b">
        <v>0</v>
      </c>
      <c r="I1639" t="n">
        <v>200</v>
      </c>
      <c r="J1639" t="n">
        <v>3.9163</v>
      </c>
      <c r="K1639" t="inlineStr">
        <is>
          <t>&gt; Perfumería &gt; Cuidado Capilar &gt; Shampoo &gt;</t>
        </is>
      </c>
      <c r="L1639" t="inlineStr">
        <is>
          <t>shampoo</t>
        </is>
      </c>
      <c r="M1639" t="inlineStr">
        <is>
          <t>profesional</t>
        </is>
      </c>
      <c r="N1639" t="inlineStr">
        <is>
          <t>general</t>
        </is>
      </c>
      <c r="O1639" t="inlineStr">
        <is>
          <t>https://www.jumbo.com.ar/shampoo-pantene-pro-v-bambu-200-ml-2/p</t>
        </is>
      </c>
    </row>
    <row r="1640">
      <c r="A1640" s="2" t="inlineStr">
        <is>
          <t>Jumbo</t>
        </is>
      </c>
      <c r="B1640" s="2" t="n">
        <v>390202</v>
      </c>
      <c r="C1640" s="2" t="n">
        <v>388293</v>
      </c>
      <c r="D1640" s="2" t="inlineStr">
        <is>
          <t>2 En 1 Pantene Cuidado Clasico 400ml</t>
        </is>
      </c>
      <c r="E1640" s="2" t="inlineStr">
        <is>
          <t>PANTENE</t>
        </is>
      </c>
      <c r="F1640" s="2" t="n">
        <v>511.59</v>
      </c>
      <c r="G1640" s="2" t="n">
        <v>42280</v>
      </c>
      <c r="H1640" s="2" t="b">
        <v>0</v>
      </c>
      <c r="I1640" s="2" t="n">
        <v>400</v>
      </c>
      <c r="J1640" s="2" t="n">
        <v>1.279</v>
      </c>
      <c r="K1640" s="2" t="inlineStr">
        <is>
          <t>&gt; Perfumería &gt; Cuidado Capilar &gt; Shampoo &gt;</t>
        </is>
      </c>
      <c r="L1640" s="2" t="inlineStr">
        <is>
          <t>shampoo</t>
        </is>
      </c>
      <c r="M1640" s="2" t="inlineStr">
        <is>
          <t>estandar</t>
        </is>
      </c>
      <c r="N1640" s="2" t="inlineStr">
        <is>
          <t>general</t>
        </is>
      </c>
      <c r="O1640" s="2" t="inlineStr">
        <is>
          <t>https://www.jumbo.com.ar/2-en-1-pantene-cuidado-clasico-400ml/p</t>
        </is>
      </c>
    </row>
    <row r="1641">
      <c r="A1641" t="inlineStr">
        <is>
          <t>Jumbo</t>
        </is>
      </c>
      <c r="B1641" t="n">
        <v>390200</v>
      </c>
      <c r="C1641" t="n">
        <v>388291</v>
      </c>
      <c r="D1641" t="inlineStr">
        <is>
          <t>Shampoo Pro-V Solutions Restauración 400 Ml Pantene</t>
        </is>
      </c>
      <c r="E1641" t="inlineStr">
        <is>
          <t>PANTENE</t>
        </is>
      </c>
      <c r="F1641" t="n">
        <v>10000</v>
      </c>
      <c r="G1641" t="n">
        <v>826446</v>
      </c>
      <c r="H1641" t="b">
        <v>0</v>
      </c>
      <c r="I1641" t="n">
        <v>400</v>
      </c>
      <c r="J1641" t="n">
        <v>25</v>
      </c>
      <c r="K1641" t="inlineStr">
        <is>
          <t>&gt; Perfumería &gt; Cuidado Capilar &gt; Shampoo &gt;</t>
        </is>
      </c>
      <c r="L1641" t="inlineStr">
        <is>
          <t>shampoo</t>
        </is>
      </c>
      <c r="M1641" t="inlineStr">
        <is>
          <t>profesional</t>
        </is>
      </c>
      <c r="N1641" t="inlineStr">
        <is>
          <t>general</t>
        </is>
      </c>
      <c r="O1641" t="inlineStr">
        <is>
          <t>https://www.jumbo.com.ar/shampoo-pro-v-solutions-restauracion-400-ml-pantene/p</t>
        </is>
      </c>
    </row>
    <row r="1642">
      <c r="A1642" s="2" t="inlineStr">
        <is>
          <t>Jumbo</t>
        </is>
      </c>
      <c r="B1642" s="2" t="n">
        <v>390197</v>
      </c>
      <c r="C1642" s="2" t="n">
        <v>388288</v>
      </c>
      <c r="D1642" s="2" t="inlineStr">
        <is>
          <t>Shampoo Pantene Hidratación Extrema 400 Ml</t>
        </is>
      </c>
      <c r="E1642" s="2" t="inlineStr">
        <is>
          <t>PANTENE</t>
        </is>
      </c>
      <c r="F1642" s="2" t="n">
        <v>1850</v>
      </c>
      <c r="G1642" s="2" t="n">
        <v>152893</v>
      </c>
      <c r="H1642" s="2" t="b">
        <v>0</v>
      </c>
      <c r="I1642" s="2" t="n">
        <v>400</v>
      </c>
      <c r="J1642" s="2" t="n">
        <v>4.625</v>
      </c>
      <c r="K1642" s="2" t="inlineStr">
        <is>
          <t>&gt; Perfumería &gt; Cuidado Capilar &gt; Shampoo &gt;</t>
        </is>
      </c>
      <c r="L1642" s="2" t="inlineStr">
        <is>
          <t>shampoo</t>
        </is>
      </c>
      <c r="M1642" s="2" t="inlineStr">
        <is>
          <t>estandar</t>
        </is>
      </c>
      <c r="N1642" s="2" t="inlineStr">
        <is>
          <t>seco_danado</t>
        </is>
      </c>
      <c r="O1642" s="2" t="inlineStr">
        <is>
          <t>https://www.jumbo.com.ar/shampoo-pantene-hidratacion-extrema-400-ml/p</t>
        </is>
      </c>
    </row>
    <row r="1643">
      <c r="A1643" t="inlineStr">
        <is>
          <t>Jumbo</t>
        </is>
      </c>
      <c r="B1643" t="n">
        <v>390195</v>
      </c>
      <c r="C1643" t="n">
        <v>388286</v>
      </c>
      <c r="D1643" t="inlineStr">
        <is>
          <t>Shampoo Pantene Pro-v Fuerza Reconstrucción 400 Ml</t>
        </is>
      </c>
      <c r="E1643" t="inlineStr">
        <is>
          <t>PANTENE</t>
        </is>
      </c>
      <c r="F1643" t="n">
        <v>1292.77</v>
      </c>
      <c r="G1643" t="n">
        <v>106841</v>
      </c>
      <c r="H1643" t="b">
        <v>0</v>
      </c>
      <c r="I1643" t="n">
        <v>400</v>
      </c>
      <c r="J1643" t="n">
        <v>3.2319</v>
      </c>
      <c r="K1643" t="inlineStr">
        <is>
          <t>&gt; Perfumería &gt; Cuidado Capilar &gt; Shampoo &gt;</t>
        </is>
      </c>
      <c r="L1643" t="inlineStr">
        <is>
          <t>shampoo</t>
        </is>
      </c>
      <c r="M1643" t="inlineStr">
        <is>
          <t>profesional</t>
        </is>
      </c>
      <c r="N1643" t="inlineStr">
        <is>
          <t>general</t>
        </is>
      </c>
      <c r="O1643" t="inlineStr">
        <is>
          <t>https://www.jumbo.com.ar/shampoo-pantene-pro-v-fuerza-reconstruccion-400-ml/p</t>
        </is>
      </c>
    </row>
    <row r="1644">
      <c r="A1644" s="2" t="inlineStr">
        <is>
          <t>Jumbo</t>
        </is>
      </c>
      <c r="B1644" s="2" t="n">
        <v>390194</v>
      </c>
      <c r="C1644" s="2" t="n">
        <v>388285</v>
      </c>
      <c r="D1644" s="2" t="inlineStr">
        <is>
          <t>Shampoo Pantene Prov Brillo Extremo 400ml</t>
        </is>
      </c>
      <c r="E1644" s="2" t="inlineStr">
        <is>
          <t>PANTENE</t>
        </is>
      </c>
      <c r="F1644" s="2" t="n">
        <v>1292.77</v>
      </c>
      <c r="G1644" s="2" t="n">
        <v>106841</v>
      </c>
      <c r="H1644" s="2" t="b">
        <v>0</v>
      </c>
      <c r="I1644" s="2" t="n">
        <v>400</v>
      </c>
      <c r="J1644" s="2" t="n">
        <v>3.2319</v>
      </c>
      <c r="K1644" s="2" t="inlineStr">
        <is>
          <t>&gt; Perfumería &gt; Cuidado Capilar &gt; Shampoo &gt;</t>
        </is>
      </c>
      <c r="L1644" s="2" t="inlineStr">
        <is>
          <t>shampoo</t>
        </is>
      </c>
      <c r="M1644" s="2" t="inlineStr">
        <is>
          <t>profesional</t>
        </is>
      </c>
      <c r="N1644" s="2" t="inlineStr">
        <is>
          <t>general</t>
        </is>
      </c>
      <c r="O1644" s="2" t="inlineStr">
        <is>
          <t>https://www.jumbo.com.ar/shampoo-pantene-prov-brillo-extremo-400ml/p</t>
        </is>
      </c>
    </row>
    <row r="1645">
      <c r="A1645" t="inlineStr">
        <is>
          <t>Jumbo</t>
        </is>
      </c>
      <c r="B1645" t="n">
        <v>383688</v>
      </c>
      <c r="C1645" t="n">
        <v>382402</v>
      </c>
      <c r="D1645" t="inlineStr">
        <is>
          <t>Tratamiento Pantene Colageno 15ml</t>
        </is>
      </c>
      <c r="E1645" t="inlineStr">
        <is>
          <t>PANTENE</t>
        </is>
      </c>
      <c r="F1645" t="n">
        <v>6600</v>
      </c>
      <c r="G1645" t="n">
        <v>545455</v>
      </c>
      <c r="H1645" t="b">
        <v>0</v>
      </c>
      <c r="I1645" t="n">
        <v>15</v>
      </c>
      <c r="J1645" t="n">
        <v>440</v>
      </c>
      <c r="K1645" t="inlineStr">
        <is>
          <t>&gt; Perfumería &gt; Cuidado Capilar &gt; Reparación y Tratamientos &gt;</t>
        </is>
      </c>
      <c r="L1645" t="inlineStr">
        <is>
          <t>tratamiento</t>
        </is>
      </c>
      <c r="M1645" t="inlineStr">
        <is>
          <t>estandar</t>
        </is>
      </c>
      <c r="N1645" t="inlineStr">
        <is>
          <t>general</t>
        </is>
      </c>
      <c r="O1645" t="inlineStr">
        <is>
          <t>https://www.jumbo.com.ar/tratamiento-pantene-colageno-15ml/p</t>
        </is>
      </c>
    </row>
    <row r="1646">
      <c r="A1646" s="2" t="inlineStr">
        <is>
          <t>Jumbo</t>
        </is>
      </c>
      <c r="B1646" s="2" t="n">
        <v>383687</v>
      </c>
      <c r="C1646" s="2" t="n">
        <v>382401</v>
      </c>
      <c r="D1646" s="2" t="inlineStr">
        <is>
          <t>Acondicionador Pantene Con Colágeno 3 Minute Miracle 170 Ml</t>
        </is>
      </c>
      <c r="E1646" s="2" t="inlineStr">
        <is>
          <t>PANTENE</t>
        </is>
      </c>
      <c r="F1646" s="2" t="n">
        <v>7200</v>
      </c>
      <c r="G1646" s="2" t="n">
        <v>595041</v>
      </c>
      <c r="H1646" s="2" t="b">
        <v>0</v>
      </c>
      <c r="I1646" s="2" t="n">
        <v>170</v>
      </c>
      <c r="J1646" s="2" t="n">
        <v>42.3529</v>
      </c>
      <c r="K1646" s="2" t="inlineStr">
        <is>
          <t>&gt; Perfumería &gt; Cuidado Capilar &gt; Acondicionador &gt;</t>
        </is>
      </c>
      <c r="L1646" s="2" t="inlineStr">
        <is>
          <t>acondicionador</t>
        </is>
      </c>
      <c r="M1646" s="2" t="inlineStr">
        <is>
          <t>estandar</t>
        </is>
      </c>
      <c r="N1646" s="2" t="inlineStr">
        <is>
          <t>general</t>
        </is>
      </c>
      <c r="O1646" s="2" t="inlineStr">
        <is>
          <t>https://www.jumbo.com.ar/acondicionador-pantene-con-colageno-3-minute-miracle-170-ml/p</t>
        </is>
      </c>
    </row>
    <row r="1647">
      <c r="A1647" t="inlineStr">
        <is>
          <t>Jumbo</t>
        </is>
      </c>
      <c r="B1647" t="n">
        <v>383683</v>
      </c>
      <c r="C1647" t="n">
        <v>382398</v>
      </c>
      <c r="D1647" t="inlineStr">
        <is>
          <t>Serum Puntas Abiertas Colágeno 90 Ml Pantene</t>
        </is>
      </c>
      <c r="E1647" t="inlineStr">
        <is>
          <t>PANTENE</t>
        </is>
      </c>
      <c r="F1647" t="n">
        <v>8250</v>
      </c>
      <c r="G1647" t="n">
        <v>681818</v>
      </c>
      <c r="H1647" t="b">
        <v>0</v>
      </c>
      <c r="I1647" t="n">
        <v>90</v>
      </c>
      <c r="J1647" t="n">
        <v>91.66670000000001</v>
      </c>
      <c r="K1647" t="inlineStr">
        <is>
          <t>&gt; Perfumería &gt; Cuidado Capilar &gt; Reparación y Tratamientos &gt;</t>
        </is>
      </c>
      <c r="L1647" t="inlineStr">
        <is>
          <t>shampoo</t>
        </is>
      </c>
      <c r="M1647" t="inlineStr">
        <is>
          <t>estandar</t>
        </is>
      </c>
      <c r="N1647" t="inlineStr">
        <is>
          <t>general</t>
        </is>
      </c>
      <c r="O1647" t="inlineStr">
        <is>
          <t>https://www.jumbo.com.ar/serum-puntas-abiertas-colageno-90-ml-pantene/p</t>
        </is>
      </c>
    </row>
    <row r="1648">
      <c r="A1648" s="2" t="inlineStr">
        <is>
          <t>Jumbo</t>
        </is>
      </c>
      <c r="B1648" s="2" t="n">
        <v>383680</v>
      </c>
      <c r="C1648" s="2" t="n">
        <v>382395</v>
      </c>
      <c r="D1648" s="2" t="inlineStr">
        <is>
          <t>Acondicionador Pro-v Miracles Colágeno Nutre y Revitaliza 200 Ml Pantene</t>
        </is>
      </c>
      <c r="E1648" s="2" t="inlineStr">
        <is>
          <t>PANTENE</t>
        </is>
      </c>
      <c r="F1648" s="2" t="n">
        <v>6200</v>
      </c>
      <c r="G1648" s="2" t="n">
        <v>512397</v>
      </c>
      <c r="H1648" s="2" t="b">
        <v>0</v>
      </c>
      <c r="I1648" s="2" t="n">
        <v>200</v>
      </c>
      <c r="J1648" s="2" t="n">
        <v>31</v>
      </c>
      <c r="K1648" s="2" t="inlineStr">
        <is>
          <t>&gt; Perfumería &gt; Cuidado Capilar &gt; Acondicionador &gt;</t>
        </is>
      </c>
      <c r="L1648" s="2" t="inlineStr">
        <is>
          <t>acondicionador</t>
        </is>
      </c>
      <c r="M1648" s="2" t="inlineStr">
        <is>
          <t>profesional</t>
        </is>
      </c>
      <c r="N1648" s="2" t="inlineStr">
        <is>
          <t>general</t>
        </is>
      </c>
      <c r="O1648" s="2" t="inlineStr">
        <is>
          <t>https://www.jumbo.com.ar/acondicionador-pro-v-miracles-colageno-nutre-y-revitaliza-200-ml-pantene/p</t>
        </is>
      </c>
    </row>
    <row r="1649">
      <c r="A1649" t="inlineStr">
        <is>
          <t>Jumbo</t>
        </is>
      </c>
      <c r="B1649" t="n">
        <v>383676</v>
      </c>
      <c r="C1649" t="n">
        <v>382391</v>
      </c>
      <c r="D1649" t="inlineStr">
        <is>
          <t>Shampoo Colágeno Nutre y Revitaliza 400 Ml Pantene</t>
        </is>
      </c>
      <c r="E1649" t="inlineStr">
        <is>
          <t>PANTENE</t>
        </is>
      </c>
      <c r="F1649" t="n">
        <v>10000</v>
      </c>
      <c r="G1649" t="n">
        <v>826446</v>
      </c>
      <c r="H1649" t="b">
        <v>0</v>
      </c>
      <c r="I1649" t="n">
        <v>400</v>
      </c>
      <c r="J1649" t="n">
        <v>25</v>
      </c>
      <c r="K1649" t="inlineStr">
        <is>
          <t>&gt; Perfumería &gt; Cuidado Capilar &gt; Shampoo &gt;</t>
        </is>
      </c>
      <c r="L1649" t="inlineStr">
        <is>
          <t>shampoo</t>
        </is>
      </c>
      <c r="M1649" t="inlineStr">
        <is>
          <t>estandar</t>
        </is>
      </c>
      <c r="N1649" t="inlineStr">
        <is>
          <t>general</t>
        </is>
      </c>
      <c r="O1649" t="inlineStr">
        <is>
          <t>https://www.jumbo.com.ar/shampoo-colageno-nutre-y-revitaliza-400-ml-pantene/p</t>
        </is>
      </c>
    </row>
    <row r="1650">
      <c r="A1650" s="2" t="inlineStr">
        <is>
          <t>Jumbo</t>
        </is>
      </c>
      <c r="B1650" s="2" t="n">
        <v>383672</v>
      </c>
      <c r="C1650" s="2" t="n">
        <v>382387</v>
      </c>
      <c r="D1650" s="2" t="inlineStr">
        <is>
          <t>Shampoo Nutrición y Control Frizz Colágeno 200 Ml Pantene Shampoo Pro-v Colágeno 200 Ml Pantene</t>
        </is>
      </c>
      <c r="E1650" s="2" t="inlineStr">
        <is>
          <t>PANTENE</t>
        </is>
      </c>
      <c r="F1650" s="2" t="n">
        <v>6200</v>
      </c>
      <c r="G1650" s="2" t="n">
        <v>512397</v>
      </c>
      <c r="H1650" s="2" t="b">
        <v>0</v>
      </c>
      <c r="I1650" s="2" t="n">
        <v>200</v>
      </c>
      <c r="J1650" s="2" t="n">
        <v>31</v>
      </c>
      <c r="K1650" s="2" t="inlineStr">
        <is>
          <t>&gt; Perfumería &gt; Cuidado Capilar &gt; Shampoo &gt;</t>
        </is>
      </c>
      <c r="L1650" s="2" t="inlineStr">
        <is>
          <t>shampoo</t>
        </is>
      </c>
      <c r="M1650" s="2" t="inlineStr">
        <is>
          <t>profesional</t>
        </is>
      </c>
      <c r="N1650" s="2" t="inlineStr">
        <is>
          <t>general</t>
        </is>
      </c>
      <c r="O1650" s="2" t="inlineStr">
        <is>
          <t>https://www.jumbo.com.ar/shampoo-pro-v-colageno-200-ml-pantene-2/p</t>
        </is>
      </c>
    </row>
    <row r="1651">
      <c r="A1651" t="inlineStr">
        <is>
          <t>Jumbo</t>
        </is>
      </c>
      <c r="B1651" t="n">
        <v>345300</v>
      </c>
      <c r="C1651" t="n">
        <v>343985</v>
      </c>
      <c r="D1651" t="inlineStr">
        <is>
          <t>Shampoo Pantene Prov Essent Cuidado 400ml</t>
        </is>
      </c>
      <c r="E1651" t="inlineStr">
        <is>
          <t>PANTENE</t>
        </is>
      </c>
      <c r="F1651" t="n">
        <v>700</v>
      </c>
      <c r="G1651" t="n">
        <v>57851</v>
      </c>
      <c r="H1651" t="b">
        <v>0</v>
      </c>
      <c r="I1651" t="n">
        <v>400</v>
      </c>
      <c r="J1651" t="n">
        <v>1.75</v>
      </c>
      <c r="K1651" t="inlineStr">
        <is>
          <t>&gt; Perfumería &gt; Cuidado Capilar &gt; Shampoo &gt;</t>
        </is>
      </c>
      <c r="L1651" t="inlineStr">
        <is>
          <t>shampoo</t>
        </is>
      </c>
      <c r="M1651" t="inlineStr">
        <is>
          <t>profesional</t>
        </is>
      </c>
      <c r="N1651" t="inlineStr">
        <is>
          <t>general</t>
        </is>
      </c>
      <c r="O1651" t="inlineStr">
        <is>
          <t>https://www.jumbo.com.ar/shampoo-pantene-prov-essent-cuidado-400ml-2/p</t>
        </is>
      </c>
    </row>
    <row r="1652">
      <c r="A1652" s="2" t="inlineStr">
        <is>
          <t>Jumbo</t>
        </is>
      </c>
      <c r="B1652" s="2" t="n">
        <v>345297</v>
      </c>
      <c r="C1652" s="2" t="n">
        <v>343982</v>
      </c>
      <c r="D1652" s="2" t="inlineStr">
        <is>
          <t>Acondicionador Pantene Prov Essent Control Caida 400ml</t>
        </is>
      </c>
      <c r="E1652" s="2" t="inlineStr">
        <is>
          <t>PANTENE</t>
        </is>
      </c>
      <c r="F1652" s="2" t="n">
        <v>806.35</v>
      </c>
      <c r="G1652" s="2" t="n">
        <v>66641</v>
      </c>
      <c r="H1652" s="2" t="b">
        <v>0</v>
      </c>
      <c r="I1652" s="2" t="n">
        <v>400</v>
      </c>
      <c r="J1652" s="2" t="n">
        <v>2.0159</v>
      </c>
      <c r="K1652" s="2" t="inlineStr">
        <is>
          <t>&gt; Perfumería &gt; Cuidado Capilar &gt; Acondicionador &gt;</t>
        </is>
      </c>
      <c r="L1652" s="2" t="inlineStr">
        <is>
          <t>acondicionador</t>
        </is>
      </c>
      <c r="M1652" s="2" t="inlineStr">
        <is>
          <t>profesional</t>
        </is>
      </c>
      <c r="N1652" s="2" t="inlineStr">
        <is>
          <t>general</t>
        </is>
      </c>
      <c r="O1652" s="2" t="inlineStr">
        <is>
          <t>https://www.jumbo.com.ar/acondicionador-pantene-prov-essent-control-caida-400ml/p</t>
        </is>
      </c>
    </row>
    <row r="1653">
      <c r="A1653" t="inlineStr">
        <is>
          <t>Jumbo</t>
        </is>
      </c>
      <c r="B1653" t="n">
        <v>345296</v>
      </c>
      <c r="C1653" t="n">
        <v>343981</v>
      </c>
      <c r="D1653" t="inlineStr">
        <is>
          <t>Acondicionador Pantene Pro-v Essentials Bambu 200 Ml</t>
        </is>
      </c>
      <c r="E1653" t="inlineStr">
        <is>
          <t>PANTENE</t>
        </is>
      </c>
      <c r="F1653" t="n">
        <v>1100</v>
      </c>
      <c r="G1653" t="n">
        <v>90909</v>
      </c>
      <c r="H1653" t="b">
        <v>0</v>
      </c>
      <c r="I1653" t="n">
        <v>200</v>
      </c>
      <c r="J1653" t="n">
        <v>5.5</v>
      </c>
      <c r="K1653" t="inlineStr">
        <is>
          <t>&gt; Perfumería &gt; Cuidado Capilar &gt; Acondicionador &gt;</t>
        </is>
      </c>
      <c r="L1653" t="inlineStr">
        <is>
          <t>acondicionador</t>
        </is>
      </c>
      <c r="M1653" t="inlineStr">
        <is>
          <t>profesional</t>
        </is>
      </c>
      <c r="N1653" t="inlineStr">
        <is>
          <t>general</t>
        </is>
      </c>
      <c r="O1653" t="inlineStr">
        <is>
          <t>https://www.jumbo.com.ar/acondicionador-pantene-pro-v-essentials-bambu-200-ml/p</t>
        </is>
      </c>
    </row>
    <row r="1654">
      <c r="A1654" s="2" t="inlineStr">
        <is>
          <t>Jumbo</t>
        </is>
      </c>
      <c r="B1654" s="2" t="n">
        <v>345295</v>
      </c>
      <c r="C1654" s="2" t="n">
        <v>343980</v>
      </c>
      <c r="D1654" s="2" t="inlineStr">
        <is>
          <t>Shampoo Pantene Prov Essent Control Caida 400ml</t>
        </is>
      </c>
      <c r="E1654" s="2" t="inlineStr">
        <is>
          <t>PANTENE</t>
        </is>
      </c>
      <c r="F1654" s="2" t="n">
        <v>806.35</v>
      </c>
      <c r="G1654" s="2" t="n">
        <v>66641</v>
      </c>
      <c r="H1654" s="2" t="b">
        <v>0</v>
      </c>
      <c r="I1654" s="2" t="n">
        <v>400</v>
      </c>
      <c r="J1654" s="2" t="n">
        <v>2.0159</v>
      </c>
      <c r="K1654" s="2" t="inlineStr">
        <is>
          <t>&gt; Perfumería &gt; Cuidado Capilar &gt; Shampoo &gt;</t>
        </is>
      </c>
      <c r="L1654" s="2" t="inlineStr">
        <is>
          <t>shampoo</t>
        </is>
      </c>
      <c r="M1654" s="2" t="inlineStr">
        <is>
          <t>profesional</t>
        </is>
      </c>
      <c r="N1654" s="2" t="inlineStr">
        <is>
          <t>general</t>
        </is>
      </c>
      <c r="O1654" s="2" t="inlineStr">
        <is>
          <t>https://www.jumbo.com.ar/shampoo-pantene-prov-essent-control-caida-400ml/p</t>
        </is>
      </c>
    </row>
    <row r="1655">
      <c r="A1655" t="inlineStr">
        <is>
          <t>Jumbo</t>
        </is>
      </c>
      <c r="B1655" t="n">
        <v>345293</v>
      </c>
      <c r="C1655" t="n">
        <v>343978</v>
      </c>
      <c r="D1655" t="inlineStr">
        <is>
          <t>Shampoo Pantene Prov Essentials Bambu 750ml</t>
        </is>
      </c>
      <c r="E1655" t="inlineStr">
        <is>
          <t>PANTENE</t>
        </is>
      </c>
      <c r="F1655" t="n">
        <v>1496.95</v>
      </c>
      <c r="G1655" t="n">
        <v>123715</v>
      </c>
      <c r="H1655" t="b">
        <v>0</v>
      </c>
      <c r="I1655" t="n">
        <v>750</v>
      </c>
      <c r="J1655" t="n">
        <v>1.9959</v>
      </c>
      <c r="K1655" t="inlineStr">
        <is>
          <t>&gt; Perfumería &gt; Cuidado Capilar &gt; Shampoo &gt;</t>
        </is>
      </c>
      <c r="L1655" t="inlineStr">
        <is>
          <t>shampoo</t>
        </is>
      </c>
      <c r="M1655" t="inlineStr">
        <is>
          <t>profesional</t>
        </is>
      </c>
      <c r="N1655" t="inlineStr">
        <is>
          <t>general</t>
        </is>
      </c>
      <c r="O1655" t="inlineStr">
        <is>
          <t>https://www.jumbo.com.ar/shampoo-pantene-prov-essentials-bambu-750ml-2/p</t>
        </is>
      </c>
    </row>
    <row r="1656">
      <c r="A1656" s="2" t="inlineStr">
        <is>
          <t>Jumbo</t>
        </is>
      </c>
      <c r="B1656" s="2" t="n">
        <v>345291</v>
      </c>
      <c r="C1656" s="2" t="n">
        <v>343976</v>
      </c>
      <c r="D1656" s="2" t="inlineStr">
        <is>
          <t>Acondicionador Pantene Prov Essentials Hidrat Extremo 750ml</t>
        </is>
      </c>
      <c r="E1656" s="2" t="inlineStr">
        <is>
          <t>PANTENE</t>
        </is>
      </c>
      <c r="F1656" s="2" t="n">
        <v>1450.49</v>
      </c>
      <c r="G1656" s="2" t="n">
        <v>119875</v>
      </c>
      <c r="H1656" s="2" t="b">
        <v>0</v>
      </c>
      <c r="I1656" s="2" t="n">
        <v>750</v>
      </c>
      <c r="J1656" s="2" t="n">
        <v>1.934</v>
      </c>
      <c r="K1656" s="2" t="inlineStr">
        <is>
          <t>&gt; Perfumería &gt; Cuidado Capilar &gt; Acondicionador &gt;</t>
        </is>
      </c>
      <c r="L1656" s="2" t="inlineStr">
        <is>
          <t>acondicionador</t>
        </is>
      </c>
      <c r="M1656" s="2" t="inlineStr">
        <is>
          <t>profesional</t>
        </is>
      </c>
      <c r="N1656" s="2" t="inlineStr">
        <is>
          <t>seco_danado</t>
        </is>
      </c>
      <c r="O1656" s="2" t="inlineStr">
        <is>
          <t>https://www.jumbo.com.ar/acondicionador-pantene-prov-essentials-hidrat-extremo-750ml/p</t>
        </is>
      </c>
    </row>
    <row r="1657">
      <c r="A1657" t="inlineStr">
        <is>
          <t>Jumbo</t>
        </is>
      </c>
      <c r="B1657" t="n">
        <v>345289</v>
      </c>
      <c r="C1657" t="n">
        <v>343974</v>
      </c>
      <c r="D1657" t="inlineStr">
        <is>
          <t>Acondicionador Pantene Prov Essent Rizos Definidos 400ml</t>
        </is>
      </c>
      <c r="E1657" t="inlineStr">
        <is>
          <t>PANTENE</t>
        </is>
      </c>
      <c r="F1657" t="n">
        <v>806.35</v>
      </c>
      <c r="G1657" t="n">
        <v>66641</v>
      </c>
      <c r="H1657" t="b">
        <v>0</v>
      </c>
      <c r="I1657" t="n">
        <v>400</v>
      </c>
      <c r="J1657" t="n">
        <v>2.0159</v>
      </c>
      <c r="K1657" t="inlineStr">
        <is>
          <t>&gt; Perfumería &gt; Cuidado Capilar &gt; Acondicionador &gt;</t>
        </is>
      </c>
      <c r="L1657" t="inlineStr">
        <is>
          <t>acondicionador</t>
        </is>
      </c>
      <c r="M1657" t="inlineStr">
        <is>
          <t>profesional</t>
        </is>
      </c>
      <c r="N1657" t="inlineStr">
        <is>
          <t>rizado</t>
        </is>
      </c>
      <c r="O1657" t="inlineStr">
        <is>
          <t>https://www.jumbo.com.ar/acondicionador-pantene-prov-essent-rizos-definidos-400ml/p</t>
        </is>
      </c>
    </row>
    <row r="1658">
      <c r="A1658" s="2" t="inlineStr">
        <is>
          <t>Jumbo</t>
        </is>
      </c>
      <c r="B1658" s="2" t="n">
        <v>345288</v>
      </c>
      <c r="C1658" s="2" t="n">
        <v>343973</v>
      </c>
      <c r="D1658" s="2" t="inlineStr">
        <is>
          <t>Shampoo Pantene Prov Essentials Bambu 200ml</t>
        </is>
      </c>
      <c r="E1658" s="2" t="inlineStr">
        <is>
          <t>PANTENE</t>
        </is>
      </c>
      <c r="F1658" s="2" t="n">
        <v>531.49</v>
      </c>
      <c r="G1658" s="2" t="n">
        <v>43925</v>
      </c>
      <c r="H1658" s="2" t="b">
        <v>0</v>
      </c>
      <c r="I1658" s="2" t="n">
        <v>200</v>
      </c>
      <c r="J1658" s="2" t="n">
        <v>2.6574</v>
      </c>
      <c r="K1658" s="2" t="inlineStr">
        <is>
          <t>&gt; Perfumería &gt; Cuidado Capilar &gt; Shampoo &gt;</t>
        </is>
      </c>
      <c r="L1658" s="2" t="inlineStr">
        <is>
          <t>shampoo</t>
        </is>
      </c>
      <c r="M1658" s="2" t="inlineStr">
        <is>
          <t>profesional</t>
        </is>
      </c>
      <c r="N1658" s="2" t="inlineStr">
        <is>
          <t>general</t>
        </is>
      </c>
      <c r="O1658" s="2" t="inlineStr">
        <is>
          <t>https://www.jumbo.com.ar/shampoo-pantene-prov-essentials-bambu-200ml-2/p</t>
        </is>
      </c>
    </row>
    <row r="1659">
      <c r="A1659" t="inlineStr">
        <is>
          <t>Jumbo</t>
        </is>
      </c>
      <c r="B1659" t="n">
        <v>345287</v>
      </c>
      <c r="C1659" t="n">
        <v>343972</v>
      </c>
      <c r="D1659" t="inlineStr">
        <is>
          <t>Acondicionador Pantene Prov Essentials Hidrat Extremo 200ml</t>
        </is>
      </c>
      <c r="E1659" t="inlineStr">
        <is>
          <t>PANTENE</t>
        </is>
      </c>
      <c r="F1659" t="n">
        <v>531.49</v>
      </c>
      <c r="G1659" t="n">
        <v>43925</v>
      </c>
      <c r="H1659" t="b">
        <v>0</v>
      </c>
      <c r="I1659" t="n">
        <v>200</v>
      </c>
      <c r="J1659" t="n">
        <v>2.6574</v>
      </c>
      <c r="K1659" t="inlineStr">
        <is>
          <t>&gt; Perfumería &gt; Cuidado Capilar &gt; Acondicionador &gt;</t>
        </is>
      </c>
      <c r="L1659" t="inlineStr">
        <is>
          <t>acondicionador</t>
        </is>
      </c>
      <c r="M1659" t="inlineStr">
        <is>
          <t>profesional</t>
        </is>
      </c>
      <c r="N1659" t="inlineStr">
        <is>
          <t>seco_danado</t>
        </is>
      </c>
      <c r="O1659" t="inlineStr">
        <is>
          <t>https://www.jumbo.com.ar/acondicionador-pantene-prov-essentials-hidrat-extremo-200ml/p</t>
        </is>
      </c>
    </row>
    <row r="1660">
      <c r="A1660" s="2" t="inlineStr">
        <is>
          <t>Jumbo</t>
        </is>
      </c>
      <c r="B1660" s="2" t="n">
        <v>345286</v>
      </c>
      <c r="C1660" s="2" t="n">
        <v>343971</v>
      </c>
      <c r="D1660" s="2" t="inlineStr">
        <is>
          <t>Shampoo Pantene Prov Essent Cuidado 200ml</t>
        </is>
      </c>
      <c r="E1660" s="2" t="inlineStr">
        <is>
          <t>PANTENE</t>
        </is>
      </c>
      <c r="F1660" s="2" t="n">
        <v>282.09</v>
      </c>
      <c r="G1660" s="2" t="n">
        <v>23313</v>
      </c>
      <c r="H1660" s="2" t="b">
        <v>0</v>
      </c>
      <c r="I1660" s="2" t="n">
        <v>200</v>
      </c>
      <c r="J1660" s="2" t="n">
        <v>1.4104</v>
      </c>
      <c r="K1660" s="2" t="inlineStr">
        <is>
          <t>&gt; Perfumería &gt; Cuidado Capilar &gt; Shampoo &gt;</t>
        </is>
      </c>
      <c r="L1660" s="2" t="inlineStr">
        <is>
          <t>shampoo</t>
        </is>
      </c>
      <c r="M1660" s="2" t="inlineStr">
        <is>
          <t>profesional</t>
        </is>
      </c>
      <c r="N1660" s="2" t="inlineStr">
        <is>
          <t>general</t>
        </is>
      </c>
      <c r="O1660" s="2" t="inlineStr">
        <is>
          <t>https://www.jumbo.com.ar/shampoo-pantene-prov-essent-cuidado-200ml/p</t>
        </is>
      </c>
    </row>
    <row r="1661">
      <c r="A1661" t="inlineStr">
        <is>
          <t>Jumbo</t>
        </is>
      </c>
      <c r="B1661" t="n">
        <v>345284</v>
      </c>
      <c r="C1661" t="n">
        <v>343969</v>
      </c>
      <c r="D1661" t="inlineStr">
        <is>
          <t>Shampoo Pantene Prov Essentials Hidratacion 750ml</t>
        </is>
      </c>
      <c r="E1661" t="inlineStr">
        <is>
          <t>PANTENE</t>
        </is>
      </c>
      <c r="F1661" t="n">
        <v>1450.49</v>
      </c>
      <c r="G1661" t="n">
        <v>119875</v>
      </c>
      <c r="H1661" t="b">
        <v>0</v>
      </c>
      <c r="I1661" t="n">
        <v>750</v>
      </c>
      <c r="J1661" t="n">
        <v>1.934</v>
      </c>
      <c r="K1661" t="inlineStr">
        <is>
          <t>&gt; Perfumería &gt; Cuidado Capilar &gt; Shampoo &gt;</t>
        </is>
      </c>
      <c r="L1661" t="inlineStr">
        <is>
          <t>shampoo</t>
        </is>
      </c>
      <c r="M1661" t="inlineStr">
        <is>
          <t>profesional</t>
        </is>
      </c>
      <c r="N1661" t="inlineStr">
        <is>
          <t>seco_danado</t>
        </is>
      </c>
      <c r="O1661" t="inlineStr">
        <is>
          <t>https://www.jumbo.com.ar/shampoo-pantene-prov-essentials-hidratacion-750ml/p</t>
        </is>
      </c>
    </row>
    <row r="1662">
      <c r="A1662" s="2" t="inlineStr">
        <is>
          <t>Jumbo</t>
        </is>
      </c>
      <c r="B1662" s="2" t="n">
        <v>345282</v>
      </c>
      <c r="C1662" s="2" t="n">
        <v>343967</v>
      </c>
      <c r="D1662" s="2" t="inlineStr">
        <is>
          <t>Shampoo Pantene Porv Essent 2en1 200ml</t>
        </is>
      </c>
      <c r="E1662" s="2" t="inlineStr">
        <is>
          <t>PANTENE</t>
        </is>
      </c>
      <c r="F1662" s="2" t="n">
        <v>282.09</v>
      </c>
      <c r="G1662" s="2" t="n">
        <v>23313</v>
      </c>
      <c r="H1662" s="2" t="b">
        <v>0</v>
      </c>
      <c r="I1662" s="2" t="n">
        <v>200</v>
      </c>
      <c r="J1662" s="2" t="n">
        <v>1.4104</v>
      </c>
      <c r="K1662" s="2" t="inlineStr">
        <is>
          <t>&gt; Perfumería &gt; Cuidado Capilar &gt; Shampoo &gt;</t>
        </is>
      </c>
      <c r="L1662" s="2" t="inlineStr">
        <is>
          <t>shampoo</t>
        </is>
      </c>
      <c r="M1662" s="2" t="inlineStr">
        <is>
          <t>estandar</t>
        </is>
      </c>
      <c r="N1662" s="2" t="inlineStr">
        <is>
          <t>general</t>
        </is>
      </c>
      <c r="O1662" s="2" t="inlineStr">
        <is>
          <t>https://www.jumbo.com.ar/shampoo-pantene-porv-essent-2en1-200ml-2/p</t>
        </is>
      </c>
    </row>
    <row r="1663">
      <c r="A1663" t="inlineStr">
        <is>
          <t>Jumbo</t>
        </is>
      </c>
      <c r="B1663" t="n">
        <v>345281</v>
      </c>
      <c r="C1663" t="n">
        <v>343966</v>
      </c>
      <c r="D1663" t="inlineStr">
        <is>
          <t>Acondicionador Pantene Prov Essentials Liso Extremo 400ml</t>
        </is>
      </c>
      <c r="E1663" t="inlineStr">
        <is>
          <t>PANTENE</t>
        </is>
      </c>
      <c r="F1663" t="n">
        <v>858.79</v>
      </c>
      <c r="G1663" t="n">
        <v>70974</v>
      </c>
      <c r="H1663" t="b">
        <v>0</v>
      </c>
      <c r="I1663" t="n">
        <v>400</v>
      </c>
      <c r="J1663" t="n">
        <v>2.147</v>
      </c>
      <c r="K1663" t="inlineStr">
        <is>
          <t>&gt; Perfumería &gt; Cuidado Capilar &gt; Acondicionador &gt;</t>
        </is>
      </c>
      <c r="L1663" t="inlineStr">
        <is>
          <t>acondicionador</t>
        </is>
      </c>
      <c r="M1663" t="inlineStr">
        <is>
          <t>profesional</t>
        </is>
      </c>
      <c r="N1663" t="inlineStr">
        <is>
          <t>general</t>
        </is>
      </c>
      <c r="O1663" t="inlineStr">
        <is>
          <t>https://www.jumbo.com.ar/acondicionador-pantene-prov-essentials-liso-extremo-400ml/p</t>
        </is>
      </c>
    </row>
    <row r="1664">
      <c r="A1664" s="2" t="inlineStr">
        <is>
          <t>Jumbo</t>
        </is>
      </c>
      <c r="B1664" s="2" t="n">
        <v>345280</v>
      </c>
      <c r="C1664" s="2" t="n">
        <v>343965</v>
      </c>
      <c r="D1664" s="2" t="inlineStr">
        <is>
          <t>Shampoo Pantene Prov Essentials Hidratación Ext 200ml</t>
        </is>
      </c>
      <c r="E1664" s="2" t="inlineStr">
        <is>
          <t>PANTENE</t>
        </is>
      </c>
      <c r="F1664" s="2" t="n">
        <v>531.49</v>
      </c>
      <c r="G1664" s="2" t="n">
        <v>43925</v>
      </c>
      <c r="H1664" s="2" t="b">
        <v>0</v>
      </c>
      <c r="I1664" s="2" t="n">
        <v>200</v>
      </c>
      <c r="J1664" s="2" t="n">
        <v>2.6574</v>
      </c>
      <c r="K1664" s="2" t="inlineStr">
        <is>
          <t>&gt; Perfumería &gt; Cuidado Capilar &gt; Shampoo &gt;</t>
        </is>
      </c>
      <c r="L1664" s="2" t="inlineStr">
        <is>
          <t>shampoo</t>
        </is>
      </c>
      <c r="M1664" s="2" t="inlineStr">
        <is>
          <t>profesional</t>
        </is>
      </c>
      <c r="N1664" s="2" t="inlineStr">
        <is>
          <t>seco_danado</t>
        </is>
      </c>
      <c r="O1664" s="2" t="inlineStr">
        <is>
          <t>https://www.jumbo.com.ar/shampoo-pantene-prov-essentials-hidratacion-ext-200ml/p</t>
        </is>
      </c>
    </row>
    <row r="1665">
      <c r="A1665" t="inlineStr">
        <is>
          <t>Jumbo</t>
        </is>
      </c>
      <c r="B1665" t="n">
        <v>345279</v>
      </c>
      <c r="C1665" t="n">
        <v>343964</v>
      </c>
      <c r="D1665" t="inlineStr">
        <is>
          <t>Acondicionador Pantene Prov Essentials Liso Extremo 750ml</t>
        </is>
      </c>
      <c r="E1665" t="inlineStr">
        <is>
          <t>PANTENE</t>
        </is>
      </c>
      <c r="F1665" t="n">
        <v>1544.85</v>
      </c>
      <c r="G1665" t="n">
        <v>127674</v>
      </c>
      <c r="H1665" t="b">
        <v>0</v>
      </c>
      <c r="I1665" t="n">
        <v>750</v>
      </c>
      <c r="J1665" t="n">
        <v>2.0598</v>
      </c>
      <c r="K1665" t="inlineStr">
        <is>
          <t>&gt; Perfumería &gt; Cuidado Capilar &gt; Acondicionador &gt;</t>
        </is>
      </c>
      <c r="L1665" t="inlineStr">
        <is>
          <t>acondicionador</t>
        </is>
      </c>
      <c r="M1665" t="inlineStr">
        <is>
          <t>profesional</t>
        </is>
      </c>
      <c r="N1665" t="inlineStr">
        <is>
          <t>general</t>
        </is>
      </c>
      <c r="O1665" t="inlineStr">
        <is>
          <t>https://www.jumbo.com.ar/acondicionador-pantene-prov-essentials-liso-extremo-750ml/p</t>
        </is>
      </c>
    </row>
    <row r="1666">
      <c r="A1666" s="2" t="inlineStr">
        <is>
          <t>Jumbo</t>
        </is>
      </c>
      <c r="B1666" s="2" t="n">
        <v>345278</v>
      </c>
      <c r="C1666" s="2" t="n">
        <v>343963</v>
      </c>
      <c r="D1666" s="2" t="inlineStr">
        <is>
          <t>Acondicionador Pantene Prov Essentials Liso Extremo 200ml</t>
        </is>
      </c>
      <c r="E1666" s="2" t="inlineStr">
        <is>
          <t>PANTENE</t>
        </is>
      </c>
      <c r="F1666" s="2" t="n">
        <v>566.05</v>
      </c>
      <c r="G1666" s="2" t="n">
        <v>46781</v>
      </c>
      <c r="H1666" s="2" t="b">
        <v>0</v>
      </c>
      <c r="I1666" s="2" t="n">
        <v>200</v>
      </c>
      <c r="J1666" s="2" t="n">
        <v>2.8302</v>
      </c>
      <c r="K1666" s="2" t="inlineStr">
        <is>
          <t>&gt; Perfumería &gt; Cuidado Capilar &gt; Acondicionador &gt;</t>
        </is>
      </c>
      <c r="L1666" s="2" t="inlineStr">
        <is>
          <t>acondicionador</t>
        </is>
      </c>
      <c r="M1666" s="2" t="inlineStr">
        <is>
          <t>profesional</t>
        </is>
      </c>
      <c r="N1666" s="2" t="inlineStr">
        <is>
          <t>general</t>
        </is>
      </c>
      <c r="O1666" s="2" t="inlineStr">
        <is>
          <t>https://www.jumbo.com.ar/acondicionador-pantene-prov-essentials-liso-extremo-200ml/p</t>
        </is>
      </c>
    </row>
    <row r="1667">
      <c r="A1667" t="inlineStr">
        <is>
          <t>Jumbo</t>
        </is>
      </c>
      <c r="B1667" t="n">
        <v>345277</v>
      </c>
      <c r="C1667" t="n">
        <v>343962</v>
      </c>
      <c r="D1667" t="inlineStr">
        <is>
          <t>Shampoo Pantene Prov Essentials Liso Extremo 750ml</t>
        </is>
      </c>
      <c r="E1667" t="inlineStr">
        <is>
          <t>PANTENE</t>
        </is>
      </c>
      <c r="F1667" t="n">
        <v>1544.85</v>
      </c>
      <c r="G1667" t="n">
        <v>127674</v>
      </c>
      <c r="H1667" t="b">
        <v>0</v>
      </c>
      <c r="I1667" t="n">
        <v>750</v>
      </c>
      <c r="J1667" t="n">
        <v>2.0598</v>
      </c>
      <c r="K1667" t="inlineStr">
        <is>
          <t>&gt; Perfumería &gt; Cuidado Capilar &gt; Shampoo &gt;</t>
        </is>
      </c>
      <c r="L1667" t="inlineStr">
        <is>
          <t>shampoo</t>
        </is>
      </c>
      <c r="M1667" t="inlineStr">
        <is>
          <t>profesional</t>
        </is>
      </c>
      <c r="N1667" t="inlineStr">
        <is>
          <t>general</t>
        </is>
      </c>
      <c r="O1667" t="inlineStr">
        <is>
          <t>https://www.jumbo.com.ar/shampoo-pantene-prov-essentials-liso-extremo-750ml/p</t>
        </is>
      </c>
    </row>
    <row r="1668">
      <c r="A1668" s="2" t="inlineStr">
        <is>
          <t>Jumbo</t>
        </is>
      </c>
      <c r="B1668" s="2" t="n">
        <v>345276</v>
      </c>
      <c r="C1668" s="2" t="n">
        <v>343961</v>
      </c>
      <c r="D1668" s="2" t="inlineStr">
        <is>
          <t>Shampoo Pantene Prov Essentials Liso Extra 200ml</t>
        </is>
      </c>
      <c r="E1668" s="2" t="inlineStr">
        <is>
          <t>PANTENE</t>
        </is>
      </c>
      <c r="F1668" s="2" t="n">
        <v>566.05</v>
      </c>
      <c r="G1668" s="2" t="n">
        <v>46781</v>
      </c>
      <c r="H1668" s="2" t="b">
        <v>0</v>
      </c>
      <c r="I1668" s="2" t="n">
        <v>200</v>
      </c>
      <c r="J1668" s="2" t="n">
        <v>2.8302</v>
      </c>
      <c r="K1668" s="2" t="inlineStr">
        <is>
          <t>&gt; Perfumería &gt; Cuidado Capilar &gt; Shampoo &gt;</t>
        </is>
      </c>
      <c r="L1668" s="2" t="inlineStr">
        <is>
          <t>shampoo</t>
        </is>
      </c>
      <c r="M1668" s="2" t="inlineStr">
        <is>
          <t>profesional</t>
        </is>
      </c>
      <c r="N1668" s="2" t="inlineStr">
        <is>
          <t>general</t>
        </is>
      </c>
      <c r="O1668" s="2" t="inlineStr">
        <is>
          <t>https://www.jumbo.com.ar/shampoo-pantene-prov-essentials-liso-extra-200ml/p</t>
        </is>
      </c>
    </row>
    <row r="1669">
      <c r="A1669" t="inlineStr">
        <is>
          <t>Jumbo</t>
        </is>
      </c>
      <c r="B1669" t="n">
        <v>345274</v>
      </c>
      <c r="C1669" t="n">
        <v>343959</v>
      </c>
      <c r="D1669" t="inlineStr">
        <is>
          <t>Shampoo Pantene Prov Essentials Liso Extra 400ml</t>
        </is>
      </c>
      <c r="E1669" t="inlineStr">
        <is>
          <t>PANTENE</t>
        </is>
      </c>
      <c r="F1669" t="n">
        <v>1400</v>
      </c>
      <c r="G1669" t="n">
        <v>115702</v>
      </c>
      <c r="H1669" t="b">
        <v>0</v>
      </c>
      <c r="I1669" t="n">
        <v>400</v>
      </c>
      <c r="J1669" t="n">
        <v>3.5</v>
      </c>
      <c r="K1669" t="inlineStr">
        <is>
          <t>&gt; Perfumería &gt; Cuidado Capilar &gt; Shampoo &gt;</t>
        </is>
      </c>
      <c r="L1669" t="inlineStr">
        <is>
          <t>shampoo</t>
        </is>
      </c>
      <c r="M1669" t="inlineStr">
        <is>
          <t>profesional</t>
        </is>
      </c>
      <c r="N1669" t="inlineStr">
        <is>
          <t>general</t>
        </is>
      </c>
      <c r="O1669" t="inlineStr">
        <is>
          <t>https://www.jumbo.com.ar/shampoo-pantene-prov-essentials-liso-extra-400ml/p</t>
        </is>
      </c>
    </row>
    <row r="1670">
      <c r="A1670" s="2" t="inlineStr">
        <is>
          <t>Jumbo</t>
        </is>
      </c>
      <c r="B1670" s="2" t="n">
        <v>345132</v>
      </c>
      <c r="C1670" s="2" t="n">
        <v>343817</v>
      </c>
      <c r="D1670" s="2" t="inlineStr">
        <is>
          <t>Shampoo Pantene Prov Essentials Restauración 200ml</t>
        </is>
      </c>
      <c r="E1670" s="2" t="inlineStr">
        <is>
          <t>PANTENE</t>
        </is>
      </c>
      <c r="F1670" s="2" t="n">
        <v>510.99</v>
      </c>
      <c r="G1670" s="2" t="n">
        <v>42231</v>
      </c>
      <c r="H1670" s="2" t="b">
        <v>0</v>
      </c>
      <c r="I1670" s="2" t="n">
        <v>200</v>
      </c>
      <c r="J1670" s="2" t="n">
        <v>2.5549</v>
      </c>
      <c r="K1670" s="2" t="inlineStr">
        <is>
          <t>&gt; Perfumería &gt; Cuidado Capilar &gt; Shampoo &gt;</t>
        </is>
      </c>
      <c r="L1670" s="2" t="inlineStr">
        <is>
          <t>shampoo</t>
        </is>
      </c>
      <c r="M1670" s="2" t="inlineStr">
        <is>
          <t>profesional</t>
        </is>
      </c>
      <c r="N1670" s="2" t="inlineStr">
        <is>
          <t>general</t>
        </is>
      </c>
      <c r="O1670" s="2" t="inlineStr">
        <is>
          <t>https://www.jumbo.com.ar/shampoo-pantene-prov-essentials-restauracion-200ml/p</t>
        </is>
      </c>
    </row>
    <row r="1671">
      <c r="A1671" t="inlineStr">
        <is>
          <t>Jumbo</t>
        </is>
      </c>
      <c r="B1671" t="n">
        <v>345113</v>
      </c>
      <c r="C1671" t="n">
        <v>343798</v>
      </c>
      <c r="D1671" t="inlineStr">
        <is>
          <t>Shampoo Pantene Prov Essentials Micelar 400ml</t>
        </is>
      </c>
      <c r="E1671" t="inlineStr">
        <is>
          <t>PANTENE</t>
        </is>
      </c>
      <c r="F1671" t="n">
        <v>858.79</v>
      </c>
      <c r="G1671" t="n">
        <v>70974</v>
      </c>
      <c r="H1671" t="b">
        <v>0</v>
      </c>
      <c r="I1671" t="n">
        <v>400</v>
      </c>
      <c r="J1671" t="n">
        <v>2.147</v>
      </c>
      <c r="K1671" t="inlineStr">
        <is>
          <t>&gt; Perfumería &gt; Cuidado Capilar &gt; Shampoo &gt;</t>
        </is>
      </c>
      <c r="L1671" t="inlineStr">
        <is>
          <t>shampoo</t>
        </is>
      </c>
      <c r="M1671" t="inlineStr">
        <is>
          <t>profesional</t>
        </is>
      </c>
      <c r="N1671" t="inlineStr">
        <is>
          <t>general</t>
        </is>
      </c>
      <c r="O1671" t="inlineStr">
        <is>
          <t>https://www.jumbo.com.ar/shampoo-pantene-prov-essentials-micelar-400ml-2/p</t>
        </is>
      </c>
    </row>
    <row r="1672">
      <c r="A1672" s="2" t="inlineStr">
        <is>
          <t>Jumbo</t>
        </is>
      </c>
      <c r="B1672" s="2" t="n">
        <v>345111</v>
      </c>
      <c r="C1672" s="2" t="n">
        <v>343796</v>
      </c>
      <c r="D1672" s="2" t="inlineStr">
        <is>
          <t>Shampoo Pantene Prov Essentials Micelar 200ml</t>
        </is>
      </c>
      <c r="E1672" s="2" t="inlineStr">
        <is>
          <t>PANTENE</t>
        </is>
      </c>
      <c r="F1672" s="2" t="n">
        <v>613.6900000000001</v>
      </c>
      <c r="G1672" s="2" t="n">
        <v>50718</v>
      </c>
      <c r="H1672" s="2" t="b">
        <v>0</v>
      </c>
      <c r="I1672" s="2" t="n">
        <v>200</v>
      </c>
      <c r="J1672" s="2" t="n">
        <v>3.0685</v>
      </c>
      <c r="K1672" s="2" t="inlineStr">
        <is>
          <t>&gt; Perfumería &gt; Cuidado Capilar &gt; Shampoo &gt;</t>
        </is>
      </c>
      <c r="L1672" s="2" t="inlineStr">
        <is>
          <t>shampoo</t>
        </is>
      </c>
      <c r="M1672" s="2" t="inlineStr">
        <is>
          <t>profesional</t>
        </is>
      </c>
      <c r="N1672" s="2" t="inlineStr">
        <is>
          <t>general</t>
        </is>
      </c>
      <c r="O1672" s="2" t="inlineStr">
        <is>
          <t>https://www.jumbo.com.ar/shampoo-pantene-prov-essentials-micelar-200ml-2/p</t>
        </is>
      </c>
    </row>
    <row r="1673">
      <c r="A1673" t="inlineStr">
        <is>
          <t>Jumbo</t>
        </is>
      </c>
      <c r="B1673" t="n">
        <v>345106</v>
      </c>
      <c r="C1673" t="n">
        <v>343791</v>
      </c>
      <c r="D1673" t="inlineStr">
        <is>
          <t>Shampoo Pantene Prov Essentials Brillo 200ml</t>
        </is>
      </c>
      <c r="E1673" t="inlineStr">
        <is>
          <t>PANTENE</t>
        </is>
      </c>
      <c r="F1673" t="n">
        <v>1100</v>
      </c>
      <c r="G1673" t="n">
        <v>90909</v>
      </c>
      <c r="H1673" t="b">
        <v>0</v>
      </c>
      <c r="I1673" t="n">
        <v>200</v>
      </c>
      <c r="J1673" t="n">
        <v>5.5</v>
      </c>
      <c r="K1673" t="inlineStr">
        <is>
          <t>&gt; Perfumería &gt; Cuidado Capilar &gt; Shampoo &gt;</t>
        </is>
      </c>
      <c r="L1673" t="inlineStr">
        <is>
          <t>shampoo</t>
        </is>
      </c>
      <c r="M1673" t="inlineStr">
        <is>
          <t>profesional</t>
        </is>
      </c>
      <c r="N1673" t="inlineStr">
        <is>
          <t>general</t>
        </is>
      </c>
      <c r="O1673" t="inlineStr">
        <is>
          <t>https://www.jumbo.com.ar/shampoo-pantene-prov-essentials-brillo-200ml-2/p</t>
        </is>
      </c>
    </row>
    <row r="1674">
      <c r="A1674" s="2" t="inlineStr">
        <is>
          <t>Jumbo</t>
        </is>
      </c>
      <c r="B1674" s="2" t="n">
        <v>345103</v>
      </c>
      <c r="C1674" s="2" t="n">
        <v>343788</v>
      </c>
      <c r="D1674" s="2" t="inlineStr">
        <is>
          <t>Acondicionador Pantene Pro-v Essentials Fuerza 200 Ml</t>
        </is>
      </c>
      <c r="E1674" s="2" t="inlineStr">
        <is>
          <t>PANTENE</t>
        </is>
      </c>
      <c r="F1674" s="2" t="n">
        <v>650</v>
      </c>
      <c r="G1674" s="2" t="n">
        <v>53719</v>
      </c>
      <c r="H1674" s="2" t="b">
        <v>0</v>
      </c>
      <c r="I1674" s="2" t="n">
        <v>200</v>
      </c>
      <c r="J1674" s="2" t="n">
        <v>3.25</v>
      </c>
      <c r="K1674" s="2" t="inlineStr">
        <is>
          <t>&gt; Perfumería &gt; Cuidado Capilar &gt; Acondicionador &gt;</t>
        </is>
      </c>
      <c r="L1674" s="2" t="inlineStr">
        <is>
          <t>acondicionador</t>
        </is>
      </c>
      <c r="M1674" s="2" t="inlineStr">
        <is>
          <t>profesional</t>
        </is>
      </c>
      <c r="N1674" s="2" t="inlineStr">
        <is>
          <t>general</t>
        </is>
      </c>
      <c r="O1674" s="2" t="inlineStr">
        <is>
          <t>https://www.jumbo.com.ar/acondicionador-pantene-pro-v-essentials-fuerza-200-ml/p</t>
        </is>
      </c>
    </row>
    <row r="1675">
      <c r="A1675" t="inlineStr">
        <is>
          <t>Jumbo</t>
        </is>
      </c>
      <c r="B1675" t="n">
        <v>345102</v>
      </c>
      <c r="C1675" t="n">
        <v>343787</v>
      </c>
      <c r="D1675" t="inlineStr">
        <is>
          <t>Shampoo Pantene Prov Essentials Fuerza 750ml</t>
        </is>
      </c>
      <c r="E1675" t="inlineStr">
        <is>
          <t>PANTENE</t>
        </is>
      </c>
      <c r="F1675" t="n">
        <v>1461.79</v>
      </c>
      <c r="G1675" t="n">
        <v>120809</v>
      </c>
      <c r="H1675" t="b">
        <v>0</v>
      </c>
      <c r="I1675" t="n">
        <v>750</v>
      </c>
      <c r="J1675" t="n">
        <v>1.9491</v>
      </c>
      <c r="K1675" t="inlineStr">
        <is>
          <t>&gt; Perfumería &gt; Cuidado Capilar &gt; Shampoo &gt;</t>
        </is>
      </c>
      <c r="L1675" t="inlineStr">
        <is>
          <t>shampoo</t>
        </is>
      </c>
      <c r="M1675" t="inlineStr">
        <is>
          <t>profesional</t>
        </is>
      </c>
      <c r="N1675" t="inlineStr">
        <is>
          <t>general</t>
        </is>
      </c>
      <c r="O1675" t="inlineStr">
        <is>
          <t>https://www.jumbo.com.ar/shampoo-pantene-prov-essentials-fuerza-750ml-2/p</t>
        </is>
      </c>
    </row>
    <row r="1676">
      <c r="A1676" s="2" t="inlineStr">
        <is>
          <t>Jumbo</t>
        </is>
      </c>
      <c r="B1676" s="2" t="n">
        <v>345101</v>
      </c>
      <c r="C1676" s="2" t="n">
        <v>343786</v>
      </c>
      <c r="D1676" s="2" t="inlineStr">
        <is>
          <t>Shampoo Pantene Prov Essentials Fuerza 400ml</t>
        </is>
      </c>
      <c r="E1676" s="2" t="inlineStr">
        <is>
          <t>PANTENE</t>
        </is>
      </c>
      <c r="F1676" s="2" t="n">
        <v>10000</v>
      </c>
      <c r="G1676" s="2" t="n">
        <v>826446</v>
      </c>
      <c r="H1676" s="2" t="b">
        <v>0</v>
      </c>
      <c r="I1676" s="2" t="n">
        <v>400</v>
      </c>
      <c r="J1676" s="2" t="n">
        <v>25</v>
      </c>
      <c r="K1676" s="2" t="inlineStr">
        <is>
          <t>&gt; Perfumería &gt; Cuidado Capilar &gt; Shampoo &gt;</t>
        </is>
      </c>
      <c r="L1676" s="2" t="inlineStr">
        <is>
          <t>shampoo</t>
        </is>
      </c>
      <c r="M1676" s="2" t="inlineStr">
        <is>
          <t>profesional</t>
        </is>
      </c>
      <c r="N1676" s="2" t="inlineStr">
        <is>
          <t>general</t>
        </is>
      </c>
      <c r="O1676" s="2" t="inlineStr">
        <is>
          <t>https://www.jumbo.com.ar/shampoo-pantene-prov-essentials-fuerza-400ml-2/p</t>
        </is>
      </c>
    </row>
    <row r="1677">
      <c r="A1677" t="inlineStr">
        <is>
          <t>Jumbo</t>
        </is>
      </c>
      <c r="B1677" t="n">
        <v>345099</v>
      </c>
      <c r="C1677" t="n">
        <v>343784</v>
      </c>
      <c r="D1677" t="inlineStr">
        <is>
          <t>Shampoo Pantene Prov Essentials Fuerza 200ml</t>
        </is>
      </c>
      <c r="E1677" t="inlineStr">
        <is>
          <t>PANTENE</t>
        </is>
      </c>
      <c r="F1677" t="n">
        <v>327.39</v>
      </c>
      <c r="G1677" t="n">
        <v>27057</v>
      </c>
      <c r="H1677" t="b">
        <v>0</v>
      </c>
      <c r="I1677" t="n">
        <v>200</v>
      </c>
      <c r="J1677" t="n">
        <v>1.6369</v>
      </c>
      <c r="K1677" t="inlineStr">
        <is>
          <t>&gt; Perfumería &gt; Cuidado Capilar &gt; Shampoo &gt;</t>
        </is>
      </c>
      <c r="L1677" t="inlineStr">
        <is>
          <t>shampoo</t>
        </is>
      </c>
      <c r="M1677" t="inlineStr">
        <is>
          <t>profesional</t>
        </is>
      </c>
      <c r="N1677" t="inlineStr">
        <is>
          <t>general</t>
        </is>
      </c>
      <c r="O1677" t="inlineStr">
        <is>
          <t>https://www.jumbo.com.ar/shampoo-pantene-prov-essentials-fuerza-200ml-2/p</t>
        </is>
      </c>
    </row>
    <row r="1678">
      <c r="A1678" s="2" t="inlineStr">
        <is>
          <t>Jumbo</t>
        </is>
      </c>
      <c r="B1678" s="2" t="n">
        <v>345080</v>
      </c>
      <c r="C1678" s="2" t="n">
        <v>343765</v>
      </c>
      <c r="D1678" s="2" t="inlineStr">
        <is>
          <t>Acondicionador Pantene Pro-v Essentials Micelar 200 Ml</t>
        </is>
      </c>
      <c r="E1678" s="2" t="inlineStr">
        <is>
          <t>PANTENE</t>
        </is>
      </c>
      <c r="F1678" s="2" t="n">
        <v>1000</v>
      </c>
      <c r="G1678" s="2" t="n">
        <v>82645</v>
      </c>
      <c r="H1678" s="2" t="b">
        <v>0</v>
      </c>
      <c r="I1678" s="2" t="n">
        <v>200</v>
      </c>
      <c r="J1678" s="2" t="n">
        <v>5</v>
      </c>
      <c r="K1678" s="2" t="inlineStr">
        <is>
          <t>&gt; Perfumería &gt; Cuidado Capilar &gt; Acondicionador &gt;</t>
        </is>
      </c>
      <c r="L1678" s="2" t="inlineStr">
        <is>
          <t>acondicionador</t>
        </is>
      </c>
      <c r="M1678" s="2" t="inlineStr">
        <is>
          <t>profesional</t>
        </is>
      </c>
      <c r="N1678" s="2" t="inlineStr">
        <is>
          <t>general</t>
        </is>
      </c>
      <c r="O1678" s="2" t="inlineStr">
        <is>
          <t>https://www.jumbo.com.ar/acondicionador-pantene-pro-v-essentials-micelar-200-ml/p</t>
        </is>
      </c>
    </row>
    <row r="1679">
      <c r="A1679" t="inlineStr">
        <is>
          <t>Jumbo</t>
        </is>
      </c>
      <c r="B1679" t="n">
        <v>345073</v>
      </c>
      <c r="C1679" t="n">
        <v>343758</v>
      </c>
      <c r="D1679" t="inlineStr">
        <is>
          <t>Shampoo Pantene Prov Essentials Micelar 750ml</t>
        </is>
      </c>
      <c r="E1679" t="inlineStr">
        <is>
          <t>PANTENE</t>
        </is>
      </c>
      <c r="F1679" t="n">
        <v>1544.85</v>
      </c>
      <c r="G1679" t="n">
        <v>127674</v>
      </c>
      <c r="H1679" t="b">
        <v>0</v>
      </c>
      <c r="I1679" t="n">
        <v>750</v>
      </c>
      <c r="J1679" t="n">
        <v>2.0598</v>
      </c>
      <c r="K1679" t="inlineStr">
        <is>
          <t>&gt; Perfumería &gt; Cuidado Capilar &gt; Shampoo &gt;</t>
        </is>
      </c>
      <c r="L1679" t="inlineStr">
        <is>
          <t>shampoo</t>
        </is>
      </c>
      <c r="M1679" t="inlineStr">
        <is>
          <t>profesional</t>
        </is>
      </c>
      <c r="N1679" t="inlineStr">
        <is>
          <t>general</t>
        </is>
      </c>
      <c r="O1679" t="inlineStr">
        <is>
          <t>https://www.jumbo.com.ar/shampoo-pantene-prov-essentials-micelar-750ml-2/p</t>
        </is>
      </c>
    </row>
    <row r="1680">
      <c r="A1680" s="2" t="inlineStr">
        <is>
          <t>Jumbo</t>
        </is>
      </c>
      <c r="B1680" s="2" t="n">
        <v>345057</v>
      </c>
      <c r="C1680" s="2" t="n">
        <v>343742</v>
      </c>
      <c r="D1680" s="2" t="inlineStr">
        <is>
          <t>Shampoo Pantene Prov Essentials Hidrat 750ml</t>
        </is>
      </c>
      <c r="E1680" s="2" t="inlineStr">
        <is>
          <t>PANTENE</t>
        </is>
      </c>
      <c r="F1680" s="2" t="n">
        <v>1450.49</v>
      </c>
      <c r="G1680" s="2" t="n">
        <v>119875</v>
      </c>
      <c r="H1680" s="2" t="b">
        <v>0</v>
      </c>
      <c r="I1680" s="2" t="n">
        <v>750</v>
      </c>
      <c r="J1680" s="2" t="n">
        <v>1.934</v>
      </c>
      <c r="K1680" s="2" t="inlineStr">
        <is>
          <t>&gt; Perfumería &gt; Cuidado Capilar &gt; Shampoo &gt;</t>
        </is>
      </c>
      <c r="L1680" s="2" t="inlineStr">
        <is>
          <t>shampoo</t>
        </is>
      </c>
      <c r="M1680" s="2" t="inlineStr">
        <is>
          <t>profesional</t>
        </is>
      </c>
      <c r="N1680" s="2" t="inlineStr">
        <is>
          <t>seco_danado</t>
        </is>
      </c>
      <c r="O1680" s="2" t="inlineStr">
        <is>
          <t>https://www.jumbo.com.ar/shampoo-pantene-prov-essentials-hidrat-750ml/p</t>
        </is>
      </c>
    </row>
    <row r="1681">
      <c r="A1681" t="inlineStr">
        <is>
          <t>Jumbo</t>
        </is>
      </c>
      <c r="B1681" t="n">
        <v>332835</v>
      </c>
      <c r="C1681" t="n">
        <v>331983</v>
      </c>
      <c r="D1681" t="inlineStr">
        <is>
          <t>Shampoo Pantene Pro-v Miracles Hidratación Extrema 750 Ml</t>
        </is>
      </c>
      <c r="E1681" t="inlineStr">
        <is>
          <t>PANTENE</t>
        </is>
      </c>
      <c r="F1681" t="n">
        <v>950</v>
      </c>
      <c r="G1681" t="n">
        <v>78512</v>
      </c>
      <c r="H1681" t="b">
        <v>0</v>
      </c>
      <c r="I1681" t="n">
        <v>750</v>
      </c>
      <c r="J1681" t="n">
        <v>1.2667</v>
      </c>
      <c r="K1681" t="inlineStr">
        <is>
          <t>&gt; Perfumería &gt; Cuidado Capilar &gt; Shampoo &gt;</t>
        </is>
      </c>
      <c r="L1681" t="inlineStr">
        <is>
          <t>shampoo</t>
        </is>
      </c>
      <c r="M1681" t="inlineStr">
        <is>
          <t>profesional</t>
        </is>
      </c>
      <c r="N1681" t="inlineStr">
        <is>
          <t>seco_danado</t>
        </is>
      </c>
      <c r="O1681" t="inlineStr">
        <is>
          <t>https://www.jumbo.com.ar/shampoo-pantene-pro-v-miracles-hidratacion-extrema-750-ml/p</t>
        </is>
      </c>
    </row>
    <row r="1682">
      <c r="A1682" s="2" t="inlineStr">
        <is>
          <t>Jumbo</t>
        </is>
      </c>
      <c r="B1682" s="2" t="n">
        <v>332833</v>
      </c>
      <c r="C1682" s="2" t="n">
        <v>331981</v>
      </c>
      <c r="D1682" s="2" t="inlineStr">
        <is>
          <t>Aceite / óleo Poderoso Pantene Pro-v Repara 95 Ml</t>
        </is>
      </c>
      <c r="E1682" s="2" t="inlineStr">
        <is>
          <t>PANTENE</t>
        </is>
      </c>
      <c r="F1682" s="2" t="n">
        <v>13000</v>
      </c>
      <c r="G1682" s="2" t="n">
        <v>1074380</v>
      </c>
      <c r="H1682" s="2" t="b">
        <v>0</v>
      </c>
      <c r="I1682" s="2" t="n">
        <v>95</v>
      </c>
      <c r="J1682" s="2" t="n">
        <v>136.8421</v>
      </c>
      <c r="K1682" s="2" t="inlineStr">
        <is>
          <t>&gt; Perfumería &gt; Cuidado Capilar &gt; Reparación y Tratamientos &gt;</t>
        </is>
      </c>
      <c r="L1682" s="2" t="inlineStr">
        <is>
          <t>shampoo</t>
        </is>
      </c>
      <c r="M1682" s="2" t="inlineStr">
        <is>
          <t>profesional</t>
        </is>
      </c>
      <c r="N1682" s="2" t="inlineStr">
        <is>
          <t>general</t>
        </is>
      </c>
      <c r="O1682" s="2" t="inlineStr">
        <is>
          <t>https://www.jumbo.com.ar/aceite-oleo-poderoso-pantene-pro-v-repara-95-ml/p</t>
        </is>
      </c>
    </row>
    <row r="1683">
      <c r="A1683" t="inlineStr">
        <is>
          <t>Jumbo</t>
        </is>
      </c>
      <c r="B1683" t="n">
        <v>332832</v>
      </c>
      <c r="C1683" t="n">
        <v>331980</v>
      </c>
      <c r="D1683" t="inlineStr">
        <is>
          <t>Acondicionador Pantene Pro-v Miracles Hidratación Extrema 400 Ml</t>
        </is>
      </c>
      <c r="E1683" t="inlineStr">
        <is>
          <t>PANTENE</t>
        </is>
      </c>
      <c r="F1683" t="n">
        <v>415.95</v>
      </c>
      <c r="G1683" t="n">
        <v>34376</v>
      </c>
      <c r="H1683" t="b">
        <v>0</v>
      </c>
      <c r="I1683" t="n">
        <v>400</v>
      </c>
      <c r="J1683" t="n">
        <v>1.0399</v>
      </c>
      <c r="K1683" t="inlineStr">
        <is>
          <t>&gt; Perfumería &gt; Cuidado Capilar &gt; Acondicionador &gt;</t>
        </is>
      </c>
      <c r="L1683" t="inlineStr">
        <is>
          <t>acondicionador</t>
        </is>
      </c>
      <c r="M1683" t="inlineStr">
        <is>
          <t>profesional</t>
        </is>
      </c>
      <c r="N1683" t="inlineStr">
        <is>
          <t>seco_danado</t>
        </is>
      </c>
      <c r="O1683" t="inlineStr">
        <is>
          <t>https://www.jumbo.com.ar/acondicionador-pantene-pro-v-miracles-hidratacion-extrema-400-ml/p</t>
        </is>
      </c>
    </row>
    <row r="1684">
      <c r="A1684" s="2" t="inlineStr">
        <is>
          <t>Jumbo</t>
        </is>
      </c>
      <c r="B1684" s="2" t="n">
        <v>332831</v>
      </c>
      <c r="C1684" s="2" t="n">
        <v>331979</v>
      </c>
      <c r="D1684" s="2" t="inlineStr">
        <is>
          <t>Acondicionador Pantene Pro-v Miracles Hidratación 400 Ml</t>
        </is>
      </c>
      <c r="E1684" s="2" t="inlineStr">
        <is>
          <t>PANTENE</t>
        </is>
      </c>
      <c r="F1684" s="2" t="n">
        <v>415.95</v>
      </c>
      <c r="G1684" s="2" t="n">
        <v>34376</v>
      </c>
      <c r="H1684" s="2" t="b">
        <v>0</v>
      </c>
      <c r="I1684" s="2" t="n">
        <v>400</v>
      </c>
      <c r="J1684" s="2" t="n">
        <v>1.0399</v>
      </c>
      <c r="K1684" s="2" t="inlineStr">
        <is>
          <t>&gt; Perfumería &gt; Cuidado Capilar &gt; Acondicionador &gt;</t>
        </is>
      </c>
      <c r="L1684" s="2" t="inlineStr">
        <is>
          <t>acondicionador</t>
        </is>
      </c>
      <c r="M1684" s="2" t="inlineStr">
        <is>
          <t>profesional</t>
        </is>
      </c>
      <c r="N1684" s="2" t="inlineStr">
        <is>
          <t>seco_danado</t>
        </is>
      </c>
      <c r="O1684" s="2" t="inlineStr">
        <is>
          <t>https://www.jumbo.com.ar/acondicionador-pantene-pro-v-miracles-hidratacion-400-ml/p</t>
        </is>
      </c>
    </row>
    <row r="1685">
      <c r="A1685" t="inlineStr">
        <is>
          <t>Jumbo</t>
        </is>
      </c>
      <c r="B1685" t="n">
        <v>332830</v>
      </c>
      <c r="C1685" t="n">
        <v>331978</v>
      </c>
      <c r="D1685" t="inlineStr">
        <is>
          <t>Acondicionador Pantene Pro-v Miracles Hidratación 200 Ml</t>
        </is>
      </c>
      <c r="E1685" t="inlineStr">
        <is>
          <t>PANTENE</t>
        </is>
      </c>
      <c r="F1685" t="n">
        <v>274.19</v>
      </c>
      <c r="G1685" t="n">
        <v>22660</v>
      </c>
      <c r="H1685" t="b">
        <v>0</v>
      </c>
      <c r="I1685" t="n">
        <v>200</v>
      </c>
      <c r="J1685" t="n">
        <v>1.3709</v>
      </c>
      <c r="K1685" t="inlineStr">
        <is>
          <t>&gt; Perfumería &gt; Cuidado Capilar &gt; Acondicionador &gt;</t>
        </is>
      </c>
      <c r="L1685" t="inlineStr">
        <is>
          <t>acondicionador</t>
        </is>
      </c>
      <c r="M1685" t="inlineStr">
        <is>
          <t>profesional</t>
        </is>
      </c>
      <c r="N1685" t="inlineStr">
        <is>
          <t>seco_danado</t>
        </is>
      </c>
      <c r="O1685" t="inlineStr">
        <is>
          <t>https://www.jumbo.com.ar/acondicionador-pantene-pro-v-miracles-hidratacion-200-ml/p</t>
        </is>
      </c>
    </row>
    <row r="1686">
      <c r="A1686" s="2" t="inlineStr">
        <is>
          <t>Jumbo</t>
        </is>
      </c>
      <c r="B1686" s="2" t="n">
        <v>332829</v>
      </c>
      <c r="C1686" s="2" t="n">
        <v>331977</v>
      </c>
      <c r="D1686" s="2" t="inlineStr">
        <is>
          <t>Acondicionador Pantene Pro-v Miracles Liso Extremo 200 Ml</t>
        </is>
      </c>
      <c r="E1686" s="2" t="inlineStr">
        <is>
          <t>PANTENE</t>
        </is>
      </c>
      <c r="F1686" s="2" t="n">
        <v>274.19</v>
      </c>
      <c r="G1686" s="2" t="n">
        <v>22660</v>
      </c>
      <c r="H1686" s="2" t="b">
        <v>0</v>
      </c>
      <c r="I1686" s="2" t="n">
        <v>200</v>
      </c>
      <c r="J1686" s="2" t="n">
        <v>1.3709</v>
      </c>
      <c r="K1686" s="2" t="inlineStr">
        <is>
          <t>&gt; Perfumería &gt; Cuidado Capilar &gt; Acondicionador &gt;</t>
        </is>
      </c>
      <c r="L1686" s="2" t="inlineStr">
        <is>
          <t>acondicionador</t>
        </is>
      </c>
      <c r="M1686" s="2" t="inlineStr">
        <is>
          <t>profesional</t>
        </is>
      </c>
      <c r="N1686" s="2" t="inlineStr">
        <is>
          <t>general</t>
        </is>
      </c>
      <c r="O1686" s="2" t="inlineStr">
        <is>
          <t>https://www.jumbo.com.ar/acondicionador-pantene-pro-v-miracles-liso-extremo-200-ml/p</t>
        </is>
      </c>
    </row>
    <row r="1687">
      <c r="A1687" t="inlineStr">
        <is>
          <t>Jumbo</t>
        </is>
      </c>
      <c r="B1687" t="n">
        <v>332828</v>
      </c>
      <c r="C1687" t="n">
        <v>331976</v>
      </c>
      <c r="D1687" t="inlineStr">
        <is>
          <t>Shampoo Pantene Pro-v Miracles Hidratación 200 Ml</t>
        </is>
      </c>
      <c r="E1687" t="inlineStr">
        <is>
          <t>PANTENE</t>
        </is>
      </c>
      <c r="F1687" t="n">
        <v>274.19</v>
      </c>
      <c r="G1687" t="n">
        <v>22660</v>
      </c>
      <c r="H1687" t="b">
        <v>0</v>
      </c>
      <c r="I1687" t="n">
        <v>200</v>
      </c>
      <c r="J1687" t="n">
        <v>1.3709</v>
      </c>
      <c r="K1687" t="inlineStr">
        <is>
          <t>&gt; Perfumería &gt; Cuidado Capilar &gt; Shampoo &gt;</t>
        </is>
      </c>
      <c r="L1687" t="inlineStr">
        <is>
          <t>shampoo</t>
        </is>
      </c>
      <c r="M1687" t="inlineStr">
        <is>
          <t>profesional</t>
        </is>
      </c>
      <c r="N1687" t="inlineStr">
        <is>
          <t>seco_danado</t>
        </is>
      </c>
      <c r="O1687" t="inlineStr">
        <is>
          <t>https://www.jumbo.com.ar/shampoo-pantene-pro-v-miracles-hidratacion-200-ml/p</t>
        </is>
      </c>
    </row>
    <row r="1688">
      <c r="A1688" s="2" t="inlineStr">
        <is>
          <t>Jumbo</t>
        </is>
      </c>
      <c r="B1688" s="2" t="n">
        <v>332826</v>
      </c>
      <c r="C1688" s="2" t="n">
        <v>331974</v>
      </c>
      <c r="D1688" s="2" t="inlineStr">
        <is>
          <t>Shampoo Pantene Pro-v Miracles Hidratación 400 Ml</t>
        </is>
      </c>
      <c r="E1688" s="2" t="inlineStr">
        <is>
          <t>PANTENE</t>
        </is>
      </c>
      <c r="F1688" s="2" t="n">
        <v>392.39</v>
      </c>
      <c r="G1688" s="2" t="n">
        <v>32429</v>
      </c>
      <c r="H1688" s="2" t="b">
        <v>0</v>
      </c>
      <c r="I1688" s="2" t="n">
        <v>400</v>
      </c>
      <c r="J1688" s="2" t="n">
        <v>0.981</v>
      </c>
      <c r="K1688" s="2" t="inlineStr">
        <is>
          <t>&gt; Perfumería &gt; Cuidado Capilar &gt; Shampoo &gt;</t>
        </is>
      </c>
      <c r="L1688" s="2" t="inlineStr">
        <is>
          <t>shampoo</t>
        </is>
      </c>
      <c r="M1688" s="2" t="inlineStr">
        <is>
          <t>profesional</t>
        </is>
      </c>
      <c r="N1688" s="2" t="inlineStr">
        <is>
          <t>seco_danado</t>
        </is>
      </c>
      <c r="O1688" s="2" t="inlineStr">
        <is>
          <t>https://www.jumbo.com.ar/shampoo-pantene-pro-v-miracles-hidratacion-400-ml/p</t>
        </is>
      </c>
    </row>
    <row r="1689">
      <c r="A1689" t="inlineStr">
        <is>
          <t>Jumbo</t>
        </is>
      </c>
      <c r="B1689" t="n">
        <v>332825</v>
      </c>
      <c r="C1689" t="n">
        <v>331973</v>
      </c>
      <c r="D1689" t="inlineStr">
        <is>
          <t>Acondicionador Pantene Pro-v Miracles Liso Extremo 750 Ml</t>
        </is>
      </c>
      <c r="E1689" t="inlineStr">
        <is>
          <t>PANTENE</t>
        </is>
      </c>
      <c r="F1689" t="n">
        <v>611.6900000000001</v>
      </c>
      <c r="G1689" t="n">
        <v>50553</v>
      </c>
      <c r="H1689" t="b">
        <v>0</v>
      </c>
      <c r="I1689" t="n">
        <v>750</v>
      </c>
      <c r="J1689" t="n">
        <v>0.8156</v>
      </c>
      <c r="K1689" t="inlineStr">
        <is>
          <t>&gt; Perfumería &gt; Cuidado Capilar &gt; Acondicionador &gt;</t>
        </is>
      </c>
      <c r="L1689" t="inlineStr">
        <is>
          <t>acondicionador</t>
        </is>
      </c>
      <c r="M1689" t="inlineStr">
        <is>
          <t>profesional</t>
        </is>
      </c>
      <c r="N1689" t="inlineStr">
        <is>
          <t>general</t>
        </is>
      </c>
      <c r="O1689" t="inlineStr">
        <is>
          <t>https://www.jumbo.com.ar/acondicionador-pantene-pro-v-miracles-liso-extremo-750-ml/p</t>
        </is>
      </c>
    </row>
    <row r="1690">
      <c r="A1690" s="2" t="inlineStr">
        <is>
          <t>Jumbo</t>
        </is>
      </c>
      <c r="B1690" s="2" t="n">
        <v>332824</v>
      </c>
      <c r="C1690" s="2" t="n">
        <v>331972</v>
      </c>
      <c r="D1690" s="2" t="inlineStr">
        <is>
          <t>Acondicionador Pantene Pro-v Miracles Liso Extremo 400 Ml</t>
        </is>
      </c>
      <c r="E1690" s="2" t="inlineStr">
        <is>
          <t>PANTENE</t>
        </is>
      </c>
      <c r="F1690" s="2" t="n">
        <v>415.95</v>
      </c>
      <c r="G1690" s="2" t="n">
        <v>34376</v>
      </c>
      <c r="H1690" s="2" t="b">
        <v>0</v>
      </c>
      <c r="I1690" s="2" t="n">
        <v>400</v>
      </c>
      <c r="J1690" s="2" t="n">
        <v>1.0399</v>
      </c>
      <c r="K1690" s="2" t="inlineStr">
        <is>
          <t>&gt; Perfumería &gt; Cuidado Capilar &gt; Acondicionador &gt;</t>
        </is>
      </c>
      <c r="L1690" s="2" t="inlineStr">
        <is>
          <t>acondicionador</t>
        </is>
      </c>
      <c r="M1690" s="2" t="inlineStr">
        <is>
          <t>profesional</t>
        </is>
      </c>
      <c r="N1690" s="2" t="inlineStr">
        <is>
          <t>general</t>
        </is>
      </c>
      <c r="O1690" s="2" t="inlineStr">
        <is>
          <t>https://www.jumbo.com.ar/acondicionador-pantene-pro-v-miracles-liso-extremo-400-ml/p</t>
        </is>
      </c>
    </row>
    <row r="1691">
      <c r="A1691" t="inlineStr">
        <is>
          <t>Jumbo</t>
        </is>
      </c>
      <c r="B1691" t="n">
        <v>332823</v>
      </c>
      <c r="C1691" t="n">
        <v>331971</v>
      </c>
      <c r="D1691" t="inlineStr">
        <is>
          <t>Acondicionador Pantene Pro-v Miracles Hidratación Extrema 200 Ml</t>
        </is>
      </c>
      <c r="E1691" t="inlineStr">
        <is>
          <t>PANTENE</t>
        </is>
      </c>
      <c r="F1691" t="n">
        <v>274.19</v>
      </c>
      <c r="G1691" t="n">
        <v>22660</v>
      </c>
      <c r="H1691" t="b">
        <v>0</v>
      </c>
      <c r="I1691" t="n">
        <v>200</v>
      </c>
      <c r="J1691" t="n">
        <v>1.3709</v>
      </c>
      <c r="K1691" t="inlineStr">
        <is>
          <t>&gt; Perfumería &gt; Cuidado Capilar &gt; Acondicionador &gt;</t>
        </is>
      </c>
      <c r="L1691" t="inlineStr">
        <is>
          <t>acondicionador</t>
        </is>
      </c>
      <c r="M1691" t="inlineStr">
        <is>
          <t>profesional</t>
        </is>
      </c>
      <c r="N1691" t="inlineStr">
        <is>
          <t>seco_danado</t>
        </is>
      </c>
      <c r="O1691" t="inlineStr">
        <is>
          <t>https://www.jumbo.com.ar/acondicionador-pantene-pro-v-miracles-hidratacion-extrema-200-ml/p</t>
        </is>
      </c>
    </row>
    <row r="1692">
      <c r="A1692" s="2" t="inlineStr">
        <is>
          <t>Jumbo</t>
        </is>
      </c>
      <c r="B1692" s="2" t="n">
        <v>332820</v>
      </c>
      <c r="C1692" s="2" t="n">
        <v>331969</v>
      </c>
      <c r="D1692" s="2" t="inlineStr">
        <is>
          <t>Acondicionador Pantene Pro-v Miracles Hidratación Extrema 750 Ml</t>
        </is>
      </c>
      <c r="E1692" s="2" t="inlineStr">
        <is>
          <t>PANTENE</t>
        </is>
      </c>
      <c r="F1692" s="2" t="n">
        <v>693.77</v>
      </c>
      <c r="G1692" s="2" t="n">
        <v>57336</v>
      </c>
      <c r="H1692" s="2" t="b">
        <v>0</v>
      </c>
      <c r="I1692" s="2" t="n">
        <v>750</v>
      </c>
      <c r="J1692" s="2" t="n">
        <v>0.925</v>
      </c>
      <c r="K1692" s="2" t="inlineStr">
        <is>
          <t>&gt; Perfumería &gt; Cuidado Capilar &gt; Acondicionador &gt;</t>
        </is>
      </c>
      <c r="L1692" s="2" t="inlineStr">
        <is>
          <t>acondicionador</t>
        </is>
      </c>
      <c r="M1692" s="2" t="inlineStr">
        <is>
          <t>profesional</t>
        </is>
      </c>
      <c r="N1692" s="2" t="inlineStr">
        <is>
          <t>seco_danado</t>
        </is>
      </c>
      <c r="O1692" s="2" t="inlineStr">
        <is>
          <t>https://www.jumbo.com.ar/acondicionador-pantene-pro-v-miracles-hidratacion-extrema-750-ml/p</t>
        </is>
      </c>
    </row>
    <row r="1693">
      <c r="A1693" t="inlineStr">
        <is>
          <t>Jumbo</t>
        </is>
      </c>
      <c r="B1693" t="n">
        <v>332813</v>
      </c>
      <c r="C1693" t="n">
        <v>331966</v>
      </c>
      <c r="D1693" t="inlineStr">
        <is>
          <t>Shampoo Pantene Pro-v Miracles Hidratación 750 Ml</t>
        </is>
      </c>
      <c r="E1693" t="inlineStr">
        <is>
          <t>PANTENE</t>
        </is>
      </c>
      <c r="F1693" t="n">
        <v>693.77</v>
      </c>
      <c r="G1693" t="n">
        <v>57336</v>
      </c>
      <c r="H1693" t="b">
        <v>0</v>
      </c>
      <c r="I1693" t="n">
        <v>750</v>
      </c>
      <c r="J1693" t="n">
        <v>0.925</v>
      </c>
      <c r="K1693" t="inlineStr">
        <is>
          <t>&gt; Perfumería &gt; Cuidado Capilar &gt; Shampoo &gt;</t>
        </is>
      </c>
      <c r="L1693" t="inlineStr">
        <is>
          <t>shampoo</t>
        </is>
      </c>
      <c r="M1693" t="inlineStr">
        <is>
          <t>profesional</t>
        </is>
      </c>
      <c r="N1693" t="inlineStr">
        <is>
          <t>seco_danado</t>
        </is>
      </c>
      <c r="O1693" t="inlineStr">
        <is>
          <t>https://www.jumbo.com.ar/shampoo-pantene-pro-v-miracles-hidratacion-750-ml/p</t>
        </is>
      </c>
    </row>
    <row r="1694">
      <c r="A1694" s="2" t="inlineStr">
        <is>
          <t>Jumbo</t>
        </is>
      </c>
      <c r="B1694" s="2" t="n">
        <v>332811</v>
      </c>
      <c r="C1694" s="2" t="n">
        <v>331964</v>
      </c>
      <c r="D1694" s="2" t="inlineStr">
        <is>
          <t>Shampoo Pantene Pro-v Miracles Liso Extremo 200 Ml</t>
        </is>
      </c>
      <c r="E1694" s="2" t="inlineStr">
        <is>
          <t>PANTENE</t>
        </is>
      </c>
      <c r="F1694" s="2" t="n">
        <v>274.19</v>
      </c>
      <c r="G1694" s="2" t="n">
        <v>22660</v>
      </c>
      <c r="H1694" s="2" t="b">
        <v>0</v>
      </c>
      <c r="I1694" s="2" t="n">
        <v>200</v>
      </c>
      <c r="J1694" s="2" t="n">
        <v>1.3709</v>
      </c>
      <c r="K1694" s="2" t="inlineStr">
        <is>
          <t>&gt; Perfumería &gt; Cuidado Capilar &gt; Shampoo &gt;</t>
        </is>
      </c>
      <c r="L1694" s="2" t="inlineStr">
        <is>
          <t>shampoo</t>
        </is>
      </c>
      <c r="M1694" s="2" t="inlineStr">
        <is>
          <t>profesional</t>
        </is>
      </c>
      <c r="N1694" s="2" t="inlineStr">
        <is>
          <t>general</t>
        </is>
      </c>
      <c r="O1694" s="2" t="inlineStr">
        <is>
          <t>https://www.jumbo.com.ar/shampoo-pantene-pro-v-miracles-liso-extremo-200-ml/p</t>
        </is>
      </c>
    </row>
    <row r="1695">
      <c r="A1695" t="inlineStr">
        <is>
          <t>Jumbo</t>
        </is>
      </c>
      <c r="B1695" t="n">
        <v>332809</v>
      </c>
      <c r="C1695" t="n">
        <v>331963</v>
      </c>
      <c r="D1695" t="inlineStr">
        <is>
          <t>Shampoo Pantene Pro-v Miracles Liso Extremo 750 Ml</t>
        </is>
      </c>
      <c r="E1695" t="inlineStr">
        <is>
          <t>PANTENE</t>
        </is>
      </c>
      <c r="F1695" t="n">
        <v>693.77</v>
      </c>
      <c r="G1695" t="n">
        <v>57336</v>
      </c>
      <c r="H1695" t="b">
        <v>0</v>
      </c>
      <c r="I1695" t="n">
        <v>750</v>
      </c>
      <c r="J1695" t="n">
        <v>0.925</v>
      </c>
      <c r="K1695" t="inlineStr">
        <is>
          <t>&gt; Perfumería &gt; Cuidado Capilar &gt; Shampoo &gt;</t>
        </is>
      </c>
      <c r="L1695" t="inlineStr">
        <is>
          <t>shampoo</t>
        </is>
      </c>
      <c r="M1695" t="inlineStr">
        <is>
          <t>profesional</t>
        </is>
      </c>
      <c r="N1695" t="inlineStr">
        <is>
          <t>general</t>
        </is>
      </c>
      <c r="O1695" t="inlineStr">
        <is>
          <t>https://www.jumbo.com.ar/shampoo-pantene-pro-v-miracles-liso-extremo-750-ml/p</t>
        </is>
      </c>
    </row>
    <row r="1696">
      <c r="A1696" s="2" t="inlineStr">
        <is>
          <t>Jumbo</t>
        </is>
      </c>
      <c r="B1696" s="2" t="n">
        <v>332808</v>
      </c>
      <c r="C1696" s="2" t="n">
        <v>331962</v>
      </c>
      <c r="D1696" s="2" t="inlineStr">
        <is>
          <t>Shampoo Pantene Pro-v Miracles Liso Extremo 400 Ml</t>
        </is>
      </c>
      <c r="E1696" s="2" t="inlineStr">
        <is>
          <t>PANTENE</t>
        </is>
      </c>
      <c r="F1696" s="2" t="n">
        <v>392.39</v>
      </c>
      <c r="G1696" s="2" t="n">
        <v>32429</v>
      </c>
      <c r="H1696" s="2" t="b">
        <v>0</v>
      </c>
      <c r="I1696" s="2" t="n">
        <v>400</v>
      </c>
      <c r="J1696" s="2" t="n">
        <v>0.981</v>
      </c>
      <c r="K1696" s="2" t="inlineStr">
        <is>
          <t>&gt; Perfumería &gt; Cuidado Capilar &gt; Shampoo &gt;</t>
        </is>
      </c>
      <c r="L1696" s="2" t="inlineStr">
        <is>
          <t>shampoo</t>
        </is>
      </c>
      <c r="M1696" s="2" t="inlineStr">
        <is>
          <t>profesional</t>
        </is>
      </c>
      <c r="N1696" s="2" t="inlineStr">
        <is>
          <t>general</t>
        </is>
      </c>
      <c r="O1696" s="2" t="inlineStr">
        <is>
          <t>https://www.jumbo.com.ar/shampoo-pantene-pro-v-miracles-liso-extremo-400-ml/p</t>
        </is>
      </c>
    </row>
    <row r="1697">
      <c r="A1697" t="inlineStr">
        <is>
          <t>Jumbo</t>
        </is>
      </c>
      <c r="B1697" t="n">
        <v>332807</v>
      </c>
      <c r="C1697" t="n">
        <v>331961</v>
      </c>
      <c r="D1697" t="inlineStr">
        <is>
          <t>Shampoo Pantene Pro-v Miracles Hidratación Extrema 200 Ml</t>
        </is>
      </c>
      <c r="E1697" t="inlineStr">
        <is>
          <t>PANTENE</t>
        </is>
      </c>
      <c r="F1697" t="n">
        <v>274.19</v>
      </c>
      <c r="G1697" t="n">
        <v>22660</v>
      </c>
      <c r="H1697" t="b">
        <v>0</v>
      </c>
      <c r="I1697" t="n">
        <v>200</v>
      </c>
      <c r="J1697" t="n">
        <v>1.3709</v>
      </c>
      <c r="K1697" t="inlineStr">
        <is>
          <t>&gt; Perfumería &gt; Cuidado Capilar &gt; Shampoo &gt;</t>
        </is>
      </c>
      <c r="L1697" t="inlineStr">
        <is>
          <t>shampoo</t>
        </is>
      </c>
      <c r="M1697" t="inlineStr">
        <is>
          <t>profesional</t>
        </is>
      </c>
      <c r="N1697" t="inlineStr">
        <is>
          <t>seco_danado</t>
        </is>
      </c>
      <c r="O1697" t="inlineStr">
        <is>
          <t>https://www.jumbo.com.ar/shampoo-pantene-pro-v-miracles-hidratacion-extrema-200-ml/p</t>
        </is>
      </c>
    </row>
    <row r="1698">
      <c r="A1698" s="2" t="inlineStr">
        <is>
          <t>Jumbo</t>
        </is>
      </c>
      <c r="B1698" s="2" t="n">
        <v>332805</v>
      </c>
      <c r="C1698" s="2" t="n">
        <v>331959</v>
      </c>
      <c r="D1698" s="2" t="inlineStr">
        <is>
          <t>Shampoo Pantene Pro-v Miracles Hidratación Extrema 400 Ml</t>
        </is>
      </c>
      <c r="E1698" s="2" t="inlineStr">
        <is>
          <t>PANTENE</t>
        </is>
      </c>
      <c r="F1698" s="2" t="n">
        <v>415.95</v>
      </c>
      <c r="G1698" s="2" t="n">
        <v>34376</v>
      </c>
      <c r="H1698" s="2" t="b">
        <v>0</v>
      </c>
      <c r="I1698" s="2" t="n">
        <v>400</v>
      </c>
      <c r="J1698" s="2" t="n">
        <v>1.0399</v>
      </c>
      <c r="K1698" s="2" t="inlineStr">
        <is>
          <t>&gt; Perfumería &gt; Cuidado Capilar &gt; Shampoo &gt;</t>
        </is>
      </c>
      <c r="L1698" s="2" t="inlineStr">
        <is>
          <t>shampoo</t>
        </is>
      </c>
      <c r="M1698" s="2" t="inlineStr">
        <is>
          <t>profesional</t>
        </is>
      </c>
      <c r="N1698" s="2" t="inlineStr">
        <is>
          <t>seco_danado</t>
        </is>
      </c>
      <c r="O1698" s="2" t="inlineStr">
        <is>
          <t>https://www.jumbo.com.ar/shampoo-pantene-pro-v-miracles-hidratacion-extrema-400-ml/p</t>
        </is>
      </c>
    </row>
    <row r="1699">
      <c r="A1699" t="inlineStr">
        <is>
          <t>Jumbo</t>
        </is>
      </c>
      <c r="B1699" t="n">
        <v>332496</v>
      </c>
      <c r="C1699" t="n">
        <v>331653</v>
      </c>
      <c r="D1699" t="inlineStr">
        <is>
          <t>Acondicionador Pantene Pro-v Miracles Brillo Extremo 200 Ml</t>
        </is>
      </c>
      <c r="E1699" t="inlineStr">
        <is>
          <t>PANTENE</t>
        </is>
      </c>
      <c r="F1699" t="n">
        <v>333.79</v>
      </c>
      <c r="G1699" t="n">
        <v>27586</v>
      </c>
      <c r="H1699" t="b">
        <v>0</v>
      </c>
      <c r="I1699" t="n">
        <v>200</v>
      </c>
      <c r="J1699" t="n">
        <v>1.669</v>
      </c>
      <c r="K1699" t="inlineStr">
        <is>
          <t>&gt; Perfumería &gt; Cuidado Capilar &gt; Acondicionador &gt;</t>
        </is>
      </c>
      <c r="L1699" t="inlineStr">
        <is>
          <t>acondicionador</t>
        </is>
      </c>
      <c r="M1699" t="inlineStr">
        <is>
          <t>profesional</t>
        </is>
      </c>
      <c r="N1699" t="inlineStr">
        <is>
          <t>general</t>
        </is>
      </c>
      <c r="O1699" t="inlineStr">
        <is>
          <t>https://www.jumbo.com.ar/acondicionador-pantene-pro-v-miracles-brillo-extremo-200-ml/p</t>
        </is>
      </c>
    </row>
    <row r="1700">
      <c r="A1700" s="2" t="inlineStr">
        <is>
          <t>Jumbo</t>
        </is>
      </c>
      <c r="B1700" s="2" t="n">
        <v>332349</v>
      </c>
      <c r="C1700" s="2" t="n">
        <v>331506</v>
      </c>
      <c r="D1700" s="2" t="inlineStr">
        <is>
          <t>Shampoo Pantene Pro-v Minute Miracle Bambú  270 Ml</t>
        </is>
      </c>
      <c r="E1700" s="2" t="inlineStr">
        <is>
          <t>PANTENE</t>
        </is>
      </c>
      <c r="F1700" s="2" t="n">
        <v>462.29</v>
      </c>
      <c r="G1700" s="2" t="n">
        <v>38206</v>
      </c>
      <c r="H1700" s="2" t="b">
        <v>0</v>
      </c>
      <c r="I1700" s="2" t="n">
        <v>270</v>
      </c>
      <c r="J1700" s="2" t="n">
        <v>1.7122</v>
      </c>
      <c r="K1700" s="2" t="inlineStr">
        <is>
          <t>&gt; Perfumería &gt; Cuidado Capilar &gt; Shampoo &gt;</t>
        </is>
      </c>
      <c r="L1700" s="2" t="inlineStr">
        <is>
          <t>shampoo</t>
        </is>
      </c>
      <c r="M1700" s="2" t="inlineStr">
        <is>
          <t>profesional</t>
        </is>
      </c>
      <c r="N1700" s="2" t="inlineStr">
        <is>
          <t>general</t>
        </is>
      </c>
      <c r="O1700" s="2" t="inlineStr">
        <is>
          <t>https://www.jumbo.com.ar/shampoo-pantene-pro-v-minute-miracle-bambu-270-ml/p</t>
        </is>
      </c>
    </row>
    <row r="1701">
      <c r="A1701" t="inlineStr">
        <is>
          <t>Jumbo</t>
        </is>
      </c>
      <c r="B1701" t="n">
        <v>332341</v>
      </c>
      <c r="C1701" t="n">
        <v>331498</v>
      </c>
      <c r="D1701" t="inlineStr">
        <is>
          <t>Shampoo Pantene Pro-v Miracles Micelar 200 Ml</t>
        </is>
      </c>
      <c r="E1701" t="inlineStr">
        <is>
          <t>PANTENE</t>
        </is>
      </c>
      <c r="F1701" t="n">
        <v>333.79</v>
      </c>
      <c r="G1701" t="n">
        <v>27586</v>
      </c>
      <c r="H1701" t="b">
        <v>0</v>
      </c>
      <c r="I1701" t="n">
        <v>200</v>
      </c>
      <c r="J1701" t="n">
        <v>1.669</v>
      </c>
      <c r="K1701" t="inlineStr">
        <is>
          <t>&gt; Perfumería &gt; Cuidado Capilar &gt; Shampoo &gt;</t>
        </is>
      </c>
      <c r="L1701" t="inlineStr">
        <is>
          <t>shampoo</t>
        </is>
      </c>
      <c r="M1701" t="inlineStr">
        <is>
          <t>profesional</t>
        </is>
      </c>
      <c r="N1701" t="inlineStr">
        <is>
          <t>general</t>
        </is>
      </c>
      <c r="O1701" t="inlineStr">
        <is>
          <t>https://www.jumbo.com.ar/shampoo-pantene-pro-v-miracles-micelar-200-ml/p</t>
        </is>
      </c>
    </row>
    <row r="1702">
      <c r="A1702" s="2" t="inlineStr">
        <is>
          <t>Jumbo</t>
        </is>
      </c>
      <c r="B1702" s="2" t="n">
        <v>332340</v>
      </c>
      <c r="C1702" s="2" t="n">
        <v>331497</v>
      </c>
      <c r="D1702" s="2" t="inlineStr">
        <is>
          <t>Shampoo Pantene Pro-v Miracles Brillo Extremo 200 Ml</t>
        </is>
      </c>
      <c r="E1702" s="2" t="inlineStr">
        <is>
          <t>PANTENE</t>
        </is>
      </c>
      <c r="F1702" s="2" t="n">
        <v>333.79</v>
      </c>
      <c r="G1702" s="2" t="n">
        <v>27586</v>
      </c>
      <c r="H1702" s="2" t="b">
        <v>0</v>
      </c>
      <c r="I1702" s="2" t="n">
        <v>200</v>
      </c>
      <c r="J1702" s="2" t="n">
        <v>1.669</v>
      </c>
      <c r="K1702" s="2" t="inlineStr">
        <is>
          <t>&gt; Perfumería &gt; Cuidado Capilar &gt; Shampoo &gt;</t>
        </is>
      </c>
      <c r="L1702" s="2" t="inlineStr">
        <is>
          <t>shampoo</t>
        </is>
      </c>
      <c r="M1702" s="2" t="inlineStr">
        <is>
          <t>profesional</t>
        </is>
      </c>
      <c r="N1702" s="2" t="inlineStr">
        <is>
          <t>general</t>
        </is>
      </c>
      <c r="O1702" s="2" t="inlineStr">
        <is>
          <t>https://www.jumbo.com.ar/shampoo-pantene-pro-v-miracles-brillo-extremo-200-ml/p</t>
        </is>
      </c>
    </row>
    <row r="1703">
      <c r="A1703" t="inlineStr">
        <is>
          <t>Jumbo</t>
        </is>
      </c>
      <c r="B1703" t="n">
        <v>332339</v>
      </c>
      <c r="C1703" t="n">
        <v>331496</v>
      </c>
      <c r="D1703" t="inlineStr">
        <is>
          <t>Shampoo Pantene Pro-v Miracles Fuerza &amp; Reconstrucción 200 Ml</t>
        </is>
      </c>
      <c r="E1703" t="inlineStr">
        <is>
          <t>PANTENE</t>
        </is>
      </c>
      <c r="F1703" t="n">
        <v>294.29</v>
      </c>
      <c r="G1703" t="n">
        <v>24321</v>
      </c>
      <c r="H1703" t="b">
        <v>0</v>
      </c>
      <c r="I1703" t="n">
        <v>200</v>
      </c>
      <c r="J1703" t="n">
        <v>1.4715</v>
      </c>
      <c r="K1703" t="inlineStr">
        <is>
          <t>&gt; Perfumería &gt; Cuidado Capilar &gt; Shampoo &gt;</t>
        </is>
      </c>
      <c r="L1703" t="inlineStr">
        <is>
          <t>shampoo</t>
        </is>
      </c>
      <c r="M1703" t="inlineStr">
        <is>
          <t>profesional</t>
        </is>
      </c>
      <c r="N1703" t="inlineStr">
        <is>
          <t>general</t>
        </is>
      </c>
      <c r="O1703" t="inlineStr">
        <is>
          <t>https://www.jumbo.com.ar/shampoo-pantene-pro-v-miracles-fuerza-reconstruccion-200-ml/p</t>
        </is>
      </c>
    </row>
    <row r="1704">
      <c r="A1704" s="2" t="inlineStr">
        <is>
          <t>Jumbo</t>
        </is>
      </c>
      <c r="B1704" s="2" t="n">
        <v>332338</v>
      </c>
      <c r="C1704" s="2" t="n">
        <v>331495</v>
      </c>
      <c r="D1704" s="2" t="inlineStr">
        <is>
          <t>Shampoo Pantene Pro-v Miracles Restauración 200 Ml</t>
        </is>
      </c>
      <c r="E1704" s="2" t="inlineStr">
        <is>
          <t>PANTENE</t>
        </is>
      </c>
      <c r="F1704" s="2" t="n">
        <v>333.79</v>
      </c>
      <c r="G1704" s="2" t="n">
        <v>27586</v>
      </c>
      <c r="H1704" s="2" t="b">
        <v>0</v>
      </c>
      <c r="I1704" s="2" t="n">
        <v>200</v>
      </c>
      <c r="J1704" s="2" t="n">
        <v>1.669</v>
      </c>
      <c r="K1704" s="2" t="inlineStr">
        <is>
          <t>&gt; Perfumería &gt; Cuidado Capilar &gt; Shampoo &gt;</t>
        </is>
      </c>
      <c r="L1704" s="2" t="inlineStr">
        <is>
          <t>shampoo</t>
        </is>
      </c>
      <c r="M1704" s="2" t="inlineStr">
        <is>
          <t>profesional</t>
        </is>
      </c>
      <c r="N1704" s="2" t="inlineStr">
        <is>
          <t>general</t>
        </is>
      </c>
      <c r="O1704" s="2" t="inlineStr">
        <is>
          <t>https://www.jumbo.com.ar/shampoo-pantene-pro-v-miracles-restauracion-200-ml/p</t>
        </is>
      </c>
    </row>
    <row r="1705">
      <c r="A1705" t="inlineStr">
        <is>
          <t>Jumbo</t>
        </is>
      </c>
      <c r="B1705" t="n">
        <v>332337</v>
      </c>
      <c r="C1705" t="n">
        <v>331494</v>
      </c>
      <c r="D1705" t="inlineStr">
        <is>
          <t>Acondicionador Pantene Pro-v Miracles Micelar 200 Ml</t>
        </is>
      </c>
      <c r="E1705" t="inlineStr">
        <is>
          <t>PANTENE</t>
        </is>
      </c>
      <c r="F1705" t="n">
        <v>333.79</v>
      </c>
      <c r="G1705" t="n">
        <v>27586</v>
      </c>
      <c r="H1705" t="b">
        <v>0</v>
      </c>
      <c r="I1705" t="n">
        <v>200</v>
      </c>
      <c r="J1705" t="n">
        <v>1.669</v>
      </c>
      <c r="K1705" t="inlineStr">
        <is>
          <t>&gt; Perfumería &gt; Cuidado Capilar &gt; Acondicionador &gt;</t>
        </is>
      </c>
      <c r="L1705" t="inlineStr">
        <is>
          <t>acondicionador</t>
        </is>
      </c>
      <c r="M1705" t="inlineStr">
        <is>
          <t>profesional</t>
        </is>
      </c>
      <c r="N1705" t="inlineStr">
        <is>
          <t>general</t>
        </is>
      </c>
      <c r="O1705" t="inlineStr">
        <is>
          <t>https://www.jumbo.com.ar/acondicionador-pantene-pro-v-miracles-micelar-200-ml/p</t>
        </is>
      </c>
    </row>
    <row r="1706">
      <c r="A1706" s="2" t="inlineStr">
        <is>
          <t>Jumbo</t>
        </is>
      </c>
      <c r="B1706" s="2" t="n">
        <v>332336</v>
      </c>
      <c r="C1706" s="2" t="n">
        <v>331493</v>
      </c>
      <c r="D1706" s="2" t="inlineStr">
        <is>
          <t>Acondicionador Pantene Pro-v Miracles Fuerza &amp; Reconstrucción 200 Ml</t>
        </is>
      </c>
      <c r="E1706" s="2" t="inlineStr">
        <is>
          <t>PANTENE</t>
        </is>
      </c>
      <c r="F1706" s="2" t="n">
        <v>333.79</v>
      </c>
      <c r="G1706" s="2" t="n">
        <v>27586</v>
      </c>
      <c r="H1706" s="2" t="b">
        <v>0</v>
      </c>
      <c r="I1706" s="2" t="n">
        <v>200</v>
      </c>
      <c r="J1706" s="2" t="n">
        <v>1.669</v>
      </c>
      <c r="K1706" s="2" t="inlineStr">
        <is>
          <t>&gt; Perfumería &gt; Cuidado Capilar &gt; Acondicionador &gt;</t>
        </is>
      </c>
      <c r="L1706" s="2" t="inlineStr">
        <is>
          <t>acondicionador</t>
        </is>
      </c>
      <c r="M1706" s="2" t="inlineStr">
        <is>
          <t>profesional</t>
        </is>
      </c>
      <c r="N1706" s="2" t="inlineStr">
        <is>
          <t>general</t>
        </is>
      </c>
      <c r="O1706" s="2" t="inlineStr">
        <is>
          <t>https://www.jumbo.com.ar/acondicionador-pantene-pro-v-miracles-fuerza-reconstruccion-200-ml/p</t>
        </is>
      </c>
    </row>
    <row r="1707">
      <c r="A1707" t="inlineStr">
        <is>
          <t>Jumbo</t>
        </is>
      </c>
      <c r="B1707" t="n">
        <v>332335</v>
      </c>
      <c r="C1707" t="n">
        <v>331492</v>
      </c>
      <c r="D1707" t="inlineStr">
        <is>
          <t>Acondicionador Pantene Pro-v Miracles Restauración 200 Ml</t>
        </is>
      </c>
      <c r="E1707" t="inlineStr">
        <is>
          <t>PANTENE</t>
        </is>
      </c>
      <c r="F1707" t="n">
        <v>311.95</v>
      </c>
      <c r="G1707" t="n">
        <v>25781</v>
      </c>
      <c r="H1707" t="b">
        <v>0</v>
      </c>
      <c r="I1707" t="n">
        <v>200</v>
      </c>
      <c r="J1707" t="n">
        <v>1.5597</v>
      </c>
      <c r="K1707" t="inlineStr">
        <is>
          <t>&gt; Perfumería &gt; Cuidado Capilar &gt; Acondicionador &gt;</t>
        </is>
      </c>
      <c r="L1707" t="inlineStr">
        <is>
          <t>acondicionador</t>
        </is>
      </c>
      <c r="M1707" t="inlineStr">
        <is>
          <t>profesional</t>
        </is>
      </c>
      <c r="N1707" t="inlineStr">
        <is>
          <t>general</t>
        </is>
      </c>
      <c r="O1707" t="inlineStr">
        <is>
          <t>https://www.jumbo.com.ar/acondicionador-pantene-pro-v-miracles-restauracion-200-ml/p</t>
        </is>
      </c>
    </row>
    <row r="1708">
      <c r="A1708" s="2" t="inlineStr">
        <is>
          <t>Jumbo</t>
        </is>
      </c>
      <c r="B1708" s="2" t="n">
        <v>331945</v>
      </c>
      <c r="C1708" s="2" t="n">
        <v>331103</v>
      </c>
      <c r="D1708" s="2" t="inlineStr">
        <is>
          <t>Acondicionador Pantene Pro-v Miracles Micelar 700 Ml</t>
        </is>
      </c>
      <c r="E1708" s="2" t="inlineStr">
        <is>
          <t>PANTENE</t>
        </is>
      </c>
      <c r="F1708" s="2" t="n">
        <v>843.65</v>
      </c>
      <c r="G1708" s="2" t="n">
        <v>69723</v>
      </c>
      <c r="H1708" s="2" t="b">
        <v>0</v>
      </c>
      <c r="I1708" s="2" t="n">
        <v>700</v>
      </c>
      <c r="J1708" s="2" t="n">
        <v>1.2052</v>
      </c>
      <c r="K1708" s="2" t="inlineStr">
        <is>
          <t>&gt; Perfumería &gt; Cuidado Capilar &gt; Acondicionador &gt;</t>
        </is>
      </c>
      <c r="L1708" s="2" t="inlineStr">
        <is>
          <t>acondicionador</t>
        </is>
      </c>
      <c r="M1708" s="2" t="inlineStr">
        <is>
          <t>profesional</t>
        </is>
      </c>
      <c r="N1708" s="2" t="inlineStr">
        <is>
          <t>general</t>
        </is>
      </c>
      <c r="O1708" s="2" t="inlineStr">
        <is>
          <t>https://www.jumbo.com.ar/acondicionador-pantene-pro-v-miracles-micelar-700-ml/p</t>
        </is>
      </c>
    </row>
    <row r="1709">
      <c r="A1709" t="inlineStr">
        <is>
          <t>Jumbo</t>
        </is>
      </c>
      <c r="B1709" t="n">
        <v>331944</v>
      </c>
      <c r="C1709" t="n">
        <v>331102</v>
      </c>
      <c r="D1709" t="inlineStr">
        <is>
          <t>Acondicionador Pantene Pro-v Miracles Brillo Extremo 750 Ml</t>
        </is>
      </c>
      <c r="E1709" t="inlineStr">
        <is>
          <t>PANTENE</t>
        </is>
      </c>
      <c r="F1709" t="n">
        <v>843.67</v>
      </c>
      <c r="G1709" t="n">
        <v>69725</v>
      </c>
      <c r="H1709" t="b">
        <v>0</v>
      </c>
      <c r="I1709" t="n">
        <v>750</v>
      </c>
      <c r="J1709" t="n">
        <v>1.1249</v>
      </c>
      <c r="K1709" t="inlineStr">
        <is>
          <t>&gt; Perfumería &gt; Cuidado Capilar &gt; Acondicionador &gt;</t>
        </is>
      </c>
      <c r="L1709" t="inlineStr">
        <is>
          <t>acondicionador</t>
        </is>
      </c>
      <c r="M1709" t="inlineStr">
        <is>
          <t>profesional</t>
        </is>
      </c>
      <c r="N1709" t="inlineStr">
        <is>
          <t>general</t>
        </is>
      </c>
      <c r="O1709" t="inlineStr">
        <is>
          <t>https://www.jumbo.com.ar/acondicionador-pantene-pro-v-miracles-brillo-extremo-750-ml/p</t>
        </is>
      </c>
    </row>
    <row r="1710">
      <c r="A1710" s="2" t="inlineStr">
        <is>
          <t>Jumbo</t>
        </is>
      </c>
      <c r="B1710" s="2" t="n">
        <v>331943</v>
      </c>
      <c r="C1710" s="2" t="n">
        <v>331101</v>
      </c>
      <c r="D1710" s="2" t="inlineStr">
        <is>
          <t>Acondicionador Pantene Pro-v Miracles Fuerza &amp; Reconstrucción 750 Ml</t>
        </is>
      </c>
      <c r="E1710" s="2" t="inlineStr">
        <is>
          <t>PANTENE</t>
        </is>
      </c>
      <c r="F1710" s="2" t="n">
        <v>843.67</v>
      </c>
      <c r="G1710" s="2" t="n">
        <v>69725</v>
      </c>
      <c r="H1710" s="2" t="b">
        <v>0</v>
      </c>
      <c r="I1710" s="2" t="n">
        <v>750</v>
      </c>
      <c r="J1710" s="2" t="n">
        <v>1.1249</v>
      </c>
      <c r="K1710" s="2" t="inlineStr">
        <is>
          <t>&gt; Perfumería &gt; Cuidado Capilar &gt; Acondicionador &gt;</t>
        </is>
      </c>
      <c r="L1710" s="2" t="inlineStr">
        <is>
          <t>acondicionador</t>
        </is>
      </c>
      <c r="M1710" s="2" t="inlineStr">
        <is>
          <t>profesional</t>
        </is>
      </c>
      <c r="N1710" s="2" t="inlineStr">
        <is>
          <t>general</t>
        </is>
      </c>
      <c r="O1710" s="2" t="inlineStr">
        <is>
          <t>https://www.jumbo.com.ar/acondicionador-pantene-pro-v-miracles-fuerza-reconstruccion-750-ml/p</t>
        </is>
      </c>
    </row>
    <row r="1711">
      <c r="A1711" t="inlineStr">
        <is>
          <t>Jumbo</t>
        </is>
      </c>
      <c r="B1711" t="n">
        <v>331942</v>
      </c>
      <c r="C1711" t="n">
        <v>331100</v>
      </c>
      <c r="D1711" t="inlineStr">
        <is>
          <t>Acondicionador Pantene Pro-v Miracles Fuerza &amp; Reconstrucción 400 Ml</t>
        </is>
      </c>
      <c r="E1711" t="inlineStr">
        <is>
          <t>PANTENE</t>
        </is>
      </c>
      <c r="F1711" t="n">
        <v>506.39</v>
      </c>
      <c r="G1711" t="n">
        <v>41850</v>
      </c>
      <c r="H1711" t="b">
        <v>0</v>
      </c>
      <c r="I1711" t="n">
        <v>400</v>
      </c>
      <c r="J1711" t="n">
        <v>1.266</v>
      </c>
      <c r="K1711" t="inlineStr">
        <is>
          <t>&gt; Perfumería &gt; Cuidado Capilar &gt; Acondicionador &gt;</t>
        </is>
      </c>
      <c r="L1711" t="inlineStr">
        <is>
          <t>acondicionador</t>
        </is>
      </c>
      <c r="M1711" t="inlineStr">
        <is>
          <t>profesional</t>
        </is>
      </c>
      <c r="N1711" t="inlineStr">
        <is>
          <t>general</t>
        </is>
      </c>
      <c r="O1711" t="inlineStr">
        <is>
          <t>https://www.jumbo.com.ar/acondicionador-pantene-pro-v-miracles-fuerza-reconstruccion-400-ml/p</t>
        </is>
      </c>
    </row>
    <row r="1712">
      <c r="A1712" s="2" t="inlineStr">
        <is>
          <t>Jumbo</t>
        </is>
      </c>
      <c r="B1712" s="2" t="n">
        <v>331941</v>
      </c>
      <c r="C1712" s="2" t="n">
        <v>331099</v>
      </c>
      <c r="D1712" s="2" t="inlineStr">
        <is>
          <t>Acondicionador Pantene Pro-v Miracles Brillo Extremo 400 Ml</t>
        </is>
      </c>
      <c r="E1712" s="2" t="inlineStr">
        <is>
          <t>PANTENE</t>
        </is>
      </c>
      <c r="F1712" s="2" t="n">
        <v>506.39</v>
      </c>
      <c r="G1712" s="2" t="n">
        <v>41850</v>
      </c>
      <c r="H1712" s="2" t="b">
        <v>0</v>
      </c>
      <c r="I1712" s="2" t="n">
        <v>400</v>
      </c>
      <c r="J1712" s="2" t="n">
        <v>1.266</v>
      </c>
      <c r="K1712" s="2" t="inlineStr">
        <is>
          <t>&gt; Perfumería &gt; Cuidado Capilar &gt; Acondicionador &gt;</t>
        </is>
      </c>
      <c r="L1712" s="2" t="inlineStr">
        <is>
          <t>acondicionador</t>
        </is>
      </c>
      <c r="M1712" s="2" t="inlineStr">
        <is>
          <t>profesional</t>
        </is>
      </c>
      <c r="N1712" s="2" t="inlineStr">
        <is>
          <t>general</t>
        </is>
      </c>
      <c r="O1712" s="2" t="inlineStr">
        <is>
          <t>https://www.jumbo.com.ar/acondicionador-pantene-pro-v-miracles-brillo-extremo-400-ml/p</t>
        </is>
      </c>
    </row>
    <row r="1713">
      <c r="A1713" t="inlineStr">
        <is>
          <t>Jumbo</t>
        </is>
      </c>
      <c r="B1713" t="n">
        <v>331940</v>
      </c>
      <c r="C1713" t="n">
        <v>331098</v>
      </c>
      <c r="D1713" t="inlineStr">
        <is>
          <t>Acondicionador Pantene Pro-v Miracles Restauración 750 Ml</t>
        </is>
      </c>
      <c r="E1713" t="inlineStr">
        <is>
          <t>PANTENE</t>
        </is>
      </c>
      <c r="F1713" t="n">
        <v>843.67</v>
      </c>
      <c r="G1713" t="n">
        <v>69725</v>
      </c>
      <c r="H1713" t="b">
        <v>0</v>
      </c>
      <c r="I1713" t="n">
        <v>750</v>
      </c>
      <c r="J1713" t="n">
        <v>1.1249</v>
      </c>
      <c r="K1713" t="inlineStr">
        <is>
          <t>&gt; Perfumería &gt; Cuidado Capilar &gt; Acondicionador &gt;</t>
        </is>
      </c>
      <c r="L1713" t="inlineStr">
        <is>
          <t>acondicionador</t>
        </is>
      </c>
      <c r="M1713" t="inlineStr">
        <is>
          <t>profesional</t>
        </is>
      </c>
      <c r="N1713" t="inlineStr">
        <is>
          <t>general</t>
        </is>
      </c>
      <c r="O1713" t="inlineStr">
        <is>
          <t>https://www.jumbo.com.ar/acondicionador-pantene-pro-v-miracles-restauracion-750-ml/p</t>
        </is>
      </c>
    </row>
    <row r="1714">
      <c r="A1714" s="2" t="inlineStr">
        <is>
          <t>Jumbo</t>
        </is>
      </c>
      <c r="B1714" s="2" t="n">
        <v>331939</v>
      </c>
      <c r="C1714" s="2" t="n">
        <v>331097</v>
      </c>
      <c r="D1714" s="2" t="inlineStr">
        <is>
          <t>Acondicionador Pantene Pro-v Miracles Micelar 400 Ml</t>
        </is>
      </c>
      <c r="E1714" s="2" t="inlineStr">
        <is>
          <t>PANTENE</t>
        </is>
      </c>
      <c r="F1714" s="2" t="n">
        <v>506.39</v>
      </c>
      <c r="G1714" s="2" t="n">
        <v>41850</v>
      </c>
      <c r="H1714" s="2" t="b">
        <v>0</v>
      </c>
      <c r="I1714" s="2" t="n">
        <v>400</v>
      </c>
      <c r="J1714" s="2" t="n">
        <v>1.266</v>
      </c>
      <c r="K1714" s="2" t="inlineStr">
        <is>
          <t>&gt; Perfumería &gt; Cuidado Capilar &gt; Acondicionador &gt;</t>
        </is>
      </c>
      <c r="L1714" s="2" t="inlineStr">
        <is>
          <t>acondicionador</t>
        </is>
      </c>
      <c r="M1714" s="2" t="inlineStr">
        <is>
          <t>profesional</t>
        </is>
      </c>
      <c r="N1714" s="2" t="inlineStr">
        <is>
          <t>general</t>
        </is>
      </c>
      <c r="O1714" s="2" t="inlineStr">
        <is>
          <t>https://www.jumbo.com.ar/acondicionador-pantene-pro-v-miracles-micelar-400-ml/p</t>
        </is>
      </c>
    </row>
    <row r="1715">
      <c r="A1715" t="inlineStr">
        <is>
          <t>Jumbo</t>
        </is>
      </c>
      <c r="B1715" t="n">
        <v>331938</v>
      </c>
      <c r="C1715" t="n">
        <v>331096</v>
      </c>
      <c r="D1715" t="inlineStr">
        <is>
          <t>Acondicionador Pantene Pro-v Miracles Restauración 400 Ml</t>
        </is>
      </c>
      <c r="E1715" t="inlineStr">
        <is>
          <t>PANTENE</t>
        </is>
      </c>
      <c r="F1715" t="n">
        <v>506.39</v>
      </c>
      <c r="G1715" t="n">
        <v>41850</v>
      </c>
      <c r="H1715" t="b">
        <v>0</v>
      </c>
      <c r="I1715" t="n">
        <v>400</v>
      </c>
      <c r="J1715" t="n">
        <v>1.266</v>
      </c>
      <c r="K1715" t="inlineStr">
        <is>
          <t>&gt; Perfumería &gt; Cuidado Capilar &gt; Acondicionador &gt;</t>
        </is>
      </c>
      <c r="L1715" t="inlineStr">
        <is>
          <t>acondicionador</t>
        </is>
      </c>
      <c r="M1715" t="inlineStr">
        <is>
          <t>profesional</t>
        </is>
      </c>
      <c r="N1715" t="inlineStr">
        <is>
          <t>general</t>
        </is>
      </c>
      <c r="O1715" t="inlineStr">
        <is>
          <t>https://www.jumbo.com.ar/acondicionador-pantene-pro-v-miracles-restauracion-400-ml/p</t>
        </is>
      </c>
    </row>
    <row r="1716">
      <c r="A1716" s="2" t="inlineStr">
        <is>
          <t>Jumbo</t>
        </is>
      </c>
      <c r="B1716" s="2" t="n">
        <v>331937</v>
      </c>
      <c r="C1716" s="2" t="n">
        <v>331095</v>
      </c>
      <c r="D1716" s="2" t="inlineStr">
        <is>
          <t>Shampoo Pantene Pro-v Miracles Micelar 750 Ml</t>
        </is>
      </c>
      <c r="E1716" s="2" t="inlineStr">
        <is>
          <t>PANTENE</t>
        </is>
      </c>
      <c r="F1716" s="2" t="n">
        <v>843.65</v>
      </c>
      <c r="G1716" s="2" t="n">
        <v>69723</v>
      </c>
      <c r="H1716" s="2" t="b">
        <v>0</v>
      </c>
      <c r="I1716" s="2" t="n">
        <v>750</v>
      </c>
      <c r="J1716" s="2" t="n">
        <v>1.1249</v>
      </c>
      <c r="K1716" s="2" t="inlineStr">
        <is>
          <t>&gt; Perfumería &gt; Cuidado Capilar &gt; Shampoo &gt;</t>
        </is>
      </c>
      <c r="L1716" s="2" t="inlineStr">
        <is>
          <t>shampoo</t>
        </is>
      </c>
      <c r="M1716" s="2" t="inlineStr">
        <is>
          <t>profesional</t>
        </is>
      </c>
      <c r="N1716" s="2" t="inlineStr">
        <is>
          <t>general</t>
        </is>
      </c>
      <c r="O1716" s="2" t="inlineStr">
        <is>
          <t>https://www.jumbo.com.ar/shampoo-pantene-pro-v-miracles-micelar-750-ml/p</t>
        </is>
      </c>
    </row>
    <row r="1717">
      <c r="A1717" t="inlineStr">
        <is>
          <t>Jumbo</t>
        </is>
      </c>
      <c r="B1717" t="n">
        <v>331936</v>
      </c>
      <c r="C1717" t="n">
        <v>331094</v>
      </c>
      <c r="D1717" t="inlineStr">
        <is>
          <t>Shampoo Pantene Pro-v Miracles Micelar 400 Ml</t>
        </is>
      </c>
      <c r="E1717" t="inlineStr">
        <is>
          <t>PANTENE</t>
        </is>
      </c>
      <c r="F1717" t="n">
        <v>750</v>
      </c>
      <c r="G1717" t="n">
        <v>61983</v>
      </c>
      <c r="H1717" t="b">
        <v>0</v>
      </c>
      <c r="I1717" t="n">
        <v>400</v>
      </c>
      <c r="J1717" t="n">
        <v>1.875</v>
      </c>
      <c r="K1717" t="inlineStr">
        <is>
          <t>&gt; Perfumería &gt; Cuidado Capilar &gt; Shampoo &gt;</t>
        </is>
      </c>
      <c r="L1717" t="inlineStr">
        <is>
          <t>shampoo</t>
        </is>
      </c>
      <c r="M1717" t="inlineStr">
        <is>
          <t>profesional</t>
        </is>
      </c>
      <c r="N1717" t="inlineStr">
        <is>
          <t>general</t>
        </is>
      </c>
      <c r="O1717" t="inlineStr">
        <is>
          <t>https://www.jumbo.com.ar/shampoo-pantene-pro-v-miracles-micelar-400-ml/p</t>
        </is>
      </c>
    </row>
    <row r="1718">
      <c r="A1718" s="2" t="inlineStr">
        <is>
          <t>Jumbo</t>
        </is>
      </c>
      <c r="B1718" s="2" t="n">
        <v>331935</v>
      </c>
      <c r="C1718" s="2" t="n">
        <v>331093</v>
      </c>
      <c r="D1718" s="2" t="inlineStr">
        <is>
          <t>Shampoo Pantene Pro-v Miracles Brillo Extremo 750 Ml</t>
        </is>
      </c>
      <c r="E1718" s="2" t="inlineStr">
        <is>
          <t>PANTENE</t>
        </is>
      </c>
      <c r="F1718" s="2" t="n">
        <v>843.65</v>
      </c>
      <c r="G1718" s="2" t="n">
        <v>69723</v>
      </c>
      <c r="H1718" s="2" t="b">
        <v>0</v>
      </c>
      <c r="I1718" s="2" t="n">
        <v>750</v>
      </c>
      <c r="J1718" s="2" t="n">
        <v>1.1249</v>
      </c>
      <c r="K1718" s="2" t="inlineStr">
        <is>
          <t>&gt; Perfumería &gt; Cuidado Capilar &gt; Shampoo &gt;</t>
        </is>
      </c>
      <c r="L1718" s="2" t="inlineStr">
        <is>
          <t>shampoo</t>
        </is>
      </c>
      <c r="M1718" s="2" t="inlineStr">
        <is>
          <t>profesional</t>
        </is>
      </c>
      <c r="N1718" s="2" t="inlineStr">
        <is>
          <t>general</t>
        </is>
      </c>
      <c r="O1718" s="2" t="inlineStr">
        <is>
          <t>https://www.jumbo.com.ar/shampoo-pantene-pro-v-miracles-brillo-extremo-750-ml/p</t>
        </is>
      </c>
    </row>
    <row r="1719">
      <c r="A1719" t="inlineStr">
        <is>
          <t>Jumbo</t>
        </is>
      </c>
      <c r="B1719" t="n">
        <v>331934</v>
      </c>
      <c r="C1719" t="n">
        <v>331092</v>
      </c>
      <c r="D1719" t="inlineStr">
        <is>
          <t>Shampoo Pantene Pro-v Miracles Restauración 750 Ml</t>
        </is>
      </c>
      <c r="E1719" t="inlineStr">
        <is>
          <t>PANTENE</t>
        </is>
      </c>
      <c r="F1719" t="n">
        <v>843.65</v>
      </c>
      <c r="G1719" t="n">
        <v>69723</v>
      </c>
      <c r="H1719" t="b">
        <v>0</v>
      </c>
      <c r="I1719" t="n">
        <v>750</v>
      </c>
      <c r="J1719" t="n">
        <v>1.1249</v>
      </c>
      <c r="K1719" t="inlineStr">
        <is>
          <t>&gt; Perfumería &gt; Cuidado Capilar &gt; Shampoo &gt;</t>
        </is>
      </c>
      <c r="L1719" t="inlineStr">
        <is>
          <t>shampoo</t>
        </is>
      </c>
      <c r="M1719" t="inlineStr">
        <is>
          <t>profesional</t>
        </is>
      </c>
      <c r="N1719" t="inlineStr">
        <is>
          <t>general</t>
        </is>
      </c>
      <c r="O1719" t="inlineStr">
        <is>
          <t>https://www.jumbo.com.ar/shampoo-pantene-pro-v-miracles-restauracion-750-ml/p</t>
        </is>
      </c>
    </row>
    <row r="1720">
      <c r="A1720" s="2" t="inlineStr">
        <is>
          <t>Jumbo</t>
        </is>
      </c>
      <c r="B1720" s="2" t="n">
        <v>331933</v>
      </c>
      <c r="C1720" s="2" t="n">
        <v>331091</v>
      </c>
      <c r="D1720" s="2" t="inlineStr">
        <is>
          <t>Shampoo Pantene Pro-v Miracles Restauración 400 Ml</t>
        </is>
      </c>
      <c r="E1720" s="2" t="inlineStr">
        <is>
          <t>PANTENE</t>
        </is>
      </c>
      <c r="F1720" s="2" t="n">
        <v>506.39</v>
      </c>
      <c r="G1720" s="2" t="n">
        <v>41850</v>
      </c>
      <c r="H1720" s="2" t="b">
        <v>0</v>
      </c>
      <c r="I1720" s="2" t="n">
        <v>400</v>
      </c>
      <c r="J1720" s="2" t="n">
        <v>1.266</v>
      </c>
      <c r="K1720" s="2" t="inlineStr">
        <is>
          <t>&gt; Perfumería &gt; Cuidado Capilar &gt; Shampoo &gt;</t>
        </is>
      </c>
      <c r="L1720" s="2" t="inlineStr">
        <is>
          <t>shampoo</t>
        </is>
      </c>
      <c r="M1720" s="2" t="inlineStr">
        <is>
          <t>profesional</t>
        </is>
      </c>
      <c r="N1720" s="2" t="inlineStr">
        <is>
          <t>general</t>
        </is>
      </c>
      <c r="O1720" s="2" t="inlineStr">
        <is>
          <t>https://www.jumbo.com.ar/shampoo-pantene-pro-v-miracles-restauracion-400-ml/p</t>
        </is>
      </c>
    </row>
    <row r="1721">
      <c r="A1721" t="inlineStr">
        <is>
          <t>Jumbo</t>
        </is>
      </c>
      <c r="B1721" t="n">
        <v>331932</v>
      </c>
      <c r="C1721" t="n">
        <v>331090</v>
      </c>
      <c r="D1721" t="inlineStr">
        <is>
          <t>Shampoo Pantene Pro-v Miracles Fuerza &amp; Reconstrucción 400 Ml</t>
        </is>
      </c>
      <c r="E1721" t="inlineStr">
        <is>
          <t>PANTENE</t>
        </is>
      </c>
      <c r="F1721" t="n">
        <v>506.39</v>
      </c>
      <c r="G1721" t="n">
        <v>41850</v>
      </c>
      <c r="H1721" t="b">
        <v>0</v>
      </c>
      <c r="I1721" t="n">
        <v>400</v>
      </c>
      <c r="J1721" t="n">
        <v>1.266</v>
      </c>
      <c r="K1721" t="inlineStr">
        <is>
          <t>&gt; Perfumería &gt; Cuidado Capilar &gt; Shampoo &gt;</t>
        </is>
      </c>
      <c r="L1721" t="inlineStr">
        <is>
          <t>shampoo</t>
        </is>
      </c>
      <c r="M1721" t="inlineStr">
        <is>
          <t>profesional</t>
        </is>
      </c>
      <c r="N1721" t="inlineStr">
        <is>
          <t>general</t>
        </is>
      </c>
      <c r="O1721" t="inlineStr">
        <is>
          <t>https://www.jumbo.com.ar/shampoo-pantene-pro-v-miracles-fuerza-reconstruccion-400-ml/p</t>
        </is>
      </c>
    </row>
    <row r="1722">
      <c r="A1722" s="2" t="inlineStr">
        <is>
          <t>Jumbo</t>
        </is>
      </c>
      <c r="B1722" s="2" t="n">
        <v>331931</v>
      </c>
      <c r="C1722" s="2" t="n">
        <v>331089</v>
      </c>
      <c r="D1722" s="2" t="inlineStr">
        <is>
          <t>Shampoo Pantene Pro-v Miracles Fuerza &amp; Reconstrucción 750 Ml</t>
        </is>
      </c>
      <c r="E1722" s="2" t="inlineStr">
        <is>
          <t>PANTENE</t>
        </is>
      </c>
      <c r="F1722" s="2" t="n">
        <v>843.65</v>
      </c>
      <c r="G1722" s="2" t="n">
        <v>69723</v>
      </c>
      <c r="H1722" s="2" t="b">
        <v>0</v>
      </c>
      <c r="I1722" s="2" t="n">
        <v>750</v>
      </c>
      <c r="J1722" s="2" t="n">
        <v>1.1249</v>
      </c>
      <c r="K1722" s="2" t="inlineStr">
        <is>
          <t>&gt; Perfumería &gt; Cuidado Capilar &gt; Shampoo &gt;</t>
        </is>
      </c>
      <c r="L1722" s="2" t="inlineStr">
        <is>
          <t>shampoo</t>
        </is>
      </c>
      <c r="M1722" s="2" t="inlineStr">
        <is>
          <t>profesional</t>
        </is>
      </c>
      <c r="N1722" s="2" t="inlineStr">
        <is>
          <t>general</t>
        </is>
      </c>
      <c r="O1722" s="2" t="inlineStr">
        <is>
          <t>https://www.jumbo.com.ar/shampoo-pantene-pro-v-miracles-fuerza-reconstruccion-750-ml/p</t>
        </is>
      </c>
    </row>
    <row r="1723">
      <c r="A1723" t="inlineStr">
        <is>
          <t>Jumbo</t>
        </is>
      </c>
      <c r="B1723" t="n">
        <v>331449</v>
      </c>
      <c r="C1723" t="n">
        <v>330621</v>
      </c>
      <c r="D1723" t="inlineStr">
        <is>
          <t>Shampoo Pantene Pro-v Miracles Brillo Extremo 400 Ml</t>
        </is>
      </c>
      <c r="E1723" t="inlineStr">
        <is>
          <t>PANTENE</t>
        </is>
      </c>
      <c r="F1723" t="n">
        <v>506.39</v>
      </c>
      <c r="G1723" t="n">
        <v>41850</v>
      </c>
      <c r="H1723" t="b">
        <v>0</v>
      </c>
      <c r="I1723" t="n">
        <v>400</v>
      </c>
      <c r="J1723" t="n">
        <v>1.266</v>
      </c>
      <c r="K1723" t="inlineStr">
        <is>
          <t>&gt; Perfumería &gt; Cuidado Capilar &gt; Shampoo &gt;</t>
        </is>
      </c>
      <c r="L1723" t="inlineStr">
        <is>
          <t>shampoo</t>
        </is>
      </c>
      <c r="M1723" t="inlineStr">
        <is>
          <t>profesional</t>
        </is>
      </c>
      <c r="N1723" t="inlineStr">
        <is>
          <t>general</t>
        </is>
      </c>
      <c r="O1723" t="inlineStr">
        <is>
          <t>https://www.jumbo.com.ar/shampoo-pantene-pro-v-miracles-brillo-extremo-400-ml/p</t>
        </is>
      </c>
    </row>
    <row r="1724">
      <c r="A1724" s="2" t="inlineStr">
        <is>
          <t>Jumbo</t>
        </is>
      </c>
      <c r="B1724" s="2" t="n">
        <v>316333</v>
      </c>
      <c r="C1724" s="2" t="n">
        <v>315567</v>
      </c>
      <c r="D1724" s="2" t="inlineStr">
        <is>
          <t>Tratamiento Intensivo Pelo Débil Pantene Pro-v Miracles Bambú 300 Ml</t>
        </is>
      </c>
      <c r="E1724" s="2" t="inlineStr">
        <is>
          <t>PANTENE</t>
        </is>
      </c>
      <c r="F1724" s="2" t="n">
        <v>488.19</v>
      </c>
      <c r="G1724" s="2" t="n">
        <v>40346</v>
      </c>
      <c r="H1724" s="2" t="b">
        <v>0</v>
      </c>
      <c r="I1724" s="2" t="n">
        <v>300</v>
      </c>
      <c r="J1724" s="2" t="n">
        <v>1.6273</v>
      </c>
      <c r="K1724" s="2" t="inlineStr">
        <is>
          <t>&gt; Perfumería &gt; Cuidado Capilar &gt; Reparación y Tratamientos &gt;</t>
        </is>
      </c>
      <c r="L1724" s="2" t="inlineStr">
        <is>
          <t>tratamiento</t>
        </is>
      </c>
      <c r="M1724" s="2" t="inlineStr">
        <is>
          <t>profesional</t>
        </is>
      </c>
      <c r="N1724" s="2" t="inlineStr">
        <is>
          <t>general</t>
        </is>
      </c>
      <c r="O1724" s="2" t="inlineStr">
        <is>
          <t>https://www.jumbo.com.ar/tratamiento-intensivo-pelo-debil-pantene-pro-v-miracles-bambu-300-ml/p</t>
        </is>
      </c>
    </row>
    <row r="1725">
      <c r="A1725" t="inlineStr">
        <is>
          <t>Jumbo</t>
        </is>
      </c>
      <c r="B1725" t="n">
        <v>316331</v>
      </c>
      <c r="C1725" t="n">
        <v>315565</v>
      </c>
      <c r="D1725" t="inlineStr">
        <is>
          <t>Crema Para Peinar Pantene Pro-v Bambú 300 Ml</t>
        </is>
      </c>
      <c r="E1725" t="inlineStr">
        <is>
          <t>PANTENE</t>
        </is>
      </c>
      <c r="F1725" t="n">
        <v>488.19</v>
      </c>
      <c r="G1725" t="n">
        <v>40346</v>
      </c>
      <c r="H1725" t="b">
        <v>0</v>
      </c>
      <c r="I1725" t="n">
        <v>300</v>
      </c>
      <c r="J1725" t="n">
        <v>1.6273</v>
      </c>
      <c r="K1725" t="inlineStr">
        <is>
          <t>&gt; Perfumería &gt; Cuidado Capilar &gt; Reparación y Tratamientos &gt;</t>
        </is>
      </c>
      <c r="L1725" t="inlineStr">
        <is>
          <t>shampoo</t>
        </is>
      </c>
      <c r="M1725" t="inlineStr">
        <is>
          <t>profesional</t>
        </is>
      </c>
      <c r="N1725" t="inlineStr">
        <is>
          <t>general</t>
        </is>
      </c>
      <c r="O1725" t="inlineStr">
        <is>
          <t>https://www.jumbo.com.ar/crema-para-peinar-pantene-pro-v-bambu-300-ml/p</t>
        </is>
      </c>
    </row>
    <row r="1726">
      <c r="A1726" s="2" t="inlineStr">
        <is>
          <t>Jumbo</t>
        </is>
      </c>
      <c r="B1726" s="2" t="n">
        <v>316328</v>
      </c>
      <c r="C1726" s="2" t="n">
        <v>315562</v>
      </c>
      <c r="D1726" s="2" t="inlineStr">
        <is>
          <t>Acondicionador Pantene Pro-v Bambú 700 Ml</t>
        </is>
      </c>
      <c r="E1726" s="2" t="inlineStr">
        <is>
          <t>PANTENE</t>
        </is>
      </c>
      <c r="F1726" s="2" t="n">
        <v>857.97</v>
      </c>
      <c r="G1726" s="2" t="n">
        <v>70907</v>
      </c>
      <c r="H1726" s="2" t="b">
        <v>0</v>
      </c>
      <c r="I1726" s="2" t="n">
        <v>700</v>
      </c>
      <c r="J1726" s="2" t="n">
        <v>1.2257</v>
      </c>
      <c r="K1726" s="2" t="inlineStr">
        <is>
          <t>&gt; Perfumería &gt; Cuidado Capilar &gt; Acondicionador &gt;</t>
        </is>
      </c>
      <c r="L1726" s="2" t="inlineStr">
        <is>
          <t>acondicionador</t>
        </is>
      </c>
      <c r="M1726" s="2" t="inlineStr">
        <is>
          <t>profesional</t>
        </is>
      </c>
      <c r="N1726" s="2" t="inlineStr">
        <is>
          <t>general</t>
        </is>
      </c>
      <c r="O1726" s="2" t="inlineStr">
        <is>
          <t>https://www.jumbo.com.ar/acondicionador-pantene-pro-v-bambu-700-ml/p</t>
        </is>
      </c>
    </row>
    <row r="1727">
      <c r="A1727" t="inlineStr">
        <is>
          <t>Jumbo</t>
        </is>
      </c>
      <c r="B1727" t="n">
        <v>316326</v>
      </c>
      <c r="C1727" t="n">
        <v>315560</v>
      </c>
      <c r="D1727" t="inlineStr">
        <is>
          <t>Acondicionador Pantene Pro-v Bambú 200 Ml</t>
        </is>
      </c>
      <c r="E1727" t="inlineStr">
        <is>
          <t>PANTENE</t>
        </is>
      </c>
      <c r="F1727" t="n">
        <v>325.15</v>
      </c>
      <c r="G1727" t="n">
        <v>26872</v>
      </c>
      <c r="H1727" t="b">
        <v>0</v>
      </c>
      <c r="I1727" t="n">
        <v>200</v>
      </c>
      <c r="J1727" t="n">
        <v>1.6257</v>
      </c>
      <c r="K1727" t="inlineStr">
        <is>
          <t>&gt; Perfumería &gt; Cuidado Capilar &gt; Acondicionador &gt;</t>
        </is>
      </c>
      <c r="L1727" t="inlineStr">
        <is>
          <t>acondicionador</t>
        </is>
      </c>
      <c r="M1727" t="inlineStr">
        <is>
          <t>profesional</t>
        </is>
      </c>
      <c r="N1727" t="inlineStr">
        <is>
          <t>general</t>
        </is>
      </c>
      <c r="O1727" t="inlineStr">
        <is>
          <t>https://www.jumbo.com.ar/acondicionador-pantene-pro-v-bambu-200-ml/p</t>
        </is>
      </c>
    </row>
    <row r="1728">
      <c r="A1728" s="2" t="inlineStr">
        <is>
          <t>Jumbo</t>
        </is>
      </c>
      <c r="B1728" s="2" t="n">
        <v>316325</v>
      </c>
      <c r="C1728" s="2" t="n">
        <v>315559</v>
      </c>
      <c r="D1728" s="2" t="inlineStr">
        <is>
          <t>Acondicionador 3 Minute Miracle Pantene Pro-v Bambú 170 Ml</t>
        </is>
      </c>
      <c r="E1728" s="2" t="inlineStr">
        <is>
          <t>PANTENE</t>
        </is>
      </c>
      <c r="F1728" s="2" t="n">
        <v>8400</v>
      </c>
      <c r="G1728" s="2" t="n">
        <v>694215</v>
      </c>
      <c r="H1728" s="2" t="b">
        <v>0</v>
      </c>
      <c r="I1728" s="2" t="n">
        <v>170</v>
      </c>
      <c r="J1728" s="2" t="n">
        <v>49.4118</v>
      </c>
      <c r="K1728" s="2" t="inlineStr">
        <is>
          <t>&gt; Perfumería &gt; Cuidado Capilar &gt; Acondicionador &gt;</t>
        </is>
      </c>
      <c r="L1728" s="2" t="inlineStr">
        <is>
          <t>acondicionador</t>
        </is>
      </c>
      <c r="M1728" s="2" t="inlineStr">
        <is>
          <t>profesional</t>
        </is>
      </c>
      <c r="N1728" s="2" t="inlineStr">
        <is>
          <t>general</t>
        </is>
      </c>
      <c r="O1728" s="2" t="inlineStr">
        <is>
          <t>https://www.jumbo.com.ar/acondicionador-3-minute-miracle-pantene-pro-v-bambu-170-ml/p</t>
        </is>
      </c>
    </row>
    <row r="1729">
      <c r="A1729" t="inlineStr">
        <is>
          <t>Jumbo</t>
        </is>
      </c>
      <c r="B1729" t="n">
        <v>316324</v>
      </c>
      <c r="C1729" t="n">
        <v>315558</v>
      </c>
      <c r="D1729" t="inlineStr">
        <is>
          <t>Shampoo Pantene Pro-v Bambú 750 Ml</t>
        </is>
      </c>
      <c r="E1729" t="inlineStr">
        <is>
          <t>PANTENE</t>
        </is>
      </c>
      <c r="F1729" t="n">
        <v>857.97</v>
      </c>
      <c r="G1729" t="n">
        <v>70907</v>
      </c>
      <c r="H1729" t="b">
        <v>0</v>
      </c>
      <c r="I1729" t="n">
        <v>750</v>
      </c>
      <c r="J1729" t="n">
        <v>1.144</v>
      </c>
      <c r="K1729" t="inlineStr">
        <is>
          <t>&gt; Perfumería &gt; Cuidado Capilar &gt; Shampoo &gt;</t>
        </is>
      </c>
      <c r="L1729" t="inlineStr">
        <is>
          <t>shampoo</t>
        </is>
      </c>
      <c r="M1729" t="inlineStr">
        <is>
          <t>profesional</t>
        </is>
      </c>
      <c r="N1729" t="inlineStr">
        <is>
          <t>general</t>
        </is>
      </c>
      <c r="O1729" t="inlineStr">
        <is>
          <t>https://www.jumbo.com.ar/shampoo-pantene-pro-v-bambu-750-ml/p</t>
        </is>
      </c>
    </row>
    <row r="1730">
      <c r="A1730" s="2" t="inlineStr">
        <is>
          <t>Jumbo</t>
        </is>
      </c>
      <c r="B1730" s="2" t="n">
        <v>316323</v>
      </c>
      <c r="C1730" s="2" t="n">
        <v>315557</v>
      </c>
      <c r="D1730" s="2" t="inlineStr">
        <is>
          <t>Acondicionador Pantene Pro-v Bambú 400 Ml</t>
        </is>
      </c>
      <c r="E1730" s="2" t="inlineStr">
        <is>
          <t>PANTENE</t>
        </is>
      </c>
      <c r="F1730" s="2" t="n">
        <v>493.29</v>
      </c>
      <c r="G1730" s="2" t="n">
        <v>40768</v>
      </c>
      <c r="H1730" s="2" t="b">
        <v>0</v>
      </c>
      <c r="I1730" s="2" t="n">
        <v>400</v>
      </c>
      <c r="J1730" s="2" t="n">
        <v>1.2332</v>
      </c>
      <c r="K1730" s="2" t="inlineStr">
        <is>
          <t>&gt; Perfumería &gt; Cuidado Capilar &gt; Acondicionador &gt;</t>
        </is>
      </c>
      <c r="L1730" s="2" t="inlineStr">
        <is>
          <t>acondicionador</t>
        </is>
      </c>
      <c r="M1730" s="2" t="inlineStr">
        <is>
          <t>profesional</t>
        </is>
      </c>
      <c r="N1730" s="2" t="inlineStr">
        <is>
          <t>general</t>
        </is>
      </c>
      <c r="O1730" s="2" t="inlineStr">
        <is>
          <t>https://www.jumbo.com.ar/acondicionador-pantene-pro-v-bambu-400-ml/p</t>
        </is>
      </c>
    </row>
    <row r="1731">
      <c r="A1731" t="inlineStr">
        <is>
          <t>Jumbo</t>
        </is>
      </c>
      <c r="B1731" t="n">
        <v>300730</v>
      </c>
      <c r="C1731" t="n">
        <v>299950</v>
      </c>
      <c r="D1731" t="inlineStr">
        <is>
          <t>Shampoo Pantene Pro-v Minute Miracle Summer Edition 270 Ml</t>
        </is>
      </c>
      <c r="E1731" t="inlineStr">
        <is>
          <t>PANTENE</t>
        </is>
      </c>
      <c r="F1731" t="n">
        <v>259.59</v>
      </c>
      <c r="G1731" t="n">
        <v>21454</v>
      </c>
      <c r="H1731" t="b">
        <v>0</v>
      </c>
      <c r="I1731" t="n">
        <v>270</v>
      </c>
      <c r="J1731" t="n">
        <v>0.9614</v>
      </c>
      <c r="K1731" t="inlineStr">
        <is>
          <t>&gt; Perfumería &gt; Cuidado Capilar &gt; Shampoo &gt;</t>
        </is>
      </c>
      <c r="L1731" t="inlineStr">
        <is>
          <t>shampoo</t>
        </is>
      </c>
      <c r="M1731" t="inlineStr">
        <is>
          <t>profesional</t>
        </is>
      </c>
      <c r="N1731" t="inlineStr">
        <is>
          <t>general</t>
        </is>
      </c>
      <c r="O1731" t="inlineStr">
        <is>
          <t>https://www.jumbo.com.ar/shampoo-pantene-pro-v-minute-miracle-summer-edition-270-ml/p</t>
        </is>
      </c>
    </row>
    <row r="1732">
      <c r="A1732" s="2" t="inlineStr">
        <is>
          <t>Jumbo</t>
        </is>
      </c>
      <c r="B1732" s="2" t="n">
        <v>295847</v>
      </c>
      <c r="C1732" s="2" t="n">
        <v>295077</v>
      </c>
      <c r="D1732" s="2" t="inlineStr">
        <is>
          <t>Shampoo Pantene Minute Miracle Restauración 130 Ml</t>
        </is>
      </c>
      <c r="E1732" s="2" t="inlineStr">
        <is>
          <t>PANTENE</t>
        </is>
      </c>
      <c r="F1732" s="2" t="n">
        <v>133.53</v>
      </c>
      <c r="G1732" s="2" t="n">
        <v>11036</v>
      </c>
      <c r="H1732" s="2" t="b">
        <v>0</v>
      </c>
      <c r="I1732" s="2" t="n">
        <v>130</v>
      </c>
      <c r="J1732" s="2" t="n">
        <v>1.0272</v>
      </c>
      <c r="K1732" s="2" t="inlineStr">
        <is>
          <t>&gt; Perfumería &gt; Cuidado Capilar &gt; Shampoo &gt;</t>
        </is>
      </c>
      <c r="L1732" s="2" t="inlineStr">
        <is>
          <t>shampoo</t>
        </is>
      </c>
      <c r="M1732" s="2" t="inlineStr">
        <is>
          <t>estandar</t>
        </is>
      </c>
      <c r="N1732" s="2" t="inlineStr">
        <is>
          <t>general</t>
        </is>
      </c>
      <c r="O1732" s="2" t="inlineStr">
        <is>
          <t>https://www.jumbo.com.ar/shampoo-pantene-minute-miracle-restauracion-130-ml/p</t>
        </is>
      </c>
    </row>
    <row r="1733">
      <c r="A1733" t="inlineStr">
        <is>
          <t>Jumbo</t>
        </is>
      </c>
      <c r="B1733" t="n">
        <v>295846</v>
      </c>
      <c r="C1733" t="n">
        <v>295076</v>
      </c>
      <c r="D1733" t="inlineStr">
        <is>
          <t>Shampoo Pantene Pro-v Minute Miracle Fuerza Y Reconstrucción 130 Ml</t>
        </is>
      </c>
      <c r="E1733" t="inlineStr">
        <is>
          <t>PANTENE</t>
        </is>
      </c>
      <c r="F1733" t="n">
        <v>133.53</v>
      </c>
      <c r="G1733" t="n">
        <v>11036</v>
      </c>
      <c r="H1733" t="b">
        <v>0</v>
      </c>
      <c r="I1733" t="n">
        <v>130</v>
      </c>
      <c r="J1733" t="n">
        <v>1.0272</v>
      </c>
      <c r="K1733" t="inlineStr">
        <is>
          <t>&gt; Perfumería &gt; Cuidado Capilar &gt; Shampoo &gt;</t>
        </is>
      </c>
      <c r="L1733" t="inlineStr">
        <is>
          <t>shampoo</t>
        </is>
      </c>
      <c r="M1733" t="inlineStr">
        <is>
          <t>profesional</t>
        </is>
      </c>
      <c r="N1733" t="inlineStr">
        <is>
          <t>general</t>
        </is>
      </c>
      <c r="O1733" t="inlineStr">
        <is>
          <t>https://www.jumbo.com.ar/shampoo-pantene-pro-v-minute-miracle-fuerza-y-reconstruccion-130-ml/p</t>
        </is>
      </c>
    </row>
    <row r="1734">
      <c r="A1734" s="2" t="inlineStr">
        <is>
          <t>Jumbo</t>
        </is>
      </c>
      <c r="B1734" s="2" t="n">
        <v>289453</v>
      </c>
      <c r="C1734" s="2" t="n">
        <v>288701</v>
      </c>
      <c r="D1734" s="2" t="inlineStr">
        <is>
          <t>Shampoo Pantene Pro-v Minute Miracle Hidratación Extrema 270 Ml</t>
        </is>
      </c>
      <c r="E1734" s="2" t="inlineStr">
        <is>
          <t>PANTENE</t>
        </is>
      </c>
      <c r="F1734" s="2" t="n">
        <v>201.29</v>
      </c>
      <c r="G1734" s="2" t="n">
        <v>16636</v>
      </c>
      <c r="H1734" s="2" t="b">
        <v>0</v>
      </c>
      <c r="I1734" s="2" t="n">
        <v>270</v>
      </c>
      <c r="J1734" s="2" t="n">
        <v>0.7455000000000001</v>
      </c>
      <c r="K1734" s="2" t="inlineStr">
        <is>
          <t>&gt; Perfumería &gt; Cuidado Capilar &gt; Shampoo &gt;</t>
        </is>
      </c>
      <c r="L1734" s="2" t="inlineStr">
        <is>
          <t>shampoo</t>
        </is>
      </c>
      <c r="M1734" s="2" t="inlineStr">
        <is>
          <t>profesional</t>
        </is>
      </c>
      <c r="N1734" s="2" t="inlineStr">
        <is>
          <t>seco_danado</t>
        </is>
      </c>
      <c r="O1734" s="2" t="inlineStr">
        <is>
          <t>https://www.jumbo.com.ar/shampoo-pantene-pro-v-minute-miracle-hidratacion-extrema-270-ml/p</t>
        </is>
      </c>
    </row>
    <row r="1735">
      <c r="A1735" t="inlineStr">
        <is>
          <t>Jumbo</t>
        </is>
      </c>
      <c r="B1735" t="n">
        <v>289452</v>
      </c>
      <c r="C1735" t="n">
        <v>288700</v>
      </c>
      <c r="D1735" t="inlineStr">
        <is>
          <t>Shampoo Pantene Pro-v Minute Miracle Fuerza Y Reconstrucción 270 Ml</t>
        </is>
      </c>
      <c r="E1735" t="inlineStr">
        <is>
          <t>PANTENE</t>
        </is>
      </c>
      <c r="F1735" t="n">
        <v>189.89</v>
      </c>
      <c r="G1735" t="n">
        <v>15693</v>
      </c>
      <c r="H1735" t="b">
        <v>0</v>
      </c>
      <c r="I1735" t="n">
        <v>270</v>
      </c>
      <c r="J1735" t="n">
        <v>0.7033</v>
      </c>
      <c r="K1735" t="inlineStr">
        <is>
          <t>&gt; Perfumería &gt; Cuidado Capilar &gt; Shampoo &gt;</t>
        </is>
      </c>
      <c r="L1735" t="inlineStr">
        <is>
          <t>shampoo</t>
        </is>
      </c>
      <c r="M1735" t="inlineStr">
        <is>
          <t>profesional</t>
        </is>
      </c>
      <c r="N1735" t="inlineStr">
        <is>
          <t>general</t>
        </is>
      </c>
      <c r="O1735" t="inlineStr">
        <is>
          <t>https://www.jumbo.com.ar/shampoo-pantene-pro-v-minute-miracle-fuerza-y-reconstruccion-270-ml/p</t>
        </is>
      </c>
    </row>
    <row r="1736">
      <c r="A1736" s="2" t="inlineStr">
        <is>
          <t>Jumbo</t>
        </is>
      </c>
      <c r="B1736" s="2" t="n">
        <v>289451</v>
      </c>
      <c r="C1736" s="2" t="n">
        <v>288699</v>
      </c>
      <c r="D1736" s="2" t="inlineStr">
        <is>
          <t>Shampoo Pantene Pro-v Minute Miracle Rizos Definidos 270 Ml</t>
        </is>
      </c>
      <c r="E1736" s="2" t="inlineStr">
        <is>
          <t>PANTENE</t>
        </is>
      </c>
      <c r="F1736" s="2" t="n">
        <v>189.89</v>
      </c>
      <c r="G1736" s="2" t="n">
        <v>15693</v>
      </c>
      <c r="H1736" s="2" t="b">
        <v>0</v>
      </c>
      <c r="I1736" s="2" t="n">
        <v>270</v>
      </c>
      <c r="J1736" s="2" t="n">
        <v>0.7033</v>
      </c>
      <c r="K1736" s="2" t="inlineStr">
        <is>
          <t>&gt; Perfumería &gt; Cuidado Capilar &gt; Shampoo &gt;</t>
        </is>
      </c>
      <c r="L1736" s="2" t="inlineStr">
        <is>
          <t>shampoo</t>
        </is>
      </c>
      <c r="M1736" s="2" t="inlineStr">
        <is>
          <t>profesional</t>
        </is>
      </c>
      <c r="N1736" s="2" t="inlineStr">
        <is>
          <t>rizado</t>
        </is>
      </c>
      <c r="O1736" s="2" t="inlineStr">
        <is>
          <t>https://www.jumbo.com.ar/shampoo-pantene-pro-v-minute-miracle-rizos-definidos-270-ml/p</t>
        </is>
      </c>
    </row>
    <row r="1737">
      <c r="A1737" t="inlineStr">
        <is>
          <t>Jumbo</t>
        </is>
      </c>
      <c r="B1737" t="n">
        <v>289450</v>
      </c>
      <c r="C1737" t="n">
        <v>288698</v>
      </c>
      <c r="D1737" t="inlineStr">
        <is>
          <t>Shampoo Pantene Pro-v Minute Miracle Restauración 270 Ml</t>
        </is>
      </c>
      <c r="E1737" t="inlineStr">
        <is>
          <t>PANTENE</t>
        </is>
      </c>
      <c r="F1737" t="n">
        <v>201.29</v>
      </c>
      <c r="G1737" t="n">
        <v>16636</v>
      </c>
      <c r="H1737" t="b">
        <v>0</v>
      </c>
      <c r="I1737" t="n">
        <v>270</v>
      </c>
      <c r="J1737" t="n">
        <v>0.7455000000000001</v>
      </c>
      <c r="K1737" t="inlineStr">
        <is>
          <t>&gt; Perfumería &gt; Cuidado Capilar &gt; Shampoo &gt;</t>
        </is>
      </c>
      <c r="L1737" t="inlineStr">
        <is>
          <t>shampoo</t>
        </is>
      </c>
      <c r="M1737" t="inlineStr">
        <is>
          <t>profesional</t>
        </is>
      </c>
      <c r="N1737" t="inlineStr">
        <is>
          <t>general</t>
        </is>
      </c>
      <c r="O1737" t="inlineStr">
        <is>
          <t>https://www.jumbo.com.ar/shampoo-pantene-pro-v-minute-miracle-restauracion-270-ml/p</t>
        </is>
      </c>
    </row>
    <row r="1738">
      <c r="A1738" s="2" t="inlineStr">
        <is>
          <t>Jumbo</t>
        </is>
      </c>
      <c r="B1738" s="2" t="n">
        <v>288618</v>
      </c>
      <c r="C1738" s="2" t="n">
        <v>287865</v>
      </c>
      <c r="D1738" s="2" t="inlineStr">
        <is>
          <t>Acondicionador Diario Pantene Pro-v Restauración 3 Minute Miracle 10 Ml</t>
        </is>
      </c>
      <c r="E1738" s="2" t="inlineStr">
        <is>
          <t>PANTENE</t>
        </is>
      </c>
      <c r="F1738" s="2" t="n">
        <v>14.39</v>
      </c>
      <c r="G1738" s="2" t="n">
        <v>1189</v>
      </c>
      <c r="H1738" s="2" t="b">
        <v>0</v>
      </c>
      <c r="I1738" s="2" t="n">
        <v>10</v>
      </c>
      <c r="J1738" s="2" t="n">
        <v>1.439</v>
      </c>
      <c r="K1738" s="2" t="inlineStr">
        <is>
          <t>&gt; Perfumería &gt; Cuidado Capilar &gt; Acondicionador &gt;</t>
        </is>
      </c>
      <c r="L1738" s="2" t="inlineStr">
        <is>
          <t>acondicionador</t>
        </is>
      </c>
      <c r="M1738" s="2" t="inlineStr">
        <is>
          <t>profesional</t>
        </is>
      </c>
      <c r="N1738" s="2" t="inlineStr">
        <is>
          <t>general</t>
        </is>
      </c>
      <c r="O1738" s="2" t="inlineStr">
        <is>
          <t>https://www.jumbo.com.ar/acondicionador-diario-pantene-pro-v-restauracion-3-minute-miracle-10-ml/p</t>
        </is>
      </c>
    </row>
    <row r="1739">
      <c r="A1739" t="inlineStr">
        <is>
          <t>Jumbo</t>
        </is>
      </c>
      <c r="B1739" t="n">
        <v>278514</v>
      </c>
      <c r="C1739" t="n">
        <v>277770</v>
      </c>
      <c r="D1739" t="inlineStr">
        <is>
          <t>Acondicionador Diario Pantene Pro-v 3 Minute Miracle Restauración 90 Ml</t>
        </is>
      </c>
      <c r="E1739" t="inlineStr">
        <is>
          <t>PANTENE</t>
        </is>
      </c>
      <c r="F1739" t="n">
        <v>395.99</v>
      </c>
      <c r="G1739" t="n">
        <v>32726</v>
      </c>
      <c r="H1739" t="b">
        <v>0</v>
      </c>
      <c r="I1739" t="n">
        <v>90</v>
      </c>
      <c r="J1739" t="n">
        <v>4.3999</v>
      </c>
      <c r="K1739" t="inlineStr">
        <is>
          <t>&gt; Perfumería &gt; Cuidado Capilar &gt; Acondicionador &gt;</t>
        </is>
      </c>
      <c r="L1739" t="inlineStr">
        <is>
          <t>acondicionador</t>
        </is>
      </c>
      <c r="M1739" t="inlineStr">
        <is>
          <t>profesional</t>
        </is>
      </c>
      <c r="N1739" t="inlineStr">
        <is>
          <t>general</t>
        </is>
      </c>
      <c r="O1739" t="inlineStr">
        <is>
          <t>https://www.jumbo.com.ar/acondicionador-diario-pantene-pro-v-3-minute-miracle-restauracion-90-ml/p</t>
        </is>
      </c>
    </row>
    <row r="1740">
      <c r="A1740" s="2" t="inlineStr">
        <is>
          <t>Jumbo</t>
        </is>
      </c>
      <c r="B1740" s="2" t="n">
        <v>278513</v>
      </c>
      <c r="C1740" s="2" t="n">
        <v>277769</v>
      </c>
      <c r="D1740" s="2" t="inlineStr">
        <is>
          <t>Acondicionador Diario Pantene Pro-v 3 Minute Miracle Fuerza Y Reconstrucción 90 Ml</t>
        </is>
      </c>
      <c r="E1740" s="2" t="inlineStr">
        <is>
          <t>PANTENE</t>
        </is>
      </c>
      <c r="F1740" s="2" t="n">
        <v>153.09</v>
      </c>
      <c r="G1740" s="2" t="n">
        <v>12652</v>
      </c>
      <c r="H1740" s="2" t="b">
        <v>0</v>
      </c>
      <c r="I1740" s="2" t="n">
        <v>90</v>
      </c>
      <c r="J1740" s="2" t="n">
        <v>1.701</v>
      </c>
      <c r="K1740" s="2" t="inlineStr">
        <is>
          <t>&gt; Perfumería &gt; Cuidado Capilar &gt; Acondicionador &gt;</t>
        </is>
      </c>
      <c r="L1740" s="2" t="inlineStr">
        <is>
          <t>acondicionador</t>
        </is>
      </c>
      <c r="M1740" s="2" t="inlineStr">
        <is>
          <t>profesional</t>
        </is>
      </c>
      <c r="N1740" s="2" t="inlineStr">
        <is>
          <t>general</t>
        </is>
      </c>
      <c r="O1740" s="2" t="inlineStr">
        <is>
          <t>https://www.jumbo.com.ar/acondicionador-diario-pantene-pro-v-3-minute-miracle-fuerza-y-reconstruccion-90-ml/p</t>
        </is>
      </c>
    </row>
    <row r="1741">
      <c r="A1741" t="inlineStr">
        <is>
          <t>Jumbo</t>
        </is>
      </c>
      <c r="B1741" t="n">
        <v>273031</v>
      </c>
      <c r="C1741" t="n">
        <v>272328</v>
      </c>
      <c r="D1741" t="inlineStr">
        <is>
          <t>Acondicionador Diario Pantene Pro-v 3 Minute Miracle Summer Edition 90 Ml</t>
        </is>
      </c>
      <c r="E1741" t="inlineStr">
        <is>
          <t>PANTENE</t>
        </is>
      </c>
      <c r="F1741" t="n">
        <v>126.69</v>
      </c>
      <c r="G1741" t="n">
        <v>10470</v>
      </c>
      <c r="H1741" t="b">
        <v>0</v>
      </c>
      <c r="I1741" t="n">
        <v>90</v>
      </c>
      <c r="J1741" t="n">
        <v>1.4077</v>
      </c>
      <c r="K1741" t="inlineStr">
        <is>
          <t>&gt; Perfumería &gt; Cuidado Capilar &gt; Shampoo &gt;</t>
        </is>
      </c>
      <c r="L1741" t="inlineStr">
        <is>
          <t>acondicionador</t>
        </is>
      </c>
      <c r="M1741" t="inlineStr">
        <is>
          <t>profesional</t>
        </is>
      </c>
      <c r="N1741" t="inlineStr">
        <is>
          <t>general</t>
        </is>
      </c>
      <c r="O1741" t="inlineStr">
        <is>
          <t>https://www.jumbo.com.ar/acondicionador-diario-pantene-pro-v-3-minute-miracle-summer-edition-90-ml/p</t>
        </is>
      </c>
    </row>
    <row r="1742">
      <c r="A1742" s="2" t="inlineStr">
        <is>
          <t>Jumbo</t>
        </is>
      </c>
      <c r="B1742" s="2" t="n">
        <v>273025</v>
      </c>
      <c r="C1742" s="2" t="n">
        <v>272322</v>
      </c>
      <c r="D1742" s="2" t="inlineStr">
        <is>
          <t>Kit Shampoo Head &amp; Shoulders Limpieza Renovadora 200 Ml  Acondicionador Pantene 3 Minute Miracle Fue</t>
        </is>
      </c>
      <c r="E1742" s="2" t="inlineStr">
        <is>
          <t>PANTENE</t>
        </is>
      </c>
      <c r="F1742" s="2" t="n">
        <v>117.19</v>
      </c>
      <c r="G1742" s="2" t="n">
        <v>117.19</v>
      </c>
      <c r="H1742" s="2" t="b">
        <v>0</v>
      </c>
      <c r="I1742" s="2" t="n">
        <v>200</v>
      </c>
      <c r="J1742" s="2" t="n">
        <v>0.5859</v>
      </c>
      <c r="K1742" s="2" t="inlineStr">
        <is>
          <t>&gt; Perfumería &gt; Cuidado Capilar &gt; Shampoo &gt;</t>
        </is>
      </c>
      <c r="L1742" s="2" t="inlineStr">
        <is>
          <t>acondicionador</t>
        </is>
      </c>
      <c r="M1742" s="2" t="inlineStr">
        <is>
          <t>estandar</t>
        </is>
      </c>
      <c r="N1742" s="2" t="inlineStr">
        <is>
          <t>general</t>
        </is>
      </c>
      <c r="O1742" s="2" t="inlineStr">
        <is>
          <t>https://www.jumbo.com.ar/kit-shampoo-head-shoulders-limpieza-renovadora-200-ml-acondicionador-pantene-3-minute-miracle-fue/p</t>
        </is>
      </c>
    </row>
    <row r="1743">
      <c r="A1743" t="inlineStr">
        <is>
          <t>Jumbo</t>
        </is>
      </c>
      <c r="B1743" t="n">
        <v>263395</v>
      </c>
      <c r="C1743" t="n">
        <v>263153</v>
      </c>
      <c r="D1743" t="inlineStr">
        <is>
          <t>Shampoo Pantene Pro-v Restauración 10 Ml</t>
        </is>
      </c>
      <c r="E1743" t="inlineStr">
        <is>
          <t>PANTENE</t>
        </is>
      </c>
      <c r="F1743" t="n">
        <v>19.23</v>
      </c>
      <c r="G1743" t="n">
        <v>1589</v>
      </c>
      <c r="H1743" t="b">
        <v>0</v>
      </c>
      <c r="I1743" t="n">
        <v>10</v>
      </c>
      <c r="J1743" t="n">
        <v>1.923</v>
      </c>
      <c r="K1743" t="inlineStr">
        <is>
          <t>&gt; Perfumería &gt; Cuidado Capilar &gt; Shampoo &gt;</t>
        </is>
      </c>
      <c r="L1743" t="inlineStr">
        <is>
          <t>shampoo</t>
        </is>
      </c>
      <c r="M1743" t="inlineStr">
        <is>
          <t>profesional</t>
        </is>
      </c>
      <c r="N1743" t="inlineStr">
        <is>
          <t>general</t>
        </is>
      </c>
      <c r="O1743" t="inlineStr">
        <is>
          <t>https://www.jumbo.com.ar/shampoo-pantene-pro-v-restauracion-10-ml/p</t>
        </is>
      </c>
    </row>
    <row r="1744">
      <c r="A1744" s="2" t="inlineStr">
        <is>
          <t>Jumbo</t>
        </is>
      </c>
      <c r="B1744" s="2" t="n">
        <v>262649</v>
      </c>
      <c r="C1744" s="2" t="n">
        <v>261938</v>
      </c>
      <c r="D1744" s="2" t="inlineStr">
        <is>
          <t>Shampoo Pantene Pro-v Micelar 750 Ml</t>
        </is>
      </c>
      <c r="E1744" s="2" t="inlineStr">
        <is>
          <t>PANTENE</t>
        </is>
      </c>
      <c r="F1744" s="2" t="n">
        <v>494.89</v>
      </c>
      <c r="G1744" s="2" t="n">
        <v>40900</v>
      </c>
      <c r="H1744" s="2" t="b">
        <v>0</v>
      </c>
      <c r="I1744" s="2" t="n">
        <v>750</v>
      </c>
      <c r="J1744" s="2" t="n">
        <v>0.6599</v>
      </c>
      <c r="K1744" s="2" t="inlineStr">
        <is>
          <t>&gt; Perfumería &gt; Cuidado Capilar &gt; Shampoo &gt;</t>
        </is>
      </c>
      <c r="L1744" s="2" t="inlineStr">
        <is>
          <t>shampoo</t>
        </is>
      </c>
      <c r="M1744" s="2" t="inlineStr">
        <is>
          <t>profesional</t>
        </is>
      </c>
      <c r="N1744" s="2" t="inlineStr">
        <is>
          <t>general</t>
        </is>
      </c>
      <c r="O1744" s="2" t="inlineStr">
        <is>
          <t>https://www.jumbo.com.ar/shampoo-pantene-pro-v-micelar-750-ml/p</t>
        </is>
      </c>
    </row>
    <row r="1745">
      <c r="A1745" t="inlineStr">
        <is>
          <t>Jumbo</t>
        </is>
      </c>
      <c r="B1745" t="n">
        <v>262647</v>
      </c>
      <c r="C1745" t="n">
        <v>261936</v>
      </c>
      <c r="D1745" t="inlineStr">
        <is>
          <t>Shampoo Pantene Pro-v Micelar 200 Ml</t>
        </is>
      </c>
      <c r="E1745" t="inlineStr">
        <is>
          <t>PANTENE</t>
        </is>
      </c>
      <c r="F1745" t="n">
        <v>173.39</v>
      </c>
      <c r="G1745" t="n">
        <v>14330</v>
      </c>
      <c r="H1745" t="b">
        <v>0</v>
      </c>
      <c r="I1745" t="n">
        <v>200</v>
      </c>
      <c r="J1745" t="n">
        <v>0.8669</v>
      </c>
      <c r="K1745" t="inlineStr">
        <is>
          <t>&gt; Perfumería &gt; Cuidado Capilar &gt; Shampoo &gt;</t>
        </is>
      </c>
      <c r="L1745" t="inlineStr">
        <is>
          <t>shampoo</t>
        </is>
      </c>
      <c r="M1745" t="inlineStr">
        <is>
          <t>profesional</t>
        </is>
      </c>
      <c r="N1745" t="inlineStr">
        <is>
          <t>general</t>
        </is>
      </c>
      <c r="O1745" t="inlineStr">
        <is>
          <t>https://www.jumbo.com.ar/shampoo-pantene-pro-v-micelar-200-ml/p</t>
        </is>
      </c>
    </row>
    <row r="1746">
      <c r="A1746" s="2" t="inlineStr">
        <is>
          <t>Jumbo</t>
        </is>
      </c>
      <c r="B1746" s="2" t="n">
        <v>262645</v>
      </c>
      <c r="C1746" s="2" t="n">
        <v>261934</v>
      </c>
      <c r="D1746" s="2" t="inlineStr">
        <is>
          <t>Acondicionador Pantene Pro-v Micelar 200 Ml</t>
        </is>
      </c>
      <c r="E1746" s="2" t="inlineStr">
        <is>
          <t>PANTENE</t>
        </is>
      </c>
      <c r="F1746" s="2" t="n">
        <v>173.39</v>
      </c>
      <c r="G1746" s="2" t="n">
        <v>14330</v>
      </c>
      <c r="H1746" s="2" t="b">
        <v>0</v>
      </c>
      <c r="I1746" s="2" t="n">
        <v>200</v>
      </c>
      <c r="J1746" s="2" t="n">
        <v>0.8669</v>
      </c>
      <c r="K1746" s="2" t="inlineStr">
        <is>
          <t>&gt; Perfumería &gt; Cuidado Capilar &gt; Acondicionador &gt;</t>
        </is>
      </c>
      <c r="L1746" s="2" t="inlineStr">
        <is>
          <t>acondicionador</t>
        </is>
      </c>
      <c r="M1746" s="2" t="inlineStr">
        <is>
          <t>profesional</t>
        </is>
      </c>
      <c r="N1746" s="2" t="inlineStr">
        <is>
          <t>general</t>
        </is>
      </c>
      <c r="O1746" s="2" t="inlineStr">
        <is>
          <t>https://www.jumbo.com.ar/acondicionador-pantene-pro-v-micelar-200-ml/p</t>
        </is>
      </c>
    </row>
    <row r="1747">
      <c r="A1747" t="inlineStr">
        <is>
          <t>Jumbo</t>
        </is>
      </c>
      <c r="B1747" t="n">
        <v>262644</v>
      </c>
      <c r="C1747" t="n">
        <v>261933</v>
      </c>
      <c r="D1747" t="inlineStr">
        <is>
          <t>Acondicionador Pantene Pro-v Micelar 700 Ml</t>
        </is>
      </c>
      <c r="E1747" t="inlineStr">
        <is>
          <t>PANTENE</t>
        </is>
      </c>
      <c r="F1747" t="n">
        <v>457.55</v>
      </c>
      <c r="G1747" t="n">
        <v>37814</v>
      </c>
      <c r="H1747" t="b">
        <v>0</v>
      </c>
      <c r="I1747" t="n">
        <v>700</v>
      </c>
      <c r="J1747" t="n">
        <v>0.6536</v>
      </c>
      <c r="K1747" t="inlineStr">
        <is>
          <t>&gt; Perfumería &gt; Cuidado Capilar &gt; Acondicionador &gt;</t>
        </is>
      </c>
      <c r="L1747" t="inlineStr">
        <is>
          <t>acondicionador</t>
        </is>
      </c>
      <c r="M1747" t="inlineStr">
        <is>
          <t>profesional</t>
        </is>
      </c>
      <c r="N1747" t="inlineStr">
        <is>
          <t>general</t>
        </is>
      </c>
      <c r="O1747" t="inlineStr">
        <is>
          <t>https://www.jumbo.com.ar/acondicionador-pantene-pro-v-micelar-700-ml/p</t>
        </is>
      </c>
    </row>
    <row r="1748">
      <c r="A1748" s="2" t="inlineStr">
        <is>
          <t>Jumbo</t>
        </is>
      </c>
      <c r="B1748" s="2" t="n">
        <v>248178</v>
      </c>
      <c r="C1748" s="2" t="n">
        <v>244861</v>
      </c>
      <c r="D1748" s="2" t="inlineStr">
        <is>
          <t>Kit Pantene Pro-v Summer Edition Shampoo 400ml  Acondicionador 3 Minute Miracle 170 Ml</t>
        </is>
      </c>
      <c r="E1748" s="2" t="inlineStr">
        <is>
          <t>PANTENE</t>
        </is>
      </c>
      <c r="F1748" s="2" t="n">
        <v>291.47</v>
      </c>
      <c r="G1748" s="2" t="n">
        <v>24088</v>
      </c>
      <c r="H1748" s="2" t="b">
        <v>0</v>
      </c>
      <c r="I1748" s="2" t="n">
        <v>400</v>
      </c>
      <c r="J1748" s="2" t="n">
        <v>0.7287</v>
      </c>
      <c r="K1748" s="2" t="inlineStr">
        <is>
          <t>&gt; Perfumería &gt; Cuidado Capilar &gt; Shampoo &gt;</t>
        </is>
      </c>
      <c r="L1748" s="2" t="inlineStr">
        <is>
          <t>acondicionador</t>
        </is>
      </c>
      <c r="M1748" s="2" t="inlineStr">
        <is>
          <t>profesional</t>
        </is>
      </c>
      <c r="N1748" s="2" t="inlineStr">
        <is>
          <t>general</t>
        </is>
      </c>
      <c r="O1748" s="2" t="inlineStr">
        <is>
          <t>https://www.jumbo.com.ar/kit-pantene-pro-v-summer-edition-shampoo-400ml-acondicionador-3-minute-miracle-170-ml/p</t>
        </is>
      </c>
    </row>
    <row r="1749">
      <c r="A1749" t="inlineStr">
        <is>
          <t>Jumbo</t>
        </is>
      </c>
      <c r="B1749" t="n">
        <v>246368</v>
      </c>
      <c r="C1749" t="n">
        <v>243255</v>
      </c>
      <c r="D1749" t="inlineStr">
        <is>
          <t>Acondicionador Diario Pantene Pro-v 3 Minute Miracle Summer Edition 170 Ml</t>
        </is>
      </c>
      <c r="E1749" t="inlineStr">
        <is>
          <t>PANTENE</t>
        </is>
      </c>
      <c r="F1749" t="n">
        <v>189.49</v>
      </c>
      <c r="G1749" t="n">
        <v>15660</v>
      </c>
      <c r="H1749" t="b">
        <v>0</v>
      </c>
      <c r="I1749" t="n">
        <v>170</v>
      </c>
      <c r="J1749" t="n">
        <v>1.1146</v>
      </c>
      <c r="K1749" t="inlineStr">
        <is>
          <t>&gt; Perfumería &gt; Cuidado Capilar &gt; Acondicionador &gt;</t>
        </is>
      </c>
      <c r="L1749" t="inlineStr">
        <is>
          <t>acondicionador</t>
        </is>
      </c>
      <c r="M1749" t="inlineStr">
        <is>
          <t>profesional</t>
        </is>
      </c>
      <c r="N1749" t="inlineStr">
        <is>
          <t>general</t>
        </is>
      </c>
      <c r="O1749" t="inlineStr">
        <is>
          <t>https://www.jumbo.com.ar/acondicionador-diario-pantene-pro-v-3-minute-miracle-summer-edition-170-ml/p</t>
        </is>
      </c>
    </row>
    <row r="1750">
      <c r="A1750" s="2" t="inlineStr">
        <is>
          <t>Jumbo</t>
        </is>
      </c>
      <c r="B1750" s="2" t="n">
        <v>215354</v>
      </c>
      <c r="C1750" s="2" t="n">
        <v>232400</v>
      </c>
      <c r="D1750" s="2" t="inlineStr">
        <is>
          <t>Crema Para Peinar Pantene Frizz Control 3 U De 10 Ml  Blister1 U</t>
        </is>
      </c>
      <c r="E1750" s="2" t="inlineStr">
        <is>
          <t>PANTENE</t>
        </is>
      </c>
      <c r="F1750" s="2" t="n">
        <v>1.67</v>
      </c>
      <c r="G1750" s="2" t="n">
        <v>1.67</v>
      </c>
      <c r="H1750" s="2" t="b">
        <v>0</v>
      </c>
      <c r="I1750" s="2" t="n">
        <v>10</v>
      </c>
      <c r="J1750" s="2" t="n">
        <v>0.167</v>
      </c>
      <c r="K1750" s="2" t="inlineStr">
        <is>
          <t>&gt; Perfumería &gt; Cuidado Capilar &gt; Reparación y Tratamientos &gt;</t>
        </is>
      </c>
      <c r="L1750" s="2" t="inlineStr">
        <is>
          <t>shampoo</t>
        </is>
      </c>
      <c r="M1750" s="2" t="inlineStr">
        <is>
          <t>estandar</t>
        </is>
      </c>
      <c r="N1750" s="2" t="inlineStr">
        <is>
          <t>general</t>
        </is>
      </c>
      <c r="O1750" s="2" t="inlineStr">
        <is>
          <t>https://www.jumbo.com.ar/crema-para-peinar-pantene-frizz-control-3-u-de-10-ml-blister1-u-248081/p</t>
        </is>
      </c>
    </row>
    <row r="1751">
      <c r="A1751" t="inlineStr">
        <is>
          <t>Jumbo</t>
        </is>
      </c>
      <c r="B1751" t="n">
        <v>215344</v>
      </c>
      <c r="C1751" t="n">
        <v>232403</v>
      </c>
      <c r="D1751" t="inlineStr">
        <is>
          <t>Shampoo Pantene Pro V Liso Extremo +acond +crema De Peinar 10 Ml Blister 1 U</t>
        </is>
      </c>
      <c r="E1751" t="inlineStr">
        <is>
          <t>PANTENE</t>
        </is>
      </c>
      <c r="F1751" t="n">
        <v>1.69</v>
      </c>
      <c r="G1751" t="n">
        <v>1.69</v>
      </c>
      <c r="H1751" t="b">
        <v>0</v>
      </c>
      <c r="I1751" t="n">
        <v>10</v>
      </c>
      <c r="J1751" t="n">
        <v>0.169</v>
      </c>
      <c r="K1751" t="inlineStr">
        <is>
          <t>&gt; Perfumería &gt; Cuidado Capilar &gt; Shampoo &gt;</t>
        </is>
      </c>
      <c r="L1751" t="inlineStr">
        <is>
          <t>shampoo</t>
        </is>
      </c>
      <c r="M1751" t="inlineStr">
        <is>
          <t>profesional</t>
        </is>
      </c>
      <c r="N1751" t="inlineStr">
        <is>
          <t>general</t>
        </is>
      </c>
      <c r="O1751" t="inlineStr">
        <is>
          <t>https://www.jumbo.com.ar/shampoo-pantene-pro-v-liso-extremo-acond-crema-de-peinar-10-ml-blister-1-u-248078/p</t>
        </is>
      </c>
    </row>
    <row r="1752">
      <c r="A1752" s="2" t="inlineStr">
        <is>
          <t>Jumbo</t>
        </is>
      </c>
      <c r="B1752" s="2" t="n">
        <v>210015</v>
      </c>
      <c r="C1752" s="2" t="n">
        <v>232565</v>
      </c>
      <c r="D1752" s="2" t="inlineStr">
        <is>
          <t>Shampoo Pantene Reparación Intensa Shamp+acond 200ml+tratam Pck 3 Un.</t>
        </is>
      </c>
      <c r="E1752" s="2" t="inlineStr">
        <is>
          <t>PANTENE</t>
        </is>
      </c>
      <c r="F1752" s="2" t="n">
        <v>25.69</v>
      </c>
      <c r="G1752" s="2" t="n">
        <v>25.69</v>
      </c>
      <c r="H1752" s="2" t="b">
        <v>0</v>
      </c>
      <c r="I1752" s="2" t="n">
        <v>200</v>
      </c>
      <c r="J1752" s="2" t="n">
        <v>0.1285</v>
      </c>
      <c r="K1752" s="2" t="inlineStr">
        <is>
          <t>&gt; Perfumería &gt; Cuidado Capilar &gt; Shampoo &gt;</t>
        </is>
      </c>
      <c r="L1752" s="2" t="inlineStr">
        <is>
          <t>shampoo</t>
        </is>
      </c>
      <c r="M1752" s="2" t="inlineStr">
        <is>
          <t>estandar</t>
        </is>
      </c>
      <c r="N1752" s="2" t="inlineStr">
        <is>
          <t>general</t>
        </is>
      </c>
      <c r="O1752" s="2" t="inlineStr">
        <is>
          <t>https://www.jumbo.com.ar/shampoo-pantene-51-349886/p</t>
        </is>
      </c>
    </row>
    <row r="1753">
      <c r="A1753" t="inlineStr">
        <is>
          <t>Jumbo</t>
        </is>
      </c>
      <c r="B1753" t="n">
        <v>209865</v>
      </c>
      <c r="C1753" t="n">
        <v>232387</v>
      </c>
      <c r="D1753" t="inlineStr">
        <is>
          <t>Shampoo Pantene Frizz Control Shamp+acond 400ml+crpeinar Pck 3 Un.</t>
        </is>
      </c>
      <c r="E1753" t="inlineStr">
        <is>
          <t>PANTENE</t>
        </is>
      </c>
      <c r="F1753" t="n">
        <v>36.69</v>
      </c>
      <c r="G1753" t="n">
        <v>36.69</v>
      </c>
      <c r="H1753" t="b">
        <v>0</v>
      </c>
      <c r="I1753" t="n">
        <v>400</v>
      </c>
      <c r="J1753" t="n">
        <v>0.0917</v>
      </c>
      <c r="K1753" t="inlineStr">
        <is>
          <t>&gt; Perfumería &gt; Cuidado Capilar &gt; Shampoo &gt;</t>
        </is>
      </c>
      <c r="L1753" t="inlineStr">
        <is>
          <t>shampoo</t>
        </is>
      </c>
      <c r="M1753" t="inlineStr">
        <is>
          <t>estandar</t>
        </is>
      </c>
      <c r="N1753" t="inlineStr">
        <is>
          <t>general</t>
        </is>
      </c>
      <c r="O1753" t="inlineStr">
        <is>
          <t>https://www.jumbo.com.ar/shampoo-pantene-49-349885/p</t>
        </is>
      </c>
    </row>
    <row r="1754">
      <c r="A1754" s="2" t="inlineStr">
        <is>
          <t>Jumbo</t>
        </is>
      </c>
      <c r="B1754" s="2" t="n">
        <v>195205</v>
      </c>
      <c r="C1754" s="2" t="n">
        <v>232386</v>
      </c>
      <c r="D1754" s="2" t="inlineStr">
        <is>
          <t>Shampoo Pantene Pro V Liso Extremo 3 U De 10 Ml</t>
        </is>
      </c>
      <c r="E1754" s="2" t="inlineStr">
        <is>
          <t>PANTENE</t>
        </is>
      </c>
      <c r="F1754" s="2" t="n">
        <v>1.67</v>
      </c>
      <c r="G1754" s="2" t="n">
        <v>1.67</v>
      </c>
      <c r="H1754" s="2" t="b">
        <v>0</v>
      </c>
      <c r="I1754" s="2" t="n">
        <v>10</v>
      </c>
      <c r="J1754" s="2" t="n">
        <v>0.167</v>
      </c>
      <c r="K1754" s="2" t="inlineStr">
        <is>
          <t>&gt; Perfumería &gt; Cuidado Capilar &gt; Shampoo &gt;</t>
        </is>
      </c>
      <c r="L1754" s="2" t="inlineStr">
        <is>
          <t>shampoo</t>
        </is>
      </c>
      <c r="M1754" s="2" t="inlineStr">
        <is>
          <t>profesional</t>
        </is>
      </c>
      <c r="N1754" s="2" t="inlineStr">
        <is>
          <t>general</t>
        </is>
      </c>
      <c r="O1754" s="2" t="inlineStr">
        <is>
          <t>https://www.jumbo.com.ar/shampoo-pantene-pro-v-liso-extremo-3-u-de-10-ml-248080/p</t>
        </is>
      </c>
    </row>
    <row r="1755">
      <c r="A1755" t="inlineStr">
        <is>
          <t>Jumbo</t>
        </is>
      </c>
      <c r="B1755" t="n">
        <v>189915</v>
      </c>
      <c r="C1755" t="n">
        <v>232560</v>
      </c>
      <c r="D1755" t="inlineStr">
        <is>
          <t>Shampoo Pantene Liso Extremo Shamp+acond 400ml+crpeinar Pck 3 Un.</t>
        </is>
      </c>
      <c r="E1755" t="inlineStr">
        <is>
          <t>PANTENE</t>
        </is>
      </c>
      <c r="F1755" t="n">
        <v>36.69</v>
      </c>
      <c r="G1755" t="n">
        <v>36.69</v>
      </c>
      <c r="H1755" t="b">
        <v>0</v>
      </c>
      <c r="I1755" t="n">
        <v>400</v>
      </c>
      <c r="J1755" t="n">
        <v>0.0917</v>
      </c>
      <c r="K1755" t="inlineStr">
        <is>
          <t>&gt; Perfumería &gt; Cuidado Capilar &gt; Shampoo &gt;</t>
        </is>
      </c>
      <c r="L1755" t="inlineStr">
        <is>
          <t>shampoo</t>
        </is>
      </c>
      <c r="M1755" t="inlineStr">
        <is>
          <t>estandar</t>
        </is>
      </c>
      <c r="N1755" t="inlineStr">
        <is>
          <t>general</t>
        </is>
      </c>
      <c r="O1755" t="inlineStr">
        <is>
          <t>https://www.jumbo.com.ar/shampoo-pantene-50-349884/p</t>
        </is>
      </c>
    </row>
    <row r="1756">
      <c r="A1756" s="2" t="inlineStr">
        <is>
          <t>Jumbo</t>
        </is>
      </c>
      <c r="B1756" s="2" t="n">
        <v>188251</v>
      </c>
      <c r="C1756" s="2" t="n">
        <v>232583</v>
      </c>
      <c r="D1756" s="2" t="inlineStr">
        <is>
          <t>Shampoo Pantene Reparación Intensa Shamp+acond+tratam 400ml Pck 3 Un.</t>
        </is>
      </c>
      <c r="E1756" s="2" t="inlineStr">
        <is>
          <t>PANTENE</t>
        </is>
      </c>
      <c r="F1756" s="2" t="n">
        <v>37.19</v>
      </c>
      <c r="G1756" s="2" t="n">
        <v>37.19</v>
      </c>
      <c r="H1756" s="2" t="b">
        <v>0</v>
      </c>
      <c r="I1756" s="2" t="n">
        <v>400</v>
      </c>
      <c r="J1756" s="2" t="n">
        <v>0.093</v>
      </c>
      <c r="K1756" s="2" t="inlineStr">
        <is>
          <t>&gt; Perfumería &gt; Cuidado Capilar &gt; Shampoo &gt;</t>
        </is>
      </c>
      <c r="L1756" s="2" t="inlineStr">
        <is>
          <t>shampoo</t>
        </is>
      </c>
      <c r="M1756" s="2" t="inlineStr">
        <is>
          <t>estandar</t>
        </is>
      </c>
      <c r="N1756" s="2" t="inlineStr">
        <is>
          <t>general</t>
        </is>
      </c>
      <c r="O1756" s="2" t="inlineStr">
        <is>
          <t>https://www.jumbo.com.ar/shampoo-pantene-52-349882/p</t>
        </is>
      </c>
    </row>
    <row r="1757">
      <c r="A1757" t="inlineStr">
        <is>
          <t>Jumbo</t>
        </is>
      </c>
      <c r="B1757" t="n">
        <v>182873</v>
      </c>
      <c r="C1757" t="n">
        <v>204538</v>
      </c>
      <c r="D1757" t="inlineStr">
        <is>
          <t>Acondicionador Pantene Cuidado Clásico X 200 Ml.</t>
        </is>
      </c>
      <c r="E1757" t="inlineStr">
        <is>
          <t>PANTENE</t>
        </is>
      </c>
      <c r="F1757" t="n">
        <v>5.29</v>
      </c>
      <c r="G1757" t="n">
        <v>5.29</v>
      </c>
      <c r="H1757" t="b">
        <v>0</v>
      </c>
      <c r="I1757" t="n">
        <v>200</v>
      </c>
      <c r="J1757" t="n">
        <v>0.0265</v>
      </c>
      <c r="K1757" t="inlineStr">
        <is>
          <t>&gt; Perfumería &gt; Cuidado Capilar &gt; Acondicionador &gt;</t>
        </is>
      </c>
      <c r="L1757" t="inlineStr">
        <is>
          <t>acondicionador</t>
        </is>
      </c>
      <c r="M1757" t="inlineStr">
        <is>
          <t>estandar</t>
        </is>
      </c>
      <c r="N1757" t="inlineStr">
        <is>
          <t>general</t>
        </is>
      </c>
      <c r="O1757" t="inlineStr">
        <is>
          <t>https://www.jumbo.com.ar/acondicionador-pantene-25-193775/p</t>
        </is>
      </c>
    </row>
    <row r="1758">
      <c r="A1758" s="2" t="inlineStr">
        <is>
          <t>Jumbo</t>
        </is>
      </c>
      <c r="B1758" s="2" t="n">
        <v>170114</v>
      </c>
      <c r="C1758" s="2" t="n">
        <v>167653</v>
      </c>
      <c r="D1758" s="2" t="inlineStr">
        <is>
          <t>Shampoo Pantene Pro V-brillo Extremo-acond Pantene 400ml-pck-un.-2</t>
        </is>
      </c>
      <c r="E1758" s="2" t="inlineStr">
        <is>
          <t>PANTENE</t>
        </is>
      </c>
      <c r="F1758" s="2" t="n">
        <v>33.59</v>
      </c>
      <c r="G1758" s="2" t="n">
        <v>33.59</v>
      </c>
      <c r="H1758" s="2" t="b">
        <v>0</v>
      </c>
      <c r="I1758" s="2" t="n">
        <v>400</v>
      </c>
      <c r="J1758" s="2" t="n">
        <v>0.08400000000000001</v>
      </c>
      <c r="K1758" s="2" t="inlineStr">
        <is>
          <t>&gt; Perfumería &gt; Cuidado Capilar &gt; Shampoo &gt;</t>
        </is>
      </c>
      <c r="L1758" s="2" t="inlineStr">
        <is>
          <t>shampoo</t>
        </is>
      </c>
      <c r="M1758" s="2" t="inlineStr">
        <is>
          <t>profesional</t>
        </is>
      </c>
      <c r="N1758" s="2" t="inlineStr">
        <is>
          <t>general</t>
        </is>
      </c>
      <c r="O1758" s="2" t="inlineStr">
        <is>
          <t>https://www.jumbo.com.ar/shampoo-pantene-pro-v-brillo-extremo-acond-pantene-400ml-pck-un-2/p</t>
        </is>
      </c>
    </row>
    <row r="1759">
      <c r="A1759" t="inlineStr">
        <is>
          <t>Jumbo</t>
        </is>
      </c>
      <c r="B1759" t="n">
        <v>170111</v>
      </c>
      <c r="C1759" t="n">
        <v>167650</v>
      </c>
      <c r="D1759" t="inlineStr">
        <is>
          <t>Shampoo Pantene Pro V-control Caida-acond Pantene 400ml-pck-un.-2</t>
        </is>
      </c>
      <c r="E1759" t="inlineStr">
        <is>
          <t>PANTENE</t>
        </is>
      </c>
      <c r="F1759" t="n">
        <v>22.22</v>
      </c>
      <c r="G1759" t="n">
        <v>22.22</v>
      </c>
      <c r="H1759" t="b">
        <v>0</v>
      </c>
      <c r="I1759" t="n">
        <v>400</v>
      </c>
      <c r="J1759" t="n">
        <v>0.0555</v>
      </c>
      <c r="K1759" t="inlineStr">
        <is>
          <t>&gt; Perfumería &gt; Cuidado Capilar &gt; Shampoo &gt;</t>
        </is>
      </c>
      <c r="L1759" t="inlineStr">
        <is>
          <t>shampoo</t>
        </is>
      </c>
      <c r="M1759" t="inlineStr">
        <is>
          <t>profesional</t>
        </is>
      </c>
      <c r="N1759" t="inlineStr">
        <is>
          <t>general</t>
        </is>
      </c>
      <c r="O1759" t="inlineStr">
        <is>
          <t>https://www.jumbo.com.ar/shampoo-pantene-pro-v-control-caida-acond-pantene-400ml-pck-un-2/p</t>
        </is>
      </c>
    </row>
    <row r="1760">
      <c r="A1760" s="2" t="inlineStr">
        <is>
          <t>Jumbo</t>
        </is>
      </c>
      <c r="B1760" s="2" t="n">
        <v>170024</v>
      </c>
      <c r="C1760" s="2" t="n">
        <v>167563</v>
      </c>
      <c r="D1760" s="2" t="inlineStr">
        <is>
          <t>Shampoo Pantene Pro V-renov. Profunda-acond400ml+tratam400ml-pck-un.-3</t>
        </is>
      </c>
      <c r="E1760" s="2" t="inlineStr">
        <is>
          <t>PANTENE</t>
        </is>
      </c>
      <c r="F1760" s="2" t="n">
        <v>44.19</v>
      </c>
      <c r="G1760" s="2" t="n">
        <v>44.19</v>
      </c>
      <c r="H1760" s="2" t="b">
        <v>0</v>
      </c>
      <c r="I1760" s="2" t="n">
        <v>400</v>
      </c>
      <c r="J1760" s="2" t="n">
        <v>0.1105</v>
      </c>
      <c r="K1760" s="2" t="inlineStr">
        <is>
          <t>&gt; Perfumería &gt; Cuidado Capilar &gt; Shampoo &gt;</t>
        </is>
      </c>
      <c r="L1760" s="2" t="inlineStr">
        <is>
          <t>shampoo</t>
        </is>
      </c>
      <c r="M1760" s="2" t="inlineStr">
        <is>
          <t>profesional</t>
        </is>
      </c>
      <c r="N1760" s="2" t="inlineStr">
        <is>
          <t>general</t>
        </is>
      </c>
      <c r="O1760" s="2" t="inlineStr">
        <is>
          <t>https://www.jumbo.com.ar/shampoo-pantene-pro-v-renov-profunda-acond400ml-tratam400ml-pck-un-3/p</t>
        </is>
      </c>
    </row>
    <row r="1761">
      <c r="A1761" t="inlineStr">
        <is>
          <t>Jumbo</t>
        </is>
      </c>
      <c r="B1761" t="n">
        <v>167524</v>
      </c>
      <c r="C1761" t="n">
        <v>165063</v>
      </c>
      <c r="D1761" t="inlineStr">
        <is>
          <t>Shampoo Pantene Pro-v Hidrocauterizacion 200 Ml</t>
        </is>
      </c>
      <c r="E1761" t="inlineStr">
        <is>
          <t>PANTENE</t>
        </is>
      </c>
      <c r="F1761" t="n">
        <v>24.67</v>
      </c>
      <c r="G1761" t="n">
        <v>2039</v>
      </c>
      <c r="H1761" t="b">
        <v>0</v>
      </c>
      <c r="I1761" t="n">
        <v>200</v>
      </c>
      <c r="J1761" t="n">
        <v>0.1234</v>
      </c>
      <c r="K1761" t="inlineStr">
        <is>
          <t>&gt; Perfumería &gt; Cuidado Capilar &gt; Shampoo &gt;</t>
        </is>
      </c>
      <c r="L1761" t="inlineStr">
        <is>
          <t>shampoo</t>
        </is>
      </c>
      <c r="M1761" t="inlineStr">
        <is>
          <t>profesional</t>
        </is>
      </c>
      <c r="N1761" t="inlineStr">
        <is>
          <t>general</t>
        </is>
      </c>
      <c r="O1761" t="inlineStr">
        <is>
          <t>https://www.jumbo.com.ar/shampoo-pantene-pro-v-hidrocauterizacion-200-ml/p</t>
        </is>
      </c>
    </row>
    <row r="1762">
      <c r="A1762" s="2" t="inlineStr">
        <is>
          <t>Jumbo</t>
        </is>
      </c>
      <c r="B1762" s="2" t="n">
        <v>165141</v>
      </c>
      <c r="C1762" s="2" t="n">
        <v>162680</v>
      </c>
      <c r="D1762" s="2" t="inlineStr">
        <is>
          <t>Shampoo Pantene-tratamiento Reparación-bli-un.-2</t>
        </is>
      </c>
      <c r="E1762" s="2" t="inlineStr">
        <is>
          <t>PANTENE</t>
        </is>
      </c>
      <c r="F1762" s="2" t="n">
        <v>95.84999999999999</v>
      </c>
      <c r="G1762" s="2" t="n">
        <v>7921</v>
      </c>
      <c r="H1762" s="2" t="b">
        <v>0</v>
      </c>
      <c r="I1762" s="2" t="inlineStr"/>
      <c r="J1762" s="2" t="inlineStr"/>
      <c r="K1762" s="2" t="inlineStr">
        <is>
          <t>&gt; Perfumería &gt; Cuidado Capilar &gt; Shampoo &gt;</t>
        </is>
      </c>
      <c r="L1762" s="2" t="inlineStr">
        <is>
          <t>tratamiento</t>
        </is>
      </c>
      <c r="M1762" s="2" t="inlineStr">
        <is>
          <t>estandar</t>
        </is>
      </c>
      <c r="N1762" s="2" t="inlineStr">
        <is>
          <t>general</t>
        </is>
      </c>
      <c r="O1762" s="2" t="inlineStr">
        <is>
          <t>https://www.jumbo.com.ar/shampoo-pantene-tratamiento-reparacion-bli-un-2/p</t>
        </is>
      </c>
    </row>
    <row r="1763">
      <c r="A1763" t="inlineStr">
        <is>
          <t>Jumbo</t>
        </is>
      </c>
      <c r="B1763" t="n">
        <v>164209</v>
      </c>
      <c r="C1763" t="n">
        <v>161748</v>
      </c>
      <c r="D1763" t="inlineStr">
        <is>
          <t>Acondicionador Pantene Pro V-+ Ampolla X15 Ml-restauración-bli-un.-2</t>
        </is>
      </c>
      <c r="E1763" t="inlineStr">
        <is>
          <t>PANTENE</t>
        </is>
      </c>
      <c r="F1763" t="n">
        <v>22.29</v>
      </c>
      <c r="G1763" t="n">
        <v>22.29</v>
      </c>
      <c r="H1763" t="b">
        <v>0</v>
      </c>
      <c r="I1763" t="n">
        <v>15</v>
      </c>
      <c r="J1763" t="n">
        <v>1.486</v>
      </c>
      <c r="K1763" t="inlineStr">
        <is>
          <t>&gt; Perfumería &gt; Cuidado Capilar &gt; Acondicionador &gt;</t>
        </is>
      </c>
      <c r="L1763" t="inlineStr">
        <is>
          <t>acondicionador</t>
        </is>
      </c>
      <c r="M1763" t="inlineStr">
        <is>
          <t>profesional</t>
        </is>
      </c>
      <c r="N1763" t="inlineStr">
        <is>
          <t>general</t>
        </is>
      </c>
      <c r="O1763" t="inlineStr">
        <is>
          <t>https://www.jumbo.com.ar/acondicionador-pantene-pro-v-ampolla-x15-ml-restauracion-bli-un-2/p</t>
        </is>
      </c>
    </row>
    <row r="1764">
      <c r="A1764" s="2" t="inlineStr">
        <is>
          <t>Jumbo</t>
        </is>
      </c>
      <c r="B1764" s="2" t="n">
        <v>163990</v>
      </c>
      <c r="C1764" s="2" t="n">
        <v>161528</v>
      </c>
      <c r="D1764" s="2" t="inlineStr">
        <is>
          <t>Shampoo Pantene Pro V-+ Ampolla X15 Ml-restauración-bli-un.-2</t>
        </is>
      </c>
      <c r="E1764" s="2" t="inlineStr">
        <is>
          <t>PANTENE</t>
        </is>
      </c>
      <c r="F1764" s="2" t="n">
        <v>22.29</v>
      </c>
      <c r="G1764" s="2" t="n">
        <v>22.29</v>
      </c>
      <c r="H1764" s="2" t="b">
        <v>0</v>
      </c>
      <c r="I1764" s="2" t="n">
        <v>15</v>
      </c>
      <c r="J1764" s="2" t="n">
        <v>1.486</v>
      </c>
      <c r="K1764" s="2" t="inlineStr">
        <is>
          <t>&gt; Perfumería &gt; Cuidado Capilar &gt; Shampoo &gt;</t>
        </is>
      </c>
      <c r="L1764" s="2" t="inlineStr">
        <is>
          <t>shampoo</t>
        </is>
      </c>
      <c r="M1764" s="2" t="inlineStr">
        <is>
          <t>profesional</t>
        </is>
      </c>
      <c r="N1764" s="2" t="inlineStr">
        <is>
          <t>general</t>
        </is>
      </c>
      <c r="O1764" s="2" t="inlineStr">
        <is>
          <t>https://www.jumbo.com.ar/shampoo-pantene-pro-v-ampolla-x15-ml-restauracion-bli-un-2/p</t>
        </is>
      </c>
    </row>
    <row r="1765">
      <c r="A1765" t="inlineStr">
        <is>
          <t>Jumbo</t>
        </is>
      </c>
      <c r="B1765" t="n">
        <v>148822</v>
      </c>
      <c r="C1765" t="n">
        <v>146472</v>
      </c>
      <c r="D1765" t="inlineStr">
        <is>
          <t>Oferta Pantene Hidratación Sh+aco</t>
        </is>
      </c>
      <c r="E1765" t="inlineStr">
        <is>
          <t>PANTENE</t>
        </is>
      </c>
      <c r="F1765" t="n">
        <v>37.43</v>
      </c>
      <c r="G1765" t="n">
        <v>37.43</v>
      </c>
      <c r="H1765" t="b">
        <v>0</v>
      </c>
      <c r="I1765" t="inlineStr"/>
      <c r="J1765" t="inlineStr"/>
      <c r="K1765" t="inlineStr">
        <is>
          <t>&gt; Perfumería &gt; Cuidado Capilar &gt; Shampoo &gt;</t>
        </is>
      </c>
      <c r="L1765" t="inlineStr">
        <is>
          <t>shampoo</t>
        </is>
      </c>
      <c r="M1765" t="inlineStr">
        <is>
          <t>estandar</t>
        </is>
      </c>
      <c r="N1765" t="inlineStr">
        <is>
          <t>seco_danado</t>
        </is>
      </c>
      <c r="O1765" t="inlineStr">
        <is>
          <t>https://www.jumbo.com.ar/oferta-pantene-hidratacion-sh-aco-2/p</t>
        </is>
      </c>
    </row>
    <row r="1766">
      <c r="A1766" s="2" t="inlineStr">
        <is>
          <t>Jumbo</t>
        </is>
      </c>
      <c r="B1766" s="2" t="n">
        <v>148756</v>
      </c>
      <c r="C1766" s="2" t="n">
        <v>145665</v>
      </c>
      <c r="D1766" s="2" t="inlineStr">
        <is>
          <t>Oferta Pantene Fusión Nat Aco+trat</t>
        </is>
      </c>
      <c r="E1766" s="2" t="inlineStr">
        <is>
          <t>PANTENE</t>
        </is>
      </c>
      <c r="F1766" s="2" t="n">
        <v>37.17</v>
      </c>
      <c r="G1766" s="2" t="n">
        <v>37.17</v>
      </c>
      <c r="H1766" s="2" t="b">
        <v>0</v>
      </c>
      <c r="I1766" s="2" t="inlineStr"/>
      <c r="J1766" s="2" t="inlineStr"/>
      <c r="K1766" s="2" t="inlineStr">
        <is>
          <t>&gt; Perfumería &gt; Cuidado Capilar &gt; Acondicionador &gt;</t>
        </is>
      </c>
      <c r="L1766" s="2" t="inlineStr">
        <is>
          <t>shampoo</t>
        </is>
      </c>
      <c r="M1766" s="2" t="inlineStr">
        <is>
          <t>estandar</t>
        </is>
      </c>
      <c r="N1766" s="2" t="inlineStr">
        <is>
          <t>general</t>
        </is>
      </c>
      <c r="O1766" s="2" t="inlineStr">
        <is>
          <t>https://www.jumbo.com.ar/oferta-pantene-fusion-nat-aco-trat-2/p</t>
        </is>
      </c>
    </row>
    <row r="1767">
      <c r="A1767" t="inlineStr">
        <is>
          <t>Jumbo</t>
        </is>
      </c>
      <c r="B1767" t="n">
        <v>148750</v>
      </c>
      <c r="C1767" t="n">
        <v>145661</v>
      </c>
      <c r="D1767" t="inlineStr">
        <is>
          <t>Oferta Pantene Fusión Nat Sh+ac 400ml</t>
        </is>
      </c>
      <c r="E1767" t="inlineStr">
        <is>
          <t>PANTENE</t>
        </is>
      </c>
      <c r="F1767" t="n">
        <v>103.39</v>
      </c>
      <c r="G1767" t="n">
        <v>103.39</v>
      </c>
      <c r="H1767" t="b">
        <v>0</v>
      </c>
      <c r="I1767" t="n">
        <v>400</v>
      </c>
      <c r="J1767" t="n">
        <v>0.2585</v>
      </c>
      <c r="K1767" t="inlineStr">
        <is>
          <t>&gt; Perfumería &gt; Cuidado Capilar &gt; Shampoo &gt;</t>
        </is>
      </c>
      <c r="L1767" t="inlineStr">
        <is>
          <t>shampoo</t>
        </is>
      </c>
      <c r="M1767" t="inlineStr">
        <is>
          <t>estandar</t>
        </is>
      </c>
      <c r="N1767" t="inlineStr">
        <is>
          <t>general</t>
        </is>
      </c>
      <c r="O1767" t="inlineStr">
        <is>
          <t>https://www.jumbo.com.ar/oferta-pantene-fusion-nat-sh-ac-400ml-2/p</t>
        </is>
      </c>
    </row>
    <row r="1768">
      <c r="A1768" s="2" t="inlineStr">
        <is>
          <t>Jumbo</t>
        </is>
      </c>
      <c r="B1768" s="2" t="n">
        <v>148749</v>
      </c>
      <c r="C1768" s="2" t="n">
        <v>145660</v>
      </c>
      <c r="D1768" s="2" t="inlineStr">
        <is>
          <t>Oferta Pantene Restauración Aco+trat</t>
        </is>
      </c>
      <c r="E1768" s="2" t="inlineStr">
        <is>
          <t>PANTENE</t>
        </is>
      </c>
      <c r="F1768" s="2" t="n">
        <v>37.17</v>
      </c>
      <c r="G1768" s="2" t="n">
        <v>37.17</v>
      </c>
      <c r="H1768" s="2" t="b">
        <v>0</v>
      </c>
      <c r="I1768" s="2" t="inlineStr"/>
      <c r="J1768" s="2" t="inlineStr"/>
      <c r="K1768" s="2" t="inlineStr">
        <is>
          <t>&gt; Perfumería &gt; Cuidado Capilar &gt; Acondicionador &gt;</t>
        </is>
      </c>
      <c r="L1768" s="2" t="inlineStr">
        <is>
          <t>shampoo</t>
        </is>
      </c>
      <c r="M1768" s="2" t="inlineStr">
        <is>
          <t>estandar</t>
        </is>
      </c>
      <c r="N1768" s="2" t="inlineStr">
        <is>
          <t>general</t>
        </is>
      </c>
      <c r="O1768" s="2" t="inlineStr">
        <is>
          <t>https://www.jumbo.com.ar/oferta-pantene-restauracion-aco-trat-2/p</t>
        </is>
      </c>
    </row>
    <row r="1769">
      <c r="A1769" t="inlineStr">
        <is>
          <t>Jumbo</t>
        </is>
      </c>
      <c r="B1769" t="n">
        <v>148747</v>
      </c>
      <c r="C1769" t="n">
        <v>145654</v>
      </c>
      <c r="D1769" t="inlineStr">
        <is>
          <t>Oferta Pantene Hidratación Aco+trat</t>
        </is>
      </c>
      <c r="E1769" t="inlineStr">
        <is>
          <t>PANTENE</t>
        </is>
      </c>
      <c r="F1769" t="n">
        <v>37.17</v>
      </c>
      <c r="G1769" t="n">
        <v>37.17</v>
      </c>
      <c r="H1769" t="b">
        <v>0</v>
      </c>
      <c r="I1769" t="inlineStr"/>
      <c r="J1769" t="inlineStr"/>
      <c r="K1769" t="inlineStr">
        <is>
          <t>&gt; Perfumería &gt; Cuidado Capilar &gt; Acondicionador &gt;</t>
        </is>
      </c>
      <c r="L1769" t="inlineStr">
        <is>
          <t>shampoo</t>
        </is>
      </c>
      <c r="M1769" t="inlineStr">
        <is>
          <t>estandar</t>
        </is>
      </c>
      <c r="N1769" t="inlineStr">
        <is>
          <t>seco_danado</t>
        </is>
      </c>
      <c r="O1769" t="inlineStr">
        <is>
          <t>https://www.jumbo.com.ar/oferta-pantene-hidratacion-aco-trat-2/p</t>
        </is>
      </c>
    </row>
    <row r="1770">
      <c r="A1770" s="2" t="inlineStr">
        <is>
          <t>Jumbo</t>
        </is>
      </c>
      <c r="B1770" s="2" t="n">
        <v>148744</v>
      </c>
      <c r="C1770" s="2" t="n">
        <v>145653</v>
      </c>
      <c r="D1770" s="2" t="inlineStr">
        <is>
          <t>Oferta Pantene Restauración Sh+aco 400ml</t>
        </is>
      </c>
      <c r="E1770" s="2" t="inlineStr">
        <is>
          <t>PANTENE</t>
        </is>
      </c>
      <c r="F1770" s="2" t="n">
        <v>37.43</v>
      </c>
      <c r="G1770" s="2" t="n">
        <v>37.43</v>
      </c>
      <c r="H1770" s="2" t="b">
        <v>0</v>
      </c>
      <c r="I1770" s="2" t="n">
        <v>400</v>
      </c>
      <c r="J1770" s="2" t="n">
        <v>0.0936</v>
      </c>
      <c r="K1770" s="2" t="inlineStr">
        <is>
          <t>&gt; Perfumería &gt; Cuidado Capilar &gt; Shampoo &gt;</t>
        </is>
      </c>
      <c r="L1770" s="2" t="inlineStr">
        <is>
          <t>shampoo</t>
        </is>
      </c>
      <c r="M1770" s="2" t="inlineStr">
        <is>
          <t>estandar</t>
        </is>
      </c>
      <c r="N1770" s="2" t="inlineStr">
        <is>
          <t>general</t>
        </is>
      </c>
      <c r="O1770" s="2" t="inlineStr">
        <is>
          <t>https://www.jumbo.com.ar/oferta-pantene-restauracion-sh-aco-400ml-2/p</t>
        </is>
      </c>
    </row>
    <row r="1771">
      <c r="A1771" t="inlineStr">
        <is>
          <t>Jumbo</t>
        </is>
      </c>
      <c r="B1771" t="n">
        <v>147301</v>
      </c>
      <c r="C1771" t="n">
        <v>144210</v>
      </c>
      <c r="D1771" t="inlineStr">
        <is>
          <t>Shampoo Pantene Pro V-restaurador-+ Crema Tratamiento-bot-un.-2</t>
        </is>
      </c>
      <c r="E1771" t="inlineStr">
        <is>
          <t>PANTENE</t>
        </is>
      </c>
      <c r="F1771" t="n">
        <v>36.99</v>
      </c>
      <c r="G1771" t="n">
        <v>36.99</v>
      </c>
      <c r="H1771" t="b">
        <v>0</v>
      </c>
      <c r="I1771" t="inlineStr"/>
      <c r="J1771" t="inlineStr"/>
      <c r="K1771" t="inlineStr">
        <is>
          <t>&gt; Perfumería &gt; Cuidado Capilar &gt; Shampoo &gt;</t>
        </is>
      </c>
      <c r="L1771" t="inlineStr">
        <is>
          <t>tratamiento</t>
        </is>
      </c>
      <c r="M1771" t="inlineStr">
        <is>
          <t>profesional</t>
        </is>
      </c>
      <c r="N1771" t="inlineStr">
        <is>
          <t>general</t>
        </is>
      </c>
      <c r="O1771" t="inlineStr">
        <is>
          <t>https://www.jumbo.com.ar/shampoo-pantene-pro-v-restaurador-crema-tratamiento-bot-un-2/p</t>
        </is>
      </c>
    </row>
    <row r="1772">
      <c r="A1772" s="2" t="inlineStr">
        <is>
          <t>Jumbo</t>
        </is>
      </c>
      <c r="B1772" s="2" t="n">
        <v>139821</v>
      </c>
      <c r="C1772" s="2" t="n">
        <v>136732</v>
      </c>
      <c r="D1772" s="2" t="inlineStr">
        <is>
          <t>Acondicionador Pantene Pro-v Restauracion 750 Ml</t>
        </is>
      </c>
      <c r="E1772" s="2" t="inlineStr">
        <is>
          <t>PANTENE</t>
        </is>
      </c>
      <c r="F1772" s="2" t="n">
        <v>81.09</v>
      </c>
      <c r="G1772" s="2" t="n">
        <v>6702</v>
      </c>
      <c r="H1772" s="2" t="b">
        <v>0</v>
      </c>
      <c r="I1772" s="2" t="n">
        <v>750</v>
      </c>
      <c r="J1772" s="2" t="n">
        <v>0.1081</v>
      </c>
      <c r="K1772" s="2" t="inlineStr">
        <is>
          <t>&gt; Perfumería &gt; Cuidado Capilar &gt; Acondicionador &gt;</t>
        </is>
      </c>
      <c r="L1772" s="2" t="inlineStr">
        <is>
          <t>acondicionador</t>
        </is>
      </c>
      <c r="M1772" s="2" t="inlineStr">
        <is>
          <t>profesional</t>
        </is>
      </c>
      <c r="N1772" s="2" t="inlineStr">
        <is>
          <t>general</t>
        </is>
      </c>
      <c r="O1772" s="2" t="inlineStr">
        <is>
          <t>https://www.jumbo.com.ar/acondicionador-pantene-pro-v-restauracion-750-ml-2/p</t>
        </is>
      </c>
    </row>
    <row r="1773">
      <c r="A1773" t="inlineStr">
        <is>
          <t>Jumbo</t>
        </is>
      </c>
      <c r="B1773" t="n">
        <v>139649</v>
      </c>
      <c r="C1773" t="n">
        <v>136560</v>
      </c>
      <c r="D1773" t="inlineStr">
        <is>
          <t>Shampoo Pantene Pro-v Restauración 750 Ml</t>
        </is>
      </c>
      <c r="E1773" t="inlineStr">
        <is>
          <t>PANTENE</t>
        </is>
      </c>
      <c r="F1773" t="n">
        <v>74.37</v>
      </c>
      <c r="G1773" t="n">
        <v>6146</v>
      </c>
      <c r="H1773" t="b">
        <v>0</v>
      </c>
      <c r="I1773" t="n">
        <v>750</v>
      </c>
      <c r="J1773" t="n">
        <v>0.0992</v>
      </c>
      <c r="K1773" t="inlineStr">
        <is>
          <t>&gt; Perfumería &gt; Cuidado Capilar &gt; Shampoo &gt;</t>
        </is>
      </c>
      <c r="L1773" t="inlineStr">
        <is>
          <t>shampoo</t>
        </is>
      </c>
      <c r="M1773" t="inlineStr">
        <is>
          <t>profesional</t>
        </is>
      </c>
      <c r="N1773" t="inlineStr">
        <is>
          <t>general</t>
        </is>
      </c>
      <c r="O1773" t="inlineStr">
        <is>
          <t>https://www.jumbo.com.ar/shampoo-pantene-pro-v-restauracion-750-ml-2/p</t>
        </is>
      </c>
    </row>
    <row r="1774">
      <c r="A1774" s="2" t="inlineStr">
        <is>
          <t>Jumbo</t>
        </is>
      </c>
      <c r="B1774" s="2" t="n">
        <v>137863</v>
      </c>
      <c r="C1774" s="2" t="n">
        <v>134774</v>
      </c>
      <c r="D1774" s="2" t="inlineStr">
        <is>
          <t>Shampoo Pantene Pro V-renov. Profunda-acond Pantene 400ml-pck-un.-2</t>
        </is>
      </c>
      <c r="E1774" s="2" t="inlineStr">
        <is>
          <t>PANTENE</t>
        </is>
      </c>
      <c r="F1774" s="2" t="n">
        <v>22.25</v>
      </c>
      <c r="G1774" s="2" t="n">
        <v>22.25</v>
      </c>
      <c r="H1774" s="2" t="b">
        <v>0</v>
      </c>
      <c r="I1774" s="2" t="n">
        <v>400</v>
      </c>
      <c r="J1774" s="2" t="n">
        <v>0.0556</v>
      </c>
      <c r="K1774" s="2" t="inlineStr">
        <is>
          <t>&gt; Perfumería &gt; Cuidado Capilar &gt; Shampoo &gt;</t>
        </is>
      </c>
      <c r="L1774" s="2" t="inlineStr">
        <is>
          <t>shampoo</t>
        </is>
      </c>
      <c r="M1774" s="2" t="inlineStr">
        <is>
          <t>profesional</t>
        </is>
      </c>
      <c r="N1774" s="2" t="inlineStr">
        <is>
          <t>general</t>
        </is>
      </c>
      <c r="O1774" s="2" t="inlineStr">
        <is>
          <t>https://www.jumbo.com.ar/shampoo-pantene-pro-v-renov-profunda-acond-pantene-400ml-pck-un-2-2/p</t>
        </is>
      </c>
    </row>
    <row r="1775">
      <c r="A1775" t="inlineStr">
        <is>
          <t>Jumbo</t>
        </is>
      </c>
      <c r="B1775" t="n">
        <v>135051</v>
      </c>
      <c r="C1775" t="n">
        <v>131963</v>
      </c>
      <c r="D1775" t="inlineStr">
        <is>
          <t>Minikit Pantene Pro-v Expert Keratin Repair</t>
        </is>
      </c>
      <c r="E1775" t="inlineStr">
        <is>
          <t>PANTENE</t>
        </is>
      </c>
      <c r="F1775" t="n">
        <v>74.19</v>
      </c>
      <c r="G1775" t="n">
        <v>6131</v>
      </c>
      <c r="H1775" t="b">
        <v>0</v>
      </c>
      <c r="I1775" t="inlineStr"/>
      <c r="J1775" t="inlineStr"/>
      <c r="K1775" t="inlineStr">
        <is>
          <t>&gt; Perfumería &gt; Cuidado Capilar &gt; Shampoo &gt;</t>
        </is>
      </c>
      <c r="L1775" t="inlineStr">
        <is>
          <t>tratamiento</t>
        </is>
      </c>
      <c r="M1775" t="inlineStr">
        <is>
          <t>profesional</t>
        </is>
      </c>
      <c r="N1775" t="inlineStr">
        <is>
          <t>general</t>
        </is>
      </c>
      <c r="O1775" t="inlineStr">
        <is>
          <t>https://www.jumbo.com.ar/minikit-pantene-pro-v-expert-keratin-repair/p</t>
        </is>
      </c>
    </row>
    <row r="1776">
      <c r="A1776" s="2" t="inlineStr">
        <is>
          <t>Jumbo</t>
        </is>
      </c>
      <c r="B1776" s="2" t="n">
        <v>132354</v>
      </c>
      <c r="C1776" s="2" t="n">
        <v>129270</v>
      </c>
      <c r="D1776" s="2" t="inlineStr">
        <is>
          <t>Acondicionador Pantene Brillo Extremo 400 Ml</t>
        </is>
      </c>
      <c r="E1776" s="2" t="inlineStr">
        <is>
          <t>PANTENE</t>
        </is>
      </c>
      <c r="F1776" s="2" t="n">
        <v>97.29000000000001</v>
      </c>
      <c r="G1776" s="2" t="n">
        <v>8041</v>
      </c>
      <c r="H1776" s="2" t="b">
        <v>0</v>
      </c>
      <c r="I1776" s="2" t="n">
        <v>400</v>
      </c>
      <c r="J1776" s="2" t="n">
        <v>0.2432</v>
      </c>
      <c r="K1776" s="2" t="inlineStr">
        <is>
          <t>&gt; Perfumería &gt; Cuidado Capilar &gt; Acondicionador &gt;</t>
        </is>
      </c>
      <c r="L1776" s="2" t="inlineStr">
        <is>
          <t>acondicionador</t>
        </is>
      </c>
      <c r="M1776" s="2" t="inlineStr">
        <is>
          <t>estandar</t>
        </is>
      </c>
      <c r="N1776" s="2" t="inlineStr">
        <is>
          <t>general</t>
        </is>
      </c>
      <c r="O1776" s="2" t="inlineStr">
        <is>
          <t>https://www.jumbo.com.ar/acondicionador-pantene-brillo-extremo-400-ml-2/p</t>
        </is>
      </c>
    </row>
    <row r="1777">
      <c r="A1777" t="inlineStr">
        <is>
          <t>Jumbo</t>
        </is>
      </c>
      <c r="B1777" t="n">
        <v>132328</v>
      </c>
      <c r="C1777" t="n">
        <v>129244</v>
      </c>
      <c r="D1777" t="inlineStr">
        <is>
          <t>Acondicionador Pantene Pro-v Liso Extremo 200 Ml</t>
        </is>
      </c>
      <c r="E1777" t="inlineStr">
        <is>
          <t>PANTENE</t>
        </is>
      </c>
      <c r="F1777" t="n">
        <v>24.67</v>
      </c>
      <c r="G1777" t="n">
        <v>2039</v>
      </c>
      <c r="H1777" t="b">
        <v>0</v>
      </c>
      <c r="I1777" t="n">
        <v>200</v>
      </c>
      <c r="J1777" t="n">
        <v>0.1234</v>
      </c>
      <c r="K1777" t="inlineStr">
        <is>
          <t>&gt; Perfumería &gt; Cuidado Capilar &gt; Acondicionador &gt;</t>
        </is>
      </c>
      <c r="L1777" t="inlineStr">
        <is>
          <t>acondicionador</t>
        </is>
      </c>
      <c r="M1777" t="inlineStr">
        <is>
          <t>profesional</t>
        </is>
      </c>
      <c r="N1777" t="inlineStr">
        <is>
          <t>general</t>
        </is>
      </c>
      <c r="O1777" t="inlineStr">
        <is>
          <t>https://www.jumbo.com.ar/acondicionador-pantene-pro-v-liso-extremo-200-ml/p</t>
        </is>
      </c>
    </row>
    <row r="1778">
      <c r="A1778" s="2" t="inlineStr">
        <is>
          <t>Jumbo</t>
        </is>
      </c>
      <c r="B1778" s="2" t="n">
        <v>132323</v>
      </c>
      <c r="C1778" s="2" t="n">
        <v>129239</v>
      </c>
      <c r="D1778" s="2" t="inlineStr">
        <is>
          <t>Shampoo Pantene Pro-v Rizos Definidos 750 Ml</t>
        </is>
      </c>
      <c r="E1778" s="2" t="inlineStr">
        <is>
          <t>PANTENE</t>
        </is>
      </c>
      <c r="F1778" s="2" t="n">
        <v>74.37</v>
      </c>
      <c r="G1778" s="2" t="n">
        <v>74.37</v>
      </c>
      <c r="H1778" s="2" t="b">
        <v>0</v>
      </c>
      <c r="I1778" s="2" t="n">
        <v>750</v>
      </c>
      <c r="J1778" s="2" t="n">
        <v>0.0992</v>
      </c>
      <c r="K1778" s="2" t="inlineStr">
        <is>
          <t>&gt; Perfumería &gt; Cuidado Capilar &gt; Shampoo &gt;</t>
        </is>
      </c>
      <c r="L1778" s="2" t="inlineStr">
        <is>
          <t>shampoo</t>
        </is>
      </c>
      <c r="M1778" s="2" t="inlineStr">
        <is>
          <t>profesional</t>
        </is>
      </c>
      <c r="N1778" s="2" t="inlineStr">
        <is>
          <t>rizado</t>
        </is>
      </c>
      <c r="O1778" s="2" t="inlineStr">
        <is>
          <t>https://www.jumbo.com.ar/shampoo-pantene-pro-v-rizos-definidos-750-ml/p</t>
        </is>
      </c>
    </row>
    <row r="1779">
      <c r="A1779" t="inlineStr">
        <is>
          <t>Jumbo</t>
        </is>
      </c>
      <c r="B1779" t="n">
        <v>132316</v>
      </c>
      <c r="C1779" t="n">
        <v>129232</v>
      </c>
      <c r="D1779" t="inlineStr">
        <is>
          <t>Shampoo Pantene Pro-v Rizos Definidos 400 Ml</t>
        </is>
      </c>
      <c r="E1779" t="inlineStr">
        <is>
          <t>PANTENE</t>
        </is>
      </c>
      <c r="F1779" t="n">
        <v>48.79</v>
      </c>
      <c r="G1779" t="n">
        <v>4032</v>
      </c>
      <c r="H1779" t="b">
        <v>0</v>
      </c>
      <c r="I1779" t="n">
        <v>400</v>
      </c>
      <c r="J1779" t="n">
        <v>0.122</v>
      </c>
      <c r="K1779" t="inlineStr">
        <is>
          <t>&gt; Perfumería &gt; Cuidado Capilar &gt; Shampoo &gt;</t>
        </is>
      </c>
      <c r="L1779" t="inlineStr">
        <is>
          <t>shampoo</t>
        </is>
      </c>
      <c r="M1779" t="inlineStr">
        <is>
          <t>profesional</t>
        </is>
      </c>
      <c r="N1779" t="inlineStr">
        <is>
          <t>rizado</t>
        </is>
      </c>
      <c r="O1779" t="inlineStr">
        <is>
          <t>https://www.jumbo.com.ar/shampoo-pantene-pro-v-rizos-definidos-400-ml/p</t>
        </is>
      </c>
    </row>
    <row r="1780">
      <c r="A1780" s="2" t="inlineStr">
        <is>
          <t>Jumbo</t>
        </is>
      </c>
      <c r="B1780" s="2" t="n">
        <v>132306</v>
      </c>
      <c r="C1780" s="2" t="n">
        <v>129221</v>
      </c>
      <c r="D1780" s="2" t="inlineStr">
        <is>
          <t>Pantene 2in1 Lisoysedoso 400ml</t>
        </is>
      </c>
      <c r="E1780" s="2" t="inlineStr">
        <is>
          <t>PANTENE</t>
        </is>
      </c>
      <c r="F1780" s="2" t="n">
        <v>48.79</v>
      </c>
      <c r="G1780" s="2" t="n">
        <v>4032</v>
      </c>
      <c r="H1780" s="2" t="b">
        <v>0</v>
      </c>
      <c r="I1780" s="2" t="n">
        <v>400</v>
      </c>
      <c r="J1780" s="2" t="n">
        <v>0.122</v>
      </c>
      <c r="K1780" s="2" t="inlineStr">
        <is>
          <t>&gt; Perfumería &gt; Cuidado Capilar &gt; Shampoo &gt;</t>
        </is>
      </c>
      <c r="L1780" s="2" t="inlineStr">
        <is>
          <t>shampoo</t>
        </is>
      </c>
      <c r="M1780" s="2" t="inlineStr">
        <is>
          <t>estandar</t>
        </is>
      </c>
      <c r="N1780" s="2" t="inlineStr">
        <is>
          <t>general</t>
        </is>
      </c>
      <c r="O1780" s="2" t="inlineStr">
        <is>
          <t>https://www.jumbo.com.ar/pantene-2in1-lisoysedoso-400ml/p</t>
        </is>
      </c>
    </row>
    <row r="1781">
      <c r="A1781" t="inlineStr">
        <is>
          <t>Jumbo</t>
        </is>
      </c>
      <c r="B1781" t="n">
        <v>132300</v>
      </c>
      <c r="C1781" t="n">
        <v>129215</v>
      </c>
      <c r="D1781" t="inlineStr">
        <is>
          <t>Pantene 2in1 Hidratación 200ml</t>
        </is>
      </c>
      <c r="E1781" t="inlineStr">
        <is>
          <t>PANTENE</t>
        </is>
      </c>
      <c r="F1781" t="n">
        <v>22.39</v>
      </c>
      <c r="G1781" t="n">
        <v>1850</v>
      </c>
      <c r="H1781" t="b">
        <v>0</v>
      </c>
      <c r="I1781" t="n">
        <v>200</v>
      </c>
      <c r="J1781" t="n">
        <v>0.112</v>
      </c>
      <c r="K1781" t="inlineStr">
        <is>
          <t>&gt; Perfumería &gt; Cuidado Capilar &gt; Shampoo &gt;</t>
        </is>
      </c>
      <c r="L1781" t="inlineStr">
        <is>
          <t>shampoo</t>
        </is>
      </c>
      <c r="M1781" t="inlineStr">
        <is>
          <t>estandar</t>
        </is>
      </c>
      <c r="N1781" t="inlineStr">
        <is>
          <t>seco_danado</t>
        </is>
      </c>
      <c r="O1781" t="inlineStr">
        <is>
          <t>https://www.jumbo.com.ar/pantene-2in1-hidratacion-200ml/p</t>
        </is>
      </c>
    </row>
    <row r="1782">
      <c r="A1782" s="2" t="inlineStr">
        <is>
          <t>Jumbo</t>
        </is>
      </c>
      <c r="B1782" s="2" t="n">
        <v>132296</v>
      </c>
      <c r="C1782" s="2" t="n">
        <v>129212</v>
      </c>
      <c r="D1782" s="2" t="inlineStr">
        <is>
          <t>Shampoo Pantene Cuidado Clásico 200 Ml</t>
        </is>
      </c>
      <c r="E1782" s="2" t="inlineStr">
        <is>
          <t>PANTENE</t>
        </is>
      </c>
      <c r="F1782" s="2" t="n">
        <v>31.59</v>
      </c>
      <c r="G1782" s="2" t="n">
        <v>31.59</v>
      </c>
      <c r="H1782" s="2" t="b">
        <v>0</v>
      </c>
      <c r="I1782" s="2" t="n">
        <v>200</v>
      </c>
      <c r="J1782" s="2" t="n">
        <v>0.158</v>
      </c>
      <c r="K1782" s="2" t="inlineStr">
        <is>
          <t>&gt; Perfumería &gt; Cuidado Capilar &gt; Shampoo &gt;</t>
        </is>
      </c>
      <c r="L1782" s="2" t="inlineStr">
        <is>
          <t>shampoo</t>
        </is>
      </c>
      <c r="M1782" s="2" t="inlineStr">
        <is>
          <t>estandar</t>
        </is>
      </c>
      <c r="N1782" s="2" t="inlineStr">
        <is>
          <t>general</t>
        </is>
      </c>
      <c r="O1782" s="2" t="inlineStr">
        <is>
          <t>https://www.jumbo.com.ar/shampoo-pantene-cuidado-clasico-200-ml/p</t>
        </is>
      </c>
    </row>
    <row r="1783">
      <c r="A1783" t="inlineStr">
        <is>
          <t>Jumbo</t>
        </is>
      </c>
      <c r="B1783" t="n">
        <v>132294</v>
      </c>
      <c r="C1783" t="n">
        <v>129210</v>
      </c>
      <c r="D1783" t="inlineStr">
        <is>
          <t>Shampoo Pantene Pro-v Hidratación 750 Ml</t>
        </is>
      </c>
      <c r="E1783" t="inlineStr">
        <is>
          <t>PANTENE</t>
        </is>
      </c>
      <c r="F1783" t="n">
        <v>74.37</v>
      </c>
      <c r="G1783" t="n">
        <v>6146</v>
      </c>
      <c r="H1783" t="b">
        <v>0</v>
      </c>
      <c r="I1783" t="n">
        <v>750</v>
      </c>
      <c r="J1783" t="n">
        <v>0.0992</v>
      </c>
      <c r="K1783" t="inlineStr">
        <is>
          <t>&gt; Perfumería &gt; Cuidado Capilar &gt; Shampoo &gt;</t>
        </is>
      </c>
      <c r="L1783" t="inlineStr">
        <is>
          <t>shampoo</t>
        </is>
      </c>
      <c r="M1783" t="inlineStr">
        <is>
          <t>profesional</t>
        </is>
      </c>
      <c r="N1783" t="inlineStr">
        <is>
          <t>seco_danado</t>
        </is>
      </c>
      <c r="O1783" t="inlineStr">
        <is>
          <t>https://www.jumbo.com.ar/shampoo-pantene-pro-v-hidratacion-750-ml/p</t>
        </is>
      </c>
    </row>
    <row r="1784">
      <c r="A1784" s="2" t="inlineStr">
        <is>
          <t>Jumbo</t>
        </is>
      </c>
      <c r="B1784" s="2" t="n">
        <v>132290</v>
      </c>
      <c r="C1784" s="2" t="n">
        <v>129206</v>
      </c>
      <c r="D1784" s="2" t="inlineStr">
        <is>
          <t>Shampoo Pantene Pro-v Liso Extremo 200 Ml</t>
        </is>
      </c>
      <c r="E1784" s="2" t="inlineStr">
        <is>
          <t>PANTENE</t>
        </is>
      </c>
      <c r="F1784" s="2" t="n">
        <v>24.67</v>
      </c>
      <c r="G1784" s="2" t="n">
        <v>2039</v>
      </c>
      <c r="H1784" s="2" t="b">
        <v>0</v>
      </c>
      <c r="I1784" s="2" t="n">
        <v>200</v>
      </c>
      <c r="J1784" s="2" t="n">
        <v>0.1234</v>
      </c>
      <c r="K1784" s="2" t="inlineStr">
        <is>
          <t>&gt; Perfumería &gt; Cuidado Capilar &gt; Shampoo &gt;</t>
        </is>
      </c>
      <c r="L1784" s="2" t="inlineStr">
        <is>
          <t>shampoo</t>
        </is>
      </c>
      <c r="M1784" s="2" t="inlineStr">
        <is>
          <t>profesional</t>
        </is>
      </c>
      <c r="N1784" s="2" t="inlineStr">
        <is>
          <t>general</t>
        </is>
      </c>
      <c r="O1784" s="2" t="inlineStr">
        <is>
          <t>https://www.jumbo.com.ar/shampoo-pantene-pro-v-liso-extremo-200-ml/p</t>
        </is>
      </c>
    </row>
    <row r="1785">
      <c r="A1785" t="inlineStr">
        <is>
          <t>Jumbo</t>
        </is>
      </c>
      <c r="B1785" t="n">
        <v>132289</v>
      </c>
      <c r="C1785" t="n">
        <v>129205</v>
      </c>
      <c r="D1785" t="inlineStr">
        <is>
          <t>Shampoo Pantene Pro-v Hidratación 200 Ml</t>
        </is>
      </c>
      <c r="E1785" t="inlineStr">
        <is>
          <t>PANTENE</t>
        </is>
      </c>
      <c r="F1785" t="n">
        <v>24.67</v>
      </c>
      <c r="G1785" t="n">
        <v>2039</v>
      </c>
      <c r="H1785" t="b">
        <v>0</v>
      </c>
      <c r="I1785" t="n">
        <v>200</v>
      </c>
      <c r="J1785" t="n">
        <v>0.1234</v>
      </c>
      <c r="K1785" t="inlineStr">
        <is>
          <t>&gt; Perfumería &gt; Cuidado Capilar &gt; Shampoo &gt;</t>
        </is>
      </c>
      <c r="L1785" t="inlineStr">
        <is>
          <t>shampoo</t>
        </is>
      </c>
      <c r="M1785" t="inlineStr">
        <is>
          <t>profesional</t>
        </is>
      </c>
      <c r="N1785" t="inlineStr">
        <is>
          <t>seco_danado</t>
        </is>
      </c>
      <c r="O1785" t="inlineStr">
        <is>
          <t>https://www.jumbo.com.ar/shampoo-pantene-pro-v-hidratacion-200-ml/p</t>
        </is>
      </c>
    </row>
    <row r="1786">
      <c r="A1786" s="2" t="inlineStr">
        <is>
          <t>Jumbo</t>
        </is>
      </c>
      <c r="B1786" s="2" t="n">
        <v>132277</v>
      </c>
      <c r="C1786" s="2" t="n">
        <v>129193</v>
      </c>
      <c r="D1786" s="2" t="inlineStr">
        <is>
          <t>Shampoo Pantene Pro-v Control Caida 200 Ml</t>
        </is>
      </c>
      <c r="E1786" s="2" t="inlineStr">
        <is>
          <t>PANTENE</t>
        </is>
      </c>
      <c r="F1786" s="2" t="n">
        <v>24.67</v>
      </c>
      <c r="G1786" s="2" t="n">
        <v>2039</v>
      </c>
      <c r="H1786" s="2" t="b">
        <v>0</v>
      </c>
      <c r="I1786" s="2" t="n">
        <v>200</v>
      </c>
      <c r="J1786" s="2" t="n">
        <v>0.1234</v>
      </c>
      <c r="K1786" s="2" t="inlineStr">
        <is>
          <t>&gt; Perfumería &gt; Cuidado Capilar &gt; Shampoo &gt;</t>
        </is>
      </c>
      <c r="L1786" s="2" t="inlineStr">
        <is>
          <t>shampoo</t>
        </is>
      </c>
      <c r="M1786" s="2" t="inlineStr">
        <is>
          <t>profesional</t>
        </is>
      </c>
      <c r="N1786" s="2" t="inlineStr">
        <is>
          <t>general</t>
        </is>
      </c>
      <c r="O1786" s="2" t="inlineStr">
        <is>
          <t>https://www.jumbo.com.ar/shampoo-pantene-pro-v-control-caida-200-ml/p</t>
        </is>
      </c>
    </row>
    <row r="1787">
      <c r="A1787" t="inlineStr">
        <is>
          <t>Jumbo</t>
        </is>
      </c>
      <c r="B1787" t="n">
        <v>132272</v>
      </c>
      <c r="C1787" t="n">
        <v>129189</v>
      </c>
      <c r="D1787" t="inlineStr">
        <is>
          <t>Shampoo Pantene Pro-v Brillo Extremo 200 Ml</t>
        </is>
      </c>
      <c r="E1787" t="inlineStr">
        <is>
          <t>PANTENE</t>
        </is>
      </c>
      <c r="F1787" t="n">
        <v>24.67</v>
      </c>
      <c r="G1787" t="n">
        <v>2039</v>
      </c>
      <c r="H1787" t="b">
        <v>0</v>
      </c>
      <c r="I1787" t="n">
        <v>200</v>
      </c>
      <c r="J1787" t="n">
        <v>0.1234</v>
      </c>
      <c r="K1787" t="inlineStr">
        <is>
          <t>&gt; Perfumería &gt; Cuidado Capilar &gt; Shampoo &gt;</t>
        </is>
      </c>
      <c r="L1787" t="inlineStr">
        <is>
          <t>shampoo</t>
        </is>
      </c>
      <c r="M1787" t="inlineStr">
        <is>
          <t>profesional</t>
        </is>
      </c>
      <c r="N1787" t="inlineStr">
        <is>
          <t>general</t>
        </is>
      </c>
      <c r="O1787" t="inlineStr">
        <is>
          <t>https://www.jumbo.com.ar/shampoo-pantene-pro-v-brillo-extremo-200-ml/p</t>
        </is>
      </c>
    </row>
    <row r="1788">
      <c r="A1788" s="2" t="inlineStr">
        <is>
          <t>Jumbo</t>
        </is>
      </c>
      <c r="B1788" s="2" t="n">
        <v>132270</v>
      </c>
      <c r="C1788" s="2" t="n">
        <v>129186</v>
      </c>
      <c r="D1788" s="2" t="inlineStr">
        <is>
          <t>Pantene Shampoo Liso Y Sedoso 200ml</t>
        </is>
      </c>
      <c r="E1788" s="2" t="inlineStr">
        <is>
          <t>PANTENE</t>
        </is>
      </c>
      <c r="F1788" s="2" t="n">
        <v>24.67</v>
      </c>
      <c r="G1788" s="2" t="n">
        <v>2039</v>
      </c>
      <c r="H1788" s="2" t="b">
        <v>0</v>
      </c>
      <c r="I1788" s="2" t="n">
        <v>200</v>
      </c>
      <c r="J1788" s="2" t="n">
        <v>0.1234</v>
      </c>
      <c r="K1788" s="2" t="inlineStr">
        <is>
          <t>&gt; Perfumería &gt; Cuidado Capilar &gt; Shampoo &gt;</t>
        </is>
      </c>
      <c r="L1788" s="2" t="inlineStr">
        <is>
          <t>shampoo</t>
        </is>
      </c>
      <c r="M1788" s="2" t="inlineStr">
        <is>
          <t>estandar</t>
        </is>
      </c>
      <c r="N1788" s="2" t="inlineStr">
        <is>
          <t>general</t>
        </is>
      </c>
      <c r="O1788" s="2" t="inlineStr">
        <is>
          <t>https://www.jumbo.com.ar/pantene-shampoo-liso-y-sedoso-200ml/p</t>
        </is>
      </c>
    </row>
    <row r="1789">
      <c r="A1789" t="inlineStr">
        <is>
          <t>Jumbo</t>
        </is>
      </c>
      <c r="B1789" t="n">
        <v>132267</v>
      </c>
      <c r="C1789" t="n">
        <v>129184</v>
      </c>
      <c r="D1789" t="inlineStr">
        <is>
          <t>Shampoo Pantene Control Caída 400 Ml</t>
        </is>
      </c>
      <c r="E1789" t="inlineStr">
        <is>
          <t>PANTENE</t>
        </is>
      </c>
      <c r="F1789" t="n">
        <v>48.79</v>
      </c>
      <c r="G1789" t="n">
        <v>4032</v>
      </c>
      <c r="H1789" t="b">
        <v>0</v>
      </c>
      <c r="I1789" t="n">
        <v>400</v>
      </c>
      <c r="J1789" t="n">
        <v>0.122</v>
      </c>
      <c r="K1789" t="inlineStr">
        <is>
          <t>&gt; Perfumería &gt; Cuidado Capilar &gt; Shampoo &gt;</t>
        </is>
      </c>
      <c r="L1789" t="inlineStr">
        <is>
          <t>shampoo</t>
        </is>
      </c>
      <c r="M1789" t="inlineStr">
        <is>
          <t>estandar</t>
        </is>
      </c>
      <c r="N1789" t="inlineStr">
        <is>
          <t>general</t>
        </is>
      </c>
      <c r="O1789" t="inlineStr">
        <is>
          <t>https://www.jumbo.com.ar/shampoo-pantene-control-caida-400-ml/p</t>
        </is>
      </c>
    </row>
    <row r="1790">
      <c r="A1790" s="2" t="inlineStr">
        <is>
          <t>Jumbo</t>
        </is>
      </c>
      <c r="B1790" s="2" t="n">
        <v>132264</v>
      </c>
      <c r="C1790" s="2" t="n">
        <v>129180</v>
      </c>
      <c r="D1790" s="2" t="inlineStr">
        <is>
          <t>Shampoo Pantene Pro-v  Liso Extremo 750ml</t>
        </is>
      </c>
      <c r="E1790" s="2" t="inlineStr">
        <is>
          <t>PANTENE</t>
        </is>
      </c>
      <c r="F1790" s="2" t="n">
        <v>74.37</v>
      </c>
      <c r="G1790" s="2" t="n">
        <v>6146</v>
      </c>
      <c r="H1790" s="2" t="b">
        <v>0</v>
      </c>
      <c r="I1790" s="2" t="n">
        <v>750</v>
      </c>
      <c r="J1790" s="2" t="n">
        <v>0.0992</v>
      </c>
      <c r="K1790" s="2" t="inlineStr">
        <is>
          <t>&gt; Perfumería &gt; Cuidado Capilar &gt; Shampoo &gt;</t>
        </is>
      </c>
      <c r="L1790" s="2" t="inlineStr">
        <is>
          <t>shampoo</t>
        </is>
      </c>
      <c r="M1790" s="2" t="inlineStr">
        <is>
          <t>profesional</t>
        </is>
      </c>
      <c r="N1790" s="2" t="inlineStr">
        <is>
          <t>general</t>
        </is>
      </c>
      <c r="O1790" s="2" t="inlineStr">
        <is>
          <t>https://www.jumbo.com.ar/shampoo-pantene-pro-v-liso-extremo-750ml/p</t>
        </is>
      </c>
    </row>
    <row r="1791">
      <c r="A1791" t="inlineStr">
        <is>
          <t>Jumbo</t>
        </is>
      </c>
      <c r="B1791" t="n">
        <v>132261</v>
      </c>
      <c r="C1791" t="n">
        <v>129177</v>
      </c>
      <c r="D1791" t="inlineStr">
        <is>
          <t>Acondicionador Pantene Pro-v Rizos Definidos 200 Ml</t>
        </is>
      </c>
      <c r="E1791" t="inlineStr">
        <is>
          <t>PANTENE</t>
        </is>
      </c>
      <c r="F1791" t="n">
        <v>24.67</v>
      </c>
      <c r="G1791" t="n">
        <v>2039</v>
      </c>
      <c r="H1791" t="b">
        <v>0</v>
      </c>
      <c r="I1791" t="n">
        <v>200</v>
      </c>
      <c r="J1791" t="n">
        <v>0.1234</v>
      </c>
      <c r="K1791" t="inlineStr">
        <is>
          <t>&gt; Perfumería &gt; Cuidado Capilar &gt; Acondicionador &gt;</t>
        </is>
      </c>
      <c r="L1791" t="inlineStr">
        <is>
          <t>acondicionador</t>
        </is>
      </c>
      <c r="M1791" t="inlineStr">
        <is>
          <t>profesional</t>
        </is>
      </c>
      <c r="N1791" t="inlineStr">
        <is>
          <t>rizado</t>
        </is>
      </c>
      <c r="O1791" t="inlineStr">
        <is>
          <t>https://www.jumbo.com.ar/acondicionador-pantene-pro-v-rizos-definidos-200-ml/p</t>
        </is>
      </c>
    </row>
    <row r="1792">
      <c r="A1792" s="2" t="inlineStr">
        <is>
          <t>Jumbo</t>
        </is>
      </c>
      <c r="B1792" s="2" t="n">
        <v>132260</v>
      </c>
      <c r="C1792" s="2" t="n">
        <v>129176</v>
      </c>
      <c r="D1792" s="2" t="inlineStr">
        <is>
          <t>Shampoo Pantene Liso Extremo 400 Ml</t>
        </is>
      </c>
      <c r="E1792" s="2" t="inlineStr">
        <is>
          <t>PANTENE</t>
        </is>
      </c>
      <c r="F1792" s="2" t="n">
        <v>48.79</v>
      </c>
      <c r="G1792" s="2" t="n">
        <v>4032</v>
      </c>
      <c r="H1792" s="2" t="b">
        <v>0</v>
      </c>
      <c r="I1792" s="2" t="n">
        <v>400</v>
      </c>
      <c r="J1792" s="2" t="n">
        <v>0.122</v>
      </c>
      <c r="K1792" s="2" t="inlineStr">
        <is>
          <t>&gt; Perfumería &gt; Cuidado Capilar &gt; Shampoo &gt;</t>
        </is>
      </c>
      <c r="L1792" s="2" t="inlineStr">
        <is>
          <t>shampoo</t>
        </is>
      </c>
      <c r="M1792" s="2" t="inlineStr">
        <is>
          <t>estandar</t>
        </is>
      </c>
      <c r="N1792" s="2" t="inlineStr">
        <is>
          <t>general</t>
        </is>
      </c>
      <c r="O1792" s="2" t="inlineStr">
        <is>
          <t>https://www.jumbo.com.ar/shampoo-pantene-liso-extremo-400-ml/p</t>
        </is>
      </c>
    </row>
    <row r="1793">
      <c r="A1793" t="inlineStr">
        <is>
          <t>Jumbo</t>
        </is>
      </c>
      <c r="B1793" t="n">
        <v>132257</v>
      </c>
      <c r="C1793" t="n">
        <v>129173</v>
      </c>
      <c r="D1793" t="inlineStr">
        <is>
          <t>Acondicionador Pantene Pro-v Rizos Definidos 750 Ml</t>
        </is>
      </c>
      <c r="E1793" t="inlineStr">
        <is>
          <t>PANTENE</t>
        </is>
      </c>
      <c r="F1793" t="n">
        <v>254.19</v>
      </c>
      <c r="G1793" t="n">
        <v>254.19</v>
      </c>
      <c r="H1793" t="b">
        <v>0</v>
      </c>
      <c r="I1793" t="n">
        <v>750</v>
      </c>
      <c r="J1793" t="n">
        <v>0.3389</v>
      </c>
      <c r="K1793" t="inlineStr">
        <is>
          <t>&gt; Perfumería &gt; Cuidado Capilar &gt; Acondicionador &gt;</t>
        </is>
      </c>
      <c r="L1793" t="inlineStr">
        <is>
          <t>acondicionador</t>
        </is>
      </c>
      <c r="M1793" t="inlineStr">
        <is>
          <t>profesional</t>
        </is>
      </c>
      <c r="N1793" t="inlineStr">
        <is>
          <t>rizado</t>
        </is>
      </c>
      <c r="O1793" t="inlineStr">
        <is>
          <t>https://www.jumbo.com.ar/acondicionador-pantene-pro-v-rizos-definidos-750-ml/p</t>
        </is>
      </c>
    </row>
    <row r="1794">
      <c r="A1794" s="2" t="inlineStr">
        <is>
          <t>Jumbo</t>
        </is>
      </c>
      <c r="B1794" s="2" t="n">
        <v>132250</v>
      </c>
      <c r="C1794" s="2" t="n">
        <v>129166</v>
      </c>
      <c r="D1794" s="2" t="inlineStr">
        <is>
          <t>Acondicionador Pantene Rizos Definidos 400 Ml</t>
        </is>
      </c>
      <c r="E1794" s="2" t="inlineStr">
        <is>
          <t>PANTENE</t>
        </is>
      </c>
      <c r="F1794" s="2" t="n">
        <v>48.79</v>
      </c>
      <c r="G1794" s="2" t="n">
        <v>4032</v>
      </c>
      <c r="H1794" s="2" t="b">
        <v>0</v>
      </c>
      <c r="I1794" s="2" t="n">
        <v>400</v>
      </c>
      <c r="J1794" s="2" t="n">
        <v>0.122</v>
      </c>
      <c r="K1794" s="2" t="inlineStr">
        <is>
          <t>&gt; Perfumería &gt; Cuidado Capilar &gt; Acondicionador &gt;</t>
        </is>
      </c>
      <c r="L1794" s="2" t="inlineStr">
        <is>
          <t>acondicionador</t>
        </is>
      </c>
      <c r="M1794" s="2" t="inlineStr">
        <is>
          <t>estandar</t>
        </is>
      </c>
      <c r="N1794" s="2" t="inlineStr">
        <is>
          <t>rizado</t>
        </is>
      </c>
      <c r="O1794" s="2" t="inlineStr">
        <is>
          <t>https://www.jumbo.com.ar/acondicionador-pantene-rizos-definidos-400-ml-2/p</t>
        </is>
      </c>
    </row>
    <row r="1795">
      <c r="A1795" t="inlineStr">
        <is>
          <t>Jumbo</t>
        </is>
      </c>
      <c r="B1795" t="n">
        <v>132244</v>
      </c>
      <c r="C1795" t="n">
        <v>129160</v>
      </c>
      <c r="D1795" t="inlineStr">
        <is>
          <t>Acondicionador Pantene Pro-v Hidratación 400 Ml</t>
        </is>
      </c>
      <c r="E1795" t="inlineStr">
        <is>
          <t>PANTENE</t>
        </is>
      </c>
      <c r="F1795" t="n">
        <v>97.29000000000001</v>
      </c>
      <c r="G1795" t="n">
        <v>8041</v>
      </c>
      <c r="H1795" t="b">
        <v>0</v>
      </c>
      <c r="I1795" t="n">
        <v>400</v>
      </c>
      <c r="J1795" t="n">
        <v>0.2432</v>
      </c>
      <c r="K1795" t="inlineStr">
        <is>
          <t>&gt; Perfumería &gt; Cuidado Capilar &gt; Acondicionador &gt;</t>
        </is>
      </c>
      <c r="L1795" t="inlineStr">
        <is>
          <t>acondicionador</t>
        </is>
      </c>
      <c r="M1795" t="inlineStr">
        <is>
          <t>profesional</t>
        </is>
      </c>
      <c r="N1795" t="inlineStr">
        <is>
          <t>seco_danado</t>
        </is>
      </c>
      <c r="O1795" t="inlineStr">
        <is>
          <t>https://www.jumbo.com.ar/acondicionador-pantene-pro-v-hidratacion-400-ml/p</t>
        </is>
      </c>
    </row>
    <row r="1796">
      <c r="A1796" s="2" t="inlineStr">
        <is>
          <t>Jumbo</t>
        </is>
      </c>
      <c r="B1796" s="2" t="n">
        <v>132240</v>
      </c>
      <c r="C1796" s="2" t="n">
        <v>129156</v>
      </c>
      <c r="D1796" s="2" t="inlineStr">
        <is>
          <t>Acondicionador Pantene Pro-v Hidratación 200 Ml</t>
        </is>
      </c>
      <c r="E1796" s="2" t="inlineStr">
        <is>
          <t>PANTENE</t>
        </is>
      </c>
      <c r="F1796" s="2" t="n">
        <v>24.67</v>
      </c>
      <c r="G1796" s="2" t="n">
        <v>2039</v>
      </c>
      <c r="H1796" s="2" t="b">
        <v>0</v>
      </c>
      <c r="I1796" s="2" t="n">
        <v>200</v>
      </c>
      <c r="J1796" s="2" t="n">
        <v>0.1234</v>
      </c>
      <c r="K1796" s="2" t="inlineStr">
        <is>
          <t>&gt; Perfumería &gt; Cuidado Capilar &gt; Acondicionador &gt;</t>
        </is>
      </c>
      <c r="L1796" s="2" t="inlineStr">
        <is>
          <t>acondicionador</t>
        </is>
      </c>
      <c r="M1796" s="2" t="inlineStr">
        <is>
          <t>profesional</t>
        </is>
      </c>
      <c r="N1796" s="2" t="inlineStr">
        <is>
          <t>seco_danado</t>
        </is>
      </c>
      <c r="O1796" s="2" t="inlineStr">
        <is>
          <t>https://www.jumbo.com.ar/acondicionador-pantene-pro-v-hidratacion-200-ml/p</t>
        </is>
      </c>
    </row>
    <row r="1797">
      <c r="A1797" t="inlineStr">
        <is>
          <t>Jumbo</t>
        </is>
      </c>
      <c r="B1797" t="n">
        <v>132235</v>
      </c>
      <c r="C1797" t="n">
        <v>129151</v>
      </c>
      <c r="D1797" t="inlineStr">
        <is>
          <t>Acondicionador Pantene Liso Y Sedoso 200 Ml</t>
        </is>
      </c>
      <c r="E1797" t="inlineStr">
        <is>
          <t>PANTENE</t>
        </is>
      </c>
      <c r="F1797" t="n">
        <v>24.67</v>
      </c>
      <c r="G1797" t="n">
        <v>2039</v>
      </c>
      <c r="H1797" t="b">
        <v>0</v>
      </c>
      <c r="I1797" t="n">
        <v>200</v>
      </c>
      <c r="J1797" t="n">
        <v>0.1234</v>
      </c>
      <c r="K1797" t="inlineStr">
        <is>
          <t>&gt; Perfumería &gt; Cuidado Capilar &gt; Acondicionador &gt;</t>
        </is>
      </c>
      <c r="L1797" t="inlineStr">
        <is>
          <t>acondicionador</t>
        </is>
      </c>
      <c r="M1797" t="inlineStr">
        <is>
          <t>estandar</t>
        </is>
      </c>
      <c r="N1797" t="inlineStr">
        <is>
          <t>general</t>
        </is>
      </c>
      <c r="O1797" t="inlineStr">
        <is>
          <t>https://www.jumbo.com.ar/acondicionador-pantene-liso-y-sedoso-200-ml/p</t>
        </is>
      </c>
    </row>
    <row r="1798">
      <c r="A1798" s="2" t="inlineStr">
        <is>
          <t>Jumbo</t>
        </is>
      </c>
      <c r="B1798" s="2" t="n">
        <v>132232</v>
      </c>
      <c r="C1798" s="2" t="n">
        <v>129148</v>
      </c>
      <c r="D1798" s="2" t="inlineStr">
        <is>
          <t>Acondicionador Pantene Pro-v Restauracion 200 Ml</t>
        </is>
      </c>
      <c r="E1798" s="2" t="inlineStr">
        <is>
          <t>PANTENE</t>
        </is>
      </c>
      <c r="F1798" s="2" t="n">
        <v>24.67</v>
      </c>
      <c r="G1798" s="2" t="n">
        <v>2039</v>
      </c>
      <c r="H1798" s="2" t="b">
        <v>0</v>
      </c>
      <c r="I1798" s="2" t="n">
        <v>200</v>
      </c>
      <c r="J1798" s="2" t="n">
        <v>0.1234</v>
      </c>
      <c r="K1798" s="2" t="inlineStr">
        <is>
          <t>&gt; Perfumería &gt; Cuidado Capilar &gt; Acondicionador &gt;</t>
        </is>
      </c>
      <c r="L1798" s="2" t="inlineStr">
        <is>
          <t>acondicionador</t>
        </is>
      </c>
      <c r="M1798" s="2" t="inlineStr">
        <is>
          <t>profesional</t>
        </is>
      </c>
      <c r="N1798" s="2" t="inlineStr">
        <is>
          <t>general</t>
        </is>
      </c>
      <c r="O1798" s="2" t="inlineStr">
        <is>
          <t>https://www.jumbo.com.ar/acondicionador-pantene-pro-v-restauracion-200-ml/p</t>
        </is>
      </c>
    </row>
    <row r="1799">
      <c r="A1799" t="inlineStr">
        <is>
          <t>Jumbo</t>
        </is>
      </c>
      <c r="B1799" t="n">
        <v>132231</v>
      </c>
      <c r="C1799" t="n">
        <v>129149</v>
      </c>
      <c r="D1799" t="inlineStr">
        <is>
          <t>Shampoo Pantene Pro-v Restauración 200 Ml</t>
        </is>
      </c>
      <c r="E1799" t="inlineStr">
        <is>
          <t>PANTENE</t>
        </is>
      </c>
      <c r="F1799" t="n">
        <v>24.67</v>
      </c>
      <c r="G1799" t="n">
        <v>2039</v>
      </c>
      <c r="H1799" t="b">
        <v>0</v>
      </c>
      <c r="I1799" t="n">
        <v>200</v>
      </c>
      <c r="J1799" t="n">
        <v>0.1234</v>
      </c>
      <c r="K1799" t="inlineStr">
        <is>
          <t>&gt; Perfumería &gt; Cuidado Capilar &gt; Shampoo &gt;</t>
        </is>
      </c>
      <c r="L1799" t="inlineStr">
        <is>
          <t>shampoo</t>
        </is>
      </c>
      <c r="M1799" t="inlineStr">
        <is>
          <t>profesional</t>
        </is>
      </c>
      <c r="N1799" t="inlineStr">
        <is>
          <t>general</t>
        </is>
      </c>
      <c r="O1799" t="inlineStr">
        <is>
          <t>https://www.jumbo.com.ar/shampoo-pantene-pro-v-restauracion-200-ml/p</t>
        </is>
      </c>
    </row>
    <row r="1800">
      <c r="A1800" s="2" t="inlineStr">
        <is>
          <t>Jumbo</t>
        </is>
      </c>
      <c r="B1800" s="2" t="n">
        <v>132228</v>
      </c>
      <c r="C1800" s="2" t="n">
        <v>129144</v>
      </c>
      <c r="D1800" s="2" t="inlineStr">
        <is>
          <t>Acondicionador Pantene Cuidado Clásico 400 Ml</t>
        </is>
      </c>
      <c r="E1800" s="2" t="inlineStr">
        <is>
          <t>PANTENE</t>
        </is>
      </c>
      <c r="F1800" s="2" t="n">
        <v>97.29000000000001</v>
      </c>
      <c r="G1800" s="2" t="n">
        <v>8041</v>
      </c>
      <c r="H1800" s="2" t="b">
        <v>0</v>
      </c>
      <c r="I1800" s="2" t="n">
        <v>400</v>
      </c>
      <c r="J1800" s="2" t="n">
        <v>0.2432</v>
      </c>
      <c r="K1800" s="2" t="inlineStr">
        <is>
          <t>&gt; Perfumería &gt; Cuidado Capilar &gt; Acondicionador &gt;</t>
        </is>
      </c>
      <c r="L1800" s="2" t="inlineStr">
        <is>
          <t>acondicionador</t>
        </is>
      </c>
      <c r="M1800" s="2" t="inlineStr">
        <is>
          <t>estandar</t>
        </is>
      </c>
      <c r="N1800" s="2" t="inlineStr">
        <is>
          <t>general</t>
        </is>
      </c>
      <c r="O1800" s="2" t="inlineStr">
        <is>
          <t>https://www.jumbo.com.ar/acondicionador-pantene-cuidado-clasico-400-ml/p</t>
        </is>
      </c>
    </row>
    <row r="1801">
      <c r="A1801" t="inlineStr">
        <is>
          <t>Jumbo</t>
        </is>
      </c>
      <c r="B1801" t="n">
        <v>130643</v>
      </c>
      <c r="C1801" t="n">
        <v>127572</v>
      </c>
      <c r="D1801" t="inlineStr">
        <is>
          <t>Pantene Tratamiento Hidratacion Balanceada 150ml</t>
        </is>
      </c>
      <c r="E1801" t="inlineStr">
        <is>
          <t>PANTENE</t>
        </is>
      </c>
      <c r="F1801" t="n">
        <v>31.99</v>
      </c>
      <c r="G1801" t="n">
        <v>2644</v>
      </c>
      <c r="H1801" t="b">
        <v>0</v>
      </c>
      <c r="I1801" t="n">
        <v>150</v>
      </c>
      <c r="J1801" t="n">
        <v>0.2133</v>
      </c>
      <c r="K1801" t="inlineStr">
        <is>
          <t>&gt; Perfumería &gt; Cuidado Capilar &gt; Reparación y Tratamientos &gt;</t>
        </is>
      </c>
      <c r="L1801" t="inlineStr">
        <is>
          <t>tratamiento</t>
        </is>
      </c>
      <c r="M1801" t="inlineStr">
        <is>
          <t>estandar</t>
        </is>
      </c>
      <c r="N1801" t="inlineStr">
        <is>
          <t>seco_danado</t>
        </is>
      </c>
      <c r="O1801" t="inlineStr">
        <is>
          <t>https://www.jumbo.com.ar/pantene-tratamiento-hidratacion-balanceada-150ml/p</t>
        </is>
      </c>
    </row>
    <row r="1802">
      <c r="A1802" s="2" t="inlineStr">
        <is>
          <t>Jumbo</t>
        </is>
      </c>
      <c r="B1802" s="2" t="n">
        <v>130623</v>
      </c>
      <c r="C1802" s="2" t="n">
        <v>127553</v>
      </c>
      <c r="D1802" s="2" t="inlineStr">
        <is>
          <t>Shampoo Pantene Fusión Naturaleza 750 Ml</t>
        </is>
      </c>
      <c r="E1802" s="2" t="inlineStr">
        <is>
          <t>PANTENE</t>
        </is>
      </c>
      <c r="F1802" s="2" t="n">
        <v>74.37</v>
      </c>
      <c r="G1802" s="2" t="n">
        <v>6146</v>
      </c>
      <c r="H1802" s="2" t="b">
        <v>0</v>
      </c>
      <c r="I1802" s="2" t="n">
        <v>750</v>
      </c>
      <c r="J1802" s="2" t="n">
        <v>0.0992</v>
      </c>
      <c r="K1802" s="2" t="inlineStr">
        <is>
          <t>&gt; Perfumería &gt; Cuidado Capilar &gt; Shampoo &gt;</t>
        </is>
      </c>
      <c r="L1802" s="2" t="inlineStr">
        <is>
          <t>shampoo</t>
        </is>
      </c>
      <c r="M1802" s="2" t="inlineStr">
        <is>
          <t>estandar</t>
        </is>
      </c>
      <c r="N1802" s="2" t="inlineStr">
        <is>
          <t>general</t>
        </is>
      </c>
      <c r="O1802" s="2" t="inlineStr">
        <is>
          <t>https://www.jumbo.com.ar/shampoo-pantene-fusion-naturaleza-750-ml/p</t>
        </is>
      </c>
    </row>
    <row r="1803">
      <c r="A1803" t="inlineStr">
        <is>
          <t>Jumbo</t>
        </is>
      </c>
      <c r="B1803" t="n">
        <v>130619</v>
      </c>
      <c r="C1803" t="n">
        <v>127548</v>
      </c>
      <c r="D1803" t="inlineStr">
        <is>
          <t>Shampoo Pantene Fusión Naturaleza 400 Ml</t>
        </is>
      </c>
      <c r="E1803" t="inlineStr">
        <is>
          <t>PANTENE</t>
        </is>
      </c>
      <c r="F1803" t="n">
        <v>48.79</v>
      </c>
      <c r="G1803" t="n">
        <v>4032</v>
      </c>
      <c r="H1803" t="b">
        <v>0</v>
      </c>
      <c r="I1803" t="n">
        <v>400</v>
      </c>
      <c r="J1803" t="n">
        <v>0.122</v>
      </c>
      <c r="K1803" t="inlineStr">
        <is>
          <t>&gt; Perfumería &gt; Cuidado Capilar &gt; Shampoo &gt;</t>
        </is>
      </c>
      <c r="L1803" t="inlineStr">
        <is>
          <t>shampoo</t>
        </is>
      </c>
      <c r="M1803" t="inlineStr">
        <is>
          <t>estandar</t>
        </is>
      </c>
      <c r="N1803" t="inlineStr">
        <is>
          <t>general</t>
        </is>
      </c>
      <c r="O1803" t="inlineStr">
        <is>
          <t>https://www.jumbo.com.ar/shampoo-pantene-fusion-naturaleza-400-ml-2/p</t>
        </is>
      </c>
    </row>
    <row r="1804">
      <c r="A1804" s="2" t="inlineStr">
        <is>
          <t>Jumbo</t>
        </is>
      </c>
      <c r="B1804" s="2" t="n">
        <v>130613</v>
      </c>
      <c r="C1804" s="2" t="n">
        <v>127542</v>
      </c>
      <c r="D1804" s="2" t="inlineStr">
        <is>
          <t>Shampoo Pantene Fusión Naturaleza 400 Ml</t>
        </is>
      </c>
      <c r="E1804" s="2" t="inlineStr">
        <is>
          <t>PANTENE</t>
        </is>
      </c>
      <c r="F1804" s="2" t="n">
        <v>42.97</v>
      </c>
      <c r="G1804" s="2" t="n">
        <v>3551</v>
      </c>
      <c r="H1804" s="2" t="b">
        <v>0</v>
      </c>
      <c r="I1804" s="2" t="n">
        <v>400</v>
      </c>
      <c r="J1804" s="2" t="n">
        <v>0.1074</v>
      </c>
      <c r="K1804" s="2" t="inlineStr">
        <is>
          <t>&gt; Perfumería &gt; Cuidado Capilar &gt; Shampoo &gt;</t>
        </is>
      </c>
      <c r="L1804" s="2" t="inlineStr">
        <is>
          <t>shampoo</t>
        </is>
      </c>
      <c r="M1804" s="2" t="inlineStr">
        <is>
          <t>estandar</t>
        </is>
      </c>
      <c r="N1804" s="2" t="inlineStr">
        <is>
          <t>general</t>
        </is>
      </c>
      <c r="O1804" s="2" t="inlineStr">
        <is>
          <t>https://www.jumbo.com.ar/shampoo-pantene-fusion-naturaleza-400-ml/p</t>
        </is>
      </c>
    </row>
    <row r="1805">
      <c r="A1805" t="inlineStr">
        <is>
          <t>Jumbo</t>
        </is>
      </c>
      <c r="B1805" t="n">
        <v>130608</v>
      </c>
      <c r="C1805" t="n">
        <v>127537</v>
      </c>
      <c r="D1805" t="inlineStr">
        <is>
          <t>Shampoo Pantene Fusión Naturaleza 200 Ml</t>
        </is>
      </c>
      <c r="E1805" t="inlineStr">
        <is>
          <t>PANTENE</t>
        </is>
      </c>
      <c r="F1805" t="n">
        <v>24.67</v>
      </c>
      <c r="G1805" t="n">
        <v>2039</v>
      </c>
      <c r="H1805" t="b">
        <v>0</v>
      </c>
      <c r="I1805" t="n">
        <v>200</v>
      </c>
      <c r="J1805" t="n">
        <v>0.1234</v>
      </c>
      <c r="K1805" t="inlineStr">
        <is>
          <t>&gt; Perfumería &gt; Cuidado Capilar &gt; Shampoo &gt;</t>
        </is>
      </c>
      <c r="L1805" t="inlineStr">
        <is>
          <t>shampoo</t>
        </is>
      </c>
      <c r="M1805" t="inlineStr">
        <is>
          <t>estandar</t>
        </is>
      </c>
      <c r="N1805" t="inlineStr">
        <is>
          <t>general</t>
        </is>
      </c>
      <c r="O1805" t="inlineStr">
        <is>
          <t>https://www.jumbo.com.ar/shampoo-pantene-fusion-naturaleza-200-ml/p</t>
        </is>
      </c>
    </row>
    <row r="1806">
      <c r="A1806" s="2" t="inlineStr">
        <is>
          <t>Jumbo</t>
        </is>
      </c>
      <c r="B1806" s="2" t="n">
        <v>130583</v>
      </c>
      <c r="C1806" s="2" t="n">
        <v>127512</v>
      </c>
      <c r="D1806" s="2" t="inlineStr">
        <is>
          <t>Pantene Tratamiento Noc Reparacion Nutritiva 150ml</t>
        </is>
      </c>
      <c r="E1806" s="2" t="inlineStr">
        <is>
          <t>PANTENE</t>
        </is>
      </c>
      <c r="F1806" s="2" t="n">
        <v>29.39</v>
      </c>
      <c r="G1806" s="2" t="n">
        <v>2429</v>
      </c>
      <c r="H1806" s="2" t="b">
        <v>0</v>
      </c>
      <c r="I1806" s="2" t="n">
        <v>150</v>
      </c>
      <c r="J1806" s="2" t="n">
        <v>0.1959</v>
      </c>
      <c r="K1806" s="2" t="inlineStr">
        <is>
          <t>&gt; Perfumería &gt; Cuidado Capilar &gt; Reparación y Tratamientos &gt;</t>
        </is>
      </c>
      <c r="L1806" s="2" t="inlineStr">
        <is>
          <t>tratamiento</t>
        </is>
      </c>
      <c r="M1806" s="2" t="inlineStr">
        <is>
          <t>estandar</t>
        </is>
      </c>
      <c r="N1806" s="2" t="inlineStr">
        <is>
          <t>general</t>
        </is>
      </c>
      <c r="O1806" s="2" t="inlineStr">
        <is>
          <t>https://www.jumbo.com.ar/pantene-tratamiento-noc-reparacion-nutritiva-150ml/p</t>
        </is>
      </c>
    </row>
    <row r="1807">
      <c r="A1807" t="inlineStr">
        <is>
          <t>Jumbo</t>
        </is>
      </c>
      <c r="B1807" t="n">
        <v>127440</v>
      </c>
      <c r="C1807" t="n">
        <v>110229</v>
      </c>
      <c r="D1807" t="inlineStr">
        <is>
          <t>Shampoo Pantene-renovación Profunda  X 200-+ Acondicionador Renov. Prof. X 200-pck-un.-2</t>
        </is>
      </c>
      <c r="E1807" t="inlineStr">
        <is>
          <t>PANTENE</t>
        </is>
      </c>
      <c r="F1807" t="n">
        <v>10.95</v>
      </c>
      <c r="G1807" t="n">
        <v>10.95</v>
      </c>
      <c r="H1807" t="b">
        <v>0</v>
      </c>
      <c r="I1807" t="inlineStr"/>
      <c r="J1807" t="inlineStr"/>
      <c r="K1807" t="inlineStr">
        <is>
          <t>&gt; Perfumería &gt; Cuidado Capilar &gt; Shampoo &gt;</t>
        </is>
      </c>
      <c r="L1807" t="inlineStr">
        <is>
          <t>acondicionador</t>
        </is>
      </c>
      <c r="M1807" t="inlineStr">
        <is>
          <t>estandar</t>
        </is>
      </c>
      <c r="N1807" t="inlineStr">
        <is>
          <t>general</t>
        </is>
      </c>
      <c r="O1807" t="inlineStr">
        <is>
          <t>https://www.jumbo.com.ar/shampoo-pantene-renovacion-profunda-x-200-acondicionador-renov-prof-x-200-pck-un-2/p</t>
        </is>
      </c>
    </row>
    <row r="1808">
      <c r="A1808" s="2" t="inlineStr">
        <is>
          <t>Jumbo</t>
        </is>
      </c>
      <c r="B1808" s="2" t="n">
        <v>123357</v>
      </c>
      <c r="C1808" s="2" t="n">
        <v>122362</v>
      </c>
      <c r="D1808" s="2" t="inlineStr">
        <is>
          <t>Acond Pantene Rep Int + Trat</t>
        </is>
      </c>
      <c r="E1808" s="2" t="inlineStr">
        <is>
          <t>PANTENE</t>
        </is>
      </c>
      <c r="F1808" s="2" t="n">
        <v>24.95</v>
      </c>
      <c r="G1808" s="2" t="n">
        <v>24.95</v>
      </c>
      <c r="H1808" s="2" t="b">
        <v>0</v>
      </c>
      <c r="I1808" s="2" t="inlineStr"/>
      <c r="J1808" s="2" t="inlineStr"/>
      <c r="K1808" s="2" t="inlineStr">
        <is>
          <t>&gt; Perfumería &gt; Cuidado Capilar &gt; Acondicionador &gt;</t>
        </is>
      </c>
      <c r="L1808" s="2" t="inlineStr">
        <is>
          <t>shampoo</t>
        </is>
      </c>
      <c r="M1808" s="2" t="inlineStr">
        <is>
          <t>estandar</t>
        </is>
      </c>
      <c r="N1808" s="2" t="inlineStr">
        <is>
          <t>general</t>
        </is>
      </c>
      <c r="O1808" s="2" t="inlineStr">
        <is>
          <t>https://www.jumbo.com.ar/acond-pantene-rep-int-trat/p</t>
        </is>
      </c>
    </row>
    <row r="1809">
      <c r="A1809" t="inlineStr">
        <is>
          <t>Jumbo</t>
        </is>
      </c>
      <c r="B1809" t="n">
        <v>123207</v>
      </c>
      <c r="C1809" t="n">
        <v>122212</v>
      </c>
      <c r="D1809" t="inlineStr">
        <is>
          <t>Acond Pantene Frizz Ctrol  + Trat</t>
        </is>
      </c>
      <c r="E1809" t="inlineStr">
        <is>
          <t>PANTENE</t>
        </is>
      </c>
      <c r="F1809" t="n">
        <v>24.95</v>
      </c>
      <c r="G1809" t="n">
        <v>24.95</v>
      </c>
      <c r="H1809" t="b">
        <v>0</v>
      </c>
      <c r="I1809" t="inlineStr"/>
      <c r="J1809" t="inlineStr"/>
      <c r="K1809" t="inlineStr">
        <is>
          <t>&gt; Perfumería &gt; Cuidado Capilar &gt; Acondicionador &gt;</t>
        </is>
      </c>
      <c r="L1809" t="inlineStr">
        <is>
          <t>shampoo</t>
        </is>
      </c>
      <c r="M1809" t="inlineStr">
        <is>
          <t>estandar</t>
        </is>
      </c>
      <c r="N1809" t="inlineStr">
        <is>
          <t>general</t>
        </is>
      </c>
      <c r="O1809" t="inlineStr">
        <is>
          <t>https://www.jumbo.com.ar/acond-pantene-frizz-ctrol-trat/p</t>
        </is>
      </c>
    </row>
    <row r="1810">
      <c r="A1810" s="2" t="inlineStr">
        <is>
          <t>Jumbo</t>
        </is>
      </c>
      <c r="B1810" s="2" t="n">
        <v>123015</v>
      </c>
      <c r="C1810" s="2" t="n">
        <v>122022</v>
      </c>
      <c r="D1810" s="2" t="inlineStr">
        <is>
          <t>Acond Pantene Ctrol Caida  + Trat</t>
        </is>
      </c>
      <c r="E1810" s="2" t="inlineStr">
        <is>
          <t>PANTENE</t>
        </is>
      </c>
      <c r="F1810" s="2" t="n">
        <v>27.05</v>
      </c>
      <c r="G1810" s="2" t="n">
        <v>27.05</v>
      </c>
      <c r="H1810" s="2" t="b">
        <v>0</v>
      </c>
      <c r="I1810" s="2" t="inlineStr"/>
      <c r="J1810" s="2" t="inlineStr"/>
      <c r="K1810" s="2" t="inlineStr">
        <is>
          <t>&gt; Perfumería &gt; Cuidado Capilar &gt; Acondicionador &gt;</t>
        </is>
      </c>
      <c r="L1810" s="2" t="inlineStr">
        <is>
          <t>shampoo</t>
        </is>
      </c>
      <c r="M1810" s="2" t="inlineStr">
        <is>
          <t>estandar</t>
        </is>
      </c>
      <c r="N1810" s="2" t="inlineStr">
        <is>
          <t>general</t>
        </is>
      </c>
      <c r="O1810" s="2" t="inlineStr">
        <is>
          <t>https://www.jumbo.com.ar/acond-pantene-ctrol-caida-trat/p</t>
        </is>
      </c>
    </row>
    <row r="1811">
      <c r="A1811" t="inlineStr">
        <is>
          <t>Jumbo</t>
        </is>
      </c>
      <c r="B1811" t="n">
        <v>118671</v>
      </c>
      <c r="C1811" t="n">
        <v>117708</v>
      </c>
      <c r="D1811" t="inlineStr">
        <is>
          <t>Acondicionador Pantene  Pro V X 2 Un</t>
        </is>
      </c>
      <c r="E1811" t="inlineStr">
        <is>
          <t>PANTENE</t>
        </is>
      </c>
      <c r="F1811" t="n">
        <v>22.97</v>
      </c>
      <c r="G1811" t="n">
        <v>22.97</v>
      </c>
      <c r="H1811" t="b">
        <v>0</v>
      </c>
      <c r="I1811" t="inlineStr"/>
      <c r="J1811" t="inlineStr"/>
      <c r="K1811" t="inlineStr">
        <is>
          <t>&gt; Perfumería &gt; Cuidado Capilar &gt; Acondicionador &gt;</t>
        </is>
      </c>
      <c r="L1811" t="inlineStr">
        <is>
          <t>acondicionador</t>
        </is>
      </c>
      <c r="M1811" t="inlineStr">
        <is>
          <t>profesional</t>
        </is>
      </c>
      <c r="N1811" t="inlineStr">
        <is>
          <t>general</t>
        </is>
      </c>
      <c r="O1811" t="inlineStr">
        <is>
          <t>https://www.jumbo.com.ar/acondicionador-pantene-pro-v-x-2-un-10/p</t>
        </is>
      </c>
    </row>
    <row r="1812">
      <c r="A1812" s="2" t="inlineStr">
        <is>
          <t>Jumbo</t>
        </is>
      </c>
      <c r="B1812" s="2" t="n">
        <v>118582</v>
      </c>
      <c r="C1812" s="2" t="n">
        <v>117619</v>
      </c>
      <c r="D1812" s="2" t="inlineStr">
        <is>
          <t>Acondicionador Pantene Pro V X 2 Un + Spray Brillo Extremo</t>
        </is>
      </c>
      <c r="E1812" s="2" t="inlineStr">
        <is>
          <t>PANTENE</t>
        </is>
      </c>
      <c r="F1812" s="2" t="n">
        <v>21.53</v>
      </c>
      <c r="G1812" s="2" t="n">
        <v>21.53</v>
      </c>
      <c r="H1812" s="2" t="b">
        <v>0</v>
      </c>
      <c r="I1812" s="2" t="inlineStr"/>
      <c r="J1812" s="2" t="inlineStr"/>
      <c r="K1812" s="2" t="inlineStr">
        <is>
          <t>&gt; Perfumería &gt; Cuidado Capilar &gt; Acondicionador &gt;</t>
        </is>
      </c>
      <c r="L1812" s="2" t="inlineStr">
        <is>
          <t>acondicionador</t>
        </is>
      </c>
      <c r="M1812" s="2" t="inlineStr">
        <is>
          <t>profesional</t>
        </is>
      </c>
      <c r="N1812" s="2" t="inlineStr">
        <is>
          <t>general</t>
        </is>
      </c>
      <c r="O1812" s="2" t="inlineStr">
        <is>
          <t>https://www.jumbo.com.ar/acondicionador-pantene-pro-v-x-2-un-7/p</t>
        </is>
      </c>
    </row>
    <row r="1813">
      <c r="A1813" t="inlineStr">
        <is>
          <t>Jumbo</t>
        </is>
      </c>
      <c r="B1813" t="n">
        <v>116843</v>
      </c>
      <c r="C1813" t="n">
        <v>115883</v>
      </c>
      <c r="D1813" t="inlineStr">
        <is>
          <t>Acondicionador Pantene Pro V X 3 Un Brillo Extremo + Tratamiento X 400 + Bolso</t>
        </is>
      </c>
      <c r="E1813" t="inlineStr">
        <is>
          <t>PANTENE</t>
        </is>
      </c>
      <c r="F1813" t="n">
        <v>25.35</v>
      </c>
      <c r="G1813" t="n">
        <v>25.35</v>
      </c>
      <c r="H1813" t="b">
        <v>0</v>
      </c>
      <c r="I1813" t="inlineStr"/>
      <c r="J1813" t="inlineStr"/>
      <c r="K1813" t="inlineStr">
        <is>
          <t>&gt; Perfumería &gt; Cuidado Capilar &gt; Acondicionador &gt;</t>
        </is>
      </c>
      <c r="L1813" t="inlineStr">
        <is>
          <t>acondicionador</t>
        </is>
      </c>
      <c r="M1813" t="inlineStr">
        <is>
          <t>profesional</t>
        </is>
      </c>
      <c r="N1813" t="inlineStr">
        <is>
          <t>general</t>
        </is>
      </c>
      <c r="O1813" t="inlineStr">
        <is>
          <t>https://www.jumbo.com.ar/acondicionador-pantene-pro-v-x-3-un/p</t>
        </is>
      </c>
    </row>
    <row r="1814">
      <c r="A1814" s="2" t="inlineStr">
        <is>
          <t>Jumbo</t>
        </is>
      </c>
      <c r="B1814" s="2" t="n">
        <v>116831</v>
      </c>
      <c r="C1814" s="2" t="n">
        <v>115871</v>
      </c>
      <c r="D1814" s="2" t="inlineStr">
        <is>
          <t>Acondicionador Pantene  Pro V X 3 Un + Trantamiento X 400 + Bolso</t>
        </is>
      </c>
      <c r="E1814" s="2" t="inlineStr">
        <is>
          <t>PANTENE</t>
        </is>
      </c>
      <c r="F1814" s="2" t="n">
        <v>25.35</v>
      </c>
      <c r="G1814" s="2" t="n">
        <v>25.35</v>
      </c>
      <c r="H1814" s="2" t="b">
        <v>0</v>
      </c>
      <c r="I1814" s="2" t="inlineStr"/>
      <c r="J1814" s="2" t="inlineStr"/>
      <c r="K1814" s="2" t="inlineStr">
        <is>
          <t>&gt; Perfumería &gt; Cuidado Capilar &gt; Acondicionador &gt;</t>
        </is>
      </c>
      <c r="L1814" s="2" t="inlineStr">
        <is>
          <t>acondicionador</t>
        </is>
      </c>
      <c r="M1814" s="2" t="inlineStr">
        <is>
          <t>profesional</t>
        </is>
      </c>
      <c r="N1814" s="2" t="inlineStr">
        <is>
          <t>general</t>
        </is>
      </c>
      <c r="O1814" s="2" t="inlineStr">
        <is>
          <t>https://www.jumbo.com.ar/acondicionador-pantene-pro-v-x-3-un-2-2/p</t>
        </is>
      </c>
    </row>
    <row r="1815">
      <c r="A1815" t="inlineStr">
        <is>
          <t>Jumbo</t>
        </is>
      </c>
      <c r="B1815" t="n">
        <v>116709</v>
      </c>
      <c r="C1815" t="n">
        <v>115750</v>
      </c>
      <c r="D1815" t="inlineStr">
        <is>
          <t>Acondicionador Pantene Pro V X 3 Un + Tratamiento X 400 + Bolso</t>
        </is>
      </c>
      <c r="E1815" t="inlineStr">
        <is>
          <t>PANTENE</t>
        </is>
      </c>
      <c r="F1815" t="n">
        <v>27.29</v>
      </c>
      <c r="G1815" t="n">
        <v>27.29</v>
      </c>
      <c r="H1815" t="b">
        <v>0</v>
      </c>
      <c r="I1815" t="inlineStr"/>
      <c r="J1815" t="inlineStr"/>
      <c r="K1815" t="inlineStr">
        <is>
          <t>&gt; Perfumería &gt; Cuidado Capilar &gt; Acondicionador &gt;</t>
        </is>
      </c>
      <c r="L1815" t="inlineStr">
        <is>
          <t>acondicionador</t>
        </is>
      </c>
      <c r="M1815" t="inlineStr">
        <is>
          <t>profesional</t>
        </is>
      </c>
      <c r="N1815" t="inlineStr">
        <is>
          <t>general</t>
        </is>
      </c>
      <c r="O1815" t="inlineStr">
        <is>
          <t>https://www.jumbo.com.ar/acondicionador-pantene-pro-v-x-3-un-2/p</t>
        </is>
      </c>
    </row>
    <row r="1816">
      <c r="A1816" s="2" t="inlineStr">
        <is>
          <t>Jumbo</t>
        </is>
      </c>
      <c r="B1816" s="2" t="n">
        <v>116422</v>
      </c>
      <c r="C1816" s="2" t="n">
        <v>115462</v>
      </c>
      <c r="D1816" s="2" t="inlineStr">
        <is>
          <t>Shampoo Pantene Pro V X 200 Ml Shampoo Pantene Brillo Extremo 200 Ml</t>
        </is>
      </c>
      <c r="E1816" s="2" t="inlineStr">
        <is>
          <t>PANTENE</t>
        </is>
      </c>
      <c r="F1816" s="2" t="n">
        <v>21.33</v>
      </c>
      <c r="G1816" s="2" t="n">
        <v>1763</v>
      </c>
      <c r="H1816" s="2" t="b">
        <v>0</v>
      </c>
      <c r="I1816" s="2" t="n">
        <v>200</v>
      </c>
      <c r="J1816" s="2" t="n">
        <v>0.1066</v>
      </c>
      <c r="K1816" s="2" t="inlineStr">
        <is>
          <t>&gt; Perfumería &gt; Cuidado Capilar &gt; Shampoo &gt;</t>
        </is>
      </c>
      <c r="L1816" s="2" t="inlineStr">
        <is>
          <t>shampoo</t>
        </is>
      </c>
      <c r="M1816" s="2" t="inlineStr">
        <is>
          <t>profesional</t>
        </is>
      </c>
      <c r="N1816" s="2" t="inlineStr">
        <is>
          <t>general</t>
        </is>
      </c>
      <c r="O1816" s="2" t="inlineStr">
        <is>
          <t>https://www.jumbo.com.ar/shampoo-pantene-pro-v-x-200-ml/p</t>
        </is>
      </c>
    </row>
    <row r="1817">
      <c r="A1817" t="inlineStr">
        <is>
          <t>Jumbo</t>
        </is>
      </c>
      <c r="B1817" t="n">
        <v>95931</v>
      </c>
      <c r="C1817" t="n">
        <v>93251</v>
      </c>
      <c r="D1817" t="inlineStr">
        <is>
          <t>Shampoo Pantene Pro V Pck 6 Un</t>
        </is>
      </c>
      <c r="E1817" t="inlineStr">
        <is>
          <t>PANTENE</t>
        </is>
      </c>
      <c r="F1817" t="n">
        <v>11.16</v>
      </c>
      <c r="G1817" t="n">
        <v>11.16</v>
      </c>
      <c r="H1817" t="b">
        <v>0</v>
      </c>
      <c r="I1817" t="inlineStr"/>
      <c r="J1817" t="inlineStr"/>
      <c r="K1817" t="inlineStr">
        <is>
          <t>&gt; Perfumería &gt; Cuidado Capilar &gt; Shampoo &gt;</t>
        </is>
      </c>
      <c r="L1817" t="inlineStr">
        <is>
          <t>shampoo</t>
        </is>
      </c>
      <c r="M1817" t="inlineStr">
        <is>
          <t>profesional</t>
        </is>
      </c>
      <c r="N1817" t="inlineStr">
        <is>
          <t>general</t>
        </is>
      </c>
      <c r="O1817" t="inlineStr">
        <is>
          <t>https://www.jumbo.com.ar/shampoo-pantene-pro-v-pck-6-un-2/p</t>
        </is>
      </c>
    </row>
    <row r="1818">
      <c r="A1818" s="2" t="inlineStr">
        <is>
          <t>Jumbo</t>
        </is>
      </c>
      <c r="B1818" s="2" t="n">
        <v>95867</v>
      </c>
      <c r="C1818" s="2" t="n">
        <v>93188</v>
      </c>
      <c r="D1818" s="2" t="inlineStr">
        <is>
          <t>Shampoo Pantene Pro V Pck 6 Un</t>
        </is>
      </c>
      <c r="E1818" s="2" t="inlineStr">
        <is>
          <t>PANTENE</t>
        </is>
      </c>
      <c r="F1818" s="2" t="n">
        <v>11.16</v>
      </c>
      <c r="G1818" s="2" t="n">
        <v>11.16</v>
      </c>
      <c r="H1818" s="2" t="b">
        <v>0</v>
      </c>
      <c r="I1818" s="2" t="inlineStr"/>
      <c r="J1818" s="2" t="inlineStr"/>
      <c r="K1818" s="2" t="inlineStr">
        <is>
          <t>&gt; Perfumería &gt; Cuidado Capilar &gt; Shampoo &gt;</t>
        </is>
      </c>
      <c r="L1818" s="2" t="inlineStr">
        <is>
          <t>shampoo</t>
        </is>
      </c>
      <c r="M1818" s="2" t="inlineStr">
        <is>
          <t>profesional</t>
        </is>
      </c>
      <c r="N1818" s="2" t="inlineStr">
        <is>
          <t>general</t>
        </is>
      </c>
      <c r="O1818" s="2" t="inlineStr">
        <is>
          <t>https://www.jumbo.com.ar/shampoo-pantene-pro-v-pck-6-un/p</t>
        </is>
      </c>
    </row>
    <row r="1819">
      <c r="A1819" t="inlineStr">
        <is>
          <t>Jumbo</t>
        </is>
      </c>
      <c r="B1819" t="n">
        <v>94091</v>
      </c>
      <c r="C1819" t="n">
        <v>91419</v>
      </c>
      <c r="D1819" t="inlineStr">
        <is>
          <t>Shampoo Pantene-rizos Definidos X 400ml.-+ Trat X150ml.-pck-un.-2</t>
        </is>
      </c>
      <c r="E1819" t="inlineStr">
        <is>
          <t>PANTENE</t>
        </is>
      </c>
      <c r="F1819" t="n">
        <v>28.45</v>
      </c>
      <c r="G1819" t="n">
        <v>2351</v>
      </c>
      <c r="H1819" t="b">
        <v>0</v>
      </c>
      <c r="I1819" t="n">
        <v>400</v>
      </c>
      <c r="J1819" t="n">
        <v>0.0711</v>
      </c>
      <c r="K1819" t="inlineStr">
        <is>
          <t>&gt; Perfumería &gt; Cuidado Capilar &gt; Shampoo &gt;</t>
        </is>
      </c>
      <c r="L1819" t="inlineStr">
        <is>
          <t>shampoo</t>
        </is>
      </c>
      <c r="M1819" t="inlineStr">
        <is>
          <t>estandar</t>
        </is>
      </c>
      <c r="N1819" t="inlineStr">
        <is>
          <t>rizado</t>
        </is>
      </c>
      <c r="O1819" t="inlineStr">
        <is>
          <t>https://www.jumbo.com.ar/shampoo-pantene-rizos-definidos-x-400ml-trat-x150ml-pck-un-2/p</t>
        </is>
      </c>
    </row>
    <row r="1820">
      <c r="A1820" s="2" t="inlineStr">
        <is>
          <t>Jumbo</t>
        </is>
      </c>
      <c r="B1820" s="2" t="n">
        <v>93964</v>
      </c>
      <c r="C1820" s="2" t="n">
        <v>91292</v>
      </c>
      <c r="D1820" s="2" t="inlineStr">
        <is>
          <t>Shampoo Pantene-liso Extremo X 400ml.-+ Trat X150ml.-pck-un.-2</t>
        </is>
      </c>
      <c r="E1820" s="2" t="inlineStr">
        <is>
          <t>PANTENE</t>
        </is>
      </c>
      <c r="F1820" s="2" t="n">
        <v>103.39</v>
      </c>
      <c r="G1820" s="2" t="n">
        <v>103.39</v>
      </c>
      <c r="H1820" s="2" t="b">
        <v>0</v>
      </c>
      <c r="I1820" s="2" t="n">
        <v>400</v>
      </c>
      <c r="J1820" s="2" t="n">
        <v>0.2585</v>
      </c>
      <c r="K1820" s="2" t="inlineStr">
        <is>
          <t>&gt; Perfumería &gt; Cuidado Capilar &gt; Shampoo &gt;</t>
        </is>
      </c>
      <c r="L1820" s="2" t="inlineStr">
        <is>
          <t>shampoo</t>
        </is>
      </c>
      <c r="M1820" s="2" t="inlineStr">
        <is>
          <t>estandar</t>
        </is>
      </c>
      <c r="N1820" s="2" t="inlineStr">
        <is>
          <t>general</t>
        </is>
      </c>
      <c r="O1820" s="2" t="inlineStr">
        <is>
          <t>https://www.jumbo.com.ar/shampoo-pantene-liso-extremo-x-400ml-trat-x150ml-pck-un-2/p</t>
        </is>
      </c>
    </row>
    <row r="1821">
      <c r="A1821" t="inlineStr">
        <is>
          <t>Jumbo</t>
        </is>
      </c>
      <c r="B1821" t="n">
        <v>93955</v>
      </c>
      <c r="C1821" t="n">
        <v>91283</v>
      </c>
      <c r="D1821" t="inlineStr">
        <is>
          <t>Shampoo Pantene-rizos Definidos X 400ml.-+ Ac X400ml. + Trat X150ml.-pck-un.-3</t>
        </is>
      </c>
      <c r="E1821" t="inlineStr">
        <is>
          <t>PANTENE</t>
        </is>
      </c>
      <c r="F1821" t="n">
        <v>40.15</v>
      </c>
      <c r="G1821" t="n">
        <v>40.15</v>
      </c>
      <c r="H1821" t="b">
        <v>0</v>
      </c>
      <c r="I1821" t="n">
        <v>400</v>
      </c>
      <c r="J1821" t="n">
        <v>0.1004</v>
      </c>
      <c r="K1821" t="inlineStr">
        <is>
          <t>&gt; Perfumería &gt; Cuidado Capilar &gt; Shampoo &gt;</t>
        </is>
      </c>
      <c r="L1821" t="inlineStr">
        <is>
          <t>shampoo</t>
        </is>
      </c>
      <c r="M1821" t="inlineStr">
        <is>
          <t>estandar</t>
        </is>
      </c>
      <c r="N1821" t="inlineStr">
        <is>
          <t>rizado</t>
        </is>
      </c>
      <c r="O1821" t="inlineStr">
        <is>
          <t>https://www.jumbo.com.ar/shampoo-pantene-rizos-definidos-x-400ml-ac-x400ml-trat-x150ml-pck-un-3/p</t>
        </is>
      </c>
    </row>
    <row r="1822">
      <c r="A1822" s="2" t="inlineStr">
        <is>
          <t>Jumbo</t>
        </is>
      </c>
      <c r="B1822" s="2" t="n">
        <v>93927</v>
      </c>
      <c r="C1822" s="2" t="n">
        <v>91255</v>
      </c>
      <c r="D1822" s="2" t="inlineStr">
        <is>
          <t>Shampoo Pantene-liso Extremo X 400ml.-+ Ac X400ml. + Trat X150ml.-pck-un.-3</t>
        </is>
      </c>
      <c r="E1822" s="2" t="inlineStr">
        <is>
          <t>PANTENE</t>
        </is>
      </c>
      <c r="F1822" s="2" t="n">
        <v>40.15</v>
      </c>
      <c r="G1822" s="2" t="n">
        <v>40.15</v>
      </c>
      <c r="H1822" s="2" t="b">
        <v>0</v>
      </c>
      <c r="I1822" s="2" t="n">
        <v>400</v>
      </c>
      <c r="J1822" s="2" t="n">
        <v>0.1004</v>
      </c>
      <c r="K1822" s="2" t="inlineStr">
        <is>
          <t>&gt; Perfumería &gt; Cuidado Capilar &gt; Shampoo &gt;</t>
        </is>
      </c>
      <c r="L1822" s="2" t="inlineStr">
        <is>
          <t>shampoo</t>
        </is>
      </c>
      <c r="M1822" s="2" t="inlineStr">
        <is>
          <t>estandar</t>
        </is>
      </c>
      <c r="N1822" s="2" t="inlineStr">
        <is>
          <t>general</t>
        </is>
      </c>
      <c r="O1822" s="2" t="inlineStr">
        <is>
          <t>https://www.jumbo.com.ar/shampoo-pantene-liso-extremo-x-400ml-ac-x400ml-trat-x150ml-pck-un-3/p</t>
        </is>
      </c>
    </row>
    <row r="1823">
      <c r="A1823" t="inlineStr">
        <is>
          <t>Jumbo</t>
        </is>
      </c>
      <c r="B1823" t="n">
        <v>93758</v>
      </c>
      <c r="C1823" t="n">
        <v>91086</v>
      </c>
      <c r="D1823" t="inlineStr">
        <is>
          <t>Shampoo Pantene-control Caida-pvc-ml.-500</t>
        </is>
      </c>
      <c r="E1823" t="inlineStr">
        <is>
          <t>PANTENE</t>
        </is>
      </c>
      <c r="F1823" t="n">
        <v>17.39</v>
      </c>
      <c r="G1823" t="n">
        <v>17.39</v>
      </c>
      <c r="H1823" t="b">
        <v>0</v>
      </c>
      <c r="I1823" t="inlineStr"/>
      <c r="J1823" t="inlineStr"/>
      <c r="K1823" t="inlineStr">
        <is>
          <t>&gt; Perfumería &gt; Cuidado Capilar &gt; Shampoo &gt;</t>
        </is>
      </c>
      <c r="L1823" t="inlineStr">
        <is>
          <t>shampoo</t>
        </is>
      </c>
      <c r="M1823" t="inlineStr">
        <is>
          <t>estandar</t>
        </is>
      </c>
      <c r="N1823" t="inlineStr">
        <is>
          <t>general</t>
        </is>
      </c>
      <c r="O1823" t="inlineStr">
        <is>
          <t>https://www.jumbo.com.ar/shampoo-pantene-control-caida-pvc-ml-500/p</t>
        </is>
      </c>
    </row>
    <row r="1824">
      <c r="A1824" s="2" t="inlineStr">
        <is>
          <t>Jumbo</t>
        </is>
      </c>
      <c r="B1824" s="2" t="n">
        <v>90006</v>
      </c>
      <c r="C1824" s="2" t="n">
        <v>87334</v>
      </c>
      <c r="D1824" s="2" t="inlineStr">
        <is>
          <t>Tratamiento Intensivo Pantene Nocturno Pantene Tratamiento Noc Restauracion 150ml</t>
        </is>
      </c>
      <c r="E1824" s="2" t="inlineStr">
        <is>
          <t>PANTENE</t>
        </is>
      </c>
      <c r="F1824" s="2" t="n">
        <v>41.79</v>
      </c>
      <c r="G1824" s="2" t="n">
        <v>3454</v>
      </c>
      <c r="H1824" s="2" t="b">
        <v>0</v>
      </c>
      <c r="I1824" s="2" t="n">
        <v>150</v>
      </c>
      <c r="J1824" s="2" t="n">
        <v>0.2786</v>
      </c>
      <c r="K1824" s="2" t="inlineStr">
        <is>
          <t>&gt; Perfumería &gt; Cuidado Capilar &gt; Reparación y Tratamientos &gt;</t>
        </is>
      </c>
      <c r="L1824" s="2" t="inlineStr">
        <is>
          <t>tratamiento</t>
        </is>
      </c>
      <c r="M1824" s="2" t="inlineStr">
        <is>
          <t>estandar</t>
        </is>
      </c>
      <c r="N1824" s="2" t="inlineStr">
        <is>
          <t>general</t>
        </is>
      </c>
      <c r="O1824" s="2" t="inlineStr">
        <is>
          <t>https://www.jumbo.com.ar/tratamiento-intensivo-pantene-nocturno/p</t>
        </is>
      </c>
    </row>
    <row r="1825">
      <c r="A1825" t="inlineStr">
        <is>
          <t>Jumbo</t>
        </is>
      </c>
      <c r="B1825" t="n">
        <v>88478</v>
      </c>
      <c r="C1825" t="n">
        <v>85805</v>
      </c>
      <c r="D1825" t="inlineStr">
        <is>
          <t>Shampoo Pantene Renov. Profunda Acond 200ml+tratam Nocturno Pck 3 Un.</t>
        </is>
      </c>
      <c r="E1825" t="inlineStr">
        <is>
          <t>PANTENE</t>
        </is>
      </c>
      <c r="F1825" t="n">
        <v>26.99</v>
      </c>
      <c r="G1825" t="n">
        <v>26.99</v>
      </c>
      <c r="H1825" t="b">
        <v>0</v>
      </c>
      <c r="I1825" t="n">
        <v>200</v>
      </c>
      <c r="J1825" t="n">
        <v>0.1349</v>
      </c>
      <c r="K1825" t="inlineStr">
        <is>
          <t>&gt; Perfumería &gt; Cuidado Capilar &gt; Shampoo &gt;</t>
        </is>
      </c>
      <c r="L1825" t="inlineStr">
        <is>
          <t>shampoo</t>
        </is>
      </c>
      <c r="M1825" t="inlineStr">
        <is>
          <t>estandar</t>
        </is>
      </c>
      <c r="N1825" t="inlineStr">
        <is>
          <t>general</t>
        </is>
      </c>
      <c r="O1825" t="inlineStr">
        <is>
          <t>https://www.jumbo.com.ar/shampoo-pantene-54/p</t>
        </is>
      </c>
    </row>
    <row r="1826">
      <c r="A1826" s="2" t="inlineStr">
        <is>
          <t>Jumbo</t>
        </is>
      </c>
      <c r="B1826" s="2" t="n">
        <v>77295</v>
      </c>
      <c r="C1826" s="2" t="n">
        <v>74422</v>
      </c>
      <c r="D1826" s="2" t="inlineStr">
        <is>
          <t>Acondicionador Pantene Pro V X 200 Ml Acondicionador Pantene Pro V Color Radiante  Pvc 200 Ml</t>
        </is>
      </c>
      <c r="E1826" s="2" t="inlineStr">
        <is>
          <t>PANTENE</t>
        </is>
      </c>
      <c r="F1826" s="2" t="n">
        <v>17.45</v>
      </c>
      <c r="G1826" s="2" t="n">
        <v>17.45</v>
      </c>
      <c r="H1826" s="2" t="b">
        <v>0</v>
      </c>
      <c r="I1826" s="2" t="n">
        <v>200</v>
      </c>
      <c r="J1826" s="2" t="n">
        <v>0.0872</v>
      </c>
      <c r="K1826" s="2" t="inlineStr">
        <is>
          <t>&gt; Perfumería &gt; Cuidado Capilar &gt; Acondicionador &gt;</t>
        </is>
      </c>
      <c r="L1826" s="2" t="inlineStr">
        <is>
          <t>acondicionador</t>
        </is>
      </c>
      <c r="M1826" s="2" t="inlineStr">
        <is>
          <t>profesional</t>
        </is>
      </c>
      <c r="N1826" s="2" t="inlineStr">
        <is>
          <t>tratado</t>
        </is>
      </c>
      <c r="O1826" s="2" t="inlineStr">
        <is>
          <t>https://www.jumbo.com.ar/acondicionador-pantene-pro-v-x-200-ml-3/p</t>
        </is>
      </c>
    </row>
    <row r="1827">
      <c r="A1827" t="inlineStr">
        <is>
          <t>Jumbo</t>
        </is>
      </c>
      <c r="B1827" t="n">
        <v>58796</v>
      </c>
      <c r="C1827" t="n">
        <v>55950</v>
      </c>
      <c r="D1827" t="inlineStr">
        <is>
          <t>Shampoo Pantene Pro V-400ml-acond Pantene 400ml-pck-un.-2</t>
        </is>
      </c>
      <c r="E1827" t="inlineStr">
        <is>
          <t>PANTENE</t>
        </is>
      </c>
      <c r="F1827" t="n">
        <v>103.39</v>
      </c>
      <c r="G1827" t="n">
        <v>103.39</v>
      </c>
      <c r="H1827" t="b">
        <v>0</v>
      </c>
      <c r="I1827" t="n">
        <v>400</v>
      </c>
      <c r="J1827" t="n">
        <v>0.2585</v>
      </c>
      <c r="K1827" t="inlineStr">
        <is>
          <t>&gt; Perfumería &gt; Cuidado Capilar &gt; Shampoo &gt;</t>
        </is>
      </c>
      <c r="L1827" t="inlineStr">
        <is>
          <t>shampoo</t>
        </is>
      </c>
      <c r="M1827" t="inlineStr">
        <is>
          <t>profesional</t>
        </is>
      </c>
      <c r="N1827" t="inlineStr">
        <is>
          <t>general</t>
        </is>
      </c>
      <c r="O1827" t="inlineStr">
        <is>
          <t>https://www.jumbo.com.ar/shampoo-pantene-pro-v-400ml-acond-pantene-400ml-pck-un-2/p</t>
        </is>
      </c>
    </row>
    <row r="1828">
      <c r="A1828" s="2" t="inlineStr">
        <is>
          <t>Jumbo</t>
        </is>
      </c>
      <c r="B1828" s="2" t="n">
        <v>58763</v>
      </c>
      <c r="C1828" s="2" t="n">
        <v>55917</v>
      </c>
      <c r="D1828" s="2" t="inlineStr">
        <is>
          <t>Shampoo Pantene Pro V-+ Acondicionador Pantenne X 200 Ml-pck-un.-2</t>
        </is>
      </c>
      <c r="E1828" s="2" t="inlineStr">
        <is>
          <t>PANTENE</t>
        </is>
      </c>
      <c r="F1828" s="2" t="n">
        <v>11.11</v>
      </c>
      <c r="G1828" s="2" t="n">
        <v>11.11</v>
      </c>
      <c r="H1828" s="2" t="b">
        <v>0</v>
      </c>
      <c r="I1828" s="2" t="n">
        <v>200</v>
      </c>
      <c r="J1828" s="2" t="n">
        <v>0.0555</v>
      </c>
      <c r="K1828" s="2" t="inlineStr">
        <is>
          <t>&gt; Perfumería &gt; Cuidado Capilar &gt; Shampoo &gt;</t>
        </is>
      </c>
      <c r="L1828" s="2" t="inlineStr">
        <is>
          <t>acondicionador</t>
        </is>
      </c>
      <c r="M1828" s="2" t="inlineStr">
        <is>
          <t>profesional</t>
        </is>
      </c>
      <c r="N1828" s="2" t="inlineStr">
        <is>
          <t>general</t>
        </is>
      </c>
      <c r="O1828" s="2" t="inlineStr">
        <is>
          <t>https://www.jumbo.com.ar/shampoo-pantene-pro-v-acondicionador-pantenne-x-200-ml-pck-un-2/p</t>
        </is>
      </c>
    </row>
    <row r="1829">
      <c r="A1829" t="inlineStr">
        <is>
          <t>Jumbo</t>
        </is>
      </c>
      <c r="B1829" t="n">
        <v>58761</v>
      </c>
      <c r="C1829" t="n">
        <v>55915</v>
      </c>
      <c r="D1829" t="inlineStr">
        <is>
          <t>Shampoo Pantene Pro V-+ Acondicionador Pantenne X 200 Ml-brillo Extremo-pck-un.-2</t>
        </is>
      </c>
      <c r="E1829" t="inlineStr">
        <is>
          <t>PANTENE</t>
        </is>
      </c>
      <c r="F1829" t="n">
        <v>17.59</v>
      </c>
      <c r="G1829" t="n">
        <v>17.59</v>
      </c>
      <c r="H1829" t="b">
        <v>0</v>
      </c>
      <c r="I1829" t="n">
        <v>200</v>
      </c>
      <c r="J1829" t="n">
        <v>0.08799999999999999</v>
      </c>
      <c r="K1829" t="inlineStr">
        <is>
          <t>&gt; Perfumería &gt; Cuidado Capilar &gt; Shampoo &gt;</t>
        </is>
      </c>
      <c r="L1829" t="inlineStr">
        <is>
          <t>acondicionador</t>
        </is>
      </c>
      <c r="M1829" t="inlineStr">
        <is>
          <t>profesional</t>
        </is>
      </c>
      <c r="N1829" t="inlineStr">
        <is>
          <t>general</t>
        </is>
      </c>
      <c r="O1829" t="inlineStr">
        <is>
          <t>https://www.jumbo.com.ar/shampoo-pantene-pro-v-acondicionador-pantenne-x-200-ml-brillo-extremo-pck-un-2/p</t>
        </is>
      </c>
    </row>
    <row r="1830">
      <c r="A1830" s="2" t="inlineStr">
        <is>
          <t>Jumbo</t>
        </is>
      </c>
      <c r="B1830" s="2" t="n">
        <v>58754</v>
      </c>
      <c r="C1830" s="2" t="n">
        <v>55908</v>
      </c>
      <c r="D1830" s="2" t="inlineStr">
        <is>
          <t>Shampoo Pantene Pro V-+ Acondicionador X200ml.-pck-un.-2</t>
        </is>
      </c>
      <c r="E1830" s="2" t="inlineStr">
        <is>
          <t>PANTENE</t>
        </is>
      </c>
      <c r="F1830" s="2" t="n">
        <v>17.62</v>
      </c>
      <c r="G1830" s="2" t="n">
        <v>17.62</v>
      </c>
      <c r="H1830" s="2" t="b">
        <v>0</v>
      </c>
      <c r="I1830" s="2" t="n">
        <v>200</v>
      </c>
      <c r="J1830" s="2" t="n">
        <v>0.0881</v>
      </c>
      <c r="K1830" s="2" t="inlineStr">
        <is>
          <t>&gt; Perfumería &gt; Cuidado Capilar &gt; Shampoo &gt;</t>
        </is>
      </c>
      <c r="L1830" s="2" t="inlineStr">
        <is>
          <t>acondicionador</t>
        </is>
      </c>
      <c r="M1830" s="2" t="inlineStr">
        <is>
          <t>profesional</t>
        </is>
      </c>
      <c r="N1830" s="2" t="inlineStr">
        <is>
          <t>general</t>
        </is>
      </c>
      <c r="O1830" s="2" t="inlineStr">
        <is>
          <t>https://www.jumbo.com.ar/shampoo-pantene-pro-v-acondicionador-x200ml-pck-un-2/p</t>
        </is>
      </c>
    </row>
    <row r="1831">
      <c r="A1831" t="inlineStr">
        <is>
          <t>Jumbo</t>
        </is>
      </c>
      <c r="B1831" t="n">
        <v>56643</v>
      </c>
      <c r="C1831" t="n">
        <v>53801</v>
      </c>
      <c r="D1831" t="inlineStr">
        <is>
          <t>Acondicionador Pantene-restauracion Dorada-pvc-ml.-400</t>
        </is>
      </c>
      <c r="E1831" t="inlineStr">
        <is>
          <t>PANTENE</t>
        </is>
      </c>
      <c r="F1831" t="n">
        <v>26.99</v>
      </c>
      <c r="G1831" t="n">
        <v>2231</v>
      </c>
      <c r="H1831" t="b">
        <v>0</v>
      </c>
      <c r="I1831" t="inlineStr"/>
      <c r="J1831" t="inlineStr"/>
      <c r="K1831" t="inlineStr">
        <is>
          <t>&gt; Perfumería &gt; Cuidado Capilar &gt; Acondicionador &gt;</t>
        </is>
      </c>
      <c r="L1831" t="inlineStr">
        <is>
          <t>acondicionador</t>
        </is>
      </c>
      <c r="M1831" t="inlineStr">
        <is>
          <t>estandar</t>
        </is>
      </c>
      <c r="N1831" t="inlineStr">
        <is>
          <t>general</t>
        </is>
      </c>
      <c r="O1831" t="inlineStr">
        <is>
          <t>https://www.jumbo.com.ar/acondicionador-pantene-restauracion-dorada-pvc-ml-400/p</t>
        </is>
      </c>
    </row>
    <row r="1832">
      <c r="A1832" s="2" t="inlineStr">
        <is>
          <t>Jumbo</t>
        </is>
      </c>
      <c r="B1832" s="2" t="n">
        <v>56622</v>
      </c>
      <c r="C1832" s="2" t="n">
        <v>53780</v>
      </c>
      <c r="D1832" s="2" t="inlineStr">
        <is>
          <t>Shampoo Pantene-restauracion Dorada-pvc-ml.-400</t>
        </is>
      </c>
      <c r="E1832" s="2" t="inlineStr">
        <is>
          <t>PANTENE</t>
        </is>
      </c>
      <c r="F1832" s="2" t="n">
        <v>26.99</v>
      </c>
      <c r="G1832" s="2" t="n">
        <v>2231</v>
      </c>
      <c r="H1832" s="2" t="b">
        <v>0</v>
      </c>
      <c r="I1832" s="2" t="inlineStr"/>
      <c r="J1832" s="2" t="inlineStr"/>
      <c r="K1832" s="2" t="inlineStr">
        <is>
          <t>&gt; Perfumería &gt; Cuidado Capilar &gt; Shampoo &gt;</t>
        </is>
      </c>
      <c r="L1832" s="2" t="inlineStr">
        <is>
          <t>shampoo</t>
        </is>
      </c>
      <c r="M1832" s="2" t="inlineStr">
        <is>
          <t>estandar</t>
        </is>
      </c>
      <c r="N1832" s="2" t="inlineStr">
        <is>
          <t>general</t>
        </is>
      </c>
      <c r="O1832" s="2" t="inlineStr">
        <is>
          <t>https://www.jumbo.com.ar/shampoo-pantene-restauracion-dorada-pvc-ml-400/p</t>
        </is>
      </c>
    </row>
    <row r="1833">
      <c r="A1833" t="inlineStr">
        <is>
          <t>Jumbo</t>
        </is>
      </c>
      <c r="B1833" t="n">
        <v>55449</v>
      </c>
      <c r="C1833" t="n">
        <v>52608</v>
      </c>
      <c r="D1833" t="inlineStr">
        <is>
          <t>Acondicionador Pantene Pro V Rubio Oscuro Expresiones De Color Pvc 400 Ml</t>
        </is>
      </c>
      <c r="E1833" t="inlineStr">
        <is>
          <t>PANTENE</t>
        </is>
      </c>
      <c r="F1833" t="n">
        <v>12.97</v>
      </c>
      <c r="G1833" t="n">
        <v>12.97</v>
      </c>
      <c r="H1833" t="b">
        <v>0</v>
      </c>
      <c r="I1833" t="n">
        <v>400</v>
      </c>
      <c r="J1833" t="n">
        <v>0.0324</v>
      </c>
      <c r="K1833" t="inlineStr">
        <is>
          <t>&gt; Perfumería &gt; Cuidado Capilar &gt; Acondicionador &gt;</t>
        </is>
      </c>
      <c r="L1833" t="inlineStr">
        <is>
          <t>acondicionador</t>
        </is>
      </c>
      <c r="M1833" t="inlineStr">
        <is>
          <t>profesional</t>
        </is>
      </c>
      <c r="N1833" t="inlineStr">
        <is>
          <t>tratado</t>
        </is>
      </c>
      <c r="O1833" t="inlineStr">
        <is>
          <t>https://www.jumbo.com.ar/acondicionador-pantene-pro-v-rubio-oscuro-expresiones-de-color-pvc-400-ml/p</t>
        </is>
      </c>
    </row>
    <row r="1834">
      <c r="A1834" s="2" t="inlineStr">
        <is>
          <t>Jumbo</t>
        </is>
      </c>
      <c r="B1834" s="2" t="n">
        <v>55403</v>
      </c>
      <c r="C1834" s="2" t="n">
        <v>52562</v>
      </c>
      <c r="D1834" s="2" t="inlineStr">
        <is>
          <t>Acondicionador Pantene Pro V Castaño Claro Expresiones De Color Pvc 400 Ml</t>
        </is>
      </c>
      <c r="E1834" s="2" t="inlineStr">
        <is>
          <t>PANTENE</t>
        </is>
      </c>
      <c r="F1834" s="2" t="n">
        <v>12.97</v>
      </c>
      <c r="G1834" s="2" t="n">
        <v>12.97</v>
      </c>
      <c r="H1834" s="2" t="b">
        <v>0</v>
      </c>
      <c r="I1834" s="2" t="n">
        <v>400</v>
      </c>
      <c r="J1834" s="2" t="n">
        <v>0.0324</v>
      </c>
      <c r="K1834" s="2" t="inlineStr">
        <is>
          <t>&gt; Perfumería &gt; Cuidado Capilar &gt; Acondicionador &gt;</t>
        </is>
      </c>
      <c r="L1834" s="2" t="inlineStr">
        <is>
          <t>acondicionador</t>
        </is>
      </c>
      <c r="M1834" s="2" t="inlineStr">
        <is>
          <t>profesional</t>
        </is>
      </c>
      <c r="N1834" s="2" t="inlineStr">
        <is>
          <t>tratado</t>
        </is>
      </c>
      <c r="O1834" s="2" t="inlineStr">
        <is>
          <t>https://www.jumbo.com.ar/acondicionador-pantene-pro-v-castano-claro-expresiones-de-color-pvc-400-ml/p</t>
        </is>
      </c>
    </row>
    <row r="1835">
      <c r="A1835" t="inlineStr">
        <is>
          <t>Jumbo</t>
        </is>
      </c>
      <c r="B1835" t="n">
        <v>55366</v>
      </c>
      <c r="C1835" t="n">
        <v>52525</v>
      </c>
      <c r="D1835" t="inlineStr">
        <is>
          <t>Shampoo Pantene Pro V Pureza Pvc 400 Ml</t>
        </is>
      </c>
      <c r="E1835" t="inlineStr">
        <is>
          <t>PANTENE</t>
        </is>
      </c>
      <c r="F1835" t="n">
        <v>11.89</v>
      </c>
      <c r="G1835" t="n">
        <v>11.89</v>
      </c>
      <c r="H1835" t="b">
        <v>0</v>
      </c>
      <c r="I1835" t="n">
        <v>400</v>
      </c>
      <c r="J1835" t="n">
        <v>0.0297</v>
      </c>
      <c r="K1835" t="inlineStr">
        <is>
          <t>&gt; Perfumería &gt; Cuidado Capilar &gt; Shampoo &gt;</t>
        </is>
      </c>
      <c r="L1835" t="inlineStr">
        <is>
          <t>shampoo</t>
        </is>
      </c>
      <c r="M1835" t="inlineStr">
        <is>
          <t>profesional</t>
        </is>
      </c>
      <c r="N1835" t="inlineStr">
        <is>
          <t>general</t>
        </is>
      </c>
      <c r="O1835" t="inlineStr">
        <is>
          <t>https://www.jumbo.com.ar/shampoo-pantene-pro-v-pureza-pvc-400-ml/p</t>
        </is>
      </c>
    </row>
    <row r="1836">
      <c r="A1836" s="2" t="inlineStr">
        <is>
          <t>Jumbo</t>
        </is>
      </c>
      <c r="B1836" s="2" t="n">
        <v>55364</v>
      </c>
      <c r="C1836" s="2" t="n">
        <v>52523</v>
      </c>
      <c r="D1836" s="2" t="inlineStr">
        <is>
          <t>Shampoo Pantene Pro V Rojo Pvc 384 Ml</t>
        </is>
      </c>
      <c r="E1836" s="2" t="inlineStr">
        <is>
          <t>PANTENE</t>
        </is>
      </c>
      <c r="F1836" s="2" t="n">
        <v>12.97</v>
      </c>
      <c r="G1836" s="2" t="n">
        <v>12.97</v>
      </c>
      <c r="H1836" s="2" t="b">
        <v>0</v>
      </c>
      <c r="I1836" s="2" t="n">
        <v>384</v>
      </c>
      <c r="J1836" s="2" t="n">
        <v>0.0338</v>
      </c>
      <c r="K1836" s="2" t="inlineStr">
        <is>
          <t>&gt; Perfumería &gt; Cuidado Capilar &gt; Shampoo &gt;</t>
        </is>
      </c>
      <c r="L1836" s="2" t="inlineStr">
        <is>
          <t>shampoo</t>
        </is>
      </c>
      <c r="M1836" s="2" t="inlineStr">
        <is>
          <t>profesional</t>
        </is>
      </c>
      <c r="N1836" s="2" t="inlineStr">
        <is>
          <t>general</t>
        </is>
      </c>
      <c r="O1836" s="2" t="inlineStr">
        <is>
          <t>https://www.jumbo.com.ar/shampoo-pantene-pro-v-rojo-pvc-384-ml/p</t>
        </is>
      </c>
    </row>
    <row r="1837">
      <c r="A1837" t="inlineStr">
        <is>
          <t>Jumbo</t>
        </is>
      </c>
      <c r="B1837" t="n">
        <v>55362</v>
      </c>
      <c r="C1837" t="n">
        <v>52521</v>
      </c>
      <c r="D1837" t="inlineStr">
        <is>
          <t>Shampoo Pantene Rubio Oscuro  Expresiones De Color  Pvc 384 Ml</t>
        </is>
      </c>
      <c r="E1837" t="inlineStr">
        <is>
          <t>PANTENE</t>
        </is>
      </c>
      <c r="F1837" t="n">
        <v>12.97</v>
      </c>
      <c r="G1837" t="n">
        <v>12.97</v>
      </c>
      <c r="H1837" t="b">
        <v>0</v>
      </c>
      <c r="I1837" t="n">
        <v>384</v>
      </c>
      <c r="J1837" t="n">
        <v>0.0338</v>
      </c>
      <c r="K1837" t="inlineStr">
        <is>
          <t>&gt; Perfumería &gt; Cuidado Capilar &gt; Shampoo &gt;</t>
        </is>
      </c>
      <c r="L1837" t="inlineStr">
        <is>
          <t>shampoo</t>
        </is>
      </c>
      <c r="M1837" t="inlineStr">
        <is>
          <t>estandar</t>
        </is>
      </c>
      <c r="N1837" t="inlineStr">
        <is>
          <t>tratado</t>
        </is>
      </c>
      <c r="O1837" t="inlineStr">
        <is>
          <t>https://www.jumbo.com.ar/shampoo-pantene-rubio-oscuro-expresiones-de-color-pvc-384-ml/p</t>
        </is>
      </c>
    </row>
    <row r="1838">
      <c r="A1838" s="2" t="inlineStr">
        <is>
          <t>Jumbo</t>
        </is>
      </c>
      <c r="B1838" s="2" t="n">
        <v>55359</v>
      </c>
      <c r="C1838" s="2" t="n">
        <v>52518</v>
      </c>
      <c r="D1838" s="2" t="inlineStr">
        <is>
          <t>Shampoo Pantene Pro V Castaño Claro Expresiones De Color Pvc 384 Ml</t>
        </is>
      </c>
      <c r="E1838" s="2" t="inlineStr">
        <is>
          <t>PANTENE</t>
        </is>
      </c>
      <c r="F1838" s="2" t="n">
        <v>12.97</v>
      </c>
      <c r="G1838" s="2" t="n">
        <v>12.97</v>
      </c>
      <c r="H1838" s="2" t="b">
        <v>0</v>
      </c>
      <c r="I1838" s="2" t="n">
        <v>384</v>
      </c>
      <c r="J1838" s="2" t="n">
        <v>0.0338</v>
      </c>
      <c r="K1838" s="2" t="inlineStr">
        <is>
          <t>&gt; Perfumería &gt; Cuidado Capilar &gt; Shampoo &gt;</t>
        </is>
      </c>
      <c r="L1838" s="2" t="inlineStr">
        <is>
          <t>shampoo</t>
        </is>
      </c>
      <c r="M1838" s="2" t="inlineStr">
        <is>
          <t>profesional</t>
        </is>
      </c>
      <c r="N1838" s="2" t="inlineStr">
        <is>
          <t>tratado</t>
        </is>
      </c>
      <c r="O1838" s="2" t="inlineStr">
        <is>
          <t>https://www.jumbo.com.ar/shampoo-pantene-pro-v-castano-claro-expresiones-de-color-pvc-384-ml/p</t>
        </is>
      </c>
    </row>
    <row r="1839">
      <c r="A1839" t="inlineStr">
        <is>
          <t>Jumbo</t>
        </is>
      </c>
      <c r="B1839" t="n">
        <v>55351</v>
      </c>
      <c r="C1839" t="n">
        <v>52511</v>
      </c>
      <c r="D1839" t="inlineStr">
        <is>
          <t>Acondicionador Pantene Pro V Rubio Claro Expresiones De Color Pvc 400 Ml</t>
        </is>
      </c>
      <c r="E1839" t="inlineStr">
        <is>
          <t>PANTENE</t>
        </is>
      </c>
      <c r="F1839" t="n">
        <v>12.97</v>
      </c>
      <c r="G1839" t="n">
        <v>12.97</v>
      </c>
      <c r="H1839" t="b">
        <v>0</v>
      </c>
      <c r="I1839" t="n">
        <v>400</v>
      </c>
      <c r="J1839" t="n">
        <v>0.0324</v>
      </c>
      <c r="K1839" t="inlineStr">
        <is>
          <t>&gt; Perfumería &gt; Cuidado Capilar &gt; Acondicionador &gt;</t>
        </is>
      </c>
      <c r="L1839" t="inlineStr">
        <is>
          <t>acondicionador</t>
        </is>
      </c>
      <c r="M1839" t="inlineStr">
        <is>
          <t>profesional</t>
        </is>
      </c>
      <c r="N1839" t="inlineStr">
        <is>
          <t>tratado</t>
        </is>
      </c>
      <c r="O1839" t="inlineStr">
        <is>
          <t>https://www.jumbo.com.ar/acondicionador-pantene-pro-v-rubio-claro-expresiones-de-color-pvc-400-ml/p</t>
        </is>
      </c>
    </row>
    <row r="1840">
      <c r="A1840" s="2" t="inlineStr">
        <is>
          <t>Jumbo</t>
        </is>
      </c>
      <c r="B1840" s="2" t="n">
        <v>51663</v>
      </c>
      <c r="C1840" s="2" t="n">
        <v>48831</v>
      </c>
      <c r="D1840" s="2" t="inlineStr">
        <is>
          <t>Acondicionador Pantene Liso Extremo 400 Ml</t>
        </is>
      </c>
      <c r="E1840" s="2" t="inlineStr">
        <is>
          <t>PANTENE</t>
        </is>
      </c>
      <c r="F1840" s="2" t="n">
        <v>48.79</v>
      </c>
      <c r="G1840" s="2" t="n">
        <v>4032</v>
      </c>
      <c r="H1840" s="2" t="b">
        <v>0</v>
      </c>
      <c r="I1840" s="2" t="n">
        <v>400</v>
      </c>
      <c r="J1840" s="2" t="n">
        <v>0.122</v>
      </c>
      <c r="K1840" s="2" t="inlineStr">
        <is>
          <t>&gt; Perfumería &gt; Cuidado Capilar &gt; Acondicionador &gt;</t>
        </is>
      </c>
      <c r="L1840" s="2" t="inlineStr">
        <is>
          <t>acondicionador</t>
        </is>
      </c>
      <c r="M1840" s="2" t="inlineStr">
        <is>
          <t>estandar</t>
        </is>
      </c>
      <c r="N1840" s="2" t="inlineStr">
        <is>
          <t>general</t>
        </is>
      </c>
      <c r="O1840" s="2" t="inlineStr">
        <is>
          <t>https://www.jumbo.com.ar/acondicionador-pantene-liso-extremo-400-ml/p</t>
        </is>
      </c>
    </row>
    <row r="1841">
      <c r="A1841" t="inlineStr">
        <is>
          <t>Jumbo</t>
        </is>
      </c>
      <c r="B1841" t="n">
        <v>50821</v>
      </c>
      <c r="C1841" t="n">
        <v>47991</v>
      </c>
      <c r="D1841" t="inlineStr">
        <is>
          <t>Shampoo Pantene Pro V Pack X 2-restauración-+ Crema Tratamiento-pck-un.-2</t>
        </is>
      </c>
      <c r="E1841" t="inlineStr">
        <is>
          <t>PANTENE</t>
        </is>
      </c>
      <c r="F1841" t="n">
        <v>28.67</v>
      </c>
      <c r="G1841" t="n">
        <v>28.67</v>
      </c>
      <c r="H1841" t="b">
        <v>0</v>
      </c>
      <c r="I1841" t="inlineStr"/>
      <c r="J1841" t="inlineStr"/>
      <c r="K1841" t="inlineStr">
        <is>
          <t>&gt; Perfumería &gt; Cuidado Capilar &gt; Shampoo &gt;</t>
        </is>
      </c>
      <c r="L1841" t="inlineStr">
        <is>
          <t>tratamiento</t>
        </is>
      </c>
      <c r="M1841" t="inlineStr">
        <is>
          <t>profesional</t>
        </is>
      </c>
      <c r="N1841" t="inlineStr">
        <is>
          <t>general</t>
        </is>
      </c>
      <c r="O1841" t="inlineStr">
        <is>
          <t>https://www.jumbo.com.ar/shampoo-pantene-pro-v-pack-x-2-restauracion-crema-tratamiento-pck-un-2/p</t>
        </is>
      </c>
    </row>
    <row r="1842">
      <c r="A1842" s="2" t="inlineStr">
        <is>
          <t>Jumbo</t>
        </is>
      </c>
      <c r="B1842" s="2" t="n">
        <v>50792</v>
      </c>
      <c r="C1842" s="2" t="n">
        <v>47962</v>
      </c>
      <c r="D1842" s="2" t="inlineStr">
        <is>
          <t>Shampoo Pantene Pro V Pack X 2-brillo Extremo-+ Acondicionador Pantenne X 200 Ml-pck-un.-2</t>
        </is>
      </c>
      <c r="E1842" s="2" t="inlineStr">
        <is>
          <t>PANTENE</t>
        </is>
      </c>
      <c r="F1842" s="2" t="n">
        <v>13.56</v>
      </c>
      <c r="G1842" s="2" t="n">
        <v>13.56</v>
      </c>
      <c r="H1842" s="2" t="b">
        <v>0</v>
      </c>
      <c r="I1842" s="2" t="n">
        <v>200</v>
      </c>
      <c r="J1842" s="2" t="n">
        <v>0.0678</v>
      </c>
      <c r="K1842" s="2" t="inlineStr">
        <is>
          <t>&gt; Perfumería &gt; Cuidado Capilar &gt; Shampoo &gt;</t>
        </is>
      </c>
      <c r="L1842" s="2" t="inlineStr">
        <is>
          <t>acondicionador</t>
        </is>
      </c>
      <c r="M1842" s="2" t="inlineStr">
        <is>
          <t>profesional</t>
        </is>
      </c>
      <c r="N1842" s="2" t="inlineStr">
        <is>
          <t>general</t>
        </is>
      </c>
      <c r="O1842" s="2" t="inlineStr">
        <is>
          <t>https://www.jumbo.com.ar/shampoo-pantene-pro-v-pack-x-2-brillo-extremo-acondicionador-pantenne-x-200-ml-pck-un-2/p</t>
        </is>
      </c>
    </row>
    <row r="1843">
      <c r="A1843" t="inlineStr">
        <is>
          <t>Jumbo</t>
        </is>
      </c>
      <c r="B1843" t="n">
        <v>50781</v>
      </c>
      <c r="C1843" t="n">
        <v>47951</v>
      </c>
      <c r="D1843" t="inlineStr">
        <is>
          <t>Shampoo Pantene Pro V Pack X 2-restauración-+ Acondicionador X200ml.-pck-un.-2</t>
        </is>
      </c>
      <c r="E1843" t="inlineStr">
        <is>
          <t>PANTENE</t>
        </is>
      </c>
      <c r="F1843" t="n">
        <v>12.15</v>
      </c>
      <c r="G1843" t="n">
        <v>12.15</v>
      </c>
      <c r="H1843" t="b">
        <v>0</v>
      </c>
      <c r="I1843" t="n">
        <v>200</v>
      </c>
      <c r="J1843" t="n">
        <v>0.0607</v>
      </c>
      <c r="K1843" t="inlineStr">
        <is>
          <t>&gt; Perfumería &gt; Cuidado Capilar &gt; Shampoo &gt;</t>
        </is>
      </c>
      <c r="L1843" t="inlineStr">
        <is>
          <t>acondicionador</t>
        </is>
      </c>
      <c r="M1843" t="inlineStr">
        <is>
          <t>profesional</t>
        </is>
      </c>
      <c r="N1843" t="inlineStr">
        <is>
          <t>general</t>
        </is>
      </c>
      <c r="O1843" t="inlineStr">
        <is>
          <t>https://www.jumbo.com.ar/shampoo-pantene-pro-v-pack-x-2-restauracion-acondicionador-x200ml-pck-un-2/p</t>
        </is>
      </c>
    </row>
    <row r="1844">
      <c r="A1844" s="2" t="inlineStr">
        <is>
          <t>Jumbo</t>
        </is>
      </c>
      <c r="B1844" s="2" t="n">
        <v>50773</v>
      </c>
      <c r="C1844" s="2" t="n">
        <v>47943</v>
      </c>
      <c r="D1844" s="2" t="inlineStr">
        <is>
          <t>Shampoo Pantene Pro V Pack X 2-restauración-acond Pantene 400ml-pck-un.-2</t>
        </is>
      </c>
      <c r="E1844" s="2" t="inlineStr">
        <is>
          <t>PANTENE</t>
        </is>
      </c>
      <c r="F1844" s="2" t="n">
        <v>103.39</v>
      </c>
      <c r="G1844" s="2" t="n">
        <v>103.39</v>
      </c>
      <c r="H1844" s="2" t="b">
        <v>0</v>
      </c>
      <c r="I1844" s="2" t="n">
        <v>400</v>
      </c>
      <c r="J1844" s="2" t="n">
        <v>0.2585</v>
      </c>
      <c r="K1844" s="2" t="inlineStr">
        <is>
          <t>&gt; Perfumería &gt; Cuidado Capilar &gt; Shampoo &gt;</t>
        </is>
      </c>
      <c r="L1844" s="2" t="inlineStr">
        <is>
          <t>tratamiento</t>
        </is>
      </c>
      <c r="M1844" s="2" t="inlineStr">
        <is>
          <t>profesional</t>
        </is>
      </c>
      <c r="N1844" s="2" t="inlineStr">
        <is>
          <t>general</t>
        </is>
      </c>
      <c r="O1844" s="2" t="inlineStr">
        <is>
          <t>https://www.jumbo.com.ar/shampoo-pantene-pro-v-pack-x-2/p</t>
        </is>
      </c>
    </row>
    <row r="1845">
      <c r="A1845" t="inlineStr">
        <is>
          <t>Jumbo</t>
        </is>
      </c>
      <c r="B1845" t="n">
        <v>49944</v>
      </c>
      <c r="C1845" t="n">
        <v>47107</v>
      </c>
      <c r="D1845" t="inlineStr">
        <is>
          <t>Shampoo Pantene Fuerza + Acondicionador 2 U</t>
        </is>
      </c>
      <c r="E1845" t="inlineStr">
        <is>
          <t>PANTENE</t>
        </is>
      </c>
      <c r="F1845" t="n">
        <v>188.45</v>
      </c>
      <c r="G1845" t="n">
        <v>15574</v>
      </c>
      <c r="H1845" t="b">
        <v>0</v>
      </c>
      <c r="I1845" t="inlineStr"/>
      <c r="J1845" t="inlineStr"/>
      <c r="K1845" t="inlineStr">
        <is>
          <t>&gt; Perfumería &gt; Cuidado Capilar &gt; Shampoo &gt;</t>
        </is>
      </c>
      <c r="L1845" t="inlineStr">
        <is>
          <t>acondicionador</t>
        </is>
      </c>
      <c r="M1845" t="inlineStr">
        <is>
          <t>estandar</t>
        </is>
      </c>
      <c r="N1845" t="inlineStr">
        <is>
          <t>general</t>
        </is>
      </c>
      <c r="O1845" t="inlineStr">
        <is>
          <t>https://www.jumbo.com.ar/shampoo-pantene-fuerza-acondicionador-2-u/p</t>
        </is>
      </c>
    </row>
    <row r="1846">
      <c r="A1846" s="2" t="inlineStr">
        <is>
          <t>Jumbo</t>
        </is>
      </c>
      <c r="B1846" s="2" t="n">
        <v>48483</v>
      </c>
      <c r="C1846" s="2" t="n">
        <v>45648</v>
      </c>
      <c r="D1846" s="2" t="inlineStr">
        <is>
          <t>Minikit Pantene Pro-v Expert Age Defy</t>
        </is>
      </c>
      <c r="E1846" s="2" t="inlineStr">
        <is>
          <t>PANTENE</t>
        </is>
      </c>
      <c r="F1846" s="2" t="n">
        <v>74.19</v>
      </c>
      <c r="G1846" s="2" t="n">
        <v>6131</v>
      </c>
      <c r="H1846" s="2" t="b">
        <v>0</v>
      </c>
      <c r="I1846" s="2" t="inlineStr"/>
      <c r="J1846" s="2" t="inlineStr"/>
      <c r="K1846" s="2" t="inlineStr">
        <is>
          <t>&gt; Perfumería &gt; Cuidado Capilar &gt; Shampoo &gt;</t>
        </is>
      </c>
      <c r="L1846" s="2" t="inlineStr">
        <is>
          <t>tratamiento</t>
        </is>
      </c>
      <c r="M1846" s="2" t="inlineStr">
        <is>
          <t>profesional</t>
        </is>
      </c>
      <c r="N1846" s="2" t="inlineStr">
        <is>
          <t>general</t>
        </is>
      </c>
      <c r="O1846" s="2" t="inlineStr">
        <is>
          <t>https://www.jumbo.com.ar/minikit-pantene-pro-v-expert-age-defy/p</t>
        </is>
      </c>
    </row>
    <row r="1847">
      <c r="A1847" t="inlineStr">
        <is>
          <t>Jumbo</t>
        </is>
      </c>
      <c r="B1847" t="n">
        <v>47712</v>
      </c>
      <c r="C1847" t="n">
        <v>44877</v>
      </c>
      <c r="D1847" t="inlineStr">
        <is>
          <t>Acondicionador Pantene Pro-v Liso Extremo 750 Ml</t>
        </is>
      </c>
      <c r="E1847" t="inlineStr">
        <is>
          <t>PANTENE</t>
        </is>
      </c>
      <c r="F1847" t="n">
        <v>457.55</v>
      </c>
      <c r="G1847" t="n">
        <v>37814</v>
      </c>
      <c r="H1847" t="b">
        <v>0</v>
      </c>
      <c r="I1847" t="n">
        <v>750</v>
      </c>
      <c r="J1847" t="n">
        <v>0.6101</v>
      </c>
      <c r="K1847" t="inlineStr">
        <is>
          <t>&gt; Perfumería &gt; Cuidado Capilar &gt; Acondicionador &gt;</t>
        </is>
      </c>
      <c r="L1847" t="inlineStr">
        <is>
          <t>acondicionador</t>
        </is>
      </c>
      <c r="M1847" t="inlineStr">
        <is>
          <t>profesional</t>
        </is>
      </c>
      <c r="N1847" t="inlineStr">
        <is>
          <t>general</t>
        </is>
      </c>
      <c r="O1847" t="inlineStr">
        <is>
          <t>https://www.jumbo.com.ar/acondicionador-pantene-pro-v-liso-extremo-750-ml/p</t>
        </is>
      </c>
    </row>
    <row r="1848">
      <c r="A1848" s="2" t="inlineStr">
        <is>
          <t>Jumbo</t>
        </is>
      </c>
      <c r="B1848" s="2" t="n">
        <v>47673</v>
      </c>
      <c r="C1848" s="2" t="n">
        <v>44837</v>
      </c>
      <c r="D1848" s="2" t="inlineStr">
        <is>
          <t>Acondicionador Pantene Pro-v Restauración 750 Ml</t>
        </is>
      </c>
      <c r="E1848" s="2" t="inlineStr">
        <is>
          <t>PANTENE</t>
        </is>
      </c>
      <c r="F1848" s="2" t="n">
        <v>457.55</v>
      </c>
      <c r="G1848" s="2" t="n">
        <v>37814</v>
      </c>
      <c r="H1848" s="2" t="b">
        <v>0</v>
      </c>
      <c r="I1848" s="2" t="n">
        <v>750</v>
      </c>
      <c r="J1848" s="2" t="n">
        <v>0.6101</v>
      </c>
      <c r="K1848" s="2" t="inlineStr">
        <is>
          <t>&gt; Perfumería &gt; Cuidado Capilar &gt; Acondicionador &gt;</t>
        </is>
      </c>
      <c r="L1848" s="2" t="inlineStr">
        <is>
          <t>acondicionador</t>
        </is>
      </c>
      <c r="M1848" s="2" t="inlineStr">
        <is>
          <t>profesional</t>
        </is>
      </c>
      <c r="N1848" s="2" t="inlineStr">
        <is>
          <t>general</t>
        </is>
      </c>
      <c r="O1848" s="2" t="inlineStr">
        <is>
          <t>https://www.jumbo.com.ar/acondicionador-pantene-pro-v-restauracion-750-ml/p</t>
        </is>
      </c>
    </row>
    <row r="1849">
      <c r="A1849" t="inlineStr">
        <is>
          <t>Jumbo</t>
        </is>
      </c>
      <c r="B1849" t="n">
        <v>47615</v>
      </c>
      <c r="C1849" t="n">
        <v>44780</v>
      </c>
      <c r="D1849" t="inlineStr">
        <is>
          <t>Shampoo Pantene Pro-v Restauración 700 Ml</t>
        </is>
      </c>
      <c r="E1849" t="inlineStr">
        <is>
          <t>PANTENE</t>
        </is>
      </c>
      <c r="F1849" t="n">
        <v>494.89</v>
      </c>
      <c r="G1849" t="n">
        <v>40900</v>
      </c>
      <c r="H1849" t="b">
        <v>0</v>
      </c>
      <c r="I1849" t="n">
        <v>700</v>
      </c>
      <c r="J1849" t="n">
        <v>0.707</v>
      </c>
      <c r="K1849" t="inlineStr">
        <is>
          <t>&gt; Perfumería &gt; Cuidado Capilar &gt; Shampoo &gt;</t>
        </is>
      </c>
      <c r="L1849" t="inlineStr">
        <is>
          <t>shampoo</t>
        </is>
      </c>
      <c r="M1849" t="inlineStr">
        <is>
          <t>profesional</t>
        </is>
      </c>
      <c r="N1849" t="inlineStr">
        <is>
          <t>general</t>
        </is>
      </c>
      <c r="O1849" t="inlineStr">
        <is>
          <t>https://www.jumbo.com.ar/shampoo-pantene-pro-v-restauracion-700-ml/p</t>
        </is>
      </c>
    </row>
    <row r="1850">
      <c r="A1850" s="2" t="inlineStr">
        <is>
          <t>Jumbo</t>
        </is>
      </c>
      <c r="B1850" s="2" t="n">
        <v>47545</v>
      </c>
      <c r="C1850" s="2" t="n">
        <v>44710</v>
      </c>
      <c r="D1850" s="2" t="inlineStr">
        <is>
          <t>Shampoo Pantene Pro-v Liso Extremo 750 Ml</t>
        </is>
      </c>
      <c r="E1850" s="2" t="inlineStr">
        <is>
          <t>PANTENE</t>
        </is>
      </c>
      <c r="F1850" s="2" t="n">
        <v>494.89</v>
      </c>
      <c r="G1850" s="2" t="n">
        <v>40900</v>
      </c>
      <c r="H1850" s="2" t="b">
        <v>0</v>
      </c>
      <c r="I1850" s="2" t="n">
        <v>750</v>
      </c>
      <c r="J1850" s="2" t="n">
        <v>0.6599</v>
      </c>
      <c r="K1850" s="2" t="inlineStr">
        <is>
          <t>&gt; Perfumería &gt; Cuidado Capilar &gt; Shampoo &gt;</t>
        </is>
      </c>
      <c r="L1850" s="2" t="inlineStr">
        <is>
          <t>shampoo</t>
        </is>
      </c>
      <c r="M1850" s="2" t="inlineStr">
        <is>
          <t>profesional</t>
        </is>
      </c>
      <c r="N1850" s="2" t="inlineStr">
        <is>
          <t>general</t>
        </is>
      </c>
      <c r="O1850" s="2" t="inlineStr">
        <is>
          <t>https://www.jumbo.com.ar/shampoo-pantene-pro-v-liso-extremo-750-ml/p</t>
        </is>
      </c>
    </row>
    <row r="1851">
      <c r="A1851" t="inlineStr">
        <is>
          <t>Jumbo</t>
        </is>
      </c>
      <c r="B1851" t="n">
        <v>47455</v>
      </c>
      <c r="C1851" t="n">
        <v>44620</v>
      </c>
      <c r="D1851" t="inlineStr">
        <is>
          <t>Shampoo Pantene Pro-v Hidratación 750 Ml</t>
        </is>
      </c>
      <c r="E1851" t="inlineStr">
        <is>
          <t>PANTENE</t>
        </is>
      </c>
      <c r="F1851" t="n">
        <v>494.89</v>
      </c>
      <c r="G1851" t="n">
        <v>40900</v>
      </c>
      <c r="H1851" t="b">
        <v>0</v>
      </c>
      <c r="I1851" t="n">
        <v>750</v>
      </c>
      <c r="J1851" t="n">
        <v>0.6599</v>
      </c>
      <c r="K1851" t="inlineStr">
        <is>
          <t>&gt; Perfumería &gt; Cuidado Capilar &gt; Shampoo &gt;</t>
        </is>
      </c>
      <c r="L1851" t="inlineStr">
        <is>
          <t>shampoo</t>
        </is>
      </c>
      <c r="M1851" t="inlineStr">
        <is>
          <t>profesional</t>
        </is>
      </c>
      <c r="N1851" t="inlineStr">
        <is>
          <t>seco_danado</t>
        </is>
      </c>
      <c r="O1851" t="inlineStr">
        <is>
          <t>https://www.jumbo.com.ar/shampoo-pantene-pro-v-hidratacion-750-ml-2/p</t>
        </is>
      </c>
    </row>
    <row r="1852">
      <c r="A1852" s="2" t="inlineStr">
        <is>
          <t>Jumbo</t>
        </is>
      </c>
      <c r="B1852" s="2" t="n">
        <v>47418</v>
      </c>
      <c r="C1852" s="2" t="n">
        <v>44583</v>
      </c>
      <c r="D1852" s="2" t="inlineStr">
        <is>
          <t>Shampoo Pantene Pro-v Liso Extremo 200 Ml</t>
        </is>
      </c>
      <c r="E1852" s="2" t="inlineStr">
        <is>
          <t>PANTENE</t>
        </is>
      </c>
      <c r="F1852" s="2" t="n">
        <v>173.39</v>
      </c>
      <c r="G1852" s="2" t="n">
        <v>14330</v>
      </c>
      <c r="H1852" s="2" t="b">
        <v>0</v>
      </c>
      <c r="I1852" s="2" t="n">
        <v>200</v>
      </c>
      <c r="J1852" s="2" t="n">
        <v>0.8669</v>
      </c>
      <c r="K1852" s="2" t="inlineStr">
        <is>
          <t>&gt; Perfumería &gt; Cuidado Capilar &gt; Shampoo &gt;</t>
        </is>
      </c>
      <c r="L1852" s="2" t="inlineStr">
        <is>
          <t>shampoo</t>
        </is>
      </c>
      <c r="M1852" s="2" t="inlineStr">
        <is>
          <t>profesional</t>
        </is>
      </c>
      <c r="N1852" s="2" t="inlineStr">
        <is>
          <t>general</t>
        </is>
      </c>
      <c r="O1852" s="2" t="inlineStr">
        <is>
          <t>https://www.jumbo.com.ar/shampoo-pantene-pro-v-liso-extremo-200-ml-2/p</t>
        </is>
      </c>
    </row>
    <row r="1853">
      <c r="A1853" t="inlineStr">
        <is>
          <t>Jumbo</t>
        </is>
      </c>
      <c r="B1853" t="n">
        <v>47385</v>
      </c>
      <c r="C1853" t="n">
        <v>44550</v>
      </c>
      <c r="D1853" t="inlineStr">
        <is>
          <t>Acondicionador Pantene Pro-v Brillo Extremo 750 Ml</t>
        </is>
      </c>
      <c r="E1853" t="inlineStr">
        <is>
          <t>PANTENE</t>
        </is>
      </c>
      <c r="F1853" t="n">
        <v>457.55</v>
      </c>
      <c r="G1853" t="n">
        <v>37814</v>
      </c>
      <c r="H1853" t="b">
        <v>0</v>
      </c>
      <c r="I1853" t="n">
        <v>750</v>
      </c>
      <c r="J1853" t="n">
        <v>0.6101</v>
      </c>
      <c r="K1853" t="inlineStr">
        <is>
          <t>&gt; Perfumería &gt; Cuidado Capilar &gt; Acondicionador &gt;</t>
        </is>
      </c>
      <c r="L1853" t="inlineStr">
        <is>
          <t>acondicionador</t>
        </is>
      </c>
      <c r="M1853" t="inlineStr">
        <is>
          <t>profesional</t>
        </is>
      </c>
      <c r="N1853" t="inlineStr">
        <is>
          <t>general</t>
        </is>
      </c>
      <c r="O1853" t="inlineStr">
        <is>
          <t>https://www.jumbo.com.ar/acondicionador-pantene-pro-v-brillo-extremo-750-ml/p</t>
        </is>
      </c>
    </row>
    <row r="1854">
      <c r="A1854" s="2" t="inlineStr">
        <is>
          <t>Jumbo</t>
        </is>
      </c>
      <c r="B1854" s="2" t="n">
        <v>47382</v>
      </c>
      <c r="C1854" s="2" t="n">
        <v>44547</v>
      </c>
      <c r="D1854" s="2" t="inlineStr">
        <is>
          <t>Acondicionador Pantene Pro-v Hidratación 200 Ml</t>
        </is>
      </c>
      <c r="E1854" s="2" t="inlineStr">
        <is>
          <t>PANTENE</t>
        </is>
      </c>
      <c r="F1854" s="2" t="n">
        <v>173.39</v>
      </c>
      <c r="G1854" s="2" t="n">
        <v>14330</v>
      </c>
      <c r="H1854" s="2" t="b">
        <v>0</v>
      </c>
      <c r="I1854" s="2" t="n">
        <v>200</v>
      </c>
      <c r="J1854" s="2" t="n">
        <v>0.8669</v>
      </c>
      <c r="K1854" s="2" t="inlineStr">
        <is>
          <t>&gt; Perfumería &gt; Cuidado Capilar &gt; Acondicionador &gt;</t>
        </is>
      </c>
      <c r="L1854" s="2" t="inlineStr">
        <is>
          <t>acondicionador</t>
        </is>
      </c>
      <c r="M1854" s="2" t="inlineStr">
        <is>
          <t>profesional</t>
        </is>
      </c>
      <c r="N1854" s="2" t="inlineStr">
        <is>
          <t>seco_danado</t>
        </is>
      </c>
      <c r="O1854" s="2" t="inlineStr">
        <is>
          <t>https://www.jumbo.com.ar/acondicionador-pantene-pro-v-hidratacion-200-ml-2/p</t>
        </is>
      </c>
    </row>
    <row r="1855">
      <c r="A1855" t="inlineStr">
        <is>
          <t>Jumbo</t>
        </is>
      </c>
      <c r="B1855" t="n">
        <v>47374</v>
      </c>
      <c r="C1855" t="n">
        <v>44539</v>
      </c>
      <c r="D1855" t="inlineStr">
        <is>
          <t>Acondicionador Pantene Pro-v Brillo Extremo 200 Ml</t>
        </is>
      </c>
      <c r="E1855" t="inlineStr">
        <is>
          <t>PANTENE</t>
        </is>
      </c>
      <c r="F1855" t="n">
        <v>173.39</v>
      </c>
      <c r="G1855" t="n">
        <v>14330</v>
      </c>
      <c r="H1855" t="b">
        <v>0</v>
      </c>
      <c r="I1855" t="n">
        <v>200</v>
      </c>
      <c r="J1855" t="n">
        <v>0.8669</v>
      </c>
      <c r="K1855" t="inlineStr">
        <is>
          <t>&gt; Perfumería &gt; Cuidado Capilar &gt; Acondicionador &gt;</t>
        </is>
      </c>
      <c r="L1855" t="inlineStr">
        <is>
          <t>acondicionador</t>
        </is>
      </c>
      <c r="M1855" t="inlineStr">
        <is>
          <t>profesional</t>
        </is>
      </c>
      <c r="N1855" t="inlineStr">
        <is>
          <t>general</t>
        </is>
      </c>
      <c r="O1855" t="inlineStr">
        <is>
          <t>https://www.jumbo.com.ar/acondicionador-pantene-pro-v-brillo-extremo-200-ml/p</t>
        </is>
      </c>
    </row>
    <row r="1856">
      <c r="A1856" s="2" t="inlineStr">
        <is>
          <t>Jumbo</t>
        </is>
      </c>
      <c r="B1856" s="2" t="n">
        <v>47358</v>
      </c>
      <c r="C1856" s="2" t="n">
        <v>44523</v>
      </c>
      <c r="D1856" s="2" t="inlineStr">
        <is>
          <t>Acondicionador Pantene Pro-v Liso Extremo 200 Ml</t>
        </is>
      </c>
      <c r="E1856" s="2" t="inlineStr">
        <is>
          <t>PANTENE</t>
        </is>
      </c>
      <c r="F1856" s="2" t="n">
        <v>173.39</v>
      </c>
      <c r="G1856" s="2" t="n">
        <v>14330</v>
      </c>
      <c r="H1856" s="2" t="b">
        <v>0</v>
      </c>
      <c r="I1856" s="2" t="n">
        <v>200</v>
      </c>
      <c r="J1856" s="2" t="n">
        <v>0.8669</v>
      </c>
      <c r="K1856" s="2" t="inlineStr">
        <is>
          <t>&gt; Perfumería &gt; Cuidado Capilar &gt; Acondicionador &gt;</t>
        </is>
      </c>
      <c r="L1856" s="2" t="inlineStr">
        <is>
          <t>acondicionador</t>
        </is>
      </c>
      <c r="M1856" s="2" t="inlineStr">
        <is>
          <t>profesional</t>
        </is>
      </c>
      <c r="N1856" s="2" t="inlineStr">
        <is>
          <t>general</t>
        </is>
      </c>
      <c r="O1856" s="2" t="inlineStr">
        <is>
          <t>https://www.jumbo.com.ar/acondicionador-pantene-pro-v-liso-extremo-200-ml-2/p</t>
        </is>
      </c>
    </row>
    <row r="1857">
      <c r="A1857" t="inlineStr">
        <is>
          <t>Jumbo</t>
        </is>
      </c>
      <c r="B1857" t="n">
        <v>47327</v>
      </c>
      <c r="C1857" t="n">
        <v>44492</v>
      </c>
      <c r="D1857" t="inlineStr">
        <is>
          <t>Acondicionador Pantene Pro-v Liso Extremo 400 Ml</t>
        </is>
      </c>
      <c r="E1857" t="inlineStr">
        <is>
          <t>PANTENE</t>
        </is>
      </c>
      <c r="F1857" t="n">
        <v>500</v>
      </c>
      <c r="G1857" t="n">
        <v>41322</v>
      </c>
      <c r="H1857" t="b">
        <v>0</v>
      </c>
      <c r="I1857" t="n">
        <v>400</v>
      </c>
      <c r="J1857" t="n">
        <v>1.25</v>
      </c>
      <c r="K1857" t="inlineStr">
        <is>
          <t>&gt; Perfumería &gt; Cuidado Capilar &gt; Acondicionador &gt;</t>
        </is>
      </c>
      <c r="L1857" t="inlineStr">
        <is>
          <t>acondicionador</t>
        </is>
      </c>
      <c r="M1857" t="inlineStr">
        <is>
          <t>profesional</t>
        </is>
      </c>
      <c r="N1857" t="inlineStr">
        <is>
          <t>general</t>
        </is>
      </c>
      <c r="O1857" t="inlineStr">
        <is>
          <t>https://www.jumbo.com.ar/acondicionador-pantene-pro-v-liso-extremo-400-ml/p</t>
        </is>
      </c>
    </row>
    <row r="1858">
      <c r="A1858" s="2" t="inlineStr">
        <is>
          <t>Jumbo</t>
        </is>
      </c>
      <c r="B1858" s="2" t="n">
        <v>47286</v>
      </c>
      <c r="C1858" s="2" t="n">
        <v>44451</v>
      </c>
      <c r="D1858" s="2" t="inlineStr">
        <is>
          <t>Acondicionador Pantene Pro-v Hidratación 400 Ml</t>
        </is>
      </c>
      <c r="E1858" s="2" t="inlineStr">
        <is>
          <t>PANTENE</t>
        </is>
      </c>
      <c r="F1858" s="2" t="n">
        <v>315.75</v>
      </c>
      <c r="G1858" s="2" t="n">
        <v>26095</v>
      </c>
      <c r="H1858" s="2" t="b">
        <v>0</v>
      </c>
      <c r="I1858" s="2" t="n">
        <v>400</v>
      </c>
      <c r="J1858" s="2" t="n">
        <v>0.7894</v>
      </c>
      <c r="K1858" s="2" t="inlineStr">
        <is>
          <t>&gt; Perfumería &gt; Cuidado Capilar &gt; Acondicionador &gt;</t>
        </is>
      </c>
      <c r="L1858" s="2" t="inlineStr">
        <is>
          <t>acondicionador</t>
        </is>
      </c>
      <c r="M1858" s="2" t="inlineStr">
        <is>
          <t>profesional</t>
        </is>
      </c>
      <c r="N1858" s="2" t="inlineStr">
        <is>
          <t>seco_danado</t>
        </is>
      </c>
      <c r="O1858" s="2" t="inlineStr">
        <is>
          <t>https://www.jumbo.com.ar/acondicionador-pantene-pro-v-hidratacion-400-ml-2/p</t>
        </is>
      </c>
    </row>
    <row r="1859">
      <c r="A1859" t="inlineStr">
        <is>
          <t>Jumbo</t>
        </is>
      </c>
      <c r="B1859" t="n">
        <v>47002</v>
      </c>
      <c r="C1859" t="n">
        <v>44166</v>
      </c>
      <c r="D1859" t="inlineStr">
        <is>
          <t>Shampoo Pantene Pro-v Brillo Extremo 200 Ml</t>
        </is>
      </c>
      <c r="E1859" t="inlineStr">
        <is>
          <t>PANTENE</t>
        </is>
      </c>
      <c r="F1859" t="n">
        <v>173.39</v>
      </c>
      <c r="G1859" t="n">
        <v>14330</v>
      </c>
      <c r="H1859" t="b">
        <v>0</v>
      </c>
      <c r="I1859" t="n">
        <v>200</v>
      </c>
      <c r="J1859" t="n">
        <v>0.8669</v>
      </c>
      <c r="K1859" t="inlineStr">
        <is>
          <t>&gt; Perfumería &gt; Cuidado Capilar &gt; Shampoo &gt;</t>
        </is>
      </c>
      <c r="L1859" t="inlineStr">
        <is>
          <t>shampoo</t>
        </is>
      </c>
      <c r="M1859" t="inlineStr">
        <is>
          <t>profesional</t>
        </is>
      </c>
      <c r="N1859" t="inlineStr">
        <is>
          <t>general</t>
        </is>
      </c>
      <c r="O1859" t="inlineStr">
        <is>
          <t>https://www.jumbo.com.ar/shampoo-pantene-pro-v-brillo-extremo-200-ml-2/p</t>
        </is>
      </c>
    </row>
    <row r="1860">
      <c r="A1860" s="2" t="inlineStr">
        <is>
          <t>Jumbo</t>
        </is>
      </c>
      <c r="B1860" s="2" t="n">
        <v>46990</v>
      </c>
      <c r="C1860" s="2" t="n">
        <v>44154</v>
      </c>
      <c r="D1860" s="2" t="inlineStr">
        <is>
          <t>Shampoo Pantene Pro-v Brillo Extremo 750 Ml</t>
        </is>
      </c>
      <c r="E1860" s="2" t="inlineStr">
        <is>
          <t>PANTENE</t>
        </is>
      </c>
      <c r="F1860" s="2" t="n">
        <v>494.89</v>
      </c>
      <c r="G1860" s="2" t="n">
        <v>40900</v>
      </c>
      <c r="H1860" s="2" t="b">
        <v>0</v>
      </c>
      <c r="I1860" s="2" t="n">
        <v>750</v>
      </c>
      <c r="J1860" s="2" t="n">
        <v>0.6599</v>
      </c>
      <c r="K1860" s="2" t="inlineStr">
        <is>
          <t>&gt; Perfumería &gt; Cuidado Capilar &gt; Shampoo &gt;</t>
        </is>
      </c>
      <c r="L1860" s="2" t="inlineStr">
        <is>
          <t>shampoo</t>
        </is>
      </c>
      <c r="M1860" s="2" t="inlineStr">
        <is>
          <t>profesional</t>
        </is>
      </c>
      <c r="N1860" s="2" t="inlineStr">
        <is>
          <t>general</t>
        </is>
      </c>
      <c r="O1860" s="2" t="inlineStr">
        <is>
          <t>https://www.jumbo.com.ar/shampoo-pantene-pro-v-brillo-extremo-750-ml/p</t>
        </is>
      </c>
    </row>
    <row r="1861">
      <c r="A1861" t="inlineStr">
        <is>
          <t>Jumbo</t>
        </is>
      </c>
      <c r="B1861" t="n">
        <v>42973</v>
      </c>
      <c r="C1861" t="n">
        <v>40144</v>
      </c>
      <c r="D1861" t="inlineStr">
        <is>
          <t>Acondicionador Pantene Reparación Rejuvenecedora 400 Ml</t>
        </is>
      </c>
      <c r="E1861" t="inlineStr">
        <is>
          <t>PANTENE</t>
        </is>
      </c>
      <c r="F1861" t="n">
        <v>315.75</v>
      </c>
      <c r="G1861" t="n">
        <v>26095</v>
      </c>
      <c r="H1861" t="b">
        <v>0</v>
      </c>
      <c r="I1861" t="n">
        <v>400</v>
      </c>
      <c r="J1861" t="n">
        <v>0.7894</v>
      </c>
      <c r="K1861" t="inlineStr">
        <is>
          <t>&gt; Perfumería &gt; Cuidado Capilar &gt; Acondicionador &gt;</t>
        </is>
      </c>
      <c r="L1861" t="inlineStr">
        <is>
          <t>acondicionador</t>
        </is>
      </c>
      <c r="M1861" t="inlineStr">
        <is>
          <t>estandar</t>
        </is>
      </c>
      <c r="N1861" t="inlineStr">
        <is>
          <t>general</t>
        </is>
      </c>
      <c r="O1861" t="inlineStr">
        <is>
          <t>https://www.jumbo.com.ar/acondicionador-pantene-reparacion-rejuvenecedora-400-ml/p</t>
        </is>
      </c>
    </row>
    <row r="1862">
      <c r="A1862" s="2" t="inlineStr">
        <is>
          <t>Jumbo</t>
        </is>
      </c>
      <c r="B1862" s="2" t="n">
        <v>42525</v>
      </c>
      <c r="C1862" s="2" t="n">
        <v>39694</v>
      </c>
      <c r="D1862" s="2" t="inlineStr">
        <is>
          <t>Ampolla Reparación Rejuvenecedora Pantene</t>
        </is>
      </c>
      <c r="E1862" s="2" t="inlineStr">
        <is>
          <t>PANTENE</t>
        </is>
      </c>
      <c r="F1862" s="2" t="n">
        <v>168.49</v>
      </c>
      <c r="G1862" s="2" t="n">
        <v>13925</v>
      </c>
      <c r="H1862" s="2" t="b">
        <v>0</v>
      </c>
      <c r="I1862" s="2" t="inlineStr"/>
      <c r="J1862" s="2" t="inlineStr"/>
      <c r="K1862" s="2" t="inlineStr">
        <is>
          <t>&gt; Perfumería &gt; Cuidado Capilar &gt; Reparación y Tratamientos &gt;</t>
        </is>
      </c>
      <c r="L1862" s="2" t="inlineStr">
        <is>
          <t>shampoo</t>
        </is>
      </c>
      <c r="M1862" s="2" t="inlineStr">
        <is>
          <t>estandar</t>
        </is>
      </c>
      <c r="N1862" s="2" t="inlineStr">
        <is>
          <t>general</t>
        </is>
      </c>
      <c r="O1862" s="2" t="inlineStr">
        <is>
          <t>https://www.jumbo.com.ar/ampolla-reparacion-rejuvenecedora-pantene/p</t>
        </is>
      </c>
    </row>
    <row r="1863">
      <c r="A1863" t="inlineStr">
        <is>
          <t>Jumbo</t>
        </is>
      </c>
      <c r="B1863" t="n">
        <v>42517</v>
      </c>
      <c r="C1863" t="n">
        <v>39687</v>
      </c>
      <c r="D1863" t="inlineStr">
        <is>
          <t>Acondicionador Pantene Reparación Rejuvenecedora 750 Ml</t>
        </is>
      </c>
      <c r="E1863" t="inlineStr">
        <is>
          <t>PANTENE</t>
        </is>
      </c>
      <c r="F1863" t="n">
        <v>140.43</v>
      </c>
      <c r="G1863" t="n">
        <v>11606</v>
      </c>
      <c r="H1863" t="b">
        <v>0</v>
      </c>
      <c r="I1863" t="n">
        <v>750</v>
      </c>
      <c r="J1863" t="n">
        <v>0.1872</v>
      </c>
      <c r="K1863" t="inlineStr">
        <is>
          <t>&gt; Perfumería &gt; Cuidado Capilar &gt; Acondicionador &gt;</t>
        </is>
      </c>
      <c r="L1863" t="inlineStr">
        <is>
          <t>acondicionador</t>
        </is>
      </c>
      <c r="M1863" t="inlineStr">
        <is>
          <t>estandar</t>
        </is>
      </c>
      <c r="N1863" t="inlineStr">
        <is>
          <t>general</t>
        </is>
      </c>
      <c r="O1863" t="inlineStr">
        <is>
          <t>https://www.jumbo.com.ar/acondicionador-pantene-reparacion-rejuvenecedora-750-ml/p</t>
        </is>
      </c>
    </row>
    <row r="1864">
      <c r="A1864" s="2" t="inlineStr">
        <is>
          <t>Jumbo</t>
        </is>
      </c>
      <c r="B1864" s="2" t="n">
        <v>42495</v>
      </c>
      <c r="C1864" s="2" t="n">
        <v>39665</v>
      </c>
      <c r="D1864" s="2" t="inlineStr">
        <is>
          <t>Shampoo Pantene Reparación Rejuvenecedora 750 Ml</t>
        </is>
      </c>
      <c r="E1864" s="2" t="inlineStr">
        <is>
          <t>PANTENE</t>
        </is>
      </c>
      <c r="F1864" s="2" t="n">
        <v>449.43</v>
      </c>
      <c r="G1864" s="2" t="n">
        <v>37143</v>
      </c>
      <c r="H1864" s="2" t="b">
        <v>0</v>
      </c>
      <c r="I1864" s="2" t="n">
        <v>750</v>
      </c>
      <c r="J1864" s="2" t="n">
        <v>0.5992</v>
      </c>
      <c r="K1864" s="2" t="inlineStr">
        <is>
          <t>&gt; Perfumería &gt; Cuidado Capilar &gt; Shampoo &gt;</t>
        </is>
      </c>
      <c r="L1864" s="2" t="inlineStr">
        <is>
          <t>shampoo</t>
        </is>
      </c>
      <c r="M1864" s="2" t="inlineStr">
        <is>
          <t>estandar</t>
        </is>
      </c>
      <c r="N1864" s="2" t="inlineStr">
        <is>
          <t>general</t>
        </is>
      </c>
      <c r="O1864" s="2" t="inlineStr">
        <is>
          <t>https://www.jumbo.com.ar/shampoo-pantene-reparacion-rejuvenecedora-750-ml/p</t>
        </is>
      </c>
    </row>
    <row r="1865">
      <c r="A1865" t="inlineStr">
        <is>
          <t>Jumbo</t>
        </is>
      </c>
      <c r="B1865" t="n">
        <v>42467</v>
      </c>
      <c r="C1865" t="n">
        <v>39637</v>
      </c>
      <c r="D1865" t="inlineStr">
        <is>
          <t>Shampoo Pantene Pro-v Reparación Rejuvenecedora 400ml</t>
        </is>
      </c>
      <c r="E1865" t="inlineStr">
        <is>
          <t>PANTENE</t>
        </is>
      </c>
      <c r="F1865" t="n">
        <v>189.89</v>
      </c>
      <c r="G1865" t="n">
        <v>15693</v>
      </c>
      <c r="H1865" t="b">
        <v>0</v>
      </c>
      <c r="I1865" t="n">
        <v>400</v>
      </c>
      <c r="J1865" t="n">
        <v>0.4747</v>
      </c>
      <c r="K1865" t="inlineStr">
        <is>
          <t>&gt; Perfumería &gt; Cuidado Capilar &gt; Shampoo &gt;</t>
        </is>
      </c>
      <c r="L1865" t="inlineStr">
        <is>
          <t>shampoo</t>
        </is>
      </c>
      <c r="M1865" t="inlineStr">
        <is>
          <t>profesional</t>
        </is>
      </c>
      <c r="N1865" t="inlineStr">
        <is>
          <t>general</t>
        </is>
      </c>
      <c r="O1865" t="inlineStr">
        <is>
          <t>https://www.jumbo.com.ar/shampoo-pantene-pro-v-reparacion-rejuvenecedora-400ml/p</t>
        </is>
      </c>
    </row>
    <row r="1866">
      <c r="A1866" s="2" t="inlineStr">
        <is>
          <t>Jumbo</t>
        </is>
      </c>
      <c r="B1866" s="2" t="n">
        <v>42403</v>
      </c>
      <c r="C1866" s="2" t="n">
        <v>39573</v>
      </c>
      <c r="D1866" s="2" t="inlineStr">
        <is>
          <t>Shampoo Pantene Reparación Rejuvenecedora 200 Ml</t>
        </is>
      </c>
      <c r="E1866" s="2" t="inlineStr">
        <is>
          <t>PANTENE</t>
        </is>
      </c>
      <c r="F1866" s="2" t="n">
        <v>46.19</v>
      </c>
      <c r="G1866" s="2" t="n">
        <v>3817</v>
      </c>
      <c r="H1866" s="2" t="b">
        <v>0</v>
      </c>
      <c r="I1866" s="2" t="n">
        <v>200</v>
      </c>
      <c r="J1866" s="2" t="n">
        <v>0.2309</v>
      </c>
      <c r="K1866" s="2" t="inlineStr">
        <is>
          <t>&gt; Perfumería &gt; Cuidado Capilar &gt; Shampoo &gt;</t>
        </is>
      </c>
      <c r="L1866" s="2" t="inlineStr">
        <is>
          <t>shampoo</t>
        </is>
      </c>
      <c r="M1866" s="2" t="inlineStr">
        <is>
          <t>estandar</t>
        </is>
      </c>
      <c r="N1866" s="2" t="inlineStr">
        <is>
          <t>general</t>
        </is>
      </c>
      <c r="O1866" s="2" t="inlineStr">
        <is>
          <t>https://www.jumbo.com.ar/shampoo-pantene-reparacion-rejuvenecedora-200-ml/p</t>
        </is>
      </c>
    </row>
    <row r="1867">
      <c r="A1867" t="inlineStr">
        <is>
          <t>Jumbo</t>
        </is>
      </c>
      <c r="B1867" t="n">
        <v>41886</v>
      </c>
      <c r="C1867" t="n">
        <v>39050</v>
      </c>
      <c r="D1867" t="inlineStr">
        <is>
          <t>Acondicionador Diario Pantene Pro-v 3 Minute Miracle Fuerza Y Reconstrucción 170 Ml</t>
        </is>
      </c>
      <c r="E1867" t="inlineStr">
        <is>
          <t>PANTENE</t>
        </is>
      </c>
      <c r="F1867" t="n">
        <v>379.59</v>
      </c>
      <c r="G1867" t="n">
        <v>31371</v>
      </c>
      <c r="H1867" t="b">
        <v>0</v>
      </c>
      <c r="I1867" t="n">
        <v>170</v>
      </c>
      <c r="J1867" t="n">
        <v>2.2329</v>
      </c>
      <c r="K1867" t="inlineStr">
        <is>
          <t>&gt; Perfumería &gt; Cuidado Capilar &gt; Acondicionador &gt;</t>
        </is>
      </c>
      <c r="L1867" t="inlineStr">
        <is>
          <t>acondicionador</t>
        </is>
      </c>
      <c r="M1867" t="inlineStr">
        <is>
          <t>profesional</t>
        </is>
      </c>
      <c r="N1867" t="inlineStr">
        <is>
          <t>general</t>
        </is>
      </c>
      <c r="O1867" t="inlineStr">
        <is>
          <t>https://www.jumbo.com.ar/acondicionador-diario-pantene-pro-v-3-minute-miracle-fuerza-y-reconstruccion-170-ml/p</t>
        </is>
      </c>
    </row>
    <row r="1868">
      <c r="A1868" s="2" t="inlineStr">
        <is>
          <t>Jumbo</t>
        </is>
      </c>
      <c r="B1868" s="2" t="n">
        <v>41452</v>
      </c>
      <c r="C1868" s="2" t="n">
        <v>38617</v>
      </c>
      <c r="D1868" s="2" t="inlineStr">
        <is>
          <t>Shampoo Pantene Pro-v Fuerza Y Reconstrucción 750 Ml</t>
        </is>
      </c>
      <c r="E1868" s="2" t="inlineStr">
        <is>
          <t>PANTENE</t>
        </is>
      </c>
      <c r="F1868" s="2" t="n">
        <v>549.15</v>
      </c>
      <c r="G1868" s="2" t="n">
        <v>45384</v>
      </c>
      <c r="H1868" s="2" t="b">
        <v>0</v>
      </c>
      <c r="I1868" s="2" t="n">
        <v>750</v>
      </c>
      <c r="J1868" s="2" t="n">
        <v>0.7322</v>
      </c>
      <c r="K1868" s="2" t="inlineStr">
        <is>
          <t>&gt; Perfumería &gt; Cuidado Capilar &gt; Shampoo &gt;</t>
        </is>
      </c>
      <c r="L1868" s="2" t="inlineStr">
        <is>
          <t>shampoo</t>
        </is>
      </c>
      <c r="M1868" s="2" t="inlineStr">
        <is>
          <t>profesional</t>
        </is>
      </c>
      <c r="N1868" s="2" t="inlineStr">
        <is>
          <t>general</t>
        </is>
      </c>
      <c r="O1868" s="2" t="inlineStr">
        <is>
          <t>https://www.jumbo.com.ar/shampoo-pantene-pro-v-fuerza-y-reconstruccion-750-ml/p</t>
        </is>
      </c>
    </row>
    <row r="1869">
      <c r="A1869" t="inlineStr">
        <is>
          <t>Jumbo</t>
        </is>
      </c>
      <c r="B1869" t="n">
        <v>41238</v>
      </c>
      <c r="C1869" t="n">
        <v>38403</v>
      </c>
      <c r="D1869" t="inlineStr">
        <is>
          <t>Shampoo Pantene Pro-v Fuerza Y Reconstrucción 400 Ml</t>
        </is>
      </c>
      <c r="E1869" t="inlineStr">
        <is>
          <t>PANTENE</t>
        </is>
      </c>
      <c r="F1869" t="n">
        <v>189.89</v>
      </c>
      <c r="G1869" t="n">
        <v>15693</v>
      </c>
      <c r="H1869" t="b">
        <v>0</v>
      </c>
      <c r="I1869" t="n">
        <v>400</v>
      </c>
      <c r="J1869" t="n">
        <v>0.4747</v>
      </c>
      <c r="K1869" t="inlineStr">
        <is>
          <t>&gt; Perfumería &gt; Cuidado Capilar &gt; Shampoo &gt;</t>
        </is>
      </c>
      <c r="L1869" t="inlineStr">
        <is>
          <t>shampoo</t>
        </is>
      </c>
      <c r="M1869" t="inlineStr">
        <is>
          <t>profesional</t>
        </is>
      </c>
      <c r="N1869" t="inlineStr">
        <is>
          <t>general</t>
        </is>
      </c>
      <c r="O1869" t="inlineStr">
        <is>
          <t>https://www.jumbo.com.ar/shampoo-pantene-pro-v-fuerza-y-reconstruccion-400-ml/p</t>
        </is>
      </c>
    </row>
    <row r="1870">
      <c r="A1870" s="2" t="inlineStr">
        <is>
          <t>Jumbo</t>
        </is>
      </c>
      <c r="B1870" s="2" t="n">
        <v>41190</v>
      </c>
      <c r="C1870" s="2" t="n">
        <v>38355</v>
      </c>
      <c r="D1870" s="2" t="inlineStr">
        <is>
          <t>Acondicionador Pantene Pro-v Fuerza Y Reconstrucción 400 Ml</t>
        </is>
      </c>
      <c r="E1870" s="2" t="inlineStr">
        <is>
          <t>PANTENE</t>
        </is>
      </c>
      <c r="F1870" s="2" t="n">
        <v>315.75</v>
      </c>
      <c r="G1870" s="2" t="n">
        <v>26095</v>
      </c>
      <c r="H1870" s="2" t="b">
        <v>0</v>
      </c>
      <c r="I1870" s="2" t="n">
        <v>400</v>
      </c>
      <c r="J1870" s="2" t="n">
        <v>0.7894</v>
      </c>
      <c r="K1870" s="2" t="inlineStr">
        <is>
          <t>&gt; Perfumería &gt; Cuidado Capilar &gt; Acondicionador &gt;</t>
        </is>
      </c>
      <c r="L1870" s="2" t="inlineStr">
        <is>
          <t>acondicionador</t>
        </is>
      </c>
      <c r="M1870" s="2" t="inlineStr">
        <is>
          <t>profesional</t>
        </is>
      </c>
      <c r="N1870" s="2" t="inlineStr">
        <is>
          <t>general</t>
        </is>
      </c>
      <c r="O1870" s="2" t="inlineStr">
        <is>
          <t>https://www.jumbo.com.ar/acondicionador-pantene-pro-v-fuerza-y-reconstruccion-400-ml/p</t>
        </is>
      </c>
    </row>
    <row r="1871">
      <c r="A1871" t="inlineStr">
        <is>
          <t>Jumbo</t>
        </is>
      </c>
      <c r="B1871" t="n">
        <v>41029</v>
      </c>
      <c r="C1871" t="n">
        <v>38194</v>
      </c>
      <c r="D1871" t="inlineStr">
        <is>
          <t>Shampoo Pantene Pro-v Fuerza Y Reconstrucción 200 Ml</t>
        </is>
      </c>
      <c r="E1871" t="inlineStr">
        <is>
          <t>PANTENE</t>
        </is>
      </c>
      <c r="F1871" t="n">
        <v>192.39</v>
      </c>
      <c r="G1871" t="n">
        <v>15900</v>
      </c>
      <c r="H1871" t="b">
        <v>0</v>
      </c>
      <c r="I1871" t="n">
        <v>200</v>
      </c>
      <c r="J1871" t="n">
        <v>0.9619</v>
      </c>
      <c r="K1871" t="inlineStr">
        <is>
          <t>&gt; Perfumería &gt; Cuidado Capilar &gt; Shampoo &gt;</t>
        </is>
      </c>
      <c r="L1871" t="inlineStr">
        <is>
          <t>shampoo</t>
        </is>
      </c>
      <c r="M1871" t="inlineStr">
        <is>
          <t>profesional</t>
        </is>
      </c>
      <c r="N1871" t="inlineStr">
        <is>
          <t>general</t>
        </is>
      </c>
      <c r="O1871" t="inlineStr">
        <is>
          <t>https://www.jumbo.com.ar/shampoo-pantene-pro-v-fuerza-y-reconstruccion-200-ml/p</t>
        </is>
      </c>
    </row>
    <row r="1872">
      <c r="A1872" s="2" t="inlineStr">
        <is>
          <t>Jumbo</t>
        </is>
      </c>
      <c r="B1872" s="2" t="n">
        <v>41011</v>
      </c>
      <c r="C1872" s="2" t="n">
        <v>38176</v>
      </c>
      <c r="D1872" s="2" t="inlineStr">
        <is>
          <t>Acondicionador Pantene Pro-v Fuerza Y Reconstrucción 200 Ml</t>
        </is>
      </c>
      <c r="E1872" s="2" t="inlineStr">
        <is>
          <t>PANTENE</t>
        </is>
      </c>
      <c r="F1872" s="2" t="n">
        <v>201.99</v>
      </c>
      <c r="G1872" s="2" t="n">
        <v>16693</v>
      </c>
      <c r="H1872" s="2" t="b">
        <v>0</v>
      </c>
      <c r="I1872" s="2" t="n">
        <v>200</v>
      </c>
      <c r="J1872" s="2" t="n">
        <v>1.01</v>
      </c>
      <c r="K1872" s="2" t="inlineStr">
        <is>
          <t>&gt; Perfumería &gt; Cuidado Capilar &gt; Acondicionador &gt;</t>
        </is>
      </c>
      <c r="L1872" s="2" t="inlineStr">
        <is>
          <t>acondicionador</t>
        </is>
      </c>
      <c r="M1872" s="2" t="inlineStr">
        <is>
          <t>profesional</t>
        </is>
      </c>
      <c r="N1872" s="2" t="inlineStr">
        <is>
          <t>general</t>
        </is>
      </c>
      <c r="O1872" s="2" t="inlineStr">
        <is>
          <t>https://www.jumbo.com.ar/acondicionador-pantene-pro-v-fuerza-y-reconstruccion-200-ml/p</t>
        </is>
      </c>
    </row>
    <row r="1873">
      <c r="A1873" t="inlineStr">
        <is>
          <t>Jumbo</t>
        </is>
      </c>
      <c r="B1873" t="n">
        <v>41005</v>
      </c>
      <c r="C1873" t="n">
        <v>38170</v>
      </c>
      <c r="D1873" t="inlineStr">
        <is>
          <t>Acondicionador Pantene Pro-v Fuerza Y Reconstrucción 750 Ml</t>
        </is>
      </c>
      <c r="E1873" t="inlineStr">
        <is>
          <t>PANTENE</t>
        </is>
      </c>
      <c r="F1873" t="n">
        <v>533.15</v>
      </c>
      <c r="G1873" t="n">
        <v>44062</v>
      </c>
      <c r="H1873" t="b">
        <v>0</v>
      </c>
      <c r="I1873" t="n">
        <v>750</v>
      </c>
      <c r="J1873" t="n">
        <v>0.7109</v>
      </c>
      <c r="K1873" t="inlineStr">
        <is>
          <t>&gt; Perfumería &gt; Cuidado Capilar &gt; Acondicionador &gt;</t>
        </is>
      </c>
      <c r="L1873" t="inlineStr">
        <is>
          <t>acondicionador</t>
        </is>
      </c>
      <c r="M1873" t="inlineStr">
        <is>
          <t>profesional</t>
        </is>
      </c>
      <c r="N1873" t="inlineStr">
        <is>
          <t>general</t>
        </is>
      </c>
      <c r="O1873" t="inlineStr">
        <is>
          <t>https://www.jumbo.com.ar/acondicionador-pantene-pro-v-fuerza-y-reconstruccion-750-ml/p</t>
        </is>
      </c>
    </row>
    <row r="1874">
      <c r="A1874" s="2" t="inlineStr">
        <is>
          <t>Jumbo</t>
        </is>
      </c>
      <c r="B1874" s="2" t="n">
        <v>40260</v>
      </c>
      <c r="C1874" s="2" t="n">
        <v>37425</v>
      </c>
      <c r="D1874" s="2" t="inlineStr">
        <is>
          <t>Crema para Peinar Restauración 300 Ml Pantene</t>
        </is>
      </c>
      <c r="E1874" s="2" t="inlineStr">
        <is>
          <t>PANTENE</t>
        </is>
      </c>
      <c r="F1874" s="2" t="n">
        <v>8750</v>
      </c>
      <c r="G1874" s="2" t="n">
        <v>723141</v>
      </c>
      <c r="H1874" s="2" t="b">
        <v>0</v>
      </c>
      <c r="I1874" s="2" t="n">
        <v>300</v>
      </c>
      <c r="J1874" s="2" t="n">
        <v>29.1667</v>
      </c>
      <c r="K1874" s="2" t="inlineStr">
        <is>
          <t>&gt; Perfumería &gt; Cuidado Capilar &gt; Reparación y Tratamientos &gt;</t>
        </is>
      </c>
      <c r="L1874" s="2" t="inlineStr">
        <is>
          <t>shampoo</t>
        </is>
      </c>
      <c r="M1874" s="2" t="inlineStr">
        <is>
          <t>estandar</t>
        </is>
      </c>
      <c r="N1874" s="2" t="inlineStr">
        <is>
          <t>general</t>
        </is>
      </c>
      <c r="O1874" s="2" t="inlineStr">
        <is>
          <t>https://www.jumbo.com.ar/crema-para-peinar-pantene-pro-v-restauracion-300-ml/p</t>
        </is>
      </c>
    </row>
    <row r="1875">
      <c r="A1875" t="inlineStr">
        <is>
          <t>Jumbo</t>
        </is>
      </c>
      <c r="B1875" t="n">
        <v>36596</v>
      </c>
      <c r="C1875" t="n">
        <v>33756</v>
      </c>
      <c r="D1875" t="inlineStr">
        <is>
          <t>Shampoo Pantene Pro-v Liso Y Sedoso 400 Ml</t>
        </is>
      </c>
      <c r="E1875" t="inlineStr">
        <is>
          <t>PANTENE</t>
        </is>
      </c>
      <c r="F1875" t="n">
        <v>189.89</v>
      </c>
      <c r="G1875" t="n">
        <v>15693</v>
      </c>
      <c r="H1875" t="b">
        <v>0</v>
      </c>
      <c r="I1875" t="n">
        <v>400</v>
      </c>
      <c r="J1875" t="n">
        <v>0.4747</v>
      </c>
      <c r="K1875" t="inlineStr">
        <is>
          <t>&gt; Perfumería &gt; Cuidado Capilar &gt; Shampoo &gt;</t>
        </is>
      </c>
      <c r="L1875" t="inlineStr">
        <is>
          <t>shampoo</t>
        </is>
      </c>
      <c r="M1875" t="inlineStr">
        <is>
          <t>profesional</t>
        </is>
      </c>
      <c r="N1875" t="inlineStr">
        <is>
          <t>general</t>
        </is>
      </c>
      <c r="O1875" t="inlineStr">
        <is>
          <t>https://www.jumbo.com.ar/shampoo-pantene-pro-v-liso-y-sedoso-400-ml/p</t>
        </is>
      </c>
    </row>
    <row r="1876">
      <c r="A1876" s="2" t="inlineStr">
        <is>
          <t>Jumbo</t>
        </is>
      </c>
      <c r="B1876" s="2" t="n">
        <v>36532</v>
      </c>
      <c r="C1876" s="2" t="n">
        <v>33692</v>
      </c>
      <c r="D1876" s="2" t="inlineStr">
        <is>
          <t>Shampoo Pantene Pro-v Liso Y Sedoso 200 Ml</t>
        </is>
      </c>
      <c r="E1876" s="2" t="inlineStr">
        <is>
          <t>PANTENE</t>
        </is>
      </c>
      <c r="F1876" s="2" t="n">
        <v>173.39</v>
      </c>
      <c r="G1876" s="2" t="n">
        <v>14330</v>
      </c>
      <c r="H1876" s="2" t="b">
        <v>0</v>
      </c>
      <c r="I1876" s="2" t="n">
        <v>200</v>
      </c>
      <c r="J1876" s="2" t="n">
        <v>0.8669</v>
      </c>
      <c r="K1876" s="2" t="inlineStr">
        <is>
          <t>&gt; Perfumería &gt; Cuidado Capilar &gt; Shampoo &gt;</t>
        </is>
      </c>
      <c r="L1876" s="2" t="inlineStr">
        <is>
          <t>shampoo</t>
        </is>
      </c>
      <c r="M1876" s="2" t="inlineStr">
        <is>
          <t>profesional</t>
        </is>
      </c>
      <c r="N1876" s="2" t="inlineStr">
        <is>
          <t>general</t>
        </is>
      </c>
      <c r="O1876" s="2" t="inlineStr">
        <is>
          <t>https://www.jumbo.com.ar/shampoo-pantene-pro-v-liso-y-sedoso-200-ml/p</t>
        </is>
      </c>
    </row>
    <row r="1877">
      <c r="A1877" t="inlineStr">
        <is>
          <t>Jumbo</t>
        </is>
      </c>
      <c r="B1877" t="n">
        <v>36504</v>
      </c>
      <c r="C1877" t="n">
        <v>33664</v>
      </c>
      <c r="D1877" t="inlineStr">
        <is>
          <t>Acondicionador Pantene Pro-v Liso Y Sedoso 200 Ml</t>
        </is>
      </c>
      <c r="E1877" t="inlineStr">
        <is>
          <t>PANTENE</t>
        </is>
      </c>
      <c r="F1877" t="n">
        <v>170.29</v>
      </c>
      <c r="G1877" t="n">
        <v>14074</v>
      </c>
      <c r="H1877" t="b">
        <v>0</v>
      </c>
      <c r="I1877" t="n">
        <v>200</v>
      </c>
      <c r="J1877" t="n">
        <v>0.8514</v>
      </c>
      <c r="K1877" t="inlineStr">
        <is>
          <t>&gt; Perfumería &gt; Cuidado Capilar &gt; Acondicionador &gt;</t>
        </is>
      </c>
      <c r="L1877" t="inlineStr">
        <is>
          <t>acondicionador</t>
        </is>
      </c>
      <c r="M1877" t="inlineStr">
        <is>
          <t>profesional</t>
        </is>
      </c>
      <c r="N1877" t="inlineStr">
        <is>
          <t>general</t>
        </is>
      </c>
      <c r="O1877" t="inlineStr">
        <is>
          <t>https://www.jumbo.com.ar/acondicionador-pantene-pro-v-liso-y-sedoso-200-ml/p</t>
        </is>
      </c>
    </row>
    <row r="1878">
      <c r="A1878" s="2" t="inlineStr">
        <is>
          <t>Jumbo</t>
        </is>
      </c>
      <c r="B1878" s="2" t="n">
        <v>30164</v>
      </c>
      <c r="C1878" s="2" t="n">
        <v>27325</v>
      </c>
      <c r="D1878" s="2" t="inlineStr">
        <is>
          <t>Acondicionador Pantene Pro-v Expert Collection Age Defy 250 Ml</t>
        </is>
      </c>
      <c r="E1878" s="2" t="inlineStr">
        <is>
          <t>PANTENE</t>
        </is>
      </c>
      <c r="F1878" s="2" t="n">
        <v>291.93</v>
      </c>
      <c r="G1878" s="2" t="n">
        <v>24126</v>
      </c>
      <c r="H1878" s="2" t="b">
        <v>0</v>
      </c>
      <c r="I1878" s="2" t="n">
        <v>250</v>
      </c>
      <c r="J1878" s="2" t="n">
        <v>1.1677</v>
      </c>
      <c r="K1878" s="2" t="inlineStr">
        <is>
          <t>&gt; Perfumería &gt; Cuidado Capilar &gt; Acondicionador &gt;</t>
        </is>
      </c>
      <c r="L1878" s="2" t="inlineStr">
        <is>
          <t>acondicionador</t>
        </is>
      </c>
      <c r="M1878" s="2" t="inlineStr">
        <is>
          <t>profesional</t>
        </is>
      </c>
      <c r="N1878" s="2" t="inlineStr">
        <is>
          <t>general</t>
        </is>
      </c>
      <c r="O1878" s="2" t="inlineStr">
        <is>
          <t>https://www.jumbo.com.ar/acondicionador-pantene-pro-v-expert-collection-age-defy-250-ml/p</t>
        </is>
      </c>
    </row>
    <row r="1879">
      <c r="A1879" t="inlineStr">
        <is>
          <t>Jumbo</t>
        </is>
      </c>
      <c r="B1879" t="n">
        <v>25404</v>
      </c>
      <c r="C1879" t="n">
        <v>22564</v>
      </c>
      <c r="D1879" t="inlineStr">
        <is>
          <t>Acondicionador Diario Pantene Pro-v 3 Minute Miracle Liso Extremo 170 Ml</t>
        </is>
      </c>
      <c r="E1879" t="inlineStr">
        <is>
          <t>PANTENE</t>
        </is>
      </c>
      <c r="F1879" t="n">
        <v>379.59</v>
      </c>
      <c r="G1879" t="n">
        <v>31371</v>
      </c>
      <c r="H1879" t="b">
        <v>0</v>
      </c>
      <c r="I1879" t="n">
        <v>170</v>
      </c>
      <c r="J1879" t="n">
        <v>2.2329</v>
      </c>
      <c r="K1879" t="inlineStr">
        <is>
          <t>&gt; Perfumería &gt; Cuidado Capilar &gt; Acondicionador &gt;</t>
        </is>
      </c>
      <c r="L1879" t="inlineStr">
        <is>
          <t>acondicionador</t>
        </is>
      </c>
      <c r="M1879" t="inlineStr">
        <is>
          <t>profesional</t>
        </is>
      </c>
      <c r="N1879" t="inlineStr">
        <is>
          <t>general</t>
        </is>
      </c>
      <c r="O1879" t="inlineStr">
        <is>
          <t>https://www.jumbo.com.ar/acondicionador-diario-pantene-pro-v-3-minute-miracle-liso-extremo-170-ml/p</t>
        </is>
      </c>
    </row>
    <row r="1880">
      <c r="A1880" s="2" t="inlineStr">
        <is>
          <t>Jumbo</t>
        </is>
      </c>
      <c r="B1880" s="2" t="n">
        <v>25092</v>
      </c>
      <c r="C1880" s="2" t="n">
        <v>22253</v>
      </c>
      <c r="D1880" s="2" t="inlineStr">
        <is>
          <t>Acondicionador Diario Pantene Pro-v 3 Minute Miracle Rizos Definidos 170 Ml</t>
        </is>
      </c>
      <c r="E1880" s="2" t="inlineStr">
        <is>
          <t>PANTENE</t>
        </is>
      </c>
      <c r="F1880" s="2" t="n">
        <v>334.69</v>
      </c>
      <c r="G1880" s="2" t="n">
        <v>27660</v>
      </c>
      <c r="H1880" s="2" t="b">
        <v>0</v>
      </c>
      <c r="I1880" s="2" t="n">
        <v>170</v>
      </c>
      <c r="J1880" s="2" t="n">
        <v>1.9688</v>
      </c>
      <c r="K1880" s="2" t="inlineStr">
        <is>
          <t>&gt; Perfumería &gt; Cuidado Capilar &gt; Acondicionador &gt;</t>
        </is>
      </c>
      <c r="L1880" s="2" t="inlineStr">
        <is>
          <t>acondicionador</t>
        </is>
      </c>
      <c r="M1880" s="2" t="inlineStr">
        <is>
          <t>profesional</t>
        </is>
      </c>
      <c r="N1880" s="2" t="inlineStr">
        <is>
          <t>rizado</t>
        </is>
      </c>
      <c r="O1880" s="2" t="inlineStr">
        <is>
          <t>https://www.jumbo.com.ar/acondicionador-diario-pantene-pro-v-3-minute-miracle-rizos-definidos-170-ml/p</t>
        </is>
      </c>
    </row>
    <row r="1881">
      <c r="A1881" t="inlineStr">
        <is>
          <t>Jumbo</t>
        </is>
      </c>
      <c r="B1881" t="n">
        <v>23992</v>
      </c>
      <c r="C1881" t="n">
        <v>21154</v>
      </c>
      <c r="D1881" t="inlineStr">
        <is>
          <t>Tratamiento Intensivo Pantene Miracles Pelo Mixto 300 Ml</t>
        </is>
      </c>
      <c r="E1881" t="inlineStr">
        <is>
          <t>PANTENE</t>
        </is>
      </c>
      <c r="F1881" t="n">
        <v>7950</v>
      </c>
      <c r="G1881" t="n">
        <v>657025</v>
      </c>
      <c r="H1881" t="b">
        <v>0</v>
      </c>
      <c r="I1881" t="n">
        <v>300</v>
      </c>
      <c r="J1881" t="n">
        <v>26.5</v>
      </c>
      <c r="K1881" t="inlineStr">
        <is>
          <t>&gt; Perfumería &gt; Cuidado Capilar &gt; Reparación y Tratamientos &gt;</t>
        </is>
      </c>
      <c r="L1881" t="inlineStr">
        <is>
          <t>tratamiento</t>
        </is>
      </c>
      <c r="M1881" t="inlineStr">
        <is>
          <t>estandar</t>
        </is>
      </c>
      <c r="N1881" t="inlineStr">
        <is>
          <t>general</t>
        </is>
      </c>
      <c r="O1881" t="inlineStr">
        <is>
          <t>https://www.jumbo.com.ar/tratamiento-intensivo-pantene-miracles-pelo-mixto-300-ml/p</t>
        </is>
      </c>
    </row>
    <row r="1882">
      <c r="A1882" s="2" t="inlineStr">
        <is>
          <t>Jumbo</t>
        </is>
      </c>
      <c r="B1882" s="2" t="n">
        <v>23986</v>
      </c>
      <c r="C1882" s="2" t="n">
        <v>21148</v>
      </c>
      <c r="D1882" s="2" t="inlineStr">
        <is>
          <t>Tratamiento Intensivo Pelo Rizado Pantene Pro-v Miracles Rizos Definidos E Hidratados 300 Ml</t>
        </is>
      </c>
      <c r="E1882" s="2" t="inlineStr">
        <is>
          <t>PANTENE</t>
        </is>
      </c>
      <c r="F1882" s="2" t="n">
        <v>375.69</v>
      </c>
      <c r="G1882" s="2" t="n">
        <v>31049</v>
      </c>
      <c r="H1882" s="2" t="b">
        <v>0</v>
      </c>
      <c r="I1882" s="2" t="n">
        <v>300</v>
      </c>
      <c r="J1882" s="2" t="n">
        <v>1.2523</v>
      </c>
      <c r="K1882" s="2" t="inlineStr">
        <is>
          <t>&gt; Perfumería &gt; Cuidado Capilar &gt; Reparación y Tratamientos &gt;</t>
        </is>
      </c>
      <c r="L1882" s="2" t="inlineStr">
        <is>
          <t>tratamiento</t>
        </is>
      </c>
      <c r="M1882" s="2" t="inlineStr">
        <is>
          <t>profesional</t>
        </is>
      </c>
      <c r="N1882" s="2" t="inlineStr">
        <is>
          <t>rizado</t>
        </is>
      </c>
      <c r="O1882" s="2" t="inlineStr">
        <is>
          <t>https://www.jumbo.com.ar/tratamiento-intensivo-pelo-rizado-pantene-pro-v-miracles-rizos-definidos-e-hidratados-300-ml/p</t>
        </is>
      </c>
    </row>
    <row r="1883">
      <c r="A1883" t="inlineStr">
        <is>
          <t>Jumbo</t>
        </is>
      </c>
      <c r="B1883" t="n">
        <v>23951</v>
      </c>
      <c r="C1883" t="n">
        <v>21113</v>
      </c>
      <c r="D1883" t="inlineStr">
        <is>
          <t>Tratamiento Intensivo Pelo Dañado Y Teñido Pantene Pro-v Miracles Anti-frizz 300 Ml</t>
        </is>
      </c>
      <c r="E1883" t="inlineStr">
        <is>
          <t>PANTENE</t>
        </is>
      </c>
      <c r="F1883" t="n">
        <v>7400</v>
      </c>
      <c r="G1883" t="n">
        <v>611570</v>
      </c>
      <c r="H1883" t="b">
        <v>0</v>
      </c>
      <c r="I1883" t="n">
        <v>300</v>
      </c>
      <c r="J1883" t="n">
        <v>24.6667</v>
      </c>
      <c r="K1883" t="inlineStr">
        <is>
          <t>&gt; Perfumería &gt; Cuidado Capilar &gt; Reparación y Tratamientos &gt;</t>
        </is>
      </c>
      <c r="L1883" t="inlineStr">
        <is>
          <t>tratamiento</t>
        </is>
      </c>
      <c r="M1883" t="inlineStr">
        <is>
          <t>profesional</t>
        </is>
      </c>
      <c r="N1883" t="inlineStr">
        <is>
          <t>tratado</t>
        </is>
      </c>
      <c r="O1883" t="inlineStr">
        <is>
          <t>https://www.jumbo.com.ar/tratamiento-intensivo-pelo-danado-y-tenido-pantene-pro-v-miracles-anti-frizz-300-ml/p</t>
        </is>
      </c>
    </row>
    <row r="1884">
      <c r="A1884" s="2" t="inlineStr">
        <is>
          <t>Jumbo</t>
        </is>
      </c>
      <c r="B1884" s="2" t="n">
        <v>19762</v>
      </c>
      <c r="C1884" s="2" t="n">
        <v>16933</v>
      </c>
      <c r="D1884" s="2" t="inlineStr">
        <is>
          <t>Crema Para Peinar Pantene Pro-v Liso Extremo 300 Ml</t>
        </is>
      </c>
      <c r="E1884" s="2" t="inlineStr">
        <is>
          <t>PANTENE</t>
        </is>
      </c>
      <c r="F1884" s="2" t="n">
        <v>367.09</v>
      </c>
      <c r="G1884" s="2" t="n">
        <v>30338</v>
      </c>
      <c r="H1884" s="2" t="b">
        <v>0</v>
      </c>
      <c r="I1884" s="2" t="n">
        <v>300</v>
      </c>
      <c r="J1884" s="2" t="n">
        <v>1.2236</v>
      </c>
      <c r="K1884" s="2" t="inlineStr">
        <is>
          <t>&gt; Perfumería &gt; Cuidado Capilar &gt; Reparación y Tratamientos &gt;</t>
        </is>
      </c>
      <c r="L1884" s="2" t="inlineStr">
        <is>
          <t>shampoo</t>
        </is>
      </c>
      <c r="M1884" s="2" t="inlineStr">
        <is>
          <t>profesional</t>
        </is>
      </c>
      <c r="N1884" s="2" t="inlineStr">
        <is>
          <t>general</t>
        </is>
      </c>
      <c r="O1884" s="2" t="inlineStr">
        <is>
          <t>https://www.jumbo.com.ar/crema-para-peinar-pantene-pro-v-liso-extremo-300-ml/p</t>
        </is>
      </c>
    </row>
    <row r="1885">
      <c r="A1885" t="inlineStr">
        <is>
          <t>Jumbo</t>
        </is>
      </c>
      <c r="B1885" t="n">
        <v>19739</v>
      </c>
      <c r="C1885" t="n">
        <v>16910</v>
      </c>
      <c r="D1885" t="inlineStr">
        <is>
          <t>Crema Para Peinar Pantene Rizos Definidos 300 Ml</t>
        </is>
      </c>
      <c r="E1885" t="inlineStr">
        <is>
          <t>PANTENE</t>
        </is>
      </c>
      <c r="F1885" t="n">
        <v>389.17</v>
      </c>
      <c r="G1885" t="n">
        <v>32163</v>
      </c>
      <c r="H1885" t="b">
        <v>0</v>
      </c>
      <c r="I1885" t="n">
        <v>300</v>
      </c>
      <c r="J1885" t="n">
        <v>1.2972</v>
      </c>
      <c r="K1885" t="inlineStr">
        <is>
          <t>&gt; Perfumería &gt; Cuidado Capilar &gt; Reparación y Tratamientos &gt;</t>
        </is>
      </c>
      <c r="L1885" t="inlineStr">
        <is>
          <t>shampoo</t>
        </is>
      </c>
      <c r="M1885" t="inlineStr">
        <is>
          <t>estandar</t>
        </is>
      </c>
      <c r="N1885" t="inlineStr">
        <is>
          <t>rizado</t>
        </is>
      </c>
      <c r="O1885" t="inlineStr">
        <is>
          <t>https://www.jumbo.com.ar/crema-para-peinar-pantene-rizos-definidos-300-ml/p</t>
        </is>
      </c>
    </row>
    <row r="1886">
      <c r="A1886" s="2" t="inlineStr">
        <is>
          <t>Jumbo</t>
        </is>
      </c>
      <c r="B1886" s="2" t="n">
        <v>14117</v>
      </c>
      <c r="C1886" s="2" t="n">
        <v>11301</v>
      </c>
      <c r="D1886" s="2" t="inlineStr">
        <is>
          <t>Tratamiento Intensivo Pantene Hidratación Balanceada 300 Ml</t>
        </is>
      </c>
      <c r="E1886" s="2" t="inlineStr">
        <is>
          <t>PANTENE</t>
        </is>
      </c>
      <c r="F1886" s="2" t="n">
        <v>68.09</v>
      </c>
      <c r="G1886" s="2" t="n">
        <v>5627</v>
      </c>
      <c r="H1886" s="2" t="b">
        <v>0</v>
      </c>
      <c r="I1886" s="2" t="n">
        <v>300</v>
      </c>
      <c r="J1886" s="2" t="n">
        <v>0.227</v>
      </c>
      <c r="K1886" s="2" t="inlineStr">
        <is>
          <t>&gt; Perfumería &gt; Cuidado Capilar &gt; Reparación y Tratamientos &gt;</t>
        </is>
      </c>
      <c r="L1886" s="2" t="inlineStr">
        <is>
          <t>tratamiento</t>
        </is>
      </c>
      <c r="M1886" s="2" t="inlineStr">
        <is>
          <t>estandar</t>
        </is>
      </c>
      <c r="N1886" s="2" t="inlineStr">
        <is>
          <t>seco_danado</t>
        </is>
      </c>
      <c r="O1886" s="2" t="inlineStr">
        <is>
          <t>https://www.jumbo.com.ar/tratamiento-intensivo-pantene-hidratacion-balanceada-300-ml/p</t>
        </is>
      </c>
    </row>
    <row r="1887">
      <c r="A1887" t="inlineStr">
        <is>
          <t>Jumbo</t>
        </is>
      </c>
      <c r="B1887" t="n">
        <v>12118</v>
      </c>
      <c r="C1887" t="n">
        <v>9377</v>
      </c>
      <c r="D1887" t="inlineStr">
        <is>
          <t>Shampoo Pantene Pro-v Expert Collection Hydra Intensify 300 Ml</t>
        </is>
      </c>
      <c r="E1887" t="inlineStr">
        <is>
          <t>PANTENE</t>
        </is>
      </c>
      <c r="F1887" t="n">
        <v>312.53</v>
      </c>
      <c r="G1887" t="n">
        <v>25829</v>
      </c>
      <c r="H1887" t="b">
        <v>0</v>
      </c>
      <c r="I1887" t="n">
        <v>300</v>
      </c>
      <c r="J1887" t="n">
        <v>1.0418</v>
      </c>
      <c r="K1887" t="inlineStr">
        <is>
          <t>&gt; Perfumería &gt; Cuidado Capilar &gt; Shampoo &gt;</t>
        </is>
      </c>
      <c r="L1887" t="inlineStr">
        <is>
          <t>shampoo</t>
        </is>
      </c>
      <c r="M1887" t="inlineStr">
        <is>
          <t>profesional</t>
        </is>
      </c>
      <c r="N1887" t="inlineStr">
        <is>
          <t>general</t>
        </is>
      </c>
      <c r="O1887" t="inlineStr">
        <is>
          <t>https://www.jumbo.com.ar/shampoo-pantene-pro-v-expert-collection-hydra-intensify-300-ml/p</t>
        </is>
      </c>
    </row>
    <row r="1888">
      <c r="A1888" s="2" t="inlineStr">
        <is>
          <t>Jumbo</t>
        </is>
      </c>
      <c r="B1888" s="2" t="n">
        <v>12095</v>
      </c>
      <c r="C1888" s="2" t="n">
        <v>9354</v>
      </c>
      <c r="D1888" s="2" t="inlineStr">
        <is>
          <t>Acondicionador Pantene Pro-v Expert Collection Hydra Intensify 250 Ml</t>
        </is>
      </c>
      <c r="E1888" s="2" t="inlineStr">
        <is>
          <t>PANTENE</t>
        </is>
      </c>
      <c r="F1888" s="2" t="n">
        <v>291.93</v>
      </c>
      <c r="G1888" s="2" t="n">
        <v>24126</v>
      </c>
      <c r="H1888" s="2" t="b">
        <v>0</v>
      </c>
      <c r="I1888" s="2" t="n">
        <v>250</v>
      </c>
      <c r="J1888" s="2" t="n">
        <v>1.1677</v>
      </c>
      <c r="K1888" s="2" t="inlineStr">
        <is>
          <t>&gt; Perfumería &gt; Cuidado Capilar &gt; Acondicionador &gt;</t>
        </is>
      </c>
      <c r="L1888" s="2" t="inlineStr">
        <is>
          <t>acondicionador</t>
        </is>
      </c>
      <c r="M1888" s="2" t="inlineStr">
        <is>
          <t>profesional</t>
        </is>
      </c>
      <c r="N1888" s="2" t="inlineStr">
        <is>
          <t>general</t>
        </is>
      </c>
      <c r="O1888" s="2" t="inlineStr">
        <is>
          <t>https://www.jumbo.com.ar/acondicionador-pantene-pro-v-expert-collection-hydra-intensify-250-ml/p</t>
        </is>
      </c>
    </row>
    <row r="1889">
      <c r="A1889" t="inlineStr">
        <is>
          <t>Jumbo</t>
        </is>
      </c>
      <c r="B1889" t="n">
        <v>7772</v>
      </c>
      <c r="C1889" t="n">
        <v>5096</v>
      </c>
      <c r="D1889" t="inlineStr">
        <is>
          <t>Acondicionador Pantene Pro-v Control Caida 400 Ml</t>
        </is>
      </c>
      <c r="E1889" t="inlineStr">
        <is>
          <t>PANTENE</t>
        </is>
      </c>
      <c r="F1889" t="n">
        <v>97.29000000000001</v>
      </c>
      <c r="G1889" t="n">
        <v>8041</v>
      </c>
      <c r="H1889" t="b">
        <v>0</v>
      </c>
      <c r="I1889" t="n">
        <v>400</v>
      </c>
      <c r="J1889" t="n">
        <v>0.2432</v>
      </c>
      <c r="K1889" t="inlineStr">
        <is>
          <t>&gt; Perfumería &gt; Cuidado Capilar &gt; Acondicionador &gt;</t>
        </is>
      </c>
      <c r="L1889" t="inlineStr">
        <is>
          <t>acondicionador</t>
        </is>
      </c>
      <c r="M1889" t="inlineStr">
        <is>
          <t>profesional</t>
        </is>
      </c>
      <c r="N1889" t="inlineStr">
        <is>
          <t>general</t>
        </is>
      </c>
      <c r="O1889" t="inlineStr">
        <is>
          <t>https://www.jumbo.com.ar/acondicionador-pantene-11/p</t>
        </is>
      </c>
    </row>
    <row r="1890">
      <c r="A1890" s="2" t="inlineStr">
        <is>
          <t>Jumbo</t>
        </is>
      </c>
      <c r="B1890" s="2" t="n">
        <v>7769</v>
      </c>
      <c r="C1890" s="2" t="n">
        <v>5093</v>
      </c>
      <c r="D1890" s="2" t="inlineStr">
        <is>
          <t>Acondicionador Pantene Control Caída 200 Ml</t>
        </is>
      </c>
      <c r="E1890" s="2" t="inlineStr">
        <is>
          <t>PANTENE</t>
        </is>
      </c>
      <c r="F1890" s="2" t="n">
        <v>24.67</v>
      </c>
      <c r="G1890" s="2" t="n">
        <v>2039</v>
      </c>
      <c r="H1890" s="2" t="b">
        <v>0</v>
      </c>
      <c r="I1890" s="2" t="n">
        <v>200</v>
      </c>
      <c r="J1890" s="2" t="n">
        <v>0.1234</v>
      </c>
      <c r="K1890" s="2" t="inlineStr">
        <is>
          <t>&gt; Perfumería &gt; Cuidado Capilar &gt; Acondicionador &gt;</t>
        </is>
      </c>
      <c r="L1890" s="2" t="inlineStr">
        <is>
          <t>acondicionador</t>
        </is>
      </c>
      <c r="M1890" s="2" t="inlineStr">
        <is>
          <t>estandar</t>
        </is>
      </c>
      <c r="N1890" s="2" t="inlineStr">
        <is>
          <t>general</t>
        </is>
      </c>
      <c r="O1890" s="2" t="inlineStr">
        <is>
          <t>https://www.jumbo.com.ar/acondicionador-pantene-control-caida-200-ml/p</t>
        </is>
      </c>
    </row>
    <row r="1891">
      <c r="A1891" t="inlineStr">
        <is>
          <t>Jumbo</t>
        </is>
      </c>
      <c r="B1891" t="n">
        <v>7760</v>
      </c>
      <c r="C1891" t="n">
        <v>5084</v>
      </c>
      <c r="D1891" t="inlineStr">
        <is>
          <t>Acondicionador Pantene Pro-v Brillo Extremo 200 Ml</t>
        </is>
      </c>
      <c r="E1891" t="inlineStr">
        <is>
          <t>PANTENE</t>
        </is>
      </c>
      <c r="F1891" t="n">
        <v>24.67</v>
      </c>
      <c r="G1891" t="n">
        <v>2039</v>
      </c>
      <c r="H1891" t="b">
        <v>0</v>
      </c>
      <c r="I1891" t="n">
        <v>200</v>
      </c>
      <c r="J1891" t="n">
        <v>0.1234</v>
      </c>
      <c r="K1891" t="inlineStr">
        <is>
          <t>&gt; Perfumería &gt; Cuidado Capilar &gt; Acondicionador &gt;</t>
        </is>
      </c>
      <c r="L1891" t="inlineStr">
        <is>
          <t>acondicionador</t>
        </is>
      </c>
      <c r="M1891" t="inlineStr">
        <is>
          <t>profesional</t>
        </is>
      </c>
      <c r="N1891" t="inlineStr">
        <is>
          <t>general</t>
        </is>
      </c>
      <c r="O1891" t="inlineStr">
        <is>
          <t>https://www.jumbo.com.ar/acondicionador-pantene-9/p</t>
        </is>
      </c>
    </row>
    <row r="1892">
      <c r="A1892" s="2" t="inlineStr">
        <is>
          <t>Jumbo</t>
        </is>
      </c>
      <c r="B1892" s="2" t="n">
        <v>7746</v>
      </c>
      <c r="C1892" s="2" t="n">
        <v>5070</v>
      </c>
      <c r="D1892" s="2" t="inlineStr">
        <is>
          <t>Acondicionador Pantene Pro-v Control Caida 750 Ml</t>
        </is>
      </c>
      <c r="E1892" s="2" t="inlineStr">
        <is>
          <t>PANTENE</t>
        </is>
      </c>
      <c r="F1892" s="2" t="n">
        <v>284.77</v>
      </c>
      <c r="G1892" s="2" t="n">
        <v>23535</v>
      </c>
      <c r="H1892" s="2" t="b">
        <v>0</v>
      </c>
      <c r="I1892" s="2" t="n">
        <v>750</v>
      </c>
      <c r="J1892" s="2" t="n">
        <v>0.3797</v>
      </c>
      <c r="K1892" s="2" t="inlineStr">
        <is>
          <t>&gt; Perfumería &gt; Cuidado Capilar &gt; Acondicionador &gt;</t>
        </is>
      </c>
      <c r="L1892" s="2" t="inlineStr">
        <is>
          <t>acondicionador</t>
        </is>
      </c>
      <c r="M1892" s="2" t="inlineStr">
        <is>
          <t>profesional</t>
        </is>
      </c>
      <c r="N1892" s="2" t="inlineStr">
        <is>
          <t>general</t>
        </is>
      </c>
      <c r="O1892" s="2" t="inlineStr">
        <is>
          <t>https://www.jumbo.com.ar/acondicionador-pantene-8/p</t>
        </is>
      </c>
    </row>
    <row r="1893">
      <c r="A1893" t="inlineStr">
        <is>
          <t>Jumbo</t>
        </is>
      </c>
      <c r="B1893" t="n">
        <v>7744</v>
      </c>
      <c r="C1893" t="n">
        <v>5068</v>
      </c>
      <c r="D1893" t="inlineStr">
        <is>
          <t>Pantene Shampoo Liso Y Sedoso 400ml</t>
        </is>
      </c>
      <c r="E1893" t="inlineStr">
        <is>
          <t>PANTENE</t>
        </is>
      </c>
      <c r="F1893" t="n">
        <v>48.79</v>
      </c>
      <c r="G1893" t="n">
        <v>4032</v>
      </c>
      <c r="H1893" t="b">
        <v>0</v>
      </c>
      <c r="I1893" t="n">
        <v>400</v>
      </c>
      <c r="J1893" t="n">
        <v>0.122</v>
      </c>
      <c r="K1893" t="inlineStr">
        <is>
          <t>&gt; Perfumería &gt; Cuidado Capilar &gt; Shampoo &gt;</t>
        </is>
      </c>
      <c r="L1893" t="inlineStr">
        <is>
          <t>shampoo</t>
        </is>
      </c>
      <c r="M1893" t="inlineStr">
        <is>
          <t>estandar</t>
        </is>
      </c>
      <c r="N1893" t="inlineStr">
        <is>
          <t>general</t>
        </is>
      </c>
      <c r="O1893" t="inlineStr">
        <is>
          <t>https://www.jumbo.com.ar/shampoo-pantene-8/p</t>
        </is>
      </c>
    </row>
    <row r="1894">
      <c r="A1894" s="2" t="inlineStr">
        <is>
          <t>Jumbo</t>
        </is>
      </c>
      <c r="B1894" s="2" t="n">
        <v>7733</v>
      </c>
      <c r="C1894" s="2" t="n">
        <v>5057</v>
      </c>
      <c r="D1894" s="2" t="inlineStr">
        <is>
          <t>Acondicionador Pantene Liso Extremo 400 Ml</t>
        </is>
      </c>
      <c r="E1894" s="2" t="inlineStr">
        <is>
          <t>PANTENE</t>
        </is>
      </c>
      <c r="F1894" s="2" t="n">
        <v>97.29000000000001</v>
      </c>
      <c r="G1894" s="2" t="n">
        <v>8041</v>
      </c>
      <c r="H1894" s="2" t="b">
        <v>0</v>
      </c>
      <c r="I1894" s="2" t="n">
        <v>400</v>
      </c>
      <c r="J1894" s="2" t="n">
        <v>0.2432</v>
      </c>
      <c r="K1894" s="2" t="inlineStr">
        <is>
          <t>&gt; Perfumería &gt; Cuidado Capilar &gt; Acondicionador &gt;</t>
        </is>
      </c>
      <c r="L1894" s="2" t="inlineStr">
        <is>
          <t>acondicionador</t>
        </is>
      </c>
      <c r="M1894" s="2" t="inlineStr">
        <is>
          <t>estandar</t>
        </is>
      </c>
      <c r="N1894" s="2" t="inlineStr">
        <is>
          <t>general</t>
        </is>
      </c>
      <c r="O1894" s="2" t="inlineStr">
        <is>
          <t>https://www.jumbo.com.ar/acondicionador-pantene-7/p</t>
        </is>
      </c>
    </row>
    <row r="1895">
      <c r="A1895" t="inlineStr">
        <is>
          <t>Jumbo</t>
        </is>
      </c>
      <c r="B1895" t="n">
        <v>7732</v>
      </c>
      <c r="C1895" t="n">
        <v>5056</v>
      </c>
      <c r="D1895" t="inlineStr">
        <is>
          <t>Shampoo Pantene Brillo Extremo 400 Ml</t>
        </is>
      </c>
      <c r="E1895" t="inlineStr">
        <is>
          <t>PANTENE</t>
        </is>
      </c>
      <c r="F1895" t="n">
        <v>48.79</v>
      </c>
      <c r="G1895" t="n">
        <v>4032</v>
      </c>
      <c r="H1895" t="b">
        <v>0</v>
      </c>
      <c r="I1895" t="n">
        <v>400</v>
      </c>
      <c r="J1895" t="n">
        <v>0.122</v>
      </c>
      <c r="K1895" t="inlineStr">
        <is>
          <t>&gt; Perfumería &gt; Cuidado Capilar &gt; Shampoo &gt;</t>
        </is>
      </c>
      <c r="L1895" t="inlineStr">
        <is>
          <t>shampoo</t>
        </is>
      </c>
      <c r="M1895" t="inlineStr">
        <is>
          <t>estandar</t>
        </is>
      </c>
      <c r="N1895" t="inlineStr">
        <is>
          <t>general</t>
        </is>
      </c>
      <c r="O1895" t="inlineStr">
        <is>
          <t>https://www.jumbo.com.ar/shampoo-pantene-6/p</t>
        </is>
      </c>
    </row>
    <row r="1896">
      <c r="A1896" s="2" t="inlineStr">
        <is>
          <t>Jumbo</t>
        </is>
      </c>
      <c r="B1896" s="2" t="n">
        <v>7730</v>
      </c>
      <c r="C1896" s="2" t="n">
        <v>5054</v>
      </c>
      <c r="D1896" s="2" t="inlineStr">
        <is>
          <t>Shampoo Pantene Brillo Extremo 750 Ml</t>
        </is>
      </c>
      <c r="E1896" s="2" t="inlineStr">
        <is>
          <t>PANTENE</t>
        </is>
      </c>
      <c r="F1896" s="2" t="n">
        <v>74.37</v>
      </c>
      <c r="G1896" s="2" t="n">
        <v>6146</v>
      </c>
      <c r="H1896" s="2" t="b">
        <v>0</v>
      </c>
      <c r="I1896" s="2" t="n">
        <v>750</v>
      </c>
      <c r="J1896" s="2" t="n">
        <v>0.0992</v>
      </c>
      <c r="K1896" s="2" t="inlineStr">
        <is>
          <t>&gt; Perfumería &gt; Cuidado Capilar &gt; Shampoo &gt;</t>
        </is>
      </c>
      <c r="L1896" s="2" t="inlineStr">
        <is>
          <t>shampoo</t>
        </is>
      </c>
      <c r="M1896" s="2" t="inlineStr">
        <is>
          <t>estandar</t>
        </is>
      </c>
      <c r="N1896" s="2" t="inlineStr">
        <is>
          <t>general</t>
        </is>
      </c>
      <c r="O1896" s="2" t="inlineStr">
        <is>
          <t>https://www.jumbo.com.ar/shampoo-pantene-5/p</t>
        </is>
      </c>
    </row>
    <row r="1897">
      <c r="A1897" t="inlineStr">
        <is>
          <t>Jumbo</t>
        </is>
      </c>
      <c r="B1897" t="n">
        <v>7722</v>
      </c>
      <c r="C1897" t="n">
        <v>5047</v>
      </c>
      <c r="D1897" t="inlineStr">
        <is>
          <t>Acondicionador Pantene Fusión Naturaleza Hidratación 400 Ml</t>
        </is>
      </c>
      <c r="E1897" t="inlineStr">
        <is>
          <t>PANTENE</t>
        </is>
      </c>
      <c r="F1897" t="n">
        <v>97.29000000000001</v>
      </c>
      <c r="G1897" t="n">
        <v>8041</v>
      </c>
      <c r="H1897" t="b">
        <v>0</v>
      </c>
      <c r="I1897" t="n">
        <v>400</v>
      </c>
      <c r="J1897" t="n">
        <v>0.2432</v>
      </c>
      <c r="K1897" t="inlineStr">
        <is>
          <t>&gt; Perfumería &gt; Cuidado Capilar &gt; Acondicionador &gt;</t>
        </is>
      </c>
      <c r="L1897" t="inlineStr">
        <is>
          <t>acondicionador</t>
        </is>
      </c>
      <c r="M1897" t="inlineStr">
        <is>
          <t>estandar</t>
        </is>
      </c>
      <c r="N1897" t="inlineStr">
        <is>
          <t>seco_danado</t>
        </is>
      </c>
      <c r="O1897" t="inlineStr">
        <is>
          <t>https://www.jumbo.com.ar/acondicionador-pantene-6/p</t>
        </is>
      </c>
    </row>
    <row r="1898">
      <c r="A1898" s="2" t="inlineStr">
        <is>
          <t>Jumbo</t>
        </is>
      </c>
      <c r="B1898" s="2" t="n">
        <v>7696</v>
      </c>
      <c r="C1898" s="2" t="n">
        <v>5022</v>
      </c>
      <c r="D1898" s="2" t="inlineStr">
        <is>
          <t>Shampoo Pantene 2 En 1 Hidratación 400 Ml</t>
        </is>
      </c>
      <c r="E1898" s="2" t="inlineStr">
        <is>
          <t>PANTENE</t>
        </is>
      </c>
      <c r="F1898" s="2" t="n">
        <v>48.79</v>
      </c>
      <c r="G1898" s="2" t="n">
        <v>4032</v>
      </c>
      <c r="H1898" s="2" t="b">
        <v>0</v>
      </c>
      <c r="I1898" s="2" t="n">
        <v>400</v>
      </c>
      <c r="J1898" s="2" t="n">
        <v>0.122</v>
      </c>
      <c r="K1898" s="2" t="inlineStr">
        <is>
          <t>&gt; Perfumería &gt; Cuidado Capilar &gt; Shampoo &gt;</t>
        </is>
      </c>
      <c r="L1898" s="2" t="inlineStr">
        <is>
          <t>shampoo</t>
        </is>
      </c>
      <c r="M1898" s="2" t="inlineStr">
        <is>
          <t>estandar</t>
        </is>
      </c>
      <c r="N1898" s="2" t="inlineStr">
        <is>
          <t>seco_danado</t>
        </is>
      </c>
      <c r="O1898" s="2" t="inlineStr">
        <is>
          <t>https://www.jumbo.com.ar/shampoo-pantene-2-en-1/p</t>
        </is>
      </c>
    </row>
    <row r="1899">
      <c r="A1899" t="inlineStr">
        <is>
          <t>Jumbo</t>
        </is>
      </c>
      <c r="B1899" t="n">
        <v>7677</v>
      </c>
      <c r="C1899" t="n">
        <v>5003</v>
      </c>
      <c r="D1899" t="inlineStr">
        <is>
          <t>Shampoo Pantene Hidratación Balanceada 750 Ml</t>
        </is>
      </c>
      <c r="E1899" t="inlineStr">
        <is>
          <t>PANTENE</t>
        </is>
      </c>
      <c r="F1899" t="n">
        <v>74.37</v>
      </c>
      <c r="G1899" t="n">
        <v>6146</v>
      </c>
      <c r="H1899" t="b">
        <v>0</v>
      </c>
      <c r="I1899" t="n">
        <v>750</v>
      </c>
      <c r="J1899" t="n">
        <v>0.0992</v>
      </c>
      <c r="K1899" t="inlineStr">
        <is>
          <t>&gt; Perfumería &gt; Cuidado Capilar &gt; Shampoo &gt;</t>
        </is>
      </c>
      <c r="L1899" t="inlineStr">
        <is>
          <t>shampoo</t>
        </is>
      </c>
      <c r="M1899" t="inlineStr">
        <is>
          <t>estandar</t>
        </is>
      </c>
      <c r="N1899" t="inlineStr">
        <is>
          <t>seco_danado</t>
        </is>
      </c>
      <c r="O1899" t="inlineStr">
        <is>
          <t>https://www.jumbo.com.ar/shampoo-pantene-4/p</t>
        </is>
      </c>
    </row>
    <row r="1900">
      <c r="A1900" s="2" t="inlineStr">
        <is>
          <t>Jumbo</t>
        </is>
      </c>
      <c r="B1900" s="2" t="n">
        <v>7674</v>
      </c>
      <c r="C1900" s="2" t="n">
        <v>5000</v>
      </c>
      <c r="D1900" s="2" t="inlineStr">
        <is>
          <t>Shampoo Pantene Hidratación Balanceada 400 Ml</t>
        </is>
      </c>
      <c r="E1900" s="2" t="inlineStr">
        <is>
          <t>PANTENE</t>
        </is>
      </c>
      <c r="F1900" s="2" t="n">
        <v>48.79</v>
      </c>
      <c r="G1900" s="2" t="n">
        <v>4032</v>
      </c>
      <c r="H1900" s="2" t="b">
        <v>0</v>
      </c>
      <c r="I1900" s="2" t="n">
        <v>400</v>
      </c>
      <c r="J1900" s="2" t="n">
        <v>0.122</v>
      </c>
      <c r="K1900" s="2" t="inlineStr">
        <is>
          <t>&gt; Perfumería &gt; Cuidado Capilar &gt; Shampoo &gt;</t>
        </is>
      </c>
      <c r="L1900" s="2" t="inlineStr">
        <is>
          <t>shampoo</t>
        </is>
      </c>
      <c r="M1900" s="2" t="inlineStr">
        <is>
          <t>estandar</t>
        </is>
      </c>
      <c r="N1900" s="2" t="inlineStr">
        <is>
          <t>seco_danado</t>
        </is>
      </c>
      <c r="O1900" s="2" t="inlineStr">
        <is>
          <t>https://www.jumbo.com.ar/shampoo-pantene-3/p</t>
        </is>
      </c>
    </row>
    <row r="1901">
      <c r="A1901" t="inlineStr">
        <is>
          <t>Jumbo</t>
        </is>
      </c>
      <c r="B1901" t="n">
        <v>7536</v>
      </c>
      <c r="C1901" t="n">
        <v>4863</v>
      </c>
      <c r="D1901" t="inlineStr">
        <is>
          <t>Kit Bomba De 3 Ampollas Pantene Pro-v Summer Edition 45 Ml C/u</t>
        </is>
      </c>
      <c r="E1901" t="inlineStr">
        <is>
          <t>PANTENE</t>
        </is>
      </c>
      <c r="F1901" t="n">
        <v>238.19</v>
      </c>
      <c r="G1901" t="n">
        <v>19685</v>
      </c>
      <c r="H1901" t="b">
        <v>0</v>
      </c>
      <c r="I1901" t="n">
        <v>45</v>
      </c>
      <c r="J1901" t="n">
        <v>5.2931</v>
      </c>
      <c r="K1901" t="inlineStr">
        <is>
          <t>&gt; Perfumería &gt; Cuidado Capilar &gt; Reparación y Tratamientos &gt;</t>
        </is>
      </c>
      <c r="L1901" t="inlineStr">
        <is>
          <t>tratamiento</t>
        </is>
      </c>
      <c r="M1901" t="inlineStr">
        <is>
          <t>profesional</t>
        </is>
      </c>
      <c r="N1901" t="inlineStr">
        <is>
          <t>general</t>
        </is>
      </c>
      <c r="O1901" t="inlineStr">
        <is>
          <t>https://www.jumbo.com.ar/kit-bomba-de-3-ampollas-pantene-pro-v-summer-edition-45-ml-c-u/p</t>
        </is>
      </c>
    </row>
    <row r="1902">
      <c r="A1902" s="2" t="inlineStr">
        <is>
          <t>Jumbo</t>
        </is>
      </c>
      <c r="B1902" s="2" t="n">
        <v>7429</v>
      </c>
      <c r="C1902" s="2" t="n">
        <v>4756</v>
      </c>
      <c r="D1902" s="2" t="inlineStr">
        <is>
          <t>Acondicionador Pantene Pro-v Hidratación Extrema 750 Ml</t>
        </is>
      </c>
      <c r="E1902" s="2" t="inlineStr">
        <is>
          <t>PANTENE</t>
        </is>
      </c>
      <c r="F1902" s="2" t="n">
        <v>457.55</v>
      </c>
      <c r="G1902" s="2" t="n">
        <v>37814</v>
      </c>
      <c r="H1902" s="2" t="b">
        <v>0</v>
      </c>
      <c r="I1902" s="2" t="n">
        <v>750</v>
      </c>
      <c r="J1902" s="2" t="n">
        <v>0.6101</v>
      </c>
      <c r="K1902" s="2" t="inlineStr">
        <is>
          <t>&gt; Perfumería &gt; Cuidado Capilar &gt; Acondicionador &gt;</t>
        </is>
      </c>
      <c r="L1902" s="2" t="inlineStr">
        <is>
          <t>acondicionador</t>
        </is>
      </c>
      <c r="M1902" s="2" t="inlineStr">
        <is>
          <t>profesional</t>
        </is>
      </c>
      <c r="N1902" s="2" t="inlineStr">
        <is>
          <t>seco_danado</t>
        </is>
      </c>
      <c r="O1902" s="2" t="inlineStr">
        <is>
          <t>https://www.jumbo.com.ar/acondicionador-pantene-pro-v-hidratacion-extrema-750-ml/p</t>
        </is>
      </c>
    </row>
    <row r="1903">
      <c r="A1903" t="inlineStr">
        <is>
          <t>Jumbo</t>
        </is>
      </c>
      <c r="B1903" t="n">
        <v>7427</v>
      </c>
      <c r="C1903" t="n">
        <v>4754</v>
      </c>
      <c r="D1903" t="inlineStr">
        <is>
          <t>Acondicionador Pantene Pro-v Hidratación Extrema 200ml</t>
        </is>
      </c>
      <c r="E1903" t="inlineStr">
        <is>
          <t>PANTENE</t>
        </is>
      </c>
      <c r="F1903" t="n">
        <v>173.39</v>
      </c>
      <c r="G1903" t="n">
        <v>14330</v>
      </c>
      <c r="H1903" t="b">
        <v>0</v>
      </c>
      <c r="I1903" t="n">
        <v>200</v>
      </c>
      <c r="J1903" t="n">
        <v>0.8669</v>
      </c>
      <c r="K1903" t="inlineStr">
        <is>
          <t>&gt; Perfumería &gt; Cuidado Capilar &gt; Acondicionador &gt;</t>
        </is>
      </c>
      <c r="L1903" t="inlineStr">
        <is>
          <t>acondicionador</t>
        </is>
      </c>
      <c r="M1903" t="inlineStr">
        <is>
          <t>profesional</t>
        </is>
      </c>
      <c r="N1903" t="inlineStr">
        <is>
          <t>seco_danado</t>
        </is>
      </c>
      <c r="O1903" t="inlineStr">
        <is>
          <t>https://www.jumbo.com.ar/acondicionador-pantene-pro-v-hidratacion-extrema-200ml/p</t>
        </is>
      </c>
    </row>
    <row r="1904">
      <c r="A1904" s="2" t="inlineStr">
        <is>
          <t>Jumbo</t>
        </is>
      </c>
      <c r="B1904" s="2" t="n">
        <v>7426</v>
      </c>
      <c r="C1904" s="2" t="n">
        <v>4753</v>
      </c>
      <c r="D1904" s="2" t="inlineStr">
        <is>
          <t>Acondicionador Pantene Pro-v Hidratación Extrema 400ml</t>
        </is>
      </c>
      <c r="E1904" s="2" t="inlineStr">
        <is>
          <t>PANTENE</t>
        </is>
      </c>
      <c r="F1904" s="2" t="n">
        <v>450</v>
      </c>
      <c r="G1904" s="2" t="n">
        <v>37190</v>
      </c>
      <c r="H1904" s="2" t="b">
        <v>0</v>
      </c>
      <c r="I1904" s="2" t="n">
        <v>400</v>
      </c>
      <c r="J1904" s="2" t="n">
        <v>1.125</v>
      </c>
      <c r="K1904" s="2" t="inlineStr">
        <is>
          <t>&gt; Perfumería &gt; Cuidado Capilar &gt; Acondicionador &gt;</t>
        </is>
      </c>
      <c r="L1904" s="2" t="inlineStr">
        <is>
          <t>acondicionador</t>
        </is>
      </c>
      <c r="M1904" s="2" t="inlineStr">
        <is>
          <t>profesional</t>
        </is>
      </c>
      <c r="N1904" s="2" t="inlineStr">
        <is>
          <t>seco_danado</t>
        </is>
      </c>
      <c r="O1904" s="2" t="inlineStr">
        <is>
          <t>https://www.jumbo.com.ar/acondicionador-pantene-pro-v-hidratacion-extrema-400ml/p</t>
        </is>
      </c>
    </row>
    <row r="1905">
      <c r="A1905" t="inlineStr">
        <is>
          <t>Jumbo</t>
        </is>
      </c>
      <c r="B1905" t="n">
        <v>7417</v>
      </c>
      <c r="C1905" t="n">
        <v>4745</v>
      </c>
      <c r="D1905" t="inlineStr">
        <is>
          <t>Shampoo Pantene Pro-v Hidratación Extrema 200 Ml</t>
        </is>
      </c>
      <c r="E1905" t="inlineStr">
        <is>
          <t>PANTENE</t>
        </is>
      </c>
      <c r="F1905" t="n">
        <v>173.39</v>
      </c>
      <c r="G1905" t="n">
        <v>14330</v>
      </c>
      <c r="H1905" t="b">
        <v>0</v>
      </c>
      <c r="I1905" t="n">
        <v>200</v>
      </c>
      <c r="J1905" t="n">
        <v>0.8669</v>
      </c>
      <c r="K1905" t="inlineStr">
        <is>
          <t>&gt; Perfumería &gt; Cuidado Capilar &gt; Shampoo &gt;</t>
        </is>
      </c>
      <c r="L1905" t="inlineStr">
        <is>
          <t>shampoo</t>
        </is>
      </c>
      <c r="M1905" t="inlineStr">
        <is>
          <t>profesional</t>
        </is>
      </c>
      <c r="N1905" t="inlineStr">
        <is>
          <t>seco_danado</t>
        </is>
      </c>
      <c r="O1905" t="inlineStr">
        <is>
          <t>https://www.jumbo.com.ar/shampoo-pantene-pro-v-hidratacion-extrema-200-ml/p</t>
        </is>
      </c>
    </row>
    <row r="1906">
      <c r="A1906" s="2" t="inlineStr">
        <is>
          <t>Jumbo</t>
        </is>
      </c>
      <c r="B1906" s="2" t="n">
        <v>7411</v>
      </c>
      <c r="C1906" s="2" t="n">
        <v>4740</v>
      </c>
      <c r="D1906" s="2" t="inlineStr">
        <is>
          <t>Shampoo Pantene Max-pro V Reparación Rejuvenecedora 200 Ml</t>
        </is>
      </c>
      <c r="E1906" s="2" t="inlineStr">
        <is>
          <t>PANTENE</t>
        </is>
      </c>
      <c r="F1906" s="2" t="n">
        <v>173.39</v>
      </c>
      <c r="G1906" s="2" t="n">
        <v>14330</v>
      </c>
      <c r="H1906" s="2" t="b">
        <v>0</v>
      </c>
      <c r="I1906" s="2" t="n">
        <v>200</v>
      </c>
      <c r="J1906" s="2" t="n">
        <v>0.8669</v>
      </c>
      <c r="K1906" s="2" t="inlineStr">
        <is>
          <t>&gt; Perfumería &gt; Cuidado Capilar &gt; Shampoo &gt;</t>
        </is>
      </c>
      <c r="L1906" s="2" t="inlineStr">
        <is>
          <t>shampoo</t>
        </is>
      </c>
      <c r="M1906" s="2" t="inlineStr">
        <is>
          <t>profesional</t>
        </is>
      </c>
      <c r="N1906" s="2" t="inlineStr">
        <is>
          <t>general</t>
        </is>
      </c>
      <c r="O1906" s="2" t="inlineStr">
        <is>
          <t>https://www.jumbo.com.ar/shampoo-pantene-max-pro-v-reparacion-rejuvenecedora-200-ml/p</t>
        </is>
      </c>
    </row>
    <row r="1907">
      <c r="A1907" t="inlineStr">
        <is>
          <t>Jumbo</t>
        </is>
      </c>
      <c r="B1907" t="n">
        <v>7410</v>
      </c>
      <c r="C1907" t="n">
        <v>4739</v>
      </c>
      <c r="D1907" t="inlineStr">
        <is>
          <t>Shampoo Pantene Max-pro V Reparación Rejuvenecedora 400 Ml</t>
        </is>
      </c>
      <c r="E1907" t="inlineStr">
        <is>
          <t>PANTENE</t>
        </is>
      </c>
      <c r="F1907" t="n">
        <v>189.89</v>
      </c>
      <c r="G1907" t="n">
        <v>15693</v>
      </c>
      <c r="H1907" t="b">
        <v>0</v>
      </c>
      <c r="I1907" t="n">
        <v>400</v>
      </c>
      <c r="J1907" t="n">
        <v>0.4747</v>
      </c>
      <c r="K1907" t="inlineStr">
        <is>
          <t>&gt; Perfumería &gt; Cuidado Capilar &gt; Shampoo &gt;</t>
        </is>
      </c>
      <c r="L1907" t="inlineStr">
        <is>
          <t>shampoo</t>
        </is>
      </c>
      <c r="M1907" t="inlineStr">
        <is>
          <t>profesional</t>
        </is>
      </c>
      <c r="N1907" t="inlineStr">
        <is>
          <t>general</t>
        </is>
      </c>
      <c r="O1907" t="inlineStr">
        <is>
          <t>https://www.jumbo.com.ar/shampoo-pantene-max-pro-v-reparacion-rejuvenecedora-400-ml/p</t>
        </is>
      </c>
    </row>
    <row r="1908">
      <c r="A1908" s="2" t="inlineStr">
        <is>
          <t>Jumbo</t>
        </is>
      </c>
      <c r="B1908" s="2" t="n">
        <v>7406</v>
      </c>
      <c r="C1908" s="2" t="n">
        <v>4735</v>
      </c>
      <c r="D1908" s="2" t="inlineStr">
        <is>
          <t>Acondicionador Pantene Pro-v Rizos Definidos 750 Ml</t>
        </is>
      </c>
      <c r="E1908" s="2" t="inlineStr">
        <is>
          <t>PANTENE</t>
        </is>
      </c>
      <c r="F1908" s="2" t="n">
        <v>457.55</v>
      </c>
      <c r="G1908" s="2" t="n">
        <v>37814</v>
      </c>
      <c r="H1908" s="2" t="b">
        <v>0</v>
      </c>
      <c r="I1908" s="2" t="n">
        <v>750</v>
      </c>
      <c r="J1908" s="2" t="n">
        <v>0.6101</v>
      </c>
      <c r="K1908" s="2" t="inlineStr">
        <is>
          <t>&gt; Perfumería &gt; Cuidado Capilar &gt; Acondicionador &gt;</t>
        </is>
      </c>
      <c r="L1908" s="2" t="inlineStr">
        <is>
          <t>acondicionador</t>
        </is>
      </c>
      <c r="M1908" s="2" t="inlineStr">
        <is>
          <t>profesional</t>
        </is>
      </c>
      <c r="N1908" s="2" t="inlineStr">
        <is>
          <t>rizado</t>
        </is>
      </c>
      <c r="O1908" s="2" t="inlineStr">
        <is>
          <t>https://www.jumbo.com.ar/acondicionador-pantene-pro-v-rizos-definidos-750-ml-2/p</t>
        </is>
      </c>
    </row>
    <row r="1909">
      <c r="A1909" t="inlineStr">
        <is>
          <t>Jumbo</t>
        </is>
      </c>
      <c r="B1909" t="n">
        <v>7403</v>
      </c>
      <c r="C1909" t="n">
        <v>4732</v>
      </c>
      <c r="D1909" t="inlineStr">
        <is>
          <t>Shampoo Pantene Max-pro V Reparación Rejuvenecedora 750 Ml</t>
        </is>
      </c>
      <c r="E1909" t="inlineStr">
        <is>
          <t>PANTENE</t>
        </is>
      </c>
      <c r="F1909" t="n">
        <v>494.89</v>
      </c>
      <c r="G1909" t="n">
        <v>40900</v>
      </c>
      <c r="H1909" t="b">
        <v>0</v>
      </c>
      <c r="I1909" t="n">
        <v>750</v>
      </c>
      <c r="J1909" t="n">
        <v>0.6599</v>
      </c>
      <c r="K1909" t="inlineStr">
        <is>
          <t>&gt; Perfumería &gt; Cuidado Capilar &gt; Shampoo &gt;</t>
        </is>
      </c>
      <c r="L1909" t="inlineStr">
        <is>
          <t>shampoo</t>
        </is>
      </c>
      <c r="M1909" t="inlineStr">
        <is>
          <t>profesional</t>
        </is>
      </c>
      <c r="N1909" t="inlineStr">
        <is>
          <t>general</t>
        </is>
      </c>
      <c r="O1909" t="inlineStr">
        <is>
          <t>https://www.jumbo.com.ar/shampoo-pantene-max-pro-v-reparacion-rejuvenecedora-750-ml/p</t>
        </is>
      </c>
    </row>
    <row r="1910">
      <c r="A1910" s="2" t="inlineStr">
        <is>
          <t>Jumbo</t>
        </is>
      </c>
      <c r="B1910" s="2" t="n">
        <v>7380</v>
      </c>
      <c r="C1910" s="2" t="n">
        <v>4710</v>
      </c>
      <c r="D1910" s="2" t="inlineStr">
        <is>
          <t>Shampoo Pantene Pro-v Hidratación Extrema 400ml</t>
        </is>
      </c>
      <c r="E1910" s="2" t="inlineStr">
        <is>
          <t>PANTENE</t>
        </is>
      </c>
      <c r="F1910" s="2" t="n">
        <v>189.89</v>
      </c>
      <c r="G1910" s="2" t="n">
        <v>15693</v>
      </c>
      <c r="H1910" s="2" t="b">
        <v>0</v>
      </c>
      <c r="I1910" s="2" t="n">
        <v>400</v>
      </c>
      <c r="J1910" s="2" t="n">
        <v>0.4747</v>
      </c>
      <c r="K1910" s="2" t="inlineStr">
        <is>
          <t>&gt; Perfumería &gt; Cuidado Capilar &gt; Shampoo &gt;</t>
        </is>
      </c>
      <c r="L1910" s="2" t="inlineStr">
        <is>
          <t>shampoo</t>
        </is>
      </c>
      <c r="M1910" s="2" t="inlineStr">
        <is>
          <t>profesional</t>
        </is>
      </c>
      <c r="N1910" s="2" t="inlineStr">
        <is>
          <t>seco_danado</t>
        </is>
      </c>
      <c r="O1910" s="2" t="inlineStr">
        <is>
          <t>https://www.jumbo.com.ar/shampoo-pantene-pro-v-hidratacion-extrema-400ml/p</t>
        </is>
      </c>
    </row>
    <row r="1911">
      <c r="A1911" t="inlineStr">
        <is>
          <t>Jumbo</t>
        </is>
      </c>
      <c r="B1911" t="n">
        <v>7374</v>
      </c>
      <c r="C1911" t="n">
        <v>4704</v>
      </c>
      <c r="D1911" t="inlineStr">
        <is>
          <t>Acondicionador Pantene Pro-v Control Caída 400 Ml</t>
        </is>
      </c>
      <c r="E1911" t="inlineStr">
        <is>
          <t>PANTENE</t>
        </is>
      </c>
      <c r="F1911" t="n">
        <v>334.67</v>
      </c>
      <c r="G1911" t="n">
        <v>27659</v>
      </c>
      <c r="H1911" t="b">
        <v>0</v>
      </c>
      <c r="I1911" t="n">
        <v>400</v>
      </c>
      <c r="J1911" t="n">
        <v>0.8367</v>
      </c>
      <c r="K1911" t="inlineStr">
        <is>
          <t>&gt; Perfumería &gt; Cuidado Capilar &gt; Acondicionador &gt;</t>
        </is>
      </c>
      <c r="L1911" t="inlineStr">
        <is>
          <t>acondicionador</t>
        </is>
      </c>
      <c r="M1911" t="inlineStr">
        <is>
          <t>profesional</t>
        </is>
      </c>
      <c r="N1911" t="inlineStr">
        <is>
          <t>general</t>
        </is>
      </c>
      <c r="O1911" t="inlineStr">
        <is>
          <t>https://www.jumbo.com.ar/acondicionador-pantene-pro-v-control-caida-400-ml/p</t>
        </is>
      </c>
    </row>
    <row r="1912">
      <c r="A1912" s="2" t="inlineStr">
        <is>
          <t>Jumbo</t>
        </is>
      </c>
      <c r="B1912" s="2" t="n">
        <v>7369</v>
      </c>
      <c r="C1912" s="2" t="n">
        <v>4699</v>
      </c>
      <c r="D1912" s="2" t="inlineStr">
        <is>
          <t>Acondicionador Pantene Pro-v Control Caída 200 Ml</t>
        </is>
      </c>
      <c r="E1912" s="2" t="inlineStr">
        <is>
          <t>PANTENE</t>
        </is>
      </c>
      <c r="F1912" s="2" t="n">
        <v>173.39</v>
      </c>
      <c r="G1912" s="2" t="n">
        <v>14330</v>
      </c>
      <c r="H1912" s="2" t="b">
        <v>0</v>
      </c>
      <c r="I1912" s="2" t="n">
        <v>200</v>
      </c>
      <c r="J1912" s="2" t="n">
        <v>0.8669</v>
      </c>
      <c r="K1912" s="2" t="inlineStr">
        <is>
          <t>&gt; Perfumería &gt; Cuidado Capilar &gt; Acondicionador &gt;</t>
        </is>
      </c>
      <c r="L1912" s="2" t="inlineStr">
        <is>
          <t>acondicionador</t>
        </is>
      </c>
      <c r="M1912" s="2" t="inlineStr">
        <is>
          <t>profesional</t>
        </is>
      </c>
      <c r="N1912" s="2" t="inlineStr">
        <is>
          <t>general</t>
        </is>
      </c>
      <c r="O1912" s="2" t="inlineStr">
        <is>
          <t>https://www.jumbo.com.ar/acondicionador-pantene-pro-v-control-caida-200-ml/p</t>
        </is>
      </c>
    </row>
    <row r="1913">
      <c r="A1913" t="inlineStr">
        <is>
          <t>Jumbo</t>
        </is>
      </c>
      <c r="B1913" t="n">
        <v>7333</v>
      </c>
      <c r="C1913" t="n">
        <v>4666</v>
      </c>
      <c r="D1913" t="inlineStr">
        <is>
          <t>Acondicionador Pantene Max Pro V Reparación Rejuvenecedora 750 Ml</t>
        </is>
      </c>
      <c r="E1913" t="inlineStr">
        <is>
          <t>PANTENE</t>
        </is>
      </c>
      <c r="F1913" t="n">
        <v>284.77</v>
      </c>
      <c r="G1913" t="n">
        <v>23535</v>
      </c>
      <c r="H1913" t="b">
        <v>0</v>
      </c>
      <c r="I1913" t="n">
        <v>750</v>
      </c>
      <c r="J1913" t="n">
        <v>0.3797</v>
      </c>
      <c r="K1913" t="inlineStr">
        <is>
          <t>&gt; Perfumería &gt; Cuidado Capilar &gt; Acondicionador &gt;</t>
        </is>
      </c>
      <c r="L1913" t="inlineStr">
        <is>
          <t>acondicionador</t>
        </is>
      </c>
      <c r="M1913" t="inlineStr">
        <is>
          <t>profesional</t>
        </is>
      </c>
      <c r="N1913" t="inlineStr">
        <is>
          <t>general</t>
        </is>
      </c>
      <c r="O1913" t="inlineStr">
        <is>
          <t>https://www.jumbo.com.ar/acondicionador-pantene-max-pro-v-reparacion-rejuvenecedora-750-ml/p</t>
        </is>
      </c>
    </row>
    <row r="1914">
      <c r="A1914" s="2" t="inlineStr">
        <is>
          <t>Jumbo</t>
        </is>
      </c>
      <c r="B1914" s="2" t="n">
        <v>7330</v>
      </c>
      <c r="C1914" s="2" t="n">
        <v>4664</v>
      </c>
      <c r="D1914" s="2" t="inlineStr">
        <is>
          <t>Acondicionador Pantene Max Pro V Reparación Rejuvenecedora 400 Ml</t>
        </is>
      </c>
      <c r="E1914" s="2" t="inlineStr">
        <is>
          <t>PANTENE</t>
        </is>
      </c>
      <c r="F1914" s="2" t="n">
        <v>315.75</v>
      </c>
      <c r="G1914" s="2" t="n">
        <v>26095</v>
      </c>
      <c r="H1914" s="2" t="b">
        <v>0</v>
      </c>
      <c r="I1914" s="2" t="n">
        <v>400</v>
      </c>
      <c r="J1914" s="2" t="n">
        <v>0.7894</v>
      </c>
      <c r="K1914" s="2" t="inlineStr">
        <is>
          <t>&gt; Perfumería &gt; Cuidado Capilar &gt; Acondicionador &gt;</t>
        </is>
      </c>
      <c r="L1914" s="2" t="inlineStr">
        <is>
          <t>acondicionador</t>
        </is>
      </c>
      <c r="M1914" s="2" t="inlineStr">
        <is>
          <t>profesional</t>
        </is>
      </c>
      <c r="N1914" s="2" t="inlineStr">
        <is>
          <t>general</t>
        </is>
      </c>
      <c r="O1914" s="2" t="inlineStr">
        <is>
          <t>https://www.jumbo.com.ar/acondicionador-pantene-max-pro-v-reparacion-rejuvenecedora-400-ml/p</t>
        </is>
      </c>
    </row>
    <row r="1915">
      <c r="A1915" t="inlineStr">
        <is>
          <t>Jumbo</t>
        </is>
      </c>
      <c r="B1915" t="n">
        <v>7329</v>
      </c>
      <c r="C1915" t="n">
        <v>4663</v>
      </c>
      <c r="D1915" t="inlineStr">
        <is>
          <t>Acondicionador Pantene Max Pro V Reparación Rejuvenecedora 200 Ml</t>
        </is>
      </c>
      <c r="E1915" t="inlineStr">
        <is>
          <t>PANTENE</t>
        </is>
      </c>
      <c r="F1915" t="n">
        <v>173.39</v>
      </c>
      <c r="G1915" t="n">
        <v>14330</v>
      </c>
      <c r="H1915" t="b">
        <v>0</v>
      </c>
      <c r="I1915" t="n">
        <v>200</v>
      </c>
      <c r="J1915" t="n">
        <v>0.8669</v>
      </c>
      <c r="K1915" t="inlineStr">
        <is>
          <t>&gt; Perfumería &gt; Cuidado Capilar &gt; Acondicionador &gt;</t>
        </is>
      </c>
      <c r="L1915" t="inlineStr">
        <is>
          <t>acondicionador</t>
        </is>
      </c>
      <c r="M1915" t="inlineStr">
        <is>
          <t>profesional</t>
        </is>
      </c>
      <c r="N1915" t="inlineStr">
        <is>
          <t>general</t>
        </is>
      </c>
      <c r="O1915" t="inlineStr">
        <is>
          <t>https://www.jumbo.com.ar/acondicionador-pantene-max-pro-v-reparacion-rejuvenecedora-200-ml/p</t>
        </is>
      </c>
    </row>
    <row r="1916">
      <c r="A1916" s="2" t="inlineStr">
        <is>
          <t>Jumbo</t>
        </is>
      </c>
      <c r="B1916" s="2" t="n">
        <v>7327</v>
      </c>
      <c r="C1916" s="2" t="n">
        <v>4661</v>
      </c>
      <c r="D1916" s="2" t="inlineStr">
        <is>
          <t>Acondicionador Pantene Rizos 200ml</t>
        </is>
      </c>
      <c r="E1916" s="2" t="inlineStr">
        <is>
          <t>PANTENE</t>
        </is>
      </c>
      <c r="F1916" s="2" t="n">
        <v>173.39</v>
      </c>
      <c r="G1916" s="2" t="n">
        <v>14330</v>
      </c>
      <c r="H1916" s="2" t="b">
        <v>0</v>
      </c>
      <c r="I1916" s="2" t="n">
        <v>200</v>
      </c>
      <c r="J1916" s="2" t="n">
        <v>0.8669</v>
      </c>
      <c r="K1916" s="2" t="inlineStr">
        <is>
          <t>&gt; Perfumería &gt; Cuidado Capilar &gt; Acondicionador &gt;</t>
        </is>
      </c>
      <c r="L1916" s="2" t="inlineStr">
        <is>
          <t>acondicionador</t>
        </is>
      </c>
      <c r="M1916" s="2" t="inlineStr">
        <is>
          <t>estandar</t>
        </is>
      </c>
      <c r="N1916" s="2" t="inlineStr">
        <is>
          <t>rizado</t>
        </is>
      </c>
      <c r="O1916" s="2" t="inlineStr">
        <is>
          <t>https://www.jumbo.com.ar/acondicionador-pantene-rizos-200ml/p</t>
        </is>
      </c>
    </row>
    <row r="1917">
      <c r="A1917" t="inlineStr">
        <is>
          <t>Jumbo</t>
        </is>
      </c>
      <c r="B1917" t="n">
        <v>7326</v>
      </c>
      <c r="C1917" t="n">
        <v>4660</v>
      </c>
      <c r="D1917" t="inlineStr">
        <is>
          <t>Shampoo Pantene Pro-v Control Caída 750 Ml</t>
        </is>
      </c>
      <c r="E1917" t="inlineStr">
        <is>
          <t>PANTENE</t>
        </is>
      </c>
      <c r="F1917" t="n">
        <v>494.89</v>
      </c>
      <c r="G1917" t="n">
        <v>40900</v>
      </c>
      <c r="H1917" t="b">
        <v>0</v>
      </c>
      <c r="I1917" t="n">
        <v>750</v>
      </c>
      <c r="J1917" t="n">
        <v>0.6599</v>
      </c>
      <c r="K1917" t="inlineStr">
        <is>
          <t>&gt; Perfumería &gt; Cuidado Capilar &gt; Shampoo &gt;</t>
        </is>
      </c>
      <c r="L1917" t="inlineStr">
        <is>
          <t>shampoo</t>
        </is>
      </c>
      <c r="M1917" t="inlineStr">
        <is>
          <t>profesional</t>
        </is>
      </c>
      <c r="N1917" t="inlineStr">
        <is>
          <t>general</t>
        </is>
      </c>
      <c r="O1917" t="inlineStr">
        <is>
          <t>https://www.jumbo.com.ar/shampoo-pantene-pro-v-control-caida-750-ml/p</t>
        </is>
      </c>
    </row>
    <row r="1918">
      <c r="A1918" s="2" t="inlineStr">
        <is>
          <t>Jumbo</t>
        </is>
      </c>
      <c r="B1918" s="2" t="n">
        <v>7324</v>
      </c>
      <c r="C1918" s="2" t="n">
        <v>4658</v>
      </c>
      <c r="D1918" s="2" t="inlineStr">
        <is>
          <t>Shampoo Pantene Pro-v Control Caída 200 Ml</t>
        </is>
      </c>
      <c r="E1918" s="2" t="inlineStr">
        <is>
          <t>PANTENE</t>
        </is>
      </c>
      <c r="F1918" s="2" t="n">
        <v>173.39</v>
      </c>
      <c r="G1918" s="2" t="n">
        <v>14330</v>
      </c>
      <c r="H1918" s="2" t="b">
        <v>0</v>
      </c>
      <c r="I1918" s="2" t="n">
        <v>200</v>
      </c>
      <c r="J1918" s="2" t="n">
        <v>0.8669</v>
      </c>
      <c r="K1918" s="2" t="inlineStr">
        <is>
          <t>&gt; Perfumería &gt; Cuidado Capilar &gt; Shampoo &gt;</t>
        </is>
      </c>
      <c r="L1918" s="2" t="inlineStr">
        <is>
          <t>shampoo</t>
        </is>
      </c>
      <c r="M1918" s="2" t="inlineStr">
        <is>
          <t>profesional</t>
        </is>
      </c>
      <c r="N1918" s="2" t="inlineStr">
        <is>
          <t>general</t>
        </is>
      </c>
      <c r="O1918" s="2" t="inlineStr">
        <is>
          <t>https://www.jumbo.com.ar/shampoo-pantene-pro-v-control-caida-200-ml-2/p</t>
        </is>
      </c>
    </row>
    <row r="1919">
      <c r="A1919" t="inlineStr">
        <is>
          <t>Jumbo</t>
        </is>
      </c>
      <c r="B1919" t="n">
        <v>7321</v>
      </c>
      <c r="C1919" t="n">
        <v>4655</v>
      </c>
      <c r="D1919" t="inlineStr">
        <is>
          <t>Shampoo Pantene Pro-v Hidratación Extrema 750 Ml</t>
        </is>
      </c>
      <c r="E1919" t="inlineStr">
        <is>
          <t>PANTENE</t>
        </is>
      </c>
      <c r="F1919" t="n">
        <v>494.89</v>
      </c>
      <c r="G1919" t="n">
        <v>40900</v>
      </c>
      <c r="H1919" t="b">
        <v>0</v>
      </c>
      <c r="I1919" t="n">
        <v>750</v>
      </c>
      <c r="J1919" t="n">
        <v>0.6599</v>
      </c>
      <c r="K1919" t="inlineStr">
        <is>
          <t>&gt; Perfumería &gt; Cuidado Capilar &gt; Shampoo &gt;</t>
        </is>
      </c>
      <c r="L1919" t="inlineStr">
        <is>
          <t>shampoo</t>
        </is>
      </c>
      <c r="M1919" t="inlineStr">
        <is>
          <t>profesional</t>
        </is>
      </c>
      <c r="N1919" t="inlineStr">
        <is>
          <t>seco_danado</t>
        </is>
      </c>
      <c r="O1919" t="inlineStr">
        <is>
          <t>https://www.jumbo.com.ar/shampoo-pantene-pro-v-hidratacion-extrema-750-ml/p</t>
        </is>
      </c>
    </row>
    <row r="1920">
      <c r="A1920" s="2" t="inlineStr">
        <is>
          <t>Jumbo</t>
        </is>
      </c>
      <c r="B1920" s="2" t="n">
        <v>3432</v>
      </c>
      <c r="C1920" s="2" t="n">
        <v>248499</v>
      </c>
      <c r="D1920" s="2" t="inlineStr">
        <is>
          <t>Crema Para Peinar Pantene Pro-v Anti-frizz Hidratación Extrema 300 Ml</t>
        </is>
      </c>
      <c r="E1920" s="2" t="inlineStr">
        <is>
          <t>PANTENE</t>
        </is>
      </c>
      <c r="F1920" s="2" t="n">
        <v>827.95</v>
      </c>
      <c r="G1920" s="2" t="n">
        <v>68426</v>
      </c>
      <c r="H1920" s="2" t="b">
        <v>0</v>
      </c>
      <c r="I1920" s="2" t="n">
        <v>300</v>
      </c>
      <c r="J1920" s="2" t="n">
        <v>2.7598</v>
      </c>
      <c r="K1920" s="2" t="inlineStr">
        <is>
          <t>&gt; Perfumería &gt; Cuidado Capilar &gt; Reparación y Tratamientos &gt;</t>
        </is>
      </c>
      <c r="L1920" s="2" t="inlineStr">
        <is>
          <t>shampoo</t>
        </is>
      </c>
      <c r="M1920" s="2" t="inlineStr">
        <is>
          <t>profesional</t>
        </is>
      </c>
      <c r="N1920" s="2" t="inlineStr">
        <is>
          <t>seco_danado</t>
        </is>
      </c>
      <c r="O1920" s="2" t="inlineStr">
        <is>
          <t>https://www.jumbo.com.ar/crema-para-peinar-pantene-pro-v-anti-frizz-hidratacion-extrema-300-ml/p</t>
        </is>
      </c>
    </row>
    <row r="1921">
      <c r="A1921" t="inlineStr">
        <is>
          <t>Jumbo</t>
        </is>
      </c>
      <c r="B1921" t="n">
        <v>3422</v>
      </c>
      <c r="C1921" t="n">
        <v>248495</v>
      </c>
      <c r="D1921" t="inlineStr">
        <is>
          <t>Acondicionador Pantene Pro-v Hidrocauterizacion 750 Ml</t>
        </is>
      </c>
      <c r="E1921" t="inlineStr">
        <is>
          <t>PANTENE</t>
        </is>
      </c>
      <c r="F1921" t="n">
        <v>284.77</v>
      </c>
      <c r="G1921" t="n">
        <v>23535</v>
      </c>
      <c r="H1921" t="b">
        <v>0</v>
      </c>
      <c r="I1921" t="n">
        <v>750</v>
      </c>
      <c r="J1921" t="n">
        <v>0.3797</v>
      </c>
      <c r="K1921" t="inlineStr">
        <is>
          <t>&gt; Perfumería &gt; Cuidado Capilar &gt; Acondicionador &gt;</t>
        </is>
      </c>
      <c r="L1921" t="inlineStr">
        <is>
          <t>acondicionador</t>
        </is>
      </c>
      <c r="M1921" t="inlineStr">
        <is>
          <t>profesional</t>
        </is>
      </c>
      <c r="N1921" t="inlineStr">
        <is>
          <t>general</t>
        </is>
      </c>
      <c r="O1921" t="inlineStr">
        <is>
          <t>https://www.jumbo.com.ar/acondicionador-pantene-3/p</t>
        </is>
      </c>
    </row>
    <row r="1922">
      <c r="A1922" s="2" t="inlineStr">
        <is>
          <t>Jumbo</t>
        </is>
      </c>
      <c r="B1922" s="2" t="n">
        <v>52</v>
      </c>
      <c r="C1922" s="2" t="n">
        <v>148878</v>
      </c>
      <c r="D1922" s="2" t="inlineStr">
        <is>
          <t>Pantene Acondicionador Hidratación 750ml</t>
        </is>
      </c>
      <c r="E1922" s="2" t="inlineStr">
        <is>
          <t>PANTENE</t>
        </is>
      </c>
      <c r="F1922" s="2" t="n">
        <v>284.77</v>
      </c>
      <c r="G1922" s="2" t="n">
        <v>23535</v>
      </c>
      <c r="H1922" s="2" t="b">
        <v>0</v>
      </c>
      <c r="I1922" s="2" t="n">
        <v>750</v>
      </c>
      <c r="J1922" s="2" t="n">
        <v>0.3797</v>
      </c>
      <c r="K1922" s="2" t="inlineStr">
        <is>
          <t>&gt; Perfumería &gt; Cuidado Capilar &gt; Acondicionador &gt;</t>
        </is>
      </c>
      <c r="L1922" s="2" t="inlineStr">
        <is>
          <t>acondicionador</t>
        </is>
      </c>
      <c r="M1922" s="2" t="inlineStr">
        <is>
          <t>estandar</t>
        </is>
      </c>
      <c r="N1922" s="2" t="inlineStr">
        <is>
          <t>seco_danado</t>
        </is>
      </c>
      <c r="O1922" s="2" t="inlineStr">
        <is>
          <t>https://www.jumbo.com.ar/acondicionador-pantene/p</t>
        </is>
      </c>
    </row>
    <row r="1923">
      <c r="A1923" t="inlineStr">
        <is>
          <t>Jumbo</t>
        </is>
      </c>
      <c r="B1923" t="n">
        <v>3065109</v>
      </c>
      <c r="C1923" t="n">
        <v>3065108</v>
      </c>
      <c r="D1923" t="inlineStr">
        <is>
          <t>Mascarilla Tratamiento Ceramidas 300 Grs Sedal</t>
        </is>
      </c>
      <c r="E1923" t="inlineStr">
        <is>
          <t>SEDAL</t>
        </is>
      </c>
      <c r="F1923" t="n">
        <v>6200</v>
      </c>
      <c r="G1923" t="n">
        <v>512397</v>
      </c>
      <c r="H1923" t="b">
        <v>1</v>
      </c>
      <c r="I1923" t="inlineStr"/>
      <c r="J1923" t="inlineStr"/>
      <c r="K1923" t="inlineStr">
        <is>
          <t>&gt; Perfumería &gt; Cuidado Capilar &gt; Reparación y Tratamientos &gt;</t>
        </is>
      </c>
      <c r="L1923" t="inlineStr">
        <is>
          <t>tratamiento</t>
        </is>
      </c>
      <c r="M1923" t="inlineStr">
        <is>
          <t>estandar</t>
        </is>
      </c>
      <c r="N1923" t="inlineStr">
        <is>
          <t>general</t>
        </is>
      </c>
      <c r="O1923" t="inlineStr">
        <is>
          <t>https://www.jumbo.com.ar/mascara-tratamiento-ceramidas-x-300-gr-sedal-2/p</t>
        </is>
      </c>
    </row>
    <row r="1924">
      <c r="A1924" s="2" t="inlineStr">
        <is>
          <t>Jumbo</t>
        </is>
      </c>
      <c r="B1924" s="2" t="n">
        <v>411272</v>
      </c>
      <c r="C1924" s="2" t="n">
        <v>407112</v>
      </c>
      <c r="D1924" s="2" t="inlineStr">
        <is>
          <t>Crema Para Peinar Sedal Ceramidas 300ml</t>
        </is>
      </c>
      <c r="E1924" s="2" t="inlineStr">
        <is>
          <t>SEDAL</t>
        </is>
      </c>
      <c r="F1924" s="2" t="n">
        <v>6150</v>
      </c>
      <c r="G1924" s="2" t="n">
        <v>508264</v>
      </c>
      <c r="H1924" s="2" t="b">
        <v>1</v>
      </c>
      <c r="I1924" s="2" t="n">
        <v>300</v>
      </c>
      <c r="J1924" s="2" t="n">
        <v>20.5</v>
      </c>
      <c r="K1924" s="2" t="inlineStr">
        <is>
          <t>&gt; Perfumería &gt; Cuidado Capilar &gt; Reparación y Tratamientos &gt;</t>
        </is>
      </c>
      <c r="L1924" s="2" t="inlineStr">
        <is>
          <t>shampoo</t>
        </is>
      </c>
      <c r="M1924" s="2" t="inlineStr">
        <is>
          <t>estandar</t>
        </is>
      </c>
      <c r="N1924" s="2" t="inlineStr">
        <is>
          <t>general</t>
        </is>
      </c>
      <c r="O1924" s="2" t="inlineStr">
        <is>
          <t>https://www.jumbo.com.ar/crema-para-peinar-sedal-ceramidas-300ml/p</t>
        </is>
      </c>
    </row>
    <row r="1925">
      <c r="A1925" t="inlineStr">
        <is>
          <t>Jumbo</t>
        </is>
      </c>
      <c r="B1925" t="n">
        <v>3067579</v>
      </c>
      <c r="C1925" t="n">
        <v>3067443</v>
      </c>
      <c r="D1925" t="inlineStr">
        <is>
          <t>Sérum Capilar Luminous Uv 110 Ml Sedal</t>
        </is>
      </c>
      <c r="E1925" t="inlineStr">
        <is>
          <t>SEDAL</t>
        </is>
      </c>
      <c r="F1925" t="n">
        <v>10750</v>
      </c>
      <c r="G1925" t="n">
        <v>888430</v>
      </c>
      <c r="H1925" t="b">
        <v>1</v>
      </c>
      <c r="I1925" t="n">
        <v>110</v>
      </c>
      <c r="J1925" t="n">
        <v>97.7273</v>
      </c>
      <c r="K1925" t="inlineStr">
        <is>
          <t>&gt; Perfumería &gt; Cuidado Capilar &gt; Reparación y Tratamientos &gt;</t>
        </is>
      </c>
      <c r="L1925" t="inlineStr">
        <is>
          <t>shampoo</t>
        </is>
      </c>
      <c r="M1925" t="inlineStr">
        <is>
          <t>estandar</t>
        </is>
      </c>
      <c r="N1925" t="inlineStr">
        <is>
          <t>general</t>
        </is>
      </c>
      <c r="O1925" t="inlineStr">
        <is>
          <t>https://www.jumbo.com.ar/serum-capilar-luminous-uv-110-ml-sedal/p</t>
        </is>
      </c>
    </row>
    <row r="1926">
      <c r="A1926" s="2" t="inlineStr">
        <is>
          <t>Jumbo</t>
        </is>
      </c>
      <c r="B1926" s="2" t="n">
        <v>3066237</v>
      </c>
      <c r="C1926" s="2" t="n">
        <v>3066153</v>
      </c>
      <c r="D1926" s="2" t="inlineStr">
        <is>
          <t>Máscara De Tratamiento Luminous Uv 300 Grs Sedal</t>
        </is>
      </c>
      <c r="E1926" s="2" t="inlineStr">
        <is>
          <t>SEDAL</t>
        </is>
      </c>
      <c r="F1926" s="2" t="n">
        <v>6150</v>
      </c>
      <c r="G1926" s="2" t="n">
        <v>508264</v>
      </c>
      <c r="H1926" s="2" t="b">
        <v>1</v>
      </c>
      <c r="I1926" s="2" t="inlineStr"/>
      <c r="J1926" s="2" t="inlineStr"/>
      <c r="K1926" s="2" t="inlineStr">
        <is>
          <t>&gt; Perfumería &gt; Cuidado Capilar &gt; Reparación y Tratamientos &gt;</t>
        </is>
      </c>
      <c r="L1926" s="2" t="inlineStr">
        <is>
          <t>tratamiento</t>
        </is>
      </c>
      <c r="M1926" s="2" t="inlineStr">
        <is>
          <t>estandar</t>
        </is>
      </c>
      <c r="N1926" s="2" t="inlineStr">
        <is>
          <t>general</t>
        </is>
      </c>
      <c r="O1926" s="2" t="inlineStr">
        <is>
          <t>https://www.jumbo.com.ar/mascara-de-tratamiento-luminous-uv-300-grs-sedal-2/p</t>
        </is>
      </c>
    </row>
    <row r="1927">
      <c r="A1927" t="inlineStr">
        <is>
          <t>Jumbo</t>
        </is>
      </c>
      <c r="B1927" t="n">
        <v>411277</v>
      </c>
      <c r="C1927" t="n">
        <v>407117</v>
      </c>
      <c r="D1927" t="inlineStr">
        <is>
          <t>Crema De Peinar Sedal Hialurónico Y Vitamina A 300 Ml</t>
        </is>
      </c>
      <c r="E1927" t="inlineStr">
        <is>
          <t>SEDAL</t>
        </is>
      </c>
      <c r="F1927" t="n">
        <v>6150</v>
      </c>
      <c r="G1927" t="n">
        <v>508264</v>
      </c>
      <c r="H1927" t="b">
        <v>1</v>
      </c>
      <c r="I1927" t="n">
        <v>300</v>
      </c>
      <c r="J1927" t="n">
        <v>20.5</v>
      </c>
      <c r="K1927" t="inlineStr">
        <is>
          <t>&gt; Perfumería &gt; Cuidado Capilar &gt; Reparación y Tratamientos &gt;</t>
        </is>
      </c>
      <c r="L1927" t="inlineStr">
        <is>
          <t>shampoo</t>
        </is>
      </c>
      <c r="M1927" t="inlineStr">
        <is>
          <t>estandar</t>
        </is>
      </c>
      <c r="N1927" t="inlineStr">
        <is>
          <t>general</t>
        </is>
      </c>
      <c r="O1927" t="inlineStr">
        <is>
          <t>https://www.jumbo.com.ar/crema-de-peinar-sedal-hialuronico-y-vitamina-a-300-ml-2/p</t>
        </is>
      </c>
    </row>
    <row r="1928">
      <c r="A1928" s="2" t="inlineStr">
        <is>
          <t>Jumbo</t>
        </is>
      </c>
      <c r="B1928" s="2" t="n">
        <v>411257</v>
      </c>
      <c r="C1928" s="2" t="n">
        <v>407097</v>
      </c>
      <c r="D1928" s="2" t="inlineStr">
        <is>
          <t>Mascarilla Capilar Regeneración Colágeno y Vitamina C 300 Grs Sedal</t>
        </is>
      </c>
      <c r="E1928" s="2" t="inlineStr">
        <is>
          <t>SEDAL</t>
        </is>
      </c>
      <c r="F1928" s="2" t="n">
        <v>6150</v>
      </c>
      <c r="G1928" s="2" t="n">
        <v>508264</v>
      </c>
      <c r="H1928" s="2" t="b">
        <v>1</v>
      </c>
      <c r="I1928" s="2" t="inlineStr"/>
      <c r="J1928" s="2" t="inlineStr"/>
      <c r="K1928" s="2" t="inlineStr">
        <is>
          <t>&gt; Perfumería &gt; Cuidado Capilar &gt; Reparación y Tratamientos &gt;</t>
        </is>
      </c>
      <c r="L1928" s="2" t="inlineStr">
        <is>
          <t>tratamiento</t>
        </is>
      </c>
      <c r="M1928" s="2" t="inlineStr">
        <is>
          <t>estandar</t>
        </is>
      </c>
      <c r="N1928" s="2" t="inlineStr">
        <is>
          <t>general</t>
        </is>
      </c>
      <c r="O1928" s="2" t="inlineStr">
        <is>
          <t>https://www.jumbo.com.ar/mascara-de-tratamiento-sedal-colageno-y-vitamina-c-300-gr/p</t>
        </is>
      </c>
    </row>
    <row r="1929">
      <c r="A1929" t="inlineStr">
        <is>
          <t>Jumbo</t>
        </is>
      </c>
      <c r="B1929" t="n">
        <v>3075201</v>
      </c>
      <c r="C1929" t="n">
        <v>3074666</v>
      </c>
      <c r="D1929" t="inlineStr">
        <is>
          <t>Mascarilla Capilar Toque de Seda 300 Grs Sedal</t>
        </is>
      </c>
      <c r="E1929" t="inlineStr">
        <is>
          <t>SEDAL</t>
        </is>
      </c>
      <c r="F1929" t="n">
        <v>6150</v>
      </c>
      <c r="G1929" t="n">
        <v>508264</v>
      </c>
      <c r="H1929" t="b">
        <v>1</v>
      </c>
      <c r="I1929" t="inlineStr"/>
      <c r="J1929" t="inlineStr"/>
      <c r="K1929" t="inlineStr">
        <is>
          <t>&gt; Perfumería &gt; Cuidado Capilar &gt; Reparación y Tratamientos &gt;</t>
        </is>
      </c>
      <c r="L1929" t="inlineStr">
        <is>
          <t>tratamiento</t>
        </is>
      </c>
      <c r="M1929" t="inlineStr">
        <is>
          <t>estandar</t>
        </is>
      </c>
      <c r="N1929" t="inlineStr">
        <is>
          <t>general</t>
        </is>
      </c>
      <c r="O1929" t="inlineStr">
        <is>
          <t>https://www.jumbo.com.ar/mascarilla-capilar-toque-de-seda-x-300-grs-sedal/p</t>
        </is>
      </c>
    </row>
    <row r="1930">
      <c r="A1930" s="2" t="inlineStr">
        <is>
          <t>Jumbo</t>
        </is>
      </c>
      <c r="B1930" s="2" t="n">
        <v>3066241</v>
      </c>
      <c r="C1930" s="2" t="n">
        <v>3066157</v>
      </c>
      <c r="D1930" s="2" t="inlineStr">
        <is>
          <t>Crema Peinar Luminous Uv X 300 Ml Sedal</t>
        </is>
      </c>
      <c r="E1930" s="2" t="inlineStr">
        <is>
          <t>SEDAL</t>
        </is>
      </c>
      <c r="F1930" s="2" t="n">
        <v>6150</v>
      </c>
      <c r="G1930" s="2" t="n">
        <v>508264</v>
      </c>
      <c r="H1930" s="2" t="b">
        <v>1</v>
      </c>
      <c r="I1930" s="2" t="n">
        <v>300</v>
      </c>
      <c r="J1930" s="2" t="n">
        <v>20.5</v>
      </c>
      <c r="K1930" s="2" t="inlineStr">
        <is>
          <t>&gt; Perfumería &gt; Cuidado Capilar &gt; Reparación y Tratamientos &gt;</t>
        </is>
      </c>
      <c r="L1930" s="2" t="inlineStr">
        <is>
          <t>shampoo</t>
        </is>
      </c>
      <c r="M1930" s="2" t="inlineStr">
        <is>
          <t>estandar</t>
        </is>
      </c>
      <c r="N1930" s="2" t="inlineStr">
        <is>
          <t>general</t>
        </is>
      </c>
      <c r="O1930" s="2" t="inlineStr">
        <is>
          <t>https://www.jumbo.com.ar/crema-peinar-luminous-uv-x-300-ml-sedal-2/p</t>
        </is>
      </c>
    </row>
    <row r="1931">
      <c r="A1931" t="inlineStr">
        <is>
          <t>Jumbo</t>
        </is>
      </c>
      <c r="B1931" t="n">
        <v>411275</v>
      </c>
      <c r="C1931" t="n">
        <v>407115</v>
      </c>
      <c r="D1931" t="inlineStr">
        <is>
          <t>Crema para Peinar Lisos Perfectos 300 Ml Sedal</t>
        </is>
      </c>
      <c r="E1931" t="inlineStr">
        <is>
          <t>SEDAL</t>
        </is>
      </c>
      <c r="F1931" t="n">
        <v>5800</v>
      </c>
      <c r="G1931" t="n">
        <v>479339</v>
      </c>
      <c r="H1931" t="b">
        <v>1</v>
      </c>
      <c r="I1931" t="n">
        <v>300</v>
      </c>
      <c r="J1931" t="n">
        <v>19.3333</v>
      </c>
      <c r="K1931" t="inlineStr">
        <is>
          <t>&gt; Perfumería &gt; Cuidado Capilar &gt; Reparación y Tratamientos &gt;</t>
        </is>
      </c>
      <c r="L1931" t="inlineStr">
        <is>
          <t>shampoo</t>
        </is>
      </c>
      <c r="M1931" t="inlineStr">
        <is>
          <t>estandar</t>
        </is>
      </c>
      <c r="N1931" t="inlineStr">
        <is>
          <t>general</t>
        </is>
      </c>
      <c r="O1931" t="inlineStr">
        <is>
          <t>https://www.jumbo.com.ar/crema-para-peinar-sedal-lisos-perfectos-300-ml-2/p</t>
        </is>
      </c>
    </row>
    <row r="1932">
      <c r="A1932" s="2" t="inlineStr">
        <is>
          <t>Jumbo</t>
        </is>
      </c>
      <c r="B1932" s="2" t="n">
        <v>397910</v>
      </c>
      <c r="C1932" s="2" t="n">
        <v>395645</v>
      </c>
      <c r="D1932" s="2" t="inlineStr">
        <is>
          <t>Acondicionador Restauración Instantánea 190 Ml Sedal</t>
        </is>
      </c>
      <c r="E1932" s="2" t="inlineStr">
        <is>
          <t>SEDAL</t>
        </is>
      </c>
      <c r="F1932" s="2" t="n">
        <v>3900</v>
      </c>
      <c r="G1932" s="2" t="n">
        <v>322314</v>
      </c>
      <c r="H1932" s="2" t="b">
        <v>1</v>
      </c>
      <c r="I1932" s="2" t="n">
        <v>190</v>
      </c>
      <c r="J1932" s="2" t="n">
        <v>20.5263</v>
      </c>
      <c r="K1932" s="2" t="inlineStr">
        <is>
          <t>&gt; Perfumería &gt; Cuidado Capilar &gt; Acondicionador &gt;</t>
        </is>
      </c>
      <c r="L1932" s="2" t="inlineStr">
        <is>
          <t>acondicionador</t>
        </is>
      </c>
      <c r="M1932" s="2" t="inlineStr">
        <is>
          <t>estandar</t>
        </is>
      </c>
      <c r="N1932" s="2" t="inlineStr">
        <is>
          <t>general</t>
        </is>
      </c>
      <c r="O1932" s="2" t="inlineStr">
        <is>
          <t>https://www.jumbo.com.ar/acondicionador-restauracion-instantanea-190-ml-sedal/p</t>
        </is>
      </c>
    </row>
    <row r="1933">
      <c r="A1933" t="inlineStr">
        <is>
          <t>Jumbo</t>
        </is>
      </c>
      <c r="B1933" t="n">
        <v>3078389</v>
      </c>
      <c r="C1933" t="n">
        <v>3077733</v>
      </c>
      <c r="D1933" t="inlineStr">
        <is>
          <t>Shampoo Ceramidas X 300 Ml Sedal</t>
        </is>
      </c>
      <c r="E1933" t="inlineStr">
        <is>
          <t>SEDAL</t>
        </is>
      </c>
      <c r="F1933" t="n">
        <v>3800</v>
      </c>
      <c r="G1933" t="n">
        <v>314050</v>
      </c>
      <c r="H1933" t="b">
        <v>0</v>
      </c>
      <c r="I1933" t="n">
        <v>300</v>
      </c>
      <c r="J1933" t="n">
        <v>12.6667</v>
      </c>
      <c r="K1933" t="inlineStr">
        <is>
          <t>&gt; Perfumería &gt; Cuidado Capilar &gt; Shampoo &gt;</t>
        </is>
      </c>
      <c r="L1933" t="inlineStr">
        <is>
          <t>shampoo</t>
        </is>
      </c>
      <c r="M1933" t="inlineStr">
        <is>
          <t>estandar</t>
        </is>
      </c>
      <c r="N1933" t="inlineStr">
        <is>
          <t>general</t>
        </is>
      </c>
      <c r="O1933" t="inlineStr">
        <is>
          <t>https://www.jumbo.com.ar/shampoo-ceramidas-x-300-ml-sedal/p</t>
        </is>
      </c>
    </row>
    <row r="1934">
      <c r="A1934" s="2" t="inlineStr">
        <is>
          <t>Jumbo</t>
        </is>
      </c>
      <c r="B1934" s="2" t="n">
        <v>3078388</v>
      </c>
      <c r="C1934" s="2" t="n">
        <v>3077732</v>
      </c>
      <c r="D1934" s="2" t="inlineStr">
        <is>
          <t>Shampoo Luminous Uv X 300 Ml Sedal</t>
        </is>
      </c>
      <c r="E1934" s="2" t="inlineStr">
        <is>
          <t>SEDAL</t>
        </is>
      </c>
      <c r="F1934" s="2" t="n">
        <v>3800</v>
      </c>
      <c r="G1934" s="2" t="n">
        <v>314050</v>
      </c>
      <c r="H1934" s="2" t="b">
        <v>0</v>
      </c>
      <c r="I1934" s="2" t="n">
        <v>300</v>
      </c>
      <c r="J1934" s="2" t="n">
        <v>12.6667</v>
      </c>
      <c r="K1934" s="2" t="inlineStr">
        <is>
          <t>&gt; Perfumería &gt; Cuidado Capilar &gt; Shampoo &gt;</t>
        </is>
      </c>
      <c r="L1934" s="2" t="inlineStr">
        <is>
          <t>shampoo</t>
        </is>
      </c>
      <c r="M1934" s="2" t="inlineStr">
        <is>
          <t>estandar</t>
        </is>
      </c>
      <c r="N1934" s="2" t="inlineStr">
        <is>
          <t>general</t>
        </is>
      </c>
      <c r="O1934" s="2" t="inlineStr">
        <is>
          <t>https://www.jumbo.com.ar/shampoo-luminous-uv-x-300-ml-sedal/p</t>
        </is>
      </c>
    </row>
    <row r="1935">
      <c r="A1935" t="inlineStr">
        <is>
          <t>Jumbo</t>
        </is>
      </c>
      <c r="B1935" t="n">
        <v>3077069</v>
      </c>
      <c r="C1935" t="n">
        <v>3076419</v>
      </c>
      <c r="D1935" t="inlineStr">
        <is>
          <t>Serum Óleo Toque de Seda 60 Ml Sedal</t>
        </is>
      </c>
      <c r="E1935" t="inlineStr">
        <is>
          <t>SEDAL</t>
        </is>
      </c>
      <c r="F1935" t="n">
        <v>9300</v>
      </c>
      <c r="G1935" t="n">
        <v>768595</v>
      </c>
      <c r="H1935" t="b">
        <v>0</v>
      </c>
      <c r="I1935" t="n">
        <v>60</v>
      </c>
      <c r="J1935" t="n">
        <v>155</v>
      </c>
      <c r="K1935" t="inlineStr">
        <is>
          <t>&gt; Perfumería &gt; Cuidado Capilar &gt; Reparación y Tratamientos &gt;</t>
        </is>
      </c>
      <c r="L1935" t="inlineStr">
        <is>
          <t>shampoo</t>
        </is>
      </c>
      <c r="M1935" t="inlineStr">
        <is>
          <t>estandar</t>
        </is>
      </c>
      <c r="N1935" t="inlineStr">
        <is>
          <t>general</t>
        </is>
      </c>
      <c r="O1935" t="inlineStr">
        <is>
          <t>https://www.jumbo.com.ar/serum-sedal-oleo-toque-de-seda-x-60-ml-seda/p</t>
        </is>
      </c>
    </row>
    <row r="1936">
      <c r="A1936" s="2" t="inlineStr">
        <is>
          <t>Jumbo</t>
        </is>
      </c>
      <c r="B1936" s="2" t="n">
        <v>3077068</v>
      </c>
      <c r="C1936" s="2" t="n">
        <v>3076418</v>
      </c>
      <c r="D1936" s="2" t="inlineStr">
        <is>
          <t>Sérum Capilar Toque de Seda 100 Ml Sedal</t>
        </is>
      </c>
      <c r="E1936" s="2" t="inlineStr">
        <is>
          <t>SEDAL</t>
        </is>
      </c>
      <c r="F1936" s="2" t="n">
        <v>10400</v>
      </c>
      <c r="G1936" s="2" t="n">
        <v>859504</v>
      </c>
      <c r="H1936" s="2" t="b">
        <v>0</v>
      </c>
      <c r="I1936" s="2" t="n">
        <v>100</v>
      </c>
      <c r="J1936" s="2" t="n">
        <v>104</v>
      </c>
      <c r="K1936" s="2" t="inlineStr">
        <is>
          <t>&gt; Perfumería &gt; Cuidado Capilar &gt; Reparación y Tratamientos &gt;</t>
        </is>
      </c>
      <c r="L1936" s="2" t="inlineStr">
        <is>
          <t>shampoo</t>
        </is>
      </c>
      <c r="M1936" s="2" t="inlineStr">
        <is>
          <t>estandar</t>
        </is>
      </c>
      <c r="N1936" s="2" t="inlineStr">
        <is>
          <t>general</t>
        </is>
      </c>
      <c r="O1936" s="2" t="inlineStr">
        <is>
          <t>https://www.jumbo.com.ar/serum-sedal-oleo-toque-de-seda-x-100-ml-seda/p</t>
        </is>
      </c>
    </row>
    <row r="1937">
      <c r="A1937" t="inlineStr">
        <is>
          <t>Jumbo</t>
        </is>
      </c>
      <c r="B1937" t="n">
        <v>3075200</v>
      </c>
      <c r="C1937" t="n">
        <v>3074665</v>
      </c>
      <c r="D1937" t="inlineStr">
        <is>
          <t>Acondicionador Luminous Uv X 300 Ml Sedal</t>
        </is>
      </c>
      <c r="E1937" t="inlineStr">
        <is>
          <t>SEDAL</t>
        </is>
      </c>
      <c r="F1937" t="n">
        <v>3600</v>
      </c>
      <c r="G1937" t="n">
        <v>297521</v>
      </c>
      <c r="H1937" t="b">
        <v>0</v>
      </c>
      <c r="I1937" t="n">
        <v>300</v>
      </c>
      <c r="J1937" t="n">
        <v>12</v>
      </c>
      <c r="K1937" t="inlineStr">
        <is>
          <t>&gt; Perfumería &gt; Cuidado Capilar &gt; Acondicionador &gt;</t>
        </is>
      </c>
      <c r="L1937" t="inlineStr">
        <is>
          <t>acondicionador</t>
        </is>
      </c>
      <c r="M1937" t="inlineStr">
        <is>
          <t>estandar</t>
        </is>
      </c>
      <c r="N1937" t="inlineStr">
        <is>
          <t>general</t>
        </is>
      </c>
      <c r="O1937" t="inlineStr">
        <is>
          <t>https://www.jumbo.com.ar/acondicionador-luminous-uv-x-300-ml-sedal/p</t>
        </is>
      </c>
    </row>
    <row r="1938">
      <c r="A1938" s="2" t="inlineStr">
        <is>
          <t>Jumbo</t>
        </is>
      </c>
      <c r="B1938" s="2" t="n">
        <v>1372397</v>
      </c>
      <c r="C1938" s="2" t="n">
        <v>1370411</v>
      </c>
      <c r="D1938" s="2" t="inlineStr">
        <is>
          <t>Máscara de Tratamiento Rizos Definidos 300 Grs Sedal</t>
        </is>
      </c>
      <c r="E1938" s="2" t="inlineStr">
        <is>
          <t>SEDAL</t>
        </is>
      </c>
      <c r="F1938" s="2" t="n">
        <v>5450</v>
      </c>
      <c r="G1938" s="2" t="n">
        <v>450413</v>
      </c>
      <c r="H1938" s="2" t="b">
        <v>0</v>
      </c>
      <c r="I1938" s="2" t="inlineStr"/>
      <c r="J1938" s="2" t="inlineStr"/>
      <c r="K1938" s="2" t="inlineStr">
        <is>
          <t>&gt; Perfumería &gt; Cuidado Capilar &gt; Reparación y Tratamientos &gt;</t>
        </is>
      </c>
      <c r="L1938" s="2" t="inlineStr">
        <is>
          <t>tratamiento</t>
        </is>
      </c>
      <c r="M1938" s="2" t="inlineStr">
        <is>
          <t>estandar</t>
        </is>
      </c>
      <c r="N1938" s="2" t="inlineStr">
        <is>
          <t>rizado</t>
        </is>
      </c>
      <c r="O1938" s="2" t="inlineStr">
        <is>
          <t>https://www.jumbo.com.ar/mascara-de-tratamiento-rizos-definidos-x-300-gr-sedal-2/p</t>
        </is>
      </c>
    </row>
    <row r="1939">
      <c r="A1939" t="inlineStr">
        <is>
          <t>Jumbo</t>
        </is>
      </c>
      <c r="B1939" t="n">
        <v>415145</v>
      </c>
      <c r="C1939" t="n">
        <v>410805</v>
      </c>
      <c r="D1939" t="inlineStr">
        <is>
          <t>Shampoo Liso Perfecto 650 Ml Sedal</t>
        </is>
      </c>
      <c r="E1939" t="inlineStr">
        <is>
          <t>SEDAL</t>
        </is>
      </c>
      <c r="F1939" t="n">
        <v>8650</v>
      </c>
      <c r="G1939" t="n">
        <v>714876</v>
      </c>
      <c r="H1939" t="b">
        <v>0</v>
      </c>
      <c r="I1939" t="n">
        <v>650</v>
      </c>
      <c r="J1939" t="n">
        <v>13.3077</v>
      </c>
      <c r="K1939" t="inlineStr">
        <is>
          <t>&gt; Perfumería &gt; Cuidado Capilar &gt; Shampoo &gt;</t>
        </is>
      </c>
      <c r="L1939" t="inlineStr">
        <is>
          <t>shampoo</t>
        </is>
      </c>
      <c r="M1939" t="inlineStr">
        <is>
          <t>estandar</t>
        </is>
      </c>
      <c r="N1939" t="inlineStr">
        <is>
          <t>general</t>
        </is>
      </c>
      <c r="O1939" t="inlineStr">
        <is>
          <t>https://www.jumbo.com.ar/shampoo-liso-perfecto-650-ml-sedal/p</t>
        </is>
      </c>
    </row>
    <row r="1940">
      <c r="A1940" s="2" t="inlineStr">
        <is>
          <t>Jumbo</t>
        </is>
      </c>
      <c r="B1940" s="2" t="n">
        <v>415142</v>
      </c>
      <c r="C1940" s="2" t="n">
        <v>410802</v>
      </c>
      <c r="D1940" s="2" t="inlineStr">
        <is>
          <t>Shampoo Liso Perfecto 190 Ml Sedal</t>
        </is>
      </c>
      <c r="E1940" s="2" t="inlineStr">
        <is>
          <t>SEDAL</t>
        </is>
      </c>
      <c r="F1940" s="2" t="n">
        <v>3600</v>
      </c>
      <c r="G1940" s="2" t="n">
        <v>297521</v>
      </c>
      <c r="H1940" s="2" t="b">
        <v>0</v>
      </c>
      <c r="I1940" s="2" t="n">
        <v>190</v>
      </c>
      <c r="J1940" s="2" t="n">
        <v>18.9474</v>
      </c>
      <c r="K1940" s="2" t="inlineStr">
        <is>
          <t>&gt; Perfumería &gt; Cuidado Capilar &gt; Shampoo &gt;</t>
        </is>
      </c>
      <c r="L1940" s="2" t="inlineStr">
        <is>
          <t>shampoo</t>
        </is>
      </c>
      <c r="M1940" s="2" t="inlineStr">
        <is>
          <t>estandar</t>
        </is>
      </c>
      <c r="N1940" s="2" t="inlineStr">
        <is>
          <t>general</t>
        </is>
      </c>
      <c r="O1940" s="2" t="inlineStr">
        <is>
          <t>https://www.jumbo.com.ar/shampoo-liso-perfecto-190-ml-sedal/p</t>
        </is>
      </c>
    </row>
    <row r="1941">
      <c r="A1941" t="inlineStr">
        <is>
          <t>Jumbo</t>
        </is>
      </c>
      <c r="B1941" t="n">
        <v>414510</v>
      </c>
      <c r="C1941" t="n">
        <v>410233</v>
      </c>
      <c r="D1941" t="inlineStr">
        <is>
          <t>Shampoo Prebióticos + Biotina 190 Ml Sedal</t>
        </is>
      </c>
      <c r="E1941" t="inlineStr">
        <is>
          <t>SEDAL</t>
        </is>
      </c>
      <c r="F1941" t="n">
        <v>3600</v>
      </c>
      <c r="G1941" t="n">
        <v>297521</v>
      </c>
      <c r="H1941" t="b">
        <v>0</v>
      </c>
      <c r="I1941" t="n">
        <v>190</v>
      </c>
      <c r="J1941" t="n">
        <v>18.9474</v>
      </c>
      <c r="K1941" t="inlineStr">
        <is>
          <t>&gt; Perfumería &gt; Cuidado Capilar &gt; Shampoo &gt;</t>
        </is>
      </c>
      <c r="L1941" t="inlineStr">
        <is>
          <t>shampoo</t>
        </is>
      </c>
      <c r="M1941" t="inlineStr">
        <is>
          <t>estandar</t>
        </is>
      </c>
      <c r="N1941" t="inlineStr">
        <is>
          <t>general</t>
        </is>
      </c>
      <c r="O1941" t="inlineStr">
        <is>
          <t>https://www.jumbo.com.ar/shampoo-prebioticos-biotina-190-ml-sedal/p</t>
        </is>
      </c>
    </row>
    <row r="1942">
      <c r="A1942" s="2" t="inlineStr">
        <is>
          <t>Jumbo</t>
        </is>
      </c>
      <c r="B1942" s="2" t="n">
        <v>411278</v>
      </c>
      <c r="C1942" s="2" t="n">
        <v>407118</v>
      </c>
      <c r="D1942" s="2" t="inlineStr">
        <is>
          <t>Crema Para Peinar Sedal Gengibre Y Risino 300 Ml</t>
        </is>
      </c>
      <c r="E1942" s="2" t="inlineStr">
        <is>
          <t>SEDAL</t>
        </is>
      </c>
      <c r="F1942" s="2" t="n">
        <v>4200</v>
      </c>
      <c r="G1942" s="2" t="n">
        <v>347107</v>
      </c>
      <c r="H1942" s="2" t="b">
        <v>0</v>
      </c>
      <c r="I1942" s="2" t="n">
        <v>300</v>
      </c>
      <c r="J1942" s="2" t="n">
        <v>14</v>
      </c>
      <c r="K1942" s="2" t="inlineStr">
        <is>
          <t>&gt; Perfumería &gt; Cuidado Capilar &gt; Reparación y Tratamientos &gt;</t>
        </is>
      </c>
      <c r="L1942" s="2" t="inlineStr">
        <is>
          <t>shampoo</t>
        </is>
      </c>
      <c r="M1942" s="2" t="inlineStr">
        <is>
          <t>estandar</t>
        </is>
      </c>
      <c r="N1942" s="2" t="inlineStr">
        <is>
          <t>general</t>
        </is>
      </c>
      <c r="O1942" s="2" t="inlineStr">
        <is>
          <t>https://www.jumbo.com.ar/crema-para-peinar-sedal-gengibre-y-risino-300-ml/p</t>
        </is>
      </c>
    </row>
    <row r="1943">
      <c r="A1943" t="inlineStr">
        <is>
          <t>Jumbo</t>
        </is>
      </c>
      <c r="B1943" t="n">
        <v>411276</v>
      </c>
      <c r="C1943" t="n">
        <v>407116</v>
      </c>
      <c r="D1943" t="inlineStr">
        <is>
          <t>Crema para Peinar Rizos Definidos 300 Ml Sedal</t>
        </is>
      </c>
      <c r="E1943" t="inlineStr">
        <is>
          <t>SEDAL</t>
        </is>
      </c>
      <c r="F1943" t="n">
        <v>5700</v>
      </c>
      <c r="G1943" t="n">
        <v>471074</v>
      </c>
      <c r="H1943" t="b">
        <v>0</v>
      </c>
      <c r="I1943" t="n">
        <v>300</v>
      </c>
      <c r="J1943" t="n">
        <v>19</v>
      </c>
      <c r="K1943" t="inlineStr">
        <is>
          <t>&gt; Perfumería &gt; Cuidado Capilar &gt; Reparación y Tratamientos &gt;</t>
        </is>
      </c>
      <c r="L1943" t="inlineStr">
        <is>
          <t>shampoo</t>
        </is>
      </c>
      <c r="M1943" t="inlineStr">
        <is>
          <t>estandar</t>
        </is>
      </c>
      <c r="N1943" t="inlineStr">
        <is>
          <t>rizado</t>
        </is>
      </c>
      <c r="O1943" t="inlineStr">
        <is>
          <t>https://www.jumbo.com.ar/crema-de-peinar-sedal-rizos-definidos-300-ml/p</t>
        </is>
      </c>
    </row>
    <row r="1944">
      <c r="A1944" s="2" t="inlineStr">
        <is>
          <t>Jumbo</t>
        </is>
      </c>
      <c r="B1944" s="2" t="n">
        <v>411258</v>
      </c>
      <c r="C1944" s="2" t="n">
        <v>407098</v>
      </c>
      <c r="D1944" s="2" t="inlineStr">
        <is>
          <t>Máscara De Tratamiento Sedal Hialurónico + Vitamina A 300 Gr</t>
        </is>
      </c>
      <c r="E1944" s="2" t="inlineStr">
        <is>
          <t>SEDAL</t>
        </is>
      </c>
      <c r="F1944" s="2" t="n">
        <v>5750</v>
      </c>
      <c r="G1944" s="2" t="n">
        <v>475207</v>
      </c>
      <c r="H1944" s="2" t="b">
        <v>0</v>
      </c>
      <c r="I1944" s="2" t="n">
        <v>300</v>
      </c>
      <c r="J1944" s="2" t="n">
        <v>19.1667</v>
      </c>
      <c r="K1944" s="2" t="inlineStr">
        <is>
          <t>&gt; Perfumería &gt; Cuidado Capilar &gt; Reparación y Tratamientos &gt;</t>
        </is>
      </c>
      <c r="L1944" s="2" t="inlineStr">
        <is>
          <t>tratamiento</t>
        </is>
      </c>
      <c r="M1944" s="2" t="inlineStr">
        <is>
          <t>estandar</t>
        </is>
      </c>
      <c r="N1944" s="2" t="inlineStr">
        <is>
          <t>general</t>
        </is>
      </c>
      <c r="O1944" s="2" t="inlineStr">
        <is>
          <t>https://www.jumbo.com.ar/mascara-de-tratamiento-sedal-hialuronico-vitamina-a-300-gr-2/p</t>
        </is>
      </c>
    </row>
    <row r="1945">
      <c r="A1945" t="inlineStr">
        <is>
          <t>Jumbo</t>
        </is>
      </c>
      <c r="B1945" t="n">
        <v>411256</v>
      </c>
      <c r="C1945" t="n">
        <v>407096</v>
      </c>
      <c r="D1945" t="inlineStr">
        <is>
          <t>Máscara De Tratamiento Sedal Prebioticos Biotina 300 Gr</t>
        </is>
      </c>
      <c r="E1945" t="inlineStr">
        <is>
          <t>SEDAL</t>
        </is>
      </c>
      <c r="F1945" t="n">
        <v>5150</v>
      </c>
      <c r="G1945" t="n">
        <v>425620</v>
      </c>
      <c r="H1945" t="b">
        <v>0</v>
      </c>
      <c r="I1945" t="n">
        <v>300</v>
      </c>
      <c r="J1945" t="n">
        <v>17.1667</v>
      </c>
      <c r="K1945" t="inlineStr">
        <is>
          <t>&gt; Perfumería &gt; Cuidado Capilar &gt; Reparación y Tratamientos &gt;</t>
        </is>
      </c>
      <c r="L1945" t="inlineStr">
        <is>
          <t>tratamiento</t>
        </is>
      </c>
      <c r="M1945" t="inlineStr">
        <is>
          <t>estandar</t>
        </is>
      </c>
      <c r="N1945" t="inlineStr">
        <is>
          <t>general</t>
        </is>
      </c>
      <c r="O1945" t="inlineStr">
        <is>
          <t>https://www.jumbo.com.ar/mascara-de-tratamiento-sedal-prebioticos-biotina-300-gr/p</t>
        </is>
      </c>
    </row>
    <row r="1946">
      <c r="A1946" s="2" t="inlineStr">
        <is>
          <t>Jumbo</t>
        </is>
      </c>
      <c r="B1946" s="2" t="n">
        <v>397928</v>
      </c>
      <c r="C1946" s="2" t="n">
        <v>395663</v>
      </c>
      <c r="D1946" s="2" t="inlineStr">
        <is>
          <t>Acondicionador Sedal Crema Balance 300ml</t>
        </is>
      </c>
      <c r="E1946" s="2" t="inlineStr">
        <is>
          <t>SEDAL</t>
        </is>
      </c>
      <c r="F1946" s="2" t="n">
        <v>3800</v>
      </c>
      <c r="G1946" s="2" t="n">
        <v>314050</v>
      </c>
      <c r="H1946" s="2" t="b">
        <v>0</v>
      </c>
      <c r="I1946" s="2" t="n">
        <v>300</v>
      </c>
      <c r="J1946" s="2" t="n">
        <v>12.6667</v>
      </c>
      <c r="K1946" s="2" t="inlineStr">
        <is>
          <t>&gt; Perfumería &gt; Cuidado Capilar &gt; Acondicionador &gt;</t>
        </is>
      </c>
      <c r="L1946" s="2" t="inlineStr">
        <is>
          <t>acondicionador</t>
        </is>
      </c>
      <c r="M1946" s="2" t="inlineStr">
        <is>
          <t>estandar</t>
        </is>
      </c>
      <c r="N1946" s="2" t="inlineStr">
        <is>
          <t>general</t>
        </is>
      </c>
      <c r="O1946" s="2" t="inlineStr">
        <is>
          <t>https://www.jumbo.com.ar/acondicionador-sedal-crema-balance-300ml-2/p</t>
        </is>
      </c>
    </row>
    <row r="1947">
      <c r="A1947" t="inlineStr">
        <is>
          <t>Jumbo</t>
        </is>
      </c>
      <c r="B1947" t="n">
        <v>397918</v>
      </c>
      <c r="C1947" t="n">
        <v>395653</v>
      </c>
      <c r="D1947" t="inlineStr">
        <is>
          <t>Acondicionador Jengibre Y Ricino 650 Ml Sedal</t>
        </is>
      </c>
      <c r="E1947" t="inlineStr">
        <is>
          <t>SEDAL</t>
        </is>
      </c>
      <c r="F1947" t="n">
        <v>6950</v>
      </c>
      <c r="G1947" t="n">
        <v>574380</v>
      </c>
      <c r="H1947" t="b">
        <v>0</v>
      </c>
      <c r="I1947" t="n">
        <v>650</v>
      </c>
      <c r="J1947" t="n">
        <v>10.6923</v>
      </c>
      <c r="K1947" t="inlineStr">
        <is>
          <t>&gt; Perfumería &gt; Cuidado Capilar &gt; Acondicionador &gt;</t>
        </is>
      </c>
      <c r="L1947" t="inlineStr">
        <is>
          <t>acondicionador</t>
        </is>
      </c>
      <c r="M1947" t="inlineStr">
        <is>
          <t>estandar</t>
        </is>
      </c>
      <c r="N1947" t="inlineStr">
        <is>
          <t>general</t>
        </is>
      </c>
      <c r="O1947" t="inlineStr">
        <is>
          <t>https://www.jumbo.com.ar/acondicionador-jengibre-y-ricino-650-ml-sedal/p</t>
        </is>
      </c>
    </row>
    <row r="1948">
      <c r="A1948" s="2" t="inlineStr">
        <is>
          <t>Jumbo</t>
        </is>
      </c>
      <c r="B1948" s="2" t="n">
        <v>397913</v>
      </c>
      <c r="C1948" s="2" t="n">
        <v>395648</v>
      </c>
      <c r="D1948" s="2" t="inlineStr">
        <is>
          <t>Acondicionador Sedal Carbón Activado Y Peonias 340 Ml</t>
        </is>
      </c>
      <c r="E1948" s="2" t="inlineStr">
        <is>
          <t>SEDAL</t>
        </is>
      </c>
      <c r="F1948" s="2" t="n">
        <v>4600</v>
      </c>
      <c r="G1948" s="2" t="n">
        <v>380165</v>
      </c>
      <c r="H1948" s="2" t="b">
        <v>0</v>
      </c>
      <c r="I1948" s="2" t="n">
        <v>340</v>
      </c>
      <c r="J1948" s="2" t="n">
        <v>13.5294</v>
      </c>
      <c r="K1948" s="2" t="inlineStr">
        <is>
          <t>&gt; Perfumería &gt; Cuidado Capilar &gt; Acondicionador &gt;</t>
        </is>
      </c>
      <c r="L1948" s="2" t="inlineStr">
        <is>
          <t>acondicionador</t>
        </is>
      </c>
      <c r="M1948" s="2" t="inlineStr">
        <is>
          <t>estandar</t>
        </is>
      </c>
      <c r="N1948" s="2" t="inlineStr">
        <is>
          <t>general</t>
        </is>
      </c>
      <c r="O1948" s="2" t="inlineStr">
        <is>
          <t>https://www.jumbo.com.ar/acondicionador-sedal-carbon-activado-y-peonias-340-ml/p</t>
        </is>
      </c>
    </row>
    <row r="1949">
      <c r="A1949" t="inlineStr">
        <is>
          <t>Jumbo</t>
        </is>
      </c>
      <c r="B1949" t="n">
        <v>397912</v>
      </c>
      <c r="C1949" t="n">
        <v>395647</v>
      </c>
      <c r="D1949" t="inlineStr">
        <is>
          <t>Acondicionador Carbon Y Peonias 650 Ml Sedal</t>
        </is>
      </c>
      <c r="E1949" t="inlineStr">
        <is>
          <t>SEDAL</t>
        </is>
      </c>
      <c r="F1949" t="n">
        <v>7400</v>
      </c>
      <c r="G1949" t="n">
        <v>611570</v>
      </c>
      <c r="H1949" t="b">
        <v>0</v>
      </c>
      <c r="I1949" t="n">
        <v>650</v>
      </c>
      <c r="J1949" t="n">
        <v>11.3846</v>
      </c>
      <c r="K1949" t="inlineStr">
        <is>
          <t>&gt; Perfumería &gt; Cuidado Capilar &gt; Acondicionador &gt;</t>
        </is>
      </c>
      <c r="L1949" t="inlineStr">
        <is>
          <t>acondicionador</t>
        </is>
      </c>
      <c r="M1949" t="inlineStr">
        <is>
          <t>estandar</t>
        </is>
      </c>
      <c r="N1949" t="inlineStr">
        <is>
          <t>general</t>
        </is>
      </c>
      <c r="O1949" t="inlineStr">
        <is>
          <t>https://www.jumbo.com.ar/acondicionador-carbon-y-peonias-650-ml-sedal/p</t>
        </is>
      </c>
    </row>
    <row r="1950">
      <c r="A1950" s="2" t="inlineStr">
        <is>
          <t>Jumbo</t>
        </is>
      </c>
      <c r="B1950" s="2" t="n">
        <v>397904</v>
      </c>
      <c r="C1950" s="2" t="n">
        <v>395639</v>
      </c>
      <c r="D1950" s="2" t="inlineStr">
        <is>
          <t>Acondicionador Carbon Y Peonias 190 Ml Sedal</t>
        </is>
      </c>
      <c r="E1950" s="2" t="inlineStr">
        <is>
          <t>SEDAL</t>
        </is>
      </c>
      <c r="F1950" s="2" t="n">
        <v>3200</v>
      </c>
      <c r="G1950" s="2" t="n">
        <v>264463</v>
      </c>
      <c r="H1950" s="2" t="b">
        <v>0</v>
      </c>
      <c r="I1950" s="2" t="n">
        <v>190</v>
      </c>
      <c r="J1950" s="2" t="n">
        <v>16.8421</v>
      </c>
      <c r="K1950" s="2" t="inlineStr">
        <is>
          <t>&gt; Perfumería &gt; Cuidado Capilar &gt; Acondicionador &gt;</t>
        </is>
      </c>
      <c r="L1950" s="2" t="inlineStr">
        <is>
          <t>acondicionador</t>
        </is>
      </c>
      <c r="M1950" s="2" t="inlineStr">
        <is>
          <t>estandar</t>
        </is>
      </c>
      <c r="N1950" s="2" t="inlineStr">
        <is>
          <t>general</t>
        </is>
      </c>
      <c r="O1950" s="2" t="inlineStr">
        <is>
          <t>https://www.jumbo.com.ar/acondicionador-carbon-y-peonias-190-ml-sedal/p</t>
        </is>
      </c>
    </row>
    <row r="1951">
      <c r="A1951" t="inlineStr">
        <is>
          <t>Jumbo</t>
        </is>
      </c>
      <c r="B1951" t="n">
        <v>397903</v>
      </c>
      <c r="C1951" t="n">
        <v>395638</v>
      </c>
      <c r="D1951" t="inlineStr">
        <is>
          <t>Acondicionador Colección Natural Jengibre y Ricino 190 Ml Sedal</t>
        </is>
      </c>
      <c r="E1951" t="inlineStr">
        <is>
          <t>SEDAL</t>
        </is>
      </c>
      <c r="F1951" t="n">
        <v>2850</v>
      </c>
      <c r="G1951" t="n">
        <v>235537</v>
      </c>
      <c r="H1951" t="b">
        <v>0</v>
      </c>
      <c r="I1951" t="n">
        <v>190</v>
      </c>
      <c r="J1951" t="n">
        <v>15</v>
      </c>
      <c r="K1951" t="inlineStr">
        <is>
          <t>&gt; Perfumería &gt; Cuidado Capilar &gt; Acondicionador &gt;</t>
        </is>
      </c>
      <c r="L1951" t="inlineStr">
        <is>
          <t>acondicionador</t>
        </is>
      </c>
      <c r="M1951" t="inlineStr">
        <is>
          <t>estandar</t>
        </is>
      </c>
      <c r="N1951" t="inlineStr">
        <is>
          <t>general</t>
        </is>
      </c>
      <c r="O1951" t="inlineStr">
        <is>
          <t>https://www.jumbo.com.ar/acondicionador-sedal-jengibre-y-ricino-190-ml-2/p</t>
        </is>
      </c>
    </row>
    <row r="1952">
      <c r="A1952" s="2" t="inlineStr">
        <is>
          <t>Jumbo</t>
        </is>
      </c>
      <c r="B1952" s="2" t="n">
        <v>396881</v>
      </c>
      <c r="C1952" s="2" t="n">
        <v>394637</v>
      </c>
      <c r="D1952" s="2" t="inlineStr">
        <is>
          <t>Shampoo Bomba Argán Restauración y Brillo 190 Ml Sedal Shampoo Sedal Bomba Argán 190 Ml</t>
        </is>
      </c>
      <c r="E1952" s="2" t="inlineStr">
        <is>
          <t>SEDAL</t>
        </is>
      </c>
      <c r="F1952" s="2" t="n">
        <v>2600</v>
      </c>
      <c r="G1952" s="2" t="n">
        <v>214876</v>
      </c>
      <c r="H1952" s="2" t="b">
        <v>0</v>
      </c>
      <c r="I1952" s="2" t="n">
        <v>190</v>
      </c>
      <c r="J1952" s="2" t="n">
        <v>13.6842</v>
      </c>
      <c r="K1952" s="2" t="inlineStr">
        <is>
          <t>&gt; Perfumería &gt; Cuidado Capilar &gt; Shampoo &gt;</t>
        </is>
      </c>
      <c r="L1952" s="2" t="inlineStr">
        <is>
          <t>shampoo</t>
        </is>
      </c>
      <c r="M1952" s="2" t="inlineStr">
        <is>
          <t>estandar</t>
        </is>
      </c>
      <c r="N1952" s="2" t="inlineStr">
        <is>
          <t>general</t>
        </is>
      </c>
      <c r="O1952" s="2" t="inlineStr">
        <is>
          <t>https://www.jumbo.com.ar/shampoo-sedal-bomba-argan-190-ml/p</t>
        </is>
      </c>
    </row>
    <row r="1953">
      <c r="A1953" t="inlineStr">
        <is>
          <t>Jumbo</t>
        </is>
      </c>
      <c r="B1953" t="n">
        <v>393375</v>
      </c>
      <c r="C1953" t="n">
        <v>391403</v>
      </c>
      <c r="D1953" t="inlineStr">
        <is>
          <t>Acondicionador Jengibre Y Ricino 340 Ml Sedal</t>
        </is>
      </c>
      <c r="E1953" t="inlineStr">
        <is>
          <t>SEDAL</t>
        </is>
      </c>
      <c r="F1953" t="n">
        <v>4450</v>
      </c>
      <c r="G1953" t="n">
        <v>367769</v>
      </c>
      <c r="H1953" t="b">
        <v>0</v>
      </c>
      <c r="I1953" t="n">
        <v>340</v>
      </c>
      <c r="J1953" t="n">
        <v>13.0882</v>
      </c>
      <c r="K1953" t="inlineStr">
        <is>
          <t>&gt; Perfumería &gt; Cuidado Capilar &gt; Acondicionador &gt;</t>
        </is>
      </c>
      <c r="L1953" t="inlineStr">
        <is>
          <t>acondicionador</t>
        </is>
      </c>
      <c r="M1953" t="inlineStr">
        <is>
          <t>estandar</t>
        </is>
      </c>
      <c r="N1953" t="inlineStr">
        <is>
          <t>general</t>
        </is>
      </c>
      <c r="O1953" t="inlineStr">
        <is>
          <t>https://www.jumbo.com.ar/acondicionador-jengibre-y-ricino-340-ml-sedal/p</t>
        </is>
      </c>
    </row>
    <row r="1954">
      <c r="A1954" s="2" t="inlineStr">
        <is>
          <t>Jumbo</t>
        </is>
      </c>
      <c r="B1954" s="2" t="n">
        <v>389296</v>
      </c>
      <c r="C1954" s="2" t="n">
        <v>387402</v>
      </c>
      <c r="D1954" s="2" t="inlineStr">
        <is>
          <t>Shampoo Sedal Crema Balance 650 Ml</t>
        </is>
      </c>
      <c r="E1954" s="2" t="inlineStr">
        <is>
          <t>SEDAL</t>
        </is>
      </c>
      <c r="F1954" s="2" t="n">
        <v>8650</v>
      </c>
      <c r="G1954" s="2" t="n">
        <v>714876</v>
      </c>
      <c r="H1954" s="2" t="b">
        <v>0</v>
      </c>
      <c r="I1954" s="2" t="n">
        <v>650</v>
      </c>
      <c r="J1954" s="2" t="n">
        <v>13.3077</v>
      </c>
      <c r="K1954" s="2" t="inlineStr">
        <is>
          <t>&gt; Perfumería &gt; Cuidado Capilar &gt; Shampoo &gt;</t>
        </is>
      </c>
      <c r="L1954" s="2" t="inlineStr">
        <is>
          <t>shampoo</t>
        </is>
      </c>
      <c r="M1954" s="2" t="inlineStr">
        <is>
          <t>estandar</t>
        </is>
      </c>
      <c r="N1954" s="2" t="inlineStr">
        <is>
          <t>general</t>
        </is>
      </c>
      <c r="O1954" s="2" t="inlineStr">
        <is>
          <t>https://www.jumbo.com.ar/shampoo-sedal-crema-balance-650-ml-3/p</t>
        </is>
      </c>
    </row>
    <row r="1955">
      <c r="A1955" t="inlineStr">
        <is>
          <t>Jumbo</t>
        </is>
      </c>
      <c r="B1955" t="n">
        <v>389295</v>
      </c>
      <c r="C1955" t="n">
        <v>387401</v>
      </c>
      <c r="D1955" t="inlineStr">
        <is>
          <t>Shampoo Crema Balance Super Hidratación 300 Ml Sedal</t>
        </is>
      </c>
      <c r="E1955" t="inlineStr">
        <is>
          <t>SEDAL</t>
        </is>
      </c>
      <c r="F1955" t="n">
        <v>3500</v>
      </c>
      <c r="G1955" t="n">
        <v>289256</v>
      </c>
      <c r="H1955" t="b">
        <v>0</v>
      </c>
      <c r="I1955" t="n">
        <v>300</v>
      </c>
      <c r="J1955" t="n">
        <v>11.6667</v>
      </c>
      <c r="K1955" t="inlineStr">
        <is>
          <t>&gt; Perfumería &gt; Cuidado Capilar &gt; Shampoo &gt;</t>
        </is>
      </c>
      <c r="L1955" t="inlineStr">
        <is>
          <t>shampoo</t>
        </is>
      </c>
      <c r="M1955" t="inlineStr">
        <is>
          <t>estandar</t>
        </is>
      </c>
      <c r="N1955" t="inlineStr">
        <is>
          <t>seco_danado</t>
        </is>
      </c>
      <c r="O1955" t="inlineStr">
        <is>
          <t>https://www.jumbo.com.ar/shampoo-sedal-crema-balance-300ml-2/p</t>
        </is>
      </c>
    </row>
    <row r="1956">
      <c r="A1956" s="2" t="inlineStr">
        <is>
          <t>Jumbo</t>
        </is>
      </c>
      <c r="B1956" s="2" t="n">
        <v>389294</v>
      </c>
      <c r="C1956" s="2" t="n">
        <v>387400</v>
      </c>
      <c r="D1956" s="2" t="inlineStr">
        <is>
          <t>Shampoo Colageno Y Vitamina C 650 Ml Sedal</t>
        </is>
      </c>
      <c r="E1956" s="2" t="inlineStr">
        <is>
          <t>SEDAL</t>
        </is>
      </c>
      <c r="F1956" s="2" t="n">
        <v>8650</v>
      </c>
      <c r="G1956" s="2" t="n">
        <v>714876</v>
      </c>
      <c r="H1956" s="2" t="b">
        <v>0</v>
      </c>
      <c r="I1956" s="2" t="n">
        <v>650</v>
      </c>
      <c r="J1956" s="2" t="n">
        <v>13.3077</v>
      </c>
      <c r="K1956" s="2" t="inlineStr">
        <is>
          <t>&gt; Perfumería &gt; Cuidado Capilar &gt; Shampoo &gt;</t>
        </is>
      </c>
      <c r="L1956" s="2" t="inlineStr">
        <is>
          <t>shampoo</t>
        </is>
      </c>
      <c r="M1956" s="2" t="inlineStr">
        <is>
          <t>estandar</t>
        </is>
      </c>
      <c r="N1956" s="2" t="inlineStr">
        <is>
          <t>general</t>
        </is>
      </c>
      <c r="O1956" s="2" t="inlineStr">
        <is>
          <t>https://www.jumbo.com.ar/shampoo-colageno-y-vitamina-c-650-ml-sedal/p</t>
        </is>
      </c>
    </row>
    <row r="1957">
      <c r="A1957" t="inlineStr">
        <is>
          <t>Jumbo</t>
        </is>
      </c>
      <c r="B1957" t="n">
        <v>389293</v>
      </c>
      <c r="C1957" t="n">
        <v>387399</v>
      </c>
      <c r="D1957" t="inlineStr">
        <is>
          <t>Shampoo Sedal Rizos Definidos 650 Ml</t>
        </is>
      </c>
      <c r="E1957" t="inlineStr">
        <is>
          <t>SEDAL</t>
        </is>
      </c>
      <c r="F1957" t="n">
        <v>8150</v>
      </c>
      <c r="G1957" t="n">
        <v>673554</v>
      </c>
      <c r="H1957" t="b">
        <v>0</v>
      </c>
      <c r="I1957" t="n">
        <v>650</v>
      </c>
      <c r="J1957" t="n">
        <v>12.5385</v>
      </c>
      <c r="K1957" t="inlineStr">
        <is>
          <t>&gt; Perfumería &gt; Cuidado Capilar &gt; Shampoo &gt;</t>
        </is>
      </c>
      <c r="L1957" t="inlineStr">
        <is>
          <t>shampoo</t>
        </is>
      </c>
      <c r="M1957" t="inlineStr">
        <is>
          <t>estandar</t>
        </is>
      </c>
      <c r="N1957" t="inlineStr">
        <is>
          <t>rizado</t>
        </is>
      </c>
      <c r="O1957" t="inlineStr">
        <is>
          <t>https://www.jumbo.com.ar/shampoo-sedal-rizos-definidos-650-ml-2/p</t>
        </is>
      </c>
    </row>
    <row r="1958">
      <c r="A1958" s="2" t="inlineStr">
        <is>
          <t>Jumbo</t>
        </is>
      </c>
      <c r="B1958" s="2" t="n">
        <v>389283</v>
      </c>
      <c r="C1958" s="2" t="n">
        <v>387389</v>
      </c>
      <c r="D1958" s="2" t="inlineStr">
        <is>
          <t>Shampoo Sedal Bomba Argán 340 Ml</t>
        </is>
      </c>
      <c r="E1958" s="2" t="inlineStr">
        <is>
          <t>SEDAL</t>
        </is>
      </c>
      <c r="F1958" s="2" t="n">
        <v>4450</v>
      </c>
      <c r="G1958" s="2" t="n">
        <v>367769</v>
      </c>
      <c r="H1958" s="2" t="b">
        <v>0</v>
      </c>
      <c r="I1958" s="2" t="n">
        <v>340</v>
      </c>
      <c r="J1958" s="2" t="n">
        <v>13.0882</v>
      </c>
      <c r="K1958" s="2" t="inlineStr">
        <is>
          <t>&gt; Perfumería &gt; Cuidado Capilar &gt; Shampoo &gt;</t>
        </is>
      </c>
      <c r="L1958" s="2" t="inlineStr">
        <is>
          <t>shampoo</t>
        </is>
      </c>
      <c r="M1958" s="2" t="inlineStr">
        <is>
          <t>estandar</t>
        </is>
      </c>
      <c r="N1958" s="2" t="inlineStr">
        <is>
          <t>general</t>
        </is>
      </c>
      <c r="O1958" s="2" t="inlineStr">
        <is>
          <t>https://www.jumbo.com.ar/shampoo-sedal-bomba-argan-340-ml/p</t>
        </is>
      </c>
    </row>
    <row r="1959">
      <c r="A1959" t="inlineStr">
        <is>
          <t>Jumbo</t>
        </is>
      </c>
      <c r="B1959" t="n">
        <v>389282</v>
      </c>
      <c r="C1959" t="n">
        <v>387388</v>
      </c>
      <c r="D1959" t="inlineStr">
        <is>
          <t>Shampoo Purificación e Hidratación Carbón y Peonias 650 Ml Sedal</t>
        </is>
      </c>
      <c r="E1959" t="inlineStr">
        <is>
          <t>SEDAL</t>
        </is>
      </c>
      <c r="F1959" t="n">
        <v>7150</v>
      </c>
      <c r="G1959" t="n">
        <v>590909</v>
      </c>
      <c r="H1959" t="b">
        <v>0</v>
      </c>
      <c r="I1959" t="n">
        <v>650</v>
      </c>
      <c r="J1959" t="n">
        <v>11</v>
      </c>
      <c r="K1959" t="inlineStr">
        <is>
          <t>&gt; Perfumería &gt; Cuidado Capilar &gt; Shampoo &gt;</t>
        </is>
      </c>
      <c r="L1959" t="inlineStr">
        <is>
          <t>shampoo</t>
        </is>
      </c>
      <c r="M1959" t="inlineStr">
        <is>
          <t>estandar</t>
        </is>
      </c>
      <c r="N1959" t="inlineStr">
        <is>
          <t>seco_danado</t>
        </is>
      </c>
      <c r="O1959" t="inlineStr">
        <is>
          <t>https://www.jumbo.com.ar/shampoo-carbon-y-peonias-650-ml-sedal/p</t>
        </is>
      </c>
    </row>
    <row r="1960">
      <c r="A1960" s="2" t="inlineStr">
        <is>
          <t>Jumbo</t>
        </is>
      </c>
      <c r="B1960" s="2" t="n">
        <v>389281</v>
      </c>
      <c r="C1960" s="2" t="n">
        <v>387387</v>
      </c>
      <c r="D1960" s="2" t="inlineStr">
        <is>
          <t>Shampoo Sedal Carbón Activado Y Peonias 340 Ml</t>
        </is>
      </c>
      <c r="E1960" s="2" t="inlineStr">
        <is>
          <t>SEDAL</t>
        </is>
      </c>
      <c r="F1960" s="2" t="n">
        <v>4600</v>
      </c>
      <c r="G1960" s="2" t="n">
        <v>380165</v>
      </c>
      <c r="H1960" s="2" t="b">
        <v>0</v>
      </c>
      <c r="I1960" s="2" t="n">
        <v>340</v>
      </c>
      <c r="J1960" s="2" t="n">
        <v>13.5294</v>
      </c>
      <c r="K1960" s="2" t="inlineStr">
        <is>
          <t>&gt; Perfumería &gt; Cuidado Capilar &gt; Shampoo &gt;</t>
        </is>
      </c>
      <c r="L1960" s="2" t="inlineStr">
        <is>
          <t>shampoo</t>
        </is>
      </c>
      <c r="M1960" s="2" t="inlineStr">
        <is>
          <t>estandar</t>
        </is>
      </c>
      <c r="N1960" s="2" t="inlineStr">
        <is>
          <t>general</t>
        </is>
      </c>
      <c r="O1960" s="2" t="inlineStr">
        <is>
          <t>https://www.jumbo.com.ar/shampoo-sedal-carbon-activado-y-peonias-340-ml/p</t>
        </is>
      </c>
    </row>
    <row r="1961">
      <c r="A1961" t="inlineStr">
        <is>
          <t>Jumbo</t>
        </is>
      </c>
      <c r="B1961" t="n">
        <v>389280</v>
      </c>
      <c r="C1961" t="n">
        <v>387386</v>
      </c>
      <c r="D1961" t="inlineStr">
        <is>
          <t>Shampoo Colección Natural Jengibre y Ricino 190 Ml Sedal</t>
        </is>
      </c>
      <c r="E1961" t="inlineStr">
        <is>
          <t>SEDAL</t>
        </is>
      </c>
      <c r="F1961" t="n">
        <v>2600</v>
      </c>
      <c r="G1961" t="n">
        <v>214876</v>
      </c>
      <c r="H1961" t="b">
        <v>0</v>
      </c>
      <c r="I1961" t="n">
        <v>190</v>
      </c>
      <c r="J1961" t="n">
        <v>13.6842</v>
      </c>
      <c r="K1961" t="inlineStr">
        <is>
          <t>&gt; Perfumería &gt; Cuidado Capilar &gt; Shampoo &gt;</t>
        </is>
      </c>
      <c r="L1961" t="inlineStr">
        <is>
          <t>shampoo</t>
        </is>
      </c>
      <c r="M1961" t="inlineStr">
        <is>
          <t>estandar</t>
        </is>
      </c>
      <c r="N1961" t="inlineStr">
        <is>
          <t>general</t>
        </is>
      </c>
      <c r="O1961" t="inlineStr">
        <is>
          <t>https://www.jumbo.com.ar/shampoo-jengibre-y-ricino-190-ml-sedal/p</t>
        </is>
      </c>
    </row>
    <row r="1962">
      <c r="A1962" s="2" t="inlineStr">
        <is>
          <t>Jumbo</t>
        </is>
      </c>
      <c r="B1962" s="2" t="n">
        <v>389279</v>
      </c>
      <c r="C1962" s="2" t="n">
        <v>387385</v>
      </c>
      <c r="D1962" s="2" t="inlineStr">
        <is>
          <t>Shampoo Jengibre Y Ricino 340 Ml Sedal</t>
        </is>
      </c>
      <c r="E1962" s="2" t="inlineStr">
        <is>
          <t>SEDAL</t>
        </is>
      </c>
      <c r="F1962" s="2" t="n">
        <v>4450</v>
      </c>
      <c r="G1962" s="2" t="n">
        <v>367769</v>
      </c>
      <c r="H1962" s="2" t="b">
        <v>0</v>
      </c>
      <c r="I1962" s="2" t="n">
        <v>340</v>
      </c>
      <c r="J1962" s="2" t="n">
        <v>13.0882</v>
      </c>
      <c r="K1962" s="2" t="inlineStr">
        <is>
          <t>&gt; Perfumería &gt; Cuidado Capilar &gt; Shampoo &gt;</t>
        </is>
      </c>
      <c r="L1962" s="2" t="inlineStr">
        <is>
          <t>shampoo</t>
        </is>
      </c>
      <c r="M1962" s="2" t="inlineStr">
        <is>
          <t>estandar</t>
        </is>
      </c>
      <c r="N1962" s="2" t="inlineStr">
        <is>
          <t>general</t>
        </is>
      </c>
      <c r="O1962" s="2" t="inlineStr">
        <is>
          <t>https://www.jumbo.com.ar/shampoo-jengibre-y-ricino-340-ml-sedal/p</t>
        </is>
      </c>
    </row>
    <row r="1963">
      <c r="A1963" t="inlineStr">
        <is>
          <t>Jumbo</t>
        </is>
      </c>
      <c r="B1963" t="n">
        <v>389278</v>
      </c>
      <c r="C1963" t="n">
        <v>387384</v>
      </c>
      <c r="D1963" t="inlineStr">
        <is>
          <t>Shampoo Sedal Bomba Argán 650 Ml</t>
        </is>
      </c>
      <c r="E1963" t="inlineStr">
        <is>
          <t>SEDAL</t>
        </is>
      </c>
      <c r="F1963" t="n">
        <v>5850</v>
      </c>
      <c r="G1963" t="n">
        <v>483471</v>
      </c>
      <c r="H1963" t="b">
        <v>0</v>
      </c>
      <c r="I1963" t="n">
        <v>650</v>
      </c>
      <c r="J1963" t="n">
        <v>9</v>
      </c>
      <c r="K1963" t="inlineStr">
        <is>
          <t>&gt; Perfumería &gt; Cuidado Capilar &gt; Shampoo &gt;</t>
        </is>
      </c>
      <c r="L1963" t="inlineStr">
        <is>
          <t>shampoo</t>
        </is>
      </c>
      <c r="M1963" t="inlineStr">
        <is>
          <t>estandar</t>
        </is>
      </c>
      <c r="N1963" t="inlineStr">
        <is>
          <t>general</t>
        </is>
      </c>
      <c r="O1963" t="inlineStr">
        <is>
          <t>https://www.jumbo.com.ar/shampoo-sedal-bomba-argan-650-ml-2/p</t>
        </is>
      </c>
    </row>
    <row r="1964">
      <c r="A1964" s="2" t="inlineStr">
        <is>
          <t>Jumbo</t>
        </is>
      </c>
      <c r="B1964" s="2" t="n">
        <v>389277</v>
      </c>
      <c r="C1964" s="2" t="n">
        <v>387383</v>
      </c>
      <c r="D1964" s="2" t="inlineStr">
        <is>
          <t>Shampoo Sedal Jengibre Y Ricino 650 Ml</t>
        </is>
      </c>
      <c r="E1964" s="2" t="inlineStr">
        <is>
          <t>SEDAL</t>
        </is>
      </c>
      <c r="F1964" s="2" t="n">
        <v>6150</v>
      </c>
      <c r="G1964" s="2" t="n">
        <v>508264</v>
      </c>
      <c r="H1964" s="2" t="b">
        <v>0</v>
      </c>
      <c r="I1964" s="2" t="n">
        <v>650</v>
      </c>
      <c r="J1964" s="2" t="n">
        <v>9.461499999999999</v>
      </c>
      <c r="K1964" s="2" t="inlineStr">
        <is>
          <t>&gt; Perfumería &gt; Cuidado Capilar &gt; Shampoo &gt;</t>
        </is>
      </c>
      <c r="L1964" s="2" t="inlineStr">
        <is>
          <t>shampoo</t>
        </is>
      </c>
      <c r="M1964" s="2" t="inlineStr">
        <is>
          <t>estandar</t>
        </is>
      </c>
      <c r="N1964" s="2" t="inlineStr">
        <is>
          <t>general</t>
        </is>
      </c>
      <c r="O1964" s="2" t="inlineStr">
        <is>
          <t>https://www.jumbo.com.ar/shampoo-sedal-jengibre-y-ricino-650-ml/p</t>
        </is>
      </c>
    </row>
    <row r="1965">
      <c r="A1965" t="inlineStr">
        <is>
          <t>Jumbo</t>
        </is>
      </c>
      <c r="B1965" t="n">
        <v>389276</v>
      </c>
      <c r="C1965" t="n">
        <v>387382</v>
      </c>
      <c r="D1965" t="inlineStr">
        <is>
          <t>Shampoo Carbon Y Peonias 190 Ml Sedal</t>
        </is>
      </c>
      <c r="E1965" t="inlineStr">
        <is>
          <t>SEDAL</t>
        </is>
      </c>
      <c r="F1965" t="n">
        <v>3100</v>
      </c>
      <c r="G1965" t="n">
        <v>256198</v>
      </c>
      <c r="H1965" t="b">
        <v>0</v>
      </c>
      <c r="I1965" t="n">
        <v>190</v>
      </c>
      <c r="J1965" t="n">
        <v>16.3158</v>
      </c>
      <c r="K1965" t="inlineStr">
        <is>
          <t>&gt; Perfumería &gt; Cuidado Capilar &gt; Shampoo &gt;</t>
        </is>
      </c>
      <c r="L1965" t="inlineStr">
        <is>
          <t>shampoo</t>
        </is>
      </c>
      <c r="M1965" t="inlineStr">
        <is>
          <t>estandar</t>
        </is>
      </c>
      <c r="N1965" t="inlineStr">
        <is>
          <t>general</t>
        </is>
      </c>
      <c r="O1965" t="inlineStr">
        <is>
          <t>https://www.jumbo.com.ar/shampoo-carbon-y-peonias-190-ml-sedal/p</t>
        </is>
      </c>
    </row>
    <row r="1966">
      <c r="A1966" s="2" t="inlineStr">
        <is>
          <t>Jumbo</t>
        </is>
      </c>
      <c r="B1966" s="2" t="n">
        <v>347725</v>
      </c>
      <c r="C1966" s="2" t="n">
        <v>346400</v>
      </c>
      <c r="D1966" s="2" t="inlineStr">
        <is>
          <t>Acondicionador Sedal Liso Perfecto Hidratante 190 Ml</t>
        </is>
      </c>
      <c r="E1966" s="2" t="inlineStr">
        <is>
          <t>SEDAL</t>
        </is>
      </c>
      <c r="F1966" s="2" t="n">
        <v>600</v>
      </c>
      <c r="G1966" s="2" t="n">
        <v>49587</v>
      </c>
      <c r="H1966" s="2" t="b">
        <v>0</v>
      </c>
      <c r="I1966" s="2" t="n">
        <v>190</v>
      </c>
      <c r="J1966" s="2" t="n">
        <v>3.1579</v>
      </c>
      <c r="K1966" s="2" t="inlineStr">
        <is>
          <t>&gt; Perfumería &gt; Cuidado Capilar &gt; Acondicionador &gt;</t>
        </is>
      </c>
      <c r="L1966" s="2" t="inlineStr">
        <is>
          <t>acondicionador</t>
        </is>
      </c>
      <c r="M1966" s="2" t="inlineStr">
        <is>
          <t>estandar</t>
        </is>
      </c>
      <c r="N1966" s="2" t="inlineStr">
        <is>
          <t>seco_danado</t>
        </is>
      </c>
      <c r="O1966" s="2" t="inlineStr">
        <is>
          <t>https://www.jumbo.com.ar/acondicionador-sedal-liso-perfecto-hidratante-190-ml/p</t>
        </is>
      </c>
    </row>
    <row r="1967">
      <c r="A1967" t="inlineStr">
        <is>
          <t>Jumbo</t>
        </is>
      </c>
      <c r="B1967" t="n">
        <v>347724</v>
      </c>
      <c r="C1967" t="n">
        <v>346399</v>
      </c>
      <c r="D1967" t="inlineStr">
        <is>
          <t>Acondicionador Sedal Crema Balance Hidratante 190 Ml</t>
        </is>
      </c>
      <c r="E1967" t="inlineStr">
        <is>
          <t>SEDAL</t>
        </is>
      </c>
      <c r="F1967" t="n">
        <v>600</v>
      </c>
      <c r="G1967" t="n">
        <v>49587</v>
      </c>
      <c r="H1967" t="b">
        <v>0</v>
      </c>
      <c r="I1967" t="n">
        <v>190</v>
      </c>
      <c r="J1967" t="n">
        <v>3.1579</v>
      </c>
      <c r="K1967" t="inlineStr">
        <is>
          <t>&gt; Perfumería &gt; Cuidado Capilar &gt; Acondicionador &gt;</t>
        </is>
      </c>
      <c r="L1967" t="inlineStr">
        <is>
          <t>acondicionador</t>
        </is>
      </c>
      <c r="M1967" t="inlineStr">
        <is>
          <t>estandar</t>
        </is>
      </c>
      <c r="N1967" t="inlineStr">
        <is>
          <t>seco_danado</t>
        </is>
      </c>
      <c r="O1967" t="inlineStr">
        <is>
          <t>https://www.jumbo.com.ar/acondicionador-sedal-crema-balance-hidratante-190-ml/p</t>
        </is>
      </c>
    </row>
    <row r="1968">
      <c r="A1968" s="2" t="inlineStr">
        <is>
          <t>Jumbo</t>
        </is>
      </c>
      <c r="B1968" s="2" t="n">
        <v>347715</v>
      </c>
      <c r="C1968" s="2" t="n">
        <v>346390</v>
      </c>
      <c r="D1968" s="2" t="inlineStr">
        <is>
          <t>Shampoo  Sedal  Rizos Definidos  650 Ml</t>
        </is>
      </c>
      <c r="E1968" s="2" t="inlineStr">
        <is>
          <t>SEDAL</t>
        </is>
      </c>
      <c r="F1968" s="2" t="n">
        <v>1500</v>
      </c>
      <c r="G1968" s="2" t="n">
        <v>123967</v>
      </c>
      <c r="H1968" s="2" t="b">
        <v>0</v>
      </c>
      <c r="I1968" s="2" t="n">
        <v>650</v>
      </c>
      <c r="J1968" s="2" t="n">
        <v>2.3077</v>
      </c>
      <c r="K1968" s="2" t="inlineStr">
        <is>
          <t>&gt; Perfumería &gt; Cuidado Capilar &gt; Shampoo &gt;</t>
        </is>
      </c>
      <c r="L1968" s="2" t="inlineStr">
        <is>
          <t>shampoo</t>
        </is>
      </c>
      <c r="M1968" s="2" t="inlineStr">
        <is>
          <t>estandar</t>
        </is>
      </c>
      <c r="N1968" s="2" t="inlineStr">
        <is>
          <t>rizado</t>
        </is>
      </c>
      <c r="O1968" s="2" t="inlineStr">
        <is>
          <t>https://www.jumbo.com.ar/shampoo-sedal-rizos-definidos-650-ml/p</t>
        </is>
      </c>
    </row>
    <row r="1969">
      <c r="A1969" t="inlineStr">
        <is>
          <t>Jumbo</t>
        </is>
      </c>
      <c r="B1969" t="n">
        <v>347698</v>
      </c>
      <c r="C1969" t="n">
        <v>346373</v>
      </c>
      <c r="D1969" t="inlineStr">
        <is>
          <t>Shampoo Sedal Crema Balance Repuesto 300 Ml</t>
        </is>
      </c>
      <c r="E1969" t="inlineStr">
        <is>
          <t>SEDAL</t>
        </is>
      </c>
      <c r="F1969" t="n">
        <v>420.05</v>
      </c>
      <c r="G1969" t="n">
        <v>34715</v>
      </c>
      <c r="H1969" t="b">
        <v>0</v>
      </c>
      <c r="I1969" t="n">
        <v>300</v>
      </c>
      <c r="J1969" t="n">
        <v>1.4002</v>
      </c>
      <c r="K1969" t="inlineStr">
        <is>
          <t>&gt; Perfumería &gt; Cuidado Capilar &gt; Shampoo &gt;</t>
        </is>
      </c>
      <c r="L1969" t="inlineStr">
        <is>
          <t>shampoo</t>
        </is>
      </c>
      <c r="M1969" t="inlineStr">
        <is>
          <t>estandar</t>
        </is>
      </c>
      <c r="N1969" t="inlineStr">
        <is>
          <t>general</t>
        </is>
      </c>
      <c r="O1969" t="inlineStr">
        <is>
          <t>https://www.jumbo.com.ar/shampoo-sedal-crema-balance-repuesto-300-ml/p</t>
        </is>
      </c>
    </row>
    <row r="1970">
      <c r="A1970" s="2" t="inlineStr">
        <is>
          <t>Jumbo</t>
        </is>
      </c>
      <c r="B1970" s="2" t="n">
        <v>347681</v>
      </c>
      <c r="C1970" s="2" t="n">
        <v>346354</v>
      </c>
      <c r="D1970" s="2" t="inlineStr">
        <is>
          <t>Shampoo Sedal Restauración Instantánea 650 Ml</t>
        </is>
      </c>
      <c r="E1970" s="2" t="inlineStr">
        <is>
          <t>SEDAL</t>
        </is>
      </c>
      <c r="F1970" s="2" t="n">
        <v>1350</v>
      </c>
      <c r="G1970" s="2" t="n">
        <v>111570</v>
      </c>
      <c r="H1970" s="2" t="b">
        <v>0</v>
      </c>
      <c r="I1970" s="2" t="n">
        <v>650</v>
      </c>
      <c r="J1970" s="2" t="n">
        <v>2.0769</v>
      </c>
      <c r="K1970" s="2" t="inlineStr">
        <is>
          <t>&gt; Perfumería &gt; Cuidado Capilar &gt; Shampoo &gt;</t>
        </is>
      </c>
      <c r="L1970" s="2" t="inlineStr">
        <is>
          <t>shampoo</t>
        </is>
      </c>
      <c r="M1970" s="2" t="inlineStr">
        <is>
          <t>estandar</t>
        </is>
      </c>
      <c r="N1970" s="2" t="inlineStr">
        <is>
          <t>general</t>
        </is>
      </c>
      <c r="O1970" s="2" t="inlineStr">
        <is>
          <t>https://www.jumbo.com.ar/shampoo-sedal-restauracion-instantanea-650-ml-2/p</t>
        </is>
      </c>
    </row>
    <row r="1971">
      <c r="A1971" t="inlineStr">
        <is>
          <t>Jumbo</t>
        </is>
      </c>
      <c r="B1971" t="n">
        <v>347675</v>
      </c>
      <c r="C1971" t="n">
        <v>346348</v>
      </c>
      <c r="D1971" t="inlineStr">
        <is>
          <t>Shampoo  Sedal  Liso Perfecto  340 Ml</t>
        </is>
      </c>
      <c r="E1971" t="inlineStr">
        <is>
          <t>SEDAL</t>
        </is>
      </c>
      <c r="F1971" t="n">
        <v>469.67</v>
      </c>
      <c r="G1971" t="n">
        <v>38816</v>
      </c>
      <c r="H1971" t="b">
        <v>0</v>
      </c>
      <c r="I1971" t="n">
        <v>340</v>
      </c>
      <c r="J1971" t="n">
        <v>1.3814</v>
      </c>
      <c r="K1971" t="inlineStr">
        <is>
          <t>&gt; Perfumería &gt; Cuidado Capilar &gt; Shampoo &gt;</t>
        </is>
      </c>
      <c r="L1971" t="inlineStr">
        <is>
          <t>shampoo</t>
        </is>
      </c>
      <c r="M1971" t="inlineStr">
        <is>
          <t>estandar</t>
        </is>
      </c>
      <c r="N1971" t="inlineStr">
        <is>
          <t>general</t>
        </is>
      </c>
      <c r="O1971" t="inlineStr">
        <is>
          <t>https://www.jumbo.com.ar/shampoo-sedal-liso-perfecto-340-ml/p</t>
        </is>
      </c>
    </row>
    <row r="1972">
      <c r="A1972" s="2" t="inlineStr">
        <is>
          <t>Jumbo</t>
        </is>
      </c>
      <c r="B1972" s="2" t="n">
        <v>347674</v>
      </c>
      <c r="C1972" s="2" t="n">
        <v>346347</v>
      </c>
      <c r="D1972" s="2" t="inlineStr">
        <is>
          <t>Shampoo  Sedal  Restauración Instantánea  190 Ml</t>
        </is>
      </c>
      <c r="E1972" s="2" t="inlineStr">
        <is>
          <t>SEDAL</t>
        </is>
      </c>
      <c r="F1972" s="2" t="n">
        <v>359.35</v>
      </c>
      <c r="G1972" s="2" t="n">
        <v>29698</v>
      </c>
      <c r="H1972" s="2" t="b">
        <v>0</v>
      </c>
      <c r="I1972" s="2" t="n">
        <v>190</v>
      </c>
      <c r="J1972" s="2" t="n">
        <v>1.8913</v>
      </c>
      <c r="K1972" s="2" t="inlineStr">
        <is>
          <t>&gt; Perfumería &gt; Cuidado Capilar &gt; Shampoo &gt;</t>
        </is>
      </c>
      <c r="L1972" s="2" t="inlineStr">
        <is>
          <t>shampoo</t>
        </is>
      </c>
      <c r="M1972" s="2" t="inlineStr">
        <is>
          <t>estandar</t>
        </is>
      </c>
      <c r="N1972" s="2" t="inlineStr">
        <is>
          <t>general</t>
        </is>
      </c>
      <c r="O1972" s="2" t="inlineStr">
        <is>
          <t>https://www.jumbo.com.ar/shampoo-sedal-restauracion-instantanea-190-ml-2/p</t>
        </is>
      </c>
    </row>
    <row r="1973">
      <c r="A1973" t="inlineStr">
        <is>
          <t>Jumbo</t>
        </is>
      </c>
      <c r="B1973" t="n">
        <v>347673</v>
      </c>
      <c r="C1973" t="n">
        <v>346346</v>
      </c>
      <c r="D1973" t="inlineStr">
        <is>
          <t>Shampoo  Sedal  Crema Balance  340 Ml</t>
        </is>
      </c>
      <c r="E1973" t="inlineStr">
        <is>
          <t>SEDAL</t>
        </is>
      </c>
      <c r="F1973" t="n">
        <v>850</v>
      </c>
      <c r="G1973" t="n">
        <v>70248</v>
      </c>
      <c r="H1973" t="b">
        <v>0</v>
      </c>
      <c r="I1973" t="n">
        <v>340</v>
      </c>
      <c r="J1973" t="n">
        <v>2.5</v>
      </c>
      <c r="K1973" t="inlineStr">
        <is>
          <t>&gt; Perfumería &gt; Cuidado Capilar &gt; Shampoo &gt;</t>
        </is>
      </c>
      <c r="L1973" t="inlineStr">
        <is>
          <t>shampoo</t>
        </is>
      </c>
      <c r="M1973" t="inlineStr">
        <is>
          <t>estandar</t>
        </is>
      </c>
      <c r="N1973" t="inlineStr">
        <is>
          <t>general</t>
        </is>
      </c>
      <c r="O1973" t="inlineStr">
        <is>
          <t>https://www.jumbo.com.ar/shampoo-sedal-crema-balance-340-ml/p</t>
        </is>
      </c>
    </row>
    <row r="1974">
      <c r="A1974" s="2" t="inlineStr">
        <is>
          <t>Jumbo</t>
        </is>
      </c>
      <c r="B1974" s="2" t="n">
        <v>347672</v>
      </c>
      <c r="C1974" s="2" t="n">
        <v>346345</v>
      </c>
      <c r="D1974" s="2" t="inlineStr">
        <is>
          <t>Shampoo  Sedal  Crema Balance  190 Ml</t>
        </is>
      </c>
      <c r="E1974" s="2" t="inlineStr">
        <is>
          <t>SEDAL</t>
        </is>
      </c>
      <c r="F1974" s="2" t="n">
        <v>359.35</v>
      </c>
      <c r="G1974" s="2" t="n">
        <v>29698</v>
      </c>
      <c r="H1974" s="2" t="b">
        <v>0</v>
      </c>
      <c r="I1974" s="2" t="n">
        <v>190</v>
      </c>
      <c r="J1974" s="2" t="n">
        <v>1.8913</v>
      </c>
      <c r="K1974" s="2" t="inlineStr">
        <is>
          <t>&gt; Perfumería &gt; Cuidado Capilar &gt; Shampoo &gt;</t>
        </is>
      </c>
      <c r="L1974" s="2" t="inlineStr">
        <is>
          <t>shampoo</t>
        </is>
      </c>
      <c r="M1974" s="2" t="inlineStr">
        <is>
          <t>estandar</t>
        </is>
      </c>
      <c r="N1974" s="2" t="inlineStr">
        <is>
          <t>general</t>
        </is>
      </c>
      <c r="O1974" s="2" t="inlineStr">
        <is>
          <t>https://www.jumbo.com.ar/shampoo-sedal-crema-balance-190-ml-2/p</t>
        </is>
      </c>
    </row>
    <row r="1975">
      <c r="A1975" t="inlineStr">
        <is>
          <t>Jumbo</t>
        </is>
      </c>
      <c r="B1975" t="n">
        <v>347634</v>
      </c>
      <c r="C1975" t="n">
        <v>346307</v>
      </c>
      <c r="D1975" t="inlineStr">
        <is>
          <t>Acondicionador Sedal Jengibre Y Ricino 190 Ml</t>
        </is>
      </c>
      <c r="E1975" t="inlineStr">
        <is>
          <t>SEDAL</t>
        </is>
      </c>
      <c r="F1975" t="n">
        <v>600</v>
      </c>
      <c r="G1975" t="n">
        <v>49587</v>
      </c>
      <c r="H1975" t="b">
        <v>0</v>
      </c>
      <c r="I1975" t="n">
        <v>190</v>
      </c>
      <c r="J1975" t="n">
        <v>3.1579</v>
      </c>
      <c r="K1975" t="inlineStr">
        <is>
          <t>&gt; Perfumería &gt; Cuidado Capilar &gt; Acondicionador &gt;</t>
        </is>
      </c>
      <c r="L1975" t="inlineStr">
        <is>
          <t>acondicionador</t>
        </is>
      </c>
      <c r="M1975" t="inlineStr">
        <is>
          <t>estandar</t>
        </is>
      </c>
      <c r="N1975" t="inlineStr">
        <is>
          <t>general</t>
        </is>
      </c>
      <c r="O1975" t="inlineStr">
        <is>
          <t>https://www.jumbo.com.ar/acondicionador-sedal-jengibre-y-ricino-190-ml/p</t>
        </is>
      </c>
    </row>
    <row r="1976">
      <c r="A1976" s="2" t="inlineStr">
        <is>
          <t>Jumbo</t>
        </is>
      </c>
      <c r="B1976" s="2" t="n">
        <v>347631</v>
      </c>
      <c r="C1976" s="2" t="n">
        <v>346304</v>
      </c>
      <c r="D1976" s="2" t="inlineStr">
        <is>
          <t>Shampoo Sedal Jengibre &amp; Ricino 650 Ml</t>
        </is>
      </c>
      <c r="E1976" s="2" t="inlineStr">
        <is>
          <t>SEDAL</t>
        </is>
      </c>
      <c r="F1976" s="2" t="n">
        <v>880.05</v>
      </c>
      <c r="G1976" s="2" t="n">
        <v>72731</v>
      </c>
      <c r="H1976" s="2" t="b">
        <v>0</v>
      </c>
      <c r="I1976" s="2" t="n">
        <v>650</v>
      </c>
      <c r="J1976" s="2" t="n">
        <v>1.3539</v>
      </c>
      <c r="K1976" s="2" t="inlineStr">
        <is>
          <t>&gt; Perfumería &gt; Cuidado Capilar &gt; Shampoo &gt;</t>
        </is>
      </c>
      <c r="L1976" s="2" t="inlineStr">
        <is>
          <t>shampoo</t>
        </is>
      </c>
      <c r="M1976" s="2" t="inlineStr">
        <is>
          <t>estandar</t>
        </is>
      </c>
      <c r="N1976" s="2" t="inlineStr">
        <is>
          <t>general</t>
        </is>
      </c>
      <c r="O1976" s="2" t="inlineStr">
        <is>
          <t>https://www.jumbo.com.ar/shampoo-sedal-jengibre-ricino-650-ml/p</t>
        </is>
      </c>
    </row>
    <row r="1977">
      <c r="A1977" t="inlineStr">
        <is>
          <t>Jumbo</t>
        </is>
      </c>
      <c r="B1977" t="n">
        <v>347629</v>
      </c>
      <c r="C1977" t="n">
        <v>346302</v>
      </c>
      <c r="D1977" t="inlineStr">
        <is>
          <t>Shampoo Sedal Jengibre Y Ricino 190 Ml</t>
        </is>
      </c>
      <c r="E1977" t="inlineStr">
        <is>
          <t>SEDAL</t>
        </is>
      </c>
      <c r="F1977" t="n">
        <v>600</v>
      </c>
      <c r="G1977" t="n">
        <v>49587</v>
      </c>
      <c r="H1977" t="b">
        <v>0</v>
      </c>
      <c r="I1977" t="n">
        <v>190</v>
      </c>
      <c r="J1977" t="n">
        <v>3.1579</v>
      </c>
      <c r="K1977" t="inlineStr">
        <is>
          <t>&gt; Perfumería &gt; Cuidado Capilar &gt; Shampoo &gt;</t>
        </is>
      </c>
      <c r="L1977" t="inlineStr">
        <is>
          <t>shampoo</t>
        </is>
      </c>
      <c r="M1977" t="inlineStr">
        <is>
          <t>estandar</t>
        </is>
      </c>
      <c r="N1977" t="inlineStr">
        <is>
          <t>general</t>
        </is>
      </c>
      <c r="O1977" t="inlineStr">
        <is>
          <t>https://www.jumbo.com.ar/shampoo-sedal-jengibre-y-ricino-190-ml/p</t>
        </is>
      </c>
    </row>
    <row r="1978">
      <c r="A1978" s="2" t="inlineStr">
        <is>
          <t>Jumbo</t>
        </is>
      </c>
      <c r="B1978" s="2" t="n">
        <v>347628</v>
      </c>
      <c r="C1978" s="2" t="n">
        <v>346301</v>
      </c>
      <c r="D1978" s="2" t="inlineStr">
        <is>
          <t>Shampoo Sedal Jengibre Y Ricino 340 Ml</t>
        </is>
      </c>
      <c r="E1978" s="2" t="inlineStr">
        <is>
          <t>SEDAL</t>
        </is>
      </c>
      <c r="F1978" s="2" t="n">
        <v>469.67</v>
      </c>
      <c r="G1978" s="2" t="n">
        <v>38816</v>
      </c>
      <c r="H1978" s="2" t="b">
        <v>0</v>
      </c>
      <c r="I1978" s="2" t="n">
        <v>340</v>
      </c>
      <c r="J1978" s="2" t="n">
        <v>1.3814</v>
      </c>
      <c r="K1978" s="2" t="inlineStr">
        <is>
          <t>&gt; Perfumería &gt; Cuidado Capilar &gt; Shampoo &gt;</t>
        </is>
      </c>
      <c r="L1978" s="2" t="inlineStr">
        <is>
          <t>shampoo</t>
        </is>
      </c>
      <c r="M1978" s="2" t="inlineStr">
        <is>
          <t>estandar</t>
        </is>
      </c>
      <c r="N1978" s="2" t="inlineStr">
        <is>
          <t>general</t>
        </is>
      </c>
      <c r="O1978" s="2" t="inlineStr">
        <is>
          <t>https://www.jumbo.com.ar/shampoo-sedal-jengibre-y-ricino-340-ml/p</t>
        </is>
      </c>
    </row>
    <row r="1979">
      <c r="A1979" t="inlineStr">
        <is>
          <t>Jumbo</t>
        </is>
      </c>
      <c r="B1979" t="n">
        <v>347624</v>
      </c>
      <c r="C1979" t="n">
        <v>346297</v>
      </c>
      <c r="D1979" t="inlineStr">
        <is>
          <t>Crema Para Peinar Sedal Jengibre Y Ricino 300 Ml</t>
        </is>
      </c>
      <c r="E1979" t="inlineStr">
        <is>
          <t>SEDAL</t>
        </is>
      </c>
      <c r="F1979" t="n">
        <v>950</v>
      </c>
      <c r="G1979" t="n">
        <v>78512</v>
      </c>
      <c r="H1979" t="b">
        <v>0</v>
      </c>
      <c r="I1979" t="n">
        <v>300</v>
      </c>
      <c r="J1979" t="n">
        <v>3.1667</v>
      </c>
      <c r="K1979" t="inlineStr">
        <is>
          <t>&gt; Perfumería &gt; Cuidado Capilar &gt; Reparación y Tratamientos &gt;</t>
        </is>
      </c>
      <c r="L1979" t="inlineStr">
        <is>
          <t>shampoo</t>
        </is>
      </c>
      <c r="M1979" t="inlineStr">
        <is>
          <t>estandar</t>
        </is>
      </c>
      <c r="N1979" t="inlineStr">
        <is>
          <t>general</t>
        </is>
      </c>
      <c r="O1979" t="inlineStr">
        <is>
          <t>https://www.jumbo.com.ar/crema-para-peinar-sedal-jengibre-y-ricino-300-ml/p</t>
        </is>
      </c>
    </row>
    <row r="1980">
      <c r="A1980" s="2" t="inlineStr">
        <is>
          <t>Jumbo</t>
        </is>
      </c>
      <c r="B1980" s="2" t="n">
        <v>347622</v>
      </c>
      <c r="C1980" s="2" t="n">
        <v>346295</v>
      </c>
      <c r="D1980" s="2" t="inlineStr">
        <is>
          <t>Acondicionador Sedal Jengibre &amp; Ricino 650 Ml</t>
        </is>
      </c>
      <c r="E1980" s="2" t="inlineStr">
        <is>
          <t>SEDAL</t>
        </is>
      </c>
      <c r="F1980" s="2" t="n">
        <v>1450</v>
      </c>
      <c r="G1980" s="2" t="n">
        <v>119835</v>
      </c>
      <c r="H1980" s="2" t="b">
        <v>0</v>
      </c>
      <c r="I1980" s="2" t="n">
        <v>650</v>
      </c>
      <c r="J1980" s="2" t="n">
        <v>2.2308</v>
      </c>
      <c r="K1980" s="2" t="inlineStr">
        <is>
          <t>&gt; Perfumería &gt; Cuidado Capilar &gt; Acondicionador &gt;</t>
        </is>
      </c>
      <c r="L1980" s="2" t="inlineStr">
        <is>
          <t>acondicionador</t>
        </is>
      </c>
      <c r="M1980" s="2" t="inlineStr">
        <is>
          <t>estandar</t>
        </is>
      </c>
      <c r="N1980" s="2" t="inlineStr">
        <is>
          <t>general</t>
        </is>
      </c>
      <c r="O1980" s="2" t="inlineStr">
        <is>
          <t>https://www.jumbo.com.ar/acondicionador-sedal-jengibre-ricino-650-ml/p</t>
        </is>
      </c>
    </row>
    <row r="1981">
      <c r="A1981" t="inlineStr">
        <is>
          <t>Jumbo</t>
        </is>
      </c>
      <c r="B1981" t="n">
        <v>347620</v>
      </c>
      <c r="C1981" t="n">
        <v>346293</v>
      </c>
      <c r="D1981" t="inlineStr">
        <is>
          <t>Acondicionador Sedal Jengibre &amp; Ricino 340 Ml</t>
        </is>
      </c>
      <c r="E1981" t="inlineStr">
        <is>
          <t>SEDAL</t>
        </is>
      </c>
      <c r="F1981" t="n">
        <v>900</v>
      </c>
      <c r="G1981" t="n">
        <v>74380</v>
      </c>
      <c r="H1981" t="b">
        <v>0</v>
      </c>
      <c r="I1981" t="n">
        <v>340</v>
      </c>
      <c r="J1981" t="n">
        <v>2.6471</v>
      </c>
      <c r="K1981" t="inlineStr">
        <is>
          <t>&gt; Perfumería &gt; Cuidado Capilar &gt; Acondicionador &gt;</t>
        </is>
      </c>
      <c r="L1981" t="inlineStr">
        <is>
          <t>acondicionador</t>
        </is>
      </c>
      <c r="M1981" t="inlineStr">
        <is>
          <t>estandar</t>
        </is>
      </c>
      <c r="N1981" t="inlineStr">
        <is>
          <t>general</t>
        </is>
      </c>
      <c r="O1981" t="inlineStr">
        <is>
          <t>https://www.jumbo.com.ar/acondicionador-sedal-jengibre-ricino-340-ml/p</t>
        </is>
      </c>
    </row>
    <row r="1982">
      <c r="A1982" s="2" t="inlineStr">
        <is>
          <t>Jumbo</t>
        </is>
      </c>
      <c r="B1982" s="2" t="n">
        <v>344035</v>
      </c>
      <c r="C1982" s="2" t="n">
        <v>342720</v>
      </c>
      <c r="D1982" s="2" t="inlineStr">
        <is>
          <t>Shampoo Sedal Bomba Nutrición Antifrizz 190 Ml</t>
        </is>
      </c>
      <c r="E1982" s="2" t="inlineStr">
        <is>
          <t>SEDAL</t>
        </is>
      </c>
      <c r="F1982" s="2" t="n">
        <v>359.35</v>
      </c>
      <c r="G1982" s="2" t="n">
        <v>29698</v>
      </c>
      <c r="H1982" s="2" t="b">
        <v>0</v>
      </c>
      <c r="I1982" s="2" t="n">
        <v>190</v>
      </c>
      <c r="J1982" s="2" t="n">
        <v>1.8913</v>
      </c>
      <c r="K1982" s="2" t="inlineStr">
        <is>
          <t>&gt; Perfumería &gt; Cuidado Capilar &gt; Shampoo &gt;</t>
        </is>
      </c>
      <c r="L1982" s="2" t="inlineStr">
        <is>
          <t>shampoo</t>
        </is>
      </c>
      <c r="M1982" s="2" t="inlineStr">
        <is>
          <t>estandar</t>
        </is>
      </c>
      <c r="N1982" s="2" t="inlineStr">
        <is>
          <t>general</t>
        </is>
      </c>
      <c r="O1982" s="2" t="inlineStr">
        <is>
          <t>https://www.jumbo.com.ar/shampoo-sedal-bomba-nutricion-antifrizz-190-ml/p</t>
        </is>
      </c>
    </row>
    <row r="1983">
      <c r="A1983" t="inlineStr">
        <is>
          <t>Jumbo</t>
        </is>
      </c>
      <c r="B1983" t="n">
        <v>344025</v>
      </c>
      <c r="C1983" t="n">
        <v>342710</v>
      </c>
      <c r="D1983" t="inlineStr">
        <is>
          <t>Acondicionador Sedal Bomba Argán Restaura 650 Ml</t>
        </is>
      </c>
      <c r="E1983" t="inlineStr">
        <is>
          <t>SEDAL</t>
        </is>
      </c>
      <c r="F1983" t="n">
        <v>1450</v>
      </c>
      <c r="G1983" t="n">
        <v>119835</v>
      </c>
      <c r="H1983" t="b">
        <v>0</v>
      </c>
      <c r="I1983" t="n">
        <v>650</v>
      </c>
      <c r="J1983" t="n">
        <v>2.2308</v>
      </c>
      <c r="K1983" t="inlineStr">
        <is>
          <t>&gt; Perfumería &gt; Cuidado Capilar &gt; Acondicionador &gt;</t>
        </is>
      </c>
      <c r="L1983" t="inlineStr">
        <is>
          <t>acondicionador</t>
        </is>
      </c>
      <c r="M1983" t="inlineStr">
        <is>
          <t>estandar</t>
        </is>
      </c>
      <c r="N1983" t="inlineStr">
        <is>
          <t>general</t>
        </is>
      </c>
      <c r="O1983" t="inlineStr">
        <is>
          <t>https://www.jumbo.com.ar/acondicionador-sedal-bomba-argan-restaura-650-ml/p</t>
        </is>
      </c>
    </row>
    <row r="1984">
      <c r="A1984" s="2" t="inlineStr">
        <is>
          <t>Jumbo</t>
        </is>
      </c>
      <c r="B1984" s="2" t="n">
        <v>344023</v>
      </c>
      <c r="C1984" s="2" t="n">
        <v>342708</v>
      </c>
      <c r="D1984" s="2" t="inlineStr">
        <is>
          <t>Acondicionador Sedal Bomba Argán Restaura 190 Ml</t>
        </is>
      </c>
      <c r="E1984" s="2" t="inlineStr">
        <is>
          <t>SEDAL</t>
        </is>
      </c>
      <c r="F1984" s="2" t="n">
        <v>600</v>
      </c>
      <c r="G1984" s="2" t="n">
        <v>49587</v>
      </c>
      <c r="H1984" s="2" t="b">
        <v>0</v>
      </c>
      <c r="I1984" s="2" t="n">
        <v>190</v>
      </c>
      <c r="J1984" s="2" t="n">
        <v>3.1579</v>
      </c>
      <c r="K1984" s="2" t="inlineStr">
        <is>
          <t>&gt; Perfumería &gt; Cuidado Capilar &gt; Acondicionador &gt;</t>
        </is>
      </c>
      <c r="L1984" s="2" t="inlineStr">
        <is>
          <t>acondicionador</t>
        </is>
      </c>
      <c r="M1984" s="2" t="inlineStr">
        <is>
          <t>estandar</t>
        </is>
      </c>
      <c r="N1984" s="2" t="inlineStr">
        <is>
          <t>general</t>
        </is>
      </c>
      <c r="O1984" s="2" t="inlineStr">
        <is>
          <t>https://www.jumbo.com.ar/acondicionador-sedal-bomba-argan-restaura-190-ml/p</t>
        </is>
      </c>
    </row>
    <row r="1985">
      <c r="A1985" t="inlineStr">
        <is>
          <t>Jumbo</t>
        </is>
      </c>
      <c r="B1985" t="n">
        <v>344020</v>
      </c>
      <c r="C1985" t="n">
        <v>342705</v>
      </c>
      <c r="D1985" t="inlineStr">
        <is>
          <t>Shampoo Sedal Bomba Argán Restaura 340 Ml</t>
        </is>
      </c>
      <c r="E1985" t="inlineStr">
        <is>
          <t>SEDAL</t>
        </is>
      </c>
      <c r="F1985" t="n">
        <v>469.67</v>
      </c>
      <c r="G1985" t="n">
        <v>38816</v>
      </c>
      <c r="H1985" t="b">
        <v>0</v>
      </c>
      <c r="I1985" t="n">
        <v>340</v>
      </c>
      <c r="J1985" t="n">
        <v>1.3814</v>
      </c>
      <c r="K1985" t="inlineStr">
        <is>
          <t>&gt; Perfumería &gt; Cuidado Capilar &gt; Shampoo &gt;</t>
        </is>
      </c>
      <c r="L1985" t="inlineStr">
        <is>
          <t>shampoo</t>
        </is>
      </c>
      <c r="M1985" t="inlineStr">
        <is>
          <t>estandar</t>
        </is>
      </c>
      <c r="N1985" t="inlineStr">
        <is>
          <t>general</t>
        </is>
      </c>
      <c r="O1985" t="inlineStr">
        <is>
          <t>https://www.jumbo.com.ar/shampoo-sedal-bomba-argan-restaura-340-ml/p</t>
        </is>
      </c>
    </row>
    <row r="1986">
      <c r="A1986" s="2" t="inlineStr">
        <is>
          <t>Jumbo</t>
        </is>
      </c>
      <c r="B1986" s="2" t="n">
        <v>343923</v>
      </c>
      <c r="C1986" s="2" t="n">
        <v>342607</v>
      </c>
      <c r="D1986" s="2" t="inlineStr">
        <is>
          <t>Acondicionador Sedal Carbón Activado  Peonias 650 Ml</t>
        </is>
      </c>
      <c r="E1986" s="2" t="inlineStr">
        <is>
          <t>SEDAL</t>
        </is>
      </c>
      <c r="F1986" s="2" t="n">
        <v>1500</v>
      </c>
      <c r="G1986" s="2" t="n">
        <v>123967</v>
      </c>
      <c r="H1986" s="2" t="b">
        <v>0</v>
      </c>
      <c r="I1986" s="2" t="n">
        <v>650</v>
      </c>
      <c r="J1986" s="2" t="n">
        <v>2.3077</v>
      </c>
      <c r="K1986" s="2" t="inlineStr">
        <is>
          <t>&gt; Perfumería &gt; Cuidado Capilar &gt; Acondicionador &gt;</t>
        </is>
      </c>
      <c r="L1986" s="2" t="inlineStr">
        <is>
          <t>acondicionador</t>
        </is>
      </c>
      <c r="M1986" s="2" t="inlineStr">
        <is>
          <t>estandar</t>
        </is>
      </c>
      <c r="N1986" s="2" t="inlineStr">
        <is>
          <t>general</t>
        </is>
      </c>
      <c r="O1986" s="2" t="inlineStr">
        <is>
          <t>https://www.jumbo.com.ar/acondicionador-sedal-carbon-activado-peonias-650-ml/p</t>
        </is>
      </c>
    </row>
    <row r="1987">
      <c r="A1987" t="inlineStr">
        <is>
          <t>Jumbo</t>
        </is>
      </c>
      <c r="B1987" t="n">
        <v>343922</v>
      </c>
      <c r="C1987" t="n">
        <v>342606</v>
      </c>
      <c r="D1987" t="inlineStr">
        <is>
          <t>Acondicionador Sedal Carbón Activado  Peonias 340 Ml</t>
        </is>
      </c>
      <c r="E1987" t="inlineStr">
        <is>
          <t>SEDAL</t>
        </is>
      </c>
      <c r="F1987" t="n">
        <v>800</v>
      </c>
      <c r="G1987" t="n">
        <v>66116</v>
      </c>
      <c r="H1987" t="b">
        <v>0</v>
      </c>
      <c r="I1987" t="n">
        <v>340</v>
      </c>
      <c r="J1987" t="n">
        <v>2.3529</v>
      </c>
      <c r="K1987" t="inlineStr">
        <is>
          <t>&gt; Perfumería &gt; Cuidado Capilar &gt; Acondicionador &gt;</t>
        </is>
      </c>
      <c r="L1987" t="inlineStr">
        <is>
          <t>acondicionador</t>
        </is>
      </c>
      <c r="M1987" t="inlineStr">
        <is>
          <t>estandar</t>
        </is>
      </c>
      <c r="N1987" t="inlineStr">
        <is>
          <t>general</t>
        </is>
      </c>
      <c r="O1987" t="inlineStr">
        <is>
          <t>https://www.jumbo.com.ar/acondicionador-sedal-carbon-activado-peonias-340-ml/p</t>
        </is>
      </c>
    </row>
    <row r="1988">
      <c r="A1988" s="2" t="inlineStr">
        <is>
          <t>Jumbo</t>
        </is>
      </c>
      <c r="B1988" s="2" t="n">
        <v>343921</v>
      </c>
      <c r="C1988" s="2" t="n">
        <v>342605</v>
      </c>
      <c r="D1988" s="2" t="inlineStr">
        <is>
          <t>Acondicionador Sedal Carbón Activado Peonias 190 Ml</t>
        </is>
      </c>
      <c r="E1988" s="2" t="inlineStr">
        <is>
          <t>SEDAL</t>
        </is>
      </c>
      <c r="F1988" s="2" t="n">
        <v>650</v>
      </c>
      <c r="G1988" s="2" t="n">
        <v>53719</v>
      </c>
      <c r="H1988" s="2" t="b">
        <v>0</v>
      </c>
      <c r="I1988" s="2" t="n">
        <v>190</v>
      </c>
      <c r="J1988" s="2" t="n">
        <v>3.4211</v>
      </c>
      <c r="K1988" s="2" t="inlineStr">
        <is>
          <t>&gt; Perfumería &gt; Cuidado Capilar &gt; Acondicionador &gt;</t>
        </is>
      </c>
      <c r="L1988" s="2" t="inlineStr">
        <is>
          <t>acondicionador</t>
        </is>
      </c>
      <c r="M1988" s="2" t="inlineStr">
        <is>
          <t>estandar</t>
        </is>
      </c>
      <c r="N1988" s="2" t="inlineStr">
        <is>
          <t>general</t>
        </is>
      </c>
      <c r="O1988" s="2" t="inlineStr">
        <is>
          <t>https://www.jumbo.com.ar/acondicionador-sedal-carbon-activado-peonias-190-ml/p</t>
        </is>
      </c>
    </row>
    <row r="1989">
      <c r="A1989" t="inlineStr">
        <is>
          <t>Jumbo</t>
        </is>
      </c>
      <c r="B1989" t="n">
        <v>343920</v>
      </c>
      <c r="C1989" t="n">
        <v>342604</v>
      </c>
      <c r="D1989" t="inlineStr">
        <is>
          <t>Acondicionador Sedal Bomba Nutrición Antifrizz 650 Ml</t>
        </is>
      </c>
      <c r="E1989" t="inlineStr">
        <is>
          <t>SEDAL</t>
        </is>
      </c>
      <c r="F1989" t="n">
        <v>950</v>
      </c>
      <c r="G1989" t="n">
        <v>78512</v>
      </c>
      <c r="H1989" t="b">
        <v>0</v>
      </c>
      <c r="I1989" t="n">
        <v>650</v>
      </c>
      <c r="J1989" t="n">
        <v>1.4615</v>
      </c>
      <c r="K1989" t="inlineStr">
        <is>
          <t>&gt; Perfumería &gt; Cuidado Capilar &gt; Acondicionador &gt;</t>
        </is>
      </c>
      <c r="L1989" t="inlineStr">
        <is>
          <t>acondicionador</t>
        </is>
      </c>
      <c r="M1989" t="inlineStr">
        <is>
          <t>estandar</t>
        </is>
      </c>
      <c r="N1989" t="inlineStr">
        <is>
          <t>general</t>
        </is>
      </c>
      <c r="O1989" t="inlineStr">
        <is>
          <t>https://www.jumbo.com.ar/acondicionador-sedal-bomba-nutricion-antifrizz-650-ml/p</t>
        </is>
      </c>
    </row>
    <row r="1990">
      <c r="A1990" s="2" t="inlineStr">
        <is>
          <t>Jumbo</t>
        </is>
      </c>
      <c r="B1990" s="2" t="n">
        <v>343822</v>
      </c>
      <c r="C1990" s="2" t="n">
        <v>342506</v>
      </c>
      <c r="D1990" s="2" t="inlineStr">
        <is>
          <t>Acondicionador Sedal Bomba Nutrición Antifrizz 190 Ml</t>
        </is>
      </c>
      <c r="E1990" s="2" t="inlineStr">
        <is>
          <t>SEDAL</t>
        </is>
      </c>
      <c r="F1990" s="2" t="n">
        <v>359.35</v>
      </c>
      <c r="G1990" s="2" t="n">
        <v>29698</v>
      </c>
      <c r="H1990" s="2" t="b">
        <v>0</v>
      </c>
      <c r="I1990" s="2" t="n">
        <v>190</v>
      </c>
      <c r="J1990" s="2" t="n">
        <v>1.8913</v>
      </c>
      <c r="K1990" s="2" t="inlineStr">
        <is>
          <t>&gt; Perfumería &gt; Cuidado Capilar &gt; Acondicionador &gt;</t>
        </is>
      </c>
      <c r="L1990" s="2" t="inlineStr">
        <is>
          <t>acondicionador</t>
        </is>
      </c>
      <c r="M1990" s="2" t="inlineStr">
        <is>
          <t>estandar</t>
        </is>
      </c>
      <c r="N1990" s="2" t="inlineStr">
        <is>
          <t>general</t>
        </is>
      </c>
      <c r="O1990" s="2" t="inlineStr">
        <is>
          <t>https://www.jumbo.com.ar/acondicionador-sedal-bomba-nutricion-antifrizz-190-ml/p</t>
        </is>
      </c>
    </row>
    <row r="1991">
      <c r="A1991" t="inlineStr">
        <is>
          <t>Jumbo</t>
        </is>
      </c>
      <c r="B1991" t="n">
        <v>343821</v>
      </c>
      <c r="C1991" t="n">
        <v>342505</v>
      </c>
      <c r="D1991" t="inlineStr">
        <is>
          <t>Acondicionador Sedal Bomba Nutrición Antifrizz 340 Ml</t>
        </is>
      </c>
      <c r="E1991" t="inlineStr">
        <is>
          <t>SEDAL</t>
        </is>
      </c>
      <c r="F1991" t="n">
        <v>469.67</v>
      </c>
      <c r="G1991" t="n">
        <v>38816</v>
      </c>
      <c r="H1991" t="b">
        <v>0</v>
      </c>
      <c r="I1991" t="n">
        <v>340</v>
      </c>
      <c r="J1991" t="n">
        <v>1.3814</v>
      </c>
      <c r="K1991" t="inlineStr">
        <is>
          <t>&gt; Perfumería &gt; Cuidado Capilar &gt; Acondicionador &gt;</t>
        </is>
      </c>
      <c r="L1991" t="inlineStr">
        <is>
          <t>acondicionador</t>
        </is>
      </c>
      <c r="M1991" t="inlineStr">
        <is>
          <t>estandar</t>
        </is>
      </c>
      <c r="N1991" t="inlineStr">
        <is>
          <t>general</t>
        </is>
      </c>
      <c r="O1991" t="inlineStr">
        <is>
          <t>https://www.jumbo.com.ar/acondicionador-sedal-bomba-nutricion-antifrizz-340-ml/p</t>
        </is>
      </c>
    </row>
    <row r="1992">
      <c r="A1992" s="2" t="inlineStr">
        <is>
          <t>Jumbo</t>
        </is>
      </c>
      <c r="B1992" s="2" t="n">
        <v>343820</v>
      </c>
      <c r="C1992" s="2" t="n">
        <v>342504</v>
      </c>
      <c r="D1992" s="2" t="inlineStr">
        <is>
          <t>Shampoo Sedal Carbón Activado  Peonias 340 Ml</t>
        </is>
      </c>
      <c r="E1992" s="2" t="inlineStr">
        <is>
          <t>SEDAL</t>
        </is>
      </c>
      <c r="F1992" s="2" t="n">
        <v>800</v>
      </c>
      <c r="G1992" s="2" t="n">
        <v>66116</v>
      </c>
      <c r="H1992" s="2" t="b">
        <v>0</v>
      </c>
      <c r="I1992" s="2" t="n">
        <v>340</v>
      </c>
      <c r="J1992" s="2" t="n">
        <v>2.3529</v>
      </c>
      <c r="K1992" s="2" t="inlineStr">
        <is>
          <t>&gt; Perfumería &gt; Cuidado Capilar &gt; Shampoo &gt;</t>
        </is>
      </c>
      <c r="L1992" s="2" t="inlineStr">
        <is>
          <t>shampoo</t>
        </is>
      </c>
      <c r="M1992" s="2" t="inlineStr">
        <is>
          <t>estandar</t>
        </is>
      </c>
      <c r="N1992" s="2" t="inlineStr">
        <is>
          <t>general</t>
        </is>
      </c>
      <c r="O1992" s="2" t="inlineStr">
        <is>
          <t>https://www.jumbo.com.ar/shampoo-sedal-carbon-activado-peonias-340-ml/p</t>
        </is>
      </c>
    </row>
    <row r="1993">
      <c r="A1993" t="inlineStr">
        <is>
          <t>Jumbo</t>
        </is>
      </c>
      <c r="B1993" t="n">
        <v>343819</v>
      </c>
      <c r="C1993" t="n">
        <v>342503</v>
      </c>
      <c r="D1993" t="inlineStr">
        <is>
          <t>Shampoo Sedal Carbón Activado Peonias 650 Ml</t>
        </is>
      </c>
      <c r="E1993" t="inlineStr">
        <is>
          <t>SEDAL</t>
        </is>
      </c>
      <c r="F1993" t="n">
        <v>1350</v>
      </c>
      <c r="G1993" t="n">
        <v>111570</v>
      </c>
      <c r="H1993" t="b">
        <v>0</v>
      </c>
      <c r="I1993" t="n">
        <v>650</v>
      </c>
      <c r="J1993" t="n">
        <v>2.0769</v>
      </c>
      <c r="K1993" t="inlineStr">
        <is>
          <t>&gt; Perfumería &gt; Cuidado Capilar &gt; Shampoo &gt;</t>
        </is>
      </c>
      <c r="L1993" t="inlineStr">
        <is>
          <t>shampoo</t>
        </is>
      </c>
      <c r="M1993" t="inlineStr">
        <is>
          <t>estandar</t>
        </is>
      </c>
      <c r="N1993" t="inlineStr">
        <is>
          <t>general</t>
        </is>
      </c>
      <c r="O1993" t="inlineStr">
        <is>
          <t>https://www.jumbo.com.ar/shampoo-sedal-carbon-activado-peonias-650-ml/p</t>
        </is>
      </c>
    </row>
    <row r="1994">
      <c r="A1994" s="2" t="inlineStr">
        <is>
          <t>Jumbo</t>
        </is>
      </c>
      <c r="B1994" s="2" t="n">
        <v>343818</v>
      </c>
      <c r="C1994" s="2" t="n">
        <v>342502</v>
      </c>
      <c r="D1994" s="2" t="inlineStr">
        <is>
          <t>Shampoo Sedal Bomba Argán Restaura 650 Ml</t>
        </is>
      </c>
      <c r="E1994" s="2" t="inlineStr">
        <is>
          <t>SEDAL</t>
        </is>
      </c>
      <c r="F1994" s="2" t="n">
        <v>1350</v>
      </c>
      <c r="G1994" s="2" t="n">
        <v>111570</v>
      </c>
      <c r="H1994" s="2" t="b">
        <v>0</v>
      </c>
      <c r="I1994" s="2" t="n">
        <v>650</v>
      </c>
      <c r="J1994" s="2" t="n">
        <v>2.0769</v>
      </c>
      <c r="K1994" s="2" t="inlineStr">
        <is>
          <t>&gt; Perfumería &gt; Cuidado Capilar &gt; Shampoo &gt;</t>
        </is>
      </c>
      <c r="L1994" s="2" t="inlineStr">
        <is>
          <t>shampoo</t>
        </is>
      </c>
      <c r="M1994" s="2" t="inlineStr">
        <is>
          <t>estandar</t>
        </is>
      </c>
      <c r="N1994" s="2" t="inlineStr">
        <is>
          <t>general</t>
        </is>
      </c>
      <c r="O1994" s="2" t="inlineStr">
        <is>
          <t>https://www.jumbo.com.ar/shampoo-sedal-bomba-argan-restaura-650-ml/p</t>
        </is>
      </c>
    </row>
    <row r="1995">
      <c r="A1995" t="inlineStr">
        <is>
          <t>Jumbo</t>
        </is>
      </c>
      <c r="B1995" t="n">
        <v>343817</v>
      </c>
      <c r="C1995" t="n">
        <v>342501</v>
      </c>
      <c r="D1995" t="inlineStr">
        <is>
          <t>Shampoo Sedal Carbón Activado  Peonias 190 Ml</t>
        </is>
      </c>
      <c r="E1995" t="inlineStr">
        <is>
          <t>SEDAL</t>
        </is>
      </c>
      <c r="F1995" t="n">
        <v>650</v>
      </c>
      <c r="G1995" t="n">
        <v>53719</v>
      </c>
      <c r="H1995" t="b">
        <v>0</v>
      </c>
      <c r="I1995" t="n">
        <v>190</v>
      </c>
      <c r="J1995" t="n">
        <v>3.4211</v>
      </c>
      <c r="K1995" t="inlineStr">
        <is>
          <t>&gt; Perfumería &gt; Cuidado Capilar &gt; Shampoo &gt;</t>
        </is>
      </c>
      <c r="L1995" t="inlineStr">
        <is>
          <t>shampoo</t>
        </is>
      </c>
      <c r="M1995" t="inlineStr">
        <is>
          <t>estandar</t>
        </is>
      </c>
      <c r="N1995" t="inlineStr">
        <is>
          <t>general</t>
        </is>
      </c>
      <c r="O1995" t="inlineStr">
        <is>
          <t>https://www.jumbo.com.ar/shampoo-sedal-carbon-activado-peonias-190-ml/p</t>
        </is>
      </c>
    </row>
    <row r="1996">
      <c r="A1996" s="2" t="inlineStr">
        <is>
          <t>Jumbo</t>
        </is>
      </c>
      <c r="B1996" s="2" t="n">
        <v>341296</v>
      </c>
      <c r="C1996" s="2" t="n">
        <v>339985</v>
      </c>
      <c r="D1996" s="2" t="inlineStr">
        <is>
          <t>Crema Sedal Acido Hialuronico  Vit A 300ml</t>
        </is>
      </c>
      <c r="E1996" s="2" t="inlineStr">
        <is>
          <t>SEDAL</t>
        </is>
      </c>
      <c r="F1996" s="2" t="n">
        <v>870.0700000000001</v>
      </c>
      <c r="G1996" s="2" t="n">
        <v>71907</v>
      </c>
      <c r="H1996" s="2" t="b">
        <v>0</v>
      </c>
      <c r="I1996" s="2" t="n">
        <v>300</v>
      </c>
      <c r="J1996" s="2" t="n">
        <v>2.9002</v>
      </c>
      <c r="K1996" s="2" t="inlineStr">
        <is>
          <t>&gt; Perfumería &gt; Cuidado Capilar &gt; Reparación y Tratamientos &gt;</t>
        </is>
      </c>
      <c r="L1996" s="2" t="inlineStr">
        <is>
          <t>shampoo</t>
        </is>
      </c>
      <c r="M1996" s="2" t="inlineStr">
        <is>
          <t>estandar</t>
        </is>
      </c>
      <c r="N1996" s="2" t="inlineStr">
        <is>
          <t>general</t>
        </is>
      </c>
      <c r="O1996" s="2" t="inlineStr">
        <is>
          <t>https://www.jumbo.com.ar/crema-sedal-acido-hialuronico-vit-a-300ml/p</t>
        </is>
      </c>
    </row>
    <row r="1997">
      <c r="A1997" t="inlineStr">
        <is>
          <t>Jumbo</t>
        </is>
      </c>
      <c r="B1997" t="n">
        <v>336060</v>
      </c>
      <c r="C1997" t="n">
        <v>335169</v>
      </c>
      <c r="D1997" t="inlineStr">
        <is>
          <t>Acondicionador Sedal ácido Hialurónico  Vitamina A 340 Ml</t>
        </is>
      </c>
      <c r="E1997" t="inlineStr">
        <is>
          <t>SEDAL</t>
        </is>
      </c>
      <c r="F1997" t="n">
        <v>900</v>
      </c>
      <c r="G1997" t="n">
        <v>74380</v>
      </c>
      <c r="H1997" t="b">
        <v>0</v>
      </c>
      <c r="I1997" t="n">
        <v>340</v>
      </c>
      <c r="J1997" t="n">
        <v>2.6471</v>
      </c>
      <c r="K1997" t="inlineStr">
        <is>
          <t>&gt; Perfumería &gt; Cuidado Capilar &gt; Acondicionador &gt;</t>
        </is>
      </c>
      <c r="L1997" t="inlineStr">
        <is>
          <t>acondicionador</t>
        </is>
      </c>
      <c r="M1997" t="inlineStr">
        <is>
          <t>estandar</t>
        </is>
      </c>
      <c r="N1997" t="inlineStr">
        <is>
          <t>general</t>
        </is>
      </c>
      <c r="O1997" t="inlineStr">
        <is>
          <t>https://www.jumbo.com.ar/acondicionador-sedal-acido-hialuronico-vitamina-a-340-ml/p</t>
        </is>
      </c>
    </row>
    <row r="1998">
      <c r="A1998" s="2" t="inlineStr">
        <is>
          <t>Jumbo</t>
        </is>
      </c>
      <c r="B1998" s="2" t="n">
        <v>336058</v>
      </c>
      <c r="C1998" s="2" t="n">
        <v>335167</v>
      </c>
      <c r="D1998" s="2" t="inlineStr">
        <is>
          <t>Shampoo Sedal Colágeno Vitamina C 340 Ml</t>
        </is>
      </c>
      <c r="E1998" s="2" t="inlineStr">
        <is>
          <t>SEDAL</t>
        </is>
      </c>
      <c r="F1998" s="2" t="n">
        <v>800</v>
      </c>
      <c r="G1998" s="2" t="n">
        <v>66116</v>
      </c>
      <c r="H1998" s="2" t="b">
        <v>0</v>
      </c>
      <c r="I1998" s="2" t="n">
        <v>340</v>
      </c>
      <c r="J1998" s="2" t="n">
        <v>2.3529</v>
      </c>
      <c r="K1998" s="2" t="inlineStr">
        <is>
          <t>&gt; Perfumería &gt; Cuidado Capilar &gt; Shampoo &gt;</t>
        </is>
      </c>
      <c r="L1998" s="2" t="inlineStr">
        <is>
          <t>shampoo</t>
        </is>
      </c>
      <c r="M1998" s="2" t="inlineStr">
        <is>
          <t>estandar</t>
        </is>
      </c>
      <c r="N1998" s="2" t="inlineStr">
        <is>
          <t>general</t>
        </is>
      </c>
      <c r="O1998" s="2" t="inlineStr">
        <is>
          <t>https://www.jumbo.com.ar/shampoo-sedal-colageno-vitamina-c-340-ml/p</t>
        </is>
      </c>
    </row>
    <row r="1999">
      <c r="A1999" t="inlineStr">
        <is>
          <t>Jumbo</t>
        </is>
      </c>
      <c r="B1999" t="n">
        <v>336047</v>
      </c>
      <c r="C1999" t="n">
        <v>335156</v>
      </c>
      <c r="D1999" t="inlineStr">
        <is>
          <t>Shampoo Sedal Nutricion 650ml</t>
        </is>
      </c>
      <c r="E1999" t="inlineStr">
        <is>
          <t>SEDAL</t>
        </is>
      </c>
      <c r="F1999" t="n">
        <v>457.87</v>
      </c>
      <c r="G1999" t="n">
        <v>37841</v>
      </c>
      <c r="H1999" t="b">
        <v>0</v>
      </c>
      <c r="I1999" t="n">
        <v>650</v>
      </c>
      <c r="J1999" t="n">
        <v>0.7044</v>
      </c>
      <c r="K1999" t="inlineStr">
        <is>
          <t>&gt; Perfumería &gt; Cuidado Capilar &gt; Shampoo &gt;</t>
        </is>
      </c>
      <c r="L1999" t="inlineStr">
        <is>
          <t>shampoo</t>
        </is>
      </c>
      <c r="M1999" t="inlineStr">
        <is>
          <t>estandar</t>
        </is>
      </c>
      <c r="N1999" t="inlineStr">
        <is>
          <t>general</t>
        </is>
      </c>
      <c r="O1999" t="inlineStr">
        <is>
          <t>https://www.jumbo.com.ar/shampoo-sedal-nutricion-650ml/p</t>
        </is>
      </c>
    </row>
    <row r="2000">
      <c r="A2000" s="2" t="inlineStr">
        <is>
          <t>Jumbo</t>
        </is>
      </c>
      <c r="B2000" s="2" t="n">
        <v>336044</v>
      </c>
      <c r="C2000" s="2" t="n">
        <v>335153</v>
      </c>
      <c r="D2000" s="2" t="inlineStr">
        <is>
          <t>Acondicionador Sedal Colageno Vitamina C 340 Ml</t>
        </is>
      </c>
      <c r="E2000" s="2" t="inlineStr">
        <is>
          <t>SEDAL</t>
        </is>
      </c>
      <c r="F2000" s="2" t="n">
        <v>850</v>
      </c>
      <c r="G2000" s="2" t="n">
        <v>70248</v>
      </c>
      <c r="H2000" s="2" t="b">
        <v>0</v>
      </c>
      <c r="I2000" s="2" t="n">
        <v>340</v>
      </c>
      <c r="J2000" s="2" t="n">
        <v>2.5</v>
      </c>
      <c r="K2000" s="2" t="inlineStr">
        <is>
          <t>&gt; Perfumería &gt; Cuidado Capilar &gt; Acondicionador &gt;</t>
        </is>
      </c>
      <c r="L2000" s="2" t="inlineStr">
        <is>
          <t>acondicionador</t>
        </is>
      </c>
      <c r="M2000" s="2" t="inlineStr">
        <is>
          <t>estandar</t>
        </is>
      </c>
      <c r="N2000" s="2" t="inlineStr">
        <is>
          <t>general</t>
        </is>
      </c>
      <c r="O2000" s="2" t="inlineStr">
        <is>
          <t>https://www.jumbo.com.ar/acondicionador-sedal-colageno-vitamina-c-340-ml/p</t>
        </is>
      </c>
    </row>
    <row r="2001">
      <c r="A2001" t="inlineStr">
        <is>
          <t>Jumbo</t>
        </is>
      </c>
      <c r="B2001" t="n">
        <v>336041</v>
      </c>
      <c r="C2001" t="n">
        <v>335150</v>
      </c>
      <c r="D2001" t="inlineStr">
        <is>
          <t>Shampoo Sedal  acido Hialuronico Vitamina A 340 Ml</t>
        </is>
      </c>
      <c r="E2001" t="inlineStr">
        <is>
          <t>SEDAL</t>
        </is>
      </c>
      <c r="F2001" t="n">
        <v>501.93</v>
      </c>
      <c r="G2001" t="n">
        <v>41482</v>
      </c>
      <c r="H2001" t="b">
        <v>0</v>
      </c>
      <c r="I2001" t="n">
        <v>340</v>
      </c>
      <c r="J2001" t="n">
        <v>1.4763</v>
      </c>
      <c r="K2001" t="inlineStr">
        <is>
          <t>&gt; Perfumería &gt; Cuidado Capilar &gt; Shampoo &gt;</t>
        </is>
      </c>
      <c r="L2001" t="inlineStr">
        <is>
          <t>shampoo</t>
        </is>
      </c>
      <c r="M2001" t="inlineStr">
        <is>
          <t>estandar</t>
        </is>
      </c>
      <c r="N2001" t="inlineStr">
        <is>
          <t>general</t>
        </is>
      </c>
      <c r="O2001" t="inlineStr">
        <is>
          <t>https://www.jumbo.com.ar/shampoo-sedal-acido-hialuronico-vitamina-a-340-ml/p</t>
        </is>
      </c>
    </row>
    <row r="2002">
      <c r="A2002" s="2" t="inlineStr">
        <is>
          <t>Jumbo</t>
        </is>
      </c>
      <c r="B2002" s="2" t="n">
        <v>336040</v>
      </c>
      <c r="C2002" s="2" t="n">
        <v>335149</v>
      </c>
      <c r="D2002" s="2" t="inlineStr">
        <is>
          <t>Acondicionador Sedal Bomba Coco Repara 340 Ml</t>
        </is>
      </c>
      <c r="E2002" s="2" t="inlineStr">
        <is>
          <t>SEDAL</t>
        </is>
      </c>
      <c r="F2002" s="2" t="n">
        <v>235.29</v>
      </c>
      <c r="G2002" s="2" t="n">
        <v>19445</v>
      </c>
      <c r="H2002" s="2" t="b">
        <v>0</v>
      </c>
      <c r="I2002" s="2" t="n">
        <v>340</v>
      </c>
      <c r="J2002" s="2" t="n">
        <v>0.6919999999999999</v>
      </c>
      <c r="K2002" s="2" t="inlineStr">
        <is>
          <t>&gt; Perfumería &gt; Cuidado Capilar &gt; Acondicionador &gt;</t>
        </is>
      </c>
      <c r="L2002" s="2" t="inlineStr">
        <is>
          <t>acondicionador</t>
        </is>
      </c>
      <c r="M2002" s="2" t="inlineStr">
        <is>
          <t>estandar</t>
        </is>
      </c>
      <c r="N2002" s="2" t="inlineStr">
        <is>
          <t>general</t>
        </is>
      </c>
      <c r="O2002" s="2" t="inlineStr">
        <is>
          <t>https://www.jumbo.com.ar/acondicionador-sedal-bomba-coco-repara-340-ml/p</t>
        </is>
      </c>
    </row>
    <row r="2003">
      <c r="A2003" t="inlineStr">
        <is>
          <t>Jumbo</t>
        </is>
      </c>
      <c r="B2003" t="n">
        <v>336039</v>
      </c>
      <c r="C2003" t="n">
        <v>335148</v>
      </c>
      <c r="D2003" t="inlineStr">
        <is>
          <t>Shampoo Sedal Bomba Coco Repara 340 Ml</t>
        </is>
      </c>
      <c r="E2003" t="inlineStr">
        <is>
          <t>SEDAL</t>
        </is>
      </c>
      <c r="F2003" t="n">
        <v>235.29</v>
      </c>
      <c r="G2003" t="n">
        <v>19445</v>
      </c>
      <c r="H2003" t="b">
        <v>0</v>
      </c>
      <c r="I2003" t="n">
        <v>340</v>
      </c>
      <c r="J2003" t="n">
        <v>0.6919999999999999</v>
      </c>
      <c r="K2003" t="inlineStr">
        <is>
          <t>&gt; Perfumería &gt; Cuidado Capilar &gt; Shampoo &gt;</t>
        </is>
      </c>
      <c r="L2003" t="inlineStr">
        <is>
          <t>shampoo</t>
        </is>
      </c>
      <c r="M2003" t="inlineStr">
        <is>
          <t>estandar</t>
        </is>
      </c>
      <c r="N2003" t="inlineStr">
        <is>
          <t>general</t>
        </is>
      </c>
      <c r="O2003" t="inlineStr">
        <is>
          <t>https://www.jumbo.com.ar/shampoo-sedal-bomba-coco-repara-340-ml/p</t>
        </is>
      </c>
    </row>
    <row r="2004">
      <c r="A2004" s="2" t="inlineStr">
        <is>
          <t>Jumbo</t>
        </is>
      </c>
      <c r="B2004" s="2" t="n">
        <v>336038</v>
      </c>
      <c r="C2004" s="2" t="n">
        <v>335147</v>
      </c>
      <c r="D2004" s="2" t="inlineStr">
        <is>
          <t>Acondicionador Sedal Colageno Vitamina C 190 Ml</t>
        </is>
      </c>
      <c r="E2004" s="2" t="inlineStr">
        <is>
          <t>SEDAL</t>
        </is>
      </c>
      <c r="F2004" s="2" t="n">
        <v>650</v>
      </c>
      <c r="G2004" s="2" t="n">
        <v>53719</v>
      </c>
      <c r="H2004" s="2" t="b">
        <v>0</v>
      </c>
      <c r="I2004" s="2" t="n">
        <v>190</v>
      </c>
      <c r="J2004" s="2" t="n">
        <v>3.4211</v>
      </c>
      <c r="K2004" s="2" t="inlineStr">
        <is>
          <t>&gt; Perfumería &gt; Cuidado Capilar &gt; Acondicionador &gt;</t>
        </is>
      </c>
      <c r="L2004" s="2" t="inlineStr">
        <is>
          <t>acondicionador</t>
        </is>
      </c>
      <c r="M2004" s="2" t="inlineStr">
        <is>
          <t>estandar</t>
        </is>
      </c>
      <c r="N2004" s="2" t="inlineStr">
        <is>
          <t>general</t>
        </is>
      </c>
      <c r="O2004" s="2" t="inlineStr">
        <is>
          <t>https://www.jumbo.com.ar/acondicionador-sedal-colageno-vitamina-c-190-ml/p</t>
        </is>
      </c>
    </row>
    <row r="2005">
      <c r="A2005" t="inlineStr">
        <is>
          <t>Jumbo</t>
        </is>
      </c>
      <c r="B2005" t="n">
        <v>336037</v>
      </c>
      <c r="C2005" t="n">
        <v>335146</v>
      </c>
      <c r="D2005" t="inlineStr">
        <is>
          <t>Shampoo Sedal Colágeno Vitamina C 190 Ml</t>
        </is>
      </c>
      <c r="E2005" t="inlineStr">
        <is>
          <t>SEDAL</t>
        </is>
      </c>
      <c r="F2005" t="n">
        <v>383.95</v>
      </c>
      <c r="G2005" t="n">
        <v>31731</v>
      </c>
      <c r="H2005" t="b">
        <v>0</v>
      </c>
      <c r="I2005" t="n">
        <v>190</v>
      </c>
      <c r="J2005" t="n">
        <v>2.0208</v>
      </c>
      <c r="K2005" t="inlineStr">
        <is>
          <t>&gt; Perfumería &gt; Cuidado Capilar &gt; Shampoo &gt;</t>
        </is>
      </c>
      <c r="L2005" t="inlineStr">
        <is>
          <t>shampoo</t>
        </is>
      </c>
      <c r="M2005" t="inlineStr">
        <is>
          <t>estandar</t>
        </is>
      </c>
      <c r="N2005" t="inlineStr">
        <is>
          <t>general</t>
        </is>
      </c>
      <c r="O2005" t="inlineStr">
        <is>
          <t>https://www.jumbo.com.ar/shampoo-sedal-colageno-vitamina-c-190-ml/p</t>
        </is>
      </c>
    </row>
    <row r="2006">
      <c r="A2006" s="2" t="inlineStr">
        <is>
          <t>Jumbo</t>
        </is>
      </c>
      <c r="B2006" s="2" t="n">
        <v>336036</v>
      </c>
      <c r="C2006" s="2" t="n">
        <v>335145</v>
      </c>
      <c r="D2006" s="2" t="inlineStr">
        <is>
          <t>Acondicionador Sedal ácido Hialurónico Vitamina A 190 Ml</t>
        </is>
      </c>
      <c r="E2006" s="2" t="inlineStr">
        <is>
          <t>SEDAL</t>
        </is>
      </c>
      <c r="F2006" s="2" t="n">
        <v>650</v>
      </c>
      <c r="G2006" s="2" t="n">
        <v>53719</v>
      </c>
      <c r="H2006" s="2" t="b">
        <v>0</v>
      </c>
      <c r="I2006" s="2" t="n">
        <v>190</v>
      </c>
      <c r="J2006" s="2" t="n">
        <v>3.4211</v>
      </c>
      <c r="K2006" s="2" t="inlineStr">
        <is>
          <t>&gt; Perfumería &gt; Cuidado Capilar &gt; Acondicionador &gt;</t>
        </is>
      </c>
      <c r="L2006" s="2" t="inlineStr">
        <is>
          <t>acondicionador</t>
        </is>
      </c>
      <c r="M2006" s="2" t="inlineStr">
        <is>
          <t>estandar</t>
        </is>
      </c>
      <c r="N2006" s="2" t="inlineStr">
        <is>
          <t>general</t>
        </is>
      </c>
      <c r="O2006" s="2" t="inlineStr">
        <is>
          <t>https://www.jumbo.com.ar/acondicionador-sedal-acido-hialuronico-vitamina-a-190-ml/p</t>
        </is>
      </c>
    </row>
    <row r="2007">
      <c r="A2007" t="inlineStr">
        <is>
          <t>Jumbo</t>
        </is>
      </c>
      <c r="B2007" t="n">
        <v>336034</v>
      </c>
      <c r="C2007" t="n">
        <v>335143</v>
      </c>
      <c r="D2007" t="inlineStr">
        <is>
          <t>Shampoo Sedal Acido Hialuronico Vitamina A 190 Ml</t>
        </is>
      </c>
      <c r="E2007" t="inlineStr">
        <is>
          <t>SEDAL</t>
        </is>
      </c>
      <c r="F2007" t="n">
        <v>383.95</v>
      </c>
      <c r="G2007" t="n">
        <v>31731</v>
      </c>
      <c r="H2007" t="b">
        <v>0</v>
      </c>
      <c r="I2007" t="n">
        <v>190</v>
      </c>
      <c r="J2007" t="n">
        <v>2.0208</v>
      </c>
      <c r="K2007" t="inlineStr">
        <is>
          <t>&gt; Perfumería &gt; Cuidado Capilar &gt; Shampoo &gt;</t>
        </is>
      </c>
      <c r="L2007" t="inlineStr">
        <is>
          <t>shampoo</t>
        </is>
      </c>
      <c r="M2007" t="inlineStr">
        <is>
          <t>estandar</t>
        </is>
      </c>
      <c r="N2007" t="inlineStr">
        <is>
          <t>general</t>
        </is>
      </c>
      <c r="O2007" t="inlineStr">
        <is>
          <t>https://www.jumbo.com.ar/shampoo-sedal-acido-hialuronico-vitamina-a-190-ml/p</t>
        </is>
      </c>
    </row>
    <row r="2008">
      <c r="A2008" s="2" t="inlineStr">
        <is>
          <t>Jumbo</t>
        </is>
      </c>
      <c r="B2008" s="2" t="n">
        <v>336030</v>
      </c>
      <c r="C2008" s="2" t="n">
        <v>335139</v>
      </c>
      <c r="D2008" s="2" t="inlineStr">
        <is>
          <t>Sham. Sedal Bomba Coco Repara 190ml</t>
        </is>
      </c>
      <c r="E2008" s="2" t="inlineStr">
        <is>
          <t>SEDAL</t>
        </is>
      </c>
      <c r="F2008" s="2" t="n">
        <v>225.04</v>
      </c>
      <c r="G2008" s="2" t="n">
        <v>18599</v>
      </c>
      <c r="H2008" s="2" t="b">
        <v>0</v>
      </c>
      <c r="I2008" s="2" t="n">
        <v>190</v>
      </c>
      <c r="J2008" s="2" t="n">
        <v>1.1844</v>
      </c>
      <c r="K2008" s="2" t="inlineStr">
        <is>
          <t>&gt; Perfumería &gt; Cuidado Capilar &gt; Shampoo &gt;</t>
        </is>
      </c>
      <c r="L2008" s="2" t="inlineStr">
        <is>
          <t>shampoo</t>
        </is>
      </c>
      <c r="M2008" s="2" t="inlineStr">
        <is>
          <t>estandar</t>
        </is>
      </c>
      <c r="N2008" s="2" t="inlineStr">
        <is>
          <t>general</t>
        </is>
      </c>
      <c r="O2008" s="2" t="inlineStr">
        <is>
          <t>https://www.jumbo.com.ar/sham-sedal-bomba-coco-repara-190ml/p</t>
        </is>
      </c>
    </row>
    <row r="2009">
      <c r="A2009" t="inlineStr">
        <is>
          <t>Jumbo</t>
        </is>
      </c>
      <c r="B2009" t="n">
        <v>336024</v>
      </c>
      <c r="C2009" t="n">
        <v>335134</v>
      </c>
      <c r="D2009" t="inlineStr">
        <is>
          <t>Acondicionador Sedal Colageno Vitamina C 650 Ml</t>
        </is>
      </c>
      <c r="E2009" t="inlineStr">
        <is>
          <t>SEDAL</t>
        </is>
      </c>
      <c r="F2009" t="n">
        <v>1500</v>
      </c>
      <c r="G2009" t="n">
        <v>123967</v>
      </c>
      <c r="H2009" t="b">
        <v>0</v>
      </c>
      <c r="I2009" t="n">
        <v>650</v>
      </c>
      <c r="J2009" t="n">
        <v>2.3077</v>
      </c>
      <c r="K2009" t="inlineStr">
        <is>
          <t>&gt; Perfumería &gt; Cuidado Capilar &gt; Acondicionador &gt;</t>
        </is>
      </c>
      <c r="L2009" t="inlineStr">
        <is>
          <t>acondicionador</t>
        </is>
      </c>
      <c r="M2009" t="inlineStr">
        <is>
          <t>estandar</t>
        </is>
      </c>
      <c r="N2009" t="inlineStr">
        <is>
          <t>general</t>
        </is>
      </c>
      <c r="O2009" t="inlineStr">
        <is>
          <t>https://www.jumbo.com.ar/acondicionador-sedal-colageno-vitamina-c-650-ml/p</t>
        </is>
      </c>
    </row>
    <row r="2010">
      <c r="A2010" s="2" t="inlineStr">
        <is>
          <t>Jumbo</t>
        </is>
      </c>
      <c r="B2010" s="2" t="n">
        <v>336023</v>
      </c>
      <c r="C2010" s="2" t="n">
        <v>335133</v>
      </c>
      <c r="D2010" s="2" t="inlineStr">
        <is>
          <t>Shampoo Sedal  acido Hialuronico Vitamina A 650 Ml</t>
        </is>
      </c>
      <c r="E2010" s="2" t="inlineStr">
        <is>
          <t>SEDAL</t>
        </is>
      </c>
      <c r="F2010" s="2" t="n">
        <v>940.39</v>
      </c>
      <c r="G2010" s="2" t="n">
        <v>77718</v>
      </c>
      <c r="H2010" s="2" t="b">
        <v>0</v>
      </c>
      <c r="I2010" s="2" t="n">
        <v>650</v>
      </c>
      <c r="J2010" s="2" t="n">
        <v>1.4468</v>
      </c>
      <c r="K2010" s="2" t="inlineStr">
        <is>
          <t>&gt; Perfumería &gt; Cuidado Capilar &gt; Shampoo &gt;</t>
        </is>
      </c>
      <c r="L2010" s="2" t="inlineStr">
        <is>
          <t>shampoo</t>
        </is>
      </c>
      <c r="M2010" s="2" t="inlineStr">
        <is>
          <t>estandar</t>
        </is>
      </c>
      <c r="N2010" s="2" t="inlineStr">
        <is>
          <t>general</t>
        </is>
      </c>
      <c r="O2010" s="2" t="inlineStr">
        <is>
          <t>https://www.jumbo.com.ar/shampoo-sedal-acido-hialuronico-vitamina-a-650-ml/p</t>
        </is>
      </c>
    </row>
    <row r="2011">
      <c r="A2011" t="inlineStr">
        <is>
          <t>Jumbo</t>
        </is>
      </c>
      <c r="B2011" t="n">
        <v>336022</v>
      </c>
      <c r="C2011" t="n">
        <v>335132</v>
      </c>
      <c r="D2011" t="inlineStr">
        <is>
          <t>Shampoo Sedal Colágeno  Vitamina C 650 Ml</t>
        </is>
      </c>
      <c r="E2011" t="inlineStr">
        <is>
          <t>SEDAL</t>
        </is>
      </c>
      <c r="F2011" t="n">
        <v>1450</v>
      </c>
      <c r="G2011" t="n">
        <v>119835</v>
      </c>
      <c r="H2011" t="b">
        <v>0</v>
      </c>
      <c r="I2011" t="n">
        <v>650</v>
      </c>
      <c r="J2011" t="n">
        <v>2.2308</v>
      </c>
      <c r="K2011" t="inlineStr">
        <is>
          <t>&gt; Perfumería &gt; Cuidado Capilar &gt; Shampoo &gt;</t>
        </is>
      </c>
      <c r="L2011" t="inlineStr">
        <is>
          <t>shampoo</t>
        </is>
      </c>
      <c r="M2011" t="inlineStr">
        <is>
          <t>estandar</t>
        </is>
      </c>
      <c r="N2011" t="inlineStr">
        <is>
          <t>general</t>
        </is>
      </c>
      <c r="O2011" t="inlineStr">
        <is>
          <t>https://www.jumbo.com.ar/shampoo-sedal-colageno-vitamina-c-650-ml/p</t>
        </is>
      </c>
    </row>
    <row r="2012">
      <c r="A2012" s="2" t="inlineStr">
        <is>
          <t>Jumbo</t>
        </is>
      </c>
      <c r="B2012" s="2" t="n">
        <v>336020</v>
      </c>
      <c r="C2012" s="2" t="n">
        <v>335130</v>
      </c>
      <c r="D2012" s="2" t="inlineStr">
        <is>
          <t>Acondicionador Sedal ácido Hialurónico  Vitamina A 650 Ml</t>
        </is>
      </c>
      <c r="E2012" s="2" t="inlineStr">
        <is>
          <t>SEDAL</t>
        </is>
      </c>
      <c r="F2012" s="2" t="n">
        <v>1350</v>
      </c>
      <c r="G2012" s="2" t="n">
        <v>111570</v>
      </c>
      <c r="H2012" s="2" t="b">
        <v>0</v>
      </c>
      <c r="I2012" s="2" t="n">
        <v>650</v>
      </c>
      <c r="J2012" s="2" t="n">
        <v>2.0769</v>
      </c>
      <c r="K2012" s="2" t="inlineStr">
        <is>
          <t>&gt; Perfumería &gt; Cuidado Capilar &gt; Acondicionador &gt;</t>
        </is>
      </c>
      <c r="L2012" s="2" t="inlineStr">
        <is>
          <t>acondicionador</t>
        </is>
      </c>
      <c r="M2012" s="2" t="inlineStr">
        <is>
          <t>estandar</t>
        </is>
      </c>
      <c r="N2012" s="2" t="inlineStr">
        <is>
          <t>general</t>
        </is>
      </c>
      <c r="O2012" s="2" t="inlineStr">
        <is>
          <t>https://www.jumbo.com.ar/acondicionador-sedal-acido-hialuronico-vitamina-a-650-ml/p</t>
        </is>
      </c>
    </row>
    <row r="2013">
      <c r="A2013" t="inlineStr">
        <is>
          <t>Jumbo</t>
        </is>
      </c>
      <c r="B2013" t="n">
        <v>336018</v>
      </c>
      <c r="C2013" t="n">
        <v>335128</v>
      </c>
      <c r="D2013" t="inlineStr">
        <is>
          <t>Shampoo Sedal Argan 650ml</t>
        </is>
      </c>
      <c r="E2013" t="inlineStr">
        <is>
          <t>SEDAL</t>
        </is>
      </c>
      <c r="F2013" t="n">
        <v>457.87</v>
      </c>
      <c r="G2013" t="n">
        <v>37841</v>
      </c>
      <c r="H2013" t="b">
        <v>0</v>
      </c>
      <c r="I2013" t="n">
        <v>650</v>
      </c>
      <c r="J2013" t="n">
        <v>0.7044</v>
      </c>
      <c r="K2013" t="inlineStr">
        <is>
          <t>&gt; Perfumería &gt; Cuidado Capilar &gt; Shampoo &gt;</t>
        </is>
      </c>
      <c r="L2013" t="inlineStr">
        <is>
          <t>shampoo</t>
        </is>
      </c>
      <c r="M2013" t="inlineStr">
        <is>
          <t>estandar</t>
        </is>
      </c>
      <c r="N2013" t="inlineStr">
        <is>
          <t>general</t>
        </is>
      </c>
      <c r="O2013" t="inlineStr">
        <is>
          <t>https://www.jumbo.com.ar/shampoo-sedal-argan-650ml/p</t>
        </is>
      </c>
    </row>
    <row r="2014">
      <c r="A2014" s="2" t="inlineStr">
        <is>
          <t>Jumbo</t>
        </is>
      </c>
      <c r="B2014" s="2" t="n">
        <v>317284</v>
      </c>
      <c r="C2014" s="2" t="n">
        <v>316530</v>
      </c>
      <c r="D2014" s="2" t="inlineStr">
        <is>
          <t>Shampoo Sedal Carbon 650ml</t>
        </is>
      </c>
      <c r="E2014" s="2" t="inlineStr">
        <is>
          <t>SEDAL</t>
        </is>
      </c>
      <c r="F2014" s="2" t="n">
        <v>557.0700000000001</v>
      </c>
      <c r="G2014" s="2" t="n">
        <v>46039</v>
      </c>
      <c r="H2014" s="2" t="b">
        <v>0</v>
      </c>
      <c r="I2014" s="2" t="n">
        <v>650</v>
      </c>
      <c r="J2014" s="2" t="n">
        <v>0.857</v>
      </c>
      <c r="K2014" s="2" t="inlineStr">
        <is>
          <t>&gt; Perfumería &gt; Cuidado Capilar &gt; Shampoo &gt;</t>
        </is>
      </c>
      <c r="L2014" s="2" t="inlineStr">
        <is>
          <t>shampoo</t>
        </is>
      </c>
      <c r="M2014" s="2" t="inlineStr">
        <is>
          <t>estandar</t>
        </is>
      </c>
      <c r="N2014" s="2" t="inlineStr">
        <is>
          <t>general</t>
        </is>
      </c>
      <c r="O2014" s="2" t="inlineStr">
        <is>
          <t>https://www.jumbo.com.ar/shampoo-sedal-carbon-650ml/p</t>
        </is>
      </c>
    </row>
    <row r="2015">
      <c r="A2015" t="inlineStr">
        <is>
          <t>Jumbo</t>
        </is>
      </c>
      <c r="B2015" t="n">
        <v>317282</v>
      </c>
      <c r="C2015" t="n">
        <v>316528</v>
      </c>
      <c r="D2015" t="inlineStr">
        <is>
          <t>Acondicionador Sedal Carbon 340ml</t>
        </is>
      </c>
      <c r="E2015" t="inlineStr">
        <is>
          <t>SEDAL</t>
        </is>
      </c>
      <c r="F2015" t="n">
        <v>286.27</v>
      </c>
      <c r="G2015" t="n">
        <v>23659</v>
      </c>
      <c r="H2015" t="b">
        <v>0</v>
      </c>
      <c r="I2015" t="n">
        <v>340</v>
      </c>
      <c r="J2015" t="n">
        <v>0.842</v>
      </c>
      <c r="K2015" t="inlineStr">
        <is>
          <t>&gt; Perfumería &gt; Cuidado Capilar &gt; Acondicionador &gt;</t>
        </is>
      </c>
      <c r="L2015" t="inlineStr">
        <is>
          <t>acondicionador</t>
        </is>
      </c>
      <c r="M2015" t="inlineStr">
        <is>
          <t>estandar</t>
        </is>
      </c>
      <c r="N2015" t="inlineStr">
        <is>
          <t>general</t>
        </is>
      </c>
      <c r="O2015" t="inlineStr">
        <is>
          <t>https://www.jumbo.com.ar/acondicionador-sedal-carbon-340ml/p</t>
        </is>
      </c>
    </row>
    <row r="2016">
      <c r="A2016" s="2" t="inlineStr">
        <is>
          <t>Jumbo</t>
        </is>
      </c>
      <c r="B2016" s="2" t="n">
        <v>317281</v>
      </c>
      <c r="C2016" s="2" t="n">
        <v>316527</v>
      </c>
      <c r="D2016" s="2" t="inlineStr">
        <is>
          <t>Acondicionador Sedal Carbon 190ml</t>
        </is>
      </c>
      <c r="E2016" s="2" t="inlineStr">
        <is>
          <t>SEDAL</t>
        </is>
      </c>
      <c r="F2016" s="2" t="n">
        <v>219.53</v>
      </c>
      <c r="G2016" s="2" t="n">
        <v>18143</v>
      </c>
      <c r="H2016" s="2" t="b">
        <v>0</v>
      </c>
      <c r="I2016" s="2" t="n">
        <v>190</v>
      </c>
      <c r="J2016" s="2" t="n">
        <v>1.1554</v>
      </c>
      <c r="K2016" s="2" t="inlineStr">
        <is>
          <t>&gt; Perfumería &gt; Cuidado Capilar &gt; Acondicionador &gt;</t>
        </is>
      </c>
      <c r="L2016" s="2" t="inlineStr">
        <is>
          <t>acondicionador</t>
        </is>
      </c>
      <c r="M2016" s="2" t="inlineStr">
        <is>
          <t>estandar</t>
        </is>
      </c>
      <c r="N2016" s="2" t="inlineStr">
        <is>
          <t>general</t>
        </is>
      </c>
      <c r="O2016" s="2" t="inlineStr">
        <is>
          <t>https://www.jumbo.com.ar/acondicionador-sedal-carbon-190ml/p</t>
        </is>
      </c>
    </row>
    <row r="2017">
      <c r="A2017" t="inlineStr">
        <is>
          <t>Jumbo</t>
        </is>
      </c>
      <c r="B2017" t="n">
        <v>295743</v>
      </c>
      <c r="C2017" t="n">
        <v>294973</v>
      </c>
      <c r="D2017" t="inlineStr">
        <is>
          <t>Crema Para Peinar Sedal Rizo Definidos</t>
        </is>
      </c>
      <c r="E2017" t="inlineStr">
        <is>
          <t>SEDAL</t>
        </is>
      </c>
      <c r="F2017" t="n">
        <v>108.77</v>
      </c>
      <c r="G2017" t="n">
        <v>8989</v>
      </c>
      <c r="H2017" t="b">
        <v>0</v>
      </c>
      <c r="I2017" t="inlineStr"/>
      <c r="J2017" t="inlineStr"/>
      <c r="K2017" t="inlineStr">
        <is>
          <t>&gt; Perfumería &gt; Cuidado Capilar &gt; Reparación y Tratamientos &gt;</t>
        </is>
      </c>
      <c r="L2017" t="inlineStr">
        <is>
          <t>shampoo</t>
        </is>
      </c>
      <c r="M2017" t="inlineStr">
        <is>
          <t>estandar</t>
        </is>
      </c>
      <c r="N2017" t="inlineStr">
        <is>
          <t>general</t>
        </is>
      </c>
      <c r="O2017" t="inlineStr">
        <is>
          <t>https://www.jumbo.com.ar/crema-para-peinar-sedal-rizo-definidos/p</t>
        </is>
      </c>
    </row>
    <row r="2018">
      <c r="A2018" s="2" t="inlineStr">
        <is>
          <t>Jumbo</t>
        </is>
      </c>
      <c r="B2018" s="2" t="n">
        <v>295008</v>
      </c>
      <c r="C2018" s="2" t="n">
        <v>294239</v>
      </c>
      <c r="D2018" s="2" t="inlineStr">
        <is>
          <t>Acondicionador Sedal Recarga Natural Bomba Coco 170 Ml</t>
        </is>
      </c>
      <c r="E2018" s="2" t="inlineStr">
        <is>
          <t>SEDAL</t>
        </is>
      </c>
      <c r="F2018" s="2" t="n">
        <v>122.27</v>
      </c>
      <c r="G2018" s="2" t="n">
        <v>10105</v>
      </c>
      <c r="H2018" s="2" t="b">
        <v>0</v>
      </c>
      <c r="I2018" s="2" t="n">
        <v>170</v>
      </c>
      <c r="J2018" s="2" t="n">
        <v>0.7192</v>
      </c>
      <c r="K2018" s="2" t="inlineStr">
        <is>
          <t>&gt; Perfumería &gt; Cuidado Capilar &gt; Acondicionador &gt;</t>
        </is>
      </c>
      <c r="L2018" s="2" t="inlineStr">
        <is>
          <t>acondicionador</t>
        </is>
      </c>
      <c r="M2018" s="2" t="inlineStr">
        <is>
          <t>estandar</t>
        </is>
      </c>
      <c r="N2018" s="2" t="inlineStr">
        <is>
          <t>general</t>
        </is>
      </c>
      <c r="O2018" s="2" t="inlineStr">
        <is>
          <t>https://www.jumbo.com.ar/acondicionador-sedal-recarga-natural-bomba-coco-170-ml/p</t>
        </is>
      </c>
    </row>
    <row r="2019">
      <c r="A2019" t="inlineStr">
        <is>
          <t>Jumbo</t>
        </is>
      </c>
      <c r="B2019" t="n">
        <v>288439</v>
      </c>
      <c r="C2019" t="n">
        <v>287686</v>
      </c>
      <c r="D2019" t="inlineStr">
        <is>
          <t>Acondicionador Sedal Fuerza Y Brillo Un Minuto 170 Ml</t>
        </is>
      </c>
      <c r="E2019" t="inlineStr">
        <is>
          <t>SEDAL</t>
        </is>
      </c>
      <c r="F2019" t="n">
        <v>122.27</v>
      </c>
      <c r="G2019" t="n">
        <v>10105</v>
      </c>
      <c r="H2019" t="b">
        <v>0</v>
      </c>
      <c r="I2019" t="n">
        <v>170</v>
      </c>
      <c r="J2019" t="n">
        <v>0.7192</v>
      </c>
      <c r="K2019" t="inlineStr">
        <is>
          <t>&gt; Perfumería &gt; Cuidado Capilar &gt; Acondicionador &gt;</t>
        </is>
      </c>
      <c r="L2019" t="inlineStr">
        <is>
          <t>acondicionador</t>
        </is>
      </c>
      <c r="M2019" t="inlineStr">
        <is>
          <t>estandar</t>
        </is>
      </c>
      <c r="N2019" t="inlineStr">
        <is>
          <t>general</t>
        </is>
      </c>
      <c r="O2019" t="inlineStr">
        <is>
          <t>https://www.jumbo.com.ar/acondicionador-sedal-fuerza-y-brillo-un-minuto-170-ml/p</t>
        </is>
      </c>
    </row>
    <row r="2020">
      <c r="A2020" s="2" t="inlineStr">
        <is>
          <t>Jumbo</t>
        </is>
      </c>
      <c r="B2020" s="2" t="n">
        <v>271707</v>
      </c>
      <c r="C2020" s="2" t="n">
        <v>271186</v>
      </c>
      <c r="D2020" s="2" t="inlineStr">
        <is>
          <t>Acondicionador Equilibrante Sedal Hidratación Micelar 340 Ml</t>
        </is>
      </c>
      <c r="E2020" s="2" t="inlineStr">
        <is>
          <t>SEDAL</t>
        </is>
      </c>
      <c r="F2020" s="2" t="n">
        <v>155.69</v>
      </c>
      <c r="G2020" s="2" t="n">
        <v>12867</v>
      </c>
      <c r="H2020" s="2" t="b">
        <v>0</v>
      </c>
      <c r="I2020" s="2" t="n">
        <v>340</v>
      </c>
      <c r="J2020" s="2" t="n">
        <v>0.4579</v>
      </c>
      <c r="K2020" s="2" t="inlineStr">
        <is>
          <t>&gt; Perfumería &gt; Cuidado Capilar &gt; Acondicionador &gt;</t>
        </is>
      </c>
      <c r="L2020" s="2" t="inlineStr">
        <is>
          <t>acondicionador</t>
        </is>
      </c>
      <c r="M2020" s="2" t="inlineStr">
        <is>
          <t>estandar</t>
        </is>
      </c>
      <c r="N2020" s="2" t="inlineStr">
        <is>
          <t>seco_danado</t>
        </is>
      </c>
      <c r="O2020" s="2" t="inlineStr">
        <is>
          <t>https://www.jumbo.com.ar/acondicionador-equilibrante-sedal-hidratacion-micelar-340-ml/p</t>
        </is>
      </c>
    </row>
    <row r="2021">
      <c r="A2021" t="inlineStr">
        <is>
          <t>Jumbo</t>
        </is>
      </c>
      <c r="B2021" t="n">
        <v>271705</v>
      </c>
      <c r="C2021" t="n">
        <v>271184</v>
      </c>
      <c r="D2021" t="inlineStr">
        <is>
          <t>Acondicionador Sedal Ceramidas Repuesto Económico 300 Ml</t>
        </is>
      </c>
      <c r="E2021" t="inlineStr">
        <is>
          <t>SEDAL</t>
        </is>
      </c>
      <c r="F2021" t="n">
        <v>143.73</v>
      </c>
      <c r="G2021" t="n">
        <v>11879</v>
      </c>
      <c r="H2021" t="b">
        <v>0</v>
      </c>
      <c r="I2021" t="n">
        <v>300</v>
      </c>
      <c r="J2021" t="n">
        <v>0.4791</v>
      </c>
      <c r="K2021" t="inlineStr">
        <is>
          <t>&gt; Perfumería &gt; Cuidado Capilar &gt; Acondicionador &gt;</t>
        </is>
      </c>
      <c r="L2021" t="inlineStr">
        <is>
          <t>acondicionador</t>
        </is>
      </c>
      <c r="M2021" t="inlineStr">
        <is>
          <t>estandar</t>
        </is>
      </c>
      <c r="N2021" t="inlineStr">
        <is>
          <t>general</t>
        </is>
      </c>
      <c r="O2021" t="inlineStr">
        <is>
          <t>https://www.jumbo.com.ar/acondicionador-sedal-ceramidas-repuesto-economico-300-ml/p</t>
        </is>
      </c>
    </row>
    <row r="2022">
      <c r="A2022" s="2" t="inlineStr">
        <is>
          <t>Jumbo</t>
        </is>
      </c>
      <c r="B2022" s="2" t="n">
        <v>271683</v>
      </c>
      <c r="C2022" s="2" t="n">
        <v>271162</v>
      </c>
      <c r="D2022" s="2" t="inlineStr">
        <is>
          <t>Shampoo Equilibrante Sedal Hidratación Micelar 650 Ml</t>
        </is>
      </c>
      <c r="E2022" s="2" t="inlineStr">
        <is>
          <t>SEDAL</t>
        </is>
      </c>
      <c r="F2022" s="2" t="n">
        <v>227.37</v>
      </c>
      <c r="G2022" s="2" t="n">
        <v>18791</v>
      </c>
      <c r="H2022" s="2" t="b">
        <v>0</v>
      </c>
      <c r="I2022" s="2" t="n">
        <v>650</v>
      </c>
      <c r="J2022" s="2" t="n">
        <v>0.3498</v>
      </c>
      <c r="K2022" s="2" t="inlineStr">
        <is>
          <t>&gt; Perfumería &gt; Cuidado Capilar &gt; Shampoo &gt;</t>
        </is>
      </c>
      <c r="L2022" s="2" t="inlineStr">
        <is>
          <t>shampoo</t>
        </is>
      </c>
      <c r="M2022" s="2" t="inlineStr">
        <is>
          <t>estandar</t>
        </is>
      </c>
      <c r="N2022" s="2" t="inlineStr">
        <is>
          <t>seco_danado</t>
        </is>
      </c>
      <c r="O2022" s="2" t="inlineStr">
        <is>
          <t>https://www.jumbo.com.ar/shampoo-equilibrante-sedal-hidratacion-micelar-650-ml/p</t>
        </is>
      </c>
    </row>
    <row r="2023">
      <c r="A2023" t="inlineStr">
        <is>
          <t>Jumbo</t>
        </is>
      </c>
      <c r="B2023" t="n">
        <v>271681</v>
      </c>
      <c r="C2023" t="n">
        <v>271160</v>
      </c>
      <c r="D2023" t="inlineStr">
        <is>
          <t>Shampoo Sedal Hidratacion Micelar 340 Ml</t>
        </is>
      </c>
      <c r="E2023" t="inlineStr">
        <is>
          <t>SEDAL</t>
        </is>
      </c>
      <c r="F2023" t="n">
        <v>155.69</v>
      </c>
      <c r="G2023" t="n">
        <v>12867</v>
      </c>
      <c r="H2023" t="b">
        <v>0</v>
      </c>
      <c r="I2023" t="n">
        <v>340</v>
      </c>
      <c r="J2023" t="n">
        <v>0.4579</v>
      </c>
      <c r="K2023" t="inlineStr">
        <is>
          <t>&gt; Perfumería &gt; Cuidado Capilar &gt; Shampoo &gt;</t>
        </is>
      </c>
      <c r="L2023" t="inlineStr">
        <is>
          <t>shampoo</t>
        </is>
      </c>
      <c r="M2023" t="inlineStr">
        <is>
          <t>estandar</t>
        </is>
      </c>
      <c r="N2023" t="inlineStr">
        <is>
          <t>seco_danado</t>
        </is>
      </c>
      <c r="O2023" t="inlineStr">
        <is>
          <t>https://www.jumbo.com.ar/shampoo-sedal-hidratacion-micelar-340-ml/p</t>
        </is>
      </c>
    </row>
    <row r="2024">
      <c r="A2024" s="2" t="inlineStr">
        <is>
          <t>Jumbo</t>
        </is>
      </c>
      <c r="B2024" s="2" t="n">
        <v>256417</v>
      </c>
      <c r="C2024" s="2" t="n">
        <v>255711</v>
      </c>
      <c r="D2024" s="2" t="inlineStr">
        <is>
          <t>Crema Capilar Sedal Detos Yuya X 300ml</t>
        </is>
      </c>
      <c r="E2024" s="2" t="inlineStr">
        <is>
          <t>SEDAL</t>
        </is>
      </c>
      <c r="F2024" s="2" t="n">
        <v>59.19</v>
      </c>
      <c r="G2024" s="2" t="n">
        <v>59.19</v>
      </c>
      <c r="H2024" s="2" t="b">
        <v>0</v>
      </c>
      <c r="I2024" s="2" t="n">
        <v>300</v>
      </c>
      <c r="J2024" s="2" t="n">
        <v>0.1973</v>
      </c>
      <c r="K2024" s="2" t="inlineStr">
        <is>
          <t>&gt; Perfumería &gt; Cuidado Capilar &gt; Reparación y Tratamientos &gt;</t>
        </is>
      </c>
      <c r="L2024" s="2" t="inlineStr">
        <is>
          <t>shampoo</t>
        </is>
      </c>
      <c r="M2024" s="2" t="inlineStr">
        <is>
          <t>estandar</t>
        </is>
      </c>
      <c r="N2024" s="2" t="inlineStr">
        <is>
          <t>general</t>
        </is>
      </c>
      <c r="O2024" s="2" t="inlineStr">
        <is>
          <t>https://www.jumbo.com.ar/crema-capilar-sedal-detos-yuya-x-300ml/p</t>
        </is>
      </c>
    </row>
    <row r="2025">
      <c r="A2025" t="inlineStr">
        <is>
          <t>Jumbo</t>
        </is>
      </c>
      <c r="B2025" t="n">
        <v>248649</v>
      </c>
      <c r="C2025" t="n">
        <v>245631</v>
      </c>
      <c r="D2025" t="inlineStr">
        <is>
          <t>Crema Capilar Sedal Bomba Argan X 300ml</t>
        </is>
      </c>
      <c r="E2025" t="inlineStr">
        <is>
          <t>SEDAL</t>
        </is>
      </c>
      <c r="F2025" t="n">
        <v>259.45</v>
      </c>
      <c r="G2025" t="n">
        <v>21442</v>
      </c>
      <c r="H2025" t="b">
        <v>0</v>
      </c>
      <c r="I2025" t="n">
        <v>300</v>
      </c>
      <c r="J2025" t="n">
        <v>0.8648</v>
      </c>
      <c r="K2025" t="inlineStr">
        <is>
          <t>&gt; Perfumería &gt; Cuidado Capilar &gt; Reparación y Tratamientos &gt;</t>
        </is>
      </c>
      <c r="L2025" t="inlineStr">
        <is>
          <t>shampoo</t>
        </is>
      </c>
      <c r="M2025" t="inlineStr">
        <is>
          <t>estandar</t>
        </is>
      </c>
      <c r="N2025" t="inlineStr">
        <is>
          <t>general</t>
        </is>
      </c>
      <c r="O2025" t="inlineStr">
        <is>
          <t>https://www.jumbo.com.ar/crema-capilar-sedal-bomba-argan-x-300ml/p</t>
        </is>
      </c>
    </row>
    <row r="2026">
      <c r="A2026" s="2" t="inlineStr">
        <is>
          <t>Jumbo</t>
        </is>
      </c>
      <c r="B2026" s="2" t="n">
        <v>248645</v>
      </c>
      <c r="C2026" s="2" t="n">
        <v>245627</v>
      </c>
      <c r="D2026" s="2" t="inlineStr">
        <is>
          <t>Acondicionador Sedal Bomba Argán 650 Ml</t>
        </is>
      </c>
      <c r="E2026" s="2" t="inlineStr">
        <is>
          <t>SEDAL</t>
        </is>
      </c>
      <c r="F2026" s="2" t="n">
        <v>246.25</v>
      </c>
      <c r="G2026" s="2" t="n">
        <v>20351</v>
      </c>
      <c r="H2026" s="2" t="b">
        <v>0</v>
      </c>
      <c r="I2026" s="2" t="n">
        <v>650</v>
      </c>
      <c r="J2026" s="2" t="n">
        <v>0.3788</v>
      </c>
      <c r="K2026" s="2" t="inlineStr">
        <is>
          <t>&gt; Perfumería &gt; Cuidado Capilar &gt; Acondicionador &gt;</t>
        </is>
      </c>
      <c r="L2026" s="2" t="inlineStr">
        <is>
          <t>acondicionador</t>
        </is>
      </c>
      <c r="M2026" s="2" t="inlineStr">
        <is>
          <t>estandar</t>
        </is>
      </c>
      <c r="N2026" s="2" t="inlineStr">
        <is>
          <t>general</t>
        </is>
      </c>
      <c r="O2026" s="2" t="inlineStr">
        <is>
          <t>https://www.jumbo.com.ar/acondicionador-sedal-bomba-argan-650-ml-2/p</t>
        </is>
      </c>
    </row>
    <row r="2027">
      <c r="A2027" t="inlineStr">
        <is>
          <t>Jumbo</t>
        </is>
      </c>
      <c r="B2027" t="n">
        <v>248642</v>
      </c>
      <c r="C2027" t="n">
        <v>245624</v>
      </c>
      <c r="D2027" t="inlineStr">
        <is>
          <t>Acondicionador Sedal Bomba Argán 340 Ml</t>
        </is>
      </c>
      <c r="E2027" t="inlineStr">
        <is>
          <t>SEDAL</t>
        </is>
      </c>
      <c r="F2027" t="n">
        <v>155.69</v>
      </c>
      <c r="G2027" t="n">
        <v>12867</v>
      </c>
      <c r="H2027" t="b">
        <v>0</v>
      </c>
      <c r="I2027" t="n">
        <v>340</v>
      </c>
      <c r="J2027" t="n">
        <v>0.4579</v>
      </c>
      <c r="K2027" t="inlineStr">
        <is>
          <t>&gt; Perfumería &gt; Cuidado Capilar &gt; Acondicionador &gt;</t>
        </is>
      </c>
      <c r="L2027" t="inlineStr">
        <is>
          <t>acondicionador</t>
        </is>
      </c>
      <c r="M2027" t="inlineStr">
        <is>
          <t>estandar</t>
        </is>
      </c>
      <c r="N2027" t="inlineStr">
        <is>
          <t>general</t>
        </is>
      </c>
      <c r="O2027" t="inlineStr">
        <is>
          <t>https://www.jumbo.com.ar/acondicionador-sedal-bomba-argan-340-ml-2/p</t>
        </is>
      </c>
    </row>
    <row r="2028">
      <c r="A2028" s="2" t="inlineStr">
        <is>
          <t>Jumbo</t>
        </is>
      </c>
      <c r="B2028" s="2" t="n">
        <v>248625</v>
      </c>
      <c r="C2028" s="2" t="n">
        <v>245607</v>
      </c>
      <c r="D2028" s="2" t="inlineStr">
        <is>
          <t>Shampoo Sedal Bomba Argán 340 Ml</t>
        </is>
      </c>
      <c r="E2028" s="2" t="inlineStr">
        <is>
          <t>SEDAL</t>
        </is>
      </c>
      <c r="F2028" s="2" t="n">
        <v>155.69</v>
      </c>
      <c r="G2028" s="2" t="n">
        <v>12867</v>
      </c>
      <c r="H2028" s="2" t="b">
        <v>0</v>
      </c>
      <c r="I2028" s="2" t="n">
        <v>340</v>
      </c>
      <c r="J2028" s="2" t="n">
        <v>0.4579</v>
      </c>
      <c r="K2028" s="2" t="inlineStr">
        <is>
          <t>&gt; Perfumería &gt; Cuidado Capilar &gt; Shampoo &gt;</t>
        </is>
      </c>
      <c r="L2028" s="2" t="inlineStr">
        <is>
          <t>shampoo</t>
        </is>
      </c>
      <c r="M2028" s="2" t="inlineStr">
        <is>
          <t>estandar</t>
        </is>
      </c>
      <c r="N2028" s="2" t="inlineStr">
        <is>
          <t>general</t>
        </is>
      </c>
      <c r="O2028" s="2" t="inlineStr">
        <is>
          <t>https://www.jumbo.com.ar/shampoo-sedal-bomba-argan-340-ml-2/p</t>
        </is>
      </c>
    </row>
    <row r="2029">
      <c r="A2029" t="inlineStr">
        <is>
          <t>Jumbo</t>
        </is>
      </c>
      <c r="B2029" t="n">
        <v>218734</v>
      </c>
      <c r="C2029" t="n">
        <v>228320</v>
      </c>
      <c r="D2029" t="inlineStr">
        <is>
          <t>Crema Capilar Sedal Negros Luminosos Pet 300 Ml</t>
        </is>
      </c>
      <c r="E2029" t="inlineStr">
        <is>
          <t>SEDAL</t>
        </is>
      </c>
      <c r="F2029" t="n">
        <v>16.59</v>
      </c>
      <c r="G2029" t="n">
        <v>16.59</v>
      </c>
      <c r="H2029" t="b">
        <v>0</v>
      </c>
      <c r="I2029" t="n">
        <v>300</v>
      </c>
      <c r="J2029" t="n">
        <v>0.0553</v>
      </c>
      <c r="K2029" t="inlineStr">
        <is>
          <t>&gt; Perfumería &gt; Cuidado Capilar &gt; Reparación y Tratamientos &gt;</t>
        </is>
      </c>
      <c r="L2029" t="inlineStr">
        <is>
          <t>shampoo</t>
        </is>
      </c>
      <c r="M2029" t="inlineStr">
        <is>
          <t>estandar</t>
        </is>
      </c>
      <c r="N2029" t="inlineStr">
        <is>
          <t>general</t>
        </is>
      </c>
      <c r="O2029" t="inlineStr">
        <is>
          <t>https://www.jumbo.com.ar/crema-capilar-sedal-negros-luminosos-pet-300-ml-251326/p</t>
        </is>
      </c>
    </row>
    <row r="2030">
      <c r="A2030" s="2" t="inlineStr">
        <is>
          <t>Jumbo</t>
        </is>
      </c>
      <c r="B2030" s="2" t="n">
        <v>218695</v>
      </c>
      <c r="C2030" s="2" t="n">
        <v>228436</v>
      </c>
      <c r="D2030" s="2" t="inlineStr">
        <is>
          <t>Acondicionador Sedal Ceramidas Pet X  650 Ml</t>
        </is>
      </c>
      <c r="E2030" s="2" t="inlineStr">
        <is>
          <t>SEDAL</t>
        </is>
      </c>
      <c r="F2030" s="2" t="n">
        <v>9.890000000000001</v>
      </c>
      <c r="G2030" s="2" t="n">
        <v>9.890000000000001</v>
      </c>
      <c r="H2030" s="2" t="b">
        <v>0</v>
      </c>
      <c r="I2030" s="2" t="n">
        <v>650</v>
      </c>
      <c r="J2030" s="2" t="n">
        <v>0.0152</v>
      </c>
      <c r="K2030" s="2" t="inlineStr">
        <is>
          <t>&gt; Perfumería &gt; Cuidado Capilar &gt; Acondicionador &gt;</t>
        </is>
      </c>
      <c r="L2030" s="2" t="inlineStr">
        <is>
          <t>acondicionador</t>
        </is>
      </c>
      <c r="M2030" s="2" t="inlineStr">
        <is>
          <t>estandar</t>
        </is>
      </c>
      <c r="N2030" s="2" t="inlineStr">
        <is>
          <t>general</t>
        </is>
      </c>
      <c r="O2030" s="2" t="inlineStr">
        <is>
          <t>https://www.jumbo.com.ar/acondicionador-sedal-ceramidas-pet-x-650-ml-250827/p</t>
        </is>
      </c>
    </row>
    <row r="2031">
      <c r="A2031" t="inlineStr">
        <is>
          <t>Jumbo</t>
        </is>
      </c>
      <c r="B2031" t="n">
        <v>218669</v>
      </c>
      <c r="C2031" t="n">
        <v>228513</v>
      </c>
      <c r="D2031" t="inlineStr">
        <is>
          <t>Acondicionador Sedal Negros Luminosos Pet 350 Ml.</t>
        </is>
      </c>
      <c r="E2031" t="inlineStr">
        <is>
          <t>SEDAL</t>
        </is>
      </c>
      <c r="F2031" t="n">
        <v>8.35</v>
      </c>
      <c r="G2031" t="n">
        <v>8.35</v>
      </c>
      <c r="H2031" t="b">
        <v>0</v>
      </c>
      <c r="I2031" t="n">
        <v>350</v>
      </c>
      <c r="J2031" t="n">
        <v>0.0239</v>
      </c>
      <c r="K2031" t="inlineStr">
        <is>
          <t>&gt; Perfumería &gt; Cuidado Capilar &gt; Acondicionador &gt;</t>
        </is>
      </c>
      <c r="L2031" t="inlineStr">
        <is>
          <t>acondicionador</t>
        </is>
      </c>
      <c r="M2031" t="inlineStr">
        <is>
          <t>estandar</t>
        </is>
      </c>
      <c r="N2031" t="inlineStr">
        <is>
          <t>general</t>
        </is>
      </c>
      <c r="O2031" t="inlineStr">
        <is>
          <t>https://www.jumbo.com.ar/acondicionador-sedal-negros-luminosos-pet-350-ml-250521/p</t>
        </is>
      </c>
    </row>
    <row r="2032">
      <c r="A2032" s="2" t="inlineStr">
        <is>
          <t>Jumbo</t>
        </is>
      </c>
      <c r="B2032" s="2" t="n">
        <v>218628</v>
      </c>
      <c r="C2032" s="2" t="n">
        <v>228659</v>
      </c>
      <c r="D2032" s="2" t="inlineStr">
        <is>
          <t>Sahmpoo Sedal Lissage Pet 650 Ml</t>
        </is>
      </c>
      <c r="E2032" s="2" t="inlineStr">
        <is>
          <t>SEDAL</t>
        </is>
      </c>
      <c r="F2032" s="2" t="n">
        <v>9.26</v>
      </c>
      <c r="G2032" s="2" t="n">
        <v>9.26</v>
      </c>
      <c r="H2032" s="2" t="b">
        <v>0</v>
      </c>
      <c r="I2032" s="2" t="n">
        <v>650</v>
      </c>
      <c r="J2032" s="2" t="n">
        <v>0.0142</v>
      </c>
      <c r="K2032" s="2" t="inlineStr">
        <is>
          <t>&gt; Perfumería &gt; Cuidado Capilar &gt; Shampoo &gt;</t>
        </is>
      </c>
      <c r="L2032" s="2" t="inlineStr">
        <is>
          <t>shampoo</t>
        </is>
      </c>
      <c r="M2032" s="2" t="inlineStr">
        <is>
          <t>estandar</t>
        </is>
      </c>
      <c r="N2032" s="2" t="inlineStr">
        <is>
          <t>general</t>
        </is>
      </c>
      <c r="O2032" s="2" t="inlineStr">
        <is>
          <t>https://www.jumbo.com.ar/sahmpoo-sedal-lissage-pet-650-ml-250823/p</t>
        </is>
      </c>
    </row>
    <row r="2033">
      <c r="A2033" t="inlineStr">
        <is>
          <t>Jumbo</t>
        </is>
      </c>
      <c r="B2033" t="n">
        <v>218598</v>
      </c>
      <c r="C2033" t="n">
        <v>228788</v>
      </c>
      <c r="D2033" t="inlineStr">
        <is>
          <t>Shampoo Sedal Negros Luminosos X 350 Ml</t>
        </is>
      </c>
      <c r="E2033" t="inlineStr">
        <is>
          <t>SEDAL</t>
        </is>
      </c>
      <c r="F2033" t="n">
        <v>8.109999999999999</v>
      </c>
      <c r="G2033" t="n">
        <v>8.109999999999999</v>
      </c>
      <c r="H2033" t="b">
        <v>0</v>
      </c>
      <c r="I2033" t="n">
        <v>350</v>
      </c>
      <c r="J2033" t="n">
        <v>0.0232</v>
      </c>
      <c r="K2033" t="inlineStr">
        <is>
          <t>&gt; Perfumería &gt; Cuidado Capilar &gt; Shampoo &gt;</t>
        </is>
      </c>
      <c r="L2033" t="inlineStr">
        <is>
          <t>shampoo</t>
        </is>
      </c>
      <c r="M2033" t="inlineStr">
        <is>
          <t>estandar</t>
        </is>
      </c>
      <c r="N2033" t="inlineStr">
        <is>
          <t>general</t>
        </is>
      </c>
      <c r="O2033" t="inlineStr">
        <is>
          <t>https://www.jumbo.com.ar/shampoo-sedal-negros-luminosos-x-350-ml-250519/p</t>
        </is>
      </c>
    </row>
    <row r="2034">
      <c r="A2034" s="2" t="inlineStr">
        <is>
          <t>Jumbo</t>
        </is>
      </c>
      <c r="B2034" s="2" t="n">
        <v>209266</v>
      </c>
      <c r="C2034" s="2" t="n">
        <v>231075</v>
      </c>
      <c r="D2034" s="2" t="inlineStr">
        <is>
          <t>Acondicionador Sedal Verano Intense Pvc 480 Ml.</t>
        </is>
      </c>
      <c r="E2034" s="2" t="inlineStr">
        <is>
          <t>SEDAL</t>
        </is>
      </c>
      <c r="F2034" s="2" t="n">
        <v>5.97</v>
      </c>
      <c r="G2034" s="2" t="n">
        <v>5.97</v>
      </c>
      <c r="H2034" s="2" t="b">
        <v>0</v>
      </c>
      <c r="I2034" s="2" t="n">
        <v>480</v>
      </c>
      <c r="J2034" s="2" t="n">
        <v>0.0124</v>
      </c>
      <c r="K2034" s="2" t="inlineStr">
        <is>
          <t>&gt; Perfumería &gt; Cuidado Capilar &gt; Acondicionador &gt;</t>
        </is>
      </c>
      <c r="L2034" s="2" t="inlineStr">
        <is>
          <t>acondicionador</t>
        </is>
      </c>
      <c r="M2034" s="2" t="inlineStr">
        <is>
          <t>estandar</t>
        </is>
      </c>
      <c r="N2034" s="2" t="inlineStr">
        <is>
          <t>general</t>
        </is>
      </c>
      <c r="O2034" s="2" t="inlineStr">
        <is>
          <t>https://www.jumbo.com.ar/acondicionador-sedal-x-480-ml-217533/p</t>
        </is>
      </c>
    </row>
    <row r="2035">
      <c r="A2035" t="inlineStr">
        <is>
          <t>Jumbo</t>
        </is>
      </c>
      <c r="B2035" t="n">
        <v>160862</v>
      </c>
      <c r="C2035" t="n">
        <v>158410</v>
      </c>
      <c r="D2035" t="inlineStr">
        <is>
          <t>Shampoo Sedal Detox Yuya 340 Ml</t>
        </is>
      </c>
      <c r="E2035" t="inlineStr">
        <is>
          <t>SEDAL</t>
        </is>
      </c>
      <c r="F2035" t="n">
        <v>155.69</v>
      </c>
      <c r="G2035" t="n">
        <v>12867</v>
      </c>
      <c r="H2035" t="b">
        <v>0</v>
      </c>
      <c r="I2035" t="n">
        <v>340</v>
      </c>
      <c r="J2035" t="n">
        <v>0.4579</v>
      </c>
      <c r="K2035" t="inlineStr">
        <is>
          <t>&gt; Perfumería &gt; Cuidado Capilar &gt; Shampoo &gt;</t>
        </is>
      </c>
      <c r="L2035" t="inlineStr">
        <is>
          <t>shampoo</t>
        </is>
      </c>
      <c r="M2035" t="inlineStr">
        <is>
          <t>estandar</t>
        </is>
      </c>
      <c r="N2035" t="inlineStr">
        <is>
          <t>general</t>
        </is>
      </c>
      <c r="O2035" t="inlineStr">
        <is>
          <t>https://www.jumbo.com.ar/shampoo-sedal-detox-yuya-340-ml/p</t>
        </is>
      </c>
    </row>
    <row r="2036">
      <c r="A2036" s="2" t="inlineStr">
        <is>
          <t>Jumbo</t>
        </is>
      </c>
      <c r="B2036" s="2" t="n">
        <v>128070</v>
      </c>
      <c r="C2036" s="2" t="n">
        <v>110849</v>
      </c>
      <c r="D2036" s="2" t="inlineStr">
        <is>
          <t>Crema Capilar Sedal-pet-ml.-300</t>
        </is>
      </c>
      <c r="E2036" s="2" t="inlineStr">
        <is>
          <t>SEDAL</t>
        </is>
      </c>
      <c r="F2036" s="2" t="n">
        <v>25.55</v>
      </c>
      <c r="G2036" s="2" t="n">
        <v>2112</v>
      </c>
      <c r="H2036" s="2" t="b">
        <v>0</v>
      </c>
      <c r="I2036" s="2" t="inlineStr"/>
      <c r="J2036" s="2" t="inlineStr"/>
      <c r="K2036" s="2" t="inlineStr">
        <is>
          <t>&gt; Perfumería &gt; Cuidado Capilar &gt; Reparación y Tratamientos &gt;</t>
        </is>
      </c>
      <c r="L2036" s="2" t="inlineStr">
        <is>
          <t>shampoo</t>
        </is>
      </c>
      <c r="M2036" s="2" t="inlineStr">
        <is>
          <t>estandar</t>
        </is>
      </c>
      <c r="N2036" s="2" t="inlineStr">
        <is>
          <t>general</t>
        </is>
      </c>
      <c r="O2036" s="2" t="inlineStr">
        <is>
          <t>https://www.jumbo.com.ar/crema-capilar-sedal-pet-ml-300/p</t>
        </is>
      </c>
    </row>
    <row r="2037">
      <c r="A2037" t="inlineStr">
        <is>
          <t>Jumbo</t>
        </is>
      </c>
      <c r="B2037" t="n">
        <v>124020</v>
      </c>
      <c r="C2037" t="n">
        <v>123022</v>
      </c>
      <c r="D2037" t="inlineStr">
        <is>
          <t>Acondicionador Sedal Para El Pelo</t>
        </is>
      </c>
      <c r="E2037" t="inlineStr">
        <is>
          <t>SEDAL</t>
        </is>
      </c>
      <c r="F2037" t="n">
        <v>7.09</v>
      </c>
      <c r="G2037" t="n">
        <v>7.09</v>
      </c>
      <c r="H2037" t="b">
        <v>0</v>
      </c>
      <c r="I2037" t="inlineStr"/>
      <c r="J2037" t="inlineStr"/>
      <c r="K2037" t="inlineStr">
        <is>
          <t>&gt; Perfumería &gt; Cuidado Capilar &gt; Acondicionador &gt;</t>
        </is>
      </c>
      <c r="L2037" t="inlineStr">
        <is>
          <t>acondicionador</t>
        </is>
      </c>
      <c r="M2037" t="inlineStr">
        <is>
          <t>estandar</t>
        </is>
      </c>
      <c r="N2037" t="inlineStr">
        <is>
          <t>general</t>
        </is>
      </c>
      <c r="O2037" t="inlineStr">
        <is>
          <t>https://www.jumbo.com.ar/acondicionador-sedal-para-el-pelo/p</t>
        </is>
      </c>
    </row>
    <row r="2038">
      <c r="A2038" s="2" t="inlineStr">
        <is>
          <t>Jumbo</t>
        </is>
      </c>
      <c r="B2038" s="2" t="n">
        <v>123526</v>
      </c>
      <c r="C2038" s="2" t="n">
        <v>122529</v>
      </c>
      <c r="D2038" s="2" t="inlineStr">
        <is>
          <t>Acondicionador Sedal Hidraloe Pvc 200 Ml</t>
        </is>
      </c>
      <c r="E2038" s="2" t="inlineStr">
        <is>
          <t>SEDAL</t>
        </is>
      </c>
      <c r="F2038" s="2" t="n">
        <v>5.45</v>
      </c>
      <c r="G2038" s="2" t="n">
        <v>5.45</v>
      </c>
      <c r="H2038" s="2" t="b">
        <v>0</v>
      </c>
      <c r="I2038" s="2" t="n">
        <v>200</v>
      </c>
      <c r="J2038" s="2" t="n">
        <v>0.0272</v>
      </c>
      <c r="K2038" s="2" t="inlineStr">
        <is>
          <t>&gt; Perfumería &gt; Cuidado Capilar &gt; Acondicionador &gt;</t>
        </is>
      </c>
      <c r="L2038" s="2" t="inlineStr">
        <is>
          <t>acondicionador</t>
        </is>
      </c>
      <c r="M2038" s="2" t="inlineStr">
        <is>
          <t>estandar</t>
        </is>
      </c>
      <c r="N2038" s="2" t="inlineStr">
        <is>
          <t>general</t>
        </is>
      </c>
      <c r="O2038" s="2" t="inlineStr">
        <is>
          <t>https://www.jumbo.com.ar/acondicionador-sedal-hidraloe-pvc-200-ml/p</t>
        </is>
      </c>
    </row>
    <row r="2039">
      <c r="A2039" t="inlineStr">
        <is>
          <t>Jumbo</t>
        </is>
      </c>
      <c r="B2039" t="n">
        <v>115113</v>
      </c>
      <c r="C2039" t="n">
        <v>114159</v>
      </c>
      <c r="D2039" t="inlineStr">
        <is>
          <t>Crema Capilar Sedal Crema Para Peinar Sedal Verano Touch 300 Ml</t>
        </is>
      </c>
      <c r="E2039" t="inlineStr">
        <is>
          <t>SEDAL</t>
        </is>
      </c>
      <c r="F2039" t="n">
        <v>16.59</v>
      </c>
      <c r="G2039" t="n">
        <v>16.59</v>
      </c>
      <c r="H2039" t="b">
        <v>0</v>
      </c>
      <c r="I2039" t="n">
        <v>300</v>
      </c>
      <c r="J2039" t="n">
        <v>0.0553</v>
      </c>
      <c r="K2039" t="inlineStr">
        <is>
          <t>&gt; Perfumería &gt; Cuidado Capilar &gt; Reparación y Tratamientos &gt;</t>
        </is>
      </c>
      <c r="L2039" t="inlineStr">
        <is>
          <t>shampoo</t>
        </is>
      </c>
      <c r="M2039" t="inlineStr">
        <is>
          <t>estandar</t>
        </is>
      </c>
      <c r="N2039" t="inlineStr">
        <is>
          <t>general</t>
        </is>
      </c>
      <c r="O2039" t="inlineStr">
        <is>
          <t>https://www.jumbo.com.ar/crema-capilar-sedal-7/p</t>
        </is>
      </c>
    </row>
    <row r="2040">
      <c r="A2040" s="2" t="inlineStr">
        <is>
          <t>Jumbo</t>
        </is>
      </c>
      <c r="B2040" s="2" t="n">
        <v>115020</v>
      </c>
      <c r="C2040" s="2" t="n">
        <v>114066</v>
      </c>
      <c r="D2040" s="2" t="inlineStr">
        <is>
          <t>Crema Capilar Sedal Crema Para Peinar Sedal Verano Block Pvc 300 Ml</t>
        </is>
      </c>
      <c r="E2040" s="2" t="inlineStr">
        <is>
          <t>SEDAL</t>
        </is>
      </c>
      <c r="F2040" s="2" t="n">
        <v>16.59</v>
      </c>
      <c r="G2040" s="2" t="n">
        <v>16.59</v>
      </c>
      <c r="H2040" s="2" t="b">
        <v>0</v>
      </c>
      <c r="I2040" s="2" t="n">
        <v>300</v>
      </c>
      <c r="J2040" s="2" t="n">
        <v>0.0553</v>
      </c>
      <c r="K2040" s="2" t="inlineStr">
        <is>
          <t>&gt; Perfumería &gt; Cuidado Capilar &gt; Reparación y Tratamientos &gt;</t>
        </is>
      </c>
      <c r="L2040" s="2" t="inlineStr">
        <is>
          <t>shampoo</t>
        </is>
      </c>
      <c r="M2040" s="2" t="inlineStr">
        <is>
          <t>estandar</t>
        </is>
      </c>
      <c r="N2040" s="2" t="inlineStr">
        <is>
          <t>general</t>
        </is>
      </c>
      <c r="O2040" s="2" t="inlineStr">
        <is>
          <t>https://www.jumbo.com.ar/crema-capilar-sedal-5/p</t>
        </is>
      </c>
    </row>
    <row r="2041">
      <c r="A2041" t="inlineStr">
        <is>
          <t>Jumbo</t>
        </is>
      </c>
      <c r="B2041" t="n">
        <v>108112</v>
      </c>
      <c r="C2041" t="n">
        <v>105379</v>
      </c>
      <c r="D2041" t="inlineStr">
        <is>
          <t>Crema Capilar Sedal Brillo Gloss X 300 Ml</t>
        </is>
      </c>
      <c r="E2041" t="inlineStr">
        <is>
          <t>SEDAL</t>
        </is>
      </c>
      <c r="F2041" t="n">
        <v>16.59</v>
      </c>
      <c r="G2041" t="n">
        <v>16.59</v>
      </c>
      <c r="H2041" t="b">
        <v>0</v>
      </c>
      <c r="I2041" t="n">
        <v>300</v>
      </c>
      <c r="J2041" t="n">
        <v>0.0553</v>
      </c>
      <c r="K2041" t="inlineStr">
        <is>
          <t>&gt; Perfumería &gt; Cuidado Capilar &gt; Reparación y Tratamientos &gt;</t>
        </is>
      </c>
      <c r="L2041" t="inlineStr">
        <is>
          <t>shampoo</t>
        </is>
      </c>
      <c r="M2041" t="inlineStr">
        <is>
          <t>estandar</t>
        </is>
      </c>
      <c r="N2041" t="inlineStr">
        <is>
          <t>general</t>
        </is>
      </c>
      <c r="O2041" t="inlineStr">
        <is>
          <t>https://www.jumbo.com.ar/crema-capilar-sedal-4/p</t>
        </is>
      </c>
    </row>
    <row r="2042">
      <c r="A2042" s="2" t="inlineStr">
        <is>
          <t>Jumbo</t>
        </is>
      </c>
      <c r="B2042" s="2" t="n">
        <v>104983</v>
      </c>
      <c r="C2042" s="2" t="n">
        <v>102272</v>
      </c>
      <c r="D2042" s="2" t="inlineStr">
        <is>
          <t>Acondicionador Sedal Balance X 240 Ml.</t>
        </is>
      </c>
      <c r="E2042" s="2" t="inlineStr">
        <is>
          <t>SEDAL</t>
        </is>
      </c>
      <c r="F2042" s="2" t="n">
        <v>5.45</v>
      </c>
      <c r="G2042" s="2" t="n">
        <v>5.45</v>
      </c>
      <c r="H2042" s="2" t="b">
        <v>0</v>
      </c>
      <c r="I2042" s="2" t="n">
        <v>240</v>
      </c>
      <c r="J2042" s="2" t="n">
        <v>0.0227</v>
      </c>
      <c r="K2042" s="2" t="inlineStr">
        <is>
          <t>&gt; Perfumería &gt; Cuidado Capilar &gt; Acondicionador &gt;</t>
        </is>
      </c>
      <c r="L2042" s="2" t="inlineStr">
        <is>
          <t>acondicionador</t>
        </is>
      </c>
      <c r="M2042" s="2" t="inlineStr">
        <is>
          <t>estandar</t>
        </is>
      </c>
      <c r="N2042" s="2" t="inlineStr">
        <is>
          <t>general</t>
        </is>
      </c>
      <c r="O2042" s="2" t="inlineStr">
        <is>
          <t>https://www.jumbo.com.ar/acondicionador-sedal-balance-x-240-ml/p</t>
        </is>
      </c>
    </row>
    <row r="2043">
      <c r="A2043" t="inlineStr">
        <is>
          <t>Jumbo</t>
        </is>
      </c>
      <c r="B2043" t="n">
        <v>104804</v>
      </c>
      <c r="C2043" t="n">
        <v>102096</v>
      </c>
      <c r="D2043" t="inlineStr">
        <is>
          <t>Shampoo Sedal Crema Pvc 240 Ml.</t>
        </is>
      </c>
      <c r="E2043" t="inlineStr">
        <is>
          <t>SEDAL</t>
        </is>
      </c>
      <c r="F2043" t="n">
        <v>5.45</v>
      </c>
      <c r="G2043" t="n">
        <v>5.45</v>
      </c>
      <c r="H2043" t="b">
        <v>0</v>
      </c>
      <c r="I2043" t="n">
        <v>240</v>
      </c>
      <c r="J2043" t="n">
        <v>0.0227</v>
      </c>
      <c r="K2043" t="inlineStr">
        <is>
          <t>&gt; Perfumería &gt; Cuidado Capilar &gt; Shampoo &gt;</t>
        </is>
      </c>
      <c r="L2043" t="inlineStr">
        <is>
          <t>shampoo</t>
        </is>
      </c>
      <c r="M2043" t="inlineStr">
        <is>
          <t>estandar</t>
        </is>
      </c>
      <c r="N2043" t="inlineStr">
        <is>
          <t>general</t>
        </is>
      </c>
      <c r="O2043" t="inlineStr">
        <is>
          <t>https://www.jumbo.com.ar/shampoo-sedal-crema-pvc-240-ml/p</t>
        </is>
      </c>
    </row>
    <row r="2044">
      <c r="A2044" s="2" t="inlineStr">
        <is>
          <t>Jumbo</t>
        </is>
      </c>
      <c r="B2044" s="2" t="n">
        <v>104781</v>
      </c>
      <c r="C2044" s="2" t="n">
        <v>102070</v>
      </c>
      <c r="D2044" s="2" t="inlineStr">
        <is>
          <t>Shampoo Sedal Hidraloe X  240 Ml</t>
        </is>
      </c>
      <c r="E2044" s="2" t="inlineStr">
        <is>
          <t>SEDAL</t>
        </is>
      </c>
      <c r="F2044" s="2" t="n">
        <v>5.45</v>
      </c>
      <c r="G2044" s="2" t="n">
        <v>5.45</v>
      </c>
      <c r="H2044" s="2" t="b">
        <v>0</v>
      </c>
      <c r="I2044" s="2" t="n">
        <v>240</v>
      </c>
      <c r="J2044" s="2" t="n">
        <v>0.0227</v>
      </c>
      <c r="K2044" s="2" t="inlineStr">
        <is>
          <t>&gt; Perfumería &gt; Cuidado Capilar &gt; Shampoo &gt;</t>
        </is>
      </c>
      <c r="L2044" s="2" t="inlineStr">
        <is>
          <t>shampoo</t>
        </is>
      </c>
      <c r="M2044" s="2" t="inlineStr">
        <is>
          <t>estandar</t>
        </is>
      </c>
      <c r="N2044" s="2" t="inlineStr">
        <is>
          <t>general</t>
        </is>
      </c>
      <c r="O2044" s="2" t="inlineStr">
        <is>
          <t>https://www.jumbo.com.ar/shampoo-sedal-hidraloe-x-240-ml/p</t>
        </is>
      </c>
    </row>
    <row r="2045">
      <c r="A2045" t="inlineStr">
        <is>
          <t>Jumbo</t>
        </is>
      </c>
      <c r="B2045" t="n">
        <v>101790</v>
      </c>
      <c r="C2045" t="n">
        <v>99100</v>
      </c>
      <c r="D2045" t="inlineStr">
        <is>
          <t>Crema Capilar Sedal Anti Frizz Para Peinar X 300 Ml</t>
        </is>
      </c>
      <c r="E2045" t="inlineStr">
        <is>
          <t>SEDAL</t>
        </is>
      </c>
      <c r="F2045" t="n">
        <v>16.59</v>
      </c>
      <c r="G2045" t="n">
        <v>16.59</v>
      </c>
      <c r="H2045" t="b">
        <v>0</v>
      </c>
      <c r="I2045" t="n">
        <v>300</v>
      </c>
      <c r="J2045" t="n">
        <v>0.0553</v>
      </c>
      <c r="K2045" t="inlineStr">
        <is>
          <t>&gt; Perfumería &gt; Cuidado Capilar &gt; Reparación y Tratamientos &gt;</t>
        </is>
      </c>
      <c r="L2045" t="inlineStr">
        <is>
          <t>shampoo</t>
        </is>
      </c>
      <c r="M2045" t="inlineStr">
        <is>
          <t>estandar</t>
        </is>
      </c>
      <c r="N2045" t="inlineStr">
        <is>
          <t>general</t>
        </is>
      </c>
      <c r="O2045" t="inlineStr">
        <is>
          <t>https://www.jumbo.com.ar/crema-capilar-sedal-anti-frizz-para-peinar-x-300-ml/p</t>
        </is>
      </c>
    </row>
    <row r="2046">
      <c r="A2046" s="2" t="inlineStr">
        <is>
          <t>Jumbo</t>
        </is>
      </c>
      <c r="B2046" s="2" t="n">
        <v>96256</v>
      </c>
      <c r="C2046" s="2" t="n">
        <v>93572</v>
      </c>
      <c r="D2046" s="2" t="inlineStr">
        <is>
          <t>Shampoo Sedal Lissage Pvc 200 Ml</t>
        </is>
      </c>
      <c r="E2046" s="2" t="inlineStr">
        <is>
          <t>SEDAL</t>
        </is>
      </c>
      <c r="F2046" s="2" t="n">
        <v>6.09</v>
      </c>
      <c r="G2046" s="2" t="n">
        <v>6.09</v>
      </c>
      <c r="H2046" s="2" t="b">
        <v>0</v>
      </c>
      <c r="I2046" s="2" t="n">
        <v>200</v>
      </c>
      <c r="J2046" s="2" t="n">
        <v>0.0304</v>
      </c>
      <c r="K2046" s="2" t="inlineStr">
        <is>
          <t>&gt; Perfumería &gt; Cuidado Capilar &gt; Shampoo &gt;</t>
        </is>
      </c>
      <c r="L2046" s="2" t="inlineStr">
        <is>
          <t>shampoo</t>
        </is>
      </c>
      <c r="M2046" s="2" t="inlineStr">
        <is>
          <t>estandar</t>
        </is>
      </c>
      <c r="N2046" s="2" t="inlineStr">
        <is>
          <t>general</t>
        </is>
      </c>
      <c r="O2046" s="2" t="inlineStr">
        <is>
          <t>https://www.jumbo.com.ar/shampoo-sedal-lissage-pvc-200-ml/p</t>
        </is>
      </c>
    </row>
    <row r="2047">
      <c r="A2047" t="inlineStr">
        <is>
          <t>Jumbo</t>
        </is>
      </c>
      <c r="B2047" t="n">
        <v>96215</v>
      </c>
      <c r="C2047" t="n">
        <v>93532</v>
      </c>
      <c r="D2047" t="inlineStr">
        <is>
          <t>Acondicionador Sedal Lissage Pvc 400 Ml.</t>
        </is>
      </c>
      <c r="E2047" t="inlineStr">
        <is>
          <t>SEDAL</t>
        </is>
      </c>
      <c r="F2047" t="n">
        <v>5.97</v>
      </c>
      <c r="G2047" t="n">
        <v>5.97</v>
      </c>
      <c r="H2047" t="b">
        <v>0</v>
      </c>
      <c r="I2047" t="n">
        <v>400</v>
      </c>
      <c r="J2047" t="n">
        <v>0.0149</v>
      </c>
      <c r="K2047" t="inlineStr">
        <is>
          <t>&gt; Perfumería &gt; Cuidado Capilar &gt; Acondicionador &gt;</t>
        </is>
      </c>
      <c r="L2047" t="inlineStr">
        <is>
          <t>acondicionador</t>
        </is>
      </c>
      <c r="M2047" t="inlineStr">
        <is>
          <t>estandar</t>
        </is>
      </c>
      <c r="N2047" t="inlineStr">
        <is>
          <t>general</t>
        </is>
      </c>
      <c r="O2047" t="inlineStr">
        <is>
          <t>https://www.jumbo.com.ar/acondicionador-sedal-lissage-pvc-400-ml/p</t>
        </is>
      </c>
    </row>
    <row r="2048">
      <c r="A2048" s="2" t="inlineStr">
        <is>
          <t>Jumbo</t>
        </is>
      </c>
      <c r="B2048" s="2" t="n">
        <v>89281</v>
      </c>
      <c r="C2048" s="2" t="n">
        <v>86609</v>
      </c>
      <c r="D2048" s="2" t="inlineStr">
        <is>
          <t>Shampoo Sedal Crema X 200 Ml.</t>
        </is>
      </c>
      <c r="E2048" s="2" t="inlineStr">
        <is>
          <t>SEDAL</t>
        </is>
      </c>
      <c r="F2048" s="2" t="n">
        <v>6.09</v>
      </c>
      <c r="G2048" s="2" t="n">
        <v>6.09</v>
      </c>
      <c r="H2048" s="2" t="b">
        <v>0</v>
      </c>
      <c r="I2048" s="2" t="n">
        <v>200</v>
      </c>
      <c r="J2048" s="2" t="n">
        <v>0.0304</v>
      </c>
      <c r="K2048" s="2" t="inlineStr">
        <is>
          <t>&gt; Perfumería &gt; Cuidado Capilar &gt; Shampoo &gt;</t>
        </is>
      </c>
      <c r="L2048" s="2" t="inlineStr">
        <is>
          <t>shampoo</t>
        </is>
      </c>
      <c r="M2048" s="2" t="inlineStr">
        <is>
          <t>estandar</t>
        </is>
      </c>
      <c r="N2048" s="2" t="inlineStr">
        <is>
          <t>general</t>
        </is>
      </c>
      <c r="O2048" s="2" t="inlineStr">
        <is>
          <t>https://www.jumbo.com.ar/shampoo-sedal-88/p</t>
        </is>
      </c>
    </row>
    <row r="2049">
      <c r="A2049" t="inlineStr">
        <is>
          <t>Jumbo</t>
        </is>
      </c>
      <c r="B2049" t="n">
        <v>69105</v>
      </c>
      <c r="C2049" t="n">
        <v>66240</v>
      </c>
      <c r="D2049" t="inlineStr">
        <is>
          <t>Crema Capilar Sedal Capas Destacadas X 300 Ml</t>
        </is>
      </c>
      <c r="E2049" t="inlineStr">
        <is>
          <t>SEDAL</t>
        </is>
      </c>
      <c r="F2049" t="n">
        <v>16.59</v>
      </c>
      <c r="G2049" t="n">
        <v>16.59</v>
      </c>
      <c r="H2049" t="b">
        <v>0</v>
      </c>
      <c r="I2049" t="n">
        <v>300</v>
      </c>
      <c r="J2049" t="n">
        <v>0.0553</v>
      </c>
      <c r="K2049" t="inlineStr">
        <is>
          <t>&gt; Perfumería &gt; Cuidado Capilar &gt; Reparación y Tratamientos &gt;</t>
        </is>
      </c>
      <c r="L2049" t="inlineStr">
        <is>
          <t>shampoo</t>
        </is>
      </c>
      <c r="M2049" t="inlineStr">
        <is>
          <t>estandar</t>
        </is>
      </c>
      <c r="N2049" t="inlineStr">
        <is>
          <t>general</t>
        </is>
      </c>
      <c r="O2049" t="inlineStr">
        <is>
          <t>https://www.jumbo.com.ar/crema-capilar-sedal-8/p</t>
        </is>
      </c>
    </row>
    <row r="2050">
      <c r="A2050" s="2" t="inlineStr">
        <is>
          <t>Jumbo</t>
        </is>
      </c>
      <c r="B2050" s="2" t="n">
        <v>59442</v>
      </c>
      <c r="C2050" s="2" t="n">
        <v>56592</v>
      </c>
      <c r="D2050" s="2" t="inlineStr">
        <is>
          <t>Acondicionador Sedal  750 Ml</t>
        </is>
      </c>
      <c r="E2050" s="2" t="inlineStr">
        <is>
          <t>SEDAL</t>
        </is>
      </c>
      <c r="F2050" s="2" t="n">
        <v>9.279999999999999</v>
      </c>
      <c r="G2050" s="2" t="n">
        <v>9.279999999999999</v>
      </c>
      <c r="H2050" s="2" t="b">
        <v>0</v>
      </c>
      <c r="I2050" s="2" t="n">
        <v>750</v>
      </c>
      <c r="J2050" s="2" t="n">
        <v>0.0124</v>
      </c>
      <c r="K2050" s="2" t="inlineStr">
        <is>
          <t>&gt; Perfumería &gt; Cuidado Capilar &gt; Acondicionador &gt;</t>
        </is>
      </c>
      <c r="L2050" s="2" t="inlineStr">
        <is>
          <t>acondicionador</t>
        </is>
      </c>
      <c r="M2050" s="2" t="inlineStr">
        <is>
          <t>estandar</t>
        </is>
      </c>
      <c r="N2050" s="2" t="inlineStr">
        <is>
          <t>general</t>
        </is>
      </c>
      <c r="O2050" s="2" t="inlineStr">
        <is>
          <t>https://www.jumbo.com.ar/acondicionador-sedal-750-ml/p</t>
        </is>
      </c>
    </row>
    <row r="2051">
      <c r="A2051" t="inlineStr">
        <is>
          <t>Jumbo</t>
        </is>
      </c>
      <c r="B2051" t="n">
        <v>59340</v>
      </c>
      <c r="C2051" t="n">
        <v>56492</v>
      </c>
      <c r="D2051" t="inlineStr">
        <is>
          <t>Acondicionador Sedal Ceramidas Pvc 750 Ml</t>
        </is>
      </c>
      <c r="E2051" t="inlineStr">
        <is>
          <t>SEDAL</t>
        </is>
      </c>
      <c r="F2051" t="n">
        <v>9.27</v>
      </c>
      <c r="G2051" t="n">
        <v>9.27</v>
      </c>
      <c r="H2051" t="b">
        <v>0</v>
      </c>
      <c r="I2051" t="n">
        <v>750</v>
      </c>
      <c r="J2051" t="n">
        <v>0.0124</v>
      </c>
      <c r="K2051" t="inlineStr">
        <is>
          <t>&gt; Perfumería &gt; Cuidado Capilar &gt; Acondicionador &gt;</t>
        </is>
      </c>
      <c r="L2051" t="inlineStr">
        <is>
          <t>acondicionador</t>
        </is>
      </c>
      <c r="M2051" t="inlineStr">
        <is>
          <t>estandar</t>
        </is>
      </c>
      <c r="N2051" t="inlineStr">
        <is>
          <t>general</t>
        </is>
      </c>
      <c r="O2051" t="inlineStr">
        <is>
          <t>https://www.jumbo.com.ar/acondicionador-sedal-ceramidas-pvc-750-ml/p</t>
        </is>
      </c>
    </row>
    <row r="2052">
      <c r="A2052" s="2" t="inlineStr">
        <is>
          <t>Jumbo</t>
        </is>
      </c>
      <c r="B2052" s="2" t="n">
        <v>57727</v>
      </c>
      <c r="C2052" s="2" t="n">
        <v>54884</v>
      </c>
      <c r="D2052" s="2" t="inlineStr">
        <is>
          <t>Acondicionador Sedal Castaños Pvc 350 Ml</t>
        </is>
      </c>
      <c r="E2052" s="2" t="inlineStr">
        <is>
          <t>SEDAL</t>
        </is>
      </c>
      <c r="F2052" s="2" t="n">
        <v>8.35</v>
      </c>
      <c r="G2052" s="2" t="n">
        <v>8.35</v>
      </c>
      <c r="H2052" s="2" t="b">
        <v>0</v>
      </c>
      <c r="I2052" s="2" t="n">
        <v>350</v>
      </c>
      <c r="J2052" s="2" t="n">
        <v>0.0239</v>
      </c>
      <c r="K2052" s="2" t="inlineStr">
        <is>
          <t>&gt; Perfumería &gt; Cuidado Capilar &gt; Acondicionador &gt;</t>
        </is>
      </c>
      <c r="L2052" s="2" t="inlineStr">
        <is>
          <t>acondicionador</t>
        </is>
      </c>
      <c r="M2052" s="2" t="inlineStr">
        <is>
          <t>estandar</t>
        </is>
      </c>
      <c r="N2052" s="2" t="inlineStr">
        <is>
          <t>general</t>
        </is>
      </c>
      <c r="O2052" s="2" t="inlineStr">
        <is>
          <t>https://www.jumbo.com.ar/acondicionador-sedal-castanos-pvc-350-ml-2/p</t>
        </is>
      </c>
    </row>
    <row r="2053">
      <c r="A2053" t="inlineStr">
        <is>
          <t>Jumbo</t>
        </is>
      </c>
      <c r="B2053" t="n">
        <v>55729</v>
      </c>
      <c r="C2053" t="n">
        <v>52887</v>
      </c>
      <c r="D2053" t="inlineStr">
        <is>
          <t>Acondicionador Sedal Verano Pvc 350 Ml.</t>
        </is>
      </c>
      <c r="E2053" t="inlineStr">
        <is>
          <t>SEDAL</t>
        </is>
      </c>
      <c r="F2053" t="n">
        <v>8.390000000000001</v>
      </c>
      <c r="G2053" t="n">
        <v>8.390000000000001</v>
      </c>
      <c r="H2053" t="b">
        <v>0</v>
      </c>
      <c r="I2053" t="n">
        <v>350</v>
      </c>
      <c r="J2053" t="n">
        <v>0.024</v>
      </c>
      <c r="K2053" t="inlineStr">
        <is>
          <t>&gt; Perfumería &gt; Cuidado Capilar &gt; Acondicionador &gt;</t>
        </is>
      </c>
      <c r="L2053" t="inlineStr">
        <is>
          <t>acondicionador</t>
        </is>
      </c>
      <c r="M2053" t="inlineStr">
        <is>
          <t>estandar</t>
        </is>
      </c>
      <c r="N2053" t="inlineStr">
        <is>
          <t>general</t>
        </is>
      </c>
      <c r="O2053" t="inlineStr">
        <is>
          <t>https://www.jumbo.com.ar/acondicionador-sedal-verano-pvc-350-ml/p</t>
        </is>
      </c>
    </row>
    <row r="2054">
      <c r="A2054" s="2" t="inlineStr">
        <is>
          <t>Jumbo</t>
        </is>
      </c>
      <c r="B2054" s="2" t="n">
        <v>55322</v>
      </c>
      <c r="C2054" s="2" t="n">
        <v>52482</v>
      </c>
      <c r="D2054" s="2" t="inlineStr">
        <is>
          <t>Crema Capilar Sedal Rubios Radiantes Para Peinar Pomo 300 Ml</t>
        </is>
      </c>
      <c r="E2054" s="2" t="inlineStr">
        <is>
          <t>SEDAL</t>
        </is>
      </c>
      <c r="F2054" s="2" t="n">
        <v>16.59</v>
      </c>
      <c r="G2054" s="2" t="n">
        <v>16.59</v>
      </c>
      <c r="H2054" s="2" t="b">
        <v>0</v>
      </c>
      <c r="I2054" s="2" t="n">
        <v>300</v>
      </c>
      <c r="J2054" s="2" t="n">
        <v>0.0553</v>
      </c>
      <c r="K2054" s="2" t="inlineStr">
        <is>
          <t>&gt; Perfumería &gt; Cuidado Capilar &gt; Reparación y Tratamientos &gt;</t>
        </is>
      </c>
      <c r="L2054" s="2" t="inlineStr">
        <is>
          <t>shampoo</t>
        </is>
      </c>
      <c r="M2054" s="2" t="inlineStr">
        <is>
          <t>estandar</t>
        </is>
      </c>
      <c r="N2054" s="2" t="inlineStr">
        <is>
          <t>general</t>
        </is>
      </c>
      <c r="O2054" s="2" t="inlineStr">
        <is>
          <t>https://www.jumbo.com.ar/crema-capilar-sedal-rubios-radiantes-para-peinar-pomo-300-ml/p</t>
        </is>
      </c>
    </row>
    <row r="2055">
      <c r="A2055" t="inlineStr">
        <is>
          <t>Jumbo</t>
        </is>
      </c>
      <c r="B2055" t="n">
        <v>55297</v>
      </c>
      <c r="C2055" t="n">
        <v>52457</v>
      </c>
      <c r="D2055" t="inlineStr">
        <is>
          <t>Crema Capilar Sedal Verano Para Peinar Pomo 300 Ml</t>
        </is>
      </c>
      <c r="E2055" t="inlineStr">
        <is>
          <t>SEDAL</t>
        </is>
      </c>
      <c r="F2055" t="n">
        <v>16.59</v>
      </c>
      <c r="G2055" t="n">
        <v>16.59</v>
      </c>
      <c r="H2055" t="b">
        <v>0</v>
      </c>
      <c r="I2055" t="n">
        <v>300</v>
      </c>
      <c r="J2055" t="n">
        <v>0.0553</v>
      </c>
      <c r="K2055" t="inlineStr">
        <is>
          <t>&gt; Perfumería &gt; Cuidado Capilar &gt; Reparación y Tratamientos &gt;</t>
        </is>
      </c>
      <c r="L2055" t="inlineStr">
        <is>
          <t>shampoo</t>
        </is>
      </c>
      <c r="M2055" t="inlineStr">
        <is>
          <t>estandar</t>
        </is>
      </c>
      <c r="N2055" t="inlineStr">
        <is>
          <t>general</t>
        </is>
      </c>
      <c r="O2055" t="inlineStr">
        <is>
          <t>https://www.jumbo.com.ar/crema-capilar-sedal-verano-para-peinar-pomo-300-ml/p</t>
        </is>
      </c>
    </row>
    <row r="2056">
      <c r="A2056" s="2" t="inlineStr">
        <is>
          <t>Jumbo</t>
        </is>
      </c>
      <c r="B2056" s="2" t="n">
        <v>43372</v>
      </c>
      <c r="C2056" s="2" t="n">
        <v>40543</v>
      </c>
      <c r="D2056" s="2" t="inlineStr">
        <is>
          <t>Shampoo Sedal Color Vital 190 Ml</t>
        </is>
      </c>
      <c r="E2056" s="2" t="inlineStr">
        <is>
          <t>SEDAL</t>
        </is>
      </c>
      <c r="F2056" s="2" t="n">
        <v>37.43</v>
      </c>
      <c r="G2056" s="2" t="n">
        <v>3093</v>
      </c>
      <c r="H2056" s="2" t="b">
        <v>0</v>
      </c>
      <c r="I2056" s="2" t="n">
        <v>190</v>
      </c>
      <c r="J2056" s="2" t="n">
        <v>0.197</v>
      </c>
      <c r="K2056" s="2" t="inlineStr">
        <is>
          <t>&gt; Perfumería &gt; Cuidado Capilar &gt; Shampoo &gt;</t>
        </is>
      </c>
      <c r="L2056" s="2" t="inlineStr">
        <is>
          <t>shampoo</t>
        </is>
      </c>
      <c r="M2056" s="2" t="inlineStr">
        <is>
          <t>estandar</t>
        </is>
      </c>
      <c r="N2056" s="2" t="inlineStr">
        <is>
          <t>tratado</t>
        </is>
      </c>
      <c r="O2056" s="2" t="inlineStr">
        <is>
          <t>https://www.jumbo.com.ar/shampoo-sedal-color-vital-190-ml/p</t>
        </is>
      </c>
    </row>
    <row r="2057">
      <c r="A2057" t="inlineStr">
        <is>
          <t>Jumbo</t>
        </is>
      </c>
      <c r="B2057" t="n">
        <v>43206</v>
      </c>
      <c r="C2057" t="n">
        <v>40377</v>
      </c>
      <c r="D2057" t="inlineStr">
        <is>
          <t>Shampoo Sedal Con Aloe Vera X 200 Cc.</t>
        </is>
      </c>
      <c r="E2057" t="inlineStr">
        <is>
          <t>SEDAL</t>
        </is>
      </c>
      <c r="F2057" t="n">
        <v>6.09</v>
      </c>
      <c r="G2057" t="n">
        <v>6.09</v>
      </c>
      <c r="H2057" t="b">
        <v>0</v>
      </c>
      <c r="I2057" t="inlineStr"/>
      <c r="J2057" t="inlineStr"/>
      <c r="K2057" t="inlineStr">
        <is>
          <t>&gt; Perfumería &gt; Cuidado Capilar &gt; Shampoo &gt;</t>
        </is>
      </c>
      <c r="L2057" t="inlineStr">
        <is>
          <t>shampoo</t>
        </is>
      </c>
      <c r="M2057" t="inlineStr">
        <is>
          <t>estandar</t>
        </is>
      </c>
      <c r="N2057" t="inlineStr">
        <is>
          <t>general</t>
        </is>
      </c>
      <c r="O2057" t="inlineStr">
        <is>
          <t>https://www.jumbo.com.ar/shampoo-sedal-con-aloe-vera-x-200-cc/p</t>
        </is>
      </c>
    </row>
    <row r="2058">
      <c r="A2058" s="2" t="inlineStr">
        <is>
          <t>Jumbo</t>
        </is>
      </c>
      <c r="B2058" s="2" t="n">
        <v>42274</v>
      </c>
      <c r="C2058" s="2" t="n">
        <v>39444</v>
      </c>
      <c r="D2058" s="2" t="inlineStr">
        <is>
          <t>Acondicionador Sedal Restauración Instantánea 650 Ml</t>
        </is>
      </c>
      <c r="E2058" s="2" t="inlineStr">
        <is>
          <t>SEDAL</t>
        </is>
      </c>
      <c r="F2058" s="2" t="n">
        <v>269.15</v>
      </c>
      <c r="G2058" s="2" t="n">
        <v>22244</v>
      </c>
      <c r="H2058" s="2" t="b">
        <v>0</v>
      </c>
      <c r="I2058" s="2" t="n">
        <v>650</v>
      </c>
      <c r="J2058" s="2" t="n">
        <v>0.4141</v>
      </c>
      <c r="K2058" s="2" t="inlineStr">
        <is>
          <t>&gt; Perfumería &gt; Cuidado Capilar &gt; Acondicionador &gt;</t>
        </is>
      </c>
      <c r="L2058" s="2" t="inlineStr">
        <is>
          <t>acondicionador</t>
        </is>
      </c>
      <c r="M2058" s="2" t="inlineStr">
        <is>
          <t>estandar</t>
        </is>
      </c>
      <c r="N2058" s="2" t="inlineStr">
        <is>
          <t>general</t>
        </is>
      </c>
      <c r="O2058" s="2" t="inlineStr">
        <is>
          <t>https://www.jumbo.com.ar/acondicionador-sedal-restauracion-instantanea-650-ml/p</t>
        </is>
      </c>
    </row>
    <row r="2059">
      <c r="A2059" t="inlineStr">
        <is>
          <t>Jumbo</t>
        </is>
      </c>
      <c r="B2059" t="n">
        <v>36012</v>
      </c>
      <c r="C2059" t="n">
        <v>33170</v>
      </c>
      <c r="D2059" t="inlineStr">
        <is>
          <t>Crema Capilar Sedal Ondas Irresistibles  Pmo 300 Ml</t>
        </is>
      </c>
      <c r="E2059" t="inlineStr">
        <is>
          <t>SEDAL</t>
        </is>
      </c>
      <c r="F2059" t="n">
        <v>16.59</v>
      </c>
      <c r="G2059" t="n">
        <v>16.59</v>
      </c>
      <c r="H2059" t="b">
        <v>0</v>
      </c>
      <c r="I2059" t="n">
        <v>300</v>
      </c>
      <c r="J2059" t="n">
        <v>0.0553</v>
      </c>
      <c r="K2059" t="inlineStr">
        <is>
          <t>&gt; Perfumería &gt; Cuidado Capilar &gt; Reparación y Tratamientos &gt;</t>
        </is>
      </c>
      <c r="L2059" t="inlineStr">
        <is>
          <t>shampoo</t>
        </is>
      </c>
      <c r="M2059" t="inlineStr">
        <is>
          <t>estandar</t>
        </is>
      </c>
      <c r="N2059" t="inlineStr">
        <is>
          <t>general</t>
        </is>
      </c>
      <c r="O2059" t="inlineStr">
        <is>
          <t>https://www.jumbo.com.ar/crema-capilar-sedal-3/p</t>
        </is>
      </c>
    </row>
    <row r="2060">
      <c r="A2060" s="2" t="inlineStr">
        <is>
          <t>Jumbo</t>
        </is>
      </c>
      <c r="B2060" s="2" t="n">
        <v>31301</v>
      </c>
      <c r="C2060" s="2" t="n">
        <v>28460</v>
      </c>
      <c r="D2060" s="2" t="inlineStr">
        <is>
          <t>Crema Capilar Sedal Post Alisado Químico 300 Ml</t>
        </is>
      </c>
      <c r="E2060" s="2" t="inlineStr">
        <is>
          <t>SEDAL</t>
        </is>
      </c>
      <c r="F2060" s="2" t="n">
        <v>32.55</v>
      </c>
      <c r="G2060" s="2" t="n">
        <v>2690</v>
      </c>
      <c r="H2060" s="2" t="b">
        <v>0</v>
      </c>
      <c r="I2060" s="2" t="n">
        <v>300</v>
      </c>
      <c r="J2060" s="2" t="n">
        <v>0.1085</v>
      </c>
      <c r="K2060" s="2" t="inlineStr">
        <is>
          <t>&gt; Perfumería &gt; Cuidado Capilar &gt; Reparación y Tratamientos &gt;</t>
        </is>
      </c>
      <c r="L2060" s="2" t="inlineStr">
        <is>
          <t>shampoo</t>
        </is>
      </c>
      <c r="M2060" s="2" t="inlineStr">
        <is>
          <t>estandar</t>
        </is>
      </c>
      <c r="N2060" s="2" t="inlineStr">
        <is>
          <t>tratado</t>
        </is>
      </c>
      <c r="O2060" s="2" t="inlineStr">
        <is>
          <t>https://www.jumbo.com.ar/crema-capilar-sedal-2/p</t>
        </is>
      </c>
    </row>
    <row r="2061">
      <c r="A2061" t="inlineStr">
        <is>
          <t>Jumbo</t>
        </is>
      </c>
      <c r="B2061" t="n">
        <v>22542</v>
      </c>
      <c r="C2061" t="n">
        <v>19704</v>
      </c>
      <c r="D2061" t="inlineStr">
        <is>
          <t>Acondicionador Sedal Rubio Pvc 350 Ml</t>
        </is>
      </c>
      <c r="E2061" t="inlineStr">
        <is>
          <t>SEDAL</t>
        </is>
      </c>
      <c r="F2061" t="n">
        <v>8.35</v>
      </c>
      <c r="G2061" t="n">
        <v>8.35</v>
      </c>
      <c r="H2061" t="b">
        <v>0</v>
      </c>
      <c r="I2061" t="n">
        <v>350</v>
      </c>
      <c r="J2061" t="n">
        <v>0.0239</v>
      </c>
      <c r="K2061" t="inlineStr">
        <is>
          <t>&gt; Perfumería &gt; Cuidado Capilar &gt; Acondicionador &gt;</t>
        </is>
      </c>
      <c r="L2061" t="inlineStr">
        <is>
          <t>acondicionador</t>
        </is>
      </c>
      <c r="M2061" t="inlineStr">
        <is>
          <t>estandar</t>
        </is>
      </c>
      <c r="N2061" t="inlineStr">
        <is>
          <t>general</t>
        </is>
      </c>
      <c r="O2061" t="inlineStr">
        <is>
          <t>https://www.jumbo.com.ar/acondicionador-sedal-17/p</t>
        </is>
      </c>
    </row>
    <row r="2062">
      <c r="A2062" s="2" t="inlineStr">
        <is>
          <t>Jumbo</t>
        </is>
      </c>
      <c r="B2062" s="2" t="n">
        <v>19684</v>
      </c>
      <c r="C2062" s="2" t="n">
        <v>16849</v>
      </c>
      <c r="D2062" s="2" t="inlineStr">
        <is>
          <t>Crema Capilar Sedal Reconstrucción Estructural 300 Ml</t>
        </is>
      </c>
      <c r="E2062" s="2" t="inlineStr">
        <is>
          <t>SEDAL</t>
        </is>
      </c>
      <c r="F2062" s="2" t="n">
        <v>205.99</v>
      </c>
      <c r="G2062" s="2" t="n">
        <v>17024</v>
      </c>
      <c r="H2062" s="2" t="b">
        <v>0</v>
      </c>
      <c r="I2062" s="2" t="n">
        <v>300</v>
      </c>
      <c r="J2062" s="2" t="n">
        <v>0.6866</v>
      </c>
      <c r="K2062" s="2" t="inlineStr">
        <is>
          <t>&gt; Perfumería &gt; Cuidado Capilar &gt; Reparación y Tratamientos &gt;</t>
        </is>
      </c>
      <c r="L2062" s="2" t="inlineStr">
        <is>
          <t>shampoo</t>
        </is>
      </c>
      <c r="M2062" s="2" t="inlineStr">
        <is>
          <t>estandar</t>
        </is>
      </c>
      <c r="N2062" s="2" t="inlineStr">
        <is>
          <t>general</t>
        </is>
      </c>
      <c r="O2062" s="2" t="inlineStr">
        <is>
          <t>https://www.jumbo.com.ar/crema-capilar-sedal-reconstruccion-estructural-300-ml/p</t>
        </is>
      </c>
    </row>
    <row r="2063">
      <c r="A2063" t="inlineStr">
        <is>
          <t>Jumbo</t>
        </is>
      </c>
      <c r="B2063" t="n">
        <v>19682</v>
      </c>
      <c r="C2063" t="n">
        <v>16847</v>
      </c>
      <c r="D2063" t="inlineStr">
        <is>
          <t>Crema para Peinar Liso Perfecto 300 Ml Sedal</t>
        </is>
      </c>
      <c r="E2063" t="inlineStr">
        <is>
          <t>SEDAL</t>
        </is>
      </c>
      <c r="F2063" t="n">
        <v>732.9299999999999</v>
      </c>
      <c r="G2063" t="n">
        <v>60573</v>
      </c>
      <c r="H2063" t="b">
        <v>0</v>
      </c>
      <c r="I2063" t="n">
        <v>300</v>
      </c>
      <c r="J2063" t="n">
        <v>2.4431</v>
      </c>
      <c r="K2063" t="inlineStr">
        <is>
          <t>&gt; Perfumería &gt; Cuidado Capilar &gt; Reparación y Tratamientos &gt;</t>
        </is>
      </c>
      <c r="L2063" t="inlineStr">
        <is>
          <t>shampoo</t>
        </is>
      </c>
      <c r="M2063" t="inlineStr">
        <is>
          <t>estandar</t>
        </is>
      </c>
      <c r="N2063" t="inlineStr">
        <is>
          <t>general</t>
        </is>
      </c>
      <c r="O2063" t="inlineStr">
        <is>
          <t>https://www.jumbo.com.ar/crema-de-peinar-sedal-liso-perfecto-300-ml/p</t>
        </is>
      </c>
    </row>
    <row r="2064">
      <c r="A2064" s="2" t="inlineStr">
        <is>
          <t>Jumbo</t>
        </is>
      </c>
      <c r="B2064" s="2" t="n">
        <v>19673</v>
      </c>
      <c r="C2064" s="2" t="n">
        <v>16838</v>
      </c>
      <c r="D2064" s="2" t="inlineStr">
        <is>
          <t>Acondicionador Sedal Bomba De Nutrición 650 Ml</t>
        </is>
      </c>
      <c r="E2064" s="2" t="inlineStr">
        <is>
          <t>SEDAL</t>
        </is>
      </c>
      <c r="F2064" s="2" t="n">
        <v>227.35</v>
      </c>
      <c r="G2064" s="2" t="n">
        <v>18789</v>
      </c>
      <c r="H2064" s="2" t="b">
        <v>0</v>
      </c>
      <c r="I2064" s="2" t="n">
        <v>650</v>
      </c>
      <c r="J2064" s="2" t="n">
        <v>0.3498</v>
      </c>
      <c r="K2064" s="2" t="inlineStr">
        <is>
          <t>&gt; Perfumería &gt; Cuidado Capilar &gt; Acondicionador &gt;</t>
        </is>
      </c>
      <c r="L2064" s="2" t="inlineStr">
        <is>
          <t>acondicionador</t>
        </is>
      </c>
      <c r="M2064" s="2" t="inlineStr">
        <is>
          <t>estandar</t>
        </is>
      </c>
      <c r="N2064" s="2" t="inlineStr">
        <is>
          <t>general</t>
        </is>
      </c>
      <c r="O2064" s="2" t="inlineStr">
        <is>
          <t>https://www.jumbo.com.ar/acondicionador-sedal-bomba-de-nutricion-650-ml/p</t>
        </is>
      </c>
    </row>
    <row r="2065">
      <c r="A2065" t="inlineStr">
        <is>
          <t>Jumbo</t>
        </is>
      </c>
      <c r="B2065" t="n">
        <v>19671</v>
      </c>
      <c r="C2065" t="n">
        <v>16836</v>
      </c>
      <c r="D2065" t="inlineStr">
        <is>
          <t>Shampoo Sedal Bomba De Nutrición 650ml</t>
        </is>
      </c>
      <c r="E2065" t="inlineStr">
        <is>
          <t>SEDAL</t>
        </is>
      </c>
      <c r="F2065" t="n">
        <v>246.25</v>
      </c>
      <c r="G2065" t="n">
        <v>20351</v>
      </c>
      <c r="H2065" t="b">
        <v>0</v>
      </c>
      <c r="I2065" t="n">
        <v>650</v>
      </c>
      <c r="J2065" t="n">
        <v>0.3788</v>
      </c>
      <c r="K2065" t="inlineStr">
        <is>
          <t>&gt; Perfumería &gt; Cuidado Capilar &gt; Shampoo &gt;</t>
        </is>
      </c>
      <c r="L2065" t="inlineStr">
        <is>
          <t>shampoo</t>
        </is>
      </c>
      <c r="M2065" t="inlineStr">
        <is>
          <t>estandar</t>
        </is>
      </c>
      <c r="N2065" t="inlineStr">
        <is>
          <t>general</t>
        </is>
      </c>
      <c r="O2065" t="inlineStr">
        <is>
          <t>https://www.jumbo.com.ar/shampoo-sedal-bomba-de-nutricion-650ml/p</t>
        </is>
      </c>
    </row>
    <row r="2066">
      <c r="A2066" s="2" t="inlineStr">
        <is>
          <t>Jumbo</t>
        </is>
      </c>
      <c r="B2066" s="2" t="n">
        <v>19669</v>
      </c>
      <c r="C2066" s="2" t="n">
        <v>16834</v>
      </c>
      <c r="D2066" s="2" t="inlineStr">
        <is>
          <t>Shampoo Sedal Restauración Instantánea 650 Ml</t>
        </is>
      </c>
      <c r="E2066" s="2" t="inlineStr">
        <is>
          <t>SEDAL</t>
        </is>
      </c>
      <c r="F2066" s="2" t="n">
        <v>259.07</v>
      </c>
      <c r="G2066" s="2" t="n">
        <v>21411</v>
      </c>
      <c r="H2066" s="2" t="b">
        <v>0</v>
      </c>
      <c r="I2066" s="2" t="n">
        <v>650</v>
      </c>
      <c r="J2066" s="2" t="n">
        <v>0.3986</v>
      </c>
      <c r="K2066" s="2" t="inlineStr">
        <is>
          <t>&gt; Perfumería &gt; Cuidado Capilar &gt; Shampoo &gt;</t>
        </is>
      </c>
      <c r="L2066" s="2" t="inlineStr">
        <is>
          <t>shampoo</t>
        </is>
      </c>
      <c r="M2066" s="2" t="inlineStr">
        <is>
          <t>estandar</t>
        </is>
      </c>
      <c r="N2066" s="2" t="inlineStr">
        <is>
          <t>general</t>
        </is>
      </c>
      <c r="O2066" s="2" t="inlineStr">
        <is>
          <t>https://www.jumbo.com.ar/shampoo-sedal-restauracion-instantanea-650-ml/p</t>
        </is>
      </c>
    </row>
    <row r="2067">
      <c r="A2067" t="inlineStr">
        <is>
          <t>Jumbo</t>
        </is>
      </c>
      <c r="B2067" t="n">
        <v>19663</v>
      </c>
      <c r="C2067" t="n">
        <v>16827</v>
      </c>
      <c r="D2067" t="inlineStr">
        <is>
          <t>Acondicionador Sedal Bomba De Nutrición 340 Ml</t>
        </is>
      </c>
      <c r="E2067" t="inlineStr">
        <is>
          <t>SEDAL</t>
        </is>
      </c>
      <c r="F2067" t="n">
        <v>400</v>
      </c>
      <c r="G2067" t="n">
        <v>33058</v>
      </c>
      <c r="H2067" t="b">
        <v>0</v>
      </c>
      <c r="I2067" t="n">
        <v>340</v>
      </c>
      <c r="J2067" t="n">
        <v>1.1765</v>
      </c>
      <c r="K2067" t="inlineStr">
        <is>
          <t>&gt; Perfumería &gt; Cuidado Capilar &gt; Acondicionador &gt;</t>
        </is>
      </c>
      <c r="L2067" t="inlineStr">
        <is>
          <t>acondicionador</t>
        </is>
      </c>
      <c r="M2067" t="inlineStr">
        <is>
          <t>estandar</t>
        </is>
      </c>
      <c r="N2067" t="inlineStr">
        <is>
          <t>general</t>
        </is>
      </c>
      <c r="O2067" t="inlineStr">
        <is>
          <t>https://www.jumbo.com.ar/acondicionador-sedal-bomba-de-nutricion-340-ml/p</t>
        </is>
      </c>
    </row>
    <row r="2068">
      <c r="A2068" s="2" t="inlineStr">
        <is>
          <t>Jumbo</t>
        </is>
      </c>
      <c r="B2068" s="2" t="n">
        <v>19646</v>
      </c>
      <c r="C2068" s="2" t="n">
        <v>16808</v>
      </c>
      <c r="D2068" s="2" t="inlineStr">
        <is>
          <t>Acondicionador Sedal Pureza Refrescante 190 Ml</t>
        </is>
      </c>
      <c r="E2068" s="2" t="inlineStr">
        <is>
          <t>SEDAL</t>
        </is>
      </c>
      <c r="F2068" s="2" t="n">
        <v>130.65</v>
      </c>
      <c r="G2068" s="2" t="n">
        <v>10798</v>
      </c>
      <c r="H2068" s="2" t="b">
        <v>0</v>
      </c>
      <c r="I2068" s="2" t="n">
        <v>190</v>
      </c>
      <c r="J2068" s="2" t="n">
        <v>0.6876</v>
      </c>
      <c r="K2068" s="2" t="inlineStr">
        <is>
          <t>&gt; Perfumería &gt; Cuidado Capilar &gt; Acondicionador &gt;</t>
        </is>
      </c>
      <c r="L2068" s="2" t="inlineStr">
        <is>
          <t>acondicionador</t>
        </is>
      </c>
      <c r="M2068" s="2" t="inlineStr">
        <is>
          <t>estandar</t>
        </is>
      </c>
      <c r="N2068" s="2" t="inlineStr">
        <is>
          <t>general</t>
        </is>
      </c>
      <c r="O2068" s="2" t="inlineStr">
        <is>
          <t>https://www.jumbo.com.ar/acondicionador-sedal-pureza-refrescante-190-ml/p</t>
        </is>
      </c>
    </row>
    <row r="2069">
      <c r="A2069" t="inlineStr">
        <is>
          <t>Jumbo</t>
        </is>
      </c>
      <c r="B2069" t="n">
        <v>19644</v>
      </c>
      <c r="C2069" t="n">
        <v>16806</v>
      </c>
      <c r="D2069" t="inlineStr">
        <is>
          <t>Acondicionador Sedal Restauración Instantánea 190 Ml</t>
        </is>
      </c>
      <c r="E2069" t="inlineStr">
        <is>
          <t>SEDAL</t>
        </is>
      </c>
      <c r="F2069" t="n">
        <v>130.65</v>
      </c>
      <c r="G2069" t="n">
        <v>10798</v>
      </c>
      <c r="H2069" t="b">
        <v>0</v>
      </c>
      <c r="I2069" t="n">
        <v>190</v>
      </c>
      <c r="J2069" t="n">
        <v>0.6876</v>
      </c>
      <c r="K2069" t="inlineStr">
        <is>
          <t>&gt; Perfumería &gt; Cuidado Capilar &gt; Acondicionador &gt;</t>
        </is>
      </c>
      <c r="L2069" t="inlineStr">
        <is>
          <t>acondicionador</t>
        </is>
      </c>
      <c r="M2069" t="inlineStr">
        <is>
          <t>estandar</t>
        </is>
      </c>
      <c r="N2069" t="inlineStr">
        <is>
          <t>general</t>
        </is>
      </c>
      <c r="O2069" t="inlineStr">
        <is>
          <t>https://www.jumbo.com.ar/acondicionador-sedal-restauracion-instantanea-190-ml/p</t>
        </is>
      </c>
    </row>
    <row r="2070">
      <c r="A2070" s="2" t="inlineStr">
        <is>
          <t>Jumbo</t>
        </is>
      </c>
      <c r="B2070" s="2" t="n">
        <v>19640</v>
      </c>
      <c r="C2070" s="2" t="n">
        <v>16801</v>
      </c>
      <c r="D2070" s="2" t="inlineStr">
        <is>
          <t>Acondicionador Sedal Crema Balance 190 Ml</t>
        </is>
      </c>
      <c r="E2070" s="2" t="inlineStr">
        <is>
          <t>SEDAL</t>
        </is>
      </c>
      <c r="F2070" s="2" t="n">
        <v>134.55</v>
      </c>
      <c r="G2070" s="2" t="n">
        <v>11120</v>
      </c>
      <c r="H2070" s="2" t="b">
        <v>0</v>
      </c>
      <c r="I2070" s="2" t="n">
        <v>190</v>
      </c>
      <c r="J2070" s="2" t="n">
        <v>0.7082000000000001</v>
      </c>
      <c r="K2070" s="2" t="inlineStr">
        <is>
          <t>&gt; Perfumería &gt; Cuidado Capilar &gt; Acondicionador &gt;</t>
        </is>
      </c>
      <c r="L2070" s="2" t="inlineStr">
        <is>
          <t>acondicionador</t>
        </is>
      </c>
      <c r="M2070" s="2" t="inlineStr">
        <is>
          <t>estandar</t>
        </is>
      </c>
      <c r="N2070" s="2" t="inlineStr">
        <is>
          <t>general</t>
        </is>
      </c>
      <c r="O2070" s="2" t="inlineStr">
        <is>
          <t>https://www.jumbo.com.ar/acondicionador-sedal-crema-balance-190-ml/p</t>
        </is>
      </c>
    </row>
    <row r="2071">
      <c r="A2071" t="inlineStr">
        <is>
          <t>Jumbo</t>
        </is>
      </c>
      <c r="B2071" t="n">
        <v>19553</v>
      </c>
      <c r="C2071" t="n">
        <v>16711</v>
      </c>
      <c r="D2071" t="inlineStr">
        <is>
          <t>Shampoo Sedal Restauración Instantánea 190 Ml</t>
        </is>
      </c>
      <c r="E2071" t="inlineStr">
        <is>
          <t>SEDAL</t>
        </is>
      </c>
      <c r="F2071" t="n">
        <v>300</v>
      </c>
      <c r="G2071" t="n">
        <v>24793</v>
      </c>
      <c r="H2071" t="b">
        <v>0</v>
      </c>
      <c r="I2071" t="n">
        <v>190</v>
      </c>
      <c r="J2071" t="n">
        <v>1.5789</v>
      </c>
      <c r="K2071" t="inlineStr">
        <is>
          <t>&gt; Perfumería &gt; Cuidado Capilar &gt; Shampoo &gt;</t>
        </is>
      </c>
      <c r="L2071" t="inlineStr">
        <is>
          <t>shampoo</t>
        </is>
      </c>
      <c r="M2071" t="inlineStr">
        <is>
          <t>estandar</t>
        </is>
      </c>
      <c r="N2071" t="inlineStr">
        <is>
          <t>general</t>
        </is>
      </c>
      <c r="O2071" t="inlineStr">
        <is>
          <t>https://www.jumbo.com.ar/shampoo-sedal-restauracion-instantanea-190-ml/p</t>
        </is>
      </c>
    </row>
    <row r="2072">
      <c r="A2072" s="2" t="inlineStr">
        <is>
          <t>Jumbo</t>
        </is>
      </c>
      <c r="B2072" s="2" t="n">
        <v>19549</v>
      </c>
      <c r="C2072" s="2" t="n">
        <v>16706</v>
      </c>
      <c r="D2072" s="2" t="inlineStr">
        <is>
          <t>Shampoo Sedal Rizos Definidos 190 Ml</t>
        </is>
      </c>
      <c r="E2072" s="2" t="inlineStr">
        <is>
          <t>SEDAL</t>
        </is>
      </c>
      <c r="F2072" s="2" t="n">
        <v>166.17</v>
      </c>
      <c r="G2072" s="2" t="n">
        <v>13733</v>
      </c>
      <c r="H2072" s="2" t="b">
        <v>0</v>
      </c>
      <c r="I2072" s="2" t="n">
        <v>190</v>
      </c>
      <c r="J2072" s="2" t="n">
        <v>0.8746</v>
      </c>
      <c r="K2072" s="2" t="inlineStr">
        <is>
          <t>&gt; Perfumería &gt; Cuidado Capilar &gt; Shampoo &gt;</t>
        </is>
      </c>
      <c r="L2072" s="2" t="inlineStr">
        <is>
          <t>shampoo</t>
        </is>
      </c>
      <c r="M2072" s="2" t="inlineStr">
        <is>
          <t>estandar</t>
        </is>
      </c>
      <c r="N2072" s="2" t="inlineStr">
        <is>
          <t>rizado</t>
        </is>
      </c>
      <c r="O2072" s="2" t="inlineStr">
        <is>
          <t>https://www.jumbo.com.ar/shampoo-sedal-rizos-definidos-190-ml/p</t>
        </is>
      </c>
    </row>
    <row r="2073">
      <c r="A2073" t="inlineStr">
        <is>
          <t>Jumbo</t>
        </is>
      </c>
      <c r="B2073" t="n">
        <v>19547</v>
      </c>
      <c r="C2073" t="n">
        <v>16704</v>
      </c>
      <c r="D2073" t="inlineStr">
        <is>
          <t>Shampoo Sedal Liso Perfecto 190 Ml</t>
        </is>
      </c>
      <c r="E2073" t="inlineStr">
        <is>
          <t>SEDAL</t>
        </is>
      </c>
      <c r="F2073" t="n">
        <v>166.17</v>
      </c>
      <c r="G2073" t="n">
        <v>13733</v>
      </c>
      <c r="H2073" t="b">
        <v>0</v>
      </c>
      <c r="I2073" t="n">
        <v>190</v>
      </c>
      <c r="J2073" t="n">
        <v>0.8746</v>
      </c>
      <c r="K2073" t="inlineStr">
        <is>
          <t>&gt; Perfumería &gt; Cuidado Capilar &gt; Shampoo &gt;</t>
        </is>
      </c>
      <c r="L2073" t="inlineStr">
        <is>
          <t>shampoo</t>
        </is>
      </c>
      <c r="M2073" t="inlineStr">
        <is>
          <t>estandar</t>
        </is>
      </c>
      <c r="N2073" t="inlineStr">
        <is>
          <t>general</t>
        </is>
      </c>
      <c r="O2073" t="inlineStr">
        <is>
          <t>https://www.jumbo.com.ar/shampoo-sedal-liso-perfecto-190-ml/p</t>
        </is>
      </c>
    </row>
    <row r="2074">
      <c r="A2074" s="2" t="inlineStr">
        <is>
          <t>Jumbo</t>
        </is>
      </c>
      <c r="B2074" s="2" t="n">
        <v>3366</v>
      </c>
      <c r="C2074" s="2" t="n">
        <v>16850</v>
      </c>
      <c r="D2074" s="2" t="inlineStr">
        <is>
          <t>Crema De Peinar Sedal Botella Crecimiento Saludable 300 Ml</t>
        </is>
      </c>
      <c r="E2074" s="2" t="inlineStr">
        <is>
          <t>SEDAL</t>
        </is>
      </c>
      <c r="F2074" s="2" t="n">
        <v>48.87</v>
      </c>
      <c r="G2074" s="2" t="n">
        <v>4039</v>
      </c>
      <c r="H2074" s="2" t="b">
        <v>0</v>
      </c>
      <c r="I2074" s="2" t="n">
        <v>300</v>
      </c>
      <c r="J2074" s="2" t="n">
        <v>0.1629</v>
      </c>
      <c r="K2074" s="2" t="inlineStr">
        <is>
          <t>&gt; Perfumería &gt; Cuidado Capilar &gt; Reparación y Tratamientos &gt;</t>
        </is>
      </c>
      <c r="L2074" s="2" t="inlineStr">
        <is>
          <t>shampoo</t>
        </is>
      </c>
      <c r="M2074" s="2" t="inlineStr">
        <is>
          <t>estandar</t>
        </is>
      </c>
      <c r="N2074" s="2" t="inlineStr">
        <is>
          <t>general</t>
        </is>
      </c>
      <c r="O2074" s="2" t="inlineStr">
        <is>
          <t>https://www.jumbo.com.ar/sedal-crema-peinar-botella-crecimiento-saludable-300ml/p</t>
        </is>
      </c>
    </row>
    <row r="2075">
      <c r="A2075" t="inlineStr">
        <is>
          <t>Jumbo</t>
        </is>
      </c>
      <c r="B2075" t="n">
        <v>341813</v>
      </c>
      <c r="C2075" t="n">
        <v>340500</v>
      </c>
      <c r="D2075" t="inlineStr">
        <is>
          <t>Shampoo Head&amp;shoulders Scalp Care 375ml</t>
        </is>
      </c>
      <c r="E2075" t="inlineStr">
        <is>
          <t>HEAD &amp; SHOULDERS</t>
        </is>
      </c>
      <c r="F2075" t="n">
        <v>725.59</v>
      </c>
      <c r="G2075" t="n">
        <v>59966</v>
      </c>
      <c r="H2075" t="b">
        <v>0</v>
      </c>
      <c r="I2075" t="n">
        <v>375</v>
      </c>
      <c r="J2075" t="n">
        <v>1.9349</v>
      </c>
      <c r="K2075" t="inlineStr">
        <is>
          <t>&gt; Perfumería &gt; Cuidado Capilar &gt; Shampoo &gt;</t>
        </is>
      </c>
      <c r="L2075" t="inlineStr">
        <is>
          <t>shampoo</t>
        </is>
      </c>
      <c r="M2075" t="inlineStr">
        <is>
          <t>estandar</t>
        </is>
      </c>
      <c r="N2075" t="inlineStr">
        <is>
          <t>general</t>
        </is>
      </c>
      <c r="O2075" t="inlineStr">
        <is>
          <t>https://www.jumbo.com.ar/shampoo-head-shoulders-scalp-care-375ml-2/p</t>
        </is>
      </c>
    </row>
    <row r="2076">
      <c r="A2076" s="2" t="inlineStr">
        <is>
          <t>Jumbo</t>
        </is>
      </c>
      <c r="B2076" s="2" t="n">
        <v>386618</v>
      </c>
      <c r="C2076" s="2" t="n">
        <v>384897</v>
      </c>
      <c r="D2076" s="2" t="inlineStr">
        <is>
          <t>Shampoo Head&amp;shoulders Men 3en1 375ml</t>
        </is>
      </c>
      <c r="E2076" s="2" t="inlineStr">
        <is>
          <t>HEAD &amp; SHOULDERS</t>
        </is>
      </c>
      <c r="F2076" s="2" t="n">
        <v>7927.19</v>
      </c>
      <c r="G2076" s="2" t="n">
        <v>655140</v>
      </c>
      <c r="H2076" s="2" t="b">
        <v>0</v>
      </c>
      <c r="I2076" s="2" t="n">
        <v>375</v>
      </c>
      <c r="J2076" s="2" t="n">
        <v>21.1392</v>
      </c>
      <c r="K2076" s="2" t="inlineStr">
        <is>
          <t>&gt; Perfumería &gt; Cuidado Capilar &gt; Shampoo &gt;</t>
        </is>
      </c>
      <c r="L2076" s="2" t="inlineStr">
        <is>
          <t>shampoo</t>
        </is>
      </c>
      <c r="M2076" s="2" t="inlineStr">
        <is>
          <t>estandar</t>
        </is>
      </c>
      <c r="N2076" s="2" t="inlineStr">
        <is>
          <t>general</t>
        </is>
      </c>
      <c r="O2076" s="2" t="inlineStr">
        <is>
          <t>https://www.jumbo.com.ar/shampoo-head-shoulders-men-3en1-375ml/p</t>
        </is>
      </c>
    </row>
    <row r="2077">
      <c r="A2077" t="inlineStr">
        <is>
          <t>Jumbo</t>
        </is>
      </c>
      <c r="B2077" t="n">
        <v>344024</v>
      </c>
      <c r="C2077" t="n">
        <v>342709</v>
      </c>
      <c r="D2077" t="inlineStr">
        <is>
          <t>Shampoo Head&amp;shoulders Scalp Care 180ml.</t>
        </is>
      </c>
      <c r="E2077" t="inlineStr">
        <is>
          <t>HEAD &amp; SHOULDERS</t>
        </is>
      </c>
      <c r="F2077" t="n">
        <v>449.43</v>
      </c>
      <c r="G2077" t="n">
        <v>37143</v>
      </c>
      <c r="H2077" t="b">
        <v>0</v>
      </c>
      <c r="I2077" t="n">
        <v>180</v>
      </c>
      <c r="J2077" t="n">
        <v>2.4968</v>
      </c>
      <c r="K2077" t="inlineStr">
        <is>
          <t>&gt; Perfumería &gt; Cuidado Capilar &gt; Shampoo &gt;</t>
        </is>
      </c>
      <c r="L2077" t="inlineStr">
        <is>
          <t>shampoo</t>
        </is>
      </c>
      <c r="M2077" t="inlineStr">
        <is>
          <t>estandar</t>
        </is>
      </c>
      <c r="N2077" t="inlineStr">
        <is>
          <t>general</t>
        </is>
      </c>
      <c r="O2077" t="inlineStr">
        <is>
          <t>https://www.jumbo.com.ar/shampoo-head-shoulders-scalp-care-180ml-2/p</t>
        </is>
      </c>
    </row>
    <row r="2078">
      <c r="A2078" s="2" t="inlineStr">
        <is>
          <t>Jumbo</t>
        </is>
      </c>
      <c r="B2078" s="2" t="n">
        <v>341817</v>
      </c>
      <c r="C2078" s="2" t="n">
        <v>340504</v>
      </c>
      <c r="D2078" s="2" t="inlineStr">
        <is>
          <t>Shampoo Head&amp;shoulders Scalp Care Carbon 180ml</t>
        </is>
      </c>
      <c r="E2078" s="2" t="inlineStr">
        <is>
          <t>HEAD &amp; SHOULDERS</t>
        </is>
      </c>
      <c r="F2078" s="2" t="n">
        <v>449.43</v>
      </c>
      <c r="G2078" s="2" t="n">
        <v>37143</v>
      </c>
      <c r="H2078" s="2" t="b">
        <v>0</v>
      </c>
      <c r="I2078" s="2" t="n">
        <v>180</v>
      </c>
      <c r="J2078" s="2" t="n">
        <v>2.4968</v>
      </c>
      <c r="K2078" s="2" t="inlineStr">
        <is>
          <t>&gt; Perfumería &gt; Cuidado Capilar &gt; Shampoo &gt;</t>
        </is>
      </c>
      <c r="L2078" s="2" t="inlineStr">
        <is>
          <t>shampoo</t>
        </is>
      </c>
      <c r="M2078" s="2" t="inlineStr">
        <is>
          <t>estandar</t>
        </is>
      </c>
      <c r="N2078" s="2" t="inlineStr">
        <is>
          <t>general</t>
        </is>
      </c>
      <c r="O2078" s="2" t="inlineStr">
        <is>
          <t>https://www.jumbo.com.ar/shampoo-head-shoulders-scalp-care-carbon-180ml-2/p</t>
        </is>
      </c>
    </row>
    <row r="2079">
      <c r="A2079" t="inlineStr">
        <is>
          <t>Jumbo</t>
        </is>
      </c>
      <c r="B2079" t="n">
        <v>341802</v>
      </c>
      <c r="C2079" t="n">
        <v>340489</v>
      </c>
      <c r="D2079" t="inlineStr">
        <is>
          <t>Shampoo Head&amp;shoulders Scalp Care Humect 375ml</t>
        </is>
      </c>
      <c r="E2079" t="inlineStr">
        <is>
          <t>HEAD &amp; SHOULDERS</t>
        </is>
      </c>
      <c r="F2079" t="n">
        <v>725.59</v>
      </c>
      <c r="G2079" t="n">
        <v>59966</v>
      </c>
      <c r="H2079" t="b">
        <v>0</v>
      </c>
      <c r="I2079" t="n">
        <v>375</v>
      </c>
      <c r="J2079" t="n">
        <v>1.9349</v>
      </c>
      <c r="K2079" t="inlineStr">
        <is>
          <t>&gt; Perfumería &gt; Cuidado Capilar &gt; Shampoo &gt;</t>
        </is>
      </c>
      <c r="L2079" t="inlineStr">
        <is>
          <t>shampoo</t>
        </is>
      </c>
      <c r="M2079" t="inlineStr">
        <is>
          <t>estandar</t>
        </is>
      </c>
      <c r="N2079" t="inlineStr">
        <is>
          <t>general</t>
        </is>
      </c>
      <c r="O2079" t="inlineStr">
        <is>
          <t>https://www.jumbo.com.ar/shampoo-head-shoulders-scalp-care-humect-375ml-2/p</t>
        </is>
      </c>
    </row>
    <row r="2080">
      <c r="A2080" s="2" t="inlineStr">
        <is>
          <t>Jumbo</t>
        </is>
      </c>
      <c r="B2080" s="2" t="n">
        <v>341798</v>
      </c>
      <c r="C2080" s="2" t="n">
        <v>340485</v>
      </c>
      <c r="D2080" s="2" t="inlineStr">
        <is>
          <t>Shampoo Head&amp;shoulders Scalp Care Humect 180ml</t>
        </is>
      </c>
      <c r="E2080" s="2" t="inlineStr">
        <is>
          <t>HEAD &amp; SHOULDERS</t>
        </is>
      </c>
      <c r="F2080" s="2" t="n">
        <v>449.43</v>
      </c>
      <c r="G2080" s="2" t="n">
        <v>37143</v>
      </c>
      <c r="H2080" s="2" t="b">
        <v>0</v>
      </c>
      <c r="I2080" s="2" t="n">
        <v>180</v>
      </c>
      <c r="J2080" s="2" t="n">
        <v>2.4968</v>
      </c>
      <c r="K2080" s="2" t="inlineStr">
        <is>
          <t>&gt; Perfumería &gt; Cuidado Capilar &gt; Shampoo &gt;</t>
        </is>
      </c>
      <c r="L2080" s="2" t="inlineStr">
        <is>
          <t>shampoo</t>
        </is>
      </c>
      <c r="M2080" s="2" t="inlineStr">
        <is>
          <t>estandar</t>
        </is>
      </c>
      <c r="N2080" s="2" t="inlineStr">
        <is>
          <t>general</t>
        </is>
      </c>
      <c r="O2080" s="2" t="inlineStr">
        <is>
          <t>https://www.jumbo.com.ar/shampoo-head-shoulders-scalp-care-humect-180ml-2/p</t>
        </is>
      </c>
    </row>
    <row r="2081">
      <c r="A2081" t="inlineStr">
        <is>
          <t>Jumbo</t>
        </is>
      </c>
      <c r="B2081" t="n">
        <v>341818</v>
      </c>
      <c r="C2081" t="n">
        <v>340505</v>
      </c>
      <c r="D2081" t="inlineStr">
        <is>
          <t>Shampoo Head&amp;shoulders Scalp Care Carbon 375ml</t>
        </is>
      </c>
      <c r="E2081" t="inlineStr">
        <is>
          <t>HEAD &amp; SHOULDERS</t>
        </is>
      </c>
      <c r="F2081" t="n">
        <v>725.59</v>
      </c>
      <c r="G2081" t="n">
        <v>59966</v>
      </c>
      <c r="H2081" t="b">
        <v>0</v>
      </c>
      <c r="I2081" t="n">
        <v>375</v>
      </c>
      <c r="J2081" t="n">
        <v>1.9349</v>
      </c>
      <c r="K2081" t="inlineStr">
        <is>
          <t>&gt; Perfumería &gt; Cuidado Capilar &gt; Shampoo &gt;</t>
        </is>
      </c>
      <c r="L2081" t="inlineStr">
        <is>
          <t>shampoo</t>
        </is>
      </c>
      <c r="M2081" t="inlineStr">
        <is>
          <t>estandar</t>
        </is>
      </c>
      <c r="N2081" t="inlineStr">
        <is>
          <t>general</t>
        </is>
      </c>
      <c r="O2081" t="inlineStr">
        <is>
          <t>https://www.jumbo.com.ar/shampoo-head-shoulders-scalp-care-carbon-375ml-2/p</t>
        </is>
      </c>
    </row>
    <row r="2082">
      <c r="A2082" s="2" t="inlineStr">
        <is>
          <t>Jumbo</t>
        </is>
      </c>
      <c r="B2082" s="2" t="n">
        <v>341815</v>
      </c>
      <c r="C2082" s="2" t="n">
        <v>340502</v>
      </c>
      <c r="D2082" s="2" t="inlineStr">
        <is>
          <t>Shampoo Head&amp;shoulders Scalp Care Carbon 700ml</t>
        </is>
      </c>
      <c r="E2082" s="2" t="inlineStr">
        <is>
          <t>HEAD &amp; SHOULDERS</t>
        </is>
      </c>
      <c r="F2082" s="2" t="n">
        <v>1115.39</v>
      </c>
      <c r="G2082" s="2" t="n">
        <v>92181</v>
      </c>
      <c r="H2082" s="2" t="b">
        <v>0</v>
      </c>
      <c r="I2082" s="2" t="n">
        <v>700</v>
      </c>
      <c r="J2082" s="2" t="n">
        <v>1.5934</v>
      </c>
      <c r="K2082" s="2" t="inlineStr">
        <is>
          <t>&gt; Perfumería &gt; Cuidado Capilar &gt; Shampoo &gt;</t>
        </is>
      </c>
      <c r="L2082" s="2" t="inlineStr">
        <is>
          <t>shampoo</t>
        </is>
      </c>
      <c r="M2082" s="2" t="inlineStr">
        <is>
          <t>estandar</t>
        </is>
      </c>
      <c r="N2082" s="2" t="inlineStr">
        <is>
          <t>general</t>
        </is>
      </c>
      <c r="O2082" s="2" t="inlineStr">
        <is>
          <t>https://www.jumbo.com.ar/shampoo-head-shoulders-scalp-care-carbon-700ml-2/p</t>
        </is>
      </c>
    </row>
    <row r="2083">
      <c r="A2083" t="inlineStr">
        <is>
          <t>Jumbo</t>
        </is>
      </c>
      <c r="B2083" t="n">
        <v>341804</v>
      </c>
      <c r="C2083" t="n">
        <v>340491</v>
      </c>
      <c r="D2083" t="inlineStr">
        <is>
          <t>Shampoo Head&amp;shoulders Scalp Care Coco 375ml</t>
        </is>
      </c>
      <c r="E2083" t="inlineStr">
        <is>
          <t>HEAD &amp; SHOULDERS</t>
        </is>
      </c>
      <c r="F2083" t="n">
        <v>725.59</v>
      </c>
      <c r="G2083" t="n">
        <v>59966</v>
      </c>
      <c r="H2083" t="b">
        <v>0</v>
      </c>
      <c r="I2083" t="n">
        <v>375</v>
      </c>
      <c r="J2083" t="n">
        <v>1.9349</v>
      </c>
      <c r="K2083" t="inlineStr">
        <is>
          <t>&gt; Perfumería &gt; Cuidado Capilar &gt; Shampoo &gt;</t>
        </is>
      </c>
      <c r="L2083" t="inlineStr">
        <is>
          <t>shampoo</t>
        </is>
      </c>
      <c r="M2083" t="inlineStr">
        <is>
          <t>estandar</t>
        </is>
      </c>
      <c r="N2083" t="inlineStr">
        <is>
          <t>general</t>
        </is>
      </c>
      <c r="O2083" t="inlineStr">
        <is>
          <t>https://www.jumbo.com.ar/shampoo-head-shoulders-scalp-care-coco-375ml-2/p</t>
        </is>
      </c>
    </row>
    <row r="2084">
      <c r="A2084" s="2" t="inlineStr">
        <is>
          <t>Jumbo</t>
        </is>
      </c>
      <c r="B2084" s="2" t="n">
        <v>341800</v>
      </c>
      <c r="C2084" s="2" t="n">
        <v>340487</v>
      </c>
      <c r="D2084" s="2" t="inlineStr">
        <is>
          <t>Shampoo Head&amp;shoulders Scalp Care Manzana 180m</t>
        </is>
      </c>
      <c r="E2084" s="2" t="inlineStr">
        <is>
          <t>HEAD &amp; SHOULDERS</t>
        </is>
      </c>
      <c r="F2084" s="2" t="n">
        <v>449.43</v>
      </c>
      <c r="G2084" s="2" t="n">
        <v>37143</v>
      </c>
      <c r="H2084" s="2" t="b">
        <v>0</v>
      </c>
      <c r="I2084" s="2" t="inlineStr"/>
      <c r="J2084" s="2" t="inlineStr"/>
      <c r="K2084" s="2" t="inlineStr">
        <is>
          <t>&gt; Perfumería &gt; Cuidado Capilar &gt; Shampoo &gt;</t>
        </is>
      </c>
      <c r="L2084" s="2" t="inlineStr">
        <is>
          <t>shampoo</t>
        </is>
      </c>
      <c r="M2084" s="2" t="inlineStr">
        <is>
          <t>estandar</t>
        </is>
      </c>
      <c r="N2084" s="2" t="inlineStr">
        <is>
          <t>general</t>
        </is>
      </c>
      <c r="O2084" s="2" t="inlineStr">
        <is>
          <t>https://www.jumbo.com.ar/shampoo-head-shoulders-scalp-care-manzana-180m/p</t>
        </is>
      </c>
    </row>
    <row r="2085">
      <c r="A2085" t="inlineStr">
        <is>
          <t>Jumbo</t>
        </is>
      </c>
      <c r="B2085" t="n">
        <v>341795</v>
      </c>
      <c r="C2085" t="n">
        <v>340482</v>
      </c>
      <c r="D2085" t="inlineStr">
        <is>
          <t>Shampoo Head&amp;shoulders Scalp Care Coco 700ml</t>
        </is>
      </c>
      <c r="E2085" t="inlineStr">
        <is>
          <t>HEAD &amp; SHOULDERS</t>
        </is>
      </c>
      <c r="F2085" t="n">
        <v>1115.39</v>
      </c>
      <c r="G2085" t="n">
        <v>92181</v>
      </c>
      <c r="H2085" t="b">
        <v>0</v>
      </c>
      <c r="I2085" t="n">
        <v>700</v>
      </c>
      <c r="J2085" t="n">
        <v>1.5934</v>
      </c>
      <c r="K2085" t="inlineStr">
        <is>
          <t>&gt; Perfumería &gt; Cuidado Capilar &gt; Shampoo &gt;</t>
        </is>
      </c>
      <c r="L2085" t="inlineStr">
        <is>
          <t>shampoo</t>
        </is>
      </c>
      <c r="M2085" t="inlineStr">
        <is>
          <t>estandar</t>
        </is>
      </c>
      <c r="N2085" t="inlineStr">
        <is>
          <t>general</t>
        </is>
      </c>
      <c r="O2085" t="inlineStr">
        <is>
          <t>https://www.jumbo.com.ar/shampoo-head-shoulders-scalp-care-coco-700ml-2/p</t>
        </is>
      </c>
    </row>
    <row r="2086">
      <c r="A2086" s="2" t="inlineStr">
        <is>
          <t>Jumbo</t>
        </is>
      </c>
      <c r="B2086" s="2" t="n">
        <v>341796</v>
      </c>
      <c r="C2086" s="2" t="n">
        <v>340483</v>
      </c>
      <c r="D2086" s="2" t="inlineStr">
        <is>
          <t>Shampoo Head&amp;shoulders Scalp Care Coco 180ml</t>
        </is>
      </c>
      <c r="E2086" s="2" t="inlineStr">
        <is>
          <t>HEAD &amp; SHOULDERS</t>
        </is>
      </c>
      <c r="F2086" s="2" t="n">
        <v>449.43</v>
      </c>
      <c r="G2086" s="2" t="n">
        <v>37143</v>
      </c>
      <c r="H2086" s="2" t="b">
        <v>0</v>
      </c>
      <c r="I2086" s="2" t="n">
        <v>180</v>
      </c>
      <c r="J2086" s="2" t="n">
        <v>2.4968</v>
      </c>
      <c r="K2086" s="2" t="inlineStr">
        <is>
          <t>&gt; Perfumería &gt; Cuidado Capilar &gt; Shampoo &gt;</t>
        </is>
      </c>
      <c r="L2086" s="2" t="inlineStr">
        <is>
          <t>shampoo</t>
        </is>
      </c>
      <c r="M2086" s="2" t="inlineStr">
        <is>
          <t>estandar</t>
        </is>
      </c>
      <c r="N2086" s="2" t="inlineStr">
        <is>
          <t>general</t>
        </is>
      </c>
      <c r="O2086" s="2" t="inlineStr">
        <is>
          <t>https://www.jumbo.com.ar/shampoo-head-shoulders-scalp-care-coco-180ml-2/p</t>
        </is>
      </c>
    </row>
    <row r="2087">
      <c r="A2087" t="inlineStr">
        <is>
          <t>Jumbo</t>
        </is>
      </c>
      <c r="B2087" t="n">
        <v>341794</v>
      </c>
      <c r="C2087" t="n">
        <v>340481</v>
      </c>
      <c r="D2087" t="inlineStr">
        <is>
          <t>Shampoo Head&amp;shoulders Scalp Care Manzana 375m</t>
        </is>
      </c>
      <c r="E2087" t="inlineStr">
        <is>
          <t>HEAD &amp; SHOULDERS</t>
        </is>
      </c>
      <c r="F2087" t="n">
        <v>725.59</v>
      </c>
      <c r="G2087" t="n">
        <v>59966</v>
      </c>
      <c r="H2087" t="b">
        <v>0</v>
      </c>
      <c r="I2087" t="inlineStr"/>
      <c r="J2087" t="inlineStr"/>
      <c r="K2087" t="inlineStr">
        <is>
          <t>&gt; Perfumería &gt; Cuidado Capilar &gt; Shampoo &gt;</t>
        </is>
      </c>
      <c r="L2087" t="inlineStr">
        <is>
          <t>shampoo</t>
        </is>
      </c>
      <c r="M2087" t="inlineStr">
        <is>
          <t>estandar</t>
        </is>
      </c>
      <c r="N2087" t="inlineStr">
        <is>
          <t>general</t>
        </is>
      </c>
      <c r="O2087" t="inlineStr">
        <is>
          <t>https://www.jumbo.com.ar/shampoo-head-shoulders-scalp-care-manzana-375m/p</t>
        </is>
      </c>
    </row>
    <row r="2088">
      <c r="A2088" s="2" t="inlineStr">
        <is>
          <t>Jumbo</t>
        </is>
      </c>
      <c r="B2088" s="2" t="n">
        <v>341793</v>
      </c>
      <c r="C2088" s="2" t="n">
        <v>340480</v>
      </c>
      <c r="D2088" s="2" t="inlineStr">
        <is>
          <t>Shampoo Head&amp;shoulders Scalp Care Manzana 700m</t>
        </is>
      </c>
      <c r="E2088" s="2" t="inlineStr">
        <is>
          <t>HEAD &amp; SHOULDERS</t>
        </is>
      </c>
      <c r="F2088" s="2" t="n">
        <v>1115.39</v>
      </c>
      <c r="G2088" s="2" t="n">
        <v>92181</v>
      </c>
      <c r="H2088" s="2" t="b">
        <v>0</v>
      </c>
      <c r="I2088" s="2" t="inlineStr"/>
      <c r="J2088" s="2" t="inlineStr"/>
      <c r="K2088" s="2" t="inlineStr">
        <is>
          <t>&gt; Perfumería &gt; Cuidado Capilar &gt; Shampoo &gt;</t>
        </is>
      </c>
      <c r="L2088" s="2" t="inlineStr">
        <is>
          <t>shampoo</t>
        </is>
      </c>
      <c r="M2088" s="2" t="inlineStr">
        <is>
          <t>estandar</t>
        </is>
      </c>
      <c r="N2088" s="2" t="inlineStr">
        <is>
          <t>general</t>
        </is>
      </c>
      <c r="O2088" s="2" t="inlineStr">
        <is>
          <t>https://www.jumbo.com.ar/shampoo-head-shoulders-scalp-care-manzana-700m/p</t>
        </is>
      </c>
    </row>
    <row r="2089">
      <c r="A2089" t="inlineStr">
        <is>
          <t>Jumbo</t>
        </is>
      </c>
      <c r="B2089" t="n">
        <v>337363</v>
      </c>
      <c r="C2089" t="n">
        <v>336466</v>
      </c>
      <c r="D2089" t="inlineStr">
        <is>
          <t>Shampoo Head&amp;shoulders  Lr Scalp Care 375</t>
        </is>
      </c>
      <c r="E2089" t="inlineStr">
        <is>
          <t>HEAD &amp; SHOULDERS</t>
        </is>
      </c>
      <c r="F2089" t="n">
        <v>887.27</v>
      </c>
      <c r="G2089" t="n">
        <v>73328</v>
      </c>
      <c r="H2089" t="b">
        <v>0</v>
      </c>
      <c r="I2089" t="inlineStr"/>
      <c r="J2089" t="inlineStr"/>
      <c r="K2089" t="inlineStr">
        <is>
          <t>&gt; Perfumería &gt; Cuidado Capilar &gt; Shampoo &gt;</t>
        </is>
      </c>
      <c r="L2089" t="inlineStr">
        <is>
          <t>shampoo</t>
        </is>
      </c>
      <c r="M2089" t="inlineStr">
        <is>
          <t>estandar</t>
        </is>
      </c>
      <c r="N2089" t="inlineStr">
        <is>
          <t>general</t>
        </is>
      </c>
      <c r="O2089" t="inlineStr">
        <is>
          <t>https://www.jumbo.com.ar/shampoo-head-shoulders-lr-scalp-care-375-2/p</t>
        </is>
      </c>
    </row>
    <row r="2090">
      <c r="A2090" s="2" t="inlineStr">
        <is>
          <t>Jumbo</t>
        </is>
      </c>
      <c r="B2090" s="2" t="n">
        <v>341806</v>
      </c>
      <c r="C2090" s="2" t="n">
        <v>340493</v>
      </c>
      <c r="D2090" s="2" t="inlineStr">
        <is>
          <t>Shampoo Men Head&amp;shoulders Scalp Care Spice 37</t>
        </is>
      </c>
      <c r="E2090" s="2" t="inlineStr">
        <is>
          <t>HEAD &amp; SHOULDERS</t>
        </is>
      </c>
      <c r="F2090" s="2" t="n">
        <v>725.59</v>
      </c>
      <c r="G2090" s="2" t="n">
        <v>59966</v>
      </c>
      <c r="H2090" s="2" t="b">
        <v>0</v>
      </c>
      <c r="I2090" s="2" t="inlineStr"/>
      <c r="J2090" s="2" t="inlineStr"/>
      <c r="K2090" s="2" t="inlineStr">
        <is>
          <t>&gt; Perfumería &gt; Cuidado Capilar &gt; Shampoo &gt;</t>
        </is>
      </c>
      <c r="L2090" s="2" t="inlineStr">
        <is>
          <t>shampoo</t>
        </is>
      </c>
      <c r="M2090" s="2" t="inlineStr">
        <is>
          <t>estandar</t>
        </is>
      </c>
      <c r="N2090" s="2" t="inlineStr">
        <is>
          <t>general</t>
        </is>
      </c>
      <c r="O2090" s="2" t="inlineStr">
        <is>
          <t>https://www.jumbo.com.ar/shampoo-men-head-shoulders-scalp-care-spice-37/p</t>
        </is>
      </c>
    </row>
    <row r="2091">
      <c r="A2091" t="inlineStr">
        <is>
          <t>Jumbo</t>
        </is>
      </c>
      <c r="B2091" t="n">
        <v>341805</v>
      </c>
      <c r="C2091" t="n">
        <v>340492</v>
      </c>
      <c r="D2091" t="inlineStr">
        <is>
          <t>Shampoo Men Head&amp;shoulders Scalp Care 3en1 180</t>
        </is>
      </c>
      <c r="E2091" t="inlineStr">
        <is>
          <t>HEAD &amp; SHOULDERS</t>
        </is>
      </c>
      <c r="F2091" t="n">
        <v>449.43</v>
      </c>
      <c r="G2091" t="n">
        <v>37143</v>
      </c>
      <c r="H2091" t="b">
        <v>0</v>
      </c>
      <c r="I2091" t="inlineStr"/>
      <c r="J2091" t="inlineStr"/>
      <c r="K2091" t="inlineStr">
        <is>
          <t>&gt; Perfumería &gt; Cuidado Capilar &gt; Shampoo &gt;</t>
        </is>
      </c>
      <c r="L2091" t="inlineStr">
        <is>
          <t>shampoo</t>
        </is>
      </c>
      <c r="M2091" t="inlineStr">
        <is>
          <t>estandar</t>
        </is>
      </c>
      <c r="N2091" t="inlineStr">
        <is>
          <t>general</t>
        </is>
      </c>
      <c r="O2091" t="inlineStr">
        <is>
          <t>https://www.jumbo.com.ar/shampoo-men-head-shoulders-scalp-care-3en1-180/p</t>
        </is>
      </c>
    </row>
    <row r="2092">
      <c r="A2092" s="2" t="inlineStr">
        <is>
          <t>Jumbo</t>
        </is>
      </c>
      <c r="B2092" s="2" t="n">
        <v>341797</v>
      </c>
      <c r="C2092" s="2" t="n">
        <v>340484</v>
      </c>
      <c r="D2092" s="2" t="inlineStr">
        <is>
          <t>Shampoo Men Head&amp;shoulders Scalp Care 3en1 700</t>
        </is>
      </c>
      <c r="E2092" s="2" t="inlineStr">
        <is>
          <t>HEAD &amp; SHOULDERS</t>
        </is>
      </c>
      <c r="F2092" s="2" t="n">
        <v>1115.39</v>
      </c>
      <c r="G2092" s="2" t="n">
        <v>92181</v>
      </c>
      <c r="H2092" s="2" t="b">
        <v>0</v>
      </c>
      <c r="I2092" s="2" t="inlineStr"/>
      <c r="J2092" s="2" t="inlineStr"/>
      <c r="K2092" s="2" t="inlineStr">
        <is>
          <t>&gt; Perfumería &gt; Cuidado Capilar &gt; Shampoo &gt;</t>
        </is>
      </c>
      <c r="L2092" s="2" t="inlineStr">
        <is>
          <t>shampoo</t>
        </is>
      </c>
      <c r="M2092" s="2" t="inlineStr">
        <is>
          <t>estandar</t>
        </is>
      </c>
      <c r="N2092" s="2" t="inlineStr">
        <is>
          <t>general</t>
        </is>
      </c>
      <c r="O2092" s="2" t="inlineStr">
        <is>
          <t>https://www.jumbo.com.ar/shampoo-men-head-shoulders-scalp-care-3en1-700/p</t>
        </is>
      </c>
    </row>
    <row r="2093">
      <c r="A2093" t="inlineStr">
        <is>
          <t>Jumbo</t>
        </is>
      </c>
      <c r="B2093" t="n">
        <v>341801</v>
      </c>
      <c r="C2093" t="n">
        <v>340488</v>
      </c>
      <c r="D2093" t="inlineStr">
        <is>
          <t>Shampoo Men Head&amp;shoulders Scalp Care 3en1 375</t>
        </is>
      </c>
      <c r="E2093" t="inlineStr">
        <is>
          <t>HEAD &amp; SHOULDERS</t>
        </is>
      </c>
      <c r="F2093" t="n">
        <v>725.59</v>
      </c>
      <c r="G2093" t="n">
        <v>59966</v>
      </c>
      <c r="H2093" t="b">
        <v>0</v>
      </c>
      <c r="I2093" t="inlineStr"/>
      <c r="J2093" t="inlineStr"/>
      <c r="K2093" t="inlineStr">
        <is>
          <t>&gt; Perfumería &gt; Cuidado Capilar &gt; Shampoo &gt;</t>
        </is>
      </c>
      <c r="L2093" t="inlineStr">
        <is>
          <t>shampoo</t>
        </is>
      </c>
      <c r="M2093" t="inlineStr">
        <is>
          <t>estandar</t>
        </is>
      </c>
      <c r="N2093" t="inlineStr">
        <is>
          <t>general</t>
        </is>
      </c>
      <c r="O2093" t="inlineStr">
        <is>
          <t>https://www.jumbo.com.ar/shampoo-men-head-shoulders-scalp-care-3en1-375/p</t>
        </is>
      </c>
    </row>
    <row r="2094">
      <c r="A2094" s="2" t="inlineStr">
        <is>
          <t>Jumbo</t>
        </is>
      </c>
      <c r="B2094" s="2" t="n">
        <v>341799</v>
      </c>
      <c r="C2094" s="2" t="n">
        <v>340486</v>
      </c>
      <c r="D2094" s="2" t="inlineStr">
        <is>
          <t>Shampoo Men Head&amp;shoulders Scalp Care Spice 18</t>
        </is>
      </c>
      <c r="E2094" s="2" t="inlineStr">
        <is>
          <t>HEAD &amp; SHOULDERS</t>
        </is>
      </c>
      <c r="F2094" s="2" t="n">
        <v>449.43</v>
      </c>
      <c r="G2094" s="2" t="n">
        <v>37143</v>
      </c>
      <c r="H2094" s="2" t="b">
        <v>0</v>
      </c>
      <c r="I2094" s="2" t="inlineStr"/>
      <c r="J2094" s="2" t="inlineStr"/>
      <c r="K2094" s="2" t="inlineStr">
        <is>
          <t>&gt; Perfumería &gt; Cuidado Capilar &gt; Shampoo &gt;</t>
        </is>
      </c>
      <c r="L2094" s="2" t="inlineStr">
        <is>
          <t>shampoo</t>
        </is>
      </c>
      <c r="M2094" s="2" t="inlineStr">
        <is>
          <t>estandar</t>
        </is>
      </c>
      <c r="N2094" s="2" t="inlineStr">
        <is>
          <t>general</t>
        </is>
      </c>
      <c r="O2094" s="2" t="inlineStr">
        <is>
          <t>https://www.jumbo.com.ar/shampoo-men-head-shoulders-scalp-care-spice-18/p</t>
        </is>
      </c>
    </row>
    <row r="2095">
      <c r="A2095" t="inlineStr">
        <is>
          <t>Jumbo</t>
        </is>
      </c>
      <c r="B2095" t="n">
        <v>129469</v>
      </c>
      <c r="C2095" t="n">
        <v>126398</v>
      </c>
      <c r="D2095" t="inlineStr">
        <is>
          <t>Head &amp; Shoulders Shampoo Citrusfresh 200ml</t>
        </is>
      </c>
      <c r="E2095" t="inlineStr">
        <is>
          <t>HEAD &amp; SHOULDERS</t>
        </is>
      </c>
      <c r="F2095" t="n">
        <v>70.43000000000001</v>
      </c>
      <c r="G2095" t="n">
        <v>5821</v>
      </c>
      <c r="H2095" t="b">
        <v>0</v>
      </c>
      <c r="I2095" t="n">
        <v>200</v>
      </c>
      <c r="J2095" t="n">
        <v>0.3522</v>
      </c>
      <c r="K2095" t="inlineStr">
        <is>
          <t>&gt; Perfumería &gt; Cuidado Capilar &gt; Shampoo &gt;</t>
        </is>
      </c>
      <c r="L2095" t="inlineStr">
        <is>
          <t>shampoo</t>
        </is>
      </c>
      <c r="M2095" t="inlineStr">
        <is>
          <t>estandar</t>
        </is>
      </c>
      <c r="N2095" t="inlineStr">
        <is>
          <t>general</t>
        </is>
      </c>
      <c r="O2095" t="inlineStr">
        <is>
          <t>https://www.jumbo.com.ar/head-shoulders-shampoo-citrusfresh-200ml/p</t>
        </is>
      </c>
    </row>
    <row r="2096">
      <c r="A2096" s="2" t="inlineStr">
        <is>
          <t>Jumbo</t>
        </is>
      </c>
      <c r="B2096" s="2" t="n">
        <v>116031</v>
      </c>
      <c r="C2096" s="2" t="n">
        <v>115074</v>
      </c>
      <c r="D2096" s="2" t="inlineStr">
        <is>
          <t>Head &amp; Shoulders Shampoo Limpieza 700ml</t>
        </is>
      </c>
      <c r="E2096" s="2" t="inlineStr">
        <is>
          <t>HEAD &amp; SHOULDERS</t>
        </is>
      </c>
      <c r="F2096" s="2" t="n">
        <v>40.75</v>
      </c>
      <c r="G2096" s="2" t="n">
        <v>40.75</v>
      </c>
      <c r="H2096" s="2" t="b">
        <v>0</v>
      </c>
      <c r="I2096" s="2" t="n">
        <v>700</v>
      </c>
      <c r="J2096" s="2" t="n">
        <v>0.0582</v>
      </c>
      <c r="K2096" s="2" t="inlineStr">
        <is>
          <t>&gt; Perfumería &gt; Cuidado Capilar &gt; Shampoo &gt;</t>
        </is>
      </c>
      <c r="L2096" s="2" t="inlineStr">
        <is>
          <t>shampoo</t>
        </is>
      </c>
      <c r="M2096" s="2" t="inlineStr">
        <is>
          <t>estandar</t>
        </is>
      </c>
      <c r="N2096" s="2" t="inlineStr">
        <is>
          <t>general</t>
        </is>
      </c>
      <c r="O2096" s="2" t="inlineStr">
        <is>
          <t>https://www.jumbo.com.ar/head-shoulders-shampoo-limpieza-700ml/p</t>
        </is>
      </c>
    </row>
    <row r="2097">
      <c r="A2097" t="inlineStr">
        <is>
          <t>Jumbo</t>
        </is>
      </c>
      <c r="B2097" t="n">
        <v>337359</v>
      </c>
      <c r="C2097" t="n">
        <v>336462</v>
      </c>
      <c r="D2097" t="inlineStr">
        <is>
          <t>Shampoo Head Shoulders Protección Caída Con Cafeína 375 Ml</t>
        </is>
      </c>
      <c r="E2097" t="inlineStr">
        <is>
          <t>HEAD &amp; SHOULDERS</t>
        </is>
      </c>
      <c r="F2097" t="n">
        <v>887.27</v>
      </c>
      <c r="G2097" t="n">
        <v>73328</v>
      </c>
      <c r="H2097" t="b">
        <v>0</v>
      </c>
      <c r="I2097" t="n">
        <v>375</v>
      </c>
      <c r="J2097" t="n">
        <v>2.3661</v>
      </c>
      <c r="K2097" t="inlineStr">
        <is>
          <t>&gt; Perfumería &gt; Cuidado Capilar &gt; Shampoo &gt;</t>
        </is>
      </c>
      <c r="L2097" t="inlineStr">
        <is>
          <t>shampoo</t>
        </is>
      </c>
      <c r="M2097" t="inlineStr">
        <is>
          <t>estandar</t>
        </is>
      </c>
      <c r="N2097" t="inlineStr">
        <is>
          <t>general</t>
        </is>
      </c>
      <c r="O2097" t="inlineStr">
        <is>
          <t>https://www.jumbo.com.ar/shampoo-head-shoulders-proteccion-caida-con-cafeina-375-ml/p</t>
        </is>
      </c>
    </row>
    <row r="2098">
      <c r="A2098" s="2" t="inlineStr">
        <is>
          <t>Jumbo</t>
        </is>
      </c>
      <c r="B2098" s="2" t="n">
        <v>38333</v>
      </c>
      <c r="C2098" s="2" t="n">
        <v>35489</v>
      </c>
      <c r="D2098" s="2" t="inlineStr">
        <is>
          <t>Acondicionador Head &amp; Shoulders 200 Ml</t>
        </is>
      </c>
      <c r="E2098" s="2" t="inlineStr">
        <is>
          <t>HEAD &amp; SHOULDERS</t>
        </is>
      </c>
      <c r="F2098" s="2" t="n">
        <v>54.29</v>
      </c>
      <c r="G2098" s="2" t="n">
        <v>4487</v>
      </c>
      <c r="H2098" s="2" t="b">
        <v>0</v>
      </c>
      <c r="I2098" s="2" t="n">
        <v>200</v>
      </c>
      <c r="J2098" s="2" t="n">
        <v>0.2714</v>
      </c>
      <c r="K2098" s="2" t="inlineStr">
        <is>
          <t>&gt; Perfumería &gt; Cuidado Capilar &gt; Acondicionador &gt;</t>
        </is>
      </c>
      <c r="L2098" s="2" t="inlineStr">
        <is>
          <t>acondicionador</t>
        </is>
      </c>
      <c r="M2098" s="2" t="inlineStr">
        <is>
          <t>estandar</t>
        </is>
      </c>
      <c r="N2098" s="2" t="inlineStr">
        <is>
          <t>general</t>
        </is>
      </c>
      <c r="O2098" s="2" t="inlineStr">
        <is>
          <t>https://www.jumbo.com.ar/acondicionador-head-shoulders-200-ml/p</t>
        </is>
      </c>
    </row>
    <row r="2099">
      <c r="A2099" t="inlineStr">
        <is>
          <t>Jumbo</t>
        </is>
      </c>
      <c r="B2099" t="n">
        <v>424002</v>
      </c>
      <c r="C2099" t="n">
        <v>417079</v>
      </c>
      <c r="D2099" t="inlineStr">
        <is>
          <t>Shampoo Charcoal 650 Ml Head &amp; Shoulders</t>
        </is>
      </c>
      <c r="E2099" t="inlineStr">
        <is>
          <t>HEAD &amp; SHOULDERS</t>
        </is>
      </c>
      <c r="F2099" t="n">
        <v>18850</v>
      </c>
      <c r="G2099" t="n">
        <v>1557851</v>
      </c>
      <c r="H2099" t="b">
        <v>0</v>
      </c>
      <c r="I2099" t="n">
        <v>650</v>
      </c>
      <c r="J2099" t="n">
        <v>29</v>
      </c>
      <c r="K2099" t="inlineStr">
        <is>
          <t>&gt; Perfumería &gt; Cuidado Capilar &gt; Shampoo &gt;</t>
        </is>
      </c>
      <c r="L2099" t="inlineStr">
        <is>
          <t>shampoo</t>
        </is>
      </c>
      <c r="M2099" t="inlineStr">
        <is>
          <t>estandar</t>
        </is>
      </c>
      <c r="N2099" t="inlineStr">
        <is>
          <t>general</t>
        </is>
      </c>
      <c r="O2099" t="inlineStr">
        <is>
          <t>https://www.jumbo.com.ar/shampoo-charcoal-650-ml-head-shoulders-2/p</t>
        </is>
      </c>
    </row>
    <row r="2100">
      <c r="A2100" s="2" t="inlineStr">
        <is>
          <t>Jumbo</t>
        </is>
      </c>
      <c r="B2100" s="2" t="n">
        <v>386603</v>
      </c>
      <c r="C2100" s="2" t="n">
        <v>384882</v>
      </c>
      <c r="D2100" s="2" t="inlineStr">
        <is>
          <t>Shampoo Head And Shoulders Limpieza 180 Ml</t>
        </is>
      </c>
      <c r="E2100" s="2" t="inlineStr">
        <is>
          <t>HEAD &amp; SHOULDERS</t>
        </is>
      </c>
      <c r="F2100" s="2" t="n">
        <v>742.87</v>
      </c>
      <c r="G2100" s="2" t="n">
        <v>61394</v>
      </c>
      <c r="H2100" s="2" t="b">
        <v>0</v>
      </c>
      <c r="I2100" s="2" t="n">
        <v>180</v>
      </c>
      <c r="J2100" s="2" t="n">
        <v>4.1271</v>
      </c>
      <c r="K2100" s="2" t="inlineStr">
        <is>
          <t>&gt; Perfumería &gt; Cuidado Capilar &gt; Shampoo &gt;</t>
        </is>
      </c>
      <c r="L2100" s="2" t="inlineStr">
        <is>
          <t>shampoo</t>
        </is>
      </c>
      <c r="M2100" s="2" t="inlineStr">
        <is>
          <t>estandar</t>
        </is>
      </c>
      <c r="N2100" s="2" t="inlineStr">
        <is>
          <t>general</t>
        </is>
      </c>
      <c r="O2100" s="2" t="inlineStr">
        <is>
          <t>https://www.jumbo.com.ar/shampoo-head-and-shoulders-limpieza-180-ml/p</t>
        </is>
      </c>
    </row>
    <row r="2101">
      <c r="A2101" t="inlineStr">
        <is>
          <t>Jumbo</t>
        </is>
      </c>
      <c r="B2101" t="n">
        <v>275418</v>
      </c>
      <c r="C2101" t="n">
        <v>274714</v>
      </c>
      <c r="D2101" t="inlineStr">
        <is>
          <t>Shampoo Head &amp; Shoulders 3en1 700 Ml</t>
        </is>
      </c>
      <c r="E2101" t="inlineStr">
        <is>
          <t>HEAD &amp; SHOULDERS</t>
        </is>
      </c>
      <c r="F2101" t="n">
        <v>406.83</v>
      </c>
      <c r="G2101" t="n">
        <v>33622</v>
      </c>
      <c r="H2101" t="b">
        <v>0</v>
      </c>
      <c r="I2101" t="n">
        <v>700</v>
      </c>
      <c r="J2101" t="n">
        <v>0.5812</v>
      </c>
      <c r="K2101" t="inlineStr">
        <is>
          <t>&gt; Perfumería &gt; Cuidado Capilar &gt; Shampoo &gt;</t>
        </is>
      </c>
      <c r="L2101" t="inlineStr">
        <is>
          <t>shampoo</t>
        </is>
      </c>
      <c r="M2101" t="inlineStr">
        <is>
          <t>estandar</t>
        </is>
      </c>
      <c r="N2101" t="inlineStr">
        <is>
          <t>general</t>
        </is>
      </c>
      <c r="O2101" t="inlineStr">
        <is>
          <t>https://www.jumbo.com.ar/shampoo-head-shoulders-3en1-700-ml/p</t>
        </is>
      </c>
    </row>
    <row r="2102">
      <c r="A2102" s="2" t="inlineStr">
        <is>
          <t>Jumbo</t>
        </is>
      </c>
      <c r="B2102" s="2" t="n">
        <v>47086</v>
      </c>
      <c r="C2102" s="2" t="n">
        <v>44249</v>
      </c>
      <c r="D2102" s="2" t="inlineStr">
        <is>
          <t>Acondicionador Head &amp; Shoulders Winter 400 Ml</t>
        </is>
      </c>
      <c r="E2102" s="2" t="inlineStr">
        <is>
          <t>HEAD &amp; SHOULDERS</t>
        </is>
      </c>
      <c r="F2102" s="2" t="n">
        <v>167.29</v>
      </c>
      <c r="G2102" s="2" t="n">
        <v>13826</v>
      </c>
      <c r="H2102" s="2" t="b">
        <v>0</v>
      </c>
      <c r="I2102" s="2" t="n">
        <v>400</v>
      </c>
      <c r="J2102" s="2" t="n">
        <v>0.4182</v>
      </c>
      <c r="K2102" s="2" t="inlineStr">
        <is>
          <t>&gt; Perfumería &gt; Cuidado Capilar &gt; Acondicionador &gt;</t>
        </is>
      </c>
      <c r="L2102" s="2" t="inlineStr">
        <is>
          <t>acondicionador</t>
        </is>
      </c>
      <c r="M2102" s="2" t="inlineStr">
        <is>
          <t>estandar</t>
        </is>
      </c>
      <c r="N2102" s="2" t="inlineStr">
        <is>
          <t>general</t>
        </is>
      </c>
      <c r="O2102" s="2" t="inlineStr">
        <is>
          <t>https://www.jumbo.com.ar/acondicionador-head-shoulders-winter-400-ml/p</t>
        </is>
      </c>
    </row>
    <row r="2103">
      <c r="A2103" t="inlineStr">
        <is>
          <t>Jumbo</t>
        </is>
      </c>
      <c r="B2103" t="n">
        <v>386642</v>
      </c>
      <c r="C2103" t="n">
        <v>384921</v>
      </c>
      <c r="D2103" t="inlineStr">
        <is>
          <t>Shampoo Head And Shoulders Purificación 700 Ml</t>
        </is>
      </c>
      <c r="E2103" t="inlineStr">
        <is>
          <t>HEAD &amp; SHOULDERS</t>
        </is>
      </c>
      <c r="F2103" t="n">
        <v>2700</v>
      </c>
      <c r="G2103" t="n">
        <v>223141</v>
      </c>
      <c r="H2103" t="b">
        <v>0</v>
      </c>
      <c r="I2103" t="n">
        <v>700</v>
      </c>
      <c r="J2103" t="n">
        <v>3.8571</v>
      </c>
      <c r="K2103" t="inlineStr">
        <is>
          <t>&gt; Perfumería &gt; Cuidado Capilar &gt; Shampoo &gt;</t>
        </is>
      </c>
      <c r="L2103" t="inlineStr">
        <is>
          <t>shampoo</t>
        </is>
      </c>
      <c r="M2103" t="inlineStr">
        <is>
          <t>estandar</t>
        </is>
      </c>
      <c r="N2103" t="inlineStr">
        <is>
          <t>general</t>
        </is>
      </c>
      <c r="O2103" t="inlineStr">
        <is>
          <t>https://www.jumbo.com.ar/shampoo-head-and-shoulders-purificacion-700-ml/p</t>
        </is>
      </c>
    </row>
    <row r="2104">
      <c r="A2104" s="2" t="inlineStr">
        <is>
          <t>Jumbo</t>
        </is>
      </c>
      <c r="B2104" s="2" t="n">
        <v>386608</v>
      </c>
      <c r="C2104" s="2" t="n">
        <v>384887</v>
      </c>
      <c r="D2104" s="2" t="inlineStr">
        <is>
          <t>Shampoo Head And Shoulders Humecta 180 Ml</t>
        </is>
      </c>
      <c r="E2104" s="2" t="inlineStr">
        <is>
          <t>HEAD &amp; SHOULDERS</t>
        </is>
      </c>
      <c r="F2104" s="2" t="n">
        <v>728.99</v>
      </c>
      <c r="G2104" s="2" t="n">
        <v>60247</v>
      </c>
      <c r="H2104" s="2" t="b">
        <v>0</v>
      </c>
      <c r="I2104" s="2" t="n">
        <v>180</v>
      </c>
      <c r="J2104" s="2" t="n">
        <v>4.0499</v>
      </c>
      <c r="K2104" s="2" t="inlineStr">
        <is>
          <t>&gt; Perfumería &gt; Cuidado Capilar &gt; Shampoo &gt;</t>
        </is>
      </c>
      <c r="L2104" s="2" t="inlineStr">
        <is>
          <t>shampoo</t>
        </is>
      </c>
      <c r="M2104" s="2" t="inlineStr">
        <is>
          <t>estandar</t>
        </is>
      </c>
      <c r="N2104" s="2" t="inlineStr">
        <is>
          <t>general</t>
        </is>
      </c>
      <c r="O2104" s="2" t="inlineStr">
        <is>
          <t>https://www.jumbo.com.ar/shampoo-head-and-shoulders-humecta-180-ml/p</t>
        </is>
      </c>
    </row>
    <row r="2105">
      <c r="A2105" t="inlineStr">
        <is>
          <t>Jumbo</t>
        </is>
      </c>
      <c r="B2105" t="n">
        <v>275370</v>
      </c>
      <c r="C2105" t="n">
        <v>274666</v>
      </c>
      <c r="D2105" t="inlineStr">
        <is>
          <t>Shampoo Head &amp; Shoulders Humectación 375 Ml</t>
        </is>
      </c>
      <c r="E2105" t="inlineStr">
        <is>
          <t>HEAD &amp; SHOULDERS</t>
        </is>
      </c>
      <c r="F2105" t="n">
        <v>287.97</v>
      </c>
      <c r="G2105" t="n">
        <v>23799</v>
      </c>
      <c r="H2105" t="b">
        <v>0</v>
      </c>
      <c r="I2105" t="n">
        <v>375</v>
      </c>
      <c r="J2105" t="n">
        <v>0.7679</v>
      </c>
      <c r="K2105" t="inlineStr">
        <is>
          <t>&gt; Perfumería &gt; Cuidado Capilar &gt; Shampoo &gt;</t>
        </is>
      </c>
      <c r="L2105" t="inlineStr">
        <is>
          <t>shampoo</t>
        </is>
      </c>
      <c r="M2105" t="inlineStr">
        <is>
          <t>estandar</t>
        </is>
      </c>
      <c r="N2105" t="inlineStr">
        <is>
          <t>general</t>
        </is>
      </c>
      <c r="O2105" t="inlineStr">
        <is>
          <t>https://www.jumbo.com.ar/shampoo-head-shoulders-humectacion-375-ml/p</t>
        </is>
      </c>
    </row>
    <row r="2106">
      <c r="A2106" s="2" t="inlineStr">
        <is>
          <t>Jumbo</t>
        </is>
      </c>
      <c r="B2106" s="2" t="n">
        <v>275368</v>
      </c>
      <c r="C2106" s="2" t="n">
        <v>274664</v>
      </c>
      <c r="D2106" s="2" t="inlineStr">
        <is>
          <t>Acondicionador Head &amp; Shoulders Humectacion 180 Ml</t>
        </is>
      </c>
      <c r="E2106" s="2" t="inlineStr">
        <is>
          <t>HEAD &amp; SHOULDERS</t>
        </is>
      </c>
      <c r="F2106" s="2" t="n">
        <v>118.99</v>
      </c>
      <c r="G2106" s="2" t="n">
        <v>9834</v>
      </c>
      <c r="H2106" s="2" t="b">
        <v>0</v>
      </c>
      <c r="I2106" s="2" t="n">
        <v>180</v>
      </c>
      <c r="J2106" s="2" t="n">
        <v>0.6611</v>
      </c>
      <c r="K2106" s="2" t="inlineStr">
        <is>
          <t>&gt; Perfumería &gt; Cuidado Capilar &gt; Acondicionador &gt;</t>
        </is>
      </c>
      <c r="L2106" s="2" t="inlineStr">
        <is>
          <t>acondicionador</t>
        </is>
      </c>
      <c r="M2106" s="2" t="inlineStr">
        <is>
          <t>estandar</t>
        </is>
      </c>
      <c r="N2106" s="2" t="inlineStr">
        <is>
          <t>general</t>
        </is>
      </c>
      <c r="O2106" s="2" t="inlineStr">
        <is>
          <t>https://www.jumbo.com.ar/acondicionador-head-shoulders-humectacion-180-ml/p</t>
        </is>
      </c>
    </row>
    <row r="2107">
      <c r="A2107" t="inlineStr">
        <is>
          <t>Jumbo</t>
        </is>
      </c>
      <c r="B2107" t="n">
        <v>275365</v>
      </c>
      <c r="C2107" t="n">
        <v>274661</v>
      </c>
      <c r="D2107" t="inlineStr">
        <is>
          <t>Shampoo Head &amp; Shoulders Humectación 180 Ml</t>
        </is>
      </c>
      <c r="E2107" t="inlineStr">
        <is>
          <t>HEAD &amp; SHOULDERS</t>
        </is>
      </c>
      <c r="F2107" t="n">
        <v>178.47</v>
      </c>
      <c r="G2107" t="n">
        <v>14750</v>
      </c>
      <c r="H2107" t="b">
        <v>0</v>
      </c>
      <c r="I2107" t="n">
        <v>180</v>
      </c>
      <c r="J2107" t="n">
        <v>0.9915</v>
      </c>
      <c r="K2107" t="inlineStr">
        <is>
          <t>&gt; Perfumería &gt; Cuidado Capilar &gt; Shampoo &gt;</t>
        </is>
      </c>
      <c r="L2107" t="inlineStr">
        <is>
          <t>shampoo</t>
        </is>
      </c>
      <c r="M2107" t="inlineStr">
        <is>
          <t>estandar</t>
        </is>
      </c>
      <c r="N2107" t="inlineStr">
        <is>
          <t>general</t>
        </is>
      </c>
      <c r="O2107" t="inlineStr">
        <is>
          <t>https://www.jumbo.com.ar/shampoo-head-shoulders-humectacion-180-ml/p</t>
        </is>
      </c>
    </row>
    <row r="2108">
      <c r="A2108" s="2" t="inlineStr">
        <is>
          <t>Jumbo</t>
        </is>
      </c>
      <c r="B2108" s="2" t="n">
        <v>386628</v>
      </c>
      <c r="C2108" s="2" t="n">
        <v>384907</v>
      </c>
      <c r="D2108" s="2" t="inlineStr">
        <is>
          <t>Shampoo Head And Shoulders Manzana 375 Ml</t>
        </is>
      </c>
      <c r="E2108" s="2" t="inlineStr">
        <is>
          <t>HEAD &amp; SHOULDERS</t>
        </is>
      </c>
      <c r="F2108" s="2" t="n">
        <v>9150</v>
      </c>
      <c r="G2108" s="2" t="n">
        <v>756198</v>
      </c>
      <c r="H2108" s="2" t="b">
        <v>0</v>
      </c>
      <c r="I2108" s="2" t="n">
        <v>375</v>
      </c>
      <c r="J2108" s="2" t="n">
        <v>24.4</v>
      </c>
      <c r="K2108" s="2" t="inlineStr">
        <is>
          <t>&gt; Perfumería &gt; Cuidado Capilar &gt; Shampoo &gt;</t>
        </is>
      </c>
      <c r="L2108" s="2" t="inlineStr">
        <is>
          <t>shampoo</t>
        </is>
      </c>
      <c r="M2108" s="2" t="inlineStr">
        <is>
          <t>estandar</t>
        </is>
      </c>
      <c r="N2108" s="2" t="inlineStr">
        <is>
          <t>general</t>
        </is>
      </c>
      <c r="O2108" s="2" t="inlineStr">
        <is>
          <t>https://www.jumbo.com.ar/shampoo-head-and-shoulders-manzana-375-ml/p</t>
        </is>
      </c>
    </row>
    <row r="2109">
      <c r="A2109" t="inlineStr">
        <is>
          <t>Jumbo</t>
        </is>
      </c>
      <c r="B2109" t="n">
        <v>386609</v>
      </c>
      <c r="C2109" t="n">
        <v>384888</v>
      </c>
      <c r="D2109" t="inlineStr">
        <is>
          <t>Shampoo Head And Shoulders Hidratación 180 Ml</t>
        </is>
      </c>
      <c r="E2109" t="inlineStr">
        <is>
          <t>HEAD &amp; SHOULDERS</t>
        </is>
      </c>
      <c r="F2109" t="n">
        <v>5400</v>
      </c>
      <c r="G2109" t="n">
        <v>446281</v>
      </c>
      <c r="H2109" t="b">
        <v>0</v>
      </c>
      <c r="I2109" t="n">
        <v>180</v>
      </c>
      <c r="J2109" t="n">
        <v>30</v>
      </c>
      <c r="K2109" t="inlineStr">
        <is>
          <t>&gt; Perfumería &gt; Cuidado Capilar &gt; Shampoo &gt;</t>
        </is>
      </c>
      <c r="L2109" t="inlineStr">
        <is>
          <t>shampoo</t>
        </is>
      </c>
      <c r="M2109" t="inlineStr">
        <is>
          <t>estandar</t>
        </is>
      </c>
      <c r="N2109" t="inlineStr">
        <is>
          <t>seco_danado</t>
        </is>
      </c>
      <c r="O2109" t="inlineStr">
        <is>
          <t>https://www.jumbo.com.ar/shampoo-head-and-shoulders-hidratacion-180-ml/p</t>
        </is>
      </c>
    </row>
    <row r="2110">
      <c r="A2110" s="2" t="inlineStr">
        <is>
          <t>Jumbo</t>
        </is>
      </c>
      <c r="B2110" s="2" t="n">
        <v>386607</v>
      </c>
      <c r="C2110" s="2" t="n">
        <v>384886</v>
      </c>
      <c r="D2110" s="2" t="inlineStr">
        <is>
          <t>Shampoo Head And Shoulders Hidratación 375 Ml</t>
        </is>
      </c>
      <c r="E2110" s="2" t="inlineStr">
        <is>
          <t>HEAD &amp; SHOULDERS</t>
        </is>
      </c>
      <c r="F2110" s="2" t="n">
        <v>9200</v>
      </c>
      <c r="G2110" s="2" t="n">
        <v>760331</v>
      </c>
      <c r="H2110" s="2" t="b">
        <v>0</v>
      </c>
      <c r="I2110" s="2" t="n">
        <v>375</v>
      </c>
      <c r="J2110" s="2" t="n">
        <v>24.5333</v>
      </c>
      <c r="K2110" s="2" t="inlineStr">
        <is>
          <t>&gt; Perfumería &gt; Cuidado Capilar &gt; Shampoo &gt;</t>
        </is>
      </c>
      <c r="L2110" s="2" t="inlineStr">
        <is>
          <t>shampoo</t>
        </is>
      </c>
      <c r="M2110" s="2" t="inlineStr">
        <is>
          <t>estandar</t>
        </is>
      </c>
      <c r="N2110" s="2" t="inlineStr">
        <is>
          <t>seco_danado</t>
        </is>
      </c>
      <c r="O2110" s="2" t="inlineStr">
        <is>
          <t>https://www.jumbo.com.ar/shampoo-head-and-shoulders-hidratacion-375-ml/p</t>
        </is>
      </c>
    </row>
    <row r="2111">
      <c r="A2111" t="inlineStr">
        <is>
          <t>Jumbo</t>
        </is>
      </c>
      <c r="B2111" t="n">
        <v>154039</v>
      </c>
      <c r="C2111" t="n">
        <v>151605</v>
      </c>
      <c r="D2111" t="inlineStr">
        <is>
          <t>Acondicionador Head &amp; Shoulders Winter 200 Ml</t>
        </is>
      </c>
      <c r="E2111" t="inlineStr">
        <is>
          <t>HEAD &amp; SHOULDERS</t>
        </is>
      </c>
      <c r="F2111" t="n">
        <v>33.57</v>
      </c>
      <c r="G2111" t="n">
        <v>2774</v>
      </c>
      <c r="H2111" t="b">
        <v>0</v>
      </c>
      <c r="I2111" t="n">
        <v>200</v>
      </c>
      <c r="J2111" t="n">
        <v>0.1678</v>
      </c>
      <c r="K2111" t="inlineStr">
        <is>
          <t>&gt; Perfumería &gt; Cuidado Capilar &gt; Acondicionador &gt;</t>
        </is>
      </c>
      <c r="L2111" t="inlineStr">
        <is>
          <t>acondicionador</t>
        </is>
      </c>
      <c r="M2111" t="inlineStr">
        <is>
          <t>estandar</t>
        </is>
      </c>
      <c r="N2111" t="inlineStr">
        <is>
          <t>general</t>
        </is>
      </c>
      <c r="O2111" t="inlineStr">
        <is>
          <t>https://www.jumbo.com.ar/acondicionador-head-shoulders-winter-200-ml/p</t>
        </is>
      </c>
    </row>
    <row r="2112">
      <c r="A2112" s="2" t="inlineStr">
        <is>
          <t>Jumbo</t>
        </is>
      </c>
      <c r="B2112" s="2" t="n">
        <v>42328</v>
      </c>
      <c r="C2112" s="2" t="n">
        <v>39498</v>
      </c>
      <c r="D2112" s="2" t="inlineStr">
        <is>
          <t>Acondicionador Head &amp; Shoulders Antifall 200 Ml</t>
        </is>
      </c>
      <c r="E2112" s="2" t="inlineStr">
        <is>
          <t>HEAD &amp; SHOULDERS</t>
        </is>
      </c>
      <c r="F2112" s="2" t="n">
        <v>54.29</v>
      </c>
      <c r="G2112" s="2" t="n">
        <v>4487</v>
      </c>
      <c r="H2112" s="2" t="b">
        <v>0</v>
      </c>
      <c r="I2112" s="2" t="n">
        <v>200</v>
      </c>
      <c r="J2112" s="2" t="n">
        <v>0.2714</v>
      </c>
      <c r="K2112" s="2" t="inlineStr">
        <is>
          <t>&gt; Perfumería &gt; Cuidado Capilar &gt; Acondicionador &gt;</t>
        </is>
      </c>
      <c r="L2112" s="2" t="inlineStr">
        <is>
          <t>acondicionador</t>
        </is>
      </c>
      <c r="M2112" s="2" t="inlineStr">
        <is>
          <t>estandar</t>
        </is>
      </c>
      <c r="N2112" s="2" t="inlineStr">
        <is>
          <t>general</t>
        </is>
      </c>
      <c r="O2112" s="2" t="inlineStr">
        <is>
          <t>https://www.jumbo.com.ar/acondicionador-head-shoulders-antifall-200-ml/p</t>
        </is>
      </c>
    </row>
    <row r="2113">
      <c r="A2113" t="inlineStr">
        <is>
          <t>Jumbo</t>
        </is>
      </c>
      <c r="B2113" t="n">
        <v>42132</v>
      </c>
      <c r="C2113" t="n">
        <v>39302</v>
      </c>
      <c r="D2113" t="inlineStr">
        <is>
          <t>Acondicionador Head &amp; Shoulders Humecta 200 Ml</t>
        </is>
      </c>
      <c r="E2113" t="inlineStr">
        <is>
          <t>HEAD &amp; SHOULDERS</t>
        </is>
      </c>
      <c r="F2113" t="n">
        <v>54.29</v>
      </c>
      <c r="G2113" t="n">
        <v>4487</v>
      </c>
      <c r="H2113" t="b">
        <v>0</v>
      </c>
      <c r="I2113" t="n">
        <v>200</v>
      </c>
      <c r="J2113" t="n">
        <v>0.2714</v>
      </c>
      <c r="K2113" t="inlineStr">
        <is>
          <t>&gt; Perfumería &gt; Cuidado Capilar &gt; Acondicionador &gt;</t>
        </is>
      </c>
      <c r="L2113" t="inlineStr">
        <is>
          <t>acondicionador</t>
        </is>
      </c>
      <c r="M2113" t="inlineStr">
        <is>
          <t>estandar</t>
        </is>
      </c>
      <c r="N2113" t="inlineStr">
        <is>
          <t>general</t>
        </is>
      </c>
      <c r="O2113" t="inlineStr">
        <is>
          <t>https://www.jumbo.com.ar/acondicionador-head-shoulders-humecta-200-ml/p</t>
        </is>
      </c>
    </row>
    <row r="2114">
      <c r="A2114" s="2" t="inlineStr">
        <is>
          <t>Jumbo</t>
        </is>
      </c>
      <c r="B2114" s="2" t="n">
        <v>386633</v>
      </c>
      <c r="C2114" s="2" t="n">
        <v>384912</v>
      </c>
      <c r="D2114" s="2" t="inlineStr">
        <is>
          <t>Shampoo Head And Shoulders Protección Caída 375 Ml</t>
        </is>
      </c>
      <c r="E2114" s="2" t="inlineStr">
        <is>
          <t>HEAD &amp; SHOULDERS</t>
        </is>
      </c>
      <c r="F2114" s="2" t="n">
        <v>9150</v>
      </c>
      <c r="G2114" s="2" t="n">
        <v>756198</v>
      </c>
      <c r="H2114" s="2" t="b">
        <v>0</v>
      </c>
      <c r="I2114" s="2" t="n">
        <v>375</v>
      </c>
      <c r="J2114" s="2" t="n">
        <v>24.4</v>
      </c>
      <c r="K2114" s="2" t="inlineStr">
        <is>
          <t>&gt; Perfumería &gt; Cuidado Capilar &gt; Shampoo &gt;</t>
        </is>
      </c>
      <c r="L2114" s="2" t="inlineStr">
        <is>
          <t>shampoo</t>
        </is>
      </c>
      <c r="M2114" s="2" t="inlineStr">
        <is>
          <t>estandar</t>
        </is>
      </c>
      <c r="N2114" s="2" t="inlineStr">
        <is>
          <t>general</t>
        </is>
      </c>
      <c r="O2114" s="2" t="inlineStr">
        <is>
          <t>https://www.jumbo.com.ar/shampoo-head-and-shoulders-proteccion-caida-375-ml/p</t>
        </is>
      </c>
    </row>
    <row r="2115">
      <c r="A2115" t="inlineStr">
        <is>
          <t>Jumbo</t>
        </is>
      </c>
      <c r="B2115" t="n">
        <v>307400</v>
      </c>
      <c r="C2115" t="n">
        <v>306637</v>
      </c>
      <c r="D2115" t="inlineStr">
        <is>
          <t>Dermo Acondicionador Head &amp; Shoulders Humectación 150 Ml</t>
        </is>
      </c>
      <c r="E2115" t="inlineStr">
        <is>
          <t>HEAD &amp; SHOULDERS</t>
        </is>
      </c>
      <c r="F2115" t="n">
        <v>850</v>
      </c>
      <c r="G2115" t="n">
        <v>70248</v>
      </c>
      <c r="H2115" t="b">
        <v>0</v>
      </c>
      <c r="I2115" t="n">
        <v>150</v>
      </c>
      <c r="J2115" t="n">
        <v>5.6667</v>
      </c>
      <c r="K2115" t="inlineStr">
        <is>
          <t>&gt; Perfumería &gt; Cuidado Capilar &gt; Acondicionador &gt;</t>
        </is>
      </c>
      <c r="L2115" t="inlineStr">
        <is>
          <t>acondicionador</t>
        </is>
      </c>
      <c r="M2115" t="inlineStr">
        <is>
          <t>estandar</t>
        </is>
      </c>
      <c r="N2115" t="inlineStr">
        <is>
          <t>general</t>
        </is>
      </c>
      <c r="O2115" t="inlineStr">
        <is>
          <t>https://www.jumbo.com.ar/dermo-acondicionador-head-shoulders-humectacion-150-ml/p</t>
        </is>
      </c>
    </row>
    <row r="2116">
      <c r="A2116" s="2" t="inlineStr">
        <is>
          <t>Jumbo</t>
        </is>
      </c>
      <c r="B2116" s="2" t="n">
        <v>275443</v>
      </c>
      <c r="C2116" s="2" t="n">
        <v>274739</v>
      </c>
      <c r="D2116" s="2" t="inlineStr">
        <is>
          <t>Acondicionador Head &amp; Shoulders Alivio Refresc 375 Ml</t>
        </is>
      </c>
      <c r="E2116" s="2" t="inlineStr">
        <is>
          <t>HEAD &amp; SHOULDERS</t>
        </is>
      </c>
      <c r="F2116" s="2" t="n">
        <v>208.19</v>
      </c>
      <c r="G2116" s="2" t="n">
        <v>17206</v>
      </c>
      <c r="H2116" s="2" t="b">
        <v>0</v>
      </c>
      <c r="I2116" s="2" t="n">
        <v>375</v>
      </c>
      <c r="J2116" s="2" t="n">
        <v>0.5552</v>
      </c>
      <c r="K2116" s="2" t="inlineStr">
        <is>
          <t>&gt; Perfumería &gt; Cuidado Capilar &gt; Acondicionador &gt;</t>
        </is>
      </c>
      <c r="L2116" s="2" t="inlineStr">
        <is>
          <t>acondicionador</t>
        </is>
      </c>
      <c r="M2116" s="2" t="inlineStr">
        <is>
          <t>estandar</t>
        </is>
      </c>
      <c r="N2116" s="2" t="inlineStr">
        <is>
          <t>general</t>
        </is>
      </c>
      <c r="O2116" s="2" t="inlineStr">
        <is>
          <t>https://www.jumbo.com.ar/acondicionador-head-shoulders-alivio-refresc-375-ml/p</t>
        </is>
      </c>
    </row>
    <row r="2117">
      <c r="A2117" t="inlineStr">
        <is>
          <t>Jumbo</t>
        </is>
      </c>
      <c r="B2117" t="n">
        <v>275439</v>
      </c>
      <c r="C2117" t="n">
        <v>274735</v>
      </c>
      <c r="D2117" t="inlineStr">
        <is>
          <t>Shampoo Head &amp; Shoulders Nutrición Profunda 180 Ml</t>
        </is>
      </c>
      <c r="E2117" t="inlineStr">
        <is>
          <t>HEAD &amp; SHOULDERS</t>
        </is>
      </c>
      <c r="F2117" t="n">
        <v>410.83</v>
      </c>
      <c r="G2117" t="n">
        <v>33953</v>
      </c>
      <c r="H2117" t="b">
        <v>0</v>
      </c>
      <c r="I2117" t="n">
        <v>180</v>
      </c>
      <c r="J2117" t="n">
        <v>2.2824</v>
      </c>
      <c r="K2117" t="inlineStr">
        <is>
          <t>&gt; Perfumería &gt; Cuidado Capilar &gt; Shampoo &gt;</t>
        </is>
      </c>
      <c r="L2117" t="inlineStr">
        <is>
          <t>shampoo</t>
        </is>
      </c>
      <c r="M2117" t="inlineStr">
        <is>
          <t>estandar</t>
        </is>
      </c>
      <c r="N2117" t="inlineStr">
        <is>
          <t>general</t>
        </is>
      </c>
      <c r="O2117" t="inlineStr">
        <is>
          <t>https://www.jumbo.com.ar/shampoo-head-shoulders-nutricion-profunda-180-ml/p</t>
        </is>
      </c>
    </row>
    <row r="2118">
      <c r="A2118" s="2" t="inlineStr">
        <is>
          <t>Jumbo</t>
        </is>
      </c>
      <c r="B2118" s="2" t="n">
        <v>275437</v>
      </c>
      <c r="C2118" s="2" t="n">
        <v>274733</v>
      </c>
      <c r="D2118" s="2" t="inlineStr">
        <is>
          <t>Acondicionador Head &amp; Shoulders Nutricion Profunda 375 Ml</t>
        </is>
      </c>
      <c r="E2118" s="2" t="inlineStr">
        <is>
          <t>HEAD &amp; SHOULDERS</t>
        </is>
      </c>
      <c r="F2118" s="2" t="n">
        <v>208.19</v>
      </c>
      <c r="G2118" s="2" t="n">
        <v>17206</v>
      </c>
      <c r="H2118" s="2" t="b">
        <v>0</v>
      </c>
      <c r="I2118" s="2" t="n">
        <v>375</v>
      </c>
      <c r="J2118" s="2" t="n">
        <v>0.5552</v>
      </c>
      <c r="K2118" s="2" t="inlineStr">
        <is>
          <t>&gt; Perfumería &gt; Cuidado Capilar &gt; Acondicionador &gt;</t>
        </is>
      </c>
      <c r="L2118" s="2" t="inlineStr">
        <is>
          <t>acondicionador</t>
        </is>
      </c>
      <c r="M2118" s="2" t="inlineStr">
        <is>
          <t>estandar</t>
        </is>
      </c>
      <c r="N2118" s="2" t="inlineStr">
        <is>
          <t>general</t>
        </is>
      </c>
      <c r="O2118" s="2" t="inlineStr">
        <is>
          <t>https://www.jumbo.com.ar/acondicionador-head-shoulders-nutricion-profunda-375-ml/p</t>
        </is>
      </c>
    </row>
    <row r="2119">
      <c r="A2119" t="inlineStr">
        <is>
          <t>Jumbo</t>
        </is>
      </c>
      <c r="B2119" t="n">
        <v>275415</v>
      </c>
      <c r="C2119" t="n">
        <v>274711</v>
      </c>
      <c r="D2119" t="inlineStr">
        <is>
          <t>Shampoo Head &amp; Shoulders Control Grasa 375 Ml</t>
        </is>
      </c>
      <c r="E2119" t="inlineStr">
        <is>
          <t>HEAD &amp; SHOULDERS</t>
        </is>
      </c>
      <c r="F2119" t="n">
        <v>269.09</v>
      </c>
      <c r="G2119" t="n">
        <v>22239</v>
      </c>
      <c r="H2119" t="b">
        <v>0</v>
      </c>
      <c r="I2119" t="n">
        <v>375</v>
      </c>
      <c r="J2119" t="n">
        <v>0.7176</v>
      </c>
      <c r="K2119" t="inlineStr">
        <is>
          <t>&gt; Perfumería &gt; Cuidado Capilar &gt; Shampoo &gt;</t>
        </is>
      </c>
      <c r="L2119" t="inlineStr">
        <is>
          <t>shampoo</t>
        </is>
      </c>
      <c r="M2119" t="inlineStr">
        <is>
          <t>estandar</t>
        </is>
      </c>
      <c r="N2119" t="inlineStr">
        <is>
          <t>graso</t>
        </is>
      </c>
      <c r="O2119" t="inlineStr">
        <is>
          <t>https://www.jumbo.com.ar/shampoo-head-shoulders-control-grasa-375-ml/p</t>
        </is>
      </c>
    </row>
    <row r="2120">
      <c r="A2120" s="2" t="inlineStr">
        <is>
          <t>Jumbo</t>
        </is>
      </c>
      <c r="B2120" s="2" t="n">
        <v>275405</v>
      </c>
      <c r="C2120" s="2" t="n">
        <v>274701</v>
      </c>
      <c r="D2120" s="2" t="inlineStr">
        <is>
          <t>Shampoo Head &amp; Shoulders Nutricion Profunda 375 Ml</t>
        </is>
      </c>
      <c r="E2120" s="2" t="inlineStr">
        <is>
          <t>HEAD &amp; SHOULDERS</t>
        </is>
      </c>
      <c r="F2120" s="2" t="n">
        <v>253.89</v>
      </c>
      <c r="G2120" s="2" t="n">
        <v>20983</v>
      </c>
      <c r="H2120" s="2" t="b">
        <v>0</v>
      </c>
      <c r="I2120" s="2" t="n">
        <v>375</v>
      </c>
      <c r="J2120" s="2" t="n">
        <v>0.677</v>
      </c>
      <c r="K2120" s="2" t="inlineStr">
        <is>
          <t>&gt; Perfumería &gt; Cuidado Capilar &gt; Shampoo &gt;</t>
        </is>
      </c>
      <c r="L2120" s="2" t="inlineStr">
        <is>
          <t>shampoo</t>
        </is>
      </c>
      <c r="M2120" s="2" t="inlineStr">
        <is>
          <t>estandar</t>
        </is>
      </c>
      <c r="N2120" s="2" t="inlineStr">
        <is>
          <t>general</t>
        </is>
      </c>
      <c r="O2120" s="2" t="inlineStr">
        <is>
          <t>https://www.jumbo.com.ar/shampoo-head-shoulders-nutricion-profunda-375-ml/p</t>
        </is>
      </c>
    </row>
    <row r="2121">
      <c r="A2121" t="inlineStr">
        <is>
          <t>Jumbo</t>
        </is>
      </c>
      <c r="B2121" t="n">
        <v>17833</v>
      </c>
      <c r="C2121" t="n">
        <v>14950</v>
      </c>
      <c r="D2121" t="inlineStr">
        <is>
          <t>Acondicionador Head &amp; Shoulders Inst Relief 400 Ml</t>
        </is>
      </c>
      <c r="E2121" t="inlineStr">
        <is>
          <t>HEAD &amp; SHOULDERS</t>
        </is>
      </c>
      <c r="F2121" t="n">
        <v>134.83</v>
      </c>
      <c r="G2121" t="n">
        <v>11143</v>
      </c>
      <c r="H2121" t="b">
        <v>0</v>
      </c>
      <c r="I2121" t="n">
        <v>400</v>
      </c>
      <c r="J2121" t="n">
        <v>0.3371</v>
      </c>
      <c r="K2121" t="inlineStr">
        <is>
          <t>&gt; Perfumería &gt; Cuidado Capilar &gt; Acondicionador &gt;</t>
        </is>
      </c>
      <c r="L2121" t="inlineStr">
        <is>
          <t>acondicionador</t>
        </is>
      </c>
      <c r="M2121" t="inlineStr">
        <is>
          <t>estandar</t>
        </is>
      </c>
      <c r="N2121" t="inlineStr">
        <is>
          <t>general</t>
        </is>
      </c>
      <c r="O2121" t="inlineStr">
        <is>
          <t>https://www.jumbo.com.ar/acondicionador-head-shoulders-inst-relief-400-ml/p</t>
        </is>
      </c>
    </row>
    <row r="2122">
      <c r="A2122" s="2" t="inlineStr">
        <is>
          <t>Jumbo</t>
        </is>
      </c>
      <c r="B2122" s="2" t="n">
        <v>386640</v>
      </c>
      <c r="C2122" s="2" t="n">
        <v>384919</v>
      </c>
      <c r="D2122" s="2" t="inlineStr">
        <is>
          <t>Shampoo Head And Shoulders Protección Caida 700 Ml</t>
        </is>
      </c>
      <c r="E2122" s="2" t="inlineStr">
        <is>
          <t>HEAD &amp; SHOULDERS</t>
        </is>
      </c>
      <c r="F2122" s="2" t="n">
        <v>9729.99</v>
      </c>
      <c r="G2122" s="2" t="n">
        <v>804131</v>
      </c>
      <c r="H2122" s="2" t="b">
        <v>0</v>
      </c>
      <c r="I2122" s="2" t="n">
        <v>700</v>
      </c>
      <c r="J2122" s="2" t="n">
        <v>13.9</v>
      </c>
      <c r="K2122" s="2" t="inlineStr">
        <is>
          <t>&gt; Perfumería &gt; Cuidado Capilar &gt; Shampoo &gt;</t>
        </is>
      </c>
      <c r="L2122" s="2" t="inlineStr">
        <is>
          <t>shampoo</t>
        </is>
      </c>
      <c r="M2122" s="2" t="inlineStr">
        <is>
          <t>estandar</t>
        </is>
      </c>
      <c r="N2122" s="2" t="inlineStr">
        <is>
          <t>general</t>
        </is>
      </c>
      <c r="O2122" s="2" t="inlineStr">
        <is>
          <t>https://www.jumbo.com.ar/shampoo-head-and-shoulders-proteccion-caida-700-ml/p</t>
        </is>
      </c>
    </row>
    <row r="2123">
      <c r="A2123" t="inlineStr">
        <is>
          <t>Jumbo</t>
        </is>
      </c>
      <c r="B2123" t="n">
        <v>307402</v>
      </c>
      <c r="C2123" t="n">
        <v>306639</v>
      </c>
      <c r="D2123" t="inlineStr">
        <is>
          <t>Dermo Acondicionador Head &amp; Shoulders Humectación 300 Ml</t>
        </is>
      </c>
      <c r="E2123" t="inlineStr">
        <is>
          <t>HEAD &amp; SHOULDERS</t>
        </is>
      </c>
      <c r="F2123" t="n">
        <v>882.37</v>
      </c>
      <c r="G2123" t="n">
        <v>72923</v>
      </c>
      <c r="H2123" t="b">
        <v>0</v>
      </c>
      <c r="I2123" t="n">
        <v>300</v>
      </c>
      <c r="J2123" t="n">
        <v>2.9412</v>
      </c>
      <c r="K2123" t="inlineStr">
        <is>
          <t>&gt; Perfumería &gt; Cuidado Capilar &gt; Acondicionador &gt;</t>
        </is>
      </c>
      <c r="L2123" t="inlineStr">
        <is>
          <t>acondicionador</t>
        </is>
      </c>
      <c r="M2123" t="inlineStr">
        <is>
          <t>estandar</t>
        </is>
      </c>
      <c r="N2123" t="inlineStr">
        <is>
          <t>general</t>
        </is>
      </c>
      <c r="O2123" t="inlineStr">
        <is>
          <t>https://www.jumbo.com.ar/dermo-acondicionador-head-shoulders-humectacion-300-ml/p</t>
        </is>
      </c>
    </row>
    <row r="2124">
      <c r="A2124" s="2" t="inlineStr">
        <is>
          <t>Jumbo</t>
        </is>
      </c>
      <c r="B2124" s="2" t="n">
        <v>42521</v>
      </c>
      <c r="C2124" s="2" t="n">
        <v>39691</v>
      </c>
      <c r="D2124" s="2" t="inlineStr">
        <is>
          <t>Acondicionador Head &amp; Shoulders Apple Fresh 200 Ml</t>
        </is>
      </c>
      <c r="E2124" s="2" t="inlineStr">
        <is>
          <t>HEAD &amp; SHOULDERS</t>
        </is>
      </c>
      <c r="F2124" s="2" t="n">
        <v>54.29</v>
      </c>
      <c r="G2124" s="2" t="n">
        <v>4487</v>
      </c>
      <c r="H2124" s="2" t="b">
        <v>0</v>
      </c>
      <c r="I2124" s="2" t="n">
        <v>200</v>
      </c>
      <c r="J2124" s="2" t="n">
        <v>0.2714</v>
      </c>
      <c r="K2124" s="2" t="inlineStr">
        <is>
          <t>&gt; Perfumería &gt; Cuidado Capilar &gt; Acondicionador &gt;</t>
        </is>
      </c>
      <c r="L2124" s="2" t="inlineStr">
        <is>
          <t>acondicionador</t>
        </is>
      </c>
      <c r="M2124" s="2" t="inlineStr">
        <is>
          <t>estandar</t>
        </is>
      </c>
      <c r="N2124" s="2" t="inlineStr">
        <is>
          <t>general</t>
        </is>
      </c>
      <c r="O2124" s="2" t="inlineStr">
        <is>
          <t>https://www.jumbo.com.ar/acondicionador-head-shoulders-apple-fresh-200-ml/p</t>
        </is>
      </c>
    </row>
    <row r="2125">
      <c r="A2125" t="inlineStr">
        <is>
          <t>Jumbo</t>
        </is>
      </c>
      <c r="B2125" t="n">
        <v>386636</v>
      </c>
      <c r="C2125" t="n">
        <v>384915</v>
      </c>
      <c r="D2125" t="inlineStr">
        <is>
          <t>Shampoo Head And Shoulders Protección Caida 180 Ml</t>
        </is>
      </c>
      <c r="E2125" t="inlineStr">
        <is>
          <t>HEAD &amp; SHOULDERS</t>
        </is>
      </c>
      <c r="F2125" t="n">
        <v>5050</v>
      </c>
      <c r="G2125" t="n">
        <v>417355</v>
      </c>
      <c r="H2125" t="b">
        <v>0</v>
      </c>
      <c r="I2125" t="n">
        <v>180</v>
      </c>
      <c r="J2125" t="n">
        <v>28.0556</v>
      </c>
      <c r="K2125" t="inlineStr">
        <is>
          <t>&gt; Perfumería &gt; Cuidado Capilar &gt; Shampoo &gt;</t>
        </is>
      </c>
      <c r="L2125" t="inlineStr">
        <is>
          <t>shampoo</t>
        </is>
      </c>
      <c r="M2125" t="inlineStr">
        <is>
          <t>estandar</t>
        </is>
      </c>
      <c r="N2125" t="inlineStr">
        <is>
          <t>general</t>
        </is>
      </c>
      <c r="O2125" t="inlineStr">
        <is>
          <t>https://www.jumbo.com.ar/shampoo-head-and-shoulders-proteccion-caida-180-ml/p</t>
        </is>
      </c>
    </row>
    <row r="2126">
      <c r="A2126" s="2" t="inlineStr">
        <is>
          <t>Jumbo</t>
        </is>
      </c>
      <c r="B2126" s="2" t="n">
        <v>337581</v>
      </c>
      <c r="C2126" s="2" t="n">
        <v>336684</v>
      </c>
      <c r="D2126" s="2" t="inlineStr">
        <is>
          <t>Shampoo Head &amp; Shoulders Detox De Raíz 375 Ml</t>
        </is>
      </c>
      <c r="E2126" s="2" t="inlineStr">
        <is>
          <t>HEAD &amp; SHOULDERS</t>
        </is>
      </c>
      <c r="F2126" s="2" t="n">
        <v>887.27</v>
      </c>
      <c r="G2126" s="2" t="n">
        <v>73328</v>
      </c>
      <c r="H2126" s="2" t="b">
        <v>0</v>
      </c>
      <c r="I2126" s="2" t="n">
        <v>375</v>
      </c>
      <c r="J2126" s="2" t="n">
        <v>2.3661</v>
      </c>
      <c r="K2126" s="2" t="inlineStr">
        <is>
          <t>&gt; Perfumería &gt; Cuidado Capilar &gt; Shampoo &gt;</t>
        </is>
      </c>
      <c r="L2126" s="2" t="inlineStr">
        <is>
          <t>shampoo</t>
        </is>
      </c>
      <c r="M2126" s="2" t="inlineStr">
        <is>
          <t>estandar</t>
        </is>
      </c>
      <c r="N2126" s="2" t="inlineStr">
        <is>
          <t>general</t>
        </is>
      </c>
      <c r="O2126" s="2" t="inlineStr">
        <is>
          <t>https://www.jumbo.com.ar/shampoo-head-shoulders-detox-de-raiz-375-ml/p</t>
        </is>
      </c>
    </row>
    <row r="2127">
      <c r="A2127" t="inlineStr">
        <is>
          <t>Jumbo</t>
        </is>
      </c>
      <c r="B2127" t="n">
        <v>307407</v>
      </c>
      <c r="C2127" t="n">
        <v>306644</v>
      </c>
      <c r="D2127" t="inlineStr">
        <is>
          <t>Dermo Acondicionador Head &amp; Shoulders Pu Ca 150ml</t>
        </is>
      </c>
      <c r="E2127" t="inlineStr">
        <is>
          <t>HEAD &amp; SHOULDERS</t>
        </is>
      </c>
      <c r="F2127" t="n">
        <v>387.67</v>
      </c>
      <c r="G2127" t="n">
        <v>32039</v>
      </c>
      <c r="H2127" t="b">
        <v>0</v>
      </c>
      <c r="I2127" t="n">
        <v>150</v>
      </c>
      <c r="J2127" t="n">
        <v>2.5845</v>
      </c>
      <c r="K2127" t="inlineStr">
        <is>
          <t>&gt; Perfumería &gt; Cuidado Capilar &gt; Acondicionador &gt;</t>
        </is>
      </c>
      <c r="L2127" t="inlineStr">
        <is>
          <t>acondicionador</t>
        </is>
      </c>
      <c r="M2127" t="inlineStr">
        <is>
          <t>estandar</t>
        </is>
      </c>
      <c r="N2127" t="inlineStr">
        <is>
          <t>general</t>
        </is>
      </c>
      <c r="O2127" t="inlineStr">
        <is>
          <t>https://www.jumbo.com.ar/dermo-acondicionador-head-shoulders-pu-ca-150ml/p</t>
        </is>
      </c>
    </row>
    <row r="2128">
      <c r="A2128" s="2" t="inlineStr">
        <is>
          <t>Jumbo</t>
        </is>
      </c>
      <c r="B2128" s="2" t="n">
        <v>275448</v>
      </c>
      <c r="C2128" s="2" t="n">
        <v>274744</v>
      </c>
      <c r="D2128" s="2" t="inlineStr">
        <is>
          <t>Shampoo Head &amp; Shoulders Alivio Refrescante 180 Ml</t>
        </is>
      </c>
      <c r="E2128" s="2" t="inlineStr">
        <is>
          <t>HEAD &amp; SHOULDERS</t>
        </is>
      </c>
      <c r="F2128" s="2" t="n">
        <v>145.49</v>
      </c>
      <c r="G2128" s="2" t="n">
        <v>12024</v>
      </c>
      <c r="H2128" s="2" t="b">
        <v>0</v>
      </c>
      <c r="I2128" s="2" t="n">
        <v>180</v>
      </c>
      <c r="J2128" s="2" t="n">
        <v>0.8083</v>
      </c>
      <c r="K2128" s="2" t="inlineStr">
        <is>
          <t>&gt; Perfumería &gt; Cuidado Capilar &gt; Shampoo &gt;</t>
        </is>
      </c>
      <c r="L2128" s="2" t="inlineStr">
        <is>
          <t>shampoo</t>
        </is>
      </c>
      <c r="M2128" s="2" t="inlineStr">
        <is>
          <t>estandar</t>
        </is>
      </c>
      <c r="N2128" s="2" t="inlineStr">
        <is>
          <t>general</t>
        </is>
      </c>
      <c r="O2128" s="2" t="inlineStr">
        <is>
          <t>https://www.jumbo.com.ar/shampoo-head-shoulders-alivio-refrescante-180-ml/p</t>
        </is>
      </c>
    </row>
    <row r="2129">
      <c r="A2129" t="inlineStr">
        <is>
          <t>Jumbo</t>
        </is>
      </c>
      <c r="B2129" t="n">
        <v>275446</v>
      </c>
      <c r="C2129" t="n">
        <v>274742</v>
      </c>
      <c r="D2129" t="inlineStr">
        <is>
          <t>Acondiconador Head &amp; Shoulders Alivio Refresca 180 Ml</t>
        </is>
      </c>
      <c r="E2129" t="inlineStr">
        <is>
          <t>HEAD &amp; SHOULDERS</t>
        </is>
      </c>
      <c r="F2129" t="n">
        <v>118.99</v>
      </c>
      <c r="G2129" t="n">
        <v>9834</v>
      </c>
      <c r="H2129" t="b">
        <v>0</v>
      </c>
      <c r="I2129" t="n">
        <v>180</v>
      </c>
      <c r="J2129" t="n">
        <v>0.6611</v>
      </c>
      <c r="K2129" t="inlineStr">
        <is>
          <t>&gt; Perfumería &gt; Cuidado Capilar &gt; Acondicionador &gt;</t>
        </is>
      </c>
      <c r="L2129" t="inlineStr">
        <is>
          <t>shampoo</t>
        </is>
      </c>
      <c r="M2129" t="inlineStr">
        <is>
          <t>estandar</t>
        </is>
      </c>
      <c r="N2129" t="inlineStr">
        <is>
          <t>general</t>
        </is>
      </c>
      <c r="O2129" t="inlineStr">
        <is>
          <t>https://www.jumbo.com.ar/acondiconador-head-shoulders-alivio-refresca-180-ml/p</t>
        </is>
      </c>
    </row>
    <row r="2130">
      <c r="A2130" s="2" t="inlineStr">
        <is>
          <t>Jumbo</t>
        </is>
      </c>
      <c r="B2130" s="2" t="n">
        <v>275442</v>
      </c>
      <c r="C2130" s="2" t="n">
        <v>274738</v>
      </c>
      <c r="D2130" s="2" t="inlineStr">
        <is>
          <t>Shampoo Head &amp; Shoulders Alivio Refrescante 375 Ml</t>
        </is>
      </c>
      <c r="E2130" s="2" t="inlineStr">
        <is>
          <t>HEAD &amp; SHOULDERS</t>
        </is>
      </c>
      <c r="F2130" s="2" t="n">
        <v>246.49</v>
      </c>
      <c r="G2130" s="2" t="n">
        <v>20371</v>
      </c>
      <c r="H2130" s="2" t="b">
        <v>0</v>
      </c>
      <c r="I2130" s="2" t="n">
        <v>375</v>
      </c>
      <c r="J2130" s="2" t="n">
        <v>0.6573</v>
      </c>
      <c r="K2130" s="2" t="inlineStr">
        <is>
          <t>&gt; Perfumería &gt; Cuidado Capilar &gt; Shampoo &gt;</t>
        </is>
      </c>
      <c r="L2130" s="2" t="inlineStr">
        <is>
          <t>shampoo</t>
        </is>
      </c>
      <c r="M2130" s="2" t="inlineStr">
        <is>
          <t>estandar</t>
        </is>
      </c>
      <c r="N2130" s="2" t="inlineStr">
        <is>
          <t>general</t>
        </is>
      </c>
      <c r="O2130" s="2" t="inlineStr">
        <is>
          <t>https://www.jumbo.com.ar/shampoo-head-shoulders-alivio-refrescante-375-ml/p</t>
        </is>
      </c>
    </row>
    <row r="2131">
      <c r="A2131" t="inlineStr">
        <is>
          <t>Jumbo</t>
        </is>
      </c>
      <c r="B2131" t="n">
        <v>275432</v>
      </c>
      <c r="C2131" t="n">
        <v>274728</v>
      </c>
      <c r="D2131" t="inlineStr">
        <is>
          <t>Acondicionador Head &amp; Shoulders Fuerza Rejuven 375 Ml</t>
        </is>
      </c>
      <c r="E2131" t="inlineStr">
        <is>
          <t>HEAD &amp; SHOULDERS</t>
        </is>
      </c>
      <c r="F2131" t="n">
        <v>222.77</v>
      </c>
      <c r="G2131" t="n">
        <v>18411</v>
      </c>
      <c r="H2131" t="b">
        <v>0</v>
      </c>
      <c r="I2131" t="n">
        <v>375</v>
      </c>
      <c r="J2131" t="n">
        <v>0.5941</v>
      </c>
      <c r="K2131" t="inlineStr">
        <is>
          <t>&gt; Perfumería &gt; Cuidado Capilar &gt; Acondicionador &gt;</t>
        </is>
      </c>
      <c r="L2131" t="inlineStr">
        <is>
          <t>acondicionador</t>
        </is>
      </c>
      <c r="M2131" t="inlineStr">
        <is>
          <t>estandar</t>
        </is>
      </c>
      <c r="N2131" t="inlineStr">
        <is>
          <t>general</t>
        </is>
      </c>
      <c r="O2131" t="inlineStr">
        <is>
          <t>https://www.jumbo.com.ar/acondicionador-head-shoulders-fuerza-rejuven-375-ml/p</t>
        </is>
      </c>
    </row>
    <row r="2132">
      <c r="A2132" s="2" t="inlineStr">
        <is>
          <t>Jumbo</t>
        </is>
      </c>
      <c r="B2132" s="2" t="n">
        <v>275429</v>
      </c>
      <c r="C2132" s="2" t="n">
        <v>274725</v>
      </c>
      <c r="D2132" s="2" t="inlineStr">
        <is>
          <t>Shampoo Head &amp; Shoulders Manzana Fresh 700 Ml</t>
        </is>
      </c>
      <c r="E2132" s="2" t="inlineStr">
        <is>
          <t>HEAD &amp; SHOULDERS</t>
        </is>
      </c>
      <c r="F2132" s="2" t="n">
        <v>431.23</v>
      </c>
      <c r="G2132" s="2" t="n">
        <v>35639</v>
      </c>
      <c r="H2132" s="2" t="b">
        <v>0</v>
      </c>
      <c r="I2132" s="2" t="n">
        <v>700</v>
      </c>
      <c r="J2132" s="2" t="n">
        <v>0.616</v>
      </c>
      <c r="K2132" s="2" t="inlineStr">
        <is>
          <t>&gt; Perfumería &gt; Cuidado Capilar &gt; Shampoo &gt;</t>
        </is>
      </c>
      <c r="L2132" s="2" t="inlineStr">
        <is>
          <t>shampoo</t>
        </is>
      </c>
      <c r="M2132" s="2" t="inlineStr">
        <is>
          <t>estandar</t>
        </is>
      </c>
      <c r="N2132" s="2" t="inlineStr">
        <is>
          <t>general</t>
        </is>
      </c>
      <c r="O2132" s="2" t="inlineStr">
        <is>
          <t>https://www.jumbo.com.ar/shampoo-head-shoulders-manzana-fresh-700-ml/p</t>
        </is>
      </c>
    </row>
    <row r="2133">
      <c r="A2133" t="inlineStr">
        <is>
          <t>Jumbo</t>
        </is>
      </c>
      <c r="B2133" t="n">
        <v>275423</v>
      </c>
      <c r="C2133" t="n">
        <v>274719</v>
      </c>
      <c r="D2133" t="inlineStr">
        <is>
          <t>Shampoo Old Spice 375 Ml Head &amp; Shoulders</t>
        </is>
      </c>
      <c r="E2133" t="inlineStr">
        <is>
          <t>HEAD &amp; SHOULDERS</t>
        </is>
      </c>
      <c r="F2133" t="n">
        <v>12200</v>
      </c>
      <c r="G2133" t="n">
        <v>1008264</v>
      </c>
      <c r="H2133" t="b">
        <v>0</v>
      </c>
      <c r="I2133" t="n">
        <v>375</v>
      </c>
      <c r="J2133" t="n">
        <v>32.5333</v>
      </c>
      <c r="K2133" t="inlineStr">
        <is>
          <t>&gt; Perfumería &gt; Cuidado Capilar &gt; Shampoo &gt;</t>
        </is>
      </c>
      <c r="L2133" t="inlineStr">
        <is>
          <t>shampoo</t>
        </is>
      </c>
      <c r="M2133" t="inlineStr">
        <is>
          <t>estandar</t>
        </is>
      </c>
      <c r="N2133" t="inlineStr">
        <is>
          <t>general</t>
        </is>
      </c>
      <c r="O2133" t="inlineStr">
        <is>
          <t>https://www.jumbo.com.ar/shampoo-old-spice-375-ml-head-shoulders-2/p</t>
        </is>
      </c>
    </row>
    <row r="2134">
      <c r="A2134" s="2" t="inlineStr">
        <is>
          <t>Jumbo</t>
        </is>
      </c>
      <c r="B2134" s="2" t="n">
        <v>275408</v>
      </c>
      <c r="C2134" s="2" t="n">
        <v>274704</v>
      </c>
      <c r="D2134" s="2" t="inlineStr">
        <is>
          <t>Shampoo Head &amp; Shoulders Control Grasa 180 Ml</t>
        </is>
      </c>
      <c r="E2134" s="2" t="inlineStr">
        <is>
          <t>HEAD &amp; SHOULDERS</t>
        </is>
      </c>
      <c r="F2134" s="2" t="n">
        <v>388.69</v>
      </c>
      <c r="G2134" s="2" t="n">
        <v>32123</v>
      </c>
      <c r="H2134" s="2" t="b">
        <v>0</v>
      </c>
      <c r="I2134" s="2" t="n">
        <v>180</v>
      </c>
      <c r="J2134" s="2" t="n">
        <v>2.1594</v>
      </c>
      <c r="K2134" s="2" t="inlineStr">
        <is>
          <t>&gt; Perfumería &gt; Cuidado Capilar &gt; Shampoo &gt;</t>
        </is>
      </c>
      <c r="L2134" s="2" t="inlineStr">
        <is>
          <t>shampoo</t>
        </is>
      </c>
      <c r="M2134" s="2" t="inlineStr">
        <is>
          <t>estandar</t>
        </is>
      </c>
      <c r="N2134" s="2" t="inlineStr">
        <is>
          <t>graso</t>
        </is>
      </c>
      <c r="O2134" s="2" t="inlineStr">
        <is>
          <t>https://www.jumbo.com.ar/shampoo-head-shoulders-control-grasa-180-ml/p</t>
        </is>
      </c>
    </row>
    <row r="2135">
      <c r="A2135" t="inlineStr">
        <is>
          <t>Jumbo</t>
        </is>
      </c>
      <c r="B2135" t="n">
        <v>275403</v>
      </c>
      <c r="C2135" t="n">
        <v>274699</v>
      </c>
      <c r="D2135" t="inlineStr">
        <is>
          <t>Shampoo Head &amp; Shoulders Limpieza Renovadora 375 Ml</t>
        </is>
      </c>
      <c r="E2135" t="inlineStr">
        <is>
          <t>HEAD &amp; SHOULDERS</t>
        </is>
      </c>
      <c r="F2135" t="n">
        <v>253.89</v>
      </c>
      <c r="G2135" t="n">
        <v>20983</v>
      </c>
      <c r="H2135" t="b">
        <v>0</v>
      </c>
      <c r="I2135" t="n">
        <v>375</v>
      </c>
      <c r="J2135" t="n">
        <v>0.677</v>
      </c>
      <c r="K2135" t="inlineStr">
        <is>
          <t>&gt; Perfumería &gt; Cuidado Capilar &gt; Shampoo &gt;</t>
        </is>
      </c>
      <c r="L2135" t="inlineStr">
        <is>
          <t>shampoo</t>
        </is>
      </c>
      <c r="M2135" t="inlineStr">
        <is>
          <t>estandar</t>
        </is>
      </c>
      <c r="N2135" t="inlineStr">
        <is>
          <t>general</t>
        </is>
      </c>
      <c r="O2135" t="inlineStr">
        <is>
          <t>https://www.jumbo.com.ar/shampoo-head-shoulders-limpieza-renovadora-375-ml/p</t>
        </is>
      </c>
    </row>
    <row r="2136">
      <c r="A2136" s="2" t="inlineStr">
        <is>
          <t>Jumbo</t>
        </is>
      </c>
      <c r="B2136" s="2" t="n">
        <v>38197</v>
      </c>
      <c r="C2136" s="2" t="n">
        <v>35354</v>
      </c>
      <c r="D2136" s="2" t="inlineStr">
        <is>
          <t>Acondicionador Head &amp; Shoulders Nutrición Profunda 400 Ml</t>
        </is>
      </c>
      <c r="E2136" s="2" t="inlineStr">
        <is>
          <t>HEAD &amp; SHOULDERS</t>
        </is>
      </c>
      <c r="F2136" s="2" t="n">
        <v>134.83</v>
      </c>
      <c r="G2136" s="2" t="n">
        <v>11143</v>
      </c>
      <c r="H2136" s="2" t="b">
        <v>0</v>
      </c>
      <c r="I2136" s="2" t="n">
        <v>400</v>
      </c>
      <c r="J2136" s="2" t="n">
        <v>0.3371</v>
      </c>
      <c r="K2136" s="2" t="inlineStr">
        <is>
          <t>&gt; Perfumería &gt; Cuidado Capilar &gt; Acondicionador &gt;</t>
        </is>
      </c>
      <c r="L2136" s="2" t="inlineStr">
        <is>
          <t>acondicionador</t>
        </is>
      </c>
      <c r="M2136" s="2" t="inlineStr">
        <is>
          <t>estandar</t>
        </is>
      </c>
      <c r="N2136" s="2" t="inlineStr">
        <is>
          <t>general</t>
        </is>
      </c>
      <c r="O2136" s="2" t="inlineStr">
        <is>
          <t>https://www.jumbo.com.ar/acondicionador-head-shoulders-nutricion-profunda-400-ml/p</t>
        </is>
      </c>
    </row>
    <row r="2137">
      <c r="A2137" t="inlineStr">
        <is>
          <t>Jumbo</t>
        </is>
      </c>
      <c r="B2137" t="n">
        <v>17820</v>
      </c>
      <c r="C2137" t="n">
        <v>14936</v>
      </c>
      <c r="D2137" t="inlineStr">
        <is>
          <t>Acondicionador Head &amp; Shoulders Inst Relief 200 Ml</t>
        </is>
      </c>
      <c r="E2137" t="inlineStr">
        <is>
          <t>HEAD &amp; SHOULDERS</t>
        </is>
      </c>
      <c r="F2137" t="n">
        <v>54.29</v>
      </c>
      <c r="G2137" t="n">
        <v>4487</v>
      </c>
      <c r="H2137" t="b">
        <v>0</v>
      </c>
      <c r="I2137" t="n">
        <v>200</v>
      </c>
      <c r="J2137" t="n">
        <v>0.2714</v>
      </c>
      <c r="K2137" t="inlineStr">
        <is>
          <t>&gt; Perfumería &gt; Cuidado Capilar &gt; Acondicionador &gt;</t>
        </is>
      </c>
      <c r="L2137" t="inlineStr">
        <is>
          <t>acondicionador</t>
        </is>
      </c>
      <c r="M2137" t="inlineStr">
        <is>
          <t>estandar</t>
        </is>
      </c>
      <c r="N2137" t="inlineStr">
        <is>
          <t>general</t>
        </is>
      </c>
      <c r="O2137" t="inlineStr">
        <is>
          <t>https://www.jumbo.com.ar/acondicionador-head-shoulders-inst-relief-200-ml/p</t>
        </is>
      </c>
    </row>
    <row r="2138">
      <c r="A2138" s="2" t="inlineStr">
        <is>
          <t>Jumbo</t>
        </is>
      </c>
      <c r="B2138" s="2" t="n">
        <v>337362</v>
      </c>
      <c r="C2138" s="2" t="n">
        <v>336465</v>
      </c>
      <c r="D2138" s="2" t="inlineStr">
        <is>
          <t>Shampoo Head &amp; Shoulders Suave Y Manejable 375 Ml</t>
        </is>
      </c>
      <c r="E2138" s="2" t="inlineStr">
        <is>
          <t>HEAD &amp; SHOULDERS</t>
        </is>
      </c>
      <c r="F2138" s="2" t="n">
        <v>887.27</v>
      </c>
      <c r="G2138" s="2" t="n">
        <v>73328</v>
      </c>
      <c r="H2138" s="2" t="b">
        <v>0</v>
      </c>
      <c r="I2138" s="2" t="n">
        <v>375</v>
      </c>
      <c r="J2138" s="2" t="n">
        <v>2.3661</v>
      </c>
      <c r="K2138" s="2" t="inlineStr">
        <is>
          <t>&gt; Perfumería &gt; Cuidado Capilar &gt; Shampoo &gt;</t>
        </is>
      </c>
      <c r="L2138" s="2" t="inlineStr">
        <is>
          <t>shampoo</t>
        </is>
      </c>
      <c r="M2138" s="2" t="inlineStr">
        <is>
          <t>estandar</t>
        </is>
      </c>
      <c r="N2138" s="2" t="inlineStr">
        <is>
          <t>bebe</t>
        </is>
      </c>
      <c r="O2138" s="2" t="inlineStr">
        <is>
          <t>https://www.jumbo.com.ar/shampoo-head-shoulders-suave-y-manejable-375-ml-2/p</t>
        </is>
      </c>
    </row>
    <row r="2139">
      <c r="A2139" t="inlineStr">
        <is>
          <t>Jumbo</t>
        </is>
      </c>
      <c r="B2139" t="n">
        <v>310208</v>
      </c>
      <c r="C2139" t="n">
        <v>309446</v>
      </c>
      <c r="D2139" t="inlineStr">
        <is>
          <t>Dermo-acondicionador Head &amp; Shoulders Limpieza Renovadora 300 Ml</t>
        </is>
      </c>
      <c r="E2139" t="inlineStr">
        <is>
          <t>HEAD &amp; SHOULDERS</t>
        </is>
      </c>
      <c r="F2139" t="n">
        <v>456.47</v>
      </c>
      <c r="G2139" t="n">
        <v>37725</v>
      </c>
      <c r="H2139" t="b">
        <v>0</v>
      </c>
      <c r="I2139" t="n">
        <v>300</v>
      </c>
      <c r="J2139" t="n">
        <v>1.5216</v>
      </c>
      <c r="K2139" t="inlineStr">
        <is>
          <t>&gt; Perfumería &gt; Cuidado Capilar &gt; Acondicionador &gt;</t>
        </is>
      </c>
      <c r="L2139" t="inlineStr">
        <is>
          <t>acondicionador</t>
        </is>
      </c>
      <c r="M2139" t="inlineStr">
        <is>
          <t>estandar</t>
        </is>
      </c>
      <c r="N2139" t="inlineStr">
        <is>
          <t>general</t>
        </is>
      </c>
      <c r="O2139" t="inlineStr">
        <is>
          <t>https://www.jumbo.com.ar/dermo-acondicionador-head-shoulders-limpieza-renovadora-300-ml/p</t>
        </is>
      </c>
    </row>
    <row r="2140">
      <c r="A2140" s="2" t="inlineStr">
        <is>
          <t>Jumbo</t>
        </is>
      </c>
      <c r="B2140" s="2" t="n">
        <v>275471</v>
      </c>
      <c r="C2140" s="2" t="n">
        <v>274767</v>
      </c>
      <c r="D2140" s="2" t="inlineStr">
        <is>
          <t>Acondicionador Head &amp; Shoulders Suave Y Maneja 180 Ml</t>
        </is>
      </c>
      <c r="E2140" s="2" t="inlineStr">
        <is>
          <t>HEAD &amp; SHOULDERS</t>
        </is>
      </c>
      <c r="F2140" s="2" t="n">
        <v>118.99</v>
      </c>
      <c r="G2140" s="2" t="n">
        <v>9834</v>
      </c>
      <c r="H2140" s="2" t="b">
        <v>0</v>
      </c>
      <c r="I2140" s="2" t="n">
        <v>180</v>
      </c>
      <c r="J2140" s="2" t="n">
        <v>0.6611</v>
      </c>
      <c r="K2140" s="2" t="inlineStr">
        <is>
          <t>&gt; Perfumería &gt; Cuidado Capilar &gt; Acondicionador &gt;</t>
        </is>
      </c>
      <c r="L2140" s="2" t="inlineStr">
        <is>
          <t>acondicionador</t>
        </is>
      </c>
      <c r="M2140" s="2" t="inlineStr">
        <is>
          <t>estandar</t>
        </is>
      </c>
      <c r="N2140" s="2" t="inlineStr">
        <is>
          <t>bebe</t>
        </is>
      </c>
      <c r="O2140" s="2" t="inlineStr">
        <is>
          <t>https://www.jumbo.com.ar/acondicionador-head-shoulders-suave-y-maneja-180-ml/p</t>
        </is>
      </c>
    </row>
    <row r="2141">
      <c r="A2141" t="inlineStr">
        <is>
          <t>Jumbo</t>
        </is>
      </c>
      <c r="B2141" t="n">
        <v>275427</v>
      </c>
      <c r="C2141" t="n">
        <v>274723</v>
      </c>
      <c r="D2141" t="inlineStr">
        <is>
          <t>Shampoo Head &amp; Shoulders Men Previene Caida 375 Ml</t>
        </is>
      </c>
      <c r="E2141" t="inlineStr">
        <is>
          <t>HEAD &amp; SHOULDERS</t>
        </is>
      </c>
      <c r="F2141" t="n">
        <v>246.49</v>
      </c>
      <c r="G2141" t="n">
        <v>20371</v>
      </c>
      <c r="H2141" t="b">
        <v>0</v>
      </c>
      <c r="I2141" t="n">
        <v>375</v>
      </c>
      <c r="J2141" t="n">
        <v>0.6573</v>
      </c>
      <c r="K2141" t="inlineStr">
        <is>
          <t>&gt; Perfumería &gt; Cuidado Capilar &gt; Shampoo &gt;</t>
        </is>
      </c>
      <c r="L2141" t="inlineStr">
        <is>
          <t>shampoo</t>
        </is>
      </c>
      <c r="M2141" t="inlineStr">
        <is>
          <t>estandar</t>
        </is>
      </c>
      <c r="N2141" t="inlineStr">
        <is>
          <t>general</t>
        </is>
      </c>
      <c r="O2141" t="inlineStr">
        <is>
          <t>https://www.jumbo.com.ar/shampoo-head-shoulders-men-previene-caida-375-ml/p</t>
        </is>
      </c>
    </row>
    <row r="2142">
      <c r="A2142" s="2" t="inlineStr">
        <is>
          <t>Jumbo</t>
        </is>
      </c>
      <c r="B2142" s="2" t="n">
        <v>424001</v>
      </c>
      <c r="C2142" s="2" t="n">
        <v>417078</v>
      </c>
      <c r="D2142" s="2" t="inlineStr">
        <is>
          <t>Shampoo 3 En 1 650 Ml Head &amp; Shoulders</t>
        </is>
      </c>
      <c r="E2142" s="2" t="inlineStr">
        <is>
          <t>HEAD &amp; SHOULDERS</t>
        </is>
      </c>
      <c r="F2142" s="2" t="n">
        <v>18300</v>
      </c>
      <c r="G2142" s="2" t="n">
        <v>1512397</v>
      </c>
      <c r="H2142" s="2" t="b">
        <v>0</v>
      </c>
      <c r="I2142" s="2" t="n">
        <v>650</v>
      </c>
      <c r="J2142" s="2" t="n">
        <v>28.1538</v>
      </c>
      <c r="K2142" s="2" t="inlineStr">
        <is>
          <t>&gt; Perfumería &gt; Cuidado Capilar &gt; Shampoo &gt;</t>
        </is>
      </c>
      <c r="L2142" s="2" t="inlineStr">
        <is>
          <t>shampoo</t>
        </is>
      </c>
      <c r="M2142" s="2" t="inlineStr">
        <is>
          <t>estandar</t>
        </is>
      </c>
      <c r="N2142" s="2" t="inlineStr">
        <is>
          <t>general</t>
        </is>
      </c>
      <c r="O2142" s="2" t="inlineStr">
        <is>
          <t>https://www.jumbo.com.ar/shampoo-3-en-1-650-ml-head-shoulders-2/p</t>
        </is>
      </c>
    </row>
    <row r="2143">
      <c r="A2143" t="inlineStr">
        <is>
          <t>Jumbo</t>
        </is>
      </c>
      <c r="B2143" t="n">
        <v>337361</v>
      </c>
      <c r="C2143" t="n">
        <v>336464</v>
      </c>
      <c r="D2143" t="inlineStr">
        <is>
          <t>Shampoo Head &amp; Shoulders Suave Y Manejable 180 Ml</t>
        </is>
      </c>
      <c r="E2143" t="inlineStr">
        <is>
          <t>HEAD &amp; SHOULDERS</t>
        </is>
      </c>
      <c r="F2143" t="n">
        <v>549.59</v>
      </c>
      <c r="G2143" t="n">
        <v>45421</v>
      </c>
      <c r="H2143" t="b">
        <v>0</v>
      </c>
      <c r="I2143" t="n">
        <v>180</v>
      </c>
      <c r="J2143" t="n">
        <v>3.0533</v>
      </c>
      <c r="K2143" t="inlineStr">
        <is>
          <t>&gt; Perfumería &gt; Cuidado Capilar &gt; Shampoo &gt;</t>
        </is>
      </c>
      <c r="L2143" t="inlineStr">
        <is>
          <t>shampoo</t>
        </is>
      </c>
      <c r="M2143" t="inlineStr">
        <is>
          <t>estandar</t>
        </is>
      </c>
      <c r="N2143" t="inlineStr">
        <is>
          <t>bebe</t>
        </is>
      </c>
      <c r="O2143" t="inlineStr">
        <is>
          <t>https://www.jumbo.com.ar/shampoo-head-shoulders-suave-y-manejable-180-ml-2/p</t>
        </is>
      </c>
    </row>
    <row r="2144">
      <c r="A2144" s="2" t="inlineStr">
        <is>
          <t>Jumbo</t>
        </is>
      </c>
      <c r="B2144" s="2" t="n">
        <v>307416</v>
      </c>
      <c r="C2144" s="2" t="n">
        <v>306653</v>
      </c>
      <c r="D2144" s="2" t="inlineStr">
        <is>
          <t>Dermo Acondicionador Head &amp; Shoulders Protección Caída 150 Ml</t>
        </is>
      </c>
      <c r="E2144" s="2" t="inlineStr">
        <is>
          <t>HEAD &amp; SHOULDERS</t>
        </is>
      </c>
      <c r="F2144" s="2" t="n">
        <v>850</v>
      </c>
      <c r="G2144" s="2" t="n">
        <v>70248</v>
      </c>
      <c r="H2144" s="2" t="b">
        <v>0</v>
      </c>
      <c r="I2144" s="2" t="n">
        <v>150</v>
      </c>
      <c r="J2144" s="2" t="n">
        <v>5.6667</v>
      </c>
      <c r="K2144" s="2" t="inlineStr">
        <is>
          <t>&gt; Perfumería &gt; Cuidado Capilar &gt; Acondicionador &gt;</t>
        </is>
      </c>
      <c r="L2144" s="2" t="inlineStr">
        <is>
          <t>acondicionador</t>
        </is>
      </c>
      <c r="M2144" s="2" t="inlineStr">
        <is>
          <t>estandar</t>
        </is>
      </c>
      <c r="N2144" s="2" t="inlineStr">
        <is>
          <t>general</t>
        </is>
      </c>
      <c r="O2144" s="2" t="inlineStr">
        <is>
          <t>https://www.jumbo.com.ar/dermo-acondicionador-head-shoulders-proteccion-caida-150-ml/p</t>
        </is>
      </c>
    </row>
    <row r="2145">
      <c r="A2145" t="inlineStr">
        <is>
          <t>Jumbo</t>
        </is>
      </c>
      <c r="B2145" t="n">
        <v>275372</v>
      </c>
      <c r="C2145" t="n">
        <v>274668</v>
      </c>
      <c r="D2145" t="inlineStr">
        <is>
          <t>Shampoo Head &amp; Shoulders Suave Y Manejable 375 Ml</t>
        </is>
      </c>
      <c r="E2145" t="inlineStr">
        <is>
          <t>HEAD &amp; SHOULDERS</t>
        </is>
      </c>
      <c r="F2145" t="n">
        <v>253.89</v>
      </c>
      <c r="G2145" t="n">
        <v>20983</v>
      </c>
      <c r="H2145" t="b">
        <v>0</v>
      </c>
      <c r="I2145" t="n">
        <v>375</v>
      </c>
      <c r="J2145" t="n">
        <v>0.677</v>
      </c>
      <c r="K2145" t="inlineStr">
        <is>
          <t>&gt; Perfumería &gt; Cuidado Capilar &gt; Shampoo &gt;</t>
        </is>
      </c>
      <c r="L2145" t="inlineStr">
        <is>
          <t>shampoo</t>
        </is>
      </c>
      <c r="M2145" t="inlineStr">
        <is>
          <t>estandar</t>
        </is>
      </c>
      <c r="N2145" t="inlineStr">
        <is>
          <t>bebe</t>
        </is>
      </c>
      <c r="O2145" t="inlineStr">
        <is>
          <t>https://www.jumbo.com.ar/shampoo-head-shoulders-suave-y-manejable-375-ml/p</t>
        </is>
      </c>
    </row>
    <row r="2146">
      <c r="A2146" s="2" t="inlineStr">
        <is>
          <t>Jumbo</t>
        </is>
      </c>
      <c r="B2146" s="2" t="n">
        <v>310207</v>
      </c>
      <c r="C2146" s="2" t="n">
        <v>309445</v>
      </c>
      <c r="D2146" s="2" t="inlineStr">
        <is>
          <t>Acondicionador Head &amp; Shoulders Hidratación Aceite De Coco 150 Ml</t>
        </is>
      </c>
      <c r="E2146" s="2" t="inlineStr">
        <is>
          <t>HEAD &amp; SHOULDERS</t>
        </is>
      </c>
      <c r="F2146" s="2" t="n">
        <v>387.67</v>
      </c>
      <c r="G2146" s="2" t="n">
        <v>32039</v>
      </c>
      <c r="H2146" s="2" t="b">
        <v>0</v>
      </c>
      <c r="I2146" s="2" t="n">
        <v>150</v>
      </c>
      <c r="J2146" s="2" t="n">
        <v>2.5845</v>
      </c>
      <c r="K2146" s="2" t="inlineStr">
        <is>
          <t>&gt; Perfumería &gt; Cuidado Capilar &gt; Acondicionador &gt;</t>
        </is>
      </c>
      <c r="L2146" s="2" t="inlineStr">
        <is>
          <t>acondicionador</t>
        </is>
      </c>
      <c r="M2146" s="2" t="inlineStr">
        <is>
          <t>estandar</t>
        </is>
      </c>
      <c r="N2146" s="2" t="inlineStr">
        <is>
          <t>seco_danado</t>
        </is>
      </c>
      <c r="O2146" s="2" t="inlineStr">
        <is>
          <t>https://www.jumbo.com.ar/acondicionador-head-shoulders-hidratacion-aceite-de-coco-150-ml/p</t>
        </is>
      </c>
    </row>
    <row r="2147">
      <c r="A2147" t="inlineStr">
        <is>
          <t>Jumbo</t>
        </is>
      </c>
      <c r="B2147" t="n">
        <v>310202</v>
      </c>
      <c r="C2147" t="n">
        <v>309440</v>
      </c>
      <c r="D2147" t="inlineStr">
        <is>
          <t>Shampoo Head &amp; Shoulders Hidratación Aceite De Coco 700 Ml</t>
        </is>
      </c>
      <c r="E2147" t="inlineStr">
        <is>
          <t>HEAD &amp; SHOULDERS</t>
        </is>
      </c>
      <c r="F2147" t="n">
        <v>616.89</v>
      </c>
      <c r="G2147" t="n">
        <v>50983</v>
      </c>
      <c r="H2147" t="b">
        <v>0</v>
      </c>
      <c r="I2147" t="n">
        <v>700</v>
      </c>
      <c r="J2147" t="n">
        <v>0.8813</v>
      </c>
      <c r="K2147" t="inlineStr">
        <is>
          <t>&gt; Perfumería &gt; Cuidado Capilar &gt; Shampoo &gt;</t>
        </is>
      </c>
      <c r="L2147" t="inlineStr">
        <is>
          <t>shampoo</t>
        </is>
      </c>
      <c r="M2147" t="inlineStr">
        <is>
          <t>estandar</t>
        </is>
      </c>
      <c r="N2147" t="inlineStr">
        <is>
          <t>seco_danado</t>
        </is>
      </c>
      <c r="O2147" t="inlineStr">
        <is>
          <t>https://www.jumbo.com.ar/shampoo-head-shoulders-hidratacion-aceite-de-coco-700-ml/p</t>
        </is>
      </c>
    </row>
    <row r="2148">
      <c r="A2148" s="2" t="inlineStr">
        <is>
          <t>Jumbo</t>
        </is>
      </c>
      <c r="B2148" s="2" t="n">
        <v>307454</v>
      </c>
      <c r="C2148" s="2" t="n">
        <v>306691</v>
      </c>
      <c r="D2148" s="2" t="inlineStr">
        <is>
          <t>Dermo Acondicionador Head &amp; Shoulders Manzana Fresh 150 Ml</t>
        </is>
      </c>
      <c r="E2148" s="2" t="inlineStr">
        <is>
          <t>HEAD &amp; SHOULDERS</t>
        </is>
      </c>
      <c r="F2148" s="2" t="n">
        <v>387.67</v>
      </c>
      <c r="G2148" s="2" t="n">
        <v>32039</v>
      </c>
      <c r="H2148" s="2" t="b">
        <v>0</v>
      </c>
      <c r="I2148" s="2" t="n">
        <v>150</v>
      </c>
      <c r="J2148" s="2" t="n">
        <v>2.5845</v>
      </c>
      <c r="K2148" s="2" t="inlineStr">
        <is>
          <t>&gt; Perfumería &gt; Cuidado Capilar &gt; Acondicionador &gt;</t>
        </is>
      </c>
      <c r="L2148" s="2" t="inlineStr">
        <is>
          <t>acondicionador</t>
        </is>
      </c>
      <c r="M2148" s="2" t="inlineStr">
        <is>
          <t>estandar</t>
        </is>
      </c>
      <c r="N2148" s="2" t="inlineStr">
        <is>
          <t>general</t>
        </is>
      </c>
      <c r="O2148" s="2" t="inlineStr">
        <is>
          <t>https://www.jumbo.com.ar/dermo-acondicionador-head-shoulders-manzana-fresh-150-ml/p</t>
        </is>
      </c>
    </row>
    <row r="2149">
      <c r="A2149" t="inlineStr">
        <is>
          <t>Jumbo</t>
        </is>
      </c>
      <c r="B2149" t="n">
        <v>295011</v>
      </c>
      <c r="C2149" t="n">
        <v>294243</v>
      </c>
      <c r="D2149" t="inlineStr">
        <is>
          <t>Shampoo Anti-Caspa Charcoal 375 Ml Head y Shoulders</t>
        </is>
      </c>
      <c r="E2149" t="inlineStr">
        <is>
          <t>HEAD &amp; SHOULDERS</t>
        </is>
      </c>
      <c r="F2149" t="n">
        <v>11850</v>
      </c>
      <c r="G2149" t="n">
        <v>979339</v>
      </c>
      <c r="H2149" t="b">
        <v>0</v>
      </c>
      <c r="I2149" t="n">
        <v>375</v>
      </c>
      <c r="J2149" t="n">
        <v>31.6</v>
      </c>
      <c r="K2149" t="inlineStr">
        <is>
          <t>&gt; Perfumería &gt; Cuidado Capilar &gt; Shampoo &gt;</t>
        </is>
      </c>
      <c r="L2149" t="inlineStr">
        <is>
          <t>shampoo</t>
        </is>
      </c>
      <c r="M2149" t="inlineStr">
        <is>
          <t>estandar</t>
        </is>
      </c>
      <c r="N2149" t="inlineStr">
        <is>
          <t>anticaspa</t>
        </is>
      </c>
      <c r="O2149" t="inlineStr">
        <is>
          <t>https://www.jumbo.com.ar/shampoo-charcoal-375-ml-head-shoulders-2/p</t>
        </is>
      </c>
    </row>
    <row r="2150">
      <c r="A2150" s="2" t="inlineStr">
        <is>
          <t>Jumbo</t>
        </is>
      </c>
      <c r="B2150" s="2" t="n">
        <v>275366</v>
      </c>
      <c r="C2150" s="2" t="n">
        <v>274662</v>
      </c>
      <c r="D2150" s="2" t="inlineStr">
        <is>
          <t>Shampoo Head &amp; Shoulders Suave Y Manejable 180 Ml</t>
        </is>
      </c>
      <c r="E2150" s="2" t="inlineStr">
        <is>
          <t>HEAD &amp; SHOULDERS</t>
        </is>
      </c>
      <c r="F2150" s="2" t="n">
        <v>157.35</v>
      </c>
      <c r="G2150" s="2" t="n">
        <v>13004</v>
      </c>
      <c r="H2150" s="2" t="b">
        <v>0</v>
      </c>
      <c r="I2150" s="2" t="n">
        <v>180</v>
      </c>
      <c r="J2150" s="2" t="n">
        <v>0.8742</v>
      </c>
      <c r="K2150" s="2" t="inlineStr">
        <is>
          <t>&gt; Perfumería &gt; Cuidado Capilar &gt; Shampoo &gt;</t>
        </is>
      </c>
      <c r="L2150" s="2" t="inlineStr">
        <is>
          <t>shampoo</t>
        </is>
      </c>
      <c r="M2150" s="2" t="inlineStr">
        <is>
          <t>estandar</t>
        </is>
      </c>
      <c r="N2150" s="2" t="inlineStr">
        <is>
          <t>bebe</t>
        </is>
      </c>
      <c r="O2150" s="2" t="inlineStr">
        <is>
          <t>https://www.jumbo.com.ar/shampoo-head-shoulders-suave-y-manejable-180-ml/p</t>
        </is>
      </c>
    </row>
    <row r="2151">
      <c r="A2151" t="inlineStr">
        <is>
          <t>Jumbo</t>
        </is>
      </c>
      <c r="B2151" t="n">
        <v>275362</v>
      </c>
      <c r="C2151" t="n">
        <v>274658</v>
      </c>
      <c r="D2151" t="inlineStr">
        <is>
          <t>Acondicionador Head &amp; Shoulders Suave Y Maneja 375 Ml</t>
        </is>
      </c>
      <c r="E2151" t="inlineStr">
        <is>
          <t>HEAD &amp; SHOULDERS</t>
        </is>
      </c>
      <c r="F2151" t="n">
        <v>208.19</v>
      </c>
      <c r="G2151" t="n">
        <v>17206</v>
      </c>
      <c r="H2151" t="b">
        <v>0</v>
      </c>
      <c r="I2151" t="n">
        <v>375</v>
      </c>
      <c r="J2151" t="n">
        <v>0.5552</v>
      </c>
      <c r="K2151" t="inlineStr">
        <is>
          <t>&gt; Perfumería &gt; Cuidado Capilar &gt; Acondicionador &gt;</t>
        </is>
      </c>
      <c r="L2151" t="inlineStr">
        <is>
          <t>acondicionador</t>
        </is>
      </c>
      <c r="M2151" t="inlineStr">
        <is>
          <t>estandar</t>
        </is>
      </c>
      <c r="N2151" t="inlineStr">
        <is>
          <t>bebe</t>
        </is>
      </c>
      <c r="O2151" t="inlineStr">
        <is>
          <t>https://www.jumbo.com.ar/acondicionador-head-shoulders-suave-y-maneja-375-ml/p</t>
        </is>
      </c>
    </row>
    <row r="2152">
      <c r="A2152" s="2" t="inlineStr">
        <is>
          <t>Jumbo</t>
        </is>
      </c>
      <c r="B2152" s="2" t="n">
        <v>391944</v>
      </c>
      <c r="C2152" s="2" t="n">
        <v>389996</v>
      </c>
      <c r="D2152" s="2" t="inlineStr">
        <is>
          <t>Shampoo Head &amp; Shoulders Aceite De Argán Control Caspa 700 Ml</t>
        </is>
      </c>
      <c r="E2152" s="2" t="inlineStr">
        <is>
          <t>HEAD &amp; SHOULDERS</t>
        </is>
      </c>
      <c r="F2152" s="2" t="n">
        <v>17550</v>
      </c>
      <c r="G2152" s="2" t="n">
        <v>1450413</v>
      </c>
      <c r="H2152" s="2" t="b">
        <v>0</v>
      </c>
      <c r="I2152" s="2" t="n">
        <v>700</v>
      </c>
      <c r="J2152" s="2" t="n">
        <v>25.0714</v>
      </c>
      <c r="K2152" s="2" t="inlineStr">
        <is>
          <t>&gt; Perfumería &gt; Cuidado Capilar &gt; Shampoo &gt;</t>
        </is>
      </c>
      <c r="L2152" s="2" t="inlineStr">
        <is>
          <t>shampoo</t>
        </is>
      </c>
      <c r="M2152" s="2" t="inlineStr">
        <is>
          <t>estandar</t>
        </is>
      </c>
      <c r="N2152" s="2" t="inlineStr">
        <is>
          <t>anticaspa</t>
        </is>
      </c>
      <c r="O2152" s="2" t="inlineStr">
        <is>
          <t>https://www.jumbo.com.ar/shampoo-head-shoulders-aceite-de-argan-control-caspa-700-ml/p</t>
        </is>
      </c>
    </row>
    <row r="2153">
      <c r="A2153" t="inlineStr">
        <is>
          <t>Jumbo</t>
        </is>
      </c>
      <c r="B2153" t="n">
        <v>337360</v>
      </c>
      <c r="C2153" t="n">
        <v>336463</v>
      </c>
      <c r="D2153" t="inlineStr">
        <is>
          <t>Shampoo Head &amp; Shoulders Protección Caída Con Cafeína 700 Ml</t>
        </is>
      </c>
      <c r="E2153" t="inlineStr">
        <is>
          <t>HEAD &amp; SHOULDERS</t>
        </is>
      </c>
      <c r="F2153" t="n">
        <v>1363.99</v>
      </c>
      <c r="G2153" t="n">
        <v>112726</v>
      </c>
      <c r="H2153" t="b">
        <v>0</v>
      </c>
      <c r="I2153" t="n">
        <v>700</v>
      </c>
      <c r="J2153" t="n">
        <v>1.9486</v>
      </c>
      <c r="K2153" t="inlineStr">
        <is>
          <t>&gt; Perfumería &gt; Cuidado Capilar &gt; Shampoo &gt;</t>
        </is>
      </c>
      <c r="L2153" t="inlineStr">
        <is>
          <t>shampoo</t>
        </is>
      </c>
      <c r="M2153" t="inlineStr">
        <is>
          <t>estandar</t>
        </is>
      </c>
      <c r="N2153" t="inlineStr">
        <is>
          <t>general</t>
        </is>
      </c>
      <c r="O2153" t="inlineStr">
        <is>
          <t>https://www.jumbo.com.ar/shampoo-head-shoulders-proteccion-caida-con-cafeina-700-ml/p</t>
        </is>
      </c>
    </row>
    <row r="2154">
      <c r="A2154" s="2" t="inlineStr">
        <is>
          <t>Jumbo</t>
        </is>
      </c>
      <c r="B2154" s="2" t="n">
        <v>332648</v>
      </c>
      <c r="C2154" s="2" t="n">
        <v>331803</v>
      </c>
      <c r="D2154" s="2" t="inlineStr">
        <is>
          <t>Shampoo Head &amp; Shoulders Crece Fuerte Desde La Raíz 700 Ml</t>
        </is>
      </c>
      <c r="E2154" s="2" t="inlineStr">
        <is>
          <t>HEAD &amp; SHOULDERS</t>
        </is>
      </c>
      <c r="F2154" s="2" t="n">
        <v>1136.69</v>
      </c>
      <c r="G2154" s="2" t="n">
        <v>93941</v>
      </c>
      <c r="H2154" s="2" t="b">
        <v>0</v>
      </c>
      <c r="I2154" s="2" t="n">
        <v>700</v>
      </c>
      <c r="J2154" s="2" t="n">
        <v>1.6238</v>
      </c>
      <c r="K2154" s="2" t="inlineStr">
        <is>
          <t>&gt; Perfumería &gt; Cuidado Capilar &gt; Shampoo &gt;</t>
        </is>
      </c>
      <c r="L2154" s="2" t="inlineStr">
        <is>
          <t>shampoo</t>
        </is>
      </c>
      <c r="M2154" s="2" t="inlineStr">
        <is>
          <t>estandar</t>
        </is>
      </c>
      <c r="N2154" s="2" t="inlineStr">
        <is>
          <t>general</t>
        </is>
      </c>
      <c r="O2154" s="2" t="inlineStr">
        <is>
          <t>https://www.jumbo.com.ar/shampoo-head-shoulders-crece-fuerte-desde-la-raiz-700-ml/p</t>
        </is>
      </c>
    </row>
    <row r="2155">
      <c r="A2155" t="inlineStr">
        <is>
          <t>Jumbo</t>
        </is>
      </c>
      <c r="B2155" t="n">
        <v>307405</v>
      </c>
      <c r="C2155" t="n">
        <v>306642</v>
      </c>
      <c r="D2155" t="inlineStr">
        <is>
          <t>Dermo Acondicionador Head &amp; Shoulders Suave Y Manejable 300 Ml</t>
        </is>
      </c>
      <c r="E2155" t="inlineStr">
        <is>
          <t>HEAD &amp; SHOULDERS</t>
        </is>
      </c>
      <c r="F2155" t="n">
        <v>7800</v>
      </c>
      <c r="G2155" t="n">
        <v>644628</v>
      </c>
      <c r="H2155" t="b">
        <v>0</v>
      </c>
      <c r="I2155" t="n">
        <v>300</v>
      </c>
      <c r="J2155" t="n">
        <v>26</v>
      </c>
      <c r="K2155" t="inlineStr">
        <is>
          <t>&gt; Perfumería &gt; Cuidado Capilar &gt; Acondicionador &gt;</t>
        </is>
      </c>
      <c r="L2155" t="inlineStr">
        <is>
          <t>acondicionador</t>
        </is>
      </c>
      <c r="M2155" t="inlineStr">
        <is>
          <t>estandar</t>
        </is>
      </c>
      <c r="N2155" t="inlineStr">
        <is>
          <t>bebe</t>
        </is>
      </c>
      <c r="O2155" t="inlineStr">
        <is>
          <t>https://www.jumbo.com.ar/dermo-acondicionador-head-shoulders-suave-y-manejable-300-ml/p</t>
        </is>
      </c>
    </row>
    <row r="2156">
      <c r="A2156" s="2" t="inlineStr">
        <is>
          <t>Jumbo</t>
        </is>
      </c>
      <c r="B2156" s="2" t="n">
        <v>386614</v>
      </c>
      <c r="C2156" s="2" t="n">
        <v>384893</v>
      </c>
      <c r="D2156" s="2" t="inlineStr">
        <is>
          <t>Shampoo Head And Shoulders Men 3 En 1 700 Ml</t>
        </is>
      </c>
      <c r="E2156" s="2" t="inlineStr">
        <is>
          <t>HEAD &amp; SHOULDERS</t>
        </is>
      </c>
      <c r="F2156" s="2" t="n">
        <v>12258.99</v>
      </c>
      <c r="G2156" s="2" t="n">
        <v>1013140</v>
      </c>
      <c r="H2156" s="2" t="b">
        <v>0</v>
      </c>
      <c r="I2156" s="2" t="n">
        <v>700</v>
      </c>
      <c r="J2156" s="2" t="n">
        <v>17.5128</v>
      </c>
      <c r="K2156" s="2" t="inlineStr">
        <is>
          <t>&gt; Perfumería &gt; Cuidado Capilar &gt; Shampoo &gt;</t>
        </is>
      </c>
      <c r="L2156" s="2" t="inlineStr">
        <is>
          <t>shampoo</t>
        </is>
      </c>
      <c r="M2156" s="2" t="inlineStr">
        <is>
          <t>estandar</t>
        </is>
      </c>
      <c r="N2156" s="2" t="inlineStr">
        <is>
          <t>general</t>
        </is>
      </c>
      <c r="O2156" s="2" t="inlineStr">
        <is>
          <t>https://www.jumbo.com.ar/shampoo-head-and-shoulders-men-3-en-1-700-ml/p</t>
        </is>
      </c>
    </row>
    <row r="2157">
      <c r="A2157" t="inlineStr">
        <is>
          <t>Jumbo</t>
        </is>
      </c>
      <c r="B2157" t="n">
        <v>341816</v>
      </c>
      <c r="C2157" t="n">
        <v>340503</v>
      </c>
      <c r="D2157" t="inlineStr">
        <is>
          <t>Shampoo Anti Caspa Dermo Sensitive 375 Ml Head y Shoulders</t>
        </is>
      </c>
      <c r="E2157" t="inlineStr">
        <is>
          <t>HEAD &amp; SHOULDERS</t>
        </is>
      </c>
      <c r="F2157" t="n">
        <v>11850</v>
      </c>
      <c r="G2157" t="n">
        <v>979339</v>
      </c>
      <c r="H2157" t="b">
        <v>0</v>
      </c>
      <c r="I2157" t="n">
        <v>375</v>
      </c>
      <c r="J2157" t="n">
        <v>31.6</v>
      </c>
      <c r="K2157" t="inlineStr">
        <is>
          <t>&gt; Perfumería &gt; Cuidado Capilar &gt; Shampoo &gt;</t>
        </is>
      </c>
      <c r="L2157" t="inlineStr">
        <is>
          <t>shampoo</t>
        </is>
      </c>
      <c r="M2157" t="inlineStr">
        <is>
          <t>estandar</t>
        </is>
      </c>
      <c r="N2157" t="inlineStr">
        <is>
          <t>anticaspa</t>
        </is>
      </c>
      <c r="O2157" t="inlineStr">
        <is>
          <t>https://www.jumbo.com.ar/shampoo-sensitive-375-ml-head-shoulders/p</t>
        </is>
      </c>
    </row>
    <row r="2158">
      <c r="A2158" s="2" t="inlineStr">
        <is>
          <t>Jumbo</t>
        </is>
      </c>
      <c r="B2158" s="2" t="n">
        <v>341811</v>
      </c>
      <c r="C2158" s="2" t="n">
        <v>340498</v>
      </c>
      <c r="D2158" s="2" t="inlineStr">
        <is>
          <t>Shampoo Anti-Caspa Dermo Sensitive 180 Ml Head y Shoulders</t>
        </is>
      </c>
      <c r="E2158" s="2" t="inlineStr">
        <is>
          <t>HEAD &amp; SHOULDERS</t>
        </is>
      </c>
      <c r="F2158" s="2" t="n">
        <v>7050</v>
      </c>
      <c r="G2158" s="2" t="n">
        <v>582645</v>
      </c>
      <c r="H2158" s="2" t="b">
        <v>0</v>
      </c>
      <c r="I2158" s="2" t="n">
        <v>180</v>
      </c>
      <c r="J2158" s="2" t="n">
        <v>39.1667</v>
      </c>
      <c r="K2158" s="2" t="inlineStr">
        <is>
          <t>&gt; Perfumería &gt; Cuidado Capilar &gt; Shampoo &gt;</t>
        </is>
      </c>
      <c r="L2158" s="2" t="inlineStr">
        <is>
          <t>shampoo</t>
        </is>
      </c>
      <c r="M2158" s="2" t="inlineStr">
        <is>
          <t>estandar</t>
        </is>
      </c>
      <c r="N2158" s="2" t="inlineStr">
        <is>
          <t>anticaspa</t>
        </is>
      </c>
      <c r="O2158" s="2" t="inlineStr">
        <is>
          <t>https://www.jumbo.com.ar/shampoo-sensitive-180-ml-head-shoulders-2/p</t>
        </is>
      </c>
    </row>
    <row r="2159">
      <c r="A2159" t="inlineStr">
        <is>
          <t>Jumbo</t>
        </is>
      </c>
      <c r="B2159" t="n">
        <v>307404</v>
      </c>
      <c r="C2159" t="n">
        <v>306641</v>
      </c>
      <c r="D2159" t="inlineStr">
        <is>
          <t>Dermo Acondicionador Head &amp; Shoulders Suave Y Manejable 150 Ml</t>
        </is>
      </c>
      <c r="E2159" t="inlineStr">
        <is>
          <t>HEAD &amp; SHOULDERS</t>
        </is>
      </c>
      <c r="F2159" t="n">
        <v>520.97</v>
      </c>
      <c r="G2159" t="n">
        <v>43055</v>
      </c>
      <c r="H2159" t="b">
        <v>0</v>
      </c>
      <c r="I2159" t="n">
        <v>150</v>
      </c>
      <c r="J2159" t="n">
        <v>3.4731</v>
      </c>
      <c r="K2159" t="inlineStr">
        <is>
          <t>&gt; Perfumería &gt; Cuidado Capilar &gt; Acondicionador &gt;</t>
        </is>
      </c>
      <c r="L2159" t="inlineStr">
        <is>
          <t>acondicionador</t>
        </is>
      </c>
      <c r="M2159" t="inlineStr">
        <is>
          <t>estandar</t>
        </is>
      </c>
      <c r="N2159" t="inlineStr">
        <is>
          <t>bebe</t>
        </is>
      </c>
      <c r="O2159" t="inlineStr">
        <is>
          <t>https://www.jumbo.com.ar/dermo-acondicionador-head-shoulders-suave-y-manejable-150-ml/p</t>
        </is>
      </c>
    </row>
    <row r="2160">
      <c r="A2160" s="2" t="inlineStr">
        <is>
          <t>Jumbo</t>
        </is>
      </c>
      <c r="B2160" s="2" t="n">
        <v>295012</v>
      </c>
      <c r="C2160" s="2" t="n">
        <v>294242</v>
      </c>
      <c r="D2160" s="2" t="inlineStr">
        <is>
          <t>Shampoo Anti Caspa con Carbón 180 Ml Head y Shoulders</t>
        </is>
      </c>
      <c r="E2160" s="2" t="inlineStr">
        <is>
          <t>HEAD &amp; SHOULDERS</t>
        </is>
      </c>
      <c r="F2160" s="2" t="n">
        <v>7050</v>
      </c>
      <c r="G2160" s="2" t="n">
        <v>582645</v>
      </c>
      <c r="H2160" s="2" t="b">
        <v>0</v>
      </c>
      <c r="I2160" s="2" t="n">
        <v>180</v>
      </c>
      <c r="J2160" s="2" t="n">
        <v>39.1667</v>
      </c>
      <c r="K2160" s="2" t="inlineStr">
        <is>
          <t>&gt; Perfumería &gt; Cuidado Capilar &gt; Shampoo &gt;</t>
        </is>
      </c>
      <c r="L2160" s="2" t="inlineStr">
        <is>
          <t>shampoo</t>
        </is>
      </c>
      <c r="M2160" s="2" t="inlineStr">
        <is>
          <t>estandar</t>
        </is>
      </c>
      <c r="N2160" s="2" t="inlineStr">
        <is>
          <t>anticaspa</t>
        </is>
      </c>
      <c r="O2160" s="2" t="inlineStr">
        <is>
          <t>https://www.jumbo.com.ar/shampoo-charcoal-180-ml-head-shoulders-2/p</t>
        </is>
      </c>
    </row>
    <row r="2161">
      <c r="A2161" t="inlineStr">
        <is>
          <t>Jumbo</t>
        </is>
      </c>
      <c r="B2161" t="n">
        <v>386623</v>
      </c>
      <c r="C2161" t="n">
        <v>384902</v>
      </c>
      <c r="D2161" t="inlineStr">
        <is>
          <t>Shampoo Head And Shoulders Men 3 En 1 180 Ml</t>
        </is>
      </c>
      <c r="E2161" t="inlineStr">
        <is>
          <t>HEAD &amp; SHOULDERS</t>
        </is>
      </c>
      <c r="F2161" t="n">
        <v>5050</v>
      </c>
      <c r="G2161" t="n">
        <v>417355</v>
      </c>
      <c r="H2161" t="b">
        <v>0</v>
      </c>
      <c r="I2161" t="n">
        <v>180</v>
      </c>
      <c r="J2161" t="n">
        <v>28.0556</v>
      </c>
      <c r="K2161" t="inlineStr">
        <is>
          <t>&gt; Perfumería &gt; Cuidado Capilar &gt; Shampoo &gt;</t>
        </is>
      </c>
      <c r="L2161" t="inlineStr">
        <is>
          <t>shampoo</t>
        </is>
      </c>
      <c r="M2161" t="inlineStr">
        <is>
          <t>estandar</t>
        </is>
      </c>
      <c r="N2161" t="inlineStr">
        <is>
          <t>general</t>
        </is>
      </c>
      <c r="O2161" t="inlineStr">
        <is>
          <t>https://www.jumbo.com.ar/shampoo-head-and-shoulders-men-3-en-1-180-ml/p</t>
        </is>
      </c>
    </row>
    <row r="2162">
      <c r="A2162" s="2" t="inlineStr">
        <is>
          <t>Jumbo</t>
        </is>
      </c>
      <c r="B2162" s="2" t="n">
        <v>115892</v>
      </c>
      <c r="C2162" s="2" t="n">
        <v>114937</v>
      </c>
      <c r="D2162" s="2" t="inlineStr">
        <is>
          <t>Shampoo Head &amp; Shoulders X700ml Sensitive  Pvc 700 Ml.</t>
        </is>
      </c>
      <c r="E2162" s="2" t="inlineStr">
        <is>
          <t>HEAD &amp; SHOULDERS</t>
        </is>
      </c>
      <c r="F2162" s="2" t="n">
        <v>38.35</v>
      </c>
      <c r="G2162" s="2" t="n">
        <v>38.35</v>
      </c>
      <c r="H2162" s="2" t="b">
        <v>0</v>
      </c>
      <c r="I2162" s="2" t="n">
        <v>700</v>
      </c>
      <c r="J2162" s="2" t="n">
        <v>0.0548</v>
      </c>
      <c r="K2162" s="2" t="inlineStr">
        <is>
          <t>&gt; Perfumería &gt; Cuidado Capilar &gt; Shampoo &gt;</t>
        </is>
      </c>
      <c r="L2162" s="2" t="inlineStr">
        <is>
          <t>shampoo</t>
        </is>
      </c>
      <c r="M2162" s="2" t="inlineStr">
        <is>
          <t>estandar</t>
        </is>
      </c>
      <c r="N2162" s="2" t="inlineStr">
        <is>
          <t>general</t>
        </is>
      </c>
      <c r="O2162" s="2" t="inlineStr">
        <is>
          <t>https://www.jumbo.com.ar/shampoo-head-shoulders-x700ml-sensitive-pvc-700-ml/p</t>
        </is>
      </c>
    </row>
    <row r="2163">
      <c r="A2163" t="inlineStr">
        <is>
          <t>Jumbo</t>
        </is>
      </c>
      <c r="B2163" t="n">
        <v>423999</v>
      </c>
      <c r="C2163" t="n">
        <v>417076</v>
      </c>
      <c r="D2163" t="inlineStr">
        <is>
          <t>Shampoo Dermo Sensitive con Aloe Vera 650 Ml Head y Shoulders</t>
        </is>
      </c>
      <c r="E2163" t="inlineStr">
        <is>
          <t>HEAD &amp; SHOULDERS</t>
        </is>
      </c>
      <c r="F2163" t="n">
        <v>18300</v>
      </c>
      <c r="G2163" t="n">
        <v>1512397</v>
      </c>
      <c r="H2163" t="b">
        <v>0</v>
      </c>
      <c r="I2163" t="n">
        <v>650</v>
      </c>
      <c r="J2163" t="n">
        <v>28.1538</v>
      </c>
      <c r="K2163" t="inlineStr">
        <is>
          <t>&gt; Perfumería &gt; Cuidado Capilar &gt; Shampoo &gt;</t>
        </is>
      </c>
      <c r="L2163" t="inlineStr">
        <is>
          <t>shampoo</t>
        </is>
      </c>
      <c r="M2163" t="inlineStr">
        <is>
          <t>estandar</t>
        </is>
      </c>
      <c r="N2163" t="inlineStr">
        <is>
          <t>general</t>
        </is>
      </c>
      <c r="O2163" t="inlineStr">
        <is>
          <t>https://www.jumbo.com.ar/shampoo-sensitive-650-ml-head-shoulders-2/p</t>
        </is>
      </c>
    </row>
    <row r="2164">
      <c r="A2164" s="2" t="inlineStr">
        <is>
          <t>Jumbo</t>
        </is>
      </c>
      <c r="B2164" s="2" t="n">
        <v>310205</v>
      </c>
      <c r="C2164" s="2" t="n">
        <v>309443</v>
      </c>
      <c r="D2164" s="2" t="inlineStr">
        <is>
          <t>Crema Para Peinar Head &amp; Shoulders Hidratación Aceite De Coco 300 Ml</t>
        </is>
      </c>
      <c r="E2164" s="2" t="inlineStr">
        <is>
          <t>Tio Nacho</t>
        </is>
      </c>
      <c r="F2164" s="2" t="n">
        <v>642.95</v>
      </c>
      <c r="G2164" s="2" t="n">
        <v>53136</v>
      </c>
      <c r="H2164" s="2" t="b">
        <v>0</v>
      </c>
      <c r="I2164" s="2" t="n">
        <v>300</v>
      </c>
      <c r="J2164" s="2" t="n">
        <v>2.1432</v>
      </c>
      <c r="K2164" s="2" t="inlineStr">
        <is>
          <t>&gt; Perfumería &gt; Cuidado Capilar &gt; Reparación y Tratamientos &gt;</t>
        </is>
      </c>
      <c r="L2164" s="2" t="inlineStr">
        <is>
          <t>shampoo</t>
        </is>
      </c>
      <c r="M2164" s="2" t="inlineStr">
        <is>
          <t>estandar</t>
        </is>
      </c>
      <c r="N2164" s="2" t="inlineStr">
        <is>
          <t>seco_danado</t>
        </is>
      </c>
      <c r="O2164" s="2" t="inlineStr">
        <is>
          <t>https://www.jumbo.com.ar/crema-para-peinar-head-shoulders-hidratacion-aceite-de-coco-300-ml/p</t>
        </is>
      </c>
    </row>
    <row r="2165">
      <c r="A2165" t="inlineStr">
        <is>
          <t>Jumbo</t>
        </is>
      </c>
      <c r="B2165" t="n">
        <v>307406</v>
      </c>
      <c r="C2165" t="n">
        <v>306643</v>
      </c>
      <c r="D2165" t="inlineStr">
        <is>
          <t>Dermo Acondicionador Head &amp; Shoulders Purificación Capilar Carbón Activado 300 Ml</t>
        </is>
      </c>
      <c r="E2165" t="inlineStr">
        <is>
          <t>HEAD &amp; SHOULDERS</t>
        </is>
      </c>
      <c r="F2165" t="n">
        <v>625.29</v>
      </c>
      <c r="G2165" t="n">
        <v>51677</v>
      </c>
      <c r="H2165" t="b">
        <v>0</v>
      </c>
      <c r="I2165" t="n">
        <v>300</v>
      </c>
      <c r="J2165" t="n">
        <v>2.0843</v>
      </c>
      <c r="K2165" t="inlineStr">
        <is>
          <t>&gt; Perfumería &gt; Cuidado Capilar &gt; Acondicionador &gt;</t>
        </is>
      </c>
      <c r="L2165" t="inlineStr">
        <is>
          <t>acondicionador</t>
        </is>
      </c>
      <c r="M2165" t="inlineStr">
        <is>
          <t>estandar</t>
        </is>
      </c>
      <c r="N2165" t="inlineStr">
        <is>
          <t>general</t>
        </is>
      </c>
      <c r="O2165" t="inlineStr">
        <is>
          <t>https://www.jumbo.com.ar/dermo-acondicionador-head-shoulders-purificacion-capilar-carbon-activado-300-ml/p</t>
        </is>
      </c>
    </row>
    <row r="2166">
      <c r="A2166" s="2" t="inlineStr">
        <is>
          <t>Jumbo</t>
        </is>
      </c>
      <c r="B2166" s="2" t="n">
        <v>311425</v>
      </c>
      <c r="C2166" s="2" t="n">
        <v>310660</v>
      </c>
      <c r="D2166" s="2" t="inlineStr">
        <is>
          <t>Kit Head &amp; Shoulders Hidratación Shampoo 375 Ml  Dermo-acondicionador 300 Ml</t>
        </is>
      </c>
      <c r="E2166" s="2" t="inlineStr">
        <is>
          <t>HEAD &amp; SHOULDERS</t>
        </is>
      </c>
      <c r="F2166" s="2" t="n">
        <v>598.05</v>
      </c>
      <c r="G2166" s="2" t="n">
        <v>49426</v>
      </c>
      <c r="H2166" s="2" t="b">
        <v>0</v>
      </c>
      <c r="I2166" s="2" t="n">
        <v>375</v>
      </c>
      <c r="J2166" s="2" t="n">
        <v>1.5948</v>
      </c>
      <c r="K2166" s="2" t="inlineStr">
        <is>
          <t>&gt; Perfumería &gt; Cuidado Capilar &gt; Shampoo &gt;</t>
        </is>
      </c>
      <c r="L2166" s="2" t="inlineStr">
        <is>
          <t>acondicionador</t>
        </is>
      </c>
      <c r="M2166" s="2" t="inlineStr">
        <is>
          <t>estandar</t>
        </is>
      </c>
      <c r="N2166" s="2" t="inlineStr">
        <is>
          <t>seco_danado</t>
        </is>
      </c>
      <c r="O2166" s="2" t="inlineStr">
        <is>
          <t>https://www.jumbo.com.ar/kit-head-shoulders-hidratacion-shampoo-375-ml-dermo-acondicionador-300-ml/p</t>
        </is>
      </c>
    </row>
    <row r="2167">
      <c r="A2167" t="inlineStr">
        <is>
          <t>Jumbo</t>
        </is>
      </c>
      <c r="B2167" t="n">
        <v>122112</v>
      </c>
      <c r="C2167" t="n">
        <v>121131</v>
      </c>
      <c r="D2167" t="inlineStr">
        <is>
          <t>Shampoo Head &amp; Shoulders X 200ml Liso Y Sedoso  Pvc 200 Ml.</t>
        </is>
      </c>
      <c r="E2167" t="inlineStr">
        <is>
          <t>HEAD &amp; SHOULDERS</t>
        </is>
      </c>
      <c r="F2167" t="n">
        <v>12.75</v>
      </c>
      <c r="G2167" t="n">
        <v>12.75</v>
      </c>
      <c r="H2167" t="b">
        <v>0</v>
      </c>
      <c r="I2167" t="n">
        <v>200</v>
      </c>
      <c r="J2167" t="n">
        <v>0.0638</v>
      </c>
      <c r="K2167" t="inlineStr">
        <is>
          <t>&gt; Perfumería &gt; Cuidado Capilar &gt; Shampoo &gt;</t>
        </is>
      </c>
      <c r="L2167" t="inlineStr">
        <is>
          <t>shampoo</t>
        </is>
      </c>
      <c r="M2167" t="inlineStr">
        <is>
          <t>estandar</t>
        </is>
      </c>
      <c r="N2167" t="inlineStr">
        <is>
          <t>general</t>
        </is>
      </c>
      <c r="O2167" t="inlineStr">
        <is>
          <t>https://www.jumbo.com.ar/shampoo-head-shoulders-x-200ml-liso-y-sedoso-pvc-200-ml/p</t>
        </is>
      </c>
    </row>
    <row r="2168">
      <c r="A2168" s="2" t="inlineStr">
        <is>
          <t>Jumbo</t>
        </is>
      </c>
      <c r="B2168" s="2" t="n">
        <v>7254</v>
      </c>
      <c r="C2168" s="2" t="n">
        <v>4588</v>
      </c>
      <c r="D2168" s="2" t="inlineStr">
        <is>
          <t>Acondicionador H&amp;s Instant Moisture X400ml</t>
        </is>
      </c>
      <c r="E2168" s="2" t="inlineStr">
        <is>
          <t>HEAD &amp; SHOULDERS</t>
        </is>
      </c>
      <c r="F2168" s="2" t="n">
        <v>134.83</v>
      </c>
      <c r="G2168" s="2" t="n">
        <v>11143</v>
      </c>
      <c r="H2168" s="2" t="b">
        <v>0</v>
      </c>
      <c r="I2168" s="2" t="n">
        <v>400</v>
      </c>
      <c r="J2168" s="2" t="n">
        <v>0.3371</v>
      </c>
      <c r="K2168" s="2" t="inlineStr">
        <is>
          <t>&gt; Perfumería &gt; Cuidado Capilar &gt; Acondicionador &gt;</t>
        </is>
      </c>
      <c r="L2168" s="2" t="inlineStr">
        <is>
          <t>acondicionador</t>
        </is>
      </c>
      <c r="M2168" s="2" t="inlineStr">
        <is>
          <t>estandar</t>
        </is>
      </c>
      <c r="N2168" s="2" t="inlineStr">
        <is>
          <t>general</t>
        </is>
      </c>
      <c r="O2168" s="2" t="inlineStr">
        <is>
          <t>https://www.jumbo.com.ar/acondicionador-h-s-instant-moisture-x400ml/p</t>
        </is>
      </c>
    </row>
    <row r="2169">
      <c r="A2169" t="inlineStr">
        <is>
          <t>Jumbo</t>
        </is>
      </c>
      <c r="B2169" t="n">
        <v>41184</v>
      </c>
      <c r="C2169" t="n">
        <v>38349</v>
      </c>
      <c r="D2169" t="inlineStr">
        <is>
          <t>Acondicionador H&amp;s Instant Moisture X200ml</t>
        </is>
      </c>
      <c r="E2169" t="inlineStr">
        <is>
          <t>HEAD &amp; SHOULDERS</t>
        </is>
      </c>
      <c r="F2169" t="n">
        <v>54.29</v>
      </c>
      <c r="G2169" t="n">
        <v>4487</v>
      </c>
      <c r="H2169" t="b">
        <v>0</v>
      </c>
      <c r="I2169" t="n">
        <v>200</v>
      </c>
      <c r="J2169" t="n">
        <v>0.2714</v>
      </c>
      <c r="K2169" t="inlineStr">
        <is>
          <t>&gt; Perfumería &gt; Cuidado Capilar &gt; Acondicionador &gt;</t>
        </is>
      </c>
      <c r="L2169" t="inlineStr">
        <is>
          <t>acondicionador</t>
        </is>
      </c>
      <c r="M2169" t="inlineStr">
        <is>
          <t>estandar</t>
        </is>
      </c>
      <c r="N2169" t="inlineStr">
        <is>
          <t>general</t>
        </is>
      </c>
      <c r="O2169" t="inlineStr">
        <is>
          <t>https://www.jumbo.com.ar/acondicionador-h-s-instant-moisture-x200ml/p</t>
        </is>
      </c>
    </row>
    <row r="2170">
      <c r="A2170" s="2" t="inlineStr">
        <is>
          <t>Jumbo</t>
        </is>
      </c>
      <c r="B2170" s="2" t="n">
        <v>301521</v>
      </c>
      <c r="C2170" s="2" t="n">
        <v>300744</v>
      </c>
      <c r="D2170" s="2" t="inlineStr">
        <is>
          <t>Tío Nacho Crema Para Peinar Anti Daño 250ml</t>
        </is>
      </c>
      <c r="E2170" s="2" t="inlineStr">
        <is>
          <t>Tio Nacho</t>
        </is>
      </c>
      <c r="F2170" s="2" t="n">
        <v>6350</v>
      </c>
      <c r="G2170" s="2" t="n">
        <v>524793</v>
      </c>
      <c r="H2170" s="2" t="b">
        <v>0</v>
      </c>
      <c r="I2170" s="2" t="n">
        <v>250</v>
      </c>
      <c r="J2170" s="2" t="n">
        <v>25.4</v>
      </c>
      <c r="K2170" s="2" t="inlineStr">
        <is>
          <t>&gt; Perfumería &gt; Cuidado Capilar &gt; Reparación y Tratamientos &gt;</t>
        </is>
      </c>
      <c r="L2170" s="2" t="inlineStr">
        <is>
          <t>shampoo</t>
        </is>
      </c>
      <c r="M2170" s="2" t="inlineStr">
        <is>
          <t>estandar</t>
        </is>
      </c>
      <c r="N2170" s="2" t="inlineStr">
        <is>
          <t>general</t>
        </is>
      </c>
      <c r="O2170" s="2" t="inlineStr">
        <is>
          <t>https://www.jumbo.com.ar/tio-nacho-crema-para-peinar-anti-dano-250ml/p</t>
        </is>
      </c>
    </row>
    <row r="2171">
      <c r="A2171" t="inlineStr">
        <is>
          <t>Jumbo</t>
        </is>
      </c>
      <c r="B2171" t="n">
        <v>412493</v>
      </c>
      <c r="C2171" t="n">
        <v>408102</v>
      </c>
      <c r="D2171" t="inlineStr">
        <is>
          <t>Crema para Peinar Rizos Poderosos 250 Ml Fructis</t>
        </is>
      </c>
      <c r="E2171" t="inlineStr">
        <is>
          <t>FRUCTIS</t>
        </is>
      </c>
      <c r="F2171" t="n">
        <v>8100</v>
      </c>
      <c r="G2171" t="n">
        <v>669421</v>
      </c>
      <c r="H2171" t="b">
        <v>1</v>
      </c>
      <c r="I2171" t="n">
        <v>250</v>
      </c>
      <c r="J2171" t="n">
        <v>32.4</v>
      </c>
      <c r="K2171" t="inlineStr">
        <is>
          <t>&gt; Perfumería &gt; Cuidado Capilar &gt; Reparación y Tratamientos &gt;</t>
        </is>
      </c>
      <c r="L2171" t="inlineStr">
        <is>
          <t>shampoo</t>
        </is>
      </c>
      <c r="M2171" t="inlineStr">
        <is>
          <t>estandar</t>
        </is>
      </c>
      <c r="N2171" t="inlineStr">
        <is>
          <t>rizado</t>
        </is>
      </c>
      <c r="O2171" t="inlineStr">
        <is>
          <t>https://www.jumbo.com.ar/crema-para-peinar-fructis-rizos-poderosos-250ml/p</t>
        </is>
      </c>
    </row>
    <row r="2172">
      <c r="A2172" s="2" t="inlineStr">
        <is>
          <t>Jumbo</t>
        </is>
      </c>
      <c r="B2172" s="2" t="n">
        <v>3086633</v>
      </c>
      <c r="C2172" s="2" t="n">
        <v>3085857</v>
      </c>
      <c r="D2172" s="2" t="inlineStr">
        <is>
          <t>Crema para Peinar Borrador de Daño Colágeno Jelly 300 Ml Fructis Crema Para Peinar Oil Control X 300 Ml Fructis</t>
        </is>
      </c>
      <c r="E2172" s="2" t="inlineStr">
        <is>
          <t>FRUCTIS</t>
        </is>
      </c>
      <c r="F2172" s="2" t="n">
        <v>13650</v>
      </c>
      <c r="G2172" s="2" t="n">
        <v>1128099</v>
      </c>
      <c r="H2172" s="2" t="b">
        <v>1</v>
      </c>
      <c r="I2172" s="2" t="n">
        <v>300</v>
      </c>
      <c r="J2172" s="2" t="n">
        <v>45.5</v>
      </c>
      <c r="K2172" s="2" t="inlineStr">
        <is>
          <t>&gt; Perfumería &gt; Cuidado Capilar &gt; Reparación y Tratamientos &gt;</t>
        </is>
      </c>
      <c r="L2172" s="2" t="inlineStr">
        <is>
          <t>shampoo</t>
        </is>
      </c>
      <c r="M2172" s="2" t="inlineStr">
        <is>
          <t>estandar</t>
        </is>
      </c>
      <c r="N2172" s="2" t="inlineStr">
        <is>
          <t>general</t>
        </is>
      </c>
      <c r="O2172" s="2" t="inlineStr">
        <is>
          <t>https://www.jumbo.com.ar/crema-para-peinar-oil-control-x-300-ml-fructis/p</t>
        </is>
      </c>
    </row>
    <row r="2173">
      <c r="A2173" t="inlineStr">
        <is>
          <t>Jumbo</t>
        </is>
      </c>
      <c r="B2173" t="n">
        <v>420155</v>
      </c>
      <c r="C2173" t="n">
        <v>414429</v>
      </c>
      <c r="D2173" t="inlineStr">
        <is>
          <t>Mascarilla Tratamiento Nutrición Palta 350 Ml Fructis</t>
        </is>
      </c>
      <c r="E2173" t="inlineStr">
        <is>
          <t>FRUCTIS</t>
        </is>
      </c>
      <c r="F2173" t="n">
        <v>15100</v>
      </c>
      <c r="G2173" t="n">
        <v>1247934</v>
      </c>
      <c r="H2173" t="b">
        <v>1</v>
      </c>
      <c r="I2173" t="n">
        <v>350</v>
      </c>
      <c r="J2173" t="n">
        <v>43.1429</v>
      </c>
      <c r="K2173" t="inlineStr">
        <is>
          <t>&gt; Perfumería &gt; Cuidado Capilar &gt; Reparación y Tratamientos &gt;</t>
        </is>
      </c>
      <c r="L2173" t="inlineStr">
        <is>
          <t>tratamiento</t>
        </is>
      </c>
      <c r="M2173" t="inlineStr">
        <is>
          <t>estandar</t>
        </is>
      </c>
      <c r="N2173" t="inlineStr">
        <is>
          <t>general</t>
        </is>
      </c>
      <c r="O2173" t="inlineStr">
        <is>
          <t>https://www.jumbo.com.ar/mascarilla-fructis-hair-food-palta-350-ml/p</t>
        </is>
      </c>
    </row>
    <row r="2174">
      <c r="A2174" s="2" t="inlineStr">
        <is>
          <t>Jumbo</t>
        </is>
      </c>
      <c r="B2174" s="2" t="n">
        <v>384065</v>
      </c>
      <c r="C2174" s="2" t="n">
        <v>382760</v>
      </c>
      <c r="D2174" s="2" t="inlineStr">
        <is>
          <t>Acondicionador Fructis Hair Food Aloe 300ml</t>
        </is>
      </c>
      <c r="E2174" s="2" t="inlineStr">
        <is>
          <t>FRUCTIS</t>
        </is>
      </c>
      <c r="F2174" s="2" t="n">
        <v>12050</v>
      </c>
      <c r="G2174" s="2" t="n">
        <v>995868</v>
      </c>
      <c r="H2174" s="2" t="b">
        <v>1</v>
      </c>
      <c r="I2174" s="2" t="n">
        <v>300</v>
      </c>
      <c r="J2174" s="2" t="n">
        <v>40.1667</v>
      </c>
      <c r="K2174" s="2" t="inlineStr">
        <is>
          <t>&gt; Perfumería &gt; Cuidado Capilar &gt; Acondicionador &gt;</t>
        </is>
      </c>
      <c r="L2174" s="2" t="inlineStr">
        <is>
          <t>acondicionador</t>
        </is>
      </c>
      <c r="M2174" s="2" t="inlineStr">
        <is>
          <t>estandar</t>
        </is>
      </c>
      <c r="N2174" s="2" t="inlineStr">
        <is>
          <t>general</t>
        </is>
      </c>
      <c r="O2174" s="2" t="inlineStr">
        <is>
          <t>https://www.jumbo.com.ar/acondicionador-fructis-hair-food-aloe-300ml/p</t>
        </is>
      </c>
    </row>
    <row r="2175">
      <c r="A2175" t="inlineStr">
        <is>
          <t>Jumbo</t>
        </is>
      </c>
      <c r="B2175" t="n">
        <v>3068266</v>
      </c>
      <c r="C2175" t="n">
        <v>3068094</v>
      </c>
      <c r="D2175" t="inlineStr">
        <is>
          <t>Crema para Peinar Probióticos Fuerza 10-en-1 250 Ml Fructis</t>
        </is>
      </c>
      <c r="E2175" t="inlineStr">
        <is>
          <t>FRUCTIS</t>
        </is>
      </c>
      <c r="F2175" t="n">
        <v>8100</v>
      </c>
      <c r="G2175" t="n">
        <v>669421</v>
      </c>
      <c r="H2175" t="b">
        <v>1</v>
      </c>
      <c r="I2175" t="n">
        <v>250</v>
      </c>
      <c r="J2175" t="n">
        <v>32.4</v>
      </c>
      <c r="K2175" t="inlineStr">
        <is>
          <t>&gt; Perfumería &gt; Cuidado Capilar &gt; Reparación y Tratamientos &gt;</t>
        </is>
      </c>
      <c r="L2175" t="inlineStr">
        <is>
          <t>shampoo</t>
        </is>
      </c>
      <c r="M2175" t="inlineStr">
        <is>
          <t>estandar</t>
        </is>
      </c>
      <c r="N2175" t="inlineStr">
        <is>
          <t>general</t>
        </is>
      </c>
      <c r="O2175" t="inlineStr">
        <is>
          <t>https://www.jumbo.com.ar/tratamiento-probiotics-x-250-ml-fructis/p</t>
        </is>
      </c>
    </row>
    <row r="2176">
      <c r="A2176" s="2" t="inlineStr">
        <is>
          <t>Jumbo</t>
        </is>
      </c>
      <c r="B2176" s="2" t="n">
        <v>424313</v>
      </c>
      <c r="C2176" s="2" t="n">
        <v>417193</v>
      </c>
      <c r="D2176" s="2" t="inlineStr">
        <is>
          <t>Crema De Peinar Fructis Hair Food Cocoa 3 En 1</t>
        </is>
      </c>
      <c r="E2176" s="2" t="inlineStr">
        <is>
          <t>FRUCTIS</t>
        </is>
      </c>
      <c r="F2176" s="2" t="n">
        <v>9600</v>
      </c>
      <c r="G2176" s="2" t="n">
        <v>793388</v>
      </c>
      <c r="H2176" s="2" t="b">
        <v>1</v>
      </c>
      <c r="I2176" s="2" t="inlineStr"/>
      <c r="J2176" s="2" t="inlineStr"/>
      <c r="K2176" s="2" t="inlineStr">
        <is>
          <t>&gt; Perfumería &gt; Cuidado Capilar &gt; Reparación y Tratamientos &gt;</t>
        </is>
      </c>
      <c r="L2176" s="2" t="inlineStr">
        <is>
          <t>shampoo</t>
        </is>
      </c>
      <c r="M2176" s="2" t="inlineStr">
        <is>
          <t>estandar</t>
        </is>
      </c>
      <c r="N2176" s="2" t="inlineStr">
        <is>
          <t>general</t>
        </is>
      </c>
      <c r="O2176" s="2" t="inlineStr">
        <is>
          <t>https://www.jumbo.com.ar/crema-de-peinar-fructis-hair-food-cocoa-3-en-1-2/p</t>
        </is>
      </c>
    </row>
    <row r="2177">
      <c r="A2177" t="inlineStr">
        <is>
          <t>Jumbo</t>
        </is>
      </c>
      <c r="B2177" t="n">
        <v>412497</v>
      </c>
      <c r="C2177" t="n">
        <v>408106</v>
      </c>
      <c r="D2177" t="inlineStr">
        <is>
          <t>Mascarilla Capilar Revitalizante Sandía 350 Ml Fructis</t>
        </is>
      </c>
      <c r="E2177" t="inlineStr">
        <is>
          <t>FRUCTIS</t>
        </is>
      </c>
      <c r="F2177" t="n">
        <v>15100</v>
      </c>
      <c r="G2177" t="n">
        <v>1247934</v>
      </c>
      <c r="H2177" t="b">
        <v>1</v>
      </c>
      <c r="I2177" t="n">
        <v>350</v>
      </c>
      <c r="J2177" t="n">
        <v>43.1429</v>
      </c>
      <c r="K2177" t="inlineStr">
        <is>
          <t>&gt; Perfumería &gt; Cuidado Capilar &gt; Reparación y Tratamientos &gt;</t>
        </is>
      </c>
      <c r="L2177" t="inlineStr">
        <is>
          <t>tratamiento</t>
        </is>
      </c>
      <c r="M2177" t="inlineStr">
        <is>
          <t>estandar</t>
        </is>
      </c>
      <c r="N2177" t="inlineStr">
        <is>
          <t>general</t>
        </is>
      </c>
      <c r="O2177" t="inlineStr">
        <is>
          <t>https://www.jumbo.com.ar/mascarilla-fructis-hair-food-sandia-350-ml/p</t>
        </is>
      </c>
    </row>
    <row r="2178">
      <c r="A2178" s="2" t="inlineStr">
        <is>
          <t>Jumbo</t>
        </is>
      </c>
      <c r="B2178" s="2" t="n">
        <v>412496</v>
      </c>
      <c r="C2178" s="2" t="n">
        <v>408105</v>
      </c>
      <c r="D2178" s="2" t="inlineStr">
        <is>
          <t>Mascarilla Hidratación Cabello Deshidratado Hair Food Aloe Vera 350 Ml Fructis</t>
        </is>
      </c>
      <c r="E2178" s="2" t="inlineStr">
        <is>
          <t>FRUCTIS</t>
        </is>
      </c>
      <c r="F2178" s="2" t="n">
        <v>15100</v>
      </c>
      <c r="G2178" s="2" t="n">
        <v>1247934</v>
      </c>
      <c r="H2178" s="2" t="b">
        <v>1</v>
      </c>
      <c r="I2178" s="2" t="n">
        <v>350</v>
      </c>
      <c r="J2178" s="2" t="n">
        <v>43.1429</v>
      </c>
      <c r="K2178" s="2" t="inlineStr">
        <is>
          <t>&gt; Perfumería &gt; Cuidado Capilar &gt; Reparación y Tratamientos &gt;</t>
        </is>
      </c>
      <c r="L2178" s="2" t="inlineStr">
        <is>
          <t>tratamiento</t>
        </is>
      </c>
      <c r="M2178" s="2" t="inlineStr">
        <is>
          <t>estandar</t>
        </is>
      </c>
      <c r="N2178" s="2" t="inlineStr">
        <is>
          <t>seco_danado</t>
        </is>
      </c>
      <c r="O2178" s="2" t="inlineStr">
        <is>
          <t>https://www.jumbo.com.ar/mascarilla-fructis-hair-food-aloe-350-ml/p</t>
        </is>
      </c>
    </row>
    <row r="2179">
      <c r="A2179" t="inlineStr">
        <is>
          <t>Jumbo</t>
        </is>
      </c>
      <c r="B2179" t="n">
        <v>412309</v>
      </c>
      <c r="C2179" t="n">
        <v>416200</v>
      </c>
      <c r="D2179" t="inlineStr">
        <is>
          <t>Crema para Peinar Hydra Liss 10 en 1 250 Ml Fructis</t>
        </is>
      </c>
      <c r="E2179" t="inlineStr">
        <is>
          <t>FRUCTIS</t>
        </is>
      </c>
      <c r="F2179" t="n">
        <v>8100</v>
      </c>
      <c r="G2179" t="n">
        <v>669421</v>
      </c>
      <c r="H2179" t="b">
        <v>1</v>
      </c>
      <c r="I2179" t="n">
        <v>250</v>
      </c>
      <c r="J2179" t="n">
        <v>32.4</v>
      </c>
      <c r="K2179" t="inlineStr">
        <is>
          <t>&gt; Perfumería &gt; Cuidado Capilar &gt; Reparación y Tratamientos &gt;</t>
        </is>
      </c>
      <c r="L2179" t="inlineStr">
        <is>
          <t>shampoo</t>
        </is>
      </c>
      <c r="M2179" t="inlineStr">
        <is>
          <t>estandar</t>
        </is>
      </c>
      <c r="N2179" t="inlineStr">
        <is>
          <t>general</t>
        </is>
      </c>
      <c r="O2179" t="inlineStr">
        <is>
          <t>https://www.jumbo.com.ar/crema-para-peinar-hidra-liss-250-ml-fructis/p</t>
        </is>
      </c>
    </row>
    <row r="2180">
      <c r="A2180" s="2" t="inlineStr">
        <is>
          <t>Jumbo</t>
        </is>
      </c>
      <c r="B2180" s="2" t="n">
        <v>397193</v>
      </c>
      <c r="C2180" s="2" t="n">
        <v>394934</v>
      </c>
      <c r="D2180" s="2" t="inlineStr">
        <is>
          <t>Acondicionador Goodbye Daños 200 Ml Fructis</t>
        </is>
      </c>
      <c r="E2180" s="2" t="inlineStr">
        <is>
          <t>FRUCTIS</t>
        </is>
      </c>
      <c r="F2180" s="2" t="n">
        <v>5900</v>
      </c>
      <c r="G2180" s="2" t="n">
        <v>487603</v>
      </c>
      <c r="H2180" s="2" t="b">
        <v>1</v>
      </c>
      <c r="I2180" s="2" t="n">
        <v>200</v>
      </c>
      <c r="J2180" s="2" t="n">
        <v>29.5</v>
      </c>
      <c r="K2180" s="2" t="inlineStr">
        <is>
          <t>&gt; Perfumería &gt; Cuidado Capilar &gt; Acondicionador &gt;</t>
        </is>
      </c>
      <c r="L2180" s="2" t="inlineStr">
        <is>
          <t>acondicionador</t>
        </is>
      </c>
      <c r="M2180" s="2" t="inlineStr">
        <is>
          <t>estandar</t>
        </is>
      </c>
      <c r="N2180" s="2" t="inlineStr">
        <is>
          <t>general</t>
        </is>
      </c>
      <c r="O2180" s="2" t="inlineStr">
        <is>
          <t>https://www.jumbo.com.ar/acondicionador-fructis-goodbye-danos-200-ml/p</t>
        </is>
      </c>
    </row>
    <row r="2181">
      <c r="A2181" t="inlineStr">
        <is>
          <t>Jumbo</t>
        </is>
      </c>
      <c r="B2181" t="n">
        <v>3074193</v>
      </c>
      <c r="C2181" t="n">
        <v>3073689</v>
      </c>
      <c r="D2181" t="inlineStr">
        <is>
          <t>Mascarilla Anti-quiebre Hair Food Ananá 350 Ml Fructis</t>
        </is>
      </c>
      <c r="E2181" t="inlineStr">
        <is>
          <t>FRUCTIS</t>
        </is>
      </c>
      <c r="F2181" t="n">
        <v>15100</v>
      </c>
      <c r="G2181" t="n">
        <v>1247934</v>
      </c>
      <c r="H2181" t="b">
        <v>1</v>
      </c>
      <c r="I2181" t="n">
        <v>350</v>
      </c>
      <c r="J2181" t="n">
        <v>43.1429</v>
      </c>
      <c r="K2181" t="inlineStr">
        <is>
          <t>&gt; Perfumería &gt; Cuidado Capilar &gt; Reparación y Tratamientos &gt;</t>
        </is>
      </c>
      <c r="L2181" t="inlineStr">
        <is>
          <t>tratamiento</t>
        </is>
      </c>
      <c r="M2181" t="inlineStr">
        <is>
          <t>estandar</t>
        </is>
      </c>
      <c r="N2181" t="inlineStr">
        <is>
          <t>general</t>
        </is>
      </c>
      <c r="O2181" t="inlineStr">
        <is>
          <t>https://www.jumbo.com.ar/tratamient-cap-fructis-pina-350ml/p</t>
        </is>
      </c>
    </row>
    <row r="2182">
      <c r="A2182" s="2" t="inlineStr">
        <is>
          <t>Jumbo</t>
        </is>
      </c>
      <c r="B2182" s="2" t="n">
        <v>415162</v>
      </c>
      <c r="C2182" s="2" t="n">
        <v>410820</v>
      </c>
      <c r="D2182" s="2" t="inlineStr">
        <is>
          <t>Crema para Peinar Recarga Nutritiva para Cabello Seco 250 Ml Fructis</t>
        </is>
      </c>
      <c r="E2182" s="2" t="inlineStr">
        <is>
          <t>FRUCTIS</t>
        </is>
      </c>
      <c r="F2182" s="2" t="n">
        <v>8100</v>
      </c>
      <c r="G2182" s="2" t="n">
        <v>669421</v>
      </c>
      <c r="H2182" s="2" t="b">
        <v>1</v>
      </c>
      <c r="I2182" s="2" t="n">
        <v>250</v>
      </c>
      <c r="J2182" s="2" t="n">
        <v>32.4</v>
      </c>
      <c r="K2182" s="2" t="inlineStr">
        <is>
          <t>&gt; Perfumería &gt; Cuidado Capilar &gt; Reparación y Tratamientos &gt;</t>
        </is>
      </c>
      <c r="L2182" s="2" t="inlineStr">
        <is>
          <t>shampoo</t>
        </is>
      </c>
      <c r="M2182" s="2" t="inlineStr">
        <is>
          <t>estandar</t>
        </is>
      </c>
      <c r="N2182" s="2" t="inlineStr">
        <is>
          <t>seco_danado</t>
        </is>
      </c>
      <c r="O2182" s="2" t="inlineStr">
        <is>
          <t>https://www.jumbo.com.ar/crema-para-peinar-fructis-recarga-nutritiva-cpp-250-ml/p</t>
        </is>
      </c>
    </row>
    <row r="2183">
      <c r="A2183" t="inlineStr">
        <is>
          <t>Jumbo</t>
        </is>
      </c>
      <c r="B2183" t="n">
        <v>412485</v>
      </c>
      <c r="C2183" t="n">
        <v>408094</v>
      </c>
      <c r="D2183" t="inlineStr">
        <is>
          <t>Crema Para Peinar Fructis Liso Coco 200 Ml</t>
        </is>
      </c>
      <c r="E2183" t="inlineStr">
        <is>
          <t>FRUCTIS</t>
        </is>
      </c>
      <c r="F2183" t="n">
        <v>8100</v>
      </c>
      <c r="G2183" t="n">
        <v>669421</v>
      </c>
      <c r="H2183" t="b">
        <v>1</v>
      </c>
      <c r="I2183" t="n">
        <v>200</v>
      </c>
      <c r="J2183" t="n">
        <v>40.5</v>
      </c>
      <c r="K2183" t="inlineStr">
        <is>
          <t>&gt; Perfumería &gt; Cuidado Capilar &gt; Reparación y Tratamientos &gt;</t>
        </is>
      </c>
      <c r="L2183" t="inlineStr">
        <is>
          <t>shampoo</t>
        </is>
      </c>
      <c r="M2183" t="inlineStr">
        <is>
          <t>estandar</t>
        </is>
      </c>
      <c r="N2183" t="inlineStr">
        <is>
          <t>general</t>
        </is>
      </c>
      <c r="O2183" t="inlineStr">
        <is>
          <t>https://www.jumbo.com.ar/crema-para-peinar-fructis-liso-coco-200-ml/p</t>
        </is>
      </c>
    </row>
    <row r="2184">
      <c r="A2184" s="2" t="inlineStr">
        <is>
          <t>Jumbo</t>
        </is>
      </c>
      <c r="B2184" s="2" t="n">
        <v>3068269</v>
      </c>
      <c r="C2184" s="2" t="n">
        <v>3068097</v>
      </c>
      <c r="D2184" s="2" t="inlineStr">
        <is>
          <t>Shampoo Force Probiotics X 650 Ml Fructis</t>
        </is>
      </c>
      <c r="E2184" s="2" t="inlineStr">
        <is>
          <t>FRUCTIS</t>
        </is>
      </c>
      <c r="F2184" s="2" t="n">
        <v>11550</v>
      </c>
      <c r="G2184" s="2" t="n">
        <v>954545</v>
      </c>
      <c r="H2184" s="2" t="b">
        <v>0</v>
      </c>
      <c r="I2184" s="2" t="n">
        <v>650</v>
      </c>
      <c r="J2184" s="2" t="n">
        <v>17.7692</v>
      </c>
      <c r="K2184" s="2" t="inlineStr">
        <is>
          <t>&gt; Perfumería &gt; Cuidado Capilar &gt; Shampoo &gt;</t>
        </is>
      </c>
      <c r="L2184" s="2" t="inlineStr">
        <is>
          <t>shampoo</t>
        </is>
      </c>
      <c r="M2184" s="2" t="inlineStr">
        <is>
          <t>estandar</t>
        </is>
      </c>
      <c r="N2184" s="2" t="inlineStr">
        <is>
          <t>general</t>
        </is>
      </c>
      <c r="O2184" s="2" t="inlineStr">
        <is>
          <t>https://www.jumbo.com.ar/shampoo-force-probiotics-x-650-ml-fructis-2/p</t>
        </is>
      </c>
    </row>
    <row r="2185">
      <c r="A2185" t="inlineStr">
        <is>
          <t>Jumbo</t>
        </is>
      </c>
      <c r="B2185" t="n">
        <v>3068268</v>
      </c>
      <c r="C2185" t="n">
        <v>3068096</v>
      </c>
      <c r="D2185" t="inlineStr">
        <is>
          <t>Shampoo Probióticos Fuerza 350 Ml Fructis</t>
        </is>
      </c>
      <c r="E2185" t="inlineStr">
        <is>
          <t>FRUCTIS</t>
        </is>
      </c>
      <c r="F2185" t="n">
        <v>7350</v>
      </c>
      <c r="G2185" t="n">
        <v>607438</v>
      </c>
      <c r="H2185" t="b">
        <v>0</v>
      </c>
      <c r="I2185" t="n">
        <v>350</v>
      </c>
      <c r="J2185" t="n">
        <v>21</v>
      </c>
      <c r="K2185" t="inlineStr">
        <is>
          <t>&gt; Perfumería &gt; Cuidado Capilar &gt; Shampoo &gt;</t>
        </is>
      </c>
      <c r="L2185" t="inlineStr">
        <is>
          <t>shampoo</t>
        </is>
      </c>
      <c r="M2185" t="inlineStr">
        <is>
          <t>estandar</t>
        </is>
      </c>
      <c r="N2185" t="inlineStr">
        <is>
          <t>general</t>
        </is>
      </c>
      <c r="O2185" t="inlineStr">
        <is>
          <t>https://www.jumbo.com.ar/shampoo-probiotics-x-350-ml-fructis-2/p</t>
        </is>
      </c>
    </row>
    <row r="2186">
      <c r="A2186" s="2" t="inlineStr">
        <is>
          <t>Jumbo</t>
        </is>
      </c>
      <c r="B2186" s="2" t="n">
        <v>3068264</v>
      </c>
      <c r="C2186" s="2" t="n">
        <v>3068092</v>
      </c>
      <c r="D2186" s="2" t="inlineStr">
        <is>
          <t>Shampoo para Cabello Frágil Probiotics 200 Ml Fructis</t>
        </is>
      </c>
      <c r="E2186" s="2" t="inlineStr">
        <is>
          <t>FRUCTIS</t>
        </is>
      </c>
      <c r="F2186" s="2" t="n">
        <v>4850</v>
      </c>
      <c r="G2186" s="2" t="n">
        <v>400826</v>
      </c>
      <c r="H2186" s="2" t="b">
        <v>0</v>
      </c>
      <c r="I2186" s="2" t="n">
        <v>200</v>
      </c>
      <c r="J2186" s="2" t="n">
        <v>24.25</v>
      </c>
      <c r="K2186" s="2" t="inlineStr">
        <is>
          <t>&gt; Perfumería &gt; Cuidado Capilar &gt; Shampoo &gt;</t>
        </is>
      </c>
      <c r="L2186" s="2" t="inlineStr">
        <is>
          <t>shampoo</t>
        </is>
      </c>
      <c r="M2186" s="2" t="inlineStr">
        <is>
          <t>estandar</t>
        </is>
      </c>
      <c r="N2186" s="2" t="inlineStr">
        <is>
          <t>general</t>
        </is>
      </c>
      <c r="O2186" s="2" t="inlineStr">
        <is>
          <t>https://www.jumbo.com.ar/shampoo-probiotics-x-200-ml-fructis-2/p</t>
        </is>
      </c>
    </row>
    <row r="2187">
      <c r="A2187" t="inlineStr">
        <is>
          <t>Jumbo</t>
        </is>
      </c>
      <c r="B2187" t="n">
        <v>1371394</v>
      </c>
      <c r="C2187" t="n">
        <v>1369516</v>
      </c>
      <c r="D2187" t="inlineStr">
        <is>
          <t>Shampoo Hidratante Aloe Hidra Clean 350 Ml Fructis</t>
        </is>
      </c>
      <c r="E2187" t="inlineStr">
        <is>
          <t>FRUCTIS</t>
        </is>
      </c>
      <c r="F2187" t="n">
        <v>7000</v>
      </c>
      <c r="G2187" t="n">
        <v>578512</v>
      </c>
      <c r="H2187" t="b">
        <v>0</v>
      </c>
      <c r="I2187" t="n">
        <v>350</v>
      </c>
      <c r="J2187" t="n">
        <v>20</v>
      </c>
      <c r="K2187" t="inlineStr">
        <is>
          <t>&gt; Perfumería &gt; Cuidado Capilar &gt; Shampoo &gt;</t>
        </is>
      </c>
      <c r="L2187" t="inlineStr">
        <is>
          <t>shampoo</t>
        </is>
      </c>
      <c r="M2187" t="inlineStr">
        <is>
          <t>estandar</t>
        </is>
      </c>
      <c r="N2187" t="inlineStr">
        <is>
          <t>seco_danado</t>
        </is>
      </c>
      <c r="O2187" t="inlineStr">
        <is>
          <t>https://www.jumbo.com.ar/shampoo-fructis-aloe-water-350-ml-2/p</t>
        </is>
      </c>
    </row>
    <row r="2188">
      <c r="A2188" s="2" t="inlineStr">
        <is>
          <t>Jumbo</t>
        </is>
      </c>
      <c r="B2188" s="2" t="n">
        <v>424315</v>
      </c>
      <c r="C2188" s="2" t="n">
        <v>417195</v>
      </c>
      <c r="D2188" s="2" t="inlineStr">
        <is>
          <t>Mascarilla Capilar Hair Food Manteca de Cacao 350 Ml Fructis Mascarilla Fructis Hair Food Cacao X 350 Ml</t>
        </is>
      </c>
      <c r="E2188" s="2" t="inlineStr">
        <is>
          <t>FRUCTIS</t>
        </is>
      </c>
      <c r="F2188" s="2" t="n">
        <v>12600</v>
      </c>
      <c r="G2188" s="2" t="n">
        <v>1041322</v>
      </c>
      <c r="H2188" s="2" t="b">
        <v>0</v>
      </c>
      <c r="I2188" s="2" t="n">
        <v>350</v>
      </c>
      <c r="J2188" s="2" t="n">
        <v>36</v>
      </c>
      <c r="K2188" s="2" t="inlineStr">
        <is>
          <t>&gt; Perfumería &gt; Cuidado Capilar &gt; Reparación y Tratamientos &gt;</t>
        </is>
      </c>
      <c r="L2188" s="2" t="inlineStr">
        <is>
          <t>tratamiento</t>
        </is>
      </c>
      <c r="M2188" s="2" t="inlineStr">
        <is>
          <t>estandar</t>
        </is>
      </c>
      <c r="N2188" s="2" t="inlineStr">
        <is>
          <t>general</t>
        </is>
      </c>
      <c r="O2188" s="2" t="inlineStr">
        <is>
          <t>https://www.jumbo.com.ar/mascarilla-fructis-hair-food-cacao-x-350-ml-2/p</t>
        </is>
      </c>
    </row>
    <row r="2189">
      <c r="A2189" t="inlineStr">
        <is>
          <t>Jumbo</t>
        </is>
      </c>
      <c r="B2189" t="n">
        <v>424314</v>
      </c>
      <c r="C2189" t="n">
        <v>417194</v>
      </c>
      <c r="D2189" t="inlineStr">
        <is>
          <t>Acondicionador Fructis Hair Food Cacao X 300 Ml</t>
        </is>
      </c>
      <c r="E2189" t="inlineStr">
        <is>
          <t>FRUCTIS</t>
        </is>
      </c>
      <c r="F2189" t="n">
        <v>10000</v>
      </c>
      <c r="G2189" t="n">
        <v>826446</v>
      </c>
      <c r="H2189" t="b">
        <v>0</v>
      </c>
      <c r="I2189" t="n">
        <v>300</v>
      </c>
      <c r="J2189" t="n">
        <v>33.3333</v>
      </c>
      <c r="K2189" t="inlineStr">
        <is>
          <t>&gt; Perfumería &gt; Cuidado Capilar &gt; Acondicionador &gt;</t>
        </is>
      </c>
      <c r="L2189" t="inlineStr">
        <is>
          <t>acondicionador</t>
        </is>
      </c>
      <c r="M2189" t="inlineStr">
        <is>
          <t>estandar</t>
        </is>
      </c>
      <c r="N2189" t="inlineStr">
        <is>
          <t>general</t>
        </is>
      </c>
      <c r="O2189" t="inlineStr">
        <is>
          <t>https://www.jumbo.com.ar/acondicionador-fructis-hair-food-cacao-x-300-ml-2/p</t>
        </is>
      </c>
    </row>
    <row r="2190">
      <c r="A2190" s="2" t="inlineStr">
        <is>
          <t>Jumbo</t>
        </is>
      </c>
      <c r="B2190" s="2" t="n">
        <v>424312</v>
      </c>
      <c r="C2190" s="2" t="n">
        <v>417192</v>
      </c>
      <c r="D2190" s="2" t="inlineStr">
        <is>
          <t>Shampoo Hair Food Restauración de Cacao 300 Ml Fructis</t>
        </is>
      </c>
      <c r="E2190" s="2" t="inlineStr">
        <is>
          <t>FRUCTIS</t>
        </is>
      </c>
      <c r="F2190" s="2" t="n">
        <v>10500</v>
      </c>
      <c r="G2190" s="2" t="n">
        <v>867769</v>
      </c>
      <c r="H2190" s="2" t="b">
        <v>0</v>
      </c>
      <c r="I2190" s="2" t="n">
        <v>300</v>
      </c>
      <c r="J2190" s="2" t="n">
        <v>35</v>
      </c>
      <c r="K2190" s="2" t="inlineStr">
        <is>
          <t>&gt; Perfumería &gt; Cuidado Capilar &gt; Shampoo &gt;</t>
        </is>
      </c>
      <c r="L2190" s="2" t="inlineStr">
        <is>
          <t>shampoo</t>
        </is>
      </c>
      <c r="M2190" s="2" t="inlineStr">
        <is>
          <t>estandar</t>
        </is>
      </c>
      <c r="N2190" s="2" t="inlineStr">
        <is>
          <t>general</t>
        </is>
      </c>
      <c r="O2190" s="2" t="inlineStr">
        <is>
          <t>https://www.jumbo.com.ar/shampoo-fructis-hair-food-cacao-x-300-ml-2/p</t>
        </is>
      </c>
    </row>
    <row r="2191">
      <c r="A2191" t="inlineStr">
        <is>
          <t>Jumbo</t>
        </is>
      </c>
      <c r="B2191" t="n">
        <v>416916</v>
      </c>
      <c r="C2191" t="n">
        <v>412460</v>
      </c>
      <c r="D2191" t="inlineStr">
        <is>
          <t>Shampoo Rizos Poderosos 200 Ml Fructis</t>
        </is>
      </c>
      <c r="E2191" t="inlineStr">
        <is>
          <t>FRUCTIS</t>
        </is>
      </c>
      <c r="F2191" t="n">
        <v>4850</v>
      </c>
      <c r="G2191" t="n">
        <v>400826</v>
      </c>
      <c r="H2191" t="b">
        <v>0</v>
      </c>
      <c r="I2191" t="n">
        <v>200</v>
      </c>
      <c r="J2191" t="n">
        <v>24.25</v>
      </c>
      <c r="K2191" t="inlineStr">
        <is>
          <t>&gt; Perfumería &gt; Cuidado Capilar &gt; Shampoo &gt;</t>
        </is>
      </c>
      <c r="L2191" t="inlineStr">
        <is>
          <t>shampoo</t>
        </is>
      </c>
      <c r="M2191" t="inlineStr">
        <is>
          <t>estandar</t>
        </is>
      </c>
      <c r="N2191" t="inlineStr">
        <is>
          <t>rizado</t>
        </is>
      </c>
      <c r="O2191" t="inlineStr">
        <is>
          <t>https://www.jumbo.com.ar/shampoo-fructis-rizos-poderosos-x-200-ml/p</t>
        </is>
      </c>
    </row>
    <row r="2192">
      <c r="A2192" s="2" t="inlineStr">
        <is>
          <t>Jumbo</t>
        </is>
      </c>
      <c r="B2192" s="2" t="n">
        <v>412495</v>
      </c>
      <c r="C2192" s="2" t="n">
        <v>408104</v>
      </c>
      <c r="D2192" s="2" t="inlineStr">
        <is>
          <t>Mascarilla Fructis Hair Food Coco 350 Ml</t>
        </is>
      </c>
      <c r="E2192" s="2" t="inlineStr">
        <is>
          <t>FRUCTIS</t>
        </is>
      </c>
      <c r="F2192" s="2" t="n">
        <v>12000</v>
      </c>
      <c r="G2192" s="2" t="n">
        <v>991736</v>
      </c>
      <c r="H2192" s="2" t="b">
        <v>0</v>
      </c>
      <c r="I2192" s="2" t="n">
        <v>350</v>
      </c>
      <c r="J2192" s="2" t="n">
        <v>34.2857</v>
      </c>
      <c r="K2192" s="2" t="inlineStr">
        <is>
          <t>&gt; Perfumería &gt; Cuidado Capilar &gt; Reparación y Tratamientos &gt;</t>
        </is>
      </c>
      <c r="L2192" s="2" t="inlineStr">
        <is>
          <t>tratamiento</t>
        </is>
      </c>
      <c r="M2192" s="2" t="inlineStr">
        <is>
          <t>estandar</t>
        </is>
      </c>
      <c r="N2192" s="2" t="inlineStr">
        <is>
          <t>general</t>
        </is>
      </c>
      <c r="O2192" s="2" t="inlineStr">
        <is>
          <t>https://www.jumbo.com.ar/mascarilla-fructis-hair-food-coco-350-ml-2/p</t>
        </is>
      </c>
    </row>
    <row r="2193">
      <c r="A2193" t="inlineStr">
        <is>
          <t>Jumbo</t>
        </is>
      </c>
      <c r="B2193" t="n">
        <v>412494</v>
      </c>
      <c r="C2193" t="n">
        <v>408103</v>
      </c>
      <c r="D2193" t="inlineStr">
        <is>
          <t>Mascarilla Hair Food Fuerza Banana 350 Ml Fructis Mascarilla Fructis Hair Food Banana 350 Ml</t>
        </is>
      </c>
      <c r="E2193" t="inlineStr">
        <is>
          <t>FRUCTIS</t>
        </is>
      </c>
      <c r="F2193" t="n">
        <v>9750</v>
      </c>
      <c r="G2193" t="n">
        <v>805785</v>
      </c>
      <c r="H2193" t="b">
        <v>0</v>
      </c>
      <c r="I2193" t="n">
        <v>350</v>
      </c>
      <c r="J2193" t="n">
        <v>27.8571</v>
      </c>
      <c r="K2193" t="inlineStr">
        <is>
          <t>&gt; Perfumería &gt; Cuidado Capilar &gt; Reparación y Tratamientos &gt;</t>
        </is>
      </c>
      <c r="L2193" t="inlineStr">
        <is>
          <t>tratamiento</t>
        </is>
      </c>
      <c r="M2193" t="inlineStr">
        <is>
          <t>estandar</t>
        </is>
      </c>
      <c r="N2193" t="inlineStr">
        <is>
          <t>general</t>
        </is>
      </c>
      <c r="O2193" t="inlineStr">
        <is>
          <t>https://www.jumbo.com.ar/mascarilla-fructis-hair-food-banana-350-ml/p</t>
        </is>
      </c>
    </row>
    <row r="2194">
      <c r="A2194" s="2" t="inlineStr">
        <is>
          <t>Jumbo</t>
        </is>
      </c>
      <c r="B2194" s="2" t="n">
        <v>412308</v>
      </c>
      <c r="C2194" s="2" t="n">
        <v>408283</v>
      </c>
      <c r="D2194" s="2" t="inlineStr">
        <is>
          <t>Crema para Peinar Aloe Hidra Clean 250 Ml Fructis</t>
        </is>
      </c>
      <c r="E2194" s="2" t="inlineStr">
        <is>
          <t>FRUCTIS</t>
        </is>
      </c>
      <c r="F2194" s="2" t="n">
        <v>7050</v>
      </c>
      <c r="G2194" s="2" t="n">
        <v>582645</v>
      </c>
      <c r="H2194" s="2" t="b">
        <v>0</v>
      </c>
      <c r="I2194" s="2" t="n">
        <v>250</v>
      </c>
      <c r="J2194" s="2" t="n">
        <v>28.2</v>
      </c>
      <c r="K2194" s="2" t="inlineStr">
        <is>
          <t>&gt; Perfumería &gt; Cuidado Capilar &gt; Reparación y Tratamientos &gt;</t>
        </is>
      </c>
      <c r="L2194" s="2" t="inlineStr">
        <is>
          <t>shampoo</t>
        </is>
      </c>
      <c r="M2194" s="2" t="inlineStr">
        <is>
          <t>estandar</t>
        </is>
      </c>
      <c r="N2194" s="2" t="inlineStr">
        <is>
          <t>general</t>
        </is>
      </c>
      <c r="O2194" s="2" t="inlineStr">
        <is>
          <t>https://www.jumbo.com.ar/crema-para-peinar-fructis-aloe-hidra-clean-250-ml/p</t>
        </is>
      </c>
    </row>
    <row r="2195">
      <c r="A2195" t="inlineStr">
        <is>
          <t>Jumbo</t>
        </is>
      </c>
      <c r="B2195" t="n">
        <v>412301</v>
      </c>
      <c r="C2195" t="n">
        <v>408003</v>
      </c>
      <c r="D2195" t="inlineStr">
        <is>
          <t>Acondicionador Aloe Hidra Clean 350 Ml Fructis</t>
        </is>
      </c>
      <c r="E2195" t="inlineStr">
        <is>
          <t>FRUCTIS</t>
        </is>
      </c>
      <c r="F2195" t="n">
        <v>4850</v>
      </c>
      <c r="G2195" t="n">
        <v>400826</v>
      </c>
      <c r="H2195" t="b">
        <v>0</v>
      </c>
      <c r="I2195" t="n">
        <v>350</v>
      </c>
      <c r="J2195" t="n">
        <v>13.8571</v>
      </c>
      <c r="K2195" t="inlineStr">
        <is>
          <t>&gt; Perfumería &gt; Cuidado Capilar &gt; Acondicionador &gt;</t>
        </is>
      </c>
      <c r="L2195" t="inlineStr">
        <is>
          <t>acondicionador</t>
        </is>
      </c>
      <c r="M2195" t="inlineStr">
        <is>
          <t>estandar</t>
        </is>
      </c>
      <c r="N2195" t="inlineStr">
        <is>
          <t>general</t>
        </is>
      </c>
      <c r="O2195" t="inlineStr">
        <is>
          <t>https://www.jumbo.com.ar/acondicionador-fructis-aloe-hidra-clean-200-ml/p</t>
        </is>
      </c>
    </row>
    <row r="2196">
      <c r="A2196" s="2" t="inlineStr">
        <is>
          <t>Jumbo</t>
        </is>
      </c>
      <c r="B2196" s="2" t="n">
        <v>412299</v>
      </c>
      <c r="C2196" s="2" t="n">
        <v>408001</v>
      </c>
      <c r="D2196" s="2" t="inlineStr">
        <is>
          <t>Acondicionador Recarga Nutritiva para Cabello Seco 650 Ml Fructis</t>
        </is>
      </c>
      <c r="E2196" s="2" t="inlineStr">
        <is>
          <t>FRUCTIS</t>
        </is>
      </c>
      <c r="F2196" s="2" t="n">
        <v>9900</v>
      </c>
      <c r="G2196" s="2" t="n">
        <v>818182</v>
      </c>
      <c r="H2196" s="2" t="b">
        <v>0</v>
      </c>
      <c r="I2196" s="2" t="n">
        <v>650</v>
      </c>
      <c r="J2196" s="2" t="n">
        <v>15.2308</v>
      </c>
      <c r="K2196" s="2" t="inlineStr">
        <is>
          <t>&gt; Perfumería &gt; Cuidado Capilar &gt; Acondicionador &gt;</t>
        </is>
      </c>
      <c r="L2196" s="2" t="inlineStr">
        <is>
          <t>acondicionador</t>
        </is>
      </c>
      <c r="M2196" s="2" t="inlineStr">
        <is>
          <t>estandar</t>
        </is>
      </c>
      <c r="N2196" s="2" t="inlineStr">
        <is>
          <t>seco_danado</t>
        </is>
      </c>
      <c r="O2196" s="2" t="inlineStr">
        <is>
          <t>https://www.jumbo.com.ar/acondicionador-fructis-recarga-nutritiva-650-ml/p</t>
        </is>
      </c>
    </row>
    <row r="2197">
      <c r="A2197" t="inlineStr">
        <is>
          <t>Jumbo</t>
        </is>
      </c>
      <c r="B2197" t="n">
        <v>412298</v>
      </c>
      <c r="C2197" t="n">
        <v>408000</v>
      </c>
      <c r="D2197" t="inlineStr">
        <is>
          <t>Shamp Fructis  Recarg Nutri 650ml</t>
        </is>
      </c>
      <c r="E2197" t="inlineStr">
        <is>
          <t>FRUCTIS</t>
        </is>
      </c>
      <c r="F2197" t="n">
        <v>6000</v>
      </c>
      <c r="G2197" t="n">
        <v>495868</v>
      </c>
      <c r="H2197" t="b">
        <v>0</v>
      </c>
      <c r="I2197" t="n">
        <v>650</v>
      </c>
      <c r="J2197" t="n">
        <v>9.2308</v>
      </c>
      <c r="K2197" t="inlineStr">
        <is>
          <t>&gt; Perfumería &gt; Cuidado Capilar &gt; Shampoo &gt;</t>
        </is>
      </c>
      <c r="L2197" t="inlineStr">
        <is>
          <t>shampoo</t>
        </is>
      </c>
      <c r="M2197" t="inlineStr">
        <is>
          <t>estandar</t>
        </is>
      </c>
      <c r="N2197" t="inlineStr">
        <is>
          <t>general</t>
        </is>
      </c>
      <c r="O2197" t="inlineStr">
        <is>
          <t>https://www.jumbo.com.ar/shamp-fructis-recarg-nutri-650ml/p</t>
        </is>
      </c>
    </row>
    <row r="2198">
      <c r="A2198" s="2" t="inlineStr">
        <is>
          <t>Jumbo</t>
        </is>
      </c>
      <c r="B2198" s="2" t="n">
        <v>412297</v>
      </c>
      <c r="C2198" s="2" t="n">
        <v>407999</v>
      </c>
      <c r="D2198" s="2" t="inlineStr">
        <is>
          <t>Shamp Fructis Liss Coconut 650ml</t>
        </is>
      </c>
      <c r="E2198" s="2" t="inlineStr">
        <is>
          <t>FRUCTIS</t>
        </is>
      </c>
      <c r="F2198" s="2" t="n">
        <v>8200</v>
      </c>
      <c r="G2198" s="2" t="n">
        <v>677686</v>
      </c>
      <c r="H2198" s="2" t="b">
        <v>0</v>
      </c>
      <c r="I2198" s="2" t="n">
        <v>650</v>
      </c>
      <c r="J2198" s="2" t="n">
        <v>12.6154</v>
      </c>
      <c r="K2198" s="2" t="inlineStr">
        <is>
          <t>&gt; Perfumería &gt; Cuidado Capilar &gt; Shampoo &gt;</t>
        </is>
      </c>
      <c r="L2198" s="2" t="inlineStr">
        <is>
          <t>shampoo</t>
        </is>
      </c>
      <c r="M2198" s="2" t="inlineStr">
        <is>
          <t>estandar</t>
        </is>
      </c>
      <c r="N2198" s="2" t="inlineStr">
        <is>
          <t>general</t>
        </is>
      </c>
      <c r="O2198" s="2" t="inlineStr">
        <is>
          <t>https://www.jumbo.com.ar/shamp-fructis-liss-coconut-650ml/p</t>
        </is>
      </c>
    </row>
    <row r="2199">
      <c r="A2199" t="inlineStr">
        <is>
          <t>Jumbo</t>
        </is>
      </c>
      <c r="B2199" t="n">
        <v>405295</v>
      </c>
      <c r="C2199" t="n">
        <v>402230</v>
      </c>
      <c r="D2199" t="inlineStr">
        <is>
          <t>Acondicionador Hydra Liss con Óleo de Argán y Keratina-V Líquida 350 Ml Fructis Shampoo Fructis Hair Food Cacao 300 Ml</t>
        </is>
      </c>
      <c r="E2199" t="inlineStr">
        <is>
          <t>FRUCTIS</t>
        </is>
      </c>
      <c r="F2199" t="n">
        <v>5000</v>
      </c>
      <c r="G2199" t="n">
        <v>413223</v>
      </c>
      <c r="H2199" t="b">
        <v>0</v>
      </c>
      <c r="I2199" t="n">
        <v>350</v>
      </c>
      <c r="J2199" t="n">
        <v>14.2857</v>
      </c>
      <c r="K2199" t="inlineStr">
        <is>
          <t>&gt; Perfumería &gt; Cuidado Capilar &gt; Acondicionador &gt;</t>
        </is>
      </c>
      <c r="L2199" t="inlineStr">
        <is>
          <t>acondicionador</t>
        </is>
      </c>
      <c r="M2199" t="inlineStr">
        <is>
          <t>estandar</t>
        </is>
      </c>
      <c r="N2199" t="inlineStr">
        <is>
          <t>tratado</t>
        </is>
      </c>
      <c r="O2199" t="inlineStr">
        <is>
          <t>https://www.jumbo.com.ar/shampoo-fructis-hair-food-cacao-300-ml/p</t>
        </is>
      </c>
    </row>
    <row r="2200">
      <c r="A2200" s="2" t="inlineStr">
        <is>
          <t>Jumbo</t>
        </is>
      </c>
      <c r="B2200" s="2" t="n">
        <v>397211</v>
      </c>
      <c r="C2200" s="2" t="n">
        <v>394952</v>
      </c>
      <c r="D2200" s="2" t="inlineStr">
        <is>
          <t>Crema para Peinar Goodbye Daños 250 Ml Fructis</t>
        </is>
      </c>
      <c r="E2200" s="2" t="inlineStr">
        <is>
          <t>FRUCTIS</t>
        </is>
      </c>
      <c r="F2200" s="2" t="n">
        <v>6700</v>
      </c>
      <c r="G2200" s="2" t="n">
        <v>553719</v>
      </c>
      <c r="H2200" s="2" t="b">
        <v>0</v>
      </c>
      <c r="I2200" s="2" t="n">
        <v>250</v>
      </c>
      <c r="J2200" s="2" t="n">
        <v>26.8</v>
      </c>
      <c r="K2200" s="2" t="inlineStr">
        <is>
          <t>&gt; Perfumería &gt; Cuidado Capilar &gt; Acondicionador &gt;</t>
        </is>
      </c>
      <c r="L2200" s="2" t="inlineStr">
        <is>
          <t>shampoo</t>
        </is>
      </c>
      <c r="M2200" s="2" t="inlineStr">
        <is>
          <t>estandar</t>
        </is>
      </c>
      <c r="N2200" s="2" t="inlineStr">
        <is>
          <t>general</t>
        </is>
      </c>
      <c r="O2200" s="2" t="inlineStr">
        <is>
          <t>https://www.jumbo.com.ar/crema-para-peinar-fructis-goodbye-danos-250ml/p</t>
        </is>
      </c>
    </row>
    <row r="2201">
      <c r="A2201" t="inlineStr">
        <is>
          <t>Jumbo</t>
        </is>
      </c>
      <c r="B2201" t="n">
        <v>396768</v>
      </c>
      <c r="C2201" t="n">
        <v>339874</v>
      </c>
      <c r="D2201" t="inlineStr">
        <is>
          <t>Acondic Fructis Hair Food Sandia 300ml</t>
        </is>
      </c>
      <c r="E2201" t="inlineStr">
        <is>
          <t>FRUCTIS</t>
        </is>
      </c>
      <c r="F2201" t="n">
        <v>1450</v>
      </c>
      <c r="G2201" t="n">
        <v>119835</v>
      </c>
      <c r="H2201" t="b">
        <v>0</v>
      </c>
      <c r="I2201" t="n">
        <v>300</v>
      </c>
      <c r="J2201" t="n">
        <v>4.8333</v>
      </c>
      <c r="K2201" t="inlineStr">
        <is>
          <t>&gt; Perfumería &gt; Cuidado Capilar &gt; Acondicionador &gt;</t>
        </is>
      </c>
      <c r="L2201" t="inlineStr">
        <is>
          <t>shampoo</t>
        </is>
      </c>
      <c r="M2201" t="inlineStr">
        <is>
          <t>estandar</t>
        </is>
      </c>
      <c r="N2201" t="inlineStr">
        <is>
          <t>general</t>
        </is>
      </c>
      <c r="O2201" t="inlineStr">
        <is>
          <t>https://www.jumbo.com.ar/acondic-fructis-hair-food-sandia-300ml-2/p</t>
        </is>
      </c>
    </row>
    <row r="2202">
      <c r="A2202" s="2" t="inlineStr">
        <is>
          <t>Jumbo</t>
        </is>
      </c>
      <c r="B2202" s="2" t="n">
        <v>393749</v>
      </c>
      <c r="C2202" s="2" t="n">
        <v>391777</v>
      </c>
      <c r="D2202" s="2" t="inlineStr">
        <is>
          <t>Crema Para Peinar Fructis Rizos Poderosos 250m</t>
        </is>
      </c>
      <c r="E2202" s="2" t="inlineStr">
        <is>
          <t>FRUCTIS</t>
        </is>
      </c>
      <c r="F2202" s="2" t="n">
        <v>1176.06</v>
      </c>
      <c r="G2202" s="2" t="n">
        <v>97195</v>
      </c>
      <c r="H2202" s="2" t="b">
        <v>0</v>
      </c>
      <c r="I2202" s="2" t="inlineStr"/>
      <c r="J2202" s="2" t="inlineStr"/>
      <c r="K2202" s="2" t="inlineStr">
        <is>
          <t>&gt; Perfumería &gt; Cuidado Capilar &gt; Reparación y Tratamientos &gt;</t>
        </is>
      </c>
      <c r="L2202" s="2" t="inlineStr">
        <is>
          <t>shampoo</t>
        </is>
      </c>
      <c r="M2202" s="2" t="inlineStr">
        <is>
          <t>estandar</t>
        </is>
      </c>
      <c r="N2202" s="2" t="inlineStr">
        <is>
          <t>rizado</t>
        </is>
      </c>
      <c r="O2202" s="2" t="inlineStr">
        <is>
          <t>https://www.jumbo.com.ar/crema-para-peinar-fructis-rizos-poderosos-250m/p</t>
        </is>
      </c>
    </row>
    <row r="2203">
      <c r="A2203" t="inlineStr">
        <is>
          <t>Jumbo</t>
        </is>
      </c>
      <c r="B2203" t="n">
        <v>393554</v>
      </c>
      <c r="C2203" t="n">
        <v>391582</v>
      </c>
      <c r="D2203" t="inlineStr">
        <is>
          <t>Crema Tratamiento Fructis Liso Coco 250 Ml</t>
        </is>
      </c>
      <c r="E2203" t="inlineStr">
        <is>
          <t>FRUCTIS</t>
        </is>
      </c>
      <c r="F2203" t="n">
        <v>1105.09</v>
      </c>
      <c r="G2203" t="n">
        <v>91330</v>
      </c>
      <c r="H2203" t="b">
        <v>0</v>
      </c>
      <c r="I2203" t="n">
        <v>250</v>
      </c>
      <c r="J2203" t="n">
        <v>4.4204</v>
      </c>
      <c r="K2203" t="inlineStr">
        <is>
          <t>&gt; Perfumería &gt; Cuidado Capilar &gt; Reparación y Tratamientos &gt;</t>
        </is>
      </c>
      <c r="L2203" t="inlineStr">
        <is>
          <t>tratamiento</t>
        </is>
      </c>
      <c r="M2203" t="inlineStr">
        <is>
          <t>estandar</t>
        </is>
      </c>
      <c r="N2203" t="inlineStr">
        <is>
          <t>general</t>
        </is>
      </c>
      <c r="O2203" t="inlineStr">
        <is>
          <t>https://www.jumbo.com.ar/crema-tratamiento-fructis-liso-coco-250-ml/p</t>
        </is>
      </c>
    </row>
    <row r="2204">
      <c r="A2204" s="2" t="inlineStr">
        <is>
          <t>Jumbo</t>
        </is>
      </c>
      <c r="B2204" s="2" t="n">
        <v>393550</v>
      </c>
      <c r="C2204" s="2" t="n">
        <v>391578</v>
      </c>
      <c r="D2204" s="2" t="inlineStr">
        <is>
          <t>Tratamiento Fructis Aloe Secado Natural 250ml</t>
        </is>
      </c>
      <c r="E2204" s="2" t="inlineStr">
        <is>
          <t>FRUCTIS</t>
        </is>
      </c>
      <c r="F2204" s="2" t="n">
        <v>1190.29</v>
      </c>
      <c r="G2204" s="2" t="n">
        <v>98371</v>
      </c>
      <c r="H2204" s="2" t="b">
        <v>0</v>
      </c>
      <c r="I2204" s="2" t="n">
        <v>250</v>
      </c>
      <c r="J2204" s="2" t="n">
        <v>4.7612</v>
      </c>
      <c r="K2204" s="2" t="inlineStr">
        <is>
          <t>&gt; Perfumería &gt; Cuidado Capilar &gt; Reparación y Tratamientos &gt;</t>
        </is>
      </c>
      <c r="L2204" s="2" t="inlineStr">
        <is>
          <t>tratamiento</t>
        </is>
      </c>
      <c r="M2204" s="2" t="inlineStr">
        <is>
          <t>estandar</t>
        </is>
      </c>
      <c r="N2204" s="2" t="inlineStr">
        <is>
          <t>general</t>
        </is>
      </c>
      <c r="O2204" s="2" t="inlineStr">
        <is>
          <t>https://www.jumbo.com.ar/tratamiento-fructis-aloe-secado-natural-250ml/p</t>
        </is>
      </c>
    </row>
    <row r="2205">
      <c r="A2205" t="inlineStr">
        <is>
          <t>Jumbo</t>
        </is>
      </c>
      <c r="B2205" t="n">
        <v>393547</v>
      </c>
      <c r="C2205" t="n">
        <v>391575</v>
      </c>
      <c r="D2205" t="inlineStr">
        <is>
          <t>Tratamiento Fructis Recarga Nutritiva 250ml</t>
        </is>
      </c>
      <c r="E2205" t="inlineStr">
        <is>
          <t>FRUCTIS</t>
        </is>
      </c>
      <c r="F2205" t="n">
        <v>1312.29</v>
      </c>
      <c r="G2205" t="n">
        <v>108454</v>
      </c>
      <c r="H2205" t="b">
        <v>0</v>
      </c>
      <c r="I2205" t="n">
        <v>250</v>
      </c>
      <c r="J2205" t="n">
        <v>5.2492</v>
      </c>
      <c r="K2205" t="inlineStr">
        <is>
          <t>&gt; Perfumería &gt; Cuidado Capilar &gt; Reparación y Tratamientos &gt;</t>
        </is>
      </c>
      <c r="L2205" t="inlineStr">
        <is>
          <t>tratamiento</t>
        </is>
      </c>
      <c r="M2205" t="inlineStr">
        <is>
          <t>estandar</t>
        </is>
      </c>
      <c r="N2205" t="inlineStr">
        <is>
          <t>general</t>
        </is>
      </c>
      <c r="O2205" t="inlineStr">
        <is>
          <t>https://www.jumbo.com.ar/tratamiento-fructis-recarga-nutritiva-250ml/p</t>
        </is>
      </c>
    </row>
    <row r="2206">
      <c r="A2206" s="2" t="inlineStr">
        <is>
          <t>Jumbo</t>
        </is>
      </c>
      <c r="B2206" s="2" t="n">
        <v>384056</v>
      </c>
      <c r="C2206" s="2" t="n">
        <v>382758</v>
      </c>
      <c r="D2206" s="2" t="inlineStr">
        <is>
          <t>Shampoo Hair Food Cabello Normal Sandía 300 Ml Fructis</t>
        </is>
      </c>
      <c r="E2206" s="2" t="inlineStr">
        <is>
          <t>FRUCTIS</t>
        </is>
      </c>
      <c r="F2206" s="2" t="n">
        <v>10000</v>
      </c>
      <c r="G2206" s="2" t="n">
        <v>826446</v>
      </c>
      <c r="H2206" s="2" t="b">
        <v>0</v>
      </c>
      <c r="I2206" s="2" t="n">
        <v>300</v>
      </c>
      <c r="J2206" s="2" t="n">
        <v>33.3333</v>
      </c>
      <c r="K2206" s="2" t="inlineStr">
        <is>
          <t>&gt; Perfumería &gt; Cuidado Capilar &gt; Shampoo &gt;</t>
        </is>
      </c>
      <c r="L2206" s="2" t="inlineStr">
        <is>
          <t>shampoo</t>
        </is>
      </c>
      <c r="M2206" s="2" t="inlineStr">
        <is>
          <t>estandar</t>
        </is>
      </c>
      <c r="N2206" s="2" t="inlineStr">
        <is>
          <t>general</t>
        </is>
      </c>
      <c r="O2206" s="2" t="inlineStr">
        <is>
          <t>https://www.jumbo.com.ar/shampoo-fructis-hair-food-sandia-300-ml/p</t>
        </is>
      </c>
    </row>
    <row r="2207">
      <c r="A2207" t="inlineStr">
        <is>
          <t>Jumbo</t>
        </is>
      </c>
      <c r="B2207" t="n">
        <v>384051</v>
      </c>
      <c r="C2207" t="n">
        <v>382757</v>
      </c>
      <c r="D2207" t="inlineStr">
        <is>
          <t>Shampoo Hair Food Nutrición Palta 300 Ml Fructis</t>
        </is>
      </c>
      <c r="E2207" t="inlineStr">
        <is>
          <t>FRUCTIS</t>
        </is>
      </c>
      <c r="F2207" t="n">
        <v>10500</v>
      </c>
      <c r="G2207" t="n">
        <v>867769</v>
      </c>
      <c r="H2207" t="b">
        <v>0</v>
      </c>
      <c r="I2207" t="n">
        <v>300</v>
      </c>
      <c r="J2207" t="n">
        <v>35</v>
      </c>
      <c r="K2207" t="inlineStr">
        <is>
          <t>&gt; Perfumería &gt; Cuidado Capilar &gt; Shampoo &gt;</t>
        </is>
      </c>
      <c r="L2207" t="inlineStr">
        <is>
          <t>shampoo</t>
        </is>
      </c>
      <c r="M2207" t="inlineStr">
        <is>
          <t>estandar</t>
        </is>
      </c>
      <c r="N2207" t="inlineStr">
        <is>
          <t>general</t>
        </is>
      </c>
      <c r="O2207" t="inlineStr">
        <is>
          <t>https://www.jumbo.com.ar/shampoo-hair-food-palta-fructis-garnier-300-ml/p</t>
        </is>
      </c>
    </row>
    <row r="2208">
      <c r="A2208" s="2" t="inlineStr">
        <is>
          <t>Jumbo</t>
        </is>
      </c>
      <c r="B2208" s="2" t="n">
        <v>384050</v>
      </c>
      <c r="C2208" s="2" t="n">
        <v>382756</v>
      </c>
      <c r="D2208" s="2" t="inlineStr">
        <is>
          <t>Acondicionador Hair Food Reparación de Coco 300 Ml Fructis</t>
        </is>
      </c>
      <c r="E2208" s="2" t="inlineStr">
        <is>
          <t>FRUCTIS</t>
        </is>
      </c>
      <c r="F2208" s="2" t="n">
        <v>10800</v>
      </c>
      <c r="G2208" s="2" t="n">
        <v>892562</v>
      </c>
      <c r="H2208" s="2" t="b">
        <v>0</v>
      </c>
      <c r="I2208" s="2" t="n">
        <v>300</v>
      </c>
      <c r="J2208" s="2" t="n">
        <v>36</v>
      </c>
      <c r="K2208" s="2" t="inlineStr">
        <is>
          <t>&gt; Perfumería &gt; Cuidado Capilar &gt; Acondicionador &gt;</t>
        </is>
      </c>
      <c r="L2208" s="2" t="inlineStr">
        <is>
          <t>acondicionador</t>
        </is>
      </c>
      <c r="M2208" s="2" t="inlineStr">
        <is>
          <t>estandar</t>
        </is>
      </c>
      <c r="N2208" s="2" t="inlineStr">
        <is>
          <t>general</t>
        </is>
      </c>
      <c r="O2208" s="2" t="inlineStr">
        <is>
          <t>https://www.jumbo.com.ar/acondicionador-hair-food-coco-fructis-garnier-300-ml/p</t>
        </is>
      </c>
    </row>
    <row r="2209">
      <c r="A2209" t="inlineStr">
        <is>
          <t>Jumbo</t>
        </is>
      </c>
      <c r="B2209" t="n">
        <v>384046</v>
      </c>
      <c r="C2209" t="n">
        <v>382755</v>
      </c>
      <c r="D2209" t="inlineStr">
        <is>
          <t>Acondicionador Nutrición Cabello Seco Hair Food Palta 300 Ml Fructis</t>
        </is>
      </c>
      <c r="E2209" t="inlineStr">
        <is>
          <t>FRUCTIS</t>
        </is>
      </c>
      <c r="F2209" t="n">
        <v>10500</v>
      </c>
      <c r="G2209" t="n">
        <v>867769</v>
      </c>
      <c r="H2209" t="b">
        <v>0</v>
      </c>
      <c r="I2209" t="n">
        <v>300</v>
      </c>
      <c r="J2209" t="n">
        <v>35</v>
      </c>
      <c r="K2209" t="inlineStr">
        <is>
          <t>&gt; Perfumería &gt; Cuidado Capilar &gt; Acondicionador &gt;</t>
        </is>
      </c>
      <c r="L2209" t="inlineStr">
        <is>
          <t>acondicionador</t>
        </is>
      </c>
      <c r="M2209" t="inlineStr">
        <is>
          <t>estandar</t>
        </is>
      </c>
      <c r="N2209" t="inlineStr">
        <is>
          <t>seco_danado</t>
        </is>
      </c>
      <c r="O2209" t="inlineStr">
        <is>
          <t>https://www.jumbo.com.ar/acondicionador-garnier-fructis-hair-food-palta-300-ml/p</t>
        </is>
      </c>
    </row>
    <row r="2210">
      <c r="A2210" s="2" t="inlineStr">
        <is>
          <t>Jumbo</t>
        </is>
      </c>
      <c r="B2210" s="2" t="n">
        <v>384024</v>
      </c>
      <c r="C2210" s="2" t="n">
        <v>382746</v>
      </c>
      <c r="D2210" s="2" t="inlineStr">
        <is>
          <t>Acondicionador Hair Food Fuerza para Cabello Débil Banana 300 Ml Fructis</t>
        </is>
      </c>
      <c r="E2210" s="2" t="inlineStr">
        <is>
          <t>FRUCTIS</t>
        </is>
      </c>
      <c r="F2210" s="2" t="n">
        <v>9450</v>
      </c>
      <c r="G2210" s="2" t="n">
        <v>780992</v>
      </c>
      <c r="H2210" s="2" t="b">
        <v>0</v>
      </c>
      <c r="I2210" s="2" t="n">
        <v>300</v>
      </c>
      <c r="J2210" s="2" t="n">
        <v>31.5</v>
      </c>
      <c r="K2210" s="2" t="inlineStr">
        <is>
          <t>&gt; Perfumería &gt; Cuidado Capilar &gt; Acondicionador &gt;</t>
        </is>
      </c>
      <c r="L2210" s="2" t="inlineStr">
        <is>
          <t>acondicionador</t>
        </is>
      </c>
      <c r="M2210" s="2" t="inlineStr">
        <is>
          <t>estandar</t>
        </is>
      </c>
      <c r="N2210" s="2" t="inlineStr">
        <is>
          <t>general</t>
        </is>
      </c>
      <c r="O2210" s="2" t="inlineStr">
        <is>
          <t>https://www.jumbo.com.ar/acondicionador-fructis-hair-food-banana-300ml/p</t>
        </is>
      </c>
    </row>
    <row r="2211">
      <c r="A2211" t="inlineStr">
        <is>
          <t>Jumbo</t>
        </is>
      </c>
      <c r="B2211" t="n">
        <v>375243</v>
      </c>
      <c r="C2211" t="n">
        <v>373961</v>
      </c>
      <c r="D2211" t="inlineStr">
        <is>
          <t>Shampooo Fructis Recarga Nutritiva 200ml</t>
        </is>
      </c>
      <c r="E2211" t="inlineStr">
        <is>
          <t>FRUCTIS</t>
        </is>
      </c>
      <c r="F2211" t="n">
        <v>994.6900000000001</v>
      </c>
      <c r="G2211" t="n">
        <v>82206</v>
      </c>
      <c r="H2211" t="b">
        <v>0</v>
      </c>
      <c r="I2211" t="n">
        <v>200</v>
      </c>
      <c r="J2211" t="n">
        <v>4.9735</v>
      </c>
      <c r="K2211" t="inlineStr">
        <is>
          <t>&gt; Perfumería &gt; Cuidado Capilar &gt; Shampoo &gt;</t>
        </is>
      </c>
      <c r="L2211" t="inlineStr">
        <is>
          <t>shampoo</t>
        </is>
      </c>
      <c r="M2211" t="inlineStr">
        <is>
          <t>estandar</t>
        </is>
      </c>
      <c r="N2211" t="inlineStr">
        <is>
          <t>general</t>
        </is>
      </c>
      <c r="O2211" t="inlineStr">
        <is>
          <t>https://www.jumbo.com.ar/shampooo-fructis-recarga-nutritiva-200ml/p</t>
        </is>
      </c>
    </row>
    <row r="2212">
      <c r="A2212" s="2" t="inlineStr">
        <is>
          <t>Jumbo</t>
        </is>
      </c>
      <c r="B2212" s="2" t="n">
        <v>352443</v>
      </c>
      <c r="C2212" s="2" t="n">
        <v>351079</v>
      </c>
      <c r="D2212" s="2" t="inlineStr">
        <is>
          <t>Shampoo  Sandia Solido 60 Gr Fructis Shampoo Fructis Sandia Solido 60g</t>
        </is>
      </c>
      <c r="E2212" s="2" t="inlineStr">
        <is>
          <t>FRUCTIS</t>
        </is>
      </c>
      <c r="F2212" s="2" t="n">
        <v>1507.19</v>
      </c>
      <c r="G2212" s="2" t="n">
        <v>124561</v>
      </c>
      <c r="H2212" s="2" t="b">
        <v>0</v>
      </c>
      <c r="I2212" s="2" t="n">
        <v>60</v>
      </c>
      <c r="J2212" s="2" t="n">
        <v>25.1198</v>
      </c>
      <c r="K2212" s="2" t="inlineStr">
        <is>
          <t>&gt; Perfumería &gt; Cuidado Capilar &gt; Shampoo &gt;</t>
        </is>
      </c>
      <c r="L2212" s="2" t="inlineStr">
        <is>
          <t>shampoo</t>
        </is>
      </c>
      <c r="M2212" s="2" t="inlineStr">
        <is>
          <t>estandar</t>
        </is>
      </c>
      <c r="N2212" s="2" t="inlineStr">
        <is>
          <t>general</t>
        </is>
      </c>
      <c r="O2212" s="2" t="inlineStr">
        <is>
          <t>https://www.jumbo.com.ar/shampoo-fructis-sandia-solido-60g-2/p</t>
        </is>
      </c>
    </row>
    <row r="2213">
      <c r="A2213" t="inlineStr">
        <is>
          <t>Jumbo</t>
        </is>
      </c>
      <c r="B2213" t="n">
        <v>352442</v>
      </c>
      <c r="C2213" t="n">
        <v>351078</v>
      </c>
      <c r="D2213" t="inlineStr">
        <is>
          <t>Shampoo  Banana Solido 60 Gr Fructis Shampoo Fructis Banana Solido 60g</t>
        </is>
      </c>
      <c r="E2213" t="inlineStr">
        <is>
          <t>FRUCTIS</t>
        </is>
      </c>
      <c r="F2213" t="n">
        <v>1708.95</v>
      </c>
      <c r="G2213" t="n">
        <v>141236</v>
      </c>
      <c r="H2213" t="b">
        <v>0</v>
      </c>
      <c r="I2213" t="n">
        <v>60</v>
      </c>
      <c r="J2213" t="n">
        <v>28.4825</v>
      </c>
      <c r="K2213" t="inlineStr">
        <is>
          <t>&gt; Perfumería &gt; Cuidado Capilar &gt; Shampoo &gt;</t>
        </is>
      </c>
      <c r="L2213" t="inlineStr">
        <is>
          <t>shampoo</t>
        </is>
      </c>
      <c r="M2213" t="inlineStr">
        <is>
          <t>estandar</t>
        </is>
      </c>
      <c r="N2213" t="inlineStr">
        <is>
          <t>general</t>
        </is>
      </c>
      <c r="O2213" t="inlineStr">
        <is>
          <t>https://www.jumbo.com.ar/shampoo-fructis-banana-solido-60g-2/p</t>
        </is>
      </c>
    </row>
    <row r="2214">
      <c r="A2214" s="2" t="inlineStr">
        <is>
          <t>Jumbo</t>
        </is>
      </c>
      <c r="B2214" s="2" t="n">
        <v>352441</v>
      </c>
      <c r="C2214" s="2" t="n">
        <v>351077</v>
      </c>
      <c r="D2214" s="2" t="inlineStr">
        <is>
          <t>Shampoo  Aloe Vera Solido 60 Gr Fructis Shampoo Fructis Aloe Vera Solido 60g</t>
        </is>
      </c>
      <c r="E2214" s="2" t="inlineStr">
        <is>
          <t>FRUCTIS</t>
        </is>
      </c>
      <c r="F2214" s="2" t="n">
        <v>2700</v>
      </c>
      <c r="G2214" s="2" t="n">
        <v>223141</v>
      </c>
      <c r="H2214" s="2" t="b">
        <v>0</v>
      </c>
      <c r="I2214" s="2" t="n">
        <v>60</v>
      </c>
      <c r="J2214" s="2" t="n">
        <v>45</v>
      </c>
      <c r="K2214" s="2" t="inlineStr">
        <is>
          <t>&gt; Perfumería &gt; Cuidado Capilar &gt; Shampoo &gt;</t>
        </is>
      </c>
      <c r="L2214" s="2" t="inlineStr">
        <is>
          <t>shampoo</t>
        </is>
      </c>
      <c r="M2214" s="2" t="inlineStr">
        <is>
          <t>estandar</t>
        </is>
      </c>
      <c r="N2214" s="2" t="inlineStr">
        <is>
          <t>general</t>
        </is>
      </c>
      <c r="O2214" s="2" t="inlineStr">
        <is>
          <t>https://www.jumbo.com.ar/shampoo-fructis-aloe-vera-solido-60g-2/p</t>
        </is>
      </c>
    </row>
    <row r="2215">
      <c r="A2215" t="inlineStr">
        <is>
          <t>Jumbo</t>
        </is>
      </c>
      <c r="B2215" t="n">
        <v>352438</v>
      </c>
      <c r="C2215" t="n">
        <v>351074</v>
      </c>
      <c r="D2215" t="inlineStr">
        <is>
          <t>Shampoo  Coco Solido 60 Gr Fructis Shampoo Fructis Coco Solido 60g</t>
        </is>
      </c>
      <c r="E2215" t="inlineStr">
        <is>
          <t>FRUCTIS</t>
        </is>
      </c>
      <c r="F2215" t="n">
        <v>1763.65</v>
      </c>
      <c r="G2215" t="n">
        <v>145756</v>
      </c>
      <c r="H2215" t="b">
        <v>0</v>
      </c>
      <c r="I2215" t="n">
        <v>60</v>
      </c>
      <c r="J2215" t="n">
        <v>29.3942</v>
      </c>
      <c r="K2215" t="inlineStr">
        <is>
          <t>&gt; Perfumería &gt; Cuidado Capilar &gt; Shampoo &gt;</t>
        </is>
      </c>
      <c r="L2215" t="inlineStr">
        <is>
          <t>shampoo</t>
        </is>
      </c>
      <c r="M2215" t="inlineStr">
        <is>
          <t>estandar</t>
        </is>
      </c>
      <c r="N2215" t="inlineStr">
        <is>
          <t>general</t>
        </is>
      </c>
      <c r="O2215" t="inlineStr">
        <is>
          <t>https://www.jumbo.com.ar/shampoo-fructis-coco-solido-60g-2/p</t>
        </is>
      </c>
    </row>
    <row r="2216">
      <c r="A2216" s="2" t="inlineStr">
        <is>
          <t>Jumbo</t>
        </is>
      </c>
      <c r="B2216" s="2" t="n">
        <v>341184</v>
      </c>
      <c r="C2216" s="2" t="n">
        <v>339873</v>
      </c>
      <c r="D2216" s="2" t="inlineStr">
        <is>
          <t>Mascara Fructis Hair Food Sandia 350ml</t>
        </is>
      </c>
      <c r="E2216" s="2" t="inlineStr">
        <is>
          <t>FRUCTIS</t>
        </is>
      </c>
      <c r="F2216" s="2" t="n">
        <v>1936.48</v>
      </c>
      <c r="G2216" s="2" t="n">
        <v>160040</v>
      </c>
      <c r="H2216" s="2" t="b">
        <v>0</v>
      </c>
      <c r="I2216" s="2" t="n">
        <v>350</v>
      </c>
      <c r="J2216" s="2" t="n">
        <v>5.5328</v>
      </c>
      <c r="K2216" s="2" t="inlineStr">
        <is>
          <t>&gt; Perfumería &gt; Cuidado Capilar &gt; Reparación y Tratamientos &gt;</t>
        </is>
      </c>
      <c r="L2216" s="2" t="inlineStr">
        <is>
          <t>tratamiento</t>
        </is>
      </c>
      <c r="M2216" s="2" t="inlineStr">
        <is>
          <t>estandar</t>
        </is>
      </c>
      <c r="N2216" s="2" t="inlineStr">
        <is>
          <t>general</t>
        </is>
      </c>
      <c r="O2216" s="2" t="inlineStr">
        <is>
          <t>https://www.jumbo.com.ar/mascara-fructis-hair-food-sandia-350ml-2/p</t>
        </is>
      </c>
    </row>
    <row r="2217">
      <c r="A2217" t="inlineStr">
        <is>
          <t>Jumbo</t>
        </is>
      </c>
      <c r="B2217" t="n">
        <v>341182</v>
      </c>
      <c r="C2217" t="n">
        <v>339871</v>
      </c>
      <c r="D2217" t="inlineStr">
        <is>
          <t>Shampoo Fructis Hair Food Sandia 300ml</t>
        </is>
      </c>
      <c r="E2217" t="inlineStr">
        <is>
          <t>FRUCTIS</t>
        </is>
      </c>
      <c r="F2217" t="n">
        <v>691.49</v>
      </c>
      <c r="G2217" t="n">
        <v>57148</v>
      </c>
      <c r="H2217" t="b">
        <v>0</v>
      </c>
      <c r="I2217" t="n">
        <v>300</v>
      </c>
      <c r="J2217" t="n">
        <v>2.305</v>
      </c>
      <c r="K2217" t="inlineStr">
        <is>
          <t>&gt; Perfumería &gt; Cuidado Capilar &gt; Shampoo &gt;</t>
        </is>
      </c>
      <c r="L2217" t="inlineStr">
        <is>
          <t>shampoo</t>
        </is>
      </c>
      <c r="M2217" t="inlineStr">
        <is>
          <t>estandar</t>
        </is>
      </c>
      <c r="N2217" t="inlineStr">
        <is>
          <t>general</t>
        </is>
      </c>
      <c r="O2217" t="inlineStr">
        <is>
          <t>https://www.jumbo.com.ar/shampoo-fructis-hair-food-sandia-300ml-2/p</t>
        </is>
      </c>
    </row>
    <row r="2218">
      <c r="A2218" s="2" t="inlineStr">
        <is>
          <t>Jumbo</t>
        </is>
      </c>
      <c r="B2218" s="2" t="n">
        <v>339399</v>
      </c>
      <c r="C2218" s="2" t="n">
        <v>338090</v>
      </c>
      <c r="D2218" s="2" t="inlineStr">
        <is>
          <t>Crema Para Peinar Fructis 300ml Nutritiva</t>
        </is>
      </c>
      <c r="E2218" s="2" t="inlineStr">
        <is>
          <t>FRUCTIS</t>
        </is>
      </c>
      <c r="F2218" s="2" t="n">
        <v>657.6900000000001</v>
      </c>
      <c r="G2218" s="2" t="n">
        <v>54355</v>
      </c>
      <c r="H2218" s="2" t="b">
        <v>0</v>
      </c>
      <c r="I2218" s="2" t="n">
        <v>300</v>
      </c>
      <c r="J2218" s="2" t="n">
        <v>2.1923</v>
      </c>
      <c r="K2218" s="2" t="inlineStr">
        <is>
          <t>&gt; Perfumería &gt; Cuidado Capilar &gt; Reparación y Tratamientos &gt;</t>
        </is>
      </c>
      <c r="L2218" s="2" t="inlineStr">
        <is>
          <t>shampoo</t>
        </is>
      </c>
      <c r="M2218" s="2" t="inlineStr">
        <is>
          <t>estandar</t>
        </is>
      </c>
      <c r="N2218" s="2" t="inlineStr">
        <is>
          <t>general</t>
        </is>
      </c>
      <c r="O2218" s="2" t="inlineStr">
        <is>
          <t>https://www.jumbo.com.ar/crema-para-peinar-fructis-300ml-nutritiva/p</t>
        </is>
      </c>
    </row>
    <row r="2219">
      <c r="A2219" t="inlineStr">
        <is>
          <t>Jumbo</t>
        </is>
      </c>
      <c r="B2219" t="n">
        <v>339397</v>
      </c>
      <c r="C2219" t="n">
        <v>338088</v>
      </c>
      <c r="D2219" t="inlineStr">
        <is>
          <t>Shampoo Recarga Nutritiva 650 Ml Fructis</t>
        </is>
      </c>
      <c r="E2219" t="inlineStr">
        <is>
          <t>FRUCTIS</t>
        </is>
      </c>
      <c r="F2219" t="n">
        <v>11550</v>
      </c>
      <c r="G2219" t="n">
        <v>954545</v>
      </c>
      <c r="H2219" t="b">
        <v>0</v>
      </c>
      <c r="I2219" t="n">
        <v>650</v>
      </c>
      <c r="J2219" t="n">
        <v>17.7692</v>
      </c>
      <c r="K2219" t="inlineStr">
        <is>
          <t>&gt; Perfumería &gt; Cuidado Capilar &gt; Shampoo &gt;</t>
        </is>
      </c>
      <c r="L2219" t="inlineStr">
        <is>
          <t>shampoo</t>
        </is>
      </c>
      <c r="M2219" t="inlineStr">
        <is>
          <t>estandar</t>
        </is>
      </c>
      <c r="N2219" t="inlineStr">
        <is>
          <t>general</t>
        </is>
      </c>
      <c r="O2219" t="inlineStr">
        <is>
          <t>https://www.jumbo.com.ar/shampoo-recarga-nutritiva-650-ml-fructis/p</t>
        </is>
      </c>
    </row>
    <row r="2220">
      <c r="A2220" s="2" t="inlineStr">
        <is>
          <t>Jumbo</t>
        </is>
      </c>
      <c r="B2220" s="2" t="n">
        <v>321108</v>
      </c>
      <c r="C2220" s="2" t="n">
        <v>320145</v>
      </c>
      <c r="D2220" s="2" t="inlineStr">
        <is>
          <t>Crema Para Peinar Fructis Goodbye Daños 250ml</t>
        </is>
      </c>
      <c r="E2220" s="2" t="inlineStr">
        <is>
          <t>FRUCTIS</t>
        </is>
      </c>
      <c r="F2220" s="2" t="n">
        <v>372.4</v>
      </c>
      <c r="G2220" s="2" t="n">
        <v>30777</v>
      </c>
      <c r="H2220" s="2" t="b">
        <v>0</v>
      </c>
      <c r="I2220" s="2" t="n">
        <v>250</v>
      </c>
      <c r="J2220" s="2" t="n">
        <v>1.4896</v>
      </c>
      <c r="K2220" s="2" t="inlineStr">
        <is>
          <t>&gt; Perfumería &gt; Cuidado Capilar &gt; Reparación y Tratamientos &gt;</t>
        </is>
      </c>
      <c r="L2220" s="2" t="inlineStr">
        <is>
          <t>shampoo</t>
        </is>
      </c>
      <c r="M2220" s="2" t="inlineStr">
        <is>
          <t>estandar</t>
        </is>
      </c>
      <c r="N2220" s="2" t="inlineStr">
        <is>
          <t>general</t>
        </is>
      </c>
      <c r="O2220" s="2" t="inlineStr">
        <is>
          <t>https://www.jumbo.com.ar/crema-para-peinar-fructis-goodbye-danos-250ml-2/p</t>
        </is>
      </c>
    </row>
    <row r="2221">
      <c r="A2221" t="inlineStr">
        <is>
          <t>Jumbo</t>
        </is>
      </c>
      <c r="B2221" t="n">
        <v>313259</v>
      </c>
      <c r="C2221" t="n">
        <v>312497</v>
      </c>
      <c r="D2221" t="inlineStr">
        <is>
          <t>Shampoo Fructis Hair Food Palta 300ml</t>
        </is>
      </c>
      <c r="E2221" t="inlineStr">
        <is>
          <t>FRUCTIS</t>
        </is>
      </c>
      <c r="F2221" t="n">
        <v>643.67</v>
      </c>
      <c r="G2221" t="n">
        <v>53196</v>
      </c>
      <c r="H2221" t="b">
        <v>0</v>
      </c>
      <c r="I2221" t="n">
        <v>300</v>
      </c>
      <c r="J2221" t="n">
        <v>2.1456</v>
      </c>
      <c r="K2221" t="inlineStr">
        <is>
          <t>&gt; Perfumería &gt; Cuidado Capilar &gt; Shampoo &gt;</t>
        </is>
      </c>
      <c r="L2221" t="inlineStr">
        <is>
          <t>shampoo</t>
        </is>
      </c>
      <c r="M2221" t="inlineStr">
        <is>
          <t>estandar</t>
        </is>
      </c>
      <c r="N2221" t="inlineStr">
        <is>
          <t>general</t>
        </is>
      </c>
      <c r="O2221" t="inlineStr">
        <is>
          <t>https://www.jumbo.com.ar/shampoo-fructis-hair-food-palta-300ml/p</t>
        </is>
      </c>
    </row>
    <row r="2222">
      <c r="A2222" s="2" t="inlineStr">
        <is>
          <t>Jumbo</t>
        </is>
      </c>
      <c r="B2222" s="2" t="n">
        <v>313248</v>
      </c>
      <c r="C2222" s="2" t="n">
        <v>312486</v>
      </c>
      <c r="D2222" s="2" t="inlineStr">
        <is>
          <t>Shampoo Fructis Hair Food Aloe 300ml</t>
        </is>
      </c>
      <c r="E2222" s="2" t="inlineStr">
        <is>
          <t>FRUCTIS</t>
        </is>
      </c>
      <c r="F2222" s="2" t="n">
        <v>680.99</v>
      </c>
      <c r="G2222" s="2" t="n">
        <v>56280</v>
      </c>
      <c r="H2222" s="2" t="b">
        <v>0</v>
      </c>
      <c r="I2222" s="2" t="n">
        <v>300</v>
      </c>
      <c r="J2222" s="2" t="n">
        <v>2.27</v>
      </c>
      <c r="K2222" s="2" t="inlineStr">
        <is>
          <t>&gt; Perfumería &gt; Cuidado Capilar &gt; Shampoo &gt;</t>
        </is>
      </c>
      <c r="L2222" s="2" t="inlineStr">
        <is>
          <t>shampoo</t>
        </is>
      </c>
      <c r="M2222" s="2" t="inlineStr">
        <is>
          <t>estandar</t>
        </is>
      </c>
      <c r="N2222" s="2" t="inlineStr">
        <is>
          <t>general</t>
        </is>
      </c>
      <c r="O2222" s="2" t="inlineStr">
        <is>
          <t>https://www.jumbo.com.ar/shampoo-fructis-hair-food-aloe-300ml/p</t>
        </is>
      </c>
    </row>
    <row r="2223">
      <c r="A2223" t="inlineStr">
        <is>
          <t>Jumbo</t>
        </is>
      </c>
      <c r="B2223" t="n">
        <v>313247</v>
      </c>
      <c r="C2223" t="n">
        <v>312485</v>
      </c>
      <c r="D2223" t="inlineStr">
        <is>
          <t>Shampoo Fructis Hair Food Banana 300ml</t>
        </is>
      </c>
      <c r="E2223" t="inlineStr">
        <is>
          <t>FRUCTIS</t>
        </is>
      </c>
      <c r="F2223" t="n">
        <v>1300</v>
      </c>
      <c r="G2223" t="n">
        <v>107438</v>
      </c>
      <c r="H2223" t="b">
        <v>0</v>
      </c>
      <c r="I2223" t="n">
        <v>300</v>
      </c>
      <c r="J2223" t="n">
        <v>4.3333</v>
      </c>
      <c r="K2223" t="inlineStr">
        <is>
          <t>&gt; Perfumería &gt; Cuidado Capilar &gt; Shampoo &gt;</t>
        </is>
      </c>
      <c r="L2223" t="inlineStr">
        <is>
          <t>shampoo</t>
        </is>
      </c>
      <c r="M2223" t="inlineStr">
        <is>
          <t>estandar</t>
        </is>
      </c>
      <c r="N2223" t="inlineStr">
        <is>
          <t>general</t>
        </is>
      </c>
      <c r="O2223" t="inlineStr">
        <is>
          <t>https://www.jumbo.com.ar/shampoo-fructis-hair-food-banana-300ml-2/p</t>
        </is>
      </c>
    </row>
    <row r="2224">
      <c r="A2224" s="2" t="inlineStr">
        <is>
          <t>Jumbo</t>
        </is>
      </c>
      <c r="B2224" s="2" t="n">
        <v>295166</v>
      </c>
      <c r="C2224" s="2" t="n">
        <v>294495</v>
      </c>
      <c r="D2224" s="2" t="inlineStr">
        <is>
          <t>Shampoo Fructis Aloe Hidra Bomb 650ml</t>
        </is>
      </c>
      <c r="E2224" s="2" t="inlineStr">
        <is>
          <t>FRUCTIS</t>
        </is>
      </c>
      <c r="F2224" s="2" t="n">
        <v>6930.39</v>
      </c>
      <c r="G2224" s="2" t="n">
        <v>572760</v>
      </c>
      <c r="H2224" s="2" t="b">
        <v>0</v>
      </c>
      <c r="I2224" s="2" t="n">
        <v>650</v>
      </c>
      <c r="J2224" s="2" t="n">
        <v>10.6621</v>
      </c>
      <c r="K2224" s="2" t="inlineStr">
        <is>
          <t>&gt; Perfumería &gt; Cuidado Capilar &gt; Shampoo &gt;</t>
        </is>
      </c>
      <c r="L2224" s="2" t="inlineStr">
        <is>
          <t>shampoo</t>
        </is>
      </c>
      <c r="M2224" s="2" t="inlineStr">
        <is>
          <t>estandar</t>
        </is>
      </c>
      <c r="N2224" s="2" t="inlineStr">
        <is>
          <t>general</t>
        </is>
      </c>
      <c r="O2224" s="2" t="inlineStr">
        <is>
          <t>https://www.jumbo.com.ar/shampoo-fructis-aloe-hidra-bomb-650ml/p</t>
        </is>
      </c>
    </row>
    <row r="2225">
      <c r="A2225" t="inlineStr">
        <is>
          <t>Jumbo</t>
        </is>
      </c>
      <c r="B2225" t="n">
        <v>295162</v>
      </c>
      <c r="C2225" t="n">
        <v>294494</v>
      </c>
      <c r="D2225" t="inlineStr">
        <is>
          <t>Shampoo Fructis Aloe Hidra Bomb 200ml</t>
        </is>
      </c>
      <c r="E2225" t="inlineStr">
        <is>
          <t>FRUCTIS</t>
        </is>
      </c>
      <c r="F2225" t="n">
        <v>483.13</v>
      </c>
      <c r="G2225" t="n">
        <v>39928</v>
      </c>
      <c r="H2225" t="b">
        <v>0</v>
      </c>
      <c r="I2225" t="n">
        <v>200</v>
      </c>
      <c r="J2225" t="n">
        <v>2.4156</v>
      </c>
      <c r="K2225" t="inlineStr">
        <is>
          <t>&gt; Perfumería &gt; Cuidado Capilar &gt; Shampoo &gt;</t>
        </is>
      </c>
      <c r="L2225" t="inlineStr">
        <is>
          <t>shampoo</t>
        </is>
      </c>
      <c r="M2225" t="inlineStr">
        <is>
          <t>estandar</t>
        </is>
      </c>
      <c r="N2225" t="inlineStr">
        <is>
          <t>general</t>
        </is>
      </c>
      <c r="O2225" t="inlineStr">
        <is>
          <t>https://www.jumbo.com.ar/shampoo-fructis-aloe-hidra-bomb-200ml/p</t>
        </is>
      </c>
    </row>
    <row r="2226">
      <c r="A2226" s="2" t="inlineStr">
        <is>
          <t>Jumbo</t>
        </is>
      </c>
      <c r="B2226" s="2" t="n">
        <v>295161</v>
      </c>
      <c r="C2226" s="2" t="n">
        <v>294493</v>
      </c>
      <c r="D2226" s="2" t="inlineStr">
        <is>
          <t>Crema Peinar Fructis Deshidratado 300ml</t>
        </is>
      </c>
      <c r="E2226" s="2" t="inlineStr">
        <is>
          <t>FRUCTIS</t>
        </is>
      </c>
      <c r="F2226" s="2" t="n">
        <v>398.85</v>
      </c>
      <c r="G2226" s="2" t="n">
        <v>32963</v>
      </c>
      <c r="H2226" s="2" t="b">
        <v>0</v>
      </c>
      <c r="I2226" s="2" t="n">
        <v>300</v>
      </c>
      <c r="J2226" s="2" t="n">
        <v>1.3295</v>
      </c>
      <c r="K2226" s="2" t="inlineStr">
        <is>
          <t>&gt; Perfumería &gt; Cuidado Capilar &gt; Reparación y Tratamientos &gt;</t>
        </is>
      </c>
      <c r="L2226" s="2" t="inlineStr">
        <is>
          <t>shampoo</t>
        </is>
      </c>
      <c r="M2226" s="2" t="inlineStr">
        <is>
          <t>estandar</t>
        </is>
      </c>
      <c r="N2226" s="2" t="inlineStr">
        <is>
          <t>seco_danado</t>
        </is>
      </c>
      <c r="O2226" s="2" t="inlineStr">
        <is>
          <t>https://www.jumbo.com.ar/crema-peinar-fructis-deshidratado-300ml/p</t>
        </is>
      </c>
    </row>
    <row r="2227">
      <c r="A2227" t="inlineStr">
        <is>
          <t>Jumbo</t>
        </is>
      </c>
      <c r="B2227" t="n">
        <v>294858</v>
      </c>
      <c r="C2227" t="n">
        <v>294089</v>
      </c>
      <c r="D2227" t="inlineStr">
        <is>
          <t>Acondicionador Fructis Aloe Hidra Bomb 200 Ml</t>
        </is>
      </c>
      <c r="E2227" t="inlineStr">
        <is>
          <t>FRUCTIS</t>
        </is>
      </c>
      <c r="F2227" t="n">
        <v>650</v>
      </c>
      <c r="G2227" t="n">
        <v>53719</v>
      </c>
      <c r="H2227" t="b">
        <v>0</v>
      </c>
      <c r="I2227" t="n">
        <v>200</v>
      </c>
      <c r="J2227" t="n">
        <v>3.25</v>
      </c>
      <c r="K2227" t="inlineStr">
        <is>
          <t>&gt; Perfumería &gt; Cuidado Capilar &gt; Acondicionador &gt;</t>
        </is>
      </c>
      <c r="L2227" t="inlineStr">
        <is>
          <t>acondicionador</t>
        </is>
      </c>
      <c r="M2227" t="inlineStr">
        <is>
          <t>estandar</t>
        </is>
      </c>
      <c r="N2227" t="inlineStr">
        <is>
          <t>general</t>
        </is>
      </c>
      <c r="O2227" t="inlineStr">
        <is>
          <t>https://www.jumbo.com.ar/acondicionador-fructis-aloe-hidra-bomb-200-ml/p</t>
        </is>
      </c>
    </row>
    <row r="2228">
      <c r="A2228" s="2" t="inlineStr">
        <is>
          <t>Jumbo</t>
        </is>
      </c>
      <c r="B2228" s="2" t="n">
        <v>276532</v>
      </c>
      <c r="C2228" s="2" t="n">
        <v>275818</v>
      </c>
      <c r="D2228" s="2" t="inlineStr">
        <is>
          <t>Tratamiento Fructis Food Palta 350ml</t>
        </is>
      </c>
      <c r="E2228" s="2" t="inlineStr">
        <is>
          <t>FRUCTIS</t>
        </is>
      </c>
      <c r="F2228" s="2" t="n">
        <v>994.33</v>
      </c>
      <c r="G2228" s="2" t="n">
        <v>82176</v>
      </c>
      <c r="H2228" s="2" t="b">
        <v>0</v>
      </c>
      <c r="I2228" s="2" t="n">
        <v>350</v>
      </c>
      <c r="J2228" s="2" t="n">
        <v>2.8409</v>
      </c>
      <c r="K2228" s="2" t="inlineStr">
        <is>
          <t>&gt; Perfumería &gt; Cuidado Capilar &gt; Reparación y Tratamientos &gt;</t>
        </is>
      </c>
      <c r="L2228" s="2" t="inlineStr">
        <is>
          <t>tratamiento</t>
        </is>
      </c>
      <c r="M2228" s="2" t="inlineStr">
        <is>
          <t>estandar</t>
        </is>
      </c>
      <c r="N2228" s="2" t="inlineStr">
        <is>
          <t>general</t>
        </is>
      </c>
      <c r="O2228" s="2" t="inlineStr">
        <is>
          <t>https://www.jumbo.com.ar/tratamiento-fructis-food-palta-350ml/p</t>
        </is>
      </c>
    </row>
    <row r="2229">
      <c r="A2229" t="inlineStr">
        <is>
          <t>Jumbo</t>
        </is>
      </c>
      <c r="B2229" t="n">
        <v>276531</v>
      </c>
      <c r="C2229" t="n">
        <v>275817</v>
      </c>
      <c r="D2229" t="inlineStr">
        <is>
          <t>Tratamiento Fructis Hairfood Máscara De Fuerza 350 Ml</t>
        </is>
      </c>
      <c r="E2229" t="inlineStr">
        <is>
          <t>FRUCTIS</t>
        </is>
      </c>
      <c r="F2229" t="n">
        <v>1258.97</v>
      </c>
      <c r="G2229" t="n">
        <v>104047</v>
      </c>
      <c r="H2229" t="b">
        <v>0</v>
      </c>
      <c r="I2229" t="n">
        <v>350</v>
      </c>
      <c r="J2229" t="n">
        <v>3.5971</v>
      </c>
      <c r="K2229" t="inlineStr">
        <is>
          <t>&gt; Perfumería &gt; Cuidado Capilar &gt; Reparación y Tratamientos &gt;</t>
        </is>
      </c>
      <c r="L2229" t="inlineStr">
        <is>
          <t>tratamiento</t>
        </is>
      </c>
      <c r="M2229" t="inlineStr">
        <is>
          <t>estandar</t>
        </is>
      </c>
      <c r="N2229" t="inlineStr">
        <is>
          <t>general</t>
        </is>
      </c>
      <c r="O2229" t="inlineStr">
        <is>
          <t>https://www.jumbo.com.ar/tratamiento-fructis-hairfood-mascara-de-fuerza-350-ml/p</t>
        </is>
      </c>
    </row>
    <row r="2230">
      <c r="A2230" s="2" t="inlineStr">
        <is>
          <t>Jumbo</t>
        </is>
      </c>
      <c r="B2230" s="2" t="n">
        <v>276530</v>
      </c>
      <c r="C2230" s="2" t="n">
        <v>275816</v>
      </c>
      <c r="D2230" s="2" t="inlineStr">
        <is>
          <t>Tratamiento Fructis Hair Food Máscara De Brillo 350 Ml</t>
        </is>
      </c>
      <c r="E2230" s="2" t="inlineStr">
        <is>
          <t>FRUCTIS</t>
        </is>
      </c>
      <c r="F2230" s="2" t="n">
        <v>418.79</v>
      </c>
      <c r="G2230" s="2" t="n">
        <v>34611</v>
      </c>
      <c r="H2230" s="2" t="b">
        <v>0</v>
      </c>
      <c r="I2230" s="2" t="n">
        <v>350</v>
      </c>
      <c r="J2230" s="2" t="n">
        <v>1.1965</v>
      </c>
      <c r="K2230" s="2" t="inlineStr">
        <is>
          <t>&gt; Perfumería &gt; Cuidado Capilar &gt; Reparación y Tratamientos &gt;</t>
        </is>
      </c>
      <c r="L2230" s="2" t="inlineStr">
        <is>
          <t>tratamiento</t>
        </is>
      </c>
      <c r="M2230" s="2" t="inlineStr">
        <is>
          <t>estandar</t>
        </is>
      </c>
      <c r="N2230" s="2" t="inlineStr">
        <is>
          <t>general</t>
        </is>
      </c>
      <c r="O2230" s="2" t="inlineStr">
        <is>
          <t>https://www.jumbo.com.ar/tratamiento-fructis-hair-food-mascara-de-brillo-350-ml/p</t>
        </is>
      </c>
    </row>
    <row r="2231">
      <c r="A2231" t="inlineStr">
        <is>
          <t>Jumbo</t>
        </is>
      </c>
      <c r="B2231" t="n">
        <v>276529</v>
      </c>
      <c r="C2231" t="n">
        <v>275815</v>
      </c>
      <c r="D2231" t="inlineStr">
        <is>
          <t>Fructis Hairfood Máscara De Reparación Cabello Dañado Coco 350ml</t>
        </is>
      </c>
      <c r="E2231" t="inlineStr">
        <is>
          <t>FRUCTIS</t>
        </is>
      </c>
      <c r="F2231" t="n">
        <v>778.67</v>
      </c>
      <c r="G2231" t="n">
        <v>64353</v>
      </c>
      <c r="H2231" t="b">
        <v>0</v>
      </c>
      <c r="I2231" t="n">
        <v>350</v>
      </c>
      <c r="J2231" t="n">
        <v>2.2248</v>
      </c>
      <c r="K2231" t="inlineStr">
        <is>
          <t>&gt; Perfumería &gt; Cuidado Capilar &gt; Reparación y Tratamientos &gt;</t>
        </is>
      </c>
      <c r="L2231" t="inlineStr">
        <is>
          <t>shampoo</t>
        </is>
      </c>
      <c r="M2231" t="inlineStr">
        <is>
          <t>estandar</t>
        </is>
      </c>
      <c r="N2231" t="inlineStr">
        <is>
          <t>seco_danado</t>
        </is>
      </c>
      <c r="O2231" t="inlineStr">
        <is>
          <t>https://www.jumbo.com.ar/fructis-hairfood-mascara-de-reparacion-cabello-danado-coco-350ml/p</t>
        </is>
      </c>
    </row>
    <row r="2232">
      <c r="A2232" s="2" t="inlineStr">
        <is>
          <t>Jumbo</t>
        </is>
      </c>
      <c r="B2232" s="2" t="n">
        <v>265433</v>
      </c>
      <c r="C2232" s="2" t="n">
        <v>264967</v>
      </c>
      <c r="D2232" s="2" t="inlineStr">
        <is>
          <t>Mascara Fructis Wonder Coconut 300gr</t>
        </is>
      </c>
      <c r="E2232" s="2" t="inlineStr">
        <is>
          <t>FRUCTIS</t>
        </is>
      </c>
      <c r="F2232" s="2" t="n">
        <v>433.59</v>
      </c>
      <c r="G2232" s="2" t="n">
        <v>35834</v>
      </c>
      <c r="H2232" s="2" t="b">
        <v>0</v>
      </c>
      <c r="I2232" s="2" t="n">
        <v>300</v>
      </c>
      <c r="J2232" s="2" t="n">
        <v>1.4453</v>
      </c>
      <c r="K2232" s="2" t="inlineStr">
        <is>
          <t>&gt; Perfumería &gt; Cuidado Capilar &gt; Reparación y Tratamientos &gt;</t>
        </is>
      </c>
      <c r="L2232" s="2" t="inlineStr">
        <is>
          <t>tratamiento</t>
        </is>
      </c>
      <c r="M2232" s="2" t="inlineStr">
        <is>
          <t>estandar</t>
        </is>
      </c>
      <c r="N2232" s="2" t="inlineStr">
        <is>
          <t>general</t>
        </is>
      </c>
      <c r="O2232" s="2" t="inlineStr">
        <is>
          <t>https://www.jumbo.com.ar/mascara-fructis-wonder-coconut-300gr/p</t>
        </is>
      </c>
    </row>
    <row r="2233">
      <c r="A2233" t="inlineStr">
        <is>
          <t>Jumbo</t>
        </is>
      </c>
      <c r="B2233" t="n">
        <v>254978</v>
      </c>
      <c r="C2233" t="n">
        <v>254272</v>
      </c>
      <c r="D2233" t="inlineStr">
        <is>
          <t>Shampoo Liso Coco 650 Ml Fructis</t>
        </is>
      </c>
      <c r="E2233" t="inlineStr">
        <is>
          <t>FRUCTIS</t>
        </is>
      </c>
      <c r="F2233" t="n">
        <v>11550</v>
      </c>
      <c r="G2233" t="n">
        <v>954545</v>
      </c>
      <c r="H2233" t="b">
        <v>0</v>
      </c>
      <c r="I2233" t="n">
        <v>650</v>
      </c>
      <c r="J2233" t="n">
        <v>17.7692</v>
      </c>
      <c r="K2233" t="inlineStr">
        <is>
          <t>&gt; Perfumería &gt; Cuidado Capilar &gt; Shampoo &gt;</t>
        </is>
      </c>
      <c r="L2233" t="inlineStr">
        <is>
          <t>shampoo</t>
        </is>
      </c>
      <c r="M2233" t="inlineStr">
        <is>
          <t>estandar</t>
        </is>
      </c>
      <c r="N2233" t="inlineStr">
        <is>
          <t>general</t>
        </is>
      </c>
      <c r="O2233" t="inlineStr">
        <is>
          <t>https://www.jumbo.com.ar/shampoo-liso-coco-650-ml-fructis/p</t>
        </is>
      </c>
    </row>
    <row r="2234">
      <c r="A2234" s="2" t="inlineStr">
        <is>
          <t>Jumbo</t>
        </is>
      </c>
      <c r="B2234" s="2" t="n">
        <v>254976</v>
      </c>
      <c r="C2234" s="2" t="n">
        <v>254270</v>
      </c>
      <c r="D2234" s="2" t="inlineStr">
        <is>
          <t>Tratamiento Fructis Coconut 300ml</t>
        </is>
      </c>
      <c r="E2234" s="2" t="inlineStr">
        <is>
          <t>FRUCTIS</t>
        </is>
      </c>
      <c r="F2234" s="2" t="n">
        <v>475.09</v>
      </c>
      <c r="G2234" s="2" t="n">
        <v>39264</v>
      </c>
      <c r="H2234" s="2" t="b">
        <v>0</v>
      </c>
      <c r="I2234" s="2" t="n">
        <v>300</v>
      </c>
      <c r="J2234" s="2" t="n">
        <v>1.5836</v>
      </c>
      <c r="K2234" s="2" t="inlineStr">
        <is>
          <t>&gt; Perfumería &gt; Cuidado Capilar &gt; Reparación y Tratamientos &gt;</t>
        </is>
      </c>
      <c r="L2234" s="2" t="inlineStr">
        <is>
          <t>tratamiento</t>
        </is>
      </c>
      <c r="M2234" s="2" t="inlineStr">
        <is>
          <t>estandar</t>
        </is>
      </c>
      <c r="N2234" s="2" t="inlineStr">
        <is>
          <t>general</t>
        </is>
      </c>
      <c r="O2234" s="2" t="inlineStr">
        <is>
          <t>https://www.jumbo.com.ar/tratamiento-fructis-coconut-300ml/p</t>
        </is>
      </c>
    </row>
    <row r="2235">
      <c r="A2235" t="inlineStr">
        <is>
          <t>Jumbo</t>
        </is>
      </c>
      <c r="B2235" t="n">
        <v>42001</v>
      </c>
      <c r="C2235" t="n">
        <v>39165</v>
      </c>
      <c r="D2235" t="inlineStr">
        <is>
          <t>Mascara Fructis Oil Repair 300gr</t>
        </is>
      </c>
      <c r="E2235" t="inlineStr">
        <is>
          <t>FRUCTIS</t>
        </is>
      </c>
      <c r="F2235" t="n">
        <v>537.0700000000001</v>
      </c>
      <c r="G2235" t="n">
        <v>44386</v>
      </c>
      <c r="H2235" t="b">
        <v>0</v>
      </c>
      <c r="I2235" t="n">
        <v>300</v>
      </c>
      <c r="J2235" t="n">
        <v>1.7902</v>
      </c>
      <c r="K2235" t="inlineStr">
        <is>
          <t>&gt; Perfumería &gt; Cuidado Capilar &gt; Reparación y Tratamientos &gt;</t>
        </is>
      </c>
      <c r="L2235" t="inlineStr">
        <is>
          <t>tratamiento</t>
        </is>
      </c>
      <c r="M2235" t="inlineStr">
        <is>
          <t>profesional</t>
        </is>
      </c>
      <c r="N2235" t="inlineStr">
        <is>
          <t>general</t>
        </is>
      </c>
      <c r="O2235" t="inlineStr">
        <is>
          <t>https://www.jumbo.com.ar/mascara-fructis-oil-repair-300gr-2/p</t>
        </is>
      </c>
    </row>
    <row r="2236">
      <c r="A2236" s="2" t="inlineStr">
        <is>
          <t>Jumbo</t>
        </is>
      </c>
      <c r="B2236" s="2" t="n">
        <v>41992</v>
      </c>
      <c r="C2236" s="2" t="n">
        <v>39156</v>
      </c>
      <c r="D2236" s="2" t="inlineStr">
        <is>
          <t>Oleo Fructis Control Y Definición Rizos Poderosos 100 Ml</t>
        </is>
      </c>
      <c r="E2236" s="2" t="inlineStr">
        <is>
          <t>FRUCTIS</t>
        </is>
      </c>
      <c r="F2236" s="2" t="n">
        <v>813.09</v>
      </c>
      <c r="G2236" s="2" t="n">
        <v>67198</v>
      </c>
      <c r="H2236" s="2" t="b">
        <v>0</v>
      </c>
      <c r="I2236" s="2" t="n">
        <v>100</v>
      </c>
      <c r="J2236" s="2" t="n">
        <v>8.1309</v>
      </c>
      <c r="K2236" s="2" t="inlineStr">
        <is>
          <t>&gt; Perfumería &gt; Cuidado Capilar &gt; Reparación y Tratamientos &gt;</t>
        </is>
      </c>
      <c r="L2236" s="2" t="inlineStr">
        <is>
          <t>shampoo</t>
        </is>
      </c>
      <c r="M2236" s="2" t="inlineStr">
        <is>
          <t>estandar</t>
        </is>
      </c>
      <c r="N2236" s="2" t="inlineStr">
        <is>
          <t>rizado</t>
        </is>
      </c>
      <c r="O2236" s="2" t="inlineStr">
        <is>
          <t>https://www.jumbo.com.ar/oleo-fructis-control-y-definicion-rizos-poderosos-100-ml/p</t>
        </is>
      </c>
    </row>
    <row r="2237">
      <c r="A2237" t="inlineStr">
        <is>
          <t>Jumbo</t>
        </is>
      </c>
      <c r="B2237" t="n">
        <v>41986</v>
      </c>
      <c r="C2237" t="n">
        <v>39150</v>
      </c>
      <c r="D2237" t="inlineStr">
        <is>
          <t>Crema Peinar Fructis Rizos 300ml</t>
        </is>
      </c>
      <c r="E2237" t="inlineStr">
        <is>
          <t>FRUCTIS</t>
        </is>
      </c>
      <c r="F2237" t="n">
        <v>388.99</v>
      </c>
      <c r="G2237" t="n">
        <v>32148</v>
      </c>
      <c r="H2237" t="b">
        <v>0</v>
      </c>
      <c r="I2237" t="n">
        <v>300</v>
      </c>
      <c r="J2237" t="n">
        <v>1.2966</v>
      </c>
      <c r="K2237" t="inlineStr">
        <is>
          <t>&gt; Perfumería &gt; Cuidado Capilar &gt; Reparación y Tratamientos &gt;</t>
        </is>
      </c>
      <c r="L2237" t="inlineStr">
        <is>
          <t>shampoo</t>
        </is>
      </c>
      <c r="M2237" t="inlineStr">
        <is>
          <t>estandar</t>
        </is>
      </c>
      <c r="N2237" t="inlineStr">
        <is>
          <t>rizado</t>
        </is>
      </c>
      <c r="O2237" t="inlineStr">
        <is>
          <t>https://www.jumbo.com.ar/crema-peinar-fructis-rizos-300ml-2/p</t>
        </is>
      </c>
    </row>
    <row r="2238">
      <c r="A2238" s="2" t="inlineStr">
        <is>
          <t>Jumbo</t>
        </is>
      </c>
      <c r="B2238" s="2" t="n">
        <v>41939</v>
      </c>
      <c r="C2238" s="2" t="n">
        <v>39103</v>
      </c>
      <c r="D2238" s="2" t="inlineStr">
        <is>
          <t>Acondicionador Fructis Control Y Definici«n Lisos Poderosos 350 Ml Acondicionador Fructis Control Y Definición Lisos Poderosos 350 Ml</t>
        </is>
      </c>
      <c r="E2238" s="2" t="inlineStr">
        <is>
          <t>FRUCTIS</t>
        </is>
      </c>
      <c r="F2238" s="2" t="n">
        <v>159</v>
      </c>
      <c r="G2238" s="2" t="n">
        <v>159</v>
      </c>
      <c r="H2238" s="2" t="b">
        <v>0</v>
      </c>
      <c r="I2238" s="2" t="n">
        <v>350</v>
      </c>
      <c r="J2238" s="2" t="n">
        <v>0.4543</v>
      </c>
      <c r="K2238" s="2" t="inlineStr">
        <is>
          <t>&gt; Perfumería &gt; Cuidado Capilar &gt; Acondicionador &gt;</t>
        </is>
      </c>
      <c r="L2238" s="2" t="inlineStr">
        <is>
          <t>acondicionador</t>
        </is>
      </c>
      <c r="M2238" s="2" t="inlineStr">
        <is>
          <t>estandar</t>
        </is>
      </c>
      <c r="N2238" s="2" t="inlineStr">
        <is>
          <t>general</t>
        </is>
      </c>
      <c r="O2238" s="2" t="inlineStr">
        <is>
          <t>https://www.jumbo.com.ar/acondicionador-fructis-control-y-definici-n-lisos-poderosos-350-ml/p</t>
        </is>
      </c>
    </row>
    <row r="2239">
      <c r="A2239" t="inlineStr">
        <is>
          <t>Jumbo</t>
        </is>
      </c>
      <c r="B2239" t="n">
        <v>41823</v>
      </c>
      <c r="C2239" t="n">
        <v>38987</v>
      </c>
      <c r="D2239" t="inlineStr">
        <is>
          <t>Mascara Fructis Goodbye 300gr</t>
        </is>
      </c>
      <c r="E2239" t="inlineStr">
        <is>
          <t>FRUCTIS</t>
        </is>
      </c>
      <c r="F2239" t="n">
        <v>433.59</v>
      </c>
      <c r="G2239" t="n">
        <v>35834</v>
      </c>
      <c r="H2239" t="b">
        <v>0</v>
      </c>
      <c r="I2239" t="n">
        <v>300</v>
      </c>
      <c r="J2239" t="n">
        <v>1.4453</v>
      </c>
      <c r="K2239" t="inlineStr">
        <is>
          <t>&gt; Perfumería &gt; Cuidado Capilar &gt; Reparación y Tratamientos &gt;</t>
        </is>
      </c>
      <c r="L2239" t="inlineStr">
        <is>
          <t>tratamiento</t>
        </is>
      </c>
      <c r="M2239" t="inlineStr">
        <is>
          <t>estandar</t>
        </is>
      </c>
      <c r="N2239" t="inlineStr">
        <is>
          <t>general</t>
        </is>
      </c>
      <c r="O2239" t="inlineStr">
        <is>
          <t>https://www.jumbo.com.ar/mascara-fructis-goodbye-300gr-2/p</t>
        </is>
      </c>
    </row>
    <row r="2240">
      <c r="A2240" s="2" t="inlineStr">
        <is>
          <t>Jumbo</t>
        </is>
      </c>
      <c r="B2240" s="2" t="n">
        <v>41814</v>
      </c>
      <c r="C2240" s="2" t="n">
        <v>38978</v>
      </c>
      <c r="D2240" s="2" t="inlineStr">
        <is>
          <t>Shampoo Fructis Control Y Definición Rizos Poderosos 650 Ml</t>
        </is>
      </c>
      <c r="E2240" s="2" t="inlineStr">
        <is>
          <t>FRUCTIS</t>
        </is>
      </c>
      <c r="F2240" s="2" t="n">
        <v>381.19</v>
      </c>
      <c r="G2240" s="2" t="n">
        <v>31503</v>
      </c>
      <c r="H2240" s="2" t="b">
        <v>0</v>
      </c>
      <c r="I2240" s="2" t="n">
        <v>650</v>
      </c>
      <c r="J2240" s="2" t="n">
        <v>0.5864</v>
      </c>
      <c r="K2240" s="2" t="inlineStr">
        <is>
          <t>&gt; Perfumería &gt; Cuidado Capilar &gt; Shampoo &gt;</t>
        </is>
      </c>
      <c r="L2240" s="2" t="inlineStr">
        <is>
          <t>shampoo</t>
        </is>
      </c>
      <c r="M2240" s="2" t="inlineStr">
        <is>
          <t>estandar</t>
        </is>
      </c>
      <c r="N2240" s="2" t="inlineStr">
        <is>
          <t>rizado</t>
        </is>
      </c>
      <c r="O2240" s="2" t="inlineStr">
        <is>
          <t>https://www.jumbo.com.ar/shampoo-fructis-control-y-definicion-rizos-poderosos-650-ml/p</t>
        </is>
      </c>
    </row>
    <row r="2241">
      <c r="A2241" t="inlineStr">
        <is>
          <t>Jumbo</t>
        </is>
      </c>
      <c r="B2241" t="n">
        <v>41798</v>
      </c>
      <c r="C2241" t="n">
        <v>38962</v>
      </c>
      <c r="D2241" t="inlineStr">
        <is>
          <t>Shampoo Fructis Control 350ml</t>
        </is>
      </c>
      <c r="E2241" t="inlineStr">
        <is>
          <t>FRUCTIS</t>
        </is>
      </c>
      <c r="F2241" t="n">
        <v>339.27</v>
      </c>
      <c r="G2241" t="n">
        <v>28039</v>
      </c>
      <c r="H2241" t="b">
        <v>0</v>
      </c>
      <c r="I2241" t="n">
        <v>350</v>
      </c>
      <c r="J2241" t="n">
        <v>0.9693000000000001</v>
      </c>
      <c r="K2241" t="inlineStr">
        <is>
          <t>&gt; Perfumería &gt; Cuidado Capilar &gt; Shampoo &gt;</t>
        </is>
      </c>
      <c r="L2241" t="inlineStr">
        <is>
          <t>shampoo</t>
        </is>
      </c>
      <c r="M2241" t="inlineStr">
        <is>
          <t>estandar</t>
        </is>
      </c>
      <c r="N2241" t="inlineStr">
        <is>
          <t>general</t>
        </is>
      </c>
      <c r="O2241" t="inlineStr">
        <is>
          <t>https://www.jumbo.com.ar/shampoo-fructis-control-350ml-2/p</t>
        </is>
      </c>
    </row>
    <row r="2242">
      <c r="A2242" s="2" t="inlineStr">
        <is>
          <t>Jumbo</t>
        </is>
      </c>
      <c r="B2242" s="2" t="n">
        <v>41755</v>
      </c>
      <c r="C2242" s="2" t="n">
        <v>38919</v>
      </c>
      <c r="D2242" s="2" t="inlineStr">
        <is>
          <t>Shampoo Fructis Oil Repair 650ml</t>
        </is>
      </c>
      <c r="E2242" s="2" t="inlineStr">
        <is>
          <t>FRUCTIS</t>
        </is>
      </c>
      <c r="F2242" s="2" t="n">
        <v>381.19</v>
      </c>
      <c r="G2242" s="2" t="n">
        <v>31503</v>
      </c>
      <c r="H2242" s="2" t="b">
        <v>0</v>
      </c>
      <c r="I2242" s="2" t="n">
        <v>650</v>
      </c>
      <c r="J2242" s="2" t="n">
        <v>0.5864</v>
      </c>
      <c r="K2242" s="2" t="inlineStr">
        <is>
          <t>&gt; Perfumería &gt; Cuidado Capilar &gt; Shampoo &gt;</t>
        </is>
      </c>
      <c r="L2242" s="2" t="inlineStr">
        <is>
          <t>shampoo</t>
        </is>
      </c>
      <c r="M2242" s="2" t="inlineStr">
        <is>
          <t>profesional</t>
        </is>
      </c>
      <c r="N2242" s="2" t="inlineStr">
        <is>
          <t>general</t>
        </is>
      </c>
      <c r="O2242" s="2" t="inlineStr">
        <is>
          <t>https://www.jumbo.com.ar/shampoo-fructis-oil-repair-650ml-2/p</t>
        </is>
      </c>
    </row>
    <row r="2243">
      <c r="A2243" t="inlineStr">
        <is>
          <t>Jumbo</t>
        </is>
      </c>
      <c r="B2243" t="n">
        <v>41752</v>
      </c>
      <c r="C2243" t="n">
        <v>38915</v>
      </c>
      <c r="D2243" t="inlineStr">
        <is>
          <t>Shampoo Fructis Stop Caída Crece Fuerte 350 Ml</t>
        </is>
      </c>
      <c r="E2243" t="inlineStr">
        <is>
          <t>FRUCTIS</t>
        </is>
      </c>
      <c r="F2243" t="n">
        <v>262.17</v>
      </c>
      <c r="G2243" t="n">
        <v>21667</v>
      </c>
      <c r="H2243" t="b">
        <v>0</v>
      </c>
      <c r="I2243" t="n">
        <v>350</v>
      </c>
      <c r="J2243" t="n">
        <v>0.7491</v>
      </c>
      <c r="K2243" t="inlineStr">
        <is>
          <t>&gt; Perfumería &gt; Cuidado Capilar &gt; Shampoo &gt;</t>
        </is>
      </c>
      <c r="L2243" t="inlineStr">
        <is>
          <t>shampoo</t>
        </is>
      </c>
      <c r="M2243" t="inlineStr">
        <is>
          <t>estandar</t>
        </is>
      </c>
      <c r="N2243" t="inlineStr">
        <is>
          <t>general</t>
        </is>
      </c>
      <c r="O2243" t="inlineStr">
        <is>
          <t>https://www.jumbo.com.ar/shampoo-fructis-stop-caida-crece-fuerte-350-ml/p</t>
        </is>
      </c>
    </row>
    <row r="2244">
      <c r="A2244" s="2" t="inlineStr">
        <is>
          <t>Jumbo</t>
        </is>
      </c>
      <c r="B2244" s="2" t="n">
        <v>41654</v>
      </c>
      <c r="C2244" s="2" t="n">
        <v>38819</v>
      </c>
      <c r="D2244" s="2" t="inlineStr">
        <is>
          <t>Shampoo Fructis Brillo 650ml</t>
        </is>
      </c>
      <c r="E2244" s="2" t="inlineStr">
        <is>
          <t>FRUCTIS</t>
        </is>
      </c>
      <c r="F2244" s="2" t="n">
        <v>415.89</v>
      </c>
      <c r="G2244" s="2" t="n">
        <v>34371</v>
      </c>
      <c r="H2244" s="2" t="b">
        <v>0</v>
      </c>
      <c r="I2244" s="2" t="n">
        <v>650</v>
      </c>
      <c r="J2244" s="2" t="n">
        <v>0.6398</v>
      </c>
      <c r="K2244" s="2" t="inlineStr">
        <is>
          <t>&gt; Perfumería &gt; Cuidado Capilar &gt; Shampoo &gt;</t>
        </is>
      </c>
      <c r="L2244" s="2" t="inlineStr">
        <is>
          <t>shampoo</t>
        </is>
      </c>
      <c r="M2244" s="2" t="inlineStr">
        <is>
          <t>estandar</t>
        </is>
      </c>
      <c r="N2244" s="2" t="inlineStr">
        <is>
          <t>general</t>
        </is>
      </c>
      <c r="O2244" s="2" t="inlineStr">
        <is>
          <t>https://www.jumbo.com.ar/shampoo-fructis-brillo-650ml-2/p</t>
        </is>
      </c>
    </row>
    <row r="2245">
      <c r="A2245" t="inlineStr">
        <is>
          <t>Jumbo</t>
        </is>
      </c>
      <c r="B2245" t="n">
        <v>41619</v>
      </c>
      <c r="C2245" t="n">
        <v>38784</v>
      </c>
      <c r="D2245" t="inlineStr">
        <is>
          <t>Acondicionador Fructis Control Y Definición Rizos Poderosos 650 Ml</t>
        </is>
      </c>
      <c r="E2245" t="inlineStr">
        <is>
          <t>FRUCTIS</t>
        </is>
      </c>
      <c r="F2245" t="n">
        <v>381.19</v>
      </c>
      <c r="G2245" t="n">
        <v>31503</v>
      </c>
      <c r="H2245" t="b">
        <v>0</v>
      </c>
      <c r="I2245" t="n">
        <v>650</v>
      </c>
      <c r="J2245" t="n">
        <v>0.5864</v>
      </c>
      <c r="K2245" t="inlineStr">
        <is>
          <t>&gt; Perfumería &gt; Cuidado Capilar &gt; Acondicionador &gt;</t>
        </is>
      </c>
      <c r="L2245" t="inlineStr">
        <is>
          <t>acondicionador</t>
        </is>
      </c>
      <c r="M2245" t="inlineStr">
        <is>
          <t>estandar</t>
        </is>
      </c>
      <c r="N2245" t="inlineStr">
        <is>
          <t>rizado</t>
        </is>
      </c>
      <c r="O2245" t="inlineStr">
        <is>
          <t>https://www.jumbo.com.ar/acondicionador-fructis-control-y-definicion-rizos-poderosos-650-ml/p</t>
        </is>
      </c>
    </row>
    <row r="2246">
      <c r="A2246" s="2" t="inlineStr">
        <is>
          <t>Jumbo</t>
        </is>
      </c>
      <c r="B2246" s="2" t="n">
        <v>41590</v>
      </c>
      <c r="C2246" s="2" t="n">
        <v>38756</v>
      </c>
      <c r="D2246" s="2" t="inlineStr">
        <is>
          <t>Acondicionador Fructis Stop Caída Crece Fuerte 350 Ml</t>
        </is>
      </c>
      <c r="E2246" s="2" t="inlineStr">
        <is>
          <t>FRUCTIS</t>
        </is>
      </c>
      <c r="F2246" s="2" t="n">
        <v>311.59</v>
      </c>
      <c r="G2246" s="2" t="n">
        <v>25751</v>
      </c>
      <c r="H2246" s="2" t="b">
        <v>0</v>
      </c>
      <c r="I2246" s="2" t="n">
        <v>350</v>
      </c>
      <c r="J2246" s="2" t="n">
        <v>0.8903</v>
      </c>
      <c r="K2246" s="2" t="inlineStr">
        <is>
          <t>&gt; Perfumería &gt; Cuidado Capilar &gt; Acondicionador &gt;</t>
        </is>
      </c>
      <c r="L2246" s="2" t="inlineStr">
        <is>
          <t>acondicionador</t>
        </is>
      </c>
      <c r="M2246" s="2" t="inlineStr">
        <is>
          <t>estandar</t>
        </is>
      </c>
      <c r="N2246" s="2" t="inlineStr">
        <is>
          <t>general</t>
        </is>
      </c>
      <c r="O2246" s="2" t="inlineStr">
        <is>
          <t>https://www.jumbo.com.ar/acondicionador-fructis-stop-caida-crece-fuerte-350-ml/p</t>
        </is>
      </c>
    </row>
    <row r="2247">
      <c r="A2247" t="inlineStr">
        <is>
          <t>Jumbo</t>
        </is>
      </c>
      <c r="B2247" t="n">
        <v>41567</v>
      </c>
      <c r="C2247" t="n">
        <v>38732</v>
      </c>
      <c r="D2247" t="inlineStr">
        <is>
          <t>Acondicionador Fructis Control Y Definici«n Lisos Poderosos 650 Ml Acondicionador Fructis Control Y Definición Lisos Poderosos 650 Ml</t>
        </is>
      </c>
      <c r="E2247" t="inlineStr">
        <is>
          <t>FRUCTIS</t>
        </is>
      </c>
      <c r="F2247" t="n">
        <v>129</v>
      </c>
      <c r="G2247" t="n">
        <v>129</v>
      </c>
      <c r="H2247" t="b">
        <v>0</v>
      </c>
      <c r="I2247" t="n">
        <v>650</v>
      </c>
      <c r="J2247" t="n">
        <v>0.1985</v>
      </c>
      <c r="K2247" t="inlineStr">
        <is>
          <t>&gt; Perfumería &gt; Cuidado Capilar &gt; Acondicionador &gt;</t>
        </is>
      </c>
      <c r="L2247" t="inlineStr">
        <is>
          <t>acondicionador</t>
        </is>
      </c>
      <c r="M2247" t="inlineStr">
        <is>
          <t>estandar</t>
        </is>
      </c>
      <c r="N2247" t="inlineStr">
        <is>
          <t>general</t>
        </is>
      </c>
      <c r="O2247" t="inlineStr">
        <is>
          <t>https://www.jumbo.com.ar/acondicionador-fructis-control-y-definici-n-lisos-poderosos-650-ml/p</t>
        </is>
      </c>
    </row>
    <row r="2248">
      <c r="A2248" s="2" t="inlineStr">
        <is>
          <t>Jumbo</t>
        </is>
      </c>
      <c r="B2248" s="2" t="n">
        <v>41547</v>
      </c>
      <c r="C2248" s="2" t="n">
        <v>38712</v>
      </c>
      <c r="D2248" s="2" t="inlineStr">
        <is>
          <t>Acondicionador Fructis Stop Caída Crece Fuerte 650 Ml</t>
        </is>
      </c>
      <c r="E2248" s="2" t="inlineStr">
        <is>
          <t>FRUCTIS</t>
        </is>
      </c>
      <c r="F2248" s="2" t="n">
        <v>381.19</v>
      </c>
      <c r="G2248" s="2" t="n">
        <v>31503</v>
      </c>
      <c r="H2248" s="2" t="b">
        <v>0</v>
      </c>
      <c r="I2248" s="2" t="n">
        <v>650</v>
      </c>
      <c r="J2248" s="2" t="n">
        <v>0.5864</v>
      </c>
      <c r="K2248" s="2" t="inlineStr">
        <is>
          <t>&gt; Perfumería &gt; Cuidado Capilar &gt; Acondicionador &gt;</t>
        </is>
      </c>
      <c r="L2248" s="2" t="inlineStr">
        <is>
          <t>acondicionador</t>
        </is>
      </c>
      <c r="M2248" s="2" t="inlineStr">
        <is>
          <t>estandar</t>
        </is>
      </c>
      <c r="N2248" s="2" t="inlineStr">
        <is>
          <t>general</t>
        </is>
      </c>
      <c r="O2248" s="2" t="inlineStr">
        <is>
          <t>https://www.jumbo.com.ar/acondicionador-fructis-stop-caida-crece-fuerte-650-ml/p</t>
        </is>
      </c>
    </row>
    <row r="2249">
      <c r="A2249" t="inlineStr">
        <is>
          <t>Jumbo</t>
        </is>
      </c>
      <c r="B2249" t="n">
        <v>41401</v>
      </c>
      <c r="C2249" t="n">
        <v>38566</v>
      </c>
      <c r="D2249" t="inlineStr">
        <is>
          <t>Crema Peinar Fructis Oil Repair 300ml</t>
        </is>
      </c>
      <c r="E2249" t="inlineStr">
        <is>
          <t>FRUCTIS</t>
        </is>
      </c>
      <c r="F2249" t="n">
        <v>365.57</v>
      </c>
      <c r="G2249" t="n">
        <v>30212</v>
      </c>
      <c r="H2249" t="b">
        <v>0</v>
      </c>
      <c r="I2249" t="n">
        <v>300</v>
      </c>
      <c r="J2249" t="n">
        <v>1.2186</v>
      </c>
      <c r="K2249" t="inlineStr">
        <is>
          <t>&gt; Perfumería &gt; Cuidado Capilar &gt; Reparación y Tratamientos &gt;</t>
        </is>
      </c>
      <c r="L2249" t="inlineStr">
        <is>
          <t>shampoo</t>
        </is>
      </c>
      <c r="M2249" t="inlineStr">
        <is>
          <t>profesional</t>
        </is>
      </c>
      <c r="N2249" t="inlineStr">
        <is>
          <t>general</t>
        </is>
      </c>
      <c r="O2249" t="inlineStr">
        <is>
          <t>https://www.jumbo.com.ar/crema-peinar-fructis-oil-repair-300ml-2/p</t>
        </is>
      </c>
    </row>
    <row r="2250">
      <c r="A2250" s="2" t="inlineStr">
        <is>
          <t>Jumbo</t>
        </is>
      </c>
      <c r="B2250" s="2" t="n">
        <v>41365</v>
      </c>
      <c r="C2250" s="2" t="n">
        <v>38530</v>
      </c>
      <c r="D2250" s="2" t="inlineStr">
        <is>
          <t>Shampoo Fructis Goodbye Daños 350ml</t>
        </is>
      </c>
      <c r="E2250" s="2" t="inlineStr">
        <is>
          <t>FRUCTIS</t>
        </is>
      </c>
      <c r="F2250" s="2" t="n">
        <v>950</v>
      </c>
      <c r="G2250" s="2" t="n">
        <v>78512</v>
      </c>
      <c r="H2250" s="2" t="b">
        <v>0</v>
      </c>
      <c r="I2250" s="2" t="n">
        <v>350</v>
      </c>
      <c r="J2250" s="2" t="n">
        <v>2.7143</v>
      </c>
      <c r="K2250" s="2" t="inlineStr">
        <is>
          <t>&gt; Perfumería &gt; Cuidado Capilar &gt; Shampoo &gt;</t>
        </is>
      </c>
      <c r="L2250" s="2" t="inlineStr">
        <is>
          <t>shampoo</t>
        </is>
      </c>
      <c r="M2250" s="2" t="inlineStr">
        <is>
          <t>estandar</t>
        </is>
      </c>
      <c r="N2250" s="2" t="inlineStr">
        <is>
          <t>general</t>
        </is>
      </c>
      <c r="O2250" s="2" t="inlineStr">
        <is>
          <t>https://www.jumbo.com.ar/shampoo-fructis-goodbye-danos-350ml/p</t>
        </is>
      </c>
    </row>
    <row r="2251">
      <c r="A2251" t="inlineStr">
        <is>
          <t>Jumbo</t>
        </is>
      </c>
      <c r="B2251" t="n">
        <v>424304</v>
      </c>
      <c r="C2251" t="n">
        <v>417184</v>
      </c>
      <c r="D2251" t="inlineStr">
        <is>
          <t>Protector Térmico Antifrizz 120 Ml Tresemmé</t>
        </is>
      </c>
      <c r="E2251" t="inlineStr">
        <is>
          <t>TRESEMMÉ</t>
        </is>
      </c>
      <c r="F2251" t="n">
        <v>10350</v>
      </c>
      <c r="G2251" t="n">
        <v>855372</v>
      </c>
      <c r="H2251" t="b">
        <v>1</v>
      </c>
      <c r="I2251" t="n">
        <v>120</v>
      </c>
      <c r="J2251" t="n">
        <v>86.25</v>
      </c>
      <c r="K2251" t="inlineStr">
        <is>
          <t>&gt; Perfumería &gt; Cuidado Capilar &gt; Reparación y Tratamientos &gt;</t>
        </is>
      </c>
      <c r="L2251" t="inlineStr">
        <is>
          <t>shampoo</t>
        </is>
      </c>
      <c r="M2251" t="inlineStr">
        <is>
          <t>estandar</t>
        </is>
      </c>
      <c r="N2251" t="inlineStr">
        <is>
          <t>general</t>
        </is>
      </c>
      <c r="O2251" t="inlineStr">
        <is>
          <t>https://www.jumbo.com.ar/spray-protector-termico-tresemme-antifrizz-120-ml-2/p</t>
        </is>
      </c>
    </row>
    <row r="2252">
      <c r="A2252" s="2" t="inlineStr">
        <is>
          <t>Jumbo</t>
        </is>
      </c>
      <c r="B2252" s="2" t="n">
        <v>3070285</v>
      </c>
      <c r="C2252" s="2" t="n">
        <v>3069878</v>
      </c>
      <c r="D2252" s="2" t="inlineStr">
        <is>
          <t>Mascara Keratina Antifrizz X 300 Gr Tresemmé</t>
        </is>
      </c>
      <c r="E2252" s="2" t="inlineStr">
        <is>
          <t>TRESEMMÉ</t>
        </is>
      </c>
      <c r="F2252" s="2" t="n">
        <v>9350</v>
      </c>
      <c r="G2252" s="2" t="n">
        <v>772727</v>
      </c>
      <c r="H2252" s="2" t="b">
        <v>0</v>
      </c>
      <c r="I2252" s="2" t="n">
        <v>300</v>
      </c>
      <c r="J2252" s="2" t="n">
        <v>31.1667</v>
      </c>
      <c r="K2252" s="2" t="inlineStr">
        <is>
          <t>&gt; Perfumería &gt; Cuidado Capilar &gt; Reparación y Tratamientos &gt;</t>
        </is>
      </c>
      <c r="L2252" s="2" t="inlineStr">
        <is>
          <t>tratamiento</t>
        </is>
      </c>
      <c r="M2252" s="2" t="inlineStr">
        <is>
          <t>estandar</t>
        </is>
      </c>
      <c r="N2252" s="2" t="inlineStr">
        <is>
          <t>tratado</t>
        </is>
      </c>
      <c r="O2252" s="2" t="inlineStr">
        <is>
          <t>https://www.jumbo.com.ar/mascara-keratina-antifrizz-x-300-gr-tresemme/p</t>
        </is>
      </c>
    </row>
    <row r="2253">
      <c r="A2253" t="inlineStr">
        <is>
          <t>Jumbo</t>
        </is>
      </c>
      <c r="B2253" t="n">
        <v>3070235</v>
      </c>
      <c r="C2253" t="n">
        <v>3069838</v>
      </c>
      <c r="D2253" t="inlineStr">
        <is>
          <t>Acondicionador Liso Efecto Profesional 500 Ml Tresemmé</t>
        </is>
      </c>
      <c r="E2253" t="inlineStr">
        <is>
          <t>TRESEMMÉ</t>
        </is>
      </c>
      <c r="F2253" t="n">
        <v>9650</v>
      </c>
      <c r="G2253" t="n">
        <v>797521</v>
      </c>
      <c r="H2253" t="b">
        <v>0</v>
      </c>
      <c r="I2253" t="n">
        <v>500</v>
      </c>
      <c r="J2253" t="n">
        <v>19.3</v>
      </c>
      <c r="K2253" t="inlineStr">
        <is>
          <t>&gt; Perfumería &gt; Cuidado Capilar &gt; Acondicionador &gt;</t>
        </is>
      </c>
      <c r="L2253" t="inlineStr">
        <is>
          <t>acondicionador</t>
        </is>
      </c>
      <c r="M2253" t="inlineStr">
        <is>
          <t>profesional</t>
        </is>
      </c>
      <c r="N2253" t="inlineStr">
        <is>
          <t>general</t>
        </is>
      </c>
      <c r="O2253" t="inlineStr">
        <is>
          <t>https://www.jumbo.com.ar/acondicionador-liso-perfecto-profesional-x-500-ml-tresemme/p</t>
        </is>
      </c>
    </row>
    <row r="2254">
      <c r="A2254" s="2" t="inlineStr">
        <is>
          <t>Jumbo</t>
        </is>
      </c>
      <c r="B2254" s="2" t="n">
        <v>424303</v>
      </c>
      <c r="C2254" s="2" t="n">
        <v>417183</v>
      </c>
      <c r="D2254" s="2" t="inlineStr">
        <is>
          <t>Spray Fijador Ultra Fine Hold 311 Grs Tresemme</t>
        </is>
      </c>
      <c r="E2254" s="2" t="inlineStr">
        <is>
          <t>TRESEMMÉ</t>
        </is>
      </c>
      <c r="F2254" s="2" t="n">
        <v>12000</v>
      </c>
      <c r="G2254" s="2" t="n">
        <v>991736</v>
      </c>
      <c r="H2254" s="2" t="b">
        <v>0</v>
      </c>
      <c r="I2254" s="2" t="inlineStr"/>
      <c r="J2254" s="2" t="inlineStr"/>
      <c r="K2254" s="2" t="inlineStr">
        <is>
          <t>&gt; Perfumería &gt; Cuidado Capilar &gt; Reparación y Tratamientos &gt;</t>
        </is>
      </c>
      <c r="L2254" s="2" t="inlineStr">
        <is>
          <t>shampoo</t>
        </is>
      </c>
      <c r="M2254" s="2" t="inlineStr">
        <is>
          <t>estandar</t>
        </is>
      </c>
      <c r="N2254" s="2" t="inlineStr">
        <is>
          <t>general</t>
        </is>
      </c>
      <c r="O2254" s="2" t="inlineStr">
        <is>
          <t>https://www.jumbo.com.ar/spray-fijador-ultra-fine-hold-311-grs-tresemme/p</t>
        </is>
      </c>
    </row>
    <row r="2255">
      <c r="A2255" t="inlineStr">
        <is>
          <t>Jumbo</t>
        </is>
      </c>
      <c r="B2255" t="n">
        <v>413371</v>
      </c>
      <c r="C2255" t="n">
        <v>409248</v>
      </c>
      <c r="D2255" t="inlineStr">
        <is>
          <t>Shampoo Liso Efecto Botox 500 Ml Tresemmé</t>
        </is>
      </c>
      <c r="E2255" t="inlineStr">
        <is>
          <t>TRESEMMÉ</t>
        </is>
      </c>
      <c r="F2255" t="n">
        <v>6550</v>
      </c>
      <c r="G2255" t="n">
        <v>541322</v>
      </c>
      <c r="H2255" t="b">
        <v>0</v>
      </c>
      <c r="I2255" t="n">
        <v>500</v>
      </c>
      <c r="J2255" t="n">
        <v>13.1</v>
      </c>
      <c r="K2255" t="inlineStr">
        <is>
          <t>&gt; Perfumería &gt; Cuidado Capilar &gt; Shampoo &gt;</t>
        </is>
      </c>
      <c r="L2255" t="inlineStr">
        <is>
          <t>shampoo</t>
        </is>
      </c>
      <c r="M2255" t="inlineStr">
        <is>
          <t>estandar</t>
        </is>
      </c>
      <c r="N2255" t="inlineStr">
        <is>
          <t>general</t>
        </is>
      </c>
      <c r="O2255" t="inlineStr">
        <is>
          <t>https://www.jumbo.com.ar/shampoo-tresemme-liso-efecto-botox-500-ml/p</t>
        </is>
      </c>
    </row>
    <row r="2256">
      <c r="A2256" s="2" t="inlineStr">
        <is>
          <t>Jumbo</t>
        </is>
      </c>
      <c r="B2256" s="2" t="n">
        <v>413370</v>
      </c>
      <c r="C2256" s="2" t="n">
        <v>409247</v>
      </c>
      <c r="D2256" s="2" t="inlineStr">
        <is>
          <t>Shampoo Tresemme Cauterización Reparadora 500 Ml</t>
        </is>
      </c>
      <c r="E2256" s="2" t="inlineStr">
        <is>
          <t>TRESEMMÉ</t>
        </is>
      </c>
      <c r="F2256" s="2" t="n">
        <v>6550</v>
      </c>
      <c r="G2256" s="2" t="n">
        <v>541322</v>
      </c>
      <c r="H2256" s="2" t="b">
        <v>0</v>
      </c>
      <c r="I2256" s="2" t="n">
        <v>500</v>
      </c>
      <c r="J2256" s="2" t="n">
        <v>13.1</v>
      </c>
      <c r="K2256" s="2" t="inlineStr">
        <is>
          <t>&gt; Perfumería &gt; Cuidado Capilar &gt; Shampoo &gt;</t>
        </is>
      </c>
      <c r="L2256" s="2" t="inlineStr">
        <is>
          <t>shampoo</t>
        </is>
      </c>
      <c r="M2256" s="2" t="inlineStr">
        <is>
          <t>estandar</t>
        </is>
      </c>
      <c r="N2256" s="2" t="inlineStr">
        <is>
          <t>general</t>
        </is>
      </c>
      <c r="O2256" s="2" t="inlineStr">
        <is>
          <t>https://www.jumbo.com.ar/shampoo-tresemme-cauterizacion-reparadora-500-ml/p</t>
        </is>
      </c>
    </row>
    <row r="2257">
      <c r="A2257" t="inlineStr">
        <is>
          <t>Jumbo</t>
        </is>
      </c>
      <c r="B2257" t="n">
        <v>413367</v>
      </c>
      <c r="C2257" t="n">
        <v>409244</v>
      </c>
      <c r="D2257" t="inlineStr">
        <is>
          <t>Shampoo Ondas Boho 250 Ml Tresemmé</t>
        </is>
      </c>
      <c r="E2257" t="inlineStr">
        <is>
          <t>TRESEMMÉ</t>
        </is>
      </c>
      <c r="F2257" t="n">
        <v>4500</v>
      </c>
      <c r="G2257" t="n">
        <v>371901</v>
      </c>
      <c r="H2257" t="b">
        <v>0</v>
      </c>
      <c r="I2257" t="n">
        <v>250</v>
      </c>
      <c r="J2257" t="n">
        <v>18</v>
      </c>
      <c r="K2257" t="inlineStr">
        <is>
          <t>&gt; Perfumería &gt; Cuidado Capilar &gt; Shampoo &gt;</t>
        </is>
      </c>
      <c r="L2257" t="inlineStr">
        <is>
          <t>shampoo</t>
        </is>
      </c>
      <c r="M2257" t="inlineStr">
        <is>
          <t>estandar</t>
        </is>
      </c>
      <c r="N2257" t="inlineStr">
        <is>
          <t>general</t>
        </is>
      </c>
      <c r="O2257" t="inlineStr">
        <is>
          <t>https://www.jumbo.com.ar/shampoo-tresemme-ondas-boho-250-ml/p</t>
        </is>
      </c>
    </row>
    <row r="2258">
      <c r="A2258" s="2" t="inlineStr">
        <is>
          <t>Jumbo</t>
        </is>
      </c>
      <c r="B2258" s="2" t="n">
        <v>413346</v>
      </c>
      <c r="C2258" s="2" t="n">
        <v>409227</v>
      </c>
      <c r="D2258" s="2" t="inlineStr">
        <is>
          <t>Shampoo Brillo Lamelar 250 Ml Tresemmé</t>
        </is>
      </c>
      <c r="E2258" s="2" t="inlineStr">
        <is>
          <t>TRESEMMÉ</t>
        </is>
      </c>
      <c r="F2258" s="2" t="n">
        <v>5950</v>
      </c>
      <c r="G2258" s="2" t="n">
        <v>491736</v>
      </c>
      <c r="H2258" s="2" t="b">
        <v>0</v>
      </c>
      <c r="I2258" s="2" t="n">
        <v>250</v>
      </c>
      <c r="J2258" s="2" t="n">
        <v>23.8</v>
      </c>
      <c r="K2258" s="2" t="inlineStr">
        <is>
          <t>&gt; Perfumería &gt; Cuidado Capilar &gt; Shampoo &gt;</t>
        </is>
      </c>
      <c r="L2258" s="2" t="inlineStr">
        <is>
          <t>shampoo</t>
        </is>
      </c>
      <c r="M2258" s="2" t="inlineStr">
        <is>
          <t>estandar</t>
        </is>
      </c>
      <c r="N2258" s="2" t="inlineStr">
        <is>
          <t>general</t>
        </is>
      </c>
      <c r="O2258" s="2" t="inlineStr">
        <is>
          <t>https://www.jumbo.com.ar/shampoo-tresemme-brillo-lamelar-250-ml/p</t>
        </is>
      </c>
    </row>
    <row r="2259">
      <c r="A2259" t="inlineStr">
        <is>
          <t>Jumbo</t>
        </is>
      </c>
      <c r="B2259" t="n">
        <v>413345</v>
      </c>
      <c r="C2259" t="n">
        <v>409226</v>
      </c>
      <c r="D2259" t="inlineStr">
        <is>
          <t>Shampoo Tresemme Ondas Boho 880 Ml</t>
        </is>
      </c>
      <c r="E2259" t="inlineStr">
        <is>
          <t>TRESEMMÉ</t>
        </is>
      </c>
      <c r="F2259" t="n">
        <v>15050</v>
      </c>
      <c r="G2259" t="n">
        <v>1243802</v>
      </c>
      <c r="H2259" t="b">
        <v>0</v>
      </c>
      <c r="I2259" t="n">
        <v>880</v>
      </c>
      <c r="J2259" t="n">
        <v>17.1023</v>
      </c>
      <c r="K2259" t="inlineStr">
        <is>
          <t>&gt; Perfumería &gt; Cuidado Capilar &gt; Shampoo &gt;</t>
        </is>
      </c>
      <c r="L2259" t="inlineStr">
        <is>
          <t>shampoo</t>
        </is>
      </c>
      <c r="M2259" t="inlineStr">
        <is>
          <t>estandar</t>
        </is>
      </c>
      <c r="N2259" t="inlineStr">
        <is>
          <t>general</t>
        </is>
      </c>
      <c r="O2259" t="inlineStr">
        <is>
          <t>https://www.jumbo.com.ar/shampoo-tresemme-ondas-boho-880-ml/p</t>
        </is>
      </c>
    </row>
    <row r="2260">
      <c r="A2260" s="2" t="inlineStr">
        <is>
          <t>Jumbo</t>
        </is>
      </c>
      <c r="B2260" s="2" t="n">
        <v>413344</v>
      </c>
      <c r="C2260" s="2" t="n">
        <v>409225</v>
      </c>
      <c r="D2260" s="2" t="inlineStr">
        <is>
          <t>Shampoo Tresemme Liso Efecto Botox 880 Ml</t>
        </is>
      </c>
      <c r="E2260" s="2" t="inlineStr">
        <is>
          <t>TRESEMMÉ</t>
        </is>
      </c>
      <c r="F2260" s="2" t="n">
        <v>15050</v>
      </c>
      <c r="G2260" s="2" t="n">
        <v>1243802</v>
      </c>
      <c r="H2260" s="2" t="b">
        <v>0</v>
      </c>
      <c r="I2260" s="2" t="n">
        <v>880</v>
      </c>
      <c r="J2260" s="2" t="n">
        <v>17.1023</v>
      </c>
      <c r="K2260" s="2" t="inlineStr">
        <is>
          <t>&gt; Perfumería &gt; Cuidado Capilar &gt; Shampoo &gt;</t>
        </is>
      </c>
      <c r="L2260" s="2" t="inlineStr">
        <is>
          <t>shampoo</t>
        </is>
      </c>
      <c r="M2260" s="2" t="inlineStr">
        <is>
          <t>estandar</t>
        </is>
      </c>
      <c r="N2260" s="2" t="inlineStr">
        <is>
          <t>general</t>
        </is>
      </c>
      <c r="O2260" s="2" t="inlineStr">
        <is>
          <t>https://www.jumbo.com.ar/shampoo-tresemme-liso-efecto-botox-880-ml/p</t>
        </is>
      </c>
    </row>
    <row r="2261">
      <c r="A2261" t="inlineStr">
        <is>
          <t>Jumbo</t>
        </is>
      </c>
      <c r="B2261" t="n">
        <v>413340</v>
      </c>
      <c r="C2261" t="n">
        <v>409221</v>
      </c>
      <c r="D2261" t="inlineStr">
        <is>
          <t>Shampoo Brillo Lamelar 880 Ml Tresemmé</t>
        </is>
      </c>
      <c r="E2261" t="inlineStr">
        <is>
          <t>TRESEMMÉ</t>
        </is>
      </c>
      <c r="F2261" t="n">
        <v>15050</v>
      </c>
      <c r="G2261" t="n">
        <v>1243802</v>
      </c>
      <c r="H2261" t="b">
        <v>0</v>
      </c>
      <c r="I2261" t="n">
        <v>880</v>
      </c>
      <c r="J2261" t="n">
        <v>17.1023</v>
      </c>
      <c r="K2261" t="inlineStr">
        <is>
          <t>&gt; Perfumería &gt; Cuidado Capilar &gt; Shampoo &gt;</t>
        </is>
      </c>
      <c r="L2261" t="inlineStr">
        <is>
          <t>shampoo</t>
        </is>
      </c>
      <c r="M2261" t="inlineStr">
        <is>
          <t>estandar</t>
        </is>
      </c>
      <c r="N2261" t="inlineStr">
        <is>
          <t>general</t>
        </is>
      </c>
      <c r="O2261" t="inlineStr">
        <is>
          <t>https://www.jumbo.com.ar/shampoo-tresemme-brillo-lamelar-880-ml/p</t>
        </is>
      </c>
    </row>
    <row r="2262">
      <c r="A2262" s="2" t="inlineStr">
        <is>
          <t>Jumbo</t>
        </is>
      </c>
      <c r="B2262" s="2" t="n">
        <v>413336</v>
      </c>
      <c r="C2262" s="2" t="n">
        <v>409217</v>
      </c>
      <c r="D2262" s="2" t="inlineStr">
        <is>
          <t>Shampoo Tresemme Ondas Boho 500 Ml</t>
        </is>
      </c>
      <c r="E2262" s="2" t="inlineStr">
        <is>
          <t>TRESEMMÉ</t>
        </is>
      </c>
      <c r="F2262" s="2" t="n">
        <v>6850</v>
      </c>
      <c r="G2262" s="2" t="n">
        <v>566116</v>
      </c>
      <c r="H2262" s="2" t="b">
        <v>0</v>
      </c>
      <c r="I2262" s="2" t="n">
        <v>500</v>
      </c>
      <c r="J2262" s="2" t="n">
        <v>13.7</v>
      </c>
      <c r="K2262" s="2" t="inlineStr">
        <is>
          <t>&gt; Perfumería &gt; Cuidado Capilar &gt; Shampoo &gt;</t>
        </is>
      </c>
      <c r="L2262" s="2" t="inlineStr">
        <is>
          <t>shampoo</t>
        </is>
      </c>
      <c r="M2262" s="2" t="inlineStr">
        <is>
          <t>estandar</t>
        </is>
      </c>
      <c r="N2262" s="2" t="inlineStr">
        <is>
          <t>general</t>
        </is>
      </c>
      <c r="O2262" s="2" t="inlineStr">
        <is>
          <t>https://www.jumbo.com.ar/shampoo-tresemme-ondas-boho-500-ml/p</t>
        </is>
      </c>
    </row>
    <row r="2263">
      <c r="A2263" t="inlineStr">
        <is>
          <t>Jumbo</t>
        </is>
      </c>
      <c r="B2263" t="n">
        <v>413335</v>
      </c>
      <c r="C2263" t="n">
        <v>409140</v>
      </c>
      <c r="D2263" t="inlineStr">
        <is>
          <t>Acondicionador Tresemme Liso Efecto Botox 880 Ml</t>
        </is>
      </c>
      <c r="E2263" t="inlineStr">
        <is>
          <t>TRESEMMÉ</t>
        </is>
      </c>
      <c r="F2263" t="n">
        <v>15050</v>
      </c>
      <c r="G2263" t="n">
        <v>1243802</v>
      </c>
      <c r="H2263" t="b">
        <v>0</v>
      </c>
      <c r="I2263" t="n">
        <v>880</v>
      </c>
      <c r="J2263" t="n">
        <v>17.1023</v>
      </c>
      <c r="K2263" t="inlineStr">
        <is>
          <t>&gt; Perfumería &gt; Cuidado Capilar &gt; Acondicionador &gt;</t>
        </is>
      </c>
      <c r="L2263" t="inlineStr">
        <is>
          <t>acondicionador</t>
        </is>
      </c>
      <c r="M2263" t="inlineStr">
        <is>
          <t>estandar</t>
        </is>
      </c>
      <c r="N2263" t="inlineStr">
        <is>
          <t>general</t>
        </is>
      </c>
      <c r="O2263" t="inlineStr">
        <is>
          <t>https://www.jumbo.com.ar/acondicionador-tresemme-liso-efecto-botox-880-ml/p</t>
        </is>
      </c>
    </row>
    <row r="2264">
      <c r="A2264" s="2" t="inlineStr">
        <is>
          <t>Jumbo</t>
        </is>
      </c>
      <c r="B2264" s="2" t="n">
        <v>413328</v>
      </c>
      <c r="C2264" s="2" t="n">
        <v>409133</v>
      </c>
      <c r="D2264" s="2" t="inlineStr">
        <is>
          <t>Acondicionador Tresemme Liso Efecto Botox 500 Ml</t>
        </is>
      </c>
      <c r="E2264" s="2" t="inlineStr">
        <is>
          <t>TRESEMMÉ</t>
        </is>
      </c>
      <c r="F2264" s="2" t="n">
        <v>6550</v>
      </c>
      <c r="G2264" s="2" t="n">
        <v>541322</v>
      </c>
      <c r="H2264" s="2" t="b">
        <v>0</v>
      </c>
      <c r="I2264" s="2" t="n">
        <v>500</v>
      </c>
      <c r="J2264" s="2" t="n">
        <v>13.1</v>
      </c>
      <c r="K2264" s="2" t="inlineStr">
        <is>
          <t>&gt; Perfumería &gt; Cuidado Capilar &gt; Acondicionador &gt;</t>
        </is>
      </c>
      <c r="L2264" s="2" t="inlineStr">
        <is>
          <t>acondicionador</t>
        </is>
      </c>
      <c r="M2264" s="2" t="inlineStr">
        <is>
          <t>estandar</t>
        </is>
      </c>
      <c r="N2264" s="2" t="inlineStr">
        <is>
          <t>general</t>
        </is>
      </c>
      <c r="O2264" s="2" t="inlineStr">
        <is>
          <t>https://www.jumbo.com.ar/acondicionador-tresemme-liso-efecto-botox-500-ml/p</t>
        </is>
      </c>
    </row>
    <row r="2265">
      <c r="A2265" t="inlineStr">
        <is>
          <t>Jumbo</t>
        </is>
      </c>
      <c r="B2265" t="n">
        <v>390165</v>
      </c>
      <c r="C2265" t="n">
        <v>388257</v>
      </c>
      <c r="D2265" t="inlineStr">
        <is>
          <t>Protector Termico Tresemme Spray 120 Ml</t>
        </is>
      </c>
      <c r="E2265" t="inlineStr">
        <is>
          <t>TRESEMMÉ</t>
        </is>
      </c>
      <c r="F2265" t="n">
        <v>5700</v>
      </c>
      <c r="G2265" t="n">
        <v>471074</v>
      </c>
      <c r="H2265" t="b">
        <v>0</v>
      </c>
      <c r="I2265" t="n">
        <v>120</v>
      </c>
      <c r="J2265" t="n">
        <v>47.5</v>
      </c>
      <c r="K2265" t="inlineStr">
        <is>
          <t>&gt; Perfumería &gt; Cuidado Capilar &gt; Reparación y Tratamientos &gt;</t>
        </is>
      </c>
      <c r="L2265" t="inlineStr">
        <is>
          <t>shampoo</t>
        </is>
      </c>
      <c r="M2265" t="inlineStr">
        <is>
          <t>estandar</t>
        </is>
      </c>
      <c r="N2265" t="inlineStr">
        <is>
          <t>general</t>
        </is>
      </c>
      <c r="O2265" t="inlineStr">
        <is>
          <t>https://www.jumbo.com.ar/protector-termico-tresemme-spray-120-ml/p</t>
        </is>
      </c>
    </row>
    <row r="2266">
      <c r="A2266" s="2" t="inlineStr">
        <is>
          <t>Jumbo</t>
        </is>
      </c>
      <c r="B2266" s="2" t="n">
        <v>388494</v>
      </c>
      <c r="C2266" s="2" t="n">
        <v>386606</v>
      </c>
      <c r="D2266" s="2" t="inlineStr">
        <is>
          <t>Spray Tresemme Frizz Control Ultra Fine 311g</t>
        </is>
      </c>
      <c r="E2266" s="2" t="inlineStr">
        <is>
          <t>TRESEMMÉ</t>
        </is>
      </c>
      <c r="F2266" s="2" t="n">
        <v>5436.33</v>
      </c>
      <c r="G2266" s="2" t="n">
        <v>449283</v>
      </c>
      <c r="H2266" s="2" t="b">
        <v>0</v>
      </c>
      <c r="I2266" s="2" t="n">
        <v>311</v>
      </c>
      <c r="J2266" s="2" t="n">
        <v>17.4802</v>
      </c>
      <c r="K2266" s="2" t="inlineStr">
        <is>
          <t>&gt; Perfumería &gt; Cuidado Capilar &gt; Reparación y Tratamientos &gt;</t>
        </is>
      </c>
      <c r="L2266" s="2" t="inlineStr">
        <is>
          <t>shampoo</t>
        </is>
      </c>
      <c r="M2266" s="2" t="inlineStr">
        <is>
          <t>estandar</t>
        </is>
      </c>
      <c r="N2266" s="2" t="inlineStr">
        <is>
          <t>general</t>
        </is>
      </c>
      <c r="O2266" s="2" t="inlineStr">
        <is>
          <t>https://www.jumbo.com.ar/spray-tresemme-frizz-control-ultra-fine-311g/p</t>
        </is>
      </c>
    </row>
    <row r="2267">
      <c r="A2267" t="inlineStr">
        <is>
          <t>Jumbo</t>
        </is>
      </c>
      <c r="B2267" t="n">
        <v>384231</v>
      </c>
      <c r="C2267" t="n">
        <v>382916</v>
      </c>
      <c r="D2267" t="inlineStr">
        <is>
          <t>Mousse Ondas y Rizos 190 Grs Tresemmé Mousse Tresemme Ondas Y Rizos 190 Gr</t>
        </is>
      </c>
      <c r="E2267" t="inlineStr">
        <is>
          <t>TRESEMMÉ</t>
        </is>
      </c>
      <c r="F2267" t="n">
        <v>8100</v>
      </c>
      <c r="G2267" t="n">
        <v>669421</v>
      </c>
      <c r="H2267" t="b">
        <v>0</v>
      </c>
      <c r="I2267" t="n">
        <v>190</v>
      </c>
      <c r="J2267" t="n">
        <v>42.6316</v>
      </c>
      <c r="K2267" t="inlineStr">
        <is>
          <t>&gt; Perfumería &gt; Cuidado Capilar &gt; Reparación y Tratamientos &gt;</t>
        </is>
      </c>
      <c r="L2267" t="inlineStr">
        <is>
          <t>shampoo</t>
        </is>
      </c>
      <c r="M2267" t="inlineStr">
        <is>
          <t>estandar</t>
        </is>
      </c>
      <c r="N2267" t="inlineStr">
        <is>
          <t>rizado</t>
        </is>
      </c>
      <c r="O2267" t="inlineStr">
        <is>
          <t>https://www.jumbo.com.ar/mousse-tresemme-ondas-y-rizos-190-gr/p</t>
        </is>
      </c>
    </row>
    <row r="2268">
      <c r="A2268" s="2" t="inlineStr">
        <is>
          <t>Jumbo</t>
        </is>
      </c>
      <c r="B2268" s="2" t="n">
        <v>384228</v>
      </c>
      <c r="C2268" s="2" t="n">
        <v>382914</v>
      </c>
      <c r="D2268" s="2" t="inlineStr">
        <is>
          <t>Máscara De Tratamiento Tresemmé Pro Activa 300 Gr</t>
        </is>
      </c>
      <c r="E2268" s="2" t="inlineStr">
        <is>
          <t>TRESEMMÉ</t>
        </is>
      </c>
      <c r="F2268" s="2" t="n">
        <v>2900</v>
      </c>
      <c r="G2268" s="2" t="n">
        <v>239669</v>
      </c>
      <c r="H2268" s="2" t="b">
        <v>0</v>
      </c>
      <c r="I2268" s="2" t="n">
        <v>300</v>
      </c>
      <c r="J2268" s="2" t="n">
        <v>9.666700000000001</v>
      </c>
      <c r="K2268" s="2" t="inlineStr">
        <is>
          <t>&gt; Perfumería &gt; Cuidado Capilar &gt; Reparación y Tratamientos &gt;</t>
        </is>
      </c>
      <c r="L2268" s="2" t="inlineStr">
        <is>
          <t>tratamiento</t>
        </is>
      </c>
      <c r="M2268" s="2" t="inlineStr">
        <is>
          <t>estandar</t>
        </is>
      </c>
      <c r="N2268" s="2" t="inlineStr">
        <is>
          <t>general</t>
        </is>
      </c>
      <c r="O2268" s="2" t="inlineStr">
        <is>
          <t>https://www.jumbo.com.ar/mascara-de-tratamiento-tresemme-pro-activa-300-gr/p</t>
        </is>
      </c>
    </row>
    <row r="2269">
      <c r="A2269" t="inlineStr">
        <is>
          <t>Jumbo</t>
        </is>
      </c>
      <c r="B2269" t="n">
        <v>384220</v>
      </c>
      <c r="C2269" t="n">
        <v>382910</v>
      </c>
      <c r="D2269" t="inlineStr">
        <is>
          <t>Crema de Peinar Antifrizz Leave In 200 Ml Tresemmé Crema De Peinar Tresemme Antifrizz Leave In 200 Ml</t>
        </is>
      </c>
      <c r="E2269" t="inlineStr">
        <is>
          <t>TRESEMMÉ</t>
        </is>
      </c>
      <c r="F2269" t="n">
        <v>3750</v>
      </c>
      <c r="G2269" t="n">
        <v>309917</v>
      </c>
      <c r="H2269" t="b">
        <v>0</v>
      </c>
      <c r="I2269" t="n">
        <v>200</v>
      </c>
      <c r="J2269" t="n">
        <v>18.75</v>
      </c>
      <c r="K2269" t="inlineStr">
        <is>
          <t>&gt; Perfumería &gt; Cuidado Capilar &gt; Reparación y Tratamientos &gt;</t>
        </is>
      </c>
      <c r="L2269" t="inlineStr">
        <is>
          <t>shampoo</t>
        </is>
      </c>
      <c r="M2269" t="inlineStr">
        <is>
          <t>estandar</t>
        </is>
      </c>
      <c r="N2269" t="inlineStr">
        <is>
          <t>general</t>
        </is>
      </c>
      <c r="O2269" t="inlineStr">
        <is>
          <t>https://www.jumbo.com.ar/crema-de-peinar-tresemme-antifrizz-leave-in-200-ml/p</t>
        </is>
      </c>
    </row>
    <row r="2270">
      <c r="A2270" s="2" t="inlineStr">
        <is>
          <t>Jumbo</t>
        </is>
      </c>
      <c r="B2270" s="2" t="n">
        <v>384193</v>
      </c>
      <c r="C2270" s="2" t="n">
        <v>382894</v>
      </c>
      <c r="D2270" s="2" t="inlineStr">
        <is>
          <t>Shampoo Tresemme Liso Efecto Botox 880ml</t>
        </is>
      </c>
      <c r="E2270" s="2" t="inlineStr">
        <is>
          <t>TRESEMMÉ</t>
        </is>
      </c>
      <c r="F2270" s="2" t="n">
        <v>2684.29</v>
      </c>
      <c r="G2270" s="2" t="n">
        <v>221842</v>
      </c>
      <c r="H2270" s="2" t="b">
        <v>0</v>
      </c>
      <c r="I2270" s="2" t="n">
        <v>880</v>
      </c>
      <c r="J2270" s="2" t="n">
        <v>3.0503</v>
      </c>
      <c r="K2270" s="2" t="inlineStr">
        <is>
          <t>&gt; Perfumería &gt; Cuidado Capilar &gt; Shampoo &gt;</t>
        </is>
      </c>
      <c r="L2270" s="2" t="inlineStr">
        <is>
          <t>shampoo</t>
        </is>
      </c>
      <c r="M2270" s="2" t="inlineStr">
        <is>
          <t>estandar</t>
        </is>
      </c>
      <c r="N2270" s="2" t="inlineStr">
        <is>
          <t>general</t>
        </is>
      </c>
      <c r="O2270" s="2" t="inlineStr">
        <is>
          <t>https://www.jumbo.com.ar/shampoo-tresemme-liso-efecto-botox-880ml/p</t>
        </is>
      </c>
    </row>
    <row r="2271">
      <c r="A2271" t="inlineStr">
        <is>
          <t>Jumbo</t>
        </is>
      </c>
      <c r="B2271" t="n">
        <v>384191</v>
      </c>
      <c r="C2271" t="n">
        <v>382892</v>
      </c>
      <c r="D2271" t="inlineStr">
        <is>
          <t>Shampoo Tresemmé Liso Efecto Botox 250 Ml</t>
        </is>
      </c>
      <c r="E2271" t="inlineStr">
        <is>
          <t>TRESEMMÉ</t>
        </is>
      </c>
      <c r="F2271" t="n">
        <v>950</v>
      </c>
      <c r="G2271" t="n">
        <v>78512</v>
      </c>
      <c r="H2271" t="b">
        <v>0</v>
      </c>
      <c r="I2271" t="n">
        <v>250</v>
      </c>
      <c r="J2271" t="n">
        <v>3.8</v>
      </c>
      <c r="K2271" t="inlineStr">
        <is>
          <t>&gt; Perfumería &gt; Cuidado Capilar &gt; Shampoo &gt;</t>
        </is>
      </c>
      <c r="L2271" t="inlineStr">
        <is>
          <t>shampoo</t>
        </is>
      </c>
      <c r="M2271" t="inlineStr">
        <is>
          <t>estandar</t>
        </is>
      </c>
      <c r="N2271" t="inlineStr">
        <is>
          <t>general</t>
        </is>
      </c>
      <c r="O2271" t="inlineStr">
        <is>
          <t>https://www.jumbo.com.ar/shampoo-tresemme-liso-efecto-botox-250-ml-2/p</t>
        </is>
      </c>
    </row>
    <row r="2272">
      <c r="A2272" s="2" t="inlineStr">
        <is>
          <t>Jumbo</t>
        </is>
      </c>
      <c r="B2272" s="2" t="n">
        <v>384188</v>
      </c>
      <c r="C2272" s="2" t="n">
        <v>382889</v>
      </c>
      <c r="D2272" s="2" t="inlineStr">
        <is>
          <t>Shampoo Tresemme Detox Capilar 500 Ml</t>
        </is>
      </c>
      <c r="E2272" s="2" t="inlineStr">
        <is>
          <t>TRESEMMÉ</t>
        </is>
      </c>
      <c r="F2272" s="2" t="n">
        <v>1500</v>
      </c>
      <c r="G2272" s="2" t="n">
        <v>123967</v>
      </c>
      <c r="H2272" s="2" t="b">
        <v>0</v>
      </c>
      <c r="I2272" s="2" t="n">
        <v>500</v>
      </c>
      <c r="J2272" s="2" t="n">
        <v>3</v>
      </c>
      <c r="K2272" s="2" t="inlineStr">
        <is>
          <t>&gt; Perfumería &gt; Cuidado Capilar &gt; Shampoo &gt;</t>
        </is>
      </c>
      <c r="L2272" s="2" t="inlineStr">
        <is>
          <t>shampoo</t>
        </is>
      </c>
      <c r="M2272" s="2" t="inlineStr">
        <is>
          <t>estandar</t>
        </is>
      </c>
      <c r="N2272" s="2" t="inlineStr">
        <is>
          <t>general</t>
        </is>
      </c>
      <c r="O2272" s="2" t="inlineStr">
        <is>
          <t>https://www.jumbo.com.ar/shampoo-tresemme-detox-capilar-500-ml-2/p</t>
        </is>
      </c>
    </row>
    <row r="2273">
      <c r="A2273" t="inlineStr">
        <is>
          <t>Jumbo</t>
        </is>
      </c>
      <c r="B2273" t="n">
        <v>384187</v>
      </c>
      <c r="C2273" t="n">
        <v>382888</v>
      </c>
      <c r="D2273" t="inlineStr">
        <is>
          <t>Shampoo Tresemme Ondas Boho 880 Ml</t>
        </is>
      </c>
      <c r="E2273" t="inlineStr">
        <is>
          <t>TRESEMMÉ</t>
        </is>
      </c>
      <c r="F2273" t="n">
        <v>2750</v>
      </c>
      <c r="G2273" t="n">
        <v>227273</v>
      </c>
      <c r="H2273" t="b">
        <v>0</v>
      </c>
      <c r="I2273" t="n">
        <v>880</v>
      </c>
      <c r="J2273" t="n">
        <v>3.125</v>
      </c>
      <c r="K2273" t="inlineStr">
        <is>
          <t>&gt; Perfumería &gt; Cuidado Capilar &gt; Shampoo &gt;</t>
        </is>
      </c>
      <c r="L2273" t="inlineStr">
        <is>
          <t>shampoo</t>
        </is>
      </c>
      <c r="M2273" t="inlineStr">
        <is>
          <t>estandar</t>
        </is>
      </c>
      <c r="N2273" t="inlineStr">
        <is>
          <t>general</t>
        </is>
      </c>
      <c r="O2273" t="inlineStr">
        <is>
          <t>https://www.jumbo.com.ar/shampoo-tresemme-ondas-boho-880-ml-2/p</t>
        </is>
      </c>
    </row>
    <row r="2274">
      <c r="A2274" s="2" t="inlineStr">
        <is>
          <t>Jumbo</t>
        </is>
      </c>
      <c r="B2274" s="2" t="n">
        <v>292338</v>
      </c>
      <c r="C2274" s="2" t="n">
        <v>291570</v>
      </c>
      <c r="D2274" s="2" t="inlineStr">
        <is>
          <t>Shampoo Tresemmé-thermal Recovery-pvc-ml.-400</t>
        </is>
      </c>
      <c r="E2274" s="2" t="inlineStr">
        <is>
          <t>TRESEMMÉ</t>
        </is>
      </c>
      <c r="F2274" s="2" t="n">
        <v>51.87</v>
      </c>
      <c r="G2274" s="2" t="n">
        <v>4287</v>
      </c>
      <c r="H2274" s="2" t="b">
        <v>0</v>
      </c>
      <c r="I2274" s="2" t="inlineStr"/>
      <c r="J2274" s="2" t="inlineStr"/>
      <c r="K2274" s="2" t="inlineStr">
        <is>
          <t>&gt; Perfumería &gt; Cuidado Capilar &gt; Shampoo &gt;</t>
        </is>
      </c>
      <c r="L2274" s="2" t="inlineStr">
        <is>
          <t>shampoo</t>
        </is>
      </c>
      <c r="M2274" s="2" t="inlineStr">
        <is>
          <t>estandar</t>
        </is>
      </c>
      <c r="N2274" s="2" t="inlineStr">
        <is>
          <t>general</t>
        </is>
      </c>
      <c r="O2274" s="2" t="inlineStr">
        <is>
          <t>https://www.jumbo.com.ar/shampoo-tresemme-thermal-recovery-pvc-ml-400/p</t>
        </is>
      </c>
    </row>
    <row r="2275">
      <c r="A2275" t="inlineStr">
        <is>
          <t>Jumbo</t>
        </is>
      </c>
      <c r="B2275" t="n">
        <v>247594</v>
      </c>
      <c r="C2275" t="n">
        <v>244277</v>
      </c>
      <c r="D2275" t="inlineStr">
        <is>
          <t>Shampoo Tresemmé Bajo Poo 3 En 1 200 Ml</t>
        </is>
      </c>
      <c r="E2275" t="inlineStr">
        <is>
          <t>TRESEMMÉ</t>
        </is>
      </c>
      <c r="F2275" t="n">
        <v>123.69</v>
      </c>
      <c r="G2275" t="n">
        <v>10222</v>
      </c>
      <c r="H2275" t="b">
        <v>0</v>
      </c>
      <c r="I2275" t="n">
        <v>200</v>
      </c>
      <c r="J2275" t="n">
        <v>0.6183999999999999</v>
      </c>
      <c r="K2275" t="inlineStr">
        <is>
          <t>&gt; Perfumería &gt; Cuidado Capilar &gt; Shampoo &gt;</t>
        </is>
      </c>
      <c r="L2275" t="inlineStr">
        <is>
          <t>shampoo</t>
        </is>
      </c>
      <c r="M2275" t="inlineStr">
        <is>
          <t>estandar</t>
        </is>
      </c>
      <c r="N2275" t="inlineStr">
        <is>
          <t>general</t>
        </is>
      </c>
      <c r="O2275" t="inlineStr">
        <is>
          <t>https://www.jumbo.com.ar/shampoo-tresemme-bajo-poo-3-en-1-200-ml/p</t>
        </is>
      </c>
    </row>
    <row r="2276">
      <c r="A2276" s="2" t="inlineStr">
        <is>
          <t>Jumbo</t>
        </is>
      </c>
      <c r="B2276" s="2" t="n">
        <v>209949</v>
      </c>
      <c r="C2276" s="2" t="n">
        <v>232487</v>
      </c>
      <c r="D2276" s="2" t="inlineStr">
        <is>
          <t>Spray Fijador Tresemme Rizos Perfectos  Atm 177 Ml.</t>
        </is>
      </c>
      <c r="E2276" s="2" t="inlineStr">
        <is>
          <t>TRESEMMÉ</t>
        </is>
      </c>
      <c r="F2276" s="2" t="n">
        <v>19.99</v>
      </c>
      <c r="G2276" s="2" t="n">
        <v>19.99</v>
      </c>
      <c r="H2276" s="2" t="b">
        <v>0</v>
      </c>
      <c r="I2276" s="2" t="n">
        <v>177</v>
      </c>
      <c r="J2276" s="2" t="n">
        <v>0.1129</v>
      </c>
      <c r="K2276" s="2" t="inlineStr">
        <is>
          <t>&gt; Perfumería &gt; Cuidado Capilar &gt; Fijación &gt;</t>
        </is>
      </c>
      <c r="L2276" s="2" t="inlineStr">
        <is>
          <t>shampoo</t>
        </is>
      </c>
      <c r="M2276" s="2" t="inlineStr">
        <is>
          <t>estandar</t>
        </is>
      </c>
      <c r="N2276" s="2" t="inlineStr">
        <is>
          <t>rizado</t>
        </is>
      </c>
      <c r="O2276" s="2" t="inlineStr">
        <is>
          <t>https://www.jumbo.com.ar/spray-fijador-tresemme-2-349477/p</t>
        </is>
      </c>
    </row>
    <row r="2277">
      <c r="A2277" t="inlineStr">
        <is>
          <t>Jumbo</t>
        </is>
      </c>
      <c r="B2277" t="n">
        <v>168057</v>
      </c>
      <c r="C2277" t="n">
        <v>165597</v>
      </c>
      <c r="D2277" t="inlineStr">
        <is>
          <t>Shampoo Tresemme Liso Y Sedoso 400 Ml</t>
        </is>
      </c>
      <c r="E2277" t="inlineStr">
        <is>
          <t>TRESEMMÉ</t>
        </is>
      </c>
      <c r="F2277" t="n">
        <v>77.69</v>
      </c>
      <c r="G2277" t="n">
        <v>6421</v>
      </c>
      <c r="H2277" t="b">
        <v>0</v>
      </c>
      <c r="I2277" t="n">
        <v>400</v>
      </c>
      <c r="J2277" t="n">
        <v>0.1942</v>
      </c>
      <c r="K2277" t="inlineStr">
        <is>
          <t>&gt; Perfumería &gt; Cuidado Capilar &gt; Shampoo &gt;</t>
        </is>
      </c>
      <c r="L2277" t="inlineStr">
        <is>
          <t>shampoo</t>
        </is>
      </c>
      <c r="M2277" t="inlineStr">
        <is>
          <t>estandar</t>
        </is>
      </c>
      <c r="N2277" t="inlineStr">
        <is>
          <t>general</t>
        </is>
      </c>
      <c r="O2277" t="inlineStr">
        <is>
          <t>https://www.jumbo.com.ar/shampoo-tresemme-liso-y-sedoso-400-ml/p</t>
        </is>
      </c>
    </row>
    <row r="2278">
      <c r="A2278" s="2" t="inlineStr">
        <is>
          <t>Jumbo</t>
        </is>
      </c>
      <c r="B2278" s="2" t="n">
        <v>167380</v>
      </c>
      <c r="C2278" s="2" t="n">
        <v>164918</v>
      </c>
      <c r="D2278" s="2" t="inlineStr">
        <is>
          <t>Shampoo Tresemmé-proteccion Contra El Clima-pvc-ml.-400</t>
        </is>
      </c>
      <c r="E2278" s="2" t="inlineStr">
        <is>
          <t>TRESEMMÉ</t>
        </is>
      </c>
      <c r="F2278" s="2" t="n">
        <v>77.69</v>
      </c>
      <c r="G2278" s="2" t="n">
        <v>6421</v>
      </c>
      <c r="H2278" s="2" t="b">
        <v>0</v>
      </c>
      <c r="I2278" s="2" t="inlineStr"/>
      <c r="J2278" s="2" t="inlineStr"/>
      <c r="K2278" s="2" t="inlineStr">
        <is>
          <t>&gt; Perfumería &gt; Cuidado Capilar &gt; Shampoo &gt;</t>
        </is>
      </c>
      <c r="L2278" s="2" t="inlineStr">
        <is>
          <t>shampoo</t>
        </is>
      </c>
      <c r="M2278" s="2" t="inlineStr">
        <is>
          <t>estandar</t>
        </is>
      </c>
      <c r="N2278" s="2" t="inlineStr">
        <is>
          <t>general</t>
        </is>
      </c>
      <c r="O2278" s="2" t="inlineStr">
        <is>
          <t>https://www.jumbo.com.ar/shampoo-tresemme-proteccion-contra-el-clima-pvc-ml-400/p</t>
        </is>
      </c>
    </row>
    <row r="2279">
      <c r="A2279" t="inlineStr">
        <is>
          <t>Jumbo</t>
        </is>
      </c>
      <c r="B2279" t="n">
        <v>167315</v>
      </c>
      <c r="C2279" t="n">
        <v>164852</v>
      </c>
      <c r="D2279" t="inlineStr">
        <is>
          <t>Acondicionador Tresemmé-proteccion Contra El Clima-pvc-ml.-750</t>
        </is>
      </c>
      <c r="E2279" t="inlineStr">
        <is>
          <t>TRESEMMÉ</t>
        </is>
      </c>
      <c r="F2279" t="n">
        <v>55.29</v>
      </c>
      <c r="G2279" t="n">
        <v>4569</v>
      </c>
      <c r="H2279" t="b">
        <v>0</v>
      </c>
      <c r="I2279" t="inlineStr"/>
      <c r="J2279" t="inlineStr"/>
      <c r="K2279" t="inlineStr">
        <is>
          <t>&gt; Perfumería &gt; Cuidado Capilar &gt; Acondicionador &gt;</t>
        </is>
      </c>
      <c r="L2279" t="inlineStr">
        <is>
          <t>acondicionador</t>
        </is>
      </c>
      <c r="M2279" t="inlineStr">
        <is>
          <t>estandar</t>
        </is>
      </c>
      <c r="N2279" t="inlineStr">
        <is>
          <t>general</t>
        </is>
      </c>
      <c r="O2279" t="inlineStr">
        <is>
          <t>https://www.jumbo.com.ar/acondicionador-tresemme-proteccion-contra-el-clima-pvc-ml-750/p</t>
        </is>
      </c>
    </row>
    <row r="2280">
      <c r="A2280" s="2" t="inlineStr">
        <is>
          <t>Jumbo</t>
        </is>
      </c>
      <c r="B2280" s="2" t="n">
        <v>167309</v>
      </c>
      <c r="C2280" s="2" t="n">
        <v>164846</v>
      </c>
      <c r="D2280" s="2" t="inlineStr">
        <is>
          <t>Shampoo Tresemme Rizos Perfectos 400 Ml</t>
        </is>
      </c>
      <c r="E2280" s="2" t="inlineStr">
        <is>
          <t>TRESEMMÉ</t>
        </is>
      </c>
      <c r="F2280" s="2" t="n">
        <v>77.69</v>
      </c>
      <c r="G2280" s="2" t="n">
        <v>6421</v>
      </c>
      <c r="H2280" s="2" t="b">
        <v>0</v>
      </c>
      <c r="I2280" s="2" t="n">
        <v>400</v>
      </c>
      <c r="J2280" s="2" t="n">
        <v>0.1942</v>
      </c>
      <c r="K2280" s="2" t="inlineStr">
        <is>
          <t>&gt; Perfumería &gt; Cuidado Capilar &gt; Shampoo &gt;</t>
        </is>
      </c>
      <c r="L2280" s="2" t="inlineStr">
        <is>
          <t>shampoo</t>
        </is>
      </c>
      <c r="M2280" s="2" t="inlineStr">
        <is>
          <t>estandar</t>
        </is>
      </c>
      <c r="N2280" s="2" t="inlineStr">
        <is>
          <t>rizado</t>
        </is>
      </c>
      <c r="O2280" s="2" t="inlineStr">
        <is>
          <t>https://www.jumbo.com.ar/shampoo-tresemme-rizos-perfectos-400-ml/p</t>
        </is>
      </c>
    </row>
    <row r="2281">
      <c r="A2281" t="inlineStr">
        <is>
          <t>Jumbo</t>
        </is>
      </c>
      <c r="B2281" t="n">
        <v>167299</v>
      </c>
      <c r="C2281" t="n">
        <v>164839</v>
      </c>
      <c r="D2281" t="inlineStr">
        <is>
          <t>Shampoo Tresemme Rizos Perfectos 750 Ml</t>
        </is>
      </c>
      <c r="E2281" t="inlineStr">
        <is>
          <t>TRESEMMÉ</t>
        </is>
      </c>
      <c r="F2281" t="n">
        <v>131.35</v>
      </c>
      <c r="G2281" t="n">
        <v>10855</v>
      </c>
      <c r="H2281" t="b">
        <v>0</v>
      </c>
      <c r="I2281" t="n">
        <v>750</v>
      </c>
      <c r="J2281" t="n">
        <v>0.1751</v>
      </c>
      <c r="K2281" t="inlineStr">
        <is>
          <t>&gt; Perfumería &gt; Cuidado Capilar &gt; Shampoo &gt;</t>
        </is>
      </c>
      <c r="L2281" t="inlineStr">
        <is>
          <t>shampoo</t>
        </is>
      </c>
      <c r="M2281" t="inlineStr">
        <is>
          <t>estandar</t>
        </is>
      </c>
      <c r="N2281" t="inlineStr">
        <is>
          <t>rizado</t>
        </is>
      </c>
      <c r="O2281" t="inlineStr">
        <is>
          <t>https://www.jumbo.com.ar/shampoo-tresemme-rizos-perfectos-750-ml/p</t>
        </is>
      </c>
    </row>
    <row r="2282">
      <c r="A2282" s="2" t="inlineStr">
        <is>
          <t>Jumbo</t>
        </is>
      </c>
      <c r="B2282" s="2" t="n">
        <v>167294</v>
      </c>
      <c r="C2282" s="2" t="n">
        <v>164832</v>
      </c>
      <c r="D2282" s="2" t="inlineStr">
        <is>
          <t>Shampoo Tresemmé-proteccion Contra El Clima-pvc-ml.-750</t>
        </is>
      </c>
      <c r="E2282" s="2" t="inlineStr">
        <is>
          <t>TRESEMMÉ</t>
        </is>
      </c>
      <c r="F2282" s="2" t="n">
        <v>55.29</v>
      </c>
      <c r="G2282" s="2" t="n">
        <v>4569</v>
      </c>
      <c r="H2282" s="2" t="b">
        <v>0</v>
      </c>
      <c r="I2282" s="2" t="inlineStr"/>
      <c r="J2282" s="2" t="inlineStr"/>
      <c r="K2282" s="2" t="inlineStr">
        <is>
          <t>&gt; Perfumería &gt; Cuidado Capilar &gt; Shampoo &gt;</t>
        </is>
      </c>
      <c r="L2282" s="2" t="inlineStr">
        <is>
          <t>shampoo</t>
        </is>
      </c>
      <c r="M2282" s="2" t="inlineStr">
        <is>
          <t>estandar</t>
        </is>
      </c>
      <c r="N2282" s="2" t="inlineStr">
        <is>
          <t>general</t>
        </is>
      </c>
      <c r="O2282" s="2" t="inlineStr">
        <is>
          <t>https://www.jumbo.com.ar/shampoo-tresemme-proteccion-contra-el-clima-pvc-ml-750/p</t>
        </is>
      </c>
    </row>
    <row r="2283">
      <c r="A2283" t="inlineStr">
        <is>
          <t>Jumbo</t>
        </is>
      </c>
      <c r="B2283" t="n">
        <v>167236</v>
      </c>
      <c r="C2283" t="n">
        <v>164774</v>
      </c>
      <c r="D2283" t="inlineStr">
        <is>
          <t>Acondicionador Tresemmé-control Caida-nueva Presentacion-pvc-ml.-400</t>
        </is>
      </c>
      <c r="E2283" t="inlineStr">
        <is>
          <t>TRESEMMÉ</t>
        </is>
      </c>
      <c r="F2283" t="n">
        <v>77.69</v>
      </c>
      <c r="G2283" t="n">
        <v>6421</v>
      </c>
      <c r="H2283" t="b">
        <v>0</v>
      </c>
      <c r="I2283" t="inlineStr"/>
      <c r="J2283" t="inlineStr"/>
      <c r="K2283" t="inlineStr">
        <is>
          <t>&gt; Perfumería &gt; Cuidado Capilar &gt; Acondicionador &gt;</t>
        </is>
      </c>
      <c r="L2283" t="inlineStr">
        <is>
          <t>acondicionador</t>
        </is>
      </c>
      <c r="M2283" t="inlineStr">
        <is>
          <t>estandar</t>
        </is>
      </c>
      <c r="N2283" t="inlineStr">
        <is>
          <t>general</t>
        </is>
      </c>
      <c r="O2283" t="inlineStr">
        <is>
          <t>https://www.jumbo.com.ar/acondicionador-tresemme-control-caida-nueva-presentacion-pvc-ml-400/p</t>
        </is>
      </c>
    </row>
    <row r="2284">
      <c r="A2284" s="2" t="inlineStr">
        <is>
          <t>Jumbo</t>
        </is>
      </c>
      <c r="B2284" s="2" t="n">
        <v>167228</v>
      </c>
      <c r="C2284" s="2" t="n">
        <v>164765</v>
      </c>
      <c r="D2284" s="2" t="inlineStr">
        <is>
          <t>Shampoo Tresemmé-limpieza Profunda-nueva Presentacion-pvc-ml.-400</t>
        </is>
      </c>
      <c r="E2284" s="2" t="inlineStr">
        <is>
          <t>TRESEMMÉ</t>
        </is>
      </c>
      <c r="F2284" s="2" t="n">
        <v>51.87</v>
      </c>
      <c r="G2284" s="2" t="n">
        <v>4287</v>
      </c>
      <c r="H2284" s="2" t="b">
        <v>0</v>
      </c>
      <c r="I2284" s="2" t="inlineStr"/>
      <c r="J2284" s="2" t="inlineStr"/>
      <c r="K2284" s="2" t="inlineStr">
        <is>
          <t>&gt; Perfumería &gt; Cuidado Capilar &gt; Shampoo &gt;</t>
        </is>
      </c>
      <c r="L2284" s="2" t="inlineStr">
        <is>
          <t>shampoo</t>
        </is>
      </c>
      <c r="M2284" s="2" t="inlineStr">
        <is>
          <t>estandar</t>
        </is>
      </c>
      <c r="N2284" s="2" t="inlineStr">
        <is>
          <t>general</t>
        </is>
      </c>
      <c r="O2284" s="2" t="inlineStr">
        <is>
          <t>https://www.jumbo.com.ar/shampoo-tresemme-limpieza-profunda-nueva-presentacion-pvc-ml-400/p</t>
        </is>
      </c>
    </row>
    <row r="2285">
      <c r="A2285" t="inlineStr">
        <is>
          <t>Jumbo</t>
        </is>
      </c>
      <c r="B2285" t="n">
        <v>167225</v>
      </c>
      <c r="C2285" t="n">
        <v>164763</v>
      </c>
      <c r="D2285" t="inlineStr">
        <is>
          <t>Shampoo Tresemmé-control Caida-nueva Presentacion-pvc-ml.-400</t>
        </is>
      </c>
      <c r="E2285" t="inlineStr">
        <is>
          <t>TRESEMMÉ</t>
        </is>
      </c>
      <c r="F2285" t="n">
        <v>77.69</v>
      </c>
      <c r="G2285" t="n">
        <v>6421</v>
      </c>
      <c r="H2285" t="b">
        <v>0</v>
      </c>
      <c r="I2285" t="inlineStr"/>
      <c r="J2285" t="inlineStr"/>
      <c r="K2285" t="inlineStr">
        <is>
          <t>&gt; Perfumería &gt; Cuidado Capilar &gt; Shampoo &gt;</t>
        </is>
      </c>
      <c r="L2285" t="inlineStr">
        <is>
          <t>shampoo</t>
        </is>
      </c>
      <c r="M2285" t="inlineStr">
        <is>
          <t>estandar</t>
        </is>
      </c>
      <c r="N2285" t="inlineStr">
        <is>
          <t>general</t>
        </is>
      </c>
      <c r="O2285" t="inlineStr">
        <is>
          <t>https://www.jumbo.com.ar/shampoo-tresemme-control-caida-nueva-presentacion-pvc-ml-400/p</t>
        </is>
      </c>
    </row>
    <row r="2286">
      <c r="A2286" s="2" t="inlineStr">
        <is>
          <t>Jumbo</t>
        </is>
      </c>
      <c r="B2286" s="2" t="n">
        <v>167210</v>
      </c>
      <c r="C2286" s="2" t="n">
        <v>164748</v>
      </c>
      <c r="D2286" s="2" t="inlineStr">
        <is>
          <t>Acondicionador Tresemmé-proteccion Contra El Clima-pvc-ml.-400</t>
        </is>
      </c>
      <c r="E2286" s="2" t="inlineStr">
        <is>
          <t>TRESEMMÉ</t>
        </is>
      </c>
      <c r="F2286" s="2" t="n">
        <v>77.69</v>
      </c>
      <c r="G2286" s="2" t="n">
        <v>6421</v>
      </c>
      <c r="H2286" s="2" t="b">
        <v>0</v>
      </c>
      <c r="I2286" s="2" t="inlineStr"/>
      <c r="J2286" s="2" t="inlineStr"/>
      <c r="K2286" s="2" t="inlineStr">
        <is>
          <t>&gt; Perfumería &gt; Cuidado Capilar &gt; Acondicionador &gt;</t>
        </is>
      </c>
      <c r="L2286" s="2" t="inlineStr">
        <is>
          <t>acondicionador</t>
        </is>
      </c>
      <c r="M2286" s="2" t="inlineStr">
        <is>
          <t>estandar</t>
        </is>
      </c>
      <c r="N2286" s="2" t="inlineStr">
        <is>
          <t>general</t>
        </is>
      </c>
      <c r="O2286" s="2" t="inlineStr">
        <is>
          <t>https://www.jumbo.com.ar/acondicionador-tresemme-proteccion-contra-el-clima-pvc-ml-400/p</t>
        </is>
      </c>
    </row>
    <row r="2287">
      <c r="A2287" t="inlineStr">
        <is>
          <t>Jumbo</t>
        </is>
      </c>
      <c r="B2287" t="n">
        <v>167169</v>
      </c>
      <c r="C2287" t="n">
        <v>164708</v>
      </c>
      <c r="D2287" t="inlineStr">
        <is>
          <t>Acondicionador Tresemmé-limpieza Profunda-pvc-ml.-750</t>
        </is>
      </c>
      <c r="E2287" t="inlineStr">
        <is>
          <t>TRESEMMÉ</t>
        </is>
      </c>
      <c r="F2287" t="n">
        <v>57.49</v>
      </c>
      <c r="G2287" t="n">
        <v>4751</v>
      </c>
      <c r="H2287" t="b">
        <v>0</v>
      </c>
      <c r="I2287" t="inlineStr"/>
      <c r="J2287" t="inlineStr"/>
      <c r="K2287" t="inlineStr">
        <is>
          <t>&gt; Perfumería &gt; Cuidado Capilar &gt; Acondicionador &gt;</t>
        </is>
      </c>
      <c r="L2287" t="inlineStr">
        <is>
          <t>acondicionador</t>
        </is>
      </c>
      <c r="M2287" t="inlineStr">
        <is>
          <t>estandar</t>
        </is>
      </c>
      <c r="N2287" t="inlineStr">
        <is>
          <t>general</t>
        </is>
      </c>
      <c r="O2287" t="inlineStr">
        <is>
          <t>https://www.jumbo.com.ar/acondicionador-tresemme-limpieza-profunda-pvc-ml-750/p</t>
        </is>
      </c>
    </row>
    <row r="2288">
      <c r="A2288" s="2" t="inlineStr">
        <is>
          <t>Jumbo</t>
        </is>
      </c>
      <c r="B2288" s="2" t="n">
        <v>166075</v>
      </c>
      <c r="C2288" s="2" t="n">
        <v>163609</v>
      </c>
      <c r="D2288" s="2" t="inlineStr">
        <is>
          <t>Shampoo Tresemmé-hidratación Profunda X 400ml-+ Cr P/peinar Hid.profunda X236ml+gratis Aco.hid.p-pck</t>
        </is>
      </c>
      <c r="E2288" s="2" t="inlineStr">
        <is>
          <t>TRESEMMÉ</t>
        </is>
      </c>
      <c r="F2288" s="2" t="n">
        <v>41.39</v>
      </c>
      <c r="G2288" s="2" t="n">
        <v>3421</v>
      </c>
      <c r="H2288" s="2" t="b">
        <v>0</v>
      </c>
      <c r="I2288" s="2" t="n">
        <v>400</v>
      </c>
      <c r="J2288" s="2" t="n">
        <v>0.1035</v>
      </c>
      <c r="K2288" s="2" t="inlineStr">
        <is>
          <t>&gt; Perfumería &gt; Cuidado Capilar &gt; Shampoo &gt;</t>
        </is>
      </c>
      <c r="L2288" s="2" t="inlineStr">
        <is>
          <t>shampoo</t>
        </is>
      </c>
      <c r="M2288" s="2" t="inlineStr">
        <is>
          <t>estandar</t>
        </is>
      </c>
      <c r="N2288" s="2" t="inlineStr">
        <is>
          <t>seco_danado</t>
        </is>
      </c>
      <c r="O2288" s="2" t="inlineStr">
        <is>
          <t>https://www.jumbo.com.ar/shampoo-tresemme-hidratacion-profunda-x-400ml-cr-p-peinar-hid-profunda-x236ml-gratis-aco-hid-p-pck/p</t>
        </is>
      </c>
    </row>
    <row r="2289">
      <c r="A2289" t="inlineStr">
        <is>
          <t>Jumbo</t>
        </is>
      </c>
      <c r="B2289" t="n">
        <v>164849</v>
      </c>
      <c r="C2289" t="n">
        <v>162389</v>
      </c>
      <c r="D2289" t="inlineStr">
        <is>
          <t>Shampoo Tresemmé-hidratación Profunda X 400ml-+ Gratis Aco. Hidratación Profunda X 250m-pck-un.-2</t>
        </is>
      </c>
      <c r="E2289" t="inlineStr">
        <is>
          <t>TRESEMMÉ</t>
        </is>
      </c>
      <c r="F2289" t="n">
        <v>18.13</v>
      </c>
      <c r="G2289" t="n">
        <v>1498</v>
      </c>
      <c r="H2289" t="b">
        <v>0</v>
      </c>
      <c r="I2289" t="n">
        <v>400</v>
      </c>
      <c r="J2289" t="n">
        <v>0.0453</v>
      </c>
      <c r="K2289" t="inlineStr">
        <is>
          <t>&gt; Perfumería &gt; Cuidado Capilar &gt; Shampoo &gt;</t>
        </is>
      </c>
      <c r="L2289" t="inlineStr">
        <is>
          <t>shampoo</t>
        </is>
      </c>
      <c r="M2289" t="inlineStr">
        <is>
          <t>estandar</t>
        </is>
      </c>
      <c r="N2289" t="inlineStr">
        <is>
          <t>seco_danado</t>
        </is>
      </c>
      <c r="O2289" t="inlineStr">
        <is>
          <t>https://www.jumbo.com.ar/shampoo-tresemme-hidratacion-profunda-x-400ml-gratis-aco-hidratacion-profunda-x-250m-pck-un-2/p</t>
        </is>
      </c>
    </row>
    <row r="2290">
      <c r="A2290" s="2" t="inlineStr">
        <is>
          <t>Jumbo</t>
        </is>
      </c>
      <c r="B2290" s="2" t="n">
        <v>154860</v>
      </c>
      <c r="C2290" s="2" t="n">
        <v>152429</v>
      </c>
      <c r="D2290" s="2" t="inlineStr">
        <is>
          <t>Shampoo Tresemmé400ml + Ctt 226g Al 50%-split Remedy-+ Crema Para Peinar-bli-un.-2</t>
        </is>
      </c>
      <c r="E2290" s="2" t="inlineStr">
        <is>
          <t>TRESEMMÉ</t>
        </is>
      </c>
      <c r="F2290" s="2" t="n">
        <v>41.59</v>
      </c>
      <c r="G2290" s="2" t="n">
        <v>41.59</v>
      </c>
      <c r="H2290" s="2" t="b">
        <v>0</v>
      </c>
      <c r="I2290" s="2" t="n">
        <v>400</v>
      </c>
      <c r="J2290" s="2" t="n">
        <v>0.104</v>
      </c>
      <c r="K2290" s="2" t="inlineStr">
        <is>
          <t>&gt; Perfumería &gt; Cuidado Capilar &gt; Shampoo &gt;</t>
        </is>
      </c>
      <c r="L2290" s="2" t="inlineStr">
        <is>
          <t>shampoo</t>
        </is>
      </c>
      <c r="M2290" s="2" t="inlineStr">
        <is>
          <t>estandar</t>
        </is>
      </c>
      <c r="N2290" s="2" t="inlineStr">
        <is>
          <t>general</t>
        </is>
      </c>
      <c r="O2290" s="2" t="inlineStr">
        <is>
          <t>https://www.jumbo.com.ar/shampoo-tresemme400ml-ctt-226g-al-50-split-remedy-crema-para-peinar-bli-un-2/p</t>
        </is>
      </c>
    </row>
    <row r="2291">
      <c r="A2291" t="inlineStr">
        <is>
          <t>Jumbo</t>
        </is>
      </c>
      <c r="B2291" t="n">
        <v>153373</v>
      </c>
      <c r="C2291" t="n">
        <v>150944</v>
      </c>
      <c r="D2291" t="inlineStr">
        <is>
          <t>Shampoo Tresemmé-+ Tratamiento X226 + Ac X250 Gratis-bli-un.-3</t>
        </is>
      </c>
      <c r="E2291" t="inlineStr">
        <is>
          <t>TRESEMMÉ</t>
        </is>
      </c>
      <c r="F2291" t="n">
        <v>36.23</v>
      </c>
      <c r="G2291" t="n">
        <v>2994</v>
      </c>
      <c r="H2291" t="b">
        <v>0</v>
      </c>
      <c r="I2291" t="inlineStr"/>
      <c r="J2291" t="inlineStr"/>
      <c r="K2291" t="inlineStr">
        <is>
          <t>&gt; Perfumería &gt; Cuidado Capilar &gt; Shampoo &gt;</t>
        </is>
      </c>
      <c r="L2291" t="inlineStr">
        <is>
          <t>tratamiento</t>
        </is>
      </c>
      <c r="M2291" t="inlineStr">
        <is>
          <t>estandar</t>
        </is>
      </c>
      <c r="N2291" t="inlineStr">
        <is>
          <t>general</t>
        </is>
      </c>
      <c r="O2291" t="inlineStr">
        <is>
          <t>https://www.jumbo.com.ar/shampoo-tresemme-tratamiento-x226-ac-x250-gratis-bli-un-3-2/p</t>
        </is>
      </c>
    </row>
    <row r="2292">
      <c r="A2292" s="2" t="inlineStr">
        <is>
          <t>Jumbo</t>
        </is>
      </c>
      <c r="B2292" s="2" t="n">
        <v>149887</v>
      </c>
      <c r="C2292" s="2" t="n">
        <v>146796</v>
      </c>
      <c r="D2292" s="2" t="inlineStr">
        <is>
          <t>Crema Capilar Tresemmé-rituals-repair-pmo-ml.-234</t>
        </is>
      </c>
      <c r="E2292" s="2" t="inlineStr">
        <is>
          <t>TRESEMMÉ</t>
        </is>
      </c>
      <c r="F2292" s="2" t="n">
        <v>21.29</v>
      </c>
      <c r="G2292" s="2" t="n">
        <v>1760</v>
      </c>
      <c r="H2292" s="2" t="b">
        <v>0</v>
      </c>
      <c r="I2292" s="2" t="inlineStr"/>
      <c r="J2292" s="2" t="inlineStr"/>
      <c r="K2292" s="2" t="inlineStr">
        <is>
          <t>&gt; Perfumería &gt; Cuidado Capilar &gt; Reparación y Tratamientos &gt;</t>
        </is>
      </c>
      <c r="L2292" s="2" t="inlineStr">
        <is>
          <t>shampoo</t>
        </is>
      </c>
      <c r="M2292" s="2" t="inlineStr">
        <is>
          <t>profesional</t>
        </is>
      </c>
      <c r="N2292" s="2" t="inlineStr">
        <is>
          <t>general</t>
        </is>
      </c>
      <c r="O2292" s="2" t="inlineStr">
        <is>
          <t>https://www.jumbo.com.ar/crema-capilar-tresemme-rituals-repair-pmo-ml-234-2/p</t>
        </is>
      </c>
    </row>
    <row r="2293">
      <c r="A2293" t="inlineStr">
        <is>
          <t>Jumbo</t>
        </is>
      </c>
      <c r="B2293" t="n">
        <v>149882</v>
      </c>
      <c r="C2293" t="n">
        <v>146791</v>
      </c>
      <c r="D2293" t="inlineStr">
        <is>
          <t>Acondicionador Tresemmé-rituals-repair-pvc-ml.-900</t>
        </is>
      </c>
      <c r="E2293" t="inlineStr">
        <is>
          <t>TRESEMMÉ</t>
        </is>
      </c>
      <c r="F2293" t="n">
        <v>32.59</v>
      </c>
      <c r="G2293" t="n">
        <v>2693</v>
      </c>
      <c r="H2293" t="b">
        <v>0</v>
      </c>
      <c r="I2293" t="inlineStr"/>
      <c r="J2293" t="inlineStr"/>
      <c r="K2293" t="inlineStr">
        <is>
          <t>&gt; Perfumería &gt; Cuidado Capilar &gt; Acondicionador &gt;</t>
        </is>
      </c>
      <c r="L2293" t="inlineStr">
        <is>
          <t>acondicionador</t>
        </is>
      </c>
      <c r="M2293" t="inlineStr">
        <is>
          <t>profesional</t>
        </is>
      </c>
      <c r="N2293" t="inlineStr">
        <is>
          <t>general</t>
        </is>
      </c>
      <c r="O2293" t="inlineStr">
        <is>
          <t>https://www.jumbo.com.ar/acondicionador-tresemme-rituals-repair-pvc-ml-900-2/p</t>
        </is>
      </c>
    </row>
    <row r="2294">
      <c r="A2294" s="2" t="inlineStr">
        <is>
          <t>Jumbo</t>
        </is>
      </c>
      <c r="B2294" s="2" t="n">
        <v>149865</v>
      </c>
      <c r="C2294" s="2" t="n">
        <v>146774</v>
      </c>
      <c r="D2294" s="2" t="inlineStr">
        <is>
          <t>Shampoo Tresemmé Rituals Repair X 900 Ml</t>
        </is>
      </c>
      <c r="E2294" s="2" t="inlineStr">
        <is>
          <t>TRESEMMÉ</t>
        </is>
      </c>
      <c r="F2294" s="2" t="n">
        <v>31.73</v>
      </c>
      <c r="G2294" s="2" t="n">
        <v>2622</v>
      </c>
      <c r="H2294" s="2" t="b">
        <v>0</v>
      </c>
      <c r="I2294" s="2" t="n">
        <v>900</v>
      </c>
      <c r="J2294" s="2" t="n">
        <v>0.0353</v>
      </c>
      <c r="K2294" s="2" t="inlineStr">
        <is>
          <t>&gt; Perfumería &gt; Cuidado Capilar &gt; Shampoo &gt;</t>
        </is>
      </c>
      <c r="L2294" s="2" t="inlineStr">
        <is>
          <t>shampoo</t>
        </is>
      </c>
      <c r="M2294" s="2" t="inlineStr">
        <is>
          <t>profesional</t>
        </is>
      </c>
      <c r="N2294" s="2" t="inlineStr">
        <is>
          <t>general</t>
        </is>
      </c>
      <c r="O2294" s="2" t="inlineStr">
        <is>
          <t>https://www.jumbo.com.ar/shampoo-tresemme-rituals-repair-x-900-ml-2/p</t>
        </is>
      </c>
    </row>
    <row r="2295">
      <c r="A2295" t="inlineStr">
        <is>
          <t>Jumbo</t>
        </is>
      </c>
      <c r="B2295" t="n">
        <v>149820</v>
      </c>
      <c r="C2295" t="n">
        <v>146729</v>
      </c>
      <c r="D2295" t="inlineStr">
        <is>
          <t>Shampoo Tresemmé-rituals-repair-pvc-ml.-400</t>
        </is>
      </c>
      <c r="E2295" t="inlineStr">
        <is>
          <t>TRESEMMÉ</t>
        </is>
      </c>
      <c r="F2295" t="n">
        <v>51.87</v>
      </c>
      <c r="G2295" t="n">
        <v>4287</v>
      </c>
      <c r="H2295" t="b">
        <v>0</v>
      </c>
      <c r="I2295" t="inlineStr"/>
      <c r="J2295" t="inlineStr"/>
      <c r="K2295" t="inlineStr">
        <is>
          <t>&gt; Perfumería &gt; Cuidado Capilar &gt; Shampoo &gt;</t>
        </is>
      </c>
      <c r="L2295" t="inlineStr">
        <is>
          <t>shampoo</t>
        </is>
      </c>
      <c r="M2295" t="inlineStr">
        <is>
          <t>profesional</t>
        </is>
      </c>
      <c r="N2295" t="inlineStr">
        <is>
          <t>general</t>
        </is>
      </c>
      <c r="O2295" t="inlineStr">
        <is>
          <t>https://www.jumbo.com.ar/shampoo-tresemme-rituals-repair-pvc-ml-400-2/p</t>
        </is>
      </c>
    </row>
    <row r="2296">
      <c r="A2296" s="2" t="inlineStr">
        <is>
          <t>Jumbo</t>
        </is>
      </c>
      <c r="B2296" s="2" t="n">
        <v>149318</v>
      </c>
      <c r="C2296" s="2" t="n">
        <v>146210</v>
      </c>
      <c r="D2296" s="2" t="inlineStr">
        <is>
          <t>Acondicionador Tresemmé-smooth Keratin-pvc-ml.-400</t>
        </is>
      </c>
      <c r="E2296" s="2" t="inlineStr">
        <is>
          <t>TRESEMMÉ</t>
        </is>
      </c>
      <c r="F2296" s="2" t="n">
        <v>51.87</v>
      </c>
      <c r="G2296" s="2" t="n">
        <v>4287</v>
      </c>
      <c r="H2296" s="2" t="b">
        <v>0</v>
      </c>
      <c r="I2296" s="2" t="inlineStr"/>
      <c r="J2296" s="2" t="inlineStr"/>
      <c r="K2296" s="2" t="inlineStr">
        <is>
          <t>&gt; Perfumería &gt; Cuidado Capilar &gt; Acondicionador &gt;</t>
        </is>
      </c>
      <c r="L2296" s="2" t="inlineStr">
        <is>
          <t>acondicionador</t>
        </is>
      </c>
      <c r="M2296" s="2" t="inlineStr">
        <is>
          <t>estandar</t>
        </is>
      </c>
      <c r="N2296" s="2" t="inlineStr">
        <is>
          <t>general</t>
        </is>
      </c>
      <c r="O2296" s="2" t="inlineStr">
        <is>
          <t>https://www.jumbo.com.ar/acondicionador-tresemme-smooth-keratin-pvc-ml-400-2/p</t>
        </is>
      </c>
    </row>
    <row r="2297">
      <c r="A2297" t="inlineStr">
        <is>
          <t>Jumbo</t>
        </is>
      </c>
      <c r="B2297" t="n">
        <v>149276</v>
      </c>
      <c r="C2297" t="n">
        <v>146168</v>
      </c>
      <c r="D2297" t="inlineStr">
        <is>
          <t>Shampoo Tresemmé-smooth Keratin-pvc-ml.-400</t>
        </is>
      </c>
      <c r="E2297" t="inlineStr">
        <is>
          <t>TRESEMMÉ</t>
        </is>
      </c>
      <c r="F2297" t="n">
        <v>27.79</v>
      </c>
      <c r="G2297" t="n">
        <v>2297</v>
      </c>
      <c r="H2297" t="b">
        <v>0</v>
      </c>
      <c r="I2297" t="inlineStr"/>
      <c r="J2297" t="inlineStr"/>
      <c r="K2297" t="inlineStr">
        <is>
          <t>&gt; Perfumería &gt; Cuidado Capilar &gt; Shampoo &gt;</t>
        </is>
      </c>
      <c r="L2297" t="inlineStr">
        <is>
          <t>shampoo</t>
        </is>
      </c>
      <c r="M2297" t="inlineStr">
        <is>
          <t>estandar</t>
        </is>
      </c>
      <c r="N2297" t="inlineStr">
        <is>
          <t>general</t>
        </is>
      </c>
      <c r="O2297" t="inlineStr">
        <is>
          <t>https://www.jumbo.com.ar/shampoo-tresemme-smooth-keratin-pvc-ml-400-2/p</t>
        </is>
      </c>
    </row>
    <row r="2298">
      <c r="A2298" s="2" t="inlineStr">
        <is>
          <t>Jumbo</t>
        </is>
      </c>
      <c r="B2298" s="2" t="n">
        <v>149037</v>
      </c>
      <c r="C2298" s="2" t="n">
        <v>145929</v>
      </c>
      <c r="D2298" s="2" t="inlineStr">
        <is>
          <t>Shampoo Tresemmé-smooth Keratin-pvc-ml.-900</t>
        </is>
      </c>
      <c r="E2298" s="2" t="inlineStr">
        <is>
          <t>TRESEMMÉ</t>
        </is>
      </c>
      <c r="F2298" s="2" t="n">
        <v>49.45</v>
      </c>
      <c r="G2298" s="2" t="n">
        <v>4087</v>
      </c>
      <c r="H2298" s="2" t="b">
        <v>0</v>
      </c>
      <c r="I2298" s="2" t="inlineStr"/>
      <c r="J2298" s="2" t="inlineStr"/>
      <c r="K2298" s="2" t="inlineStr">
        <is>
          <t>&gt; Perfumería &gt; Cuidado Capilar &gt; Shampoo &gt;</t>
        </is>
      </c>
      <c r="L2298" s="2" t="inlineStr">
        <is>
          <t>shampoo</t>
        </is>
      </c>
      <c r="M2298" s="2" t="inlineStr">
        <is>
          <t>estandar</t>
        </is>
      </c>
      <c r="N2298" s="2" t="inlineStr">
        <is>
          <t>general</t>
        </is>
      </c>
      <c r="O2298" s="2" t="inlineStr">
        <is>
          <t>https://www.jumbo.com.ar/shampoo-tresemme-smooth-keratin-pvc-ml-900-2/p</t>
        </is>
      </c>
    </row>
    <row r="2299">
      <c r="A2299" t="inlineStr">
        <is>
          <t>Jumbo</t>
        </is>
      </c>
      <c r="B2299" t="n">
        <v>134764</v>
      </c>
      <c r="C2299" t="n">
        <v>131676</v>
      </c>
      <c r="D2299" t="inlineStr">
        <is>
          <t>Crema Capilar Tresemmé-liso-pvc-ml.-236</t>
        </is>
      </c>
      <c r="E2299" t="inlineStr">
        <is>
          <t>TRESEMMÉ</t>
        </is>
      </c>
      <c r="F2299" t="n">
        <v>20.13</v>
      </c>
      <c r="G2299" t="n">
        <v>1664</v>
      </c>
      <c r="H2299" t="b">
        <v>0</v>
      </c>
      <c r="I2299" t="inlineStr"/>
      <c r="J2299" t="inlineStr"/>
      <c r="K2299" t="inlineStr">
        <is>
          <t>&gt; Perfumería &gt; Cuidado Capilar &gt; Reparación y Tratamientos &gt;</t>
        </is>
      </c>
      <c r="L2299" t="inlineStr">
        <is>
          <t>shampoo</t>
        </is>
      </c>
      <c r="M2299" t="inlineStr">
        <is>
          <t>estandar</t>
        </is>
      </c>
      <c r="N2299" t="inlineStr">
        <is>
          <t>general</t>
        </is>
      </c>
      <c r="O2299" t="inlineStr">
        <is>
          <t>https://www.jumbo.com.ar/crema-capilar-tresemme-liso-pvc-ml-236/p</t>
        </is>
      </c>
    </row>
    <row r="2300">
      <c r="A2300" s="2" t="inlineStr">
        <is>
          <t>Jumbo</t>
        </is>
      </c>
      <c r="B2300" s="2" t="n">
        <v>134652</v>
      </c>
      <c r="C2300" s="2" t="n">
        <v>131564</v>
      </c>
      <c r="D2300" s="2" t="inlineStr">
        <is>
          <t>Crema Capilar Tresemmé-control Caida-pvc-ml.-236</t>
        </is>
      </c>
      <c r="E2300" s="2" t="inlineStr">
        <is>
          <t>TRESEMMÉ</t>
        </is>
      </c>
      <c r="F2300" s="2" t="n">
        <v>20.13</v>
      </c>
      <c r="G2300" s="2" t="n">
        <v>1664</v>
      </c>
      <c r="H2300" s="2" t="b">
        <v>0</v>
      </c>
      <c r="I2300" s="2" t="inlineStr"/>
      <c r="J2300" s="2" t="inlineStr"/>
      <c r="K2300" s="2" t="inlineStr">
        <is>
          <t>&gt; Perfumería &gt; Cuidado Capilar &gt; Reparación y Tratamientos &gt;</t>
        </is>
      </c>
      <c r="L2300" s="2" t="inlineStr">
        <is>
          <t>shampoo</t>
        </is>
      </c>
      <c r="M2300" s="2" t="inlineStr">
        <is>
          <t>estandar</t>
        </is>
      </c>
      <c r="N2300" s="2" t="inlineStr">
        <is>
          <t>general</t>
        </is>
      </c>
      <c r="O2300" s="2" t="inlineStr">
        <is>
          <t>https://www.jumbo.com.ar/crema-capilar-tresemme-control-caida-pvc-ml-236/p</t>
        </is>
      </c>
    </row>
    <row r="2301">
      <c r="A2301" t="inlineStr">
        <is>
          <t>Jumbo</t>
        </is>
      </c>
      <c r="B2301" t="n">
        <v>134649</v>
      </c>
      <c r="C2301" t="n">
        <v>131563</v>
      </c>
      <c r="D2301" t="inlineStr">
        <is>
          <t>Crema Capilar Tresemmé-hidratación Profunda-pvc-ml.-236</t>
        </is>
      </c>
      <c r="E2301" t="inlineStr">
        <is>
          <t>TRESEMMÉ</t>
        </is>
      </c>
      <c r="F2301" t="n">
        <v>22.59</v>
      </c>
      <c r="G2301" t="n">
        <v>1867</v>
      </c>
      <c r="H2301" t="b">
        <v>0</v>
      </c>
      <c r="I2301" t="inlineStr"/>
      <c r="J2301" t="inlineStr"/>
      <c r="K2301" t="inlineStr">
        <is>
          <t>&gt; Perfumería &gt; Cuidado Capilar &gt; Reparación y Tratamientos &gt;</t>
        </is>
      </c>
      <c r="L2301" t="inlineStr">
        <is>
          <t>shampoo</t>
        </is>
      </c>
      <c r="M2301" t="inlineStr">
        <is>
          <t>estandar</t>
        </is>
      </c>
      <c r="N2301" t="inlineStr">
        <is>
          <t>seco_danado</t>
        </is>
      </c>
      <c r="O2301" t="inlineStr">
        <is>
          <t>https://www.jumbo.com.ar/crema-capilar-tresemme-hidratacion-profunda-pvc-ml-236/p</t>
        </is>
      </c>
    </row>
    <row r="2302">
      <c r="A2302" s="2" t="inlineStr">
        <is>
          <t>Jumbo</t>
        </is>
      </c>
      <c r="B2302" s="2" t="n">
        <v>92749</v>
      </c>
      <c r="C2302" s="2" t="n">
        <v>90077</v>
      </c>
      <c r="D2302" s="2" t="inlineStr">
        <is>
          <t>Acondicionador Tresemmé-soothing Star Pooh-pet-ml.-400</t>
        </is>
      </c>
      <c r="E2302" s="2" t="inlineStr">
        <is>
          <t>TRESEMMÉ</t>
        </is>
      </c>
      <c r="F2302" s="2" t="n">
        <v>51.87</v>
      </c>
      <c r="G2302" s="2" t="n">
        <v>4287</v>
      </c>
      <c r="H2302" s="2" t="b">
        <v>0</v>
      </c>
      <c r="I2302" s="2" t="inlineStr"/>
      <c r="J2302" s="2" t="inlineStr"/>
      <c r="K2302" s="2" t="inlineStr">
        <is>
          <t>&gt; Perfumería &gt; Cuidado Capilar &gt; Acondicionador &gt;</t>
        </is>
      </c>
      <c r="L2302" s="2" t="inlineStr">
        <is>
          <t>acondicionador</t>
        </is>
      </c>
      <c r="M2302" s="2" t="inlineStr">
        <is>
          <t>estandar</t>
        </is>
      </c>
      <c r="N2302" s="2" t="inlineStr">
        <is>
          <t>general</t>
        </is>
      </c>
      <c r="O2302" s="2" t="inlineStr">
        <is>
          <t>https://www.jumbo.com.ar/acondicionador-tresemme-soothing-star-pooh-pet-ml-400/p</t>
        </is>
      </c>
    </row>
    <row r="2303">
      <c r="A2303" t="inlineStr">
        <is>
          <t>Jumbo</t>
        </is>
      </c>
      <c r="B2303" t="n">
        <v>92743</v>
      </c>
      <c r="C2303" t="n">
        <v>90070</v>
      </c>
      <c r="D2303" t="inlineStr">
        <is>
          <t>Acondicionador Tresemmé-soothing Star Pooh-pet-ml.-900</t>
        </is>
      </c>
      <c r="E2303" t="inlineStr">
        <is>
          <t>TRESEMMÉ</t>
        </is>
      </c>
      <c r="F2303" t="n">
        <v>24.75</v>
      </c>
      <c r="G2303" t="n">
        <v>2045</v>
      </c>
      <c r="H2303" t="b">
        <v>0</v>
      </c>
      <c r="I2303" t="inlineStr"/>
      <c r="J2303" t="inlineStr"/>
      <c r="K2303" t="inlineStr">
        <is>
          <t>&gt; Perfumería &gt; Cuidado Capilar &gt; Acondicionador &gt;</t>
        </is>
      </c>
      <c r="L2303" t="inlineStr">
        <is>
          <t>acondicionador</t>
        </is>
      </c>
      <c r="M2303" t="inlineStr">
        <is>
          <t>estandar</t>
        </is>
      </c>
      <c r="N2303" t="inlineStr">
        <is>
          <t>general</t>
        </is>
      </c>
      <c r="O2303" t="inlineStr">
        <is>
          <t>https://www.jumbo.com.ar/acondicionador-tresemme-soothing-star-pooh-pet-ml-900/p</t>
        </is>
      </c>
    </row>
    <row r="2304">
      <c r="A2304" s="2" t="inlineStr">
        <is>
          <t>Jumbo</t>
        </is>
      </c>
      <c r="B2304" s="2" t="n">
        <v>92724</v>
      </c>
      <c r="C2304" s="2" t="n">
        <v>90052</v>
      </c>
      <c r="D2304" s="2" t="inlineStr">
        <is>
          <t>Shampoo Tresemmé Shooting Star Pooh X 900 Ml</t>
        </is>
      </c>
      <c r="E2304" s="2" t="inlineStr">
        <is>
          <t>TRESEMMÉ</t>
        </is>
      </c>
      <c r="F2304" s="2" t="n">
        <v>24.75</v>
      </c>
      <c r="G2304" s="2" t="n">
        <v>2045</v>
      </c>
      <c r="H2304" s="2" t="b">
        <v>0</v>
      </c>
      <c r="I2304" s="2" t="n">
        <v>900</v>
      </c>
      <c r="J2304" s="2" t="n">
        <v>0.0275</v>
      </c>
      <c r="K2304" s="2" t="inlineStr">
        <is>
          <t>&gt; Perfumería &gt; Cuidado Capilar &gt; Shampoo &gt;</t>
        </is>
      </c>
      <c r="L2304" s="2" t="inlineStr">
        <is>
          <t>shampoo</t>
        </is>
      </c>
      <c r="M2304" s="2" t="inlineStr">
        <is>
          <t>estandar</t>
        </is>
      </c>
      <c r="N2304" s="2" t="inlineStr">
        <is>
          <t>general</t>
        </is>
      </c>
      <c r="O2304" s="2" t="inlineStr">
        <is>
          <t>https://www.jumbo.com.ar/shampoo-tresemme-shooting-star-pooh-x-900-ml/p</t>
        </is>
      </c>
    </row>
    <row r="2305">
      <c r="A2305" t="inlineStr">
        <is>
          <t>Jumbo</t>
        </is>
      </c>
      <c r="B2305" t="n">
        <v>92721</v>
      </c>
      <c r="C2305" t="n">
        <v>90048</v>
      </c>
      <c r="D2305" t="inlineStr">
        <is>
          <t>Shampoo Tresemmé-soothing Star Pooh-pet-ml.-400</t>
        </is>
      </c>
      <c r="E2305" t="inlineStr">
        <is>
          <t>TRESEMMÉ</t>
        </is>
      </c>
      <c r="F2305" t="n">
        <v>51.87</v>
      </c>
      <c r="G2305" t="n">
        <v>4287</v>
      </c>
      <c r="H2305" t="b">
        <v>0</v>
      </c>
      <c r="I2305" t="inlineStr"/>
      <c r="J2305" t="inlineStr"/>
      <c r="K2305" t="inlineStr">
        <is>
          <t>&gt; Perfumería &gt; Cuidado Capilar &gt; Shampoo &gt;</t>
        </is>
      </c>
      <c r="L2305" t="inlineStr">
        <is>
          <t>shampoo</t>
        </is>
      </c>
      <c r="M2305" t="inlineStr">
        <is>
          <t>estandar</t>
        </is>
      </c>
      <c r="N2305" t="inlineStr">
        <is>
          <t>general</t>
        </is>
      </c>
      <c r="O2305" t="inlineStr">
        <is>
          <t>https://www.jumbo.com.ar/shampoo-tresemme-soothing-star-pooh-pet-ml-400/p</t>
        </is>
      </c>
    </row>
    <row r="2306">
      <c r="A2306" s="2" t="inlineStr">
        <is>
          <t>Jumbo</t>
        </is>
      </c>
      <c r="B2306" s="2" t="n">
        <v>91920</v>
      </c>
      <c r="C2306" s="2" t="n">
        <v>89248</v>
      </c>
      <c r="D2306" s="2" t="inlineStr">
        <is>
          <t>Shampoo Tresemmé Climate-control-pet-ml.-400</t>
        </is>
      </c>
      <c r="E2306" s="2" t="inlineStr">
        <is>
          <t>TRESEMMÉ</t>
        </is>
      </c>
      <c r="F2306" s="2" t="n">
        <v>51.87</v>
      </c>
      <c r="G2306" s="2" t="n">
        <v>4287</v>
      </c>
      <c r="H2306" s="2" t="b">
        <v>0</v>
      </c>
      <c r="I2306" s="2" t="inlineStr"/>
      <c r="J2306" s="2" t="inlineStr"/>
      <c r="K2306" s="2" t="inlineStr">
        <is>
          <t>&gt; Perfumería &gt; Cuidado Capilar &gt; Shampoo &gt;</t>
        </is>
      </c>
      <c r="L2306" s="2" t="inlineStr">
        <is>
          <t>shampoo</t>
        </is>
      </c>
      <c r="M2306" s="2" t="inlineStr">
        <is>
          <t>estandar</t>
        </is>
      </c>
      <c r="N2306" s="2" t="inlineStr">
        <is>
          <t>general</t>
        </is>
      </c>
      <c r="O2306" s="2" t="inlineStr">
        <is>
          <t>https://www.jumbo.com.ar/shampoo-tresemme-climate-control-pet-ml-400/p</t>
        </is>
      </c>
    </row>
    <row r="2307">
      <c r="A2307" t="inlineStr">
        <is>
          <t>Jumbo</t>
        </is>
      </c>
      <c r="B2307" t="n">
        <v>91911</v>
      </c>
      <c r="C2307" t="n">
        <v>89239</v>
      </c>
      <c r="D2307" t="inlineStr">
        <is>
          <t>Shampoo Tresemmé Control X 900 Ml</t>
        </is>
      </c>
      <c r="E2307" t="inlineStr">
        <is>
          <t>TRESEMMÉ</t>
        </is>
      </c>
      <c r="F2307" t="n">
        <v>26.25</v>
      </c>
      <c r="G2307" t="n">
        <v>2169</v>
      </c>
      <c r="H2307" t="b">
        <v>0</v>
      </c>
      <c r="I2307" t="n">
        <v>900</v>
      </c>
      <c r="J2307" t="n">
        <v>0.0292</v>
      </c>
      <c r="K2307" t="inlineStr">
        <is>
          <t>&gt; Perfumería &gt; Cuidado Capilar &gt; Shampoo &gt;</t>
        </is>
      </c>
      <c r="L2307" t="inlineStr">
        <is>
          <t>shampoo</t>
        </is>
      </c>
      <c r="M2307" t="inlineStr">
        <is>
          <t>estandar</t>
        </is>
      </c>
      <c r="N2307" t="inlineStr">
        <is>
          <t>general</t>
        </is>
      </c>
      <c r="O2307" t="inlineStr">
        <is>
          <t>https://www.jumbo.com.ar/shampoo-tresemme-control-x-900-ml/p</t>
        </is>
      </c>
    </row>
    <row r="2308">
      <c r="A2308" s="2" t="inlineStr">
        <is>
          <t>Jumbo</t>
        </is>
      </c>
      <c r="B2308" s="2" t="n">
        <v>91910</v>
      </c>
      <c r="C2308" s="2" t="n">
        <v>89238</v>
      </c>
      <c r="D2308" s="2" t="inlineStr">
        <is>
          <t>Acondicionador Tresemmé Climate-control-pet-ml.-900</t>
        </is>
      </c>
      <c r="E2308" s="2" t="inlineStr">
        <is>
          <t>TRESEMMÉ</t>
        </is>
      </c>
      <c r="F2308" s="2" t="n">
        <v>26.99</v>
      </c>
      <c r="G2308" s="2" t="n">
        <v>2231</v>
      </c>
      <c r="H2308" s="2" t="b">
        <v>0</v>
      </c>
      <c r="I2308" s="2" t="inlineStr"/>
      <c r="J2308" s="2" t="inlineStr"/>
      <c r="K2308" s="2" t="inlineStr">
        <is>
          <t>&gt; Perfumería &gt; Cuidado Capilar &gt; Acondicionador &gt;</t>
        </is>
      </c>
      <c r="L2308" s="2" t="inlineStr">
        <is>
          <t>acondicionador</t>
        </is>
      </c>
      <c r="M2308" s="2" t="inlineStr">
        <is>
          <t>estandar</t>
        </is>
      </c>
      <c r="N2308" s="2" t="inlineStr">
        <is>
          <t>general</t>
        </is>
      </c>
      <c r="O2308" s="2" t="inlineStr">
        <is>
          <t>https://www.jumbo.com.ar/acondicionador-tresemme-climate-control-pet-ml-900/p</t>
        </is>
      </c>
    </row>
    <row r="2309">
      <c r="A2309" t="inlineStr">
        <is>
          <t>Jumbo</t>
        </is>
      </c>
      <c r="B2309" t="n">
        <v>91736</v>
      </c>
      <c r="C2309" t="n">
        <v>89063</v>
      </c>
      <c r="D2309" t="inlineStr">
        <is>
          <t>Shampoo Tresemmé Split Remedy X 900 Ml</t>
        </is>
      </c>
      <c r="E2309" t="inlineStr">
        <is>
          <t>TRESEMMÉ</t>
        </is>
      </c>
      <c r="F2309" t="n">
        <v>49.45</v>
      </c>
      <c r="G2309" t="n">
        <v>4087</v>
      </c>
      <c r="H2309" t="b">
        <v>0</v>
      </c>
      <c r="I2309" t="n">
        <v>900</v>
      </c>
      <c r="J2309" t="n">
        <v>0.0549</v>
      </c>
      <c r="K2309" t="inlineStr">
        <is>
          <t>&gt; Perfumería &gt; Cuidado Capilar &gt; Shampoo &gt;</t>
        </is>
      </c>
      <c r="L2309" t="inlineStr">
        <is>
          <t>shampoo</t>
        </is>
      </c>
      <c r="M2309" t="inlineStr">
        <is>
          <t>estandar</t>
        </is>
      </c>
      <c r="N2309" t="inlineStr">
        <is>
          <t>general</t>
        </is>
      </c>
      <c r="O2309" t="inlineStr">
        <is>
          <t>https://www.jumbo.com.ar/shampoo-tresemme-split-remedy-x-900-ml/p</t>
        </is>
      </c>
    </row>
    <row r="2310">
      <c r="A2310" s="2" t="inlineStr">
        <is>
          <t>Jumbo</t>
        </is>
      </c>
      <c r="B2310" s="2" t="n">
        <v>91735</v>
      </c>
      <c r="C2310" s="2" t="n">
        <v>89064</v>
      </c>
      <c r="D2310" s="2" t="inlineStr">
        <is>
          <t>Acondicionador Tresemmé-split Remedy-pvc-ml.-900</t>
        </is>
      </c>
      <c r="E2310" s="2" t="inlineStr">
        <is>
          <t>TRESEMMÉ</t>
        </is>
      </c>
      <c r="F2310" s="2" t="n">
        <v>49.45</v>
      </c>
      <c r="G2310" s="2" t="n">
        <v>4087</v>
      </c>
      <c r="H2310" s="2" t="b">
        <v>0</v>
      </c>
      <c r="I2310" s="2" t="inlineStr"/>
      <c r="J2310" s="2" t="inlineStr"/>
      <c r="K2310" s="2" t="inlineStr">
        <is>
          <t>&gt; Perfumería &gt; Cuidado Capilar &gt; Acondicionador &gt;</t>
        </is>
      </c>
      <c r="L2310" s="2" t="inlineStr">
        <is>
          <t>acondicionador</t>
        </is>
      </c>
      <c r="M2310" s="2" t="inlineStr">
        <is>
          <t>estandar</t>
        </is>
      </c>
      <c r="N2310" s="2" t="inlineStr">
        <is>
          <t>general</t>
        </is>
      </c>
      <c r="O2310" s="2" t="inlineStr">
        <is>
          <t>https://www.jumbo.com.ar/acondicionador-tresemme-split-remedy-pvc-ml-900/p</t>
        </is>
      </c>
    </row>
    <row r="2311">
      <c r="A2311" t="inlineStr">
        <is>
          <t>Jumbo</t>
        </is>
      </c>
      <c r="B2311" t="n">
        <v>91730</v>
      </c>
      <c r="C2311" t="n">
        <v>89058</v>
      </c>
      <c r="D2311" t="inlineStr">
        <is>
          <t>Shampoo Tresemmé-split Remedy-pvc-ml.-400</t>
        </is>
      </c>
      <c r="E2311" t="inlineStr">
        <is>
          <t>TRESEMMÉ</t>
        </is>
      </c>
      <c r="F2311" t="n">
        <v>51.87</v>
      </c>
      <c r="G2311" t="n">
        <v>4287</v>
      </c>
      <c r="H2311" t="b">
        <v>0</v>
      </c>
      <c r="I2311" t="inlineStr"/>
      <c r="J2311" t="inlineStr"/>
      <c r="K2311" t="inlineStr">
        <is>
          <t>&gt; Perfumería &gt; Cuidado Capilar &gt; Shampoo &gt;</t>
        </is>
      </c>
      <c r="L2311" t="inlineStr">
        <is>
          <t>shampoo</t>
        </is>
      </c>
      <c r="M2311" t="inlineStr">
        <is>
          <t>estandar</t>
        </is>
      </c>
      <c r="N2311" t="inlineStr">
        <is>
          <t>general</t>
        </is>
      </c>
      <c r="O2311" t="inlineStr">
        <is>
          <t>https://www.jumbo.com.ar/shampoo-tresemme-split-remedy-pvc-ml-400/p</t>
        </is>
      </c>
    </row>
    <row r="2312">
      <c r="A2312" s="2" t="inlineStr">
        <is>
          <t>Jumbo</t>
        </is>
      </c>
      <c r="B2312" s="2" t="n">
        <v>82472</v>
      </c>
      <c r="C2312" s="2" t="n">
        <v>79805</v>
      </c>
      <c r="D2312" s="2" t="inlineStr">
        <is>
          <t>Shampoo Tresemmé-+ Acondicionador X 250 Ml-control Caida-bli-un.-2</t>
        </is>
      </c>
      <c r="E2312" s="2" t="inlineStr">
        <is>
          <t>TRESEMMÉ</t>
        </is>
      </c>
      <c r="F2312" s="2" t="n">
        <v>24.55</v>
      </c>
      <c r="G2312" s="2" t="n">
        <v>24.55</v>
      </c>
      <c r="H2312" s="2" t="b">
        <v>0</v>
      </c>
      <c r="I2312" s="2" t="n">
        <v>250</v>
      </c>
      <c r="J2312" s="2" t="n">
        <v>0.0982</v>
      </c>
      <c r="K2312" s="2" t="inlineStr">
        <is>
          <t>&gt; Perfumería &gt; Cuidado Capilar &gt; Shampoo &gt;</t>
        </is>
      </c>
      <c r="L2312" s="2" t="inlineStr">
        <is>
          <t>acondicionador</t>
        </is>
      </c>
      <c r="M2312" s="2" t="inlineStr">
        <is>
          <t>estandar</t>
        </is>
      </c>
      <c r="N2312" s="2" t="inlineStr">
        <is>
          <t>general</t>
        </is>
      </c>
      <c r="O2312" s="2" t="inlineStr">
        <is>
          <t>https://www.jumbo.com.ar/shampoo-tresemme-acondicionador-x-250-ml-control-caida-bli-un-2/p</t>
        </is>
      </c>
    </row>
    <row r="2313">
      <c r="A2313" t="inlineStr">
        <is>
          <t>Jumbo</t>
        </is>
      </c>
      <c r="B2313" t="n">
        <v>59078</v>
      </c>
      <c r="C2313" t="n">
        <v>56232</v>
      </c>
      <c r="D2313" t="inlineStr">
        <is>
          <t>Shampoo Tresemmé-rizos Definidos-pvc-ml.-400</t>
        </is>
      </c>
      <c r="E2313" t="inlineStr">
        <is>
          <t>TRESEMMÉ</t>
        </is>
      </c>
      <c r="F2313" t="n">
        <v>11.99</v>
      </c>
      <c r="G2313" t="n">
        <v>991</v>
      </c>
      <c r="H2313" t="b">
        <v>0</v>
      </c>
      <c r="I2313" t="inlineStr"/>
      <c r="J2313" t="inlineStr"/>
      <c r="K2313" t="inlineStr">
        <is>
          <t>&gt; Perfumería &gt; Cuidado Capilar &gt; Shampoo &gt;</t>
        </is>
      </c>
      <c r="L2313" t="inlineStr">
        <is>
          <t>shampoo</t>
        </is>
      </c>
      <c r="M2313" t="inlineStr">
        <is>
          <t>estandar</t>
        </is>
      </c>
      <c r="N2313" t="inlineStr">
        <is>
          <t>rizado</t>
        </is>
      </c>
      <c r="O2313" t="inlineStr">
        <is>
          <t>https://www.jumbo.com.ar/shampoo-tresemme-rizos-definidos-pvc-ml-400/p</t>
        </is>
      </c>
    </row>
    <row r="2314">
      <c r="A2314" s="2" t="inlineStr">
        <is>
          <t>Jumbo</t>
        </is>
      </c>
      <c r="B2314" s="2" t="n">
        <v>59059</v>
      </c>
      <c r="C2314" s="2" t="n">
        <v>56213</v>
      </c>
      <c r="D2314" s="2" t="inlineStr">
        <is>
          <t>Acondicionador Tresemmé-rizos Definidos-pvc-ml.-400</t>
        </is>
      </c>
      <c r="E2314" s="2" t="inlineStr">
        <is>
          <t>TRESEMMÉ</t>
        </is>
      </c>
      <c r="F2314" s="2" t="n">
        <v>15.65</v>
      </c>
      <c r="G2314" s="2" t="n">
        <v>1293</v>
      </c>
      <c r="H2314" s="2" t="b">
        <v>0</v>
      </c>
      <c r="I2314" s="2" t="inlineStr"/>
      <c r="J2314" s="2" t="inlineStr"/>
      <c r="K2314" s="2" t="inlineStr">
        <is>
          <t>&gt; Perfumería &gt; Cuidado Capilar &gt; Acondicionador &gt;</t>
        </is>
      </c>
      <c r="L2314" s="2" t="inlineStr">
        <is>
          <t>acondicionador</t>
        </is>
      </c>
      <c r="M2314" s="2" t="inlineStr">
        <is>
          <t>estandar</t>
        </is>
      </c>
      <c r="N2314" s="2" t="inlineStr">
        <is>
          <t>rizado</t>
        </is>
      </c>
      <c r="O2314" s="2" t="inlineStr">
        <is>
          <t>https://www.jumbo.com.ar/acondicionador-tresemme-rizos-definidos-pvc-ml-400/p</t>
        </is>
      </c>
    </row>
    <row r="2315">
      <c r="A2315" t="inlineStr">
        <is>
          <t>Jumbo</t>
        </is>
      </c>
      <c r="B2315" t="n">
        <v>58783</v>
      </c>
      <c r="C2315" t="n">
        <v>55937</v>
      </c>
      <c r="D2315" t="inlineStr">
        <is>
          <t>Acondicionador Tresemmé Recovery X 900 Ml</t>
        </is>
      </c>
      <c r="E2315" t="inlineStr">
        <is>
          <t>TRESEMMÉ</t>
        </is>
      </c>
      <c r="F2315" t="n">
        <v>26.25</v>
      </c>
      <c r="G2315" t="n">
        <v>2169</v>
      </c>
      <c r="H2315" t="b">
        <v>0</v>
      </c>
      <c r="I2315" t="n">
        <v>900</v>
      </c>
      <c r="J2315" t="n">
        <v>0.0292</v>
      </c>
      <c r="K2315" t="inlineStr">
        <is>
          <t>&gt; Perfumería &gt; Cuidado Capilar &gt; Acondicionador &gt;</t>
        </is>
      </c>
      <c r="L2315" t="inlineStr">
        <is>
          <t>acondicionador</t>
        </is>
      </c>
      <c r="M2315" t="inlineStr">
        <is>
          <t>estandar</t>
        </is>
      </c>
      <c r="N2315" t="inlineStr">
        <is>
          <t>general</t>
        </is>
      </c>
      <c r="O2315" t="inlineStr">
        <is>
          <t>https://www.jumbo.com.ar/acondicionador-tresemme-recovery-x-900-ml/p</t>
        </is>
      </c>
    </row>
    <row r="2316">
      <c r="A2316" s="2" t="inlineStr">
        <is>
          <t>Jumbo</t>
        </is>
      </c>
      <c r="B2316" s="2" t="n">
        <v>58753</v>
      </c>
      <c r="C2316" s="2" t="n">
        <v>55907</v>
      </c>
      <c r="D2316" s="2" t="inlineStr">
        <is>
          <t>Shampoo Tresemmé Recovery X 900 Ml</t>
        </is>
      </c>
      <c r="E2316" s="2" t="inlineStr">
        <is>
          <t>TRESEMMÉ</t>
        </is>
      </c>
      <c r="F2316" s="2" t="n">
        <v>26.99</v>
      </c>
      <c r="G2316" s="2" t="n">
        <v>2231</v>
      </c>
      <c r="H2316" s="2" t="b">
        <v>0</v>
      </c>
      <c r="I2316" s="2" t="n">
        <v>900</v>
      </c>
      <c r="J2316" s="2" t="n">
        <v>0.03</v>
      </c>
      <c r="K2316" s="2" t="inlineStr">
        <is>
          <t>&gt; Perfumería &gt; Cuidado Capilar &gt; Shampoo &gt;</t>
        </is>
      </c>
      <c r="L2316" s="2" t="inlineStr">
        <is>
          <t>shampoo</t>
        </is>
      </c>
      <c r="M2316" s="2" t="inlineStr">
        <is>
          <t>estandar</t>
        </is>
      </c>
      <c r="N2316" s="2" t="inlineStr">
        <is>
          <t>general</t>
        </is>
      </c>
      <c r="O2316" s="2" t="inlineStr">
        <is>
          <t>https://www.jumbo.com.ar/shampoo-tresemme-recovery-x-900-ml/p</t>
        </is>
      </c>
    </row>
    <row r="2317">
      <c r="A2317" t="inlineStr">
        <is>
          <t>Jumbo</t>
        </is>
      </c>
      <c r="B2317" t="n">
        <v>58511</v>
      </c>
      <c r="C2317" t="n">
        <v>55665</v>
      </c>
      <c r="D2317" t="inlineStr">
        <is>
          <t>Acondicionador Tresemmé-liso Y Sin Frizz-pvc-ml.-400</t>
        </is>
      </c>
      <c r="E2317" t="inlineStr">
        <is>
          <t>TRESEMMÉ</t>
        </is>
      </c>
      <c r="F2317" t="n">
        <v>77.69</v>
      </c>
      <c r="G2317" t="n">
        <v>6421</v>
      </c>
      <c r="H2317" t="b">
        <v>0</v>
      </c>
      <c r="I2317" t="inlineStr"/>
      <c r="J2317" t="inlineStr"/>
      <c r="K2317" t="inlineStr">
        <is>
          <t>&gt; Perfumería &gt; Cuidado Capilar &gt; Acondicionador &gt;</t>
        </is>
      </c>
      <c r="L2317" t="inlineStr">
        <is>
          <t>acondicionador</t>
        </is>
      </c>
      <c r="M2317" t="inlineStr">
        <is>
          <t>estandar</t>
        </is>
      </c>
      <c r="N2317" t="inlineStr">
        <is>
          <t>general</t>
        </is>
      </c>
      <c r="O2317" t="inlineStr">
        <is>
          <t>https://www.jumbo.com.ar/acondicionador-tresemme-liso-y-sin-frizz-pvc-ml-400/p</t>
        </is>
      </c>
    </row>
    <row r="2318">
      <c r="A2318" s="2" t="inlineStr">
        <is>
          <t>Jumbo</t>
        </is>
      </c>
      <c r="B2318" s="2" t="n">
        <v>58371</v>
      </c>
      <c r="C2318" s="2" t="n">
        <v>55525</v>
      </c>
      <c r="D2318" s="2" t="inlineStr">
        <is>
          <t>Shampoo Tresemmé-liso Y Sin Frizz-pvc-ml.-400</t>
        </is>
      </c>
      <c r="E2318" s="2" t="inlineStr">
        <is>
          <t>TRESEMMÉ</t>
        </is>
      </c>
      <c r="F2318" s="2" t="n">
        <v>51.87</v>
      </c>
      <c r="G2318" s="2" t="n">
        <v>4287</v>
      </c>
      <c r="H2318" s="2" t="b">
        <v>0</v>
      </c>
      <c r="I2318" s="2" t="inlineStr"/>
      <c r="J2318" s="2" t="inlineStr"/>
      <c r="K2318" s="2" t="inlineStr">
        <is>
          <t>&gt; Perfumería &gt; Cuidado Capilar &gt; Shampoo &gt;</t>
        </is>
      </c>
      <c r="L2318" s="2" t="inlineStr">
        <is>
          <t>shampoo</t>
        </is>
      </c>
      <c r="M2318" s="2" t="inlineStr">
        <is>
          <t>estandar</t>
        </is>
      </c>
      <c r="N2318" s="2" t="inlineStr">
        <is>
          <t>general</t>
        </is>
      </c>
      <c r="O2318" s="2" t="inlineStr">
        <is>
          <t>https://www.jumbo.com.ar/shampoo-tresemme-liso-y-sin-frizz-pvc-ml-400/p</t>
        </is>
      </c>
    </row>
    <row r="2319">
      <c r="A2319" t="inlineStr">
        <is>
          <t>Jumbo</t>
        </is>
      </c>
      <c r="B2319" t="n">
        <v>32462</v>
      </c>
      <c r="C2319" t="n">
        <v>29620</v>
      </c>
      <c r="D2319" t="inlineStr">
        <is>
          <t>Shampoo Tresemmé-control Caida-pvc-ml.-750</t>
        </is>
      </c>
      <c r="E2319" t="inlineStr">
        <is>
          <t>TRESEMMÉ</t>
        </is>
      </c>
      <c r="F2319" t="n">
        <v>131.35</v>
      </c>
      <c r="G2319" t="n">
        <v>10855</v>
      </c>
      <c r="H2319" t="b">
        <v>0</v>
      </c>
      <c r="I2319" t="inlineStr"/>
      <c r="J2319" t="inlineStr"/>
      <c r="K2319" t="inlineStr">
        <is>
          <t>&gt; Perfumería &gt; Cuidado Capilar &gt; Shampoo &gt;</t>
        </is>
      </c>
      <c r="L2319" t="inlineStr">
        <is>
          <t>shampoo</t>
        </is>
      </c>
      <c r="M2319" t="inlineStr">
        <is>
          <t>estandar</t>
        </is>
      </c>
      <c r="N2319" t="inlineStr">
        <is>
          <t>general</t>
        </is>
      </c>
      <c r="O2319" t="inlineStr">
        <is>
          <t>https://www.jumbo.com.ar/shampoo-tresemme-17/p</t>
        </is>
      </c>
    </row>
    <row r="2320">
      <c r="A2320" s="2" t="inlineStr">
        <is>
          <t>Jumbo</t>
        </is>
      </c>
      <c r="B2320" s="2" t="n">
        <v>32269</v>
      </c>
      <c r="C2320" s="2" t="n">
        <v>29428</v>
      </c>
      <c r="D2320" s="2" t="inlineStr">
        <is>
          <t>Acondicionador Tresemme Liso Y Sedoso 400 Ml</t>
        </is>
      </c>
      <c r="E2320" s="2" t="inlineStr">
        <is>
          <t>TRESEMMÉ</t>
        </is>
      </c>
      <c r="F2320" s="2" t="n">
        <v>77.69</v>
      </c>
      <c r="G2320" s="2" t="n">
        <v>6421</v>
      </c>
      <c r="H2320" s="2" t="b">
        <v>0</v>
      </c>
      <c r="I2320" s="2" t="n">
        <v>400</v>
      </c>
      <c r="J2320" s="2" t="n">
        <v>0.1942</v>
      </c>
      <c r="K2320" s="2" t="inlineStr">
        <is>
          <t>&gt; Perfumería &gt; Cuidado Capilar &gt; Acondicionador &gt;</t>
        </is>
      </c>
      <c r="L2320" s="2" t="inlineStr">
        <is>
          <t>acondicionador</t>
        </is>
      </c>
      <c r="M2320" s="2" t="inlineStr">
        <is>
          <t>estandar</t>
        </is>
      </c>
      <c r="N2320" s="2" t="inlineStr">
        <is>
          <t>general</t>
        </is>
      </c>
      <c r="O2320" s="2" t="inlineStr">
        <is>
          <t>https://www.jumbo.com.ar/acondicionador-tresemme-22/p</t>
        </is>
      </c>
    </row>
    <row r="2321">
      <c r="A2321" t="inlineStr">
        <is>
          <t>Jumbo</t>
        </is>
      </c>
      <c r="B2321" t="n">
        <v>32148</v>
      </c>
      <c r="C2321" t="n">
        <v>29307</v>
      </c>
      <c r="D2321" t="inlineStr">
        <is>
          <t>Shampoo Tresemme Liso Y Sedoso 750 Ml</t>
        </is>
      </c>
      <c r="E2321" t="inlineStr">
        <is>
          <t>TRESEMMÉ</t>
        </is>
      </c>
      <c r="F2321" t="n">
        <v>131.35</v>
      </c>
      <c r="G2321" t="n">
        <v>10855</v>
      </c>
      <c r="H2321" t="b">
        <v>0</v>
      </c>
      <c r="I2321" t="n">
        <v>750</v>
      </c>
      <c r="J2321" t="n">
        <v>0.1751</v>
      </c>
      <c r="K2321" t="inlineStr">
        <is>
          <t>&gt; Perfumería &gt; Cuidado Capilar &gt; Shampoo &gt;</t>
        </is>
      </c>
      <c r="L2321" t="inlineStr">
        <is>
          <t>shampoo</t>
        </is>
      </c>
      <c r="M2321" t="inlineStr">
        <is>
          <t>estandar</t>
        </is>
      </c>
      <c r="N2321" t="inlineStr">
        <is>
          <t>general</t>
        </is>
      </c>
      <c r="O2321" t="inlineStr">
        <is>
          <t>https://www.jumbo.com.ar/shampoo-tresemme-16/p</t>
        </is>
      </c>
    </row>
    <row r="2322">
      <c r="A2322" s="2" t="inlineStr">
        <is>
          <t>Jumbo</t>
        </is>
      </c>
      <c r="B2322" s="2" t="n">
        <v>32078</v>
      </c>
      <c r="C2322" s="2" t="n">
        <v>29237</v>
      </c>
      <c r="D2322" s="2" t="inlineStr">
        <is>
          <t>Acondicionador Tresemme Rizos Perfectos 400 Ml</t>
        </is>
      </c>
      <c r="E2322" s="2" t="inlineStr">
        <is>
          <t>TRESEMMÉ</t>
        </is>
      </c>
      <c r="F2322" s="2" t="n">
        <v>77.69</v>
      </c>
      <c r="G2322" s="2" t="n">
        <v>6421</v>
      </c>
      <c r="H2322" s="2" t="b">
        <v>0</v>
      </c>
      <c r="I2322" s="2" t="n">
        <v>400</v>
      </c>
      <c r="J2322" s="2" t="n">
        <v>0.1942</v>
      </c>
      <c r="K2322" s="2" t="inlineStr">
        <is>
          <t>&gt; Perfumería &gt; Cuidado Capilar &gt; Acondicionador &gt;</t>
        </is>
      </c>
      <c r="L2322" s="2" t="inlineStr">
        <is>
          <t>acondicionador</t>
        </is>
      </c>
      <c r="M2322" s="2" t="inlineStr">
        <is>
          <t>estandar</t>
        </is>
      </c>
      <c r="N2322" s="2" t="inlineStr">
        <is>
          <t>rizado</t>
        </is>
      </c>
      <c r="O2322" s="2" t="inlineStr">
        <is>
          <t>https://www.jumbo.com.ar/acondicionador-tresemme-20/p</t>
        </is>
      </c>
    </row>
    <row r="2323">
      <c r="A2323" t="inlineStr">
        <is>
          <t>Jumbo</t>
        </is>
      </c>
      <c r="B2323" t="n">
        <v>32046</v>
      </c>
      <c r="C2323" t="n">
        <v>29205</v>
      </c>
      <c r="D2323" t="inlineStr">
        <is>
          <t>Acondicionador Tresemme 750 Ml</t>
        </is>
      </c>
      <c r="E2323" t="inlineStr">
        <is>
          <t>TRESEMMÉ</t>
        </is>
      </c>
      <c r="F2323" t="n">
        <v>538.59</v>
      </c>
      <c r="G2323" t="n">
        <v>44512</v>
      </c>
      <c r="H2323" t="b">
        <v>0</v>
      </c>
      <c r="I2323" t="n">
        <v>750</v>
      </c>
      <c r="J2323" t="n">
        <v>0.7181</v>
      </c>
      <c r="K2323" t="inlineStr">
        <is>
          <t>&gt; Perfumería &gt; Cuidado Capilar &gt; Acondicionador &gt;</t>
        </is>
      </c>
      <c r="L2323" t="inlineStr">
        <is>
          <t>acondicionador</t>
        </is>
      </c>
      <c r="M2323" t="inlineStr">
        <is>
          <t>estandar</t>
        </is>
      </c>
      <c r="N2323" t="inlineStr">
        <is>
          <t>general</t>
        </is>
      </c>
      <c r="O2323" t="inlineStr">
        <is>
          <t>https://www.jumbo.com.ar/acondicionador-tresemme-19/p</t>
        </is>
      </c>
    </row>
    <row r="2324">
      <c r="A2324" s="2" t="inlineStr">
        <is>
          <t>Jumbo</t>
        </is>
      </c>
      <c r="B2324" s="2" t="n">
        <v>32041</v>
      </c>
      <c r="C2324" s="2" t="n">
        <v>29200</v>
      </c>
      <c r="D2324" s="2" t="inlineStr">
        <is>
          <t>Shampoo Tresemme Puntas Perfectas 400 Ml</t>
        </is>
      </c>
      <c r="E2324" s="2" t="inlineStr">
        <is>
          <t>TRESEMMÉ</t>
        </is>
      </c>
      <c r="F2324" s="2" t="n">
        <v>77.69</v>
      </c>
      <c r="G2324" s="2" t="n">
        <v>6421</v>
      </c>
      <c r="H2324" s="2" t="b">
        <v>0</v>
      </c>
      <c r="I2324" s="2" t="n">
        <v>400</v>
      </c>
      <c r="J2324" s="2" t="n">
        <v>0.1942</v>
      </c>
      <c r="K2324" s="2" t="inlineStr">
        <is>
          <t>&gt; Perfumería &gt; Cuidado Capilar &gt; Shampoo &gt;</t>
        </is>
      </c>
      <c r="L2324" s="2" t="inlineStr">
        <is>
          <t>shampoo</t>
        </is>
      </c>
      <c r="M2324" s="2" t="inlineStr">
        <is>
          <t>estandar</t>
        </is>
      </c>
      <c r="N2324" s="2" t="inlineStr">
        <is>
          <t>general</t>
        </is>
      </c>
      <c r="O2324" s="2" t="inlineStr">
        <is>
          <t>https://www.jumbo.com.ar/shampoo-tresemme-15/p</t>
        </is>
      </c>
    </row>
    <row r="2325">
      <c r="A2325" t="inlineStr">
        <is>
          <t>Jumbo</t>
        </is>
      </c>
      <c r="B2325" t="n">
        <v>32036</v>
      </c>
      <c r="C2325" t="n">
        <v>29195</v>
      </c>
      <c r="D2325" t="inlineStr">
        <is>
          <t>Shampoo Tresemme Rituales De Reparación 400 Ml</t>
        </is>
      </c>
      <c r="E2325" t="inlineStr">
        <is>
          <t>TRESEMMÉ</t>
        </is>
      </c>
      <c r="F2325" t="n">
        <v>77.69</v>
      </c>
      <c r="G2325" t="n">
        <v>6421</v>
      </c>
      <c r="H2325" t="b">
        <v>0</v>
      </c>
      <c r="I2325" t="n">
        <v>400</v>
      </c>
      <c r="J2325" t="n">
        <v>0.1942</v>
      </c>
      <c r="K2325" t="inlineStr">
        <is>
          <t>&gt; Perfumería &gt; Cuidado Capilar &gt; Shampoo &gt;</t>
        </is>
      </c>
      <c r="L2325" t="inlineStr">
        <is>
          <t>shampoo</t>
        </is>
      </c>
      <c r="M2325" t="inlineStr">
        <is>
          <t>estandar</t>
        </is>
      </c>
      <c r="N2325" t="inlineStr">
        <is>
          <t>general</t>
        </is>
      </c>
      <c r="O2325" t="inlineStr">
        <is>
          <t>https://www.jumbo.com.ar/shampoo-tresemme-14/p</t>
        </is>
      </c>
    </row>
    <row r="2326">
      <c r="A2326" s="2" t="inlineStr">
        <is>
          <t>Jumbo</t>
        </is>
      </c>
      <c r="B2326" s="2" t="n">
        <v>32028</v>
      </c>
      <c r="C2326" s="2" t="n">
        <v>29187</v>
      </c>
      <c r="D2326" s="2" t="inlineStr">
        <is>
          <t>Acondicionador Tresemme Rituales De Reparación 750 Ml</t>
        </is>
      </c>
      <c r="E2326" s="2" t="inlineStr">
        <is>
          <t>TRESEMMÉ</t>
        </is>
      </c>
      <c r="F2326" s="2" t="n">
        <v>538.59</v>
      </c>
      <c r="G2326" s="2" t="n">
        <v>44512</v>
      </c>
      <c r="H2326" s="2" t="b">
        <v>0</v>
      </c>
      <c r="I2326" s="2" t="n">
        <v>750</v>
      </c>
      <c r="J2326" s="2" t="n">
        <v>0.7181</v>
      </c>
      <c r="K2326" s="2" t="inlineStr">
        <is>
          <t>&gt; Perfumería &gt; Cuidado Capilar &gt; Acondicionador &gt;</t>
        </is>
      </c>
      <c r="L2326" s="2" t="inlineStr">
        <is>
          <t>acondicionador</t>
        </is>
      </c>
      <c r="M2326" s="2" t="inlineStr">
        <is>
          <t>estandar</t>
        </is>
      </c>
      <c r="N2326" s="2" t="inlineStr">
        <is>
          <t>general</t>
        </is>
      </c>
      <c r="O2326" s="2" t="inlineStr">
        <is>
          <t>https://www.jumbo.com.ar/acondicionador-tresemme-18/p</t>
        </is>
      </c>
    </row>
    <row r="2327">
      <c r="A2327" t="inlineStr">
        <is>
          <t>Jumbo</t>
        </is>
      </c>
      <c r="B2327" t="n">
        <v>32013</v>
      </c>
      <c r="C2327" t="n">
        <v>29172</v>
      </c>
      <c r="D2327" t="inlineStr">
        <is>
          <t>Acondicionador Tresemme Limpieza Profunda 400 Ml</t>
        </is>
      </c>
      <c r="E2327" t="inlineStr">
        <is>
          <t>TRESEMMÉ</t>
        </is>
      </c>
      <c r="F2327" t="n">
        <v>77.69</v>
      </c>
      <c r="G2327" t="n">
        <v>6421</v>
      </c>
      <c r="H2327" t="b">
        <v>0</v>
      </c>
      <c r="I2327" t="n">
        <v>400</v>
      </c>
      <c r="J2327" t="n">
        <v>0.1942</v>
      </c>
      <c r="K2327" t="inlineStr">
        <is>
          <t>&gt; Perfumería &gt; Cuidado Capilar &gt; Acondicionador &gt;</t>
        </is>
      </c>
      <c r="L2327" t="inlineStr">
        <is>
          <t>acondicionador</t>
        </is>
      </c>
      <c r="M2327" t="inlineStr">
        <is>
          <t>estandar</t>
        </is>
      </c>
      <c r="N2327" t="inlineStr">
        <is>
          <t>general</t>
        </is>
      </c>
      <c r="O2327" t="inlineStr">
        <is>
          <t>https://www.jumbo.com.ar/acondicionador-tresemme-17/p</t>
        </is>
      </c>
    </row>
    <row r="2328">
      <c r="A2328" s="2" t="inlineStr">
        <is>
          <t>Jumbo</t>
        </is>
      </c>
      <c r="B2328" s="2" t="n">
        <v>31929</v>
      </c>
      <c r="C2328" s="2" t="n">
        <v>29088</v>
      </c>
      <c r="D2328" s="2" t="inlineStr">
        <is>
          <t>Acondicionador Tresemme Liso Y Sedoso 750 Ml</t>
        </is>
      </c>
      <c r="E2328" s="2" t="inlineStr">
        <is>
          <t>TRESEMMÉ</t>
        </is>
      </c>
      <c r="F2328" s="2" t="n">
        <v>538.59</v>
      </c>
      <c r="G2328" s="2" t="n">
        <v>44512</v>
      </c>
      <c r="H2328" s="2" t="b">
        <v>0</v>
      </c>
      <c r="I2328" s="2" t="n">
        <v>750</v>
      </c>
      <c r="J2328" s="2" t="n">
        <v>0.7181</v>
      </c>
      <c r="K2328" s="2" t="inlineStr">
        <is>
          <t>&gt; Perfumería &gt; Cuidado Capilar &gt; Acondicionador &gt;</t>
        </is>
      </c>
      <c r="L2328" s="2" t="inlineStr">
        <is>
          <t>acondicionador</t>
        </is>
      </c>
      <c r="M2328" s="2" t="inlineStr">
        <is>
          <t>estandar</t>
        </is>
      </c>
      <c r="N2328" s="2" t="inlineStr">
        <is>
          <t>general</t>
        </is>
      </c>
      <c r="O2328" s="2" t="inlineStr">
        <is>
          <t>https://www.jumbo.com.ar/acondicionador-tresemme-15/p</t>
        </is>
      </c>
    </row>
    <row r="2329">
      <c r="A2329" t="inlineStr">
        <is>
          <t>Jumbo</t>
        </is>
      </c>
      <c r="B2329" t="n">
        <v>31925</v>
      </c>
      <c r="C2329" t="n">
        <v>29084</v>
      </c>
      <c r="D2329" t="inlineStr">
        <is>
          <t>Acondicionador Tresemme Control Caída 750 Ml</t>
        </is>
      </c>
      <c r="E2329" t="inlineStr">
        <is>
          <t>TRESEMMÉ</t>
        </is>
      </c>
      <c r="F2329" t="n">
        <v>131.35</v>
      </c>
      <c r="G2329" t="n">
        <v>10855</v>
      </c>
      <c r="H2329" t="b">
        <v>0</v>
      </c>
      <c r="I2329" t="n">
        <v>750</v>
      </c>
      <c r="J2329" t="n">
        <v>0.1751</v>
      </c>
      <c r="K2329" t="inlineStr">
        <is>
          <t>&gt; Perfumería &gt; Cuidado Capilar &gt; Acondicionador &gt;</t>
        </is>
      </c>
      <c r="L2329" t="inlineStr">
        <is>
          <t>acondicionador</t>
        </is>
      </c>
      <c r="M2329" t="inlineStr">
        <is>
          <t>estandar</t>
        </is>
      </c>
      <c r="N2329" t="inlineStr">
        <is>
          <t>general</t>
        </is>
      </c>
      <c r="O2329" t="inlineStr">
        <is>
          <t>https://www.jumbo.com.ar/acondicionador-tresemme-14/p</t>
        </is>
      </c>
    </row>
    <row r="2330">
      <c r="A2330" s="2" t="inlineStr">
        <is>
          <t>Jumbo</t>
        </is>
      </c>
      <c r="B2330" s="2" t="n">
        <v>31923</v>
      </c>
      <c r="C2330" s="2" t="n">
        <v>29082</v>
      </c>
      <c r="D2330" s="2" t="inlineStr">
        <is>
          <t>Shampoo Tresemme Puntas Perfectas 750 Ml</t>
        </is>
      </c>
      <c r="E2330" s="2" t="inlineStr">
        <is>
          <t>TRESEMMÉ</t>
        </is>
      </c>
      <c r="F2330" s="2" t="n">
        <v>447.75</v>
      </c>
      <c r="G2330" s="2" t="n">
        <v>37004</v>
      </c>
      <c r="H2330" s="2" t="b">
        <v>0</v>
      </c>
      <c r="I2330" s="2" t="n">
        <v>750</v>
      </c>
      <c r="J2330" s="2" t="n">
        <v>0.597</v>
      </c>
      <c r="K2330" s="2" t="inlineStr">
        <is>
          <t>&gt; Perfumería &gt; Cuidado Capilar &gt; Shampoo &gt;</t>
        </is>
      </c>
      <c r="L2330" s="2" t="inlineStr">
        <is>
          <t>shampoo</t>
        </is>
      </c>
      <c r="M2330" s="2" t="inlineStr">
        <is>
          <t>estandar</t>
        </is>
      </c>
      <c r="N2330" s="2" t="inlineStr">
        <is>
          <t>general</t>
        </is>
      </c>
      <c r="O2330" s="2" t="inlineStr">
        <is>
          <t>https://www.jumbo.com.ar/shampoo-tresemme-13/p</t>
        </is>
      </c>
    </row>
    <row r="2331">
      <c r="A2331" t="inlineStr">
        <is>
          <t>Jumbo</t>
        </is>
      </c>
      <c r="B2331" t="n">
        <v>31867</v>
      </c>
      <c r="C2331" t="n">
        <v>29026</v>
      </c>
      <c r="D2331" t="inlineStr">
        <is>
          <t>Shampoo Tresemme Rituales De Reparación 750 Ml</t>
        </is>
      </c>
      <c r="E2331" t="inlineStr">
        <is>
          <t>TRESEMMÉ</t>
        </is>
      </c>
      <c r="F2331" t="n">
        <v>447.75</v>
      </c>
      <c r="G2331" t="n">
        <v>37004</v>
      </c>
      <c r="H2331" t="b">
        <v>0</v>
      </c>
      <c r="I2331" t="n">
        <v>750</v>
      </c>
      <c r="J2331" t="n">
        <v>0.597</v>
      </c>
      <c r="K2331" t="inlineStr">
        <is>
          <t>&gt; Perfumería &gt; Cuidado Capilar &gt; Shampoo &gt;</t>
        </is>
      </c>
      <c r="L2331" t="inlineStr">
        <is>
          <t>shampoo</t>
        </is>
      </c>
      <c r="M2331" t="inlineStr">
        <is>
          <t>estandar</t>
        </is>
      </c>
      <c r="N2331" t="inlineStr">
        <is>
          <t>general</t>
        </is>
      </c>
      <c r="O2331" t="inlineStr">
        <is>
          <t>https://www.jumbo.com.ar/shampoo-tresemme-12/p</t>
        </is>
      </c>
    </row>
    <row r="2332">
      <c r="A2332" s="2" t="inlineStr">
        <is>
          <t>Jumbo</t>
        </is>
      </c>
      <c r="B2332" s="2" t="n">
        <v>27876</v>
      </c>
      <c r="C2332" s="2" t="n">
        <v>25035</v>
      </c>
      <c r="D2332" s="2" t="inlineStr">
        <is>
          <t>Acondicionador Tresemmé Despeinado Perfecto Acondicionador Tresemme Despeinado Perfecto 750 Ml</t>
        </is>
      </c>
      <c r="E2332" s="2" t="inlineStr">
        <is>
          <t>TRESEMMÉ</t>
        </is>
      </c>
      <c r="F2332" s="2" t="n">
        <v>538.59</v>
      </c>
      <c r="G2332" s="2" t="n">
        <v>44512</v>
      </c>
      <c r="H2332" s="2" t="b">
        <v>0</v>
      </c>
      <c r="I2332" s="2" t="n">
        <v>750</v>
      </c>
      <c r="J2332" s="2" t="n">
        <v>0.7181</v>
      </c>
      <c r="K2332" s="2" t="inlineStr">
        <is>
          <t>&gt; Perfumería &gt; Cuidado Capilar &gt; Acondicionador &gt;</t>
        </is>
      </c>
      <c r="L2332" s="2" t="inlineStr">
        <is>
          <t>acondicionador</t>
        </is>
      </c>
      <c r="M2332" s="2" t="inlineStr">
        <is>
          <t>estandar</t>
        </is>
      </c>
      <c r="N2332" s="2" t="inlineStr">
        <is>
          <t>general</t>
        </is>
      </c>
      <c r="O2332" s="2" t="inlineStr">
        <is>
          <t>https://www.jumbo.com.ar/acondicionador-tresemme-despeinado-perfecto-2/p</t>
        </is>
      </c>
    </row>
    <row r="2333">
      <c r="A2333" t="inlineStr">
        <is>
          <t>Jumbo</t>
        </is>
      </c>
      <c r="B2333" t="n">
        <v>27696</v>
      </c>
      <c r="C2333" t="n">
        <v>24855</v>
      </c>
      <c r="D2333" t="inlineStr">
        <is>
          <t>Shampoo Tresemmé Despeinado Perfecto Shampoo Tresemme Despeinado Perfecto 750 Ml</t>
        </is>
      </c>
      <c r="E2333" t="inlineStr">
        <is>
          <t>TRESEMMÉ</t>
        </is>
      </c>
      <c r="F2333" t="n">
        <v>447.75</v>
      </c>
      <c r="G2333" t="n">
        <v>37004</v>
      </c>
      <c r="H2333" t="b">
        <v>0</v>
      </c>
      <c r="I2333" t="n">
        <v>750</v>
      </c>
      <c r="J2333" t="n">
        <v>0.597</v>
      </c>
      <c r="K2333" t="inlineStr">
        <is>
          <t>&gt; Perfumería &gt; Cuidado Capilar &gt; Shampoo &gt;</t>
        </is>
      </c>
      <c r="L2333" t="inlineStr">
        <is>
          <t>shampoo</t>
        </is>
      </c>
      <c r="M2333" t="inlineStr">
        <is>
          <t>estandar</t>
        </is>
      </c>
      <c r="N2333" t="inlineStr">
        <is>
          <t>general</t>
        </is>
      </c>
      <c r="O2333" t="inlineStr">
        <is>
          <t>https://www.jumbo.com.ar/shampoo-tresemme-despeinado-perfecto-2/p</t>
        </is>
      </c>
    </row>
    <row r="2334">
      <c r="A2334" s="2" t="inlineStr">
        <is>
          <t>Jumbo</t>
        </is>
      </c>
      <c r="B2334" s="2" t="n">
        <v>19534</v>
      </c>
      <c r="C2334" s="2" t="n">
        <v>16690</v>
      </c>
      <c r="D2334" s="2" t="inlineStr">
        <is>
          <t>Shampoo Tresemmé 750 Ml</t>
        </is>
      </c>
      <c r="E2334" s="2" t="inlineStr">
        <is>
          <t>TRESEMMÉ</t>
        </is>
      </c>
      <c r="F2334" s="2" t="n">
        <v>447.75</v>
      </c>
      <c r="G2334" s="2" t="n">
        <v>37004</v>
      </c>
      <c r="H2334" s="2" t="b">
        <v>0</v>
      </c>
      <c r="I2334" s="2" t="n">
        <v>750</v>
      </c>
      <c r="J2334" s="2" t="n">
        <v>0.597</v>
      </c>
      <c r="K2334" s="2" t="inlineStr">
        <is>
          <t>&gt; Perfumería &gt; Cuidado Capilar &gt; Shampoo &gt;</t>
        </is>
      </c>
      <c r="L2334" s="2" t="inlineStr">
        <is>
          <t>shampoo</t>
        </is>
      </c>
      <c r="M2334" s="2" t="inlineStr">
        <is>
          <t>estandar</t>
        </is>
      </c>
      <c r="N2334" s="2" t="inlineStr">
        <is>
          <t>general</t>
        </is>
      </c>
      <c r="O2334" s="2" t="inlineStr">
        <is>
          <t>https://www.jumbo.com.ar/shampoo-tresemme-750-ml/p</t>
        </is>
      </c>
    </row>
    <row r="2335">
      <c r="A2335" t="inlineStr">
        <is>
          <t>Jumbo</t>
        </is>
      </c>
      <c r="B2335" t="n">
        <v>19526</v>
      </c>
      <c r="C2335" t="n">
        <v>16681</v>
      </c>
      <c r="D2335" t="inlineStr">
        <is>
          <t>Acondicionador Tresemmé-pvc-ml.-400</t>
        </is>
      </c>
      <c r="E2335" t="inlineStr">
        <is>
          <t>TRESEMMÉ</t>
        </is>
      </c>
      <c r="F2335" t="n">
        <v>283.29</v>
      </c>
      <c r="G2335" t="n">
        <v>23412</v>
      </c>
      <c r="H2335" t="b">
        <v>0</v>
      </c>
      <c r="I2335" t="inlineStr"/>
      <c r="J2335" t="inlineStr"/>
      <c r="K2335" t="inlineStr">
        <is>
          <t>&gt; Perfumería &gt; Cuidado Capilar &gt; Acondicionador &gt;</t>
        </is>
      </c>
      <c r="L2335" t="inlineStr">
        <is>
          <t>acondicionador</t>
        </is>
      </c>
      <c r="M2335" t="inlineStr">
        <is>
          <t>estandar</t>
        </is>
      </c>
      <c r="N2335" t="inlineStr">
        <is>
          <t>general</t>
        </is>
      </c>
      <c r="O2335" t="inlineStr">
        <is>
          <t>https://www.jumbo.com.ar/acondicionador-tresemme-pvc-ml-400/p</t>
        </is>
      </c>
    </row>
    <row r="2336">
      <c r="A2336" s="2" t="inlineStr">
        <is>
          <t>Jumbo</t>
        </is>
      </c>
      <c r="B2336" s="2" t="n">
        <v>19524</v>
      </c>
      <c r="C2336" s="2" t="n">
        <v>16678</v>
      </c>
      <c r="D2336" s="2" t="inlineStr">
        <is>
          <t>Shampoo Tresemme Regeneración Tresplex 400 Ml</t>
        </is>
      </c>
      <c r="E2336" s="2" t="inlineStr">
        <is>
          <t>TRESEMMÉ</t>
        </is>
      </c>
      <c r="F2336" s="2" t="n">
        <v>433.69</v>
      </c>
      <c r="G2336" s="2" t="n">
        <v>35842</v>
      </c>
      <c r="H2336" s="2" t="b">
        <v>0</v>
      </c>
      <c r="I2336" s="2" t="n">
        <v>400</v>
      </c>
      <c r="J2336" s="2" t="n">
        <v>1.0842</v>
      </c>
      <c r="K2336" s="2" t="inlineStr">
        <is>
          <t>&gt; Perfumería &gt; Cuidado Capilar &gt; Shampoo &gt;</t>
        </is>
      </c>
      <c r="L2336" s="2" t="inlineStr">
        <is>
          <t>shampoo</t>
        </is>
      </c>
      <c r="M2336" s="2" t="inlineStr">
        <is>
          <t>estandar</t>
        </is>
      </c>
      <c r="N2336" s="2" t="inlineStr">
        <is>
          <t>general</t>
        </is>
      </c>
      <c r="O2336" s="2" t="inlineStr">
        <is>
          <t>https://www.jumbo.com.ar/shampoo-tresemme-regeneracion-tresplex-400-ml/p</t>
        </is>
      </c>
    </row>
    <row r="2337">
      <c r="A2337" t="inlineStr">
        <is>
          <t>Jumbo</t>
        </is>
      </c>
      <c r="B2337" t="n">
        <v>19514</v>
      </c>
      <c r="C2337" t="n">
        <v>16660</v>
      </c>
      <c r="D2337" t="inlineStr">
        <is>
          <t>Shampoo Tresemmé Detox Capilar X 200ml</t>
        </is>
      </c>
      <c r="E2337" t="inlineStr">
        <is>
          <t>TRESEMMÉ</t>
        </is>
      </c>
      <c r="F2337" t="n">
        <v>123.69</v>
      </c>
      <c r="G2337" t="n">
        <v>10222</v>
      </c>
      <c r="H2337" t="b">
        <v>0</v>
      </c>
      <c r="I2337" t="n">
        <v>200</v>
      </c>
      <c r="J2337" t="n">
        <v>0.6183999999999999</v>
      </c>
      <c r="K2337" t="inlineStr">
        <is>
          <t>&gt; Perfumería &gt; Cuidado Capilar &gt; Shampoo &gt;</t>
        </is>
      </c>
      <c r="L2337" t="inlineStr">
        <is>
          <t>shampoo</t>
        </is>
      </c>
      <c r="M2337" t="inlineStr">
        <is>
          <t>estandar</t>
        </is>
      </c>
      <c r="N2337" t="inlineStr">
        <is>
          <t>general</t>
        </is>
      </c>
      <c r="O2337" t="inlineStr">
        <is>
          <t>https://www.jumbo.com.ar/shampoo-tresemme-detox-capilar-x-200ml/p</t>
        </is>
      </c>
    </row>
    <row r="2338">
      <c r="A2338" s="2" t="inlineStr">
        <is>
          <t>Jumbo</t>
        </is>
      </c>
      <c r="B2338" s="2" t="n">
        <v>19511</v>
      </c>
      <c r="C2338" s="2" t="n">
        <v>16657</v>
      </c>
      <c r="D2338" s="2" t="inlineStr">
        <is>
          <t>Shampoo Tresemme Keratin Smooth 200 Ml</t>
        </is>
      </c>
      <c r="E2338" s="2" t="inlineStr">
        <is>
          <t>TRESEMMÉ</t>
        </is>
      </c>
      <c r="F2338" s="2" t="n">
        <v>123.69</v>
      </c>
      <c r="G2338" s="2" t="n">
        <v>10222</v>
      </c>
      <c r="H2338" s="2" t="b">
        <v>0</v>
      </c>
      <c r="I2338" s="2" t="n">
        <v>200</v>
      </c>
      <c r="J2338" s="2" t="n">
        <v>0.6183999999999999</v>
      </c>
      <c r="K2338" s="2" t="inlineStr">
        <is>
          <t>&gt; Perfumería &gt; Cuidado Capilar &gt; Shampoo &gt;</t>
        </is>
      </c>
      <c r="L2338" s="2" t="inlineStr">
        <is>
          <t>shampoo</t>
        </is>
      </c>
      <c r="M2338" s="2" t="inlineStr">
        <is>
          <t>estandar</t>
        </is>
      </c>
      <c r="N2338" s="2" t="inlineStr">
        <is>
          <t>general</t>
        </is>
      </c>
      <c r="O2338" s="2" t="inlineStr">
        <is>
          <t>https://www.jumbo.com.ar/shampoo-tresemme-keratin-smooth-200-ml/p</t>
        </is>
      </c>
    </row>
    <row r="2339">
      <c r="A2339" t="inlineStr">
        <is>
          <t>Jumbo</t>
        </is>
      </c>
      <c r="B2339" t="n">
        <v>5331</v>
      </c>
      <c r="C2339" t="n">
        <v>2827</v>
      </c>
      <c r="D2339" t="inlineStr">
        <is>
          <t>Shampoo Tresemmé-pvc-mi-400</t>
        </is>
      </c>
      <c r="E2339" t="inlineStr">
        <is>
          <t>TRESEMMÉ</t>
        </is>
      </c>
      <c r="F2339" t="n">
        <v>283.29</v>
      </c>
      <c r="G2339" t="n">
        <v>23412</v>
      </c>
      <c r="H2339" t="b">
        <v>0</v>
      </c>
      <c r="I2339" t="inlineStr"/>
      <c r="J2339" t="inlineStr"/>
      <c r="K2339" t="inlineStr">
        <is>
          <t>&gt; Perfumería &gt; Cuidado Capilar &gt; Shampoo &gt;</t>
        </is>
      </c>
      <c r="L2339" t="inlineStr">
        <is>
          <t>shampoo</t>
        </is>
      </c>
      <c r="M2339" t="inlineStr">
        <is>
          <t>estandar</t>
        </is>
      </c>
      <c r="N2339" t="inlineStr">
        <is>
          <t>general</t>
        </is>
      </c>
      <c r="O2339" t="inlineStr">
        <is>
          <t>https://www.jumbo.com.ar/shampoo-tresemme-pvc-mi-400/p</t>
        </is>
      </c>
    </row>
    <row r="2340">
      <c r="A2340" s="2" t="inlineStr">
        <is>
          <t>Jumbo</t>
        </is>
      </c>
      <c r="B2340" s="2" t="n">
        <v>4079</v>
      </c>
      <c r="C2340" s="2" t="n">
        <v>16673</v>
      </c>
      <c r="D2340" s="2" t="inlineStr">
        <is>
          <t>Shampoo Tresemme Oil Radiante 400 Ml</t>
        </is>
      </c>
      <c r="E2340" s="2" t="inlineStr">
        <is>
          <t>TRESEMMÉ</t>
        </is>
      </c>
      <c r="F2340" s="2" t="n">
        <v>283.29</v>
      </c>
      <c r="G2340" s="2" t="n">
        <v>23412</v>
      </c>
      <c r="H2340" s="2" t="b">
        <v>0</v>
      </c>
      <c r="I2340" s="2" t="n">
        <v>400</v>
      </c>
      <c r="J2340" s="2" t="n">
        <v>0.7082000000000001</v>
      </c>
      <c r="K2340" s="2" t="inlineStr">
        <is>
          <t>&gt; Perfumería &gt; Cuidado Capilar &gt; Shampoo &gt;</t>
        </is>
      </c>
      <c r="L2340" s="2" t="inlineStr">
        <is>
          <t>shampoo</t>
        </is>
      </c>
      <c r="M2340" s="2" t="inlineStr">
        <is>
          <t>estandar</t>
        </is>
      </c>
      <c r="N2340" s="2" t="inlineStr">
        <is>
          <t>general</t>
        </is>
      </c>
      <c r="O2340" s="2" t="inlineStr">
        <is>
          <t>https://www.jumbo.com.ar/shampoo-tresemme-oil-radiante-400-ml/p</t>
        </is>
      </c>
    </row>
    <row r="2341">
      <c r="A2341" t="inlineStr">
        <is>
          <t>Jumbo</t>
        </is>
      </c>
      <c r="B2341" t="n">
        <v>4072</v>
      </c>
      <c r="C2341" t="n">
        <v>16679</v>
      </c>
      <c r="D2341" t="inlineStr">
        <is>
          <t>Acondicionador Tresemme Oil Radiante 400 Ml</t>
        </is>
      </c>
      <c r="E2341" t="inlineStr">
        <is>
          <t>TRESEMMÉ</t>
        </is>
      </c>
      <c r="F2341" t="n">
        <v>283.29</v>
      </c>
      <c r="G2341" t="n">
        <v>23412</v>
      </c>
      <c r="H2341" t="b">
        <v>0</v>
      </c>
      <c r="I2341" t="n">
        <v>400</v>
      </c>
      <c r="J2341" t="n">
        <v>0.7082000000000001</v>
      </c>
      <c r="K2341" t="inlineStr">
        <is>
          <t>&gt; Perfumería &gt; Cuidado Capilar &gt; Acondicionador &gt;</t>
        </is>
      </c>
      <c r="L2341" t="inlineStr">
        <is>
          <t>acondicionador</t>
        </is>
      </c>
      <c r="M2341" t="inlineStr">
        <is>
          <t>estandar</t>
        </is>
      </c>
      <c r="N2341" t="inlineStr">
        <is>
          <t>general</t>
        </is>
      </c>
      <c r="O2341" t="inlineStr">
        <is>
          <t>https://www.jumbo.com.ar/acondicionador-tresemme-oil-radiante-400-ml/p</t>
        </is>
      </c>
    </row>
    <row r="2342">
      <c r="A2342" s="2" t="inlineStr">
        <is>
          <t>Jumbo</t>
        </is>
      </c>
      <c r="B2342" s="2" t="n">
        <v>4063</v>
      </c>
      <c r="C2342" s="2" t="n">
        <v>16694</v>
      </c>
      <c r="D2342" s="2" t="inlineStr">
        <is>
          <t>Acondicionador Tresemme Oil Radiante 750 Ml</t>
        </is>
      </c>
      <c r="E2342" s="2" t="inlineStr">
        <is>
          <t>TRESEMMÉ</t>
        </is>
      </c>
      <c r="F2342" s="2" t="n">
        <v>538.59</v>
      </c>
      <c r="G2342" s="2" t="n">
        <v>44512</v>
      </c>
      <c r="H2342" s="2" t="b">
        <v>0</v>
      </c>
      <c r="I2342" s="2" t="n">
        <v>750</v>
      </c>
      <c r="J2342" s="2" t="n">
        <v>0.7181</v>
      </c>
      <c r="K2342" s="2" t="inlineStr">
        <is>
          <t>&gt; Perfumería &gt; Cuidado Capilar &gt; Acondicionador &gt;</t>
        </is>
      </c>
      <c r="L2342" s="2" t="inlineStr">
        <is>
          <t>acondicionador</t>
        </is>
      </c>
      <c r="M2342" s="2" t="inlineStr">
        <is>
          <t>estandar</t>
        </is>
      </c>
      <c r="N2342" s="2" t="inlineStr">
        <is>
          <t>general</t>
        </is>
      </c>
      <c r="O2342" s="2" t="inlineStr">
        <is>
          <t>https://www.jumbo.com.ar/acondicionador-tresemme-oil-radiante-750-ml/p</t>
        </is>
      </c>
    </row>
    <row r="2343">
      <c r="A2343" t="inlineStr">
        <is>
          <t>Jumbo</t>
        </is>
      </c>
      <c r="B2343" t="n">
        <v>4058</v>
      </c>
      <c r="C2343" t="n">
        <v>16689</v>
      </c>
      <c r="D2343" t="inlineStr">
        <is>
          <t>Shampoo Tresemme Oil Radiante 750 Ml</t>
        </is>
      </c>
      <c r="E2343" t="inlineStr">
        <is>
          <t>TRESEMMÉ</t>
        </is>
      </c>
      <c r="F2343" t="n">
        <v>447.75</v>
      </c>
      <c r="G2343" t="n">
        <v>37004</v>
      </c>
      <c r="H2343" t="b">
        <v>0</v>
      </c>
      <c r="I2343" t="n">
        <v>750</v>
      </c>
      <c r="J2343" t="n">
        <v>0.597</v>
      </c>
      <c r="K2343" t="inlineStr">
        <is>
          <t>&gt; Perfumería &gt; Cuidado Capilar &gt; Shampoo &gt;</t>
        </is>
      </c>
      <c r="L2343" t="inlineStr">
        <is>
          <t>shampoo</t>
        </is>
      </c>
      <c r="M2343" t="inlineStr">
        <is>
          <t>estandar</t>
        </is>
      </c>
      <c r="N2343" t="inlineStr">
        <is>
          <t>general</t>
        </is>
      </c>
      <c r="O2343" t="inlineStr">
        <is>
          <t>https://www.jumbo.com.ar/shampoo-tresemme-oil-radiante-750-ml/p</t>
        </is>
      </c>
    </row>
    <row r="2344">
      <c r="A2344" s="2" t="inlineStr">
        <is>
          <t>Jumbo</t>
        </is>
      </c>
      <c r="B2344" s="2" t="n">
        <v>3899</v>
      </c>
      <c r="C2344" s="2" t="n">
        <v>248611</v>
      </c>
      <c r="D2344" s="2" t="inlineStr">
        <is>
          <t>Crema Para Peinar Tresemmé-rizos Perfectos-pet-ml.-200</t>
        </is>
      </c>
      <c r="E2344" s="2" t="inlineStr">
        <is>
          <t>TRESEMMÉ</t>
        </is>
      </c>
      <c r="F2344" s="2" t="n">
        <v>81.17</v>
      </c>
      <c r="G2344" s="2" t="n">
        <v>6708</v>
      </c>
      <c r="H2344" s="2" t="b">
        <v>0</v>
      </c>
      <c r="I2344" s="2" t="inlineStr"/>
      <c r="J2344" s="2" t="inlineStr"/>
      <c r="K2344" s="2" t="inlineStr">
        <is>
          <t>&gt; Perfumería &gt; Cuidado Capilar &gt; Reparación y Tratamientos &gt;</t>
        </is>
      </c>
      <c r="L2344" s="2" t="inlineStr">
        <is>
          <t>shampoo</t>
        </is>
      </c>
      <c r="M2344" s="2" t="inlineStr">
        <is>
          <t>estandar</t>
        </is>
      </c>
      <c r="N2344" s="2" t="inlineStr">
        <is>
          <t>rizado</t>
        </is>
      </c>
      <c r="O2344" s="2" t="inlineStr">
        <is>
          <t>https://www.jumbo.com.ar/crema-para-peinar-tresemme-3/p</t>
        </is>
      </c>
    </row>
    <row r="2345">
      <c r="A2345" t="inlineStr">
        <is>
          <t>Jumbo</t>
        </is>
      </c>
      <c r="B2345" t="n">
        <v>3079028</v>
      </c>
      <c r="C2345" t="n">
        <v>3078352</v>
      </c>
      <c r="D2345" t="inlineStr">
        <is>
          <t>Tratamiento Herbal Essences Grapefruit 300ml</t>
        </is>
      </c>
      <c r="E2345" t="inlineStr">
        <is>
          <t>HERBAL ESSENCES</t>
        </is>
      </c>
      <c r="F2345" t="n">
        <v>15300</v>
      </c>
      <c r="G2345" t="n">
        <v>1264463</v>
      </c>
      <c r="H2345" t="b">
        <v>1</v>
      </c>
      <c r="I2345" t="n">
        <v>300</v>
      </c>
      <c r="J2345" t="n">
        <v>51</v>
      </c>
      <c r="K2345" t="inlineStr">
        <is>
          <t>&gt; Perfumería &gt; Cuidado Capilar &gt; Reparación y Tratamientos &gt;</t>
        </is>
      </c>
      <c r="L2345" t="inlineStr">
        <is>
          <t>tratamiento</t>
        </is>
      </c>
      <c r="M2345" t="inlineStr">
        <is>
          <t>estandar</t>
        </is>
      </c>
      <c r="N2345" t="inlineStr">
        <is>
          <t>general</t>
        </is>
      </c>
      <c r="O2345" t="inlineStr">
        <is>
          <t>https://www.jumbo.com.ar/tratamiento-herbal-essences-grapefruit-300ml/p</t>
        </is>
      </c>
    </row>
    <row r="2346">
      <c r="A2346" s="2" t="inlineStr">
        <is>
          <t>Jumbo</t>
        </is>
      </c>
      <c r="B2346" s="2" t="n">
        <v>312179</v>
      </c>
      <c r="C2346" s="2" t="n">
        <v>311417</v>
      </c>
      <c r="D2346" s="2" t="inlineStr">
        <is>
          <t>Mascarilla Intensiva Herbal Essences Argan Oil Morocco 300 Ml</t>
        </is>
      </c>
      <c r="E2346" s="2" t="inlineStr">
        <is>
          <t>HERBAL ESSENCES</t>
        </is>
      </c>
      <c r="F2346" s="2" t="n">
        <v>17300</v>
      </c>
      <c r="G2346" s="2" t="n">
        <v>1429752</v>
      </c>
      <c r="H2346" s="2" t="b">
        <v>1</v>
      </c>
      <c r="I2346" s="2" t="n">
        <v>300</v>
      </c>
      <c r="J2346" s="2" t="n">
        <v>57.6667</v>
      </c>
      <c r="K2346" s="2" t="inlineStr">
        <is>
          <t>&gt; Perfumería &gt; Cuidado Capilar &gt; Reparación y Tratamientos &gt;</t>
        </is>
      </c>
      <c r="L2346" s="2" t="inlineStr">
        <is>
          <t>tratamiento</t>
        </is>
      </c>
      <c r="M2346" s="2" t="inlineStr">
        <is>
          <t>estandar</t>
        </is>
      </c>
      <c r="N2346" s="2" t="inlineStr">
        <is>
          <t>general</t>
        </is>
      </c>
      <c r="O2346" s="2" t="inlineStr">
        <is>
          <t>https://www.jumbo.com.ar/mascarilla-intensiva-herbal-essences-argan-oil-morocco-300-ml/p</t>
        </is>
      </c>
    </row>
    <row r="2347">
      <c r="A2347" t="inlineStr">
        <is>
          <t>Jumbo</t>
        </is>
      </c>
      <c r="B2347" t="n">
        <v>3085751</v>
      </c>
      <c r="C2347" t="n">
        <v>3084979</v>
      </c>
      <c r="D2347" t="inlineStr">
        <is>
          <t>Tratamieto Capilar Perfume Duradero X 90 Ml Herbal Essences</t>
        </is>
      </c>
      <c r="E2347" t="inlineStr">
        <is>
          <t>HERBAL ESSENCES</t>
        </is>
      </c>
      <c r="F2347" t="n">
        <v>26350</v>
      </c>
      <c r="G2347" t="n">
        <v>2177686</v>
      </c>
      <c r="H2347" t="b">
        <v>0</v>
      </c>
      <c r="I2347" t="n">
        <v>90</v>
      </c>
      <c r="J2347" t="n">
        <v>292.7778</v>
      </c>
      <c r="K2347" t="inlineStr">
        <is>
          <t>&gt; Perfumería &gt; Cuidado Capilar &gt; Reparación y Tratamientos &gt;</t>
        </is>
      </c>
      <c r="L2347" t="inlineStr">
        <is>
          <t>shampoo</t>
        </is>
      </c>
      <c r="M2347" t="inlineStr">
        <is>
          <t>estandar</t>
        </is>
      </c>
      <c r="N2347" t="inlineStr">
        <is>
          <t>general</t>
        </is>
      </c>
      <c r="O2347" t="inlineStr">
        <is>
          <t>https://www.jumbo.com.ar/tratamieto-capilar-perfume-duradero-x-90-ml-herbal-essences/p</t>
        </is>
      </c>
    </row>
    <row r="2348">
      <c r="A2348" s="2" t="inlineStr">
        <is>
          <t>Jumbo</t>
        </is>
      </c>
      <c r="B2348" s="2" t="n">
        <v>3085749</v>
      </c>
      <c r="C2348" s="2" t="n">
        <v>3084977</v>
      </c>
      <c r="D2348" s="2" t="inlineStr">
        <is>
          <t>Crema Para Peinar X 150 Ml Herbal Essences</t>
        </is>
      </c>
      <c r="E2348" s="2" t="inlineStr">
        <is>
          <t>HERBAL ESSENCES</t>
        </is>
      </c>
      <c r="F2348" s="2" t="n">
        <v>8200</v>
      </c>
      <c r="G2348" s="2" t="n">
        <v>677686</v>
      </c>
      <c r="H2348" s="2" t="b">
        <v>0</v>
      </c>
      <c r="I2348" s="2" t="n">
        <v>150</v>
      </c>
      <c r="J2348" s="2" t="n">
        <v>54.6667</v>
      </c>
      <c r="K2348" s="2" t="inlineStr">
        <is>
          <t>&gt; Perfumería &gt; Cuidado Capilar &gt; Reparación y Tratamientos &gt;</t>
        </is>
      </c>
      <c r="L2348" s="2" t="inlineStr">
        <is>
          <t>shampoo</t>
        </is>
      </c>
      <c r="M2348" s="2" t="inlineStr">
        <is>
          <t>estandar</t>
        </is>
      </c>
      <c r="N2348" s="2" t="inlineStr">
        <is>
          <t>general</t>
        </is>
      </c>
      <c r="O2348" s="2" t="inlineStr">
        <is>
          <t>https://www.jumbo.com.ar/crema-para-peinar-x-150-ml-herbal-essences/p</t>
        </is>
      </c>
    </row>
    <row r="2349">
      <c r="A2349" t="inlineStr">
        <is>
          <t>Jumbo</t>
        </is>
      </c>
      <c r="B2349" t="n">
        <v>3079975</v>
      </c>
      <c r="C2349" t="n">
        <v>3079299</v>
      </c>
      <c r="D2349" t="inlineStr">
        <is>
          <t>Shampoo Rosa Mosqueta 400 Ml Herbal Essences</t>
        </is>
      </c>
      <c r="E2349" t="inlineStr">
        <is>
          <t>HERBAL ESSENCES</t>
        </is>
      </c>
      <c r="F2349" t="n">
        <v>15700</v>
      </c>
      <c r="G2349" t="n">
        <v>1297521</v>
      </c>
      <c r="H2349" t="b">
        <v>0</v>
      </c>
      <c r="I2349" t="n">
        <v>400</v>
      </c>
      <c r="J2349" t="n">
        <v>39.25</v>
      </c>
      <c r="K2349" t="inlineStr">
        <is>
          <t>&gt; Perfumería &gt; Cuidado Capilar &gt; Shampoo &gt;</t>
        </is>
      </c>
      <c r="L2349" t="inlineStr">
        <is>
          <t>shampoo</t>
        </is>
      </c>
      <c r="M2349" t="inlineStr">
        <is>
          <t>estandar</t>
        </is>
      </c>
      <c r="N2349" t="inlineStr">
        <is>
          <t>general</t>
        </is>
      </c>
      <c r="O2349" t="inlineStr">
        <is>
          <t>https://www.jumbo.com.ar/shampoo-rosa-mosqueta-400ml-herbal-essences/p</t>
        </is>
      </c>
    </row>
    <row r="2350">
      <c r="A2350" s="2" t="inlineStr">
        <is>
          <t>Jumbo</t>
        </is>
      </c>
      <c r="B2350" s="2" t="n">
        <v>3079040</v>
      </c>
      <c r="C2350" s="2" t="n">
        <v>3078364</v>
      </c>
      <c r="D2350" s="2" t="inlineStr">
        <is>
          <t>Acondicionador Suavidad Rosa Mosqueta 400 Ml Herbal Essences</t>
        </is>
      </c>
      <c r="E2350" s="2" t="inlineStr">
        <is>
          <t>HERBAL ESSENCES</t>
        </is>
      </c>
      <c r="F2350" s="2" t="n">
        <v>15700</v>
      </c>
      <c r="G2350" s="2" t="n">
        <v>1297521</v>
      </c>
      <c r="H2350" s="2" t="b">
        <v>0</v>
      </c>
      <c r="I2350" s="2" t="n">
        <v>400</v>
      </c>
      <c r="J2350" s="2" t="n">
        <v>39.25</v>
      </c>
      <c r="K2350" s="2" t="inlineStr">
        <is>
          <t>&gt; Perfumería &gt; Cuidado Capilar &gt; Reparación y Tratamientos &gt;</t>
        </is>
      </c>
      <c r="L2350" s="2" t="inlineStr">
        <is>
          <t>acondicionador</t>
        </is>
      </c>
      <c r="M2350" s="2" t="inlineStr">
        <is>
          <t>estandar</t>
        </is>
      </c>
      <c r="N2350" s="2" t="inlineStr">
        <is>
          <t>general</t>
        </is>
      </c>
      <c r="O2350" s="2" t="inlineStr">
        <is>
          <t>https://www.jumbo.com.ar/acondicionador-herbal-essences-rosa-mosqueta-400ml/p</t>
        </is>
      </c>
    </row>
    <row r="2351">
      <c r="A2351" t="inlineStr">
        <is>
          <t>Jumbo</t>
        </is>
      </c>
      <c r="B2351" t="n">
        <v>3079027</v>
      </c>
      <c r="C2351" t="n">
        <v>3078351</v>
      </c>
      <c r="D2351" t="inlineStr">
        <is>
          <t>Mascarilla Capilar Nutrición Rosa Mosqueta 300 Ml Herbal Essences</t>
        </is>
      </c>
      <c r="E2351" t="inlineStr">
        <is>
          <t>HERBAL ESSENCES</t>
        </is>
      </c>
      <c r="F2351" t="n">
        <v>14850</v>
      </c>
      <c r="G2351" t="n">
        <v>1227273</v>
      </c>
      <c r="H2351" t="b">
        <v>0</v>
      </c>
      <c r="I2351" t="n">
        <v>300</v>
      </c>
      <c r="J2351" t="n">
        <v>49.5</v>
      </c>
      <c r="K2351" t="inlineStr">
        <is>
          <t>&gt; Perfumería &gt; Cuidado Capilar &gt; Reparación y Tratamientos &gt;</t>
        </is>
      </c>
      <c r="L2351" t="inlineStr">
        <is>
          <t>tratamiento</t>
        </is>
      </c>
      <c r="M2351" t="inlineStr">
        <is>
          <t>estandar</t>
        </is>
      </c>
      <c r="N2351" t="inlineStr">
        <is>
          <t>general</t>
        </is>
      </c>
      <c r="O2351" t="inlineStr">
        <is>
          <t>https://www.jumbo.com.ar/tratamiento-herbal-essences-rosa-mosqueta-300ml/p</t>
        </is>
      </c>
    </row>
    <row r="2352">
      <c r="A2352" s="2" t="inlineStr">
        <is>
          <t>Jumbo</t>
        </is>
      </c>
      <c r="B2352" s="2" t="n">
        <v>3079025</v>
      </c>
      <c r="C2352" s="2" t="n">
        <v>3078349</v>
      </c>
      <c r="D2352" s="2" t="inlineStr">
        <is>
          <t>Acondicionador Brillo Manzanilla y Pasiflora 400 Ml Herbal Essences</t>
        </is>
      </c>
      <c r="E2352" s="2" t="inlineStr">
        <is>
          <t>HERBAL ESSENCES</t>
        </is>
      </c>
      <c r="F2352" s="2" t="n">
        <v>15700</v>
      </c>
      <c r="G2352" s="2" t="n">
        <v>1297521</v>
      </c>
      <c r="H2352" s="2" t="b">
        <v>0</v>
      </c>
      <c r="I2352" s="2" t="n">
        <v>400</v>
      </c>
      <c r="J2352" s="2" t="n">
        <v>39.25</v>
      </c>
      <c r="K2352" s="2" t="inlineStr">
        <is>
          <t>&gt; Perfumería &gt; Cuidado Capilar &gt; Acondicionador &gt;</t>
        </is>
      </c>
      <c r="L2352" s="2" t="inlineStr">
        <is>
          <t>acondicionador</t>
        </is>
      </c>
      <c r="M2352" s="2" t="inlineStr">
        <is>
          <t>estandar</t>
        </is>
      </c>
      <c r="N2352" s="2" t="inlineStr">
        <is>
          <t>general</t>
        </is>
      </c>
      <c r="O2352" s="2" t="inlineStr">
        <is>
          <t>https://www.jumbo.com.ar/acondicionador-herbal-essences-manzanilla-400ml/p</t>
        </is>
      </c>
    </row>
    <row r="2353">
      <c r="A2353" t="inlineStr">
        <is>
          <t>Jumbo</t>
        </is>
      </c>
      <c r="B2353" t="n">
        <v>3079022</v>
      </c>
      <c r="C2353" t="n">
        <v>3078346</v>
      </c>
      <c r="D2353" t="inlineStr">
        <is>
          <t>Shampoo Nutrición Suavidad Rosa Mosqueta 240 Ml Herbal Essences</t>
        </is>
      </c>
      <c r="E2353" t="inlineStr">
        <is>
          <t>HERBAL ESSENCES</t>
        </is>
      </c>
      <c r="F2353" t="n">
        <v>11850</v>
      </c>
      <c r="G2353" t="n">
        <v>979339</v>
      </c>
      <c r="H2353" t="b">
        <v>0</v>
      </c>
      <c r="I2353" t="n">
        <v>240</v>
      </c>
      <c r="J2353" t="n">
        <v>49.375</v>
      </c>
      <c r="K2353" t="inlineStr">
        <is>
          <t>&gt; Perfumería &gt; Cuidado Capilar &gt; Shampoo &gt;</t>
        </is>
      </c>
      <c r="L2353" t="inlineStr">
        <is>
          <t>shampoo</t>
        </is>
      </c>
      <c r="M2353" t="inlineStr">
        <is>
          <t>estandar</t>
        </is>
      </c>
      <c r="N2353" t="inlineStr">
        <is>
          <t>general</t>
        </is>
      </c>
      <c r="O2353" t="inlineStr">
        <is>
          <t>https://www.jumbo.com.ar/shampoo-herbal-essences-rosa-mosqueta-240ml/p</t>
        </is>
      </c>
    </row>
    <row r="2354">
      <c r="A2354" s="2" t="inlineStr">
        <is>
          <t>Jumbo</t>
        </is>
      </c>
      <c r="B2354" s="2" t="n">
        <v>3078794</v>
      </c>
      <c r="C2354" s="2" t="n">
        <v>3078120</v>
      </c>
      <c r="D2354" s="2" t="inlineStr">
        <is>
          <t>Crema Para Peinar Herbal Essences Rosa Mosquet</t>
        </is>
      </c>
      <c r="E2354" s="2" t="inlineStr">
        <is>
          <t>HERBAL ESSENCES</t>
        </is>
      </c>
      <c r="F2354" s="2" t="n">
        <v>10250</v>
      </c>
      <c r="G2354" s="2" t="n">
        <v>847107</v>
      </c>
      <c r="H2354" s="2" t="b">
        <v>0</v>
      </c>
      <c r="I2354" s="2" t="inlineStr"/>
      <c r="J2354" s="2" t="inlineStr"/>
      <c r="K2354" s="2" t="inlineStr">
        <is>
          <t>&gt; Perfumería &gt; Cuidado Capilar &gt; Reparación y Tratamientos &gt;</t>
        </is>
      </c>
      <c r="L2354" s="2" t="inlineStr">
        <is>
          <t>shampoo</t>
        </is>
      </c>
      <c r="M2354" s="2" t="inlineStr">
        <is>
          <t>estandar</t>
        </is>
      </c>
      <c r="N2354" s="2" t="inlineStr">
        <is>
          <t>general</t>
        </is>
      </c>
      <c r="O2354" s="2" t="inlineStr">
        <is>
          <t>https://www.jumbo.com.ar/crema-para-peinar-herbal-essences-rosa-mosquet/p</t>
        </is>
      </c>
    </row>
    <row r="2355">
      <c r="A2355" t="inlineStr">
        <is>
          <t>Jumbo</t>
        </is>
      </c>
      <c r="B2355" t="n">
        <v>421912</v>
      </c>
      <c r="C2355" t="n">
        <v>330568</v>
      </c>
      <c r="D2355" t="inlineStr">
        <is>
          <t>Acondicionador Protege y Repara Aloe y Mango 250 Ml Herbal Essences</t>
        </is>
      </c>
      <c r="E2355" t="inlineStr">
        <is>
          <t>HERBAL ESSENCES</t>
        </is>
      </c>
      <c r="F2355" t="n">
        <v>18650</v>
      </c>
      <c r="G2355" t="n">
        <v>1541322</v>
      </c>
      <c r="H2355" t="b">
        <v>0</v>
      </c>
      <c r="I2355" t="n">
        <v>250</v>
      </c>
      <c r="J2355" t="n">
        <v>74.59999999999999</v>
      </c>
      <c r="K2355" t="inlineStr">
        <is>
          <t>&gt; Perfumería &gt; Cuidado Capilar &gt; Acondicionador &gt;</t>
        </is>
      </c>
      <c r="L2355" t="inlineStr">
        <is>
          <t>acondicionador</t>
        </is>
      </c>
      <c r="M2355" t="inlineStr">
        <is>
          <t>estandar</t>
        </is>
      </c>
      <c r="N2355" t="inlineStr">
        <is>
          <t>general</t>
        </is>
      </c>
      <c r="O2355" t="inlineStr">
        <is>
          <t>https://www.jumbo.com.ar/acondicionador-herbal-essences-bio-6x-aloe-y-mango-250-ml-2/p</t>
        </is>
      </c>
    </row>
    <row r="2356">
      <c r="A2356" s="2" t="inlineStr">
        <is>
          <t>Jumbo</t>
        </is>
      </c>
      <c r="B2356" s="2" t="n">
        <v>421909</v>
      </c>
      <c r="C2356" s="2" t="n">
        <v>330577</v>
      </c>
      <c r="D2356" s="2" t="inlineStr">
        <is>
          <t>Acondicionador Herbal Essences 6x Aloe &amp; Algas 250 Ml</t>
        </is>
      </c>
      <c r="E2356" s="2" t="inlineStr">
        <is>
          <t>HERBAL ESSENCES</t>
        </is>
      </c>
      <c r="F2356" s="2" t="n">
        <v>924.87</v>
      </c>
      <c r="G2356" s="2" t="n">
        <v>76436</v>
      </c>
      <c r="H2356" s="2" t="b">
        <v>0</v>
      </c>
      <c r="I2356" s="2" t="n">
        <v>250</v>
      </c>
      <c r="J2356" s="2" t="n">
        <v>3.6995</v>
      </c>
      <c r="K2356" s="2" t="inlineStr">
        <is>
          <t>&gt; Perfumería &gt; Cuidado Capilar &gt; Acondicionador &gt;</t>
        </is>
      </c>
      <c r="L2356" s="2" t="inlineStr">
        <is>
          <t>acondicionador</t>
        </is>
      </c>
      <c r="M2356" s="2" t="inlineStr">
        <is>
          <t>estandar</t>
        </is>
      </c>
      <c r="N2356" s="2" t="inlineStr">
        <is>
          <t>general</t>
        </is>
      </c>
      <c r="O2356" s="2" t="inlineStr">
        <is>
          <t>https://www.jumbo.com.ar/acondicionador-herbal-essences-6x-aloe-algas-250-ml-2/p</t>
        </is>
      </c>
    </row>
    <row r="2357">
      <c r="A2357" t="inlineStr">
        <is>
          <t>Jumbo</t>
        </is>
      </c>
      <c r="B2357" t="n">
        <v>337405</v>
      </c>
      <c r="C2357" t="n">
        <v>336508</v>
      </c>
      <c r="D2357" t="inlineStr">
        <is>
          <t>Tratamiento Herbal Essences Argan 400ml</t>
        </is>
      </c>
      <c r="E2357" t="inlineStr">
        <is>
          <t>HERBAL ESSENCES</t>
        </is>
      </c>
      <c r="F2357" t="n">
        <v>23150</v>
      </c>
      <c r="G2357" t="n">
        <v>1913223</v>
      </c>
      <c r="H2357" t="b">
        <v>0</v>
      </c>
      <c r="I2357" t="n">
        <v>400</v>
      </c>
      <c r="J2357" t="n">
        <v>57.875</v>
      </c>
      <c r="K2357" t="inlineStr">
        <is>
          <t>&gt; Perfumería &gt; Cuidado Capilar &gt; Reparación y Tratamientos &gt;</t>
        </is>
      </c>
      <c r="L2357" t="inlineStr">
        <is>
          <t>tratamiento</t>
        </is>
      </c>
      <c r="M2357" t="inlineStr">
        <is>
          <t>estandar</t>
        </is>
      </c>
      <c r="N2357" t="inlineStr">
        <is>
          <t>general</t>
        </is>
      </c>
      <c r="O2357" t="inlineStr">
        <is>
          <t>https://www.jumbo.com.ar/tratamiento-herbal-essences-argan-400ml/p</t>
        </is>
      </c>
    </row>
    <row r="2358">
      <c r="A2358" s="2" t="inlineStr">
        <is>
          <t>Jumbo</t>
        </is>
      </c>
      <c r="B2358" s="2" t="n">
        <v>331703</v>
      </c>
      <c r="C2358" s="2" t="n">
        <v>330861</v>
      </c>
      <c r="D2358" s="2" t="inlineStr">
        <is>
          <t>Shampoo Herbal Essences Bío:renew 6x Aloe&amp;am 400ml</t>
        </is>
      </c>
      <c r="E2358" s="2" t="inlineStr">
        <is>
          <t>HERBAL ESSENCES</t>
        </is>
      </c>
      <c r="F2358" s="2" t="n">
        <v>924.87</v>
      </c>
      <c r="G2358" s="2" t="n">
        <v>76436</v>
      </c>
      <c r="H2358" s="2" t="b">
        <v>0</v>
      </c>
      <c r="I2358" s="2" t="n">
        <v>400</v>
      </c>
      <c r="J2358" s="2" t="n">
        <v>2.3122</v>
      </c>
      <c r="K2358" s="2" t="inlineStr">
        <is>
          <t>&gt; Perfumería &gt; Cuidado Capilar &gt; Shampoo &gt;</t>
        </is>
      </c>
      <c r="L2358" s="2" t="inlineStr">
        <is>
          <t>shampoo</t>
        </is>
      </c>
      <c r="M2358" s="2" t="inlineStr">
        <is>
          <t>estandar</t>
        </is>
      </c>
      <c r="N2358" s="2" t="inlineStr">
        <is>
          <t>general</t>
        </is>
      </c>
      <c r="O2358" s="2" t="inlineStr">
        <is>
          <t>https://www.jumbo.com.ar/shampoo-herbal-essences-bio-renew-6x-aloe-am-400ml/p</t>
        </is>
      </c>
    </row>
    <row r="2359">
      <c r="A2359" t="inlineStr">
        <is>
          <t>Jumbo</t>
        </is>
      </c>
      <c r="B2359" t="n">
        <v>331701</v>
      </c>
      <c r="C2359" t="n">
        <v>330859</v>
      </c>
      <c r="D2359" t="inlineStr">
        <is>
          <t>Shampoo Bío Renew 6x Aloe Y Mango 400 Ml Herbal Essences</t>
        </is>
      </c>
      <c r="E2359" t="inlineStr">
        <is>
          <t>HERBAL ESSENCES</t>
        </is>
      </c>
      <c r="F2359" t="n">
        <v>20150</v>
      </c>
      <c r="G2359" t="n">
        <v>1665289</v>
      </c>
      <c r="H2359" t="b">
        <v>0</v>
      </c>
      <c r="I2359" t="n">
        <v>400</v>
      </c>
      <c r="J2359" t="n">
        <v>50.375</v>
      </c>
      <c r="K2359" t="inlineStr">
        <is>
          <t>&gt; Perfumería &gt; Cuidado Capilar &gt; Shampoo &gt;</t>
        </is>
      </c>
      <c r="L2359" t="inlineStr">
        <is>
          <t>shampoo</t>
        </is>
      </c>
      <c r="M2359" t="inlineStr">
        <is>
          <t>estandar</t>
        </is>
      </c>
      <c r="N2359" t="inlineStr">
        <is>
          <t>general</t>
        </is>
      </c>
      <c r="O2359" t="inlineStr">
        <is>
          <t>https://www.jumbo.com.ar/shampoo-bio-renew-6x-aloe-y-mango-400-ml-herbal-essences/p</t>
        </is>
      </c>
    </row>
    <row r="2360">
      <c r="A2360" s="2" t="inlineStr">
        <is>
          <t>Jumbo</t>
        </is>
      </c>
      <c r="B2360" s="2" t="n">
        <v>317834</v>
      </c>
      <c r="C2360" s="2" t="n">
        <v>317079</v>
      </c>
      <c r="D2360" s="2" t="inlineStr">
        <is>
          <t>Crema Para Peinar Tio Nacho Verano</t>
        </is>
      </c>
      <c r="E2360" s="2" t="inlineStr">
        <is>
          <t>HERBAL ESSENCES</t>
        </is>
      </c>
      <c r="F2360" s="2" t="n">
        <v>534.76</v>
      </c>
      <c r="G2360" s="2" t="n">
        <v>44195</v>
      </c>
      <c r="H2360" s="2" t="b">
        <v>0</v>
      </c>
      <c r="I2360" s="2" t="inlineStr"/>
      <c r="J2360" s="2" t="inlineStr"/>
      <c r="K2360" s="2" t="inlineStr">
        <is>
          <t>&gt; Perfumería &gt; Cuidado Capilar &gt; Reparación y Tratamientos &gt;</t>
        </is>
      </c>
      <c r="L2360" s="2" t="inlineStr">
        <is>
          <t>shampoo</t>
        </is>
      </c>
      <c r="M2360" s="2" t="inlineStr">
        <is>
          <t>estandar</t>
        </is>
      </c>
      <c r="N2360" s="2" t="inlineStr">
        <is>
          <t>general</t>
        </is>
      </c>
      <c r="O2360" s="2" t="inlineStr">
        <is>
          <t>https://www.jumbo.com.ar/crema-para-peinar-tio-nacho-verano/p</t>
        </is>
      </c>
    </row>
    <row r="2361">
      <c r="A2361" t="inlineStr">
        <is>
          <t>Jumbo</t>
        </is>
      </c>
      <c r="B2361" t="n">
        <v>312182</v>
      </c>
      <c r="C2361" t="n">
        <v>311420</v>
      </c>
      <c r="D2361" t="inlineStr">
        <is>
          <t>Mascarilla Capilar Hidratación Coconut Milk 300 Ml Herbal Essences</t>
        </is>
      </c>
      <c r="E2361" t="inlineStr">
        <is>
          <t>HERBAL ESSENCES</t>
        </is>
      </c>
      <c r="F2361" t="n">
        <v>21700</v>
      </c>
      <c r="G2361" t="n">
        <v>1793388</v>
      </c>
      <c r="H2361" t="b">
        <v>0</v>
      </c>
      <c r="I2361" t="n">
        <v>300</v>
      </c>
      <c r="J2361" t="n">
        <v>72.33329999999999</v>
      </c>
      <c r="K2361" t="inlineStr">
        <is>
          <t>&gt; Perfumería &gt; Cuidado Capilar &gt; Reparación y Tratamientos &gt;</t>
        </is>
      </c>
      <c r="L2361" t="inlineStr">
        <is>
          <t>tratamiento</t>
        </is>
      </c>
      <c r="M2361" t="inlineStr">
        <is>
          <t>estandar</t>
        </is>
      </c>
      <c r="N2361" t="inlineStr">
        <is>
          <t>seco_danado</t>
        </is>
      </c>
      <c r="O2361" t="inlineStr">
        <is>
          <t>https://www.jumbo.com.ar/mascarilla-intensiva-herbal-essences-bio-renew-coconut-milk-300-ml/p</t>
        </is>
      </c>
    </row>
    <row r="2362">
      <c r="A2362" s="2" t="inlineStr">
        <is>
          <t>Jumbo</t>
        </is>
      </c>
      <c r="B2362" s="2" t="n">
        <v>312178</v>
      </c>
      <c r="C2362" s="2" t="n">
        <v>311416</v>
      </c>
      <c r="D2362" s="2" t="inlineStr">
        <is>
          <t>Mascarilla Intensiva Herbal Essences Bío:renew Passion Flower &amp; Rice Milk 300 Ml</t>
        </is>
      </c>
      <c r="E2362" s="2" t="inlineStr">
        <is>
          <t>HERBAL ESSENCES</t>
        </is>
      </c>
      <c r="F2362" s="2" t="n">
        <v>1077.99</v>
      </c>
      <c r="G2362" s="2" t="n">
        <v>89090</v>
      </c>
      <c r="H2362" s="2" t="b">
        <v>0</v>
      </c>
      <c r="I2362" s="2" t="n">
        <v>300</v>
      </c>
      <c r="J2362" s="2" t="n">
        <v>3.5933</v>
      </c>
      <c r="K2362" s="2" t="inlineStr">
        <is>
          <t>&gt; Perfumería &gt; Cuidado Capilar &gt; Reparación y Tratamientos &gt;</t>
        </is>
      </c>
      <c r="L2362" s="2" t="inlineStr">
        <is>
          <t>tratamiento</t>
        </is>
      </c>
      <c r="M2362" s="2" t="inlineStr">
        <is>
          <t>estandar</t>
        </is>
      </c>
      <c r="N2362" s="2" t="inlineStr">
        <is>
          <t>general</t>
        </is>
      </c>
      <c r="O2362" s="2" t="inlineStr">
        <is>
          <t>https://www.jumbo.com.ar/mascarilla-intensiva-herbal-essences-bio-renew-passion-flower-rice-milk-300-ml/p</t>
        </is>
      </c>
    </row>
    <row r="2363">
      <c r="A2363" t="inlineStr">
        <is>
          <t>Jumbo</t>
        </is>
      </c>
      <c r="B2363" t="n">
        <v>307536</v>
      </c>
      <c r="C2363" t="n">
        <v>306773</v>
      </c>
      <c r="D2363" t="inlineStr">
        <is>
          <t>Tratamiento Herbal Essences Bio Renew Manuka 300 Ml</t>
        </is>
      </c>
      <c r="E2363" t="inlineStr">
        <is>
          <t>HERBAL ESSENCES</t>
        </is>
      </c>
      <c r="F2363" t="n">
        <v>21700</v>
      </c>
      <c r="G2363" t="n">
        <v>1793388</v>
      </c>
      <c r="H2363" t="b">
        <v>0</v>
      </c>
      <c r="I2363" t="n">
        <v>300</v>
      </c>
      <c r="J2363" t="n">
        <v>72.33329999999999</v>
      </c>
      <c r="K2363" t="inlineStr">
        <is>
          <t>&gt; Perfumería &gt; Cuidado Capilar &gt; Reparación y Tratamientos &gt;</t>
        </is>
      </c>
      <c r="L2363" t="inlineStr">
        <is>
          <t>tratamiento</t>
        </is>
      </c>
      <c r="M2363" t="inlineStr">
        <is>
          <t>estandar</t>
        </is>
      </c>
      <c r="N2363" t="inlineStr">
        <is>
          <t>general</t>
        </is>
      </c>
      <c r="O2363" t="inlineStr">
        <is>
          <t>https://www.jumbo.com.ar/tratamiento-herbal-essences-bio-renew-manuka-300-ml/p</t>
        </is>
      </c>
    </row>
    <row r="2364">
      <c r="A2364" s="2" t="inlineStr">
        <is>
          <t>Jumbo</t>
        </is>
      </c>
      <c r="B2364" s="2" t="n">
        <v>307535</v>
      </c>
      <c r="C2364" s="2" t="n">
        <v>306772</v>
      </c>
      <c r="D2364" s="2" t="inlineStr">
        <is>
          <t>Tratamiento Herbal Essences Bio Renew Coco 300 Ml</t>
        </is>
      </c>
      <c r="E2364" s="2" t="inlineStr">
        <is>
          <t>HERBAL ESSENCES</t>
        </is>
      </c>
      <c r="F2364" s="2" t="n">
        <v>21700</v>
      </c>
      <c r="G2364" s="2" t="n">
        <v>1793388</v>
      </c>
      <c r="H2364" s="2" t="b">
        <v>0</v>
      </c>
      <c r="I2364" s="2" t="n">
        <v>300</v>
      </c>
      <c r="J2364" s="2" t="n">
        <v>72.33329999999999</v>
      </c>
      <c r="K2364" s="2" t="inlineStr">
        <is>
          <t>&gt; Perfumería &gt; Cuidado Capilar &gt; Reparación y Tratamientos &gt;</t>
        </is>
      </c>
      <c r="L2364" s="2" t="inlineStr">
        <is>
          <t>tratamiento</t>
        </is>
      </c>
      <c r="M2364" s="2" t="inlineStr">
        <is>
          <t>estandar</t>
        </is>
      </c>
      <c r="N2364" s="2" t="inlineStr">
        <is>
          <t>general</t>
        </is>
      </c>
      <c r="O2364" s="2" t="inlineStr">
        <is>
          <t>https://www.jumbo.com.ar/tratamiento-herbal-essences-bio-renew-coco-300-ml/p</t>
        </is>
      </c>
    </row>
    <row r="2365">
      <c r="A2365" t="inlineStr">
        <is>
          <t>Jumbo</t>
        </is>
      </c>
      <c r="B2365" t="n">
        <v>307534</v>
      </c>
      <c r="C2365" t="n">
        <v>306771</v>
      </c>
      <c r="D2365" t="inlineStr">
        <is>
          <t>Tratamiento Herbal Bio Renew Argan Of Oil Morocco 300 Ml</t>
        </is>
      </c>
      <c r="E2365" t="inlineStr">
        <is>
          <t>HERBAL ESSENCES</t>
        </is>
      </c>
      <c r="F2365" t="n">
        <v>23800</v>
      </c>
      <c r="G2365" t="n">
        <v>1966942</v>
      </c>
      <c r="H2365" t="b">
        <v>0</v>
      </c>
      <c r="I2365" t="n">
        <v>300</v>
      </c>
      <c r="J2365" t="n">
        <v>79.33329999999999</v>
      </c>
      <c r="K2365" t="inlineStr">
        <is>
          <t>&gt; Perfumería &gt; Cuidado Capilar &gt; Reparación y Tratamientos &gt;</t>
        </is>
      </c>
      <c r="L2365" t="inlineStr">
        <is>
          <t>tratamiento</t>
        </is>
      </c>
      <c r="M2365" t="inlineStr">
        <is>
          <t>estandar</t>
        </is>
      </c>
      <c r="N2365" t="inlineStr">
        <is>
          <t>general</t>
        </is>
      </c>
      <c r="O2365" t="inlineStr">
        <is>
          <t>https://www.jumbo.com.ar/tratamiento-herbal-bio-renew-argan-of-oil-morocco-300-ml/p</t>
        </is>
      </c>
    </row>
    <row r="2366">
      <c r="A2366" s="2" t="inlineStr">
        <is>
          <t>Jumbo</t>
        </is>
      </c>
      <c r="B2366" s="2" t="n">
        <v>307533</v>
      </c>
      <c r="C2366" s="2" t="n">
        <v>306770</v>
      </c>
      <c r="D2366" s="2" t="inlineStr">
        <is>
          <t>Acondicionador Herbal Essences Bío Renew Chamomile 400 Ml</t>
        </is>
      </c>
      <c r="E2366" s="2" t="inlineStr">
        <is>
          <t>HERBAL ESSENCES</t>
        </is>
      </c>
      <c r="F2366" s="2" t="n">
        <v>15650</v>
      </c>
      <c r="G2366" s="2" t="n">
        <v>1293388</v>
      </c>
      <c r="H2366" s="2" t="b">
        <v>0</v>
      </c>
      <c r="I2366" s="2" t="n">
        <v>400</v>
      </c>
      <c r="J2366" s="2" t="n">
        <v>39.125</v>
      </c>
      <c r="K2366" s="2" t="inlineStr">
        <is>
          <t>&gt; Perfumería &gt; Cuidado Capilar &gt; Acondicionador &gt;</t>
        </is>
      </c>
      <c r="L2366" s="2" t="inlineStr">
        <is>
          <t>acondicionador</t>
        </is>
      </c>
      <c r="M2366" s="2" t="inlineStr">
        <is>
          <t>estandar</t>
        </is>
      </c>
      <c r="N2366" s="2" t="inlineStr">
        <is>
          <t>general</t>
        </is>
      </c>
      <c r="O2366" s="2" t="inlineStr">
        <is>
          <t>https://www.jumbo.com.ar/acondicionador-herbal-essences-bio-renew-chamomile-400-ml/p</t>
        </is>
      </c>
    </row>
    <row r="2367">
      <c r="A2367" t="inlineStr">
        <is>
          <t>Jumbo</t>
        </is>
      </c>
      <c r="B2367" t="n">
        <v>307531</v>
      </c>
      <c r="C2367" t="n">
        <v>306768</v>
      </c>
      <c r="D2367" t="inlineStr">
        <is>
          <t>Shampoo Herbal Essences Bío Renew Chamomile 400 Ml</t>
        </is>
      </c>
      <c r="E2367" t="inlineStr">
        <is>
          <t>HERBAL ESSENCES</t>
        </is>
      </c>
      <c r="F2367" t="n">
        <v>14900</v>
      </c>
      <c r="G2367" t="n">
        <v>1231405</v>
      </c>
      <c r="H2367" t="b">
        <v>0</v>
      </c>
      <c r="I2367" t="n">
        <v>400</v>
      </c>
      <c r="J2367" t="n">
        <v>37.25</v>
      </c>
      <c r="K2367" t="inlineStr">
        <is>
          <t>&gt; Perfumería &gt; Cuidado Capilar &gt; Shampoo &gt;</t>
        </is>
      </c>
      <c r="L2367" t="inlineStr">
        <is>
          <t>shampoo</t>
        </is>
      </c>
      <c r="M2367" t="inlineStr">
        <is>
          <t>estandar</t>
        </is>
      </c>
      <c r="N2367" t="inlineStr">
        <is>
          <t>general</t>
        </is>
      </c>
      <c r="O2367" t="inlineStr">
        <is>
          <t>https://www.jumbo.com.ar/shampoo-herbal-essences-bio-renew-chamomile-400-ml/p</t>
        </is>
      </c>
    </row>
    <row r="2368">
      <c r="A2368" s="2" t="inlineStr">
        <is>
          <t>Jumbo</t>
        </is>
      </c>
      <c r="B2368" s="2" t="n">
        <v>295154</v>
      </c>
      <c r="C2368" s="2" t="n">
        <v>294383</v>
      </c>
      <c r="D2368" s="2" t="inlineStr">
        <is>
          <t>Shampoo Herbal Essences Bío Renew Bourbon Manuka Honey 400 Ml</t>
        </is>
      </c>
      <c r="E2368" s="2" t="inlineStr">
        <is>
          <t>HERBAL ESSENCES</t>
        </is>
      </c>
      <c r="F2368" s="2" t="n">
        <v>15032.55</v>
      </c>
      <c r="G2368" s="2" t="n">
        <v>1242360</v>
      </c>
      <c r="H2368" s="2" t="b">
        <v>0</v>
      </c>
      <c r="I2368" s="2" t="n">
        <v>400</v>
      </c>
      <c r="J2368" s="2" t="n">
        <v>37.5814</v>
      </c>
      <c r="K2368" s="2" t="inlineStr">
        <is>
          <t>&gt; Perfumería &gt; Cuidado Capilar &gt; Shampoo &gt;</t>
        </is>
      </c>
      <c r="L2368" s="2" t="inlineStr">
        <is>
          <t>shampoo</t>
        </is>
      </c>
      <c r="M2368" s="2" t="inlineStr">
        <is>
          <t>estandar</t>
        </is>
      </c>
      <c r="N2368" s="2" t="inlineStr">
        <is>
          <t>general</t>
        </is>
      </c>
      <c r="O2368" s="2" t="inlineStr">
        <is>
          <t>https://www.jumbo.com.ar/shampoo-herbal-essences-bio-renew-bourbon-manuka-honey-400-ml/p</t>
        </is>
      </c>
    </row>
    <row r="2369">
      <c r="A2369" t="inlineStr">
        <is>
          <t>Jumbo</t>
        </is>
      </c>
      <c r="B2369" t="n">
        <v>295140</v>
      </c>
      <c r="C2369" t="n">
        <v>294368</v>
      </c>
      <c r="D2369" t="inlineStr">
        <is>
          <t>Acondicionador Herbal Essences Bourbon Manuka Honey 400 Ml</t>
        </is>
      </c>
      <c r="E2369" t="inlineStr">
        <is>
          <t>HERBAL ESSENCES</t>
        </is>
      </c>
      <c r="F2369" t="n">
        <v>15650</v>
      </c>
      <c r="G2369" t="n">
        <v>1293388</v>
      </c>
      <c r="H2369" t="b">
        <v>0</v>
      </c>
      <c r="I2369" t="n">
        <v>400</v>
      </c>
      <c r="J2369" t="n">
        <v>39.125</v>
      </c>
      <c r="K2369" t="inlineStr">
        <is>
          <t>&gt; Perfumería &gt; Cuidado Capilar &gt; Acondicionador &gt;</t>
        </is>
      </c>
      <c r="L2369" t="inlineStr">
        <is>
          <t>acondicionador</t>
        </is>
      </c>
      <c r="M2369" t="inlineStr">
        <is>
          <t>estandar</t>
        </is>
      </c>
      <c r="N2369" t="inlineStr">
        <is>
          <t>general</t>
        </is>
      </c>
      <c r="O2369" t="inlineStr">
        <is>
          <t>https://www.jumbo.com.ar/acondicionador-herbal-essences-bourbon-manuka-honey-400-ml/p</t>
        </is>
      </c>
    </row>
    <row r="2370">
      <c r="A2370" s="2" t="inlineStr">
        <is>
          <t>Jumbo</t>
        </is>
      </c>
      <c r="B2370" s="2" t="n">
        <v>273579</v>
      </c>
      <c r="C2370" s="2" t="n">
        <v>272865</v>
      </c>
      <c r="D2370" s="2" t="inlineStr">
        <is>
          <t>Acondicionador Brillo Radiante Pomelo Blanco y Menta 400 Ml Herbal Essences</t>
        </is>
      </c>
      <c r="E2370" s="2" t="inlineStr">
        <is>
          <t>HERBAL ESSENCES</t>
        </is>
      </c>
      <c r="F2370" s="2" t="n">
        <v>16100</v>
      </c>
      <c r="G2370" s="2" t="n">
        <v>1330579</v>
      </c>
      <c r="H2370" s="2" t="b">
        <v>0</v>
      </c>
      <c r="I2370" s="2" t="n">
        <v>400</v>
      </c>
      <c r="J2370" s="2" t="n">
        <v>40.25</v>
      </c>
      <c r="K2370" s="2" t="inlineStr">
        <is>
          <t>&gt; Perfumería &gt; Cuidado Capilar &gt; Acondicionador &gt;</t>
        </is>
      </c>
      <c r="L2370" s="2" t="inlineStr">
        <is>
          <t>acondicionador</t>
        </is>
      </c>
      <c r="M2370" s="2" t="inlineStr">
        <is>
          <t>estandar</t>
        </is>
      </c>
      <c r="N2370" s="2" t="inlineStr">
        <is>
          <t>general</t>
        </is>
      </c>
      <c r="O2370" s="2" t="inlineStr">
        <is>
          <t>https://www.jumbo.com.ar/acondicionador-herbal-essences-grapefruit-400ml/p</t>
        </is>
      </c>
    </row>
    <row r="2371">
      <c r="A2371" t="inlineStr">
        <is>
          <t>Jumbo</t>
        </is>
      </c>
      <c r="B2371" t="n">
        <v>259541</v>
      </c>
      <c r="C2371" t="n">
        <v>258835</v>
      </c>
      <c r="D2371" t="inlineStr">
        <is>
          <t>Acondicionador Herbal Essences Daily Detox Brillo 670 Ml</t>
        </is>
      </c>
      <c r="E2371" t="inlineStr">
        <is>
          <t>HERBAL ESSENCES</t>
        </is>
      </c>
      <c r="F2371" t="n">
        <v>330.69</v>
      </c>
      <c r="G2371" t="n">
        <v>27330</v>
      </c>
      <c r="H2371" t="b">
        <v>0</v>
      </c>
      <c r="I2371" t="n">
        <v>670</v>
      </c>
      <c r="J2371" t="n">
        <v>0.4936</v>
      </c>
      <c r="K2371" t="inlineStr">
        <is>
          <t>&gt; Perfumería &gt; Cuidado Capilar &gt; Acondicionador &gt;</t>
        </is>
      </c>
      <c r="L2371" t="inlineStr">
        <is>
          <t>acondicionador</t>
        </is>
      </c>
      <c r="M2371" t="inlineStr">
        <is>
          <t>estandar</t>
        </is>
      </c>
      <c r="N2371" t="inlineStr">
        <is>
          <t>general</t>
        </is>
      </c>
      <c r="O2371" t="inlineStr">
        <is>
          <t>https://www.jumbo.com.ar/acondicionador-herbal-essences-daily-detox-brillo-670-ml/p</t>
        </is>
      </c>
    </row>
    <row r="2372">
      <c r="A2372" s="2" t="inlineStr">
        <is>
          <t>Jumbo</t>
        </is>
      </c>
      <c r="B2372" s="2" t="n">
        <v>259540</v>
      </c>
      <c r="C2372" s="2" t="n">
        <v>258834</v>
      </c>
      <c r="D2372" s="2" t="inlineStr">
        <is>
          <t>Shampoo Herbal Essences Daily Detox Brillo 700 Ml</t>
        </is>
      </c>
      <c r="E2372" s="2" t="inlineStr">
        <is>
          <t>HERBAL ESSENCES</t>
        </is>
      </c>
      <c r="F2372" s="2" t="n">
        <v>330.69</v>
      </c>
      <c r="G2372" s="2" t="n">
        <v>27330</v>
      </c>
      <c r="H2372" s="2" t="b">
        <v>0</v>
      </c>
      <c r="I2372" s="2" t="n">
        <v>700</v>
      </c>
      <c r="J2372" s="2" t="n">
        <v>0.4724</v>
      </c>
      <c r="K2372" s="2" t="inlineStr">
        <is>
          <t>&gt; Perfumería &gt; Cuidado Capilar &gt; Shampoo &gt;</t>
        </is>
      </c>
      <c r="L2372" s="2" t="inlineStr">
        <is>
          <t>shampoo</t>
        </is>
      </c>
      <c r="M2372" s="2" t="inlineStr">
        <is>
          <t>estandar</t>
        </is>
      </c>
      <c r="N2372" s="2" t="inlineStr">
        <is>
          <t>general</t>
        </is>
      </c>
      <c r="O2372" s="2" t="inlineStr">
        <is>
          <t>https://www.jumbo.com.ar/shampoo-herbal-essences-daily-detox-brillo-700-ml/p</t>
        </is>
      </c>
    </row>
    <row r="2373">
      <c r="A2373" t="inlineStr">
        <is>
          <t>Jumbo</t>
        </is>
      </c>
      <c r="B2373" t="n">
        <v>251379</v>
      </c>
      <c r="C2373" t="n">
        <v>250680</v>
      </c>
      <c r="D2373" t="inlineStr">
        <is>
          <t>Shampoo Herbal Essences Bío:renew Golden Moringa Oil 400 Ml</t>
        </is>
      </c>
      <c r="E2373" t="inlineStr">
        <is>
          <t>HERBAL ESSENCES</t>
        </is>
      </c>
      <c r="F2373" t="n">
        <v>743.29</v>
      </c>
      <c r="G2373" t="n">
        <v>61429</v>
      </c>
      <c r="H2373" t="b">
        <v>0</v>
      </c>
      <c r="I2373" t="n">
        <v>400</v>
      </c>
      <c r="J2373" t="n">
        <v>1.8582</v>
      </c>
      <c r="K2373" t="inlineStr">
        <is>
          <t>&gt; Perfumería &gt; Cuidado Capilar &gt; Shampoo &gt;</t>
        </is>
      </c>
      <c r="L2373" t="inlineStr">
        <is>
          <t>shampoo</t>
        </is>
      </c>
      <c r="M2373" t="inlineStr">
        <is>
          <t>estandar</t>
        </is>
      </c>
      <c r="N2373" t="inlineStr">
        <is>
          <t>general</t>
        </is>
      </c>
      <c r="O2373" t="inlineStr">
        <is>
          <t>https://www.jumbo.com.ar/shampoo-herbal-essences-bio-renew-golden-moringa-oil-400-ml/p</t>
        </is>
      </c>
    </row>
    <row r="2374">
      <c r="A2374" s="2" t="inlineStr">
        <is>
          <t>Jumbo</t>
        </is>
      </c>
      <c r="B2374" s="2" t="n">
        <v>251377</v>
      </c>
      <c r="C2374" s="2" t="n">
        <v>250678</v>
      </c>
      <c r="D2374" s="2" t="inlineStr">
        <is>
          <t>Shampoo Herbal Essences Bío:renew Vitamin E &amp; Cocoa Butter 400 Ml</t>
        </is>
      </c>
      <c r="E2374" s="2" t="inlineStr">
        <is>
          <t>HERBAL ESSENCES</t>
        </is>
      </c>
      <c r="F2374" s="2" t="n">
        <v>340.95</v>
      </c>
      <c r="G2374" s="2" t="n">
        <v>28178</v>
      </c>
      <c r="H2374" s="2" t="b">
        <v>0</v>
      </c>
      <c r="I2374" s="2" t="n">
        <v>400</v>
      </c>
      <c r="J2374" s="2" t="n">
        <v>0.8524</v>
      </c>
      <c r="K2374" s="2" t="inlineStr">
        <is>
          <t>&gt; Perfumería &gt; Cuidado Capilar &gt; Shampoo &gt;</t>
        </is>
      </c>
      <c r="L2374" s="2" t="inlineStr">
        <is>
          <t>shampoo</t>
        </is>
      </c>
      <c r="M2374" s="2" t="inlineStr">
        <is>
          <t>estandar</t>
        </is>
      </c>
      <c r="N2374" s="2" t="inlineStr">
        <is>
          <t>general</t>
        </is>
      </c>
      <c r="O2374" s="2" t="inlineStr">
        <is>
          <t>https://www.jumbo.com.ar/shampoo-herbal-essences-bio-renew-vitamin-e-cocoa-butter-400-ml/p</t>
        </is>
      </c>
    </row>
    <row r="2375">
      <c r="A2375" t="inlineStr">
        <is>
          <t>Jumbo</t>
        </is>
      </c>
      <c r="B2375" t="n">
        <v>251376</v>
      </c>
      <c r="C2375" t="n">
        <v>250677</v>
      </c>
      <c r="D2375" t="inlineStr">
        <is>
          <t>Acondicionador Herbal Essences Bío:renew Vitamin E &amp; Cocoa Butter 400 Ml</t>
        </is>
      </c>
      <c r="E2375" t="inlineStr">
        <is>
          <t>HERBAL ESSENCES</t>
        </is>
      </c>
      <c r="F2375" t="n">
        <v>340.95</v>
      </c>
      <c r="G2375" t="n">
        <v>28178</v>
      </c>
      <c r="H2375" t="b">
        <v>0</v>
      </c>
      <c r="I2375" t="n">
        <v>400</v>
      </c>
      <c r="J2375" t="n">
        <v>0.8524</v>
      </c>
      <c r="K2375" t="inlineStr">
        <is>
          <t>&gt; Perfumería &gt; Cuidado Capilar &gt; Acondicionador &gt;</t>
        </is>
      </c>
      <c r="L2375" t="inlineStr">
        <is>
          <t>acondicionador</t>
        </is>
      </c>
      <c r="M2375" t="inlineStr">
        <is>
          <t>estandar</t>
        </is>
      </c>
      <c r="N2375" t="inlineStr">
        <is>
          <t>general</t>
        </is>
      </c>
      <c r="O2375" t="inlineStr">
        <is>
          <t>https://www.jumbo.com.ar/acondicionador-herbal-essences-bio-renew-vitamin-e-cocoa-butter-400-ml/p</t>
        </is>
      </c>
    </row>
    <row r="2376">
      <c r="A2376" s="2" t="inlineStr">
        <is>
          <t>Jumbo</t>
        </is>
      </c>
      <c r="B2376" s="2" t="n">
        <v>251375</v>
      </c>
      <c r="C2376" s="2" t="n">
        <v>250676</v>
      </c>
      <c r="D2376" s="2" t="inlineStr">
        <is>
          <t>Acondicionador Nutrición Rosemary 400 Ml Herbal Essences</t>
        </is>
      </c>
      <c r="E2376" s="2" t="inlineStr">
        <is>
          <t>HERBAL ESSENCES</t>
        </is>
      </c>
      <c r="F2376" s="2" t="n">
        <v>15700</v>
      </c>
      <c r="G2376" s="2" t="n">
        <v>1297521</v>
      </c>
      <c r="H2376" s="2" t="b">
        <v>0</v>
      </c>
      <c r="I2376" s="2" t="n">
        <v>400</v>
      </c>
      <c r="J2376" s="2" t="n">
        <v>39.25</v>
      </c>
      <c r="K2376" s="2" t="inlineStr">
        <is>
          <t>&gt; Perfumería &gt; Cuidado Capilar &gt; Acondicionador &gt;</t>
        </is>
      </c>
      <c r="L2376" s="2" t="inlineStr">
        <is>
          <t>acondicionador</t>
        </is>
      </c>
      <c r="M2376" s="2" t="inlineStr">
        <is>
          <t>estandar</t>
        </is>
      </c>
      <c r="N2376" s="2" t="inlineStr">
        <is>
          <t>general</t>
        </is>
      </c>
      <c r="O2376" s="2" t="inlineStr">
        <is>
          <t>https://www.jumbo.com.ar/acondicionador-herbal-essences-rosemary-400ml/p</t>
        </is>
      </c>
    </row>
    <row r="2377">
      <c r="A2377" t="inlineStr">
        <is>
          <t>Jumbo</t>
        </is>
      </c>
      <c r="B2377" t="n">
        <v>251374</v>
      </c>
      <c r="C2377" t="n">
        <v>250675</v>
      </c>
      <c r="D2377" t="inlineStr">
        <is>
          <t>Acondicionador Herbal Essences Bío:renew Passion Flower &amp; Rice Milk 400 Ml</t>
        </is>
      </c>
      <c r="E2377" t="inlineStr">
        <is>
          <t>HERBAL ESSENCES</t>
        </is>
      </c>
      <c r="F2377" t="n">
        <v>743.29</v>
      </c>
      <c r="G2377" t="n">
        <v>61429</v>
      </c>
      <c r="H2377" t="b">
        <v>0</v>
      </c>
      <c r="I2377" t="n">
        <v>400</v>
      </c>
      <c r="J2377" t="n">
        <v>1.8582</v>
      </c>
      <c r="K2377" t="inlineStr">
        <is>
          <t>&gt; Perfumería &gt; Cuidado Capilar &gt; Acondicionador &gt;</t>
        </is>
      </c>
      <c r="L2377" t="inlineStr">
        <is>
          <t>acondicionador</t>
        </is>
      </c>
      <c r="M2377" t="inlineStr">
        <is>
          <t>estandar</t>
        </is>
      </c>
      <c r="N2377" t="inlineStr">
        <is>
          <t>general</t>
        </is>
      </c>
      <c r="O2377" t="inlineStr">
        <is>
          <t>https://www.jumbo.com.ar/acondicionador-herbal-essences-bio-renew-passion-flower-rice-milk-400-ml/p</t>
        </is>
      </c>
    </row>
    <row r="2378">
      <c r="A2378" s="2" t="inlineStr">
        <is>
          <t>Jumbo</t>
        </is>
      </c>
      <c r="B2378" s="2" t="n">
        <v>251372</v>
      </c>
      <c r="C2378" s="2" t="n">
        <v>250673</v>
      </c>
      <c r="D2378" s="2" t="inlineStr">
        <is>
          <t>Acondicionador Herbal Essences Bío:renew Golden Moringa Oil 400 Ml</t>
        </is>
      </c>
      <c r="E2378" s="2" t="inlineStr">
        <is>
          <t>HERBAL ESSENCES</t>
        </is>
      </c>
      <c r="F2378" s="2" t="n">
        <v>743.29</v>
      </c>
      <c r="G2378" s="2" t="n">
        <v>61429</v>
      </c>
      <c r="H2378" s="2" t="b">
        <v>0</v>
      </c>
      <c r="I2378" s="2" t="n">
        <v>400</v>
      </c>
      <c r="J2378" s="2" t="n">
        <v>1.8582</v>
      </c>
      <c r="K2378" s="2" t="inlineStr">
        <is>
          <t>&gt; Perfumería &gt; Cuidado Capilar &gt; Acondicionador &gt;</t>
        </is>
      </c>
      <c r="L2378" s="2" t="inlineStr">
        <is>
          <t>acondicionador</t>
        </is>
      </c>
      <c r="M2378" s="2" t="inlineStr">
        <is>
          <t>estandar</t>
        </is>
      </c>
      <c r="N2378" s="2" t="inlineStr">
        <is>
          <t>general</t>
        </is>
      </c>
      <c r="O2378" s="2" t="inlineStr">
        <is>
          <t>https://www.jumbo.com.ar/acondicionador-herbal-essences-bio-renew-golden-moringa-oil-400-ml/p</t>
        </is>
      </c>
    </row>
    <row r="2379">
      <c r="A2379" t="inlineStr">
        <is>
          <t>Jumbo</t>
        </is>
      </c>
      <c r="B2379" t="n">
        <v>251371</v>
      </c>
      <c r="C2379" t="n">
        <v>250671</v>
      </c>
      <c r="D2379" t="inlineStr">
        <is>
          <t>Shampoo Herbal Essences Bío:renew Passion Flower &amp; Rice Milk 400 Ml</t>
        </is>
      </c>
      <c r="E2379" t="inlineStr">
        <is>
          <t>HERBAL ESSENCES</t>
        </is>
      </c>
      <c r="F2379" t="n">
        <v>743.29</v>
      </c>
      <c r="G2379" t="n">
        <v>61429</v>
      </c>
      <c r="H2379" t="b">
        <v>0</v>
      </c>
      <c r="I2379" t="n">
        <v>400</v>
      </c>
      <c r="J2379" t="n">
        <v>1.8582</v>
      </c>
      <c r="K2379" t="inlineStr">
        <is>
          <t>&gt; Perfumería &gt; Cuidado Capilar &gt; Shampoo &gt;</t>
        </is>
      </c>
      <c r="L2379" t="inlineStr">
        <is>
          <t>shampoo</t>
        </is>
      </c>
      <c r="M2379" t="inlineStr">
        <is>
          <t>estandar</t>
        </is>
      </c>
      <c r="N2379" t="inlineStr">
        <is>
          <t>general</t>
        </is>
      </c>
      <c r="O2379" t="inlineStr">
        <is>
          <t>https://www.jumbo.com.ar/shampoo-herbal-essences-bio-renew-passion-flower-rice-milk-400-ml/p</t>
        </is>
      </c>
    </row>
    <row r="2380">
      <c r="A2380" s="2" t="inlineStr">
        <is>
          <t>Jumbo</t>
        </is>
      </c>
      <c r="B2380" s="2" t="n">
        <v>151503</v>
      </c>
      <c r="C2380" s="2" t="n">
        <v>149074</v>
      </c>
      <c r="D2380" s="2" t="inlineStr">
        <is>
          <t>Acondicionador Herbal Essences X 300-+ Crema De Peinar X300ml.-alborótalos-bli-un.-2</t>
        </is>
      </c>
      <c r="E2380" s="2" t="inlineStr">
        <is>
          <t>HERBAL ESSENCES</t>
        </is>
      </c>
      <c r="F2380" s="2" t="n">
        <v>22.09</v>
      </c>
      <c r="G2380" s="2" t="n">
        <v>22.09</v>
      </c>
      <c r="H2380" s="2" t="b">
        <v>0</v>
      </c>
      <c r="I2380" s="2" t="n">
        <v>300</v>
      </c>
      <c r="J2380" s="2" t="n">
        <v>0.0736</v>
      </c>
      <c r="K2380" s="2" t="inlineStr">
        <is>
          <t>&gt; Perfumería &gt; Cuidado Capilar &gt; Acondicionador &gt;</t>
        </is>
      </c>
      <c r="L2380" s="2" t="inlineStr">
        <is>
          <t>acondicionador</t>
        </is>
      </c>
      <c r="M2380" s="2" t="inlineStr">
        <is>
          <t>estandar</t>
        </is>
      </c>
      <c r="N2380" s="2" t="inlineStr">
        <is>
          <t>general</t>
        </is>
      </c>
      <c r="O2380" s="2" t="inlineStr">
        <is>
          <t>https://www.jumbo.com.ar/acondicionador-herbal-essences-x-300-crema-de-peinar-x300ml-alborotalos-bli-un-2-2/p</t>
        </is>
      </c>
    </row>
    <row r="2381">
      <c r="A2381" t="inlineStr">
        <is>
          <t>Jumbo</t>
        </is>
      </c>
      <c r="B2381" t="n">
        <v>151500</v>
      </c>
      <c r="C2381" t="n">
        <v>149070</v>
      </c>
      <c r="D2381" t="inlineStr">
        <is>
          <t>Acondicionador Herbal Essences-+ Crema Para Peinar-curvas Peligrosas-bli-un.-2</t>
        </is>
      </c>
      <c r="E2381" t="inlineStr">
        <is>
          <t>HERBAL ESSENCES</t>
        </is>
      </c>
      <c r="F2381" t="n">
        <v>26.15</v>
      </c>
      <c r="G2381" t="n">
        <v>26.15</v>
      </c>
      <c r="H2381" t="b">
        <v>0</v>
      </c>
      <c r="I2381" t="inlineStr"/>
      <c r="J2381" t="inlineStr"/>
      <c r="K2381" t="inlineStr">
        <is>
          <t>&gt; Perfumería &gt; Cuidado Capilar &gt; Acondicionador &gt;</t>
        </is>
      </c>
      <c r="L2381" t="inlineStr">
        <is>
          <t>acondicionador</t>
        </is>
      </c>
      <c r="M2381" t="inlineStr">
        <is>
          <t>estandar</t>
        </is>
      </c>
      <c r="N2381" t="inlineStr">
        <is>
          <t>general</t>
        </is>
      </c>
      <c r="O2381" t="inlineStr">
        <is>
          <t>https://www.jumbo.com.ar/acondicionador-herbal-essences-crema-para-peinar-curvas-peligrosas-bli-un-2/p</t>
        </is>
      </c>
    </row>
    <row r="2382">
      <c r="A2382" s="2" t="inlineStr">
        <is>
          <t>Jumbo</t>
        </is>
      </c>
      <c r="B2382" s="2" t="n">
        <v>151482</v>
      </c>
      <c r="C2382" s="2" t="n">
        <v>149054</v>
      </c>
      <c r="D2382" s="2" t="inlineStr">
        <is>
          <t>Acondicionador Herbal Essences-+ Crema De Peinar X300ml.-paralísalos-bli-un.-2</t>
        </is>
      </c>
      <c r="E2382" s="2" t="inlineStr">
        <is>
          <t>HERBAL ESSENCES</t>
        </is>
      </c>
      <c r="F2382" s="2" t="n">
        <v>22.09</v>
      </c>
      <c r="G2382" s="2" t="n">
        <v>22.09</v>
      </c>
      <c r="H2382" s="2" t="b">
        <v>0</v>
      </c>
      <c r="I2382" s="2" t="n">
        <v>300</v>
      </c>
      <c r="J2382" s="2" t="n">
        <v>0.0736</v>
      </c>
      <c r="K2382" s="2" t="inlineStr">
        <is>
          <t>&gt; Perfumería &gt; Cuidado Capilar &gt; Acondicionador &gt;</t>
        </is>
      </c>
      <c r="L2382" s="2" t="inlineStr">
        <is>
          <t>acondicionador</t>
        </is>
      </c>
      <c r="M2382" s="2" t="inlineStr">
        <is>
          <t>estandar</t>
        </is>
      </c>
      <c r="N2382" s="2" t="inlineStr">
        <is>
          <t>general</t>
        </is>
      </c>
      <c r="O2382" s="2" t="inlineStr">
        <is>
          <t>https://www.jumbo.com.ar/acondicionador-herbal-essences-crema-de-peinar-x300ml-paralisalos-bli-un-2/p</t>
        </is>
      </c>
    </row>
    <row r="2383">
      <c r="A2383" t="inlineStr">
        <is>
          <t>Jumbo</t>
        </is>
      </c>
      <c r="B2383" t="n">
        <v>149651</v>
      </c>
      <c r="C2383" t="n">
        <v>146560</v>
      </c>
      <c r="D2383" t="inlineStr">
        <is>
          <t>Acondicionador Herbal Essences Endulzalos Con Fuerza-pvc-ml.-670</t>
        </is>
      </c>
      <c r="E2383" t="inlineStr">
        <is>
          <t>HERBAL ESSENCES</t>
        </is>
      </c>
      <c r="F2383" t="n">
        <v>34.39</v>
      </c>
      <c r="G2383" t="n">
        <v>2842</v>
      </c>
      <c r="H2383" t="b">
        <v>0</v>
      </c>
      <c r="I2383" t="inlineStr"/>
      <c r="J2383" t="inlineStr"/>
      <c r="K2383" t="inlineStr">
        <is>
          <t>&gt; Perfumería &gt; Cuidado Capilar &gt; Acondicionador &gt;</t>
        </is>
      </c>
      <c r="L2383" t="inlineStr">
        <is>
          <t>acondicionador</t>
        </is>
      </c>
      <c r="M2383" t="inlineStr">
        <is>
          <t>estandar</t>
        </is>
      </c>
      <c r="N2383" t="inlineStr">
        <is>
          <t>general</t>
        </is>
      </c>
      <c r="O2383" t="inlineStr">
        <is>
          <t>https://www.jumbo.com.ar/acondicionador-herbal-essences-endulzalos-con-fuerza-pvc-ml-670-2/p</t>
        </is>
      </c>
    </row>
    <row r="2384">
      <c r="A2384" s="2" t="inlineStr">
        <is>
          <t>Jumbo</t>
        </is>
      </c>
      <c r="B2384" s="2" t="n">
        <v>149629</v>
      </c>
      <c r="C2384" s="2" t="n">
        <v>146538</v>
      </c>
      <c r="D2384" s="2" t="inlineStr">
        <is>
          <t>Shampoo Herbal Essences Endúlzalos Con Fuerza 700 Ml</t>
        </is>
      </c>
      <c r="E2384" s="2" t="inlineStr">
        <is>
          <t>HERBAL ESSENCES</t>
        </is>
      </c>
      <c r="F2384" s="2" t="n">
        <v>36.09</v>
      </c>
      <c r="G2384" s="2" t="n">
        <v>2983</v>
      </c>
      <c r="H2384" s="2" t="b">
        <v>0</v>
      </c>
      <c r="I2384" s="2" t="n">
        <v>700</v>
      </c>
      <c r="J2384" s="2" t="n">
        <v>0.0516</v>
      </c>
      <c r="K2384" s="2" t="inlineStr">
        <is>
          <t>&gt; Perfumería &gt; Cuidado Capilar &gt; Shampoo &gt;</t>
        </is>
      </c>
      <c r="L2384" s="2" t="inlineStr">
        <is>
          <t>shampoo</t>
        </is>
      </c>
      <c r="M2384" s="2" t="inlineStr">
        <is>
          <t>estandar</t>
        </is>
      </c>
      <c r="N2384" s="2" t="inlineStr">
        <is>
          <t>general</t>
        </is>
      </c>
      <c r="O2384" s="2" t="inlineStr">
        <is>
          <t>https://www.jumbo.com.ar/shampoo-herbal-essences-endulzalos-con-fuerza-700-ml-2/p</t>
        </is>
      </c>
    </row>
    <row r="2385">
      <c r="A2385" t="inlineStr">
        <is>
          <t>Jumbo</t>
        </is>
      </c>
      <c r="B2385" t="n">
        <v>148804</v>
      </c>
      <c r="C2385" t="n">
        <v>145704</v>
      </c>
      <c r="D2385" t="inlineStr">
        <is>
          <t>Shampoo Herbal Essences X 355ml-+ Acondicionador X 300ml-enciéndete-bli-un.-2</t>
        </is>
      </c>
      <c r="E2385" t="inlineStr">
        <is>
          <t>HERBAL ESSENCES</t>
        </is>
      </c>
      <c r="F2385" t="n">
        <v>23.07</v>
      </c>
      <c r="G2385" t="n">
        <v>23.07</v>
      </c>
      <c r="H2385" t="b">
        <v>0</v>
      </c>
      <c r="I2385" t="n">
        <v>355</v>
      </c>
      <c r="J2385" t="n">
        <v>0.065</v>
      </c>
      <c r="K2385" t="inlineStr">
        <is>
          <t>&gt; Perfumería &gt; Cuidado Capilar &gt; Shampoo &gt;</t>
        </is>
      </c>
      <c r="L2385" t="inlineStr">
        <is>
          <t>acondicionador</t>
        </is>
      </c>
      <c r="M2385" t="inlineStr">
        <is>
          <t>estandar</t>
        </is>
      </c>
      <c r="N2385" t="inlineStr">
        <is>
          <t>general</t>
        </is>
      </c>
      <c r="O2385" t="inlineStr">
        <is>
          <t>https://www.jumbo.com.ar/shampoo-herbal-essences-x-355ml-acondicionador-x-300ml-enciendete-bli-un-2-2/p</t>
        </is>
      </c>
    </row>
    <row r="2386">
      <c r="A2386" s="2" t="inlineStr">
        <is>
          <t>Jumbo</t>
        </is>
      </c>
      <c r="B2386" s="2" t="n">
        <v>148803</v>
      </c>
      <c r="C2386" s="2" t="n">
        <v>145701</v>
      </c>
      <c r="D2386" s="2" t="inlineStr">
        <is>
          <t>Shampoo Herbal Essences-+ Acondicionador-alborótalos-bli-un.-2</t>
        </is>
      </c>
      <c r="E2386" s="2" t="inlineStr">
        <is>
          <t>HERBAL ESSENCES</t>
        </is>
      </c>
      <c r="F2386" s="2" t="n">
        <v>20.99</v>
      </c>
      <c r="G2386" s="2" t="n">
        <v>20.99</v>
      </c>
      <c r="H2386" s="2" t="b">
        <v>0</v>
      </c>
      <c r="I2386" s="2" t="inlineStr"/>
      <c r="J2386" s="2" t="inlineStr"/>
      <c r="K2386" s="2" t="inlineStr">
        <is>
          <t>&gt; Perfumería &gt; Cuidado Capilar &gt; Shampoo &gt;</t>
        </is>
      </c>
      <c r="L2386" s="2" t="inlineStr">
        <is>
          <t>acondicionador</t>
        </is>
      </c>
      <c r="M2386" s="2" t="inlineStr">
        <is>
          <t>estandar</t>
        </is>
      </c>
      <c r="N2386" s="2" t="inlineStr">
        <is>
          <t>general</t>
        </is>
      </c>
      <c r="O2386" s="2" t="inlineStr">
        <is>
          <t>https://www.jumbo.com.ar/shampoo-herbal-essences-acondicionador-alborotalos-bli-un-2-2/p</t>
        </is>
      </c>
    </row>
    <row r="2387">
      <c r="A2387" t="inlineStr">
        <is>
          <t>Jumbo</t>
        </is>
      </c>
      <c r="B2387" t="n">
        <v>148801</v>
      </c>
      <c r="C2387" t="n">
        <v>145699</v>
      </c>
      <c r="D2387" t="inlineStr">
        <is>
          <t>Shampoo Herbal Essences-+ Acondicionador-hidradisíaco-bli-un.-2</t>
        </is>
      </c>
      <c r="E2387" t="inlineStr">
        <is>
          <t>HERBAL ESSENCES</t>
        </is>
      </c>
      <c r="F2387" t="n">
        <v>17.29</v>
      </c>
      <c r="G2387" t="n">
        <v>17.29</v>
      </c>
      <c r="H2387" t="b">
        <v>0</v>
      </c>
      <c r="I2387" t="inlineStr"/>
      <c r="J2387" t="inlineStr"/>
      <c r="K2387" t="inlineStr">
        <is>
          <t>&gt; Perfumería &gt; Cuidado Capilar &gt; Shampoo &gt;</t>
        </is>
      </c>
      <c r="L2387" t="inlineStr">
        <is>
          <t>acondicionador</t>
        </is>
      </c>
      <c r="M2387" t="inlineStr">
        <is>
          <t>estandar</t>
        </is>
      </c>
      <c r="N2387" t="inlineStr">
        <is>
          <t>general</t>
        </is>
      </c>
      <c r="O2387" t="inlineStr">
        <is>
          <t>https://www.jumbo.com.ar/shampoo-herbal-essences-acondicionador-hidradisiaco-bli-un-2-2/p</t>
        </is>
      </c>
    </row>
    <row r="2388">
      <c r="A2388" s="2" t="inlineStr">
        <is>
          <t>Jumbo</t>
        </is>
      </c>
      <c r="B2388" s="2" t="n">
        <v>147392</v>
      </c>
      <c r="C2388" s="2" t="n">
        <v>144300</v>
      </c>
      <c r="D2388" s="2" t="inlineStr">
        <is>
          <t>Shampoo Herbal Essences-paracaídas-pvc-ml.-355</t>
        </is>
      </c>
      <c r="E2388" s="2" t="inlineStr">
        <is>
          <t>HERBAL ESSENCES</t>
        </is>
      </c>
      <c r="F2388" s="2" t="n">
        <v>15.75</v>
      </c>
      <c r="G2388" s="2" t="n">
        <v>1302</v>
      </c>
      <c r="H2388" s="2" t="b">
        <v>0</v>
      </c>
      <c r="I2388" s="2" t="inlineStr"/>
      <c r="J2388" s="2" t="inlineStr"/>
      <c r="K2388" s="2" t="inlineStr">
        <is>
          <t>&gt; Perfumería &gt; Cuidado Capilar &gt; Shampoo &gt;</t>
        </is>
      </c>
      <c r="L2388" s="2" t="inlineStr">
        <is>
          <t>shampoo</t>
        </is>
      </c>
      <c r="M2388" s="2" t="inlineStr">
        <is>
          <t>estandar</t>
        </is>
      </c>
      <c r="N2388" s="2" t="inlineStr">
        <is>
          <t>general</t>
        </is>
      </c>
      <c r="O2388" s="2" t="inlineStr">
        <is>
          <t>https://www.jumbo.com.ar/shampoo-herbal-essences-paracaidas-pvc-ml-355-2/p</t>
        </is>
      </c>
    </row>
    <row r="2389">
      <c r="A2389" t="inlineStr">
        <is>
          <t>Jumbo</t>
        </is>
      </c>
      <c r="B2389" t="n">
        <v>147386</v>
      </c>
      <c r="C2389" t="n">
        <v>144295</v>
      </c>
      <c r="D2389" t="inlineStr">
        <is>
          <t>Acondicionador Herbal Essences-curvas Peligrosas-pvc-ml.-670</t>
        </is>
      </c>
      <c r="E2389" t="inlineStr">
        <is>
          <t>HERBAL ESSENCES</t>
        </is>
      </c>
      <c r="F2389" t="n">
        <v>297.99</v>
      </c>
      <c r="G2389" t="n">
        <v>24627</v>
      </c>
      <c r="H2389" t="b">
        <v>0</v>
      </c>
      <c r="I2389" t="inlineStr"/>
      <c r="J2389" t="inlineStr"/>
      <c r="K2389" t="inlineStr">
        <is>
          <t>&gt; Perfumería &gt; Cuidado Capilar &gt; Acondicionador &gt;</t>
        </is>
      </c>
      <c r="L2389" t="inlineStr">
        <is>
          <t>acondicionador</t>
        </is>
      </c>
      <c r="M2389" t="inlineStr">
        <is>
          <t>estandar</t>
        </is>
      </c>
      <c r="N2389" t="inlineStr">
        <is>
          <t>general</t>
        </is>
      </c>
      <c r="O2389" t="inlineStr">
        <is>
          <t>https://www.jumbo.com.ar/acondicionador-herbal-essences-curvas-peligrosas-pvc-ml-670-2/p</t>
        </is>
      </c>
    </row>
    <row r="2390">
      <c r="A2390" s="2" t="inlineStr">
        <is>
          <t>Jumbo</t>
        </is>
      </c>
      <c r="B2390" s="2" t="n">
        <v>147379</v>
      </c>
      <c r="C2390" s="2" t="n">
        <v>144288</v>
      </c>
      <c r="D2390" s="2" t="inlineStr">
        <is>
          <t>Acondicionador Herbal Essences-domador De Fieras-pvc-ml.-300</t>
        </is>
      </c>
      <c r="E2390" s="2" t="inlineStr">
        <is>
          <t>HERBAL ESSENCES</t>
        </is>
      </c>
      <c r="F2390" s="2" t="n">
        <v>157.69</v>
      </c>
      <c r="G2390" s="2" t="n">
        <v>13032</v>
      </c>
      <c r="H2390" s="2" t="b">
        <v>0</v>
      </c>
      <c r="I2390" s="2" t="inlineStr"/>
      <c r="J2390" s="2" t="inlineStr"/>
      <c r="K2390" s="2" t="inlineStr">
        <is>
          <t>&gt; Perfumería &gt; Cuidado Capilar &gt; Acondicionador &gt;</t>
        </is>
      </c>
      <c r="L2390" s="2" t="inlineStr">
        <is>
          <t>acondicionador</t>
        </is>
      </c>
      <c r="M2390" s="2" t="inlineStr">
        <is>
          <t>estandar</t>
        </is>
      </c>
      <c r="N2390" s="2" t="inlineStr">
        <is>
          <t>general</t>
        </is>
      </c>
      <c r="O2390" s="2" t="inlineStr">
        <is>
          <t>https://www.jumbo.com.ar/acondicionador-herbal-essences-domador-de-fieras-pvc-ml-300-2/p</t>
        </is>
      </c>
    </row>
    <row r="2391">
      <c r="A2391" t="inlineStr">
        <is>
          <t>Jumbo</t>
        </is>
      </c>
      <c r="B2391" t="n">
        <v>147364</v>
      </c>
      <c r="C2391" t="n">
        <v>144272</v>
      </c>
      <c r="D2391" t="inlineStr">
        <is>
          <t>Shampoo Herbal Essences-hidradisíaco-pvc-mi-355</t>
        </is>
      </c>
      <c r="E2391" t="inlineStr">
        <is>
          <t>HERBAL ESSENCES</t>
        </is>
      </c>
      <c r="F2391" t="n">
        <v>15.75</v>
      </c>
      <c r="G2391" t="n">
        <v>1302</v>
      </c>
      <c r="H2391" t="b">
        <v>0</v>
      </c>
      <c r="I2391" t="inlineStr"/>
      <c r="J2391" t="inlineStr"/>
      <c r="K2391" t="inlineStr">
        <is>
          <t>&gt; Perfumería &gt; Cuidado Capilar &gt; Shampoo &gt;</t>
        </is>
      </c>
      <c r="L2391" t="inlineStr">
        <is>
          <t>shampoo</t>
        </is>
      </c>
      <c r="M2391" t="inlineStr">
        <is>
          <t>estandar</t>
        </is>
      </c>
      <c r="N2391" t="inlineStr">
        <is>
          <t>general</t>
        </is>
      </c>
      <c r="O2391" t="inlineStr">
        <is>
          <t>https://www.jumbo.com.ar/shampoo-herbal-essences-hidradisiaco-pvc-mi-355-2/p</t>
        </is>
      </c>
    </row>
    <row r="2392">
      <c r="A2392" s="2" t="inlineStr">
        <is>
          <t>Jumbo</t>
        </is>
      </c>
      <c r="B2392" s="2" t="n">
        <v>146588</v>
      </c>
      <c r="C2392" s="2" t="n">
        <v>143497</v>
      </c>
      <c r="D2392" s="2" t="inlineStr">
        <is>
          <t>Shampoo Herbal Essences-paralísalos-pvc-ml.-355</t>
        </is>
      </c>
      <c r="E2392" s="2" t="inlineStr">
        <is>
          <t>HERBAL ESSENCES</t>
        </is>
      </c>
      <c r="F2392" s="2" t="n">
        <v>15.75</v>
      </c>
      <c r="G2392" s="2" t="n">
        <v>1302</v>
      </c>
      <c r="H2392" s="2" t="b">
        <v>0</v>
      </c>
      <c r="I2392" s="2" t="inlineStr"/>
      <c r="J2392" s="2" t="inlineStr"/>
      <c r="K2392" s="2" t="inlineStr">
        <is>
          <t>&gt; Perfumería &gt; Cuidado Capilar &gt; Shampoo &gt;</t>
        </is>
      </c>
      <c r="L2392" s="2" t="inlineStr">
        <is>
          <t>shampoo</t>
        </is>
      </c>
      <c r="M2392" s="2" t="inlineStr">
        <is>
          <t>estandar</t>
        </is>
      </c>
      <c r="N2392" s="2" t="inlineStr">
        <is>
          <t>general</t>
        </is>
      </c>
      <c r="O2392" s="2" t="inlineStr">
        <is>
          <t>https://www.jumbo.com.ar/shampoo-herbal-essences-paralisalos-pvc-ml-355-2/p</t>
        </is>
      </c>
    </row>
    <row r="2393">
      <c r="A2393" t="inlineStr">
        <is>
          <t>Jumbo</t>
        </is>
      </c>
      <c r="B2393" t="n">
        <v>146557</v>
      </c>
      <c r="C2393" t="n">
        <v>143466</v>
      </c>
      <c r="D2393" t="inlineStr">
        <is>
          <t>Shampoo Herbal Essences Curvas Peligrosas 700 Ml</t>
        </is>
      </c>
      <c r="E2393" t="inlineStr">
        <is>
          <t>HERBAL ESSENCES</t>
        </is>
      </c>
      <c r="F2393" t="n">
        <v>297.99</v>
      </c>
      <c r="G2393" t="n">
        <v>24627</v>
      </c>
      <c r="H2393" t="b">
        <v>0</v>
      </c>
      <c r="I2393" t="n">
        <v>700</v>
      </c>
      <c r="J2393" t="n">
        <v>0.4257</v>
      </c>
      <c r="K2393" t="inlineStr">
        <is>
          <t>&gt; Perfumería &gt; Cuidado Capilar &gt; Shampoo &gt;</t>
        </is>
      </c>
      <c r="L2393" t="inlineStr">
        <is>
          <t>shampoo</t>
        </is>
      </c>
      <c r="M2393" t="inlineStr">
        <is>
          <t>estandar</t>
        </is>
      </c>
      <c r="N2393" t="inlineStr">
        <is>
          <t>general</t>
        </is>
      </c>
      <c r="O2393" t="inlineStr">
        <is>
          <t>https://www.jumbo.com.ar/shampoo-herbal-essences-curvas-peligrosas-700-ml-2/p</t>
        </is>
      </c>
    </row>
    <row r="2394">
      <c r="A2394" s="2" t="inlineStr">
        <is>
          <t>Jumbo</t>
        </is>
      </c>
      <c r="B2394" s="2" t="n">
        <v>146551</v>
      </c>
      <c r="C2394" s="2" t="n">
        <v>143459</v>
      </c>
      <c r="D2394" s="2" t="inlineStr">
        <is>
          <t>Shampoo Herbal Essences Prolóngalo 700 Ml</t>
        </is>
      </c>
      <c r="E2394" s="2" t="inlineStr">
        <is>
          <t>HERBAL ESSENCES</t>
        </is>
      </c>
      <c r="F2394" s="2" t="n">
        <v>297.99</v>
      </c>
      <c r="G2394" s="2" t="n">
        <v>24627</v>
      </c>
      <c r="H2394" s="2" t="b">
        <v>0</v>
      </c>
      <c r="I2394" s="2" t="n">
        <v>700</v>
      </c>
      <c r="J2394" s="2" t="n">
        <v>0.4257</v>
      </c>
      <c r="K2394" s="2" t="inlineStr">
        <is>
          <t>&gt; Perfumería &gt; Cuidado Capilar &gt; Shampoo &gt;</t>
        </is>
      </c>
      <c r="L2394" s="2" t="inlineStr">
        <is>
          <t>shampoo</t>
        </is>
      </c>
      <c r="M2394" s="2" t="inlineStr">
        <is>
          <t>estandar</t>
        </is>
      </c>
      <c r="N2394" s="2" t="inlineStr">
        <is>
          <t>general</t>
        </is>
      </c>
      <c r="O2394" s="2" t="inlineStr">
        <is>
          <t>https://www.jumbo.com.ar/shampoo-herbal-essences-prolongalo-700-ml-2/p</t>
        </is>
      </c>
    </row>
    <row r="2395">
      <c r="A2395" t="inlineStr">
        <is>
          <t>Jumbo</t>
        </is>
      </c>
      <c r="B2395" t="n">
        <v>146538</v>
      </c>
      <c r="C2395" t="n">
        <v>143450</v>
      </c>
      <c r="D2395" t="inlineStr">
        <is>
          <t>Shampoo Herbal Essences-prolóngalos-pvc-ml.-355</t>
        </is>
      </c>
      <c r="E2395" t="inlineStr">
        <is>
          <t>HERBAL ESSENCES</t>
        </is>
      </c>
      <c r="F2395" t="n">
        <v>15.75</v>
      </c>
      <c r="G2395" t="n">
        <v>1302</v>
      </c>
      <c r="H2395" t="b">
        <v>0</v>
      </c>
      <c r="I2395" t="inlineStr"/>
      <c r="J2395" t="inlineStr"/>
      <c r="K2395" t="inlineStr">
        <is>
          <t>&gt; Perfumería &gt; Cuidado Capilar &gt; Shampoo &gt;</t>
        </is>
      </c>
      <c r="L2395" t="inlineStr">
        <is>
          <t>shampoo</t>
        </is>
      </c>
      <c r="M2395" t="inlineStr">
        <is>
          <t>estandar</t>
        </is>
      </c>
      <c r="N2395" t="inlineStr">
        <is>
          <t>general</t>
        </is>
      </c>
      <c r="O2395" t="inlineStr">
        <is>
          <t>https://www.jumbo.com.ar/shampoo-herbal-essences-prolongalos-pvc-ml-355-2/p</t>
        </is>
      </c>
    </row>
    <row r="2396">
      <c r="A2396" s="2" t="inlineStr">
        <is>
          <t>Jumbo</t>
        </is>
      </c>
      <c r="B2396" s="2" t="n">
        <v>146511</v>
      </c>
      <c r="C2396" s="2" t="n">
        <v>143419</v>
      </c>
      <c r="D2396" s="2" t="inlineStr">
        <is>
          <t>Shampoo Herbal Essences-alborótalos-pvc-ml.-355</t>
        </is>
      </c>
      <c r="E2396" s="2" t="inlineStr">
        <is>
          <t>HERBAL ESSENCES</t>
        </is>
      </c>
      <c r="F2396" s="2" t="n">
        <v>15.75</v>
      </c>
      <c r="G2396" s="2" t="n">
        <v>1302</v>
      </c>
      <c r="H2396" s="2" t="b">
        <v>0</v>
      </c>
      <c r="I2396" s="2" t="inlineStr"/>
      <c r="J2396" s="2" t="inlineStr"/>
      <c r="K2396" s="2" t="inlineStr">
        <is>
          <t>&gt; Perfumería &gt; Cuidado Capilar &gt; Shampoo &gt;</t>
        </is>
      </c>
      <c r="L2396" s="2" t="inlineStr">
        <is>
          <t>shampoo</t>
        </is>
      </c>
      <c r="M2396" s="2" t="inlineStr">
        <is>
          <t>estandar</t>
        </is>
      </c>
      <c r="N2396" s="2" t="inlineStr">
        <is>
          <t>general</t>
        </is>
      </c>
      <c r="O2396" s="2" t="inlineStr">
        <is>
          <t>https://www.jumbo.com.ar/shampoo-herbal-essences-alborotalos-pvc-ml-355-2/p</t>
        </is>
      </c>
    </row>
    <row r="2397">
      <c r="A2397" t="inlineStr">
        <is>
          <t>Jumbo</t>
        </is>
      </c>
      <c r="B2397" t="n">
        <v>146502</v>
      </c>
      <c r="C2397" t="n">
        <v>143411</v>
      </c>
      <c r="D2397" t="inlineStr">
        <is>
          <t>Shampoo Herbal Essences-domador De Fieras-pvc-ml.-355</t>
        </is>
      </c>
      <c r="E2397" t="inlineStr">
        <is>
          <t>HERBAL ESSENCES</t>
        </is>
      </c>
      <c r="F2397" t="n">
        <v>15.75</v>
      </c>
      <c r="G2397" t="n">
        <v>1302</v>
      </c>
      <c r="H2397" t="b">
        <v>0</v>
      </c>
      <c r="I2397" t="inlineStr"/>
      <c r="J2397" t="inlineStr"/>
      <c r="K2397" t="inlineStr">
        <is>
          <t>&gt; Perfumería &gt; Cuidado Capilar &gt; Shampoo &gt;</t>
        </is>
      </c>
      <c r="L2397" t="inlineStr">
        <is>
          <t>shampoo</t>
        </is>
      </c>
      <c r="M2397" t="inlineStr">
        <is>
          <t>estandar</t>
        </is>
      </c>
      <c r="N2397" t="inlineStr">
        <is>
          <t>general</t>
        </is>
      </c>
      <c r="O2397" t="inlineStr">
        <is>
          <t>https://www.jumbo.com.ar/shampoo-herbal-essences-domador-de-fieras-pvc-ml-355-2/p</t>
        </is>
      </c>
    </row>
    <row r="2398">
      <c r="A2398" s="2" t="inlineStr">
        <is>
          <t>Jumbo</t>
        </is>
      </c>
      <c r="B2398" s="2" t="n">
        <v>146498</v>
      </c>
      <c r="C2398" s="2" t="n">
        <v>143407</v>
      </c>
      <c r="D2398" s="2" t="inlineStr">
        <is>
          <t>Shampoo Herbal Essences-curvas Peligrosas-pvc-ml.-355</t>
        </is>
      </c>
      <c r="E2398" s="2" t="inlineStr">
        <is>
          <t>HERBAL ESSENCES</t>
        </is>
      </c>
      <c r="F2398" s="2" t="n">
        <v>15.75</v>
      </c>
      <c r="G2398" s="2" t="n">
        <v>1302</v>
      </c>
      <c r="H2398" s="2" t="b">
        <v>0</v>
      </c>
      <c r="I2398" s="2" t="inlineStr"/>
      <c r="J2398" s="2" t="inlineStr"/>
      <c r="K2398" s="2" t="inlineStr">
        <is>
          <t>&gt; Perfumería &gt; Cuidado Capilar &gt; Shampoo &gt;</t>
        </is>
      </c>
      <c r="L2398" s="2" t="inlineStr">
        <is>
          <t>shampoo</t>
        </is>
      </c>
      <c r="M2398" s="2" t="inlineStr">
        <is>
          <t>estandar</t>
        </is>
      </c>
      <c r="N2398" s="2" t="inlineStr">
        <is>
          <t>general</t>
        </is>
      </c>
      <c r="O2398" s="2" t="inlineStr">
        <is>
          <t>https://www.jumbo.com.ar/shampoo-herbal-essences-curvas-peligrosas-pvc-ml-355-2/p</t>
        </is>
      </c>
    </row>
    <row r="2399">
      <c r="A2399" t="inlineStr">
        <is>
          <t>Jumbo</t>
        </is>
      </c>
      <c r="B2399" t="n">
        <v>146494</v>
      </c>
      <c r="C2399" t="n">
        <v>143403</v>
      </c>
      <c r="D2399" t="inlineStr">
        <is>
          <t>Shampoo Herbal Essences-enciéndete-pvc-ml.-355</t>
        </is>
      </c>
      <c r="E2399" t="inlineStr">
        <is>
          <t>HERBAL ESSENCES</t>
        </is>
      </c>
      <c r="F2399" t="n">
        <v>15.75</v>
      </c>
      <c r="G2399" t="n">
        <v>1302</v>
      </c>
      <c r="H2399" t="b">
        <v>0</v>
      </c>
      <c r="I2399" t="inlineStr"/>
      <c r="J2399" t="inlineStr"/>
      <c r="K2399" t="inlineStr">
        <is>
          <t>&gt; Perfumería &gt; Cuidado Capilar &gt; Shampoo &gt;</t>
        </is>
      </c>
      <c r="L2399" t="inlineStr">
        <is>
          <t>shampoo</t>
        </is>
      </c>
      <c r="M2399" t="inlineStr">
        <is>
          <t>estandar</t>
        </is>
      </c>
      <c r="N2399" t="inlineStr">
        <is>
          <t>general</t>
        </is>
      </c>
      <c r="O2399" t="inlineStr">
        <is>
          <t>https://www.jumbo.com.ar/shampoo-herbal-essences-enciendete-pvc-ml-355-2/p</t>
        </is>
      </c>
    </row>
    <row r="2400">
      <c r="A2400" s="2" t="inlineStr">
        <is>
          <t>Jumbo</t>
        </is>
      </c>
      <c r="B2400" s="2" t="n">
        <v>46830</v>
      </c>
      <c r="C2400" s="2" t="n">
        <v>43994</v>
      </c>
      <c r="D2400" s="2" t="inlineStr">
        <is>
          <t>Acondicionador Herbal Essences Daily Detox Brillo 300 Ml</t>
        </is>
      </c>
      <c r="E2400" s="2" t="inlineStr">
        <is>
          <t>HERBAL ESSENCES</t>
        </is>
      </c>
      <c r="F2400" s="2" t="n">
        <v>157.69</v>
      </c>
      <c r="G2400" s="2" t="n">
        <v>13032</v>
      </c>
      <c r="H2400" s="2" t="b">
        <v>0</v>
      </c>
      <c r="I2400" s="2" t="n">
        <v>300</v>
      </c>
      <c r="J2400" s="2" t="n">
        <v>0.5256</v>
      </c>
      <c r="K2400" s="2" t="inlineStr">
        <is>
          <t>&gt; Perfumería &gt; Cuidado Capilar &gt; Acondicionador &gt;</t>
        </is>
      </c>
      <c r="L2400" s="2" t="inlineStr">
        <is>
          <t>acondicionador</t>
        </is>
      </c>
      <c r="M2400" s="2" t="inlineStr">
        <is>
          <t>estandar</t>
        </is>
      </c>
      <c r="N2400" s="2" t="inlineStr">
        <is>
          <t>general</t>
        </is>
      </c>
      <c r="O2400" s="2" t="inlineStr">
        <is>
          <t>https://www.jumbo.com.ar/acondicionador-herbal-essences-daily-detox-brillo-300-ml/p</t>
        </is>
      </c>
    </row>
    <row r="2401">
      <c r="A2401" t="inlineStr">
        <is>
          <t>Jumbo</t>
        </is>
      </c>
      <c r="B2401" t="n">
        <v>46735</v>
      </c>
      <c r="C2401" t="n">
        <v>43899</v>
      </c>
      <c r="D2401" t="inlineStr">
        <is>
          <t>Shampoo Herbal Essences Daily Detox Brillo 300 Ml</t>
        </is>
      </c>
      <c r="E2401" t="inlineStr">
        <is>
          <t>HERBAL ESSENCES</t>
        </is>
      </c>
      <c r="F2401" t="n">
        <v>157.69</v>
      </c>
      <c r="G2401" t="n">
        <v>13032</v>
      </c>
      <c r="H2401" t="b">
        <v>0</v>
      </c>
      <c r="I2401" t="n">
        <v>300</v>
      </c>
      <c r="J2401" t="n">
        <v>0.5256</v>
      </c>
      <c r="K2401" t="inlineStr">
        <is>
          <t>&gt; Perfumería &gt; Cuidado Capilar &gt; Shampoo &gt;</t>
        </is>
      </c>
      <c r="L2401" t="inlineStr">
        <is>
          <t>shampoo</t>
        </is>
      </c>
      <c r="M2401" t="inlineStr">
        <is>
          <t>estandar</t>
        </is>
      </c>
      <c r="N2401" t="inlineStr">
        <is>
          <t>general</t>
        </is>
      </c>
      <c r="O2401" t="inlineStr">
        <is>
          <t>https://www.jumbo.com.ar/shampoo-herbal-essences-daily-detox-brillo-300-ml/p</t>
        </is>
      </c>
    </row>
    <row r="2402">
      <c r="A2402" s="2" t="inlineStr">
        <is>
          <t>Jumbo</t>
        </is>
      </c>
      <c r="B2402" s="2" t="n">
        <v>46734</v>
      </c>
      <c r="C2402" s="2" t="n">
        <v>43898</v>
      </c>
      <c r="D2402" s="2" t="inlineStr">
        <is>
          <t>Acondicionador Herbal Essences Daily Detox Hidratación 300 Ml</t>
        </is>
      </c>
      <c r="E2402" s="2" t="inlineStr">
        <is>
          <t>HERBAL ESSENCES</t>
        </is>
      </c>
      <c r="F2402" s="2" t="n">
        <v>157.69</v>
      </c>
      <c r="G2402" s="2" t="n">
        <v>13032</v>
      </c>
      <c r="H2402" s="2" t="b">
        <v>0</v>
      </c>
      <c r="I2402" s="2" t="n">
        <v>300</v>
      </c>
      <c r="J2402" s="2" t="n">
        <v>0.5256</v>
      </c>
      <c r="K2402" s="2" t="inlineStr">
        <is>
          <t>&gt; Perfumería &gt; Cuidado Capilar &gt; Acondicionador &gt;</t>
        </is>
      </c>
      <c r="L2402" s="2" t="inlineStr">
        <is>
          <t>acondicionador</t>
        </is>
      </c>
      <c r="M2402" s="2" t="inlineStr">
        <is>
          <t>estandar</t>
        </is>
      </c>
      <c r="N2402" s="2" t="inlineStr">
        <is>
          <t>seco_danado</t>
        </is>
      </c>
      <c r="O2402" s="2" t="inlineStr">
        <is>
          <t>https://www.jumbo.com.ar/acondicionador-herbal-essences-daily-detox-hidratacion-300-ml/p</t>
        </is>
      </c>
    </row>
    <row r="2403">
      <c r="A2403" t="inlineStr">
        <is>
          <t>Jumbo</t>
        </is>
      </c>
      <c r="B2403" t="n">
        <v>42238</v>
      </c>
      <c r="C2403" t="n">
        <v>39408</v>
      </c>
      <c r="D2403" t="inlineStr">
        <is>
          <t>Acondicionador Herbal Essences Delirio De Control 300 Ml</t>
        </is>
      </c>
      <c r="E2403" t="inlineStr">
        <is>
          <t>HERBAL ESSENCES</t>
        </is>
      </c>
      <c r="F2403" t="n">
        <v>157.69</v>
      </c>
      <c r="G2403" t="n">
        <v>13032</v>
      </c>
      <c r="H2403" t="b">
        <v>0</v>
      </c>
      <c r="I2403" t="n">
        <v>300</v>
      </c>
      <c r="J2403" t="n">
        <v>0.5256</v>
      </c>
      <c r="K2403" t="inlineStr">
        <is>
          <t>&gt; Perfumería &gt; Cuidado Capilar &gt; Acondicionador &gt;</t>
        </is>
      </c>
      <c r="L2403" t="inlineStr">
        <is>
          <t>acondicionador</t>
        </is>
      </c>
      <c r="M2403" t="inlineStr">
        <is>
          <t>estandar</t>
        </is>
      </c>
      <c r="N2403" t="inlineStr">
        <is>
          <t>general</t>
        </is>
      </c>
      <c r="O2403" t="inlineStr">
        <is>
          <t>https://www.jumbo.com.ar/acondicionador-herbal-essences-delirio-de-control-300-ml/p</t>
        </is>
      </c>
    </row>
    <row r="2404">
      <c r="A2404" s="2" t="inlineStr">
        <is>
          <t>Jumbo</t>
        </is>
      </c>
      <c r="B2404" s="2" t="n">
        <v>34506</v>
      </c>
      <c r="C2404" s="2" t="n">
        <v>31665</v>
      </c>
      <c r="D2404" s="2" t="inlineStr">
        <is>
          <t>Crema Para Peinar Herbal Essences Alborótalos 300 Ml</t>
        </is>
      </c>
      <c r="E2404" s="2" t="inlineStr">
        <is>
          <t>HERBAL ESSENCES</t>
        </is>
      </c>
      <c r="F2404" s="2" t="n">
        <v>189.75</v>
      </c>
      <c r="G2404" s="2" t="n">
        <v>15682</v>
      </c>
      <c r="H2404" s="2" t="b">
        <v>0</v>
      </c>
      <c r="I2404" s="2" t="n">
        <v>300</v>
      </c>
      <c r="J2404" s="2" t="n">
        <v>0.6325</v>
      </c>
      <c r="K2404" s="2" t="inlineStr">
        <is>
          <t>&gt; Perfumería &gt; Cuidado Capilar &gt; Reparación y Tratamientos &gt;</t>
        </is>
      </c>
      <c r="L2404" s="2" t="inlineStr">
        <is>
          <t>shampoo</t>
        </is>
      </c>
      <c r="M2404" s="2" t="inlineStr">
        <is>
          <t>estandar</t>
        </is>
      </c>
      <c r="N2404" s="2" t="inlineStr">
        <is>
          <t>general</t>
        </is>
      </c>
      <c r="O2404" s="2" t="inlineStr">
        <is>
          <t>https://www.jumbo.com.ar/crema-para-peinar-herbal-essences-alborotalos-300-ml/p</t>
        </is>
      </c>
    </row>
    <row r="2405">
      <c r="A2405" t="inlineStr">
        <is>
          <t>Jumbo</t>
        </is>
      </c>
      <c r="B2405" t="n">
        <v>34490</v>
      </c>
      <c r="C2405" t="n">
        <v>31649</v>
      </c>
      <c r="D2405" t="inlineStr">
        <is>
          <t>Acondicionador Herbal Essences Enciéndete 300 Ml</t>
        </is>
      </c>
      <c r="E2405" t="inlineStr">
        <is>
          <t>HERBAL ESSENCES</t>
        </is>
      </c>
      <c r="F2405" t="n">
        <v>157.69</v>
      </c>
      <c r="G2405" t="n">
        <v>13032</v>
      </c>
      <c r="H2405" t="b">
        <v>0</v>
      </c>
      <c r="I2405" t="n">
        <v>300</v>
      </c>
      <c r="J2405" t="n">
        <v>0.5256</v>
      </c>
      <c r="K2405" t="inlineStr">
        <is>
          <t>&gt; Perfumería &gt; Cuidado Capilar &gt; Acondicionador &gt;</t>
        </is>
      </c>
      <c r="L2405" t="inlineStr">
        <is>
          <t>acondicionador</t>
        </is>
      </c>
      <c r="M2405" t="inlineStr">
        <is>
          <t>estandar</t>
        </is>
      </c>
      <c r="N2405" t="inlineStr">
        <is>
          <t>general</t>
        </is>
      </c>
      <c r="O2405" t="inlineStr">
        <is>
          <t>https://www.jumbo.com.ar/acondicionador-herbal-essences-3/p</t>
        </is>
      </c>
    </row>
    <row r="2406">
      <c r="A2406" s="2" t="inlineStr">
        <is>
          <t>Jumbo</t>
        </is>
      </c>
      <c r="B2406" s="2" t="n">
        <v>29967</v>
      </c>
      <c r="C2406" s="2" t="n">
        <v>27129</v>
      </c>
      <c r="D2406" s="2" t="inlineStr">
        <is>
          <t>Crema Para Peinar Herbal Essences Endúlzalo Con Fuerza 300 Ml</t>
        </is>
      </c>
      <c r="E2406" s="2" t="inlineStr">
        <is>
          <t>HERBAL ESSENCES</t>
        </is>
      </c>
      <c r="F2406" s="2" t="n">
        <v>189.75</v>
      </c>
      <c r="G2406" s="2" t="n">
        <v>15682</v>
      </c>
      <c r="H2406" s="2" t="b">
        <v>0</v>
      </c>
      <c r="I2406" s="2" t="n">
        <v>300</v>
      </c>
      <c r="J2406" s="2" t="n">
        <v>0.6325</v>
      </c>
      <c r="K2406" s="2" t="inlineStr">
        <is>
          <t>&gt; Perfumería &gt; Cuidado Capilar &gt; Reparación y Tratamientos &gt;</t>
        </is>
      </c>
      <c r="L2406" s="2" t="inlineStr">
        <is>
          <t>shampoo</t>
        </is>
      </c>
      <c r="M2406" s="2" t="inlineStr">
        <is>
          <t>estandar</t>
        </is>
      </c>
      <c r="N2406" s="2" t="inlineStr">
        <is>
          <t>general</t>
        </is>
      </c>
      <c r="O2406" s="2" t="inlineStr">
        <is>
          <t>https://www.jumbo.com.ar/crema-para-peinar-herbal-essences-endulzalo-con-fuerza-300-ml/p</t>
        </is>
      </c>
    </row>
    <row r="2407">
      <c r="A2407" t="inlineStr">
        <is>
          <t>Jumbo</t>
        </is>
      </c>
      <c r="B2407" t="n">
        <v>29853</v>
      </c>
      <c r="C2407" t="n">
        <v>27015</v>
      </c>
      <c r="D2407" t="inlineStr">
        <is>
          <t>Shampoo Herbal Essences Endulzalos Con Fuerza Shampoo Herbal Essences Endúlzalo Con Fuerza 300 Ml</t>
        </is>
      </c>
      <c r="E2407" t="inlineStr">
        <is>
          <t>HERBAL ESSENCES</t>
        </is>
      </c>
      <c r="F2407" t="n">
        <v>157.69</v>
      </c>
      <c r="G2407" t="n">
        <v>13032</v>
      </c>
      <c r="H2407" t="b">
        <v>0</v>
      </c>
      <c r="I2407" t="n">
        <v>300</v>
      </c>
      <c r="J2407" t="n">
        <v>0.5256</v>
      </c>
      <c r="K2407" t="inlineStr">
        <is>
          <t>&gt; Perfumería &gt; Cuidado Capilar &gt; Shampoo &gt;</t>
        </is>
      </c>
      <c r="L2407" t="inlineStr">
        <is>
          <t>shampoo</t>
        </is>
      </c>
      <c r="M2407" t="inlineStr">
        <is>
          <t>estandar</t>
        </is>
      </c>
      <c r="N2407" t="inlineStr">
        <is>
          <t>general</t>
        </is>
      </c>
      <c r="O2407" t="inlineStr">
        <is>
          <t>https://www.jumbo.com.ar/shampoo-herbal-essences-endulzalos-con-fuerza/p</t>
        </is>
      </c>
    </row>
    <row r="2408">
      <c r="A2408" s="2" t="inlineStr">
        <is>
          <t>Jumbo</t>
        </is>
      </c>
      <c r="B2408" s="2" t="n">
        <v>29847</v>
      </c>
      <c r="C2408" s="2" t="n">
        <v>27009</v>
      </c>
      <c r="D2408" s="2" t="inlineStr">
        <is>
          <t>Acondicionador Herbal Essences Endulzalos Con Fuerza Acondicionador Herbal Essences Endúlzalo Con Fuerza 300 Ml</t>
        </is>
      </c>
      <c r="E2408" s="2" t="inlineStr">
        <is>
          <t>HERBAL ESSENCES</t>
        </is>
      </c>
      <c r="F2408" s="2" t="n">
        <v>157.69</v>
      </c>
      <c r="G2408" s="2" t="n">
        <v>13032</v>
      </c>
      <c r="H2408" s="2" t="b">
        <v>0</v>
      </c>
      <c r="I2408" s="2" t="n">
        <v>300</v>
      </c>
      <c r="J2408" s="2" t="n">
        <v>0.5256</v>
      </c>
      <c r="K2408" s="2" t="inlineStr">
        <is>
          <t>&gt; Perfumería &gt; Cuidado Capilar &gt; Acondicionador &gt;</t>
        </is>
      </c>
      <c r="L2408" s="2" t="inlineStr">
        <is>
          <t>acondicionador</t>
        </is>
      </c>
      <c r="M2408" s="2" t="inlineStr">
        <is>
          <t>estandar</t>
        </is>
      </c>
      <c r="N2408" s="2" t="inlineStr">
        <is>
          <t>general</t>
        </is>
      </c>
      <c r="O2408" s="2" t="inlineStr">
        <is>
          <t>https://www.jumbo.com.ar/acondicionador-herbal-essences-endulzalos-con-fuerza/p</t>
        </is>
      </c>
    </row>
    <row r="2409">
      <c r="A2409" t="inlineStr">
        <is>
          <t>Jumbo</t>
        </is>
      </c>
      <c r="B2409" t="n">
        <v>29627</v>
      </c>
      <c r="C2409" t="n">
        <v>26789</v>
      </c>
      <c r="D2409" t="inlineStr">
        <is>
          <t>Shampoo Herbal Essences Paralísalos 300 Ml</t>
        </is>
      </c>
      <c r="E2409" t="inlineStr">
        <is>
          <t>HERBAL ESSENCES</t>
        </is>
      </c>
      <c r="F2409" t="n">
        <v>157.69</v>
      </c>
      <c r="G2409" t="n">
        <v>13032</v>
      </c>
      <c r="H2409" t="b">
        <v>0</v>
      </c>
      <c r="I2409" t="n">
        <v>300</v>
      </c>
      <c r="J2409" t="n">
        <v>0.5256</v>
      </c>
      <c r="K2409" t="inlineStr">
        <is>
          <t>&gt; Perfumería &gt; Cuidado Capilar &gt; Shampoo &gt;</t>
        </is>
      </c>
      <c r="L2409" t="inlineStr">
        <is>
          <t>shampoo</t>
        </is>
      </c>
      <c r="M2409" t="inlineStr">
        <is>
          <t>estandar</t>
        </is>
      </c>
      <c r="N2409" t="inlineStr">
        <is>
          <t>general</t>
        </is>
      </c>
      <c r="O2409" t="inlineStr">
        <is>
          <t>https://www.jumbo.com.ar/shampoo-herbal-essences-4/p</t>
        </is>
      </c>
    </row>
    <row r="2410">
      <c r="A2410" s="2" t="inlineStr">
        <is>
          <t>Jumbo</t>
        </is>
      </c>
      <c r="B2410" s="2" t="n">
        <v>29569</v>
      </c>
      <c r="C2410" s="2" t="n">
        <v>26731</v>
      </c>
      <c r="D2410" s="2" t="inlineStr">
        <is>
          <t>Shampoo Herbal Essences-curvas Peligrosas-pvc-ml.-300</t>
        </is>
      </c>
      <c r="E2410" s="2" t="inlineStr">
        <is>
          <t>HERBAL ESSENCES</t>
        </is>
      </c>
      <c r="F2410" s="2" t="n">
        <v>21.29</v>
      </c>
      <c r="G2410" s="2" t="n">
        <v>1760</v>
      </c>
      <c r="H2410" s="2" t="b">
        <v>0</v>
      </c>
      <c r="I2410" s="2" t="inlineStr"/>
      <c r="J2410" s="2" t="inlineStr"/>
      <c r="K2410" s="2" t="inlineStr">
        <is>
          <t>&gt; Perfumería &gt; Cuidado Capilar &gt; Shampoo &gt;</t>
        </is>
      </c>
      <c r="L2410" s="2" t="inlineStr">
        <is>
          <t>shampoo</t>
        </is>
      </c>
      <c r="M2410" s="2" t="inlineStr">
        <is>
          <t>estandar</t>
        </is>
      </c>
      <c r="N2410" s="2" t="inlineStr">
        <is>
          <t>general</t>
        </is>
      </c>
      <c r="O2410" s="2" t="inlineStr">
        <is>
          <t>https://www.jumbo.com.ar/shampoo-herbal-essences/p</t>
        </is>
      </c>
    </row>
    <row r="2411">
      <c r="A2411" t="inlineStr">
        <is>
          <t>Jumbo</t>
        </is>
      </c>
      <c r="B2411" t="n">
        <v>384082</v>
      </c>
      <c r="C2411" t="n">
        <v>382765</v>
      </c>
      <c r="D2411" t="inlineStr">
        <is>
          <t>Aceite para el Pelo Óleo Extraordinario Nutrición 100 Ml Elvive</t>
        </is>
      </c>
      <c r="E2411" t="inlineStr">
        <is>
          <t>ELVIVE</t>
        </is>
      </c>
      <c r="F2411" t="n">
        <v>21600</v>
      </c>
      <c r="G2411" t="n">
        <v>1785124</v>
      </c>
      <c r="H2411" t="b">
        <v>1</v>
      </c>
      <c r="I2411" t="n">
        <v>100</v>
      </c>
      <c r="J2411" t="n">
        <v>216</v>
      </c>
      <c r="K2411" t="inlineStr">
        <is>
          <t>&gt; Perfumería &gt; Cuidado Capilar &gt; Reparación y Tratamientos &gt;</t>
        </is>
      </c>
      <c r="L2411" t="inlineStr">
        <is>
          <t>shampoo</t>
        </is>
      </c>
      <c r="M2411" t="inlineStr">
        <is>
          <t>profesional</t>
        </is>
      </c>
      <c r="N2411" t="inlineStr">
        <is>
          <t>general</t>
        </is>
      </c>
      <c r="O2411" t="inlineStr">
        <is>
          <t>https://www.jumbo.com.ar/tratamiento-nutricion-elvive-loreal-oleo-extraordinario-100-ml/p</t>
        </is>
      </c>
    </row>
    <row r="2412">
      <c r="A2412" s="2" t="inlineStr">
        <is>
          <t>Jumbo</t>
        </is>
      </c>
      <c r="B2412" s="2" t="n">
        <v>420156</v>
      </c>
      <c r="C2412" s="2" t="n">
        <v>414430</v>
      </c>
      <c r="D2412" s="2" t="inlineStr">
        <is>
          <t>Crema para Peinar Cabello Rizado Oleo Extraordinario 250 Ml Elvive</t>
        </is>
      </c>
      <c r="E2412" s="2" t="inlineStr">
        <is>
          <t>ELVIVE</t>
        </is>
      </c>
      <c r="F2412" s="2" t="n">
        <v>9700</v>
      </c>
      <c r="G2412" s="2" t="n">
        <v>801653</v>
      </c>
      <c r="H2412" s="2" t="b">
        <v>1</v>
      </c>
      <c r="I2412" s="2" t="n">
        <v>250</v>
      </c>
      <c r="J2412" s="2" t="n">
        <v>38.8</v>
      </c>
      <c r="K2412" s="2" t="inlineStr">
        <is>
          <t>&gt; Perfumería &gt; Cuidado Capilar &gt; Reparación y Tratamientos &gt;</t>
        </is>
      </c>
      <c r="L2412" s="2" t="inlineStr">
        <is>
          <t>shampoo</t>
        </is>
      </c>
      <c r="M2412" s="2" t="inlineStr">
        <is>
          <t>profesional</t>
        </is>
      </c>
      <c r="N2412" s="2" t="inlineStr">
        <is>
          <t>rizado</t>
        </is>
      </c>
      <c r="O2412" s="2" t="inlineStr">
        <is>
          <t>https://www.jumbo.com.ar/crema-para-peinar-elvive-oleo-rizo/p</t>
        </is>
      </c>
    </row>
    <row r="2413">
      <c r="A2413" t="inlineStr">
        <is>
          <t>Jumbo</t>
        </is>
      </c>
      <c r="B2413" t="n">
        <v>407571</v>
      </c>
      <c r="C2413" t="n">
        <v>403760</v>
      </c>
      <c r="D2413" t="inlineStr">
        <is>
          <t>Mascarilla Elvive Rt5 Keratin 300 Gr</t>
        </is>
      </c>
      <c r="E2413" t="inlineStr">
        <is>
          <t>ELVIVE</t>
        </is>
      </c>
      <c r="F2413" t="n">
        <v>11550</v>
      </c>
      <c r="G2413" t="n">
        <v>954545</v>
      </c>
      <c r="H2413" t="b">
        <v>1</v>
      </c>
      <c r="I2413" t="n">
        <v>300</v>
      </c>
      <c r="J2413" t="n">
        <v>38.5</v>
      </c>
      <c r="K2413" t="inlineStr">
        <is>
          <t>&gt; Perfumería &gt; Cuidado Capilar &gt; Acondicionador &gt;</t>
        </is>
      </c>
      <c r="L2413" t="inlineStr">
        <is>
          <t>tratamiento</t>
        </is>
      </c>
      <c r="M2413" t="inlineStr">
        <is>
          <t>profesional</t>
        </is>
      </c>
      <c r="N2413" t="inlineStr">
        <is>
          <t>general</t>
        </is>
      </c>
      <c r="O2413" t="inlineStr">
        <is>
          <t>https://www.jumbo.com.ar/mascarilla-elvive-rt5-keratin-300-gr/p</t>
        </is>
      </c>
    </row>
    <row r="2414">
      <c r="A2414" s="2" t="inlineStr">
        <is>
          <t>Jumbo</t>
        </is>
      </c>
      <c r="B2414" s="2" t="n">
        <v>3074528</v>
      </c>
      <c r="C2414" s="2" t="n">
        <v>3074013</v>
      </c>
      <c r="D2414" s="2" t="inlineStr">
        <is>
          <t>Serum Capilar Liso 7 Días Dream Liso 100 Ml Elvive</t>
        </is>
      </c>
      <c r="E2414" s="2" t="inlineStr">
        <is>
          <t>ELVIVE</t>
        </is>
      </c>
      <c r="F2414" s="2" t="n">
        <v>20650</v>
      </c>
      <c r="G2414" s="2" t="n">
        <v>1706612</v>
      </c>
      <c r="H2414" s="2" t="b">
        <v>1</v>
      </c>
      <c r="I2414" s="2" t="n">
        <v>100</v>
      </c>
      <c r="J2414" s="2" t="n">
        <v>206.5</v>
      </c>
      <c r="K2414" s="2" t="inlineStr">
        <is>
          <t>&gt; Perfumería &gt; Cuidado Capilar &gt; Reparación y Tratamientos &gt;</t>
        </is>
      </c>
      <c r="L2414" s="2" t="inlineStr">
        <is>
          <t>shampoo</t>
        </is>
      </c>
      <c r="M2414" s="2" t="inlineStr">
        <is>
          <t>profesional</t>
        </is>
      </c>
      <c r="N2414" s="2" t="inlineStr">
        <is>
          <t>general</t>
        </is>
      </c>
      <c r="O2414" s="2" t="inlineStr">
        <is>
          <t>https://www.jumbo.com.ar/serum-liso-7-dias-dream-liso-x-100-ml-elvive/p</t>
        </is>
      </c>
    </row>
    <row r="2415">
      <c r="A2415" t="inlineStr">
        <is>
          <t>Jumbo</t>
        </is>
      </c>
      <c r="B2415" t="n">
        <v>1360454</v>
      </c>
      <c r="C2415" t="n">
        <v>1360037</v>
      </c>
      <c r="D2415" t="inlineStr">
        <is>
          <t>Serum Capilar Glycolic Gloss 100 Ml Elvive</t>
        </is>
      </c>
      <c r="E2415" t="inlineStr">
        <is>
          <t>ELVIVE</t>
        </is>
      </c>
      <c r="F2415" t="n">
        <v>21400</v>
      </c>
      <c r="G2415" t="n">
        <v>1768595</v>
      </c>
      <c r="H2415" t="b">
        <v>1</v>
      </c>
      <c r="I2415" t="n">
        <v>100</v>
      </c>
      <c r="J2415" t="n">
        <v>214</v>
      </c>
      <c r="K2415" t="inlineStr">
        <is>
          <t>&gt; Perfumería &gt; Cuidado Capilar &gt; Reparación y Tratamientos &gt;</t>
        </is>
      </c>
      <c r="L2415" t="inlineStr">
        <is>
          <t>shampoo</t>
        </is>
      </c>
      <c r="M2415" t="inlineStr">
        <is>
          <t>profesional</t>
        </is>
      </c>
      <c r="N2415" t="inlineStr">
        <is>
          <t>general</t>
        </is>
      </c>
      <c r="O2415" t="inlineStr">
        <is>
          <t>https://www.jumbo.com.ar/serum-capilar-elvive-glyco-gloss-100ml-2/p</t>
        </is>
      </c>
    </row>
    <row r="2416">
      <c r="A2416" s="2" t="inlineStr">
        <is>
          <t>Jumbo</t>
        </is>
      </c>
      <c r="B2416" s="2" t="n">
        <v>1360451</v>
      </c>
      <c r="C2416" s="2" t="n">
        <v>1360034</v>
      </c>
      <c r="D2416" s="2" t="inlineStr">
        <is>
          <t>Mascarilla Capilar Glycolic Gloss 300 Grs Elvive</t>
        </is>
      </c>
      <c r="E2416" s="2" t="inlineStr">
        <is>
          <t>ELVIVE</t>
        </is>
      </c>
      <c r="F2416" s="2" t="n">
        <v>12600</v>
      </c>
      <c r="G2416" s="2" t="n">
        <v>1041322</v>
      </c>
      <c r="H2416" s="2" t="b">
        <v>1</v>
      </c>
      <c r="I2416" s="2" t="inlineStr"/>
      <c r="J2416" s="2" t="inlineStr"/>
      <c r="K2416" s="2" t="inlineStr">
        <is>
          <t>&gt; Perfumería &gt; Cuidado Capilar &gt; Reparación y Tratamientos &gt;</t>
        </is>
      </c>
      <c r="L2416" s="2" t="inlineStr">
        <is>
          <t>tratamiento</t>
        </is>
      </c>
      <c r="M2416" s="2" t="inlineStr">
        <is>
          <t>profesional</t>
        </is>
      </c>
      <c r="N2416" s="2" t="inlineStr">
        <is>
          <t>general</t>
        </is>
      </c>
      <c r="O2416" s="2" t="inlineStr">
        <is>
          <t>https://www.jumbo.com.ar/mascarilla-elvive-glycolic-gloss-300-gr/p</t>
        </is>
      </c>
    </row>
    <row r="2417">
      <c r="A2417" t="inlineStr">
        <is>
          <t>Jumbo</t>
        </is>
      </c>
      <c r="B2417" t="n">
        <v>407573</v>
      </c>
      <c r="C2417" t="n">
        <v>403762</v>
      </c>
      <c r="D2417" t="inlineStr">
        <is>
          <t>Mascarilla Elvive Rt Extreme 300 Gr</t>
        </is>
      </c>
      <c r="E2417" t="inlineStr">
        <is>
          <t>ELVIVE</t>
        </is>
      </c>
      <c r="F2417" t="n">
        <v>12050</v>
      </c>
      <c r="G2417" t="n">
        <v>995868</v>
      </c>
      <c r="H2417" t="b">
        <v>1</v>
      </c>
      <c r="I2417" t="n">
        <v>300</v>
      </c>
      <c r="J2417" t="n">
        <v>40.1667</v>
      </c>
      <c r="K2417" t="inlineStr">
        <is>
          <t>&gt; Perfumería &gt; Cuidado Capilar &gt; Reparación y Tratamientos &gt;</t>
        </is>
      </c>
      <c r="L2417" t="inlineStr">
        <is>
          <t>tratamiento</t>
        </is>
      </c>
      <c r="M2417" t="inlineStr">
        <is>
          <t>profesional</t>
        </is>
      </c>
      <c r="N2417" t="inlineStr">
        <is>
          <t>general</t>
        </is>
      </c>
      <c r="O2417" t="inlineStr">
        <is>
          <t>https://www.jumbo.com.ar/mascarilla-elvive-rt-extreme-300-gr/p</t>
        </is>
      </c>
    </row>
    <row r="2418">
      <c r="A2418" s="2" t="inlineStr">
        <is>
          <t>Jumbo</t>
        </is>
      </c>
      <c r="B2418" s="2" t="n">
        <v>397625</v>
      </c>
      <c r="C2418" s="2" t="n">
        <v>395358</v>
      </c>
      <c r="D2418" s="2" t="inlineStr">
        <is>
          <t>Mascarilla Hidratación Ligera Hialurónico Pure 300 Grs Elvive</t>
        </is>
      </c>
      <c r="E2418" s="2" t="inlineStr">
        <is>
          <t>ELVIVE</t>
        </is>
      </c>
      <c r="F2418" s="2" t="n">
        <v>12050</v>
      </c>
      <c r="G2418" s="2" t="n">
        <v>995868</v>
      </c>
      <c r="H2418" s="2" t="b">
        <v>1</v>
      </c>
      <c r="I2418" s="2" t="inlineStr"/>
      <c r="J2418" s="2" t="inlineStr"/>
      <c r="K2418" s="2" t="inlineStr">
        <is>
          <t>&gt; Perfumería &gt; Cuidado Capilar &gt; Reparación y Tratamientos &gt;</t>
        </is>
      </c>
      <c r="L2418" s="2" t="inlineStr">
        <is>
          <t>tratamiento</t>
        </is>
      </c>
      <c r="M2418" s="2" t="inlineStr">
        <is>
          <t>profesional</t>
        </is>
      </c>
      <c r="N2418" s="2" t="inlineStr">
        <is>
          <t>seco_danado</t>
        </is>
      </c>
      <c r="O2418" s="2" t="inlineStr">
        <is>
          <t>https://www.jumbo.com.ar/mascarilla-elvive-hialuronico-pure-300-gr/p</t>
        </is>
      </c>
    </row>
    <row r="2419">
      <c r="A2419" t="inlineStr">
        <is>
          <t>Jumbo</t>
        </is>
      </c>
      <c r="B2419" t="n">
        <v>288713</v>
      </c>
      <c r="C2419" t="n">
        <v>287960</v>
      </c>
      <c r="D2419" t="inlineStr">
        <is>
          <t>Crema para Peinar Dream Long Stop Tijeras 250 Ml Elvive</t>
        </is>
      </c>
      <c r="E2419" t="inlineStr">
        <is>
          <t>ELVIVE</t>
        </is>
      </c>
      <c r="F2419" t="n">
        <v>9700</v>
      </c>
      <c r="G2419" t="n">
        <v>801653</v>
      </c>
      <c r="H2419" t="b">
        <v>1</v>
      </c>
      <c r="I2419" t="n">
        <v>250</v>
      </c>
      <c r="J2419" t="n">
        <v>38.8</v>
      </c>
      <c r="K2419" t="inlineStr">
        <is>
          <t>&gt; Perfumería &gt; Cuidado Capilar &gt; Reparación y Tratamientos &gt;</t>
        </is>
      </c>
      <c r="L2419" t="inlineStr">
        <is>
          <t>shampoo</t>
        </is>
      </c>
      <c r="M2419" t="inlineStr">
        <is>
          <t>profesional</t>
        </is>
      </c>
      <c r="N2419" t="inlineStr">
        <is>
          <t>general</t>
        </is>
      </c>
      <c r="O2419" t="inlineStr">
        <is>
          <t>https://www.jumbo.com.ar/crema-para-peinar-elvive-dream-long-250-ml/p</t>
        </is>
      </c>
    </row>
    <row r="2420">
      <c r="A2420" s="2" t="inlineStr">
        <is>
          <t>Jumbo</t>
        </is>
      </c>
      <c r="B2420" s="2" t="n">
        <v>3083502</v>
      </c>
      <c r="C2420" s="2" t="n">
        <v>3082777</v>
      </c>
      <c r="D2420" s="2" t="inlineStr">
        <is>
          <t>Mascarilla Tratamiento Brillo Anti-residuos Glycolic Cristal 300 Ml Elvive</t>
        </is>
      </c>
      <c r="E2420" s="2" t="inlineStr">
        <is>
          <t>ELVIVE</t>
        </is>
      </c>
      <c r="F2420" s="2" t="n">
        <v>13250</v>
      </c>
      <c r="G2420" s="2" t="n">
        <v>1095041</v>
      </c>
      <c r="H2420" s="2" t="b">
        <v>1</v>
      </c>
      <c r="I2420" s="2" t="n">
        <v>300</v>
      </c>
      <c r="J2420" s="2" t="n">
        <v>44.1667</v>
      </c>
      <c r="K2420" s="2" t="inlineStr">
        <is>
          <t>&gt; Perfumería &gt; Cuidado Capilar &gt; Reparación y Tratamientos &gt;</t>
        </is>
      </c>
      <c r="L2420" s="2" t="inlineStr">
        <is>
          <t>tratamiento</t>
        </is>
      </c>
      <c r="M2420" s="2" t="inlineStr">
        <is>
          <t>profesional</t>
        </is>
      </c>
      <c r="N2420" s="2" t="inlineStr">
        <is>
          <t>general</t>
        </is>
      </c>
      <c r="O2420" s="2" t="inlineStr">
        <is>
          <t>https://www.jumbo.com.ar/tratamiento-brillo-anti-residuos-glycolic-cristal-x-300-ml-elvive/p</t>
        </is>
      </c>
    </row>
    <row r="2421">
      <c r="A2421" t="inlineStr">
        <is>
          <t>Jumbo</t>
        </is>
      </c>
      <c r="B2421" t="n">
        <v>3087943</v>
      </c>
      <c r="C2421" t="n">
        <v>3087171</v>
      </c>
      <c r="D2421" t="inlineStr">
        <is>
          <t>Acondicionador Collagen Lifter Redensificador de Fibra 200 Ml Elvive Acondicionador Elvive Lifter Colageno 200ml</t>
        </is>
      </c>
      <c r="E2421" t="inlineStr">
        <is>
          <t>ELVIVE</t>
        </is>
      </c>
      <c r="F2421" t="n">
        <v>7900</v>
      </c>
      <c r="G2421" t="n">
        <v>652893</v>
      </c>
      <c r="H2421" t="b">
        <v>0</v>
      </c>
      <c r="I2421" t="n">
        <v>200</v>
      </c>
      <c r="J2421" t="n">
        <v>39.5</v>
      </c>
      <c r="K2421" t="inlineStr">
        <is>
          <t>&gt; Perfumería &gt; Cuidado Capilar &gt; Acondicionador &gt;</t>
        </is>
      </c>
      <c r="L2421" t="inlineStr">
        <is>
          <t>acondicionador</t>
        </is>
      </c>
      <c r="M2421" t="inlineStr">
        <is>
          <t>profesional</t>
        </is>
      </c>
      <c r="N2421" t="inlineStr">
        <is>
          <t>general</t>
        </is>
      </c>
      <c r="O2421" t="inlineStr">
        <is>
          <t>https://www.jumbo.com.ar/acondicionador-elvive-lifter-colageno-200ml/p</t>
        </is>
      </c>
    </row>
    <row r="2422">
      <c r="A2422" s="2" t="inlineStr">
        <is>
          <t>Jumbo</t>
        </is>
      </c>
      <c r="B2422" s="2" t="n">
        <v>3087936</v>
      </c>
      <c r="C2422" s="2" t="n">
        <v>3087164</v>
      </c>
      <c r="D2422" s="2" t="inlineStr">
        <is>
          <t>Acondicionador Redensificador de Fibra Collagen Lifter 400 Ml Elvive Acondicionador Elvive Lifter Colageno 400ml</t>
        </is>
      </c>
      <c r="E2422" s="2" t="inlineStr">
        <is>
          <t>ELVIVE</t>
        </is>
      </c>
      <c r="F2422" s="2" t="n">
        <v>13150</v>
      </c>
      <c r="G2422" s="2" t="n">
        <v>1086777</v>
      </c>
      <c r="H2422" s="2" t="b">
        <v>0</v>
      </c>
      <c r="I2422" s="2" t="n">
        <v>400</v>
      </c>
      <c r="J2422" s="2" t="n">
        <v>32.875</v>
      </c>
      <c r="K2422" s="2" t="inlineStr">
        <is>
          <t>&gt; Perfumería &gt; Cuidado Capilar &gt; Acondicionador &gt;</t>
        </is>
      </c>
      <c r="L2422" s="2" t="inlineStr">
        <is>
          <t>acondicionador</t>
        </is>
      </c>
      <c r="M2422" s="2" t="inlineStr">
        <is>
          <t>profesional</t>
        </is>
      </c>
      <c r="N2422" s="2" t="inlineStr">
        <is>
          <t>general</t>
        </is>
      </c>
      <c r="O2422" s="2" t="inlineStr">
        <is>
          <t>https://www.jumbo.com.ar/acondicionador-elvive-lifter-colageno-400ml/p</t>
        </is>
      </c>
    </row>
    <row r="2423">
      <c r="A2423" t="inlineStr">
        <is>
          <t>Jumbo</t>
        </is>
      </c>
      <c r="B2423" t="n">
        <v>3087935</v>
      </c>
      <c r="C2423" t="n">
        <v>3087163</v>
      </c>
      <c r="D2423" t="inlineStr">
        <is>
          <t>Shampoo Engrosador Lifter Colágeno 200 Ml Elvive Shampoo Elvive Lifter Colageno 200ml</t>
        </is>
      </c>
      <c r="E2423" t="inlineStr">
        <is>
          <t>ELVIVE</t>
        </is>
      </c>
      <c r="F2423" t="n">
        <v>7900</v>
      </c>
      <c r="G2423" t="n">
        <v>652893</v>
      </c>
      <c r="H2423" t="b">
        <v>0</v>
      </c>
      <c r="I2423" t="n">
        <v>200</v>
      </c>
      <c r="J2423" t="n">
        <v>39.5</v>
      </c>
      <c r="K2423" t="inlineStr">
        <is>
          <t>&gt; Perfumería &gt; Cuidado Capilar &gt; Shampoo &gt;</t>
        </is>
      </c>
      <c r="L2423" t="inlineStr">
        <is>
          <t>shampoo</t>
        </is>
      </c>
      <c r="M2423" t="inlineStr">
        <is>
          <t>profesional</t>
        </is>
      </c>
      <c r="N2423" t="inlineStr">
        <is>
          <t>general</t>
        </is>
      </c>
      <c r="O2423" t="inlineStr">
        <is>
          <t>https://www.jumbo.com.ar/shampoo-elvive-lifter-colageno-200ml/p</t>
        </is>
      </c>
    </row>
    <row r="2424">
      <c r="A2424" s="2" t="inlineStr">
        <is>
          <t>Jumbo</t>
        </is>
      </c>
      <c r="B2424" s="2" t="n">
        <v>3087927</v>
      </c>
      <c r="C2424" s="2" t="n">
        <v>3087155</v>
      </c>
      <c r="D2424" s="2" t="inlineStr">
        <is>
          <t>Tratamiento Elvive Lifter Colageno 300gr</t>
        </is>
      </c>
      <c r="E2424" s="2" t="inlineStr">
        <is>
          <t>ELVIVE</t>
        </is>
      </c>
      <c r="F2424" s="2" t="n">
        <v>14200</v>
      </c>
      <c r="G2424" s="2" t="n">
        <v>1173554</v>
      </c>
      <c r="H2424" s="2" t="b">
        <v>0</v>
      </c>
      <c r="I2424" s="2" t="n">
        <v>300</v>
      </c>
      <c r="J2424" s="2" t="n">
        <v>47.3333</v>
      </c>
      <c r="K2424" s="2" t="inlineStr">
        <is>
          <t>&gt; Perfumería &gt; Cuidado Capilar &gt; Reparación y Tratamientos &gt;</t>
        </is>
      </c>
      <c r="L2424" s="2" t="inlineStr">
        <is>
          <t>tratamiento</t>
        </is>
      </c>
      <c r="M2424" s="2" t="inlineStr">
        <is>
          <t>profesional</t>
        </is>
      </c>
      <c r="N2424" s="2" t="inlineStr">
        <is>
          <t>general</t>
        </is>
      </c>
      <c r="O2424" s="2" t="inlineStr">
        <is>
          <t>https://www.jumbo.com.ar/tratamiento-elvive-lifter-colageno-300gr/p</t>
        </is>
      </c>
    </row>
    <row r="2425">
      <c r="A2425" t="inlineStr">
        <is>
          <t>Jumbo</t>
        </is>
      </c>
      <c r="B2425" t="n">
        <v>3087926</v>
      </c>
      <c r="C2425" t="n">
        <v>3087154</v>
      </c>
      <c r="D2425" t="inlineStr">
        <is>
          <t>Crema para Peinar Volumen Anti-Frizz Lifter Colágeno 250 Ml Elvive Crema Para Peinar Elvive Lifter Colageno 250ml</t>
        </is>
      </c>
      <c r="E2425" t="inlineStr">
        <is>
          <t>ELVIVE</t>
        </is>
      </c>
      <c r="F2425" t="n">
        <v>10500</v>
      </c>
      <c r="G2425" t="n">
        <v>867769</v>
      </c>
      <c r="H2425" t="b">
        <v>0</v>
      </c>
      <c r="I2425" t="n">
        <v>250</v>
      </c>
      <c r="J2425" t="n">
        <v>42</v>
      </c>
      <c r="K2425" t="inlineStr">
        <is>
          <t>&gt; Perfumería &gt; Cuidado Capilar &gt; Reparación y Tratamientos &gt;</t>
        </is>
      </c>
      <c r="L2425" t="inlineStr">
        <is>
          <t>shampoo</t>
        </is>
      </c>
      <c r="M2425" t="inlineStr">
        <is>
          <t>profesional</t>
        </is>
      </c>
      <c r="N2425" t="inlineStr">
        <is>
          <t>general</t>
        </is>
      </c>
      <c r="O2425" t="inlineStr">
        <is>
          <t>https://www.jumbo.com.ar/crema-para-peinar-elvive-lifter-colageno-250ml/p</t>
        </is>
      </c>
    </row>
    <row r="2426">
      <c r="A2426" s="2" t="inlineStr">
        <is>
          <t>Jumbo</t>
        </is>
      </c>
      <c r="B2426" s="2" t="n">
        <v>3071023</v>
      </c>
      <c r="C2426" s="2" t="n">
        <v>3070594</v>
      </c>
      <c r="D2426" s="2" t="inlineStr">
        <is>
          <t>Crema para Peinar Dream Liso Anti Frizz 250 Ml Elvive</t>
        </is>
      </c>
      <c r="E2426" s="2" t="inlineStr">
        <is>
          <t>ELVIVE</t>
        </is>
      </c>
      <c r="F2426" s="2" t="n">
        <v>9450</v>
      </c>
      <c r="G2426" s="2" t="n">
        <v>780992</v>
      </c>
      <c r="H2426" s="2" t="b">
        <v>0</v>
      </c>
      <c r="I2426" s="2" t="n">
        <v>250</v>
      </c>
      <c r="J2426" s="2" t="n">
        <v>37.8</v>
      </c>
      <c r="K2426" s="2" t="inlineStr">
        <is>
          <t>&gt; Perfumería &gt; Cuidado Capilar &gt; Reparación y Tratamientos &gt;</t>
        </is>
      </c>
      <c r="L2426" s="2" t="inlineStr">
        <is>
          <t>shampoo</t>
        </is>
      </c>
      <c r="M2426" s="2" t="inlineStr">
        <is>
          <t>profesional</t>
        </is>
      </c>
      <c r="N2426" s="2" t="inlineStr">
        <is>
          <t>general</t>
        </is>
      </c>
      <c r="O2426" s="2" t="inlineStr">
        <is>
          <t>https://www.jumbo.com.ar/crema-de-peinar-dream-liso-250-ml-elvive/p</t>
        </is>
      </c>
    </row>
    <row r="2427">
      <c r="A2427" t="inlineStr">
        <is>
          <t>Jumbo</t>
        </is>
      </c>
      <c r="B2427" t="n">
        <v>1360453</v>
      </c>
      <c r="C2427" t="n">
        <v>1360036</v>
      </c>
      <c r="D2427" t="inlineStr">
        <is>
          <t>Crema para Peinar Glyco Gloss Extra Brillo 250 Ml Elvive</t>
        </is>
      </c>
      <c r="E2427" t="inlineStr">
        <is>
          <t>ELVIVE</t>
        </is>
      </c>
      <c r="F2427" t="n">
        <v>9450</v>
      </c>
      <c r="G2427" t="n">
        <v>780992</v>
      </c>
      <c r="H2427" t="b">
        <v>0</v>
      </c>
      <c r="I2427" t="n">
        <v>250</v>
      </c>
      <c r="J2427" t="n">
        <v>37.8</v>
      </c>
      <c r="K2427" t="inlineStr">
        <is>
          <t>&gt; Perfumería &gt; Cuidado Capilar &gt; Reparación y Tratamientos &gt;</t>
        </is>
      </c>
      <c r="L2427" t="inlineStr">
        <is>
          <t>shampoo</t>
        </is>
      </c>
      <c r="M2427" t="inlineStr">
        <is>
          <t>profesional</t>
        </is>
      </c>
      <c r="N2427" t="inlineStr">
        <is>
          <t>general</t>
        </is>
      </c>
      <c r="O2427" t="inlineStr">
        <is>
          <t>https://www.jumbo.com.ar/crema-para-peinar-elvive-glyco-gloss-250ml/p</t>
        </is>
      </c>
    </row>
    <row r="2428">
      <c r="A2428" s="2" t="inlineStr">
        <is>
          <t>Jumbo</t>
        </is>
      </c>
      <c r="B2428" s="2" t="n">
        <v>407569</v>
      </c>
      <c r="C2428" s="2" t="n">
        <v>403758</v>
      </c>
      <c r="D2428" s="2" t="inlineStr">
        <is>
          <t>Crema para Peinar Reparación Total 5 Keratin 250 Ml Elvive</t>
        </is>
      </c>
      <c r="E2428" s="2" t="inlineStr">
        <is>
          <t>ELVIVE</t>
        </is>
      </c>
      <c r="F2428" s="2" t="n">
        <v>8400</v>
      </c>
      <c r="G2428" s="2" t="n">
        <v>694215</v>
      </c>
      <c r="H2428" s="2" t="b">
        <v>0</v>
      </c>
      <c r="I2428" s="2" t="n">
        <v>250</v>
      </c>
      <c r="J2428" s="2" t="n">
        <v>33.6</v>
      </c>
      <c r="K2428" s="2" t="inlineStr">
        <is>
          <t>&gt; Perfumería &gt; Cuidado Capilar &gt; Reparación y Tratamientos &gt;</t>
        </is>
      </c>
      <c r="L2428" s="2" t="inlineStr">
        <is>
          <t>shampoo</t>
        </is>
      </c>
      <c r="M2428" s="2" t="inlineStr">
        <is>
          <t>profesional</t>
        </is>
      </c>
      <c r="N2428" s="2" t="inlineStr">
        <is>
          <t>general</t>
        </is>
      </c>
      <c r="O2428" s="2" t="inlineStr">
        <is>
          <t>https://www.jumbo.com.ar/crema-para-peinar-elvive-reparacion-total-5-keratin-250-ml/p</t>
        </is>
      </c>
    </row>
    <row r="2429">
      <c r="A2429" t="inlineStr">
        <is>
          <t>Jumbo</t>
        </is>
      </c>
      <c r="B2429" t="n">
        <v>407564</v>
      </c>
      <c r="C2429" t="n">
        <v>403753</v>
      </c>
      <c r="D2429" t="inlineStr">
        <is>
          <t>Mascarilla para Cabello Teñido Color Vive 300 Grs Elvive</t>
        </is>
      </c>
      <c r="E2429" t="inlineStr">
        <is>
          <t>ELVIVE</t>
        </is>
      </c>
      <c r="F2429" t="n">
        <v>10500</v>
      </c>
      <c r="G2429" t="n">
        <v>867769</v>
      </c>
      <c r="H2429" t="b">
        <v>0</v>
      </c>
      <c r="I2429" t="inlineStr"/>
      <c r="J2429" t="inlineStr"/>
      <c r="K2429" t="inlineStr">
        <is>
          <t>&gt; Perfumería &gt; Cuidado Capilar &gt; Reparación y Tratamientos &gt;</t>
        </is>
      </c>
      <c r="L2429" t="inlineStr">
        <is>
          <t>tratamiento</t>
        </is>
      </c>
      <c r="M2429" t="inlineStr">
        <is>
          <t>profesional</t>
        </is>
      </c>
      <c r="N2429" t="inlineStr">
        <is>
          <t>tratado</t>
        </is>
      </c>
      <c r="O2429" t="inlineStr">
        <is>
          <t>https://www.jumbo.com.ar/mascarilla-elvive-colorvive-300-gr/p</t>
        </is>
      </c>
    </row>
    <row r="2430">
      <c r="A2430" s="2" t="inlineStr">
        <is>
          <t>Jumbo</t>
        </is>
      </c>
      <c r="B2430" s="2" t="n">
        <v>400558</v>
      </c>
      <c r="C2430" s="2" t="n">
        <v>397896</v>
      </c>
      <c r="D2430" s="2" t="inlineStr">
        <is>
          <t>Crema para Peinar Kera-Liso 250 Ml Elvive</t>
        </is>
      </c>
      <c r="E2430" s="2" t="inlineStr">
        <is>
          <t>ELVIVE</t>
        </is>
      </c>
      <c r="F2430" s="2" t="n">
        <v>8400</v>
      </c>
      <c r="G2430" s="2" t="n">
        <v>694215</v>
      </c>
      <c r="H2430" s="2" t="b">
        <v>0</v>
      </c>
      <c r="I2430" s="2" t="n">
        <v>250</v>
      </c>
      <c r="J2430" s="2" t="n">
        <v>33.6</v>
      </c>
      <c r="K2430" s="2" t="inlineStr">
        <is>
          <t>&gt; Perfumería &gt; Cuidado Capilar &gt; Reparación y Tratamientos &gt;</t>
        </is>
      </c>
      <c r="L2430" s="2" t="inlineStr">
        <is>
          <t>shampoo</t>
        </is>
      </c>
      <c r="M2430" s="2" t="inlineStr">
        <is>
          <t>profesional</t>
        </is>
      </c>
      <c r="N2430" s="2" t="inlineStr">
        <is>
          <t>general</t>
        </is>
      </c>
      <c r="O2430" s="2" t="inlineStr">
        <is>
          <t>https://www.jumbo.com.ar/crema-para-peinar-elvive-kera-liso-mk-250-ml/p</t>
        </is>
      </c>
    </row>
    <row r="2431">
      <c r="A2431" t="inlineStr">
        <is>
          <t>Jumbo</t>
        </is>
      </c>
      <c r="B2431" t="n">
        <v>400557</v>
      </c>
      <c r="C2431" t="n">
        <v>397895</v>
      </c>
      <c r="D2431" t="inlineStr">
        <is>
          <t>Mascarilla Kera-Liso con Micro-Queratina 300 Grs Elvive</t>
        </is>
      </c>
      <c r="E2431" t="inlineStr">
        <is>
          <t>ELVIVE</t>
        </is>
      </c>
      <c r="F2431" t="n">
        <v>10500</v>
      </c>
      <c r="G2431" t="n">
        <v>867769</v>
      </c>
      <c r="H2431" t="b">
        <v>0</v>
      </c>
      <c r="I2431" t="inlineStr"/>
      <c r="J2431" t="inlineStr"/>
      <c r="K2431" t="inlineStr">
        <is>
          <t>&gt; Perfumería &gt; Cuidado Capilar &gt; Reparación y Tratamientos &gt;</t>
        </is>
      </c>
      <c r="L2431" t="inlineStr">
        <is>
          <t>tratamiento</t>
        </is>
      </c>
      <c r="M2431" t="inlineStr">
        <is>
          <t>profesional</t>
        </is>
      </c>
      <c r="N2431" t="inlineStr">
        <is>
          <t>general</t>
        </is>
      </c>
      <c r="O2431" t="inlineStr">
        <is>
          <t>https://www.jumbo.com.ar/mascarilla-elvive-kera-liso-mq-300-gr/p</t>
        </is>
      </c>
    </row>
    <row r="2432">
      <c r="A2432" s="2" t="inlineStr">
        <is>
          <t>Jumbo</t>
        </is>
      </c>
      <c r="B2432" s="2" t="n">
        <v>400555</v>
      </c>
      <c r="C2432" s="2" t="n">
        <v>397893</v>
      </c>
      <c r="D2432" s="2" t="inlineStr">
        <is>
          <t>Acondicionador Elvive Kera-liso Mk 200 Ml</t>
        </is>
      </c>
      <c r="E2432" s="2" t="inlineStr">
        <is>
          <t>ELVIVE</t>
        </is>
      </c>
      <c r="F2432" s="2" t="n">
        <v>6300</v>
      </c>
      <c r="G2432" s="2" t="n">
        <v>520661</v>
      </c>
      <c r="H2432" s="2" t="b">
        <v>0</v>
      </c>
      <c r="I2432" s="2" t="n">
        <v>200</v>
      </c>
      <c r="J2432" s="2" t="n">
        <v>31.5</v>
      </c>
      <c r="K2432" s="2" t="inlineStr">
        <is>
          <t>&gt; Perfumería &gt; Cuidado Capilar &gt; Acondicionador &gt;</t>
        </is>
      </c>
      <c r="L2432" s="2" t="inlineStr">
        <is>
          <t>acondicionador</t>
        </is>
      </c>
      <c r="M2432" s="2" t="inlineStr">
        <is>
          <t>profesional</t>
        </is>
      </c>
      <c r="N2432" s="2" t="inlineStr">
        <is>
          <t>general</t>
        </is>
      </c>
      <c r="O2432" s="2" t="inlineStr">
        <is>
          <t>https://www.jumbo.com.ar/acondicionador-elvive-kera-liso-mk-200-ml/p</t>
        </is>
      </c>
    </row>
    <row r="2433">
      <c r="A2433" t="inlineStr">
        <is>
          <t>Jumbo</t>
        </is>
      </c>
      <c r="B2433" t="n">
        <v>400552</v>
      </c>
      <c r="C2433" t="n">
        <v>397890</v>
      </c>
      <c r="D2433" t="inlineStr">
        <is>
          <t>Acondicionador Kera-Liso para Cabello Alisado 400 Ml Elvive</t>
        </is>
      </c>
      <c r="E2433" t="inlineStr">
        <is>
          <t>ELVIVE</t>
        </is>
      </c>
      <c r="F2433" t="n">
        <v>10500</v>
      </c>
      <c r="G2433" t="n">
        <v>867769</v>
      </c>
      <c r="H2433" t="b">
        <v>0</v>
      </c>
      <c r="I2433" t="n">
        <v>400</v>
      </c>
      <c r="J2433" t="n">
        <v>26.25</v>
      </c>
      <c r="K2433" t="inlineStr">
        <is>
          <t>&gt; Perfumería &gt; Cuidado Capilar &gt; Acondicionador &gt;</t>
        </is>
      </c>
      <c r="L2433" t="inlineStr">
        <is>
          <t>acondicionador</t>
        </is>
      </c>
      <c r="M2433" t="inlineStr">
        <is>
          <t>profesional</t>
        </is>
      </c>
      <c r="N2433" t="inlineStr">
        <is>
          <t>tratado</t>
        </is>
      </c>
      <c r="O2433" t="inlineStr">
        <is>
          <t>https://www.jumbo.com.ar/acondicionador-elvive-kera-liso-mk-400-ml/p</t>
        </is>
      </c>
    </row>
    <row r="2434">
      <c r="A2434" s="2" t="inlineStr">
        <is>
          <t>Jumbo</t>
        </is>
      </c>
      <c r="B2434" s="2" t="n">
        <v>400532</v>
      </c>
      <c r="C2434" s="2" t="n">
        <v>397870</v>
      </c>
      <c r="D2434" s="2" t="inlineStr">
        <is>
          <t>Crema para Peinar Hidra Hialurónico 250 Ml Elvive</t>
        </is>
      </c>
      <c r="E2434" s="2" t="inlineStr">
        <is>
          <t>ELVIVE</t>
        </is>
      </c>
      <c r="F2434" s="2" t="n">
        <v>8400</v>
      </c>
      <c r="G2434" s="2" t="n">
        <v>694215</v>
      </c>
      <c r="H2434" s="2" t="b">
        <v>0</v>
      </c>
      <c r="I2434" s="2" t="n">
        <v>250</v>
      </c>
      <c r="J2434" s="2" t="n">
        <v>33.6</v>
      </c>
      <c r="K2434" s="2" t="inlineStr">
        <is>
          <t>&gt; Perfumería &gt; Cuidado Capilar &gt; Reparación y Tratamientos &gt;</t>
        </is>
      </c>
      <c r="L2434" s="2" t="inlineStr">
        <is>
          <t>shampoo</t>
        </is>
      </c>
      <c r="M2434" s="2" t="inlineStr">
        <is>
          <t>profesional</t>
        </is>
      </c>
      <c r="N2434" s="2" t="inlineStr">
        <is>
          <t>general</t>
        </is>
      </c>
      <c r="O2434" s="2" t="inlineStr">
        <is>
          <t>https://www.jumbo.com.ar/crema-para-peinar-elvive-hidra-hialuronico-250-ml/p</t>
        </is>
      </c>
    </row>
    <row r="2435">
      <c r="A2435" t="inlineStr">
        <is>
          <t>Jumbo</t>
        </is>
      </c>
      <c r="B2435" t="n">
        <v>397686</v>
      </c>
      <c r="C2435" t="n">
        <v>395420</v>
      </c>
      <c r="D2435" t="inlineStr">
        <is>
          <t>Shampoo Hialurónico Pure Raíz Grasa y Puntas Deshidratadas 400 Ml Elvive</t>
        </is>
      </c>
      <c r="E2435" t="inlineStr">
        <is>
          <t>ELVIVE</t>
        </is>
      </c>
      <c r="F2435" t="n">
        <v>10000</v>
      </c>
      <c r="G2435" t="n">
        <v>826446</v>
      </c>
      <c r="H2435" t="b">
        <v>0</v>
      </c>
      <c r="I2435" t="n">
        <v>400</v>
      </c>
      <c r="J2435" t="n">
        <v>25</v>
      </c>
      <c r="K2435" t="inlineStr">
        <is>
          <t>&gt; Perfumería &gt; Cuidado Capilar &gt; Shampoo &gt;</t>
        </is>
      </c>
      <c r="L2435" t="inlineStr">
        <is>
          <t>shampoo</t>
        </is>
      </c>
      <c r="M2435" t="inlineStr">
        <is>
          <t>profesional</t>
        </is>
      </c>
      <c r="N2435" t="inlineStr">
        <is>
          <t>seco_danado</t>
        </is>
      </c>
      <c r="O2435" t="inlineStr">
        <is>
          <t>https://www.jumbo.com.ar/shampoo-elvive-hialuronico-pure-400-ml/p</t>
        </is>
      </c>
    </row>
    <row r="2436">
      <c r="A2436" s="2" t="inlineStr">
        <is>
          <t>Jumbo</t>
        </is>
      </c>
      <c r="B2436" s="2" t="n">
        <v>393768</v>
      </c>
      <c r="C2436" s="2" t="n">
        <v>391789</v>
      </c>
      <c r="D2436" s="2" t="inlineStr">
        <is>
          <t>Acondicionador Óleo Extraordinario Nutrición para Cabello Seco 750 Ml Elvive</t>
        </is>
      </c>
      <c r="E2436" s="2" t="inlineStr">
        <is>
          <t>ELVIVE</t>
        </is>
      </c>
      <c r="F2436" s="2" t="n">
        <v>16800</v>
      </c>
      <c r="G2436" s="2" t="n">
        <v>1388430</v>
      </c>
      <c r="H2436" s="2" t="b">
        <v>0</v>
      </c>
      <c r="I2436" s="2" t="n">
        <v>750</v>
      </c>
      <c r="J2436" s="2" t="n">
        <v>22.4</v>
      </c>
      <c r="K2436" s="2" t="inlineStr">
        <is>
          <t>&gt; Perfumería &gt; Cuidado Capilar &gt; Acondicionador &gt;</t>
        </is>
      </c>
      <c r="L2436" s="2" t="inlineStr">
        <is>
          <t>acondicionador</t>
        </is>
      </c>
      <c r="M2436" s="2" t="inlineStr">
        <is>
          <t>profesional</t>
        </is>
      </c>
      <c r="N2436" s="2" t="inlineStr">
        <is>
          <t>seco_danado</t>
        </is>
      </c>
      <c r="O2436" s="2" t="inlineStr">
        <is>
          <t>https://www.jumbo.com.ar/acondicionador-elvive-oleo-extraordinario-nutricion-750-ml/p</t>
        </is>
      </c>
    </row>
    <row r="2437">
      <c r="A2437" t="inlineStr">
        <is>
          <t>Jumbo</t>
        </is>
      </c>
      <c r="B2437" t="n">
        <v>393745</v>
      </c>
      <c r="C2437" t="n">
        <v>391773</v>
      </c>
      <c r="D2437" t="inlineStr">
        <is>
          <t>Mascarilla Nutritiva Óleo Extraordinario para Cabello Seco 300 Grs Elvive</t>
        </is>
      </c>
      <c r="E2437" t="inlineStr">
        <is>
          <t>ELVIVE</t>
        </is>
      </c>
      <c r="F2437" t="n">
        <v>10800</v>
      </c>
      <c r="G2437" t="n">
        <v>892562</v>
      </c>
      <c r="H2437" t="b">
        <v>0</v>
      </c>
      <c r="I2437" t="inlineStr"/>
      <c r="J2437" t="inlineStr"/>
      <c r="K2437" t="inlineStr">
        <is>
          <t>&gt; Perfumería &gt; Cuidado Capilar &gt; Reparación y Tratamientos &gt;</t>
        </is>
      </c>
      <c r="L2437" t="inlineStr">
        <is>
          <t>tratamiento</t>
        </is>
      </c>
      <c r="M2437" t="inlineStr">
        <is>
          <t>profesional</t>
        </is>
      </c>
      <c r="N2437" t="inlineStr">
        <is>
          <t>seco_danado</t>
        </is>
      </c>
      <c r="O2437" t="inlineStr">
        <is>
          <t>https://www.jumbo.com.ar/mascarilla-oleo-extraordinario-nutricion-universal-300-gr/p</t>
        </is>
      </c>
    </row>
    <row r="2438">
      <c r="A2438" s="2" t="inlineStr">
        <is>
          <t>Jumbo</t>
        </is>
      </c>
      <c r="B2438" s="2" t="n">
        <v>388712</v>
      </c>
      <c r="C2438" s="2" t="n">
        <v>386824</v>
      </c>
      <c r="D2438" s="2" t="inlineStr">
        <is>
          <t>Shampoo Elvive Lóréal óleo Extraordinario Nutrición 400 Ml</t>
        </is>
      </c>
      <c r="E2438" s="2" t="inlineStr">
        <is>
          <t>ELVIVE</t>
        </is>
      </c>
      <c r="F2438" s="2" t="n">
        <v>10500</v>
      </c>
      <c r="G2438" s="2" t="n">
        <v>867769</v>
      </c>
      <c r="H2438" s="2" t="b">
        <v>0</v>
      </c>
      <c r="I2438" s="2" t="n">
        <v>400</v>
      </c>
      <c r="J2438" s="2" t="n">
        <v>26.25</v>
      </c>
      <c r="K2438" s="2" t="inlineStr">
        <is>
          <t>&gt; Perfumería &gt; Cuidado Capilar &gt; Shampoo &gt;</t>
        </is>
      </c>
      <c r="L2438" s="2" t="inlineStr">
        <is>
          <t>shampoo</t>
        </is>
      </c>
      <c r="M2438" s="2" t="inlineStr">
        <is>
          <t>profesional</t>
        </is>
      </c>
      <c r="N2438" s="2" t="inlineStr">
        <is>
          <t>general</t>
        </is>
      </c>
      <c r="O2438" s="2" t="inlineStr">
        <is>
          <t>https://www.jumbo.com.ar/shampoo-elvive-loreal-oleo-extraordinario-nutricion-400-ml/p</t>
        </is>
      </c>
    </row>
    <row r="2439">
      <c r="A2439" t="inlineStr">
        <is>
          <t>Jumbo</t>
        </is>
      </c>
      <c r="B2439" t="n">
        <v>386233</v>
      </c>
      <c r="C2439" t="n">
        <v>384388</v>
      </c>
      <c r="D2439" t="inlineStr">
        <is>
          <t>Oleo Fructis Recarga Nutritiva 100ml</t>
        </is>
      </c>
      <c r="E2439" t="inlineStr">
        <is>
          <t>ELVIVE</t>
        </is>
      </c>
      <c r="F2439" t="n">
        <v>4350</v>
      </c>
      <c r="G2439" t="n">
        <v>359504</v>
      </c>
      <c r="H2439" t="b">
        <v>0</v>
      </c>
      <c r="I2439" t="n">
        <v>100</v>
      </c>
      <c r="J2439" t="n">
        <v>43.5</v>
      </c>
      <c r="K2439" t="inlineStr">
        <is>
          <t>&gt; Perfumería &gt; Cuidado Capilar &gt; Reparación y Tratamientos &gt;</t>
        </is>
      </c>
      <c r="L2439" t="inlineStr">
        <is>
          <t>shampoo</t>
        </is>
      </c>
      <c r="M2439" t="inlineStr">
        <is>
          <t>profesional</t>
        </is>
      </c>
      <c r="N2439" t="inlineStr">
        <is>
          <t>general</t>
        </is>
      </c>
      <c r="O2439" t="inlineStr">
        <is>
          <t>https://www.jumbo.com.ar/oleo-fructis-recarga-nutritiva-100ml/p</t>
        </is>
      </c>
    </row>
    <row r="2440">
      <c r="A2440" s="2" t="inlineStr">
        <is>
          <t>Jumbo</t>
        </is>
      </c>
      <c r="B2440" s="2" t="n">
        <v>354070</v>
      </c>
      <c r="C2440" s="2" t="n">
        <v>352701</v>
      </c>
      <c r="D2440" s="2" t="inlineStr">
        <is>
          <t>Acondicionador Elvive Kera Liso Brillo Sedosidad 750ml</t>
        </is>
      </c>
      <c r="E2440" s="2" t="inlineStr">
        <is>
          <t>ELVIVE</t>
        </is>
      </c>
      <c r="F2440" s="2" t="n">
        <v>14500</v>
      </c>
      <c r="G2440" s="2" t="n">
        <v>1198347</v>
      </c>
      <c r="H2440" s="2" t="b">
        <v>0</v>
      </c>
      <c r="I2440" s="2" t="n">
        <v>750</v>
      </c>
      <c r="J2440" s="2" t="n">
        <v>19.3333</v>
      </c>
      <c r="K2440" s="2" t="inlineStr">
        <is>
          <t>&gt; Perfumería &gt; Cuidado Capilar &gt; Acondicionador &gt;</t>
        </is>
      </c>
      <c r="L2440" s="2" t="inlineStr">
        <is>
          <t>acondicionador</t>
        </is>
      </c>
      <c r="M2440" s="2" t="inlineStr">
        <is>
          <t>profesional</t>
        </is>
      </c>
      <c r="N2440" s="2" t="inlineStr">
        <is>
          <t>general</t>
        </is>
      </c>
      <c r="O2440" s="2" t="inlineStr">
        <is>
          <t>https://www.jumbo.com.ar/acondicionador-elvive-kera-liso-brillo-sedosidad-750ml/p</t>
        </is>
      </c>
    </row>
    <row r="2441">
      <c r="A2441" t="inlineStr">
        <is>
          <t>Jumbo</t>
        </is>
      </c>
      <c r="B2441" t="n">
        <v>354069</v>
      </c>
      <c r="C2441" t="n">
        <v>352700</v>
      </c>
      <c r="D2441" t="inlineStr">
        <is>
          <t>Mascarilla Kera-Liso Brillo y Sedosidad 300 Grs Elvive</t>
        </is>
      </c>
      <c r="E2441" t="inlineStr">
        <is>
          <t>ELVIVE</t>
        </is>
      </c>
      <c r="F2441" t="n">
        <v>8700</v>
      </c>
      <c r="G2441" t="n">
        <v>719008</v>
      </c>
      <c r="H2441" t="b">
        <v>0</v>
      </c>
      <c r="I2441" t="inlineStr"/>
      <c r="J2441" t="inlineStr"/>
      <c r="K2441" t="inlineStr">
        <is>
          <t>&gt; Perfumería &gt; Cuidado Capilar &gt; Reparación y Tratamientos &gt;</t>
        </is>
      </c>
      <c r="L2441" t="inlineStr">
        <is>
          <t>tratamiento</t>
        </is>
      </c>
      <c r="M2441" t="inlineStr">
        <is>
          <t>profesional</t>
        </is>
      </c>
      <c r="N2441" t="inlineStr">
        <is>
          <t>general</t>
        </is>
      </c>
      <c r="O2441" t="inlineStr">
        <is>
          <t>https://www.jumbo.com.ar/mascara-elvive-kera-liso-brillo-y-sedosidad-300-gr/p</t>
        </is>
      </c>
    </row>
    <row r="2442">
      <c r="A2442" s="2" t="inlineStr">
        <is>
          <t>Jumbo</t>
        </is>
      </c>
      <c r="B2442" s="2" t="n">
        <v>354065</v>
      </c>
      <c r="C2442" s="2" t="n">
        <v>352696</v>
      </c>
      <c r="D2442" s="2" t="inlineStr">
        <is>
          <t>Acondicionador Kera Liso Brillo y Sedosidad 200 Ml Elvive Acondicionador Kera Liso Brillo Sedosidad 200 Ml Elvive</t>
        </is>
      </c>
      <c r="E2442" s="2" t="inlineStr">
        <is>
          <t>ELVIVE</t>
        </is>
      </c>
      <c r="F2442" s="2" t="n">
        <v>5750</v>
      </c>
      <c r="G2442" s="2" t="n">
        <v>475207</v>
      </c>
      <c r="H2442" s="2" t="b">
        <v>0</v>
      </c>
      <c r="I2442" s="2" t="n">
        <v>200</v>
      </c>
      <c r="J2442" s="2" t="n">
        <v>28.75</v>
      </c>
      <c r="K2442" s="2" t="inlineStr">
        <is>
          <t>&gt; Perfumería &gt; Cuidado Capilar &gt; Acondicionador &gt;</t>
        </is>
      </c>
      <c r="L2442" s="2" t="inlineStr">
        <is>
          <t>acondicionador</t>
        </is>
      </c>
      <c r="M2442" s="2" t="inlineStr">
        <is>
          <t>profesional</t>
        </is>
      </c>
      <c r="N2442" s="2" t="inlineStr">
        <is>
          <t>general</t>
        </is>
      </c>
      <c r="O2442" s="2" t="inlineStr">
        <is>
          <t>https://www.jumbo.com.ar/acondicionador-kera-liso-brillo-sedosidad-200-ml-elvive/p</t>
        </is>
      </c>
    </row>
    <row r="2443">
      <c r="A2443" t="inlineStr">
        <is>
          <t>Jumbo</t>
        </is>
      </c>
      <c r="B2443" t="n">
        <v>354064</v>
      </c>
      <c r="C2443" t="n">
        <v>352695</v>
      </c>
      <c r="D2443" t="inlineStr">
        <is>
          <t>Acondicionador Kera Liso Brillo y Sedosidad 400 Ml Elvive</t>
        </is>
      </c>
      <c r="E2443" t="inlineStr">
        <is>
          <t>ELVIVE</t>
        </is>
      </c>
      <c r="F2443" t="n">
        <v>9250</v>
      </c>
      <c r="G2443" t="n">
        <v>764463</v>
      </c>
      <c r="H2443" t="b">
        <v>0</v>
      </c>
      <c r="I2443" t="n">
        <v>400</v>
      </c>
      <c r="J2443" t="n">
        <v>23.125</v>
      </c>
      <c r="K2443" t="inlineStr">
        <is>
          <t>&gt; Perfumería &gt; Cuidado Capilar &gt; Acondicionador &gt;</t>
        </is>
      </c>
      <c r="L2443" t="inlineStr">
        <is>
          <t>acondicionador</t>
        </is>
      </c>
      <c r="M2443" t="inlineStr">
        <is>
          <t>profesional</t>
        </is>
      </c>
      <c r="N2443" t="inlineStr">
        <is>
          <t>general</t>
        </is>
      </c>
      <c r="O2443" t="inlineStr">
        <is>
          <t>https://www.jumbo.com.ar/acondicionador-kera-liso-brillo-sedosidad-400-ml-elvive/p</t>
        </is>
      </c>
    </row>
    <row r="2444">
      <c r="A2444" s="2" t="inlineStr">
        <is>
          <t>Jumbo</t>
        </is>
      </c>
      <c r="B2444" s="2" t="n">
        <v>354061</v>
      </c>
      <c r="C2444" s="2" t="n">
        <v>352692</v>
      </c>
      <c r="D2444" s="2" t="inlineStr">
        <is>
          <t>Shampoo Kera Liso Brillo Sedosidad 750 Ml Elvive</t>
        </is>
      </c>
      <c r="E2444" s="2" t="inlineStr">
        <is>
          <t>ELVIVE</t>
        </is>
      </c>
      <c r="F2444" s="2" t="n">
        <v>14500</v>
      </c>
      <c r="G2444" s="2" t="n">
        <v>1198347</v>
      </c>
      <c r="H2444" s="2" t="b">
        <v>0</v>
      </c>
      <c r="I2444" s="2" t="n">
        <v>750</v>
      </c>
      <c r="J2444" s="2" t="n">
        <v>19.3333</v>
      </c>
      <c r="K2444" s="2" t="inlineStr">
        <is>
          <t>&gt; Perfumería &gt; Cuidado Capilar &gt; Shampoo &gt;</t>
        </is>
      </c>
      <c r="L2444" s="2" t="inlineStr">
        <is>
          <t>shampoo</t>
        </is>
      </c>
      <c r="M2444" s="2" t="inlineStr">
        <is>
          <t>profesional</t>
        </is>
      </c>
      <c r="N2444" s="2" t="inlineStr">
        <is>
          <t>general</t>
        </is>
      </c>
      <c r="O2444" s="2" t="inlineStr">
        <is>
          <t>https://www.jumbo.com.ar/shampoo-kera-liso-brillo-sedosidad-750-ml-elvive/p</t>
        </is>
      </c>
    </row>
    <row r="2445">
      <c r="A2445" t="inlineStr">
        <is>
          <t>Jumbo</t>
        </is>
      </c>
      <c r="B2445" t="n">
        <v>354059</v>
      </c>
      <c r="C2445" t="n">
        <v>352690</v>
      </c>
      <c r="D2445" t="inlineStr">
        <is>
          <t>Shampoo Kera Liso Brillo Sedosidad 200 Ml Elvive</t>
        </is>
      </c>
      <c r="E2445" t="inlineStr">
        <is>
          <t>ELVIVE</t>
        </is>
      </c>
      <c r="F2445" t="n">
        <v>5900</v>
      </c>
      <c r="G2445" t="n">
        <v>487603</v>
      </c>
      <c r="H2445" t="b">
        <v>0</v>
      </c>
      <c r="I2445" t="n">
        <v>200</v>
      </c>
      <c r="J2445" t="n">
        <v>29.5</v>
      </c>
      <c r="K2445" t="inlineStr">
        <is>
          <t>&gt; Perfumería &gt; Cuidado Capilar &gt; Shampoo &gt;</t>
        </is>
      </c>
      <c r="L2445" t="inlineStr">
        <is>
          <t>shampoo</t>
        </is>
      </c>
      <c r="M2445" t="inlineStr">
        <is>
          <t>profesional</t>
        </is>
      </c>
      <c r="N2445" t="inlineStr">
        <is>
          <t>general</t>
        </is>
      </c>
      <c r="O2445" t="inlineStr">
        <is>
          <t>https://www.jumbo.com.ar/shampoo-kera-liso-brillo-sedosidad-200-ml-elvive/p</t>
        </is>
      </c>
    </row>
    <row r="2446">
      <c r="A2446" s="2" t="inlineStr">
        <is>
          <t>Jumbo</t>
        </is>
      </c>
      <c r="B2446" s="2" t="n">
        <v>354058</v>
      </c>
      <c r="C2446" s="2" t="n">
        <v>352689</v>
      </c>
      <c r="D2446" s="2" t="inlineStr">
        <is>
          <t>Shampoo Elvive Color Vive Protector 400ml</t>
        </is>
      </c>
      <c r="E2446" s="2" t="inlineStr">
        <is>
          <t>ELVIVE</t>
        </is>
      </c>
      <c r="F2446" s="2" t="n">
        <v>1301.07</v>
      </c>
      <c r="G2446" s="2" t="n">
        <v>107526</v>
      </c>
      <c r="H2446" s="2" t="b">
        <v>0</v>
      </c>
      <c r="I2446" s="2" t="n">
        <v>400</v>
      </c>
      <c r="J2446" s="2" t="n">
        <v>3.2527</v>
      </c>
      <c r="K2446" s="2" t="inlineStr">
        <is>
          <t>&gt; Perfumería &gt; Cuidado Capilar &gt; Shampoo &gt;</t>
        </is>
      </c>
      <c r="L2446" s="2" t="inlineStr">
        <is>
          <t>shampoo</t>
        </is>
      </c>
      <c r="M2446" s="2" t="inlineStr">
        <is>
          <t>profesional</t>
        </is>
      </c>
      <c r="N2446" s="2" t="inlineStr">
        <is>
          <t>tratado</t>
        </is>
      </c>
      <c r="O2446" s="2" t="inlineStr">
        <is>
          <t>https://www.jumbo.com.ar/shampoo-elvive-color-vive-protector-400ml/p</t>
        </is>
      </c>
    </row>
    <row r="2447">
      <c r="A2447" t="inlineStr">
        <is>
          <t>Jumbo</t>
        </is>
      </c>
      <c r="B2447" t="n">
        <v>354055</v>
      </c>
      <c r="C2447" t="n">
        <v>352686</v>
      </c>
      <c r="D2447" t="inlineStr">
        <is>
          <t>Shampoo Elvive Color Vive Protector 200ml</t>
        </is>
      </c>
      <c r="E2447" t="inlineStr">
        <is>
          <t>ELVIVE</t>
        </is>
      </c>
      <c r="F2447" t="n">
        <v>1050</v>
      </c>
      <c r="G2447" t="n">
        <v>86777</v>
      </c>
      <c r="H2447" t="b">
        <v>0</v>
      </c>
      <c r="I2447" t="n">
        <v>200</v>
      </c>
      <c r="J2447" t="n">
        <v>5.25</v>
      </c>
      <c r="K2447" t="inlineStr">
        <is>
          <t>&gt; Perfumería &gt; Cuidado Capilar &gt; Shampoo &gt;</t>
        </is>
      </c>
      <c r="L2447" t="inlineStr">
        <is>
          <t>shampoo</t>
        </is>
      </c>
      <c r="M2447" t="inlineStr">
        <is>
          <t>profesional</t>
        </is>
      </c>
      <c r="N2447" t="inlineStr">
        <is>
          <t>tratado</t>
        </is>
      </c>
      <c r="O2447" t="inlineStr">
        <is>
          <t>https://www.jumbo.com.ar/shampoo-elvive-color-vive-protector-200ml/p</t>
        </is>
      </c>
    </row>
    <row r="2448">
      <c r="A2448" s="2" t="inlineStr">
        <is>
          <t>Jumbo</t>
        </is>
      </c>
      <c r="B2448" s="2" t="n">
        <v>354054</v>
      </c>
      <c r="C2448" s="2" t="n">
        <v>352685</v>
      </c>
      <c r="D2448" s="2" t="inlineStr">
        <is>
          <t>Mascarilla para Cabello Teñido Color Vive 300 Grs Elvive</t>
        </is>
      </c>
      <c r="E2448" s="2" t="inlineStr">
        <is>
          <t>ELVIVE</t>
        </is>
      </c>
      <c r="F2448" s="2" t="n">
        <v>4050</v>
      </c>
      <c r="G2448" s="2" t="n">
        <v>334711</v>
      </c>
      <c r="H2448" s="2" t="b">
        <v>0</v>
      </c>
      <c r="I2448" s="2" t="inlineStr"/>
      <c r="J2448" s="2" t="inlineStr"/>
      <c r="K2448" s="2" t="inlineStr">
        <is>
          <t>&gt; Perfumería &gt; Cuidado Capilar &gt; Reparación y Tratamientos &gt;</t>
        </is>
      </c>
      <c r="L2448" s="2" t="inlineStr">
        <is>
          <t>tratamiento</t>
        </is>
      </c>
      <c r="M2448" s="2" t="inlineStr">
        <is>
          <t>profesional</t>
        </is>
      </c>
      <c r="N2448" s="2" t="inlineStr">
        <is>
          <t>tratado</t>
        </is>
      </c>
      <c r="O2448" s="2" t="inlineStr">
        <is>
          <t>https://www.jumbo.com.ar/mascarilla-elvive-color-vive-300-gr/p</t>
        </is>
      </c>
    </row>
    <row r="2449">
      <c r="A2449" t="inlineStr">
        <is>
          <t>Jumbo</t>
        </is>
      </c>
      <c r="B2449" t="n">
        <v>354051</v>
      </c>
      <c r="C2449" t="n">
        <v>352682</v>
      </c>
      <c r="D2449" t="inlineStr">
        <is>
          <t>Shampoo Elvive Kera-liso 230° 200 Ml</t>
        </is>
      </c>
      <c r="E2449" t="inlineStr">
        <is>
          <t>ELVIVE</t>
        </is>
      </c>
      <c r="F2449" t="n">
        <v>1050</v>
      </c>
      <c r="G2449" t="n">
        <v>86777</v>
      </c>
      <c r="H2449" t="b">
        <v>0</v>
      </c>
      <c r="I2449" t="n">
        <v>200</v>
      </c>
      <c r="J2449" t="n">
        <v>5.25</v>
      </c>
      <c r="K2449" t="inlineStr">
        <is>
          <t>&gt; Perfumería &gt; Cuidado Capilar &gt; Shampoo &gt;</t>
        </is>
      </c>
      <c r="L2449" t="inlineStr">
        <is>
          <t>shampoo</t>
        </is>
      </c>
      <c r="M2449" t="inlineStr">
        <is>
          <t>profesional</t>
        </is>
      </c>
      <c r="N2449" t="inlineStr">
        <is>
          <t>general</t>
        </is>
      </c>
      <c r="O2449" t="inlineStr">
        <is>
          <t>https://www.jumbo.com.ar/shampoo-elvive-kera-liso-230-200-ml/p</t>
        </is>
      </c>
    </row>
    <row r="2450">
      <c r="A2450" s="2" t="inlineStr">
        <is>
          <t>Jumbo</t>
        </is>
      </c>
      <c r="B2450" s="2" t="n">
        <v>354046</v>
      </c>
      <c r="C2450" s="2" t="n">
        <v>352677</v>
      </c>
      <c r="D2450" s="2" t="inlineStr">
        <is>
          <t>Shampoo Elvive Kera-liso 230° 400ml</t>
        </is>
      </c>
      <c r="E2450" s="2" t="inlineStr">
        <is>
          <t>ELVIVE</t>
        </is>
      </c>
      <c r="F2450" s="2" t="n">
        <v>1600</v>
      </c>
      <c r="G2450" s="2" t="n">
        <v>132231</v>
      </c>
      <c r="H2450" s="2" t="b">
        <v>0</v>
      </c>
      <c r="I2450" s="2" t="n">
        <v>400</v>
      </c>
      <c r="J2450" s="2" t="n">
        <v>4</v>
      </c>
      <c r="K2450" s="2" t="inlineStr">
        <is>
          <t>&gt; Perfumería &gt; Cuidado Capilar &gt; Shampoo &gt;</t>
        </is>
      </c>
      <c r="L2450" s="2" t="inlineStr">
        <is>
          <t>shampoo</t>
        </is>
      </c>
      <c r="M2450" s="2" t="inlineStr">
        <is>
          <t>profesional</t>
        </is>
      </c>
      <c r="N2450" s="2" t="inlineStr">
        <is>
          <t>general</t>
        </is>
      </c>
      <c r="O2450" s="2" t="inlineStr">
        <is>
          <t>https://www.jumbo.com.ar/shampoo-elvive-kera-liso-230-400ml/p</t>
        </is>
      </c>
    </row>
    <row r="2451">
      <c r="A2451" t="inlineStr">
        <is>
          <t>Jumbo</t>
        </is>
      </c>
      <c r="B2451" t="n">
        <v>354045</v>
      </c>
      <c r="C2451" t="n">
        <v>352676</v>
      </c>
      <c r="D2451" t="inlineStr">
        <is>
          <t>Shampoo Elvive Kera Liso Brillo Y Sedosidad 400 Ml</t>
        </is>
      </c>
      <c r="E2451" t="inlineStr">
        <is>
          <t>ELVIVE</t>
        </is>
      </c>
      <c r="F2451" t="n">
        <v>9250</v>
      </c>
      <c r="G2451" t="n">
        <v>764463</v>
      </c>
      <c r="H2451" t="b">
        <v>0</v>
      </c>
      <c r="I2451" t="n">
        <v>400</v>
      </c>
      <c r="J2451" t="n">
        <v>23.125</v>
      </c>
      <c r="K2451" t="inlineStr">
        <is>
          <t>&gt; Perfumería &gt; Cuidado Capilar &gt; Shampoo &gt;</t>
        </is>
      </c>
      <c r="L2451" t="inlineStr">
        <is>
          <t>shampoo</t>
        </is>
      </c>
      <c r="M2451" t="inlineStr">
        <is>
          <t>profesional</t>
        </is>
      </c>
      <c r="N2451" t="inlineStr">
        <is>
          <t>general</t>
        </is>
      </c>
      <c r="O2451" t="inlineStr">
        <is>
          <t>https://www.jumbo.com.ar/shampoo-elvive-kera-liso-brillo-y-sedosidad-400-ml/p</t>
        </is>
      </c>
    </row>
    <row r="2452">
      <c r="A2452" s="2" t="inlineStr">
        <is>
          <t>Jumbo</t>
        </is>
      </c>
      <c r="B2452" s="2" t="n">
        <v>350125</v>
      </c>
      <c r="C2452" s="2" t="n">
        <v>348785</v>
      </c>
      <c r="D2452" s="2" t="inlineStr">
        <is>
          <t>Acondicionador Elvive Oleo Extraordinario Rizos 200 Ml</t>
        </is>
      </c>
      <c r="E2452" s="2" t="inlineStr">
        <is>
          <t>ELVIVE</t>
        </is>
      </c>
      <c r="F2452" s="2" t="n">
        <v>3750</v>
      </c>
      <c r="G2452" s="2" t="n">
        <v>309917</v>
      </c>
      <c r="H2452" s="2" t="b">
        <v>0</v>
      </c>
      <c r="I2452" s="2" t="n">
        <v>200</v>
      </c>
      <c r="J2452" s="2" t="n">
        <v>18.75</v>
      </c>
      <c r="K2452" s="2" t="inlineStr">
        <is>
          <t>&gt; Perfumería &gt; Cuidado Capilar &gt; Reparación y Tratamientos &gt;</t>
        </is>
      </c>
      <c r="L2452" s="2" t="inlineStr">
        <is>
          <t>acondicionador</t>
        </is>
      </c>
      <c r="M2452" s="2" t="inlineStr">
        <is>
          <t>profesional</t>
        </is>
      </c>
      <c r="N2452" s="2" t="inlineStr">
        <is>
          <t>rizado</t>
        </is>
      </c>
      <c r="O2452" s="2" t="inlineStr">
        <is>
          <t>https://www.jumbo.com.ar/acondicionador-elvive-oleo-extraordinario-rizos-200-ml/p</t>
        </is>
      </c>
    </row>
    <row r="2453">
      <c r="A2453" t="inlineStr">
        <is>
          <t>Jumbo</t>
        </is>
      </c>
      <c r="B2453" t="n">
        <v>350123</v>
      </c>
      <c r="C2453" t="n">
        <v>348783</v>
      </c>
      <c r="D2453" t="inlineStr">
        <is>
          <t>Crema para Peinar Oleo Extraordinario Coco para Cabello Muy Seco 250 Ml Elvive</t>
        </is>
      </c>
      <c r="E2453" t="inlineStr">
        <is>
          <t>ELVIVE</t>
        </is>
      </c>
      <c r="F2453" t="n">
        <v>8400</v>
      </c>
      <c r="G2453" t="n">
        <v>694215</v>
      </c>
      <c r="H2453" t="b">
        <v>0</v>
      </c>
      <c r="I2453" t="n">
        <v>250</v>
      </c>
      <c r="J2453" t="n">
        <v>33.6</v>
      </c>
      <c r="K2453" t="inlineStr">
        <is>
          <t>&gt; Perfumería &gt; Cuidado Capilar &gt; Reparación y Tratamientos &gt;</t>
        </is>
      </c>
      <c r="L2453" t="inlineStr">
        <is>
          <t>shampoo</t>
        </is>
      </c>
      <c r="M2453" t="inlineStr">
        <is>
          <t>profesional</t>
        </is>
      </c>
      <c r="N2453" t="inlineStr">
        <is>
          <t>seco_danado</t>
        </is>
      </c>
      <c r="O2453" t="inlineStr">
        <is>
          <t>https://www.jumbo.com.ar/crema-para-peinar-elvive-oleo-extraordinario-coco-250-ml/p</t>
        </is>
      </c>
    </row>
    <row r="2454">
      <c r="A2454" s="2" t="inlineStr">
        <is>
          <t>Jumbo</t>
        </is>
      </c>
      <c r="B2454" s="2" t="n">
        <v>350002</v>
      </c>
      <c r="C2454" s="2" t="n">
        <v>348662</v>
      </c>
      <c r="D2454" s="2" t="inlineStr">
        <is>
          <t>Elvive Crema Para Peinar Reparación Total 5 250ml</t>
        </is>
      </c>
      <c r="E2454" s="2" t="inlineStr">
        <is>
          <t>ELVIVE</t>
        </is>
      </c>
      <c r="F2454" s="2" t="n">
        <v>1605.06</v>
      </c>
      <c r="G2454" s="2" t="n">
        <v>132650</v>
      </c>
      <c r="H2454" s="2" t="b">
        <v>0</v>
      </c>
      <c r="I2454" s="2" t="n">
        <v>250</v>
      </c>
      <c r="J2454" s="2" t="n">
        <v>6.4202</v>
      </c>
      <c r="K2454" s="2" t="inlineStr">
        <is>
          <t>&gt; Perfumería &gt; Cuidado Capilar &gt; Reparación y Tratamientos &gt;</t>
        </is>
      </c>
      <c r="L2454" s="2" t="inlineStr">
        <is>
          <t>shampoo</t>
        </is>
      </c>
      <c r="M2454" s="2" t="inlineStr">
        <is>
          <t>profesional</t>
        </is>
      </c>
      <c r="N2454" s="2" t="inlineStr">
        <is>
          <t>general</t>
        </is>
      </c>
      <c r="O2454" s="2" t="inlineStr">
        <is>
          <t>https://www.jumbo.com.ar/elvive-crema-para-peinar-reparacion-total-5-250ml/p</t>
        </is>
      </c>
    </row>
    <row r="2455">
      <c r="A2455" t="inlineStr">
        <is>
          <t>Jumbo</t>
        </is>
      </c>
      <c r="B2455" t="n">
        <v>350001</v>
      </c>
      <c r="C2455" t="n">
        <v>348661</v>
      </c>
      <c r="D2455" t="inlineStr">
        <is>
          <t>Mascarilla Elvive Reparacion Total 5 300ml</t>
        </is>
      </c>
      <c r="E2455" t="inlineStr">
        <is>
          <t>ELVIVE</t>
        </is>
      </c>
      <c r="F2455" t="n">
        <v>1650</v>
      </c>
      <c r="G2455" t="n">
        <v>136364</v>
      </c>
      <c r="H2455" t="b">
        <v>0</v>
      </c>
      <c r="I2455" t="n">
        <v>300</v>
      </c>
      <c r="J2455" t="n">
        <v>5.5</v>
      </c>
      <c r="K2455" t="inlineStr">
        <is>
          <t>&gt; Perfumería &gt; Cuidado Capilar &gt; Reparación y Tratamientos &gt;</t>
        </is>
      </c>
      <c r="L2455" t="inlineStr">
        <is>
          <t>tratamiento</t>
        </is>
      </c>
      <c r="M2455" t="inlineStr">
        <is>
          <t>profesional</t>
        </is>
      </c>
      <c r="N2455" t="inlineStr">
        <is>
          <t>general</t>
        </is>
      </c>
      <c r="O2455" t="inlineStr">
        <is>
          <t>https://www.jumbo.com.ar/mascarilla-elvive-reparacion-total-5-300ml-2/p</t>
        </is>
      </c>
    </row>
    <row r="2456">
      <c r="A2456" s="2" t="inlineStr">
        <is>
          <t>Jumbo</t>
        </is>
      </c>
      <c r="B2456" s="2" t="n">
        <v>350000</v>
      </c>
      <c r="C2456" s="2" t="n">
        <v>348660</v>
      </c>
      <c r="D2456" s="2" t="inlineStr">
        <is>
          <t>Shampoo Elvive Reparador 2 En 1 Total 5 400ml</t>
        </is>
      </c>
      <c r="E2456" s="2" t="inlineStr">
        <is>
          <t>ELVIVE</t>
        </is>
      </c>
      <c r="F2456" s="2" t="n">
        <v>1366.09</v>
      </c>
      <c r="G2456" s="2" t="n">
        <v>112900</v>
      </c>
      <c r="H2456" s="2" t="b">
        <v>0</v>
      </c>
      <c r="I2456" s="2" t="n">
        <v>400</v>
      </c>
      <c r="J2456" s="2" t="n">
        <v>3.4152</v>
      </c>
      <c r="K2456" s="2" t="inlineStr">
        <is>
          <t>&gt; Perfumería &gt; Cuidado Capilar &gt; Shampoo &gt;</t>
        </is>
      </c>
      <c r="L2456" s="2" t="inlineStr">
        <is>
          <t>shampoo</t>
        </is>
      </c>
      <c r="M2456" s="2" t="inlineStr">
        <is>
          <t>profesional</t>
        </is>
      </c>
      <c r="N2456" s="2" t="inlineStr">
        <is>
          <t>general</t>
        </is>
      </c>
      <c r="O2456" s="2" t="inlineStr">
        <is>
          <t>https://www.jumbo.com.ar/shampoo-elvive-reparador-2-en-1-total-5-400ml-2/p</t>
        </is>
      </c>
    </row>
    <row r="2457">
      <c r="A2457" t="inlineStr">
        <is>
          <t>Jumbo</t>
        </is>
      </c>
      <c r="B2457" t="n">
        <v>349998</v>
      </c>
      <c r="C2457" t="n">
        <v>348658</v>
      </c>
      <c r="D2457" t="inlineStr">
        <is>
          <t>Shampoo Elvive Reparador Total 5 750ml</t>
        </is>
      </c>
      <c r="E2457" t="inlineStr">
        <is>
          <t>ELVIVE</t>
        </is>
      </c>
      <c r="F2457" t="n">
        <v>2168.17</v>
      </c>
      <c r="G2457" t="n">
        <v>179188</v>
      </c>
      <c r="H2457" t="b">
        <v>0</v>
      </c>
      <c r="I2457" t="n">
        <v>750</v>
      </c>
      <c r="J2457" t="n">
        <v>2.8909</v>
      </c>
      <c r="K2457" t="inlineStr">
        <is>
          <t>&gt; Perfumería &gt; Cuidado Capilar &gt; Shampoo &gt;</t>
        </is>
      </c>
      <c r="L2457" t="inlineStr">
        <is>
          <t>shampoo</t>
        </is>
      </c>
      <c r="M2457" t="inlineStr">
        <is>
          <t>profesional</t>
        </is>
      </c>
      <c r="N2457" t="inlineStr">
        <is>
          <t>general</t>
        </is>
      </c>
      <c r="O2457" t="inlineStr">
        <is>
          <t>https://www.jumbo.com.ar/shampoo-elvive-reparador-total-5-750ml-2/p</t>
        </is>
      </c>
    </row>
    <row r="2458">
      <c r="A2458" s="2" t="inlineStr">
        <is>
          <t>Jumbo</t>
        </is>
      </c>
      <c r="B2458" s="2" t="n">
        <v>349996</v>
      </c>
      <c r="C2458" s="2" t="n">
        <v>348656</v>
      </c>
      <c r="D2458" s="2" t="inlineStr">
        <is>
          <t>Shampoo Reparación Total 5 Elvive L´oréal Paris X 400 Ml</t>
        </is>
      </c>
      <c r="E2458" s="2" t="inlineStr">
        <is>
          <t>ELVIVE</t>
        </is>
      </c>
      <c r="F2458" s="2" t="n">
        <v>1650</v>
      </c>
      <c r="G2458" s="2" t="n">
        <v>136364</v>
      </c>
      <c r="H2458" s="2" t="b">
        <v>0</v>
      </c>
      <c r="I2458" s="2" t="n">
        <v>400</v>
      </c>
      <c r="J2458" s="2" t="n">
        <v>4.125</v>
      </c>
      <c r="K2458" s="2" t="inlineStr">
        <is>
          <t>&gt; Perfumería &gt; Cuidado Capilar &gt; Shampoo &gt;</t>
        </is>
      </c>
      <c r="L2458" s="2" t="inlineStr">
        <is>
          <t>shampoo</t>
        </is>
      </c>
      <c r="M2458" s="2" t="inlineStr">
        <is>
          <t>profesional</t>
        </is>
      </c>
      <c r="N2458" s="2" t="inlineStr">
        <is>
          <t>general</t>
        </is>
      </c>
      <c r="O2458" s="2" t="inlineStr">
        <is>
          <t>https://www.jumbo.com.ar/shampoo-reparacion-total-5-elvive-l-oreal-paris-x-400-ml/p</t>
        </is>
      </c>
    </row>
    <row r="2459">
      <c r="A2459" t="inlineStr">
        <is>
          <t>Jumbo</t>
        </is>
      </c>
      <c r="B2459" t="n">
        <v>349994</v>
      </c>
      <c r="C2459" t="n">
        <v>348654</v>
      </c>
      <c r="D2459" t="inlineStr">
        <is>
          <t>Shampoo Elvive Reparador Total 5 200ml</t>
        </is>
      </c>
      <c r="E2459" t="inlineStr">
        <is>
          <t>ELVIVE</t>
        </is>
      </c>
      <c r="F2459" t="n">
        <v>1150</v>
      </c>
      <c r="G2459" t="n">
        <v>95041</v>
      </c>
      <c r="H2459" t="b">
        <v>0</v>
      </c>
      <c r="I2459" t="n">
        <v>200</v>
      </c>
      <c r="J2459" t="n">
        <v>5.75</v>
      </c>
      <c r="K2459" t="inlineStr">
        <is>
          <t>&gt; Perfumería &gt; Cuidado Capilar &gt; Shampoo &gt;</t>
        </is>
      </c>
      <c r="L2459" t="inlineStr">
        <is>
          <t>shampoo</t>
        </is>
      </c>
      <c r="M2459" t="inlineStr">
        <is>
          <t>profesional</t>
        </is>
      </c>
      <c r="N2459" t="inlineStr">
        <is>
          <t>general</t>
        </is>
      </c>
      <c r="O2459" t="inlineStr">
        <is>
          <t>https://www.jumbo.com.ar/shampoo-elvive-reparador-total-5-200ml-2/p</t>
        </is>
      </c>
    </row>
    <row r="2460">
      <c r="A2460" s="2" t="inlineStr">
        <is>
          <t>Jumbo</t>
        </is>
      </c>
      <c r="B2460" s="2" t="n">
        <v>349985</v>
      </c>
      <c r="C2460" s="2" t="n">
        <v>348645</v>
      </c>
      <c r="D2460" s="2" t="inlineStr">
        <is>
          <t>Mascarilla Nutrición Intensa Oleo Extraordinario de Coco 300 Grs Elvive</t>
        </is>
      </c>
      <c r="E2460" s="2" t="inlineStr">
        <is>
          <t>ELVIVE</t>
        </is>
      </c>
      <c r="F2460" s="2" t="n">
        <v>10500</v>
      </c>
      <c r="G2460" s="2" t="n">
        <v>867769</v>
      </c>
      <c r="H2460" s="2" t="b">
        <v>0</v>
      </c>
      <c r="I2460" s="2" t="inlineStr"/>
      <c r="J2460" s="2" t="inlineStr"/>
      <c r="K2460" s="2" t="inlineStr">
        <is>
          <t>&gt; Perfumería &gt; Cuidado Capilar &gt; Reparación y Tratamientos &gt;</t>
        </is>
      </c>
      <c r="L2460" s="2" t="inlineStr">
        <is>
          <t>tratamiento</t>
        </is>
      </c>
      <c r="M2460" s="2" t="inlineStr">
        <is>
          <t>profesional</t>
        </is>
      </c>
      <c r="N2460" s="2" t="inlineStr">
        <is>
          <t>general</t>
        </is>
      </c>
      <c r="O2460" s="2" t="inlineStr">
        <is>
          <t>https://www.jumbo.com.ar/mascarilla-elvive-oleo-extraordinario-coco-300-gr/p</t>
        </is>
      </c>
    </row>
    <row r="2461">
      <c r="A2461" t="inlineStr">
        <is>
          <t>Jumbo</t>
        </is>
      </c>
      <c r="B2461" t="n">
        <v>348107</v>
      </c>
      <c r="C2461" t="n">
        <v>346781</v>
      </c>
      <c r="D2461" t="inlineStr">
        <is>
          <t>Acond Algabo Detox Eco-pack 930ml</t>
        </is>
      </c>
      <c r="E2461" t="inlineStr">
        <is>
          <t>ELVIVE</t>
        </is>
      </c>
      <c r="F2461" t="n">
        <v>278.39</v>
      </c>
      <c r="G2461" t="n">
        <v>23007</v>
      </c>
      <c r="H2461" t="b">
        <v>0</v>
      </c>
      <c r="I2461" t="n">
        <v>930</v>
      </c>
      <c r="J2461" t="n">
        <v>0.2993</v>
      </c>
      <c r="K2461" t="inlineStr">
        <is>
          <t>&gt; Perfumería &gt; Cuidado Capilar &gt; Acondicionador &gt;</t>
        </is>
      </c>
      <c r="L2461" t="inlineStr">
        <is>
          <t>tratamiento</t>
        </is>
      </c>
      <c r="M2461" t="inlineStr">
        <is>
          <t>profesional</t>
        </is>
      </c>
      <c r="N2461" t="inlineStr">
        <is>
          <t>general</t>
        </is>
      </c>
      <c r="O2461" t="inlineStr">
        <is>
          <t>https://www.jumbo.com.ar/acond-algabo-detox-eco-pack-930ml-2/p</t>
        </is>
      </c>
    </row>
    <row r="2462">
      <c r="A2462" s="2" t="inlineStr">
        <is>
          <t>Jumbo</t>
        </is>
      </c>
      <c r="B2462" s="2" t="n">
        <v>348055</v>
      </c>
      <c r="C2462" s="2" t="n">
        <v>346730</v>
      </c>
      <c r="D2462" s="2" t="inlineStr">
        <is>
          <t>Shampoo Algabo Hidratación Eco-pack 930ml</t>
        </is>
      </c>
      <c r="E2462" s="2" t="inlineStr">
        <is>
          <t>ELVIVE</t>
        </is>
      </c>
      <c r="F2462" s="2" t="n">
        <v>221.47</v>
      </c>
      <c r="G2462" s="2" t="n">
        <v>18303</v>
      </c>
      <c r="H2462" s="2" t="b">
        <v>0</v>
      </c>
      <c r="I2462" s="2" t="n">
        <v>930</v>
      </c>
      <c r="J2462" s="2" t="n">
        <v>0.2381</v>
      </c>
      <c r="K2462" s="2" t="inlineStr">
        <is>
          <t>&gt; Perfumería &gt; Cuidado Capilar &gt; Shampoo &gt;</t>
        </is>
      </c>
      <c r="L2462" s="2" t="inlineStr">
        <is>
          <t>tratamiento</t>
        </is>
      </c>
      <c r="M2462" s="2" t="inlineStr">
        <is>
          <t>profesional</t>
        </is>
      </c>
      <c r="N2462" s="2" t="inlineStr">
        <is>
          <t>seco_danado</t>
        </is>
      </c>
      <c r="O2462" s="2" t="inlineStr">
        <is>
          <t>https://www.jumbo.com.ar/shampoo-algabo-hidratacion-eco-pack-930ml/p</t>
        </is>
      </c>
    </row>
    <row r="2463">
      <c r="A2463" t="inlineStr">
        <is>
          <t>Jumbo</t>
        </is>
      </c>
      <c r="B2463" t="n">
        <v>348053</v>
      </c>
      <c r="C2463" t="n">
        <v>346728</v>
      </c>
      <c r="D2463" t="inlineStr">
        <is>
          <t>Shampoo Algabo Suavidad Eco-pack 930ml</t>
        </is>
      </c>
      <c r="E2463" t="inlineStr">
        <is>
          <t>ELVIVE</t>
        </is>
      </c>
      <c r="F2463" t="n">
        <v>221.47</v>
      </c>
      <c r="G2463" t="n">
        <v>18303</v>
      </c>
      <c r="H2463" t="b">
        <v>0</v>
      </c>
      <c r="I2463" t="n">
        <v>930</v>
      </c>
      <c r="J2463" t="n">
        <v>0.2381</v>
      </c>
      <c r="K2463" t="inlineStr">
        <is>
          <t>&gt; Perfumería &gt; Cuidado Capilar &gt; Shampoo &gt;</t>
        </is>
      </c>
      <c r="L2463" t="inlineStr">
        <is>
          <t>tratamiento</t>
        </is>
      </c>
      <c r="M2463" t="inlineStr">
        <is>
          <t>profesional</t>
        </is>
      </c>
      <c r="N2463" t="inlineStr">
        <is>
          <t>general</t>
        </is>
      </c>
      <c r="O2463" t="inlineStr">
        <is>
          <t>https://www.jumbo.com.ar/shampoo-algabo-suavidad-eco-pack-930ml-2/p</t>
        </is>
      </c>
    </row>
    <row r="2464">
      <c r="A2464" s="2" t="inlineStr">
        <is>
          <t>Jumbo</t>
        </is>
      </c>
      <c r="B2464" s="2" t="n">
        <v>346827</v>
      </c>
      <c r="C2464" s="2" t="n">
        <v>345502</v>
      </c>
      <c r="D2464" s="2" t="inlineStr">
        <is>
          <t>Shampoo Reconstructor Dream Long 200 Ml Elvive Shampoo Elvive Dream Long 200 Ml</t>
        </is>
      </c>
      <c r="E2464" s="2" t="inlineStr">
        <is>
          <t>ELVIVE</t>
        </is>
      </c>
      <c r="F2464" s="2" t="n">
        <v>6300</v>
      </c>
      <c r="G2464" s="2" t="n">
        <v>520661</v>
      </c>
      <c r="H2464" s="2" t="b">
        <v>0</v>
      </c>
      <c r="I2464" s="2" t="n">
        <v>200</v>
      </c>
      <c r="J2464" s="2" t="n">
        <v>31.5</v>
      </c>
      <c r="K2464" s="2" t="inlineStr">
        <is>
          <t>&gt; Perfumería &gt; Cuidado Capilar &gt; Shampoo &gt;</t>
        </is>
      </c>
      <c r="L2464" s="2" t="inlineStr">
        <is>
          <t>shampoo</t>
        </is>
      </c>
      <c r="M2464" s="2" t="inlineStr">
        <is>
          <t>profesional</t>
        </is>
      </c>
      <c r="N2464" s="2" t="inlineStr">
        <is>
          <t>general</t>
        </is>
      </c>
      <c r="O2464" s="2" t="inlineStr">
        <is>
          <t>https://www.jumbo.com.ar/shampoo-elvive-dream-long-200-ml/p</t>
        </is>
      </c>
    </row>
    <row r="2465">
      <c r="A2465" t="inlineStr">
        <is>
          <t>Jumbo</t>
        </is>
      </c>
      <c r="B2465" t="n">
        <v>346822</v>
      </c>
      <c r="C2465" t="n">
        <v>345497</v>
      </c>
      <c r="D2465" t="inlineStr">
        <is>
          <t>Acondicionador Nutrición Intensa Oleo Extraordinario Coco 750 Ml Elvive</t>
        </is>
      </c>
      <c r="E2465" t="inlineStr">
        <is>
          <t>ELVIVE</t>
        </is>
      </c>
      <c r="F2465" t="n">
        <v>16800</v>
      </c>
      <c r="G2465" t="n">
        <v>1388430</v>
      </c>
      <c r="H2465" t="b">
        <v>0</v>
      </c>
      <c r="I2465" t="n">
        <v>750</v>
      </c>
      <c r="J2465" t="n">
        <v>22.4</v>
      </c>
      <c r="K2465" t="inlineStr">
        <is>
          <t>&gt; Perfumería &gt; Cuidado Capilar &gt; Acondicionador &gt;</t>
        </is>
      </c>
      <c r="L2465" t="inlineStr">
        <is>
          <t>acondicionador</t>
        </is>
      </c>
      <c r="M2465" t="inlineStr">
        <is>
          <t>profesional</t>
        </is>
      </c>
      <c r="N2465" t="inlineStr">
        <is>
          <t>general</t>
        </is>
      </c>
      <c r="O2465" t="inlineStr">
        <is>
          <t>https://www.jumbo.com.ar/acondicionador-elvive-oleo-extraordinario-coco-750-ml/p</t>
        </is>
      </c>
    </row>
    <row r="2466">
      <c r="A2466" s="2" t="inlineStr">
        <is>
          <t>Jumbo</t>
        </is>
      </c>
      <c r="B2466" s="2" t="n">
        <v>346821</v>
      </c>
      <c r="C2466" s="2" t="n">
        <v>345496</v>
      </c>
      <c r="D2466" s="2" t="inlineStr">
        <is>
          <t>Shampoo Elvive Oleo Extraordinario Rizos 200 Ml</t>
        </is>
      </c>
      <c r="E2466" s="2" t="inlineStr">
        <is>
          <t>ELVIVE</t>
        </is>
      </c>
      <c r="F2466" s="2" t="n">
        <v>823.6900000000001</v>
      </c>
      <c r="G2466" s="2" t="n">
        <v>68074</v>
      </c>
      <c r="H2466" s="2" t="b">
        <v>0</v>
      </c>
      <c r="I2466" s="2" t="n">
        <v>200</v>
      </c>
      <c r="J2466" s="2" t="n">
        <v>4.1185</v>
      </c>
      <c r="K2466" s="2" t="inlineStr">
        <is>
          <t>&gt; Perfumería &gt; Cuidado Capilar &gt; Shampoo &gt;</t>
        </is>
      </c>
      <c r="L2466" s="2" t="inlineStr">
        <is>
          <t>shampoo</t>
        </is>
      </c>
      <c r="M2466" s="2" t="inlineStr">
        <is>
          <t>profesional</t>
        </is>
      </c>
      <c r="N2466" s="2" t="inlineStr">
        <is>
          <t>rizado</t>
        </is>
      </c>
      <c r="O2466" s="2" t="inlineStr">
        <is>
          <t>https://www.jumbo.com.ar/shampoo-elvive-oleo-extraordinario-rizos-200-ml/p</t>
        </is>
      </c>
    </row>
    <row r="2467">
      <c r="A2467" t="inlineStr">
        <is>
          <t>Jumbo</t>
        </is>
      </c>
      <c r="B2467" t="n">
        <v>346818</v>
      </c>
      <c r="C2467" t="n">
        <v>345493</v>
      </c>
      <c r="D2467" t="inlineStr">
        <is>
          <t>Acondicionador Óleo Extraordinario Rizos Definidos 200 Ml Elvive Acondicionador Elvive Oleo Extraordinario Rizos 200 Ml</t>
        </is>
      </c>
      <c r="E2467" t="inlineStr">
        <is>
          <t>ELVIVE</t>
        </is>
      </c>
      <c r="F2467" t="n">
        <v>3300</v>
      </c>
      <c r="G2467" t="n">
        <v>272727</v>
      </c>
      <c r="H2467" t="b">
        <v>0</v>
      </c>
      <c r="I2467" t="n">
        <v>200</v>
      </c>
      <c r="J2467" t="n">
        <v>16.5</v>
      </c>
      <c r="K2467" t="inlineStr">
        <is>
          <t>&gt; Perfumería &gt; Cuidado Capilar &gt; Acondicionador &gt;</t>
        </is>
      </c>
      <c r="L2467" t="inlineStr">
        <is>
          <t>acondicionador</t>
        </is>
      </c>
      <c r="M2467" t="inlineStr">
        <is>
          <t>profesional</t>
        </is>
      </c>
      <c r="N2467" t="inlineStr">
        <is>
          <t>rizado</t>
        </is>
      </c>
      <c r="O2467" t="inlineStr">
        <is>
          <t>https://www.jumbo.com.ar/acondicionador-elvive-oleo-extraordinario-rizos-200-ml-2/p</t>
        </is>
      </c>
    </row>
    <row r="2468">
      <c r="A2468" s="2" t="inlineStr">
        <is>
          <t>Jumbo</t>
        </is>
      </c>
      <c r="B2468" s="2" t="n">
        <v>346817</v>
      </c>
      <c r="C2468" s="2" t="n">
        <v>345492</v>
      </c>
      <c r="D2468" s="2" t="inlineStr">
        <is>
          <t>Acodicionador Elvive Arcilla Purificante 750ml</t>
        </is>
      </c>
      <c r="E2468" s="2" t="inlineStr">
        <is>
          <t>ELVIVE</t>
        </is>
      </c>
      <c r="F2468" s="2" t="n">
        <v>2500</v>
      </c>
      <c r="G2468" s="2" t="n">
        <v>206612</v>
      </c>
      <c r="H2468" s="2" t="b">
        <v>0</v>
      </c>
      <c r="I2468" s="2" t="n">
        <v>750</v>
      </c>
      <c r="J2468" s="2" t="n">
        <v>3.3333</v>
      </c>
      <c r="K2468" s="2" t="inlineStr">
        <is>
          <t>&gt; Perfumería &gt; Cuidado Capilar &gt; Acondicionador &gt;</t>
        </is>
      </c>
      <c r="L2468" s="2" t="inlineStr">
        <is>
          <t>shampoo</t>
        </is>
      </c>
      <c r="M2468" s="2" t="inlineStr">
        <is>
          <t>profesional</t>
        </is>
      </c>
      <c r="N2468" s="2" t="inlineStr">
        <is>
          <t>general</t>
        </is>
      </c>
      <c r="O2468" s="2" t="inlineStr">
        <is>
          <t>https://www.jumbo.com.ar/acodicionador-elvive-arcilla-purificante-750ml/p</t>
        </is>
      </c>
    </row>
    <row r="2469">
      <c r="A2469" t="inlineStr">
        <is>
          <t>Jumbo</t>
        </is>
      </c>
      <c r="B2469" t="n">
        <v>346814</v>
      </c>
      <c r="C2469" t="n">
        <v>345489</v>
      </c>
      <c r="D2469" t="inlineStr">
        <is>
          <t>Mascarilla Elvive Extreme Reconstrucción 300g</t>
        </is>
      </c>
      <c r="E2469" t="inlineStr">
        <is>
          <t>ELVIVE</t>
        </is>
      </c>
      <c r="F2469" t="n">
        <v>1284.47</v>
      </c>
      <c r="G2469" t="n">
        <v>106155</v>
      </c>
      <c r="H2469" t="b">
        <v>0</v>
      </c>
      <c r="I2469" t="n">
        <v>300</v>
      </c>
      <c r="J2469" t="n">
        <v>4.2816</v>
      </c>
      <c r="K2469" t="inlineStr">
        <is>
          <t>&gt; Perfumería &gt; Cuidado Capilar &gt; Reparación y Tratamientos &gt;</t>
        </is>
      </c>
      <c r="L2469" t="inlineStr">
        <is>
          <t>tratamiento</t>
        </is>
      </c>
      <c r="M2469" t="inlineStr">
        <is>
          <t>profesional</t>
        </is>
      </c>
      <c r="N2469" t="inlineStr">
        <is>
          <t>general</t>
        </is>
      </c>
      <c r="O2469" t="inlineStr">
        <is>
          <t>https://www.jumbo.com.ar/mascarilla-elvive-extreme-reconstruccion-300g/p</t>
        </is>
      </c>
    </row>
    <row r="2470">
      <c r="A2470" s="2" t="inlineStr">
        <is>
          <t>Jumbo</t>
        </is>
      </c>
      <c r="B2470" s="2" t="n">
        <v>346770</v>
      </c>
      <c r="C2470" s="2" t="n">
        <v>345445</v>
      </c>
      <c r="D2470" s="2" t="inlineStr">
        <is>
          <t>Shampoo Oleo Extraordinario Nutrición Intensa Coco 400 Ml Elvive</t>
        </is>
      </c>
      <c r="E2470" s="2" t="inlineStr">
        <is>
          <t>ELVIVE</t>
        </is>
      </c>
      <c r="F2470" s="2" t="n">
        <v>10000</v>
      </c>
      <c r="G2470" s="2" t="n">
        <v>826446</v>
      </c>
      <c r="H2470" s="2" t="b">
        <v>0</v>
      </c>
      <c r="I2470" s="2" t="n">
        <v>400</v>
      </c>
      <c r="J2470" s="2" t="n">
        <v>25</v>
      </c>
      <c r="K2470" s="2" t="inlineStr">
        <is>
          <t>&gt; Perfumería &gt; Cuidado Capilar &gt; Shampoo &gt;</t>
        </is>
      </c>
      <c r="L2470" s="2" t="inlineStr">
        <is>
          <t>shampoo</t>
        </is>
      </c>
      <c r="M2470" s="2" t="inlineStr">
        <is>
          <t>profesional</t>
        </is>
      </c>
      <c r="N2470" s="2" t="inlineStr">
        <is>
          <t>general</t>
        </is>
      </c>
      <c r="O2470" s="2" t="inlineStr">
        <is>
          <t>https://www.jumbo.com.ar/shampoo-elvive-oleo-extraordinario-coco-400-ml/p</t>
        </is>
      </c>
    </row>
    <row r="2471">
      <c r="A2471" t="inlineStr">
        <is>
          <t>Jumbo</t>
        </is>
      </c>
      <c r="B2471" t="n">
        <v>346769</v>
      </c>
      <c r="C2471" t="n">
        <v>345444</v>
      </c>
      <c r="D2471" t="inlineStr">
        <is>
          <t>Acondicionador Elvive Oleo Extraordinario Rizos 400 Ml</t>
        </is>
      </c>
      <c r="E2471" t="inlineStr">
        <is>
          <t>ELVIVE</t>
        </is>
      </c>
      <c r="F2471" t="n">
        <v>1333.09</v>
      </c>
      <c r="G2471" t="n">
        <v>110173</v>
      </c>
      <c r="H2471" t="b">
        <v>0</v>
      </c>
      <c r="I2471" t="n">
        <v>400</v>
      </c>
      <c r="J2471" t="n">
        <v>3.3327</v>
      </c>
      <c r="K2471" t="inlineStr">
        <is>
          <t>&gt; Perfumería &gt; Cuidado Capilar &gt; Acondicionador &gt;</t>
        </is>
      </c>
      <c r="L2471" t="inlineStr">
        <is>
          <t>acondicionador</t>
        </is>
      </c>
      <c r="M2471" t="inlineStr">
        <is>
          <t>profesional</t>
        </is>
      </c>
      <c r="N2471" t="inlineStr">
        <is>
          <t>rizado</t>
        </is>
      </c>
      <c r="O2471" t="inlineStr">
        <is>
          <t>https://www.jumbo.com.ar/acondicionador-elvive-oleo-extraordinario-rizos-400-ml/p</t>
        </is>
      </c>
    </row>
    <row r="2472">
      <c r="A2472" s="2" t="inlineStr">
        <is>
          <t>Jumbo</t>
        </is>
      </c>
      <c r="B2472" s="2" t="n">
        <v>346766</v>
      </c>
      <c r="C2472" s="2" t="n">
        <v>345441</v>
      </c>
      <c r="D2472" s="2" t="inlineStr">
        <is>
          <t>Shampoo Elvive Oleo Extraordinario Rizos 400ml</t>
        </is>
      </c>
      <c r="E2472" s="2" t="inlineStr">
        <is>
          <t>ELVIVE</t>
        </is>
      </c>
      <c r="F2472" s="2" t="n">
        <v>1333.09</v>
      </c>
      <c r="G2472" s="2" t="n">
        <v>110173</v>
      </c>
      <c r="H2472" s="2" t="b">
        <v>0</v>
      </c>
      <c r="I2472" s="2" t="n">
        <v>400</v>
      </c>
      <c r="J2472" s="2" t="n">
        <v>3.3327</v>
      </c>
      <c r="K2472" s="2" t="inlineStr">
        <is>
          <t>&gt; Perfumería &gt; Cuidado Capilar &gt; Shampoo &gt;</t>
        </is>
      </c>
      <c r="L2472" s="2" t="inlineStr">
        <is>
          <t>shampoo</t>
        </is>
      </c>
      <c r="M2472" s="2" t="inlineStr">
        <is>
          <t>profesional</t>
        </is>
      </c>
      <c r="N2472" s="2" t="inlineStr">
        <is>
          <t>rizado</t>
        </is>
      </c>
      <c r="O2472" s="2" t="inlineStr">
        <is>
          <t>https://www.jumbo.com.ar/shampoo-elvive-oleo-extraordinario-rizos-400ml-2/p</t>
        </is>
      </c>
    </row>
    <row r="2473">
      <c r="A2473" t="inlineStr">
        <is>
          <t>Jumbo</t>
        </is>
      </c>
      <c r="B2473" t="n">
        <v>346759</v>
      </c>
      <c r="C2473" t="n">
        <v>345434</v>
      </c>
      <c r="D2473" t="inlineStr">
        <is>
          <t>Shampoo Dream Long Reparador 750 Ml Elvive</t>
        </is>
      </c>
      <c r="E2473" t="inlineStr">
        <is>
          <t>ELVIVE</t>
        </is>
      </c>
      <c r="F2473" t="n">
        <v>16800</v>
      </c>
      <c r="G2473" t="n">
        <v>1388430</v>
      </c>
      <c r="H2473" t="b">
        <v>0</v>
      </c>
      <c r="I2473" t="n">
        <v>750</v>
      </c>
      <c r="J2473" t="n">
        <v>22.4</v>
      </c>
      <c r="K2473" t="inlineStr">
        <is>
          <t>&gt; Perfumería &gt; Cuidado Capilar &gt; Shampoo &gt;</t>
        </is>
      </c>
      <c r="L2473" t="inlineStr">
        <is>
          <t>shampoo</t>
        </is>
      </c>
      <c r="M2473" t="inlineStr">
        <is>
          <t>profesional</t>
        </is>
      </c>
      <c r="N2473" t="inlineStr">
        <is>
          <t>general</t>
        </is>
      </c>
      <c r="O2473" t="inlineStr">
        <is>
          <t>https://www.jumbo.com.ar/shampoo-elvive-dream-long-750-ml/p</t>
        </is>
      </c>
    </row>
    <row r="2474">
      <c r="A2474" s="2" t="inlineStr">
        <is>
          <t>Jumbo</t>
        </is>
      </c>
      <c r="B2474" s="2" t="n">
        <v>346758</v>
      </c>
      <c r="C2474" s="2" t="n">
        <v>345433</v>
      </c>
      <c r="D2474" s="2" t="inlineStr">
        <is>
          <t>Crema Para Peinar Elvive Kera-liso 230° 250ml</t>
        </is>
      </c>
      <c r="E2474" s="2" t="inlineStr">
        <is>
          <t>ELVIVE</t>
        </is>
      </c>
      <c r="F2474" s="2" t="n">
        <v>4450</v>
      </c>
      <c r="G2474" s="2" t="n">
        <v>367769</v>
      </c>
      <c r="H2474" s="2" t="b">
        <v>0</v>
      </c>
      <c r="I2474" s="2" t="n">
        <v>250</v>
      </c>
      <c r="J2474" s="2" t="n">
        <v>17.8</v>
      </c>
      <c r="K2474" s="2" t="inlineStr">
        <is>
          <t>&gt; Perfumería &gt; Cuidado Capilar &gt; Reparación y Tratamientos &gt;</t>
        </is>
      </c>
      <c r="L2474" s="2" t="inlineStr">
        <is>
          <t>shampoo</t>
        </is>
      </c>
      <c r="M2474" s="2" t="inlineStr">
        <is>
          <t>profesional</t>
        </is>
      </c>
      <c r="N2474" s="2" t="inlineStr">
        <is>
          <t>general</t>
        </is>
      </c>
      <c r="O2474" s="2" t="inlineStr">
        <is>
          <t>https://www.jumbo.com.ar/crema-para-peinar-elvive-kera-liso-230-250ml/p</t>
        </is>
      </c>
    </row>
    <row r="2475">
      <c r="A2475" t="inlineStr">
        <is>
          <t>Jumbo</t>
        </is>
      </c>
      <c r="B2475" t="n">
        <v>346756</v>
      </c>
      <c r="C2475" t="n">
        <v>345431</v>
      </c>
      <c r="D2475" t="inlineStr">
        <is>
          <t>Acondicionador Dream Long Reconstructor 750 Ml Elvive</t>
        </is>
      </c>
      <c r="E2475" t="inlineStr">
        <is>
          <t>ELVIVE</t>
        </is>
      </c>
      <c r="F2475" t="n">
        <v>16800</v>
      </c>
      <c r="G2475" t="n">
        <v>1388430</v>
      </c>
      <c r="H2475" t="b">
        <v>0</v>
      </c>
      <c r="I2475" t="n">
        <v>750</v>
      </c>
      <c r="J2475" t="n">
        <v>22.4</v>
      </c>
      <c r="K2475" t="inlineStr">
        <is>
          <t>&gt; Perfumería &gt; Cuidado Capilar &gt; Acondicionador &gt;</t>
        </is>
      </c>
      <c r="L2475" t="inlineStr">
        <is>
          <t>acondicionador</t>
        </is>
      </c>
      <c r="M2475" t="inlineStr">
        <is>
          <t>profesional</t>
        </is>
      </c>
      <c r="N2475" t="inlineStr">
        <is>
          <t>general</t>
        </is>
      </c>
      <c r="O2475" t="inlineStr">
        <is>
          <t>https://www.jumbo.com.ar/acondicionador-elvive-dream-long-750-ml/p</t>
        </is>
      </c>
    </row>
    <row r="2476">
      <c r="A2476" s="2" t="inlineStr">
        <is>
          <t>Jumbo</t>
        </is>
      </c>
      <c r="B2476" s="2" t="n">
        <v>346755</v>
      </c>
      <c r="C2476" s="2" t="n">
        <v>345430</v>
      </c>
      <c r="D2476" s="2" t="inlineStr">
        <is>
          <t>Acondicionador Dream Long Reconstructor 200 Ml Elvive</t>
        </is>
      </c>
      <c r="E2476" s="2" t="inlineStr">
        <is>
          <t>ELVIVE</t>
        </is>
      </c>
      <c r="F2476" s="2" t="n">
        <v>6300</v>
      </c>
      <c r="G2476" s="2" t="n">
        <v>520661</v>
      </c>
      <c r="H2476" s="2" t="b">
        <v>0</v>
      </c>
      <c r="I2476" s="2" t="n">
        <v>200</v>
      </c>
      <c r="J2476" s="2" t="n">
        <v>31.5</v>
      </c>
      <c r="K2476" s="2" t="inlineStr">
        <is>
          <t>&gt; Perfumería &gt; Cuidado Capilar &gt; Acondicionador &gt;</t>
        </is>
      </c>
      <c r="L2476" s="2" t="inlineStr">
        <is>
          <t>acondicionador</t>
        </is>
      </c>
      <c r="M2476" s="2" t="inlineStr">
        <is>
          <t>profesional</t>
        </is>
      </c>
      <c r="N2476" s="2" t="inlineStr">
        <is>
          <t>general</t>
        </is>
      </c>
      <c r="O2476" s="2" t="inlineStr">
        <is>
          <t>https://www.jumbo.com.ar/acondicionador-elvive-dream-long-200-ml/p</t>
        </is>
      </c>
    </row>
    <row r="2477">
      <c r="A2477" t="inlineStr">
        <is>
          <t>Jumbo</t>
        </is>
      </c>
      <c r="B2477" t="n">
        <v>346754</v>
      </c>
      <c r="C2477" t="n">
        <v>345429</v>
      </c>
      <c r="D2477" t="inlineStr">
        <is>
          <t>Shampoo Reconstructor Dream Long 400 Ml Elvive</t>
        </is>
      </c>
      <c r="E2477" t="inlineStr">
        <is>
          <t>ELVIVE</t>
        </is>
      </c>
      <c r="F2477" t="n">
        <v>10500</v>
      </c>
      <c r="G2477" t="n">
        <v>867769</v>
      </c>
      <c r="H2477" t="b">
        <v>0</v>
      </c>
      <c r="I2477" t="n">
        <v>400</v>
      </c>
      <c r="J2477" t="n">
        <v>26.25</v>
      </c>
      <c r="K2477" t="inlineStr">
        <is>
          <t>&gt; Perfumería &gt; Cuidado Capilar &gt; Shampoo &gt;</t>
        </is>
      </c>
      <c r="L2477" t="inlineStr">
        <is>
          <t>shampoo</t>
        </is>
      </c>
      <c r="M2477" t="inlineStr">
        <is>
          <t>profesional</t>
        </is>
      </c>
      <c r="N2477" t="inlineStr">
        <is>
          <t>general</t>
        </is>
      </c>
      <c r="O2477" t="inlineStr">
        <is>
          <t>https://www.jumbo.com.ar/shampoo-elvive-dream-long-400-ml/p</t>
        </is>
      </c>
    </row>
    <row r="2478">
      <c r="A2478" s="2" t="inlineStr">
        <is>
          <t>Jumbo</t>
        </is>
      </c>
      <c r="B2478" s="2" t="n">
        <v>331665</v>
      </c>
      <c r="C2478" s="2" t="n">
        <v>330823</v>
      </c>
      <c r="D2478" s="2" t="inlineStr">
        <is>
          <t>Mascarilla Hidratante Elvive Hidra 300ml</t>
        </is>
      </c>
      <c r="E2478" s="2" t="inlineStr">
        <is>
          <t>ELVIVE</t>
        </is>
      </c>
      <c r="F2478" s="2" t="n">
        <v>1419.89</v>
      </c>
      <c r="G2478" s="2" t="n">
        <v>117346</v>
      </c>
      <c r="H2478" s="2" t="b">
        <v>0</v>
      </c>
      <c r="I2478" s="2" t="n">
        <v>300</v>
      </c>
      <c r="J2478" s="2" t="n">
        <v>4.733</v>
      </c>
      <c r="K2478" s="2" t="inlineStr">
        <is>
          <t>&gt; Perfumería &gt; Cuidado de la Piel &gt; Cremas Faciales &gt;</t>
        </is>
      </c>
      <c r="L2478" s="2" t="inlineStr">
        <is>
          <t>tratamiento</t>
        </is>
      </c>
      <c r="M2478" s="2" t="inlineStr">
        <is>
          <t>profesional</t>
        </is>
      </c>
      <c r="N2478" s="2" t="inlineStr">
        <is>
          <t>seco_danado</t>
        </is>
      </c>
      <c r="O2478" s="2" t="inlineStr">
        <is>
          <t>https://www.jumbo.com.ar/mascarilla-hidratante-elvive-hidra-300ml/p</t>
        </is>
      </c>
    </row>
    <row r="2479">
      <c r="A2479" t="inlineStr">
        <is>
          <t>Jumbo</t>
        </is>
      </c>
      <c r="B2479" t="n">
        <v>331664</v>
      </c>
      <c r="C2479" t="n">
        <v>330822</v>
      </c>
      <c r="D2479" t="inlineStr">
        <is>
          <t>Elvive Crema Para Peinar Hidra Hialuronico 250ml</t>
        </is>
      </c>
      <c r="E2479" t="inlineStr">
        <is>
          <t>ELVIVE</t>
        </is>
      </c>
      <c r="F2479" t="n">
        <v>1498.99</v>
      </c>
      <c r="G2479" t="n">
        <v>123883</v>
      </c>
      <c r="H2479" t="b">
        <v>0</v>
      </c>
      <c r="I2479" t="n">
        <v>250</v>
      </c>
      <c r="J2479" t="n">
        <v>5.996</v>
      </c>
      <c r="K2479" t="inlineStr">
        <is>
          <t>&gt; Perfumería &gt; Cuidado Capilar &gt; Reparación y Tratamientos &gt;</t>
        </is>
      </c>
      <c r="L2479" t="inlineStr">
        <is>
          <t>shampoo</t>
        </is>
      </c>
      <c r="M2479" t="inlineStr">
        <is>
          <t>profesional</t>
        </is>
      </c>
      <c r="N2479" t="inlineStr">
        <is>
          <t>general</t>
        </is>
      </c>
      <c r="O2479" t="inlineStr">
        <is>
          <t>https://www.jumbo.com.ar/elvive-crema-para-peinar-hidra-hialuronico-250ml/p</t>
        </is>
      </c>
    </row>
    <row r="2480">
      <c r="A2480" s="2" t="inlineStr">
        <is>
          <t>Jumbo</t>
        </is>
      </c>
      <c r="B2480" s="2" t="n">
        <v>331663</v>
      </c>
      <c r="C2480" s="2" t="n">
        <v>330821</v>
      </c>
      <c r="D2480" s="2" t="inlineStr">
        <is>
          <t>Acondicionador Hidra Hialurónico Elvive L´oréal Paris 400ml</t>
        </is>
      </c>
      <c r="E2480" s="2" t="inlineStr">
        <is>
          <t>ELVIVE</t>
        </is>
      </c>
      <c r="F2480" s="2" t="n">
        <v>1188.09</v>
      </c>
      <c r="G2480" s="2" t="n">
        <v>98189</v>
      </c>
      <c r="H2480" s="2" t="b">
        <v>0</v>
      </c>
      <c r="I2480" s="2" t="n">
        <v>400</v>
      </c>
      <c r="J2480" s="2" t="n">
        <v>2.9702</v>
      </c>
      <c r="K2480" s="2" t="inlineStr">
        <is>
          <t>&gt; Perfumería &gt; Cuidado Capilar &gt; Acondicionador &gt;</t>
        </is>
      </c>
      <c r="L2480" s="2" t="inlineStr">
        <is>
          <t>acondicionador</t>
        </is>
      </c>
      <c r="M2480" s="2" t="inlineStr">
        <is>
          <t>profesional</t>
        </is>
      </c>
      <c r="N2480" s="2" t="inlineStr">
        <is>
          <t>general</t>
        </is>
      </c>
      <c r="O2480" s="2" t="inlineStr">
        <is>
          <t>https://www.jumbo.com.ar/acondicionador-hidra-hialuronico-elvive-l-oreal-paris-400ml-2/p</t>
        </is>
      </c>
    </row>
    <row r="2481">
      <c r="A2481" t="inlineStr">
        <is>
          <t>Jumbo</t>
        </is>
      </c>
      <c r="B2481" t="n">
        <v>321106</v>
      </c>
      <c r="C2481" t="n">
        <v>320143</v>
      </c>
      <c r="D2481" t="inlineStr">
        <is>
          <t>Tratamiento Elvive Capsulas Rt5 300ml</t>
        </is>
      </c>
      <c r="E2481" t="inlineStr">
        <is>
          <t>ELVIVE</t>
        </is>
      </c>
      <c r="F2481" t="n">
        <v>836.59</v>
      </c>
      <c r="G2481" t="n">
        <v>69140</v>
      </c>
      <c r="H2481" t="b">
        <v>0</v>
      </c>
      <c r="I2481" t="n">
        <v>300</v>
      </c>
      <c r="J2481" t="n">
        <v>2.7886</v>
      </c>
      <c r="K2481" t="inlineStr">
        <is>
          <t>&gt; Perfumería &gt; Cuidado Capilar &gt; Reparación y Tratamientos &gt;</t>
        </is>
      </c>
      <c r="L2481" t="inlineStr">
        <is>
          <t>tratamiento</t>
        </is>
      </c>
      <c r="M2481" t="inlineStr">
        <is>
          <t>profesional</t>
        </is>
      </c>
      <c r="N2481" t="inlineStr">
        <is>
          <t>general</t>
        </is>
      </c>
      <c r="O2481" t="inlineStr">
        <is>
          <t>https://www.jumbo.com.ar/tratamiento-elvive-capsulas-rt5-300ml/p</t>
        </is>
      </c>
    </row>
    <row r="2482">
      <c r="A2482" s="2" t="inlineStr">
        <is>
          <t>Jumbo</t>
        </is>
      </c>
      <c r="B2482" s="2" t="n">
        <v>308652</v>
      </c>
      <c r="C2482" s="2" t="n">
        <v>307889</v>
      </c>
      <c r="D2482" s="2" t="inlineStr">
        <is>
          <t>Crema para Peinar Dream Long Liss Stop Frizz 250 Ml Elvive</t>
        </is>
      </c>
      <c r="E2482" s="2" t="inlineStr">
        <is>
          <t>ELVIVE</t>
        </is>
      </c>
      <c r="F2482" s="2" t="n">
        <v>7550</v>
      </c>
      <c r="G2482" s="2" t="n">
        <v>623967</v>
      </c>
      <c r="H2482" s="2" t="b">
        <v>0</v>
      </c>
      <c r="I2482" s="2" t="n">
        <v>250</v>
      </c>
      <c r="J2482" s="2" t="n">
        <v>30.2</v>
      </c>
      <c r="K2482" s="2" t="inlineStr">
        <is>
          <t>&gt; Perfumería &gt; Cuidado Capilar &gt; Reparación y Tratamientos &gt;</t>
        </is>
      </c>
      <c r="L2482" s="2" t="inlineStr">
        <is>
          <t>shampoo</t>
        </is>
      </c>
      <c r="M2482" s="2" t="inlineStr">
        <is>
          <t>profesional</t>
        </is>
      </c>
      <c r="N2482" s="2" t="inlineStr">
        <is>
          <t>general</t>
        </is>
      </c>
      <c r="O2482" s="2" t="inlineStr">
        <is>
          <t>https://www.jumbo.com.ar/crema-para-peinar-elvive-dream-long-liss-250-ml/p</t>
        </is>
      </c>
    </row>
    <row r="2483">
      <c r="A2483" t="inlineStr">
        <is>
          <t>Jumbo</t>
        </is>
      </c>
      <c r="B2483" t="n">
        <v>308649</v>
      </c>
      <c r="C2483" t="n">
        <v>307886</v>
      </c>
      <c r="D2483" t="inlineStr">
        <is>
          <t>Acondicionador Dream Long Liss 750 Ml Elvive</t>
        </is>
      </c>
      <c r="E2483" t="inlineStr">
        <is>
          <t>ELVIVE</t>
        </is>
      </c>
      <c r="F2483" t="n">
        <v>14100</v>
      </c>
      <c r="G2483" t="n">
        <v>1165289</v>
      </c>
      <c r="H2483" t="b">
        <v>0</v>
      </c>
      <c r="I2483" t="n">
        <v>750</v>
      </c>
      <c r="J2483" t="n">
        <v>18.8</v>
      </c>
      <c r="K2483" t="inlineStr">
        <is>
          <t>&gt; Perfumería &gt; Cuidado Capilar &gt; Acondicionador &gt;</t>
        </is>
      </c>
      <c r="L2483" t="inlineStr">
        <is>
          <t>acondicionador</t>
        </is>
      </c>
      <c r="M2483" t="inlineStr">
        <is>
          <t>profesional</t>
        </is>
      </c>
      <c r="N2483" t="inlineStr">
        <is>
          <t>general</t>
        </is>
      </c>
      <c r="O2483" t="inlineStr">
        <is>
          <t>https://www.jumbo.com.ar/acondicionador-elvive-dream-long-liss-700ml/p</t>
        </is>
      </c>
    </row>
    <row r="2484">
      <c r="A2484" s="2" t="inlineStr">
        <is>
          <t>Jumbo</t>
        </is>
      </c>
      <c r="B2484" s="2" t="n">
        <v>308642</v>
      </c>
      <c r="C2484" s="2" t="n">
        <v>307879</v>
      </c>
      <c r="D2484" s="2" t="inlineStr">
        <is>
          <t>Acondicionador Elvive Dream Long Liss 200 Ml</t>
        </is>
      </c>
      <c r="E2484" s="2" t="inlineStr">
        <is>
          <t>ELVIVE</t>
        </is>
      </c>
      <c r="F2484" s="2" t="n">
        <v>5750</v>
      </c>
      <c r="G2484" s="2" t="n">
        <v>475207</v>
      </c>
      <c r="H2484" s="2" t="b">
        <v>0</v>
      </c>
      <c r="I2484" s="2" t="n">
        <v>200</v>
      </c>
      <c r="J2484" s="2" t="n">
        <v>28.75</v>
      </c>
      <c r="K2484" s="2" t="inlineStr">
        <is>
          <t>&gt; Perfumería &gt; Cuidado Capilar &gt; Acondicionador &gt;</t>
        </is>
      </c>
      <c r="L2484" s="2" t="inlineStr">
        <is>
          <t>acondicionador</t>
        </is>
      </c>
      <c r="M2484" s="2" t="inlineStr">
        <is>
          <t>profesional</t>
        </is>
      </c>
      <c r="N2484" s="2" t="inlineStr">
        <is>
          <t>general</t>
        </is>
      </c>
      <c r="O2484" s="2" t="inlineStr">
        <is>
          <t>https://www.jumbo.com.ar/acondicionador-elvive-dream-long-liss-200-ml/p</t>
        </is>
      </c>
    </row>
    <row r="2485">
      <c r="A2485" t="inlineStr">
        <is>
          <t>Jumbo</t>
        </is>
      </c>
      <c r="B2485" t="n">
        <v>308608</v>
      </c>
      <c r="C2485" t="n">
        <v>307845</v>
      </c>
      <c r="D2485" t="inlineStr">
        <is>
          <t>Shampoo Elvive Dream Long Liss 200 Ml</t>
        </is>
      </c>
      <c r="E2485" t="inlineStr">
        <is>
          <t>ELVIVE</t>
        </is>
      </c>
      <c r="F2485" t="n">
        <v>5300</v>
      </c>
      <c r="G2485" t="n">
        <v>438017</v>
      </c>
      <c r="H2485" t="b">
        <v>0</v>
      </c>
      <c r="I2485" t="n">
        <v>200</v>
      </c>
      <c r="J2485" t="n">
        <v>26.5</v>
      </c>
      <c r="K2485" t="inlineStr">
        <is>
          <t>&gt; Perfumería &gt; Cuidado Capilar &gt; Shampoo &gt;</t>
        </is>
      </c>
      <c r="L2485" t="inlineStr">
        <is>
          <t>shampoo</t>
        </is>
      </c>
      <c r="M2485" t="inlineStr">
        <is>
          <t>profesional</t>
        </is>
      </c>
      <c r="N2485" t="inlineStr">
        <is>
          <t>general</t>
        </is>
      </c>
      <c r="O2485" t="inlineStr">
        <is>
          <t>https://www.jumbo.com.ar/shampoo-elvive-dream-long-liss-200-ml/p</t>
        </is>
      </c>
    </row>
    <row r="2486">
      <c r="A2486" s="2" t="inlineStr">
        <is>
          <t>Jumbo</t>
        </is>
      </c>
      <c r="B2486" s="2" t="n">
        <v>288749</v>
      </c>
      <c r="C2486" s="2" t="n">
        <v>287996</v>
      </c>
      <c r="D2486" s="2" t="inlineStr">
        <is>
          <t>Acondicionador Elvive Desenredante 200ml</t>
        </is>
      </c>
      <c r="E2486" s="2" t="inlineStr">
        <is>
          <t>ELVIVE</t>
        </is>
      </c>
      <c r="F2486" s="2" t="n">
        <v>290.85</v>
      </c>
      <c r="G2486" s="2" t="n">
        <v>24037</v>
      </c>
      <c r="H2486" s="2" t="b">
        <v>0</v>
      </c>
      <c r="I2486" s="2" t="n">
        <v>200</v>
      </c>
      <c r="J2486" s="2" t="n">
        <v>1.4543</v>
      </c>
      <c r="K2486" s="2" t="inlineStr">
        <is>
          <t>&gt; Perfumería &gt; Cuidado Capilar &gt; Acondicionador &gt;</t>
        </is>
      </c>
      <c r="L2486" s="2" t="inlineStr">
        <is>
          <t>acondicionador</t>
        </is>
      </c>
      <c r="M2486" s="2" t="inlineStr">
        <is>
          <t>profesional</t>
        </is>
      </c>
      <c r="N2486" s="2" t="inlineStr">
        <is>
          <t>general</t>
        </is>
      </c>
      <c r="O2486" s="2" t="inlineStr">
        <is>
          <t>https://www.jumbo.com.ar/acondicionador-elvive-desenredante-200ml/p</t>
        </is>
      </c>
    </row>
    <row r="2487">
      <c r="A2487" t="inlineStr">
        <is>
          <t>Jumbo</t>
        </is>
      </c>
      <c r="B2487" t="n">
        <v>288719</v>
      </c>
      <c r="C2487" t="n">
        <v>287966</v>
      </c>
      <c r="D2487" t="inlineStr">
        <is>
          <t>Shampoo Elvive Reconstructor 750ml</t>
        </is>
      </c>
      <c r="E2487" t="inlineStr">
        <is>
          <t>ELVIVE</t>
        </is>
      </c>
      <c r="F2487" t="n">
        <v>745.65</v>
      </c>
      <c r="G2487" t="n">
        <v>61624</v>
      </c>
      <c r="H2487" t="b">
        <v>0</v>
      </c>
      <c r="I2487" t="n">
        <v>750</v>
      </c>
      <c r="J2487" t="n">
        <v>0.9942</v>
      </c>
      <c r="K2487" t="inlineStr">
        <is>
          <t>&gt; Perfumería &gt; Cuidado Capilar &gt; Shampoo &gt;</t>
        </is>
      </c>
      <c r="L2487" t="inlineStr">
        <is>
          <t>shampoo</t>
        </is>
      </c>
      <c r="M2487" t="inlineStr">
        <is>
          <t>profesional</t>
        </is>
      </c>
      <c r="N2487" t="inlineStr">
        <is>
          <t>general</t>
        </is>
      </c>
      <c r="O2487" t="inlineStr">
        <is>
          <t>https://www.jumbo.com.ar/shampoo-elvive-reconstructor-750ml/p</t>
        </is>
      </c>
    </row>
    <row r="2488">
      <c r="A2488" s="2" t="inlineStr">
        <is>
          <t>Jumbo</t>
        </is>
      </c>
      <c r="B2488" s="2" t="n">
        <v>288711</v>
      </c>
      <c r="C2488" s="2" t="n">
        <v>287958</v>
      </c>
      <c r="D2488" s="2" t="inlineStr">
        <is>
          <t>Mascara Elvive Dream Long Packx3</t>
        </is>
      </c>
      <c r="E2488" s="2" t="inlineStr">
        <is>
          <t>ELVIVE</t>
        </is>
      </c>
      <c r="F2488" s="2" t="n">
        <v>411.09</v>
      </c>
      <c r="G2488" s="2" t="n">
        <v>33974</v>
      </c>
      <c r="H2488" s="2" t="b">
        <v>0</v>
      </c>
      <c r="I2488" s="2" t="inlineStr"/>
      <c r="J2488" s="2" t="inlineStr"/>
      <c r="K2488" s="2" t="inlineStr">
        <is>
          <t>&gt; Perfumería &gt; Cuidado Capilar &gt; Reparación y Tratamientos &gt;</t>
        </is>
      </c>
      <c r="L2488" s="2" t="inlineStr">
        <is>
          <t>tratamiento</t>
        </is>
      </c>
      <c r="M2488" s="2" t="inlineStr">
        <is>
          <t>profesional</t>
        </is>
      </c>
      <c r="N2488" s="2" t="inlineStr">
        <is>
          <t>general</t>
        </is>
      </c>
      <c r="O2488" s="2" t="inlineStr">
        <is>
          <t>https://www.jumbo.com.ar/mascara-elvive-dream-long-packx3/p</t>
        </is>
      </c>
    </row>
    <row r="2489">
      <c r="A2489" t="inlineStr">
        <is>
          <t>Jumbo</t>
        </is>
      </c>
      <c r="B2489" t="n">
        <v>278472</v>
      </c>
      <c r="C2489" t="n">
        <v>277728</v>
      </c>
      <c r="D2489" t="inlineStr">
        <is>
          <t>óleo Extraordinario Tratamiento Intensivo En Forma De Gota Elvive L Oréal Paris 4.5 Ml</t>
        </is>
      </c>
      <c r="E2489" t="inlineStr">
        <is>
          <t>ELVIVE</t>
        </is>
      </c>
      <c r="F2489" t="n">
        <v>154.59</v>
      </c>
      <c r="G2489" t="n">
        <v>12776</v>
      </c>
      <c r="H2489" t="b">
        <v>0</v>
      </c>
      <c r="I2489" t="n">
        <v>4.5</v>
      </c>
      <c r="J2489" t="n">
        <v>34.3533</v>
      </c>
      <c r="K2489" t="inlineStr">
        <is>
          <t>&gt; Perfumería &gt; Cuidado Capilar &gt; Reparación y Tratamientos &gt;</t>
        </is>
      </c>
      <c r="L2489" t="inlineStr">
        <is>
          <t>tratamiento</t>
        </is>
      </c>
      <c r="M2489" t="inlineStr">
        <is>
          <t>profesional</t>
        </is>
      </c>
      <c r="N2489" t="inlineStr">
        <is>
          <t>general</t>
        </is>
      </c>
      <c r="O2489" t="inlineStr">
        <is>
          <t>https://www.jumbo.com.ar/oleo-extraordinario-tratamiento-intensivo-en-forma-de-gota-elvive-l-oreal-paris-4-5-ml/p</t>
        </is>
      </c>
    </row>
    <row r="2490">
      <c r="A2490" s="2" t="inlineStr">
        <is>
          <t>Jumbo</t>
        </is>
      </c>
      <c r="B2490" s="2" t="n">
        <v>276517</v>
      </c>
      <c r="C2490" s="2" t="n">
        <v>275803</v>
      </c>
      <c r="D2490" s="2" t="inlineStr">
        <is>
          <t>Crema De Limpieza Reparación Total 5 Elvive L Oréal Paris 400 Ml</t>
        </is>
      </c>
      <c r="E2490" s="2" t="inlineStr">
        <is>
          <t>ELVIVE</t>
        </is>
      </c>
      <c r="F2490" s="2" t="n">
        <v>417.15</v>
      </c>
      <c r="G2490" s="2" t="n">
        <v>34475</v>
      </c>
      <c r="H2490" s="2" t="b">
        <v>0</v>
      </c>
      <c r="I2490" s="2" t="n">
        <v>400</v>
      </c>
      <c r="J2490" s="2" t="n">
        <v>1.0429</v>
      </c>
      <c r="K2490" s="2" t="inlineStr">
        <is>
          <t>&gt; Perfumería &gt; Cuidado Capilar &gt; Reparación y Tratamientos &gt;</t>
        </is>
      </c>
      <c r="L2490" s="2" t="inlineStr">
        <is>
          <t>shampoo</t>
        </is>
      </c>
      <c r="M2490" s="2" t="inlineStr">
        <is>
          <t>profesional</t>
        </is>
      </c>
      <c r="N2490" s="2" t="inlineStr">
        <is>
          <t>general</t>
        </is>
      </c>
      <c r="O2490" s="2" t="inlineStr">
        <is>
          <t>https://www.jumbo.com.ar/crema-de-limpieza-reparacion-total-5-elvive-l-oreal-paris-400-ml/p</t>
        </is>
      </c>
    </row>
    <row r="2491">
      <c r="A2491" t="inlineStr">
        <is>
          <t>Jumbo</t>
        </is>
      </c>
      <c r="B2491" t="n">
        <v>276511</v>
      </c>
      <c r="C2491" t="n">
        <v>275797</v>
      </c>
      <c r="D2491" t="inlineStr">
        <is>
          <t>Crema De Limpieza óleo Extraordinario Elvive L Oréal Paris 400 Ml</t>
        </is>
      </c>
      <c r="E2491" t="inlineStr">
        <is>
          <t>ELVIVE</t>
        </is>
      </c>
      <c r="F2491" t="n">
        <v>417.15</v>
      </c>
      <c r="G2491" t="n">
        <v>34475</v>
      </c>
      <c r="H2491" t="b">
        <v>0</v>
      </c>
      <c r="I2491" t="n">
        <v>400</v>
      </c>
      <c r="J2491" t="n">
        <v>1.0429</v>
      </c>
      <c r="K2491" t="inlineStr">
        <is>
          <t>&gt; Perfumería &gt; Cuidado Capilar &gt; Reparación y Tratamientos &gt;</t>
        </is>
      </c>
      <c r="L2491" t="inlineStr">
        <is>
          <t>shampoo</t>
        </is>
      </c>
      <c r="M2491" t="inlineStr">
        <is>
          <t>profesional</t>
        </is>
      </c>
      <c r="N2491" t="inlineStr">
        <is>
          <t>general</t>
        </is>
      </c>
      <c r="O2491" t="inlineStr">
        <is>
          <t>https://www.jumbo.com.ar/crema-de-limpieza-oleo-extraordinario-elvive-l-oreal-paris-400-ml/p</t>
        </is>
      </c>
    </row>
    <row r="2492">
      <c r="A2492" s="2" t="inlineStr">
        <is>
          <t>Jumbo</t>
        </is>
      </c>
      <c r="B2492" s="2" t="n">
        <v>276510</v>
      </c>
      <c r="C2492" s="2" t="n">
        <v>275796</v>
      </c>
      <c r="D2492" s="2" t="inlineStr">
        <is>
          <t>Crema De Limpieza Color Vive Elvive L Oréal Paris 400 Ml</t>
        </is>
      </c>
      <c r="E2492" s="2" t="inlineStr">
        <is>
          <t>ELVIVE</t>
        </is>
      </c>
      <c r="F2492" s="2" t="n">
        <v>417.15</v>
      </c>
      <c r="G2492" s="2" t="n">
        <v>34475</v>
      </c>
      <c r="H2492" s="2" t="b">
        <v>0</v>
      </c>
      <c r="I2492" s="2" t="n">
        <v>400</v>
      </c>
      <c r="J2492" s="2" t="n">
        <v>1.0429</v>
      </c>
      <c r="K2492" s="2" t="inlineStr">
        <is>
          <t>&gt; Perfumería &gt; Cuidado Capilar &gt; Reparación y Tratamientos &gt;</t>
        </is>
      </c>
      <c r="L2492" s="2" t="inlineStr">
        <is>
          <t>shampoo</t>
        </is>
      </c>
      <c r="M2492" s="2" t="inlineStr">
        <is>
          <t>profesional</t>
        </is>
      </c>
      <c r="N2492" s="2" t="inlineStr">
        <is>
          <t>tratado</t>
        </is>
      </c>
      <c r="O2492" s="2" t="inlineStr">
        <is>
          <t>https://www.jumbo.com.ar/crema-de-limpieza-color-vive-elvive-l-oreal-paris-400-ml/p</t>
        </is>
      </c>
    </row>
    <row r="2493">
      <c r="A2493" t="inlineStr">
        <is>
          <t>Jumbo</t>
        </is>
      </c>
      <c r="B2493" t="n">
        <v>276505</v>
      </c>
      <c r="C2493" t="n">
        <v>275791</v>
      </c>
      <c r="D2493" t="inlineStr">
        <is>
          <t>Shampoo Elvive Oleo Extra Nut Univ 200ml</t>
        </is>
      </c>
      <c r="E2493" t="inlineStr">
        <is>
          <t>ELVIVE</t>
        </is>
      </c>
      <c r="F2493" t="n">
        <v>398.39</v>
      </c>
      <c r="G2493" t="n">
        <v>32925</v>
      </c>
      <c r="H2493" t="b">
        <v>0</v>
      </c>
      <c r="I2493" t="n">
        <v>200</v>
      </c>
      <c r="J2493" t="n">
        <v>1.9919</v>
      </c>
      <c r="K2493" t="inlineStr">
        <is>
          <t>&gt; Perfumería &gt; Cuidado Capilar &gt; Shampoo &gt;</t>
        </is>
      </c>
      <c r="L2493" t="inlineStr">
        <is>
          <t>shampoo</t>
        </is>
      </c>
      <c r="M2493" t="inlineStr">
        <is>
          <t>profesional</t>
        </is>
      </c>
      <c r="N2493" t="inlineStr">
        <is>
          <t>general</t>
        </is>
      </c>
      <c r="O2493" t="inlineStr">
        <is>
          <t>https://www.jumbo.com.ar/shampoo-elvive-oleo-extra-nut-univ-200ml/p</t>
        </is>
      </c>
    </row>
    <row r="2494">
      <c r="A2494" s="2" t="inlineStr">
        <is>
          <t>Jumbo</t>
        </is>
      </c>
      <c r="B2494" s="2" t="n">
        <v>276493</v>
      </c>
      <c r="C2494" s="2" t="n">
        <v>275779</v>
      </c>
      <c r="D2494" s="2" t="inlineStr">
        <is>
          <t>Crema Tratamiento Elvive Kera-liso 230° 300gr</t>
        </is>
      </c>
      <c r="E2494" s="2" t="inlineStr">
        <is>
          <t>ELVIVE</t>
        </is>
      </c>
      <c r="F2494" s="2" t="n">
        <v>1700</v>
      </c>
      <c r="G2494" s="2" t="n">
        <v>140496</v>
      </c>
      <c r="H2494" s="2" t="b">
        <v>0</v>
      </c>
      <c r="I2494" s="2" t="n">
        <v>300</v>
      </c>
      <c r="J2494" s="2" t="n">
        <v>5.6667</v>
      </c>
      <c r="K2494" s="2" t="inlineStr">
        <is>
          <t>&gt; Perfumería &gt; Cuidado Capilar &gt; Reparación y Tratamientos &gt;</t>
        </is>
      </c>
      <c r="L2494" s="2" t="inlineStr">
        <is>
          <t>tratamiento</t>
        </is>
      </c>
      <c r="M2494" s="2" t="inlineStr">
        <is>
          <t>profesional</t>
        </is>
      </c>
      <c r="N2494" s="2" t="inlineStr">
        <is>
          <t>general</t>
        </is>
      </c>
      <c r="O2494" s="2" t="inlineStr">
        <is>
          <t>https://www.jumbo.com.ar/crema-tratamiento-elvive-kera-liso-230-300gr/p</t>
        </is>
      </c>
    </row>
    <row r="2495">
      <c r="A2495" t="inlineStr">
        <is>
          <t>Jumbo</t>
        </is>
      </c>
      <c r="B2495" t="n">
        <v>259832</v>
      </c>
      <c r="C2495" t="n">
        <v>259126</v>
      </c>
      <c r="D2495" t="inlineStr">
        <is>
          <t>Crema Elvive Oleo Extraordinario 250ml</t>
        </is>
      </c>
      <c r="E2495" t="inlineStr">
        <is>
          <t>ELVIVE</t>
        </is>
      </c>
      <c r="F2495" t="n">
        <v>523.09</v>
      </c>
      <c r="G2495" t="n">
        <v>43231</v>
      </c>
      <c r="H2495" t="b">
        <v>0</v>
      </c>
      <c r="I2495" t="n">
        <v>250</v>
      </c>
      <c r="J2495" t="n">
        <v>2.0924</v>
      </c>
      <c r="K2495" t="inlineStr">
        <is>
          <t>&gt; Perfumería &gt; Cuidado Capilar &gt; Reparación y Tratamientos &gt;</t>
        </is>
      </c>
      <c r="L2495" t="inlineStr">
        <is>
          <t>shampoo</t>
        </is>
      </c>
      <c r="M2495" t="inlineStr">
        <is>
          <t>profesional</t>
        </is>
      </c>
      <c r="N2495" t="inlineStr">
        <is>
          <t>general</t>
        </is>
      </c>
      <c r="O2495" t="inlineStr">
        <is>
          <t>https://www.jumbo.com.ar/crema-elvive-oleo-extraordinario-250ml/p</t>
        </is>
      </c>
    </row>
    <row r="2496">
      <c r="A2496" s="2" t="inlineStr">
        <is>
          <t>Jumbo</t>
        </is>
      </c>
      <c r="B2496" s="2" t="n">
        <v>246777</v>
      </c>
      <c r="C2496" s="2" t="n">
        <v>243689</v>
      </c>
      <c r="D2496" s="2" t="inlineStr">
        <is>
          <t>Tratamiento Elvive Rt5 Ciclamen 50ml</t>
        </is>
      </c>
      <c r="E2496" s="2" t="inlineStr">
        <is>
          <t>ELVIVE</t>
        </is>
      </c>
      <c r="F2496" s="2" t="n">
        <v>476.89</v>
      </c>
      <c r="G2496" s="2" t="n">
        <v>39412</v>
      </c>
      <c r="H2496" s="2" t="b">
        <v>0</v>
      </c>
      <c r="I2496" s="2" t="n">
        <v>50</v>
      </c>
      <c r="J2496" s="2" t="n">
        <v>9.537800000000001</v>
      </c>
      <c r="K2496" s="2" t="inlineStr">
        <is>
          <t>&gt; Perfumería &gt; Cuidado Capilar &gt; Reparación y Tratamientos &gt;</t>
        </is>
      </c>
      <c r="L2496" s="2" t="inlineStr">
        <is>
          <t>tratamiento</t>
        </is>
      </c>
      <c r="M2496" s="2" t="inlineStr">
        <is>
          <t>profesional</t>
        </is>
      </c>
      <c r="N2496" s="2" t="inlineStr">
        <is>
          <t>general</t>
        </is>
      </c>
      <c r="O2496" s="2" t="inlineStr">
        <is>
          <t>https://www.jumbo.com.ar/tratamiento-elvive-rt5-ciclamen-50ml/p</t>
        </is>
      </c>
    </row>
    <row r="2497">
      <c r="A2497" t="inlineStr">
        <is>
          <t>Jumbo</t>
        </is>
      </c>
      <c r="B2497" t="n">
        <v>246776</v>
      </c>
      <c r="C2497" t="n">
        <v>243688</v>
      </c>
      <c r="D2497" t="inlineStr">
        <is>
          <t>Acondicionador óleo Extraordinario Edición Verano Elvive L´oréal Paris 200 Ml</t>
        </is>
      </c>
      <c r="E2497" t="inlineStr">
        <is>
          <t>ELVIVE</t>
        </is>
      </c>
      <c r="F2497" t="n">
        <v>266.59</v>
      </c>
      <c r="G2497" t="n">
        <v>22032</v>
      </c>
      <c r="H2497" t="b">
        <v>0</v>
      </c>
      <c r="I2497" t="n">
        <v>200</v>
      </c>
      <c r="J2497" t="n">
        <v>1.3329</v>
      </c>
      <c r="K2497" t="inlineStr">
        <is>
          <t>&gt; Perfumería &gt; Cuidado Capilar &gt; Acondicionador &gt;</t>
        </is>
      </c>
      <c r="L2497" t="inlineStr">
        <is>
          <t>acondicionador</t>
        </is>
      </c>
      <c r="M2497" t="inlineStr">
        <is>
          <t>profesional</t>
        </is>
      </c>
      <c r="N2497" t="inlineStr">
        <is>
          <t>general</t>
        </is>
      </c>
      <c r="O2497" t="inlineStr">
        <is>
          <t>https://www.jumbo.com.ar/acondicionador-oleo-extraordinario-edicion-verano-elvive-l-oreal-paris-200-ml/p</t>
        </is>
      </c>
    </row>
    <row r="2498">
      <c r="A2498" s="2" t="inlineStr">
        <is>
          <t>Jumbo</t>
        </is>
      </c>
      <c r="B2498" s="2" t="n">
        <v>246775</v>
      </c>
      <c r="C2498" s="2" t="n">
        <v>243687</v>
      </c>
      <c r="D2498" s="2" t="inlineStr">
        <is>
          <t>Shampoo Oleo Extraordinario Summer Edition Elvive Loreal Paris 400 Ml</t>
        </is>
      </c>
      <c r="E2498" s="2" t="inlineStr">
        <is>
          <t>ELVIVE</t>
        </is>
      </c>
      <c r="F2498" s="2" t="n">
        <v>430.95</v>
      </c>
      <c r="G2498" s="2" t="n">
        <v>35616</v>
      </c>
      <c r="H2498" s="2" t="b">
        <v>0</v>
      </c>
      <c r="I2498" s="2" t="n">
        <v>400</v>
      </c>
      <c r="J2498" s="2" t="n">
        <v>1.0774</v>
      </c>
      <c r="K2498" s="2" t="inlineStr">
        <is>
          <t>&gt; Perfumería &gt; Cuidado Capilar &gt; Shampoo &gt;</t>
        </is>
      </c>
      <c r="L2498" s="2" t="inlineStr">
        <is>
          <t>shampoo</t>
        </is>
      </c>
      <c r="M2498" s="2" t="inlineStr">
        <is>
          <t>profesional</t>
        </is>
      </c>
      <c r="N2498" s="2" t="inlineStr">
        <is>
          <t>general</t>
        </is>
      </c>
      <c r="O2498" s="2" t="inlineStr">
        <is>
          <t>https://www.jumbo.com.ar/shampoo-oleo-extraordinario-summer-edition-elvive-loreal-paris-400-ml/p</t>
        </is>
      </c>
    </row>
    <row r="2499">
      <c r="A2499" t="inlineStr">
        <is>
          <t>Jumbo</t>
        </is>
      </c>
      <c r="B2499" t="n">
        <v>246773</v>
      </c>
      <c r="C2499" t="n">
        <v>243685</v>
      </c>
      <c r="D2499" t="inlineStr">
        <is>
          <t>Shampoo óleo Extraordinario Edición Verano Elvive L´oréal Paris 200 Ml</t>
        </is>
      </c>
      <c r="E2499" t="inlineStr">
        <is>
          <t>ELVIVE</t>
        </is>
      </c>
      <c r="F2499" t="n">
        <v>266.59</v>
      </c>
      <c r="G2499" t="n">
        <v>22032</v>
      </c>
      <c r="H2499" t="b">
        <v>0</v>
      </c>
      <c r="I2499" t="n">
        <v>200</v>
      </c>
      <c r="J2499" t="n">
        <v>1.3329</v>
      </c>
      <c r="K2499" t="inlineStr">
        <is>
          <t>&gt; Perfumería &gt; Cuidado Capilar &gt; Shampoo &gt;</t>
        </is>
      </c>
      <c r="L2499" t="inlineStr">
        <is>
          <t>shampoo</t>
        </is>
      </c>
      <c r="M2499" t="inlineStr">
        <is>
          <t>profesional</t>
        </is>
      </c>
      <c r="N2499" t="inlineStr">
        <is>
          <t>general</t>
        </is>
      </c>
      <c r="O2499" t="inlineStr">
        <is>
          <t>https://www.jumbo.com.ar/shampoo-oleo-extraordinario-edicion-verano-elvive-l-oreal-paris-200-ml/p</t>
        </is>
      </c>
    </row>
    <row r="2500">
      <c r="A2500" s="2" t="inlineStr">
        <is>
          <t>Jumbo</t>
        </is>
      </c>
      <c r="B2500" s="2" t="n">
        <v>246770</v>
      </c>
      <c r="C2500" s="2" t="n">
        <v>243682</v>
      </c>
      <c r="D2500" s="2" t="inlineStr">
        <is>
          <t>Acondicionador Oleo Extraordinario Summer Edition Elvive Loreal Paris 400 Ml</t>
        </is>
      </c>
      <c r="E2500" s="2" t="inlineStr">
        <is>
          <t>ELVIVE</t>
        </is>
      </c>
      <c r="F2500" s="2" t="n">
        <v>430.99</v>
      </c>
      <c r="G2500" s="2" t="n">
        <v>35619</v>
      </c>
      <c r="H2500" s="2" t="b">
        <v>0</v>
      </c>
      <c r="I2500" s="2" t="n">
        <v>400</v>
      </c>
      <c r="J2500" s="2" t="n">
        <v>1.0775</v>
      </c>
      <c r="K2500" s="2" t="inlineStr">
        <is>
          <t>&gt; Perfumería &gt; Cuidado Capilar &gt; Acondicionador &gt;</t>
        </is>
      </c>
      <c r="L2500" s="2" t="inlineStr">
        <is>
          <t>acondicionador</t>
        </is>
      </c>
      <c r="M2500" s="2" t="inlineStr">
        <is>
          <t>profesional</t>
        </is>
      </c>
      <c r="N2500" s="2" t="inlineStr">
        <is>
          <t>general</t>
        </is>
      </c>
      <c r="O2500" s="2" t="inlineStr">
        <is>
          <t>https://www.jumbo.com.ar/acondicionador-oleo-extraordinario-summer-edition-elvive-loreal-paris-400-ml/p</t>
        </is>
      </c>
    </row>
    <row r="2501">
      <c r="A2501" t="inlineStr">
        <is>
          <t>Jumbo</t>
        </is>
      </c>
      <c r="B2501" t="n">
        <v>246769</v>
      </c>
      <c r="C2501" t="n">
        <v>243681</v>
      </c>
      <c r="D2501" t="inlineStr">
        <is>
          <t>Crema Para Peinar óleo Extraordinario Edición Verano Elvive L´oréal Paris 250 Ml</t>
        </is>
      </c>
      <c r="E2501" t="inlineStr">
        <is>
          <t>ELVIVE</t>
        </is>
      </c>
      <c r="F2501" t="n">
        <v>479.47</v>
      </c>
      <c r="G2501" t="n">
        <v>39626</v>
      </c>
      <c r="H2501" t="b">
        <v>0</v>
      </c>
      <c r="I2501" t="n">
        <v>250</v>
      </c>
      <c r="J2501" t="n">
        <v>1.9179</v>
      </c>
      <c r="K2501" t="inlineStr">
        <is>
          <t>&gt; Perfumería &gt; Cuidado Capilar &gt; Reparación y Tratamientos &gt;</t>
        </is>
      </c>
      <c r="L2501" t="inlineStr">
        <is>
          <t>shampoo</t>
        </is>
      </c>
      <c r="M2501" t="inlineStr">
        <is>
          <t>profesional</t>
        </is>
      </c>
      <c r="N2501" t="inlineStr">
        <is>
          <t>general</t>
        </is>
      </c>
      <c r="O2501" t="inlineStr">
        <is>
          <t>https://www.jumbo.com.ar/crema-para-peinar-oleo-extraordinario-edicion-verano-elvive-l-oreal-paris-250-ml/p</t>
        </is>
      </c>
    </row>
    <row r="2502">
      <c r="A2502" s="2" t="inlineStr">
        <is>
          <t>Jumbo</t>
        </is>
      </c>
      <c r="B2502" s="2" t="n">
        <v>218636</v>
      </c>
      <c r="C2502" s="2" t="n">
        <v>228633</v>
      </c>
      <c r="D2502" s="2" t="inlineStr">
        <is>
          <t>Shampoo Elvive Cosmetico Colorvive 350ml + Acondicionador Pack 2u</t>
        </is>
      </c>
      <c r="E2502" s="2" t="inlineStr">
        <is>
          <t>ELVIVE</t>
        </is>
      </c>
      <c r="F2502" s="2" t="n">
        <v>20.29</v>
      </c>
      <c r="G2502" s="2" t="n">
        <v>20.29</v>
      </c>
      <c r="H2502" s="2" t="b">
        <v>0</v>
      </c>
      <c r="I2502" s="2" t="n">
        <v>350</v>
      </c>
      <c r="J2502" s="2" t="n">
        <v>0.058</v>
      </c>
      <c r="K2502" s="2" t="inlineStr">
        <is>
          <t>&gt; Perfumería &gt; Cuidado Capilar &gt; Shampoo &gt;</t>
        </is>
      </c>
      <c r="L2502" s="2" t="inlineStr">
        <is>
          <t>acondicionador</t>
        </is>
      </c>
      <c r="M2502" s="2" t="inlineStr">
        <is>
          <t>profesional</t>
        </is>
      </c>
      <c r="N2502" s="2" t="inlineStr">
        <is>
          <t>tratado</t>
        </is>
      </c>
      <c r="O2502" s="2" t="inlineStr">
        <is>
          <t>https://www.jumbo.com.ar/shampoo-elvive-cosmetico-colorvive-350ml-acondicionador-pack-2u-250270/p</t>
        </is>
      </c>
    </row>
    <row r="2503">
      <c r="A2503" t="inlineStr">
        <is>
          <t>Jumbo</t>
        </is>
      </c>
      <c r="B2503" t="n">
        <v>184216</v>
      </c>
      <c r="C2503" t="n">
        <v>207620</v>
      </c>
      <c r="D2503" t="inlineStr">
        <is>
          <t>Crema De Enjuague Elvive</t>
        </is>
      </c>
      <c r="E2503" t="inlineStr">
        <is>
          <t>ELVIVE</t>
        </is>
      </c>
      <c r="F2503" t="n">
        <v>192.77</v>
      </c>
      <c r="G2503" t="n">
        <v>192.77</v>
      </c>
      <c r="H2503" t="b">
        <v>0</v>
      </c>
      <c r="I2503" t="inlineStr"/>
      <c r="J2503" t="inlineStr"/>
      <c r="K2503" t="inlineStr">
        <is>
          <t>&gt; Perfumería &gt; Cuidado Capilar &gt; Acondicionador &gt;</t>
        </is>
      </c>
      <c r="L2503" t="inlineStr">
        <is>
          <t>acondicionador</t>
        </is>
      </c>
      <c r="M2503" t="inlineStr">
        <is>
          <t>profesional</t>
        </is>
      </c>
      <c r="N2503" t="inlineStr">
        <is>
          <t>general</t>
        </is>
      </c>
      <c r="O2503" t="inlineStr">
        <is>
          <t>https://www.jumbo.com.ar/crema-de-enjuague-elvive-3/p</t>
        </is>
      </c>
    </row>
    <row r="2504">
      <c r="A2504" s="2" t="inlineStr">
        <is>
          <t>Jumbo</t>
        </is>
      </c>
      <c r="B2504" s="2" t="n">
        <v>181652</v>
      </c>
      <c r="C2504" s="2" t="n">
        <v>201996</v>
      </c>
      <c r="D2504" s="2" t="inlineStr">
        <is>
          <t>Shampoo Elvive Cosmetico Solar + Acondicionador Pck 2 Un.</t>
        </is>
      </c>
      <c r="E2504" s="2" t="inlineStr">
        <is>
          <t>ELVIVE</t>
        </is>
      </c>
      <c r="F2504" s="2" t="n">
        <v>15.39</v>
      </c>
      <c r="G2504" s="2" t="n">
        <v>15.39</v>
      </c>
      <c r="H2504" s="2" t="b">
        <v>0</v>
      </c>
      <c r="I2504" s="2" t="inlineStr"/>
      <c r="J2504" s="2" t="inlineStr"/>
      <c r="K2504" s="2" t="inlineStr">
        <is>
          <t>&gt; Perfumería &gt; Cuidado Capilar &gt; Shampoo &gt;</t>
        </is>
      </c>
      <c r="L2504" s="2" t="inlineStr">
        <is>
          <t>acondicionador</t>
        </is>
      </c>
      <c r="M2504" s="2" t="inlineStr">
        <is>
          <t>profesional</t>
        </is>
      </c>
      <c r="N2504" s="2" t="inlineStr">
        <is>
          <t>general</t>
        </is>
      </c>
      <c r="O2504" s="2" t="inlineStr">
        <is>
          <t>https://www.jumbo.com.ar/shampoo-elvive-cosmetico-52-245643/p</t>
        </is>
      </c>
    </row>
    <row r="2505">
      <c r="A2505" t="inlineStr">
        <is>
          <t>Jumbo</t>
        </is>
      </c>
      <c r="B2505" t="n">
        <v>168240</v>
      </c>
      <c r="C2505" t="n">
        <v>165780</v>
      </c>
      <c r="D2505" t="inlineStr">
        <is>
          <t>Crema De Enjuague Elvive-volumen Control-nueva Presentacion-pvc-ml.-400</t>
        </is>
      </c>
      <c r="E2505" t="inlineStr">
        <is>
          <t>ELVIVE</t>
        </is>
      </c>
      <c r="F2505" t="n">
        <v>430.99</v>
      </c>
      <c r="G2505" t="n">
        <v>35619</v>
      </c>
      <c r="H2505" t="b">
        <v>0</v>
      </c>
      <c r="I2505" t="inlineStr"/>
      <c r="J2505" t="inlineStr"/>
      <c r="K2505" t="inlineStr">
        <is>
          <t>&gt; Perfumería &gt; Cuidado Capilar &gt; Acondicionador &gt;</t>
        </is>
      </c>
      <c r="L2505" t="inlineStr">
        <is>
          <t>acondicionador</t>
        </is>
      </c>
      <c r="M2505" t="inlineStr">
        <is>
          <t>profesional</t>
        </is>
      </c>
      <c r="N2505" t="inlineStr">
        <is>
          <t>general</t>
        </is>
      </c>
      <c r="O2505" t="inlineStr">
        <is>
          <t>https://www.jumbo.com.ar/crema-de-enjuague-elvive-volumen-control-nueva-presentacion-pvc-ml-400/p</t>
        </is>
      </c>
    </row>
    <row r="2506">
      <c r="A2506" s="2" t="inlineStr">
        <is>
          <t>Jumbo</t>
        </is>
      </c>
      <c r="B2506" s="2" t="n">
        <v>168236</v>
      </c>
      <c r="C2506" s="2" t="n">
        <v>165776</v>
      </c>
      <c r="D2506" s="2" t="inlineStr">
        <is>
          <t>Crema De Enjuague Elvive-volumen Control-nueva Presentacion-pvc-ml.-200</t>
        </is>
      </c>
      <c r="E2506" s="2" t="inlineStr">
        <is>
          <t>ELVIVE</t>
        </is>
      </c>
      <c r="F2506" s="2" t="n">
        <v>266.59</v>
      </c>
      <c r="G2506" s="2" t="n">
        <v>22032</v>
      </c>
      <c r="H2506" s="2" t="b">
        <v>0</v>
      </c>
      <c r="I2506" s="2" t="inlineStr"/>
      <c r="J2506" s="2" t="inlineStr"/>
      <c r="K2506" s="2" t="inlineStr">
        <is>
          <t>&gt; Perfumería &gt; Cuidado Capilar &gt; Acondicionador &gt;</t>
        </is>
      </c>
      <c r="L2506" s="2" t="inlineStr">
        <is>
          <t>acondicionador</t>
        </is>
      </c>
      <c r="M2506" s="2" t="inlineStr">
        <is>
          <t>profesional</t>
        </is>
      </c>
      <c r="N2506" s="2" t="inlineStr">
        <is>
          <t>general</t>
        </is>
      </c>
      <c r="O2506" s="2" t="inlineStr">
        <is>
          <t>https://www.jumbo.com.ar/crema-de-enjuague-elvive-volumen-control-nueva-presentacion-pvc-ml-200/p</t>
        </is>
      </c>
    </row>
    <row r="2507">
      <c r="A2507" t="inlineStr">
        <is>
          <t>Jumbo</t>
        </is>
      </c>
      <c r="B2507" t="n">
        <v>168232</v>
      </c>
      <c r="C2507" t="n">
        <v>165772</v>
      </c>
      <c r="D2507" t="inlineStr">
        <is>
          <t>Crema De Enjuague Elvive-citrus-nueva Presentacion-pvc-ml.-200</t>
        </is>
      </c>
      <c r="E2507" t="inlineStr">
        <is>
          <t>ELVIVE</t>
        </is>
      </c>
      <c r="F2507" t="n">
        <v>266.59</v>
      </c>
      <c r="G2507" t="n">
        <v>22032</v>
      </c>
      <c r="H2507" t="b">
        <v>0</v>
      </c>
      <c r="I2507" t="inlineStr"/>
      <c r="J2507" t="inlineStr"/>
      <c r="K2507" t="inlineStr">
        <is>
          <t>&gt; Perfumería &gt; Cuidado Capilar &gt; Acondicionador &gt;</t>
        </is>
      </c>
      <c r="L2507" t="inlineStr">
        <is>
          <t>acondicionador</t>
        </is>
      </c>
      <c r="M2507" t="inlineStr">
        <is>
          <t>profesional</t>
        </is>
      </c>
      <c r="N2507" t="inlineStr">
        <is>
          <t>general</t>
        </is>
      </c>
      <c r="O2507" t="inlineStr">
        <is>
          <t>https://www.jumbo.com.ar/crema-de-enjuague-elvive-citrus-nueva-presentacion-pvc-ml-200/p</t>
        </is>
      </c>
    </row>
    <row r="2508">
      <c r="A2508" s="2" t="inlineStr">
        <is>
          <t>Jumbo</t>
        </is>
      </c>
      <c r="B2508" s="2" t="n">
        <v>167840</v>
      </c>
      <c r="C2508" s="2" t="n">
        <v>165379</v>
      </c>
      <c r="D2508" s="2" t="inlineStr">
        <is>
          <t>Crema Capilar Elvive-caída Resist-nueva Presentacion-pvc-ml.-250</t>
        </is>
      </c>
      <c r="E2508" s="2" t="inlineStr">
        <is>
          <t>ELVIVE</t>
        </is>
      </c>
      <c r="F2508" s="2" t="n">
        <v>38.37</v>
      </c>
      <c r="G2508" s="2" t="n">
        <v>3171</v>
      </c>
      <c r="H2508" s="2" t="b">
        <v>0</v>
      </c>
      <c r="I2508" s="2" t="inlineStr"/>
      <c r="J2508" s="2" t="inlineStr"/>
      <c r="K2508" s="2" t="inlineStr">
        <is>
          <t>&gt; Perfumería &gt; Cuidado Capilar &gt; Reparación y Tratamientos &gt;</t>
        </is>
      </c>
      <c r="L2508" s="2" t="inlineStr">
        <is>
          <t>shampoo</t>
        </is>
      </c>
      <c r="M2508" s="2" t="inlineStr">
        <is>
          <t>profesional</t>
        </is>
      </c>
      <c r="N2508" s="2" t="inlineStr">
        <is>
          <t>general</t>
        </is>
      </c>
      <c r="O2508" s="2" t="inlineStr">
        <is>
          <t>https://www.jumbo.com.ar/crema-capilar-elvive-caida-resist-nueva-presentacion-pvc-ml-250/p</t>
        </is>
      </c>
    </row>
    <row r="2509">
      <c r="A2509" t="inlineStr">
        <is>
          <t>Jumbo</t>
        </is>
      </c>
      <c r="B2509" t="n">
        <v>167816</v>
      </c>
      <c r="C2509" t="n">
        <v>165353</v>
      </c>
      <c r="D2509" t="inlineStr">
        <is>
          <t>Crema Capilar Elvive-volumen Control-nueva Presentacion-pvc-ml.-250</t>
        </is>
      </c>
      <c r="E2509" t="inlineStr">
        <is>
          <t>ELVIVE</t>
        </is>
      </c>
      <c r="F2509" t="n">
        <v>38.37</v>
      </c>
      <c r="G2509" t="n">
        <v>3171</v>
      </c>
      <c r="H2509" t="b">
        <v>0</v>
      </c>
      <c r="I2509" t="inlineStr"/>
      <c r="J2509" t="inlineStr"/>
      <c r="K2509" t="inlineStr">
        <is>
          <t>&gt; Perfumería &gt; Cuidado Capilar &gt; Reparación y Tratamientos &gt;</t>
        </is>
      </c>
      <c r="L2509" t="inlineStr">
        <is>
          <t>shampoo</t>
        </is>
      </c>
      <c r="M2509" t="inlineStr">
        <is>
          <t>profesional</t>
        </is>
      </c>
      <c r="N2509" t="inlineStr">
        <is>
          <t>general</t>
        </is>
      </c>
      <c r="O2509" t="inlineStr">
        <is>
          <t>https://www.jumbo.com.ar/crema-capilar-elvive-volumen-control-nueva-presentacion-pvc-ml-250/p</t>
        </is>
      </c>
    </row>
    <row r="2510">
      <c r="A2510" s="2" t="inlineStr">
        <is>
          <t>Jumbo</t>
        </is>
      </c>
      <c r="B2510" s="2" t="n">
        <v>167814</v>
      </c>
      <c r="C2510" s="2" t="n">
        <v>165352</v>
      </c>
      <c r="D2510" s="2" t="inlineStr">
        <is>
          <t>Crema Capilar Elvive-nutri - Gloss-nueva Presentacion-pvc-ml.-250</t>
        </is>
      </c>
      <c r="E2510" s="2" t="inlineStr">
        <is>
          <t>ELVIVE</t>
        </is>
      </c>
      <c r="F2510" s="2" t="n">
        <v>38.37</v>
      </c>
      <c r="G2510" s="2" t="n">
        <v>3171</v>
      </c>
      <c r="H2510" s="2" t="b">
        <v>0</v>
      </c>
      <c r="I2510" s="2" t="inlineStr"/>
      <c r="J2510" s="2" t="inlineStr"/>
      <c r="K2510" s="2" t="inlineStr">
        <is>
          <t>&gt; Perfumería &gt; Cuidado Capilar &gt; Reparación y Tratamientos &gt;</t>
        </is>
      </c>
      <c r="L2510" s="2" t="inlineStr">
        <is>
          <t>shampoo</t>
        </is>
      </c>
      <c r="M2510" s="2" t="inlineStr">
        <is>
          <t>profesional</t>
        </is>
      </c>
      <c r="N2510" s="2" t="inlineStr">
        <is>
          <t>general</t>
        </is>
      </c>
      <c r="O2510" s="2" t="inlineStr">
        <is>
          <t>https://www.jumbo.com.ar/crema-capilar-elvive-nutri-gloss-nueva-presentacion-pvc-ml-250/p</t>
        </is>
      </c>
    </row>
    <row r="2511">
      <c r="A2511" t="inlineStr">
        <is>
          <t>Jumbo</t>
        </is>
      </c>
      <c r="B2511" t="n">
        <v>160841</v>
      </c>
      <c r="C2511" t="n">
        <v>158391</v>
      </c>
      <c r="D2511" t="inlineStr">
        <is>
          <t>Locion Oleo Extraordinario 100ml Elvive Locion Elvive Oleo Extraordinario 100ml</t>
        </is>
      </c>
      <c r="E2511" t="inlineStr">
        <is>
          <t>ELVIVE</t>
        </is>
      </c>
      <c r="F2511" t="n">
        <v>1119.97</v>
      </c>
      <c r="G2511" t="n">
        <v>92560</v>
      </c>
      <c r="H2511" t="b">
        <v>0</v>
      </c>
      <c r="I2511" t="n">
        <v>100</v>
      </c>
      <c r="J2511" t="n">
        <v>11.1997</v>
      </c>
      <c r="K2511" t="inlineStr">
        <is>
          <t>&gt; Perfumería &gt; Cuidado Capilar &gt; Reparación y Tratamientos &gt;</t>
        </is>
      </c>
      <c r="L2511" t="inlineStr">
        <is>
          <t>shampoo</t>
        </is>
      </c>
      <c r="M2511" t="inlineStr">
        <is>
          <t>profesional</t>
        </is>
      </c>
      <c r="N2511" t="inlineStr">
        <is>
          <t>general</t>
        </is>
      </c>
      <c r="O2511" t="inlineStr">
        <is>
          <t>https://www.jumbo.com.ar/locion-elvive-oleo-extraordinario-100ml-2/p</t>
        </is>
      </c>
    </row>
    <row r="2512">
      <c r="A2512" s="2" t="inlineStr">
        <is>
          <t>Jumbo</t>
        </is>
      </c>
      <c r="B2512" s="2" t="n">
        <v>160163</v>
      </c>
      <c r="C2512" s="2" t="n">
        <v>157722</v>
      </c>
      <c r="D2512" s="2" t="inlineStr">
        <is>
          <t>Shampoo Elvive +crm Trat. Repac Total 5</t>
        </is>
      </c>
      <c r="E2512" s="2" t="inlineStr">
        <is>
          <t>ELVIVE</t>
        </is>
      </c>
      <c r="F2512" s="2" t="n">
        <v>26.99</v>
      </c>
      <c r="G2512" s="2" t="n">
        <v>26.99</v>
      </c>
      <c r="H2512" s="2" t="b">
        <v>0</v>
      </c>
      <c r="I2512" s="2" t="inlineStr"/>
      <c r="J2512" s="2" t="inlineStr"/>
      <c r="K2512" s="2" t="inlineStr">
        <is>
          <t>&gt; Perfumería &gt; Cuidado Capilar &gt; Shampoo &gt;</t>
        </is>
      </c>
      <c r="L2512" s="2" t="inlineStr">
        <is>
          <t>shampoo</t>
        </is>
      </c>
      <c r="M2512" s="2" t="inlineStr">
        <is>
          <t>profesional</t>
        </is>
      </c>
      <c r="N2512" s="2" t="inlineStr">
        <is>
          <t>general</t>
        </is>
      </c>
      <c r="O2512" s="2" t="inlineStr">
        <is>
          <t>https://www.jumbo.com.ar/shampoo-elvive-crm-trat-repac-total-5/p</t>
        </is>
      </c>
    </row>
    <row r="2513">
      <c r="A2513" t="inlineStr">
        <is>
          <t>Jumbo</t>
        </is>
      </c>
      <c r="B2513" t="n">
        <v>159564</v>
      </c>
      <c r="C2513" t="n">
        <v>157123</v>
      </c>
      <c r="D2513" t="inlineStr">
        <is>
          <t>Crema De Enjuague Elvive-reparación Total 5-pvc-ml.-750</t>
        </is>
      </c>
      <c r="E2513" t="inlineStr">
        <is>
          <t>ELVIVE</t>
        </is>
      </c>
      <c r="F2513" t="n">
        <v>146.95</v>
      </c>
      <c r="G2513" t="n">
        <v>12145</v>
      </c>
      <c r="H2513" t="b">
        <v>0</v>
      </c>
      <c r="I2513" t="inlineStr"/>
      <c r="J2513" t="inlineStr"/>
      <c r="K2513" t="inlineStr">
        <is>
          <t>&gt; Perfumería &gt; Cuidado Capilar &gt; Acondicionador &gt;</t>
        </is>
      </c>
      <c r="L2513" t="inlineStr">
        <is>
          <t>acondicionador</t>
        </is>
      </c>
      <c r="M2513" t="inlineStr">
        <is>
          <t>profesional</t>
        </is>
      </c>
      <c r="N2513" t="inlineStr">
        <is>
          <t>general</t>
        </is>
      </c>
      <c r="O2513" t="inlineStr">
        <is>
          <t>https://www.jumbo.com.ar/crema-de-enjuague-elvive-reparacion-total-5-pvc-ml-750-2/p</t>
        </is>
      </c>
    </row>
    <row r="2514">
      <c r="A2514" s="2" t="inlineStr">
        <is>
          <t>Jumbo</t>
        </is>
      </c>
      <c r="B2514" s="2" t="n">
        <v>158511</v>
      </c>
      <c r="C2514" s="2" t="n">
        <v>156070</v>
      </c>
      <c r="D2514" s="2" t="inlineStr">
        <is>
          <t>Shampoo Elvive  X 2 Un 200 Cc + Acondicionador Reparación Total 5 Bli 2 Un.</t>
        </is>
      </c>
      <c r="E2514" s="2" t="inlineStr">
        <is>
          <t>ELVIVE</t>
        </is>
      </c>
      <c r="F2514" s="2" t="n">
        <v>11.5</v>
      </c>
      <c r="G2514" s="2" t="n">
        <v>11.5</v>
      </c>
      <c r="H2514" s="2" t="b">
        <v>0</v>
      </c>
      <c r="I2514" s="2" t="inlineStr"/>
      <c r="J2514" s="2" t="inlineStr"/>
      <c r="K2514" s="2" t="inlineStr">
        <is>
          <t>&gt; Perfumería &gt; Cuidado Capilar &gt; Shampoo &gt;</t>
        </is>
      </c>
      <c r="L2514" s="2" t="inlineStr">
        <is>
          <t>acondicionador</t>
        </is>
      </c>
      <c r="M2514" s="2" t="inlineStr">
        <is>
          <t>profesional</t>
        </is>
      </c>
      <c r="N2514" s="2" t="inlineStr">
        <is>
          <t>general</t>
        </is>
      </c>
      <c r="O2514" s="2" t="inlineStr">
        <is>
          <t>https://www.jumbo.com.ar/shampoo-elvive-x-2-un-200-cc-acondicionador-reparacion-total-5-bli-2-un/p</t>
        </is>
      </c>
    </row>
    <row r="2515">
      <c r="A2515" t="inlineStr">
        <is>
          <t>Jumbo</t>
        </is>
      </c>
      <c r="B2515" t="n">
        <v>155524</v>
      </c>
      <c r="C2515" t="n">
        <v>153093</v>
      </c>
      <c r="D2515" t="inlineStr">
        <is>
          <t>Crema Capilar Elvive-rizos Hidratados-pot-gr.-300</t>
        </is>
      </c>
      <c r="E2515" t="inlineStr">
        <is>
          <t>ELVIVE</t>
        </is>
      </c>
      <c r="F2515" t="n">
        <v>33.97</v>
      </c>
      <c r="G2515" t="n">
        <v>2807</v>
      </c>
      <c r="H2515" t="b">
        <v>0</v>
      </c>
      <c r="I2515" t="inlineStr"/>
      <c r="J2515" t="inlineStr"/>
      <c r="K2515" t="inlineStr">
        <is>
          <t>&gt; Perfumería &gt; Cuidado Capilar &gt; Reparación y Tratamientos &gt;</t>
        </is>
      </c>
      <c r="L2515" t="inlineStr">
        <is>
          <t>shampoo</t>
        </is>
      </c>
      <c r="M2515" t="inlineStr">
        <is>
          <t>profesional</t>
        </is>
      </c>
      <c r="N2515" t="inlineStr">
        <is>
          <t>rizado</t>
        </is>
      </c>
      <c r="O2515" t="inlineStr">
        <is>
          <t>https://www.jumbo.com.ar/crema-capilar-elvive-rizos-hidratados-pot-gr-300-2/p</t>
        </is>
      </c>
    </row>
    <row r="2516">
      <c r="A2516" s="2" t="inlineStr">
        <is>
          <t>Jumbo</t>
        </is>
      </c>
      <c r="B2516" s="2" t="n">
        <v>155122</v>
      </c>
      <c r="C2516" s="2" t="n">
        <v>152693</v>
      </c>
      <c r="D2516" s="2" t="inlineStr">
        <is>
          <t>Crema De Enjuague Elvive-rizos Hidratados Colágeno-pvc-ml.-750</t>
        </is>
      </c>
      <c r="E2516" s="2" t="inlineStr">
        <is>
          <t>ELVIVE</t>
        </is>
      </c>
      <c r="F2516" s="2" t="n">
        <v>146.95</v>
      </c>
      <c r="G2516" s="2" t="n">
        <v>12145</v>
      </c>
      <c r="H2516" s="2" t="b">
        <v>0</v>
      </c>
      <c r="I2516" s="2" t="inlineStr"/>
      <c r="J2516" s="2" t="inlineStr"/>
      <c r="K2516" s="2" t="inlineStr">
        <is>
          <t>&gt; Perfumería &gt; Cuidado Capilar &gt; Acondicionador &gt;</t>
        </is>
      </c>
      <c r="L2516" s="2" t="inlineStr">
        <is>
          <t>acondicionador</t>
        </is>
      </c>
      <c r="M2516" s="2" t="inlineStr">
        <is>
          <t>profesional</t>
        </is>
      </c>
      <c r="N2516" s="2" t="inlineStr">
        <is>
          <t>rizado</t>
        </is>
      </c>
      <c r="O2516" s="2" t="inlineStr">
        <is>
          <t>https://www.jumbo.com.ar/crema-de-enjuague-elvive-rizos-hidratados-colageno-pvc-ml-750-2/p</t>
        </is>
      </c>
    </row>
    <row r="2517">
      <c r="A2517" t="inlineStr">
        <is>
          <t>Jumbo</t>
        </is>
      </c>
      <c r="B2517" t="n">
        <v>154892</v>
      </c>
      <c r="C2517" t="n">
        <v>152461</v>
      </c>
      <c r="D2517" t="inlineStr">
        <is>
          <t>Crema Capilar Elvive-caida Resist.con Arginina-pvc-ml.-300</t>
        </is>
      </c>
      <c r="E2517" t="inlineStr">
        <is>
          <t>ELVIVE</t>
        </is>
      </c>
      <c r="F2517" t="n">
        <v>29.89</v>
      </c>
      <c r="G2517" t="n">
        <v>2470</v>
      </c>
      <c r="H2517" t="b">
        <v>0</v>
      </c>
      <c r="I2517" t="inlineStr"/>
      <c r="J2517" t="inlineStr"/>
      <c r="K2517" t="inlineStr">
        <is>
          <t>&gt; Perfumería &gt; Cuidado Capilar &gt; Reparación y Tratamientos &gt;</t>
        </is>
      </c>
      <c r="L2517" t="inlineStr">
        <is>
          <t>shampoo</t>
        </is>
      </c>
      <c r="M2517" t="inlineStr">
        <is>
          <t>profesional</t>
        </is>
      </c>
      <c r="N2517" t="inlineStr">
        <is>
          <t>general</t>
        </is>
      </c>
      <c r="O2517" t="inlineStr">
        <is>
          <t>https://www.jumbo.com.ar/crema-capilar-elvive-caida-resist-con-arginina-pvc-ml-300-2/p</t>
        </is>
      </c>
    </row>
    <row r="2518">
      <c r="A2518" s="2" t="inlineStr">
        <is>
          <t>Jumbo</t>
        </is>
      </c>
      <c r="B2518" s="2" t="n">
        <v>150526</v>
      </c>
      <c r="C2518" s="2" t="n">
        <v>147435</v>
      </c>
      <c r="D2518" s="2" t="inlineStr">
        <is>
          <t>Crema De Enjuague Elvive-caida Resist.con Arginina-pvc-ml.-200</t>
        </is>
      </c>
      <c r="E2518" s="2" t="inlineStr">
        <is>
          <t>ELVIVE</t>
        </is>
      </c>
      <c r="F2518" s="2" t="n">
        <v>41.19</v>
      </c>
      <c r="G2518" s="2" t="n">
        <v>3404</v>
      </c>
      <c r="H2518" s="2" t="b">
        <v>0</v>
      </c>
      <c r="I2518" s="2" t="inlineStr"/>
      <c r="J2518" s="2" t="inlineStr"/>
      <c r="K2518" s="2" t="inlineStr">
        <is>
          <t>&gt; Perfumería &gt; Cuidado Capilar &gt; Acondicionador &gt;</t>
        </is>
      </c>
      <c r="L2518" s="2" t="inlineStr">
        <is>
          <t>acondicionador</t>
        </is>
      </c>
      <c r="M2518" s="2" t="inlineStr">
        <is>
          <t>profesional</t>
        </is>
      </c>
      <c r="N2518" s="2" t="inlineStr">
        <is>
          <t>general</t>
        </is>
      </c>
      <c r="O2518" s="2" t="inlineStr">
        <is>
          <t>https://www.jumbo.com.ar/crema-de-enjuague-elvive-caida-resist-con-arginina-pvc-ml-200-2/p</t>
        </is>
      </c>
    </row>
    <row r="2519">
      <c r="A2519" t="inlineStr">
        <is>
          <t>Jumbo</t>
        </is>
      </c>
      <c r="B2519" t="n">
        <v>150499</v>
      </c>
      <c r="C2519" t="n">
        <v>147408</v>
      </c>
      <c r="D2519" t="inlineStr">
        <is>
          <t>Crema De Enjuague Elvive-caida Resist.con Arginina-pvc-ml.-300</t>
        </is>
      </c>
      <c r="E2519" t="inlineStr">
        <is>
          <t>ELVIVE</t>
        </is>
      </c>
      <c r="F2519" t="n">
        <v>14.67</v>
      </c>
      <c r="G2519" t="n">
        <v>1212</v>
      </c>
      <c r="H2519" t="b">
        <v>0</v>
      </c>
      <c r="I2519" t="inlineStr"/>
      <c r="J2519" t="inlineStr"/>
      <c r="K2519" t="inlineStr">
        <is>
          <t>&gt; Perfumería &gt; Cuidado Capilar &gt; Acondicionador &gt;</t>
        </is>
      </c>
      <c r="L2519" t="inlineStr">
        <is>
          <t>acondicionador</t>
        </is>
      </c>
      <c r="M2519" t="inlineStr">
        <is>
          <t>profesional</t>
        </is>
      </c>
      <c r="N2519" t="inlineStr">
        <is>
          <t>general</t>
        </is>
      </c>
      <c r="O2519" t="inlineStr">
        <is>
          <t>https://www.jumbo.com.ar/crema-de-enjuague-elvive-caida-resist-con-arginina-pvc-ml-300-2/p</t>
        </is>
      </c>
    </row>
    <row r="2520">
      <c r="A2520" s="2" t="inlineStr">
        <is>
          <t>Jumbo</t>
        </is>
      </c>
      <c r="B2520" s="2" t="n">
        <v>150489</v>
      </c>
      <c r="C2520" s="2" t="n">
        <v>147398</v>
      </c>
      <c r="D2520" s="2" t="inlineStr">
        <is>
          <t>Tratamiento Reconstituyente Elvive-caida Resist.con Arginina-pot-gr.-350</t>
        </is>
      </c>
      <c r="E2520" s="2" t="inlineStr">
        <is>
          <t>ELVIVE</t>
        </is>
      </c>
      <c r="F2520" s="2" t="n">
        <v>26.69</v>
      </c>
      <c r="G2520" s="2" t="n">
        <v>2206</v>
      </c>
      <c r="H2520" s="2" t="b">
        <v>0</v>
      </c>
      <c r="I2520" s="2" t="inlineStr"/>
      <c r="J2520" s="2" t="inlineStr"/>
      <c r="K2520" s="2" t="inlineStr">
        <is>
          <t>&gt; Perfumería &gt; Cuidado Capilar &gt; Reparación y Tratamientos &gt;</t>
        </is>
      </c>
      <c r="L2520" s="2" t="inlineStr">
        <is>
          <t>tratamiento</t>
        </is>
      </c>
      <c r="M2520" s="2" t="inlineStr">
        <is>
          <t>profesional</t>
        </is>
      </c>
      <c r="N2520" s="2" t="inlineStr">
        <is>
          <t>general</t>
        </is>
      </c>
      <c r="O2520" s="2" t="inlineStr">
        <is>
          <t>https://www.jumbo.com.ar/tratamiento-reconstituyente-elvive-caida-resist-con-arginina-pot-gr-350-2/p</t>
        </is>
      </c>
    </row>
    <row r="2521">
      <c r="A2521" t="inlineStr">
        <is>
          <t>Jumbo</t>
        </is>
      </c>
      <c r="B2521" t="n">
        <v>147359</v>
      </c>
      <c r="C2521" t="n">
        <v>144269</v>
      </c>
      <c r="D2521" t="inlineStr">
        <is>
          <t>Crema De Enjuague Elvive-renutricion-pvc-ml.-750</t>
        </is>
      </c>
      <c r="E2521" t="inlineStr">
        <is>
          <t>ELVIVE</t>
        </is>
      </c>
      <c r="F2521" t="n">
        <v>146.95</v>
      </c>
      <c r="G2521" t="n">
        <v>12145</v>
      </c>
      <c r="H2521" t="b">
        <v>0</v>
      </c>
      <c r="I2521" t="inlineStr"/>
      <c r="J2521" t="inlineStr"/>
      <c r="K2521" t="inlineStr">
        <is>
          <t>&gt; Perfumería &gt; Cuidado Capilar &gt; Acondicionador &gt;</t>
        </is>
      </c>
      <c r="L2521" t="inlineStr">
        <is>
          <t>acondicionador</t>
        </is>
      </c>
      <c r="M2521" t="inlineStr">
        <is>
          <t>profesional</t>
        </is>
      </c>
      <c r="N2521" t="inlineStr">
        <is>
          <t>general</t>
        </is>
      </c>
      <c r="O2521" t="inlineStr">
        <is>
          <t>https://www.jumbo.com.ar/crema-de-enjuague-elvive-renutricion-pvc-ml-750-2/p</t>
        </is>
      </c>
    </row>
    <row r="2522">
      <c r="A2522" s="2" t="inlineStr">
        <is>
          <t>Jumbo</t>
        </is>
      </c>
      <c r="B2522" s="2" t="n">
        <v>127727</v>
      </c>
      <c r="C2522" s="2" t="n">
        <v>110508</v>
      </c>
      <c r="D2522" s="2" t="inlineStr">
        <is>
          <t>Crema De Enjuague Elvive Nutrigloss X 200 Ml</t>
        </is>
      </c>
      <c r="E2522" s="2" t="inlineStr">
        <is>
          <t>ELVIVE</t>
        </is>
      </c>
      <c r="F2522" s="2" t="n">
        <v>266.59</v>
      </c>
      <c r="G2522" s="2" t="n">
        <v>22032</v>
      </c>
      <c r="H2522" s="2" t="b">
        <v>0</v>
      </c>
      <c r="I2522" s="2" t="n">
        <v>200</v>
      </c>
      <c r="J2522" s="2" t="n">
        <v>1.3329</v>
      </c>
      <c r="K2522" s="2" t="inlineStr">
        <is>
          <t>&gt; Perfumería &gt; Cuidado Capilar &gt; Acondicionador &gt;</t>
        </is>
      </c>
      <c r="L2522" s="2" t="inlineStr">
        <is>
          <t>acondicionador</t>
        </is>
      </c>
      <c r="M2522" s="2" t="inlineStr">
        <is>
          <t>profesional</t>
        </is>
      </c>
      <c r="N2522" s="2" t="inlineStr">
        <is>
          <t>general</t>
        </is>
      </c>
      <c r="O2522" s="2" t="inlineStr">
        <is>
          <t>https://www.jumbo.com.ar/crema-de-enjuague-elvive-nutrigloss-x-200-ml/p</t>
        </is>
      </c>
    </row>
    <row r="2523">
      <c r="A2523" t="inlineStr">
        <is>
          <t>Jumbo</t>
        </is>
      </c>
      <c r="B2523" t="n">
        <v>127705</v>
      </c>
      <c r="C2523" t="n">
        <v>110488</v>
      </c>
      <c r="D2523" t="inlineStr">
        <is>
          <t>Shampoo Tratamiento Elvive Nutri-gloss Balance X 250 Ml</t>
        </is>
      </c>
      <c r="E2523" t="inlineStr">
        <is>
          <t>ELVIVE</t>
        </is>
      </c>
      <c r="F2523" t="n">
        <v>9.27</v>
      </c>
      <c r="G2523" t="n">
        <v>9.27</v>
      </c>
      <c r="H2523" t="b">
        <v>0</v>
      </c>
      <c r="I2523" t="n">
        <v>250</v>
      </c>
      <c r="J2523" t="n">
        <v>0.0371</v>
      </c>
      <c r="K2523" t="inlineStr">
        <is>
          <t>&gt; Perfumería &gt; Cuidado Capilar &gt; Shampoo &gt;</t>
        </is>
      </c>
      <c r="L2523" t="inlineStr">
        <is>
          <t>tratamiento</t>
        </is>
      </c>
      <c r="M2523" t="inlineStr">
        <is>
          <t>profesional</t>
        </is>
      </c>
      <c r="N2523" t="inlineStr">
        <is>
          <t>general</t>
        </is>
      </c>
      <c r="O2523" t="inlineStr">
        <is>
          <t>https://www.jumbo.com.ar/shampoo-tratamiento-elvive-nutri-gloss-balance-x-250-ml/p</t>
        </is>
      </c>
    </row>
    <row r="2524">
      <c r="A2524" s="2" t="inlineStr">
        <is>
          <t>Jumbo</t>
        </is>
      </c>
      <c r="B2524" s="2" t="n">
        <v>127699</v>
      </c>
      <c r="C2524" s="2" t="n">
        <v>110480</v>
      </c>
      <c r="D2524" s="2" t="inlineStr">
        <is>
          <t>Crema De Enjuague Elvive Nutrigloss Balance X 300 Ml</t>
        </is>
      </c>
      <c r="E2524" s="2" t="inlineStr">
        <is>
          <t>ELVIVE</t>
        </is>
      </c>
      <c r="F2524" s="2" t="n">
        <v>14.67</v>
      </c>
      <c r="G2524" s="2" t="n">
        <v>1212</v>
      </c>
      <c r="H2524" s="2" t="b">
        <v>0</v>
      </c>
      <c r="I2524" s="2" t="n">
        <v>300</v>
      </c>
      <c r="J2524" s="2" t="n">
        <v>0.0489</v>
      </c>
      <c r="K2524" s="2" t="inlineStr">
        <is>
          <t>&gt; Perfumería &gt; Cuidado Capilar &gt; Acondicionador &gt;</t>
        </is>
      </c>
      <c r="L2524" s="2" t="inlineStr">
        <is>
          <t>acondicionador</t>
        </is>
      </c>
      <c r="M2524" s="2" t="inlineStr">
        <is>
          <t>profesional</t>
        </is>
      </c>
      <c r="N2524" s="2" t="inlineStr">
        <is>
          <t>general</t>
        </is>
      </c>
      <c r="O2524" s="2" t="inlineStr">
        <is>
          <t>https://www.jumbo.com.ar/crema-de-enjuague-elvive-nutrigloss-balance-x-300-ml/p</t>
        </is>
      </c>
    </row>
    <row r="2525">
      <c r="A2525" t="inlineStr">
        <is>
          <t>Jumbo</t>
        </is>
      </c>
      <c r="B2525" t="n">
        <v>121531</v>
      </c>
      <c r="C2525" t="n">
        <v>120552</v>
      </c>
      <c r="D2525" t="inlineStr">
        <is>
          <t>Crema Capilar Elvive Colorvive  Pvc 250 Ml.</t>
        </is>
      </c>
      <c r="E2525" t="inlineStr">
        <is>
          <t>ELVIVE</t>
        </is>
      </c>
      <c r="F2525" t="n">
        <v>20.65</v>
      </c>
      <c r="G2525" t="n">
        <v>1707</v>
      </c>
      <c r="H2525" t="b">
        <v>0</v>
      </c>
      <c r="I2525" t="n">
        <v>250</v>
      </c>
      <c r="J2525" t="n">
        <v>0.08260000000000001</v>
      </c>
      <c r="K2525" t="inlineStr">
        <is>
          <t>&gt; Perfumería &gt; Cuidado Capilar &gt; Reparación y Tratamientos &gt;</t>
        </is>
      </c>
      <c r="L2525" t="inlineStr">
        <is>
          <t>shampoo</t>
        </is>
      </c>
      <c r="M2525" t="inlineStr">
        <is>
          <t>profesional</t>
        </is>
      </c>
      <c r="N2525" t="inlineStr">
        <is>
          <t>tratado</t>
        </is>
      </c>
      <c r="O2525" t="inlineStr">
        <is>
          <t>https://www.jumbo.com.ar/crema-capilar-elvive-5/p</t>
        </is>
      </c>
    </row>
    <row r="2526">
      <c r="A2526" s="2" t="inlineStr">
        <is>
          <t>Jumbo</t>
        </is>
      </c>
      <c r="B2526" s="2" t="n">
        <v>120972</v>
      </c>
      <c r="C2526" s="2" t="n">
        <v>119993</v>
      </c>
      <c r="D2526" s="2" t="inlineStr">
        <is>
          <t>Crema De Enjuague Elvive Citrus  Pvc 200 Ml.</t>
        </is>
      </c>
      <c r="E2526" s="2" t="inlineStr">
        <is>
          <t>ELVIVE</t>
        </is>
      </c>
      <c r="F2526" s="2" t="n">
        <v>13.19</v>
      </c>
      <c r="G2526" s="2" t="n">
        <v>13.19</v>
      </c>
      <c r="H2526" s="2" t="b">
        <v>0</v>
      </c>
      <c r="I2526" s="2" t="n">
        <v>200</v>
      </c>
      <c r="J2526" s="2" t="n">
        <v>0.0659</v>
      </c>
      <c r="K2526" s="2" t="inlineStr">
        <is>
          <t>&gt; Perfumería &gt; Cuidado Capilar &gt; Acondicionador &gt;</t>
        </is>
      </c>
      <c r="L2526" s="2" t="inlineStr">
        <is>
          <t>acondicionador</t>
        </is>
      </c>
      <c r="M2526" s="2" t="inlineStr">
        <is>
          <t>profesional</t>
        </is>
      </c>
      <c r="N2526" s="2" t="inlineStr">
        <is>
          <t>general</t>
        </is>
      </c>
      <c r="O2526" s="2" t="inlineStr">
        <is>
          <t>https://www.jumbo.com.ar/crema-de-enjuague-elvive-8/p</t>
        </is>
      </c>
    </row>
    <row r="2527">
      <c r="A2527" t="inlineStr">
        <is>
          <t>Jumbo</t>
        </is>
      </c>
      <c r="B2527" t="n">
        <v>118503</v>
      </c>
      <c r="C2527" t="n">
        <v>117540</v>
      </c>
      <c r="D2527" t="inlineStr">
        <is>
          <t>Shampoo Elvive Cosmetico X 2 Un</t>
        </is>
      </c>
      <c r="E2527" t="inlineStr">
        <is>
          <t>ELVIVE</t>
        </is>
      </c>
      <c r="F2527" t="n">
        <v>11.99</v>
      </c>
      <c r="G2527" t="n">
        <v>11.99</v>
      </c>
      <c r="H2527" t="b">
        <v>0</v>
      </c>
      <c r="I2527" t="inlineStr"/>
      <c r="J2527" t="inlineStr"/>
      <c r="K2527" t="inlineStr">
        <is>
          <t>&gt; Perfumería &gt; Cuidado Capilar &gt; Shampoo &gt;</t>
        </is>
      </c>
      <c r="L2527" t="inlineStr">
        <is>
          <t>shampoo</t>
        </is>
      </c>
      <c r="M2527" t="inlineStr">
        <is>
          <t>profesional</t>
        </is>
      </c>
      <c r="N2527" t="inlineStr">
        <is>
          <t>general</t>
        </is>
      </c>
      <c r="O2527" t="inlineStr">
        <is>
          <t>https://www.jumbo.com.ar/shampoo-elvive-cosmetico-x-2-un-12/p</t>
        </is>
      </c>
    </row>
    <row r="2528">
      <c r="A2528" s="2" t="inlineStr">
        <is>
          <t>Jumbo</t>
        </is>
      </c>
      <c r="B2528" s="2" t="n">
        <v>117022</v>
      </c>
      <c r="C2528" s="2" t="n">
        <v>116062</v>
      </c>
      <c r="D2528" s="2" t="inlineStr">
        <is>
          <t>Shampoo Elvive Cosmetico X 350 Ml Shampoo Elvive Cosmetico Anti Quiebre Pvc 350 Ml.</t>
        </is>
      </c>
      <c r="E2528" s="2" t="inlineStr">
        <is>
          <t>ELVIVE</t>
        </is>
      </c>
      <c r="F2528" s="2" t="n">
        <v>11.89</v>
      </c>
      <c r="G2528" s="2" t="n">
        <v>11.89</v>
      </c>
      <c r="H2528" s="2" t="b">
        <v>0</v>
      </c>
      <c r="I2528" s="2" t="n">
        <v>350</v>
      </c>
      <c r="J2528" s="2" t="n">
        <v>0.034</v>
      </c>
      <c r="K2528" s="2" t="inlineStr">
        <is>
          <t>&gt; Perfumería &gt; Cuidado Capilar &gt; Shampoo &gt;</t>
        </is>
      </c>
      <c r="L2528" s="2" t="inlineStr">
        <is>
          <t>shampoo</t>
        </is>
      </c>
      <c r="M2528" s="2" t="inlineStr">
        <is>
          <t>profesional</t>
        </is>
      </c>
      <c r="N2528" s="2" t="inlineStr">
        <is>
          <t>general</t>
        </is>
      </c>
      <c r="O2528" s="2" t="inlineStr">
        <is>
          <t>https://www.jumbo.com.ar/shampoo-elvive-cosmetico-x-350-ml/p</t>
        </is>
      </c>
    </row>
    <row r="2529">
      <c r="A2529" t="inlineStr">
        <is>
          <t>Jumbo</t>
        </is>
      </c>
      <c r="B2529" t="n">
        <v>116437</v>
      </c>
      <c r="C2529" t="n">
        <v>115477</v>
      </c>
      <c r="D2529" t="inlineStr">
        <is>
          <t>Crema Capilar Elvive Anti-quiebre</t>
        </is>
      </c>
      <c r="E2529" t="inlineStr">
        <is>
          <t>ELVIVE</t>
        </is>
      </c>
      <c r="F2529" t="n">
        <v>18.13</v>
      </c>
      <c r="G2529" t="n">
        <v>1498</v>
      </c>
      <c r="H2529" t="b">
        <v>0</v>
      </c>
      <c r="I2529" t="inlineStr"/>
      <c r="J2529" t="inlineStr"/>
      <c r="K2529" t="inlineStr">
        <is>
          <t>&gt; Perfumería &gt; Cuidado Capilar &gt; Reparación y Tratamientos &gt;</t>
        </is>
      </c>
      <c r="L2529" t="inlineStr">
        <is>
          <t>shampoo</t>
        </is>
      </c>
      <c r="M2529" t="inlineStr">
        <is>
          <t>profesional</t>
        </is>
      </c>
      <c r="N2529" t="inlineStr">
        <is>
          <t>general</t>
        </is>
      </c>
      <c r="O2529" t="inlineStr">
        <is>
          <t>https://www.jumbo.com.ar/crema-capilar-elvive-6/p</t>
        </is>
      </c>
    </row>
    <row r="2530">
      <c r="A2530" s="2" t="inlineStr">
        <is>
          <t>Jumbo</t>
        </is>
      </c>
      <c r="B2530" s="2" t="n">
        <v>116353</v>
      </c>
      <c r="C2530" s="2" t="n">
        <v>115394</v>
      </c>
      <c r="D2530" s="2" t="inlineStr">
        <is>
          <t>Crema De Enjuague Elvive X 200 Ml Anti-quiebre</t>
        </is>
      </c>
      <c r="E2530" s="2" t="inlineStr">
        <is>
          <t>ELVIVE</t>
        </is>
      </c>
      <c r="F2530" s="2" t="n">
        <v>10.93</v>
      </c>
      <c r="G2530" s="2" t="n">
        <v>10.93</v>
      </c>
      <c r="H2530" s="2" t="b">
        <v>0</v>
      </c>
      <c r="I2530" s="2" t="n">
        <v>200</v>
      </c>
      <c r="J2530" s="2" t="n">
        <v>0.0546</v>
      </c>
      <c r="K2530" s="2" t="inlineStr">
        <is>
          <t>&gt; Perfumería &gt; Cuidado Capilar &gt; Acondicionador &gt;</t>
        </is>
      </c>
      <c r="L2530" s="2" t="inlineStr">
        <is>
          <t>acondicionador</t>
        </is>
      </c>
      <c r="M2530" s="2" t="inlineStr">
        <is>
          <t>profesional</t>
        </is>
      </c>
      <c r="N2530" s="2" t="inlineStr">
        <is>
          <t>general</t>
        </is>
      </c>
      <c r="O2530" s="2" t="inlineStr">
        <is>
          <t>https://www.jumbo.com.ar/crema-de-enjuague-elvive-9-2/p</t>
        </is>
      </c>
    </row>
    <row r="2531">
      <c r="A2531" t="inlineStr">
        <is>
          <t>Jumbo</t>
        </is>
      </c>
      <c r="B2531" t="n">
        <v>116346</v>
      </c>
      <c r="C2531" t="n">
        <v>115388</v>
      </c>
      <c r="D2531" t="inlineStr">
        <is>
          <t>Crema De Enjuague Elvive Anti-quiebre  Pvc 300 Ml.</t>
        </is>
      </c>
      <c r="E2531" t="inlineStr">
        <is>
          <t>ELVIVE</t>
        </is>
      </c>
      <c r="F2531" t="n">
        <v>15.19</v>
      </c>
      <c r="G2531" t="n">
        <v>15.19</v>
      </c>
      <c r="H2531" t="b">
        <v>0</v>
      </c>
      <c r="I2531" t="n">
        <v>300</v>
      </c>
      <c r="J2531" t="n">
        <v>0.0506</v>
      </c>
      <c r="K2531" t="inlineStr">
        <is>
          <t>&gt; Perfumería &gt; Cuidado Capilar &gt; Acondicionador &gt;</t>
        </is>
      </c>
      <c r="L2531" t="inlineStr">
        <is>
          <t>acondicionador</t>
        </is>
      </c>
      <c r="M2531" t="inlineStr">
        <is>
          <t>profesional</t>
        </is>
      </c>
      <c r="N2531" t="inlineStr">
        <is>
          <t>general</t>
        </is>
      </c>
      <c r="O2531" t="inlineStr">
        <is>
          <t>https://www.jumbo.com.ar/crema-de-enjuague-elvive-9/p</t>
        </is>
      </c>
    </row>
    <row r="2532">
      <c r="A2532" s="2" t="inlineStr">
        <is>
          <t>Jumbo</t>
        </is>
      </c>
      <c r="B2532" s="2" t="n">
        <v>116340</v>
      </c>
      <c r="C2532" s="2" t="n">
        <v>115382</v>
      </c>
      <c r="D2532" s="2" t="inlineStr">
        <is>
          <t>Shampoo Elvive Cosmetico X 250 Ml</t>
        </is>
      </c>
      <c r="E2532" s="2" t="inlineStr">
        <is>
          <t>ELVIVE</t>
        </is>
      </c>
      <c r="F2532" s="2" t="n">
        <v>7.87</v>
      </c>
      <c r="G2532" s="2" t="n">
        <v>7.87</v>
      </c>
      <c r="H2532" s="2" t="b">
        <v>0</v>
      </c>
      <c r="I2532" s="2" t="n">
        <v>250</v>
      </c>
      <c r="J2532" s="2" t="n">
        <v>0.0315</v>
      </c>
      <c r="K2532" s="2" t="inlineStr">
        <is>
          <t>&gt; Perfumería &gt; Cuidado Capilar &gt; Shampoo &gt;</t>
        </is>
      </c>
      <c r="L2532" s="2" t="inlineStr">
        <is>
          <t>shampoo</t>
        </is>
      </c>
      <c r="M2532" s="2" t="inlineStr">
        <is>
          <t>profesional</t>
        </is>
      </c>
      <c r="N2532" s="2" t="inlineStr">
        <is>
          <t>general</t>
        </is>
      </c>
      <c r="O2532" s="2" t="inlineStr">
        <is>
          <t>https://www.jumbo.com.ar/shampoo-elvive-cosmetico-x-250-ml-3/p</t>
        </is>
      </c>
    </row>
    <row r="2533">
      <c r="A2533" t="inlineStr">
        <is>
          <t>Jumbo</t>
        </is>
      </c>
      <c r="B2533" t="n">
        <v>113281</v>
      </c>
      <c r="C2533" t="n">
        <v>112332</v>
      </c>
      <c r="D2533" t="inlineStr">
        <is>
          <t>Crema De Enjuague Elvive Pvc 200 Ml Solar</t>
        </is>
      </c>
      <c r="E2533" t="inlineStr">
        <is>
          <t>ELVIVE</t>
        </is>
      </c>
      <c r="F2533" t="n">
        <v>9.17</v>
      </c>
      <c r="G2533" t="n">
        <v>9.17</v>
      </c>
      <c r="H2533" t="b">
        <v>0</v>
      </c>
      <c r="I2533" t="n">
        <v>200</v>
      </c>
      <c r="J2533" t="n">
        <v>0.0459</v>
      </c>
      <c r="K2533" t="inlineStr">
        <is>
          <t>&gt; Perfumería &gt; Cuidado Capilar &gt; Acondicionador &gt;</t>
        </is>
      </c>
      <c r="L2533" t="inlineStr">
        <is>
          <t>acondicionador</t>
        </is>
      </c>
      <c r="M2533" t="inlineStr">
        <is>
          <t>profesional</t>
        </is>
      </c>
      <c r="N2533" t="inlineStr">
        <is>
          <t>general</t>
        </is>
      </c>
      <c r="O2533" t="inlineStr">
        <is>
          <t>https://www.jumbo.com.ar/crema-de-enjuague-elvive-pvc-200-ml-solar/p</t>
        </is>
      </c>
    </row>
    <row r="2534">
      <c r="A2534" s="2" t="inlineStr">
        <is>
          <t>Jumbo</t>
        </is>
      </c>
      <c r="B2534" s="2" t="n">
        <v>113275</v>
      </c>
      <c r="C2534" s="2" t="n">
        <v>112326</v>
      </c>
      <c r="D2534" s="2" t="inlineStr">
        <is>
          <t>Crema De Enjuague Elvive Pvc 200 Cc Colorvive</t>
        </is>
      </c>
      <c r="E2534" s="2" t="inlineStr">
        <is>
          <t>ELVIVE</t>
        </is>
      </c>
      <c r="F2534" s="2" t="n">
        <v>266.59</v>
      </c>
      <c r="G2534" s="2" t="n">
        <v>22032</v>
      </c>
      <c r="H2534" s="2" t="b">
        <v>0</v>
      </c>
      <c r="I2534" s="2" t="inlineStr"/>
      <c r="J2534" s="2" t="inlineStr"/>
      <c r="K2534" s="2" t="inlineStr">
        <is>
          <t>&gt; Perfumería &gt; Cuidado Capilar &gt; Acondicionador &gt;</t>
        </is>
      </c>
      <c r="L2534" s="2" t="inlineStr">
        <is>
          <t>acondicionador</t>
        </is>
      </c>
      <c r="M2534" s="2" t="inlineStr">
        <is>
          <t>profesional</t>
        </is>
      </c>
      <c r="N2534" s="2" t="inlineStr">
        <is>
          <t>tratado</t>
        </is>
      </c>
      <c r="O2534" s="2" t="inlineStr">
        <is>
          <t>https://www.jumbo.com.ar/crema-de-enjuague-elvive-pvc-200-cc-colorvive/p</t>
        </is>
      </c>
    </row>
    <row r="2535">
      <c r="A2535" t="inlineStr">
        <is>
          <t>Jumbo</t>
        </is>
      </c>
      <c r="B2535" t="n">
        <v>113268</v>
      </c>
      <c r="C2535" t="n">
        <v>112319</v>
      </c>
      <c r="D2535" t="inlineStr">
        <is>
          <t>Crema De Enjuague Elvive Pvc 200 Ml Hydra-curl</t>
        </is>
      </c>
      <c r="E2535" t="inlineStr">
        <is>
          <t>ELVIVE</t>
        </is>
      </c>
      <c r="F2535" t="n">
        <v>266.59</v>
      </c>
      <c r="G2535" t="n">
        <v>22032</v>
      </c>
      <c r="H2535" t="b">
        <v>0</v>
      </c>
      <c r="I2535" t="n">
        <v>200</v>
      </c>
      <c r="J2535" t="n">
        <v>1.3329</v>
      </c>
      <c r="K2535" t="inlineStr">
        <is>
          <t>&gt; Perfumería &gt; Cuidado Capilar &gt; Acondicionador &gt;</t>
        </is>
      </c>
      <c r="L2535" t="inlineStr">
        <is>
          <t>acondicionador</t>
        </is>
      </c>
      <c r="M2535" t="inlineStr">
        <is>
          <t>profesional</t>
        </is>
      </c>
      <c r="N2535" t="inlineStr">
        <is>
          <t>rizado</t>
        </is>
      </c>
      <c r="O2535" t="inlineStr">
        <is>
          <t>https://www.jumbo.com.ar/crema-de-enjuague-elvive-pvc-200-ml-hydra-curl/p</t>
        </is>
      </c>
    </row>
    <row r="2536">
      <c r="A2536" s="2" t="inlineStr">
        <is>
          <t>Jumbo</t>
        </is>
      </c>
      <c r="B2536" s="2" t="n">
        <v>113267</v>
      </c>
      <c r="C2536" s="2" t="n">
        <v>112318</v>
      </c>
      <c r="D2536" s="2" t="inlineStr">
        <is>
          <t>Crema De Enjuague Elvive Pvc 200 Ml Liss Intense</t>
        </is>
      </c>
      <c r="E2536" s="2" t="inlineStr">
        <is>
          <t>ELVIVE</t>
        </is>
      </c>
      <c r="F2536" s="2" t="n">
        <v>266.59</v>
      </c>
      <c r="G2536" s="2" t="n">
        <v>22032</v>
      </c>
      <c r="H2536" s="2" t="b">
        <v>0</v>
      </c>
      <c r="I2536" s="2" t="n">
        <v>200</v>
      </c>
      <c r="J2536" s="2" t="n">
        <v>1.3329</v>
      </c>
      <c r="K2536" s="2" t="inlineStr">
        <is>
          <t>&gt; Perfumería &gt; Cuidado Capilar &gt; Acondicionador &gt;</t>
        </is>
      </c>
      <c r="L2536" s="2" t="inlineStr">
        <is>
          <t>acondicionador</t>
        </is>
      </c>
      <c r="M2536" s="2" t="inlineStr">
        <is>
          <t>profesional</t>
        </is>
      </c>
      <c r="N2536" s="2" t="inlineStr">
        <is>
          <t>general</t>
        </is>
      </c>
      <c r="O2536" s="2" t="inlineStr">
        <is>
          <t>https://www.jumbo.com.ar/crema-de-enjuague-elvive-pvc-200-ml-liss-intense/p</t>
        </is>
      </c>
    </row>
    <row r="2537">
      <c r="A2537" t="inlineStr">
        <is>
          <t>Jumbo</t>
        </is>
      </c>
      <c r="B2537" t="n">
        <v>108107</v>
      </c>
      <c r="C2537" t="n">
        <v>105374</v>
      </c>
      <c r="D2537" t="inlineStr">
        <is>
          <t>Shampoo Elvive  Cosmetico X 2 Un Colorvive X 250ml. + Acond Elvive Colorvive X 200 Cc Pck 2 Un.</t>
        </is>
      </c>
      <c r="E2537" t="inlineStr">
        <is>
          <t>ELVIVE</t>
        </is>
      </c>
      <c r="F2537" t="n">
        <v>14.11</v>
      </c>
      <c r="G2537" t="n">
        <v>14.11</v>
      </c>
      <c r="H2537" t="b">
        <v>0</v>
      </c>
      <c r="I2537" t="n">
        <v>250</v>
      </c>
      <c r="J2537" t="n">
        <v>0.0564</v>
      </c>
      <c r="K2537" t="inlineStr">
        <is>
          <t>&gt; Perfumería &gt; Cuidado Capilar &gt; Shampoo &gt;</t>
        </is>
      </c>
      <c r="L2537" t="inlineStr">
        <is>
          <t>shampoo</t>
        </is>
      </c>
      <c r="M2537" t="inlineStr">
        <is>
          <t>profesional</t>
        </is>
      </c>
      <c r="N2537" t="inlineStr">
        <is>
          <t>tratado</t>
        </is>
      </c>
      <c r="O2537" t="inlineStr">
        <is>
          <t>https://www.jumbo.com.ar/shampoo-elvive-cosmetico-x-2-un-8/p</t>
        </is>
      </c>
    </row>
    <row r="2538">
      <c r="A2538" s="2" t="inlineStr">
        <is>
          <t>Jumbo</t>
        </is>
      </c>
      <c r="B2538" s="2" t="n">
        <v>105097</v>
      </c>
      <c r="C2538" s="2" t="n">
        <v>102386</v>
      </c>
      <c r="D2538" s="2" t="inlineStr">
        <is>
          <t>Crema De Enjuague Elvive Colorvive Pvc 400 Ml</t>
        </is>
      </c>
      <c r="E2538" s="2" t="inlineStr">
        <is>
          <t>ELVIVE</t>
        </is>
      </c>
      <c r="F2538" s="2" t="n">
        <v>91.65000000000001</v>
      </c>
      <c r="G2538" s="2" t="n">
        <v>7574</v>
      </c>
      <c r="H2538" s="2" t="b">
        <v>0</v>
      </c>
      <c r="I2538" s="2" t="n">
        <v>400</v>
      </c>
      <c r="J2538" s="2" t="n">
        <v>0.2291</v>
      </c>
      <c r="K2538" s="2" t="inlineStr">
        <is>
          <t>&gt; Perfumería &gt; Cuidado Capilar &gt; Acondicionador &gt;</t>
        </is>
      </c>
      <c r="L2538" s="2" t="inlineStr">
        <is>
          <t>acondicionador</t>
        </is>
      </c>
      <c r="M2538" s="2" t="inlineStr">
        <is>
          <t>profesional</t>
        </is>
      </c>
      <c r="N2538" s="2" t="inlineStr">
        <is>
          <t>tratado</t>
        </is>
      </c>
      <c r="O2538" s="2" t="inlineStr">
        <is>
          <t>https://www.jumbo.com.ar/crema-de-enjuague-elvive-colorvive-pvc-400-ml/p</t>
        </is>
      </c>
    </row>
    <row r="2539">
      <c r="A2539" t="inlineStr">
        <is>
          <t>Jumbo</t>
        </is>
      </c>
      <c r="B2539" t="n">
        <v>102377</v>
      </c>
      <c r="C2539" t="n">
        <v>99678</v>
      </c>
      <c r="D2539" t="inlineStr">
        <is>
          <t>Crema De Enjuague Elvive Pet X  200 Ml</t>
        </is>
      </c>
      <c r="E2539" t="inlineStr">
        <is>
          <t>ELVIVE</t>
        </is>
      </c>
      <c r="F2539" t="n">
        <v>192.77</v>
      </c>
      <c r="G2539" t="n">
        <v>192.77</v>
      </c>
      <c r="H2539" t="b">
        <v>0</v>
      </c>
      <c r="I2539" t="n">
        <v>200</v>
      </c>
      <c r="J2539" t="n">
        <v>0.9639</v>
      </c>
      <c r="K2539" t="inlineStr">
        <is>
          <t>&gt; Perfumería &gt; Cuidado Capilar &gt; Acondicionador &gt;</t>
        </is>
      </c>
      <c r="L2539" t="inlineStr">
        <is>
          <t>acondicionador</t>
        </is>
      </c>
      <c r="M2539" t="inlineStr">
        <is>
          <t>profesional</t>
        </is>
      </c>
      <c r="N2539" t="inlineStr">
        <is>
          <t>general</t>
        </is>
      </c>
      <c r="O2539" t="inlineStr">
        <is>
          <t>https://www.jumbo.com.ar/crema-de-enjuague-elvive-pet-x-200-ml/p</t>
        </is>
      </c>
    </row>
    <row r="2540">
      <c r="A2540" s="2" t="inlineStr">
        <is>
          <t>Jumbo</t>
        </is>
      </c>
      <c r="B2540" s="2" t="n">
        <v>102215</v>
      </c>
      <c r="C2540" s="2" t="n">
        <v>99519</v>
      </c>
      <c r="D2540" s="2" t="inlineStr">
        <is>
          <t>Crema De Enjuague Elvive Nutri - Gloss Pvc 400 Ml</t>
        </is>
      </c>
      <c r="E2540" s="2" t="inlineStr">
        <is>
          <t>ELVIVE</t>
        </is>
      </c>
      <c r="F2540" s="2" t="n">
        <v>91.65000000000001</v>
      </c>
      <c r="G2540" s="2" t="n">
        <v>7574</v>
      </c>
      <c r="H2540" s="2" t="b">
        <v>0</v>
      </c>
      <c r="I2540" s="2" t="n">
        <v>400</v>
      </c>
      <c r="J2540" s="2" t="n">
        <v>0.2291</v>
      </c>
      <c r="K2540" s="2" t="inlineStr">
        <is>
          <t>&gt; Perfumería &gt; Cuidado Capilar &gt; Acondicionador &gt;</t>
        </is>
      </c>
      <c r="L2540" s="2" t="inlineStr">
        <is>
          <t>acondicionador</t>
        </is>
      </c>
      <c r="M2540" s="2" t="inlineStr">
        <is>
          <t>profesional</t>
        </is>
      </c>
      <c r="N2540" s="2" t="inlineStr">
        <is>
          <t>general</t>
        </is>
      </c>
      <c r="O2540" s="2" t="inlineStr">
        <is>
          <t>https://www.jumbo.com.ar/crema-de-enjuague-elvive-nutri-gloss-pvc-400-ml/p</t>
        </is>
      </c>
    </row>
    <row r="2541">
      <c r="A2541" t="inlineStr">
        <is>
          <t>Jumbo</t>
        </is>
      </c>
      <c r="B2541" t="n">
        <v>102083</v>
      </c>
      <c r="C2541" t="n">
        <v>99390</v>
      </c>
      <c r="D2541" t="inlineStr">
        <is>
          <t>Shampoo Elvive Cosmetico Pet 250 Ml</t>
        </is>
      </c>
      <c r="E2541" t="inlineStr">
        <is>
          <t>ELVIVE</t>
        </is>
      </c>
      <c r="F2541" t="n">
        <v>8.15</v>
      </c>
      <c r="G2541" t="n">
        <v>8.15</v>
      </c>
      <c r="H2541" t="b">
        <v>0</v>
      </c>
      <c r="I2541" t="n">
        <v>250</v>
      </c>
      <c r="J2541" t="n">
        <v>0.0326</v>
      </c>
      <c r="K2541" t="inlineStr">
        <is>
          <t>&gt; Perfumería &gt; Cuidado Capilar &gt; Shampoo &gt;</t>
        </is>
      </c>
      <c r="L2541" t="inlineStr">
        <is>
          <t>shampoo</t>
        </is>
      </c>
      <c r="M2541" t="inlineStr">
        <is>
          <t>profesional</t>
        </is>
      </c>
      <c r="N2541" t="inlineStr">
        <is>
          <t>general</t>
        </is>
      </c>
      <c r="O2541" t="inlineStr">
        <is>
          <t>https://www.jumbo.com.ar/shampoo-elvive-cosmetico-pet-250-ml/p</t>
        </is>
      </c>
    </row>
    <row r="2542">
      <c r="A2542" s="2" t="inlineStr">
        <is>
          <t>Jumbo</t>
        </is>
      </c>
      <c r="B2542" s="2" t="n">
        <v>102074</v>
      </c>
      <c r="C2542" s="2" t="n">
        <v>99380</v>
      </c>
      <c r="D2542" s="2" t="inlineStr">
        <is>
          <t>Crema De Enjuague Elvive Nutri - Gloss  Pvc 200 Ml.</t>
        </is>
      </c>
      <c r="E2542" s="2" t="inlineStr">
        <is>
          <t>ELVIVE</t>
        </is>
      </c>
      <c r="F2542" s="2" t="n">
        <v>266.59</v>
      </c>
      <c r="G2542" s="2" t="n">
        <v>22032</v>
      </c>
      <c r="H2542" s="2" t="b">
        <v>0</v>
      </c>
      <c r="I2542" s="2" t="n">
        <v>200</v>
      </c>
      <c r="J2542" s="2" t="n">
        <v>1.3329</v>
      </c>
      <c r="K2542" s="2" t="inlineStr">
        <is>
          <t>&gt; Perfumería &gt; Cuidado Capilar &gt; Acondicionador &gt;</t>
        </is>
      </c>
      <c r="L2542" s="2" t="inlineStr">
        <is>
          <t>acondicionador</t>
        </is>
      </c>
      <c r="M2542" s="2" t="inlineStr">
        <is>
          <t>profesional</t>
        </is>
      </c>
      <c r="N2542" s="2" t="inlineStr">
        <is>
          <t>general</t>
        </is>
      </c>
      <c r="O2542" s="2" t="inlineStr">
        <is>
          <t>https://www.jumbo.com.ar/crema-de-enjuague-elvive-nutri-gloss-pvc-200-ml/p</t>
        </is>
      </c>
    </row>
    <row r="2543">
      <c r="A2543" t="inlineStr">
        <is>
          <t>Jumbo</t>
        </is>
      </c>
      <c r="B2543" t="n">
        <v>102039</v>
      </c>
      <c r="C2543" t="n">
        <v>99343</v>
      </c>
      <c r="D2543" t="inlineStr">
        <is>
          <t>Shampoo Elvive Cosmetico Nutri - Gloss Pvc 250 Ml</t>
        </is>
      </c>
      <c r="E2543" t="inlineStr">
        <is>
          <t>ELVIVE</t>
        </is>
      </c>
      <c r="F2543" t="n">
        <v>8.19</v>
      </c>
      <c r="G2543" t="n">
        <v>8.19</v>
      </c>
      <c r="H2543" t="b">
        <v>0</v>
      </c>
      <c r="I2543" t="n">
        <v>250</v>
      </c>
      <c r="J2543" t="n">
        <v>0.0328</v>
      </c>
      <c r="K2543" t="inlineStr">
        <is>
          <t>&gt; Perfumería &gt; Cuidado Capilar &gt; Shampoo &gt;</t>
        </is>
      </c>
      <c r="L2543" t="inlineStr">
        <is>
          <t>shampoo</t>
        </is>
      </c>
      <c r="M2543" t="inlineStr">
        <is>
          <t>profesional</t>
        </is>
      </c>
      <c r="N2543" t="inlineStr">
        <is>
          <t>general</t>
        </is>
      </c>
      <c r="O2543" t="inlineStr">
        <is>
          <t>https://www.jumbo.com.ar/shampoo-elvive-cosmetico-nutri-gloss-pvc-250-ml/p</t>
        </is>
      </c>
    </row>
    <row r="2544">
      <c r="A2544" s="2" t="inlineStr">
        <is>
          <t>Jumbo</t>
        </is>
      </c>
      <c r="B2544" s="2" t="n">
        <v>96979</v>
      </c>
      <c r="C2544" s="2" t="n">
        <v>94296</v>
      </c>
      <c r="D2544" s="2" t="inlineStr">
        <is>
          <t>Shampoo Elvive Set-colorvive-sh X 400 Ml+ Aco X 200ml-paq-un.-2</t>
        </is>
      </c>
      <c r="E2544" s="2" t="inlineStr">
        <is>
          <t>ELVIVE</t>
        </is>
      </c>
      <c r="F2544" s="2" t="n">
        <v>34.49</v>
      </c>
      <c r="G2544" s="2" t="n">
        <v>2850</v>
      </c>
      <c r="H2544" s="2" t="b">
        <v>0</v>
      </c>
      <c r="I2544" s="2" t="n">
        <v>400</v>
      </c>
      <c r="J2544" s="2" t="n">
        <v>0.0862</v>
      </c>
      <c r="K2544" s="2" t="inlineStr">
        <is>
          <t>&gt; Perfumería &gt; Cuidado Capilar &gt; Shampoo &gt;</t>
        </is>
      </c>
      <c r="L2544" s="2" t="inlineStr">
        <is>
          <t>shampoo</t>
        </is>
      </c>
      <c r="M2544" s="2" t="inlineStr">
        <is>
          <t>profesional</t>
        </is>
      </c>
      <c r="N2544" s="2" t="inlineStr">
        <is>
          <t>tratado</t>
        </is>
      </c>
      <c r="O2544" s="2" t="inlineStr">
        <is>
          <t>https://www.jumbo.com.ar/shampoo-elvive-set-colorvive-sh-x-400-ml-aco-x-200ml-paq-un-2/p</t>
        </is>
      </c>
    </row>
    <row r="2545">
      <c r="A2545" t="inlineStr">
        <is>
          <t>Jumbo</t>
        </is>
      </c>
      <c r="B2545" t="n">
        <v>96705</v>
      </c>
      <c r="C2545" t="n">
        <v>94021</v>
      </c>
      <c r="D2545" t="inlineStr">
        <is>
          <t>Shampoo Elvive Set-renutricion-sh X 400 Ml+ Aco X 200ml-paq-un.-2</t>
        </is>
      </c>
      <c r="E2545" t="inlineStr">
        <is>
          <t>ELVIVE</t>
        </is>
      </c>
      <c r="F2545" t="n">
        <v>34.49</v>
      </c>
      <c r="G2545" t="n">
        <v>2850</v>
      </c>
      <c r="H2545" t="b">
        <v>0</v>
      </c>
      <c r="I2545" t="n">
        <v>400</v>
      </c>
      <c r="J2545" t="n">
        <v>0.0862</v>
      </c>
      <c r="K2545" t="inlineStr">
        <is>
          <t>&gt; Perfumería &gt; Cuidado Capilar &gt; Shampoo &gt;</t>
        </is>
      </c>
      <c r="L2545" t="inlineStr">
        <is>
          <t>shampoo</t>
        </is>
      </c>
      <c r="M2545" t="inlineStr">
        <is>
          <t>profesional</t>
        </is>
      </c>
      <c r="N2545" t="inlineStr">
        <is>
          <t>general</t>
        </is>
      </c>
      <c r="O2545" t="inlineStr">
        <is>
          <t>https://www.jumbo.com.ar/shampoo-elvive-set-renutricion-sh-x-400-ml-aco-x-200ml-paq-un-2/p</t>
        </is>
      </c>
    </row>
    <row r="2546">
      <c r="A2546" s="2" t="inlineStr">
        <is>
          <t>Jumbo</t>
        </is>
      </c>
      <c r="B2546" s="2" t="n">
        <v>92085</v>
      </c>
      <c r="C2546" s="2" t="n">
        <v>89413</v>
      </c>
      <c r="D2546" s="2" t="inlineStr">
        <is>
          <t>Crema Capilar Elvive-renutricion-pvc-ml.-200</t>
        </is>
      </c>
      <c r="E2546" s="2" t="inlineStr">
        <is>
          <t>ELVIVE</t>
        </is>
      </c>
      <c r="F2546" s="2" t="n">
        <v>22.77</v>
      </c>
      <c r="G2546" s="2" t="n">
        <v>1882</v>
      </c>
      <c r="H2546" s="2" t="b">
        <v>0</v>
      </c>
      <c r="I2546" s="2" t="inlineStr"/>
      <c r="J2546" s="2" t="inlineStr"/>
      <c r="K2546" s="2" t="inlineStr">
        <is>
          <t>&gt; Perfumería &gt; Cuidado Capilar &gt; Reparación y Tratamientos &gt;</t>
        </is>
      </c>
      <c r="L2546" s="2" t="inlineStr">
        <is>
          <t>shampoo</t>
        </is>
      </c>
      <c r="M2546" s="2" t="inlineStr">
        <is>
          <t>profesional</t>
        </is>
      </c>
      <c r="N2546" s="2" t="inlineStr">
        <is>
          <t>general</t>
        </is>
      </c>
      <c r="O2546" s="2" t="inlineStr">
        <is>
          <t>https://www.jumbo.com.ar/crema-capilar-elvive-renutricion-pvc-ml-200/p</t>
        </is>
      </c>
    </row>
    <row r="2547">
      <c r="A2547" t="inlineStr">
        <is>
          <t>Jumbo</t>
        </is>
      </c>
      <c r="B2547" t="n">
        <v>91955</v>
      </c>
      <c r="C2547" t="n">
        <v>89283</v>
      </c>
      <c r="D2547" t="inlineStr">
        <is>
          <t>Crema Capilar Elvive-renutricion-pvc-ml.-250</t>
        </is>
      </c>
      <c r="E2547" t="inlineStr">
        <is>
          <t>ELVIVE</t>
        </is>
      </c>
      <c r="F2547" t="n">
        <v>20.93</v>
      </c>
      <c r="G2547" t="n">
        <v>1730</v>
      </c>
      <c r="H2547" t="b">
        <v>0</v>
      </c>
      <c r="I2547" t="inlineStr"/>
      <c r="J2547" t="inlineStr"/>
      <c r="K2547" t="inlineStr">
        <is>
          <t>&gt; Perfumería &gt; Cuidado Capilar &gt; Reparación y Tratamientos &gt;</t>
        </is>
      </c>
      <c r="L2547" t="inlineStr">
        <is>
          <t>shampoo</t>
        </is>
      </c>
      <c r="M2547" t="inlineStr">
        <is>
          <t>profesional</t>
        </is>
      </c>
      <c r="N2547" t="inlineStr">
        <is>
          <t>general</t>
        </is>
      </c>
      <c r="O2547" t="inlineStr">
        <is>
          <t>https://www.jumbo.com.ar/crema-capilar-elvive-renutricion-pvc-ml-250/p</t>
        </is>
      </c>
    </row>
    <row r="2548">
      <c r="A2548" s="2" t="inlineStr">
        <is>
          <t>Jumbo</t>
        </is>
      </c>
      <c r="B2548" s="2" t="n">
        <v>91950</v>
      </c>
      <c r="C2548" s="2" t="n">
        <v>89278</v>
      </c>
      <c r="D2548" s="2" t="inlineStr">
        <is>
          <t>Tratamiento Reconstituyente Elvive-renutricion-pvc-gr.-350</t>
        </is>
      </c>
      <c r="E2548" s="2" t="inlineStr">
        <is>
          <t>ELVIVE</t>
        </is>
      </c>
      <c r="F2548" s="2" t="n">
        <v>25.59</v>
      </c>
      <c r="G2548" s="2" t="n">
        <v>2115</v>
      </c>
      <c r="H2548" s="2" t="b">
        <v>0</v>
      </c>
      <c r="I2548" s="2" t="inlineStr"/>
      <c r="J2548" s="2" t="inlineStr"/>
      <c r="K2548" s="2" t="inlineStr">
        <is>
          <t>&gt; Perfumería &gt; Cuidado Capilar &gt; Reparación y Tratamientos &gt;</t>
        </is>
      </c>
      <c r="L2548" s="2" t="inlineStr">
        <is>
          <t>tratamiento</t>
        </is>
      </c>
      <c r="M2548" s="2" t="inlineStr">
        <is>
          <t>profesional</t>
        </is>
      </c>
      <c r="N2548" s="2" t="inlineStr">
        <is>
          <t>general</t>
        </is>
      </c>
      <c r="O2548" s="2" t="inlineStr">
        <is>
          <t>https://www.jumbo.com.ar/tratamiento-reconstituyente-elvive-renutricion-pvc-gr-350/p</t>
        </is>
      </c>
    </row>
    <row r="2549">
      <c r="A2549" t="inlineStr">
        <is>
          <t>Jumbo</t>
        </is>
      </c>
      <c r="B2549" t="n">
        <v>91935</v>
      </c>
      <c r="C2549" t="n">
        <v>89263</v>
      </c>
      <c r="D2549" t="inlineStr">
        <is>
          <t>Crema De Enjuague Elvive-renutricion-pvc-ml.-200</t>
        </is>
      </c>
      <c r="E2549" t="inlineStr">
        <is>
          <t>ELVIVE</t>
        </is>
      </c>
      <c r="F2549" t="n">
        <v>266.59</v>
      </c>
      <c r="G2549" t="n">
        <v>22032</v>
      </c>
      <c r="H2549" t="b">
        <v>0</v>
      </c>
      <c r="I2549" t="inlineStr"/>
      <c r="J2549" t="inlineStr"/>
      <c r="K2549" t="inlineStr">
        <is>
          <t>&gt; Perfumería &gt; Cuidado Capilar &gt; Acondicionador &gt;</t>
        </is>
      </c>
      <c r="L2549" t="inlineStr">
        <is>
          <t>acondicionador</t>
        </is>
      </c>
      <c r="M2549" t="inlineStr">
        <is>
          <t>profesional</t>
        </is>
      </c>
      <c r="N2549" t="inlineStr">
        <is>
          <t>general</t>
        </is>
      </c>
      <c r="O2549" t="inlineStr">
        <is>
          <t>https://www.jumbo.com.ar/crema-de-enjuague-elvive-renutricion-pvc-ml-200/p</t>
        </is>
      </c>
    </row>
    <row r="2550">
      <c r="A2550" s="2" t="inlineStr">
        <is>
          <t>Jumbo</t>
        </is>
      </c>
      <c r="B2550" s="2" t="n">
        <v>91924</v>
      </c>
      <c r="C2550" s="2" t="n">
        <v>89252</v>
      </c>
      <c r="D2550" s="2" t="inlineStr">
        <is>
          <t>Tratamiento Reconstituyente Elvive-renutricion-noche-pvc-ml.-150</t>
        </is>
      </c>
      <c r="E2550" s="2" t="inlineStr">
        <is>
          <t>ELVIVE</t>
        </is>
      </c>
      <c r="F2550" s="2" t="n">
        <v>22.47</v>
      </c>
      <c r="G2550" s="2" t="n">
        <v>1857</v>
      </c>
      <c r="H2550" s="2" t="b">
        <v>0</v>
      </c>
      <c r="I2550" s="2" t="inlineStr"/>
      <c r="J2550" s="2" t="inlineStr"/>
      <c r="K2550" s="2" t="inlineStr">
        <is>
          <t>&gt; Perfumería &gt; Cuidado Capilar &gt; Reparación y Tratamientos &gt;</t>
        </is>
      </c>
      <c r="L2550" s="2" t="inlineStr">
        <is>
          <t>tratamiento</t>
        </is>
      </c>
      <c r="M2550" s="2" t="inlineStr">
        <is>
          <t>profesional</t>
        </is>
      </c>
      <c r="N2550" s="2" t="inlineStr">
        <is>
          <t>general</t>
        </is>
      </c>
      <c r="O2550" s="2" t="inlineStr">
        <is>
          <t>https://www.jumbo.com.ar/tratamiento-reconstituyente-elvive-renutricion-noche-pvc-ml-150/p</t>
        </is>
      </c>
    </row>
    <row r="2551">
      <c r="A2551" t="inlineStr">
        <is>
          <t>Jumbo</t>
        </is>
      </c>
      <c r="B2551" t="n">
        <v>91799</v>
      </c>
      <c r="C2551" t="n">
        <v>89128</v>
      </c>
      <c r="D2551" t="inlineStr">
        <is>
          <t>Shampoo Elvive Set-sh 400 Ml + Acond 200 Ml + 1 Ampolla 15ml-rt5+-pck-un.-3</t>
        </is>
      </c>
      <c r="E2551" t="inlineStr">
        <is>
          <t>ELVIVE</t>
        </is>
      </c>
      <c r="F2551" t="n">
        <v>42.89</v>
      </c>
      <c r="G2551" t="n">
        <v>42.89</v>
      </c>
      <c r="H2551" t="b">
        <v>0</v>
      </c>
      <c r="I2551" t="n">
        <v>400</v>
      </c>
      <c r="J2551" t="n">
        <v>0.1072</v>
      </c>
      <c r="K2551" t="inlineStr">
        <is>
          <t>&gt; Perfumería &gt; Cuidado Capilar &gt; Shampoo &gt;</t>
        </is>
      </c>
      <c r="L2551" t="inlineStr">
        <is>
          <t>shampoo</t>
        </is>
      </c>
      <c r="M2551" t="inlineStr">
        <is>
          <t>profesional</t>
        </is>
      </c>
      <c r="N2551" t="inlineStr">
        <is>
          <t>general</t>
        </is>
      </c>
      <c r="O2551" t="inlineStr">
        <is>
          <t>https://www.jumbo.com.ar/shampoo-elvive-set-sh-400-ml-acond-200-ml-1-ampolla-15ml-rt5-pck-un-3/p</t>
        </is>
      </c>
    </row>
    <row r="2552">
      <c r="A2552" s="2" t="inlineStr">
        <is>
          <t>Jumbo</t>
        </is>
      </c>
      <c r="B2552" s="2" t="n">
        <v>82823</v>
      </c>
      <c r="C2552" s="2" t="n">
        <v>80158</v>
      </c>
      <c r="D2552" s="2" t="inlineStr">
        <is>
          <t>Crema Capilar Elvive-rizos-colageno-pvc-ml.-250</t>
        </is>
      </c>
      <c r="E2552" s="2" t="inlineStr">
        <is>
          <t>ELVIVE</t>
        </is>
      </c>
      <c r="F2552" s="2" t="n">
        <v>29.89</v>
      </c>
      <c r="G2552" s="2" t="n">
        <v>2470</v>
      </c>
      <c r="H2552" s="2" t="b">
        <v>0</v>
      </c>
      <c r="I2552" s="2" t="inlineStr"/>
      <c r="J2552" s="2" t="inlineStr"/>
      <c r="K2552" s="2" t="inlineStr">
        <is>
          <t>&gt; Perfumería &gt; Cuidado Capilar &gt; Reparación y Tratamientos &gt;</t>
        </is>
      </c>
      <c r="L2552" s="2" t="inlineStr">
        <is>
          <t>shampoo</t>
        </is>
      </c>
      <c r="M2552" s="2" t="inlineStr">
        <is>
          <t>profesional</t>
        </is>
      </c>
      <c r="N2552" s="2" t="inlineStr">
        <is>
          <t>rizado</t>
        </is>
      </c>
      <c r="O2552" s="2" t="inlineStr">
        <is>
          <t>https://www.jumbo.com.ar/crema-capilar-elvive-13/p</t>
        </is>
      </c>
    </row>
    <row r="2553">
      <c r="A2553" t="inlineStr">
        <is>
          <t>Jumbo</t>
        </is>
      </c>
      <c r="B2553" t="n">
        <v>82812</v>
      </c>
      <c r="C2553" t="n">
        <v>80147</v>
      </c>
      <c r="D2553" t="inlineStr">
        <is>
          <t>Tratamiento Reconstituyente Elvive-rizos-colageno-pvc-ml.-350</t>
        </is>
      </c>
      <c r="E2553" t="inlineStr">
        <is>
          <t>ELVIVE</t>
        </is>
      </c>
      <c r="F2553" t="n">
        <v>26.69</v>
      </c>
      <c r="G2553" t="n">
        <v>2206</v>
      </c>
      <c r="H2553" t="b">
        <v>0</v>
      </c>
      <c r="I2553" t="inlineStr"/>
      <c r="J2553" t="inlineStr"/>
      <c r="K2553" t="inlineStr">
        <is>
          <t>&gt; Perfumería &gt; Cuidado Capilar &gt; Reparación y Tratamientos &gt;</t>
        </is>
      </c>
      <c r="L2553" t="inlineStr">
        <is>
          <t>tratamiento</t>
        </is>
      </c>
      <c r="M2553" t="inlineStr">
        <is>
          <t>profesional</t>
        </is>
      </c>
      <c r="N2553" t="inlineStr">
        <is>
          <t>rizado</t>
        </is>
      </c>
      <c r="O2553" t="inlineStr">
        <is>
          <t>https://www.jumbo.com.ar/tratamiento-reconstituyente-elvive-8/p</t>
        </is>
      </c>
    </row>
    <row r="2554">
      <c r="A2554" s="2" t="inlineStr">
        <is>
          <t>Jumbo</t>
        </is>
      </c>
      <c r="B2554" s="2" t="n">
        <v>82795</v>
      </c>
      <c r="C2554" s="2" t="n">
        <v>80130</v>
      </c>
      <c r="D2554" s="2" t="inlineStr">
        <is>
          <t>Crema De Enjuague Elvive-colageno-pvc-ml.-400</t>
        </is>
      </c>
      <c r="E2554" s="2" t="inlineStr">
        <is>
          <t>ELVIVE</t>
        </is>
      </c>
      <c r="F2554" s="2" t="n">
        <v>91.65000000000001</v>
      </c>
      <c r="G2554" s="2" t="n">
        <v>7574</v>
      </c>
      <c r="H2554" s="2" t="b">
        <v>0</v>
      </c>
      <c r="I2554" s="2" t="inlineStr"/>
      <c r="J2554" s="2" t="inlineStr"/>
      <c r="K2554" s="2" t="inlineStr">
        <is>
          <t>&gt; Perfumería &gt; Cuidado Capilar &gt; Acondicionador &gt;</t>
        </is>
      </c>
      <c r="L2554" s="2" t="inlineStr">
        <is>
          <t>acondicionador</t>
        </is>
      </c>
      <c r="M2554" s="2" t="inlineStr">
        <is>
          <t>profesional</t>
        </is>
      </c>
      <c r="N2554" s="2" t="inlineStr">
        <is>
          <t>general</t>
        </is>
      </c>
      <c r="O2554" s="2" t="inlineStr">
        <is>
          <t>https://www.jumbo.com.ar/crema-de-enjuague-elvive-62/p</t>
        </is>
      </c>
    </row>
    <row r="2555">
      <c r="A2555" t="inlineStr">
        <is>
          <t>Jumbo</t>
        </is>
      </c>
      <c r="B2555" t="n">
        <v>82781</v>
      </c>
      <c r="C2555" t="n">
        <v>80116</v>
      </c>
      <c r="D2555" t="inlineStr">
        <is>
          <t>Crema De Enjuague Elvive-caida Resist.con Arginina-pvc-ml.-400</t>
        </is>
      </c>
      <c r="E2555" t="inlineStr">
        <is>
          <t>ELVIVE</t>
        </is>
      </c>
      <c r="F2555" t="n">
        <v>91.65000000000001</v>
      </c>
      <c r="G2555" t="n">
        <v>7574</v>
      </c>
      <c r="H2555" t="b">
        <v>0</v>
      </c>
      <c r="I2555" t="inlineStr"/>
      <c r="J2555" t="inlineStr"/>
      <c r="K2555" t="inlineStr">
        <is>
          <t>&gt; Perfumería &gt; Cuidado Capilar &gt; Acondicionador &gt;</t>
        </is>
      </c>
      <c r="L2555" t="inlineStr">
        <is>
          <t>acondicionador</t>
        </is>
      </c>
      <c r="M2555" t="inlineStr">
        <is>
          <t>profesional</t>
        </is>
      </c>
      <c r="N2555" t="inlineStr">
        <is>
          <t>general</t>
        </is>
      </c>
      <c r="O2555" t="inlineStr">
        <is>
          <t>https://www.jumbo.com.ar/crema-de-enjuague-elvive-61/p</t>
        </is>
      </c>
    </row>
    <row r="2556">
      <c r="A2556" s="2" t="inlineStr">
        <is>
          <t>Jumbo</t>
        </is>
      </c>
      <c r="B2556" s="2" t="n">
        <v>82755</v>
      </c>
      <c r="C2556" s="2" t="n">
        <v>80087</v>
      </c>
      <c r="D2556" s="2" t="inlineStr">
        <is>
          <t>Crema De Enjuague Elvive-intense-pvc-ml.-400</t>
        </is>
      </c>
      <c r="E2556" s="2" t="inlineStr">
        <is>
          <t>ELVIVE</t>
        </is>
      </c>
      <c r="F2556" s="2" t="n">
        <v>91.65000000000001</v>
      </c>
      <c r="G2556" s="2" t="n">
        <v>7574</v>
      </c>
      <c r="H2556" s="2" t="b">
        <v>0</v>
      </c>
      <c r="I2556" s="2" t="inlineStr"/>
      <c r="J2556" s="2" t="inlineStr"/>
      <c r="K2556" s="2" t="inlineStr">
        <is>
          <t>&gt; Perfumería &gt; Cuidado Capilar &gt; Acondicionador &gt;</t>
        </is>
      </c>
      <c r="L2556" s="2" t="inlineStr">
        <is>
          <t>acondicionador</t>
        </is>
      </c>
      <c r="M2556" s="2" t="inlineStr">
        <is>
          <t>profesional</t>
        </is>
      </c>
      <c r="N2556" s="2" t="inlineStr">
        <is>
          <t>general</t>
        </is>
      </c>
      <c r="O2556" s="2" t="inlineStr">
        <is>
          <t>https://www.jumbo.com.ar/crema-de-enjuague-elvive-60/p</t>
        </is>
      </c>
    </row>
    <row r="2557">
      <c r="A2557" t="inlineStr">
        <is>
          <t>Jumbo</t>
        </is>
      </c>
      <c r="B2557" t="n">
        <v>82738</v>
      </c>
      <c r="C2557" t="n">
        <v>80071</v>
      </c>
      <c r="D2557" t="inlineStr">
        <is>
          <t>Crema De Enjuague Elvive-caida Resist.con Arginina-pvc-ml.-750</t>
        </is>
      </c>
      <c r="E2557" t="inlineStr">
        <is>
          <t>ELVIVE</t>
        </is>
      </c>
      <c r="F2557" t="n">
        <v>146.95</v>
      </c>
      <c r="G2557" t="n">
        <v>12145</v>
      </c>
      <c r="H2557" t="b">
        <v>0</v>
      </c>
      <c r="I2557" t="inlineStr"/>
      <c r="J2557" t="inlineStr"/>
      <c r="K2557" t="inlineStr">
        <is>
          <t>&gt; Perfumería &gt; Cuidado Capilar &gt; Acondicionador &gt;</t>
        </is>
      </c>
      <c r="L2557" t="inlineStr">
        <is>
          <t>acondicionador</t>
        </is>
      </c>
      <c r="M2557" t="inlineStr">
        <is>
          <t>profesional</t>
        </is>
      </c>
      <c r="N2557" t="inlineStr">
        <is>
          <t>general</t>
        </is>
      </c>
      <c r="O2557" t="inlineStr">
        <is>
          <t>https://www.jumbo.com.ar/crema-de-enjuague-elvive-59/p</t>
        </is>
      </c>
    </row>
    <row r="2558">
      <c r="A2558" s="2" t="inlineStr">
        <is>
          <t>Jumbo</t>
        </is>
      </c>
      <c r="B2558" s="2" t="n">
        <v>81615</v>
      </c>
      <c r="C2558" s="2" t="n">
        <v>78949</v>
      </c>
      <c r="D2558" s="2" t="inlineStr">
        <is>
          <t>Shampoo Elvive Cosmetico Multivitaminas  250 Ml</t>
        </is>
      </c>
      <c r="E2558" s="2" t="inlineStr">
        <is>
          <t>ELVIVE</t>
        </is>
      </c>
      <c r="F2558" s="2" t="n">
        <v>10.99</v>
      </c>
      <c r="G2558" s="2" t="n">
        <v>10.99</v>
      </c>
      <c r="H2558" s="2" t="b">
        <v>0</v>
      </c>
      <c r="I2558" s="2" t="n">
        <v>250</v>
      </c>
      <c r="J2558" s="2" t="n">
        <v>0.044</v>
      </c>
      <c r="K2558" s="2" t="inlineStr">
        <is>
          <t>&gt; Perfumería &gt; Cuidado Capilar &gt; Shampoo &gt;</t>
        </is>
      </c>
      <c r="L2558" s="2" t="inlineStr">
        <is>
          <t>shampoo</t>
        </is>
      </c>
      <c r="M2558" s="2" t="inlineStr">
        <is>
          <t>profesional</t>
        </is>
      </c>
      <c r="N2558" s="2" t="inlineStr">
        <is>
          <t>general</t>
        </is>
      </c>
      <c r="O2558" s="2" t="inlineStr">
        <is>
          <t>https://www.jumbo.com.ar/shampoo-elvive-cosmetico-70/p</t>
        </is>
      </c>
    </row>
    <row r="2559">
      <c r="A2559" t="inlineStr">
        <is>
          <t>Jumbo</t>
        </is>
      </c>
      <c r="B2559" t="n">
        <v>77114</v>
      </c>
      <c r="C2559" t="n">
        <v>74242</v>
      </c>
      <c r="D2559" t="inlineStr">
        <is>
          <t>Shampoo Elvive Cosmetico X 2 Un</t>
        </is>
      </c>
      <c r="E2559" t="inlineStr">
        <is>
          <t>ELVIVE</t>
        </is>
      </c>
      <c r="F2559" t="n">
        <v>16.19</v>
      </c>
      <c r="G2559" t="n">
        <v>16.19</v>
      </c>
      <c r="H2559" t="b">
        <v>0</v>
      </c>
      <c r="I2559" t="inlineStr"/>
      <c r="J2559" t="inlineStr"/>
      <c r="K2559" t="inlineStr">
        <is>
          <t>&gt; Perfumería &gt; Cuidado Capilar &gt; Shampoo &gt;</t>
        </is>
      </c>
      <c r="L2559" t="inlineStr">
        <is>
          <t>shampoo</t>
        </is>
      </c>
      <c r="M2559" t="inlineStr">
        <is>
          <t>profesional</t>
        </is>
      </c>
      <c r="N2559" t="inlineStr">
        <is>
          <t>general</t>
        </is>
      </c>
      <c r="O2559" t="inlineStr">
        <is>
          <t>https://www.jumbo.com.ar/shampoo-elvive-cosmetico-x-2-un-7/p</t>
        </is>
      </c>
    </row>
    <row r="2560">
      <c r="A2560" s="2" t="inlineStr">
        <is>
          <t>Jumbo</t>
        </is>
      </c>
      <c r="B2560" s="2" t="n">
        <v>77081</v>
      </c>
      <c r="C2560" s="2" t="n">
        <v>74209</v>
      </c>
      <c r="D2560" s="2" t="inlineStr">
        <is>
          <t>Shampoo Elvive  Cosmetico X 2 Un</t>
        </is>
      </c>
      <c r="E2560" s="2" t="inlineStr">
        <is>
          <t>ELVIVE</t>
        </is>
      </c>
      <c r="F2560" s="2" t="n">
        <v>15.27</v>
      </c>
      <c r="G2560" s="2" t="n">
        <v>15.27</v>
      </c>
      <c r="H2560" s="2" t="b">
        <v>0</v>
      </c>
      <c r="I2560" s="2" t="inlineStr"/>
      <c r="J2560" s="2" t="inlineStr"/>
      <c r="K2560" s="2" t="inlineStr">
        <is>
          <t>&gt; Perfumería &gt; Cuidado Capilar &gt; Shampoo &gt;</t>
        </is>
      </c>
      <c r="L2560" s="2" t="inlineStr">
        <is>
          <t>shampoo</t>
        </is>
      </c>
      <c r="M2560" s="2" t="inlineStr">
        <is>
          <t>profesional</t>
        </is>
      </c>
      <c r="N2560" s="2" t="inlineStr">
        <is>
          <t>general</t>
        </is>
      </c>
      <c r="O2560" s="2" t="inlineStr">
        <is>
          <t>https://www.jumbo.com.ar/shampoo-elvive-cosmetico-x-2-un-3/p</t>
        </is>
      </c>
    </row>
    <row r="2561">
      <c r="A2561" t="inlineStr">
        <is>
          <t>Jumbo</t>
        </is>
      </c>
      <c r="B2561" t="n">
        <v>77063</v>
      </c>
      <c r="C2561" t="n">
        <v>74191</v>
      </c>
      <c r="D2561" t="inlineStr">
        <is>
          <t>Crema Capilar Elvive Nutri-gloss</t>
        </is>
      </c>
      <c r="E2561" t="inlineStr">
        <is>
          <t>ELVIVE</t>
        </is>
      </c>
      <c r="F2561" t="n">
        <v>19.77</v>
      </c>
      <c r="G2561" t="n">
        <v>1634</v>
      </c>
      <c r="H2561" t="b">
        <v>0</v>
      </c>
      <c r="I2561" t="inlineStr"/>
      <c r="J2561" t="inlineStr"/>
      <c r="K2561" t="inlineStr">
        <is>
          <t>&gt; Perfumería &gt; Cuidado Capilar &gt; Reparación y Tratamientos &gt;</t>
        </is>
      </c>
      <c r="L2561" t="inlineStr">
        <is>
          <t>shampoo</t>
        </is>
      </c>
      <c r="M2561" t="inlineStr">
        <is>
          <t>profesional</t>
        </is>
      </c>
      <c r="N2561" t="inlineStr">
        <is>
          <t>general</t>
        </is>
      </c>
      <c r="O2561" t="inlineStr">
        <is>
          <t>https://www.jumbo.com.ar/crema-capilar-elvive-3/p</t>
        </is>
      </c>
    </row>
    <row r="2562">
      <c r="A2562" s="2" t="inlineStr">
        <is>
          <t>Jumbo</t>
        </is>
      </c>
      <c r="B2562" s="2" t="n">
        <v>77038</v>
      </c>
      <c r="C2562" s="2" t="n">
        <v>74166</v>
      </c>
      <c r="D2562" s="2" t="inlineStr">
        <is>
          <t>Crema Capilar Elvive X 250 Ml Liss Intense  Pvc 250 Ml.</t>
        </is>
      </c>
      <c r="E2562" s="2" t="inlineStr">
        <is>
          <t>ELVIVE</t>
        </is>
      </c>
      <c r="F2562" s="2" t="n">
        <v>18.13</v>
      </c>
      <c r="G2562" s="2" t="n">
        <v>1498</v>
      </c>
      <c r="H2562" s="2" t="b">
        <v>0</v>
      </c>
      <c r="I2562" s="2" t="n">
        <v>250</v>
      </c>
      <c r="J2562" s="2" t="n">
        <v>0.0725</v>
      </c>
      <c r="K2562" s="2" t="inlineStr">
        <is>
          <t>&gt; Perfumería &gt; Cuidado Capilar &gt; Reparación y Tratamientos &gt;</t>
        </is>
      </c>
      <c r="L2562" s="2" t="inlineStr">
        <is>
          <t>shampoo</t>
        </is>
      </c>
      <c r="M2562" s="2" t="inlineStr">
        <is>
          <t>profesional</t>
        </is>
      </c>
      <c r="N2562" s="2" t="inlineStr">
        <is>
          <t>general</t>
        </is>
      </c>
      <c r="O2562" s="2" t="inlineStr">
        <is>
          <t>https://www.jumbo.com.ar/crema-capilar-elvive/p</t>
        </is>
      </c>
    </row>
    <row r="2563">
      <c r="A2563" t="inlineStr">
        <is>
          <t>Jumbo</t>
        </is>
      </c>
      <c r="B2563" t="n">
        <v>77032</v>
      </c>
      <c r="C2563" t="n">
        <v>74160</v>
      </c>
      <c r="D2563" t="inlineStr">
        <is>
          <t>Crema Capilar Elvive X 250 Ml Crema Capilar Elvive Solar</t>
        </is>
      </c>
      <c r="E2563" t="inlineStr">
        <is>
          <t>ELVIVE</t>
        </is>
      </c>
      <c r="F2563" t="n">
        <v>11.93</v>
      </c>
      <c r="G2563" t="n">
        <v>986</v>
      </c>
      <c r="H2563" t="b">
        <v>0</v>
      </c>
      <c r="I2563" t="n">
        <v>250</v>
      </c>
      <c r="J2563" t="n">
        <v>0.0477</v>
      </c>
      <c r="K2563" t="inlineStr">
        <is>
          <t>&gt; Perfumería &gt; Cuidado Capilar &gt; Reparación y Tratamientos &gt;</t>
        </is>
      </c>
      <c r="L2563" t="inlineStr">
        <is>
          <t>shampoo</t>
        </is>
      </c>
      <c r="M2563" t="inlineStr">
        <is>
          <t>profesional</t>
        </is>
      </c>
      <c r="N2563" t="inlineStr">
        <is>
          <t>general</t>
        </is>
      </c>
      <c r="O2563" t="inlineStr">
        <is>
          <t>https://www.jumbo.com.ar/crema-capilar-elvive-x-250-ml-2/p</t>
        </is>
      </c>
    </row>
    <row r="2564">
      <c r="A2564" s="2" t="inlineStr">
        <is>
          <t>Jumbo</t>
        </is>
      </c>
      <c r="B2564" s="2" t="n">
        <v>77030</v>
      </c>
      <c r="C2564" s="2" t="n">
        <v>74158</v>
      </c>
      <c r="D2564" s="2" t="inlineStr">
        <is>
          <t>Crema Capilar Elvive X 250 Ml Nutri-repair  Pvc 250 Ml.</t>
        </is>
      </c>
      <c r="E2564" s="2" t="inlineStr">
        <is>
          <t>ELVIVE</t>
        </is>
      </c>
      <c r="F2564" s="2" t="n">
        <v>9.800000000000001</v>
      </c>
      <c r="G2564" s="2" t="n">
        <v>9.800000000000001</v>
      </c>
      <c r="H2564" s="2" t="b">
        <v>0</v>
      </c>
      <c r="I2564" s="2" t="n">
        <v>250</v>
      </c>
      <c r="J2564" s="2" t="n">
        <v>0.0392</v>
      </c>
      <c r="K2564" s="2" t="inlineStr">
        <is>
          <t>&gt; Perfumería &gt; Cuidado Capilar &gt; Reparación y Tratamientos &gt;</t>
        </is>
      </c>
      <c r="L2564" s="2" t="inlineStr">
        <is>
          <t>shampoo</t>
        </is>
      </c>
      <c r="M2564" s="2" t="inlineStr">
        <is>
          <t>profesional</t>
        </is>
      </c>
      <c r="N2564" s="2" t="inlineStr">
        <is>
          <t>general</t>
        </is>
      </c>
      <c r="O2564" s="2" t="inlineStr">
        <is>
          <t>https://www.jumbo.com.ar/crema-capilar-elvive-x-250-ml/p</t>
        </is>
      </c>
    </row>
    <row r="2565">
      <c r="A2565" t="inlineStr">
        <is>
          <t>Jumbo</t>
        </is>
      </c>
      <c r="B2565" t="n">
        <v>77029</v>
      </c>
      <c r="C2565" t="n">
        <v>74157</v>
      </c>
      <c r="D2565" t="inlineStr">
        <is>
          <t>Crema Capilar Elvive X 250 Ml</t>
        </is>
      </c>
      <c r="E2565" t="inlineStr">
        <is>
          <t>ELVIVE</t>
        </is>
      </c>
      <c r="F2565" t="n">
        <v>20.05</v>
      </c>
      <c r="G2565" t="n">
        <v>20.05</v>
      </c>
      <c r="H2565" t="b">
        <v>0</v>
      </c>
      <c r="I2565" t="n">
        <v>250</v>
      </c>
      <c r="J2565" t="n">
        <v>0.08019999999999999</v>
      </c>
      <c r="K2565" t="inlineStr">
        <is>
          <t>&gt; Perfumería &gt; Cuidado Capilar &gt; Reparación y Tratamientos &gt;</t>
        </is>
      </c>
      <c r="L2565" t="inlineStr">
        <is>
          <t>shampoo</t>
        </is>
      </c>
      <c r="M2565" t="inlineStr">
        <is>
          <t>profesional</t>
        </is>
      </c>
      <c r="N2565" t="inlineStr">
        <is>
          <t>general</t>
        </is>
      </c>
      <c r="O2565" t="inlineStr">
        <is>
          <t>https://www.jumbo.com.ar/crema-capilar-elvive-4/p</t>
        </is>
      </c>
    </row>
    <row r="2566">
      <c r="A2566" s="2" t="inlineStr">
        <is>
          <t>Jumbo</t>
        </is>
      </c>
      <c r="B2566" s="2" t="n">
        <v>76449</v>
      </c>
      <c r="C2566" s="2" t="n">
        <v>73579</v>
      </c>
      <c r="D2566" s="2" t="inlineStr">
        <is>
          <t>Crema De Enjuague Elvive X 3 Un</t>
        </is>
      </c>
      <c r="E2566" s="2" t="inlineStr">
        <is>
          <t>ELVIVE</t>
        </is>
      </c>
      <c r="F2566" s="2" t="n">
        <v>1.49</v>
      </c>
      <c r="G2566" s="2" t="n">
        <v>1.49</v>
      </c>
      <c r="H2566" s="2" t="b">
        <v>0</v>
      </c>
      <c r="I2566" s="2" t="inlineStr"/>
      <c r="J2566" s="2" t="inlineStr"/>
      <c r="K2566" s="2" t="inlineStr">
        <is>
          <t>&gt; Perfumería &gt; Cuidado Capilar &gt; Acondicionador &gt;</t>
        </is>
      </c>
      <c r="L2566" s="2" t="inlineStr">
        <is>
          <t>acondicionador</t>
        </is>
      </c>
      <c r="M2566" s="2" t="inlineStr">
        <is>
          <t>profesional</t>
        </is>
      </c>
      <c r="N2566" s="2" t="inlineStr">
        <is>
          <t>general</t>
        </is>
      </c>
      <c r="O2566" s="2" t="inlineStr">
        <is>
          <t>https://www.jumbo.com.ar/crema-de-enjuague-elvive-x-3-un/p</t>
        </is>
      </c>
    </row>
    <row r="2567">
      <c r="A2567" t="inlineStr">
        <is>
          <t>Jumbo</t>
        </is>
      </c>
      <c r="B2567" t="n">
        <v>72462</v>
      </c>
      <c r="C2567" t="n">
        <v>69598</v>
      </c>
      <c r="D2567" t="inlineStr">
        <is>
          <t>Shampoo Elvive Cosmetico X 2 Un</t>
        </is>
      </c>
      <c r="E2567" t="inlineStr">
        <is>
          <t>ELVIVE</t>
        </is>
      </c>
      <c r="F2567" t="n">
        <v>16.32</v>
      </c>
      <c r="G2567" t="n">
        <v>16.32</v>
      </c>
      <c r="H2567" t="b">
        <v>0</v>
      </c>
      <c r="I2567" t="inlineStr"/>
      <c r="J2567" t="inlineStr"/>
      <c r="K2567" t="inlineStr">
        <is>
          <t>&gt; Perfumería &gt; Cuidado Capilar &gt; Shampoo &gt;</t>
        </is>
      </c>
      <c r="L2567" t="inlineStr">
        <is>
          <t>shampoo</t>
        </is>
      </c>
      <c r="M2567" t="inlineStr">
        <is>
          <t>profesional</t>
        </is>
      </c>
      <c r="N2567" t="inlineStr">
        <is>
          <t>general</t>
        </is>
      </c>
      <c r="O2567" t="inlineStr">
        <is>
          <t>https://www.jumbo.com.ar/shampoo-elvive-cosmetico-x-2-un-2/p</t>
        </is>
      </c>
    </row>
    <row r="2568">
      <c r="A2568" s="2" t="inlineStr">
        <is>
          <t>Jumbo</t>
        </is>
      </c>
      <c r="B2568" s="2" t="n">
        <v>70854</v>
      </c>
      <c r="C2568" s="2" t="n">
        <v>67987</v>
      </c>
      <c r="D2568" s="2" t="inlineStr">
        <is>
          <t>Shampoo Elvive Cosmetico X 250 Ml</t>
        </is>
      </c>
      <c r="E2568" s="2" t="inlineStr">
        <is>
          <t>ELVIVE</t>
        </is>
      </c>
      <c r="F2568" s="2" t="n">
        <v>9.17</v>
      </c>
      <c r="G2568" s="2" t="n">
        <v>9.17</v>
      </c>
      <c r="H2568" s="2" t="b">
        <v>0</v>
      </c>
      <c r="I2568" s="2" t="n">
        <v>250</v>
      </c>
      <c r="J2568" s="2" t="n">
        <v>0.0367</v>
      </c>
      <c r="K2568" s="2" t="inlineStr">
        <is>
          <t>&gt; Perfumería &gt; Cuidado Capilar &gt; Shampoo &gt;</t>
        </is>
      </c>
      <c r="L2568" s="2" t="inlineStr">
        <is>
          <t>shampoo</t>
        </is>
      </c>
      <c r="M2568" s="2" t="inlineStr">
        <is>
          <t>profesional</t>
        </is>
      </c>
      <c r="N2568" s="2" t="inlineStr">
        <is>
          <t>general</t>
        </is>
      </c>
      <c r="O2568" s="2" t="inlineStr">
        <is>
          <t>https://www.jumbo.com.ar/shampoo-elvive-cosmetico-x-250-ml-2/p</t>
        </is>
      </c>
    </row>
    <row r="2569">
      <c r="A2569" t="inlineStr">
        <is>
          <t>Jumbo</t>
        </is>
      </c>
      <c r="B2569" t="n">
        <v>70822</v>
      </c>
      <c r="C2569" t="n">
        <v>67956</v>
      </c>
      <c r="D2569" t="inlineStr">
        <is>
          <t>Crema De Enjuague Elvive X 300 Ml</t>
        </is>
      </c>
      <c r="E2569" t="inlineStr">
        <is>
          <t>ELVIVE</t>
        </is>
      </c>
      <c r="F2569" t="n">
        <v>10.35</v>
      </c>
      <c r="G2569" t="n">
        <v>10.35</v>
      </c>
      <c r="H2569" t="b">
        <v>0</v>
      </c>
      <c r="I2569" t="n">
        <v>300</v>
      </c>
      <c r="J2569" t="n">
        <v>0.0345</v>
      </c>
      <c r="K2569" t="inlineStr">
        <is>
          <t>&gt; Perfumería &gt; Cuidado Capilar &gt; Acondicionador &gt;</t>
        </is>
      </c>
      <c r="L2569" t="inlineStr">
        <is>
          <t>acondicionador</t>
        </is>
      </c>
      <c r="M2569" t="inlineStr">
        <is>
          <t>profesional</t>
        </is>
      </c>
      <c r="N2569" t="inlineStr">
        <is>
          <t>general</t>
        </is>
      </c>
      <c r="O2569" t="inlineStr">
        <is>
          <t>https://www.jumbo.com.ar/crema-de-enjuague-elvive-x-300-ml-3/p</t>
        </is>
      </c>
    </row>
    <row r="2570">
      <c r="A2570" s="2" t="inlineStr">
        <is>
          <t>Jumbo</t>
        </is>
      </c>
      <c r="B2570" s="2" t="n">
        <v>69844</v>
      </c>
      <c r="C2570" s="2" t="n">
        <v>66981</v>
      </c>
      <c r="D2570" s="2" t="inlineStr">
        <is>
          <t>Tratamiento Reconstituyente Elvive</t>
        </is>
      </c>
      <c r="E2570" s="2" t="inlineStr">
        <is>
          <t>ELVIVE</t>
        </is>
      </c>
      <c r="F2570" s="2" t="n">
        <v>25.47</v>
      </c>
      <c r="G2570" s="2" t="n">
        <v>25.47</v>
      </c>
      <c r="H2570" s="2" t="b">
        <v>0</v>
      </c>
      <c r="I2570" s="2" t="inlineStr"/>
      <c r="J2570" s="2" t="inlineStr"/>
      <c r="K2570" s="2" t="inlineStr">
        <is>
          <t>&gt; Perfumería &gt; Cuidado Capilar &gt; Reparación y Tratamientos &gt;</t>
        </is>
      </c>
      <c r="L2570" s="2" t="inlineStr">
        <is>
          <t>tratamiento</t>
        </is>
      </c>
      <c r="M2570" s="2" t="inlineStr">
        <is>
          <t>profesional</t>
        </is>
      </c>
      <c r="N2570" s="2" t="inlineStr">
        <is>
          <t>general</t>
        </is>
      </c>
      <c r="O2570" s="2" t="inlineStr">
        <is>
          <t>https://www.jumbo.com.ar/tratamiento-reconstituyente-elvive-4/p</t>
        </is>
      </c>
    </row>
    <row r="2571">
      <c r="A2571" t="inlineStr">
        <is>
          <t>Jumbo</t>
        </is>
      </c>
      <c r="B2571" t="n">
        <v>68545</v>
      </c>
      <c r="C2571" t="n">
        <v>65684</v>
      </c>
      <c r="D2571" t="inlineStr">
        <is>
          <t>Crema Capilar Elvive Volumen Control  Pvc 250 Ml.</t>
        </is>
      </c>
      <c r="E2571" t="inlineStr">
        <is>
          <t>ELVIVE</t>
        </is>
      </c>
      <c r="F2571" t="n">
        <v>18.13</v>
      </c>
      <c r="G2571" t="n">
        <v>1498</v>
      </c>
      <c r="H2571" t="b">
        <v>0</v>
      </c>
      <c r="I2571" t="n">
        <v>250</v>
      </c>
      <c r="J2571" t="n">
        <v>0.0725</v>
      </c>
      <c r="K2571" t="inlineStr">
        <is>
          <t>&gt; Perfumería &gt; Cuidado Capilar &gt; Reparación y Tratamientos &gt;</t>
        </is>
      </c>
      <c r="L2571" t="inlineStr">
        <is>
          <t>shampoo</t>
        </is>
      </c>
      <c r="M2571" t="inlineStr">
        <is>
          <t>profesional</t>
        </is>
      </c>
      <c r="N2571" t="inlineStr">
        <is>
          <t>general</t>
        </is>
      </c>
      <c r="O2571" t="inlineStr">
        <is>
          <t>https://www.jumbo.com.ar/crema-capilar-elvive-7/p</t>
        </is>
      </c>
    </row>
    <row r="2572">
      <c r="A2572" s="2" t="inlineStr">
        <is>
          <t>Jumbo</t>
        </is>
      </c>
      <c r="B2572" s="2" t="n">
        <v>68539</v>
      </c>
      <c r="C2572" s="2" t="n">
        <v>65678</v>
      </c>
      <c r="D2572" s="2" t="inlineStr">
        <is>
          <t>Crema De Enjuague Elvive Volumen Control  Pvc 200 Ml.</t>
        </is>
      </c>
      <c r="E2572" s="2" t="inlineStr">
        <is>
          <t>ELVIVE</t>
        </is>
      </c>
      <c r="F2572" s="2" t="n">
        <v>266.59</v>
      </c>
      <c r="G2572" s="2" t="n">
        <v>22032</v>
      </c>
      <c r="H2572" s="2" t="b">
        <v>0</v>
      </c>
      <c r="I2572" s="2" t="n">
        <v>200</v>
      </c>
      <c r="J2572" s="2" t="n">
        <v>1.3329</v>
      </c>
      <c r="K2572" s="2" t="inlineStr">
        <is>
          <t>&gt; Perfumería &gt; Cuidado Capilar &gt; Acondicionador &gt;</t>
        </is>
      </c>
      <c r="L2572" s="2" t="inlineStr">
        <is>
          <t>acondicionador</t>
        </is>
      </c>
      <c r="M2572" s="2" t="inlineStr">
        <is>
          <t>profesional</t>
        </is>
      </c>
      <c r="N2572" s="2" t="inlineStr">
        <is>
          <t>general</t>
        </is>
      </c>
      <c r="O2572" s="2" t="inlineStr">
        <is>
          <t>https://www.jumbo.com.ar/crema-de-enjuague-elvive-11/p</t>
        </is>
      </c>
    </row>
    <row r="2573">
      <c r="A2573" t="inlineStr">
        <is>
          <t>Jumbo</t>
        </is>
      </c>
      <c r="B2573" t="n">
        <v>68533</v>
      </c>
      <c r="C2573" t="n">
        <v>65672</v>
      </c>
      <c r="D2573" t="inlineStr">
        <is>
          <t>Crema De Enjuague Elvive</t>
        </is>
      </c>
      <c r="E2573" t="inlineStr">
        <is>
          <t>ELVIVE</t>
        </is>
      </c>
      <c r="F2573" t="n">
        <v>91.65000000000001</v>
      </c>
      <c r="G2573" t="n">
        <v>7574</v>
      </c>
      <c r="H2573" t="b">
        <v>0</v>
      </c>
      <c r="I2573" t="inlineStr"/>
      <c r="J2573" t="inlineStr"/>
      <c r="K2573" t="inlineStr">
        <is>
          <t>&gt; Perfumería &gt; Cuidado Capilar &gt; Acondicionador &gt;</t>
        </is>
      </c>
      <c r="L2573" t="inlineStr">
        <is>
          <t>acondicionador</t>
        </is>
      </c>
      <c r="M2573" t="inlineStr">
        <is>
          <t>profesional</t>
        </is>
      </c>
      <c r="N2573" t="inlineStr">
        <is>
          <t>general</t>
        </is>
      </c>
      <c r="O2573" t="inlineStr">
        <is>
          <t>https://www.jumbo.com.ar/crema-de-enjuague-elvive-4/p</t>
        </is>
      </c>
    </row>
    <row r="2574">
      <c r="A2574" s="2" t="inlineStr">
        <is>
          <t>Jumbo</t>
        </is>
      </c>
      <c r="B2574" s="2" t="n">
        <v>68501</v>
      </c>
      <c r="C2574" s="2" t="n">
        <v>65640</v>
      </c>
      <c r="D2574" s="2" t="inlineStr">
        <is>
          <t>Tratamiento Reconstituyente Elvive</t>
        </is>
      </c>
      <c r="E2574" s="2" t="inlineStr">
        <is>
          <t>ELVIVE</t>
        </is>
      </c>
      <c r="F2574" s="2" t="n">
        <v>26.69</v>
      </c>
      <c r="G2574" s="2" t="n">
        <v>2206</v>
      </c>
      <c r="H2574" s="2" t="b">
        <v>0</v>
      </c>
      <c r="I2574" s="2" t="inlineStr"/>
      <c r="J2574" s="2" t="inlineStr"/>
      <c r="K2574" s="2" t="inlineStr">
        <is>
          <t>&gt; Perfumería &gt; Cuidado Capilar &gt; Reparación y Tratamientos &gt;</t>
        </is>
      </c>
      <c r="L2574" s="2" t="inlineStr">
        <is>
          <t>tratamiento</t>
        </is>
      </c>
      <c r="M2574" s="2" t="inlineStr">
        <is>
          <t>profesional</t>
        </is>
      </c>
      <c r="N2574" s="2" t="inlineStr">
        <is>
          <t>general</t>
        </is>
      </c>
      <c r="O2574" s="2" t="inlineStr">
        <is>
          <t>https://www.jumbo.com.ar/tratamiento-reconstituyente-elvive-3/p</t>
        </is>
      </c>
    </row>
    <row r="2575">
      <c r="A2575" t="inlineStr">
        <is>
          <t>Jumbo</t>
        </is>
      </c>
      <c r="B2575" t="n">
        <v>67977</v>
      </c>
      <c r="C2575" t="n">
        <v>65115</v>
      </c>
      <c r="D2575" t="inlineStr">
        <is>
          <t>Shampoo Elvive 2 En 1 Vitamax X 400 Ml</t>
        </is>
      </c>
      <c r="E2575" t="inlineStr">
        <is>
          <t>ELVIVE</t>
        </is>
      </c>
      <c r="F2575" t="n">
        <v>91.65000000000001</v>
      </c>
      <c r="G2575" t="n">
        <v>7574</v>
      </c>
      <c r="H2575" t="b">
        <v>0</v>
      </c>
      <c r="I2575" t="n">
        <v>400</v>
      </c>
      <c r="J2575" t="n">
        <v>0.2291</v>
      </c>
      <c r="K2575" t="inlineStr">
        <is>
          <t>&gt; Perfumería &gt; Cuidado Capilar &gt; Shampoo &gt;</t>
        </is>
      </c>
      <c r="L2575" t="inlineStr">
        <is>
          <t>shampoo</t>
        </is>
      </c>
      <c r="M2575" t="inlineStr">
        <is>
          <t>profesional</t>
        </is>
      </c>
      <c r="N2575" t="inlineStr">
        <is>
          <t>general</t>
        </is>
      </c>
      <c r="O2575" t="inlineStr">
        <is>
          <t>https://www.jumbo.com.ar/shampoo-elvive-2-en-1-vitamax-x-400-ml/p</t>
        </is>
      </c>
    </row>
    <row r="2576">
      <c r="A2576" s="2" t="inlineStr">
        <is>
          <t>Jumbo</t>
        </is>
      </c>
      <c r="B2576" s="2" t="n">
        <v>62527</v>
      </c>
      <c r="C2576" s="2" t="n">
        <v>59676</v>
      </c>
      <c r="D2576" s="2" t="inlineStr">
        <is>
          <t>Crema De Enjuague Elvive Pvc 300 Ml Hydra-curl .</t>
        </is>
      </c>
      <c r="E2576" s="2" t="inlineStr">
        <is>
          <t>ELVIVE</t>
        </is>
      </c>
      <c r="F2576" s="2" t="n">
        <v>14.67</v>
      </c>
      <c r="G2576" s="2" t="n">
        <v>1212</v>
      </c>
      <c r="H2576" s="2" t="b">
        <v>0</v>
      </c>
      <c r="I2576" s="2" t="n">
        <v>300</v>
      </c>
      <c r="J2576" s="2" t="n">
        <v>0.0489</v>
      </c>
      <c r="K2576" s="2" t="inlineStr">
        <is>
          <t>&gt; Perfumería &gt; Cuidado Capilar &gt; Acondicionador &gt;</t>
        </is>
      </c>
      <c r="L2576" s="2" t="inlineStr">
        <is>
          <t>acondicionador</t>
        </is>
      </c>
      <c r="M2576" s="2" t="inlineStr">
        <is>
          <t>profesional</t>
        </is>
      </c>
      <c r="N2576" s="2" t="inlineStr">
        <is>
          <t>rizado</t>
        </is>
      </c>
      <c r="O2576" s="2" t="inlineStr">
        <is>
          <t>https://www.jumbo.com.ar/crema-de-enjuague-elvive-pvc-300-ml-hydra-curl/p</t>
        </is>
      </c>
    </row>
    <row r="2577">
      <c r="A2577" t="inlineStr">
        <is>
          <t>Jumbo</t>
        </is>
      </c>
      <c r="B2577" t="n">
        <v>62513</v>
      </c>
      <c r="C2577" t="n">
        <v>59662</v>
      </c>
      <c r="D2577" t="inlineStr">
        <is>
          <t>Shampoo Elvive Cosmetico Hydra Curl Pvc 350 Ml</t>
        </is>
      </c>
      <c r="E2577" t="inlineStr">
        <is>
          <t>ELVIVE</t>
        </is>
      </c>
      <c r="F2577" t="n">
        <v>12.65</v>
      </c>
      <c r="G2577" t="n">
        <v>12.65</v>
      </c>
      <c r="H2577" t="b">
        <v>0</v>
      </c>
      <c r="I2577" t="n">
        <v>350</v>
      </c>
      <c r="J2577" t="n">
        <v>0.0361</v>
      </c>
      <c r="K2577" t="inlineStr">
        <is>
          <t>&gt; Perfumería &gt; Cuidado Capilar &gt; Shampoo &gt;</t>
        </is>
      </c>
      <c r="L2577" t="inlineStr">
        <is>
          <t>shampoo</t>
        </is>
      </c>
      <c r="M2577" t="inlineStr">
        <is>
          <t>profesional</t>
        </is>
      </c>
      <c r="N2577" t="inlineStr">
        <is>
          <t>rizado</t>
        </is>
      </c>
      <c r="O2577" t="inlineStr">
        <is>
          <t>https://www.jumbo.com.ar/shampoo-elvive-cosmetico-hydra-curl-pvc-350-ml/p</t>
        </is>
      </c>
    </row>
    <row r="2578">
      <c r="A2578" s="2" t="inlineStr">
        <is>
          <t>Jumbo</t>
        </is>
      </c>
      <c r="B2578" s="2" t="n">
        <v>60065</v>
      </c>
      <c r="C2578" s="2" t="n">
        <v>57213</v>
      </c>
      <c r="D2578" s="2" t="inlineStr">
        <is>
          <t>Shampoo Elvive Cosmetico Colorvive Nueva Presentacion Pvc 250 Ml</t>
        </is>
      </c>
      <c r="E2578" s="2" t="inlineStr">
        <is>
          <t>ELVIVE</t>
        </is>
      </c>
      <c r="F2578" s="2" t="n">
        <v>7.97</v>
      </c>
      <c r="G2578" s="2" t="n">
        <v>7.97</v>
      </c>
      <c r="H2578" s="2" t="b">
        <v>0</v>
      </c>
      <c r="I2578" s="2" t="n">
        <v>250</v>
      </c>
      <c r="J2578" s="2" t="n">
        <v>0.0319</v>
      </c>
      <c r="K2578" s="2" t="inlineStr">
        <is>
          <t>&gt; Perfumería &gt; Cuidado Capilar &gt; Shampoo &gt;</t>
        </is>
      </c>
      <c r="L2578" s="2" t="inlineStr">
        <is>
          <t>shampoo</t>
        </is>
      </c>
      <c r="M2578" s="2" t="inlineStr">
        <is>
          <t>profesional</t>
        </is>
      </c>
      <c r="N2578" s="2" t="inlineStr">
        <is>
          <t>tratado</t>
        </is>
      </c>
      <c r="O2578" s="2" t="inlineStr">
        <is>
          <t>https://www.jumbo.com.ar/shampoo-elvive-cosmetico-colorvive-nueva-presentacion-pvc-250-ml/p</t>
        </is>
      </c>
    </row>
    <row r="2579">
      <c r="A2579" t="inlineStr">
        <is>
          <t>Jumbo</t>
        </is>
      </c>
      <c r="B2579" t="n">
        <v>60061</v>
      </c>
      <c r="C2579" t="n">
        <v>57210</v>
      </c>
      <c r="D2579" t="inlineStr">
        <is>
          <t>Shampoo Elvive Cosmetico Liss Intense Pvc 250 Ml</t>
        </is>
      </c>
      <c r="E2579" t="inlineStr">
        <is>
          <t>ELVIVE</t>
        </is>
      </c>
      <c r="F2579" t="n">
        <v>7.97</v>
      </c>
      <c r="G2579" t="n">
        <v>7.97</v>
      </c>
      <c r="H2579" t="b">
        <v>0</v>
      </c>
      <c r="I2579" t="n">
        <v>250</v>
      </c>
      <c r="J2579" t="n">
        <v>0.0319</v>
      </c>
      <c r="K2579" t="inlineStr">
        <is>
          <t>&gt; Perfumería &gt; Cuidado Capilar &gt; Shampoo &gt;</t>
        </is>
      </c>
      <c r="L2579" t="inlineStr">
        <is>
          <t>shampoo</t>
        </is>
      </c>
      <c r="M2579" t="inlineStr">
        <is>
          <t>profesional</t>
        </is>
      </c>
      <c r="N2579" t="inlineStr">
        <is>
          <t>general</t>
        </is>
      </c>
      <c r="O2579" t="inlineStr">
        <is>
          <t>https://www.jumbo.com.ar/shampoo-elvive-cosmetico-liss-intense-pvc-250-ml/p</t>
        </is>
      </c>
    </row>
    <row r="2580">
      <c r="A2580" s="2" t="inlineStr">
        <is>
          <t>Jumbo</t>
        </is>
      </c>
      <c r="B2580" s="2" t="n">
        <v>60054</v>
      </c>
      <c r="C2580" s="2" t="n">
        <v>57203</v>
      </c>
      <c r="D2580" s="2" t="inlineStr">
        <is>
          <t>Shampoo Liss Intense 350 Ml Elvive Shampoo Elvive Cosmetico Liss Intense Pvc 350 Ml</t>
        </is>
      </c>
      <c r="E2580" s="2" t="inlineStr">
        <is>
          <t>ELVIVE</t>
        </is>
      </c>
      <c r="F2580" s="2" t="n">
        <v>12.65</v>
      </c>
      <c r="G2580" s="2" t="n">
        <v>12.65</v>
      </c>
      <c r="H2580" s="2" t="b">
        <v>0</v>
      </c>
      <c r="I2580" s="2" t="n">
        <v>350</v>
      </c>
      <c r="J2580" s="2" t="n">
        <v>0.0361</v>
      </c>
      <c r="K2580" s="2" t="inlineStr">
        <is>
          <t>&gt; Perfumería &gt; Cuidado Capilar &gt; Shampoo &gt;</t>
        </is>
      </c>
      <c r="L2580" s="2" t="inlineStr">
        <is>
          <t>shampoo</t>
        </is>
      </c>
      <c r="M2580" s="2" t="inlineStr">
        <is>
          <t>profesional</t>
        </is>
      </c>
      <c r="N2580" s="2" t="inlineStr">
        <is>
          <t>general</t>
        </is>
      </c>
      <c r="O2580" s="2" t="inlineStr">
        <is>
          <t>https://www.jumbo.com.ar/shampoo-elvive-cosmetico-liss-intense-pvc-350-ml/p</t>
        </is>
      </c>
    </row>
    <row r="2581">
      <c r="A2581" t="inlineStr">
        <is>
          <t>Jumbo</t>
        </is>
      </c>
      <c r="B2581" t="n">
        <v>60044</v>
      </c>
      <c r="C2581" t="n">
        <v>57193</v>
      </c>
      <c r="D2581" t="inlineStr">
        <is>
          <t>Crema De Enjuague Elvive Liss Intense Pvc 300 Ml</t>
        </is>
      </c>
      <c r="E2581" t="inlineStr">
        <is>
          <t>ELVIVE</t>
        </is>
      </c>
      <c r="F2581" t="n">
        <v>14.67</v>
      </c>
      <c r="G2581" t="n">
        <v>1212</v>
      </c>
      <c r="H2581" t="b">
        <v>0</v>
      </c>
      <c r="I2581" t="n">
        <v>300</v>
      </c>
      <c r="J2581" t="n">
        <v>0.0489</v>
      </c>
      <c r="K2581" t="inlineStr">
        <is>
          <t>&gt; Perfumería &gt; Cuidado Capilar &gt; Acondicionador &gt;</t>
        </is>
      </c>
      <c r="L2581" t="inlineStr">
        <is>
          <t>acondicionador</t>
        </is>
      </c>
      <c r="M2581" t="inlineStr">
        <is>
          <t>profesional</t>
        </is>
      </c>
      <c r="N2581" t="inlineStr">
        <is>
          <t>general</t>
        </is>
      </c>
      <c r="O2581" t="inlineStr">
        <is>
          <t>https://www.jumbo.com.ar/crema-de-enjuague-elvive-liss-intense-pvc-300-ml/p</t>
        </is>
      </c>
    </row>
    <row r="2582">
      <c r="A2582" s="2" t="inlineStr">
        <is>
          <t>Jumbo</t>
        </is>
      </c>
      <c r="B2582" s="2" t="n">
        <v>58722</v>
      </c>
      <c r="C2582" s="2" t="n">
        <v>55876</v>
      </c>
      <c r="D2582" s="2" t="inlineStr">
        <is>
          <t>Tratamiento Nocturno Elvive Reparacion Total 5-pvc-ml.-150</t>
        </is>
      </c>
      <c r="E2582" s="2" t="inlineStr">
        <is>
          <t>ELVIVE</t>
        </is>
      </c>
      <c r="F2582" s="2" t="n">
        <v>18.97</v>
      </c>
      <c r="G2582" s="2" t="n">
        <v>1568</v>
      </c>
      <c r="H2582" s="2" t="b">
        <v>0</v>
      </c>
      <c r="I2582" s="2" t="inlineStr"/>
      <c r="J2582" s="2" t="inlineStr"/>
      <c r="K2582" s="2" t="inlineStr">
        <is>
          <t>&gt; Perfumería &gt; Cuidado Capilar &gt; Reparación y Tratamientos &gt;</t>
        </is>
      </c>
      <c r="L2582" s="2" t="inlineStr">
        <is>
          <t>tratamiento</t>
        </is>
      </c>
      <c r="M2582" s="2" t="inlineStr">
        <is>
          <t>profesional</t>
        </is>
      </c>
      <c r="N2582" s="2" t="inlineStr">
        <is>
          <t>general</t>
        </is>
      </c>
      <c r="O2582" s="2" t="inlineStr">
        <is>
          <t>https://www.jumbo.com.ar/tratamiento-nocturno-elvive-reparacion-total-5-pvc-ml-150/p</t>
        </is>
      </c>
    </row>
    <row r="2583">
      <c r="A2583" t="inlineStr">
        <is>
          <t>Jumbo</t>
        </is>
      </c>
      <c r="B2583" t="n">
        <v>55621</v>
      </c>
      <c r="C2583" t="n">
        <v>52779</v>
      </c>
      <c r="D2583" t="inlineStr">
        <is>
          <t>Crema De Enjuague Elvive X 200 Ml Vitamax  Pet 200 Ml.</t>
        </is>
      </c>
      <c r="E2583" t="inlineStr">
        <is>
          <t>ELVIVE</t>
        </is>
      </c>
      <c r="F2583" t="n">
        <v>12.83</v>
      </c>
      <c r="G2583" t="n">
        <v>12.83</v>
      </c>
      <c r="H2583" t="b">
        <v>0</v>
      </c>
      <c r="I2583" t="n">
        <v>200</v>
      </c>
      <c r="J2583" t="n">
        <v>0.0641</v>
      </c>
      <c r="K2583" t="inlineStr">
        <is>
          <t>&gt; Perfumería &gt; Cuidado Capilar &gt; Acondicionador &gt;</t>
        </is>
      </c>
      <c r="L2583" t="inlineStr">
        <is>
          <t>acondicionador</t>
        </is>
      </c>
      <c r="M2583" t="inlineStr">
        <is>
          <t>profesional</t>
        </is>
      </c>
      <c r="N2583" t="inlineStr">
        <is>
          <t>general</t>
        </is>
      </c>
      <c r="O2583" t="inlineStr">
        <is>
          <t>https://www.jumbo.com.ar/crema-de-enjuague-elvive-x-200-ml-vitamax-pet-200-ml/p</t>
        </is>
      </c>
    </row>
    <row r="2584">
      <c r="A2584" s="2" t="inlineStr">
        <is>
          <t>Jumbo</t>
        </is>
      </c>
      <c r="B2584" s="2" t="n">
        <v>54060</v>
      </c>
      <c r="C2584" s="2" t="n">
        <v>51222</v>
      </c>
      <c r="D2584" s="2" t="inlineStr">
        <is>
          <t>Crema De Enjuague Elvive-rizos Hidratados Colágeno-pvc-ml.-200</t>
        </is>
      </c>
      <c r="E2584" s="2" t="inlineStr">
        <is>
          <t>ELVIVE</t>
        </is>
      </c>
      <c r="F2584" s="2" t="n">
        <v>41.19</v>
      </c>
      <c r="G2584" s="2" t="n">
        <v>3404</v>
      </c>
      <c r="H2584" s="2" t="b">
        <v>0</v>
      </c>
      <c r="I2584" s="2" t="inlineStr"/>
      <c r="J2584" s="2" t="inlineStr"/>
      <c r="K2584" s="2" t="inlineStr">
        <is>
          <t>&gt; Perfumería &gt; Cuidado Capilar &gt; Acondicionador &gt;</t>
        </is>
      </c>
      <c r="L2584" s="2" t="inlineStr">
        <is>
          <t>acondicionador</t>
        </is>
      </c>
      <c r="M2584" s="2" t="inlineStr">
        <is>
          <t>profesional</t>
        </is>
      </c>
      <c r="N2584" s="2" t="inlineStr">
        <is>
          <t>rizado</t>
        </is>
      </c>
      <c r="O2584" s="2" t="inlineStr">
        <is>
          <t>https://www.jumbo.com.ar/crema-de-enjuague-elvive-rizos-hidratados-colageno-pvc-ml-200/p</t>
        </is>
      </c>
    </row>
    <row r="2585">
      <c r="A2585" t="inlineStr">
        <is>
          <t>Jumbo</t>
        </is>
      </c>
      <c r="B2585" t="n">
        <v>44744</v>
      </c>
      <c r="C2585" t="n">
        <v>41915</v>
      </c>
      <c r="D2585" t="inlineStr">
        <is>
          <t>Shampoo Oleo Extraordinario Nutrición Univ 750ml.</t>
        </is>
      </c>
      <c r="E2585" t="inlineStr">
        <is>
          <t>ELVIVE</t>
        </is>
      </c>
      <c r="F2585" t="n">
        <v>1021.39</v>
      </c>
      <c r="G2585" t="n">
        <v>84412</v>
      </c>
      <c r="H2585" t="b">
        <v>0</v>
      </c>
      <c r="I2585" t="n">
        <v>750</v>
      </c>
      <c r="J2585" t="n">
        <v>1.3619</v>
      </c>
      <c r="K2585" t="inlineStr">
        <is>
          <t>&gt; Perfumería &gt; Cuidado Capilar &gt; Shampoo &gt;</t>
        </is>
      </c>
      <c r="L2585" t="inlineStr">
        <is>
          <t>shampoo</t>
        </is>
      </c>
      <c r="M2585" t="inlineStr">
        <is>
          <t>profesional</t>
        </is>
      </c>
      <c r="N2585" t="inlineStr">
        <is>
          <t>general</t>
        </is>
      </c>
      <c r="O2585" t="inlineStr">
        <is>
          <t>https://www.jumbo.com.ar/shampoo-oleo-extraordinario-nutricion-univ-750ml/p</t>
        </is>
      </c>
    </row>
    <row r="2586">
      <c r="A2586" s="2" t="inlineStr">
        <is>
          <t>Jumbo</t>
        </is>
      </c>
      <c r="B2586" s="2" t="n">
        <v>44040</v>
      </c>
      <c r="C2586" s="2" t="n">
        <v>41211</v>
      </c>
      <c r="D2586" s="2" t="inlineStr">
        <is>
          <t>Ampolla Reparadora Elvive Oleo Extraordinario Nutrición Universal 15 Ml</t>
        </is>
      </c>
      <c r="E2586" s="2" t="inlineStr">
        <is>
          <t>ELVIVE</t>
        </is>
      </c>
      <c r="F2586" s="2" t="n">
        <v>86.69</v>
      </c>
      <c r="G2586" s="2" t="n">
        <v>7164</v>
      </c>
      <c r="H2586" s="2" t="b">
        <v>0</v>
      </c>
      <c r="I2586" s="2" t="n">
        <v>15</v>
      </c>
      <c r="J2586" s="2" t="n">
        <v>5.7793</v>
      </c>
      <c r="K2586" s="2" t="inlineStr">
        <is>
          <t>&gt; Perfumería &gt; Cuidado Capilar &gt; Reparación y Tratamientos &gt;</t>
        </is>
      </c>
      <c r="L2586" s="2" t="inlineStr">
        <is>
          <t>shampoo</t>
        </is>
      </c>
      <c r="M2586" s="2" t="inlineStr">
        <is>
          <t>profesional</t>
        </is>
      </c>
      <c r="N2586" s="2" t="inlineStr">
        <is>
          <t>general</t>
        </is>
      </c>
      <c r="O2586" s="2" t="inlineStr">
        <is>
          <t>https://www.jumbo.com.ar/ampolla-reparadora-elvive-oleo-extraordinario-nutricion-universal-15-ml/p</t>
        </is>
      </c>
    </row>
    <row r="2587">
      <c r="A2587" t="inlineStr">
        <is>
          <t>Jumbo</t>
        </is>
      </c>
      <c r="B2587" t="n">
        <v>43915</v>
      </c>
      <c r="C2587" t="n">
        <v>41086</v>
      </c>
      <c r="D2587" t="inlineStr">
        <is>
          <t>Crema Elvive Oleo Extraordinario 300ml</t>
        </is>
      </c>
      <c r="E2587" t="inlineStr">
        <is>
          <t>ELVIVE</t>
        </is>
      </c>
      <c r="F2587" t="n">
        <v>520.25</v>
      </c>
      <c r="G2587" t="n">
        <v>42996</v>
      </c>
      <c r="H2587" t="b">
        <v>0</v>
      </c>
      <c r="I2587" t="n">
        <v>300</v>
      </c>
      <c r="J2587" t="n">
        <v>1.7342</v>
      </c>
      <c r="K2587" t="inlineStr">
        <is>
          <t>&gt; Perfumería &gt; Cuidado Capilar &gt; Reparación y Tratamientos &gt;</t>
        </is>
      </c>
      <c r="L2587" t="inlineStr">
        <is>
          <t>shampoo</t>
        </is>
      </c>
      <c r="M2587" t="inlineStr">
        <is>
          <t>profesional</t>
        </is>
      </c>
      <c r="N2587" t="inlineStr">
        <is>
          <t>general</t>
        </is>
      </c>
      <c r="O2587" t="inlineStr">
        <is>
          <t>https://www.jumbo.com.ar/crema-elvive-oleo-extraordinario-300ml-2/p</t>
        </is>
      </c>
    </row>
    <row r="2588">
      <c r="A2588" s="2" t="inlineStr">
        <is>
          <t>Jumbo</t>
        </is>
      </c>
      <c r="B2588" s="2" t="n">
        <v>40463</v>
      </c>
      <c r="C2588" s="2" t="n">
        <v>37628</v>
      </c>
      <c r="D2588" s="2" t="inlineStr">
        <is>
          <t>Acondicionador Elvive Arcilla 200ml</t>
        </is>
      </c>
      <c r="E2588" s="2" t="inlineStr">
        <is>
          <t>ELVIVE</t>
        </is>
      </c>
      <c r="F2588" s="2" t="n">
        <v>290.85</v>
      </c>
      <c r="G2588" s="2" t="n">
        <v>24037</v>
      </c>
      <c r="H2588" s="2" t="b">
        <v>0</v>
      </c>
      <c r="I2588" s="2" t="n">
        <v>200</v>
      </c>
      <c r="J2588" s="2" t="n">
        <v>1.4543</v>
      </c>
      <c r="K2588" s="2" t="inlineStr">
        <is>
          <t>&gt; Perfumería &gt; Cuidado Capilar &gt; Acondicionador &gt;</t>
        </is>
      </c>
      <c r="L2588" s="2" t="inlineStr">
        <is>
          <t>acondicionador</t>
        </is>
      </c>
      <c r="M2588" s="2" t="inlineStr">
        <is>
          <t>profesional</t>
        </is>
      </c>
      <c r="N2588" s="2" t="inlineStr">
        <is>
          <t>general</t>
        </is>
      </c>
      <c r="O2588" s="2" t="inlineStr">
        <is>
          <t>https://www.jumbo.com.ar/acondicionador-elvive-arcilla-200ml-2/p</t>
        </is>
      </c>
    </row>
    <row r="2589">
      <c r="A2589" t="inlineStr">
        <is>
          <t>Jumbo</t>
        </is>
      </c>
      <c r="B2589" t="n">
        <v>40448</v>
      </c>
      <c r="C2589" t="n">
        <v>37613</v>
      </c>
      <c r="D2589" t="inlineStr">
        <is>
          <t>Shampoo Arcilla Purificante Elvive L Oréal Paris 400 Ml</t>
        </is>
      </c>
      <c r="E2589" t="inlineStr">
        <is>
          <t>ELVIVE</t>
        </is>
      </c>
      <c r="F2589" t="n">
        <v>430.95</v>
      </c>
      <c r="G2589" t="n">
        <v>35616</v>
      </c>
      <c r="H2589" t="b">
        <v>0</v>
      </c>
      <c r="I2589" t="n">
        <v>400</v>
      </c>
      <c r="J2589" t="n">
        <v>1.0774</v>
      </c>
      <c r="K2589" t="inlineStr">
        <is>
          <t>&gt; Perfumería &gt; Cuidado Capilar &gt; Shampoo &gt;</t>
        </is>
      </c>
      <c r="L2589" t="inlineStr">
        <is>
          <t>shampoo</t>
        </is>
      </c>
      <c r="M2589" t="inlineStr">
        <is>
          <t>profesional</t>
        </is>
      </c>
      <c r="N2589" t="inlineStr">
        <is>
          <t>general</t>
        </is>
      </c>
      <c r="O2589" t="inlineStr">
        <is>
          <t>https://www.jumbo.com.ar/shampoo-arcilla-purificante-elvive-l-oreal-paris-400-ml/p</t>
        </is>
      </c>
    </row>
    <row r="2590">
      <c r="A2590" s="2" t="inlineStr">
        <is>
          <t>Jumbo</t>
        </is>
      </c>
      <c r="B2590" s="2" t="n">
        <v>39968</v>
      </c>
      <c r="C2590" s="2" t="n">
        <v>37134</v>
      </c>
      <c r="D2590" s="2" t="inlineStr">
        <is>
          <t>Acondicionador Elvive Arcilla 400ml</t>
        </is>
      </c>
      <c r="E2590" s="2" t="inlineStr">
        <is>
          <t>ELVIVE</t>
        </is>
      </c>
      <c r="F2590" s="2" t="n">
        <v>470.23</v>
      </c>
      <c r="G2590" s="2" t="n">
        <v>38862</v>
      </c>
      <c r="H2590" s="2" t="b">
        <v>0</v>
      </c>
      <c r="I2590" s="2" t="n">
        <v>400</v>
      </c>
      <c r="J2590" s="2" t="n">
        <v>1.1756</v>
      </c>
      <c r="K2590" s="2" t="inlineStr">
        <is>
          <t>&gt; Perfumería &gt; Cuidado Capilar &gt; Acondicionador &gt;</t>
        </is>
      </c>
      <c r="L2590" s="2" t="inlineStr">
        <is>
          <t>acondicionador</t>
        </is>
      </c>
      <c r="M2590" s="2" t="inlineStr">
        <is>
          <t>profesional</t>
        </is>
      </c>
      <c r="N2590" s="2" t="inlineStr">
        <is>
          <t>general</t>
        </is>
      </c>
      <c r="O2590" s="2" t="inlineStr">
        <is>
          <t>https://www.jumbo.com.ar/acondicionador-elvive-arcilla-400ml/p</t>
        </is>
      </c>
    </row>
    <row r="2591">
      <c r="A2591" t="inlineStr">
        <is>
          <t>Jumbo</t>
        </is>
      </c>
      <c r="B2591" t="n">
        <v>39678</v>
      </c>
      <c r="C2591" t="n">
        <v>36844</v>
      </c>
      <c r="D2591" t="inlineStr">
        <is>
          <t>Pre-shampoo Arcilla Purificante Elvive L Oréal Paris 150 Ml</t>
        </is>
      </c>
      <c r="E2591" t="inlineStr">
        <is>
          <t>ELVIVE</t>
        </is>
      </c>
      <c r="F2591" t="n">
        <v>159.49</v>
      </c>
      <c r="G2591" t="n">
        <v>13181</v>
      </c>
      <c r="H2591" t="b">
        <v>0</v>
      </c>
      <c r="I2591" t="n">
        <v>150</v>
      </c>
      <c r="J2591" t="n">
        <v>1.0633</v>
      </c>
      <c r="K2591" t="inlineStr">
        <is>
          <t>&gt; Perfumería &gt; Cuidado Capilar &gt; Reparación y Tratamientos &gt;</t>
        </is>
      </c>
      <c r="L2591" t="inlineStr">
        <is>
          <t>shampoo</t>
        </is>
      </c>
      <c r="M2591" t="inlineStr">
        <is>
          <t>profesional</t>
        </is>
      </c>
      <c r="N2591" t="inlineStr">
        <is>
          <t>general</t>
        </is>
      </c>
      <c r="O2591" t="inlineStr">
        <is>
          <t>https://www.jumbo.com.ar/pre-shampoo-arcilla-purificante-elvive-l-oreal-paris-150-ml/p</t>
        </is>
      </c>
    </row>
    <row r="2592">
      <c r="A2592" s="2" t="inlineStr">
        <is>
          <t>Jumbo</t>
        </is>
      </c>
      <c r="B2592" s="2" t="n">
        <v>39672</v>
      </c>
      <c r="C2592" s="2" t="n">
        <v>36837</v>
      </c>
      <c r="D2592" s="2" t="inlineStr">
        <is>
          <t>Acondicionador Elvive Arcilla 750ml</t>
        </is>
      </c>
      <c r="E2592" s="2" t="inlineStr">
        <is>
          <t>ELVIVE</t>
        </is>
      </c>
      <c r="F2592" s="2" t="n">
        <v>745.65</v>
      </c>
      <c r="G2592" s="2" t="n">
        <v>61624</v>
      </c>
      <c r="H2592" s="2" t="b">
        <v>0</v>
      </c>
      <c r="I2592" s="2" t="n">
        <v>750</v>
      </c>
      <c r="J2592" s="2" t="n">
        <v>0.9942</v>
      </c>
      <c r="K2592" s="2" t="inlineStr">
        <is>
          <t>&gt; Perfumería &gt; Cuidado Capilar &gt; Acondicionador &gt;</t>
        </is>
      </c>
      <c r="L2592" s="2" t="inlineStr">
        <is>
          <t>acondicionador</t>
        </is>
      </c>
      <c r="M2592" s="2" t="inlineStr">
        <is>
          <t>profesional</t>
        </is>
      </c>
      <c r="N2592" s="2" t="inlineStr">
        <is>
          <t>general</t>
        </is>
      </c>
      <c r="O2592" s="2" t="inlineStr">
        <is>
          <t>https://www.jumbo.com.ar/acondicionador-elvive-arcilla-750ml/p</t>
        </is>
      </c>
    </row>
    <row r="2593">
      <c r="A2593" t="inlineStr">
        <is>
          <t>Jumbo</t>
        </is>
      </c>
      <c r="B2593" t="n">
        <v>39160</v>
      </c>
      <c r="C2593" t="n">
        <v>36326</v>
      </c>
      <c r="D2593" t="inlineStr">
        <is>
          <t>Shampoo óleo Extraordinario Rizos Definidos Elvive L Oréal Paris 750 Ml</t>
        </is>
      </c>
      <c r="E2593" t="inlineStr">
        <is>
          <t>ELVIVE</t>
        </is>
      </c>
      <c r="F2593" t="n">
        <v>683.47</v>
      </c>
      <c r="G2593" t="n">
        <v>56485</v>
      </c>
      <c r="H2593" t="b">
        <v>0</v>
      </c>
      <c r="I2593" t="n">
        <v>750</v>
      </c>
      <c r="J2593" t="n">
        <v>0.9113</v>
      </c>
      <c r="K2593" t="inlineStr">
        <is>
          <t>&gt; Perfumería &gt; Cuidado Capilar &gt; Shampoo &gt;</t>
        </is>
      </c>
      <c r="L2593" t="inlineStr">
        <is>
          <t>shampoo</t>
        </is>
      </c>
      <c r="M2593" t="inlineStr">
        <is>
          <t>profesional</t>
        </is>
      </c>
      <c r="N2593" t="inlineStr">
        <is>
          <t>rizado</t>
        </is>
      </c>
      <c r="O2593" t="inlineStr">
        <is>
          <t>https://www.jumbo.com.ar/shampoo-oleo-extraordinario-rizos-definidos-elvive-l-oreal-paris-750-ml/p</t>
        </is>
      </c>
    </row>
    <row r="2594">
      <c r="A2594" s="2" t="inlineStr">
        <is>
          <t>Jumbo</t>
        </is>
      </c>
      <c r="B2594" s="2" t="n">
        <v>38320</v>
      </c>
      <c r="C2594" s="2" t="n">
        <v>35478</v>
      </c>
      <c r="D2594" s="2" t="inlineStr">
        <is>
          <t>Crema Elvive Rizos Definidos 250ml</t>
        </is>
      </c>
      <c r="E2594" s="2" t="inlineStr">
        <is>
          <t>ELVIVE</t>
        </is>
      </c>
      <c r="F2594" s="2" t="n">
        <v>523.09</v>
      </c>
      <c r="G2594" s="2" t="n">
        <v>43231</v>
      </c>
      <c r="H2594" s="2" t="b">
        <v>0</v>
      </c>
      <c r="I2594" s="2" t="n">
        <v>250</v>
      </c>
      <c r="J2594" s="2" t="n">
        <v>2.0924</v>
      </c>
      <c r="K2594" s="2" t="inlineStr">
        <is>
          <t>&gt; Perfumería &gt; Cuidado Capilar &gt; Reparación y Tratamientos &gt;</t>
        </is>
      </c>
      <c r="L2594" s="2" t="inlineStr">
        <is>
          <t>shampoo</t>
        </is>
      </c>
      <c r="M2594" s="2" t="inlineStr">
        <is>
          <t>profesional</t>
        </is>
      </c>
      <c r="N2594" s="2" t="inlineStr">
        <is>
          <t>rizado</t>
        </is>
      </c>
      <c r="O2594" s="2" t="inlineStr">
        <is>
          <t>https://www.jumbo.com.ar/crema-elvive-rizos-definidos-250ml/p</t>
        </is>
      </c>
    </row>
    <row r="2595">
      <c r="A2595" t="inlineStr">
        <is>
          <t>Jumbo</t>
        </is>
      </c>
      <c r="B2595" t="n">
        <v>38306</v>
      </c>
      <c r="C2595" t="n">
        <v>35463</v>
      </c>
      <c r="D2595" t="inlineStr">
        <is>
          <t>Tratamiento Elvive 200 Ml</t>
        </is>
      </c>
      <c r="E2595" t="inlineStr">
        <is>
          <t>ELVIVE</t>
        </is>
      </c>
      <c r="F2595" t="n">
        <v>160.47</v>
      </c>
      <c r="G2595" t="n">
        <v>13262</v>
      </c>
      <c r="H2595" t="b">
        <v>0</v>
      </c>
      <c r="I2595" t="n">
        <v>200</v>
      </c>
      <c r="J2595" t="n">
        <v>0.8024</v>
      </c>
      <c r="K2595" t="inlineStr">
        <is>
          <t>&gt; Perfumería &gt; Cuidado Capilar &gt; Reparación y Tratamientos &gt;</t>
        </is>
      </c>
      <c r="L2595" t="inlineStr">
        <is>
          <t>tratamiento</t>
        </is>
      </c>
      <c r="M2595" t="inlineStr">
        <is>
          <t>profesional</t>
        </is>
      </c>
      <c r="N2595" t="inlineStr">
        <is>
          <t>general</t>
        </is>
      </c>
      <c r="O2595" t="inlineStr">
        <is>
          <t>https://www.jumbo.com.ar/tratamiento-elvive/p</t>
        </is>
      </c>
    </row>
    <row r="2596">
      <c r="A2596" s="2" t="inlineStr">
        <is>
          <t>Jumbo</t>
        </is>
      </c>
      <c r="B2596" s="2" t="n">
        <v>37696</v>
      </c>
      <c r="C2596" s="2" t="n">
        <v>34854</v>
      </c>
      <c r="D2596" s="2" t="inlineStr">
        <is>
          <t>Tratamiento Elvive Oleo En Crema Nutrici«n Intensa 200 Ml Tratamiento Elvive Oleo En Crema Nutrición Intensa 200 Ml</t>
        </is>
      </c>
      <c r="E2596" s="2" t="inlineStr">
        <is>
          <t>ELVIVE</t>
        </is>
      </c>
      <c r="F2596" s="2" t="n">
        <v>169</v>
      </c>
      <c r="G2596" s="2" t="n">
        <v>169</v>
      </c>
      <c r="H2596" s="2" t="b">
        <v>0</v>
      </c>
      <c r="I2596" s="2" t="n">
        <v>200</v>
      </c>
      <c r="J2596" s="2" t="n">
        <v>0.845</v>
      </c>
      <c r="K2596" s="2" t="inlineStr">
        <is>
          <t>&gt; Perfumería &gt; Cuidado Capilar &gt; Reparación y Tratamientos &gt;</t>
        </is>
      </c>
      <c r="L2596" s="2" t="inlineStr">
        <is>
          <t>tratamiento</t>
        </is>
      </c>
      <c r="M2596" s="2" t="inlineStr">
        <is>
          <t>profesional</t>
        </is>
      </c>
      <c r="N2596" s="2" t="inlineStr">
        <is>
          <t>general</t>
        </is>
      </c>
      <c r="O2596" s="2" t="inlineStr">
        <is>
          <t>https://www.jumbo.com.ar/tratamiento-elvive-oleo-en-crema-2/p</t>
        </is>
      </c>
    </row>
    <row r="2597">
      <c r="A2597" t="inlineStr">
        <is>
          <t>Jumbo</t>
        </is>
      </c>
      <c r="B2597" t="n">
        <v>37394</v>
      </c>
      <c r="C2597" t="n">
        <v>34552</v>
      </c>
      <c r="D2597" t="inlineStr">
        <is>
          <t>Tratamiento Elvive Rt5 200 Ml</t>
        </is>
      </c>
      <c r="E2597" t="inlineStr">
        <is>
          <t>ELVIVE</t>
        </is>
      </c>
      <c r="F2597" t="n">
        <v>143.85</v>
      </c>
      <c r="G2597" t="n">
        <v>11888</v>
      </c>
      <c r="H2597" t="b">
        <v>0</v>
      </c>
      <c r="I2597" t="n">
        <v>200</v>
      </c>
      <c r="J2597" t="n">
        <v>0.7192</v>
      </c>
      <c r="K2597" t="inlineStr">
        <is>
          <t>&gt; Perfumería &gt; Cuidado Capilar &gt; Reparación y Tratamientos &gt;</t>
        </is>
      </c>
      <c r="L2597" t="inlineStr">
        <is>
          <t>tratamiento</t>
        </is>
      </c>
      <c r="M2597" t="inlineStr">
        <is>
          <t>profesional</t>
        </is>
      </c>
      <c r="N2597" t="inlineStr">
        <is>
          <t>general</t>
        </is>
      </c>
      <c r="O2597" t="inlineStr">
        <is>
          <t>https://www.jumbo.com.ar/tratamiento-elvive-rt5-200-ml/p</t>
        </is>
      </c>
    </row>
    <row r="2598">
      <c r="A2598" s="2" t="inlineStr">
        <is>
          <t>Jumbo</t>
        </is>
      </c>
      <c r="B2598" s="2" t="n">
        <v>36709</v>
      </c>
      <c r="C2598" s="2" t="n">
        <v>33869</v>
      </c>
      <c r="D2598" s="2" t="inlineStr">
        <is>
          <t>Tratamiento Elvive óleo En Crema Tratamiento Elvive Oleo En Crema 200 Ml</t>
        </is>
      </c>
      <c r="E2598" s="2" t="inlineStr">
        <is>
          <t>ELVIVE</t>
        </is>
      </c>
      <c r="F2598" s="2" t="n">
        <v>143.85</v>
      </c>
      <c r="G2598" s="2" t="n">
        <v>11888</v>
      </c>
      <c r="H2598" s="2" t="b">
        <v>0</v>
      </c>
      <c r="I2598" s="2" t="n">
        <v>200</v>
      </c>
      <c r="J2598" s="2" t="n">
        <v>0.7192</v>
      </c>
      <c r="K2598" s="2" t="inlineStr">
        <is>
          <t>&gt; Perfumería &gt; Cuidado Capilar &gt; Reparación y Tratamientos &gt;</t>
        </is>
      </c>
      <c r="L2598" s="2" t="inlineStr">
        <is>
          <t>tratamiento</t>
        </is>
      </c>
      <c r="M2598" s="2" t="inlineStr">
        <is>
          <t>profesional</t>
        </is>
      </c>
      <c r="N2598" s="2" t="inlineStr">
        <is>
          <t>general</t>
        </is>
      </c>
      <c r="O2598" s="2" t="inlineStr">
        <is>
          <t>https://www.jumbo.com.ar/tratamiento-elvive-oleo-en-crema/p</t>
        </is>
      </c>
    </row>
    <row r="2599">
      <c r="A2599" t="inlineStr">
        <is>
          <t>Jumbo</t>
        </is>
      </c>
      <c r="B2599" t="n">
        <v>31746</v>
      </c>
      <c r="C2599" t="n">
        <v>28905</v>
      </c>
      <c r="D2599" t="inlineStr">
        <is>
          <t>Shampoo Elvive 2 En 1 Shampoo 2 En 1 Reparación Total 5 Elvive L Oréal Paris 400 Ml</t>
        </is>
      </c>
      <c r="E2599" t="inlineStr">
        <is>
          <t>ELVIVE</t>
        </is>
      </c>
      <c r="F2599" t="n">
        <v>430.95</v>
      </c>
      <c r="G2599" t="n">
        <v>35616</v>
      </c>
      <c r="H2599" t="b">
        <v>0</v>
      </c>
      <c r="I2599" t="n">
        <v>400</v>
      </c>
      <c r="J2599" t="n">
        <v>1.0774</v>
      </c>
      <c r="K2599" t="inlineStr">
        <is>
          <t>&gt; Perfumería &gt; Cuidado Capilar &gt; Shampoo &gt;</t>
        </is>
      </c>
      <c r="L2599" t="inlineStr">
        <is>
          <t>shampoo</t>
        </is>
      </c>
      <c r="M2599" t="inlineStr">
        <is>
          <t>profesional</t>
        </is>
      </c>
      <c r="N2599" t="inlineStr">
        <is>
          <t>general</t>
        </is>
      </c>
      <c r="O2599" t="inlineStr">
        <is>
          <t>https://www.jumbo.com.ar/shampoo-elvive-2-en-1/p</t>
        </is>
      </c>
    </row>
    <row r="2600">
      <c r="A2600" s="2" t="inlineStr">
        <is>
          <t>Jumbo</t>
        </is>
      </c>
      <c r="B2600" s="2" t="n">
        <v>31744</v>
      </c>
      <c r="C2600" s="2" t="n">
        <v>28904</v>
      </c>
      <c r="D2600" s="2" t="inlineStr">
        <is>
          <t>Shampoo Elvive Reparacion Total 5 750ml</t>
        </is>
      </c>
      <c r="E2600" s="2" t="inlineStr">
        <is>
          <t>ELVIVE</t>
        </is>
      </c>
      <c r="F2600" s="2" t="n">
        <v>846.49</v>
      </c>
      <c r="G2600" s="2" t="n">
        <v>69958</v>
      </c>
      <c r="H2600" s="2" t="b">
        <v>0</v>
      </c>
      <c r="I2600" s="2" t="n">
        <v>750</v>
      </c>
      <c r="J2600" s="2" t="n">
        <v>1.1287</v>
      </c>
      <c r="K2600" s="2" t="inlineStr">
        <is>
          <t>&gt; Perfumería &gt; Cuidado Capilar &gt; Shampoo &gt;</t>
        </is>
      </c>
      <c r="L2600" s="2" t="inlineStr">
        <is>
          <t>shampoo</t>
        </is>
      </c>
      <c r="M2600" s="2" t="inlineStr">
        <is>
          <t>profesional</t>
        </is>
      </c>
      <c r="N2600" s="2" t="inlineStr">
        <is>
          <t>general</t>
        </is>
      </c>
      <c r="O2600" s="2" t="inlineStr">
        <is>
          <t>https://www.jumbo.com.ar/shampoo-elvive-reparacion-total-5-750ml/p</t>
        </is>
      </c>
    </row>
    <row r="2601">
      <c r="A2601" t="inlineStr">
        <is>
          <t>Jumbo</t>
        </is>
      </c>
      <c r="B2601" t="n">
        <v>31696</v>
      </c>
      <c r="C2601" t="n">
        <v>28855</v>
      </c>
      <c r="D2601" t="inlineStr">
        <is>
          <t>Shampoo Elvive Rizos Hidratados 200ml</t>
        </is>
      </c>
      <c r="E2601" t="inlineStr">
        <is>
          <t>ELVIVE</t>
        </is>
      </c>
      <c r="F2601" t="n">
        <v>290.85</v>
      </c>
      <c r="G2601" t="n">
        <v>24037</v>
      </c>
      <c r="H2601" t="b">
        <v>0</v>
      </c>
      <c r="I2601" t="n">
        <v>200</v>
      </c>
      <c r="J2601" t="n">
        <v>1.4543</v>
      </c>
      <c r="K2601" t="inlineStr">
        <is>
          <t>&gt; Perfumería &gt; Cuidado Capilar &gt; Shampoo &gt;</t>
        </is>
      </c>
      <c r="L2601" t="inlineStr">
        <is>
          <t>shampoo</t>
        </is>
      </c>
      <c r="M2601" t="inlineStr">
        <is>
          <t>profesional</t>
        </is>
      </c>
      <c r="N2601" t="inlineStr">
        <is>
          <t>rizado</t>
        </is>
      </c>
      <c r="O2601" t="inlineStr">
        <is>
          <t>https://www.jumbo.com.ar/shampoo-elvive-rizos-hidratados-200ml/p</t>
        </is>
      </c>
    </row>
    <row r="2602">
      <c r="A2602" s="2" t="inlineStr">
        <is>
          <t>Jumbo</t>
        </is>
      </c>
      <c r="B2602" s="2" t="n">
        <v>31675</v>
      </c>
      <c r="C2602" s="2" t="n">
        <v>28834</v>
      </c>
      <c r="D2602" s="2" t="inlineStr">
        <is>
          <t>Acondicionador Elvive Reparación Total 5 200 Ml</t>
        </is>
      </c>
      <c r="E2602" s="2" t="inlineStr">
        <is>
          <t>ELVIVE</t>
        </is>
      </c>
      <c r="F2602" s="2" t="n">
        <v>3250</v>
      </c>
      <c r="G2602" s="2" t="n">
        <v>268595</v>
      </c>
      <c r="H2602" s="2" t="b">
        <v>0</v>
      </c>
      <c r="I2602" s="2" t="n">
        <v>200</v>
      </c>
      <c r="J2602" s="2" t="n">
        <v>16.25</v>
      </c>
      <c r="K2602" s="2" t="inlineStr">
        <is>
          <t>&gt; Perfumería &gt; Cuidado Capilar &gt; Acondicionador &gt;</t>
        </is>
      </c>
      <c r="L2602" s="2" t="inlineStr">
        <is>
          <t>acondicionador</t>
        </is>
      </c>
      <c r="M2602" s="2" t="inlineStr">
        <is>
          <t>profesional</t>
        </is>
      </c>
      <c r="N2602" s="2" t="inlineStr">
        <is>
          <t>general</t>
        </is>
      </c>
      <c r="O2602" s="2" t="inlineStr">
        <is>
          <t>https://www.jumbo.com.ar/acondicionador-elvive-reparacion-total-5-200-ml/p</t>
        </is>
      </c>
    </row>
    <row r="2603">
      <c r="A2603" t="inlineStr">
        <is>
          <t>Jumbo</t>
        </is>
      </c>
      <c r="B2603" t="n">
        <v>31654</v>
      </c>
      <c r="C2603" t="n">
        <v>28813</v>
      </c>
      <c r="D2603" t="inlineStr">
        <is>
          <t>Acondicionador Elvive Rep Total 5 750ml</t>
        </is>
      </c>
      <c r="E2603" t="inlineStr">
        <is>
          <t>ELVIVE</t>
        </is>
      </c>
      <c r="F2603" t="n">
        <v>795.59</v>
      </c>
      <c r="G2603" t="n">
        <v>65751</v>
      </c>
      <c r="H2603" t="b">
        <v>0</v>
      </c>
      <c r="I2603" t="n">
        <v>750</v>
      </c>
      <c r="J2603" t="n">
        <v>1.0608</v>
      </c>
      <c r="K2603" t="inlineStr">
        <is>
          <t>&gt; Perfumería &gt; Cuidado Capilar &gt; Acondicionador &gt;</t>
        </is>
      </c>
      <c r="L2603" t="inlineStr">
        <is>
          <t>acondicionador</t>
        </is>
      </c>
      <c r="M2603" t="inlineStr">
        <is>
          <t>profesional</t>
        </is>
      </c>
      <c r="N2603" t="inlineStr">
        <is>
          <t>general</t>
        </is>
      </c>
      <c r="O2603" t="inlineStr">
        <is>
          <t>https://www.jumbo.com.ar/acondicionador-elvive-rep-total-5-750ml/p</t>
        </is>
      </c>
    </row>
    <row r="2604">
      <c r="A2604" s="2" t="inlineStr">
        <is>
          <t>Jumbo</t>
        </is>
      </c>
      <c r="B2604" s="2" t="n">
        <v>31611</v>
      </c>
      <c r="C2604" s="2" t="n">
        <v>28770</v>
      </c>
      <c r="D2604" s="2" t="inlineStr">
        <is>
          <t>Acondicionador Elvive Rizos Hidratados Colágeno 750 Ml</t>
        </is>
      </c>
      <c r="E2604" s="2" t="inlineStr">
        <is>
          <t>ELVIVE</t>
        </is>
      </c>
      <c r="F2604" s="2" t="n">
        <v>146.95</v>
      </c>
      <c r="G2604" s="2" t="n">
        <v>12145</v>
      </c>
      <c r="H2604" s="2" t="b">
        <v>0</v>
      </c>
      <c r="I2604" s="2" t="n">
        <v>750</v>
      </c>
      <c r="J2604" s="2" t="n">
        <v>0.1959</v>
      </c>
      <c r="K2604" s="2" t="inlineStr">
        <is>
          <t>&gt; Perfumería &gt; Cuidado Capilar &gt; Acondicionador &gt;</t>
        </is>
      </c>
      <c r="L2604" s="2" t="inlineStr">
        <is>
          <t>acondicionador</t>
        </is>
      </c>
      <c r="M2604" s="2" t="inlineStr">
        <is>
          <t>profesional</t>
        </is>
      </c>
      <c r="N2604" s="2" t="inlineStr">
        <is>
          <t>rizado</t>
        </is>
      </c>
      <c r="O2604" s="2" t="inlineStr">
        <is>
          <t>https://www.jumbo.com.ar/crema-de-enjuague-elvive-20/p</t>
        </is>
      </c>
    </row>
    <row r="2605">
      <c r="A2605" t="inlineStr">
        <is>
          <t>Jumbo</t>
        </is>
      </c>
      <c r="B2605" t="n">
        <v>31579</v>
      </c>
      <c r="C2605" t="n">
        <v>28738</v>
      </c>
      <c r="D2605" t="inlineStr">
        <is>
          <t>Shampoo Elvive Reparacion Total 5 200ml</t>
        </is>
      </c>
      <c r="E2605" t="inlineStr">
        <is>
          <t>ELVIVE</t>
        </is>
      </c>
      <c r="F2605" t="n">
        <v>3050</v>
      </c>
      <c r="G2605" t="n">
        <v>252066</v>
      </c>
      <c r="H2605" t="b">
        <v>0</v>
      </c>
      <c r="I2605" t="n">
        <v>200</v>
      </c>
      <c r="J2605" t="n">
        <v>15.25</v>
      </c>
      <c r="K2605" t="inlineStr">
        <is>
          <t>&gt; Perfumería &gt; Cuidado Capilar &gt; Shampoo &gt;</t>
        </is>
      </c>
      <c r="L2605" t="inlineStr">
        <is>
          <t>shampoo</t>
        </is>
      </c>
      <c r="M2605" t="inlineStr">
        <is>
          <t>profesional</t>
        </is>
      </c>
      <c r="N2605" t="inlineStr">
        <is>
          <t>general</t>
        </is>
      </c>
      <c r="O2605" t="inlineStr">
        <is>
          <t>https://www.jumbo.com.ar/shampoo-elvive-reparacion-total-5-200ml-2/p</t>
        </is>
      </c>
    </row>
    <row r="2606">
      <c r="A2606" s="2" t="inlineStr">
        <is>
          <t>Jumbo</t>
        </is>
      </c>
      <c r="B2606" s="2" t="n">
        <v>31467</v>
      </c>
      <c r="C2606" s="2" t="n">
        <v>28626</v>
      </c>
      <c r="D2606" s="2" t="inlineStr">
        <is>
          <t>Shampoo Elvive Color Vive 400ml</t>
        </is>
      </c>
      <c r="E2606" s="2" t="inlineStr">
        <is>
          <t>ELVIVE</t>
        </is>
      </c>
      <c r="F2606" s="2" t="n">
        <v>533.79</v>
      </c>
      <c r="G2606" s="2" t="n">
        <v>44115</v>
      </c>
      <c r="H2606" s="2" t="b">
        <v>0</v>
      </c>
      <c r="I2606" s="2" t="n">
        <v>400</v>
      </c>
      <c r="J2606" s="2" t="n">
        <v>1.3345</v>
      </c>
      <c r="K2606" s="2" t="inlineStr">
        <is>
          <t>&gt; Perfumería &gt; Cuidado Capilar &gt; Shampoo &gt;</t>
        </is>
      </c>
      <c r="L2606" s="2" t="inlineStr">
        <is>
          <t>shampoo</t>
        </is>
      </c>
      <c r="M2606" s="2" t="inlineStr">
        <is>
          <t>profesional</t>
        </is>
      </c>
      <c r="N2606" s="2" t="inlineStr">
        <is>
          <t>tratado</t>
        </is>
      </c>
      <c r="O2606" s="2" t="inlineStr">
        <is>
          <t>https://www.jumbo.com.ar/shampoo-elvive-color-vive-400ml/p</t>
        </is>
      </c>
    </row>
    <row r="2607">
      <c r="A2607" t="inlineStr">
        <is>
          <t>Jumbo</t>
        </is>
      </c>
      <c r="B2607" t="n">
        <v>31344</v>
      </c>
      <c r="C2607" t="n">
        <v>28503</v>
      </c>
      <c r="D2607" t="inlineStr">
        <is>
          <t>Tratamiento Elvive Keraliso 300gr</t>
        </is>
      </c>
      <c r="E2607" t="inlineStr">
        <is>
          <t>ELVIVE</t>
        </is>
      </c>
      <c r="F2607" t="n">
        <v>520.25</v>
      </c>
      <c r="G2607" t="n">
        <v>42996</v>
      </c>
      <c r="H2607" t="b">
        <v>0</v>
      </c>
      <c r="I2607" t="n">
        <v>300</v>
      </c>
      <c r="J2607" t="n">
        <v>1.7342</v>
      </c>
      <c r="K2607" t="inlineStr">
        <is>
          <t>&gt; Perfumería &gt; Cuidado Capilar &gt; Reparación y Tratamientos &gt;</t>
        </is>
      </c>
      <c r="L2607" t="inlineStr">
        <is>
          <t>tratamiento</t>
        </is>
      </c>
      <c r="M2607" t="inlineStr">
        <is>
          <t>profesional</t>
        </is>
      </c>
      <c r="N2607" t="inlineStr">
        <is>
          <t>general</t>
        </is>
      </c>
      <c r="O2607" t="inlineStr">
        <is>
          <t>https://www.jumbo.com.ar/tratamiento-elvive-keraliso-300gr/p</t>
        </is>
      </c>
    </row>
    <row r="2608">
      <c r="A2608" s="2" t="inlineStr">
        <is>
          <t>Jumbo</t>
        </is>
      </c>
      <c r="B2608" s="2" t="n">
        <v>31342</v>
      </c>
      <c r="C2608" s="2" t="n">
        <v>28501</v>
      </c>
      <c r="D2608" s="2" t="inlineStr">
        <is>
          <t>Shampoo Elvive Kera Liso Brillo 200ml</t>
        </is>
      </c>
      <c r="E2608" s="2" t="inlineStr">
        <is>
          <t>ELVIVE</t>
        </is>
      </c>
      <c r="F2608" s="2" t="n">
        <v>346.37</v>
      </c>
      <c r="G2608" s="2" t="n">
        <v>28626</v>
      </c>
      <c r="H2608" s="2" t="b">
        <v>0</v>
      </c>
      <c r="I2608" s="2" t="n">
        <v>200</v>
      </c>
      <c r="J2608" s="2" t="n">
        <v>1.7319</v>
      </c>
      <c r="K2608" s="2" t="inlineStr">
        <is>
          <t>&gt; Perfumería &gt; Cuidado Capilar &gt; Shampoo &gt;</t>
        </is>
      </c>
      <c r="L2608" s="2" t="inlineStr">
        <is>
          <t>shampoo</t>
        </is>
      </c>
      <c r="M2608" s="2" t="inlineStr">
        <is>
          <t>profesional</t>
        </is>
      </c>
      <c r="N2608" s="2" t="inlineStr">
        <is>
          <t>general</t>
        </is>
      </c>
      <c r="O2608" s="2" t="inlineStr">
        <is>
          <t>https://www.jumbo.com.ar/shampoo-elvive-kera-liso-brillo-200ml/p</t>
        </is>
      </c>
    </row>
    <row r="2609">
      <c r="A2609" t="inlineStr">
        <is>
          <t>Jumbo</t>
        </is>
      </c>
      <c r="B2609" t="n">
        <v>31322</v>
      </c>
      <c r="C2609" t="n">
        <v>28481</v>
      </c>
      <c r="D2609" t="inlineStr">
        <is>
          <t>Crema Capilar Elvive Crema Para Peinar Keraliso 230° Elvive L Oréal Paris 250 Ml</t>
        </is>
      </c>
      <c r="E2609" t="inlineStr">
        <is>
          <t>ELVIVE</t>
        </is>
      </c>
      <c r="F2609" t="n">
        <v>479.47</v>
      </c>
      <c r="G2609" t="n">
        <v>39626</v>
      </c>
      <c r="H2609" t="b">
        <v>0</v>
      </c>
      <c r="I2609" t="n">
        <v>250</v>
      </c>
      <c r="J2609" t="n">
        <v>1.9179</v>
      </c>
      <c r="K2609" t="inlineStr">
        <is>
          <t>&gt; Perfumería &gt; Cuidado Capilar &gt; Reparación y Tratamientos &gt;</t>
        </is>
      </c>
      <c r="L2609" t="inlineStr">
        <is>
          <t>shampoo</t>
        </is>
      </c>
      <c r="M2609" t="inlineStr">
        <is>
          <t>profesional</t>
        </is>
      </c>
      <c r="N2609" t="inlineStr">
        <is>
          <t>general</t>
        </is>
      </c>
      <c r="O2609" t="inlineStr">
        <is>
          <t>https://www.jumbo.com.ar/crema-capilar-elvive-9/p</t>
        </is>
      </c>
    </row>
    <row r="2610">
      <c r="A2610" s="2" t="inlineStr">
        <is>
          <t>Jumbo</t>
        </is>
      </c>
      <c r="B2610" s="2" t="n">
        <v>31250</v>
      </c>
      <c r="C2610" s="2" t="n">
        <v>28409</v>
      </c>
      <c r="D2610" s="2" t="inlineStr">
        <is>
          <t>Shampoo Elvive Kera Liso 200ml</t>
        </is>
      </c>
      <c r="E2610" s="2" t="inlineStr">
        <is>
          <t>ELVIVE</t>
        </is>
      </c>
      <c r="F2610" s="2" t="n">
        <v>330.19</v>
      </c>
      <c r="G2610" s="2" t="n">
        <v>27288</v>
      </c>
      <c r="H2610" s="2" t="b">
        <v>0</v>
      </c>
      <c r="I2610" s="2" t="n">
        <v>200</v>
      </c>
      <c r="J2610" s="2" t="n">
        <v>1.6509</v>
      </c>
      <c r="K2610" s="2" t="inlineStr">
        <is>
          <t>&gt; Perfumería &gt; Cuidado Capilar &gt; Shampoo &gt;</t>
        </is>
      </c>
      <c r="L2610" s="2" t="inlineStr">
        <is>
          <t>shampoo</t>
        </is>
      </c>
      <c r="M2610" s="2" t="inlineStr">
        <is>
          <t>profesional</t>
        </is>
      </c>
      <c r="N2610" s="2" t="inlineStr">
        <is>
          <t>general</t>
        </is>
      </c>
      <c r="O2610" s="2" t="inlineStr">
        <is>
          <t>https://www.jumbo.com.ar/shampoo-elvive-kera-liso-200ml/p</t>
        </is>
      </c>
    </row>
    <row r="2611">
      <c r="A2611" t="inlineStr">
        <is>
          <t>Jumbo</t>
        </is>
      </c>
      <c r="B2611" t="n">
        <v>31010</v>
      </c>
      <c r="C2611" t="n">
        <v>28169</v>
      </c>
      <c r="D2611" t="inlineStr">
        <is>
          <t>Shampoo Caida Resist Elvive L Oréal Paris 400 Ml</t>
        </is>
      </c>
      <c r="E2611" t="inlineStr">
        <is>
          <t>ELVIVE</t>
        </is>
      </c>
      <c r="F2611" t="n">
        <v>600</v>
      </c>
      <c r="G2611" t="n">
        <v>49587</v>
      </c>
      <c r="H2611" t="b">
        <v>0</v>
      </c>
      <c r="I2611" t="n">
        <v>400</v>
      </c>
      <c r="J2611" t="n">
        <v>1.5</v>
      </c>
      <c r="K2611" t="inlineStr">
        <is>
          <t>&gt; Perfumería &gt; Cuidado Capilar &gt; Shampoo &gt;</t>
        </is>
      </c>
      <c r="L2611" t="inlineStr">
        <is>
          <t>shampoo</t>
        </is>
      </c>
      <c r="M2611" t="inlineStr">
        <is>
          <t>profesional</t>
        </is>
      </c>
      <c r="N2611" t="inlineStr">
        <is>
          <t>general</t>
        </is>
      </c>
      <c r="O2611" t="inlineStr">
        <is>
          <t>https://www.jumbo.com.ar/shampoo-caida-resist-elvive-l-oreal-paris-400-ml/p</t>
        </is>
      </c>
    </row>
    <row r="2612">
      <c r="A2612" s="2" t="inlineStr">
        <is>
          <t>Jumbo</t>
        </is>
      </c>
      <c r="B2612" s="2" t="n">
        <v>31008</v>
      </c>
      <c r="C2612" s="2" t="n">
        <v>28167</v>
      </c>
      <c r="D2612" s="2" t="inlineStr">
        <is>
          <t>Crema De Enjuague Elvive Acondicionador Elvive Renutrición 750 Ml</t>
        </is>
      </c>
      <c r="E2612" s="2" t="inlineStr">
        <is>
          <t>ELVIVE</t>
        </is>
      </c>
      <c r="F2612" s="2" t="n">
        <v>683.47</v>
      </c>
      <c r="G2612" s="2" t="n">
        <v>56485</v>
      </c>
      <c r="H2612" s="2" t="b">
        <v>0</v>
      </c>
      <c r="I2612" s="2" t="n">
        <v>750</v>
      </c>
      <c r="J2612" s="2" t="n">
        <v>0.9113</v>
      </c>
      <c r="K2612" s="2" t="inlineStr">
        <is>
          <t>&gt; Perfumería &gt; Cuidado Capilar &gt; Acondicionador &gt;</t>
        </is>
      </c>
      <c r="L2612" s="2" t="inlineStr">
        <is>
          <t>acondicionador</t>
        </is>
      </c>
      <c r="M2612" s="2" t="inlineStr">
        <is>
          <t>profesional</t>
        </is>
      </c>
      <c r="N2612" s="2" t="inlineStr">
        <is>
          <t>general</t>
        </is>
      </c>
      <c r="O2612" s="2" t="inlineStr">
        <is>
          <t>https://www.jumbo.com.ar/crema-de-enjuague-elvive-12/p</t>
        </is>
      </c>
    </row>
    <row r="2613">
      <c r="A2613" t="inlineStr">
        <is>
          <t>Jumbo</t>
        </is>
      </c>
      <c r="B2613" t="n">
        <v>31005</v>
      </c>
      <c r="C2613" t="n">
        <v>28164</v>
      </c>
      <c r="D2613" t="inlineStr">
        <is>
          <t>Crema De Enjuague Elvive Acondicionador Elvive Renutrición 200 Ml</t>
        </is>
      </c>
      <c r="E2613" t="inlineStr">
        <is>
          <t>ELVIVE</t>
        </is>
      </c>
      <c r="F2613" t="n">
        <v>266.59</v>
      </c>
      <c r="G2613" t="n">
        <v>22032</v>
      </c>
      <c r="H2613" t="b">
        <v>0</v>
      </c>
      <c r="I2613" t="n">
        <v>200</v>
      </c>
      <c r="J2613" t="n">
        <v>1.3329</v>
      </c>
      <c r="K2613" t="inlineStr">
        <is>
          <t>&gt; Perfumería &gt; Cuidado Capilar &gt; Acondicionador &gt;</t>
        </is>
      </c>
      <c r="L2613" t="inlineStr">
        <is>
          <t>acondicionador</t>
        </is>
      </c>
      <c r="M2613" t="inlineStr">
        <is>
          <t>profesional</t>
        </is>
      </c>
      <c r="N2613" t="inlineStr">
        <is>
          <t>general</t>
        </is>
      </c>
      <c r="O2613" t="inlineStr">
        <is>
          <t>https://www.jumbo.com.ar/crema-de-enjuague-elvive-10/p</t>
        </is>
      </c>
    </row>
    <row r="2614">
      <c r="A2614" s="2" t="inlineStr">
        <is>
          <t>Jumbo</t>
        </is>
      </c>
      <c r="B2614" s="2" t="n">
        <v>30922</v>
      </c>
      <c r="C2614" s="2" t="n">
        <v>28081</v>
      </c>
      <c r="D2614" s="2" t="inlineStr">
        <is>
          <t>Crema Capilar Elvive Crema Para Peinar Keraliso Elvive L Oréal Paris 250 Ml</t>
        </is>
      </c>
      <c r="E2614" s="2" t="inlineStr">
        <is>
          <t>ELVIVE</t>
        </is>
      </c>
      <c r="F2614" s="2" t="n">
        <v>479.47</v>
      </c>
      <c r="G2614" s="2" t="n">
        <v>39626</v>
      </c>
      <c r="H2614" s="2" t="b">
        <v>0</v>
      </c>
      <c r="I2614" s="2" t="n">
        <v>250</v>
      </c>
      <c r="J2614" s="2" t="n">
        <v>1.9179</v>
      </c>
      <c r="K2614" s="2" t="inlineStr">
        <is>
          <t>&gt; Perfumería &gt; Cuidado Capilar &gt; Reparación y Tratamientos &gt;</t>
        </is>
      </c>
      <c r="L2614" s="2" t="inlineStr">
        <is>
          <t>shampoo</t>
        </is>
      </c>
      <c r="M2614" s="2" t="inlineStr">
        <is>
          <t>profesional</t>
        </is>
      </c>
      <c r="N2614" s="2" t="inlineStr">
        <is>
          <t>general</t>
        </is>
      </c>
      <c r="O2614" s="2" t="inlineStr">
        <is>
          <t>https://www.jumbo.com.ar/crema-capilar-elvive-10/p</t>
        </is>
      </c>
    </row>
    <row r="2615">
      <c r="A2615" t="inlineStr">
        <is>
          <t>Jumbo</t>
        </is>
      </c>
      <c r="B2615" t="n">
        <v>30921</v>
      </c>
      <c r="C2615" t="n">
        <v>28080</v>
      </c>
      <c r="D2615" t="inlineStr">
        <is>
          <t>Tratamiento Elvive Keraliso Brillo 300gr</t>
        </is>
      </c>
      <c r="E2615" t="inlineStr">
        <is>
          <t>ELVIVE</t>
        </is>
      </c>
      <c r="F2615" t="n">
        <v>619.59</v>
      </c>
      <c r="G2615" t="n">
        <v>51206</v>
      </c>
      <c r="H2615" t="b">
        <v>0</v>
      </c>
      <c r="I2615" t="n">
        <v>300</v>
      </c>
      <c r="J2615" t="n">
        <v>2.0653</v>
      </c>
      <c r="K2615" t="inlineStr">
        <is>
          <t>&gt; Perfumería &gt; Cuidado Capilar &gt; Reparación y Tratamientos &gt;</t>
        </is>
      </c>
      <c r="L2615" t="inlineStr">
        <is>
          <t>tratamiento</t>
        </is>
      </c>
      <c r="M2615" t="inlineStr">
        <is>
          <t>profesional</t>
        </is>
      </c>
      <c r="N2615" t="inlineStr">
        <is>
          <t>general</t>
        </is>
      </c>
      <c r="O2615" t="inlineStr">
        <is>
          <t>https://www.jumbo.com.ar/tratamiento-elvive-keraliso-brillo-300gr/p</t>
        </is>
      </c>
    </row>
    <row r="2616">
      <c r="A2616" s="2" t="inlineStr">
        <is>
          <t>Jumbo</t>
        </is>
      </c>
      <c r="B2616" s="2" t="n">
        <v>30915</v>
      </c>
      <c r="C2616" s="2" t="n">
        <v>28074</v>
      </c>
      <c r="D2616" s="2" t="inlineStr">
        <is>
          <t>Shampoo Elvive Kera Liso Brillo 400ml</t>
        </is>
      </c>
      <c r="E2616" s="2" t="inlineStr">
        <is>
          <t>ELVIVE</t>
        </is>
      </c>
      <c r="F2616" s="2" t="n">
        <v>1050</v>
      </c>
      <c r="G2616" s="2" t="n">
        <v>86777</v>
      </c>
      <c r="H2616" s="2" t="b">
        <v>0</v>
      </c>
      <c r="I2616" s="2" t="n">
        <v>400</v>
      </c>
      <c r="J2616" s="2" t="n">
        <v>2.625</v>
      </c>
      <c r="K2616" s="2" t="inlineStr">
        <is>
          <t>&gt; Perfumería &gt; Cuidado Capilar &gt; Shampoo &gt;</t>
        </is>
      </c>
      <c r="L2616" s="2" t="inlineStr">
        <is>
          <t>shampoo</t>
        </is>
      </c>
      <c r="M2616" s="2" t="inlineStr">
        <is>
          <t>profesional</t>
        </is>
      </c>
      <c r="N2616" s="2" t="inlineStr">
        <is>
          <t>general</t>
        </is>
      </c>
      <c r="O2616" s="2" t="inlineStr">
        <is>
          <t>https://www.jumbo.com.ar/shampoo-elvive-kera-liso-brillo-400ml/p</t>
        </is>
      </c>
    </row>
    <row r="2617">
      <c r="A2617" t="inlineStr">
        <is>
          <t>Jumbo</t>
        </is>
      </c>
      <c r="B2617" t="n">
        <v>23864</v>
      </c>
      <c r="C2617" t="n">
        <v>21026</v>
      </c>
      <c r="D2617" t="inlineStr">
        <is>
          <t>Crema De Enjuague Elvive-renutricion-pvc-ml.-300</t>
        </is>
      </c>
      <c r="E2617" t="inlineStr">
        <is>
          <t>ELVIVE</t>
        </is>
      </c>
      <c r="F2617" t="n">
        <v>91.65000000000001</v>
      </c>
      <c r="G2617" t="n">
        <v>7574</v>
      </c>
      <c r="H2617" t="b">
        <v>0</v>
      </c>
      <c r="I2617" t="inlineStr"/>
      <c r="J2617" t="inlineStr"/>
      <c r="K2617" t="inlineStr">
        <is>
          <t>&gt; Perfumería &gt; Cuidado Capilar &gt; Acondicionador &gt;</t>
        </is>
      </c>
      <c r="L2617" t="inlineStr">
        <is>
          <t>acondicionador</t>
        </is>
      </c>
      <c r="M2617" t="inlineStr">
        <is>
          <t>profesional</t>
        </is>
      </c>
      <c r="N2617" t="inlineStr">
        <is>
          <t>general</t>
        </is>
      </c>
      <c r="O2617" t="inlineStr">
        <is>
          <t>https://www.jumbo.com.ar/crema-de-enjuague-elvive-7/p</t>
        </is>
      </c>
    </row>
    <row r="2618">
      <c r="A2618" s="2" t="inlineStr">
        <is>
          <t>Jumbo</t>
        </is>
      </c>
      <c r="B2618" s="2" t="n">
        <v>18084</v>
      </c>
      <c r="C2618" s="2" t="n">
        <v>15178</v>
      </c>
      <c r="D2618" s="2" t="inlineStr">
        <is>
          <t>Tratamiento Elvive Keraliso 200 Ml</t>
        </is>
      </c>
      <c r="E2618" s="2" t="inlineStr">
        <is>
          <t>ELVIVE</t>
        </is>
      </c>
      <c r="F2618" s="2" t="n">
        <v>143.85</v>
      </c>
      <c r="G2618" s="2" t="n">
        <v>11888</v>
      </c>
      <c r="H2618" s="2" t="b">
        <v>0</v>
      </c>
      <c r="I2618" s="2" t="n">
        <v>200</v>
      </c>
      <c r="J2618" s="2" t="n">
        <v>0.7192</v>
      </c>
      <c r="K2618" s="2" t="inlineStr">
        <is>
          <t>&gt; Perfumería &gt; Cuidado Capilar &gt; Reparación y Tratamientos &gt;</t>
        </is>
      </c>
      <c r="L2618" s="2" t="inlineStr">
        <is>
          <t>tratamiento</t>
        </is>
      </c>
      <c r="M2618" s="2" t="inlineStr">
        <is>
          <t>profesional</t>
        </is>
      </c>
      <c r="N2618" s="2" t="inlineStr">
        <is>
          <t>general</t>
        </is>
      </c>
      <c r="O2618" s="2" t="inlineStr">
        <is>
          <t>https://www.jumbo.com.ar/tratamiento-elvive-keraliso-200-ml/p</t>
        </is>
      </c>
    </row>
    <row r="2619">
      <c r="A2619" t="inlineStr">
        <is>
          <t>Jumbo</t>
        </is>
      </c>
      <c r="B2619" t="n">
        <v>12117</v>
      </c>
      <c r="C2619" t="n">
        <v>9376</v>
      </c>
      <c r="D2619" t="inlineStr">
        <is>
          <t>Crema Tratamiento Fibralogy Elvive L Oréal Paris 300 Ml</t>
        </is>
      </c>
      <c r="E2619" t="inlineStr">
        <is>
          <t>ELVIVE</t>
        </is>
      </c>
      <c r="F2619" t="n">
        <v>476.85</v>
      </c>
      <c r="G2619" t="n">
        <v>39409</v>
      </c>
      <c r="H2619" t="b">
        <v>0</v>
      </c>
      <c r="I2619" t="n">
        <v>300</v>
      </c>
      <c r="J2619" t="n">
        <v>1.5895</v>
      </c>
      <c r="K2619" t="inlineStr">
        <is>
          <t>&gt; Perfumería &gt; Cuidado Capilar &gt; Reparación y Tratamientos &gt;</t>
        </is>
      </c>
      <c r="L2619" t="inlineStr">
        <is>
          <t>tratamiento</t>
        </is>
      </c>
      <c r="M2619" t="inlineStr">
        <is>
          <t>profesional</t>
        </is>
      </c>
      <c r="N2619" t="inlineStr">
        <is>
          <t>general</t>
        </is>
      </c>
      <c r="O2619" t="inlineStr">
        <is>
          <t>https://www.jumbo.com.ar/crema-tratamiento-fibralogy-elvive-l-oreal-paris-300-ml/p</t>
        </is>
      </c>
    </row>
    <row r="2620">
      <c r="A2620" s="2" t="inlineStr">
        <is>
          <t>Jumbo</t>
        </is>
      </c>
      <c r="B2620" s="2" t="n">
        <v>12111</v>
      </c>
      <c r="C2620" s="2" t="n">
        <v>9370</v>
      </c>
      <c r="D2620" s="2" t="inlineStr">
        <is>
          <t>Acondicionador Elvive Fibralogy 400ml</t>
        </is>
      </c>
      <c r="E2620" s="2" t="inlineStr">
        <is>
          <t>ELVIVE</t>
        </is>
      </c>
      <c r="F2620" s="2" t="n">
        <v>430.99</v>
      </c>
      <c r="G2620" s="2" t="n">
        <v>35619</v>
      </c>
      <c r="H2620" s="2" t="b">
        <v>0</v>
      </c>
      <c r="I2620" s="2" t="n">
        <v>400</v>
      </c>
      <c r="J2620" s="2" t="n">
        <v>1.0775</v>
      </c>
      <c r="K2620" s="2" t="inlineStr">
        <is>
          <t>&gt; Perfumería &gt; Cuidado Capilar &gt; Acondicionador &gt;</t>
        </is>
      </c>
      <c r="L2620" s="2" t="inlineStr">
        <is>
          <t>acondicionador</t>
        </is>
      </c>
      <c r="M2620" s="2" t="inlineStr">
        <is>
          <t>profesional</t>
        </is>
      </c>
      <c r="N2620" s="2" t="inlineStr">
        <is>
          <t>general</t>
        </is>
      </c>
      <c r="O2620" s="2" t="inlineStr">
        <is>
          <t>https://www.jumbo.com.ar/acondicionador-elvive-fibralogy-400ml/p</t>
        </is>
      </c>
    </row>
    <row r="2621">
      <c r="A2621" t="inlineStr">
        <is>
          <t>Jumbo</t>
        </is>
      </c>
      <c r="B2621" t="n">
        <v>12091</v>
      </c>
      <c r="C2621" t="n">
        <v>9350</v>
      </c>
      <c r="D2621" t="inlineStr">
        <is>
          <t>Acondicionador Fibralogy Elvive L Oréal Paris 200 Ml</t>
        </is>
      </c>
      <c r="E2621" t="inlineStr">
        <is>
          <t>ELVIVE</t>
        </is>
      </c>
      <c r="F2621" t="n">
        <v>266.59</v>
      </c>
      <c r="G2621" t="n">
        <v>22032</v>
      </c>
      <c r="H2621" t="b">
        <v>0</v>
      </c>
      <c r="I2621" t="n">
        <v>200</v>
      </c>
      <c r="J2621" t="n">
        <v>1.3329</v>
      </c>
      <c r="K2621" t="inlineStr">
        <is>
          <t>&gt; Perfumería &gt; Cuidado Capilar &gt; Acondicionador &gt;</t>
        </is>
      </c>
      <c r="L2621" t="inlineStr">
        <is>
          <t>acondicionador</t>
        </is>
      </c>
      <c r="M2621" t="inlineStr">
        <is>
          <t>profesional</t>
        </is>
      </c>
      <c r="N2621" t="inlineStr">
        <is>
          <t>general</t>
        </is>
      </c>
      <c r="O2621" t="inlineStr">
        <is>
          <t>https://www.jumbo.com.ar/acondicionador-fibralogy-elvive-l-oreal-paris-200-ml/p</t>
        </is>
      </c>
    </row>
    <row r="2622">
      <c r="A2622" s="2" t="inlineStr">
        <is>
          <t>Jumbo</t>
        </is>
      </c>
      <c r="B2622" s="2" t="n">
        <v>12087</v>
      </c>
      <c r="C2622" s="2" t="n">
        <v>9346</v>
      </c>
      <c r="D2622" s="2" t="inlineStr">
        <is>
          <t>Crema Para Peinar Fibralogy Elvive L Oréal Paris 250 Ml</t>
        </is>
      </c>
      <c r="E2622" s="2" t="inlineStr">
        <is>
          <t>ELVIVE</t>
        </is>
      </c>
      <c r="F2622" s="2" t="n">
        <v>479.47</v>
      </c>
      <c r="G2622" s="2" t="n">
        <v>39626</v>
      </c>
      <c r="H2622" s="2" t="b">
        <v>0</v>
      </c>
      <c r="I2622" s="2" t="n">
        <v>250</v>
      </c>
      <c r="J2622" s="2" t="n">
        <v>1.9179</v>
      </c>
      <c r="K2622" s="2" t="inlineStr">
        <is>
          <t>&gt; Perfumería &gt; Cuidado Capilar &gt; Reparación y Tratamientos &gt;</t>
        </is>
      </c>
      <c r="L2622" s="2" t="inlineStr">
        <is>
          <t>shampoo</t>
        </is>
      </c>
      <c r="M2622" s="2" t="inlineStr">
        <is>
          <t>profesional</t>
        </is>
      </c>
      <c r="N2622" s="2" t="inlineStr">
        <is>
          <t>general</t>
        </is>
      </c>
      <c r="O2622" s="2" t="inlineStr">
        <is>
          <t>https://www.jumbo.com.ar/crema-para-peinar-fibralogy-elvive-l-oreal-paris-250-ml/p</t>
        </is>
      </c>
    </row>
    <row r="2623">
      <c r="A2623" t="inlineStr">
        <is>
          <t>Jumbo</t>
        </is>
      </c>
      <c r="B2623" t="n">
        <v>9768</v>
      </c>
      <c r="C2623" t="n">
        <v>7046</v>
      </c>
      <c r="D2623" t="inlineStr">
        <is>
          <t>Crema Capilar Elvive Crema Para Peinar Color Vive Elvive L Oréal Paris 250 Ml</t>
        </is>
      </c>
      <c r="E2623" t="inlineStr">
        <is>
          <t>ELVIVE</t>
        </is>
      </c>
      <c r="F2623" t="n">
        <v>479.47</v>
      </c>
      <c r="G2623" t="n">
        <v>39626</v>
      </c>
      <c r="H2623" t="b">
        <v>0</v>
      </c>
      <c r="I2623" t="n">
        <v>250</v>
      </c>
      <c r="J2623" t="n">
        <v>1.9179</v>
      </c>
      <c r="K2623" t="inlineStr">
        <is>
          <t>&gt; Perfumería &gt; Cuidado Capilar &gt; Reparación y Tratamientos &gt;</t>
        </is>
      </c>
      <c r="L2623" t="inlineStr">
        <is>
          <t>shampoo</t>
        </is>
      </c>
      <c r="M2623" t="inlineStr">
        <is>
          <t>profesional</t>
        </is>
      </c>
      <c r="N2623" t="inlineStr">
        <is>
          <t>tratado</t>
        </is>
      </c>
      <c r="O2623" t="inlineStr">
        <is>
          <t>https://www.jumbo.com.ar/crema-capilar-elvive-11/p</t>
        </is>
      </c>
    </row>
    <row r="2624">
      <c r="A2624" s="2" t="inlineStr">
        <is>
          <t>Jumbo</t>
        </is>
      </c>
      <c r="B2624" s="2" t="n">
        <v>9765</v>
      </c>
      <c r="C2624" s="2" t="n">
        <v>7043</v>
      </c>
      <c r="D2624" s="2" t="inlineStr">
        <is>
          <t>Tratamiento Elvive Rep Total 5 300gr</t>
        </is>
      </c>
      <c r="E2624" s="2" t="inlineStr">
        <is>
          <t>ELVIVE</t>
        </is>
      </c>
      <c r="F2624" s="2" t="n">
        <v>800</v>
      </c>
      <c r="G2624" s="2" t="n">
        <v>66116</v>
      </c>
      <c r="H2624" s="2" t="b">
        <v>0</v>
      </c>
      <c r="I2624" s="2" t="n">
        <v>300</v>
      </c>
      <c r="J2624" s="2" t="n">
        <v>2.6667</v>
      </c>
      <c r="K2624" s="2" t="inlineStr">
        <is>
          <t>&gt; Perfumería &gt; Cuidado Capilar &gt; Reparación y Tratamientos &gt;</t>
        </is>
      </c>
      <c r="L2624" s="2" t="inlineStr">
        <is>
          <t>tratamiento</t>
        </is>
      </c>
      <c r="M2624" s="2" t="inlineStr">
        <is>
          <t>profesional</t>
        </is>
      </c>
      <c r="N2624" s="2" t="inlineStr">
        <is>
          <t>general</t>
        </is>
      </c>
      <c r="O2624" s="2" t="inlineStr">
        <is>
          <t>https://www.jumbo.com.ar/tratamiento-elvive-rep-total-5-300gr/p</t>
        </is>
      </c>
    </row>
    <row r="2625">
      <c r="A2625" t="inlineStr">
        <is>
          <t>Jumbo</t>
        </is>
      </c>
      <c r="B2625" t="n">
        <v>9763</v>
      </c>
      <c r="C2625" t="n">
        <v>7041</v>
      </c>
      <c r="D2625" t="inlineStr">
        <is>
          <t>Tratamiento Elvive Color 300gr</t>
        </is>
      </c>
      <c r="E2625" t="inlineStr">
        <is>
          <t>ELVIVE</t>
        </is>
      </c>
      <c r="F2625" t="n">
        <v>520.25</v>
      </c>
      <c r="G2625" t="n">
        <v>42996</v>
      </c>
      <c r="H2625" t="b">
        <v>0</v>
      </c>
      <c r="I2625" t="n">
        <v>300</v>
      </c>
      <c r="J2625" t="n">
        <v>1.7342</v>
      </c>
      <c r="K2625" t="inlineStr">
        <is>
          <t>&gt; Perfumería &gt; Cuidado Capilar &gt; Reparación y Tratamientos &gt;</t>
        </is>
      </c>
      <c r="L2625" t="inlineStr">
        <is>
          <t>tratamiento</t>
        </is>
      </c>
      <c r="M2625" t="inlineStr">
        <is>
          <t>profesional</t>
        </is>
      </c>
      <c r="N2625" t="inlineStr">
        <is>
          <t>tratado</t>
        </is>
      </c>
      <c r="O2625" t="inlineStr">
        <is>
          <t>https://www.jumbo.com.ar/tratamiento-elvive-color-300gr/p</t>
        </is>
      </c>
    </row>
    <row r="2626">
      <c r="A2626" s="2" t="inlineStr">
        <is>
          <t>Jumbo</t>
        </is>
      </c>
      <c r="B2626" s="2" t="n">
        <v>9762</v>
      </c>
      <c r="C2626" s="2" t="n">
        <v>7040</v>
      </c>
      <c r="D2626" s="2" t="inlineStr">
        <is>
          <t>Crema Capilar Elvive Rizos Hidratados Colágeno 250 Ml</t>
        </is>
      </c>
      <c r="E2626" s="2" t="inlineStr">
        <is>
          <t>ELVIVE</t>
        </is>
      </c>
      <c r="F2626" s="2" t="n">
        <v>97.06999999999999</v>
      </c>
      <c r="G2626" s="2" t="n">
        <v>8022</v>
      </c>
      <c r="H2626" s="2" t="b">
        <v>0</v>
      </c>
      <c r="I2626" s="2" t="n">
        <v>250</v>
      </c>
      <c r="J2626" s="2" t="n">
        <v>0.3883</v>
      </c>
      <c r="K2626" s="2" t="inlineStr">
        <is>
          <t>&gt; Perfumería &gt; Cuidado Capilar &gt; Reparación y Tratamientos &gt;</t>
        </is>
      </c>
      <c r="L2626" s="2" t="inlineStr">
        <is>
          <t>shampoo</t>
        </is>
      </c>
      <c r="M2626" s="2" t="inlineStr">
        <is>
          <t>profesional</t>
        </is>
      </c>
      <c r="N2626" s="2" t="inlineStr">
        <is>
          <t>rizado</t>
        </is>
      </c>
      <c r="O2626" s="2" t="inlineStr">
        <is>
          <t>https://www.jumbo.com.ar/crema-capilar-elvive-rizos-hidratados-colageno-250-ml/p</t>
        </is>
      </c>
    </row>
    <row r="2627">
      <c r="A2627" t="inlineStr">
        <is>
          <t>Jumbo</t>
        </is>
      </c>
      <c r="B2627" t="n">
        <v>9759</v>
      </c>
      <c r="C2627" t="n">
        <v>7037</v>
      </c>
      <c r="D2627" t="inlineStr">
        <is>
          <t>Crema Capilar Elvive Renutrición 250 Ml</t>
        </is>
      </c>
      <c r="E2627" t="inlineStr">
        <is>
          <t>ELVIVE</t>
        </is>
      </c>
      <c r="F2627" t="n">
        <v>479.47</v>
      </c>
      <c r="G2627" t="n">
        <v>39626</v>
      </c>
      <c r="H2627" t="b">
        <v>0</v>
      </c>
      <c r="I2627" t="n">
        <v>250</v>
      </c>
      <c r="J2627" t="n">
        <v>1.9179</v>
      </c>
      <c r="K2627" t="inlineStr">
        <is>
          <t>&gt; Perfumería &gt; Cuidado Capilar &gt; Reparación y Tratamientos &gt;</t>
        </is>
      </c>
      <c r="L2627" t="inlineStr">
        <is>
          <t>shampoo</t>
        </is>
      </c>
      <c r="M2627" t="inlineStr">
        <is>
          <t>profesional</t>
        </is>
      </c>
      <c r="N2627" t="inlineStr">
        <is>
          <t>general</t>
        </is>
      </c>
      <c r="O2627" t="inlineStr">
        <is>
          <t>https://www.jumbo.com.ar/crema-capilar-elvive-2/p</t>
        </is>
      </c>
    </row>
    <row r="2628">
      <c r="A2628" s="2" t="inlineStr">
        <is>
          <t>Jumbo</t>
        </is>
      </c>
      <c r="B2628" s="2" t="n">
        <v>9758</v>
      </c>
      <c r="C2628" s="2" t="n">
        <v>7036</v>
      </c>
      <c r="D2628" s="2" t="inlineStr">
        <is>
          <t>Crema Elvive Reparacion Total 5 250ml</t>
        </is>
      </c>
      <c r="E2628" s="2" t="inlineStr">
        <is>
          <t>ELVIVE</t>
        </is>
      </c>
      <c r="F2628" s="2" t="n">
        <v>558.13</v>
      </c>
      <c r="G2628" s="2" t="n">
        <v>46126</v>
      </c>
      <c r="H2628" s="2" t="b">
        <v>0</v>
      </c>
      <c r="I2628" s="2" t="n">
        <v>250</v>
      </c>
      <c r="J2628" s="2" t="n">
        <v>2.2325</v>
      </c>
      <c r="K2628" s="2" t="inlineStr">
        <is>
          <t>&gt; Perfumería &gt; Cuidado Capilar &gt; Reparación y Tratamientos &gt;</t>
        </is>
      </c>
      <c r="L2628" s="2" t="inlineStr">
        <is>
          <t>shampoo</t>
        </is>
      </c>
      <c r="M2628" s="2" t="inlineStr">
        <is>
          <t>profesional</t>
        </is>
      </c>
      <c r="N2628" s="2" t="inlineStr">
        <is>
          <t>general</t>
        </is>
      </c>
      <c r="O2628" s="2" t="inlineStr">
        <is>
          <t>https://www.jumbo.com.ar/crema-elvive-reparacion-total-5-250ml/p</t>
        </is>
      </c>
    </row>
    <row r="2629">
      <c r="A2629" t="inlineStr">
        <is>
          <t>Jumbo</t>
        </is>
      </c>
      <c r="B2629" t="n">
        <v>7699</v>
      </c>
      <c r="C2629" t="n">
        <v>5025</v>
      </c>
      <c r="D2629" t="inlineStr">
        <is>
          <t>Tratamiento Elvive Rt5 Extreme 300gr</t>
        </is>
      </c>
      <c r="E2629" t="inlineStr">
        <is>
          <t>ELVIVE</t>
        </is>
      </c>
      <c r="F2629" t="n">
        <v>520.25</v>
      </c>
      <c r="G2629" t="n">
        <v>42996</v>
      </c>
      <c r="H2629" t="b">
        <v>0</v>
      </c>
      <c r="I2629" t="n">
        <v>300</v>
      </c>
      <c r="J2629" t="n">
        <v>1.7342</v>
      </c>
      <c r="K2629" t="inlineStr">
        <is>
          <t>&gt; Perfumería &gt; Cuidado Capilar &gt; Reparación y Tratamientos &gt;</t>
        </is>
      </c>
      <c r="L2629" t="inlineStr">
        <is>
          <t>tratamiento</t>
        </is>
      </c>
      <c r="M2629" t="inlineStr">
        <is>
          <t>profesional</t>
        </is>
      </c>
      <c r="N2629" t="inlineStr">
        <is>
          <t>general</t>
        </is>
      </c>
      <c r="O2629" t="inlineStr">
        <is>
          <t>https://www.jumbo.com.ar/tratamiento-elvive-rt5-extreme-300gr/p</t>
        </is>
      </c>
    </row>
    <row r="2630">
      <c r="A2630" s="2" t="inlineStr">
        <is>
          <t>Jumbo</t>
        </is>
      </c>
      <c r="B2630" s="2" t="n">
        <v>3512</v>
      </c>
      <c r="C2630" s="2" t="n">
        <v>248531</v>
      </c>
      <c r="D2630" s="2" t="inlineStr">
        <is>
          <t>Shampoo Elvive Rizos Hidratados 750ml</t>
        </is>
      </c>
      <c r="E2630" s="2" t="inlineStr">
        <is>
          <t>ELVIVE</t>
        </is>
      </c>
      <c r="F2630" s="2" t="n">
        <v>745.65</v>
      </c>
      <c r="G2630" s="2" t="n">
        <v>61624</v>
      </c>
      <c r="H2630" s="2" t="b">
        <v>0</v>
      </c>
      <c r="I2630" s="2" t="n">
        <v>750</v>
      </c>
      <c r="J2630" s="2" t="n">
        <v>0.9942</v>
      </c>
      <c r="K2630" s="2" t="inlineStr">
        <is>
          <t>&gt; Perfumería &gt; Cuidado Capilar &gt; Shampoo &gt;</t>
        </is>
      </c>
      <c r="L2630" s="2" t="inlineStr">
        <is>
          <t>shampoo</t>
        </is>
      </c>
      <c r="M2630" s="2" t="inlineStr">
        <is>
          <t>profesional</t>
        </is>
      </c>
      <c r="N2630" s="2" t="inlineStr">
        <is>
          <t>rizado</t>
        </is>
      </c>
      <c r="O2630" s="2" t="inlineStr">
        <is>
          <t>https://www.jumbo.com.ar/shampoo-elvive-rizos-hidratados-750ml/p</t>
        </is>
      </c>
    </row>
    <row r="2631">
      <c r="A2631" t="inlineStr">
        <is>
          <t>Jumbo</t>
        </is>
      </c>
      <c r="B2631" t="n">
        <v>3496</v>
      </c>
      <c r="C2631" t="n">
        <v>248524</v>
      </c>
      <c r="D2631" t="inlineStr">
        <is>
          <t>Crema De Enjuague Elvive-nutri - Gloss-nueva Presentacion-pvc-ml.-400</t>
        </is>
      </c>
      <c r="E2631" t="inlineStr">
        <is>
          <t>ELVIVE</t>
        </is>
      </c>
      <c r="F2631" t="n">
        <v>91.65000000000001</v>
      </c>
      <c r="G2631" t="n">
        <v>7574</v>
      </c>
      <c r="H2631" t="b">
        <v>0</v>
      </c>
      <c r="I2631" t="inlineStr"/>
      <c r="J2631" t="inlineStr"/>
      <c r="K2631" t="inlineStr">
        <is>
          <t>&gt; Perfumería &gt; Cuidado Capilar &gt; Acondicionador &gt;</t>
        </is>
      </c>
      <c r="L2631" t="inlineStr">
        <is>
          <t>acondicionador</t>
        </is>
      </c>
      <c r="M2631" t="inlineStr">
        <is>
          <t>profesional</t>
        </is>
      </c>
      <c r="N2631" t="inlineStr">
        <is>
          <t>general</t>
        </is>
      </c>
      <c r="O2631" t="inlineStr">
        <is>
          <t>https://www.jumbo.com.ar/crema-de-enjuague-elvive/p</t>
        </is>
      </c>
    </row>
    <row r="2632">
      <c r="A2632" s="2" t="inlineStr">
        <is>
          <t>Jumbo</t>
        </is>
      </c>
      <c r="B2632" s="2" t="n">
        <v>3464</v>
      </c>
      <c r="C2632" s="2" t="n">
        <v>248550</v>
      </c>
      <c r="D2632" s="2" t="inlineStr">
        <is>
          <t>Shampoo Elvive Citrus 400ml</t>
        </is>
      </c>
      <c r="E2632" s="2" t="inlineStr">
        <is>
          <t>ELVIVE</t>
        </is>
      </c>
      <c r="F2632" s="2" t="n">
        <v>533.79</v>
      </c>
      <c r="G2632" s="2" t="n">
        <v>44115</v>
      </c>
      <c r="H2632" s="2" t="b">
        <v>0</v>
      </c>
      <c r="I2632" s="2" t="n">
        <v>400</v>
      </c>
      <c r="J2632" s="2" t="n">
        <v>1.3345</v>
      </c>
      <c r="K2632" s="2" t="inlineStr">
        <is>
          <t>&gt; Perfumería &gt; Cuidado Capilar &gt; Shampoo &gt;</t>
        </is>
      </c>
      <c r="L2632" s="2" t="inlineStr">
        <is>
          <t>shampoo</t>
        </is>
      </c>
      <c r="M2632" s="2" t="inlineStr">
        <is>
          <t>profesional</t>
        </is>
      </c>
      <c r="N2632" s="2" t="inlineStr">
        <is>
          <t>general</t>
        </is>
      </c>
      <c r="O2632" s="2" t="inlineStr">
        <is>
          <t>https://www.jumbo.com.ar/shampoo-elvive-citrus-400ml/p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0" customWidth="1" min="3" max="3"/>
    <col width="55" customWidth="1" min="4" max="4"/>
    <col width="19" customWidth="1" min="5" max="5"/>
    <col width="13" customWidth="1" min="6" max="6"/>
    <col width="15" customWidth="1" min="7" max="7"/>
    <col width="13" customWidth="1" min="8" max="8"/>
    <col width="13" customWidth="1" min="9" max="9"/>
    <col width="16" customWidth="1" min="10" max="10"/>
    <col width="55" customWidth="1" min="11" max="11"/>
    <col width="17" customWidth="1" min="12" max="12"/>
    <col width="14" customWidth="1" min="13" max="13"/>
    <col width="15" customWidth="1" min="14" max="14"/>
    <col width="55" customWidth="1" min="15" max="15"/>
    <col width="29" customWidth="1" min="16" max="16"/>
    <col width="55" customWidth="1" min="17" max="17"/>
    <col width="33" customWidth="1" min="18" max="18"/>
    <col width="46" customWidth="1" min="19" max="19"/>
    <col width="55" customWidth="1" min="20" max="20"/>
    <col width="54" customWidth="1" min="21" max="21"/>
  </cols>
  <sheetData>
    <row r="1" ht="26" customHeight="1">
      <c r="A1" s="1" t="inlineStr">
        <is>
          <t>fuente</t>
        </is>
      </c>
      <c r="B1" s="1" t="inlineStr">
        <is>
          <t>producto_id</t>
        </is>
      </c>
      <c r="C1" s="1" t="inlineStr">
        <is>
          <t>sku_id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precio_ars</t>
        </is>
      </c>
      <c r="G1" s="1" t="inlineStr">
        <is>
          <t>precio_lista</t>
        </is>
      </c>
      <c r="H1" s="1" t="inlineStr">
        <is>
          <t>disponible</t>
        </is>
      </c>
      <c r="I1" s="1" t="inlineStr">
        <is>
          <t>volumen_ml</t>
        </is>
      </c>
      <c r="J1" s="1" t="inlineStr">
        <is>
          <t>precio_por_ml</t>
        </is>
      </c>
      <c r="K1" s="1" t="inlineStr">
        <is>
          <t>categoria_raw</t>
        </is>
      </c>
      <c r="L1" s="1" t="inlineStr">
        <is>
          <t>tipo_producto</t>
        </is>
      </c>
      <c r="M1" s="1" t="inlineStr">
        <is>
          <t>linea_tipo</t>
        </is>
      </c>
      <c r="N1" s="1" t="inlineStr">
        <is>
          <t>tipo_cabello</t>
        </is>
      </c>
      <c r="O1" s="1" t="inlineStr">
        <is>
          <t>url</t>
        </is>
      </c>
      <c r="P1" s="3" t="inlineStr">
        <is>
          <t>nombre_limpio</t>
        </is>
      </c>
      <c r="Q1" s="3" t="inlineStr">
        <is>
          <t>marca_normalizada</t>
        </is>
      </c>
      <c r="R1" s="3" t="inlineStr">
        <is>
          <t>es_duplicado</t>
        </is>
      </c>
      <c r="S1" s="3" t="inlineStr">
        <is>
          <t>disponible_texto</t>
        </is>
      </c>
      <c r="T1" s="3" t="inlineStr">
        <is>
          <t>precio_ml_calculado</t>
        </is>
      </c>
      <c r="U1" s="3" t="inlineStr">
        <is>
          <t>rango_precio</t>
        </is>
      </c>
    </row>
    <row r="2">
      <c r="A2" s="2" t="inlineStr">
        <is>
          <t>Jumbo</t>
        </is>
      </c>
      <c r="B2" s="2" t="n">
        <v>405294</v>
      </c>
      <c r="C2" s="2" t="n">
        <v>402229</v>
      </c>
      <c r="D2" s="2" t="inlineStr">
        <is>
          <t>Shampoo Fructis Hydraliss 200ml</t>
        </is>
      </c>
      <c r="E2" s="2" t="inlineStr">
        <is>
          <t>FRUCTIS</t>
        </is>
      </c>
      <c r="F2" s="2" t="n">
        <v>5900</v>
      </c>
      <c r="G2" s="2" t="n">
        <v>487603</v>
      </c>
      <c r="H2" s="2" t="b">
        <v>1</v>
      </c>
      <c r="I2" s="2" t="n">
        <v>200</v>
      </c>
      <c r="J2" s="2" t="n">
        <v>29.5</v>
      </c>
      <c r="K2" s="2" t="inlineStr">
        <is>
          <t>&gt; Perfumería &gt; Cuidado Capilar &gt; Shampoo &gt;</t>
        </is>
      </c>
      <c r="L2" s="2" t="inlineStr">
        <is>
          <t>shampoo</t>
        </is>
      </c>
      <c r="M2" s="2" t="inlineStr">
        <is>
          <t>estandar</t>
        </is>
      </c>
      <c r="N2" s="2" t="inlineStr">
        <is>
          <t>general</t>
        </is>
      </c>
      <c r="O2" s="2" t="inlineStr">
        <is>
          <t>https://www.jumbo.com.ar/shampoo-fructis-hydraliss-200ml/p</t>
        </is>
      </c>
      <c r="P2" s="4">
        <f>TRIM(CLEAN(PROPER(D2)))</f>
        <v/>
      </c>
      <c r="Q2" s="4">
        <f>PROPER(TRIM(SUBSTITUTE(SUBSTITUTE(SUBSTITUTE(SUBSTITUTE(E2,"TRESEMME","Tresemme"),"HEAD &amp; SHOULDERS","Head &amp; Shoulders"),"ELVIVE","Elvive"),"FRUCTIS","Fructis")))</f>
        <v/>
      </c>
      <c r="R2" s="4">
        <f>COUNTIF($D$2:$D$10000,D2)&gt;1</f>
        <v/>
      </c>
      <c r="S2" s="4">
        <f>IF(H2=TRUE,"Disponible","No disponible")</f>
        <v/>
      </c>
      <c r="T2" s="4">
        <f>IF(AND(ISNUMBER(I2),I2&gt;0),ROUND(F2/I2,2),"Sin volumen")</f>
        <v/>
      </c>
      <c r="U2" s="4">
        <f>IF(F2&lt;5000,"Bajo",IF(F2&lt;15000,"Medio","Alto"))</f>
        <v/>
      </c>
    </row>
    <row r="3">
      <c r="A3" t="inlineStr">
        <is>
          <t>Jumbo</t>
        </is>
      </c>
      <c r="B3" t="n">
        <v>3087475</v>
      </c>
      <c r="C3" t="n">
        <v>3086698</v>
      </c>
      <c r="D3" t="inlineStr">
        <is>
          <t>Shampoo Pantene Restauracion 700ml</t>
        </is>
      </c>
      <c r="E3" t="inlineStr">
        <is>
          <t>PANTENE</t>
        </is>
      </c>
      <c r="F3" t="n">
        <v>17250</v>
      </c>
      <c r="G3" t="n">
        <v>1425620</v>
      </c>
      <c r="H3" t="b">
        <v>1</v>
      </c>
      <c r="I3" t="n">
        <v>700</v>
      </c>
      <c r="J3" t="n">
        <v>24.6429</v>
      </c>
      <c r="K3" t="inlineStr">
        <is>
          <t>&gt; Perfumería &gt; Cuidado Capilar &gt; Shampoo &gt;</t>
        </is>
      </c>
      <c r="L3" t="inlineStr">
        <is>
          <t>shampoo</t>
        </is>
      </c>
      <c r="M3" t="inlineStr">
        <is>
          <t>estandar</t>
        </is>
      </c>
      <c r="N3" t="inlineStr">
        <is>
          <t>general</t>
        </is>
      </c>
      <c r="O3" t="inlineStr">
        <is>
          <t>https://www.jumbo.com.ar/shampoo-pantene-restauracion-700ml/p</t>
        </is>
      </c>
      <c r="P3">
        <f>TRIM(CLEAN(PROPER(D3)))</f>
        <v/>
      </c>
      <c r="Q3">
        <f>PROPER(TRIM(SUBSTITUTE(SUBSTITUTE(SUBSTITUTE(SUBSTITUTE(E3,"TRESEMME","Tresemme"),"HEAD &amp; SHOULDERS","Head &amp; Shoulders"),"ELVIVE","Elvive"),"FRUCTIS","Fructis")))</f>
        <v/>
      </c>
      <c r="R3">
        <f>COUNTIF($D$2:$D$10000,D3)&gt;1</f>
        <v/>
      </c>
      <c r="S3">
        <f>IF(H3=TRUE,"Disponible","No disponible")</f>
        <v/>
      </c>
      <c r="T3">
        <f>IF(AND(ISNUMBER(I3),I3&gt;0),ROUND(F3/I3,2),"Sin volumen")</f>
        <v/>
      </c>
      <c r="U3">
        <f>IF(F3&lt;5000,"Bajo",IF(F3&lt;15000,"Medio","Alto"))</f>
        <v/>
      </c>
    </row>
    <row r="4">
      <c r="A4" s="2" t="inlineStr">
        <is>
          <t>Jumbo</t>
        </is>
      </c>
      <c r="B4" s="2" t="n">
        <v>400585</v>
      </c>
      <c r="C4" s="2" t="n">
        <v>397923</v>
      </c>
      <c r="D4" s="2" t="inlineStr">
        <is>
          <t>Shampoo Elvive Colorvive 400ml</t>
        </is>
      </c>
      <c r="E4" s="2" t="inlineStr">
        <is>
          <t>ELVIVE</t>
        </is>
      </c>
      <c r="F4" s="2" t="n">
        <v>11123</v>
      </c>
      <c r="G4" s="2" t="n">
        <v>919256</v>
      </c>
      <c r="H4" s="2" t="b">
        <v>1</v>
      </c>
      <c r="I4" s="2" t="n">
        <v>400</v>
      </c>
      <c r="J4" s="2" t="n">
        <v>27.8075</v>
      </c>
      <c r="K4" s="2" t="inlineStr">
        <is>
          <t>&gt; Perfumería &gt; Cuidado Capilar &gt; Shampoo &gt;</t>
        </is>
      </c>
      <c r="L4" s="2" t="inlineStr">
        <is>
          <t>shampoo</t>
        </is>
      </c>
      <c r="M4" s="2" t="inlineStr">
        <is>
          <t>profesional</t>
        </is>
      </c>
      <c r="N4" s="2" t="inlineStr">
        <is>
          <t>tratado</t>
        </is>
      </c>
      <c r="O4" s="2" t="inlineStr">
        <is>
          <t>https://www.jumbo.com.ar/shampoo-elvive-colorvive-400ml/p</t>
        </is>
      </c>
      <c r="P4" s="4">
        <f>TRIM(CLEAN(PROPER(D4)))</f>
        <v/>
      </c>
      <c r="Q4" s="4">
        <f>PROPER(TRIM(SUBSTITUTE(SUBSTITUTE(SUBSTITUTE(SUBSTITUTE(E4,"TRESEMME","Tresemme"),"HEAD &amp; SHOULDERS","Head &amp; Shoulders"),"ELVIVE","Elvive"),"FRUCTIS","Fructis")))</f>
        <v/>
      </c>
      <c r="R4" s="4">
        <f>COUNTIF($D$2:$D$10000,D4)&gt;1</f>
        <v/>
      </c>
      <c r="S4" s="4">
        <f>IF(H4=TRUE,"Disponible","No disponible")</f>
        <v/>
      </c>
      <c r="T4" s="4">
        <f>IF(AND(ISNUMBER(I4),I4&gt;0),ROUND(F4/I4,2),"Sin volumen")</f>
        <v/>
      </c>
      <c r="U4" s="4">
        <f>IF(F4&lt;5000,"Bajo",IF(F4&lt;15000,"Medio","Alto"))</f>
        <v/>
      </c>
    </row>
    <row r="5">
      <c r="A5" t="inlineStr">
        <is>
          <t>Jumbo</t>
        </is>
      </c>
      <c r="B5" t="n">
        <v>3087378</v>
      </c>
      <c r="C5" t="n">
        <v>3086599</v>
      </c>
      <c r="D5" t="inlineStr">
        <is>
          <t>Shampoo Dove Regeneracionretinol 650ml</t>
        </is>
      </c>
      <c r="E5" t="inlineStr">
        <is>
          <t>DOVE</t>
        </is>
      </c>
      <c r="F5" t="n">
        <v>16700</v>
      </c>
      <c r="G5" t="n">
        <v>1380165</v>
      </c>
      <c r="H5" t="b">
        <v>1</v>
      </c>
      <c r="I5" t="n">
        <v>650</v>
      </c>
      <c r="J5" t="n">
        <v>25.6923</v>
      </c>
      <c r="K5" t="inlineStr">
        <is>
          <t>&gt; Perfumería &gt; Cuidado Capilar &gt; Shampoo &gt;</t>
        </is>
      </c>
      <c r="L5" t="inlineStr">
        <is>
          <t>shampoo</t>
        </is>
      </c>
      <c r="M5" t="inlineStr">
        <is>
          <t>estandar</t>
        </is>
      </c>
      <c r="N5" t="inlineStr">
        <is>
          <t>general</t>
        </is>
      </c>
      <c r="O5" t="inlineStr">
        <is>
          <t>https://www.jumbo.com.ar/shampoo-dove-regeneracionretinol-650ml/p</t>
        </is>
      </c>
      <c r="P5">
        <f>TRIM(CLEAN(PROPER(D5)))</f>
        <v/>
      </c>
      <c r="Q5">
        <f>PROPER(TRIM(SUBSTITUTE(SUBSTITUTE(SUBSTITUTE(SUBSTITUTE(E5,"TRESEMME","Tresemme"),"HEAD &amp; SHOULDERS","Head &amp; Shoulders"),"ELVIVE","Elvive"),"FRUCTIS","Fructis")))</f>
        <v/>
      </c>
      <c r="R5">
        <f>COUNTIF($D$2:$D$10000,D5)&gt;1</f>
        <v/>
      </c>
      <c r="S5">
        <f>IF(H5=TRUE,"Disponible","No disponible")</f>
        <v/>
      </c>
      <c r="T5">
        <f>IF(AND(ISNUMBER(I5),I5&gt;0),ROUND(F5/I5,2),"Sin volumen")</f>
        <v/>
      </c>
      <c r="U5">
        <f>IF(F5&lt;5000,"Bajo",IF(F5&lt;15000,"Medio","Alto"))</f>
        <v/>
      </c>
    </row>
    <row r="6">
      <c r="A6" s="2" t="inlineStr">
        <is>
          <t>Jumbo</t>
        </is>
      </c>
      <c r="B6" s="2" t="n">
        <v>405288</v>
      </c>
      <c r="C6" s="2" t="n">
        <v>402223</v>
      </c>
      <c r="D6" s="2" t="inlineStr">
        <is>
          <t>Shampoo Fructis Hydraliss 350ml</t>
        </is>
      </c>
      <c r="E6" s="2" t="inlineStr">
        <is>
          <t>FRUCTIS</t>
        </is>
      </c>
      <c r="F6" s="2" t="n">
        <v>8600</v>
      </c>
      <c r="G6" s="2" t="n">
        <v>710744</v>
      </c>
      <c r="H6" s="2" t="b">
        <v>1</v>
      </c>
      <c r="I6" s="2" t="n">
        <v>350</v>
      </c>
      <c r="J6" s="2" t="n">
        <v>24.5714</v>
      </c>
      <c r="K6" s="2" t="inlineStr">
        <is>
          <t>&gt; Perfumería &gt; Cuidado Capilar &gt; Shampoo &gt;</t>
        </is>
      </c>
      <c r="L6" s="2" t="inlineStr">
        <is>
          <t>shampoo</t>
        </is>
      </c>
      <c r="M6" s="2" t="inlineStr">
        <is>
          <t>estandar</t>
        </is>
      </c>
      <c r="N6" s="2" t="inlineStr">
        <is>
          <t>general</t>
        </is>
      </c>
      <c r="O6" s="2" t="inlineStr">
        <is>
          <t>https://www.jumbo.com.ar/shampoo-fructis-hydraliss-350ml/p</t>
        </is>
      </c>
      <c r="P6" s="4">
        <f>TRIM(CLEAN(PROPER(D6)))</f>
        <v/>
      </c>
      <c r="Q6" s="4">
        <f>PROPER(TRIM(SUBSTITUTE(SUBSTITUTE(SUBSTITUTE(SUBSTITUTE(E6,"TRESEMME","Tresemme"),"HEAD &amp; SHOULDERS","Head &amp; Shoulders"),"ELVIVE","Elvive"),"FRUCTIS","Fructis")))</f>
        <v/>
      </c>
      <c r="R6" s="4">
        <f>COUNTIF($D$2:$D$10000,D6)&gt;1</f>
        <v/>
      </c>
      <c r="S6" s="4">
        <f>IF(H6=TRUE,"Disponible","No disponible")</f>
        <v/>
      </c>
      <c r="T6" s="4">
        <f>IF(AND(ISNUMBER(I6),I6&gt;0),ROUND(F6/I6,2),"Sin volumen")</f>
        <v/>
      </c>
      <c r="U6" s="4">
        <f>IF(F6&lt;5000,"Bajo",IF(F6&lt;15000,"Medio","Alto"))</f>
        <v/>
      </c>
    </row>
    <row r="7">
      <c r="A7" t="inlineStr">
        <is>
          <t>Jumbo</t>
        </is>
      </c>
      <c r="B7" t="n">
        <v>3087465</v>
      </c>
      <c r="C7" t="n">
        <v>3086687</v>
      </c>
      <c r="D7" t="inlineStr">
        <is>
          <t>Shampoo Dove Reconstaminoacido 650ml</t>
        </is>
      </c>
      <c r="E7" t="inlineStr">
        <is>
          <t>DOVE</t>
        </is>
      </c>
      <c r="F7" t="n">
        <v>16700</v>
      </c>
      <c r="G7" t="n">
        <v>1380165</v>
      </c>
      <c r="H7" t="b">
        <v>1</v>
      </c>
      <c r="I7" t="n">
        <v>650</v>
      </c>
      <c r="J7" t="n">
        <v>25.6923</v>
      </c>
      <c r="K7" t="inlineStr">
        <is>
          <t>&gt; Perfumería &gt; Cuidado Capilar &gt; Shampoo &gt;</t>
        </is>
      </c>
      <c r="L7" t="inlineStr">
        <is>
          <t>shampoo</t>
        </is>
      </c>
      <c r="M7" t="inlineStr">
        <is>
          <t>estandar</t>
        </is>
      </c>
      <c r="N7" t="inlineStr">
        <is>
          <t>general</t>
        </is>
      </c>
      <c r="O7" t="inlineStr">
        <is>
          <t>https://www.jumbo.com.ar/shampoo-dove-reconstaminoacido-650ml/p</t>
        </is>
      </c>
      <c r="P7">
        <f>TRIM(CLEAN(PROPER(D7)))</f>
        <v/>
      </c>
      <c r="Q7">
        <f>PROPER(TRIM(SUBSTITUTE(SUBSTITUTE(SUBSTITUTE(SUBSTITUTE(E7,"TRESEMME","Tresemme"),"HEAD &amp; SHOULDERS","Head &amp; Shoulders"),"ELVIVE","Elvive"),"FRUCTIS","Fructis")))</f>
        <v/>
      </c>
      <c r="R7">
        <f>COUNTIF($D$2:$D$10000,D7)&gt;1</f>
        <v/>
      </c>
      <c r="S7">
        <f>IF(H7=TRUE,"Disponible","No disponible")</f>
        <v/>
      </c>
      <c r="T7">
        <f>IF(AND(ISNUMBER(I7),I7&gt;0),ROUND(F7/I7,2),"Sin volumen")</f>
        <v/>
      </c>
      <c r="U7">
        <f>IF(F7&lt;5000,"Bajo",IF(F7&lt;15000,"Medio","Alto"))</f>
        <v/>
      </c>
    </row>
    <row r="8">
      <c r="A8" s="2" t="inlineStr">
        <is>
          <t>Jumbo</t>
        </is>
      </c>
      <c r="B8" s="2" t="n">
        <v>411249</v>
      </c>
      <c r="C8" s="2" t="n">
        <v>407089</v>
      </c>
      <c r="D8" s="2" t="inlineStr">
        <is>
          <t>Shampoo Dove Hidratacion X400ml</t>
        </is>
      </c>
      <c r="E8" s="2" t="inlineStr">
        <is>
          <t>DOVE</t>
        </is>
      </c>
      <c r="F8" s="2" t="n">
        <v>9150</v>
      </c>
      <c r="G8" s="2" t="n">
        <v>756198</v>
      </c>
      <c r="H8" s="2" t="b">
        <v>1</v>
      </c>
      <c r="I8" s="2" t="n">
        <v>400</v>
      </c>
      <c r="J8" s="2" t="n">
        <v>22.875</v>
      </c>
      <c r="K8" s="2" t="inlineStr">
        <is>
          <t>&gt; Perfumería &gt; Cuidado Capilar &gt; Shampoo &gt;</t>
        </is>
      </c>
      <c r="L8" s="2" t="inlineStr">
        <is>
          <t>shampoo</t>
        </is>
      </c>
      <c r="M8" s="2" t="inlineStr">
        <is>
          <t>estandar</t>
        </is>
      </c>
      <c r="N8" s="2" t="inlineStr">
        <is>
          <t>seco_danado</t>
        </is>
      </c>
      <c r="O8" s="2" t="inlineStr">
        <is>
          <t>https://www.jumbo.com.ar/shampoo-dove-hidratacion-x400ml/p</t>
        </is>
      </c>
      <c r="P8" s="4">
        <f>TRIM(CLEAN(PROPER(D8)))</f>
        <v/>
      </c>
      <c r="Q8" s="4">
        <f>PROPER(TRIM(SUBSTITUTE(SUBSTITUTE(SUBSTITUTE(SUBSTITUTE(E8,"TRESEMME","Tresemme"),"HEAD &amp; SHOULDERS","Head &amp; Shoulders"),"ELVIVE","Elvive"),"FRUCTIS","Fructis")))</f>
        <v/>
      </c>
      <c r="R8" s="4">
        <f>COUNTIF($D$2:$D$10000,D8)&gt;1</f>
        <v/>
      </c>
      <c r="S8" s="4">
        <f>IF(H8=TRUE,"Disponible","No disponible")</f>
        <v/>
      </c>
      <c r="T8" s="4">
        <f>IF(AND(ISNUMBER(I8),I8&gt;0),ROUND(F8/I8,2),"Sin volumen")</f>
        <v/>
      </c>
      <c r="U8" s="4">
        <f>IF(F8&lt;5000,"Bajo",IF(F8&lt;15000,"Medio","Alto"))</f>
        <v/>
      </c>
    </row>
    <row r="9">
      <c r="A9" t="inlineStr">
        <is>
          <t>Jumbo</t>
        </is>
      </c>
      <c r="B9" t="n">
        <v>412482</v>
      </c>
      <c r="C9" t="n">
        <v>408091</v>
      </c>
      <c r="D9" t="inlineStr">
        <is>
          <t>Shampoo Fructis Liso Coco 200ml</t>
        </is>
      </c>
      <c r="E9" t="inlineStr">
        <is>
          <t>FRUCTIS</t>
        </is>
      </c>
      <c r="F9" t="n">
        <v>5900</v>
      </c>
      <c r="G9" t="n">
        <v>487603</v>
      </c>
      <c r="H9" t="b">
        <v>1</v>
      </c>
      <c r="I9" t="n">
        <v>200</v>
      </c>
      <c r="J9" t="n">
        <v>29.5</v>
      </c>
      <c r="K9" t="inlineStr">
        <is>
          <t>&gt; Perfumería &gt; Cuidado Capilar &gt; Shampoo &gt;</t>
        </is>
      </c>
      <c r="L9" t="inlineStr">
        <is>
          <t>shampoo</t>
        </is>
      </c>
      <c r="M9" t="inlineStr">
        <is>
          <t>estandar</t>
        </is>
      </c>
      <c r="N9" t="inlineStr">
        <is>
          <t>general</t>
        </is>
      </c>
      <c r="O9" t="inlineStr">
        <is>
          <t>https://www.jumbo.com.ar/shampoo-fructis-liso-coco-200ml-3/p</t>
        </is>
      </c>
      <c r="P9">
        <f>TRIM(CLEAN(PROPER(D9)))</f>
        <v/>
      </c>
      <c r="Q9">
        <f>PROPER(TRIM(SUBSTITUTE(SUBSTITUTE(SUBSTITUTE(SUBSTITUTE(E9,"TRESEMME","Tresemme"),"HEAD &amp; SHOULDERS","Head &amp; Shoulders"),"ELVIVE","Elvive"),"FRUCTIS","Fructis")))</f>
        <v/>
      </c>
      <c r="R9">
        <f>COUNTIF($D$2:$D$10000,D9)&gt;1</f>
        <v/>
      </c>
      <c r="S9">
        <f>IF(H9=TRUE,"Disponible","No disponible")</f>
        <v/>
      </c>
      <c r="T9">
        <f>IF(AND(ISNUMBER(I9),I9&gt;0),ROUND(F9/I9,2),"Sin volumen")</f>
        <v/>
      </c>
      <c r="U9">
        <f>IF(F9&lt;5000,"Bajo",IF(F9&lt;15000,"Medio","Alto"))</f>
        <v/>
      </c>
    </row>
    <row r="10">
      <c r="A10" s="2" t="inlineStr">
        <is>
          <t>Jumbo</t>
        </is>
      </c>
      <c r="B10" s="2" t="n">
        <v>404462</v>
      </c>
      <c r="C10" s="2" t="n">
        <v>401464</v>
      </c>
      <c r="D10" s="2" t="inlineStr">
        <is>
          <t>Shampoo Nutritivo 420 Ml Capilatis</t>
        </is>
      </c>
      <c r="E10" s="2" t="inlineStr">
        <is>
          <t>CAPILATIS</t>
        </is>
      </c>
      <c r="F10" s="2" t="n">
        <v>9650</v>
      </c>
      <c r="G10" s="2" t="n">
        <v>797521</v>
      </c>
      <c r="H10" s="2" t="b">
        <v>1</v>
      </c>
      <c r="I10" s="2" t="n">
        <v>420</v>
      </c>
      <c r="J10" s="2" t="n">
        <v>22.9762</v>
      </c>
      <c r="K10" s="2" t="inlineStr">
        <is>
          <t>&gt; Perfumería &gt; Cuidado Capilar &gt; Shampoo &gt;</t>
        </is>
      </c>
      <c r="L10" s="2" t="inlineStr">
        <is>
          <t>shampoo</t>
        </is>
      </c>
      <c r="M10" s="2" t="inlineStr">
        <is>
          <t>estandar</t>
        </is>
      </c>
      <c r="N10" s="2" t="inlineStr">
        <is>
          <t>general</t>
        </is>
      </c>
      <c r="O10" s="2" t="inlineStr">
        <is>
          <t>https://www.jumbo.com.ar/shampoo-nutritivo-420-ml-capilatis/p</t>
        </is>
      </c>
      <c r="P10" s="4">
        <f>TRIM(CLEAN(PROPER(D10)))</f>
        <v/>
      </c>
      <c r="Q10" s="4">
        <f>PROPER(TRIM(SUBSTITUTE(SUBSTITUTE(SUBSTITUTE(SUBSTITUTE(E10,"TRESEMME","Tresemme"),"HEAD &amp; SHOULDERS","Head &amp; Shoulders"),"ELVIVE","Elvive"),"FRUCTIS","Fructis")))</f>
        <v/>
      </c>
      <c r="R10" s="4">
        <f>COUNTIF($D$2:$D$10000,D10)&gt;1</f>
        <v/>
      </c>
      <c r="S10" s="4">
        <f>IF(H10=TRUE,"Disponible","No disponible")</f>
        <v/>
      </c>
      <c r="T10" s="4">
        <f>IF(AND(ISNUMBER(I10),I10&gt;0),ROUND(F10/I10,2),"Sin volumen")</f>
        <v/>
      </c>
      <c r="U10" s="4">
        <f>IF(F10&lt;5000,"Bajo",IF(F10&lt;15000,"Medio","Alto"))</f>
        <v/>
      </c>
    </row>
    <row r="11">
      <c r="A11" t="inlineStr">
        <is>
          <t>Jumbo</t>
        </is>
      </c>
      <c r="B11" t="n">
        <v>251369</v>
      </c>
      <c r="C11" t="n">
        <v>250670</v>
      </c>
      <c r="D11" t="inlineStr">
        <is>
          <t>Shampoo Herbal Essences Rosemary 400ml</t>
        </is>
      </c>
      <c r="E11" t="inlineStr">
        <is>
          <t>HERBAL ESSENCES</t>
        </is>
      </c>
      <c r="F11" t="n">
        <v>16900</v>
      </c>
      <c r="G11" t="n">
        <v>1396694</v>
      </c>
      <c r="H11" t="b">
        <v>1</v>
      </c>
      <c r="I11" t="n">
        <v>400</v>
      </c>
      <c r="J11" t="n">
        <v>42.25</v>
      </c>
      <c r="K11" t="inlineStr">
        <is>
          <t>&gt; Perfumería &gt; Cuidado Capilar &gt; Shampoo &gt;</t>
        </is>
      </c>
      <c r="L11" t="inlineStr">
        <is>
          <t>shampoo</t>
        </is>
      </c>
      <c r="M11" t="inlineStr">
        <is>
          <t>estandar</t>
        </is>
      </c>
      <c r="N11" t="inlineStr">
        <is>
          <t>general</t>
        </is>
      </c>
      <c r="O11" t="inlineStr">
        <is>
          <t>https://www.jumbo.com.ar/shampoo-herbal-essences-rosemary-400ml/p</t>
        </is>
      </c>
      <c r="P11">
        <f>TRIM(CLEAN(PROPER(D11)))</f>
        <v/>
      </c>
      <c r="Q11">
        <f>PROPER(TRIM(SUBSTITUTE(SUBSTITUTE(SUBSTITUTE(SUBSTITUTE(E11,"TRESEMME","Tresemme"),"HEAD &amp; SHOULDERS","Head &amp; Shoulders"),"ELVIVE","Elvive"),"FRUCTIS","Fructis")))</f>
        <v/>
      </c>
      <c r="R11">
        <f>COUNTIF($D$2:$D$10000,D11)&gt;1</f>
        <v/>
      </c>
      <c r="S11">
        <f>IF(H11=TRUE,"Disponible","No disponible")</f>
        <v/>
      </c>
      <c r="T11">
        <f>IF(AND(ISNUMBER(I11),I11&gt;0),ROUND(F11/I11,2),"Sin volumen")</f>
        <v/>
      </c>
      <c r="U11">
        <f>IF(F11&lt;5000,"Bajo",IF(F11&lt;15000,"Medio","Alto"))</f>
        <v/>
      </c>
    </row>
    <row r="12">
      <c r="A12" s="2" t="inlineStr">
        <is>
          <t>Jumbo</t>
        </is>
      </c>
      <c r="B12" s="2" t="n">
        <v>412488</v>
      </c>
      <c r="C12" s="2" t="n">
        <v>408096</v>
      </c>
      <c r="D12" s="2" t="inlineStr">
        <is>
          <t>Shampoo Fructis Regarga Nutritiva 350ml</t>
        </is>
      </c>
      <c r="E12" s="2" t="inlineStr">
        <is>
          <t>FRUCTIS</t>
        </is>
      </c>
      <c r="F12" s="2" t="n">
        <v>8600</v>
      </c>
      <c r="G12" s="2" t="n">
        <v>710744</v>
      </c>
      <c r="H12" s="2" t="b">
        <v>1</v>
      </c>
      <c r="I12" s="2" t="n">
        <v>350</v>
      </c>
      <c r="J12" s="2" t="n">
        <v>24.5714</v>
      </c>
      <c r="K12" s="2" t="inlineStr">
        <is>
          <t>&gt; Perfumería &gt; Cuidado Capilar &gt; Shampoo &gt;</t>
        </is>
      </c>
      <c r="L12" s="2" t="inlineStr">
        <is>
          <t>shampoo</t>
        </is>
      </c>
      <c r="M12" s="2" t="inlineStr">
        <is>
          <t>estandar</t>
        </is>
      </c>
      <c r="N12" s="2" t="inlineStr">
        <is>
          <t>general</t>
        </is>
      </c>
      <c r="O12" s="2" t="inlineStr">
        <is>
          <t>https://www.jumbo.com.ar/shampoo-fructis-regarga-nutritiva-350ml/p</t>
        </is>
      </c>
      <c r="P12" s="4">
        <f>TRIM(CLEAN(PROPER(D12)))</f>
        <v/>
      </c>
      <c r="Q12" s="4">
        <f>PROPER(TRIM(SUBSTITUTE(SUBSTITUTE(SUBSTITUTE(SUBSTITUTE(E12,"TRESEMME","Tresemme"),"HEAD &amp; SHOULDERS","Head &amp; Shoulders"),"ELVIVE","Elvive"),"FRUCTIS","Fructis")))</f>
        <v/>
      </c>
      <c r="R12" s="4">
        <f>COUNTIF($D$2:$D$10000,D12)&gt;1</f>
        <v/>
      </c>
      <c r="S12" s="4">
        <f>IF(H12=TRUE,"Disponible","No disponible")</f>
        <v/>
      </c>
      <c r="T12" s="4">
        <f>IF(AND(ISNUMBER(I12),I12&gt;0),ROUND(F12/I12,2),"Sin volumen")</f>
        <v/>
      </c>
      <c r="U12" s="4">
        <f>IF(F12&lt;5000,"Bajo",IF(F12&lt;15000,"Medio","Alto"))</f>
        <v/>
      </c>
    </row>
    <row r="13">
      <c r="A13" t="inlineStr">
        <is>
          <t>Jumbo</t>
        </is>
      </c>
      <c r="B13" t="n">
        <v>3087383</v>
      </c>
      <c r="C13" t="n">
        <v>3086604</v>
      </c>
      <c r="D13" t="inlineStr">
        <is>
          <t>Shampoo Dove Nutritri Oleos 650ml</t>
        </is>
      </c>
      <c r="E13" t="inlineStr">
        <is>
          <t>DOVE</t>
        </is>
      </c>
      <c r="F13" t="n">
        <v>16700</v>
      </c>
      <c r="G13" t="n">
        <v>1380165</v>
      </c>
      <c r="H13" t="b">
        <v>1</v>
      </c>
      <c r="I13" t="n">
        <v>650</v>
      </c>
      <c r="J13" t="n">
        <v>25.6923</v>
      </c>
      <c r="K13" t="inlineStr">
        <is>
          <t>&gt; Perfumería &gt; Cuidado Capilar &gt; Shampoo &gt;</t>
        </is>
      </c>
      <c r="L13" t="inlineStr">
        <is>
          <t>shampoo</t>
        </is>
      </c>
      <c r="M13" t="inlineStr">
        <is>
          <t>estandar</t>
        </is>
      </c>
      <c r="N13" t="inlineStr">
        <is>
          <t>general</t>
        </is>
      </c>
      <c r="O13" t="inlineStr">
        <is>
          <t>https://www.jumbo.com.ar/shampoo-dove-nutritri-oleos-650ml/p</t>
        </is>
      </c>
      <c r="P13">
        <f>TRIM(CLEAN(PROPER(D13)))</f>
        <v/>
      </c>
      <c r="Q13">
        <f>PROPER(TRIM(SUBSTITUTE(SUBSTITUTE(SUBSTITUTE(SUBSTITUTE(E13,"TRESEMME","Tresemme"),"HEAD &amp; SHOULDERS","Head &amp; Shoulders"),"ELVIVE","Elvive"),"FRUCTIS","Fructis")))</f>
        <v/>
      </c>
      <c r="R13">
        <f>COUNTIF($D$2:$D$10000,D13)&gt;1</f>
        <v/>
      </c>
      <c r="S13">
        <f>IF(H13=TRUE,"Disponible","No disponible")</f>
        <v/>
      </c>
      <c r="T13">
        <f>IF(AND(ISNUMBER(I13),I13&gt;0),ROUND(F13/I13,2),"Sin volumen")</f>
        <v/>
      </c>
      <c r="U13">
        <f>IF(F13&lt;5000,"Bajo",IF(F13&lt;15000,"Medio","Alto"))</f>
        <v/>
      </c>
    </row>
    <row r="14">
      <c r="A14" s="2" t="inlineStr">
        <is>
          <t>Jumbo</t>
        </is>
      </c>
      <c r="B14" s="2" t="n">
        <v>251381</v>
      </c>
      <c r="C14" s="2" t="n">
        <v>250684</v>
      </c>
      <c r="D14" s="2" t="inlineStr">
        <is>
          <t>Shampoo Herbal Essences Argan 400ml</t>
        </is>
      </c>
      <c r="E14" s="2" t="inlineStr">
        <is>
          <t>HERBAL ESSENCES</t>
        </is>
      </c>
      <c r="F14" s="2" t="n">
        <v>16550</v>
      </c>
      <c r="G14" s="2" t="n">
        <v>1367769</v>
      </c>
      <c r="H14" s="2" t="b">
        <v>1</v>
      </c>
      <c r="I14" s="2" t="n">
        <v>400</v>
      </c>
      <c r="J14" s="2" t="n">
        <v>41.375</v>
      </c>
      <c r="K14" s="2" t="inlineStr">
        <is>
          <t>&gt; Perfumería &gt; Cuidado Capilar &gt; Shampoo &gt;</t>
        </is>
      </c>
      <c r="L14" s="2" t="inlineStr">
        <is>
          <t>shampoo</t>
        </is>
      </c>
      <c r="M14" s="2" t="inlineStr">
        <is>
          <t>estandar</t>
        </is>
      </c>
      <c r="N14" s="2" t="inlineStr">
        <is>
          <t>general</t>
        </is>
      </c>
      <c r="O14" s="2" t="inlineStr">
        <is>
          <t>https://www.jumbo.com.ar/shampoo-herbal-essences-argan-400ml/p</t>
        </is>
      </c>
      <c r="P14" s="4">
        <f>TRIM(CLEAN(PROPER(D14)))</f>
        <v/>
      </c>
      <c r="Q14" s="4">
        <f>PROPER(TRIM(SUBSTITUTE(SUBSTITUTE(SUBSTITUTE(SUBSTITUTE(E14,"TRESEMME","Tresemme"),"HEAD &amp; SHOULDERS","Head &amp; Shoulders"),"ELVIVE","Elvive"),"FRUCTIS","Fructis")))</f>
        <v/>
      </c>
      <c r="R14" s="4">
        <f>COUNTIF($D$2:$D$10000,D14)&gt;1</f>
        <v/>
      </c>
      <c r="S14" s="4">
        <f>IF(H14=TRUE,"Disponible","No disponible")</f>
        <v/>
      </c>
      <c r="T14" s="4">
        <f>IF(AND(ISNUMBER(I14),I14&gt;0),ROUND(F14/I14,2),"Sin volumen")</f>
        <v/>
      </c>
      <c r="U14" s="4">
        <f>IF(F14&lt;5000,"Bajo",IF(F14&lt;15000,"Medio","Alto"))</f>
        <v/>
      </c>
    </row>
    <row r="15">
      <c r="A15" t="inlineStr">
        <is>
          <t>Jumbo</t>
        </is>
      </c>
      <c r="B15" t="n">
        <v>411252</v>
      </c>
      <c r="C15" t="n">
        <v>407092</v>
      </c>
      <c r="D15" t="inlineStr">
        <is>
          <t>Shampoo Sedal Preboticos 340 Ml</t>
        </is>
      </c>
      <c r="E15" t="inlineStr">
        <is>
          <t>DOVE</t>
        </is>
      </c>
      <c r="F15" t="n">
        <v>5600</v>
      </c>
      <c r="G15" t="n">
        <v>462810</v>
      </c>
      <c r="H15" t="b">
        <v>1</v>
      </c>
      <c r="I15" t="n">
        <v>340</v>
      </c>
      <c r="J15" t="n">
        <v>16.4706</v>
      </c>
      <c r="K15" t="inlineStr">
        <is>
          <t>&gt; Perfumería &gt; Cuidado Capilar &gt; Shampoo &gt;</t>
        </is>
      </c>
      <c r="L15" t="inlineStr">
        <is>
          <t>shampoo</t>
        </is>
      </c>
      <c r="M15" t="inlineStr">
        <is>
          <t>estandar</t>
        </is>
      </c>
      <c r="N15" t="inlineStr">
        <is>
          <t>general</t>
        </is>
      </c>
      <c r="O15" t="inlineStr">
        <is>
          <t>https://www.jumbo.com.ar/shampoo-sedal-preboticos-340-ml/p</t>
        </is>
      </c>
      <c r="P15">
        <f>TRIM(CLEAN(PROPER(D15)))</f>
        <v/>
      </c>
      <c r="Q15">
        <f>PROPER(TRIM(SUBSTITUTE(SUBSTITUTE(SUBSTITUTE(SUBSTITUTE(E15,"TRESEMME","Tresemme"),"HEAD &amp; SHOULDERS","Head &amp; Shoulders"),"ELVIVE","Elvive"),"FRUCTIS","Fructis")))</f>
        <v/>
      </c>
      <c r="R15">
        <f>COUNTIF($D$2:$D$10000,D15)&gt;1</f>
        <v/>
      </c>
      <c r="S15">
        <f>IF(H15=TRUE,"Disponible","No disponible")</f>
        <v/>
      </c>
      <c r="T15">
        <f>IF(AND(ISNUMBER(I15),I15&gt;0),ROUND(F15/I15,2),"Sin volumen")</f>
        <v/>
      </c>
      <c r="U15">
        <f>IF(F15&lt;5000,"Bajo",IF(F15&lt;15000,"Medio","Alto"))</f>
        <v/>
      </c>
    </row>
    <row r="16">
      <c r="A16" s="2" t="inlineStr">
        <is>
          <t>Jumbo</t>
        </is>
      </c>
      <c r="B16" s="2" t="n">
        <v>249732</v>
      </c>
      <c r="C16" s="2" t="n">
        <v>246723</v>
      </c>
      <c r="D16" s="2" t="inlineStr">
        <is>
          <t>Shampoo Capilatis Limpieza Prof 420ml</t>
        </is>
      </c>
      <c r="E16" s="2" t="inlineStr">
        <is>
          <t>CAPILATIS</t>
        </is>
      </c>
      <c r="F16" s="2" t="n">
        <v>9650</v>
      </c>
      <c r="G16" s="2" t="n">
        <v>797521</v>
      </c>
      <c r="H16" s="2" t="b">
        <v>1</v>
      </c>
      <c r="I16" s="2" t="n">
        <v>420</v>
      </c>
      <c r="J16" s="2" t="n">
        <v>22.9762</v>
      </c>
      <c r="K16" s="2" t="inlineStr">
        <is>
          <t>&gt; Perfumería &gt; Cuidado Capilar &gt; Shampoo &gt;</t>
        </is>
      </c>
      <c r="L16" s="2" t="inlineStr">
        <is>
          <t>shampoo</t>
        </is>
      </c>
      <c r="M16" s="2" t="inlineStr">
        <is>
          <t>estandar</t>
        </is>
      </c>
      <c r="N16" s="2" t="inlineStr">
        <is>
          <t>general</t>
        </is>
      </c>
      <c r="O16" s="2" t="inlineStr">
        <is>
          <t>https://www.jumbo.com.ar/shampoo-capilatis-limpieza-prof-420ml/p</t>
        </is>
      </c>
      <c r="P16" s="4">
        <f>TRIM(CLEAN(PROPER(D16)))</f>
        <v/>
      </c>
      <c r="Q16" s="4">
        <f>PROPER(TRIM(SUBSTITUTE(SUBSTITUTE(SUBSTITUTE(SUBSTITUTE(E16,"TRESEMME","Tresemme"),"HEAD &amp; SHOULDERS","Head &amp; Shoulders"),"ELVIVE","Elvive"),"FRUCTIS","Fructis")))</f>
        <v/>
      </c>
      <c r="R16" s="4">
        <f>COUNTIF($D$2:$D$10000,D16)&gt;1</f>
        <v/>
      </c>
      <c r="S16" s="4">
        <f>IF(H16=TRUE,"Disponible","No disponible")</f>
        <v/>
      </c>
      <c r="T16" s="4">
        <f>IF(AND(ISNUMBER(I16),I16&gt;0),ROUND(F16/I16,2),"Sin volumen")</f>
        <v/>
      </c>
      <c r="U16" s="4">
        <f>IF(F16&lt;5000,"Bajo",IF(F16&lt;15000,"Medio","Alto"))</f>
        <v/>
      </c>
    </row>
    <row r="17">
      <c r="A17" t="inlineStr">
        <is>
          <t>Jumbo</t>
        </is>
      </c>
      <c r="B17" t="n">
        <v>3079021</v>
      </c>
      <c r="C17" t="n">
        <v>3078345</v>
      </c>
      <c r="D17" t="inlineStr">
        <is>
          <t>Shampoo Herbal Essences Manzanilla 400ml</t>
        </is>
      </c>
      <c r="E17" t="inlineStr">
        <is>
          <t>HERBAL ESSENCES</t>
        </is>
      </c>
      <c r="F17" t="n">
        <v>16550</v>
      </c>
      <c r="G17" t="n">
        <v>1367769</v>
      </c>
      <c r="H17" t="b">
        <v>1</v>
      </c>
      <c r="I17" t="n">
        <v>400</v>
      </c>
      <c r="J17" t="n">
        <v>41.375</v>
      </c>
      <c r="K17" t="inlineStr">
        <is>
          <t>&gt; Perfumería &gt; Cuidado Capilar &gt; Shampoo &gt;</t>
        </is>
      </c>
      <c r="L17" t="inlineStr">
        <is>
          <t>shampoo</t>
        </is>
      </c>
      <c r="M17" t="inlineStr">
        <is>
          <t>estandar</t>
        </is>
      </c>
      <c r="N17" t="inlineStr">
        <is>
          <t>general</t>
        </is>
      </c>
      <c r="O17" t="inlineStr">
        <is>
          <t>https://www.jumbo.com.ar/shampoo-herbal-essences-manzanilla-400ml/p</t>
        </is>
      </c>
      <c r="P17">
        <f>TRIM(CLEAN(PROPER(D17)))</f>
        <v/>
      </c>
      <c r="Q17">
        <f>PROPER(TRIM(SUBSTITUTE(SUBSTITUTE(SUBSTITUTE(SUBSTITUTE(E17,"TRESEMME","Tresemme"),"HEAD &amp; SHOULDERS","Head &amp; Shoulders"),"ELVIVE","Elvive"),"FRUCTIS","Fructis")))</f>
        <v/>
      </c>
      <c r="R17">
        <f>COUNTIF($D$2:$D$10000,D17)&gt;1</f>
        <v/>
      </c>
      <c r="S17">
        <f>IF(H17=TRUE,"Disponible","No disponible")</f>
        <v/>
      </c>
      <c r="T17">
        <f>IF(AND(ISNUMBER(I17),I17&gt;0),ROUND(F17/I17,2),"Sin volumen")</f>
        <v/>
      </c>
      <c r="U17">
        <f>IF(F17&lt;5000,"Bajo",IF(F17&lt;15000,"Medio","Alto"))</f>
        <v/>
      </c>
    </row>
    <row r="18">
      <c r="A18" s="2" t="inlineStr">
        <is>
          <t>Jumbo</t>
        </is>
      </c>
      <c r="B18" s="2" t="n">
        <v>389289</v>
      </c>
      <c r="C18" s="2" t="n">
        <v>387395</v>
      </c>
      <c r="D18" s="2" t="inlineStr">
        <is>
          <t>Shampoo Ceramidas 190 Ml Sedal</t>
        </is>
      </c>
      <c r="E18" s="2" t="inlineStr">
        <is>
          <t>SEDAL</t>
        </is>
      </c>
      <c r="F18" s="2" t="n">
        <v>3900</v>
      </c>
      <c r="G18" s="2" t="n">
        <v>322314</v>
      </c>
      <c r="H18" s="2" t="b">
        <v>1</v>
      </c>
      <c r="I18" s="2" t="n">
        <v>190</v>
      </c>
      <c r="J18" s="2" t="n">
        <v>20.5263</v>
      </c>
      <c r="K18" s="2" t="inlineStr">
        <is>
          <t>&gt; Perfumería &gt; Cuidado Capilar &gt; Shampoo &gt;</t>
        </is>
      </c>
      <c r="L18" s="2" t="inlineStr">
        <is>
          <t>shampoo</t>
        </is>
      </c>
      <c r="M18" s="2" t="inlineStr">
        <is>
          <t>estandar</t>
        </is>
      </c>
      <c r="N18" s="2" t="inlineStr">
        <is>
          <t>general</t>
        </is>
      </c>
      <c r="O18" s="2" t="inlineStr">
        <is>
          <t>https://www.jumbo.com.ar/shampoo-ceramidas-190-ml-sedal/p</t>
        </is>
      </c>
      <c r="P18" s="4">
        <f>TRIM(CLEAN(PROPER(D18)))</f>
        <v/>
      </c>
      <c r="Q18" s="4">
        <f>PROPER(TRIM(SUBSTITUTE(SUBSTITUTE(SUBSTITUTE(SUBSTITUTE(E18,"TRESEMME","Tresemme"),"HEAD &amp; SHOULDERS","Head &amp; Shoulders"),"ELVIVE","Elvive"),"FRUCTIS","Fructis")))</f>
        <v/>
      </c>
      <c r="R18" s="4">
        <f>COUNTIF($D$2:$D$10000,D18)&gt;1</f>
        <v/>
      </c>
      <c r="S18" s="4">
        <f>IF(H18=TRUE,"Disponible","No disponible")</f>
        <v/>
      </c>
      <c r="T18" s="4">
        <f>IF(AND(ISNUMBER(I18),I18&gt;0),ROUND(F18/I18,2),"Sin volumen")</f>
        <v/>
      </c>
      <c r="U18" s="4">
        <f>IF(F18&lt;5000,"Bajo",IF(F18&lt;15000,"Medio","Alto"))</f>
        <v/>
      </c>
    </row>
    <row r="19">
      <c r="A19" t="inlineStr">
        <is>
          <t>Jumbo</t>
        </is>
      </c>
      <c r="B19" t="n">
        <v>251368</v>
      </c>
      <c r="C19" t="n">
        <v>250669</v>
      </c>
      <c r="D19" t="inlineStr">
        <is>
          <t>Shampoo Herbal Essences Coconut 400ml</t>
        </is>
      </c>
      <c r="E19" t="inlineStr">
        <is>
          <t>HERBAL ESSENCES</t>
        </is>
      </c>
      <c r="F19" t="n">
        <v>16550</v>
      </c>
      <c r="G19" t="n">
        <v>1367769</v>
      </c>
      <c r="H19" t="b">
        <v>1</v>
      </c>
      <c r="I19" t="n">
        <v>400</v>
      </c>
      <c r="J19" t="n">
        <v>41.375</v>
      </c>
      <c r="K19" t="inlineStr">
        <is>
          <t>&gt; Perfumería &gt; Cuidado Capilar &gt; Shampoo &gt;</t>
        </is>
      </c>
      <c r="L19" t="inlineStr">
        <is>
          <t>shampoo</t>
        </is>
      </c>
      <c r="M19" t="inlineStr">
        <is>
          <t>estandar</t>
        </is>
      </c>
      <c r="N19" t="inlineStr">
        <is>
          <t>general</t>
        </is>
      </c>
      <c r="O19" t="inlineStr">
        <is>
          <t>https://www.jumbo.com.ar/shampoo-herbal-essences-coconut-400ml/p</t>
        </is>
      </c>
      <c r="P19">
        <f>TRIM(CLEAN(PROPER(D19)))</f>
        <v/>
      </c>
      <c r="Q19">
        <f>PROPER(TRIM(SUBSTITUTE(SUBSTITUTE(SUBSTITUTE(SUBSTITUTE(E19,"TRESEMME","Tresemme"),"HEAD &amp; SHOULDERS","Head &amp; Shoulders"),"ELVIVE","Elvive"),"FRUCTIS","Fructis")))</f>
        <v/>
      </c>
      <c r="R19">
        <f>COUNTIF($D$2:$D$10000,D19)&gt;1</f>
        <v/>
      </c>
      <c r="S19">
        <f>IF(H19=TRUE,"Disponible","No disponible")</f>
        <v/>
      </c>
      <c r="T19">
        <f>IF(AND(ISNUMBER(I19),I19&gt;0),ROUND(F19/I19,2),"Sin volumen")</f>
        <v/>
      </c>
      <c r="U19">
        <f>IF(F19&lt;5000,"Bajo",IF(F19&lt;15000,"Medio","Alto"))</f>
        <v/>
      </c>
    </row>
    <row r="20">
      <c r="A20" s="2" t="inlineStr">
        <is>
          <t>Jumbo</t>
        </is>
      </c>
      <c r="B20" s="2" t="n">
        <v>3087384</v>
      </c>
      <c r="C20" s="2" t="n">
        <v>3086605</v>
      </c>
      <c r="D20" s="2" t="inlineStr">
        <is>
          <t>Shampoo Dove Humectcoco Antioxi 650ml</t>
        </is>
      </c>
      <c r="E20" s="2" t="inlineStr">
        <is>
          <t>DOVE</t>
        </is>
      </c>
      <c r="F20" s="2" t="n">
        <v>16700</v>
      </c>
      <c r="G20" s="2" t="n">
        <v>1380165</v>
      </c>
      <c r="H20" s="2" t="b">
        <v>1</v>
      </c>
      <c r="I20" s="2" t="n">
        <v>650</v>
      </c>
      <c r="J20" s="2" t="n">
        <v>25.6923</v>
      </c>
      <c r="K20" s="2" t="inlineStr">
        <is>
          <t>&gt; Perfumería &gt; Cuidado Capilar &gt; Shampoo &gt;</t>
        </is>
      </c>
      <c r="L20" s="2" t="inlineStr">
        <is>
          <t>shampoo</t>
        </is>
      </c>
      <c r="M20" s="2" t="inlineStr">
        <is>
          <t>estandar</t>
        </is>
      </c>
      <c r="N20" s="2" t="inlineStr">
        <is>
          <t>general</t>
        </is>
      </c>
      <c r="O20" s="2" t="inlineStr">
        <is>
          <t>https://www.jumbo.com.ar/shampoo-dove-humectcoco-antioxi-650ml/p</t>
        </is>
      </c>
      <c r="P20" s="4">
        <f>TRIM(CLEAN(PROPER(D20)))</f>
        <v/>
      </c>
      <c r="Q20" s="4">
        <f>PROPER(TRIM(SUBSTITUTE(SUBSTITUTE(SUBSTITUTE(SUBSTITUTE(E20,"TRESEMME","Tresemme"),"HEAD &amp; SHOULDERS","Head &amp; Shoulders"),"ELVIVE","Elvive"),"FRUCTIS","Fructis")))</f>
        <v/>
      </c>
      <c r="R20" s="4">
        <f>COUNTIF($D$2:$D$10000,D20)&gt;1</f>
        <v/>
      </c>
      <c r="S20" s="4">
        <f>IF(H20=TRUE,"Disponible","No disponible")</f>
        <v/>
      </c>
      <c r="T20" s="4">
        <f>IF(AND(ISNUMBER(I20),I20&gt;0),ROUND(F20/I20,2),"Sin volumen")</f>
        <v/>
      </c>
      <c r="U20" s="4">
        <f>IF(F20&lt;5000,"Bajo",IF(F20&lt;15000,"Medio","Alto"))</f>
        <v/>
      </c>
    </row>
    <row r="21">
      <c r="A21" t="inlineStr">
        <is>
          <t>Jumbo</t>
        </is>
      </c>
      <c r="B21" t="n">
        <v>396886</v>
      </c>
      <c r="C21" t="n">
        <v>394642</v>
      </c>
      <c r="D21" t="inlineStr">
        <is>
          <t>Shampoo Dove Reconstrucción Completa 400 Ml</t>
        </is>
      </c>
      <c r="E21" t="inlineStr">
        <is>
          <t>DOVE</t>
        </is>
      </c>
      <c r="F21" t="n">
        <v>9150</v>
      </c>
      <c r="G21" t="n">
        <v>756198</v>
      </c>
      <c r="H21" t="b">
        <v>1</v>
      </c>
      <c r="I21" t="n">
        <v>400</v>
      </c>
      <c r="J21" t="n">
        <v>22.875</v>
      </c>
      <c r="K21" t="inlineStr">
        <is>
          <t>&gt; Perfumería &gt; Cuidado Capilar &gt; Shampoo &gt;</t>
        </is>
      </c>
      <c r="L21" t="inlineStr">
        <is>
          <t>shampoo</t>
        </is>
      </c>
      <c r="M21" t="inlineStr">
        <is>
          <t>estandar</t>
        </is>
      </c>
      <c r="N21" t="inlineStr">
        <is>
          <t>general</t>
        </is>
      </c>
      <c r="O21" t="inlineStr">
        <is>
          <t>https://www.jumbo.com.ar/shampoo-dove-reconstruccion-completa-400-ml-4/p</t>
        </is>
      </c>
      <c r="P21">
        <f>TRIM(CLEAN(PROPER(D21)))</f>
        <v/>
      </c>
      <c r="Q21">
        <f>PROPER(TRIM(SUBSTITUTE(SUBSTITUTE(SUBSTITUTE(SUBSTITUTE(E21,"TRESEMME","Tresemme"),"HEAD &amp; SHOULDERS","Head &amp; Shoulders"),"ELVIVE","Elvive"),"FRUCTIS","Fructis")))</f>
        <v/>
      </c>
      <c r="R21">
        <f>COUNTIF($D$2:$D$10000,D21)&gt;1</f>
        <v/>
      </c>
      <c r="S21">
        <f>IF(H21=TRUE,"Disponible","No disponible")</f>
        <v/>
      </c>
      <c r="T21">
        <f>IF(AND(ISNUMBER(I21),I21&gt;0),ROUND(F21/I21,2),"Sin volumen")</f>
        <v/>
      </c>
      <c r="U21">
        <f>IF(F21&lt;5000,"Bajo",IF(F21&lt;15000,"Medio","Alto"))</f>
        <v/>
      </c>
    </row>
    <row r="22">
      <c r="A22" s="2" t="inlineStr">
        <is>
          <t>Jumbo</t>
        </is>
      </c>
      <c r="B22" s="2" t="n">
        <v>394212</v>
      </c>
      <c r="C22" s="2" t="n">
        <v>392218</v>
      </c>
      <c r="D22" s="2" t="inlineStr">
        <is>
          <t>Shampoo Dove óleo Nutrición 400 Ml</t>
        </is>
      </c>
      <c r="E22" s="2" t="inlineStr">
        <is>
          <t>DOVE</t>
        </is>
      </c>
      <c r="F22" s="2" t="n">
        <v>9150</v>
      </c>
      <c r="G22" s="2" t="n">
        <v>756198</v>
      </c>
      <c r="H22" s="2" t="b">
        <v>1</v>
      </c>
      <c r="I22" s="2" t="n">
        <v>400</v>
      </c>
      <c r="J22" s="2" t="n">
        <v>22.875</v>
      </c>
      <c r="K22" s="2" t="inlineStr">
        <is>
          <t>&gt; Perfumería &gt; Cuidado Capilar &gt; Shampoo &gt;</t>
        </is>
      </c>
      <c r="L22" s="2" t="inlineStr">
        <is>
          <t>shampoo</t>
        </is>
      </c>
      <c r="M22" s="2" t="inlineStr">
        <is>
          <t>estandar</t>
        </is>
      </c>
      <c r="N22" s="2" t="inlineStr">
        <is>
          <t>general</t>
        </is>
      </c>
      <c r="O22" s="2" t="inlineStr">
        <is>
          <t>https://www.jumbo.com.ar/shampoo-dove-oleo-nutricion-400-ml-3/p</t>
        </is>
      </c>
      <c r="P22" s="4">
        <f>TRIM(CLEAN(PROPER(D22)))</f>
        <v/>
      </c>
      <c r="Q22" s="4">
        <f>PROPER(TRIM(SUBSTITUTE(SUBSTITUTE(SUBSTITUTE(SUBSTITUTE(E22,"TRESEMME","Tresemme"),"HEAD &amp; SHOULDERS","Head &amp; Shoulders"),"ELVIVE","Elvive"),"FRUCTIS","Fructis")))</f>
        <v/>
      </c>
      <c r="R22" s="4">
        <f>COUNTIF($D$2:$D$10000,D22)&gt;1</f>
        <v/>
      </c>
      <c r="S22" s="4">
        <f>IF(H22=TRUE,"Disponible","No disponible")</f>
        <v/>
      </c>
      <c r="T22" s="4">
        <f>IF(AND(ISNUMBER(I22),I22&gt;0),ROUND(F22/I22,2),"Sin volumen")</f>
        <v/>
      </c>
      <c r="U22" s="4">
        <f>IF(F22&lt;5000,"Bajo",IF(F22&lt;15000,"Medio","Alto"))</f>
        <v/>
      </c>
    </row>
    <row r="23">
      <c r="A23" t="inlineStr">
        <is>
          <t>Jumbo</t>
        </is>
      </c>
      <c r="B23" t="n">
        <v>393556</v>
      </c>
      <c r="C23" t="n">
        <v>391584</v>
      </c>
      <c r="D23" t="inlineStr">
        <is>
          <t>Shampoo Dove Regeneración Extrema 400 Ml</t>
        </is>
      </c>
      <c r="E23" t="inlineStr">
        <is>
          <t>DOVE</t>
        </is>
      </c>
      <c r="F23" t="n">
        <v>9150</v>
      </c>
      <c r="G23" t="n">
        <v>756198</v>
      </c>
      <c r="H23" t="b">
        <v>1</v>
      </c>
      <c r="I23" t="n">
        <v>400</v>
      </c>
      <c r="J23" t="n">
        <v>22.875</v>
      </c>
      <c r="K23" t="inlineStr">
        <is>
          <t>&gt; Perfumería &gt; Cuidado Capilar &gt; Shampoo &gt;</t>
        </is>
      </c>
      <c r="L23" t="inlineStr">
        <is>
          <t>shampoo</t>
        </is>
      </c>
      <c r="M23" t="inlineStr">
        <is>
          <t>estandar</t>
        </is>
      </c>
      <c r="N23" t="inlineStr">
        <is>
          <t>general</t>
        </is>
      </c>
      <c r="O23" t="inlineStr">
        <is>
          <t>https://www.jumbo.com.ar/shampoo-dove-regeneracion-extrema-400-ml-3/p</t>
        </is>
      </c>
      <c r="P23">
        <f>TRIM(CLEAN(PROPER(D23)))</f>
        <v/>
      </c>
      <c r="Q23">
        <f>PROPER(TRIM(SUBSTITUTE(SUBSTITUTE(SUBSTITUTE(SUBSTITUTE(E23,"TRESEMME","Tresemme"),"HEAD &amp; SHOULDERS","Head &amp; Shoulders"),"ELVIVE","Elvive"),"FRUCTIS","Fructis")))</f>
        <v/>
      </c>
      <c r="R23">
        <f>COUNTIF($D$2:$D$10000,D23)&gt;1</f>
        <v/>
      </c>
      <c r="S23">
        <f>IF(H23=TRUE,"Disponible","No disponible")</f>
        <v/>
      </c>
      <c r="T23">
        <f>IF(AND(ISNUMBER(I23),I23&gt;0),ROUND(F23/I23,2),"Sin volumen")</f>
        <v/>
      </c>
      <c r="U23">
        <f>IF(F23&lt;5000,"Bajo",IF(F23&lt;15000,"Medio","Alto"))</f>
        <v/>
      </c>
    </row>
    <row r="24">
      <c r="A24" s="2" t="inlineStr">
        <is>
          <t>Jumbo</t>
        </is>
      </c>
      <c r="B24" s="2" t="n">
        <v>3078387</v>
      </c>
      <c r="C24" s="2" t="n">
        <v>3077731</v>
      </c>
      <c r="D24" s="2" t="inlineStr">
        <is>
          <t>Shampoo Dove Bond Uv Repair 400ml</t>
        </is>
      </c>
      <c r="E24" s="2" t="inlineStr">
        <is>
          <t>DOVE</t>
        </is>
      </c>
      <c r="F24" s="2" t="n">
        <v>9695</v>
      </c>
      <c r="G24" s="2" t="n">
        <v>801240</v>
      </c>
      <c r="H24" s="2" t="b">
        <v>1</v>
      </c>
      <c r="I24" s="2" t="n">
        <v>400</v>
      </c>
      <c r="J24" s="2" t="n">
        <v>24.2375</v>
      </c>
      <c r="K24" s="2" t="inlineStr">
        <is>
          <t>&gt; Perfumería &gt; Cuidado Capilar &gt; Shampoo &gt;</t>
        </is>
      </c>
      <c r="L24" s="2" t="inlineStr">
        <is>
          <t>shampoo</t>
        </is>
      </c>
      <c r="M24" s="2" t="inlineStr">
        <is>
          <t>profesional</t>
        </is>
      </c>
      <c r="N24" s="2" t="inlineStr">
        <is>
          <t>general</t>
        </is>
      </c>
      <c r="O24" s="2" t="inlineStr">
        <is>
          <t>https://www.jumbo.com.ar/shampoo-dove-bond-uv-repair-400ml/p</t>
        </is>
      </c>
      <c r="P24" s="4">
        <f>TRIM(CLEAN(PROPER(D24)))</f>
        <v/>
      </c>
      <c r="Q24" s="4">
        <f>PROPER(TRIM(SUBSTITUTE(SUBSTITUTE(SUBSTITUTE(SUBSTITUTE(E24,"TRESEMME","Tresemme"),"HEAD &amp; SHOULDERS","Head &amp; Shoulders"),"ELVIVE","Elvive"),"FRUCTIS","Fructis")))</f>
        <v/>
      </c>
      <c r="R24" s="4">
        <f>COUNTIF($D$2:$D$10000,D24)&gt;1</f>
        <v/>
      </c>
      <c r="S24" s="4">
        <f>IF(H24=TRUE,"Disponible","No disponible")</f>
        <v/>
      </c>
      <c r="T24" s="4">
        <f>IF(AND(ISNUMBER(I24),I24&gt;0),ROUND(F24/I24,2),"Sin volumen")</f>
        <v/>
      </c>
      <c r="U24" s="4">
        <f>IF(F24&lt;5000,"Bajo",IF(F24&lt;15000,"Medio","Alto"))</f>
        <v/>
      </c>
    </row>
    <row r="25">
      <c r="A25" t="inlineStr">
        <is>
          <t>Jumbo</t>
        </is>
      </c>
      <c r="B25" t="n">
        <v>3070279</v>
      </c>
      <c r="C25" t="n">
        <v>3069872</v>
      </c>
      <c r="D25" t="inlineStr">
        <is>
          <t>Shampoo Keratina Antifrizz 500 Ml Tresemmé</t>
        </is>
      </c>
      <c r="E25" t="inlineStr">
        <is>
          <t>TRESEMMÉ</t>
        </is>
      </c>
      <c r="F25" t="n">
        <v>10400</v>
      </c>
      <c r="G25" t="n">
        <v>859504</v>
      </c>
      <c r="H25" t="b">
        <v>1</v>
      </c>
      <c r="I25" t="n">
        <v>500</v>
      </c>
      <c r="J25" t="n">
        <v>20.8</v>
      </c>
      <c r="K25" t="inlineStr">
        <is>
          <t>&gt; Perfumería &gt; Cuidado Capilar &gt; Shampoo &gt;</t>
        </is>
      </c>
      <c r="L25" t="inlineStr">
        <is>
          <t>shampoo</t>
        </is>
      </c>
      <c r="M25" t="inlineStr">
        <is>
          <t>estandar</t>
        </is>
      </c>
      <c r="N25" t="inlineStr">
        <is>
          <t>tratado</t>
        </is>
      </c>
      <c r="O25" t="inlineStr">
        <is>
          <t>https://www.jumbo.com.ar/shampoo-keratina-antifrizz-x-500-ml-tresemme/p</t>
        </is>
      </c>
      <c r="P25">
        <f>TRIM(CLEAN(PROPER(D25)))</f>
        <v/>
      </c>
      <c r="Q25">
        <f>PROPER(TRIM(SUBSTITUTE(SUBSTITUTE(SUBSTITUTE(SUBSTITUTE(E25,"TRESEMME","Tresemme"),"HEAD &amp; SHOULDERS","Head &amp; Shoulders"),"ELVIVE","Elvive"),"FRUCTIS","Fructis")))</f>
        <v/>
      </c>
      <c r="R25">
        <f>COUNTIF($D$2:$D$10000,D25)&gt;1</f>
        <v/>
      </c>
      <c r="S25">
        <f>IF(H25=TRUE,"Disponible","No disponible")</f>
        <v/>
      </c>
      <c r="T25">
        <f>IF(AND(ISNUMBER(I25),I25&gt;0),ROUND(F25/I25,2),"Sin volumen")</f>
        <v/>
      </c>
      <c r="U25">
        <f>IF(F25&lt;5000,"Bajo",IF(F25&lt;15000,"Medio","Alto"))</f>
        <v/>
      </c>
    </row>
    <row r="26">
      <c r="A26" s="2" t="inlineStr">
        <is>
          <t>Jumbo</t>
        </is>
      </c>
      <c r="B26" s="2" t="n">
        <v>3067580</v>
      </c>
      <c r="C26" s="2" t="n">
        <v>3067444</v>
      </c>
      <c r="D26" s="2" t="inlineStr">
        <is>
          <t>Shampoo Luminous UV 340 Ml Sedal</t>
        </is>
      </c>
      <c r="E26" s="2" t="inlineStr">
        <is>
          <t>SEDAL</t>
        </is>
      </c>
      <c r="F26" s="2" t="n">
        <v>5440</v>
      </c>
      <c r="G26" s="2" t="n">
        <v>449587</v>
      </c>
      <c r="H26" s="2" t="b">
        <v>1</v>
      </c>
      <c r="I26" s="2" t="n">
        <v>340</v>
      </c>
      <c r="J26" s="2" t="n">
        <v>16</v>
      </c>
      <c r="K26" s="2" t="inlineStr">
        <is>
          <t>&gt; Perfumería &gt; Cuidado Capilar &gt; Shampoo &gt;</t>
        </is>
      </c>
      <c r="L26" s="2" t="inlineStr">
        <is>
          <t>shampoo</t>
        </is>
      </c>
      <c r="M26" s="2" t="inlineStr">
        <is>
          <t>estandar</t>
        </is>
      </c>
      <c r="N26" s="2" t="inlineStr">
        <is>
          <t>general</t>
        </is>
      </c>
      <c r="O26" s="2" t="inlineStr">
        <is>
          <t>https://www.jumbo.com.ar/shampoo-luminous-uv-x-340-ml-sedal-2/p</t>
        </is>
      </c>
      <c r="P26" s="4">
        <f>TRIM(CLEAN(PROPER(D26)))</f>
        <v/>
      </c>
      <c r="Q26" s="4">
        <f>PROPER(TRIM(SUBSTITUTE(SUBSTITUTE(SUBSTITUTE(SUBSTITUTE(E26,"TRESEMME","Tresemme"),"HEAD &amp; SHOULDERS","Head &amp; Shoulders"),"ELVIVE","Elvive"),"FRUCTIS","Fructis")))</f>
        <v/>
      </c>
      <c r="R26" s="4">
        <f>COUNTIF($D$2:$D$10000,D26)&gt;1</f>
        <v/>
      </c>
      <c r="S26" s="4">
        <f>IF(H26=TRUE,"Disponible","No disponible")</f>
        <v/>
      </c>
      <c r="T26" s="4">
        <f>IF(AND(ISNUMBER(I26),I26&gt;0),ROUND(F26/I26,2),"Sin volumen")</f>
        <v/>
      </c>
      <c r="U26" s="4">
        <f>IF(F26&lt;5000,"Bajo",IF(F26&lt;15000,"Medio","Alto"))</f>
        <v/>
      </c>
    </row>
    <row r="27">
      <c r="A27" t="inlineStr">
        <is>
          <t>Jumbo</t>
        </is>
      </c>
      <c r="B27" t="n">
        <v>384331</v>
      </c>
      <c r="C27" t="n">
        <v>383820</v>
      </c>
      <c r="D27" t="inlineStr">
        <is>
          <t>Shampoo Largo Saludable 970 Ml Plusbelle</t>
        </is>
      </c>
      <c r="E27" t="inlineStr">
        <is>
          <t>PLUSBELLE</t>
        </is>
      </c>
      <c r="F27" t="n">
        <v>6350</v>
      </c>
      <c r="G27" t="n">
        <v>524793</v>
      </c>
      <c r="H27" t="b">
        <v>1</v>
      </c>
      <c r="I27" t="n">
        <v>970</v>
      </c>
      <c r="J27" t="n">
        <v>6.5464</v>
      </c>
      <c r="K27" t="inlineStr">
        <is>
          <t>&gt; Perfumería &gt; Cuidado Capilar &gt; Shampoo &gt;</t>
        </is>
      </c>
      <c r="L27" t="inlineStr">
        <is>
          <t>shampoo</t>
        </is>
      </c>
      <c r="M27" t="inlineStr">
        <is>
          <t>estandar</t>
        </is>
      </c>
      <c r="N27" t="inlineStr">
        <is>
          <t>general</t>
        </is>
      </c>
      <c r="O27" t="inlineStr">
        <is>
          <t>https://www.jumbo.com.ar/shampoo-esencia-largo-salud-970-ml-plusbelle/p</t>
        </is>
      </c>
      <c r="P27">
        <f>TRIM(CLEAN(PROPER(D27)))</f>
        <v/>
      </c>
      <c r="Q27">
        <f>PROPER(TRIM(SUBSTITUTE(SUBSTITUTE(SUBSTITUTE(SUBSTITUTE(E27,"TRESEMME","Tresemme"),"HEAD &amp; SHOULDERS","Head &amp; Shoulders"),"ELVIVE","Elvive"),"FRUCTIS","Fructis")))</f>
        <v/>
      </c>
      <c r="R27">
        <f>COUNTIF($D$2:$D$10000,D27)&gt;1</f>
        <v/>
      </c>
      <c r="S27">
        <f>IF(H27=TRUE,"Disponible","No disponible")</f>
        <v/>
      </c>
      <c r="T27">
        <f>IF(AND(ISNUMBER(I27),I27&gt;0),ROUND(F27/I27,2),"Sin volumen")</f>
        <v/>
      </c>
      <c r="U27">
        <f>IF(F27&lt;5000,"Bajo",IF(F27&lt;15000,"Medio","Alto"))</f>
        <v/>
      </c>
    </row>
    <row r="28">
      <c r="A28" s="2" t="inlineStr">
        <is>
          <t>Jumbo</t>
        </is>
      </c>
      <c r="B28" s="2" t="n">
        <v>3073294</v>
      </c>
      <c r="C28" s="2" t="n">
        <v>3072798</v>
      </c>
      <c r="D28" s="2" t="inlineStr">
        <is>
          <t>Shampoo Reparación Intensiva 350 Ml Bagovit</t>
        </is>
      </c>
      <c r="E28" s="2" t="inlineStr">
        <is>
          <t>BAGOVIT</t>
        </is>
      </c>
      <c r="F28" s="2" t="n">
        <v>9800</v>
      </c>
      <c r="G28" s="2" t="n">
        <v>809917</v>
      </c>
      <c r="H28" s="2" t="b">
        <v>1</v>
      </c>
      <c r="I28" s="2" t="n">
        <v>350</v>
      </c>
      <c r="J28" s="2" t="n">
        <v>28</v>
      </c>
      <c r="K28" s="2" t="inlineStr">
        <is>
          <t>&gt; Perfumería &gt; Cuidado Capilar &gt; Shampoo &gt;</t>
        </is>
      </c>
      <c r="L28" s="2" t="inlineStr">
        <is>
          <t>shampoo</t>
        </is>
      </c>
      <c r="M28" s="2" t="inlineStr">
        <is>
          <t>estandar</t>
        </is>
      </c>
      <c r="N28" s="2" t="inlineStr">
        <is>
          <t>general</t>
        </is>
      </c>
      <c r="O28" s="2" t="inlineStr">
        <is>
          <t>https://www.jumbo.com.ar/shampoo-reparacion-intensiva-x-350-ml-bagovit/p</t>
        </is>
      </c>
      <c r="P28" s="4">
        <f>TRIM(CLEAN(PROPER(D28)))</f>
        <v/>
      </c>
      <c r="Q28" s="4">
        <f>PROPER(TRIM(SUBSTITUTE(SUBSTITUTE(SUBSTITUTE(SUBSTITUTE(E28,"TRESEMME","Tresemme"),"HEAD &amp; SHOULDERS","Head &amp; Shoulders"),"ELVIVE","Elvive"),"FRUCTIS","Fructis")))</f>
        <v/>
      </c>
      <c r="R28" s="4">
        <f>COUNTIF($D$2:$D$10000,D28)&gt;1</f>
        <v/>
      </c>
      <c r="S28" s="4">
        <f>IF(H28=TRUE,"Disponible","No disponible")</f>
        <v/>
      </c>
      <c r="T28" s="4">
        <f>IF(AND(ISNUMBER(I28),I28&gt;0),ROUND(F28/I28,2),"Sin volumen")</f>
        <v/>
      </c>
      <c r="U28" s="4">
        <f>IF(F28&lt;5000,"Bajo",IF(F28&lt;15000,"Medio","Alto"))</f>
        <v/>
      </c>
    </row>
    <row r="29">
      <c r="A29" t="inlineStr">
        <is>
          <t>Jumbo</t>
        </is>
      </c>
      <c r="B29" t="n">
        <v>389292</v>
      </c>
      <c r="C29" t="n">
        <v>387398</v>
      </c>
      <c r="D29" t="inlineStr">
        <is>
          <t>Shampoo Restauración Instantánea 650 Ml Sedal</t>
        </is>
      </c>
      <c r="E29" t="inlineStr">
        <is>
          <t>SEDAL</t>
        </is>
      </c>
      <c r="F29" t="n">
        <v>9400</v>
      </c>
      <c r="G29" t="n">
        <v>776860</v>
      </c>
      <c r="H29" t="b">
        <v>1</v>
      </c>
      <c r="I29" t="n">
        <v>650</v>
      </c>
      <c r="J29" t="n">
        <v>14.4615</v>
      </c>
      <c r="K29" t="inlineStr">
        <is>
          <t>&gt; Perfumería &gt; Cuidado Capilar &gt; Shampoo &gt;</t>
        </is>
      </c>
      <c r="L29" t="inlineStr">
        <is>
          <t>shampoo</t>
        </is>
      </c>
      <c r="M29" t="inlineStr">
        <is>
          <t>estandar</t>
        </is>
      </c>
      <c r="N29" t="inlineStr">
        <is>
          <t>general</t>
        </is>
      </c>
      <c r="O29" t="inlineStr">
        <is>
          <t>https://www.jumbo.com.ar/shampoo-restauracion-instantanea-650-ml-sedal/p</t>
        </is>
      </c>
      <c r="P29">
        <f>TRIM(CLEAN(PROPER(D29)))</f>
        <v/>
      </c>
      <c r="Q29">
        <f>PROPER(TRIM(SUBSTITUTE(SUBSTITUTE(SUBSTITUTE(SUBSTITUTE(E29,"TRESEMME","Tresemme"),"HEAD &amp; SHOULDERS","Head &amp; Shoulders"),"ELVIVE","Elvive"),"FRUCTIS","Fructis")))</f>
        <v/>
      </c>
      <c r="R29">
        <f>COUNTIF($D$2:$D$10000,D29)&gt;1</f>
        <v/>
      </c>
      <c r="S29">
        <f>IF(H29=TRUE,"Disponible","No disponible")</f>
        <v/>
      </c>
      <c r="T29">
        <f>IF(AND(ISNUMBER(I29),I29&gt;0),ROUND(F29/I29,2),"Sin volumen")</f>
        <v/>
      </c>
      <c r="U29">
        <f>IF(F29&lt;5000,"Bajo",IF(F29&lt;15000,"Medio","Alto"))</f>
        <v/>
      </c>
    </row>
    <row r="30">
      <c r="A30" s="2" t="inlineStr">
        <is>
          <t>Jumbo</t>
        </is>
      </c>
      <c r="B30" s="2" t="n">
        <v>119620</v>
      </c>
      <c r="C30" s="2" t="n">
        <v>118648</v>
      </c>
      <c r="D30" s="2" t="inlineStr">
        <is>
          <t>Shampoo Bebé Original 750 Ml Johnson's</t>
        </is>
      </c>
      <c r="E30" s="2" t="inlineStr">
        <is>
          <t>JOHNSON BABY</t>
        </is>
      </c>
      <c r="F30" s="2" t="n">
        <v>20700</v>
      </c>
      <c r="G30" s="2" t="n">
        <v>1710744</v>
      </c>
      <c r="H30" s="2" t="b">
        <v>1</v>
      </c>
      <c r="I30" s="2" t="n">
        <v>750</v>
      </c>
      <c r="J30" s="2" t="n">
        <v>27.6</v>
      </c>
      <c r="K30" s="2" t="inlineStr">
        <is>
          <t>&gt; Mundo Bebe &gt; Higiene para el Bebe &gt; Higiene del Bebé &gt;</t>
        </is>
      </c>
      <c r="L30" s="2" t="inlineStr">
        <is>
          <t>shampoo</t>
        </is>
      </c>
      <c r="M30" s="2" t="inlineStr">
        <is>
          <t>estandar</t>
        </is>
      </c>
      <c r="N30" s="2" t="inlineStr">
        <is>
          <t>bebe</t>
        </is>
      </c>
      <c r="O30" s="2" t="inlineStr">
        <is>
          <t>https://www.jumbo.com.ar/toallas-femeninas-con-alas-siempre-libre-especial-x-16-un/p</t>
        </is>
      </c>
      <c r="P30" s="4">
        <f>TRIM(CLEAN(PROPER(D30)))</f>
        <v/>
      </c>
      <c r="Q30" s="4">
        <f>PROPER(TRIM(SUBSTITUTE(SUBSTITUTE(SUBSTITUTE(SUBSTITUTE(E30,"TRESEMME","Tresemme"),"HEAD &amp; SHOULDERS","Head &amp; Shoulders"),"ELVIVE","Elvive"),"FRUCTIS","Fructis")))</f>
        <v/>
      </c>
      <c r="R30" s="4">
        <f>COUNTIF($D$2:$D$10000,D30)&gt;1</f>
        <v/>
      </c>
      <c r="S30" s="4">
        <f>IF(H30=TRUE,"Disponible","No disponible")</f>
        <v/>
      </c>
      <c r="T30" s="4">
        <f>IF(AND(ISNUMBER(I30),I30&gt;0),ROUND(F30/I30,2),"Sin volumen")</f>
        <v/>
      </c>
      <c r="U30" s="4">
        <f>IF(F30&lt;5000,"Bajo",IF(F30&lt;15000,"Medio","Alto"))</f>
        <v/>
      </c>
    </row>
    <row r="31">
      <c r="A31" t="inlineStr">
        <is>
          <t>Jumbo</t>
        </is>
      </c>
      <c r="B31" t="n">
        <v>31766</v>
      </c>
      <c r="C31" t="n">
        <v>28925</v>
      </c>
      <c r="D31" t="inlineStr">
        <is>
          <t>Shampoo para Auto 600 Cc Silisur</t>
        </is>
      </c>
      <c r="E31" t="inlineStr">
        <is>
          <t>SILISUR</t>
        </is>
      </c>
      <c r="F31" t="n">
        <v>7399</v>
      </c>
      <c r="G31" t="n">
        <v>611488</v>
      </c>
      <c r="H31" t="b">
        <v>1</v>
      </c>
      <c r="I31" t="inlineStr"/>
      <c r="J31" t="inlineStr"/>
      <c r="K31" t="inlineStr">
        <is>
          <t>&gt; Hogar y textil &gt; Automotor &gt; Limpieza &gt;</t>
        </is>
      </c>
      <c r="L31" t="inlineStr">
        <is>
          <t>shampoo</t>
        </is>
      </c>
      <c r="M31" t="inlineStr">
        <is>
          <t>estandar</t>
        </is>
      </c>
      <c r="N31" t="inlineStr">
        <is>
          <t>general</t>
        </is>
      </c>
      <c r="O31" t="inlineStr">
        <is>
          <t>https://www.jumbo.com.ar/shampoo-lava-coche-silisur-vainilla-pride-x-600cc/p</t>
        </is>
      </c>
      <c r="P31">
        <f>TRIM(CLEAN(PROPER(D31)))</f>
        <v/>
      </c>
      <c r="Q31">
        <f>PROPER(TRIM(SUBSTITUTE(SUBSTITUTE(SUBSTITUTE(SUBSTITUTE(E31,"TRESEMME","Tresemme"),"HEAD &amp; SHOULDERS","Head &amp; Shoulders"),"ELVIVE","Elvive"),"FRUCTIS","Fructis")))</f>
        <v/>
      </c>
      <c r="R31">
        <f>COUNTIF($D$2:$D$10000,D31)&gt;1</f>
        <v/>
      </c>
      <c r="S31">
        <f>IF(H31=TRUE,"Disponible","No disponible")</f>
        <v/>
      </c>
      <c r="T31">
        <f>IF(AND(ISNUMBER(I31),I31&gt;0),ROUND(F31/I31,2),"Sin volumen")</f>
        <v/>
      </c>
      <c r="U31">
        <f>IF(F31&lt;5000,"Bajo",IF(F31&lt;15000,"Medio","Alto"))</f>
        <v/>
      </c>
    </row>
    <row r="32">
      <c r="A32" s="2" t="inlineStr">
        <is>
          <t>Jumbo</t>
        </is>
      </c>
      <c r="B32" s="2" t="n">
        <v>415146</v>
      </c>
      <c r="C32" s="2" t="n">
        <v>410806</v>
      </c>
      <c r="D32" s="2" t="inlineStr">
        <is>
          <t>Shampoo Rizos Definidos 190 Ml Sedal</t>
        </is>
      </c>
      <c r="E32" s="2" t="inlineStr">
        <is>
          <t>SEDAL</t>
        </is>
      </c>
      <c r="F32" s="2" t="n">
        <v>3900</v>
      </c>
      <c r="G32" s="2" t="n">
        <v>322314</v>
      </c>
      <c r="H32" s="2" t="b">
        <v>1</v>
      </c>
      <c r="I32" s="2" t="n">
        <v>190</v>
      </c>
      <c r="J32" s="2" t="n">
        <v>20.5263</v>
      </c>
      <c r="K32" s="2" t="inlineStr">
        <is>
          <t>&gt; Perfumería &gt; Cuidado Capilar &gt; Shampoo &gt;</t>
        </is>
      </c>
      <c r="L32" s="2" t="inlineStr">
        <is>
          <t>shampoo</t>
        </is>
      </c>
      <c r="M32" s="2" t="inlineStr">
        <is>
          <t>estandar</t>
        </is>
      </c>
      <c r="N32" s="2" t="inlineStr">
        <is>
          <t>rizado</t>
        </is>
      </c>
      <c r="O32" s="2" t="inlineStr">
        <is>
          <t>https://www.jumbo.com.ar/shampoo-rizos-definidos-190-ml-sedal/p</t>
        </is>
      </c>
      <c r="P32" s="4">
        <f>TRIM(CLEAN(PROPER(D32)))</f>
        <v/>
      </c>
      <c r="Q32" s="4">
        <f>PROPER(TRIM(SUBSTITUTE(SUBSTITUTE(SUBSTITUTE(SUBSTITUTE(E32,"TRESEMME","Tresemme"),"HEAD &amp; SHOULDERS","Head &amp; Shoulders"),"ELVIVE","Elvive"),"FRUCTIS","Fructis")))</f>
        <v/>
      </c>
      <c r="R32" s="4">
        <f>COUNTIF($D$2:$D$10000,D32)&gt;1</f>
        <v/>
      </c>
      <c r="S32" s="4">
        <f>IF(H32=TRUE,"Disponible","No disponible")</f>
        <v/>
      </c>
      <c r="T32" s="4">
        <f>IF(AND(ISNUMBER(I32),I32&gt;0),ROUND(F32/I32,2),"Sin volumen")</f>
        <v/>
      </c>
      <c r="U32" s="4">
        <f>IF(F32&lt;5000,"Bajo",IF(F32&lt;15000,"Medio","Alto"))</f>
        <v/>
      </c>
    </row>
    <row r="33">
      <c r="A33" t="inlineStr">
        <is>
          <t>Jumbo</t>
        </is>
      </c>
      <c r="B33" t="n">
        <v>389302</v>
      </c>
      <c r="C33" t="n">
        <v>387408</v>
      </c>
      <c r="D33" t="inlineStr">
        <is>
          <t>Shampoo Crema Balance 190 Ml Sedal</t>
        </is>
      </c>
      <c r="E33" t="inlineStr">
        <is>
          <t>SEDAL</t>
        </is>
      </c>
      <c r="F33" t="n">
        <v>3900</v>
      </c>
      <c r="G33" t="n">
        <v>322314</v>
      </c>
      <c r="H33" t="b">
        <v>1</v>
      </c>
      <c r="I33" t="n">
        <v>190</v>
      </c>
      <c r="J33" t="n">
        <v>20.5263</v>
      </c>
      <c r="K33" t="inlineStr">
        <is>
          <t>&gt; Perfumería &gt; Cuidado Capilar &gt; Shampoo &gt;</t>
        </is>
      </c>
      <c r="L33" t="inlineStr">
        <is>
          <t>shampoo</t>
        </is>
      </c>
      <c r="M33" t="inlineStr">
        <is>
          <t>estandar</t>
        </is>
      </c>
      <c r="N33" t="inlineStr">
        <is>
          <t>general</t>
        </is>
      </c>
      <c r="O33" t="inlineStr">
        <is>
          <t>https://www.jumbo.com.ar/shampoo-crema-balance-190-ml-sedal/p</t>
        </is>
      </c>
      <c r="P33">
        <f>TRIM(CLEAN(PROPER(D33)))</f>
        <v/>
      </c>
      <c r="Q33">
        <f>PROPER(TRIM(SUBSTITUTE(SUBSTITUTE(SUBSTITUTE(SUBSTITUTE(E33,"TRESEMME","Tresemme"),"HEAD &amp; SHOULDERS","Head &amp; Shoulders"),"ELVIVE","Elvive"),"FRUCTIS","Fructis")))</f>
        <v/>
      </c>
      <c r="R33">
        <f>COUNTIF($D$2:$D$10000,D33)&gt;1</f>
        <v/>
      </c>
      <c r="S33">
        <f>IF(H33=TRUE,"Disponible","No disponible")</f>
        <v/>
      </c>
      <c r="T33">
        <f>IF(AND(ISNUMBER(I33),I33&gt;0),ROUND(F33/I33,2),"Sin volumen")</f>
        <v/>
      </c>
      <c r="U33">
        <f>IF(F33&lt;5000,"Bajo",IF(F33&lt;15000,"Medio","Alto"))</f>
        <v/>
      </c>
    </row>
    <row r="34">
      <c r="A34" s="2" t="inlineStr">
        <is>
          <t>Jumbo</t>
        </is>
      </c>
      <c r="B34" s="2" t="n">
        <v>400516</v>
      </c>
      <c r="C34" s="2" t="n">
        <v>397854</v>
      </c>
      <c r="D34" s="2" t="inlineStr">
        <is>
          <t>Shampoo Hidra Hialurónico 750 Ml Elvive</t>
        </is>
      </c>
      <c r="E34" s="2" t="inlineStr">
        <is>
          <t>ELVIVE</t>
        </is>
      </c>
      <c r="F34" s="2" t="n">
        <v>19400</v>
      </c>
      <c r="G34" s="2" t="n">
        <v>1603306</v>
      </c>
      <c r="H34" s="2" t="b">
        <v>1</v>
      </c>
      <c r="I34" s="2" t="n">
        <v>750</v>
      </c>
      <c r="J34" s="2" t="n">
        <v>25.8667</v>
      </c>
      <c r="K34" s="2" t="inlineStr">
        <is>
          <t>&gt; Perfumería &gt; Cuidado Capilar &gt; Shampoo &gt;</t>
        </is>
      </c>
      <c r="L34" s="2" t="inlineStr">
        <is>
          <t>shampoo</t>
        </is>
      </c>
      <c r="M34" s="2" t="inlineStr">
        <is>
          <t>profesional</t>
        </is>
      </c>
      <c r="N34" s="2" t="inlineStr">
        <is>
          <t>general</t>
        </is>
      </c>
      <c r="O34" s="2" t="inlineStr">
        <is>
          <t>https://www.jumbo.com.ar/shampoo-elvive-hidra-hialuronico-750-ml/p</t>
        </is>
      </c>
      <c r="P34" s="4">
        <f>TRIM(CLEAN(PROPER(D34)))</f>
        <v/>
      </c>
      <c r="Q34" s="4">
        <f>PROPER(TRIM(SUBSTITUTE(SUBSTITUTE(SUBSTITUTE(SUBSTITUTE(E34,"TRESEMME","Tresemme"),"HEAD &amp; SHOULDERS","Head &amp; Shoulders"),"ELVIVE","Elvive"),"FRUCTIS","Fructis")))</f>
        <v/>
      </c>
      <c r="R34" s="4">
        <f>COUNTIF($D$2:$D$10000,D34)&gt;1</f>
        <v/>
      </c>
      <c r="S34" s="4">
        <f>IF(H34=TRUE,"Disponible","No disponible")</f>
        <v/>
      </c>
      <c r="T34" s="4">
        <f>IF(AND(ISNUMBER(I34),I34&gt;0),ROUND(F34/I34,2),"Sin volumen")</f>
        <v/>
      </c>
      <c r="U34" s="4">
        <f>IF(F34&lt;5000,"Bajo",IF(F34&lt;15000,"Medio","Alto"))</f>
        <v/>
      </c>
    </row>
    <row r="35">
      <c r="A35" t="inlineStr">
        <is>
          <t>Jumbo</t>
        </is>
      </c>
      <c r="B35" t="n">
        <v>397624</v>
      </c>
      <c r="C35" t="n">
        <v>395357</v>
      </c>
      <c r="D35" t="inlineStr">
        <is>
          <t>Shampoo Hialurónico Pure 200 Ml Elvive</t>
        </is>
      </c>
      <c r="E35" t="inlineStr">
        <is>
          <t>ELVIVE</t>
        </is>
      </c>
      <c r="F35" t="n">
        <v>7550</v>
      </c>
      <c r="G35" t="n">
        <v>623967</v>
      </c>
      <c r="H35" t="b">
        <v>1</v>
      </c>
      <c r="I35" t="n">
        <v>200</v>
      </c>
      <c r="J35" t="n">
        <v>37.75</v>
      </c>
      <c r="K35" t="inlineStr">
        <is>
          <t>&gt; Perfumería &gt; Cuidado Capilar &gt; Shampoo &gt;</t>
        </is>
      </c>
      <c r="L35" t="inlineStr">
        <is>
          <t>shampoo</t>
        </is>
      </c>
      <c r="M35" t="inlineStr">
        <is>
          <t>profesional</t>
        </is>
      </c>
      <c r="N35" t="inlineStr">
        <is>
          <t>general</t>
        </is>
      </c>
      <c r="O35" t="inlineStr">
        <is>
          <t>https://www.jumbo.com.ar/shampoo-elvive-hialuronico-pure-200ml/p</t>
        </is>
      </c>
      <c r="P35">
        <f>TRIM(CLEAN(PROPER(D35)))</f>
        <v/>
      </c>
      <c r="Q35">
        <f>PROPER(TRIM(SUBSTITUTE(SUBSTITUTE(SUBSTITUTE(SUBSTITUTE(E35,"TRESEMME","Tresemme"),"HEAD &amp; SHOULDERS","Head &amp; Shoulders"),"ELVIVE","Elvive"),"FRUCTIS","Fructis")))</f>
        <v/>
      </c>
      <c r="R35">
        <f>COUNTIF($D$2:$D$10000,D35)&gt;1</f>
        <v/>
      </c>
      <c r="S35">
        <f>IF(H35=TRUE,"Disponible","No disponible")</f>
        <v/>
      </c>
      <c r="T35">
        <f>IF(AND(ISNUMBER(I35),I35&gt;0),ROUND(F35/I35,2),"Sin volumen")</f>
        <v/>
      </c>
      <c r="U35">
        <f>IF(F35&lt;5000,"Bajo",IF(F35&lt;15000,"Medio","Alto"))</f>
        <v/>
      </c>
    </row>
    <row r="36">
      <c r="A36" s="2" t="inlineStr">
        <is>
          <t>Jumbo</t>
        </is>
      </c>
      <c r="B36" s="2" t="n">
        <v>396882</v>
      </c>
      <c r="C36" s="2" t="n">
        <v>394638</v>
      </c>
      <c r="D36" s="2" t="inlineStr">
        <is>
          <t>Shampoo Crema Balance 340 Ml Sedal</t>
        </is>
      </c>
      <c r="E36" s="2" t="inlineStr">
        <is>
          <t>SEDAL</t>
        </is>
      </c>
      <c r="F36" s="2" t="n">
        <v>5448</v>
      </c>
      <c r="G36" s="2" t="n">
        <v>450248</v>
      </c>
      <c r="H36" s="2" t="b">
        <v>1</v>
      </c>
      <c r="I36" s="2" t="n">
        <v>340</v>
      </c>
      <c r="J36" s="2" t="n">
        <v>16.0235</v>
      </c>
      <c r="K36" s="2" t="inlineStr">
        <is>
          <t>&gt; Perfumería &gt; Cuidado Capilar &gt; Shampoo &gt;</t>
        </is>
      </c>
      <c r="L36" s="2" t="inlineStr">
        <is>
          <t>shampoo</t>
        </is>
      </c>
      <c r="M36" s="2" t="inlineStr">
        <is>
          <t>estandar</t>
        </is>
      </c>
      <c r="N36" s="2" t="inlineStr">
        <is>
          <t>general</t>
        </is>
      </c>
      <c r="O36" s="2" t="inlineStr">
        <is>
          <t>https://www.jumbo.com.ar/shampoo-crema-balance-340-ml-sedal/p</t>
        </is>
      </c>
      <c r="P36" s="4">
        <f>TRIM(CLEAN(PROPER(D36)))</f>
        <v/>
      </c>
      <c r="Q36" s="4">
        <f>PROPER(TRIM(SUBSTITUTE(SUBSTITUTE(SUBSTITUTE(SUBSTITUTE(E36,"TRESEMME","Tresemme"),"HEAD &amp; SHOULDERS","Head &amp; Shoulders"),"ELVIVE","Elvive"),"FRUCTIS","Fructis")))</f>
        <v/>
      </c>
      <c r="R36" s="4">
        <f>COUNTIF($D$2:$D$10000,D36)&gt;1</f>
        <v/>
      </c>
      <c r="S36" s="4">
        <f>IF(H36=TRUE,"Disponible","No disponible")</f>
        <v/>
      </c>
      <c r="T36" s="4">
        <f>IF(AND(ISNUMBER(I36),I36&gt;0),ROUND(F36/I36,2),"Sin volumen")</f>
        <v/>
      </c>
      <c r="U36" s="4">
        <f>IF(F36&lt;5000,"Bajo",IF(F36&lt;15000,"Medio","Alto"))</f>
        <v/>
      </c>
    </row>
    <row r="37">
      <c r="A37" t="inlineStr">
        <is>
          <t>Jumbo</t>
        </is>
      </c>
      <c r="B37" t="n">
        <v>389290</v>
      </c>
      <c r="C37" t="n">
        <v>387396</v>
      </c>
      <c r="D37" t="inlineStr">
        <is>
          <t>Shampoo Sedal Ceramidas Botella 340 Ml</t>
        </is>
      </c>
      <c r="E37" t="inlineStr">
        <is>
          <t>SEDAL</t>
        </is>
      </c>
      <c r="F37" t="n">
        <v>5448</v>
      </c>
      <c r="G37" t="n">
        <v>450248</v>
      </c>
      <c r="H37" t="b">
        <v>1</v>
      </c>
      <c r="I37" t="n">
        <v>340</v>
      </c>
      <c r="J37" t="n">
        <v>16.0235</v>
      </c>
      <c r="K37" t="inlineStr">
        <is>
          <t>&gt; Perfumería &gt; Cuidado Capilar &gt; Shampoo &gt;</t>
        </is>
      </c>
      <c r="L37" t="inlineStr">
        <is>
          <t>shampoo</t>
        </is>
      </c>
      <c r="M37" t="inlineStr">
        <is>
          <t>estandar</t>
        </is>
      </c>
      <c r="N37" t="inlineStr">
        <is>
          <t>general</t>
        </is>
      </c>
      <c r="O37" t="inlineStr">
        <is>
          <t>https://www.jumbo.com.ar/shampoo-sedal-ceramidas-botella-340-ml-2/p</t>
        </is>
      </c>
      <c r="P37">
        <f>TRIM(CLEAN(PROPER(D37)))</f>
        <v/>
      </c>
      <c r="Q37">
        <f>PROPER(TRIM(SUBSTITUTE(SUBSTITUTE(SUBSTITUTE(SUBSTITUTE(E37,"TRESEMME","Tresemme"),"HEAD &amp; SHOULDERS","Head &amp; Shoulders"),"ELVIVE","Elvive"),"FRUCTIS","Fructis")))</f>
        <v/>
      </c>
      <c r="R37">
        <f>COUNTIF($D$2:$D$10000,D37)&gt;1</f>
        <v/>
      </c>
      <c r="S37">
        <f>IF(H37=TRUE,"Disponible","No disponible")</f>
        <v/>
      </c>
      <c r="T37">
        <f>IF(AND(ISNUMBER(I37),I37&gt;0),ROUND(F37/I37,2),"Sin volumen")</f>
        <v/>
      </c>
      <c r="U37">
        <f>IF(F37&lt;5000,"Bajo",IF(F37&lt;15000,"Medio","Alto"))</f>
        <v/>
      </c>
    </row>
    <row r="38">
      <c r="A38" s="2" t="inlineStr">
        <is>
          <t>Jumbo</t>
        </is>
      </c>
      <c r="B38" s="2" t="n">
        <v>3070283</v>
      </c>
      <c r="C38" s="2" t="n">
        <v>3069876</v>
      </c>
      <c r="D38" s="2" t="inlineStr">
        <is>
          <t>Shampoo Ondas Boho 500 Ml Tresemmé</t>
        </is>
      </c>
      <c r="E38" s="2" t="inlineStr">
        <is>
          <t>TRESEMMÉ</t>
        </is>
      </c>
      <c r="F38" s="2" t="n">
        <v>10400</v>
      </c>
      <c r="G38" s="2" t="n">
        <v>859504</v>
      </c>
      <c r="H38" s="2" t="b">
        <v>1</v>
      </c>
      <c r="I38" s="2" t="n">
        <v>500</v>
      </c>
      <c r="J38" s="2" t="n">
        <v>20.8</v>
      </c>
      <c r="K38" s="2" t="inlineStr">
        <is>
          <t>&gt; Perfumería &gt; Cuidado Capilar &gt; Shampoo &gt;</t>
        </is>
      </c>
      <c r="L38" s="2" t="inlineStr">
        <is>
          <t>shampoo</t>
        </is>
      </c>
      <c r="M38" s="2" t="inlineStr">
        <is>
          <t>estandar</t>
        </is>
      </c>
      <c r="N38" s="2" t="inlineStr">
        <is>
          <t>general</t>
        </is>
      </c>
      <c r="O38" s="2" t="inlineStr">
        <is>
          <t>https://www.jumbo.com.ar/shampoo-ondas-boho-x-500-ml-tresemme/p</t>
        </is>
      </c>
      <c r="P38" s="4">
        <f>TRIM(CLEAN(PROPER(D38)))</f>
        <v/>
      </c>
      <c r="Q38" s="4">
        <f>PROPER(TRIM(SUBSTITUTE(SUBSTITUTE(SUBSTITUTE(SUBSTITUTE(E38,"TRESEMME","Tresemme"),"HEAD &amp; SHOULDERS","Head &amp; Shoulders"),"ELVIVE","Elvive"),"FRUCTIS","Fructis")))</f>
        <v/>
      </c>
      <c r="R38" s="4">
        <f>COUNTIF($D$2:$D$10000,D38)&gt;1</f>
        <v/>
      </c>
      <c r="S38" s="4">
        <f>IF(H38=TRUE,"Disponible","No disponible")</f>
        <v/>
      </c>
      <c r="T38" s="4">
        <f>IF(AND(ISNUMBER(I38),I38&gt;0),ROUND(F38/I38,2),"Sin volumen")</f>
        <v/>
      </c>
      <c r="U38" s="4">
        <f>IF(F38&lt;5000,"Bajo",IF(F38&lt;15000,"Medio","Alto"))</f>
        <v/>
      </c>
    </row>
    <row r="39">
      <c r="A39" t="inlineStr">
        <is>
          <t>Jumbo</t>
        </is>
      </c>
      <c r="B39" t="n">
        <v>3067578</v>
      </c>
      <c r="C39" t="n">
        <v>3067442</v>
      </c>
      <c r="D39" t="inlineStr">
        <is>
          <t>Shampoo Luminous UV 650 Ml Sedal</t>
        </is>
      </c>
      <c r="E39" t="inlineStr">
        <is>
          <t>SEDAL</t>
        </is>
      </c>
      <c r="F39" t="n">
        <v>9000</v>
      </c>
      <c r="G39" t="n">
        <v>743802</v>
      </c>
      <c r="H39" t="b">
        <v>1</v>
      </c>
      <c r="I39" t="n">
        <v>650</v>
      </c>
      <c r="J39" t="n">
        <v>13.8462</v>
      </c>
      <c r="K39" t="inlineStr">
        <is>
          <t>&gt; Perfumería &gt; Cuidado Capilar &gt; Shampoo &gt;</t>
        </is>
      </c>
      <c r="L39" t="inlineStr">
        <is>
          <t>shampoo</t>
        </is>
      </c>
      <c r="M39" t="inlineStr">
        <is>
          <t>estandar</t>
        </is>
      </c>
      <c r="N39" t="inlineStr">
        <is>
          <t>general</t>
        </is>
      </c>
      <c r="O39" t="inlineStr">
        <is>
          <t>https://www.jumbo.com.ar/shampoo-luminous-uv-x-650-ml-sedal/p</t>
        </is>
      </c>
      <c r="P39">
        <f>TRIM(CLEAN(PROPER(D39)))</f>
        <v/>
      </c>
      <c r="Q39">
        <f>PROPER(TRIM(SUBSTITUTE(SUBSTITUTE(SUBSTITUTE(SUBSTITUTE(E39,"TRESEMME","Tresemme"),"HEAD &amp; SHOULDERS","Head &amp; Shoulders"),"ELVIVE","Elvive"),"FRUCTIS","Fructis")))</f>
        <v/>
      </c>
      <c r="R39">
        <f>COUNTIF($D$2:$D$10000,D39)&gt;1</f>
        <v/>
      </c>
      <c r="S39">
        <f>IF(H39=TRUE,"Disponible","No disponible")</f>
        <v/>
      </c>
      <c r="T39">
        <f>IF(AND(ISNUMBER(I39),I39&gt;0),ROUND(F39/I39,2),"Sin volumen")</f>
        <v/>
      </c>
      <c r="U39">
        <f>IF(F39&lt;5000,"Bajo",IF(F39&lt;15000,"Medio","Alto"))</f>
        <v/>
      </c>
    </row>
    <row r="40">
      <c r="A40" s="2" t="inlineStr">
        <is>
          <t>Jumbo</t>
        </is>
      </c>
      <c r="B40" s="2" t="n">
        <v>421911</v>
      </c>
      <c r="C40" s="2" t="n">
        <v>407093</v>
      </c>
      <c r="D40" s="2" t="inlineStr">
        <is>
          <t>Shampoo Prebioticos Biotina 650 Ml Sedal</t>
        </is>
      </c>
      <c r="E40" s="2" t="inlineStr">
        <is>
          <t>SEDAL</t>
        </is>
      </c>
      <c r="F40" s="2" t="n">
        <v>9400</v>
      </c>
      <c r="G40" s="2" t="n">
        <v>776860</v>
      </c>
      <c r="H40" s="2" t="b">
        <v>1</v>
      </c>
      <c r="I40" s="2" t="n">
        <v>650</v>
      </c>
      <c r="J40" s="2" t="n">
        <v>14.4615</v>
      </c>
      <c r="K40" s="2" t="inlineStr">
        <is>
          <t>&gt; Perfumería &gt; Cuidado Capilar &gt; Shampoo &gt;</t>
        </is>
      </c>
      <c r="L40" s="2" t="inlineStr">
        <is>
          <t>shampoo</t>
        </is>
      </c>
      <c r="M40" s="2" t="inlineStr">
        <is>
          <t>estandar</t>
        </is>
      </c>
      <c r="N40" s="2" t="inlineStr">
        <is>
          <t>general</t>
        </is>
      </c>
      <c r="O40" s="2" t="inlineStr">
        <is>
          <t>https://www.jumbo.com.ar/shampoo-prebioticos-biotina-650-ml-sedal/p</t>
        </is>
      </c>
      <c r="P40" s="4">
        <f>TRIM(CLEAN(PROPER(D40)))</f>
        <v/>
      </c>
      <c r="Q40" s="4">
        <f>PROPER(TRIM(SUBSTITUTE(SUBSTITUTE(SUBSTITUTE(SUBSTITUTE(E40,"TRESEMME","Tresemme"),"HEAD &amp; SHOULDERS","Head &amp; Shoulders"),"ELVIVE","Elvive"),"FRUCTIS","Fructis")))</f>
        <v/>
      </c>
      <c r="R40" s="4">
        <f>COUNTIF($D$2:$D$10000,D40)&gt;1</f>
        <v/>
      </c>
      <c r="S40" s="4">
        <f>IF(H40=TRUE,"Disponible","No disponible")</f>
        <v/>
      </c>
      <c r="T40" s="4">
        <f>IF(AND(ISNUMBER(I40),I40&gt;0),ROUND(F40/I40,2),"Sin volumen")</f>
        <v/>
      </c>
      <c r="U40" s="4">
        <f>IF(F40&lt;5000,"Bajo",IF(F40&lt;15000,"Medio","Alto"))</f>
        <v/>
      </c>
    </row>
    <row r="41">
      <c r="A41" t="inlineStr">
        <is>
          <t>Jumbo</t>
        </is>
      </c>
      <c r="B41" t="n">
        <v>389300</v>
      </c>
      <c r="C41" t="n">
        <v>387406</v>
      </c>
      <c r="D41" t="inlineStr">
        <is>
          <t>Shampoo Restauración Instantánea 340 Ml Sedal</t>
        </is>
      </c>
      <c r="E41" t="inlineStr">
        <is>
          <t>SEDAL</t>
        </is>
      </c>
      <c r="F41" t="n">
        <v>5800</v>
      </c>
      <c r="G41" t="n">
        <v>479339</v>
      </c>
      <c r="H41" t="b">
        <v>1</v>
      </c>
      <c r="I41" t="n">
        <v>340</v>
      </c>
      <c r="J41" t="n">
        <v>17.0588</v>
      </c>
      <c r="K41" t="inlineStr">
        <is>
          <t>&gt; Perfumería &gt; Cuidado Capilar &gt; Shampoo &gt;</t>
        </is>
      </c>
      <c r="L41" t="inlineStr">
        <is>
          <t>shampoo</t>
        </is>
      </c>
      <c r="M41" t="inlineStr">
        <is>
          <t>estandar</t>
        </is>
      </c>
      <c r="N41" t="inlineStr">
        <is>
          <t>general</t>
        </is>
      </c>
      <c r="O41" t="inlineStr">
        <is>
          <t>https://www.jumbo.com.ar/shampoo-restauracion-instantanea-340-ml-sedal/p</t>
        </is>
      </c>
      <c r="P41">
        <f>TRIM(CLEAN(PROPER(D41)))</f>
        <v/>
      </c>
      <c r="Q41">
        <f>PROPER(TRIM(SUBSTITUTE(SUBSTITUTE(SUBSTITUTE(SUBSTITUTE(E41,"TRESEMME","Tresemme"),"HEAD &amp; SHOULDERS","Head &amp; Shoulders"),"ELVIVE","Elvive"),"FRUCTIS","Fructis")))</f>
        <v/>
      </c>
      <c r="R41">
        <f>COUNTIF($D$2:$D$10000,D41)&gt;1</f>
        <v/>
      </c>
      <c r="S41">
        <f>IF(H41=TRUE,"Disponible","No disponible")</f>
        <v/>
      </c>
      <c r="T41">
        <f>IF(AND(ISNUMBER(I41),I41&gt;0),ROUND(F41/I41,2),"Sin volumen")</f>
        <v/>
      </c>
      <c r="U41">
        <f>IF(F41&lt;5000,"Bajo",IF(F41&lt;15000,"Medio","Alto"))</f>
        <v/>
      </c>
    </row>
    <row r="42">
      <c r="A42" s="2" t="inlineStr">
        <is>
          <t>Jumbo</t>
        </is>
      </c>
      <c r="B42" s="2" t="n">
        <v>384328</v>
      </c>
      <c r="C42" s="2" t="n">
        <v>383817</v>
      </c>
      <c r="D42" s="2" t="inlineStr">
        <is>
          <t>Shampoo Esencia Restauración 970 Ml Plusbelle</t>
        </is>
      </c>
      <c r="E42" s="2" t="inlineStr">
        <is>
          <t>PLUSBELLE</t>
        </is>
      </c>
      <c r="F42" s="2" t="n">
        <v>6350</v>
      </c>
      <c r="G42" s="2" t="n">
        <v>524793</v>
      </c>
      <c r="H42" s="2" t="b">
        <v>1</v>
      </c>
      <c r="I42" s="2" t="n">
        <v>970</v>
      </c>
      <c r="J42" s="2" t="n">
        <v>6.5464</v>
      </c>
      <c r="K42" s="2" t="inlineStr">
        <is>
          <t>&gt; Perfumería &gt; Cuidado Capilar &gt; Shampoo &gt;</t>
        </is>
      </c>
      <c r="L42" s="2" t="inlineStr">
        <is>
          <t>shampoo</t>
        </is>
      </c>
      <c r="M42" s="2" t="inlineStr">
        <is>
          <t>estandar</t>
        </is>
      </c>
      <c r="N42" s="2" t="inlineStr">
        <is>
          <t>general</t>
        </is>
      </c>
      <c r="O42" s="2" t="inlineStr">
        <is>
          <t>https://www.jumbo.com.ar/shampoo-esencia-restauracion-970-ml-plusbelle/p</t>
        </is>
      </c>
      <c r="P42" s="4">
        <f>TRIM(CLEAN(PROPER(D42)))</f>
        <v/>
      </c>
      <c r="Q42" s="4">
        <f>PROPER(TRIM(SUBSTITUTE(SUBSTITUTE(SUBSTITUTE(SUBSTITUTE(E42,"TRESEMME","Tresemme"),"HEAD &amp; SHOULDERS","Head &amp; Shoulders"),"ELVIVE","Elvive"),"FRUCTIS","Fructis")))</f>
        <v/>
      </c>
      <c r="R42" s="4">
        <f>COUNTIF($D$2:$D$10000,D42)&gt;1</f>
        <v/>
      </c>
      <c r="S42" s="4">
        <f>IF(H42=TRUE,"Disponible","No disponible")</f>
        <v/>
      </c>
      <c r="T42" s="4">
        <f>IF(AND(ISNUMBER(I42),I42&gt;0),ROUND(F42/I42,2),"Sin volumen")</f>
        <v/>
      </c>
      <c r="U42" s="4">
        <f>IF(F42&lt;5000,"Bajo",IF(F42&lt;15000,"Medio","Alto"))</f>
        <v/>
      </c>
    </row>
    <row r="43">
      <c r="A43" t="inlineStr">
        <is>
          <t>Jumbo</t>
        </is>
      </c>
      <c r="B43" t="n">
        <v>413347</v>
      </c>
      <c r="C43" t="n">
        <v>409228</v>
      </c>
      <c r="D43" t="inlineStr">
        <is>
          <t>Shampoo Keratina Antifrizz 250 Ml Tresemmé</t>
        </is>
      </c>
      <c r="E43" t="inlineStr">
        <is>
          <t>TRESEMMÉ</t>
        </is>
      </c>
      <c r="F43" t="n">
        <v>6300</v>
      </c>
      <c r="G43" t="n">
        <v>520661</v>
      </c>
      <c r="H43" t="b">
        <v>1</v>
      </c>
      <c r="I43" t="n">
        <v>250</v>
      </c>
      <c r="J43" t="n">
        <v>25.2</v>
      </c>
      <c r="K43" t="inlineStr">
        <is>
          <t>&gt; Perfumería &gt; Cuidado Capilar &gt; Shampoo &gt;</t>
        </is>
      </c>
      <c r="L43" t="inlineStr">
        <is>
          <t>shampoo</t>
        </is>
      </c>
      <c r="M43" t="inlineStr">
        <is>
          <t>estandar</t>
        </is>
      </c>
      <c r="N43" t="inlineStr">
        <is>
          <t>tratado</t>
        </is>
      </c>
      <c r="O43" t="inlineStr">
        <is>
          <t>https://www.jumbo.com.ar/shampoo-tresemme-keratina-antifrizz-250-ml/p</t>
        </is>
      </c>
      <c r="P43">
        <f>TRIM(CLEAN(PROPER(D43)))</f>
        <v/>
      </c>
      <c r="Q43">
        <f>PROPER(TRIM(SUBSTITUTE(SUBSTITUTE(SUBSTITUTE(SUBSTITUTE(E43,"TRESEMME","Tresemme"),"HEAD &amp; SHOULDERS","Head &amp; Shoulders"),"ELVIVE","Elvive"),"FRUCTIS","Fructis")))</f>
        <v/>
      </c>
      <c r="R43">
        <f>COUNTIF($D$2:$D$10000,D43)&gt;1</f>
        <v/>
      </c>
      <c r="S43">
        <f>IF(H43=TRUE,"Disponible","No disponible")</f>
        <v/>
      </c>
      <c r="T43">
        <f>IF(AND(ISNUMBER(I43),I43&gt;0),ROUND(F43/I43,2),"Sin volumen")</f>
        <v/>
      </c>
      <c r="U43">
        <f>IF(F43&lt;5000,"Bajo",IF(F43&lt;15000,"Medio","Alto"))</f>
        <v/>
      </c>
    </row>
    <row r="44">
      <c r="A44" s="2" t="inlineStr">
        <is>
          <t>Jumbo</t>
        </is>
      </c>
      <c r="B44" s="2" t="n">
        <v>397217</v>
      </c>
      <c r="C44" s="2" t="n">
        <v>394958</v>
      </c>
      <c r="D44" s="2" t="inlineStr">
        <is>
          <t>Shampoo Fructis Goodbye Daños 200 Ml</t>
        </is>
      </c>
      <c r="E44" s="2" t="inlineStr">
        <is>
          <t>FRUCTIS</t>
        </is>
      </c>
      <c r="F44" s="2" t="n">
        <v>5900</v>
      </c>
      <c r="G44" s="2" t="n">
        <v>487603</v>
      </c>
      <c r="H44" s="2" t="b">
        <v>1</v>
      </c>
      <c r="I44" s="2" t="n">
        <v>200</v>
      </c>
      <c r="J44" s="2" t="n">
        <v>29.5</v>
      </c>
      <c r="K44" s="2" t="inlineStr">
        <is>
          <t>&gt; Perfumería &gt; Cuidado Capilar &gt; Shampoo &gt;</t>
        </is>
      </c>
      <c r="L44" s="2" t="inlineStr">
        <is>
          <t>shampoo</t>
        </is>
      </c>
      <c r="M44" s="2" t="inlineStr">
        <is>
          <t>estandar</t>
        </is>
      </c>
      <c r="N44" s="2" t="inlineStr">
        <is>
          <t>general</t>
        </is>
      </c>
      <c r="O44" s="2" t="inlineStr">
        <is>
          <t>https://www.jumbo.com.ar/shampoo-fructis-goodbye-danos-200-ml/p</t>
        </is>
      </c>
      <c r="P44" s="4">
        <f>TRIM(CLEAN(PROPER(D44)))</f>
        <v/>
      </c>
      <c r="Q44" s="4">
        <f>PROPER(TRIM(SUBSTITUTE(SUBSTITUTE(SUBSTITUTE(SUBSTITUTE(E44,"TRESEMME","Tresemme"),"HEAD &amp; SHOULDERS","Head &amp; Shoulders"),"ELVIVE","Elvive"),"FRUCTIS","Fructis")))</f>
        <v/>
      </c>
      <c r="R44" s="4">
        <f>COUNTIF($D$2:$D$10000,D44)&gt;1</f>
        <v/>
      </c>
      <c r="S44" s="4">
        <f>IF(H44=TRUE,"Disponible","No disponible")</f>
        <v/>
      </c>
      <c r="T44" s="4">
        <f>IF(AND(ISNUMBER(I44),I44&gt;0),ROUND(F44/I44,2),"Sin volumen")</f>
        <v/>
      </c>
      <c r="U44" s="4">
        <f>IF(F44&lt;5000,"Bajo",IF(F44&lt;15000,"Medio","Alto"))</f>
        <v/>
      </c>
    </row>
    <row r="45">
      <c r="A45" t="inlineStr">
        <is>
          <t>Jumbo</t>
        </is>
      </c>
      <c r="B45" t="n">
        <v>393563</v>
      </c>
      <c r="C45" t="n">
        <v>391591</v>
      </c>
      <c r="D45" t="inlineStr">
        <is>
          <t>Shampoo Reconstrucción Completa 200 Cc Dove</t>
        </is>
      </c>
      <c r="E45" t="inlineStr">
        <is>
          <t>DOVE</t>
        </is>
      </c>
      <c r="F45" t="n">
        <v>6000</v>
      </c>
      <c r="G45" t="n">
        <v>495868</v>
      </c>
      <c r="H45" t="b">
        <v>1</v>
      </c>
      <c r="I45" t="inlineStr"/>
      <c r="J45" t="inlineStr"/>
      <c r="K45" t="inlineStr">
        <is>
          <t>&gt; Perfumería &gt; Cuidado Capilar &gt; Shampoo &gt;</t>
        </is>
      </c>
      <c r="L45" t="inlineStr">
        <is>
          <t>shampoo</t>
        </is>
      </c>
      <c r="M45" t="inlineStr">
        <is>
          <t>estandar</t>
        </is>
      </c>
      <c r="N45" t="inlineStr">
        <is>
          <t>general</t>
        </is>
      </c>
      <c r="O45" t="inlineStr">
        <is>
          <t>https://www.jumbo.com.ar/shampoo-dove-reconstruccion-completa-200cc/p</t>
        </is>
      </c>
      <c r="P45">
        <f>TRIM(CLEAN(PROPER(D45)))</f>
        <v/>
      </c>
      <c r="Q45">
        <f>PROPER(TRIM(SUBSTITUTE(SUBSTITUTE(SUBSTITUTE(SUBSTITUTE(E45,"TRESEMME","Tresemme"),"HEAD &amp; SHOULDERS","Head &amp; Shoulders"),"ELVIVE","Elvive"),"FRUCTIS","Fructis")))</f>
        <v/>
      </c>
      <c r="R45">
        <f>COUNTIF($D$2:$D$10000,D45)&gt;1</f>
        <v/>
      </c>
      <c r="S45">
        <f>IF(H45=TRUE,"Disponible","No disponible")</f>
        <v/>
      </c>
      <c r="T45">
        <f>IF(AND(ISNUMBER(I45),I45&gt;0),ROUND(F45/I45,2),"Sin volumen")</f>
        <v/>
      </c>
      <c r="U45">
        <f>IF(F45&lt;5000,"Bajo",IF(F45&lt;15000,"Medio","Alto"))</f>
        <v/>
      </c>
    </row>
    <row r="46">
      <c r="A46" s="2" t="inlineStr">
        <is>
          <t>Jumbo</t>
        </is>
      </c>
      <c r="B46" s="2" t="n">
        <v>413348</v>
      </c>
      <c r="C46" s="2" t="n">
        <v>409229</v>
      </c>
      <c r="D46" s="2" t="inlineStr">
        <is>
          <t>Shampoo Tresemme Cauterización Reparadora 250 Ml</t>
        </is>
      </c>
      <c r="E46" s="2" t="inlineStr">
        <is>
          <t>TRESEMMÉ</t>
        </is>
      </c>
      <c r="F46" s="2" t="n">
        <v>6300</v>
      </c>
      <c r="G46" s="2" t="n">
        <v>520661</v>
      </c>
      <c r="H46" s="2" t="b">
        <v>1</v>
      </c>
      <c r="I46" s="2" t="n">
        <v>250</v>
      </c>
      <c r="J46" s="2" t="n">
        <v>25.2</v>
      </c>
      <c r="K46" s="2" t="inlineStr">
        <is>
          <t>&gt; Perfumería &gt; Cuidado Capilar &gt; Shampoo &gt;</t>
        </is>
      </c>
      <c r="L46" s="2" t="inlineStr">
        <is>
          <t>shampoo</t>
        </is>
      </c>
      <c r="M46" s="2" t="inlineStr">
        <is>
          <t>estandar</t>
        </is>
      </c>
      <c r="N46" s="2" t="inlineStr">
        <is>
          <t>general</t>
        </is>
      </c>
      <c r="O46" s="2" t="inlineStr">
        <is>
          <t>https://www.jumbo.com.ar/shampoo-tresemme-cauterizacion-reparadora-250-ml/p</t>
        </is>
      </c>
      <c r="P46" s="4">
        <f>TRIM(CLEAN(PROPER(D46)))</f>
        <v/>
      </c>
      <c r="Q46" s="4">
        <f>PROPER(TRIM(SUBSTITUTE(SUBSTITUTE(SUBSTITUTE(SUBSTITUTE(E46,"TRESEMME","Tresemme"),"HEAD &amp; SHOULDERS","Head &amp; Shoulders"),"ELVIVE","Elvive"),"FRUCTIS","Fructis")))</f>
        <v/>
      </c>
      <c r="R46" s="4">
        <f>COUNTIF($D$2:$D$10000,D46)&gt;1</f>
        <v/>
      </c>
      <c r="S46" s="4">
        <f>IF(H46=TRUE,"Disponible","No disponible")</f>
        <v/>
      </c>
      <c r="T46" s="4">
        <f>IF(AND(ISNUMBER(I46),I46&gt;0),ROUND(F46/I46,2),"Sin volumen")</f>
        <v/>
      </c>
      <c r="U46" s="4">
        <f>IF(F46&lt;5000,"Bajo",IF(F46&lt;15000,"Medio","Alto"))</f>
        <v/>
      </c>
    </row>
    <row r="47">
      <c r="A47" t="inlineStr">
        <is>
          <t>Jumbo</t>
        </is>
      </c>
      <c r="B47" t="n">
        <v>3070277</v>
      </c>
      <c r="C47" t="n">
        <v>3069870</v>
      </c>
      <c r="D47" t="inlineStr">
        <is>
          <t>Shampoo Cauterización Reparadora 500 Ml Tresemmé</t>
        </is>
      </c>
      <c r="E47" t="inlineStr">
        <is>
          <t>TRESEMMÉ</t>
        </is>
      </c>
      <c r="F47" t="n">
        <v>10400</v>
      </c>
      <c r="G47" t="n">
        <v>859504</v>
      </c>
      <c r="H47" t="b">
        <v>1</v>
      </c>
      <c r="I47" t="n">
        <v>500</v>
      </c>
      <c r="J47" t="n">
        <v>20.8</v>
      </c>
      <c r="K47" t="inlineStr">
        <is>
          <t>&gt; Perfumería &gt; Cuidado Capilar &gt; Shampoo &gt;</t>
        </is>
      </c>
      <c r="L47" t="inlineStr">
        <is>
          <t>shampoo</t>
        </is>
      </c>
      <c r="M47" t="inlineStr">
        <is>
          <t>estandar</t>
        </is>
      </c>
      <c r="N47" t="inlineStr">
        <is>
          <t>general</t>
        </is>
      </c>
      <c r="O47" t="inlineStr">
        <is>
          <t>https://www.jumbo.com.ar/shampoo-cauterizacion-reparadora-x-500-ml-tresemme/p</t>
        </is>
      </c>
      <c r="P47">
        <f>TRIM(CLEAN(PROPER(D47)))</f>
        <v/>
      </c>
      <c r="Q47">
        <f>PROPER(TRIM(SUBSTITUTE(SUBSTITUTE(SUBSTITUTE(SUBSTITUTE(E47,"TRESEMME","Tresemme"),"HEAD &amp; SHOULDERS","Head &amp; Shoulders"),"ELVIVE","Elvive"),"FRUCTIS","Fructis")))</f>
        <v/>
      </c>
      <c r="R47">
        <f>COUNTIF($D$2:$D$10000,D47)&gt;1</f>
        <v/>
      </c>
      <c r="S47">
        <f>IF(H47=TRUE,"Disponible","No disponible")</f>
        <v/>
      </c>
      <c r="T47">
        <f>IF(AND(ISNUMBER(I47),I47&gt;0),ROUND(F47/I47,2),"Sin volumen")</f>
        <v/>
      </c>
      <c r="U47">
        <f>IF(F47&lt;5000,"Bajo",IF(F47&lt;15000,"Medio","Alto"))</f>
        <v/>
      </c>
    </row>
    <row r="48">
      <c r="A48" s="2" t="inlineStr">
        <is>
          <t>Jumbo</t>
        </is>
      </c>
      <c r="B48" s="2" t="n">
        <v>389291</v>
      </c>
      <c r="C48" s="2" t="n">
        <v>387397</v>
      </c>
      <c r="D48" s="2" t="inlineStr">
        <is>
          <t>Shampoo Brillo Ceramidas 650 Ml Sedal</t>
        </is>
      </c>
      <c r="E48" s="2" t="inlineStr">
        <is>
          <t>SEDAL</t>
        </is>
      </c>
      <c r="F48" s="2" t="n">
        <v>9400</v>
      </c>
      <c r="G48" s="2" t="n">
        <v>776860</v>
      </c>
      <c r="H48" s="2" t="b">
        <v>1</v>
      </c>
      <c r="I48" s="2" t="n">
        <v>650</v>
      </c>
      <c r="J48" s="2" t="n">
        <v>14.4615</v>
      </c>
      <c r="K48" s="2" t="inlineStr">
        <is>
          <t>&gt; Perfumería &gt; Cuidado Capilar &gt; Shampoo &gt;</t>
        </is>
      </c>
      <c r="L48" s="2" t="inlineStr">
        <is>
          <t>shampoo</t>
        </is>
      </c>
      <c r="M48" s="2" t="inlineStr">
        <is>
          <t>estandar</t>
        </is>
      </c>
      <c r="N48" s="2" t="inlineStr">
        <is>
          <t>general</t>
        </is>
      </c>
      <c r="O48" s="2" t="inlineStr">
        <is>
          <t>https://www.jumbo.com.ar/shampoo-sedal-ceramidas-botella-650-ml-2/p</t>
        </is>
      </c>
      <c r="P48" s="4">
        <f>TRIM(CLEAN(PROPER(D48)))</f>
        <v/>
      </c>
      <c r="Q48" s="4">
        <f>PROPER(TRIM(SUBSTITUTE(SUBSTITUTE(SUBSTITUTE(SUBSTITUTE(E48,"TRESEMME","Tresemme"),"HEAD &amp; SHOULDERS","Head &amp; Shoulders"),"ELVIVE","Elvive"),"FRUCTIS","Fructis")))</f>
        <v/>
      </c>
      <c r="R48" s="4">
        <f>COUNTIF($D$2:$D$10000,D48)&gt;1</f>
        <v/>
      </c>
      <c r="S48" s="4">
        <f>IF(H48=TRUE,"Disponible","No disponible")</f>
        <v/>
      </c>
      <c r="T48" s="4">
        <f>IF(AND(ISNUMBER(I48),I48&gt;0),ROUND(F48/I48,2),"Sin volumen")</f>
        <v/>
      </c>
      <c r="U48" s="4">
        <f>IF(F48&lt;5000,"Bajo",IF(F48&lt;15000,"Medio","Alto"))</f>
        <v/>
      </c>
    </row>
    <row r="49">
      <c r="A49" t="inlineStr">
        <is>
          <t>Jumbo</t>
        </is>
      </c>
      <c r="B49" t="n">
        <v>3070170</v>
      </c>
      <c r="C49" t="n">
        <v>3069775</v>
      </c>
      <c r="D49" t="inlineStr">
        <is>
          <t>Shampoo Liso Infinito 700 Ml Pantene</t>
        </is>
      </c>
      <c r="E49" t="inlineStr">
        <is>
          <t>PANTENE</t>
        </is>
      </c>
      <c r="F49" t="n">
        <v>17600</v>
      </c>
      <c r="G49" t="n">
        <v>1454545</v>
      </c>
      <c r="H49" t="b">
        <v>1</v>
      </c>
      <c r="I49" t="n">
        <v>700</v>
      </c>
      <c r="J49" t="n">
        <v>25.1429</v>
      </c>
      <c r="K49" t="inlineStr">
        <is>
          <t>&gt; Perfumería &gt; Cuidado Capilar &gt; Shampoo &gt;</t>
        </is>
      </c>
      <c r="L49" t="inlineStr">
        <is>
          <t>shampoo</t>
        </is>
      </c>
      <c r="M49" t="inlineStr">
        <is>
          <t>estandar</t>
        </is>
      </c>
      <c r="N49" t="inlineStr">
        <is>
          <t>general</t>
        </is>
      </c>
      <c r="O49" t="inlineStr">
        <is>
          <t>https://www.jumbo.com.ar/shampoo-provmir-liso-infinito-x-700-ml-pantene/p</t>
        </is>
      </c>
      <c r="P49">
        <f>TRIM(CLEAN(PROPER(D49)))</f>
        <v/>
      </c>
      <c r="Q49">
        <f>PROPER(TRIM(SUBSTITUTE(SUBSTITUTE(SUBSTITUTE(SUBSTITUTE(E49,"TRESEMME","Tresemme"),"HEAD &amp; SHOULDERS","Head &amp; Shoulders"),"ELVIVE","Elvive"),"FRUCTIS","Fructis")))</f>
        <v/>
      </c>
      <c r="R49">
        <f>COUNTIF($D$2:$D$10000,D49)&gt;1</f>
        <v/>
      </c>
      <c r="S49">
        <f>IF(H49=TRUE,"Disponible","No disponible")</f>
        <v/>
      </c>
      <c r="T49">
        <f>IF(AND(ISNUMBER(I49),I49&gt;0),ROUND(F49/I49,2),"Sin volumen")</f>
        <v/>
      </c>
      <c r="U49">
        <f>IF(F49&lt;5000,"Bajo",IF(F49&lt;15000,"Medio","Alto"))</f>
        <v/>
      </c>
    </row>
    <row r="50">
      <c r="A50" s="2" t="inlineStr">
        <is>
          <t>Jumbo</t>
        </is>
      </c>
      <c r="B50" s="2" t="n">
        <v>415572</v>
      </c>
      <c r="C50" s="2" t="n">
        <v>411156</v>
      </c>
      <c r="D50" s="2" t="inlineStr">
        <is>
          <t>Shampoo Liso Infinito 400 Ml Pantene</t>
        </is>
      </c>
      <c r="E50" s="2" t="inlineStr">
        <is>
          <t>PANTENE</t>
        </is>
      </c>
      <c r="F50" s="2" t="n">
        <v>10750</v>
      </c>
      <c r="G50" s="2" t="n">
        <v>888430</v>
      </c>
      <c r="H50" s="2" t="b">
        <v>1</v>
      </c>
      <c r="I50" s="2" t="n">
        <v>400</v>
      </c>
      <c r="J50" s="2" t="n">
        <v>26.875</v>
      </c>
      <c r="K50" s="2" t="inlineStr">
        <is>
          <t>&gt; Perfumería &gt; Cuidado Capilar &gt; Shampoo &gt;</t>
        </is>
      </c>
      <c r="L50" s="2" t="inlineStr">
        <is>
          <t>shampoo</t>
        </is>
      </c>
      <c r="M50" s="2" t="inlineStr">
        <is>
          <t>estandar</t>
        </is>
      </c>
      <c r="N50" s="2" t="inlineStr">
        <is>
          <t>general</t>
        </is>
      </c>
      <c r="O50" s="2" t="inlineStr">
        <is>
          <t>https://www.jumbo.com.ar/shampoo-pantene-provmir-liso-infinito-400-ml/p</t>
        </is>
      </c>
      <c r="P50" s="4">
        <f>TRIM(CLEAN(PROPER(D50)))</f>
        <v/>
      </c>
      <c r="Q50" s="4">
        <f>PROPER(TRIM(SUBSTITUTE(SUBSTITUTE(SUBSTITUTE(SUBSTITUTE(E50,"TRESEMME","Tresemme"),"HEAD &amp; SHOULDERS","Head &amp; Shoulders"),"ELVIVE","Elvive"),"FRUCTIS","Fructis")))</f>
        <v/>
      </c>
      <c r="R50" s="4">
        <f>COUNTIF($D$2:$D$10000,D50)&gt;1</f>
        <v/>
      </c>
      <c r="S50" s="4">
        <f>IF(H50=TRUE,"Disponible","No disponible")</f>
        <v/>
      </c>
      <c r="T50" s="4">
        <f>IF(AND(ISNUMBER(I50),I50&gt;0),ROUND(F50/I50,2),"Sin volumen")</f>
        <v/>
      </c>
      <c r="U50" s="4">
        <f>IF(F50&lt;5000,"Bajo",IF(F50&lt;15000,"Medio","Alto"))</f>
        <v/>
      </c>
    </row>
    <row r="51">
      <c r="A51" t="inlineStr">
        <is>
          <t>Jumbo</t>
        </is>
      </c>
      <c r="B51" t="n">
        <v>415143</v>
      </c>
      <c r="C51" t="n">
        <v>410803</v>
      </c>
      <c r="D51" t="inlineStr">
        <is>
          <t>Shampoo Liso Perfecto 340 Ml Sedal</t>
        </is>
      </c>
      <c r="E51" t="inlineStr">
        <is>
          <t>SEDAL</t>
        </is>
      </c>
      <c r="F51" t="n">
        <v>5800</v>
      </c>
      <c r="G51" t="n">
        <v>479339</v>
      </c>
      <c r="H51" t="b">
        <v>1</v>
      </c>
      <c r="I51" t="n">
        <v>340</v>
      </c>
      <c r="J51" t="n">
        <v>17.0588</v>
      </c>
      <c r="K51" t="inlineStr">
        <is>
          <t>&gt; Perfumería &gt; Cuidado Capilar &gt; Shampoo &gt;</t>
        </is>
      </c>
      <c r="L51" t="inlineStr">
        <is>
          <t>shampoo</t>
        </is>
      </c>
      <c r="M51" t="inlineStr">
        <is>
          <t>estandar</t>
        </is>
      </c>
      <c r="N51" t="inlineStr">
        <is>
          <t>general</t>
        </is>
      </c>
      <c r="O51" t="inlineStr">
        <is>
          <t>https://www.jumbo.com.ar/shampoo-liso-perfecto-340-ml-sedal/p</t>
        </is>
      </c>
      <c r="P51">
        <f>TRIM(CLEAN(PROPER(D51)))</f>
        <v/>
      </c>
      <c r="Q51">
        <f>PROPER(TRIM(SUBSTITUTE(SUBSTITUTE(SUBSTITUTE(SUBSTITUTE(E51,"TRESEMME","Tresemme"),"HEAD &amp; SHOULDERS","Head &amp; Shoulders"),"ELVIVE","Elvive"),"FRUCTIS","Fructis")))</f>
        <v/>
      </c>
      <c r="R51">
        <f>COUNTIF($D$2:$D$10000,D51)&gt;1</f>
        <v/>
      </c>
      <c r="S51">
        <f>IF(H51=TRUE,"Disponible","No disponible")</f>
        <v/>
      </c>
      <c r="T51">
        <f>IF(AND(ISNUMBER(I51),I51&gt;0),ROUND(F51/I51,2),"Sin volumen")</f>
        <v/>
      </c>
      <c r="U51">
        <f>IF(F51&lt;5000,"Bajo",IF(F51&lt;15000,"Medio","Alto"))</f>
        <v/>
      </c>
    </row>
    <row r="52">
      <c r="A52" s="2" t="inlineStr">
        <is>
          <t>Jumbo</t>
        </is>
      </c>
      <c r="B52" s="2" t="n">
        <v>413343</v>
      </c>
      <c r="C52" s="2" t="n">
        <v>409224</v>
      </c>
      <c r="D52" s="2" t="inlineStr">
        <is>
          <t>Shampoo Tresemme Cauterización Reparadora 880 Ml</t>
        </is>
      </c>
      <c r="E52" s="2" t="inlineStr">
        <is>
          <t>TRESEMMÉ</t>
        </is>
      </c>
      <c r="F52" s="2" t="n">
        <v>16550</v>
      </c>
      <c r="G52" s="2" t="n">
        <v>1367769</v>
      </c>
      <c r="H52" s="2" t="b">
        <v>1</v>
      </c>
      <c r="I52" s="2" t="n">
        <v>880</v>
      </c>
      <c r="J52" s="2" t="n">
        <v>18.8068</v>
      </c>
      <c r="K52" s="2" t="inlineStr">
        <is>
          <t>&gt; Perfumería &gt; Cuidado Capilar &gt; Shampoo &gt;</t>
        </is>
      </c>
      <c r="L52" s="2" t="inlineStr">
        <is>
          <t>shampoo</t>
        </is>
      </c>
      <c r="M52" s="2" t="inlineStr">
        <is>
          <t>estandar</t>
        </is>
      </c>
      <c r="N52" s="2" t="inlineStr">
        <is>
          <t>general</t>
        </is>
      </c>
      <c r="O52" s="2" t="inlineStr">
        <is>
          <t>https://www.jumbo.com.ar/shampoo-tresemme-cauterizacion-reparadora-880-ml/p</t>
        </is>
      </c>
      <c r="P52" s="4">
        <f>TRIM(CLEAN(PROPER(D52)))</f>
        <v/>
      </c>
      <c r="Q52" s="4">
        <f>PROPER(TRIM(SUBSTITUTE(SUBSTITUTE(SUBSTITUTE(SUBSTITUTE(E52,"TRESEMME","Tresemme"),"HEAD &amp; SHOULDERS","Head &amp; Shoulders"),"ELVIVE","Elvive"),"FRUCTIS","Fructis")))</f>
        <v/>
      </c>
      <c r="R52" s="4">
        <f>COUNTIF($D$2:$D$10000,D52)&gt;1</f>
        <v/>
      </c>
      <c r="S52" s="4">
        <f>IF(H52=TRUE,"Disponible","No disponible")</f>
        <v/>
      </c>
      <c r="T52" s="4">
        <f>IF(AND(ISNUMBER(I52),I52&gt;0),ROUND(F52/I52,2),"Sin volumen")</f>
        <v/>
      </c>
      <c r="U52" s="4">
        <f>IF(F52&lt;5000,"Bajo",IF(F52&lt;15000,"Medio","Alto"))</f>
        <v/>
      </c>
    </row>
    <row r="53">
      <c r="A53" t="inlineStr">
        <is>
          <t>Jumbo</t>
        </is>
      </c>
      <c r="B53" t="n">
        <v>389301</v>
      </c>
      <c r="C53" t="n">
        <v>387407</v>
      </c>
      <c r="D53" t="inlineStr">
        <is>
          <t>Shampoo Rizos Definidos 340 Ml Sedal</t>
        </is>
      </c>
      <c r="E53" t="inlineStr">
        <is>
          <t>SEDAL</t>
        </is>
      </c>
      <c r="F53" t="n">
        <v>5800</v>
      </c>
      <c r="G53" t="n">
        <v>479339</v>
      </c>
      <c r="H53" t="b">
        <v>1</v>
      </c>
      <c r="I53" t="n">
        <v>340</v>
      </c>
      <c r="J53" t="n">
        <v>17.0588</v>
      </c>
      <c r="K53" t="inlineStr">
        <is>
          <t>&gt; Perfumería &gt; Cuidado Capilar &gt; Shampoo &gt;</t>
        </is>
      </c>
      <c r="L53" t="inlineStr">
        <is>
          <t>shampoo</t>
        </is>
      </c>
      <c r="M53" t="inlineStr">
        <is>
          <t>estandar</t>
        </is>
      </c>
      <c r="N53" t="inlineStr">
        <is>
          <t>rizado</t>
        </is>
      </c>
      <c r="O53" t="inlineStr">
        <is>
          <t>https://www.jumbo.com.ar/shampoo-rizos-definidos-340-ml-sedal/p</t>
        </is>
      </c>
      <c r="P53">
        <f>TRIM(CLEAN(PROPER(D53)))</f>
        <v/>
      </c>
      <c r="Q53">
        <f>PROPER(TRIM(SUBSTITUTE(SUBSTITUTE(SUBSTITUTE(SUBSTITUTE(E53,"TRESEMME","Tresemme"),"HEAD &amp; SHOULDERS","Head &amp; Shoulders"),"ELVIVE","Elvive"),"FRUCTIS","Fructis")))</f>
        <v/>
      </c>
      <c r="R53">
        <f>COUNTIF($D$2:$D$10000,D53)&gt;1</f>
        <v/>
      </c>
      <c r="S53">
        <f>IF(H53=TRUE,"Disponible","No disponible")</f>
        <v/>
      </c>
      <c r="T53">
        <f>IF(AND(ISNUMBER(I53),I53&gt;0),ROUND(F53/I53,2),"Sin volumen")</f>
        <v/>
      </c>
      <c r="U53">
        <f>IF(F53&lt;5000,"Bajo",IF(F53&lt;15000,"Medio","Alto"))</f>
        <v/>
      </c>
    </row>
    <row r="54">
      <c r="A54" s="2" t="inlineStr">
        <is>
          <t>Jumbo</t>
        </is>
      </c>
      <c r="B54" s="2" t="n">
        <v>407570</v>
      </c>
      <c r="C54" s="2" t="n">
        <v>403759</v>
      </c>
      <c r="D54" s="2" t="inlineStr">
        <is>
          <t>Shampoo Elvive Reparacion Extreme 200 Ml</t>
        </is>
      </c>
      <c r="E54" s="2" t="inlineStr">
        <is>
          <t>ELVIVE</t>
        </is>
      </c>
      <c r="F54" s="2" t="n">
        <v>7400</v>
      </c>
      <c r="G54" s="2" t="n">
        <v>611570</v>
      </c>
      <c r="H54" s="2" t="b">
        <v>1</v>
      </c>
      <c r="I54" s="2" t="n">
        <v>200</v>
      </c>
      <c r="J54" s="2" t="n">
        <v>37</v>
      </c>
      <c r="K54" s="2" t="inlineStr">
        <is>
          <t>&gt; Perfumería &gt; Cuidado Capilar &gt; Shampoo &gt;</t>
        </is>
      </c>
      <c r="L54" s="2" t="inlineStr">
        <is>
          <t>shampoo</t>
        </is>
      </c>
      <c r="M54" s="2" t="inlineStr">
        <is>
          <t>profesional</t>
        </is>
      </c>
      <c r="N54" s="2" t="inlineStr">
        <is>
          <t>general</t>
        </is>
      </c>
      <c r="O54" s="2" t="inlineStr">
        <is>
          <t>https://www.jumbo.com.ar/shampoo-elvive-reparacion-extreme-200-ml/p</t>
        </is>
      </c>
      <c r="P54" s="4">
        <f>TRIM(CLEAN(PROPER(D54)))</f>
        <v/>
      </c>
      <c r="Q54" s="4">
        <f>PROPER(TRIM(SUBSTITUTE(SUBSTITUTE(SUBSTITUTE(SUBSTITUTE(E54,"TRESEMME","Tresemme"),"HEAD &amp; SHOULDERS","Head &amp; Shoulders"),"ELVIVE","Elvive"),"FRUCTIS","Fructis")))</f>
        <v/>
      </c>
      <c r="R54" s="4">
        <f>COUNTIF($D$2:$D$10000,D54)&gt;1</f>
        <v/>
      </c>
      <c r="S54" s="4">
        <f>IF(H54=TRUE,"Disponible","No disponible")</f>
        <v/>
      </c>
      <c r="T54" s="4">
        <f>IF(AND(ISNUMBER(I54),I54&gt;0),ROUND(F54/I54,2),"Sin volumen")</f>
        <v/>
      </c>
      <c r="U54" s="4">
        <f>IF(F54&lt;5000,"Bajo",IF(F54&lt;15000,"Medio","Alto"))</f>
        <v/>
      </c>
    </row>
    <row r="55">
      <c r="A55" t="inlineStr">
        <is>
          <t>Jumbo</t>
        </is>
      </c>
      <c r="B55" t="n">
        <v>396887</v>
      </c>
      <c r="C55" t="n">
        <v>394643</v>
      </c>
      <c r="D55" t="inlineStr">
        <is>
          <t>Shampoo Dove Regeneración Extrema 200 Ml</t>
        </is>
      </c>
      <c r="E55" t="inlineStr">
        <is>
          <t>DOVE</t>
        </is>
      </c>
      <c r="F55" t="n">
        <v>6000</v>
      </c>
      <c r="G55" t="n">
        <v>495868</v>
      </c>
      <c r="H55" t="b">
        <v>1</v>
      </c>
      <c r="I55" t="n">
        <v>200</v>
      </c>
      <c r="J55" t="n">
        <v>30</v>
      </c>
      <c r="K55" t="inlineStr">
        <is>
          <t>&gt; Perfumería &gt; Cuidado Capilar &gt; Shampoo &gt;</t>
        </is>
      </c>
      <c r="L55" t="inlineStr">
        <is>
          <t>shampoo</t>
        </is>
      </c>
      <c r="M55" t="inlineStr">
        <is>
          <t>estandar</t>
        </is>
      </c>
      <c r="N55" t="inlineStr">
        <is>
          <t>general</t>
        </is>
      </c>
      <c r="O55" t="inlineStr">
        <is>
          <t>https://www.jumbo.com.ar/shampoo-dove-regeneracion-extrema-200-ml-2/p</t>
        </is>
      </c>
      <c r="P55">
        <f>TRIM(CLEAN(PROPER(D55)))</f>
        <v/>
      </c>
      <c r="Q55">
        <f>PROPER(TRIM(SUBSTITUTE(SUBSTITUTE(SUBSTITUTE(SUBSTITUTE(E55,"TRESEMME","Tresemme"),"HEAD &amp; SHOULDERS","Head &amp; Shoulders"),"ELVIVE","Elvive"),"FRUCTIS","Fructis")))</f>
        <v/>
      </c>
      <c r="R55">
        <f>COUNTIF($D$2:$D$10000,D55)&gt;1</f>
        <v/>
      </c>
      <c r="S55">
        <f>IF(H55=TRUE,"Disponible","No disponible")</f>
        <v/>
      </c>
      <c r="T55">
        <f>IF(AND(ISNUMBER(I55),I55&gt;0),ROUND(F55/I55,2),"Sin volumen")</f>
        <v/>
      </c>
      <c r="U55">
        <f>IF(F55&lt;5000,"Bajo",IF(F55&lt;15000,"Medio","Alto"))</f>
        <v/>
      </c>
    </row>
    <row r="56">
      <c r="A56" s="2" t="inlineStr">
        <is>
          <t>Jumbo</t>
        </is>
      </c>
      <c r="B56" s="2" t="n">
        <v>394040</v>
      </c>
      <c r="C56" s="2" t="n">
        <v>392064</v>
      </c>
      <c r="D56" s="2" t="inlineStr">
        <is>
          <t>Shampoo Dove Regeneración Extrema 750 Ml</t>
        </is>
      </c>
      <c r="E56" s="2" t="inlineStr">
        <is>
          <t>DOVE</t>
        </is>
      </c>
      <c r="F56" s="2" t="n">
        <v>16450</v>
      </c>
      <c r="G56" s="2" t="n">
        <v>1359504</v>
      </c>
      <c r="H56" s="2" t="b">
        <v>1</v>
      </c>
      <c r="I56" s="2" t="n">
        <v>750</v>
      </c>
      <c r="J56" s="2" t="n">
        <v>21.9333</v>
      </c>
      <c r="K56" s="2" t="inlineStr">
        <is>
          <t>&gt; Perfumería &gt; Cuidado Capilar &gt; Shampoo &gt;</t>
        </is>
      </c>
      <c r="L56" s="2" t="inlineStr">
        <is>
          <t>shampoo</t>
        </is>
      </c>
      <c r="M56" s="2" t="inlineStr">
        <is>
          <t>estandar</t>
        </is>
      </c>
      <c r="N56" s="2" t="inlineStr">
        <is>
          <t>general</t>
        </is>
      </c>
      <c r="O56" s="2" t="inlineStr">
        <is>
          <t>https://www.jumbo.com.ar/shampoo-dove-regeneracion-extrema-750-ml-3/p</t>
        </is>
      </c>
      <c r="P56" s="4">
        <f>TRIM(CLEAN(PROPER(D56)))</f>
        <v/>
      </c>
      <c r="Q56" s="4">
        <f>PROPER(TRIM(SUBSTITUTE(SUBSTITUTE(SUBSTITUTE(SUBSTITUTE(E56,"TRESEMME","Tresemme"),"HEAD &amp; SHOULDERS","Head &amp; Shoulders"),"ELVIVE","Elvive"),"FRUCTIS","Fructis")))</f>
        <v/>
      </c>
      <c r="R56" s="4">
        <f>COUNTIF($D$2:$D$10000,D56)&gt;1</f>
        <v/>
      </c>
      <c r="S56" s="4">
        <f>IF(H56=TRUE,"Disponible","No disponible")</f>
        <v/>
      </c>
      <c r="T56" s="4">
        <f>IF(AND(ISNUMBER(I56),I56&gt;0),ROUND(F56/I56,2),"Sin volumen")</f>
        <v/>
      </c>
      <c r="U56" s="4">
        <f>IF(F56&lt;5000,"Bajo",IF(F56&lt;15000,"Medio","Alto"))</f>
        <v/>
      </c>
    </row>
    <row r="57">
      <c r="A57" t="inlineStr">
        <is>
          <t>Jumbo</t>
        </is>
      </c>
      <c r="B57" t="n">
        <v>400553</v>
      </c>
      <c r="C57" t="n">
        <v>397891</v>
      </c>
      <c r="D57" t="inlineStr">
        <is>
          <t>Shampoo Elvive Kera-liso Mk 400ml</t>
        </is>
      </c>
      <c r="E57" t="inlineStr">
        <is>
          <t>ELVIVE</t>
        </is>
      </c>
      <c r="F57" t="n">
        <v>11123</v>
      </c>
      <c r="G57" t="n">
        <v>919256</v>
      </c>
      <c r="H57" t="b">
        <v>1</v>
      </c>
      <c r="I57" t="n">
        <v>400</v>
      </c>
      <c r="J57" t="n">
        <v>27.8075</v>
      </c>
      <c r="K57" t="inlineStr">
        <is>
          <t>&gt; Perfumería &gt; Cuidado Capilar &gt; Shampoo &gt;</t>
        </is>
      </c>
      <c r="L57" t="inlineStr">
        <is>
          <t>shampoo</t>
        </is>
      </c>
      <c r="M57" t="inlineStr">
        <is>
          <t>profesional</t>
        </is>
      </c>
      <c r="N57" t="inlineStr">
        <is>
          <t>general</t>
        </is>
      </c>
      <c r="O57" t="inlineStr">
        <is>
          <t>https://www.jumbo.com.ar/shampoo-elvive-kera-liso-mk-400ml/p</t>
        </is>
      </c>
      <c r="P57">
        <f>TRIM(CLEAN(PROPER(D57)))</f>
        <v/>
      </c>
      <c r="Q57">
        <f>PROPER(TRIM(SUBSTITUTE(SUBSTITUTE(SUBSTITUTE(SUBSTITUTE(E57,"TRESEMME","Tresemme"),"HEAD &amp; SHOULDERS","Head &amp; Shoulders"),"ELVIVE","Elvive"),"FRUCTIS","Fructis")))</f>
        <v/>
      </c>
      <c r="R57">
        <f>COUNTIF($D$2:$D$10000,D57)&gt;1</f>
        <v/>
      </c>
      <c r="S57">
        <f>IF(H57=TRUE,"Disponible","No disponible")</f>
        <v/>
      </c>
      <c r="T57">
        <f>IF(AND(ISNUMBER(I57),I57&gt;0),ROUND(F57/I57,2),"Sin volumen")</f>
        <v/>
      </c>
      <c r="U57">
        <f>IF(F57&lt;5000,"Bajo",IF(F57&lt;15000,"Medio","Alto"))</f>
        <v/>
      </c>
    </row>
    <row r="58">
      <c r="A58" s="2" t="inlineStr">
        <is>
          <t>Jumbo</t>
        </is>
      </c>
      <c r="B58" s="2" t="n">
        <v>389299</v>
      </c>
      <c r="C58" s="2" t="n">
        <v>387405</v>
      </c>
      <c r="D58" s="2" t="inlineStr">
        <is>
          <t>Shampoo Restauración Instantánea 190 Ml Sedal</t>
        </is>
      </c>
      <c r="E58" s="2" t="inlineStr">
        <is>
          <t>SEDAL</t>
        </is>
      </c>
      <c r="F58" s="2" t="n">
        <v>3900</v>
      </c>
      <c r="G58" s="2" t="n">
        <v>322314</v>
      </c>
      <c r="H58" s="2" t="b">
        <v>1</v>
      </c>
      <c r="I58" s="2" t="n">
        <v>190</v>
      </c>
      <c r="J58" s="2" t="n">
        <v>20.5263</v>
      </c>
      <c r="K58" s="2" t="inlineStr">
        <is>
          <t>&gt; Perfumería &gt; Cuidado Capilar &gt; Shampoo &gt;</t>
        </is>
      </c>
      <c r="L58" s="2" t="inlineStr">
        <is>
          <t>shampoo</t>
        </is>
      </c>
      <c r="M58" s="2" t="inlineStr">
        <is>
          <t>estandar</t>
        </is>
      </c>
      <c r="N58" s="2" t="inlineStr">
        <is>
          <t>general</t>
        </is>
      </c>
      <c r="O58" s="2" t="inlineStr">
        <is>
          <t>https://www.jumbo.com.ar/shampoo-restauracion-instantanea-190-ml-sedal/p</t>
        </is>
      </c>
      <c r="P58" s="4">
        <f>TRIM(CLEAN(PROPER(D58)))</f>
        <v/>
      </c>
      <c r="Q58" s="4">
        <f>PROPER(TRIM(SUBSTITUTE(SUBSTITUTE(SUBSTITUTE(SUBSTITUTE(E58,"TRESEMME","Tresemme"),"HEAD &amp; SHOULDERS","Head &amp; Shoulders"),"ELVIVE","Elvive"),"FRUCTIS","Fructis")))</f>
        <v/>
      </c>
      <c r="R58" s="4">
        <f>COUNTIF($D$2:$D$10000,D58)&gt;1</f>
        <v/>
      </c>
      <c r="S58" s="4">
        <f>IF(H58=TRUE,"Disponible","No disponible")</f>
        <v/>
      </c>
      <c r="T58" s="4">
        <f>IF(AND(ISNUMBER(I58),I58&gt;0),ROUND(F58/I58,2),"Sin volumen")</f>
        <v/>
      </c>
      <c r="U58" s="4">
        <f>IF(F58&lt;5000,"Bajo",IF(F58&lt;15000,"Medio","Alto"))</f>
        <v/>
      </c>
    </row>
    <row r="59">
      <c r="A59" t="inlineStr">
        <is>
          <t>Jumbo</t>
        </is>
      </c>
      <c r="B59" t="n">
        <v>1362367</v>
      </c>
      <c r="C59" t="n">
        <v>1361615</v>
      </c>
      <c r="D59" t="inlineStr">
        <is>
          <t>Shampoo Dove Bond Intense Repair 400 Ml</t>
        </is>
      </c>
      <c r="E59" t="inlineStr">
        <is>
          <t>DOVE</t>
        </is>
      </c>
      <c r="F59" t="n">
        <v>9695</v>
      </c>
      <c r="G59" t="n">
        <v>801240</v>
      </c>
      <c r="H59" t="b">
        <v>1</v>
      </c>
      <c r="I59" t="n">
        <v>400</v>
      </c>
      <c r="J59" t="n">
        <v>24.2375</v>
      </c>
      <c r="K59" t="inlineStr">
        <is>
          <t>&gt; Perfumería &gt; Cuidado Capilar &gt; Shampoo &gt;</t>
        </is>
      </c>
      <c r="L59" t="inlineStr">
        <is>
          <t>shampoo</t>
        </is>
      </c>
      <c r="M59" t="inlineStr">
        <is>
          <t>profesional</t>
        </is>
      </c>
      <c r="N59" t="inlineStr">
        <is>
          <t>general</t>
        </is>
      </c>
      <c r="O59" t="inlineStr">
        <is>
          <t>https://www.jumbo.com.ar/shampoo-dove-bond-intense-repair-400-ml-2/p</t>
        </is>
      </c>
      <c r="P59">
        <f>TRIM(CLEAN(PROPER(D59)))</f>
        <v/>
      </c>
      <c r="Q59">
        <f>PROPER(TRIM(SUBSTITUTE(SUBSTITUTE(SUBSTITUTE(SUBSTITUTE(E59,"TRESEMME","Tresemme"),"HEAD &amp; SHOULDERS","Head &amp; Shoulders"),"ELVIVE","Elvive"),"FRUCTIS","Fructis")))</f>
        <v/>
      </c>
      <c r="R59">
        <f>COUNTIF($D$2:$D$10000,D59)&gt;1</f>
        <v/>
      </c>
      <c r="S59">
        <f>IF(H59=TRUE,"Disponible","No disponible")</f>
        <v/>
      </c>
      <c r="T59">
        <f>IF(AND(ISNUMBER(I59),I59&gt;0),ROUND(F59/I59,2),"Sin volumen")</f>
        <v/>
      </c>
      <c r="U59">
        <f>IF(F59&lt;5000,"Bajo",IF(F59&lt;15000,"Medio","Alto"))</f>
        <v/>
      </c>
    </row>
    <row r="60">
      <c r="A60" s="2" t="inlineStr">
        <is>
          <t>Jumbo</t>
        </is>
      </c>
      <c r="B60" s="2" t="n">
        <v>316330</v>
      </c>
      <c r="C60" s="2" t="n">
        <v>315564</v>
      </c>
      <c r="D60" s="2" t="inlineStr">
        <is>
          <t>Shampoo Pantene Pro-v Bambú 400 Ml</t>
        </is>
      </c>
      <c r="E60" s="2" t="inlineStr">
        <is>
          <t>PANTENE</t>
        </is>
      </c>
      <c r="F60" s="2" t="n">
        <v>10400</v>
      </c>
      <c r="G60" s="2" t="n">
        <v>859504</v>
      </c>
      <c r="H60" s="2" t="b">
        <v>1</v>
      </c>
      <c r="I60" s="2" t="n">
        <v>400</v>
      </c>
      <c r="J60" s="2" t="n">
        <v>26</v>
      </c>
      <c r="K60" s="2" t="inlineStr">
        <is>
          <t>&gt; Perfumería &gt; Cuidado Capilar &gt; Shampoo &gt;</t>
        </is>
      </c>
      <c r="L60" s="2" t="inlineStr">
        <is>
          <t>shampoo</t>
        </is>
      </c>
      <c r="M60" s="2" t="inlineStr">
        <is>
          <t>profesional</t>
        </is>
      </c>
      <c r="N60" s="2" t="inlineStr">
        <is>
          <t>general</t>
        </is>
      </c>
      <c r="O60" s="2" t="inlineStr">
        <is>
          <t>https://www.jumbo.com.ar/shampoo-pantene-pro-v-bambu-400-ml/p</t>
        </is>
      </c>
      <c r="P60" s="4">
        <f>TRIM(CLEAN(PROPER(D60)))</f>
        <v/>
      </c>
      <c r="Q60" s="4">
        <f>PROPER(TRIM(SUBSTITUTE(SUBSTITUTE(SUBSTITUTE(SUBSTITUTE(E60,"TRESEMME","Tresemme"),"HEAD &amp; SHOULDERS","Head &amp; Shoulders"),"ELVIVE","Elvive"),"FRUCTIS","Fructis")))</f>
        <v/>
      </c>
      <c r="R60" s="4">
        <f>COUNTIF($D$2:$D$10000,D60)&gt;1</f>
        <v/>
      </c>
      <c r="S60" s="4">
        <f>IF(H60=TRUE,"Disponible","No disponible")</f>
        <v/>
      </c>
      <c r="T60" s="4">
        <f>IF(AND(ISNUMBER(I60),I60&gt;0),ROUND(F60/I60,2),"Sin volumen")</f>
        <v/>
      </c>
      <c r="U60" s="4">
        <f>IF(F60&lt;5000,"Bajo",IF(F60&lt;15000,"Medio","Alto"))</f>
        <v/>
      </c>
    </row>
    <row r="61">
      <c r="A61" t="inlineStr">
        <is>
          <t>Jumbo</t>
        </is>
      </c>
      <c r="B61" t="n">
        <v>1365009</v>
      </c>
      <c r="C61" t="n">
        <v>1363957</v>
      </c>
      <c r="D61" t="inlineStr">
        <is>
          <t>Shampoo Anticomezón 375 Ml Head y Shoulders</t>
        </is>
      </c>
      <c r="E61" t="inlineStr">
        <is>
          <t>HEAD &amp; SHOULDERS</t>
        </is>
      </c>
      <c r="F61" t="n">
        <v>12900</v>
      </c>
      <c r="G61" t="n">
        <v>1066116</v>
      </c>
      <c r="H61" t="b">
        <v>1</v>
      </c>
      <c r="I61" t="n">
        <v>375</v>
      </c>
      <c r="J61" t="n">
        <v>34.4</v>
      </c>
      <c r="K61" t="inlineStr">
        <is>
          <t>&gt; Perfumería &gt; Cuidado Capilar &gt; Shampoo &gt;</t>
        </is>
      </c>
      <c r="L61" t="inlineStr">
        <is>
          <t>shampoo</t>
        </is>
      </c>
      <c r="M61" t="inlineStr">
        <is>
          <t>estandar</t>
        </is>
      </c>
      <c r="N61" t="inlineStr">
        <is>
          <t>general</t>
        </is>
      </c>
      <c r="O61" t="inlineStr">
        <is>
          <t>https://www.jumbo.com.ar/shampoo-anticomezon-375-ml-head-shoulders-2/p</t>
        </is>
      </c>
      <c r="P61">
        <f>TRIM(CLEAN(PROPER(D61)))</f>
        <v/>
      </c>
      <c r="Q61">
        <f>PROPER(TRIM(SUBSTITUTE(SUBSTITUTE(SUBSTITUTE(SUBSTITUTE(E61,"TRESEMME","Tresemme"),"HEAD &amp; SHOULDERS","Head &amp; Shoulders"),"ELVIVE","Elvive"),"FRUCTIS","Fructis")))</f>
        <v/>
      </c>
      <c r="R61">
        <f>COUNTIF($D$2:$D$10000,D61)&gt;1</f>
        <v/>
      </c>
      <c r="S61">
        <f>IF(H61=TRUE,"Disponible","No disponible")</f>
        <v/>
      </c>
      <c r="T61">
        <f>IF(AND(ISNUMBER(I61),I61&gt;0),ROUND(F61/I61,2),"Sin volumen")</f>
        <v/>
      </c>
      <c r="U61">
        <f>IF(F61&lt;5000,"Bajo",IF(F61&lt;15000,"Medio","Alto"))</f>
        <v/>
      </c>
    </row>
    <row r="62">
      <c r="A62" s="2" t="inlineStr">
        <is>
          <t>Jumbo</t>
        </is>
      </c>
      <c r="B62" s="2" t="n">
        <v>1365006</v>
      </c>
      <c r="C62" s="2" t="n">
        <v>1363954</v>
      </c>
      <c r="D62" s="2" t="inlineStr">
        <is>
          <t>Shampoo Anticomezón 650 Ml Head &amp; Shoulders</t>
        </is>
      </c>
      <c r="E62" s="2" t="inlineStr">
        <is>
          <t>HEAD &amp; SHOULDERS</t>
        </is>
      </c>
      <c r="F62" s="2" t="n">
        <v>19950</v>
      </c>
      <c r="G62" s="2" t="n">
        <v>1648760</v>
      </c>
      <c r="H62" s="2" t="b">
        <v>1</v>
      </c>
      <c r="I62" s="2" t="n">
        <v>650</v>
      </c>
      <c r="J62" s="2" t="n">
        <v>30.6923</v>
      </c>
      <c r="K62" s="2" t="inlineStr">
        <is>
          <t>&gt; Perfumería &gt; Cuidado Capilar &gt; Shampoo &gt;</t>
        </is>
      </c>
      <c r="L62" s="2" t="inlineStr">
        <is>
          <t>shampoo</t>
        </is>
      </c>
      <c r="M62" s="2" t="inlineStr">
        <is>
          <t>estandar</t>
        </is>
      </c>
      <c r="N62" s="2" t="inlineStr">
        <is>
          <t>general</t>
        </is>
      </c>
      <c r="O62" s="2" t="inlineStr">
        <is>
          <t>https://www.jumbo.com.ar/shampoo-anticomezon-650-ml-head-shoulders-2/p</t>
        </is>
      </c>
      <c r="P62" s="4">
        <f>TRIM(CLEAN(PROPER(D62)))</f>
        <v/>
      </c>
      <c r="Q62" s="4">
        <f>PROPER(TRIM(SUBSTITUTE(SUBSTITUTE(SUBSTITUTE(SUBSTITUTE(E62,"TRESEMME","Tresemme"),"HEAD &amp; SHOULDERS","Head &amp; Shoulders"),"ELVIVE","Elvive"),"FRUCTIS","Fructis")))</f>
        <v/>
      </c>
      <c r="R62" s="4">
        <f>COUNTIF($D$2:$D$10000,D62)&gt;1</f>
        <v/>
      </c>
      <c r="S62" s="4">
        <f>IF(H62=TRUE,"Disponible","No disponible")</f>
        <v/>
      </c>
      <c r="T62" s="4">
        <f>IF(AND(ISNUMBER(I62),I62&gt;0),ROUND(F62/I62,2),"Sin volumen")</f>
        <v/>
      </c>
      <c r="U62" s="4">
        <f>IF(F62&lt;5000,"Bajo",IF(F62&lt;15000,"Medio","Alto"))</f>
        <v/>
      </c>
    </row>
    <row r="63">
      <c r="A63" t="inlineStr">
        <is>
          <t>Jumbo</t>
        </is>
      </c>
      <c r="B63" t="n">
        <v>424110</v>
      </c>
      <c r="C63" t="n">
        <v>417111</v>
      </c>
      <c r="D63" t="inlineStr">
        <is>
          <t>Shampoo Argan 650 Ml Head &amp; Shoulders</t>
        </is>
      </c>
      <c r="E63" t="inlineStr">
        <is>
          <t>HEAD &amp; SHOULDERS</t>
        </is>
      </c>
      <c r="F63" t="n">
        <v>19400</v>
      </c>
      <c r="G63" t="n">
        <v>1603306</v>
      </c>
      <c r="H63" t="b">
        <v>1</v>
      </c>
      <c r="I63" t="n">
        <v>650</v>
      </c>
      <c r="J63" t="n">
        <v>29.8462</v>
      </c>
      <c r="K63" t="inlineStr">
        <is>
          <t>&gt; Perfumería &gt; Cuidado Capilar &gt; Shampoo &gt;</t>
        </is>
      </c>
      <c r="L63" t="inlineStr">
        <is>
          <t>shampoo</t>
        </is>
      </c>
      <c r="M63" t="inlineStr">
        <is>
          <t>estandar</t>
        </is>
      </c>
      <c r="N63" t="inlineStr">
        <is>
          <t>general</t>
        </is>
      </c>
      <c r="O63" t="inlineStr">
        <is>
          <t>https://www.jumbo.com.ar/shampoo-argan-650-ml-head-shoulders-2/p</t>
        </is>
      </c>
      <c r="P63">
        <f>TRIM(CLEAN(PROPER(D63)))</f>
        <v/>
      </c>
      <c r="Q63">
        <f>PROPER(TRIM(SUBSTITUTE(SUBSTITUTE(SUBSTITUTE(SUBSTITUTE(E63,"TRESEMME","Tresemme"),"HEAD &amp; SHOULDERS","Head &amp; Shoulders"),"ELVIVE","Elvive"),"FRUCTIS","Fructis")))</f>
        <v/>
      </c>
      <c r="R63">
        <f>COUNTIF($D$2:$D$10000,D63)&gt;1</f>
        <v/>
      </c>
      <c r="S63">
        <f>IF(H63=TRUE,"Disponible","No disponible")</f>
        <v/>
      </c>
      <c r="T63">
        <f>IF(AND(ISNUMBER(I63),I63&gt;0),ROUND(F63/I63,2),"Sin volumen")</f>
        <v/>
      </c>
      <c r="U63">
        <f>IF(F63&lt;5000,"Bajo",IF(F63&lt;15000,"Medio","Alto"))</f>
        <v/>
      </c>
    </row>
    <row r="64">
      <c r="A64" s="2" t="inlineStr">
        <is>
          <t>Jumbo</t>
        </is>
      </c>
      <c r="B64" s="2" t="n">
        <v>397216</v>
      </c>
      <c r="C64" s="2" t="n">
        <v>394957</v>
      </c>
      <c r="D64" s="2" t="inlineStr">
        <is>
          <t>Shampoo Reparador Goodbye Daños 350 Ml Fructis</t>
        </is>
      </c>
      <c r="E64" s="2" t="inlineStr">
        <is>
          <t>FRUCTIS</t>
        </is>
      </c>
      <c r="F64" s="2" t="n">
        <v>8600</v>
      </c>
      <c r="G64" s="2" t="n">
        <v>710744</v>
      </c>
      <c r="H64" s="2" t="b">
        <v>1</v>
      </c>
      <c r="I64" s="2" t="n">
        <v>350</v>
      </c>
      <c r="J64" s="2" t="n">
        <v>24.5714</v>
      </c>
      <c r="K64" s="2" t="inlineStr">
        <is>
          <t>&gt; Perfumería &gt; Cuidado Capilar &gt; Shampoo &gt;</t>
        </is>
      </c>
      <c r="L64" s="2" t="inlineStr">
        <is>
          <t>shampoo</t>
        </is>
      </c>
      <c r="M64" s="2" t="inlineStr">
        <is>
          <t>estandar</t>
        </is>
      </c>
      <c r="N64" s="2" t="inlineStr">
        <is>
          <t>general</t>
        </is>
      </c>
      <c r="O64" s="2" t="inlineStr">
        <is>
          <t>https://www.jumbo.com.ar/shampoo-garnier-fructis-cabellos-danados-goodbye-danos-350-ml/p</t>
        </is>
      </c>
      <c r="P64" s="4">
        <f>TRIM(CLEAN(PROPER(D64)))</f>
        <v/>
      </c>
      <c r="Q64" s="4">
        <f>PROPER(TRIM(SUBSTITUTE(SUBSTITUTE(SUBSTITUTE(SUBSTITUTE(E64,"TRESEMME","Tresemme"),"HEAD &amp; SHOULDERS","Head &amp; Shoulders"),"ELVIVE","Elvive"),"FRUCTIS","Fructis")))</f>
        <v/>
      </c>
      <c r="R64" s="4">
        <f>COUNTIF($D$2:$D$10000,D64)&gt;1</f>
        <v/>
      </c>
      <c r="S64" s="4">
        <f>IF(H64=TRUE,"Disponible","No disponible")</f>
        <v/>
      </c>
      <c r="T64" s="4">
        <f>IF(AND(ISNUMBER(I64),I64&gt;0),ROUND(F64/I64,2),"Sin volumen")</f>
        <v/>
      </c>
      <c r="U64" s="4">
        <f>IF(F64&lt;5000,"Bajo",IF(F64&lt;15000,"Medio","Alto"))</f>
        <v/>
      </c>
    </row>
    <row r="65">
      <c r="A65" t="inlineStr">
        <is>
          <t>Jumbo</t>
        </is>
      </c>
      <c r="B65" t="n">
        <v>3067684</v>
      </c>
      <c r="C65" t="n">
        <v>3067546</v>
      </c>
      <c r="D65" t="inlineStr">
        <is>
          <t>Shampoo Nuhoney 375 Ml Head &amp; Shoulders</t>
        </is>
      </c>
      <c r="E65" t="inlineStr">
        <is>
          <t>HEAD &amp; SHOULDERS</t>
        </is>
      </c>
      <c r="F65" t="n">
        <v>12900</v>
      </c>
      <c r="G65" t="n">
        <v>1066116</v>
      </c>
      <c r="H65" t="b">
        <v>1</v>
      </c>
      <c r="I65" t="n">
        <v>375</v>
      </c>
      <c r="J65" t="n">
        <v>34.4</v>
      </c>
      <c r="K65" t="inlineStr">
        <is>
          <t>&gt; Perfumería &gt; Cuidado Capilar &gt; Shampoo &gt;</t>
        </is>
      </c>
      <c r="L65" t="inlineStr">
        <is>
          <t>shampoo</t>
        </is>
      </c>
      <c r="M65" t="inlineStr">
        <is>
          <t>estandar</t>
        </is>
      </c>
      <c r="N65" t="inlineStr">
        <is>
          <t>general</t>
        </is>
      </c>
      <c r="O65" t="inlineStr">
        <is>
          <t>https://www.jumbo.com.ar/shampoo-nuhoney-375-ml-head-shoulders/p</t>
        </is>
      </c>
      <c r="P65">
        <f>TRIM(CLEAN(PROPER(D65)))</f>
        <v/>
      </c>
      <c r="Q65">
        <f>PROPER(TRIM(SUBSTITUTE(SUBSTITUTE(SUBSTITUTE(SUBSTITUTE(E65,"TRESEMME","Tresemme"),"HEAD &amp; SHOULDERS","Head &amp; Shoulders"),"ELVIVE","Elvive"),"FRUCTIS","Fructis")))</f>
        <v/>
      </c>
      <c r="R65">
        <f>COUNTIF($D$2:$D$10000,D65)&gt;1</f>
        <v/>
      </c>
      <c r="S65">
        <f>IF(H65=TRUE,"Disponible","No disponible")</f>
        <v/>
      </c>
      <c r="T65">
        <f>IF(AND(ISNUMBER(I65),I65&gt;0),ROUND(F65/I65,2),"Sin volumen")</f>
        <v/>
      </c>
      <c r="U65">
        <f>IF(F65&lt;5000,"Bajo",IF(F65&lt;15000,"Medio","Alto"))</f>
        <v/>
      </c>
    </row>
    <row r="66">
      <c r="A66" s="2" t="inlineStr">
        <is>
          <t>Jumbo</t>
        </is>
      </c>
      <c r="B66" s="2" t="n">
        <v>332379</v>
      </c>
      <c r="C66" s="2" t="n">
        <v>331536</v>
      </c>
      <c r="D66" s="2" t="inlineStr">
        <is>
          <t>Shampoo Kids Fuerza Natural 700 Ml Plusbelle</t>
        </is>
      </c>
      <c r="E66" s="2" t="inlineStr">
        <is>
          <t>PLUSBELLE</t>
        </is>
      </c>
      <c r="F66" s="2" t="n">
        <v>7350</v>
      </c>
      <c r="G66" s="2" t="n">
        <v>607438</v>
      </c>
      <c r="H66" s="2" t="b">
        <v>1</v>
      </c>
      <c r="I66" s="2" t="n">
        <v>700</v>
      </c>
      <c r="J66" s="2" t="n">
        <v>10.5</v>
      </c>
      <c r="K66" s="2" t="inlineStr">
        <is>
          <t>&gt; Mundo Bebe &gt; Higiene para el Bebe &gt; Higiene del Bebé &gt;</t>
        </is>
      </c>
      <c r="L66" s="2" t="inlineStr">
        <is>
          <t>shampoo</t>
        </is>
      </c>
      <c r="M66" s="2" t="inlineStr">
        <is>
          <t>estandar</t>
        </is>
      </c>
      <c r="N66" s="2" t="inlineStr">
        <is>
          <t>bebe</t>
        </is>
      </c>
      <c r="O66" s="2" t="inlineStr">
        <is>
          <t>https://www.jumbo.com.ar/shampoo-kids-fuerza-natural-700-ml-plusbelle/p</t>
        </is>
      </c>
      <c r="P66" s="4">
        <f>TRIM(CLEAN(PROPER(D66)))</f>
        <v/>
      </c>
      <c r="Q66" s="4">
        <f>PROPER(TRIM(SUBSTITUTE(SUBSTITUTE(SUBSTITUTE(SUBSTITUTE(E66,"TRESEMME","Tresemme"),"HEAD &amp; SHOULDERS","Head &amp; Shoulders"),"ELVIVE","Elvive"),"FRUCTIS","Fructis")))</f>
        <v/>
      </c>
      <c r="R66" s="4">
        <f>COUNTIF($D$2:$D$10000,D66)&gt;1</f>
        <v/>
      </c>
      <c r="S66" s="4">
        <f>IF(H66=TRUE,"Disponible","No disponible")</f>
        <v/>
      </c>
      <c r="T66" s="4">
        <f>IF(AND(ISNUMBER(I66),I66&gt;0),ROUND(F66/I66,2),"Sin volumen")</f>
        <v/>
      </c>
      <c r="U66" s="4">
        <f>IF(F66&lt;5000,"Bajo",IF(F66&lt;15000,"Medio","Alto"))</f>
        <v/>
      </c>
    </row>
    <row r="67">
      <c r="A67" t="inlineStr">
        <is>
          <t>Jumbo</t>
        </is>
      </c>
      <c r="B67" t="n">
        <v>3067581</v>
      </c>
      <c r="C67" t="n">
        <v>3067445</v>
      </c>
      <c r="D67" t="inlineStr">
        <is>
          <t>Shampoo Luminous Uv X 190 Ml Sedal</t>
        </is>
      </c>
      <c r="E67" t="inlineStr">
        <is>
          <t>SEDAL</t>
        </is>
      </c>
      <c r="F67" t="n">
        <v>3850</v>
      </c>
      <c r="G67" t="n">
        <v>318182</v>
      </c>
      <c r="H67" t="b">
        <v>1</v>
      </c>
      <c r="I67" t="n">
        <v>190</v>
      </c>
      <c r="J67" t="n">
        <v>20.2632</v>
      </c>
      <c r="K67" t="inlineStr">
        <is>
          <t>&gt; Perfumería &gt; Cuidado Capilar &gt; Shampoo &gt;</t>
        </is>
      </c>
      <c r="L67" t="inlineStr">
        <is>
          <t>shampoo</t>
        </is>
      </c>
      <c r="M67" t="inlineStr">
        <is>
          <t>estandar</t>
        </is>
      </c>
      <c r="N67" t="inlineStr">
        <is>
          <t>general</t>
        </is>
      </c>
      <c r="O67" t="inlineStr">
        <is>
          <t>https://www.jumbo.com.ar/shampoo-luminous-uv-x-190-ml-sedal-2/p</t>
        </is>
      </c>
      <c r="P67">
        <f>TRIM(CLEAN(PROPER(D67)))</f>
        <v/>
      </c>
      <c r="Q67">
        <f>PROPER(TRIM(SUBSTITUTE(SUBSTITUTE(SUBSTITUTE(SUBSTITUTE(E67,"TRESEMME","Tresemme"),"HEAD &amp; SHOULDERS","Head &amp; Shoulders"),"ELVIVE","Elvive"),"FRUCTIS","Fructis")))</f>
        <v/>
      </c>
      <c r="R67">
        <f>COUNTIF($D$2:$D$10000,D67)&gt;1</f>
        <v/>
      </c>
      <c r="S67">
        <f>IF(H67=TRUE,"Disponible","No disponible")</f>
        <v/>
      </c>
      <c r="T67">
        <f>IF(AND(ISNUMBER(I67),I67&gt;0),ROUND(F67/I67,2),"Sin volumen")</f>
        <v/>
      </c>
      <c r="U67">
        <f>IF(F67&lt;5000,"Bajo",IF(F67&lt;15000,"Medio","Alto"))</f>
        <v/>
      </c>
    </row>
    <row r="68">
      <c r="A68" s="2" t="inlineStr">
        <is>
          <t>Jumbo</t>
        </is>
      </c>
      <c r="B68" s="2" t="n">
        <v>3067727</v>
      </c>
      <c r="C68" s="2" t="n">
        <v>3067587</v>
      </c>
      <c r="D68" s="2" t="inlineStr">
        <is>
          <t>Shampoo Nuhoney 180 Ml Head &amp; Shoulders</t>
        </is>
      </c>
      <c r="E68" s="2" t="inlineStr">
        <is>
          <t>HEAD &amp; SHOULDERS</t>
        </is>
      </c>
      <c r="F68" s="2" t="n">
        <v>7800</v>
      </c>
      <c r="G68" s="2" t="n">
        <v>644628</v>
      </c>
      <c r="H68" s="2" t="b">
        <v>1</v>
      </c>
      <c r="I68" s="2" t="n">
        <v>180</v>
      </c>
      <c r="J68" s="2" t="n">
        <v>43.3333</v>
      </c>
      <c r="K68" s="2" t="inlineStr">
        <is>
          <t>&gt; Perfumería &gt; Cuidado Capilar &gt; Shampoo &gt;</t>
        </is>
      </c>
      <c r="L68" s="2" t="inlineStr">
        <is>
          <t>shampoo</t>
        </is>
      </c>
      <c r="M68" s="2" t="inlineStr">
        <is>
          <t>estandar</t>
        </is>
      </c>
      <c r="N68" s="2" t="inlineStr">
        <is>
          <t>general</t>
        </is>
      </c>
      <c r="O68" s="2" t="inlineStr">
        <is>
          <t>https://www.jumbo.com.ar/shampoo-nuhoney-180-ml-head-shoulders/p</t>
        </is>
      </c>
      <c r="P68" s="4">
        <f>TRIM(CLEAN(PROPER(D68)))</f>
        <v/>
      </c>
      <c r="Q68" s="4">
        <f>PROPER(TRIM(SUBSTITUTE(SUBSTITUTE(SUBSTITUTE(SUBSTITUTE(E68,"TRESEMME","Tresemme"),"HEAD &amp; SHOULDERS","Head &amp; Shoulders"),"ELVIVE","Elvive"),"FRUCTIS","Fructis")))</f>
        <v/>
      </c>
      <c r="R68" s="4">
        <f>COUNTIF($D$2:$D$10000,D68)&gt;1</f>
        <v/>
      </c>
      <c r="S68" s="4">
        <f>IF(H68=TRUE,"Disponible","No disponible")</f>
        <v/>
      </c>
      <c r="T68" s="4">
        <f>IF(AND(ISNUMBER(I68),I68&gt;0),ROUND(F68/I68,2),"Sin volumen")</f>
        <v/>
      </c>
      <c r="U68" s="4">
        <f>IF(F68&lt;5000,"Bajo",IF(F68&lt;15000,"Medio","Alto"))</f>
        <v/>
      </c>
    </row>
    <row r="69">
      <c r="A69" t="inlineStr">
        <is>
          <t>Jumbo</t>
        </is>
      </c>
      <c r="B69" t="n">
        <v>3070280</v>
      </c>
      <c r="C69" t="n">
        <v>3069873</v>
      </c>
      <c r="D69" t="inlineStr">
        <is>
          <t>Shampoo Liso Efecto Profesional 500 Ml Tresemmé</t>
        </is>
      </c>
      <c r="E69" t="inlineStr">
        <is>
          <t>TRESEMMÉ</t>
        </is>
      </c>
      <c r="F69" t="n">
        <v>10400</v>
      </c>
      <c r="G69" t="n">
        <v>859504</v>
      </c>
      <c r="H69" t="b">
        <v>1</v>
      </c>
      <c r="I69" t="n">
        <v>500</v>
      </c>
      <c r="J69" t="n">
        <v>20.8</v>
      </c>
      <c r="K69" t="inlineStr">
        <is>
          <t>&gt; Perfumería &gt; Cuidado Capilar &gt; Shampoo &gt;</t>
        </is>
      </c>
      <c r="L69" t="inlineStr">
        <is>
          <t>shampoo</t>
        </is>
      </c>
      <c r="M69" t="inlineStr">
        <is>
          <t>profesional</t>
        </is>
      </c>
      <c r="N69" t="inlineStr">
        <is>
          <t>general</t>
        </is>
      </c>
      <c r="O69" t="inlineStr">
        <is>
          <t>https://www.jumbo.com.ar/shampoo-liso-perfecto-profesional-x-500-ml-tresemme-2/p</t>
        </is>
      </c>
      <c r="P69">
        <f>TRIM(CLEAN(PROPER(D69)))</f>
        <v/>
      </c>
      <c r="Q69">
        <f>PROPER(TRIM(SUBSTITUTE(SUBSTITUTE(SUBSTITUTE(SUBSTITUTE(E69,"TRESEMME","Tresemme"),"HEAD &amp; SHOULDERS","Head &amp; Shoulders"),"ELVIVE","Elvive"),"FRUCTIS","Fructis")))</f>
        <v/>
      </c>
      <c r="R69">
        <f>COUNTIF($D$2:$D$10000,D69)&gt;1</f>
        <v/>
      </c>
      <c r="S69">
        <f>IF(H69=TRUE,"Disponible","No disponible")</f>
        <v/>
      </c>
      <c r="T69">
        <f>IF(AND(ISNUMBER(I69),I69&gt;0),ROUND(F69/I69,2),"Sin volumen")</f>
        <v/>
      </c>
      <c r="U69">
        <f>IF(F69&lt;5000,"Bajo",IF(F69&lt;15000,"Medio","Alto"))</f>
        <v/>
      </c>
    </row>
    <row r="70">
      <c r="A70" s="2" t="inlineStr">
        <is>
          <t>Jumbo</t>
        </is>
      </c>
      <c r="B70" s="2" t="n">
        <v>349486</v>
      </c>
      <c r="C70" s="2" t="n">
        <v>348146</v>
      </c>
      <c r="D70" s="2" t="inlineStr">
        <is>
          <t>Shampoo Brillo Ceramidas Perladas 1000 Ml Plusbelle</t>
        </is>
      </c>
      <c r="E70" s="2" t="inlineStr">
        <is>
          <t>PLUSBELLE</t>
        </is>
      </c>
      <c r="F70" s="2" t="n">
        <v>5750</v>
      </c>
      <c r="G70" s="2" t="n">
        <v>475207</v>
      </c>
      <c r="H70" s="2" t="b">
        <v>1</v>
      </c>
      <c r="I70" s="2" t="n">
        <v>1000</v>
      </c>
      <c r="J70" s="2" t="n">
        <v>5.75</v>
      </c>
      <c r="K70" s="2" t="inlineStr">
        <is>
          <t>&gt; Perfumería &gt; Cuidado Capilar &gt; Shampoo &gt;</t>
        </is>
      </c>
      <c r="L70" s="2" t="inlineStr">
        <is>
          <t>shampoo</t>
        </is>
      </c>
      <c r="M70" s="2" t="inlineStr">
        <is>
          <t>estandar</t>
        </is>
      </c>
      <c r="N70" s="2" t="inlineStr">
        <is>
          <t>general</t>
        </is>
      </c>
      <c r="O70" s="2" t="inlineStr">
        <is>
          <t>https://www.jumbo.com.ar/shampoo-brillo-1000-ml-plusbelle/p</t>
        </is>
      </c>
      <c r="P70" s="4">
        <f>TRIM(CLEAN(PROPER(D70)))</f>
        <v/>
      </c>
      <c r="Q70" s="4">
        <f>PROPER(TRIM(SUBSTITUTE(SUBSTITUTE(SUBSTITUTE(SUBSTITUTE(E70,"TRESEMME","Tresemme"),"HEAD &amp; SHOULDERS","Head &amp; Shoulders"),"ELVIVE","Elvive"),"FRUCTIS","Fructis")))</f>
        <v/>
      </c>
      <c r="R70" s="4">
        <f>COUNTIF($D$2:$D$10000,D70)&gt;1</f>
        <v/>
      </c>
      <c r="S70" s="4">
        <f>IF(H70=TRUE,"Disponible","No disponible")</f>
        <v/>
      </c>
      <c r="T70" s="4">
        <f>IF(AND(ISNUMBER(I70),I70&gt;0),ROUND(F70/I70,2),"Sin volumen")</f>
        <v/>
      </c>
      <c r="U70" s="4">
        <f>IF(F70&lt;5000,"Bajo",IF(F70&lt;15000,"Medio","Alto"))</f>
        <v/>
      </c>
    </row>
    <row r="71">
      <c r="A71" t="inlineStr">
        <is>
          <t>Jumbo</t>
        </is>
      </c>
      <c r="B71" t="n">
        <v>80238</v>
      </c>
      <c r="C71" t="n">
        <v>77362</v>
      </c>
      <c r="D71" t="inlineStr">
        <is>
          <t>Shampoo Sandia Dulce 350 Ml Kids Algabo</t>
        </is>
      </c>
      <c r="E71" t="inlineStr">
        <is>
          <t>ALGABO</t>
        </is>
      </c>
      <c r="F71" t="n">
        <v>3750</v>
      </c>
      <c r="G71" t="n">
        <v>309917</v>
      </c>
      <c r="H71" t="b">
        <v>1</v>
      </c>
      <c r="I71" t="n">
        <v>350</v>
      </c>
      <c r="J71" t="n">
        <v>10.7143</v>
      </c>
      <c r="K71" t="inlineStr">
        <is>
          <t>&gt; Mundo Bebe &gt; Higiene para el Bebe &gt; Higiene del Bebé &gt;</t>
        </is>
      </c>
      <c r="L71" t="inlineStr">
        <is>
          <t>shampoo</t>
        </is>
      </c>
      <c r="M71" t="inlineStr">
        <is>
          <t>estandar</t>
        </is>
      </c>
      <c r="N71" t="inlineStr">
        <is>
          <t>bebe</t>
        </is>
      </c>
      <c r="O71" t="inlineStr">
        <is>
          <t>https://www.jumbo.com.ar/shampoo-sandia-dulce-350-ml-kids-algabo/p</t>
        </is>
      </c>
      <c r="P71">
        <f>TRIM(CLEAN(PROPER(D71)))</f>
        <v/>
      </c>
      <c r="Q71">
        <f>PROPER(TRIM(SUBSTITUTE(SUBSTITUTE(SUBSTITUTE(SUBSTITUTE(E71,"TRESEMME","Tresemme"),"HEAD &amp; SHOULDERS","Head &amp; Shoulders"),"ELVIVE","Elvive"),"FRUCTIS","Fructis")))</f>
        <v/>
      </c>
      <c r="R71">
        <f>COUNTIF($D$2:$D$10000,D71)&gt;1</f>
        <v/>
      </c>
      <c r="S71">
        <f>IF(H71=TRUE,"Disponible","No disponible")</f>
        <v/>
      </c>
      <c r="T71">
        <f>IF(AND(ISNUMBER(I71),I71&gt;0),ROUND(F71/I71,2),"Sin volumen")</f>
        <v/>
      </c>
      <c r="U71">
        <f>IF(F71&lt;5000,"Bajo",IF(F71&lt;15000,"Medio","Alto"))</f>
        <v/>
      </c>
    </row>
    <row r="72">
      <c r="A72" s="2" t="inlineStr">
        <is>
          <t>Jumbo</t>
        </is>
      </c>
      <c r="B72" s="2" t="n">
        <v>1365007</v>
      </c>
      <c r="C72" s="2" t="n">
        <v>1363955</v>
      </c>
      <c r="D72" s="2" t="inlineStr">
        <is>
          <t>Shampoo Anticomezón 180 Ml Head y Shoulders</t>
        </is>
      </c>
      <c r="E72" s="2" t="inlineStr">
        <is>
          <t>HEAD &amp; SHOULDERS</t>
        </is>
      </c>
      <c r="F72" s="2" t="n">
        <v>7800</v>
      </c>
      <c r="G72" s="2" t="n">
        <v>644628</v>
      </c>
      <c r="H72" s="2" t="b">
        <v>1</v>
      </c>
      <c r="I72" s="2" t="n">
        <v>180</v>
      </c>
      <c r="J72" s="2" t="n">
        <v>43.3333</v>
      </c>
      <c r="K72" s="2" t="inlineStr">
        <is>
          <t>&gt; Perfumería &gt; Cuidado Capilar &gt; Shampoo &gt;</t>
        </is>
      </c>
      <c r="L72" s="2" t="inlineStr">
        <is>
          <t>shampoo</t>
        </is>
      </c>
      <c r="M72" s="2" t="inlineStr">
        <is>
          <t>estandar</t>
        </is>
      </c>
      <c r="N72" s="2" t="inlineStr">
        <is>
          <t>general</t>
        </is>
      </c>
      <c r="O72" s="2" t="inlineStr">
        <is>
          <t>https://www.jumbo.com.ar/shampoo-anticomezon-180-ml-head-shoulders-2/p</t>
        </is>
      </c>
      <c r="P72" s="4">
        <f>TRIM(CLEAN(PROPER(D72)))</f>
        <v/>
      </c>
      <c r="Q72" s="4">
        <f>PROPER(TRIM(SUBSTITUTE(SUBSTITUTE(SUBSTITUTE(SUBSTITUTE(E72,"TRESEMME","Tresemme"),"HEAD &amp; SHOULDERS","Head &amp; Shoulders"),"ELVIVE","Elvive"),"FRUCTIS","Fructis")))</f>
        <v/>
      </c>
      <c r="R72" s="4">
        <f>COUNTIF($D$2:$D$10000,D72)&gt;1</f>
        <v/>
      </c>
      <c r="S72" s="4">
        <f>IF(H72=TRUE,"Disponible","No disponible")</f>
        <v/>
      </c>
      <c r="T72" s="4">
        <f>IF(AND(ISNUMBER(I72),I72&gt;0),ROUND(F72/I72,2),"Sin volumen")</f>
        <v/>
      </c>
      <c r="U72" s="4">
        <f>IF(F72&lt;5000,"Bajo",IF(F72&lt;15000,"Medio","Alto"))</f>
        <v/>
      </c>
    </row>
    <row r="73">
      <c r="A73" t="inlineStr">
        <is>
          <t>Jumbo</t>
        </is>
      </c>
      <c r="B73" t="n">
        <v>414733</v>
      </c>
      <c r="C73" t="n">
        <v>410434</v>
      </c>
      <c r="D73" t="inlineStr">
        <is>
          <t>Shampoo Niños Gotas de Brillo 400 Ml Johnson's</t>
        </is>
      </c>
      <c r="E73" t="inlineStr">
        <is>
          <t>JOHNSON BABY</t>
        </is>
      </c>
      <c r="F73" t="n">
        <v>10650</v>
      </c>
      <c r="G73" t="n">
        <v>880165</v>
      </c>
      <c r="H73" t="b">
        <v>1</v>
      </c>
      <c r="I73" t="n">
        <v>400</v>
      </c>
      <c r="J73" t="n">
        <v>26.625</v>
      </c>
      <c r="K73" t="inlineStr">
        <is>
          <t>&gt; Mundo Bebe &gt; Higiene para el Bebe &gt; Higiene del Bebé &gt;</t>
        </is>
      </c>
      <c r="L73" t="inlineStr">
        <is>
          <t>shampoo</t>
        </is>
      </c>
      <c r="M73" t="inlineStr">
        <is>
          <t>estandar</t>
        </is>
      </c>
      <c r="N73" t="inlineStr">
        <is>
          <t>bebe</t>
        </is>
      </c>
      <c r="O73" t="inlineStr">
        <is>
          <t>https://www.jumbo.com.ar/shampoo-para-ninos-gotas-de-brillo-400-ml-johnson-baby/p</t>
        </is>
      </c>
      <c r="P73">
        <f>TRIM(CLEAN(PROPER(D73)))</f>
        <v/>
      </c>
      <c r="Q73">
        <f>PROPER(TRIM(SUBSTITUTE(SUBSTITUTE(SUBSTITUTE(SUBSTITUTE(E73,"TRESEMME","Tresemme"),"HEAD &amp; SHOULDERS","Head &amp; Shoulders"),"ELVIVE","Elvive"),"FRUCTIS","Fructis")))</f>
        <v/>
      </c>
      <c r="R73">
        <f>COUNTIF($D$2:$D$10000,D73)&gt;1</f>
        <v/>
      </c>
      <c r="S73">
        <f>IF(H73=TRUE,"Disponible","No disponible")</f>
        <v/>
      </c>
      <c r="T73">
        <f>IF(AND(ISNUMBER(I73),I73&gt;0),ROUND(F73/I73,2),"Sin volumen")</f>
        <v/>
      </c>
      <c r="U73">
        <f>IF(F73&lt;5000,"Bajo",IF(F73&lt;15000,"Medio","Alto"))</f>
        <v/>
      </c>
    </row>
    <row r="74">
      <c r="A74" s="2" t="inlineStr">
        <is>
          <t>Jumbo</t>
        </is>
      </c>
      <c r="B74" s="2" t="n">
        <v>388708</v>
      </c>
      <c r="C74" s="2" t="n">
        <v>386820</v>
      </c>
      <c r="D74" s="2" t="inlineStr">
        <is>
          <t>Shampoo Nutrición Oleo Extraordinario 200 Ml Elvive</t>
        </is>
      </c>
      <c r="E74" s="2" t="inlineStr">
        <is>
          <t>ELVIVE</t>
        </is>
      </c>
      <c r="F74" s="2" t="n">
        <v>7550</v>
      </c>
      <c r="G74" s="2" t="n">
        <v>623967</v>
      </c>
      <c r="H74" s="2" t="b">
        <v>1</v>
      </c>
      <c r="I74" s="2" t="n">
        <v>200</v>
      </c>
      <c r="J74" s="2" t="n">
        <v>37.75</v>
      </c>
      <c r="K74" s="2" t="inlineStr">
        <is>
          <t>&gt; Perfumería &gt; Cuidado Capilar &gt; Shampoo &gt;</t>
        </is>
      </c>
      <c r="L74" s="2" t="inlineStr">
        <is>
          <t>shampoo</t>
        </is>
      </c>
      <c r="M74" s="2" t="inlineStr">
        <is>
          <t>profesional</t>
        </is>
      </c>
      <c r="N74" s="2" t="inlineStr">
        <is>
          <t>general</t>
        </is>
      </c>
      <c r="O74" s="2" t="inlineStr">
        <is>
          <t>https://www.jumbo.com.ar/shampoo-elvive-oleo-extraordinario-nutricion-universal-200-ml/p</t>
        </is>
      </c>
      <c r="P74" s="4">
        <f>TRIM(CLEAN(PROPER(D74)))</f>
        <v/>
      </c>
      <c r="Q74" s="4">
        <f>PROPER(TRIM(SUBSTITUTE(SUBSTITUTE(SUBSTITUTE(SUBSTITUTE(E74,"TRESEMME","Tresemme"),"HEAD &amp; SHOULDERS","Head &amp; Shoulders"),"ELVIVE","Elvive"),"FRUCTIS","Fructis")))</f>
        <v/>
      </c>
      <c r="R74" s="4">
        <f>COUNTIF($D$2:$D$10000,D74)&gt;1</f>
        <v/>
      </c>
      <c r="S74" s="4">
        <f>IF(H74=TRUE,"Disponible","No disponible")</f>
        <v/>
      </c>
      <c r="T74" s="4">
        <f>IF(AND(ISNUMBER(I74),I74&gt;0),ROUND(F74/I74,2),"Sin volumen")</f>
        <v/>
      </c>
      <c r="U74" s="4">
        <f>IF(F74&lt;5000,"Bajo",IF(F74&lt;15000,"Medio","Alto"))</f>
        <v/>
      </c>
    </row>
    <row r="75">
      <c r="A75" t="inlineStr">
        <is>
          <t>Jumbo</t>
        </is>
      </c>
      <c r="B75" t="n">
        <v>119611</v>
      </c>
      <c r="C75" t="n">
        <v>118639</v>
      </c>
      <c r="D75" t="inlineStr">
        <is>
          <t>Shampoo para Bebé Original 400 Ml Johnson's</t>
        </is>
      </c>
      <c r="E75" t="inlineStr">
        <is>
          <t>JOHNSON BABY</t>
        </is>
      </c>
      <c r="F75" t="n">
        <v>12250</v>
      </c>
      <c r="G75" t="n">
        <v>1012397</v>
      </c>
      <c r="H75" t="b">
        <v>1</v>
      </c>
      <c r="I75" t="n">
        <v>400</v>
      </c>
      <c r="J75" t="n">
        <v>30.625</v>
      </c>
      <c r="K75" t="inlineStr">
        <is>
          <t>&gt; Mundo Bebe &gt; Higiene para el Bebe &gt; Higiene del Bebé &gt;</t>
        </is>
      </c>
      <c r="L75" t="inlineStr">
        <is>
          <t>shampoo</t>
        </is>
      </c>
      <c r="M75" t="inlineStr">
        <is>
          <t>estandar</t>
        </is>
      </c>
      <c r="N75" t="inlineStr">
        <is>
          <t>bebe</t>
        </is>
      </c>
      <c r="O75" t="inlineStr">
        <is>
          <t>https://www.jumbo.com.ar/toallas-femeninas-con-alas-siempre-libre-especial-8-un/p</t>
        </is>
      </c>
      <c r="P75">
        <f>TRIM(CLEAN(PROPER(D75)))</f>
        <v/>
      </c>
      <c r="Q75">
        <f>PROPER(TRIM(SUBSTITUTE(SUBSTITUTE(SUBSTITUTE(SUBSTITUTE(E75,"TRESEMME","Tresemme"),"HEAD &amp; SHOULDERS","Head &amp; Shoulders"),"ELVIVE","Elvive"),"FRUCTIS","Fructis")))</f>
        <v/>
      </c>
      <c r="R75">
        <f>COUNTIF($D$2:$D$10000,D75)&gt;1</f>
        <v/>
      </c>
      <c r="S75">
        <f>IF(H75=TRUE,"Disponible","No disponible")</f>
        <v/>
      </c>
      <c r="T75">
        <f>IF(AND(ISNUMBER(I75),I75&gt;0),ROUND(F75/I75,2),"Sin volumen")</f>
        <v/>
      </c>
      <c r="U75">
        <f>IF(F75&lt;5000,"Bajo",IF(F75&lt;15000,"Medio","Alto"))</f>
        <v/>
      </c>
    </row>
    <row r="76">
      <c r="A76" s="2" t="inlineStr">
        <is>
          <t>Jumbo</t>
        </is>
      </c>
      <c r="B76" s="2" t="n">
        <v>5996</v>
      </c>
      <c r="C76" s="2" t="n">
        <v>3384</v>
      </c>
      <c r="D76" s="2" t="inlineStr">
        <is>
          <t>Shampoo Iluminador Puro Rubio 420 Ml Capilatis</t>
        </is>
      </c>
      <c r="E76" s="2" t="inlineStr">
        <is>
          <t>CAPILATIS</t>
        </is>
      </c>
      <c r="F76" s="2" t="n">
        <v>9650</v>
      </c>
      <c r="G76" s="2" t="n">
        <v>797521</v>
      </c>
      <c r="H76" s="2" t="b">
        <v>1</v>
      </c>
      <c r="I76" s="2" t="n">
        <v>420</v>
      </c>
      <c r="J76" s="2" t="n">
        <v>22.9762</v>
      </c>
      <c r="K76" s="2" t="inlineStr">
        <is>
          <t>&gt; Perfumería &gt; Cuidado Capilar &gt; Shampoo &gt;</t>
        </is>
      </c>
      <c r="L76" s="2" t="inlineStr">
        <is>
          <t>shampoo</t>
        </is>
      </c>
      <c r="M76" s="2" t="inlineStr">
        <is>
          <t>estandar</t>
        </is>
      </c>
      <c r="N76" s="2" t="inlineStr">
        <is>
          <t>general</t>
        </is>
      </c>
      <c r="O76" s="2" t="inlineStr">
        <is>
          <t>https://www.jumbo.com.ar/shampoo-capilatis-iluminador-420-ml/p</t>
        </is>
      </c>
      <c r="P76" s="4">
        <f>TRIM(CLEAN(PROPER(D76)))</f>
        <v/>
      </c>
      <c r="Q76" s="4">
        <f>PROPER(TRIM(SUBSTITUTE(SUBSTITUTE(SUBSTITUTE(SUBSTITUTE(E76,"TRESEMME","Tresemme"),"HEAD &amp; SHOULDERS","Head &amp; Shoulders"),"ELVIVE","Elvive"),"FRUCTIS","Fructis")))</f>
        <v/>
      </c>
      <c r="R76" s="4">
        <f>COUNTIF($D$2:$D$10000,D76)&gt;1</f>
        <v/>
      </c>
      <c r="S76" s="4">
        <f>IF(H76=TRUE,"Disponible","No disponible")</f>
        <v/>
      </c>
      <c r="T76" s="4">
        <f>IF(AND(ISNUMBER(I76),I76&gt;0),ROUND(F76/I76,2),"Sin volumen")</f>
        <v/>
      </c>
      <c r="U76" s="4">
        <f>IF(F76&lt;5000,"Bajo",IF(F76&lt;15000,"Medio","Alto"))</f>
        <v/>
      </c>
    </row>
    <row r="77">
      <c r="A77" t="inlineStr">
        <is>
          <t>Jumbo</t>
        </is>
      </c>
      <c r="B77" t="n">
        <v>1362366</v>
      </c>
      <c r="C77" t="n">
        <v>1361614</v>
      </c>
      <c r="D77" t="inlineStr">
        <is>
          <t>Shampoo Bond Intense Repair 200 Ml Dove</t>
        </is>
      </c>
      <c r="E77" t="inlineStr">
        <is>
          <t>DOVE</t>
        </is>
      </c>
      <c r="F77" t="n">
        <v>6750</v>
      </c>
      <c r="G77" t="n">
        <v>557851</v>
      </c>
      <c r="H77" t="b">
        <v>1</v>
      </c>
      <c r="I77" t="n">
        <v>200</v>
      </c>
      <c r="J77" t="n">
        <v>33.75</v>
      </c>
      <c r="K77" t="inlineStr">
        <is>
          <t>&gt; Perfumería &gt; Cuidado Capilar &gt; Shampoo &gt;</t>
        </is>
      </c>
      <c r="L77" t="inlineStr">
        <is>
          <t>shampoo</t>
        </is>
      </c>
      <c r="M77" t="inlineStr">
        <is>
          <t>profesional</t>
        </is>
      </c>
      <c r="N77" t="inlineStr">
        <is>
          <t>general</t>
        </is>
      </c>
      <c r="O77" t="inlineStr">
        <is>
          <t>https://www.jumbo.com.ar/shampoo-dove-bond-intense-repair-200-ml-2/p</t>
        </is>
      </c>
      <c r="P77">
        <f>TRIM(CLEAN(PROPER(D77)))</f>
        <v/>
      </c>
      <c r="Q77">
        <f>PROPER(TRIM(SUBSTITUTE(SUBSTITUTE(SUBSTITUTE(SUBSTITUTE(E77,"TRESEMME","Tresemme"),"HEAD &amp; SHOULDERS","Head &amp; Shoulders"),"ELVIVE","Elvive"),"FRUCTIS","Fructis")))</f>
        <v/>
      </c>
      <c r="R77">
        <f>COUNTIF($D$2:$D$10000,D77)&gt;1</f>
        <v/>
      </c>
      <c r="S77">
        <f>IF(H77=TRUE,"Disponible","No disponible")</f>
        <v/>
      </c>
      <c r="T77">
        <f>IF(AND(ISNUMBER(I77),I77&gt;0),ROUND(F77/I77,2),"Sin volumen")</f>
        <v/>
      </c>
      <c r="U77">
        <f>IF(F77&lt;5000,"Bajo",IF(F77&lt;15000,"Medio","Alto"))</f>
        <v/>
      </c>
    </row>
    <row r="78">
      <c r="A78" s="2" t="inlineStr">
        <is>
          <t>Jumbo</t>
        </is>
      </c>
      <c r="B78" s="2" t="n">
        <v>389297</v>
      </c>
      <c r="C78" s="2" t="n">
        <v>387403</v>
      </c>
      <c r="D78" s="2" t="inlineStr">
        <is>
          <t>Shampoo Hialurónico y Vitamina A 650 Ml Sedal</t>
        </is>
      </c>
      <c r="E78" s="2" t="inlineStr">
        <is>
          <t>SEDAL</t>
        </is>
      </c>
      <c r="F78" s="2" t="n">
        <v>9400</v>
      </c>
      <c r="G78" s="2" t="n">
        <v>776860</v>
      </c>
      <c r="H78" s="2" t="b">
        <v>1</v>
      </c>
      <c r="I78" s="2" t="n">
        <v>650</v>
      </c>
      <c r="J78" s="2" t="n">
        <v>14.4615</v>
      </c>
      <c r="K78" s="2" t="inlineStr">
        <is>
          <t>&gt; Perfumería &gt; Cuidado Capilar &gt; Shampoo &gt;</t>
        </is>
      </c>
      <c r="L78" s="2" t="inlineStr">
        <is>
          <t>shampoo</t>
        </is>
      </c>
      <c r="M78" s="2" t="inlineStr">
        <is>
          <t>estandar</t>
        </is>
      </c>
      <c r="N78" s="2" t="inlineStr">
        <is>
          <t>general</t>
        </is>
      </c>
      <c r="O78" s="2" t="inlineStr">
        <is>
          <t>https://www.jumbo.com.ar/shampoo-sedal-hialuronico-y-vitamina-a-650-ml-2/p</t>
        </is>
      </c>
      <c r="P78" s="4">
        <f>TRIM(CLEAN(PROPER(D78)))</f>
        <v/>
      </c>
      <c r="Q78" s="4">
        <f>PROPER(TRIM(SUBSTITUTE(SUBSTITUTE(SUBSTITUTE(SUBSTITUTE(E78,"TRESEMME","Tresemme"),"HEAD &amp; SHOULDERS","Head &amp; Shoulders"),"ELVIVE","Elvive"),"FRUCTIS","Fructis")))</f>
        <v/>
      </c>
      <c r="R78" s="4">
        <f>COUNTIF($D$2:$D$10000,D78)&gt;1</f>
        <v/>
      </c>
      <c r="S78" s="4">
        <f>IF(H78=TRUE,"Disponible","No disponible")</f>
        <v/>
      </c>
      <c r="T78" s="4">
        <f>IF(AND(ISNUMBER(I78),I78&gt;0),ROUND(F78/I78,2),"Sin volumen")</f>
        <v/>
      </c>
      <c r="U78" s="4">
        <f>IF(F78&lt;5000,"Bajo",IF(F78&lt;15000,"Medio","Alto"))</f>
        <v/>
      </c>
    </row>
    <row r="79">
      <c r="A79" t="inlineStr">
        <is>
          <t>Jumbo</t>
        </is>
      </c>
      <c r="B79" t="n">
        <v>384524</v>
      </c>
      <c r="C79" t="n">
        <v>383837</v>
      </c>
      <c r="D79" t="inlineStr">
        <is>
          <t>Shampoo Esencia Control Frizz 970 Ml Plusbelle</t>
        </is>
      </c>
      <c r="E79" t="inlineStr">
        <is>
          <t>PLUSBELLE</t>
        </is>
      </c>
      <c r="F79" t="n">
        <v>6450</v>
      </c>
      <c r="G79" t="n">
        <v>533058</v>
      </c>
      <c r="H79" t="b">
        <v>1</v>
      </c>
      <c r="I79" t="n">
        <v>970</v>
      </c>
      <c r="J79" t="n">
        <v>6.6495</v>
      </c>
      <c r="K79" t="inlineStr">
        <is>
          <t>&gt; Perfumería &gt; Cuidado Capilar &gt; Shampoo &gt;</t>
        </is>
      </c>
      <c r="L79" t="inlineStr">
        <is>
          <t>shampoo</t>
        </is>
      </c>
      <c r="M79" t="inlineStr">
        <is>
          <t>estandar</t>
        </is>
      </c>
      <c r="N79" t="inlineStr">
        <is>
          <t>general</t>
        </is>
      </c>
      <c r="O79" t="inlineStr">
        <is>
          <t>https://www.jumbo.com.ar/shampoo-plusbelle-esencia-control-frizz-970ml/p</t>
        </is>
      </c>
      <c r="P79">
        <f>TRIM(CLEAN(PROPER(D79)))</f>
        <v/>
      </c>
      <c r="Q79">
        <f>PROPER(TRIM(SUBSTITUTE(SUBSTITUTE(SUBSTITUTE(SUBSTITUTE(E79,"TRESEMME","Tresemme"),"HEAD &amp; SHOULDERS","Head &amp; Shoulders"),"ELVIVE","Elvive"),"FRUCTIS","Fructis")))</f>
        <v/>
      </c>
      <c r="R79">
        <f>COUNTIF($D$2:$D$10000,D79)&gt;1</f>
        <v/>
      </c>
      <c r="S79">
        <f>IF(H79=TRUE,"Disponible","No disponible")</f>
        <v/>
      </c>
      <c r="T79">
        <f>IF(AND(ISNUMBER(I79),I79&gt;0),ROUND(F79/I79,2),"Sin volumen")</f>
        <v/>
      </c>
      <c r="U79">
        <f>IF(F79&lt;5000,"Bajo",IF(F79&lt;15000,"Medio","Alto"))</f>
        <v/>
      </c>
    </row>
    <row r="80">
      <c r="A80" s="2" t="inlineStr">
        <is>
          <t>Jumbo</t>
        </is>
      </c>
      <c r="B80" s="2" t="n">
        <v>275447</v>
      </c>
      <c r="C80" s="2" t="n">
        <v>274743</v>
      </c>
      <c r="D80" s="2" t="inlineStr">
        <is>
          <t>Shampoo Antifall 180 Ml Head &amp; Shoulders</t>
        </is>
      </c>
      <c r="E80" s="2" t="inlineStr">
        <is>
          <t>HEAD &amp; SHOULDERS</t>
        </is>
      </c>
      <c r="F80" s="2" t="n">
        <v>7800</v>
      </c>
      <c r="G80" s="2" t="n">
        <v>644628</v>
      </c>
      <c r="H80" s="2" t="b">
        <v>1</v>
      </c>
      <c r="I80" s="2" t="n">
        <v>180</v>
      </c>
      <c r="J80" s="2" t="n">
        <v>43.3333</v>
      </c>
      <c r="K80" s="2" t="inlineStr">
        <is>
          <t>&gt; Perfumería &gt; Cuidado Capilar &gt; Shampoo &gt;</t>
        </is>
      </c>
      <c r="L80" s="2" t="inlineStr">
        <is>
          <t>shampoo</t>
        </is>
      </c>
      <c r="M80" s="2" t="inlineStr">
        <is>
          <t>estandar</t>
        </is>
      </c>
      <c r="N80" s="2" t="inlineStr">
        <is>
          <t>general</t>
        </is>
      </c>
      <c r="O80" s="2" t="inlineStr">
        <is>
          <t>https://www.jumbo.com.ar/shampoo-antifall-180-ml-head-shoulders-2/p</t>
        </is>
      </c>
      <c r="P80" s="4">
        <f>TRIM(CLEAN(PROPER(D80)))</f>
        <v/>
      </c>
      <c r="Q80" s="4">
        <f>PROPER(TRIM(SUBSTITUTE(SUBSTITUTE(SUBSTITUTE(SUBSTITUTE(E80,"TRESEMME","Tresemme"),"HEAD &amp; SHOULDERS","Head &amp; Shoulders"),"ELVIVE","Elvive"),"FRUCTIS","Fructis")))</f>
        <v/>
      </c>
      <c r="R80" s="4">
        <f>COUNTIF($D$2:$D$10000,D80)&gt;1</f>
        <v/>
      </c>
      <c r="S80" s="4">
        <f>IF(H80=TRUE,"Disponible","No disponible")</f>
        <v/>
      </c>
      <c r="T80" s="4">
        <f>IF(AND(ISNUMBER(I80),I80&gt;0),ROUND(F80/I80,2),"Sin volumen")</f>
        <v/>
      </c>
      <c r="U80" s="4">
        <f>IF(F80&lt;5000,"Bajo",IF(F80&lt;15000,"Medio","Alto"))</f>
        <v/>
      </c>
    </row>
    <row r="81">
      <c r="A81" t="inlineStr">
        <is>
          <t>Jumbo</t>
        </is>
      </c>
      <c r="B81" t="n">
        <v>3086634</v>
      </c>
      <c r="C81" t="n">
        <v>3085858</v>
      </c>
      <c r="D81" t="inlineStr">
        <is>
          <t>Shampoo Purificante Oil Control 200 Ml Fructis Shampoo Oil Control X 200 Ml Fructis</t>
        </is>
      </c>
      <c r="E81" t="inlineStr">
        <is>
          <t>FRUCTIS</t>
        </is>
      </c>
      <c r="F81" t="n">
        <v>5800</v>
      </c>
      <c r="G81" t="n">
        <v>479339</v>
      </c>
      <c r="H81" t="b">
        <v>1</v>
      </c>
      <c r="I81" t="n">
        <v>200</v>
      </c>
      <c r="J81" t="n">
        <v>29</v>
      </c>
      <c r="K81" t="inlineStr">
        <is>
          <t>&gt; Perfumería &gt; Cuidado Capilar &gt; Shampoo &gt;</t>
        </is>
      </c>
      <c r="L81" t="inlineStr">
        <is>
          <t>shampoo</t>
        </is>
      </c>
      <c r="M81" t="inlineStr">
        <is>
          <t>estandar</t>
        </is>
      </c>
      <c r="N81" t="inlineStr">
        <is>
          <t>general</t>
        </is>
      </c>
      <c r="O81" t="inlineStr">
        <is>
          <t>https://www.jumbo.com.ar/shampoo-oil-control-x-200-ml-fructis/p</t>
        </is>
      </c>
      <c r="P81">
        <f>TRIM(CLEAN(PROPER(D81)))</f>
        <v/>
      </c>
      <c r="Q81">
        <f>PROPER(TRIM(SUBSTITUTE(SUBSTITUTE(SUBSTITUTE(SUBSTITUTE(E81,"TRESEMME","Tresemme"),"HEAD &amp; SHOULDERS","Head &amp; Shoulders"),"ELVIVE","Elvive"),"FRUCTIS","Fructis")))</f>
        <v/>
      </c>
      <c r="R81">
        <f>COUNTIF($D$2:$D$10000,D81)&gt;1</f>
        <v/>
      </c>
      <c r="S81">
        <f>IF(H81=TRUE,"Disponible","No disponible")</f>
        <v/>
      </c>
      <c r="T81">
        <f>IF(AND(ISNUMBER(I81),I81&gt;0),ROUND(F81/I81,2),"Sin volumen")</f>
        <v/>
      </c>
      <c r="U81">
        <f>IF(F81&lt;5000,"Bajo",IF(F81&lt;15000,"Medio","Alto"))</f>
        <v/>
      </c>
    </row>
    <row r="82">
      <c r="A82" s="2" t="inlineStr">
        <is>
          <t>Jumbo</t>
        </is>
      </c>
      <c r="B82" s="2" t="n">
        <v>389287</v>
      </c>
      <c r="C82" s="2" t="n">
        <v>387393</v>
      </c>
      <c r="D82" s="2" t="inlineStr">
        <is>
          <t>Shampoo Hialurónico y Vita A 190 Ml Sedal</t>
        </is>
      </c>
      <c r="E82" s="2" t="inlineStr">
        <is>
          <t>SEDAL</t>
        </is>
      </c>
      <c r="F82" s="2" t="n">
        <v>3850</v>
      </c>
      <c r="G82" s="2" t="n">
        <v>318182</v>
      </c>
      <c r="H82" s="2" t="b">
        <v>1</v>
      </c>
      <c r="I82" s="2" t="n">
        <v>190</v>
      </c>
      <c r="J82" s="2" t="n">
        <v>20.2632</v>
      </c>
      <c r="K82" s="2" t="inlineStr">
        <is>
          <t>&gt; Perfumería &gt; Cuidado Capilar &gt; Shampoo &gt;</t>
        </is>
      </c>
      <c r="L82" s="2" t="inlineStr">
        <is>
          <t>shampoo</t>
        </is>
      </c>
      <c r="M82" s="2" t="inlineStr">
        <is>
          <t>estandar</t>
        </is>
      </c>
      <c r="N82" s="2" t="inlineStr">
        <is>
          <t>general</t>
        </is>
      </c>
      <c r="O82" s="2" t="inlineStr">
        <is>
          <t>https://www.jumbo.com.ar/shampoo-hialuronico-y-vitamina-a-190-ml-sedal/p</t>
        </is>
      </c>
      <c r="P82" s="4">
        <f>TRIM(CLEAN(PROPER(D82)))</f>
        <v/>
      </c>
      <c r="Q82" s="4">
        <f>PROPER(TRIM(SUBSTITUTE(SUBSTITUTE(SUBSTITUTE(SUBSTITUTE(E82,"TRESEMME","Tresemme"),"HEAD &amp; SHOULDERS","Head &amp; Shoulders"),"ELVIVE","Elvive"),"FRUCTIS","Fructis")))</f>
        <v/>
      </c>
      <c r="R82" s="4">
        <f>COUNTIF($D$2:$D$10000,D82)&gt;1</f>
        <v/>
      </c>
      <c r="S82" s="4">
        <f>IF(H82=TRUE,"Disponible","No disponible")</f>
        <v/>
      </c>
      <c r="T82" s="4">
        <f>IF(AND(ISNUMBER(I82),I82&gt;0),ROUND(F82/I82,2),"Sin volumen")</f>
        <v/>
      </c>
      <c r="U82" s="4">
        <f>IF(F82&lt;5000,"Bajo",IF(F82&lt;15000,"Medio","Alto"))</f>
        <v/>
      </c>
    </row>
    <row r="83">
      <c r="A83" t="inlineStr">
        <is>
          <t>Jumbo</t>
        </is>
      </c>
      <c r="B83" t="n">
        <v>424003</v>
      </c>
      <c r="C83" t="n">
        <v>417080</v>
      </c>
      <c r="D83" t="inlineStr">
        <is>
          <t>Shampoo Fuerza 650 Ml Head &amp; Shoulders</t>
        </is>
      </c>
      <c r="E83" t="inlineStr">
        <is>
          <t>HEAD &amp; SHOULDERS</t>
        </is>
      </c>
      <c r="F83" t="n">
        <v>19900</v>
      </c>
      <c r="G83" t="n">
        <v>1644628</v>
      </c>
      <c r="H83" t="b">
        <v>1</v>
      </c>
      <c r="I83" t="n">
        <v>650</v>
      </c>
      <c r="J83" t="n">
        <v>30.6154</v>
      </c>
      <c r="K83" t="inlineStr">
        <is>
          <t>&gt; Perfumería &gt; Cuidado Capilar &gt; Shampoo &gt;</t>
        </is>
      </c>
      <c r="L83" t="inlineStr">
        <is>
          <t>shampoo</t>
        </is>
      </c>
      <c r="M83" t="inlineStr">
        <is>
          <t>estandar</t>
        </is>
      </c>
      <c r="N83" t="inlineStr">
        <is>
          <t>general</t>
        </is>
      </c>
      <c r="O83" t="inlineStr">
        <is>
          <t>https://www.jumbo.com.ar/shampoo-fuerza-650-ml-head-shoulders-2/p</t>
        </is>
      </c>
      <c r="P83">
        <f>TRIM(CLEAN(PROPER(D83)))</f>
        <v/>
      </c>
      <c r="Q83">
        <f>PROPER(TRIM(SUBSTITUTE(SUBSTITUTE(SUBSTITUTE(SUBSTITUTE(E83,"TRESEMME","Tresemme"),"HEAD &amp; SHOULDERS","Head &amp; Shoulders"),"ELVIVE","Elvive"),"FRUCTIS","Fructis")))</f>
        <v/>
      </c>
      <c r="R83">
        <f>COUNTIF($D$2:$D$10000,D83)&gt;1</f>
        <v/>
      </c>
      <c r="S83">
        <f>IF(H83=TRUE,"Disponible","No disponible")</f>
        <v/>
      </c>
      <c r="T83">
        <f>IF(AND(ISNUMBER(I83),I83&gt;0),ROUND(F83/I83,2),"Sin volumen")</f>
        <v/>
      </c>
      <c r="U83">
        <f>IF(F83&lt;5000,"Bajo",IF(F83&lt;15000,"Medio","Alto"))</f>
        <v/>
      </c>
    </row>
    <row r="84">
      <c r="A84" s="2" t="inlineStr">
        <is>
          <t>Jumbo</t>
        </is>
      </c>
      <c r="B84" s="2" t="n">
        <v>393553</v>
      </c>
      <c r="C84" s="2" t="n">
        <v>391581</v>
      </c>
      <c r="D84" s="2" t="inlineStr">
        <is>
          <t>Shampoo Dove Ritual De Reparacion De Coco 400 Ml</t>
        </is>
      </c>
      <c r="E84" s="2" t="inlineStr">
        <is>
          <t>DOVE</t>
        </is>
      </c>
      <c r="F84" s="2" t="n">
        <v>9220</v>
      </c>
      <c r="G84" s="2" t="n">
        <v>761983</v>
      </c>
      <c r="H84" s="2" t="b">
        <v>1</v>
      </c>
      <c r="I84" s="2" t="n">
        <v>400</v>
      </c>
      <c r="J84" s="2" t="n">
        <v>23.05</v>
      </c>
      <c r="K84" s="2" t="inlineStr">
        <is>
          <t>&gt; Perfumería &gt; Cuidado Capilar &gt; Shampoo &gt;</t>
        </is>
      </c>
      <c r="L84" s="2" t="inlineStr">
        <is>
          <t>shampoo</t>
        </is>
      </c>
      <c r="M84" s="2" t="inlineStr">
        <is>
          <t>estandar</t>
        </is>
      </c>
      <c r="N84" s="2" t="inlineStr">
        <is>
          <t>general</t>
        </is>
      </c>
      <c r="O84" s="2" t="inlineStr">
        <is>
          <t>https://www.jumbo.com.ar/shampoo-dove-ritual-de-reparacion-de-coco-400-ml/p</t>
        </is>
      </c>
      <c r="P84" s="4">
        <f>TRIM(CLEAN(PROPER(D84)))</f>
        <v/>
      </c>
      <c r="Q84" s="4">
        <f>PROPER(TRIM(SUBSTITUTE(SUBSTITUTE(SUBSTITUTE(SUBSTITUTE(E84,"TRESEMME","Tresemme"),"HEAD &amp; SHOULDERS","Head &amp; Shoulders"),"ELVIVE","Elvive"),"FRUCTIS","Fructis")))</f>
        <v/>
      </c>
      <c r="R84" s="4">
        <f>COUNTIF($D$2:$D$10000,D84)&gt;1</f>
        <v/>
      </c>
      <c r="S84" s="4">
        <f>IF(H84=TRUE,"Disponible","No disponible")</f>
        <v/>
      </c>
      <c r="T84" s="4">
        <f>IF(AND(ISNUMBER(I84),I84&gt;0),ROUND(F84/I84,2),"Sin volumen")</f>
        <v/>
      </c>
      <c r="U84" s="4">
        <f>IF(F84&lt;5000,"Bajo",IF(F84&lt;15000,"Medio","Alto"))</f>
        <v/>
      </c>
    </row>
    <row r="85">
      <c r="A85" t="inlineStr">
        <is>
          <t>Jumbo</t>
        </is>
      </c>
      <c r="B85" t="n">
        <v>389288</v>
      </c>
      <c r="C85" t="n">
        <v>387394</v>
      </c>
      <c r="D85" t="inlineStr">
        <is>
          <t>Shampoo Sedal Hialurónico Y Vitamina A 340 Ml</t>
        </is>
      </c>
      <c r="E85" t="inlineStr">
        <is>
          <t>SEDAL</t>
        </is>
      </c>
      <c r="F85" t="n">
        <v>5451</v>
      </c>
      <c r="G85" t="n">
        <v>450496</v>
      </c>
      <c r="H85" t="b">
        <v>1</v>
      </c>
      <c r="I85" t="n">
        <v>340</v>
      </c>
      <c r="J85" t="n">
        <v>16.0324</v>
      </c>
      <c r="K85" t="inlineStr">
        <is>
          <t>&gt; Perfumería &gt; Cuidado Capilar &gt; Shampoo &gt;</t>
        </is>
      </c>
      <c r="L85" t="inlineStr">
        <is>
          <t>shampoo</t>
        </is>
      </c>
      <c r="M85" t="inlineStr">
        <is>
          <t>estandar</t>
        </is>
      </c>
      <c r="N85" t="inlineStr">
        <is>
          <t>general</t>
        </is>
      </c>
      <c r="O85" t="inlineStr">
        <is>
          <t>https://www.jumbo.com.ar/shampoo-sedal-hialuronico-y-vitamina-a-340-ml-2/p</t>
        </is>
      </c>
      <c r="P85">
        <f>TRIM(CLEAN(PROPER(D85)))</f>
        <v/>
      </c>
      <c r="Q85">
        <f>PROPER(TRIM(SUBSTITUTE(SUBSTITUTE(SUBSTITUTE(SUBSTITUTE(E85,"TRESEMME","Tresemme"),"HEAD &amp; SHOULDERS","Head &amp; Shoulders"),"ELVIVE","Elvive"),"FRUCTIS","Fructis")))</f>
        <v/>
      </c>
      <c r="R85">
        <f>COUNTIF($D$2:$D$10000,D85)&gt;1</f>
        <v/>
      </c>
      <c r="S85">
        <f>IF(H85=TRUE,"Disponible","No disponible")</f>
        <v/>
      </c>
      <c r="T85">
        <f>IF(AND(ISNUMBER(I85),I85&gt;0),ROUND(F85/I85,2),"Sin volumen")</f>
        <v/>
      </c>
      <c r="U85">
        <f>IF(F85&lt;5000,"Bajo",IF(F85&lt;15000,"Medio","Alto"))</f>
        <v/>
      </c>
    </row>
    <row r="86">
      <c r="A86" s="2" t="inlineStr">
        <is>
          <t>Jumbo</t>
        </is>
      </c>
      <c r="B86" s="2" t="n">
        <v>3070236</v>
      </c>
      <c r="C86" s="2" t="n">
        <v>3069839</v>
      </c>
      <c r="D86" s="2" t="inlineStr">
        <is>
          <t>Shampoo Detox Capilar X 500 Ml Tresemmé</t>
        </is>
      </c>
      <c r="E86" s="2" t="inlineStr">
        <is>
          <t>TRESEMMÉ</t>
        </is>
      </c>
      <c r="F86" s="2" t="n">
        <v>10400</v>
      </c>
      <c r="G86" s="2" t="n">
        <v>859504</v>
      </c>
      <c r="H86" s="2" t="b">
        <v>1</v>
      </c>
      <c r="I86" s="2" t="n">
        <v>500</v>
      </c>
      <c r="J86" s="2" t="n">
        <v>20.8</v>
      </c>
      <c r="K86" s="2" t="inlineStr">
        <is>
          <t>&gt; Perfumería &gt; Cuidado Capilar &gt; Shampoo &gt;</t>
        </is>
      </c>
      <c r="L86" s="2" t="inlineStr">
        <is>
          <t>shampoo</t>
        </is>
      </c>
      <c r="M86" s="2" t="inlineStr">
        <is>
          <t>estandar</t>
        </is>
      </c>
      <c r="N86" s="2" t="inlineStr">
        <is>
          <t>general</t>
        </is>
      </c>
      <c r="O86" s="2" t="inlineStr">
        <is>
          <t>https://www.jumbo.com.ar/shampoo-detox-capilar-x-500-ml-tresemme/p</t>
        </is>
      </c>
      <c r="P86" s="4">
        <f>TRIM(CLEAN(PROPER(D86)))</f>
        <v/>
      </c>
      <c r="Q86" s="4">
        <f>PROPER(TRIM(SUBSTITUTE(SUBSTITUTE(SUBSTITUTE(SUBSTITUTE(E86,"TRESEMME","Tresemme"),"HEAD &amp; SHOULDERS","Head &amp; Shoulders"),"ELVIVE","Elvive"),"FRUCTIS","Fructis")))</f>
        <v/>
      </c>
      <c r="R86" s="4">
        <f>COUNTIF($D$2:$D$10000,D86)&gt;1</f>
        <v/>
      </c>
      <c r="S86" s="4">
        <f>IF(H86=TRUE,"Disponible","No disponible")</f>
        <v/>
      </c>
      <c r="T86" s="4">
        <f>IF(AND(ISNUMBER(I86),I86&gt;0),ROUND(F86/I86,2),"Sin volumen")</f>
        <v/>
      </c>
      <c r="U86" s="4">
        <f>IF(F86&lt;5000,"Bajo",IF(F86&lt;15000,"Medio","Alto"))</f>
        <v/>
      </c>
    </row>
    <row r="87">
      <c r="A87" t="inlineStr">
        <is>
          <t>Jumbo</t>
        </is>
      </c>
      <c r="B87" t="n">
        <v>424000</v>
      </c>
      <c r="C87" t="n">
        <v>417077</v>
      </c>
      <c r="D87" t="inlineStr">
        <is>
          <t>Shampoo Antifall 650 Ml Head &amp; Shoulders</t>
        </is>
      </c>
      <c r="E87" t="inlineStr">
        <is>
          <t>HEAD &amp; SHOULDERS</t>
        </is>
      </c>
      <c r="F87" t="n">
        <v>19950</v>
      </c>
      <c r="G87" t="n">
        <v>1648760</v>
      </c>
      <c r="H87" t="b">
        <v>1</v>
      </c>
      <c r="I87" t="n">
        <v>650</v>
      </c>
      <c r="J87" t="n">
        <v>30.6923</v>
      </c>
      <c r="K87" t="inlineStr">
        <is>
          <t>&gt; Perfumería &gt; Cuidado Capilar &gt; Shampoo &gt;</t>
        </is>
      </c>
      <c r="L87" t="inlineStr">
        <is>
          <t>shampoo</t>
        </is>
      </c>
      <c r="M87" t="inlineStr">
        <is>
          <t>estandar</t>
        </is>
      </c>
      <c r="N87" t="inlineStr">
        <is>
          <t>general</t>
        </is>
      </c>
      <c r="O87" t="inlineStr">
        <is>
          <t>https://www.jumbo.com.ar/shampoo-antifall-650-ml-head-shoulders-2/p</t>
        </is>
      </c>
      <c r="P87">
        <f>TRIM(CLEAN(PROPER(D87)))</f>
        <v/>
      </c>
      <c r="Q87">
        <f>PROPER(TRIM(SUBSTITUTE(SUBSTITUTE(SUBSTITUTE(SUBSTITUTE(E87,"TRESEMME","Tresemme"),"HEAD &amp; SHOULDERS","Head &amp; Shoulders"),"ELVIVE","Elvive"),"FRUCTIS","Fructis")))</f>
        <v/>
      </c>
      <c r="R87">
        <f>COUNTIF($D$2:$D$10000,D87)&gt;1</f>
        <v/>
      </c>
      <c r="S87">
        <f>IF(H87=TRUE,"Disponible","No disponible")</f>
        <v/>
      </c>
      <c r="T87">
        <f>IF(AND(ISNUMBER(I87),I87&gt;0),ROUND(F87/I87,2),"Sin volumen")</f>
        <v/>
      </c>
      <c r="U87">
        <f>IF(F87&lt;5000,"Bajo",IF(F87&lt;15000,"Medio","Alto"))</f>
        <v/>
      </c>
    </row>
    <row r="88">
      <c r="A88" s="2" t="inlineStr">
        <is>
          <t>Jumbo</t>
        </is>
      </c>
      <c r="B88" s="2" t="n">
        <v>409862</v>
      </c>
      <c r="C88" s="2" t="n">
        <v>405948</v>
      </c>
      <c r="D88" s="2" t="inlineStr">
        <is>
          <t>Shampoo Hidratación Intensa Esencia 970 Ml Plusbelle</t>
        </is>
      </c>
      <c r="E88" s="2" t="inlineStr">
        <is>
          <t>PLUSBELLE</t>
        </is>
      </c>
      <c r="F88" s="2" t="n">
        <v>6012</v>
      </c>
      <c r="G88" s="2" t="n">
        <v>496860</v>
      </c>
      <c r="H88" s="2" t="b">
        <v>1</v>
      </c>
      <c r="I88" s="2" t="n">
        <v>970</v>
      </c>
      <c r="J88" s="2" t="n">
        <v>6.1979</v>
      </c>
      <c r="K88" s="2" t="inlineStr">
        <is>
          <t>&gt; Perfumería &gt; Cuidado Capilar &gt; Shampoo &gt;</t>
        </is>
      </c>
      <c r="L88" s="2" t="inlineStr">
        <is>
          <t>shampoo</t>
        </is>
      </c>
      <c r="M88" s="2" t="inlineStr">
        <is>
          <t>estandar</t>
        </is>
      </c>
      <c r="N88" s="2" t="inlineStr">
        <is>
          <t>seco_danado</t>
        </is>
      </c>
      <c r="O88" s="2" t="inlineStr">
        <is>
          <t>https://www.jumbo.com.ar/shampoo-esencia-970-ml-plusbelle/p</t>
        </is>
      </c>
      <c r="P88" s="4">
        <f>TRIM(CLEAN(PROPER(D88)))</f>
        <v/>
      </c>
      <c r="Q88" s="4">
        <f>PROPER(TRIM(SUBSTITUTE(SUBSTITUTE(SUBSTITUTE(SUBSTITUTE(E88,"TRESEMME","Tresemme"),"HEAD &amp; SHOULDERS","Head &amp; Shoulders"),"ELVIVE","Elvive"),"FRUCTIS","Fructis")))</f>
        <v/>
      </c>
      <c r="R88" s="4">
        <f>COUNTIF($D$2:$D$10000,D88)&gt;1</f>
        <v/>
      </c>
      <c r="S88" s="4">
        <f>IF(H88=TRUE,"Disponible","No disponible")</f>
        <v/>
      </c>
      <c r="T88" s="4">
        <f>IF(AND(ISNUMBER(I88),I88&gt;0),ROUND(F88/I88,2),"Sin volumen")</f>
        <v/>
      </c>
      <c r="U88" s="4">
        <f>IF(F88&lt;5000,"Bajo",IF(F88&lt;15000,"Medio","Alto"))</f>
        <v/>
      </c>
    </row>
    <row r="89">
      <c r="A89" t="inlineStr">
        <is>
          <t>Jumbo</t>
        </is>
      </c>
      <c r="B89" t="n">
        <v>3067725</v>
      </c>
      <c r="C89" t="n">
        <v>3067585</v>
      </c>
      <c r="D89" t="inlineStr">
        <is>
          <t>Shampoo Anticaída Biotinamina B3 300 Ml Pantene</t>
        </is>
      </c>
      <c r="E89" t="inlineStr">
        <is>
          <t>PANTENE</t>
        </is>
      </c>
      <c r="F89" t="n">
        <v>10250</v>
      </c>
      <c r="G89" t="n">
        <v>847107</v>
      </c>
      <c r="H89" t="b">
        <v>1</v>
      </c>
      <c r="I89" t="n">
        <v>300</v>
      </c>
      <c r="J89" t="n">
        <v>34.1667</v>
      </c>
      <c r="K89" t="inlineStr">
        <is>
          <t>&gt; Perfumería &gt; Cuidado Capilar &gt; Shampoo &gt;</t>
        </is>
      </c>
      <c r="L89" t="inlineStr">
        <is>
          <t>shampoo</t>
        </is>
      </c>
      <c r="M89" t="inlineStr">
        <is>
          <t>estandar</t>
        </is>
      </c>
      <c r="N89" t="inlineStr">
        <is>
          <t>general</t>
        </is>
      </c>
      <c r="O89" t="inlineStr">
        <is>
          <t>https://www.jumbo.com.ar/shampoo-anti-caida-300-ml-pantene/p</t>
        </is>
      </c>
      <c r="P89">
        <f>TRIM(CLEAN(PROPER(D89)))</f>
        <v/>
      </c>
      <c r="Q89">
        <f>PROPER(TRIM(SUBSTITUTE(SUBSTITUTE(SUBSTITUTE(SUBSTITUTE(E89,"TRESEMME","Tresemme"),"HEAD &amp; SHOULDERS","Head &amp; Shoulders"),"ELVIVE","Elvive"),"FRUCTIS","Fructis")))</f>
        <v/>
      </c>
      <c r="R89">
        <f>COUNTIF($D$2:$D$10000,D89)&gt;1</f>
        <v/>
      </c>
      <c r="S89">
        <f>IF(H89=TRUE,"Disponible","No disponible")</f>
        <v/>
      </c>
      <c r="T89">
        <f>IF(AND(ISNUMBER(I89),I89&gt;0),ROUND(F89/I89,2),"Sin volumen")</f>
        <v/>
      </c>
      <c r="U89">
        <f>IF(F89&lt;5000,"Bajo",IF(F89&lt;15000,"Medio","Alto"))</f>
        <v/>
      </c>
    </row>
    <row r="90">
      <c r="A90" s="2" t="inlineStr">
        <is>
          <t>Jumbo</t>
        </is>
      </c>
      <c r="B90" s="2" t="n">
        <v>316338</v>
      </c>
      <c r="C90" s="2" t="n">
        <v>315572</v>
      </c>
      <c r="D90" s="2" t="inlineStr">
        <is>
          <t>Shampoo Pantene Pro-v Bambú 200 Ml</t>
        </is>
      </c>
      <c r="E90" s="2" t="inlineStr">
        <is>
          <t>PANTENE</t>
        </is>
      </c>
      <c r="F90" s="2" t="n">
        <v>6750</v>
      </c>
      <c r="G90" s="2" t="n">
        <v>557851</v>
      </c>
      <c r="H90" s="2" t="b">
        <v>1</v>
      </c>
      <c r="I90" s="2" t="n">
        <v>200</v>
      </c>
      <c r="J90" s="2" t="n">
        <v>33.75</v>
      </c>
      <c r="K90" s="2" t="inlineStr">
        <is>
          <t>&gt; Perfumería &gt; Cuidado Capilar &gt; Shampoo &gt;</t>
        </is>
      </c>
      <c r="L90" s="2" t="inlineStr">
        <is>
          <t>shampoo</t>
        </is>
      </c>
      <c r="M90" s="2" t="inlineStr">
        <is>
          <t>profesional</t>
        </is>
      </c>
      <c r="N90" s="2" t="inlineStr">
        <is>
          <t>general</t>
        </is>
      </c>
      <c r="O90" s="2" t="inlineStr">
        <is>
          <t>https://www.jumbo.com.ar/shampoo-pantene-pro-v-bambu-200-ml/p</t>
        </is>
      </c>
      <c r="P90" s="4">
        <f>TRIM(CLEAN(PROPER(D90)))</f>
        <v/>
      </c>
      <c r="Q90" s="4">
        <f>PROPER(TRIM(SUBSTITUTE(SUBSTITUTE(SUBSTITUTE(SUBSTITUTE(E90,"TRESEMME","Tresemme"),"HEAD &amp; SHOULDERS","Head &amp; Shoulders"),"ELVIVE","Elvive"),"FRUCTIS","Fructis")))</f>
        <v/>
      </c>
      <c r="R90" s="4">
        <f>COUNTIF($D$2:$D$10000,D90)&gt;1</f>
        <v/>
      </c>
      <c r="S90" s="4">
        <f>IF(H90=TRUE,"Disponible","No disponible")</f>
        <v/>
      </c>
      <c r="T90" s="4">
        <f>IF(AND(ISNUMBER(I90),I90&gt;0),ROUND(F90/I90,2),"Sin volumen")</f>
        <v/>
      </c>
      <c r="U90" s="4">
        <f>IF(F90&lt;5000,"Bajo",IF(F90&lt;15000,"Medio","Alto"))</f>
        <v/>
      </c>
    </row>
    <row r="91">
      <c r="A91" t="inlineStr">
        <is>
          <t>Jumbo</t>
        </is>
      </c>
      <c r="B91" t="n">
        <v>3073302</v>
      </c>
      <c r="C91" t="n">
        <v>3072807</v>
      </c>
      <c r="D91" t="inlineStr">
        <is>
          <t>Shampoo Plasma Vegetal Regenerador 350 Ml Bagovit</t>
        </is>
      </c>
      <c r="E91" t="inlineStr">
        <is>
          <t>BAGOVIT</t>
        </is>
      </c>
      <c r="F91" t="n">
        <v>9800</v>
      </c>
      <c r="G91" t="n">
        <v>809917</v>
      </c>
      <c r="H91" t="b">
        <v>1</v>
      </c>
      <c r="I91" t="n">
        <v>350</v>
      </c>
      <c r="J91" t="n">
        <v>28</v>
      </c>
      <c r="K91" t="inlineStr">
        <is>
          <t>&gt; Perfumería &gt; Cuidado Capilar &gt; Shampoo &gt;</t>
        </is>
      </c>
      <c r="L91" t="inlineStr">
        <is>
          <t>shampoo</t>
        </is>
      </c>
      <c r="M91" t="inlineStr">
        <is>
          <t>estandar</t>
        </is>
      </c>
      <c r="N91" t="inlineStr">
        <is>
          <t>general</t>
        </is>
      </c>
      <c r="O91" t="inlineStr">
        <is>
          <t>https://www.jumbo.com.ar/shampoo-plasma-vegetal-regenerador-x-350-ml-bagovit/p</t>
        </is>
      </c>
      <c r="P91">
        <f>TRIM(CLEAN(PROPER(D91)))</f>
        <v/>
      </c>
      <c r="Q91">
        <f>PROPER(TRIM(SUBSTITUTE(SUBSTITUTE(SUBSTITUTE(SUBSTITUTE(E91,"TRESEMME","Tresemme"),"HEAD &amp; SHOULDERS","Head &amp; Shoulders"),"ELVIVE","Elvive"),"FRUCTIS","Fructis")))</f>
        <v/>
      </c>
      <c r="R91">
        <f>COUNTIF($D$2:$D$10000,D91)&gt;1</f>
        <v/>
      </c>
      <c r="S91">
        <f>IF(H91=TRUE,"Disponible","No disponible")</f>
        <v/>
      </c>
      <c r="T91">
        <f>IF(AND(ISNUMBER(I91),I91&gt;0),ROUND(F91/I91,2),"Sin volumen")</f>
        <v/>
      </c>
      <c r="U91">
        <f>IF(F91&lt;5000,"Bajo",IF(F91&lt;15000,"Medio","Alto"))</f>
        <v/>
      </c>
    </row>
    <row r="92">
      <c r="A92" s="2" t="inlineStr">
        <is>
          <t>Jumbo</t>
        </is>
      </c>
      <c r="B92" s="2" t="n">
        <v>3071403</v>
      </c>
      <c r="C92" s="2" t="n">
        <v>3070957</v>
      </c>
      <c r="D92" s="2" t="inlineStr">
        <is>
          <t>Shampoo Control Caspa 415 Ml Tio Nacho</t>
        </is>
      </c>
      <c r="E92" s="2" t="inlineStr">
        <is>
          <t>Tio Nacho</t>
        </is>
      </c>
      <c r="F92" s="2" t="n">
        <v>11700</v>
      </c>
      <c r="G92" s="2" t="n">
        <v>966942</v>
      </c>
      <c r="H92" s="2" t="b">
        <v>1</v>
      </c>
      <c r="I92" s="2" t="n">
        <v>415</v>
      </c>
      <c r="J92" s="2" t="n">
        <v>28.1928</v>
      </c>
      <c r="K92" s="2" t="inlineStr">
        <is>
          <t>&gt; Perfumería &gt; Cuidado Capilar &gt; Shampoo &gt;</t>
        </is>
      </c>
      <c r="L92" s="2" t="inlineStr">
        <is>
          <t>shampoo</t>
        </is>
      </c>
      <c r="M92" s="2" t="inlineStr">
        <is>
          <t>estandar</t>
        </is>
      </c>
      <c r="N92" s="2" t="inlineStr">
        <is>
          <t>anticaspa</t>
        </is>
      </c>
      <c r="O92" s="2" t="inlineStr">
        <is>
          <t>https://www.jumbo.com.ar/shampoo-control-caspa-x-415-ml-tio-nacho-2/p</t>
        </is>
      </c>
      <c r="P92" s="4">
        <f>TRIM(CLEAN(PROPER(D92)))</f>
        <v/>
      </c>
      <c r="Q92" s="4">
        <f>PROPER(TRIM(SUBSTITUTE(SUBSTITUTE(SUBSTITUTE(SUBSTITUTE(E92,"TRESEMME","Tresemme"),"HEAD &amp; SHOULDERS","Head &amp; Shoulders"),"ELVIVE","Elvive"),"FRUCTIS","Fructis")))</f>
        <v/>
      </c>
      <c r="R92" s="4">
        <f>COUNTIF($D$2:$D$10000,D92)&gt;1</f>
        <v/>
      </c>
      <c r="S92" s="4">
        <f>IF(H92=TRUE,"Disponible","No disponible")</f>
        <v/>
      </c>
      <c r="T92" s="4">
        <f>IF(AND(ISNUMBER(I92),I92&gt;0),ROUND(F92/I92,2),"Sin volumen")</f>
        <v/>
      </c>
      <c r="U92" s="4">
        <f>IF(F92&lt;5000,"Bajo",IF(F92&lt;15000,"Medio","Alto"))</f>
        <v/>
      </c>
    </row>
    <row r="93">
      <c r="A93" t="inlineStr">
        <is>
          <t>Jumbo</t>
        </is>
      </c>
      <c r="B93" t="n">
        <v>3067730</v>
      </c>
      <c r="C93" t="n">
        <v>3067590</v>
      </c>
      <c r="D93" t="inlineStr">
        <is>
          <t>Shampoo Nuhoney 650 Ml Head &amp; Shoulders</t>
        </is>
      </c>
      <c r="E93" t="inlineStr">
        <is>
          <t>HEAD &amp; SHOULDERS</t>
        </is>
      </c>
      <c r="F93" t="n">
        <v>19400</v>
      </c>
      <c r="G93" t="n">
        <v>1603306</v>
      </c>
      <c r="H93" t="b">
        <v>1</v>
      </c>
      <c r="I93" t="n">
        <v>650</v>
      </c>
      <c r="J93" t="n">
        <v>29.8462</v>
      </c>
      <c r="K93" t="inlineStr">
        <is>
          <t>&gt; Perfumería &gt; Cuidado Capilar &gt; Shampoo &gt;</t>
        </is>
      </c>
      <c r="L93" t="inlineStr">
        <is>
          <t>shampoo</t>
        </is>
      </c>
      <c r="M93" t="inlineStr">
        <is>
          <t>estandar</t>
        </is>
      </c>
      <c r="N93" t="inlineStr">
        <is>
          <t>general</t>
        </is>
      </c>
      <c r="O93" t="inlineStr">
        <is>
          <t>https://www.jumbo.com.ar/shampoo-nuhoney-650-ml-head-shoulders/p</t>
        </is>
      </c>
      <c r="P93">
        <f>TRIM(CLEAN(PROPER(D93)))</f>
        <v/>
      </c>
      <c r="Q93">
        <f>PROPER(TRIM(SUBSTITUTE(SUBSTITUTE(SUBSTITUTE(SUBSTITUTE(E93,"TRESEMME","Tresemme"),"HEAD &amp; SHOULDERS","Head &amp; Shoulders"),"ELVIVE","Elvive"),"FRUCTIS","Fructis")))</f>
        <v/>
      </c>
      <c r="R93">
        <f>COUNTIF($D$2:$D$10000,D93)&gt;1</f>
        <v/>
      </c>
      <c r="S93">
        <f>IF(H93=TRUE,"Disponible","No disponible")</f>
        <v/>
      </c>
      <c r="T93">
        <f>IF(AND(ISNUMBER(I93),I93&gt;0),ROUND(F93/I93,2),"Sin volumen")</f>
        <v/>
      </c>
      <c r="U93">
        <f>IF(F93&lt;5000,"Bajo",IF(F93&lt;15000,"Medio","Alto"))</f>
        <v/>
      </c>
    </row>
    <row r="94">
      <c r="A94" s="2" t="inlineStr">
        <is>
          <t>Jumbo</t>
        </is>
      </c>
      <c r="B94" s="2" t="n">
        <v>414718</v>
      </c>
      <c r="C94" s="2" t="n">
        <v>410419</v>
      </c>
      <c r="D94" s="2" t="inlineStr">
        <is>
          <t>Shampoo Baby Hidratación Intensa 400 Ml Johnson's</t>
        </is>
      </c>
      <c r="E94" s="2" t="inlineStr">
        <is>
          <t>JOHNSON BABY</t>
        </is>
      </c>
      <c r="F94" s="2" t="n">
        <v>10500</v>
      </c>
      <c r="G94" s="2" t="n">
        <v>867769</v>
      </c>
      <c r="H94" s="2" t="b">
        <v>1</v>
      </c>
      <c r="I94" s="2" t="n">
        <v>400</v>
      </c>
      <c r="J94" s="2" t="n">
        <v>26.25</v>
      </c>
      <c r="K94" s="2" t="inlineStr">
        <is>
          <t>&gt; Mundo Bebe &gt; Higiene para el Bebe &gt; Higiene del Bebé &gt;</t>
        </is>
      </c>
      <c r="L94" s="2" t="inlineStr">
        <is>
          <t>shampoo</t>
        </is>
      </c>
      <c r="M94" s="2" t="inlineStr">
        <is>
          <t>estandar</t>
        </is>
      </c>
      <c r="N94" s="2" t="inlineStr">
        <is>
          <t>seco_danado</t>
        </is>
      </c>
      <c r="O94" s="2" t="inlineStr">
        <is>
          <t>https://www.jumbo.com.ar/shampoo-baby-hidratacion-intensa-400-ml-johnson-s/p</t>
        </is>
      </c>
      <c r="P94" s="4">
        <f>TRIM(CLEAN(PROPER(D94)))</f>
        <v/>
      </c>
      <c r="Q94" s="4">
        <f>PROPER(TRIM(SUBSTITUTE(SUBSTITUTE(SUBSTITUTE(SUBSTITUTE(E94,"TRESEMME","Tresemme"),"HEAD &amp; SHOULDERS","Head &amp; Shoulders"),"ELVIVE","Elvive"),"FRUCTIS","Fructis")))</f>
        <v/>
      </c>
      <c r="R94" s="4">
        <f>COUNTIF($D$2:$D$10000,D94)&gt;1</f>
        <v/>
      </c>
      <c r="S94" s="4">
        <f>IF(H94=TRUE,"Disponible","No disponible")</f>
        <v/>
      </c>
      <c r="T94" s="4">
        <f>IF(AND(ISNUMBER(I94),I94&gt;0),ROUND(F94/I94,2),"Sin volumen")</f>
        <v/>
      </c>
      <c r="U94" s="4">
        <f>IF(F94&lt;5000,"Bajo",IF(F94&lt;15000,"Medio","Alto"))</f>
        <v/>
      </c>
    </row>
    <row r="95">
      <c r="A95" t="inlineStr">
        <is>
          <t>Jumbo</t>
        </is>
      </c>
      <c r="B95" t="n">
        <v>394837</v>
      </c>
      <c r="C95" t="n">
        <v>392836</v>
      </c>
      <c r="D95" t="inlineStr">
        <is>
          <t>Shampoo Hidrata y Fortalece 200 Ml Pantene</t>
        </is>
      </c>
      <c r="E95" t="inlineStr">
        <is>
          <t>PANTENE</t>
        </is>
      </c>
      <c r="F95" t="n">
        <v>6750</v>
      </c>
      <c r="G95" t="n">
        <v>557851</v>
      </c>
      <c r="H95" t="b">
        <v>1</v>
      </c>
      <c r="I95" t="n">
        <v>200</v>
      </c>
      <c r="J95" t="n">
        <v>33.75</v>
      </c>
      <c r="K95" t="inlineStr">
        <is>
          <t>&gt; Perfumería &gt; Cuidado Capilar &gt; Shampoo &gt;</t>
        </is>
      </c>
      <c r="L95" t="inlineStr">
        <is>
          <t>shampoo</t>
        </is>
      </c>
      <c r="M95" t="inlineStr">
        <is>
          <t>estandar</t>
        </is>
      </c>
      <c r="N95" t="inlineStr">
        <is>
          <t>seco_danado</t>
        </is>
      </c>
      <c r="O95" t="inlineStr">
        <is>
          <t>https://www.jumbo.com.ar/shampoo-pro-v-hidrata-y-fortalece-200-ml-pantene-2/p</t>
        </is>
      </c>
      <c r="P95">
        <f>TRIM(CLEAN(PROPER(D95)))</f>
        <v/>
      </c>
      <c r="Q95">
        <f>PROPER(TRIM(SUBSTITUTE(SUBSTITUTE(SUBSTITUTE(SUBSTITUTE(E95,"TRESEMME","Tresemme"),"HEAD &amp; SHOULDERS","Head &amp; Shoulders"),"ELVIVE","Elvive"),"FRUCTIS","Fructis")))</f>
        <v/>
      </c>
      <c r="R95">
        <f>COUNTIF($D$2:$D$10000,D95)&gt;1</f>
        <v/>
      </c>
      <c r="S95">
        <f>IF(H95=TRUE,"Disponible","No disponible")</f>
        <v/>
      </c>
      <c r="T95">
        <f>IF(AND(ISNUMBER(I95),I95&gt;0),ROUND(F95/I95,2),"Sin volumen")</f>
        <v/>
      </c>
      <c r="U95">
        <f>IF(F95&lt;5000,"Bajo",IF(F95&lt;15000,"Medio","Alto"))</f>
        <v/>
      </c>
    </row>
    <row r="96">
      <c r="A96" s="2" t="inlineStr">
        <is>
          <t>Jumbo</t>
        </is>
      </c>
      <c r="B96" s="2" t="n">
        <v>413365</v>
      </c>
      <c r="C96" s="2" t="n">
        <v>409242</v>
      </c>
      <c r="D96" s="2" t="inlineStr">
        <is>
          <t>Shampoo Liso Efecto Botox 250 Ml Tresemmé</t>
        </is>
      </c>
      <c r="E96" s="2" t="inlineStr">
        <is>
          <t>TRESEMMÉ</t>
        </is>
      </c>
      <c r="F96" s="2" t="n">
        <v>6400</v>
      </c>
      <c r="G96" s="2" t="n">
        <v>528926</v>
      </c>
      <c r="H96" s="2" t="b">
        <v>1</v>
      </c>
      <c r="I96" s="2" t="n">
        <v>250</v>
      </c>
      <c r="J96" s="2" t="n">
        <v>25.6</v>
      </c>
      <c r="K96" s="2" t="inlineStr">
        <is>
          <t>&gt; Perfumería &gt; Cuidado Capilar &gt; Shampoo &gt;</t>
        </is>
      </c>
      <c r="L96" s="2" t="inlineStr">
        <is>
          <t>shampoo</t>
        </is>
      </c>
      <c r="M96" s="2" t="inlineStr">
        <is>
          <t>estandar</t>
        </is>
      </c>
      <c r="N96" s="2" t="inlineStr">
        <is>
          <t>general</t>
        </is>
      </c>
      <c r="O96" s="2" t="inlineStr">
        <is>
          <t>https://www.jumbo.com.ar/shampoo-tresemme-liso-efecto-botox-250-ml/p</t>
        </is>
      </c>
      <c r="P96" s="4">
        <f>TRIM(CLEAN(PROPER(D96)))</f>
        <v/>
      </c>
      <c r="Q96" s="4">
        <f>PROPER(TRIM(SUBSTITUTE(SUBSTITUTE(SUBSTITUTE(SUBSTITUTE(E96,"TRESEMME","Tresemme"),"HEAD &amp; SHOULDERS","Head &amp; Shoulders"),"ELVIVE","Elvive"),"FRUCTIS","Fructis")))</f>
        <v/>
      </c>
      <c r="R96" s="4">
        <f>COUNTIF($D$2:$D$10000,D96)&gt;1</f>
        <v/>
      </c>
      <c r="S96" s="4">
        <f>IF(H96=TRUE,"Disponible","No disponible")</f>
        <v/>
      </c>
      <c r="T96" s="4">
        <f>IF(AND(ISNUMBER(I96),I96&gt;0),ROUND(F96/I96,2),"Sin volumen")</f>
        <v/>
      </c>
      <c r="U96" s="4">
        <f>IF(F96&lt;5000,"Bajo",IF(F96&lt;15000,"Medio","Alto"))</f>
        <v/>
      </c>
    </row>
    <row r="97">
      <c r="A97" t="inlineStr">
        <is>
          <t>Jumbo</t>
        </is>
      </c>
      <c r="B97" t="n">
        <v>407563</v>
      </c>
      <c r="C97" t="n">
        <v>403752</v>
      </c>
      <c r="D97" t="inlineStr">
        <is>
          <t>Shampoo Reparación Total 5 Keratin 750 Ml Elvive</t>
        </is>
      </c>
      <c r="E97" t="inlineStr">
        <is>
          <t>ELVIVE</t>
        </is>
      </c>
      <c r="F97" t="n">
        <v>19400</v>
      </c>
      <c r="G97" t="n">
        <v>1603306</v>
      </c>
      <c r="H97" t="b">
        <v>1</v>
      </c>
      <c r="I97" t="n">
        <v>750</v>
      </c>
      <c r="J97" t="n">
        <v>25.8667</v>
      </c>
      <c r="K97" t="inlineStr">
        <is>
          <t>&gt; Perfumería &gt; Cuidado Capilar &gt; Shampoo &gt;</t>
        </is>
      </c>
      <c r="L97" t="inlineStr">
        <is>
          <t>shampoo</t>
        </is>
      </c>
      <c r="M97" t="inlineStr">
        <is>
          <t>profesional</t>
        </is>
      </c>
      <c r="N97" t="inlineStr">
        <is>
          <t>general</t>
        </is>
      </c>
      <c r="O97" t="inlineStr">
        <is>
          <t>https://www.jumbo.com.ar/shampoo-elvive-reparacion-total-5-keratin-750-ml/p</t>
        </is>
      </c>
      <c r="P97">
        <f>TRIM(CLEAN(PROPER(D97)))</f>
        <v/>
      </c>
      <c r="Q97">
        <f>PROPER(TRIM(SUBSTITUTE(SUBSTITUTE(SUBSTITUTE(SUBSTITUTE(E97,"TRESEMME","Tresemme"),"HEAD &amp; SHOULDERS","Head &amp; Shoulders"),"ELVIVE","Elvive"),"FRUCTIS","Fructis")))</f>
        <v/>
      </c>
      <c r="R97">
        <f>COUNTIF($D$2:$D$10000,D97)&gt;1</f>
        <v/>
      </c>
      <c r="S97">
        <f>IF(H97=TRUE,"Disponible","No disponible")</f>
        <v/>
      </c>
      <c r="T97">
        <f>IF(AND(ISNUMBER(I97),I97&gt;0),ROUND(F97/I97,2),"Sin volumen")</f>
        <v/>
      </c>
      <c r="U97">
        <f>IF(F97&lt;5000,"Bajo",IF(F97&lt;15000,"Medio","Alto"))</f>
        <v/>
      </c>
    </row>
    <row r="98">
      <c r="A98" s="2" t="inlineStr">
        <is>
          <t>Jumbo</t>
        </is>
      </c>
      <c r="B98" s="2" t="n">
        <v>407562</v>
      </c>
      <c r="C98" s="2" t="n">
        <v>403751</v>
      </c>
      <c r="D98" s="2" t="inlineStr">
        <is>
          <t>Shampoo Reparación Total 5 Keratin 400 Ml Elvive</t>
        </is>
      </c>
      <c r="E98" s="2" t="inlineStr">
        <is>
          <t>ELVIVE</t>
        </is>
      </c>
      <c r="F98" s="2" t="n">
        <v>11123</v>
      </c>
      <c r="G98" s="2" t="n">
        <v>919256</v>
      </c>
      <c r="H98" s="2" t="b">
        <v>1</v>
      </c>
      <c r="I98" s="2" t="n">
        <v>400</v>
      </c>
      <c r="J98" s="2" t="n">
        <v>27.8075</v>
      </c>
      <c r="K98" s="2" t="inlineStr">
        <is>
          <t>&gt; Perfumería &gt; Cuidado Capilar &gt; Shampoo &gt;</t>
        </is>
      </c>
      <c r="L98" s="2" t="inlineStr">
        <is>
          <t>shampoo</t>
        </is>
      </c>
      <c r="M98" s="2" t="inlineStr">
        <is>
          <t>profesional</t>
        </is>
      </c>
      <c r="N98" s="2" t="inlineStr">
        <is>
          <t>general</t>
        </is>
      </c>
      <c r="O98" s="2" t="inlineStr">
        <is>
          <t>https://www.jumbo.com.ar/shampoo-rt5-keratin-400-ml-elvive/p</t>
        </is>
      </c>
      <c r="P98" s="4">
        <f>TRIM(CLEAN(PROPER(D98)))</f>
        <v/>
      </c>
      <c r="Q98" s="4">
        <f>PROPER(TRIM(SUBSTITUTE(SUBSTITUTE(SUBSTITUTE(SUBSTITUTE(E98,"TRESEMME","Tresemme"),"HEAD &amp; SHOULDERS","Head &amp; Shoulders"),"ELVIVE","Elvive"),"FRUCTIS","Fructis")))</f>
        <v/>
      </c>
      <c r="R98" s="4">
        <f>COUNTIF($D$2:$D$10000,D98)&gt;1</f>
        <v/>
      </c>
      <c r="S98" s="4">
        <f>IF(H98=TRUE,"Disponible","No disponible")</f>
        <v/>
      </c>
      <c r="T98" s="4">
        <f>IF(AND(ISNUMBER(I98),I98&gt;0),ROUND(F98/I98,2),"Sin volumen")</f>
        <v/>
      </c>
      <c r="U98" s="4">
        <f>IF(F98&lt;5000,"Bajo",IF(F98&lt;15000,"Medio","Alto"))</f>
        <v/>
      </c>
    </row>
    <row r="99">
      <c r="A99" t="inlineStr">
        <is>
          <t>Jumbo</t>
        </is>
      </c>
      <c r="B99" t="n">
        <v>3070160</v>
      </c>
      <c r="C99" t="n">
        <v>3069767</v>
      </c>
      <c r="D99" t="inlineStr">
        <is>
          <t>Shampoo Keratina Repara y Protege 510 Ml Pantene</t>
        </is>
      </c>
      <c r="E99" t="inlineStr">
        <is>
          <t>PANTENE</t>
        </is>
      </c>
      <c r="F99" t="n">
        <v>16750</v>
      </c>
      <c r="G99" t="n">
        <v>1384298</v>
      </c>
      <c r="H99" t="b">
        <v>1</v>
      </c>
      <c r="I99" t="n">
        <v>510</v>
      </c>
      <c r="J99" t="n">
        <v>32.8431</v>
      </c>
      <c r="K99" t="inlineStr">
        <is>
          <t>&gt; Perfumería &gt; Cuidado Capilar &gt; Shampoo &gt;</t>
        </is>
      </c>
      <c r="L99" t="inlineStr">
        <is>
          <t>shampoo</t>
        </is>
      </c>
      <c r="M99" t="inlineStr">
        <is>
          <t>estandar</t>
        </is>
      </c>
      <c r="N99" t="inlineStr">
        <is>
          <t>tratado</t>
        </is>
      </c>
      <c r="O99" t="inlineStr">
        <is>
          <t>https://www.jumbo.com.ar/shampoo-keratina-x-510-ml-pantene-2/p</t>
        </is>
      </c>
      <c r="P99">
        <f>TRIM(CLEAN(PROPER(D99)))</f>
        <v/>
      </c>
      <c r="Q99">
        <f>PROPER(TRIM(SUBSTITUTE(SUBSTITUTE(SUBSTITUTE(SUBSTITUTE(E99,"TRESEMME","Tresemme"),"HEAD &amp; SHOULDERS","Head &amp; Shoulders"),"ELVIVE","Elvive"),"FRUCTIS","Fructis")))</f>
        <v/>
      </c>
      <c r="R99">
        <f>COUNTIF($D$2:$D$10000,D99)&gt;1</f>
        <v/>
      </c>
      <c r="S99">
        <f>IF(H99=TRUE,"Disponible","No disponible")</f>
        <v/>
      </c>
      <c r="T99">
        <f>IF(AND(ISNUMBER(I99),I99&gt;0),ROUND(F99/I99,2),"Sin volumen")</f>
        <v/>
      </c>
      <c r="U99">
        <f>IF(F99&lt;5000,"Bajo",IF(F99&lt;15000,"Medio","Alto"))</f>
        <v/>
      </c>
    </row>
    <row r="100">
      <c r="A100" s="2" t="inlineStr">
        <is>
          <t>Jumbo</t>
        </is>
      </c>
      <c r="B100" s="2" t="n">
        <v>1360447</v>
      </c>
      <c r="C100" s="2" t="n">
        <v>1360030</v>
      </c>
      <c r="D100" s="2" t="inlineStr">
        <is>
          <t>Shampoo Glycolic Gloss Brillo 72H 750 Ml Elvive</t>
        </is>
      </c>
      <c r="E100" s="2" t="inlineStr">
        <is>
          <t>ELVIVE</t>
        </is>
      </c>
      <c r="F100" s="2" t="n">
        <v>21350</v>
      </c>
      <c r="G100" s="2" t="n">
        <v>1764463</v>
      </c>
      <c r="H100" s="2" t="b">
        <v>1</v>
      </c>
      <c r="I100" s="2" t="n">
        <v>750</v>
      </c>
      <c r="J100" s="2" t="n">
        <v>28.4667</v>
      </c>
      <c r="K100" s="2" t="inlineStr">
        <is>
          <t>&gt; Perfumería &gt; Cuidado Capilar &gt; Shampoo &gt;</t>
        </is>
      </c>
      <c r="L100" s="2" t="inlineStr">
        <is>
          <t>shampoo</t>
        </is>
      </c>
      <c r="M100" s="2" t="inlineStr">
        <is>
          <t>profesional</t>
        </is>
      </c>
      <c r="N100" s="2" t="inlineStr">
        <is>
          <t>general</t>
        </is>
      </c>
      <c r="O100" s="2" t="inlineStr">
        <is>
          <t>https://www.jumbo.com.ar/shampoo-elvive-glyco-gloss-x-750-ml/p</t>
        </is>
      </c>
      <c r="P100" s="4">
        <f>TRIM(CLEAN(PROPER(D100)))</f>
        <v/>
      </c>
      <c r="Q100" s="4">
        <f>PROPER(TRIM(SUBSTITUTE(SUBSTITUTE(SUBSTITUTE(SUBSTITUTE(E100,"TRESEMME","Tresemme"),"HEAD &amp; SHOULDERS","Head &amp; Shoulders"),"ELVIVE","Elvive"),"FRUCTIS","Fructis")))</f>
        <v/>
      </c>
      <c r="R100" s="4">
        <f>COUNTIF($D$2:$D$10000,D100)&gt;1</f>
        <v/>
      </c>
      <c r="S100" s="4">
        <f>IF(H100=TRUE,"Disponible","No disponible")</f>
        <v/>
      </c>
      <c r="T100" s="4">
        <f>IF(AND(ISNUMBER(I100),I100&gt;0),ROUND(F100/I100,2),"Sin volumen")</f>
        <v/>
      </c>
      <c r="U100" s="4">
        <f>IF(F100&lt;5000,"Bajo",IF(F100&lt;15000,"Medio","Alto"))</f>
        <v/>
      </c>
    </row>
    <row r="101">
      <c r="A101" t="inlineStr">
        <is>
          <t>Jumbo</t>
        </is>
      </c>
      <c r="B101" t="n">
        <v>3071026</v>
      </c>
      <c r="C101" t="n">
        <v>3070599</v>
      </c>
      <c r="D101" t="inlineStr">
        <is>
          <t>Shampoo Dream Liso Anti Frizz 200 Ml Elvive</t>
        </is>
      </c>
      <c r="E101" t="inlineStr">
        <is>
          <t>ELVIVE</t>
        </is>
      </c>
      <c r="F101" t="n">
        <v>8050</v>
      </c>
      <c r="G101" t="n">
        <v>665289</v>
      </c>
      <c r="H101" t="b">
        <v>1</v>
      </c>
      <c r="I101" t="n">
        <v>200</v>
      </c>
      <c r="J101" t="n">
        <v>40.25</v>
      </c>
      <c r="K101" t="inlineStr">
        <is>
          <t>&gt; Perfumería &gt; Cuidado Capilar &gt; Shampoo &gt;</t>
        </is>
      </c>
      <c r="L101" t="inlineStr">
        <is>
          <t>shampoo</t>
        </is>
      </c>
      <c r="M101" t="inlineStr">
        <is>
          <t>profesional</t>
        </is>
      </c>
      <c r="N101" t="inlineStr">
        <is>
          <t>general</t>
        </is>
      </c>
      <c r="O101" t="inlineStr">
        <is>
          <t>https://www.jumbo.com.ar/shampoo-dream-liso-x-200-ml-elvive/p</t>
        </is>
      </c>
      <c r="P101">
        <f>TRIM(CLEAN(PROPER(D101)))</f>
        <v/>
      </c>
      <c r="Q101">
        <f>PROPER(TRIM(SUBSTITUTE(SUBSTITUTE(SUBSTITUTE(SUBSTITUTE(E101,"TRESEMME","Tresemme"),"HEAD &amp; SHOULDERS","Head &amp; Shoulders"),"ELVIVE","Elvive"),"FRUCTIS","Fructis")))</f>
        <v/>
      </c>
      <c r="R101">
        <f>COUNTIF($D$2:$D$10000,D101)&gt;1</f>
        <v/>
      </c>
      <c r="S101">
        <f>IF(H101=TRUE,"Disponible","No disponible")</f>
        <v/>
      </c>
      <c r="T101">
        <f>IF(AND(ISNUMBER(I101),I101&gt;0),ROUND(F101/I101,2),"Sin volumen")</f>
        <v/>
      </c>
      <c r="U101">
        <f>IF(F101&lt;5000,"Bajo",IF(F101&lt;15000,"Medio","Alto"))</f>
        <v/>
      </c>
    </row>
    <row r="102">
      <c r="A102" s="2" t="inlineStr">
        <is>
          <t>Jumbo</t>
        </is>
      </c>
      <c r="B102" s="2" t="n">
        <v>3070156</v>
      </c>
      <c r="C102" s="2" t="n">
        <v>3069762</v>
      </c>
      <c r="D102" s="2" t="inlineStr">
        <is>
          <t>Shampoo Colágeno Nutre y Revitaliza 300 Ml Pantene</t>
        </is>
      </c>
      <c r="E102" s="2" t="inlineStr">
        <is>
          <t>PANTENE</t>
        </is>
      </c>
      <c r="F102" s="2" t="n">
        <v>10250</v>
      </c>
      <c r="G102" s="2" t="n">
        <v>847107</v>
      </c>
      <c r="H102" s="2" t="b">
        <v>1</v>
      </c>
      <c r="I102" s="2" t="n">
        <v>300</v>
      </c>
      <c r="J102" s="2" t="n">
        <v>34.1667</v>
      </c>
      <c r="K102" s="2" t="inlineStr">
        <is>
          <t>&gt; Perfumería &gt; Cuidado Capilar &gt; Shampoo &gt;</t>
        </is>
      </c>
      <c r="L102" s="2" t="inlineStr">
        <is>
          <t>shampoo</t>
        </is>
      </c>
      <c r="M102" s="2" t="inlineStr">
        <is>
          <t>estandar</t>
        </is>
      </c>
      <c r="N102" s="2" t="inlineStr">
        <is>
          <t>general</t>
        </is>
      </c>
      <c r="O102" s="2" t="inlineStr">
        <is>
          <t>https://www.jumbo.com.ar/shampoo-colageno-x-300-ml-pantene-2/p</t>
        </is>
      </c>
      <c r="P102" s="4">
        <f>TRIM(CLEAN(PROPER(D102)))</f>
        <v/>
      </c>
      <c r="Q102" s="4">
        <f>PROPER(TRIM(SUBSTITUTE(SUBSTITUTE(SUBSTITUTE(SUBSTITUTE(E102,"TRESEMME","Tresemme"),"HEAD &amp; SHOULDERS","Head &amp; Shoulders"),"ELVIVE","Elvive"),"FRUCTIS","Fructis")))</f>
        <v/>
      </c>
      <c r="R102" s="4">
        <f>COUNTIF($D$2:$D$10000,D102)&gt;1</f>
        <v/>
      </c>
      <c r="S102" s="4">
        <f>IF(H102=TRUE,"Disponible","No disponible")</f>
        <v/>
      </c>
      <c r="T102" s="4">
        <f>IF(AND(ISNUMBER(I102),I102&gt;0),ROUND(F102/I102,2),"Sin volumen")</f>
        <v/>
      </c>
      <c r="U102" s="4">
        <f>IF(F102&lt;5000,"Bajo",IF(F102&lt;15000,"Medio","Alto"))</f>
        <v/>
      </c>
    </row>
    <row r="103">
      <c r="A103" t="inlineStr">
        <is>
          <t>Jumbo</t>
        </is>
      </c>
      <c r="B103" t="n">
        <v>410403</v>
      </c>
      <c r="C103" t="n">
        <v>406409</v>
      </c>
      <c r="D103" t="inlineStr">
        <is>
          <t>Shampoo Herbolaria Milenaria Doypack 400 Ml Tio Nacho</t>
        </is>
      </c>
      <c r="E103" t="inlineStr">
        <is>
          <t>Tio Nacho</t>
        </is>
      </c>
      <c r="F103" t="n">
        <v>8100</v>
      </c>
      <c r="G103" t="n">
        <v>669421</v>
      </c>
      <c r="H103" t="b">
        <v>1</v>
      </c>
      <c r="I103" t="n">
        <v>400</v>
      </c>
      <c r="J103" t="n">
        <v>20.25</v>
      </c>
      <c r="K103" t="inlineStr">
        <is>
          <t>&gt; Perfumería &gt; Cuidado Capilar &gt; Shampoo &gt;</t>
        </is>
      </c>
      <c r="L103" t="inlineStr">
        <is>
          <t>tratamiento</t>
        </is>
      </c>
      <c r="M103" t="inlineStr">
        <is>
          <t>estandar</t>
        </is>
      </c>
      <c r="N103" t="inlineStr">
        <is>
          <t>general</t>
        </is>
      </c>
      <c r="O103" t="inlineStr">
        <is>
          <t>https://www.jumbo.com.ar/shampoo-herbolaria-milenaria-doypack-400-ml-tio-nacho/p</t>
        </is>
      </c>
      <c r="P103">
        <f>TRIM(CLEAN(PROPER(D103)))</f>
        <v/>
      </c>
      <c r="Q103">
        <f>PROPER(TRIM(SUBSTITUTE(SUBSTITUTE(SUBSTITUTE(SUBSTITUTE(E103,"TRESEMME","Tresemme"),"HEAD &amp; SHOULDERS","Head &amp; Shoulders"),"ELVIVE","Elvive"),"FRUCTIS","Fructis")))</f>
        <v/>
      </c>
      <c r="R103">
        <f>COUNTIF($D$2:$D$10000,D103)&gt;1</f>
        <v/>
      </c>
      <c r="S103">
        <f>IF(H103=TRUE,"Disponible","No disponible")</f>
        <v/>
      </c>
      <c r="T103">
        <f>IF(AND(ISNUMBER(I103),I103&gt;0),ROUND(F103/I103,2),"Sin volumen")</f>
        <v/>
      </c>
      <c r="U103">
        <f>IF(F103&lt;5000,"Bajo",IF(F103&lt;15000,"Medio","Alto"))</f>
        <v/>
      </c>
    </row>
    <row r="104">
      <c r="A104" s="2" t="inlineStr">
        <is>
          <t>Jumbo</t>
        </is>
      </c>
      <c r="B104" s="2" t="n">
        <v>1360449</v>
      </c>
      <c r="C104" s="2" t="n">
        <v>1360032</v>
      </c>
      <c r="D104" s="2" t="inlineStr">
        <is>
          <t>Shampoo Glyco Gloss Brillo 72h 200 Ml Elvive</t>
        </is>
      </c>
      <c r="E104" s="2" t="inlineStr">
        <is>
          <t>ELVIVE</t>
        </is>
      </c>
      <c r="F104" s="2" t="n">
        <v>8050</v>
      </c>
      <c r="G104" s="2" t="n">
        <v>665289</v>
      </c>
      <c r="H104" s="2" t="b">
        <v>1</v>
      </c>
      <c r="I104" s="2" t="n">
        <v>200</v>
      </c>
      <c r="J104" s="2" t="n">
        <v>40.25</v>
      </c>
      <c r="K104" s="2" t="inlineStr">
        <is>
          <t>&gt; Perfumería &gt; Cuidado Capilar &gt; Shampoo &gt;</t>
        </is>
      </c>
      <c r="L104" s="2" t="inlineStr">
        <is>
          <t>shampoo</t>
        </is>
      </c>
      <c r="M104" s="2" t="inlineStr">
        <is>
          <t>profesional</t>
        </is>
      </c>
      <c r="N104" s="2" t="inlineStr">
        <is>
          <t>general</t>
        </is>
      </c>
      <c r="O104" s="2" t="inlineStr">
        <is>
          <t>https://www.jumbo.com.ar/shampoo-elvive-glyco-gloss-200-ml/p</t>
        </is>
      </c>
      <c r="P104" s="4">
        <f>TRIM(CLEAN(PROPER(D104)))</f>
        <v/>
      </c>
      <c r="Q104" s="4">
        <f>PROPER(TRIM(SUBSTITUTE(SUBSTITUTE(SUBSTITUTE(SUBSTITUTE(E104,"TRESEMME","Tresemme"),"HEAD &amp; SHOULDERS","Head &amp; Shoulders"),"ELVIVE","Elvive"),"FRUCTIS","Fructis")))</f>
        <v/>
      </c>
      <c r="R104" s="4">
        <f>COUNTIF($D$2:$D$10000,D104)&gt;1</f>
        <v/>
      </c>
      <c r="S104" s="4">
        <f>IF(H104=TRUE,"Disponible","No disponible")</f>
        <v/>
      </c>
      <c r="T104" s="4">
        <f>IF(AND(ISNUMBER(I104),I104&gt;0),ROUND(F104/I104,2),"Sin volumen")</f>
        <v/>
      </c>
      <c r="U104" s="4">
        <f>IF(F104&lt;5000,"Bajo",IF(F104&lt;15000,"Medio","Alto"))</f>
        <v/>
      </c>
    </row>
    <row r="105">
      <c r="A105" t="inlineStr">
        <is>
          <t>Jumbo</t>
        </is>
      </c>
      <c r="B105" t="n">
        <v>3073297</v>
      </c>
      <c r="C105" t="n">
        <v>3072802</v>
      </c>
      <c r="D105" t="inlineStr">
        <is>
          <t>Shampoo Pelo Largo y Sin Frizz 350 Ml Bagovit</t>
        </is>
      </c>
      <c r="E105" t="inlineStr">
        <is>
          <t>BAGOVIT</t>
        </is>
      </c>
      <c r="F105" t="n">
        <v>9800</v>
      </c>
      <c r="G105" t="n">
        <v>809917</v>
      </c>
      <c r="H105" t="b">
        <v>1</v>
      </c>
      <c r="I105" t="n">
        <v>350</v>
      </c>
      <c r="J105" t="n">
        <v>28</v>
      </c>
      <c r="K105" t="inlineStr">
        <is>
          <t>&gt; Perfumería &gt; Cuidado Capilar &gt; Shampoo &gt;</t>
        </is>
      </c>
      <c r="L105" t="inlineStr">
        <is>
          <t>shampoo</t>
        </is>
      </c>
      <c r="M105" t="inlineStr">
        <is>
          <t>estandar</t>
        </is>
      </c>
      <c r="N105" t="inlineStr">
        <is>
          <t>general</t>
        </is>
      </c>
      <c r="O105" t="inlineStr">
        <is>
          <t>https://www.jumbo.com.ar/shampoo-pelo-largo-y-sin-frizz-x-350-ml-bagovit/p</t>
        </is>
      </c>
      <c r="P105">
        <f>TRIM(CLEAN(PROPER(D105)))</f>
        <v/>
      </c>
      <c r="Q105">
        <f>PROPER(TRIM(SUBSTITUTE(SUBSTITUTE(SUBSTITUTE(SUBSTITUTE(E105,"TRESEMME","Tresemme"),"HEAD &amp; SHOULDERS","Head &amp; Shoulders"),"ELVIVE","Elvive"),"FRUCTIS","Fructis")))</f>
        <v/>
      </c>
      <c r="R105">
        <f>COUNTIF($D$2:$D$10000,D105)&gt;1</f>
        <v/>
      </c>
      <c r="S105">
        <f>IF(H105=TRUE,"Disponible","No disponible")</f>
        <v/>
      </c>
      <c r="T105">
        <f>IF(AND(ISNUMBER(I105),I105&gt;0),ROUND(F105/I105,2),"Sin volumen")</f>
        <v/>
      </c>
      <c r="U105">
        <f>IF(F105&lt;5000,"Bajo",IF(F105&lt;15000,"Medio","Alto"))</f>
        <v/>
      </c>
    </row>
    <row r="106">
      <c r="A106" s="2" t="inlineStr">
        <is>
          <t>Jumbo</t>
        </is>
      </c>
      <c r="B106" s="2" t="n">
        <v>19371</v>
      </c>
      <c r="C106" s="2" t="n">
        <v>16579</v>
      </c>
      <c r="D106" s="2" t="inlineStr">
        <is>
          <t>Shampoo para Auto Siliconado Concentrado 1 Lts Revigal</t>
        </is>
      </c>
      <c r="E106" s="2" t="inlineStr">
        <is>
          <t>REVIGAL</t>
        </is>
      </c>
      <c r="F106" s="2" t="n">
        <v>12749</v>
      </c>
      <c r="G106" s="2" t="n">
        <v>1053636</v>
      </c>
      <c r="H106" s="2" t="b">
        <v>1</v>
      </c>
      <c r="I106" s="2" t="inlineStr"/>
      <c r="J106" s="2" t="inlineStr"/>
      <c r="K106" s="2" t="inlineStr">
        <is>
          <t>&gt; Hogar y textil &gt; Automotor &gt; Limpieza &gt;</t>
        </is>
      </c>
      <c r="L106" s="2" t="inlineStr">
        <is>
          <t>shampoo</t>
        </is>
      </c>
      <c r="M106" s="2" t="inlineStr">
        <is>
          <t>estandar</t>
        </is>
      </c>
      <c r="N106" s="2" t="inlineStr">
        <is>
          <t>general</t>
        </is>
      </c>
      <c r="O106" s="2" t="inlineStr">
        <is>
          <t>https://www.jumbo.com.ar/lavacoche-siliconado-concentrado-x-1-l-revigal/p</t>
        </is>
      </c>
      <c r="P106" s="4">
        <f>TRIM(CLEAN(PROPER(D106)))</f>
        <v/>
      </c>
      <c r="Q106" s="4">
        <f>PROPER(TRIM(SUBSTITUTE(SUBSTITUTE(SUBSTITUTE(SUBSTITUTE(E106,"TRESEMME","Tresemme"),"HEAD &amp; SHOULDERS","Head &amp; Shoulders"),"ELVIVE","Elvive"),"FRUCTIS","Fructis")))</f>
        <v/>
      </c>
      <c r="R106" s="4">
        <f>COUNTIF($D$2:$D$10000,D106)&gt;1</f>
        <v/>
      </c>
      <c r="S106" s="4">
        <f>IF(H106=TRUE,"Disponible","No disponible")</f>
        <v/>
      </c>
      <c r="T106" s="4">
        <f>IF(AND(ISNUMBER(I106),I106&gt;0),ROUND(F106/I106,2),"Sin volumen")</f>
        <v/>
      </c>
      <c r="U106" s="4">
        <f>IF(F106&lt;5000,"Bajo",IF(F106&lt;15000,"Medio","Alto"))</f>
        <v/>
      </c>
    </row>
    <row r="107">
      <c r="A107" t="inlineStr">
        <is>
          <t>Jumbo</t>
        </is>
      </c>
      <c r="B107" t="n">
        <v>3071027</v>
      </c>
      <c r="C107" t="n">
        <v>3070597</v>
      </c>
      <c r="D107" t="inlineStr">
        <is>
          <t>Shampoo Dream Liso Efecto Keratina 400 Ml Elvive</t>
        </is>
      </c>
      <c r="E107" t="inlineStr">
        <is>
          <t>ELVIVE</t>
        </is>
      </c>
      <c r="F107" t="n">
        <v>13350</v>
      </c>
      <c r="G107" t="n">
        <v>1103306</v>
      </c>
      <c r="H107" t="b">
        <v>1</v>
      </c>
      <c r="I107" t="n">
        <v>400</v>
      </c>
      <c r="J107" t="n">
        <v>33.375</v>
      </c>
      <c r="K107" t="inlineStr">
        <is>
          <t>&gt; Perfumería &gt; Cuidado Capilar &gt; Shampoo &gt;</t>
        </is>
      </c>
      <c r="L107" t="inlineStr">
        <is>
          <t>shampoo</t>
        </is>
      </c>
      <c r="M107" t="inlineStr">
        <is>
          <t>profesional</t>
        </is>
      </c>
      <c r="N107" t="inlineStr">
        <is>
          <t>tratado</t>
        </is>
      </c>
      <c r="O107" t="inlineStr">
        <is>
          <t>https://www.jumbo.com.ar/shampoo-dream-liso-x-400-ml-elvive/p</t>
        </is>
      </c>
      <c r="P107">
        <f>TRIM(CLEAN(PROPER(D107)))</f>
        <v/>
      </c>
      <c r="Q107">
        <f>PROPER(TRIM(SUBSTITUTE(SUBSTITUTE(SUBSTITUTE(SUBSTITUTE(E107,"TRESEMME","Tresemme"),"HEAD &amp; SHOULDERS","Head &amp; Shoulders"),"ELVIVE","Elvive"),"FRUCTIS","Fructis")))</f>
        <v/>
      </c>
      <c r="R107">
        <f>COUNTIF($D$2:$D$10000,D107)&gt;1</f>
        <v/>
      </c>
      <c r="S107">
        <f>IF(H107=TRUE,"Disponible","No disponible")</f>
        <v/>
      </c>
      <c r="T107">
        <f>IF(AND(ISNUMBER(I107),I107&gt;0),ROUND(F107/I107,2),"Sin volumen")</f>
        <v/>
      </c>
      <c r="U107">
        <f>IF(F107&lt;5000,"Bajo",IF(F107&lt;15000,"Medio","Alto"))</f>
        <v/>
      </c>
    </row>
    <row r="108">
      <c r="A108" s="2" t="inlineStr">
        <is>
          <t>Jumbo</t>
        </is>
      </c>
      <c r="B108" s="2" t="n">
        <v>3071025</v>
      </c>
      <c r="C108" s="2" t="n">
        <v>3070596</v>
      </c>
      <c r="D108" s="2" t="inlineStr">
        <is>
          <t>Shampoo Dream Liso Efecto Keratina 750 Ml Elvive</t>
        </is>
      </c>
      <c r="E108" s="2" t="inlineStr">
        <is>
          <t>ELVIVE</t>
        </is>
      </c>
      <c r="F108" s="2" t="n">
        <v>21050</v>
      </c>
      <c r="G108" s="2" t="n">
        <v>1739669</v>
      </c>
      <c r="H108" s="2" t="b">
        <v>1</v>
      </c>
      <c r="I108" s="2" t="n">
        <v>750</v>
      </c>
      <c r="J108" s="2" t="n">
        <v>28.0667</v>
      </c>
      <c r="K108" s="2" t="inlineStr">
        <is>
          <t>&gt; Perfumería &gt; Cuidado Capilar &gt; Shampoo &gt;</t>
        </is>
      </c>
      <c r="L108" s="2" t="inlineStr">
        <is>
          <t>shampoo</t>
        </is>
      </c>
      <c r="M108" s="2" t="inlineStr">
        <is>
          <t>profesional</t>
        </is>
      </c>
      <c r="N108" s="2" t="inlineStr">
        <is>
          <t>tratado</t>
        </is>
      </c>
      <c r="O108" s="2" t="inlineStr">
        <is>
          <t>https://www.jumbo.com.ar/shampoo-dream-liso-x-750-ml-elvive/p</t>
        </is>
      </c>
      <c r="P108" s="4">
        <f>TRIM(CLEAN(PROPER(D108)))</f>
        <v/>
      </c>
      <c r="Q108" s="4">
        <f>PROPER(TRIM(SUBSTITUTE(SUBSTITUTE(SUBSTITUTE(SUBSTITUTE(E108,"TRESEMME","Tresemme"),"HEAD &amp; SHOULDERS","Head &amp; Shoulders"),"ELVIVE","Elvive"),"FRUCTIS","Fructis")))</f>
        <v/>
      </c>
      <c r="R108" s="4">
        <f>COUNTIF($D$2:$D$10000,D108)&gt;1</f>
        <v/>
      </c>
      <c r="S108" s="4">
        <f>IF(H108=TRUE,"Disponible","No disponible")</f>
        <v/>
      </c>
      <c r="T108" s="4">
        <f>IF(AND(ISNUMBER(I108),I108&gt;0),ROUND(F108/I108,2),"Sin volumen")</f>
        <v/>
      </c>
      <c r="U108" s="4">
        <f>IF(F108&lt;5000,"Bajo",IF(F108&lt;15000,"Medio","Alto"))</f>
        <v/>
      </c>
    </row>
    <row r="109">
      <c r="A109" t="inlineStr">
        <is>
          <t>Jumbo</t>
        </is>
      </c>
      <c r="B109" t="n">
        <v>1360446</v>
      </c>
      <c r="C109" t="n">
        <v>1360029</v>
      </c>
      <c r="D109" t="inlineStr">
        <is>
          <t>Shampoo Glycolic Gloss Brillo 72H 400 Ml Elvive</t>
        </is>
      </c>
      <c r="E109" t="inlineStr">
        <is>
          <t>ELVIVE</t>
        </is>
      </c>
      <c r="F109" t="n">
        <v>13350</v>
      </c>
      <c r="G109" t="n">
        <v>1103306</v>
      </c>
      <c r="H109" t="b">
        <v>1</v>
      </c>
      <c r="I109" t="n">
        <v>400</v>
      </c>
      <c r="J109" t="n">
        <v>33.375</v>
      </c>
      <c r="K109" t="inlineStr">
        <is>
          <t>&gt; Perfumería &gt; Cuidado Capilar &gt; Shampoo &gt;</t>
        </is>
      </c>
      <c r="L109" t="inlineStr">
        <is>
          <t>shampoo</t>
        </is>
      </c>
      <c r="M109" t="inlineStr">
        <is>
          <t>profesional</t>
        </is>
      </c>
      <c r="N109" t="inlineStr">
        <is>
          <t>general</t>
        </is>
      </c>
      <c r="O109" t="inlineStr">
        <is>
          <t>https://www.jumbo.com.ar/shampoo-elvive-glyco-gloss-x-400-ml/p</t>
        </is>
      </c>
      <c r="P109">
        <f>TRIM(CLEAN(PROPER(D109)))</f>
        <v/>
      </c>
      <c r="Q109">
        <f>PROPER(TRIM(SUBSTITUTE(SUBSTITUTE(SUBSTITUTE(SUBSTITUTE(E109,"TRESEMME","Tresemme"),"HEAD &amp; SHOULDERS","Head &amp; Shoulders"),"ELVIVE","Elvive"),"FRUCTIS","Fructis")))</f>
        <v/>
      </c>
      <c r="R109">
        <f>COUNTIF($D$2:$D$10000,D109)&gt;1</f>
        <v/>
      </c>
      <c r="S109">
        <f>IF(H109=TRUE,"Disponible","No disponible")</f>
        <v/>
      </c>
      <c r="T109">
        <f>IF(AND(ISNUMBER(I109),I109&gt;0),ROUND(F109/I109,2),"Sin volumen")</f>
        <v/>
      </c>
      <c r="U109">
        <f>IF(F109&lt;5000,"Bajo",IF(F109&lt;15000,"Medio","Alto"))</f>
        <v/>
      </c>
    </row>
    <row r="110">
      <c r="A110" s="2" t="inlineStr">
        <is>
          <t>Jumbo</t>
        </is>
      </c>
      <c r="B110" s="2" t="n">
        <v>3086635</v>
      </c>
      <c r="C110" s="2" t="n">
        <v>3085859</v>
      </c>
      <c r="D110" s="2" t="inlineStr">
        <is>
          <t>Shampoo Goodbye Daños Oil Control 350 Ml Fructis Shampoo Fructis Oil Control 350ml</t>
        </is>
      </c>
      <c r="E110" s="2" t="inlineStr">
        <is>
          <t>FRUCTIS</t>
        </is>
      </c>
      <c r="F110" s="2" t="n">
        <v>8400</v>
      </c>
      <c r="G110" s="2" t="n">
        <v>694215</v>
      </c>
      <c r="H110" s="2" t="b">
        <v>1</v>
      </c>
      <c r="I110" s="2" t="n">
        <v>350</v>
      </c>
      <c r="J110" s="2" t="n">
        <v>24</v>
      </c>
      <c r="K110" s="2" t="inlineStr">
        <is>
          <t>&gt; Perfumería &gt; Cuidado Capilar &gt; Shampoo &gt;</t>
        </is>
      </c>
      <c r="L110" s="2" t="inlineStr">
        <is>
          <t>shampoo</t>
        </is>
      </c>
      <c r="M110" s="2" t="inlineStr">
        <is>
          <t>estandar</t>
        </is>
      </c>
      <c r="N110" s="2" t="inlineStr">
        <is>
          <t>general</t>
        </is>
      </c>
      <c r="O110" s="2" t="inlineStr">
        <is>
          <t>https://www.jumbo.com.ar/shampoo-fructis-oil-control-350ml/p</t>
        </is>
      </c>
      <c r="P110" s="4">
        <f>TRIM(CLEAN(PROPER(D110)))</f>
        <v/>
      </c>
      <c r="Q110" s="4">
        <f>PROPER(TRIM(SUBSTITUTE(SUBSTITUTE(SUBSTITUTE(SUBSTITUTE(E110,"TRESEMME","Tresemme"),"HEAD &amp; SHOULDERS","Head &amp; Shoulders"),"ELVIVE","Elvive"),"FRUCTIS","Fructis")))</f>
        <v/>
      </c>
      <c r="R110" s="4">
        <f>COUNTIF($D$2:$D$10000,D110)&gt;1</f>
        <v/>
      </c>
      <c r="S110" s="4">
        <f>IF(H110=TRUE,"Disponible","No disponible")</f>
        <v/>
      </c>
      <c r="T110" s="4">
        <f>IF(AND(ISNUMBER(I110),I110&gt;0),ROUND(F110/I110,2),"Sin volumen")</f>
        <v/>
      </c>
      <c r="U110" s="4">
        <f>IF(F110&lt;5000,"Bajo",IF(F110&lt;15000,"Medio","Alto"))</f>
        <v/>
      </c>
    </row>
    <row r="111">
      <c r="A111" t="inlineStr">
        <is>
          <t>Jumbo</t>
        </is>
      </c>
      <c r="B111" t="n">
        <v>3069754</v>
      </c>
      <c r="C111" t="n">
        <v>3069359</v>
      </c>
      <c r="D111" t="inlineStr">
        <is>
          <t>Shampoo Colágeno Nutre y Revitaliza 510 Ml Pantene</t>
        </is>
      </c>
      <c r="E111" t="inlineStr">
        <is>
          <t>PANTENE</t>
        </is>
      </c>
      <c r="F111" t="n">
        <v>16450</v>
      </c>
      <c r="G111" t="n">
        <v>1359504</v>
      </c>
      <c r="H111" t="b">
        <v>1</v>
      </c>
      <c r="I111" t="n">
        <v>510</v>
      </c>
      <c r="J111" t="n">
        <v>32.2549</v>
      </c>
      <c r="K111" t="inlineStr">
        <is>
          <t>&gt; Perfumería &gt; Cuidado Capilar &gt; Shampoo &gt;</t>
        </is>
      </c>
      <c r="L111" t="inlineStr">
        <is>
          <t>shampoo</t>
        </is>
      </c>
      <c r="M111" t="inlineStr">
        <is>
          <t>estandar</t>
        </is>
      </c>
      <c r="N111" t="inlineStr">
        <is>
          <t>general</t>
        </is>
      </c>
      <c r="O111" t="inlineStr">
        <is>
          <t>https://www.jumbo.com.ar/shampoo-colageno-x-510-ml-pantene-2/p</t>
        </is>
      </c>
      <c r="P111">
        <f>TRIM(CLEAN(PROPER(D111)))</f>
        <v/>
      </c>
      <c r="Q111">
        <f>PROPER(TRIM(SUBSTITUTE(SUBSTITUTE(SUBSTITUTE(SUBSTITUTE(E111,"TRESEMME","Tresemme"),"HEAD &amp; SHOULDERS","Head &amp; Shoulders"),"ELVIVE","Elvive"),"FRUCTIS","Fructis")))</f>
        <v/>
      </c>
      <c r="R111">
        <f>COUNTIF($D$2:$D$10000,D111)&gt;1</f>
        <v/>
      </c>
      <c r="S111">
        <f>IF(H111=TRUE,"Disponible","No disponible")</f>
        <v/>
      </c>
      <c r="T111">
        <f>IF(AND(ISNUMBER(I111),I111&gt;0),ROUND(F111/I111,2),"Sin volumen")</f>
        <v/>
      </c>
      <c r="U111">
        <f>IF(F111&lt;5000,"Bajo",IF(F111&lt;15000,"Medio","Alto"))</f>
        <v/>
      </c>
    </row>
    <row r="112">
      <c r="A112" s="2" t="inlineStr">
        <is>
          <t>Jumbo</t>
        </is>
      </c>
      <c r="B112" s="2" t="n">
        <v>400519</v>
      </c>
      <c r="C112" s="2" t="n">
        <v>397857</v>
      </c>
      <c r="D112" s="2" t="inlineStr">
        <is>
          <t>Shampoo Colorvive para Cabello Teñido 750 Ml Elvive</t>
        </is>
      </c>
      <c r="E112" s="2" t="inlineStr">
        <is>
          <t>ELVIVE</t>
        </is>
      </c>
      <c r="F112" s="2" t="n">
        <v>19400</v>
      </c>
      <c r="G112" s="2" t="n">
        <v>1603306</v>
      </c>
      <c r="H112" s="2" t="b">
        <v>1</v>
      </c>
      <c r="I112" s="2" t="n">
        <v>750</v>
      </c>
      <c r="J112" s="2" t="n">
        <v>25.8667</v>
      </c>
      <c r="K112" s="2" t="inlineStr">
        <is>
          <t>&gt; Perfumería &gt; Cuidado Capilar &gt; Shampoo &gt;</t>
        </is>
      </c>
      <c r="L112" s="2" t="inlineStr">
        <is>
          <t>shampoo</t>
        </is>
      </c>
      <c r="M112" s="2" t="inlineStr">
        <is>
          <t>profesional</t>
        </is>
      </c>
      <c r="N112" s="2" t="inlineStr">
        <is>
          <t>tratado</t>
        </is>
      </c>
      <c r="O112" s="2" t="inlineStr">
        <is>
          <t>https://www.jumbo.com.ar/shampoo-elvive-colorvive-750-ml/p</t>
        </is>
      </c>
      <c r="P112" s="4">
        <f>TRIM(CLEAN(PROPER(D112)))</f>
        <v/>
      </c>
      <c r="Q112" s="4">
        <f>PROPER(TRIM(SUBSTITUTE(SUBSTITUTE(SUBSTITUTE(SUBSTITUTE(E112,"TRESEMME","Tresemme"),"HEAD &amp; SHOULDERS","Head &amp; Shoulders"),"ELVIVE","Elvive"),"FRUCTIS","Fructis")))</f>
        <v/>
      </c>
      <c r="R112" s="4">
        <f>COUNTIF($D$2:$D$10000,D112)&gt;1</f>
        <v/>
      </c>
      <c r="S112" s="4">
        <f>IF(H112=TRUE,"Disponible","No disponible")</f>
        <v/>
      </c>
      <c r="T112" s="4">
        <f>IF(AND(ISNUMBER(I112),I112&gt;0),ROUND(F112/I112,2),"Sin volumen")</f>
        <v/>
      </c>
      <c r="U112" s="4">
        <f>IF(F112&lt;5000,"Bajo",IF(F112&lt;15000,"Medio","Alto"))</f>
        <v/>
      </c>
    </row>
    <row r="113">
      <c r="A113" t="inlineStr">
        <is>
          <t>Jumbo</t>
        </is>
      </c>
      <c r="B113" t="n">
        <v>3070176</v>
      </c>
      <c r="C113" t="n">
        <v>3069776</v>
      </c>
      <c r="D113" t="inlineStr">
        <is>
          <t>Shampoo Keratina Repara y Protege 300 Ml Pantene</t>
        </is>
      </c>
      <c r="E113" t="inlineStr">
        <is>
          <t>PANTENE</t>
        </is>
      </c>
      <c r="F113" t="n">
        <v>10250</v>
      </c>
      <c r="G113" t="n">
        <v>847107</v>
      </c>
      <c r="H113" t="b">
        <v>1</v>
      </c>
      <c r="I113" t="n">
        <v>300</v>
      </c>
      <c r="J113" t="n">
        <v>34.1667</v>
      </c>
      <c r="K113" t="inlineStr">
        <is>
          <t>&gt; Perfumería &gt; Cuidado Capilar &gt; Shampoo &gt;</t>
        </is>
      </c>
      <c r="L113" t="inlineStr">
        <is>
          <t>shampoo</t>
        </is>
      </c>
      <c r="M113" t="inlineStr">
        <is>
          <t>estandar</t>
        </is>
      </c>
      <c r="N113" t="inlineStr">
        <is>
          <t>tratado</t>
        </is>
      </c>
      <c r="O113" t="inlineStr">
        <is>
          <t>https://www.jumbo.com.ar/shampoo-keratina-x-300-ml-pantene-2/p</t>
        </is>
      </c>
      <c r="P113">
        <f>TRIM(CLEAN(PROPER(D113)))</f>
        <v/>
      </c>
      <c r="Q113">
        <f>PROPER(TRIM(SUBSTITUTE(SUBSTITUTE(SUBSTITUTE(SUBSTITUTE(E113,"TRESEMME","Tresemme"),"HEAD &amp; SHOULDERS","Head &amp; Shoulders"),"ELVIVE","Elvive"),"FRUCTIS","Fructis")))</f>
        <v/>
      </c>
      <c r="R113">
        <f>COUNTIF($D$2:$D$10000,D113)&gt;1</f>
        <v/>
      </c>
      <c r="S113">
        <f>IF(H113=TRUE,"Disponible","No disponible")</f>
        <v/>
      </c>
      <c r="T113">
        <f>IF(AND(ISNUMBER(I113),I113&gt;0),ROUND(F113/I113,2),"Sin volumen")</f>
        <v/>
      </c>
      <c r="U113">
        <f>IF(F113&lt;5000,"Bajo",IF(F113&lt;15000,"Medio","Alto"))</f>
        <v/>
      </c>
    </row>
    <row r="114">
      <c r="A114" s="2" t="inlineStr">
        <is>
          <t>Jumbo</t>
        </is>
      </c>
      <c r="B114" s="2" t="n">
        <v>3070168</v>
      </c>
      <c r="C114" s="2" t="n">
        <v>3069761</v>
      </c>
      <c r="D114" s="2" t="inlineStr">
        <is>
          <t>Shampoo Pro-V Miracles Revitalización 700 Ml Pantene</t>
        </is>
      </c>
      <c r="E114" s="2" t="inlineStr">
        <is>
          <t>PANTENE</t>
        </is>
      </c>
      <c r="F114" s="2" t="n">
        <v>17600</v>
      </c>
      <c r="G114" s="2" t="n">
        <v>1454545</v>
      </c>
      <c r="H114" s="2" t="b">
        <v>1</v>
      </c>
      <c r="I114" s="2" t="n">
        <v>700</v>
      </c>
      <c r="J114" s="2" t="n">
        <v>25.1429</v>
      </c>
      <c r="K114" s="2" t="inlineStr">
        <is>
          <t>&gt; Perfumería &gt; Cuidado Capilar &gt; Shampoo &gt;</t>
        </is>
      </c>
      <c r="L114" s="2" t="inlineStr">
        <is>
          <t>shampoo</t>
        </is>
      </c>
      <c r="M114" s="2" t="inlineStr">
        <is>
          <t>profesional</t>
        </is>
      </c>
      <c r="N114" s="2" t="inlineStr">
        <is>
          <t>general</t>
        </is>
      </c>
      <c r="O114" s="2" t="inlineStr">
        <is>
          <t>https://www.jumbo.com.ar/shampoo-pro-v-miracles-revitalizacion-x-700-ml-pantene/p</t>
        </is>
      </c>
      <c r="P114" s="4">
        <f>TRIM(CLEAN(PROPER(D114)))</f>
        <v/>
      </c>
      <c r="Q114" s="4">
        <f>PROPER(TRIM(SUBSTITUTE(SUBSTITUTE(SUBSTITUTE(SUBSTITUTE(E114,"TRESEMME","Tresemme"),"HEAD &amp; SHOULDERS","Head &amp; Shoulders"),"ELVIVE","Elvive"),"FRUCTIS","Fructis")))</f>
        <v/>
      </c>
      <c r="R114" s="4">
        <f>COUNTIF($D$2:$D$10000,D114)&gt;1</f>
        <v/>
      </c>
      <c r="S114" s="4">
        <f>IF(H114=TRUE,"Disponible","No disponible")</f>
        <v/>
      </c>
      <c r="T114" s="4">
        <f>IF(AND(ISNUMBER(I114),I114&gt;0),ROUND(F114/I114,2),"Sin volumen")</f>
        <v/>
      </c>
      <c r="U114" s="4">
        <f>IF(F114&lt;5000,"Bajo",IF(F114&lt;15000,"Medio","Alto"))</f>
        <v/>
      </c>
    </row>
    <row r="115">
      <c r="A115" t="inlineStr">
        <is>
          <t>Jumbo</t>
        </is>
      </c>
      <c r="B115" t="n">
        <v>424298</v>
      </c>
      <c r="C115" t="n">
        <v>417178</v>
      </c>
      <c r="D115" t="inlineStr">
        <is>
          <t>Shampoo Nutrición Intensa Óleo de Argán 700 Ml Plusbelle</t>
        </is>
      </c>
      <c r="E115" t="inlineStr">
        <is>
          <t>PLUSBELLE</t>
        </is>
      </c>
      <c r="F115" t="n">
        <v>5550</v>
      </c>
      <c r="G115" t="n">
        <v>458678</v>
      </c>
      <c r="H115" t="b">
        <v>1</v>
      </c>
      <c r="I115" t="n">
        <v>700</v>
      </c>
      <c r="J115" t="n">
        <v>7.9286</v>
      </c>
      <c r="K115" t="inlineStr">
        <is>
          <t>&gt; Perfumería &gt; Cuidado Capilar &gt; Shampoo &gt;</t>
        </is>
      </c>
      <c r="L115" t="inlineStr">
        <is>
          <t>shampoo</t>
        </is>
      </c>
      <c r="M115" t="inlineStr">
        <is>
          <t>estandar</t>
        </is>
      </c>
      <c r="N115" t="inlineStr">
        <is>
          <t>general</t>
        </is>
      </c>
      <c r="O115" t="inlineStr">
        <is>
          <t>https://www.jumbo.com.ar/shampoo-plusbelle-esen-oleo-nut-argan-700-ml/p</t>
        </is>
      </c>
      <c r="P115">
        <f>TRIM(CLEAN(PROPER(D115)))</f>
        <v/>
      </c>
      <c r="Q115">
        <f>PROPER(TRIM(SUBSTITUTE(SUBSTITUTE(SUBSTITUTE(SUBSTITUTE(E115,"TRESEMME","Tresemme"),"HEAD &amp; SHOULDERS","Head &amp; Shoulders"),"ELVIVE","Elvive"),"FRUCTIS","Fructis")))</f>
        <v/>
      </c>
      <c r="R115">
        <f>COUNTIF($D$2:$D$10000,D115)&gt;1</f>
        <v/>
      </c>
      <c r="S115">
        <f>IF(H115=TRUE,"Disponible","No disponible")</f>
        <v/>
      </c>
      <c r="T115">
        <f>IF(AND(ISNUMBER(I115),I115&gt;0),ROUND(F115/I115,2),"Sin volumen")</f>
        <v/>
      </c>
      <c r="U115">
        <f>IF(F115&lt;5000,"Bajo",IF(F115&lt;15000,"Medio","Alto"))</f>
        <v/>
      </c>
    </row>
    <row r="116">
      <c r="A116" s="2" t="inlineStr">
        <is>
          <t>Jumbo</t>
        </is>
      </c>
      <c r="B116" s="2" t="n">
        <v>420581</v>
      </c>
      <c r="C116" s="2" t="n">
        <v>414934</v>
      </c>
      <c r="D116" s="2" t="inlineStr">
        <is>
          <t>Shampoo Anticanas Henna Egipcia 415 Ml Tio Nacho</t>
        </is>
      </c>
      <c r="E116" s="2" t="inlineStr">
        <is>
          <t>Tio Nacho</t>
        </is>
      </c>
      <c r="F116" s="2" t="n">
        <v>11700</v>
      </c>
      <c r="G116" s="2" t="n">
        <v>966942</v>
      </c>
      <c r="H116" s="2" t="b">
        <v>1</v>
      </c>
      <c r="I116" s="2" t="n">
        <v>415</v>
      </c>
      <c r="J116" s="2" t="n">
        <v>28.1928</v>
      </c>
      <c r="K116" s="2" t="inlineStr">
        <is>
          <t>&gt; Perfumería &gt; Cuidado Capilar &gt; Shampoo &gt;</t>
        </is>
      </c>
      <c r="L116" s="2" t="inlineStr">
        <is>
          <t>shampoo</t>
        </is>
      </c>
      <c r="M116" s="2" t="inlineStr">
        <is>
          <t>estandar</t>
        </is>
      </c>
      <c r="N116" s="2" t="inlineStr">
        <is>
          <t>general</t>
        </is>
      </c>
      <c r="O116" s="2" t="inlineStr">
        <is>
          <t>https://www.jumbo.com.ar/shampoo-henna-egipcia-efecto-anti-canas-415-ml-tio-nacho/p</t>
        </is>
      </c>
      <c r="P116" s="4">
        <f>TRIM(CLEAN(PROPER(D116)))</f>
        <v/>
      </c>
      <c r="Q116" s="4">
        <f>PROPER(TRIM(SUBSTITUTE(SUBSTITUTE(SUBSTITUTE(SUBSTITUTE(E116,"TRESEMME","Tresemme"),"HEAD &amp; SHOULDERS","Head &amp; Shoulders"),"ELVIVE","Elvive"),"FRUCTIS","Fructis")))</f>
        <v/>
      </c>
      <c r="R116" s="4">
        <f>COUNTIF($D$2:$D$10000,D116)&gt;1</f>
        <v/>
      </c>
      <c r="S116" s="4">
        <f>IF(H116=TRUE,"Disponible","No disponible")</f>
        <v/>
      </c>
      <c r="T116" s="4">
        <f>IF(AND(ISNUMBER(I116),I116&gt;0),ROUND(F116/I116,2),"Sin volumen")</f>
        <v/>
      </c>
      <c r="U116" s="4">
        <f>IF(F116&lt;5000,"Bajo",IF(F116&lt;15000,"Medio","Alto"))</f>
        <v/>
      </c>
    </row>
    <row r="117">
      <c r="A117" t="inlineStr">
        <is>
          <t>Jumbo</t>
        </is>
      </c>
      <c r="B117" t="n">
        <v>410401</v>
      </c>
      <c r="C117" t="n">
        <v>406407</v>
      </c>
      <c r="D117" t="inlineStr">
        <is>
          <t>Shampoo Engrosador Anti-caída 400 Ml Tio Nacho</t>
        </is>
      </c>
      <c r="E117" t="inlineStr">
        <is>
          <t>Tio Nacho</t>
        </is>
      </c>
      <c r="F117" t="n">
        <v>8100</v>
      </c>
      <c r="G117" t="n">
        <v>669421</v>
      </c>
      <c r="H117" t="b">
        <v>1</v>
      </c>
      <c r="I117" t="n">
        <v>400</v>
      </c>
      <c r="J117" t="n">
        <v>20.25</v>
      </c>
      <c r="K117" t="inlineStr">
        <is>
          <t>&gt; Perfumería &gt; Cuidado Capilar &gt; Shampoo &gt;</t>
        </is>
      </c>
      <c r="L117" t="inlineStr">
        <is>
          <t>shampoo</t>
        </is>
      </c>
      <c r="M117" t="inlineStr">
        <is>
          <t>estandar</t>
        </is>
      </c>
      <c r="N117" t="inlineStr">
        <is>
          <t>general</t>
        </is>
      </c>
      <c r="O117" t="inlineStr">
        <is>
          <t>https://www.jumbo.com.ar/shampoo-engrosador-doypack-400-ml-tio-nacho/p</t>
        </is>
      </c>
      <c r="P117">
        <f>TRIM(CLEAN(PROPER(D117)))</f>
        <v/>
      </c>
      <c r="Q117">
        <f>PROPER(TRIM(SUBSTITUTE(SUBSTITUTE(SUBSTITUTE(SUBSTITUTE(E117,"TRESEMME","Tresemme"),"HEAD &amp; SHOULDERS","Head &amp; Shoulders"),"ELVIVE","Elvive"),"FRUCTIS","Fructis")))</f>
        <v/>
      </c>
      <c r="R117">
        <f>COUNTIF($D$2:$D$10000,D117)&gt;1</f>
        <v/>
      </c>
      <c r="S117">
        <f>IF(H117=TRUE,"Disponible","No disponible")</f>
        <v/>
      </c>
      <c r="T117">
        <f>IF(AND(ISNUMBER(I117),I117&gt;0),ROUND(F117/I117,2),"Sin volumen")</f>
        <v/>
      </c>
      <c r="U117">
        <f>IF(F117&lt;5000,"Bajo",IF(F117&lt;15000,"Medio","Alto"))</f>
        <v/>
      </c>
    </row>
    <row r="118">
      <c r="A118" s="2" t="inlineStr">
        <is>
          <t>Jumbo</t>
        </is>
      </c>
      <c r="B118" s="2" t="n">
        <v>3086924</v>
      </c>
      <c r="C118" s="2" t="n">
        <v>3086148</v>
      </c>
      <c r="D118" s="2" t="inlineStr">
        <is>
          <t>Shampoo Tío Nacho Herbolaria Milenaria V2 415 Ml</t>
        </is>
      </c>
      <c r="E118" s="2" t="inlineStr">
        <is>
          <t>SUAVE</t>
        </is>
      </c>
      <c r="F118" s="2" t="n">
        <v>11100</v>
      </c>
      <c r="G118" s="2" t="n">
        <v>917355</v>
      </c>
      <c r="H118" s="2" t="b">
        <v>1</v>
      </c>
      <c r="I118" s="2" t="n">
        <v>415</v>
      </c>
      <c r="J118" s="2" t="n">
        <v>26.747</v>
      </c>
      <c r="K118" s="2" t="inlineStr">
        <is>
          <t>&gt; Perfumería &gt; Cuidado Capilar &gt; Shampoo &gt;</t>
        </is>
      </c>
      <c r="L118" s="2" t="inlineStr">
        <is>
          <t>shampoo</t>
        </is>
      </c>
      <c r="M118" s="2" t="inlineStr">
        <is>
          <t>estandar</t>
        </is>
      </c>
      <c r="N118" s="2" t="inlineStr">
        <is>
          <t>general</t>
        </is>
      </c>
      <c r="O118" s="2" t="inlineStr">
        <is>
          <t>https://www.jumbo.com.ar/shampoo-tio-nacho-herbolaria-milenaria-v2-415-ml-2/p</t>
        </is>
      </c>
      <c r="P118" s="4">
        <f>TRIM(CLEAN(PROPER(D118)))</f>
        <v/>
      </c>
      <c r="Q118" s="4">
        <f>PROPER(TRIM(SUBSTITUTE(SUBSTITUTE(SUBSTITUTE(SUBSTITUTE(E118,"TRESEMME","Tresemme"),"HEAD &amp; SHOULDERS","Head &amp; Shoulders"),"ELVIVE","Elvive"),"FRUCTIS","Fructis")))</f>
        <v/>
      </c>
      <c r="R118" s="4">
        <f>COUNTIF($D$2:$D$10000,D118)&gt;1</f>
        <v/>
      </c>
      <c r="S118" s="4">
        <f>IF(H118=TRUE,"Disponible","No disponible")</f>
        <v/>
      </c>
      <c r="T118" s="4">
        <f>IF(AND(ISNUMBER(I118),I118&gt;0),ROUND(F118/I118,2),"Sin volumen")</f>
        <v/>
      </c>
      <c r="U118" s="4">
        <f>IF(F118&lt;5000,"Bajo",IF(F118&lt;15000,"Medio","Alto"))</f>
        <v/>
      </c>
    </row>
    <row r="119">
      <c r="A119" t="inlineStr">
        <is>
          <t>Jumbo</t>
        </is>
      </c>
      <c r="B119" t="n">
        <v>3078386</v>
      </c>
      <c r="C119" t="n">
        <v>3077730</v>
      </c>
      <c r="D119" t="inlineStr">
        <is>
          <t>Shampoo UV Repair y Glow 200 Ml Dove</t>
        </is>
      </c>
      <c r="E119" t="inlineStr">
        <is>
          <t>DOVE</t>
        </is>
      </c>
      <c r="F119" t="n">
        <v>6750</v>
      </c>
      <c r="G119" t="n">
        <v>557851</v>
      </c>
      <c r="H119" t="b">
        <v>1</v>
      </c>
      <c r="I119" t="n">
        <v>200</v>
      </c>
      <c r="J119" t="n">
        <v>33.75</v>
      </c>
      <c r="K119" t="inlineStr">
        <is>
          <t>&gt; Perfumería &gt; Cuidado Capilar &gt; Shampoo &gt;</t>
        </is>
      </c>
      <c r="L119" t="inlineStr">
        <is>
          <t>shampoo</t>
        </is>
      </c>
      <c r="M119" t="inlineStr">
        <is>
          <t>profesional</t>
        </is>
      </c>
      <c r="N119" t="inlineStr">
        <is>
          <t>general</t>
        </is>
      </c>
      <c r="O119" t="inlineStr">
        <is>
          <t>https://www.jumbo.com.ar/shampoo-dove-bond-uv-repair-200ml/p</t>
        </is>
      </c>
      <c r="P119">
        <f>TRIM(CLEAN(PROPER(D119)))</f>
        <v/>
      </c>
      <c r="Q119">
        <f>PROPER(TRIM(SUBSTITUTE(SUBSTITUTE(SUBSTITUTE(SUBSTITUTE(E119,"TRESEMME","Tresemme"),"HEAD &amp; SHOULDERS","Head &amp; Shoulders"),"ELVIVE","Elvive"),"FRUCTIS","Fructis")))</f>
        <v/>
      </c>
      <c r="R119">
        <f>COUNTIF($D$2:$D$10000,D119)&gt;1</f>
        <v/>
      </c>
      <c r="S119">
        <f>IF(H119=TRUE,"Disponible","No disponible")</f>
        <v/>
      </c>
      <c r="T119">
        <f>IF(AND(ISNUMBER(I119),I119&gt;0),ROUND(F119/I119,2),"Sin volumen")</f>
        <v/>
      </c>
      <c r="U119">
        <f>IF(F119&lt;5000,"Bajo",IF(F119&lt;15000,"Medio","Alto"))</f>
        <v/>
      </c>
    </row>
    <row r="120">
      <c r="A120" s="2" t="inlineStr">
        <is>
          <t>Jumbo</t>
        </is>
      </c>
      <c r="B120" s="2" t="n">
        <v>1362514</v>
      </c>
      <c r="C120" s="2" t="n">
        <v>1361762</v>
      </c>
      <c r="D120" s="2" t="inlineStr">
        <is>
          <t>Shampoo Elvive Reparación Total 5 Keratin 200 Ml</t>
        </is>
      </c>
      <c r="E120" s="2" t="inlineStr">
        <is>
          <t>ELVIVE</t>
        </is>
      </c>
      <c r="F120" s="2" t="n">
        <v>7550</v>
      </c>
      <c r="G120" s="2" t="n">
        <v>623967</v>
      </c>
      <c r="H120" s="2" t="b">
        <v>1</v>
      </c>
      <c r="I120" s="2" t="n">
        <v>200</v>
      </c>
      <c r="J120" s="2" t="n">
        <v>37.75</v>
      </c>
      <c r="K120" s="2" t="inlineStr">
        <is>
          <t>&gt; Perfumería &gt; Cuidado Capilar &gt; Shampoo &gt;</t>
        </is>
      </c>
      <c r="L120" s="2" t="inlineStr">
        <is>
          <t>shampoo</t>
        </is>
      </c>
      <c r="M120" s="2" t="inlineStr">
        <is>
          <t>profesional</t>
        </is>
      </c>
      <c r="N120" s="2" t="inlineStr">
        <is>
          <t>general</t>
        </is>
      </c>
      <c r="O120" s="2" t="inlineStr">
        <is>
          <t>https://www.jumbo.com.ar/shampoo-elvive-reparacion-total-5-keratin-200-ml/p</t>
        </is>
      </c>
      <c r="P120" s="4">
        <f>TRIM(CLEAN(PROPER(D120)))</f>
        <v/>
      </c>
      <c r="Q120" s="4">
        <f>PROPER(TRIM(SUBSTITUTE(SUBSTITUTE(SUBSTITUTE(SUBSTITUTE(E120,"TRESEMME","Tresemme"),"HEAD &amp; SHOULDERS","Head &amp; Shoulders"),"ELVIVE","Elvive"),"FRUCTIS","Fructis")))</f>
        <v/>
      </c>
      <c r="R120" s="4">
        <f>COUNTIF($D$2:$D$10000,D120)&gt;1</f>
        <v/>
      </c>
      <c r="S120" s="4">
        <f>IF(H120=TRUE,"Disponible","No disponible")</f>
        <v/>
      </c>
      <c r="T120" s="4">
        <f>IF(AND(ISNUMBER(I120),I120&gt;0),ROUND(F120/I120,2),"Sin volumen")</f>
        <v/>
      </c>
      <c r="U120" s="4">
        <f>IF(F120&lt;5000,"Bajo",IF(F120&lt;15000,"Medio","Alto"))</f>
        <v/>
      </c>
    </row>
    <row r="121">
      <c r="A121" t="inlineStr">
        <is>
          <t>Jumbo</t>
        </is>
      </c>
      <c r="B121" t="n">
        <v>407567</v>
      </c>
      <c r="C121" t="n">
        <v>403756</v>
      </c>
      <c r="D121" t="inlineStr">
        <is>
          <t>Shampoo Reparación Total 5 Extreme 750 Ml Elvive</t>
        </is>
      </c>
      <c r="E121" t="inlineStr">
        <is>
          <t>ELVIVE</t>
        </is>
      </c>
      <c r="F121" t="n">
        <v>19400</v>
      </c>
      <c r="G121" t="n">
        <v>1603306</v>
      </c>
      <c r="H121" t="b">
        <v>1</v>
      </c>
      <c r="I121" t="n">
        <v>750</v>
      </c>
      <c r="J121" t="n">
        <v>25.8667</v>
      </c>
      <c r="K121" t="inlineStr">
        <is>
          <t>&gt; Perfumería &gt; Cuidado Capilar &gt; Shampoo &gt;</t>
        </is>
      </c>
      <c r="L121" t="inlineStr">
        <is>
          <t>shampoo</t>
        </is>
      </c>
      <c r="M121" t="inlineStr">
        <is>
          <t>profesional</t>
        </is>
      </c>
      <c r="N121" t="inlineStr">
        <is>
          <t>general</t>
        </is>
      </c>
      <c r="O121" t="inlineStr">
        <is>
          <t>https://www.jumbo.com.ar/shampoo-elvive-reparacion-total-5-extreme-750-ml/p</t>
        </is>
      </c>
      <c r="P121">
        <f>TRIM(CLEAN(PROPER(D121)))</f>
        <v/>
      </c>
      <c r="Q121">
        <f>PROPER(TRIM(SUBSTITUTE(SUBSTITUTE(SUBSTITUTE(SUBSTITUTE(E121,"TRESEMME","Tresemme"),"HEAD &amp; SHOULDERS","Head &amp; Shoulders"),"ELVIVE","Elvive"),"FRUCTIS","Fructis")))</f>
        <v/>
      </c>
      <c r="R121">
        <f>COUNTIF($D$2:$D$10000,D121)&gt;1</f>
        <v/>
      </c>
      <c r="S121">
        <f>IF(H121=TRUE,"Disponible","No disponible")</f>
        <v/>
      </c>
      <c r="T121">
        <f>IF(AND(ISNUMBER(I121),I121&gt;0),ROUND(F121/I121,2),"Sin volumen")</f>
        <v/>
      </c>
      <c r="U121">
        <f>IF(F121&lt;5000,"Bajo",IF(F121&lt;15000,"Medio","Alto"))</f>
        <v/>
      </c>
    </row>
    <row r="122">
      <c r="A122" s="2" t="inlineStr">
        <is>
          <t>Jumbo</t>
        </is>
      </c>
      <c r="B122" s="2" t="n">
        <v>401192</v>
      </c>
      <c r="C122" s="2" t="n">
        <v>398530</v>
      </c>
      <c r="D122" s="2" t="inlineStr">
        <is>
          <t>Shampoo Detox Limpia y Purifica 200 Ml Pantene</t>
        </is>
      </c>
      <c r="E122" s="2" t="inlineStr">
        <is>
          <t>PANTENE</t>
        </is>
      </c>
      <c r="F122" s="2" t="n">
        <v>6750</v>
      </c>
      <c r="G122" s="2" t="n">
        <v>557851</v>
      </c>
      <c r="H122" s="2" t="b">
        <v>1</v>
      </c>
      <c r="I122" s="2" t="n">
        <v>200</v>
      </c>
      <c r="J122" s="2" t="n">
        <v>33.75</v>
      </c>
      <c r="K122" s="2" t="inlineStr">
        <is>
          <t>&gt; Perfumería &gt; Cuidado Capilar &gt; Shampoo &gt;</t>
        </is>
      </c>
      <c r="L122" s="2" t="inlineStr">
        <is>
          <t>shampoo</t>
        </is>
      </c>
      <c r="M122" s="2" t="inlineStr">
        <is>
          <t>estandar</t>
        </is>
      </c>
      <c r="N122" s="2" t="inlineStr">
        <is>
          <t>general</t>
        </is>
      </c>
      <c r="O122" s="2" t="inlineStr">
        <is>
          <t>https://www.jumbo.com.ar/shampoo-detox-limpia-y-purifica-200-ml-pantene-2/p</t>
        </is>
      </c>
      <c r="P122" s="4">
        <f>TRIM(CLEAN(PROPER(D122)))</f>
        <v/>
      </c>
      <c r="Q122" s="4">
        <f>PROPER(TRIM(SUBSTITUTE(SUBSTITUTE(SUBSTITUTE(SUBSTITUTE(E122,"TRESEMME","Tresemme"),"HEAD &amp; SHOULDERS","Head &amp; Shoulders"),"ELVIVE","Elvive"),"FRUCTIS","Fructis")))</f>
        <v/>
      </c>
      <c r="R122" s="4">
        <f>COUNTIF($D$2:$D$10000,D122)&gt;1</f>
        <v/>
      </c>
      <c r="S122" s="4">
        <f>IF(H122=TRUE,"Disponible","No disponible")</f>
        <v/>
      </c>
      <c r="T122" s="4">
        <f>IF(AND(ISNUMBER(I122),I122&gt;0),ROUND(F122/I122,2),"Sin volumen")</f>
        <v/>
      </c>
      <c r="U122" s="4">
        <f>IF(F122&lt;5000,"Bajo",IF(F122&lt;15000,"Medio","Alto"))</f>
        <v/>
      </c>
    </row>
    <row r="123">
      <c r="A123" t="inlineStr">
        <is>
          <t>Jumbo</t>
        </is>
      </c>
      <c r="B123" t="n">
        <v>389298</v>
      </c>
      <c r="C123" t="n">
        <v>387404</v>
      </c>
      <c r="D123" t="inlineStr">
        <is>
          <t>Shampoo Colageno Y Vitamina C 190 Ml Sedal</t>
        </is>
      </c>
      <c r="E123" t="inlineStr">
        <is>
          <t>SEDAL</t>
        </is>
      </c>
      <c r="F123" t="n">
        <v>3900</v>
      </c>
      <c r="G123" t="n">
        <v>322314</v>
      </c>
      <c r="H123" t="b">
        <v>1</v>
      </c>
      <c r="I123" t="n">
        <v>190</v>
      </c>
      <c r="J123" t="n">
        <v>20.5263</v>
      </c>
      <c r="K123" t="inlineStr">
        <is>
          <t>&gt; Perfumería &gt; Cuidado Capilar &gt; Shampoo &gt;</t>
        </is>
      </c>
      <c r="L123" t="inlineStr">
        <is>
          <t>shampoo</t>
        </is>
      </c>
      <c r="M123" t="inlineStr">
        <is>
          <t>estandar</t>
        </is>
      </c>
      <c r="N123" t="inlineStr">
        <is>
          <t>general</t>
        </is>
      </c>
      <c r="O123" t="inlineStr">
        <is>
          <t>https://www.jumbo.com.ar/shampoo-colageno-y-vitamina-c-190-ml-sedal/p</t>
        </is>
      </c>
      <c r="P123">
        <f>TRIM(CLEAN(PROPER(D123)))</f>
        <v/>
      </c>
      <c r="Q123">
        <f>PROPER(TRIM(SUBSTITUTE(SUBSTITUTE(SUBSTITUTE(SUBSTITUTE(E123,"TRESEMME","Tresemme"),"HEAD &amp; SHOULDERS","Head &amp; Shoulders"),"ELVIVE","Elvive"),"FRUCTIS","Fructis")))</f>
        <v/>
      </c>
      <c r="R123">
        <f>COUNTIF($D$2:$D$10000,D123)&gt;1</f>
        <v/>
      </c>
      <c r="S123">
        <f>IF(H123=TRUE,"Disponible","No disponible")</f>
        <v/>
      </c>
      <c r="T123">
        <f>IF(AND(ISNUMBER(I123),I123&gt;0),ROUND(F123/I123,2),"Sin volumen")</f>
        <v/>
      </c>
      <c r="U123">
        <f>IF(F123&lt;5000,"Bajo",IF(F123&lt;15000,"Medio","Alto"))</f>
        <v/>
      </c>
    </row>
    <row r="124">
      <c r="A124" s="2" t="inlineStr">
        <is>
          <t>Jumbo</t>
        </is>
      </c>
      <c r="B124" s="2" t="n">
        <v>31765</v>
      </c>
      <c r="C124" s="2" t="n">
        <v>28924</v>
      </c>
      <c r="D124" s="2" t="inlineStr">
        <is>
          <t>Shampoo Lava Coche Silisur Siliconado Manzana X 600cc</t>
        </is>
      </c>
      <c r="E124" s="2" t="inlineStr">
        <is>
          <t>SILISUR</t>
        </is>
      </c>
      <c r="F124" s="2" t="n">
        <v>10099</v>
      </c>
      <c r="G124" s="2" t="n">
        <v>834628</v>
      </c>
      <c r="H124" s="2" t="b">
        <v>1</v>
      </c>
      <c r="I124" s="2" t="inlineStr"/>
      <c r="J124" s="2" t="inlineStr"/>
      <c r="K124" s="2" t="inlineStr">
        <is>
          <t>&gt; Hogar y textil &gt; Automotor &gt; Limpieza &gt;</t>
        </is>
      </c>
      <c r="L124" s="2" t="inlineStr">
        <is>
          <t>shampoo</t>
        </is>
      </c>
      <c r="M124" s="2" t="inlineStr">
        <is>
          <t>estandar</t>
        </is>
      </c>
      <c r="N124" s="2" t="inlineStr">
        <is>
          <t>general</t>
        </is>
      </c>
      <c r="O124" s="2" t="inlineStr">
        <is>
          <t>https://www.jumbo.com.ar/shampoo-lava-coche-silisur-siliconado-manzana-x-600cc/p</t>
        </is>
      </c>
      <c r="P124" s="4">
        <f>TRIM(CLEAN(PROPER(D124)))</f>
        <v/>
      </c>
      <c r="Q124" s="4">
        <f>PROPER(TRIM(SUBSTITUTE(SUBSTITUTE(SUBSTITUTE(SUBSTITUTE(E124,"TRESEMME","Tresemme"),"HEAD &amp; SHOULDERS","Head &amp; Shoulders"),"ELVIVE","Elvive"),"FRUCTIS","Fructis")))</f>
        <v/>
      </c>
      <c r="R124" s="4">
        <f>COUNTIF($D$2:$D$10000,D124)&gt;1</f>
        <v/>
      </c>
      <c r="S124" s="4">
        <f>IF(H124=TRUE,"Disponible","No disponible")</f>
        <v/>
      </c>
      <c r="T124" s="4">
        <f>IF(AND(ISNUMBER(I124),I124&gt;0),ROUND(F124/I124,2),"Sin volumen")</f>
        <v/>
      </c>
      <c r="U124" s="4">
        <f>IF(F124&lt;5000,"Bajo",IF(F124&lt;15000,"Medio","Alto"))</f>
        <v/>
      </c>
    </row>
    <row r="125">
      <c r="A125" t="inlineStr">
        <is>
          <t>Jumbo</t>
        </is>
      </c>
      <c r="B125" t="n">
        <v>400530</v>
      </c>
      <c r="C125" t="n">
        <v>397868</v>
      </c>
      <c r="D125" t="inlineStr">
        <is>
          <t>Shampoo Elvive Lóréal Paris Hidra Hialurónico 400 Ml</t>
        </is>
      </c>
      <c r="E125" t="inlineStr">
        <is>
          <t>ELVIVE</t>
        </is>
      </c>
      <c r="F125" t="n">
        <v>11123</v>
      </c>
      <c r="G125" t="n">
        <v>919256</v>
      </c>
      <c r="H125" t="b">
        <v>1</v>
      </c>
      <c r="I125" t="n">
        <v>400</v>
      </c>
      <c r="J125" t="n">
        <v>27.8075</v>
      </c>
      <c r="K125" t="inlineStr">
        <is>
          <t>&gt; Perfumería &gt; Cuidado Capilar &gt; Shampoo &gt;</t>
        </is>
      </c>
      <c r="L125" t="inlineStr">
        <is>
          <t>shampoo</t>
        </is>
      </c>
      <c r="M125" t="inlineStr">
        <is>
          <t>profesional</t>
        </is>
      </c>
      <c r="N125" t="inlineStr">
        <is>
          <t>general</t>
        </is>
      </c>
      <c r="O125" t="inlineStr">
        <is>
          <t>https://www.jumbo.com.ar/shampoo-elvive-loreal-paris-hidra-hialuronico-400-ml/p</t>
        </is>
      </c>
      <c r="P125">
        <f>TRIM(CLEAN(PROPER(D125)))</f>
        <v/>
      </c>
      <c r="Q125">
        <f>PROPER(TRIM(SUBSTITUTE(SUBSTITUTE(SUBSTITUTE(SUBSTITUTE(E125,"TRESEMME","Tresemme"),"HEAD &amp; SHOULDERS","Head &amp; Shoulders"),"ELVIVE","Elvive"),"FRUCTIS","Fructis")))</f>
        <v/>
      </c>
      <c r="R125">
        <f>COUNTIF($D$2:$D$10000,D125)&gt;1</f>
        <v/>
      </c>
      <c r="S125">
        <f>IF(H125=TRUE,"Disponible","No disponible")</f>
        <v/>
      </c>
      <c r="T125">
        <f>IF(AND(ISNUMBER(I125),I125&gt;0),ROUND(F125/I125,2),"Sin volumen")</f>
        <v/>
      </c>
      <c r="U125">
        <f>IF(F125&lt;5000,"Bajo",IF(F125&lt;15000,"Medio","Alto"))</f>
        <v/>
      </c>
    </row>
    <row r="126">
      <c r="A126" s="2" t="inlineStr">
        <is>
          <t>Jumbo</t>
        </is>
      </c>
      <c r="B126" s="2" t="n">
        <v>397628</v>
      </c>
      <c r="C126" s="2" t="n">
        <v>395361</v>
      </c>
      <c r="D126" s="2" t="inlineStr">
        <is>
          <t>Shampoo Hidra Purificante Hialuronico Pure 750 Ml Elvive</t>
        </is>
      </c>
      <c r="E126" s="2" t="inlineStr">
        <is>
          <t>ELVIVE</t>
        </is>
      </c>
      <c r="F126" s="2" t="n">
        <v>19400</v>
      </c>
      <c r="G126" s="2" t="n">
        <v>1603306</v>
      </c>
      <c r="H126" s="2" t="b">
        <v>1</v>
      </c>
      <c r="I126" s="2" t="n">
        <v>750</v>
      </c>
      <c r="J126" s="2" t="n">
        <v>25.8667</v>
      </c>
      <c r="K126" s="2" t="inlineStr">
        <is>
          <t>&gt; Perfumería &gt; Cuidado Capilar &gt; Shampoo &gt;</t>
        </is>
      </c>
      <c r="L126" s="2" t="inlineStr">
        <is>
          <t>shampoo</t>
        </is>
      </c>
      <c r="M126" s="2" t="inlineStr">
        <is>
          <t>profesional</t>
        </is>
      </c>
      <c r="N126" s="2" t="inlineStr">
        <is>
          <t>general</t>
        </is>
      </c>
      <c r="O126" s="2" t="inlineStr">
        <is>
          <t>https://www.jumbo.com.ar/shampoo-elvive-hialuronico-pure-750-ml/p</t>
        </is>
      </c>
      <c r="P126" s="4">
        <f>TRIM(CLEAN(PROPER(D126)))</f>
        <v/>
      </c>
      <c r="Q126" s="4">
        <f>PROPER(TRIM(SUBSTITUTE(SUBSTITUTE(SUBSTITUTE(SUBSTITUTE(E126,"TRESEMME","Tresemme"),"HEAD &amp; SHOULDERS","Head &amp; Shoulders"),"ELVIVE","Elvive"),"FRUCTIS","Fructis")))</f>
        <v/>
      </c>
      <c r="R126" s="4">
        <f>COUNTIF($D$2:$D$10000,D126)&gt;1</f>
        <v/>
      </c>
      <c r="S126" s="4">
        <f>IF(H126=TRUE,"Disponible","No disponible")</f>
        <v/>
      </c>
      <c r="T126" s="4">
        <f>IF(AND(ISNUMBER(I126),I126&gt;0),ROUND(F126/I126,2),"Sin volumen")</f>
        <v/>
      </c>
      <c r="U126" s="4">
        <f>IF(F126&lt;5000,"Bajo",IF(F126&lt;15000,"Medio","Alto"))</f>
        <v/>
      </c>
    </row>
    <row r="127">
      <c r="A127" t="inlineStr">
        <is>
          <t>Jumbo</t>
        </is>
      </c>
      <c r="B127" t="n">
        <v>416914</v>
      </c>
      <c r="C127" t="n">
        <v>412458</v>
      </c>
      <c r="D127" t="inlineStr">
        <is>
          <t>Shampoo Rizos Definidos Óleo Extraordinario 400 Ml Elvive</t>
        </is>
      </c>
      <c r="E127" t="inlineStr">
        <is>
          <t>ELVIVE</t>
        </is>
      </c>
      <c r="F127" t="n">
        <v>12000</v>
      </c>
      <c r="G127" t="n">
        <v>991736</v>
      </c>
      <c r="H127" t="b">
        <v>1</v>
      </c>
      <c r="I127" t="n">
        <v>400</v>
      </c>
      <c r="J127" t="n">
        <v>30</v>
      </c>
      <c r="K127" t="inlineStr">
        <is>
          <t>&gt; Perfumería &gt; Cuidado Capilar &gt; Shampoo &gt;</t>
        </is>
      </c>
      <c r="L127" t="inlineStr">
        <is>
          <t>shampoo</t>
        </is>
      </c>
      <c r="M127" t="inlineStr">
        <is>
          <t>profesional</t>
        </is>
      </c>
      <c r="N127" t="inlineStr">
        <is>
          <t>rizado</t>
        </is>
      </c>
      <c r="O127" t="inlineStr">
        <is>
          <t>https://www.jumbo.com.ar/shampoo-elvive-extraordinario-riso-400-ml/p</t>
        </is>
      </c>
      <c r="P127">
        <f>TRIM(CLEAN(PROPER(D127)))</f>
        <v/>
      </c>
      <c r="Q127">
        <f>PROPER(TRIM(SUBSTITUTE(SUBSTITUTE(SUBSTITUTE(SUBSTITUTE(E127,"TRESEMME","Tresemme"),"HEAD &amp; SHOULDERS","Head &amp; Shoulders"),"ELVIVE","Elvive"),"FRUCTIS","Fructis")))</f>
        <v/>
      </c>
      <c r="R127">
        <f>COUNTIF($D$2:$D$10000,D127)&gt;1</f>
        <v/>
      </c>
      <c r="S127">
        <f>IF(H127=TRUE,"Disponible","No disponible")</f>
        <v/>
      </c>
      <c r="T127">
        <f>IF(AND(ISNUMBER(I127),I127&gt;0),ROUND(F127/I127,2),"Sin volumen")</f>
        <v/>
      </c>
      <c r="U127">
        <f>IF(F127&lt;5000,"Bajo",IF(F127&lt;15000,"Medio","Alto"))</f>
        <v/>
      </c>
    </row>
    <row r="128">
      <c r="A128" s="2" t="inlineStr">
        <is>
          <t>Jumbo</t>
        </is>
      </c>
      <c r="B128" s="2" t="n">
        <v>407568</v>
      </c>
      <c r="C128" s="2" t="n">
        <v>403757</v>
      </c>
      <c r="D128" s="2" t="inlineStr">
        <is>
          <t>Shampoo Reparación Total 5 Extreme 400 Ml Elvive</t>
        </is>
      </c>
      <c r="E128" s="2" t="inlineStr">
        <is>
          <t>ELVIVE</t>
        </is>
      </c>
      <c r="F128" s="2" t="n">
        <v>11123</v>
      </c>
      <c r="G128" s="2" t="n">
        <v>919256</v>
      </c>
      <c r="H128" s="2" t="b">
        <v>1</v>
      </c>
      <c r="I128" s="2" t="n">
        <v>400</v>
      </c>
      <c r="J128" s="2" t="n">
        <v>27.8075</v>
      </c>
      <c r="K128" s="2" t="inlineStr">
        <is>
          <t>&gt; Perfumería &gt; Cuidado Capilar &gt; Shampoo &gt;</t>
        </is>
      </c>
      <c r="L128" s="2" t="inlineStr">
        <is>
          <t>shampoo</t>
        </is>
      </c>
      <c r="M128" s="2" t="inlineStr">
        <is>
          <t>profesional</t>
        </is>
      </c>
      <c r="N128" s="2" t="inlineStr">
        <is>
          <t>general</t>
        </is>
      </c>
      <c r="O128" s="2" t="inlineStr">
        <is>
          <t>https://www.jumbo.com.ar/shampoo-elvive-reparacion-total-5-extreme-400-ml/p</t>
        </is>
      </c>
      <c r="P128" s="4">
        <f>TRIM(CLEAN(PROPER(D128)))</f>
        <v/>
      </c>
      <c r="Q128" s="4">
        <f>PROPER(TRIM(SUBSTITUTE(SUBSTITUTE(SUBSTITUTE(SUBSTITUTE(E128,"TRESEMME","Tresemme"),"HEAD &amp; SHOULDERS","Head &amp; Shoulders"),"ELVIVE","Elvive"),"FRUCTIS","Fructis")))</f>
        <v/>
      </c>
      <c r="R128" s="4">
        <f>COUNTIF($D$2:$D$10000,D128)&gt;1</f>
        <v/>
      </c>
      <c r="S128" s="4">
        <f>IF(H128=TRUE,"Disponible","No disponible")</f>
        <v/>
      </c>
      <c r="T128" s="4">
        <f>IF(AND(ISNUMBER(I128),I128&gt;0),ROUND(F128/I128,2),"Sin volumen")</f>
        <v/>
      </c>
      <c r="U128" s="4">
        <f>IF(F128&lt;5000,"Bajo",IF(F128&lt;15000,"Medio","Alto"))</f>
        <v/>
      </c>
    </row>
    <row r="129">
      <c r="A129" t="inlineStr">
        <is>
          <t>Jumbo</t>
        </is>
      </c>
      <c r="B129" t="n">
        <v>401198</v>
      </c>
      <c r="C129" t="n">
        <v>398536</v>
      </c>
      <c r="D129" t="inlineStr">
        <is>
          <t>Shampoo Equilibrio Raíz y Puntas 700 Ml Pantene</t>
        </is>
      </c>
      <c r="E129" t="inlineStr">
        <is>
          <t>PANTENE</t>
        </is>
      </c>
      <c r="F129" t="n">
        <v>17600</v>
      </c>
      <c r="G129" t="n">
        <v>1454545</v>
      </c>
      <c r="H129" t="b">
        <v>1</v>
      </c>
      <c r="I129" t="n">
        <v>700</v>
      </c>
      <c r="J129" t="n">
        <v>25.1429</v>
      </c>
      <c r="K129" t="inlineStr">
        <is>
          <t>&gt; Perfumería &gt; Cuidado Capilar &gt; Shampoo &gt;</t>
        </is>
      </c>
      <c r="L129" t="inlineStr">
        <is>
          <t>shampoo</t>
        </is>
      </c>
      <c r="M129" t="inlineStr">
        <is>
          <t>estandar</t>
        </is>
      </c>
      <c r="N129" t="inlineStr">
        <is>
          <t>general</t>
        </is>
      </c>
      <c r="O129" t="inlineStr">
        <is>
          <t>https://www.jumbo.com.ar/shampoo-equilibrante-equilibrio-raiz-y-puntas-700-ml-pantene/p</t>
        </is>
      </c>
      <c r="P129">
        <f>TRIM(CLEAN(PROPER(D129)))</f>
        <v/>
      </c>
      <c r="Q129">
        <f>PROPER(TRIM(SUBSTITUTE(SUBSTITUTE(SUBSTITUTE(SUBSTITUTE(E129,"TRESEMME","Tresemme"),"HEAD &amp; SHOULDERS","Head &amp; Shoulders"),"ELVIVE","Elvive"),"FRUCTIS","Fructis")))</f>
        <v/>
      </c>
      <c r="R129">
        <f>COUNTIF($D$2:$D$10000,D129)&gt;1</f>
        <v/>
      </c>
      <c r="S129">
        <f>IF(H129=TRUE,"Disponible","No disponible")</f>
        <v/>
      </c>
      <c r="T129">
        <f>IF(AND(ISNUMBER(I129),I129&gt;0),ROUND(F129/I129,2),"Sin volumen")</f>
        <v/>
      </c>
      <c r="U129">
        <f>IF(F129&lt;5000,"Bajo",IF(F129&lt;15000,"Medio","Alto"))</f>
        <v/>
      </c>
    </row>
    <row r="130">
      <c r="A130" s="2" t="inlineStr">
        <is>
          <t>Jumbo</t>
        </is>
      </c>
      <c r="B130" s="2" t="n">
        <v>384041</v>
      </c>
      <c r="C130" s="2" t="n">
        <v>382754</v>
      </c>
      <c r="D130" s="2" t="inlineStr">
        <is>
          <t>Shampoo Garnier Fructis Hair Food Coco 300 Ml</t>
        </is>
      </c>
      <c r="E130" s="2" t="inlineStr">
        <is>
          <t>FRUCTIS</t>
        </is>
      </c>
      <c r="F130" s="2" t="n">
        <v>12050</v>
      </c>
      <c r="G130" s="2" t="n">
        <v>995868</v>
      </c>
      <c r="H130" s="2" t="b">
        <v>1</v>
      </c>
      <c r="I130" s="2" t="n">
        <v>300</v>
      </c>
      <c r="J130" s="2" t="n">
        <v>40.1667</v>
      </c>
      <c r="K130" s="2" t="inlineStr">
        <is>
          <t>&gt; Perfumería &gt; Cuidado Capilar &gt; Shampoo &gt;</t>
        </is>
      </c>
      <c r="L130" s="2" t="inlineStr">
        <is>
          <t>shampoo</t>
        </is>
      </c>
      <c r="M130" s="2" t="inlineStr">
        <is>
          <t>estandar</t>
        </is>
      </c>
      <c r="N130" s="2" t="inlineStr">
        <is>
          <t>general</t>
        </is>
      </c>
      <c r="O130" s="2" t="inlineStr">
        <is>
          <t>https://www.jumbo.com.ar/shampoo-garnier-fructis-hair-food-coco-300-ml/p</t>
        </is>
      </c>
      <c r="P130" s="4">
        <f>TRIM(CLEAN(PROPER(D130)))</f>
        <v/>
      </c>
      <c r="Q130" s="4">
        <f>PROPER(TRIM(SUBSTITUTE(SUBSTITUTE(SUBSTITUTE(SUBSTITUTE(E130,"TRESEMME","Tresemme"),"HEAD &amp; SHOULDERS","Head &amp; Shoulders"),"ELVIVE","Elvive"),"FRUCTIS","Fructis")))</f>
        <v/>
      </c>
      <c r="R130" s="4">
        <f>COUNTIF($D$2:$D$10000,D130)&gt;1</f>
        <v/>
      </c>
      <c r="S130" s="4">
        <f>IF(H130=TRUE,"Disponible","No disponible")</f>
        <v/>
      </c>
      <c r="T130" s="4">
        <f>IF(AND(ISNUMBER(I130),I130&gt;0),ROUND(F130/I130,2),"Sin volumen")</f>
        <v/>
      </c>
      <c r="U130" s="4">
        <f>IF(F130&lt;5000,"Bajo",IF(F130&lt;15000,"Medio","Alto"))</f>
        <v/>
      </c>
    </row>
    <row r="131">
      <c r="A131" t="inlineStr">
        <is>
          <t>Jumbo</t>
        </is>
      </c>
      <c r="B131" t="n">
        <v>375297</v>
      </c>
      <c r="C131" t="n">
        <v>374015</v>
      </c>
      <c r="D131" t="inlineStr">
        <is>
          <t>Shampoo Matizador Color Vive Violeta 200 Ml Elvive</t>
        </is>
      </c>
      <c r="E131" t="inlineStr">
        <is>
          <t>ELVIVE</t>
        </is>
      </c>
      <c r="F131" t="n">
        <v>8050</v>
      </c>
      <c r="G131" t="n">
        <v>665289</v>
      </c>
      <c r="H131" t="b">
        <v>1</v>
      </c>
      <c r="I131" t="n">
        <v>200</v>
      </c>
      <c r="J131" t="n">
        <v>40.25</v>
      </c>
      <c r="K131" t="inlineStr">
        <is>
          <t>&gt; Perfumería &gt; Cuidado Capilar &gt; Shampoo &gt;</t>
        </is>
      </c>
      <c r="L131" t="inlineStr">
        <is>
          <t>shampoo</t>
        </is>
      </c>
      <c r="M131" t="inlineStr">
        <is>
          <t>profesional</t>
        </is>
      </c>
      <c r="N131" t="inlineStr">
        <is>
          <t>tratado</t>
        </is>
      </c>
      <c r="O131" t="inlineStr">
        <is>
          <t>https://www.jumbo.com.ar/shampoo-elvive-colorvive-200-ml/p</t>
        </is>
      </c>
      <c r="P131">
        <f>TRIM(CLEAN(PROPER(D131)))</f>
        <v/>
      </c>
      <c r="Q131">
        <f>PROPER(TRIM(SUBSTITUTE(SUBSTITUTE(SUBSTITUTE(SUBSTITUTE(E131,"TRESEMME","Tresemme"),"HEAD &amp; SHOULDERS","Head &amp; Shoulders"),"ELVIVE","Elvive"),"FRUCTIS","Fructis")))</f>
        <v/>
      </c>
      <c r="R131">
        <f>COUNTIF($D$2:$D$10000,D131)&gt;1</f>
        <v/>
      </c>
      <c r="S131">
        <f>IF(H131=TRUE,"Disponible","No disponible")</f>
        <v/>
      </c>
      <c r="T131">
        <f>IF(AND(ISNUMBER(I131),I131&gt;0),ROUND(F131/I131,2),"Sin volumen")</f>
        <v/>
      </c>
      <c r="U131">
        <f>IF(F131&lt;5000,"Bajo",IF(F131&lt;15000,"Medio","Alto"))</f>
        <v/>
      </c>
    </row>
    <row r="132">
      <c r="A132" s="2" t="inlineStr">
        <is>
          <t>Jumbo</t>
        </is>
      </c>
      <c r="B132" s="2" t="n">
        <v>3085237</v>
      </c>
      <c r="C132" s="2" t="n">
        <v>3084470</v>
      </c>
      <c r="D132" s="2" t="inlineStr">
        <is>
          <t>Shampoo Rizos Definidos Oleo Extraordinario 200 Ml Elvive</t>
        </is>
      </c>
      <c r="E132" s="2" t="inlineStr">
        <is>
          <t>ELVIVE</t>
        </is>
      </c>
      <c r="F132" s="2" t="n">
        <v>7200</v>
      </c>
      <c r="G132" s="2" t="n">
        <v>595041</v>
      </c>
      <c r="H132" s="2" t="b">
        <v>1</v>
      </c>
      <c r="I132" s="2" t="n">
        <v>200</v>
      </c>
      <c r="J132" s="2" t="n">
        <v>36</v>
      </c>
      <c r="K132" s="2" t="inlineStr">
        <is>
          <t>&gt; Perfumería &gt; Cuidado Capilar &gt; Shampoo &gt;</t>
        </is>
      </c>
      <c r="L132" s="2" t="inlineStr">
        <is>
          <t>shampoo</t>
        </is>
      </c>
      <c r="M132" s="2" t="inlineStr">
        <is>
          <t>profesional</t>
        </is>
      </c>
      <c r="N132" s="2" t="inlineStr">
        <is>
          <t>rizado</t>
        </is>
      </c>
      <c r="O132" s="2" t="inlineStr">
        <is>
          <t>https://www.jumbo.com.ar/shampoo-elvive-oleo-extraordinario-x-200-ml-2/p</t>
        </is>
      </c>
      <c r="P132" s="4">
        <f>TRIM(CLEAN(PROPER(D132)))</f>
        <v/>
      </c>
      <c r="Q132" s="4">
        <f>PROPER(TRIM(SUBSTITUTE(SUBSTITUTE(SUBSTITUTE(SUBSTITUTE(E132,"TRESEMME","Tresemme"),"HEAD &amp; SHOULDERS","Head &amp; Shoulders"),"ELVIVE","Elvive"),"FRUCTIS","Fructis")))</f>
        <v/>
      </c>
      <c r="R132" s="4">
        <f>COUNTIF($D$2:$D$10000,D132)&gt;1</f>
        <v/>
      </c>
      <c r="S132" s="4">
        <f>IF(H132=TRUE,"Disponible","No disponible")</f>
        <v/>
      </c>
      <c r="T132" s="4">
        <f>IF(AND(ISNUMBER(I132),I132&gt;0),ROUND(F132/I132,2),"Sin volumen")</f>
        <v/>
      </c>
      <c r="U132" s="4">
        <f>IF(F132&lt;5000,"Bajo",IF(F132&lt;15000,"Medio","Alto"))</f>
        <v/>
      </c>
    </row>
    <row r="133">
      <c r="A133" t="inlineStr">
        <is>
          <t>Jumbo</t>
        </is>
      </c>
      <c r="B133" t="n">
        <v>3070169</v>
      </c>
      <c r="C133" t="n">
        <v>3069764</v>
      </c>
      <c r="D133" t="inlineStr">
        <is>
          <t>Shampoo Voluminizador Pro-V Miracles 700 Ml Pantene</t>
        </is>
      </c>
      <c r="E133" t="inlineStr">
        <is>
          <t>PANTENE</t>
        </is>
      </c>
      <c r="F133" t="n">
        <v>17600</v>
      </c>
      <c r="G133" t="n">
        <v>1454545</v>
      </c>
      <c r="H133" t="b">
        <v>1</v>
      </c>
      <c r="I133" t="n">
        <v>700</v>
      </c>
      <c r="J133" t="n">
        <v>25.1429</v>
      </c>
      <c r="K133" t="inlineStr">
        <is>
          <t>&gt; Perfumería &gt; Cuidado Capilar &gt; Shampoo &gt;</t>
        </is>
      </c>
      <c r="L133" t="inlineStr">
        <is>
          <t>shampoo</t>
        </is>
      </c>
      <c r="M133" t="inlineStr">
        <is>
          <t>profesional</t>
        </is>
      </c>
      <c r="N133" t="inlineStr">
        <is>
          <t>general</t>
        </is>
      </c>
      <c r="O133" t="inlineStr">
        <is>
          <t>https://www.jumbo.com.ar/shampoo-pro-v-miracles-volumizador-x-700-ml-pantene/p</t>
        </is>
      </c>
      <c r="P133">
        <f>TRIM(CLEAN(PROPER(D133)))</f>
        <v/>
      </c>
      <c r="Q133">
        <f>PROPER(TRIM(SUBSTITUTE(SUBSTITUTE(SUBSTITUTE(SUBSTITUTE(E133,"TRESEMME","Tresemme"),"HEAD &amp; SHOULDERS","Head &amp; Shoulders"),"ELVIVE","Elvive"),"FRUCTIS","Fructis")))</f>
        <v/>
      </c>
      <c r="R133">
        <f>COUNTIF($D$2:$D$10000,D133)&gt;1</f>
        <v/>
      </c>
      <c r="S133">
        <f>IF(H133=TRUE,"Disponible","No disponible")</f>
        <v/>
      </c>
      <c r="T133">
        <f>IF(AND(ISNUMBER(I133),I133&gt;0),ROUND(F133/I133,2),"Sin volumen")</f>
        <v/>
      </c>
      <c r="U133">
        <f>IF(F133&lt;5000,"Bajo",IF(F133&lt;15000,"Medio","Alto"))</f>
        <v/>
      </c>
    </row>
    <row r="134">
      <c r="A134" s="2" t="inlineStr">
        <is>
          <t>Jumbo</t>
        </is>
      </c>
      <c r="B134" s="2" t="n">
        <v>1360443</v>
      </c>
      <c r="C134" s="2" t="n">
        <v>1360027</v>
      </c>
      <c r="D134" s="2" t="inlineStr">
        <is>
          <t>Shampoo Keratina Repara y Protege 200 Ml Pantene</t>
        </is>
      </c>
      <c r="E134" s="2" t="inlineStr">
        <is>
          <t>PANTENE</t>
        </is>
      </c>
      <c r="F134" s="2" t="n">
        <v>6750</v>
      </c>
      <c r="G134" s="2" t="n">
        <v>557851</v>
      </c>
      <c r="H134" s="2" t="b">
        <v>1</v>
      </c>
      <c r="I134" s="2" t="n">
        <v>200</v>
      </c>
      <c r="J134" s="2" t="n">
        <v>33.75</v>
      </c>
      <c r="K134" s="2" t="inlineStr">
        <is>
          <t>&gt; Perfumería &gt; Cuidado Capilar &gt; Shampoo &gt;</t>
        </is>
      </c>
      <c r="L134" s="2" t="inlineStr">
        <is>
          <t>shampoo</t>
        </is>
      </c>
      <c r="M134" s="2" t="inlineStr">
        <is>
          <t>estandar</t>
        </is>
      </c>
      <c r="N134" s="2" t="inlineStr">
        <is>
          <t>tratado</t>
        </is>
      </c>
      <c r="O134" s="2" t="inlineStr">
        <is>
          <t>https://www.jumbo.com.ar/shampoo-keratina-200-ml-pantene/p</t>
        </is>
      </c>
      <c r="P134" s="4">
        <f>TRIM(CLEAN(PROPER(D134)))</f>
        <v/>
      </c>
      <c r="Q134" s="4">
        <f>PROPER(TRIM(SUBSTITUTE(SUBSTITUTE(SUBSTITUTE(SUBSTITUTE(E134,"TRESEMME","Tresemme"),"HEAD &amp; SHOULDERS","Head &amp; Shoulders"),"ELVIVE","Elvive"),"FRUCTIS","Fructis")))</f>
        <v/>
      </c>
      <c r="R134" s="4">
        <f>COUNTIF($D$2:$D$10000,D134)&gt;1</f>
        <v/>
      </c>
      <c r="S134" s="4">
        <f>IF(H134=TRUE,"Disponible","No disponible")</f>
        <v/>
      </c>
      <c r="T134" s="4">
        <f>IF(AND(ISNUMBER(I134),I134&gt;0),ROUND(F134/I134,2),"Sin volumen")</f>
        <v/>
      </c>
      <c r="U134" s="4">
        <f>IF(F134&lt;5000,"Bajo",IF(F134&lt;15000,"Medio","Alto"))</f>
        <v/>
      </c>
    </row>
    <row r="135">
      <c r="A135" t="inlineStr">
        <is>
          <t>Jumbo</t>
        </is>
      </c>
      <c r="B135" t="n">
        <v>411921</v>
      </c>
      <c r="C135" t="n">
        <v>407642</v>
      </c>
      <c r="D135" t="inlineStr">
        <is>
          <t>Tintura en Shampoo Express Rubio 25 Ml Issue</t>
        </is>
      </c>
      <c r="E135" t="inlineStr">
        <is>
          <t>ISSUE</t>
        </is>
      </c>
      <c r="F135" t="n">
        <v>4950</v>
      </c>
      <c r="G135" t="n">
        <v>409091</v>
      </c>
      <c r="H135" t="b">
        <v>1</v>
      </c>
      <c r="I135" t="n">
        <v>25</v>
      </c>
      <c r="J135" t="n">
        <v>198</v>
      </c>
      <c r="K135" t="inlineStr">
        <is>
          <t>&gt; Perfumería &gt; Cuidado Capilar &gt; Coloración &gt;</t>
        </is>
      </c>
      <c r="L135" t="inlineStr">
        <is>
          <t>shampoo</t>
        </is>
      </c>
      <c r="M135" t="inlineStr">
        <is>
          <t>estandar</t>
        </is>
      </c>
      <c r="N135" t="inlineStr">
        <is>
          <t>tratado</t>
        </is>
      </c>
      <c r="O135" t="inlineStr">
        <is>
          <t>https://www.jumbo.com.ar/shampoo-issue-express-color-rubio-25-ml/p</t>
        </is>
      </c>
      <c r="P135">
        <f>TRIM(CLEAN(PROPER(D135)))</f>
        <v/>
      </c>
      <c r="Q135">
        <f>PROPER(TRIM(SUBSTITUTE(SUBSTITUTE(SUBSTITUTE(SUBSTITUTE(E135,"TRESEMME","Tresemme"),"HEAD &amp; SHOULDERS","Head &amp; Shoulders"),"ELVIVE","Elvive"),"FRUCTIS","Fructis")))</f>
        <v/>
      </c>
      <c r="R135">
        <f>COUNTIF($D$2:$D$10000,D135)&gt;1</f>
        <v/>
      </c>
      <c r="S135">
        <f>IF(H135=TRUE,"Disponible","No disponible")</f>
        <v/>
      </c>
      <c r="T135">
        <f>IF(AND(ISNUMBER(I135),I135&gt;0),ROUND(F135/I135,2),"Sin volumen")</f>
        <v/>
      </c>
      <c r="U135">
        <f>IF(F135&lt;5000,"Bajo",IF(F135&lt;15000,"Medio","Alto"))</f>
        <v/>
      </c>
    </row>
    <row r="136">
      <c r="A136" s="2" t="inlineStr">
        <is>
          <t>Jumbo</t>
        </is>
      </c>
      <c r="B136" s="2" t="n">
        <v>411920</v>
      </c>
      <c r="C136" s="2" t="n">
        <v>407641</v>
      </c>
      <c r="D136" s="2" t="inlineStr">
        <is>
          <t>Shampoo Tintura Cobertura de Canas Negro 25 Ml Issue</t>
        </is>
      </c>
      <c r="E136" s="2" t="inlineStr">
        <is>
          <t>ISSUE</t>
        </is>
      </c>
      <c r="F136" s="2" t="n">
        <v>4950</v>
      </c>
      <c r="G136" s="2" t="n">
        <v>409091</v>
      </c>
      <c r="H136" s="2" t="b">
        <v>1</v>
      </c>
      <c r="I136" s="2" t="n">
        <v>25</v>
      </c>
      <c r="J136" s="2" t="n">
        <v>198</v>
      </c>
      <c r="K136" s="2" t="inlineStr">
        <is>
          <t>&gt; Perfumería &gt; Cuidado Capilar &gt; Coloración &gt;</t>
        </is>
      </c>
      <c r="L136" s="2" t="inlineStr">
        <is>
          <t>shampoo</t>
        </is>
      </c>
      <c r="M136" s="2" t="inlineStr">
        <is>
          <t>estandar</t>
        </is>
      </c>
      <c r="N136" s="2" t="inlineStr">
        <is>
          <t>tratado</t>
        </is>
      </c>
      <c r="O136" s="2" t="inlineStr">
        <is>
          <t>https://www.jumbo.com.ar/shampoo-issue-color-express-negro-25-ml/p</t>
        </is>
      </c>
      <c r="P136" s="4">
        <f>TRIM(CLEAN(PROPER(D136)))</f>
        <v/>
      </c>
      <c r="Q136" s="4">
        <f>PROPER(TRIM(SUBSTITUTE(SUBSTITUTE(SUBSTITUTE(SUBSTITUTE(E136,"TRESEMME","Tresemme"),"HEAD &amp; SHOULDERS","Head &amp; Shoulders"),"ELVIVE","Elvive"),"FRUCTIS","Fructis")))</f>
        <v/>
      </c>
      <c r="R136" s="4">
        <f>COUNTIF($D$2:$D$10000,D136)&gt;1</f>
        <v/>
      </c>
      <c r="S136" s="4">
        <f>IF(H136=TRUE,"Disponible","No disponible")</f>
        <v/>
      </c>
      <c r="T136" s="4">
        <f>IF(AND(ISNUMBER(I136),I136&gt;0),ROUND(F136/I136,2),"Sin volumen")</f>
        <v/>
      </c>
      <c r="U136" s="4">
        <f>IF(F136&lt;5000,"Bajo",IF(F136&lt;15000,"Medio","Alto"))</f>
        <v/>
      </c>
    </row>
    <row r="137">
      <c r="A137" t="inlineStr">
        <is>
          <t>Jumbo</t>
        </is>
      </c>
      <c r="B137" t="n">
        <v>389286</v>
      </c>
      <c r="C137" t="n">
        <v>387392</v>
      </c>
      <c r="D137" t="inlineStr">
        <is>
          <t>Shampoo Colageno Y Vitamina C 340 Ml Sedal</t>
        </is>
      </c>
      <c r="E137" t="inlineStr">
        <is>
          <t>SEDAL</t>
        </is>
      </c>
      <c r="F137" t="n">
        <v>5800</v>
      </c>
      <c r="G137" t="n">
        <v>479339</v>
      </c>
      <c r="H137" t="b">
        <v>1</v>
      </c>
      <c r="I137" t="n">
        <v>340</v>
      </c>
      <c r="J137" t="n">
        <v>17.0588</v>
      </c>
      <c r="K137" t="inlineStr">
        <is>
          <t>&gt; Perfumería &gt; Cuidado Capilar &gt; Shampoo &gt;</t>
        </is>
      </c>
      <c r="L137" t="inlineStr">
        <is>
          <t>shampoo</t>
        </is>
      </c>
      <c r="M137" t="inlineStr">
        <is>
          <t>estandar</t>
        </is>
      </c>
      <c r="N137" t="inlineStr">
        <is>
          <t>general</t>
        </is>
      </c>
      <c r="O137" t="inlineStr">
        <is>
          <t>https://www.jumbo.com.ar/shampoo-colageno-y-vitamina-c-340-ml-sedal/p</t>
        </is>
      </c>
      <c r="P137">
        <f>TRIM(CLEAN(PROPER(D137)))</f>
        <v/>
      </c>
      <c r="Q137">
        <f>PROPER(TRIM(SUBSTITUTE(SUBSTITUTE(SUBSTITUTE(SUBSTITUTE(E137,"TRESEMME","Tresemme"),"HEAD &amp; SHOULDERS","Head &amp; Shoulders"),"ELVIVE","Elvive"),"FRUCTIS","Fructis")))</f>
        <v/>
      </c>
      <c r="R137">
        <f>COUNTIF($D$2:$D$10000,D137)&gt;1</f>
        <v/>
      </c>
      <c r="S137">
        <f>IF(H137=TRUE,"Disponible","No disponible")</f>
        <v/>
      </c>
      <c r="T137">
        <f>IF(AND(ISNUMBER(I137),I137&gt;0),ROUND(F137/I137,2),"Sin volumen")</f>
        <v/>
      </c>
      <c r="U137">
        <f>IF(F137&lt;5000,"Bajo",IF(F137&lt;15000,"Medio","Alto"))</f>
        <v/>
      </c>
    </row>
    <row r="138">
      <c r="A138" s="2" t="inlineStr">
        <is>
          <t>Jumbo</t>
        </is>
      </c>
      <c r="B138" s="2" t="n">
        <v>349088</v>
      </c>
      <c r="C138" s="2" t="n">
        <v>347751</v>
      </c>
      <c r="D138" s="2" t="inlineStr">
        <is>
          <t>Shampoo 3 en 1 Active Fresh 400 Ml Dove</t>
        </is>
      </c>
      <c r="E138" s="2" t="inlineStr">
        <is>
          <t>DOVE</t>
        </is>
      </c>
      <c r="F138" s="2" t="n">
        <v>9505</v>
      </c>
      <c r="G138" s="2" t="n">
        <v>785537</v>
      </c>
      <c r="H138" s="2" t="b">
        <v>1</v>
      </c>
      <c r="I138" s="2" t="n">
        <v>400</v>
      </c>
      <c r="J138" s="2" t="n">
        <v>23.7625</v>
      </c>
      <c r="K138" s="2" t="inlineStr">
        <is>
          <t>&gt; Perfumería &gt; Cuidado Capilar &gt; Shampoo &gt;</t>
        </is>
      </c>
      <c r="L138" s="2" t="inlineStr">
        <is>
          <t>shampoo</t>
        </is>
      </c>
      <c r="M138" s="2" t="inlineStr">
        <is>
          <t>estandar</t>
        </is>
      </c>
      <c r="N138" s="2" t="inlineStr">
        <is>
          <t>general</t>
        </is>
      </c>
      <c r="O138" s="2" t="inlineStr">
        <is>
          <t>https://www.jumbo.com.ar/shampoo-para-hombre-dove-active-fresh-3-en-1-400-ml/p</t>
        </is>
      </c>
      <c r="P138" s="4">
        <f>TRIM(CLEAN(PROPER(D138)))</f>
        <v/>
      </c>
      <c r="Q138" s="4">
        <f>PROPER(TRIM(SUBSTITUTE(SUBSTITUTE(SUBSTITUTE(SUBSTITUTE(E138,"TRESEMME","Tresemme"),"HEAD &amp; SHOULDERS","Head &amp; Shoulders"),"ELVIVE","Elvive"),"FRUCTIS","Fructis")))</f>
        <v/>
      </c>
      <c r="R138" s="4">
        <f>COUNTIF($D$2:$D$10000,D138)&gt;1</f>
        <v/>
      </c>
      <c r="S138" s="4">
        <f>IF(H138=TRUE,"Disponible","No disponible")</f>
        <v/>
      </c>
      <c r="T138" s="4">
        <f>IF(AND(ISNUMBER(I138),I138&gt;0),ROUND(F138/I138,2),"Sin volumen")</f>
        <v/>
      </c>
      <c r="U138" s="4">
        <f>IF(F138&lt;5000,"Bajo",IF(F138&lt;15000,"Medio","Alto"))</f>
        <v/>
      </c>
    </row>
    <row r="139">
      <c r="A139" t="inlineStr">
        <is>
          <t>Jumbo</t>
        </is>
      </c>
      <c r="B139" t="n">
        <v>275435</v>
      </c>
      <c r="C139" t="n">
        <v>274731</v>
      </c>
      <c r="D139" t="inlineStr">
        <is>
          <t>Shampoo 3 en 1 Anti-Caspa 375 Ml Head y Shoulders</t>
        </is>
      </c>
      <c r="E139" t="inlineStr">
        <is>
          <t>HEAD &amp; SHOULDERS</t>
        </is>
      </c>
      <c r="F139" t="n">
        <v>12900</v>
      </c>
      <c r="G139" t="n">
        <v>1066116</v>
      </c>
      <c r="H139" t="b">
        <v>1</v>
      </c>
      <c r="I139" t="n">
        <v>375</v>
      </c>
      <c r="J139" t="n">
        <v>34.4</v>
      </c>
      <c r="K139" t="inlineStr">
        <is>
          <t>&gt; Perfumería &gt; Cuidado Capilar &gt; Shampoo &gt;</t>
        </is>
      </c>
      <c r="L139" t="inlineStr">
        <is>
          <t>shampoo</t>
        </is>
      </c>
      <c r="M139" t="inlineStr">
        <is>
          <t>estandar</t>
        </is>
      </c>
      <c r="N139" t="inlineStr">
        <is>
          <t>anticaspa</t>
        </is>
      </c>
      <c r="O139" t="inlineStr">
        <is>
          <t>https://www.jumbo.com.ar/shampoo-3-en-1-375-ml-head-shoulders-2/p</t>
        </is>
      </c>
      <c r="P139">
        <f>TRIM(CLEAN(PROPER(D139)))</f>
        <v/>
      </c>
      <c r="Q139">
        <f>PROPER(TRIM(SUBSTITUTE(SUBSTITUTE(SUBSTITUTE(SUBSTITUTE(E139,"TRESEMME","Tresemme"),"HEAD &amp; SHOULDERS","Head &amp; Shoulders"),"ELVIVE","Elvive"),"FRUCTIS","Fructis")))</f>
        <v/>
      </c>
      <c r="R139">
        <f>COUNTIF($D$2:$D$10000,D139)&gt;1</f>
        <v/>
      </c>
      <c r="S139">
        <f>IF(H139=TRUE,"Disponible","No disponible")</f>
        <v/>
      </c>
      <c r="T139">
        <f>IF(AND(ISNUMBER(I139),I139&gt;0),ROUND(F139/I139,2),"Sin volumen")</f>
        <v/>
      </c>
      <c r="U139">
        <f>IF(F139&lt;5000,"Bajo",IF(F139&lt;15000,"Medio","Alto"))</f>
        <v/>
      </c>
    </row>
    <row r="140">
      <c r="A140" s="2" t="inlineStr">
        <is>
          <t>Jumbo</t>
        </is>
      </c>
      <c r="B140" s="2" t="n">
        <v>424302</v>
      </c>
      <c r="C140" s="2" t="n">
        <v>417182</v>
      </c>
      <c r="D140" s="2" t="inlineStr">
        <is>
          <t>Shampoo Nutrición Cabello Seco Óleo de Coco 700 Ml Plusbelle</t>
        </is>
      </c>
      <c r="E140" s="2" t="inlineStr">
        <is>
          <t>PLUSBELLE</t>
        </is>
      </c>
      <c r="F140" s="2" t="n">
        <v>5550</v>
      </c>
      <c r="G140" s="2" t="n">
        <v>458678</v>
      </c>
      <c r="H140" s="2" t="b">
        <v>1</v>
      </c>
      <c r="I140" s="2" t="n">
        <v>700</v>
      </c>
      <c r="J140" s="2" t="n">
        <v>7.9286</v>
      </c>
      <c r="K140" s="2" t="inlineStr">
        <is>
          <t>&gt; Perfumería &gt; Cuidado Capilar &gt; Shampoo &gt;</t>
        </is>
      </c>
      <c r="L140" s="2" t="inlineStr">
        <is>
          <t>shampoo</t>
        </is>
      </c>
      <c r="M140" s="2" t="inlineStr">
        <is>
          <t>estandar</t>
        </is>
      </c>
      <c r="N140" s="2" t="inlineStr">
        <is>
          <t>seco_danado</t>
        </is>
      </c>
      <c r="O140" s="2" t="inlineStr">
        <is>
          <t>https://www.jumbo.com.ar/shampoo-plusbelle-esen-oleo-nut-coco-700-ml/p</t>
        </is>
      </c>
      <c r="P140" s="4">
        <f>TRIM(CLEAN(PROPER(D140)))</f>
        <v/>
      </c>
      <c r="Q140" s="4">
        <f>PROPER(TRIM(SUBSTITUTE(SUBSTITUTE(SUBSTITUTE(SUBSTITUTE(E140,"TRESEMME","Tresemme"),"HEAD &amp; SHOULDERS","Head &amp; Shoulders"),"ELVIVE","Elvive"),"FRUCTIS","Fructis")))</f>
        <v/>
      </c>
      <c r="R140" s="4">
        <f>COUNTIF($D$2:$D$10000,D140)&gt;1</f>
        <v/>
      </c>
      <c r="S140" s="4">
        <f>IF(H140=TRUE,"Disponible","No disponible")</f>
        <v/>
      </c>
      <c r="T140" s="4">
        <f>IF(AND(ISNUMBER(I140),I140&gt;0),ROUND(F140/I140,2),"Sin volumen")</f>
        <v/>
      </c>
      <c r="U140" s="4">
        <f>IF(F140&lt;5000,"Bajo",IF(F140&lt;15000,"Medio","Alto"))</f>
        <v/>
      </c>
    </row>
    <row r="141">
      <c r="A141" t="inlineStr">
        <is>
          <t>Jumbo</t>
        </is>
      </c>
      <c r="B141" t="n">
        <v>349085</v>
      </c>
      <c r="C141" t="n">
        <v>347748</v>
      </c>
      <c r="D141" t="inlineStr">
        <is>
          <t>Shampoo 2 en 1 Fuerza Extrema 400 Ml Dove</t>
        </is>
      </c>
      <c r="E141" t="inlineStr">
        <is>
          <t>DOVE</t>
        </is>
      </c>
      <c r="F141" t="n">
        <v>9505</v>
      </c>
      <c r="G141" t="n">
        <v>785537</v>
      </c>
      <c r="H141" t="b">
        <v>1</v>
      </c>
      <c r="I141" t="n">
        <v>400</v>
      </c>
      <c r="J141" t="n">
        <v>23.7625</v>
      </c>
      <c r="K141" t="inlineStr">
        <is>
          <t>&gt; Perfumería &gt; Cuidado Capilar &gt; Shampoo &gt;</t>
        </is>
      </c>
      <c r="L141" t="inlineStr">
        <is>
          <t>shampoo</t>
        </is>
      </c>
      <c r="M141" t="inlineStr">
        <is>
          <t>estandar</t>
        </is>
      </c>
      <c r="N141" t="inlineStr">
        <is>
          <t>general</t>
        </is>
      </c>
      <c r="O141" t="inlineStr">
        <is>
          <t>https://www.jumbo.com.ar/shampoo-dove-men-2en1-fuerza-extrema-400-ml/p</t>
        </is>
      </c>
      <c r="P141">
        <f>TRIM(CLEAN(PROPER(D141)))</f>
        <v/>
      </c>
      <c r="Q141">
        <f>PROPER(TRIM(SUBSTITUTE(SUBSTITUTE(SUBSTITUTE(SUBSTITUTE(E141,"TRESEMME","Tresemme"),"HEAD &amp; SHOULDERS","Head &amp; Shoulders"),"ELVIVE","Elvive"),"FRUCTIS","Fructis")))</f>
        <v/>
      </c>
      <c r="R141">
        <f>COUNTIF($D$2:$D$10000,D141)&gt;1</f>
        <v/>
      </c>
      <c r="S141">
        <f>IF(H141=TRUE,"Disponible","No disponible")</f>
        <v/>
      </c>
      <c r="T141">
        <f>IF(AND(ISNUMBER(I141),I141&gt;0),ROUND(F141/I141,2),"Sin volumen")</f>
        <v/>
      </c>
      <c r="U141">
        <f>IF(F141&lt;5000,"Bajo",IF(F141&lt;15000,"Medio","Alto"))</f>
        <v/>
      </c>
    </row>
    <row r="142">
      <c r="A142" s="2" t="inlineStr">
        <is>
          <t>Jumbo</t>
        </is>
      </c>
      <c r="B142" s="2" t="n">
        <v>3067728</v>
      </c>
      <c r="C142" s="2" t="n">
        <v>3067588</v>
      </c>
      <c r="D142" s="2" t="inlineStr">
        <is>
          <t>Shampoo Anticaída y Nutrición Biotinamina B3 510 Ml Pantene</t>
        </is>
      </c>
      <c r="E142" s="2" t="inlineStr">
        <is>
          <t>PANTENE</t>
        </is>
      </c>
      <c r="F142" s="2" t="n">
        <v>16750</v>
      </c>
      <c r="G142" s="2" t="n">
        <v>1384298</v>
      </c>
      <c r="H142" s="2" t="b">
        <v>1</v>
      </c>
      <c r="I142" s="2" t="n">
        <v>510</v>
      </c>
      <c r="J142" s="2" t="n">
        <v>32.8431</v>
      </c>
      <c r="K142" s="2" t="inlineStr">
        <is>
          <t>&gt; Perfumería &gt; Cuidado Capilar &gt; Shampoo &gt;</t>
        </is>
      </c>
      <c r="L142" s="2" t="inlineStr">
        <is>
          <t>shampoo</t>
        </is>
      </c>
      <c r="M142" s="2" t="inlineStr">
        <is>
          <t>estandar</t>
        </is>
      </c>
      <c r="N142" s="2" t="inlineStr">
        <is>
          <t>general</t>
        </is>
      </c>
      <c r="O142" s="2" t="inlineStr">
        <is>
          <t>https://www.jumbo.com.ar/shampoo-anti-caida-510-ml-pantene-2/p</t>
        </is>
      </c>
      <c r="P142" s="4">
        <f>TRIM(CLEAN(PROPER(D142)))</f>
        <v/>
      </c>
      <c r="Q142" s="4">
        <f>PROPER(TRIM(SUBSTITUTE(SUBSTITUTE(SUBSTITUTE(SUBSTITUTE(E142,"TRESEMME","Tresemme"),"HEAD &amp; SHOULDERS","Head &amp; Shoulders"),"ELVIVE","Elvive"),"FRUCTIS","Fructis")))</f>
        <v/>
      </c>
      <c r="R142" s="4">
        <f>COUNTIF($D$2:$D$10000,D142)&gt;1</f>
        <v/>
      </c>
      <c r="S142" s="4">
        <f>IF(H142=TRUE,"Disponible","No disponible")</f>
        <v/>
      </c>
      <c r="T142" s="4">
        <f>IF(AND(ISNUMBER(I142),I142&gt;0),ROUND(F142/I142,2),"Sin volumen")</f>
        <v/>
      </c>
      <c r="U142" s="4">
        <f>IF(F142&lt;5000,"Bajo",IF(F142&lt;15000,"Medio","Alto"))</f>
        <v/>
      </c>
    </row>
    <row r="143">
      <c r="A143" t="inlineStr">
        <is>
          <t>Jumbo</t>
        </is>
      </c>
      <c r="B143" t="n">
        <v>412484</v>
      </c>
      <c r="C143" t="n">
        <v>408093</v>
      </c>
      <c r="D143" t="inlineStr">
        <is>
          <t>Shampoo Liso Coco con Aceite de Coco y Keratina Vegetal 350 Ml Fructis</t>
        </is>
      </c>
      <c r="E143" t="inlineStr">
        <is>
          <t>FRUCTIS</t>
        </is>
      </c>
      <c r="F143" t="n">
        <v>8600</v>
      </c>
      <c r="G143" t="n">
        <v>710744</v>
      </c>
      <c r="H143" t="b">
        <v>1</v>
      </c>
      <c r="I143" t="n">
        <v>350</v>
      </c>
      <c r="J143" t="n">
        <v>24.5714</v>
      </c>
      <c r="K143" t="inlineStr">
        <is>
          <t>&gt; Perfumería &gt; Cuidado Capilar &gt; Shampoo &gt;</t>
        </is>
      </c>
      <c r="L143" t="inlineStr">
        <is>
          <t>shampoo</t>
        </is>
      </c>
      <c r="M143" t="inlineStr">
        <is>
          <t>estandar</t>
        </is>
      </c>
      <c r="N143" t="inlineStr">
        <is>
          <t>tratado</t>
        </is>
      </c>
      <c r="O143" t="inlineStr">
        <is>
          <t>https://www.jumbo.com.ar/shampoo-fructis-liso-coco-350ml-3/p</t>
        </is>
      </c>
      <c r="P143">
        <f>TRIM(CLEAN(PROPER(D143)))</f>
        <v/>
      </c>
      <c r="Q143">
        <f>PROPER(TRIM(SUBSTITUTE(SUBSTITUTE(SUBSTITUTE(SUBSTITUTE(E143,"TRESEMME","Tresemme"),"HEAD &amp; SHOULDERS","Head &amp; Shoulders"),"ELVIVE","Elvive"),"FRUCTIS","Fructis")))</f>
        <v/>
      </c>
      <c r="R143">
        <f>COUNTIF($D$2:$D$10000,D143)&gt;1</f>
        <v/>
      </c>
      <c r="S143">
        <f>IF(H143=TRUE,"Disponible","No disponible")</f>
        <v/>
      </c>
      <c r="T143">
        <f>IF(AND(ISNUMBER(I143),I143&gt;0),ROUND(F143/I143,2),"Sin volumen")</f>
        <v/>
      </c>
      <c r="U143">
        <f>IF(F143&lt;5000,"Bajo",IF(F143&lt;15000,"Medio","Alto"))</f>
        <v/>
      </c>
    </row>
    <row r="144">
      <c r="A144" s="2" t="inlineStr">
        <is>
          <t>Jumbo</t>
        </is>
      </c>
      <c r="B144" s="2" t="n">
        <v>404463</v>
      </c>
      <c r="C144" s="2" t="n">
        <v>401465</v>
      </c>
      <c r="D144" s="2" t="inlineStr">
        <is>
          <t>Shampoo Cabellos Grasos Menta y Lima 420 Ml Capilatis</t>
        </is>
      </c>
      <c r="E144" s="2" t="inlineStr">
        <is>
          <t>CAPILATIS</t>
        </is>
      </c>
      <c r="F144" s="2" t="n">
        <v>9650</v>
      </c>
      <c r="G144" s="2" t="n">
        <v>797521</v>
      </c>
      <c r="H144" s="2" t="b">
        <v>1</v>
      </c>
      <c r="I144" s="2" t="n">
        <v>420</v>
      </c>
      <c r="J144" s="2" t="n">
        <v>22.9762</v>
      </c>
      <c r="K144" s="2" t="inlineStr">
        <is>
          <t>&gt; Perfumería &gt; Cuidado Capilar &gt; Shampoo &gt;</t>
        </is>
      </c>
      <c r="L144" s="2" t="inlineStr">
        <is>
          <t>shampoo</t>
        </is>
      </c>
      <c r="M144" s="2" t="inlineStr">
        <is>
          <t>estandar</t>
        </is>
      </c>
      <c r="N144" s="2" t="inlineStr">
        <is>
          <t>graso</t>
        </is>
      </c>
      <c r="O144" s="2" t="inlineStr">
        <is>
          <t>https://www.jumbo.com.ar/shampoo-cabellos-grasos-420-ml-capilatis/p</t>
        </is>
      </c>
      <c r="P144" s="4">
        <f>TRIM(CLEAN(PROPER(D144)))</f>
        <v/>
      </c>
      <c r="Q144" s="4">
        <f>PROPER(TRIM(SUBSTITUTE(SUBSTITUTE(SUBSTITUTE(SUBSTITUTE(E144,"TRESEMME","Tresemme"),"HEAD &amp; SHOULDERS","Head &amp; Shoulders"),"ELVIVE","Elvive"),"FRUCTIS","Fructis")))</f>
        <v/>
      </c>
      <c r="R144" s="4">
        <f>COUNTIF($D$2:$D$10000,D144)&gt;1</f>
        <v/>
      </c>
      <c r="S144" s="4">
        <f>IF(H144=TRUE,"Disponible","No disponible")</f>
        <v/>
      </c>
      <c r="T144" s="4">
        <f>IF(AND(ISNUMBER(I144),I144&gt;0),ROUND(F144/I144,2),"Sin volumen")</f>
        <v/>
      </c>
      <c r="U144" s="4">
        <f>IF(F144&lt;5000,"Bajo",IF(F144&lt;15000,"Medio","Alto"))</f>
        <v/>
      </c>
    </row>
    <row r="145">
      <c r="A145" t="inlineStr">
        <is>
          <t>Jumbo</t>
        </is>
      </c>
      <c r="B145" t="n">
        <v>388717</v>
      </c>
      <c r="C145" t="n">
        <v>386829</v>
      </c>
      <c r="D145" t="inlineStr">
        <is>
          <t>Shampoo Óleo Extraordinario Nutrición Cabello Seco 750 Ml Elvive</t>
        </is>
      </c>
      <c r="E145" t="inlineStr">
        <is>
          <t>ELVIVE</t>
        </is>
      </c>
      <c r="F145" t="n">
        <v>19400</v>
      </c>
      <c r="G145" t="n">
        <v>1603306</v>
      </c>
      <c r="H145" t="b">
        <v>1</v>
      </c>
      <c r="I145" t="n">
        <v>750</v>
      </c>
      <c r="J145" t="n">
        <v>25.8667</v>
      </c>
      <c r="K145" t="inlineStr">
        <is>
          <t>&gt; Perfumería &gt; Cuidado Capilar &gt; Shampoo &gt;</t>
        </is>
      </c>
      <c r="L145" t="inlineStr">
        <is>
          <t>shampoo</t>
        </is>
      </c>
      <c r="M145" t="inlineStr">
        <is>
          <t>profesional</t>
        </is>
      </c>
      <c r="N145" t="inlineStr">
        <is>
          <t>seco_danado</t>
        </is>
      </c>
      <c r="O145" t="inlineStr">
        <is>
          <t>https://www.jumbo.com.ar/shampoo-elvive-oleo-extraordinario-nutricion-universal-750-ml/p</t>
        </is>
      </c>
      <c r="P145">
        <f>TRIM(CLEAN(PROPER(D145)))</f>
        <v/>
      </c>
      <c r="Q145">
        <f>PROPER(TRIM(SUBSTITUTE(SUBSTITUTE(SUBSTITUTE(SUBSTITUTE(E145,"TRESEMME","Tresemme"),"HEAD &amp; SHOULDERS","Head &amp; Shoulders"),"ELVIVE","Elvive"),"FRUCTIS","Fructis")))</f>
        <v/>
      </c>
      <c r="R145">
        <f>COUNTIF($D$2:$D$10000,D145)&gt;1</f>
        <v/>
      </c>
      <c r="S145">
        <f>IF(H145=TRUE,"Disponible","No disponible")</f>
        <v/>
      </c>
      <c r="T145">
        <f>IF(AND(ISNUMBER(I145),I145&gt;0),ROUND(F145/I145,2),"Sin volumen")</f>
        <v/>
      </c>
      <c r="U145">
        <f>IF(F145&lt;5000,"Bajo",IF(F145&lt;15000,"Medio","Alto"))</f>
        <v/>
      </c>
    </row>
    <row r="146">
      <c r="A146" s="2" t="inlineStr">
        <is>
          <t>Jumbo</t>
        </is>
      </c>
      <c r="B146" s="2" t="n">
        <v>3083503</v>
      </c>
      <c r="C146" s="2" t="n">
        <v>3082778</v>
      </c>
      <c r="D146" s="2" t="inlineStr">
        <is>
          <t>Shampoo Brillo Anti-residuos Glycolic Cristal 750 Ml Elvive</t>
        </is>
      </c>
      <c r="E146" s="2" t="inlineStr">
        <is>
          <t>ELVIVE</t>
        </is>
      </c>
      <c r="F146" s="2" t="n">
        <v>19150</v>
      </c>
      <c r="G146" s="2" t="n">
        <v>1582645</v>
      </c>
      <c r="H146" s="2" t="b">
        <v>1</v>
      </c>
      <c r="I146" s="2" t="n">
        <v>750</v>
      </c>
      <c r="J146" s="2" t="n">
        <v>25.5333</v>
      </c>
      <c r="K146" s="2" t="inlineStr">
        <is>
          <t>&gt; Perfumería &gt; Cuidado Capilar &gt; Shampoo &gt;</t>
        </is>
      </c>
      <c r="L146" s="2" t="inlineStr">
        <is>
          <t>shampoo</t>
        </is>
      </c>
      <c r="M146" s="2" t="inlineStr">
        <is>
          <t>profesional</t>
        </is>
      </c>
      <c r="N146" s="2" t="inlineStr">
        <is>
          <t>general</t>
        </is>
      </c>
      <c r="O146" s="2" t="inlineStr">
        <is>
          <t>https://www.jumbo.com.ar/shampoo-brillo-anti-residuos-glycolic-cristal-x-750-ml-elvive/p</t>
        </is>
      </c>
      <c r="P146" s="4">
        <f>TRIM(CLEAN(PROPER(D146)))</f>
        <v/>
      </c>
      <c r="Q146" s="4">
        <f>PROPER(TRIM(SUBSTITUTE(SUBSTITUTE(SUBSTITUTE(SUBSTITUTE(E146,"TRESEMME","Tresemme"),"HEAD &amp; SHOULDERS","Head &amp; Shoulders"),"ELVIVE","Elvive"),"FRUCTIS","Fructis")))</f>
        <v/>
      </c>
      <c r="R146" s="4">
        <f>COUNTIF($D$2:$D$10000,D146)&gt;1</f>
        <v/>
      </c>
      <c r="S146" s="4">
        <f>IF(H146=TRUE,"Disponible","No disponible")</f>
        <v/>
      </c>
      <c r="T146" s="4">
        <f>IF(AND(ISNUMBER(I146),I146&gt;0),ROUND(F146/I146,2),"Sin volumen")</f>
        <v/>
      </c>
      <c r="U146" s="4">
        <f>IF(F146&lt;5000,"Bajo",IF(F146&lt;15000,"Medio","Alto"))</f>
        <v/>
      </c>
    </row>
    <row r="147">
      <c r="A147" t="inlineStr">
        <is>
          <t>Jumbo</t>
        </is>
      </c>
      <c r="B147" t="n">
        <v>414717</v>
      </c>
      <c r="C147" t="n">
        <v>410418</v>
      </c>
      <c r="D147" t="inlineStr">
        <is>
          <t>Shampoo Para Niños Hidratación Intensa X 200 Ml Johnson's</t>
        </is>
      </c>
      <c r="E147" t="inlineStr">
        <is>
          <t>JOHNSON BABY</t>
        </is>
      </c>
      <c r="F147" t="n">
        <v>6550</v>
      </c>
      <c r="G147" t="n">
        <v>541322</v>
      </c>
      <c r="H147" t="b">
        <v>1</v>
      </c>
      <c r="I147" t="n">
        <v>200</v>
      </c>
      <c r="J147" t="n">
        <v>32.75</v>
      </c>
      <c r="K147" t="inlineStr">
        <is>
          <t>&gt; Mundo Bebe &gt; Higiene para el Bebe &gt; Higiene del Bebé &gt;</t>
        </is>
      </c>
      <c r="L147" t="inlineStr">
        <is>
          <t>shampoo</t>
        </is>
      </c>
      <c r="M147" t="inlineStr">
        <is>
          <t>estandar</t>
        </is>
      </c>
      <c r="N147" t="inlineStr">
        <is>
          <t>seco_danado</t>
        </is>
      </c>
      <c r="O147" t="inlineStr">
        <is>
          <t>https://www.jumbo.com.ar/shampoo-para-ninos-hidratacion-intensa-x-200-ml-johnson-s/p</t>
        </is>
      </c>
      <c r="P147">
        <f>TRIM(CLEAN(PROPER(D147)))</f>
        <v/>
      </c>
      <c r="Q147">
        <f>PROPER(TRIM(SUBSTITUTE(SUBSTITUTE(SUBSTITUTE(SUBSTITUTE(E147,"TRESEMME","Tresemme"),"HEAD &amp; SHOULDERS","Head &amp; Shoulders"),"ELVIVE","Elvive"),"FRUCTIS","Fructis")))</f>
        <v/>
      </c>
      <c r="R147">
        <f>COUNTIF($D$2:$D$10000,D147)&gt;1</f>
        <v/>
      </c>
      <c r="S147">
        <f>IF(H147=TRUE,"Disponible","No disponible")</f>
        <v/>
      </c>
      <c r="T147">
        <f>IF(AND(ISNUMBER(I147),I147&gt;0),ROUND(F147/I147,2),"Sin volumen")</f>
        <v/>
      </c>
      <c r="U147">
        <f>IF(F147&lt;5000,"Bajo",IF(F147&lt;15000,"Medio","Alto"))</f>
        <v/>
      </c>
    </row>
    <row r="148">
      <c r="A148" s="2" t="inlineStr">
        <is>
          <t>Jumbo</t>
        </is>
      </c>
      <c r="B148" s="2" t="n">
        <v>275438</v>
      </c>
      <c r="C148" s="2" t="n">
        <v>274734</v>
      </c>
      <c r="D148" s="2" t="inlineStr">
        <is>
          <t>Shampoo Anti-Caspa Anticaída 375 Ml Head y Shoulders</t>
        </is>
      </c>
      <c r="E148" s="2" t="inlineStr">
        <is>
          <t>HEAD &amp; SHOULDERS</t>
        </is>
      </c>
      <c r="F148" s="2" t="n">
        <v>12650</v>
      </c>
      <c r="G148" s="2" t="n">
        <v>1045455</v>
      </c>
      <c r="H148" s="2" t="b">
        <v>1</v>
      </c>
      <c r="I148" s="2" t="n">
        <v>375</v>
      </c>
      <c r="J148" s="2" t="n">
        <v>33.7333</v>
      </c>
      <c r="K148" s="2" t="inlineStr">
        <is>
          <t>&gt; Perfumería &gt; Cuidado Capilar &gt; Shampoo &gt;</t>
        </is>
      </c>
      <c r="L148" s="2" t="inlineStr">
        <is>
          <t>shampoo</t>
        </is>
      </c>
      <c r="M148" s="2" t="inlineStr">
        <is>
          <t>estandar</t>
        </is>
      </c>
      <c r="N148" s="2" t="inlineStr">
        <is>
          <t>anticaspa</t>
        </is>
      </c>
      <c r="O148" s="2" t="inlineStr">
        <is>
          <t>https://www.jumbo.com.ar/shampoo-antifall-375-ml-head-shoulders-2/p</t>
        </is>
      </c>
      <c r="P148" s="4">
        <f>TRIM(CLEAN(PROPER(D148)))</f>
        <v/>
      </c>
      <c r="Q148" s="4">
        <f>PROPER(TRIM(SUBSTITUTE(SUBSTITUTE(SUBSTITUTE(SUBSTITUTE(E148,"TRESEMME","Tresemme"),"HEAD &amp; SHOULDERS","Head &amp; Shoulders"),"ELVIVE","Elvive"),"FRUCTIS","Fructis")))</f>
        <v/>
      </c>
      <c r="R148" s="4">
        <f>COUNTIF($D$2:$D$10000,D148)&gt;1</f>
        <v/>
      </c>
      <c r="S148" s="4">
        <f>IF(H148=TRUE,"Disponible","No disponible")</f>
        <v/>
      </c>
      <c r="T148" s="4">
        <f>IF(AND(ISNUMBER(I148),I148&gt;0),ROUND(F148/I148,2),"Sin volumen")</f>
        <v/>
      </c>
      <c r="U148" s="4">
        <f>IF(F148&lt;5000,"Bajo",IF(F148&lt;15000,"Medio","Alto"))</f>
        <v/>
      </c>
    </row>
    <row r="149">
      <c r="A149" t="inlineStr">
        <is>
          <t>Jumbo</t>
        </is>
      </c>
      <c r="B149" t="n">
        <v>275414</v>
      </c>
      <c r="C149" t="n">
        <v>274710</v>
      </c>
      <c r="D149" t="inlineStr">
        <is>
          <t>Shampoo Anti-Caspa Manzana 180 Ml Head y Shoulders</t>
        </is>
      </c>
      <c r="E149" t="inlineStr">
        <is>
          <t>HEAD &amp; SHOULDERS</t>
        </is>
      </c>
      <c r="F149" t="n">
        <v>7800</v>
      </c>
      <c r="G149" t="n">
        <v>644628</v>
      </c>
      <c r="H149" t="b">
        <v>1</v>
      </c>
      <c r="I149" t="n">
        <v>180</v>
      </c>
      <c r="J149" t="n">
        <v>43.3333</v>
      </c>
      <c r="K149" t="inlineStr">
        <is>
          <t>&gt; Perfumería &gt; Cuidado Capilar &gt; Shampoo &gt;</t>
        </is>
      </c>
      <c r="L149" t="inlineStr">
        <is>
          <t>shampoo</t>
        </is>
      </c>
      <c r="M149" t="inlineStr">
        <is>
          <t>estandar</t>
        </is>
      </c>
      <c r="N149" t="inlineStr">
        <is>
          <t>anticaspa</t>
        </is>
      </c>
      <c r="O149" t="inlineStr">
        <is>
          <t>https://www.jumbo.com.ar/shampoo-apple-180-ml-head-shoulders-2/p</t>
        </is>
      </c>
      <c r="P149">
        <f>TRIM(CLEAN(PROPER(D149)))</f>
        <v/>
      </c>
      <c r="Q149">
        <f>PROPER(TRIM(SUBSTITUTE(SUBSTITUTE(SUBSTITUTE(SUBSTITUTE(E149,"TRESEMME","Tresemme"),"HEAD &amp; SHOULDERS","Head &amp; Shoulders"),"ELVIVE","Elvive"),"FRUCTIS","Fructis")))</f>
        <v/>
      </c>
      <c r="R149">
        <f>COUNTIF($D$2:$D$10000,D149)&gt;1</f>
        <v/>
      </c>
      <c r="S149">
        <f>IF(H149=TRUE,"Disponible","No disponible")</f>
        <v/>
      </c>
      <c r="T149">
        <f>IF(AND(ISNUMBER(I149),I149&gt;0),ROUND(F149/I149,2),"Sin volumen")</f>
        <v/>
      </c>
      <c r="U149">
        <f>IF(F149&lt;5000,"Bajo",IF(F149&lt;15000,"Medio","Alto"))</f>
        <v/>
      </c>
    </row>
    <row r="150">
      <c r="A150" s="2" t="inlineStr">
        <is>
          <t>Jumbo</t>
        </is>
      </c>
      <c r="B150" s="2" t="n">
        <v>3086505</v>
      </c>
      <c r="C150" s="2" t="n">
        <v>3085727</v>
      </c>
      <c r="D150" s="2" t="inlineStr">
        <is>
          <t>Shampoo Reparación Profunda Keratina Vegetal 415 Ml Tio Nacho Shampoo Keratina Vegetal  X 415 Ml Tio Nacho</t>
        </is>
      </c>
      <c r="E150" s="2" t="inlineStr">
        <is>
          <t>Tio Nacho</t>
        </is>
      </c>
      <c r="F150" s="2" t="n">
        <v>10800</v>
      </c>
      <c r="G150" s="2" t="n">
        <v>892562</v>
      </c>
      <c r="H150" s="2" t="b">
        <v>1</v>
      </c>
      <c r="I150" s="2" t="n">
        <v>415</v>
      </c>
      <c r="J150" s="2" t="n">
        <v>26.0241</v>
      </c>
      <c r="K150" s="2" t="inlineStr">
        <is>
          <t>&gt; Perfumería &gt; Cuidado Capilar &gt; Shampoo &gt;</t>
        </is>
      </c>
      <c r="L150" s="2" t="inlineStr">
        <is>
          <t>shampoo</t>
        </is>
      </c>
      <c r="M150" s="2" t="inlineStr">
        <is>
          <t>estandar</t>
        </is>
      </c>
      <c r="N150" s="2" t="inlineStr">
        <is>
          <t>tratado</t>
        </is>
      </c>
      <c r="O150" s="2" t="inlineStr">
        <is>
          <t>https://www.jumbo.com.ar/shampoo-keratina-vegetal-x-415-ml-tio-nacho/p</t>
        </is>
      </c>
      <c r="P150" s="4">
        <f>TRIM(CLEAN(PROPER(D150)))</f>
        <v/>
      </c>
      <c r="Q150" s="4">
        <f>PROPER(TRIM(SUBSTITUTE(SUBSTITUTE(SUBSTITUTE(SUBSTITUTE(E150,"TRESEMME","Tresemme"),"HEAD &amp; SHOULDERS","Head &amp; Shoulders"),"ELVIVE","Elvive"),"FRUCTIS","Fructis")))</f>
        <v/>
      </c>
      <c r="R150" s="4">
        <f>COUNTIF($D$2:$D$10000,D150)&gt;1</f>
        <v/>
      </c>
      <c r="S150" s="4">
        <f>IF(H150=TRUE,"Disponible","No disponible")</f>
        <v/>
      </c>
      <c r="T150" s="4">
        <f>IF(AND(ISNUMBER(I150),I150&gt;0),ROUND(F150/I150,2),"Sin volumen")</f>
        <v/>
      </c>
      <c r="U150" s="4">
        <f>IF(F150&lt;5000,"Bajo",IF(F150&lt;15000,"Medio","Alto"))</f>
        <v/>
      </c>
    </row>
    <row r="151">
      <c r="A151" t="inlineStr">
        <is>
          <t>Jumbo</t>
        </is>
      </c>
      <c r="B151" t="n">
        <v>3085748</v>
      </c>
      <c r="C151" t="n">
        <v>3084976</v>
      </c>
      <c r="D151" t="inlineStr">
        <is>
          <t>Shampoo Anticaida Renovación Capilar X 375 Ml Head &amp; Shoulders</t>
        </is>
      </c>
      <c r="E151" t="inlineStr">
        <is>
          <t>HEAD &amp; SHOULDERS</t>
        </is>
      </c>
      <c r="F151" t="n">
        <v>12600</v>
      </c>
      <c r="G151" t="n">
        <v>1041322</v>
      </c>
      <c r="H151" t="b">
        <v>1</v>
      </c>
      <c r="I151" t="n">
        <v>375</v>
      </c>
      <c r="J151" t="n">
        <v>33.6</v>
      </c>
      <c r="K151" t="inlineStr">
        <is>
          <t>&gt; Perfumería &gt; Cuidado Capilar &gt; Shampoo &gt;</t>
        </is>
      </c>
      <c r="L151" t="inlineStr">
        <is>
          <t>shampoo</t>
        </is>
      </c>
      <c r="M151" t="inlineStr">
        <is>
          <t>estandar</t>
        </is>
      </c>
      <c r="N151" t="inlineStr">
        <is>
          <t>general</t>
        </is>
      </c>
      <c r="O151" t="inlineStr">
        <is>
          <t>https://www.jumbo.com.ar/shampoo-anticaida-renovacion-capilar-x-375-ml-head-shoulders/p</t>
        </is>
      </c>
      <c r="P151">
        <f>TRIM(CLEAN(PROPER(D151)))</f>
        <v/>
      </c>
      <c r="Q151">
        <f>PROPER(TRIM(SUBSTITUTE(SUBSTITUTE(SUBSTITUTE(SUBSTITUTE(E151,"TRESEMME","Tresemme"),"HEAD &amp; SHOULDERS","Head &amp; Shoulders"),"ELVIVE","Elvive"),"FRUCTIS","Fructis")))</f>
        <v/>
      </c>
      <c r="R151">
        <f>COUNTIF($D$2:$D$10000,D151)&gt;1</f>
        <v/>
      </c>
      <c r="S151">
        <f>IF(H151=TRUE,"Disponible","No disponible")</f>
        <v/>
      </c>
      <c r="T151">
        <f>IF(AND(ISNUMBER(I151),I151&gt;0),ROUND(F151/I151,2),"Sin volumen")</f>
        <v/>
      </c>
      <c r="U151">
        <f>IF(F151&lt;5000,"Bajo",IF(F151&lt;15000,"Medio","Alto"))</f>
        <v/>
      </c>
    </row>
    <row r="152">
      <c r="A152" s="2" t="inlineStr">
        <is>
          <t>Jumbo</t>
        </is>
      </c>
      <c r="B152" s="2" t="n">
        <v>3085746</v>
      </c>
      <c r="C152" s="2" t="n">
        <v>3084974</v>
      </c>
      <c r="D152" s="2" t="inlineStr">
        <is>
          <t>Shampoo Anticaida Renovación Capilar X 650 Ml Head &amp; Shoulders</t>
        </is>
      </c>
      <c r="E152" s="2" t="inlineStr">
        <is>
          <t>HEAD &amp; SHOULDERS</t>
        </is>
      </c>
      <c r="F152" s="2" t="n">
        <v>19450</v>
      </c>
      <c r="G152" s="2" t="n">
        <v>1607438</v>
      </c>
      <c r="H152" s="2" t="b">
        <v>1</v>
      </c>
      <c r="I152" s="2" t="n">
        <v>650</v>
      </c>
      <c r="J152" s="2" t="n">
        <v>29.9231</v>
      </c>
      <c r="K152" s="2" t="inlineStr">
        <is>
          <t>&gt; Perfumería &gt; Cuidado Capilar &gt; Shampoo &gt;</t>
        </is>
      </c>
      <c r="L152" s="2" t="inlineStr">
        <is>
          <t>shampoo</t>
        </is>
      </c>
      <c r="M152" s="2" t="inlineStr">
        <is>
          <t>estandar</t>
        </is>
      </c>
      <c r="N152" s="2" t="inlineStr">
        <is>
          <t>general</t>
        </is>
      </c>
      <c r="O152" s="2" t="inlineStr">
        <is>
          <t>https://www.jumbo.com.ar/shampoo-anticaida-renovacion-capilar-x-650-ml-head-shoulders/p</t>
        </is>
      </c>
      <c r="P152" s="4">
        <f>TRIM(CLEAN(PROPER(D152)))</f>
        <v/>
      </c>
      <c r="Q152" s="4">
        <f>PROPER(TRIM(SUBSTITUTE(SUBSTITUTE(SUBSTITUTE(SUBSTITUTE(E152,"TRESEMME","Tresemme"),"HEAD &amp; SHOULDERS","Head &amp; Shoulders"),"ELVIVE","Elvive"),"FRUCTIS","Fructis")))</f>
        <v/>
      </c>
      <c r="R152" s="4">
        <f>COUNTIF($D$2:$D$10000,D152)&gt;1</f>
        <v/>
      </c>
      <c r="S152" s="4">
        <f>IF(H152=TRUE,"Disponible","No disponible")</f>
        <v/>
      </c>
      <c r="T152" s="4">
        <f>IF(AND(ISNUMBER(I152),I152&gt;0),ROUND(F152/I152,2),"Sin volumen")</f>
        <v/>
      </c>
      <c r="U152" s="4">
        <f>IF(F152&lt;5000,"Bajo",IF(F152&lt;15000,"Medio","Alto"))</f>
        <v/>
      </c>
    </row>
    <row r="153">
      <c r="A153" t="inlineStr">
        <is>
          <t>Jumbo</t>
        </is>
      </c>
      <c r="B153" t="n">
        <v>414723</v>
      </c>
      <c r="C153" t="n">
        <v>410424</v>
      </c>
      <c r="D153" t="inlineStr">
        <is>
          <t>Shampoo Para Niños Fragancia Prolongada 200 Ml Johnson Baby</t>
        </is>
      </c>
      <c r="E153" t="inlineStr">
        <is>
          <t>JOHNSON BABY</t>
        </is>
      </c>
      <c r="F153" t="n">
        <v>6700</v>
      </c>
      <c r="G153" t="n">
        <v>553719</v>
      </c>
      <c r="H153" t="b">
        <v>1</v>
      </c>
      <c r="I153" t="n">
        <v>200</v>
      </c>
      <c r="J153" t="n">
        <v>33.5</v>
      </c>
      <c r="K153" t="inlineStr">
        <is>
          <t>&gt; Mundo Bebe &gt; Higiene para el Bebe &gt; Higiene del Bebé &gt;</t>
        </is>
      </c>
      <c r="L153" t="inlineStr">
        <is>
          <t>shampoo</t>
        </is>
      </c>
      <c r="M153" t="inlineStr">
        <is>
          <t>estandar</t>
        </is>
      </c>
      <c r="N153" t="inlineStr">
        <is>
          <t>bebe</t>
        </is>
      </c>
      <c r="O153" t="inlineStr">
        <is>
          <t>https://www.jumbo.com.ar/shampoo-para-ninos-fragancia-prolongada-200-ml-johnson-baby/p</t>
        </is>
      </c>
      <c r="P153">
        <f>TRIM(CLEAN(PROPER(D153)))</f>
        <v/>
      </c>
      <c r="Q153">
        <f>PROPER(TRIM(SUBSTITUTE(SUBSTITUTE(SUBSTITUTE(SUBSTITUTE(E153,"TRESEMME","Tresemme"),"HEAD &amp; SHOULDERS","Head &amp; Shoulders"),"ELVIVE","Elvive"),"FRUCTIS","Fructis")))</f>
        <v/>
      </c>
      <c r="R153">
        <f>COUNTIF($D$2:$D$10000,D153)&gt;1</f>
        <v/>
      </c>
      <c r="S153">
        <f>IF(H153=TRUE,"Disponible","No disponible")</f>
        <v/>
      </c>
      <c r="T153">
        <f>IF(AND(ISNUMBER(I153),I153&gt;0),ROUND(F153/I153,2),"Sin volumen")</f>
        <v/>
      </c>
      <c r="U153">
        <f>IF(F153&lt;5000,"Bajo",IF(F153&lt;15000,"Medio","Alto"))</f>
        <v/>
      </c>
    </row>
    <row r="154">
      <c r="A154" s="2" t="inlineStr">
        <is>
          <t>Jumbo</t>
        </is>
      </c>
      <c r="B154" s="2" t="n">
        <v>414719</v>
      </c>
      <c r="C154" s="2" t="n">
        <v>410420</v>
      </c>
      <c r="D154" s="2" t="inlineStr">
        <is>
          <t>Shampoo Para Niños Gotas De Brillo 200 Ml Johnson Baby</t>
        </is>
      </c>
      <c r="E154" s="2" t="inlineStr">
        <is>
          <t>JOHNSON BABY</t>
        </is>
      </c>
      <c r="F154" s="2" t="n">
        <v>5800</v>
      </c>
      <c r="G154" s="2" t="n">
        <v>479339</v>
      </c>
      <c r="H154" s="2" t="b">
        <v>1</v>
      </c>
      <c r="I154" s="2" t="n">
        <v>200</v>
      </c>
      <c r="J154" s="2" t="n">
        <v>29</v>
      </c>
      <c r="K154" s="2" t="inlineStr">
        <is>
          <t>&gt; Mundo Bebe &gt; Higiene para el Bebe &gt; Higiene del Bebé &gt;</t>
        </is>
      </c>
      <c r="L154" s="2" t="inlineStr">
        <is>
          <t>shampoo</t>
        </is>
      </c>
      <c r="M154" s="2" t="inlineStr">
        <is>
          <t>estandar</t>
        </is>
      </c>
      <c r="N154" s="2" t="inlineStr">
        <is>
          <t>bebe</t>
        </is>
      </c>
      <c r="O154" s="2" t="inlineStr">
        <is>
          <t>https://www.jumbo.com.ar/shampoo-para-ninos-gotas-de-brillo-200-ml-johnson-baby/p</t>
        </is>
      </c>
      <c r="P154" s="4">
        <f>TRIM(CLEAN(PROPER(D154)))</f>
        <v/>
      </c>
      <c r="Q154" s="4">
        <f>PROPER(TRIM(SUBSTITUTE(SUBSTITUTE(SUBSTITUTE(SUBSTITUTE(E154,"TRESEMME","Tresemme"),"HEAD &amp; SHOULDERS","Head &amp; Shoulders"),"ELVIVE","Elvive"),"FRUCTIS","Fructis")))</f>
        <v/>
      </c>
      <c r="R154" s="4">
        <f>COUNTIF($D$2:$D$10000,D154)&gt;1</f>
        <v/>
      </c>
      <c r="S154" s="4">
        <f>IF(H154=TRUE,"Disponible","No disponible")</f>
        <v/>
      </c>
      <c r="T154" s="4">
        <f>IF(AND(ISNUMBER(I154),I154&gt;0),ROUND(F154/I154,2),"Sin volumen")</f>
        <v/>
      </c>
      <c r="U154" s="4">
        <f>IF(F154&lt;5000,"Bajo",IF(F154&lt;15000,"Medio","Alto"))</f>
        <v/>
      </c>
    </row>
    <row r="155">
      <c r="A155" t="inlineStr">
        <is>
          <t>Jumbo</t>
        </is>
      </c>
      <c r="B155" t="n">
        <v>412491</v>
      </c>
      <c r="C155" t="n">
        <v>408100</v>
      </c>
      <c r="D155" t="inlineStr">
        <is>
          <t>Shampoo Rizos Poderosos con Óleo de Coco y Glicerina 350 Ml Fructis</t>
        </is>
      </c>
      <c r="E155" t="inlineStr">
        <is>
          <t>FRUCTIS</t>
        </is>
      </c>
      <c r="F155" t="n">
        <v>8600</v>
      </c>
      <c r="G155" t="n">
        <v>710744</v>
      </c>
      <c r="H155" t="b">
        <v>1</v>
      </c>
      <c r="I155" t="n">
        <v>350</v>
      </c>
      <c r="J155" t="n">
        <v>24.5714</v>
      </c>
      <c r="K155" t="inlineStr">
        <is>
          <t>&gt; Perfumería &gt; Cuidado Capilar &gt; Shampoo &gt;</t>
        </is>
      </c>
      <c r="L155" t="inlineStr">
        <is>
          <t>shampoo</t>
        </is>
      </c>
      <c r="M155" t="inlineStr">
        <is>
          <t>estandar</t>
        </is>
      </c>
      <c r="N155" t="inlineStr">
        <is>
          <t>rizado</t>
        </is>
      </c>
      <c r="O155" t="inlineStr">
        <is>
          <t>https://www.jumbo.com.ar/shampoo-fructis-rizos-poderosos-350ml-2/p</t>
        </is>
      </c>
      <c r="P155">
        <f>TRIM(CLEAN(PROPER(D155)))</f>
        <v/>
      </c>
      <c r="Q155">
        <f>PROPER(TRIM(SUBSTITUTE(SUBSTITUTE(SUBSTITUTE(SUBSTITUTE(E155,"TRESEMME","Tresemme"),"HEAD &amp; SHOULDERS","Head &amp; Shoulders"),"ELVIVE","Elvive"),"FRUCTIS","Fructis")))</f>
        <v/>
      </c>
      <c r="R155">
        <f>COUNTIF($D$2:$D$10000,D155)&gt;1</f>
        <v/>
      </c>
      <c r="S155">
        <f>IF(H155=TRUE,"Disponible","No disponible")</f>
        <v/>
      </c>
      <c r="T155">
        <f>IF(AND(ISNUMBER(I155),I155&gt;0),ROUND(F155/I155,2),"Sin volumen")</f>
        <v/>
      </c>
      <c r="U155">
        <f>IF(F155&lt;5000,"Bajo",IF(F155&lt;15000,"Medio","Alto"))</f>
        <v/>
      </c>
    </row>
    <row r="156">
      <c r="A156" s="2" t="inlineStr">
        <is>
          <t>Jumbo</t>
        </is>
      </c>
      <c r="B156" s="2" t="n">
        <v>3079034</v>
      </c>
      <c r="C156" s="2" t="n">
        <v>3078358</v>
      </c>
      <c r="D156" s="2" t="inlineStr">
        <is>
          <t>Shampoo Para Bebé Original Refill X 180 Ml  Johnson's</t>
        </is>
      </c>
      <c r="E156" s="2" t="inlineStr">
        <is>
          <t>JOHNSON BABY</t>
        </is>
      </c>
      <c r="F156" s="2" t="n">
        <v>5350</v>
      </c>
      <c r="G156" s="2" t="n">
        <v>442149</v>
      </c>
      <c r="H156" s="2" t="b">
        <v>1</v>
      </c>
      <c r="I156" s="2" t="n">
        <v>180</v>
      </c>
      <c r="J156" s="2" t="n">
        <v>29.7222</v>
      </c>
      <c r="K156" s="2" t="inlineStr">
        <is>
          <t>&gt; Mundo Bebe &gt; Higiene para el Bebe &gt; Higiene del Bebé &gt;</t>
        </is>
      </c>
      <c r="L156" s="2" t="inlineStr">
        <is>
          <t>shampoo</t>
        </is>
      </c>
      <c r="M156" s="2" t="inlineStr">
        <is>
          <t>estandar</t>
        </is>
      </c>
      <c r="N156" s="2" t="inlineStr">
        <is>
          <t>bebe</t>
        </is>
      </c>
      <c r="O156" s="2" t="inlineStr">
        <is>
          <t>https://www.jumbo.com.ar/shampoo-para-bebe-original-refill-x-180-ml-johnson-s/p</t>
        </is>
      </c>
      <c r="P156" s="4">
        <f>TRIM(CLEAN(PROPER(D156)))</f>
        <v/>
      </c>
      <c r="Q156" s="4">
        <f>PROPER(TRIM(SUBSTITUTE(SUBSTITUTE(SUBSTITUTE(SUBSTITUTE(E156,"TRESEMME","Tresemme"),"HEAD &amp; SHOULDERS","Head &amp; Shoulders"),"ELVIVE","Elvive"),"FRUCTIS","Fructis")))</f>
        <v/>
      </c>
      <c r="R156" s="4">
        <f>COUNTIF($D$2:$D$10000,D156)&gt;1</f>
        <v/>
      </c>
      <c r="S156" s="4">
        <f>IF(H156=TRUE,"Disponible","No disponible")</f>
        <v/>
      </c>
      <c r="T156" s="4">
        <f>IF(AND(ISNUMBER(I156),I156&gt;0),ROUND(F156/I156,2),"Sin volumen")</f>
        <v/>
      </c>
      <c r="U156" s="4">
        <f>IF(F156&lt;5000,"Bajo",IF(F156&lt;15000,"Medio","Alto"))</f>
        <v/>
      </c>
    </row>
    <row r="157">
      <c r="A157" t="inlineStr">
        <is>
          <t>Jumbo</t>
        </is>
      </c>
      <c r="B157" t="n">
        <v>3083784</v>
      </c>
      <c r="C157" t="n">
        <v>3083042</v>
      </c>
      <c r="D157" t="inlineStr">
        <is>
          <t>Shampoo 2 en 1 Control Caspa 415 Ml Tio Nacho</t>
        </is>
      </c>
      <c r="E157" t="inlineStr">
        <is>
          <t>Tio Nacho</t>
        </is>
      </c>
      <c r="F157" t="n">
        <v>11850</v>
      </c>
      <c r="G157" t="n">
        <v>979339</v>
      </c>
      <c r="H157" t="b">
        <v>1</v>
      </c>
      <c r="I157" t="n">
        <v>415</v>
      </c>
      <c r="J157" t="n">
        <v>28.5542</v>
      </c>
      <c r="K157" t="inlineStr">
        <is>
          <t>&gt; Perfumería &gt; Cuidado Capilar &gt; Shampoo &gt;</t>
        </is>
      </c>
      <c r="L157" t="inlineStr">
        <is>
          <t>shampoo</t>
        </is>
      </c>
      <c r="M157" t="inlineStr">
        <is>
          <t>estandar</t>
        </is>
      </c>
      <c r="N157" t="inlineStr">
        <is>
          <t>anticaspa</t>
        </is>
      </c>
      <c r="O157" t="inlineStr">
        <is>
          <t>https://www.jumbo.com.ar/shampoo-acondicionador-2-en-1-control-caspa-415-ml-tio-nacho/p</t>
        </is>
      </c>
      <c r="P157">
        <f>TRIM(CLEAN(PROPER(D157)))</f>
        <v/>
      </c>
      <c r="Q157">
        <f>PROPER(TRIM(SUBSTITUTE(SUBSTITUTE(SUBSTITUTE(SUBSTITUTE(E157,"TRESEMME","Tresemme"),"HEAD &amp; SHOULDERS","Head &amp; Shoulders"),"ELVIVE","Elvive"),"FRUCTIS","Fructis")))</f>
        <v/>
      </c>
      <c r="R157">
        <f>COUNTIF($D$2:$D$10000,D157)&gt;1</f>
        <v/>
      </c>
      <c r="S157">
        <f>IF(H157=TRUE,"Disponible","No disponible")</f>
        <v/>
      </c>
      <c r="T157">
        <f>IF(AND(ISNUMBER(I157),I157&gt;0),ROUND(F157/I157,2),"Sin volumen")</f>
        <v/>
      </c>
      <c r="U157">
        <f>IF(F157&lt;5000,"Bajo",IF(F157&lt;15000,"Medio","Alto"))</f>
        <v/>
      </c>
    </row>
    <row r="158">
      <c r="A158" s="2" t="inlineStr">
        <is>
          <t>Jumbo</t>
        </is>
      </c>
      <c r="B158" s="2" t="n">
        <v>400556</v>
      </c>
      <c r="C158" s="2" t="n">
        <v>397894</v>
      </c>
      <c r="D158" s="2" t="inlineStr">
        <is>
          <t>Shampoo Kera-Liso para Cabello Alisado con Calor 200 Ml Elvive</t>
        </is>
      </c>
      <c r="E158" s="2" t="inlineStr">
        <is>
          <t>ELVIVE</t>
        </is>
      </c>
      <c r="F158" s="2" t="n">
        <v>7550</v>
      </c>
      <c r="G158" s="2" t="n">
        <v>623967</v>
      </c>
      <c r="H158" s="2" t="b">
        <v>1</v>
      </c>
      <c r="I158" s="2" t="n">
        <v>200</v>
      </c>
      <c r="J158" s="2" t="n">
        <v>37.75</v>
      </c>
      <c r="K158" s="2" t="inlineStr">
        <is>
          <t>&gt; Perfumería &gt; Cuidado Capilar &gt; Shampoo &gt;</t>
        </is>
      </c>
      <c r="L158" s="2" t="inlineStr">
        <is>
          <t>shampoo</t>
        </is>
      </c>
      <c r="M158" s="2" t="inlineStr">
        <is>
          <t>profesional</t>
        </is>
      </c>
      <c r="N158" s="2" t="inlineStr">
        <is>
          <t>tratado</t>
        </is>
      </c>
      <c r="O158" s="2" t="inlineStr">
        <is>
          <t>https://www.jumbo.com.ar/shampoo-elvive-kera-liso-200-ml/p</t>
        </is>
      </c>
      <c r="P158" s="4">
        <f>TRIM(CLEAN(PROPER(D158)))</f>
        <v/>
      </c>
      <c r="Q158" s="4">
        <f>PROPER(TRIM(SUBSTITUTE(SUBSTITUTE(SUBSTITUTE(SUBSTITUTE(E158,"TRESEMME","Tresemme"),"HEAD &amp; SHOULDERS","Head &amp; Shoulders"),"ELVIVE","Elvive"),"FRUCTIS","Fructis")))</f>
        <v/>
      </c>
      <c r="R158" s="4">
        <f>COUNTIF($D$2:$D$10000,D158)&gt;1</f>
        <v/>
      </c>
      <c r="S158" s="4">
        <f>IF(H158=TRUE,"Disponible","No disponible")</f>
        <v/>
      </c>
      <c r="T158" s="4">
        <f>IF(AND(ISNUMBER(I158),I158&gt;0),ROUND(F158/I158,2),"Sin volumen")</f>
        <v/>
      </c>
      <c r="U158" s="4">
        <f>IF(F158&lt;5000,"Bajo",IF(F158&lt;15000,"Medio","Alto"))</f>
        <v/>
      </c>
    </row>
    <row r="159">
      <c r="A159" t="inlineStr">
        <is>
          <t>Jumbo</t>
        </is>
      </c>
      <c r="B159" t="n">
        <v>332647</v>
      </c>
      <c r="C159" t="n">
        <v>331802</v>
      </c>
      <c r="D159" t="inlineStr">
        <is>
          <t>Shampoo Anti Caspa Fuerza 180 Ml Head y Shoulders</t>
        </is>
      </c>
      <c r="E159" t="inlineStr">
        <is>
          <t>HEAD &amp; SHOULDERS</t>
        </is>
      </c>
      <c r="F159" t="n">
        <v>7650</v>
      </c>
      <c r="G159" t="n">
        <v>632231</v>
      </c>
      <c r="H159" t="b">
        <v>1</v>
      </c>
      <c r="I159" t="n">
        <v>180</v>
      </c>
      <c r="J159" t="n">
        <v>42.5</v>
      </c>
      <c r="K159" t="inlineStr">
        <is>
          <t>&gt; Perfumería &gt; Cuidado Capilar &gt; Shampoo &gt;</t>
        </is>
      </c>
      <c r="L159" t="inlineStr">
        <is>
          <t>shampoo</t>
        </is>
      </c>
      <c r="M159" t="inlineStr">
        <is>
          <t>estandar</t>
        </is>
      </c>
      <c r="N159" t="inlineStr">
        <is>
          <t>anticaspa</t>
        </is>
      </c>
      <c r="O159" t="inlineStr">
        <is>
          <t>https://www.jumbo.com.ar/shampoo-fuerza-180-ml-head-shoulders-2/p</t>
        </is>
      </c>
      <c r="P159">
        <f>TRIM(CLEAN(PROPER(D159)))</f>
        <v/>
      </c>
      <c r="Q159">
        <f>PROPER(TRIM(SUBSTITUTE(SUBSTITUTE(SUBSTITUTE(SUBSTITUTE(E159,"TRESEMME","Tresemme"),"HEAD &amp; SHOULDERS","Head &amp; Shoulders"),"ELVIVE","Elvive"),"FRUCTIS","Fructis")))</f>
        <v/>
      </c>
      <c r="R159">
        <f>COUNTIF($D$2:$D$10000,D159)&gt;1</f>
        <v/>
      </c>
      <c r="S159">
        <f>IF(H159=TRUE,"Disponible","No disponible")</f>
        <v/>
      </c>
      <c r="T159">
        <f>IF(AND(ISNUMBER(I159),I159&gt;0),ROUND(F159/I159,2),"Sin volumen")</f>
        <v/>
      </c>
      <c r="U159">
        <f>IF(F159&lt;5000,"Bajo",IF(F159&lt;15000,"Medio","Alto"))</f>
        <v/>
      </c>
    </row>
    <row r="160">
      <c r="A160" s="2" t="inlineStr">
        <is>
          <t>Jumbo</t>
        </is>
      </c>
      <c r="B160" s="2" t="n">
        <v>298524</v>
      </c>
      <c r="C160" s="2" t="n">
        <v>297753</v>
      </c>
      <c r="D160" s="2" t="inlineStr">
        <is>
          <t>Shampoo para Perros y Gatos Pulguicida/Garrapaticida 500 Ml Pet' S Class</t>
        </is>
      </c>
      <c r="E160" s="2" t="inlineStr">
        <is>
          <t>PET' S CLASS</t>
        </is>
      </c>
      <c r="F160" s="2" t="n">
        <v>9600</v>
      </c>
      <c r="G160" s="2" t="n">
        <v>793388</v>
      </c>
      <c r="H160" s="2" t="b">
        <v>1</v>
      </c>
      <c r="I160" s="2" t="n">
        <v>500</v>
      </c>
      <c r="J160" s="2" t="n">
        <v>19.2</v>
      </c>
      <c r="K160" s="2" t="inlineStr">
        <is>
          <t>&gt; Mascotas &gt; Accesorios para Mascotas &gt;</t>
        </is>
      </c>
      <c r="L160" s="2" t="inlineStr">
        <is>
          <t>shampoo</t>
        </is>
      </c>
      <c r="M160" s="2" t="inlineStr">
        <is>
          <t>estandar</t>
        </is>
      </c>
      <c r="N160" s="2" t="inlineStr">
        <is>
          <t>general</t>
        </is>
      </c>
      <c r="O160" s="2" t="inlineStr">
        <is>
          <t>https://www.jumbo.com.ar/shampoo-para-perro-pets-class-pulguicida-garrapata/p</t>
        </is>
      </c>
      <c r="P160" s="4">
        <f>TRIM(CLEAN(PROPER(D160)))</f>
        <v/>
      </c>
      <c r="Q160" s="4">
        <f>PROPER(TRIM(SUBSTITUTE(SUBSTITUTE(SUBSTITUTE(SUBSTITUTE(E160,"TRESEMME","Tresemme"),"HEAD &amp; SHOULDERS","Head &amp; Shoulders"),"ELVIVE","Elvive"),"FRUCTIS","Fructis")))</f>
        <v/>
      </c>
      <c r="R160" s="4">
        <f>COUNTIF($D$2:$D$10000,D160)&gt;1</f>
        <v/>
      </c>
      <c r="S160" s="4">
        <f>IF(H160=TRUE,"Disponible","No disponible")</f>
        <v/>
      </c>
      <c r="T160" s="4">
        <f>IF(AND(ISNUMBER(I160),I160&gt;0),ROUND(F160/I160,2),"Sin volumen")</f>
        <v/>
      </c>
      <c r="U160" s="4">
        <f>IF(F160&lt;5000,"Bajo",IF(F160&lt;15000,"Medio","Alto"))</f>
        <v/>
      </c>
    </row>
    <row r="161">
      <c r="A161" t="inlineStr">
        <is>
          <t>Jumbo</t>
        </is>
      </c>
      <c r="B161" t="n">
        <v>1360921</v>
      </c>
      <c r="C161" t="n">
        <v>1360329</v>
      </c>
      <c r="D161" t="inlineStr">
        <is>
          <t>Shampoo Men+Care Control Fortificante Anti-Caspa 400 Ml Dove</t>
        </is>
      </c>
      <c r="E161" t="inlineStr">
        <is>
          <t>DOVE</t>
        </is>
      </c>
      <c r="F161" t="n">
        <v>10000</v>
      </c>
      <c r="G161" t="n">
        <v>826446</v>
      </c>
      <c r="H161" t="b">
        <v>1</v>
      </c>
      <c r="I161" t="n">
        <v>400</v>
      </c>
      <c r="J161" t="n">
        <v>25</v>
      </c>
      <c r="K161" t="inlineStr">
        <is>
          <t>&gt; Perfumería &gt; Cuidado Capilar &gt; Shampoo &gt;</t>
        </is>
      </c>
      <c r="L161" t="inlineStr">
        <is>
          <t>shampoo</t>
        </is>
      </c>
      <c r="M161" t="inlineStr">
        <is>
          <t>estandar</t>
        </is>
      </c>
      <c r="N161" t="inlineStr">
        <is>
          <t>anticaspa</t>
        </is>
      </c>
      <c r="O161" t="inlineStr">
        <is>
          <t>https://www.jumbo.com.ar/shampoo-dove-control-fortificante-400-ml-2/p</t>
        </is>
      </c>
      <c r="P161">
        <f>TRIM(CLEAN(PROPER(D161)))</f>
        <v/>
      </c>
      <c r="Q161">
        <f>PROPER(TRIM(SUBSTITUTE(SUBSTITUTE(SUBSTITUTE(SUBSTITUTE(E161,"TRESEMME","Tresemme"),"HEAD &amp; SHOULDERS","Head &amp; Shoulders"),"ELVIVE","Elvive"),"FRUCTIS","Fructis")))</f>
        <v/>
      </c>
      <c r="R161">
        <f>COUNTIF($D$2:$D$10000,D161)&gt;1</f>
        <v/>
      </c>
      <c r="S161">
        <f>IF(H161=TRUE,"Disponible","No disponible")</f>
        <v/>
      </c>
      <c r="T161">
        <f>IF(AND(ISNUMBER(I161),I161&gt;0),ROUND(F161/I161,2),"Sin volumen")</f>
        <v/>
      </c>
      <c r="U161">
        <f>IF(F161&lt;5000,"Bajo",IF(F161&lt;15000,"Medio","Alto"))</f>
        <v/>
      </c>
    </row>
    <row r="162">
      <c r="A162" s="2" t="inlineStr">
        <is>
          <t>Jumbo</t>
        </is>
      </c>
      <c r="B162" s="2" t="n">
        <v>3083500</v>
      </c>
      <c r="C162" s="2" t="n">
        <v>3082775</v>
      </c>
      <c r="D162" s="2" t="inlineStr">
        <is>
          <t>Shampoo Brillo Anti-residuos Glycolic Cristal 400 Ml Elvive</t>
        </is>
      </c>
      <c r="E162" s="2" t="inlineStr">
        <is>
          <t>ELVIVE</t>
        </is>
      </c>
      <c r="F162" s="2" t="n">
        <v>11400</v>
      </c>
      <c r="G162" s="2" t="n">
        <v>942149</v>
      </c>
      <c r="H162" s="2" t="b">
        <v>1</v>
      </c>
      <c r="I162" s="2" t="n">
        <v>400</v>
      </c>
      <c r="J162" s="2" t="n">
        <v>28.5</v>
      </c>
      <c r="K162" s="2" t="inlineStr">
        <is>
          <t>&gt; Perfumería &gt; Cuidado Capilar &gt; Shampoo &gt;</t>
        </is>
      </c>
      <c r="L162" s="2" t="inlineStr">
        <is>
          <t>shampoo</t>
        </is>
      </c>
      <c r="M162" s="2" t="inlineStr">
        <is>
          <t>profesional</t>
        </is>
      </c>
      <c r="N162" s="2" t="inlineStr">
        <is>
          <t>general</t>
        </is>
      </c>
      <c r="O162" s="2" t="inlineStr">
        <is>
          <t>https://www.jumbo.com.ar/shampoo-brillo-anti-residuos-glycolic-cristal-x-400-ml-elvive/p</t>
        </is>
      </c>
      <c r="P162" s="4">
        <f>TRIM(CLEAN(PROPER(D162)))</f>
        <v/>
      </c>
      <c r="Q162" s="4">
        <f>PROPER(TRIM(SUBSTITUTE(SUBSTITUTE(SUBSTITUTE(SUBSTITUTE(E162,"TRESEMME","Tresemme"),"HEAD &amp; SHOULDERS","Head &amp; Shoulders"),"ELVIVE","Elvive"),"FRUCTIS","Fructis")))</f>
        <v/>
      </c>
      <c r="R162" s="4">
        <f>COUNTIF($D$2:$D$10000,D162)&gt;1</f>
        <v/>
      </c>
      <c r="S162" s="4">
        <f>IF(H162=TRUE,"Disponible","No disponible")</f>
        <v/>
      </c>
      <c r="T162" s="4">
        <f>IF(AND(ISNUMBER(I162),I162&gt;0),ROUND(F162/I162,2),"Sin volumen")</f>
        <v/>
      </c>
      <c r="U162" s="4">
        <f>IF(F162&lt;5000,"Bajo",IF(F162&lt;15000,"Medio","Alto"))</f>
        <v/>
      </c>
    </row>
    <row r="163">
      <c r="A163" t="inlineStr">
        <is>
          <t>Jumbo</t>
        </is>
      </c>
      <c r="B163" t="n">
        <v>400535</v>
      </c>
      <c r="C163" t="n">
        <v>397873</v>
      </c>
      <c r="D163" t="inlineStr">
        <is>
          <t>Shampoo Hidra Hialurónico para Cabello Deshidratado 200 Ml Elvive</t>
        </is>
      </c>
      <c r="E163" t="inlineStr">
        <is>
          <t>ELVIVE</t>
        </is>
      </c>
      <c r="F163" t="n">
        <v>7550</v>
      </c>
      <c r="G163" t="n">
        <v>623967</v>
      </c>
      <c r="H163" t="b">
        <v>1</v>
      </c>
      <c r="I163" t="n">
        <v>200</v>
      </c>
      <c r="J163" t="n">
        <v>37.75</v>
      </c>
      <c r="K163" t="inlineStr">
        <is>
          <t>&gt; Perfumería &gt; Cuidado Capilar &gt; Shampoo &gt;</t>
        </is>
      </c>
      <c r="L163" t="inlineStr">
        <is>
          <t>shampoo</t>
        </is>
      </c>
      <c r="M163" t="inlineStr">
        <is>
          <t>profesional</t>
        </is>
      </c>
      <c r="N163" t="inlineStr">
        <is>
          <t>seco_danado</t>
        </is>
      </c>
      <c r="O163" t="inlineStr">
        <is>
          <t>https://www.jumbo.com.ar/shampoo-elvive-hidra-hialuronico-200-ml/p</t>
        </is>
      </c>
      <c r="P163">
        <f>TRIM(CLEAN(PROPER(D163)))</f>
        <v/>
      </c>
      <c r="Q163">
        <f>PROPER(TRIM(SUBSTITUTE(SUBSTITUTE(SUBSTITUTE(SUBSTITUTE(E163,"TRESEMME","Tresemme"),"HEAD &amp; SHOULDERS","Head &amp; Shoulders"),"ELVIVE","Elvive"),"FRUCTIS","Fructis")))</f>
        <v/>
      </c>
      <c r="R163">
        <f>COUNTIF($D$2:$D$10000,D163)&gt;1</f>
        <v/>
      </c>
      <c r="S163">
        <f>IF(H163=TRUE,"Disponible","No disponible")</f>
        <v/>
      </c>
      <c r="T163">
        <f>IF(AND(ISNUMBER(I163),I163&gt;0),ROUND(F163/I163,2),"Sin volumen")</f>
        <v/>
      </c>
      <c r="U163">
        <f>IF(F163&lt;5000,"Bajo",IF(F163&lt;15000,"Medio","Alto"))</f>
        <v/>
      </c>
    </row>
    <row r="164">
      <c r="A164" s="2" t="inlineStr">
        <is>
          <t>Jumbo</t>
        </is>
      </c>
      <c r="B164" s="2" t="n">
        <v>424109</v>
      </c>
      <c r="C164" s="2" t="n">
        <v>417110</v>
      </c>
      <c r="D164" s="2" t="inlineStr">
        <is>
          <t>Shampoo Anti Caspa Manzana Fresh 650 Ml Head y Shoulders</t>
        </is>
      </c>
      <c r="E164" s="2" t="inlineStr">
        <is>
          <t>HEAD &amp; SHOULDERS</t>
        </is>
      </c>
      <c r="F164" s="2" t="n">
        <v>19900</v>
      </c>
      <c r="G164" s="2" t="n">
        <v>1644628</v>
      </c>
      <c r="H164" s="2" t="b">
        <v>1</v>
      </c>
      <c r="I164" s="2" t="n">
        <v>650</v>
      </c>
      <c r="J164" s="2" t="n">
        <v>30.6154</v>
      </c>
      <c r="K164" s="2" t="inlineStr">
        <is>
          <t>&gt; Perfumería &gt; Cuidado Capilar &gt; Shampoo &gt;</t>
        </is>
      </c>
      <c r="L164" s="2" t="inlineStr">
        <is>
          <t>shampoo</t>
        </is>
      </c>
      <c r="M164" s="2" t="inlineStr">
        <is>
          <t>estandar</t>
        </is>
      </c>
      <c r="N164" s="2" t="inlineStr">
        <is>
          <t>anticaspa</t>
        </is>
      </c>
      <c r="O164" s="2" t="inlineStr">
        <is>
          <t>https://www.jumbo.com.ar/shampoo-apple-650-ml-head-shoulders-2/p</t>
        </is>
      </c>
      <c r="P164" s="4">
        <f>TRIM(CLEAN(PROPER(D164)))</f>
        <v/>
      </c>
      <c r="Q164" s="4">
        <f>PROPER(TRIM(SUBSTITUTE(SUBSTITUTE(SUBSTITUTE(SUBSTITUTE(E164,"TRESEMME","Tresemme"),"HEAD &amp; SHOULDERS","Head &amp; Shoulders"),"ELVIVE","Elvive"),"FRUCTIS","Fructis")))</f>
        <v/>
      </c>
      <c r="R164" s="4">
        <f>COUNTIF($D$2:$D$10000,D164)&gt;1</f>
        <v/>
      </c>
      <c r="S164" s="4">
        <f>IF(H164=TRUE,"Disponible","No disponible")</f>
        <v/>
      </c>
      <c r="T164" s="4">
        <f>IF(AND(ISNUMBER(I164),I164&gt;0),ROUND(F164/I164,2),"Sin volumen")</f>
        <v/>
      </c>
      <c r="U164" s="4">
        <f>IF(F164&lt;5000,"Bajo",IF(F164&lt;15000,"Medio","Alto"))</f>
        <v/>
      </c>
    </row>
    <row r="165">
      <c r="A165" t="inlineStr">
        <is>
          <t>Jumbo</t>
        </is>
      </c>
      <c r="B165" t="n">
        <v>349492</v>
      </c>
      <c r="C165" t="n">
        <v>348152</v>
      </c>
      <c r="D165" t="inlineStr">
        <is>
          <t>Shampoo Protección con Óleo de Coco y Karité 1000 Ml Plusbelle</t>
        </is>
      </c>
      <c r="E165" t="inlineStr">
        <is>
          <t>PLUSBELLE</t>
        </is>
      </c>
      <c r="F165" t="n">
        <v>5750</v>
      </c>
      <c r="G165" t="n">
        <v>475207</v>
      </c>
      <c r="H165" t="b">
        <v>1</v>
      </c>
      <c r="I165" t="n">
        <v>1000</v>
      </c>
      <c r="J165" t="n">
        <v>5.75</v>
      </c>
      <c r="K165" t="inlineStr">
        <is>
          <t>&gt; Perfumería &gt; Cuidado Capilar &gt; Shampoo &gt;</t>
        </is>
      </c>
      <c r="L165" t="inlineStr">
        <is>
          <t>shampoo</t>
        </is>
      </c>
      <c r="M165" t="inlineStr">
        <is>
          <t>estandar</t>
        </is>
      </c>
      <c r="N165" t="inlineStr">
        <is>
          <t>general</t>
        </is>
      </c>
      <c r="O165" t="inlineStr">
        <is>
          <t>https://www.jumbo.com.ar/shampoo-proteccion-1000-ml-plusbelle/p</t>
        </is>
      </c>
      <c r="P165">
        <f>TRIM(CLEAN(PROPER(D165)))</f>
        <v/>
      </c>
      <c r="Q165">
        <f>PROPER(TRIM(SUBSTITUTE(SUBSTITUTE(SUBSTITUTE(SUBSTITUTE(E165,"TRESEMME","Tresemme"),"HEAD &amp; SHOULDERS","Head &amp; Shoulders"),"ELVIVE","Elvive"),"FRUCTIS","Fructis")))</f>
        <v/>
      </c>
      <c r="R165">
        <f>COUNTIF($D$2:$D$10000,D165)&gt;1</f>
        <v/>
      </c>
      <c r="S165">
        <f>IF(H165=TRUE,"Disponible","No disponible")</f>
        <v/>
      </c>
      <c r="T165">
        <f>IF(AND(ISNUMBER(I165),I165&gt;0),ROUND(F165/I165,2),"Sin volumen")</f>
        <v/>
      </c>
      <c r="U165">
        <f>IF(F165&lt;5000,"Bajo",IF(F165&lt;15000,"Medio","Alto"))</f>
        <v/>
      </c>
    </row>
    <row r="166">
      <c r="A166" s="2" t="inlineStr">
        <is>
          <t>Jumbo</t>
        </is>
      </c>
      <c r="B166" s="2" t="n">
        <v>275406</v>
      </c>
      <c r="C166" s="2" t="n">
        <v>274702</v>
      </c>
      <c r="D166" s="2" t="inlineStr">
        <is>
          <t>Shampoo Anti Caspa Apple 375 Ml Head y Shoulders</t>
        </is>
      </c>
      <c r="E166" s="2" t="inlineStr">
        <is>
          <t>HEAD &amp; SHOULDERS</t>
        </is>
      </c>
      <c r="F166" s="2" t="n">
        <v>12900</v>
      </c>
      <c r="G166" s="2" t="n">
        <v>1066116</v>
      </c>
      <c r="H166" s="2" t="b">
        <v>1</v>
      </c>
      <c r="I166" s="2" t="n">
        <v>375</v>
      </c>
      <c r="J166" s="2" t="n">
        <v>34.4</v>
      </c>
      <c r="K166" s="2" t="inlineStr">
        <is>
          <t>&gt; Perfumería &gt; Cuidado Capilar &gt; Shampoo &gt;</t>
        </is>
      </c>
      <c r="L166" s="2" t="inlineStr">
        <is>
          <t>shampoo</t>
        </is>
      </c>
      <c r="M166" s="2" t="inlineStr">
        <is>
          <t>estandar</t>
        </is>
      </c>
      <c r="N166" s="2" t="inlineStr">
        <is>
          <t>anticaspa</t>
        </is>
      </c>
      <c r="O166" s="2" t="inlineStr">
        <is>
          <t>https://www.jumbo.com.ar/shampoo-apple-375-ml-head-shoulders-2/p</t>
        </is>
      </c>
      <c r="P166" s="4">
        <f>TRIM(CLEAN(PROPER(D166)))</f>
        <v/>
      </c>
      <c r="Q166" s="4">
        <f>PROPER(TRIM(SUBSTITUTE(SUBSTITUTE(SUBSTITUTE(SUBSTITUTE(E166,"TRESEMME","Tresemme"),"HEAD &amp; SHOULDERS","Head &amp; Shoulders"),"ELVIVE","Elvive"),"FRUCTIS","Fructis")))</f>
        <v/>
      </c>
      <c r="R166" s="4">
        <f>COUNTIF($D$2:$D$10000,D166)&gt;1</f>
        <v/>
      </c>
      <c r="S166" s="4">
        <f>IF(H166=TRUE,"Disponible","No disponible")</f>
        <v/>
      </c>
      <c r="T166" s="4">
        <f>IF(AND(ISNUMBER(I166),I166&gt;0),ROUND(F166/I166,2),"Sin volumen")</f>
        <v/>
      </c>
      <c r="U166" s="4">
        <f>IF(F166&lt;5000,"Bajo",IF(F166&lt;15000,"Medio","Alto"))</f>
        <v/>
      </c>
    </row>
    <row r="167">
      <c r="A167" t="inlineStr">
        <is>
          <t>Jumbo</t>
        </is>
      </c>
      <c r="B167" t="n">
        <v>3083499</v>
      </c>
      <c r="C167" t="n">
        <v>3082774</v>
      </c>
      <c r="D167" t="inlineStr">
        <is>
          <t>Shampoo Brillo Anti-residuos Glycolic Cristal 200 Ml Elvive</t>
        </is>
      </c>
      <c r="E167" t="inlineStr">
        <is>
          <t>ELVIVE</t>
        </is>
      </c>
      <c r="F167" t="n">
        <v>7750</v>
      </c>
      <c r="G167" t="n">
        <v>640496</v>
      </c>
      <c r="H167" t="b">
        <v>1</v>
      </c>
      <c r="I167" t="n">
        <v>200</v>
      </c>
      <c r="J167" t="n">
        <v>38.75</v>
      </c>
      <c r="K167" t="inlineStr">
        <is>
          <t>&gt; Perfumería &gt; Cuidado Capilar &gt; Shampoo &gt;</t>
        </is>
      </c>
      <c r="L167" t="inlineStr">
        <is>
          <t>shampoo</t>
        </is>
      </c>
      <c r="M167" t="inlineStr">
        <is>
          <t>profesional</t>
        </is>
      </c>
      <c r="N167" t="inlineStr">
        <is>
          <t>general</t>
        </is>
      </c>
      <c r="O167" t="inlineStr">
        <is>
          <t>https://www.jumbo.com.ar/shampoo-brillo-anti-residuos-glycolic-cristal-x-200-ml-elvive/p</t>
        </is>
      </c>
      <c r="P167">
        <f>TRIM(CLEAN(PROPER(D167)))</f>
        <v/>
      </c>
      <c r="Q167">
        <f>PROPER(TRIM(SUBSTITUTE(SUBSTITUTE(SUBSTITUTE(SUBSTITUTE(E167,"TRESEMME","Tresemme"),"HEAD &amp; SHOULDERS","Head &amp; Shoulders"),"ELVIVE","Elvive"),"FRUCTIS","Fructis")))</f>
        <v/>
      </c>
      <c r="R167">
        <f>COUNTIF($D$2:$D$10000,D167)&gt;1</f>
        <v/>
      </c>
      <c r="S167">
        <f>IF(H167=TRUE,"Disponible","No disponible")</f>
        <v/>
      </c>
      <c r="T167">
        <f>IF(AND(ISNUMBER(I167),I167&gt;0),ROUND(F167/I167,2),"Sin volumen")</f>
        <v/>
      </c>
      <c r="U167">
        <f>IF(F167&lt;5000,"Bajo",IF(F167&lt;15000,"Medio","Alto"))</f>
        <v/>
      </c>
    </row>
    <row r="168">
      <c r="A168" s="2" t="inlineStr">
        <is>
          <t>Jumbo</t>
        </is>
      </c>
      <c r="B168" s="2" t="n">
        <v>424004</v>
      </c>
      <c r="C168" s="2" t="n">
        <v>417081</v>
      </c>
      <c r="D168" s="2" t="inlineStr">
        <is>
          <t>Shampoo Anti-Caspa Hidratación Aceite de Coco 650 Ml Head y Shoulders</t>
        </is>
      </c>
      <c r="E168" s="2" t="inlineStr">
        <is>
          <t>HEAD &amp; SHOULDERS</t>
        </is>
      </c>
      <c r="F168" s="2" t="n">
        <v>19900</v>
      </c>
      <c r="G168" s="2" t="n">
        <v>1644628</v>
      </c>
      <c r="H168" s="2" t="b">
        <v>1</v>
      </c>
      <c r="I168" s="2" t="n">
        <v>650</v>
      </c>
      <c r="J168" s="2" t="n">
        <v>30.6154</v>
      </c>
      <c r="K168" s="2" t="inlineStr">
        <is>
          <t>&gt; Perfumería &gt; Cuidado Capilar &gt; Shampoo &gt;</t>
        </is>
      </c>
      <c r="L168" s="2" t="inlineStr">
        <is>
          <t>shampoo</t>
        </is>
      </c>
      <c r="M168" s="2" t="inlineStr">
        <is>
          <t>estandar</t>
        </is>
      </c>
      <c r="N168" s="2" t="inlineStr">
        <is>
          <t>anticaspa</t>
        </is>
      </c>
      <c r="O168" s="2" t="inlineStr">
        <is>
          <t>https://www.jumbo.com.ar/shampoo-coconut-650-ml-head-shoulders-2/p</t>
        </is>
      </c>
      <c r="P168" s="4">
        <f>TRIM(CLEAN(PROPER(D168)))</f>
        <v/>
      </c>
      <c r="Q168" s="4">
        <f>PROPER(TRIM(SUBSTITUTE(SUBSTITUTE(SUBSTITUTE(SUBSTITUTE(E168,"TRESEMME","Tresemme"),"HEAD &amp; SHOULDERS","Head &amp; Shoulders"),"ELVIVE","Elvive"),"FRUCTIS","Fructis")))</f>
        <v/>
      </c>
      <c r="R168" s="4">
        <f>COUNTIF($D$2:$D$10000,D168)&gt;1</f>
        <v/>
      </c>
      <c r="S168" s="4">
        <f>IF(H168=TRUE,"Disponible","No disponible")</f>
        <v/>
      </c>
      <c r="T168" s="4">
        <f>IF(AND(ISNUMBER(I168),I168&gt;0),ROUND(F168/I168,2),"Sin volumen")</f>
        <v/>
      </c>
      <c r="U168" s="4">
        <f>IF(F168&lt;5000,"Bajo",IF(F168&lt;15000,"Medio","Alto"))</f>
        <v/>
      </c>
    </row>
    <row r="169">
      <c r="A169" t="inlineStr">
        <is>
          <t>Jumbo</t>
        </is>
      </c>
      <c r="B169" t="n">
        <v>414865</v>
      </c>
      <c r="C169" t="n">
        <v>410565</v>
      </c>
      <c r="D169" t="inlineStr">
        <is>
          <t>Shampoo para Niños Rulos de Ensueño con Manteca de Karité 200 Ml Johnson's</t>
        </is>
      </c>
      <c r="E169" t="inlineStr">
        <is>
          <t>JOHNSON BABY</t>
        </is>
      </c>
      <c r="F169" t="n">
        <v>6700</v>
      </c>
      <c r="G169" t="n">
        <v>553719</v>
      </c>
      <c r="H169" t="b">
        <v>1</v>
      </c>
      <c r="I169" t="n">
        <v>200</v>
      </c>
      <c r="J169" t="n">
        <v>33.5</v>
      </c>
      <c r="K169" t="inlineStr">
        <is>
          <t>&gt; Mundo Bebe &gt; Higiene para el Bebe &gt; Higiene del Bebé &gt;</t>
        </is>
      </c>
      <c r="L169" t="inlineStr">
        <is>
          <t>shampoo</t>
        </is>
      </c>
      <c r="M169" t="inlineStr">
        <is>
          <t>estandar</t>
        </is>
      </c>
      <c r="N169" t="inlineStr">
        <is>
          <t>rizado</t>
        </is>
      </c>
      <c r="O169" t="inlineStr">
        <is>
          <t>https://www.jumbo.com.ar/shampoo-para-ninos-rulos-de-ensueno-200-ml-johnson-baby/p</t>
        </is>
      </c>
      <c r="P169">
        <f>TRIM(CLEAN(PROPER(D169)))</f>
        <v/>
      </c>
      <c r="Q169">
        <f>PROPER(TRIM(SUBSTITUTE(SUBSTITUTE(SUBSTITUTE(SUBSTITUTE(E169,"TRESEMME","Tresemme"),"HEAD &amp; SHOULDERS","Head &amp; Shoulders"),"ELVIVE","Elvive"),"FRUCTIS","Fructis")))</f>
        <v/>
      </c>
      <c r="R169">
        <f>COUNTIF($D$2:$D$10000,D169)&gt;1</f>
        <v/>
      </c>
      <c r="S169">
        <f>IF(H169=TRUE,"Disponible","No disponible")</f>
        <v/>
      </c>
      <c r="T169">
        <f>IF(AND(ISNUMBER(I169),I169&gt;0),ROUND(F169/I169,2),"Sin volumen")</f>
        <v/>
      </c>
      <c r="U169">
        <f>IF(F169&lt;5000,"Bajo",IF(F169&lt;15000,"Medio","Alto"))</f>
        <v/>
      </c>
    </row>
    <row r="170">
      <c r="A170" s="2" t="inlineStr">
        <is>
          <t>Jumbo</t>
        </is>
      </c>
      <c r="B170" s="2" t="n">
        <v>411487</v>
      </c>
      <c r="C170" s="2" t="n">
        <v>407305</v>
      </c>
      <c r="D170" s="2" t="inlineStr">
        <is>
          <t>Shampoo Tratante Anti-Caspa Ortiga Concentrado 420 Ml Capilatis</t>
        </is>
      </c>
      <c r="E170" s="2" t="inlineStr">
        <is>
          <t>CAPILATIS</t>
        </is>
      </c>
      <c r="F170" s="2" t="n">
        <v>10700</v>
      </c>
      <c r="G170" s="2" t="n">
        <v>884298</v>
      </c>
      <c r="H170" s="2" t="b">
        <v>1</v>
      </c>
      <c r="I170" s="2" t="n">
        <v>420</v>
      </c>
      <c r="J170" s="2" t="n">
        <v>25.4762</v>
      </c>
      <c r="K170" s="2" t="inlineStr">
        <is>
          <t>&gt; Perfumería &gt; Cuidado Capilar &gt; Shampoo &gt;</t>
        </is>
      </c>
      <c r="L170" s="2" t="inlineStr">
        <is>
          <t>shampoo</t>
        </is>
      </c>
      <c r="M170" s="2" t="inlineStr">
        <is>
          <t>estandar</t>
        </is>
      </c>
      <c r="N170" s="2" t="inlineStr">
        <is>
          <t>anticaspa</t>
        </is>
      </c>
      <c r="O170" s="2" t="inlineStr">
        <is>
          <t>https://www.jumbo.com.ar/shampoo-ortiga-caspa-concentrado-420-ml-capilatis/p</t>
        </is>
      </c>
      <c r="P170" s="4">
        <f>TRIM(CLEAN(PROPER(D170)))</f>
        <v/>
      </c>
      <c r="Q170" s="4">
        <f>PROPER(TRIM(SUBSTITUTE(SUBSTITUTE(SUBSTITUTE(SUBSTITUTE(E170,"TRESEMME","Tresemme"),"HEAD &amp; SHOULDERS","Head &amp; Shoulders"),"ELVIVE","Elvive"),"FRUCTIS","Fructis")))</f>
        <v/>
      </c>
      <c r="R170" s="4">
        <f>COUNTIF($D$2:$D$10000,D170)&gt;1</f>
        <v/>
      </c>
      <c r="S170" s="4">
        <f>IF(H170=TRUE,"Disponible","No disponible")</f>
        <v/>
      </c>
      <c r="T170" s="4">
        <f>IF(AND(ISNUMBER(I170),I170&gt;0),ROUND(F170/I170,2),"Sin volumen")</f>
        <v/>
      </c>
      <c r="U170" s="4">
        <f>IF(F170&lt;5000,"Bajo",IF(F170&lt;15000,"Medio","Alto"))</f>
        <v/>
      </c>
    </row>
    <row r="171">
      <c r="A171" t="inlineStr">
        <is>
          <t>Jumbo</t>
        </is>
      </c>
      <c r="B171" t="n">
        <v>400531</v>
      </c>
      <c r="C171" t="n">
        <v>397869</v>
      </c>
      <c r="D171" t="inlineStr">
        <is>
          <t>Shampoo Color Vive para Cabello Teñido 200 Ml Elvive</t>
        </is>
      </c>
      <c r="E171" t="inlineStr">
        <is>
          <t>ELVIVE</t>
        </is>
      </c>
      <c r="F171" t="n">
        <v>7400</v>
      </c>
      <c r="G171" t="n">
        <v>611570</v>
      </c>
      <c r="H171" t="b">
        <v>1</v>
      </c>
      <c r="I171" t="n">
        <v>200</v>
      </c>
      <c r="J171" t="n">
        <v>37</v>
      </c>
      <c r="K171" t="inlineStr">
        <is>
          <t>&gt; Perfumería &gt; Cuidado Capilar &gt; Shampoo &gt;</t>
        </is>
      </c>
      <c r="L171" t="inlineStr">
        <is>
          <t>shampoo</t>
        </is>
      </c>
      <c r="M171" t="inlineStr">
        <is>
          <t>profesional</t>
        </is>
      </c>
      <c r="N171" t="inlineStr">
        <is>
          <t>tratado</t>
        </is>
      </c>
      <c r="O171" t="inlineStr">
        <is>
          <t>https://www.jumbo.com.ar/shampoo-elvive-colorvive-200-ml-3/p</t>
        </is>
      </c>
      <c r="P171">
        <f>TRIM(CLEAN(PROPER(D171)))</f>
        <v/>
      </c>
      <c r="Q171">
        <f>PROPER(TRIM(SUBSTITUTE(SUBSTITUTE(SUBSTITUTE(SUBSTITUTE(E171,"TRESEMME","Tresemme"),"HEAD &amp; SHOULDERS","Head &amp; Shoulders"),"ELVIVE","Elvive"),"FRUCTIS","Fructis")))</f>
        <v/>
      </c>
      <c r="R171">
        <f>COUNTIF($D$2:$D$10000,D171)&gt;1</f>
        <v/>
      </c>
      <c r="S171">
        <f>IF(H171=TRUE,"Disponible","No disponible")</f>
        <v/>
      </c>
      <c r="T171">
        <f>IF(AND(ISNUMBER(I171),I171&gt;0),ROUND(F171/I171,2),"Sin volumen")</f>
        <v/>
      </c>
      <c r="U171">
        <f>IF(F171&lt;5000,"Bajo",IF(F171&lt;15000,"Medio","Alto"))</f>
        <v/>
      </c>
    </row>
    <row r="172">
      <c r="A172" s="2" t="inlineStr">
        <is>
          <t>Jumbo</t>
        </is>
      </c>
      <c r="B172" s="2" t="n">
        <v>3085747</v>
      </c>
      <c r="C172" s="2" t="n">
        <v>3084975</v>
      </c>
      <c r="D172" s="2" t="inlineStr">
        <is>
          <t>Shampoo Anticaida Renovación Capilar X 180 Ml Head &amp; Shoulders</t>
        </is>
      </c>
      <c r="E172" s="2" t="inlineStr">
        <is>
          <t>HEAD &amp; SHOULDERS</t>
        </is>
      </c>
      <c r="F172" s="2" t="n">
        <v>7550</v>
      </c>
      <c r="G172" s="2" t="n">
        <v>623967</v>
      </c>
      <c r="H172" s="2" t="b">
        <v>1</v>
      </c>
      <c r="I172" s="2" t="n">
        <v>180</v>
      </c>
      <c r="J172" s="2" t="n">
        <v>41.9444</v>
      </c>
      <c r="K172" s="2" t="inlineStr">
        <is>
          <t>&gt; Perfumería &gt; Cuidado Capilar &gt; Shampoo &gt;</t>
        </is>
      </c>
      <c r="L172" s="2" t="inlineStr">
        <is>
          <t>shampoo</t>
        </is>
      </c>
      <c r="M172" s="2" t="inlineStr">
        <is>
          <t>estandar</t>
        </is>
      </c>
      <c r="N172" s="2" t="inlineStr">
        <is>
          <t>general</t>
        </is>
      </c>
      <c r="O172" s="2" t="inlineStr">
        <is>
          <t>https://www.jumbo.com.ar/shampoo-anticaida-renovacion-capilar-x-180-ml-head-shoulders/p</t>
        </is>
      </c>
      <c r="P172" s="4">
        <f>TRIM(CLEAN(PROPER(D172)))</f>
        <v/>
      </c>
      <c r="Q172" s="4">
        <f>PROPER(TRIM(SUBSTITUTE(SUBSTITUTE(SUBSTITUTE(SUBSTITUTE(E172,"TRESEMME","Tresemme"),"HEAD &amp; SHOULDERS","Head &amp; Shoulders"),"ELVIVE","Elvive"),"FRUCTIS","Fructis")))</f>
        <v/>
      </c>
      <c r="R172" s="4">
        <f>COUNTIF($D$2:$D$10000,D172)&gt;1</f>
        <v/>
      </c>
      <c r="S172" s="4">
        <f>IF(H172=TRUE,"Disponible","No disponible")</f>
        <v/>
      </c>
      <c r="T172" s="4">
        <f>IF(AND(ISNUMBER(I172),I172&gt;0),ROUND(F172/I172,2),"Sin volumen")</f>
        <v/>
      </c>
      <c r="U172" s="4">
        <f>IF(F172&lt;5000,"Bajo",IF(F172&lt;15000,"Medio","Alto"))</f>
        <v/>
      </c>
    </row>
    <row r="173">
      <c r="A173" t="inlineStr">
        <is>
          <t>Jumbo</t>
        </is>
      </c>
      <c r="B173" t="n">
        <v>3073298</v>
      </c>
      <c r="C173" t="n">
        <v>3072803</v>
      </c>
      <c r="D173" t="inlineStr">
        <is>
          <t>Shampoo Brillo Sublime para Cabello Opaco 350 Ml Bagovit</t>
        </is>
      </c>
      <c r="E173" t="inlineStr">
        <is>
          <t>BAGOVIT</t>
        </is>
      </c>
      <c r="F173" t="n">
        <v>9800</v>
      </c>
      <c r="G173" t="n">
        <v>809917</v>
      </c>
      <c r="H173" t="b">
        <v>1</v>
      </c>
      <c r="I173" t="n">
        <v>350</v>
      </c>
      <c r="J173" t="n">
        <v>28</v>
      </c>
      <c r="K173" t="inlineStr">
        <is>
          <t>&gt; Perfumería &gt; Cuidado Capilar &gt; Shampoo &gt;</t>
        </is>
      </c>
      <c r="L173" t="inlineStr">
        <is>
          <t>shampoo</t>
        </is>
      </c>
      <c r="M173" t="inlineStr">
        <is>
          <t>estandar</t>
        </is>
      </c>
      <c r="N173" t="inlineStr">
        <is>
          <t>general</t>
        </is>
      </c>
      <c r="O173" t="inlineStr">
        <is>
          <t>https://www.jumbo.com.ar/shampoo-brillo-sublime-x-350-ml-bagovit/p</t>
        </is>
      </c>
      <c r="P173">
        <f>TRIM(CLEAN(PROPER(D173)))</f>
        <v/>
      </c>
      <c r="Q173">
        <f>PROPER(TRIM(SUBSTITUTE(SUBSTITUTE(SUBSTITUTE(SUBSTITUTE(E173,"TRESEMME","Tresemme"),"HEAD &amp; SHOULDERS","Head &amp; Shoulders"),"ELVIVE","Elvive"),"FRUCTIS","Fructis")))</f>
        <v/>
      </c>
      <c r="R173">
        <f>COUNTIF($D$2:$D$10000,D173)&gt;1</f>
        <v/>
      </c>
      <c r="S173">
        <f>IF(H173=TRUE,"Disponible","No disponible")</f>
        <v/>
      </c>
      <c r="T173">
        <f>IF(AND(ISNUMBER(I173),I173&gt;0),ROUND(F173/I173,2),"Sin volumen")</f>
        <v/>
      </c>
      <c r="U173">
        <f>IF(F173&lt;5000,"Bajo",IF(F173&lt;15000,"Medio","Alto"))</f>
        <v/>
      </c>
    </row>
    <row r="174">
      <c r="A174" s="2" t="inlineStr">
        <is>
          <t>Jumbo</t>
        </is>
      </c>
      <c r="B174" s="2" t="n">
        <v>411923</v>
      </c>
      <c r="C174" s="2" t="n">
        <v>407644</v>
      </c>
      <c r="D174" s="2" t="inlineStr">
        <is>
          <t>Shampoo Color Express Cobertura de Canas Castaño 25 Ml Issue</t>
        </is>
      </c>
      <c r="E174" s="2" t="inlineStr">
        <is>
          <t>ISSUE</t>
        </is>
      </c>
      <c r="F174" s="2" t="n">
        <v>4950</v>
      </c>
      <c r="G174" s="2" t="n">
        <v>409091</v>
      </c>
      <c r="H174" s="2" t="b">
        <v>1</v>
      </c>
      <c r="I174" s="2" t="n">
        <v>25</v>
      </c>
      <c r="J174" s="2" t="n">
        <v>198</v>
      </c>
      <c r="K174" s="2" t="inlineStr">
        <is>
          <t>&gt; Perfumería &gt; Cuidado Capilar &gt; Coloración &gt;</t>
        </is>
      </c>
      <c r="L174" s="2" t="inlineStr">
        <is>
          <t>shampoo</t>
        </is>
      </c>
      <c r="M174" s="2" t="inlineStr">
        <is>
          <t>estandar</t>
        </is>
      </c>
      <c r="N174" s="2" t="inlineStr">
        <is>
          <t>tratado</t>
        </is>
      </c>
      <c r="O174" s="2" t="inlineStr">
        <is>
          <t>https://www.jumbo.com.ar/shampoo-color-express-castano-25-ml-issue/p</t>
        </is>
      </c>
      <c r="P174" s="4">
        <f>TRIM(CLEAN(PROPER(D174)))</f>
        <v/>
      </c>
      <c r="Q174" s="4">
        <f>PROPER(TRIM(SUBSTITUTE(SUBSTITUTE(SUBSTITUTE(SUBSTITUTE(E174,"TRESEMME","Tresemme"),"HEAD &amp; SHOULDERS","Head &amp; Shoulders"),"ELVIVE","Elvive"),"FRUCTIS","Fructis")))</f>
        <v/>
      </c>
      <c r="R174" s="4">
        <f>COUNTIF($D$2:$D$10000,D174)&gt;1</f>
        <v/>
      </c>
      <c r="S174" s="4">
        <f>IF(H174=TRUE,"Disponible","No disponible")</f>
        <v/>
      </c>
      <c r="T174" s="4">
        <f>IF(AND(ISNUMBER(I174),I174&gt;0),ROUND(F174/I174,2),"Sin volumen")</f>
        <v/>
      </c>
      <c r="U174" s="4">
        <f>IF(F174&lt;5000,"Bajo",IF(F174&lt;15000,"Medio","Alto"))</f>
        <v/>
      </c>
    </row>
    <row r="175">
      <c r="A175" t="inlineStr">
        <is>
          <t>Jumbo</t>
        </is>
      </c>
      <c r="B175" t="n">
        <v>346768</v>
      </c>
      <c r="C175" t="n">
        <v>345443</v>
      </c>
      <c r="D175" t="inlineStr">
        <is>
          <t>Shampoo Nutrición Intensa Oleo Extraordinario Coco 200 Ml Elvive</t>
        </is>
      </c>
      <c r="E175" t="inlineStr">
        <is>
          <t>ELVIVE</t>
        </is>
      </c>
      <c r="F175" t="n">
        <v>7550</v>
      </c>
      <c r="G175" t="n">
        <v>623967</v>
      </c>
      <c r="H175" t="b">
        <v>1</v>
      </c>
      <c r="I175" t="n">
        <v>200</v>
      </c>
      <c r="J175" t="n">
        <v>37.75</v>
      </c>
      <c r="K175" t="inlineStr">
        <is>
          <t>&gt; Perfumería &gt; Cuidado Capilar &gt; Shampoo &gt;</t>
        </is>
      </c>
      <c r="L175" t="inlineStr">
        <is>
          <t>shampoo</t>
        </is>
      </c>
      <c r="M175" t="inlineStr">
        <is>
          <t>profesional</t>
        </is>
      </c>
      <c r="N175" t="inlineStr">
        <is>
          <t>general</t>
        </is>
      </c>
      <c r="O175" t="inlineStr">
        <is>
          <t>https://www.jumbo.com.ar/shampoo-elvive-oleo-extraordinario-coco-200-ml/p</t>
        </is>
      </c>
      <c r="P175">
        <f>TRIM(CLEAN(PROPER(D175)))</f>
        <v/>
      </c>
      <c r="Q175">
        <f>PROPER(TRIM(SUBSTITUTE(SUBSTITUTE(SUBSTITUTE(SUBSTITUTE(E175,"TRESEMME","Tresemme"),"HEAD &amp; SHOULDERS","Head &amp; Shoulders"),"ELVIVE","Elvive"),"FRUCTIS","Fructis")))</f>
        <v/>
      </c>
      <c r="R175">
        <f>COUNTIF($D$2:$D$10000,D175)&gt;1</f>
        <v/>
      </c>
      <c r="S175">
        <f>IF(H175=TRUE,"Disponible","No disponible")</f>
        <v/>
      </c>
      <c r="T175">
        <f>IF(AND(ISNUMBER(I175),I175&gt;0),ROUND(F175/I175,2),"Sin volumen")</f>
        <v/>
      </c>
      <c r="U175">
        <f>IF(F175&lt;5000,"Bajo",IF(F175&lt;15000,"Medio","Alto"))</f>
        <v/>
      </c>
    </row>
    <row r="176">
      <c r="A176" s="2" t="inlineStr">
        <is>
          <t>Jumbo</t>
        </is>
      </c>
      <c r="B176" s="2" t="n">
        <v>391923</v>
      </c>
      <c r="C176" s="2" t="n">
        <v>389975</v>
      </c>
      <c r="D176" s="2" t="inlineStr">
        <is>
          <t>Shampoo Anti-Caspa Limpieza y Revitalización 375 Ml Head y Shoulders</t>
        </is>
      </c>
      <c r="E176" s="2" t="inlineStr">
        <is>
          <t>HEAD &amp; SHOULDERS</t>
        </is>
      </c>
      <c r="F176" s="2" t="n">
        <v>12900</v>
      </c>
      <c r="G176" s="2" t="n">
        <v>1066116</v>
      </c>
      <c r="H176" s="2" t="b">
        <v>1</v>
      </c>
      <c r="I176" s="2" t="n">
        <v>375</v>
      </c>
      <c r="J176" s="2" t="n">
        <v>34.4</v>
      </c>
      <c r="K176" s="2" t="inlineStr">
        <is>
          <t>&gt; Perfumería &gt; Cuidado Capilar &gt; Shampoo &gt;</t>
        </is>
      </c>
      <c r="L176" s="2" t="inlineStr">
        <is>
          <t>shampoo</t>
        </is>
      </c>
      <c r="M176" s="2" t="inlineStr">
        <is>
          <t>estandar</t>
        </is>
      </c>
      <c r="N176" s="2" t="inlineStr">
        <is>
          <t>anticaspa</t>
        </is>
      </c>
      <c r="O176" s="2" t="inlineStr">
        <is>
          <t>https://www.jumbo.com.ar/shampoo-limpieza-y-revitalizacion-375-ml-head-shoulders/p</t>
        </is>
      </c>
      <c r="P176" s="4">
        <f>TRIM(CLEAN(PROPER(D176)))</f>
        <v/>
      </c>
      <c r="Q176" s="4">
        <f>PROPER(TRIM(SUBSTITUTE(SUBSTITUTE(SUBSTITUTE(SUBSTITUTE(E176,"TRESEMME","Tresemme"),"HEAD &amp; SHOULDERS","Head &amp; Shoulders"),"ELVIVE","Elvive"),"FRUCTIS","Fructis")))</f>
        <v/>
      </c>
      <c r="R176" s="4">
        <f>COUNTIF($D$2:$D$10000,D176)&gt;1</f>
        <v/>
      </c>
      <c r="S176" s="4">
        <f>IF(H176=TRUE,"Disponible","No disponible")</f>
        <v/>
      </c>
      <c r="T176" s="4">
        <f>IF(AND(ISNUMBER(I176),I176&gt;0),ROUND(F176/I176,2),"Sin volumen")</f>
        <v/>
      </c>
      <c r="U176" s="4">
        <f>IF(F176&lt;5000,"Bajo",IF(F176&lt;15000,"Medio","Alto"))</f>
        <v/>
      </c>
    </row>
    <row r="177">
      <c r="A177" t="inlineStr">
        <is>
          <t>Jumbo</t>
        </is>
      </c>
      <c r="B177" t="n">
        <v>391857</v>
      </c>
      <c r="C177" t="n">
        <v>389909</v>
      </c>
      <c r="D177" t="inlineStr">
        <is>
          <t>Shampoo Anti-Caspa Aceite de Argán 180 Ml Head y Shoulders</t>
        </is>
      </c>
      <c r="E177" t="inlineStr">
        <is>
          <t>HEAD &amp; SHOULDERS</t>
        </is>
      </c>
      <c r="F177" t="n">
        <v>7800</v>
      </c>
      <c r="G177" t="n">
        <v>644628</v>
      </c>
      <c r="H177" t="b">
        <v>1</v>
      </c>
      <c r="I177" t="n">
        <v>180</v>
      </c>
      <c r="J177" t="n">
        <v>43.3333</v>
      </c>
      <c r="K177" t="inlineStr">
        <is>
          <t>&gt; Perfumería &gt; Cuidado Capilar &gt; Shampoo &gt;</t>
        </is>
      </c>
      <c r="L177" t="inlineStr">
        <is>
          <t>shampoo</t>
        </is>
      </c>
      <c r="M177" t="inlineStr">
        <is>
          <t>estandar</t>
        </is>
      </c>
      <c r="N177" t="inlineStr">
        <is>
          <t>anticaspa</t>
        </is>
      </c>
      <c r="O177" t="inlineStr">
        <is>
          <t>https://www.jumbo.com.ar/shampoo-aceite-de-argan-shampoo-180-ml-head-shoulders-2/p</t>
        </is>
      </c>
      <c r="P177">
        <f>TRIM(CLEAN(PROPER(D177)))</f>
        <v/>
      </c>
      <c r="Q177">
        <f>PROPER(TRIM(SUBSTITUTE(SUBSTITUTE(SUBSTITUTE(SUBSTITUTE(E177,"TRESEMME","Tresemme"),"HEAD &amp; SHOULDERS","Head &amp; Shoulders"),"ELVIVE","Elvive"),"FRUCTIS","Fructis")))</f>
        <v/>
      </c>
      <c r="R177">
        <f>COUNTIF($D$2:$D$10000,D177)&gt;1</f>
        <v/>
      </c>
      <c r="S177">
        <f>IF(H177=TRUE,"Disponible","No disponible")</f>
        <v/>
      </c>
      <c r="T177">
        <f>IF(AND(ISNUMBER(I177),I177&gt;0),ROUND(F177/I177,2),"Sin volumen")</f>
        <v/>
      </c>
      <c r="U177">
        <f>IF(F177&lt;5000,"Bajo",IF(F177&lt;15000,"Medio","Alto"))</f>
        <v/>
      </c>
    </row>
    <row r="178">
      <c r="A178" s="2" t="inlineStr">
        <is>
          <t>Jumbo</t>
        </is>
      </c>
      <c r="B178" s="2" t="n">
        <v>384031</v>
      </c>
      <c r="C178" s="2" t="n">
        <v>382752</v>
      </c>
      <c r="D178" s="2" t="inlineStr">
        <is>
          <t>Shampoo Hidratación Cabello Deshidratado Aloe Vera 300 Ml Fructis</t>
        </is>
      </c>
      <c r="E178" s="2" t="inlineStr">
        <is>
          <t>FRUCTIS</t>
        </is>
      </c>
      <c r="F178" s="2" t="n">
        <v>12050</v>
      </c>
      <c r="G178" s="2" t="n">
        <v>995868</v>
      </c>
      <c r="H178" s="2" t="b">
        <v>1</v>
      </c>
      <c r="I178" s="2" t="n">
        <v>300</v>
      </c>
      <c r="J178" s="2" t="n">
        <v>40.1667</v>
      </c>
      <c r="K178" s="2" t="inlineStr">
        <is>
          <t>&gt; Perfumería &gt; Cuidado Capilar &gt; Shampoo &gt;</t>
        </is>
      </c>
      <c r="L178" s="2" t="inlineStr">
        <is>
          <t>shampoo</t>
        </is>
      </c>
      <c r="M178" s="2" t="inlineStr">
        <is>
          <t>estandar</t>
        </is>
      </c>
      <c r="N178" s="2" t="inlineStr">
        <is>
          <t>seco_danado</t>
        </is>
      </c>
      <c r="O178" s="2" t="inlineStr">
        <is>
          <t>https://www.jumbo.com.ar/shampoo-fructis-hair-food-aloe-300-ml/p</t>
        </is>
      </c>
      <c r="P178" s="4">
        <f>TRIM(CLEAN(PROPER(D178)))</f>
        <v/>
      </c>
      <c r="Q178" s="4">
        <f>PROPER(TRIM(SUBSTITUTE(SUBSTITUTE(SUBSTITUTE(SUBSTITUTE(E178,"TRESEMME","Tresemme"),"HEAD &amp; SHOULDERS","Head &amp; Shoulders"),"ELVIVE","Elvive"),"FRUCTIS","Fructis")))</f>
        <v/>
      </c>
      <c r="R178" s="4">
        <f>COUNTIF($D$2:$D$10000,D178)&gt;1</f>
        <v/>
      </c>
      <c r="S178" s="4">
        <f>IF(H178=TRUE,"Disponible","No disponible")</f>
        <v/>
      </c>
      <c r="T178" s="4">
        <f>IF(AND(ISNUMBER(I178),I178&gt;0),ROUND(F178/I178,2),"Sin volumen")</f>
        <v/>
      </c>
      <c r="U178" s="4">
        <f>IF(F178&lt;5000,"Bajo",IF(F178&lt;15000,"Medio","Alto"))</f>
        <v/>
      </c>
    </row>
    <row r="179">
      <c r="A179" t="inlineStr">
        <is>
          <t>Jumbo</t>
        </is>
      </c>
      <c r="B179" t="n">
        <v>310204</v>
      </c>
      <c r="C179" t="n">
        <v>309442</v>
      </c>
      <c r="D179" t="inlineStr">
        <is>
          <t>Shampoo Anti Caspa Hidratación Aceite de Coco 180 Ml Head y Shoulders</t>
        </is>
      </c>
      <c r="E179" t="inlineStr">
        <is>
          <t>HEAD &amp; SHOULDERS</t>
        </is>
      </c>
      <c r="F179" t="n">
        <v>7800</v>
      </c>
      <c r="G179" t="n">
        <v>644628</v>
      </c>
      <c r="H179" t="b">
        <v>1</v>
      </c>
      <c r="I179" t="n">
        <v>180</v>
      </c>
      <c r="J179" t="n">
        <v>43.3333</v>
      </c>
      <c r="K179" t="inlineStr">
        <is>
          <t>&gt; Perfumería &gt; Cuidado Capilar &gt; Shampoo &gt;</t>
        </is>
      </c>
      <c r="L179" t="inlineStr">
        <is>
          <t>shampoo</t>
        </is>
      </c>
      <c r="M179" t="inlineStr">
        <is>
          <t>estandar</t>
        </is>
      </c>
      <c r="N179" t="inlineStr">
        <is>
          <t>anticaspa</t>
        </is>
      </c>
      <c r="O179" t="inlineStr">
        <is>
          <t>https://www.jumbo.com.ar/shampoo-coconut-180-ml-head-shoulders-2/p</t>
        </is>
      </c>
      <c r="P179">
        <f>TRIM(CLEAN(PROPER(D179)))</f>
        <v/>
      </c>
      <c r="Q179">
        <f>PROPER(TRIM(SUBSTITUTE(SUBSTITUTE(SUBSTITUTE(SUBSTITUTE(E179,"TRESEMME","Tresemme"),"HEAD &amp; SHOULDERS","Head &amp; Shoulders"),"ELVIVE","Elvive"),"FRUCTIS","Fructis")))</f>
        <v/>
      </c>
      <c r="R179">
        <f>COUNTIF($D$2:$D$10000,D179)&gt;1</f>
        <v/>
      </c>
      <c r="S179">
        <f>IF(H179=TRUE,"Disponible","No disponible")</f>
        <v/>
      </c>
      <c r="T179">
        <f>IF(AND(ISNUMBER(I179),I179&gt;0),ROUND(F179/I179,2),"Sin volumen")</f>
        <v/>
      </c>
      <c r="U179">
        <f>IF(F179&lt;5000,"Bajo",IF(F179&lt;15000,"Medio","Alto"))</f>
        <v/>
      </c>
    </row>
    <row r="180">
      <c r="A180" s="2" t="inlineStr">
        <is>
          <t>Jumbo</t>
        </is>
      </c>
      <c r="B180" s="2" t="n">
        <v>401190</v>
      </c>
      <c r="C180" s="2" t="n">
        <v>398528</v>
      </c>
      <c r="D180" s="2" t="inlineStr">
        <is>
          <t>Shampoo Pro-v Miracles Detox Limpia y Purifica 750 Ml Pantene</t>
        </is>
      </c>
      <c r="E180" s="2" t="inlineStr">
        <is>
          <t>PANTENE</t>
        </is>
      </c>
      <c r="F180" s="2" t="n">
        <v>17600</v>
      </c>
      <c r="G180" s="2" t="n">
        <v>1454545</v>
      </c>
      <c r="H180" s="2" t="b">
        <v>1</v>
      </c>
      <c r="I180" s="2" t="n">
        <v>750</v>
      </c>
      <c r="J180" s="2" t="n">
        <v>23.4667</v>
      </c>
      <c r="K180" s="2" t="inlineStr">
        <is>
          <t>&gt; Perfumería &gt; Cuidado Capilar &gt; Shampoo &gt;</t>
        </is>
      </c>
      <c r="L180" s="2" t="inlineStr">
        <is>
          <t>shampoo</t>
        </is>
      </c>
      <c r="M180" s="2" t="inlineStr">
        <is>
          <t>profesional</t>
        </is>
      </c>
      <c r="N180" s="2" t="inlineStr">
        <is>
          <t>general</t>
        </is>
      </c>
      <c r="O180" s="2" t="inlineStr">
        <is>
          <t>https://www.jumbo.com.ar/shampoo-pro-v-miracles-detox-limpia-purifica-750-ml-pantene/p</t>
        </is>
      </c>
      <c r="P180" s="4">
        <f>TRIM(CLEAN(PROPER(D180)))</f>
        <v/>
      </c>
      <c r="Q180" s="4">
        <f>PROPER(TRIM(SUBSTITUTE(SUBSTITUTE(SUBSTITUTE(SUBSTITUTE(E180,"TRESEMME","Tresemme"),"HEAD &amp; SHOULDERS","Head &amp; Shoulders"),"ELVIVE","Elvive"),"FRUCTIS","Fructis")))</f>
        <v/>
      </c>
      <c r="R180" s="4">
        <f>COUNTIF($D$2:$D$10000,D180)&gt;1</f>
        <v/>
      </c>
      <c r="S180" s="4">
        <f>IF(H180=TRUE,"Disponible","No disponible")</f>
        <v/>
      </c>
      <c r="T180" s="4">
        <f>IF(AND(ISNUMBER(I180),I180&gt;0),ROUND(F180/I180,2),"Sin volumen")</f>
        <v/>
      </c>
      <c r="U180" s="4">
        <f>IF(F180&lt;5000,"Bajo",IF(F180&lt;15000,"Medio","Alto"))</f>
        <v/>
      </c>
    </row>
    <row r="181">
      <c r="A181" t="inlineStr">
        <is>
          <t>Jumbo</t>
        </is>
      </c>
      <c r="B181" t="n">
        <v>401186</v>
      </c>
      <c r="C181" t="n">
        <v>398524</v>
      </c>
      <c r="D181" t="inlineStr">
        <is>
          <t>Shampoo Pro-v Miracles Equilibrio Raíz y Puntas 400 Ml Pantene</t>
        </is>
      </c>
      <c r="E181" t="inlineStr">
        <is>
          <t>PANTENE</t>
        </is>
      </c>
      <c r="F181" t="n">
        <v>10750</v>
      </c>
      <c r="G181" t="n">
        <v>888430</v>
      </c>
      <c r="H181" t="b">
        <v>1</v>
      </c>
      <c r="I181" t="n">
        <v>400</v>
      </c>
      <c r="J181" t="n">
        <v>26.875</v>
      </c>
      <c r="K181" t="inlineStr">
        <is>
          <t>&gt; Perfumería &gt; Cuidado Capilar &gt; Shampoo &gt;</t>
        </is>
      </c>
      <c r="L181" t="inlineStr">
        <is>
          <t>shampoo</t>
        </is>
      </c>
      <c r="M181" t="inlineStr">
        <is>
          <t>profesional</t>
        </is>
      </c>
      <c r="N181" t="inlineStr">
        <is>
          <t>general</t>
        </is>
      </c>
      <c r="O181" t="inlineStr">
        <is>
          <t>https://www.jumbo.com.ar/shampoo-pro-v-miracles-detox-equilibrio-400-ml-pantene/p</t>
        </is>
      </c>
      <c r="P181">
        <f>TRIM(CLEAN(PROPER(D181)))</f>
        <v/>
      </c>
      <c r="Q181">
        <f>PROPER(TRIM(SUBSTITUTE(SUBSTITUTE(SUBSTITUTE(SUBSTITUTE(E181,"TRESEMME","Tresemme"),"HEAD &amp; SHOULDERS","Head &amp; Shoulders"),"ELVIVE","Elvive"),"FRUCTIS","Fructis")))</f>
        <v/>
      </c>
      <c r="R181">
        <f>COUNTIF($D$2:$D$10000,D181)&gt;1</f>
        <v/>
      </c>
      <c r="S181">
        <f>IF(H181=TRUE,"Disponible","No disponible")</f>
        <v/>
      </c>
      <c r="T181">
        <f>IF(AND(ISNUMBER(I181),I181&gt;0),ROUND(F181/I181,2),"Sin volumen")</f>
        <v/>
      </c>
      <c r="U181">
        <f>IF(F181&lt;5000,"Bajo",IF(F181&lt;15000,"Medio","Alto"))</f>
        <v/>
      </c>
    </row>
    <row r="182">
      <c r="A182" s="2" t="inlineStr">
        <is>
          <t>Jumbo</t>
        </is>
      </c>
      <c r="B182" s="2" t="n">
        <v>412300</v>
      </c>
      <c r="C182" s="2" t="n">
        <v>408002</v>
      </c>
      <c r="D182" s="2" t="inlineStr">
        <is>
          <t>Shampoo Aloe Hidra Clean para Cabello Deshidratado 350 Ml Fructis</t>
        </is>
      </c>
      <c r="E182" s="2" t="inlineStr">
        <is>
          <t>FRUCTIS</t>
        </is>
      </c>
      <c r="F182" s="2" t="n">
        <v>5900</v>
      </c>
      <c r="G182" s="2" t="n">
        <v>487603</v>
      </c>
      <c r="H182" s="2" t="b">
        <v>1</v>
      </c>
      <c r="I182" s="2" t="n">
        <v>350</v>
      </c>
      <c r="J182" s="2" t="n">
        <v>16.8571</v>
      </c>
      <c r="K182" s="2" t="inlineStr">
        <is>
          <t>&gt; Perfumería &gt; Cuidado Capilar &gt; Shampoo &gt;</t>
        </is>
      </c>
      <c r="L182" s="2" t="inlineStr">
        <is>
          <t>shampoo</t>
        </is>
      </c>
      <c r="M182" s="2" t="inlineStr">
        <is>
          <t>estandar</t>
        </is>
      </c>
      <c r="N182" s="2" t="inlineStr">
        <is>
          <t>seco_danado</t>
        </is>
      </c>
      <c r="O182" s="2" t="inlineStr">
        <is>
          <t>https://www.jumbo.com.ar/shampoo-fructis-aloe-hidra-clean-200ml/p</t>
        </is>
      </c>
      <c r="P182" s="4">
        <f>TRIM(CLEAN(PROPER(D182)))</f>
        <v/>
      </c>
      <c r="Q182" s="4">
        <f>PROPER(TRIM(SUBSTITUTE(SUBSTITUTE(SUBSTITUTE(SUBSTITUTE(E182,"TRESEMME","Tresemme"),"HEAD &amp; SHOULDERS","Head &amp; Shoulders"),"ELVIVE","Elvive"),"FRUCTIS","Fructis")))</f>
        <v/>
      </c>
      <c r="R182" s="4">
        <f>COUNTIF($D$2:$D$10000,D182)&gt;1</f>
        <v/>
      </c>
      <c r="S182" s="4">
        <f>IF(H182=TRUE,"Disponible","No disponible")</f>
        <v/>
      </c>
      <c r="T182" s="4">
        <f>IF(AND(ISNUMBER(I182),I182&gt;0),ROUND(F182/I182,2),"Sin volumen")</f>
        <v/>
      </c>
      <c r="U182" s="4">
        <f>IF(F182&lt;5000,"Bajo",IF(F182&lt;15000,"Medio","Alto"))</f>
        <v/>
      </c>
    </row>
    <row r="183">
      <c r="A183" t="inlineStr">
        <is>
          <t>Jumbo</t>
        </is>
      </c>
      <c r="B183" t="n">
        <v>407561</v>
      </c>
      <c r="C183" t="n">
        <v>403750</v>
      </c>
      <c r="D183" t="inlineStr">
        <is>
          <t>Shampoo Elvive 2 En 1 Reparación Total 5 Keratin 400 Ml</t>
        </is>
      </c>
      <c r="E183" t="inlineStr">
        <is>
          <t>ELVIVE</t>
        </is>
      </c>
      <c r="F183" t="n">
        <v>11123</v>
      </c>
      <c r="G183" t="n">
        <v>919256</v>
      </c>
      <c r="H183" t="b">
        <v>1</v>
      </c>
      <c r="I183" t="n">
        <v>400</v>
      </c>
      <c r="J183" t="n">
        <v>27.8075</v>
      </c>
      <c r="K183" t="inlineStr">
        <is>
          <t>&gt; Perfumería &gt; Cuidado Capilar &gt; Shampoo &gt;</t>
        </is>
      </c>
      <c r="L183" t="inlineStr">
        <is>
          <t>shampoo</t>
        </is>
      </c>
      <c r="M183" t="inlineStr">
        <is>
          <t>profesional</t>
        </is>
      </c>
      <c r="N183" t="inlineStr">
        <is>
          <t>general</t>
        </is>
      </c>
      <c r="O183" t="inlineStr">
        <is>
          <t>https://www.jumbo.com.ar/shampoo-elvive-2-en-1-reparacion-total-5-keratin-400-ml/p</t>
        </is>
      </c>
      <c r="P183">
        <f>TRIM(CLEAN(PROPER(D183)))</f>
        <v/>
      </c>
      <c r="Q183">
        <f>PROPER(TRIM(SUBSTITUTE(SUBSTITUTE(SUBSTITUTE(SUBSTITUTE(E183,"TRESEMME","Tresemme"),"HEAD &amp; SHOULDERS","Head &amp; Shoulders"),"ELVIVE","Elvive"),"FRUCTIS","Fructis")))</f>
        <v/>
      </c>
      <c r="R183">
        <f>COUNTIF($D$2:$D$10000,D183)&gt;1</f>
        <v/>
      </c>
      <c r="S183">
        <f>IF(H183=TRUE,"Disponible","No disponible")</f>
        <v/>
      </c>
      <c r="T183">
        <f>IF(AND(ISNUMBER(I183),I183&gt;0),ROUND(F183/I183,2),"Sin volumen")</f>
        <v/>
      </c>
      <c r="U183">
        <f>IF(F183&lt;5000,"Bajo",IF(F183&lt;15000,"Medio","Alto"))</f>
        <v/>
      </c>
    </row>
    <row r="184">
      <c r="A184" s="2" t="inlineStr">
        <is>
          <t>Jumbo</t>
        </is>
      </c>
      <c r="B184" s="2" t="n">
        <v>401195</v>
      </c>
      <c r="C184" s="2" t="n">
        <v>398533</v>
      </c>
      <c r="D184" s="2" t="inlineStr">
        <is>
          <t>Shampoo Pro-v Miracles Detox Limpia-purifica 400 Ml Pantene</t>
        </is>
      </c>
      <c r="E184" s="2" t="inlineStr">
        <is>
          <t>PANTENE</t>
        </is>
      </c>
      <c r="F184" s="2" t="n">
        <v>10750</v>
      </c>
      <c r="G184" s="2" t="n">
        <v>888430</v>
      </c>
      <c r="H184" s="2" t="b">
        <v>1</v>
      </c>
      <c r="I184" s="2" t="n">
        <v>400</v>
      </c>
      <c r="J184" s="2" t="n">
        <v>26.875</v>
      </c>
      <c r="K184" s="2" t="inlineStr">
        <is>
          <t>&gt; Perfumería &gt; Cuidado Capilar &gt; Shampoo &gt;</t>
        </is>
      </c>
      <c r="L184" s="2" t="inlineStr">
        <is>
          <t>shampoo</t>
        </is>
      </c>
      <c r="M184" s="2" t="inlineStr">
        <is>
          <t>profesional</t>
        </is>
      </c>
      <c r="N184" s="2" t="inlineStr">
        <is>
          <t>general</t>
        </is>
      </c>
      <c r="O184" s="2" t="inlineStr">
        <is>
          <t>https://www.jumbo.com.ar/shampoo-pro-v-miracles-detox-limpia-purifica-400-ml-pantene/p</t>
        </is>
      </c>
      <c r="P184" s="4">
        <f>TRIM(CLEAN(PROPER(D184)))</f>
        <v/>
      </c>
      <c r="Q184" s="4">
        <f>PROPER(TRIM(SUBSTITUTE(SUBSTITUTE(SUBSTITUTE(SUBSTITUTE(E184,"TRESEMME","Tresemme"),"HEAD &amp; SHOULDERS","Head &amp; Shoulders"),"ELVIVE","Elvive"),"FRUCTIS","Fructis")))</f>
        <v/>
      </c>
      <c r="R184" s="4">
        <f>COUNTIF($D$2:$D$10000,D184)&gt;1</f>
        <v/>
      </c>
      <c r="S184" s="4">
        <f>IF(H184=TRUE,"Disponible","No disponible")</f>
        <v/>
      </c>
      <c r="T184" s="4">
        <f>IF(AND(ISNUMBER(I184),I184&gt;0),ROUND(F184/I184,2),"Sin volumen")</f>
        <v/>
      </c>
      <c r="U184" s="4">
        <f>IF(F184&lt;5000,"Bajo",IF(F184&lt;15000,"Medio","Alto"))</f>
        <v/>
      </c>
    </row>
    <row r="185">
      <c r="A185" t="inlineStr">
        <is>
          <t>Jumbo</t>
        </is>
      </c>
      <c r="B185" t="n">
        <v>310203</v>
      </c>
      <c r="C185" t="n">
        <v>309441</v>
      </c>
      <c r="D185" t="inlineStr">
        <is>
          <t>Shampoo Anti-Caspa Hidratación Aceite de Coco 375 Ml Head y Shoulders</t>
        </is>
      </c>
      <c r="E185" t="inlineStr">
        <is>
          <t>HEAD &amp; SHOULDERS</t>
        </is>
      </c>
      <c r="F185" t="n">
        <v>12900</v>
      </c>
      <c r="G185" t="n">
        <v>1066116</v>
      </c>
      <c r="H185" t="b">
        <v>1</v>
      </c>
      <c r="I185" t="n">
        <v>375</v>
      </c>
      <c r="J185" t="n">
        <v>34.4</v>
      </c>
      <c r="K185" t="inlineStr">
        <is>
          <t>&gt; Perfumería &gt; Cuidado Capilar &gt; Shampoo &gt;</t>
        </is>
      </c>
      <c r="L185" t="inlineStr">
        <is>
          <t>shampoo</t>
        </is>
      </c>
      <c r="M185" t="inlineStr">
        <is>
          <t>estandar</t>
        </is>
      </c>
      <c r="N185" t="inlineStr">
        <is>
          <t>anticaspa</t>
        </is>
      </c>
      <c r="O185" t="inlineStr">
        <is>
          <t>https://www.jumbo.com.ar/shampoo-coconut-375-ml-head-shoulders-2/p</t>
        </is>
      </c>
      <c r="P185">
        <f>TRIM(CLEAN(PROPER(D185)))</f>
        <v/>
      </c>
      <c r="Q185">
        <f>PROPER(TRIM(SUBSTITUTE(SUBSTITUTE(SUBSTITUTE(SUBSTITUTE(E185,"TRESEMME","Tresemme"),"HEAD &amp; SHOULDERS","Head &amp; Shoulders"),"ELVIVE","Elvive"),"FRUCTIS","Fructis")))</f>
        <v/>
      </c>
      <c r="R185">
        <f>COUNTIF($D$2:$D$10000,D185)&gt;1</f>
        <v/>
      </c>
      <c r="S185">
        <f>IF(H185=TRUE,"Disponible","No disponible")</f>
        <v/>
      </c>
      <c r="T185">
        <f>IF(AND(ISNUMBER(I185),I185&gt;0),ROUND(F185/I185,2),"Sin volumen")</f>
        <v/>
      </c>
      <c r="U185">
        <f>IF(F185&lt;5000,"Bajo",IF(F185&lt;15000,"Medio","Alto"))</f>
        <v/>
      </c>
    </row>
    <row r="186">
      <c r="A186" s="2" t="inlineStr">
        <is>
          <t>Jumbo</t>
        </is>
      </c>
      <c r="B186" s="2" t="n">
        <v>275424</v>
      </c>
      <c r="C186" s="2" t="n">
        <v>274720</v>
      </c>
      <c r="D186" s="2" t="inlineStr">
        <is>
          <t>Shampoo 3 En 1 180 Ml Head &amp; Shoulders</t>
        </is>
      </c>
      <c r="E186" s="2" t="inlineStr">
        <is>
          <t>HEAD &amp; SHOULDERS</t>
        </is>
      </c>
      <c r="F186" s="2" t="n">
        <v>7800</v>
      </c>
      <c r="G186" s="2" t="n">
        <v>644628</v>
      </c>
      <c r="H186" s="2" t="b">
        <v>1</v>
      </c>
      <c r="I186" s="2" t="n">
        <v>180</v>
      </c>
      <c r="J186" s="2" t="n">
        <v>43.3333</v>
      </c>
      <c r="K186" s="2" t="inlineStr">
        <is>
          <t>&gt; Perfumería &gt; Cuidado Capilar &gt; Shampoo &gt;</t>
        </is>
      </c>
      <c r="L186" s="2" t="inlineStr">
        <is>
          <t>shampoo</t>
        </is>
      </c>
      <c r="M186" s="2" t="inlineStr">
        <is>
          <t>estandar</t>
        </is>
      </c>
      <c r="N186" s="2" t="inlineStr">
        <is>
          <t>general</t>
        </is>
      </c>
      <c r="O186" s="2" t="inlineStr">
        <is>
          <t>https://www.jumbo.com.ar/shampoo-3-en-1-180-ml-head-shoulders-2/p</t>
        </is>
      </c>
      <c r="P186" s="4">
        <f>TRIM(CLEAN(PROPER(D186)))</f>
        <v/>
      </c>
      <c r="Q186" s="4">
        <f>PROPER(TRIM(SUBSTITUTE(SUBSTITUTE(SUBSTITUTE(SUBSTITUTE(E186,"TRESEMME","Tresemme"),"HEAD &amp; SHOULDERS","Head &amp; Shoulders"),"ELVIVE","Elvive"),"FRUCTIS","Fructis")))</f>
        <v/>
      </c>
      <c r="R186" s="4">
        <f>COUNTIF($D$2:$D$10000,D186)&gt;1</f>
        <v/>
      </c>
      <c r="S186" s="4">
        <f>IF(H186=TRUE,"Disponible","No disponible")</f>
        <v/>
      </c>
      <c r="T186" s="4">
        <f>IF(AND(ISNUMBER(I186),I186&gt;0),ROUND(F186/I186,2),"Sin volumen")</f>
        <v/>
      </c>
      <c r="U186" s="4">
        <f>IF(F186&lt;5000,"Bajo",IF(F186&lt;15000,"Medio","Alto"))</f>
        <v/>
      </c>
    </row>
    <row r="187">
      <c r="A187" t="inlineStr">
        <is>
          <t>Jumbo</t>
        </is>
      </c>
      <c r="B187" t="n">
        <v>275420</v>
      </c>
      <c r="C187" t="n">
        <v>274716</v>
      </c>
      <c r="D187" t="inlineStr">
        <is>
          <t>Shampoo Anti-Caspa Old Spice 180 Ml Head y Shoulders</t>
        </is>
      </c>
      <c r="E187" t="inlineStr">
        <is>
          <t>HEAD &amp; SHOULDERS</t>
        </is>
      </c>
      <c r="F187" t="n">
        <v>7800</v>
      </c>
      <c r="G187" t="n">
        <v>644628</v>
      </c>
      <c r="H187" t="b">
        <v>1</v>
      </c>
      <c r="I187" t="n">
        <v>180</v>
      </c>
      <c r="J187" t="n">
        <v>43.3333</v>
      </c>
      <c r="K187" t="inlineStr">
        <is>
          <t>&gt; Perfumería &gt; Cuidado Capilar &gt; Shampoo &gt;</t>
        </is>
      </c>
      <c r="L187" t="inlineStr">
        <is>
          <t>shampoo</t>
        </is>
      </c>
      <c r="M187" t="inlineStr">
        <is>
          <t>estandar</t>
        </is>
      </c>
      <c r="N187" t="inlineStr">
        <is>
          <t>anticaspa</t>
        </is>
      </c>
      <c r="O187" t="inlineStr">
        <is>
          <t>https://www.jumbo.com.ar/shampoo-old-spice-180-ml-head-shoulders-2/p</t>
        </is>
      </c>
      <c r="P187">
        <f>TRIM(CLEAN(PROPER(D187)))</f>
        <v/>
      </c>
      <c r="Q187">
        <f>PROPER(TRIM(SUBSTITUTE(SUBSTITUTE(SUBSTITUTE(SUBSTITUTE(E187,"TRESEMME","Tresemme"),"HEAD &amp; SHOULDERS","Head &amp; Shoulders"),"ELVIVE","Elvive"),"FRUCTIS","Fructis")))</f>
        <v/>
      </c>
      <c r="R187">
        <f>COUNTIF($D$2:$D$10000,D187)&gt;1</f>
        <v/>
      </c>
      <c r="S187">
        <f>IF(H187=TRUE,"Disponible","No disponible")</f>
        <v/>
      </c>
      <c r="T187">
        <f>IF(AND(ISNUMBER(I187),I187&gt;0),ROUND(F187/I187,2),"Sin volumen")</f>
        <v/>
      </c>
      <c r="U187">
        <f>IF(F187&lt;5000,"Bajo",IF(F187&lt;15000,"Medio","Alto"))</f>
        <v/>
      </c>
    </row>
    <row r="188">
      <c r="A188" s="2" t="inlineStr">
        <is>
          <t>Jumbo</t>
        </is>
      </c>
      <c r="B188" s="2" t="n">
        <v>3074195</v>
      </c>
      <c r="C188" s="2" t="n">
        <v>3073691</v>
      </c>
      <c r="D188" s="2" t="inlineStr">
        <is>
          <t>Shampoo Hair Food Anti-quiebre Ananá 300 Ml Fructis</t>
        </is>
      </c>
      <c r="E188" s="2" t="inlineStr">
        <is>
          <t>FRUCTIS</t>
        </is>
      </c>
      <c r="F188" s="2" t="n">
        <v>12050</v>
      </c>
      <c r="G188" s="2" t="n">
        <v>995868</v>
      </c>
      <c r="H188" s="2" t="b">
        <v>1</v>
      </c>
      <c r="I188" s="2" t="n">
        <v>300</v>
      </c>
      <c r="J188" s="2" t="n">
        <v>40.1667</v>
      </c>
      <c r="K188" s="2" t="inlineStr">
        <is>
          <t>&gt; Perfumería &gt; Cuidado Capilar &gt; Shampoo &gt;</t>
        </is>
      </c>
      <c r="L188" s="2" t="inlineStr">
        <is>
          <t>shampoo</t>
        </is>
      </c>
      <c r="M188" s="2" t="inlineStr">
        <is>
          <t>estandar</t>
        </is>
      </c>
      <c r="N188" s="2" t="inlineStr">
        <is>
          <t>general</t>
        </is>
      </c>
      <c r="O188" s="2" t="inlineStr">
        <is>
          <t>https://www.jumbo.com.ar/shampoo-fructis-pina-300ml/p</t>
        </is>
      </c>
      <c r="P188" s="4">
        <f>TRIM(CLEAN(PROPER(D188)))</f>
        <v/>
      </c>
      <c r="Q188" s="4">
        <f>PROPER(TRIM(SUBSTITUTE(SUBSTITUTE(SUBSTITUTE(SUBSTITUTE(E188,"TRESEMME","Tresemme"),"HEAD &amp; SHOULDERS","Head &amp; Shoulders"),"ELVIVE","Elvive"),"FRUCTIS","Fructis")))</f>
        <v/>
      </c>
      <c r="R188" s="4">
        <f>COUNTIF($D$2:$D$10000,D188)&gt;1</f>
        <v/>
      </c>
      <c r="S188" s="4">
        <f>IF(H188=TRUE,"Disponible","No disponible")</f>
        <v/>
      </c>
      <c r="T188" s="4">
        <f>IF(AND(ISNUMBER(I188),I188&gt;0),ROUND(F188/I188,2),"Sin volumen")</f>
        <v/>
      </c>
      <c r="U188" s="4">
        <f>IF(F188&lt;5000,"Bajo",IF(F188&lt;15000,"Medio","Alto"))</f>
        <v/>
      </c>
    </row>
    <row r="189">
      <c r="A189" t="inlineStr">
        <is>
          <t>Jumbo</t>
        </is>
      </c>
      <c r="B189" t="n">
        <v>414731</v>
      </c>
      <c r="C189" t="n">
        <v>410432</v>
      </c>
      <c r="D189" t="inlineStr">
        <is>
          <t>Shampoo Para Bebé Cabello Claro 750 Ml Johnson Baby</t>
        </is>
      </c>
      <c r="E189" t="inlineStr">
        <is>
          <t>JOHNSON BABY</t>
        </is>
      </c>
      <c r="F189" t="n">
        <v>20850</v>
      </c>
      <c r="G189" t="n">
        <v>1723141</v>
      </c>
      <c r="H189" t="b">
        <v>1</v>
      </c>
      <c r="I189" t="n">
        <v>750</v>
      </c>
      <c r="J189" t="n">
        <v>27.8</v>
      </c>
      <c r="K189" t="inlineStr">
        <is>
          <t>&gt; Mundo Bebe &gt; Higiene para el Bebe &gt; Higiene del Bebé &gt;</t>
        </is>
      </c>
      <c r="L189" t="inlineStr">
        <is>
          <t>shampoo</t>
        </is>
      </c>
      <c r="M189" t="inlineStr">
        <is>
          <t>estandar</t>
        </is>
      </c>
      <c r="N189" t="inlineStr">
        <is>
          <t>bebe</t>
        </is>
      </c>
      <c r="O189" t="inlineStr">
        <is>
          <t>https://www.jumbo.com.ar/shampoo-para-bebe-cabello-claro-750-ml-johnson-baby/p</t>
        </is>
      </c>
      <c r="P189">
        <f>TRIM(CLEAN(PROPER(D189)))</f>
        <v/>
      </c>
      <c r="Q189">
        <f>PROPER(TRIM(SUBSTITUTE(SUBSTITUTE(SUBSTITUTE(SUBSTITUTE(E189,"TRESEMME","Tresemme"),"HEAD &amp; SHOULDERS","Head &amp; Shoulders"),"ELVIVE","Elvive"),"FRUCTIS","Fructis")))</f>
        <v/>
      </c>
      <c r="R189">
        <f>COUNTIF($D$2:$D$10000,D189)&gt;1</f>
        <v/>
      </c>
      <c r="S189">
        <f>IF(H189=TRUE,"Disponible","No disponible")</f>
        <v/>
      </c>
      <c r="T189">
        <f>IF(AND(ISNUMBER(I189),I189&gt;0),ROUND(F189/I189,2),"Sin volumen")</f>
        <v/>
      </c>
      <c r="U189">
        <f>IF(F189&lt;5000,"Bajo",IF(F189&lt;15000,"Medio","Alto"))</f>
        <v/>
      </c>
    </row>
    <row r="190">
      <c r="A190" s="2" t="inlineStr">
        <is>
          <t>Jumbo</t>
        </is>
      </c>
      <c r="B190" s="2" t="n">
        <v>346825</v>
      </c>
      <c r="C190" s="2" t="n">
        <v>345500</v>
      </c>
      <c r="D190" s="2" t="inlineStr">
        <is>
          <t>Shampoo Nutrición Intensa Oleo Extraordinario Coco 750 Ml Elvive</t>
        </is>
      </c>
      <c r="E190" s="2" t="inlineStr">
        <is>
          <t>ELVIVE</t>
        </is>
      </c>
      <c r="F190" s="2" t="n">
        <v>19400</v>
      </c>
      <c r="G190" s="2" t="n">
        <v>1603306</v>
      </c>
      <c r="H190" s="2" t="b">
        <v>1</v>
      </c>
      <c r="I190" s="2" t="n">
        <v>750</v>
      </c>
      <c r="J190" s="2" t="n">
        <v>25.8667</v>
      </c>
      <c r="K190" s="2" t="inlineStr">
        <is>
          <t>&gt; Perfumería &gt; Cuidado Capilar &gt; Shampoo &gt;</t>
        </is>
      </c>
      <c r="L190" s="2" t="inlineStr">
        <is>
          <t>shampoo</t>
        </is>
      </c>
      <c r="M190" s="2" t="inlineStr">
        <is>
          <t>profesional</t>
        </is>
      </c>
      <c r="N190" s="2" t="inlineStr">
        <is>
          <t>general</t>
        </is>
      </c>
      <c r="O190" s="2" t="inlineStr">
        <is>
          <t>https://www.jumbo.com.ar/shampoo-elvive-oleo-extraordinario-coco-750-ml/p</t>
        </is>
      </c>
      <c r="P190" s="4">
        <f>TRIM(CLEAN(PROPER(D190)))</f>
        <v/>
      </c>
      <c r="Q190" s="4">
        <f>PROPER(TRIM(SUBSTITUTE(SUBSTITUTE(SUBSTITUTE(SUBSTITUTE(E190,"TRESEMME","Tresemme"),"HEAD &amp; SHOULDERS","Head &amp; Shoulders"),"ELVIVE","Elvive"),"FRUCTIS","Fructis")))</f>
        <v/>
      </c>
      <c r="R190" s="4">
        <f>COUNTIF($D$2:$D$10000,D190)&gt;1</f>
        <v/>
      </c>
      <c r="S190" s="4">
        <f>IF(H190=TRUE,"Disponible","No disponible")</f>
        <v/>
      </c>
      <c r="T190" s="4">
        <f>IF(AND(ISNUMBER(I190),I190&gt;0),ROUND(F190/I190,2),"Sin volumen")</f>
        <v/>
      </c>
      <c r="U190" s="4">
        <f>IF(F190&lt;5000,"Bajo",IF(F190&lt;15000,"Medio","Alto"))</f>
        <v/>
      </c>
    </row>
    <row r="191">
      <c r="A191" t="inlineStr">
        <is>
          <t>Jumbo</t>
        </is>
      </c>
      <c r="B191" t="n">
        <v>3073296</v>
      </c>
      <c r="C191" t="n">
        <v>3072801</v>
      </c>
      <c r="D191" t="inlineStr">
        <is>
          <t>Shampoo Nutrición Profunda para Cabello Seco 350 Ml Bagovit</t>
        </is>
      </c>
      <c r="E191" t="inlineStr">
        <is>
          <t>BAGOVIT</t>
        </is>
      </c>
      <c r="F191" t="n">
        <v>9800</v>
      </c>
      <c r="G191" t="n">
        <v>809917</v>
      </c>
      <c r="H191" t="b">
        <v>1</v>
      </c>
      <c r="I191" t="n">
        <v>350</v>
      </c>
      <c r="J191" t="n">
        <v>28</v>
      </c>
      <c r="K191" t="inlineStr">
        <is>
          <t>&gt; Perfumería &gt; Cuidado Capilar &gt; Shampoo &gt;</t>
        </is>
      </c>
      <c r="L191" t="inlineStr">
        <is>
          <t>shampoo</t>
        </is>
      </c>
      <c r="M191" t="inlineStr">
        <is>
          <t>estandar</t>
        </is>
      </c>
      <c r="N191" t="inlineStr">
        <is>
          <t>seco_danado</t>
        </is>
      </c>
      <c r="O191" t="inlineStr">
        <is>
          <t>https://www.jumbo.com.ar/shampoo-nutricion-profunda-x-350-ml-bagovit/p</t>
        </is>
      </c>
      <c r="P191">
        <f>TRIM(CLEAN(PROPER(D191)))</f>
        <v/>
      </c>
      <c r="Q191">
        <f>PROPER(TRIM(SUBSTITUTE(SUBSTITUTE(SUBSTITUTE(SUBSTITUTE(E191,"TRESEMME","Tresemme"),"HEAD &amp; SHOULDERS","Head &amp; Shoulders"),"ELVIVE","Elvive"),"FRUCTIS","Fructis")))</f>
        <v/>
      </c>
      <c r="R191">
        <f>COUNTIF($D$2:$D$10000,D191)&gt;1</f>
        <v/>
      </c>
      <c r="S191">
        <f>IF(H191=TRUE,"Disponible","No disponible")</f>
        <v/>
      </c>
      <c r="T191">
        <f>IF(AND(ISNUMBER(I191),I191&gt;0),ROUND(F191/I191,2),"Sin volumen")</f>
        <v/>
      </c>
      <c r="U191">
        <f>IF(F191&lt;5000,"Bajo",IF(F191&lt;15000,"Medio","Alto"))</f>
        <v/>
      </c>
    </row>
    <row r="192">
      <c r="A192" s="2" t="inlineStr">
        <is>
          <t>Jumbo</t>
        </is>
      </c>
      <c r="B192" s="2" t="n">
        <v>394821</v>
      </c>
      <c r="C192" s="2" t="n">
        <v>392820</v>
      </c>
      <c r="D192" s="2" t="inlineStr">
        <is>
          <t>Shampoo Pantene Pro-v Miracles Hidrata Y Fortalece 400 Ml</t>
        </is>
      </c>
      <c r="E192" s="2" t="inlineStr">
        <is>
          <t>PANTENE</t>
        </is>
      </c>
      <c r="F192" s="2" t="n">
        <v>10750</v>
      </c>
      <c r="G192" s="2" t="n">
        <v>888430</v>
      </c>
      <c r="H192" s="2" t="b">
        <v>1</v>
      </c>
      <c r="I192" s="2" t="n">
        <v>400</v>
      </c>
      <c r="J192" s="2" t="n">
        <v>26.875</v>
      </c>
      <c r="K192" s="2" t="inlineStr">
        <is>
          <t>&gt; Perfumería &gt; Cuidado Capilar &gt; Shampoo &gt;</t>
        </is>
      </c>
      <c r="L192" s="2" t="inlineStr">
        <is>
          <t>shampoo</t>
        </is>
      </c>
      <c r="M192" s="2" t="inlineStr">
        <is>
          <t>profesional</t>
        </is>
      </c>
      <c r="N192" s="2" t="inlineStr">
        <is>
          <t>seco_danado</t>
        </is>
      </c>
      <c r="O192" s="2" t="inlineStr">
        <is>
          <t>https://www.jumbo.com.ar/shampoo-pantene-pro-v-miracles-hidrata-y-fortalece-400-ml/p</t>
        </is>
      </c>
      <c r="P192" s="4">
        <f>TRIM(CLEAN(PROPER(D192)))</f>
        <v/>
      </c>
      <c r="Q192" s="4">
        <f>PROPER(TRIM(SUBSTITUTE(SUBSTITUTE(SUBSTITUTE(SUBSTITUTE(E192,"TRESEMME","Tresemme"),"HEAD &amp; SHOULDERS","Head &amp; Shoulders"),"ELVIVE","Elvive"),"FRUCTIS","Fructis")))</f>
        <v/>
      </c>
      <c r="R192" s="4">
        <f>COUNTIF($D$2:$D$10000,D192)&gt;1</f>
        <v/>
      </c>
      <c r="S192" s="4">
        <f>IF(H192=TRUE,"Disponible","No disponible")</f>
        <v/>
      </c>
      <c r="T192" s="4">
        <f>IF(AND(ISNUMBER(I192),I192&gt;0),ROUND(F192/I192,2),"Sin volumen")</f>
        <v/>
      </c>
      <c r="U192" s="4">
        <f>IF(F192&lt;5000,"Bajo",IF(F192&lt;15000,"Medio","Alto"))</f>
        <v/>
      </c>
    </row>
    <row r="193">
      <c r="A193" t="inlineStr">
        <is>
          <t>Jumbo</t>
        </is>
      </c>
      <c r="B193" t="n">
        <v>394213</v>
      </c>
      <c r="C193" t="n">
        <v>392219</v>
      </c>
      <c r="D193" t="inlineStr">
        <is>
          <t>Shampoo Óleo Nutrición para Cabello Seco 200 Ml Dove</t>
        </is>
      </c>
      <c r="E193" t="inlineStr">
        <is>
          <t>DOVE</t>
        </is>
      </c>
      <c r="F193" t="n">
        <v>6000</v>
      </c>
      <c r="G193" t="n">
        <v>495868</v>
      </c>
      <c r="H193" t="b">
        <v>1</v>
      </c>
      <c r="I193" t="n">
        <v>200</v>
      </c>
      <c r="J193" t="n">
        <v>30</v>
      </c>
      <c r="K193" t="inlineStr">
        <is>
          <t>&gt; Perfumería &gt; Cuidado Capilar &gt; Shampoo &gt;</t>
        </is>
      </c>
      <c r="L193" t="inlineStr">
        <is>
          <t>shampoo</t>
        </is>
      </c>
      <c r="M193" t="inlineStr">
        <is>
          <t>estandar</t>
        </is>
      </c>
      <c r="N193" t="inlineStr">
        <is>
          <t>seco_danado</t>
        </is>
      </c>
      <c r="O193" t="inlineStr">
        <is>
          <t>https://www.jumbo.com.ar/shampoo-dove-oleo-nutricion-200-ml/p</t>
        </is>
      </c>
      <c r="P193">
        <f>TRIM(CLEAN(PROPER(D193)))</f>
        <v/>
      </c>
      <c r="Q193">
        <f>PROPER(TRIM(SUBSTITUTE(SUBSTITUTE(SUBSTITUTE(SUBSTITUTE(E193,"TRESEMME","Tresemme"),"HEAD &amp; SHOULDERS","Head &amp; Shoulders"),"ELVIVE","Elvive"),"FRUCTIS","Fructis")))</f>
        <v/>
      </c>
      <c r="R193">
        <f>COUNTIF($D$2:$D$10000,D193)&gt;1</f>
        <v/>
      </c>
      <c r="S193">
        <f>IF(H193=TRUE,"Disponible","No disponible")</f>
        <v/>
      </c>
      <c r="T193">
        <f>IF(AND(ISNUMBER(I193),I193&gt;0),ROUND(F193/I193,2),"Sin volumen")</f>
        <v/>
      </c>
      <c r="U193">
        <f>IF(F193&lt;5000,"Bajo",IF(F193&lt;15000,"Medio","Alto"))</f>
        <v/>
      </c>
    </row>
    <row r="194">
      <c r="A194" s="2" t="inlineStr">
        <is>
          <t>Jumbo</t>
        </is>
      </c>
      <c r="B194" s="2" t="n">
        <v>334661</v>
      </c>
      <c r="C194" s="2" t="n">
        <v>333783</v>
      </c>
      <c r="D194" s="2" t="inlineStr">
        <is>
          <t>Shampoo Anti Caspa Crece Fuerte desde la Raíz 375 Ml Head y Shoulders</t>
        </is>
      </c>
      <c r="E194" s="2" t="inlineStr">
        <is>
          <t>HEAD &amp; SHOULDERS</t>
        </is>
      </c>
      <c r="F194" s="2" t="n">
        <v>12900</v>
      </c>
      <c r="G194" s="2" t="n">
        <v>1066116</v>
      </c>
      <c r="H194" s="2" t="b">
        <v>1</v>
      </c>
      <c r="I194" s="2" t="n">
        <v>375</v>
      </c>
      <c r="J194" s="2" t="n">
        <v>34.4</v>
      </c>
      <c r="K194" s="2" t="inlineStr">
        <is>
          <t>&gt; Perfumería &gt; Cuidado Capilar &gt; Shampoo &gt;</t>
        </is>
      </c>
      <c r="L194" s="2" t="inlineStr">
        <is>
          <t>shampoo</t>
        </is>
      </c>
      <c r="M194" s="2" t="inlineStr">
        <is>
          <t>estandar</t>
        </is>
      </c>
      <c r="N194" s="2" t="inlineStr">
        <is>
          <t>anticaspa</t>
        </is>
      </c>
      <c r="O194" s="2" t="inlineStr">
        <is>
          <t>https://www.jumbo.com.ar/shampoo-crece-fuerte-desde-la-raiz-375-ml-head-shoulders/p</t>
        </is>
      </c>
      <c r="P194" s="4">
        <f>TRIM(CLEAN(PROPER(D194)))</f>
        <v/>
      </c>
      <c r="Q194" s="4">
        <f>PROPER(TRIM(SUBSTITUTE(SUBSTITUTE(SUBSTITUTE(SUBSTITUTE(E194,"TRESEMME","Tresemme"),"HEAD &amp; SHOULDERS","Head &amp; Shoulders"),"ELVIVE","Elvive"),"FRUCTIS","Fructis")))</f>
        <v/>
      </c>
      <c r="R194" s="4">
        <f>COUNTIF($D$2:$D$10000,D194)&gt;1</f>
        <v/>
      </c>
      <c r="S194" s="4">
        <f>IF(H194=TRUE,"Disponible","No disponible")</f>
        <v/>
      </c>
      <c r="T194" s="4">
        <f>IF(AND(ISNUMBER(I194),I194&gt;0),ROUND(F194/I194,2),"Sin volumen")</f>
        <v/>
      </c>
      <c r="U194" s="4">
        <f>IF(F194&lt;5000,"Bajo",IF(F194&lt;15000,"Medio","Alto"))</f>
        <v/>
      </c>
    </row>
    <row r="195">
      <c r="A195" t="inlineStr">
        <is>
          <t>Jumbo</t>
        </is>
      </c>
      <c r="B195" t="n">
        <v>414737</v>
      </c>
      <c r="C195" t="n">
        <v>410438</v>
      </c>
      <c r="D195" t="inlineStr">
        <is>
          <t>Shampoo para Bebé Cabello Claro Manzanilla 400 Ml Johnson Baby</t>
        </is>
      </c>
      <c r="E195" t="inlineStr">
        <is>
          <t>JOHNSON BABY</t>
        </is>
      </c>
      <c r="F195" t="n">
        <v>12300</v>
      </c>
      <c r="G195" t="n">
        <v>1016529</v>
      </c>
      <c r="H195" t="b">
        <v>1</v>
      </c>
      <c r="I195" t="n">
        <v>400</v>
      </c>
      <c r="J195" t="n">
        <v>30.75</v>
      </c>
      <c r="K195" t="inlineStr">
        <is>
          <t>&gt; Mundo Bebe &gt; Higiene para el Bebe &gt; Higiene del Bebé &gt;</t>
        </is>
      </c>
      <c r="L195" t="inlineStr">
        <is>
          <t>shampoo</t>
        </is>
      </c>
      <c r="M195" t="inlineStr">
        <is>
          <t>estandar</t>
        </is>
      </c>
      <c r="N195" t="inlineStr">
        <is>
          <t>bebe</t>
        </is>
      </c>
      <c r="O195" t="inlineStr">
        <is>
          <t>https://www.jumbo.com.ar/shampoo-para-bebe-cabello-claro-400-ml-johnson-baby/p</t>
        </is>
      </c>
      <c r="P195">
        <f>TRIM(CLEAN(PROPER(D195)))</f>
        <v/>
      </c>
      <c r="Q195">
        <f>PROPER(TRIM(SUBSTITUTE(SUBSTITUTE(SUBSTITUTE(SUBSTITUTE(E195,"TRESEMME","Tresemme"),"HEAD &amp; SHOULDERS","Head &amp; Shoulders"),"ELVIVE","Elvive"),"FRUCTIS","Fructis")))</f>
        <v/>
      </c>
      <c r="R195">
        <f>COUNTIF($D$2:$D$10000,D195)&gt;1</f>
        <v/>
      </c>
      <c r="S195">
        <f>IF(H195=TRUE,"Disponible","No disponible")</f>
        <v/>
      </c>
      <c r="T195">
        <f>IF(AND(ISNUMBER(I195),I195&gt;0),ROUND(F195/I195,2),"Sin volumen")</f>
        <v/>
      </c>
      <c r="U195">
        <f>IF(F195&lt;5000,"Bajo",IF(F195&lt;15000,"Medio","Alto"))</f>
        <v/>
      </c>
    </row>
    <row r="196">
      <c r="A196" s="2" t="inlineStr">
        <is>
          <t>Jumbo</t>
        </is>
      </c>
      <c r="B196" s="2" t="n">
        <v>414732</v>
      </c>
      <c r="C196" s="2" t="n">
        <v>410433</v>
      </c>
      <c r="D196" s="2" t="inlineStr">
        <is>
          <t>Shampoo Para Bebé Cabello Claro 200 Ml Johnson Baby</t>
        </is>
      </c>
      <c r="E196" s="2" t="inlineStr">
        <is>
          <t>JOHNSON BABY</t>
        </is>
      </c>
      <c r="F196" s="2" t="n">
        <v>7400</v>
      </c>
      <c r="G196" s="2" t="n">
        <v>611570</v>
      </c>
      <c r="H196" s="2" t="b">
        <v>1</v>
      </c>
      <c r="I196" s="2" t="n">
        <v>200</v>
      </c>
      <c r="J196" s="2" t="n">
        <v>37</v>
      </c>
      <c r="K196" s="2" t="inlineStr">
        <is>
          <t>&gt; Mundo Bebe &gt; Higiene para el Bebe &gt; Higiene del Bebé &gt;</t>
        </is>
      </c>
      <c r="L196" s="2" t="inlineStr">
        <is>
          <t>shampoo</t>
        </is>
      </c>
      <c r="M196" s="2" t="inlineStr">
        <is>
          <t>estandar</t>
        </is>
      </c>
      <c r="N196" s="2" t="inlineStr">
        <is>
          <t>bebe</t>
        </is>
      </c>
      <c r="O196" s="2" t="inlineStr">
        <is>
          <t>https://www.jumbo.com.ar/shampoo-para-bebe-cabello-claro-200-ml-johnson-baby/p</t>
        </is>
      </c>
      <c r="P196" s="4">
        <f>TRIM(CLEAN(PROPER(D196)))</f>
        <v/>
      </c>
      <c r="Q196" s="4">
        <f>PROPER(TRIM(SUBSTITUTE(SUBSTITUTE(SUBSTITUTE(SUBSTITUTE(E196,"TRESEMME","Tresemme"),"HEAD &amp; SHOULDERS","Head &amp; Shoulders"),"ELVIVE","Elvive"),"FRUCTIS","Fructis")))</f>
        <v/>
      </c>
      <c r="R196" s="4">
        <f>COUNTIF($D$2:$D$10000,D196)&gt;1</f>
        <v/>
      </c>
      <c r="S196" s="4">
        <f>IF(H196=TRUE,"Disponible","No disponible")</f>
        <v/>
      </c>
      <c r="T196" s="4">
        <f>IF(AND(ISNUMBER(I196),I196&gt;0),ROUND(F196/I196,2),"Sin volumen")</f>
        <v/>
      </c>
      <c r="U196" s="4">
        <f>IF(F196&lt;5000,"Bajo",IF(F196&lt;15000,"Medio","Alto"))</f>
        <v/>
      </c>
    </row>
    <row r="197">
      <c r="A197" t="inlineStr">
        <is>
          <t>Jumbo</t>
        </is>
      </c>
      <c r="B197" t="n">
        <v>3073295</v>
      </c>
      <c r="C197" t="n">
        <v>3072800</v>
      </c>
      <c r="D197" t="inlineStr">
        <is>
          <t>Shampoo Color Radiante para Cabello Tinturado 350 Ml Bagovit</t>
        </is>
      </c>
      <c r="E197" t="inlineStr">
        <is>
          <t>BAGOVIT</t>
        </is>
      </c>
      <c r="F197" t="n">
        <v>9800</v>
      </c>
      <c r="G197" t="n">
        <v>809917</v>
      </c>
      <c r="H197" t="b">
        <v>1</v>
      </c>
      <c r="I197" t="n">
        <v>350</v>
      </c>
      <c r="J197" t="n">
        <v>28</v>
      </c>
      <c r="K197" t="inlineStr">
        <is>
          <t>&gt; Perfumería &gt; Cuidado Capilar &gt; Shampoo &gt;</t>
        </is>
      </c>
      <c r="L197" t="inlineStr">
        <is>
          <t>shampoo</t>
        </is>
      </c>
      <c r="M197" t="inlineStr">
        <is>
          <t>estandar</t>
        </is>
      </c>
      <c r="N197" t="inlineStr">
        <is>
          <t>tratado</t>
        </is>
      </c>
      <c r="O197" t="inlineStr">
        <is>
          <t>https://www.jumbo.com.ar/shampoo-color-radiante-x-350-ml-bagovit/p</t>
        </is>
      </c>
      <c r="P197">
        <f>TRIM(CLEAN(PROPER(D197)))</f>
        <v/>
      </c>
      <c r="Q197">
        <f>PROPER(TRIM(SUBSTITUTE(SUBSTITUTE(SUBSTITUTE(SUBSTITUTE(E197,"TRESEMME","Tresemme"),"HEAD &amp; SHOULDERS","Head &amp; Shoulders"),"ELVIVE","Elvive"),"FRUCTIS","Fructis")))</f>
        <v/>
      </c>
      <c r="R197">
        <f>COUNTIF($D$2:$D$10000,D197)&gt;1</f>
        <v/>
      </c>
      <c r="S197">
        <f>IF(H197=TRUE,"Disponible","No disponible")</f>
        <v/>
      </c>
      <c r="T197">
        <f>IF(AND(ISNUMBER(I197),I197&gt;0),ROUND(F197/I197,2),"Sin volumen")</f>
        <v/>
      </c>
      <c r="U197">
        <f>IF(F197&lt;5000,"Bajo",IF(F197&lt;15000,"Medio","Alto"))</f>
        <v/>
      </c>
    </row>
    <row r="198">
      <c r="A198" s="2" t="inlineStr">
        <is>
          <t>Jumbo</t>
        </is>
      </c>
      <c r="B198" s="2" t="n">
        <v>410392</v>
      </c>
      <c r="C198" s="2" t="n">
        <v>406398</v>
      </c>
      <c r="D198" s="2" t="inlineStr">
        <is>
          <t>Shampoo Aclarante y Anticaída con Jalea Real y Manzanilla 400 Ml Tio Nacho</t>
        </is>
      </c>
      <c r="E198" s="2" t="inlineStr">
        <is>
          <t>Tio Nacho</t>
        </is>
      </c>
      <c r="F198" s="2" t="n">
        <v>8100</v>
      </c>
      <c r="G198" s="2" t="n">
        <v>669421</v>
      </c>
      <c r="H198" s="2" t="b">
        <v>1</v>
      </c>
      <c r="I198" s="2" t="n">
        <v>400</v>
      </c>
      <c r="J198" s="2" t="n">
        <v>20.25</v>
      </c>
      <c r="K198" s="2" t="inlineStr">
        <is>
          <t>&gt; Perfumería &gt; Cuidado Capilar &gt; Shampoo &gt;</t>
        </is>
      </c>
      <c r="L198" s="2" t="inlineStr">
        <is>
          <t>shampoo</t>
        </is>
      </c>
      <c r="M198" s="2" t="inlineStr">
        <is>
          <t>estandar</t>
        </is>
      </c>
      <c r="N198" s="2" t="inlineStr">
        <is>
          <t>general</t>
        </is>
      </c>
      <c r="O198" s="2" t="inlineStr">
        <is>
          <t>https://www.jumbo.com.ar/sshampoo-aclarante-doypack-400-ml-tio-nacho/p</t>
        </is>
      </c>
      <c r="P198" s="4">
        <f>TRIM(CLEAN(PROPER(D198)))</f>
        <v/>
      </c>
      <c r="Q198" s="4">
        <f>PROPER(TRIM(SUBSTITUTE(SUBSTITUTE(SUBSTITUTE(SUBSTITUTE(E198,"TRESEMME","Tresemme"),"HEAD &amp; SHOULDERS","Head &amp; Shoulders"),"ELVIVE","Elvive"),"FRUCTIS","Fructis")))</f>
        <v/>
      </c>
      <c r="R198" s="4">
        <f>COUNTIF($D$2:$D$10000,D198)&gt;1</f>
        <v/>
      </c>
      <c r="S198" s="4">
        <f>IF(H198=TRUE,"Disponible","No disponible")</f>
        <v/>
      </c>
      <c r="T198" s="4">
        <f>IF(AND(ISNUMBER(I198),I198&gt;0),ROUND(F198/I198,2),"Sin volumen")</f>
        <v/>
      </c>
      <c r="U198" s="4">
        <f>IF(F198&lt;5000,"Bajo",IF(F198&lt;15000,"Medio","Alto"))</f>
        <v/>
      </c>
    </row>
    <row r="199">
      <c r="A199" t="inlineStr">
        <is>
          <t>Jumbo</t>
        </is>
      </c>
      <c r="B199" t="n">
        <v>401196</v>
      </c>
      <c r="C199" t="n">
        <v>398534</v>
      </c>
      <c r="D199" t="inlineStr">
        <is>
          <t>Shampoo Pro-v Miracles Detox Equilibrio 200 Ml Pantene</t>
        </is>
      </c>
      <c r="E199" t="inlineStr">
        <is>
          <t>PANTENE</t>
        </is>
      </c>
      <c r="F199" t="n">
        <v>6500</v>
      </c>
      <c r="G199" t="n">
        <v>537190</v>
      </c>
      <c r="H199" t="b">
        <v>1</v>
      </c>
      <c r="I199" t="n">
        <v>200</v>
      </c>
      <c r="J199" t="n">
        <v>32.5</v>
      </c>
      <c r="K199" t="inlineStr">
        <is>
          <t>&gt; Perfumería &gt; Cuidado Capilar &gt; Shampoo &gt;</t>
        </is>
      </c>
      <c r="L199" t="inlineStr">
        <is>
          <t>shampoo</t>
        </is>
      </c>
      <c r="M199" t="inlineStr">
        <is>
          <t>profesional</t>
        </is>
      </c>
      <c r="N199" t="inlineStr">
        <is>
          <t>general</t>
        </is>
      </c>
      <c r="O199" t="inlineStr">
        <is>
          <t>https://www.jumbo.com.ar/shampoo-pro-v-miracles-detox-equilibrio-200-ml-pantene-2/p</t>
        </is>
      </c>
      <c r="P199">
        <f>TRIM(CLEAN(PROPER(D199)))</f>
        <v/>
      </c>
      <c r="Q199">
        <f>PROPER(TRIM(SUBSTITUTE(SUBSTITUTE(SUBSTITUTE(SUBSTITUTE(E199,"TRESEMME","Tresemme"),"HEAD &amp; SHOULDERS","Head &amp; Shoulders"),"ELVIVE","Elvive"),"FRUCTIS","Fructis")))</f>
        <v/>
      </c>
      <c r="R199">
        <f>COUNTIF($D$2:$D$10000,D199)&gt;1</f>
        <v/>
      </c>
      <c r="S199">
        <f>IF(H199=TRUE,"Disponible","No disponible")</f>
        <v/>
      </c>
      <c r="T199">
        <f>IF(AND(ISNUMBER(I199),I199&gt;0),ROUND(F199/I199,2),"Sin volumen")</f>
        <v/>
      </c>
      <c r="U199">
        <f>IF(F199&lt;5000,"Bajo",IF(F199&lt;15000,"Medio","Alto"))</f>
        <v/>
      </c>
    </row>
    <row r="200">
      <c r="A200" s="2" t="inlineStr">
        <is>
          <t>Jumbo</t>
        </is>
      </c>
      <c r="B200" s="2" t="n">
        <v>3086846</v>
      </c>
      <c r="C200" s="2" t="n">
        <v>3086065</v>
      </c>
      <c r="D200" s="2" t="inlineStr">
        <is>
          <t>Set Perfume Corporal Y Shampoo Hello Kitty X 200 Ml Algabo</t>
        </is>
      </c>
      <c r="E200" s="2" t="inlineStr">
        <is>
          <t>ALGABO</t>
        </is>
      </c>
      <c r="F200" s="2" t="n">
        <v>13100</v>
      </c>
      <c r="G200" s="2" t="n">
        <v>1082645</v>
      </c>
      <c r="H200" s="2" t="b">
        <v>1</v>
      </c>
      <c r="I200" s="2" t="n">
        <v>200</v>
      </c>
      <c r="J200" s="2" t="n">
        <v>65.5</v>
      </c>
      <c r="K200" s="2" t="inlineStr">
        <is>
          <t>&gt; Perfumería &gt; Cuidado Personal &gt; Cepillos y Esponjas &gt;</t>
        </is>
      </c>
      <c r="L200" s="2" t="inlineStr">
        <is>
          <t>tratamiento</t>
        </is>
      </c>
      <c r="M200" s="2" t="inlineStr">
        <is>
          <t>estandar</t>
        </is>
      </c>
      <c r="N200" s="2" t="inlineStr">
        <is>
          <t>general</t>
        </is>
      </c>
      <c r="O200" s="2" t="inlineStr">
        <is>
          <t>https://www.jumbo.com.ar/set-perfume-corporal-y-shampoo-hello-kitty-x-200-ml-algabo/p</t>
        </is>
      </c>
      <c r="P200" s="4">
        <f>TRIM(CLEAN(PROPER(D200)))</f>
        <v/>
      </c>
      <c r="Q200" s="4">
        <f>PROPER(TRIM(SUBSTITUTE(SUBSTITUTE(SUBSTITUTE(SUBSTITUTE(E200,"TRESEMME","Tresemme"),"HEAD &amp; SHOULDERS","Head &amp; Shoulders"),"ELVIVE","Elvive"),"FRUCTIS","Fructis")))</f>
        <v/>
      </c>
      <c r="R200" s="4">
        <f>COUNTIF($D$2:$D$10000,D200)&gt;1</f>
        <v/>
      </c>
      <c r="S200" s="4">
        <f>IF(H200=TRUE,"Disponible","No disponible")</f>
        <v/>
      </c>
      <c r="T200" s="4">
        <f>IF(AND(ISNUMBER(I200),I200&gt;0),ROUND(F200/I200,2),"Sin volumen")</f>
        <v/>
      </c>
      <c r="U200" s="4">
        <f>IF(F200&lt;5000,"Bajo",IF(F200&lt;15000,"Medio","Alto"))</f>
        <v/>
      </c>
    </row>
    <row r="201">
      <c r="A201" t="inlineStr">
        <is>
          <t>Jumbo</t>
        </is>
      </c>
      <c r="B201" t="n">
        <v>414725</v>
      </c>
      <c r="C201" t="n">
        <v>410426</v>
      </c>
      <c r="D201" t="inlineStr">
        <is>
          <t>Acondicionador Baby Hidratacion Intensa 200 Ml Johnson's</t>
        </is>
      </c>
      <c r="E201" t="inlineStr">
        <is>
          <t>JOHNSON´S</t>
        </is>
      </c>
      <c r="F201" t="n">
        <v>6700</v>
      </c>
      <c r="G201" t="n">
        <v>553719</v>
      </c>
      <c r="H201" t="b">
        <v>1</v>
      </c>
      <c r="I201" t="n">
        <v>200</v>
      </c>
      <c r="J201" t="n">
        <v>33.5</v>
      </c>
      <c r="K201" t="inlineStr">
        <is>
          <t>&gt; Mundo Bebe &gt; Higiene para el Bebe &gt; Higiene del Bebé &gt;</t>
        </is>
      </c>
      <c r="L201" t="inlineStr">
        <is>
          <t>acondicionador</t>
        </is>
      </c>
      <c r="M201" t="inlineStr">
        <is>
          <t>estandar</t>
        </is>
      </c>
      <c r="N201" t="inlineStr">
        <is>
          <t>seco_danado</t>
        </is>
      </c>
      <c r="O201" t="inlineStr">
        <is>
          <t>https://www.jumbo.com.ar/acondicionador-baby-hidratacion-intensa-200-ml-johnson-s/p</t>
        </is>
      </c>
      <c r="P201">
        <f>TRIM(CLEAN(PROPER(D201)))</f>
        <v/>
      </c>
      <c r="Q201">
        <f>PROPER(TRIM(SUBSTITUTE(SUBSTITUTE(SUBSTITUTE(SUBSTITUTE(E201,"TRESEMME","Tresemme"),"HEAD &amp; SHOULDERS","Head &amp; Shoulders"),"ELVIVE","Elvive"),"FRUCTIS","Fructis")))</f>
        <v/>
      </c>
      <c r="R201">
        <f>COUNTIF($D$2:$D$10000,D201)&gt;1</f>
        <v/>
      </c>
      <c r="S201">
        <f>IF(H201=TRUE,"Disponible","No disponible")</f>
        <v/>
      </c>
      <c r="T201">
        <f>IF(AND(ISNUMBER(I201),I201&gt;0),ROUND(F201/I201,2),"Sin volumen")</f>
        <v/>
      </c>
      <c r="U201">
        <f>IF(F201&lt;5000,"Bajo",IF(F201&lt;15000,"Medio","Alto"))</f>
        <v/>
      </c>
    </row>
    <row r="202">
      <c r="A202" s="2" t="inlineStr">
        <is>
          <t>Jumbo</t>
        </is>
      </c>
      <c r="B202" s="2" t="n">
        <v>17290</v>
      </c>
      <c r="C202" s="2" t="n">
        <v>14416</v>
      </c>
      <c r="D202" s="2" t="inlineStr">
        <is>
          <t>Spray Para Peinar Niños Gotas De Brillo  200 Ml Johnson Baby</t>
        </is>
      </c>
      <c r="E202" s="2" t="inlineStr">
        <is>
          <t>JOHNSON BABY</t>
        </is>
      </c>
      <c r="F202" s="2" t="n">
        <v>7450</v>
      </c>
      <c r="G202" s="2" t="n">
        <v>615702</v>
      </c>
      <c r="H202" s="2" t="b">
        <v>1</v>
      </c>
      <c r="I202" s="2" t="n">
        <v>200</v>
      </c>
      <c r="J202" s="2" t="n">
        <v>37.25</v>
      </c>
      <c r="K202" s="2" t="inlineStr">
        <is>
          <t>&gt; Mundo Bebe &gt; Higiene para el Bebe &gt; Higiene del Bebé &gt;</t>
        </is>
      </c>
      <c r="L202" s="2" t="inlineStr">
        <is>
          <t>shampoo</t>
        </is>
      </c>
      <c r="M202" s="2" t="inlineStr">
        <is>
          <t>estandar</t>
        </is>
      </c>
      <c r="N202" s="2" t="inlineStr">
        <is>
          <t>bebe</t>
        </is>
      </c>
      <c r="O202" s="2" t="inlineStr">
        <is>
          <t>https://www.jumbo.com.ar/spray-para-peinar-ninos-gotas-de-brillo-200-ml-johnson-baby/p</t>
        </is>
      </c>
      <c r="P202" s="4">
        <f>TRIM(CLEAN(PROPER(D202)))</f>
        <v/>
      </c>
      <c r="Q202" s="4">
        <f>PROPER(TRIM(SUBSTITUTE(SUBSTITUTE(SUBSTITUTE(SUBSTITUTE(E202,"TRESEMME","Tresemme"),"HEAD &amp; SHOULDERS","Head &amp; Shoulders"),"ELVIVE","Elvive"),"FRUCTIS","Fructis")))</f>
        <v/>
      </c>
      <c r="R202" s="4">
        <f>COUNTIF($D$2:$D$10000,D202)&gt;1</f>
        <v/>
      </c>
      <c r="S202" s="4">
        <f>IF(H202=TRUE,"Disponible","No disponible")</f>
        <v/>
      </c>
      <c r="T202" s="4">
        <f>IF(AND(ISNUMBER(I202),I202&gt;0),ROUND(F202/I202,2),"Sin volumen")</f>
        <v/>
      </c>
      <c r="U202" s="4">
        <f>IF(F202&lt;5000,"Bajo",IF(F202&lt;15000,"Medio","Alto"))</f>
        <v/>
      </c>
    </row>
    <row r="203">
      <c r="A203" t="inlineStr">
        <is>
          <t>Jumbo</t>
        </is>
      </c>
      <c r="B203" t="n">
        <v>414728</v>
      </c>
      <c r="C203" t="n">
        <v>410429</v>
      </c>
      <c r="D203" t="inlineStr">
        <is>
          <t>Acondicionador Para Bebé Original 400 Ml Johnson´s</t>
        </is>
      </c>
      <c r="E203" t="inlineStr">
        <is>
          <t>JOHNSON´S</t>
        </is>
      </c>
      <c r="F203" t="n">
        <v>12300</v>
      </c>
      <c r="G203" t="n">
        <v>1016529</v>
      </c>
      <c r="H203" t="b">
        <v>1</v>
      </c>
      <c r="I203" t="n">
        <v>400</v>
      </c>
      <c r="J203" t="n">
        <v>30.75</v>
      </c>
      <c r="K203" t="inlineStr">
        <is>
          <t>&gt; Mundo Bebe &gt; Higiene para el Bebe &gt; Higiene del Bebé &gt;</t>
        </is>
      </c>
      <c r="L203" t="inlineStr">
        <is>
          <t>acondicionador</t>
        </is>
      </c>
      <c r="M203" t="inlineStr">
        <is>
          <t>estandar</t>
        </is>
      </c>
      <c r="N203" t="inlineStr">
        <is>
          <t>bebe</t>
        </is>
      </c>
      <c r="O203" t="inlineStr">
        <is>
          <t>https://www.jumbo.com.ar/acondicionador-para-bebe-original-400-ml-johnson-s/p</t>
        </is>
      </c>
      <c r="P203">
        <f>TRIM(CLEAN(PROPER(D203)))</f>
        <v/>
      </c>
      <c r="Q203">
        <f>PROPER(TRIM(SUBSTITUTE(SUBSTITUTE(SUBSTITUTE(SUBSTITUTE(E203,"TRESEMME","Tresemme"),"HEAD &amp; SHOULDERS","Head &amp; Shoulders"),"ELVIVE","Elvive"),"FRUCTIS","Fructis")))</f>
        <v/>
      </c>
      <c r="R203">
        <f>COUNTIF($D$2:$D$10000,D203)&gt;1</f>
        <v/>
      </c>
      <c r="S203">
        <f>IF(H203=TRUE,"Disponible","No disponible")</f>
        <v/>
      </c>
      <c r="T203">
        <f>IF(AND(ISNUMBER(I203),I203&gt;0),ROUND(F203/I203,2),"Sin volumen")</f>
        <v/>
      </c>
      <c r="U203">
        <f>IF(F203&lt;5000,"Bajo",IF(F203&lt;15000,"Medio","Alto"))</f>
        <v/>
      </c>
    </row>
    <row r="204">
      <c r="A204" s="2" t="inlineStr">
        <is>
          <t>Jumbo</t>
        </is>
      </c>
      <c r="B204" s="2" t="n">
        <v>414730</v>
      </c>
      <c r="C204" s="2" t="n">
        <v>410431</v>
      </c>
      <c r="D204" s="2" t="inlineStr">
        <is>
          <t>Acondicionador Para Bebé Cabello Claro 200 Ml Johnson´s</t>
        </is>
      </c>
      <c r="E204" s="2" t="inlineStr">
        <is>
          <t>JOHNSON´S</t>
        </is>
      </c>
      <c r="F204" s="2" t="n">
        <v>7400</v>
      </c>
      <c r="G204" s="2" t="n">
        <v>611570</v>
      </c>
      <c r="H204" s="2" t="b">
        <v>1</v>
      </c>
      <c r="I204" s="2" t="n">
        <v>200</v>
      </c>
      <c r="J204" s="2" t="n">
        <v>37</v>
      </c>
      <c r="K204" s="2" t="inlineStr">
        <is>
          <t>&gt; Mundo Bebe &gt; Higiene para el Bebe &gt; Higiene del Bebé &gt;</t>
        </is>
      </c>
      <c r="L204" s="2" t="inlineStr">
        <is>
          <t>acondicionador</t>
        </is>
      </c>
      <c r="M204" s="2" t="inlineStr">
        <is>
          <t>estandar</t>
        </is>
      </c>
      <c r="N204" s="2" t="inlineStr">
        <is>
          <t>bebe</t>
        </is>
      </c>
      <c r="O204" s="2" t="inlineStr">
        <is>
          <t>https://www.jumbo.com.ar/acondicionador-para-bebe-cabello-claro-200-ml-johnson-s/p</t>
        </is>
      </c>
      <c r="P204" s="4">
        <f>TRIM(CLEAN(PROPER(D204)))</f>
        <v/>
      </c>
      <c r="Q204" s="4">
        <f>PROPER(TRIM(SUBSTITUTE(SUBSTITUTE(SUBSTITUTE(SUBSTITUTE(E204,"TRESEMME","Tresemme"),"HEAD &amp; SHOULDERS","Head &amp; Shoulders"),"ELVIVE","Elvive"),"FRUCTIS","Fructis")))</f>
        <v/>
      </c>
      <c r="R204" s="4">
        <f>COUNTIF($D$2:$D$10000,D204)&gt;1</f>
        <v/>
      </c>
      <c r="S204" s="4">
        <f>IF(H204=TRUE,"Disponible","No disponible")</f>
        <v/>
      </c>
      <c r="T204" s="4">
        <f>IF(AND(ISNUMBER(I204),I204&gt;0),ROUND(F204/I204,2),"Sin volumen")</f>
        <v/>
      </c>
      <c r="U204" s="4">
        <f>IF(F204&lt;5000,"Bajo",IF(F204&lt;15000,"Medio","Alto"))</f>
        <v/>
      </c>
    </row>
    <row r="205">
      <c r="A205" t="inlineStr">
        <is>
          <t>Jumbo</t>
        </is>
      </c>
      <c r="B205" t="n">
        <v>393568</v>
      </c>
      <c r="C205" t="n">
        <v>391596</v>
      </c>
      <c r="D205" t="inlineStr">
        <is>
          <t>Acondicionador Dove Ritual De Reparación Coco 200 Ml</t>
        </is>
      </c>
      <c r="E205" t="inlineStr">
        <is>
          <t>DOVE</t>
        </is>
      </c>
      <c r="F205" t="n">
        <v>6000</v>
      </c>
      <c r="G205" t="n">
        <v>495868</v>
      </c>
      <c r="H205" t="b">
        <v>1</v>
      </c>
      <c r="I205" t="n">
        <v>200</v>
      </c>
      <c r="J205" t="n">
        <v>30</v>
      </c>
      <c r="K205" t="inlineStr">
        <is>
          <t>&gt; Perfumería &gt; Cuidado Capilar &gt; Acondicionador &gt;</t>
        </is>
      </c>
      <c r="L205" t="inlineStr">
        <is>
          <t>acondicionador</t>
        </is>
      </c>
      <c r="M205" t="inlineStr">
        <is>
          <t>estandar</t>
        </is>
      </c>
      <c r="N205" t="inlineStr">
        <is>
          <t>general</t>
        </is>
      </c>
      <c r="O205" t="inlineStr">
        <is>
          <t>https://www.jumbo.com.ar/acondicionador-dove-ritual-de-reparacion-coco-200-ml/p</t>
        </is>
      </c>
      <c r="P205">
        <f>TRIM(CLEAN(PROPER(D205)))</f>
        <v/>
      </c>
      <c r="Q205">
        <f>PROPER(TRIM(SUBSTITUTE(SUBSTITUTE(SUBSTITUTE(SUBSTITUTE(E205,"TRESEMME","Tresemme"),"HEAD &amp; SHOULDERS","Head &amp; Shoulders"),"ELVIVE","Elvive"),"FRUCTIS","Fructis")))</f>
        <v/>
      </c>
      <c r="R205">
        <f>COUNTIF($D$2:$D$10000,D205)&gt;1</f>
        <v/>
      </c>
      <c r="S205">
        <f>IF(H205=TRUE,"Disponible","No disponible")</f>
        <v/>
      </c>
      <c r="T205">
        <f>IF(AND(ISNUMBER(I205),I205&gt;0),ROUND(F205/I205,2),"Sin volumen")</f>
        <v/>
      </c>
      <c r="U205">
        <f>IF(F205&lt;5000,"Bajo",IF(F205&lt;15000,"Medio","Alto"))</f>
        <v/>
      </c>
    </row>
    <row r="206">
      <c r="A206" s="2" t="inlineStr">
        <is>
          <t>Jumbo</t>
        </is>
      </c>
      <c r="B206" s="2" t="n">
        <v>415583</v>
      </c>
      <c r="C206" s="2" t="n">
        <v>411167</v>
      </c>
      <c r="D206" s="2" t="inlineStr">
        <is>
          <t>Sahmpoo Pro-v Miracles Volumen 400 Ml Pantene</t>
        </is>
      </c>
      <c r="E206" s="2" t="inlineStr">
        <is>
          <t>PANTENE</t>
        </is>
      </c>
      <c r="F206" s="2" t="n">
        <v>10750</v>
      </c>
      <c r="G206" s="2" t="n">
        <v>888430</v>
      </c>
      <c r="H206" s="2" t="b">
        <v>1</v>
      </c>
      <c r="I206" s="2" t="n">
        <v>400</v>
      </c>
      <c r="J206" s="2" t="n">
        <v>26.875</v>
      </c>
      <c r="K206" s="2" t="inlineStr">
        <is>
          <t>&gt; Perfumería &gt; Cuidado Capilar &gt; Shampoo &gt;</t>
        </is>
      </c>
      <c r="L206" s="2" t="inlineStr">
        <is>
          <t>shampoo</t>
        </is>
      </c>
      <c r="M206" s="2" t="inlineStr">
        <is>
          <t>profesional</t>
        </is>
      </c>
      <c r="N206" s="2" t="inlineStr">
        <is>
          <t>general</t>
        </is>
      </c>
      <c r="O206" s="2" t="inlineStr">
        <is>
          <t>https://www.jumbo.com.ar/sahmpoo-pro-v-miracles-volumen-400-ml-pantene-2/p</t>
        </is>
      </c>
      <c r="P206" s="4">
        <f>TRIM(CLEAN(PROPER(D206)))</f>
        <v/>
      </c>
      <c r="Q206" s="4">
        <f>PROPER(TRIM(SUBSTITUTE(SUBSTITUTE(SUBSTITUTE(SUBSTITUTE(E206,"TRESEMME","Tresemme"),"HEAD &amp; SHOULDERS","Head &amp; Shoulders"),"ELVIVE","Elvive"),"FRUCTIS","Fructis")))</f>
        <v/>
      </c>
      <c r="R206" s="4">
        <f>COUNTIF($D$2:$D$10000,D206)&gt;1</f>
        <v/>
      </c>
      <c r="S206" s="4">
        <f>IF(H206=TRUE,"Disponible","No disponible")</f>
        <v/>
      </c>
      <c r="T206" s="4">
        <f>IF(AND(ISNUMBER(I206),I206&gt;0),ROUND(F206/I206,2),"Sin volumen")</f>
        <v/>
      </c>
      <c r="U206" s="4">
        <f>IF(F206&lt;5000,"Bajo",IF(F206&lt;15000,"Medio","Alto"))</f>
        <v/>
      </c>
    </row>
    <row r="207">
      <c r="A207" t="inlineStr">
        <is>
          <t>Jumbo</t>
        </is>
      </c>
      <c r="B207" t="n">
        <v>400523</v>
      </c>
      <c r="C207" t="n">
        <v>397861</v>
      </c>
      <c r="D207" t="inlineStr">
        <is>
          <t>Mascarilla Elvive Hidra Hialuronico 300 Gr Mascarilla Elvive Hialuronico 300g</t>
        </is>
      </c>
      <c r="E207" t="inlineStr">
        <is>
          <t>ELVIVE</t>
        </is>
      </c>
      <c r="F207" t="n">
        <v>12050</v>
      </c>
      <c r="G207" t="n">
        <v>995868</v>
      </c>
      <c r="H207" t="b">
        <v>1</v>
      </c>
      <c r="I207" t="n">
        <v>300</v>
      </c>
      <c r="J207" t="n">
        <v>40.1667</v>
      </c>
      <c r="K207" t="inlineStr">
        <is>
          <t>&gt; Perfumería &gt; Cuidado Capilar &gt; Shampoo &gt;</t>
        </is>
      </c>
      <c r="L207" t="inlineStr">
        <is>
          <t>tratamiento</t>
        </is>
      </c>
      <c r="M207" t="inlineStr">
        <is>
          <t>profesional</t>
        </is>
      </c>
      <c r="N207" t="inlineStr">
        <is>
          <t>general</t>
        </is>
      </c>
      <c r="O207" t="inlineStr">
        <is>
          <t>https://www.jumbo.com.ar/mascarilla-elvive-hialuronico-300g/p</t>
        </is>
      </c>
      <c r="P207">
        <f>TRIM(CLEAN(PROPER(D207)))</f>
        <v/>
      </c>
      <c r="Q207">
        <f>PROPER(TRIM(SUBSTITUTE(SUBSTITUTE(SUBSTITUTE(SUBSTITUTE(E207,"TRESEMME","Tresemme"),"HEAD &amp; SHOULDERS","Head &amp; Shoulders"),"ELVIVE","Elvive"),"FRUCTIS","Fructis")))</f>
        <v/>
      </c>
      <c r="R207">
        <f>COUNTIF($D$2:$D$10000,D207)&gt;1</f>
        <v/>
      </c>
      <c r="S207">
        <f>IF(H207=TRUE,"Disponible","No disponible")</f>
        <v/>
      </c>
      <c r="T207">
        <f>IF(AND(ISNUMBER(I207),I207&gt;0),ROUND(F207/I207,2),"Sin volumen")</f>
        <v/>
      </c>
      <c r="U207">
        <f>IF(F207&lt;5000,"Bajo",IF(F207&lt;15000,"Medio","Alto"))</f>
        <v/>
      </c>
    </row>
    <row r="208">
      <c r="A208" s="2" t="inlineStr">
        <is>
          <t>Jumbo</t>
        </is>
      </c>
      <c r="B208" s="2" t="n">
        <v>392748</v>
      </c>
      <c r="C208" s="2" t="n">
        <v>390800</v>
      </c>
      <c r="D208" s="2" t="inlineStr">
        <is>
          <t>Set Juguete Perro Hueso Colores Pets Fun Hueso De Juguete Pets Para Perro Rosa 1 U</t>
        </is>
      </c>
      <c r="E208" s="2" t="inlineStr">
        <is>
          <t>PET'S FUN</t>
        </is>
      </c>
      <c r="F208" s="2" t="n">
        <v>6150</v>
      </c>
      <c r="G208" s="2" t="n">
        <v>508264</v>
      </c>
      <c r="H208" s="2" t="b">
        <v>1</v>
      </c>
      <c r="I208" s="2" t="inlineStr"/>
      <c r="J208" s="2" t="inlineStr"/>
      <c r="K208" s="2" t="inlineStr">
        <is>
          <t>&gt; Mascotas &gt; Accesorios para Mascotas &gt;</t>
        </is>
      </c>
      <c r="L208" s="2" t="inlineStr">
        <is>
          <t>shampoo</t>
        </is>
      </c>
      <c r="M208" s="2" t="inlineStr">
        <is>
          <t>estandar</t>
        </is>
      </c>
      <c r="N208" s="2" t="inlineStr">
        <is>
          <t>tratado</t>
        </is>
      </c>
      <c r="O208" s="2" t="inlineStr">
        <is>
          <t>https://www.jumbo.com.ar/set-juguete-perro-hueso-colores-pets-fun/p</t>
        </is>
      </c>
      <c r="P208" s="4">
        <f>TRIM(CLEAN(PROPER(D208)))</f>
        <v/>
      </c>
      <c r="Q208" s="4">
        <f>PROPER(TRIM(SUBSTITUTE(SUBSTITUTE(SUBSTITUTE(SUBSTITUTE(E208,"TRESEMME","Tresemme"),"HEAD &amp; SHOULDERS","Head &amp; Shoulders"),"ELVIVE","Elvive"),"FRUCTIS","Fructis")))</f>
        <v/>
      </c>
      <c r="R208" s="4">
        <f>COUNTIF($D$2:$D$10000,D208)&gt;1</f>
        <v/>
      </c>
      <c r="S208" s="4">
        <f>IF(H208=TRUE,"Disponible","No disponible")</f>
        <v/>
      </c>
      <c r="T208" s="4">
        <f>IF(AND(ISNUMBER(I208),I208&gt;0),ROUND(F208/I208,2),"Sin volumen")</f>
        <v/>
      </c>
      <c r="U208" s="4">
        <f>IF(F208&lt;5000,"Bajo",IF(F208&lt;15000,"Medio","Alto"))</f>
        <v/>
      </c>
    </row>
    <row r="209">
      <c r="A209" t="inlineStr">
        <is>
          <t>Jumbo</t>
        </is>
      </c>
      <c r="B209" t="n">
        <v>392748</v>
      </c>
      <c r="C209" t="n">
        <v>390821</v>
      </c>
      <c r="D209" t="inlineStr">
        <is>
          <t>Set Juguete Perro Hueso Colores Pets Fun Hueso De Juguete Pets Para Perro Amarillo 1 U</t>
        </is>
      </c>
      <c r="E209" t="inlineStr">
        <is>
          <t>PET'S FUN</t>
        </is>
      </c>
      <c r="F209" t="n">
        <v>6780</v>
      </c>
      <c r="G209" t="n">
        <v>560331</v>
      </c>
      <c r="H209" t="b">
        <v>1</v>
      </c>
      <c r="I209" t="inlineStr"/>
      <c r="J209" t="inlineStr"/>
      <c r="K209" t="inlineStr">
        <is>
          <t>&gt; Mascotas &gt; Accesorios para Mascotas &gt;</t>
        </is>
      </c>
      <c r="L209" t="inlineStr">
        <is>
          <t>shampoo</t>
        </is>
      </c>
      <c r="M209" t="inlineStr">
        <is>
          <t>estandar</t>
        </is>
      </c>
      <c r="N209" t="inlineStr">
        <is>
          <t>tratado</t>
        </is>
      </c>
      <c r="O209" t="inlineStr">
        <is>
          <t>https://www.jumbo.com.ar/set-juguete-perro-hueso-colores-pets-fun/p</t>
        </is>
      </c>
      <c r="P209">
        <f>TRIM(CLEAN(PROPER(D209)))</f>
        <v/>
      </c>
      <c r="Q209">
        <f>PROPER(TRIM(SUBSTITUTE(SUBSTITUTE(SUBSTITUTE(SUBSTITUTE(E209,"TRESEMME","Tresemme"),"HEAD &amp; SHOULDERS","Head &amp; Shoulders"),"ELVIVE","Elvive"),"FRUCTIS","Fructis")))</f>
        <v/>
      </c>
      <c r="R209">
        <f>COUNTIF($D$2:$D$10000,D209)&gt;1</f>
        <v/>
      </c>
      <c r="S209">
        <f>IF(H209=TRUE,"Disponible","No disponible")</f>
        <v/>
      </c>
      <c r="T209">
        <f>IF(AND(ISNUMBER(I209),I209&gt;0),ROUND(F209/I209,2),"Sin volumen")</f>
        <v/>
      </c>
      <c r="U209">
        <f>IF(F209&lt;5000,"Bajo",IF(F209&lt;15000,"Medio","Alto"))</f>
        <v/>
      </c>
    </row>
    <row r="210">
      <c r="A210" s="2" t="inlineStr">
        <is>
          <t>Jumbo</t>
        </is>
      </c>
      <c r="B210" s="2" t="n">
        <v>392748</v>
      </c>
      <c r="C210" s="2" t="n">
        <v>390832</v>
      </c>
      <c r="D210" s="2" t="inlineStr">
        <is>
          <t>Set Juguete Perro Hueso Colores Pets Fun Hueso De Juguete Pets Para Perro Azul 1 U</t>
        </is>
      </c>
      <c r="E210" s="2" t="inlineStr">
        <is>
          <t>PET'S FUN</t>
        </is>
      </c>
      <c r="F210" s="2" t="n">
        <v>6190</v>
      </c>
      <c r="G210" s="2" t="n">
        <v>511570</v>
      </c>
      <c r="H210" s="2" t="b">
        <v>1</v>
      </c>
      <c r="I210" s="2" t="inlineStr"/>
      <c r="J210" s="2" t="inlineStr"/>
      <c r="K210" s="2" t="inlineStr">
        <is>
          <t>&gt; Mascotas &gt; Accesorios para Mascotas &gt;</t>
        </is>
      </c>
      <c r="L210" s="2" t="inlineStr">
        <is>
          <t>shampoo</t>
        </is>
      </c>
      <c r="M210" s="2" t="inlineStr">
        <is>
          <t>estandar</t>
        </is>
      </c>
      <c r="N210" s="2" t="inlineStr">
        <is>
          <t>tratado</t>
        </is>
      </c>
      <c r="O210" s="2" t="inlineStr">
        <is>
          <t>https://www.jumbo.com.ar/set-juguete-perro-hueso-colores-pets-fun/p</t>
        </is>
      </c>
      <c r="P210" s="4">
        <f>TRIM(CLEAN(PROPER(D210)))</f>
        <v/>
      </c>
      <c r="Q210" s="4">
        <f>PROPER(TRIM(SUBSTITUTE(SUBSTITUTE(SUBSTITUTE(SUBSTITUTE(E210,"TRESEMME","Tresemme"),"HEAD &amp; SHOULDERS","Head &amp; Shoulders"),"ELVIVE","Elvive"),"FRUCTIS","Fructis")))</f>
        <v/>
      </c>
      <c r="R210" s="4">
        <f>COUNTIF($D$2:$D$10000,D210)&gt;1</f>
        <v/>
      </c>
      <c r="S210" s="4">
        <f>IF(H210=TRUE,"Disponible","No disponible")</f>
        <v/>
      </c>
      <c r="T210" s="4">
        <f>IF(AND(ISNUMBER(I210),I210&gt;0),ROUND(F210/I210,2),"Sin volumen")</f>
        <v/>
      </c>
      <c r="U210" s="4">
        <f>IF(F210&lt;5000,"Bajo",IF(F210&lt;15000,"Medio","Alto"))</f>
        <v/>
      </c>
    </row>
    <row r="211">
      <c r="A211" t="inlineStr">
        <is>
          <t>Jumbo</t>
        </is>
      </c>
      <c r="B211" t="n">
        <v>25406</v>
      </c>
      <c r="C211" t="n">
        <v>22566</v>
      </c>
      <c r="D211" t="inlineStr">
        <is>
          <t>Acondicionador Diario Pro-v Hidratación Extrema 170 Ml Pantene</t>
        </is>
      </c>
      <c r="E211" t="inlineStr">
        <is>
          <t>PANTENE</t>
        </is>
      </c>
      <c r="F211" t="n">
        <v>10000</v>
      </c>
      <c r="G211" t="n">
        <v>826446</v>
      </c>
      <c r="H211" t="b">
        <v>1</v>
      </c>
      <c r="I211" t="n">
        <v>170</v>
      </c>
      <c r="J211" t="n">
        <v>58.8235</v>
      </c>
      <c r="K211" t="inlineStr">
        <is>
          <t>&gt; Perfumería &gt; Cuidado Capilar &gt; Acondicionador &gt;</t>
        </is>
      </c>
      <c r="L211" t="inlineStr">
        <is>
          <t>acondicionador</t>
        </is>
      </c>
      <c r="M211" t="inlineStr">
        <is>
          <t>profesional</t>
        </is>
      </c>
      <c r="N211" t="inlineStr">
        <is>
          <t>seco_danado</t>
        </is>
      </c>
      <c r="O211" t="inlineStr">
        <is>
          <t>https://www.jumbo.com.ar/acondicionador-diario-pro-v-hidratacion-extrema-170-ml-pantene/p</t>
        </is>
      </c>
      <c r="P211">
        <f>TRIM(CLEAN(PROPER(D211)))</f>
        <v/>
      </c>
      <c r="Q211">
        <f>PROPER(TRIM(SUBSTITUTE(SUBSTITUTE(SUBSTITUTE(SUBSTITUTE(E211,"TRESEMME","Tresemme"),"HEAD &amp; SHOULDERS","Head &amp; Shoulders"),"ELVIVE","Elvive"),"FRUCTIS","Fructis")))</f>
        <v/>
      </c>
      <c r="R211">
        <f>COUNTIF($D$2:$D$10000,D211)&gt;1</f>
        <v/>
      </c>
      <c r="S211">
        <f>IF(H211=TRUE,"Disponible","No disponible")</f>
        <v/>
      </c>
      <c r="T211">
        <f>IF(AND(ISNUMBER(I211),I211&gt;0),ROUND(F211/I211,2),"Sin volumen")</f>
        <v/>
      </c>
      <c r="U211">
        <f>IF(F211&lt;5000,"Bajo",IF(F211&lt;15000,"Medio","Alto"))</f>
        <v/>
      </c>
    </row>
    <row r="212">
      <c r="A212" s="2" t="inlineStr">
        <is>
          <t>Jumbo</t>
        </is>
      </c>
      <c r="B212" s="2" t="n">
        <v>3087374</v>
      </c>
      <c r="C212" s="2" t="n">
        <v>3086595</v>
      </c>
      <c r="D212" s="2" t="inlineStr">
        <is>
          <t>Acondicionador Dove Reconstaminoacido 650ml</t>
        </is>
      </c>
      <c r="E212" s="2" t="inlineStr">
        <is>
          <t>DOVE</t>
        </is>
      </c>
      <c r="F212" s="2" t="n">
        <v>16700</v>
      </c>
      <c r="G212" s="2" t="n">
        <v>1380165</v>
      </c>
      <c r="H212" s="2" t="b">
        <v>1</v>
      </c>
      <c r="I212" s="2" t="n">
        <v>650</v>
      </c>
      <c r="J212" s="2" t="n">
        <v>25.6923</v>
      </c>
      <c r="K212" s="2" t="inlineStr">
        <is>
          <t>&gt; Perfumería &gt; Cuidado Capilar &gt; Acondicionador &gt;</t>
        </is>
      </c>
      <c r="L212" s="2" t="inlineStr">
        <is>
          <t>acondicionador</t>
        </is>
      </c>
      <c r="M212" s="2" t="inlineStr">
        <is>
          <t>estandar</t>
        </is>
      </c>
      <c r="N212" s="2" t="inlineStr">
        <is>
          <t>general</t>
        </is>
      </c>
      <c r="O212" s="2" t="inlineStr">
        <is>
          <t>https://www.jumbo.com.ar/acondicionador-dove-reconstaminoacido-650ml/p</t>
        </is>
      </c>
      <c r="P212" s="4">
        <f>TRIM(CLEAN(PROPER(D212)))</f>
        <v/>
      </c>
      <c r="Q212" s="4">
        <f>PROPER(TRIM(SUBSTITUTE(SUBSTITUTE(SUBSTITUTE(SUBSTITUTE(E212,"TRESEMME","Tresemme"),"HEAD &amp; SHOULDERS","Head &amp; Shoulders"),"ELVIVE","Elvive"),"FRUCTIS","Fructis")))</f>
        <v/>
      </c>
      <c r="R212" s="4">
        <f>COUNTIF($D$2:$D$10000,D212)&gt;1</f>
        <v/>
      </c>
      <c r="S212" s="4">
        <f>IF(H212=TRUE,"Disponible","No disponible")</f>
        <v/>
      </c>
      <c r="T212" s="4">
        <f>IF(AND(ISNUMBER(I212),I212&gt;0),ROUND(F212/I212,2),"Sin volumen")</f>
        <v/>
      </c>
      <c r="U212" s="4">
        <f>IF(F212&lt;5000,"Bajo",IF(F212&lt;15000,"Medio","Alto"))</f>
        <v/>
      </c>
    </row>
    <row r="213">
      <c r="A213" t="inlineStr">
        <is>
          <t>Jumbo</t>
        </is>
      </c>
      <c r="B213" t="n">
        <v>3087382</v>
      </c>
      <c r="C213" t="n">
        <v>3086603</v>
      </c>
      <c r="D213" t="inlineStr">
        <is>
          <t>Acondicionador Dove Regeneracionretinol 650ml</t>
        </is>
      </c>
      <c r="E213" t="inlineStr">
        <is>
          <t>DOVE</t>
        </is>
      </c>
      <c r="F213" t="n">
        <v>16700</v>
      </c>
      <c r="G213" t="n">
        <v>1380165</v>
      </c>
      <c r="H213" t="b">
        <v>1</v>
      </c>
      <c r="I213" t="n">
        <v>650</v>
      </c>
      <c r="J213" t="n">
        <v>25.6923</v>
      </c>
      <c r="K213" t="inlineStr">
        <is>
          <t>&gt; Perfumería &gt; Cuidado Capilar &gt; Acondicionador &gt;</t>
        </is>
      </c>
      <c r="L213" t="inlineStr">
        <is>
          <t>acondicionador</t>
        </is>
      </c>
      <c r="M213" t="inlineStr">
        <is>
          <t>estandar</t>
        </is>
      </c>
      <c r="N213" t="inlineStr">
        <is>
          <t>general</t>
        </is>
      </c>
      <c r="O213" t="inlineStr">
        <is>
          <t>https://www.jumbo.com.ar/acondicionador-dove-regeneracionretinol-650ml/p</t>
        </is>
      </c>
      <c r="P213">
        <f>TRIM(CLEAN(PROPER(D213)))</f>
        <v/>
      </c>
      <c r="Q213">
        <f>PROPER(TRIM(SUBSTITUTE(SUBSTITUTE(SUBSTITUTE(SUBSTITUTE(E213,"TRESEMME","Tresemme"),"HEAD &amp; SHOULDERS","Head &amp; Shoulders"),"ELVIVE","Elvive"),"FRUCTIS","Fructis")))</f>
        <v/>
      </c>
      <c r="R213">
        <f>COUNTIF($D$2:$D$10000,D213)&gt;1</f>
        <v/>
      </c>
      <c r="S213">
        <f>IF(H213=TRUE,"Disponible","No disponible")</f>
        <v/>
      </c>
      <c r="T213">
        <f>IF(AND(ISNUMBER(I213),I213&gt;0),ROUND(F213/I213,2),"Sin volumen")</f>
        <v/>
      </c>
      <c r="U213">
        <f>IF(F213&lt;5000,"Bajo",IF(F213&lt;15000,"Medio","Alto"))</f>
        <v/>
      </c>
    </row>
    <row r="214">
      <c r="A214" s="2" t="inlineStr">
        <is>
          <t>Jumbo</t>
        </is>
      </c>
      <c r="B214" s="2" t="n">
        <v>411246</v>
      </c>
      <c r="C214" s="2" t="n">
        <v>407086</v>
      </c>
      <c r="D214" s="2" t="inlineStr">
        <is>
          <t>Acondicionador Dove Hidratacion 400 Ml</t>
        </is>
      </c>
      <c r="E214" s="2" t="inlineStr">
        <is>
          <t>DOVE</t>
        </is>
      </c>
      <c r="F214" s="2" t="n">
        <v>9150</v>
      </c>
      <c r="G214" s="2" t="n">
        <v>756198</v>
      </c>
      <c r="H214" s="2" t="b">
        <v>1</v>
      </c>
      <c r="I214" s="2" t="n">
        <v>400</v>
      </c>
      <c r="J214" s="2" t="n">
        <v>22.875</v>
      </c>
      <c r="K214" s="2" t="inlineStr">
        <is>
          <t>&gt; Perfumería &gt; Cuidado Capilar &gt; Acondicionador &gt;</t>
        </is>
      </c>
      <c r="L214" s="2" t="inlineStr">
        <is>
          <t>acondicionador</t>
        </is>
      </c>
      <c r="M214" s="2" t="inlineStr">
        <is>
          <t>estandar</t>
        </is>
      </c>
      <c r="N214" s="2" t="inlineStr">
        <is>
          <t>seco_danado</t>
        </is>
      </c>
      <c r="O214" s="2" t="inlineStr">
        <is>
          <t>https://www.jumbo.com.ar/acondicionador-dove-hidratacion-400-ml/p</t>
        </is>
      </c>
      <c r="P214" s="4">
        <f>TRIM(CLEAN(PROPER(D214)))</f>
        <v/>
      </c>
      <c r="Q214" s="4">
        <f>PROPER(TRIM(SUBSTITUTE(SUBSTITUTE(SUBSTITUTE(SUBSTITUTE(E214,"TRESEMME","Tresemme"),"HEAD &amp; SHOULDERS","Head &amp; Shoulders"),"ELVIVE","Elvive"),"FRUCTIS","Fructis")))</f>
        <v/>
      </c>
      <c r="R214" s="4">
        <f>COUNTIF($D$2:$D$10000,D214)&gt;1</f>
        <v/>
      </c>
      <c r="S214" s="4">
        <f>IF(H214=TRUE,"Disponible","No disponible")</f>
        <v/>
      </c>
      <c r="T214" s="4">
        <f>IF(AND(ISNUMBER(I214),I214&gt;0),ROUND(F214/I214,2),"Sin volumen")</f>
        <v/>
      </c>
      <c r="U214" s="4">
        <f>IF(F214&lt;5000,"Bajo",IF(F214&lt;15000,"Medio","Alto"))</f>
        <v/>
      </c>
    </row>
    <row r="215">
      <c r="A215" t="inlineStr">
        <is>
          <t>Jumbo</t>
        </is>
      </c>
      <c r="B215" t="n">
        <v>396962</v>
      </c>
      <c r="C215" t="n">
        <v>394718</v>
      </c>
      <c r="D215" t="inlineStr">
        <is>
          <t>Acondicionador Restauración 970 Ml Plusbelle</t>
        </is>
      </c>
      <c r="E215" t="inlineStr">
        <is>
          <t>PLUSBELLE</t>
        </is>
      </c>
      <c r="F215" t="n">
        <v>6350</v>
      </c>
      <c r="G215" t="n">
        <v>524793</v>
      </c>
      <c r="H215" t="b">
        <v>1</v>
      </c>
      <c r="I215" t="n">
        <v>970</v>
      </c>
      <c r="J215" t="n">
        <v>6.5464</v>
      </c>
      <c r="K215" t="inlineStr">
        <is>
          <t>&gt; Perfumería &gt; Cuidado Capilar &gt; Acondicionador &gt;</t>
        </is>
      </c>
      <c r="L215" t="inlineStr">
        <is>
          <t>acondicionador</t>
        </is>
      </c>
      <c r="M215" t="inlineStr">
        <is>
          <t>estandar</t>
        </is>
      </c>
      <c r="N215" t="inlineStr">
        <is>
          <t>general</t>
        </is>
      </c>
      <c r="O215" t="inlineStr">
        <is>
          <t>https://www.jumbo.com.ar/acondicionador-esencia-restauracion-970-ml-plusbelle/p</t>
        </is>
      </c>
      <c r="P215">
        <f>TRIM(CLEAN(PROPER(D215)))</f>
        <v/>
      </c>
      <c r="Q215">
        <f>PROPER(TRIM(SUBSTITUTE(SUBSTITUTE(SUBSTITUTE(SUBSTITUTE(E215,"TRESEMME","Tresemme"),"HEAD &amp; SHOULDERS","Head &amp; Shoulders"),"ELVIVE","Elvive"),"FRUCTIS","Fructis")))</f>
        <v/>
      </c>
      <c r="R215">
        <f>COUNTIF($D$2:$D$10000,D215)&gt;1</f>
        <v/>
      </c>
      <c r="S215">
        <f>IF(H215=TRUE,"Disponible","No disponible")</f>
        <v/>
      </c>
      <c r="T215">
        <f>IF(AND(ISNUMBER(I215),I215&gt;0),ROUND(F215/I215,2),"Sin volumen")</f>
        <v/>
      </c>
      <c r="U215">
        <f>IF(F215&lt;5000,"Bajo",IF(F215&lt;15000,"Medio","Alto"))</f>
        <v/>
      </c>
    </row>
    <row r="216">
      <c r="A216" s="2" t="inlineStr">
        <is>
          <t>Jumbo</t>
        </is>
      </c>
      <c r="B216" s="2" t="n">
        <v>251373</v>
      </c>
      <c r="C216" s="2" t="n">
        <v>250674</v>
      </c>
      <c r="D216" s="2" t="inlineStr">
        <is>
          <t>Acondicionador Herbal Essences Coconut 400ml</t>
        </is>
      </c>
      <c r="E216" s="2" t="inlineStr">
        <is>
          <t>HERBAL ESSENCES</t>
        </is>
      </c>
      <c r="F216" s="2" t="n">
        <v>16800</v>
      </c>
      <c r="G216" s="2" t="n">
        <v>1388430</v>
      </c>
      <c r="H216" s="2" t="b">
        <v>1</v>
      </c>
      <c r="I216" s="2" t="n">
        <v>400</v>
      </c>
      <c r="J216" s="2" t="n">
        <v>42</v>
      </c>
      <c r="K216" s="2" t="inlineStr">
        <is>
          <t>&gt; Perfumería &gt; Cuidado Capilar &gt; Acondicionador &gt;</t>
        </is>
      </c>
      <c r="L216" s="2" t="inlineStr">
        <is>
          <t>acondicionador</t>
        </is>
      </c>
      <c r="M216" s="2" t="inlineStr">
        <is>
          <t>estandar</t>
        </is>
      </c>
      <c r="N216" s="2" t="inlineStr">
        <is>
          <t>general</t>
        </is>
      </c>
      <c r="O216" s="2" t="inlineStr">
        <is>
          <t>https://www.jumbo.com.ar/acondicionador-herbal-essences-coconut-400ml/p</t>
        </is>
      </c>
      <c r="P216" s="4">
        <f>TRIM(CLEAN(PROPER(D216)))</f>
        <v/>
      </c>
      <c r="Q216" s="4">
        <f>PROPER(TRIM(SUBSTITUTE(SUBSTITUTE(SUBSTITUTE(SUBSTITUTE(E216,"TRESEMME","Tresemme"),"HEAD &amp; SHOULDERS","Head &amp; Shoulders"),"ELVIVE","Elvive"),"FRUCTIS","Fructis")))</f>
        <v/>
      </c>
      <c r="R216" s="4">
        <f>COUNTIF($D$2:$D$10000,D216)&gt;1</f>
        <v/>
      </c>
      <c r="S216" s="4">
        <f>IF(H216=TRUE,"Disponible","No disponible")</f>
        <v/>
      </c>
      <c r="T216" s="4">
        <f>IF(AND(ISNUMBER(I216),I216&gt;0),ROUND(F216/I216,2),"Sin volumen")</f>
        <v/>
      </c>
      <c r="U216" s="4">
        <f>IF(F216&lt;5000,"Bajo",IF(F216&lt;15000,"Medio","Alto"))</f>
        <v/>
      </c>
    </row>
    <row r="217">
      <c r="A217" t="inlineStr">
        <is>
          <t>Jumbo</t>
        </is>
      </c>
      <c r="B217" t="n">
        <v>3068263</v>
      </c>
      <c r="C217" t="n">
        <v>3068091</v>
      </c>
      <c r="D217" t="inlineStr">
        <is>
          <t>Acondicionador Probiotics 200 Ml Fructis</t>
        </is>
      </c>
      <c r="E217" t="inlineStr">
        <is>
          <t>FRUCTIS</t>
        </is>
      </c>
      <c r="F217" t="n">
        <v>5900</v>
      </c>
      <c r="G217" t="n">
        <v>487603</v>
      </c>
      <c r="H217" t="b">
        <v>1</v>
      </c>
      <c r="I217" t="n">
        <v>200</v>
      </c>
      <c r="J217" t="n">
        <v>29.5</v>
      </c>
      <c r="K217" t="inlineStr">
        <is>
          <t>&gt; Perfumería &gt; Cuidado Capilar &gt; Acondicionador &gt;</t>
        </is>
      </c>
      <c r="L217" t="inlineStr">
        <is>
          <t>acondicionador</t>
        </is>
      </c>
      <c r="M217" t="inlineStr">
        <is>
          <t>estandar</t>
        </is>
      </c>
      <c r="N217" t="inlineStr">
        <is>
          <t>general</t>
        </is>
      </c>
      <c r="O217" t="inlineStr">
        <is>
          <t>https://www.jumbo.com.ar/acondicionador-probiotics-x-200-ml-fructis-2/p</t>
        </is>
      </c>
      <c r="P217">
        <f>TRIM(CLEAN(PROPER(D217)))</f>
        <v/>
      </c>
      <c r="Q217">
        <f>PROPER(TRIM(SUBSTITUTE(SUBSTITUTE(SUBSTITUTE(SUBSTITUTE(E217,"TRESEMME","Tresemme"),"HEAD &amp; SHOULDERS","Head &amp; Shoulders"),"ELVIVE","Elvive"),"FRUCTIS","Fructis")))</f>
        <v/>
      </c>
      <c r="R217">
        <f>COUNTIF($D$2:$D$10000,D217)&gt;1</f>
        <v/>
      </c>
      <c r="S217">
        <f>IF(H217=TRUE,"Disponible","No disponible")</f>
        <v/>
      </c>
      <c r="T217">
        <f>IF(AND(ISNUMBER(I217),I217&gt;0),ROUND(F217/I217,2),"Sin volumen")</f>
        <v/>
      </c>
      <c r="U217">
        <f>IF(F217&lt;5000,"Bajo",IF(F217&lt;15000,"Medio","Alto"))</f>
        <v/>
      </c>
    </row>
    <row r="218">
      <c r="A218" s="2" t="inlineStr">
        <is>
          <t>Jumbo</t>
        </is>
      </c>
      <c r="B218" s="2" t="n">
        <v>394353</v>
      </c>
      <c r="C218" s="2" t="n">
        <v>392359</v>
      </c>
      <c r="D218" s="2" t="inlineStr">
        <is>
          <t>Acondicionador Ceramidas 190 Ml Sedal</t>
        </is>
      </c>
      <c r="E218" s="2" t="inlineStr">
        <is>
          <t>SEDAL</t>
        </is>
      </c>
      <c r="F218" s="2" t="n">
        <v>3900</v>
      </c>
      <c r="G218" s="2" t="n">
        <v>322314</v>
      </c>
      <c r="H218" s="2" t="b">
        <v>1</v>
      </c>
      <c r="I218" s="2" t="n">
        <v>190</v>
      </c>
      <c r="J218" s="2" t="n">
        <v>20.5263</v>
      </c>
      <c r="K218" s="2" t="inlineStr">
        <is>
          <t>&gt; Perfumería &gt; Cuidado Capilar &gt; Acondicionador &gt;</t>
        </is>
      </c>
      <c r="L218" s="2" t="inlineStr">
        <is>
          <t>acondicionador</t>
        </is>
      </c>
      <c r="M218" s="2" t="inlineStr">
        <is>
          <t>estandar</t>
        </is>
      </c>
      <c r="N218" s="2" t="inlineStr">
        <is>
          <t>general</t>
        </is>
      </c>
      <c r="O218" s="2" t="inlineStr">
        <is>
          <t>https://www.jumbo.com.ar/acondicionador-ceramidas-190-ml-sedal/p</t>
        </is>
      </c>
      <c r="P218" s="4">
        <f>TRIM(CLEAN(PROPER(D218)))</f>
        <v/>
      </c>
      <c r="Q218" s="4">
        <f>PROPER(TRIM(SUBSTITUTE(SUBSTITUTE(SUBSTITUTE(SUBSTITUTE(E218,"TRESEMME","Tresemme"),"HEAD &amp; SHOULDERS","Head &amp; Shoulders"),"ELVIVE","Elvive"),"FRUCTIS","Fructis")))</f>
        <v/>
      </c>
      <c r="R218" s="4">
        <f>COUNTIF($D$2:$D$10000,D218)&gt;1</f>
        <v/>
      </c>
      <c r="S218" s="4">
        <f>IF(H218=TRUE,"Disponible","No disponible")</f>
        <v/>
      </c>
      <c r="T218" s="4">
        <f>IF(AND(ISNUMBER(I218),I218&gt;0),ROUND(F218/I218,2),"Sin volumen")</f>
        <v/>
      </c>
      <c r="U218" s="4">
        <f>IF(F218&lt;5000,"Bajo",IF(F218&lt;15000,"Medio","Alto"))</f>
        <v/>
      </c>
    </row>
    <row r="219">
      <c r="A219" t="inlineStr">
        <is>
          <t>Jumbo</t>
        </is>
      </c>
      <c r="B219" t="n">
        <v>251370</v>
      </c>
      <c r="C219" t="n">
        <v>250672</v>
      </c>
      <c r="D219" t="inlineStr">
        <is>
          <t>Acondicionador Herbal Essences Argan400ml</t>
        </is>
      </c>
      <c r="E219" t="inlineStr">
        <is>
          <t>HERBAL ESSENCES</t>
        </is>
      </c>
      <c r="F219" t="n">
        <v>16800</v>
      </c>
      <c r="G219" t="n">
        <v>1388430</v>
      </c>
      <c r="H219" t="b">
        <v>1</v>
      </c>
      <c r="I219" t="n">
        <v>400</v>
      </c>
      <c r="J219" t="n">
        <v>42</v>
      </c>
      <c r="K219" t="inlineStr">
        <is>
          <t>&gt; Perfumería &gt; Cuidado Capilar &gt; Acondicionador &gt;</t>
        </is>
      </c>
      <c r="L219" t="inlineStr">
        <is>
          <t>acondicionador</t>
        </is>
      </c>
      <c r="M219" t="inlineStr">
        <is>
          <t>estandar</t>
        </is>
      </c>
      <c r="N219" t="inlineStr">
        <is>
          <t>general</t>
        </is>
      </c>
      <c r="O219" t="inlineStr">
        <is>
          <t>https://www.jumbo.com.ar/acondicionador-herbal-essences-argan400ml/p</t>
        </is>
      </c>
      <c r="P219">
        <f>TRIM(CLEAN(PROPER(D219)))</f>
        <v/>
      </c>
      <c r="Q219">
        <f>PROPER(TRIM(SUBSTITUTE(SUBSTITUTE(SUBSTITUTE(SUBSTITUTE(E219,"TRESEMME","Tresemme"),"HEAD &amp; SHOULDERS","Head &amp; Shoulders"),"ELVIVE","Elvive"),"FRUCTIS","Fructis")))</f>
        <v/>
      </c>
      <c r="R219">
        <f>COUNTIF($D$2:$D$10000,D219)&gt;1</f>
        <v/>
      </c>
      <c r="S219">
        <f>IF(H219=TRUE,"Disponible","No disponible")</f>
        <v/>
      </c>
      <c r="T219">
        <f>IF(AND(ISNUMBER(I219),I219&gt;0),ROUND(F219/I219,2),"Sin volumen")</f>
        <v/>
      </c>
      <c r="U219">
        <f>IF(F219&lt;5000,"Bajo",IF(F219&lt;15000,"Medio","Alto"))</f>
        <v/>
      </c>
    </row>
    <row r="220">
      <c r="A220" s="2" t="inlineStr">
        <is>
          <t>Jumbo</t>
        </is>
      </c>
      <c r="B220" s="2" t="n">
        <v>3070282</v>
      </c>
      <c r="C220" s="2" t="n">
        <v>3069875</v>
      </c>
      <c r="D220" s="2" t="inlineStr">
        <is>
          <t>Acondicionador Keratina Antifrizz 500 Ml Tresemmé</t>
        </is>
      </c>
      <c r="E220" s="2" t="inlineStr">
        <is>
          <t>TRESEMMÉ</t>
        </is>
      </c>
      <c r="F220" s="2" t="n">
        <v>10700</v>
      </c>
      <c r="G220" s="2" t="n">
        <v>884298</v>
      </c>
      <c r="H220" s="2" t="b">
        <v>1</v>
      </c>
      <c r="I220" s="2" t="n">
        <v>500</v>
      </c>
      <c r="J220" s="2" t="n">
        <v>21.4</v>
      </c>
      <c r="K220" s="2" t="inlineStr">
        <is>
          <t>&gt; Perfumería &gt; Cuidado Capilar &gt; Acondicionador &gt;</t>
        </is>
      </c>
      <c r="L220" s="2" t="inlineStr">
        <is>
          <t>acondicionador</t>
        </is>
      </c>
      <c r="M220" s="2" t="inlineStr">
        <is>
          <t>estandar</t>
        </is>
      </c>
      <c r="N220" s="2" t="inlineStr">
        <is>
          <t>tratado</t>
        </is>
      </c>
      <c r="O220" s="2" t="inlineStr">
        <is>
          <t>https://www.jumbo.com.ar/acondicionador-keratina-antifrizz-x-500-ml-tresemme-2/p</t>
        </is>
      </c>
      <c r="P220" s="4">
        <f>TRIM(CLEAN(PROPER(D220)))</f>
        <v/>
      </c>
      <c r="Q220" s="4">
        <f>PROPER(TRIM(SUBSTITUTE(SUBSTITUTE(SUBSTITUTE(SUBSTITUTE(E220,"TRESEMME","Tresemme"),"HEAD &amp; SHOULDERS","Head &amp; Shoulders"),"ELVIVE","Elvive"),"FRUCTIS","Fructis")))</f>
        <v/>
      </c>
      <c r="R220" s="4">
        <f>COUNTIF($D$2:$D$10000,D220)&gt;1</f>
        <v/>
      </c>
      <c r="S220" s="4">
        <f>IF(H220=TRUE,"Disponible","No disponible")</f>
        <v/>
      </c>
      <c r="T220" s="4">
        <f>IF(AND(ISNUMBER(I220),I220&gt;0),ROUND(F220/I220,2),"Sin volumen")</f>
        <v/>
      </c>
      <c r="U220" s="4">
        <f>IF(F220&lt;5000,"Bajo",IF(F220&lt;15000,"Medio","Alto"))</f>
        <v/>
      </c>
    </row>
    <row r="221">
      <c r="A221" t="inlineStr">
        <is>
          <t>Jumbo</t>
        </is>
      </c>
      <c r="B221" t="n">
        <v>393559</v>
      </c>
      <c r="C221" t="n">
        <v>391587</v>
      </c>
      <c r="D221" t="inlineStr">
        <is>
          <t>Acondicionador Dove óleo Nutrición 400 Ml</t>
        </is>
      </c>
      <c r="E221" t="inlineStr">
        <is>
          <t>DOVE</t>
        </is>
      </c>
      <c r="F221" t="n">
        <v>9150</v>
      </c>
      <c r="G221" t="n">
        <v>756198</v>
      </c>
      <c r="H221" t="b">
        <v>1</v>
      </c>
      <c r="I221" t="n">
        <v>400</v>
      </c>
      <c r="J221" t="n">
        <v>22.875</v>
      </c>
      <c r="K221" t="inlineStr">
        <is>
          <t>&gt; Perfumería &gt; Cuidado Capilar &gt; Acondicionador &gt;</t>
        </is>
      </c>
      <c r="L221" t="inlineStr">
        <is>
          <t>acondicionador</t>
        </is>
      </c>
      <c r="M221" t="inlineStr">
        <is>
          <t>estandar</t>
        </is>
      </c>
      <c r="N221" t="inlineStr">
        <is>
          <t>general</t>
        </is>
      </c>
      <c r="O221" t="inlineStr">
        <is>
          <t>https://www.jumbo.com.ar/acondicionador-dove-oleo-nutricion-400-ml-3/p</t>
        </is>
      </c>
      <c r="P221">
        <f>TRIM(CLEAN(PROPER(D221)))</f>
        <v/>
      </c>
      <c r="Q221">
        <f>PROPER(TRIM(SUBSTITUTE(SUBSTITUTE(SUBSTITUTE(SUBSTITUTE(E221,"TRESEMME","Tresemme"),"HEAD &amp; SHOULDERS","Head &amp; Shoulders"),"ELVIVE","Elvive"),"FRUCTIS","Fructis")))</f>
        <v/>
      </c>
      <c r="R221">
        <f>COUNTIF($D$2:$D$10000,D221)&gt;1</f>
        <v/>
      </c>
      <c r="S221">
        <f>IF(H221=TRUE,"Disponible","No disponible")</f>
        <v/>
      </c>
      <c r="T221">
        <f>IF(AND(ISNUMBER(I221),I221&gt;0),ROUND(F221/I221,2),"Sin volumen")</f>
        <v/>
      </c>
      <c r="U221">
        <f>IF(F221&lt;5000,"Bajo",IF(F221&lt;15000,"Medio","Alto"))</f>
        <v/>
      </c>
    </row>
    <row r="222">
      <c r="A222" s="2" t="inlineStr">
        <is>
          <t>Jumbo</t>
        </is>
      </c>
      <c r="B222" s="2" t="n">
        <v>3070159</v>
      </c>
      <c r="C222" s="2" t="n">
        <v>3069766</v>
      </c>
      <c r="D222" s="2" t="inlineStr">
        <is>
          <t>Acondicionador Keratina X 510 Ml Pantene</t>
        </is>
      </c>
      <c r="E222" s="2" t="inlineStr">
        <is>
          <t>PANTENE</t>
        </is>
      </c>
      <c r="F222" s="2" t="n">
        <v>16400</v>
      </c>
      <c r="G222" s="2" t="n">
        <v>1355372</v>
      </c>
      <c r="H222" s="2" t="b">
        <v>1</v>
      </c>
      <c r="I222" s="2" t="n">
        <v>510</v>
      </c>
      <c r="J222" s="2" t="n">
        <v>32.1569</v>
      </c>
      <c r="K222" s="2" t="inlineStr">
        <is>
          <t>&gt; Perfumería &gt; Cuidado Capilar &gt; Acondicionador &gt;</t>
        </is>
      </c>
      <c r="L222" s="2" t="inlineStr">
        <is>
          <t>acondicionador</t>
        </is>
      </c>
      <c r="M222" s="2" t="inlineStr">
        <is>
          <t>estandar</t>
        </is>
      </c>
      <c r="N222" s="2" t="inlineStr">
        <is>
          <t>tratado</t>
        </is>
      </c>
      <c r="O222" s="2" t="inlineStr">
        <is>
          <t>https://www.jumbo.com.ar/acondicionador-keratina-x-510-ml-pantene/p</t>
        </is>
      </c>
      <c r="P222" s="4">
        <f>TRIM(CLEAN(PROPER(D222)))</f>
        <v/>
      </c>
      <c r="Q222" s="4">
        <f>PROPER(TRIM(SUBSTITUTE(SUBSTITUTE(SUBSTITUTE(SUBSTITUTE(E222,"TRESEMME","Tresemme"),"HEAD &amp; SHOULDERS","Head &amp; Shoulders"),"ELVIVE","Elvive"),"FRUCTIS","Fructis")))</f>
        <v/>
      </c>
      <c r="R222" s="4">
        <f>COUNTIF($D$2:$D$10000,D222)&gt;1</f>
        <v/>
      </c>
      <c r="S222" s="4">
        <f>IF(H222=TRUE,"Disponible","No disponible")</f>
        <v/>
      </c>
      <c r="T222" s="4">
        <f>IF(AND(ISNUMBER(I222),I222&gt;0),ROUND(F222/I222,2),"Sin volumen")</f>
        <v/>
      </c>
      <c r="U222" s="4">
        <f>IF(F222&lt;5000,"Bajo",IF(F222&lt;15000,"Medio","Alto"))</f>
        <v/>
      </c>
    </row>
    <row r="223">
      <c r="A223" t="inlineStr">
        <is>
          <t>Jumbo</t>
        </is>
      </c>
      <c r="B223" t="n">
        <v>3070158</v>
      </c>
      <c r="C223" t="n">
        <v>3069763</v>
      </c>
      <c r="D223" t="inlineStr">
        <is>
          <t>Acondicionador Colágeno Hidratación 510 Ml Pantene</t>
        </is>
      </c>
      <c r="E223" t="inlineStr">
        <is>
          <t>PANTENE</t>
        </is>
      </c>
      <c r="F223" t="n">
        <v>16400</v>
      </c>
      <c r="G223" t="n">
        <v>1355372</v>
      </c>
      <c r="H223" t="b">
        <v>1</v>
      </c>
      <c r="I223" t="n">
        <v>510</v>
      </c>
      <c r="J223" t="n">
        <v>32.1569</v>
      </c>
      <c r="K223" t="inlineStr">
        <is>
          <t>&gt; Perfumería &gt; Cuidado Capilar &gt; Acondicionador &gt;</t>
        </is>
      </c>
      <c r="L223" t="inlineStr">
        <is>
          <t>acondicionador</t>
        </is>
      </c>
      <c r="M223" t="inlineStr">
        <is>
          <t>estandar</t>
        </is>
      </c>
      <c r="N223" t="inlineStr">
        <is>
          <t>seco_danado</t>
        </is>
      </c>
      <c r="O223" t="inlineStr">
        <is>
          <t>https://www.jumbo.com.ar/acondicionador-colageno-x-510-ml-pantene-2/p</t>
        </is>
      </c>
      <c r="P223">
        <f>TRIM(CLEAN(PROPER(D223)))</f>
        <v/>
      </c>
      <c r="Q223">
        <f>PROPER(TRIM(SUBSTITUTE(SUBSTITUTE(SUBSTITUTE(SUBSTITUTE(E223,"TRESEMME","Tresemme"),"HEAD &amp; SHOULDERS","Head &amp; Shoulders"),"ELVIVE","Elvive"),"FRUCTIS","Fructis")))</f>
        <v/>
      </c>
      <c r="R223">
        <f>COUNTIF($D$2:$D$10000,D223)&gt;1</f>
        <v/>
      </c>
      <c r="S223">
        <f>IF(H223=TRUE,"Disponible","No disponible")</f>
        <v/>
      </c>
      <c r="T223">
        <f>IF(AND(ISNUMBER(I223),I223&gt;0),ROUND(F223/I223,2),"Sin volumen")</f>
        <v/>
      </c>
      <c r="U223">
        <f>IF(F223&lt;5000,"Bajo",IF(F223&lt;15000,"Medio","Alto"))</f>
        <v/>
      </c>
    </row>
    <row r="224">
      <c r="A224" s="2" t="inlineStr">
        <is>
          <t>Jumbo</t>
        </is>
      </c>
      <c r="B224" s="2" t="n">
        <v>3066238</v>
      </c>
      <c r="C224" s="2" t="n">
        <v>3066154</v>
      </c>
      <c r="D224" s="2" t="inlineStr">
        <is>
          <t>Acondicionador Luminous UV 650 Ml Sedal</t>
        </is>
      </c>
      <c r="E224" s="2" t="inlineStr">
        <is>
          <t>SEDAL</t>
        </is>
      </c>
      <c r="F224" s="2" t="n">
        <v>9400</v>
      </c>
      <c r="G224" s="2" t="n">
        <v>776860</v>
      </c>
      <c r="H224" s="2" t="b">
        <v>1</v>
      </c>
      <c r="I224" s="2" t="n">
        <v>650</v>
      </c>
      <c r="J224" s="2" t="n">
        <v>14.4615</v>
      </c>
      <c r="K224" s="2" t="inlineStr">
        <is>
          <t>&gt; Perfumería &gt; Cuidado Capilar &gt; Acondicionador &gt;</t>
        </is>
      </c>
      <c r="L224" s="2" t="inlineStr">
        <is>
          <t>acondicionador</t>
        </is>
      </c>
      <c r="M224" s="2" t="inlineStr">
        <is>
          <t>estandar</t>
        </is>
      </c>
      <c r="N224" s="2" t="inlineStr">
        <is>
          <t>general</t>
        </is>
      </c>
      <c r="O224" s="2" t="inlineStr">
        <is>
          <t>https://www.jumbo.com.ar/acondicionador-luminous-uv-x-650-ml-sedal-2/p</t>
        </is>
      </c>
      <c r="P224" s="4">
        <f>TRIM(CLEAN(PROPER(D224)))</f>
        <v/>
      </c>
      <c r="Q224" s="4">
        <f>PROPER(TRIM(SUBSTITUTE(SUBSTITUTE(SUBSTITUTE(SUBSTITUTE(E224,"TRESEMME","Tresemme"),"HEAD &amp; SHOULDERS","Head &amp; Shoulders"),"ELVIVE","Elvive"),"FRUCTIS","Fructis")))</f>
        <v/>
      </c>
      <c r="R224" s="4">
        <f>COUNTIF($D$2:$D$10000,D224)&gt;1</f>
        <v/>
      </c>
      <c r="S224" s="4">
        <f>IF(H224=TRUE,"Disponible","No disponible")</f>
        <v/>
      </c>
      <c r="T224" s="4">
        <f>IF(AND(ISNUMBER(I224),I224&gt;0),ROUND(F224/I224,2),"Sin volumen")</f>
        <v/>
      </c>
      <c r="U224" s="4">
        <f>IF(F224&lt;5000,"Bajo",IF(F224&lt;15000,"Medio","Alto"))</f>
        <v/>
      </c>
    </row>
    <row r="225">
      <c r="A225" t="inlineStr">
        <is>
          <t>Jumbo</t>
        </is>
      </c>
      <c r="B225" t="n">
        <v>401188</v>
      </c>
      <c r="C225" t="n">
        <v>398526</v>
      </c>
      <c r="D225" t="inlineStr">
        <is>
          <t>Acondicionador Hidratante Equilibrio 700 Ml Pantene</t>
        </is>
      </c>
      <c r="E225" t="inlineStr">
        <is>
          <t>PANTENE</t>
        </is>
      </c>
      <c r="F225" t="n">
        <v>17250</v>
      </c>
      <c r="G225" t="n">
        <v>1425620</v>
      </c>
      <c r="H225" t="b">
        <v>1</v>
      </c>
      <c r="I225" t="n">
        <v>700</v>
      </c>
      <c r="J225" t="n">
        <v>24.6429</v>
      </c>
      <c r="K225" t="inlineStr">
        <is>
          <t>&gt; Perfumería &gt; Cuidado Capilar &gt; Acondicionador &gt;</t>
        </is>
      </c>
      <c r="L225" t="inlineStr">
        <is>
          <t>acondicionador</t>
        </is>
      </c>
      <c r="M225" t="inlineStr">
        <is>
          <t>estandar</t>
        </is>
      </c>
      <c r="N225" t="inlineStr">
        <is>
          <t>seco_danado</t>
        </is>
      </c>
      <c r="O225" t="inlineStr">
        <is>
          <t>https://www.jumbo.com.ar/acondicionador-hidratante-equilibrio-700-ml-pantene/p</t>
        </is>
      </c>
      <c r="P225">
        <f>TRIM(CLEAN(PROPER(D225)))</f>
        <v/>
      </c>
      <c r="Q225">
        <f>PROPER(TRIM(SUBSTITUTE(SUBSTITUTE(SUBSTITUTE(SUBSTITUTE(E225,"TRESEMME","Tresemme"),"HEAD &amp; SHOULDERS","Head &amp; Shoulders"),"ELVIVE","Elvive"),"FRUCTIS","Fructis")))</f>
        <v/>
      </c>
      <c r="R225">
        <f>COUNTIF($D$2:$D$10000,D225)&gt;1</f>
        <v/>
      </c>
      <c r="S225">
        <f>IF(H225=TRUE,"Disponible","No disponible")</f>
        <v/>
      </c>
      <c r="T225">
        <f>IF(AND(ISNUMBER(I225),I225&gt;0),ROUND(F225/I225,2),"Sin volumen")</f>
        <v/>
      </c>
      <c r="U225">
        <f>IF(F225&lt;5000,"Bajo",IF(F225&lt;15000,"Medio","Alto"))</f>
        <v/>
      </c>
    </row>
    <row r="226">
      <c r="A226" s="2" t="inlineStr">
        <is>
          <t>Jumbo</t>
        </is>
      </c>
      <c r="B226" s="2" t="n">
        <v>397929</v>
      </c>
      <c r="C226" s="2" t="n">
        <v>395664</v>
      </c>
      <c r="D226" s="2" t="inlineStr">
        <is>
          <t>Acondicionador Crema Balance 340 Ml Sedal</t>
        </is>
      </c>
      <c r="E226" s="2" t="inlineStr">
        <is>
          <t>SEDAL</t>
        </is>
      </c>
      <c r="F226" s="2" t="n">
        <v>5450</v>
      </c>
      <c r="G226" s="2" t="n">
        <v>450413</v>
      </c>
      <c r="H226" s="2" t="b">
        <v>1</v>
      </c>
      <c r="I226" s="2" t="n">
        <v>340</v>
      </c>
      <c r="J226" s="2" t="n">
        <v>16.0294</v>
      </c>
      <c r="K226" s="2" t="inlineStr">
        <is>
          <t>&gt; Perfumería &gt; Cuidado Capilar &gt; Acondicionador &gt;</t>
        </is>
      </c>
      <c r="L226" s="2" t="inlineStr">
        <is>
          <t>acondicionador</t>
        </is>
      </c>
      <c r="M226" s="2" t="inlineStr">
        <is>
          <t>estandar</t>
        </is>
      </c>
      <c r="N226" s="2" t="inlineStr">
        <is>
          <t>general</t>
        </is>
      </c>
      <c r="O226" s="2" t="inlineStr">
        <is>
          <t>https://www.jumbo.com.ar/acondicionador-crema-balance-340-ml-sedal/p</t>
        </is>
      </c>
      <c r="P226" s="4">
        <f>TRIM(CLEAN(PROPER(D226)))</f>
        <v/>
      </c>
      <c r="Q226" s="4">
        <f>PROPER(TRIM(SUBSTITUTE(SUBSTITUTE(SUBSTITUTE(SUBSTITUTE(E226,"TRESEMME","Tresemme"),"HEAD &amp; SHOULDERS","Head &amp; Shoulders"),"ELVIVE","Elvive"),"FRUCTIS","Fructis")))</f>
        <v/>
      </c>
      <c r="R226" s="4">
        <f>COUNTIF($D$2:$D$10000,D226)&gt;1</f>
        <v/>
      </c>
      <c r="S226" s="4">
        <f>IF(H226=TRUE,"Disponible","No disponible")</f>
        <v/>
      </c>
      <c r="T226" s="4">
        <f>IF(AND(ISNUMBER(I226),I226&gt;0),ROUND(F226/I226,2),"Sin volumen")</f>
        <v/>
      </c>
      <c r="U226" s="4">
        <f>IF(F226&lt;5000,"Bajo",IF(F226&lt;15000,"Medio","Alto"))</f>
        <v/>
      </c>
    </row>
    <row r="227">
      <c r="A227" t="inlineStr">
        <is>
          <t>Jumbo</t>
        </is>
      </c>
      <c r="B227" t="n">
        <v>397197</v>
      </c>
      <c r="C227" t="n">
        <v>394938</v>
      </c>
      <c r="D227" t="inlineStr">
        <is>
          <t>Acondicionador Goodbye Daños 350 Ml Fructis</t>
        </is>
      </c>
      <c r="E227" t="inlineStr">
        <is>
          <t>FRUCTIS</t>
        </is>
      </c>
      <c r="F227" t="n">
        <v>8450</v>
      </c>
      <c r="G227" t="n">
        <v>698347</v>
      </c>
      <c r="H227" t="b">
        <v>1</v>
      </c>
      <c r="I227" t="n">
        <v>350</v>
      </c>
      <c r="J227" t="n">
        <v>24.1429</v>
      </c>
      <c r="K227" t="inlineStr">
        <is>
          <t>&gt; Perfumería &gt; Cuidado Capilar &gt; Acondicionador &gt;</t>
        </is>
      </c>
      <c r="L227" t="inlineStr">
        <is>
          <t>acondicionador</t>
        </is>
      </c>
      <c r="M227" t="inlineStr">
        <is>
          <t>estandar</t>
        </is>
      </c>
      <c r="N227" t="inlineStr">
        <is>
          <t>general</t>
        </is>
      </c>
      <c r="O227" t="inlineStr">
        <is>
          <t>https://www.jumbo.com.ar/enjuague-cabello-danado-goodbye-danos-x350-fructis-garnier/p</t>
        </is>
      </c>
      <c r="P227">
        <f>TRIM(CLEAN(PROPER(D227)))</f>
        <v/>
      </c>
      <c r="Q227">
        <f>PROPER(TRIM(SUBSTITUTE(SUBSTITUTE(SUBSTITUTE(SUBSTITUTE(E227,"TRESEMME","Tresemme"),"HEAD &amp; SHOULDERS","Head &amp; Shoulders"),"ELVIVE","Elvive"),"FRUCTIS","Fructis")))</f>
        <v/>
      </c>
      <c r="R227">
        <f>COUNTIF($D$2:$D$10000,D227)&gt;1</f>
        <v/>
      </c>
      <c r="S227">
        <f>IF(H227=TRUE,"Disponible","No disponible")</f>
        <v/>
      </c>
      <c r="T227">
        <f>IF(AND(ISNUMBER(I227),I227&gt;0),ROUND(F227/I227,2),"Sin volumen")</f>
        <v/>
      </c>
      <c r="U227">
        <f>IF(F227&lt;5000,"Bajo",IF(F227&lt;15000,"Medio","Alto"))</f>
        <v/>
      </c>
    </row>
    <row r="228">
      <c r="A228" s="2" t="inlineStr">
        <is>
          <t>Jumbo</t>
        </is>
      </c>
      <c r="B228" s="2" t="n">
        <v>393381</v>
      </c>
      <c r="C228" s="2" t="n">
        <v>391409</v>
      </c>
      <c r="D228" s="2" t="inlineStr">
        <is>
          <t>Acondicionador Rizos Definidos 340 Ml Sedal</t>
        </is>
      </c>
      <c r="E228" s="2" t="inlineStr">
        <is>
          <t>SEDAL</t>
        </is>
      </c>
      <c r="F228" s="2" t="n">
        <v>5450</v>
      </c>
      <c r="G228" s="2" t="n">
        <v>450413</v>
      </c>
      <c r="H228" s="2" t="b">
        <v>1</v>
      </c>
      <c r="I228" s="2" t="n">
        <v>340</v>
      </c>
      <c r="J228" s="2" t="n">
        <v>16.0294</v>
      </c>
      <c r="K228" s="2" t="inlineStr">
        <is>
          <t>&gt; Perfumería &gt; Cuidado Capilar &gt; Acondicionador &gt;</t>
        </is>
      </c>
      <c r="L228" s="2" t="inlineStr">
        <is>
          <t>acondicionador</t>
        </is>
      </c>
      <c r="M228" s="2" t="inlineStr">
        <is>
          <t>estandar</t>
        </is>
      </c>
      <c r="N228" s="2" t="inlineStr">
        <is>
          <t>rizado</t>
        </is>
      </c>
      <c r="O228" s="2" t="inlineStr">
        <is>
          <t>https://www.jumbo.com.ar/acondicionador-rizos-definidos-340-ml-sedal/p</t>
        </is>
      </c>
      <c r="P228" s="4">
        <f>TRIM(CLEAN(PROPER(D228)))</f>
        <v/>
      </c>
      <c r="Q228" s="4">
        <f>PROPER(TRIM(SUBSTITUTE(SUBSTITUTE(SUBSTITUTE(SUBSTITUTE(E228,"TRESEMME","Tresemme"),"HEAD &amp; SHOULDERS","Head &amp; Shoulders"),"ELVIVE","Elvive"),"FRUCTIS","Fructis")))</f>
        <v/>
      </c>
      <c r="R228" s="4">
        <f>COUNTIF($D$2:$D$10000,D228)&gt;1</f>
        <v/>
      </c>
      <c r="S228" s="4">
        <f>IF(H228=TRUE,"Disponible","No disponible")</f>
        <v/>
      </c>
      <c r="T228" s="4">
        <f>IF(AND(ISNUMBER(I228),I228&gt;0),ROUND(F228/I228,2),"Sin volumen")</f>
        <v/>
      </c>
      <c r="U228" s="4">
        <f>IF(F228&lt;5000,"Bajo",IF(F228&lt;15000,"Medio","Alto"))</f>
        <v/>
      </c>
    </row>
    <row r="229">
      <c r="A229" t="inlineStr">
        <is>
          <t>Jumbo</t>
        </is>
      </c>
      <c r="B229" t="n">
        <v>339398</v>
      </c>
      <c r="C229" t="n">
        <v>338089</v>
      </c>
      <c r="D229" t="inlineStr">
        <is>
          <t>Acondicionador Recarga Nutritiva 650 Ml Fructis</t>
        </is>
      </c>
      <c r="E229" t="inlineStr">
        <is>
          <t>FRUCTIS</t>
        </is>
      </c>
      <c r="F229" t="n">
        <v>12950</v>
      </c>
      <c r="G229" t="n">
        <v>1070248</v>
      </c>
      <c r="H229" t="b">
        <v>1</v>
      </c>
      <c r="I229" t="n">
        <v>650</v>
      </c>
      <c r="J229" t="n">
        <v>19.9231</v>
      </c>
      <c r="K229" t="inlineStr">
        <is>
          <t>&gt; Perfumería &gt; Cuidado Capilar &gt; Acondicionador &gt;</t>
        </is>
      </c>
      <c r="L229" t="inlineStr">
        <is>
          <t>acondicionador</t>
        </is>
      </c>
      <c r="M229" t="inlineStr">
        <is>
          <t>estandar</t>
        </is>
      </c>
      <c r="N229" t="inlineStr">
        <is>
          <t>general</t>
        </is>
      </c>
      <c r="O229" t="inlineStr">
        <is>
          <t>https://www.jumbo.com.ar/acondicionador-recarga-nutritiva-650-ml-fructis/p</t>
        </is>
      </c>
      <c r="P229">
        <f>TRIM(CLEAN(PROPER(D229)))</f>
        <v/>
      </c>
      <c r="Q229">
        <f>PROPER(TRIM(SUBSTITUTE(SUBSTITUTE(SUBSTITUTE(SUBSTITUTE(E229,"TRESEMME","Tresemme"),"HEAD &amp; SHOULDERS","Head &amp; Shoulders"),"ELVIVE","Elvive"),"FRUCTIS","Fructis")))</f>
        <v/>
      </c>
      <c r="R229">
        <f>COUNTIF($D$2:$D$10000,D229)&gt;1</f>
        <v/>
      </c>
      <c r="S229">
        <f>IF(H229=TRUE,"Disponible","No disponible")</f>
        <v/>
      </c>
      <c r="T229">
        <f>IF(AND(ISNUMBER(I229),I229&gt;0),ROUND(F229/I229,2),"Sin volumen")</f>
        <v/>
      </c>
      <c r="U229">
        <f>IF(F229&lt;5000,"Bajo",IF(F229&lt;15000,"Medio","Alto"))</f>
        <v/>
      </c>
    </row>
    <row r="230">
      <c r="A230" s="2" t="inlineStr">
        <is>
          <t>Jumbo</t>
        </is>
      </c>
      <c r="B230" s="2" t="n">
        <v>3065222</v>
      </c>
      <c r="C230" s="2" t="n">
        <v>3065221</v>
      </c>
      <c r="D230" s="2" t="inlineStr">
        <is>
          <t>Acondicionador Liso Infinito 700 Ml Pantene</t>
        </is>
      </c>
      <c r="E230" s="2" t="inlineStr">
        <is>
          <t>PANTENE</t>
        </is>
      </c>
      <c r="F230" s="2" t="n">
        <v>17250</v>
      </c>
      <c r="G230" s="2" t="n">
        <v>1425620</v>
      </c>
      <c r="H230" s="2" t="b">
        <v>1</v>
      </c>
      <c r="I230" s="2" t="n">
        <v>700</v>
      </c>
      <c r="J230" s="2" t="n">
        <v>24.6429</v>
      </c>
      <c r="K230" s="2" t="inlineStr">
        <is>
          <t>&gt; Perfumería &gt; Cuidado Capilar &gt; Acondicionador &gt;</t>
        </is>
      </c>
      <c r="L230" s="2" t="inlineStr">
        <is>
          <t>acondicionador</t>
        </is>
      </c>
      <c r="M230" s="2" t="inlineStr">
        <is>
          <t>estandar</t>
        </is>
      </c>
      <c r="N230" s="2" t="inlineStr">
        <is>
          <t>general</t>
        </is>
      </c>
      <c r="O230" s="2" t="inlineStr">
        <is>
          <t>https://www.jumbo.com.ar/acondicionador-pro-v-miracles-liso-finito-700-ml-pantene-2/p</t>
        </is>
      </c>
      <c r="P230" s="4">
        <f>TRIM(CLEAN(PROPER(D230)))</f>
        <v/>
      </c>
      <c r="Q230" s="4">
        <f>PROPER(TRIM(SUBSTITUTE(SUBSTITUTE(SUBSTITUTE(SUBSTITUTE(E230,"TRESEMME","Tresemme"),"HEAD &amp; SHOULDERS","Head &amp; Shoulders"),"ELVIVE","Elvive"),"FRUCTIS","Fructis")))</f>
        <v/>
      </c>
      <c r="R230" s="4">
        <f>COUNTIF($D$2:$D$10000,D230)&gt;1</f>
        <v/>
      </c>
      <c r="S230" s="4">
        <f>IF(H230=TRUE,"Disponible","No disponible")</f>
        <v/>
      </c>
      <c r="T230" s="4">
        <f>IF(AND(ISNUMBER(I230),I230&gt;0),ROUND(F230/I230,2),"Sin volumen")</f>
        <v/>
      </c>
      <c r="U230" s="4">
        <f>IF(F230&lt;5000,"Bajo",IF(F230&lt;15000,"Medio","Alto"))</f>
        <v/>
      </c>
    </row>
    <row r="231">
      <c r="A231" t="inlineStr">
        <is>
          <t>Jumbo</t>
        </is>
      </c>
      <c r="B231" t="n">
        <v>396960</v>
      </c>
      <c r="C231" t="n">
        <v>394716</v>
      </c>
      <c r="D231" t="inlineStr">
        <is>
          <t>Acondicionador Largo Saludable 970 Ml Plusbelle</t>
        </is>
      </c>
      <c r="E231" t="inlineStr">
        <is>
          <t>PLUSBELLE</t>
        </is>
      </c>
      <c r="F231" t="n">
        <v>6350</v>
      </c>
      <c r="G231" t="n">
        <v>524793</v>
      </c>
      <c r="H231" t="b">
        <v>1</v>
      </c>
      <c r="I231" t="n">
        <v>970</v>
      </c>
      <c r="J231" t="n">
        <v>6.5464</v>
      </c>
      <c r="K231" t="inlineStr">
        <is>
          <t>&gt; Perfumería &gt; Cuidado Capilar &gt; Acondicionador &gt;</t>
        </is>
      </c>
      <c r="L231" t="inlineStr">
        <is>
          <t>acondicionador</t>
        </is>
      </c>
      <c r="M231" t="inlineStr">
        <is>
          <t>estandar</t>
        </is>
      </c>
      <c r="N231" t="inlineStr">
        <is>
          <t>general</t>
        </is>
      </c>
      <c r="O231" t="inlineStr">
        <is>
          <t>https://www.jumbo.com.ar/acondicionador-largo-saludable-970-ml-plusbelle/p</t>
        </is>
      </c>
      <c r="P231">
        <f>TRIM(CLEAN(PROPER(D231)))</f>
        <v/>
      </c>
      <c r="Q231">
        <f>PROPER(TRIM(SUBSTITUTE(SUBSTITUTE(SUBSTITUTE(SUBSTITUTE(E231,"TRESEMME","Tresemme"),"HEAD &amp; SHOULDERS","Head &amp; Shoulders"),"ELVIVE","Elvive"),"FRUCTIS","Fructis")))</f>
        <v/>
      </c>
      <c r="R231">
        <f>COUNTIF($D$2:$D$10000,D231)&gt;1</f>
        <v/>
      </c>
      <c r="S231">
        <f>IF(H231=TRUE,"Disponible","No disponible")</f>
        <v/>
      </c>
      <c r="T231">
        <f>IF(AND(ISNUMBER(I231),I231&gt;0),ROUND(F231/I231,2),"Sin volumen")</f>
        <v/>
      </c>
      <c r="U231">
        <f>IF(F231&lt;5000,"Bajo",IF(F231&lt;15000,"Medio","Alto"))</f>
        <v/>
      </c>
    </row>
    <row r="232">
      <c r="A232" s="2" t="inlineStr">
        <is>
          <t>Jumbo</t>
        </is>
      </c>
      <c r="B232" s="2" t="n">
        <v>393577</v>
      </c>
      <c r="C232" s="2" t="n">
        <v>391605</v>
      </c>
      <c r="D232" s="2" t="inlineStr">
        <is>
          <t>Acondicionador Reconstrucción Completa 200 Ml Dove</t>
        </is>
      </c>
      <c r="E232" s="2" t="inlineStr">
        <is>
          <t>DOVE</t>
        </is>
      </c>
      <c r="F232" s="2" t="n">
        <v>6000</v>
      </c>
      <c r="G232" s="2" t="n">
        <v>495868</v>
      </c>
      <c r="H232" s="2" t="b">
        <v>1</v>
      </c>
      <c r="I232" s="2" t="n">
        <v>200</v>
      </c>
      <c r="J232" s="2" t="n">
        <v>30</v>
      </c>
      <c r="K232" s="2" t="inlineStr">
        <is>
          <t>&gt; Perfumería &gt; Cuidado Capilar &gt; Acondicionador &gt;</t>
        </is>
      </c>
      <c r="L232" s="2" t="inlineStr">
        <is>
          <t>acondicionador</t>
        </is>
      </c>
      <c r="M232" s="2" t="inlineStr">
        <is>
          <t>estandar</t>
        </is>
      </c>
      <c r="N232" s="2" t="inlineStr">
        <is>
          <t>general</t>
        </is>
      </c>
      <c r="O232" s="2" t="inlineStr">
        <is>
          <t>https://www.jumbo.com.ar/acondicionador-dove-reconstruccion-completa-200-ml-2/p</t>
        </is>
      </c>
      <c r="P232" s="4">
        <f>TRIM(CLEAN(PROPER(D232)))</f>
        <v/>
      </c>
      <c r="Q232" s="4">
        <f>PROPER(TRIM(SUBSTITUTE(SUBSTITUTE(SUBSTITUTE(SUBSTITUTE(E232,"TRESEMME","Tresemme"),"HEAD &amp; SHOULDERS","Head &amp; Shoulders"),"ELVIVE","Elvive"),"FRUCTIS","Fructis")))</f>
        <v/>
      </c>
      <c r="R232" s="4">
        <f>COUNTIF($D$2:$D$10000,D232)&gt;1</f>
        <v/>
      </c>
      <c r="S232" s="4">
        <f>IF(H232=TRUE,"Disponible","No disponible")</f>
        <v/>
      </c>
      <c r="T232" s="4">
        <f>IF(AND(ISNUMBER(I232),I232&gt;0),ROUND(F232/I232,2),"Sin volumen")</f>
        <v/>
      </c>
      <c r="U232" s="4">
        <f>IF(F232&lt;5000,"Bajo",IF(F232&lt;15000,"Medio","Alto"))</f>
        <v/>
      </c>
    </row>
    <row r="233">
      <c r="A233" t="inlineStr">
        <is>
          <t>Jumbo</t>
        </is>
      </c>
      <c r="B233" t="n">
        <v>412481</v>
      </c>
      <c r="C233" t="n">
        <v>408090</v>
      </c>
      <c r="D233" t="inlineStr">
        <is>
          <t>Acondicionador Liso Coco 200 Ml Fructis</t>
        </is>
      </c>
      <c r="E233" t="inlineStr">
        <is>
          <t>FRUCTIS</t>
        </is>
      </c>
      <c r="F233" t="n">
        <v>5900</v>
      </c>
      <c r="G233" t="n">
        <v>487603</v>
      </c>
      <c r="H233" t="b">
        <v>1</v>
      </c>
      <c r="I233" t="n">
        <v>200</v>
      </c>
      <c r="J233" t="n">
        <v>29.5</v>
      </c>
      <c r="K233" t="inlineStr">
        <is>
          <t>&gt; Perfumería &gt; Cuidado Capilar &gt; Acondicionador &gt;</t>
        </is>
      </c>
      <c r="L233" t="inlineStr">
        <is>
          <t>acondicionador</t>
        </is>
      </c>
      <c r="M233" t="inlineStr">
        <is>
          <t>estandar</t>
        </is>
      </c>
      <c r="N233" t="inlineStr">
        <is>
          <t>general</t>
        </is>
      </c>
      <c r="O233" t="inlineStr">
        <is>
          <t>https://www.jumbo.com.ar/acondicionador-fructis-liso-coco-200ml-2/p</t>
        </is>
      </c>
      <c r="P233">
        <f>TRIM(CLEAN(PROPER(D233)))</f>
        <v/>
      </c>
      <c r="Q233">
        <f>PROPER(TRIM(SUBSTITUTE(SUBSTITUTE(SUBSTITUTE(SUBSTITUTE(E233,"TRESEMME","Tresemme"),"HEAD &amp; SHOULDERS","Head &amp; Shoulders"),"ELVIVE","Elvive"),"FRUCTIS","Fructis")))</f>
        <v/>
      </c>
      <c r="R233">
        <f>COUNTIF($D$2:$D$10000,D233)&gt;1</f>
        <v/>
      </c>
      <c r="S233">
        <f>IF(H233=TRUE,"Disponible","No disponible")</f>
        <v/>
      </c>
      <c r="T233">
        <f>IF(AND(ISNUMBER(I233),I233&gt;0),ROUND(F233/I233,2),"Sin volumen")</f>
        <v/>
      </c>
      <c r="U233">
        <f>IF(F233&lt;5000,"Bajo",IF(F233&lt;15000,"Medio","Alto"))</f>
        <v/>
      </c>
    </row>
    <row r="234">
      <c r="A234" s="2" t="inlineStr">
        <is>
          <t>Jumbo</t>
        </is>
      </c>
      <c r="B234" s="2" t="n">
        <v>3066243</v>
      </c>
      <c r="C234" s="2" t="n">
        <v>3066159</v>
      </c>
      <c r="D234" s="2" t="inlineStr">
        <is>
          <t>Acondicionador Luminous UV 190 Ml Sedal</t>
        </is>
      </c>
      <c r="E234" s="2" t="inlineStr">
        <is>
          <t>SEDAL</t>
        </is>
      </c>
      <c r="F234" s="2" t="n">
        <v>3900</v>
      </c>
      <c r="G234" s="2" t="n">
        <v>322314</v>
      </c>
      <c r="H234" s="2" t="b">
        <v>1</v>
      </c>
      <c r="I234" s="2" t="n">
        <v>190</v>
      </c>
      <c r="J234" s="2" t="n">
        <v>20.5263</v>
      </c>
      <c r="K234" s="2" t="inlineStr">
        <is>
          <t>&gt; Perfumería &gt; Cuidado Capilar &gt; Acondicionador &gt;</t>
        </is>
      </c>
      <c r="L234" s="2" t="inlineStr">
        <is>
          <t>acondicionador</t>
        </is>
      </c>
      <c r="M234" s="2" t="inlineStr">
        <is>
          <t>estandar</t>
        </is>
      </c>
      <c r="N234" s="2" t="inlineStr">
        <is>
          <t>general</t>
        </is>
      </c>
      <c r="O234" s="2" t="inlineStr">
        <is>
          <t>https://www.jumbo.com.ar/acondicionador-luminous-uv-x-190-ml-sedal-2/p</t>
        </is>
      </c>
      <c r="P234" s="4">
        <f>TRIM(CLEAN(PROPER(D234)))</f>
        <v/>
      </c>
      <c r="Q234" s="4">
        <f>PROPER(TRIM(SUBSTITUTE(SUBSTITUTE(SUBSTITUTE(SUBSTITUTE(E234,"TRESEMME","Tresemme"),"HEAD &amp; SHOULDERS","Head &amp; Shoulders"),"ELVIVE","Elvive"),"FRUCTIS","Fructis")))</f>
        <v/>
      </c>
      <c r="R234" s="4">
        <f>COUNTIF($D$2:$D$10000,D234)&gt;1</f>
        <v/>
      </c>
      <c r="S234" s="4">
        <f>IF(H234=TRUE,"Disponible","No disponible")</f>
        <v/>
      </c>
      <c r="T234" s="4">
        <f>IF(AND(ISNUMBER(I234),I234&gt;0),ROUND(F234/I234,2),"Sin volumen")</f>
        <v/>
      </c>
      <c r="U234" s="4">
        <f>IF(F234&lt;5000,"Bajo",IF(F234&lt;15000,"Medio","Alto"))</f>
        <v/>
      </c>
    </row>
    <row r="235">
      <c r="A235" t="inlineStr">
        <is>
          <t>Jumbo</t>
        </is>
      </c>
      <c r="B235" t="n">
        <v>397907</v>
      </c>
      <c r="C235" t="n">
        <v>395642</v>
      </c>
      <c r="D235" t="inlineStr">
        <is>
          <t>Acondicionador Restauracion Instantanea 650 Ml Sedal</t>
        </is>
      </c>
      <c r="E235" t="inlineStr">
        <is>
          <t>SEDAL</t>
        </is>
      </c>
      <c r="F235" t="n">
        <v>9350</v>
      </c>
      <c r="G235" t="n">
        <v>772727</v>
      </c>
      <c r="H235" t="b">
        <v>1</v>
      </c>
      <c r="I235" t="n">
        <v>650</v>
      </c>
      <c r="J235" t="n">
        <v>14.3846</v>
      </c>
      <c r="K235" t="inlineStr">
        <is>
          <t>&gt; Perfumería &gt; Cuidado Capilar &gt; Acondicionador &gt;</t>
        </is>
      </c>
      <c r="L235" t="inlineStr">
        <is>
          <t>acondicionador</t>
        </is>
      </c>
      <c r="M235" t="inlineStr">
        <is>
          <t>estandar</t>
        </is>
      </c>
      <c r="N235" t="inlineStr">
        <is>
          <t>general</t>
        </is>
      </c>
      <c r="O235" t="inlineStr">
        <is>
          <t>https://www.jumbo.com.ar/acondicionador-restauracion-instantanea-650-ml-sedal/p</t>
        </is>
      </c>
      <c r="P235">
        <f>TRIM(CLEAN(PROPER(D235)))</f>
        <v/>
      </c>
      <c r="Q235">
        <f>PROPER(TRIM(SUBSTITUTE(SUBSTITUTE(SUBSTITUTE(SUBSTITUTE(E235,"TRESEMME","Tresemme"),"HEAD &amp; SHOULDERS","Head &amp; Shoulders"),"ELVIVE","Elvive"),"FRUCTIS","Fructis")))</f>
        <v/>
      </c>
      <c r="R235">
        <f>COUNTIF($D$2:$D$10000,D235)&gt;1</f>
        <v/>
      </c>
      <c r="S235">
        <f>IF(H235=TRUE,"Disponible","No disponible")</f>
        <v/>
      </c>
      <c r="T235">
        <f>IF(AND(ISNUMBER(I235),I235&gt;0),ROUND(F235/I235,2),"Sin volumen")</f>
        <v/>
      </c>
      <c r="U235">
        <f>IF(F235&lt;5000,"Bajo",IF(F235&lt;15000,"Medio","Alto"))</f>
        <v/>
      </c>
    </row>
    <row r="236">
      <c r="A236" s="2" t="inlineStr">
        <is>
          <t>Jumbo</t>
        </is>
      </c>
      <c r="B236" s="2" t="n">
        <v>413326</v>
      </c>
      <c r="C236" s="2" t="n">
        <v>409131</v>
      </c>
      <c r="D236" s="2" t="inlineStr">
        <is>
          <t>Acondicionador Cauterización Reparadora 250 Ml Tresemmé</t>
        </is>
      </c>
      <c r="E236" s="2" t="inlineStr">
        <is>
          <t>TRESEMMÉ</t>
        </is>
      </c>
      <c r="F236" s="2" t="n">
        <v>6200</v>
      </c>
      <c r="G236" s="2" t="n">
        <v>512397</v>
      </c>
      <c r="H236" s="2" t="b">
        <v>1</v>
      </c>
      <c r="I236" s="2" t="n">
        <v>250</v>
      </c>
      <c r="J236" s="2" t="n">
        <v>24.8</v>
      </c>
      <c r="K236" s="2" t="inlineStr">
        <is>
          <t>&gt; Perfumería &gt; Cuidado Capilar &gt; Acondicionador &gt;</t>
        </is>
      </c>
      <c r="L236" s="2" t="inlineStr">
        <is>
          <t>acondicionador</t>
        </is>
      </c>
      <c r="M236" s="2" t="inlineStr">
        <is>
          <t>estandar</t>
        </is>
      </c>
      <c r="N236" s="2" t="inlineStr">
        <is>
          <t>general</t>
        </is>
      </c>
      <c r="O236" s="2" t="inlineStr">
        <is>
          <t>https://www.jumbo.com.ar/acondicionador-tresemme-cauterizacion-reparadora-250-ml/p</t>
        </is>
      </c>
      <c r="P236" s="4">
        <f>TRIM(CLEAN(PROPER(D236)))</f>
        <v/>
      </c>
      <c r="Q236" s="4">
        <f>PROPER(TRIM(SUBSTITUTE(SUBSTITUTE(SUBSTITUTE(SUBSTITUTE(E236,"TRESEMME","Tresemme"),"HEAD &amp; SHOULDERS","Head &amp; Shoulders"),"ELVIVE","Elvive"),"FRUCTIS","Fructis")))</f>
        <v/>
      </c>
      <c r="R236" s="4">
        <f>COUNTIF($D$2:$D$10000,D236)&gt;1</f>
        <v/>
      </c>
      <c r="S236" s="4">
        <f>IF(H236=TRUE,"Disponible","No disponible")</f>
        <v/>
      </c>
      <c r="T236" s="4">
        <f>IF(AND(ISNUMBER(I236),I236&gt;0),ROUND(F236/I236,2),"Sin volumen")</f>
        <v/>
      </c>
      <c r="U236" s="4">
        <f>IF(F236&lt;5000,"Bajo",IF(F236&lt;15000,"Medio","Alto"))</f>
        <v/>
      </c>
    </row>
    <row r="237">
      <c r="A237" t="inlineStr">
        <is>
          <t>Jumbo</t>
        </is>
      </c>
      <c r="B237" t="n">
        <v>397925</v>
      </c>
      <c r="C237" t="n">
        <v>395660</v>
      </c>
      <c r="D237" t="inlineStr">
        <is>
          <t>Acondicionador Crema Balance 650 Ml Sedal</t>
        </is>
      </c>
      <c r="E237" t="inlineStr">
        <is>
          <t>SEDAL</t>
        </is>
      </c>
      <c r="F237" t="n">
        <v>9350</v>
      </c>
      <c r="G237" t="n">
        <v>772727</v>
      </c>
      <c r="H237" t="b">
        <v>1</v>
      </c>
      <c r="I237" t="n">
        <v>650</v>
      </c>
      <c r="J237" t="n">
        <v>14.3846</v>
      </c>
      <c r="K237" t="inlineStr">
        <is>
          <t>&gt; Perfumería &gt; Cuidado Capilar &gt; Acondicionador &gt;</t>
        </is>
      </c>
      <c r="L237" t="inlineStr">
        <is>
          <t>acondicionador</t>
        </is>
      </c>
      <c r="M237" t="inlineStr">
        <is>
          <t>estandar</t>
        </is>
      </c>
      <c r="N237" t="inlineStr">
        <is>
          <t>general</t>
        </is>
      </c>
      <c r="O237" t="inlineStr">
        <is>
          <t>https://www.jumbo.com.ar/acondicionador-sedal-crema-balance-650-ml-3/p</t>
        </is>
      </c>
      <c r="P237">
        <f>TRIM(CLEAN(PROPER(D237)))</f>
        <v/>
      </c>
      <c r="Q237">
        <f>PROPER(TRIM(SUBSTITUTE(SUBSTITUTE(SUBSTITUTE(SUBSTITUTE(E237,"TRESEMME","Tresemme"),"HEAD &amp; SHOULDERS","Head &amp; Shoulders"),"ELVIVE","Elvive"),"FRUCTIS","Fructis")))</f>
        <v/>
      </c>
      <c r="R237">
        <f>COUNTIF($D$2:$D$10000,D237)&gt;1</f>
        <v/>
      </c>
      <c r="S237">
        <f>IF(H237=TRUE,"Disponible","No disponible")</f>
        <v/>
      </c>
      <c r="T237">
        <f>IF(AND(ISNUMBER(I237),I237&gt;0),ROUND(F237/I237,2),"Sin volumen")</f>
        <v/>
      </c>
      <c r="U237">
        <f>IF(F237&lt;5000,"Bajo",IF(F237&lt;15000,"Medio","Alto"))</f>
        <v/>
      </c>
    </row>
    <row r="238">
      <c r="A238" s="2" t="inlineStr">
        <is>
          <t>Jumbo</t>
        </is>
      </c>
      <c r="B238" s="2" t="n">
        <v>393378</v>
      </c>
      <c r="C238" s="2" t="n">
        <v>391406</v>
      </c>
      <c r="D238" s="2" t="inlineStr">
        <is>
          <t>Acondicionador Crema Balance 190 Ml Sedal</t>
        </is>
      </c>
      <c r="E238" s="2" t="inlineStr">
        <is>
          <t>SEDAL</t>
        </is>
      </c>
      <c r="F238" s="2" t="n">
        <v>3900</v>
      </c>
      <c r="G238" s="2" t="n">
        <v>322314</v>
      </c>
      <c r="H238" s="2" t="b">
        <v>1</v>
      </c>
      <c r="I238" s="2" t="n">
        <v>190</v>
      </c>
      <c r="J238" s="2" t="n">
        <v>20.5263</v>
      </c>
      <c r="K238" s="2" t="inlineStr">
        <is>
          <t>&gt; Perfumería &gt; Cuidado Capilar &gt; Acondicionador &gt;</t>
        </is>
      </c>
      <c r="L238" s="2" t="inlineStr">
        <is>
          <t>acondicionador</t>
        </is>
      </c>
      <c r="M238" s="2" t="inlineStr">
        <is>
          <t>estandar</t>
        </is>
      </c>
      <c r="N238" s="2" t="inlineStr">
        <is>
          <t>general</t>
        </is>
      </c>
      <c r="O238" s="2" t="inlineStr">
        <is>
          <t>https://www.jumbo.com.ar/acondicionador-crema-balance-190-ml-sedal/p</t>
        </is>
      </c>
      <c r="P238" s="4">
        <f>TRIM(CLEAN(PROPER(D238)))</f>
        <v/>
      </c>
      <c r="Q238" s="4">
        <f>PROPER(TRIM(SUBSTITUTE(SUBSTITUTE(SUBSTITUTE(SUBSTITUTE(E238,"TRESEMME","Tresemme"),"HEAD &amp; SHOULDERS","Head &amp; Shoulders"),"ELVIVE","Elvive"),"FRUCTIS","Fructis")))</f>
        <v/>
      </c>
      <c r="R238" s="4">
        <f>COUNTIF($D$2:$D$10000,D238)&gt;1</f>
        <v/>
      </c>
      <c r="S238" s="4">
        <f>IF(H238=TRUE,"Disponible","No disponible")</f>
        <v/>
      </c>
      <c r="T238" s="4">
        <f>IF(AND(ISNUMBER(I238),I238&gt;0),ROUND(F238/I238,2),"Sin volumen")</f>
        <v/>
      </c>
      <c r="U238" s="4">
        <f>IF(F238&lt;5000,"Bajo",IF(F238&lt;15000,"Medio","Alto"))</f>
        <v/>
      </c>
    </row>
    <row r="239">
      <c r="A239" t="inlineStr">
        <is>
          <t>Jumbo</t>
        </is>
      </c>
      <c r="B239" t="n">
        <v>393569</v>
      </c>
      <c r="C239" t="n">
        <v>391597</v>
      </c>
      <c r="D239" t="inlineStr">
        <is>
          <t>Acondicionador Dove Reconstrucción Completa 400 Ml</t>
        </is>
      </c>
      <c r="E239" t="inlineStr">
        <is>
          <t>DOVE</t>
        </is>
      </c>
      <c r="F239" t="n">
        <v>9150</v>
      </c>
      <c r="G239" t="n">
        <v>756198</v>
      </c>
      <c r="H239" t="b">
        <v>1</v>
      </c>
      <c r="I239" t="n">
        <v>400</v>
      </c>
      <c r="J239" t="n">
        <v>22.875</v>
      </c>
      <c r="K239" t="inlineStr">
        <is>
          <t>&gt; Perfumería &gt; Cuidado Capilar &gt; Acondicionador &gt;</t>
        </is>
      </c>
      <c r="L239" t="inlineStr">
        <is>
          <t>acondicionador</t>
        </is>
      </c>
      <c r="M239" t="inlineStr">
        <is>
          <t>estandar</t>
        </is>
      </c>
      <c r="N239" t="inlineStr">
        <is>
          <t>general</t>
        </is>
      </c>
      <c r="O239" t="inlineStr">
        <is>
          <t>https://www.jumbo.com.ar/acondicionador-dove-reconstruccion-completa-400-ml-3/p</t>
        </is>
      </c>
      <c r="P239">
        <f>TRIM(CLEAN(PROPER(D239)))</f>
        <v/>
      </c>
      <c r="Q239">
        <f>PROPER(TRIM(SUBSTITUTE(SUBSTITUTE(SUBSTITUTE(SUBSTITUTE(E239,"TRESEMME","Tresemme"),"HEAD &amp; SHOULDERS","Head &amp; Shoulders"),"ELVIVE","Elvive"),"FRUCTIS","Fructis")))</f>
        <v/>
      </c>
      <c r="R239">
        <f>COUNTIF($D$2:$D$10000,D239)&gt;1</f>
        <v/>
      </c>
      <c r="S239">
        <f>IF(H239=TRUE,"Disponible","No disponible")</f>
        <v/>
      </c>
      <c r="T239">
        <f>IF(AND(ISNUMBER(I239),I239&gt;0),ROUND(F239/I239,2),"Sin volumen")</f>
        <v/>
      </c>
      <c r="U239">
        <f>IF(F239&lt;5000,"Bajo",IF(F239&lt;15000,"Medio","Alto"))</f>
        <v/>
      </c>
    </row>
    <row r="240">
      <c r="A240" s="2" t="inlineStr">
        <is>
          <t>Jumbo</t>
        </is>
      </c>
      <c r="B240" s="2" t="n">
        <v>400612</v>
      </c>
      <c r="C240" s="2" t="n">
        <v>397950</v>
      </c>
      <c r="D240" s="2" t="inlineStr">
        <is>
          <t>Acondicionador Hidra Hialurónico 400 Ml Elvive</t>
        </is>
      </c>
      <c r="E240" s="2" t="inlineStr">
        <is>
          <t>ELVIVE</t>
        </is>
      </c>
      <c r="F240" s="2" t="n">
        <v>12050</v>
      </c>
      <c r="G240" s="2" t="n">
        <v>995868</v>
      </c>
      <c r="H240" s="2" t="b">
        <v>1</v>
      </c>
      <c r="I240" s="2" t="n">
        <v>400</v>
      </c>
      <c r="J240" s="2" t="n">
        <v>30.125</v>
      </c>
      <c r="K240" s="2" t="inlineStr">
        <is>
          <t>&gt; Perfumería &gt; Cuidado Capilar &gt; Acondicionador &gt;</t>
        </is>
      </c>
      <c r="L240" s="2" t="inlineStr">
        <is>
          <t>acondicionador</t>
        </is>
      </c>
      <c r="M240" s="2" t="inlineStr">
        <is>
          <t>profesional</t>
        </is>
      </c>
      <c r="N240" s="2" t="inlineStr">
        <is>
          <t>general</t>
        </is>
      </c>
      <c r="O240" s="2" t="inlineStr">
        <is>
          <t>https://www.jumbo.com.ar/acondicionador-elvive-loreal-paris-hidra-hialuronico-400-ml/p</t>
        </is>
      </c>
      <c r="P240" s="4">
        <f>TRIM(CLEAN(PROPER(D240)))</f>
        <v/>
      </c>
      <c r="Q240" s="4">
        <f>PROPER(TRIM(SUBSTITUTE(SUBSTITUTE(SUBSTITUTE(SUBSTITUTE(E240,"TRESEMME","Tresemme"),"HEAD &amp; SHOULDERS","Head &amp; Shoulders"),"ELVIVE","Elvive"),"FRUCTIS","Fructis")))</f>
        <v/>
      </c>
      <c r="R240" s="4">
        <f>COUNTIF($D$2:$D$10000,D240)&gt;1</f>
        <v/>
      </c>
      <c r="S240" s="4">
        <f>IF(H240=TRUE,"Disponible","No disponible")</f>
        <v/>
      </c>
      <c r="T240" s="4">
        <f>IF(AND(ISNUMBER(I240),I240&gt;0),ROUND(F240/I240,2),"Sin volumen")</f>
        <v/>
      </c>
      <c r="U240" s="4">
        <f>IF(F240&lt;5000,"Bajo",IF(F240&lt;15000,"Medio","Alto"))</f>
        <v/>
      </c>
    </row>
    <row r="241">
      <c r="A241" t="inlineStr">
        <is>
          <t>Jumbo</t>
        </is>
      </c>
      <c r="B241" t="n">
        <v>407565</v>
      </c>
      <c r="C241" t="n">
        <v>403754</v>
      </c>
      <c r="D241" t="inlineStr">
        <is>
          <t>Acondicionador Elvive Reparación Total 400 Ml</t>
        </is>
      </c>
      <c r="E241" t="inlineStr">
        <is>
          <t>ELVIVE</t>
        </is>
      </c>
      <c r="F241" t="n">
        <v>12050</v>
      </c>
      <c r="G241" t="n">
        <v>995868</v>
      </c>
      <c r="H241" t="b">
        <v>1</v>
      </c>
      <c r="I241" t="n">
        <v>400</v>
      </c>
      <c r="J241" t="n">
        <v>30.125</v>
      </c>
      <c r="K241" t="inlineStr">
        <is>
          <t>&gt; Perfumería &gt; Cuidado Capilar &gt; Acondicionador &gt;</t>
        </is>
      </c>
      <c r="L241" t="inlineStr">
        <is>
          <t>acondicionador</t>
        </is>
      </c>
      <c r="M241" t="inlineStr">
        <is>
          <t>profesional</t>
        </is>
      </c>
      <c r="N241" t="inlineStr">
        <is>
          <t>general</t>
        </is>
      </c>
      <c r="O241" t="inlineStr">
        <is>
          <t>https://www.jumbo.com.ar/acondicionador-elvive-reparacion-total-400-ml/p</t>
        </is>
      </c>
      <c r="P241">
        <f>TRIM(CLEAN(PROPER(D241)))</f>
        <v/>
      </c>
      <c r="Q241">
        <f>PROPER(TRIM(SUBSTITUTE(SUBSTITUTE(SUBSTITUTE(SUBSTITUTE(E241,"TRESEMME","Tresemme"),"HEAD &amp; SHOULDERS","Head &amp; Shoulders"),"ELVIVE","Elvive"),"FRUCTIS","Fructis")))</f>
        <v/>
      </c>
      <c r="R241">
        <f>COUNTIF($D$2:$D$10000,D241)&gt;1</f>
        <v/>
      </c>
      <c r="S241">
        <f>IF(H241=TRUE,"Disponible","No disponible")</f>
        <v/>
      </c>
      <c r="T241">
        <f>IF(AND(ISNUMBER(I241),I241&gt;0),ROUND(F241/I241,2),"Sin volumen")</f>
        <v/>
      </c>
      <c r="U241">
        <f>IF(F241&lt;5000,"Bajo",IF(F241&lt;15000,"Medio","Alto"))</f>
        <v/>
      </c>
    </row>
    <row r="242">
      <c r="A242" s="2" t="inlineStr">
        <is>
          <t>Jumbo</t>
        </is>
      </c>
      <c r="B242" s="2" t="n">
        <v>397623</v>
      </c>
      <c r="C242" s="2" t="n">
        <v>395356</v>
      </c>
      <c r="D242" s="2" t="inlineStr">
        <is>
          <t>Acondicionador Hialurónico Pure 400 Ml Elvive</t>
        </is>
      </c>
      <c r="E242" s="2" t="inlineStr">
        <is>
          <t>ELVIVE</t>
        </is>
      </c>
      <c r="F242" s="2" t="n">
        <v>12050</v>
      </c>
      <c r="G242" s="2" t="n">
        <v>995868</v>
      </c>
      <c r="H242" s="2" t="b">
        <v>1</v>
      </c>
      <c r="I242" s="2" t="n">
        <v>400</v>
      </c>
      <c r="J242" s="2" t="n">
        <v>30.125</v>
      </c>
      <c r="K242" s="2" t="inlineStr">
        <is>
          <t>&gt; Perfumería &gt; Cuidado Capilar &gt; Acondicionador &gt;</t>
        </is>
      </c>
      <c r="L242" s="2" t="inlineStr">
        <is>
          <t>acondicionador</t>
        </is>
      </c>
      <c r="M242" s="2" t="inlineStr">
        <is>
          <t>profesional</t>
        </is>
      </c>
      <c r="N242" s="2" t="inlineStr">
        <is>
          <t>general</t>
        </is>
      </c>
      <c r="O242" s="2" t="inlineStr">
        <is>
          <t>https://www.jumbo.com.ar/acondicionador-elvive-hialuronico-pure-400-ml/p</t>
        </is>
      </c>
      <c r="P242" s="4">
        <f>TRIM(CLEAN(PROPER(D242)))</f>
        <v/>
      </c>
      <c r="Q242" s="4">
        <f>PROPER(TRIM(SUBSTITUTE(SUBSTITUTE(SUBSTITUTE(SUBSTITUTE(E242,"TRESEMME","Tresemme"),"HEAD &amp; SHOULDERS","Head &amp; Shoulders"),"ELVIVE","Elvive"),"FRUCTIS","Fructis")))</f>
        <v/>
      </c>
      <c r="R242" s="4">
        <f>COUNTIF($D$2:$D$10000,D242)&gt;1</f>
        <v/>
      </c>
      <c r="S242" s="4">
        <f>IF(H242=TRUE,"Disponible","No disponible")</f>
        <v/>
      </c>
      <c r="T242" s="4">
        <f>IF(AND(ISNUMBER(I242),I242&gt;0),ROUND(F242/I242,2),"Sin volumen")</f>
        <v/>
      </c>
      <c r="U242" s="4">
        <f>IF(F242&lt;5000,"Bajo",IF(F242&lt;15000,"Medio","Alto"))</f>
        <v/>
      </c>
    </row>
    <row r="243">
      <c r="A243" t="inlineStr">
        <is>
          <t>Jumbo</t>
        </is>
      </c>
      <c r="B243" t="n">
        <v>3078384</v>
      </c>
      <c r="C243" t="n">
        <v>3077728</v>
      </c>
      <c r="D243" t="inlineStr">
        <is>
          <t>Acondicionador Dove Bond Uv Repair 250ml</t>
        </is>
      </c>
      <c r="E243" t="inlineStr">
        <is>
          <t>DOVE</t>
        </is>
      </c>
      <c r="F243" t="n">
        <v>9450</v>
      </c>
      <c r="G243" t="n">
        <v>780992</v>
      </c>
      <c r="H243" t="b">
        <v>1</v>
      </c>
      <c r="I243" t="n">
        <v>250</v>
      </c>
      <c r="J243" t="n">
        <v>37.8</v>
      </c>
      <c r="K243" t="inlineStr">
        <is>
          <t>&gt; Perfumería &gt; Cuidado Capilar &gt; Acondicionador &gt;</t>
        </is>
      </c>
      <c r="L243" t="inlineStr">
        <is>
          <t>acondicionador</t>
        </is>
      </c>
      <c r="M243" t="inlineStr">
        <is>
          <t>profesional</t>
        </is>
      </c>
      <c r="N243" t="inlineStr">
        <is>
          <t>general</t>
        </is>
      </c>
      <c r="O243" t="inlineStr">
        <is>
          <t>https://www.jumbo.com.ar/acondicionador-dove-bond-uv-repair-250ml/p</t>
        </is>
      </c>
      <c r="P243">
        <f>TRIM(CLEAN(PROPER(D243)))</f>
        <v/>
      </c>
      <c r="Q243">
        <f>PROPER(TRIM(SUBSTITUTE(SUBSTITUTE(SUBSTITUTE(SUBSTITUTE(E243,"TRESEMME","Tresemme"),"HEAD &amp; SHOULDERS","Head &amp; Shoulders"),"ELVIVE","Elvive"),"FRUCTIS","Fructis")))</f>
        <v/>
      </c>
      <c r="R243">
        <f>COUNTIF($D$2:$D$10000,D243)&gt;1</f>
        <v/>
      </c>
      <c r="S243">
        <f>IF(H243=TRUE,"Disponible","No disponible")</f>
        <v/>
      </c>
      <c r="T243">
        <f>IF(AND(ISNUMBER(I243),I243&gt;0),ROUND(F243/I243,2),"Sin volumen")</f>
        <v/>
      </c>
      <c r="U243">
        <f>IF(F243&lt;5000,"Bajo",IF(F243&lt;15000,"Medio","Alto"))</f>
        <v/>
      </c>
    </row>
    <row r="244">
      <c r="A244" s="2" t="inlineStr">
        <is>
          <t>Jumbo</t>
        </is>
      </c>
      <c r="B244" s="2" t="n">
        <v>411255</v>
      </c>
      <c r="C244" s="2" t="n">
        <v>407095</v>
      </c>
      <c r="D244" s="2" t="inlineStr">
        <is>
          <t>Acondicionador Prebioticos Biotina 650 Ml Sedal</t>
        </is>
      </c>
      <c r="E244" s="2" t="inlineStr">
        <is>
          <t>SEDAL</t>
        </is>
      </c>
      <c r="F244" s="2" t="n">
        <v>9350</v>
      </c>
      <c r="G244" s="2" t="n">
        <v>772727</v>
      </c>
      <c r="H244" s="2" t="b">
        <v>1</v>
      </c>
      <c r="I244" s="2" t="n">
        <v>650</v>
      </c>
      <c r="J244" s="2" t="n">
        <v>14.3846</v>
      </c>
      <c r="K244" s="2" t="inlineStr">
        <is>
          <t>&gt; Perfumería &gt; Cuidado Capilar &gt; Acondicionador &gt;</t>
        </is>
      </c>
      <c r="L244" s="2" t="inlineStr">
        <is>
          <t>acondicionador</t>
        </is>
      </c>
      <c r="M244" s="2" t="inlineStr">
        <is>
          <t>estandar</t>
        </is>
      </c>
      <c r="N244" s="2" t="inlineStr">
        <is>
          <t>general</t>
        </is>
      </c>
      <c r="O244" s="2" t="inlineStr">
        <is>
          <t>https://www.jumbo.com.ar/acondicionador-prebioticos-biotina-650-ml-sedal/p</t>
        </is>
      </c>
      <c r="P244" s="4">
        <f>TRIM(CLEAN(PROPER(D244)))</f>
        <v/>
      </c>
      <c r="Q244" s="4">
        <f>PROPER(TRIM(SUBSTITUTE(SUBSTITUTE(SUBSTITUTE(SUBSTITUTE(E244,"TRESEMME","Tresemme"),"HEAD &amp; SHOULDERS","Head &amp; Shoulders"),"ELVIVE","Elvive"),"FRUCTIS","Fructis")))</f>
        <v/>
      </c>
      <c r="R244" s="4">
        <f>COUNTIF($D$2:$D$10000,D244)&gt;1</f>
        <v/>
      </c>
      <c r="S244" s="4">
        <f>IF(H244=TRUE,"Disponible","No disponible")</f>
        <v/>
      </c>
      <c r="T244" s="4">
        <f>IF(AND(ISNUMBER(I244),I244&gt;0),ROUND(F244/I244,2),"Sin volumen")</f>
        <v/>
      </c>
      <c r="U244" s="4">
        <f>IF(F244&lt;5000,"Bajo",IF(F244&lt;15000,"Medio","Alto"))</f>
        <v/>
      </c>
    </row>
    <row r="245">
      <c r="A245" t="inlineStr">
        <is>
          <t>Jumbo</t>
        </is>
      </c>
      <c r="B245" t="n">
        <v>411254</v>
      </c>
      <c r="C245" t="n">
        <v>407094</v>
      </c>
      <c r="D245" t="inlineStr">
        <is>
          <t>Acondicionador Prebióticos Biotina 340 Ml Sedal</t>
        </is>
      </c>
      <c r="E245" t="inlineStr">
        <is>
          <t>SEDAL</t>
        </is>
      </c>
      <c r="F245" t="n">
        <v>5600</v>
      </c>
      <c r="G245" t="n">
        <v>462810</v>
      </c>
      <c r="H245" t="b">
        <v>1</v>
      </c>
      <c r="I245" t="n">
        <v>340</v>
      </c>
      <c r="J245" t="n">
        <v>16.4706</v>
      </c>
      <c r="K245" t="inlineStr">
        <is>
          <t>&gt; Perfumería &gt; Cuidado Capilar &gt; Acondicionador &gt;</t>
        </is>
      </c>
      <c r="L245" t="inlineStr">
        <is>
          <t>acondicionador</t>
        </is>
      </c>
      <c r="M245" t="inlineStr">
        <is>
          <t>estandar</t>
        </is>
      </c>
      <c r="N245" t="inlineStr">
        <is>
          <t>general</t>
        </is>
      </c>
      <c r="O245" t="inlineStr">
        <is>
          <t>https://www.jumbo.com.ar/acondicionador-prebioticos-biotina-340-ml-sedal/p</t>
        </is>
      </c>
      <c r="P245">
        <f>TRIM(CLEAN(PROPER(D245)))</f>
        <v/>
      </c>
      <c r="Q245">
        <f>PROPER(TRIM(SUBSTITUTE(SUBSTITUTE(SUBSTITUTE(SUBSTITUTE(E245,"TRESEMME","Tresemme"),"HEAD &amp; SHOULDERS","Head &amp; Shoulders"),"ELVIVE","Elvive"),"FRUCTIS","Fructis")))</f>
        <v/>
      </c>
      <c r="R245">
        <f>COUNTIF($D$2:$D$10000,D245)&gt;1</f>
        <v/>
      </c>
      <c r="S245">
        <f>IF(H245=TRUE,"Disponible","No disponible")</f>
        <v/>
      </c>
      <c r="T245">
        <f>IF(AND(ISNUMBER(I245),I245&gt;0),ROUND(F245/I245,2),"Sin volumen")</f>
        <v/>
      </c>
      <c r="U245">
        <f>IF(F245&lt;5000,"Bajo",IF(F245&lt;15000,"Medio","Alto"))</f>
        <v/>
      </c>
    </row>
    <row r="246">
      <c r="A246" s="2" t="inlineStr">
        <is>
          <t>Jumbo</t>
        </is>
      </c>
      <c r="B246" s="2" t="n">
        <v>397629</v>
      </c>
      <c r="C246" s="2" t="n">
        <v>395362</v>
      </c>
      <c r="D246" s="2" t="inlineStr">
        <is>
          <t>Acondicionador Elvive Hialuronico Pure 200 Ml</t>
        </is>
      </c>
      <c r="E246" s="2" t="inlineStr">
        <is>
          <t>ELVIVE</t>
        </is>
      </c>
      <c r="F246" s="2" t="n">
        <v>7450</v>
      </c>
      <c r="G246" s="2" t="n">
        <v>615702</v>
      </c>
      <c r="H246" s="2" t="b">
        <v>1</v>
      </c>
      <c r="I246" s="2" t="n">
        <v>200</v>
      </c>
      <c r="J246" s="2" t="n">
        <v>37.25</v>
      </c>
      <c r="K246" s="2" t="inlineStr">
        <is>
          <t>&gt; Perfumería &gt; Cuidado Capilar &gt; Acondicionador &gt;</t>
        </is>
      </c>
      <c r="L246" s="2" t="inlineStr">
        <is>
          <t>acondicionador</t>
        </is>
      </c>
      <c r="M246" s="2" t="inlineStr">
        <is>
          <t>profesional</t>
        </is>
      </c>
      <c r="N246" s="2" t="inlineStr">
        <is>
          <t>general</t>
        </is>
      </c>
      <c r="O246" s="2" t="inlineStr">
        <is>
          <t>https://www.jumbo.com.ar/acondicionador-elvive-hialuronico-pure-200-ml/p</t>
        </is>
      </c>
      <c r="P246" s="4">
        <f>TRIM(CLEAN(PROPER(D246)))</f>
        <v/>
      </c>
      <c r="Q246" s="4">
        <f>PROPER(TRIM(SUBSTITUTE(SUBSTITUTE(SUBSTITUTE(SUBSTITUTE(E246,"TRESEMME","Tresemme"),"HEAD &amp; SHOULDERS","Head &amp; Shoulders"),"ELVIVE","Elvive"),"FRUCTIS","Fructis")))</f>
        <v/>
      </c>
      <c r="R246" s="4">
        <f>COUNTIF($D$2:$D$10000,D246)&gt;1</f>
        <v/>
      </c>
      <c r="S246" s="4">
        <f>IF(H246=TRUE,"Disponible","No disponible")</f>
        <v/>
      </c>
      <c r="T246" s="4">
        <f>IF(AND(ISNUMBER(I246),I246&gt;0),ROUND(F246/I246,2),"Sin volumen")</f>
        <v/>
      </c>
      <c r="U246" s="4">
        <f>IF(F246&lt;5000,"Bajo",IF(F246&lt;15000,"Medio","Alto"))</f>
        <v/>
      </c>
    </row>
    <row r="247">
      <c r="A247" t="inlineStr">
        <is>
          <t>Jumbo</t>
        </is>
      </c>
      <c r="B247" t="n">
        <v>3079031</v>
      </c>
      <c r="C247" t="n">
        <v>3078355</v>
      </c>
      <c r="D247" t="inlineStr">
        <is>
          <t>Acondicionador Herbal Essences Rosa Mosqueta 240ml</t>
        </is>
      </c>
      <c r="E247" t="inlineStr">
        <is>
          <t>HERBAL ESSENCES</t>
        </is>
      </c>
      <c r="F247" t="n">
        <v>13100</v>
      </c>
      <c r="G247" t="n">
        <v>1082645</v>
      </c>
      <c r="H247" t="b">
        <v>1</v>
      </c>
      <c r="I247" t="n">
        <v>240</v>
      </c>
      <c r="J247" t="n">
        <v>54.5833</v>
      </c>
      <c r="K247" t="inlineStr">
        <is>
          <t>&gt; Perfumería &gt; Cuidado Capilar &gt; Acondicionador &gt;</t>
        </is>
      </c>
      <c r="L247" t="inlineStr">
        <is>
          <t>acondicionador</t>
        </is>
      </c>
      <c r="M247" t="inlineStr">
        <is>
          <t>estandar</t>
        </is>
      </c>
      <c r="N247" t="inlineStr">
        <is>
          <t>general</t>
        </is>
      </c>
      <c r="O247" t="inlineStr">
        <is>
          <t>https://www.jumbo.com.ar/acondicionador-herbal-essences-rosa-mosqueta-240ml/p</t>
        </is>
      </c>
      <c r="P247">
        <f>TRIM(CLEAN(PROPER(D247)))</f>
        <v/>
      </c>
      <c r="Q247">
        <f>PROPER(TRIM(SUBSTITUTE(SUBSTITUTE(SUBSTITUTE(SUBSTITUTE(E247,"TRESEMME","Tresemme"),"HEAD &amp; SHOULDERS","Head &amp; Shoulders"),"ELVIVE","Elvive"),"FRUCTIS","Fructis")))</f>
        <v/>
      </c>
      <c r="R247">
        <f>COUNTIF($D$2:$D$10000,D247)&gt;1</f>
        <v/>
      </c>
      <c r="S247">
        <f>IF(H247=TRUE,"Disponible","No disponible")</f>
        <v/>
      </c>
      <c r="T247">
        <f>IF(AND(ISNUMBER(I247),I247&gt;0),ROUND(F247/I247,2),"Sin volumen")</f>
        <v/>
      </c>
      <c r="U247">
        <f>IF(F247&lt;5000,"Bajo",IF(F247&lt;15000,"Medio","Alto"))</f>
        <v/>
      </c>
    </row>
    <row r="248">
      <c r="A248" s="2" t="inlineStr">
        <is>
          <t>Jumbo</t>
        </is>
      </c>
      <c r="B248" s="2" t="n">
        <v>413356</v>
      </c>
      <c r="C248" s="2" t="n">
        <v>409215</v>
      </c>
      <c r="D248" s="2" t="inlineStr">
        <is>
          <t>Acondicionador Keratina Antifrizz 250 Ml Tresemmé</t>
        </is>
      </c>
      <c r="E248" s="2" t="inlineStr">
        <is>
          <t>TRESEMMÉ</t>
        </is>
      </c>
      <c r="F248" s="2" t="n">
        <v>6200</v>
      </c>
      <c r="G248" s="2" t="n">
        <v>512397</v>
      </c>
      <c r="H248" s="2" t="b">
        <v>1</v>
      </c>
      <c r="I248" s="2" t="n">
        <v>250</v>
      </c>
      <c r="J248" s="2" t="n">
        <v>24.8</v>
      </c>
      <c r="K248" s="2" t="inlineStr">
        <is>
          <t>&gt; Perfumería &gt; Cuidado Capilar &gt; Acondicionador &gt;</t>
        </is>
      </c>
      <c r="L248" s="2" t="inlineStr">
        <is>
          <t>acondicionador</t>
        </is>
      </c>
      <c r="M248" s="2" t="inlineStr">
        <is>
          <t>estandar</t>
        </is>
      </c>
      <c r="N248" s="2" t="inlineStr">
        <is>
          <t>tratado</t>
        </is>
      </c>
      <c r="O248" s="2" t="inlineStr">
        <is>
          <t>https://www.jumbo.com.ar/acondicionador-keratina-antifrizz-x-250-ml-tresemme/p</t>
        </is>
      </c>
      <c r="P248" s="4">
        <f>TRIM(CLEAN(PROPER(D248)))</f>
        <v/>
      </c>
      <c r="Q248" s="4">
        <f>PROPER(TRIM(SUBSTITUTE(SUBSTITUTE(SUBSTITUTE(SUBSTITUTE(E248,"TRESEMME","Tresemme"),"HEAD &amp; SHOULDERS","Head &amp; Shoulders"),"ELVIVE","Elvive"),"FRUCTIS","Fructis")))</f>
        <v/>
      </c>
      <c r="R248" s="4">
        <f>COUNTIF($D$2:$D$10000,D248)&gt;1</f>
        <v/>
      </c>
      <c r="S248" s="4">
        <f>IF(H248=TRUE,"Disponible","No disponible")</f>
        <v/>
      </c>
      <c r="T248" s="4">
        <f>IF(AND(ISNUMBER(I248),I248&gt;0),ROUND(F248/I248,2),"Sin volumen")</f>
        <v/>
      </c>
      <c r="U248" s="4">
        <f>IF(F248&lt;5000,"Bajo",IF(F248&lt;15000,"Medio","Alto"))</f>
        <v/>
      </c>
    </row>
    <row r="249">
      <c r="A249" t="inlineStr">
        <is>
          <t>Jumbo</t>
        </is>
      </c>
      <c r="B249" t="n">
        <v>397908</v>
      </c>
      <c r="C249" t="n">
        <v>395643</v>
      </c>
      <c r="D249" t="inlineStr">
        <is>
          <t>Acondicionador Restauración Instantánea 340 Ml Sedal</t>
        </is>
      </c>
      <c r="E249" t="inlineStr">
        <is>
          <t>SEDAL</t>
        </is>
      </c>
      <c r="F249" t="n">
        <v>5450</v>
      </c>
      <c r="G249" t="n">
        <v>450413</v>
      </c>
      <c r="H249" t="b">
        <v>1</v>
      </c>
      <c r="I249" t="n">
        <v>340</v>
      </c>
      <c r="J249" t="n">
        <v>16.0294</v>
      </c>
      <c r="K249" t="inlineStr">
        <is>
          <t>&gt; Perfumería &gt; Cuidado Capilar &gt; Acondicionador &gt;</t>
        </is>
      </c>
      <c r="L249" t="inlineStr">
        <is>
          <t>acondicionador</t>
        </is>
      </c>
      <c r="M249" t="inlineStr">
        <is>
          <t>estandar</t>
        </is>
      </c>
      <c r="N249" t="inlineStr">
        <is>
          <t>general</t>
        </is>
      </c>
      <c r="O249" t="inlineStr">
        <is>
          <t>https://www.jumbo.com.ar/acondicionador-restauracion-instantanea-340-ml-sedal/p</t>
        </is>
      </c>
      <c r="P249">
        <f>TRIM(CLEAN(PROPER(D249)))</f>
        <v/>
      </c>
      <c r="Q249">
        <f>PROPER(TRIM(SUBSTITUTE(SUBSTITUTE(SUBSTITUTE(SUBSTITUTE(E249,"TRESEMME","Tresemme"),"HEAD &amp; SHOULDERS","Head &amp; Shoulders"),"ELVIVE","Elvive"),"FRUCTIS","Fructis")))</f>
        <v/>
      </c>
      <c r="R249">
        <f>COUNTIF($D$2:$D$10000,D249)&gt;1</f>
        <v/>
      </c>
      <c r="S249">
        <f>IF(H249=TRUE,"Disponible","No disponible")</f>
        <v/>
      </c>
      <c r="T249">
        <f>IF(AND(ISNUMBER(I249),I249&gt;0),ROUND(F249/I249,2),"Sin volumen")</f>
        <v/>
      </c>
      <c r="U249">
        <f>IF(F249&lt;5000,"Bajo",IF(F249&lt;15000,"Medio","Alto"))</f>
        <v/>
      </c>
    </row>
    <row r="250">
      <c r="A250" s="2" t="inlineStr">
        <is>
          <t>Jumbo</t>
        </is>
      </c>
      <c r="B250" s="2" t="n">
        <v>416917</v>
      </c>
      <c r="C250" s="2" t="n">
        <v>412461</v>
      </c>
      <c r="D250" s="2" t="inlineStr">
        <is>
          <t>Acondicionador Rizos Definidos 190 Ml Sedal</t>
        </is>
      </c>
      <c r="E250" s="2" t="inlineStr">
        <is>
          <t>SEDAL</t>
        </is>
      </c>
      <c r="F250" s="2" t="n">
        <v>3900</v>
      </c>
      <c r="G250" s="2" t="n">
        <v>322314</v>
      </c>
      <c r="H250" s="2" t="b">
        <v>1</v>
      </c>
      <c r="I250" s="2" t="n">
        <v>190</v>
      </c>
      <c r="J250" s="2" t="n">
        <v>20.5263</v>
      </c>
      <c r="K250" s="2" t="inlineStr">
        <is>
          <t>&gt; Perfumería &gt; Cuidado Capilar &gt; Acondicionador &gt;</t>
        </is>
      </c>
      <c r="L250" s="2" t="inlineStr">
        <is>
          <t>acondicionador</t>
        </is>
      </c>
      <c r="M250" s="2" t="inlineStr">
        <is>
          <t>estandar</t>
        </is>
      </c>
      <c r="N250" s="2" t="inlineStr">
        <is>
          <t>rizado</t>
        </is>
      </c>
      <c r="O250" s="2" t="inlineStr">
        <is>
          <t>https://www.jumbo.com.ar/acondicioandor-rizos-definidos-190-ml-sedal/p</t>
        </is>
      </c>
      <c r="P250" s="4">
        <f>TRIM(CLEAN(PROPER(D250)))</f>
        <v/>
      </c>
      <c r="Q250" s="4">
        <f>PROPER(TRIM(SUBSTITUTE(SUBSTITUTE(SUBSTITUTE(SUBSTITUTE(E250,"TRESEMME","Tresemme"),"HEAD &amp; SHOULDERS","Head &amp; Shoulders"),"ELVIVE","Elvive"),"FRUCTIS","Fructis")))</f>
        <v/>
      </c>
      <c r="R250" s="4">
        <f>COUNTIF($D$2:$D$10000,D250)&gt;1</f>
        <v/>
      </c>
      <c r="S250" s="4">
        <f>IF(H250=TRUE,"Disponible","No disponible")</f>
        <v/>
      </c>
      <c r="T250" s="4">
        <f>IF(AND(ISNUMBER(I250),I250&gt;0),ROUND(F250/I250,2),"Sin volumen")</f>
        <v/>
      </c>
      <c r="U250" s="4">
        <f>IF(F250&lt;5000,"Bajo",IF(F250&lt;15000,"Medio","Alto"))</f>
        <v/>
      </c>
    </row>
    <row r="251">
      <c r="A251" t="inlineStr">
        <is>
          <t>Jumbo</t>
        </is>
      </c>
      <c r="B251" t="n">
        <v>393565</v>
      </c>
      <c r="C251" t="n">
        <v>391593</v>
      </c>
      <c r="D251" t="inlineStr">
        <is>
          <t>Acondicionador Dove Regeneración Extrema 400 Ml</t>
        </is>
      </c>
      <c r="E251" t="inlineStr">
        <is>
          <t>DOVE</t>
        </is>
      </c>
      <c r="F251" t="n">
        <v>9150</v>
      </c>
      <c r="G251" t="n">
        <v>756198</v>
      </c>
      <c r="H251" t="b">
        <v>1</v>
      </c>
      <c r="I251" t="n">
        <v>400</v>
      </c>
      <c r="J251" t="n">
        <v>22.875</v>
      </c>
      <c r="K251" t="inlineStr">
        <is>
          <t>&gt; Perfumería &gt; Cuidado Capilar &gt; Acondicionador &gt;</t>
        </is>
      </c>
      <c r="L251" t="inlineStr">
        <is>
          <t>acondicionador</t>
        </is>
      </c>
      <c r="M251" t="inlineStr">
        <is>
          <t>estandar</t>
        </is>
      </c>
      <c r="N251" t="inlineStr">
        <is>
          <t>general</t>
        </is>
      </c>
      <c r="O251" t="inlineStr">
        <is>
          <t>https://www.jumbo.com.ar/acondicionador-dove-regeneracion-extrema-400-ml-3/p</t>
        </is>
      </c>
      <c r="P251">
        <f>TRIM(CLEAN(PROPER(D251)))</f>
        <v/>
      </c>
      <c r="Q251">
        <f>PROPER(TRIM(SUBSTITUTE(SUBSTITUTE(SUBSTITUTE(SUBSTITUTE(E251,"TRESEMME","Tresemme"),"HEAD &amp; SHOULDERS","Head &amp; Shoulders"),"ELVIVE","Elvive"),"FRUCTIS","Fructis")))</f>
        <v/>
      </c>
      <c r="R251">
        <f>COUNTIF($D$2:$D$10000,D251)&gt;1</f>
        <v/>
      </c>
      <c r="S251">
        <f>IF(H251=TRUE,"Disponible","No disponible")</f>
        <v/>
      </c>
      <c r="T251">
        <f>IF(AND(ISNUMBER(I251),I251&gt;0),ROUND(F251/I251,2),"Sin volumen")</f>
        <v/>
      </c>
      <c r="U251">
        <f>IF(F251&lt;5000,"Bajo",IF(F251&lt;15000,"Medio","Alto"))</f>
        <v/>
      </c>
    </row>
    <row r="252">
      <c r="A252" s="2" t="inlineStr">
        <is>
          <t>Jumbo</t>
        </is>
      </c>
      <c r="B252" s="2" t="n">
        <v>3070281</v>
      </c>
      <c r="C252" s="2" t="n">
        <v>3069874</v>
      </c>
      <c r="D252" s="2" t="inlineStr">
        <is>
          <t>Acondicionador Detox Capilar 500 Ml Tresemmé</t>
        </is>
      </c>
      <c r="E252" s="2" t="inlineStr">
        <is>
          <t>TRESEMMÉ</t>
        </is>
      </c>
      <c r="F252" s="2" t="n">
        <v>10700</v>
      </c>
      <c r="G252" s="2" t="n">
        <v>884298</v>
      </c>
      <c r="H252" s="2" t="b">
        <v>1</v>
      </c>
      <c r="I252" s="2" t="n">
        <v>500</v>
      </c>
      <c r="J252" s="2" t="n">
        <v>21.4</v>
      </c>
      <c r="K252" s="2" t="inlineStr">
        <is>
          <t>&gt; Perfumería &gt; Cuidado Capilar &gt; Acondicionador &gt;</t>
        </is>
      </c>
      <c r="L252" s="2" t="inlineStr">
        <is>
          <t>acondicionador</t>
        </is>
      </c>
      <c r="M252" s="2" t="inlineStr">
        <is>
          <t>estandar</t>
        </is>
      </c>
      <c r="N252" s="2" t="inlineStr">
        <is>
          <t>general</t>
        </is>
      </c>
      <c r="O252" s="2" t="inlineStr">
        <is>
          <t>https://www.jumbo.com.ar/acondicionador-detox-capilar-x-500-ml-tresemme-2/p</t>
        </is>
      </c>
      <c r="P252" s="4">
        <f>TRIM(CLEAN(PROPER(D252)))</f>
        <v/>
      </c>
      <c r="Q252" s="4">
        <f>PROPER(TRIM(SUBSTITUTE(SUBSTITUTE(SUBSTITUTE(SUBSTITUTE(E252,"TRESEMME","Tresemme"),"HEAD &amp; SHOULDERS","Head &amp; Shoulders"),"ELVIVE","Elvive"),"FRUCTIS","Fructis")))</f>
        <v/>
      </c>
      <c r="R252" s="4">
        <f>COUNTIF($D$2:$D$10000,D252)&gt;1</f>
        <v/>
      </c>
      <c r="S252" s="4">
        <f>IF(H252=TRUE,"Disponible","No disponible")</f>
        <v/>
      </c>
      <c r="T252" s="4">
        <f>IF(AND(ISNUMBER(I252),I252&gt;0),ROUND(F252/I252,2),"Sin volumen")</f>
        <v/>
      </c>
      <c r="U252" s="4">
        <f>IF(F252&lt;5000,"Bajo",IF(F252&lt;15000,"Medio","Alto"))</f>
        <v/>
      </c>
    </row>
    <row r="253">
      <c r="A253" t="inlineStr">
        <is>
          <t>Jumbo</t>
        </is>
      </c>
      <c r="B253" t="n">
        <v>3070278</v>
      </c>
      <c r="C253" t="n">
        <v>3069871</v>
      </c>
      <c r="D253" t="inlineStr">
        <is>
          <t>Acondicionador Cauterización Reparadora 500 Ml Tresemmé</t>
        </is>
      </c>
      <c r="E253" t="inlineStr">
        <is>
          <t>TRESEMMÉ</t>
        </is>
      </c>
      <c r="F253" t="n">
        <v>10700</v>
      </c>
      <c r="G253" t="n">
        <v>884298</v>
      </c>
      <c r="H253" t="b">
        <v>1</v>
      </c>
      <c r="I253" t="n">
        <v>500</v>
      </c>
      <c r="J253" t="n">
        <v>21.4</v>
      </c>
      <c r="K253" t="inlineStr">
        <is>
          <t>&gt; Perfumería &gt; Cuidado Capilar &gt; Acondicionador &gt;</t>
        </is>
      </c>
      <c r="L253" t="inlineStr">
        <is>
          <t>acondicionador</t>
        </is>
      </c>
      <c r="M253" t="inlineStr">
        <is>
          <t>estandar</t>
        </is>
      </c>
      <c r="N253" t="inlineStr">
        <is>
          <t>general</t>
        </is>
      </c>
      <c r="O253" t="inlineStr">
        <is>
          <t>https://www.jumbo.com.ar/acondicionador-cauterizacion-reparadora-x-500-ml-tresemme/p</t>
        </is>
      </c>
      <c r="P253">
        <f>TRIM(CLEAN(PROPER(D253)))</f>
        <v/>
      </c>
      <c r="Q253">
        <f>PROPER(TRIM(SUBSTITUTE(SUBSTITUTE(SUBSTITUTE(SUBSTITUTE(E253,"TRESEMME","Tresemme"),"HEAD &amp; SHOULDERS","Head &amp; Shoulders"),"ELVIVE","Elvive"),"FRUCTIS","Fructis")))</f>
        <v/>
      </c>
      <c r="R253">
        <f>COUNTIF($D$2:$D$10000,D253)&gt;1</f>
        <v/>
      </c>
      <c r="S253">
        <f>IF(H253=TRUE,"Disponible","No disponible")</f>
        <v/>
      </c>
      <c r="T253">
        <f>IF(AND(ISNUMBER(I253),I253&gt;0),ROUND(F253/I253,2),"Sin volumen")</f>
        <v/>
      </c>
      <c r="U253">
        <f>IF(F253&lt;5000,"Bajo",IF(F253&lt;15000,"Medio","Alto"))</f>
        <v/>
      </c>
    </row>
    <row r="254">
      <c r="A254" s="2" t="inlineStr">
        <is>
          <t>Jumbo</t>
        </is>
      </c>
      <c r="B254" s="2" t="n">
        <v>3066239</v>
      </c>
      <c r="C254" s="2" t="n">
        <v>3066155</v>
      </c>
      <c r="D254" s="2" t="inlineStr">
        <is>
          <t>Acondicionador Luminous UV 340 Ml Sedal</t>
        </is>
      </c>
      <c r="E254" s="2" t="inlineStr">
        <is>
          <t>SEDAL</t>
        </is>
      </c>
      <c r="F254" s="2" t="n">
        <v>5457</v>
      </c>
      <c r="G254" s="2" t="n">
        <v>450992</v>
      </c>
      <c r="H254" s="2" t="b">
        <v>1</v>
      </c>
      <c r="I254" s="2" t="n">
        <v>340</v>
      </c>
      <c r="J254" s="2" t="n">
        <v>16.05</v>
      </c>
      <c r="K254" s="2" t="inlineStr">
        <is>
          <t>&gt; Perfumería &gt; Cuidado Capilar &gt; Acondicionador &gt;</t>
        </is>
      </c>
      <c r="L254" s="2" t="inlineStr">
        <is>
          <t>acondicionador</t>
        </is>
      </c>
      <c r="M254" s="2" t="inlineStr">
        <is>
          <t>estandar</t>
        </is>
      </c>
      <c r="N254" s="2" t="inlineStr">
        <is>
          <t>general</t>
        </is>
      </c>
      <c r="O254" s="2" t="inlineStr">
        <is>
          <t>https://www.jumbo.com.ar/acondicionador-luminous-uv-x-340-ml-sedal-2/p</t>
        </is>
      </c>
      <c r="P254" s="4">
        <f>TRIM(CLEAN(PROPER(D254)))</f>
        <v/>
      </c>
      <c r="Q254" s="4">
        <f>PROPER(TRIM(SUBSTITUTE(SUBSTITUTE(SUBSTITUTE(SUBSTITUTE(E254,"TRESEMME","Tresemme"),"HEAD &amp; SHOULDERS","Head &amp; Shoulders"),"ELVIVE","Elvive"),"FRUCTIS","Fructis")))</f>
        <v/>
      </c>
      <c r="R254" s="4">
        <f>COUNTIF($D$2:$D$10000,D254)&gt;1</f>
        <v/>
      </c>
      <c r="S254" s="4">
        <f>IF(H254=TRUE,"Disponible","No disponible")</f>
        <v/>
      </c>
      <c r="T254" s="4">
        <f>IF(AND(ISNUMBER(I254),I254&gt;0),ROUND(F254/I254,2),"Sin volumen")</f>
        <v/>
      </c>
      <c r="U254" s="4">
        <f>IF(F254&lt;5000,"Bajo",IF(F254&lt;15000,"Medio","Alto"))</f>
        <v/>
      </c>
    </row>
    <row r="255">
      <c r="A255" t="inlineStr">
        <is>
          <t>Jumbo</t>
        </is>
      </c>
      <c r="B255" t="n">
        <v>415569</v>
      </c>
      <c r="C255" t="n">
        <v>411153</v>
      </c>
      <c r="D255" t="inlineStr">
        <is>
          <t>Acondicionador Liso Infinito 400 Ml Pantene</t>
        </is>
      </c>
      <c r="E255" t="inlineStr">
        <is>
          <t>PANTENE</t>
        </is>
      </c>
      <c r="F255" t="n">
        <v>10300</v>
      </c>
      <c r="G255" t="n">
        <v>851240</v>
      </c>
      <c r="H255" t="b">
        <v>1</v>
      </c>
      <c r="I255" t="n">
        <v>400</v>
      </c>
      <c r="J255" t="n">
        <v>25.75</v>
      </c>
      <c r="K255" t="inlineStr">
        <is>
          <t>&gt; Perfumería &gt; Cuidado Capilar &gt; Acondicionador &gt;</t>
        </is>
      </c>
      <c r="L255" t="inlineStr">
        <is>
          <t>acondicionador</t>
        </is>
      </c>
      <c r="M255" t="inlineStr">
        <is>
          <t>estandar</t>
        </is>
      </c>
      <c r="N255" t="inlineStr">
        <is>
          <t>general</t>
        </is>
      </c>
      <c r="O255" t="inlineStr">
        <is>
          <t>https://www.jumbo.com.ar/acondicionador-pro-v-miracles-liso-infinito-400-ml-pantene/p</t>
        </is>
      </c>
      <c r="P255">
        <f>TRIM(CLEAN(PROPER(D255)))</f>
        <v/>
      </c>
      <c r="Q255">
        <f>PROPER(TRIM(SUBSTITUTE(SUBSTITUTE(SUBSTITUTE(SUBSTITUTE(E255,"TRESEMME","Tresemme"),"HEAD &amp; SHOULDERS","Head &amp; Shoulders"),"ELVIVE","Elvive"),"FRUCTIS","Fructis")))</f>
        <v/>
      </c>
      <c r="R255">
        <f>COUNTIF($D$2:$D$10000,D255)&gt;1</f>
        <v/>
      </c>
      <c r="S255">
        <f>IF(H255=TRUE,"Disponible","No disponible")</f>
        <v/>
      </c>
      <c r="T255">
        <f>IF(AND(ISNUMBER(I255),I255&gt;0),ROUND(F255/I255,2),"Sin volumen")</f>
        <v/>
      </c>
      <c r="U255">
        <f>IF(F255&lt;5000,"Bajo",IF(F255&lt;15000,"Medio","Alto"))</f>
        <v/>
      </c>
    </row>
    <row r="256">
      <c r="A256" s="2" t="inlineStr">
        <is>
          <t>Jumbo</t>
        </is>
      </c>
      <c r="B256" s="2" t="n">
        <v>400517</v>
      </c>
      <c r="C256" s="2" t="n">
        <v>397855</v>
      </c>
      <c r="D256" s="2" t="inlineStr">
        <is>
          <t>Acondicionador Hidra Hialurónico 200 Ml Elvive</t>
        </is>
      </c>
      <c r="E256" s="2" t="inlineStr">
        <is>
          <t>ELVIVE</t>
        </is>
      </c>
      <c r="F256" s="2" t="n">
        <v>7250</v>
      </c>
      <c r="G256" s="2" t="n">
        <v>599174</v>
      </c>
      <c r="H256" s="2" t="b">
        <v>1</v>
      </c>
      <c r="I256" s="2" t="n">
        <v>200</v>
      </c>
      <c r="J256" s="2" t="n">
        <v>36.25</v>
      </c>
      <c r="K256" s="2" t="inlineStr">
        <is>
          <t>&gt; Perfumería &gt; Cuidado Capilar &gt; Acondicionador &gt;</t>
        </is>
      </c>
      <c r="L256" s="2" t="inlineStr">
        <is>
          <t>acondicionador</t>
        </is>
      </c>
      <c r="M256" s="2" t="inlineStr">
        <is>
          <t>profesional</t>
        </is>
      </c>
      <c r="N256" s="2" t="inlineStr">
        <is>
          <t>general</t>
        </is>
      </c>
      <c r="O256" s="2" t="inlineStr">
        <is>
          <t>https://www.jumbo.com.ar/acodicionador-elvive-hidra-hialuronico-200-ml/p</t>
        </is>
      </c>
      <c r="P256" s="4">
        <f>TRIM(CLEAN(PROPER(D256)))</f>
        <v/>
      </c>
      <c r="Q256" s="4">
        <f>PROPER(TRIM(SUBSTITUTE(SUBSTITUTE(SUBSTITUTE(SUBSTITUTE(E256,"TRESEMME","Tresemme"),"HEAD &amp; SHOULDERS","Head &amp; Shoulders"),"ELVIVE","Elvive"),"FRUCTIS","Fructis")))</f>
        <v/>
      </c>
      <c r="R256" s="4">
        <f>COUNTIF($D$2:$D$10000,D256)&gt;1</f>
        <v/>
      </c>
      <c r="S256" s="4">
        <f>IF(H256=TRUE,"Disponible","No disponible")</f>
        <v/>
      </c>
      <c r="T256" s="4">
        <f>IF(AND(ISNUMBER(I256),I256&gt;0),ROUND(F256/I256,2),"Sin volumen")</f>
        <v/>
      </c>
      <c r="U256" s="4">
        <f>IF(F256&lt;5000,"Bajo",IF(F256&lt;15000,"Medio","Alto"))</f>
        <v/>
      </c>
    </row>
    <row r="257">
      <c r="A257" t="inlineStr">
        <is>
          <t>Jumbo</t>
        </is>
      </c>
      <c r="B257" t="n">
        <v>397916</v>
      </c>
      <c r="C257" t="n">
        <v>395651</v>
      </c>
      <c r="D257" t="inlineStr">
        <is>
          <t>Acondicionador Liso Perfecto 340 Ml Sedal</t>
        </is>
      </c>
      <c r="E257" t="inlineStr">
        <is>
          <t>SEDAL</t>
        </is>
      </c>
      <c r="F257" t="n">
        <v>5450</v>
      </c>
      <c r="G257" t="n">
        <v>450413</v>
      </c>
      <c r="H257" t="b">
        <v>1</v>
      </c>
      <c r="I257" t="n">
        <v>340</v>
      </c>
      <c r="J257" t="n">
        <v>16.0294</v>
      </c>
      <c r="K257" t="inlineStr">
        <is>
          <t>&gt; Perfumería &gt; Cuidado Capilar &gt; Acondicionador &gt;</t>
        </is>
      </c>
      <c r="L257" t="inlineStr">
        <is>
          <t>acondicionador</t>
        </is>
      </c>
      <c r="M257" t="inlineStr">
        <is>
          <t>estandar</t>
        </is>
      </c>
      <c r="N257" t="inlineStr">
        <is>
          <t>general</t>
        </is>
      </c>
      <c r="O257" t="inlineStr">
        <is>
          <t>https://www.jumbo.com.ar/acondicionador-liso-perfecto-340-ml-sedal/p</t>
        </is>
      </c>
      <c r="P257">
        <f>TRIM(CLEAN(PROPER(D257)))</f>
        <v/>
      </c>
      <c r="Q257">
        <f>PROPER(TRIM(SUBSTITUTE(SUBSTITUTE(SUBSTITUTE(SUBSTITUTE(E257,"TRESEMME","Tresemme"),"HEAD &amp; SHOULDERS","Head &amp; Shoulders"),"ELVIVE","Elvive"),"FRUCTIS","Fructis")))</f>
        <v/>
      </c>
      <c r="R257">
        <f>COUNTIF($D$2:$D$10000,D257)&gt;1</f>
        <v/>
      </c>
      <c r="S257">
        <f>IF(H257=TRUE,"Disponible","No disponible")</f>
        <v/>
      </c>
      <c r="T257">
        <f>IF(AND(ISNUMBER(I257),I257&gt;0),ROUND(F257/I257,2),"Sin volumen")</f>
        <v/>
      </c>
      <c r="U257">
        <f>IF(F257&lt;5000,"Bajo",IF(F257&lt;15000,"Medio","Alto"))</f>
        <v/>
      </c>
    </row>
    <row r="258">
      <c r="A258" s="2" t="inlineStr">
        <is>
          <t>Jumbo</t>
        </is>
      </c>
      <c r="B258" s="2" t="n">
        <v>416913</v>
      </c>
      <c r="C258" s="2" t="n">
        <v>412457</v>
      </c>
      <c r="D258" s="2" t="inlineStr">
        <is>
          <t>Acondicionador Elvive Extraordinario Rizos 400 Ml</t>
        </is>
      </c>
      <c r="E258" s="2" t="inlineStr">
        <is>
          <t>ELVIVE</t>
        </is>
      </c>
      <c r="F258" s="2" t="n">
        <v>11550</v>
      </c>
      <c r="G258" s="2" t="n">
        <v>954545</v>
      </c>
      <c r="H258" s="2" t="b">
        <v>1</v>
      </c>
      <c r="I258" s="2" t="n">
        <v>400</v>
      </c>
      <c r="J258" s="2" t="n">
        <v>28.875</v>
      </c>
      <c r="K258" s="2" t="inlineStr">
        <is>
          <t>&gt; Perfumería &gt; Cuidado Capilar &gt; Acondicionador &gt;</t>
        </is>
      </c>
      <c r="L258" s="2" t="inlineStr">
        <is>
          <t>acondicionador</t>
        </is>
      </c>
      <c r="M258" s="2" t="inlineStr">
        <is>
          <t>profesional</t>
        </is>
      </c>
      <c r="N258" s="2" t="inlineStr">
        <is>
          <t>rizado</t>
        </is>
      </c>
      <c r="O258" s="2" t="inlineStr">
        <is>
          <t>https://www.jumbo.com.ar/acondicionador-elvive-extraordinario-rizos-400-ml/p</t>
        </is>
      </c>
      <c r="P258" s="4">
        <f>TRIM(CLEAN(PROPER(D258)))</f>
        <v/>
      </c>
      <c r="Q258" s="4">
        <f>PROPER(TRIM(SUBSTITUTE(SUBSTITUTE(SUBSTITUTE(SUBSTITUTE(E258,"TRESEMME","Tresemme"),"HEAD &amp; SHOULDERS","Head &amp; Shoulders"),"ELVIVE","Elvive"),"FRUCTIS","Fructis")))</f>
        <v/>
      </c>
      <c r="R258" s="4">
        <f>COUNTIF($D$2:$D$10000,D258)&gt;1</f>
        <v/>
      </c>
      <c r="S258" s="4">
        <f>IF(H258=TRUE,"Disponible","No disponible")</f>
        <v/>
      </c>
      <c r="T258" s="4">
        <f>IF(AND(ISNUMBER(I258),I258&gt;0),ROUND(F258/I258,2),"Sin volumen")</f>
        <v/>
      </c>
      <c r="U258" s="4">
        <f>IF(F258&lt;5000,"Bajo",IF(F258&lt;15000,"Medio","Alto"))</f>
        <v/>
      </c>
    </row>
    <row r="259">
      <c r="A259" t="inlineStr">
        <is>
          <t>Jumbo</t>
        </is>
      </c>
      <c r="B259" t="n">
        <v>397911</v>
      </c>
      <c r="C259" t="n">
        <v>395646</v>
      </c>
      <c r="D259" t="inlineStr">
        <is>
          <t>Acondicionador Sedal Ceramidas Botella 650 Ml</t>
        </is>
      </c>
      <c r="E259" t="inlineStr">
        <is>
          <t>SEDAL</t>
        </is>
      </c>
      <c r="F259" t="n">
        <v>8850</v>
      </c>
      <c r="G259" t="n">
        <v>731405</v>
      </c>
      <c r="H259" t="b">
        <v>1</v>
      </c>
      <c r="I259" t="n">
        <v>650</v>
      </c>
      <c r="J259" t="n">
        <v>13.6154</v>
      </c>
      <c r="K259" t="inlineStr">
        <is>
          <t>&gt; Perfumería &gt; Cuidado Capilar &gt; Acondicionador &gt;</t>
        </is>
      </c>
      <c r="L259" t="inlineStr">
        <is>
          <t>acondicionador</t>
        </is>
      </c>
      <c r="M259" t="inlineStr">
        <is>
          <t>estandar</t>
        </is>
      </c>
      <c r="N259" t="inlineStr">
        <is>
          <t>general</t>
        </is>
      </c>
      <c r="O259" t="inlineStr">
        <is>
          <t>https://www.jumbo.com.ar/acondicionador-sedal-ceramidas-botella-650-ml-2/p</t>
        </is>
      </c>
      <c r="P259">
        <f>TRIM(CLEAN(PROPER(D259)))</f>
        <v/>
      </c>
      <c r="Q259">
        <f>PROPER(TRIM(SUBSTITUTE(SUBSTITUTE(SUBSTITUTE(SUBSTITUTE(E259,"TRESEMME","Tresemme"),"HEAD &amp; SHOULDERS","Head &amp; Shoulders"),"ELVIVE","Elvive"),"FRUCTIS","Fructis")))</f>
        <v/>
      </c>
      <c r="R259">
        <f>COUNTIF($D$2:$D$10000,D259)&gt;1</f>
        <v/>
      </c>
      <c r="S259">
        <f>IF(H259=TRUE,"Disponible","No disponible")</f>
        <v/>
      </c>
      <c r="T259">
        <f>IF(AND(ISNUMBER(I259),I259&gt;0),ROUND(F259/I259,2),"Sin volumen")</f>
        <v/>
      </c>
      <c r="U259">
        <f>IF(F259&lt;5000,"Bajo",IF(F259&lt;15000,"Medio","Alto"))</f>
        <v/>
      </c>
    </row>
    <row r="260">
      <c r="A260" s="2" t="inlineStr">
        <is>
          <t>Jumbo</t>
        </is>
      </c>
      <c r="B260" s="2" t="n">
        <v>397159</v>
      </c>
      <c r="C260" s="2" t="n">
        <v>394900</v>
      </c>
      <c r="D260" s="2" t="inlineStr">
        <is>
          <t>Acondicionador Sedal Ceramidas Botella 340 Ml</t>
        </is>
      </c>
      <c r="E260" s="2" t="inlineStr">
        <is>
          <t>SEDAL</t>
        </is>
      </c>
      <c r="F260" s="2" t="n">
        <v>5450</v>
      </c>
      <c r="G260" s="2" t="n">
        <v>450413</v>
      </c>
      <c r="H260" s="2" t="b">
        <v>1</v>
      </c>
      <c r="I260" s="2" t="n">
        <v>340</v>
      </c>
      <c r="J260" s="2" t="n">
        <v>16.0294</v>
      </c>
      <c r="K260" s="2" t="inlineStr">
        <is>
          <t>&gt; Perfumería &gt; Cuidado Capilar &gt; Acondicionador &gt;</t>
        </is>
      </c>
      <c r="L260" s="2" t="inlineStr">
        <is>
          <t>acondicionador</t>
        </is>
      </c>
      <c r="M260" s="2" t="inlineStr">
        <is>
          <t>estandar</t>
        </is>
      </c>
      <c r="N260" s="2" t="inlineStr">
        <is>
          <t>general</t>
        </is>
      </c>
      <c r="O260" s="2" t="inlineStr">
        <is>
          <t>https://www.jumbo.com.ar/acondicionador-sedal-ceramidas-botella-340-ml-2/p</t>
        </is>
      </c>
      <c r="P260" s="4">
        <f>TRIM(CLEAN(PROPER(D260)))</f>
        <v/>
      </c>
      <c r="Q260" s="4">
        <f>PROPER(TRIM(SUBSTITUTE(SUBSTITUTE(SUBSTITUTE(SUBSTITUTE(E260,"TRESEMME","Tresemme"),"HEAD &amp; SHOULDERS","Head &amp; Shoulders"),"ELVIVE","Elvive"),"FRUCTIS","Fructis")))</f>
        <v/>
      </c>
      <c r="R260" s="4">
        <f>COUNTIF($D$2:$D$10000,D260)&gt;1</f>
        <v/>
      </c>
      <c r="S260" s="4">
        <f>IF(H260=TRUE,"Disponible","No disponible")</f>
        <v/>
      </c>
      <c r="T260" s="4">
        <f>IF(AND(ISNUMBER(I260),I260&gt;0),ROUND(F260/I260,2),"Sin volumen")</f>
        <v/>
      </c>
      <c r="U260" s="4">
        <f>IF(F260&lt;5000,"Bajo",IF(F260&lt;15000,"Medio","Alto"))</f>
        <v/>
      </c>
    </row>
    <row r="261">
      <c r="A261" t="inlineStr">
        <is>
          <t>Jumbo</t>
        </is>
      </c>
      <c r="B261" t="n">
        <v>407572</v>
      </c>
      <c r="C261" t="n">
        <v>403761</v>
      </c>
      <c r="D261" t="inlineStr">
        <is>
          <t>Acondicionador Reparación Total Extreme 400 Ml Elvive</t>
        </is>
      </c>
      <c r="E261" t="inlineStr">
        <is>
          <t>ELVIVE</t>
        </is>
      </c>
      <c r="F261" t="n">
        <v>12050</v>
      </c>
      <c r="G261" t="n">
        <v>995868</v>
      </c>
      <c r="H261" t="b">
        <v>1</v>
      </c>
      <c r="I261" t="n">
        <v>400</v>
      </c>
      <c r="J261" t="n">
        <v>30.125</v>
      </c>
      <c r="K261" t="inlineStr">
        <is>
          <t>&gt; Perfumería &gt; Cuidado Capilar &gt; Acondicionador &gt;</t>
        </is>
      </c>
      <c r="L261" t="inlineStr">
        <is>
          <t>acondicionador</t>
        </is>
      </c>
      <c r="M261" t="inlineStr">
        <is>
          <t>profesional</t>
        </is>
      </c>
      <c r="N261" t="inlineStr">
        <is>
          <t>general</t>
        </is>
      </c>
      <c r="O261" t="inlineStr">
        <is>
          <t>https://www.jumbo.com.ar/acondicionador-elvive-reparacion-total-extreme-400-ml/p</t>
        </is>
      </c>
      <c r="P261">
        <f>TRIM(CLEAN(PROPER(D261)))</f>
        <v/>
      </c>
      <c r="Q261">
        <f>PROPER(TRIM(SUBSTITUTE(SUBSTITUTE(SUBSTITUTE(SUBSTITUTE(E261,"TRESEMME","Tresemme"),"HEAD &amp; SHOULDERS","Head &amp; Shoulders"),"ELVIVE","Elvive"),"FRUCTIS","Fructis")))</f>
        <v/>
      </c>
      <c r="R261">
        <f>COUNTIF($D$2:$D$10000,D261)&gt;1</f>
        <v/>
      </c>
      <c r="S261">
        <f>IF(H261=TRUE,"Disponible","No disponible")</f>
        <v/>
      </c>
      <c r="T261">
        <f>IF(AND(ISNUMBER(I261),I261&gt;0),ROUND(F261/I261,2),"Sin volumen")</f>
        <v/>
      </c>
      <c r="U261">
        <f>IF(F261&lt;5000,"Bajo",IF(F261&lt;15000,"Medio","Alto"))</f>
        <v/>
      </c>
    </row>
    <row r="262">
      <c r="A262" s="2" t="inlineStr">
        <is>
          <t>Jumbo</t>
        </is>
      </c>
      <c r="B262" s="2" t="n">
        <v>394816</v>
      </c>
      <c r="C262" s="2" t="n">
        <v>392815</v>
      </c>
      <c r="D262" s="2" t="inlineStr">
        <is>
          <t>Acondicionador Hidrata y Fortalece 400 Ml Pantene</t>
        </is>
      </c>
      <c r="E262" s="2" t="inlineStr">
        <is>
          <t>PANTENE</t>
        </is>
      </c>
      <c r="F262" s="2" t="n">
        <v>10300</v>
      </c>
      <c r="G262" s="2" t="n">
        <v>851240</v>
      </c>
      <c r="H262" s="2" t="b">
        <v>1</v>
      </c>
      <c r="I262" s="2" t="n">
        <v>400</v>
      </c>
      <c r="J262" s="2" t="n">
        <v>25.75</v>
      </c>
      <c r="K262" s="2" t="inlineStr">
        <is>
          <t>&gt; Perfumería &gt; Cuidado Capilar &gt; Acondicionador &gt;</t>
        </is>
      </c>
      <c r="L262" s="2" t="inlineStr">
        <is>
          <t>acondicionador</t>
        </is>
      </c>
      <c r="M262" s="2" t="inlineStr">
        <is>
          <t>estandar</t>
        </is>
      </c>
      <c r="N262" s="2" t="inlineStr">
        <is>
          <t>seco_danado</t>
        </is>
      </c>
      <c r="O262" s="2" t="inlineStr">
        <is>
          <t>https://www.jumbo.com.ar/acondicionador-pantene-hidrata-y-fortalece-400-ml/p</t>
        </is>
      </c>
      <c r="P262" s="4">
        <f>TRIM(CLEAN(PROPER(D262)))</f>
        <v/>
      </c>
      <c r="Q262" s="4">
        <f>PROPER(TRIM(SUBSTITUTE(SUBSTITUTE(SUBSTITUTE(SUBSTITUTE(E262,"TRESEMME","Tresemme"),"HEAD &amp; SHOULDERS","Head &amp; Shoulders"),"ELVIVE","Elvive"),"FRUCTIS","Fructis")))</f>
        <v/>
      </c>
      <c r="R262" s="4">
        <f>COUNTIF($D$2:$D$10000,D262)&gt;1</f>
        <v/>
      </c>
      <c r="S262" s="4">
        <f>IF(H262=TRUE,"Disponible","No disponible")</f>
        <v/>
      </c>
      <c r="T262" s="4">
        <f>IF(AND(ISNUMBER(I262),I262&gt;0),ROUND(F262/I262,2),"Sin volumen")</f>
        <v/>
      </c>
      <c r="U262" s="4">
        <f>IF(F262&lt;5000,"Bajo",IF(F262&lt;15000,"Medio","Alto"))</f>
        <v/>
      </c>
    </row>
    <row r="263">
      <c r="A263" t="inlineStr">
        <is>
          <t>Jumbo</t>
        </is>
      </c>
      <c r="B263" t="n">
        <v>393746</v>
      </c>
      <c r="C263" t="n">
        <v>391774</v>
      </c>
      <c r="D263" t="inlineStr">
        <is>
          <t>Acondicionador Óleo Extraordinario Nutrición 400 Ml Elvive</t>
        </is>
      </c>
      <c r="E263" t="inlineStr">
        <is>
          <t>ELVIVE</t>
        </is>
      </c>
      <c r="F263" t="n">
        <v>12050</v>
      </c>
      <c r="G263" t="n">
        <v>995868</v>
      </c>
      <c r="H263" t="b">
        <v>1</v>
      </c>
      <c r="I263" t="n">
        <v>400</v>
      </c>
      <c r="J263" t="n">
        <v>30.125</v>
      </c>
      <c r="K263" t="inlineStr">
        <is>
          <t>&gt; Perfumería &gt; Cuidado Capilar &gt; Acondicionador &gt;</t>
        </is>
      </c>
      <c r="L263" t="inlineStr">
        <is>
          <t>acondicionador</t>
        </is>
      </c>
      <c r="M263" t="inlineStr">
        <is>
          <t>profesional</t>
        </is>
      </c>
      <c r="N263" t="inlineStr">
        <is>
          <t>general</t>
        </is>
      </c>
      <c r="O263" t="inlineStr">
        <is>
          <t>https://www.jumbo.com.ar/acondicionador-elvive-loreal-oleo-extraordinario-nutricion-400-ml/p</t>
        </is>
      </c>
      <c r="P263">
        <f>TRIM(CLEAN(PROPER(D263)))</f>
        <v/>
      </c>
      <c r="Q263">
        <f>PROPER(TRIM(SUBSTITUTE(SUBSTITUTE(SUBSTITUTE(SUBSTITUTE(E263,"TRESEMME","Tresemme"),"HEAD &amp; SHOULDERS","Head &amp; Shoulders"),"ELVIVE","Elvive"),"FRUCTIS","Fructis")))</f>
        <v/>
      </c>
      <c r="R263">
        <f>COUNTIF($D$2:$D$10000,D263)&gt;1</f>
        <v/>
      </c>
      <c r="S263">
        <f>IF(H263=TRUE,"Disponible","No disponible")</f>
        <v/>
      </c>
      <c r="T263">
        <f>IF(AND(ISNUMBER(I263),I263&gt;0),ROUND(F263/I263,2),"Sin volumen")</f>
        <v/>
      </c>
      <c r="U263">
        <f>IF(F263&lt;5000,"Bajo",IF(F263&lt;15000,"Medio","Alto"))</f>
        <v/>
      </c>
    </row>
    <row r="264">
      <c r="A264" s="2" t="inlineStr">
        <is>
          <t>Jumbo</t>
        </is>
      </c>
      <c r="B264" s="2" t="n">
        <v>349498</v>
      </c>
      <c r="C264" s="2" t="n">
        <v>348158</v>
      </c>
      <c r="D264" s="2" t="inlineStr">
        <is>
          <t>Acondicionador Brillo Ceramidas Perladas 1000 Ml Plusbelle</t>
        </is>
      </c>
      <c r="E264" s="2" t="inlineStr">
        <is>
          <t>PLUSBELLE</t>
        </is>
      </c>
      <c r="F264" s="2" t="n">
        <v>5650</v>
      </c>
      <c r="G264" s="2" t="n">
        <v>466942</v>
      </c>
      <c r="H264" s="2" t="b">
        <v>1</v>
      </c>
      <c r="I264" s="2" t="n">
        <v>1000</v>
      </c>
      <c r="J264" s="2" t="n">
        <v>5.65</v>
      </c>
      <c r="K264" s="2" t="inlineStr">
        <is>
          <t>&gt; Perfumería &gt; Cuidado Capilar &gt; Acondicionador &gt;</t>
        </is>
      </c>
      <c r="L264" s="2" t="inlineStr">
        <is>
          <t>acondicionador</t>
        </is>
      </c>
      <c r="M264" s="2" t="inlineStr">
        <is>
          <t>estandar</t>
        </is>
      </c>
      <c r="N264" s="2" t="inlineStr">
        <is>
          <t>general</t>
        </is>
      </c>
      <c r="O264" s="2" t="inlineStr">
        <is>
          <t>https://www.jumbo.com.ar/acondicionador-brillo-1000-ml-plusbelle/p</t>
        </is>
      </c>
      <c r="P264" s="4">
        <f>TRIM(CLEAN(PROPER(D264)))</f>
        <v/>
      </c>
      <c r="Q264" s="4">
        <f>PROPER(TRIM(SUBSTITUTE(SUBSTITUTE(SUBSTITUTE(SUBSTITUTE(E264,"TRESEMME","Tresemme"),"HEAD &amp; SHOULDERS","Head &amp; Shoulders"),"ELVIVE","Elvive"),"FRUCTIS","Fructis")))</f>
        <v/>
      </c>
      <c r="R264" s="4">
        <f>COUNTIF($D$2:$D$10000,D264)&gt;1</f>
        <v/>
      </c>
      <c r="S264" s="4">
        <f>IF(H264=TRUE,"Disponible","No disponible")</f>
        <v/>
      </c>
      <c r="T264" s="4">
        <f>IF(AND(ISNUMBER(I264),I264&gt;0),ROUND(F264/I264,2),"Sin volumen")</f>
        <v/>
      </c>
      <c r="U264" s="4">
        <f>IF(F264&lt;5000,"Bajo",IF(F264&lt;15000,"Medio","Alto"))</f>
        <v/>
      </c>
    </row>
    <row r="265">
      <c r="A265" t="inlineStr">
        <is>
          <t>Jumbo</t>
        </is>
      </c>
      <c r="B265" t="n">
        <v>409856</v>
      </c>
      <c r="C265" t="n">
        <v>405942</v>
      </c>
      <c r="D265" t="inlineStr">
        <is>
          <t>Acondicionador Hidratación Intensa Esencia 970 Ml Plusbelle</t>
        </is>
      </c>
      <c r="E265" t="inlineStr">
        <is>
          <t>PLUSBELLE</t>
        </is>
      </c>
      <c r="F265" t="n">
        <v>6350</v>
      </c>
      <c r="G265" t="n">
        <v>524793</v>
      </c>
      <c r="H265" t="b">
        <v>1</v>
      </c>
      <c r="I265" t="n">
        <v>970</v>
      </c>
      <c r="J265" t="n">
        <v>6.5464</v>
      </c>
      <c r="K265" t="inlineStr">
        <is>
          <t>&gt; Perfumería &gt; Cuidado Capilar &gt; Acondicionador &gt;</t>
        </is>
      </c>
      <c r="L265" t="inlineStr">
        <is>
          <t>acondicionador</t>
        </is>
      </c>
      <c r="M265" t="inlineStr">
        <is>
          <t>estandar</t>
        </is>
      </c>
      <c r="N265" t="inlineStr">
        <is>
          <t>seco_danado</t>
        </is>
      </c>
      <c r="O265" t="inlineStr">
        <is>
          <t>https://www.jumbo.com.ar/acondicionador-esencia-970-ml-plusbelle/p</t>
        </is>
      </c>
      <c r="P265">
        <f>TRIM(CLEAN(PROPER(D265)))</f>
        <v/>
      </c>
      <c r="Q265">
        <f>PROPER(TRIM(SUBSTITUTE(SUBSTITUTE(SUBSTITUTE(SUBSTITUTE(E265,"TRESEMME","Tresemme"),"HEAD &amp; SHOULDERS","Head &amp; Shoulders"),"ELVIVE","Elvive"),"FRUCTIS","Fructis")))</f>
        <v/>
      </c>
      <c r="R265">
        <f>COUNTIF($D$2:$D$10000,D265)&gt;1</f>
        <v/>
      </c>
      <c r="S265">
        <f>IF(H265=TRUE,"Disponible","No disponible")</f>
        <v/>
      </c>
      <c r="T265">
        <f>IF(AND(ISNUMBER(I265),I265&gt;0),ROUND(F265/I265,2),"Sin volumen")</f>
        <v/>
      </c>
      <c r="U265">
        <f>IF(F265&lt;5000,"Bajo",IF(F265&lt;15000,"Medio","Alto"))</f>
        <v/>
      </c>
    </row>
    <row r="266">
      <c r="A266" s="2" t="inlineStr">
        <is>
          <t>Jumbo</t>
        </is>
      </c>
      <c r="B266" s="2" t="n">
        <v>332408</v>
      </c>
      <c r="C266" s="2" t="n">
        <v>331565</v>
      </c>
      <c r="D266" s="2" t="inlineStr">
        <is>
          <t>Acondicionador Kids Ph Balanceado 350 Ml Plusbelle</t>
        </is>
      </c>
      <c r="E266" s="2" t="inlineStr">
        <is>
          <t>PLUSBELLE</t>
        </is>
      </c>
      <c r="F266" s="2" t="n">
        <v>4650</v>
      </c>
      <c r="G266" s="2" t="n">
        <v>384298</v>
      </c>
      <c r="H266" s="2" t="b">
        <v>1</v>
      </c>
      <c r="I266" s="2" t="n">
        <v>350</v>
      </c>
      <c r="J266" s="2" t="n">
        <v>13.2857</v>
      </c>
      <c r="K266" s="2" t="inlineStr">
        <is>
          <t>&gt; Mundo Bebe &gt; Higiene para el Bebe &gt; Higiene del Bebé &gt;</t>
        </is>
      </c>
      <c r="L266" s="2" t="inlineStr">
        <is>
          <t>acondicionador</t>
        </is>
      </c>
      <c r="M266" s="2" t="inlineStr">
        <is>
          <t>estandar</t>
        </is>
      </c>
      <c r="N266" s="2" t="inlineStr">
        <is>
          <t>bebe</t>
        </is>
      </c>
      <c r="O266" s="2" t="inlineStr">
        <is>
          <t>https://www.jumbo.com.ar/acondicionador-kids-ph-balanceado-350-ml-plusbelle/p</t>
        </is>
      </c>
      <c r="P266" s="4">
        <f>TRIM(CLEAN(PROPER(D266)))</f>
        <v/>
      </c>
      <c r="Q266" s="4">
        <f>PROPER(TRIM(SUBSTITUTE(SUBSTITUTE(SUBSTITUTE(SUBSTITUTE(E266,"TRESEMME","Tresemme"),"HEAD &amp; SHOULDERS","Head &amp; Shoulders"),"ELVIVE","Elvive"),"FRUCTIS","Fructis")))</f>
        <v/>
      </c>
      <c r="R266" s="4">
        <f>COUNTIF($D$2:$D$10000,D266)&gt;1</f>
        <v/>
      </c>
      <c r="S266" s="4">
        <f>IF(H266=TRUE,"Disponible","No disponible")</f>
        <v/>
      </c>
      <c r="T266" s="4">
        <f>IF(AND(ISNUMBER(I266),I266&gt;0),ROUND(F266/I266,2),"Sin volumen")</f>
        <v/>
      </c>
      <c r="U266" s="4">
        <f>IF(F266&lt;5000,"Bajo",IF(F266&lt;15000,"Medio","Alto"))</f>
        <v/>
      </c>
    </row>
    <row r="267">
      <c r="A267" t="inlineStr">
        <is>
          <t>Jumbo</t>
        </is>
      </c>
      <c r="B267" t="n">
        <v>3086921</v>
      </c>
      <c r="C267" t="n">
        <v>3086145</v>
      </c>
      <c r="D267" t="inlineStr">
        <is>
          <t>Acondicionador Aclarante Manzanilla 415 Ml Tío Nacho</t>
        </is>
      </c>
      <c r="E267" t="inlineStr">
        <is>
          <t>SUAVE</t>
        </is>
      </c>
      <c r="F267" t="n">
        <v>11350</v>
      </c>
      <c r="G267" t="n">
        <v>938017</v>
      </c>
      <c r="H267" t="b">
        <v>1</v>
      </c>
      <c r="I267" t="n">
        <v>415</v>
      </c>
      <c r="J267" t="n">
        <v>27.3494</v>
      </c>
      <c r="K267" t="inlineStr">
        <is>
          <t>&gt; Perfumería &gt; Cuidado Capilar &gt; Acondicionador &gt;</t>
        </is>
      </c>
      <c r="L267" t="inlineStr">
        <is>
          <t>acondicionador</t>
        </is>
      </c>
      <c r="M267" t="inlineStr">
        <is>
          <t>estandar</t>
        </is>
      </c>
      <c r="N267" t="inlineStr">
        <is>
          <t>general</t>
        </is>
      </c>
      <c r="O267" t="inlineStr">
        <is>
          <t>https://www.jumbo.com.ar/acondicionador-tio-nacho-aclarante-v2-415-ml-2/p</t>
        </is>
      </c>
      <c r="P267">
        <f>TRIM(CLEAN(PROPER(D267)))</f>
        <v/>
      </c>
      <c r="Q267">
        <f>PROPER(TRIM(SUBSTITUTE(SUBSTITUTE(SUBSTITUTE(SUBSTITUTE(E267,"TRESEMME","Tresemme"),"HEAD &amp; SHOULDERS","Head &amp; Shoulders"),"ELVIVE","Elvive"),"FRUCTIS","Fructis")))</f>
        <v/>
      </c>
      <c r="R267">
        <f>COUNTIF($D$2:$D$10000,D267)&gt;1</f>
        <v/>
      </c>
      <c r="S267">
        <f>IF(H267=TRUE,"Disponible","No disponible")</f>
        <v/>
      </c>
      <c r="T267">
        <f>IF(AND(ISNUMBER(I267),I267&gt;0),ROUND(F267/I267,2),"Sin volumen")</f>
        <v/>
      </c>
      <c r="U267">
        <f>IF(F267&lt;5000,"Bajo",IF(F267&lt;15000,"Medio","Alto"))</f>
        <v/>
      </c>
    </row>
    <row r="268">
      <c r="A268" s="2" t="inlineStr">
        <is>
          <t>Jumbo</t>
        </is>
      </c>
      <c r="B268" s="2" t="n">
        <v>298538</v>
      </c>
      <c r="C268" s="2" t="n">
        <v>297767</v>
      </c>
      <c r="D268" s="2" t="inlineStr">
        <is>
          <t>Acondicionador Para Perro Pets Class X500cm3</t>
        </is>
      </c>
      <c r="E268" s="2" t="inlineStr">
        <is>
          <t>PET' S CLASS</t>
        </is>
      </c>
      <c r="F268" s="2" t="n">
        <v>7900</v>
      </c>
      <c r="G268" s="2" t="n">
        <v>652893</v>
      </c>
      <c r="H268" s="2" t="b">
        <v>1</v>
      </c>
      <c r="I268" s="2" t="inlineStr"/>
      <c r="J268" s="2" t="inlineStr"/>
      <c r="K268" s="2" t="inlineStr">
        <is>
          <t>&gt; Mascotas &gt; Accesorios para Mascotas &gt;</t>
        </is>
      </c>
      <c r="L268" s="2" t="inlineStr">
        <is>
          <t>acondicionador</t>
        </is>
      </c>
      <c r="M268" s="2" t="inlineStr">
        <is>
          <t>estandar</t>
        </is>
      </c>
      <c r="N268" s="2" t="inlineStr">
        <is>
          <t>general</t>
        </is>
      </c>
      <c r="O268" s="2" t="inlineStr">
        <is>
          <t>https://www.jumbo.com.ar/acondicionador-para-perro-pets-class-x500cm3/p</t>
        </is>
      </c>
      <c r="P268" s="4">
        <f>TRIM(CLEAN(PROPER(D268)))</f>
        <v/>
      </c>
      <c r="Q268" s="4">
        <f>PROPER(TRIM(SUBSTITUTE(SUBSTITUTE(SUBSTITUTE(SUBSTITUTE(E268,"TRESEMME","Tresemme"),"HEAD &amp; SHOULDERS","Head &amp; Shoulders"),"ELVIVE","Elvive"),"FRUCTIS","Fructis")))</f>
        <v/>
      </c>
      <c r="R268" s="4">
        <f>COUNTIF($D$2:$D$10000,D268)&gt;1</f>
        <v/>
      </c>
      <c r="S268" s="4">
        <f>IF(H268=TRUE,"Disponible","No disponible")</f>
        <v/>
      </c>
      <c r="T268" s="4">
        <f>IF(AND(ISNUMBER(I268),I268&gt;0),ROUND(F268/I268,2),"Sin volumen")</f>
        <v/>
      </c>
      <c r="U268" s="4">
        <f>IF(F268&lt;5000,"Bajo",IF(F268&lt;15000,"Medio","Alto"))</f>
        <v/>
      </c>
    </row>
    <row r="269">
      <c r="A269" t="inlineStr">
        <is>
          <t>Jumbo</t>
        </is>
      </c>
      <c r="B269" t="n">
        <v>29576</v>
      </c>
      <c r="C269" t="n">
        <v>26738</v>
      </c>
      <c r="D269" t="inlineStr">
        <is>
          <t>Acondicionador Keratina Hair Therapy 350 Ml Capilatis</t>
        </is>
      </c>
      <c r="E269" t="inlineStr">
        <is>
          <t>CAPILATIS</t>
        </is>
      </c>
      <c r="F269" t="n">
        <v>9550</v>
      </c>
      <c r="G269" t="n">
        <v>789256</v>
      </c>
      <c r="H269" t="b">
        <v>1</v>
      </c>
      <c r="I269" t="n">
        <v>350</v>
      </c>
      <c r="J269" t="n">
        <v>27.2857</v>
      </c>
      <c r="K269" t="inlineStr">
        <is>
          <t>&gt; Perfumería &gt; Cuidado Capilar &gt; Acondicionador &gt;</t>
        </is>
      </c>
      <c r="L269" t="inlineStr">
        <is>
          <t>acondicionador</t>
        </is>
      </c>
      <c r="M269" t="inlineStr">
        <is>
          <t>estandar</t>
        </is>
      </c>
      <c r="N269" t="inlineStr">
        <is>
          <t>tratado</t>
        </is>
      </c>
      <c r="O269" t="inlineStr">
        <is>
          <t>https://www.jumbo.com.ar/acondicionador-keratina-hair-therapy-350-ml-capilatis/p</t>
        </is>
      </c>
      <c r="P269">
        <f>TRIM(CLEAN(PROPER(D269)))</f>
        <v/>
      </c>
      <c r="Q269">
        <f>PROPER(TRIM(SUBSTITUTE(SUBSTITUTE(SUBSTITUTE(SUBSTITUTE(E269,"TRESEMME","Tresemme"),"HEAD &amp; SHOULDERS","Head &amp; Shoulders"),"ELVIVE","Elvive"),"FRUCTIS","Fructis")))</f>
        <v/>
      </c>
      <c r="R269">
        <f>COUNTIF($D$2:$D$10000,D269)&gt;1</f>
        <v/>
      </c>
      <c r="S269">
        <f>IF(H269=TRUE,"Disponible","No disponible")</f>
        <v/>
      </c>
      <c r="T269">
        <f>IF(AND(ISNUMBER(I269),I269&gt;0),ROUND(F269/I269,2),"Sin volumen")</f>
        <v/>
      </c>
      <c r="U269">
        <f>IF(F269&lt;5000,"Bajo",IF(F269&lt;15000,"Medio","Alto"))</f>
        <v/>
      </c>
    </row>
    <row r="270">
      <c r="A270" s="2" t="inlineStr">
        <is>
          <t>Jumbo</t>
        </is>
      </c>
      <c r="B270" s="2" t="n">
        <v>413330</v>
      </c>
      <c r="C270" s="2" t="n">
        <v>409135</v>
      </c>
      <c r="D270" s="2" t="inlineStr">
        <is>
          <t>Acondicionador Tresemme Liso Efecto Botox 250 Ml</t>
        </is>
      </c>
      <c r="E270" s="2" t="inlineStr">
        <is>
          <t>TRESEMMÉ</t>
        </is>
      </c>
      <c r="F270" s="2" t="n">
        <v>6150</v>
      </c>
      <c r="G270" s="2" t="n">
        <v>508264</v>
      </c>
      <c r="H270" s="2" t="b">
        <v>1</v>
      </c>
      <c r="I270" s="2" t="n">
        <v>250</v>
      </c>
      <c r="J270" s="2" t="n">
        <v>24.6</v>
      </c>
      <c r="K270" s="2" t="inlineStr">
        <is>
          <t>&gt; Perfumería &gt; Cuidado Capilar &gt; Acondicionador &gt;</t>
        </is>
      </c>
      <c r="L270" s="2" t="inlineStr">
        <is>
          <t>acondicionador</t>
        </is>
      </c>
      <c r="M270" s="2" t="inlineStr">
        <is>
          <t>estandar</t>
        </is>
      </c>
      <c r="N270" s="2" t="inlineStr">
        <is>
          <t>general</t>
        </is>
      </c>
      <c r="O270" s="2" t="inlineStr">
        <is>
          <t>https://www.jumbo.com.ar/acondicionador-tresemme-liso-efecto-botox-250-ml/p</t>
        </is>
      </c>
      <c r="P270" s="4">
        <f>TRIM(CLEAN(PROPER(D270)))</f>
        <v/>
      </c>
      <c r="Q270" s="4">
        <f>PROPER(TRIM(SUBSTITUTE(SUBSTITUTE(SUBSTITUTE(SUBSTITUTE(E270,"TRESEMME","Tresemme"),"HEAD &amp; SHOULDERS","Head &amp; Shoulders"),"ELVIVE","Elvive"),"FRUCTIS","Fructis")))</f>
        <v/>
      </c>
      <c r="R270" s="4">
        <f>COUNTIF($D$2:$D$10000,D270)&gt;1</f>
        <v/>
      </c>
      <c r="S270" s="4">
        <f>IF(H270=TRUE,"Disponible","No disponible")</f>
        <v/>
      </c>
      <c r="T270" s="4">
        <f>IF(AND(ISNUMBER(I270),I270&gt;0),ROUND(F270/I270,2),"Sin volumen")</f>
        <v/>
      </c>
      <c r="U270" s="4">
        <f>IF(F270&lt;5000,"Bajo",IF(F270&lt;15000,"Medio","Alto"))</f>
        <v/>
      </c>
    </row>
    <row r="271">
      <c r="A271" t="inlineStr">
        <is>
          <t>Jumbo</t>
        </is>
      </c>
      <c r="B271" t="n">
        <v>332409</v>
      </c>
      <c r="C271" t="n">
        <v>331566</v>
      </c>
      <c r="D271" t="inlineStr">
        <is>
          <t>Acondicionador Kids Protección Natural 350 Ml Plusbelle</t>
        </is>
      </c>
      <c r="E271" t="inlineStr">
        <is>
          <t>PLUSBELLE</t>
        </is>
      </c>
      <c r="F271" t="n">
        <v>4650</v>
      </c>
      <c r="G271" t="n">
        <v>384298</v>
      </c>
      <c r="H271" t="b">
        <v>1</v>
      </c>
      <c r="I271" t="n">
        <v>350</v>
      </c>
      <c r="J271" t="n">
        <v>13.2857</v>
      </c>
      <c r="K271" t="inlineStr">
        <is>
          <t>&gt; Mundo Bebe &gt; Higiene para el Bebe &gt; Higiene del Bebé &gt;</t>
        </is>
      </c>
      <c r="L271" t="inlineStr">
        <is>
          <t>acondicionador</t>
        </is>
      </c>
      <c r="M271" t="inlineStr">
        <is>
          <t>estandar</t>
        </is>
      </c>
      <c r="N271" t="inlineStr">
        <is>
          <t>bebe</t>
        </is>
      </c>
      <c r="O271" t="inlineStr">
        <is>
          <t>https://www.jumbo.com.ar/acondicionador-kids-proteccion-natural-350-ml-plusbelle/p</t>
        </is>
      </c>
      <c r="P271">
        <f>TRIM(CLEAN(PROPER(D271)))</f>
        <v/>
      </c>
      <c r="Q271">
        <f>PROPER(TRIM(SUBSTITUTE(SUBSTITUTE(SUBSTITUTE(SUBSTITUTE(E271,"TRESEMME","Tresemme"),"HEAD &amp; SHOULDERS","Head &amp; Shoulders"),"ELVIVE","Elvive"),"FRUCTIS","Fructis")))</f>
        <v/>
      </c>
      <c r="R271">
        <f>COUNTIF($D$2:$D$10000,D271)&gt;1</f>
        <v/>
      </c>
      <c r="S271">
        <f>IF(H271=TRUE,"Disponible","No disponible")</f>
        <v/>
      </c>
      <c r="T271">
        <f>IF(AND(ISNUMBER(I271),I271&gt;0),ROUND(F271/I271,2),"Sin volumen")</f>
        <v/>
      </c>
      <c r="U271">
        <f>IF(F271&lt;5000,"Bajo",IF(F271&lt;15000,"Medio","Alto"))</f>
        <v/>
      </c>
    </row>
    <row r="272">
      <c r="A272" s="2" t="inlineStr">
        <is>
          <t>Jumbo</t>
        </is>
      </c>
      <c r="B272" s="2" t="n">
        <v>1363724</v>
      </c>
      <c r="C272" s="2" t="n">
        <v>1362814</v>
      </c>
      <c r="D272" s="2" t="inlineStr">
        <is>
          <t>Acondicionador Bond Intense Repair 250 Ml Dove</t>
        </is>
      </c>
      <c r="E272" s="2" t="inlineStr">
        <is>
          <t>DOVE</t>
        </is>
      </c>
      <c r="F272" s="2" t="n">
        <v>9300</v>
      </c>
      <c r="G272" s="2" t="n">
        <v>768595</v>
      </c>
      <c r="H272" s="2" t="b">
        <v>1</v>
      </c>
      <c r="I272" s="2" t="n">
        <v>250</v>
      </c>
      <c r="J272" s="2" t="n">
        <v>37.2</v>
      </c>
      <c r="K272" s="2" t="inlineStr">
        <is>
          <t>&gt; Perfumería &gt; Cuidado Capilar &gt; Acondicionador &gt;</t>
        </is>
      </c>
      <c r="L272" s="2" t="inlineStr">
        <is>
          <t>acondicionador</t>
        </is>
      </c>
      <c r="M272" s="2" t="inlineStr">
        <is>
          <t>profesional</t>
        </is>
      </c>
      <c r="N272" s="2" t="inlineStr">
        <is>
          <t>general</t>
        </is>
      </c>
      <c r="O272" s="2" t="inlineStr">
        <is>
          <t>https://www.jumbo.com.ar/acondicionador-dove-bond-intense-repair-250-ml-2/p</t>
        </is>
      </c>
      <c r="P272" s="4">
        <f>TRIM(CLEAN(PROPER(D272)))</f>
        <v/>
      </c>
      <c r="Q272" s="4">
        <f>PROPER(TRIM(SUBSTITUTE(SUBSTITUTE(SUBSTITUTE(SUBSTITUTE(E272,"TRESEMME","Tresemme"),"HEAD &amp; SHOULDERS","Head &amp; Shoulders"),"ELVIVE","Elvive"),"FRUCTIS","Fructis")))</f>
        <v/>
      </c>
      <c r="R272" s="4">
        <f>COUNTIF($D$2:$D$10000,D272)&gt;1</f>
        <v/>
      </c>
      <c r="S272" s="4">
        <f>IF(H272=TRUE,"Disponible","No disponible")</f>
        <v/>
      </c>
      <c r="T272" s="4">
        <f>IF(AND(ISNUMBER(I272),I272&gt;0),ROUND(F272/I272,2),"Sin volumen")</f>
        <v/>
      </c>
      <c r="U272" s="4">
        <f>IF(F272&lt;5000,"Bajo",IF(F272&lt;15000,"Medio","Alto"))</f>
        <v/>
      </c>
    </row>
    <row r="273">
      <c r="A273" t="inlineStr">
        <is>
          <t>Jumbo</t>
        </is>
      </c>
      <c r="B273" t="n">
        <v>414735</v>
      </c>
      <c r="C273" t="n">
        <v>410436</v>
      </c>
      <c r="D273" t="inlineStr">
        <is>
          <t>Acondicionador Kids Gotas de Brillo 200 Ml Johnson's</t>
        </is>
      </c>
      <c r="E273" t="inlineStr">
        <is>
          <t>JOHNSON´S</t>
        </is>
      </c>
      <c r="F273" t="n">
        <v>5900</v>
      </c>
      <c r="G273" t="n">
        <v>487603</v>
      </c>
      <c r="H273" t="b">
        <v>1</v>
      </c>
      <c r="I273" t="n">
        <v>200</v>
      </c>
      <c r="J273" t="n">
        <v>29.5</v>
      </c>
      <c r="K273" t="inlineStr">
        <is>
          <t>&gt; Mundo Bebe &gt; Higiene para el Bebe &gt; Higiene del Bebé &gt;</t>
        </is>
      </c>
      <c r="L273" t="inlineStr">
        <is>
          <t>acondicionador</t>
        </is>
      </c>
      <c r="M273" t="inlineStr">
        <is>
          <t>estandar</t>
        </is>
      </c>
      <c r="N273" t="inlineStr">
        <is>
          <t>bebe</t>
        </is>
      </c>
      <c r="O273" t="inlineStr">
        <is>
          <t>https://www.jumbo.com.ar/acondicionador-para-ninos-gotas-de-brillo-200-ml-johnson-s/p</t>
        </is>
      </c>
      <c r="P273">
        <f>TRIM(CLEAN(PROPER(D273)))</f>
        <v/>
      </c>
      <c r="Q273">
        <f>PROPER(TRIM(SUBSTITUTE(SUBSTITUTE(SUBSTITUTE(SUBSTITUTE(E273,"TRESEMME","Tresemme"),"HEAD &amp; SHOULDERS","Head &amp; Shoulders"),"ELVIVE","Elvive"),"FRUCTIS","Fructis")))</f>
        <v/>
      </c>
      <c r="R273">
        <f>COUNTIF($D$2:$D$10000,D273)&gt;1</f>
        <v/>
      </c>
      <c r="S273">
        <f>IF(H273=TRUE,"Disponible","No disponible")</f>
        <v/>
      </c>
      <c r="T273">
        <f>IF(AND(ISNUMBER(I273),I273&gt;0),ROUND(F273/I273,2),"Sin volumen")</f>
        <v/>
      </c>
      <c r="U273">
        <f>IF(F273&lt;5000,"Bajo",IF(F273&lt;15000,"Medio","Alto"))</f>
        <v/>
      </c>
    </row>
    <row r="274">
      <c r="A274" s="2" t="inlineStr">
        <is>
          <t>Jumbo</t>
        </is>
      </c>
      <c r="B274" s="2" t="n">
        <v>407574</v>
      </c>
      <c r="C274" s="2" t="n">
        <v>403763</v>
      </c>
      <c r="D274" s="2" t="inlineStr">
        <is>
          <t>Acondicionador Reparación Total Extreme 750 Ml Elvive</t>
        </is>
      </c>
      <c r="E274" s="2" t="inlineStr">
        <is>
          <t>ELVIVE</t>
        </is>
      </c>
      <c r="F274" s="2" t="n">
        <v>18600</v>
      </c>
      <c r="G274" s="2" t="n">
        <v>1537190</v>
      </c>
      <c r="H274" s="2" t="b">
        <v>1</v>
      </c>
      <c r="I274" s="2" t="n">
        <v>750</v>
      </c>
      <c r="J274" s="2" t="n">
        <v>24.8</v>
      </c>
      <c r="K274" s="2" t="inlineStr">
        <is>
          <t>&gt; Perfumería &gt; Cuidado Capilar &gt; Acondicionador &gt;</t>
        </is>
      </c>
      <c r="L274" s="2" t="inlineStr">
        <is>
          <t>acondicionador</t>
        </is>
      </c>
      <c r="M274" s="2" t="inlineStr">
        <is>
          <t>profesional</t>
        </is>
      </c>
      <c r="N274" s="2" t="inlineStr">
        <is>
          <t>general</t>
        </is>
      </c>
      <c r="O274" s="2" t="inlineStr">
        <is>
          <t>https://www.jumbo.com.ar/acondicionador-elvive-rt5-extreme-750ml-3/p</t>
        </is>
      </c>
      <c r="P274" s="4">
        <f>TRIM(CLEAN(PROPER(D274)))</f>
        <v/>
      </c>
      <c r="Q274" s="4">
        <f>PROPER(TRIM(SUBSTITUTE(SUBSTITUTE(SUBSTITUTE(SUBSTITUTE(E274,"TRESEMME","Tresemme"),"HEAD &amp; SHOULDERS","Head &amp; Shoulders"),"ELVIVE","Elvive"),"FRUCTIS","Fructis")))</f>
        <v/>
      </c>
      <c r="R274" s="4">
        <f>COUNTIF($D$2:$D$10000,D274)&gt;1</f>
        <v/>
      </c>
      <c r="S274" s="4">
        <f>IF(H274=TRUE,"Disponible","No disponible")</f>
        <v/>
      </c>
      <c r="T274" s="4">
        <f>IF(AND(ISNUMBER(I274),I274&gt;0),ROUND(F274/I274,2),"Sin volumen")</f>
        <v/>
      </c>
      <c r="U274" s="4">
        <f>IF(F274&lt;5000,"Bajo",IF(F274&lt;15000,"Medio","Alto"))</f>
        <v/>
      </c>
    </row>
    <row r="275">
      <c r="A275" t="inlineStr">
        <is>
          <t>Jumbo</t>
        </is>
      </c>
      <c r="B275" t="n">
        <v>3071028</v>
      </c>
      <c r="C275" t="n">
        <v>3070598</v>
      </c>
      <c r="D275" t="inlineStr">
        <is>
          <t>Acondicionador Dream Liso X 200 Ml Elvive</t>
        </is>
      </c>
      <c r="E275" t="inlineStr">
        <is>
          <t>ELVIVE</t>
        </is>
      </c>
      <c r="F275" t="n">
        <v>8050</v>
      </c>
      <c r="G275" t="n">
        <v>665289</v>
      </c>
      <c r="H275" t="b">
        <v>1</v>
      </c>
      <c r="I275" t="n">
        <v>200</v>
      </c>
      <c r="J275" t="n">
        <v>40.25</v>
      </c>
      <c r="K275" t="inlineStr">
        <is>
          <t>&gt; Perfumería &gt; Cuidado Capilar &gt; Acondicionador &gt;</t>
        </is>
      </c>
      <c r="L275" t="inlineStr">
        <is>
          <t>acondicionador</t>
        </is>
      </c>
      <c r="M275" t="inlineStr">
        <is>
          <t>profesional</t>
        </is>
      </c>
      <c r="N275" t="inlineStr">
        <is>
          <t>general</t>
        </is>
      </c>
      <c r="O275" t="inlineStr">
        <is>
          <t>https://www.jumbo.com.ar/acondicionador-dream-liso-x-200-ml-elvive/p</t>
        </is>
      </c>
      <c r="P275">
        <f>TRIM(CLEAN(PROPER(D275)))</f>
        <v/>
      </c>
      <c r="Q275">
        <f>PROPER(TRIM(SUBSTITUTE(SUBSTITUTE(SUBSTITUTE(SUBSTITUTE(E275,"TRESEMME","Tresemme"),"HEAD &amp; SHOULDERS","Head &amp; Shoulders"),"ELVIVE","Elvive"),"FRUCTIS","Fructis")))</f>
        <v/>
      </c>
      <c r="R275">
        <f>COUNTIF($D$2:$D$10000,D275)&gt;1</f>
        <v/>
      </c>
      <c r="S275">
        <f>IF(H275=TRUE,"Disponible","No disponible")</f>
        <v/>
      </c>
      <c r="T275">
        <f>IF(AND(ISNUMBER(I275),I275&gt;0),ROUND(F275/I275,2),"Sin volumen")</f>
        <v/>
      </c>
      <c r="U275">
        <f>IF(F275&lt;5000,"Bajo",IF(F275&lt;15000,"Medio","Alto"))</f>
        <v/>
      </c>
    </row>
    <row r="276">
      <c r="A276" s="2" t="inlineStr">
        <is>
          <t>Jumbo</t>
        </is>
      </c>
      <c r="B276" s="2" t="n">
        <v>424299</v>
      </c>
      <c r="C276" s="2" t="n">
        <v>417179</v>
      </c>
      <c r="D276" s="2" t="inlineStr">
        <is>
          <t>Acondicionador Nutrición Óleo de Coco 700 Ml Plusbelle</t>
        </is>
      </c>
      <c r="E276" s="2" t="inlineStr">
        <is>
          <t>PLUSBELLE</t>
        </is>
      </c>
      <c r="F276" s="2" t="n">
        <v>5350</v>
      </c>
      <c r="G276" s="2" t="n">
        <v>442149</v>
      </c>
      <c r="H276" s="2" t="b">
        <v>1</v>
      </c>
      <c r="I276" s="2" t="n">
        <v>700</v>
      </c>
      <c r="J276" s="2" t="n">
        <v>7.6429</v>
      </c>
      <c r="K276" s="2" t="inlineStr">
        <is>
          <t>&gt; Perfumería &gt; Cuidado Capilar &gt; Acondicionador &gt;</t>
        </is>
      </c>
      <c r="L276" s="2" t="inlineStr">
        <is>
          <t>acondicionador</t>
        </is>
      </c>
      <c r="M276" s="2" t="inlineStr">
        <is>
          <t>estandar</t>
        </is>
      </c>
      <c r="N276" s="2" t="inlineStr">
        <is>
          <t>general</t>
        </is>
      </c>
      <c r="O276" s="2" t="inlineStr">
        <is>
          <t>https://www.jumbo.com.ar/acondicionador-plusbelle-esen-oleo-nut-coco-70-2/p</t>
        </is>
      </c>
      <c r="P276" s="4">
        <f>TRIM(CLEAN(PROPER(D276)))</f>
        <v/>
      </c>
      <c r="Q276" s="4">
        <f>PROPER(TRIM(SUBSTITUTE(SUBSTITUTE(SUBSTITUTE(SUBSTITUTE(E276,"TRESEMME","Tresemme"),"HEAD &amp; SHOULDERS","Head &amp; Shoulders"),"ELVIVE","Elvive"),"FRUCTIS","Fructis")))</f>
        <v/>
      </c>
      <c r="R276" s="4">
        <f>COUNTIF($D$2:$D$10000,D276)&gt;1</f>
        <v/>
      </c>
      <c r="S276" s="4">
        <f>IF(H276=TRUE,"Disponible","No disponible")</f>
        <v/>
      </c>
      <c r="T276" s="4">
        <f>IF(AND(ISNUMBER(I276),I276&gt;0),ROUND(F276/I276,2),"Sin volumen")</f>
        <v/>
      </c>
      <c r="U276" s="4">
        <f>IF(F276&lt;5000,"Bajo",IF(F276&lt;15000,"Medio","Alto"))</f>
        <v/>
      </c>
    </row>
    <row r="277">
      <c r="A277" t="inlineStr">
        <is>
          <t>Jumbo</t>
        </is>
      </c>
      <c r="B277" t="n">
        <v>397902</v>
      </c>
      <c r="C277" t="n">
        <v>395637</v>
      </c>
      <c r="D277" t="inlineStr">
        <is>
          <t>Acondicionador Sedal Hialurónico Y Vitamina A 340 Ml</t>
        </is>
      </c>
      <c r="E277" t="inlineStr">
        <is>
          <t>SEDAL</t>
        </is>
      </c>
      <c r="F277" t="n">
        <v>5434</v>
      </c>
      <c r="G277" t="n">
        <v>449091</v>
      </c>
      <c r="H277" t="b">
        <v>1</v>
      </c>
      <c r="I277" t="n">
        <v>340</v>
      </c>
      <c r="J277" t="n">
        <v>15.9824</v>
      </c>
      <c r="K277" t="inlineStr">
        <is>
          <t>&gt; Perfumería &gt; Cuidado Capilar &gt; Acondicionador &gt;</t>
        </is>
      </c>
      <c r="L277" t="inlineStr">
        <is>
          <t>acondicionador</t>
        </is>
      </c>
      <c r="M277" t="inlineStr">
        <is>
          <t>estandar</t>
        </is>
      </c>
      <c r="N277" t="inlineStr">
        <is>
          <t>general</t>
        </is>
      </c>
      <c r="O277" t="inlineStr">
        <is>
          <t>https://www.jumbo.com.ar/acondicionador-sedal-hialuronico-y-vitamina-a-340-ml-2/p</t>
        </is>
      </c>
      <c r="P277">
        <f>TRIM(CLEAN(PROPER(D277)))</f>
        <v/>
      </c>
      <c r="Q277">
        <f>PROPER(TRIM(SUBSTITUTE(SUBSTITUTE(SUBSTITUTE(SUBSTITUTE(E277,"TRESEMME","Tresemme"),"HEAD &amp; SHOULDERS","Head &amp; Shoulders"),"ELVIVE","Elvive"),"FRUCTIS","Fructis")))</f>
        <v/>
      </c>
      <c r="R277">
        <f>COUNTIF($D$2:$D$10000,D277)&gt;1</f>
        <v/>
      </c>
      <c r="S277">
        <f>IF(H277=TRUE,"Disponible","No disponible")</f>
        <v/>
      </c>
      <c r="T277">
        <f>IF(AND(ISNUMBER(I277),I277&gt;0),ROUND(F277/I277,2),"Sin volumen")</f>
        <v/>
      </c>
      <c r="U277">
        <f>IF(F277&lt;5000,"Bajo",IF(F277&lt;15000,"Medio","Alto"))</f>
        <v/>
      </c>
    </row>
    <row r="278">
      <c r="A278" s="2" t="inlineStr">
        <is>
          <t>Jumbo</t>
        </is>
      </c>
      <c r="B278" s="2" t="n">
        <v>3066020</v>
      </c>
      <c r="C278" s="2" t="n">
        <v>3065977</v>
      </c>
      <c r="D278" s="2" t="inlineStr">
        <is>
          <t>Acondicionador Anti Caida X 510 Ml Pantene</t>
        </is>
      </c>
      <c r="E278" s="2" t="inlineStr">
        <is>
          <t>PANTENE</t>
        </is>
      </c>
      <c r="F278" s="2" t="n">
        <v>16400</v>
      </c>
      <c r="G278" s="2" t="n">
        <v>1355372</v>
      </c>
      <c r="H278" s="2" t="b">
        <v>1</v>
      </c>
      <c r="I278" s="2" t="n">
        <v>510</v>
      </c>
      <c r="J278" s="2" t="n">
        <v>32.1569</v>
      </c>
      <c r="K278" s="2" t="inlineStr">
        <is>
          <t>&gt; Perfumería &gt; Cuidado Capilar &gt; Acondicionador &gt;</t>
        </is>
      </c>
      <c r="L278" s="2" t="inlineStr">
        <is>
          <t>acondicionador</t>
        </is>
      </c>
      <c r="M278" s="2" t="inlineStr">
        <is>
          <t>estandar</t>
        </is>
      </c>
      <c r="N278" s="2" t="inlineStr">
        <is>
          <t>general</t>
        </is>
      </c>
      <c r="O278" s="2" t="inlineStr">
        <is>
          <t>https://www.jumbo.com.ar/acondicionador-anti-caida-x-510-ml-pantene-2/p</t>
        </is>
      </c>
      <c r="P278" s="4">
        <f>TRIM(CLEAN(PROPER(D278)))</f>
        <v/>
      </c>
      <c r="Q278" s="4">
        <f>PROPER(TRIM(SUBSTITUTE(SUBSTITUTE(SUBSTITUTE(SUBSTITUTE(E278,"TRESEMME","Tresemme"),"HEAD &amp; SHOULDERS","Head &amp; Shoulders"),"ELVIVE","Elvive"),"FRUCTIS","Fructis")))</f>
        <v/>
      </c>
      <c r="R278" s="4">
        <f>COUNTIF($D$2:$D$10000,D278)&gt;1</f>
        <v/>
      </c>
      <c r="S278" s="4">
        <f>IF(H278=TRUE,"Disponible","No disponible")</f>
        <v/>
      </c>
      <c r="T278" s="4">
        <f>IF(AND(ISNUMBER(I278),I278&gt;0),ROUND(F278/I278,2),"Sin volumen")</f>
        <v/>
      </c>
      <c r="U278" s="4">
        <f>IF(F278&lt;5000,"Bajo",IF(F278&lt;15000,"Medio","Alto"))</f>
        <v/>
      </c>
    </row>
    <row r="279">
      <c r="A279" t="inlineStr">
        <is>
          <t>Jumbo</t>
        </is>
      </c>
      <c r="B279" t="n">
        <v>414736</v>
      </c>
      <c r="C279" t="n">
        <v>410437</v>
      </c>
      <c r="D279" t="inlineStr">
        <is>
          <t>Acondicionador para Bebé Original 200 Ml Johnson's</t>
        </is>
      </c>
      <c r="E279" t="inlineStr">
        <is>
          <t>JOHNSON´S</t>
        </is>
      </c>
      <c r="F279" t="n">
        <v>7300</v>
      </c>
      <c r="G279" t="n">
        <v>603306</v>
      </c>
      <c r="H279" t="b">
        <v>1</v>
      </c>
      <c r="I279" t="n">
        <v>200</v>
      </c>
      <c r="J279" t="n">
        <v>36.5</v>
      </c>
      <c r="K279" t="inlineStr">
        <is>
          <t>&gt; Mundo Bebe &gt; Higiene para el Bebe &gt; Higiene del Bebé &gt;</t>
        </is>
      </c>
      <c r="L279" t="inlineStr">
        <is>
          <t>acondicionador</t>
        </is>
      </c>
      <c r="M279" t="inlineStr">
        <is>
          <t>estandar</t>
        </is>
      </c>
      <c r="N279" t="inlineStr">
        <is>
          <t>bebe</t>
        </is>
      </c>
      <c r="O279" t="inlineStr">
        <is>
          <t>https://www.jumbo.com.ar/acondicionador-para-bebe-original-200-ml-johnson-s/p</t>
        </is>
      </c>
      <c r="P279">
        <f>TRIM(CLEAN(PROPER(D279)))</f>
        <v/>
      </c>
      <c r="Q279">
        <f>PROPER(TRIM(SUBSTITUTE(SUBSTITUTE(SUBSTITUTE(SUBSTITUTE(E279,"TRESEMME","Tresemme"),"HEAD &amp; SHOULDERS","Head &amp; Shoulders"),"ELVIVE","Elvive"),"FRUCTIS","Fructis")))</f>
        <v/>
      </c>
      <c r="R279">
        <f>COUNTIF($D$2:$D$10000,D279)&gt;1</f>
        <v/>
      </c>
      <c r="S279">
        <f>IF(H279=TRUE,"Disponible","No disponible")</f>
        <v/>
      </c>
      <c r="T279">
        <f>IF(AND(ISNUMBER(I279),I279&gt;0),ROUND(F279/I279,2),"Sin volumen")</f>
        <v/>
      </c>
      <c r="U279">
        <f>IF(F279&lt;5000,"Bajo",IF(F279&lt;15000,"Medio","Alto"))</f>
        <v/>
      </c>
    </row>
    <row r="280">
      <c r="A280" s="2" t="inlineStr">
        <is>
          <t>Jumbo</t>
        </is>
      </c>
      <c r="B280" s="2" t="n">
        <v>407566</v>
      </c>
      <c r="C280" s="2" t="n">
        <v>403755</v>
      </c>
      <c r="D280" s="2" t="inlineStr">
        <is>
          <t>Acondicionador Reparación Total Extreme 200 Ml Elvive</t>
        </is>
      </c>
      <c r="E280" s="2" t="inlineStr">
        <is>
          <t>ELVIVE</t>
        </is>
      </c>
      <c r="F280" s="2" t="n">
        <v>7450</v>
      </c>
      <c r="G280" s="2" t="n">
        <v>615702</v>
      </c>
      <c r="H280" s="2" t="b">
        <v>1</v>
      </c>
      <c r="I280" s="2" t="n">
        <v>200</v>
      </c>
      <c r="J280" s="2" t="n">
        <v>37.25</v>
      </c>
      <c r="K280" s="2" t="inlineStr">
        <is>
          <t>&gt; Perfumería &gt; Cuidado Capilar &gt; Acondicionador &gt;</t>
        </is>
      </c>
      <c r="L280" s="2" t="inlineStr">
        <is>
          <t>acondicionador</t>
        </is>
      </c>
      <c r="M280" s="2" t="inlineStr">
        <is>
          <t>profesional</t>
        </is>
      </c>
      <c r="N280" s="2" t="inlineStr">
        <is>
          <t>general</t>
        </is>
      </c>
      <c r="O280" s="2" t="inlineStr">
        <is>
          <t>https://www.jumbo.com.ar/acondicionador-elvive-rt5-extreme-200-ml/p</t>
        </is>
      </c>
      <c r="P280" s="4">
        <f>TRIM(CLEAN(PROPER(D280)))</f>
        <v/>
      </c>
      <c r="Q280" s="4">
        <f>PROPER(TRIM(SUBSTITUTE(SUBSTITUTE(SUBSTITUTE(SUBSTITUTE(E280,"TRESEMME","Tresemme"),"HEAD &amp; SHOULDERS","Head &amp; Shoulders"),"ELVIVE","Elvive"),"FRUCTIS","Fructis")))</f>
        <v/>
      </c>
      <c r="R280" s="4">
        <f>COUNTIF($D$2:$D$10000,D280)&gt;1</f>
        <v/>
      </c>
      <c r="S280" s="4">
        <f>IF(H280=TRUE,"Disponible","No disponible")</f>
        <v/>
      </c>
      <c r="T280" s="4">
        <f>IF(AND(ISNUMBER(I280),I280&gt;0),ROUND(F280/I280,2),"Sin volumen")</f>
        <v/>
      </c>
      <c r="U280" s="4">
        <f>IF(F280&lt;5000,"Bajo",IF(F280&lt;15000,"Medio","Alto"))</f>
        <v/>
      </c>
    </row>
    <row r="281">
      <c r="A281" t="inlineStr">
        <is>
          <t>Jumbo</t>
        </is>
      </c>
      <c r="B281" t="n">
        <v>397914</v>
      </c>
      <c r="C281" t="n">
        <v>395649</v>
      </c>
      <c r="D281" t="inlineStr">
        <is>
          <t>Acondicionador Hialuronico Y Vitamina A 190 Ml Sedal</t>
        </is>
      </c>
      <c r="E281" t="inlineStr">
        <is>
          <t>SEDAL</t>
        </is>
      </c>
      <c r="F281" t="n">
        <v>3900</v>
      </c>
      <c r="G281" t="n">
        <v>322314</v>
      </c>
      <c r="H281" t="b">
        <v>1</v>
      </c>
      <c r="I281" t="n">
        <v>190</v>
      </c>
      <c r="J281" t="n">
        <v>20.5263</v>
      </c>
      <c r="K281" t="inlineStr">
        <is>
          <t>&gt; Perfumería &gt; Cuidado Capilar &gt; Acondicionador &gt;</t>
        </is>
      </c>
      <c r="L281" t="inlineStr">
        <is>
          <t>acondicionador</t>
        </is>
      </c>
      <c r="M281" t="inlineStr">
        <is>
          <t>estandar</t>
        </is>
      </c>
      <c r="N281" t="inlineStr">
        <is>
          <t>general</t>
        </is>
      </c>
      <c r="O281" t="inlineStr">
        <is>
          <t>https://www.jumbo.com.ar/acondicionador-hialuronico-y-vitamina-a-190-ml-sedal/p</t>
        </is>
      </c>
      <c r="P281">
        <f>TRIM(CLEAN(PROPER(D281)))</f>
        <v/>
      </c>
      <c r="Q281">
        <f>PROPER(TRIM(SUBSTITUTE(SUBSTITUTE(SUBSTITUTE(SUBSTITUTE(E281,"TRESEMME","Tresemme"),"HEAD &amp; SHOULDERS","Head &amp; Shoulders"),"ELVIVE","Elvive"),"FRUCTIS","Fructis")))</f>
        <v/>
      </c>
      <c r="R281">
        <f>COUNTIF($D$2:$D$10000,D281)&gt;1</f>
        <v/>
      </c>
      <c r="S281">
        <f>IF(H281=TRUE,"Disponible","No disponible")</f>
        <v/>
      </c>
      <c r="T281">
        <f>IF(AND(ISNUMBER(I281),I281&gt;0),ROUND(F281/I281,2),"Sin volumen")</f>
        <v/>
      </c>
      <c r="U281">
        <f>IF(F281&lt;5000,"Bajo",IF(F281&lt;15000,"Medio","Alto"))</f>
        <v/>
      </c>
    </row>
    <row r="282">
      <c r="A282" s="2" t="inlineStr">
        <is>
          <t>Jumbo</t>
        </is>
      </c>
      <c r="B282" s="2" t="n">
        <v>3086639</v>
      </c>
      <c r="C282" s="2" t="n">
        <v>3085863</v>
      </c>
      <c r="D282" s="2" t="inlineStr">
        <is>
          <t>Acondicionador Oil Control X 200 Ml Fructis</t>
        </is>
      </c>
      <c r="E282" s="2" t="inlineStr">
        <is>
          <t>FRUCTIS</t>
        </is>
      </c>
      <c r="F282" s="2" t="n">
        <v>5800</v>
      </c>
      <c r="G282" s="2" t="n">
        <v>479339</v>
      </c>
      <c r="H282" s="2" t="b">
        <v>1</v>
      </c>
      <c r="I282" s="2" t="n">
        <v>200</v>
      </c>
      <c r="J282" s="2" t="n">
        <v>29</v>
      </c>
      <c r="K282" s="2" t="inlineStr">
        <is>
          <t>&gt; Perfumería &gt; Cuidado Capilar &gt; Acondicionador &gt;</t>
        </is>
      </c>
      <c r="L282" s="2" t="inlineStr">
        <is>
          <t>acondicionador</t>
        </is>
      </c>
      <c r="M282" s="2" t="inlineStr">
        <is>
          <t>estandar</t>
        </is>
      </c>
      <c r="N282" s="2" t="inlineStr">
        <is>
          <t>general</t>
        </is>
      </c>
      <c r="O282" s="2" t="inlineStr">
        <is>
          <t>https://www.jumbo.com.ar/acondicionador-oil-control-x-200-ml-fructis/p</t>
        </is>
      </c>
      <c r="P282" s="4">
        <f>TRIM(CLEAN(PROPER(D282)))</f>
        <v/>
      </c>
      <c r="Q282" s="4">
        <f>PROPER(TRIM(SUBSTITUTE(SUBSTITUTE(SUBSTITUTE(SUBSTITUTE(E282,"TRESEMME","Tresemme"),"HEAD &amp; SHOULDERS","Head &amp; Shoulders"),"ELVIVE","Elvive"),"FRUCTIS","Fructis")))</f>
        <v/>
      </c>
      <c r="R282" s="4">
        <f>COUNTIF($D$2:$D$10000,D282)&gt;1</f>
        <v/>
      </c>
      <c r="S282" s="4">
        <f>IF(H282=TRUE,"Disponible","No disponible")</f>
        <v/>
      </c>
      <c r="T282" s="4">
        <f>IF(AND(ISNUMBER(I282),I282&gt;0),ROUND(F282/I282,2),"Sin volumen")</f>
        <v/>
      </c>
      <c r="U282" s="4">
        <f>IF(F282&lt;5000,"Bajo",IF(F282&lt;15000,"Medio","Alto"))</f>
        <v/>
      </c>
    </row>
    <row r="283">
      <c r="A283" t="inlineStr">
        <is>
          <t>Jumbo</t>
        </is>
      </c>
      <c r="B283" t="n">
        <v>414509</v>
      </c>
      <c r="C283" t="n">
        <v>410232</v>
      </c>
      <c r="D283" t="inlineStr">
        <is>
          <t>Acondicionador Prebióticos + Biotina 190 Ml Sedal</t>
        </is>
      </c>
      <c r="E283" t="inlineStr">
        <is>
          <t>SEDAL</t>
        </is>
      </c>
      <c r="F283" t="n">
        <v>3900</v>
      </c>
      <c r="G283" t="n">
        <v>322314</v>
      </c>
      <c r="H283" t="b">
        <v>1</v>
      </c>
      <c r="I283" t="n">
        <v>190</v>
      </c>
      <c r="J283" t="n">
        <v>20.5263</v>
      </c>
      <c r="K283" t="inlineStr">
        <is>
          <t>&gt; Perfumería &gt; Cuidado Capilar &gt; Acondicionador &gt;</t>
        </is>
      </c>
      <c r="L283" t="inlineStr">
        <is>
          <t>acondicionador</t>
        </is>
      </c>
      <c r="M283" t="inlineStr">
        <is>
          <t>estandar</t>
        </is>
      </c>
      <c r="N283" t="inlineStr">
        <is>
          <t>general</t>
        </is>
      </c>
      <c r="O283" t="inlineStr">
        <is>
          <t>https://www.jumbo.com.ar/acondicionador-prebioticos-biotina-190-ml-sedal/p</t>
        </is>
      </c>
      <c r="P283">
        <f>TRIM(CLEAN(PROPER(D283)))</f>
        <v/>
      </c>
      <c r="Q283">
        <f>PROPER(TRIM(SUBSTITUTE(SUBSTITUTE(SUBSTITUTE(SUBSTITUTE(E283,"TRESEMME","Tresemme"),"HEAD &amp; SHOULDERS","Head &amp; Shoulders"),"ELVIVE","Elvive"),"FRUCTIS","Fructis")))</f>
        <v/>
      </c>
      <c r="R283">
        <f>COUNTIF($D$2:$D$10000,D283)&gt;1</f>
        <v/>
      </c>
      <c r="S283">
        <f>IF(H283=TRUE,"Disponible","No disponible")</f>
        <v/>
      </c>
      <c r="T283">
        <f>IF(AND(ISNUMBER(I283),I283&gt;0),ROUND(F283/I283,2),"Sin volumen")</f>
        <v/>
      </c>
      <c r="U283">
        <f>IF(F283&lt;5000,"Bajo",IF(F283&lt;15000,"Medio","Alto"))</f>
        <v/>
      </c>
    </row>
    <row r="284">
      <c r="A284" s="2" t="inlineStr">
        <is>
          <t>Jumbo</t>
        </is>
      </c>
      <c r="B284" s="2" t="n">
        <v>398318</v>
      </c>
      <c r="C284" s="2" t="n">
        <v>396051</v>
      </c>
      <c r="D284" s="2" t="inlineStr">
        <is>
          <t>Acondicionador Revitalización 300 Ml  Head &amp; Shoulders Acondicionador Head &amp; Shoulders Revitalización 300 Ml</t>
        </is>
      </c>
      <c r="E284" s="2" t="inlineStr">
        <is>
          <t>HEAD &amp; SHOULDERS</t>
        </is>
      </c>
      <c r="F284" s="2" t="n">
        <v>12200</v>
      </c>
      <c r="G284" s="2" t="n">
        <v>1008264</v>
      </c>
      <c r="H284" s="2" t="b">
        <v>1</v>
      </c>
      <c r="I284" s="2" t="n">
        <v>300</v>
      </c>
      <c r="J284" s="2" t="n">
        <v>40.6667</v>
      </c>
      <c r="K284" s="2" t="inlineStr">
        <is>
          <t>&gt; Perfumería &gt; Cuidado Capilar &gt; Acondicionador &gt;</t>
        </is>
      </c>
      <c r="L284" s="2" t="inlineStr">
        <is>
          <t>acondicionador</t>
        </is>
      </c>
      <c r="M284" s="2" t="inlineStr">
        <is>
          <t>estandar</t>
        </is>
      </c>
      <c r="N284" s="2" t="inlineStr">
        <is>
          <t>general</t>
        </is>
      </c>
      <c r="O284" s="2" t="inlineStr">
        <is>
          <t>https://www.jumbo.com.ar/acondicionador-head-shoulders-aceite-de-argan-300-ml/p</t>
        </is>
      </c>
      <c r="P284" s="4">
        <f>TRIM(CLEAN(PROPER(D284)))</f>
        <v/>
      </c>
      <c r="Q284" s="4">
        <f>PROPER(TRIM(SUBSTITUTE(SUBSTITUTE(SUBSTITUTE(SUBSTITUTE(E284,"TRESEMME","Tresemme"),"HEAD &amp; SHOULDERS","Head &amp; Shoulders"),"ELVIVE","Elvive"),"FRUCTIS","Fructis")))</f>
        <v/>
      </c>
      <c r="R284" s="4">
        <f>COUNTIF($D$2:$D$10000,D284)&gt;1</f>
        <v/>
      </c>
      <c r="S284" s="4">
        <f>IF(H284=TRUE,"Disponible","No disponible")</f>
        <v/>
      </c>
      <c r="T284" s="4">
        <f>IF(AND(ISNUMBER(I284),I284&gt;0),ROUND(F284/I284,2),"Sin volumen")</f>
        <v/>
      </c>
      <c r="U284" s="4">
        <f>IF(F284&lt;5000,"Bajo",IF(F284&lt;15000,"Medio","Alto"))</f>
        <v/>
      </c>
    </row>
    <row r="285">
      <c r="A285" t="inlineStr">
        <is>
          <t>Jumbo</t>
        </is>
      </c>
      <c r="B285" t="n">
        <v>397917</v>
      </c>
      <c r="C285" t="n">
        <v>395652</v>
      </c>
      <c r="D285" t="inlineStr">
        <is>
          <t>Acondicionador Sedal Hialurónico Y Vitamina A 650 Ml</t>
        </is>
      </c>
      <c r="E285" t="inlineStr">
        <is>
          <t>SEDAL</t>
        </is>
      </c>
      <c r="F285" t="n">
        <v>9350</v>
      </c>
      <c r="G285" t="n">
        <v>772727</v>
      </c>
      <c r="H285" t="b">
        <v>1</v>
      </c>
      <c r="I285" t="n">
        <v>650</v>
      </c>
      <c r="J285" t="n">
        <v>14.3846</v>
      </c>
      <c r="K285" t="inlineStr">
        <is>
          <t>&gt; Perfumería &gt; Cuidado Capilar &gt; Acondicionador &gt;</t>
        </is>
      </c>
      <c r="L285" t="inlineStr">
        <is>
          <t>acondicionador</t>
        </is>
      </c>
      <c r="M285" t="inlineStr">
        <is>
          <t>estandar</t>
        </is>
      </c>
      <c r="N285" t="inlineStr">
        <is>
          <t>general</t>
        </is>
      </c>
      <c r="O285" t="inlineStr">
        <is>
          <t>https://www.jumbo.com.ar/acondicionador-sedal-hialuronico-y-vitamina-a-650-ml-2/p</t>
        </is>
      </c>
      <c r="P285">
        <f>TRIM(CLEAN(PROPER(D285)))</f>
        <v/>
      </c>
      <c r="Q285">
        <f>PROPER(TRIM(SUBSTITUTE(SUBSTITUTE(SUBSTITUTE(SUBSTITUTE(E285,"TRESEMME","Tresemme"),"HEAD &amp; SHOULDERS","Head &amp; Shoulders"),"ELVIVE","Elvive"),"FRUCTIS","Fructis")))</f>
        <v/>
      </c>
      <c r="R285">
        <f>COUNTIF($D$2:$D$10000,D285)&gt;1</f>
        <v/>
      </c>
      <c r="S285">
        <f>IF(H285=TRUE,"Disponible","No disponible")</f>
        <v/>
      </c>
      <c r="T285">
        <f>IF(AND(ISNUMBER(I285),I285&gt;0),ROUND(F285/I285,2),"Sin volumen")</f>
        <v/>
      </c>
      <c r="U285">
        <f>IF(F285&lt;5000,"Bajo",IF(F285&lt;15000,"Medio","Alto"))</f>
        <v/>
      </c>
    </row>
    <row r="286">
      <c r="A286" s="2" t="inlineStr">
        <is>
          <t>Jumbo</t>
        </is>
      </c>
      <c r="B286" s="2" t="n">
        <v>3087376</v>
      </c>
      <c r="C286" s="2" t="n">
        <v>3086597</v>
      </c>
      <c r="D286" s="2" t="inlineStr">
        <is>
          <t>Acondicionador Nutrición Tri-Óleos 650 Ml Dove Acondicionador Dove Nutritri Oleos 650ml</t>
        </is>
      </c>
      <c r="E286" s="2" t="inlineStr">
        <is>
          <t>DOVE</t>
        </is>
      </c>
      <c r="F286" s="2" t="n">
        <v>16700</v>
      </c>
      <c r="G286" s="2" t="n">
        <v>1380165</v>
      </c>
      <c r="H286" s="2" t="b">
        <v>1</v>
      </c>
      <c r="I286" s="2" t="n">
        <v>650</v>
      </c>
      <c r="J286" s="2" t="n">
        <v>25.6923</v>
      </c>
      <c r="K286" s="2" t="inlineStr">
        <is>
          <t>&gt; Perfumería &gt; Cuidado Capilar &gt; Acondicionador &gt;</t>
        </is>
      </c>
      <c r="L286" s="2" t="inlineStr">
        <is>
          <t>acondicionador</t>
        </is>
      </c>
      <c r="M286" s="2" t="inlineStr">
        <is>
          <t>estandar</t>
        </is>
      </c>
      <c r="N286" s="2" t="inlineStr">
        <is>
          <t>general</t>
        </is>
      </c>
      <c r="O286" s="2" t="inlineStr">
        <is>
          <t>https://www.jumbo.com.ar/acondicionador-dove-nutritri-oleos-650ml/p</t>
        </is>
      </c>
      <c r="P286" s="4">
        <f>TRIM(CLEAN(PROPER(D286)))</f>
        <v/>
      </c>
      <c r="Q286" s="4">
        <f>PROPER(TRIM(SUBSTITUTE(SUBSTITUTE(SUBSTITUTE(SUBSTITUTE(E286,"TRESEMME","Tresemme"),"HEAD &amp; SHOULDERS","Head &amp; Shoulders"),"ELVIVE","Elvive"),"FRUCTIS","Fructis")))</f>
        <v/>
      </c>
      <c r="R286" s="4">
        <f>COUNTIF($D$2:$D$10000,D286)&gt;1</f>
        <v/>
      </c>
      <c r="S286" s="4">
        <f>IF(H286=TRUE,"Disponible","No disponible")</f>
        <v/>
      </c>
      <c r="T286" s="4">
        <f>IF(AND(ISNUMBER(I286),I286&gt;0),ROUND(F286/I286,2),"Sin volumen")</f>
        <v/>
      </c>
      <c r="U286" s="4">
        <f>IF(F286&lt;5000,"Bajo",IF(F286&lt;15000,"Medio","Alto"))</f>
        <v/>
      </c>
    </row>
    <row r="287">
      <c r="A287" t="inlineStr">
        <is>
          <t>Jumbo</t>
        </is>
      </c>
      <c r="B287" t="n">
        <v>393767</v>
      </c>
      <c r="C287" t="n">
        <v>391788</v>
      </c>
      <c r="D287" t="inlineStr">
        <is>
          <t>Acondicionador Óleo Extraordinario Nutrición 200 Ml Elvive</t>
        </is>
      </c>
      <c r="E287" t="inlineStr">
        <is>
          <t>ELVIVE</t>
        </is>
      </c>
      <c r="F287" t="n">
        <v>7450</v>
      </c>
      <c r="G287" t="n">
        <v>615702</v>
      </c>
      <c r="H287" t="b">
        <v>1</v>
      </c>
      <c r="I287" t="n">
        <v>200</v>
      </c>
      <c r="J287" t="n">
        <v>37.25</v>
      </c>
      <c r="K287" t="inlineStr">
        <is>
          <t>&gt; Perfumería &gt; Cuidado Capilar &gt; Acondicionador &gt;</t>
        </is>
      </c>
      <c r="L287" t="inlineStr">
        <is>
          <t>acondicionador</t>
        </is>
      </c>
      <c r="M287" t="inlineStr">
        <is>
          <t>profesional</t>
        </is>
      </c>
      <c r="N287" t="inlineStr">
        <is>
          <t>general</t>
        </is>
      </c>
      <c r="O287" t="inlineStr">
        <is>
          <t>https://www.jumbo.com.ar/acondicionador-oleo-extraordinario-nutricion-universal-200ml/p</t>
        </is>
      </c>
      <c r="P287">
        <f>TRIM(CLEAN(PROPER(D287)))</f>
        <v/>
      </c>
      <c r="Q287">
        <f>PROPER(TRIM(SUBSTITUTE(SUBSTITUTE(SUBSTITUTE(SUBSTITUTE(E287,"TRESEMME","Tresemme"),"HEAD &amp; SHOULDERS","Head &amp; Shoulders"),"ELVIVE","Elvive"),"FRUCTIS","Fructis")))</f>
        <v/>
      </c>
      <c r="R287">
        <f>COUNTIF($D$2:$D$10000,D287)&gt;1</f>
        <v/>
      </c>
      <c r="S287">
        <f>IF(H287=TRUE,"Disponible","No disponible")</f>
        <v/>
      </c>
      <c r="T287">
        <f>IF(AND(ISNUMBER(I287),I287&gt;0),ROUND(F287/I287,2),"Sin volumen")</f>
        <v/>
      </c>
      <c r="U287">
        <f>IF(F287&lt;5000,"Bajo",IF(F287&lt;15000,"Medio","Alto"))</f>
        <v/>
      </c>
    </row>
    <row r="288">
      <c r="A288" s="2" t="inlineStr">
        <is>
          <t>Jumbo</t>
        </is>
      </c>
      <c r="B288" s="2" t="n">
        <v>3086920</v>
      </c>
      <c r="C288" s="2" t="n">
        <v>3086144</v>
      </c>
      <c r="D288" s="2" t="inlineStr">
        <is>
          <t>Tío Nacho Acondicionador Engrosador V2 415 Ml</t>
        </is>
      </c>
      <c r="E288" s="2" t="inlineStr">
        <is>
          <t>SUAVE</t>
        </is>
      </c>
      <c r="F288" s="2" t="n">
        <v>11350</v>
      </c>
      <c r="G288" s="2" t="n">
        <v>938017</v>
      </c>
      <c r="H288" s="2" t="b">
        <v>1</v>
      </c>
      <c r="I288" s="2" t="n">
        <v>415</v>
      </c>
      <c r="J288" s="2" t="n">
        <v>27.3494</v>
      </c>
      <c r="K288" s="2" t="inlineStr">
        <is>
          <t>&gt; Perfumería &gt; Cuidado Capilar &gt; Acondicionador &gt;</t>
        </is>
      </c>
      <c r="L288" s="2" t="inlineStr">
        <is>
          <t>acondicionador</t>
        </is>
      </c>
      <c r="M288" s="2" t="inlineStr">
        <is>
          <t>estandar</t>
        </is>
      </c>
      <c r="N288" s="2" t="inlineStr">
        <is>
          <t>general</t>
        </is>
      </c>
      <c r="O288" s="2" t="inlineStr">
        <is>
          <t>https://www.jumbo.com.ar/tio-nacho-acondicionador-engrosador-v2-415-ml-2/p</t>
        </is>
      </c>
      <c r="P288" s="4">
        <f>TRIM(CLEAN(PROPER(D288)))</f>
        <v/>
      </c>
      <c r="Q288" s="4">
        <f>PROPER(TRIM(SUBSTITUTE(SUBSTITUTE(SUBSTITUTE(SUBSTITUTE(E288,"TRESEMME","Tresemme"),"HEAD &amp; SHOULDERS","Head &amp; Shoulders"),"ELVIVE","Elvive"),"FRUCTIS","Fructis")))</f>
        <v/>
      </c>
      <c r="R288" s="4">
        <f>COUNTIF($D$2:$D$10000,D288)&gt;1</f>
        <v/>
      </c>
      <c r="S288" s="4">
        <f>IF(H288=TRUE,"Disponible","No disponible")</f>
        <v/>
      </c>
      <c r="T288" s="4">
        <f>IF(AND(ISNUMBER(I288),I288&gt;0),ROUND(F288/I288,2),"Sin volumen")</f>
        <v/>
      </c>
      <c r="U288" s="4">
        <f>IF(F288&lt;5000,"Bajo",IF(F288&lt;15000,"Medio","Alto"))</f>
        <v/>
      </c>
    </row>
    <row r="289">
      <c r="A289" t="inlineStr">
        <is>
          <t>Jumbo</t>
        </is>
      </c>
      <c r="B289" t="n">
        <v>3071024</v>
      </c>
      <c r="C289" t="n">
        <v>3070595</v>
      </c>
      <c r="D289" t="inlineStr">
        <is>
          <t>Acondicionador Dream Liso Anti-frizz 750 Ml Elvive</t>
        </is>
      </c>
      <c r="E289" t="inlineStr">
        <is>
          <t>ELVIVE</t>
        </is>
      </c>
      <c r="F289" t="n">
        <v>21050</v>
      </c>
      <c r="G289" t="n">
        <v>1739669</v>
      </c>
      <c r="H289" t="b">
        <v>1</v>
      </c>
      <c r="I289" t="n">
        <v>750</v>
      </c>
      <c r="J289" t="n">
        <v>28.0667</v>
      </c>
      <c r="K289" t="inlineStr">
        <is>
          <t>&gt; Perfumería &gt; Cuidado Capilar &gt; Acondicionador &gt;</t>
        </is>
      </c>
      <c r="L289" t="inlineStr">
        <is>
          <t>acondicionador</t>
        </is>
      </c>
      <c r="M289" t="inlineStr">
        <is>
          <t>profesional</t>
        </is>
      </c>
      <c r="N289" t="inlineStr">
        <is>
          <t>general</t>
        </is>
      </c>
      <c r="O289" t="inlineStr">
        <is>
          <t>https://www.jumbo.com.ar/acondicionador-dream-liso-x-750-ml-elvive/p</t>
        </is>
      </c>
      <c r="P289">
        <f>TRIM(CLEAN(PROPER(D289)))</f>
        <v/>
      </c>
      <c r="Q289">
        <f>PROPER(TRIM(SUBSTITUTE(SUBSTITUTE(SUBSTITUTE(SUBSTITUTE(E289,"TRESEMME","Tresemme"),"HEAD &amp; SHOULDERS","Head &amp; Shoulders"),"ELVIVE","Elvive"),"FRUCTIS","Fructis")))</f>
        <v/>
      </c>
      <c r="R289">
        <f>COUNTIF($D$2:$D$10000,D289)&gt;1</f>
        <v/>
      </c>
      <c r="S289">
        <f>IF(H289=TRUE,"Disponible","No disponible")</f>
        <v/>
      </c>
      <c r="T289">
        <f>IF(AND(ISNUMBER(I289),I289&gt;0),ROUND(F289/I289,2),"Sin volumen")</f>
        <v/>
      </c>
      <c r="U289">
        <f>IF(F289&lt;5000,"Bajo",IF(F289&lt;15000,"Medio","Alto"))</f>
        <v/>
      </c>
    </row>
    <row r="290">
      <c r="A290" s="2" t="inlineStr">
        <is>
          <t>Jumbo</t>
        </is>
      </c>
      <c r="B290" s="2" t="n">
        <v>1360441</v>
      </c>
      <c r="C290" s="2" t="n">
        <v>1360025</v>
      </c>
      <c r="D290" s="2" t="inlineStr">
        <is>
          <t>Acondicionador 3 Minute Miracle Nutrición 170 Ml Pantene</t>
        </is>
      </c>
      <c r="E290" s="2" t="inlineStr">
        <is>
          <t>PANTENE</t>
        </is>
      </c>
      <c r="F290" s="2" t="n">
        <v>9850</v>
      </c>
      <c r="G290" s="2" t="n">
        <v>814050</v>
      </c>
      <c r="H290" s="2" t="b">
        <v>1</v>
      </c>
      <c r="I290" s="2" t="n">
        <v>170</v>
      </c>
      <c r="J290" s="2" t="n">
        <v>57.9412</v>
      </c>
      <c r="K290" s="2" t="inlineStr">
        <is>
          <t>&gt; Perfumería &gt; Cuidado Capilar &gt; Reparación y Tratamientos &gt;</t>
        </is>
      </c>
      <c r="L290" s="2" t="inlineStr">
        <is>
          <t>acondicionador</t>
        </is>
      </c>
      <c r="M290" s="2" t="inlineStr">
        <is>
          <t>estandar</t>
        </is>
      </c>
      <c r="N290" s="2" t="inlineStr">
        <is>
          <t>general</t>
        </is>
      </c>
      <c r="O290" s="2" t="inlineStr">
        <is>
          <t>https://www.jumbo.com.ar/acondicionador-3-minute-miracle-nutricion-170-ml-pantene-2/p</t>
        </is>
      </c>
      <c r="P290" s="4">
        <f>TRIM(CLEAN(PROPER(D290)))</f>
        <v/>
      </c>
      <c r="Q290" s="4">
        <f>PROPER(TRIM(SUBSTITUTE(SUBSTITUTE(SUBSTITUTE(SUBSTITUTE(E290,"TRESEMME","Tresemme"),"HEAD &amp; SHOULDERS","Head &amp; Shoulders"),"ELVIVE","Elvive"),"FRUCTIS","Fructis")))</f>
        <v/>
      </c>
      <c r="R290" s="4">
        <f>COUNTIF($D$2:$D$10000,D290)&gt;1</f>
        <v/>
      </c>
      <c r="S290" s="4">
        <f>IF(H290=TRUE,"Disponible","No disponible")</f>
        <v/>
      </c>
      <c r="T290" s="4">
        <f>IF(AND(ISNUMBER(I290),I290&gt;0),ROUND(F290/I290,2),"Sin volumen")</f>
        <v/>
      </c>
      <c r="U290" s="4">
        <f>IF(F290&lt;5000,"Bajo",IF(F290&lt;15000,"Medio","Alto"))</f>
        <v/>
      </c>
    </row>
    <row r="291">
      <c r="A291" t="inlineStr">
        <is>
          <t>Jumbo</t>
        </is>
      </c>
      <c r="B291" t="n">
        <v>416912</v>
      </c>
      <c r="C291" t="n">
        <v>412456</v>
      </c>
      <c r="D291" t="inlineStr">
        <is>
          <t>Acondicionador Óleo Extraordinario Rizos Definidos 200 Ml Elvive</t>
        </is>
      </c>
      <c r="E291" t="inlineStr">
        <is>
          <t>ELVIVE</t>
        </is>
      </c>
      <c r="F291" t="n">
        <v>7450</v>
      </c>
      <c r="G291" t="n">
        <v>615702</v>
      </c>
      <c r="H291" t="b">
        <v>1</v>
      </c>
      <c r="I291" t="n">
        <v>200</v>
      </c>
      <c r="J291" t="n">
        <v>37.25</v>
      </c>
      <c r="K291" t="inlineStr">
        <is>
          <t>&gt; Perfumería &gt; Cuidado Capilar &gt; Acondicionador &gt;</t>
        </is>
      </c>
      <c r="L291" t="inlineStr">
        <is>
          <t>acondicionador</t>
        </is>
      </c>
      <c r="M291" t="inlineStr">
        <is>
          <t>profesional</t>
        </is>
      </c>
      <c r="N291" t="inlineStr">
        <is>
          <t>rizado</t>
        </is>
      </c>
      <c r="O291" t="inlineStr">
        <is>
          <t>https://www.jumbo.com.ar/acondicionador-elvive-extraordinario-riso-200-ml/p</t>
        </is>
      </c>
      <c r="P291">
        <f>TRIM(CLEAN(PROPER(D291)))</f>
        <v/>
      </c>
      <c r="Q291">
        <f>PROPER(TRIM(SUBSTITUTE(SUBSTITUTE(SUBSTITUTE(SUBSTITUTE(E291,"TRESEMME","Tresemme"),"HEAD &amp; SHOULDERS","Head &amp; Shoulders"),"ELVIVE","Elvive"),"FRUCTIS","Fructis")))</f>
        <v/>
      </c>
      <c r="R291">
        <f>COUNTIF($D$2:$D$10000,D291)&gt;1</f>
        <v/>
      </c>
      <c r="S291">
        <f>IF(H291=TRUE,"Disponible","No disponible")</f>
        <v/>
      </c>
      <c r="T291">
        <f>IF(AND(ISNUMBER(I291),I291&gt;0),ROUND(F291/I291,2),"Sin volumen")</f>
        <v/>
      </c>
      <c r="U291">
        <f>IF(F291&lt;5000,"Bajo",IF(F291&lt;15000,"Medio","Alto"))</f>
        <v/>
      </c>
    </row>
    <row r="292">
      <c r="A292" s="2" t="inlineStr">
        <is>
          <t>Jumbo</t>
        </is>
      </c>
      <c r="B292" s="2" t="n">
        <v>3079026</v>
      </c>
      <c r="C292" s="2" t="n">
        <v>3078350</v>
      </c>
      <c r="D292" s="2" t="inlineStr">
        <is>
          <t>Acondicionador Nutre y Crece Bambú 250 Ml Pantene</t>
        </is>
      </c>
      <c r="E292" s="2" t="inlineStr">
        <is>
          <t>PANTENE</t>
        </is>
      </c>
      <c r="F292" s="2" t="n">
        <v>10300</v>
      </c>
      <c r="G292" s="2" t="n">
        <v>851240</v>
      </c>
      <c r="H292" s="2" t="b">
        <v>1</v>
      </c>
      <c r="I292" s="2" t="n">
        <v>250</v>
      </c>
      <c r="J292" s="2" t="n">
        <v>41.2</v>
      </c>
      <c r="K292" s="2" t="inlineStr">
        <is>
          <t>&gt; Perfumería &gt; Cuidado Capilar &gt; Acondicionador &gt;</t>
        </is>
      </c>
      <c r="L292" s="2" t="inlineStr">
        <is>
          <t>acondicionador</t>
        </is>
      </c>
      <c r="M292" s="2" t="inlineStr">
        <is>
          <t>estandar</t>
        </is>
      </c>
      <c r="N292" s="2" t="inlineStr">
        <is>
          <t>general</t>
        </is>
      </c>
      <c r="O292" s="2" t="inlineStr">
        <is>
          <t>https://www.jumbo.com.ar/acondicionador-pantene-bamboo-250ml/p</t>
        </is>
      </c>
      <c r="P292" s="4">
        <f>TRIM(CLEAN(PROPER(D292)))</f>
        <v/>
      </c>
      <c r="Q292" s="4">
        <f>PROPER(TRIM(SUBSTITUTE(SUBSTITUTE(SUBSTITUTE(SUBSTITUTE(E292,"TRESEMME","Tresemme"),"HEAD &amp; SHOULDERS","Head &amp; Shoulders"),"ELVIVE","Elvive"),"FRUCTIS","Fructis")))</f>
        <v/>
      </c>
      <c r="R292" s="4">
        <f>COUNTIF($D$2:$D$10000,D292)&gt;1</f>
        <v/>
      </c>
      <c r="S292" s="4">
        <f>IF(H292=TRUE,"Disponible","No disponible")</f>
        <v/>
      </c>
      <c r="T292" s="4">
        <f>IF(AND(ISNUMBER(I292),I292&gt;0),ROUND(F292/I292,2),"Sin volumen")</f>
        <v/>
      </c>
      <c r="U292" s="4">
        <f>IF(F292&lt;5000,"Bajo",IF(F292&lt;15000,"Medio","Alto"))</f>
        <v/>
      </c>
    </row>
    <row r="293">
      <c r="A293" t="inlineStr">
        <is>
          <t>Jumbo</t>
        </is>
      </c>
      <c r="B293" t="n">
        <v>3066019</v>
      </c>
      <c r="C293" t="n">
        <v>3065976</v>
      </c>
      <c r="D293" t="inlineStr">
        <is>
          <t>Acondicionador Anti-Caída Biotinamina B3 250 Ml Pantene</t>
        </is>
      </c>
      <c r="E293" t="inlineStr">
        <is>
          <t>PANTENE</t>
        </is>
      </c>
      <c r="F293" t="n">
        <v>10250</v>
      </c>
      <c r="G293" t="n">
        <v>847107</v>
      </c>
      <c r="H293" t="b">
        <v>1</v>
      </c>
      <c r="I293" t="n">
        <v>250</v>
      </c>
      <c r="J293" t="n">
        <v>41</v>
      </c>
      <c r="K293" t="inlineStr">
        <is>
          <t>&gt; Perfumería &gt; Cuidado Capilar &gt; Acondicionador &gt;</t>
        </is>
      </c>
      <c r="L293" t="inlineStr">
        <is>
          <t>acondicionador</t>
        </is>
      </c>
      <c r="M293" t="inlineStr">
        <is>
          <t>estandar</t>
        </is>
      </c>
      <c r="N293" t="inlineStr">
        <is>
          <t>general</t>
        </is>
      </c>
      <c r="O293" t="inlineStr">
        <is>
          <t>https://www.jumbo.com.ar/acondicionador-anti-caida-x-250-ml-pantene/p</t>
        </is>
      </c>
      <c r="P293">
        <f>TRIM(CLEAN(PROPER(D293)))</f>
        <v/>
      </c>
      <c r="Q293">
        <f>PROPER(TRIM(SUBSTITUTE(SUBSTITUTE(SUBSTITUTE(SUBSTITUTE(E293,"TRESEMME","Tresemme"),"HEAD &amp; SHOULDERS","Head &amp; Shoulders"),"ELVIVE","Elvive"),"FRUCTIS","Fructis")))</f>
        <v/>
      </c>
      <c r="R293">
        <f>COUNTIF($D$2:$D$10000,D293)&gt;1</f>
        <v/>
      </c>
      <c r="S293">
        <f>IF(H293=TRUE,"Disponible","No disponible")</f>
        <v/>
      </c>
      <c r="T293">
        <f>IF(AND(ISNUMBER(I293),I293&gt;0),ROUND(F293/I293,2),"Sin volumen")</f>
        <v/>
      </c>
      <c r="U293">
        <f>IF(F293&lt;5000,"Bajo",IF(F293&lt;15000,"Medio","Alto"))</f>
        <v/>
      </c>
    </row>
    <row r="294">
      <c r="A294" s="2" t="inlineStr">
        <is>
          <t>Jumbo</t>
        </is>
      </c>
      <c r="B294" s="2" t="n">
        <v>1361140</v>
      </c>
      <c r="C294" s="2" t="n">
        <v>1360545</v>
      </c>
      <c r="D294" s="2" t="inlineStr">
        <is>
          <t>Acondicionador Keratina Repara y Protege 200 Ml Pantene</t>
        </is>
      </c>
      <c r="E294" s="2" t="inlineStr">
        <is>
          <t>PANTENE</t>
        </is>
      </c>
      <c r="F294" s="2" t="n">
        <v>6600</v>
      </c>
      <c r="G294" s="2" t="n">
        <v>545455</v>
      </c>
      <c r="H294" s="2" t="b">
        <v>1</v>
      </c>
      <c r="I294" s="2" t="n">
        <v>200</v>
      </c>
      <c r="J294" s="2" t="n">
        <v>33</v>
      </c>
      <c r="K294" s="2" t="inlineStr">
        <is>
          <t>&gt; Perfumería &gt; Cuidado Capilar &gt; Acondicionador &gt;</t>
        </is>
      </c>
      <c r="L294" s="2" t="inlineStr">
        <is>
          <t>acondicionador</t>
        </is>
      </c>
      <c r="M294" s="2" t="inlineStr">
        <is>
          <t>estandar</t>
        </is>
      </c>
      <c r="N294" s="2" t="inlineStr">
        <is>
          <t>tratado</t>
        </is>
      </c>
      <c r="O294" s="2" t="inlineStr">
        <is>
          <t>https://www.jumbo.com.ar/acondicionador-keratina-200-ml-pantene/p</t>
        </is>
      </c>
      <c r="P294" s="4">
        <f>TRIM(CLEAN(PROPER(D294)))</f>
        <v/>
      </c>
      <c r="Q294" s="4">
        <f>PROPER(TRIM(SUBSTITUTE(SUBSTITUTE(SUBSTITUTE(SUBSTITUTE(E294,"TRESEMME","Tresemme"),"HEAD &amp; SHOULDERS","Head &amp; Shoulders"),"ELVIVE","Elvive"),"FRUCTIS","Fructis")))</f>
        <v/>
      </c>
      <c r="R294" s="4">
        <f>COUNTIF($D$2:$D$10000,D294)&gt;1</f>
        <v/>
      </c>
      <c r="S294" s="4">
        <f>IF(H294=TRUE,"Disponible","No disponible")</f>
        <v/>
      </c>
      <c r="T294" s="4">
        <f>IF(AND(ISNUMBER(I294),I294&gt;0),ROUND(F294/I294,2),"Sin volumen")</f>
        <v/>
      </c>
      <c r="U294" s="4">
        <f>IF(F294&lt;5000,"Bajo",IF(F294&lt;15000,"Medio","Alto"))</f>
        <v/>
      </c>
    </row>
    <row r="295">
      <c r="A295" t="inlineStr">
        <is>
          <t>Jumbo</t>
        </is>
      </c>
      <c r="B295" t="n">
        <v>1360448</v>
      </c>
      <c r="C295" t="n">
        <v>1360031</v>
      </c>
      <c r="D295" t="inlineStr">
        <is>
          <t>Acondicionador Glycolic Gloss Sellador de Brillo 200 Ml Elvive</t>
        </is>
      </c>
      <c r="E295" t="inlineStr">
        <is>
          <t>ELVIVE</t>
        </is>
      </c>
      <c r="F295" t="n">
        <v>8050</v>
      </c>
      <c r="G295" t="n">
        <v>665289</v>
      </c>
      <c r="H295" t="b">
        <v>1</v>
      </c>
      <c r="I295" t="n">
        <v>200</v>
      </c>
      <c r="J295" t="n">
        <v>40.25</v>
      </c>
      <c r="K295" t="inlineStr">
        <is>
          <t>&gt; Perfumería &gt; Cuidado Capilar &gt; Acondicionador &gt;</t>
        </is>
      </c>
      <c r="L295" t="inlineStr">
        <is>
          <t>acondicionador</t>
        </is>
      </c>
      <c r="M295" t="inlineStr">
        <is>
          <t>profesional</t>
        </is>
      </c>
      <c r="N295" t="inlineStr">
        <is>
          <t>general</t>
        </is>
      </c>
      <c r="O295" t="inlineStr">
        <is>
          <t>https://www.jumbo.com.ar/acondicionador-elvive-glyco-gloss-200ml/p</t>
        </is>
      </c>
      <c r="P295">
        <f>TRIM(CLEAN(PROPER(D295)))</f>
        <v/>
      </c>
      <c r="Q295">
        <f>PROPER(TRIM(SUBSTITUTE(SUBSTITUTE(SUBSTITUTE(SUBSTITUTE(E295,"TRESEMME","Tresemme"),"HEAD &amp; SHOULDERS","Head &amp; Shoulders"),"ELVIVE","Elvive"),"FRUCTIS","Fructis")))</f>
        <v/>
      </c>
      <c r="R295">
        <f>COUNTIF($D$2:$D$10000,D295)&gt;1</f>
        <v/>
      </c>
      <c r="S295">
        <f>IF(H295=TRUE,"Disponible","No disponible")</f>
        <v/>
      </c>
      <c r="T295">
        <f>IF(AND(ISNUMBER(I295),I295&gt;0),ROUND(F295/I295,2),"Sin volumen")</f>
        <v/>
      </c>
      <c r="U295">
        <f>IF(F295&lt;5000,"Bajo",IF(F295&lt;15000,"Medio","Alto"))</f>
        <v/>
      </c>
    </row>
    <row r="296">
      <c r="A296" s="2" t="inlineStr">
        <is>
          <t>Jumbo</t>
        </is>
      </c>
      <c r="B296" s="2" t="n">
        <v>3083504</v>
      </c>
      <c r="C296" s="2" t="n">
        <v>3082779</v>
      </c>
      <c r="D296" s="2" t="inlineStr">
        <is>
          <t>Acondicionador Brillo Cristalino Glycolic Cristal 200 Ml Elvive</t>
        </is>
      </c>
      <c r="E296" s="2" t="inlineStr">
        <is>
          <t>ELVIVE</t>
        </is>
      </c>
      <c r="F296" s="2" t="n">
        <v>8450</v>
      </c>
      <c r="G296" s="2" t="n">
        <v>698347</v>
      </c>
      <c r="H296" s="2" t="b">
        <v>1</v>
      </c>
      <c r="I296" s="2" t="n">
        <v>200</v>
      </c>
      <c r="J296" s="2" t="n">
        <v>42.25</v>
      </c>
      <c r="K296" s="2" t="inlineStr">
        <is>
          <t>&gt; Perfumería &gt; Cuidado Capilar &gt; Acondicionador &gt;</t>
        </is>
      </c>
      <c r="L296" s="2" t="inlineStr">
        <is>
          <t>acondicionador</t>
        </is>
      </c>
      <c r="M296" s="2" t="inlineStr">
        <is>
          <t>profesional</t>
        </is>
      </c>
      <c r="N296" s="2" t="inlineStr">
        <is>
          <t>general</t>
        </is>
      </c>
      <c r="O296" s="2" t="inlineStr">
        <is>
          <t>https://www.jumbo.com.ar/acondicionador-brillo-cristalino-glycolic-cristal-x-200-ml-elvive/p</t>
        </is>
      </c>
      <c r="P296" s="4">
        <f>TRIM(CLEAN(PROPER(D296)))</f>
        <v/>
      </c>
      <c r="Q296" s="4">
        <f>PROPER(TRIM(SUBSTITUTE(SUBSTITUTE(SUBSTITUTE(SUBSTITUTE(E296,"TRESEMME","Tresemme"),"HEAD &amp; SHOULDERS","Head &amp; Shoulders"),"ELVIVE","Elvive"),"FRUCTIS","Fructis")))</f>
        <v/>
      </c>
      <c r="R296" s="4">
        <f>COUNTIF($D$2:$D$10000,D296)&gt;1</f>
        <v/>
      </c>
      <c r="S296" s="4">
        <f>IF(H296=TRUE,"Disponible","No disponible")</f>
        <v/>
      </c>
      <c r="T296" s="4">
        <f>IF(AND(ISNUMBER(I296),I296&gt;0),ROUND(F296/I296,2),"Sin volumen")</f>
        <v/>
      </c>
      <c r="U296" s="4">
        <f>IF(F296&lt;5000,"Bajo",IF(F296&lt;15000,"Medio","Alto"))</f>
        <v/>
      </c>
    </row>
    <row r="297">
      <c r="A297" t="inlineStr">
        <is>
          <t>Jumbo</t>
        </is>
      </c>
      <c r="B297" t="n">
        <v>1360450</v>
      </c>
      <c r="C297" t="n">
        <v>1360033</v>
      </c>
      <c r="D297" t="inlineStr">
        <is>
          <t>Acondicionador Glycolic Gloss Sellador de Brillo 400 Ml Elvive</t>
        </is>
      </c>
      <c r="E297" t="inlineStr">
        <is>
          <t>ELVIVE</t>
        </is>
      </c>
      <c r="F297" t="n">
        <v>13350</v>
      </c>
      <c r="G297" t="n">
        <v>1103306</v>
      </c>
      <c r="H297" t="b">
        <v>1</v>
      </c>
      <c r="I297" t="n">
        <v>400</v>
      </c>
      <c r="J297" t="n">
        <v>33.375</v>
      </c>
      <c r="K297" t="inlineStr">
        <is>
          <t>&gt; Perfumería &gt; Cuidado Capilar &gt; Acondicionador &gt;</t>
        </is>
      </c>
      <c r="L297" t="inlineStr">
        <is>
          <t>acondicionador</t>
        </is>
      </c>
      <c r="M297" t="inlineStr">
        <is>
          <t>profesional</t>
        </is>
      </c>
      <c r="N297" t="inlineStr">
        <is>
          <t>general</t>
        </is>
      </c>
      <c r="O297" t="inlineStr">
        <is>
          <t>https://www.jumbo.com.ar/acondicionador-elvive-glyco-gloss-400ml/p</t>
        </is>
      </c>
      <c r="P297">
        <f>TRIM(CLEAN(PROPER(D297)))</f>
        <v/>
      </c>
      <c r="Q297">
        <f>PROPER(TRIM(SUBSTITUTE(SUBSTITUTE(SUBSTITUTE(SUBSTITUTE(E297,"TRESEMME","Tresemme"),"HEAD &amp; SHOULDERS","Head &amp; Shoulders"),"ELVIVE","Elvive"),"FRUCTIS","Fructis")))</f>
        <v/>
      </c>
      <c r="R297">
        <f>COUNTIF($D$2:$D$10000,D297)&gt;1</f>
        <v/>
      </c>
      <c r="S297">
        <f>IF(H297=TRUE,"Disponible","No disponible")</f>
        <v/>
      </c>
      <c r="T297">
        <f>IF(AND(ISNUMBER(I297),I297&gt;0),ROUND(F297/I297,2),"Sin volumen")</f>
        <v/>
      </c>
      <c r="U297">
        <f>IF(F297&lt;5000,"Bajo",IF(F297&lt;15000,"Medio","Alto"))</f>
        <v/>
      </c>
    </row>
    <row r="298">
      <c r="A298" s="2" t="inlineStr">
        <is>
          <t>Jumbo</t>
        </is>
      </c>
      <c r="B298" s="2" t="n">
        <v>407560</v>
      </c>
      <c r="C298" s="2" t="n">
        <v>403749</v>
      </c>
      <c r="D298" s="2" t="inlineStr">
        <is>
          <t>Acondicionador Reparación Total 5 Keratin 750 Ml Elvive</t>
        </is>
      </c>
      <c r="E298" s="2" t="inlineStr">
        <is>
          <t>ELVIVE</t>
        </is>
      </c>
      <c r="F298" s="2" t="n">
        <v>18600</v>
      </c>
      <c r="G298" s="2" t="n">
        <v>1537190</v>
      </c>
      <c r="H298" s="2" t="b">
        <v>1</v>
      </c>
      <c r="I298" s="2" t="n">
        <v>750</v>
      </c>
      <c r="J298" s="2" t="n">
        <v>24.8</v>
      </c>
      <c r="K298" s="2" t="inlineStr">
        <is>
          <t>&gt; Perfumería &gt; Cuidado Capilar &gt; Acondicionador &gt;</t>
        </is>
      </c>
      <c r="L298" s="2" t="inlineStr">
        <is>
          <t>acondicionador</t>
        </is>
      </c>
      <c r="M298" s="2" t="inlineStr">
        <is>
          <t>profesional</t>
        </is>
      </c>
      <c r="N298" s="2" t="inlineStr">
        <is>
          <t>general</t>
        </is>
      </c>
      <c r="O298" s="2" t="inlineStr">
        <is>
          <t>https://www.jumbo.com.ar/acondicionador-elvive-rt5-keratin-750ml/p</t>
        </is>
      </c>
      <c r="P298" s="4">
        <f>TRIM(CLEAN(PROPER(D298)))</f>
        <v/>
      </c>
      <c r="Q298" s="4">
        <f>PROPER(TRIM(SUBSTITUTE(SUBSTITUTE(SUBSTITUTE(SUBSTITUTE(E298,"TRESEMME","Tresemme"),"HEAD &amp; SHOULDERS","Head &amp; Shoulders"),"ELVIVE","Elvive"),"FRUCTIS","Fructis")))</f>
        <v/>
      </c>
      <c r="R298" s="4">
        <f>COUNTIF($D$2:$D$10000,D298)&gt;1</f>
        <v/>
      </c>
      <c r="S298" s="4">
        <f>IF(H298=TRUE,"Disponible","No disponible")</f>
        <v/>
      </c>
      <c r="T298" s="4">
        <f>IF(AND(ISNUMBER(I298),I298&gt;0),ROUND(F298/I298,2),"Sin volumen")</f>
        <v/>
      </c>
      <c r="U298" s="4">
        <f>IF(F298&lt;5000,"Bajo",IF(F298&lt;15000,"Medio","Alto"))</f>
        <v/>
      </c>
    </row>
    <row r="299">
      <c r="A299" t="inlineStr">
        <is>
          <t>Jumbo</t>
        </is>
      </c>
      <c r="B299" t="n">
        <v>1360452</v>
      </c>
      <c r="C299" t="n">
        <v>1360035</v>
      </c>
      <c r="D299" t="inlineStr">
        <is>
          <t>Acondicionador Glyco Gloss Sellador de Brillo 750 Ml Elvive</t>
        </is>
      </c>
      <c r="E299" t="inlineStr">
        <is>
          <t>ELVIVE</t>
        </is>
      </c>
      <c r="F299" t="n">
        <v>21350</v>
      </c>
      <c r="G299" t="n">
        <v>1764463</v>
      </c>
      <c r="H299" t="b">
        <v>1</v>
      </c>
      <c r="I299" t="n">
        <v>750</v>
      </c>
      <c r="J299" t="n">
        <v>28.4667</v>
      </c>
      <c r="K299" t="inlineStr">
        <is>
          <t>&gt; Perfumería &gt; Cuidado Capilar &gt; Acondicionador &gt;</t>
        </is>
      </c>
      <c r="L299" t="inlineStr">
        <is>
          <t>acondicionador</t>
        </is>
      </c>
      <c r="M299" t="inlineStr">
        <is>
          <t>profesional</t>
        </is>
      </c>
      <c r="N299" t="inlineStr">
        <is>
          <t>general</t>
        </is>
      </c>
      <c r="O299" t="inlineStr">
        <is>
          <t>https://www.jumbo.com.ar/acondicionador-elvive-glyco-gloss-750ml/p</t>
        </is>
      </c>
      <c r="P299">
        <f>TRIM(CLEAN(PROPER(D299)))</f>
        <v/>
      </c>
      <c r="Q299">
        <f>PROPER(TRIM(SUBSTITUTE(SUBSTITUTE(SUBSTITUTE(SUBSTITUTE(E299,"TRESEMME","Tresemme"),"HEAD &amp; SHOULDERS","Head &amp; Shoulders"),"ELVIVE","Elvive"),"FRUCTIS","Fructis")))</f>
        <v/>
      </c>
      <c r="R299">
        <f>COUNTIF($D$2:$D$10000,D299)&gt;1</f>
        <v/>
      </c>
      <c r="S299">
        <f>IF(H299=TRUE,"Disponible","No disponible")</f>
        <v/>
      </c>
      <c r="T299">
        <f>IF(AND(ISNUMBER(I299),I299&gt;0),ROUND(F299/I299,2),"Sin volumen")</f>
        <v/>
      </c>
      <c r="U299">
        <f>IF(F299&lt;5000,"Bajo",IF(F299&lt;15000,"Medio","Alto"))</f>
        <v/>
      </c>
    </row>
    <row r="300">
      <c r="A300" s="2" t="inlineStr">
        <is>
          <t>Jumbo</t>
        </is>
      </c>
      <c r="B300" s="2" t="n">
        <v>415585</v>
      </c>
      <c r="C300" s="2" t="n">
        <v>411169</v>
      </c>
      <c r="D300" s="2" t="inlineStr">
        <is>
          <t>Acondicionador Revitalización Repara y Hidrata 400 Ml Pantene</t>
        </is>
      </c>
      <c r="E300" s="2" t="inlineStr">
        <is>
          <t>PANTENE</t>
        </is>
      </c>
      <c r="F300" s="2" t="n">
        <v>10300</v>
      </c>
      <c r="G300" s="2" t="n">
        <v>851240</v>
      </c>
      <c r="H300" s="2" t="b">
        <v>1</v>
      </c>
      <c r="I300" s="2" t="n">
        <v>400</v>
      </c>
      <c r="J300" s="2" t="n">
        <v>25.75</v>
      </c>
      <c r="K300" s="2" t="inlineStr">
        <is>
          <t>&gt; Perfumería &gt; Cuidado Capilar &gt; Acondicionador &gt;</t>
        </is>
      </c>
      <c r="L300" s="2" t="inlineStr">
        <is>
          <t>acondicionador</t>
        </is>
      </c>
      <c r="M300" s="2" t="inlineStr">
        <is>
          <t>estandar</t>
        </is>
      </c>
      <c r="N300" s="2" t="inlineStr">
        <is>
          <t>seco_danado</t>
        </is>
      </c>
      <c r="O300" s="2" t="inlineStr">
        <is>
          <t>https://www.jumbo.com.ar/acondicionador-revitalizacion-400-ml-pantene/p</t>
        </is>
      </c>
      <c r="P300" s="4">
        <f>TRIM(CLEAN(PROPER(D300)))</f>
        <v/>
      </c>
      <c r="Q300" s="4">
        <f>PROPER(TRIM(SUBSTITUTE(SUBSTITUTE(SUBSTITUTE(SUBSTITUTE(E300,"TRESEMME","Tresemme"),"HEAD &amp; SHOULDERS","Head &amp; Shoulders"),"ELVIVE","Elvive"),"FRUCTIS","Fructis")))</f>
        <v/>
      </c>
      <c r="R300" s="4">
        <f>COUNTIF($D$2:$D$10000,D300)&gt;1</f>
        <v/>
      </c>
      <c r="S300" s="4">
        <f>IF(H300=TRUE,"Disponible","No disponible")</f>
        <v/>
      </c>
      <c r="T300" s="4">
        <f>IF(AND(ISNUMBER(I300),I300&gt;0),ROUND(F300/I300,2),"Sin volumen")</f>
        <v/>
      </c>
      <c r="U300" s="4">
        <f>IF(F300&lt;5000,"Bajo",IF(F300&lt;15000,"Medio","Alto"))</f>
        <v/>
      </c>
    </row>
    <row r="301">
      <c r="A301" t="inlineStr">
        <is>
          <t>Jumbo</t>
        </is>
      </c>
      <c r="B301" t="n">
        <v>401191</v>
      </c>
      <c r="C301" t="n">
        <v>398529</v>
      </c>
      <c r="D301" t="inlineStr">
        <is>
          <t>Acondicionador Detox Limpia y Purifica 700 Ml Pantene</t>
        </is>
      </c>
      <c r="E301" t="inlineStr">
        <is>
          <t>PANTENE</t>
        </is>
      </c>
      <c r="F301" t="n">
        <v>17500</v>
      </c>
      <c r="G301" t="n">
        <v>1446281</v>
      </c>
      <c r="H301" t="b">
        <v>1</v>
      </c>
      <c r="I301" t="n">
        <v>700</v>
      </c>
      <c r="J301" t="n">
        <v>25</v>
      </c>
      <c r="K301" t="inlineStr">
        <is>
          <t>&gt; Perfumería &gt; Cuidado Capilar &gt; Acondicionador &gt;</t>
        </is>
      </c>
      <c r="L301" t="inlineStr">
        <is>
          <t>acondicionador</t>
        </is>
      </c>
      <c r="M301" t="inlineStr">
        <is>
          <t>estandar</t>
        </is>
      </c>
      <c r="N301" t="inlineStr">
        <is>
          <t>general</t>
        </is>
      </c>
      <c r="O301" t="inlineStr">
        <is>
          <t>https://www.jumbo.com.ar/acondicionador-detox-limpia-purifica-700-ml-pantene-2/p</t>
        </is>
      </c>
      <c r="P301">
        <f>TRIM(CLEAN(PROPER(D301)))</f>
        <v/>
      </c>
      <c r="Q301">
        <f>PROPER(TRIM(SUBSTITUTE(SUBSTITUTE(SUBSTITUTE(SUBSTITUTE(E301,"TRESEMME","Tresemme"),"HEAD &amp; SHOULDERS","Head &amp; Shoulders"),"ELVIVE","Elvive"),"FRUCTIS","Fructis")))</f>
        <v/>
      </c>
      <c r="R301">
        <f>COUNTIF($D$2:$D$10000,D301)&gt;1</f>
        <v/>
      </c>
      <c r="S301">
        <f>IF(H301=TRUE,"Disponible","No disponible")</f>
        <v/>
      </c>
      <c r="T301">
        <f>IF(AND(ISNUMBER(I301),I301&gt;0),ROUND(F301/I301,2),"Sin volumen")</f>
        <v/>
      </c>
      <c r="U301">
        <f>IF(F301&lt;5000,"Bajo",IF(F301&lt;15000,"Medio","Alto"))</f>
        <v/>
      </c>
    </row>
    <row r="302">
      <c r="A302" s="2" t="inlineStr">
        <is>
          <t>Jumbo</t>
        </is>
      </c>
      <c r="B302" s="2" t="n">
        <v>3070161</v>
      </c>
      <c r="C302" s="2" t="n">
        <v>3069768</v>
      </c>
      <c r="D302" s="2" t="inlineStr">
        <is>
          <t>Acondicionador Keratina Repara y Protege 250 Ml Pantene</t>
        </is>
      </c>
      <c r="E302" s="2" t="inlineStr">
        <is>
          <t>PANTENE</t>
        </is>
      </c>
      <c r="F302" s="2" t="n">
        <v>10250</v>
      </c>
      <c r="G302" s="2" t="n">
        <v>847107</v>
      </c>
      <c r="H302" s="2" t="b">
        <v>1</v>
      </c>
      <c r="I302" s="2" t="n">
        <v>250</v>
      </c>
      <c r="J302" s="2" t="n">
        <v>41</v>
      </c>
      <c r="K302" s="2" t="inlineStr">
        <is>
          <t>&gt; Perfumería &gt; Cuidado Capilar &gt; Acondicionador &gt;</t>
        </is>
      </c>
      <c r="L302" s="2" t="inlineStr">
        <is>
          <t>acondicionador</t>
        </is>
      </c>
      <c r="M302" s="2" t="inlineStr">
        <is>
          <t>estandar</t>
        </is>
      </c>
      <c r="N302" s="2" t="inlineStr">
        <is>
          <t>tratado</t>
        </is>
      </c>
      <c r="O302" s="2" t="inlineStr">
        <is>
          <t>https://www.jumbo.com.ar/acondicionador-keratina-x-250-ml-pantene-2/p</t>
        </is>
      </c>
      <c r="P302" s="4">
        <f>TRIM(CLEAN(PROPER(D302)))</f>
        <v/>
      </c>
      <c r="Q302" s="4">
        <f>PROPER(TRIM(SUBSTITUTE(SUBSTITUTE(SUBSTITUTE(SUBSTITUTE(E302,"TRESEMME","Tresemme"),"HEAD &amp; SHOULDERS","Head &amp; Shoulders"),"ELVIVE","Elvive"),"FRUCTIS","Fructis")))</f>
        <v/>
      </c>
      <c r="R302" s="4">
        <f>COUNTIF($D$2:$D$10000,D302)&gt;1</f>
        <v/>
      </c>
      <c r="S302" s="4">
        <f>IF(H302=TRUE,"Disponible","No disponible")</f>
        <v/>
      </c>
      <c r="T302" s="4">
        <f>IF(AND(ISNUMBER(I302),I302&gt;0),ROUND(F302/I302,2),"Sin volumen")</f>
        <v/>
      </c>
      <c r="U302" s="4">
        <f>IF(F302&lt;5000,"Bajo",IF(F302&lt;15000,"Medio","Alto"))</f>
        <v/>
      </c>
    </row>
    <row r="303">
      <c r="A303" t="inlineStr">
        <is>
          <t>Jumbo</t>
        </is>
      </c>
      <c r="B303" t="n">
        <v>397622</v>
      </c>
      <c r="C303" t="n">
        <v>395355</v>
      </c>
      <c r="D303" t="inlineStr">
        <is>
          <t>Acondicionador Hidra Equilibrante Hialuronico Pure 750 Ml Elvive</t>
        </is>
      </c>
      <c r="E303" t="inlineStr">
        <is>
          <t>ELVIVE</t>
        </is>
      </c>
      <c r="F303" t="n">
        <v>18600</v>
      </c>
      <c r="G303" t="n">
        <v>1537190</v>
      </c>
      <c r="H303" t="b">
        <v>1</v>
      </c>
      <c r="I303" t="n">
        <v>750</v>
      </c>
      <c r="J303" t="n">
        <v>24.8</v>
      </c>
      <c r="K303" t="inlineStr">
        <is>
          <t>&gt; Perfumería &gt; Cuidado Capilar &gt; Acondicionador &gt;</t>
        </is>
      </c>
      <c r="L303" t="inlineStr">
        <is>
          <t>acondicionador</t>
        </is>
      </c>
      <c r="M303" t="inlineStr">
        <is>
          <t>profesional</t>
        </is>
      </c>
      <c r="N303" t="inlineStr">
        <is>
          <t>general</t>
        </is>
      </c>
      <c r="O303" t="inlineStr">
        <is>
          <t>https://www.jumbo.com.ar/acondicionador-elvive-hialuronico-pure-750-ml/p</t>
        </is>
      </c>
      <c r="P303">
        <f>TRIM(CLEAN(PROPER(D303)))</f>
        <v/>
      </c>
      <c r="Q303">
        <f>PROPER(TRIM(SUBSTITUTE(SUBSTITUTE(SUBSTITUTE(SUBSTITUTE(E303,"TRESEMME","Tresemme"),"HEAD &amp; SHOULDERS","Head &amp; Shoulders"),"ELVIVE","Elvive"),"FRUCTIS","Fructis")))</f>
        <v/>
      </c>
      <c r="R303">
        <f>COUNTIF($D$2:$D$10000,D303)&gt;1</f>
        <v/>
      </c>
      <c r="S303">
        <f>IF(H303=TRUE,"Disponible","No disponible")</f>
        <v/>
      </c>
      <c r="T303">
        <f>IF(AND(ISNUMBER(I303),I303&gt;0),ROUND(F303/I303,2),"Sin volumen")</f>
        <v/>
      </c>
      <c r="U303">
        <f>IF(F303&lt;5000,"Bajo",IF(F303&lt;15000,"Medio","Alto"))</f>
        <v/>
      </c>
    </row>
    <row r="304">
      <c r="A304" s="2" t="inlineStr">
        <is>
          <t>Jumbo</t>
        </is>
      </c>
      <c r="B304" s="2" t="n">
        <v>3087375</v>
      </c>
      <c r="C304" s="2" t="n">
        <v>3086596</v>
      </c>
      <c r="D304" s="2" t="inlineStr">
        <is>
          <t>Acondicionador Humectación y Coco Antioxi 650 Ml Dove Acondicionador Dove Humectcoco Antioxi 650ml</t>
        </is>
      </c>
      <c r="E304" s="2" t="inlineStr">
        <is>
          <t>DOVE</t>
        </is>
      </c>
      <c r="F304" s="2" t="n">
        <v>16700</v>
      </c>
      <c r="G304" s="2" t="n">
        <v>1380165</v>
      </c>
      <c r="H304" s="2" t="b">
        <v>1</v>
      </c>
      <c r="I304" s="2" t="n">
        <v>650</v>
      </c>
      <c r="J304" s="2" t="n">
        <v>25.6923</v>
      </c>
      <c r="K304" s="2" t="inlineStr">
        <is>
          <t>&gt; Perfumería &gt; Cuidado Capilar &gt; Acondicionador &gt;</t>
        </is>
      </c>
      <c r="L304" s="2" t="inlineStr">
        <is>
          <t>acondicionador</t>
        </is>
      </c>
      <c r="M304" s="2" t="inlineStr">
        <is>
          <t>estandar</t>
        </is>
      </c>
      <c r="N304" s="2" t="inlineStr">
        <is>
          <t>general</t>
        </is>
      </c>
      <c r="O304" s="2" t="inlineStr">
        <is>
          <t>https://www.jumbo.com.ar/acondicionador-dove-humectcoco-antioxi-650ml/p</t>
        </is>
      </c>
      <c r="P304" s="4">
        <f>TRIM(CLEAN(PROPER(D304)))</f>
        <v/>
      </c>
      <c r="Q304" s="4">
        <f>PROPER(TRIM(SUBSTITUTE(SUBSTITUTE(SUBSTITUTE(SUBSTITUTE(E304,"TRESEMME","Tresemme"),"HEAD &amp; SHOULDERS","Head &amp; Shoulders"),"ELVIVE","Elvive"),"FRUCTIS","Fructis")))</f>
        <v/>
      </c>
      <c r="R304" s="4">
        <f>COUNTIF($D$2:$D$10000,D304)&gt;1</f>
        <v/>
      </c>
      <c r="S304" s="4">
        <f>IF(H304=TRUE,"Disponible","No disponible")</f>
        <v/>
      </c>
      <c r="T304" s="4">
        <f>IF(AND(ISNUMBER(I304),I304&gt;0),ROUND(F304/I304,2),"Sin volumen")</f>
        <v/>
      </c>
      <c r="U304" s="4">
        <f>IF(F304&lt;5000,"Bajo",IF(F304&lt;15000,"Medio","Alto"))</f>
        <v/>
      </c>
    </row>
    <row r="305">
      <c r="A305" t="inlineStr">
        <is>
          <t>Jumbo</t>
        </is>
      </c>
      <c r="B305" t="n">
        <v>3086640</v>
      </c>
      <c r="C305" t="n">
        <v>3085864</v>
      </c>
      <c r="D305" t="inlineStr">
        <is>
          <t>Acondicionador Goodbye Daños Oil Control 350 Ml Fructis Acondicionador Oil Control X 350 Ml Fructis</t>
        </is>
      </c>
      <c r="E305" t="inlineStr">
        <is>
          <t>FRUCTIS</t>
        </is>
      </c>
      <c r="F305" t="n">
        <v>8550</v>
      </c>
      <c r="G305" t="n">
        <v>706612</v>
      </c>
      <c r="H305" t="b">
        <v>1</v>
      </c>
      <c r="I305" t="n">
        <v>350</v>
      </c>
      <c r="J305" t="n">
        <v>24.4286</v>
      </c>
      <c r="K305" t="inlineStr">
        <is>
          <t>&gt; Perfumería &gt; Cuidado Capilar &gt; Acondicionador &gt;</t>
        </is>
      </c>
      <c r="L305" t="inlineStr">
        <is>
          <t>acondicionador</t>
        </is>
      </c>
      <c r="M305" t="inlineStr">
        <is>
          <t>estandar</t>
        </is>
      </c>
      <c r="N305" t="inlineStr">
        <is>
          <t>general</t>
        </is>
      </c>
      <c r="O305" t="inlineStr">
        <is>
          <t>https://www.jumbo.com.ar/acondicionador-oil-control-x-350-ml-fructis/p</t>
        </is>
      </c>
      <c r="P305">
        <f>TRIM(CLEAN(PROPER(D305)))</f>
        <v/>
      </c>
      <c r="Q305">
        <f>PROPER(TRIM(SUBSTITUTE(SUBSTITUTE(SUBSTITUTE(SUBSTITUTE(E305,"TRESEMME","Tresemme"),"HEAD &amp; SHOULDERS","Head &amp; Shoulders"),"ELVIVE","Elvive"),"FRUCTIS","Fructis")))</f>
        <v/>
      </c>
      <c r="R305">
        <f>COUNTIF($D$2:$D$10000,D305)&gt;1</f>
        <v/>
      </c>
      <c r="S305">
        <f>IF(H305=TRUE,"Disponible","No disponible")</f>
        <v/>
      </c>
      <c r="T305">
        <f>IF(AND(ISNUMBER(I305),I305&gt;0),ROUND(F305/I305,2),"Sin volumen")</f>
        <v/>
      </c>
      <c r="U305">
        <f>IF(F305&lt;5000,"Bajo",IF(F305&lt;15000,"Medio","Alto"))</f>
        <v/>
      </c>
    </row>
    <row r="306">
      <c r="A306" s="2" t="inlineStr">
        <is>
          <t>Jumbo</t>
        </is>
      </c>
      <c r="B306" s="2" t="n">
        <v>3065220</v>
      </c>
      <c r="C306" s="2" t="n">
        <v>3065219</v>
      </c>
      <c r="D306" s="2" t="inlineStr">
        <is>
          <t>Acondicionador Pro-v Miracles Hidrata 700 Ml Pantene</t>
        </is>
      </c>
      <c r="E306" s="2" t="inlineStr">
        <is>
          <t>PANTENE</t>
        </is>
      </c>
      <c r="F306" s="2" t="n">
        <v>17250</v>
      </c>
      <c r="G306" s="2" t="n">
        <v>1425620</v>
      </c>
      <c r="H306" s="2" t="b">
        <v>1</v>
      </c>
      <c r="I306" s="2" t="n">
        <v>700</v>
      </c>
      <c r="J306" s="2" t="n">
        <v>24.6429</v>
      </c>
      <c r="K306" s="2" t="inlineStr">
        <is>
          <t>&gt; Perfumería &gt; Cuidado Capilar &gt; Acondicionador &gt;</t>
        </is>
      </c>
      <c r="L306" s="2" t="inlineStr">
        <is>
          <t>acondicionador</t>
        </is>
      </c>
      <c r="M306" s="2" t="inlineStr">
        <is>
          <t>profesional</t>
        </is>
      </c>
      <c r="N306" s="2" t="inlineStr">
        <is>
          <t>seco_danado</t>
        </is>
      </c>
      <c r="O306" s="2" t="inlineStr">
        <is>
          <t>https://www.jumbo.com.ar/acondicionador-pro-v-miracles-hidrata-700-ml-pantene-2/p</t>
        </is>
      </c>
      <c r="P306" s="4">
        <f>TRIM(CLEAN(PROPER(D306)))</f>
        <v/>
      </c>
      <c r="Q306" s="4">
        <f>PROPER(TRIM(SUBSTITUTE(SUBSTITUTE(SUBSTITUTE(SUBSTITUTE(E306,"TRESEMME","Tresemme"),"HEAD &amp; SHOULDERS","Head &amp; Shoulders"),"ELVIVE","Elvive"),"FRUCTIS","Fructis")))</f>
        <v/>
      </c>
      <c r="R306" s="4">
        <f>COUNTIF($D$2:$D$10000,D306)&gt;1</f>
        <v/>
      </c>
      <c r="S306" s="4">
        <f>IF(H306=TRUE,"Disponible","No disponible")</f>
        <v/>
      </c>
      <c r="T306" s="4">
        <f>IF(AND(ISNUMBER(I306),I306&gt;0),ROUND(F306/I306,2),"Sin volumen")</f>
        <v/>
      </c>
      <c r="U306" s="4">
        <f>IF(F306&lt;5000,"Bajo",IF(F306&lt;15000,"Medio","Alto"))</f>
        <v/>
      </c>
    </row>
    <row r="307">
      <c r="A307" t="inlineStr">
        <is>
          <t>Jumbo</t>
        </is>
      </c>
      <c r="B307" t="n">
        <v>1371393</v>
      </c>
      <c r="C307" t="n">
        <v>1369515</v>
      </c>
      <c r="D307" t="inlineStr">
        <is>
          <t>Acondicionador Aloe Hidra Clean Hidratación 350 Ml Fructis</t>
        </is>
      </c>
      <c r="E307" t="inlineStr">
        <is>
          <t>FRUCTIS</t>
        </is>
      </c>
      <c r="F307" t="n">
        <v>8250</v>
      </c>
      <c r="G307" t="n">
        <v>681818</v>
      </c>
      <c r="H307" t="b">
        <v>1</v>
      </c>
      <c r="I307" t="n">
        <v>350</v>
      </c>
      <c r="J307" t="n">
        <v>23.5714</v>
      </c>
      <c r="K307" t="inlineStr">
        <is>
          <t>&gt; Perfumería &gt; Cuidado Capilar &gt; Acondicionador &gt;</t>
        </is>
      </c>
      <c r="L307" t="inlineStr">
        <is>
          <t>acondicionador</t>
        </is>
      </c>
      <c r="M307" t="inlineStr">
        <is>
          <t>estandar</t>
        </is>
      </c>
      <c r="N307" t="inlineStr">
        <is>
          <t>seco_danado</t>
        </is>
      </c>
      <c r="O307" t="inlineStr">
        <is>
          <t>https://www.jumbo.com.ar/acondicionador-fructis-aloe-water-350-ml-2/p</t>
        </is>
      </c>
      <c r="P307">
        <f>TRIM(CLEAN(PROPER(D307)))</f>
        <v/>
      </c>
      <c r="Q307">
        <f>PROPER(TRIM(SUBSTITUTE(SUBSTITUTE(SUBSTITUTE(SUBSTITUTE(E307,"TRESEMME","Tresemme"),"HEAD &amp; SHOULDERS","Head &amp; Shoulders"),"ELVIVE","Elvive"),"FRUCTIS","Fructis")))</f>
        <v/>
      </c>
      <c r="R307">
        <f>COUNTIF($D$2:$D$10000,D307)&gt;1</f>
        <v/>
      </c>
      <c r="S307">
        <f>IF(H307=TRUE,"Disponible","No disponible")</f>
        <v/>
      </c>
      <c r="T307">
        <f>IF(AND(ISNUMBER(I307),I307&gt;0),ROUND(F307/I307,2),"Sin volumen")</f>
        <v/>
      </c>
      <c r="U307">
        <f>IF(F307&lt;5000,"Bajo",IF(F307&lt;15000,"Medio","Alto"))</f>
        <v/>
      </c>
    </row>
    <row r="308">
      <c r="A308" s="2" t="inlineStr">
        <is>
          <t>Jumbo</t>
        </is>
      </c>
      <c r="B308" s="2" t="n">
        <v>1362524</v>
      </c>
      <c r="C308" s="2" t="n">
        <v>1361772</v>
      </c>
      <c r="D308" s="2" t="inlineStr">
        <is>
          <t>Acondicionador Reparación Total 5 Keratin 200 Ml Elvive</t>
        </is>
      </c>
      <c r="E308" s="2" t="inlineStr">
        <is>
          <t>ELVIVE</t>
        </is>
      </c>
      <c r="F308" s="2" t="n">
        <v>7450</v>
      </c>
      <c r="G308" s="2" t="n">
        <v>615702</v>
      </c>
      <c r="H308" s="2" t="b">
        <v>1</v>
      </c>
      <c r="I308" s="2" t="n">
        <v>200</v>
      </c>
      <c r="J308" s="2" t="n">
        <v>37.25</v>
      </c>
      <c r="K308" s="2" t="inlineStr">
        <is>
          <t>&gt; Perfumería &gt; Cuidado Capilar &gt; Acondicionador &gt;</t>
        </is>
      </c>
      <c r="L308" s="2" t="inlineStr">
        <is>
          <t>acondicionador</t>
        </is>
      </c>
      <c r="M308" s="2" t="inlineStr">
        <is>
          <t>profesional</t>
        </is>
      </c>
      <c r="N308" s="2" t="inlineStr">
        <is>
          <t>general</t>
        </is>
      </c>
      <c r="O308" s="2" t="inlineStr">
        <is>
          <t>https://www.jumbo.com.ar/acondicionador-elvive-reparacion-total-5-keratin-200-ml/p</t>
        </is>
      </c>
      <c r="P308" s="4">
        <f>TRIM(CLEAN(PROPER(D308)))</f>
        <v/>
      </c>
      <c r="Q308" s="4">
        <f>PROPER(TRIM(SUBSTITUTE(SUBSTITUTE(SUBSTITUTE(SUBSTITUTE(E308,"TRESEMME","Tresemme"),"HEAD &amp; SHOULDERS","Head &amp; Shoulders"),"ELVIVE","Elvive"),"FRUCTIS","Fructis")))</f>
        <v/>
      </c>
      <c r="R308" s="4">
        <f>COUNTIF($D$2:$D$10000,D308)&gt;1</f>
        <v/>
      </c>
      <c r="S308" s="4">
        <f>IF(H308=TRUE,"Disponible","No disponible")</f>
        <v/>
      </c>
      <c r="T308" s="4">
        <f>IF(AND(ISNUMBER(I308),I308&gt;0),ROUND(F308/I308,2),"Sin volumen")</f>
        <v/>
      </c>
      <c r="U308" s="4">
        <f>IF(F308&lt;5000,"Bajo",IF(F308&lt;15000,"Medio","Alto"))</f>
        <v/>
      </c>
    </row>
    <row r="309">
      <c r="A309" t="inlineStr">
        <is>
          <t>Jumbo</t>
        </is>
      </c>
      <c r="B309" t="n">
        <v>405287</v>
      </c>
      <c r="C309" t="n">
        <v>402222</v>
      </c>
      <c r="D309" t="inlineStr">
        <is>
          <t>Acondicionador Hydraliss Hidratación y Frizz 350 Ml Fructis</t>
        </is>
      </c>
      <c r="E309" t="inlineStr">
        <is>
          <t>FRUCTIS</t>
        </is>
      </c>
      <c r="F309" t="n">
        <v>8250</v>
      </c>
      <c r="G309" t="n">
        <v>681818</v>
      </c>
      <c r="H309" t="b">
        <v>1</v>
      </c>
      <c r="I309" t="n">
        <v>350</v>
      </c>
      <c r="J309" t="n">
        <v>23.5714</v>
      </c>
      <c r="K309" t="inlineStr">
        <is>
          <t>&gt; Perfumería &gt; Cuidado Capilar &gt; Acondicionador &gt;</t>
        </is>
      </c>
      <c r="L309" t="inlineStr">
        <is>
          <t>acondicionador</t>
        </is>
      </c>
      <c r="M309" t="inlineStr">
        <is>
          <t>estandar</t>
        </is>
      </c>
      <c r="N309" t="inlineStr">
        <is>
          <t>seco_danado</t>
        </is>
      </c>
      <c r="O309" t="inlineStr">
        <is>
          <t>https://www.jumbo.com.ar/acondicionador-fructis-hydraliss-350ml/p</t>
        </is>
      </c>
      <c r="P309">
        <f>TRIM(CLEAN(PROPER(D309)))</f>
        <v/>
      </c>
      <c r="Q309">
        <f>PROPER(TRIM(SUBSTITUTE(SUBSTITUTE(SUBSTITUTE(SUBSTITUTE(E309,"TRESEMME","Tresemme"),"HEAD &amp; SHOULDERS","Head &amp; Shoulders"),"ELVIVE","Elvive"),"FRUCTIS","Fructis")))</f>
        <v/>
      </c>
      <c r="R309">
        <f>COUNTIF($D$2:$D$10000,D309)&gt;1</f>
        <v/>
      </c>
      <c r="S309">
        <f>IF(H309=TRUE,"Disponible","No disponible")</f>
        <v/>
      </c>
      <c r="T309">
        <f>IF(AND(ISNUMBER(I309),I309&gt;0),ROUND(F309/I309,2),"Sin volumen")</f>
        <v/>
      </c>
      <c r="U309">
        <f>IF(F309&lt;5000,"Bajo",IF(F309&lt;15000,"Medio","Alto"))</f>
        <v/>
      </c>
    </row>
    <row r="310">
      <c r="A310" s="2" t="inlineStr">
        <is>
          <t>Jumbo</t>
        </is>
      </c>
      <c r="B310" s="2" t="n">
        <v>3086925</v>
      </c>
      <c r="C310" s="2" t="n">
        <v>3086149</v>
      </c>
      <c r="D310" s="2" t="inlineStr">
        <is>
          <t>Acondicionador Tío Nacho Herbolaria Milenaria V2 415 Ml</t>
        </is>
      </c>
      <c r="E310" s="2" t="inlineStr">
        <is>
          <t>SUAVE</t>
        </is>
      </c>
      <c r="F310" s="2" t="n">
        <v>11350</v>
      </c>
      <c r="G310" s="2" t="n">
        <v>938017</v>
      </c>
      <c r="H310" s="2" t="b">
        <v>1</v>
      </c>
      <c r="I310" s="2" t="n">
        <v>415</v>
      </c>
      <c r="J310" s="2" t="n">
        <v>27.3494</v>
      </c>
      <c r="K310" s="2" t="inlineStr">
        <is>
          <t>&gt; Perfumería &gt; Cuidado Capilar &gt; Acondicionador &gt;</t>
        </is>
      </c>
      <c r="L310" s="2" t="inlineStr">
        <is>
          <t>acondicionador</t>
        </is>
      </c>
      <c r="M310" s="2" t="inlineStr">
        <is>
          <t>estandar</t>
        </is>
      </c>
      <c r="N310" s="2" t="inlineStr">
        <is>
          <t>general</t>
        </is>
      </c>
      <c r="O310" s="2" t="inlineStr">
        <is>
          <t>https://www.jumbo.com.ar/acondicionador-tio-nacho-herbolaria-milenaria-v2-415-ml-2/p</t>
        </is>
      </c>
      <c r="P310" s="4">
        <f>TRIM(CLEAN(PROPER(D310)))</f>
        <v/>
      </c>
      <c r="Q310" s="4">
        <f>PROPER(TRIM(SUBSTITUTE(SUBSTITUTE(SUBSTITUTE(SUBSTITUTE(E310,"TRESEMME","Tresemme"),"HEAD &amp; SHOULDERS","Head &amp; Shoulders"),"ELVIVE","Elvive"),"FRUCTIS","Fructis")))</f>
        <v/>
      </c>
      <c r="R310" s="4">
        <f>COUNTIF($D$2:$D$10000,D310)&gt;1</f>
        <v/>
      </c>
      <c r="S310" s="4">
        <f>IF(H310=TRUE,"Disponible","No disponible")</f>
        <v/>
      </c>
      <c r="T310" s="4">
        <f>IF(AND(ISNUMBER(I310),I310&gt;0),ROUND(F310/I310,2),"Sin volumen")</f>
        <v/>
      </c>
      <c r="U310" s="4">
        <f>IF(F310&lt;5000,"Bajo",IF(F310&lt;15000,"Medio","Alto"))</f>
        <v/>
      </c>
    </row>
    <row r="311">
      <c r="A311" t="inlineStr">
        <is>
          <t>Jumbo</t>
        </is>
      </c>
      <c r="B311" t="n">
        <v>412483</v>
      </c>
      <c r="C311" t="n">
        <v>408092</v>
      </c>
      <c r="D311" t="inlineStr">
        <is>
          <t>Acondicionador Liso Coco Hidratación Intensa 350 Ml Fructis</t>
        </is>
      </c>
      <c r="E311" t="inlineStr">
        <is>
          <t>FRUCTIS</t>
        </is>
      </c>
      <c r="F311" t="n">
        <v>8250</v>
      </c>
      <c r="G311" t="n">
        <v>681818</v>
      </c>
      <c r="H311" t="b">
        <v>1</v>
      </c>
      <c r="I311" t="n">
        <v>350</v>
      </c>
      <c r="J311" t="n">
        <v>23.5714</v>
      </c>
      <c r="K311" t="inlineStr">
        <is>
          <t>&gt; Perfumería &gt; Cuidado Capilar &gt; Acondicionador &gt;</t>
        </is>
      </c>
      <c r="L311" t="inlineStr">
        <is>
          <t>acondicionador</t>
        </is>
      </c>
      <c r="M311" t="inlineStr">
        <is>
          <t>estandar</t>
        </is>
      </c>
      <c r="N311" t="inlineStr">
        <is>
          <t>seco_danado</t>
        </is>
      </c>
      <c r="O311" t="inlineStr">
        <is>
          <t>https://www.jumbo.com.ar/acondicionador-fructis-liso-coco-350-ml/p</t>
        </is>
      </c>
      <c r="P311">
        <f>TRIM(CLEAN(PROPER(D311)))</f>
        <v/>
      </c>
      <c r="Q311">
        <f>PROPER(TRIM(SUBSTITUTE(SUBSTITUTE(SUBSTITUTE(SUBSTITUTE(E311,"TRESEMME","Tresemme"),"HEAD &amp; SHOULDERS","Head &amp; Shoulders"),"ELVIVE","Elvive"),"FRUCTIS","Fructis")))</f>
        <v/>
      </c>
      <c r="R311">
        <f>COUNTIF($D$2:$D$10000,D311)&gt;1</f>
        <v/>
      </c>
      <c r="S311">
        <f>IF(H311=TRUE,"Disponible","No disponible")</f>
        <v/>
      </c>
      <c r="T311">
        <f>IF(AND(ISNUMBER(I311),I311&gt;0),ROUND(F311/I311,2),"Sin volumen")</f>
        <v/>
      </c>
      <c r="U311">
        <f>IF(F311&lt;5000,"Bajo",IF(F311&lt;15000,"Medio","Alto"))</f>
        <v/>
      </c>
    </row>
    <row r="312">
      <c r="A312" s="2" t="inlineStr">
        <is>
          <t>Jumbo</t>
        </is>
      </c>
      <c r="B312" s="2" t="n">
        <v>3083498</v>
      </c>
      <c r="C312" s="2" t="n">
        <v>3082773</v>
      </c>
      <c r="D312" s="2" t="inlineStr">
        <is>
          <t>Acondicionador Brillo Cristalino Glycolic Cristal 750 Ml Elvive</t>
        </is>
      </c>
      <c r="E312" s="2" t="inlineStr">
        <is>
          <t>ELVIVE</t>
        </is>
      </c>
      <c r="F312" s="2" t="n">
        <v>22350</v>
      </c>
      <c r="G312" s="2" t="n">
        <v>1847107</v>
      </c>
      <c r="H312" s="2" t="b">
        <v>1</v>
      </c>
      <c r="I312" s="2" t="n">
        <v>750</v>
      </c>
      <c r="J312" s="2" t="n">
        <v>29.8</v>
      </c>
      <c r="K312" s="2" t="inlineStr">
        <is>
          <t>&gt; Perfumería &gt; Cuidado Capilar &gt; Acondicionador &gt;</t>
        </is>
      </c>
      <c r="L312" s="2" t="inlineStr">
        <is>
          <t>acondicionador</t>
        </is>
      </c>
      <c r="M312" s="2" t="inlineStr">
        <is>
          <t>profesional</t>
        </is>
      </c>
      <c r="N312" s="2" t="inlineStr">
        <is>
          <t>general</t>
        </is>
      </c>
      <c r="O312" s="2" t="inlineStr">
        <is>
          <t>https://www.jumbo.com.ar/acondicionador-brillo-cristalino-glycolic-cristal-x-750-ml-elvive/p</t>
        </is>
      </c>
      <c r="P312" s="4">
        <f>TRIM(CLEAN(PROPER(D312)))</f>
        <v/>
      </c>
      <c r="Q312" s="4">
        <f>PROPER(TRIM(SUBSTITUTE(SUBSTITUTE(SUBSTITUTE(SUBSTITUTE(E312,"TRESEMME","Tresemme"),"HEAD &amp; SHOULDERS","Head &amp; Shoulders"),"ELVIVE","Elvive"),"FRUCTIS","Fructis")))</f>
        <v/>
      </c>
      <c r="R312" s="4">
        <f>COUNTIF($D$2:$D$10000,D312)&gt;1</f>
        <v/>
      </c>
      <c r="S312" s="4">
        <f>IF(H312=TRUE,"Disponible","No disponible")</f>
        <v/>
      </c>
      <c r="T312" s="4">
        <f>IF(AND(ISNUMBER(I312),I312&gt;0),ROUND(F312/I312,2),"Sin volumen")</f>
        <v/>
      </c>
      <c r="U312" s="4">
        <f>IF(F312&lt;5000,"Bajo",IF(F312&lt;15000,"Medio","Alto"))</f>
        <v/>
      </c>
    </row>
    <row r="313">
      <c r="A313" t="inlineStr">
        <is>
          <t>Jumbo</t>
        </is>
      </c>
      <c r="B313" t="n">
        <v>3070986</v>
      </c>
      <c r="C313" t="n">
        <v>3070556</v>
      </c>
      <c r="D313" t="inlineStr">
        <is>
          <t>Acondicionador Sellador Liso Dream Liso 400 Ml Elvive</t>
        </is>
      </c>
      <c r="E313" t="inlineStr">
        <is>
          <t>ELVIVE</t>
        </is>
      </c>
      <c r="F313" t="n">
        <v>13350</v>
      </c>
      <c r="G313" t="n">
        <v>1103306</v>
      </c>
      <c r="H313" t="b">
        <v>1</v>
      </c>
      <c r="I313" t="n">
        <v>400</v>
      </c>
      <c r="J313" t="n">
        <v>33.375</v>
      </c>
      <c r="K313" t="inlineStr">
        <is>
          <t>&gt; Perfumería &gt; Cuidado Capilar &gt; Acondicionador &gt;</t>
        </is>
      </c>
      <c r="L313" t="inlineStr">
        <is>
          <t>acondicionador</t>
        </is>
      </c>
      <c r="M313" t="inlineStr">
        <is>
          <t>profesional</t>
        </is>
      </c>
      <c r="N313" t="inlineStr">
        <is>
          <t>general</t>
        </is>
      </c>
      <c r="O313" t="inlineStr">
        <is>
          <t>https://www.jumbo.com.ar/acondicionador-dream-liso-x-400-ml-elvive/p</t>
        </is>
      </c>
      <c r="P313">
        <f>TRIM(CLEAN(PROPER(D313)))</f>
        <v/>
      </c>
      <c r="Q313">
        <f>PROPER(TRIM(SUBSTITUTE(SUBSTITUTE(SUBSTITUTE(SUBSTITUTE(E313,"TRESEMME","Tresemme"),"HEAD &amp; SHOULDERS","Head &amp; Shoulders"),"ELVIVE","Elvive"),"FRUCTIS","Fructis")))</f>
        <v/>
      </c>
      <c r="R313">
        <f>COUNTIF($D$2:$D$10000,D313)&gt;1</f>
        <v/>
      </c>
      <c r="S313">
        <f>IF(H313=TRUE,"Disponible","No disponible")</f>
        <v/>
      </c>
      <c r="T313">
        <f>IF(AND(ISNUMBER(I313),I313&gt;0),ROUND(F313/I313,2),"Sin volumen")</f>
        <v/>
      </c>
      <c r="U313">
        <f>IF(F313&lt;5000,"Bajo",IF(F313&lt;15000,"Medio","Alto"))</f>
        <v/>
      </c>
    </row>
    <row r="314">
      <c r="A314" s="2" t="inlineStr">
        <is>
          <t>Jumbo</t>
        </is>
      </c>
      <c r="B314" s="2" t="n">
        <v>3068265</v>
      </c>
      <c r="C314" s="2" t="n">
        <v>3068093</v>
      </c>
      <c r="D314" s="2" t="inlineStr">
        <is>
          <t>Acondicionador Probiotics para Cabello Frágil 350 Ml Fructis</t>
        </is>
      </c>
      <c r="E314" s="2" t="inlineStr">
        <is>
          <t>FRUCTIS</t>
        </is>
      </c>
      <c r="F314" s="2" t="n">
        <v>8250</v>
      </c>
      <c r="G314" s="2" t="n">
        <v>681818</v>
      </c>
      <c r="H314" s="2" t="b">
        <v>1</v>
      </c>
      <c r="I314" s="2" t="n">
        <v>350</v>
      </c>
      <c r="J314" s="2" t="n">
        <v>23.5714</v>
      </c>
      <c r="K314" s="2" t="inlineStr">
        <is>
          <t>&gt; Perfumería &gt; Cuidado Capilar &gt; Acondicionador &gt;</t>
        </is>
      </c>
      <c r="L314" s="2" t="inlineStr">
        <is>
          <t>acondicionador</t>
        </is>
      </c>
      <c r="M314" s="2" t="inlineStr">
        <is>
          <t>estandar</t>
        </is>
      </c>
      <c r="N314" s="2" t="inlineStr">
        <is>
          <t>general</t>
        </is>
      </c>
      <c r="O314" s="2" t="inlineStr">
        <is>
          <t>https://www.jumbo.com.ar/acondicionador-probiotics-x-350-ml-fructis-2/p</t>
        </is>
      </c>
      <c r="P314" s="4">
        <f>TRIM(CLEAN(PROPER(D314)))</f>
        <v/>
      </c>
      <c r="Q314" s="4">
        <f>PROPER(TRIM(SUBSTITUTE(SUBSTITUTE(SUBSTITUTE(SUBSTITUTE(E314,"TRESEMME","Tresemme"),"HEAD &amp; SHOULDERS","Head &amp; Shoulders"),"ELVIVE","Elvive"),"FRUCTIS","Fructis")))</f>
        <v/>
      </c>
      <c r="R314" s="4">
        <f>COUNTIF($D$2:$D$10000,D314)&gt;1</f>
        <v/>
      </c>
      <c r="S314" s="4">
        <f>IF(H314=TRUE,"Disponible","No disponible")</f>
        <v/>
      </c>
      <c r="T314" s="4">
        <f>IF(AND(ISNUMBER(I314),I314&gt;0),ROUND(F314/I314,2),"Sin volumen")</f>
        <v/>
      </c>
      <c r="U314" s="4">
        <f>IF(F314&lt;5000,"Bajo",IF(F314&lt;15000,"Medio","Alto"))</f>
        <v/>
      </c>
    </row>
    <row r="315">
      <c r="A315" t="inlineStr">
        <is>
          <t>Jumbo</t>
        </is>
      </c>
      <c r="B315" t="n">
        <v>414729</v>
      </c>
      <c r="C315" t="n">
        <v>410430</v>
      </c>
      <c r="D315" t="inlineStr">
        <is>
          <t>Acondicionador para Bebé Cabello Claro 400 Ml Johnson's</t>
        </is>
      </c>
      <c r="E315" t="inlineStr">
        <is>
          <t>JOHNSON´S</t>
        </is>
      </c>
      <c r="F315" t="n">
        <v>12300</v>
      </c>
      <c r="G315" t="n">
        <v>1016529</v>
      </c>
      <c r="H315" t="b">
        <v>1</v>
      </c>
      <c r="I315" t="n">
        <v>400</v>
      </c>
      <c r="J315" t="n">
        <v>30.75</v>
      </c>
      <c r="K315" t="inlineStr">
        <is>
          <t>&gt; Mundo Bebe &gt; Higiene para el Bebe &gt; Higiene del Bebé &gt;</t>
        </is>
      </c>
      <c r="L315" t="inlineStr">
        <is>
          <t>acondicionador</t>
        </is>
      </c>
      <c r="M315" t="inlineStr">
        <is>
          <t>estandar</t>
        </is>
      </c>
      <c r="N315" t="inlineStr">
        <is>
          <t>bebe</t>
        </is>
      </c>
      <c r="O315" t="inlineStr">
        <is>
          <t>https://www.jumbo.com.ar/acondicionador-para-bebe-cabello-claro-400-ml-johnson-s/p</t>
        </is>
      </c>
      <c r="P315">
        <f>TRIM(CLEAN(PROPER(D315)))</f>
        <v/>
      </c>
      <c r="Q315">
        <f>PROPER(TRIM(SUBSTITUTE(SUBSTITUTE(SUBSTITUTE(SUBSTITUTE(E315,"TRESEMME","Tresemme"),"HEAD &amp; SHOULDERS","Head &amp; Shoulders"),"ELVIVE","Elvive"),"FRUCTIS","Fructis")))</f>
        <v/>
      </c>
      <c r="R315">
        <f>COUNTIF($D$2:$D$10000,D315)&gt;1</f>
        <v/>
      </c>
      <c r="S315">
        <f>IF(H315=TRUE,"Disponible","No disponible")</f>
        <v/>
      </c>
      <c r="T315">
        <f>IF(AND(ISNUMBER(I315),I315&gt;0),ROUND(F315/I315,2),"Sin volumen")</f>
        <v/>
      </c>
      <c r="U315">
        <f>IF(F315&lt;5000,"Bajo",IF(F315&lt;15000,"Medio","Alto"))</f>
        <v/>
      </c>
    </row>
    <row r="316">
      <c r="A316" s="2" t="inlineStr">
        <is>
          <t>Jumbo</t>
        </is>
      </c>
      <c r="B316" s="2" t="n">
        <v>414726</v>
      </c>
      <c r="C316" s="2" t="n">
        <v>410427</v>
      </c>
      <c r="D316" s="2" t="inlineStr">
        <is>
          <t>Acondicionador para Niños Fragancia Prolongada 200 Ml Johnson's</t>
        </is>
      </c>
      <c r="E316" s="2" t="inlineStr">
        <is>
          <t>JOHNSON´S</t>
        </is>
      </c>
      <c r="F316" s="2" t="n">
        <v>6550</v>
      </c>
      <c r="G316" s="2" t="n">
        <v>541322</v>
      </c>
      <c r="H316" s="2" t="b">
        <v>1</v>
      </c>
      <c r="I316" s="2" t="n">
        <v>200</v>
      </c>
      <c r="J316" s="2" t="n">
        <v>32.75</v>
      </c>
      <c r="K316" s="2" t="inlineStr">
        <is>
          <t>&gt; Mundo Bebe &gt; Higiene para el Bebe &gt; Higiene del Bebé &gt;</t>
        </is>
      </c>
      <c r="L316" s="2" t="inlineStr">
        <is>
          <t>acondicionador</t>
        </is>
      </c>
      <c r="M316" s="2" t="inlineStr">
        <is>
          <t>estandar</t>
        </is>
      </c>
      <c r="N316" s="2" t="inlineStr">
        <is>
          <t>bebe</t>
        </is>
      </c>
      <c r="O316" s="2" t="inlineStr">
        <is>
          <t>https://www.jumbo.com.ar/acondicionador-para-ninos-fragancia-prolongada-200-ml-johnson-s/p</t>
        </is>
      </c>
      <c r="P316" s="4">
        <f>TRIM(CLEAN(PROPER(D316)))</f>
        <v/>
      </c>
      <c r="Q316" s="4">
        <f>PROPER(TRIM(SUBSTITUTE(SUBSTITUTE(SUBSTITUTE(SUBSTITUTE(E316,"TRESEMME","Tresemme"),"HEAD &amp; SHOULDERS","Head &amp; Shoulders"),"ELVIVE","Elvive"),"FRUCTIS","Fructis")))</f>
        <v/>
      </c>
      <c r="R316" s="4">
        <f>COUNTIF($D$2:$D$10000,D316)&gt;1</f>
        <v/>
      </c>
      <c r="S316" s="4">
        <f>IF(H316=TRUE,"Disponible","No disponible")</f>
        <v/>
      </c>
      <c r="T316" s="4">
        <f>IF(AND(ISNUMBER(I316),I316&gt;0),ROUND(F316/I316,2),"Sin volumen")</f>
        <v/>
      </c>
      <c r="U316" s="4">
        <f>IF(F316&lt;5000,"Bajo",IF(F316&lt;15000,"Medio","Alto"))</f>
        <v/>
      </c>
    </row>
    <row r="317">
      <c r="A317" t="inlineStr">
        <is>
          <t>Jumbo</t>
        </is>
      </c>
      <c r="B317" t="n">
        <v>375298</v>
      </c>
      <c r="C317" t="n">
        <v>374016</v>
      </c>
      <c r="D317" t="inlineStr">
        <is>
          <t>Acondicionador Color Vive Violeta Matizador 200 Ml Elvive</t>
        </is>
      </c>
      <c r="E317" t="inlineStr">
        <is>
          <t>ELVIVE</t>
        </is>
      </c>
      <c r="F317" t="n">
        <v>7650</v>
      </c>
      <c r="G317" t="n">
        <v>632231</v>
      </c>
      <c r="H317" t="b">
        <v>1</v>
      </c>
      <c r="I317" t="n">
        <v>200</v>
      </c>
      <c r="J317" t="n">
        <v>38.25</v>
      </c>
      <c r="K317" t="inlineStr">
        <is>
          <t>&gt; Perfumería &gt; Cuidado Capilar &gt; Acondicionador &gt;</t>
        </is>
      </c>
      <c r="L317" t="inlineStr">
        <is>
          <t>acondicionador</t>
        </is>
      </c>
      <c r="M317" t="inlineStr">
        <is>
          <t>profesional</t>
        </is>
      </c>
      <c r="N317" t="inlineStr">
        <is>
          <t>tratado</t>
        </is>
      </c>
      <c r="O317" t="inlineStr">
        <is>
          <t>https://www.jumbo.com.ar/acondicionador-elvive-colorvive-violeta-matizador-200-ml/p</t>
        </is>
      </c>
      <c r="P317">
        <f>TRIM(CLEAN(PROPER(D317)))</f>
        <v/>
      </c>
      <c r="Q317">
        <f>PROPER(TRIM(SUBSTITUTE(SUBSTITUTE(SUBSTITUTE(SUBSTITUTE(E317,"TRESEMME","Tresemme"),"HEAD &amp; SHOULDERS","Head &amp; Shoulders"),"ELVIVE","Elvive"),"FRUCTIS","Fructis")))</f>
        <v/>
      </c>
      <c r="R317">
        <f>COUNTIF($D$2:$D$10000,D317)&gt;1</f>
        <v/>
      </c>
      <c r="S317">
        <f>IF(H317=TRUE,"Disponible","No disponible")</f>
        <v/>
      </c>
      <c r="T317">
        <f>IF(AND(ISNUMBER(I317),I317&gt;0),ROUND(F317/I317,2),"Sin volumen")</f>
        <v/>
      </c>
      <c r="U317">
        <f>IF(F317&lt;5000,"Bajo",IF(F317&lt;15000,"Medio","Alto"))</f>
        <v/>
      </c>
    </row>
    <row r="318">
      <c r="A318" s="2" t="inlineStr">
        <is>
          <t>Jumbo</t>
        </is>
      </c>
      <c r="B318" s="2" t="n">
        <v>3073306</v>
      </c>
      <c r="C318" s="2" t="n">
        <v>3072811</v>
      </c>
      <c r="D318" s="2" t="inlineStr">
        <is>
          <t>Acondicionador Pelo Largo y sin Frizz 350 Ml Bagovit</t>
        </is>
      </c>
      <c r="E318" s="2" t="inlineStr">
        <is>
          <t>BAGOVIT</t>
        </is>
      </c>
      <c r="F318" s="2" t="n">
        <v>9800</v>
      </c>
      <c r="G318" s="2" t="n">
        <v>809917</v>
      </c>
      <c r="H318" s="2" t="b">
        <v>1</v>
      </c>
      <c r="I318" s="2" t="n">
        <v>350</v>
      </c>
      <c r="J318" s="2" t="n">
        <v>28</v>
      </c>
      <c r="K318" s="2" t="inlineStr">
        <is>
          <t>&gt; Perfumería &gt; Cuidado Capilar &gt; Acondicionador &gt;</t>
        </is>
      </c>
      <c r="L318" s="2" t="inlineStr">
        <is>
          <t>acondicionador</t>
        </is>
      </c>
      <c r="M318" s="2" t="inlineStr">
        <is>
          <t>estandar</t>
        </is>
      </c>
      <c r="N318" s="2" t="inlineStr">
        <is>
          <t>general</t>
        </is>
      </c>
      <c r="O318" s="2" t="inlineStr">
        <is>
          <t>https://www.jumbo.com.ar/acondicionador-pelo-largo-y-sin-frizz-x-350-ml-bagovit/p</t>
        </is>
      </c>
      <c r="P318" s="4">
        <f>TRIM(CLEAN(PROPER(D318)))</f>
        <v/>
      </c>
      <c r="Q318" s="4">
        <f>PROPER(TRIM(SUBSTITUTE(SUBSTITUTE(SUBSTITUTE(SUBSTITUTE(E318,"TRESEMME","Tresemme"),"HEAD &amp; SHOULDERS","Head &amp; Shoulders"),"ELVIVE","Elvive"),"FRUCTIS","Fructis")))</f>
        <v/>
      </c>
      <c r="R318" s="4">
        <f>COUNTIF($D$2:$D$10000,D318)&gt;1</f>
        <v/>
      </c>
      <c r="S318" s="4">
        <f>IF(H318=TRUE,"Disponible","No disponible")</f>
        <v/>
      </c>
      <c r="T318" s="4">
        <f>IF(AND(ISNUMBER(I318),I318&gt;0),ROUND(F318/I318,2),"Sin volumen")</f>
        <v/>
      </c>
      <c r="U318" s="4">
        <f>IF(F318&lt;5000,"Bajo",IF(F318&lt;15000,"Medio","Alto"))</f>
        <v/>
      </c>
    </row>
    <row r="319">
      <c r="A319" t="inlineStr">
        <is>
          <t>Jumbo</t>
        </is>
      </c>
      <c r="B319" t="n">
        <v>3070157</v>
      </c>
      <c r="C319" t="n">
        <v>3069765</v>
      </c>
      <c r="D319" t="inlineStr">
        <is>
          <t>Acondicionador Colágeno Nutre y Revitaliza 250 Ml Pantene</t>
        </is>
      </c>
      <c r="E319" t="inlineStr">
        <is>
          <t>PANTENE</t>
        </is>
      </c>
      <c r="F319" t="n">
        <v>10550</v>
      </c>
      <c r="G319" t="n">
        <v>871901</v>
      </c>
      <c r="H319" t="b">
        <v>1</v>
      </c>
      <c r="I319" t="n">
        <v>250</v>
      </c>
      <c r="J319" t="n">
        <v>42.2</v>
      </c>
      <c r="K319" t="inlineStr">
        <is>
          <t>&gt; Perfumería &gt; Cuidado Capilar &gt; Acondicionador &gt;</t>
        </is>
      </c>
      <c r="L319" t="inlineStr">
        <is>
          <t>acondicionador</t>
        </is>
      </c>
      <c r="M319" t="inlineStr">
        <is>
          <t>estandar</t>
        </is>
      </c>
      <c r="N319" t="inlineStr">
        <is>
          <t>general</t>
        </is>
      </c>
      <c r="O319" t="inlineStr">
        <is>
          <t>https://www.jumbo.com.ar/acondicionador-colageno-x-250-ml-pantene-2/p</t>
        </is>
      </c>
      <c r="P319">
        <f>TRIM(CLEAN(PROPER(D319)))</f>
        <v/>
      </c>
      <c r="Q319">
        <f>PROPER(TRIM(SUBSTITUTE(SUBSTITUTE(SUBSTITUTE(SUBSTITUTE(E319,"TRESEMME","Tresemme"),"HEAD &amp; SHOULDERS","Head &amp; Shoulders"),"ELVIVE","Elvive"),"FRUCTIS","Fructis")))</f>
        <v/>
      </c>
      <c r="R319">
        <f>COUNTIF($D$2:$D$10000,D319)&gt;1</f>
        <v/>
      </c>
      <c r="S319">
        <f>IF(H319=TRUE,"Disponible","No disponible")</f>
        <v/>
      </c>
      <c r="T319">
        <f>IF(AND(ISNUMBER(I319),I319&gt;0),ROUND(F319/I319,2),"Sin volumen")</f>
        <v/>
      </c>
      <c r="U319">
        <f>IF(F319&lt;5000,"Bajo",IF(F319&lt;15000,"Medio","Alto"))</f>
        <v/>
      </c>
    </row>
    <row r="320">
      <c r="A320" s="2" t="inlineStr">
        <is>
          <t>Jumbo</t>
        </is>
      </c>
      <c r="B320" s="2" t="n">
        <v>415581</v>
      </c>
      <c r="C320" s="2" t="n">
        <v>411165</v>
      </c>
      <c r="D320" s="2" t="inlineStr">
        <is>
          <t>Acondicionador Pro-V Miracles Volumen 400 Ml Pantene</t>
        </is>
      </c>
      <c r="E320" s="2" t="inlineStr">
        <is>
          <t>PANTENE</t>
        </is>
      </c>
      <c r="F320" s="2" t="n">
        <v>10300</v>
      </c>
      <c r="G320" s="2" t="n">
        <v>851240</v>
      </c>
      <c r="H320" s="2" t="b">
        <v>1</v>
      </c>
      <c r="I320" s="2" t="n">
        <v>400</v>
      </c>
      <c r="J320" s="2" t="n">
        <v>25.75</v>
      </c>
      <c r="K320" s="2" t="inlineStr">
        <is>
          <t>&gt; Perfumería &gt; Cuidado Capilar &gt; Acondicionador &gt;</t>
        </is>
      </c>
      <c r="L320" s="2" t="inlineStr">
        <is>
          <t>acondicionador</t>
        </is>
      </c>
      <c r="M320" s="2" t="inlineStr">
        <is>
          <t>profesional</t>
        </is>
      </c>
      <c r="N320" s="2" t="inlineStr">
        <is>
          <t>general</t>
        </is>
      </c>
      <c r="O320" s="2" t="inlineStr">
        <is>
          <t>https://www.jumbo.com.ar/acondicionador-pro-v-miracles-volumen-400-ml-pantene/p</t>
        </is>
      </c>
      <c r="P320" s="4">
        <f>TRIM(CLEAN(PROPER(D320)))</f>
        <v/>
      </c>
      <c r="Q320" s="4">
        <f>PROPER(TRIM(SUBSTITUTE(SUBSTITUTE(SUBSTITUTE(SUBSTITUTE(E320,"TRESEMME","Tresemme"),"HEAD &amp; SHOULDERS","Head &amp; Shoulders"),"ELVIVE","Elvive"),"FRUCTIS","Fructis")))</f>
        <v/>
      </c>
      <c r="R320" s="4">
        <f>COUNTIF($D$2:$D$10000,D320)&gt;1</f>
        <v/>
      </c>
      <c r="S320" s="4">
        <f>IF(H320=TRUE,"Disponible","No disponible")</f>
        <v/>
      </c>
      <c r="T320" s="4">
        <f>IF(AND(ISNUMBER(I320),I320&gt;0),ROUND(F320/I320,2),"Sin volumen")</f>
        <v/>
      </c>
      <c r="U320" s="4">
        <f>IF(F320&lt;5000,"Bajo",IF(F320&lt;15000,"Medio","Alto"))</f>
        <v/>
      </c>
    </row>
    <row r="321">
      <c r="A321" t="inlineStr">
        <is>
          <t>Jumbo</t>
        </is>
      </c>
      <c r="B321" t="n">
        <v>397915</v>
      </c>
      <c r="C321" t="n">
        <v>395650</v>
      </c>
      <c r="D321" t="inlineStr">
        <is>
          <t>Acondicionador Colageno Y Vitamina C 650 Ml Sedal</t>
        </is>
      </c>
      <c r="E321" t="inlineStr">
        <is>
          <t>SEDAL</t>
        </is>
      </c>
      <c r="F321" t="n">
        <v>9350</v>
      </c>
      <c r="G321" t="n">
        <v>772727</v>
      </c>
      <c r="H321" t="b">
        <v>1</v>
      </c>
      <c r="I321" t="n">
        <v>650</v>
      </c>
      <c r="J321" t="n">
        <v>14.3846</v>
      </c>
      <c r="K321" t="inlineStr">
        <is>
          <t>&gt; Perfumería &gt; Cuidado Capilar &gt; Acondicionador &gt;</t>
        </is>
      </c>
      <c r="L321" t="inlineStr">
        <is>
          <t>acondicionador</t>
        </is>
      </c>
      <c r="M321" t="inlineStr">
        <is>
          <t>estandar</t>
        </is>
      </c>
      <c r="N321" t="inlineStr">
        <is>
          <t>general</t>
        </is>
      </c>
      <c r="O321" t="inlineStr">
        <is>
          <t>https://www.jumbo.com.ar/acondicionador-colageno-y-vitamina-c-650-ml-sedal/p</t>
        </is>
      </c>
      <c r="P321">
        <f>TRIM(CLEAN(PROPER(D321)))</f>
        <v/>
      </c>
      <c r="Q321">
        <f>PROPER(TRIM(SUBSTITUTE(SUBSTITUTE(SUBSTITUTE(SUBSTITUTE(E321,"TRESEMME","Tresemme"),"HEAD &amp; SHOULDERS","Head &amp; Shoulders"),"ELVIVE","Elvive"),"FRUCTIS","Fructis")))</f>
        <v/>
      </c>
      <c r="R321">
        <f>COUNTIF($D$2:$D$10000,D321)&gt;1</f>
        <v/>
      </c>
      <c r="S321">
        <f>IF(H321=TRUE,"Disponible","No disponible")</f>
        <v/>
      </c>
      <c r="T321">
        <f>IF(AND(ISNUMBER(I321),I321&gt;0),ROUND(F321/I321,2),"Sin volumen")</f>
        <v/>
      </c>
      <c r="U321">
        <f>IF(F321&lt;5000,"Bajo",IF(F321&lt;15000,"Medio","Alto"))</f>
        <v/>
      </c>
    </row>
    <row r="322">
      <c r="A322" s="2" t="inlineStr">
        <is>
          <t>Jumbo</t>
        </is>
      </c>
      <c r="B322" s="2" t="n">
        <v>384081</v>
      </c>
      <c r="C322" s="2" t="n">
        <v>382764</v>
      </c>
      <c r="D322" s="2" t="inlineStr">
        <is>
          <t>Acondicionador Hair Food Revitalizante Sandía 300 Ml Fructis</t>
        </is>
      </c>
      <c r="E322" s="2" t="inlineStr">
        <is>
          <t>FRUCTIS</t>
        </is>
      </c>
      <c r="F322" s="2" t="n">
        <v>12050</v>
      </c>
      <c r="G322" s="2" t="n">
        <v>995868</v>
      </c>
      <c r="H322" s="2" t="b">
        <v>1</v>
      </c>
      <c r="I322" s="2" t="n">
        <v>300</v>
      </c>
      <c r="J322" s="2" t="n">
        <v>40.1667</v>
      </c>
      <c r="K322" s="2" t="inlineStr">
        <is>
          <t>&gt; Perfumería &gt; Cuidado Capilar &gt; Acondicionador &gt;</t>
        </is>
      </c>
      <c r="L322" s="2" t="inlineStr">
        <is>
          <t>acondicionador</t>
        </is>
      </c>
      <c r="M322" s="2" t="inlineStr">
        <is>
          <t>estandar</t>
        </is>
      </c>
      <c r="N322" s="2" t="inlineStr">
        <is>
          <t>general</t>
        </is>
      </c>
      <c r="O322" s="2" t="inlineStr">
        <is>
          <t>https://www.jumbo.com.ar/acondicionador-fructis-hair-food-sandia-300-ml/p</t>
        </is>
      </c>
      <c r="P322" s="4">
        <f>TRIM(CLEAN(PROPER(D322)))</f>
        <v/>
      </c>
      <c r="Q322" s="4">
        <f>PROPER(TRIM(SUBSTITUTE(SUBSTITUTE(SUBSTITUTE(SUBSTITUTE(E322,"TRESEMME","Tresemme"),"HEAD &amp; SHOULDERS","Head &amp; Shoulders"),"ELVIVE","Elvive"),"FRUCTIS","Fructis")))</f>
        <v/>
      </c>
      <c r="R322" s="4">
        <f>COUNTIF($D$2:$D$10000,D322)&gt;1</f>
        <v/>
      </c>
      <c r="S322" s="4">
        <f>IF(H322=TRUE,"Disponible","No disponible")</f>
        <v/>
      </c>
      <c r="T322" s="4">
        <f>IF(AND(ISNUMBER(I322),I322&gt;0),ROUND(F322/I322,2),"Sin volumen")</f>
        <v/>
      </c>
      <c r="U322" s="4">
        <f>IF(F322&lt;5000,"Bajo",IF(F322&lt;15000,"Medio","Alto"))</f>
        <v/>
      </c>
    </row>
    <row r="323">
      <c r="A323" t="inlineStr">
        <is>
          <t>Jumbo</t>
        </is>
      </c>
      <c r="B323" t="n">
        <v>25079</v>
      </c>
      <c r="C323" t="n">
        <v>22240</v>
      </c>
      <c r="D323" t="inlineStr">
        <is>
          <t>Acondicionador 3 Minute Miracle Restauración 170 Ml Pantene</t>
        </is>
      </c>
      <c r="E323" t="inlineStr">
        <is>
          <t>PANTENE</t>
        </is>
      </c>
      <c r="F323" t="n">
        <v>10000</v>
      </c>
      <c r="G323" t="n">
        <v>826446</v>
      </c>
      <c r="H323" t="b">
        <v>1</v>
      </c>
      <c r="I323" t="n">
        <v>170</v>
      </c>
      <c r="J323" t="n">
        <v>58.8235</v>
      </c>
      <c r="K323" t="inlineStr">
        <is>
          <t>&gt; Perfumería &gt; Cuidado Capilar &gt; Acondicionador &gt;</t>
        </is>
      </c>
      <c r="L323" t="inlineStr">
        <is>
          <t>acondicionador</t>
        </is>
      </c>
      <c r="M323" t="inlineStr">
        <is>
          <t>estandar</t>
        </is>
      </c>
      <c r="N323" t="inlineStr">
        <is>
          <t>general</t>
        </is>
      </c>
      <c r="O323" t="inlineStr">
        <is>
          <t>https://www.jumbo.com.ar/acondicionador-diario-pantene-pro-v-3-minute-miracle-restauracion-170-ml/p</t>
        </is>
      </c>
      <c r="P323">
        <f>TRIM(CLEAN(PROPER(D323)))</f>
        <v/>
      </c>
      <c r="Q323">
        <f>PROPER(TRIM(SUBSTITUTE(SUBSTITUTE(SUBSTITUTE(SUBSTITUTE(E323,"TRESEMME","Tresemme"),"HEAD &amp; SHOULDERS","Head &amp; Shoulders"),"ELVIVE","Elvive"),"FRUCTIS","Fructis")))</f>
        <v/>
      </c>
      <c r="R323">
        <f>COUNTIF($D$2:$D$10000,D323)&gt;1</f>
        <v/>
      </c>
      <c r="S323">
        <f>IF(H323=TRUE,"Disponible","No disponible")</f>
        <v/>
      </c>
      <c r="T323">
        <f>IF(AND(ISNUMBER(I323),I323&gt;0),ROUND(F323/I323,2),"Sin volumen")</f>
        <v/>
      </c>
      <c r="U323">
        <f>IF(F323&lt;5000,"Bajo",IF(F323&lt;15000,"Medio","Alto"))</f>
        <v/>
      </c>
    </row>
    <row r="324">
      <c r="A324" s="2" t="inlineStr">
        <is>
          <t>Jumbo</t>
        </is>
      </c>
      <c r="B324" s="2" t="n">
        <v>397905</v>
      </c>
      <c r="C324" s="2" t="n">
        <v>395640</v>
      </c>
      <c r="D324" s="2" t="inlineStr">
        <is>
          <t>Acondicionador Colágeno y Vitamina C 340 Ml Sedal</t>
        </is>
      </c>
      <c r="E324" s="2" t="inlineStr">
        <is>
          <t>SEDAL</t>
        </is>
      </c>
      <c r="F324" s="2" t="n">
        <v>5800</v>
      </c>
      <c r="G324" s="2" t="n">
        <v>479339</v>
      </c>
      <c r="H324" s="2" t="b">
        <v>1</v>
      </c>
      <c r="I324" s="2" t="n">
        <v>340</v>
      </c>
      <c r="J324" s="2" t="n">
        <v>17.0588</v>
      </c>
      <c r="K324" s="2" t="inlineStr">
        <is>
          <t>&gt; Perfumería &gt; Cuidado Capilar &gt; Acondicionador &gt;</t>
        </is>
      </c>
      <c r="L324" s="2" t="inlineStr">
        <is>
          <t>acondicionador</t>
        </is>
      </c>
      <c r="M324" s="2" t="inlineStr">
        <is>
          <t>estandar</t>
        </is>
      </c>
      <c r="N324" s="2" t="inlineStr">
        <is>
          <t>general</t>
        </is>
      </c>
      <c r="O324" s="2" t="inlineStr">
        <is>
          <t>https://www.jumbo.com.ar/acondicionador-colageno-y-vitamina-c-340-ml-sedal/p</t>
        </is>
      </c>
      <c r="P324" s="4">
        <f>TRIM(CLEAN(PROPER(D324)))</f>
        <v/>
      </c>
      <c r="Q324" s="4">
        <f>PROPER(TRIM(SUBSTITUTE(SUBSTITUTE(SUBSTITUTE(SUBSTITUTE(E324,"TRESEMME","Tresemme"),"HEAD &amp; SHOULDERS","Head &amp; Shoulders"),"ELVIVE","Elvive"),"FRUCTIS","Fructis")))</f>
        <v/>
      </c>
      <c r="R324" s="4">
        <f>COUNTIF($D$2:$D$10000,D324)&gt;1</f>
        <v/>
      </c>
      <c r="S324" s="4">
        <f>IF(H324=TRUE,"Disponible","No disponible")</f>
        <v/>
      </c>
      <c r="T324" s="4">
        <f>IF(AND(ISNUMBER(I324),I324&gt;0),ROUND(F324/I324,2),"Sin volumen")</f>
        <v/>
      </c>
      <c r="U324" s="4">
        <f>IF(F324&lt;5000,"Bajo",IF(F324&lt;15000,"Medio","Alto"))</f>
        <v/>
      </c>
    </row>
    <row r="325">
      <c r="A325" t="inlineStr">
        <is>
          <t>Jumbo</t>
        </is>
      </c>
      <c r="B325" t="n">
        <v>393560</v>
      </c>
      <c r="C325" t="n">
        <v>391588</v>
      </c>
      <c r="D325" t="inlineStr">
        <is>
          <t>Acondicionador Colageno Y Vitamina C 190 Ml Sedal</t>
        </is>
      </c>
      <c r="E325" t="inlineStr">
        <is>
          <t>SEDAL</t>
        </is>
      </c>
      <c r="F325" t="n">
        <v>3900</v>
      </c>
      <c r="G325" t="n">
        <v>322314</v>
      </c>
      <c r="H325" t="b">
        <v>1</v>
      </c>
      <c r="I325" t="n">
        <v>190</v>
      </c>
      <c r="J325" t="n">
        <v>20.5263</v>
      </c>
      <c r="K325" t="inlineStr">
        <is>
          <t>&gt; Perfumería &gt; Cuidado Capilar &gt; Acondicionador &gt;</t>
        </is>
      </c>
      <c r="L325" t="inlineStr">
        <is>
          <t>acondicionador</t>
        </is>
      </c>
      <c r="M325" t="inlineStr">
        <is>
          <t>estandar</t>
        </is>
      </c>
      <c r="N325" t="inlineStr">
        <is>
          <t>general</t>
        </is>
      </c>
      <c r="O325" t="inlineStr">
        <is>
          <t>https://www.jumbo.com.ar/acondicionador-colageno-y-vitamina-c-190-ml-sedal/p</t>
        </is>
      </c>
      <c r="P325">
        <f>TRIM(CLEAN(PROPER(D325)))</f>
        <v/>
      </c>
      <c r="Q325">
        <f>PROPER(TRIM(SUBSTITUTE(SUBSTITUTE(SUBSTITUTE(SUBSTITUTE(E325,"TRESEMME","Tresemme"),"HEAD &amp; SHOULDERS","Head &amp; Shoulders"),"ELVIVE","Elvive"),"FRUCTIS","Fructis")))</f>
        <v/>
      </c>
      <c r="R325">
        <f>COUNTIF($D$2:$D$10000,D325)&gt;1</f>
        <v/>
      </c>
      <c r="S325">
        <f>IF(H325=TRUE,"Disponible","No disponible")</f>
        <v/>
      </c>
      <c r="T325">
        <f>IF(AND(ISNUMBER(I325),I325&gt;0),ROUND(F325/I325,2),"Sin volumen")</f>
        <v/>
      </c>
      <c r="U325">
        <f>IF(F325&lt;5000,"Bajo",IF(F325&lt;15000,"Medio","Alto"))</f>
        <v/>
      </c>
    </row>
    <row r="326">
      <c r="A326" s="2" t="inlineStr">
        <is>
          <t>Jumbo</t>
        </is>
      </c>
      <c r="B326" s="2" t="n">
        <v>401199</v>
      </c>
      <c r="C326" s="2" t="n">
        <v>398537</v>
      </c>
      <c r="D326" s="2" t="inlineStr">
        <is>
          <t>Acondicionador Pro-v Miracles Con Detox 400 Ml Pantene</t>
        </is>
      </c>
      <c r="E326" s="2" t="inlineStr">
        <is>
          <t>PANTENE</t>
        </is>
      </c>
      <c r="F326" s="2" t="n">
        <v>10300</v>
      </c>
      <c r="G326" s="2" t="n">
        <v>851240</v>
      </c>
      <c r="H326" s="2" t="b">
        <v>1</v>
      </c>
      <c r="I326" s="2" t="n">
        <v>400</v>
      </c>
      <c r="J326" s="2" t="n">
        <v>25.75</v>
      </c>
      <c r="K326" s="2" t="inlineStr">
        <is>
          <t>&gt; Perfumería &gt; Cuidado Capilar &gt; Acondicionador &gt;</t>
        </is>
      </c>
      <c r="L326" s="2" t="inlineStr">
        <is>
          <t>acondicionador</t>
        </is>
      </c>
      <c r="M326" s="2" t="inlineStr">
        <is>
          <t>profesional</t>
        </is>
      </c>
      <c r="N326" s="2" t="inlineStr">
        <is>
          <t>general</t>
        </is>
      </c>
      <c r="O326" s="2" t="inlineStr">
        <is>
          <t>https://www.jumbo.com.ar/acondicionador-pro-v-miracles-con-detox-400-ml-pantene-2/p</t>
        </is>
      </c>
      <c r="P326" s="4">
        <f>TRIM(CLEAN(PROPER(D326)))</f>
        <v/>
      </c>
      <c r="Q326" s="4">
        <f>PROPER(TRIM(SUBSTITUTE(SUBSTITUTE(SUBSTITUTE(SUBSTITUTE(E326,"TRESEMME","Tresemme"),"HEAD &amp; SHOULDERS","Head &amp; Shoulders"),"ELVIVE","Elvive"),"FRUCTIS","Fructis")))</f>
        <v/>
      </c>
      <c r="R326" s="4">
        <f>COUNTIF($D$2:$D$10000,D326)&gt;1</f>
        <v/>
      </c>
      <c r="S326" s="4">
        <f>IF(H326=TRUE,"Disponible","No disponible")</f>
        <v/>
      </c>
      <c r="T326" s="4">
        <f>IF(AND(ISNUMBER(I326),I326&gt;0),ROUND(F326/I326,2),"Sin volumen")</f>
        <v/>
      </c>
      <c r="U326" s="4">
        <f>IF(F326&lt;5000,"Bajo",IF(F326&lt;15000,"Medio","Alto"))</f>
        <v/>
      </c>
    </row>
    <row r="327">
      <c r="A327" t="inlineStr">
        <is>
          <t>Jumbo</t>
        </is>
      </c>
      <c r="B327" t="n">
        <v>400534</v>
      </c>
      <c r="C327" t="n">
        <v>397872</v>
      </c>
      <c r="D327" t="inlineStr">
        <is>
          <t>Acondicionador Color Vive para Cabello Teñido 750 Ml Elvive</t>
        </is>
      </c>
      <c r="E327" t="inlineStr">
        <is>
          <t>ELVIVE</t>
        </is>
      </c>
      <c r="F327" t="n">
        <v>18600</v>
      </c>
      <c r="G327" t="n">
        <v>1537190</v>
      </c>
      <c r="H327" t="b">
        <v>1</v>
      </c>
      <c r="I327" t="n">
        <v>750</v>
      </c>
      <c r="J327" t="n">
        <v>24.8</v>
      </c>
      <c r="K327" t="inlineStr">
        <is>
          <t>&gt; Perfumería &gt; Cuidado Capilar &gt; Acondicionador &gt;</t>
        </is>
      </c>
      <c r="L327" t="inlineStr">
        <is>
          <t>acondicionador</t>
        </is>
      </c>
      <c r="M327" t="inlineStr">
        <is>
          <t>profesional</t>
        </is>
      </c>
      <c r="N327" t="inlineStr">
        <is>
          <t>tratado</t>
        </is>
      </c>
      <c r="O327" t="inlineStr">
        <is>
          <t>https://www.jumbo.com.ar/acondicionador-elvive-color-vive-750-ml/p</t>
        </is>
      </c>
      <c r="P327">
        <f>TRIM(CLEAN(PROPER(D327)))</f>
        <v/>
      </c>
      <c r="Q327">
        <f>PROPER(TRIM(SUBSTITUTE(SUBSTITUTE(SUBSTITUTE(SUBSTITUTE(E327,"TRESEMME","Tresemme"),"HEAD &amp; SHOULDERS","Head &amp; Shoulders"),"ELVIVE","Elvive"),"FRUCTIS","Fructis")))</f>
        <v/>
      </c>
      <c r="R327">
        <f>COUNTIF($D$2:$D$10000,D327)&gt;1</f>
        <v/>
      </c>
      <c r="S327">
        <f>IF(H327=TRUE,"Disponible","No disponible")</f>
        <v/>
      </c>
      <c r="T327">
        <f>IF(AND(ISNUMBER(I327),I327&gt;0),ROUND(F327/I327,2),"Sin volumen")</f>
        <v/>
      </c>
      <c r="U327">
        <f>IF(F327&lt;5000,"Bajo",IF(F327&lt;15000,"Medio","Alto"))</f>
        <v/>
      </c>
    </row>
    <row r="328">
      <c r="A328" s="2" t="inlineStr">
        <is>
          <t>Jumbo</t>
        </is>
      </c>
      <c r="B328" s="2" t="n">
        <v>400533</v>
      </c>
      <c r="C328" s="2" t="n">
        <v>397871</v>
      </c>
      <c r="D328" s="2" t="inlineStr">
        <is>
          <t>Acondicionador Color Vive para Cabello Teñido 400 Ml Elvive</t>
        </is>
      </c>
      <c r="E328" s="2" t="inlineStr">
        <is>
          <t>ELVIVE</t>
        </is>
      </c>
      <c r="F328" s="2" t="n">
        <v>12050</v>
      </c>
      <c r="G328" s="2" t="n">
        <v>995868</v>
      </c>
      <c r="H328" s="2" t="b">
        <v>1</v>
      </c>
      <c r="I328" s="2" t="n">
        <v>400</v>
      </c>
      <c r="J328" s="2" t="n">
        <v>30.125</v>
      </c>
      <c r="K328" s="2" t="inlineStr">
        <is>
          <t>&gt; Perfumería &gt; Cuidado Capilar &gt; Acondicionador &gt;</t>
        </is>
      </c>
      <c r="L328" s="2" t="inlineStr">
        <is>
          <t>acondicionador</t>
        </is>
      </c>
      <c r="M328" s="2" t="inlineStr">
        <is>
          <t>profesional</t>
        </is>
      </c>
      <c r="N328" s="2" t="inlineStr">
        <is>
          <t>tratado</t>
        </is>
      </c>
      <c r="O328" s="2" t="inlineStr">
        <is>
          <t>https://www.jumbo.com.ar/acondicionador-elvive-color-vive-400-ml/p</t>
        </is>
      </c>
      <c r="P328" s="4">
        <f>TRIM(CLEAN(PROPER(D328)))</f>
        <v/>
      </c>
      <c r="Q328" s="4">
        <f>PROPER(TRIM(SUBSTITUTE(SUBSTITUTE(SUBSTITUTE(SUBSTITUTE(E328,"TRESEMME","Tresemme"),"HEAD &amp; SHOULDERS","Head &amp; Shoulders"),"ELVIVE","Elvive"),"FRUCTIS","Fructis")))</f>
        <v/>
      </c>
      <c r="R328" s="4">
        <f>COUNTIF($D$2:$D$10000,D328)&gt;1</f>
        <v/>
      </c>
      <c r="S328" s="4">
        <f>IF(H328=TRUE,"Disponible","No disponible")</f>
        <v/>
      </c>
      <c r="T328" s="4">
        <f>IF(AND(ISNUMBER(I328),I328&gt;0),ROUND(F328/I328,2),"Sin volumen")</f>
        <v/>
      </c>
      <c r="U328" s="4">
        <f>IF(F328&lt;5000,"Bajo",IF(F328&lt;15000,"Medio","Alto"))</f>
        <v/>
      </c>
    </row>
    <row r="329">
      <c r="A329" t="inlineStr">
        <is>
          <t>Jumbo</t>
        </is>
      </c>
      <c r="B329" t="n">
        <v>346771</v>
      </c>
      <c r="C329" t="n">
        <v>345446</v>
      </c>
      <c r="D329" t="inlineStr">
        <is>
          <t>Acondicionador Oleo Extraordinario Nutrición Intensa Coco 200 Ml Elvive</t>
        </is>
      </c>
      <c r="E329" t="inlineStr">
        <is>
          <t>ELVIVE</t>
        </is>
      </c>
      <c r="F329" t="n">
        <v>7250</v>
      </c>
      <c r="G329" t="n">
        <v>599174</v>
      </c>
      <c r="H329" t="b">
        <v>1</v>
      </c>
      <c r="I329" t="n">
        <v>200</v>
      </c>
      <c r="J329" t="n">
        <v>36.25</v>
      </c>
      <c r="K329" t="inlineStr">
        <is>
          <t>&gt; Perfumería &gt; Cuidado Capilar &gt; Acondicionador &gt;</t>
        </is>
      </c>
      <c r="L329" t="inlineStr">
        <is>
          <t>acondicionador</t>
        </is>
      </c>
      <c r="M329" t="inlineStr">
        <is>
          <t>profesional</t>
        </is>
      </c>
      <c r="N329" t="inlineStr">
        <is>
          <t>general</t>
        </is>
      </c>
      <c r="O329" t="inlineStr">
        <is>
          <t>https://www.jumbo.com.ar/acondicionador-elvive-oleo-extraordinario-coco-200-ml/p</t>
        </is>
      </c>
      <c r="P329">
        <f>TRIM(CLEAN(PROPER(D329)))</f>
        <v/>
      </c>
      <c r="Q329">
        <f>PROPER(TRIM(SUBSTITUTE(SUBSTITUTE(SUBSTITUTE(SUBSTITUTE(E329,"TRESEMME","Tresemme"),"HEAD &amp; SHOULDERS","Head &amp; Shoulders"),"ELVIVE","Elvive"),"FRUCTIS","Fructis")))</f>
        <v/>
      </c>
      <c r="R329">
        <f>COUNTIF($D$2:$D$10000,D329)&gt;1</f>
        <v/>
      </c>
      <c r="S329">
        <f>IF(H329=TRUE,"Disponible","No disponible")</f>
        <v/>
      </c>
      <c r="T329">
        <f>IF(AND(ISNUMBER(I329),I329&gt;0),ROUND(F329/I329,2),"Sin volumen")</f>
        <v/>
      </c>
      <c r="U329">
        <f>IF(F329&lt;5000,"Bajo",IF(F329&lt;15000,"Medio","Alto"))</f>
        <v/>
      </c>
    </row>
    <row r="330">
      <c r="A330" s="2" t="inlineStr">
        <is>
          <t>Jumbo</t>
        </is>
      </c>
      <c r="B330" s="2" t="n">
        <v>400521</v>
      </c>
      <c r="C330" s="2" t="n">
        <v>397859</v>
      </c>
      <c r="D330" s="2" t="inlineStr">
        <is>
          <t>Acondicionador Color Vive para Cabello Teñido 200 Ml Elvive</t>
        </is>
      </c>
      <c r="E330" s="2" t="inlineStr">
        <is>
          <t>ELVIVE</t>
        </is>
      </c>
      <c r="F330" s="2" t="n">
        <v>7250</v>
      </c>
      <c r="G330" s="2" t="n">
        <v>599174</v>
      </c>
      <c r="H330" s="2" t="b">
        <v>1</v>
      </c>
      <c r="I330" s="2" t="n">
        <v>200</v>
      </c>
      <c r="J330" s="2" t="n">
        <v>36.25</v>
      </c>
      <c r="K330" s="2" t="inlineStr">
        <is>
          <t>&gt; Perfumería &gt; Cuidado Capilar &gt; Acondicionador &gt;</t>
        </is>
      </c>
      <c r="L330" s="2" t="inlineStr">
        <is>
          <t>acondicionador</t>
        </is>
      </c>
      <c r="M330" s="2" t="inlineStr">
        <is>
          <t>profesional</t>
        </is>
      </c>
      <c r="N330" s="2" t="inlineStr">
        <is>
          <t>tratado</t>
        </is>
      </c>
      <c r="O330" s="2" t="inlineStr">
        <is>
          <t>https://www.jumbo.com.ar/acondicionador-elvive-color-vive-200-ml/p</t>
        </is>
      </c>
      <c r="P330" s="4">
        <f>TRIM(CLEAN(PROPER(D330)))</f>
        <v/>
      </c>
      <c r="Q330" s="4">
        <f>PROPER(TRIM(SUBSTITUTE(SUBSTITUTE(SUBSTITUTE(SUBSTITUTE(E330,"TRESEMME","Tresemme"),"HEAD &amp; SHOULDERS","Head &amp; Shoulders"),"ELVIVE","Elvive"),"FRUCTIS","Fructis")))</f>
        <v/>
      </c>
      <c r="R330" s="4">
        <f>COUNTIF($D$2:$D$10000,D330)&gt;1</f>
        <v/>
      </c>
      <c r="S330" s="4">
        <f>IF(H330=TRUE,"Disponible","No disponible")</f>
        <v/>
      </c>
      <c r="T330" s="4">
        <f>IF(AND(ISNUMBER(I330),I330&gt;0),ROUND(F330/I330,2),"Sin volumen")</f>
        <v/>
      </c>
      <c r="U330" s="4">
        <f>IF(F330&lt;5000,"Bajo",IF(F330&lt;15000,"Medio","Alto"))</f>
        <v/>
      </c>
    </row>
    <row r="331">
      <c r="A331" t="inlineStr">
        <is>
          <t>Jumbo</t>
        </is>
      </c>
      <c r="B331" t="n">
        <v>3074194</v>
      </c>
      <c r="C331" t="n">
        <v>3073690</v>
      </c>
      <c r="D331" t="inlineStr">
        <is>
          <t>Acondicionador Hair Food Anti-quiebre Ananá 300 Ml Fructis</t>
        </is>
      </c>
      <c r="E331" t="inlineStr">
        <is>
          <t>FRUCTIS</t>
        </is>
      </c>
      <c r="F331" t="n">
        <v>12050</v>
      </c>
      <c r="G331" t="n">
        <v>995868</v>
      </c>
      <c r="H331" t="b">
        <v>1</v>
      </c>
      <c r="I331" t="n">
        <v>300</v>
      </c>
      <c r="J331" t="n">
        <v>40.1667</v>
      </c>
      <c r="K331" t="inlineStr">
        <is>
          <t>&gt; Perfumería &gt; Cuidado Capilar &gt; Acondicionador &gt;</t>
        </is>
      </c>
      <c r="L331" t="inlineStr">
        <is>
          <t>acondicionador</t>
        </is>
      </c>
      <c r="M331" t="inlineStr">
        <is>
          <t>estandar</t>
        </is>
      </c>
      <c r="N331" t="inlineStr">
        <is>
          <t>general</t>
        </is>
      </c>
      <c r="O331" t="inlineStr">
        <is>
          <t>https://www.jumbo.com.ar/acondicionador-fructis-pina-300ml/p</t>
        </is>
      </c>
      <c r="P331">
        <f>TRIM(CLEAN(PROPER(D331)))</f>
        <v/>
      </c>
      <c r="Q331">
        <f>PROPER(TRIM(SUBSTITUTE(SUBSTITUTE(SUBSTITUTE(SUBSTITUTE(E331,"TRESEMME","Tresemme"),"HEAD &amp; SHOULDERS","Head &amp; Shoulders"),"ELVIVE","Elvive"),"FRUCTIS","Fructis")))</f>
        <v/>
      </c>
      <c r="R331">
        <f>COUNTIF($D$2:$D$10000,D331)&gt;1</f>
        <v/>
      </c>
      <c r="S331">
        <f>IF(H331=TRUE,"Disponible","No disponible")</f>
        <v/>
      </c>
      <c r="T331">
        <f>IF(AND(ISNUMBER(I331),I331&gt;0),ROUND(F331/I331,2),"Sin volumen")</f>
        <v/>
      </c>
      <c r="U331">
        <f>IF(F331&lt;5000,"Bajo",IF(F331&lt;15000,"Medio","Alto"))</f>
        <v/>
      </c>
    </row>
    <row r="332">
      <c r="A332" s="2" t="inlineStr">
        <is>
          <t>Jumbo</t>
        </is>
      </c>
      <c r="B332" s="2" t="n">
        <v>307401</v>
      </c>
      <c r="C332" s="2" t="n">
        <v>306638</v>
      </c>
      <c r="D332" s="2" t="inlineStr">
        <is>
          <t>Acondicionador Dermo Protección Caída 300 Ml Head y Shoulders</t>
        </is>
      </c>
      <c r="E332" s="2" t="inlineStr">
        <is>
          <t>HEAD &amp; SHOULDERS</t>
        </is>
      </c>
      <c r="F332" s="2" t="n">
        <v>12200</v>
      </c>
      <c r="G332" s="2" t="n">
        <v>1008264</v>
      </c>
      <c r="H332" s="2" t="b">
        <v>1</v>
      </c>
      <c r="I332" s="2" t="n">
        <v>300</v>
      </c>
      <c r="J332" s="2" t="n">
        <v>40.6667</v>
      </c>
      <c r="K332" s="2" t="inlineStr">
        <is>
          <t>&gt; Perfumería &gt; Cuidado Capilar &gt; Acondicionador &gt;</t>
        </is>
      </c>
      <c r="L332" s="2" t="inlineStr">
        <is>
          <t>acondicionador</t>
        </is>
      </c>
      <c r="M332" s="2" t="inlineStr">
        <is>
          <t>estandar</t>
        </is>
      </c>
      <c r="N332" s="2" t="inlineStr">
        <is>
          <t>general</t>
        </is>
      </c>
      <c r="O332" s="2" t="inlineStr">
        <is>
          <t>https://www.jumbo.com.ar/acondicionador-dermo-proteccion-caida-300-ml-head-shoulders/p</t>
        </is>
      </c>
      <c r="P332" s="4">
        <f>TRIM(CLEAN(PROPER(D332)))</f>
        <v/>
      </c>
      <c r="Q332" s="4">
        <f>PROPER(TRIM(SUBSTITUTE(SUBSTITUTE(SUBSTITUTE(SUBSTITUTE(E332,"TRESEMME","Tresemme"),"HEAD &amp; SHOULDERS","Head &amp; Shoulders"),"ELVIVE","Elvive"),"FRUCTIS","Fructis")))</f>
        <v/>
      </c>
      <c r="R332" s="4">
        <f>COUNTIF($D$2:$D$10000,D332)&gt;1</f>
        <v/>
      </c>
      <c r="S332" s="4">
        <f>IF(H332=TRUE,"Disponible","No disponible")</f>
        <v/>
      </c>
      <c r="T332" s="4">
        <f>IF(AND(ISNUMBER(I332),I332&gt;0),ROUND(F332/I332,2),"Sin volumen")</f>
        <v/>
      </c>
      <c r="U332" s="4">
        <f>IF(F332&lt;5000,"Bajo",IF(F332&lt;15000,"Medio","Alto"))</f>
        <v/>
      </c>
    </row>
    <row r="333">
      <c r="A333" t="inlineStr">
        <is>
          <t>Jumbo</t>
        </is>
      </c>
      <c r="B333" t="n">
        <v>410396</v>
      </c>
      <c r="C333" t="n">
        <v>406402</v>
      </c>
      <c r="D333" t="inlineStr">
        <is>
          <t>Acondicionador Anti-caída Herbolaria Milenaria 400 Ml Tio Nacho</t>
        </is>
      </c>
      <c r="E333" t="inlineStr">
        <is>
          <t>Tio Nacho</t>
        </is>
      </c>
      <c r="F333" t="n">
        <v>8100</v>
      </c>
      <c r="G333" t="n">
        <v>669421</v>
      </c>
      <c r="H333" t="b">
        <v>1</v>
      </c>
      <c r="I333" t="n">
        <v>400</v>
      </c>
      <c r="J333" t="n">
        <v>20.25</v>
      </c>
      <c r="K333" t="inlineStr">
        <is>
          <t>&gt; Perfumería &gt; Cuidado Capilar &gt; Acondicionador &gt;</t>
        </is>
      </c>
      <c r="L333" t="inlineStr">
        <is>
          <t>acondicionador</t>
        </is>
      </c>
      <c r="M333" t="inlineStr">
        <is>
          <t>estandar</t>
        </is>
      </c>
      <c r="N333" t="inlineStr">
        <is>
          <t>general</t>
        </is>
      </c>
      <c r="O333" t="inlineStr">
        <is>
          <t>https://www.jumbo.com.ar/acondicionador-herbolaria-400-ml-tio-nacho/p</t>
        </is>
      </c>
      <c r="P333">
        <f>TRIM(CLEAN(PROPER(D333)))</f>
        <v/>
      </c>
      <c r="Q333">
        <f>PROPER(TRIM(SUBSTITUTE(SUBSTITUTE(SUBSTITUTE(SUBSTITUTE(E333,"TRESEMME","Tresemme"),"HEAD &amp; SHOULDERS","Head &amp; Shoulders"),"ELVIVE","Elvive"),"FRUCTIS","Fructis")))</f>
        <v/>
      </c>
      <c r="R333">
        <f>COUNTIF($D$2:$D$10000,D333)&gt;1</f>
        <v/>
      </c>
      <c r="S333">
        <f>IF(H333=TRUE,"Disponible","No disponible")</f>
        <v/>
      </c>
      <c r="T333">
        <f>IF(AND(ISNUMBER(I333),I333&gt;0),ROUND(F333/I333,2),"Sin volumen")</f>
        <v/>
      </c>
      <c r="U333">
        <f>IF(F333&lt;5000,"Bajo",IF(F333&lt;15000,"Medio","Alto"))</f>
        <v/>
      </c>
    </row>
    <row r="334">
      <c r="A334" s="2" t="inlineStr">
        <is>
          <t>Jumbo</t>
        </is>
      </c>
      <c r="B334" s="2" t="n">
        <v>3083501</v>
      </c>
      <c r="C334" s="2" t="n">
        <v>3082776</v>
      </c>
      <c r="D334" s="2" t="inlineStr">
        <is>
          <t>Acondicionador Brillo Cristalino Glycolic Cristal X 400 Ml Elvive</t>
        </is>
      </c>
      <c r="E334" s="2" t="inlineStr">
        <is>
          <t>ELVIVE</t>
        </is>
      </c>
      <c r="F334" s="2" t="n">
        <v>12750</v>
      </c>
      <c r="G334" s="2" t="n">
        <v>1053719</v>
      </c>
      <c r="H334" s="2" t="b">
        <v>1</v>
      </c>
      <c r="I334" s="2" t="n">
        <v>400</v>
      </c>
      <c r="J334" s="2" t="n">
        <v>31.875</v>
      </c>
      <c r="K334" s="2" t="inlineStr">
        <is>
          <t>&gt; Perfumería &gt; Cuidado Capilar &gt; Acondicionador &gt;</t>
        </is>
      </c>
      <c r="L334" s="2" t="inlineStr">
        <is>
          <t>acondicionador</t>
        </is>
      </c>
      <c r="M334" s="2" t="inlineStr">
        <is>
          <t>profesional</t>
        </is>
      </c>
      <c r="N334" s="2" t="inlineStr">
        <is>
          <t>general</t>
        </is>
      </c>
      <c r="O334" s="2" t="inlineStr">
        <is>
          <t>https://www.jumbo.com.ar/acondicionador-brillo-cristalino-glycolic-cristal-x-400-ml-elvive/p</t>
        </is>
      </c>
      <c r="P334" s="4">
        <f>TRIM(CLEAN(PROPER(D334)))</f>
        <v/>
      </c>
      <c r="Q334" s="4">
        <f>PROPER(TRIM(SUBSTITUTE(SUBSTITUTE(SUBSTITUTE(SUBSTITUTE(E334,"TRESEMME","Tresemme"),"HEAD &amp; SHOULDERS","Head &amp; Shoulders"),"ELVIVE","Elvive"),"FRUCTIS","Fructis")))</f>
        <v/>
      </c>
      <c r="R334" s="4">
        <f>COUNTIF($D$2:$D$10000,D334)&gt;1</f>
        <v/>
      </c>
      <c r="S334" s="4">
        <f>IF(H334=TRUE,"Disponible","No disponible")</f>
        <v/>
      </c>
      <c r="T334" s="4">
        <f>IF(AND(ISNUMBER(I334),I334&gt;0),ROUND(F334/I334,2),"Sin volumen")</f>
        <v/>
      </c>
      <c r="U334" s="4">
        <f>IF(F334&lt;5000,"Bajo",IF(F334&lt;15000,"Medio","Alto"))</f>
        <v/>
      </c>
    </row>
    <row r="335">
      <c r="A335" t="inlineStr">
        <is>
          <t>Jumbo</t>
        </is>
      </c>
      <c r="B335" t="n">
        <v>3086507</v>
      </c>
      <c r="C335" t="n">
        <v>3085729</v>
      </c>
      <c r="D335" t="inlineStr">
        <is>
          <t>Acondicionador Reparación Profunda Keratina Vegetal 415 Ml Tio Nacho Acondicionador Keratina Vegetal X 415 Ml Tio Nacho</t>
        </is>
      </c>
      <c r="E335" t="inlineStr">
        <is>
          <t>Tio Nacho</t>
        </is>
      </c>
      <c r="F335" t="n">
        <v>10800</v>
      </c>
      <c r="G335" t="n">
        <v>892562</v>
      </c>
      <c r="H335" t="b">
        <v>1</v>
      </c>
      <c r="I335" t="n">
        <v>415</v>
      </c>
      <c r="J335" t="n">
        <v>26.0241</v>
      </c>
      <c r="K335" t="inlineStr">
        <is>
          <t>&gt; Perfumería &gt; Cuidado Capilar &gt; Acondicionador &gt;</t>
        </is>
      </c>
      <c r="L335" t="inlineStr">
        <is>
          <t>acondicionador</t>
        </is>
      </c>
      <c r="M335" t="inlineStr">
        <is>
          <t>estandar</t>
        </is>
      </c>
      <c r="N335" t="inlineStr">
        <is>
          <t>tratado</t>
        </is>
      </c>
      <c r="O335" t="inlineStr">
        <is>
          <t>https://www.jumbo.com.ar/acondicionador-keratina-vegetal-x-415-ml-tio-nacho/p</t>
        </is>
      </c>
      <c r="P335">
        <f>TRIM(CLEAN(PROPER(D335)))</f>
        <v/>
      </c>
      <c r="Q335">
        <f>PROPER(TRIM(SUBSTITUTE(SUBSTITUTE(SUBSTITUTE(SUBSTITUTE(E335,"TRESEMME","Tresemme"),"HEAD &amp; SHOULDERS","Head &amp; Shoulders"),"ELVIVE","Elvive"),"FRUCTIS","Fructis")))</f>
        <v/>
      </c>
      <c r="R335">
        <f>COUNTIF($D$2:$D$10000,D335)&gt;1</f>
        <v/>
      </c>
      <c r="S335">
        <f>IF(H335=TRUE,"Disponible","No disponible")</f>
        <v/>
      </c>
      <c r="T335">
        <f>IF(AND(ISNUMBER(I335),I335&gt;0),ROUND(F335/I335,2),"Sin volumen")</f>
        <v/>
      </c>
      <c r="U335">
        <f>IF(F335&lt;5000,"Bajo",IF(F335&lt;15000,"Medio","Alto"))</f>
        <v/>
      </c>
    </row>
    <row r="336">
      <c r="A336" s="2" t="inlineStr">
        <is>
          <t>Jumbo</t>
        </is>
      </c>
      <c r="B336" s="2" t="n">
        <v>412487</v>
      </c>
      <c r="C336" s="2" t="n">
        <v>408095</v>
      </c>
      <c r="D336" s="2" t="inlineStr">
        <is>
          <t>Acondicionador Recarga Nutritiva para Cabello Seco 350 Ml Fructis</t>
        </is>
      </c>
      <c r="E336" s="2" t="inlineStr">
        <is>
          <t>FRUCTIS</t>
        </is>
      </c>
      <c r="F336" s="2" t="n">
        <v>5900</v>
      </c>
      <c r="G336" s="2" t="n">
        <v>487603</v>
      </c>
      <c r="H336" s="2" t="b">
        <v>1</v>
      </c>
      <c r="I336" s="2" t="n">
        <v>350</v>
      </c>
      <c r="J336" s="2" t="n">
        <v>16.8571</v>
      </c>
      <c r="K336" s="2" t="inlineStr">
        <is>
          <t>&gt; Perfumería &gt; Cuidado Capilar &gt; Acondicionador &gt;</t>
        </is>
      </c>
      <c r="L336" s="2" t="inlineStr">
        <is>
          <t>acondicionador</t>
        </is>
      </c>
      <c r="M336" s="2" t="inlineStr">
        <is>
          <t>estandar</t>
        </is>
      </c>
      <c r="N336" s="2" t="inlineStr">
        <is>
          <t>seco_danado</t>
        </is>
      </c>
      <c r="O336" s="2" t="inlineStr">
        <is>
          <t>https://www.jumbo.com.ar/acondicionador-fructis-recarga-nutritiva-200-ml/p</t>
        </is>
      </c>
      <c r="P336" s="4">
        <f>TRIM(CLEAN(PROPER(D336)))</f>
        <v/>
      </c>
      <c r="Q336" s="4">
        <f>PROPER(TRIM(SUBSTITUTE(SUBSTITUTE(SUBSTITUTE(SUBSTITUTE(E336,"TRESEMME","Tresemme"),"HEAD &amp; SHOULDERS","Head &amp; Shoulders"),"ELVIVE","Elvive"),"FRUCTIS","Fructis")))</f>
        <v/>
      </c>
      <c r="R336" s="4">
        <f>COUNTIF($D$2:$D$10000,D336)&gt;1</f>
        <v/>
      </c>
      <c r="S336" s="4">
        <f>IF(H336=TRUE,"Disponible","No disponible")</f>
        <v/>
      </c>
      <c r="T336" s="4">
        <f>IF(AND(ISNUMBER(I336),I336&gt;0),ROUND(F336/I336,2),"Sin volumen")</f>
        <v/>
      </c>
      <c r="U336" s="4">
        <f>IF(F336&lt;5000,"Bajo",IF(F336&lt;15000,"Medio","Alto"))</f>
        <v/>
      </c>
    </row>
    <row r="337">
      <c r="A337" t="inlineStr">
        <is>
          <t>Jumbo</t>
        </is>
      </c>
      <c r="B337" t="n">
        <v>3068434</v>
      </c>
      <c r="C337" t="n">
        <v>3068184</v>
      </c>
      <c r="D337" t="inlineStr">
        <is>
          <t>Acondicionador Ácido Glicólico para Cabellos Teñidos 350 Ml Capilatis</t>
        </is>
      </c>
      <c r="E337" t="inlineStr">
        <is>
          <t>CAPILATIS</t>
        </is>
      </c>
      <c r="F337" t="n">
        <v>12650</v>
      </c>
      <c r="G337" t="n">
        <v>1045455</v>
      </c>
      <c r="H337" t="b">
        <v>1</v>
      </c>
      <c r="I337" t="n">
        <v>350</v>
      </c>
      <c r="J337" t="n">
        <v>36.1429</v>
      </c>
      <c r="K337" t="inlineStr">
        <is>
          <t>&gt; Perfumería &gt; Cuidado Capilar &gt; Acondicionador &gt;</t>
        </is>
      </c>
      <c r="L337" t="inlineStr">
        <is>
          <t>acondicionador</t>
        </is>
      </c>
      <c r="M337" t="inlineStr">
        <is>
          <t>estandar</t>
        </is>
      </c>
      <c r="N337" t="inlineStr">
        <is>
          <t>tratado</t>
        </is>
      </c>
      <c r="O337" t="inlineStr">
        <is>
          <t>https://www.jumbo.com.ar/acondicionador-con-acido-glicolico-capilatis/p</t>
        </is>
      </c>
      <c r="P337">
        <f>TRIM(CLEAN(PROPER(D337)))</f>
        <v/>
      </c>
      <c r="Q337">
        <f>PROPER(TRIM(SUBSTITUTE(SUBSTITUTE(SUBSTITUTE(SUBSTITUTE(E337,"TRESEMME","Tresemme"),"HEAD &amp; SHOULDERS","Head &amp; Shoulders"),"ELVIVE","Elvive"),"FRUCTIS","Fructis")))</f>
        <v/>
      </c>
      <c r="R337">
        <f>COUNTIF($D$2:$D$10000,D337)&gt;1</f>
        <v/>
      </c>
      <c r="S337">
        <f>IF(H337=TRUE,"Disponible","No disponible")</f>
        <v/>
      </c>
      <c r="T337">
        <f>IF(AND(ISNUMBER(I337),I337&gt;0),ROUND(F337/I337,2),"Sin volumen")</f>
        <v/>
      </c>
      <c r="U337">
        <f>IF(F337&lt;5000,"Bajo",IF(F337&lt;15000,"Medio","Alto"))</f>
        <v/>
      </c>
    </row>
    <row r="338">
      <c r="A338" s="2" t="inlineStr">
        <is>
          <t>Jumbo</t>
        </is>
      </c>
      <c r="B338" s="2" t="n">
        <v>349469</v>
      </c>
      <c r="C338" s="2" t="n">
        <v>348129</v>
      </c>
      <c r="D338" s="2" t="inlineStr">
        <is>
          <t>Acondicionador Protección con Óleo de Coco y Karité 1000 Ml Plusbelle</t>
        </is>
      </c>
      <c r="E338" s="2" t="inlineStr">
        <is>
          <t>PLUSBELLE</t>
        </is>
      </c>
      <c r="F338" s="2" t="n">
        <v>5650</v>
      </c>
      <c r="G338" s="2" t="n">
        <v>466942</v>
      </c>
      <c r="H338" s="2" t="b">
        <v>1</v>
      </c>
      <c r="I338" s="2" t="n">
        <v>1000</v>
      </c>
      <c r="J338" s="2" t="n">
        <v>5.65</v>
      </c>
      <c r="K338" s="2" t="inlineStr">
        <is>
          <t>&gt; Perfumería &gt; Cuidado Capilar &gt; Acondicionador &gt;</t>
        </is>
      </c>
      <c r="L338" s="2" t="inlineStr">
        <is>
          <t>acondicionador</t>
        </is>
      </c>
      <c r="M338" s="2" t="inlineStr">
        <is>
          <t>estandar</t>
        </is>
      </c>
      <c r="N338" s="2" t="inlineStr">
        <is>
          <t>general</t>
        </is>
      </c>
      <c r="O338" s="2" t="inlineStr">
        <is>
          <t>https://www.jumbo.com.ar/acondicionador-proteccion-1000-ml-plusbelle/p</t>
        </is>
      </c>
      <c r="P338" s="4">
        <f>TRIM(CLEAN(PROPER(D338)))</f>
        <v/>
      </c>
      <c r="Q338" s="4">
        <f>PROPER(TRIM(SUBSTITUTE(SUBSTITUTE(SUBSTITUTE(SUBSTITUTE(E338,"TRESEMME","Tresemme"),"HEAD &amp; SHOULDERS","Head &amp; Shoulders"),"ELVIVE","Elvive"),"FRUCTIS","Fructis")))</f>
        <v/>
      </c>
      <c r="R338" s="4">
        <f>COUNTIF($D$2:$D$10000,D338)&gt;1</f>
        <v/>
      </c>
      <c r="S338" s="4">
        <f>IF(H338=TRUE,"Disponible","No disponible")</f>
        <v/>
      </c>
      <c r="T338" s="4">
        <f>IF(AND(ISNUMBER(I338),I338&gt;0),ROUND(F338/I338,2),"Sin volumen")</f>
        <v/>
      </c>
      <c r="U338" s="4">
        <f>IF(F338&lt;5000,"Bajo",IF(F338&lt;15000,"Medio","Alto"))</f>
        <v/>
      </c>
    </row>
    <row r="339">
      <c r="A339" t="inlineStr">
        <is>
          <t>Jumbo</t>
        </is>
      </c>
      <c r="B339" t="n">
        <v>331399</v>
      </c>
      <c r="C339" t="n">
        <v>330571</v>
      </c>
      <c r="D339" t="inlineStr">
        <is>
          <t>Acondicionador Anti-Caspa Crece Fuerte 300 Ml Head y Shoulders</t>
        </is>
      </c>
      <c r="E339" t="inlineStr">
        <is>
          <t>HEAD &amp; SHOULDERS</t>
        </is>
      </c>
      <c r="F339" t="n">
        <v>12200</v>
      </c>
      <c r="G339" t="n">
        <v>1008264</v>
      </c>
      <c r="H339" t="b">
        <v>1</v>
      </c>
      <c r="I339" t="n">
        <v>300</v>
      </c>
      <c r="J339" t="n">
        <v>40.6667</v>
      </c>
      <c r="K339" t="inlineStr">
        <is>
          <t>&gt; Perfumería &gt; Cuidado Capilar &gt; Acondicionador &gt;</t>
        </is>
      </c>
      <c r="L339" t="inlineStr">
        <is>
          <t>acondicionador</t>
        </is>
      </c>
      <c r="M339" t="inlineStr">
        <is>
          <t>estandar</t>
        </is>
      </c>
      <c r="N339" t="inlineStr">
        <is>
          <t>anticaspa</t>
        </is>
      </c>
      <c r="O339" t="inlineStr">
        <is>
          <t>https://www.jumbo.com.ar/acondicionador-crece-fuerte-300-ml-head-shoulders/p</t>
        </is>
      </c>
      <c r="P339">
        <f>TRIM(CLEAN(PROPER(D339)))</f>
        <v/>
      </c>
      <c r="Q339">
        <f>PROPER(TRIM(SUBSTITUTE(SUBSTITUTE(SUBSTITUTE(SUBSTITUTE(E339,"TRESEMME","Tresemme"),"HEAD &amp; SHOULDERS","Head &amp; Shoulders"),"ELVIVE","Elvive"),"FRUCTIS","Fructis")))</f>
        <v/>
      </c>
      <c r="R339">
        <f>COUNTIF($D$2:$D$10000,D339)&gt;1</f>
        <v/>
      </c>
      <c r="S339">
        <f>IF(H339=TRUE,"Disponible","No disponible")</f>
        <v/>
      </c>
      <c r="T339">
        <f>IF(AND(ISNUMBER(I339),I339&gt;0),ROUND(F339/I339,2),"Sin volumen")</f>
        <v/>
      </c>
      <c r="U339">
        <f>IF(F339&lt;5000,"Bajo",IF(F339&lt;15000,"Medio","Alto"))</f>
        <v/>
      </c>
    </row>
    <row r="340">
      <c r="A340" s="2" t="inlineStr">
        <is>
          <t>Jumbo</t>
        </is>
      </c>
      <c r="B340" s="2" t="n">
        <v>349467</v>
      </c>
      <c r="C340" s="2" t="n">
        <v>348127</v>
      </c>
      <c r="D340" s="2" t="inlineStr">
        <is>
          <t>Acondicionador Nutrición con Óleo de Argán y Macadamia 1000 Ml Plusbelle</t>
        </is>
      </c>
      <c r="E340" s="2" t="inlineStr">
        <is>
          <t>PLUSBELLE</t>
        </is>
      </c>
      <c r="F340" s="2" t="n">
        <v>5600</v>
      </c>
      <c r="G340" s="2" t="n">
        <v>462810</v>
      </c>
      <c r="H340" s="2" t="b">
        <v>1</v>
      </c>
      <c r="I340" s="2" t="n">
        <v>1000</v>
      </c>
      <c r="J340" s="2" t="n">
        <v>5.6</v>
      </c>
      <c r="K340" s="2" t="inlineStr">
        <is>
          <t>&gt; Perfumería &gt; Cuidado Capilar &gt; Acondicionador &gt;</t>
        </is>
      </c>
      <c r="L340" s="2" t="inlineStr">
        <is>
          <t>acondicionador</t>
        </is>
      </c>
      <c r="M340" s="2" t="inlineStr">
        <is>
          <t>estandar</t>
        </is>
      </c>
      <c r="N340" s="2" t="inlineStr">
        <is>
          <t>general</t>
        </is>
      </c>
      <c r="O340" s="2" t="inlineStr">
        <is>
          <t>https://www.jumbo.com.ar/acondicionador-nutricion-1000-ml-plusbelle/p</t>
        </is>
      </c>
      <c r="P340" s="4">
        <f>TRIM(CLEAN(PROPER(D340)))</f>
        <v/>
      </c>
      <c r="Q340" s="4">
        <f>PROPER(TRIM(SUBSTITUTE(SUBSTITUTE(SUBSTITUTE(SUBSTITUTE(E340,"TRESEMME","Tresemme"),"HEAD &amp; SHOULDERS","Head &amp; Shoulders"),"ELVIVE","Elvive"),"FRUCTIS","Fructis")))</f>
        <v/>
      </c>
      <c r="R340" s="4">
        <f>COUNTIF($D$2:$D$10000,D340)&gt;1</f>
        <v/>
      </c>
      <c r="S340" s="4">
        <f>IF(H340=TRUE,"Disponible","No disponible")</f>
        <v/>
      </c>
      <c r="T340" s="4">
        <f>IF(AND(ISNUMBER(I340),I340&gt;0),ROUND(F340/I340,2),"Sin volumen")</f>
        <v/>
      </c>
      <c r="U340" s="4">
        <f>IF(F340&lt;5000,"Bajo",IF(F340&lt;15000,"Medio","Alto"))</f>
        <v/>
      </c>
    </row>
    <row r="341">
      <c r="A341" t="inlineStr">
        <is>
          <t>Jumbo</t>
        </is>
      </c>
      <c r="B341" t="n">
        <v>410394</v>
      </c>
      <c r="C341" t="n">
        <v>406400</v>
      </c>
      <c r="D341" t="inlineStr">
        <is>
          <t>Acondicionador Engrosador Anti-caída con Jalea Real y Extracto de Ortiga 400 Ml Tio Nacho</t>
        </is>
      </c>
      <c r="E341" t="inlineStr">
        <is>
          <t>Tio Nacho</t>
        </is>
      </c>
      <c r="F341" t="n">
        <v>8100</v>
      </c>
      <c r="G341" t="n">
        <v>669421</v>
      </c>
      <c r="H341" t="b">
        <v>1</v>
      </c>
      <c r="I341" t="n">
        <v>400</v>
      </c>
      <c r="J341" t="n">
        <v>20.25</v>
      </c>
      <c r="K341" t="inlineStr">
        <is>
          <t>&gt; Perfumería &gt; Cuidado Capilar &gt; Acondicionador &gt;</t>
        </is>
      </c>
      <c r="L341" t="inlineStr">
        <is>
          <t>acondicionador</t>
        </is>
      </c>
      <c r="M341" t="inlineStr">
        <is>
          <t>estandar</t>
        </is>
      </c>
      <c r="N341" t="inlineStr">
        <is>
          <t>general</t>
        </is>
      </c>
      <c r="O341" t="inlineStr">
        <is>
          <t>https://www.jumbo.com.ar/acondicionador-engrosador-doypack-400-ml-tio-nacho/p</t>
        </is>
      </c>
      <c r="P341">
        <f>TRIM(CLEAN(PROPER(D341)))</f>
        <v/>
      </c>
      <c r="Q341">
        <f>PROPER(TRIM(SUBSTITUTE(SUBSTITUTE(SUBSTITUTE(SUBSTITUTE(E341,"TRESEMME","Tresemme"),"HEAD &amp; SHOULDERS","Head &amp; Shoulders"),"ELVIVE","Elvive"),"FRUCTIS","Fructis")))</f>
        <v/>
      </c>
      <c r="R341">
        <f>COUNTIF($D$2:$D$10000,D341)&gt;1</f>
        <v/>
      </c>
      <c r="S341">
        <f>IF(H341=TRUE,"Disponible","No disponible")</f>
        <v/>
      </c>
      <c r="T341">
        <f>IF(AND(ISNUMBER(I341),I341&gt;0),ROUND(F341/I341,2),"Sin volumen")</f>
        <v/>
      </c>
      <c r="U341">
        <f>IF(F341&lt;5000,"Bajo",IF(F341&lt;15000,"Medio","Alto"))</f>
        <v/>
      </c>
    </row>
    <row r="342">
      <c r="A342" s="2" t="inlineStr">
        <is>
          <t>Jumbo</t>
        </is>
      </c>
      <c r="B342" s="2" t="n">
        <v>346772</v>
      </c>
      <c r="C342" s="2" t="n">
        <v>345447</v>
      </c>
      <c r="D342" s="2" t="inlineStr">
        <is>
          <t>Acondicionador Oleo Extraordinario Nutrición Intensa con Óleo de Coco 400 Ml Elvive</t>
        </is>
      </c>
      <c r="E342" s="2" t="inlineStr">
        <is>
          <t>ELVIVE</t>
        </is>
      </c>
      <c r="F342" s="2" t="n">
        <v>12050</v>
      </c>
      <c r="G342" s="2" t="n">
        <v>995868</v>
      </c>
      <c r="H342" s="2" t="b">
        <v>1</v>
      </c>
      <c r="I342" s="2" t="n">
        <v>400</v>
      </c>
      <c r="J342" s="2" t="n">
        <v>30.125</v>
      </c>
      <c r="K342" s="2" t="inlineStr">
        <is>
          <t>&gt; Perfumería &gt; Cuidado Capilar &gt; Acondicionador &gt;</t>
        </is>
      </c>
      <c r="L342" s="2" t="inlineStr">
        <is>
          <t>acondicionador</t>
        </is>
      </c>
      <c r="M342" s="2" t="inlineStr">
        <is>
          <t>profesional</t>
        </is>
      </c>
      <c r="N342" s="2" t="inlineStr">
        <is>
          <t>general</t>
        </is>
      </c>
      <c r="O342" s="2" t="inlineStr">
        <is>
          <t>https://www.jumbo.com.ar/acondicionador-elvive-oleo-extraordinario-oleo-de-coco-400-ml/p</t>
        </is>
      </c>
      <c r="P342" s="4">
        <f>TRIM(CLEAN(PROPER(D342)))</f>
        <v/>
      </c>
      <c r="Q342" s="4">
        <f>PROPER(TRIM(SUBSTITUTE(SUBSTITUTE(SUBSTITUTE(SUBSTITUTE(E342,"TRESEMME","Tresemme"),"HEAD &amp; SHOULDERS","Head &amp; Shoulders"),"ELVIVE","Elvive"),"FRUCTIS","Fructis")))</f>
        <v/>
      </c>
      <c r="R342" s="4">
        <f>COUNTIF($D$2:$D$10000,D342)&gt;1</f>
        <v/>
      </c>
      <c r="S342" s="4">
        <f>IF(H342=TRUE,"Disponible","No disponible")</f>
        <v/>
      </c>
      <c r="T342" s="4">
        <f>IF(AND(ISNUMBER(I342),I342&gt;0),ROUND(F342/I342,2),"Sin volumen")</f>
        <v/>
      </c>
      <c r="U342" s="4">
        <f>IF(F342&lt;5000,"Bajo",IF(F342&lt;15000,"Medio","Alto"))</f>
        <v/>
      </c>
    </row>
    <row r="343">
      <c r="A343" t="inlineStr">
        <is>
          <t>Jumbo</t>
        </is>
      </c>
      <c r="B343" t="n">
        <v>412489</v>
      </c>
      <c r="C343" t="n">
        <v>408097</v>
      </c>
      <c r="D343" t="inlineStr">
        <is>
          <t>Acondicionador Recarga Nutritiva Oil Repair 3 con Óleos de Aguacate Coco y Argán 350 Ml Fructis</t>
        </is>
      </c>
      <c r="E343" t="inlineStr">
        <is>
          <t>FRUCTIS</t>
        </is>
      </c>
      <c r="F343" t="n">
        <v>8450</v>
      </c>
      <c r="G343" t="n">
        <v>698347</v>
      </c>
      <c r="H343" t="b">
        <v>1</v>
      </c>
      <c r="I343" t="n">
        <v>350</v>
      </c>
      <c r="J343" t="n">
        <v>24.1429</v>
      </c>
      <c r="K343" t="inlineStr">
        <is>
          <t>&gt; Perfumería &gt; Cuidado Capilar &gt; Acondicionador &gt;</t>
        </is>
      </c>
      <c r="L343" t="inlineStr">
        <is>
          <t>acondicionador</t>
        </is>
      </c>
      <c r="M343" t="inlineStr">
        <is>
          <t>profesional</t>
        </is>
      </c>
      <c r="N343" t="inlineStr">
        <is>
          <t>general</t>
        </is>
      </c>
      <c r="O343" t="inlineStr">
        <is>
          <t>https://www.jumbo.com.ar/fru-or-recarga-nutri-arg-aco-350ml/p</t>
        </is>
      </c>
      <c r="P343">
        <f>TRIM(CLEAN(PROPER(D343)))</f>
        <v/>
      </c>
      <c r="Q343">
        <f>PROPER(TRIM(SUBSTITUTE(SUBSTITUTE(SUBSTITUTE(SUBSTITUTE(E343,"TRESEMME","Tresemme"),"HEAD &amp; SHOULDERS","Head &amp; Shoulders"),"ELVIVE","Elvive"),"FRUCTIS","Fructis")))</f>
        <v/>
      </c>
      <c r="R343">
        <f>COUNTIF($D$2:$D$10000,D343)&gt;1</f>
        <v/>
      </c>
      <c r="S343">
        <f>IF(H343=TRUE,"Disponible","No disponible")</f>
        <v/>
      </c>
      <c r="T343">
        <f>IF(AND(ISNUMBER(I343),I343&gt;0),ROUND(F343/I343,2),"Sin volumen")</f>
        <v/>
      </c>
      <c r="U343">
        <f>IF(F343&lt;5000,"Bajo",IF(F343&lt;15000,"Medio","Alto"))</f>
        <v/>
      </c>
    </row>
    <row r="344">
      <c r="A344" s="2" t="inlineStr">
        <is>
          <t>Jumbo</t>
        </is>
      </c>
      <c r="B344" s="2" t="n">
        <v>310206</v>
      </c>
      <c r="C344" s="2" t="n">
        <v>309444</v>
      </c>
      <c r="D344" s="2" t="inlineStr">
        <is>
          <t>Acondicionador Anti Caspa Hidratación Aceite de Coco 300 Ml Head y Shoulders</t>
        </is>
      </c>
      <c r="E344" s="2" t="inlineStr">
        <is>
          <t>HEAD &amp; SHOULDERS</t>
        </is>
      </c>
      <c r="F344" s="2" t="n">
        <v>12200</v>
      </c>
      <c r="G344" s="2" t="n">
        <v>1008264</v>
      </c>
      <c r="H344" s="2" t="b">
        <v>1</v>
      </c>
      <c r="I344" s="2" t="n">
        <v>300</v>
      </c>
      <c r="J344" s="2" t="n">
        <v>40.6667</v>
      </c>
      <c r="K344" s="2" t="inlineStr">
        <is>
          <t>&gt; Perfumería &gt; Cuidado Capilar &gt; Acondicionador &gt;</t>
        </is>
      </c>
      <c r="L344" s="2" t="inlineStr">
        <is>
          <t>acondicionador</t>
        </is>
      </c>
      <c r="M344" s="2" t="inlineStr">
        <is>
          <t>estandar</t>
        </is>
      </c>
      <c r="N344" s="2" t="inlineStr">
        <is>
          <t>anticaspa</t>
        </is>
      </c>
      <c r="O344" s="2" t="inlineStr">
        <is>
          <t>https://www.jumbo.com.ar/acondicionador-hidratacion-aceite-de-coco-300-ml-head-shoulders/p</t>
        </is>
      </c>
      <c r="P344" s="4">
        <f>TRIM(CLEAN(PROPER(D344)))</f>
        <v/>
      </c>
      <c r="Q344" s="4">
        <f>PROPER(TRIM(SUBSTITUTE(SUBSTITUTE(SUBSTITUTE(SUBSTITUTE(E344,"TRESEMME","Tresemme"),"HEAD &amp; SHOULDERS","Head &amp; Shoulders"),"ELVIVE","Elvive"),"FRUCTIS","Fructis")))</f>
        <v/>
      </c>
      <c r="R344" s="4">
        <f>COUNTIF($D$2:$D$10000,D344)&gt;1</f>
        <v/>
      </c>
      <c r="S344" s="4">
        <f>IF(H344=TRUE,"Disponible","No disponible")</f>
        <v/>
      </c>
      <c r="T344" s="4">
        <f>IF(AND(ISNUMBER(I344),I344&gt;0),ROUND(F344/I344,2),"Sin volumen")</f>
        <v/>
      </c>
      <c r="U344" s="4">
        <f>IF(F344&lt;5000,"Bajo",IF(F344&lt;15000,"Medio","Alto"))</f>
        <v/>
      </c>
    </row>
    <row r="345">
      <c r="A345" t="inlineStr">
        <is>
          <t>Jumbo</t>
        </is>
      </c>
      <c r="B345" t="n">
        <v>307403</v>
      </c>
      <c r="C345" t="n">
        <v>306640</v>
      </c>
      <c r="D345" t="inlineStr">
        <is>
          <t>Acondicionador Anti Caspa Dermo Manzana Fresh 300 Ml Head y Shoulders</t>
        </is>
      </c>
      <c r="E345" t="inlineStr">
        <is>
          <t>HEAD &amp; SHOULDERS</t>
        </is>
      </c>
      <c r="F345" t="n">
        <v>12200</v>
      </c>
      <c r="G345" t="n">
        <v>1008264</v>
      </c>
      <c r="H345" t="b">
        <v>1</v>
      </c>
      <c r="I345" t="n">
        <v>300</v>
      </c>
      <c r="J345" t="n">
        <v>40.6667</v>
      </c>
      <c r="K345" t="inlineStr">
        <is>
          <t>&gt; Perfumería &gt; Cuidado Capilar &gt; Acondicionador &gt;</t>
        </is>
      </c>
      <c r="L345" t="inlineStr">
        <is>
          <t>acondicionador</t>
        </is>
      </c>
      <c r="M345" t="inlineStr">
        <is>
          <t>estandar</t>
        </is>
      </c>
      <c r="N345" t="inlineStr">
        <is>
          <t>anticaspa</t>
        </is>
      </c>
      <c r="O345" t="inlineStr">
        <is>
          <t>https://www.jumbo.com.ar/acondicionador-dermo-manzana-fresh-300-ml-head-shoulders/p</t>
        </is>
      </c>
      <c r="P345">
        <f>TRIM(CLEAN(PROPER(D345)))</f>
        <v/>
      </c>
      <c r="Q345">
        <f>PROPER(TRIM(SUBSTITUTE(SUBSTITUTE(SUBSTITUTE(SUBSTITUTE(E345,"TRESEMME","Tresemme"),"HEAD &amp; SHOULDERS","Head &amp; Shoulders"),"ELVIVE","Elvive"),"FRUCTIS","Fructis")))</f>
        <v/>
      </c>
      <c r="R345">
        <f>COUNTIF($D$2:$D$10000,D345)&gt;1</f>
        <v/>
      </c>
      <c r="S345">
        <f>IF(H345=TRUE,"Disponible","No disponible")</f>
        <v/>
      </c>
      <c r="T345">
        <f>IF(AND(ISNUMBER(I345),I345&gt;0),ROUND(F345/I345,2),"Sin volumen")</f>
        <v/>
      </c>
      <c r="U345">
        <f>IF(F345&lt;5000,"Bajo",IF(F345&lt;15000,"Medio","Alto"))</f>
        <v/>
      </c>
    </row>
    <row r="346">
      <c r="A346" s="2" t="inlineStr">
        <is>
          <t>Jumbo</t>
        </is>
      </c>
      <c r="B346" s="2" t="n">
        <v>3087477</v>
      </c>
      <c r="C346" s="2" t="n">
        <v>3086703</v>
      </c>
      <c r="D346" s="2" t="inlineStr">
        <is>
          <t>Acondicionadorpantene Restauracion 700ml</t>
        </is>
      </c>
      <c r="E346" s="2" t="inlineStr">
        <is>
          <t>PANTENE</t>
        </is>
      </c>
      <c r="F346" s="2" t="n">
        <v>17250</v>
      </c>
      <c r="G346" s="2" t="n">
        <v>1425620</v>
      </c>
      <c r="H346" s="2" t="b">
        <v>1</v>
      </c>
      <c r="I346" s="2" t="n">
        <v>700</v>
      </c>
      <c r="J346" s="2" t="n">
        <v>24.6429</v>
      </c>
      <c r="K346" s="2" t="inlineStr">
        <is>
          <t>&gt; Perfumería &gt; Cuidado Capilar &gt; Acondicionador &gt;</t>
        </is>
      </c>
      <c r="L346" s="2" t="inlineStr">
        <is>
          <t>acondicionador</t>
        </is>
      </c>
      <c r="M346" s="2" t="inlineStr">
        <is>
          <t>estandar</t>
        </is>
      </c>
      <c r="N346" s="2" t="inlineStr">
        <is>
          <t>general</t>
        </is>
      </c>
      <c r="O346" s="2" t="inlineStr">
        <is>
          <t>https://www.jumbo.com.ar/acondicionadorpantene-restauracion-700ml/p</t>
        </is>
      </c>
      <c r="P346" s="4">
        <f>TRIM(CLEAN(PROPER(D346)))</f>
        <v/>
      </c>
      <c r="Q346" s="4">
        <f>PROPER(TRIM(SUBSTITUTE(SUBSTITUTE(SUBSTITUTE(SUBSTITUTE(E346,"TRESEMME","Tresemme"),"HEAD &amp; SHOULDERS","Head &amp; Shoulders"),"ELVIVE","Elvive"),"FRUCTIS","Fructis")))</f>
        <v/>
      </c>
      <c r="R346" s="4">
        <f>COUNTIF($D$2:$D$10000,D346)&gt;1</f>
        <v/>
      </c>
      <c r="S346" s="4">
        <f>IF(H346=TRUE,"Disponible","No disponible")</f>
        <v/>
      </c>
      <c r="T346" s="4">
        <f>IF(AND(ISNUMBER(I346),I346&gt;0),ROUND(F346/I346,2),"Sin volumen")</f>
        <v/>
      </c>
      <c r="U346" s="4">
        <f>IF(F346&lt;5000,"Bajo",IF(F346&lt;15000,"Medio","Alto"))</f>
        <v/>
      </c>
    </row>
    <row r="347">
      <c r="A347" t="inlineStr">
        <is>
          <t>Jumbo</t>
        </is>
      </c>
      <c r="B347" t="n">
        <v>392754</v>
      </c>
      <c r="C347" t="n">
        <v>390804</v>
      </c>
      <c r="D347" t="inlineStr">
        <is>
          <t>Juguete Perro Frisbee Verde Pets Fun</t>
        </is>
      </c>
      <c r="E347" t="inlineStr">
        <is>
          <t>PET'S FUN</t>
        </is>
      </c>
      <c r="F347" t="n">
        <v>5000</v>
      </c>
      <c r="G347" t="n">
        <v>413223</v>
      </c>
      <c r="H347" t="b">
        <v>1</v>
      </c>
      <c r="I347" t="inlineStr"/>
      <c r="J347" t="inlineStr"/>
      <c r="K347" t="inlineStr">
        <is>
          <t>&gt; Mascotas &gt; Accesorios para Mascotas &gt;</t>
        </is>
      </c>
      <c r="L347" t="inlineStr">
        <is>
          <t>shampoo</t>
        </is>
      </c>
      <c r="M347" t="inlineStr">
        <is>
          <t>estandar</t>
        </is>
      </c>
      <c r="N347" t="inlineStr">
        <is>
          <t>general</t>
        </is>
      </c>
      <c r="O347" t="inlineStr">
        <is>
          <t>https://www.jumbo.com.ar/juguete-perro-frisbee-verde-pets-fun/p</t>
        </is>
      </c>
      <c r="P347">
        <f>TRIM(CLEAN(PROPER(D347)))</f>
        <v/>
      </c>
      <c r="Q347">
        <f>PROPER(TRIM(SUBSTITUTE(SUBSTITUTE(SUBSTITUTE(SUBSTITUTE(E347,"TRESEMME","Tresemme"),"HEAD &amp; SHOULDERS","Head &amp; Shoulders"),"ELVIVE","Elvive"),"FRUCTIS","Fructis")))</f>
        <v/>
      </c>
      <c r="R347">
        <f>COUNTIF($D$2:$D$10000,D347)&gt;1</f>
        <v/>
      </c>
      <c r="S347">
        <f>IF(H347=TRUE,"Disponible","No disponible")</f>
        <v/>
      </c>
      <c r="T347">
        <f>IF(AND(ISNUMBER(I347),I347&gt;0),ROUND(F347/I347,2),"Sin volumen")</f>
        <v/>
      </c>
      <c r="U347">
        <f>IF(F347&lt;5000,"Bajo",IF(F347&lt;15000,"Medio","Alto"))</f>
        <v/>
      </c>
    </row>
    <row r="348">
      <c r="A348" s="2" t="inlineStr">
        <is>
          <t>Jumbo</t>
        </is>
      </c>
      <c r="B348" s="2" t="n">
        <v>392763</v>
      </c>
      <c r="C348" s="2" t="n">
        <v>390838</v>
      </c>
      <c r="D348" s="2" t="inlineStr">
        <is>
          <t>Set Juguete Perro Frisbee Pets Fun</t>
        </is>
      </c>
      <c r="E348" s="2" t="inlineStr">
        <is>
          <t>PET'S FUN</t>
        </is>
      </c>
      <c r="F348" s="2" t="n">
        <v>5000</v>
      </c>
      <c r="G348" s="2" t="n">
        <v>413223</v>
      </c>
      <c r="H348" s="2" t="b">
        <v>1</v>
      </c>
      <c r="I348" s="2" t="inlineStr"/>
      <c r="J348" s="2" t="inlineStr"/>
      <c r="K348" s="2" t="inlineStr">
        <is>
          <t>&gt; Mascotas &gt; Accesorios para Mascotas &gt;</t>
        </is>
      </c>
      <c r="L348" s="2" t="inlineStr">
        <is>
          <t>shampoo</t>
        </is>
      </c>
      <c r="M348" s="2" t="inlineStr">
        <is>
          <t>estandar</t>
        </is>
      </c>
      <c r="N348" s="2" t="inlineStr">
        <is>
          <t>general</t>
        </is>
      </c>
      <c r="O348" s="2" t="inlineStr">
        <is>
          <t>https://www.jumbo.com.ar/set-juguete-perro-frisbee-pets-fun/p</t>
        </is>
      </c>
      <c r="P348" s="4">
        <f>TRIM(CLEAN(PROPER(D348)))</f>
        <v/>
      </c>
      <c r="Q348" s="4">
        <f>PROPER(TRIM(SUBSTITUTE(SUBSTITUTE(SUBSTITUTE(SUBSTITUTE(E348,"TRESEMME","Tresemme"),"HEAD &amp; SHOULDERS","Head &amp; Shoulders"),"ELVIVE","Elvive"),"FRUCTIS","Fructis")))</f>
        <v/>
      </c>
      <c r="R348" s="4">
        <f>COUNTIF($D$2:$D$10000,D348)&gt;1</f>
        <v/>
      </c>
      <c r="S348" s="4">
        <f>IF(H348=TRUE,"Disponible","No disponible")</f>
        <v/>
      </c>
      <c r="T348" s="4">
        <f>IF(AND(ISNUMBER(I348),I348&gt;0),ROUND(F348/I348,2),"Sin volumen")</f>
        <v/>
      </c>
      <c r="U348" s="4">
        <f>IF(F348&lt;5000,"Bajo",IF(F348&lt;15000,"Medio","Alto"))</f>
        <v/>
      </c>
    </row>
    <row r="349">
      <c r="A349" t="inlineStr">
        <is>
          <t>Jumbo</t>
        </is>
      </c>
      <c r="B349" t="n">
        <v>413361</v>
      </c>
      <c r="C349" t="n">
        <v>409238</v>
      </c>
      <c r="D349" t="inlineStr">
        <is>
          <t>Máscara de Tratamiento Reparación Intra Capilar 300 Ml Tresemmé</t>
        </is>
      </c>
      <c r="E349" t="inlineStr">
        <is>
          <t>TRESEMMÉ</t>
        </is>
      </c>
      <c r="F349" t="n">
        <v>9500</v>
      </c>
      <c r="G349" t="n">
        <v>785124</v>
      </c>
      <c r="H349" t="b">
        <v>1</v>
      </c>
      <c r="I349" t="n">
        <v>300</v>
      </c>
      <c r="J349" t="n">
        <v>31.6667</v>
      </c>
      <c r="K349" t="inlineStr">
        <is>
          <t>&gt; Perfumería &gt; Cuidado Capilar &gt; Reparación y Tratamientos &gt;</t>
        </is>
      </c>
      <c r="L349" t="inlineStr">
        <is>
          <t>tratamiento</t>
        </is>
      </c>
      <c r="M349" t="inlineStr">
        <is>
          <t>estandar</t>
        </is>
      </c>
      <c r="N349" t="inlineStr">
        <is>
          <t>general</t>
        </is>
      </c>
      <c r="O349" t="inlineStr">
        <is>
          <t>https://www.jumbo.com.ar/mascara-de-tratamiento-reparacion-intra-capilar-300-ml-tresemme-2/p</t>
        </is>
      </c>
      <c r="P349">
        <f>TRIM(CLEAN(PROPER(D349)))</f>
        <v/>
      </c>
      <c r="Q349">
        <f>PROPER(TRIM(SUBSTITUTE(SUBSTITUTE(SUBSTITUTE(SUBSTITUTE(E349,"TRESEMME","Tresemme"),"HEAD &amp; SHOULDERS","Head &amp; Shoulders"),"ELVIVE","Elvive"),"FRUCTIS","Fructis")))</f>
        <v/>
      </c>
      <c r="R349">
        <f>COUNTIF($D$2:$D$10000,D349)&gt;1</f>
        <v/>
      </c>
      <c r="S349">
        <f>IF(H349=TRUE,"Disponible","No disponible")</f>
        <v/>
      </c>
      <c r="T349">
        <f>IF(AND(ISNUMBER(I349),I349&gt;0),ROUND(F349/I349,2),"Sin volumen")</f>
        <v/>
      </c>
      <c r="U349">
        <f>IF(F349&lt;5000,"Bajo",IF(F349&lt;15000,"Medio","Alto"))</f>
        <v/>
      </c>
    </row>
    <row r="350">
      <c r="A350" s="2" t="inlineStr">
        <is>
          <t>Jumbo</t>
        </is>
      </c>
      <c r="B350" s="2" t="n">
        <v>413363</v>
      </c>
      <c r="C350" s="2" t="n">
        <v>409240</v>
      </c>
      <c r="D350" s="2" t="inlineStr">
        <is>
          <t>Máscara de Tratamiento Reparación Intra Capilar 300 Ml Tresemmé</t>
        </is>
      </c>
      <c r="E350" s="2" t="inlineStr">
        <is>
          <t>TRESEMMÉ</t>
        </is>
      </c>
      <c r="F350" s="2" t="n">
        <v>10400</v>
      </c>
      <c r="G350" s="2" t="n">
        <v>859504</v>
      </c>
      <c r="H350" s="2" t="b">
        <v>1</v>
      </c>
      <c r="I350" s="2" t="n">
        <v>300</v>
      </c>
      <c r="J350" s="2" t="n">
        <v>34.6667</v>
      </c>
      <c r="K350" s="2" t="inlineStr">
        <is>
          <t>&gt; Perfumería &gt; Cuidado Capilar &gt; Reparación y Tratamientos &gt;</t>
        </is>
      </c>
      <c r="L350" s="2" t="inlineStr">
        <is>
          <t>tratamiento</t>
        </is>
      </c>
      <c r="M350" s="2" t="inlineStr">
        <is>
          <t>estandar</t>
        </is>
      </c>
      <c r="N350" s="2" t="inlineStr">
        <is>
          <t>general</t>
        </is>
      </c>
      <c r="O350" s="2" t="inlineStr">
        <is>
          <t>https://www.jumbo.com.ar/mascara-de-tratamiento-reparacion-intra-capilar-300-ml-tresemme/p</t>
        </is>
      </c>
      <c r="P350" s="4">
        <f>TRIM(CLEAN(PROPER(D350)))</f>
        <v/>
      </c>
      <c r="Q350" s="4">
        <f>PROPER(TRIM(SUBSTITUTE(SUBSTITUTE(SUBSTITUTE(SUBSTITUTE(E350,"TRESEMME","Tresemme"),"HEAD &amp; SHOULDERS","Head &amp; Shoulders"),"ELVIVE","Elvive"),"FRUCTIS","Fructis")))</f>
        <v/>
      </c>
      <c r="R350" s="4">
        <f>COUNTIF($D$2:$D$10000,D350)&gt;1</f>
        <v/>
      </c>
      <c r="S350" s="4">
        <f>IF(H350=TRUE,"Disponible","No disponible")</f>
        <v/>
      </c>
      <c r="T350" s="4">
        <f>IF(AND(ISNUMBER(I350),I350&gt;0),ROUND(F350/I350,2),"Sin volumen")</f>
        <v/>
      </c>
      <c r="U350" s="4">
        <f>IF(F350&lt;5000,"Bajo",IF(F350&lt;15000,"Medio","Alto"))</f>
        <v/>
      </c>
    </row>
    <row r="351">
      <c r="A351" t="inlineStr">
        <is>
          <t>Jumbo</t>
        </is>
      </c>
      <c r="B351" t="n">
        <v>375497</v>
      </c>
      <c r="C351" t="n">
        <v>374215</v>
      </c>
      <c r="D351" t="inlineStr">
        <is>
          <t>Tratamiento Plusbelle Escencia Oleos Prot 400m</t>
        </is>
      </c>
      <c r="E351" t="inlineStr">
        <is>
          <t>PLUSBELLE</t>
        </is>
      </c>
      <c r="F351" t="n">
        <v>2350</v>
      </c>
      <c r="G351" t="n">
        <v>194215</v>
      </c>
      <c r="H351" t="b">
        <v>1</v>
      </c>
      <c r="I351" t="inlineStr"/>
      <c r="J351" t="inlineStr"/>
      <c r="K351" t="inlineStr">
        <is>
          <t>&gt; Perfumería &gt; Cuidado Capilar &gt; Reparación y Tratamientos &gt;</t>
        </is>
      </c>
      <c r="L351" t="inlineStr">
        <is>
          <t>tratamiento</t>
        </is>
      </c>
      <c r="M351" t="inlineStr">
        <is>
          <t>estandar</t>
        </is>
      </c>
      <c r="N351" t="inlineStr">
        <is>
          <t>general</t>
        </is>
      </c>
      <c r="O351" t="inlineStr">
        <is>
          <t>https://www.jumbo.com.ar/tratamiento-plusbelle-escencia-oleos-prot-400m-3/p</t>
        </is>
      </c>
      <c r="P351">
        <f>TRIM(CLEAN(PROPER(D351)))</f>
        <v/>
      </c>
      <c r="Q351">
        <f>PROPER(TRIM(SUBSTITUTE(SUBSTITUTE(SUBSTITUTE(SUBSTITUTE(E351,"TRESEMME","Tresemme"),"HEAD &amp; SHOULDERS","Head &amp; Shoulders"),"ELVIVE","Elvive"),"FRUCTIS","Fructis")))</f>
        <v/>
      </c>
      <c r="R351">
        <f>COUNTIF($D$2:$D$10000,D351)&gt;1</f>
        <v/>
      </c>
      <c r="S351">
        <f>IF(H351=TRUE,"Disponible","No disponible")</f>
        <v/>
      </c>
      <c r="T351">
        <f>IF(AND(ISNUMBER(I351),I351&gt;0),ROUND(F351/I351,2),"Sin volumen")</f>
        <v/>
      </c>
      <c r="U351">
        <f>IF(F351&lt;5000,"Bajo",IF(F351&lt;15000,"Medio","Alto"))</f>
        <v/>
      </c>
    </row>
    <row r="352">
      <c r="A352" s="2" t="inlineStr">
        <is>
          <t>Jumbo</t>
        </is>
      </c>
      <c r="B352" s="2" t="n">
        <v>3071022</v>
      </c>
      <c r="C352" s="2" t="n">
        <v>3070593</v>
      </c>
      <c r="D352" s="2" t="inlineStr">
        <is>
          <t>Crema Tratamiento Dream Liso X 300 Gr Elvive</t>
        </is>
      </c>
      <c r="E352" s="2" t="inlineStr">
        <is>
          <t>ELVIVE</t>
        </is>
      </c>
      <c r="F352" s="2" t="n">
        <v>12600</v>
      </c>
      <c r="G352" s="2" t="n">
        <v>1041322</v>
      </c>
      <c r="H352" s="2" t="b">
        <v>1</v>
      </c>
      <c r="I352" s="2" t="n">
        <v>300</v>
      </c>
      <c r="J352" s="2" t="n">
        <v>42</v>
      </c>
      <c r="K352" s="2" t="inlineStr">
        <is>
          <t>&gt; Perfumería &gt; Cuidado Capilar &gt; Reparación y Tratamientos &gt;</t>
        </is>
      </c>
      <c r="L352" s="2" t="inlineStr">
        <is>
          <t>tratamiento</t>
        </is>
      </c>
      <c r="M352" s="2" t="inlineStr">
        <is>
          <t>profesional</t>
        </is>
      </c>
      <c r="N352" s="2" t="inlineStr">
        <is>
          <t>general</t>
        </is>
      </c>
      <c r="O352" s="2" t="inlineStr">
        <is>
          <t>https://www.jumbo.com.ar/crema-tratamiento-dream-liso-x-300-gr-elvive/p</t>
        </is>
      </c>
      <c r="P352" s="4">
        <f>TRIM(CLEAN(PROPER(D352)))</f>
        <v/>
      </c>
      <c r="Q352" s="4">
        <f>PROPER(TRIM(SUBSTITUTE(SUBSTITUTE(SUBSTITUTE(SUBSTITUTE(E352,"TRESEMME","Tresemme"),"HEAD &amp; SHOULDERS","Head &amp; Shoulders"),"ELVIVE","Elvive"),"FRUCTIS","Fructis")))</f>
        <v/>
      </c>
      <c r="R352" s="4">
        <f>COUNTIF($D$2:$D$10000,D352)&gt;1</f>
        <v/>
      </c>
      <c r="S352" s="4">
        <f>IF(H352=TRUE,"Disponible","No disponible")</f>
        <v/>
      </c>
      <c r="T352" s="4">
        <f>IF(AND(ISNUMBER(I352),I352&gt;0),ROUND(F352/I352,2),"Sin volumen")</f>
        <v/>
      </c>
      <c r="U352" s="4">
        <f>IF(F352&lt;5000,"Bajo",IF(F352&lt;15000,"Medio","Alto"))</f>
        <v/>
      </c>
    </row>
    <row r="353">
      <c r="A353" t="inlineStr">
        <is>
          <t>Jumbo</t>
        </is>
      </c>
      <c r="B353" t="n">
        <v>3066021</v>
      </c>
      <c r="C353" t="n">
        <v>3065978</v>
      </c>
      <c r="D353" t="inlineStr">
        <is>
          <t>Crema Peinar Anti Caida X 300 Ml Pantene</t>
        </is>
      </c>
      <c r="E353" t="inlineStr">
        <is>
          <t>PANTENE</t>
        </is>
      </c>
      <c r="F353" t="n">
        <v>9400</v>
      </c>
      <c r="G353" t="n">
        <v>776860</v>
      </c>
      <c r="H353" t="b">
        <v>1</v>
      </c>
      <c r="I353" t="n">
        <v>300</v>
      </c>
      <c r="J353" t="n">
        <v>31.3333</v>
      </c>
      <c r="K353" t="inlineStr">
        <is>
          <t>&gt; Perfumería &gt; Cuidado Capilar &gt; Reparación y Tratamientos &gt;</t>
        </is>
      </c>
      <c r="L353" t="inlineStr">
        <is>
          <t>shampoo</t>
        </is>
      </c>
      <c r="M353" t="inlineStr">
        <is>
          <t>estandar</t>
        </is>
      </c>
      <c r="N353" t="inlineStr">
        <is>
          <t>general</t>
        </is>
      </c>
      <c r="O353" t="inlineStr">
        <is>
          <t>https://www.jumbo.com.ar/crema-peinar-anti-caida-x-300-ml-pantene/p</t>
        </is>
      </c>
      <c r="P353">
        <f>TRIM(CLEAN(PROPER(D353)))</f>
        <v/>
      </c>
      <c r="Q353">
        <f>PROPER(TRIM(SUBSTITUTE(SUBSTITUTE(SUBSTITUTE(SUBSTITUTE(E353,"TRESEMME","Tresemme"),"HEAD &amp; SHOULDERS","Head &amp; Shoulders"),"ELVIVE","Elvive"),"FRUCTIS","Fructis")))</f>
        <v/>
      </c>
      <c r="R353">
        <f>COUNTIF($D$2:$D$10000,D353)&gt;1</f>
        <v/>
      </c>
      <c r="S353">
        <f>IF(H353=TRUE,"Disponible","No disponible")</f>
        <v/>
      </c>
      <c r="T353">
        <f>IF(AND(ISNUMBER(I353),I353&gt;0),ROUND(F353/I353,2),"Sin volumen")</f>
        <v/>
      </c>
      <c r="U353">
        <f>IF(F353&lt;5000,"Bajo",IF(F353&lt;15000,"Medio","Alto"))</f>
        <v/>
      </c>
    </row>
    <row r="354">
      <c r="A354" s="2" t="inlineStr">
        <is>
          <t>Jumbo</t>
        </is>
      </c>
      <c r="B354" s="2" t="n">
        <v>3066017</v>
      </c>
      <c r="C354" s="2" t="n">
        <v>3065974</v>
      </c>
      <c r="D354" s="2" t="inlineStr">
        <is>
          <t>Tratamiento Oil Nutritivo X 95 Ml Pantene</t>
        </is>
      </c>
      <c r="E354" s="2" t="inlineStr">
        <is>
          <t>PANTENE</t>
        </is>
      </c>
      <c r="F354" s="2" t="n">
        <v>21350</v>
      </c>
      <c r="G354" s="2" t="n">
        <v>1764463</v>
      </c>
      <c r="H354" s="2" t="b">
        <v>1</v>
      </c>
      <c r="I354" s="2" t="n">
        <v>95</v>
      </c>
      <c r="J354" s="2" t="n">
        <v>224.7368</v>
      </c>
      <c r="K354" s="2" t="inlineStr">
        <is>
          <t>&gt; Perfumería &gt; Cuidado Capilar &gt; Reparación y Tratamientos &gt;</t>
        </is>
      </c>
      <c r="L354" s="2" t="inlineStr">
        <is>
          <t>tratamiento</t>
        </is>
      </c>
      <c r="M354" s="2" t="inlineStr">
        <is>
          <t>estandar</t>
        </is>
      </c>
      <c r="N354" s="2" t="inlineStr">
        <is>
          <t>general</t>
        </is>
      </c>
      <c r="O354" s="2" t="inlineStr">
        <is>
          <t>https://www.jumbo.com.ar/tratamiento-oil-nutritivo-x-95-ml-pantene/p</t>
        </is>
      </c>
      <c r="P354" s="4">
        <f>TRIM(CLEAN(PROPER(D354)))</f>
        <v/>
      </c>
      <c r="Q354" s="4">
        <f>PROPER(TRIM(SUBSTITUTE(SUBSTITUTE(SUBSTITUTE(SUBSTITUTE(E354,"TRESEMME","Tresemme"),"HEAD &amp; SHOULDERS","Head &amp; Shoulders"),"ELVIVE","Elvive"),"FRUCTIS","Fructis")))</f>
        <v/>
      </c>
      <c r="R354" s="4">
        <f>COUNTIF($D$2:$D$10000,D354)&gt;1</f>
        <v/>
      </c>
      <c r="S354" s="4">
        <f>IF(H354=TRUE,"Disponible","No disponible")</f>
        <v/>
      </c>
      <c r="T354" s="4">
        <f>IF(AND(ISNUMBER(I354),I354&gt;0),ROUND(F354/I354,2),"Sin volumen")</f>
        <v/>
      </c>
      <c r="U354" s="4">
        <f>IF(F354&lt;5000,"Bajo",IF(F354&lt;15000,"Medio","Alto"))</f>
        <v/>
      </c>
    </row>
    <row r="355">
      <c r="A355" t="inlineStr">
        <is>
          <t>Jumbo</t>
        </is>
      </c>
      <c r="B355" t="n">
        <v>1360444</v>
      </c>
      <c r="C355" t="n">
        <v>1360028</v>
      </c>
      <c r="D355" t="inlineStr">
        <is>
          <t>Mascarilla Intensiva Hidratación 270 Ml Pantene</t>
        </is>
      </c>
      <c r="E355" t="inlineStr">
        <is>
          <t>PANTENE</t>
        </is>
      </c>
      <c r="F355" t="n">
        <v>10400</v>
      </c>
      <c r="G355" t="n">
        <v>859504</v>
      </c>
      <c r="H355" t="b">
        <v>1</v>
      </c>
      <c r="I355" t="n">
        <v>270</v>
      </c>
      <c r="J355" t="n">
        <v>38.5185</v>
      </c>
      <c r="K355" t="inlineStr">
        <is>
          <t>&gt; Perfumería &gt; Cuidado Capilar &gt; Reparación y Tratamientos &gt;</t>
        </is>
      </c>
      <c r="L355" t="inlineStr">
        <is>
          <t>tratamiento</t>
        </is>
      </c>
      <c r="M355" t="inlineStr">
        <is>
          <t>estandar</t>
        </is>
      </c>
      <c r="N355" t="inlineStr">
        <is>
          <t>seco_danado</t>
        </is>
      </c>
      <c r="O355" t="inlineStr">
        <is>
          <t>https://www.jumbo.com.ar/mascarilla-intensiva-hidratacion-270-ml-pantene-2/p</t>
        </is>
      </c>
      <c r="P355">
        <f>TRIM(CLEAN(PROPER(D355)))</f>
        <v/>
      </c>
      <c r="Q355">
        <f>PROPER(TRIM(SUBSTITUTE(SUBSTITUTE(SUBSTITUTE(SUBSTITUTE(E355,"TRESEMME","Tresemme"),"HEAD &amp; SHOULDERS","Head &amp; Shoulders"),"ELVIVE","Elvive"),"FRUCTIS","Fructis")))</f>
        <v/>
      </c>
      <c r="R355">
        <f>COUNTIF($D$2:$D$10000,D355)&gt;1</f>
        <v/>
      </c>
      <c r="S355">
        <f>IF(H355=TRUE,"Disponible","No disponible")</f>
        <v/>
      </c>
      <c r="T355">
        <f>IF(AND(ISNUMBER(I355),I355&gt;0),ROUND(F355/I355,2),"Sin volumen")</f>
        <v/>
      </c>
      <c r="U355">
        <f>IF(F355&lt;5000,"Bajo",IF(F355&lt;15000,"Medio","Alto"))</f>
        <v/>
      </c>
    </row>
    <row r="356">
      <c r="A356" s="2" t="inlineStr">
        <is>
          <t>Jumbo</t>
        </is>
      </c>
      <c r="B356" s="2" t="n">
        <v>1360439</v>
      </c>
      <c r="C356" s="2" t="n">
        <v>1360023</v>
      </c>
      <c r="D356" s="2" t="inlineStr">
        <is>
          <t>Mascarilla Intensiva Restauración 270 Ml Pantene</t>
        </is>
      </c>
      <c r="E356" s="2" t="inlineStr">
        <is>
          <t>PANTENE</t>
        </is>
      </c>
      <c r="F356" s="2" t="n">
        <v>10400</v>
      </c>
      <c r="G356" s="2" t="n">
        <v>859504</v>
      </c>
      <c r="H356" s="2" t="b">
        <v>1</v>
      </c>
      <c r="I356" s="2" t="n">
        <v>270</v>
      </c>
      <c r="J356" s="2" t="n">
        <v>38.5185</v>
      </c>
      <c r="K356" s="2" t="inlineStr">
        <is>
          <t>&gt; Perfumería &gt; Cuidado Capilar &gt; Reparación y Tratamientos &gt;</t>
        </is>
      </c>
      <c r="L356" s="2" t="inlineStr">
        <is>
          <t>tratamiento</t>
        </is>
      </c>
      <c r="M356" s="2" t="inlineStr">
        <is>
          <t>estandar</t>
        </is>
      </c>
      <c r="N356" s="2" t="inlineStr">
        <is>
          <t>general</t>
        </is>
      </c>
      <c r="O356" s="2" t="inlineStr">
        <is>
          <t>https://www.jumbo.com.ar/mascarilla-intensiva-restauracion-270-ml-pantene-2/p</t>
        </is>
      </c>
      <c r="P356" s="4">
        <f>TRIM(CLEAN(PROPER(D356)))</f>
        <v/>
      </c>
      <c r="Q356" s="4">
        <f>PROPER(TRIM(SUBSTITUTE(SUBSTITUTE(SUBSTITUTE(SUBSTITUTE(E356,"TRESEMME","Tresemme"),"HEAD &amp; SHOULDERS","Head &amp; Shoulders"),"ELVIVE","Elvive"),"FRUCTIS","Fructis")))</f>
        <v/>
      </c>
      <c r="R356" s="4">
        <f>COUNTIF($D$2:$D$10000,D356)&gt;1</f>
        <v/>
      </c>
      <c r="S356" s="4">
        <f>IF(H356=TRUE,"Disponible","No disponible")</f>
        <v/>
      </c>
      <c r="T356" s="4">
        <f>IF(AND(ISNUMBER(I356),I356&gt;0),ROUND(F356/I356,2),"Sin volumen")</f>
        <v/>
      </c>
      <c r="U356" s="4">
        <f>IF(F356&lt;5000,"Bajo",IF(F356&lt;15000,"Medio","Alto"))</f>
        <v/>
      </c>
    </row>
    <row r="357">
      <c r="A357" t="inlineStr">
        <is>
          <t>Jumbo</t>
        </is>
      </c>
      <c r="B357" t="n">
        <v>383675</v>
      </c>
      <c r="C357" t="n">
        <v>382390</v>
      </c>
      <c r="D357" t="inlineStr">
        <is>
          <t>Crema para Peinar Colágeno Nutre y Revitaliza 300 Ml Pantene</t>
        </is>
      </c>
      <c r="E357" t="inlineStr">
        <is>
          <t>PANTENE</t>
        </is>
      </c>
      <c r="F357" t="n">
        <v>9250</v>
      </c>
      <c r="G357" t="n">
        <v>764463</v>
      </c>
      <c r="H357" t="b">
        <v>1</v>
      </c>
      <c r="I357" t="n">
        <v>300</v>
      </c>
      <c r="J357" t="n">
        <v>30.8333</v>
      </c>
      <c r="K357" t="inlineStr">
        <is>
          <t>&gt; Perfumería &gt; Cuidado Capilar &gt; Reparación y Tratamientos &gt;</t>
        </is>
      </c>
      <c r="L357" t="inlineStr">
        <is>
          <t>shampoo</t>
        </is>
      </c>
      <c r="M357" t="inlineStr">
        <is>
          <t>estandar</t>
        </is>
      </c>
      <c r="N357" t="inlineStr">
        <is>
          <t>general</t>
        </is>
      </c>
      <c r="O357" t="inlineStr">
        <is>
          <t>https://www.jumbo.com.ar/crema-para-peinar-colageno-nutre-y-revitaliza-300-ml-pantene/p</t>
        </is>
      </c>
      <c r="P357">
        <f>TRIM(CLEAN(PROPER(D357)))</f>
        <v/>
      </c>
      <c r="Q357">
        <f>PROPER(TRIM(SUBSTITUTE(SUBSTITUTE(SUBSTITUTE(SUBSTITUTE(E357,"TRESEMME","Tresemme"),"HEAD &amp; SHOULDERS","Head &amp; Shoulders"),"ELVIVE","Elvive"),"FRUCTIS","Fructis")))</f>
        <v/>
      </c>
      <c r="R357">
        <f>COUNTIF($D$2:$D$10000,D357)&gt;1</f>
        <v/>
      </c>
      <c r="S357">
        <f>IF(H357=TRUE,"Disponible","No disponible")</f>
        <v/>
      </c>
      <c r="T357">
        <f>IF(AND(ISNUMBER(I357),I357&gt;0),ROUND(F357/I357,2),"Sin volumen")</f>
        <v/>
      </c>
      <c r="U357">
        <f>IF(F357&lt;5000,"Bajo",IF(F357&lt;15000,"Medio","Alto"))</f>
        <v/>
      </c>
    </row>
    <row r="358">
      <c r="A358" s="2" t="inlineStr">
        <is>
          <t>Jumbo</t>
        </is>
      </c>
      <c r="B358" s="2" t="n">
        <v>1360442</v>
      </c>
      <c r="C358" s="2" t="n">
        <v>1360026</v>
      </c>
      <c r="D358" s="2" t="inlineStr">
        <is>
          <t>Mascarilla Intensiva Nutrición 270 Ml Pantene</t>
        </is>
      </c>
      <c r="E358" s="2" t="inlineStr">
        <is>
          <t>PANTENE</t>
        </is>
      </c>
      <c r="F358" s="2" t="n">
        <v>10400</v>
      </c>
      <c r="G358" s="2" t="n">
        <v>859504</v>
      </c>
      <c r="H358" s="2" t="b">
        <v>1</v>
      </c>
      <c r="I358" s="2" t="n">
        <v>270</v>
      </c>
      <c r="J358" s="2" t="n">
        <v>38.5185</v>
      </c>
      <c r="K358" s="2" t="inlineStr">
        <is>
          <t>&gt; Perfumería &gt; Cuidado Capilar &gt; Reparación y Tratamientos &gt;</t>
        </is>
      </c>
      <c r="L358" s="2" t="inlineStr">
        <is>
          <t>tratamiento</t>
        </is>
      </c>
      <c r="M358" s="2" t="inlineStr">
        <is>
          <t>estandar</t>
        </is>
      </c>
      <c r="N358" s="2" t="inlineStr">
        <is>
          <t>general</t>
        </is>
      </c>
      <c r="O358" s="2" t="inlineStr">
        <is>
          <t>https://www.jumbo.com.ar/mascarilla-intensiva-nutricion-270-ml-pantene-2/p</t>
        </is>
      </c>
      <c r="P358" s="4">
        <f>TRIM(CLEAN(PROPER(D358)))</f>
        <v/>
      </c>
      <c r="Q358" s="4">
        <f>PROPER(TRIM(SUBSTITUTE(SUBSTITUTE(SUBSTITUTE(SUBSTITUTE(E358,"TRESEMME","Tresemme"),"HEAD &amp; SHOULDERS","Head &amp; Shoulders"),"ELVIVE","Elvive"),"FRUCTIS","Fructis")))</f>
        <v/>
      </c>
      <c r="R358" s="4">
        <f>COUNTIF($D$2:$D$10000,D358)&gt;1</f>
        <v/>
      </c>
      <c r="S358" s="4">
        <f>IF(H358=TRUE,"Disponible","No disponible")</f>
        <v/>
      </c>
      <c r="T358" s="4">
        <f>IF(AND(ISNUMBER(I358),I358&gt;0),ROUND(F358/I358,2),"Sin volumen")</f>
        <v/>
      </c>
      <c r="U358" s="4">
        <f>IF(F358&lt;5000,"Bajo",IF(F358&lt;15000,"Medio","Alto"))</f>
        <v/>
      </c>
    </row>
    <row r="359">
      <c r="A359" t="inlineStr">
        <is>
          <t>Jumbo</t>
        </is>
      </c>
      <c r="B359" t="n">
        <v>3065109</v>
      </c>
      <c r="C359" t="n">
        <v>3065108</v>
      </c>
      <c r="D359" t="inlineStr">
        <is>
          <t>Mascarilla Tratamiento Ceramidas 300 Grs Sedal</t>
        </is>
      </c>
      <c r="E359" t="inlineStr">
        <is>
          <t>SEDAL</t>
        </is>
      </c>
      <c r="F359" t="n">
        <v>6200</v>
      </c>
      <c r="G359" t="n">
        <v>512397</v>
      </c>
      <c r="H359" t="b">
        <v>1</v>
      </c>
      <c r="I359" t="inlineStr"/>
      <c r="J359" t="inlineStr"/>
      <c r="K359" t="inlineStr">
        <is>
          <t>&gt; Perfumería &gt; Cuidado Capilar &gt; Reparación y Tratamientos &gt;</t>
        </is>
      </c>
      <c r="L359" t="inlineStr">
        <is>
          <t>tratamiento</t>
        </is>
      </c>
      <c r="M359" t="inlineStr">
        <is>
          <t>estandar</t>
        </is>
      </c>
      <c r="N359" t="inlineStr">
        <is>
          <t>general</t>
        </is>
      </c>
      <c r="O359" t="inlineStr">
        <is>
          <t>https://www.jumbo.com.ar/mascara-tratamiento-ceramidas-x-300-gr-sedal-2/p</t>
        </is>
      </c>
      <c r="P359">
        <f>TRIM(CLEAN(PROPER(D359)))</f>
        <v/>
      </c>
      <c r="Q359">
        <f>PROPER(TRIM(SUBSTITUTE(SUBSTITUTE(SUBSTITUTE(SUBSTITUTE(E359,"TRESEMME","Tresemme"),"HEAD &amp; SHOULDERS","Head &amp; Shoulders"),"ELVIVE","Elvive"),"FRUCTIS","Fructis")))</f>
        <v/>
      </c>
      <c r="R359">
        <f>COUNTIF($D$2:$D$10000,D359)&gt;1</f>
        <v/>
      </c>
      <c r="S359">
        <f>IF(H359=TRUE,"Disponible","No disponible")</f>
        <v/>
      </c>
      <c r="T359">
        <f>IF(AND(ISNUMBER(I359),I359&gt;0),ROUND(F359/I359,2),"Sin volumen")</f>
        <v/>
      </c>
      <c r="U359">
        <f>IF(F359&lt;5000,"Bajo",IF(F359&lt;15000,"Medio","Alto"))</f>
        <v/>
      </c>
    </row>
    <row r="360">
      <c r="A360" s="2" t="inlineStr">
        <is>
          <t>Jumbo</t>
        </is>
      </c>
      <c r="B360" s="2" t="n">
        <v>411272</v>
      </c>
      <c r="C360" s="2" t="n">
        <v>407112</v>
      </c>
      <c r="D360" s="2" t="inlineStr">
        <is>
          <t>Crema Para Peinar Sedal Ceramidas 300ml</t>
        </is>
      </c>
      <c r="E360" s="2" t="inlineStr">
        <is>
          <t>SEDAL</t>
        </is>
      </c>
      <c r="F360" s="2" t="n">
        <v>6150</v>
      </c>
      <c r="G360" s="2" t="n">
        <v>508264</v>
      </c>
      <c r="H360" s="2" t="b">
        <v>1</v>
      </c>
      <c r="I360" s="2" t="n">
        <v>300</v>
      </c>
      <c r="J360" s="2" t="n">
        <v>20.5</v>
      </c>
      <c r="K360" s="2" t="inlineStr">
        <is>
          <t>&gt; Perfumería &gt; Cuidado Capilar &gt; Reparación y Tratamientos &gt;</t>
        </is>
      </c>
      <c r="L360" s="2" t="inlineStr">
        <is>
          <t>shampoo</t>
        </is>
      </c>
      <c r="M360" s="2" t="inlineStr">
        <is>
          <t>estandar</t>
        </is>
      </c>
      <c r="N360" s="2" t="inlineStr">
        <is>
          <t>general</t>
        </is>
      </c>
      <c r="O360" s="2" t="inlineStr">
        <is>
          <t>https://www.jumbo.com.ar/crema-para-peinar-sedal-ceramidas-300ml/p</t>
        </is>
      </c>
      <c r="P360" s="4">
        <f>TRIM(CLEAN(PROPER(D360)))</f>
        <v/>
      </c>
      <c r="Q360" s="4">
        <f>PROPER(TRIM(SUBSTITUTE(SUBSTITUTE(SUBSTITUTE(SUBSTITUTE(E360,"TRESEMME","Tresemme"),"HEAD &amp; SHOULDERS","Head &amp; Shoulders"),"ELVIVE","Elvive"),"FRUCTIS","Fructis")))</f>
        <v/>
      </c>
      <c r="R360" s="4">
        <f>COUNTIF($D$2:$D$10000,D360)&gt;1</f>
        <v/>
      </c>
      <c r="S360" s="4">
        <f>IF(H360=TRUE,"Disponible","No disponible")</f>
        <v/>
      </c>
      <c r="T360" s="4">
        <f>IF(AND(ISNUMBER(I360),I360&gt;0),ROUND(F360/I360,2),"Sin volumen")</f>
        <v/>
      </c>
      <c r="U360" s="4">
        <f>IF(F360&lt;5000,"Bajo",IF(F360&lt;15000,"Medio","Alto"))</f>
        <v/>
      </c>
    </row>
    <row r="361">
      <c r="A361" t="inlineStr">
        <is>
          <t>Jumbo</t>
        </is>
      </c>
      <c r="B361" t="n">
        <v>3067579</v>
      </c>
      <c r="C361" t="n">
        <v>3067443</v>
      </c>
      <c r="D361" t="inlineStr">
        <is>
          <t>Sérum Capilar Luminous Uv 110 Ml Sedal</t>
        </is>
      </c>
      <c r="E361" t="inlineStr">
        <is>
          <t>SEDAL</t>
        </is>
      </c>
      <c r="F361" t="n">
        <v>10750</v>
      </c>
      <c r="G361" t="n">
        <v>888430</v>
      </c>
      <c r="H361" t="b">
        <v>1</v>
      </c>
      <c r="I361" t="n">
        <v>110</v>
      </c>
      <c r="J361" t="n">
        <v>97.7273</v>
      </c>
      <c r="K361" t="inlineStr">
        <is>
          <t>&gt; Perfumería &gt; Cuidado Capilar &gt; Reparación y Tratamientos &gt;</t>
        </is>
      </c>
      <c r="L361" t="inlineStr">
        <is>
          <t>shampoo</t>
        </is>
      </c>
      <c r="M361" t="inlineStr">
        <is>
          <t>estandar</t>
        </is>
      </c>
      <c r="N361" t="inlineStr">
        <is>
          <t>general</t>
        </is>
      </c>
      <c r="O361" t="inlineStr">
        <is>
          <t>https://www.jumbo.com.ar/serum-capilar-luminous-uv-110-ml-sedal/p</t>
        </is>
      </c>
      <c r="P361">
        <f>TRIM(CLEAN(PROPER(D361)))</f>
        <v/>
      </c>
      <c r="Q361">
        <f>PROPER(TRIM(SUBSTITUTE(SUBSTITUTE(SUBSTITUTE(SUBSTITUTE(E361,"TRESEMME","Tresemme"),"HEAD &amp; SHOULDERS","Head &amp; Shoulders"),"ELVIVE","Elvive"),"FRUCTIS","Fructis")))</f>
        <v/>
      </c>
      <c r="R361">
        <f>COUNTIF($D$2:$D$10000,D361)&gt;1</f>
        <v/>
      </c>
      <c r="S361">
        <f>IF(H361=TRUE,"Disponible","No disponible")</f>
        <v/>
      </c>
      <c r="T361">
        <f>IF(AND(ISNUMBER(I361),I361&gt;0),ROUND(F361/I361,2),"Sin volumen")</f>
        <v/>
      </c>
      <c r="U361">
        <f>IF(F361&lt;5000,"Bajo",IF(F361&lt;15000,"Medio","Alto"))</f>
        <v/>
      </c>
    </row>
    <row r="362">
      <c r="A362" s="2" t="inlineStr">
        <is>
          <t>Jumbo</t>
        </is>
      </c>
      <c r="B362" s="2" t="n">
        <v>3066237</v>
      </c>
      <c r="C362" s="2" t="n">
        <v>3066153</v>
      </c>
      <c r="D362" s="2" t="inlineStr">
        <is>
          <t>Máscara De Tratamiento Luminous Uv 300 Grs Sedal</t>
        </is>
      </c>
      <c r="E362" s="2" t="inlineStr">
        <is>
          <t>SEDAL</t>
        </is>
      </c>
      <c r="F362" s="2" t="n">
        <v>6150</v>
      </c>
      <c r="G362" s="2" t="n">
        <v>508264</v>
      </c>
      <c r="H362" s="2" t="b">
        <v>1</v>
      </c>
      <c r="I362" s="2" t="inlineStr"/>
      <c r="J362" s="2" t="inlineStr"/>
      <c r="K362" s="2" t="inlineStr">
        <is>
          <t>&gt; Perfumería &gt; Cuidado Capilar &gt; Reparación y Tratamientos &gt;</t>
        </is>
      </c>
      <c r="L362" s="2" t="inlineStr">
        <is>
          <t>tratamiento</t>
        </is>
      </c>
      <c r="M362" s="2" t="inlineStr">
        <is>
          <t>estandar</t>
        </is>
      </c>
      <c r="N362" s="2" t="inlineStr">
        <is>
          <t>general</t>
        </is>
      </c>
      <c r="O362" s="2" t="inlineStr">
        <is>
          <t>https://www.jumbo.com.ar/mascara-de-tratamiento-luminous-uv-300-grs-sedal-2/p</t>
        </is>
      </c>
      <c r="P362" s="4">
        <f>TRIM(CLEAN(PROPER(D362)))</f>
        <v/>
      </c>
      <c r="Q362" s="4">
        <f>PROPER(TRIM(SUBSTITUTE(SUBSTITUTE(SUBSTITUTE(SUBSTITUTE(E362,"TRESEMME","Tresemme"),"HEAD &amp; SHOULDERS","Head &amp; Shoulders"),"ELVIVE","Elvive"),"FRUCTIS","Fructis")))</f>
        <v/>
      </c>
      <c r="R362" s="4">
        <f>COUNTIF($D$2:$D$10000,D362)&gt;1</f>
        <v/>
      </c>
      <c r="S362" s="4">
        <f>IF(H362=TRUE,"Disponible","No disponible")</f>
        <v/>
      </c>
      <c r="T362" s="4">
        <f>IF(AND(ISNUMBER(I362),I362&gt;0),ROUND(F362/I362,2),"Sin volumen")</f>
        <v/>
      </c>
      <c r="U362" s="4">
        <f>IF(F362&lt;5000,"Bajo",IF(F362&lt;15000,"Medio","Alto"))</f>
        <v/>
      </c>
    </row>
    <row r="363">
      <c r="A363" t="inlineStr">
        <is>
          <t>Jumbo</t>
        </is>
      </c>
      <c r="B363" t="n">
        <v>411277</v>
      </c>
      <c r="C363" t="n">
        <v>407117</v>
      </c>
      <c r="D363" t="inlineStr">
        <is>
          <t>Crema De Peinar Sedal Hialurónico Y Vitamina A 300 Ml</t>
        </is>
      </c>
      <c r="E363" t="inlineStr">
        <is>
          <t>SEDAL</t>
        </is>
      </c>
      <c r="F363" t="n">
        <v>6150</v>
      </c>
      <c r="G363" t="n">
        <v>508264</v>
      </c>
      <c r="H363" t="b">
        <v>1</v>
      </c>
      <c r="I363" t="n">
        <v>300</v>
      </c>
      <c r="J363" t="n">
        <v>20.5</v>
      </c>
      <c r="K363" t="inlineStr">
        <is>
          <t>&gt; Perfumería &gt; Cuidado Capilar &gt; Reparación y Tratamientos &gt;</t>
        </is>
      </c>
      <c r="L363" t="inlineStr">
        <is>
          <t>shampoo</t>
        </is>
      </c>
      <c r="M363" t="inlineStr">
        <is>
          <t>estandar</t>
        </is>
      </c>
      <c r="N363" t="inlineStr">
        <is>
          <t>general</t>
        </is>
      </c>
      <c r="O363" t="inlineStr">
        <is>
          <t>https://www.jumbo.com.ar/crema-de-peinar-sedal-hialuronico-y-vitamina-a-300-ml-2/p</t>
        </is>
      </c>
      <c r="P363">
        <f>TRIM(CLEAN(PROPER(D363)))</f>
        <v/>
      </c>
      <c r="Q363">
        <f>PROPER(TRIM(SUBSTITUTE(SUBSTITUTE(SUBSTITUTE(SUBSTITUTE(E363,"TRESEMME","Tresemme"),"HEAD &amp; SHOULDERS","Head &amp; Shoulders"),"ELVIVE","Elvive"),"FRUCTIS","Fructis")))</f>
        <v/>
      </c>
      <c r="R363">
        <f>COUNTIF($D$2:$D$10000,D363)&gt;1</f>
        <v/>
      </c>
      <c r="S363">
        <f>IF(H363=TRUE,"Disponible","No disponible")</f>
        <v/>
      </c>
      <c r="T363">
        <f>IF(AND(ISNUMBER(I363),I363&gt;0),ROUND(F363/I363,2),"Sin volumen")</f>
        <v/>
      </c>
      <c r="U363">
        <f>IF(F363&lt;5000,"Bajo",IF(F363&lt;15000,"Medio","Alto"))</f>
        <v/>
      </c>
    </row>
    <row r="364">
      <c r="A364" s="2" t="inlineStr">
        <is>
          <t>Jumbo</t>
        </is>
      </c>
      <c r="B364" s="2" t="n">
        <v>411257</v>
      </c>
      <c r="C364" s="2" t="n">
        <v>407097</v>
      </c>
      <c r="D364" s="2" t="inlineStr">
        <is>
          <t>Mascarilla Capilar Regeneración Colágeno y Vitamina C 300 Grs Sedal</t>
        </is>
      </c>
      <c r="E364" s="2" t="inlineStr">
        <is>
          <t>SEDAL</t>
        </is>
      </c>
      <c r="F364" s="2" t="n">
        <v>6150</v>
      </c>
      <c r="G364" s="2" t="n">
        <v>508264</v>
      </c>
      <c r="H364" s="2" t="b">
        <v>1</v>
      </c>
      <c r="I364" s="2" t="inlineStr"/>
      <c r="J364" s="2" t="inlineStr"/>
      <c r="K364" s="2" t="inlineStr">
        <is>
          <t>&gt; Perfumería &gt; Cuidado Capilar &gt; Reparación y Tratamientos &gt;</t>
        </is>
      </c>
      <c r="L364" s="2" t="inlineStr">
        <is>
          <t>tratamiento</t>
        </is>
      </c>
      <c r="M364" s="2" t="inlineStr">
        <is>
          <t>estandar</t>
        </is>
      </c>
      <c r="N364" s="2" t="inlineStr">
        <is>
          <t>general</t>
        </is>
      </c>
      <c r="O364" s="2" t="inlineStr">
        <is>
          <t>https://www.jumbo.com.ar/mascara-de-tratamiento-sedal-colageno-y-vitamina-c-300-gr/p</t>
        </is>
      </c>
      <c r="P364" s="4">
        <f>TRIM(CLEAN(PROPER(D364)))</f>
        <v/>
      </c>
      <c r="Q364" s="4">
        <f>PROPER(TRIM(SUBSTITUTE(SUBSTITUTE(SUBSTITUTE(SUBSTITUTE(E364,"TRESEMME","Tresemme"),"HEAD &amp; SHOULDERS","Head &amp; Shoulders"),"ELVIVE","Elvive"),"FRUCTIS","Fructis")))</f>
        <v/>
      </c>
      <c r="R364" s="4">
        <f>COUNTIF($D$2:$D$10000,D364)&gt;1</f>
        <v/>
      </c>
      <c r="S364" s="4">
        <f>IF(H364=TRUE,"Disponible","No disponible")</f>
        <v/>
      </c>
      <c r="T364" s="4">
        <f>IF(AND(ISNUMBER(I364),I364&gt;0),ROUND(F364/I364,2),"Sin volumen")</f>
        <v/>
      </c>
      <c r="U364" s="4">
        <f>IF(F364&lt;5000,"Bajo",IF(F364&lt;15000,"Medio","Alto"))</f>
        <v/>
      </c>
    </row>
    <row r="365">
      <c r="A365" t="inlineStr">
        <is>
          <t>Jumbo</t>
        </is>
      </c>
      <c r="B365" t="n">
        <v>3075201</v>
      </c>
      <c r="C365" t="n">
        <v>3074666</v>
      </c>
      <c r="D365" t="inlineStr">
        <is>
          <t>Mascarilla Capilar Toque de Seda 300 Grs Sedal</t>
        </is>
      </c>
      <c r="E365" t="inlineStr">
        <is>
          <t>SEDAL</t>
        </is>
      </c>
      <c r="F365" t="n">
        <v>6150</v>
      </c>
      <c r="G365" t="n">
        <v>508264</v>
      </c>
      <c r="H365" t="b">
        <v>1</v>
      </c>
      <c r="I365" t="inlineStr"/>
      <c r="J365" t="inlineStr"/>
      <c r="K365" t="inlineStr">
        <is>
          <t>&gt; Perfumería &gt; Cuidado Capilar &gt; Reparación y Tratamientos &gt;</t>
        </is>
      </c>
      <c r="L365" t="inlineStr">
        <is>
          <t>tratamiento</t>
        </is>
      </c>
      <c r="M365" t="inlineStr">
        <is>
          <t>estandar</t>
        </is>
      </c>
      <c r="N365" t="inlineStr">
        <is>
          <t>general</t>
        </is>
      </c>
      <c r="O365" t="inlineStr">
        <is>
          <t>https://www.jumbo.com.ar/mascarilla-capilar-toque-de-seda-x-300-grs-sedal/p</t>
        </is>
      </c>
      <c r="P365">
        <f>TRIM(CLEAN(PROPER(D365)))</f>
        <v/>
      </c>
      <c r="Q365">
        <f>PROPER(TRIM(SUBSTITUTE(SUBSTITUTE(SUBSTITUTE(SUBSTITUTE(E365,"TRESEMME","Tresemme"),"HEAD &amp; SHOULDERS","Head &amp; Shoulders"),"ELVIVE","Elvive"),"FRUCTIS","Fructis")))</f>
        <v/>
      </c>
      <c r="R365">
        <f>COUNTIF($D$2:$D$10000,D365)&gt;1</f>
        <v/>
      </c>
      <c r="S365">
        <f>IF(H365=TRUE,"Disponible","No disponible")</f>
        <v/>
      </c>
      <c r="T365">
        <f>IF(AND(ISNUMBER(I365),I365&gt;0),ROUND(F365/I365,2),"Sin volumen")</f>
        <v/>
      </c>
      <c r="U365">
        <f>IF(F365&lt;5000,"Bajo",IF(F365&lt;15000,"Medio","Alto"))</f>
        <v/>
      </c>
    </row>
    <row r="366">
      <c r="A366" s="2" t="inlineStr">
        <is>
          <t>Jumbo</t>
        </is>
      </c>
      <c r="B366" s="2" t="n">
        <v>3066241</v>
      </c>
      <c r="C366" s="2" t="n">
        <v>3066157</v>
      </c>
      <c r="D366" s="2" t="inlineStr">
        <is>
          <t>Crema Peinar Luminous Uv X 300 Ml Sedal</t>
        </is>
      </c>
      <c r="E366" s="2" t="inlineStr">
        <is>
          <t>SEDAL</t>
        </is>
      </c>
      <c r="F366" s="2" t="n">
        <v>6150</v>
      </c>
      <c r="G366" s="2" t="n">
        <v>508264</v>
      </c>
      <c r="H366" s="2" t="b">
        <v>1</v>
      </c>
      <c r="I366" s="2" t="n">
        <v>300</v>
      </c>
      <c r="J366" s="2" t="n">
        <v>20.5</v>
      </c>
      <c r="K366" s="2" t="inlineStr">
        <is>
          <t>&gt; Perfumería &gt; Cuidado Capilar &gt; Reparación y Tratamientos &gt;</t>
        </is>
      </c>
      <c r="L366" s="2" t="inlineStr">
        <is>
          <t>shampoo</t>
        </is>
      </c>
      <c r="M366" s="2" t="inlineStr">
        <is>
          <t>estandar</t>
        </is>
      </c>
      <c r="N366" s="2" t="inlineStr">
        <is>
          <t>general</t>
        </is>
      </c>
      <c r="O366" s="2" t="inlineStr">
        <is>
          <t>https://www.jumbo.com.ar/crema-peinar-luminous-uv-x-300-ml-sedal-2/p</t>
        </is>
      </c>
      <c r="P366" s="4">
        <f>TRIM(CLEAN(PROPER(D366)))</f>
        <v/>
      </c>
      <c r="Q366" s="4">
        <f>PROPER(TRIM(SUBSTITUTE(SUBSTITUTE(SUBSTITUTE(SUBSTITUTE(E366,"TRESEMME","Tresemme"),"HEAD &amp; SHOULDERS","Head &amp; Shoulders"),"ELVIVE","Elvive"),"FRUCTIS","Fructis")))</f>
        <v/>
      </c>
      <c r="R366" s="4">
        <f>COUNTIF($D$2:$D$10000,D366)&gt;1</f>
        <v/>
      </c>
      <c r="S366" s="4">
        <f>IF(H366=TRUE,"Disponible","No disponible")</f>
        <v/>
      </c>
      <c r="T366" s="4">
        <f>IF(AND(ISNUMBER(I366),I366&gt;0),ROUND(F366/I366,2),"Sin volumen")</f>
        <v/>
      </c>
      <c r="U366" s="4">
        <f>IF(F366&lt;5000,"Bajo",IF(F366&lt;15000,"Medio","Alto"))</f>
        <v/>
      </c>
    </row>
    <row r="367">
      <c r="A367" t="inlineStr">
        <is>
          <t>Jumbo</t>
        </is>
      </c>
      <c r="B367" t="n">
        <v>411275</v>
      </c>
      <c r="C367" t="n">
        <v>407115</v>
      </c>
      <c r="D367" t="inlineStr">
        <is>
          <t>Crema para Peinar Lisos Perfectos 300 Ml Sedal</t>
        </is>
      </c>
      <c r="E367" t="inlineStr">
        <is>
          <t>SEDAL</t>
        </is>
      </c>
      <c r="F367" t="n">
        <v>5800</v>
      </c>
      <c r="G367" t="n">
        <v>479339</v>
      </c>
      <c r="H367" t="b">
        <v>1</v>
      </c>
      <c r="I367" t="n">
        <v>300</v>
      </c>
      <c r="J367" t="n">
        <v>19.3333</v>
      </c>
      <c r="K367" t="inlineStr">
        <is>
          <t>&gt; Perfumería &gt; Cuidado Capilar &gt; Reparación y Tratamientos &gt;</t>
        </is>
      </c>
      <c r="L367" t="inlineStr">
        <is>
          <t>shampoo</t>
        </is>
      </c>
      <c r="M367" t="inlineStr">
        <is>
          <t>estandar</t>
        </is>
      </c>
      <c r="N367" t="inlineStr">
        <is>
          <t>general</t>
        </is>
      </c>
      <c r="O367" t="inlineStr">
        <is>
          <t>https://www.jumbo.com.ar/crema-para-peinar-sedal-lisos-perfectos-300-ml-2/p</t>
        </is>
      </c>
      <c r="P367">
        <f>TRIM(CLEAN(PROPER(D367)))</f>
        <v/>
      </c>
      <c r="Q367">
        <f>PROPER(TRIM(SUBSTITUTE(SUBSTITUTE(SUBSTITUTE(SUBSTITUTE(E367,"TRESEMME","Tresemme"),"HEAD &amp; SHOULDERS","Head &amp; Shoulders"),"ELVIVE","Elvive"),"FRUCTIS","Fructis")))</f>
        <v/>
      </c>
      <c r="R367">
        <f>COUNTIF($D$2:$D$10000,D367)&gt;1</f>
        <v/>
      </c>
      <c r="S367">
        <f>IF(H367=TRUE,"Disponible","No disponible")</f>
        <v/>
      </c>
      <c r="T367">
        <f>IF(AND(ISNUMBER(I367),I367&gt;0),ROUND(F367/I367,2),"Sin volumen")</f>
        <v/>
      </c>
      <c r="U367">
        <f>IF(F367&lt;5000,"Bajo",IF(F367&lt;15000,"Medio","Alto"))</f>
        <v/>
      </c>
    </row>
    <row r="368">
      <c r="A368" s="2" t="inlineStr">
        <is>
          <t>Jumbo</t>
        </is>
      </c>
      <c r="B368" s="2" t="n">
        <v>397910</v>
      </c>
      <c r="C368" s="2" t="n">
        <v>395645</v>
      </c>
      <c r="D368" s="2" t="inlineStr">
        <is>
          <t>Acondicionador Restauración Instantánea 190 Ml Sedal</t>
        </is>
      </c>
      <c r="E368" s="2" t="inlineStr">
        <is>
          <t>SEDAL</t>
        </is>
      </c>
      <c r="F368" s="2" t="n">
        <v>3900</v>
      </c>
      <c r="G368" s="2" t="n">
        <v>322314</v>
      </c>
      <c r="H368" s="2" t="b">
        <v>1</v>
      </c>
      <c r="I368" s="2" t="n">
        <v>190</v>
      </c>
      <c r="J368" s="2" t="n">
        <v>20.5263</v>
      </c>
      <c r="K368" s="2" t="inlineStr">
        <is>
          <t>&gt; Perfumería &gt; Cuidado Capilar &gt; Acondicionador &gt;</t>
        </is>
      </c>
      <c r="L368" s="2" t="inlineStr">
        <is>
          <t>acondicionador</t>
        </is>
      </c>
      <c r="M368" s="2" t="inlineStr">
        <is>
          <t>estandar</t>
        </is>
      </c>
      <c r="N368" s="2" t="inlineStr">
        <is>
          <t>general</t>
        </is>
      </c>
      <c r="O368" s="2" t="inlineStr">
        <is>
          <t>https://www.jumbo.com.ar/acondicionador-restauracion-instantanea-190-ml-sedal/p</t>
        </is>
      </c>
      <c r="P368" s="4">
        <f>TRIM(CLEAN(PROPER(D368)))</f>
        <v/>
      </c>
      <c r="Q368" s="4">
        <f>PROPER(TRIM(SUBSTITUTE(SUBSTITUTE(SUBSTITUTE(SUBSTITUTE(E368,"TRESEMME","Tresemme"),"HEAD &amp; SHOULDERS","Head &amp; Shoulders"),"ELVIVE","Elvive"),"FRUCTIS","Fructis")))</f>
        <v/>
      </c>
      <c r="R368" s="4">
        <f>COUNTIF($D$2:$D$10000,D368)&gt;1</f>
        <v/>
      </c>
      <c r="S368" s="4">
        <f>IF(H368=TRUE,"Disponible","No disponible")</f>
        <v/>
      </c>
      <c r="T368" s="4">
        <f>IF(AND(ISNUMBER(I368),I368&gt;0),ROUND(F368/I368,2),"Sin volumen")</f>
        <v/>
      </c>
      <c r="U368" s="4">
        <f>IF(F368&lt;5000,"Bajo",IF(F368&lt;15000,"Medio","Alto"))</f>
        <v/>
      </c>
    </row>
    <row r="369">
      <c r="A369" t="inlineStr">
        <is>
          <t>Jumbo</t>
        </is>
      </c>
      <c r="B369" t="n">
        <v>412493</v>
      </c>
      <c r="C369" t="n">
        <v>408102</v>
      </c>
      <c r="D369" t="inlineStr">
        <is>
          <t>Crema para Peinar Rizos Poderosos 250 Ml Fructis</t>
        </is>
      </c>
      <c r="E369" t="inlineStr">
        <is>
          <t>FRUCTIS</t>
        </is>
      </c>
      <c r="F369" t="n">
        <v>8100</v>
      </c>
      <c r="G369" t="n">
        <v>669421</v>
      </c>
      <c r="H369" t="b">
        <v>1</v>
      </c>
      <c r="I369" t="n">
        <v>250</v>
      </c>
      <c r="J369" t="n">
        <v>32.4</v>
      </c>
      <c r="K369" t="inlineStr">
        <is>
          <t>&gt; Perfumería &gt; Cuidado Capilar &gt; Reparación y Tratamientos &gt;</t>
        </is>
      </c>
      <c r="L369" t="inlineStr">
        <is>
          <t>shampoo</t>
        </is>
      </c>
      <c r="M369" t="inlineStr">
        <is>
          <t>estandar</t>
        </is>
      </c>
      <c r="N369" t="inlineStr">
        <is>
          <t>rizado</t>
        </is>
      </c>
      <c r="O369" t="inlineStr">
        <is>
          <t>https://www.jumbo.com.ar/crema-para-peinar-fructis-rizos-poderosos-250ml/p</t>
        </is>
      </c>
      <c r="P369">
        <f>TRIM(CLEAN(PROPER(D369)))</f>
        <v/>
      </c>
      <c r="Q369">
        <f>PROPER(TRIM(SUBSTITUTE(SUBSTITUTE(SUBSTITUTE(SUBSTITUTE(E369,"TRESEMME","Tresemme"),"HEAD &amp; SHOULDERS","Head &amp; Shoulders"),"ELVIVE","Elvive"),"FRUCTIS","Fructis")))</f>
        <v/>
      </c>
      <c r="R369">
        <f>COUNTIF($D$2:$D$10000,D369)&gt;1</f>
        <v/>
      </c>
      <c r="S369">
        <f>IF(H369=TRUE,"Disponible","No disponible")</f>
        <v/>
      </c>
      <c r="T369">
        <f>IF(AND(ISNUMBER(I369),I369&gt;0),ROUND(F369/I369,2),"Sin volumen")</f>
        <v/>
      </c>
      <c r="U369">
        <f>IF(F369&lt;5000,"Bajo",IF(F369&lt;15000,"Medio","Alto"))</f>
        <v/>
      </c>
    </row>
    <row r="370">
      <c r="A370" s="2" t="inlineStr">
        <is>
          <t>Jumbo</t>
        </is>
      </c>
      <c r="B370" s="2" t="n">
        <v>3086633</v>
      </c>
      <c r="C370" s="2" t="n">
        <v>3085857</v>
      </c>
      <c r="D370" s="2" t="inlineStr">
        <is>
          <t>Crema para Peinar Borrador de Daño Colágeno Jelly 300 Ml Fructis Crema Para Peinar Oil Control X 300 Ml Fructis</t>
        </is>
      </c>
      <c r="E370" s="2" t="inlineStr">
        <is>
          <t>FRUCTIS</t>
        </is>
      </c>
      <c r="F370" s="2" t="n">
        <v>13650</v>
      </c>
      <c r="G370" s="2" t="n">
        <v>1128099</v>
      </c>
      <c r="H370" s="2" t="b">
        <v>1</v>
      </c>
      <c r="I370" s="2" t="n">
        <v>300</v>
      </c>
      <c r="J370" s="2" t="n">
        <v>45.5</v>
      </c>
      <c r="K370" s="2" t="inlineStr">
        <is>
          <t>&gt; Perfumería &gt; Cuidado Capilar &gt; Reparación y Tratamientos &gt;</t>
        </is>
      </c>
      <c r="L370" s="2" t="inlineStr">
        <is>
          <t>shampoo</t>
        </is>
      </c>
      <c r="M370" s="2" t="inlineStr">
        <is>
          <t>estandar</t>
        </is>
      </c>
      <c r="N370" s="2" t="inlineStr">
        <is>
          <t>general</t>
        </is>
      </c>
      <c r="O370" s="2" t="inlineStr">
        <is>
          <t>https://www.jumbo.com.ar/crema-para-peinar-oil-control-x-300-ml-fructis/p</t>
        </is>
      </c>
      <c r="P370" s="4">
        <f>TRIM(CLEAN(PROPER(D370)))</f>
        <v/>
      </c>
      <c r="Q370" s="4">
        <f>PROPER(TRIM(SUBSTITUTE(SUBSTITUTE(SUBSTITUTE(SUBSTITUTE(E370,"TRESEMME","Tresemme"),"HEAD &amp; SHOULDERS","Head &amp; Shoulders"),"ELVIVE","Elvive"),"FRUCTIS","Fructis")))</f>
        <v/>
      </c>
      <c r="R370" s="4">
        <f>COUNTIF($D$2:$D$10000,D370)&gt;1</f>
        <v/>
      </c>
      <c r="S370" s="4">
        <f>IF(H370=TRUE,"Disponible","No disponible")</f>
        <v/>
      </c>
      <c r="T370" s="4">
        <f>IF(AND(ISNUMBER(I370),I370&gt;0),ROUND(F370/I370,2),"Sin volumen")</f>
        <v/>
      </c>
      <c r="U370" s="4">
        <f>IF(F370&lt;5000,"Bajo",IF(F370&lt;15000,"Medio","Alto"))</f>
        <v/>
      </c>
    </row>
    <row r="371">
      <c r="A371" t="inlineStr">
        <is>
          <t>Jumbo</t>
        </is>
      </c>
      <c r="B371" t="n">
        <v>420155</v>
      </c>
      <c r="C371" t="n">
        <v>414429</v>
      </c>
      <c r="D371" t="inlineStr">
        <is>
          <t>Mascarilla Tratamiento Nutrición Palta 350 Ml Fructis</t>
        </is>
      </c>
      <c r="E371" t="inlineStr">
        <is>
          <t>FRUCTIS</t>
        </is>
      </c>
      <c r="F371" t="n">
        <v>15100</v>
      </c>
      <c r="G371" t="n">
        <v>1247934</v>
      </c>
      <c r="H371" t="b">
        <v>1</v>
      </c>
      <c r="I371" t="n">
        <v>350</v>
      </c>
      <c r="J371" t="n">
        <v>43.1429</v>
      </c>
      <c r="K371" t="inlineStr">
        <is>
          <t>&gt; Perfumería &gt; Cuidado Capilar &gt; Reparación y Tratamientos &gt;</t>
        </is>
      </c>
      <c r="L371" t="inlineStr">
        <is>
          <t>tratamiento</t>
        </is>
      </c>
      <c r="M371" t="inlineStr">
        <is>
          <t>estandar</t>
        </is>
      </c>
      <c r="N371" t="inlineStr">
        <is>
          <t>general</t>
        </is>
      </c>
      <c r="O371" t="inlineStr">
        <is>
          <t>https://www.jumbo.com.ar/mascarilla-fructis-hair-food-palta-350-ml/p</t>
        </is>
      </c>
      <c r="P371">
        <f>TRIM(CLEAN(PROPER(D371)))</f>
        <v/>
      </c>
      <c r="Q371">
        <f>PROPER(TRIM(SUBSTITUTE(SUBSTITUTE(SUBSTITUTE(SUBSTITUTE(E371,"TRESEMME","Tresemme"),"HEAD &amp; SHOULDERS","Head &amp; Shoulders"),"ELVIVE","Elvive"),"FRUCTIS","Fructis")))</f>
        <v/>
      </c>
      <c r="R371">
        <f>COUNTIF($D$2:$D$10000,D371)&gt;1</f>
        <v/>
      </c>
      <c r="S371">
        <f>IF(H371=TRUE,"Disponible","No disponible")</f>
        <v/>
      </c>
      <c r="T371">
        <f>IF(AND(ISNUMBER(I371),I371&gt;0),ROUND(F371/I371,2),"Sin volumen")</f>
        <v/>
      </c>
      <c r="U371">
        <f>IF(F371&lt;5000,"Bajo",IF(F371&lt;15000,"Medio","Alto"))</f>
        <v/>
      </c>
    </row>
    <row r="372">
      <c r="A372" s="2" t="inlineStr">
        <is>
          <t>Jumbo</t>
        </is>
      </c>
      <c r="B372" s="2" t="n">
        <v>384065</v>
      </c>
      <c r="C372" s="2" t="n">
        <v>382760</v>
      </c>
      <c r="D372" s="2" t="inlineStr">
        <is>
          <t>Acondicionador Fructis Hair Food Aloe 300ml</t>
        </is>
      </c>
      <c r="E372" s="2" t="inlineStr">
        <is>
          <t>FRUCTIS</t>
        </is>
      </c>
      <c r="F372" s="2" t="n">
        <v>12050</v>
      </c>
      <c r="G372" s="2" t="n">
        <v>995868</v>
      </c>
      <c r="H372" s="2" t="b">
        <v>1</v>
      </c>
      <c r="I372" s="2" t="n">
        <v>300</v>
      </c>
      <c r="J372" s="2" t="n">
        <v>40.1667</v>
      </c>
      <c r="K372" s="2" t="inlineStr">
        <is>
          <t>&gt; Perfumería &gt; Cuidado Capilar &gt; Acondicionador &gt;</t>
        </is>
      </c>
      <c r="L372" s="2" t="inlineStr">
        <is>
          <t>acondicionador</t>
        </is>
      </c>
      <c r="M372" s="2" t="inlineStr">
        <is>
          <t>estandar</t>
        </is>
      </c>
      <c r="N372" s="2" t="inlineStr">
        <is>
          <t>general</t>
        </is>
      </c>
      <c r="O372" s="2" t="inlineStr">
        <is>
          <t>https://www.jumbo.com.ar/acondicionador-fructis-hair-food-aloe-300ml/p</t>
        </is>
      </c>
      <c r="P372" s="4">
        <f>TRIM(CLEAN(PROPER(D372)))</f>
        <v/>
      </c>
      <c r="Q372" s="4">
        <f>PROPER(TRIM(SUBSTITUTE(SUBSTITUTE(SUBSTITUTE(SUBSTITUTE(E372,"TRESEMME","Tresemme"),"HEAD &amp; SHOULDERS","Head &amp; Shoulders"),"ELVIVE","Elvive"),"FRUCTIS","Fructis")))</f>
        <v/>
      </c>
      <c r="R372" s="4">
        <f>COUNTIF($D$2:$D$10000,D372)&gt;1</f>
        <v/>
      </c>
      <c r="S372" s="4">
        <f>IF(H372=TRUE,"Disponible","No disponible")</f>
        <v/>
      </c>
      <c r="T372" s="4">
        <f>IF(AND(ISNUMBER(I372),I372&gt;0),ROUND(F372/I372,2),"Sin volumen")</f>
        <v/>
      </c>
      <c r="U372" s="4">
        <f>IF(F372&lt;5000,"Bajo",IF(F372&lt;15000,"Medio","Alto"))</f>
        <v/>
      </c>
    </row>
    <row r="373">
      <c r="A373" t="inlineStr">
        <is>
          <t>Jumbo</t>
        </is>
      </c>
      <c r="B373" t="n">
        <v>3068266</v>
      </c>
      <c r="C373" t="n">
        <v>3068094</v>
      </c>
      <c r="D373" t="inlineStr">
        <is>
          <t>Crema para Peinar Probióticos Fuerza 10-en-1 250 Ml Fructis</t>
        </is>
      </c>
      <c r="E373" t="inlineStr">
        <is>
          <t>FRUCTIS</t>
        </is>
      </c>
      <c r="F373" t="n">
        <v>8100</v>
      </c>
      <c r="G373" t="n">
        <v>669421</v>
      </c>
      <c r="H373" t="b">
        <v>1</v>
      </c>
      <c r="I373" t="n">
        <v>250</v>
      </c>
      <c r="J373" t="n">
        <v>32.4</v>
      </c>
      <c r="K373" t="inlineStr">
        <is>
          <t>&gt; Perfumería &gt; Cuidado Capilar &gt; Reparación y Tratamientos &gt;</t>
        </is>
      </c>
      <c r="L373" t="inlineStr">
        <is>
          <t>shampoo</t>
        </is>
      </c>
      <c r="M373" t="inlineStr">
        <is>
          <t>estandar</t>
        </is>
      </c>
      <c r="N373" t="inlineStr">
        <is>
          <t>general</t>
        </is>
      </c>
      <c r="O373" t="inlineStr">
        <is>
          <t>https://www.jumbo.com.ar/tratamiento-probiotics-x-250-ml-fructis/p</t>
        </is>
      </c>
      <c r="P373">
        <f>TRIM(CLEAN(PROPER(D373)))</f>
        <v/>
      </c>
      <c r="Q373">
        <f>PROPER(TRIM(SUBSTITUTE(SUBSTITUTE(SUBSTITUTE(SUBSTITUTE(E373,"TRESEMME","Tresemme"),"HEAD &amp; SHOULDERS","Head &amp; Shoulders"),"ELVIVE","Elvive"),"FRUCTIS","Fructis")))</f>
        <v/>
      </c>
      <c r="R373">
        <f>COUNTIF($D$2:$D$10000,D373)&gt;1</f>
        <v/>
      </c>
      <c r="S373">
        <f>IF(H373=TRUE,"Disponible","No disponible")</f>
        <v/>
      </c>
      <c r="T373">
        <f>IF(AND(ISNUMBER(I373),I373&gt;0),ROUND(F373/I373,2),"Sin volumen")</f>
        <v/>
      </c>
      <c r="U373">
        <f>IF(F373&lt;5000,"Bajo",IF(F373&lt;15000,"Medio","Alto"))</f>
        <v/>
      </c>
    </row>
    <row r="374">
      <c r="A374" s="2" t="inlineStr">
        <is>
          <t>Jumbo</t>
        </is>
      </c>
      <c r="B374" s="2" t="n">
        <v>424313</v>
      </c>
      <c r="C374" s="2" t="n">
        <v>417193</v>
      </c>
      <c r="D374" s="2" t="inlineStr">
        <is>
          <t>Crema De Peinar Fructis Hair Food Cocoa 3 En 1</t>
        </is>
      </c>
      <c r="E374" s="2" t="inlineStr">
        <is>
          <t>FRUCTIS</t>
        </is>
      </c>
      <c r="F374" s="2" t="n">
        <v>9600</v>
      </c>
      <c r="G374" s="2" t="n">
        <v>793388</v>
      </c>
      <c r="H374" s="2" t="b">
        <v>1</v>
      </c>
      <c r="I374" s="2" t="inlineStr"/>
      <c r="J374" s="2" t="inlineStr"/>
      <c r="K374" s="2" t="inlineStr">
        <is>
          <t>&gt; Perfumería &gt; Cuidado Capilar &gt; Reparación y Tratamientos &gt;</t>
        </is>
      </c>
      <c r="L374" s="2" t="inlineStr">
        <is>
          <t>shampoo</t>
        </is>
      </c>
      <c r="M374" s="2" t="inlineStr">
        <is>
          <t>estandar</t>
        </is>
      </c>
      <c r="N374" s="2" t="inlineStr">
        <is>
          <t>general</t>
        </is>
      </c>
      <c r="O374" s="2" t="inlineStr">
        <is>
          <t>https://www.jumbo.com.ar/crema-de-peinar-fructis-hair-food-cocoa-3-en-1-2/p</t>
        </is>
      </c>
      <c r="P374" s="4">
        <f>TRIM(CLEAN(PROPER(D374)))</f>
        <v/>
      </c>
      <c r="Q374" s="4">
        <f>PROPER(TRIM(SUBSTITUTE(SUBSTITUTE(SUBSTITUTE(SUBSTITUTE(E374,"TRESEMME","Tresemme"),"HEAD &amp; SHOULDERS","Head &amp; Shoulders"),"ELVIVE","Elvive"),"FRUCTIS","Fructis")))</f>
        <v/>
      </c>
      <c r="R374" s="4">
        <f>COUNTIF($D$2:$D$10000,D374)&gt;1</f>
        <v/>
      </c>
      <c r="S374" s="4">
        <f>IF(H374=TRUE,"Disponible","No disponible")</f>
        <v/>
      </c>
      <c r="T374" s="4">
        <f>IF(AND(ISNUMBER(I374),I374&gt;0),ROUND(F374/I374,2),"Sin volumen")</f>
        <v/>
      </c>
      <c r="U374" s="4">
        <f>IF(F374&lt;5000,"Bajo",IF(F374&lt;15000,"Medio","Alto"))</f>
        <v/>
      </c>
    </row>
    <row r="375">
      <c r="A375" t="inlineStr">
        <is>
          <t>Jumbo</t>
        </is>
      </c>
      <c r="B375" t="n">
        <v>412497</v>
      </c>
      <c r="C375" t="n">
        <v>408106</v>
      </c>
      <c r="D375" t="inlineStr">
        <is>
          <t>Mascarilla Capilar Revitalizante Sandía 350 Ml Fructis</t>
        </is>
      </c>
      <c r="E375" t="inlineStr">
        <is>
          <t>FRUCTIS</t>
        </is>
      </c>
      <c r="F375" t="n">
        <v>15100</v>
      </c>
      <c r="G375" t="n">
        <v>1247934</v>
      </c>
      <c r="H375" t="b">
        <v>1</v>
      </c>
      <c r="I375" t="n">
        <v>350</v>
      </c>
      <c r="J375" t="n">
        <v>43.1429</v>
      </c>
      <c r="K375" t="inlineStr">
        <is>
          <t>&gt; Perfumería &gt; Cuidado Capilar &gt; Reparación y Tratamientos &gt;</t>
        </is>
      </c>
      <c r="L375" t="inlineStr">
        <is>
          <t>tratamiento</t>
        </is>
      </c>
      <c r="M375" t="inlineStr">
        <is>
          <t>estandar</t>
        </is>
      </c>
      <c r="N375" t="inlineStr">
        <is>
          <t>general</t>
        </is>
      </c>
      <c r="O375" t="inlineStr">
        <is>
          <t>https://www.jumbo.com.ar/mascarilla-fructis-hair-food-sandia-350-ml/p</t>
        </is>
      </c>
      <c r="P375">
        <f>TRIM(CLEAN(PROPER(D375)))</f>
        <v/>
      </c>
      <c r="Q375">
        <f>PROPER(TRIM(SUBSTITUTE(SUBSTITUTE(SUBSTITUTE(SUBSTITUTE(E375,"TRESEMME","Tresemme"),"HEAD &amp; SHOULDERS","Head &amp; Shoulders"),"ELVIVE","Elvive"),"FRUCTIS","Fructis")))</f>
        <v/>
      </c>
      <c r="R375">
        <f>COUNTIF($D$2:$D$10000,D375)&gt;1</f>
        <v/>
      </c>
      <c r="S375">
        <f>IF(H375=TRUE,"Disponible","No disponible")</f>
        <v/>
      </c>
      <c r="T375">
        <f>IF(AND(ISNUMBER(I375),I375&gt;0),ROUND(F375/I375,2),"Sin volumen")</f>
        <v/>
      </c>
      <c r="U375">
        <f>IF(F375&lt;5000,"Bajo",IF(F375&lt;15000,"Medio","Alto"))</f>
        <v/>
      </c>
    </row>
    <row r="376">
      <c r="A376" s="2" t="inlineStr">
        <is>
          <t>Jumbo</t>
        </is>
      </c>
      <c r="B376" s="2" t="n">
        <v>412496</v>
      </c>
      <c r="C376" s="2" t="n">
        <v>408105</v>
      </c>
      <c r="D376" s="2" t="inlineStr">
        <is>
          <t>Mascarilla Hidratación Cabello Deshidratado Hair Food Aloe Vera 350 Ml Fructis</t>
        </is>
      </c>
      <c r="E376" s="2" t="inlineStr">
        <is>
          <t>FRUCTIS</t>
        </is>
      </c>
      <c r="F376" s="2" t="n">
        <v>15100</v>
      </c>
      <c r="G376" s="2" t="n">
        <v>1247934</v>
      </c>
      <c r="H376" s="2" t="b">
        <v>1</v>
      </c>
      <c r="I376" s="2" t="n">
        <v>350</v>
      </c>
      <c r="J376" s="2" t="n">
        <v>43.1429</v>
      </c>
      <c r="K376" s="2" t="inlineStr">
        <is>
          <t>&gt; Perfumería &gt; Cuidado Capilar &gt; Reparación y Tratamientos &gt;</t>
        </is>
      </c>
      <c r="L376" s="2" t="inlineStr">
        <is>
          <t>tratamiento</t>
        </is>
      </c>
      <c r="M376" s="2" t="inlineStr">
        <is>
          <t>estandar</t>
        </is>
      </c>
      <c r="N376" s="2" t="inlineStr">
        <is>
          <t>seco_danado</t>
        </is>
      </c>
      <c r="O376" s="2" t="inlineStr">
        <is>
          <t>https://www.jumbo.com.ar/mascarilla-fructis-hair-food-aloe-350-ml/p</t>
        </is>
      </c>
      <c r="P376" s="4">
        <f>TRIM(CLEAN(PROPER(D376)))</f>
        <v/>
      </c>
      <c r="Q376" s="4">
        <f>PROPER(TRIM(SUBSTITUTE(SUBSTITUTE(SUBSTITUTE(SUBSTITUTE(E376,"TRESEMME","Tresemme"),"HEAD &amp; SHOULDERS","Head &amp; Shoulders"),"ELVIVE","Elvive"),"FRUCTIS","Fructis")))</f>
        <v/>
      </c>
      <c r="R376" s="4">
        <f>COUNTIF($D$2:$D$10000,D376)&gt;1</f>
        <v/>
      </c>
      <c r="S376" s="4">
        <f>IF(H376=TRUE,"Disponible","No disponible")</f>
        <v/>
      </c>
      <c r="T376" s="4">
        <f>IF(AND(ISNUMBER(I376),I376&gt;0),ROUND(F376/I376,2),"Sin volumen")</f>
        <v/>
      </c>
      <c r="U376" s="4">
        <f>IF(F376&lt;5000,"Bajo",IF(F376&lt;15000,"Medio","Alto"))</f>
        <v/>
      </c>
    </row>
    <row r="377">
      <c r="A377" t="inlineStr">
        <is>
          <t>Jumbo</t>
        </is>
      </c>
      <c r="B377" t="n">
        <v>412309</v>
      </c>
      <c r="C377" t="n">
        <v>416200</v>
      </c>
      <c r="D377" t="inlineStr">
        <is>
          <t>Crema para Peinar Hydra Liss 10 en 1 250 Ml Fructis</t>
        </is>
      </c>
      <c r="E377" t="inlineStr">
        <is>
          <t>FRUCTIS</t>
        </is>
      </c>
      <c r="F377" t="n">
        <v>8100</v>
      </c>
      <c r="G377" t="n">
        <v>669421</v>
      </c>
      <c r="H377" t="b">
        <v>1</v>
      </c>
      <c r="I377" t="n">
        <v>250</v>
      </c>
      <c r="J377" t="n">
        <v>32.4</v>
      </c>
      <c r="K377" t="inlineStr">
        <is>
          <t>&gt; Perfumería &gt; Cuidado Capilar &gt; Reparación y Tratamientos &gt;</t>
        </is>
      </c>
      <c r="L377" t="inlineStr">
        <is>
          <t>shampoo</t>
        </is>
      </c>
      <c r="M377" t="inlineStr">
        <is>
          <t>estandar</t>
        </is>
      </c>
      <c r="N377" t="inlineStr">
        <is>
          <t>general</t>
        </is>
      </c>
      <c r="O377" t="inlineStr">
        <is>
          <t>https://www.jumbo.com.ar/crema-para-peinar-hidra-liss-250-ml-fructis/p</t>
        </is>
      </c>
      <c r="P377">
        <f>TRIM(CLEAN(PROPER(D377)))</f>
        <v/>
      </c>
      <c r="Q377">
        <f>PROPER(TRIM(SUBSTITUTE(SUBSTITUTE(SUBSTITUTE(SUBSTITUTE(E377,"TRESEMME","Tresemme"),"HEAD &amp; SHOULDERS","Head &amp; Shoulders"),"ELVIVE","Elvive"),"FRUCTIS","Fructis")))</f>
        <v/>
      </c>
      <c r="R377">
        <f>COUNTIF($D$2:$D$10000,D377)&gt;1</f>
        <v/>
      </c>
      <c r="S377">
        <f>IF(H377=TRUE,"Disponible","No disponible")</f>
        <v/>
      </c>
      <c r="T377">
        <f>IF(AND(ISNUMBER(I377),I377&gt;0),ROUND(F377/I377,2),"Sin volumen")</f>
        <v/>
      </c>
      <c r="U377">
        <f>IF(F377&lt;5000,"Bajo",IF(F377&lt;15000,"Medio","Alto"))</f>
        <v/>
      </c>
    </row>
    <row r="378">
      <c r="A378" s="2" t="inlineStr">
        <is>
          <t>Jumbo</t>
        </is>
      </c>
      <c r="B378" s="2" t="n">
        <v>397193</v>
      </c>
      <c r="C378" s="2" t="n">
        <v>394934</v>
      </c>
      <c r="D378" s="2" t="inlineStr">
        <is>
          <t>Acondicionador Goodbye Daños 200 Ml Fructis</t>
        </is>
      </c>
      <c r="E378" s="2" t="inlineStr">
        <is>
          <t>FRUCTIS</t>
        </is>
      </c>
      <c r="F378" s="2" t="n">
        <v>5900</v>
      </c>
      <c r="G378" s="2" t="n">
        <v>487603</v>
      </c>
      <c r="H378" s="2" t="b">
        <v>1</v>
      </c>
      <c r="I378" s="2" t="n">
        <v>200</v>
      </c>
      <c r="J378" s="2" t="n">
        <v>29.5</v>
      </c>
      <c r="K378" s="2" t="inlineStr">
        <is>
          <t>&gt; Perfumería &gt; Cuidado Capilar &gt; Acondicionador &gt;</t>
        </is>
      </c>
      <c r="L378" s="2" t="inlineStr">
        <is>
          <t>acondicionador</t>
        </is>
      </c>
      <c r="M378" s="2" t="inlineStr">
        <is>
          <t>estandar</t>
        </is>
      </c>
      <c r="N378" s="2" t="inlineStr">
        <is>
          <t>general</t>
        </is>
      </c>
      <c r="O378" s="2" t="inlineStr">
        <is>
          <t>https://www.jumbo.com.ar/acondicionador-fructis-goodbye-danos-200-ml/p</t>
        </is>
      </c>
      <c r="P378" s="4">
        <f>TRIM(CLEAN(PROPER(D378)))</f>
        <v/>
      </c>
      <c r="Q378" s="4">
        <f>PROPER(TRIM(SUBSTITUTE(SUBSTITUTE(SUBSTITUTE(SUBSTITUTE(E378,"TRESEMME","Tresemme"),"HEAD &amp; SHOULDERS","Head &amp; Shoulders"),"ELVIVE","Elvive"),"FRUCTIS","Fructis")))</f>
        <v/>
      </c>
      <c r="R378" s="4">
        <f>COUNTIF($D$2:$D$10000,D378)&gt;1</f>
        <v/>
      </c>
      <c r="S378" s="4">
        <f>IF(H378=TRUE,"Disponible","No disponible")</f>
        <v/>
      </c>
      <c r="T378" s="4">
        <f>IF(AND(ISNUMBER(I378),I378&gt;0),ROUND(F378/I378,2),"Sin volumen")</f>
        <v/>
      </c>
      <c r="U378" s="4">
        <f>IF(F378&lt;5000,"Bajo",IF(F378&lt;15000,"Medio","Alto"))</f>
        <v/>
      </c>
    </row>
    <row r="379">
      <c r="A379" t="inlineStr">
        <is>
          <t>Jumbo</t>
        </is>
      </c>
      <c r="B379" t="n">
        <v>3074193</v>
      </c>
      <c r="C379" t="n">
        <v>3073689</v>
      </c>
      <c r="D379" t="inlineStr">
        <is>
          <t>Mascarilla Anti-quiebre Hair Food Ananá 350 Ml Fructis</t>
        </is>
      </c>
      <c r="E379" t="inlineStr">
        <is>
          <t>FRUCTIS</t>
        </is>
      </c>
      <c r="F379" t="n">
        <v>15100</v>
      </c>
      <c r="G379" t="n">
        <v>1247934</v>
      </c>
      <c r="H379" t="b">
        <v>1</v>
      </c>
      <c r="I379" t="n">
        <v>350</v>
      </c>
      <c r="J379" t="n">
        <v>43.1429</v>
      </c>
      <c r="K379" t="inlineStr">
        <is>
          <t>&gt; Perfumería &gt; Cuidado Capilar &gt; Reparación y Tratamientos &gt;</t>
        </is>
      </c>
      <c r="L379" t="inlineStr">
        <is>
          <t>tratamiento</t>
        </is>
      </c>
      <c r="M379" t="inlineStr">
        <is>
          <t>estandar</t>
        </is>
      </c>
      <c r="N379" t="inlineStr">
        <is>
          <t>general</t>
        </is>
      </c>
      <c r="O379" t="inlineStr">
        <is>
          <t>https://www.jumbo.com.ar/tratamient-cap-fructis-pina-350ml/p</t>
        </is>
      </c>
      <c r="P379">
        <f>TRIM(CLEAN(PROPER(D379)))</f>
        <v/>
      </c>
      <c r="Q379">
        <f>PROPER(TRIM(SUBSTITUTE(SUBSTITUTE(SUBSTITUTE(SUBSTITUTE(E379,"TRESEMME","Tresemme"),"HEAD &amp; SHOULDERS","Head &amp; Shoulders"),"ELVIVE","Elvive"),"FRUCTIS","Fructis")))</f>
        <v/>
      </c>
      <c r="R379">
        <f>COUNTIF($D$2:$D$10000,D379)&gt;1</f>
        <v/>
      </c>
      <c r="S379">
        <f>IF(H379=TRUE,"Disponible","No disponible")</f>
        <v/>
      </c>
      <c r="T379">
        <f>IF(AND(ISNUMBER(I379),I379&gt;0),ROUND(F379/I379,2),"Sin volumen")</f>
        <v/>
      </c>
      <c r="U379">
        <f>IF(F379&lt;5000,"Bajo",IF(F379&lt;15000,"Medio","Alto"))</f>
        <v/>
      </c>
    </row>
    <row r="380">
      <c r="A380" s="2" t="inlineStr">
        <is>
          <t>Jumbo</t>
        </is>
      </c>
      <c r="B380" s="2" t="n">
        <v>415162</v>
      </c>
      <c r="C380" s="2" t="n">
        <v>410820</v>
      </c>
      <c r="D380" s="2" t="inlineStr">
        <is>
          <t>Crema para Peinar Recarga Nutritiva para Cabello Seco 250 Ml Fructis</t>
        </is>
      </c>
      <c r="E380" s="2" t="inlineStr">
        <is>
          <t>FRUCTIS</t>
        </is>
      </c>
      <c r="F380" s="2" t="n">
        <v>8100</v>
      </c>
      <c r="G380" s="2" t="n">
        <v>669421</v>
      </c>
      <c r="H380" s="2" t="b">
        <v>1</v>
      </c>
      <c r="I380" s="2" t="n">
        <v>250</v>
      </c>
      <c r="J380" s="2" t="n">
        <v>32.4</v>
      </c>
      <c r="K380" s="2" t="inlineStr">
        <is>
          <t>&gt; Perfumería &gt; Cuidado Capilar &gt; Reparación y Tratamientos &gt;</t>
        </is>
      </c>
      <c r="L380" s="2" t="inlineStr">
        <is>
          <t>shampoo</t>
        </is>
      </c>
      <c r="M380" s="2" t="inlineStr">
        <is>
          <t>estandar</t>
        </is>
      </c>
      <c r="N380" s="2" t="inlineStr">
        <is>
          <t>seco_danado</t>
        </is>
      </c>
      <c r="O380" s="2" t="inlineStr">
        <is>
          <t>https://www.jumbo.com.ar/crema-para-peinar-fructis-recarga-nutritiva-cpp-250-ml/p</t>
        </is>
      </c>
      <c r="P380" s="4">
        <f>TRIM(CLEAN(PROPER(D380)))</f>
        <v/>
      </c>
      <c r="Q380" s="4">
        <f>PROPER(TRIM(SUBSTITUTE(SUBSTITUTE(SUBSTITUTE(SUBSTITUTE(E380,"TRESEMME","Tresemme"),"HEAD &amp; SHOULDERS","Head &amp; Shoulders"),"ELVIVE","Elvive"),"FRUCTIS","Fructis")))</f>
        <v/>
      </c>
      <c r="R380" s="4">
        <f>COUNTIF($D$2:$D$10000,D380)&gt;1</f>
        <v/>
      </c>
      <c r="S380" s="4">
        <f>IF(H380=TRUE,"Disponible","No disponible")</f>
        <v/>
      </c>
      <c r="T380" s="4">
        <f>IF(AND(ISNUMBER(I380),I380&gt;0),ROUND(F380/I380,2),"Sin volumen")</f>
        <v/>
      </c>
      <c r="U380" s="4">
        <f>IF(F380&lt;5000,"Bajo",IF(F380&lt;15000,"Medio","Alto"))</f>
        <v/>
      </c>
    </row>
    <row r="381">
      <c r="A381" t="inlineStr">
        <is>
          <t>Jumbo</t>
        </is>
      </c>
      <c r="B381" t="n">
        <v>412485</v>
      </c>
      <c r="C381" t="n">
        <v>408094</v>
      </c>
      <c r="D381" t="inlineStr">
        <is>
          <t>Crema Para Peinar Fructis Liso Coco 200 Ml</t>
        </is>
      </c>
      <c r="E381" t="inlineStr">
        <is>
          <t>FRUCTIS</t>
        </is>
      </c>
      <c r="F381" t="n">
        <v>8100</v>
      </c>
      <c r="G381" t="n">
        <v>669421</v>
      </c>
      <c r="H381" t="b">
        <v>1</v>
      </c>
      <c r="I381" t="n">
        <v>200</v>
      </c>
      <c r="J381" t="n">
        <v>40.5</v>
      </c>
      <c r="K381" t="inlineStr">
        <is>
          <t>&gt; Perfumería &gt; Cuidado Capilar &gt; Reparación y Tratamientos &gt;</t>
        </is>
      </c>
      <c r="L381" t="inlineStr">
        <is>
          <t>shampoo</t>
        </is>
      </c>
      <c r="M381" t="inlineStr">
        <is>
          <t>estandar</t>
        </is>
      </c>
      <c r="N381" t="inlineStr">
        <is>
          <t>general</t>
        </is>
      </c>
      <c r="O381" t="inlineStr">
        <is>
          <t>https://www.jumbo.com.ar/crema-para-peinar-fructis-liso-coco-200-ml/p</t>
        </is>
      </c>
      <c r="P381">
        <f>TRIM(CLEAN(PROPER(D381)))</f>
        <v/>
      </c>
      <c r="Q381">
        <f>PROPER(TRIM(SUBSTITUTE(SUBSTITUTE(SUBSTITUTE(SUBSTITUTE(E381,"TRESEMME","Tresemme"),"HEAD &amp; SHOULDERS","Head &amp; Shoulders"),"ELVIVE","Elvive"),"FRUCTIS","Fructis")))</f>
        <v/>
      </c>
      <c r="R381">
        <f>COUNTIF($D$2:$D$10000,D381)&gt;1</f>
        <v/>
      </c>
      <c r="S381">
        <f>IF(H381=TRUE,"Disponible","No disponible")</f>
        <v/>
      </c>
      <c r="T381">
        <f>IF(AND(ISNUMBER(I381),I381&gt;0),ROUND(F381/I381,2),"Sin volumen")</f>
        <v/>
      </c>
      <c r="U381">
        <f>IF(F381&lt;5000,"Bajo",IF(F381&lt;15000,"Medio","Alto"))</f>
        <v/>
      </c>
    </row>
    <row r="382">
      <c r="A382" s="2" t="inlineStr">
        <is>
          <t>Jumbo</t>
        </is>
      </c>
      <c r="B382" s="2" t="n">
        <v>424304</v>
      </c>
      <c r="C382" s="2" t="n">
        <v>417184</v>
      </c>
      <c r="D382" s="2" t="inlineStr">
        <is>
          <t>Protector Térmico Antifrizz 120 Ml Tresemmé</t>
        </is>
      </c>
      <c r="E382" s="2" t="inlineStr">
        <is>
          <t>TRESEMMÉ</t>
        </is>
      </c>
      <c r="F382" s="2" t="n">
        <v>10350</v>
      </c>
      <c r="G382" s="2" t="n">
        <v>855372</v>
      </c>
      <c r="H382" s="2" t="b">
        <v>1</v>
      </c>
      <c r="I382" s="2" t="n">
        <v>120</v>
      </c>
      <c r="J382" s="2" t="n">
        <v>86.25</v>
      </c>
      <c r="K382" s="2" t="inlineStr">
        <is>
          <t>&gt; Perfumería &gt; Cuidado Capilar &gt; Reparación y Tratamientos &gt;</t>
        </is>
      </c>
      <c r="L382" s="2" t="inlineStr">
        <is>
          <t>shampoo</t>
        </is>
      </c>
      <c r="M382" s="2" t="inlineStr">
        <is>
          <t>estandar</t>
        </is>
      </c>
      <c r="N382" s="2" t="inlineStr">
        <is>
          <t>general</t>
        </is>
      </c>
      <c r="O382" s="2" t="inlineStr">
        <is>
          <t>https://www.jumbo.com.ar/spray-protector-termico-tresemme-antifrizz-120-ml-2/p</t>
        </is>
      </c>
      <c r="P382" s="4">
        <f>TRIM(CLEAN(PROPER(D382)))</f>
        <v/>
      </c>
      <c r="Q382" s="4">
        <f>PROPER(TRIM(SUBSTITUTE(SUBSTITUTE(SUBSTITUTE(SUBSTITUTE(E382,"TRESEMME","Tresemme"),"HEAD &amp; SHOULDERS","Head &amp; Shoulders"),"ELVIVE","Elvive"),"FRUCTIS","Fructis")))</f>
        <v/>
      </c>
      <c r="R382" s="4">
        <f>COUNTIF($D$2:$D$10000,D382)&gt;1</f>
        <v/>
      </c>
      <c r="S382" s="4">
        <f>IF(H382=TRUE,"Disponible","No disponible")</f>
        <v/>
      </c>
      <c r="T382" s="4">
        <f>IF(AND(ISNUMBER(I382),I382&gt;0),ROUND(F382/I382,2),"Sin volumen")</f>
        <v/>
      </c>
      <c r="U382" s="4">
        <f>IF(F382&lt;5000,"Bajo",IF(F382&lt;15000,"Medio","Alto"))</f>
        <v/>
      </c>
    </row>
    <row r="383">
      <c r="A383" t="inlineStr">
        <is>
          <t>Jumbo</t>
        </is>
      </c>
      <c r="B383" t="n">
        <v>3079028</v>
      </c>
      <c r="C383" t="n">
        <v>3078352</v>
      </c>
      <c r="D383" t="inlineStr">
        <is>
          <t>Tratamiento Herbal Essences Grapefruit 300ml</t>
        </is>
      </c>
      <c r="E383" t="inlineStr">
        <is>
          <t>HERBAL ESSENCES</t>
        </is>
      </c>
      <c r="F383" t="n">
        <v>15300</v>
      </c>
      <c r="G383" t="n">
        <v>1264463</v>
      </c>
      <c r="H383" t="b">
        <v>1</v>
      </c>
      <c r="I383" t="n">
        <v>300</v>
      </c>
      <c r="J383" t="n">
        <v>51</v>
      </c>
      <c r="K383" t="inlineStr">
        <is>
          <t>&gt; Perfumería &gt; Cuidado Capilar &gt; Reparación y Tratamientos &gt;</t>
        </is>
      </c>
      <c r="L383" t="inlineStr">
        <is>
          <t>tratamiento</t>
        </is>
      </c>
      <c r="M383" t="inlineStr">
        <is>
          <t>estandar</t>
        </is>
      </c>
      <c r="N383" t="inlineStr">
        <is>
          <t>general</t>
        </is>
      </c>
      <c r="O383" t="inlineStr">
        <is>
          <t>https://www.jumbo.com.ar/tratamiento-herbal-essences-grapefruit-300ml/p</t>
        </is>
      </c>
      <c r="P383">
        <f>TRIM(CLEAN(PROPER(D383)))</f>
        <v/>
      </c>
      <c r="Q383">
        <f>PROPER(TRIM(SUBSTITUTE(SUBSTITUTE(SUBSTITUTE(SUBSTITUTE(E383,"TRESEMME","Tresemme"),"HEAD &amp; SHOULDERS","Head &amp; Shoulders"),"ELVIVE","Elvive"),"FRUCTIS","Fructis")))</f>
        <v/>
      </c>
      <c r="R383">
        <f>COUNTIF($D$2:$D$10000,D383)&gt;1</f>
        <v/>
      </c>
      <c r="S383">
        <f>IF(H383=TRUE,"Disponible","No disponible")</f>
        <v/>
      </c>
      <c r="T383">
        <f>IF(AND(ISNUMBER(I383),I383&gt;0),ROUND(F383/I383,2),"Sin volumen")</f>
        <v/>
      </c>
      <c r="U383">
        <f>IF(F383&lt;5000,"Bajo",IF(F383&lt;15000,"Medio","Alto"))</f>
        <v/>
      </c>
    </row>
    <row r="384">
      <c r="A384" s="2" t="inlineStr">
        <is>
          <t>Jumbo</t>
        </is>
      </c>
      <c r="B384" s="2" t="n">
        <v>312179</v>
      </c>
      <c r="C384" s="2" t="n">
        <v>311417</v>
      </c>
      <c r="D384" s="2" t="inlineStr">
        <is>
          <t>Mascarilla Intensiva Herbal Essences Argan Oil Morocco 300 Ml</t>
        </is>
      </c>
      <c r="E384" s="2" t="inlineStr">
        <is>
          <t>HERBAL ESSENCES</t>
        </is>
      </c>
      <c r="F384" s="2" t="n">
        <v>17300</v>
      </c>
      <c r="G384" s="2" t="n">
        <v>1429752</v>
      </c>
      <c r="H384" s="2" t="b">
        <v>1</v>
      </c>
      <c r="I384" s="2" t="n">
        <v>300</v>
      </c>
      <c r="J384" s="2" t="n">
        <v>57.6667</v>
      </c>
      <c r="K384" s="2" t="inlineStr">
        <is>
          <t>&gt; Perfumería &gt; Cuidado Capilar &gt; Reparación y Tratamientos &gt;</t>
        </is>
      </c>
      <c r="L384" s="2" t="inlineStr">
        <is>
          <t>tratamiento</t>
        </is>
      </c>
      <c r="M384" s="2" t="inlineStr">
        <is>
          <t>estandar</t>
        </is>
      </c>
      <c r="N384" s="2" t="inlineStr">
        <is>
          <t>general</t>
        </is>
      </c>
      <c r="O384" s="2" t="inlineStr">
        <is>
          <t>https://www.jumbo.com.ar/mascarilla-intensiva-herbal-essences-argan-oil-morocco-300-ml/p</t>
        </is>
      </c>
      <c r="P384" s="4">
        <f>TRIM(CLEAN(PROPER(D384)))</f>
        <v/>
      </c>
      <c r="Q384" s="4">
        <f>PROPER(TRIM(SUBSTITUTE(SUBSTITUTE(SUBSTITUTE(SUBSTITUTE(E384,"TRESEMME","Tresemme"),"HEAD &amp; SHOULDERS","Head &amp; Shoulders"),"ELVIVE","Elvive"),"FRUCTIS","Fructis")))</f>
        <v/>
      </c>
      <c r="R384" s="4">
        <f>COUNTIF($D$2:$D$10000,D384)&gt;1</f>
        <v/>
      </c>
      <c r="S384" s="4">
        <f>IF(H384=TRUE,"Disponible","No disponible")</f>
        <v/>
      </c>
      <c r="T384" s="4">
        <f>IF(AND(ISNUMBER(I384),I384&gt;0),ROUND(F384/I384,2),"Sin volumen")</f>
        <v/>
      </c>
      <c r="U384" s="4">
        <f>IF(F384&lt;5000,"Bajo",IF(F384&lt;15000,"Medio","Alto"))</f>
        <v/>
      </c>
    </row>
    <row r="385">
      <c r="A385" t="inlineStr">
        <is>
          <t>Jumbo</t>
        </is>
      </c>
      <c r="B385" t="n">
        <v>384082</v>
      </c>
      <c r="C385" t="n">
        <v>382765</v>
      </c>
      <c r="D385" t="inlineStr">
        <is>
          <t>Aceite para el Pelo Óleo Extraordinario Nutrición 100 Ml Elvive</t>
        </is>
      </c>
      <c r="E385" t="inlineStr">
        <is>
          <t>ELVIVE</t>
        </is>
      </c>
      <c r="F385" t="n">
        <v>21600</v>
      </c>
      <c r="G385" t="n">
        <v>1785124</v>
      </c>
      <c r="H385" t="b">
        <v>1</v>
      </c>
      <c r="I385" t="n">
        <v>100</v>
      </c>
      <c r="J385" t="n">
        <v>216</v>
      </c>
      <c r="K385" t="inlineStr">
        <is>
          <t>&gt; Perfumería &gt; Cuidado Capilar &gt; Reparación y Tratamientos &gt;</t>
        </is>
      </c>
      <c r="L385" t="inlineStr">
        <is>
          <t>shampoo</t>
        </is>
      </c>
      <c r="M385" t="inlineStr">
        <is>
          <t>profesional</t>
        </is>
      </c>
      <c r="N385" t="inlineStr">
        <is>
          <t>general</t>
        </is>
      </c>
      <c r="O385" t="inlineStr">
        <is>
          <t>https://www.jumbo.com.ar/tratamiento-nutricion-elvive-loreal-oleo-extraordinario-100-ml/p</t>
        </is>
      </c>
      <c r="P385">
        <f>TRIM(CLEAN(PROPER(D385)))</f>
        <v/>
      </c>
      <c r="Q385">
        <f>PROPER(TRIM(SUBSTITUTE(SUBSTITUTE(SUBSTITUTE(SUBSTITUTE(E385,"TRESEMME","Tresemme"),"HEAD &amp; SHOULDERS","Head &amp; Shoulders"),"ELVIVE","Elvive"),"FRUCTIS","Fructis")))</f>
        <v/>
      </c>
      <c r="R385">
        <f>COUNTIF($D$2:$D$10000,D385)&gt;1</f>
        <v/>
      </c>
      <c r="S385">
        <f>IF(H385=TRUE,"Disponible","No disponible")</f>
        <v/>
      </c>
      <c r="T385">
        <f>IF(AND(ISNUMBER(I385),I385&gt;0),ROUND(F385/I385,2),"Sin volumen")</f>
        <v/>
      </c>
      <c r="U385">
        <f>IF(F385&lt;5000,"Bajo",IF(F385&lt;15000,"Medio","Alto"))</f>
        <v/>
      </c>
    </row>
    <row r="386">
      <c r="A386" s="2" t="inlineStr">
        <is>
          <t>Jumbo</t>
        </is>
      </c>
      <c r="B386" s="2" t="n">
        <v>420156</v>
      </c>
      <c r="C386" s="2" t="n">
        <v>414430</v>
      </c>
      <c r="D386" s="2" t="inlineStr">
        <is>
          <t>Crema para Peinar Cabello Rizado Oleo Extraordinario 250 Ml Elvive</t>
        </is>
      </c>
      <c r="E386" s="2" t="inlineStr">
        <is>
          <t>ELVIVE</t>
        </is>
      </c>
      <c r="F386" s="2" t="n">
        <v>9700</v>
      </c>
      <c r="G386" s="2" t="n">
        <v>801653</v>
      </c>
      <c r="H386" s="2" t="b">
        <v>1</v>
      </c>
      <c r="I386" s="2" t="n">
        <v>250</v>
      </c>
      <c r="J386" s="2" t="n">
        <v>38.8</v>
      </c>
      <c r="K386" s="2" t="inlineStr">
        <is>
          <t>&gt; Perfumería &gt; Cuidado Capilar &gt; Reparación y Tratamientos &gt;</t>
        </is>
      </c>
      <c r="L386" s="2" t="inlineStr">
        <is>
          <t>shampoo</t>
        </is>
      </c>
      <c r="M386" s="2" t="inlineStr">
        <is>
          <t>profesional</t>
        </is>
      </c>
      <c r="N386" s="2" t="inlineStr">
        <is>
          <t>rizado</t>
        </is>
      </c>
      <c r="O386" s="2" t="inlineStr">
        <is>
          <t>https://www.jumbo.com.ar/crema-para-peinar-elvive-oleo-rizo/p</t>
        </is>
      </c>
      <c r="P386" s="4">
        <f>TRIM(CLEAN(PROPER(D386)))</f>
        <v/>
      </c>
      <c r="Q386" s="4">
        <f>PROPER(TRIM(SUBSTITUTE(SUBSTITUTE(SUBSTITUTE(SUBSTITUTE(E386,"TRESEMME","Tresemme"),"HEAD &amp; SHOULDERS","Head &amp; Shoulders"),"ELVIVE","Elvive"),"FRUCTIS","Fructis")))</f>
        <v/>
      </c>
      <c r="R386" s="4">
        <f>COUNTIF($D$2:$D$10000,D386)&gt;1</f>
        <v/>
      </c>
      <c r="S386" s="4">
        <f>IF(H386=TRUE,"Disponible","No disponible")</f>
        <v/>
      </c>
      <c r="T386" s="4">
        <f>IF(AND(ISNUMBER(I386),I386&gt;0),ROUND(F386/I386,2),"Sin volumen")</f>
        <v/>
      </c>
      <c r="U386" s="4">
        <f>IF(F386&lt;5000,"Bajo",IF(F386&lt;15000,"Medio","Alto"))</f>
        <v/>
      </c>
    </row>
    <row r="387">
      <c r="A387" t="inlineStr">
        <is>
          <t>Jumbo</t>
        </is>
      </c>
      <c r="B387" t="n">
        <v>407571</v>
      </c>
      <c r="C387" t="n">
        <v>403760</v>
      </c>
      <c r="D387" t="inlineStr">
        <is>
          <t>Mascarilla Elvive Rt5 Keratin 300 Gr</t>
        </is>
      </c>
      <c r="E387" t="inlineStr">
        <is>
          <t>ELVIVE</t>
        </is>
      </c>
      <c r="F387" t="n">
        <v>11550</v>
      </c>
      <c r="G387" t="n">
        <v>954545</v>
      </c>
      <c r="H387" t="b">
        <v>1</v>
      </c>
      <c r="I387" t="n">
        <v>300</v>
      </c>
      <c r="J387" t="n">
        <v>38.5</v>
      </c>
      <c r="K387" t="inlineStr">
        <is>
          <t>&gt; Perfumería &gt; Cuidado Capilar &gt; Acondicionador &gt;</t>
        </is>
      </c>
      <c r="L387" t="inlineStr">
        <is>
          <t>tratamiento</t>
        </is>
      </c>
      <c r="M387" t="inlineStr">
        <is>
          <t>profesional</t>
        </is>
      </c>
      <c r="N387" t="inlineStr">
        <is>
          <t>general</t>
        </is>
      </c>
      <c r="O387" t="inlineStr">
        <is>
          <t>https://www.jumbo.com.ar/mascarilla-elvive-rt5-keratin-300-gr/p</t>
        </is>
      </c>
      <c r="P387">
        <f>TRIM(CLEAN(PROPER(D387)))</f>
        <v/>
      </c>
      <c r="Q387">
        <f>PROPER(TRIM(SUBSTITUTE(SUBSTITUTE(SUBSTITUTE(SUBSTITUTE(E387,"TRESEMME","Tresemme"),"HEAD &amp; SHOULDERS","Head &amp; Shoulders"),"ELVIVE","Elvive"),"FRUCTIS","Fructis")))</f>
        <v/>
      </c>
      <c r="R387">
        <f>COUNTIF($D$2:$D$10000,D387)&gt;1</f>
        <v/>
      </c>
      <c r="S387">
        <f>IF(H387=TRUE,"Disponible","No disponible")</f>
        <v/>
      </c>
      <c r="T387">
        <f>IF(AND(ISNUMBER(I387),I387&gt;0),ROUND(F387/I387,2),"Sin volumen")</f>
        <v/>
      </c>
      <c r="U387">
        <f>IF(F387&lt;5000,"Bajo",IF(F387&lt;15000,"Medio","Alto"))</f>
        <v/>
      </c>
    </row>
    <row r="388">
      <c r="A388" s="2" t="inlineStr">
        <is>
          <t>Jumbo</t>
        </is>
      </c>
      <c r="B388" s="2" t="n">
        <v>3074528</v>
      </c>
      <c r="C388" s="2" t="n">
        <v>3074013</v>
      </c>
      <c r="D388" s="2" t="inlineStr">
        <is>
          <t>Serum Capilar Liso 7 Días Dream Liso 100 Ml Elvive</t>
        </is>
      </c>
      <c r="E388" s="2" t="inlineStr">
        <is>
          <t>ELVIVE</t>
        </is>
      </c>
      <c r="F388" s="2" t="n">
        <v>20650</v>
      </c>
      <c r="G388" s="2" t="n">
        <v>1706612</v>
      </c>
      <c r="H388" s="2" t="b">
        <v>1</v>
      </c>
      <c r="I388" s="2" t="n">
        <v>100</v>
      </c>
      <c r="J388" s="2" t="n">
        <v>206.5</v>
      </c>
      <c r="K388" s="2" t="inlineStr">
        <is>
          <t>&gt; Perfumería &gt; Cuidado Capilar &gt; Reparación y Tratamientos &gt;</t>
        </is>
      </c>
      <c r="L388" s="2" t="inlineStr">
        <is>
          <t>shampoo</t>
        </is>
      </c>
      <c r="M388" s="2" t="inlineStr">
        <is>
          <t>profesional</t>
        </is>
      </c>
      <c r="N388" s="2" t="inlineStr">
        <is>
          <t>general</t>
        </is>
      </c>
      <c r="O388" s="2" t="inlineStr">
        <is>
          <t>https://www.jumbo.com.ar/serum-liso-7-dias-dream-liso-x-100-ml-elvive/p</t>
        </is>
      </c>
      <c r="P388" s="4">
        <f>TRIM(CLEAN(PROPER(D388)))</f>
        <v/>
      </c>
      <c r="Q388" s="4">
        <f>PROPER(TRIM(SUBSTITUTE(SUBSTITUTE(SUBSTITUTE(SUBSTITUTE(E388,"TRESEMME","Tresemme"),"HEAD &amp; SHOULDERS","Head &amp; Shoulders"),"ELVIVE","Elvive"),"FRUCTIS","Fructis")))</f>
        <v/>
      </c>
      <c r="R388" s="4">
        <f>COUNTIF($D$2:$D$10000,D388)&gt;1</f>
        <v/>
      </c>
      <c r="S388" s="4">
        <f>IF(H388=TRUE,"Disponible","No disponible")</f>
        <v/>
      </c>
      <c r="T388" s="4">
        <f>IF(AND(ISNUMBER(I388),I388&gt;0),ROUND(F388/I388,2),"Sin volumen")</f>
        <v/>
      </c>
      <c r="U388" s="4">
        <f>IF(F388&lt;5000,"Bajo",IF(F388&lt;15000,"Medio","Alto"))</f>
        <v/>
      </c>
    </row>
    <row r="389">
      <c r="A389" t="inlineStr">
        <is>
          <t>Jumbo</t>
        </is>
      </c>
      <c r="B389" t="n">
        <v>1360454</v>
      </c>
      <c r="C389" t="n">
        <v>1360037</v>
      </c>
      <c r="D389" t="inlineStr">
        <is>
          <t>Serum Capilar Glycolic Gloss 100 Ml Elvive</t>
        </is>
      </c>
      <c r="E389" t="inlineStr">
        <is>
          <t>ELVIVE</t>
        </is>
      </c>
      <c r="F389" t="n">
        <v>21400</v>
      </c>
      <c r="G389" t="n">
        <v>1768595</v>
      </c>
      <c r="H389" t="b">
        <v>1</v>
      </c>
      <c r="I389" t="n">
        <v>100</v>
      </c>
      <c r="J389" t="n">
        <v>214</v>
      </c>
      <c r="K389" t="inlineStr">
        <is>
          <t>&gt; Perfumería &gt; Cuidado Capilar &gt; Reparación y Tratamientos &gt;</t>
        </is>
      </c>
      <c r="L389" t="inlineStr">
        <is>
          <t>shampoo</t>
        </is>
      </c>
      <c r="M389" t="inlineStr">
        <is>
          <t>profesional</t>
        </is>
      </c>
      <c r="N389" t="inlineStr">
        <is>
          <t>general</t>
        </is>
      </c>
      <c r="O389" t="inlineStr">
        <is>
          <t>https://www.jumbo.com.ar/serum-capilar-elvive-glyco-gloss-100ml-2/p</t>
        </is>
      </c>
      <c r="P389">
        <f>TRIM(CLEAN(PROPER(D389)))</f>
        <v/>
      </c>
      <c r="Q389">
        <f>PROPER(TRIM(SUBSTITUTE(SUBSTITUTE(SUBSTITUTE(SUBSTITUTE(E389,"TRESEMME","Tresemme"),"HEAD &amp; SHOULDERS","Head &amp; Shoulders"),"ELVIVE","Elvive"),"FRUCTIS","Fructis")))</f>
        <v/>
      </c>
      <c r="R389">
        <f>COUNTIF($D$2:$D$10000,D389)&gt;1</f>
        <v/>
      </c>
      <c r="S389">
        <f>IF(H389=TRUE,"Disponible","No disponible")</f>
        <v/>
      </c>
      <c r="T389">
        <f>IF(AND(ISNUMBER(I389),I389&gt;0),ROUND(F389/I389,2),"Sin volumen")</f>
        <v/>
      </c>
      <c r="U389">
        <f>IF(F389&lt;5000,"Bajo",IF(F389&lt;15000,"Medio","Alto"))</f>
        <v/>
      </c>
    </row>
    <row r="390">
      <c r="A390" s="2" t="inlineStr">
        <is>
          <t>Jumbo</t>
        </is>
      </c>
      <c r="B390" s="2" t="n">
        <v>1360451</v>
      </c>
      <c r="C390" s="2" t="n">
        <v>1360034</v>
      </c>
      <c r="D390" s="2" t="inlineStr">
        <is>
          <t>Mascarilla Capilar Glycolic Gloss 300 Grs Elvive</t>
        </is>
      </c>
      <c r="E390" s="2" t="inlineStr">
        <is>
          <t>ELVIVE</t>
        </is>
      </c>
      <c r="F390" s="2" t="n">
        <v>12600</v>
      </c>
      <c r="G390" s="2" t="n">
        <v>1041322</v>
      </c>
      <c r="H390" s="2" t="b">
        <v>1</v>
      </c>
      <c r="I390" s="2" t="inlineStr"/>
      <c r="J390" s="2" t="inlineStr"/>
      <c r="K390" s="2" t="inlineStr">
        <is>
          <t>&gt; Perfumería &gt; Cuidado Capilar &gt; Reparación y Tratamientos &gt;</t>
        </is>
      </c>
      <c r="L390" s="2" t="inlineStr">
        <is>
          <t>tratamiento</t>
        </is>
      </c>
      <c r="M390" s="2" t="inlineStr">
        <is>
          <t>profesional</t>
        </is>
      </c>
      <c r="N390" s="2" t="inlineStr">
        <is>
          <t>general</t>
        </is>
      </c>
      <c r="O390" s="2" t="inlineStr">
        <is>
          <t>https://www.jumbo.com.ar/mascarilla-elvive-glycolic-gloss-300-gr/p</t>
        </is>
      </c>
      <c r="P390" s="4">
        <f>TRIM(CLEAN(PROPER(D390)))</f>
        <v/>
      </c>
      <c r="Q390" s="4">
        <f>PROPER(TRIM(SUBSTITUTE(SUBSTITUTE(SUBSTITUTE(SUBSTITUTE(E390,"TRESEMME","Tresemme"),"HEAD &amp; SHOULDERS","Head &amp; Shoulders"),"ELVIVE","Elvive"),"FRUCTIS","Fructis")))</f>
        <v/>
      </c>
      <c r="R390" s="4">
        <f>COUNTIF($D$2:$D$10000,D390)&gt;1</f>
        <v/>
      </c>
      <c r="S390" s="4">
        <f>IF(H390=TRUE,"Disponible","No disponible")</f>
        <v/>
      </c>
      <c r="T390" s="4">
        <f>IF(AND(ISNUMBER(I390),I390&gt;0),ROUND(F390/I390,2),"Sin volumen")</f>
        <v/>
      </c>
      <c r="U390" s="4">
        <f>IF(F390&lt;5000,"Bajo",IF(F390&lt;15000,"Medio","Alto"))</f>
        <v/>
      </c>
    </row>
    <row r="391">
      <c r="A391" t="inlineStr">
        <is>
          <t>Jumbo</t>
        </is>
      </c>
      <c r="B391" t="n">
        <v>407573</v>
      </c>
      <c r="C391" t="n">
        <v>403762</v>
      </c>
      <c r="D391" t="inlineStr">
        <is>
          <t>Mascarilla Elvive Rt Extreme 300 Gr</t>
        </is>
      </c>
      <c r="E391" t="inlineStr">
        <is>
          <t>ELVIVE</t>
        </is>
      </c>
      <c r="F391" t="n">
        <v>12050</v>
      </c>
      <c r="G391" t="n">
        <v>995868</v>
      </c>
      <c r="H391" t="b">
        <v>1</v>
      </c>
      <c r="I391" t="n">
        <v>300</v>
      </c>
      <c r="J391" t="n">
        <v>40.1667</v>
      </c>
      <c r="K391" t="inlineStr">
        <is>
          <t>&gt; Perfumería &gt; Cuidado Capilar &gt; Reparación y Tratamientos &gt;</t>
        </is>
      </c>
      <c r="L391" t="inlineStr">
        <is>
          <t>tratamiento</t>
        </is>
      </c>
      <c r="M391" t="inlineStr">
        <is>
          <t>profesional</t>
        </is>
      </c>
      <c r="N391" t="inlineStr">
        <is>
          <t>general</t>
        </is>
      </c>
      <c r="O391" t="inlineStr">
        <is>
          <t>https://www.jumbo.com.ar/mascarilla-elvive-rt-extreme-300-gr/p</t>
        </is>
      </c>
      <c r="P391">
        <f>TRIM(CLEAN(PROPER(D391)))</f>
        <v/>
      </c>
      <c r="Q391">
        <f>PROPER(TRIM(SUBSTITUTE(SUBSTITUTE(SUBSTITUTE(SUBSTITUTE(E391,"TRESEMME","Tresemme"),"HEAD &amp; SHOULDERS","Head &amp; Shoulders"),"ELVIVE","Elvive"),"FRUCTIS","Fructis")))</f>
        <v/>
      </c>
      <c r="R391">
        <f>COUNTIF($D$2:$D$10000,D391)&gt;1</f>
        <v/>
      </c>
      <c r="S391">
        <f>IF(H391=TRUE,"Disponible","No disponible")</f>
        <v/>
      </c>
      <c r="T391">
        <f>IF(AND(ISNUMBER(I391),I391&gt;0),ROUND(F391/I391,2),"Sin volumen")</f>
        <v/>
      </c>
      <c r="U391">
        <f>IF(F391&lt;5000,"Bajo",IF(F391&lt;15000,"Medio","Alto"))</f>
        <v/>
      </c>
    </row>
    <row r="392">
      <c r="A392" s="2" t="inlineStr">
        <is>
          <t>Jumbo</t>
        </is>
      </c>
      <c r="B392" s="2" t="n">
        <v>397625</v>
      </c>
      <c r="C392" s="2" t="n">
        <v>395358</v>
      </c>
      <c r="D392" s="2" t="inlineStr">
        <is>
          <t>Mascarilla Hidratación Ligera Hialurónico Pure 300 Grs Elvive</t>
        </is>
      </c>
      <c r="E392" s="2" t="inlineStr">
        <is>
          <t>ELVIVE</t>
        </is>
      </c>
      <c r="F392" s="2" t="n">
        <v>12050</v>
      </c>
      <c r="G392" s="2" t="n">
        <v>995868</v>
      </c>
      <c r="H392" s="2" t="b">
        <v>1</v>
      </c>
      <c r="I392" s="2" t="inlineStr"/>
      <c r="J392" s="2" t="inlineStr"/>
      <c r="K392" s="2" t="inlineStr">
        <is>
          <t>&gt; Perfumería &gt; Cuidado Capilar &gt; Reparación y Tratamientos &gt;</t>
        </is>
      </c>
      <c r="L392" s="2" t="inlineStr">
        <is>
          <t>tratamiento</t>
        </is>
      </c>
      <c r="M392" s="2" t="inlineStr">
        <is>
          <t>profesional</t>
        </is>
      </c>
      <c r="N392" s="2" t="inlineStr">
        <is>
          <t>seco_danado</t>
        </is>
      </c>
      <c r="O392" s="2" t="inlineStr">
        <is>
          <t>https://www.jumbo.com.ar/mascarilla-elvive-hialuronico-pure-300-gr/p</t>
        </is>
      </c>
      <c r="P392" s="4">
        <f>TRIM(CLEAN(PROPER(D392)))</f>
        <v/>
      </c>
      <c r="Q392" s="4">
        <f>PROPER(TRIM(SUBSTITUTE(SUBSTITUTE(SUBSTITUTE(SUBSTITUTE(E392,"TRESEMME","Tresemme"),"HEAD &amp; SHOULDERS","Head &amp; Shoulders"),"ELVIVE","Elvive"),"FRUCTIS","Fructis")))</f>
        <v/>
      </c>
      <c r="R392" s="4">
        <f>COUNTIF($D$2:$D$10000,D392)&gt;1</f>
        <v/>
      </c>
      <c r="S392" s="4">
        <f>IF(H392=TRUE,"Disponible","No disponible")</f>
        <v/>
      </c>
      <c r="T392" s="4">
        <f>IF(AND(ISNUMBER(I392),I392&gt;0),ROUND(F392/I392,2),"Sin volumen")</f>
        <v/>
      </c>
      <c r="U392" s="4">
        <f>IF(F392&lt;5000,"Bajo",IF(F392&lt;15000,"Medio","Alto"))</f>
        <v/>
      </c>
    </row>
    <row r="393">
      <c r="A393" t="inlineStr">
        <is>
          <t>Jumbo</t>
        </is>
      </c>
      <c r="B393" t="n">
        <v>288713</v>
      </c>
      <c r="C393" t="n">
        <v>287960</v>
      </c>
      <c r="D393" t="inlineStr">
        <is>
          <t>Crema para Peinar Dream Long Stop Tijeras 250 Ml Elvive</t>
        </is>
      </c>
      <c r="E393" t="inlineStr">
        <is>
          <t>ELVIVE</t>
        </is>
      </c>
      <c r="F393" t="n">
        <v>9700</v>
      </c>
      <c r="G393" t="n">
        <v>801653</v>
      </c>
      <c r="H393" t="b">
        <v>1</v>
      </c>
      <c r="I393" t="n">
        <v>250</v>
      </c>
      <c r="J393" t="n">
        <v>38.8</v>
      </c>
      <c r="K393" t="inlineStr">
        <is>
          <t>&gt; Perfumería &gt; Cuidado Capilar &gt; Reparación y Tratamientos &gt;</t>
        </is>
      </c>
      <c r="L393" t="inlineStr">
        <is>
          <t>shampoo</t>
        </is>
      </c>
      <c r="M393" t="inlineStr">
        <is>
          <t>profesional</t>
        </is>
      </c>
      <c r="N393" t="inlineStr">
        <is>
          <t>general</t>
        </is>
      </c>
      <c r="O393" t="inlineStr">
        <is>
          <t>https://www.jumbo.com.ar/crema-para-peinar-elvive-dream-long-250-ml/p</t>
        </is>
      </c>
      <c r="P393">
        <f>TRIM(CLEAN(PROPER(D393)))</f>
        <v/>
      </c>
      <c r="Q393">
        <f>PROPER(TRIM(SUBSTITUTE(SUBSTITUTE(SUBSTITUTE(SUBSTITUTE(E393,"TRESEMME","Tresemme"),"HEAD &amp; SHOULDERS","Head &amp; Shoulders"),"ELVIVE","Elvive"),"FRUCTIS","Fructis")))</f>
        <v/>
      </c>
      <c r="R393">
        <f>COUNTIF($D$2:$D$10000,D393)&gt;1</f>
        <v/>
      </c>
      <c r="S393">
        <f>IF(H393=TRUE,"Disponible","No disponible")</f>
        <v/>
      </c>
      <c r="T393">
        <f>IF(AND(ISNUMBER(I393),I393&gt;0),ROUND(F393/I393,2),"Sin volumen")</f>
        <v/>
      </c>
      <c r="U393">
        <f>IF(F393&lt;5000,"Bajo",IF(F393&lt;15000,"Medio","Alto"))</f>
        <v/>
      </c>
    </row>
    <row r="394">
      <c r="A394" s="2" t="inlineStr">
        <is>
          <t>Jumbo</t>
        </is>
      </c>
      <c r="B394" s="2" t="n">
        <v>3083502</v>
      </c>
      <c r="C394" s="2" t="n">
        <v>3082777</v>
      </c>
      <c r="D394" s="2" t="inlineStr">
        <is>
          <t>Mascarilla Tratamiento Brillo Anti-residuos Glycolic Cristal 300 Ml Elvive</t>
        </is>
      </c>
      <c r="E394" s="2" t="inlineStr">
        <is>
          <t>ELVIVE</t>
        </is>
      </c>
      <c r="F394" s="2" t="n">
        <v>13250</v>
      </c>
      <c r="G394" s="2" t="n">
        <v>1095041</v>
      </c>
      <c r="H394" s="2" t="b">
        <v>1</v>
      </c>
      <c r="I394" s="2" t="n">
        <v>300</v>
      </c>
      <c r="J394" s="2" t="n">
        <v>44.1667</v>
      </c>
      <c r="K394" s="2" t="inlineStr">
        <is>
          <t>&gt; Perfumería &gt; Cuidado Capilar &gt; Reparación y Tratamientos &gt;</t>
        </is>
      </c>
      <c r="L394" s="2" t="inlineStr">
        <is>
          <t>tratamiento</t>
        </is>
      </c>
      <c r="M394" s="2" t="inlineStr">
        <is>
          <t>profesional</t>
        </is>
      </c>
      <c r="N394" s="2" t="inlineStr">
        <is>
          <t>general</t>
        </is>
      </c>
      <c r="O394" s="2" t="inlineStr">
        <is>
          <t>https://www.jumbo.com.ar/tratamiento-brillo-anti-residuos-glycolic-cristal-x-300-ml-elvive/p</t>
        </is>
      </c>
      <c r="P394" s="4">
        <f>TRIM(CLEAN(PROPER(D394)))</f>
        <v/>
      </c>
      <c r="Q394" s="4">
        <f>PROPER(TRIM(SUBSTITUTE(SUBSTITUTE(SUBSTITUTE(SUBSTITUTE(E394,"TRESEMME","Tresemme"),"HEAD &amp; SHOULDERS","Head &amp; Shoulders"),"ELVIVE","Elvive"),"FRUCTIS","Fructis")))</f>
        <v/>
      </c>
      <c r="R394" s="4">
        <f>COUNTIF($D$2:$D$10000,D394)&gt;1</f>
        <v/>
      </c>
      <c r="S394" s="4">
        <f>IF(H394=TRUE,"Disponible","No disponible")</f>
        <v/>
      </c>
      <c r="T394" s="4">
        <f>IF(AND(ISNUMBER(I394),I394&gt;0),ROUND(F394/I394,2),"Sin volumen")</f>
        <v/>
      </c>
      <c r="U394" s="4">
        <f>IF(F394&lt;5000,"Bajo",IF(F394&lt;15000,"Medio","Alto"))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55" customWidth="1" min="4" max="4"/>
    <col width="21" customWidth="1" min="5" max="5"/>
    <col width="13" customWidth="1" min="6" max="6"/>
    <col width="15" customWidth="1" min="7" max="7"/>
    <col width="13" customWidth="1" min="8" max="8"/>
    <col width="13" customWidth="1" min="9" max="9"/>
    <col width="16" customWidth="1" min="10" max="10"/>
    <col width="55" customWidth="1" min="11" max="11"/>
    <col width="17" customWidth="1" min="12" max="12"/>
    <col width="14" customWidth="1" min="13" max="13"/>
    <col width="15" customWidth="1" min="14" max="14"/>
    <col width="55" customWidth="1" min="15" max="15"/>
  </cols>
  <sheetData>
    <row r="1" ht="26" customHeight="1">
      <c r="A1" s="5" t="inlineStr">
        <is>
          <t>fuente</t>
        </is>
      </c>
      <c r="B1" s="5" t="inlineStr">
        <is>
          <t>producto_id</t>
        </is>
      </c>
      <c r="C1" s="5" t="inlineStr">
        <is>
          <t>sku_id</t>
        </is>
      </c>
      <c r="D1" s="5" t="inlineStr">
        <is>
          <t>nombre</t>
        </is>
      </c>
      <c r="E1" s="5" t="inlineStr">
        <is>
          <t>marca</t>
        </is>
      </c>
      <c r="F1" s="5" t="inlineStr">
        <is>
          <t>precio_ars</t>
        </is>
      </c>
      <c r="G1" s="5" t="inlineStr">
        <is>
          <t>precio_lista</t>
        </is>
      </c>
      <c r="H1" s="5" t="inlineStr">
        <is>
          <t>disponible</t>
        </is>
      </c>
      <c r="I1" s="5" t="inlineStr">
        <is>
          <t>volumen_ml</t>
        </is>
      </c>
      <c r="J1" s="5" t="inlineStr">
        <is>
          <t>precio_por_ml</t>
        </is>
      </c>
      <c r="K1" s="5" t="inlineStr">
        <is>
          <t>categoria_raw</t>
        </is>
      </c>
      <c r="L1" s="5" t="inlineStr">
        <is>
          <t>tipo_producto</t>
        </is>
      </c>
      <c r="M1" s="5" t="inlineStr">
        <is>
          <t>linea_tipo</t>
        </is>
      </c>
      <c r="N1" s="5" t="inlineStr">
        <is>
          <t>tipo_cabello</t>
        </is>
      </c>
      <c r="O1" s="5" t="inlineStr">
        <is>
          <t>url</t>
        </is>
      </c>
    </row>
    <row r="2">
      <c r="A2" s="6" t="inlineStr">
        <is>
          <t>Farmacity</t>
        </is>
      </c>
      <c r="B2" s="6" t="n">
        <v>234384</v>
      </c>
      <c r="C2" s="6" t="n">
        <v>234384</v>
      </c>
      <c r="D2" s="6" t="inlineStr">
        <is>
          <t>Shampoo Elvive Hialurónico Pure x 400 ml</t>
        </is>
      </c>
      <c r="E2" s="6" t="inlineStr">
        <is>
          <t>Elvive</t>
        </is>
      </c>
      <c r="F2" s="6" t="n">
        <v>6714</v>
      </c>
      <c r="G2" s="6" t="n">
        <v>11190</v>
      </c>
      <c r="H2" s="6" t="b">
        <v>1</v>
      </c>
      <c r="I2" s="6" t="n">
        <v>400</v>
      </c>
      <c r="J2" s="6" t="n">
        <v>16.785</v>
      </c>
      <c r="K2" s="6" t="inlineStr">
        <is>
          <t>&gt; Cuidado Capilar &gt; Shampoo Y Acondicionador &gt;</t>
        </is>
      </c>
      <c r="L2" s="6" t="inlineStr">
        <is>
          <t>shampoo</t>
        </is>
      </c>
      <c r="M2" s="6" t="inlineStr">
        <is>
          <t>profesional</t>
        </is>
      </c>
      <c r="N2" s="6" t="inlineStr">
        <is>
          <t>general</t>
        </is>
      </c>
      <c r="O2" s="6" t="inlineStr">
        <is>
          <t>https://www.farmacity.com/shampoo-elvive-hialuronico-pure-x-400-ml/p</t>
        </is>
      </c>
    </row>
    <row r="3">
      <c r="A3" t="inlineStr">
        <is>
          <t>Farmacity</t>
        </is>
      </c>
      <c r="B3" t="n">
        <v>221679</v>
      </c>
      <c r="C3" t="n">
        <v>221679</v>
      </c>
      <c r="D3" t="inlineStr">
        <is>
          <t>Shampoo Elvive Hidra Hialurónico x 400 ml</t>
        </is>
      </c>
      <c r="E3" t="inlineStr">
        <is>
          <t>Elvive</t>
        </is>
      </c>
      <c r="F3" t="n">
        <v>6714</v>
      </c>
      <c r="G3" t="n">
        <v>11190</v>
      </c>
      <c r="H3" t="b">
        <v>1</v>
      </c>
      <c r="I3" t="n">
        <v>400</v>
      </c>
      <c r="J3" t="n">
        <v>16.785</v>
      </c>
      <c r="K3" t="inlineStr">
        <is>
          <t>&gt; Cuidado Capilar &gt; Shampoo Y Acondicionador &gt;</t>
        </is>
      </c>
      <c r="L3" t="inlineStr">
        <is>
          <t>shampoo</t>
        </is>
      </c>
      <c r="M3" t="inlineStr">
        <is>
          <t>profesional</t>
        </is>
      </c>
      <c r="N3" t="inlineStr">
        <is>
          <t>general</t>
        </is>
      </c>
      <c r="O3" t="inlineStr">
        <is>
          <t>https://www.farmacity.com/shampoo-elvive-hidra-hialuronico-x-400-ml/p</t>
        </is>
      </c>
    </row>
    <row r="4">
      <c r="A4" s="6" t="inlineStr">
        <is>
          <t>Farmacity</t>
        </is>
      </c>
      <c r="B4" s="6" t="n">
        <v>164244</v>
      </c>
      <c r="C4" s="6" t="n">
        <v>164244</v>
      </c>
      <c r="D4" s="6" t="inlineStr">
        <is>
          <t>Shampoo Capilatis PH Neutro Limpieza Profunda x 420 ml</t>
        </is>
      </c>
      <c r="E4" s="6" t="inlineStr">
        <is>
          <t>Capilatis</t>
        </is>
      </c>
      <c r="F4" s="6" t="n">
        <v>9000</v>
      </c>
      <c r="G4" s="6" t="n">
        <v>9000</v>
      </c>
      <c r="H4" s="6" t="b">
        <v>1</v>
      </c>
      <c r="I4" s="6" t="n">
        <v>420</v>
      </c>
      <c r="J4" s="6" t="n">
        <v>21.4286</v>
      </c>
      <c r="K4" s="6" t="inlineStr">
        <is>
          <t>&gt; Cuidado Capilar &gt; Shampoo Y Acondicionador &gt;</t>
        </is>
      </c>
      <c r="L4" s="6" t="inlineStr">
        <is>
          <t>shampoo</t>
        </is>
      </c>
      <c r="M4" s="6" t="inlineStr">
        <is>
          <t>estandar</t>
        </is>
      </c>
      <c r="N4" s="6" t="inlineStr">
        <is>
          <t>general</t>
        </is>
      </c>
      <c r="O4" s="6" t="inlineStr">
        <is>
          <t>https://www.farmacity.com/shampoo-limpieza-profunda-capilatis-ph-neutro-x-420-ml/p</t>
        </is>
      </c>
    </row>
    <row r="5">
      <c r="A5" t="inlineStr">
        <is>
          <t>Farmacity</t>
        </is>
      </c>
      <c r="B5" t="n">
        <v>1031</v>
      </c>
      <c r="C5" t="n">
        <v>109084</v>
      </c>
      <c r="D5" t="inlineStr">
        <is>
          <t>Shampoo Dove Reconstrucción + Aminoácido x 400 ml</t>
        </is>
      </c>
      <c r="E5" t="inlineStr">
        <is>
          <t>Dove</t>
        </is>
      </c>
      <c r="F5" t="n">
        <v>5812</v>
      </c>
      <c r="G5" t="n">
        <v>9687</v>
      </c>
      <c r="H5" t="b">
        <v>1</v>
      </c>
      <c r="I5" t="n">
        <v>400</v>
      </c>
      <c r="J5" t="n">
        <v>14.53</v>
      </c>
      <c r="K5" t="inlineStr">
        <is>
          <t>&gt; Cuidado Capilar &gt; Shampoo Y Acondicionador &gt;</t>
        </is>
      </c>
      <c r="L5" t="inlineStr">
        <is>
          <t>shampoo</t>
        </is>
      </c>
      <c r="M5" t="inlineStr">
        <is>
          <t>estandar</t>
        </is>
      </c>
      <c r="N5" t="inlineStr">
        <is>
          <t>general</t>
        </is>
      </c>
      <c r="O5" t="inlineStr">
        <is>
          <t>https://www.farmacity.com/shampoo-dove-reconstruccion-completa-botella-x-400-ml/p</t>
        </is>
      </c>
    </row>
    <row r="6">
      <c r="A6" s="6" t="inlineStr">
        <is>
          <t>Farmacity</t>
        </is>
      </c>
      <c r="B6" s="6" t="n">
        <v>248551</v>
      </c>
      <c r="C6" s="6" t="n">
        <v>248551</v>
      </c>
      <c r="D6" s="6" t="inlineStr">
        <is>
          <t>Shampoo Elvive Glycolic Cristal x 400 ml</t>
        </is>
      </c>
      <c r="E6" s="6" t="inlineStr">
        <is>
          <t>Elvive</t>
        </is>
      </c>
      <c r="F6" s="6" t="n">
        <v>7494</v>
      </c>
      <c r="G6" s="6" t="n">
        <v>12490</v>
      </c>
      <c r="H6" s="6" t="b">
        <v>1</v>
      </c>
      <c r="I6" s="6" t="n">
        <v>400</v>
      </c>
      <c r="J6" s="6" t="n">
        <v>18.735</v>
      </c>
      <c r="K6" s="6" t="inlineStr">
        <is>
          <t>&gt; Cuidado Capilar &gt; Shampoo Y Acondicionador &gt;</t>
        </is>
      </c>
      <c r="L6" s="6" t="inlineStr">
        <is>
          <t>shampoo</t>
        </is>
      </c>
      <c r="M6" s="6" t="inlineStr">
        <is>
          <t>profesional</t>
        </is>
      </c>
      <c r="N6" s="6" t="inlineStr">
        <is>
          <t>general</t>
        </is>
      </c>
      <c r="O6" s="6" t="inlineStr">
        <is>
          <t>https://www.farmacity.com/shampoo-elvive-glycolic-cristal-x-400-ml/p</t>
        </is>
      </c>
    </row>
    <row r="7">
      <c r="A7" t="inlineStr">
        <is>
          <t>Farmacity</t>
        </is>
      </c>
      <c r="B7" t="n">
        <v>237877</v>
      </c>
      <c r="C7" t="n">
        <v>237877</v>
      </c>
      <c r="D7" t="inlineStr">
        <is>
          <t>Shampoo Capilatis Ortiga Concentrado x 420 ml</t>
        </is>
      </c>
      <c r="E7" t="inlineStr">
        <is>
          <t>Capilatis</t>
        </is>
      </c>
      <c r="F7" t="n">
        <v>7575</v>
      </c>
      <c r="G7" t="n">
        <v>10100</v>
      </c>
      <c r="H7" t="b">
        <v>1</v>
      </c>
      <c r="I7" t="n">
        <v>420</v>
      </c>
      <c r="J7" t="n">
        <v>18.0357</v>
      </c>
      <c r="K7" t="inlineStr">
        <is>
          <t>&gt; Cuidado Capilar &gt; Shampoo Y Acondicionador &gt;</t>
        </is>
      </c>
      <c r="L7" t="inlineStr">
        <is>
          <t>shampoo</t>
        </is>
      </c>
      <c r="M7" t="inlineStr">
        <is>
          <t>estandar</t>
        </is>
      </c>
      <c r="N7" t="inlineStr">
        <is>
          <t>general</t>
        </is>
      </c>
      <c r="O7" t="inlineStr">
        <is>
          <t>https://www.farmacity.com/shampoo-capilatis-ortiga-concentrado-x-420-ml/p</t>
        </is>
      </c>
    </row>
    <row r="8">
      <c r="A8" s="6" t="inlineStr">
        <is>
          <t>Farmacity</t>
        </is>
      </c>
      <c r="B8" s="6" t="n">
        <v>232640</v>
      </c>
      <c r="C8" s="6" t="n">
        <v>232640</v>
      </c>
      <c r="D8" s="6" t="inlineStr">
        <is>
          <t>Shampoo Control Caspa Head &amp; Shoulders Limpieza y Revitalización x 375 ml</t>
        </is>
      </c>
      <c r="E8" s="6" t="inlineStr">
        <is>
          <t>Head and Shoulders</t>
        </is>
      </c>
      <c r="F8" s="6" t="n">
        <v>7895</v>
      </c>
      <c r="G8" s="6" t="n">
        <v>12146</v>
      </c>
      <c r="H8" s="6" t="b">
        <v>1</v>
      </c>
      <c r="I8" s="6" t="n">
        <v>375</v>
      </c>
      <c r="J8" s="6" t="n">
        <v>21.0533</v>
      </c>
      <c r="K8" s="6" t="inlineStr">
        <is>
          <t>&gt; Cuidado Capilar &gt; Shampoo Y Acondicionador &gt;</t>
        </is>
      </c>
      <c r="L8" s="6" t="inlineStr">
        <is>
          <t>shampoo</t>
        </is>
      </c>
      <c r="M8" s="6" t="inlineStr">
        <is>
          <t>estandar</t>
        </is>
      </c>
      <c r="N8" s="6" t="inlineStr">
        <is>
          <t>anticaspa</t>
        </is>
      </c>
      <c r="O8" s="6" t="inlineStr">
        <is>
          <t>https://www.farmacity.com/shampoo-head-y-shoulders-limpieza-y-revitalizacion-x-375-ml/p</t>
        </is>
      </c>
    </row>
    <row r="9">
      <c r="A9" t="inlineStr">
        <is>
          <t>Farmacity</t>
        </is>
      </c>
      <c r="B9" t="n">
        <v>229980</v>
      </c>
      <c r="C9" t="n">
        <v>229980</v>
      </c>
      <c r="D9" t="inlineStr">
        <is>
          <t>Shampoo Tío Nacho Engrosador x 415 ml</t>
        </is>
      </c>
      <c r="E9" t="inlineStr">
        <is>
          <t>Tío Nacho</t>
        </is>
      </c>
      <c r="F9" t="n">
        <v>11750</v>
      </c>
      <c r="G9" t="n">
        <v>11750</v>
      </c>
      <c r="H9" t="b">
        <v>1</v>
      </c>
      <c r="I9" t="n">
        <v>415</v>
      </c>
      <c r="J9" t="n">
        <v>28.3133</v>
      </c>
      <c r="K9" t="inlineStr">
        <is>
          <t>&gt; Cuidado Capilar &gt; Shampoo Y Acondicionador &gt;</t>
        </is>
      </c>
      <c r="L9" t="inlineStr">
        <is>
          <t>shampoo</t>
        </is>
      </c>
      <c r="M9" t="inlineStr">
        <is>
          <t>estandar</t>
        </is>
      </c>
      <c r="N9" t="inlineStr">
        <is>
          <t>general</t>
        </is>
      </c>
      <c r="O9" t="inlineStr">
        <is>
          <t>https://www.farmacity.com/shampoo-tio-nacho-engorsador-x-415-ml/p</t>
        </is>
      </c>
    </row>
    <row r="10">
      <c r="A10" s="6" t="inlineStr">
        <is>
          <t>Farmacity</t>
        </is>
      </c>
      <c r="B10" s="6" t="n">
        <v>225541</v>
      </c>
      <c r="C10" s="6" t="n">
        <v>225541</v>
      </c>
      <c r="D10" s="6" t="inlineStr">
        <is>
          <t>Shampoo Bagóvit Pelo Largo y Sin Frizz x 350 ml</t>
        </is>
      </c>
      <c r="E10" s="6" t="inlineStr">
        <is>
          <t>Bagóvit</t>
        </is>
      </c>
      <c r="F10" s="6" t="n">
        <v>8984</v>
      </c>
      <c r="G10" s="6" t="n">
        <v>8984</v>
      </c>
      <c r="H10" s="6" t="b">
        <v>1</v>
      </c>
      <c r="I10" s="6" t="n">
        <v>350</v>
      </c>
      <c r="J10" s="6" t="n">
        <v>25.6686</v>
      </c>
      <c r="K10" s="6" t="inlineStr">
        <is>
          <t>&gt; Cuidado Capilar &gt; Shampoo Y Acondicionador &gt;</t>
        </is>
      </c>
      <c r="L10" s="6" t="inlineStr">
        <is>
          <t>shampoo</t>
        </is>
      </c>
      <c r="M10" s="6" t="inlineStr">
        <is>
          <t>estandar</t>
        </is>
      </c>
      <c r="N10" s="6" t="inlineStr">
        <is>
          <t>general</t>
        </is>
      </c>
      <c r="O10" s="6" t="inlineStr">
        <is>
          <t>https://www.farmacity.com/shampoo-bagovit-pelo-largo-y-sin-frizz-x-350-ml/p</t>
        </is>
      </c>
    </row>
    <row r="11">
      <c r="A11" t="inlineStr">
        <is>
          <t>Farmacity</t>
        </is>
      </c>
      <c r="B11" t="n">
        <v>246480</v>
      </c>
      <c r="C11" t="n">
        <v>246480</v>
      </c>
      <c r="D11" t="inlineStr">
        <is>
          <t>Shampoo Dove Uv Repair &amp; Glow x 400 ml</t>
        </is>
      </c>
      <c r="E11" t="inlineStr">
        <is>
          <t>Dove</t>
        </is>
      </c>
      <c r="F11" t="n">
        <v>6453</v>
      </c>
      <c r="G11" t="n">
        <v>10755</v>
      </c>
      <c r="H11" t="b">
        <v>1</v>
      </c>
      <c r="I11" t="n">
        <v>400</v>
      </c>
      <c r="J11" t="n">
        <v>16.1325</v>
      </c>
      <c r="K11" t="inlineStr">
        <is>
          <t>&gt; Cuidado Capilar &gt; Shampoo Y Acondicionador &gt;</t>
        </is>
      </c>
      <c r="L11" t="inlineStr">
        <is>
          <t>shampoo</t>
        </is>
      </c>
      <c r="M11" t="inlineStr">
        <is>
          <t>profesional</t>
        </is>
      </c>
      <c r="N11" t="inlineStr">
        <is>
          <t>general</t>
        </is>
      </c>
      <c r="O11" t="inlineStr">
        <is>
          <t>https://www.farmacity.com/shampoo-dove-uv-repair-x-400-ml/p</t>
        </is>
      </c>
    </row>
    <row r="12">
      <c r="A12" s="6" t="inlineStr">
        <is>
          <t>Farmacity</t>
        </is>
      </c>
      <c r="B12" s="6" t="n">
        <v>233317</v>
      </c>
      <c r="C12" s="6" t="n">
        <v>233317</v>
      </c>
      <c r="D12" s="6" t="inlineStr">
        <is>
          <t>Shampoo Alta Moda Detox Purify x 300 ml</t>
        </is>
      </c>
      <c r="E12" s="6" t="inlineStr">
        <is>
          <t>Alta Moda</t>
        </is>
      </c>
      <c r="F12" s="6" t="n">
        <v>5692</v>
      </c>
      <c r="G12" s="6" t="n">
        <v>5692</v>
      </c>
      <c r="H12" s="6" t="b">
        <v>1</v>
      </c>
      <c r="I12" s="6" t="n">
        <v>300</v>
      </c>
      <c r="J12" s="6" t="n">
        <v>18.9733</v>
      </c>
      <c r="K12" s="6" t="inlineStr">
        <is>
          <t>&gt; Cuidado Capilar &gt; Shampoo Y Acondicionador &gt;</t>
        </is>
      </c>
      <c r="L12" s="6" t="inlineStr">
        <is>
          <t>shampoo</t>
        </is>
      </c>
      <c r="M12" s="6" t="inlineStr">
        <is>
          <t>estandar</t>
        </is>
      </c>
      <c r="N12" s="6" t="inlineStr">
        <is>
          <t>general</t>
        </is>
      </c>
      <c r="O12" s="6" t="inlineStr">
        <is>
          <t>https://www.farmacity.com/shampoo-alta-moda-e-detox-x-300-ml/p</t>
        </is>
      </c>
    </row>
    <row r="13">
      <c r="A13" t="inlineStr">
        <is>
          <t>Farmacity</t>
        </is>
      </c>
      <c r="B13" t="n">
        <v>230602</v>
      </c>
      <c r="C13" t="n">
        <v>230602</v>
      </c>
      <c r="D13" t="inlineStr">
        <is>
          <t>Shampoo Dosificador Tresemmé Ondas Boho x 500 ml</t>
        </is>
      </c>
      <c r="E13" t="inlineStr">
        <is>
          <t>Tresemmé</t>
        </is>
      </c>
      <c r="F13" t="n">
        <v>6574</v>
      </c>
      <c r="G13" t="n">
        <v>10114</v>
      </c>
      <c r="H13" t="b">
        <v>1</v>
      </c>
      <c r="I13" t="n">
        <v>500</v>
      </c>
      <c r="J13" t="n">
        <v>13.148</v>
      </c>
      <c r="K13" t="inlineStr">
        <is>
          <t>&gt; Cuidado Capilar &gt; Shampoo Y Acondicionador &gt;</t>
        </is>
      </c>
      <c r="L13" t="inlineStr">
        <is>
          <t>shampoo</t>
        </is>
      </c>
      <c r="M13" t="inlineStr">
        <is>
          <t>estandar</t>
        </is>
      </c>
      <c r="N13" t="inlineStr">
        <is>
          <t>general</t>
        </is>
      </c>
      <c r="O13" t="inlineStr">
        <is>
          <t>https://www.farmacity.com/shampoo-dosificador-tresemme-ondas-boho-x-500-ml/p</t>
        </is>
      </c>
    </row>
    <row r="14">
      <c r="A14" s="6" t="inlineStr">
        <is>
          <t>Farmacity</t>
        </is>
      </c>
      <c r="B14" s="6" t="n">
        <v>229990</v>
      </c>
      <c r="C14" s="6" t="n">
        <v>229990</v>
      </c>
      <c r="D14" s="6" t="inlineStr">
        <is>
          <t>Shampoo Elvive Colorvive x 200 ml</t>
        </is>
      </c>
      <c r="E14" s="6" t="inlineStr">
        <is>
          <t>Elvive</t>
        </is>
      </c>
      <c r="F14" s="6" t="n">
        <v>4494</v>
      </c>
      <c r="G14" s="6" t="n">
        <v>7490</v>
      </c>
      <c r="H14" s="6" t="b">
        <v>1</v>
      </c>
      <c r="I14" s="6" t="n">
        <v>200</v>
      </c>
      <c r="J14" s="6" t="n">
        <v>22.47</v>
      </c>
      <c r="K14" s="6" t="inlineStr">
        <is>
          <t>&gt; Cuidado Capilar &gt; Shampoo Y Acondicionador &gt;</t>
        </is>
      </c>
      <c r="L14" s="6" t="inlineStr">
        <is>
          <t>shampoo</t>
        </is>
      </c>
      <c r="M14" s="6" t="inlineStr">
        <is>
          <t>profesional</t>
        </is>
      </c>
      <c r="N14" s="6" t="inlineStr">
        <is>
          <t>tratado</t>
        </is>
      </c>
      <c r="O14" s="6" t="inlineStr">
        <is>
          <t>https://www.farmacity.com/shampoo-elvive-matizador-violeta-x-200-ml/p</t>
        </is>
      </c>
    </row>
    <row r="15">
      <c r="A15" t="inlineStr">
        <is>
          <t>Farmacity</t>
        </is>
      </c>
      <c r="B15" t="n">
        <v>224345</v>
      </c>
      <c r="C15" t="n">
        <v>224345</v>
      </c>
      <c r="D15" t="inlineStr">
        <is>
          <t>Shampoo Garnier Fructis Hair Food Sandia x 300 ml</t>
        </is>
      </c>
      <c r="E15" t="inlineStr">
        <is>
          <t>Fructis</t>
        </is>
      </c>
      <c r="F15" t="n">
        <v>7273</v>
      </c>
      <c r="G15" t="n">
        <v>11190</v>
      </c>
      <c r="H15" t="b">
        <v>1</v>
      </c>
      <c r="I15" t="n">
        <v>300</v>
      </c>
      <c r="J15" t="n">
        <v>24.2433</v>
      </c>
      <c r="K15" t="inlineStr">
        <is>
          <t>&gt; Cuidado Capilar &gt; Shampoo Y Acondicionador &gt;</t>
        </is>
      </c>
      <c r="L15" t="inlineStr">
        <is>
          <t>shampoo</t>
        </is>
      </c>
      <c r="M15" t="inlineStr">
        <is>
          <t>estandar</t>
        </is>
      </c>
      <c r="N15" t="inlineStr">
        <is>
          <t>general</t>
        </is>
      </c>
      <c r="O15" t="inlineStr">
        <is>
          <t>https://www.farmacity.com/shampoo-garnier-fructis-hair-food-sandia-revitalizante-x-300-ml/p</t>
        </is>
      </c>
    </row>
    <row r="16">
      <c r="A16" s="6" t="inlineStr">
        <is>
          <t>Farmacity</t>
        </is>
      </c>
      <c r="B16" s="6" t="n">
        <v>217209</v>
      </c>
      <c r="C16" s="6" t="n">
        <v>217209</v>
      </c>
      <c r="D16" s="6" t="inlineStr">
        <is>
          <t>Shampoo Garnier Fructis Hair Food Palta x 300 ml</t>
        </is>
      </c>
      <c r="E16" s="6" t="inlineStr">
        <is>
          <t>Fructis</t>
        </is>
      </c>
      <c r="F16" s="6" t="n">
        <v>7273</v>
      </c>
      <c r="G16" s="6" t="n">
        <v>11190</v>
      </c>
      <c r="H16" s="6" t="b">
        <v>1</v>
      </c>
      <c r="I16" s="6" t="n">
        <v>300</v>
      </c>
      <c r="J16" s="6" t="n">
        <v>24.2433</v>
      </c>
      <c r="K16" s="6" t="inlineStr">
        <is>
          <t>&gt; Cuidado Capilar &gt; Shampoo Y Acondicionador &gt;</t>
        </is>
      </c>
      <c r="L16" s="6" t="inlineStr">
        <is>
          <t>shampoo</t>
        </is>
      </c>
      <c r="M16" s="6" t="inlineStr">
        <is>
          <t>estandar</t>
        </is>
      </c>
      <c r="N16" s="6" t="inlineStr">
        <is>
          <t>general</t>
        </is>
      </c>
      <c r="O16" s="6" t="inlineStr">
        <is>
          <t>https://www.farmacity.com/shampoo-fructis-hair-food-aguacate-x-300-ml/p</t>
        </is>
      </c>
    </row>
    <row r="17">
      <c r="A17" t="inlineStr">
        <is>
          <t>Farmacity</t>
        </is>
      </c>
      <c r="B17" t="n">
        <v>208133</v>
      </c>
      <c r="C17" t="n">
        <v>208133</v>
      </c>
      <c r="D17" t="inlineStr">
        <is>
          <t>Shampoo Elvive Dream Long x 400 ml</t>
        </is>
      </c>
      <c r="E17" t="inlineStr">
        <is>
          <t>Elvive</t>
        </is>
      </c>
      <c r="F17" t="n">
        <v>6714</v>
      </c>
      <c r="G17" t="n">
        <v>11190</v>
      </c>
      <c r="H17" t="b">
        <v>1</v>
      </c>
      <c r="I17" t="n">
        <v>400</v>
      </c>
      <c r="J17" t="n">
        <v>16.785</v>
      </c>
      <c r="K17" t="inlineStr">
        <is>
          <t>&gt; Cuidado Capilar &gt; Shampoo Y Acondicionador &gt;</t>
        </is>
      </c>
      <c r="L17" t="inlineStr">
        <is>
          <t>shampoo</t>
        </is>
      </c>
      <c r="M17" t="inlineStr">
        <is>
          <t>profesional</t>
        </is>
      </c>
      <c r="N17" t="inlineStr">
        <is>
          <t>general</t>
        </is>
      </c>
      <c r="O17" t="inlineStr">
        <is>
          <t>https://www.farmacity.com/shampoo-dream-long-elvive-loreal-paris-x-400-ml/p</t>
        </is>
      </c>
    </row>
    <row r="18">
      <c r="A18" s="6" t="inlineStr">
        <is>
          <t>Farmacity</t>
        </is>
      </c>
      <c r="B18" s="6" t="n">
        <v>206051</v>
      </c>
      <c r="C18" s="6" t="n">
        <v>206051</v>
      </c>
      <c r="D18" s="6" t="inlineStr">
        <is>
          <t>Shampoo Head &amp; Shoulders Protección Caída x 375 ml</t>
        </is>
      </c>
      <c r="E18" s="6" t="inlineStr">
        <is>
          <t>Head and Shoulders</t>
        </is>
      </c>
      <c r="F18" s="6" t="n">
        <v>7895</v>
      </c>
      <c r="G18" s="6" t="n">
        <v>12146</v>
      </c>
      <c r="H18" s="6" t="b">
        <v>1</v>
      </c>
      <c r="I18" s="6" t="n">
        <v>375</v>
      </c>
      <c r="J18" s="6" t="n">
        <v>21.0533</v>
      </c>
      <c r="K18" s="6" t="inlineStr">
        <is>
          <t>&gt; Cuidado Capilar &gt; Shampoo Y Acondicionador &gt;</t>
        </is>
      </c>
      <c r="L18" s="6" t="inlineStr">
        <is>
          <t>shampoo</t>
        </is>
      </c>
      <c r="M18" s="6" t="inlineStr">
        <is>
          <t>estandar</t>
        </is>
      </c>
      <c r="N18" s="6" t="inlineStr">
        <is>
          <t>general</t>
        </is>
      </c>
      <c r="O18" s="6" t="inlineStr">
        <is>
          <t>https://www.farmacity.com/shampoo-head-shoulders-antifall-proteccion-caida-con-cafeina-375ml/p</t>
        </is>
      </c>
    </row>
    <row r="19">
      <c r="A19" t="inlineStr">
        <is>
          <t>Farmacity</t>
        </is>
      </c>
      <c r="B19" t="n">
        <v>15033</v>
      </c>
      <c r="C19" t="n">
        <v>34404</v>
      </c>
      <c r="D19" t="inlineStr">
        <is>
          <t>Shampoo Aveno Hidratante y Emoliente x 250 ml</t>
        </is>
      </c>
      <c r="E19" t="inlineStr">
        <is>
          <t>Aveno</t>
        </is>
      </c>
      <c r="F19" t="n">
        <v>22407</v>
      </c>
      <c r="G19" t="n">
        <v>29876</v>
      </c>
      <c r="H19" t="b">
        <v>1</v>
      </c>
      <c r="I19" t="n">
        <v>250</v>
      </c>
      <c r="J19" t="n">
        <v>89.628</v>
      </c>
      <c r="K19" t="inlineStr">
        <is>
          <t>&gt; Cuidado Capilar &gt; Shampoo Y Acondicionador &gt;</t>
        </is>
      </c>
      <c r="L19" t="inlineStr">
        <is>
          <t>shampoo</t>
        </is>
      </c>
      <c r="M19" t="inlineStr">
        <is>
          <t>estandar</t>
        </is>
      </c>
      <c r="N19" t="inlineStr">
        <is>
          <t>seco_danado</t>
        </is>
      </c>
      <c r="O19" t="inlineStr">
        <is>
          <t>https://www.farmacity.com/shampoo-reactivo-hidratante-y-emoliente-x-250-ml/p</t>
        </is>
      </c>
    </row>
    <row r="20">
      <c r="A20" s="6" t="inlineStr">
        <is>
          <t>Farmacity</t>
        </is>
      </c>
      <c r="B20" s="6" t="n">
        <v>1237</v>
      </c>
      <c r="C20" s="6" t="n">
        <v>17971</v>
      </c>
      <c r="D20" s="6" t="inlineStr">
        <is>
          <t>Shampoo Biferdil con Manzanilla x 400 ml</t>
        </is>
      </c>
      <c r="E20" s="6" t="inlineStr">
        <is>
          <t>Biferdil</t>
        </is>
      </c>
      <c r="F20" s="6" t="n">
        <v>11300</v>
      </c>
      <c r="G20" s="6" t="n">
        <v>11300</v>
      </c>
      <c r="H20" s="6" t="b">
        <v>1</v>
      </c>
      <c r="I20" s="6" t="n">
        <v>400</v>
      </c>
      <c r="J20" s="6" t="n">
        <v>28.25</v>
      </c>
      <c r="K20" s="6" t="inlineStr">
        <is>
          <t>&gt; Cuidado Capilar &gt; Shampoo Y Acondicionador &gt;</t>
        </is>
      </c>
      <c r="L20" s="6" t="inlineStr">
        <is>
          <t>shampoo</t>
        </is>
      </c>
      <c r="M20" s="6" t="inlineStr">
        <is>
          <t>estandar</t>
        </is>
      </c>
      <c r="N20" s="6" t="inlineStr">
        <is>
          <t>general</t>
        </is>
      </c>
      <c r="O20" s="6" t="inlineStr">
        <is>
          <t>https://www.farmacity.com/shampoo-realza-el-color-con-manzanilla-x-400-ml-17971/p</t>
        </is>
      </c>
    </row>
    <row r="21">
      <c r="A21" t="inlineStr">
        <is>
          <t>Farmacity</t>
        </is>
      </c>
      <c r="B21" t="n">
        <v>249573</v>
      </c>
      <c r="C21" t="n">
        <v>249573</v>
      </c>
      <c r="D21" t="inlineStr">
        <is>
          <t>Shampoo Head &amp; Shoulders Romero Anti Caida x 180 ml</t>
        </is>
      </c>
      <c r="E21" t="inlineStr">
        <is>
          <t>Head and Shoulders</t>
        </is>
      </c>
      <c r="F21" t="n">
        <v>4701</v>
      </c>
      <c r="G21" t="n">
        <v>7233</v>
      </c>
      <c r="H21" t="b">
        <v>1</v>
      </c>
      <c r="I21" t="n">
        <v>180</v>
      </c>
      <c r="J21" t="n">
        <v>26.1167</v>
      </c>
      <c r="K21" t="inlineStr">
        <is>
          <t>&gt; Cuidado Capilar &gt; Shampoo Y Acondicionador &gt;</t>
        </is>
      </c>
      <c r="L21" t="inlineStr">
        <is>
          <t>shampoo</t>
        </is>
      </c>
      <c r="M21" t="inlineStr">
        <is>
          <t>estandar</t>
        </is>
      </c>
      <c r="N21" t="inlineStr">
        <is>
          <t>general</t>
        </is>
      </c>
      <c r="O21" t="inlineStr">
        <is>
          <t>https://www.farmacity.com/shampoo-head---shoulders-romero-anti-caida-x-180-ml/p</t>
        </is>
      </c>
    </row>
    <row r="22">
      <c r="A22" s="6" t="inlineStr">
        <is>
          <t>Farmacity</t>
        </is>
      </c>
      <c r="B22" s="6" t="n">
        <v>244539</v>
      </c>
      <c r="C22" s="6" t="n">
        <v>244539</v>
      </c>
      <c r="D22" s="6" t="inlineStr">
        <is>
          <t>Shampoo Pantene Pro-V Miracles Colágeno Nutre &amp; Revitaliza x 510 ml</t>
        </is>
      </c>
      <c r="E22" s="6" t="inlineStr">
        <is>
          <t>Pantene</t>
        </is>
      </c>
      <c r="F22" s="6" t="n">
        <v>10285</v>
      </c>
      <c r="G22" s="6" t="n">
        <v>17142</v>
      </c>
      <c r="H22" s="6" t="b">
        <v>1</v>
      </c>
      <c r="I22" s="6" t="n">
        <v>510</v>
      </c>
      <c r="J22" s="6" t="n">
        <v>20.1667</v>
      </c>
      <c r="K22" s="6" t="inlineStr">
        <is>
          <t>&gt; Cuidado Capilar &gt; Shampoo Y Acondicionador &gt;</t>
        </is>
      </c>
      <c r="L22" s="6" t="inlineStr">
        <is>
          <t>shampoo</t>
        </is>
      </c>
      <c r="M22" s="6" t="inlineStr">
        <is>
          <t>profesional</t>
        </is>
      </c>
      <c r="N22" s="6" t="inlineStr">
        <is>
          <t>general</t>
        </is>
      </c>
      <c r="O22" s="6" t="inlineStr">
        <is>
          <t>https://www.farmacity.com/shampoo-pantene-colageno-x-510-ml/p</t>
        </is>
      </c>
    </row>
    <row r="23">
      <c r="A23" t="inlineStr">
        <is>
          <t>Farmacity</t>
        </is>
      </c>
      <c r="B23" t="n">
        <v>235657</v>
      </c>
      <c r="C23" t="n">
        <v>235657</v>
      </c>
      <c r="D23" t="inlineStr">
        <is>
          <t>Shampoo Pantene Pro-V Miracles Detox Limpia - Purifica 750 ml</t>
        </is>
      </c>
      <c r="E23" t="inlineStr">
        <is>
          <t>Pantene</t>
        </is>
      </c>
      <c r="F23" t="n">
        <v>10040</v>
      </c>
      <c r="G23" t="n">
        <v>16733</v>
      </c>
      <c r="H23" t="b">
        <v>1</v>
      </c>
      <c r="I23" t="n">
        <v>750</v>
      </c>
      <c r="J23" t="n">
        <v>13.3867</v>
      </c>
      <c r="K23" t="inlineStr">
        <is>
          <t>&gt; Cuidado Capilar &gt; Shampoo Y Acondicionador &gt;</t>
        </is>
      </c>
      <c r="L23" t="inlineStr">
        <is>
          <t>shampoo</t>
        </is>
      </c>
      <c r="M23" t="inlineStr">
        <is>
          <t>profesional</t>
        </is>
      </c>
      <c r="N23" t="inlineStr">
        <is>
          <t>general</t>
        </is>
      </c>
      <c r="O23" t="inlineStr">
        <is>
          <t>https://www.farmacity.com/shampoo-pantene-pro-v-miracles-detox-x-750-ml/p</t>
        </is>
      </c>
    </row>
    <row r="24">
      <c r="A24" s="6" t="inlineStr">
        <is>
          <t>Farmacity</t>
        </is>
      </c>
      <c r="B24" s="6" t="n">
        <v>230214</v>
      </c>
      <c r="C24" s="6" t="n">
        <v>230214</v>
      </c>
      <c r="D24" s="6" t="inlineStr">
        <is>
          <t>Shampoo Pantene Pro-V Miracles Colágeno Revitaliza 200 ml</t>
        </is>
      </c>
      <c r="E24" s="6" t="inlineStr">
        <is>
          <t>Pantene</t>
        </is>
      </c>
      <c r="F24" s="6" t="n">
        <v>3807</v>
      </c>
      <c r="G24" s="6" t="n">
        <v>6345</v>
      </c>
      <c r="H24" s="6" t="b">
        <v>1</v>
      </c>
      <c r="I24" s="6" t="n">
        <v>200</v>
      </c>
      <c r="J24" s="6" t="n">
        <v>19.035</v>
      </c>
      <c r="K24" s="6" t="inlineStr">
        <is>
          <t>&gt; Cuidado Capilar &gt; Shampoo Y Acondicionador &gt;</t>
        </is>
      </c>
      <c r="L24" s="6" t="inlineStr">
        <is>
          <t>shampoo</t>
        </is>
      </c>
      <c r="M24" s="6" t="inlineStr">
        <is>
          <t>profesional</t>
        </is>
      </c>
      <c r="N24" s="6" t="inlineStr">
        <is>
          <t>general</t>
        </is>
      </c>
      <c r="O24" s="6" t="inlineStr">
        <is>
          <t>https://www.farmacity.com/shampoo-pantene-nutritivo-pro-v-miracles-colageno-nutre-y-revitaliza-x-200-ml/p</t>
        </is>
      </c>
    </row>
    <row r="25">
      <c r="A25" t="inlineStr">
        <is>
          <t>Farmacity</t>
        </is>
      </c>
      <c r="B25" t="n">
        <v>228551</v>
      </c>
      <c r="C25" t="n">
        <v>228551</v>
      </c>
      <c r="D25" t="inlineStr">
        <is>
          <t>Shampoo Biferdil P+T para la Seborrea y Caída x 300 ml</t>
        </is>
      </c>
      <c r="E25" t="inlineStr">
        <is>
          <t>Biferdil</t>
        </is>
      </c>
      <c r="F25" t="n">
        <v>10205</v>
      </c>
      <c r="G25" t="n">
        <v>15700</v>
      </c>
      <c r="H25" t="b">
        <v>1</v>
      </c>
      <c r="I25" t="n">
        <v>300</v>
      </c>
      <c r="J25" t="n">
        <v>34.0167</v>
      </c>
      <c r="K25" t="inlineStr">
        <is>
          <t>&gt; Cuidado Capilar &gt; Shampoo Y Acondicionador &gt;</t>
        </is>
      </c>
      <c r="L25" t="inlineStr">
        <is>
          <t>shampoo</t>
        </is>
      </c>
      <c r="M25" t="inlineStr">
        <is>
          <t>estandar</t>
        </is>
      </c>
      <c r="N25" t="inlineStr">
        <is>
          <t>general</t>
        </is>
      </c>
      <c r="O25" t="inlineStr">
        <is>
          <t>https://www.farmacity.com/shampoo-biferdil-pt-para-la-seborrea-y-caida-x-300-ml/p</t>
        </is>
      </c>
    </row>
    <row r="26">
      <c r="A26" s="6" t="inlineStr">
        <is>
          <t>Farmacity</t>
        </is>
      </c>
      <c r="B26" s="6" t="n">
        <v>228280</v>
      </c>
      <c r="C26" s="6" t="n">
        <v>228280</v>
      </c>
      <c r="D26" s="6" t="inlineStr">
        <is>
          <t>Shampoo Triatop Clinical x 165 ml</t>
        </is>
      </c>
      <c r="E26" s="6" t="inlineStr">
        <is>
          <t>Triatop</t>
        </is>
      </c>
      <c r="F26" s="6" t="n">
        <v>14251</v>
      </c>
      <c r="G26" s="6" t="n">
        <v>14251</v>
      </c>
      <c r="H26" s="6" t="b">
        <v>1</v>
      </c>
      <c r="I26" s="6" t="n">
        <v>165</v>
      </c>
      <c r="J26" s="6" t="n">
        <v>86.36969999999999</v>
      </c>
      <c r="K26" s="6" t="inlineStr">
        <is>
          <t>&gt; Cuidado Capilar &gt; Shampoo Y Acondicionador &gt;</t>
        </is>
      </c>
      <c r="L26" s="6" t="inlineStr">
        <is>
          <t>shampoo</t>
        </is>
      </c>
      <c r="M26" s="6" t="inlineStr">
        <is>
          <t>estandar</t>
        </is>
      </c>
      <c r="N26" s="6" t="inlineStr">
        <is>
          <t>general</t>
        </is>
      </c>
      <c r="O26" s="6" t="inlineStr">
        <is>
          <t>https://www.farmacity.com/shampoo-triatop-clinical-x-165-ml/p</t>
        </is>
      </c>
    </row>
    <row r="27">
      <c r="A27" t="inlineStr">
        <is>
          <t>Farmacity</t>
        </is>
      </c>
      <c r="B27" t="n">
        <v>225994</v>
      </c>
      <c r="C27" t="n">
        <v>225994</v>
      </c>
      <c r="D27" t="inlineStr">
        <is>
          <t>Shampoo Alta Moda Repair &amp; Defense x 300 ml</t>
        </is>
      </c>
      <c r="E27" t="inlineStr">
        <is>
          <t>Alta Moda</t>
        </is>
      </c>
      <c r="F27" t="n">
        <v>5692</v>
      </c>
      <c r="G27" t="n">
        <v>5692</v>
      </c>
      <c r="H27" t="b">
        <v>1</v>
      </c>
      <c r="I27" t="n">
        <v>300</v>
      </c>
      <c r="J27" t="n">
        <v>18.9733</v>
      </c>
      <c r="K27" t="inlineStr">
        <is>
          <t>&gt; Cuidado Capilar &gt; Shampoo Y Acondicionador &gt;</t>
        </is>
      </c>
      <c r="L27" t="inlineStr">
        <is>
          <t>shampoo</t>
        </is>
      </c>
      <c r="M27" t="inlineStr">
        <is>
          <t>profesional</t>
        </is>
      </c>
      <c r="N27" t="inlineStr">
        <is>
          <t>general</t>
        </is>
      </c>
      <c r="O27" t="inlineStr">
        <is>
          <t>https://www.farmacity.com/shampoo-alta-moda-e-repair-y-defense-x-300-ml/p</t>
        </is>
      </c>
    </row>
    <row r="28">
      <c r="A28" s="6" t="inlineStr">
        <is>
          <t>Farmacity</t>
        </is>
      </c>
      <c r="B28" s="6" t="n">
        <v>217207</v>
      </c>
      <c r="C28" s="6" t="n">
        <v>217207</v>
      </c>
      <c r="D28" s="6" t="inlineStr">
        <is>
          <t>Shampoo Garnier Fructis Hair Food Coco x 300 ml</t>
        </is>
      </c>
      <c r="E28" s="6" t="inlineStr">
        <is>
          <t>Fructis</t>
        </is>
      </c>
      <c r="F28" s="6" t="n">
        <v>7273</v>
      </c>
      <c r="G28" s="6" t="n">
        <v>11190</v>
      </c>
      <c r="H28" s="6" t="b">
        <v>1</v>
      </c>
      <c r="I28" s="6" t="n">
        <v>300</v>
      </c>
      <c r="J28" s="6" t="n">
        <v>24.2433</v>
      </c>
      <c r="K28" s="6" t="inlineStr">
        <is>
          <t>&gt; Cuidado Capilar &gt; Shampoo Y Acondicionador &gt;</t>
        </is>
      </c>
      <c r="L28" s="6" t="inlineStr">
        <is>
          <t>shampoo</t>
        </is>
      </c>
      <c r="M28" s="6" t="inlineStr">
        <is>
          <t>estandar</t>
        </is>
      </c>
      <c r="N28" s="6" t="inlineStr">
        <is>
          <t>general</t>
        </is>
      </c>
      <c r="O28" s="6" t="inlineStr">
        <is>
          <t>https://www.farmacity.com/shampoo-fructis-hair-food-coco-x-300-ml/p</t>
        </is>
      </c>
    </row>
    <row r="29">
      <c r="A29" t="inlineStr">
        <is>
          <t>Farmacity</t>
        </is>
      </c>
      <c r="B29" t="n">
        <v>215466</v>
      </c>
      <c r="C29" t="n">
        <v>215466</v>
      </c>
      <c r="D29" t="inlineStr">
        <is>
          <t>Shampoo Head &amp; Shoulders Aceite de Coco x 375 ml</t>
        </is>
      </c>
      <c r="E29" t="inlineStr">
        <is>
          <t>Head and Shoulders</t>
        </is>
      </c>
      <c r="F29" t="n">
        <v>7895</v>
      </c>
      <c r="G29" t="n">
        <v>12146</v>
      </c>
      <c r="H29" t="b">
        <v>1</v>
      </c>
      <c r="I29" t="n">
        <v>375</v>
      </c>
      <c r="J29" t="n">
        <v>21.0533</v>
      </c>
      <c r="K29" t="inlineStr">
        <is>
          <t>&gt; Cuidado Capilar &gt; Shampoo Y Acondicionador &gt;</t>
        </is>
      </c>
      <c r="L29" t="inlineStr">
        <is>
          <t>shampoo</t>
        </is>
      </c>
      <c r="M29" t="inlineStr">
        <is>
          <t>estandar</t>
        </is>
      </c>
      <c r="N29" t="inlineStr">
        <is>
          <t>general</t>
        </is>
      </c>
      <c r="O29" t="inlineStr">
        <is>
          <t>https://www.farmacity.com/shampoo-head-shouders-hidratacion-con-aceite-de-coco-x-375-ml/p</t>
        </is>
      </c>
    </row>
    <row r="30">
      <c r="A30" s="6" t="inlineStr">
        <is>
          <t>Farmacity</t>
        </is>
      </c>
      <c r="B30" s="6" t="n">
        <v>204165</v>
      </c>
      <c r="C30" s="6" t="n">
        <v>200363</v>
      </c>
      <c r="D30" s="6" t="inlineStr">
        <is>
          <t>Shampoo Herbal Essences Hydrate Coconut Milk x 400 ml</t>
        </is>
      </c>
      <c r="E30" s="6" t="inlineStr">
        <is>
          <t>Herbal Essences</t>
        </is>
      </c>
      <c r="F30" s="6" t="n">
        <v>10574</v>
      </c>
      <c r="G30" s="6" t="n">
        <v>16267</v>
      </c>
      <c r="H30" s="6" t="b">
        <v>1</v>
      </c>
      <c r="I30" s="6" t="n">
        <v>400</v>
      </c>
      <c r="J30" s="6" t="n">
        <v>26.435</v>
      </c>
      <c r="K30" s="6" t="inlineStr">
        <is>
          <t>&gt; Cuidado Capilar &gt; Shampoo Y Acondicionador &gt;</t>
        </is>
      </c>
      <c r="L30" s="6" t="inlineStr">
        <is>
          <t>shampoo</t>
        </is>
      </c>
      <c r="M30" s="6" t="inlineStr">
        <is>
          <t>estandar</t>
        </is>
      </c>
      <c r="N30" s="6" t="inlineStr">
        <is>
          <t>general</t>
        </is>
      </c>
      <c r="O30" s="6" t="inlineStr">
        <is>
          <t>https://www.farmacity.com/shampoo-herbal-renew-coconut-milk-x-400ml/p</t>
        </is>
      </c>
    </row>
    <row r="31">
      <c r="A31" t="inlineStr">
        <is>
          <t>Farmacity</t>
        </is>
      </c>
      <c r="B31" t="n">
        <v>4184</v>
      </c>
      <c r="C31" t="n">
        <v>138600</v>
      </c>
      <c r="D31" t="inlineStr">
        <is>
          <t>Shampoo Gel Anti-Caspa Eucerin DermoCapillaire para Dermatitis Seborreica x 250 ml</t>
        </is>
      </c>
      <c r="E31" t="inlineStr">
        <is>
          <t>Eucerin</t>
        </is>
      </c>
      <c r="F31" t="n">
        <v>36297</v>
      </c>
      <c r="G31" t="n">
        <v>45371</v>
      </c>
      <c r="H31" t="b">
        <v>1</v>
      </c>
      <c r="I31" t="n">
        <v>250</v>
      </c>
      <c r="J31" t="n">
        <v>145.188</v>
      </c>
      <c r="K31" t="inlineStr">
        <is>
          <t>&gt; Dermocosmética &gt; Pelo &gt; Shampoos y Acondicionadores &gt;</t>
        </is>
      </c>
      <c r="L31" t="inlineStr">
        <is>
          <t>shampoo</t>
        </is>
      </c>
      <c r="M31" t="inlineStr">
        <is>
          <t>estandar</t>
        </is>
      </c>
      <c r="N31" t="inlineStr">
        <is>
          <t>anticaspa</t>
        </is>
      </c>
      <c r="O31" t="inlineStr">
        <is>
          <t>https://www.farmacity.com/shampoo-anticaspa-dermo-capillaire-x-250/p</t>
        </is>
      </c>
    </row>
    <row r="32">
      <c r="A32" s="6" t="inlineStr">
        <is>
          <t>Farmacity</t>
        </is>
      </c>
      <c r="B32" s="6" t="n">
        <v>250122</v>
      </c>
      <c r="C32" s="6" t="n">
        <v>250122</v>
      </c>
      <c r="D32" s="6" t="inlineStr">
        <is>
          <t>Shampoo Fructis Good Bye Daños Oil Control x 350 ml</t>
        </is>
      </c>
      <c r="E32" s="6" t="inlineStr">
        <is>
          <t>Fructis</t>
        </is>
      </c>
      <c r="F32" s="6" t="n">
        <v>7990</v>
      </c>
      <c r="G32" s="6" t="n">
        <v>7990</v>
      </c>
      <c r="H32" s="6" t="b">
        <v>1</v>
      </c>
      <c r="I32" s="6" t="n">
        <v>350</v>
      </c>
      <c r="J32" s="6" t="n">
        <v>22.8286</v>
      </c>
      <c r="K32" s="6" t="inlineStr">
        <is>
          <t>&gt; Cuidado Capilar &gt; Shampoo Y Acondicionador &gt;</t>
        </is>
      </c>
      <c r="L32" s="6" t="inlineStr">
        <is>
          <t>shampoo</t>
        </is>
      </c>
      <c r="M32" s="6" t="inlineStr">
        <is>
          <t>estandar</t>
        </is>
      </c>
      <c r="N32" s="6" t="inlineStr">
        <is>
          <t>general</t>
        </is>
      </c>
      <c r="O32" s="6" t="inlineStr">
        <is>
          <t>https://www.farmacity.com/shampoo-fructis-good-bye-danos-x-350-ml/p</t>
        </is>
      </c>
    </row>
    <row r="33">
      <c r="A33" t="inlineStr">
        <is>
          <t>Farmacity</t>
        </is>
      </c>
      <c r="B33" t="n">
        <v>250121</v>
      </c>
      <c r="C33" t="n">
        <v>250121</v>
      </c>
      <c r="D33" t="inlineStr">
        <is>
          <t>Shampoo Fructis Good Bye Daños Oil Control x 200 ml</t>
        </is>
      </c>
      <c r="E33" t="inlineStr">
        <is>
          <t>Fructis</t>
        </is>
      </c>
      <c r="F33" t="n">
        <v>5490</v>
      </c>
      <c r="G33" t="n">
        <v>5490</v>
      </c>
      <c r="H33" t="b">
        <v>1</v>
      </c>
      <c r="I33" t="n">
        <v>200</v>
      </c>
      <c r="J33" t="n">
        <v>27.45</v>
      </c>
      <c r="K33" t="inlineStr">
        <is>
          <t>&gt; Cuidado Capilar &gt; Shampoo Y Acondicionador &gt;</t>
        </is>
      </c>
      <c r="L33" t="inlineStr">
        <is>
          <t>shampoo</t>
        </is>
      </c>
      <c r="M33" t="inlineStr">
        <is>
          <t>estandar</t>
        </is>
      </c>
      <c r="N33" t="inlineStr">
        <is>
          <t>general</t>
        </is>
      </c>
      <c r="O33" t="inlineStr">
        <is>
          <t>https://www.farmacity.com/shampoo-fructis-good-bye-danos-oil-control-x-200-ml/p</t>
        </is>
      </c>
    </row>
    <row r="34">
      <c r="A34" s="6" t="inlineStr">
        <is>
          <t>Farmacity</t>
        </is>
      </c>
      <c r="B34" s="6" t="n">
        <v>248552</v>
      </c>
      <c r="C34" s="6" t="n">
        <v>248552</v>
      </c>
      <c r="D34" s="6" t="inlineStr">
        <is>
          <t>Shampoo Elvive Glycolic Cristal x 750 ml</t>
        </is>
      </c>
      <c r="E34" s="6" t="inlineStr">
        <is>
          <t>Elvive</t>
        </is>
      </c>
      <c r="F34" s="6" t="n">
        <v>19990</v>
      </c>
      <c r="G34" s="6" t="n">
        <v>19990</v>
      </c>
      <c r="H34" s="6" t="b">
        <v>1</v>
      </c>
      <c r="I34" s="6" t="n">
        <v>750</v>
      </c>
      <c r="J34" s="6" t="n">
        <v>26.6533</v>
      </c>
      <c r="K34" s="6" t="inlineStr">
        <is>
          <t>&gt; Cuidado Capilar &gt; Shampoo Y Acondicionador &gt;</t>
        </is>
      </c>
      <c r="L34" s="6" t="inlineStr">
        <is>
          <t>shampoo</t>
        </is>
      </c>
      <c r="M34" s="6" t="inlineStr">
        <is>
          <t>profesional</t>
        </is>
      </c>
      <c r="N34" s="6" t="inlineStr">
        <is>
          <t>general</t>
        </is>
      </c>
      <c r="O34" s="6" t="inlineStr">
        <is>
          <t>https://www.farmacity.com/shampoo-elvive-glycolic-cristal-x-750-ml/p</t>
        </is>
      </c>
    </row>
    <row r="35">
      <c r="A35" t="inlineStr">
        <is>
          <t>Farmacity</t>
        </is>
      </c>
      <c r="B35" t="n">
        <v>248550</v>
      </c>
      <c r="C35" t="n">
        <v>248550</v>
      </c>
      <c r="D35" t="inlineStr">
        <is>
          <t>Shampoo Elvive Glycolic Cristal x 200 ml</t>
        </is>
      </c>
      <c r="E35" t="inlineStr">
        <is>
          <t>Elvive</t>
        </is>
      </c>
      <c r="F35" t="n">
        <v>4494</v>
      </c>
      <c r="G35" t="n">
        <v>7490</v>
      </c>
      <c r="H35" t="b">
        <v>1</v>
      </c>
      <c r="I35" t="n">
        <v>200</v>
      </c>
      <c r="J35" t="n">
        <v>22.47</v>
      </c>
      <c r="K35" t="inlineStr">
        <is>
          <t>&gt; Cuidado Capilar &gt; Shampoo Y Acondicionador &gt;</t>
        </is>
      </c>
      <c r="L35" t="inlineStr">
        <is>
          <t>shampoo</t>
        </is>
      </c>
      <c r="M35" t="inlineStr">
        <is>
          <t>profesional</t>
        </is>
      </c>
      <c r="N35" t="inlineStr">
        <is>
          <t>general</t>
        </is>
      </c>
      <c r="O35" t="inlineStr">
        <is>
          <t>https://www.farmacity.com/shampoo-elvive-glycolic-cristal-x-200-ml/p</t>
        </is>
      </c>
    </row>
    <row r="36">
      <c r="A36" s="6" t="inlineStr">
        <is>
          <t>Farmacity</t>
        </is>
      </c>
      <c r="B36" s="6" t="n">
        <v>246051</v>
      </c>
      <c r="C36" s="6" t="n">
        <v>246051</v>
      </c>
      <c r="D36" s="6" t="inlineStr">
        <is>
          <t>Shampoo Vichy Dercos Energy Anticaída Repuesto x 400 ml</t>
        </is>
      </c>
      <c r="E36" s="6" t="inlineStr">
        <is>
          <t>Vichy</t>
        </is>
      </c>
      <c r="F36" s="6" t="n">
        <v>76668</v>
      </c>
      <c r="G36" s="6" t="n">
        <v>76668</v>
      </c>
      <c r="H36" s="6" t="b">
        <v>1</v>
      </c>
      <c r="I36" s="6" t="n">
        <v>400</v>
      </c>
      <c r="J36" s="6" t="n">
        <v>191.67</v>
      </c>
      <c r="K36" s="6" t="inlineStr">
        <is>
          <t>&gt; Dermocosmética &gt; Pelo &gt; Shampoos y Acondicionadores &gt;</t>
        </is>
      </c>
      <c r="L36" s="6" t="inlineStr">
        <is>
          <t>shampoo</t>
        </is>
      </c>
      <c r="M36" s="6" t="inlineStr">
        <is>
          <t>estandar</t>
        </is>
      </c>
      <c r="N36" s="6" t="inlineStr">
        <is>
          <t>general</t>
        </is>
      </c>
      <c r="O36" s="6" t="inlineStr">
        <is>
          <t>https://www.farmacity.com/shampoo-vichy-dercos-energy-anticaida-repuesto-x-400-ml/p</t>
        </is>
      </c>
    </row>
    <row r="37">
      <c r="A37" t="inlineStr">
        <is>
          <t>Farmacity</t>
        </is>
      </c>
      <c r="B37" t="n">
        <v>246050</v>
      </c>
      <c r="C37" t="n">
        <v>246050</v>
      </c>
      <c r="D37" t="inlineStr">
        <is>
          <t>Shampoo Vichy Dercos Anticaspa Cabello Graso Repuesto x 390 ml Shampoo Vichy Dercos Anticaspa Repuesto x 390 ml</t>
        </is>
      </c>
      <c r="E37" t="inlineStr">
        <is>
          <t>Vichy</t>
        </is>
      </c>
      <c r="F37" t="n">
        <v>76668</v>
      </c>
      <c r="G37" t="n">
        <v>76668</v>
      </c>
      <c r="H37" t="b">
        <v>1</v>
      </c>
      <c r="I37" t="n">
        <v>390</v>
      </c>
      <c r="J37" t="n">
        <v>196.5846</v>
      </c>
      <c r="K37" t="inlineStr">
        <is>
          <t>&gt; Dermocosmética &gt; Pelo &gt; Shampoos y Acondicionadores &gt;</t>
        </is>
      </c>
      <c r="L37" t="inlineStr">
        <is>
          <t>shampoo</t>
        </is>
      </c>
      <c r="M37" t="inlineStr">
        <is>
          <t>estandar</t>
        </is>
      </c>
      <c r="N37" t="inlineStr">
        <is>
          <t>anticaspa</t>
        </is>
      </c>
      <c r="O37" t="inlineStr">
        <is>
          <t>https://www.farmacity.com/shampoo-vichy-dercos-anticaspa-cabello-graso-repuesto-x-390-ml/p</t>
        </is>
      </c>
    </row>
    <row r="38">
      <c r="A38" s="6" t="inlineStr">
        <is>
          <t>Farmacity</t>
        </is>
      </c>
      <c r="B38" s="6" t="n">
        <v>244691</v>
      </c>
      <c r="C38" s="6" t="n">
        <v>244691</v>
      </c>
      <c r="D38" s="6" t="inlineStr">
        <is>
          <t>Shampoo Elvive Dream Liso x 200 ml</t>
        </is>
      </c>
      <c r="E38" s="6" t="inlineStr">
        <is>
          <t>Elvive</t>
        </is>
      </c>
      <c r="F38" s="6" t="n">
        <v>7490</v>
      </c>
      <c r="G38" s="6" t="n">
        <v>7490</v>
      </c>
      <c r="H38" s="6" t="b">
        <v>1</v>
      </c>
      <c r="I38" s="6" t="n">
        <v>200</v>
      </c>
      <c r="J38" s="6" t="n">
        <v>37.45</v>
      </c>
      <c r="K38" s="6" t="inlineStr">
        <is>
          <t>&gt; Cuidado Capilar &gt; Shampoo Y Acondicionador &gt;</t>
        </is>
      </c>
      <c r="L38" s="6" t="inlineStr">
        <is>
          <t>shampoo</t>
        </is>
      </c>
      <c r="M38" s="6" t="inlineStr">
        <is>
          <t>profesional</t>
        </is>
      </c>
      <c r="N38" s="6" t="inlineStr">
        <is>
          <t>general</t>
        </is>
      </c>
      <c r="O38" s="6" t="inlineStr">
        <is>
          <t>https://www.farmacity.com/shampoo-elvive-dream-liso-x-200-ml/p</t>
        </is>
      </c>
    </row>
    <row r="39">
      <c r="A39" t="inlineStr">
        <is>
          <t>Farmacity</t>
        </is>
      </c>
      <c r="B39" t="n">
        <v>244036</v>
      </c>
      <c r="C39" t="n">
        <v>244036</v>
      </c>
      <c r="D39" t="inlineStr">
        <is>
          <t>Shampoo Tio Nacho Control Caspa x 415 ml</t>
        </is>
      </c>
      <c r="E39" t="inlineStr">
        <is>
          <t>Tío Nacho</t>
        </is>
      </c>
      <c r="F39" t="n">
        <v>11750</v>
      </c>
      <c r="G39" t="n">
        <v>11750</v>
      </c>
      <c r="H39" t="b">
        <v>1</v>
      </c>
      <c r="I39" t="n">
        <v>415</v>
      </c>
      <c r="J39" t="n">
        <v>28.3133</v>
      </c>
      <c r="K39" t="inlineStr">
        <is>
          <t>&gt; Cuidado Capilar &gt; Shampoo Y Acondicionador &gt;</t>
        </is>
      </c>
      <c r="L39" t="inlineStr">
        <is>
          <t>shampoo</t>
        </is>
      </c>
      <c r="M39" t="inlineStr">
        <is>
          <t>estandar</t>
        </is>
      </c>
      <c r="N39" t="inlineStr">
        <is>
          <t>anticaspa</t>
        </is>
      </c>
      <c r="O39" t="inlineStr">
        <is>
          <t>https://www.farmacity.com/shampoo-tio-nacho-control-caspa-x-415-ml/p</t>
        </is>
      </c>
    </row>
    <row r="40">
      <c r="A40" s="6" t="inlineStr">
        <is>
          <t>Farmacity</t>
        </is>
      </c>
      <c r="B40" s="6" t="n">
        <v>241360</v>
      </c>
      <c r="C40" s="6" t="n">
        <v>241360</v>
      </c>
      <c r="D40" s="6" t="inlineStr">
        <is>
          <t>Shampoo Head &amp; Shoulders Anti Comezón x 180 ml</t>
        </is>
      </c>
      <c r="E40" s="6" t="inlineStr">
        <is>
          <t>Head and Shoulders</t>
        </is>
      </c>
      <c r="F40" s="6" t="n">
        <v>4701</v>
      </c>
      <c r="G40" s="6" t="n">
        <v>7233</v>
      </c>
      <c r="H40" s="6" t="b">
        <v>1</v>
      </c>
      <c r="I40" s="6" t="n">
        <v>180</v>
      </c>
      <c r="J40" s="6" t="n">
        <v>26.1167</v>
      </c>
      <c r="K40" s="6" t="inlineStr">
        <is>
          <t>&gt; Cuidado Capilar &gt; Shampoo Y Acondicionador &gt;</t>
        </is>
      </c>
      <c r="L40" s="6" t="inlineStr">
        <is>
          <t>shampoo</t>
        </is>
      </c>
      <c r="M40" s="6" t="inlineStr">
        <is>
          <t>estandar</t>
        </is>
      </c>
      <c r="N40" s="6" t="inlineStr">
        <is>
          <t>general</t>
        </is>
      </c>
      <c r="O40" s="6" t="inlineStr">
        <is>
          <t>https://www.farmacity.com/shampoo-head-shoulders-anti-comezon-x-180-ml/p</t>
        </is>
      </c>
    </row>
    <row r="41">
      <c r="A41" t="inlineStr">
        <is>
          <t>Farmacity</t>
        </is>
      </c>
      <c r="B41" t="n">
        <v>241016</v>
      </c>
      <c r="C41" t="n">
        <v>241016</v>
      </c>
      <c r="D41" t="inlineStr">
        <is>
          <t>Shampoo Cabello Claro Baby Dove Humectación pH Neutro x 200 ml</t>
        </is>
      </c>
      <c r="E41" t="inlineStr">
        <is>
          <t>Dove</t>
        </is>
      </c>
      <c r="F41" t="n">
        <v>7011</v>
      </c>
      <c r="G41" t="n">
        <v>7011</v>
      </c>
      <c r="H41" t="b">
        <v>1</v>
      </c>
      <c r="I41" t="n">
        <v>200</v>
      </c>
      <c r="J41" t="n">
        <v>35.055</v>
      </c>
      <c r="K41" t="inlineStr">
        <is>
          <t>&gt; Bebés &gt; Higiene del Bebé &gt; Baño Del Bebé &gt;</t>
        </is>
      </c>
      <c r="L41" t="inlineStr">
        <is>
          <t>shampoo</t>
        </is>
      </c>
      <c r="M41" t="inlineStr">
        <is>
          <t>estandar</t>
        </is>
      </c>
      <c r="N41" t="inlineStr">
        <is>
          <t>general</t>
        </is>
      </c>
      <c r="O41" t="inlineStr">
        <is>
          <t>https://www.farmacity.com/shampoo-dove-baby-cabello-claro-x-200-ml/p</t>
        </is>
      </c>
    </row>
    <row r="42">
      <c r="A42" s="6" t="inlineStr">
        <is>
          <t>Farmacity</t>
        </is>
      </c>
      <c r="B42" s="6" t="n">
        <v>239942</v>
      </c>
      <c r="C42" s="6" t="n">
        <v>239942</v>
      </c>
      <c r="D42" s="6" t="inlineStr">
        <is>
          <t>Shampoo Pantene Keratina x 200 ml</t>
        </is>
      </c>
      <c r="E42" s="6" t="inlineStr">
        <is>
          <t>Pantene</t>
        </is>
      </c>
      <c r="F42" s="6" t="n">
        <v>3807</v>
      </c>
      <c r="G42" s="6" t="n">
        <v>6345</v>
      </c>
      <c r="H42" s="6" t="b">
        <v>1</v>
      </c>
      <c r="I42" s="6" t="n">
        <v>200</v>
      </c>
      <c r="J42" s="6" t="n">
        <v>19.035</v>
      </c>
      <c r="K42" s="6" t="inlineStr">
        <is>
          <t>&gt; Cuidado Capilar &gt; Shampoo Y Acondicionador &gt;</t>
        </is>
      </c>
      <c r="L42" s="6" t="inlineStr">
        <is>
          <t>shampoo</t>
        </is>
      </c>
      <c r="M42" s="6" t="inlineStr">
        <is>
          <t>estandar</t>
        </is>
      </c>
      <c r="N42" s="6" t="inlineStr">
        <is>
          <t>tratado</t>
        </is>
      </c>
      <c r="O42" s="6" t="inlineStr">
        <is>
          <t>https://www.farmacity.com/shampoo-pantene-keratina-x-200-ml/p</t>
        </is>
      </c>
    </row>
    <row r="43">
      <c r="A43" t="inlineStr">
        <is>
          <t>Farmacity</t>
        </is>
      </c>
      <c r="B43" t="n">
        <v>228549</v>
      </c>
      <c r="C43" t="n">
        <v>228549</v>
      </c>
      <c r="D43" t="inlineStr">
        <is>
          <t>Shampoo Biferdil P+T para la Caspa y Caída x 300 ml</t>
        </is>
      </c>
      <c r="E43" t="inlineStr">
        <is>
          <t>Biferdil</t>
        </is>
      </c>
      <c r="F43" t="n">
        <v>12805</v>
      </c>
      <c r="G43" t="n">
        <v>19700</v>
      </c>
      <c r="H43" t="b">
        <v>1</v>
      </c>
      <c r="I43" t="n">
        <v>300</v>
      </c>
      <c r="J43" t="n">
        <v>42.6833</v>
      </c>
      <c r="K43" t="inlineStr">
        <is>
          <t>&gt; Cuidado Capilar &gt; Shampoo Y Acondicionador &gt;</t>
        </is>
      </c>
      <c r="L43" t="inlineStr">
        <is>
          <t>shampoo</t>
        </is>
      </c>
      <c r="M43" t="inlineStr">
        <is>
          <t>estandar</t>
        </is>
      </c>
      <c r="N43" t="inlineStr">
        <is>
          <t>anticaspa</t>
        </is>
      </c>
      <c r="O43" t="inlineStr">
        <is>
          <t>https://www.farmacity.com/shampoo-biferdil-pt-para-la-caspa-y-caida-x-300-ml/p</t>
        </is>
      </c>
    </row>
    <row r="44">
      <c r="A44" s="6" t="inlineStr">
        <is>
          <t>Farmacity</t>
        </is>
      </c>
      <c r="B44" s="6" t="n">
        <v>221680</v>
      </c>
      <c r="C44" s="6" t="n">
        <v>221680</v>
      </c>
      <c r="D44" s="6" t="inlineStr">
        <is>
          <t>Shampoo Elvive Hidra Hialuronico x 750 ml</t>
        </is>
      </c>
      <c r="E44" s="6" t="inlineStr">
        <is>
          <t>Elvive</t>
        </is>
      </c>
      <c r="F44" s="6" t="n">
        <v>17990</v>
      </c>
      <c r="G44" s="6" t="n">
        <v>17990</v>
      </c>
      <c r="H44" s="6" t="b">
        <v>1</v>
      </c>
      <c r="I44" s="6" t="n">
        <v>750</v>
      </c>
      <c r="J44" s="6" t="n">
        <v>23.9867</v>
      </c>
      <c r="K44" s="6" t="inlineStr">
        <is>
          <t>&gt; Cuidado Capilar &gt; Shampoo Y Acondicionador &gt;</t>
        </is>
      </c>
      <c r="L44" s="6" t="inlineStr">
        <is>
          <t>shampoo</t>
        </is>
      </c>
      <c r="M44" s="6" t="inlineStr">
        <is>
          <t>profesional</t>
        </is>
      </c>
      <c r="N44" s="6" t="inlineStr">
        <is>
          <t>general</t>
        </is>
      </c>
      <c r="O44" s="6" t="inlineStr">
        <is>
          <t>https://www.farmacity.com/shampoo-elvive-hidra-hialuronico-x-750-ml/p</t>
        </is>
      </c>
    </row>
    <row r="45">
      <c r="A45" t="inlineStr">
        <is>
          <t>Farmacity</t>
        </is>
      </c>
      <c r="B45" t="n">
        <v>7713</v>
      </c>
      <c r="C45" t="n">
        <v>151684</v>
      </c>
      <c r="D45" t="inlineStr">
        <is>
          <t>Shampoo Vichy Dercos Anti-Caspa para Cabello Seco x 200 ml</t>
        </is>
      </c>
      <c r="E45" t="inlineStr">
        <is>
          <t>Vichy</t>
        </is>
      </c>
      <c r="F45" t="n">
        <v>53488</v>
      </c>
      <c r="G45" t="n">
        <v>53488</v>
      </c>
      <c r="H45" t="b">
        <v>1</v>
      </c>
      <c r="I45" t="n">
        <v>200</v>
      </c>
      <c r="J45" t="n">
        <v>267.44</v>
      </c>
      <c r="K45" t="inlineStr">
        <is>
          <t>&gt; Dermocosmética &gt; Pelo &gt; Shampoos y Acondicionadores &gt;</t>
        </is>
      </c>
      <c r="L45" t="inlineStr">
        <is>
          <t>shampoo</t>
        </is>
      </c>
      <c r="M45" t="inlineStr">
        <is>
          <t>estandar</t>
        </is>
      </c>
      <c r="N45" t="inlineStr">
        <is>
          <t>anticaspa</t>
        </is>
      </c>
      <c r="O45" t="inlineStr">
        <is>
          <t>https://www.farmacity.com/shampoo-anticaspa-para-cabello-seco-dercos-x-200-ml/p</t>
        </is>
      </c>
    </row>
    <row r="46">
      <c r="A46" s="6" t="inlineStr">
        <is>
          <t>Farmacity</t>
        </is>
      </c>
      <c r="B46" s="6" t="n">
        <v>4060</v>
      </c>
      <c r="C46" s="6" t="n">
        <v>138760</v>
      </c>
      <c r="D46" s="6" t="inlineStr">
        <is>
          <t>Shampoo 2 en 1 Anticaspa Clear Limpieza Diaria x 400 ml</t>
        </is>
      </c>
      <c r="E46" s="6" t="inlineStr">
        <is>
          <t>Clear</t>
        </is>
      </c>
      <c r="F46" s="6" t="n">
        <v>10412</v>
      </c>
      <c r="G46" s="6" t="n">
        <v>10412</v>
      </c>
      <c r="H46" s="6" t="b">
        <v>1</v>
      </c>
      <c r="I46" s="6" t="n">
        <v>400</v>
      </c>
      <c r="J46" s="6" t="n">
        <v>26.03</v>
      </c>
      <c r="K46" s="6" t="inlineStr">
        <is>
          <t>&gt; Cuidado Capilar &gt; Shampoo Y Acondicionador &gt;</t>
        </is>
      </c>
      <c r="L46" s="6" t="inlineStr">
        <is>
          <t>shampoo</t>
        </is>
      </c>
      <c r="M46" s="6" t="inlineStr">
        <is>
          <t>estandar</t>
        </is>
      </c>
      <c r="N46" s="6" t="inlineStr">
        <is>
          <t>anticaspa</t>
        </is>
      </c>
      <c r="O46" s="6" t="inlineStr">
        <is>
          <t>https://www.farmacity.com/shampoo-clear-anticaspa-dual-effect-x-400-ml/p</t>
        </is>
      </c>
    </row>
    <row r="47">
      <c r="A47" t="inlineStr">
        <is>
          <t>Farmacity</t>
        </is>
      </c>
      <c r="B47" t="n">
        <v>1282</v>
      </c>
      <c r="C47" t="n">
        <v>17972</v>
      </c>
      <c r="D47" t="inlineStr">
        <is>
          <t>Shampoo Biferdil pH Neutro con Algas Marinas x 400 ml</t>
        </is>
      </c>
      <c r="E47" t="inlineStr">
        <is>
          <t>Biferdil</t>
        </is>
      </c>
      <c r="F47" t="n">
        <v>12204</v>
      </c>
      <c r="G47" t="n">
        <v>12204</v>
      </c>
      <c r="H47" t="b">
        <v>1</v>
      </c>
      <c r="I47" t="n">
        <v>400</v>
      </c>
      <c r="J47" t="n">
        <v>30.51</v>
      </c>
      <c r="K47" t="inlineStr">
        <is>
          <t>&gt; Cuidado Capilar &gt; Shampoo Y Acondicionador &gt;</t>
        </is>
      </c>
      <c r="L47" t="inlineStr">
        <is>
          <t>shampoo</t>
        </is>
      </c>
      <c r="M47" t="inlineStr">
        <is>
          <t>estandar</t>
        </is>
      </c>
      <c r="N47" t="inlineStr">
        <is>
          <t>general</t>
        </is>
      </c>
      <c r="O47" t="inlineStr">
        <is>
          <t>https://www.farmacity.com/shampoo-ph-neutro-con-algas-marinas-x-400-ml/p</t>
        </is>
      </c>
    </row>
    <row r="48">
      <c r="A48" s="6" t="inlineStr">
        <is>
          <t>Farmacity</t>
        </is>
      </c>
      <c r="B48" s="6" t="n">
        <v>1216</v>
      </c>
      <c r="C48" s="6" t="n">
        <v>136328</v>
      </c>
      <c r="D48" s="6" t="inlineStr">
        <is>
          <t>Shampoo Vichy Dercos Anticaspa Sensible x 200 ml</t>
        </is>
      </c>
      <c r="E48" s="6" t="inlineStr">
        <is>
          <t>Vichy</t>
        </is>
      </c>
      <c r="F48" s="6" t="n">
        <v>53488</v>
      </c>
      <c r="G48" s="6" t="n">
        <v>53488</v>
      </c>
      <c r="H48" s="6" t="b">
        <v>1</v>
      </c>
      <c r="I48" s="6" t="n">
        <v>200</v>
      </c>
      <c r="J48" s="6" t="n">
        <v>267.44</v>
      </c>
      <c r="K48" s="6" t="inlineStr">
        <is>
          <t>&gt; Dermocosmética &gt; Pelo &gt; Shampoos y Acondicionadores &gt;</t>
        </is>
      </c>
      <c r="L48" s="6" t="inlineStr">
        <is>
          <t>shampoo</t>
        </is>
      </c>
      <c r="M48" s="6" t="inlineStr">
        <is>
          <t>estandar</t>
        </is>
      </c>
      <c r="N48" s="6" t="inlineStr">
        <is>
          <t>anticaspa</t>
        </is>
      </c>
      <c r="O48" s="6" t="inlineStr">
        <is>
          <t>https://www.farmacity.com/shampoo-anticaspa-para-el-cuero-cabelludo-sensible-dercos-x-200-ml/p</t>
        </is>
      </c>
    </row>
    <row r="49">
      <c r="A49" t="inlineStr">
        <is>
          <t>Farmacity</t>
        </is>
      </c>
      <c r="B49" t="n">
        <v>1109</v>
      </c>
      <c r="C49" t="n">
        <v>23598</v>
      </c>
      <c r="D49" t="inlineStr">
        <is>
          <t>Shampoo Capilatis Control Caída con Ortiga x 410 ml</t>
        </is>
      </c>
      <c r="E49" t="inlineStr">
        <is>
          <t>Capilatis</t>
        </is>
      </c>
      <c r="F49" t="n">
        <v>11300</v>
      </c>
      <c r="G49" t="n">
        <v>11300</v>
      </c>
      <c r="H49" t="b">
        <v>1</v>
      </c>
      <c r="I49" t="n">
        <v>410</v>
      </c>
      <c r="J49" t="n">
        <v>27.561</v>
      </c>
      <c r="K49" t="inlineStr">
        <is>
          <t>&gt; Cuidado Capilar &gt; Shampoo Y Acondicionador &gt;</t>
        </is>
      </c>
      <c r="L49" t="inlineStr">
        <is>
          <t>shampoo</t>
        </is>
      </c>
      <c r="M49" t="inlineStr">
        <is>
          <t>estandar</t>
        </is>
      </c>
      <c r="N49" t="inlineStr">
        <is>
          <t>general</t>
        </is>
      </c>
      <c r="O49" t="inlineStr">
        <is>
          <t>https://www.farmacity.com/shampoo-control-caida-con-concentrado-puro-de-ortiga-x-410-ml/p</t>
        </is>
      </c>
    </row>
    <row r="50">
      <c r="A50" s="6" t="inlineStr">
        <is>
          <t>Farmacity</t>
        </is>
      </c>
      <c r="B50" s="6" t="n">
        <v>860</v>
      </c>
      <c r="C50" s="6" t="n">
        <v>23711</v>
      </c>
      <c r="D50" s="6" t="inlineStr">
        <is>
          <t>Shampoo Capilatis Equilibrante Purificante x 410 ml</t>
        </is>
      </c>
      <c r="E50" s="6" t="inlineStr">
        <is>
          <t>Capilatis</t>
        </is>
      </c>
      <c r="F50" s="6" t="n">
        <v>9700</v>
      </c>
      <c r="G50" s="6" t="n">
        <v>9700</v>
      </c>
      <c r="H50" s="6" t="b">
        <v>1</v>
      </c>
      <c r="I50" s="6" t="n">
        <v>410</v>
      </c>
      <c r="J50" s="6" t="n">
        <v>23.6585</v>
      </c>
      <c r="K50" s="6" t="inlineStr">
        <is>
          <t>&gt; Cuidado Capilar &gt; Shampoo Y Acondicionador &gt;</t>
        </is>
      </c>
      <c r="L50" s="6" t="inlineStr">
        <is>
          <t>shampoo</t>
        </is>
      </c>
      <c r="M50" s="6" t="inlineStr">
        <is>
          <t>estandar</t>
        </is>
      </c>
      <c r="N50" s="6" t="inlineStr">
        <is>
          <t>general</t>
        </is>
      </c>
      <c r="O50" s="6" t="inlineStr">
        <is>
          <t>https://www.farmacity.com/shampoo-equilibrante-purificante-x-410-ml/p</t>
        </is>
      </c>
    </row>
    <row r="51">
      <c r="A51" t="inlineStr">
        <is>
          <t>Farmacity</t>
        </is>
      </c>
      <c r="B51" t="n">
        <v>248784</v>
      </c>
      <c r="C51" t="n">
        <v>248784</v>
      </c>
      <c r="D51" t="inlineStr">
        <is>
          <t>Shampoo Vichy Dercos Collagen 17 Anti-Quiebre x 200 ml</t>
        </is>
      </c>
      <c r="E51" t="inlineStr">
        <is>
          <t>Vichy</t>
        </is>
      </c>
      <c r="F51" t="n">
        <v>59423</v>
      </c>
      <c r="G51" t="n">
        <v>59423</v>
      </c>
      <c r="H51" t="b">
        <v>1</v>
      </c>
      <c r="I51" t="n">
        <v>200</v>
      </c>
      <c r="J51" t="n">
        <v>297.115</v>
      </c>
      <c r="K51" t="inlineStr">
        <is>
          <t>&gt; Dermocosmética &gt; Pelo &gt; Shampoos y Acondicionadores &gt;</t>
        </is>
      </c>
      <c r="L51" t="inlineStr">
        <is>
          <t>shampoo</t>
        </is>
      </c>
      <c r="M51" t="inlineStr">
        <is>
          <t>estandar</t>
        </is>
      </c>
      <c r="N51" t="inlineStr">
        <is>
          <t>general</t>
        </is>
      </c>
      <c r="O51" t="inlineStr">
        <is>
          <t>https://www.farmacity.com/shampoo-dercos-ultra-reparacion-x-200-ml/p</t>
        </is>
      </c>
    </row>
    <row r="52">
      <c r="A52" s="6" t="inlineStr">
        <is>
          <t>Farmacity</t>
        </is>
      </c>
      <c r="B52" s="6" t="n">
        <v>243914</v>
      </c>
      <c r="C52" s="6" t="n">
        <v>243914</v>
      </c>
      <c r="D52" s="6" t="inlineStr">
        <is>
          <t>Shampoo Fructis Probióticos Fuerza x 350 ml</t>
        </is>
      </c>
      <c r="E52" s="6" t="inlineStr">
        <is>
          <t>Fructis</t>
        </is>
      </c>
      <c r="F52" s="6" t="n">
        <v>7990</v>
      </c>
      <c r="G52" s="6" t="n">
        <v>7990</v>
      </c>
      <c r="H52" s="6" t="b">
        <v>1</v>
      </c>
      <c r="I52" s="6" t="n">
        <v>350</v>
      </c>
      <c r="J52" s="6" t="n">
        <v>22.8286</v>
      </c>
      <c r="K52" s="6" t="inlineStr">
        <is>
          <t>&gt; Cuidado Capilar &gt; Shampoo Y Acondicionador &gt;</t>
        </is>
      </c>
      <c r="L52" s="6" t="inlineStr">
        <is>
          <t>shampoo</t>
        </is>
      </c>
      <c r="M52" s="6" t="inlineStr">
        <is>
          <t>profesional</t>
        </is>
      </c>
      <c r="N52" s="6" t="inlineStr">
        <is>
          <t>general</t>
        </is>
      </c>
      <c r="O52" s="6" t="inlineStr">
        <is>
          <t>https://www.farmacity.com/shampoo-fructis-probioticos-fuerza-x-350-ml/p</t>
        </is>
      </c>
    </row>
    <row r="53">
      <c r="A53" t="inlineStr">
        <is>
          <t>Farmacity</t>
        </is>
      </c>
      <c r="B53" t="n">
        <v>241007</v>
      </c>
      <c r="C53" t="n">
        <v>241007</v>
      </c>
      <c r="D53" t="inlineStr">
        <is>
          <t>Shampoo Dove Bond Repair + Péptido x 200 ml</t>
        </is>
      </c>
      <c r="E53" t="inlineStr">
        <is>
          <t>Dove</t>
        </is>
      </c>
      <c r="F53" t="n">
        <v>6418</v>
      </c>
      <c r="G53" t="n">
        <v>6418</v>
      </c>
      <c r="H53" t="b">
        <v>1</v>
      </c>
      <c r="I53" t="n">
        <v>200</v>
      </c>
      <c r="J53" t="n">
        <v>32.09</v>
      </c>
      <c r="K53" t="inlineStr">
        <is>
          <t>&gt; Cuidado Capilar &gt; Shampoo Y Acondicionador &gt;</t>
        </is>
      </c>
      <c r="L53" t="inlineStr">
        <is>
          <t>shampoo</t>
        </is>
      </c>
      <c r="M53" t="inlineStr">
        <is>
          <t>profesional</t>
        </is>
      </c>
      <c r="N53" t="inlineStr">
        <is>
          <t>general</t>
        </is>
      </c>
      <c r="O53" t="inlineStr">
        <is>
          <t>https://www.farmacity.com/shampoo-dove-bond-intense-repair-x-200-ml/p</t>
        </is>
      </c>
    </row>
    <row r="54">
      <c r="A54" s="6" t="inlineStr">
        <is>
          <t>Farmacity</t>
        </is>
      </c>
      <c r="B54" s="6" t="n">
        <v>238881</v>
      </c>
      <c r="C54" s="6" t="n">
        <v>238881</v>
      </c>
      <c r="D54" s="6" t="inlineStr">
        <is>
          <t>Shampoo Pantene Pro-V Miracles Liso Infinito x 750 ml</t>
        </is>
      </c>
      <c r="E54" s="6" t="inlineStr">
        <is>
          <t>Pantene</t>
        </is>
      </c>
      <c r="F54" s="6" t="n">
        <v>16733</v>
      </c>
      <c r="G54" s="6" t="n">
        <v>16733</v>
      </c>
      <c r="H54" s="6" t="b">
        <v>1</v>
      </c>
      <c r="I54" s="6" t="n">
        <v>750</v>
      </c>
      <c r="J54" s="6" t="n">
        <v>22.3107</v>
      </c>
      <c r="K54" s="6" t="inlineStr">
        <is>
          <t>&gt; Cuidado Capilar &gt; Shampoo Y Acondicionador &gt;</t>
        </is>
      </c>
      <c r="L54" s="6" t="inlineStr">
        <is>
          <t>shampoo</t>
        </is>
      </c>
      <c r="M54" s="6" t="inlineStr">
        <is>
          <t>profesional</t>
        </is>
      </c>
      <c r="N54" s="6" t="inlineStr">
        <is>
          <t>general</t>
        </is>
      </c>
      <c r="O54" s="6" t="inlineStr">
        <is>
          <t>https://www.farmacity.com/shampoo-pantene-pro-v-miracles-liso-infinito-x-750-ml/p</t>
        </is>
      </c>
    </row>
    <row r="55">
      <c r="A55" t="inlineStr">
        <is>
          <t>Farmacity</t>
        </is>
      </c>
      <c r="B55" t="n">
        <v>235937</v>
      </c>
      <c r="C55" t="n">
        <v>235937</v>
      </c>
      <c r="D55" t="inlineStr">
        <is>
          <t>Shampoo Garnier Fructis Hydra Liss x 200 ml</t>
        </is>
      </c>
      <c r="E55" t="inlineStr">
        <is>
          <t>Fructis</t>
        </is>
      </c>
      <c r="F55" t="n">
        <v>5490</v>
      </c>
      <c r="G55" t="n">
        <v>5490</v>
      </c>
      <c r="H55" t="b">
        <v>1</v>
      </c>
      <c r="I55" t="n">
        <v>200</v>
      </c>
      <c r="J55" t="n">
        <v>27.45</v>
      </c>
      <c r="K55" t="inlineStr">
        <is>
          <t>&gt; Cuidado Capilar &gt; Shampoo Y Acondicionador &gt;</t>
        </is>
      </c>
      <c r="L55" t="inlineStr">
        <is>
          <t>shampoo</t>
        </is>
      </c>
      <c r="M55" t="inlineStr">
        <is>
          <t>estandar</t>
        </is>
      </c>
      <c r="N55" t="inlineStr">
        <is>
          <t>general</t>
        </is>
      </c>
      <c r="O55" t="inlineStr">
        <is>
          <t>https://www.farmacity.com/shampoo-fructis-hydra-liss-x-200-ml/p</t>
        </is>
      </c>
    </row>
    <row r="56">
      <c r="A56" s="6" t="inlineStr">
        <is>
          <t>Farmacity</t>
        </is>
      </c>
      <c r="B56" s="6" t="n">
        <v>235662</v>
      </c>
      <c r="C56" s="6" t="n">
        <v>235662</v>
      </c>
      <c r="D56" s="6" t="inlineStr">
        <is>
          <t>Shampoo Pantene Pro-V Miracles Equilibrio Raíz &amp; Puntas 200 ml</t>
        </is>
      </c>
      <c r="E56" s="6" t="inlineStr">
        <is>
          <t>Pantene</t>
        </is>
      </c>
      <c r="F56" s="6" t="n">
        <v>3807</v>
      </c>
      <c r="G56" s="6" t="n">
        <v>6345</v>
      </c>
      <c r="H56" s="6" t="b">
        <v>1</v>
      </c>
      <c r="I56" s="6" t="n">
        <v>200</v>
      </c>
      <c r="J56" s="6" t="n">
        <v>19.035</v>
      </c>
      <c r="K56" s="6" t="inlineStr">
        <is>
          <t>&gt; Cuidado Capilar &gt; Shampoo Y Acondicionador &gt;</t>
        </is>
      </c>
      <c r="L56" s="6" t="inlineStr">
        <is>
          <t>shampoo</t>
        </is>
      </c>
      <c r="M56" s="6" t="inlineStr">
        <is>
          <t>profesional</t>
        </is>
      </c>
      <c r="N56" s="6" t="inlineStr">
        <is>
          <t>general</t>
        </is>
      </c>
      <c r="O56" s="6" t="inlineStr">
        <is>
          <t>https://www.farmacity.com/shampoo-pantene-pro-v-miracles-equilibrio-x-200-ml/p</t>
        </is>
      </c>
    </row>
    <row r="57">
      <c r="A57" t="inlineStr">
        <is>
          <t>Farmacity</t>
        </is>
      </c>
      <c r="B57" t="n">
        <v>234281</v>
      </c>
      <c r="C57" t="n">
        <v>234281</v>
      </c>
      <c r="D57" t="inlineStr">
        <is>
          <t>Shampoo Pantene Pro-V Miracles Fortalecedor 200 ml</t>
        </is>
      </c>
      <c r="E57" t="inlineStr">
        <is>
          <t>Pantene</t>
        </is>
      </c>
      <c r="F57" t="n">
        <v>3807</v>
      </c>
      <c r="G57" t="n">
        <v>6345</v>
      </c>
      <c r="H57" t="b">
        <v>1</v>
      </c>
      <c r="I57" t="n">
        <v>200</v>
      </c>
      <c r="J57" t="n">
        <v>19.035</v>
      </c>
      <c r="K57" t="inlineStr">
        <is>
          <t>&gt; Cuidado Capilar &gt; Shampoo Y Acondicionador &gt;</t>
        </is>
      </c>
      <c r="L57" t="inlineStr">
        <is>
          <t>shampoo</t>
        </is>
      </c>
      <c r="M57" t="inlineStr">
        <is>
          <t>profesional</t>
        </is>
      </c>
      <c r="N57" t="inlineStr">
        <is>
          <t>general</t>
        </is>
      </c>
      <c r="O57" t="inlineStr">
        <is>
          <t>https://www.farmacity.com/shampoo-pantene-pro-v-miracles-hidrata-y-fortalece-x-200-ml/p</t>
        </is>
      </c>
    </row>
    <row r="58">
      <c r="A58" s="6" t="inlineStr">
        <is>
          <t>Farmacity</t>
        </is>
      </c>
      <c r="B58" s="6" t="n">
        <v>228565</v>
      </c>
      <c r="C58" s="6" t="n">
        <v>228565</v>
      </c>
      <c r="D58" s="6" t="inlineStr">
        <is>
          <t>Shampoo Capilatis Anti Caspa x 260 ml</t>
        </is>
      </c>
      <c r="E58" s="6" t="inlineStr">
        <is>
          <t>Capilatis</t>
        </is>
      </c>
      <c r="F58" s="6" t="n">
        <v>15700</v>
      </c>
      <c r="G58" s="6" t="n">
        <v>15700</v>
      </c>
      <c r="H58" s="6" t="b">
        <v>1</v>
      </c>
      <c r="I58" s="6" t="n">
        <v>260</v>
      </c>
      <c r="J58" s="6" t="n">
        <v>60.3846</v>
      </c>
      <c r="K58" s="6" t="inlineStr">
        <is>
          <t>&gt; Cuidado Capilar &gt; Shampoo Y Acondicionador &gt;</t>
        </is>
      </c>
      <c r="L58" s="6" t="inlineStr">
        <is>
          <t>shampoo</t>
        </is>
      </c>
      <c r="M58" s="6" t="inlineStr">
        <is>
          <t>estandar</t>
        </is>
      </c>
      <c r="N58" s="6" t="inlineStr">
        <is>
          <t>anticaspa</t>
        </is>
      </c>
      <c r="O58" s="6" t="inlineStr">
        <is>
          <t>https://www.farmacity.com/shampoo-anti-caspa-capilatis/p</t>
        </is>
      </c>
    </row>
    <row r="59">
      <c r="A59" t="inlineStr">
        <is>
          <t>Farmacity</t>
        </is>
      </c>
      <c r="B59" t="n">
        <v>208715</v>
      </c>
      <c r="C59" t="n">
        <v>208715</v>
      </c>
      <c r="D59" t="inlineStr">
        <is>
          <t>Shampoo Capilatis con Aloe Vera Puro x 420 ml</t>
        </is>
      </c>
      <c r="E59" t="inlineStr">
        <is>
          <t>Capilatis</t>
        </is>
      </c>
      <c r="F59" t="n">
        <v>11000</v>
      </c>
      <c r="G59" t="n">
        <v>11000</v>
      </c>
      <c r="H59" t="b">
        <v>1</v>
      </c>
      <c r="I59" t="n">
        <v>420</v>
      </c>
      <c r="J59" t="n">
        <v>26.1905</v>
      </c>
      <c r="K59" t="inlineStr">
        <is>
          <t>&gt; Cuidado Capilar &gt; Shampoo Y Acondicionador &gt;</t>
        </is>
      </c>
      <c r="L59" t="inlineStr">
        <is>
          <t>shampoo</t>
        </is>
      </c>
      <c r="M59" t="inlineStr">
        <is>
          <t>estandar</t>
        </is>
      </c>
      <c r="N59" t="inlineStr">
        <is>
          <t>general</t>
        </is>
      </c>
      <c r="O59" t="inlineStr">
        <is>
          <t>https://www.farmacity.com/shampoo-capilatis-con-aloe-vera-puro-x-420-ml/p</t>
        </is>
      </c>
    </row>
    <row r="60">
      <c r="A60" s="6" t="inlineStr">
        <is>
          <t>Farmacity</t>
        </is>
      </c>
      <c r="B60" s="6" t="n">
        <v>206035</v>
      </c>
      <c r="C60" s="6" t="n">
        <v>206035</v>
      </c>
      <c r="D60" s="6" t="inlineStr">
        <is>
          <t>Shampoo Head &amp; Shoulders 3en1 para Hombres x 180 ml</t>
        </is>
      </c>
      <c r="E60" s="6" t="inlineStr">
        <is>
          <t>Head and Shoulders</t>
        </is>
      </c>
      <c r="F60" s="6" t="n">
        <v>4701</v>
      </c>
      <c r="G60" s="6" t="n">
        <v>7233</v>
      </c>
      <c r="H60" s="6" t="b">
        <v>1</v>
      </c>
      <c r="I60" s="6" t="n">
        <v>180</v>
      </c>
      <c r="J60" s="6" t="n">
        <v>26.1167</v>
      </c>
      <c r="K60" s="6" t="inlineStr">
        <is>
          <t>&gt; Cuidado Capilar &gt; Shampoo Y Acondicionador &gt;</t>
        </is>
      </c>
      <c r="L60" s="6" t="inlineStr">
        <is>
          <t>shampoo</t>
        </is>
      </c>
      <c r="M60" s="6" t="inlineStr">
        <is>
          <t>estandar</t>
        </is>
      </c>
      <c r="N60" s="6" t="inlineStr">
        <is>
          <t>general</t>
        </is>
      </c>
      <c r="O60" s="6" t="inlineStr">
        <is>
          <t>https://www.farmacity.com/shampoo-head-shoulders-3en1-para-hombres-180ml/p</t>
        </is>
      </c>
    </row>
    <row r="61">
      <c r="A61" t="inlineStr">
        <is>
          <t>Farmacity</t>
        </is>
      </c>
      <c r="B61" t="n">
        <v>163843</v>
      </c>
      <c r="C61" t="n">
        <v>163843</v>
      </c>
      <c r="D61" t="inlineStr">
        <is>
          <t>Shampoo Fructis Recarga Nutritiva x 350 ml</t>
        </is>
      </c>
      <c r="E61" t="inlineStr">
        <is>
          <t>Fructis</t>
        </is>
      </c>
      <c r="F61" t="n">
        <v>7990</v>
      </c>
      <c r="G61" t="n">
        <v>7990</v>
      </c>
      <c r="H61" t="b">
        <v>1</v>
      </c>
      <c r="I61" t="n">
        <v>350</v>
      </c>
      <c r="J61" t="n">
        <v>22.8286</v>
      </c>
      <c r="K61" t="inlineStr">
        <is>
          <t>&gt; Cuidado Capilar &gt; Shampoo Y Acondicionador &gt;</t>
        </is>
      </c>
      <c r="L61" t="inlineStr">
        <is>
          <t>shampoo</t>
        </is>
      </c>
      <c r="M61" t="inlineStr">
        <is>
          <t>estandar</t>
        </is>
      </c>
      <c r="N61" t="inlineStr">
        <is>
          <t>general</t>
        </is>
      </c>
      <c r="O61" t="inlineStr">
        <is>
          <t>https://www.farmacity.com/shampoo-fructis-recarga-nutritiva-x-350-ml/p</t>
        </is>
      </c>
    </row>
    <row r="62">
      <c r="A62" s="6" t="inlineStr">
        <is>
          <t>Farmacity</t>
        </is>
      </c>
      <c r="B62" s="6" t="n">
        <v>17964</v>
      </c>
      <c r="C62" s="6" t="n">
        <v>17964</v>
      </c>
      <c r="D62" s="6" t="inlineStr">
        <is>
          <t>Shampoo Estimulante Biferdil Control Caída x 400 ml</t>
        </is>
      </c>
      <c r="E62" s="6" t="inlineStr">
        <is>
          <t>Biferdil</t>
        </is>
      </c>
      <c r="F62" s="6" t="n">
        <v>12636</v>
      </c>
      <c r="G62" s="6" t="n">
        <v>12636</v>
      </c>
      <c r="H62" s="6" t="b">
        <v>1</v>
      </c>
      <c r="I62" s="6" t="n">
        <v>400</v>
      </c>
      <c r="J62" s="6" t="n">
        <v>31.59</v>
      </c>
      <c r="K62" s="6" t="inlineStr">
        <is>
          <t>&gt; Cuidado Capilar &gt; Shampoo Y Acondicionador &gt;</t>
        </is>
      </c>
      <c r="L62" s="6" t="inlineStr">
        <is>
          <t>shampoo</t>
        </is>
      </c>
      <c r="M62" s="6" t="inlineStr">
        <is>
          <t>estandar</t>
        </is>
      </c>
      <c r="N62" s="6" t="inlineStr">
        <is>
          <t>general</t>
        </is>
      </c>
      <c r="O62" s="6" t="inlineStr">
        <is>
          <t>https://www.farmacity.com/shampoo-estimulante-biferdil-control-caida-x-400-ml/p</t>
        </is>
      </c>
    </row>
    <row r="63">
      <c r="A63" t="inlineStr">
        <is>
          <t>Farmacity</t>
        </is>
      </c>
      <c r="B63" t="n">
        <v>8875</v>
      </c>
      <c r="C63" t="n">
        <v>156318</v>
      </c>
      <c r="D63" t="inlineStr">
        <is>
          <t>Shampoo Sedal Rizos Definidos x 340 ml</t>
        </is>
      </c>
      <c r="E63" t="inlineStr">
        <is>
          <t>Sedal</t>
        </is>
      </c>
      <c r="F63" t="n">
        <v>5836</v>
      </c>
      <c r="G63" t="n">
        <v>5836</v>
      </c>
      <c r="H63" t="b">
        <v>1</v>
      </c>
      <c r="I63" t="n">
        <v>340</v>
      </c>
      <c r="J63" t="n">
        <v>17.1647</v>
      </c>
      <c r="K63" t="inlineStr">
        <is>
          <t>&gt; Cuidado Capilar &gt; Shampoo Y Acondicionador &gt;</t>
        </is>
      </c>
      <c r="L63" t="inlineStr">
        <is>
          <t>shampoo</t>
        </is>
      </c>
      <c r="M63" t="inlineStr">
        <is>
          <t>estandar</t>
        </is>
      </c>
      <c r="N63" t="inlineStr">
        <is>
          <t>rizado</t>
        </is>
      </c>
      <c r="O63" t="inlineStr">
        <is>
          <t>https://www.farmacity.com/shampoo-sedal-rizos-definidos-x-340-ml/p</t>
        </is>
      </c>
    </row>
    <row r="64">
      <c r="A64" s="6" t="inlineStr">
        <is>
          <t>Farmacity</t>
        </is>
      </c>
      <c r="B64" s="6" t="n">
        <v>4160</v>
      </c>
      <c r="C64" s="6" t="n">
        <v>139245</v>
      </c>
      <c r="D64" s="6" t="inlineStr">
        <is>
          <t>Shampoo Elvive Óleo Extraordinario Nutrición x 200 ml</t>
        </is>
      </c>
      <c r="E64" s="6" t="inlineStr">
        <is>
          <t>Elvive</t>
        </is>
      </c>
      <c r="F64" s="6" t="n">
        <v>6990</v>
      </c>
      <c r="G64" s="6" t="n">
        <v>6990</v>
      </c>
      <c r="H64" s="6" t="b">
        <v>1</v>
      </c>
      <c r="I64" s="6" t="n">
        <v>200</v>
      </c>
      <c r="J64" s="6" t="n">
        <v>34.95</v>
      </c>
      <c r="K64" s="6" t="inlineStr">
        <is>
          <t>&gt; Cuidado Capilar &gt; Shampoo Y Acondicionador &gt;</t>
        </is>
      </c>
      <c r="L64" s="6" t="inlineStr">
        <is>
          <t>shampoo</t>
        </is>
      </c>
      <c r="M64" s="6" t="inlineStr">
        <is>
          <t>profesional</t>
        </is>
      </c>
      <c r="N64" s="6" t="inlineStr">
        <is>
          <t>general</t>
        </is>
      </c>
      <c r="O64" s="6" t="inlineStr">
        <is>
          <t>https://www.farmacity.com/acondicionador-renutricion-x-200-ml/p</t>
        </is>
      </c>
    </row>
    <row r="65">
      <c r="A65" t="inlineStr">
        <is>
          <t>Farmacity</t>
        </is>
      </c>
      <c r="B65" t="n">
        <v>4114</v>
      </c>
      <c r="C65" t="n">
        <v>138602</v>
      </c>
      <c r="D65" t="inlineStr">
        <is>
          <t>Shampoo Anticaída Eucerin DermoCapillaire x 250 ml</t>
        </is>
      </c>
      <c r="E65" t="inlineStr">
        <is>
          <t>Eucerin</t>
        </is>
      </c>
      <c r="F65" t="n">
        <v>36297</v>
      </c>
      <c r="G65" t="n">
        <v>45371</v>
      </c>
      <c r="H65" t="b">
        <v>1</v>
      </c>
      <c r="I65" t="n">
        <v>250</v>
      </c>
      <c r="J65" t="n">
        <v>145.188</v>
      </c>
      <c r="K65" t="inlineStr">
        <is>
          <t>&gt; Dermocosmética &gt; Pelo &gt; Shampoos y Acondicionadores &gt;</t>
        </is>
      </c>
      <c r="L65" t="inlineStr">
        <is>
          <t>shampoo</t>
        </is>
      </c>
      <c r="M65" t="inlineStr">
        <is>
          <t>estandar</t>
        </is>
      </c>
      <c r="N65" t="inlineStr">
        <is>
          <t>general</t>
        </is>
      </c>
      <c r="O65" t="inlineStr">
        <is>
          <t>https://www.farmacity.com/shampoo-dermo-capillare-anticaida-x-250/p</t>
        </is>
      </c>
    </row>
    <row r="66">
      <c r="A66" s="6" t="inlineStr">
        <is>
          <t>Farmacity</t>
        </is>
      </c>
      <c r="B66" s="6" t="n">
        <v>1298</v>
      </c>
      <c r="C66" s="6" t="n">
        <v>102068</v>
      </c>
      <c r="D66" s="6" t="inlineStr">
        <is>
          <t>Shampoo Biferdil Suavidad y Luminosidad x 255 ml</t>
        </is>
      </c>
      <c r="E66" s="6" t="inlineStr">
        <is>
          <t>Biferdil</t>
        </is>
      </c>
      <c r="F66" s="6" t="n">
        <v>19872</v>
      </c>
      <c r="G66" s="6" t="n">
        <v>19872</v>
      </c>
      <c r="H66" s="6" t="b">
        <v>1</v>
      </c>
      <c r="I66" s="6" t="n">
        <v>255</v>
      </c>
      <c r="J66" s="6" t="n">
        <v>77.9294</v>
      </c>
      <c r="K66" s="6" t="inlineStr">
        <is>
          <t>&gt; Cuidado Capilar &gt; Shampoo Y Acondicionador &gt;</t>
        </is>
      </c>
      <c r="L66" s="6" t="inlineStr">
        <is>
          <t>shampoo</t>
        </is>
      </c>
      <c r="M66" s="6" t="inlineStr">
        <is>
          <t>estandar</t>
        </is>
      </c>
      <c r="N66" s="6" t="inlineStr">
        <is>
          <t>general</t>
        </is>
      </c>
      <c r="O66" s="6" t="inlineStr">
        <is>
          <t>https://www.farmacity.com/shampoo-suavidad-y-luminosidad-x-255-ml/p</t>
        </is>
      </c>
    </row>
    <row r="67">
      <c r="A67" t="inlineStr">
        <is>
          <t>Farmacity</t>
        </is>
      </c>
      <c r="B67" t="n">
        <v>1276</v>
      </c>
      <c r="C67" t="n">
        <v>102383</v>
      </c>
      <c r="D67" t="inlineStr">
        <is>
          <t>Shampoo Biferdil pH Neutro con Ceramidas x 400 ml</t>
        </is>
      </c>
      <c r="E67" t="inlineStr">
        <is>
          <t>Biferdil</t>
        </is>
      </c>
      <c r="F67" t="n">
        <v>18792</v>
      </c>
      <c r="G67" t="n">
        <v>18792</v>
      </c>
      <c r="H67" t="b">
        <v>1</v>
      </c>
      <c r="I67" t="n">
        <v>400</v>
      </c>
      <c r="J67" t="n">
        <v>46.98</v>
      </c>
      <c r="K67" t="inlineStr">
        <is>
          <t>&gt; Cuidado Capilar &gt; Shampoo Y Acondicionador &gt;</t>
        </is>
      </c>
      <c r="L67" t="inlineStr">
        <is>
          <t>shampoo</t>
        </is>
      </c>
      <c r="M67" t="inlineStr">
        <is>
          <t>estandar</t>
        </is>
      </c>
      <c r="N67" t="inlineStr">
        <is>
          <t>general</t>
        </is>
      </c>
      <c r="O67" t="inlineStr">
        <is>
          <t>https://www.farmacity.com/shampoo-ph-neutro-con-ceramidas-x-400-ml/p</t>
        </is>
      </c>
    </row>
    <row r="68">
      <c r="A68" s="6" t="inlineStr">
        <is>
          <t>Farmacity</t>
        </is>
      </c>
      <c r="B68" s="6" t="n">
        <v>1254</v>
      </c>
      <c r="C68" s="6" t="n">
        <v>17965</v>
      </c>
      <c r="D68" s="6" t="inlineStr">
        <is>
          <t>Shampoo Biferdil Gel Control Caída x 400 ml</t>
        </is>
      </c>
      <c r="E68" s="6" t="inlineStr">
        <is>
          <t>Biferdil</t>
        </is>
      </c>
      <c r="F68" s="6" t="n">
        <v>15660</v>
      </c>
      <c r="G68" s="6" t="n">
        <v>15660</v>
      </c>
      <c r="H68" s="6" t="b">
        <v>1</v>
      </c>
      <c r="I68" s="6" t="n">
        <v>400</v>
      </c>
      <c r="J68" s="6" t="n">
        <v>39.15</v>
      </c>
      <c r="K68" s="6" t="inlineStr">
        <is>
          <t>&gt; Cuidado Capilar &gt; Shampoo Y Acondicionador &gt;</t>
        </is>
      </c>
      <c r="L68" s="6" t="inlineStr">
        <is>
          <t>shampoo</t>
        </is>
      </c>
      <c r="M68" s="6" t="inlineStr">
        <is>
          <t>estandar</t>
        </is>
      </c>
      <c r="N68" s="6" t="inlineStr">
        <is>
          <t>general</t>
        </is>
      </c>
      <c r="O68" s="6" t="inlineStr">
        <is>
          <t>https://www.farmacity.com/shampoo-gel-control-caida-x-400-ml/p</t>
        </is>
      </c>
    </row>
    <row r="69">
      <c r="A69" t="inlineStr">
        <is>
          <t>Farmacity</t>
        </is>
      </c>
      <c r="B69" t="n">
        <v>1232</v>
      </c>
      <c r="C69" t="n">
        <v>23612</v>
      </c>
      <c r="D69" t="inlineStr">
        <is>
          <t>Shampoo Capilatis Anticaspa x 260 ml</t>
        </is>
      </c>
      <c r="E69" t="inlineStr">
        <is>
          <t>Capilatis</t>
        </is>
      </c>
      <c r="F69" t="n">
        <v>10802</v>
      </c>
      <c r="G69" t="n">
        <v>10802</v>
      </c>
      <c r="H69" t="b">
        <v>1</v>
      </c>
      <c r="I69" t="n">
        <v>260</v>
      </c>
      <c r="J69" t="n">
        <v>41.5462</v>
      </c>
      <c r="K69" t="inlineStr">
        <is>
          <t>&gt; Cuidado Capilar &gt; Shampoo Y Acondicionador &gt;</t>
        </is>
      </c>
      <c r="L69" t="inlineStr">
        <is>
          <t>shampoo</t>
        </is>
      </c>
      <c r="M69" t="inlineStr">
        <is>
          <t>estandar</t>
        </is>
      </c>
      <c r="N69" t="inlineStr">
        <is>
          <t>anticaspa</t>
        </is>
      </c>
      <c r="O69" t="inlineStr">
        <is>
          <t>https://www.farmacity.com/shampoo-anticaspa-x-260-ml/p</t>
        </is>
      </c>
    </row>
    <row r="70">
      <c r="A70" s="6" t="inlineStr">
        <is>
          <t>Farmacity</t>
        </is>
      </c>
      <c r="B70" s="6" t="n">
        <v>1196</v>
      </c>
      <c r="C70" s="6" t="n">
        <v>62499</v>
      </c>
      <c r="D70" s="6" t="inlineStr">
        <is>
          <t>Shampoo Biferdil Normalizador x 400 ml</t>
        </is>
      </c>
      <c r="E70" s="6" t="inlineStr">
        <is>
          <t>Biferdil</t>
        </is>
      </c>
      <c r="F70" s="6" t="n">
        <v>14148</v>
      </c>
      <c r="G70" s="6" t="n">
        <v>14148</v>
      </c>
      <c r="H70" s="6" t="b">
        <v>1</v>
      </c>
      <c r="I70" s="6" t="n">
        <v>400</v>
      </c>
      <c r="J70" s="6" t="n">
        <v>35.37</v>
      </c>
      <c r="K70" s="6" t="inlineStr">
        <is>
          <t>&gt; Cuidado Capilar &gt; Shampoo Y Acondicionador &gt;</t>
        </is>
      </c>
      <c r="L70" s="6" t="inlineStr">
        <is>
          <t>shampoo</t>
        </is>
      </c>
      <c r="M70" s="6" t="inlineStr">
        <is>
          <t>estandar</t>
        </is>
      </c>
      <c r="N70" s="6" t="inlineStr">
        <is>
          <t>general</t>
        </is>
      </c>
      <c r="O70" s="6" t="inlineStr">
        <is>
          <t>https://www.farmacity.com/shampoo-normalizador-x-400-ml/p</t>
        </is>
      </c>
    </row>
    <row r="71">
      <c r="A71" t="inlineStr">
        <is>
          <t>Farmacity</t>
        </is>
      </c>
      <c r="B71" t="n">
        <v>1180</v>
      </c>
      <c r="C71" t="n">
        <v>17900</v>
      </c>
      <c r="D71" t="inlineStr">
        <is>
          <t>Shampoo Biferdil Fortalecedor y Engrosador x 250 ml</t>
        </is>
      </c>
      <c r="E71" t="inlineStr">
        <is>
          <t>Biferdil</t>
        </is>
      </c>
      <c r="F71" t="n">
        <v>24084</v>
      </c>
      <c r="G71" t="n">
        <v>24084</v>
      </c>
      <c r="H71" t="b">
        <v>1</v>
      </c>
      <c r="I71" t="n">
        <v>250</v>
      </c>
      <c r="J71" t="n">
        <v>96.336</v>
      </c>
      <c r="K71" t="inlineStr">
        <is>
          <t>&gt; Cuidado Capilar &gt; Shampoo Y Acondicionador &gt;</t>
        </is>
      </c>
      <c r="L71" t="inlineStr">
        <is>
          <t>shampoo</t>
        </is>
      </c>
      <c r="M71" t="inlineStr">
        <is>
          <t>estandar</t>
        </is>
      </c>
      <c r="N71" t="inlineStr">
        <is>
          <t>general</t>
        </is>
      </c>
      <c r="O71" t="inlineStr">
        <is>
          <t>https://www.farmacity.com/shampoo-fortalecedor-y-engrosador-x-250-ml/p</t>
        </is>
      </c>
    </row>
    <row r="72">
      <c r="A72" s="6" t="inlineStr">
        <is>
          <t>Farmacity</t>
        </is>
      </c>
      <c r="B72" s="6" t="n">
        <v>926</v>
      </c>
      <c r="C72" s="6" t="n">
        <v>131782</v>
      </c>
      <c r="D72" s="6" t="inlineStr">
        <is>
          <t>Shampoo Acondicionador Assy Forte x 400 ml</t>
        </is>
      </c>
      <c r="E72" s="6" t="inlineStr">
        <is>
          <t>Assy</t>
        </is>
      </c>
      <c r="F72" s="6" t="n">
        <v>17354</v>
      </c>
      <c r="G72" s="6" t="n">
        <v>26699</v>
      </c>
      <c r="H72" s="6" t="b">
        <v>1</v>
      </c>
      <c r="I72" s="6" t="n">
        <v>400</v>
      </c>
      <c r="J72" s="6" t="n">
        <v>43.385</v>
      </c>
      <c r="K72" s="6" t="inlineStr">
        <is>
          <t>&gt; Farmacia &gt; Pediculosis &gt; Shampoo Y Acondicionador &gt;</t>
        </is>
      </c>
      <c r="L72" s="6" t="inlineStr">
        <is>
          <t>acondicionador</t>
        </is>
      </c>
      <c r="M72" s="6" t="inlineStr">
        <is>
          <t>estandar</t>
        </is>
      </c>
      <c r="N72" s="6" t="inlineStr">
        <is>
          <t>general</t>
        </is>
      </c>
      <c r="O72" s="6" t="inlineStr">
        <is>
          <t>https://www.farmacity.com/shampoo-acondicionador-forte-x-400-ml/p</t>
        </is>
      </c>
    </row>
    <row r="73">
      <c r="A73" t="inlineStr">
        <is>
          <t>Farmacity</t>
        </is>
      </c>
      <c r="B73" t="n">
        <v>246854</v>
      </c>
      <c r="C73" t="n">
        <v>246854</v>
      </c>
      <c r="D73" t="inlineStr">
        <is>
          <t>Shampoo Ogx Rosemary Mint x 385 ml</t>
        </is>
      </c>
      <c r="E73" t="inlineStr">
        <is>
          <t>OGX</t>
        </is>
      </c>
      <c r="F73" t="n">
        <v>27154</v>
      </c>
      <c r="G73" t="n">
        <v>27154</v>
      </c>
      <c r="H73" t="b">
        <v>1</v>
      </c>
      <c r="I73" t="n">
        <v>385</v>
      </c>
      <c r="J73" t="n">
        <v>70.5299</v>
      </c>
      <c r="K73" t="inlineStr">
        <is>
          <t>&gt; Cuidado Capilar &gt; Shampoo Y Acondicionador &gt;</t>
        </is>
      </c>
      <c r="L73" t="inlineStr">
        <is>
          <t>shampoo</t>
        </is>
      </c>
      <c r="M73" t="inlineStr">
        <is>
          <t>estandar</t>
        </is>
      </c>
      <c r="N73" t="inlineStr">
        <is>
          <t>general</t>
        </is>
      </c>
      <c r="O73" t="inlineStr">
        <is>
          <t>https://www.farmacity.com/shampoo-ogx-rosemary-mint-x-385-ml/p</t>
        </is>
      </c>
    </row>
    <row r="74">
      <c r="A74" s="6" t="inlineStr">
        <is>
          <t>Farmacity</t>
        </is>
      </c>
      <c r="B74" s="6" t="n">
        <v>243618</v>
      </c>
      <c r="C74" s="6" t="n">
        <v>243618</v>
      </c>
      <c r="D74" s="6" t="inlineStr">
        <is>
          <t>Shampoo Tintura Color Issue Express 5 Min Rojo</t>
        </is>
      </c>
      <c r="E74" s="6" t="inlineStr">
        <is>
          <t>Issue</t>
        </is>
      </c>
      <c r="F74" s="6" t="n">
        <v>4737</v>
      </c>
      <c r="G74" s="6" t="n">
        <v>4737</v>
      </c>
      <c r="H74" s="6" t="b">
        <v>1</v>
      </c>
      <c r="I74" s="6" t="inlineStr"/>
      <c r="J74" s="6" t="inlineStr"/>
      <c r="K74" s="6" t="inlineStr">
        <is>
          <t>&gt; Cuidado Capilar &gt; Coloración Y Oxidantes &gt;</t>
        </is>
      </c>
      <c r="L74" s="6" t="inlineStr">
        <is>
          <t>shampoo</t>
        </is>
      </c>
      <c r="M74" s="6" t="inlineStr">
        <is>
          <t>estandar</t>
        </is>
      </c>
      <c r="N74" s="6" t="inlineStr">
        <is>
          <t>tratado</t>
        </is>
      </c>
      <c r="O74" s="6" t="inlineStr">
        <is>
          <t>https://www.farmacity.com/shampoo-tintura-color-issue-express-5-min-rojo/p</t>
        </is>
      </c>
    </row>
    <row r="75">
      <c r="A75" t="inlineStr">
        <is>
          <t>Farmacity</t>
        </is>
      </c>
      <c r="B75" t="n">
        <v>238889</v>
      </c>
      <c r="C75" t="n">
        <v>238889</v>
      </c>
      <c r="D75" t="inlineStr">
        <is>
          <t>Shampoo Pantene Pro-V Miracles Revitalizacion x 200 ml</t>
        </is>
      </c>
      <c r="E75" t="inlineStr">
        <is>
          <t>Pantene</t>
        </is>
      </c>
      <c r="F75" t="n">
        <v>3807</v>
      </c>
      <c r="G75" t="n">
        <v>6345</v>
      </c>
      <c r="H75" t="b">
        <v>1</v>
      </c>
      <c r="I75" t="n">
        <v>200</v>
      </c>
      <c r="J75" t="n">
        <v>19.035</v>
      </c>
      <c r="K75" t="inlineStr">
        <is>
          <t>&gt; Cuidado Capilar &gt; Shampoo Y Acondicionador &gt;</t>
        </is>
      </c>
      <c r="L75" t="inlineStr">
        <is>
          <t>shampoo</t>
        </is>
      </c>
      <c r="M75" t="inlineStr">
        <is>
          <t>profesional</t>
        </is>
      </c>
      <c r="N75" t="inlineStr">
        <is>
          <t>general</t>
        </is>
      </c>
      <c r="O75" t="inlineStr">
        <is>
          <t>https://www.farmacity.com/shampoo-pantene-pro-v-miracles-revitalizacion-x-200-ml/p</t>
        </is>
      </c>
    </row>
    <row r="76">
      <c r="A76" s="6" t="inlineStr">
        <is>
          <t>Farmacity</t>
        </is>
      </c>
      <c r="B76" s="6" t="n">
        <v>232722</v>
      </c>
      <c r="C76" s="6" t="n">
        <v>232722</v>
      </c>
      <c r="D76" s="6" t="inlineStr">
        <is>
          <t>Shampoo Capilatis Natural Nutritivo x 420 ml</t>
        </is>
      </c>
      <c r="E76" s="6" t="inlineStr">
        <is>
          <t>Capilatis</t>
        </is>
      </c>
      <c r="F76" s="6" t="n">
        <v>9700</v>
      </c>
      <c r="G76" s="6" t="n">
        <v>9700</v>
      </c>
      <c r="H76" s="6" t="b">
        <v>1</v>
      </c>
      <c r="I76" s="6" t="n">
        <v>420</v>
      </c>
      <c r="J76" s="6" t="n">
        <v>23.0952</v>
      </c>
      <c r="K76" s="6" t="inlineStr">
        <is>
          <t>&gt; Cuidado Capilar &gt; Shampoo Y Acondicionador &gt;</t>
        </is>
      </c>
      <c r="L76" s="6" t="inlineStr">
        <is>
          <t>shampoo</t>
        </is>
      </c>
      <c r="M76" s="6" t="inlineStr">
        <is>
          <t>estandar</t>
        </is>
      </c>
      <c r="N76" s="6" t="inlineStr">
        <is>
          <t>general</t>
        </is>
      </c>
      <c r="O76" s="6" t="inlineStr">
        <is>
          <t>https://www.farmacity.com/shampoo-capilatis-natural-nutritivo-x-420-ml/p</t>
        </is>
      </c>
    </row>
    <row r="77">
      <c r="A77" t="inlineStr">
        <is>
          <t>Farmacity</t>
        </is>
      </c>
      <c r="B77" t="n">
        <v>206048</v>
      </c>
      <c r="C77" t="n">
        <v>206048</v>
      </c>
      <c r="D77" t="inlineStr">
        <is>
          <t>Shampoo Head &amp; Shoulders Old Spice para Hombres x 180 ml</t>
        </is>
      </c>
      <c r="E77" t="inlineStr">
        <is>
          <t>Head and Shoulders</t>
        </is>
      </c>
      <c r="F77" t="n">
        <v>4701</v>
      </c>
      <c r="G77" t="n">
        <v>7233</v>
      </c>
      <c r="H77" t="b">
        <v>1</v>
      </c>
      <c r="I77" t="n">
        <v>180</v>
      </c>
      <c r="J77" t="n">
        <v>26.1167</v>
      </c>
      <c r="K77" t="inlineStr">
        <is>
          <t>&gt; Cuidado Capilar &gt; Shampoo Y Acondicionador &gt;</t>
        </is>
      </c>
      <c r="L77" t="inlineStr">
        <is>
          <t>shampoo</t>
        </is>
      </c>
      <c r="M77" t="inlineStr">
        <is>
          <t>estandar</t>
        </is>
      </c>
      <c r="N77" t="inlineStr">
        <is>
          <t>general</t>
        </is>
      </c>
      <c r="O77" t="inlineStr">
        <is>
          <t>https://www.farmacity.com/shampoo-head-shoulders-old-spice-para-hombres-x-180-ml/p</t>
        </is>
      </c>
    </row>
    <row r="78">
      <c r="A78" s="6" t="inlineStr">
        <is>
          <t>Farmacity</t>
        </is>
      </c>
      <c r="B78" s="6" t="n">
        <v>8853</v>
      </c>
      <c r="C78" s="6" t="n">
        <v>156316</v>
      </c>
      <c r="D78" s="6" t="inlineStr">
        <is>
          <t>Shampoo Sedal Liso Perfecto x 340 ml</t>
        </is>
      </c>
      <c r="E78" s="6" t="inlineStr">
        <is>
          <t>Sedal</t>
        </is>
      </c>
      <c r="F78" s="6" t="n">
        <v>5836</v>
      </c>
      <c r="G78" s="6" t="n">
        <v>5836</v>
      </c>
      <c r="H78" s="6" t="b">
        <v>1</v>
      </c>
      <c r="I78" s="6" t="n">
        <v>340</v>
      </c>
      <c r="J78" s="6" t="n">
        <v>17.1647</v>
      </c>
      <c r="K78" s="6" t="inlineStr">
        <is>
          <t>&gt; Cuidado Capilar &gt; Shampoo Y Acondicionador &gt;</t>
        </is>
      </c>
      <c r="L78" s="6" t="inlineStr">
        <is>
          <t>shampoo</t>
        </is>
      </c>
      <c r="M78" s="6" t="inlineStr">
        <is>
          <t>estandar</t>
        </is>
      </c>
      <c r="N78" s="6" t="inlineStr">
        <is>
          <t>general</t>
        </is>
      </c>
      <c r="O78" s="6" t="inlineStr">
        <is>
          <t>https://www.farmacity.com/shampoo-liso-perfecto-x-340-ml/p</t>
        </is>
      </c>
    </row>
    <row r="79">
      <c r="A79" t="inlineStr">
        <is>
          <t>Farmacity</t>
        </is>
      </c>
      <c r="B79" t="n">
        <v>772</v>
      </c>
      <c r="C79" t="n">
        <v>128224</v>
      </c>
      <c r="D79" t="inlineStr">
        <is>
          <t>Shampoo Acondicionador Assy Forte x 220 ml</t>
        </is>
      </c>
      <c r="E79" t="inlineStr">
        <is>
          <t>Assy</t>
        </is>
      </c>
      <c r="F79" t="n">
        <v>19697</v>
      </c>
      <c r="G79" t="n">
        <v>19697</v>
      </c>
      <c r="H79" t="b">
        <v>1</v>
      </c>
      <c r="I79" t="n">
        <v>220</v>
      </c>
      <c r="J79" t="n">
        <v>89.5318</v>
      </c>
      <c r="K79" t="inlineStr">
        <is>
          <t>&gt; Farmacia &gt; Pediculosis &gt; Shampoo Y Acondicionador &gt;</t>
        </is>
      </c>
      <c r="L79" t="inlineStr">
        <is>
          <t>acondicionador</t>
        </is>
      </c>
      <c r="M79" t="inlineStr">
        <is>
          <t>estandar</t>
        </is>
      </c>
      <c r="N79" t="inlineStr">
        <is>
          <t>general</t>
        </is>
      </c>
      <c r="O79" t="inlineStr">
        <is>
          <t>https://www.farmacity.com/shampoo-acondicionador-forte-x-220-ml/p</t>
        </is>
      </c>
    </row>
    <row r="80">
      <c r="A80" s="6" t="inlineStr">
        <is>
          <t>Farmacity</t>
        </is>
      </c>
      <c r="B80" s="6" t="n">
        <v>441</v>
      </c>
      <c r="C80" s="6" t="n">
        <v>136891</v>
      </c>
      <c r="D80" s="6" t="inlineStr">
        <is>
          <t>Shampoo para Niños Johnson's Fragancia Prolongada x 200 ml</t>
        </is>
      </c>
      <c r="E80" s="6" t="inlineStr">
        <is>
          <t>Johnson's</t>
        </is>
      </c>
      <c r="F80" s="6" t="n">
        <v>4540</v>
      </c>
      <c r="G80" s="6" t="n">
        <v>6486</v>
      </c>
      <c r="H80" s="6" t="b">
        <v>1</v>
      </c>
      <c r="I80" s="6" t="n">
        <v>200</v>
      </c>
      <c r="J80" s="6" t="n">
        <v>22.7</v>
      </c>
      <c r="K80" s="6" t="inlineStr">
        <is>
          <t>&gt; Bebés &gt; Higiene del Bebé &gt; Baño Del Bebé &gt;</t>
        </is>
      </c>
      <c r="L80" s="6" t="inlineStr">
        <is>
          <t>shampoo</t>
        </is>
      </c>
      <c r="M80" s="6" t="inlineStr">
        <is>
          <t>estandar</t>
        </is>
      </c>
      <c r="N80" s="6" t="inlineStr">
        <is>
          <t>bebe</t>
        </is>
      </c>
      <c r="O80" s="6" t="inlineStr">
        <is>
          <t>https://www.farmacity.com/shampoo-para-niños-johnsons-fragancia-prolongada-x-200-ml/p</t>
        </is>
      </c>
    </row>
    <row r="81">
      <c r="A81" t="inlineStr">
        <is>
          <t>Farmacity</t>
        </is>
      </c>
      <c r="B81" t="n">
        <v>248326</v>
      </c>
      <c r="C81" t="n">
        <v>248326</v>
      </c>
      <c r="D81" t="inlineStr">
        <is>
          <t>Shampoo Ice Professional Repair My Hair x 250 ml</t>
        </is>
      </c>
      <c r="E81" t="inlineStr">
        <is>
          <t>Ice</t>
        </is>
      </c>
      <c r="F81" t="n">
        <v>17500</v>
      </c>
      <c r="G81" t="n">
        <v>25000</v>
      </c>
      <c r="H81" t="b">
        <v>1</v>
      </c>
      <c r="I81" t="n">
        <v>250</v>
      </c>
      <c r="J81" t="n">
        <v>70</v>
      </c>
      <c r="K81" t="inlineStr">
        <is>
          <t>&gt; Cuidado Capilar &gt; Shampoo Y Acondicionador &gt;</t>
        </is>
      </c>
      <c r="L81" t="inlineStr">
        <is>
          <t>shampoo</t>
        </is>
      </c>
      <c r="M81" t="inlineStr">
        <is>
          <t>profesional</t>
        </is>
      </c>
      <c r="N81" t="inlineStr">
        <is>
          <t>general</t>
        </is>
      </c>
      <c r="O81" t="inlineStr">
        <is>
          <t>https://www.farmacity.com/shampoo-ice-repair-my-hair-x-250-ml/p</t>
        </is>
      </c>
    </row>
    <row r="82">
      <c r="A82" s="6" t="inlineStr">
        <is>
          <t>Farmacity</t>
        </is>
      </c>
      <c r="B82" s="6" t="n">
        <v>238875</v>
      </c>
      <c r="C82" s="6" t="n">
        <v>238875</v>
      </c>
      <c r="D82" s="6" t="inlineStr">
        <is>
          <t>Shampoo Pantene Pro-V Miracles Volumen x 200 ml</t>
        </is>
      </c>
      <c r="E82" s="6" t="inlineStr">
        <is>
          <t>Pantene</t>
        </is>
      </c>
      <c r="F82" s="6" t="n">
        <v>3807</v>
      </c>
      <c r="G82" s="6" t="n">
        <v>6345</v>
      </c>
      <c r="H82" s="6" t="b">
        <v>1</v>
      </c>
      <c r="I82" s="6" t="n">
        <v>200</v>
      </c>
      <c r="J82" s="6" t="n">
        <v>19.035</v>
      </c>
      <c r="K82" s="6" t="inlineStr">
        <is>
          <t>&gt; Cuidado Capilar &gt; Shampoo Y Acondicionador &gt;</t>
        </is>
      </c>
      <c r="L82" s="6" t="inlineStr">
        <is>
          <t>shampoo</t>
        </is>
      </c>
      <c r="M82" s="6" t="inlineStr">
        <is>
          <t>profesional</t>
        </is>
      </c>
      <c r="N82" s="6" t="inlineStr">
        <is>
          <t>general</t>
        </is>
      </c>
      <c r="O82" s="6" t="inlineStr">
        <is>
          <t>https://www.farmacity.com/shampoo-pantene-pro-v-miracles-volumen-x-200-ml/p</t>
        </is>
      </c>
    </row>
    <row r="83">
      <c r="A83" t="inlineStr">
        <is>
          <t>Farmacity</t>
        </is>
      </c>
      <c r="B83" t="n">
        <v>228279</v>
      </c>
      <c r="C83" t="n">
        <v>228279</v>
      </c>
      <c r="D83" t="inlineStr">
        <is>
          <t>Shampoo Triatop Regeneración Ketoconazol y Keratina x 165 ml</t>
        </is>
      </c>
      <c r="E83" t="inlineStr">
        <is>
          <t>Triatop</t>
        </is>
      </c>
      <c r="F83" t="n">
        <v>14251</v>
      </c>
      <c r="G83" t="n">
        <v>14251</v>
      </c>
      <c r="H83" t="b">
        <v>1</v>
      </c>
      <c r="I83" t="n">
        <v>165</v>
      </c>
      <c r="J83" t="n">
        <v>86.36969999999999</v>
      </c>
      <c r="K83" t="inlineStr">
        <is>
          <t>&gt; Cuidado Capilar &gt; Shampoo Y Acondicionador &gt;</t>
        </is>
      </c>
      <c r="L83" t="inlineStr">
        <is>
          <t>shampoo</t>
        </is>
      </c>
      <c r="M83" t="inlineStr">
        <is>
          <t>estandar</t>
        </is>
      </c>
      <c r="N83" t="inlineStr">
        <is>
          <t>tratado</t>
        </is>
      </c>
      <c r="O83" t="inlineStr">
        <is>
          <t>https://www.farmacity.com/shampoo-triatop-regeneracion-ketoconazol-y-keratina-x-165-ml/p</t>
        </is>
      </c>
    </row>
    <row r="84">
      <c r="A84" s="6" t="inlineStr">
        <is>
          <t>Farmacity</t>
        </is>
      </c>
      <c r="B84" s="6" t="n">
        <v>225538</v>
      </c>
      <c r="C84" s="6" t="n">
        <v>225538</v>
      </c>
      <c r="D84" s="6" t="inlineStr">
        <is>
          <t>Shampoo Bagóvit Capilar Brillo Sublime x 350 ml</t>
        </is>
      </c>
      <c r="E84" s="6" t="inlineStr">
        <is>
          <t>Bagóvit</t>
        </is>
      </c>
      <c r="F84" s="6" t="n">
        <v>9973</v>
      </c>
      <c r="G84" s="6" t="n">
        <v>9973</v>
      </c>
      <c r="H84" s="6" t="b">
        <v>1</v>
      </c>
      <c r="I84" s="6" t="n">
        <v>350</v>
      </c>
      <c r="J84" s="6" t="n">
        <v>28.4943</v>
      </c>
      <c r="K84" s="6" t="inlineStr">
        <is>
          <t>&gt; Cuidado Capilar &gt; Shampoo Y Acondicionador &gt;</t>
        </is>
      </c>
      <c r="L84" s="6" t="inlineStr">
        <is>
          <t>shampoo</t>
        </is>
      </c>
      <c r="M84" s="6" t="inlineStr">
        <is>
          <t>estandar</t>
        </is>
      </c>
      <c r="N84" s="6" t="inlineStr">
        <is>
          <t>general</t>
        </is>
      </c>
      <c r="O84" s="6" t="inlineStr">
        <is>
          <t>https://www.farmacity.com/shampoo-bagovit-capilar-brillo-sublime-x-350-ml/p</t>
        </is>
      </c>
    </row>
    <row r="85">
      <c r="A85" t="inlineStr">
        <is>
          <t>Farmacity</t>
        </is>
      </c>
      <c r="B85" t="n">
        <v>225277</v>
      </c>
      <c r="C85" t="n">
        <v>225277</v>
      </c>
      <c r="D85" t="inlineStr">
        <is>
          <t>Shampoo Vichy Dercos Psolution Psoriasis x 200 ml</t>
        </is>
      </c>
      <c r="E85" t="inlineStr">
        <is>
          <t>Vichy</t>
        </is>
      </c>
      <c r="F85" t="n">
        <v>53519</v>
      </c>
      <c r="G85" t="n">
        <v>53519</v>
      </c>
      <c r="H85" t="b">
        <v>1</v>
      </c>
      <c r="I85" t="n">
        <v>200</v>
      </c>
      <c r="J85" t="n">
        <v>267.595</v>
      </c>
      <c r="K85" t="inlineStr">
        <is>
          <t>&gt; Dermocosmética &gt; Pelo &gt; Shampoos y Acondicionadores &gt;</t>
        </is>
      </c>
      <c r="L85" t="inlineStr">
        <is>
          <t>shampoo</t>
        </is>
      </c>
      <c r="M85" t="inlineStr">
        <is>
          <t>estandar</t>
        </is>
      </c>
      <c r="N85" t="inlineStr">
        <is>
          <t>general</t>
        </is>
      </c>
      <c r="O85" t="inlineStr">
        <is>
          <t>https://www.farmacity.com/shampoo-vichy-dercos-psolution-x-200-ml/p</t>
        </is>
      </c>
    </row>
    <row r="86">
      <c r="A86" s="6" t="inlineStr">
        <is>
          <t>Farmacity</t>
        </is>
      </c>
      <c r="B86" s="6" t="n">
        <v>215361</v>
      </c>
      <c r="C86" s="6" t="n">
        <v>215361</v>
      </c>
      <c r="D86" s="6" t="inlineStr">
        <is>
          <t>Shampoo Panalab Valcatil Complex Reparación x 150 ml</t>
        </is>
      </c>
      <c r="E86" s="6" t="inlineStr">
        <is>
          <t>Valcatil</t>
        </is>
      </c>
      <c r="F86" s="6" t="n">
        <v>32913</v>
      </c>
      <c r="G86" s="6" t="n">
        <v>32913</v>
      </c>
      <c r="H86" s="6" t="b">
        <v>1</v>
      </c>
      <c r="I86" s="6" t="n">
        <v>150</v>
      </c>
      <c r="J86" s="6" t="n">
        <v>219.42</v>
      </c>
      <c r="K86" s="6" t="inlineStr">
        <is>
          <t>&gt; Cuidado Capilar &gt; Shampoo Y Acondicionador &gt;</t>
        </is>
      </c>
      <c r="L86" s="6" t="inlineStr">
        <is>
          <t>shampoo</t>
        </is>
      </c>
      <c r="M86" s="6" t="inlineStr">
        <is>
          <t>estandar</t>
        </is>
      </c>
      <c r="N86" s="6" t="inlineStr">
        <is>
          <t>general</t>
        </is>
      </c>
      <c r="O86" s="6" t="inlineStr">
        <is>
          <t>https://www.farmacity.com/shampoo-panalab-valcatil-complex-reparacion-y-proteccion-pelo-danado-x-150-ml/p</t>
        </is>
      </c>
    </row>
    <row r="87">
      <c r="A87" t="inlineStr">
        <is>
          <t>Farmacity</t>
        </is>
      </c>
      <c r="B87" t="n">
        <v>205822</v>
      </c>
      <c r="C87" t="n">
        <v>205822</v>
      </c>
      <c r="D87" t="inlineStr">
        <is>
          <t>Shampoo Biferdil Anti Amarillo x 295 ml</t>
        </is>
      </c>
      <c r="E87" t="inlineStr">
        <is>
          <t>Biferdil</t>
        </is>
      </c>
      <c r="F87" t="n">
        <v>13068</v>
      </c>
      <c r="G87" t="n">
        <v>13068</v>
      </c>
      <c r="H87" t="b">
        <v>1</v>
      </c>
      <c r="I87" t="n">
        <v>295</v>
      </c>
      <c r="J87" t="n">
        <v>44.2983</v>
      </c>
      <c r="K87" t="inlineStr">
        <is>
          <t>&gt; Cuidado Capilar &gt; Shampoo Y Acondicionador &gt;</t>
        </is>
      </c>
      <c r="L87" t="inlineStr">
        <is>
          <t>shampoo</t>
        </is>
      </c>
      <c r="M87" t="inlineStr">
        <is>
          <t>estandar</t>
        </is>
      </c>
      <c r="N87" t="inlineStr">
        <is>
          <t>general</t>
        </is>
      </c>
      <c r="O87" t="inlineStr">
        <is>
          <t>https://www.farmacity.com/shampoo-biferdil-anti-amarillo-x-295-ml/p</t>
        </is>
      </c>
    </row>
    <row r="88">
      <c r="A88" s="6" t="inlineStr">
        <is>
          <t>Farmacity</t>
        </is>
      </c>
      <c r="B88" s="6" t="n">
        <v>204155</v>
      </c>
      <c r="C88" s="6" t="n">
        <v>200272</v>
      </c>
      <c r="D88" s="6" t="inlineStr">
        <is>
          <t>Shampoo Vichy Dercos Densificador Densi Solutions x 250 ml</t>
        </is>
      </c>
      <c r="E88" s="6" t="inlineStr">
        <is>
          <t>Vichy</t>
        </is>
      </c>
      <c r="F88" s="6" t="n">
        <v>59423</v>
      </c>
      <c r="G88" s="6" t="n">
        <v>59423</v>
      </c>
      <c r="H88" s="6" t="b">
        <v>1</v>
      </c>
      <c r="I88" s="6" t="n">
        <v>250</v>
      </c>
      <c r="J88" s="6" t="n">
        <v>237.692</v>
      </c>
      <c r="K88" s="6" t="inlineStr">
        <is>
          <t>&gt; Dermocosmética &gt; Pelo &gt; Shampoos y Acondicionadores &gt;</t>
        </is>
      </c>
      <c r="L88" s="6" t="inlineStr">
        <is>
          <t>shampoo</t>
        </is>
      </c>
      <c r="M88" s="6" t="inlineStr">
        <is>
          <t>estandar</t>
        </is>
      </c>
      <c r="N88" s="6" t="inlineStr">
        <is>
          <t>general</t>
        </is>
      </c>
      <c r="O88" s="6" t="inlineStr">
        <is>
          <t>https://www.farmacity.com/dercos-densi-solutions-shampoo-densificador/p</t>
        </is>
      </c>
    </row>
    <row r="89">
      <c r="A89" t="inlineStr">
        <is>
          <t>Farmacity</t>
        </is>
      </c>
      <c r="B89" t="n">
        <v>8939</v>
      </c>
      <c r="C89" t="n">
        <v>156317</v>
      </c>
      <c r="D89" t="inlineStr">
        <is>
          <t>Shampoo Sedal Restauración Instantánea x 340 ml</t>
        </is>
      </c>
      <c r="E89" t="inlineStr">
        <is>
          <t>Sedal</t>
        </is>
      </c>
      <c r="F89" t="n">
        <v>5836</v>
      </c>
      <c r="G89" t="n">
        <v>5836</v>
      </c>
      <c r="H89" t="b">
        <v>1</v>
      </c>
      <c r="I89" t="n">
        <v>340</v>
      </c>
      <c r="J89" t="n">
        <v>17.1647</v>
      </c>
      <c r="K89" t="inlineStr">
        <is>
          <t>&gt; Cuidado Capilar &gt; Shampoo Y Acondicionador &gt;</t>
        </is>
      </c>
      <c r="L89" t="inlineStr">
        <is>
          <t>shampoo</t>
        </is>
      </c>
      <c r="M89" t="inlineStr">
        <is>
          <t>estandar</t>
        </is>
      </c>
      <c r="N89" t="inlineStr">
        <is>
          <t>general</t>
        </is>
      </c>
      <c r="O89" t="inlineStr">
        <is>
          <t>https://www.farmacity.com/shampoo-sedal-restauracion-instantanea-x-340-ml/p</t>
        </is>
      </c>
    </row>
    <row r="90">
      <c r="A90" s="6" t="inlineStr">
        <is>
          <t>Farmacity</t>
        </is>
      </c>
      <c r="B90" s="6" t="n">
        <v>8880</v>
      </c>
      <c r="C90" s="6" t="n">
        <v>156314</v>
      </c>
      <c r="D90" s="6" t="inlineStr">
        <is>
          <t>Shampoo Sedal Crema Balance Toque Seda x 340 ml</t>
        </is>
      </c>
      <c r="E90" s="6" t="inlineStr">
        <is>
          <t>Sedal</t>
        </is>
      </c>
      <c r="F90" s="6" t="n">
        <v>5836</v>
      </c>
      <c r="G90" s="6" t="n">
        <v>5836</v>
      </c>
      <c r="H90" s="6" t="b">
        <v>1</v>
      </c>
      <c r="I90" s="6" t="n">
        <v>340</v>
      </c>
      <c r="J90" s="6" t="n">
        <v>17.1647</v>
      </c>
      <c r="K90" s="6" t="inlineStr">
        <is>
          <t>&gt; Cuidado Capilar &gt; Shampoo Y Acondicionador &gt;</t>
        </is>
      </c>
      <c r="L90" s="6" t="inlineStr">
        <is>
          <t>shampoo</t>
        </is>
      </c>
      <c r="M90" s="6" t="inlineStr">
        <is>
          <t>estandar</t>
        </is>
      </c>
      <c r="N90" s="6" t="inlineStr">
        <is>
          <t>general</t>
        </is>
      </c>
      <c r="O90" s="6" t="inlineStr">
        <is>
          <t>https://www.farmacity.com/shampoo-crema-balance-x-340-ml/p</t>
        </is>
      </c>
    </row>
    <row r="91">
      <c r="A91" t="inlineStr">
        <is>
          <t>Farmacity</t>
        </is>
      </c>
      <c r="B91" t="n">
        <v>5423</v>
      </c>
      <c r="C91" t="n">
        <v>144820</v>
      </c>
      <c r="D91" t="inlineStr">
        <is>
          <t>Shampoo Biferdil Vegano con Keratina Vegetal x 200 ml</t>
        </is>
      </c>
      <c r="E91" t="inlineStr">
        <is>
          <t>Biferdil</t>
        </is>
      </c>
      <c r="F91" t="n">
        <v>10260</v>
      </c>
      <c r="G91" t="n">
        <v>10260</v>
      </c>
      <c r="H91" t="b">
        <v>1</v>
      </c>
      <c r="I91" t="n">
        <v>200</v>
      </c>
      <c r="J91" t="n">
        <v>51.3</v>
      </c>
      <c r="K91" t="inlineStr">
        <is>
          <t>&gt; Cuidado Capilar &gt; Shampoo Y Acondicionador &gt;</t>
        </is>
      </c>
      <c r="L91" t="inlineStr">
        <is>
          <t>shampoo</t>
        </is>
      </c>
      <c r="M91" t="inlineStr">
        <is>
          <t>estandar</t>
        </is>
      </c>
      <c r="N91" t="inlineStr">
        <is>
          <t>tratado</t>
        </is>
      </c>
      <c r="O91" t="inlineStr">
        <is>
          <t>https://www.farmacity.com/shampoo-100-vegano-con-keratina-vegetal-x-200-ml/p</t>
        </is>
      </c>
    </row>
    <row r="92">
      <c r="A92" s="6" t="inlineStr">
        <is>
          <t>Farmacity</t>
        </is>
      </c>
      <c r="B92" s="6" t="n">
        <v>858</v>
      </c>
      <c r="C92" s="6" t="n">
        <v>23642</v>
      </c>
      <c r="D92" s="6" t="inlineStr">
        <is>
          <t>Shampoo Capilatis Iluminador x 420 ml</t>
        </is>
      </c>
      <c r="E92" s="6" t="inlineStr">
        <is>
          <t>Capilatis</t>
        </is>
      </c>
      <c r="F92" s="6" t="n">
        <v>9700</v>
      </c>
      <c r="G92" s="6" t="n">
        <v>9700</v>
      </c>
      <c r="H92" s="6" t="b">
        <v>1</v>
      </c>
      <c r="I92" s="6" t="n">
        <v>420</v>
      </c>
      <c r="J92" s="6" t="n">
        <v>23.0952</v>
      </c>
      <c r="K92" s="6" t="inlineStr">
        <is>
          <t>&gt; Cuidado Capilar &gt; Shampoo Y Acondicionador &gt;</t>
        </is>
      </c>
      <c r="L92" s="6" t="inlineStr">
        <is>
          <t>shampoo</t>
        </is>
      </c>
      <c r="M92" s="6" t="inlineStr">
        <is>
          <t>estandar</t>
        </is>
      </c>
      <c r="N92" s="6" t="inlineStr">
        <is>
          <t>general</t>
        </is>
      </c>
      <c r="O92" s="6" t="inlineStr">
        <is>
          <t>https://www.farmacity.com/shampoo-iluminador-x-420-ml/p</t>
        </is>
      </c>
    </row>
    <row r="93">
      <c r="A93" t="inlineStr">
        <is>
          <t>Farmacity</t>
        </is>
      </c>
      <c r="B93" t="n">
        <v>250349</v>
      </c>
      <c r="C93" t="n">
        <v>250349</v>
      </c>
      <c r="D93" t="inlineStr">
        <is>
          <t>Shampoo Elvive Collagen Lifter x 200 ml</t>
        </is>
      </c>
      <c r="E93" t="inlineStr">
        <is>
          <t>Elvive</t>
        </is>
      </c>
      <c r="F93" t="n">
        <v>7490</v>
      </c>
      <c r="G93" t="n">
        <v>7490</v>
      </c>
      <c r="H93" t="b">
        <v>1</v>
      </c>
      <c r="I93" t="n">
        <v>200</v>
      </c>
      <c r="J93" t="n">
        <v>37.45</v>
      </c>
      <c r="K93" t="inlineStr">
        <is>
          <t>&gt; Cuidado Capilar &gt; Shampoo Y Acondicionador &gt;</t>
        </is>
      </c>
      <c r="L93" t="inlineStr">
        <is>
          <t>shampoo</t>
        </is>
      </c>
      <c r="M93" t="inlineStr">
        <is>
          <t>profesional</t>
        </is>
      </c>
      <c r="N93" t="inlineStr">
        <is>
          <t>general</t>
        </is>
      </c>
      <c r="O93" t="inlineStr">
        <is>
          <t>https://www.farmacity.com/shampoo-elvive-colageno-lifter-x-200-ml/p</t>
        </is>
      </c>
    </row>
    <row r="94">
      <c r="A94" s="6" t="inlineStr">
        <is>
          <t>Farmacity</t>
        </is>
      </c>
      <c r="B94" s="6" t="n">
        <v>250194</v>
      </c>
      <c r="C94" s="6" t="n">
        <v>250194</v>
      </c>
      <c r="D94" s="6" t="inlineStr">
        <is>
          <t>Shampoo La Puissance Extra Cell Plex Paso 1 x 300 ml</t>
        </is>
      </c>
      <c r="E94" s="6" t="inlineStr">
        <is>
          <t>La Puissance</t>
        </is>
      </c>
      <c r="F94" s="6" t="n">
        <v>35700</v>
      </c>
      <c r="G94" s="6" t="n">
        <v>35700</v>
      </c>
      <c r="H94" s="6" t="b">
        <v>1</v>
      </c>
      <c r="I94" s="6" t="n">
        <v>300</v>
      </c>
      <c r="J94" s="6" t="n">
        <v>119</v>
      </c>
      <c r="K94" s="6" t="inlineStr">
        <is>
          <t>&gt; Cuidado Capilar &gt; Shampoo Y Acondicionador &gt;</t>
        </is>
      </c>
      <c r="L94" s="6" t="inlineStr">
        <is>
          <t>shampoo</t>
        </is>
      </c>
      <c r="M94" s="6" t="inlineStr">
        <is>
          <t>estandar</t>
        </is>
      </c>
      <c r="N94" s="6" t="inlineStr">
        <is>
          <t>general</t>
        </is>
      </c>
      <c r="O94" s="6" t="inlineStr">
        <is>
          <t>https://www.farmacity.com/shampoo-la-puissance-extra-cell-plex-paso-1-x-300-ml/p</t>
        </is>
      </c>
    </row>
    <row r="95">
      <c r="A95" t="inlineStr">
        <is>
          <t>Farmacity</t>
        </is>
      </c>
      <c r="B95" t="n">
        <v>238678</v>
      </c>
      <c r="C95" t="n">
        <v>238678</v>
      </c>
      <c r="D95" t="inlineStr">
        <is>
          <t>Shampoo Biferdil Kids Azul x 250 ml</t>
        </is>
      </c>
      <c r="E95" t="inlineStr">
        <is>
          <t>Biferdil</t>
        </is>
      </c>
      <c r="F95" t="n">
        <v>12204</v>
      </c>
      <c r="G95" t="n">
        <v>12204</v>
      </c>
      <c r="H95" t="b">
        <v>1</v>
      </c>
      <c r="I95" t="n">
        <v>250</v>
      </c>
      <c r="J95" t="n">
        <v>48.816</v>
      </c>
      <c r="K95" t="inlineStr">
        <is>
          <t>&gt; Bebés &gt; Higiene del Bebé &gt; Baño Del Bebé &gt;</t>
        </is>
      </c>
      <c r="L95" t="inlineStr">
        <is>
          <t>shampoo</t>
        </is>
      </c>
      <c r="M95" t="inlineStr">
        <is>
          <t>estandar</t>
        </is>
      </c>
      <c r="N95" t="inlineStr">
        <is>
          <t>bebe</t>
        </is>
      </c>
      <c r="O95" t="inlineStr">
        <is>
          <t>https://www.farmacity.com/shampoo-biferdil-kids-azul-x-250-ml/p</t>
        </is>
      </c>
    </row>
    <row r="96">
      <c r="A96" s="6" t="inlineStr">
        <is>
          <t>Farmacity</t>
        </is>
      </c>
      <c r="B96" s="6" t="n">
        <v>237193</v>
      </c>
      <c r="C96" s="6" t="n">
        <v>237193</v>
      </c>
      <c r="D96" s="6" t="inlineStr">
        <is>
          <t>Shampoo La Botica Eco Sólido Infantil con Avena y Caléndula Anmat OK x 60 g</t>
        </is>
      </c>
      <c r="E96" s="6" t="inlineStr">
        <is>
          <t>La Botica Eco</t>
        </is>
      </c>
      <c r="F96" s="6" t="n">
        <v>11289</v>
      </c>
      <c r="G96" s="6" t="n">
        <v>11289</v>
      </c>
      <c r="H96" s="6" t="b">
        <v>1</v>
      </c>
      <c r="I96" s="6" t="n">
        <v>60</v>
      </c>
      <c r="J96" s="6" t="n">
        <v>188.15</v>
      </c>
      <c r="K96" s="6" t="inlineStr">
        <is>
          <t>&gt; Bebés &gt; Higiene del Bebé &gt; Baño Del Bebé &gt;</t>
        </is>
      </c>
      <c r="L96" s="6" t="inlineStr">
        <is>
          <t>shampoo</t>
        </is>
      </c>
      <c r="M96" s="6" t="inlineStr">
        <is>
          <t>estandar</t>
        </is>
      </c>
      <c r="N96" s="6" t="inlineStr">
        <is>
          <t>bebe</t>
        </is>
      </c>
      <c r="O96" s="6" t="inlineStr">
        <is>
          <t>https://www.farmacity.com/shampoo-la-botica-eco-solido-infantil-con-avena-y-calendula-anmat-ok-x-60-g/p</t>
        </is>
      </c>
    </row>
    <row r="97">
      <c r="A97" t="inlineStr">
        <is>
          <t>Farmacity</t>
        </is>
      </c>
      <c r="B97" t="n">
        <v>235939</v>
      </c>
      <c r="C97" t="n">
        <v>235939</v>
      </c>
      <c r="D97" t="inlineStr">
        <is>
          <t>Shampoo Meraki Sólido Nutritivo x 65 g</t>
        </is>
      </c>
      <c r="E97" t="inlineStr">
        <is>
          <t>Meraki</t>
        </is>
      </c>
      <c r="F97" t="n">
        <v>9257</v>
      </c>
      <c r="G97" t="n">
        <v>13224</v>
      </c>
      <c r="H97" t="b">
        <v>1</v>
      </c>
      <c r="I97" t="n">
        <v>65</v>
      </c>
      <c r="J97" t="n">
        <v>142.4154</v>
      </c>
      <c r="K97" t="inlineStr">
        <is>
          <t>&gt; Cuidado Capilar &gt; Shampoo Y Acondicionador &gt;</t>
        </is>
      </c>
      <c r="L97" t="inlineStr">
        <is>
          <t>shampoo</t>
        </is>
      </c>
      <c r="M97" t="inlineStr">
        <is>
          <t>estandar</t>
        </is>
      </c>
      <c r="N97" t="inlineStr">
        <is>
          <t>general</t>
        </is>
      </c>
      <c r="O97" t="inlineStr">
        <is>
          <t>https://www.farmacity.com/shampoo-meraki-solido-nutritivo-x-65-g/p</t>
        </is>
      </c>
    </row>
    <row r="98">
      <c r="A98" s="6" t="inlineStr">
        <is>
          <t>Farmacity</t>
        </is>
      </c>
      <c r="B98" s="6" t="n">
        <v>230667</v>
      </c>
      <c r="C98" s="6" t="n">
        <v>230667</v>
      </c>
      <c r="D98" s="6" t="inlineStr">
        <is>
          <t>Shampoo Veganis Double Trouble x 400 ml</t>
        </is>
      </c>
      <c r="E98" s="6" t="inlineStr">
        <is>
          <t>Veganis</t>
        </is>
      </c>
      <c r="F98" s="6" t="n">
        <v>14616</v>
      </c>
      <c r="G98" s="6" t="n">
        <v>14616</v>
      </c>
      <c r="H98" s="6" t="b">
        <v>1</v>
      </c>
      <c r="I98" s="6" t="n">
        <v>400</v>
      </c>
      <c r="J98" s="6" t="n">
        <v>36.54</v>
      </c>
      <c r="K98" s="6" t="inlineStr">
        <is>
          <t>&gt; Cuidado Capilar &gt; Shampoo Y Acondicionador &gt;</t>
        </is>
      </c>
      <c r="L98" s="6" t="inlineStr">
        <is>
          <t>shampoo</t>
        </is>
      </c>
      <c r="M98" s="6" t="inlineStr">
        <is>
          <t>estandar</t>
        </is>
      </c>
      <c r="N98" s="6" t="inlineStr">
        <is>
          <t>general</t>
        </is>
      </c>
      <c r="O98" s="6" t="inlineStr">
        <is>
          <t>https://www.farmacity.com/shampoo-veganis-double-trouble-x-400-ml/p</t>
        </is>
      </c>
    </row>
    <row r="99">
      <c r="A99" t="inlineStr">
        <is>
          <t>Farmacity</t>
        </is>
      </c>
      <c r="B99" t="n">
        <v>229992</v>
      </c>
      <c r="C99" t="n">
        <v>229992</v>
      </c>
      <c r="D99" t="inlineStr">
        <is>
          <t>Shampoo Seco Batiste Original x 108 g</t>
        </is>
      </c>
      <c r="E99" t="inlineStr">
        <is>
          <t>Batiste</t>
        </is>
      </c>
      <c r="F99" t="n">
        <v>14364</v>
      </c>
      <c r="G99" t="n">
        <v>17955</v>
      </c>
      <c r="H99" t="b">
        <v>1</v>
      </c>
      <c r="I99" t="n">
        <v>108</v>
      </c>
      <c r="J99" t="n">
        <v>133</v>
      </c>
      <c r="K99" t="inlineStr">
        <is>
          <t>&gt; Cuidado Capilar &gt; Shampoo Y Acondicionador &gt;</t>
        </is>
      </c>
      <c r="L99" t="inlineStr">
        <is>
          <t>shampoo</t>
        </is>
      </c>
      <c r="M99" t="inlineStr">
        <is>
          <t>estandar</t>
        </is>
      </c>
      <c r="N99" t="inlineStr">
        <is>
          <t>seco_danado</t>
        </is>
      </c>
      <c r="O99" t="inlineStr">
        <is>
          <t>https://www.farmacity.com/shampoo-seco-batiste-original-x-200-ml/p</t>
        </is>
      </c>
    </row>
    <row r="100">
      <c r="A100" s="6" t="inlineStr">
        <is>
          <t>Farmacity</t>
        </is>
      </c>
      <c r="B100" s="6" t="n">
        <v>229988</v>
      </c>
      <c r="C100" s="6" t="n">
        <v>229988</v>
      </c>
      <c r="D100" s="6" t="inlineStr">
        <is>
          <t>Shampoo Tío Nacho Aclarante x 200 ml</t>
        </is>
      </c>
      <c r="E100" s="6" t="inlineStr">
        <is>
          <t>Tío Nacho</t>
        </is>
      </c>
      <c r="F100" s="6" t="n">
        <v>8057</v>
      </c>
      <c r="G100" s="6" t="n">
        <v>8057</v>
      </c>
      <c r="H100" s="6" t="b">
        <v>1</v>
      </c>
      <c r="I100" s="6" t="n">
        <v>200</v>
      </c>
      <c r="J100" s="6" t="n">
        <v>40.285</v>
      </c>
      <c r="K100" s="6" t="inlineStr">
        <is>
          <t>&gt; Cuidado Capilar &gt; Shampoo Y Acondicionador &gt;</t>
        </is>
      </c>
      <c r="L100" s="6" t="inlineStr">
        <is>
          <t>shampoo</t>
        </is>
      </c>
      <c r="M100" s="6" t="inlineStr">
        <is>
          <t>estandar</t>
        </is>
      </c>
      <c r="N100" s="6" t="inlineStr">
        <is>
          <t>general</t>
        </is>
      </c>
      <c r="O100" s="6" t="inlineStr">
        <is>
          <t>https://www.farmacity.com/shampoo-tio-nacho-aclarante-x-200-ml/p</t>
        </is>
      </c>
    </row>
    <row r="101">
      <c r="A101" t="inlineStr">
        <is>
          <t>Farmacity</t>
        </is>
      </c>
      <c r="B101" t="n">
        <v>228964</v>
      </c>
      <c r="C101" t="n">
        <v>228964</v>
      </c>
      <c r="D101" t="inlineStr">
        <is>
          <t>Shampoo Solido Ruh Natural Silver x 65 g</t>
        </is>
      </c>
      <c r="E101" t="inlineStr">
        <is>
          <t>Ruh Natural</t>
        </is>
      </c>
      <c r="F101" t="n">
        <v>13508</v>
      </c>
      <c r="G101" t="n">
        <v>13508</v>
      </c>
      <c r="H101" t="b">
        <v>1</v>
      </c>
      <c r="I101" t="n">
        <v>65</v>
      </c>
      <c r="J101" t="n">
        <v>207.8154</v>
      </c>
      <c r="K101" t="inlineStr">
        <is>
          <t>&gt; Cuidado Capilar &gt; Shampoo Y Acondicionador &gt;</t>
        </is>
      </c>
      <c r="L101" t="inlineStr">
        <is>
          <t>shampoo</t>
        </is>
      </c>
      <c r="M101" t="inlineStr">
        <is>
          <t>estandar</t>
        </is>
      </c>
      <c r="N101" t="inlineStr">
        <is>
          <t>general</t>
        </is>
      </c>
      <c r="O101" t="inlineStr">
        <is>
          <t>https://www.farmacity.com/shampoo-solido-ruh-silver-cabello-graso-x-65-g/p</t>
        </is>
      </c>
    </row>
    <row r="102">
      <c r="A102" s="6" t="inlineStr">
        <is>
          <t>Farmacity</t>
        </is>
      </c>
      <c r="B102" s="6" t="n">
        <v>228962</v>
      </c>
      <c r="C102" s="6" t="n">
        <v>228962</v>
      </c>
      <c r="D102" s="6" t="inlineStr">
        <is>
          <t>Shampoo Solido Ruh Natural Mechanic Orange x 65 g</t>
        </is>
      </c>
      <c r="E102" s="6" t="inlineStr">
        <is>
          <t>Ruh Natural</t>
        </is>
      </c>
      <c r="F102" s="6" t="n">
        <v>13508</v>
      </c>
      <c r="G102" s="6" t="n">
        <v>13508</v>
      </c>
      <c r="H102" s="6" t="b">
        <v>1</v>
      </c>
      <c r="I102" s="6" t="n">
        <v>65</v>
      </c>
      <c r="J102" s="6" t="n">
        <v>207.8154</v>
      </c>
      <c r="K102" s="6" t="inlineStr">
        <is>
          <t>&gt; Cuidado Capilar &gt; Shampoo Y Acondicionador &gt;</t>
        </is>
      </c>
      <c r="L102" s="6" t="inlineStr">
        <is>
          <t>shampoo</t>
        </is>
      </c>
      <c r="M102" s="6" t="inlineStr">
        <is>
          <t>estandar</t>
        </is>
      </c>
      <c r="N102" s="6" t="inlineStr">
        <is>
          <t>general</t>
        </is>
      </c>
      <c r="O102" s="6" t="inlineStr">
        <is>
          <t>https://www.farmacity.com/shampoo-solido-ruh-mechanic-orange-cabello-seco-x-65-g/p</t>
        </is>
      </c>
    </row>
    <row r="103">
      <c r="A103" t="inlineStr">
        <is>
          <t>Farmacity</t>
        </is>
      </c>
      <c r="B103" t="n">
        <v>228961</v>
      </c>
      <c r="C103" t="n">
        <v>228961</v>
      </c>
      <c r="D103" t="inlineStr">
        <is>
          <t>Shampoo Solido Ruh Natural Lavender x 65 g</t>
        </is>
      </c>
      <c r="E103" t="inlineStr">
        <is>
          <t>Ruh Natural</t>
        </is>
      </c>
      <c r="F103" t="n">
        <v>13508</v>
      </c>
      <c r="G103" t="n">
        <v>13508</v>
      </c>
      <c r="H103" t="b">
        <v>1</v>
      </c>
      <c r="I103" t="n">
        <v>65</v>
      </c>
      <c r="J103" t="n">
        <v>207.8154</v>
      </c>
      <c r="K103" t="inlineStr">
        <is>
          <t>&gt; Cuidado Capilar &gt; Shampoo Y Acondicionador &gt;</t>
        </is>
      </c>
      <c r="L103" t="inlineStr">
        <is>
          <t>shampoo</t>
        </is>
      </c>
      <c r="M103" t="inlineStr">
        <is>
          <t>estandar</t>
        </is>
      </c>
      <c r="N103" t="inlineStr">
        <is>
          <t>general</t>
        </is>
      </c>
      <c r="O103" t="inlineStr">
        <is>
          <t>https://www.farmacity.com/shampoo-solido-ruh-lavender-cabello-tenido-x-65-g/p</t>
        </is>
      </c>
    </row>
    <row r="104">
      <c r="A104" s="6" t="inlineStr">
        <is>
          <t>Farmacity</t>
        </is>
      </c>
      <c r="B104" s="6" t="n">
        <v>224526</v>
      </c>
      <c r="C104" s="6" t="n">
        <v>224526</v>
      </c>
      <c r="D104" s="6" t="inlineStr">
        <is>
          <t>Shampoo Anticaída Klorane x 400 ml</t>
        </is>
      </c>
      <c r="E104" s="6" t="inlineStr">
        <is>
          <t>Klorane</t>
        </is>
      </c>
      <c r="F104" s="6" t="n">
        <v>36750</v>
      </c>
      <c r="G104" s="6" t="n">
        <v>52500</v>
      </c>
      <c r="H104" s="6" t="b">
        <v>1</v>
      </c>
      <c r="I104" s="6" t="n">
        <v>400</v>
      </c>
      <c r="J104" s="6" t="n">
        <v>91.875</v>
      </c>
      <c r="K104" s="6" t="inlineStr">
        <is>
          <t>&gt; Dermocosmética &gt; Pelo &gt; Shampoos y Acondicionadores &gt;</t>
        </is>
      </c>
      <c r="L104" s="6" t="inlineStr">
        <is>
          <t>shampoo</t>
        </is>
      </c>
      <c r="M104" s="6" t="inlineStr">
        <is>
          <t>estandar</t>
        </is>
      </c>
      <c r="N104" s="6" t="inlineStr">
        <is>
          <t>general</t>
        </is>
      </c>
      <c r="O104" s="6" t="inlineStr">
        <is>
          <t>https://www.farmacity.com/shampoo-klorane-quinina-x-400-ml/p</t>
        </is>
      </c>
    </row>
    <row r="105">
      <c r="A105" t="inlineStr">
        <is>
          <t>Farmacity</t>
        </is>
      </c>
      <c r="B105" t="n">
        <v>219382</v>
      </c>
      <c r="C105" t="n">
        <v>219382</v>
      </c>
      <c r="D105" t="inlineStr">
        <is>
          <t>Shampoo Alta Moda Acqua Shine x 300 ml</t>
        </is>
      </c>
      <c r="E105" t="inlineStr">
        <is>
          <t>Alta Moda</t>
        </is>
      </c>
      <c r="F105" t="n">
        <v>4301</v>
      </c>
      <c r="G105" t="n">
        <v>8602</v>
      </c>
      <c r="H105" t="b">
        <v>1</v>
      </c>
      <c r="I105" t="n">
        <v>300</v>
      </c>
      <c r="J105" t="n">
        <v>14.3367</v>
      </c>
      <c r="K105" t="inlineStr">
        <is>
          <t>&gt; Cuidado Capilar &gt; Shampoo Y Acondicionador &gt;</t>
        </is>
      </c>
      <c r="L105" t="inlineStr">
        <is>
          <t>shampoo</t>
        </is>
      </c>
      <c r="M105" t="inlineStr">
        <is>
          <t>estandar</t>
        </is>
      </c>
      <c r="N105" t="inlineStr">
        <is>
          <t>general</t>
        </is>
      </c>
      <c r="O105" t="inlineStr">
        <is>
          <t>https://www.farmacity.com/shampoo-alta-moda-e-vegano-x-300-ml/p</t>
        </is>
      </c>
    </row>
    <row r="106">
      <c r="A106" s="6" t="inlineStr">
        <is>
          <t>Farmacity</t>
        </is>
      </c>
      <c r="B106" s="6" t="n">
        <v>216506</v>
      </c>
      <c r="C106" s="6" t="n">
        <v>216506</v>
      </c>
      <c r="D106" s="6" t="inlineStr">
        <is>
          <t>Shampoo para Niños Johnson's Hidratación Intensa x 200 ml</t>
        </is>
      </c>
      <c r="E106" s="6" t="inlineStr">
        <is>
          <t>Johnson's</t>
        </is>
      </c>
      <c r="F106" s="6" t="n">
        <v>3825</v>
      </c>
      <c r="G106" s="6" t="n">
        <v>5465</v>
      </c>
      <c r="H106" s="6" t="b">
        <v>1</v>
      </c>
      <c r="I106" s="6" t="n">
        <v>200</v>
      </c>
      <c r="J106" s="6" t="n">
        <v>19.125</v>
      </c>
      <c r="K106" s="6" t="inlineStr">
        <is>
          <t>&gt; Bebés &gt; Higiene del Bebé &gt; Baño Del Bebé &gt;</t>
        </is>
      </c>
      <c r="L106" s="6" t="inlineStr">
        <is>
          <t>shampoo</t>
        </is>
      </c>
      <c r="M106" s="6" t="inlineStr">
        <is>
          <t>estandar</t>
        </is>
      </c>
      <c r="N106" s="6" t="inlineStr">
        <is>
          <t>seco_danado</t>
        </is>
      </c>
      <c r="O106" s="6" t="inlineStr">
        <is>
          <t>https://www.farmacity.com/shampoo-johnsons-baby-hidratacion-intensa-x-200-ml/p</t>
        </is>
      </c>
    </row>
    <row r="107">
      <c r="A107" t="inlineStr">
        <is>
          <t>Farmacity</t>
        </is>
      </c>
      <c r="B107" t="n">
        <v>147258</v>
      </c>
      <c r="C107" t="n">
        <v>147258</v>
      </c>
      <c r="D107" t="inlineStr">
        <is>
          <t>Shampoo Elvive Oleo Extraordinario Coco x 200 ml</t>
        </is>
      </c>
      <c r="E107" t="inlineStr">
        <is>
          <t>Elvive</t>
        </is>
      </c>
      <c r="F107" t="n">
        <v>3495</v>
      </c>
      <c r="G107" t="n">
        <v>6990</v>
      </c>
      <c r="H107" t="b">
        <v>1</v>
      </c>
      <c r="I107" t="n">
        <v>200</v>
      </c>
      <c r="J107" t="n">
        <v>17.475</v>
      </c>
      <c r="K107" t="inlineStr">
        <is>
          <t>&gt; Cuidado Capilar &gt; Shampoo Y Acondicionador &gt;</t>
        </is>
      </c>
      <c r="L107" t="inlineStr">
        <is>
          <t>shampoo</t>
        </is>
      </c>
      <c r="M107" t="inlineStr">
        <is>
          <t>profesional</t>
        </is>
      </c>
      <c r="N107" t="inlineStr">
        <is>
          <t>general</t>
        </is>
      </c>
      <c r="O107" t="inlineStr">
        <is>
          <t>https://www.farmacity.com/shampoo-elvive-oleo-coco-x-200-ml/p</t>
        </is>
      </c>
    </row>
    <row r="108">
      <c r="A108" s="6" t="inlineStr">
        <is>
          <t>Farmacity</t>
        </is>
      </c>
      <c r="B108" s="6" t="n">
        <v>111829</v>
      </c>
      <c r="C108" s="6" t="n">
        <v>111829</v>
      </c>
      <c r="D108" s="6" t="inlineStr">
        <is>
          <t>Shampoo Micopirox Ciclopiroxolamina x 100 ml</t>
        </is>
      </c>
      <c r="E108" s="6" t="inlineStr">
        <is>
          <t>Lersan</t>
        </is>
      </c>
      <c r="F108" s="6" t="n">
        <v>27000</v>
      </c>
      <c r="G108" s="6" t="n">
        <v>27000</v>
      </c>
      <c r="H108" s="6" t="b">
        <v>1</v>
      </c>
      <c r="I108" s="6" t="n">
        <v>100</v>
      </c>
      <c r="J108" s="6" t="n">
        <v>270</v>
      </c>
      <c r="K108" s="6" t="inlineStr">
        <is>
          <t>&gt; Venta Bajo Receta &gt; Dermatológico &gt;</t>
        </is>
      </c>
      <c r="L108" s="6" t="inlineStr">
        <is>
          <t>shampoo</t>
        </is>
      </c>
      <c r="M108" s="6" t="inlineStr">
        <is>
          <t>estandar</t>
        </is>
      </c>
      <c r="N108" s="6" t="inlineStr">
        <is>
          <t>general</t>
        </is>
      </c>
      <c r="O108" s="6" t="inlineStr">
        <is>
          <t>https://www.farmacity.com/shampoo-micopirox-ciclopiroxolamina-x-100-ml/p</t>
        </is>
      </c>
    </row>
    <row r="109">
      <c r="A109" t="inlineStr">
        <is>
          <t>Farmacity</t>
        </is>
      </c>
      <c r="B109" t="n">
        <v>43396</v>
      </c>
      <c r="C109" t="n">
        <v>43396</v>
      </c>
      <c r="D109" t="inlineStr">
        <is>
          <t>Shampoo Amenite Plus Colágeno + Asoc. x 100 g</t>
        </is>
      </c>
      <c r="E109" t="inlineStr">
        <is>
          <t>Amenite</t>
        </is>
      </c>
      <c r="F109" t="n">
        <v>32375</v>
      </c>
      <c r="G109" t="n">
        <v>32375</v>
      </c>
      <c r="H109" t="b">
        <v>1</v>
      </c>
      <c r="I109" t="n">
        <v>100</v>
      </c>
      <c r="J109" t="n">
        <v>323.75</v>
      </c>
      <c r="K109" t="inlineStr">
        <is>
          <t>&gt; Venta Bajo Receta &gt; Dermatológico &gt;</t>
        </is>
      </c>
      <c r="L109" t="inlineStr">
        <is>
          <t>shampoo</t>
        </is>
      </c>
      <c r="M109" t="inlineStr">
        <is>
          <t>estandar</t>
        </is>
      </c>
      <c r="N109" t="inlineStr">
        <is>
          <t>general</t>
        </is>
      </c>
      <c r="O109" t="inlineStr">
        <is>
          <t>https://www.farmacity.com/shampoo-amenite-plus-colageno-asoc-x-100-g/p</t>
        </is>
      </c>
    </row>
    <row r="110">
      <c r="A110" s="6" t="inlineStr">
        <is>
          <t>Farmacity</t>
        </is>
      </c>
      <c r="B110" s="6" t="n">
        <v>34420</v>
      </c>
      <c r="C110" s="6" t="n">
        <v>34420</v>
      </c>
      <c r="D110" s="6" t="inlineStr">
        <is>
          <t>Shampoo Cistina B6 Cistina + Asoc. x 150 ml</t>
        </is>
      </c>
      <c r="E110" s="6" t="inlineStr">
        <is>
          <t>Savant Consumer</t>
        </is>
      </c>
      <c r="F110" s="6" t="n">
        <v>26781</v>
      </c>
      <c r="G110" s="6" t="n">
        <v>26781</v>
      </c>
      <c r="H110" s="6" t="b">
        <v>1</v>
      </c>
      <c r="I110" s="6" t="n">
        <v>150</v>
      </c>
      <c r="J110" s="6" t="n">
        <v>178.54</v>
      </c>
      <c r="K110" s="6" t="inlineStr">
        <is>
          <t>&gt; Venta Bajo Receta &gt; Dermatológico &gt;</t>
        </is>
      </c>
      <c r="L110" s="6" t="inlineStr">
        <is>
          <t>shampoo</t>
        </is>
      </c>
      <c r="M110" s="6" t="inlineStr">
        <is>
          <t>estandar</t>
        </is>
      </c>
      <c r="N110" s="6" t="inlineStr">
        <is>
          <t>general</t>
        </is>
      </c>
      <c r="O110" s="6" t="inlineStr">
        <is>
          <t>https://www.farmacity.com/shampoo-cistina-b6-cistina-asoc-x-150-ml/p</t>
        </is>
      </c>
    </row>
    <row r="111">
      <c r="A111" t="inlineStr">
        <is>
          <t>Farmacity</t>
        </is>
      </c>
      <c r="B111" t="n">
        <v>16820</v>
      </c>
      <c r="C111" t="n">
        <v>163824</v>
      </c>
      <c r="D111" t="inlineStr">
        <is>
          <t>Shampoo Fructis Recarga Nutritiva x 200 ml</t>
        </is>
      </c>
      <c r="E111" t="inlineStr">
        <is>
          <t>Fructis</t>
        </is>
      </c>
      <c r="F111" t="n">
        <v>5490</v>
      </c>
      <c r="G111" t="n">
        <v>5490</v>
      </c>
      <c r="H111" t="b">
        <v>1</v>
      </c>
      <c r="I111" t="n">
        <v>200</v>
      </c>
      <c r="J111" t="n">
        <v>27.45</v>
      </c>
      <c r="K111" t="inlineStr">
        <is>
          <t>&gt; Cuidado Capilar &gt; Shampoo Y Acondicionador &gt;</t>
        </is>
      </c>
      <c r="L111" t="inlineStr">
        <is>
          <t>shampoo</t>
        </is>
      </c>
      <c r="M111" t="inlineStr">
        <is>
          <t>estandar</t>
        </is>
      </c>
      <c r="N111" t="inlineStr">
        <is>
          <t>general</t>
        </is>
      </c>
      <c r="O111" t="inlineStr">
        <is>
          <t>https://www.farmacity.com/shampoo-fructis-recarga-nutritiva-x200ml/p</t>
        </is>
      </c>
    </row>
    <row r="112">
      <c r="A112" s="6" t="inlineStr">
        <is>
          <t>Farmacity</t>
        </is>
      </c>
      <c r="B112" s="6" t="n">
        <v>10077</v>
      </c>
      <c r="C112" s="6" t="n">
        <v>160428</v>
      </c>
      <c r="D112" s="6" t="inlineStr">
        <is>
          <t>Shampoo Capilatis Ácido Hialuronico x 350 ml</t>
        </is>
      </c>
      <c r="E112" s="6" t="inlineStr">
        <is>
          <t>Capilatis</t>
        </is>
      </c>
      <c r="F112" s="6" t="n">
        <v>13000</v>
      </c>
      <c r="G112" s="6" t="n">
        <v>13000</v>
      </c>
      <c r="H112" s="6" t="b">
        <v>1</v>
      </c>
      <c r="I112" s="6" t="n">
        <v>350</v>
      </c>
      <c r="J112" s="6" t="n">
        <v>37.1429</v>
      </c>
      <c r="K112" s="6" t="inlineStr">
        <is>
          <t>&gt; Cuidado Capilar &gt; Shampoo Y Acondicionador &gt;</t>
        </is>
      </c>
      <c r="L112" s="6" t="inlineStr">
        <is>
          <t>shampoo</t>
        </is>
      </c>
      <c r="M112" s="6" t="inlineStr">
        <is>
          <t>estandar</t>
        </is>
      </c>
      <c r="N112" s="6" t="inlineStr">
        <is>
          <t>general</t>
        </is>
      </c>
      <c r="O112" s="6" t="inlineStr">
        <is>
          <t>https://www.farmacity.com/shampoo-acido-hialuronico-x-350ml/p</t>
        </is>
      </c>
    </row>
    <row r="113">
      <c r="A113" t="inlineStr">
        <is>
          <t>Farmacity</t>
        </is>
      </c>
      <c r="B113" t="n">
        <v>248876</v>
      </c>
      <c r="C113" t="n">
        <v>248876</v>
      </c>
      <c r="D113" t="inlineStr">
        <is>
          <t>Shampoo Tio Nacho Keratina Vegetal x 415 ml</t>
        </is>
      </c>
      <c r="E113" t="inlineStr">
        <is>
          <t>Tío Nacho</t>
        </is>
      </c>
      <c r="F113" t="n">
        <v>11750</v>
      </c>
      <c r="G113" t="n">
        <v>11750</v>
      </c>
      <c r="H113" t="b">
        <v>1</v>
      </c>
      <c r="I113" t="n">
        <v>415</v>
      </c>
      <c r="J113" t="n">
        <v>28.3133</v>
      </c>
      <c r="K113" t="inlineStr">
        <is>
          <t>&gt; Cuidado Capilar &gt; Shampoo Y Acondicionador &gt;</t>
        </is>
      </c>
      <c r="L113" t="inlineStr">
        <is>
          <t>shampoo</t>
        </is>
      </c>
      <c r="M113" t="inlineStr">
        <is>
          <t>estandar</t>
        </is>
      </c>
      <c r="N113" t="inlineStr">
        <is>
          <t>tratado</t>
        </is>
      </c>
      <c r="O113" t="inlineStr">
        <is>
          <t>https://www.farmacity.com/shampoo-tio-nacho-keratina-vegetal-x-415-ml/p</t>
        </is>
      </c>
    </row>
    <row r="114">
      <c r="A114" s="6" t="inlineStr">
        <is>
          <t>Farmacity</t>
        </is>
      </c>
      <c r="B114" s="6" t="n">
        <v>241361</v>
      </c>
      <c r="C114" s="6" t="n">
        <v>241361</v>
      </c>
      <c r="D114" s="6" t="inlineStr">
        <is>
          <t>Shampoo Control Caspa Head &amp; Shoulders Anti-Comezón x 375 ml</t>
        </is>
      </c>
      <c r="E114" s="6" t="inlineStr">
        <is>
          <t>Head and Shoulders</t>
        </is>
      </c>
      <c r="F114" s="6" t="n">
        <v>7895</v>
      </c>
      <c r="G114" s="6" t="n">
        <v>12146</v>
      </c>
      <c r="H114" s="6" t="b">
        <v>1</v>
      </c>
      <c r="I114" s="6" t="n">
        <v>375</v>
      </c>
      <c r="J114" s="6" t="n">
        <v>21.0533</v>
      </c>
      <c r="K114" s="6" t="inlineStr">
        <is>
          <t>&gt; Cuidado Capilar &gt; Shampoo Y Acondicionador &gt;</t>
        </is>
      </c>
      <c r="L114" s="6" t="inlineStr">
        <is>
          <t>shampoo</t>
        </is>
      </c>
      <c r="M114" s="6" t="inlineStr">
        <is>
          <t>estandar</t>
        </is>
      </c>
      <c r="N114" s="6" t="inlineStr">
        <is>
          <t>anticaspa</t>
        </is>
      </c>
      <c r="O114" s="6" t="inlineStr">
        <is>
          <t>https://www.farmacity.com/shampoo-head-shoulders-anti-comezon-x-375-ml/p</t>
        </is>
      </c>
    </row>
    <row r="115">
      <c r="A115" t="inlineStr">
        <is>
          <t>Farmacity</t>
        </is>
      </c>
      <c r="B115" t="n">
        <v>240012</v>
      </c>
      <c r="C115" t="n">
        <v>240012</v>
      </c>
      <c r="D115" t="inlineStr">
        <is>
          <t>Shampoo Elvive Glycolic Gloss x 400 ml</t>
        </is>
      </c>
      <c r="E115" t="inlineStr">
        <is>
          <t>Elvive</t>
        </is>
      </c>
      <c r="F115" t="n">
        <v>7494</v>
      </c>
      <c r="G115" t="n">
        <v>12490</v>
      </c>
      <c r="H115" t="b">
        <v>1</v>
      </c>
      <c r="I115" t="n">
        <v>400</v>
      </c>
      <c r="J115" t="n">
        <v>18.735</v>
      </c>
      <c r="K115" t="inlineStr">
        <is>
          <t>&gt; Cuidado Capilar &gt; Shampoo Y Acondicionador &gt;</t>
        </is>
      </c>
      <c r="L115" t="inlineStr">
        <is>
          <t>shampoo</t>
        </is>
      </c>
      <c r="M115" t="inlineStr">
        <is>
          <t>profesional</t>
        </is>
      </c>
      <c r="N115" t="inlineStr">
        <is>
          <t>general</t>
        </is>
      </c>
      <c r="O115" t="inlineStr">
        <is>
          <t>https://www.farmacity.com/shampoo-elvive-glyco-gloss-x-400-ml/p</t>
        </is>
      </c>
    </row>
    <row r="116">
      <c r="A116" s="6" t="inlineStr">
        <is>
          <t>Farmacity</t>
        </is>
      </c>
      <c r="B116" s="6" t="n">
        <v>229978</v>
      </c>
      <c r="C116" s="6" t="n">
        <v>229978</v>
      </c>
      <c r="D116" s="6" t="inlineStr">
        <is>
          <t>Shampoo Tío Nacho Herbolaria Milenaria x 415 ml</t>
        </is>
      </c>
      <c r="E116" s="6" t="inlineStr">
        <is>
          <t>Tío Nacho</t>
        </is>
      </c>
      <c r="F116" s="6" t="n">
        <v>11750</v>
      </c>
      <c r="G116" s="6" t="n">
        <v>11750</v>
      </c>
      <c r="H116" s="6" t="b">
        <v>1</v>
      </c>
      <c r="I116" s="6" t="n">
        <v>415</v>
      </c>
      <c r="J116" s="6" t="n">
        <v>28.3133</v>
      </c>
      <c r="K116" s="6" t="inlineStr">
        <is>
          <t>&gt; Cuidado Capilar &gt; Shampoo Y Acondicionador &gt;</t>
        </is>
      </c>
      <c r="L116" s="6" t="inlineStr">
        <is>
          <t>shampoo</t>
        </is>
      </c>
      <c r="M116" s="6" t="inlineStr">
        <is>
          <t>estandar</t>
        </is>
      </c>
      <c r="N116" s="6" t="inlineStr">
        <is>
          <t>general</t>
        </is>
      </c>
      <c r="O116" s="6" t="inlineStr">
        <is>
          <t>https://www.farmacity.com/shampoo-tio-nacho-herbolaria-milenaria-x-415-ml/p</t>
        </is>
      </c>
    </row>
    <row r="117">
      <c r="A117" t="inlineStr">
        <is>
          <t>Farmacity</t>
        </is>
      </c>
      <c r="B117" t="n">
        <v>225542</v>
      </c>
      <c r="C117" t="n">
        <v>225542</v>
      </c>
      <c r="D117" t="inlineStr">
        <is>
          <t>Shampoo Bagóvit Reparación Intensiva x 350 ml</t>
        </is>
      </c>
      <c r="E117" t="inlineStr">
        <is>
          <t>Bagóvit</t>
        </is>
      </c>
      <c r="F117" t="n">
        <v>8984</v>
      </c>
      <c r="G117" t="n">
        <v>8984</v>
      </c>
      <c r="H117" t="b">
        <v>1</v>
      </c>
      <c r="I117" t="n">
        <v>350</v>
      </c>
      <c r="J117" t="n">
        <v>25.6686</v>
      </c>
      <c r="K117" t="inlineStr">
        <is>
          <t>&gt; Cuidado Capilar &gt; Shampoo Y Acondicionador &gt;</t>
        </is>
      </c>
      <c r="L117" t="inlineStr">
        <is>
          <t>shampoo</t>
        </is>
      </c>
      <c r="M117" t="inlineStr">
        <is>
          <t>estandar</t>
        </is>
      </c>
      <c r="N117" t="inlineStr">
        <is>
          <t>general</t>
        </is>
      </c>
      <c r="O117" t="inlineStr">
        <is>
          <t>https://www.farmacity.com/shampoo-bagovit-reparacion-intensiva-x-350-ml/p</t>
        </is>
      </c>
    </row>
    <row r="118">
      <c r="A118" s="6" t="inlineStr">
        <is>
          <t>Farmacity</t>
        </is>
      </c>
      <c r="B118" s="6" t="n">
        <v>248754</v>
      </c>
      <c r="C118" s="6" t="n">
        <v>248754</v>
      </c>
      <c r="D118" s="6" t="inlineStr">
        <is>
          <t>Shampoo Biferdil Óleo de Argan Nutrición Intensa x 100 ml</t>
        </is>
      </c>
      <c r="E118" s="6" t="inlineStr">
        <is>
          <t>Biferdil</t>
        </is>
      </c>
      <c r="F118" s="6" t="n">
        <v>9612</v>
      </c>
      <c r="G118" s="6" t="n">
        <v>9612</v>
      </c>
      <c r="H118" s="6" t="b">
        <v>1</v>
      </c>
      <c r="I118" s="6" t="n">
        <v>100</v>
      </c>
      <c r="J118" s="6" t="n">
        <v>96.12</v>
      </c>
      <c r="K118" s="6" t="inlineStr">
        <is>
          <t>&gt; Cuidado Capilar &gt; Shampoo Y Acondicionador &gt;</t>
        </is>
      </c>
      <c r="L118" s="6" t="inlineStr">
        <is>
          <t>shampoo</t>
        </is>
      </c>
      <c r="M118" s="6" t="inlineStr">
        <is>
          <t>estandar</t>
        </is>
      </c>
      <c r="N118" s="6" t="inlineStr">
        <is>
          <t>general</t>
        </is>
      </c>
      <c r="O118" s="6" t="inlineStr">
        <is>
          <t>https://www.farmacity.com/shampoo-biferdil-oleo-de-argan-minitalla-x-100-ml/p</t>
        </is>
      </c>
    </row>
    <row r="119">
      <c r="A119" t="inlineStr">
        <is>
          <t>Farmacity</t>
        </is>
      </c>
      <c r="B119" t="n">
        <v>245461</v>
      </c>
      <c r="C119" t="n">
        <v>245461</v>
      </c>
      <c r="D119" t="inlineStr">
        <is>
          <t>Shampoo Garnier Fructis Hair Food Ananá x 300 ml</t>
        </is>
      </c>
      <c r="E119" t="inlineStr">
        <is>
          <t>Fructis</t>
        </is>
      </c>
      <c r="F119" t="n">
        <v>7273</v>
      </c>
      <c r="G119" t="n">
        <v>11190</v>
      </c>
      <c r="H119" t="b">
        <v>1</v>
      </c>
      <c r="I119" t="n">
        <v>300</v>
      </c>
      <c r="J119" t="n">
        <v>24.2433</v>
      </c>
      <c r="K119" t="inlineStr">
        <is>
          <t>&gt; Cuidado Capilar &gt; Shampoo Y Acondicionador &gt;</t>
        </is>
      </c>
      <c r="L119" t="inlineStr">
        <is>
          <t>shampoo</t>
        </is>
      </c>
      <c r="M119" t="inlineStr">
        <is>
          <t>estandar</t>
        </is>
      </c>
      <c r="N119" t="inlineStr">
        <is>
          <t>general</t>
        </is>
      </c>
      <c r="O119" t="inlineStr">
        <is>
          <t>https://www.farmacity.com/shampoo-garnier-fructis-hair-food-anana-x-300-ml/p</t>
        </is>
      </c>
    </row>
    <row r="120">
      <c r="A120" s="6" t="inlineStr">
        <is>
          <t>Farmacity</t>
        </is>
      </c>
      <c r="B120" s="6" t="n">
        <v>243705</v>
      </c>
      <c r="C120" s="6" t="n">
        <v>243705</v>
      </c>
      <c r="D120" s="6" t="inlineStr">
        <is>
          <t>Shampoo Head &amp; Shoulders Anti Resequedad x 375 ml</t>
        </is>
      </c>
      <c r="E120" s="6" t="inlineStr">
        <is>
          <t>Head and Shoulders</t>
        </is>
      </c>
      <c r="F120" s="6" t="n">
        <v>7895</v>
      </c>
      <c r="G120" s="6" t="n">
        <v>12146</v>
      </c>
      <c r="H120" s="6" t="b">
        <v>1</v>
      </c>
      <c r="I120" s="6" t="n">
        <v>375</v>
      </c>
      <c r="J120" s="6" t="n">
        <v>21.0533</v>
      </c>
      <c r="K120" s="6" t="inlineStr">
        <is>
          <t>&gt; Cuidado Capilar &gt; Shampoo Y Acondicionador &gt;</t>
        </is>
      </c>
      <c r="L120" s="6" t="inlineStr">
        <is>
          <t>shampoo</t>
        </is>
      </c>
      <c r="M120" s="6" t="inlineStr">
        <is>
          <t>estandar</t>
        </is>
      </c>
      <c r="N120" s="6" t="inlineStr">
        <is>
          <t>general</t>
        </is>
      </c>
      <c r="O120" s="6" t="inlineStr">
        <is>
          <t>https://www.farmacity.com/shampoo-head-shoulders-anti-resequedad-x-375-ml/p</t>
        </is>
      </c>
    </row>
    <row r="121">
      <c r="A121" t="inlineStr">
        <is>
          <t>Farmacity</t>
        </is>
      </c>
      <c r="B121" t="n">
        <v>238882</v>
      </c>
      <c r="C121" t="n">
        <v>238882</v>
      </c>
      <c r="D121" t="inlineStr">
        <is>
          <t>Shampoo Pantene Pro-V Miracles Liso Infinito x 400 ml</t>
        </is>
      </c>
      <c r="E121" t="inlineStr">
        <is>
          <t>Pantene</t>
        </is>
      </c>
      <c r="F121" t="n">
        <v>6137</v>
      </c>
      <c r="G121" t="n">
        <v>10228</v>
      </c>
      <c r="H121" t="b">
        <v>1</v>
      </c>
      <c r="I121" t="n">
        <v>400</v>
      </c>
      <c r="J121" t="n">
        <v>15.3425</v>
      </c>
      <c r="K121" t="inlineStr">
        <is>
          <t>&gt; Cuidado Capilar &gt; Shampoo Y Acondicionador &gt;</t>
        </is>
      </c>
      <c r="L121" t="inlineStr">
        <is>
          <t>shampoo</t>
        </is>
      </c>
      <c r="M121" t="inlineStr">
        <is>
          <t>profesional</t>
        </is>
      </c>
      <c r="N121" t="inlineStr">
        <is>
          <t>general</t>
        </is>
      </c>
      <c r="O121" t="inlineStr">
        <is>
          <t>https://www.farmacity.com/shampoo-pantene-pro-v-miracles-liso-infinito-x-400-ml/p</t>
        </is>
      </c>
    </row>
    <row r="122">
      <c r="A122" s="6" t="inlineStr">
        <is>
          <t>Farmacity</t>
        </is>
      </c>
      <c r="B122" s="6" t="n">
        <v>235655</v>
      </c>
      <c r="C122" s="6" t="n">
        <v>235655</v>
      </c>
      <c r="D122" s="6" t="inlineStr">
        <is>
          <t>Shampoo Pantene Pro-V Miracles Detox Limpia - Purifica 200 ml</t>
        </is>
      </c>
      <c r="E122" s="6" t="inlineStr">
        <is>
          <t>Pantene</t>
        </is>
      </c>
      <c r="F122" s="6" t="n">
        <v>3807</v>
      </c>
      <c r="G122" s="6" t="n">
        <v>6345</v>
      </c>
      <c r="H122" s="6" t="b">
        <v>1</v>
      </c>
      <c r="I122" s="6" t="n">
        <v>200</v>
      </c>
      <c r="J122" s="6" t="n">
        <v>19.035</v>
      </c>
      <c r="K122" s="6" t="inlineStr">
        <is>
          <t>&gt; Cuidado Capilar &gt; Shampoo Y Acondicionador &gt;</t>
        </is>
      </c>
      <c r="L122" s="6" t="inlineStr">
        <is>
          <t>shampoo</t>
        </is>
      </c>
      <c r="M122" s="6" t="inlineStr">
        <is>
          <t>profesional</t>
        </is>
      </c>
      <c r="N122" s="6" t="inlineStr">
        <is>
          <t>general</t>
        </is>
      </c>
      <c r="O122" s="6" t="inlineStr">
        <is>
          <t>https://www.farmacity.com/shampoo-pantene-pro-v-miracles-detox-x-200-ml/p</t>
        </is>
      </c>
    </row>
    <row r="123">
      <c r="A123" t="inlineStr">
        <is>
          <t>Farmacity</t>
        </is>
      </c>
      <c r="B123" t="n">
        <v>230614</v>
      </c>
      <c r="C123" t="n">
        <v>230614</v>
      </c>
      <c r="D123" t="inlineStr">
        <is>
          <t>Shampoo Dosificador Tresemmé Detox Capilar x 500 ml</t>
        </is>
      </c>
      <c r="E123" t="inlineStr">
        <is>
          <t>Tresemmé</t>
        </is>
      </c>
      <c r="F123" t="n">
        <v>6574</v>
      </c>
      <c r="G123" t="n">
        <v>10114</v>
      </c>
      <c r="H123" t="b">
        <v>1</v>
      </c>
      <c r="I123" t="n">
        <v>500</v>
      </c>
      <c r="J123" t="n">
        <v>13.148</v>
      </c>
      <c r="K123" t="inlineStr">
        <is>
          <t>&gt; Cuidado Capilar &gt; Shampoo Y Acondicionador &gt;</t>
        </is>
      </c>
      <c r="L123" t="inlineStr">
        <is>
          <t>shampoo</t>
        </is>
      </c>
      <c r="M123" t="inlineStr">
        <is>
          <t>estandar</t>
        </is>
      </c>
      <c r="N123" t="inlineStr">
        <is>
          <t>general</t>
        </is>
      </c>
      <c r="O123" t="inlineStr">
        <is>
          <t>https://www.farmacity.com/shampoo-dosificador-tresemme-detox-capilar-x-500-ml/p</t>
        </is>
      </c>
    </row>
    <row r="124">
      <c r="A124" s="6" t="inlineStr">
        <is>
          <t>Farmacity</t>
        </is>
      </c>
      <c r="B124" s="6" t="n">
        <v>230613</v>
      </c>
      <c r="C124" s="6" t="n">
        <v>230613</v>
      </c>
      <c r="D124" s="6" t="inlineStr">
        <is>
          <t>Shampoo Dosificador Tresemmé Liso Efecto Botox x 500 ml</t>
        </is>
      </c>
      <c r="E124" s="6" t="inlineStr">
        <is>
          <t>Tresemmé</t>
        </is>
      </c>
      <c r="F124" s="6" t="n">
        <v>6574</v>
      </c>
      <c r="G124" s="6" t="n">
        <v>10114</v>
      </c>
      <c r="H124" s="6" t="b">
        <v>1</v>
      </c>
      <c r="I124" s="6" t="n">
        <v>500</v>
      </c>
      <c r="J124" s="6" t="n">
        <v>13.148</v>
      </c>
      <c r="K124" s="6" t="inlineStr">
        <is>
          <t>&gt; Cuidado Capilar &gt; Shampoo Y Acondicionador &gt;</t>
        </is>
      </c>
      <c r="L124" s="6" t="inlineStr">
        <is>
          <t>shampoo</t>
        </is>
      </c>
      <c r="M124" s="6" t="inlineStr">
        <is>
          <t>estandar</t>
        </is>
      </c>
      <c r="N124" s="6" t="inlineStr">
        <is>
          <t>general</t>
        </is>
      </c>
      <c r="O124" s="6" t="inlineStr">
        <is>
          <t>https://www.farmacity.com/shampoo-dosificador-tresemme-liso-efecto-botox-x-500-ml/p</t>
        </is>
      </c>
    </row>
    <row r="125">
      <c r="A125" t="inlineStr">
        <is>
          <t>Farmacity</t>
        </is>
      </c>
      <c r="B125" t="n">
        <v>206049</v>
      </c>
      <c r="C125" t="n">
        <v>206049</v>
      </c>
      <c r="D125" t="inlineStr">
        <is>
          <t>Shampoo Head &amp; Shoulders Men con Old Spice x 375 ml</t>
        </is>
      </c>
      <c r="E125" t="inlineStr">
        <is>
          <t>Head and Shoulders</t>
        </is>
      </c>
      <c r="F125" t="n">
        <v>7895</v>
      </c>
      <c r="G125" t="n">
        <v>12146</v>
      </c>
      <c r="H125" t="b">
        <v>1</v>
      </c>
      <c r="I125" t="n">
        <v>375</v>
      </c>
      <c r="J125" t="n">
        <v>21.0533</v>
      </c>
      <c r="K125" t="inlineStr">
        <is>
          <t>&gt; Cuidado Capilar &gt; Shampoo Y Acondicionador &gt;</t>
        </is>
      </c>
      <c r="L125" t="inlineStr">
        <is>
          <t>shampoo</t>
        </is>
      </c>
      <c r="M125" t="inlineStr">
        <is>
          <t>estandar</t>
        </is>
      </c>
      <c r="N125" t="inlineStr">
        <is>
          <t>general</t>
        </is>
      </c>
      <c r="O125" t="inlineStr">
        <is>
          <t>https://www.farmacity.com/shampoo-head-shoulders-old-spice-para-hombres-x-375-ml/p</t>
        </is>
      </c>
    </row>
    <row r="126">
      <c r="A126" s="6" t="inlineStr">
        <is>
          <t>Farmacity</t>
        </is>
      </c>
      <c r="B126" s="6" t="n">
        <v>206045</v>
      </c>
      <c r="C126" s="6" t="n">
        <v>206045</v>
      </c>
      <c r="D126" s="6" t="inlineStr">
        <is>
          <t>Shampoo Head &amp; Shoulders Manzana Fresh x 375 ml</t>
        </is>
      </c>
      <c r="E126" s="6" t="inlineStr">
        <is>
          <t>Head and Shoulders</t>
        </is>
      </c>
      <c r="F126" s="6" t="n">
        <v>7895</v>
      </c>
      <c r="G126" s="6" t="n">
        <v>12146</v>
      </c>
      <c r="H126" s="6" t="b">
        <v>1</v>
      </c>
      <c r="I126" s="6" t="n">
        <v>375</v>
      </c>
      <c r="J126" s="6" t="n">
        <v>21.0533</v>
      </c>
      <c r="K126" s="6" t="inlineStr">
        <is>
          <t>&gt; Cuidado Capilar &gt; Shampoo Y Acondicionador &gt;</t>
        </is>
      </c>
      <c r="L126" s="6" t="inlineStr">
        <is>
          <t>shampoo</t>
        </is>
      </c>
      <c r="M126" s="6" t="inlineStr">
        <is>
          <t>estandar</t>
        </is>
      </c>
      <c r="N126" s="6" t="inlineStr">
        <is>
          <t>general</t>
        </is>
      </c>
      <c r="O126" s="6" t="inlineStr">
        <is>
          <t>https://www.farmacity.com/shampoo-head-shoulders-manzana-fresh-375ml/p</t>
        </is>
      </c>
    </row>
    <row r="127">
      <c r="A127" t="inlineStr">
        <is>
          <t>Farmacity</t>
        </is>
      </c>
      <c r="B127" t="n">
        <v>4190</v>
      </c>
      <c r="C127" t="n">
        <v>139236</v>
      </c>
      <c r="D127" t="inlineStr">
        <is>
          <t>Shampoo Elvive Reparación Total 5 x 400 ml</t>
        </is>
      </c>
      <c r="E127" t="inlineStr">
        <is>
          <t>Elvive</t>
        </is>
      </c>
      <c r="F127" t="n">
        <v>6714</v>
      </c>
      <c r="G127" t="n">
        <v>11190</v>
      </c>
      <c r="H127" t="b">
        <v>1</v>
      </c>
      <c r="I127" t="n">
        <v>400</v>
      </c>
      <c r="J127" t="n">
        <v>16.785</v>
      </c>
      <c r="K127" t="inlineStr">
        <is>
          <t>&gt; Cuidado Capilar &gt; Shampoo Y Acondicionador &gt;</t>
        </is>
      </c>
      <c r="L127" t="inlineStr">
        <is>
          <t>shampoo</t>
        </is>
      </c>
      <c r="M127" t="inlineStr">
        <is>
          <t>profesional</t>
        </is>
      </c>
      <c r="N127" t="inlineStr">
        <is>
          <t>general</t>
        </is>
      </c>
      <c r="O127" t="inlineStr">
        <is>
          <t>https://www.farmacity.com/shampoo-reparacion-total-5-x-400-ml-139236/p</t>
        </is>
      </c>
    </row>
    <row r="128">
      <c r="A128" s="6" t="inlineStr">
        <is>
          <t>Farmacity</t>
        </is>
      </c>
      <c r="B128" s="6" t="n">
        <v>4133</v>
      </c>
      <c r="C128" s="6" t="n">
        <v>139235</v>
      </c>
      <c r="D128" s="6" t="inlineStr">
        <is>
          <t>Shampoo Elvive Reparación Total 5 Keratin x 200 ml</t>
        </is>
      </c>
      <c r="E128" s="6" t="inlineStr">
        <is>
          <t>Elvive</t>
        </is>
      </c>
      <c r="F128" s="6" t="n">
        <v>6990</v>
      </c>
      <c r="G128" s="6" t="n">
        <v>6990</v>
      </c>
      <c r="H128" s="6" t="b">
        <v>1</v>
      </c>
      <c r="I128" s="6" t="n">
        <v>200</v>
      </c>
      <c r="J128" s="6" t="n">
        <v>34.95</v>
      </c>
      <c r="K128" s="6" t="inlineStr">
        <is>
          <t>&gt; Cuidado Capilar &gt; Shampoo Y Acondicionador &gt;</t>
        </is>
      </c>
      <c r="L128" s="6" t="inlineStr">
        <is>
          <t>shampoo</t>
        </is>
      </c>
      <c r="M128" s="6" t="inlineStr">
        <is>
          <t>profesional</t>
        </is>
      </c>
      <c r="N128" s="6" t="inlineStr">
        <is>
          <t>general</t>
        </is>
      </c>
      <c r="O128" s="6" t="inlineStr">
        <is>
          <t>https://www.farmacity.com/reparacion-total-5-shampoo-x-200-ml/p</t>
        </is>
      </c>
    </row>
    <row r="129">
      <c r="A129" t="inlineStr">
        <is>
          <t>Farmacity</t>
        </is>
      </c>
      <c r="B129" t="n">
        <v>249370</v>
      </c>
      <c r="C129" t="n">
        <v>249370</v>
      </c>
      <c r="D129" t="inlineStr">
        <is>
          <t>Shampoo Alta Moda Keratin Impact x 300 ml</t>
        </is>
      </c>
      <c r="E129" t="inlineStr">
        <is>
          <t>Alta Moda</t>
        </is>
      </c>
      <c r="F129" t="n">
        <v>5692</v>
      </c>
      <c r="G129" t="n">
        <v>5692</v>
      </c>
      <c r="H129" t="b">
        <v>1</v>
      </c>
      <c r="I129" t="n">
        <v>300</v>
      </c>
      <c r="J129" t="n">
        <v>18.9733</v>
      </c>
      <c r="K129" t="inlineStr">
        <is>
          <t>&gt; Cuidado Capilar &gt; Shampoo Y Acondicionador &gt;</t>
        </is>
      </c>
      <c r="L129" t="inlineStr">
        <is>
          <t>shampoo</t>
        </is>
      </c>
      <c r="M129" t="inlineStr">
        <is>
          <t>estandar</t>
        </is>
      </c>
      <c r="N129" t="inlineStr">
        <is>
          <t>general</t>
        </is>
      </c>
      <c r="O129" t="inlineStr">
        <is>
          <t>https://www.farmacity.com/shampoo-alta-moda-keratin-impact-x-300-ml/p</t>
        </is>
      </c>
    </row>
    <row r="130">
      <c r="A130" s="6" t="inlineStr">
        <is>
          <t>Farmacity</t>
        </is>
      </c>
      <c r="B130" s="6" t="n">
        <v>246641</v>
      </c>
      <c r="C130" s="6" t="n">
        <v>246641</v>
      </c>
      <c r="D130" s="6" t="inlineStr">
        <is>
          <t>Shampoo Herbal Essences Rosa Mosqueta x 400 ml</t>
        </is>
      </c>
      <c r="E130" s="6" t="inlineStr">
        <is>
          <t>Herbal Essences</t>
        </is>
      </c>
      <c r="F130" s="6" t="n">
        <v>10574</v>
      </c>
      <c r="G130" s="6" t="n">
        <v>16267</v>
      </c>
      <c r="H130" s="6" t="b">
        <v>1</v>
      </c>
      <c r="I130" s="6" t="n">
        <v>400</v>
      </c>
      <c r="J130" s="6" t="n">
        <v>26.435</v>
      </c>
      <c r="K130" s="6" t="inlineStr">
        <is>
          <t>&gt; Cuidado Capilar &gt; Shampoo Y Acondicionador &gt;</t>
        </is>
      </c>
      <c r="L130" s="6" t="inlineStr">
        <is>
          <t>shampoo</t>
        </is>
      </c>
      <c r="M130" s="6" t="inlineStr">
        <is>
          <t>estandar</t>
        </is>
      </c>
      <c r="N130" s="6" t="inlineStr">
        <is>
          <t>general</t>
        </is>
      </c>
      <c r="O130" s="6" t="inlineStr">
        <is>
          <t>https://www.farmacity.com/shampoo-herbal-essences-rosa-mosqueta-x-400-ml/p</t>
        </is>
      </c>
    </row>
    <row r="131">
      <c r="A131" t="inlineStr">
        <is>
          <t>Farmacity</t>
        </is>
      </c>
      <c r="B131" t="n">
        <v>246640</v>
      </c>
      <c r="C131" t="n">
        <v>246640</v>
      </c>
      <c r="D131" t="inlineStr">
        <is>
          <t>Shampoo Herbal Essences Shine x 400 ml</t>
        </is>
      </c>
      <c r="E131" t="inlineStr">
        <is>
          <t>Herbal Essences</t>
        </is>
      </c>
      <c r="F131" t="n">
        <v>10574</v>
      </c>
      <c r="G131" t="n">
        <v>16267</v>
      </c>
      <c r="H131" t="b">
        <v>1</v>
      </c>
      <c r="I131" t="n">
        <v>400</v>
      </c>
      <c r="J131" t="n">
        <v>26.435</v>
      </c>
      <c r="K131" t="inlineStr">
        <is>
          <t>&gt; Cuidado Capilar &gt; Shampoo Y Acondicionador &gt;</t>
        </is>
      </c>
      <c r="L131" t="inlineStr">
        <is>
          <t>shampoo</t>
        </is>
      </c>
      <c r="M131" t="inlineStr">
        <is>
          <t>estandar</t>
        </is>
      </c>
      <c r="N131" t="inlineStr">
        <is>
          <t>general</t>
        </is>
      </c>
      <c r="O131" t="inlineStr">
        <is>
          <t>https://www.farmacity.com/shampoo-herbal-essences-shine-x-400-ml/p</t>
        </is>
      </c>
    </row>
    <row r="132">
      <c r="A132" s="6" t="inlineStr">
        <is>
          <t>Farmacity</t>
        </is>
      </c>
      <c r="B132" s="6" t="n">
        <v>244695</v>
      </c>
      <c r="C132" s="6" t="n">
        <v>244695</v>
      </c>
      <c r="D132" s="6" t="inlineStr">
        <is>
          <t>Shampoo Elvive Dream Liso x 750 ml</t>
        </is>
      </c>
      <c r="E132" s="6" t="inlineStr">
        <is>
          <t>Elvive</t>
        </is>
      </c>
      <c r="F132" s="6" t="n">
        <v>19990</v>
      </c>
      <c r="G132" s="6" t="n">
        <v>19990</v>
      </c>
      <c r="H132" s="6" t="b">
        <v>1</v>
      </c>
      <c r="I132" s="6" t="n">
        <v>750</v>
      </c>
      <c r="J132" s="6" t="n">
        <v>26.6533</v>
      </c>
      <c r="K132" s="6" t="inlineStr">
        <is>
          <t>&gt; Cuidado Capilar &gt; Shampoo Y Acondicionador &gt;</t>
        </is>
      </c>
      <c r="L132" s="6" t="inlineStr">
        <is>
          <t>shampoo</t>
        </is>
      </c>
      <c r="M132" s="6" t="inlineStr">
        <is>
          <t>profesional</t>
        </is>
      </c>
      <c r="N132" s="6" t="inlineStr">
        <is>
          <t>general</t>
        </is>
      </c>
      <c r="O132" s="6" t="inlineStr">
        <is>
          <t>https://www.farmacity.com/shampoo-elvive-dream-liso-x-750-ml/p</t>
        </is>
      </c>
    </row>
    <row r="133">
      <c r="A133" t="inlineStr">
        <is>
          <t>Farmacity</t>
        </is>
      </c>
      <c r="B133" t="n">
        <v>239566</v>
      </c>
      <c r="C133" t="n">
        <v>239566</v>
      </c>
      <c r="D133" t="inlineStr">
        <is>
          <t>Shampoo Farmacity Bebé Avena x 200 ml</t>
        </is>
      </c>
      <c r="E133" t="inlineStr">
        <is>
          <t>Farmacity</t>
        </is>
      </c>
      <c r="F133" t="n">
        <v>5400</v>
      </c>
      <c r="G133" t="n">
        <v>5400</v>
      </c>
      <c r="H133" t="b">
        <v>1</v>
      </c>
      <c r="I133" t="n">
        <v>200</v>
      </c>
      <c r="J133" t="n">
        <v>27</v>
      </c>
      <c r="K133" t="inlineStr">
        <is>
          <t>&gt; Bebés &gt; Higiene del Bebé &gt; Baño Del Bebé &gt;</t>
        </is>
      </c>
      <c r="L133" t="inlineStr">
        <is>
          <t>shampoo</t>
        </is>
      </c>
      <c r="M133" t="inlineStr">
        <is>
          <t>estandar</t>
        </is>
      </c>
      <c r="N133" t="inlineStr">
        <is>
          <t>bebe</t>
        </is>
      </c>
      <c r="O133" t="inlineStr">
        <is>
          <t>https://www.farmacity.com/shampoo-farmacity-bebe-avena-x-200-ml/p</t>
        </is>
      </c>
    </row>
    <row r="134">
      <c r="A134" s="6" t="inlineStr">
        <is>
          <t>Farmacity</t>
        </is>
      </c>
      <c r="B134" s="6" t="n">
        <v>237326</v>
      </c>
      <c r="C134" s="6" t="n">
        <v>237326</v>
      </c>
      <c r="D134" s="6" t="inlineStr">
        <is>
          <t>Shampoo TRESemmé Brillo Lamelar P x 500 ml</t>
        </is>
      </c>
      <c r="E134" s="6" t="inlineStr">
        <is>
          <t>Tresemmé</t>
        </is>
      </c>
      <c r="F134" s="6" t="n">
        <v>6574</v>
      </c>
      <c r="G134" s="6" t="n">
        <v>10114</v>
      </c>
      <c r="H134" s="6" t="b">
        <v>1</v>
      </c>
      <c r="I134" s="6" t="n">
        <v>500</v>
      </c>
      <c r="J134" s="6" t="n">
        <v>13.148</v>
      </c>
      <c r="K134" s="6" t="inlineStr">
        <is>
          <t>&gt; Cuidado Capilar &gt; Shampoo Y Acondicionador &gt;</t>
        </is>
      </c>
      <c r="L134" s="6" t="inlineStr">
        <is>
          <t>shampoo</t>
        </is>
      </c>
      <c r="M134" s="6" t="inlineStr">
        <is>
          <t>estandar</t>
        </is>
      </c>
      <c r="N134" s="6" t="inlineStr">
        <is>
          <t>general</t>
        </is>
      </c>
      <c r="O134" s="6" t="inlineStr">
        <is>
          <t>https://www.farmacity.com/shampoo-tresemme-brillo-lamelar-p-x-500-ml/p</t>
        </is>
      </c>
    </row>
    <row r="135">
      <c r="A135" t="inlineStr">
        <is>
          <t>Farmacity</t>
        </is>
      </c>
      <c r="B135" t="n">
        <v>234383</v>
      </c>
      <c r="C135" t="n">
        <v>234383</v>
      </c>
      <c r="D135" t="inlineStr">
        <is>
          <t>Shampoo Elvive Hialurónico Pure x 200 ml</t>
        </is>
      </c>
      <c r="E135" t="inlineStr">
        <is>
          <t>Elvive</t>
        </is>
      </c>
      <c r="F135" t="n">
        <v>6990</v>
      </c>
      <c r="G135" t="n">
        <v>6990</v>
      </c>
      <c r="H135" t="b">
        <v>1</v>
      </c>
      <c r="I135" t="n">
        <v>200</v>
      </c>
      <c r="J135" t="n">
        <v>34.95</v>
      </c>
      <c r="K135" t="inlineStr">
        <is>
          <t>&gt; Cuidado Capilar &gt; Shampoo Y Acondicionador &gt;</t>
        </is>
      </c>
      <c r="L135" t="inlineStr">
        <is>
          <t>shampoo</t>
        </is>
      </c>
      <c r="M135" t="inlineStr">
        <is>
          <t>profesional</t>
        </is>
      </c>
      <c r="N135" t="inlineStr">
        <is>
          <t>general</t>
        </is>
      </c>
      <c r="O135" t="inlineStr">
        <is>
          <t>https://www.farmacity.com/shampoo-elvive-hialuronico-pure-x-200-ml/p</t>
        </is>
      </c>
    </row>
    <row r="136">
      <c r="A136" s="6" t="inlineStr">
        <is>
          <t>Farmacity</t>
        </is>
      </c>
      <c r="B136" s="6" t="n">
        <v>234283</v>
      </c>
      <c r="C136" s="6" t="n">
        <v>234283</v>
      </c>
      <c r="D136" s="6" t="inlineStr">
        <is>
          <t>Shampoo Pantene Pro-V Miracles Fortalecedor x 750 ml</t>
        </is>
      </c>
      <c r="E136" s="6" t="inlineStr">
        <is>
          <t>Pantene</t>
        </is>
      </c>
      <c r="F136" s="6" t="n">
        <v>10040</v>
      </c>
      <c r="G136" s="6" t="n">
        <v>16733</v>
      </c>
      <c r="H136" s="6" t="b">
        <v>1</v>
      </c>
      <c r="I136" s="6" t="n">
        <v>750</v>
      </c>
      <c r="J136" s="6" t="n">
        <v>13.3867</v>
      </c>
      <c r="K136" s="6" t="inlineStr">
        <is>
          <t>&gt; Cuidado Capilar &gt; Shampoo Y Acondicionador &gt;</t>
        </is>
      </c>
      <c r="L136" s="6" t="inlineStr">
        <is>
          <t>shampoo</t>
        </is>
      </c>
      <c r="M136" s="6" t="inlineStr">
        <is>
          <t>profesional</t>
        </is>
      </c>
      <c r="N136" s="6" t="inlineStr">
        <is>
          <t>general</t>
        </is>
      </c>
      <c r="O136" s="6" t="inlineStr">
        <is>
          <t>https://www.farmacity.com/shampoo-pantene-pro-v-miracles-hidrata-y-fortalece-x-750-ml/p</t>
        </is>
      </c>
    </row>
    <row r="137">
      <c r="A137" t="inlineStr">
        <is>
          <t>Farmacity</t>
        </is>
      </c>
      <c r="B137" t="n">
        <v>218819</v>
      </c>
      <c r="C137" t="n">
        <v>218819</v>
      </c>
      <c r="D137" t="inlineStr">
        <is>
          <t>Shampoo Pantene Bambú Nutre y Crece x 400 ml</t>
        </is>
      </c>
      <c r="E137" t="inlineStr">
        <is>
          <t>Pantene</t>
        </is>
      </c>
      <c r="F137" t="n">
        <v>6137</v>
      </c>
      <c r="G137" t="n">
        <v>10228</v>
      </c>
      <c r="H137" t="b">
        <v>1</v>
      </c>
      <c r="I137" t="n">
        <v>400</v>
      </c>
      <c r="J137" t="n">
        <v>15.3425</v>
      </c>
      <c r="K137" t="inlineStr">
        <is>
          <t>&gt; Cuidado Capilar &gt; Shampoo Y Acondicionador &gt;</t>
        </is>
      </c>
      <c r="L137" t="inlineStr">
        <is>
          <t>shampoo</t>
        </is>
      </c>
      <c r="M137" t="inlineStr">
        <is>
          <t>estandar</t>
        </is>
      </c>
      <c r="N137" t="inlineStr">
        <is>
          <t>general</t>
        </is>
      </c>
      <c r="O137" t="inlineStr">
        <is>
          <t>https://www.farmacity.com/shampoo-pantene-bambu-nutre-y-crece-x-400-ml/p</t>
        </is>
      </c>
    </row>
    <row r="138">
      <c r="A138" s="6" t="inlineStr">
        <is>
          <t>Farmacity</t>
        </is>
      </c>
      <c r="B138" s="6" t="n">
        <v>208132</v>
      </c>
      <c r="C138" s="6" t="n">
        <v>208132</v>
      </c>
      <c r="D138" s="6" t="inlineStr">
        <is>
          <t>Shampoo Elvive Dream Long x 200 ml</t>
        </is>
      </c>
      <c r="E138" s="6" t="inlineStr">
        <is>
          <t>Elvive</t>
        </is>
      </c>
      <c r="F138" s="6" t="n">
        <v>4194</v>
      </c>
      <c r="G138" s="6" t="n">
        <v>6990</v>
      </c>
      <c r="H138" s="6" t="b">
        <v>1</v>
      </c>
      <c r="I138" s="6" t="n">
        <v>200</v>
      </c>
      <c r="J138" s="6" t="n">
        <v>20.97</v>
      </c>
      <c r="K138" s="6" t="inlineStr">
        <is>
          <t>&gt; Cuidado Capilar &gt; Shampoo Y Acondicionador &gt;</t>
        </is>
      </c>
      <c r="L138" s="6" t="inlineStr">
        <is>
          <t>shampoo</t>
        </is>
      </c>
      <c r="M138" s="6" t="inlineStr">
        <is>
          <t>profesional</t>
        </is>
      </c>
      <c r="N138" s="6" t="inlineStr">
        <is>
          <t>general</t>
        </is>
      </c>
      <c r="O138" s="6" t="inlineStr">
        <is>
          <t>https://www.farmacity.com/shampoo-dream-long-elvive-loreal-paris-x-200-ml/p</t>
        </is>
      </c>
    </row>
    <row r="139">
      <c r="A139" t="inlineStr">
        <is>
          <t>Farmacity</t>
        </is>
      </c>
      <c r="B139" t="n">
        <v>204161</v>
      </c>
      <c r="C139" t="n">
        <v>200359</v>
      </c>
      <c r="D139" t="inlineStr">
        <is>
          <t>Shampoo Herbal Essences Argan Oil Of Morocco x 400 ml</t>
        </is>
      </c>
      <c r="E139" t="inlineStr">
        <is>
          <t>Herbal Essences</t>
        </is>
      </c>
      <c r="F139" t="n">
        <v>10574</v>
      </c>
      <c r="G139" t="n">
        <v>16267</v>
      </c>
      <c r="H139" t="b">
        <v>1</v>
      </c>
      <c r="I139" t="n">
        <v>400</v>
      </c>
      <c r="J139" t="n">
        <v>26.435</v>
      </c>
      <c r="K139" t="inlineStr">
        <is>
          <t>&gt; Cuidado Capilar &gt; Shampoo Y Acondicionador &gt;</t>
        </is>
      </c>
      <c r="L139" t="inlineStr">
        <is>
          <t>shampoo</t>
        </is>
      </c>
      <c r="M139" t="inlineStr">
        <is>
          <t>estandar</t>
        </is>
      </c>
      <c r="N139" t="inlineStr">
        <is>
          <t>general</t>
        </is>
      </c>
      <c r="O139" t="inlineStr">
        <is>
          <t>https://www.farmacity.com/shampoo-herbal-renew-reparacion-argan-oil-x-400ml/p</t>
        </is>
      </c>
    </row>
    <row r="140">
      <c r="A140" s="6" t="inlineStr">
        <is>
          <t>Farmacity</t>
        </is>
      </c>
      <c r="B140" s="6" t="n">
        <v>9120</v>
      </c>
      <c r="C140" s="6" t="n">
        <v>219373</v>
      </c>
      <c r="D140" s="6" t="inlineStr">
        <is>
          <t>Shampoo Alta Moda Super Oils x 300 ml</t>
        </is>
      </c>
      <c r="E140" s="6" t="inlineStr">
        <is>
          <t>Alta Moda</t>
        </is>
      </c>
      <c r="F140" s="6" t="n">
        <v>5692</v>
      </c>
      <c r="G140" s="6" t="n">
        <v>5692</v>
      </c>
      <c r="H140" s="6" t="b">
        <v>1</v>
      </c>
      <c r="I140" s="6" t="n">
        <v>300</v>
      </c>
      <c r="J140" s="6" t="n">
        <v>18.9733</v>
      </c>
      <c r="K140" s="6" t="inlineStr">
        <is>
          <t>&gt; Cuidado Capilar &gt; Shampoo Y Acondicionador &gt;</t>
        </is>
      </c>
      <c r="L140" s="6" t="inlineStr">
        <is>
          <t>shampoo</t>
        </is>
      </c>
      <c r="M140" s="6" t="inlineStr">
        <is>
          <t>estandar</t>
        </is>
      </c>
      <c r="N140" s="6" t="inlineStr">
        <is>
          <t>general</t>
        </is>
      </c>
      <c r="O140" s="6" t="inlineStr">
        <is>
          <t>https://www.farmacity.com/shampoo-alta-moda-argan-therapy-x-300/p</t>
        </is>
      </c>
    </row>
    <row r="141">
      <c r="A141" t="inlineStr">
        <is>
          <t>Farmacity</t>
        </is>
      </c>
      <c r="B141" t="n">
        <v>4865</v>
      </c>
      <c r="C141" t="n">
        <v>142448</v>
      </c>
      <c r="D141" t="inlineStr">
        <is>
          <t>Shampoo Dove Men 2 en 1 Fuerza Resistente x 400 ml</t>
        </is>
      </c>
      <c r="E141" t="inlineStr">
        <is>
          <t>Dove</t>
        </is>
      </c>
      <c r="F141" t="n">
        <v>7266</v>
      </c>
      <c r="G141" t="n">
        <v>9688</v>
      </c>
      <c r="H141" t="b">
        <v>1</v>
      </c>
      <c r="I141" t="n">
        <v>400</v>
      </c>
      <c r="J141" t="n">
        <v>18.165</v>
      </c>
      <c r="K141" t="inlineStr">
        <is>
          <t>&gt; Cuidado Capilar &gt; Shampoo Y Acondicionador &gt;</t>
        </is>
      </c>
      <c r="L141" t="inlineStr">
        <is>
          <t>shampoo</t>
        </is>
      </c>
      <c r="M141" t="inlineStr">
        <is>
          <t>estandar</t>
        </is>
      </c>
      <c r="N141" t="inlineStr">
        <is>
          <t>general</t>
        </is>
      </c>
      <c r="O141" t="inlineStr">
        <is>
          <t>https://www.farmacity.com/shampoo-dove-men-fuerza-extrema-botella-x-400-ml/p</t>
        </is>
      </c>
    </row>
    <row r="142">
      <c r="A142" s="6" t="inlineStr">
        <is>
          <t>Farmacity</t>
        </is>
      </c>
      <c r="B142" s="6" t="n">
        <v>4356</v>
      </c>
      <c r="C142" s="6" t="n">
        <v>139287</v>
      </c>
      <c r="D142" s="6" t="inlineStr">
        <is>
          <t>Shampoo para Bebé Johnson's Cabello Claro x 400 ml</t>
        </is>
      </c>
      <c r="E142" s="6" t="inlineStr">
        <is>
          <t>Johnson's</t>
        </is>
      </c>
      <c r="F142" s="6" t="n">
        <v>8331</v>
      </c>
      <c r="G142" s="6" t="n">
        <v>11902</v>
      </c>
      <c r="H142" s="6" t="b">
        <v>1</v>
      </c>
      <c r="I142" s="6" t="n">
        <v>400</v>
      </c>
      <c r="J142" s="6" t="n">
        <v>20.8275</v>
      </c>
      <c r="K142" s="6" t="inlineStr">
        <is>
          <t>&gt; Bebés &gt; Higiene del Bebé &gt; Baño Del Bebé &gt;</t>
        </is>
      </c>
      <c r="L142" s="6" t="inlineStr">
        <is>
          <t>shampoo</t>
        </is>
      </c>
      <c r="M142" s="6" t="inlineStr">
        <is>
          <t>estandar</t>
        </is>
      </c>
      <c r="N142" s="6" t="inlineStr">
        <is>
          <t>bebe</t>
        </is>
      </c>
      <c r="O142" s="6" t="inlineStr">
        <is>
          <t>https://www.farmacity.com/shampoo-con-manzanilla-natural-cabello-claro-x-400-ml/p</t>
        </is>
      </c>
    </row>
    <row r="143">
      <c r="A143" t="inlineStr">
        <is>
          <t>Farmacity</t>
        </is>
      </c>
      <c r="B143" t="n">
        <v>1134</v>
      </c>
      <c r="C143" t="n">
        <v>23600</v>
      </c>
      <c r="D143" t="inlineStr">
        <is>
          <t>Shampoo Capilatis Control Caída Pelo Graso con Ortiga y Salvia x 410 ml</t>
        </is>
      </c>
      <c r="E143" t="inlineStr">
        <is>
          <t>Capilatis</t>
        </is>
      </c>
      <c r="F143" t="n">
        <v>9700</v>
      </c>
      <c r="G143" t="n">
        <v>9700</v>
      </c>
      <c r="H143" t="b">
        <v>1</v>
      </c>
      <c r="I143" t="n">
        <v>410</v>
      </c>
      <c r="J143" t="n">
        <v>23.6585</v>
      </c>
      <c r="K143" t="inlineStr">
        <is>
          <t>&gt; Cuidado Capilar &gt; Shampoo Y Acondicionador &gt;</t>
        </is>
      </c>
      <c r="L143" t="inlineStr">
        <is>
          <t>shampoo</t>
        </is>
      </c>
      <c r="M143" t="inlineStr">
        <is>
          <t>estandar</t>
        </is>
      </c>
      <c r="N143" t="inlineStr">
        <is>
          <t>graso</t>
        </is>
      </c>
      <c r="O143" t="inlineStr">
        <is>
          <t>https://www.farmacity.com/shampoo-control-caida-pelo-graso-con-ortiga-y-salvia-x-410-ml/p</t>
        </is>
      </c>
    </row>
    <row r="144">
      <c r="A144" s="6" t="inlineStr">
        <is>
          <t>Farmacity</t>
        </is>
      </c>
      <c r="B144" s="6" t="n">
        <v>244543</v>
      </c>
      <c r="C144" s="6" t="n">
        <v>244543</v>
      </c>
      <c r="D144" s="6" t="inlineStr">
        <is>
          <t>Shampoo Reparador Pantene Pro-V Miracles Keratina Repara y Protege x 510 ml</t>
        </is>
      </c>
      <c r="E144" s="6" t="inlineStr">
        <is>
          <t>Pantene</t>
        </is>
      </c>
      <c r="F144" s="6" t="n">
        <v>10285</v>
      </c>
      <c r="G144" s="6" t="n">
        <v>17142</v>
      </c>
      <c r="H144" s="6" t="b">
        <v>1</v>
      </c>
      <c r="I144" s="6" t="n">
        <v>510</v>
      </c>
      <c r="J144" s="6" t="n">
        <v>20.1667</v>
      </c>
      <c r="K144" s="6" t="inlineStr">
        <is>
          <t>&gt; Cuidado Capilar &gt; Shampoo Y Acondicionador &gt;</t>
        </is>
      </c>
      <c r="L144" s="6" t="inlineStr">
        <is>
          <t>shampoo</t>
        </is>
      </c>
      <c r="M144" s="6" t="inlineStr">
        <is>
          <t>profesional</t>
        </is>
      </c>
      <c r="N144" s="6" t="inlineStr">
        <is>
          <t>tratado</t>
        </is>
      </c>
      <c r="O144" s="6" t="inlineStr">
        <is>
          <t>https://www.farmacity.com/shampoo-pantene-keratina-x-510-ml/p</t>
        </is>
      </c>
    </row>
    <row r="145">
      <c r="A145" t="inlineStr">
        <is>
          <t>Farmacity</t>
        </is>
      </c>
      <c r="B145" t="n">
        <v>243913</v>
      </c>
      <c r="C145" t="n">
        <v>243913</v>
      </c>
      <c r="D145" t="inlineStr">
        <is>
          <t>Shampoo Fructis Probióticos Fuerza x 200 ml</t>
        </is>
      </c>
      <c r="E145" t="inlineStr">
        <is>
          <t>Fructis</t>
        </is>
      </c>
      <c r="F145" t="n">
        <v>5490</v>
      </c>
      <c r="G145" t="n">
        <v>5490</v>
      </c>
      <c r="H145" t="b">
        <v>1</v>
      </c>
      <c r="I145" t="n">
        <v>200</v>
      </c>
      <c r="J145" t="n">
        <v>27.45</v>
      </c>
      <c r="K145" t="inlineStr">
        <is>
          <t>&gt; Cuidado Capilar &gt; Shampoo Y Acondicionador &gt;</t>
        </is>
      </c>
      <c r="L145" t="inlineStr">
        <is>
          <t>shampoo</t>
        </is>
      </c>
      <c r="M145" t="inlineStr">
        <is>
          <t>profesional</t>
        </is>
      </c>
      <c r="N145" t="inlineStr">
        <is>
          <t>general</t>
        </is>
      </c>
      <c r="O145" t="inlineStr">
        <is>
          <t>https://www.farmacity.com/shampoo-fructis-probioticos-fuerza-x-200-ml/p</t>
        </is>
      </c>
    </row>
    <row r="146">
      <c r="A146" s="6" t="inlineStr">
        <is>
          <t>Farmacity</t>
        </is>
      </c>
      <c r="B146" s="6" t="n">
        <v>240011</v>
      </c>
      <c r="C146" s="6" t="n">
        <v>240011</v>
      </c>
      <c r="D146" s="6" t="inlineStr">
        <is>
          <t>Shampoo Elvive Glycolic Gloss x 200 ml</t>
        </is>
      </c>
      <c r="E146" s="6" t="inlineStr">
        <is>
          <t>Elvive</t>
        </is>
      </c>
      <c r="F146" s="6" t="n">
        <v>7490</v>
      </c>
      <c r="G146" s="6" t="n">
        <v>7490</v>
      </c>
      <c r="H146" s="6" t="b">
        <v>1</v>
      </c>
      <c r="I146" s="6" t="n">
        <v>200</v>
      </c>
      <c r="J146" s="6" t="n">
        <v>37.45</v>
      </c>
      <c r="K146" s="6" t="inlineStr">
        <is>
          <t>&gt; Cuidado Capilar &gt; Shampoo Y Acondicionador &gt;</t>
        </is>
      </c>
      <c r="L146" s="6" t="inlineStr">
        <is>
          <t>shampoo</t>
        </is>
      </c>
      <c r="M146" s="6" t="inlineStr">
        <is>
          <t>profesional</t>
        </is>
      </c>
      <c r="N146" s="6" t="inlineStr">
        <is>
          <t>general</t>
        </is>
      </c>
      <c r="O146" s="6" t="inlineStr">
        <is>
          <t>https://www.farmacity.com/shampoo-elvive-glyco-gloss-x-200-ml/p</t>
        </is>
      </c>
    </row>
    <row r="147">
      <c r="A147" t="inlineStr">
        <is>
          <t>Farmacity</t>
        </is>
      </c>
      <c r="B147" t="n">
        <v>239425</v>
      </c>
      <c r="C147" t="n">
        <v>239425</v>
      </c>
      <c r="D147" t="inlineStr">
        <is>
          <t>Shampoo Tío Nacho Henna Egipcia Efecto Anti Canas x 415 ml</t>
        </is>
      </c>
      <c r="E147" t="inlineStr">
        <is>
          <t>Tío Nacho</t>
        </is>
      </c>
      <c r="F147" t="n">
        <v>8225</v>
      </c>
      <c r="G147" t="n">
        <v>11750</v>
      </c>
      <c r="H147" t="b">
        <v>1</v>
      </c>
      <c r="I147" t="n">
        <v>415</v>
      </c>
      <c r="J147" t="n">
        <v>19.8193</v>
      </c>
      <c r="K147" t="inlineStr">
        <is>
          <t>&gt; Cuidado Capilar &gt; Shampoo Y Acondicionador &gt;</t>
        </is>
      </c>
      <c r="L147" t="inlineStr">
        <is>
          <t>shampoo</t>
        </is>
      </c>
      <c r="M147" t="inlineStr">
        <is>
          <t>estandar</t>
        </is>
      </c>
      <c r="N147" t="inlineStr">
        <is>
          <t>general</t>
        </is>
      </c>
      <c r="O147" t="inlineStr">
        <is>
          <t>https://www.farmacity.com/shampoo-tio-nacho-anticanas-x-415-ml/p</t>
        </is>
      </c>
    </row>
    <row r="148">
      <c r="A148" s="6" t="inlineStr">
        <is>
          <t>Farmacity</t>
        </is>
      </c>
      <c r="B148" s="6" t="n">
        <v>238888</v>
      </c>
      <c r="C148" s="6" t="n">
        <v>238888</v>
      </c>
      <c r="D148" s="6" t="inlineStr">
        <is>
          <t>Shampoo Pantene Revitalización Pro-V Miracles x 400 ml</t>
        </is>
      </c>
      <c r="E148" s="6" t="inlineStr">
        <is>
          <t>Pantene</t>
        </is>
      </c>
      <c r="F148" s="6" t="n">
        <v>6137</v>
      </c>
      <c r="G148" s="6" t="n">
        <v>10228</v>
      </c>
      <c r="H148" s="6" t="b">
        <v>1</v>
      </c>
      <c r="I148" s="6" t="n">
        <v>400</v>
      </c>
      <c r="J148" s="6" t="n">
        <v>15.3425</v>
      </c>
      <c r="K148" s="6" t="inlineStr">
        <is>
          <t>&gt; Cuidado Capilar &gt; Shampoo Y Acondicionador &gt;</t>
        </is>
      </c>
      <c r="L148" s="6" t="inlineStr">
        <is>
          <t>shampoo</t>
        </is>
      </c>
      <c r="M148" s="6" t="inlineStr">
        <is>
          <t>profesional</t>
        </is>
      </c>
      <c r="N148" s="6" t="inlineStr">
        <is>
          <t>general</t>
        </is>
      </c>
      <c r="O148" s="6" t="inlineStr">
        <is>
          <t>https://www.farmacity.com/shampoo-pantene-pro-v-miracles-revitalizacion-x-400-ml/p</t>
        </is>
      </c>
    </row>
    <row r="149">
      <c r="A149" t="inlineStr">
        <is>
          <t>Farmacity</t>
        </is>
      </c>
      <c r="B149" t="n">
        <v>235936</v>
      </c>
      <c r="C149" t="n">
        <v>235936</v>
      </c>
      <c r="D149" t="inlineStr">
        <is>
          <t>Shampoo Fructis Hydra Liss x 350 ml</t>
        </is>
      </c>
      <c r="E149" t="inlineStr">
        <is>
          <t>Fructis</t>
        </is>
      </c>
      <c r="F149" t="n">
        <v>7990</v>
      </c>
      <c r="G149" t="n">
        <v>7990</v>
      </c>
      <c r="H149" t="b">
        <v>1</v>
      </c>
      <c r="I149" t="n">
        <v>350</v>
      </c>
      <c r="J149" t="n">
        <v>22.8286</v>
      </c>
      <c r="K149" t="inlineStr">
        <is>
          <t>&gt; Cuidado Capilar &gt; Shampoo Y Acondicionador &gt;</t>
        </is>
      </c>
      <c r="L149" t="inlineStr">
        <is>
          <t>shampoo</t>
        </is>
      </c>
      <c r="M149" t="inlineStr">
        <is>
          <t>estandar</t>
        </is>
      </c>
      <c r="N149" t="inlineStr">
        <is>
          <t>general</t>
        </is>
      </c>
      <c r="O149" t="inlineStr">
        <is>
          <t>https://www.farmacity.com/shampoo-fructis-hydra-liss-x-350-ml/p</t>
        </is>
      </c>
    </row>
    <row r="150">
      <c r="A150" s="6" t="inlineStr">
        <is>
          <t>Farmacity</t>
        </is>
      </c>
      <c r="B150" s="6" t="n">
        <v>232639</v>
      </c>
      <c r="C150" s="6" t="n">
        <v>232639</v>
      </c>
      <c r="D150" s="6" t="inlineStr">
        <is>
          <t>Shampoo Head &amp; Shoulders Limpieza y Revitalización x 180 ml</t>
        </is>
      </c>
      <c r="E150" s="6" t="inlineStr">
        <is>
          <t>Head and Shoulders</t>
        </is>
      </c>
      <c r="F150" s="6" t="n">
        <v>4701</v>
      </c>
      <c r="G150" s="6" t="n">
        <v>7233</v>
      </c>
      <c r="H150" s="6" t="b">
        <v>1</v>
      </c>
      <c r="I150" s="6" t="n">
        <v>180</v>
      </c>
      <c r="J150" s="6" t="n">
        <v>26.1167</v>
      </c>
      <c r="K150" s="6" t="inlineStr">
        <is>
          <t>&gt; Cuidado Capilar &gt; Shampoo Y Acondicionador &gt;</t>
        </is>
      </c>
      <c r="L150" s="6" t="inlineStr">
        <is>
          <t>shampoo</t>
        </is>
      </c>
      <c r="M150" s="6" t="inlineStr">
        <is>
          <t>estandar</t>
        </is>
      </c>
      <c r="N150" s="6" t="inlineStr">
        <is>
          <t>general</t>
        </is>
      </c>
      <c r="O150" s="6" t="inlineStr">
        <is>
          <t>https://www.farmacity.com/shampoo-head-y-shoulders-limpieza-y-revitalizacion-x-180-ml/p</t>
        </is>
      </c>
    </row>
    <row r="151">
      <c r="A151" t="inlineStr">
        <is>
          <t>Farmacity</t>
        </is>
      </c>
      <c r="B151" t="n">
        <v>229982</v>
      </c>
      <c r="C151" t="n">
        <v>229982</v>
      </c>
      <c r="D151" t="inlineStr">
        <is>
          <t>Shampoo Tío Nacho Aclarante x 415 ml</t>
        </is>
      </c>
      <c r="E151" t="inlineStr">
        <is>
          <t>Tío Nacho</t>
        </is>
      </c>
      <c r="F151" t="n">
        <v>8225</v>
      </c>
      <c r="G151" t="n">
        <v>11750</v>
      </c>
      <c r="H151" t="b">
        <v>1</v>
      </c>
      <c r="I151" t="n">
        <v>415</v>
      </c>
      <c r="J151" t="n">
        <v>19.8193</v>
      </c>
      <c r="K151" t="inlineStr">
        <is>
          <t>&gt; Cuidado Capilar &gt; Shampoo Y Acondicionador &gt;</t>
        </is>
      </c>
      <c r="L151" t="inlineStr">
        <is>
          <t>shampoo</t>
        </is>
      </c>
      <c r="M151" t="inlineStr">
        <is>
          <t>estandar</t>
        </is>
      </c>
      <c r="N151" t="inlineStr">
        <is>
          <t>general</t>
        </is>
      </c>
      <c r="O151" t="inlineStr">
        <is>
          <t>https://www.farmacity.com/shampoo-tio-nacho-aclarante-x-415-ml/p</t>
        </is>
      </c>
    </row>
    <row r="152">
      <c r="A152" s="6" t="inlineStr">
        <is>
          <t>Farmacity</t>
        </is>
      </c>
      <c r="B152" s="6" t="n">
        <v>247127</v>
      </c>
      <c r="C152" s="6" t="n">
        <v>247127</v>
      </c>
      <c r="D152" s="6" t="inlineStr">
        <is>
          <t>Shampoo Pantene Pro-V Restauración x 200 ml</t>
        </is>
      </c>
      <c r="E152" s="6" t="inlineStr">
        <is>
          <t>Pantene</t>
        </is>
      </c>
      <c r="F152" s="6" t="n">
        <v>6345</v>
      </c>
      <c r="G152" s="6" t="n">
        <v>6345</v>
      </c>
      <c r="H152" s="6" t="b">
        <v>1</v>
      </c>
      <c r="I152" s="6" t="n">
        <v>200</v>
      </c>
      <c r="J152" s="6" t="n">
        <v>31.725</v>
      </c>
      <c r="K152" s="6" t="inlineStr">
        <is>
          <t>&gt; Cuidado Capilar &gt; Shampoo Y Acondicionador &gt;</t>
        </is>
      </c>
      <c r="L152" s="6" t="inlineStr">
        <is>
          <t>shampoo</t>
        </is>
      </c>
      <c r="M152" s="6" t="inlineStr">
        <is>
          <t>profesional</t>
        </is>
      </c>
      <c r="N152" s="6" t="inlineStr">
        <is>
          <t>general</t>
        </is>
      </c>
      <c r="O152" s="6" t="inlineStr">
        <is>
          <t>https://www.farmacity.com/shampoo-pantene-pro-v-restauracion-x-200-ml/p</t>
        </is>
      </c>
    </row>
    <row r="153">
      <c r="A153" t="inlineStr">
        <is>
          <t>Farmacity</t>
        </is>
      </c>
      <c r="B153" t="n">
        <v>245730</v>
      </c>
      <c r="C153" t="n">
        <v>245730</v>
      </c>
      <c r="D153" t="inlineStr">
        <is>
          <t>Shampoo Seco Batiste Tropical x 200 ml</t>
        </is>
      </c>
      <c r="E153" t="inlineStr">
        <is>
          <t>Batiste</t>
        </is>
      </c>
      <c r="F153" t="n">
        <v>14364</v>
      </c>
      <c r="G153" t="n">
        <v>17955</v>
      </c>
      <c r="H153" t="b">
        <v>1</v>
      </c>
      <c r="I153" t="n">
        <v>200</v>
      </c>
      <c r="J153" t="n">
        <v>71.81999999999999</v>
      </c>
      <c r="K153" t="inlineStr">
        <is>
          <t>&gt; Cuidado Capilar &gt; Shampoo Y Acondicionador &gt;</t>
        </is>
      </c>
      <c r="L153" t="inlineStr">
        <is>
          <t>shampoo</t>
        </is>
      </c>
      <c r="M153" t="inlineStr">
        <is>
          <t>estandar</t>
        </is>
      </c>
      <c r="N153" t="inlineStr">
        <is>
          <t>seco_danado</t>
        </is>
      </c>
      <c r="O153" t="inlineStr">
        <is>
          <t>https://www.farmacity.com/shampoo-seco-batiste-tropical-x-200-ml/p</t>
        </is>
      </c>
    </row>
    <row r="154">
      <c r="A154" s="6" t="inlineStr">
        <is>
          <t>Farmacity</t>
        </is>
      </c>
      <c r="B154" s="6" t="n">
        <v>244970</v>
      </c>
      <c r="C154" s="6" t="n">
        <v>244970</v>
      </c>
      <c r="D154" s="6" t="inlineStr">
        <is>
          <t>Shampoo Capilatis Ortiga Mujer x 350 ml</t>
        </is>
      </c>
      <c r="E154" s="6" t="inlineStr">
        <is>
          <t>Capilatis</t>
        </is>
      </c>
      <c r="F154" s="6" t="n">
        <v>13000</v>
      </c>
      <c r="G154" s="6" t="n">
        <v>13000</v>
      </c>
      <c r="H154" s="6" t="b">
        <v>1</v>
      </c>
      <c r="I154" s="6" t="n">
        <v>350</v>
      </c>
      <c r="J154" s="6" t="n">
        <v>37.1429</v>
      </c>
      <c r="K154" s="6" t="inlineStr">
        <is>
          <t>&gt; Cuidado Capilar &gt; Shampoo Y Acondicionador &gt;</t>
        </is>
      </c>
      <c r="L154" s="6" t="inlineStr">
        <is>
          <t>shampoo</t>
        </is>
      </c>
      <c r="M154" s="6" t="inlineStr">
        <is>
          <t>estandar</t>
        </is>
      </c>
      <c r="N154" s="6" t="inlineStr">
        <is>
          <t>general</t>
        </is>
      </c>
      <c r="O154" s="6" t="inlineStr">
        <is>
          <t>https://www.farmacity.com/shampoo-ortiga-capilatis-mujer-x-350-ml/p</t>
        </is>
      </c>
    </row>
    <row r="155">
      <c r="A155" t="inlineStr">
        <is>
          <t>Farmacity</t>
        </is>
      </c>
      <c r="B155" t="n">
        <v>244530</v>
      </c>
      <c r="C155" t="n">
        <v>244530</v>
      </c>
      <c r="D155" t="inlineStr">
        <is>
          <t>Shampoo Huggies Hora de Soñar Manzanilla x 200 ml</t>
        </is>
      </c>
      <c r="E155" t="inlineStr">
        <is>
          <t>Huggies</t>
        </is>
      </c>
      <c r="F155" t="n">
        <v>5814</v>
      </c>
      <c r="G155" t="n">
        <v>5814</v>
      </c>
      <c r="H155" t="b">
        <v>1</v>
      </c>
      <c r="I155" t="n">
        <v>200</v>
      </c>
      <c r="J155" t="n">
        <v>29.07</v>
      </c>
      <c r="K155" t="inlineStr">
        <is>
          <t>&gt; Bebés &gt; Higiene del Bebé &gt; Baño Del Bebé &gt;</t>
        </is>
      </c>
      <c r="L155" t="inlineStr">
        <is>
          <t>shampoo</t>
        </is>
      </c>
      <c r="M155" t="inlineStr">
        <is>
          <t>estandar</t>
        </is>
      </c>
      <c r="N155" t="inlineStr">
        <is>
          <t>general</t>
        </is>
      </c>
      <c r="O155" t="inlineStr">
        <is>
          <t>https://www.farmacity.com/shampoo-huggies-hora-de-sonar-x-200-ml/p</t>
        </is>
      </c>
    </row>
    <row r="156">
      <c r="A156" s="6" t="inlineStr">
        <is>
          <t>Farmacity</t>
        </is>
      </c>
      <c r="B156" s="6" t="n">
        <v>243570</v>
      </c>
      <c r="C156" s="6" t="n">
        <v>243570</v>
      </c>
      <c r="D156" s="6" t="inlineStr">
        <is>
          <t>Shampoo Capilatis Ácido Glicólico x 350 ml</t>
        </is>
      </c>
      <c r="E156" s="6" t="inlineStr">
        <is>
          <t>Capilatis</t>
        </is>
      </c>
      <c r="F156" s="6" t="n">
        <v>13000</v>
      </c>
      <c r="G156" s="6" t="n">
        <v>13000</v>
      </c>
      <c r="H156" s="6" t="b">
        <v>1</v>
      </c>
      <c r="I156" s="6" t="n">
        <v>350</v>
      </c>
      <c r="J156" s="6" t="n">
        <v>37.1429</v>
      </c>
      <c r="K156" s="6" t="inlineStr">
        <is>
          <t>&gt; Cuidado Capilar &gt; Shampoo Y Acondicionador &gt;</t>
        </is>
      </c>
      <c r="L156" s="6" t="inlineStr">
        <is>
          <t>shampoo</t>
        </is>
      </c>
      <c r="M156" s="6" t="inlineStr">
        <is>
          <t>estandar</t>
        </is>
      </c>
      <c r="N156" s="6" t="inlineStr">
        <is>
          <t>general</t>
        </is>
      </c>
      <c r="O156" s="6" t="inlineStr">
        <is>
          <t>https://www.farmacity.com/shampoo-capilatis-acido-glicolico-x-350-ml/p</t>
        </is>
      </c>
    </row>
    <row r="157">
      <c r="A157" t="inlineStr">
        <is>
          <t>Farmacity</t>
        </is>
      </c>
      <c r="B157" t="n">
        <v>240413</v>
      </c>
      <c r="C157" t="n">
        <v>240413</v>
      </c>
      <c r="D157" t="inlineStr">
        <is>
          <t>Shampoo Piroctol AS Octopirox + Asoc. x 150 ml</t>
        </is>
      </c>
      <c r="E157" t="inlineStr">
        <is>
          <t>Valuge</t>
        </is>
      </c>
      <c r="F157" t="n">
        <v>38359</v>
      </c>
      <c r="G157" t="n">
        <v>38359</v>
      </c>
      <c r="H157" t="b">
        <v>1</v>
      </c>
      <c r="I157" t="n">
        <v>150</v>
      </c>
      <c r="J157" t="n">
        <v>255.7267</v>
      </c>
      <c r="K157" t="inlineStr">
        <is>
          <t>&gt; Venta Bajo Receta &gt; Dermatológico &gt;</t>
        </is>
      </c>
      <c r="L157" t="inlineStr">
        <is>
          <t>shampoo</t>
        </is>
      </c>
      <c r="M157" t="inlineStr">
        <is>
          <t>estandar</t>
        </is>
      </c>
      <c r="N157" t="inlineStr">
        <is>
          <t>general</t>
        </is>
      </c>
      <c r="O157" t="inlineStr">
        <is>
          <t>https://www.farmacity.com/shampoo-piroctol-as-octopirox-asoc-x-150-ml/p</t>
        </is>
      </c>
    </row>
    <row r="158">
      <c r="A158" s="6" t="inlineStr">
        <is>
          <t>Farmacity</t>
        </is>
      </c>
      <c r="B158" s="6" t="n">
        <v>239455</v>
      </c>
      <c r="C158" s="6" t="n">
        <v>239455</v>
      </c>
      <c r="D158" s="6" t="inlineStr">
        <is>
          <t>Shampoo Seco Batiste Rose Gold x 108 g</t>
        </is>
      </c>
      <c r="E158" s="6" t="inlineStr">
        <is>
          <t>Batiste</t>
        </is>
      </c>
      <c r="F158" s="6" t="n">
        <v>14364</v>
      </c>
      <c r="G158" s="6" t="n">
        <v>17955</v>
      </c>
      <c r="H158" s="6" t="b">
        <v>1</v>
      </c>
      <c r="I158" s="6" t="n">
        <v>108</v>
      </c>
      <c r="J158" s="6" t="n">
        <v>133</v>
      </c>
      <c r="K158" s="6" t="inlineStr">
        <is>
          <t>&gt; Cuidado Capilar &gt; Shampoo Y Acondicionador &gt;</t>
        </is>
      </c>
      <c r="L158" s="6" t="inlineStr">
        <is>
          <t>shampoo</t>
        </is>
      </c>
      <c r="M158" s="6" t="inlineStr">
        <is>
          <t>estandar</t>
        </is>
      </c>
      <c r="N158" s="6" t="inlineStr">
        <is>
          <t>seco_danado</t>
        </is>
      </c>
      <c r="O158" s="6" t="inlineStr">
        <is>
          <t>https://www.farmacity.com/shampoo-seco-batiste-rose-gold-x-108-g/p</t>
        </is>
      </c>
    </row>
    <row r="159">
      <c r="A159" t="inlineStr">
        <is>
          <t>Farmacity</t>
        </is>
      </c>
      <c r="B159" t="n">
        <v>238677</v>
      </c>
      <c r="C159" t="n">
        <v>238677</v>
      </c>
      <c r="D159" t="inlineStr">
        <is>
          <t>Shampoo Biferdil Kids Rojo x 250 ml</t>
        </is>
      </c>
      <c r="E159" t="inlineStr">
        <is>
          <t>Biferdil</t>
        </is>
      </c>
      <c r="F159" t="n">
        <v>12204</v>
      </c>
      <c r="G159" t="n">
        <v>12204</v>
      </c>
      <c r="H159" t="b">
        <v>1</v>
      </c>
      <c r="I159" t="n">
        <v>250</v>
      </c>
      <c r="J159" t="n">
        <v>48.816</v>
      </c>
      <c r="K159" t="inlineStr">
        <is>
          <t>&gt; Bebés &gt; Higiene del Bebé &gt; Baño Del Bebé &gt;</t>
        </is>
      </c>
      <c r="L159" t="inlineStr">
        <is>
          <t>shampoo</t>
        </is>
      </c>
      <c r="M159" t="inlineStr">
        <is>
          <t>estandar</t>
        </is>
      </c>
      <c r="N159" t="inlineStr">
        <is>
          <t>bebe</t>
        </is>
      </c>
      <c r="O159" t="inlineStr">
        <is>
          <t>https://www.farmacity.com/shampoo-biferdil-kids-rojo-x-250-ml/p</t>
        </is>
      </c>
    </row>
    <row r="160">
      <c r="A160" s="6" t="inlineStr">
        <is>
          <t>Farmacity</t>
        </is>
      </c>
      <c r="B160" s="6" t="n">
        <v>237880</v>
      </c>
      <c r="C160" s="6" t="n">
        <v>237880</v>
      </c>
      <c r="D160" s="6" t="inlineStr">
        <is>
          <t>Shampoo Capilatis Ortiga Concentrado Seco x 420 ml</t>
        </is>
      </c>
      <c r="E160" s="6" t="inlineStr">
        <is>
          <t>Capilatis</t>
        </is>
      </c>
      <c r="F160" s="6" t="n">
        <v>10800</v>
      </c>
      <c r="G160" s="6" t="n">
        <v>10800</v>
      </c>
      <c r="H160" s="6" t="b">
        <v>1</v>
      </c>
      <c r="I160" s="6" t="n">
        <v>420</v>
      </c>
      <c r="J160" s="6" t="n">
        <v>25.7143</v>
      </c>
      <c r="K160" s="6" t="inlineStr">
        <is>
          <t>&gt; Cuidado Capilar &gt; Shampoo Y Acondicionador &gt;</t>
        </is>
      </c>
      <c r="L160" s="6" t="inlineStr">
        <is>
          <t>shampoo</t>
        </is>
      </c>
      <c r="M160" s="6" t="inlineStr">
        <is>
          <t>estandar</t>
        </is>
      </c>
      <c r="N160" s="6" t="inlineStr">
        <is>
          <t>seco_danado</t>
        </is>
      </c>
      <c r="O160" s="6" t="inlineStr">
        <is>
          <t>https://www.farmacity.com/shampoo-capilatis-ortiga-concentrado-seco-x-420-ml/p</t>
        </is>
      </c>
    </row>
    <row r="161">
      <c r="A161" t="inlineStr">
        <is>
          <t>Farmacity</t>
        </is>
      </c>
      <c r="B161" t="n">
        <v>237327</v>
      </c>
      <c r="C161" t="n">
        <v>237327</v>
      </c>
      <c r="D161" t="inlineStr">
        <is>
          <t>Shampoo TRESemmé Brillo Lamelar x 250 ml</t>
        </is>
      </c>
      <c r="E161" t="inlineStr">
        <is>
          <t>Tresemmé</t>
        </is>
      </c>
      <c r="F161" t="n">
        <v>6091</v>
      </c>
      <c r="G161" t="n">
        <v>6091</v>
      </c>
      <c r="H161" t="b">
        <v>1</v>
      </c>
      <c r="I161" t="n">
        <v>250</v>
      </c>
      <c r="J161" t="n">
        <v>24.364</v>
      </c>
      <c r="K161" t="inlineStr">
        <is>
          <t>&gt; Cuidado Capilar &gt; Shampoo Y Acondicionador &gt;</t>
        </is>
      </c>
      <c r="L161" t="inlineStr">
        <is>
          <t>shampoo</t>
        </is>
      </c>
      <c r="M161" t="inlineStr">
        <is>
          <t>estandar</t>
        </is>
      </c>
      <c r="N161" t="inlineStr">
        <is>
          <t>general</t>
        </is>
      </c>
      <c r="O161" t="inlineStr">
        <is>
          <t>https://www.farmacity.com/shampoo-tresemme-brillo-lamelar-x-250-ml/p</t>
        </is>
      </c>
    </row>
    <row r="162">
      <c r="A162" s="6" t="inlineStr">
        <is>
          <t>Farmacity</t>
        </is>
      </c>
      <c r="B162" s="6" t="n">
        <v>237188</v>
      </c>
      <c r="C162" s="6" t="n">
        <v>237188</v>
      </c>
      <c r="D162" s="6" t="inlineStr">
        <is>
          <t>Shampoo Vichy Dercos Anti-Caspa x 2 un x 200 ml c/u</t>
        </is>
      </c>
      <c r="E162" s="6" t="inlineStr">
        <is>
          <t>Vichy</t>
        </is>
      </c>
      <c r="F162" s="6" t="n">
        <v>106976</v>
      </c>
      <c r="G162" s="6" t="n">
        <v>106976</v>
      </c>
      <c r="H162" s="6" t="b">
        <v>1</v>
      </c>
      <c r="I162" s="6" t="n">
        <v>200</v>
      </c>
      <c r="J162" s="6" t="n">
        <v>534.88</v>
      </c>
      <c r="K162" s="6" t="inlineStr">
        <is>
          <t>&gt; Dermocosmética &gt; Pelo &gt; Shampoos y Acondicionadores &gt;</t>
        </is>
      </c>
      <c r="L162" s="6" t="inlineStr">
        <is>
          <t>shampoo</t>
        </is>
      </c>
      <c r="M162" s="6" t="inlineStr">
        <is>
          <t>estandar</t>
        </is>
      </c>
      <c r="N162" s="6" t="inlineStr">
        <is>
          <t>anticaspa</t>
        </is>
      </c>
      <c r="O162" s="6" t="inlineStr">
        <is>
          <t>https://www.farmacity.com/shampoo-vichy-dercos-anti-caspa-x-2-un-x-200-ml-c-u/p</t>
        </is>
      </c>
    </row>
    <row r="163">
      <c r="A163" t="inlineStr">
        <is>
          <t>Farmacity</t>
        </is>
      </c>
      <c r="B163" t="n">
        <v>233212</v>
      </c>
      <c r="C163" t="n">
        <v>233212</v>
      </c>
      <c r="D163" t="inlineStr">
        <is>
          <t>Shampoo Anticaída Ecohair x 450 ml</t>
        </is>
      </c>
      <c r="E163" t="inlineStr">
        <is>
          <t>Garre Guevara</t>
        </is>
      </c>
      <c r="F163" t="n">
        <v>40000</v>
      </c>
      <c r="G163" t="n">
        <v>40000</v>
      </c>
      <c r="H163" t="b">
        <v>1</v>
      </c>
      <c r="I163" t="n">
        <v>450</v>
      </c>
      <c r="J163" t="n">
        <v>88.88890000000001</v>
      </c>
      <c r="K163" t="inlineStr">
        <is>
          <t>&gt; Venta Bajo Receta &gt; Sistema Digestivo y Metabolismo &gt;</t>
        </is>
      </c>
      <c r="L163" t="inlineStr">
        <is>
          <t>shampoo</t>
        </is>
      </c>
      <c r="M163" t="inlineStr">
        <is>
          <t>estandar</t>
        </is>
      </c>
      <c r="N163" t="inlineStr">
        <is>
          <t>general</t>
        </is>
      </c>
      <c r="O163" t="inlineStr">
        <is>
          <t>https://www.farmacity.com/shampoo-anticaida-ecohair-x-450-ml/p</t>
        </is>
      </c>
    </row>
    <row r="164">
      <c r="A164" s="6" t="inlineStr">
        <is>
          <t>Farmacity</t>
        </is>
      </c>
      <c r="B164" s="6" t="n">
        <v>231532</v>
      </c>
      <c r="C164" s="6" t="n">
        <v>231532</v>
      </c>
      <c r="D164" s="6" t="inlineStr">
        <is>
          <t>Shampoo Tio Nacho Aloe Vera V2 x 415 ml</t>
        </is>
      </c>
      <c r="E164" s="6" t="inlineStr">
        <is>
          <t>Tío Nacho</t>
        </is>
      </c>
      <c r="F164" s="6" t="n">
        <v>4973</v>
      </c>
      <c r="G164" s="6" t="n">
        <v>9947</v>
      </c>
      <c r="H164" s="6" t="b">
        <v>1</v>
      </c>
      <c r="I164" s="6" t="n">
        <v>415</v>
      </c>
      <c r="J164" s="6" t="n">
        <v>11.9831</v>
      </c>
      <c r="K164" s="6" t="inlineStr">
        <is>
          <t>&gt; Cuidado Capilar &gt; Shampoo Y Acondicionador &gt;</t>
        </is>
      </c>
      <c r="L164" s="6" t="inlineStr">
        <is>
          <t>shampoo</t>
        </is>
      </c>
      <c r="M164" s="6" t="inlineStr">
        <is>
          <t>estandar</t>
        </is>
      </c>
      <c r="N164" s="6" t="inlineStr">
        <is>
          <t>general</t>
        </is>
      </c>
      <c r="O164" s="6" t="inlineStr">
        <is>
          <t>https://www.farmacity.com/shampoo-tio-nacho-aloe-vera-x-415-ml/p</t>
        </is>
      </c>
    </row>
    <row r="165">
      <c r="A165" t="inlineStr">
        <is>
          <t>Farmacity</t>
        </is>
      </c>
      <c r="B165" t="n">
        <v>229636</v>
      </c>
      <c r="C165" t="n">
        <v>229636</v>
      </c>
      <c r="D165" t="inlineStr">
        <is>
          <t>Shampoo Dove Real Fuerza + Bambú x 300 ml</t>
        </is>
      </c>
      <c r="E165" t="inlineStr">
        <is>
          <t>Dove</t>
        </is>
      </c>
      <c r="F165" t="n">
        <v>3437</v>
      </c>
      <c r="G165" t="n">
        <v>6874</v>
      </c>
      <c r="H165" t="b">
        <v>1</v>
      </c>
      <c r="I165" t="n">
        <v>300</v>
      </c>
      <c r="J165" t="n">
        <v>11.4567</v>
      </c>
      <c r="K165" t="inlineStr">
        <is>
          <t>&gt; Cuidado Capilar &gt; Shampoo Y Acondicionador &gt;</t>
        </is>
      </c>
      <c r="L165" t="inlineStr">
        <is>
          <t>shampoo</t>
        </is>
      </c>
      <c r="M165" t="inlineStr">
        <is>
          <t>estandar</t>
        </is>
      </c>
      <c r="N165" t="inlineStr">
        <is>
          <t>general</t>
        </is>
      </c>
      <c r="O165" t="inlineStr">
        <is>
          <t>https://www.farmacity.com/shampoo-dove-plant-power-fuerza-bambu-x-300-ml/p</t>
        </is>
      </c>
    </row>
    <row r="166">
      <c r="A166" s="6" t="inlineStr">
        <is>
          <t>Farmacity</t>
        </is>
      </c>
      <c r="B166" s="6" t="n">
        <v>228963</v>
      </c>
      <c r="C166" s="6" t="n">
        <v>228963</v>
      </c>
      <c r="D166" s="6" t="inlineStr">
        <is>
          <t>Shampoo Solido Ruh Natual Off White x 65 g</t>
        </is>
      </c>
      <c r="E166" s="6" t="inlineStr">
        <is>
          <t>Ruh Natural</t>
        </is>
      </c>
      <c r="F166" s="6" t="n">
        <v>13508</v>
      </c>
      <c r="G166" s="6" t="n">
        <v>13508</v>
      </c>
      <c r="H166" s="6" t="b">
        <v>1</v>
      </c>
      <c r="I166" s="6" t="n">
        <v>65</v>
      </c>
      <c r="J166" s="6" t="n">
        <v>207.8154</v>
      </c>
      <c r="K166" s="6" t="inlineStr">
        <is>
          <t>&gt; Cuidado Capilar &gt; Shampoo Y Acondicionador &gt;</t>
        </is>
      </c>
      <c r="L166" s="6" t="inlineStr">
        <is>
          <t>shampoo</t>
        </is>
      </c>
      <c r="M166" s="6" t="inlineStr">
        <is>
          <t>estandar</t>
        </is>
      </c>
      <c r="N166" s="6" t="inlineStr">
        <is>
          <t>general</t>
        </is>
      </c>
      <c r="O166" s="6" t="inlineStr">
        <is>
          <t>https://www.farmacity.com/shampoo-solido-ruh-off-white-cabello-normal-x-65-g/p</t>
        </is>
      </c>
    </row>
    <row r="167">
      <c r="A167" t="inlineStr">
        <is>
          <t>Farmacity</t>
        </is>
      </c>
      <c r="B167" t="n">
        <v>226184</v>
      </c>
      <c r="C167" t="n">
        <v>226184</v>
      </c>
      <c r="D167" t="inlineStr">
        <is>
          <t>Shampoo Valcatil Aminoácidos + Asoc. Pomo x 150 ml</t>
        </is>
      </c>
      <c r="E167" t="inlineStr">
        <is>
          <t>Panalab</t>
        </is>
      </c>
      <c r="F167" t="n">
        <v>24670</v>
      </c>
      <c r="G167" t="n">
        <v>24670</v>
      </c>
      <c r="H167" t="b">
        <v>1</v>
      </c>
      <c r="I167" t="n">
        <v>150</v>
      </c>
      <c r="J167" t="n">
        <v>164.4667</v>
      </c>
      <c r="K167" t="inlineStr">
        <is>
          <t>&gt; Venta Bajo Receta &gt; Dermatológico &gt;</t>
        </is>
      </c>
      <c r="L167" t="inlineStr">
        <is>
          <t>shampoo</t>
        </is>
      </c>
      <c r="M167" t="inlineStr">
        <is>
          <t>estandar</t>
        </is>
      </c>
      <c r="N167" t="inlineStr">
        <is>
          <t>general</t>
        </is>
      </c>
      <c r="O167" t="inlineStr">
        <is>
          <t>https://www.farmacity.com/shampoo-valcatil-aminoacidos-asoc-pomo-x-150-ml/p</t>
        </is>
      </c>
    </row>
    <row r="168">
      <c r="A168" s="6" t="inlineStr">
        <is>
          <t>Farmacity</t>
        </is>
      </c>
      <c r="B168" s="6" t="n">
        <v>226017</v>
      </c>
      <c r="C168" s="6" t="n">
        <v>226017</v>
      </c>
      <c r="D168" s="6" t="inlineStr">
        <is>
          <t>Shampoo Valcatil Metionina + Cistina Pomo x 300 ml</t>
        </is>
      </c>
      <c r="E168" s="6" t="inlineStr">
        <is>
          <t>Panalab</t>
        </is>
      </c>
      <c r="F168" s="6" t="n">
        <v>41507</v>
      </c>
      <c r="G168" s="6" t="n">
        <v>41507</v>
      </c>
      <c r="H168" s="6" t="b">
        <v>1</v>
      </c>
      <c r="I168" s="6" t="n">
        <v>300</v>
      </c>
      <c r="J168" s="6" t="n">
        <v>138.3567</v>
      </c>
      <c r="K168" s="6" t="inlineStr">
        <is>
          <t>&gt; Venta Bajo Receta &gt; Dermatológico &gt;</t>
        </is>
      </c>
      <c r="L168" s="6" t="inlineStr">
        <is>
          <t>shampoo</t>
        </is>
      </c>
      <c r="M168" s="6" t="inlineStr">
        <is>
          <t>estandar</t>
        </is>
      </c>
      <c r="N168" s="6" t="inlineStr">
        <is>
          <t>general</t>
        </is>
      </c>
      <c r="O168" s="6" t="inlineStr">
        <is>
          <t>https://www.farmacity.com/shampoo-valcatil-metionina-cistina-pomo-x-300-ml/p</t>
        </is>
      </c>
    </row>
    <row r="169">
      <c r="A169" t="inlineStr">
        <is>
          <t>Farmacity</t>
        </is>
      </c>
      <c r="B169" t="n">
        <v>214554</v>
      </c>
      <c r="C169" t="n">
        <v>214554</v>
      </c>
      <c r="D169" t="inlineStr">
        <is>
          <t>Shampoo Vichy Dercos Kera Solutions Rejuvenecedor x 250 ml</t>
        </is>
      </c>
      <c r="E169" t="inlineStr">
        <is>
          <t>Vichy</t>
        </is>
      </c>
      <c r="F169" t="n">
        <v>59423</v>
      </c>
      <c r="G169" t="n">
        <v>59423</v>
      </c>
      <c r="H169" t="b">
        <v>1</v>
      </c>
      <c r="I169" t="n">
        <v>250</v>
      </c>
      <c r="J169" t="n">
        <v>237.692</v>
      </c>
      <c r="K169" t="inlineStr">
        <is>
          <t>&gt; Dermocosmética &gt; Pelo &gt; Shampoos y Acondicionadores &gt;</t>
        </is>
      </c>
      <c r="L169" t="inlineStr">
        <is>
          <t>shampoo</t>
        </is>
      </c>
      <c r="M169" t="inlineStr">
        <is>
          <t>estandar</t>
        </is>
      </c>
      <c r="N169" t="inlineStr">
        <is>
          <t>general</t>
        </is>
      </c>
      <c r="O169" t="inlineStr">
        <is>
          <t>https://www.farmacity.com/shampoo-vichy-dercos-kera-solutions-x-250-ml/p</t>
        </is>
      </c>
    </row>
    <row r="170">
      <c r="A170" s="6" t="inlineStr">
        <is>
          <t>Farmacity</t>
        </is>
      </c>
      <c r="B170" s="6" t="n">
        <v>204198</v>
      </c>
      <c r="C170" s="6" t="n">
        <v>204198</v>
      </c>
      <c r="D170" s="6" t="inlineStr">
        <is>
          <t>Shampoo Ayurvédico Sri Sri Tattva Protéico x 200 ml</t>
        </is>
      </c>
      <c r="E170" s="6" t="inlineStr">
        <is>
          <t>Sri Sri Tattva</t>
        </is>
      </c>
      <c r="F170" s="6" t="n">
        <v>17140</v>
      </c>
      <c r="G170" s="6" t="n">
        <v>17140</v>
      </c>
      <c r="H170" s="6" t="b">
        <v>1</v>
      </c>
      <c r="I170" s="6" t="n">
        <v>200</v>
      </c>
      <c r="J170" s="6" t="n">
        <v>85.7</v>
      </c>
      <c r="K170" s="6" t="inlineStr">
        <is>
          <t>&gt; Cuidado Capilar &gt; Shampoo Y Acondicionador &gt;</t>
        </is>
      </c>
      <c r="L170" s="6" t="inlineStr">
        <is>
          <t>shampoo</t>
        </is>
      </c>
      <c r="M170" s="6" t="inlineStr">
        <is>
          <t>estandar</t>
        </is>
      </c>
      <c r="N170" s="6" t="inlineStr">
        <is>
          <t>general</t>
        </is>
      </c>
      <c r="O170" s="6" t="inlineStr">
        <is>
          <t>https://www.farmacity.com/shampoo-ayurvedico-sri-sri-tattva-proteico-fenogreco-garbanzos-y-porotos-mung-x-200-ml/p</t>
        </is>
      </c>
    </row>
    <row r="171">
      <c r="A171" t="inlineStr">
        <is>
          <t>Farmacity</t>
        </is>
      </c>
      <c r="B171" t="n">
        <v>150781</v>
      </c>
      <c r="C171" t="n">
        <v>150781</v>
      </c>
      <c r="D171" t="inlineStr">
        <is>
          <t>Shampoo Pantene  Pro-V Solutions Hidratación  x 400 ml</t>
        </is>
      </c>
      <c r="E171" t="inlineStr">
        <is>
          <t>Pantene</t>
        </is>
      </c>
      <c r="F171" t="n">
        <v>8083</v>
      </c>
      <c r="G171" t="n">
        <v>8083</v>
      </c>
      <c r="H171" t="b">
        <v>1</v>
      </c>
      <c r="I171" t="n">
        <v>400</v>
      </c>
      <c r="J171" t="n">
        <v>20.2075</v>
      </c>
      <c r="K171" t="inlineStr">
        <is>
          <t>&gt; Cuidado Capilar &gt; Shampoo Y Acondicionador &gt;</t>
        </is>
      </c>
      <c r="L171" t="inlineStr">
        <is>
          <t>shampoo</t>
        </is>
      </c>
      <c r="M171" t="inlineStr">
        <is>
          <t>profesional</t>
        </is>
      </c>
      <c r="N171" t="inlineStr">
        <is>
          <t>seco_danado</t>
        </is>
      </c>
      <c r="O171" t="inlineStr">
        <is>
          <t>https://www.farmacity.com/shampoo-pantene-max-pro-v-hidratacion-x-400-ml/p</t>
        </is>
      </c>
    </row>
    <row r="172">
      <c r="A172" s="6" t="inlineStr">
        <is>
          <t>Farmacity</t>
        </is>
      </c>
      <c r="B172" s="6" t="n">
        <v>123819</v>
      </c>
      <c r="C172" s="6" t="n">
        <v>123819</v>
      </c>
      <c r="D172" s="6" t="inlineStr">
        <is>
          <t>Shampoo Clob-x Clobetasol 0.05% x 125 ml</t>
        </is>
      </c>
      <c r="E172" s="6" t="inlineStr">
        <is>
          <t>Galderma</t>
        </is>
      </c>
      <c r="F172" s="6" t="n">
        <v>34212</v>
      </c>
      <c r="G172" s="6" t="n">
        <v>34212</v>
      </c>
      <c r="H172" s="6" t="b">
        <v>1</v>
      </c>
      <c r="I172" s="6" t="n">
        <v>125</v>
      </c>
      <c r="J172" s="6" t="n">
        <v>273.696</v>
      </c>
      <c r="K172" s="6" t="inlineStr">
        <is>
          <t>&gt; Venta Bajo Receta &gt; Dermatológico &gt;</t>
        </is>
      </c>
      <c r="L172" s="6" t="inlineStr">
        <is>
          <t>shampoo</t>
        </is>
      </c>
      <c r="M172" s="6" t="inlineStr">
        <is>
          <t>estandar</t>
        </is>
      </c>
      <c r="N172" s="6" t="inlineStr">
        <is>
          <t>general</t>
        </is>
      </c>
      <c r="O172" s="6" t="inlineStr">
        <is>
          <t>https://www.farmacity.com/shampoo-clob-x-clobetasol-0-05-x-125-ml/p</t>
        </is>
      </c>
    </row>
    <row r="173">
      <c r="A173" t="inlineStr">
        <is>
          <t>Farmacity</t>
        </is>
      </c>
      <c r="B173" t="n">
        <v>34381</v>
      </c>
      <c r="C173" t="n">
        <v>34381</v>
      </c>
      <c r="D173" t="inlineStr">
        <is>
          <t>Shampoo Gel Hidrosam Colágeno + Elastina + Asoc. x 250 ml Shampoo Gel Hidrosam Col Geno + Elastina + Asoc. x 250 ml</t>
        </is>
      </c>
      <c r="E173" t="inlineStr">
        <is>
          <t>Andromaco</t>
        </is>
      </c>
      <c r="F173" t="n">
        <v>27598</v>
      </c>
      <c r="G173" t="n">
        <v>27598</v>
      </c>
      <c r="H173" t="b">
        <v>1</v>
      </c>
      <c r="I173" t="n">
        <v>250</v>
      </c>
      <c r="J173" t="n">
        <v>110.392</v>
      </c>
      <c r="K173" t="inlineStr">
        <is>
          <t>&gt; Venta Bajo Receta &gt; Dermatológico &gt;</t>
        </is>
      </c>
      <c r="L173" t="inlineStr">
        <is>
          <t>shampoo</t>
        </is>
      </c>
      <c r="M173" t="inlineStr">
        <is>
          <t>estandar</t>
        </is>
      </c>
      <c r="N173" t="inlineStr">
        <is>
          <t>general</t>
        </is>
      </c>
      <c r="O173" t="inlineStr">
        <is>
          <t>https://www.farmacity.com/shampoo-gel-hidrosam-colageno-elastina-asoc-x-250-ml/p</t>
        </is>
      </c>
    </row>
    <row r="174">
      <c r="A174" s="6" t="inlineStr">
        <is>
          <t>Farmacity</t>
        </is>
      </c>
      <c r="B174" s="6" t="n">
        <v>4206</v>
      </c>
      <c r="C174" s="6" t="n">
        <v>139200</v>
      </c>
      <c r="D174" s="6" t="inlineStr">
        <is>
          <t>Shampoo Elvive Keraliso Brillo y Sedosidad x 400 ml</t>
        </is>
      </c>
      <c r="E174" s="6" t="inlineStr">
        <is>
          <t>Elvive</t>
        </is>
      </c>
      <c r="F174" s="6" t="n">
        <v>3994</v>
      </c>
      <c r="G174" s="6" t="n">
        <v>7989</v>
      </c>
      <c r="H174" s="6" t="b">
        <v>1</v>
      </c>
      <c r="I174" s="6" t="n">
        <v>400</v>
      </c>
      <c r="J174" s="6" t="n">
        <v>9.984999999999999</v>
      </c>
      <c r="K174" s="6" t="inlineStr">
        <is>
          <t>&gt; Cuidado Capilar &gt; Shampoo Y Acondicionador &gt;</t>
        </is>
      </c>
      <c r="L174" s="6" t="inlineStr">
        <is>
          <t>shampoo</t>
        </is>
      </c>
      <c r="M174" s="6" t="inlineStr">
        <is>
          <t>profesional</t>
        </is>
      </c>
      <c r="N174" s="6" t="inlineStr">
        <is>
          <t>general</t>
        </is>
      </c>
      <c r="O174" s="6" t="inlineStr">
        <is>
          <t>https://www.farmacity.com/shampoo-kera-liso-brillo-y-suavidad-x-400-ml/p</t>
        </is>
      </c>
    </row>
    <row r="175">
      <c r="A175" t="inlineStr">
        <is>
          <t>Farmacity</t>
        </is>
      </c>
      <c r="B175" t="n">
        <v>1239</v>
      </c>
      <c r="C175" t="n">
        <v>111020</v>
      </c>
      <c r="D175" t="inlineStr">
        <is>
          <t>Shampoo Biferdil Control Caída Tonificante x 295 ml</t>
        </is>
      </c>
      <c r="E175" t="inlineStr">
        <is>
          <t>Biferdil</t>
        </is>
      </c>
      <c r="F175" t="n">
        <v>9828</v>
      </c>
      <c r="G175" t="n">
        <v>9828</v>
      </c>
      <c r="H175" t="b">
        <v>1</v>
      </c>
      <c r="I175" t="n">
        <v>295</v>
      </c>
      <c r="J175" t="n">
        <v>33.3153</v>
      </c>
      <c r="K175" t="inlineStr">
        <is>
          <t>&gt; Cuidado Capilar &gt; Shampoo Y Acondicionador &gt;</t>
        </is>
      </c>
      <c r="L175" t="inlineStr">
        <is>
          <t>shampoo</t>
        </is>
      </c>
      <c r="M175" t="inlineStr">
        <is>
          <t>estandar</t>
        </is>
      </c>
      <c r="N175" t="inlineStr">
        <is>
          <t>general</t>
        </is>
      </c>
      <c r="O175" t="inlineStr">
        <is>
          <t>https://www.farmacity.com/shampoo-control-caida-tonificante-x-295-ml/p</t>
        </is>
      </c>
    </row>
    <row r="176">
      <c r="A176" s="6" t="inlineStr">
        <is>
          <t>Farmacity</t>
        </is>
      </c>
      <c r="B176" s="6" t="n">
        <v>1202</v>
      </c>
      <c r="C176" s="6" t="n">
        <v>127714</v>
      </c>
      <c r="D176" s="6" t="inlineStr">
        <is>
          <t>Shampoo Biferdil Brillo y Nutrición x 295 ml</t>
        </is>
      </c>
      <c r="E176" s="6" t="inlineStr">
        <is>
          <t>Biferdil</t>
        </is>
      </c>
      <c r="F176" s="6" t="n">
        <v>17400</v>
      </c>
      <c r="G176" s="6" t="n">
        <v>17400</v>
      </c>
      <c r="H176" s="6" t="b">
        <v>1</v>
      </c>
      <c r="I176" s="6" t="n">
        <v>295</v>
      </c>
      <c r="J176" s="6" t="n">
        <v>58.9831</v>
      </c>
      <c r="K176" s="6" t="inlineStr">
        <is>
          <t>&gt; Cuidado Capilar &gt; Shampoo Y Acondicionador &gt;</t>
        </is>
      </c>
      <c r="L176" s="6" t="inlineStr">
        <is>
          <t>shampoo</t>
        </is>
      </c>
      <c r="M176" s="6" t="inlineStr">
        <is>
          <t>estandar</t>
        </is>
      </c>
      <c r="N176" s="6" t="inlineStr">
        <is>
          <t>general</t>
        </is>
      </c>
      <c r="O176" s="6" t="inlineStr">
        <is>
          <t>https://www.farmacity.com/shampoo-brillo-y-nutricion-x-295-ml/p</t>
        </is>
      </c>
    </row>
    <row r="177">
      <c r="A177" t="inlineStr">
        <is>
          <t>Farmacity</t>
        </is>
      </c>
      <c r="B177" t="n">
        <v>1190</v>
      </c>
      <c r="C177" t="n">
        <v>134442</v>
      </c>
      <c r="D177" t="inlineStr">
        <is>
          <t>Shampoo en Seco Klorane de Avena en Spray x 150 ml</t>
        </is>
      </c>
      <c r="E177" t="inlineStr">
        <is>
          <t>Klorane</t>
        </is>
      </c>
      <c r="F177" t="n">
        <v>40000</v>
      </c>
      <c r="G177" t="n">
        <v>40000</v>
      </c>
      <c r="H177" t="b">
        <v>1</v>
      </c>
      <c r="I177" t="n">
        <v>150</v>
      </c>
      <c r="J177" t="n">
        <v>266.6667</v>
      </c>
      <c r="K177" t="inlineStr">
        <is>
          <t>&gt; Dermocosmética &gt; Pelo &gt; Shampoos y Acondicionadores &gt;</t>
        </is>
      </c>
      <c r="L177" t="inlineStr">
        <is>
          <t>shampoo</t>
        </is>
      </c>
      <c r="M177" t="inlineStr">
        <is>
          <t>estandar</t>
        </is>
      </c>
      <c r="N177" t="inlineStr">
        <is>
          <t>seco_danado</t>
        </is>
      </c>
      <c r="O177" t="inlineStr">
        <is>
          <t>https://www.farmacity.com/shampoo-seco-en-aerosol-limpia-sin-mojar-x-150-ml/p</t>
        </is>
      </c>
    </row>
    <row r="178">
      <c r="A178" s="6" t="inlineStr">
        <is>
          <t>Farmacity</t>
        </is>
      </c>
      <c r="B178" s="6" t="n">
        <v>1137</v>
      </c>
      <c r="C178" s="6" t="n">
        <v>98326</v>
      </c>
      <c r="D178" s="6" t="inlineStr">
        <is>
          <t>Shampoo Hidratante Klorane Avena x 200 ml</t>
        </is>
      </c>
      <c r="E178" s="6" t="inlineStr">
        <is>
          <t>Klorane</t>
        </is>
      </c>
      <c r="F178" s="6" t="n">
        <v>29000</v>
      </c>
      <c r="G178" s="6" t="n">
        <v>29000</v>
      </c>
      <c r="H178" s="6" t="b">
        <v>1</v>
      </c>
      <c r="I178" s="6" t="n">
        <v>200</v>
      </c>
      <c r="J178" s="6" t="n">
        <v>145</v>
      </c>
      <c r="K178" s="6" t="inlineStr">
        <is>
          <t>&gt; Dermocosmética &gt; Pelo &gt; Shampoos y Acondicionadores &gt;</t>
        </is>
      </c>
      <c r="L178" s="6" t="inlineStr">
        <is>
          <t>shampoo</t>
        </is>
      </c>
      <c r="M178" s="6" t="inlineStr">
        <is>
          <t>estandar</t>
        </is>
      </c>
      <c r="N178" s="6" t="inlineStr">
        <is>
          <t>seco_danado</t>
        </is>
      </c>
      <c r="O178" s="6" t="inlineStr">
        <is>
          <t>https://www.farmacity.com/shampoo-a-la-leche-de-avena-x-200-ml/p</t>
        </is>
      </c>
    </row>
    <row r="179">
      <c r="A179" t="inlineStr">
        <is>
          <t>Farmacity</t>
        </is>
      </c>
      <c r="B179" t="n">
        <v>228550</v>
      </c>
      <c r="C179" t="n">
        <v>228550</v>
      </c>
      <c r="D179" t="inlineStr">
        <is>
          <t>Shampoo Biferdil P+T para la Caída x 300 ml</t>
        </is>
      </c>
      <c r="E179" t="inlineStr">
        <is>
          <t>Biferdil</t>
        </is>
      </c>
      <c r="F179" t="n">
        <v>8775</v>
      </c>
      <c r="G179" t="n">
        <v>13500</v>
      </c>
      <c r="H179" t="b">
        <v>1</v>
      </c>
      <c r="I179" t="n">
        <v>300</v>
      </c>
      <c r="J179" t="n">
        <v>29.25</v>
      </c>
      <c r="K179" t="inlineStr">
        <is>
          <t>&gt; Cuidado Capilar &gt; Shampoo Y Acondicionador &gt;</t>
        </is>
      </c>
      <c r="L179" t="inlineStr">
        <is>
          <t>shampoo</t>
        </is>
      </c>
      <c r="M179" t="inlineStr">
        <is>
          <t>estandar</t>
        </is>
      </c>
      <c r="N179" t="inlineStr">
        <is>
          <t>general</t>
        </is>
      </c>
      <c r="O179" t="inlineStr">
        <is>
          <t>https://www.farmacity.com/shampoo-biferdil-pt-para-la-caida-x-300-ml/p</t>
        </is>
      </c>
    </row>
    <row r="180">
      <c r="A180" s="6" t="inlineStr">
        <is>
          <t>Farmacity</t>
        </is>
      </c>
      <c r="B180" s="6" t="n">
        <v>221686</v>
      </c>
      <c r="C180" s="6" t="n">
        <v>221686</v>
      </c>
      <c r="D180" s="6" t="inlineStr">
        <is>
          <t>Shampoo Head &amp; Shoulders Crece Fuerte desde la Raíz x 375 ml</t>
        </is>
      </c>
      <c r="E180" s="6" t="inlineStr">
        <is>
          <t>Head and Shoulders</t>
        </is>
      </c>
      <c r="F180" s="6" t="n">
        <v>7895</v>
      </c>
      <c r="G180" s="6" t="n">
        <v>12146</v>
      </c>
      <c r="H180" s="6" t="b">
        <v>1</v>
      </c>
      <c r="I180" s="6" t="n">
        <v>375</v>
      </c>
      <c r="J180" s="6" t="n">
        <v>21.0533</v>
      </c>
      <c r="K180" s="6" t="inlineStr">
        <is>
          <t>&gt; Cuidado Capilar &gt; Shampoo Y Acondicionador &gt;</t>
        </is>
      </c>
      <c r="L180" s="6" t="inlineStr">
        <is>
          <t>shampoo</t>
        </is>
      </c>
      <c r="M180" s="6" t="inlineStr">
        <is>
          <t>estandar</t>
        </is>
      </c>
      <c r="N180" s="6" t="inlineStr">
        <is>
          <t>general</t>
        </is>
      </c>
      <c r="O180" s="6" t="inlineStr">
        <is>
          <t>https://www.farmacity.com/shampoo-head-y-shoulders-crece-fuerte-desde-la-raiz-x-375-ml/p</t>
        </is>
      </c>
    </row>
    <row r="181">
      <c r="A181" t="inlineStr">
        <is>
          <t>Farmacity</t>
        </is>
      </c>
      <c r="B181" t="n">
        <v>207433</v>
      </c>
      <c r="C181" t="n">
        <v>207433</v>
      </c>
      <c r="D181" t="inlineStr">
        <is>
          <t>Shampoo Ogx Coconut Milk x 385 ml</t>
        </is>
      </c>
      <c r="E181" t="inlineStr">
        <is>
          <t>OGX</t>
        </is>
      </c>
      <c r="F181" t="n">
        <v>27154</v>
      </c>
      <c r="G181" t="n">
        <v>27154</v>
      </c>
      <c r="H181" t="b">
        <v>1</v>
      </c>
      <c r="I181" t="n">
        <v>385</v>
      </c>
      <c r="J181" t="n">
        <v>70.5299</v>
      </c>
      <c r="K181" t="inlineStr">
        <is>
          <t>&gt; Cuidado Capilar &gt; Shampoo Y Acondicionador &gt;</t>
        </is>
      </c>
      <c r="L181" t="inlineStr">
        <is>
          <t>shampoo</t>
        </is>
      </c>
      <c r="M181" t="inlineStr">
        <is>
          <t>estandar</t>
        </is>
      </c>
      <c r="N181" t="inlineStr">
        <is>
          <t>general</t>
        </is>
      </c>
      <c r="O181" t="inlineStr">
        <is>
          <t>https://www.farmacity.com/shampoo-ogx-coconut-milk-x-385-ml/p</t>
        </is>
      </c>
    </row>
    <row r="182">
      <c r="A182" s="6" t="inlineStr">
        <is>
          <t>Farmacity</t>
        </is>
      </c>
      <c r="B182" s="6" t="n">
        <v>207427</v>
      </c>
      <c r="C182" s="6" t="n">
        <v>207427</v>
      </c>
      <c r="D182" s="6" t="inlineStr">
        <is>
          <t>Shampoo Ogx Brazilian Keratin Smooth x 385 ml</t>
        </is>
      </c>
      <c r="E182" s="6" t="inlineStr">
        <is>
          <t>OGX</t>
        </is>
      </c>
      <c r="F182" s="6" t="n">
        <v>27154</v>
      </c>
      <c r="G182" s="6" t="n">
        <v>27154</v>
      </c>
      <c r="H182" s="6" t="b">
        <v>1</v>
      </c>
      <c r="I182" s="6" t="n">
        <v>385</v>
      </c>
      <c r="J182" s="6" t="n">
        <v>70.5299</v>
      </c>
      <c r="K182" s="6" t="inlineStr">
        <is>
          <t>&gt; Cuidado Capilar &gt; Shampoo Y Acondicionador &gt;</t>
        </is>
      </c>
      <c r="L182" s="6" t="inlineStr">
        <is>
          <t>shampoo</t>
        </is>
      </c>
      <c r="M182" s="6" t="inlineStr">
        <is>
          <t>estandar</t>
        </is>
      </c>
      <c r="N182" s="6" t="inlineStr">
        <is>
          <t>general</t>
        </is>
      </c>
      <c r="O182" s="6" t="inlineStr">
        <is>
          <t>https://www.farmacity.com/shampoo-ogx-brazilian-keratin-smooth-x-385-ml/p</t>
        </is>
      </c>
    </row>
    <row r="183">
      <c r="A183" t="inlineStr">
        <is>
          <t>Farmacity</t>
        </is>
      </c>
      <c r="B183" t="n">
        <v>205391</v>
      </c>
      <c r="C183" t="n">
        <v>205391</v>
      </c>
      <c r="D183" t="inlineStr">
        <is>
          <t>Shampoo Herbal Essences White Grapefruit &amp; Mosa Mint x 400 ml</t>
        </is>
      </c>
      <c r="E183" t="inlineStr">
        <is>
          <t>Herbal Essences</t>
        </is>
      </c>
      <c r="F183" t="n">
        <v>10574</v>
      </c>
      <c r="G183" t="n">
        <v>16267</v>
      </c>
      <c r="H183" t="b">
        <v>1</v>
      </c>
      <c r="I183" t="n">
        <v>400</v>
      </c>
      <c r="J183" t="n">
        <v>26.435</v>
      </c>
      <c r="K183" t="inlineStr">
        <is>
          <t>&gt; Cuidado Capilar &gt; Shampoo Y Acondicionador &gt;</t>
        </is>
      </c>
      <c r="L183" t="inlineStr">
        <is>
          <t>shampoo</t>
        </is>
      </c>
      <c r="M183" t="inlineStr">
        <is>
          <t>estandar</t>
        </is>
      </c>
      <c r="N183" t="inlineStr">
        <is>
          <t>general</t>
        </is>
      </c>
      <c r="O183" t="inlineStr">
        <is>
          <t>https://www.farmacity.com/shampoo-herbal-essences-bio-renew-riadiant-shine-white-grapefruit-mosa-mint-400ml/p</t>
        </is>
      </c>
    </row>
    <row r="184">
      <c r="A184" s="6" t="inlineStr">
        <is>
          <t>Farmacity</t>
        </is>
      </c>
      <c r="B184" s="6" t="n">
        <v>161060</v>
      </c>
      <c r="C184" s="6" t="n">
        <v>161060</v>
      </c>
      <c r="D184" s="6" t="inlineStr">
        <is>
          <t>Shampoo Aveno Bebes y Niños x 250 ml</t>
        </is>
      </c>
      <c r="E184" s="6" t="inlineStr">
        <is>
          <t>Aveno</t>
        </is>
      </c>
      <c r="F184" s="6" t="n">
        <v>22618</v>
      </c>
      <c r="G184" s="6" t="n">
        <v>30157</v>
      </c>
      <c r="H184" s="6" t="b">
        <v>1</v>
      </c>
      <c r="I184" s="6" t="n">
        <v>250</v>
      </c>
      <c r="J184" s="6" t="n">
        <v>90.47199999999999</v>
      </c>
      <c r="K184" s="6" t="inlineStr">
        <is>
          <t>&gt; Bebés &gt; Higiene del Bebé &gt; Baño Del Bebé &gt;</t>
        </is>
      </c>
      <c r="L184" s="6" t="inlineStr">
        <is>
          <t>shampoo</t>
        </is>
      </c>
      <c r="M184" s="6" t="inlineStr">
        <is>
          <t>estandar</t>
        </is>
      </c>
      <c r="N184" s="6" t="inlineStr">
        <is>
          <t>bebe</t>
        </is>
      </c>
      <c r="O184" s="6" t="inlineStr">
        <is>
          <t>https://www.farmacity.com/aveno-infantil-shampoo-x-250-ml/p</t>
        </is>
      </c>
    </row>
    <row r="185">
      <c r="A185" t="inlineStr">
        <is>
          <t>Farmacity</t>
        </is>
      </c>
      <c r="B185" t="n">
        <v>9574</v>
      </c>
      <c r="C185" t="n">
        <v>158660</v>
      </c>
      <c r="D185" t="inlineStr">
        <is>
          <t>Shampoo Elvive Óleo Extraordinario Rizos x 200 ml</t>
        </is>
      </c>
      <c r="E185" t="inlineStr">
        <is>
          <t>Elvive</t>
        </is>
      </c>
      <c r="F185" t="n">
        <v>6990</v>
      </c>
      <c r="G185" t="n">
        <v>6990</v>
      </c>
      <c r="H185" t="b">
        <v>1</v>
      </c>
      <c r="I185" t="n">
        <v>200</v>
      </c>
      <c r="J185" t="n">
        <v>34.95</v>
      </c>
      <c r="K185" t="inlineStr">
        <is>
          <t>&gt; Cuidado Capilar &gt; Shampoo Y Acondicionador &gt;</t>
        </is>
      </c>
      <c r="L185" t="inlineStr">
        <is>
          <t>shampoo</t>
        </is>
      </c>
      <c r="M185" t="inlineStr">
        <is>
          <t>profesional</t>
        </is>
      </c>
      <c r="N185" t="inlineStr">
        <is>
          <t>rizado</t>
        </is>
      </c>
      <c r="O185" t="inlineStr">
        <is>
          <t>https://www.farmacity.com/shampoo-oleo-extraordinario-rizos-definidos-x-200ml/p</t>
        </is>
      </c>
    </row>
    <row r="186">
      <c r="A186" s="6" t="inlineStr">
        <is>
          <t>Farmacity</t>
        </is>
      </c>
      <c r="B186" s="6" t="n">
        <v>5351</v>
      </c>
      <c r="C186" s="6" t="n">
        <v>143505</v>
      </c>
      <c r="D186" s="6" t="inlineStr">
        <is>
          <t>Shampoo Elvive Reparación Total Extreme x 200 ml</t>
        </is>
      </c>
      <c r="E186" s="6" t="inlineStr">
        <is>
          <t>Elvive</t>
        </is>
      </c>
      <c r="F186" s="6" t="n">
        <v>6990</v>
      </c>
      <c r="G186" s="6" t="n">
        <v>6990</v>
      </c>
      <c r="H186" s="6" t="b">
        <v>1</v>
      </c>
      <c r="I186" s="6" t="n">
        <v>200</v>
      </c>
      <c r="J186" s="6" t="n">
        <v>34.95</v>
      </c>
      <c r="K186" s="6" t="inlineStr">
        <is>
          <t>&gt; Cuidado Capilar &gt; Shampoo Y Acondicionador &gt;</t>
        </is>
      </c>
      <c r="L186" s="6" t="inlineStr">
        <is>
          <t>shampoo</t>
        </is>
      </c>
      <c r="M186" s="6" t="inlineStr">
        <is>
          <t>profesional</t>
        </is>
      </c>
      <c r="N186" s="6" t="inlineStr">
        <is>
          <t>general</t>
        </is>
      </c>
      <c r="O186" s="6" t="inlineStr">
        <is>
          <t>https://www.farmacity.com/shampoo-reparacion-total-extreme-x-200-ml/p</t>
        </is>
      </c>
    </row>
    <row r="187">
      <c r="A187" t="inlineStr">
        <is>
          <t>Farmacity</t>
        </is>
      </c>
      <c r="B187" t="n">
        <v>3977</v>
      </c>
      <c r="C187" t="n">
        <v>138762</v>
      </c>
      <c r="D187" t="inlineStr">
        <is>
          <t>Shampoo Anticaspa Clear Control  Caída x 400 ml</t>
        </is>
      </c>
      <c r="E187" t="inlineStr">
        <is>
          <t>Clear</t>
        </is>
      </c>
      <c r="F187" t="n">
        <v>10412</v>
      </c>
      <c r="G187" t="n">
        <v>10412</v>
      </c>
      <c r="H187" t="b">
        <v>1</v>
      </c>
      <c r="I187" t="n">
        <v>400</v>
      </c>
      <c r="J187" t="n">
        <v>26.03</v>
      </c>
      <c r="K187" t="inlineStr">
        <is>
          <t>&gt; Cuidado Capilar &gt; Shampoo Y Acondicionador &gt;</t>
        </is>
      </c>
      <c r="L187" t="inlineStr">
        <is>
          <t>shampoo</t>
        </is>
      </c>
      <c r="M187" t="inlineStr">
        <is>
          <t>estandar</t>
        </is>
      </c>
      <c r="N187" t="inlineStr">
        <is>
          <t>anticaspa</t>
        </is>
      </c>
      <c r="O187" t="inlineStr">
        <is>
          <t>https://www.farmacity.com/shampoo-clear-anticaspa-control-caida-x-400-ml/p</t>
        </is>
      </c>
    </row>
    <row r="188">
      <c r="A188" s="6" t="inlineStr">
        <is>
          <t>Farmacity</t>
        </is>
      </c>
      <c r="B188" s="6" t="n">
        <v>1151</v>
      </c>
      <c r="C188" s="6" t="n">
        <v>23597</v>
      </c>
      <c r="D188" s="6" t="inlineStr">
        <is>
          <t>Shampoo Capilatis Engrosador x 410 ml</t>
        </is>
      </c>
      <c r="E188" s="6" t="inlineStr">
        <is>
          <t>Capilatis</t>
        </is>
      </c>
      <c r="F188" s="6" t="n">
        <v>6750</v>
      </c>
      <c r="G188" s="6" t="n">
        <v>9000</v>
      </c>
      <c r="H188" s="6" t="b">
        <v>1</v>
      </c>
      <c r="I188" s="6" t="n">
        <v>410</v>
      </c>
      <c r="J188" s="6" t="n">
        <v>16.4634</v>
      </c>
      <c r="K188" s="6" t="inlineStr">
        <is>
          <t>&gt; Cuidado Capilar &gt; Shampoo Y Acondicionador &gt;</t>
        </is>
      </c>
      <c r="L188" s="6" t="inlineStr">
        <is>
          <t>shampoo</t>
        </is>
      </c>
      <c r="M188" s="6" t="inlineStr">
        <is>
          <t>estandar</t>
        </is>
      </c>
      <c r="N188" s="6" t="inlineStr">
        <is>
          <t>general</t>
        </is>
      </c>
      <c r="O188" s="6" t="inlineStr">
        <is>
          <t>https://www.farmacity.com/shampoo-engrosador-x-410-ml/p</t>
        </is>
      </c>
    </row>
    <row r="189">
      <c r="A189" t="inlineStr">
        <is>
          <t>Farmacity</t>
        </is>
      </c>
      <c r="B189" t="n">
        <v>855</v>
      </c>
      <c r="C189" t="n">
        <v>7208</v>
      </c>
      <c r="D189" t="inlineStr">
        <is>
          <t>Shampoo Vichy Dercos Energy Anti-Caída x 200 ml</t>
        </is>
      </c>
      <c r="E189" t="inlineStr">
        <is>
          <t>Vichy</t>
        </is>
      </c>
      <c r="F189" t="n">
        <v>53488</v>
      </c>
      <c r="G189" t="n">
        <v>53488</v>
      </c>
      <c r="H189" t="b">
        <v>1</v>
      </c>
      <c r="I189" t="n">
        <v>200</v>
      </c>
      <c r="J189" t="n">
        <v>267.44</v>
      </c>
      <c r="K189" t="inlineStr">
        <is>
          <t>&gt; Dermocosmética &gt; Pelo &gt; Shampoos y Acondicionadores &gt;</t>
        </is>
      </c>
      <c r="L189" t="inlineStr">
        <is>
          <t>shampoo</t>
        </is>
      </c>
      <c r="M189" t="inlineStr">
        <is>
          <t>estandar</t>
        </is>
      </c>
      <c r="N189" t="inlineStr">
        <is>
          <t>general</t>
        </is>
      </c>
      <c r="O189" t="inlineStr">
        <is>
          <t>https://www.farmacity.com/shampoo-dercos-energizante-anticaida-x-200-ml/p</t>
        </is>
      </c>
    </row>
    <row r="190">
      <c r="A190" s="6" t="inlineStr">
        <is>
          <t>Farmacity</t>
        </is>
      </c>
      <c r="B190" s="6" t="n">
        <v>246059</v>
      </c>
      <c r="C190" s="6" t="n">
        <v>246059</v>
      </c>
      <c r="D190" s="6" t="inlineStr">
        <is>
          <t>Shampoo Biferdil Ultra Brillo Minitalla x 100 ml</t>
        </is>
      </c>
      <c r="E190" s="6" t="inlineStr">
        <is>
          <t>Biferdil</t>
        </is>
      </c>
      <c r="F190" s="6" t="n">
        <v>8748</v>
      </c>
      <c r="G190" s="6" t="n">
        <v>8748</v>
      </c>
      <c r="H190" s="6" t="b">
        <v>1</v>
      </c>
      <c r="I190" s="6" t="n">
        <v>100</v>
      </c>
      <c r="J190" s="6" t="n">
        <v>87.48</v>
      </c>
      <c r="K190" s="6" t="inlineStr">
        <is>
          <t>&gt; Cuidado Capilar &gt; Shampoo Y Acondicionador &gt;</t>
        </is>
      </c>
      <c r="L190" s="6" t="inlineStr">
        <is>
          <t>shampoo</t>
        </is>
      </c>
      <c r="M190" s="6" t="inlineStr">
        <is>
          <t>estandar</t>
        </is>
      </c>
      <c r="N190" s="6" t="inlineStr">
        <is>
          <t>general</t>
        </is>
      </c>
      <c r="O190" s="6" t="inlineStr">
        <is>
          <t>https://www.farmacity.com/shampoo-biferdil-ultra-brillo-minitalla-x-100-ml/p</t>
        </is>
      </c>
    </row>
    <row r="191">
      <c r="A191" t="inlineStr">
        <is>
          <t>Farmacity</t>
        </is>
      </c>
      <c r="B191" t="n">
        <v>244538</v>
      </c>
      <c r="C191" t="n">
        <v>244538</v>
      </c>
      <c r="D191" t="inlineStr">
        <is>
          <t>Shampoo Pantene Colageno x 300 ml</t>
        </is>
      </c>
      <c r="E191" t="inlineStr">
        <is>
          <t>Pantene</t>
        </is>
      </c>
      <c r="F191" t="n">
        <v>6032</v>
      </c>
      <c r="G191" t="n">
        <v>10054</v>
      </c>
      <c r="H191" t="b">
        <v>1</v>
      </c>
      <c r="I191" t="n">
        <v>300</v>
      </c>
      <c r="J191" t="n">
        <v>20.1067</v>
      </c>
      <c r="K191" t="inlineStr">
        <is>
          <t>&gt; Cuidado Capilar &gt; Shampoo Y Acondicionador &gt;</t>
        </is>
      </c>
      <c r="L191" t="inlineStr">
        <is>
          <t>shampoo</t>
        </is>
      </c>
      <c r="M191" t="inlineStr">
        <is>
          <t>estandar</t>
        </is>
      </c>
      <c r="N191" t="inlineStr">
        <is>
          <t>general</t>
        </is>
      </c>
      <c r="O191" t="inlineStr">
        <is>
          <t>https://www.farmacity.com/shampoo-pantene-colageno-x-300-ml/p</t>
        </is>
      </c>
    </row>
    <row r="192">
      <c r="A192" s="6" t="inlineStr">
        <is>
          <t>Farmacity</t>
        </is>
      </c>
      <c r="B192" s="6" t="n">
        <v>243706</v>
      </c>
      <c r="C192" s="6" t="n">
        <v>243706</v>
      </c>
      <c r="D192" s="6" t="inlineStr">
        <is>
          <t>Shampoo Head &amp; Shoulders Anti Resequedad x 180 ml</t>
        </is>
      </c>
      <c r="E192" s="6" t="inlineStr">
        <is>
          <t>Head and Shoulders</t>
        </is>
      </c>
      <c r="F192" s="6" t="n">
        <v>4701</v>
      </c>
      <c r="G192" s="6" t="n">
        <v>7233</v>
      </c>
      <c r="H192" s="6" t="b">
        <v>1</v>
      </c>
      <c r="I192" s="6" t="n">
        <v>180</v>
      </c>
      <c r="J192" s="6" t="n">
        <v>26.1167</v>
      </c>
      <c r="K192" s="6" t="inlineStr">
        <is>
          <t>&gt; Cuidado Capilar &gt; Shampoo Y Acondicionador &gt;</t>
        </is>
      </c>
      <c r="L192" s="6" t="inlineStr">
        <is>
          <t>shampoo</t>
        </is>
      </c>
      <c r="M192" s="6" t="inlineStr">
        <is>
          <t>estandar</t>
        </is>
      </c>
      <c r="N192" s="6" t="inlineStr">
        <is>
          <t>general</t>
        </is>
      </c>
      <c r="O192" s="6" t="inlineStr">
        <is>
          <t>https://www.farmacity.com/shampoo-head-shoulders-anti-resequedad-x-180-ml/p</t>
        </is>
      </c>
    </row>
    <row r="193">
      <c r="A193" t="inlineStr">
        <is>
          <t>Farmacity</t>
        </is>
      </c>
      <c r="B193" t="n">
        <v>241570</v>
      </c>
      <c r="C193" t="n">
        <v>241570</v>
      </c>
      <c r="D193" t="inlineStr">
        <is>
          <t>Shampoo Bagóvit Capilar Plasma Vegetal x 350 ml</t>
        </is>
      </c>
      <c r="E193" t="inlineStr">
        <is>
          <t>Bagóvit</t>
        </is>
      </c>
      <c r="F193" t="n">
        <v>10470</v>
      </c>
      <c r="G193" t="n">
        <v>10470</v>
      </c>
      <c r="H193" t="b">
        <v>1</v>
      </c>
      <c r="I193" t="n">
        <v>350</v>
      </c>
      <c r="J193" t="n">
        <v>29.9143</v>
      </c>
      <c r="K193" t="inlineStr">
        <is>
          <t>&gt; Cuidado Capilar &gt; Shampoo Y Acondicionador &gt;</t>
        </is>
      </c>
      <c r="L193" t="inlineStr">
        <is>
          <t>shampoo</t>
        </is>
      </c>
      <c r="M193" t="inlineStr">
        <is>
          <t>estandar</t>
        </is>
      </c>
      <c r="N193" t="inlineStr">
        <is>
          <t>general</t>
        </is>
      </c>
      <c r="O193" t="inlineStr">
        <is>
          <t>https://www.farmacity.com/shampoo-bagovit-capilar-plasma-vegetal-x-350-ml/p</t>
        </is>
      </c>
    </row>
    <row r="194">
      <c r="A194" s="6" t="inlineStr">
        <is>
          <t>Farmacity</t>
        </is>
      </c>
      <c r="B194" s="6" t="n">
        <v>241438</v>
      </c>
      <c r="C194" s="6" t="n">
        <v>241438</v>
      </c>
      <c r="D194" s="6" t="inlineStr">
        <is>
          <t>Shampoo Dercos Oil Control x 200 ml</t>
        </is>
      </c>
      <c r="E194" s="6" t="inlineStr">
        <is>
          <t>Vichy</t>
        </is>
      </c>
      <c r="F194" s="6" t="n">
        <v>53488</v>
      </c>
      <c r="G194" s="6" t="n">
        <v>53488</v>
      </c>
      <c r="H194" s="6" t="b">
        <v>1</v>
      </c>
      <c r="I194" s="6" t="n">
        <v>200</v>
      </c>
      <c r="J194" s="6" t="n">
        <v>267.44</v>
      </c>
      <c r="K194" s="6" t="inlineStr">
        <is>
          <t>&gt; Dermocosmética &gt; Pelo &gt; Shampoos y Acondicionadores &gt;</t>
        </is>
      </c>
      <c r="L194" s="6" t="inlineStr">
        <is>
          <t>shampoo</t>
        </is>
      </c>
      <c r="M194" s="6" t="inlineStr">
        <is>
          <t>estandar</t>
        </is>
      </c>
      <c r="N194" s="6" t="inlineStr">
        <is>
          <t>general</t>
        </is>
      </c>
      <c r="O194" s="6" t="inlineStr">
        <is>
          <t>https://www.farmacity.com/shampoo-dercos-oil-control-x-200-ml/p</t>
        </is>
      </c>
    </row>
    <row r="195">
      <c r="A195" t="inlineStr">
        <is>
          <t>Farmacity</t>
        </is>
      </c>
      <c r="B195" t="n">
        <v>240911</v>
      </c>
      <c r="C195" t="n">
        <v>240911</v>
      </c>
      <c r="D195" t="inlineStr">
        <is>
          <t>Shampoo Humectación Baby Dove Enriquecida Sin Lágrimas x 200 ml</t>
        </is>
      </c>
      <c r="E195" t="inlineStr">
        <is>
          <t>Dove</t>
        </is>
      </c>
      <c r="F195" t="n">
        <v>7011</v>
      </c>
      <c r="G195" t="n">
        <v>7011</v>
      </c>
      <c r="H195" t="b">
        <v>1</v>
      </c>
      <c r="I195" t="n">
        <v>200</v>
      </c>
      <c r="J195" t="n">
        <v>35.055</v>
      </c>
      <c r="K195" t="inlineStr">
        <is>
          <t>&gt; Bebés &gt; Higiene del Bebé &gt; Baño Del Bebé &gt;</t>
        </is>
      </c>
      <c r="L195" t="inlineStr">
        <is>
          <t>shampoo</t>
        </is>
      </c>
      <c r="M195" t="inlineStr">
        <is>
          <t>estandar</t>
        </is>
      </c>
      <c r="N195" t="inlineStr">
        <is>
          <t>general</t>
        </is>
      </c>
      <c r="O195" t="inlineStr">
        <is>
          <t>https://www.farmacity.com/shampoo-dove-baby-humectacion-enriquecida-x-200-ml/p</t>
        </is>
      </c>
    </row>
    <row r="196">
      <c r="A196" s="6" t="inlineStr">
        <is>
          <t>Farmacity</t>
        </is>
      </c>
      <c r="B196" s="6" t="n">
        <v>240013</v>
      </c>
      <c r="C196" s="6" t="n">
        <v>240013</v>
      </c>
      <c r="D196" s="6" t="inlineStr">
        <is>
          <t>Shampoo Elvive Glycolic Gloss x 750 ml</t>
        </is>
      </c>
      <c r="E196" s="6" t="inlineStr">
        <is>
          <t>Elvive</t>
        </is>
      </c>
      <c r="F196" s="6" t="n">
        <v>19990</v>
      </c>
      <c r="G196" s="6" t="n">
        <v>19990</v>
      </c>
      <c r="H196" s="6" t="b">
        <v>1</v>
      </c>
      <c r="I196" s="6" t="n">
        <v>750</v>
      </c>
      <c r="J196" s="6" t="n">
        <v>26.6533</v>
      </c>
      <c r="K196" s="6" t="inlineStr">
        <is>
          <t>&gt; Cuidado Capilar &gt; Shampoo Y Acondicionador &gt;</t>
        </is>
      </c>
      <c r="L196" s="6" t="inlineStr">
        <is>
          <t>shampoo</t>
        </is>
      </c>
      <c r="M196" s="6" t="inlineStr">
        <is>
          <t>profesional</t>
        </is>
      </c>
      <c r="N196" s="6" t="inlineStr">
        <is>
          <t>general</t>
        </is>
      </c>
      <c r="O196" s="6" t="inlineStr">
        <is>
          <t>https://www.farmacity.com/shampoo-elvive-glyco-gloss-x-750-ml/p</t>
        </is>
      </c>
    </row>
    <row r="197">
      <c r="A197" t="inlineStr">
        <is>
          <t>Farmacity</t>
        </is>
      </c>
      <c r="B197" t="n">
        <v>238883</v>
      </c>
      <c r="C197" t="n">
        <v>238883</v>
      </c>
      <c r="D197" t="inlineStr">
        <is>
          <t>Shampoo Pantene Pro-V Miracles Liso Infinito x 200 ml</t>
        </is>
      </c>
      <c r="E197" t="inlineStr">
        <is>
          <t>Pantene</t>
        </is>
      </c>
      <c r="F197" t="n">
        <v>3807</v>
      </c>
      <c r="G197" t="n">
        <v>6345</v>
      </c>
      <c r="H197" t="b">
        <v>1</v>
      </c>
      <c r="I197" t="n">
        <v>200</v>
      </c>
      <c r="J197" t="n">
        <v>19.035</v>
      </c>
      <c r="K197" t="inlineStr">
        <is>
          <t>&gt; Cuidado Capilar &gt; Shampoo Y Acondicionador &gt;</t>
        </is>
      </c>
      <c r="L197" t="inlineStr">
        <is>
          <t>shampoo</t>
        </is>
      </c>
      <c r="M197" t="inlineStr">
        <is>
          <t>profesional</t>
        </is>
      </c>
      <c r="N197" t="inlineStr">
        <is>
          <t>general</t>
        </is>
      </c>
      <c r="O197" t="inlineStr">
        <is>
          <t>https://www.farmacity.com/shampoo-pantene-pro-v-miracles-liso-infinito-x-200-ml/p</t>
        </is>
      </c>
    </row>
    <row r="198">
      <c r="A198" s="6" t="inlineStr">
        <is>
          <t>Farmacity</t>
        </is>
      </c>
      <c r="B198" s="6" t="n">
        <v>235977</v>
      </c>
      <c r="C198" s="6" t="n">
        <v>235977</v>
      </c>
      <c r="D198" s="6" t="inlineStr">
        <is>
          <t>Shampoo Elvive Reparación Total Extreme x 750 ml</t>
        </is>
      </c>
      <c r="E198" s="6" t="inlineStr">
        <is>
          <t>Elvive</t>
        </is>
      </c>
      <c r="F198" s="6" t="n">
        <v>17990</v>
      </c>
      <c r="G198" s="6" t="n">
        <v>17990</v>
      </c>
      <c r="H198" s="6" t="b">
        <v>1</v>
      </c>
      <c r="I198" s="6" t="n">
        <v>750</v>
      </c>
      <c r="J198" s="6" t="n">
        <v>23.9867</v>
      </c>
      <c r="K198" s="6" t="inlineStr">
        <is>
          <t>&gt; Cuidado Capilar &gt; Shampoo Y Acondicionador &gt;</t>
        </is>
      </c>
      <c r="L198" s="6" t="inlineStr">
        <is>
          <t>shampoo</t>
        </is>
      </c>
      <c r="M198" s="6" t="inlineStr">
        <is>
          <t>profesional</t>
        </is>
      </c>
      <c r="N198" s="6" t="inlineStr">
        <is>
          <t>general</t>
        </is>
      </c>
      <c r="O198" s="6" t="inlineStr">
        <is>
          <t>https://www.farmacity.com/shampoo-elvive-reparacion-total-extreme-x-750-ml/p</t>
        </is>
      </c>
    </row>
    <row r="199">
      <c r="A199" t="inlineStr">
        <is>
          <t>Farmacity</t>
        </is>
      </c>
      <c r="B199" t="n">
        <v>225540</v>
      </c>
      <c r="C199" t="n">
        <v>225540</v>
      </c>
      <c r="D199" t="inlineStr">
        <is>
          <t>Shampoo Bagóvit Nutrición Profunda x 350 ml</t>
        </is>
      </c>
      <c r="E199" t="inlineStr">
        <is>
          <t>Bagóvit</t>
        </is>
      </c>
      <c r="F199" t="n">
        <v>9973</v>
      </c>
      <c r="G199" t="n">
        <v>9973</v>
      </c>
      <c r="H199" t="b">
        <v>1</v>
      </c>
      <c r="I199" t="n">
        <v>350</v>
      </c>
      <c r="J199" t="n">
        <v>28.4943</v>
      </c>
      <c r="K199" t="inlineStr">
        <is>
          <t>&gt; Cuidado Capilar &gt; Shampoo Y Acondicionador &gt;</t>
        </is>
      </c>
      <c r="L199" t="inlineStr">
        <is>
          <t>shampoo</t>
        </is>
      </c>
      <c r="M199" t="inlineStr">
        <is>
          <t>estandar</t>
        </is>
      </c>
      <c r="N199" t="inlineStr">
        <is>
          <t>general</t>
        </is>
      </c>
      <c r="O199" t="inlineStr">
        <is>
          <t>https://www.farmacity.com/shampoo-bagovit-nutricion-profunda-x-350-ml/p</t>
        </is>
      </c>
    </row>
    <row r="200">
      <c r="A200" s="6" t="inlineStr">
        <is>
          <t>Farmacity</t>
        </is>
      </c>
      <c r="B200" s="6" t="n">
        <v>223838</v>
      </c>
      <c r="C200" s="6" t="n">
        <v>223838</v>
      </c>
      <c r="D200" s="6" t="inlineStr">
        <is>
          <t>Shampoo para Niños Johnson's Fragancia Prolongada x 400 ml</t>
        </is>
      </c>
      <c r="E200" s="6" t="inlineStr">
        <is>
          <t>Johnson's</t>
        </is>
      </c>
      <c r="F200" s="6" t="n">
        <v>7169</v>
      </c>
      <c r="G200" s="6" t="n">
        <v>10242</v>
      </c>
      <c r="H200" s="6" t="b">
        <v>1</v>
      </c>
      <c r="I200" s="6" t="n">
        <v>400</v>
      </c>
      <c r="J200" s="6" t="n">
        <v>17.9225</v>
      </c>
      <c r="K200" s="6" t="inlineStr">
        <is>
          <t>&gt; Bebés &gt; Higiene del Bebé &gt; Baño Del Bebé &gt;</t>
        </is>
      </c>
      <c r="L200" s="6" t="inlineStr">
        <is>
          <t>shampoo</t>
        </is>
      </c>
      <c r="M200" s="6" t="inlineStr">
        <is>
          <t>estandar</t>
        </is>
      </c>
      <c r="N200" s="6" t="inlineStr">
        <is>
          <t>bebe</t>
        </is>
      </c>
      <c r="O200" s="6" t="inlineStr">
        <is>
          <t>https://www.farmacity.com/shampoo-johnsons-niños-fragancia-prolongada-x-400-ml/p</t>
        </is>
      </c>
    </row>
    <row r="201">
      <c r="A201" t="inlineStr">
        <is>
          <t>Farmacity</t>
        </is>
      </c>
      <c r="B201" t="n">
        <v>219374</v>
      </c>
      <c r="C201" t="n">
        <v>219374</v>
      </c>
      <c r="D201" t="inlineStr">
        <is>
          <t>Shampoo Desamarillador Alta Moda Intense Blond x 300 ml</t>
        </is>
      </c>
      <c r="E201" t="inlineStr">
        <is>
          <t>Alta Moda</t>
        </is>
      </c>
      <c r="F201" t="n">
        <v>9008</v>
      </c>
      <c r="G201" t="n">
        <v>9008</v>
      </c>
      <c r="H201" t="b">
        <v>1</v>
      </c>
      <c r="I201" t="n">
        <v>300</v>
      </c>
      <c r="J201" t="n">
        <v>30.0267</v>
      </c>
      <c r="K201" t="inlineStr">
        <is>
          <t>&gt; Cuidado Capilar &gt; Shampoo Y Acondicionador &gt;</t>
        </is>
      </c>
      <c r="L201" t="inlineStr">
        <is>
          <t>shampoo</t>
        </is>
      </c>
      <c r="M201" t="inlineStr">
        <is>
          <t>estandar</t>
        </is>
      </c>
      <c r="N201" t="inlineStr">
        <is>
          <t>general</t>
        </is>
      </c>
      <c r="O201" t="inlineStr">
        <is>
          <t>https://www.farmacity.com/shampoo-alta-moda-e-desamarillador-x-300-ml/p</t>
        </is>
      </c>
    </row>
    <row r="202">
      <c r="A202" s="6" t="inlineStr">
        <is>
          <t>Farmacity</t>
        </is>
      </c>
      <c r="B202" s="6" t="n">
        <v>200787</v>
      </c>
      <c r="C202" s="6" t="n">
        <v>200787</v>
      </c>
      <c r="D202" s="6" t="inlineStr">
        <is>
          <t>Shampoo Fructis Liso Coco x 350 ml</t>
        </is>
      </c>
      <c r="E202" s="6" t="inlineStr">
        <is>
          <t>Fructis</t>
        </is>
      </c>
      <c r="F202" s="6" t="n">
        <v>7990</v>
      </c>
      <c r="G202" s="6" t="n">
        <v>7990</v>
      </c>
      <c r="H202" s="6" t="b">
        <v>1</v>
      </c>
      <c r="I202" s="6" t="n">
        <v>350</v>
      </c>
      <c r="J202" s="6" t="n">
        <v>22.8286</v>
      </c>
      <c r="K202" s="6" t="inlineStr">
        <is>
          <t>&gt; Cuidado Capilar &gt; Shampoo Y Acondicionador &gt;</t>
        </is>
      </c>
      <c r="L202" s="6" t="inlineStr">
        <is>
          <t>shampoo</t>
        </is>
      </c>
      <c r="M202" s="6" t="inlineStr">
        <is>
          <t>estandar</t>
        </is>
      </c>
      <c r="N202" s="6" t="inlineStr">
        <is>
          <t>general</t>
        </is>
      </c>
      <c r="O202" s="6" t="inlineStr">
        <is>
          <t>https://www.farmacity.com/shampoo-fructis-liso-coco-x-350-ml/p</t>
        </is>
      </c>
    </row>
    <row r="203">
      <c r="A203" t="inlineStr">
        <is>
          <t>Farmacity</t>
        </is>
      </c>
      <c r="B203" t="n">
        <v>3866</v>
      </c>
      <c r="C203" t="n">
        <v>138759</v>
      </c>
      <c r="D203" t="inlineStr">
        <is>
          <t>Shampoo 2 en 1 Anticaspa Clear Limpieza Diaria x 200 ml</t>
        </is>
      </c>
      <c r="E203" t="inlineStr">
        <is>
          <t>Clear</t>
        </is>
      </c>
      <c r="F203" t="n">
        <v>6213</v>
      </c>
      <c r="G203" t="n">
        <v>6213</v>
      </c>
      <c r="H203" t="b">
        <v>1</v>
      </c>
      <c r="I203" t="n">
        <v>200</v>
      </c>
      <c r="J203" t="n">
        <v>31.065</v>
      </c>
      <c r="K203" t="inlineStr">
        <is>
          <t>&gt; Cuidado Capilar &gt; Shampoo Y Acondicionador &gt;</t>
        </is>
      </c>
      <c r="L203" t="inlineStr">
        <is>
          <t>shampoo</t>
        </is>
      </c>
      <c r="M203" t="inlineStr">
        <is>
          <t>estandar</t>
        </is>
      </c>
      <c r="N203" t="inlineStr">
        <is>
          <t>anticaspa</t>
        </is>
      </c>
      <c r="O203" t="inlineStr">
        <is>
          <t>https://www.farmacity.com/shampoo-clear-anticaspa-dual-effect-botella-x-200-ml/p</t>
        </is>
      </c>
    </row>
    <row r="204">
      <c r="A204" s="6" t="inlineStr">
        <is>
          <t>Farmacity</t>
        </is>
      </c>
      <c r="B204" s="6" t="n">
        <v>1268</v>
      </c>
      <c r="C204" s="6" t="n">
        <v>17961</v>
      </c>
      <c r="D204" s="6" t="inlineStr">
        <is>
          <t>Shampoo Biferdil Equilibrio x 400 ml</t>
        </is>
      </c>
      <c r="E204" s="6" t="inlineStr">
        <is>
          <t>Biferdil</t>
        </is>
      </c>
      <c r="F204" s="6" t="n">
        <v>12852</v>
      </c>
      <c r="G204" s="6" t="n">
        <v>12852</v>
      </c>
      <c r="H204" s="6" t="b">
        <v>1</v>
      </c>
      <c r="I204" s="6" t="n">
        <v>400</v>
      </c>
      <c r="J204" s="6" t="n">
        <v>32.13</v>
      </c>
      <c r="K204" s="6" t="inlineStr">
        <is>
          <t>&gt; Cuidado Capilar &gt; Shampoo Y Acondicionador &gt;</t>
        </is>
      </c>
      <c r="L204" s="6" t="inlineStr">
        <is>
          <t>shampoo</t>
        </is>
      </c>
      <c r="M204" s="6" t="inlineStr">
        <is>
          <t>estandar</t>
        </is>
      </c>
      <c r="N204" s="6" t="inlineStr">
        <is>
          <t>general</t>
        </is>
      </c>
      <c r="O204" s="6" t="inlineStr">
        <is>
          <t>https://www.farmacity.com/shampoo-equilibrio-x-400-ml/p</t>
        </is>
      </c>
    </row>
    <row r="205">
      <c r="A205" t="inlineStr">
        <is>
          <t>Farmacity</t>
        </is>
      </c>
      <c r="B205" t="n">
        <v>1243</v>
      </c>
      <c r="C205" t="n">
        <v>124705</v>
      </c>
      <c r="D205" t="inlineStr">
        <is>
          <t>Shampoo Capilatis Control Caída Engrosador x 410 ml</t>
        </is>
      </c>
      <c r="E205" t="inlineStr">
        <is>
          <t>Capilatis</t>
        </is>
      </c>
      <c r="F205" t="n">
        <v>9700</v>
      </c>
      <c r="G205" t="n">
        <v>9700</v>
      </c>
      <c r="H205" t="b">
        <v>1</v>
      </c>
      <c r="I205" t="n">
        <v>410</v>
      </c>
      <c r="J205" t="n">
        <v>23.6585</v>
      </c>
      <c r="K205" t="inlineStr">
        <is>
          <t>&gt; Cuidado Capilar &gt; Shampoo Y Acondicionador &gt;</t>
        </is>
      </c>
      <c r="L205" t="inlineStr">
        <is>
          <t>shampoo</t>
        </is>
      </c>
      <c r="M205" t="inlineStr">
        <is>
          <t>estandar</t>
        </is>
      </c>
      <c r="N205" t="inlineStr">
        <is>
          <t>general</t>
        </is>
      </c>
      <c r="O205" t="inlineStr">
        <is>
          <t>https://www.farmacity.com/shampoo-control-caida-engrosador-x-410-ml/p</t>
        </is>
      </c>
    </row>
    <row r="206">
      <c r="A206" s="6" t="inlineStr">
        <is>
          <t>Farmacity</t>
        </is>
      </c>
      <c r="B206" s="6" t="n">
        <v>1189</v>
      </c>
      <c r="C206" s="6" t="n">
        <v>17970</v>
      </c>
      <c r="D206" s="6" t="inlineStr">
        <is>
          <t>Shampoo Biferdi Nutrición y Reparación x 400 ml</t>
        </is>
      </c>
      <c r="E206" s="6" t="inlineStr">
        <is>
          <t>Biferdil</t>
        </is>
      </c>
      <c r="F206" s="6" t="n">
        <v>12852</v>
      </c>
      <c r="G206" s="6" t="n">
        <v>12852</v>
      </c>
      <c r="H206" s="6" t="b">
        <v>1</v>
      </c>
      <c r="I206" s="6" t="n">
        <v>400</v>
      </c>
      <c r="J206" s="6" t="n">
        <v>32.13</v>
      </c>
      <c r="K206" s="6" t="inlineStr">
        <is>
          <t>&gt; Cuidado Capilar &gt; Shampoo Y Acondicionador &gt;</t>
        </is>
      </c>
      <c r="L206" s="6" t="inlineStr">
        <is>
          <t>shampoo</t>
        </is>
      </c>
      <c r="M206" s="6" t="inlineStr">
        <is>
          <t>estandar</t>
        </is>
      </c>
      <c r="N206" s="6" t="inlineStr">
        <is>
          <t>general</t>
        </is>
      </c>
      <c r="O206" s="6" t="inlineStr">
        <is>
          <t>https://www.farmacity.com/shampoo-nutricion-y-reparacion-x-400-ml/p</t>
        </is>
      </c>
    </row>
    <row r="207">
      <c r="A207" t="inlineStr">
        <is>
          <t>Farmacity</t>
        </is>
      </c>
      <c r="B207" t="n">
        <v>1103</v>
      </c>
      <c r="C207" t="n">
        <v>23605</v>
      </c>
      <c r="D207" t="inlineStr">
        <is>
          <t>Shampoo Control Caída con Extracto Vegetal x 410 ml</t>
        </is>
      </c>
      <c r="E207" t="inlineStr">
        <is>
          <t>Capilatis</t>
        </is>
      </c>
      <c r="F207" t="n">
        <v>9700</v>
      </c>
      <c r="G207" t="n">
        <v>9700</v>
      </c>
      <c r="H207" t="b">
        <v>1</v>
      </c>
      <c r="I207" t="n">
        <v>410</v>
      </c>
      <c r="J207" t="n">
        <v>23.6585</v>
      </c>
      <c r="K207" t="inlineStr">
        <is>
          <t>&gt; Cuidado Capilar &gt; Shampoo Y Acondicionador &gt;</t>
        </is>
      </c>
      <c r="L207" t="inlineStr">
        <is>
          <t>shampoo</t>
        </is>
      </c>
      <c r="M207" t="inlineStr">
        <is>
          <t>estandar</t>
        </is>
      </c>
      <c r="N207" t="inlineStr">
        <is>
          <t>general</t>
        </is>
      </c>
      <c r="O207" t="inlineStr">
        <is>
          <t>https://www.farmacity.com/shampoo-control-caida-con-ortiga-y-extracto-vegetal-x-410-ml/p</t>
        </is>
      </c>
    </row>
    <row r="208">
      <c r="A208" s="6" t="inlineStr">
        <is>
          <t>Farmacity</t>
        </is>
      </c>
      <c r="B208" s="6" t="n">
        <v>248333</v>
      </c>
      <c r="C208" s="6" t="n">
        <v>248333</v>
      </c>
      <c r="D208" s="6" t="inlineStr">
        <is>
          <t>Shampoo Ice Professional Refresh My Scalp x 250 ml</t>
        </is>
      </c>
      <c r="E208" s="6" t="inlineStr">
        <is>
          <t>Ice</t>
        </is>
      </c>
      <c r="F208" s="6" t="n">
        <v>17500</v>
      </c>
      <c r="G208" s="6" t="n">
        <v>25000</v>
      </c>
      <c r="H208" s="6" t="b">
        <v>1</v>
      </c>
      <c r="I208" s="6" t="n">
        <v>250</v>
      </c>
      <c r="J208" s="6" t="n">
        <v>70</v>
      </c>
      <c r="K208" s="6" t="inlineStr">
        <is>
          <t>&gt; Cuidado Capilar &gt; Shampoo Y Acondicionador &gt;</t>
        </is>
      </c>
      <c r="L208" s="6" t="inlineStr">
        <is>
          <t>shampoo</t>
        </is>
      </c>
      <c r="M208" s="6" t="inlineStr">
        <is>
          <t>profesional</t>
        </is>
      </c>
      <c r="N208" s="6" t="inlineStr">
        <is>
          <t>general</t>
        </is>
      </c>
      <c r="O208" s="6" t="inlineStr">
        <is>
          <t>https://www.farmacity.com/shampoo-ice-professional-refresh-my-scalp-x-250-ml/p</t>
        </is>
      </c>
    </row>
    <row r="209">
      <c r="A209" t="inlineStr">
        <is>
          <t>Farmacity</t>
        </is>
      </c>
      <c r="B209" t="n">
        <v>248330</v>
      </c>
      <c r="C209" t="n">
        <v>248330</v>
      </c>
      <c r="D209" t="inlineStr">
        <is>
          <t>Shampoo Ice Professional Keep My Blonde x 250 ml</t>
        </is>
      </c>
      <c r="E209" t="inlineStr">
        <is>
          <t>Ice</t>
        </is>
      </c>
      <c r="F209" t="n">
        <v>17500</v>
      </c>
      <c r="G209" t="n">
        <v>25000</v>
      </c>
      <c r="H209" t="b">
        <v>1</v>
      </c>
      <c r="I209" t="n">
        <v>250</v>
      </c>
      <c r="J209" t="n">
        <v>70</v>
      </c>
      <c r="K209" t="inlineStr">
        <is>
          <t>&gt; Cuidado Capilar &gt; Shampoo Y Acondicionador &gt;</t>
        </is>
      </c>
      <c r="L209" t="inlineStr">
        <is>
          <t>shampoo</t>
        </is>
      </c>
      <c r="M209" t="inlineStr">
        <is>
          <t>profesional</t>
        </is>
      </c>
      <c r="N209" t="inlineStr">
        <is>
          <t>general</t>
        </is>
      </c>
      <c r="O209" t="inlineStr">
        <is>
          <t>https://www.farmacity.com/shampoo-ice-professional-keep-my-blonde-x-250-ml/p</t>
        </is>
      </c>
    </row>
    <row r="210">
      <c r="A210" s="6" t="inlineStr">
        <is>
          <t>Farmacity</t>
        </is>
      </c>
      <c r="B210" s="6" t="n">
        <v>246986</v>
      </c>
      <c r="C210" s="6" t="n">
        <v>246986</v>
      </c>
      <c r="D210" s="6" t="inlineStr">
        <is>
          <t>Shampoo Johnson's Kids Fragancia Prolongada Repuesto x 180 ml</t>
        </is>
      </c>
      <c r="E210" s="6" t="inlineStr">
        <is>
          <t>Johnson's</t>
        </is>
      </c>
      <c r="F210" s="6" t="n">
        <v>3208</v>
      </c>
      <c r="G210" s="6" t="n">
        <v>4583</v>
      </c>
      <c r="H210" s="6" t="b">
        <v>1</v>
      </c>
      <c r="I210" s="6" t="n">
        <v>180</v>
      </c>
      <c r="J210" s="6" t="n">
        <v>17.8222</v>
      </c>
      <c r="K210" s="6" t="inlineStr">
        <is>
          <t>&gt; Bebés &gt; Higiene del Bebé &gt; Baño Del Bebé &gt;</t>
        </is>
      </c>
      <c r="L210" s="6" t="inlineStr">
        <is>
          <t>shampoo</t>
        </is>
      </c>
      <c r="M210" s="6" t="inlineStr">
        <is>
          <t>estandar</t>
        </is>
      </c>
      <c r="N210" s="6" t="inlineStr">
        <is>
          <t>bebe</t>
        </is>
      </c>
      <c r="O210" s="6" t="inlineStr">
        <is>
          <t>https://www.farmacity.com/shampoo-johnson-kids-frag-prolongada-repuesto-x-180-ml/p</t>
        </is>
      </c>
    </row>
    <row r="211">
      <c r="A211" t="inlineStr">
        <is>
          <t>Farmacity</t>
        </is>
      </c>
      <c r="B211" t="n">
        <v>246985</v>
      </c>
      <c r="C211" t="n">
        <v>246985</v>
      </c>
      <c r="D211" t="inlineStr">
        <is>
          <t>Shampoo Johnson's Baby Original Repuesto x 180 ml</t>
        </is>
      </c>
      <c r="E211" t="inlineStr">
        <is>
          <t>Johnson's</t>
        </is>
      </c>
      <c r="F211" t="n">
        <v>3636</v>
      </c>
      <c r="G211" t="n">
        <v>5195</v>
      </c>
      <c r="H211" t="b">
        <v>1</v>
      </c>
      <c r="I211" t="n">
        <v>180</v>
      </c>
      <c r="J211" t="n">
        <v>20.2</v>
      </c>
      <c r="K211" t="inlineStr">
        <is>
          <t>&gt; Bebés &gt; Higiene del Bebé &gt; Baño Del Bebé &gt;</t>
        </is>
      </c>
      <c r="L211" t="inlineStr">
        <is>
          <t>shampoo</t>
        </is>
      </c>
      <c r="M211" t="inlineStr">
        <is>
          <t>estandar</t>
        </is>
      </c>
      <c r="N211" t="inlineStr">
        <is>
          <t>general</t>
        </is>
      </c>
      <c r="O211" t="inlineStr">
        <is>
          <t>https://www.farmacity.com/shampoo-johnson-baby-original-repuesto-x-180-ml/p</t>
        </is>
      </c>
    </row>
    <row r="212">
      <c r="A212" s="6" t="inlineStr">
        <is>
          <t>Farmacity</t>
        </is>
      </c>
      <c r="B212" s="6" t="n">
        <v>243568</v>
      </c>
      <c r="C212" s="6" t="n">
        <v>243568</v>
      </c>
      <c r="D212" s="6" t="inlineStr">
        <is>
          <t>Shampoo Sedal Luminous UV x 340 ml</t>
        </is>
      </c>
      <c r="E212" s="6" t="inlineStr">
        <is>
          <t>Sedal</t>
        </is>
      </c>
      <c r="F212" s="6" t="n">
        <v>5837</v>
      </c>
      <c r="G212" s="6" t="n">
        <v>5837</v>
      </c>
      <c r="H212" s="6" t="b">
        <v>1</v>
      </c>
      <c r="I212" s="6" t="n">
        <v>340</v>
      </c>
      <c r="J212" s="6" t="n">
        <v>17.1676</v>
      </c>
      <c r="K212" s="6" t="inlineStr">
        <is>
          <t>&gt; Cuidado Capilar &gt; Shampoo Y Acondicionador &gt;</t>
        </is>
      </c>
      <c r="L212" s="6" t="inlineStr">
        <is>
          <t>shampoo</t>
        </is>
      </c>
      <c r="M212" s="6" t="inlineStr">
        <is>
          <t>estandar</t>
        </is>
      </c>
      <c r="N212" s="6" t="inlineStr">
        <is>
          <t>general</t>
        </is>
      </c>
      <c r="O212" s="6" t="inlineStr">
        <is>
          <t>https://www.farmacity.com/shampoo-sedal-luminous-uv-x-340-ml/p</t>
        </is>
      </c>
    </row>
    <row r="213">
      <c r="A213" t="inlineStr">
        <is>
          <t>Farmacity</t>
        </is>
      </c>
      <c r="B213" t="n">
        <v>208737</v>
      </c>
      <c r="C213" t="n">
        <v>208737</v>
      </c>
      <c r="D213" t="inlineStr">
        <is>
          <t>Shampoo en Sachet Biferdil Anti Amarillo x 20 ml</t>
        </is>
      </c>
      <c r="E213" t="inlineStr">
        <is>
          <t>Biferdil</t>
        </is>
      </c>
      <c r="F213" t="n">
        <v>1900</v>
      </c>
      <c r="G213" t="n">
        <v>1900</v>
      </c>
      <c r="H213" t="b">
        <v>1</v>
      </c>
      <c r="I213" t="n">
        <v>20</v>
      </c>
      <c r="J213" t="n">
        <v>95</v>
      </c>
      <c r="K213" t="inlineStr">
        <is>
          <t>&gt; Cuidado Capilar &gt; Shampoo Y Acondicionador &gt;</t>
        </is>
      </c>
      <c r="L213" t="inlineStr">
        <is>
          <t>shampoo</t>
        </is>
      </c>
      <c r="M213" t="inlineStr">
        <is>
          <t>estandar</t>
        </is>
      </c>
      <c r="N213" t="inlineStr">
        <is>
          <t>general</t>
        </is>
      </c>
      <c r="O213" t="inlineStr">
        <is>
          <t>https://www.farmacity.com/shampoo-en-sachet-biferdil-anti-amarillo-x-20-ml/p</t>
        </is>
      </c>
    </row>
    <row r="214">
      <c r="A214" s="6" t="inlineStr">
        <is>
          <t>Farmacity</t>
        </is>
      </c>
      <c r="B214" s="6" t="n">
        <v>200786</v>
      </c>
      <c r="C214" s="6" t="n">
        <v>200786</v>
      </c>
      <c r="D214" s="6" t="inlineStr">
        <is>
          <t>Shampoo Garnier Fructis Oil Repair Liso Coco x 200 ml</t>
        </is>
      </c>
      <c r="E214" s="6" t="inlineStr">
        <is>
          <t>Fructis</t>
        </is>
      </c>
      <c r="F214" s="6" t="n">
        <v>5490</v>
      </c>
      <c r="G214" s="6" t="n">
        <v>5490</v>
      </c>
      <c r="H214" s="6" t="b">
        <v>1</v>
      </c>
      <c r="I214" s="6" t="n">
        <v>200</v>
      </c>
      <c r="J214" s="6" t="n">
        <v>27.45</v>
      </c>
      <c r="K214" s="6" t="inlineStr">
        <is>
          <t>&gt; Cuidado Capilar &gt; Shampoo Y Acondicionador &gt;</t>
        </is>
      </c>
      <c r="L214" s="6" t="inlineStr">
        <is>
          <t>shampoo</t>
        </is>
      </c>
      <c r="M214" s="6" t="inlineStr">
        <is>
          <t>profesional</t>
        </is>
      </c>
      <c r="N214" s="6" t="inlineStr">
        <is>
          <t>general</t>
        </is>
      </c>
      <c r="O214" s="6" t="inlineStr">
        <is>
          <t>https://www.farmacity.com/shampoo-fructis-liso-coco-x-200-ml/p</t>
        </is>
      </c>
    </row>
    <row r="215">
      <c r="A215" t="inlineStr">
        <is>
          <t>Farmacity</t>
        </is>
      </c>
      <c r="B215" t="n">
        <v>16487</v>
      </c>
      <c r="C215" t="n">
        <v>162826</v>
      </c>
      <c r="D215" t="inlineStr">
        <is>
          <t>Shampoo Dove Humectación + Coco y Antioxi x 200 ml</t>
        </is>
      </c>
      <c r="E215" t="inlineStr">
        <is>
          <t>Dove</t>
        </is>
      </c>
      <c r="F215" t="n">
        <v>5788</v>
      </c>
      <c r="G215" t="n">
        <v>5788</v>
      </c>
      <c r="H215" t="b">
        <v>1</v>
      </c>
      <c r="I215" t="n">
        <v>200</v>
      </c>
      <c r="J215" t="n">
        <v>28.94</v>
      </c>
      <c r="K215" t="inlineStr">
        <is>
          <t>&gt; Cuidado Capilar &gt; Shampoo Y Acondicionador &gt;</t>
        </is>
      </c>
      <c r="L215" t="inlineStr">
        <is>
          <t>shampoo</t>
        </is>
      </c>
      <c r="M215" t="inlineStr">
        <is>
          <t>estandar</t>
        </is>
      </c>
      <c r="N215" t="inlineStr">
        <is>
          <t>general</t>
        </is>
      </c>
      <c r="O215" t="inlineStr">
        <is>
          <t>https://www.farmacity.com/sha-dove-ritual-de-reparacion-x-200ml/p</t>
        </is>
      </c>
    </row>
    <row r="216">
      <c r="A216" s="6" t="inlineStr">
        <is>
          <t>Farmacity</t>
        </is>
      </c>
      <c r="B216" s="6" t="n">
        <v>230004</v>
      </c>
      <c r="C216" s="6" t="n">
        <v>230004</v>
      </c>
      <c r="D216" s="6" t="inlineStr">
        <is>
          <t>Shampoo Biferdil Reflejante Plata x 295 ml</t>
        </is>
      </c>
      <c r="E216" s="6" t="inlineStr">
        <is>
          <t>Biferdil</t>
        </is>
      </c>
      <c r="F216" s="6" t="n">
        <v>17496</v>
      </c>
      <c r="G216" s="6" t="n">
        <v>17496</v>
      </c>
      <c r="H216" s="6" t="b">
        <v>1</v>
      </c>
      <c r="I216" s="6" t="n">
        <v>295</v>
      </c>
      <c r="J216" s="6" t="n">
        <v>59.3085</v>
      </c>
      <c r="K216" s="6" t="inlineStr">
        <is>
          <t>&gt; Cuidado Capilar &gt; Shampoo Y Acondicionador &gt;</t>
        </is>
      </c>
      <c r="L216" s="6" t="inlineStr">
        <is>
          <t>shampoo</t>
        </is>
      </c>
      <c r="M216" s="6" t="inlineStr">
        <is>
          <t>estandar</t>
        </is>
      </c>
      <c r="N216" s="6" t="inlineStr">
        <is>
          <t>general</t>
        </is>
      </c>
      <c r="O216" s="6" t="inlineStr">
        <is>
          <t>https://www.farmacity.com/shampoo-biferdil-reflejante-plata-x-295-ml/p</t>
        </is>
      </c>
    </row>
    <row r="217">
      <c r="A217" t="inlineStr">
        <is>
          <t>Farmacity</t>
        </is>
      </c>
      <c r="B217" t="n">
        <v>229984</v>
      </c>
      <c r="C217" t="n">
        <v>229984</v>
      </c>
      <c r="D217" t="inlineStr">
        <is>
          <t>Shampoo Tío Nacho Herbolaria Milenaria x 200 ml</t>
        </is>
      </c>
      <c r="E217" t="inlineStr">
        <is>
          <t>Tío Nacho</t>
        </is>
      </c>
      <c r="F217" t="n">
        <v>8250</v>
      </c>
      <c r="G217" t="n">
        <v>8250</v>
      </c>
      <c r="H217" t="b">
        <v>1</v>
      </c>
      <c r="I217" t="n">
        <v>200</v>
      </c>
      <c r="J217" t="n">
        <v>41.25</v>
      </c>
      <c r="K217" t="inlineStr">
        <is>
          <t>&gt; Cuidado Capilar &gt; Shampoo Y Acondicionador &gt;</t>
        </is>
      </c>
      <c r="L217" t="inlineStr">
        <is>
          <t>shampoo</t>
        </is>
      </c>
      <c r="M217" t="inlineStr">
        <is>
          <t>estandar</t>
        </is>
      </c>
      <c r="N217" t="inlineStr">
        <is>
          <t>general</t>
        </is>
      </c>
      <c r="O217" t="inlineStr">
        <is>
          <t>https://www.farmacity.com/shampoo-tio-nacho-herbolaria-milenaria-x-200-ml/p</t>
        </is>
      </c>
    </row>
    <row r="218">
      <c r="A218" s="6" t="inlineStr">
        <is>
          <t>Farmacity</t>
        </is>
      </c>
      <c r="B218" s="6" t="n">
        <v>143575</v>
      </c>
      <c r="C218" s="6" t="n">
        <v>143575</v>
      </c>
      <c r="D218" s="6" t="inlineStr">
        <is>
          <t>Shampoo Revitalizante Biferdil Extracto de Oliva x 300 ml</t>
        </is>
      </c>
      <c r="E218" s="6" t="inlineStr">
        <is>
          <t>Biferdil</t>
        </is>
      </c>
      <c r="F218" s="6" t="n">
        <v>13176</v>
      </c>
      <c r="G218" s="6" t="n">
        <v>13176</v>
      </c>
      <c r="H218" s="6" t="b">
        <v>1</v>
      </c>
      <c r="I218" s="6" t="n">
        <v>300</v>
      </c>
      <c r="J218" s="6" t="n">
        <v>43.92</v>
      </c>
      <c r="K218" s="6" t="inlineStr">
        <is>
          <t>&gt; Cuidado Capilar &gt; Shampoo Y Acondicionador &gt;</t>
        </is>
      </c>
      <c r="L218" s="6" t="inlineStr">
        <is>
          <t>shampoo</t>
        </is>
      </c>
      <c r="M218" s="6" t="inlineStr">
        <is>
          <t>estandar</t>
        </is>
      </c>
      <c r="N218" s="6" t="inlineStr">
        <is>
          <t>general</t>
        </is>
      </c>
      <c r="O218" s="6" t="inlineStr">
        <is>
          <t>https://www.farmacity.com/shampoo-revitalizante-biferdil-con-extracto-de-oliva-x-300-ml/p</t>
        </is>
      </c>
    </row>
    <row r="219">
      <c r="A219" t="inlineStr">
        <is>
          <t>Farmacity</t>
        </is>
      </c>
      <c r="B219" t="n">
        <v>8851</v>
      </c>
      <c r="C219" t="n">
        <v>156282</v>
      </c>
      <c r="D219" t="inlineStr">
        <is>
          <t>Shampoo Sedal Crema Balance Toque Seda x 190 ml</t>
        </is>
      </c>
      <c r="E219" t="inlineStr">
        <is>
          <t>Sedal</t>
        </is>
      </c>
      <c r="F219" t="n">
        <v>3907</v>
      </c>
      <c r="G219" t="n">
        <v>3907</v>
      </c>
      <c r="H219" t="b">
        <v>1</v>
      </c>
      <c r="I219" t="n">
        <v>190</v>
      </c>
      <c r="J219" t="n">
        <v>20.5632</v>
      </c>
      <c r="K219" t="inlineStr">
        <is>
          <t>&gt; Cuidado Capilar &gt; Shampoo Y Acondicionador &gt;</t>
        </is>
      </c>
      <c r="L219" t="inlineStr">
        <is>
          <t>shampoo</t>
        </is>
      </c>
      <c r="M219" t="inlineStr">
        <is>
          <t>estandar</t>
        </is>
      </c>
      <c r="N219" t="inlineStr">
        <is>
          <t>general</t>
        </is>
      </c>
      <c r="O219" t="inlineStr">
        <is>
          <t>https://www.farmacity.com/shampoo-crema-balance-x-190-ml/p</t>
        </is>
      </c>
    </row>
    <row r="220">
      <c r="A220" s="6" t="inlineStr">
        <is>
          <t>Farmacity</t>
        </is>
      </c>
      <c r="B220" s="6" t="n">
        <v>3922</v>
      </c>
      <c r="C220" s="6" t="n">
        <v>137316</v>
      </c>
      <c r="D220" s="6" t="inlineStr">
        <is>
          <t>Shampoo Nutrición Profunda x 350 ml</t>
        </is>
      </c>
      <c r="E220" s="6" t="inlineStr">
        <is>
          <t>Capilatis</t>
        </is>
      </c>
      <c r="F220" s="6" t="n">
        <v>9900</v>
      </c>
      <c r="G220" s="6" t="n">
        <v>9900</v>
      </c>
      <c r="H220" s="6" t="b">
        <v>1</v>
      </c>
      <c r="I220" s="6" t="n">
        <v>350</v>
      </c>
      <c r="J220" s="6" t="n">
        <v>28.2857</v>
      </c>
      <c r="K220" s="6" t="inlineStr">
        <is>
          <t>&gt; Cuidado Capilar &gt; Shampoo Y Acondicionador &gt;</t>
        </is>
      </c>
      <c r="L220" s="6" t="inlineStr">
        <is>
          <t>shampoo</t>
        </is>
      </c>
      <c r="M220" s="6" t="inlineStr">
        <is>
          <t>estandar</t>
        </is>
      </c>
      <c r="N220" s="6" t="inlineStr">
        <is>
          <t>general</t>
        </is>
      </c>
      <c r="O220" s="6" t="inlineStr">
        <is>
          <t>https://www.farmacity.com/shampoo-nutricion-profunda-x-350-ml/p</t>
        </is>
      </c>
    </row>
    <row r="221">
      <c r="A221" t="inlineStr">
        <is>
          <t>Farmacity</t>
        </is>
      </c>
      <c r="B221" t="n">
        <v>250350</v>
      </c>
      <c r="C221" t="n">
        <v>250350</v>
      </c>
      <c r="D221" t="inlineStr">
        <is>
          <t>Shampoo Elvive Collagen Lifter x 400 ml</t>
        </is>
      </c>
      <c r="E221" t="inlineStr">
        <is>
          <t>Elvive</t>
        </is>
      </c>
      <c r="F221" t="n">
        <v>12490</v>
      </c>
      <c r="G221" t="n">
        <v>12490</v>
      </c>
      <c r="H221" t="b">
        <v>1</v>
      </c>
      <c r="I221" t="n">
        <v>400</v>
      </c>
      <c r="J221" t="n">
        <v>31.225</v>
      </c>
      <c r="K221" t="inlineStr">
        <is>
          <t>&gt; Cuidado Capilar &gt; Shampoo Y Acondicionador &gt;</t>
        </is>
      </c>
      <c r="L221" t="inlineStr">
        <is>
          <t>shampoo</t>
        </is>
      </c>
      <c r="M221" t="inlineStr">
        <is>
          <t>profesional</t>
        </is>
      </c>
      <c r="N221" t="inlineStr">
        <is>
          <t>general</t>
        </is>
      </c>
      <c r="O221" t="inlineStr">
        <is>
          <t>https://www.farmacity.com/shampoo-elvive-colageno-lifter-x-400-ml/p</t>
        </is>
      </c>
    </row>
    <row r="222">
      <c r="A222" s="6" t="inlineStr">
        <is>
          <t>Farmacity</t>
        </is>
      </c>
      <c r="B222" s="6" t="n">
        <v>250312</v>
      </c>
      <c r="C222" s="6" t="n">
        <v>250312</v>
      </c>
      <c r="D222" s="6" t="inlineStr">
        <is>
          <t>Shampoo Kerasys Oriental Premium x 200 ml</t>
        </is>
      </c>
      <c r="E222" s="6" t="inlineStr">
        <is>
          <t>Kerasys</t>
        </is>
      </c>
      <c r="F222" s="6" t="n">
        <v>34900</v>
      </c>
      <c r="G222" s="6" t="n">
        <v>34900</v>
      </c>
      <c r="H222" s="6" t="b">
        <v>1</v>
      </c>
      <c r="I222" s="6" t="n">
        <v>200</v>
      </c>
      <c r="J222" s="6" t="n">
        <v>174.5</v>
      </c>
      <c r="K222" s="6" t="inlineStr">
        <is>
          <t>&gt; Cuidado Capilar &gt; Shampoo Y Acondicionador &gt;</t>
        </is>
      </c>
      <c r="L222" s="6" t="inlineStr">
        <is>
          <t>shampoo</t>
        </is>
      </c>
      <c r="M222" s="6" t="inlineStr">
        <is>
          <t>estandar</t>
        </is>
      </c>
      <c r="N222" s="6" t="inlineStr">
        <is>
          <t>general</t>
        </is>
      </c>
      <c r="O222" s="6" t="inlineStr">
        <is>
          <t>https://www.farmacity.com/shampoo-kerasys-oriental-premium-x-200-ml/p</t>
        </is>
      </c>
    </row>
    <row r="223">
      <c r="A223" t="inlineStr">
        <is>
          <t>Farmacity</t>
        </is>
      </c>
      <c r="B223" t="n">
        <v>250307</v>
      </c>
      <c r="C223" t="n">
        <v>250307</v>
      </c>
      <c r="D223" t="inlineStr">
        <is>
          <t>Shampoo Kerasys Propolis Energy Plus x 180 ml</t>
        </is>
      </c>
      <c r="E223" t="inlineStr">
        <is>
          <t>Kerasys</t>
        </is>
      </c>
      <c r="F223" t="n">
        <v>37700</v>
      </c>
      <c r="G223" t="n">
        <v>37700</v>
      </c>
      <c r="H223" t="b">
        <v>1</v>
      </c>
      <c r="I223" t="n">
        <v>180</v>
      </c>
      <c r="J223" t="n">
        <v>209.4444</v>
      </c>
      <c r="K223" t="inlineStr">
        <is>
          <t>&gt; Cuidado Capilar &gt; Shampoo Y Acondicionador &gt;</t>
        </is>
      </c>
      <c r="L223" t="inlineStr">
        <is>
          <t>shampoo</t>
        </is>
      </c>
      <c r="M223" t="inlineStr">
        <is>
          <t>estandar</t>
        </is>
      </c>
      <c r="N223" t="inlineStr">
        <is>
          <t>general</t>
        </is>
      </c>
      <c r="O223" t="inlineStr">
        <is>
          <t>https://www.farmacity.com/shampoo-kerasys-propolis-energy-plus-x-180-ml/p</t>
        </is>
      </c>
    </row>
    <row r="224">
      <c r="A224" s="6" t="inlineStr">
        <is>
          <t>Farmacity</t>
        </is>
      </c>
      <c r="B224" s="6" t="n">
        <v>250185</v>
      </c>
      <c r="C224" s="6" t="n">
        <v>250185</v>
      </c>
      <c r="D224" s="6" t="inlineStr">
        <is>
          <t>Shampoo La Puissance Keratine x 300 ml</t>
        </is>
      </c>
      <c r="E224" s="6" t="inlineStr">
        <is>
          <t>La Puissance</t>
        </is>
      </c>
      <c r="F224" s="6" t="n">
        <v>16600</v>
      </c>
      <c r="G224" s="6" t="n">
        <v>16600</v>
      </c>
      <c r="H224" s="6" t="b">
        <v>1</v>
      </c>
      <c r="I224" s="6" t="n">
        <v>300</v>
      </c>
      <c r="J224" s="6" t="n">
        <v>55.3333</v>
      </c>
      <c r="K224" s="6" t="inlineStr">
        <is>
          <t>&gt; Cuidado Capilar &gt; Shampoo Y Acondicionador &gt;</t>
        </is>
      </c>
      <c r="L224" s="6" t="inlineStr">
        <is>
          <t>shampoo</t>
        </is>
      </c>
      <c r="M224" s="6" t="inlineStr">
        <is>
          <t>estandar</t>
        </is>
      </c>
      <c r="N224" s="6" t="inlineStr">
        <is>
          <t>general</t>
        </is>
      </c>
      <c r="O224" s="6" t="inlineStr">
        <is>
          <t>https://www.farmacity.com/shampoo-la-puissance-keratine-x-300-ml/p</t>
        </is>
      </c>
    </row>
    <row r="225">
      <c r="A225" t="inlineStr">
        <is>
          <t>Farmacity</t>
        </is>
      </c>
      <c r="B225" t="n">
        <v>250130</v>
      </c>
      <c r="C225" t="n">
        <v>250130</v>
      </c>
      <c r="D225" t="inlineStr">
        <is>
          <t>Shampoo Dove Reconstrucción + Aminoácido x 650 ml</t>
        </is>
      </c>
      <c r="E225" t="inlineStr">
        <is>
          <t>Dove</t>
        </is>
      </c>
      <c r="F225" t="n">
        <v>16218</v>
      </c>
      <c r="G225" t="n">
        <v>16218</v>
      </c>
      <c r="H225" t="b">
        <v>1</v>
      </c>
      <c r="I225" t="n">
        <v>650</v>
      </c>
      <c r="J225" t="n">
        <v>24.9508</v>
      </c>
      <c r="K225" t="inlineStr">
        <is>
          <t>&gt; Cuidado Capilar &gt; Shampoo Y Acondicionador &gt;</t>
        </is>
      </c>
      <c r="L225" t="inlineStr">
        <is>
          <t>shampoo</t>
        </is>
      </c>
      <c r="M225" t="inlineStr">
        <is>
          <t>estandar</t>
        </is>
      </c>
      <c r="N225" t="inlineStr">
        <is>
          <t>general</t>
        </is>
      </c>
      <c r="O225" t="inlineStr">
        <is>
          <t>https://www.farmacity.com/shampoo-dove-reconstruccion-aminoacido-x-650-ml/p</t>
        </is>
      </c>
    </row>
    <row r="226">
      <c r="A226" s="6" t="inlineStr">
        <is>
          <t>Farmacity</t>
        </is>
      </c>
      <c r="B226" s="6" t="n">
        <v>41110</v>
      </c>
      <c r="C226" s="6" t="n">
        <v>41110</v>
      </c>
      <c r="D226" s="6" t="inlineStr">
        <is>
          <t>Galenic Shampoo x 100 g</t>
        </is>
      </c>
      <c r="E226" s="6" t="inlineStr">
        <is>
          <t>Neo Dermos</t>
        </is>
      </c>
      <c r="F226" s="6" t="n">
        <v>18655</v>
      </c>
      <c r="G226" s="6" t="n">
        <v>18655</v>
      </c>
      <c r="H226" s="6" t="b">
        <v>1</v>
      </c>
      <c r="I226" s="6" t="n">
        <v>100</v>
      </c>
      <c r="J226" s="6" t="n">
        <v>186.55</v>
      </c>
      <c r="K226" s="6" t="inlineStr">
        <is>
          <t>&gt; Venta Bajo Receta &gt; Dermatológico &gt;</t>
        </is>
      </c>
      <c r="L226" s="6" t="inlineStr">
        <is>
          <t>shampoo</t>
        </is>
      </c>
      <c r="M226" s="6" t="inlineStr">
        <is>
          <t>estandar</t>
        </is>
      </c>
      <c r="N226" s="6" t="inlineStr">
        <is>
          <t>general</t>
        </is>
      </c>
      <c r="O226" s="6" t="inlineStr">
        <is>
          <t>https://www.farmacity.com/galenic-shampoo-x-100-g/p</t>
        </is>
      </c>
    </row>
    <row r="227">
      <c r="A227" t="inlineStr">
        <is>
          <t>Farmacity</t>
        </is>
      </c>
      <c r="B227" t="n">
        <v>142198</v>
      </c>
      <c r="C227" t="n">
        <v>142198</v>
      </c>
      <c r="D227" t="inlineStr">
        <is>
          <t>Oilsor Shampoo x  100 ml</t>
        </is>
      </c>
      <c r="E227" t="inlineStr">
        <is>
          <t>Tuteur</t>
        </is>
      </c>
      <c r="F227" t="n">
        <v>20150</v>
      </c>
      <c r="G227" t="n">
        <v>20150</v>
      </c>
      <c r="H227" t="b">
        <v>1</v>
      </c>
      <c r="I227" t="n">
        <v>100</v>
      </c>
      <c r="J227" t="n">
        <v>201.5</v>
      </c>
      <c r="K227" t="inlineStr">
        <is>
          <t>&gt; Venta Bajo Receta &gt; Dermatológico &gt;</t>
        </is>
      </c>
      <c r="L227" t="inlineStr">
        <is>
          <t>shampoo</t>
        </is>
      </c>
      <c r="M227" t="inlineStr">
        <is>
          <t>estandar</t>
        </is>
      </c>
      <c r="N227" t="inlineStr">
        <is>
          <t>general</t>
        </is>
      </c>
      <c r="O227" t="inlineStr">
        <is>
          <t>https://www.farmacity.com/oilsor-shamp--x-100-ml/p</t>
        </is>
      </c>
    </row>
    <row r="228">
      <c r="A228" s="6" t="inlineStr">
        <is>
          <t>Farmacity</t>
        </is>
      </c>
      <c r="B228" s="6" t="n">
        <v>123813</v>
      </c>
      <c r="C228" s="6" t="n">
        <v>123813</v>
      </c>
      <c r="D228" s="6" t="inlineStr">
        <is>
          <t>Salac Clobetasol Shampoo x 140 ml</t>
        </is>
      </c>
      <c r="E228" s="6" t="inlineStr">
        <is>
          <t>Andromaco</t>
        </is>
      </c>
      <c r="F228" s="6" t="n">
        <v>54571</v>
      </c>
      <c r="G228" s="6" t="n">
        <v>54571</v>
      </c>
      <c r="H228" s="6" t="b">
        <v>1</v>
      </c>
      <c r="I228" s="6" t="n">
        <v>140</v>
      </c>
      <c r="J228" s="6" t="n">
        <v>389.7929</v>
      </c>
      <c r="K228" s="6" t="inlineStr">
        <is>
          <t>&gt; Venta Bajo Receta &gt; Dermatológico &gt;</t>
        </is>
      </c>
      <c r="L228" s="6" t="inlineStr">
        <is>
          <t>shampoo</t>
        </is>
      </c>
      <c r="M228" s="6" t="inlineStr">
        <is>
          <t>estandar</t>
        </is>
      </c>
      <c r="N228" s="6" t="inlineStr">
        <is>
          <t>general</t>
        </is>
      </c>
      <c r="O228" s="6" t="inlineStr">
        <is>
          <t>https://www.farmacity.com/salac-clobetasol-shampoo-x-140-ml/p</t>
        </is>
      </c>
    </row>
    <row r="229">
      <c r="A229" t="inlineStr">
        <is>
          <t>Farmacity</t>
        </is>
      </c>
      <c r="B229" t="n">
        <v>40999</v>
      </c>
      <c r="C229" t="n">
        <v>40999</v>
      </c>
      <c r="D229" t="inlineStr">
        <is>
          <t>Ketoconazol C-86 Shampoo x 120 ml</t>
        </is>
      </c>
      <c r="E229" t="inlineStr">
        <is>
          <t>Valuge</t>
        </is>
      </c>
      <c r="F229" t="n">
        <v>29285</v>
      </c>
      <c r="G229" t="n">
        <v>29285</v>
      </c>
      <c r="H229" t="b">
        <v>1</v>
      </c>
      <c r="I229" t="n">
        <v>120</v>
      </c>
      <c r="J229" t="n">
        <v>244.0417</v>
      </c>
      <c r="K229" t="inlineStr">
        <is>
          <t>&gt; Venta Bajo Receta &gt; Dermatológico &gt;</t>
        </is>
      </c>
      <c r="L229" t="inlineStr">
        <is>
          <t>shampoo</t>
        </is>
      </c>
      <c r="M229" t="inlineStr">
        <is>
          <t>estandar</t>
        </is>
      </c>
      <c r="N229" t="inlineStr">
        <is>
          <t>general</t>
        </is>
      </c>
      <c r="O229" t="inlineStr">
        <is>
          <t>https://www.farmacity.com/ketoconazol-c-86-shampoo-x-120-ml/p</t>
        </is>
      </c>
    </row>
    <row r="230">
      <c r="A230" s="6" t="inlineStr">
        <is>
          <t>Farmacity</t>
        </is>
      </c>
      <c r="B230" s="6" t="n">
        <v>27051</v>
      </c>
      <c r="C230" s="6" t="n">
        <v>27051</v>
      </c>
      <c r="D230" s="6" t="inlineStr">
        <is>
          <t>Quadion Ketoconazol Shampoo x 250 g</t>
        </is>
      </c>
      <c r="E230" s="6" t="inlineStr">
        <is>
          <t>Fortbenton</t>
        </is>
      </c>
      <c r="F230" s="6" t="n">
        <v>19209</v>
      </c>
      <c r="G230" s="6" t="n">
        <v>19209</v>
      </c>
      <c r="H230" s="6" t="b">
        <v>1</v>
      </c>
      <c r="I230" s="6" t="n">
        <v>250</v>
      </c>
      <c r="J230" s="6" t="n">
        <v>76.836</v>
      </c>
      <c r="K230" s="6" t="inlineStr">
        <is>
          <t>&gt; Venta Bajo Receta &gt; Dermatológico &gt;</t>
        </is>
      </c>
      <c r="L230" s="6" t="inlineStr">
        <is>
          <t>shampoo</t>
        </is>
      </c>
      <c r="M230" s="6" t="inlineStr">
        <is>
          <t>estandar</t>
        </is>
      </c>
      <c r="N230" s="6" t="inlineStr">
        <is>
          <t>general</t>
        </is>
      </c>
      <c r="O230" s="6" t="inlineStr">
        <is>
          <t>https://www.farmacity.com/quadion-ketoconazol-shampoo-x-250-g/p</t>
        </is>
      </c>
    </row>
    <row r="231">
      <c r="A231" t="inlineStr">
        <is>
          <t>Farmacity</t>
        </is>
      </c>
      <c r="B231" t="n">
        <v>18210</v>
      </c>
      <c r="C231" t="n">
        <v>12030</v>
      </c>
      <c r="D231" t="inlineStr">
        <is>
          <t>Kit Coloración en Shampoo Para Hombre</t>
        </is>
      </c>
      <c r="E231" t="inlineStr">
        <is>
          <t>Just For Men</t>
        </is>
      </c>
      <c r="F231" t="n">
        <v>18346</v>
      </c>
      <c r="G231" t="n">
        <v>18346</v>
      </c>
      <c r="H231" t="b">
        <v>1</v>
      </c>
      <c r="I231" t="inlineStr"/>
      <c r="J231" t="inlineStr"/>
      <c r="K231" t="inlineStr">
        <is>
          <t>&gt; Cuidado Capilar &gt; Coloración Y Oxidantes &gt;</t>
        </is>
      </c>
      <c r="L231" t="inlineStr">
        <is>
          <t>tratamiento</t>
        </is>
      </c>
      <c r="M231" t="inlineStr">
        <is>
          <t>estandar</t>
        </is>
      </c>
      <c r="N231" t="inlineStr">
        <is>
          <t>tratado</t>
        </is>
      </c>
      <c r="O231" t="inlineStr">
        <is>
          <t>https://www.farmacity.com/kit-coloracion-en-shampoo-para-hombre/p</t>
        </is>
      </c>
    </row>
    <row r="232">
      <c r="A232" s="6" t="inlineStr">
        <is>
          <t>Farmacity</t>
        </is>
      </c>
      <c r="B232" s="6" t="n">
        <v>18210</v>
      </c>
      <c r="C232" s="6" t="n">
        <v>12031</v>
      </c>
      <c r="D232" s="6" t="inlineStr">
        <is>
          <t>Kit Coloración en Shampoo Para Hombre</t>
        </is>
      </c>
      <c r="E232" s="6" t="inlineStr">
        <is>
          <t>Just For Men</t>
        </is>
      </c>
      <c r="F232" s="6" t="n">
        <v>18346</v>
      </c>
      <c r="G232" s="6" t="n">
        <v>18346</v>
      </c>
      <c r="H232" s="6" t="b">
        <v>1</v>
      </c>
      <c r="I232" s="6" t="inlineStr"/>
      <c r="J232" s="6" t="inlineStr"/>
      <c r="K232" s="6" t="inlineStr">
        <is>
          <t>&gt; Cuidado Capilar &gt; Coloración Y Oxidantes &gt;</t>
        </is>
      </c>
      <c r="L232" s="6" t="inlineStr">
        <is>
          <t>tratamiento</t>
        </is>
      </c>
      <c r="M232" s="6" t="inlineStr">
        <is>
          <t>estandar</t>
        </is>
      </c>
      <c r="N232" s="6" t="inlineStr">
        <is>
          <t>tratado</t>
        </is>
      </c>
      <c r="O232" s="6" t="inlineStr">
        <is>
          <t>https://www.farmacity.com/kit-coloracion-en-shampoo-para-hombre/p</t>
        </is>
      </c>
    </row>
    <row r="233">
      <c r="A233" t="inlineStr">
        <is>
          <t>Farmacity</t>
        </is>
      </c>
      <c r="B233" t="n">
        <v>18210</v>
      </c>
      <c r="C233" t="n">
        <v>12032</v>
      </c>
      <c r="D233" t="inlineStr">
        <is>
          <t>Kit Coloración en Shampoo Para Hombre</t>
        </is>
      </c>
      <c r="E233" t="inlineStr">
        <is>
          <t>Just For Men</t>
        </is>
      </c>
      <c r="F233" t="n">
        <v>18346</v>
      </c>
      <c r="G233" t="n">
        <v>18346</v>
      </c>
      <c r="H233" t="b">
        <v>1</v>
      </c>
      <c r="I233" t="inlineStr"/>
      <c r="J233" t="inlineStr"/>
      <c r="K233" t="inlineStr">
        <is>
          <t>&gt; Cuidado Capilar &gt; Coloración Y Oxidantes &gt;</t>
        </is>
      </c>
      <c r="L233" t="inlineStr">
        <is>
          <t>tratamiento</t>
        </is>
      </c>
      <c r="M233" t="inlineStr">
        <is>
          <t>estandar</t>
        </is>
      </c>
      <c r="N233" t="inlineStr">
        <is>
          <t>tratado</t>
        </is>
      </c>
      <c r="O233" t="inlineStr">
        <is>
          <t>https://www.farmacity.com/kit-coloracion-en-shampoo-para-hombre/p</t>
        </is>
      </c>
    </row>
    <row r="234">
      <c r="A234" s="6" t="inlineStr">
        <is>
          <t>Farmacity</t>
        </is>
      </c>
      <c r="B234" s="6" t="n">
        <v>18210</v>
      </c>
      <c r="C234" s="6" t="n">
        <v>12033</v>
      </c>
      <c r="D234" s="6" t="inlineStr">
        <is>
          <t>Kit Coloración en Shampoo Para Hombre</t>
        </is>
      </c>
      <c r="E234" s="6" t="inlineStr">
        <is>
          <t>Just For Men</t>
        </is>
      </c>
      <c r="F234" s="6" t="n">
        <v>18346</v>
      </c>
      <c r="G234" s="6" t="n">
        <v>18346</v>
      </c>
      <c r="H234" s="6" t="b">
        <v>1</v>
      </c>
      <c r="I234" s="6" t="inlineStr"/>
      <c r="J234" s="6" t="inlineStr"/>
      <c r="K234" s="6" t="inlineStr">
        <is>
          <t>&gt; Cuidado Capilar &gt; Coloración Y Oxidantes &gt;</t>
        </is>
      </c>
      <c r="L234" s="6" t="inlineStr">
        <is>
          <t>tratamiento</t>
        </is>
      </c>
      <c r="M234" s="6" t="inlineStr">
        <is>
          <t>estandar</t>
        </is>
      </c>
      <c r="N234" s="6" t="inlineStr">
        <is>
          <t>tratado</t>
        </is>
      </c>
      <c r="O234" s="6" t="inlineStr">
        <is>
          <t>https://www.farmacity.com/kit-coloracion-en-shampoo-para-hombre/p</t>
        </is>
      </c>
    </row>
    <row r="235">
      <c r="A235" t="inlineStr">
        <is>
          <t>Farmacity</t>
        </is>
      </c>
      <c r="B235" t="n">
        <v>40533</v>
      </c>
      <c r="C235" t="n">
        <v>40533</v>
      </c>
      <c r="D235" t="inlineStr">
        <is>
          <t>Targel Coaltar Shampoo x 155 ml</t>
        </is>
      </c>
      <c r="E235" t="inlineStr">
        <is>
          <t>Lagos</t>
        </is>
      </c>
      <c r="F235" t="n">
        <v>40316</v>
      </c>
      <c r="G235" t="n">
        <v>40316</v>
      </c>
      <c r="H235" t="b">
        <v>1</v>
      </c>
      <c r="I235" t="n">
        <v>155</v>
      </c>
      <c r="J235" t="n">
        <v>260.1032</v>
      </c>
      <c r="K235" t="inlineStr">
        <is>
          <t>&gt; Venta Bajo Receta &gt; Dermatológico &gt;</t>
        </is>
      </c>
      <c r="L235" t="inlineStr">
        <is>
          <t>shampoo</t>
        </is>
      </c>
      <c r="M235" t="inlineStr">
        <is>
          <t>estandar</t>
        </is>
      </c>
      <c r="N235" t="inlineStr">
        <is>
          <t>general</t>
        </is>
      </c>
      <c r="O235" t="inlineStr">
        <is>
          <t>https://www.farmacity.com/targel-coaltar-shampoo-x-155-ml/p</t>
        </is>
      </c>
    </row>
    <row r="236">
      <c r="A236" s="6" t="inlineStr">
        <is>
          <t>Farmacity</t>
        </is>
      </c>
      <c r="B236" s="6" t="n">
        <v>39192</v>
      </c>
      <c r="C236" s="6" t="n">
        <v>39192</v>
      </c>
      <c r="D236" s="6" t="inlineStr">
        <is>
          <t>Micoral Ketoconazol Shampoo x 100 ml</t>
        </is>
      </c>
      <c r="E236" s="6" t="inlineStr">
        <is>
          <t>Siegfried</t>
        </is>
      </c>
      <c r="F236" s="6" t="n">
        <v>17614</v>
      </c>
      <c r="G236" s="6" t="n">
        <v>17614</v>
      </c>
      <c r="H236" s="6" t="b">
        <v>1</v>
      </c>
      <c r="I236" s="6" t="n">
        <v>100</v>
      </c>
      <c r="J236" s="6" t="n">
        <v>176.14</v>
      </c>
      <c r="K236" s="6" t="inlineStr">
        <is>
          <t>&gt; Venta Bajo Receta &gt; Dermatológico &gt;</t>
        </is>
      </c>
      <c r="L236" s="6" t="inlineStr">
        <is>
          <t>shampoo</t>
        </is>
      </c>
      <c r="M236" s="6" t="inlineStr">
        <is>
          <t>estandar</t>
        </is>
      </c>
      <c r="N236" s="6" t="inlineStr">
        <is>
          <t>general</t>
        </is>
      </c>
      <c r="O236" s="6" t="inlineStr">
        <is>
          <t>https://www.farmacity.com/micoral-ketoconazol-shampoo-x-100-ml/p</t>
        </is>
      </c>
    </row>
    <row r="237">
      <c r="A237" t="inlineStr">
        <is>
          <t>Farmacity</t>
        </is>
      </c>
      <c r="B237" t="n">
        <v>152351</v>
      </c>
      <c r="C237" t="n">
        <v>152351</v>
      </c>
      <c r="D237" t="inlineStr">
        <is>
          <t>Megacistin Shampoo Cistina+Asoc. x 200 ml</t>
        </is>
      </c>
      <c r="E237" t="inlineStr">
        <is>
          <t>Laboratorio Gra</t>
        </is>
      </c>
      <c r="F237" t="n">
        <v>21385</v>
      </c>
      <c r="G237" t="n">
        <v>21385</v>
      </c>
      <c r="H237" t="b">
        <v>1</v>
      </c>
      <c r="I237" t="n">
        <v>200</v>
      </c>
      <c r="J237" t="n">
        <v>106.925</v>
      </c>
      <c r="K237" t="inlineStr">
        <is>
          <t>&gt; Venta Bajo Receta &gt; Dermatológico &gt;</t>
        </is>
      </c>
      <c r="L237" t="inlineStr">
        <is>
          <t>shampoo</t>
        </is>
      </c>
      <c r="M237" t="inlineStr">
        <is>
          <t>estandar</t>
        </is>
      </c>
      <c r="N237" t="inlineStr">
        <is>
          <t>general</t>
        </is>
      </c>
      <c r="O237" t="inlineStr">
        <is>
          <t>https://www.farmacity.com/megacistin-shampoo-cistina-asoc-x-200-ml/p</t>
        </is>
      </c>
    </row>
    <row r="238">
      <c r="A238" s="6" t="inlineStr">
        <is>
          <t>Farmacity</t>
        </is>
      </c>
      <c r="B238" s="6" t="n">
        <v>238686</v>
      </c>
      <c r="C238" s="6" t="n">
        <v>238686</v>
      </c>
      <c r="D238" s="6" t="inlineStr">
        <is>
          <t>Kit Biferdil Anti Amarillo Shampoo + Máscara</t>
        </is>
      </c>
      <c r="E238" s="6" t="inlineStr">
        <is>
          <t>Biferdil</t>
        </is>
      </c>
      <c r="F238" s="6" t="n">
        <v>20088</v>
      </c>
      <c r="G238" s="6" t="n">
        <v>26784</v>
      </c>
      <c r="H238" s="6" t="b">
        <v>1</v>
      </c>
      <c r="I238" s="6" t="inlineStr"/>
      <c r="J238" s="6" t="inlineStr"/>
      <c r="K238" s="6" t="inlineStr">
        <is>
          <t>&gt; Cuidado Capilar &gt; Shampoo Y Acondicionador &gt;</t>
        </is>
      </c>
      <c r="L238" s="6" t="inlineStr">
        <is>
          <t>tratamiento</t>
        </is>
      </c>
      <c r="M238" s="6" t="inlineStr">
        <is>
          <t>estandar</t>
        </is>
      </c>
      <c r="N238" s="6" t="inlineStr">
        <is>
          <t>general</t>
        </is>
      </c>
      <c r="O238" s="6" t="inlineStr">
        <is>
          <t>https://www.farmacity.com/kit-biferdil-anti-amarillo-shampoo-mascara/p</t>
        </is>
      </c>
    </row>
    <row r="239">
      <c r="A239" t="inlineStr">
        <is>
          <t>Farmacity</t>
        </is>
      </c>
      <c r="B239" t="n">
        <v>237029</v>
      </c>
      <c r="C239" t="n">
        <v>237029</v>
      </c>
      <c r="D239" t="inlineStr">
        <is>
          <t>Infantil Aveno Crema + Shampoo + Acondicionador</t>
        </is>
      </c>
      <c r="E239" t="inlineStr">
        <is>
          <t>Aveno</t>
        </is>
      </c>
      <c r="F239" t="n">
        <v>55217</v>
      </c>
      <c r="G239" t="n">
        <v>73623</v>
      </c>
      <c r="H239" t="b">
        <v>1</v>
      </c>
      <c r="I239" t="inlineStr"/>
      <c r="J239" t="inlineStr"/>
      <c r="K239" t="inlineStr">
        <is>
          <t>&gt; Bebés &gt; Higiene del Bebé &gt; Baño Del Bebé &gt;</t>
        </is>
      </c>
      <c r="L239" t="inlineStr">
        <is>
          <t>acondicionador</t>
        </is>
      </c>
      <c r="M239" t="inlineStr">
        <is>
          <t>estandar</t>
        </is>
      </c>
      <c r="N239" t="inlineStr">
        <is>
          <t>bebe</t>
        </is>
      </c>
      <c r="O239" t="inlineStr">
        <is>
          <t>https://www.farmacity.com/infantil-aveno-crema-shampoo-acondicionador/p</t>
        </is>
      </c>
    </row>
    <row r="240">
      <c r="A240" s="6" t="inlineStr">
        <is>
          <t>Farmacity</t>
        </is>
      </c>
      <c r="B240" s="6" t="n">
        <v>225102</v>
      </c>
      <c r="C240" s="6" t="n">
        <v>225102</v>
      </c>
      <c r="D240" s="6" t="inlineStr">
        <is>
          <t>Valcatil Max Shampoo Pomo x 150 ml</t>
        </is>
      </c>
      <c r="E240" s="6" t="inlineStr">
        <is>
          <t>Panalab</t>
        </is>
      </c>
      <c r="F240" s="6" t="n">
        <v>28696</v>
      </c>
      <c r="G240" s="6" t="n">
        <v>28696</v>
      </c>
      <c r="H240" s="6" t="b">
        <v>1</v>
      </c>
      <c r="I240" s="6" t="n">
        <v>150</v>
      </c>
      <c r="J240" s="6" t="n">
        <v>191.3067</v>
      </c>
      <c r="K240" s="6" t="inlineStr">
        <is>
          <t>&gt; Venta Bajo Receta &gt; Dermatológico &gt;</t>
        </is>
      </c>
      <c r="L240" s="6" t="inlineStr">
        <is>
          <t>shampoo</t>
        </is>
      </c>
      <c r="M240" s="6" t="inlineStr">
        <is>
          <t>estandar</t>
        </is>
      </c>
      <c r="N240" s="6" t="inlineStr">
        <is>
          <t>general</t>
        </is>
      </c>
      <c r="O240" s="6" t="inlineStr">
        <is>
          <t>https://www.farmacity.com/valcatil-max-shampoo-pomo-x-150-ml/p</t>
        </is>
      </c>
    </row>
    <row r="241">
      <c r="A241" t="inlineStr">
        <is>
          <t>Farmacity</t>
        </is>
      </c>
      <c r="B241" t="n">
        <v>238660</v>
      </c>
      <c r="C241" t="n">
        <v>236793</v>
      </c>
      <c r="D241" t="inlineStr">
        <is>
          <t>Tintura en Shampoo Issue Express 5 Min</t>
        </is>
      </c>
      <c r="E241" t="inlineStr">
        <is>
          <t>Issue</t>
        </is>
      </c>
      <c r="F241" t="n">
        <v>4737</v>
      </c>
      <c r="G241" t="n">
        <v>4737</v>
      </c>
      <c r="H241" t="b">
        <v>1</v>
      </c>
      <c r="I241" t="inlineStr"/>
      <c r="J241" t="inlineStr"/>
      <c r="K241" t="inlineStr">
        <is>
          <t>&gt; Cuidado Capilar &gt; Coloración Y Oxidantes &gt;</t>
        </is>
      </c>
      <c r="L241" t="inlineStr">
        <is>
          <t>shampoo</t>
        </is>
      </c>
      <c r="M241" t="inlineStr">
        <is>
          <t>estandar</t>
        </is>
      </c>
      <c r="N241" t="inlineStr">
        <is>
          <t>tratado</t>
        </is>
      </c>
      <c r="O241" t="inlineStr">
        <is>
          <t>https://www.farmacity.com/tintura-en-shampoo-issue-express-5-min/p</t>
        </is>
      </c>
    </row>
    <row r="242">
      <c r="A242" s="6" t="inlineStr">
        <is>
          <t>Farmacity</t>
        </is>
      </c>
      <c r="B242" s="6" t="n">
        <v>238660</v>
      </c>
      <c r="C242" s="6" t="n">
        <v>236794</v>
      </c>
      <c r="D242" s="6" t="inlineStr">
        <is>
          <t>Tintura en Shampoo Issue Express 5 Min</t>
        </is>
      </c>
      <c r="E242" s="6" t="inlineStr">
        <is>
          <t>Issue</t>
        </is>
      </c>
      <c r="F242" s="6" t="n">
        <v>4737</v>
      </c>
      <c r="G242" s="6" t="n">
        <v>4737</v>
      </c>
      <c r="H242" s="6" t="b">
        <v>1</v>
      </c>
      <c r="I242" s="6" t="inlineStr"/>
      <c r="J242" s="6" t="inlineStr"/>
      <c r="K242" s="6" t="inlineStr">
        <is>
          <t>&gt; Cuidado Capilar &gt; Coloración Y Oxidantes &gt;</t>
        </is>
      </c>
      <c r="L242" s="6" t="inlineStr">
        <is>
          <t>shampoo</t>
        </is>
      </c>
      <c r="M242" s="6" t="inlineStr">
        <is>
          <t>estandar</t>
        </is>
      </c>
      <c r="N242" s="6" t="inlineStr">
        <is>
          <t>tratado</t>
        </is>
      </c>
      <c r="O242" s="6" t="inlineStr">
        <is>
          <t>https://www.farmacity.com/tintura-en-shampoo-issue-express-5-min/p</t>
        </is>
      </c>
    </row>
    <row r="243">
      <c r="A243" t="inlineStr">
        <is>
          <t>Farmacity</t>
        </is>
      </c>
      <c r="B243" t="n">
        <v>238660</v>
      </c>
      <c r="C243" t="n">
        <v>236795</v>
      </c>
      <c r="D243" t="inlineStr">
        <is>
          <t>Tintura en Shampoo Issue Express 5 Min</t>
        </is>
      </c>
      <c r="E243" t="inlineStr">
        <is>
          <t>Issue</t>
        </is>
      </c>
      <c r="F243" t="n">
        <v>4737</v>
      </c>
      <c r="G243" t="n">
        <v>4737</v>
      </c>
      <c r="H243" t="b">
        <v>1</v>
      </c>
      <c r="I243" t="inlineStr"/>
      <c r="J243" t="inlineStr"/>
      <c r="K243" t="inlineStr">
        <is>
          <t>&gt; Cuidado Capilar &gt; Coloración Y Oxidantes &gt;</t>
        </is>
      </c>
      <c r="L243" t="inlineStr">
        <is>
          <t>shampoo</t>
        </is>
      </c>
      <c r="M243" t="inlineStr">
        <is>
          <t>estandar</t>
        </is>
      </c>
      <c r="N243" t="inlineStr">
        <is>
          <t>tratado</t>
        </is>
      </c>
      <c r="O243" t="inlineStr">
        <is>
          <t>https://www.farmacity.com/tintura-en-shampoo-issue-express-5-min/p</t>
        </is>
      </c>
    </row>
    <row r="244">
      <c r="A244" s="6" t="inlineStr">
        <is>
          <t>Farmacity</t>
        </is>
      </c>
      <c r="B244" s="6" t="n">
        <v>238660</v>
      </c>
      <c r="C244" s="6" t="n">
        <v>243616</v>
      </c>
      <c r="D244" s="6" t="inlineStr">
        <is>
          <t>Tintura en Shampoo Issue Express 5 Min</t>
        </is>
      </c>
      <c r="E244" s="6" t="inlineStr">
        <is>
          <t>Issue</t>
        </is>
      </c>
      <c r="F244" s="6" t="n">
        <v>4737</v>
      </c>
      <c r="G244" s="6" t="n">
        <v>4737</v>
      </c>
      <c r="H244" s="6" t="b">
        <v>1</v>
      </c>
      <c r="I244" s="6" t="inlineStr"/>
      <c r="J244" s="6" t="inlineStr"/>
      <c r="K244" s="6" t="inlineStr">
        <is>
          <t>&gt; Cuidado Capilar &gt; Coloración Y Oxidantes &gt;</t>
        </is>
      </c>
      <c r="L244" s="6" t="inlineStr">
        <is>
          <t>shampoo</t>
        </is>
      </c>
      <c r="M244" s="6" t="inlineStr">
        <is>
          <t>estandar</t>
        </is>
      </c>
      <c r="N244" s="6" t="inlineStr">
        <is>
          <t>tratado</t>
        </is>
      </c>
      <c r="O244" s="6" t="inlineStr">
        <is>
          <t>https://www.farmacity.com/tintura-en-shampoo-issue-express-5-min/p</t>
        </is>
      </c>
    </row>
    <row r="245">
      <c r="A245" t="inlineStr">
        <is>
          <t>Farmacity</t>
        </is>
      </c>
      <c r="B245" t="n">
        <v>35801</v>
      </c>
      <c r="C245" t="n">
        <v>35801</v>
      </c>
      <c r="D245" t="inlineStr">
        <is>
          <t>Eumicel 2% Ketoconazol Shampoo x 100 ml</t>
        </is>
      </c>
      <c r="E245" t="inlineStr">
        <is>
          <t>Medisol</t>
        </is>
      </c>
      <c r="F245" t="n">
        <v>12400</v>
      </c>
      <c r="G245" t="n">
        <v>12400</v>
      </c>
      <c r="H245" t="b">
        <v>1</v>
      </c>
      <c r="I245" t="n">
        <v>100</v>
      </c>
      <c r="J245" t="n">
        <v>124</v>
      </c>
      <c r="K245" t="inlineStr">
        <is>
          <t>&gt; Venta Bajo Receta &gt; Dermatológico &gt;</t>
        </is>
      </c>
      <c r="L245" t="inlineStr">
        <is>
          <t>shampoo</t>
        </is>
      </c>
      <c r="M245" t="inlineStr">
        <is>
          <t>estandar</t>
        </is>
      </c>
      <c r="N245" t="inlineStr">
        <is>
          <t>general</t>
        </is>
      </c>
      <c r="O245" t="inlineStr">
        <is>
          <t>https://www.farmacity.com/eumicel-2-ketoconazol-shampoo-x-100-ml/p</t>
        </is>
      </c>
    </row>
    <row r="246">
      <c r="A246" s="6" t="inlineStr">
        <is>
          <t>Farmacity</t>
        </is>
      </c>
      <c r="B246" s="6" t="n">
        <v>238687</v>
      </c>
      <c r="C246" s="6" t="n">
        <v>238687</v>
      </c>
      <c r="D246" s="6" t="inlineStr">
        <is>
          <t>Combo Biferdil Anti-Naranja Shampoo + Máscara</t>
        </is>
      </c>
      <c r="E246" s="6" t="inlineStr">
        <is>
          <t>Biferdil</t>
        </is>
      </c>
      <c r="F246" s="6" t="n">
        <v>20088</v>
      </c>
      <c r="G246" s="6" t="n">
        <v>26784</v>
      </c>
      <c r="H246" s="6" t="b">
        <v>1</v>
      </c>
      <c r="I246" s="6" t="inlineStr"/>
      <c r="J246" s="6" t="inlineStr"/>
      <c r="K246" s="6" t="inlineStr">
        <is>
          <t>&gt; Cuidado Capilar &gt; Shampoo Y Acondicionador &gt;</t>
        </is>
      </c>
      <c r="L246" s="6" t="inlineStr">
        <is>
          <t>shampoo</t>
        </is>
      </c>
      <c r="M246" s="6" t="inlineStr">
        <is>
          <t>estandar</t>
        </is>
      </c>
      <c r="N246" s="6" t="inlineStr">
        <is>
          <t>general</t>
        </is>
      </c>
      <c r="O246" s="6" t="inlineStr">
        <is>
          <t>https://www.farmacity.com/kit-biferdil-anti-naranja-shampoo-mascara/p</t>
        </is>
      </c>
    </row>
    <row r="247">
      <c r="A247" t="inlineStr">
        <is>
          <t>Farmacity</t>
        </is>
      </c>
      <c r="B247" t="n">
        <v>238688</v>
      </c>
      <c r="C247" t="n">
        <v>238688</v>
      </c>
      <c r="D247" t="inlineStr">
        <is>
          <t>Combo Biferdil Reflejante Plata Shampoo + Máscara</t>
        </is>
      </c>
      <c r="E247" t="inlineStr">
        <is>
          <t>Biferdil</t>
        </is>
      </c>
      <c r="F247" t="n">
        <v>25839</v>
      </c>
      <c r="G247" t="n">
        <v>34452</v>
      </c>
      <c r="H247" t="b">
        <v>1</v>
      </c>
      <c r="I247" t="inlineStr"/>
      <c r="J247" t="inlineStr"/>
      <c r="K247" t="inlineStr">
        <is>
          <t>&gt; Cuidado Capilar &gt; Shampoo Y Acondicionador &gt;</t>
        </is>
      </c>
      <c r="L247" t="inlineStr">
        <is>
          <t>shampoo</t>
        </is>
      </c>
      <c r="M247" t="inlineStr">
        <is>
          <t>estandar</t>
        </is>
      </c>
      <c r="N247" t="inlineStr">
        <is>
          <t>general</t>
        </is>
      </c>
      <c r="O247" t="inlineStr">
        <is>
          <t>https://www.farmacity.com/kit-biferdil-reflejante-plata-shampoo-mascara/p</t>
        </is>
      </c>
    </row>
    <row r="248">
      <c r="A248" s="6" t="inlineStr">
        <is>
          <t>Farmacity</t>
        </is>
      </c>
      <c r="B248" s="6" t="n">
        <v>155192</v>
      </c>
      <c r="C248" s="6" t="n">
        <v>155192</v>
      </c>
      <c r="D248" s="6" t="inlineStr">
        <is>
          <t>Kinderval 1% Permetrina Shampoo x 120 ml</t>
        </is>
      </c>
      <c r="E248" s="6" t="inlineStr">
        <is>
          <t>Omicron</t>
        </is>
      </c>
      <c r="F248" s="6" t="n">
        <v>13500</v>
      </c>
      <c r="G248" s="6" t="n">
        <v>13500</v>
      </c>
      <c r="H248" s="6" t="b">
        <v>1</v>
      </c>
      <c r="I248" s="6" t="n">
        <v>120</v>
      </c>
      <c r="J248" s="6" t="n">
        <v>112.5</v>
      </c>
      <c r="K248" s="6" t="inlineStr">
        <is>
          <t>&gt; Venta Bajo Receta &gt; Antiparasitarios, Insecticidas y Repelentes &gt;</t>
        </is>
      </c>
      <c r="L248" s="6" t="inlineStr">
        <is>
          <t>shampoo</t>
        </is>
      </c>
      <c r="M248" s="6" t="inlineStr">
        <is>
          <t>estandar</t>
        </is>
      </c>
      <c r="N248" s="6" t="inlineStr">
        <is>
          <t>general</t>
        </is>
      </c>
      <c r="O248" s="6" t="inlineStr">
        <is>
          <t>https://www.farmacity.com/kinderval-1-permetrina-shampoo-x-120-ml/p</t>
        </is>
      </c>
    </row>
    <row r="249">
      <c r="A249" t="inlineStr">
        <is>
          <t>Farmacity</t>
        </is>
      </c>
      <c r="B249" t="n">
        <v>145041</v>
      </c>
      <c r="C249" t="n">
        <v>145041</v>
      </c>
      <c r="D249" t="inlineStr">
        <is>
          <t>Ribatra Clobetasol 0.05% Shampoo x 150 ml</t>
        </is>
      </c>
      <c r="E249" t="inlineStr">
        <is>
          <t>Panalab</t>
        </is>
      </c>
      <c r="F249" t="n">
        <v>76591</v>
      </c>
      <c r="G249" t="n">
        <v>76591</v>
      </c>
      <c r="H249" t="b">
        <v>1</v>
      </c>
      <c r="I249" t="n">
        <v>150</v>
      </c>
      <c r="J249" t="n">
        <v>510.6067</v>
      </c>
      <c r="K249" t="inlineStr">
        <is>
          <t>&gt; Venta Bajo Receta &gt; Dermatológico &gt;</t>
        </is>
      </c>
      <c r="L249" t="inlineStr">
        <is>
          <t>shampoo</t>
        </is>
      </c>
      <c r="M249" t="inlineStr">
        <is>
          <t>estandar</t>
        </is>
      </c>
      <c r="N249" t="inlineStr">
        <is>
          <t>general</t>
        </is>
      </c>
      <c r="O249" t="inlineStr">
        <is>
          <t>https://www.farmacity.com/ribatra-clobetasol-0-05-shampoo-x-150-ml/p</t>
        </is>
      </c>
    </row>
    <row r="250">
      <c r="A250" s="6" t="inlineStr">
        <is>
          <t>Farmacity</t>
        </is>
      </c>
      <c r="B250" s="6" t="n">
        <v>131436</v>
      </c>
      <c r="C250" s="6" t="n">
        <v>131436</v>
      </c>
      <c r="D250" s="6" t="inlineStr">
        <is>
          <t>Proavenal Avena+Asoc. Shampoo x 300 ml</t>
        </is>
      </c>
      <c r="E250" s="6" t="inlineStr">
        <is>
          <t>Panalab</t>
        </is>
      </c>
      <c r="F250" s="6" t="n">
        <v>36637</v>
      </c>
      <c r="G250" s="6" t="n">
        <v>36637</v>
      </c>
      <c r="H250" s="6" t="b">
        <v>1</v>
      </c>
      <c r="I250" s="6" t="n">
        <v>300</v>
      </c>
      <c r="J250" s="6" t="n">
        <v>122.1233</v>
      </c>
      <c r="K250" s="6" t="inlineStr">
        <is>
          <t>&gt; Venta Bajo Receta &gt; Dermatológico &gt;</t>
        </is>
      </c>
      <c r="L250" s="6" t="inlineStr">
        <is>
          <t>shampoo</t>
        </is>
      </c>
      <c r="M250" s="6" t="inlineStr">
        <is>
          <t>estandar</t>
        </is>
      </c>
      <c r="N250" s="6" t="inlineStr">
        <is>
          <t>general</t>
        </is>
      </c>
      <c r="O250" s="6" t="inlineStr">
        <is>
          <t>https://www.farmacity.com/proavenal-avena-asoc-shampoo-x-300-ml/p</t>
        </is>
      </c>
    </row>
    <row r="251">
      <c r="A251" t="inlineStr">
        <is>
          <t>Farmacity</t>
        </is>
      </c>
      <c r="B251" t="n">
        <v>215769</v>
      </c>
      <c r="C251" t="n">
        <v>215769</v>
      </c>
      <c r="D251" t="inlineStr">
        <is>
          <t>Combo Capilatis Keratina Hair Therapy Shampoo + Acondicionador</t>
        </is>
      </c>
      <c r="E251" t="inlineStr">
        <is>
          <t>Capilatis</t>
        </is>
      </c>
      <c r="F251" t="n">
        <v>15840</v>
      </c>
      <c r="G251" t="n">
        <v>19800</v>
      </c>
      <c r="H251" t="b">
        <v>1</v>
      </c>
      <c r="I251" t="inlineStr"/>
      <c r="J251" t="inlineStr"/>
      <c r="K251" t="inlineStr">
        <is>
          <t>&gt; Cuidado Capilar &gt; Shampoo Y Acondicionador &gt;</t>
        </is>
      </c>
      <c r="L251" t="inlineStr">
        <is>
          <t>acondicionador</t>
        </is>
      </c>
      <c r="M251" t="inlineStr">
        <is>
          <t>estandar</t>
        </is>
      </c>
      <c r="N251" t="inlineStr">
        <is>
          <t>tratado</t>
        </is>
      </c>
      <c r="O251" t="inlineStr">
        <is>
          <t>https://www.farmacity.com/combo-capilatis-kerattina-hair-herapy/p</t>
        </is>
      </c>
    </row>
    <row r="252">
      <c r="A252" s="6" t="inlineStr">
        <is>
          <t>Farmacity</t>
        </is>
      </c>
      <c r="B252" s="6" t="n">
        <v>149054</v>
      </c>
      <c r="C252" s="6" t="n">
        <v>149054</v>
      </c>
      <c r="D252" s="6" t="inlineStr">
        <is>
          <t>Eumicel Colageno 2% Ketoconazol Shampoo x 120 ml</t>
        </is>
      </c>
      <c r="E252" s="6" t="inlineStr">
        <is>
          <t>Cassara</t>
        </is>
      </c>
      <c r="F252" s="6" t="n">
        <v>22150</v>
      </c>
      <c r="G252" s="6" t="n">
        <v>22150</v>
      </c>
      <c r="H252" s="6" t="b">
        <v>1</v>
      </c>
      <c r="I252" s="6" t="n">
        <v>120</v>
      </c>
      <c r="J252" s="6" t="n">
        <v>184.5833</v>
      </c>
      <c r="K252" s="6" t="inlineStr">
        <is>
          <t>&gt; Venta Bajo Receta &gt; Dermatológico &gt;</t>
        </is>
      </c>
      <c r="L252" s="6" t="inlineStr">
        <is>
          <t>shampoo</t>
        </is>
      </c>
      <c r="M252" s="6" t="inlineStr">
        <is>
          <t>estandar</t>
        </is>
      </c>
      <c r="N252" s="6" t="inlineStr">
        <is>
          <t>general</t>
        </is>
      </c>
      <c r="O252" s="6" t="inlineStr">
        <is>
          <t>https://www.farmacity.com/eumicel-colageno-2-ketoconazol-shampoo-x-120-ml/p</t>
        </is>
      </c>
    </row>
    <row r="253">
      <c r="A253" t="inlineStr">
        <is>
          <t>Farmacity</t>
        </is>
      </c>
      <c r="B253" t="n">
        <v>129522</v>
      </c>
      <c r="C253" t="n">
        <v>129522</v>
      </c>
      <c r="D253" t="inlineStr">
        <is>
          <t>Octopirox + Asoc Shampoo Anticaspa x 140 ml</t>
        </is>
      </c>
      <c r="E253" t="inlineStr">
        <is>
          <t>L.D.A.</t>
        </is>
      </c>
      <c r="F253" t="n">
        <v>33790</v>
      </c>
      <c r="G253" t="n">
        <v>33790</v>
      </c>
      <c r="H253" t="b">
        <v>1</v>
      </c>
      <c r="I253" t="n">
        <v>140</v>
      </c>
      <c r="J253" t="n">
        <v>241.3571</v>
      </c>
      <c r="K253" t="inlineStr">
        <is>
          <t>&gt; Venta Bajo Receta &gt; Dermatológico &gt;</t>
        </is>
      </c>
      <c r="L253" t="inlineStr">
        <is>
          <t>shampoo</t>
        </is>
      </c>
      <c r="M253" t="inlineStr">
        <is>
          <t>estandar</t>
        </is>
      </c>
      <c r="N253" t="inlineStr">
        <is>
          <t>anticaspa</t>
        </is>
      </c>
      <c r="O253" t="inlineStr">
        <is>
          <t>https://www.farmacity.com/octopirox-asoc-shampoo-anticaspa-x-140-ml/p</t>
        </is>
      </c>
    </row>
    <row r="254">
      <c r="A254" s="6" t="inlineStr">
        <is>
          <t>Farmacity</t>
        </is>
      </c>
      <c r="B254" s="6" t="n">
        <v>241694</v>
      </c>
      <c r="C254" s="6" t="n">
        <v>241694</v>
      </c>
      <c r="D254" s="6" t="inlineStr">
        <is>
          <t>Kit Dove Bond Intense Repair Shampoo + Acondicionador</t>
        </is>
      </c>
      <c r="E254" s="6" t="inlineStr">
        <is>
          <t>Dove</t>
        </is>
      </c>
      <c r="F254" s="6" t="n">
        <v>10869</v>
      </c>
      <c r="G254" s="6" t="n">
        <v>19761</v>
      </c>
      <c r="H254" s="6" t="b">
        <v>1</v>
      </c>
      <c r="I254" s="6" t="inlineStr"/>
      <c r="J254" s="6" t="inlineStr"/>
      <c r="K254" s="6" t="inlineStr">
        <is>
          <t>&gt; Cuidado Capilar &gt; Shampoo Y Acondicionador &gt;</t>
        </is>
      </c>
      <c r="L254" s="6" t="inlineStr">
        <is>
          <t>acondicionador</t>
        </is>
      </c>
      <c r="M254" s="6" t="inlineStr">
        <is>
          <t>profesional</t>
        </is>
      </c>
      <c r="N254" s="6" t="inlineStr">
        <is>
          <t>general</t>
        </is>
      </c>
      <c r="O254" s="6" t="inlineStr">
        <is>
          <t>https://www.farmacity.com/combo-dove-bond-intense-repair-shampoo-x-400-ml-acondicionador-x-250-ml/p</t>
        </is>
      </c>
    </row>
    <row r="255">
      <c r="A255" t="inlineStr">
        <is>
          <t>Farmacity</t>
        </is>
      </c>
      <c r="B255" t="n">
        <v>31693</v>
      </c>
      <c r="C255" t="n">
        <v>31693</v>
      </c>
      <c r="D255" t="inlineStr">
        <is>
          <t>Champu Anticaspa Tikl Ketoconazol Shampoo x 240 ml</t>
        </is>
      </c>
      <c r="E255" t="inlineStr">
        <is>
          <t>Monserrat</t>
        </is>
      </c>
      <c r="F255" t="n">
        <v>24550</v>
      </c>
      <c r="G255" t="n">
        <v>24550</v>
      </c>
      <c r="H255" t="b">
        <v>1</v>
      </c>
      <c r="I255" t="n">
        <v>240</v>
      </c>
      <c r="J255" t="n">
        <v>102.2917</v>
      </c>
      <c r="K255" t="inlineStr">
        <is>
          <t>&gt; Venta Bajo Receta &gt; Dermatológico &gt;</t>
        </is>
      </c>
      <c r="L255" t="inlineStr">
        <is>
          <t>shampoo</t>
        </is>
      </c>
      <c r="M255" t="inlineStr">
        <is>
          <t>estandar</t>
        </is>
      </c>
      <c r="N255" t="inlineStr">
        <is>
          <t>anticaspa</t>
        </is>
      </c>
      <c r="O255" t="inlineStr">
        <is>
          <t>https://www.farmacity.com/champu-anticaspa-tikl-ketoconazol-shampoo-x-240-ml/p</t>
        </is>
      </c>
    </row>
    <row r="256">
      <c r="A256" s="6" t="inlineStr">
        <is>
          <t>Farmacity</t>
        </is>
      </c>
      <c r="B256" s="6" t="n">
        <v>237187</v>
      </c>
      <c r="C256" s="6" t="n">
        <v>237187</v>
      </c>
      <c r="D256" s="6" t="inlineStr">
        <is>
          <t>Shampoo Vichy Dercos Energizante Anticaída x 2 un x 200 ml c/u</t>
        </is>
      </c>
      <c r="E256" s="6" t="inlineStr">
        <is>
          <t>Vichy</t>
        </is>
      </c>
      <c r="F256" s="6" t="n">
        <v>74883</v>
      </c>
      <c r="G256" s="6" t="n">
        <v>106976</v>
      </c>
      <c r="H256" s="6" t="b">
        <v>1</v>
      </c>
      <c r="I256" s="6" t="n">
        <v>200</v>
      </c>
      <c r="J256" s="6" t="n">
        <v>374.415</v>
      </c>
      <c r="K256" s="6" t="inlineStr">
        <is>
          <t>&gt; Dermocosmética &gt; Pelo &gt; Shampoos y Acondicionadores &gt;</t>
        </is>
      </c>
      <c r="L256" s="6" t="inlineStr">
        <is>
          <t>shampoo</t>
        </is>
      </c>
      <c r="M256" s="6" t="inlineStr">
        <is>
          <t>estandar</t>
        </is>
      </c>
      <c r="N256" s="6" t="inlineStr">
        <is>
          <t>general</t>
        </is>
      </c>
      <c r="O256" s="6" t="inlineStr">
        <is>
          <t>https://www.farmacity.com/shampoo-vichy-dercos-energizante-anticaida-x-2-un-x-200-ml-c-u/p</t>
        </is>
      </c>
    </row>
    <row r="257">
      <c r="A257" t="inlineStr">
        <is>
          <t>Farmacity</t>
        </is>
      </c>
      <c r="B257" t="n">
        <v>238809</v>
      </c>
      <c r="C257" t="n">
        <v>238809</v>
      </c>
      <c r="D257" t="inlineStr">
        <is>
          <t>Combo Shampoo Dercos Anti Caspa x 2 un</t>
        </is>
      </c>
      <c r="E257" t="inlineStr">
        <is>
          <t>Vichy</t>
        </is>
      </c>
      <c r="F257" t="n">
        <v>106976</v>
      </c>
      <c r="G257" t="n">
        <v>106976</v>
      </c>
      <c r="H257" t="b">
        <v>1</v>
      </c>
      <c r="I257" t="inlineStr"/>
      <c r="J257" t="inlineStr"/>
      <c r="K257" t="inlineStr">
        <is>
          <t>&gt; Dermocosmética &gt; Rostro &gt;</t>
        </is>
      </c>
      <c r="L257" t="inlineStr">
        <is>
          <t>shampoo</t>
        </is>
      </c>
      <c r="M257" t="inlineStr">
        <is>
          <t>estandar</t>
        </is>
      </c>
      <c r="N257" t="inlineStr">
        <is>
          <t>anticaspa</t>
        </is>
      </c>
      <c r="O257" t="inlineStr">
        <is>
          <t>https://www.farmacity.com/combo-shampoo-dercos-anti-caspa-x-2-u/p</t>
        </is>
      </c>
    </row>
    <row r="258">
      <c r="A258" s="6" t="inlineStr">
        <is>
          <t>Farmacity</t>
        </is>
      </c>
      <c r="B258" s="6" t="n">
        <v>132582</v>
      </c>
      <c r="C258" s="6" t="n">
        <v>132582</v>
      </c>
      <c r="D258" s="6" t="inlineStr">
        <is>
          <t>L D A Cistina+Asoc. Shampoo x 140 ml</t>
        </is>
      </c>
      <c r="E258" s="6" t="inlineStr">
        <is>
          <t>L.D.A.</t>
        </is>
      </c>
      <c r="F258" s="6" t="n">
        <v>29566</v>
      </c>
      <c r="G258" s="6" t="n">
        <v>29566</v>
      </c>
      <c r="H258" s="6" t="b">
        <v>1</v>
      </c>
      <c r="I258" s="6" t="n">
        <v>140</v>
      </c>
      <c r="J258" s="6" t="n">
        <v>211.1857</v>
      </c>
      <c r="K258" s="6" t="inlineStr">
        <is>
          <t>&gt; Venta Bajo Receta &gt; Dermatológico &gt;</t>
        </is>
      </c>
      <c r="L258" s="6" t="inlineStr">
        <is>
          <t>shampoo</t>
        </is>
      </c>
      <c r="M258" s="6" t="inlineStr">
        <is>
          <t>estandar</t>
        </is>
      </c>
      <c r="N258" s="6" t="inlineStr">
        <is>
          <t>general</t>
        </is>
      </c>
      <c r="O258" s="6" t="inlineStr">
        <is>
          <t>https://www.farmacity.com/l-d-a-cistina-asoc-shampoo-x-140-ml/p</t>
        </is>
      </c>
    </row>
    <row r="259">
      <c r="A259" t="inlineStr">
        <is>
          <t>Farmacity</t>
        </is>
      </c>
      <c r="B259" t="n">
        <v>27078</v>
      </c>
      <c r="C259" t="n">
        <v>27078</v>
      </c>
      <c r="D259" t="inlineStr">
        <is>
          <t>Sorsis Coaltar + Asoc. Shampoo x 200 ml</t>
        </is>
      </c>
      <c r="E259" t="inlineStr">
        <is>
          <t>Fortbenton</t>
        </is>
      </c>
      <c r="F259" t="n">
        <v>25830</v>
      </c>
      <c r="G259" t="n">
        <v>25830</v>
      </c>
      <c r="H259" t="b">
        <v>1</v>
      </c>
      <c r="I259" t="n">
        <v>200</v>
      </c>
      <c r="J259" t="n">
        <v>129.15</v>
      </c>
      <c r="K259" t="inlineStr">
        <is>
          <t>&gt; Venta Bajo Receta &gt; Dermatológico &gt;</t>
        </is>
      </c>
      <c r="L259" t="inlineStr">
        <is>
          <t>shampoo</t>
        </is>
      </c>
      <c r="M259" t="inlineStr">
        <is>
          <t>estandar</t>
        </is>
      </c>
      <c r="N259" t="inlineStr">
        <is>
          <t>general</t>
        </is>
      </c>
      <c r="O259" t="inlineStr">
        <is>
          <t>https://www.farmacity.com/sorsis-coaltar-asoc-shampoo-x-200-ml/p</t>
        </is>
      </c>
    </row>
    <row r="260">
      <c r="A260" s="6" t="inlineStr">
        <is>
          <t>Farmacity</t>
        </is>
      </c>
      <c r="B260" s="6" t="n">
        <v>27075</v>
      </c>
      <c r="C260" s="6" t="n">
        <v>27075</v>
      </c>
      <c r="D260" s="6" t="inlineStr">
        <is>
          <t>Sorsis Coaltar + Asoc. Shampoo x 120 ml</t>
        </is>
      </c>
      <c r="E260" s="6" t="inlineStr">
        <is>
          <t>Fortbenton</t>
        </is>
      </c>
      <c r="F260" s="6" t="n">
        <v>18189</v>
      </c>
      <c r="G260" s="6" t="n">
        <v>18189</v>
      </c>
      <c r="H260" s="6" t="b">
        <v>1</v>
      </c>
      <c r="I260" s="6" t="n">
        <v>120</v>
      </c>
      <c r="J260" s="6" t="n">
        <v>151.575</v>
      </c>
      <c r="K260" s="6" t="inlineStr">
        <is>
          <t>&gt; Venta Bajo Receta &gt; Dermatológico &gt;</t>
        </is>
      </c>
      <c r="L260" s="6" t="inlineStr">
        <is>
          <t>shampoo</t>
        </is>
      </c>
      <c r="M260" s="6" t="inlineStr">
        <is>
          <t>estandar</t>
        </is>
      </c>
      <c r="N260" s="6" t="inlineStr">
        <is>
          <t>general</t>
        </is>
      </c>
      <c r="O260" s="6" t="inlineStr">
        <is>
          <t>https://www.farmacity.com/sorsis-coaltar-asoc-shampoo-x-120-ml/p</t>
        </is>
      </c>
    </row>
    <row r="261">
      <c r="A261" t="inlineStr">
        <is>
          <t>Farmacity</t>
        </is>
      </c>
      <c r="B261" t="n">
        <v>226202</v>
      </c>
      <c r="C261" t="n">
        <v>226202</v>
      </c>
      <c r="D261" t="inlineStr">
        <is>
          <t>Kit Capilar Bebes y Niños Aveno Shampoo y Acondicionador</t>
        </is>
      </c>
      <c r="E261" t="inlineStr">
        <is>
          <t>Aveno</t>
        </is>
      </c>
      <c r="F261" t="n">
        <v>42220</v>
      </c>
      <c r="G261" t="n">
        <v>60314</v>
      </c>
      <c r="H261" t="b">
        <v>1</v>
      </c>
      <c r="I261" t="inlineStr"/>
      <c r="J261" t="inlineStr"/>
      <c r="K261" t="inlineStr">
        <is>
          <t>&gt; Cuidado Capilar &gt; Shampoo Y Acondicionador &gt;</t>
        </is>
      </c>
      <c r="L261" t="inlineStr">
        <is>
          <t>acondicionador</t>
        </is>
      </c>
      <c r="M261" t="inlineStr">
        <is>
          <t>estandar</t>
        </is>
      </c>
      <c r="N261" t="inlineStr">
        <is>
          <t>bebe</t>
        </is>
      </c>
      <c r="O261" t="inlineStr">
        <is>
          <t>https://www.farmacity.com/combo-aveno-shampoo-infantil-x-250-ml-acondicionador-infantil-x-250-ml/p</t>
        </is>
      </c>
    </row>
    <row r="262">
      <c r="A262" s="6" t="inlineStr">
        <is>
          <t>Farmacity</t>
        </is>
      </c>
      <c r="B262" s="6" t="n">
        <v>237554</v>
      </c>
      <c r="C262" s="6" t="n">
        <v>237554</v>
      </c>
      <c r="D262" s="6" t="inlineStr">
        <is>
          <t>Kit Biferdil Ultra Brillo Bálsamo + Shampoo + Máscara</t>
        </is>
      </c>
      <c r="E262" s="6" t="inlineStr">
        <is>
          <t>Biferdil</t>
        </is>
      </c>
      <c r="F262" s="6" t="n">
        <v>32967</v>
      </c>
      <c r="G262" s="6" t="n">
        <v>43956</v>
      </c>
      <c r="H262" s="6" t="b">
        <v>1</v>
      </c>
      <c r="I262" s="6" t="inlineStr"/>
      <c r="J262" s="6" t="inlineStr"/>
      <c r="K262" s="6" t="inlineStr">
        <is>
          <t>&gt; Cuidado Capilar &gt; Shampoo Y Acondicionador &gt;</t>
        </is>
      </c>
      <c r="L262" s="6" t="inlineStr">
        <is>
          <t>tratamiento</t>
        </is>
      </c>
      <c r="M262" s="6" t="inlineStr">
        <is>
          <t>estandar</t>
        </is>
      </c>
      <c r="N262" s="6" t="inlineStr">
        <is>
          <t>general</t>
        </is>
      </c>
      <c r="O262" s="6" t="inlineStr">
        <is>
          <t>https://www.farmacity.com/kit-biferdil-ultra-brillo-balsamo-x-255-ml-shampoo-x-255-ml-mascara-x-150-ml/p</t>
        </is>
      </c>
    </row>
    <row r="263">
      <c r="A263" t="inlineStr">
        <is>
          <t>Farmacity</t>
        </is>
      </c>
      <c r="B263" t="n">
        <v>240624</v>
      </c>
      <c r="C263" t="n">
        <v>240624</v>
      </c>
      <c r="D263" t="inlineStr">
        <is>
          <t>Kit Bagóvit Capilar Reparación Shampoo + Acondicionador + Mascarilla</t>
        </is>
      </c>
      <c r="E263" t="inlineStr">
        <is>
          <t>Bagóvit</t>
        </is>
      </c>
      <c r="F263" t="n">
        <v>29917</v>
      </c>
      <c r="G263" t="n">
        <v>29917</v>
      </c>
      <c r="H263" t="b">
        <v>1</v>
      </c>
      <c r="I263" t="inlineStr"/>
      <c r="J263" t="inlineStr"/>
      <c r="K263" t="inlineStr">
        <is>
          <t>&gt; Cuidado Capilar &gt; Shampoo Y Acondicionador &gt;</t>
        </is>
      </c>
      <c r="L263" t="inlineStr">
        <is>
          <t>acondicionador</t>
        </is>
      </c>
      <c r="M263" t="inlineStr">
        <is>
          <t>estandar</t>
        </is>
      </c>
      <c r="N263" t="inlineStr">
        <is>
          <t>general</t>
        </is>
      </c>
      <c r="O263" t="inlineStr">
        <is>
          <t>https://www.farmacity.com/kit-bagovit-capilar-reparacion-shampoo-acondicionador-mascarilla/p</t>
        </is>
      </c>
    </row>
    <row r="264">
      <c r="A264" s="6" t="inlineStr">
        <is>
          <t>Farmacity</t>
        </is>
      </c>
      <c r="B264" s="6" t="n">
        <v>237564</v>
      </c>
      <c r="C264" s="6" t="n">
        <v>237564</v>
      </c>
      <c r="D264" s="6" t="inlineStr">
        <is>
          <t>Valcatil Complex Aminoacidos + Asoc Shampoo x 300 ml</t>
        </is>
      </c>
      <c r="E264" s="6" t="inlineStr">
        <is>
          <t>Panalab</t>
        </is>
      </c>
      <c r="F264" s="6" t="n">
        <v>60185</v>
      </c>
      <c r="G264" s="6" t="n">
        <v>60185</v>
      </c>
      <c r="H264" s="6" t="b">
        <v>1</v>
      </c>
      <c r="I264" s="6" t="n">
        <v>300</v>
      </c>
      <c r="J264" s="6" t="n">
        <v>200.6167</v>
      </c>
      <c r="K264" s="6" t="inlineStr">
        <is>
          <t>&gt; Venta Bajo Receta &gt; Sistema Digestivo y Metabolismo &gt;</t>
        </is>
      </c>
      <c r="L264" s="6" t="inlineStr">
        <is>
          <t>shampoo</t>
        </is>
      </c>
      <c r="M264" s="6" t="inlineStr">
        <is>
          <t>estandar</t>
        </is>
      </c>
      <c r="N264" s="6" t="inlineStr">
        <is>
          <t>general</t>
        </is>
      </c>
      <c r="O264" s="6" t="inlineStr">
        <is>
          <t>https://www.farmacity.com/valcatil-complex-aminoacidos-asoc-shampoo-x-300-ml/p</t>
        </is>
      </c>
    </row>
    <row r="265">
      <c r="A265" t="inlineStr">
        <is>
          <t>Farmacity</t>
        </is>
      </c>
      <c r="B265" t="n">
        <v>237037</v>
      </c>
      <c r="C265" t="n">
        <v>237037</v>
      </c>
      <c r="D265" t="inlineStr">
        <is>
          <t>Infantil Aveno Crema + Shampoo + Gel + Solar</t>
        </is>
      </c>
      <c r="E265" t="inlineStr">
        <is>
          <t>Aveno</t>
        </is>
      </c>
      <c r="F265" t="n">
        <v>75019</v>
      </c>
      <c r="G265" t="n">
        <v>100025</v>
      </c>
      <c r="H265" t="b">
        <v>1</v>
      </c>
      <c r="I265" t="inlineStr"/>
      <c r="J265" t="inlineStr"/>
      <c r="K265" t="inlineStr">
        <is>
          <t>&gt; Bebés &gt; Higiene del Bebé &gt; Baño Del Bebé &gt;</t>
        </is>
      </c>
      <c r="L265" t="inlineStr">
        <is>
          <t>shampoo</t>
        </is>
      </c>
      <c r="M265" t="inlineStr">
        <is>
          <t>estandar</t>
        </is>
      </c>
      <c r="N265" t="inlineStr">
        <is>
          <t>bebe</t>
        </is>
      </c>
      <c r="O265" t="inlineStr">
        <is>
          <t>https://www.farmacity.com/infantil-aveno-crema-shampoo-gel-solar/p</t>
        </is>
      </c>
    </row>
    <row r="266">
      <c r="A266" s="6" t="inlineStr">
        <is>
          <t>Farmacity</t>
        </is>
      </c>
      <c r="B266" s="6" t="n">
        <v>226197</v>
      </c>
      <c r="C266" s="6" t="n">
        <v>226197</v>
      </c>
      <c r="D266" s="6" t="inlineStr">
        <is>
          <t>Kit Cuidado Capilar Aveno Shampoo y Acondicionador 250 ml</t>
        </is>
      </c>
      <c r="E266" s="6" t="inlineStr">
        <is>
          <t>Aveno</t>
        </is>
      </c>
      <c r="F266" s="6" t="n">
        <v>41818</v>
      </c>
      <c r="G266" s="6" t="n">
        <v>59740</v>
      </c>
      <c r="H266" s="6" t="b">
        <v>1</v>
      </c>
      <c r="I266" s="6" t="n">
        <v>250</v>
      </c>
      <c r="J266" s="6" t="n">
        <v>167.272</v>
      </c>
      <c r="K266" s="6" t="inlineStr">
        <is>
          <t>&gt; Cuidado Capilar &gt; Shampoo Y Acondicionador &gt;</t>
        </is>
      </c>
      <c r="L266" s="6" t="inlineStr">
        <is>
          <t>acondicionador</t>
        </is>
      </c>
      <c r="M266" s="6" t="inlineStr">
        <is>
          <t>estandar</t>
        </is>
      </c>
      <c r="N266" s="6" t="inlineStr">
        <is>
          <t>general</t>
        </is>
      </c>
      <c r="O266" s="6" t="inlineStr">
        <is>
          <t>https://www.farmacity.com/combo-aveno-acondicionador-restaurador-capilar-x-250-ml-shampoo-hidratante-y-emoliente-para-cuero-cabelludo-reactivo-x-250-ml/p</t>
        </is>
      </c>
    </row>
    <row r="267">
      <c r="A267" t="inlineStr">
        <is>
          <t>Farmacity</t>
        </is>
      </c>
      <c r="B267" t="n">
        <v>250538</v>
      </c>
      <c r="C267" t="n">
        <v>250538</v>
      </c>
      <c r="D267" t="inlineStr">
        <is>
          <t>Combo Dove Men Desodorante Antitranspirante + Shampoo Protección Anticaspa</t>
        </is>
      </c>
      <c r="E267" t="inlineStr">
        <is>
          <t>Dove</t>
        </is>
      </c>
      <c r="F267" t="n">
        <v>15211</v>
      </c>
      <c r="G267" t="n">
        <v>15211</v>
      </c>
      <c r="H267" t="b">
        <v>1</v>
      </c>
      <c r="I267" t="inlineStr"/>
      <c r="J267" t="inlineStr"/>
      <c r="K267" t="inlineStr">
        <is>
          <t>&gt; Cuidado Capilar &gt; Shampoo Y Acondicionador &gt;</t>
        </is>
      </c>
      <c r="L267" t="inlineStr">
        <is>
          <t>shampoo</t>
        </is>
      </c>
      <c r="M267" t="inlineStr">
        <is>
          <t>estandar</t>
        </is>
      </c>
      <c r="N267" t="inlineStr">
        <is>
          <t>anticaspa</t>
        </is>
      </c>
      <c r="O267" t="inlineStr">
        <is>
          <t>https://www.farmacity.com/combo-dove-men-desodorante-antitranspirante-shampoo-proteccion-anticaspa/p</t>
        </is>
      </c>
    </row>
    <row r="268">
      <c r="A268" s="6" t="inlineStr">
        <is>
          <t>Farmacity</t>
        </is>
      </c>
      <c r="B268" s="6" t="n">
        <v>239183</v>
      </c>
      <c r="C268" s="6" t="n">
        <v>239183</v>
      </c>
      <c r="D268" s="6" t="inlineStr">
        <is>
          <t>Aminoterapia Advanced Vitaminas + Aminoácidos Shampoo x 200 ml</t>
        </is>
      </c>
      <c r="E268" s="6" t="inlineStr">
        <is>
          <t>Megalabs</t>
        </is>
      </c>
      <c r="F268" s="6" t="n">
        <v>39995</v>
      </c>
      <c r="G268" s="6" t="n">
        <v>39995</v>
      </c>
      <c r="H268" s="6" t="b">
        <v>1</v>
      </c>
      <c r="I268" s="6" t="n">
        <v>200</v>
      </c>
      <c r="J268" s="6" t="n">
        <v>199.975</v>
      </c>
      <c r="K268" s="6" t="inlineStr">
        <is>
          <t>&gt; Venta Bajo Receta &gt; Dermatológico &gt;</t>
        </is>
      </c>
      <c r="L268" s="6" t="inlineStr">
        <is>
          <t>shampoo</t>
        </is>
      </c>
      <c r="M268" s="6" t="inlineStr">
        <is>
          <t>estandar</t>
        </is>
      </c>
      <c r="N268" s="6" t="inlineStr">
        <is>
          <t>general</t>
        </is>
      </c>
      <c r="O268" s="6" t="inlineStr">
        <is>
          <t>https://www.farmacity.com/aminoterapia-advanced-vitaminas-aminoacidos-shampoo-x-200-ml/p</t>
        </is>
      </c>
    </row>
    <row r="269">
      <c r="A269" t="inlineStr">
        <is>
          <t>Farmacity</t>
        </is>
      </c>
      <c r="B269" t="n">
        <v>224363</v>
      </c>
      <c r="C269" t="n">
        <v>224363</v>
      </c>
      <c r="D269" t="inlineStr">
        <is>
          <t>Targel Plus Irgasan + Asoc. Shampoo x 155 ml</t>
        </is>
      </c>
      <c r="E269" t="inlineStr">
        <is>
          <t>Lagos</t>
        </is>
      </c>
      <c r="F269" t="n">
        <v>32945</v>
      </c>
      <c r="G269" t="n">
        <v>32945</v>
      </c>
      <c r="H269" t="b">
        <v>1</v>
      </c>
      <c r="I269" t="n">
        <v>155</v>
      </c>
      <c r="J269" t="n">
        <v>212.5484</v>
      </c>
      <c r="K269" t="inlineStr">
        <is>
          <t>&gt; Venta Bajo Receta &gt; Dermatológico &gt;</t>
        </is>
      </c>
      <c r="L269" t="inlineStr">
        <is>
          <t>shampoo</t>
        </is>
      </c>
      <c r="M269" t="inlineStr">
        <is>
          <t>estandar</t>
        </is>
      </c>
      <c r="N269" t="inlineStr">
        <is>
          <t>general</t>
        </is>
      </c>
      <c r="O269" t="inlineStr">
        <is>
          <t>https://www.farmacity.com/targel-plus-irgasan-asoc-shampoo-x-155-ml/p</t>
        </is>
      </c>
    </row>
    <row r="270">
      <c r="A270" s="6" t="inlineStr">
        <is>
          <t>Farmacity</t>
        </is>
      </c>
      <c r="B270" s="6" t="n">
        <v>223693</v>
      </c>
      <c r="C270" s="6" t="n">
        <v>223693</v>
      </c>
      <c r="D270" s="6" t="inlineStr">
        <is>
          <t>By Derm Capilar Vt Pantenol+Asoc Shampoo x 250ml</t>
        </is>
      </c>
      <c r="E270" s="6" t="inlineStr">
        <is>
          <t>Lesag</t>
        </is>
      </c>
      <c r="F270" s="6" t="n">
        <v>28780</v>
      </c>
      <c r="G270" s="6" t="n">
        <v>28780</v>
      </c>
      <c r="H270" s="6" t="b">
        <v>1</v>
      </c>
      <c r="I270" s="6" t="n">
        <v>250</v>
      </c>
      <c r="J270" s="6" t="n">
        <v>115.12</v>
      </c>
      <c r="K270" s="6" t="inlineStr">
        <is>
          <t>&gt; Venta Bajo Receta &gt; Dermatológico &gt;</t>
        </is>
      </c>
      <c r="L270" s="6" t="inlineStr">
        <is>
          <t>shampoo</t>
        </is>
      </c>
      <c r="M270" s="6" t="inlineStr">
        <is>
          <t>estandar</t>
        </is>
      </c>
      <c r="N270" s="6" t="inlineStr">
        <is>
          <t>general</t>
        </is>
      </c>
      <c r="O270" s="6" t="inlineStr">
        <is>
          <t>https://www.farmacity.com/by-derm-capilar-vt-pantenol-asoc-shampoo-x-250ml/p</t>
        </is>
      </c>
    </row>
    <row r="271">
      <c r="A271" t="inlineStr">
        <is>
          <t>Farmacity</t>
        </is>
      </c>
      <c r="B271" t="n">
        <v>35868</v>
      </c>
      <c r="C271" t="n">
        <v>35868</v>
      </c>
      <c r="D271" t="inlineStr">
        <is>
          <t>Pitiriax Shampoo Salicílico, C. + Asoc. x 100 ml</t>
        </is>
      </c>
      <c r="E271" t="inlineStr">
        <is>
          <t>Medisol</t>
        </is>
      </c>
      <c r="F271" t="n">
        <v>12400</v>
      </c>
      <c r="G271" t="n">
        <v>12400</v>
      </c>
      <c r="H271" t="b">
        <v>1</v>
      </c>
      <c r="I271" t="n">
        <v>100</v>
      </c>
      <c r="J271" t="n">
        <v>124</v>
      </c>
      <c r="K271" t="inlineStr">
        <is>
          <t>&gt; Venta Bajo Receta &gt; Dermatológico &gt;</t>
        </is>
      </c>
      <c r="L271" t="inlineStr">
        <is>
          <t>shampoo</t>
        </is>
      </c>
      <c r="M271" t="inlineStr">
        <is>
          <t>estandar</t>
        </is>
      </c>
      <c r="N271" t="inlineStr">
        <is>
          <t>general</t>
        </is>
      </c>
      <c r="O271" t="inlineStr">
        <is>
          <t>https://www.farmacity.com/pitiriax-shampoo-salicilico-c-asoc-x-100-ml/p</t>
        </is>
      </c>
    </row>
    <row r="272">
      <c r="A272" s="6" t="inlineStr">
        <is>
          <t>Farmacity</t>
        </is>
      </c>
      <c r="B272" s="6" t="n">
        <v>248676</v>
      </c>
      <c r="C272" s="6" t="n">
        <v>248676</v>
      </c>
      <c r="D272" s="6" t="inlineStr">
        <is>
          <t>Combo Dove Uv Repair Shampoo + Acondicionador + Oleo</t>
        </is>
      </c>
      <c r="E272" s="6" t="inlineStr">
        <is>
          <t>Dove</t>
        </is>
      </c>
      <c r="F272" s="6" t="n">
        <v>18782</v>
      </c>
      <c r="G272" s="6" t="n">
        <v>37564</v>
      </c>
      <c r="H272" s="6" t="b">
        <v>1</v>
      </c>
      <c r="I272" s="6" t="inlineStr"/>
      <c r="J272" s="6" t="inlineStr"/>
      <c r="K272" s="6" t="inlineStr">
        <is>
          <t>&gt; Cuidado Capilar &gt; Reparación Y Tratamiento &gt;</t>
        </is>
      </c>
      <c r="L272" s="6" t="inlineStr">
        <is>
          <t>acondicionador</t>
        </is>
      </c>
      <c r="M272" s="6" t="inlineStr">
        <is>
          <t>profesional</t>
        </is>
      </c>
      <c r="N272" s="6" t="inlineStr">
        <is>
          <t>general</t>
        </is>
      </c>
      <c r="O272" s="6" t="inlineStr">
        <is>
          <t>https://www.farmacity.com/combo-dove-uv-repair-shampoo-acondicionador-oleo/p</t>
        </is>
      </c>
    </row>
    <row r="273">
      <c r="A273" t="inlineStr">
        <is>
          <t>Farmacity</t>
        </is>
      </c>
      <c r="B273" t="n">
        <v>236967</v>
      </c>
      <c r="C273" t="n">
        <v>236967</v>
      </c>
      <c r="D273" t="inlineStr">
        <is>
          <t>Kit Aveno Restaurador Capilar Acondicionador + Shampoo + Jabón</t>
        </is>
      </c>
      <c r="E273" t="inlineStr">
        <is>
          <t>Aveno</t>
        </is>
      </c>
      <c r="F273" t="n">
        <v>55337</v>
      </c>
      <c r="G273" t="n">
        <v>79053</v>
      </c>
      <c r="H273" t="b">
        <v>1</v>
      </c>
      <c r="I273" t="inlineStr"/>
      <c r="J273" t="inlineStr"/>
      <c r="K273" t="inlineStr">
        <is>
          <t>&gt; Cuidado Capilar &gt; Shampoo Y Acondicionador &gt;</t>
        </is>
      </c>
      <c r="L273" t="inlineStr">
        <is>
          <t>acondicionador</t>
        </is>
      </c>
      <c r="M273" t="inlineStr">
        <is>
          <t>estandar</t>
        </is>
      </c>
      <c r="N273" t="inlineStr">
        <is>
          <t>general</t>
        </is>
      </c>
      <c r="O273" t="inlineStr">
        <is>
          <t>https://www.farmacity.com/acondicionador-aveno-restaurador-capilar-x-250-ml-shampoo-250-ml-jabon-120-g/p</t>
        </is>
      </c>
    </row>
    <row r="274">
      <c r="A274" s="6" t="inlineStr">
        <is>
          <t>Farmacity</t>
        </is>
      </c>
      <c r="B274" s="6" t="n">
        <v>248852</v>
      </c>
      <c r="C274" s="6" t="n">
        <v>248852</v>
      </c>
      <c r="D274" s="6" t="inlineStr">
        <is>
          <t>Combo Shampoo Dercos Energizante Anti-Caída  x 2 un</t>
        </is>
      </c>
      <c r="E274" s="6" t="inlineStr">
        <is>
          <t>Vichy</t>
        </is>
      </c>
      <c r="F274" s="6" t="n">
        <v>74883</v>
      </c>
      <c r="G274" s="6" t="n">
        <v>106976</v>
      </c>
      <c r="H274" s="6" t="b">
        <v>1</v>
      </c>
      <c r="I274" s="6" t="inlineStr"/>
      <c r="J274" s="6" t="inlineStr"/>
      <c r="K274" s="6" t="inlineStr">
        <is>
          <t>&gt; Dermocosmética &gt; Pelo &gt; Shampoos y Acondicionadores &gt;</t>
        </is>
      </c>
      <c r="L274" s="6" t="inlineStr">
        <is>
          <t>shampoo</t>
        </is>
      </c>
      <c r="M274" s="6" t="inlineStr">
        <is>
          <t>estandar</t>
        </is>
      </c>
      <c r="N274" s="6" t="inlineStr">
        <is>
          <t>general</t>
        </is>
      </c>
      <c r="O274" s="6" t="inlineStr">
        <is>
          <t>https://www.farmacity.com/combo-shampoo-dercos-energizante-anti-caida--x-2-un/p</t>
        </is>
      </c>
    </row>
    <row r="275">
      <c r="A275" t="inlineStr">
        <is>
          <t>Farmacity</t>
        </is>
      </c>
      <c r="B275" t="n">
        <v>248857</v>
      </c>
      <c r="C275" t="n">
        <v>248857</v>
      </c>
      <c r="D275" t="inlineStr">
        <is>
          <t>Combo Dercos Ultra Reparación Shampoo + Acondicionador + Tratamiento</t>
        </is>
      </c>
      <c r="E275" t="inlineStr">
        <is>
          <t>Vichy</t>
        </is>
      </c>
      <c r="F275" t="n">
        <v>195532</v>
      </c>
      <c r="G275" t="n">
        <v>195532</v>
      </c>
      <c r="H275" t="b">
        <v>1</v>
      </c>
      <c r="I275" t="inlineStr"/>
      <c r="J275" t="inlineStr"/>
      <c r="K275" t="inlineStr">
        <is>
          <t>&gt; Dermocosmética &gt; Pelo &gt; Shampoos y Acondicionadores &gt;</t>
        </is>
      </c>
      <c r="L275" t="inlineStr">
        <is>
          <t>acondicionador</t>
        </is>
      </c>
      <c r="M275" t="inlineStr">
        <is>
          <t>estandar</t>
        </is>
      </c>
      <c r="N275" t="inlineStr">
        <is>
          <t>general</t>
        </is>
      </c>
      <c r="O275" t="inlineStr">
        <is>
          <t>https://www.farmacity.com/combo-dercos-ultra-reparacion-shampoo-acondicionador-tratamiento/p</t>
        </is>
      </c>
    </row>
    <row r="276">
      <c r="A276" s="6" t="inlineStr">
        <is>
          <t>Farmacity</t>
        </is>
      </c>
      <c r="B276" s="6" t="n">
        <v>228358</v>
      </c>
      <c r="C276" s="6" t="n">
        <v>228358</v>
      </c>
      <c r="D276" s="6" t="inlineStr">
        <is>
          <t>Capillaire Producto Cosmético Shampoo Caspa Envase x 190 ml</t>
        </is>
      </c>
      <c r="E276" s="6" t="inlineStr">
        <is>
          <t>Cepage</t>
        </is>
      </c>
      <c r="F276" s="6" t="n">
        <v>29000</v>
      </c>
      <c r="G276" s="6" t="n">
        <v>29000</v>
      </c>
      <c r="H276" s="6" t="b">
        <v>1</v>
      </c>
      <c r="I276" s="6" t="n">
        <v>190</v>
      </c>
      <c r="J276" s="6" t="n">
        <v>152.6316</v>
      </c>
      <c r="K276" s="6" t="inlineStr">
        <is>
          <t>&gt; Venta Bajo Receta &gt; Dermatológico &gt;</t>
        </is>
      </c>
      <c r="L276" s="6" t="inlineStr">
        <is>
          <t>shampoo</t>
        </is>
      </c>
      <c r="M276" s="6" t="inlineStr">
        <is>
          <t>estandar</t>
        </is>
      </c>
      <c r="N276" s="6" t="inlineStr">
        <is>
          <t>anticaspa</t>
        </is>
      </c>
      <c r="O276" s="6" t="inlineStr">
        <is>
          <t>https://www.farmacity.com/capillaire-producto-cosmetico-shampoo-caspa-envase-x-190-ml/p</t>
        </is>
      </c>
    </row>
    <row r="277">
      <c r="A277" t="inlineStr">
        <is>
          <t>Farmacity</t>
        </is>
      </c>
      <c r="B277" t="n">
        <v>226374</v>
      </c>
      <c r="C277" t="n">
        <v>226374</v>
      </c>
      <c r="D277" t="inlineStr">
        <is>
          <t>Combo Vichy Dercos Caida del Cabello Shampoo + Acondicionador</t>
        </is>
      </c>
      <c r="E277" t="inlineStr">
        <is>
          <t>Vichy</t>
        </is>
      </c>
      <c r="F277" t="n">
        <v>112351</v>
      </c>
      <c r="G277" t="n">
        <v>112351</v>
      </c>
      <c r="H277" t="b">
        <v>1</v>
      </c>
      <c r="I277" t="inlineStr"/>
      <c r="J277" t="inlineStr"/>
      <c r="K277" t="inlineStr">
        <is>
          <t>&gt; Dermocosmética &gt; Pelo &gt; Shampoos y Acondicionadores &gt;</t>
        </is>
      </c>
      <c r="L277" t="inlineStr">
        <is>
          <t>acondicionador</t>
        </is>
      </c>
      <c r="M277" t="inlineStr">
        <is>
          <t>estandar</t>
        </is>
      </c>
      <c r="N277" t="inlineStr">
        <is>
          <t>general</t>
        </is>
      </c>
      <c r="O277" t="inlineStr">
        <is>
          <t>https://www.farmacity.com/combo-vichy-dercos-caida-del-cabello-shampoo-acondicionador/p</t>
        </is>
      </c>
    </row>
    <row r="278">
      <c r="A278" s="6" t="inlineStr">
        <is>
          <t>Farmacity</t>
        </is>
      </c>
      <c r="B278" s="6" t="n">
        <v>241607</v>
      </c>
      <c r="C278" s="6" t="n">
        <v>241607</v>
      </c>
      <c r="D278" s="6" t="inlineStr">
        <is>
          <t>Kit Shampoo y Acondicionador Tío Nacho Engrosador x 415 ml</t>
        </is>
      </c>
      <c r="E278" s="6" t="inlineStr">
        <is>
          <t>Tío Nacho</t>
        </is>
      </c>
      <c r="F278" s="6" t="n">
        <v>11750</v>
      </c>
      <c r="G278" s="6" t="n">
        <v>23500</v>
      </c>
      <c r="H278" s="6" t="b">
        <v>1</v>
      </c>
      <c r="I278" s="6" t="n">
        <v>415</v>
      </c>
      <c r="J278" s="6" t="n">
        <v>28.3133</v>
      </c>
      <c r="K278" s="6" t="inlineStr">
        <is>
          <t>&gt; Cuidado Capilar &gt; Shampoo Y Acondicionador &gt;</t>
        </is>
      </c>
      <c r="L278" s="6" t="inlineStr">
        <is>
          <t>acondicionador</t>
        </is>
      </c>
      <c r="M278" s="6" t="inlineStr">
        <is>
          <t>estandar</t>
        </is>
      </c>
      <c r="N278" s="6" t="inlineStr">
        <is>
          <t>general</t>
        </is>
      </c>
      <c r="O278" s="6" t="inlineStr">
        <is>
          <t>https://www.farmacity.com/combo-shampoo-y-acondicionador-tio-nacho-engrosador-x-415-ml/p</t>
        </is>
      </c>
    </row>
    <row r="279">
      <c r="A279" t="inlineStr">
        <is>
          <t>Farmacity</t>
        </is>
      </c>
      <c r="B279" t="n">
        <v>245993</v>
      </c>
      <c r="C279" t="n">
        <v>245993</v>
      </c>
      <c r="D279" t="inlineStr">
        <is>
          <t>Combo Pantene Keratina Shampoo + Acondicionador + Crema para Peinar</t>
        </is>
      </c>
      <c r="E279" t="inlineStr">
        <is>
          <t>Pantene</t>
        </is>
      </c>
      <c r="F279" t="n">
        <v>29131</v>
      </c>
      <c r="G279" t="n">
        <v>29131</v>
      </c>
      <c r="H279" t="b">
        <v>1</v>
      </c>
      <c r="I279" t="inlineStr"/>
      <c r="J279" t="inlineStr"/>
      <c r="K279" t="inlineStr">
        <is>
          <t>&gt; Cuidado Capilar &gt; Shampoo Y Acondicionador &gt;</t>
        </is>
      </c>
      <c r="L279" t="inlineStr">
        <is>
          <t>acondicionador</t>
        </is>
      </c>
      <c r="M279" t="inlineStr">
        <is>
          <t>estandar</t>
        </is>
      </c>
      <c r="N279" t="inlineStr">
        <is>
          <t>tratado</t>
        </is>
      </c>
      <c r="O279" t="inlineStr">
        <is>
          <t>https://www.farmacity.com/combo-pantene-keratina-shampoo-acondicionador-crema-para-peinar/p</t>
        </is>
      </c>
    </row>
    <row r="280">
      <c r="A280" s="6" t="inlineStr">
        <is>
          <t>Farmacity</t>
        </is>
      </c>
      <c r="B280" s="6" t="n">
        <v>237038</v>
      </c>
      <c r="C280" s="6" t="n">
        <v>237038</v>
      </c>
      <c r="D280" s="6" t="inlineStr">
        <is>
          <t>Infantil Aveno Crema + Shampoo + Gel + Protector Solar</t>
        </is>
      </c>
      <c r="E280" s="6" t="inlineStr">
        <is>
          <t>Aveno</t>
        </is>
      </c>
      <c r="F280" s="6" t="n">
        <v>82342</v>
      </c>
      <c r="G280" s="6" t="n">
        <v>109789</v>
      </c>
      <c r="H280" s="6" t="b">
        <v>1</v>
      </c>
      <c r="I280" s="6" t="inlineStr"/>
      <c r="J280" s="6" t="inlineStr"/>
      <c r="K280" s="6" t="inlineStr">
        <is>
          <t>&gt; Bebés &gt; Higiene del Bebé &gt; Baño Del Bebé &gt;</t>
        </is>
      </c>
      <c r="L280" s="6" t="inlineStr">
        <is>
          <t>shampoo</t>
        </is>
      </c>
      <c r="M280" s="6" t="inlineStr">
        <is>
          <t>estandar</t>
        </is>
      </c>
      <c r="N280" s="6" t="inlineStr">
        <is>
          <t>bebe</t>
        </is>
      </c>
      <c r="O280" s="6" t="inlineStr">
        <is>
          <t>https://www.farmacity.com/infantil-aveno-crema-shampoo-gel-protector-solar/p</t>
        </is>
      </c>
    </row>
    <row r="281">
      <c r="A281" t="inlineStr">
        <is>
          <t>Farmacity</t>
        </is>
      </c>
      <c r="B281" t="n">
        <v>228690</v>
      </c>
      <c r="C281" t="n">
        <v>228690</v>
      </c>
      <c r="D281" t="inlineStr">
        <is>
          <t>Capillaire Max Aminexil + Asoc Shampoo Anticaida x 190 ml</t>
        </is>
      </c>
      <c r="E281" t="inlineStr">
        <is>
          <t>Cepage</t>
        </is>
      </c>
      <c r="F281" t="n">
        <v>29000</v>
      </c>
      <c r="G281" t="n">
        <v>29000</v>
      </c>
      <c r="H281" t="b">
        <v>1</v>
      </c>
      <c r="I281" t="n">
        <v>190</v>
      </c>
      <c r="J281" t="n">
        <v>152.6316</v>
      </c>
      <c r="K281" t="inlineStr">
        <is>
          <t>&gt; Venta Bajo Receta &gt; Dermatológico &gt;</t>
        </is>
      </c>
      <c r="L281" t="inlineStr">
        <is>
          <t>shampoo</t>
        </is>
      </c>
      <c r="M281" t="inlineStr">
        <is>
          <t>estandar</t>
        </is>
      </c>
      <c r="N281" t="inlineStr">
        <is>
          <t>general</t>
        </is>
      </c>
      <c r="O281" t="inlineStr">
        <is>
          <t>https://www.farmacity.com/capillaire-max-aminexil-asoc-shampoo-anticaida-x-190-ml/p</t>
        </is>
      </c>
    </row>
    <row r="282">
      <c r="A282" s="6" t="inlineStr">
        <is>
          <t>Farmacity</t>
        </is>
      </c>
      <c r="B282" s="6" t="n">
        <v>248785</v>
      </c>
      <c r="C282" s="6" t="n">
        <v>248785</v>
      </c>
      <c r="D282" s="6" t="inlineStr">
        <is>
          <t>Tratamiento Pre-Shampoo Vichy Dercos Collagen 17 x 150 ml</t>
        </is>
      </c>
      <c r="E282" s="6" t="inlineStr">
        <is>
          <t>Vichy</t>
        </is>
      </c>
      <c r="F282" s="6" t="n">
        <v>71307</v>
      </c>
      <c r="G282" s="6" t="n">
        <v>71307</v>
      </c>
      <c r="H282" s="6" t="b">
        <v>1</v>
      </c>
      <c r="I282" s="6" t="n">
        <v>150</v>
      </c>
      <c r="J282" s="6" t="n">
        <v>475.38</v>
      </c>
      <c r="K282" s="6" t="inlineStr">
        <is>
          <t>&gt; Dermocosmética &gt; Pelo &gt; Shampoos y Acondicionadores &gt;</t>
        </is>
      </c>
      <c r="L282" s="6" t="inlineStr">
        <is>
          <t>tratamiento</t>
        </is>
      </c>
      <c r="M282" s="6" t="inlineStr">
        <is>
          <t>estandar</t>
        </is>
      </c>
      <c r="N282" s="6" t="inlineStr">
        <is>
          <t>general</t>
        </is>
      </c>
      <c r="O282" s="6" t="inlineStr">
        <is>
          <t>https://www.farmacity.com/shampoo-dercos-ultra-reparacion-con-colageno-x-150-ml/p</t>
        </is>
      </c>
    </row>
    <row r="283">
      <c r="A283" t="inlineStr">
        <is>
          <t>Farmacity</t>
        </is>
      </c>
      <c r="B283" t="n">
        <v>226203</v>
      </c>
      <c r="C283" t="n">
        <v>226203</v>
      </c>
      <c r="D283" t="inlineStr">
        <is>
          <t>Kit Cuidado Infantil Aveno Gel de Baño + Shampoo + Acondicionador</t>
        </is>
      </c>
      <c r="E283" t="inlineStr">
        <is>
          <t>Aveno</t>
        </is>
      </c>
      <c r="F283" t="n">
        <v>67022</v>
      </c>
      <c r="G283" t="n">
        <v>89363</v>
      </c>
      <c r="H283" t="b">
        <v>1</v>
      </c>
      <c r="I283" t="inlineStr"/>
      <c r="J283" t="inlineStr"/>
      <c r="K283" t="inlineStr">
        <is>
          <t>&gt; Bebés &gt; Higiene del Bebé &gt; Baño Del Bebé &gt;</t>
        </is>
      </c>
      <c r="L283" t="inlineStr">
        <is>
          <t>acondicionador</t>
        </is>
      </c>
      <c r="M283" t="inlineStr">
        <is>
          <t>estandar</t>
        </is>
      </c>
      <c r="N283" t="inlineStr">
        <is>
          <t>bebe</t>
        </is>
      </c>
      <c r="O283" t="inlineStr">
        <is>
          <t>https://www.farmacity.com/combo-aveno-gel-de-bano-infantil-shampoo-infantil-x-250-ml-acondicionador-infantil-x-250-ml/p</t>
        </is>
      </c>
    </row>
    <row r="284">
      <c r="A284" s="6" t="inlineStr">
        <is>
          <t>Farmacity</t>
        </is>
      </c>
      <c r="B284" s="6" t="n">
        <v>248677</v>
      </c>
      <c r="C284" s="6" t="n">
        <v>248677</v>
      </c>
      <c r="D284" s="6" t="inlineStr">
        <is>
          <t>Combo Dove Uv Repair Shampoo + Acondicionador + Crema Tratamiento</t>
        </is>
      </c>
      <c r="E284" s="6" t="inlineStr">
        <is>
          <t>Dove</t>
        </is>
      </c>
      <c r="F284" s="6" t="n">
        <v>18120</v>
      </c>
      <c r="G284" s="6" t="n">
        <v>36240</v>
      </c>
      <c r="H284" s="6" t="b">
        <v>1</v>
      </c>
      <c r="I284" s="6" t="inlineStr"/>
      <c r="J284" s="6" t="inlineStr"/>
      <c r="K284" s="6" t="inlineStr">
        <is>
          <t>&gt; Cuidado Capilar &gt; Reparación Y Tratamiento &gt;</t>
        </is>
      </c>
      <c r="L284" s="6" t="inlineStr">
        <is>
          <t>acondicionador</t>
        </is>
      </c>
      <c r="M284" s="6" t="inlineStr">
        <is>
          <t>profesional</t>
        </is>
      </c>
      <c r="N284" s="6" t="inlineStr">
        <is>
          <t>general</t>
        </is>
      </c>
      <c r="O284" s="6" t="inlineStr">
        <is>
          <t>https://www.farmacity.com/combo-dove-uv-repair-shampoo-acondicionador-crema-tratamiento/p</t>
        </is>
      </c>
    </row>
    <row r="285">
      <c r="A285" t="inlineStr">
        <is>
          <t>Farmacity</t>
        </is>
      </c>
      <c r="B285" t="n">
        <v>235788</v>
      </c>
      <c r="C285" t="n">
        <v>235788</v>
      </c>
      <c r="D285" t="inlineStr">
        <is>
          <t>Kit Tío NachoShampoo y Acondicionador Aclarante x 415 ml</t>
        </is>
      </c>
      <c r="E285" t="inlineStr">
        <is>
          <t>Tío Nacho</t>
        </is>
      </c>
      <c r="F285" t="n">
        <v>11750</v>
      </c>
      <c r="G285" t="n">
        <v>23500</v>
      </c>
      <c r="H285" t="b">
        <v>1</v>
      </c>
      <c r="I285" t="n">
        <v>415</v>
      </c>
      <c r="J285" t="n">
        <v>28.3133</v>
      </c>
      <c r="K285" t="inlineStr">
        <is>
          <t>&gt; Cuidado Capilar &gt; Shampoo Y Acondicionador &gt;</t>
        </is>
      </c>
      <c r="L285" t="inlineStr">
        <is>
          <t>acondicionador</t>
        </is>
      </c>
      <c r="M285" t="inlineStr">
        <is>
          <t>estandar</t>
        </is>
      </c>
      <c r="N285" t="inlineStr">
        <is>
          <t>general</t>
        </is>
      </c>
      <c r="O285" t="inlineStr">
        <is>
          <t>https://www.farmacity.com/kit-shampoo-y-acondicionador-tio-nacho-aclarante-x-415-ml/p</t>
        </is>
      </c>
    </row>
    <row r="286">
      <c r="A286" s="6" t="inlineStr">
        <is>
          <t>Farmacity</t>
        </is>
      </c>
      <c r="B286" s="6" t="n">
        <v>242446</v>
      </c>
      <c r="C286" s="6" t="n">
        <v>242446</v>
      </c>
      <c r="D286" s="6" t="inlineStr">
        <is>
          <t>Kit Biferdil Óleo de Argán Shampoo + Bálsamo + Máscara Capilar</t>
        </is>
      </c>
      <c r="E286" s="6" t="inlineStr">
        <is>
          <t>Biferdil</t>
        </is>
      </c>
      <c r="F286" s="6" t="n">
        <v>32481</v>
      </c>
      <c r="G286" s="6" t="n">
        <v>43308</v>
      </c>
      <c r="H286" s="6" t="b">
        <v>1</v>
      </c>
      <c r="I286" s="6" t="inlineStr"/>
      <c r="J286" s="6" t="inlineStr"/>
      <c r="K286" s="6" t="inlineStr">
        <is>
          <t>&gt; Cuidado Capilar &gt; Shampoo Y Acondicionador &gt;</t>
        </is>
      </c>
      <c r="L286" s="6" t="inlineStr">
        <is>
          <t>tratamiento</t>
        </is>
      </c>
      <c r="M286" s="6" t="inlineStr">
        <is>
          <t>estandar</t>
        </is>
      </c>
      <c r="N286" s="6" t="inlineStr">
        <is>
          <t>general</t>
        </is>
      </c>
      <c r="O286" s="6" t="inlineStr">
        <is>
          <t>https://www.farmacity.com/combo-biferdil-oleo-de-argan-shampoo-x-200-ml-balsamo-x-200-ml-mascara-capilar-x-150-ml/p</t>
        </is>
      </c>
    </row>
    <row r="287">
      <c r="A287" t="inlineStr">
        <is>
          <t>Farmacity</t>
        </is>
      </c>
      <c r="B287" t="n">
        <v>232727</v>
      </c>
      <c r="C287" t="n">
        <v>232727</v>
      </c>
      <c r="D287" t="inlineStr">
        <is>
          <t>Pack Tio Nacho Herbolaria Shampoo + Acondicionador x 415 ml</t>
        </is>
      </c>
      <c r="E287" t="inlineStr">
        <is>
          <t>Tío Nacho</t>
        </is>
      </c>
      <c r="F287" t="n">
        <v>12743</v>
      </c>
      <c r="G287" t="n">
        <v>16991</v>
      </c>
      <c r="H287" t="b">
        <v>1</v>
      </c>
      <c r="I287" t="n">
        <v>415</v>
      </c>
      <c r="J287" t="n">
        <v>30.706</v>
      </c>
      <c r="K287" t="inlineStr">
        <is>
          <t>&gt; Cuidado Capilar &gt; Shampoo Y Acondicionador &gt;</t>
        </is>
      </c>
      <c r="L287" t="inlineStr">
        <is>
          <t>acondicionador</t>
        </is>
      </c>
      <c r="M287" t="inlineStr">
        <is>
          <t>estandar</t>
        </is>
      </c>
      <c r="N287" t="inlineStr">
        <is>
          <t>general</t>
        </is>
      </c>
      <c r="O287" t="inlineStr">
        <is>
          <t>https://www.farmacity.com/pack-tio-nacho-herbolaria-shampoo-acondicionador-x-415-ml/p</t>
        </is>
      </c>
    </row>
    <row r="288">
      <c r="A288" s="6" t="inlineStr">
        <is>
          <t>Farmacity</t>
        </is>
      </c>
      <c r="B288" s="6" t="n">
        <v>121820</v>
      </c>
      <c r="C288" s="6" t="n">
        <v>121820</v>
      </c>
      <c r="D288" s="6" t="inlineStr">
        <is>
          <t>Salpad T Salicílico, C. + Asoc. Shampoo x 150 ml</t>
        </is>
      </c>
      <c r="E288" s="6" t="inlineStr">
        <is>
          <t>Pharmatrix</t>
        </is>
      </c>
      <c r="F288" s="6" t="n">
        <v>22399</v>
      </c>
      <c r="G288" s="6" t="n">
        <v>22399</v>
      </c>
      <c r="H288" s="6" t="b">
        <v>1</v>
      </c>
      <c r="I288" s="6" t="n">
        <v>150</v>
      </c>
      <c r="J288" s="6" t="n">
        <v>149.3267</v>
      </c>
      <c r="K288" s="6" t="inlineStr">
        <is>
          <t>&gt; Venta Bajo Receta &gt; Dermatológico &gt;</t>
        </is>
      </c>
      <c r="L288" s="6" t="inlineStr">
        <is>
          <t>shampoo</t>
        </is>
      </c>
      <c r="M288" s="6" t="inlineStr">
        <is>
          <t>estandar</t>
        </is>
      </c>
      <c r="N288" s="6" t="inlineStr">
        <is>
          <t>general</t>
        </is>
      </c>
      <c r="O288" s="6" t="inlineStr">
        <is>
          <t>https://www.farmacity.com/salpad-t-salicilico-c-asoc-shampoo-x-150-ml/p</t>
        </is>
      </c>
    </row>
    <row r="289">
      <c r="A289" t="inlineStr">
        <is>
          <t>Farmacity</t>
        </is>
      </c>
      <c r="B289" t="n">
        <v>239338</v>
      </c>
      <c r="C289" t="n">
        <v>239338</v>
      </c>
      <c r="D289" t="inlineStr">
        <is>
          <t>Kit Rutina Fructis Hair Food Nutricion Palta: Shampoo, Acondicionador y Mascarilla</t>
        </is>
      </c>
      <c r="E289" t="inlineStr">
        <is>
          <t>Fructis</t>
        </is>
      </c>
      <c r="F289" t="n">
        <v>23640</v>
      </c>
      <c r="G289" t="n">
        <v>36370</v>
      </c>
      <c r="H289" t="b">
        <v>1</v>
      </c>
      <c r="I289" t="inlineStr"/>
      <c r="J289" t="inlineStr"/>
      <c r="K289" t="inlineStr">
        <is>
          <t>&gt; Cuidado Capilar &gt; Shampoo Y Acondicionador &gt;</t>
        </is>
      </c>
      <c r="L289" t="inlineStr">
        <is>
          <t>acondicionador</t>
        </is>
      </c>
      <c r="M289" t="inlineStr">
        <is>
          <t>estandar</t>
        </is>
      </c>
      <c r="N289" t="inlineStr">
        <is>
          <t>general</t>
        </is>
      </c>
      <c r="O289" t="inlineStr">
        <is>
          <t>https://www.farmacity.com/kit-fructis-hair-food-nutricion-palta-shampoo-acondicionador-y-mascarilla/p</t>
        </is>
      </c>
    </row>
    <row r="290">
      <c r="A290" s="6" t="inlineStr">
        <is>
          <t>Farmacity</t>
        </is>
      </c>
      <c r="B290" s="6" t="n">
        <v>241695</v>
      </c>
      <c r="C290" s="6" t="n">
        <v>241695</v>
      </c>
      <c r="D290" s="6" t="inlineStr">
        <is>
          <t>Kit Dove Bond Intense Repair Shampoo + Acondicionador + Sérum Capilar</t>
        </is>
      </c>
      <c r="E290" s="6" t="inlineStr">
        <is>
          <t>Dove</t>
        </is>
      </c>
      <c r="F290" s="6" t="n">
        <v>18782</v>
      </c>
      <c r="G290" s="6" t="n">
        <v>37564</v>
      </c>
      <c r="H290" s="6" t="b">
        <v>1</v>
      </c>
      <c r="I290" s="6" t="inlineStr"/>
      <c r="J290" s="6" t="inlineStr"/>
      <c r="K290" s="6" t="inlineStr">
        <is>
          <t>&gt; Cuidado Capilar &gt; Shampoo Y Acondicionador &gt;</t>
        </is>
      </c>
      <c r="L290" s="6" t="inlineStr">
        <is>
          <t>acondicionador</t>
        </is>
      </c>
      <c r="M290" s="6" t="inlineStr">
        <is>
          <t>profesional</t>
        </is>
      </c>
      <c r="N290" s="6" t="inlineStr">
        <is>
          <t>general</t>
        </is>
      </c>
      <c r="O290" s="6" t="inlineStr">
        <is>
          <t>https://www.farmacity.com/combo-dove-bond-intense-repair-shampoo-x-400-ml-acondicionador-x-250-ml-serum-capilar-x-110-ml/p</t>
        </is>
      </c>
    </row>
    <row r="291">
      <c r="A291" t="inlineStr">
        <is>
          <t>Farmacity</t>
        </is>
      </c>
      <c r="B291" t="n">
        <v>241608</v>
      </c>
      <c r="C291" t="n">
        <v>241608</v>
      </c>
      <c r="D291" t="inlineStr">
        <is>
          <t>Kit Shampoo y Acondicionador Tío Nacho Herbolaria Milenaria x 415 ml</t>
        </is>
      </c>
      <c r="E291" t="inlineStr">
        <is>
          <t>Tío Nacho</t>
        </is>
      </c>
      <c r="F291" t="n">
        <v>11750</v>
      </c>
      <c r="G291" t="n">
        <v>23500</v>
      </c>
      <c r="H291" t="b">
        <v>1</v>
      </c>
      <c r="I291" t="n">
        <v>415</v>
      </c>
      <c r="J291" t="n">
        <v>28.3133</v>
      </c>
      <c r="K291" t="inlineStr">
        <is>
          <t>&gt; Cuidado Capilar &gt; Shampoo Y Acondicionador &gt;</t>
        </is>
      </c>
      <c r="L291" t="inlineStr">
        <is>
          <t>acondicionador</t>
        </is>
      </c>
      <c r="M291" t="inlineStr">
        <is>
          <t>estandar</t>
        </is>
      </c>
      <c r="N291" t="inlineStr">
        <is>
          <t>general</t>
        </is>
      </c>
      <c r="O291" t="inlineStr">
        <is>
          <t>https://www.farmacity.com/combo-shampoo-y-acondicionador-tio-nacho-herbolaria-milenaria-x-415-ml/p</t>
        </is>
      </c>
    </row>
    <row r="292">
      <c r="A292" s="6" t="inlineStr">
        <is>
          <t>Farmacity</t>
        </is>
      </c>
      <c r="B292" s="6" t="n">
        <v>239339</v>
      </c>
      <c r="C292" s="6" t="n">
        <v>239339</v>
      </c>
      <c r="D292" s="6" t="inlineStr">
        <is>
          <t>Kit Rutina Fructis Hair Food Reparación Coco: Shampoo, Acondicionador y Mascarilla</t>
        </is>
      </c>
      <c r="E292" s="6" t="inlineStr">
        <is>
          <t>Fructis</t>
        </is>
      </c>
      <c r="F292" s="6" t="n">
        <v>23640</v>
      </c>
      <c r="G292" s="6" t="n">
        <v>36370</v>
      </c>
      <c r="H292" s="6" t="b">
        <v>1</v>
      </c>
      <c r="I292" s="6" t="inlineStr"/>
      <c r="J292" s="6" t="inlineStr"/>
      <c r="K292" s="6" t="inlineStr">
        <is>
          <t>&gt; Cuidado Capilar &gt; Shampoo Y Acondicionador &gt;</t>
        </is>
      </c>
      <c r="L292" s="6" t="inlineStr">
        <is>
          <t>acondicionador</t>
        </is>
      </c>
      <c r="M292" s="6" t="inlineStr">
        <is>
          <t>estandar</t>
        </is>
      </c>
      <c r="N292" s="6" t="inlineStr">
        <is>
          <t>general</t>
        </is>
      </c>
      <c r="O292" s="6" t="inlineStr">
        <is>
          <t>https://www.farmacity.com/kit-rutina-fructis-hair-food-reparacion-coco-shampoo-acondicionador-y-mascarilla/p</t>
        </is>
      </c>
    </row>
    <row r="293">
      <c r="A293" t="inlineStr">
        <is>
          <t>Farmacity</t>
        </is>
      </c>
      <c r="B293" t="n">
        <v>237039</v>
      </c>
      <c r="C293" t="n">
        <v>237039</v>
      </c>
      <c r="D293" t="inlineStr">
        <is>
          <t>Kit Cuidado Capilar Biferdil Shampoo + Bálsamo + Máscara 100% Vegano</t>
        </is>
      </c>
      <c r="E293" t="inlineStr">
        <is>
          <t>Biferdil</t>
        </is>
      </c>
      <c r="F293" t="n">
        <v>25110</v>
      </c>
      <c r="G293" t="n">
        <v>33480</v>
      </c>
      <c r="H293" t="b">
        <v>1</v>
      </c>
      <c r="I293" t="inlineStr"/>
      <c r="J293" t="inlineStr"/>
      <c r="K293" t="inlineStr">
        <is>
          <t>&gt; Cuidado Capilar &gt; Shampoo Y Acondicionador &gt;</t>
        </is>
      </c>
      <c r="L293" t="inlineStr">
        <is>
          <t>tratamiento</t>
        </is>
      </c>
      <c r="M293" t="inlineStr">
        <is>
          <t>estandar</t>
        </is>
      </c>
      <c r="N293" t="inlineStr">
        <is>
          <t>general</t>
        </is>
      </c>
      <c r="O293" t="inlineStr">
        <is>
          <t>https://www.farmacity.com/kit-cuidado-capilar-biferdil-shampoo-balsamo-mascara-100-vegano/p</t>
        </is>
      </c>
    </row>
    <row r="294">
      <c r="A294" s="6" t="inlineStr">
        <is>
          <t>Farmacity</t>
        </is>
      </c>
      <c r="B294" s="6" t="n">
        <v>249167</v>
      </c>
      <c r="C294" s="6" t="n">
        <v>249167</v>
      </c>
      <c r="D294" s="6" t="inlineStr">
        <is>
          <t>Combo Farmacity Bebé: Shampoo Avena + Baño Líquido + Colonia +Toalla</t>
        </is>
      </c>
      <c r="E294" s="6" t="inlineStr">
        <is>
          <t>Farmacity</t>
        </is>
      </c>
      <c r="F294" s="6" t="n">
        <v>39600</v>
      </c>
      <c r="G294" s="6" t="n">
        <v>39600</v>
      </c>
      <c r="H294" s="6" t="b">
        <v>1</v>
      </c>
      <c r="I294" s="6" t="inlineStr"/>
      <c r="J294" s="6" t="inlineStr"/>
      <c r="K294" s="6" t="inlineStr">
        <is>
          <t>&gt; Bebés &gt; Higiene del Bebé &gt; Baño Del Bebé &gt;</t>
        </is>
      </c>
      <c r="L294" s="6" t="inlineStr">
        <is>
          <t>shampoo</t>
        </is>
      </c>
      <c r="M294" s="6" t="inlineStr">
        <is>
          <t>estandar</t>
        </is>
      </c>
      <c r="N294" s="6" t="inlineStr">
        <is>
          <t>bebe</t>
        </is>
      </c>
      <c r="O294" s="6" t="inlineStr">
        <is>
          <t>https://www.farmacity.com/combo-farmacity-bebe-shampoo-avena-bano-liquido-colonia-toalla/p</t>
        </is>
      </c>
    </row>
    <row r="295">
      <c r="A295" t="inlineStr">
        <is>
          <t>Farmacity</t>
        </is>
      </c>
      <c r="B295" t="n">
        <v>248851</v>
      </c>
      <c r="C295" t="n">
        <v>248851</v>
      </c>
      <c r="D295" t="inlineStr">
        <is>
          <t>Combo Shampoo Dercos Anti Caspa x 200 ml x 2 un</t>
        </is>
      </c>
      <c r="E295" t="inlineStr">
        <is>
          <t>Vichy</t>
        </is>
      </c>
      <c r="F295" t="n">
        <v>106976</v>
      </c>
      <c r="G295" t="n">
        <v>106976</v>
      </c>
      <c r="H295" t="b">
        <v>1</v>
      </c>
      <c r="I295" t="n">
        <v>200</v>
      </c>
      <c r="J295" t="n">
        <v>534.88</v>
      </c>
      <c r="K295" t="inlineStr">
        <is>
          <t>&gt; Dermocosmética &gt; Pelo &gt; Shampoos y Acondicionadores &gt;</t>
        </is>
      </c>
      <c r="L295" t="inlineStr">
        <is>
          <t>shampoo</t>
        </is>
      </c>
      <c r="M295" t="inlineStr">
        <is>
          <t>estandar</t>
        </is>
      </c>
      <c r="N295" t="inlineStr">
        <is>
          <t>anticaspa</t>
        </is>
      </c>
      <c r="O295" t="inlineStr">
        <is>
          <t>https://www.farmacity.com/combo-shampoo-dercos-anti-caspa-x-200-ml-x-2-un/p</t>
        </is>
      </c>
    </row>
    <row r="296">
      <c r="A296" s="6" t="inlineStr">
        <is>
          <t>Farmacity</t>
        </is>
      </c>
      <c r="B296" s="6" t="n">
        <v>240625</v>
      </c>
      <c r="C296" s="6" t="n">
        <v>240625</v>
      </c>
      <c r="D296" s="6" t="inlineStr">
        <is>
          <t>Kit Bagóvit Capilar Pelo Largo Shampoo + Acondicionador + Crema para Peinar</t>
        </is>
      </c>
      <c r="E296" s="6" t="inlineStr">
        <is>
          <t>Bagóvit</t>
        </is>
      </c>
      <c r="F296" s="6" t="n">
        <v>29916</v>
      </c>
      <c r="G296" s="6" t="n">
        <v>29916</v>
      </c>
      <c r="H296" s="6" t="b">
        <v>1</v>
      </c>
      <c r="I296" s="6" t="inlineStr"/>
      <c r="J296" s="6" t="inlineStr"/>
      <c r="K296" s="6" t="inlineStr">
        <is>
          <t>&gt; Cuidado Capilar &gt; Shampoo Y Acondicionador &gt;</t>
        </is>
      </c>
      <c r="L296" s="6" t="inlineStr">
        <is>
          <t>acondicionador</t>
        </is>
      </c>
      <c r="M296" s="6" t="inlineStr">
        <is>
          <t>estandar</t>
        </is>
      </c>
      <c r="N296" s="6" t="inlineStr">
        <is>
          <t>general</t>
        </is>
      </c>
      <c r="O296" s="6" t="inlineStr">
        <is>
          <t>https://www.farmacity.com/kit-bagovit-capilar-pelo-largo-shampoo-acondicionador-crema-para-peinar/p</t>
        </is>
      </c>
    </row>
    <row r="297">
      <c r="A297" t="inlineStr">
        <is>
          <t>Farmacity</t>
        </is>
      </c>
      <c r="B297" t="n">
        <v>223446</v>
      </c>
      <c r="C297" t="n">
        <v>223446</v>
      </c>
      <c r="D297" t="inlineStr">
        <is>
          <t>Valcatil Max Biotina + Metionina + Asoc. Shampoo x 300 ml</t>
        </is>
      </c>
      <c r="E297" t="inlineStr">
        <is>
          <t>Panalab</t>
        </is>
      </c>
      <c r="F297" t="n">
        <v>51430</v>
      </c>
      <c r="G297" t="n">
        <v>51430</v>
      </c>
      <c r="H297" t="b">
        <v>1</v>
      </c>
      <c r="I297" t="n">
        <v>300</v>
      </c>
      <c r="J297" t="n">
        <v>171.4333</v>
      </c>
      <c r="K297" t="inlineStr">
        <is>
          <t>&gt; Venta Bajo Receta &gt; Dermatológico &gt;</t>
        </is>
      </c>
      <c r="L297" t="inlineStr">
        <is>
          <t>shampoo</t>
        </is>
      </c>
      <c r="M297" t="inlineStr">
        <is>
          <t>estandar</t>
        </is>
      </c>
      <c r="N297" t="inlineStr">
        <is>
          <t>general</t>
        </is>
      </c>
      <c r="O297" t="inlineStr">
        <is>
          <t>https://www.farmacity.com/valcatil-max-biotina-metionina-asoc-shampoo-x-300-ml/p</t>
        </is>
      </c>
    </row>
    <row r="298">
      <c r="A298" s="6" t="inlineStr">
        <is>
          <t>Farmacity</t>
        </is>
      </c>
      <c r="B298" s="6" t="n">
        <v>248678</v>
      </c>
      <c r="C298" s="6" t="n">
        <v>248678</v>
      </c>
      <c r="D298" s="6" t="inlineStr">
        <is>
          <t>Combo Dove Uv Repair Shampoo + Acondicionador + Oleo + Crema</t>
        </is>
      </c>
      <c r="E298" s="6" t="inlineStr">
        <is>
          <t>Dove</t>
        </is>
      </c>
      <c r="F298" s="6" t="n">
        <v>27021</v>
      </c>
      <c r="G298" s="6" t="n">
        <v>54043</v>
      </c>
      <c r="H298" s="6" t="b">
        <v>1</v>
      </c>
      <c r="I298" s="6" t="inlineStr"/>
      <c r="J298" s="6" t="inlineStr"/>
      <c r="K298" s="6" t="inlineStr">
        <is>
          <t>&gt; Cuidado Capilar &gt; Reparación Y Tratamiento &gt;</t>
        </is>
      </c>
      <c r="L298" s="6" t="inlineStr">
        <is>
          <t>acondicionador</t>
        </is>
      </c>
      <c r="M298" s="6" t="inlineStr">
        <is>
          <t>profesional</t>
        </is>
      </c>
      <c r="N298" s="6" t="inlineStr">
        <is>
          <t>general</t>
        </is>
      </c>
      <c r="O298" s="6" t="inlineStr">
        <is>
          <t>https://www.farmacity.com/combo-dove-uv-repair-shampoo-acondicionador-oleo-crema/p</t>
        </is>
      </c>
    </row>
    <row r="299">
      <c r="A299" t="inlineStr">
        <is>
          <t>Farmacity</t>
        </is>
      </c>
      <c r="B299" t="n">
        <v>237041</v>
      </c>
      <c r="C299" t="n">
        <v>237041</v>
      </c>
      <c r="D299" t="inlineStr">
        <is>
          <t>Combo Capilar Biferdil Shampoo + Bálsamo + Máscara Nutrición con Vitamina E</t>
        </is>
      </c>
      <c r="E299" t="inlineStr">
        <is>
          <t>Biferdil</t>
        </is>
      </c>
      <c r="F299" t="n">
        <v>27378</v>
      </c>
      <c r="G299" t="n">
        <v>36504</v>
      </c>
      <c r="H299" t="b">
        <v>1</v>
      </c>
      <c r="I299" t="inlineStr"/>
      <c r="J299" t="inlineStr"/>
      <c r="K299" t="inlineStr">
        <is>
          <t>&gt; Cuidado Capilar &gt; Shampoo Y Acondicionador &gt;</t>
        </is>
      </c>
      <c r="L299" t="inlineStr">
        <is>
          <t>shampoo</t>
        </is>
      </c>
      <c r="M299" t="inlineStr">
        <is>
          <t>estandar</t>
        </is>
      </c>
      <c r="N299" t="inlineStr">
        <is>
          <t>general</t>
        </is>
      </c>
      <c r="O299" t="inlineStr">
        <is>
          <t>https://www.farmacity.com/kit-capilar-biferdil-shampoo-balsamo-mascara-nutricion-con-vitamina-e/p</t>
        </is>
      </c>
    </row>
    <row r="300">
      <c r="A300" s="6" t="inlineStr">
        <is>
          <t>Farmacity</t>
        </is>
      </c>
      <c r="B300" s="6" t="n">
        <v>242444</v>
      </c>
      <c r="C300" s="6" t="n">
        <v>242444</v>
      </c>
      <c r="D300" s="6" t="inlineStr">
        <is>
          <t>Kit Biferdil Shampoo + Máscara Ultra Brillo + Tratamiento Protector Térmico</t>
        </is>
      </c>
      <c r="E300" s="6" t="inlineStr">
        <is>
          <t>Biferdil</t>
        </is>
      </c>
      <c r="F300" s="6" t="n">
        <v>33210</v>
      </c>
      <c r="G300" s="6" t="n">
        <v>44280</v>
      </c>
      <c r="H300" s="6" t="b">
        <v>1</v>
      </c>
      <c r="I300" s="6" t="inlineStr"/>
      <c r="J300" s="6" t="inlineStr"/>
      <c r="K300" s="6" t="inlineStr">
        <is>
          <t>&gt; Cuidado Capilar &gt; Shampoo Y Acondicionador &gt;</t>
        </is>
      </c>
      <c r="L300" s="6" t="inlineStr">
        <is>
          <t>tratamiento</t>
        </is>
      </c>
      <c r="M300" s="6" t="inlineStr">
        <is>
          <t>estandar</t>
        </is>
      </c>
      <c r="N300" s="6" t="inlineStr">
        <is>
          <t>general</t>
        </is>
      </c>
      <c r="O300" s="6" t="inlineStr">
        <is>
          <t>https://www.farmacity.com/combo-biferdil-shampoo-x-255-ml-mascara-ultra-brillo-x-150-ml-tratamiento-protector-termico-x-250-ml/p</t>
        </is>
      </c>
    </row>
    <row r="301">
      <c r="A301" t="inlineStr">
        <is>
          <t>Farmacity</t>
        </is>
      </c>
      <c r="B301" t="n">
        <v>222761</v>
      </c>
      <c r="C301" t="n">
        <v>222761</v>
      </c>
      <c r="D301" t="inlineStr">
        <is>
          <t>Eumicel S Ketoconazol + Salicílico, C. 2% Shampoo x 120 ml</t>
        </is>
      </c>
      <c r="E301" t="inlineStr">
        <is>
          <t>Cassar</t>
        </is>
      </c>
      <c r="F301" t="n">
        <v>25470</v>
      </c>
      <c r="G301" t="n">
        <v>25470</v>
      </c>
      <c r="H301" t="b">
        <v>1</v>
      </c>
      <c r="I301" t="n">
        <v>120</v>
      </c>
      <c r="J301" t="n">
        <v>212.25</v>
      </c>
      <c r="K301" t="inlineStr">
        <is>
          <t>&gt; Venta Bajo Receta &gt; Dermatológico &gt;</t>
        </is>
      </c>
      <c r="L301" t="inlineStr">
        <is>
          <t>shampoo</t>
        </is>
      </c>
      <c r="M301" t="inlineStr">
        <is>
          <t>estandar</t>
        </is>
      </c>
      <c r="N301" t="inlineStr">
        <is>
          <t>general</t>
        </is>
      </c>
      <c r="O301" t="inlineStr">
        <is>
          <t>https://www.farmacity.com/eumicel-s-ketoconazol-salicilico-c-2-shampoo-x-120-ml/p</t>
        </is>
      </c>
    </row>
    <row r="302">
      <c r="A302" s="6" t="inlineStr">
        <is>
          <t>Farmacity</t>
        </is>
      </c>
      <c r="B302" s="6" t="n">
        <v>246471</v>
      </c>
      <c r="C302" s="6" t="n">
        <v>246471</v>
      </c>
      <c r="D302" s="6" t="inlineStr">
        <is>
          <t>Kit Rutina Fructis Hair Food Anti-Quiebre Ananá: Shampoo, Acondicionador y Mascarilla</t>
        </is>
      </c>
      <c r="E302" s="6" t="inlineStr">
        <is>
          <t>Fructis</t>
        </is>
      </c>
      <c r="F302" s="6" t="n">
        <v>23640</v>
      </c>
      <c r="G302" s="6" t="n">
        <v>36370</v>
      </c>
      <c r="H302" s="6" t="b">
        <v>1</v>
      </c>
      <c r="I302" s="6" t="inlineStr"/>
      <c r="J302" s="6" t="inlineStr"/>
      <c r="K302" s="6" t="inlineStr">
        <is>
          <t>&gt; Cuidado Capilar &gt; Shampoo Y Acondicionador &gt;</t>
        </is>
      </c>
      <c r="L302" s="6" t="inlineStr">
        <is>
          <t>acondicionador</t>
        </is>
      </c>
      <c r="M302" s="6" t="inlineStr">
        <is>
          <t>estandar</t>
        </is>
      </c>
      <c r="N302" s="6" t="inlineStr">
        <is>
          <t>general</t>
        </is>
      </c>
      <c r="O302" s="6" t="inlineStr">
        <is>
          <t>https://www.farmacity.com/kit-rutina-fructis-hair-food-anti-quiebre-anana-shampoo-acondicionador-mascarilla/p</t>
        </is>
      </c>
    </row>
    <row r="303">
      <c r="A303" t="inlineStr">
        <is>
          <t>Farmacity</t>
        </is>
      </c>
      <c r="B303" t="n">
        <v>250539</v>
      </c>
      <c r="C303" t="n">
        <v>250539</v>
      </c>
      <c r="D303" t="inlineStr">
        <is>
          <t>Combo Dove Men Desodorante Antitranspirante en Aerosol + Shampoo 2 en 1</t>
        </is>
      </c>
      <c r="E303" t="inlineStr">
        <is>
          <t>Dove</t>
        </is>
      </c>
      <c r="F303" t="n">
        <v>15211</v>
      </c>
      <c r="G303" t="n">
        <v>15211</v>
      </c>
      <c r="H303" t="b">
        <v>1</v>
      </c>
      <c r="I303" t="inlineStr"/>
      <c r="J303" t="inlineStr"/>
      <c r="K303" t="inlineStr">
        <is>
          <t>&gt; Cuidado Capilar &gt; Shampoo Y Acondicionador &gt;</t>
        </is>
      </c>
      <c r="L303" t="inlineStr">
        <is>
          <t>shampoo</t>
        </is>
      </c>
      <c r="M303" t="inlineStr">
        <is>
          <t>estandar</t>
        </is>
      </c>
      <c r="N303" t="inlineStr">
        <is>
          <t>general</t>
        </is>
      </c>
      <c r="O303" t="inlineStr">
        <is>
          <t>https://www.farmacity.com/combo-dove-men-desodorante-antitranspirante-en-aerosol-shampoo-2-en-1/p</t>
        </is>
      </c>
    </row>
    <row r="304">
      <c r="A304" s="6" t="inlineStr">
        <is>
          <t>Farmacity</t>
        </is>
      </c>
      <c r="B304" s="6" t="n">
        <v>248666</v>
      </c>
      <c r="C304" s="6" t="n">
        <v>248666</v>
      </c>
      <c r="D304" s="6" t="inlineStr">
        <is>
          <t>Combo Dove Shampoo + Acondicionador + Oleo + Crema + Serum Corporal</t>
        </is>
      </c>
      <c r="E304" s="6" t="inlineStr">
        <is>
          <t>Dove</t>
        </is>
      </c>
      <c r="F304" s="6" t="n">
        <v>63228</v>
      </c>
      <c r="G304" s="6" t="n">
        <v>114960</v>
      </c>
      <c r="H304" s="6" t="b">
        <v>1</v>
      </c>
      <c r="I304" s="6" t="inlineStr"/>
      <c r="J304" s="6" t="inlineStr"/>
      <c r="K304" s="6" t="inlineStr">
        <is>
          <t>&gt; Cuidado de la Piel &gt; Cuidado Facial &gt;</t>
        </is>
      </c>
      <c r="L304" s="6" t="inlineStr">
        <is>
          <t>acondicionador</t>
        </is>
      </c>
      <c r="M304" s="6" t="inlineStr">
        <is>
          <t>estandar</t>
        </is>
      </c>
      <c r="N304" s="6" t="inlineStr">
        <is>
          <t>general</t>
        </is>
      </c>
      <c r="O304" s="6" t="inlineStr">
        <is>
          <t>https://www.farmacity.com/combo-dove-shampoo-acondicionador-oleo-crema-serum-corporal/p</t>
        </is>
      </c>
    </row>
    <row r="305">
      <c r="A305" t="inlineStr">
        <is>
          <t>Farmacity</t>
        </is>
      </c>
      <c r="B305" t="n">
        <v>248812</v>
      </c>
      <c r="C305" t="n">
        <v>248812</v>
      </c>
      <c r="D305" t="inlineStr">
        <is>
          <t>Combo Pantene Anti Caída Shampoo + Acondicionador + Crema de Peinar + Óleo</t>
        </is>
      </c>
      <c r="E305" t="inlineStr">
        <is>
          <t>Pantene</t>
        </is>
      </c>
      <c r="F305" t="n">
        <v>49309</v>
      </c>
      <c r="G305" t="n">
        <v>49309</v>
      </c>
      <c r="H305" t="b">
        <v>1</v>
      </c>
      <c r="I305" t="inlineStr"/>
      <c r="J305" t="inlineStr"/>
      <c r="K305" t="inlineStr">
        <is>
          <t>&gt; Cuidado Capilar &gt; Shampoo Y Acondicionador &gt;</t>
        </is>
      </c>
      <c r="L305" t="inlineStr">
        <is>
          <t>acondicionador</t>
        </is>
      </c>
      <c r="M305" t="inlineStr">
        <is>
          <t>estandar</t>
        </is>
      </c>
      <c r="N305" t="inlineStr">
        <is>
          <t>general</t>
        </is>
      </c>
      <c r="O305" t="inlineStr">
        <is>
          <t>https://www.farmacity.com/combo-pantene-anti-caida-shampoo-acondicionador-crema-de-peinar-oleo/p</t>
        </is>
      </c>
    </row>
    <row r="306">
      <c r="A306" s="6" t="inlineStr">
        <is>
          <t>Farmacity</t>
        </is>
      </c>
      <c r="B306" s="6" t="n">
        <v>242445</v>
      </c>
      <c r="C306" s="6" t="n">
        <v>242445</v>
      </c>
      <c r="D306" s="6" t="inlineStr">
        <is>
          <t>Kit Biferdil Shampoo Óleo de Argán + Bálsamo Óleo de Argán + Spray Bifásico</t>
        </is>
      </c>
      <c r="E306" s="6" t="inlineStr">
        <is>
          <t>Biferdil</t>
        </is>
      </c>
      <c r="F306" s="6" t="n">
        <v>38718</v>
      </c>
      <c r="G306" s="6" t="n">
        <v>51624</v>
      </c>
      <c r="H306" s="6" t="b">
        <v>1</v>
      </c>
      <c r="I306" s="6" t="inlineStr"/>
      <c r="J306" s="6" t="inlineStr"/>
      <c r="K306" s="6" t="inlineStr">
        <is>
          <t>&gt; Cuidado Capilar &gt; Shampoo Y Acondicionador &gt;</t>
        </is>
      </c>
      <c r="L306" s="6" t="inlineStr">
        <is>
          <t>tratamiento</t>
        </is>
      </c>
      <c r="M306" s="6" t="inlineStr">
        <is>
          <t>estandar</t>
        </is>
      </c>
      <c r="N306" s="6" t="inlineStr">
        <is>
          <t>general</t>
        </is>
      </c>
      <c r="O306" s="6" t="inlineStr">
        <is>
          <t>https://www.farmacity.com/combo-biferdil-shampoo-oleo-de-argan-x-200-ml-balsamo-oleo-de-argan-x-200-ml-spray-bifasico-oleo-de-argan-x-150-ml/p</t>
        </is>
      </c>
    </row>
    <row r="307">
      <c r="A307" t="inlineStr">
        <is>
          <t>Farmacity</t>
        </is>
      </c>
      <c r="B307" t="n">
        <v>246148</v>
      </c>
      <c r="C307" t="n">
        <v>246148</v>
      </c>
      <c r="D307" t="inlineStr">
        <is>
          <t>Kit Rutina Completa Elvive Dream Liso: Shampoo, Acondicionador, Crema para Peinar y Sérum</t>
        </is>
      </c>
      <c r="E307" t="inlineStr">
        <is>
          <t>Elvive</t>
        </is>
      </c>
      <c r="F307" t="n">
        <v>32976</v>
      </c>
      <c r="G307" t="n">
        <v>54960</v>
      </c>
      <c r="H307" t="b">
        <v>1</v>
      </c>
      <c r="I307" t="inlineStr"/>
      <c r="J307" t="inlineStr"/>
      <c r="K307" t="inlineStr">
        <is>
          <t>&gt; Cuidado Capilar &gt; Shampoo Y Acondicionador &gt;</t>
        </is>
      </c>
      <c r="L307" t="inlineStr">
        <is>
          <t>acondicionador</t>
        </is>
      </c>
      <c r="M307" t="inlineStr">
        <is>
          <t>profesional</t>
        </is>
      </c>
      <c r="N307" t="inlineStr">
        <is>
          <t>general</t>
        </is>
      </c>
      <c r="O307" t="inlineStr">
        <is>
          <t>https://www.farmacity.com/kit-rutina-completa-elvive-dream-liso-shampoo-acondicionador-crema-para-peinar-y-serum/p</t>
        </is>
      </c>
    </row>
    <row r="308">
      <c r="A308" s="6" t="inlineStr">
        <is>
          <t>Farmacity</t>
        </is>
      </c>
      <c r="B308" s="6" t="n">
        <v>245996</v>
      </c>
      <c r="C308" s="6" t="n">
        <v>245996</v>
      </c>
      <c r="D308" s="6" t="inlineStr">
        <is>
          <t>Combo Head &amp; Shoulders Shampoo x 375 ml + Acondicionador x 300 ml</t>
        </is>
      </c>
      <c r="E308" s="6" t="inlineStr">
        <is>
          <t>Head and Shoulders</t>
        </is>
      </c>
      <c r="F308" s="6" t="n">
        <v>12827</v>
      </c>
      <c r="G308" s="6" t="n">
        <v>23321</v>
      </c>
      <c r="H308" s="6" t="b">
        <v>1</v>
      </c>
      <c r="I308" s="6" t="n">
        <v>375</v>
      </c>
      <c r="J308" s="6" t="n">
        <v>34.2053</v>
      </c>
      <c r="K308" s="6" t="inlineStr">
        <is>
          <t>&gt; Cuidado Capilar &gt; Shampoo Y Acondicionador &gt;</t>
        </is>
      </c>
      <c r="L308" s="6" t="inlineStr">
        <is>
          <t>acondicionador</t>
        </is>
      </c>
      <c r="M308" s="6" t="inlineStr">
        <is>
          <t>estandar</t>
        </is>
      </c>
      <c r="N308" s="6" t="inlineStr">
        <is>
          <t>general</t>
        </is>
      </c>
      <c r="O308" s="6" t="inlineStr">
        <is>
          <t>https://www.farmacity.com/combo-head-shoulders-shampoo-x-375-ml-acondicionador-x-300-ml/p</t>
        </is>
      </c>
    </row>
    <row r="309">
      <c r="A309" t="inlineStr">
        <is>
          <t>Farmacity</t>
        </is>
      </c>
      <c r="B309" t="n">
        <v>241957</v>
      </c>
      <c r="C309" t="n">
        <v>241957</v>
      </c>
      <c r="D309" t="inlineStr">
        <is>
          <t>Kit Tio Nacho Anticanas Shampoo x 415 ml + Acondicionador x 415 ml</t>
        </is>
      </c>
      <c r="E309" t="inlineStr">
        <is>
          <t>Tío Nacho</t>
        </is>
      </c>
      <c r="F309" t="n">
        <v>11750</v>
      </c>
      <c r="G309" t="n">
        <v>23500</v>
      </c>
      <c r="H309" t="b">
        <v>1</v>
      </c>
      <c r="I309" t="n">
        <v>415</v>
      </c>
      <c r="J309" t="n">
        <v>28.3133</v>
      </c>
      <c r="K309" t="inlineStr">
        <is>
          <t>&gt; Cuidado Capilar &gt; Shampoo Y Acondicionador &gt;</t>
        </is>
      </c>
      <c r="L309" t="inlineStr">
        <is>
          <t>acondicionador</t>
        </is>
      </c>
      <c r="M309" t="inlineStr">
        <is>
          <t>estandar</t>
        </is>
      </c>
      <c r="N309" t="inlineStr">
        <is>
          <t>general</t>
        </is>
      </c>
      <c r="O309" t="inlineStr">
        <is>
          <t>https://www.farmacity.com/combo-tio-nacho-anticanas-shampoo-x-415-ml-acondicionador-x-415-ml/p</t>
        </is>
      </c>
    </row>
    <row r="310">
      <c r="A310" s="6" t="inlineStr">
        <is>
          <t>Farmacity</t>
        </is>
      </c>
      <c r="B310" s="6" t="n">
        <v>247391</v>
      </c>
      <c r="C310" s="6" t="n">
        <v>247391</v>
      </c>
      <c r="D310" s="6" t="inlineStr">
        <is>
          <t>Combo Bagóvit Capilar Largo y Sin Frizz Shampoo + Acondicionador + Crema de Peinar</t>
        </is>
      </c>
      <c r="E310" s="6" t="inlineStr">
        <is>
          <t>Bagóvit</t>
        </is>
      </c>
      <c r="F310" s="6" t="n">
        <v>29916</v>
      </c>
      <c r="G310" s="6" t="n">
        <v>29916</v>
      </c>
      <c r="H310" s="6" t="b">
        <v>1</v>
      </c>
      <c r="I310" s="6" t="inlineStr"/>
      <c r="J310" s="6" t="inlineStr"/>
      <c r="K310" s="6" t="inlineStr">
        <is>
          <t>&gt; Cuidado Capilar &gt; Shampoo Y Acondicionador &gt;</t>
        </is>
      </c>
      <c r="L310" s="6" t="inlineStr">
        <is>
          <t>acondicionador</t>
        </is>
      </c>
      <c r="M310" s="6" t="inlineStr">
        <is>
          <t>estandar</t>
        </is>
      </c>
      <c r="N310" s="6" t="inlineStr">
        <is>
          <t>general</t>
        </is>
      </c>
      <c r="O310" s="6" t="inlineStr">
        <is>
          <t>https://www.farmacity.com/combo-bagovit-capilar-largo-y-sin-frizz-shampoo-x-350-ml-acondicionador-x-350-ml-crema-de-peinar-x-200-ml/p</t>
        </is>
      </c>
    </row>
    <row r="311">
      <c r="A311" t="inlineStr">
        <is>
          <t>Farmacity</t>
        </is>
      </c>
      <c r="B311" t="n">
        <v>219271</v>
      </c>
      <c r="C311" t="n">
        <v>219271</v>
      </c>
      <c r="D311" t="inlineStr">
        <is>
          <t>Set Sally Unicornio Body Splash x 125 ml + Shampoo x 200 ml</t>
        </is>
      </c>
      <c r="E311" t="inlineStr">
        <is>
          <t>Algabo</t>
        </is>
      </c>
      <c r="F311" t="n">
        <v>11526</v>
      </c>
      <c r="G311" t="n">
        <v>11526</v>
      </c>
      <c r="H311" t="b">
        <v>1</v>
      </c>
      <c r="I311" t="n">
        <v>125</v>
      </c>
      <c r="J311" t="n">
        <v>92.208</v>
      </c>
      <c r="K311" t="inlineStr">
        <is>
          <t>&gt; Perfumes Y Fragancias &gt; Bebés Y Niños &gt;</t>
        </is>
      </c>
      <c r="L311" t="inlineStr">
        <is>
          <t>shampoo</t>
        </is>
      </c>
      <c r="M311" t="inlineStr">
        <is>
          <t>estandar</t>
        </is>
      </c>
      <c r="N311" t="inlineStr">
        <is>
          <t>general</t>
        </is>
      </c>
      <c r="O311" t="inlineStr">
        <is>
          <t>https://www.farmacity.com/set-de-regalo-algabo-sally-unicornio-fragancia-corporal-x-125-ml-shampoo-x-200-ml/p</t>
        </is>
      </c>
    </row>
    <row r="312">
      <c r="A312" s="6" t="inlineStr">
        <is>
          <t>Farmacity</t>
        </is>
      </c>
      <c r="B312" s="6" t="n">
        <v>241722</v>
      </c>
      <c r="C312" s="6" t="n">
        <v>241722</v>
      </c>
      <c r="D312" s="6" t="inlineStr">
        <is>
          <t>Kit Capilar Tresemmé Brillo Lamelar P Shampoo + Acondicionador + Protector Térmico Spray</t>
        </is>
      </c>
      <c r="E312" s="6" t="inlineStr">
        <is>
          <t>Tresemmé</t>
        </is>
      </c>
      <c r="F312" s="6" t="n">
        <v>18047</v>
      </c>
      <c r="G312" s="6" t="n">
        <v>30078</v>
      </c>
      <c r="H312" s="6" t="b">
        <v>1</v>
      </c>
      <c r="I312" s="6" t="inlineStr"/>
      <c r="J312" s="6" t="inlineStr"/>
      <c r="K312" s="6" t="inlineStr">
        <is>
          <t>&gt; Cuidado Capilar &gt; Shampoo Y Acondicionador &gt;</t>
        </is>
      </c>
      <c r="L312" s="6" t="inlineStr">
        <is>
          <t>acondicionador</t>
        </is>
      </c>
      <c r="M312" s="6" t="inlineStr">
        <is>
          <t>estandar</t>
        </is>
      </c>
      <c r="N312" s="6" t="inlineStr">
        <is>
          <t>general</t>
        </is>
      </c>
      <c r="O312" s="6" t="inlineStr">
        <is>
          <t>https://www.farmacity.com/combo-capilar-tresemme-brillo-lamelar-p-shampoo-x-500-ml-acondicionador-x-500-ml-protector-termico-spray-x-120-ml/p</t>
        </is>
      </c>
    </row>
    <row r="313">
      <c r="A313" t="inlineStr">
        <is>
          <t>Farmacity</t>
        </is>
      </c>
      <c r="B313" t="n">
        <v>245992</v>
      </c>
      <c r="C313" t="n">
        <v>245992</v>
      </c>
      <c r="D313" t="inlineStr">
        <is>
          <t>Combo Pantene Colageno Shampoo +  Acondicionador + Crema para Peinar + Sérum Concentrado</t>
        </is>
      </c>
      <c r="E313" t="inlineStr">
        <is>
          <t>Pantene</t>
        </is>
      </c>
      <c r="F313" t="n">
        <v>37538</v>
      </c>
      <c r="G313" t="n">
        <v>37538</v>
      </c>
      <c r="H313" t="b">
        <v>1</v>
      </c>
      <c r="I313" t="inlineStr"/>
      <c r="J313" t="inlineStr"/>
      <c r="K313" t="inlineStr">
        <is>
          <t>&gt; Cuidado Capilar &gt; Shampoo Y Acondicionador &gt;</t>
        </is>
      </c>
      <c r="L313" t="inlineStr">
        <is>
          <t>acondicionador</t>
        </is>
      </c>
      <c r="M313" t="inlineStr">
        <is>
          <t>estandar</t>
        </is>
      </c>
      <c r="N313" t="inlineStr">
        <is>
          <t>general</t>
        </is>
      </c>
      <c r="O313" t="inlineStr">
        <is>
          <t>https://www.farmacity.com/combo-pantene-colageno-shampoo--acondicionador-crema-para-peinar-serum-concentrado/p</t>
        </is>
      </c>
    </row>
    <row r="314">
      <c r="A314" s="6" t="inlineStr">
        <is>
          <t>Farmacity</t>
        </is>
      </c>
      <c r="B314" s="6" t="n">
        <v>243766</v>
      </c>
      <c r="C314" s="6" t="n">
        <v>243766</v>
      </c>
      <c r="D314" s="6" t="inlineStr">
        <is>
          <t>Combo Capilatis Plex Shampoo x 350 ml + Crema Tratamiento x 170 ml</t>
        </is>
      </c>
      <c r="E314" s="6" t="inlineStr">
        <is>
          <t>Capilatis</t>
        </is>
      </c>
      <c r="F314" s="6" t="n">
        <v>22400</v>
      </c>
      <c r="G314" s="6" t="n">
        <v>22400</v>
      </c>
      <c r="H314" s="6" t="b">
        <v>1</v>
      </c>
      <c r="I314" s="6" t="n">
        <v>350</v>
      </c>
      <c r="J314" s="6" t="n">
        <v>64</v>
      </c>
      <c r="K314" s="6" t="inlineStr">
        <is>
          <t>&gt; Cuidado Capilar &gt; Shampoo Y Acondicionador &gt;</t>
        </is>
      </c>
      <c r="L314" s="6" t="inlineStr">
        <is>
          <t>tratamiento</t>
        </is>
      </c>
      <c r="M314" s="6" t="inlineStr">
        <is>
          <t>estandar</t>
        </is>
      </c>
      <c r="N314" s="6" t="inlineStr">
        <is>
          <t>general</t>
        </is>
      </c>
      <c r="O314" s="6" t="inlineStr">
        <is>
          <t>https://www.farmacity.com/combo-capilatis-plex-shampoo-x-350-ml-crema-tratamiento-x-170-ml/p</t>
        </is>
      </c>
    </row>
    <row r="315">
      <c r="A315" t="inlineStr">
        <is>
          <t>Farmacity</t>
        </is>
      </c>
      <c r="B315" t="n">
        <v>234693</v>
      </c>
      <c r="C315" t="n">
        <v>234693</v>
      </c>
      <c r="D315" t="inlineStr">
        <is>
          <t>Kit Elvive Hialurónico Pure Acondicionador + Shampoo + Mascarilla + Oleo L'Oréal París</t>
        </is>
      </c>
      <c r="E315" t="inlineStr">
        <is>
          <t>Elvive</t>
        </is>
      </c>
      <c r="F315" t="n">
        <v>32136</v>
      </c>
      <c r="G315" t="n">
        <v>53560</v>
      </c>
      <c r="H315" t="b">
        <v>1</v>
      </c>
      <c r="I315" t="inlineStr"/>
      <c r="J315" t="inlineStr"/>
      <c r="K315" t="inlineStr">
        <is>
          <t>&gt; Cuidado Capilar &gt; Shampoo Y Acondicionador &gt;</t>
        </is>
      </c>
      <c r="L315" t="inlineStr">
        <is>
          <t>acondicionador</t>
        </is>
      </c>
      <c r="M315" t="inlineStr">
        <is>
          <t>profesional</t>
        </is>
      </c>
      <c r="N315" t="inlineStr">
        <is>
          <t>general</t>
        </is>
      </c>
      <c r="O315" t="inlineStr">
        <is>
          <t>https://www.farmacity.com/combo-loreal-paris-elvive-hialuronico-pure-acondicionador-x-400-ml-shampoo-x-400-ml-mascarilla-capilar-x-300-g/p</t>
        </is>
      </c>
    </row>
    <row r="316">
      <c r="A316" s="6" t="inlineStr">
        <is>
          <t>Farmacity</t>
        </is>
      </c>
      <c r="B316" s="6" t="n">
        <v>241719</v>
      </c>
      <c r="C316" s="6" t="n">
        <v>241719</v>
      </c>
      <c r="D316" s="6" t="inlineStr">
        <is>
          <t>Kit Capilar Tresemmé Brillo Lamelar P Shampoo + Acondicionador + Óleo Finisher Textura Liviana</t>
        </is>
      </c>
      <c r="E316" s="6" t="inlineStr">
        <is>
          <t>Tresemmé</t>
        </is>
      </c>
      <c r="F316" s="6" t="n">
        <v>19360</v>
      </c>
      <c r="G316" s="6" t="n">
        <v>32267</v>
      </c>
      <c r="H316" s="6" t="b">
        <v>1</v>
      </c>
      <c r="I316" s="6" t="inlineStr"/>
      <c r="J316" s="6" t="inlineStr"/>
      <c r="K316" s="6" t="inlineStr">
        <is>
          <t>&gt; Cuidado Capilar &gt; Shampoo Y Acondicionador &gt;</t>
        </is>
      </c>
      <c r="L316" s="6" t="inlineStr">
        <is>
          <t>acondicionador</t>
        </is>
      </c>
      <c r="M316" s="6" t="inlineStr">
        <is>
          <t>estandar</t>
        </is>
      </c>
      <c r="N316" s="6" t="inlineStr">
        <is>
          <t>general</t>
        </is>
      </c>
      <c r="O316" s="6" t="inlineStr">
        <is>
          <t>https://www.farmacity.com/combo-capilar-tresemme-brillo-lamelar-p-shampoo-x-500-ml-acondicionador-x-500-ml-oleo-finisher-textura-liviana-x-60-ml/p</t>
        </is>
      </c>
    </row>
    <row r="317">
      <c r="A317" t="inlineStr">
        <is>
          <t>Farmacity</t>
        </is>
      </c>
      <c r="B317" t="n">
        <v>241698</v>
      </c>
      <c r="C317" t="n">
        <v>241698</v>
      </c>
      <c r="D317" t="inlineStr">
        <is>
          <t>Kit Dove Bond Intense Repair Shampoo + Acondicionador + Sérum Capilar + Máscara de Tratamiento</t>
        </is>
      </c>
      <c r="E317" t="inlineStr">
        <is>
          <t>Dove</t>
        </is>
      </c>
      <c r="F317" t="n">
        <v>27021</v>
      </c>
      <c r="G317" t="n">
        <v>54043</v>
      </c>
      <c r="H317" t="b">
        <v>1</v>
      </c>
      <c r="I317" t="inlineStr"/>
      <c r="J317" t="inlineStr"/>
      <c r="K317" t="inlineStr">
        <is>
          <t>&gt; Cuidado Capilar &gt; Shampoo Y Acondicionador &gt;</t>
        </is>
      </c>
      <c r="L317" t="inlineStr">
        <is>
          <t>acondicionador</t>
        </is>
      </c>
      <c r="M317" t="inlineStr">
        <is>
          <t>profesional</t>
        </is>
      </c>
      <c r="N317" t="inlineStr">
        <is>
          <t>general</t>
        </is>
      </c>
      <c r="O317" t="inlineStr">
        <is>
          <t>https://www.farmacity.com/combo-dove-bond-intense-repair-shampoo-x-400-ml-acondicionador-x-250-ml-serum-capilar-x-110-ml-mascara-de-tratamiento-x-250-g/p</t>
        </is>
      </c>
    </row>
    <row r="318">
      <c r="A318" s="6" t="inlineStr">
        <is>
          <t>Farmacity</t>
        </is>
      </c>
      <c r="B318" s="6" t="n">
        <v>239792</v>
      </c>
      <c r="C318" s="6" t="n">
        <v>239792</v>
      </c>
      <c r="D318" s="6" t="inlineStr">
        <is>
          <t>Kit Rutina Fructis Hair Food Restauracion Rulos Cacao: Shampoo, Crema Para Peinar y Mascarilla</t>
        </is>
      </c>
      <c r="E318" s="6" t="inlineStr">
        <is>
          <t>Fructis</t>
        </is>
      </c>
      <c r="F318" s="6" t="n">
        <v>22210</v>
      </c>
      <c r="G318" s="6" t="n">
        <v>34170</v>
      </c>
      <c r="H318" s="6" t="b">
        <v>1</v>
      </c>
      <c r="I318" s="6" t="inlineStr"/>
      <c r="J318" s="6" t="inlineStr"/>
      <c r="K318" s="6" t="inlineStr">
        <is>
          <t>&gt; Cuidado Capilar &gt; Shampoo Y Acondicionador &gt;</t>
        </is>
      </c>
      <c r="L318" s="6" t="inlineStr">
        <is>
          <t>tratamiento</t>
        </is>
      </c>
      <c r="M318" s="6" t="inlineStr">
        <is>
          <t>estandar</t>
        </is>
      </c>
      <c r="N318" s="6" t="inlineStr">
        <is>
          <t>rizado</t>
        </is>
      </c>
      <c r="O318" s="6" t="inlineStr">
        <is>
          <t>https://www.farmacity.com/kit-rutina-fructis-hair-food-restauracion-rulos-cacao-shampoo-crema-para-peinar-acondicionador/p</t>
        </is>
      </c>
    </row>
    <row r="319">
      <c r="A319" t="inlineStr">
        <is>
          <t>Farmacity</t>
        </is>
      </c>
      <c r="B319" t="n">
        <v>244318</v>
      </c>
      <c r="C319" t="n">
        <v>244318</v>
      </c>
      <c r="D319" t="inlineStr">
        <is>
          <t>Combo Tío Nacho Reno Aclarante Acondicionador x 415 ml + Shampoo x 415 ml</t>
        </is>
      </c>
      <c r="E319" t="inlineStr">
        <is>
          <t>Tío Nacho</t>
        </is>
      </c>
      <c r="F319" t="n">
        <v>23500</v>
      </c>
      <c r="G319" t="n">
        <v>23500</v>
      </c>
      <c r="H319" t="b">
        <v>1</v>
      </c>
      <c r="I319" t="n">
        <v>415</v>
      </c>
      <c r="J319" t="n">
        <v>56.6265</v>
      </c>
      <c r="K319" t="inlineStr">
        <is>
          <t>&gt; Cuidado Capilar &gt; Shampoo Y Acondicionador &gt;</t>
        </is>
      </c>
      <c r="L319" t="inlineStr">
        <is>
          <t>acondicionador</t>
        </is>
      </c>
      <c r="M319" t="inlineStr">
        <is>
          <t>estandar</t>
        </is>
      </c>
      <c r="N319" t="inlineStr">
        <is>
          <t>general</t>
        </is>
      </c>
      <c r="O319" t="inlineStr">
        <is>
          <t>https://www.farmacity.com/combo-tio-nacho-reno-aclarante-acondicionador-x-415-ml-shampoo-x-415-ml/p</t>
        </is>
      </c>
    </row>
    <row r="320">
      <c r="A320" s="6" t="inlineStr">
        <is>
          <t>Farmacity</t>
        </is>
      </c>
      <c r="B320" s="6" t="n">
        <v>219269</v>
      </c>
      <c r="C320" s="6" t="n">
        <v>219269</v>
      </c>
      <c r="D320" s="6" t="inlineStr">
        <is>
          <t>Set Valija Algabo Baby Body Splash x 125 ml + Shampoo x 200 ml</t>
        </is>
      </c>
      <c r="E320" s="6" t="inlineStr">
        <is>
          <t>Algabo</t>
        </is>
      </c>
      <c r="F320" s="6" t="n">
        <v>11190</v>
      </c>
      <c r="G320" s="6" t="n">
        <v>11190</v>
      </c>
      <c r="H320" s="6" t="b">
        <v>1</v>
      </c>
      <c r="I320" s="6" t="n">
        <v>125</v>
      </c>
      <c r="J320" s="6" t="n">
        <v>89.52</v>
      </c>
      <c r="K320" s="6" t="inlineStr">
        <is>
          <t>&gt; Perfumes Y Fragancias &gt; Bebés Y Niños &gt;</t>
        </is>
      </c>
      <c r="L320" s="6" t="inlineStr">
        <is>
          <t>shampoo</t>
        </is>
      </c>
      <c r="M320" s="6" t="inlineStr">
        <is>
          <t>estandar</t>
        </is>
      </c>
      <c r="N320" s="6" t="inlineStr">
        <is>
          <t>general</t>
        </is>
      </c>
      <c r="O320" s="6" t="inlineStr">
        <is>
          <t>https://www.farmacity.com/set-de-regalo-algabo-baby-colonia-dulces-mimos-x-200-ml-polvo-de-fecula-extra-suave-x-200-g/p</t>
        </is>
      </c>
    </row>
    <row r="321">
      <c r="A321" t="inlineStr">
        <is>
          <t>Farmacity</t>
        </is>
      </c>
      <c r="B321" t="n">
        <v>249605</v>
      </c>
      <c r="C321" t="n">
        <v>249605</v>
      </c>
      <c r="D321" t="inlineStr">
        <is>
          <t>Combo Fructis Probióticos Fuerza Shampoo + Acondicionador + Protector Solar Anti-Manchas Fps 50+</t>
        </is>
      </c>
      <c r="E321" t="inlineStr">
        <is>
          <t>Garnier</t>
        </is>
      </c>
      <c r="F321" t="n">
        <v>27582</v>
      </c>
      <c r="G321" t="n">
        <v>45970</v>
      </c>
      <c r="H321" t="b">
        <v>1</v>
      </c>
      <c r="I321" t="inlineStr"/>
      <c r="J321" t="inlineStr"/>
      <c r="K321" t="inlineStr">
        <is>
          <t>&gt; Cuidado Capilar &gt; Shampoo Y Acondicionador &gt;</t>
        </is>
      </c>
      <c r="L321" t="inlineStr">
        <is>
          <t>acondicionador</t>
        </is>
      </c>
      <c r="M321" t="inlineStr">
        <is>
          <t>profesional</t>
        </is>
      </c>
      <c r="N321" t="inlineStr">
        <is>
          <t>general</t>
        </is>
      </c>
      <c r="O321" t="inlineStr">
        <is>
          <t>https://www.farmacity.com/combo-fructis-probioticos-fuerza-shampoo-acondicionador-protector-solar-anti-manchas-fps-50/p</t>
        </is>
      </c>
    </row>
    <row r="322">
      <c r="A322" s="6" t="inlineStr">
        <is>
          <t>Farmacity</t>
        </is>
      </c>
      <c r="B322" s="6" t="n">
        <v>236964</v>
      </c>
      <c r="C322" s="6" t="n">
        <v>236964</v>
      </c>
      <c r="D322" s="6" t="inlineStr">
        <is>
          <t>Kit Aveno Restaurador Capilar Acondicionador + Shampoo + Emulsión + Jabón + Gel de Limpieza</t>
        </is>
      </c>
      <c r="E322" s="6" t="inlineStr">
        <is>
          <t>Aveno</t>
        </is>
      </c>
      <c r="F322" s="6" t="n">
        <v>120078</v>
      </c>
      <c r="G322" s="6" t="n">
        <v>171540</v>
      </c>
      <c r="H322" s="6" t="b">
        <v>1</v>
      </c>
      <c r="I322" s="6" t="inlineStr"/>
      <c r="J322" s="6" t="inlineStr"/>
      <c r="K322" s="6" t="inlineStr">
        <is>
          <t>&gt; Cuidado Capilar &gt; Shampoo Y Acondicionador &gt;</t>
        </is>
      </c>
      <c r="L322" s="6" t="inlineStr">
        <is>
          <t>acondicionador</t>
        </is>
      </c>
      <c r="M322" s="6" t="inlineStr">
        <is>
          <t>estandar</t>
        </is>
      </c>
      <c r="N322" s="6" t="inlineStr">
        <is>
          <t>general</t>
        </is>
      </c>
      <c r="O322" s="6" t="inlineStr">
        <is>
          <t>https://www.farmacity.com/acondicionador-aveno-restaurador-capilar-x-250-ml-shampoo-x-250-ml-emulsion-x-400-ml-jabon-x-120-g-gel-de-limpieza-x-250-g/p</t>
        </is>
      </c>
    </row>
    <row r="323">
      <c r="A323" t="inlineStr">
        <is>
          <t>Farmacity</t>
        </is>
      </c>
      <c r="B323" t="n">
        <v>239334</v>
      </c>
      <c r="C323" t="n">
        <v>239334</v>
      </c>
      <c r="D323" t="inlineStr">
        <is>
          <t>Kit Rutina Básica L'Oreal Paris Elvive Reparación Total 5: Shampoo y Acondicionador 400 ml</t>
        </is>
      </c>
      <c r="E323" t="inlineStr">
        <is>
          <t>Elvive</t>
        </is>
      </c>
      <c r="F323" t="n">
        <v>13428</v>
      </c>
      <c r="G323" t="n">
        <v>22380</v>
      </c>
      <c r="H323" t="b">
        <v>1</v>
      </c>
      <c r="I323" t="n">
        <v>400</v>
      </c>
      <c r="J323" t="n">
        <v>33.57</v>
      </c>
      <c r="K323" t="inlineStr">
        <is>
          <t>&gt; Cuidado Capilar &gt; Shampoo Y Acondicionador &gt;</t>
        </is>
      </c>
      <c r="L323" t="inlineStr">
        <is>
          <t>acondicionador</t>
        </is>
      </c>
      <c r="M323" t="inlineStr">
        <is>
          <t>profesional</t>
        </is>
      </c>
      <c r="N323" t="inlineStr">
        <is>
          <t>general</t>
        </is>
      </c>
      <c r="O323" t="inlineStr">
        <is>
          <t>https://www.farmacity.com/kit-elvive-reparacion-total-5-rutina-basica-400ml-shampoo-y-acondicionador/p</t>
        </is>
      </c>
    </row>
    <row r="324">
      <c r="A324" s="6" t="inlineStr">
        <is>
          <t>Farmacity</t>
        </is>
      </c>
      <c r="B324" s="6" t="n">
        <v>240581</v>
      </c>
      <c r="C324" s="6" t="n">
        <v>240581</v>
      </c>
      <c r="D324" s="6" t="inlineStr">
        <is>
          <t>Combo Baño Farmacity Bebé Jabón de Glicerina x 120 g + Shampoo de Avena x 200 ml</t>
        </is>
      </c>
      <c r="E324" s="6" t="inlineStr">
        <is>
          <t>Farmacity Bebé</t>
        </is>
      </c>
      <c r="F324" s="6" t="n">
        <v>3523</v>
      </c>
      <c r="G324" s="6" t="n">
        <v>7830</v>
      </c>
      <c r="H324" s="6" t="b">
        <v>1</v>
      </c>
      <c r="I324" s="6" t="n">
        <v>120</v>
      </c>
      <c r="J324" s="6" t="n">
        <v>29.3583</v>
      </c>
      <c r="K324" s="6" t="inlineStr">
        <is>
          <t>&gt; Bebés &gt; Higiene del Bebé &gt;</t>
        </is>
      </c>
      <c r="L324" s="6" t="inlineStr">
        <is>
          <t>shampoo</t>
        </is>
      </c>
      <c r="M324" s="6" t="inlineStr">
        <is>
          <t>estandar</t>
        </is>
      </c>
      <c r="N324" s="6" t="inlineStr">
        <is>
          <t>bebe</t>
        </is>
      </c>
      <c r="O324" s="6" t="inlineStr">
        <is>
          <t>https://www.farmacity.com/combo-bano-farmacity-bebe-jabon-de-glicerina-x-120-g-bano-liquido-x-200-ml-shampoo-de-avena-x-200-ml/p</t>
        </is>
      </c>
    </row>
    <row r="325">
      <c r="A325" t="inlineStr">
        <is>
          <t>Farmacity</t>
        </is>
      </c>
      <c r="B325" t="n">
        <v>245999</v>
      </c>
      <c r="C325" t="n">
        <v>245999</v>
      </c>
      <c r="D325" t="inlineStr">
        <is>
          <t>Combo Head &amp; Shoulders Shampoo Antifall x 375 ml + Acondicionador Antifall x 300 ml</t>
        </is>
      </c>
      <c r="E325" t="inlineStr">
        <is>
          <t>Head and Shoulders</t>
        </is>
      </c>
      <c r="F325" t="n">
        <v>12827</v>
      </c>
      <c r="G325" t="n">
        <v>23321</v>
      </c>
      <c r="H325" t="b">
        <v>1</v>
      </c>
      <c r="I325" t="n">
        <v>375</v>
      </c>
      <c r="J325" t="n">
        <v>34.2053</v>
      </c>
      <c r="K325" t="inlineStr">
        <is>
          <t>&gt; Cuidado Capilar &gt; Shampoo Y Acondicionador &gt;</t>
        </is>
      </c>
      <c r="L325" t="inlineStr">
        <is>
          <t>acondicionador</t>
        </is>
      </c>
      <c r="M325" t="inlineStr">
        <is>
          <t>estandar</t>
        </is>
      </c>
      <c r="N325" t="inlineStr">
        <is>
          <t>general</t>
        </is>
      </c>
      <c r="O325" t="inlineStr">
        <is>
          <t>https://www.farmacity.com/combo-head-shoulders-shampoo-antifall-x-375-ml-acondicionador-antifall-x-300-ml/p</t>
        </is>
      </c>
    </row>
    <row r="326">
      <c r="A326" s="6" t="inlineStr">
        <is>
          <t>Farmacity</t>
        </is>
      </c>
      <c r="B326" s="6" t="n">
        <v>249165</v>
      </c>
      <c r="C326" s="6" t="n">
        <v>249165</v>
      </c>
      <c r="D326" s="6" t="inlineStr">
        <is>
          <t>Combo  Farmacity Bebé: Repuesto Oléo + Toallitas Húmedas + Shampoo + Baño Líquido + Jabón</t>
        </is>
      </c>
      <c r="E326" s="6" t="inlineStr">
        <is>
          <t>Farmacity</t>
        </is>
      </c>
      <c r="F326" s="6" t="n">
        <v>25620</v>
      </c>
      <c r="G326" s="6" t="n">
        <v>25620</v>
      </c>
      <c r="H326" s="6" t="b">
        <v>1</v>
      </c>
      <c r="I326" s="6" t="inlineStr"/>
      <c r="J326" s="6" t="inlineStr"/>
      <c r="K326" s="6" t="inlineStr">
        <is>
          <t>&gt; Bebés &gt; Higiene del Bebé &gt; Baño Del Bebé &gt;</t>
        </is>
      </c>
      <c r="L326" s="6" t="inlineStr">
        <is>
          <t>shampoo</t>
        </is>
      </c>
      <c r="M326" s="6" t="inlineStr">
        <is>
          <t>estandar</t>
        </is>
      </c>
      <c r="N326" s="6" t="inlineStr">
        <is>
          <t>bebe</t>
        </is>
      </c>
      <c r="O326" s="6" t="inlineStr">
        <is>
          <t>https://www.farmacity.com/combo-farmacity-bebe-repuesto-oleo-toallitas-humedas-shampoo-bano-liquido-jabon/p</t>
        </is>
      </c>
    </row>
    <row r="327">
      <c r="A327" t="inlineStr">
        <is>
          <t>Farmacity</t>
        </is>
      </c>
      <c r="B327" t="n">
        <v>249635</v>
      </c>
      <c r="C327" t="n">
        <v>249635</v>
      </c>
      <c r="D327" t="inlineStr">
        <is>
          <t>Kit Vichy Concentrado Minéral 89 x 50 ml + Shampoo Dercos Anti-Caspa x 200 ml</t>
        </is>
      </c>
      <c r="E327" t="inlineStr">
        <is>
          <t>Vichy</t>
        </is>
      </c>
      <c r="F327" t="n">
        <v>146993</v>
      </c>
      <c r="G327" t="n">
        <v>146993</v>
      </c>
      <c r="H327" t="b">
        <v>1</v>
      </c>
      <c r="I327" t="n">
        <v>50</v>
      </c>
      <c r="J327" t="n">
        <v>2939.86</v>
      </c>
      <c r="K327" t="inlineStr">
        <is>
          <t>&gt; Dermocosmética &gt; Rostro &gt; Hidratación &gt;</t>
        </is>
      </c>
      <c r="L327" t="inlineStr">
        <is>
          <t>tratamiento</t>
        </is>
      </c>
      <c r="M327" t="inlineStr">
        <is>
          <t>estandar</t>
        </is>
      </c>
      <c r="N327" t="inlineStr">
        <is>
          <t>anticaspa</t>
        </is>
      </c>
      <c r="O327" t="inlineStr">
        <is>
          <t>https://www.farmacity.com/kit-vichy-concentrado-mineral-89-x-50-ml-shampoo-dercos-anti-caspa-x-200-ml/p</t>
        </is>
      </c>
    </row>
    <row r="328">
      <c r="A328" s="6" t="inlineStr">
        <is>
          <t>Farmacity</t>
        </is>
      </c>
      <c r="B328" s="6" t="n">
        <v>237997</v>
      </c>
      <c r="C328" s="6" t="n">
        <v>237997</v>
      </c>
      <c r="D328" s="6" t="inlineStr">
        <is>
          <t>Combo Ruh Shampoo Sólido Cabello Gaso Silver x 65 g + Acondicionador Sólido x 45 g</t>
        </is>
      </c>
      <c r="E328" s="6" t="inlineStr">
        <is>
          <t>Ruh Natural</t>
        </is>
      </c>
      <c r="F328" s="6" t="n">
        <v>27015</v>
      </c>
      <c r="G328" s="6" t="n">
        <v>27015</v>
      </c>
      <c r="H328" s="6" t="b">
        <v>1</v>
      </c>
      <c r="I328" s="6" t="n">
        <v>65</v>
      </c>
      <c r="J328" s="6" t="n">
        <v>415.6154</v>
      </c>
      <c r="K328" s="6" t="inlineStr">
        <is>
          <t>&gt; Cuidado Capilar &gt; Shampoo Y Acondicionador &gt;</t>
        </is>
      </c>
      <c r="L328" s="6" t="inlineStr">
        <is>
          <t>acondicionador</t>
        </is>
      </c>
      <c r="M328" s="6" t="inlineStr">
        <is>
          <t>estandar</t>
        </is>
      </c>
      <c r="N328" s="6" t="inlineStr">
        <is>
          <t>general</t>
        </is>
      </c>
      <c r="O328" s="6" t="inlineStr">
        <is>
          <t>https://www.farmacity.com/combo-ruh-shampoo-cabello-gaso-silver-x-65-g-acondicionador-ruh-x-45-g/p</t>
        </is>
      </c>
    </row>
    <row r="329">
      <c r="A329" t="inlineStr">
        <is>
          <t>Farmacity</t>
        </is>
      </c>
      <c r="B329" t="n">
        <v>245997</v>
      </c>
      <c r="C329" t="n">
        <v>245997</v>
      </c>
      <c r="D329" t="inlineStr">
        <is>
          <t>Combo Head &amp; Shoulders Shampoo Manzana Fresh x 375 ml + Acondicionador Manzana Fresh x 300 ml</t>
        </is>
      </c>
      <c r="E329" t="inlineStr">
        <is>
          <t>Head and Shoulders</t>
        </is>
      </c>
      <c r="F329" t="n">
        <v>12827</v>
      </c>
      <c r="G329" t="n">
        <v>23321</v>
      </c>
      <c r="H329" t="b">
        <v>1</v>
      </c>
      <c r="I329" t="n">
        <v>375</v>
      </c>
      <c r="J329" t="n">
        <v>34.2053</v>
      </c>
      <c r="K329" t="inlineStr">
        <is>
          <t>&gt; Cuidado Capilar &gt; Shampoo Y Acondicionador &gt;</t>
        </is>
      </c>
      <c r="L329" t="inlineStr">
        <is>
          <t>acondicionador</t>
        </is>
      </c>
      <c r="M329" t="inlineStr">
        <is>
          <t>estandar</t>
        </is>
      </c>
      <c r="N329" t="inlineStr">
        <is>
          <t>general</t>
        </is>
      </c>
      <c r="O329" t="inlineStr">
        <is>
          <t>https://www.farmacity.com/combo-head-shoulders-shampoo-manzana-fresh-x-375-ml-acondicionador-manzana-fresh-x-300-ml/p</t>
        </is>
      </c>
    </row>
    <row r="330">
      <c r="A330" s="6" t="inlineStr">
        <is>
          <t>Farmacity</t>
        </is>
      </c>
      <c r="B330" s="6" t="n">
        <v>237998</v>
      </c>
      <c r="C330" s="6" t="n">
        <v>237998</v>
      </c>
      <c r="D330" s="6" t="inlineStr">
        <is>
          <t>Combo Ruh Shampoo Sólido Cabello Normal Off White x 65 g + Acondicionador Sólido x 45 g</t>
        </is>
      </c>
      <c r="E330" s="6" t="inlineStr">
        <is>
          <t>Ruh Natural</t>
        </is>
      </c>
      <c r="F330" s="6" t="n">
        <v>27015</v>
      </c>
      <c r="G330" s="6" t="n">
        <v>27015</v>
      </c>
      <c r="H330" s="6" t="b">
        <v>1</v>
      </c>
      <c r="I330" s="6" t="n">
        <v>65</v>
      </c>
      <c r="J330" s="6" t="n">
        <v>415.6154</v>
      </c>
      <c r="K330" s="6" t="inlineStr">
        <is>
          <t>&gt; Cuidado Capilar &gt; Shampoo Y Acondicionador &gt;</t>
        </is>
      </c>
      <c r="L330" s="6" t="inlineStr">
        <is>
          <t>acondicionador</t>
        </is>
      </c>
      <c r="M330" s="6" t="inlineStr">
        <is>
          <t>estandar</t>
        </is>
      </c>
      <c r="N330" s="6" t="inlineStr">
        <is>
          <t>general</t>
        </is>
      </c>
      <c r="O330" s="6" t="inlineStr">
        <is>
          <t>https://www.farmacity.com/combo-ruh-cabello-normal-off-white-x-65-g-acondicionador-ruh-x-45-g/p</t>
        </is>
      </c>
    </row>
    <row r="331">
      <c r="A331" t="inlineStr">
        <is>
          <t>Farmacity</t>
        </is>
      </c>
      <c r="B331" t="n">
        <v>237996</v>
      </c>
      <c r="C331" t="n">
        <v>237996</v>
      </c>
      <c r="D331" t="inlineStr">
        <is>
          <t>Combo Ruh Shampoo Sólido Cabello Dañado Yeloow Submarine x 65 g + Acondicionador Sólido x 45 g</t>
        </is>
      </c>
      <c r="E331" t="inlineStr">
        <is>
          <t>Ruh Natural</t>
        </is>
      </c>
      <c r="F331" t="n">
        <v>27015</v>
      </c>
      <c r="G331" t="n">
        <v>27015</v>
      </c>
      <c r="H331" t="b">
        <v>1</v>
      </c>
      <c r="I331" t="n">
        <v>65</v>
      </c>
      <c r="J331" t="n">
        <v>415.6154</v>
      </c>
      <c r="K331" t="inlineStr">
        <is>
          <t>&gt; Cuidado Capilar &gt; Shampoo Y Acondicionador &gt;</t>
        </is>
      </c>
      <c r="L331" t="inlineStr">
        <is>
          <t>acondicionador</t>
        </is>
      </c>
      <c r="M331" t="inlineStr">
        <is>
          <t>estandar</t>
        </is>
      </c>
      <c r="N331" t="inlineStr">
        <is>
          <t>seco_danado</t>
        </is>
      </c>
      <c r="O331" t="inlineStr">
        <is>
          <t>https://www.farmacity.com/combo-ruh-shampoo-cabello-danado-yeloow-submarine-x-65-g-acondicionador-ruh-x-45-g/p</t>
        </is>
      </c>
    </row>
    <row r="332">
      <c r="A332" s="6" t="inlineStr">
        <is>
          <t>Farmacity</t>
        </is>
      </c>
      <c r="B332" s="6" t="n">
        <v>246000</v>
      </c>
      <c r="C332" s="6" t="n">
        <v>246000</v>
      </c>
      <c r="D332" s="6" t="inlineStr">
        <is>
          <t>Combo Head &amp; Shoulders Shampoo Aceite de Coco x 375 ml + Acondicionador Aceite de Coco x 300 ml</t>
        </is>
      </c>
      <c r="E332" s="6" t="inlineStr">
        <is>
          <t>Head and Shoulders</t>
        </is>
      </c>
      <c r="F332" s="6" t="n">
        <v>12827</v>
      </c>
      <c r="G332" s="6" t="n">
        <v>23321</v>
      </c>
      <c r="H332" s="6" t="b">
        <v>1</v>
      </c>
      <c r="I332" s="6" t="n">
        <v>375</v>
      </c>
      <c r="J332" s="6" t="n">
        <v>34.2053</v>
      </c>
      <c r="K332" s="6" t="inlineStr">
        <is>
          <t>&gt; Cuidado Capilar &gt; Shampoo Y Acondicionador &gt;</t>
        </is>
      </c>
      <c r="L332" s="6" t="inlineStr">
        <is>
          <t>acondicionador</t>
        </is>
      </c>
      <c r="M332" s="6" t="inlineStr">
        <is>
          <t>estandar</t>
        </is>
      </c>
      <c r="N332" s="6" t="inlineStr">
        <is>
          <t>general</t>
        </is>
      </c>
      <c r="O332" s="6" t="inlineStr">
        <is>
          <t>https://www.farmacity.com/combo-head-shoulders-shampoo-aceite-de-coco-x-375-ml-acondicionador-aceite-de-coco-x-300-ml/p</t>
        </is>
      </c>
    </row>
    <row r="333">
      <c r="A333" t="inlineStr">
        <is>
          <t>Farmacity</t>
        </is>
      </c>
      <c r="B333" t="n">
        <v>245998</v>
      </c>
      <c r="C333" t="n">
        <v>245998</v>
      </c>
      <c r="D333" t="inlineStr">
        <is>
          <t>Combo Head &amp; Shoulders Shampoo Fuerza de Raíz x 375 ml + Acondicionador Fuerza de Raíz x 300 ml</t>
        </is>
      </c>
      <c r="E333" t="inlineStr">
        <is>
          <t>Head and Shoulders</t>
        </is>
      </c>
      <c r="F333" t="n">
        <v>12827</v>
      </c>
      <c r="G333" t="n">
        <v>23321</v>
      </c>
      <c r="H333" t="b">
        <v>1</v>
      </c>
      <c r="I333" t="n">
        <v>375</v>
      </c>
      <c r="J333" t="n">
        <v>34.2053</v>
      </c>
      <c r="K333" t="inlineStr">
        <is>
          <t>&gt; Cuidado Capilar &gt; Shampoo Y Acondicionador &gt;</t>
        </is>
      </c>
      <c r="L333" t="inlineStr">
        <is>
          <t>acondicionador</t>
        </is>
      </c>
      <c r="M333" t="inlineStr">
        <is>
          <t>estandar</t>
        </is>
      </c>
      <c r="N333" t="inlineStr">
        <is>
          <t>general</t>
        </is>
      </c>
      <c r="O333" t="inlineStr">
        <is>
          <t>https://www.farmacity.com/combo-head-shoulders-shampoo-fuerza-de-raiz-x-375-ml-acondicionador-fuerza-de-raiz-x-300-ml/p</t>
        </is>
      </c>
    </row>
    <row r="334">
      <c r="A334" s="6" t="inlineStr">
        <is>
          <t>Farmacity</t>
        </is>
      </c>
      <c r="B334" s="6" t="n">
        <v>238000</v>
      </c>
      <c r="C334" s="6" t="n">
        <v>238000</v>
      </c>
      <c r="D334" s="6" t="inlineStr">
        <is>
          <t>Combo Ruh Shampoo Sólido Cabello Teñido Natural Lavender x 65 g + Acondicionador Sólido x 45 g</t>
        </is>
      </c>
      <c r="E334" s="6" t="inlineStr">
        <is>
          <t>Ruh Natural</t>
        </is>
      </c>
      <c r="F334" s="6" t="n">
        <v>27015</v>
      </c>
      <c r="G334" s="6" t="n">
        <v>27015</v>
      </c>
      <c r="H334" s="6" t="b">
        <v>1</v>
      </c>
      <c r="I334" s="6" t="n">
        <v>65</v>
      </c>
      <c r="J334" s="6" t="n">
        <v>415.6154</v>
      </c>
      <c r="K334" s="6" t="inlineStr">
        <is>
          <t>&gt; Cuidado Capilar &gt; Shampoo Y Acondicionador &gt;</t>
        </is>
      </c>
      <c r="L334" s="6" t="inlineStr">
        <is>
          <t>acondicionador</t>
        </is>
      </c>
      <c r="M334" s="6" t="inlineStr">
        <is>
          <t>estandar</t>
        </is>
      </c>
      <c r="N334" s="6" t="inlineStr">
        <is>
          <t>tratado</t>
        </is>
      </c>
      <c r="O334" s="6" t="inlineStr">
        <is>
          <t>https://www.farmacity.com/combo-ruh-shampoo-solido-natural-lavender-x-65-g-acondicionador-ruh-x-45-g/p</t>
        </is>
      </c>
    </row>
    <row r="335">
      <c r="A335" t="inlineStr">
        <is>
          <t>Farmacity</t>
        </is>
      </c>
      <c r="B335" t="n">
        <v>237999</v>
      </c>
      <c r="C335" t="n">
        <v>237999</v>
      </c>
      <c r="D335" t="inlineStr">
        <is>
          <t>Combo Ruh Shampoo Sólido Cabello Seco Mechanic Orange x 65 g + Acondicionador Sólido x 45 g</t>
        </is>
      </c>
      <c r="E335" t="inlineStr">
        <is>
          <t>Ruh Natural</t>
        </is>
      </c>
      <c r="F335" t="n">
        <v>27015</v>
      </c>
      <c r="G335" t="n">
        <v>27015</v>
      </c>
      <c r="H335" t="b">
        <v>1</v>
      </c>
      <c r="I335" t="n">
        <v>65</v>
      </c>
      <c r="J335" t="n">
        <v>415.6154</v>
      </c>
      <c r="K335" t="inlineStr">
        <is>
          <t>&gt; Cuidado Capilar &gt; Shampoo Y Acondicionador &gt;</t>
        </is>
      </c>
      <c r="L335" t="inlineStr">
        <is>
          <t>acondicionador</t>
        </is>
      </c>
      <c r="M335" t="inlineStr">
        <is>
          <t>estandar</t>
        </is>
      </c>
      <c r="N335" t="inlineStr">
        <is>
          <t>seco_danado</t>
        </is>
      </c>
      <c r="O335" t="inlineStr">
        <is>
          <t>https://www.farmacity.com/combo-ruh-shampoo-solido-cabello-seco-mechanic-orange-x-65-g-acondicionador-ruh-x-45-g/p</t>
        </is>
      </c>
    </row>
    <row r="336">
      <c r="A336" s="6" t="inlineStr">
        <is>
          <t>Farmacity</t>
        </is>
      </c>
      <c r="B336" s="6" t="n">
        <v>247392</v>
      </c>
      <c r="C336" s="6" t="n">
        <v>247392</v>
      </c>
      <c r="D336" s="6" t="inlineStr">
        <is>
          <t>Combo Bagóvit Capilar Plasma Vegetal Shampoo x 350 ml + Acondicionador x 350 ml + Mascarilla x 300 ml</t>
        </is>
      </c>
      <c r="E336" s="6" t="inlineStr">
        <is>
          <t>Bagóvit</t>
        </is>
      </c>
      <c r="F336" s="6" t="n">
        <v>31332</v>
      </c>
      <c r="G336" s="6" t="n">
        <v>31332</v>
      </c>
      <c r="H336" s="6" t="b">
        <v>1</v>
      </c>
      <c r="I336" s="6" t="n">
        <v>350</v>
      </c>
      <c r="J336" s="6" t="n">
        <v>89.52</v>
      </c>
      <c r="K336" s="6" t="inlineStr">
        <is>
          <t>&gt; Cuidado Capilar &gt; Shampoo Y Acondicionador &gt;</t>
        </is>
      </c>
      <c r="L336" s="6" t="inlineStr">
        <is>
          <t>acondicionador</t>
        </is>
      </c>
      <c r="M336" s="6" t="inlineStr">
        <is>
          <t>estandar</t>
        </is>
      </c>
      <c r="N336" s="6" t="inlineStr">
        <is>
          <t>general</t>
        </is>
      </c>
      <c r="O336" s="6" t="inlineStr">
        <is>
          <t>https://www.farmacity.com/combo-bagovit-capilar-plasma-vegetal-shampoo-x-350-ml-acondicionador-x-350-ml-mascarilla-x-300-ml/p</t>
        </is>
      </c>
    </row>
    <row r="337">
      <c r="A337" t="inlineStr">
        <is>
          <t>Farmacity</t>
        </is>
      </c>
      <c r="B337" t="n">
        <v>237556</v>
      </c>
      <c r="C337" t="n">
        <v>237556</v>
      </c>
      <c r="D337" t="inlineStr">
        <is>
          <t>Kit Capilar Biferdi Nutrición y Reparación Shampoo x 400 ml + Bálsamo x 400 ml + Máscara x 150 ml</t>
        </is>
      </c>
      <c r="E337" t="inlineStr">
        <is>
          <t>Biferdil</t>
        </is>
      </c>
      <c r="F337" t="n">
        <v>27378</v>
      </c>
      <c r="G337" t="n">
        <v>36504</v>
      </c>
      <c r="H337" t="b">
        <v>1</v>
      </c>
      <c r="I337" t="n">
        <v>400</v>
      </c>
      <c r="J337" t="n">
        <v>68.44499999999999</v>
      </c>
      <c r="K337" t="inlineStr">
        <is>
          <t>&gt; Cuidado Capilar &gt; Shampoo Y Acondicionador &gt;</t>
        </is>
      </c>
      <c r="L337" t="inlineStr">
        <is>
          <t>tratamiento</t>
        </is>
      </c>
      <c r="M337" t="inlineStr">
        <is>
          <t>estandar</t>
        </is>
      </c>
      <c r="N337" t="inlineStr">
        <is>
          <t>general</t>
        </is>
      </c>
      <c r="O337" t="inlineStr">
        <is>
          <t>https://www.farmacity.com/kit-capilar-biferdi-nutricion-y-reparacion-shampoo-x-400-ml-balsamo-x-400-ml-mascara-x-150-ml/p</t>
        </is>
      </c>
    </row>
    <row r="338">
      <c r="A338" s="6" t="inlineStr">
        <is>
          <t>Farmacity</t>
        </is>
      </c>
      <c r="B338" s="6" t="n">
        <v>240580</v>
      </c>
      <c r="C338" s="6" t="n">
        <v>240580</v>
      </c>
      <c r="D338" s="6" t="inlineStr">
        <is>
          <t>Combo Baño Farmacity Bebé Jabón de Glicerina x 120 g + Baño Liquido x 200 ml + Shampoo de Avena x 200 ml</t>
        </is>
      </c>
      <c r="E338" s="6" t="inlineStr">
        <is>
          <t>Farmacity Bebé</t>
        </is>
      </c>
      <c r="F338" s="6" t="n">
        <v>5863</v>
      </c>
      <c r="G338" s="6" t="n">
        <v>13030</v>
      </c>
      <c r="H338" s="6" t="b">
        <v>1</v>
      </c>
      <c r="I338" s="6" t="n">
        <v>120</v>
      </c>
      <c r="J338" s="6" t="n">
        <v>48.8583</v>
      </c>
      <c r="K338" s="6" t="inlineStr">
        <is>
          <t>&gt; Bebés &gt; Higiene del Bebé &gt;</t>
        </is>
      </c>
      <c r="L338" s="6" t="inlineStr">
        <is>
          <t>shampoo</t>
        </is>
      </c>
      <c r="M338" s="6" t="inlineStr">
        <is>
          <t>estandar</t>
        </is>
      </c>
      <c r="N338" s="6" t="inlineStr">
        <is>
          <t>bebe</t>
        </is>
      </c>
      <c r="O338" s="6" t="inlineStr">
        <is>
          <t>https://www.farmacity.com/combo-bano-farmacity-bebe-jabon-de-glicerina-x-120-g-shampoo-de-avena-x-200-ml/p</t>
        </is>
      </c>
    </row>
    <row r="339">
      <c r="A339" t="inlineStr">
        <is>
          <t>Farmacity</t>
        </is>
      </c>
      <c r="B339" t="n">
        <v>241721</v>
      </c>
      <c r="C339" t="n">
        <v>241721</v>
      </c>
      <c r="D339" t="inlineStr">
        <is>
          <t>Kit Capilar Tresemmé Dosificador Cauterización Reparadora Shampoo x 500 ml + Acondicionador x 500 ml + Óleo Finisher Textura Liviana x 60 ml</t>
        </is>
      </c>
      <c r="E339" t="inlineStr">
        <is>
          <t>Tresemmé</t>
        </is>
      </c>
      <c r="F339" t="n">
        <v>19360</v>
      </c>
      <c r="G339" t="n">
        <v>32267</v>
      </c>
      <c r="H339" t="b">
        <v>1</v>
      </c>
      <c r="I339" t="n">
        <v>500</v>
      </c>
      <c r="J339" t="n">
        <v>38.72</v>
      </c>
      <c r="K339" t="inlineStr">
        <is>
          <t>&gt; Cuidado Capilar &gt; Shampoo Y Acondicionador &gt;</t>
        </is>
      </c>
      <c r="L339" t="inlineStr">
        <is>
          <t>acondicionador</t>
        </is>
      </c>
      <c r="M339" t="inlineStr">
        <is>
          <t>estandar</t>
        </is>
      </c>
      <c r="N339" t="inlineStr">
        <is>
          <t>general</t>
        </is>
      </c>
      <c r="O339" t="inlineStr">
        <is>
          <t>https://www.farmacity.com/combo-capilar-tresemme-dosificador-cauterizacion-reparadora-shampoo-x-500-ml-acondicionador-x-500-ml-oleo-finisher-textura-liviana-x-60-ml/p</t>
        </is>
      </c>
    </row>
    <row r="340">
      <c r="A340" s="6" t="inlineStr">
        <is>
          <t>Farmacity</t>
        </is>
      </c>
      <c r="B340" s="6" t="n">
        <v>241724</v>
      </c>
      <c r="C340" s="6" t="n">
        <v>241724</v>
      </c>
      <c r="D340" s="6" t="inlineStr">
        <is>
          <t>Kit Capilar Tresemmé Dosificador Ondas Boho Shampoo x 500 ml + Acondicionador x 500 ml + Protector Térmico Spray x 120 ml</t>
        </is>
      </c>
      <c r="E340" s="6" t="inlineStr">
        <is>
          <t>Tresemmé</t>
        </is>
      </c>
      <c r="F340" s="6" t="n">
        <v>18047</v>
      </c>
      <c r="G340" s="6" t="n">
        <v>30078</v>
      </c>
      <c r="H340" s="6" t="b">
        <v>1</v>
      </c>
      <c r="I340" s="6" t="n">
        <v>500</v>
      </c>
      <c r="J340" s="6" t="n">
        <v>36.094</v>
      </c>
      <c r="K340" s="6" t="inlineStr">
        <is>
          <t>&gt; Cuidado Capilar &gt; Shampoo Y Acondicionador &gt;</t>
        </is>
      </c>
      <c r="L340" s="6" t="inlineStr">
        <is>
          <t>acondicionador</t>
        </is>
      </c>
      <c r="M340" s="6" t="inlineStr">
        <is>
          <t>estandar</t>
        </is>
      </c>
      <c r="N340" s="6" t="inlineStr">
        <is>
          <t>general</t>
        </is>
      </c>
      <c r="O340" s="6" t="inlineStr">
        <is>
          <t>https://www.farmacity.com/combo-capilar-tresemme-dosificador-ondas-boho-shampoo-x-500-ml-acondicionador-x-500-ml-protector-termico-spray-x-120-ml/p</t>
        </is>
      </c>
    </row>
    <row r="341">
      <c r="A341" t="inlineStr">
        <is>
          <t>Farmacity</t>
        </is>
      </c>
      <c r="B341" t="n">
        <v>246516</v>
      </c>
      <c r="C341" t="n">
        <v>246516</v>
      </c>
      <c r="D341" t="inlineStr">
        <is>
          <t>Combo Huggies Natural Care Pañales Talle RN + Toallitas Húmedas Triple Protección con Óleo Calcáreo + Jabon Liquido + Shampoo Hora de Soñar</t>
        </is>
      </c>
      <c r="E341" t="inlineStr">
        <is>
          <t>Huggies</t>
        </is>
      </c>
      <c r="F341" t="n">
        <v>30437</v>
      </c>
      <c r="G341" t="n">
        <v>43481</v>
      </c>
      <c r="H341" t="b">
        <v>1</v>
      </c>
      <c r="I341" t="inlineStr"/>
      <c r="J341" t="inlineStr"/>
      <c r="K341" t="inlineStr">
        <is>
          <t>&gt; Bebés &gt; Pañales &gt; Pañales Descartables &gt;</t>
        </is>
      </c>
      <c r="L341" t="inlineStr">
        <is>
          <t>shampoo</t>
        </is>
      </c>
      <c r="M341" t="inlineStr">
        <is>
          <t>estandar</t>
        </is>
      </c>
      <c r="N341" t="inlineStr">
        <is>
          <t>general</t>
        </is>
      </c>
      <c r="O341" t="inlineStr">
        <is>
          <t>https://www.farmacity.com/combo-huggies-natural-care-panales-talle-rn-toallitas-humedas-triple-proteccion-con-oleo-calcareo-jabon-liquido-shampoo-hora-de-sonar/p</t>
        </is>
      </c>
    </row>
    <row r="342">
      <c r="A342" s="6" t="inlineStr">
        <is>
          <t>Farmacity</t>
        </is>
      </c>
      <c r="B342" s="6" t="n">
        <v>240579</v>
      </c>
      <c r="C342" s="6" t="n">
        <v>240579</v>
      </c>
      <c r="D342" s="6" t="inlineStr">
        <is>
          <t>Combo Baño Farmacity Bebé Jabón de Glicerina x 120 g + Repuesto de Baño Liquido x 180 ml + Shampoo de Avena x 200 ml</t>
        </is>
      </c>
      <c r="E342" s="6" t="inlineStr">
        <is>
          <t>Farmacity Bebé</t>
        </is>
      </c>
      <c r="F342" s="6" t="n">
        <v>5368</v>
      </c>
      <c r="G342" s="6" t="n">
        <v>11930</v>
      </c>
      <c r="H342" s="6" t="b">
        <v>1</v>
      </c>
      <c r="I342" s="6" t="n">
        <v>120</v>
      </c>
      <c r="J342" s="6" t="n">
        <v>44.7333</v>
      </c>
      <c r="K342" s="6" t="inlineStr">
        <is>
          <t>&gt; Bebés &gt; Higiene del Bebé &gt;</t>
        </is>
      </c>
      <c r="L342" s="6" t="inlineStr">
        <is>
          <t>shampoo</t>
        </is>
      </c>
      <c r="M342" s="6" t="inlineStr">
        <is>
          <t>estandar</t>
        </is>
      </c>
      <c r="N342" s="6" t="inlineStr">
        <is>
          <t>bebe</t>
        </is>
      </c>
      <c r="O342" s="6" t="inlineStr">
        <is>
          <t>https://www.farmacity.com/combo-bano-farmacity-bebe-jabon-de-glicerina-x-120-g-repuesto-de-bano-liquido-x-180-ml-shampoo-de-avena-x-200-ml/p</t>
        </is>
      </c>
    </row>
    <row r="343">
      <c r="A343" t="inlineStr">
        <is>
          <t>Farmacity</t>
        </is>
      </c>
      <c r="B343" t="n">
        <v>241725</v>
      </c>
      <c r="C343" t="n">
        <v>241725</v>
      </c>
      <c r="D343" t="inlineStr">
        <is>
          <t>Kit Capilar Tresemmé Brillo Lamelar Shampoo x 500 ml + Acondicionador x 500 ml + Óleo x 60 ml + Sérum x 170 ml</t>
        </is>
      </c>
      <c r="E343" t="inlineStr">
        <is>
          <t>Tresemmé</t>
        </is>
      </c>
      <c r="F343" t="n">
        <v>26571</v>
      </c>
      <c r="G343" t="n">
        <v>44285</v>
      </c>
      <c r="H343" t="b">
        <v>1</v>
      </c>
      <c r="I343" t="n">
        <v>500</v>
      </c>
      <c r="J343" t="n">
        <v>53.142</v>
      </c>
      <c r="K343" t="inlineStr">
        <is>
          <t>&gt; Cuidado Capilar &gt; Shampoo Y Acondicionador &gt;</t>
        </is>
      </c>
      <c r="L343" t="inlineStr">
        <is>
          <t>acondicionador</t>
        </is>
      </c>
      <c r="M343" t="inlineStr">
        <is>
          <t>estandar</t>
        </is>
      </c>
      <c r="N343" t="inlineStr">
        <is>
          <t>general</t>
        </is>
      </c>
      <c r="O343" t="inlineStr">
        <is>
          <t>https://www.farmacity.com/combo-capilar-tresemme-brillo-lamelar-shampoo-x-500-ml-acondicionador-x-500-ml-oleo-x-60-ml-serum-x-170-ml/p</t>
        </is>
      </c>
    </row>
    <row r="344">
      <c r="A344" s="6" t="inlineStr">
        <is>
          <t>Farmacity</t>
        </is>
      </c>
      <c r="B344" s="6" t="n">
        <v>241720</v>
      </c>
      <c r="C344" s="6" t="n">
        <v>241720</v>
      </c>
      <c r="D344" s="6" t="inlineStr">
        <is>
          <t>Kit Capilar Tresemmé Dosificador Keratina AntiFrizz Shampoo x 500 ml + Acondicionador x 500 ml + Óleo Finisher Textura Liviana x 60 ml</t>
        </is>
      </c>
      <c r="E344" s="6" t="inlineStr">
        <is>
          <t>Tresemmé</t>
        </is>
      </c>
      <c r="F344" s="6" t="n">
        <v>19360</v>
      </c>
      <c r="G344" s="6" t="n">
        <v>32267</v>
      </c>
      <c r="H344" s="6" t="b">
        <v>1</v>
      </c>
      <c r="I344" s="6" t="n">
        <v>500</v>
      </c>
      <c r="J344" s="6" t="n">
        <v>38.72</v>
      </c>
      <c r="K344" s="6" t="inlineStr">
        <is>
          <t>&gt; Cuidado Capilar &gt; Shampoo Y Acondicionador &gt;</t>
        </is>
      </c>
      <c r="L344" s="6" t="inlineStr">
        <is>
          <t>acondicionador</t>
        </is>
      </c>
      <c r="M344" s="6" t="inlineStr">
        <is>
          <t>estandar</t>
        </is>
      </c>
      <c r="N344" s="6" t="inlineStr">
        <is>
          <t>tratado</t>
        </is>
      </c>
      <c r="O344" s="6" t="inlineStr">
        <is>
          <t>https://www.farmacity.com/combo-capilar-tresemme-dosificador-keratina-antifrizz-shampoo-x-500-ml-acondicionador-x-500-ml-oleo-finisher-textura-liviana-x-60-ml/p</t>
        </is>
      </c>
    </row>
    <row r="345">
      <c r="A345" t="inlineStr">
        <is>
          <t>Farmacity</t>
        </is>
      </c>
      <c r="B345" t="n">
        <v>242449</v>
      </c>
      <c r="C345" t="n">
        <v>242449</v>
      </c>
      <c r="D345" t="inlineStr">
        <is>
          <t>Kit Biferdil Control Caída Loción Bioxidil x 100 ml + Ampolla Capilar con Bioxidil x 10 ml + Shampoo Fortalecedor y Engrosador x 250 ml</t>
        </is>
      </c>
      <c r="E345" t="inlineStr">
        <is>
          <t>Biferdil</t>
        </is>
      </c>
      <c r="F345" t="n">
        <v>60384</v>
      </c>
      <c r="G345" t="n">
        <v>60384</v>
      </c>
      <c r="H345" t="b">
        <v>1</v>
      </c>
      <c r="I345" t="n">
        <v>100</v>
      </c>
      <c r="J345" t="n">
        <v>603.84</v>
      </c>
      <c r="K345" t="inlineStr">
        <is>
          <t>&gt; Cuidado Capilar &gt; Shampoo Y Acondicionador &gt;</t>
        </is>
      </c>
      <c r="L345" t="inlineStr">
        <is>
          <t>tratamiento</t>
        </is>
      </c>
      <c r="M345" t="inlineStr">
        <is>
          <t>estandar</t>
        </is>
      </c>
      <c r="N345" t="inlineStr">
        <is>
          <t>general</t>
        </is>
      </c>
      <c r="O345" t="inlineStr">
        <is>
          <t>https://www.farmacity.com/combo-biferdil-control-caida-locion-bioxidil-x-100-ml-ampolla-capilar-con-bioxidil-x-10-ml-shampoo-fortalecedor-y-engrosador-x-250-ml/p</t>
        </is>
      </c>
    </row>
    <row r="346">
      <c r="A346" s="6" t="inlineStr">
        <is>
          <t>Farmacity</t>
        </is>
      </c>
      <c r="B346" s="6" t="n">
        <v>7760</v>
      </c>
      <c r="C346" s="6" t="n">
        <v>152465</v>
      </c>
      <c r="D346" s="6" t="inlineStr">
        <is>
          <t>Spray para Peinar para Niños Johnson's Baby Gotas de Brillo x 200 ml</t>
        </is>
      </c>
      <c r="E346" s="6" t="inlineStr">
        <is>
          <t>Johnson's</t>
        </is>
      </c>
      <c r="F346" s="6" t="n">
        <v>5017</v>
      </c>
      <c r="G346" s="6" t="n">
        <v>7167</v>
      </c>
      <c r="H346" s="6" t="b">
        <v>1</v>
      </c>
      <c r="I346" s="6" t="n">
        <v>200</v>
      </c>
      <c r="J346" s="6" t="n">
        <v>25.085</v>
      </c>
      <c r="K346" s="6" t="inlineStr">
        <is>
          <t>&gt; Bebés &gt; Higiene del Bebé &gt; Baño Del Bebé &gt;</t>
        </is>
      </c>
      <c r="L346" s="6" t="inlineStr">
        <is>
          <t>shampoo</t>
        </is>
      </c>
      <c r="M346" s="6" t="inlineStr">
        <is>
          <t>estandar</t>
        </is>
      </c>
      <c r="N346" s="6" t="inlineStr">
        <is>
          <t>bebe</t>
        </is>
      </c>
      <c r="O346" s="6" t="inlineStr">
        <is>
          <t>https://www.farmacity.com/spray-para-peinar-gotas-de-brillo-x-200-ml/p</t>
        </is>
      </c>
    </row>
    <row r="347">
      <c r="A347" t="inlineStr">
        <is>
          <t>Farmacity</t>
        </is>
      </c>
      <c r="B347" t="n">
        <v>7801</v>
      </c>
      <c r="C347" t="n">
        <v>150809</v>
      </c>
      <c r="D347" t="inlineStr">
        <is>
          <t>Jabón Líquido para Bebé Johnson's Recién Nacido x 200 ml</t>
        </is>
      </c>
      <c r="E347" t="inlineStr">
        <is>
          <t>Johnson's</t>
        </is>
      </c>
      <c r="F347" t="n">
        <v>4058</v>
      </c>
      <c r="G347" t="n">
        <v>5797</v>
      </c>
      <c r="H347" t="b">
        <v>1</v>
      </c>
      <c r="I347" t="n">
        <v>200</v>
      </c>
      <c r="J347" t="n">
        <v>20.29</v>
      </c>
      <c r="K347" t="inlineStr">
        <is>
          <t>&gt; Bebés &gt; Higiene del Bebé &gt; Baño Del Bebé &gt;</t>
        </is>
      </c>
      <c r="L347" t="inlineStr">
        <is>
          <t>shampoo</t>
        </is>
      </c>
      <c r="M347" t="inlineStr">
        <is>
          <t>estandar</t>
        </is>
      </c>
      <c r="N347" t="inlineStr">
        <is>
          <t>bebe</t>
        </is>
      </c>
      <c r="O347" t="inlineStr">
        <is>
          <t>https://www.farmacity.com/jabon-liquido-recien-nacido-x-200-ml/p</t>
        </is>
      </c>
    </row>
    <row r="348">
      <c r="A348" s="6" t="inlineStr">
        <is>
          <t>Farmacity</t>
        </is>
      </c>
      <c r="B348" s="6" t="n">
        <v>7695</v>
      </c>
      <c r="C348" s="6" t="n">
        <v>150810</v>
      </c>
      <c r="D348" s="6" t="inlineStr">
        <is>
          <t>Crema Hidratante para Bebé Johnson's Recién Nacido x 200 ml</t>
        </is>
      </c>
      <c r="E348" s="6" t="inlineStr">
        <is>
          <t>Johnson's</t>
        </is>
      </c>
      <c r="F348" s="6" t="n">
        <v>3989</v>
      </c>
      <c r="G348" s="6" t="n">
        <v>5698</v>
      </c>
      <c r="H348" s="6" t="b">
        <v>1</v>
      </c>
      <c r="I348" s="6" t="n">
        <v>200</v>
      </c>
      <c r="J348" s="6" t="n">
        <v>19.945</v>
      </c>
      <c r="K348" s="6" t="inlineStr">
        <is>
          <t>&gt; Bebés &gt; Higiene del Bebé &gt; Óleos y Algodón &gt;</t>
        </is>
      </c>
      <c r="L348" s="6" t="inlineStr">
        <is>
          <t>shampoo</t>
        </is>
      </c>
      <c r="M348" s="6" t="inlineStr">
        <is>
          <t>estandar</t>
        </is>
      </c>
      <c r="N348" s="6" t="inlineStr">
        <is>
          <t>seco_danado</t>
        </is>
      </c>
      <c r="O348" s="6" t="inlineStr">
        <is>
          <t>https://www.farmacity.com/crema-hidratante-recien-nacido-x-200-ml/p</t>
        </is>
      </c>
    </row>
    <row r="349">
      <c r="A349" t="inlineStr">
        <is>
          <t>Farmacity</t>
        </is>
      </c>
      <c r="B349" t="n">
        <v>195</v>
      </c>
      <c r="C349" t="n">
        <v>12706</v>
      </c>
      <c r="D349" t="inlineStr">
        <is>
          <t>Aceite para Bebé Johnson's Puro x 100 ml</t>
        </is>
      </c>
      <c r="E349" t="inlineStr">
        <is>
          <t>Johnson's</t>
        </is>
      </c>
      <c r="F349" t="n">
        <v>4270</v>
      </c>
      <c r="G349" t="n">
        <v>6100</v>
      </c>
      <c r="H349" t="b">
        <v>1</v>
      </c>
      <c r="I349" t="n">
        <v>100</v>
      </c>
      <c r="J349" t="n">
        <v>42.7</v>
      </c>
      <c r="K349" t="inlineStr">
        <is>
          <t>&gt; Bebés &gt; Higiene del Bebé &gt; Óleos y Algodón &gt;</t>
        </is>
      </c>
      <c r="L349" t="inlineStr">
        <is>
          <t>shampoo</t>
        </is>
      </c>
      <c r="M349" t="inlineStr">
        <is>
          <t>estandar</t>
        </is>
      </c>
      <c r="N349" t="inlineStr">
        <is>
          <t>bebe</t>
        </is>
      </c>
      <c r="O349" t="inlineStr">
        <is>
          <t>https://www.farmacity.com/aceite-humecta-y-suaviza-puro-x-100-ml/p</t>
        </is>
      </c>
    </row>
    <row r="350">
      <c r="A350" s="6" t="inlineStr">
        <is>
          <t>Farmacity</t>
        </is>
      </c>
      <c r="B350" s="6" t="n">
        <v>14973</v>
      </c>
      <c r="C350" s="6" t="n">
        <v>139289</v>
      </c>
      <c r="D350" s="6" t="inlineStr">
        <is>
          <t>Colonia Fresca Johnson's Caricia x 100 ml</t>
        </is>
      </c>
      <c r="E350" s="6" t="inlineStr">
        <is>
          <t>Johnson's</t>
        </is>
      </c>
      <c r="F350" s="6" t="n">
        <v>3233</v>
      </c>
      <c r="G350" s="6" t="n">
        <v>4618</v>
      </c>
      <c r="H350" s="6" t="b">
        <v>1</v>
      </c>
      <c r="I350" s="6" t="n">
        <v>100</v>
      </c>
      <c r="J350" s="6" t="n">
        <v>32.33</v>
      </c>
      <c r="K350" s="6" t="inlineStr">
        <is>
          <t>&gt; Bebés &gt; Higiene del Bebé &gt; Fragancias de Bebés y Niños &gt;</t>
        </is>
      </c>
      <c r="L350" s="6" t="inlineStr">
        <is>
          <t>shampoo</t>
        </is>
      </c>
      <c r="M350" s="6" t="inlineStr">
        <is>
          <t>estandar</t>
        </is>
      </c>
      <c r="N350" s="6" t="inlineStr">
        <is>
          <t>general</t>
        </is>
      </c>
      <c r="O350" s="6" t="inlineStr">
        <is>
          <t>https://www.farmacity.com/colonia-fresca-caricia-suave-para-la-piel-x-100-ml/p</t>
        </is>
      </c>
    </row>
    <row r="351">
      <c r="A351" t="inlineStr">
        <is>
          <t>Farmacity</t>
        </is>
      </c>
      <c r="B351" t="n">
        <v>513</v>
      </c>
      <c r="C351" t="n">
        <v>12707</v>
      </c>
      <c r="D351" t="inlineStr">
        <is>
          <t>Aceite para Bebé Johnson's Puro x 200 ml</t>
        </is>
      </c>
      <c r="E351" t="inlineStr">
        <is>
          <t>Johnson's</t>
        </is>
      </c>
      <c r="F351" t="n">
        <v>5816</v>
      </c>
      <c r="G351" t="n">
        <v>8309</v>
      </c>
      <c r="H351" t="b">
        <v>1</v>
      </c>
      <c r="I351" t="n">
        <v>200</v>
      </c>
      <c r="J351" t="n">
        <v>29.08</v>
      </c>
      <c r="K351" t="inlineStr">
        <is>
          <t>&gt; Bebés &gt; Higiene del Bebé &gt; Óleos y Algodón &gt;</t>
        </is>
      </c>
      <c r="L351" t="inlineStr">
        <is>
          <t>shampoo</t>
        </is>
      </c>
      <c r="M351" t="inlineStr">
        <is>
          <t>estandar</t>
        </is>
      </c>
      <c r="N351" t="inlineStr">
        <is>
          <t>bebe</t>
        </is>
      </c>
      <c r="O351" t="inlineStr">
        <is>
          <t>https://www.farmacity.com/aceite-puro-humecta-y-suaviza-x-200-ml/p</t>
        </is>
      </c>
    </row>
    <row r="352">
      <c r="A352" s="6" t="inlineStr">
        <is>
          <t>Farmacity</t>
        </is>
      </c>
      <c r="B352" s="6" t="n">
        <v>422</v>
      </c>
      <c r="C352" s="6" t="n">
        <v>45346</v>
      </c>
      <c r="D352" s="6" t="inlineStr">
        <is>
          <t>Jabón Líquido Johnson's Baby Glicerina x 200 ml</t>
        </is>
      </c>
      <c r="E352" s="6" t="inlineStr">
        <is>
          <t>Johnson's</t>
        </is>
      </c>
      <c r="F352" s="6" t="n">
        <v>3779</v>
      </c>
      <c r="G352" s="6" t="n">
        <v>5399</v>
      </c>
      <c r="H352" s="6" t="b">
        <v>1</v>
      </c>
      <c r="I352" s="6" t="n">
        <v>200</v>
      </c>
      <c r="J352" s="6" t="n">
        <v>18.895</v>
      </c>
      <c r="K352" s="6" t="inlineStr">
        <is>
          <t>&gt; Bebés &gt; Higiene del Bebé &gt; Baño Del Bebé &gt;</t>
        </is>
      </c>
      <c r="L352" s="6" t="inlineStr">
        <is>
          <t>shampoo</t>
        </is>
      </c>
      <c r="M352" s="6" t="inlineStr">
        <is>
          <t>estandar</t>
        </is>
      </c>
      <c r="N352" s="6" t="inlineStr">
        <is>
          <t>general</t>
        </is>
      </c>
      <c r="O352" s="6" t="inlineStr">
        <is>
          <t>https://www.farmacity.com/jabon-liquido-de-glicerina-con-vitamina-e-x-200-ml/p</t>
        </is>
      </c>
    </row>
    <row r="353">
      <c r="A353" t="inlineStr">
        <is>
          <t>Farmacity</t>
        </is>
      </c>
      <c r="B353" t="n">
        <v>14976</v>
      </c>
      <c r="C353" t="n">
        <v>139290</v>
      </c>
      <c r="D353" t="inlineStr">
        <is>
          <t>Colonia Fresca Johnson’s Caricia x 200 ml</t>
        </is>
      </c>
      <c r="E353" t="inlineStr">
        <is>
          <t>Johnson's</t>
        </is>
      </c>
      <c r="F353" t="n">
        <v>5484</v>
      </c>
      <c r="G353" t="n">
        <v>7835</v>
      </c>
      <c r="H353" t="b">
        <v>1</v>
      </c>
      <c r="I353" t="n">
        <v>200</v>
      </c>
      <c r="J353" t="n">
        <v>27.42</v>
      </c>
      <c r="K353" t="inlineStr">
        <is>
          <t>&gt; Bebés &gt; Higiene del Bebé &gt; Fragancias de Bebés y Niños &gt;</t>
        </is>
      </c>
      <c r="L353" t="inlineStr">
        <is>
          <t>shampoo</t>
        </is>
      </c>
      <c r="M353" t="inlineStr">
        <is>
          <t>estandar</t>
        </is>
      </c>
      <c r="N353" t="inlineStr">
        <is>
          <t>general</t>
        </is>
      </c>
      <c r="O353" t="inlineStr">
        <is>
          <t>https://www.farmacity.com/colonia-fresca-caricia-suave-para-la-piel-x-200-ml/p</t>
        </is>
      </c>
    </row>
    <row r="354">
      <c r="A354" s="6" t="inlineStr">
        <is>
          <t>Farmacity</t>
        </is>
      </c>
      <c r="B354" s="6" t="n">
        <v>214579</v>
      </c>
      <c r="C354" s="6" t="n">
        <v>214579</v>
      </c>
      <c r="D354" s="6" t="inlineStr">
        <is>
          <t>Jabón en Barra Johnson's Glicerina x 80 g</t>
        </is>
      </c>
      <c r="E354" s="6" t="inlineStr">
        <is>
          <t>Johnson's</t>
        </is>
      </c>
      <c r="F354" s="6" t="n">
        <v>1438</v>
      </c>
      <c r="G354" s="6" t="n">
        <v>2054</v>
      </c>
      <c r="H354" s="6" t="b">
        <v>1</v>
      </c>
      <c r="I354" s="6" t="n">
        <v>80</v>
      </c>
      <c r="J354" s="6" t="n">
        <v>17.975</v>
      </c>
      <c r="K354" s="6" t="inlineStr">
        <is>
          <t>&gt; Bebés &gt; Higiene del Bebé &gt; Baño Del Bebé &gt;</t>
        </is>
      </c>
      <c r="L354" s="6" t="inlineStr">
        <is>
          <t>shampoo</t>
        </is>
      </c>
      <c r="M354" s="6" t="inlineStr">
        <is>
          <t>estandar</t>
        </is>
      </c>
      <c r="N354" s="6" t="inlineStr">
        <is>
          <t>general</t>
        </is>
      </c>
      <c r="O354" s="6" t="inlineStr">
        <is>
          <t>https://www.farmacity.com/jabon-en-barra-johnsons-glicerina-x-80-g/p</t>
        </is>
      </c>
    </row>
    <row r="355">
      <c r="A355" t="inlineStr">
        <is>
          <t>Farmacity</t>
        </is>
      </c>
      <c r="B355" t="n">
        <v>228240</v>
      </c>
      <c r="C355" t="n">
        <v>228240</v>
      </c>
      <c r="D355" t="inlineStr">
        <is>
          <t>Crema Hidratante para Bebé Johnson's x 200 ml</t>
        </is>
      </c>
      <c r="E355" t="inlineStr">
        <is>
          <t>Johnson's</t>
        </is>
      </c>
      <c r="F355" t="n">
        <v>3847</v>
      </c>
      <c r="G355" t="n">
        <v>5496</v>
      </c>
      <c r="H355" t="b">
        <v>1</v>
      </c>
      <c r="I355" t="n">
        <v>200</v>
      </c>
      <c r="J355" t="n">
        <v>19.235</v>
      </c>
      <c r="K355" t="inlineStr">
        <is>
          <t>&gt; Bebés &gt; Higiene del Bebé &gt; Óleos y Algodón &gt;</t>
        </is>
      </c>
      <c r="L355" t="inlineStr">
        <is>
          <t>shampoo</t>
        </is>
      </c>
      <c r="M355" t="inlineStr">
        <is>
          <t>estandar</t>
        </is>
      </c>
      <c r="N355" t="inlineStr">
        <is>
          <t>seco_danado</t>
        </is>
      </c>
      <c r="O355" t="inlineStr">
        <is>
          <t>https://www.farmacity.com/crema-corporal-johnsons-baby-rosa-x-200-ml/p</t>
        </is>
      </c>
    </row>
    <row r="356">
      <c r="A356" s="6" t="inlineStr">
        <is>
          <t>Farmacity</t>
        </is>
      </c>
      <c r="B356" s="6" t="n">
        <v>227717</v>
      </c>
      <c r="C356" s="6" t="n">
        <v>227717</v>
      </c>
      <c r="D356" s="6" t="inlineStr">
        <is>
          <t>Pila para Audífonos Duracel Tamaño 10 Blister x 6 u</t>
        </is>
      </c>
      <c r="E356" s="6" t="inlineStr">
        <is>
          <t>Duracell</t>
        </is>
      </c>
      <c r="F356" s="6" t="n">
        <v>12520</v>
      </c>
      <c r="G356" s="6" t="n">
        <v>12520</v>
      </c>
      <c r="H356" s="6" t="b">
        <v>1</v>
      </c>
      <c r="I356" s="6" t="inlineStr"/>
      <c r="J356" s="6" t="inlineStr"/>
      <c r="K356" s="6" t="inlineStr">
        <is>
          <t>&gt; Hogar y Alimentos &gt; Electrónica y Pilas &gt; Pilas &gt;</t>
        </is>
      </c>
      <c r="L356" s="6" t="inlineStr">
        <is>
          <t>shampoo</t>
        </is>
      </c>
      <c r="M356" s="6" t="inlineStr">
        <is>
          <t>estandar</t>
        </is>
      </c>
      <c r="N356" s="6" t="inlineStr">
        <is>
          <t>general</t>
        </is>
      </c>
      <c r="O356" s="6" t="inlineStr">
        <is>
          <t>https://www.farmacity.com/pila-duracell-auditiva-10-x-6-un/p</t>
        </is>
      </c>
    </row>
    <row r="357">
      <c r="A357" t="inlineStr">
        <is>
          <t>Farmacity</t>
        </is>
      </c>
      <c r="B357" t="n">
        <v>215763</v>
      </c>
      <c r="C357" t="n">
        <v>215763</v>
      </c>
      <c r="D357" t="inlineStr">
        <is>
          <t>Combo Capilatis Argán Natural Oil</t>
        </is>
      </c>
      <c r="E357" t="inlineStr">
        <is>
          <t>Capilatis</t>
        </is>
      </c>
      <c r="F357" t="n">
        <v>17600</v>
      </c>
      <c r="G357" t="n">
        <v>22000</v>
      </c>
      <c r="H357" t="b">
        <v>1</v>
      </c>
      <c r="I357" t="inlineStr"/>
      <c r="J357" t="inlineStr"/>
      <c r="K357" t="inlineStr">
        <is>
          <t>&gt; Cuidado Capilar &gt; Shampoo Y Acondicionador &gt;</t>
        </is>
      </c>
      <c r="L357" t="inlineStr">
        <is>
          <t>shampoo</t>
        </is>
      </c>
      <c r="M357" t="inlineStr">
        <is>
          <t>estandar</t>
        </is>
      </c>
      <c r="N357" t="inlineStr">
        <is>
          <t>general</t>
        </is>
      </c>
      <c r="O357" t="inlineStr">
        <is>
          <t>https://www.farmacity.com/combo-capilatis-argan-natural-oil/p</t>
        </is>
      </c>
    </row>
    <row r="358">
      <c r="A358" s="6" t="inlineStr">
        <is>
          <t>Farmacity</t>
        </is>
      </c>
      <c r="B358" s="6" t="n">
        <v>215758</v>
      </c>
      <c r="C358" s="6" t="n">
        <v>215758</v>
      </c>
      <c r="D358" s="6" t="inlineStr">
        <is>
          <t>Combo Capilatis Iluminador Puro Rubio</t>
        </is>
      </c>
      <c r="E358" s="6" t="inlineStr">
        <is>
          <t>Capilatis</t>
        </is>
      </c>
      <c r="F358" s="6" t="n">
        <v>15520</v>
      </c>
      <c r="G358" s="6" t="n">
        <v>19400</v>
      </c>
      <c r="H358" s="6" t="b">
        <v>1</v>
      </c>
      <c r="I358" s="6" t="inlineStr"/>
      <c r="J358" s="6" t="inlineStr"/>
      <c r="K358" s="6" t="inlineStr">
        <is>
          <t>&gt; Cuidado Capilar &gt; Shampoo Y Acondicionador &gt;</t>
        </is>
      </c>
      <c r="L358" s="6" t="inlineStr">
        <is>
          <t>shampoo</t>
        </is>
      </c>
      <c r="M358" s="6" t="inlineStr">
        <is>
          <t>estandar</t>
        </is>
      </c>
      <c r="N358" s="6" t="inlineStr">
        <is>
          <t>general</t>
        </is>
      </c>
      <c r="O358" s="6" t="inlineStr">
        <is>
          <t>https://www.farmacity.com/combo-capilatis-iluminador-puro-rubio/p</t>
        </is>
      </c>
    </row>
    <row r="359">
      <c r="A359" t="inlineStr">
        <is>
          <t>Farmacity</t>
        </is>
      </c>
      <c r="B359" t="n">
        <v>10028</v>
      </c>
      <c r="C359" t="n">
        <v>157548</v>
      </c>
      <c r="D359" t="inlineStr">
        <is>
          <t>Champú Sellador del Color Biferdil Quinoa x 400 ml</t>
        </is>
      </c>
      <c r="E359" t="inlineStr">
        <is>
          <t>Biferdil</t>
        </is>
      </c>
      <c r="F359" t="n">
        <v>17928</v>
      </c>
      <c r="G359" t="n">
        <v>17928</v>
      </c>
      <c r="H359" t="b">
        <v>1</v>
      </c>
      <c r="I359" t="n">
        <v>400</v>
      </c>
      <c r="J359" t="n">
        <v>44.82</v>
      </c>
      <c r="K359" t="inlineStr">
        <is>
          <t>&gt; Cuidado Capilar &gt; Shampoo Y Acondicionador &gt;</t>
        </is>
      </c>
      <c r="L359" t="inlineStr">
        <is>
          <t>shampoo</t>
        </is>
      </c>
      <c r="M359" t="inlineStr">
        <is>
          <t>estandar</t>
        </is>
      </c>
      <c r="N359" t="inlineStr">
        <is>
          <t>tratado</t>
        </is>
      </c>
      <c r="O359" t="inlineStr">
        <is>
          <t>https://www.farmacity.com/champu-sellador-del-color-quinoa-y-filtro-solar-uv-x-400-ml/p</t>
        </is>
      </c>
    </row>
    <row r="360">
      <c r="A360" s="6" t="inlineStr">
        <is>
          <t>Farmacity</t>
        </is>
      </c>
      <c r="B360" s="6" t="n">
        <v>2220338</v>
      </c>
      <c r="C360" s="6" t="n">
        <v>240274</v>
      </c>
      <c r="D360" s="6" t="inlineStr">
        <is>
          <t>Kit Rutina Completa L'Oreal Paris Elvive Glycolic Gloss Brillo Intenso</t>
        </is>
      </c>
      <c r="E360" s="6" t="inlineStr">
        <is>
          <t>Elvive</t>
        </is>
      </c>
      <c r="F360" s="6" t="n">
        <v>34296</v>
      </c>
      <c r="G360" s="6" t="n">
        <v>57160</v>
      </c>
      <c r="H360" s="6" t="b">
        <v>1</v>
      </c>
      <c r="I360" s="6" t="inlineStr"/>
      <c r="J360" s="6" t="inlineStr"/>
      <c r="K360" s="6" t="inlineStr">
        <is>
          <t>&gt; Cuidado Capilar &gt; Shampoo Y Acondicionador &gt;</t>
        </is>
      </c>
      <c r="L360" s="6" t="inlineStr">
        <is>
          <t>tratamiento</t>
        </is>
      </c>
      <c r="M360" s="6" t="inlineStr">
        <is>
          <t>profesional</t>
        </is>
      </c>
      <c r="N360" s="6" t="inlineStr">
        <is>
          <t>general</t>
        </is>
      </c>
      <c r="O360" s="6" t="inlineStr">
        <is>
          <t>https://www.farmacity.com/combo-elvive-glyco-gloss-shampoo-400-ml-acondicionador-400-ml-mascarilla-reconstructora-400-ml-serum-100-ml/p</t>
        </is>
      </c>
    </row>
    <row r="361">
      <c r="A361" t="inlineStr">
        <is>
          <t>Farmacity</t>
        </is>
      </c>
      <c r="B361" t="n">
        <v>237370</v>
      </c>
      <c r="C361" t="n">
        <v>237370</v>
      </c>
      <c r="D361" t="inlineStr">
        <is>
          <t>Crema Hidratante para Bebé Johnson's para Antes de Dormir x 200 ml</t>
        </is>
      </c>
      <c r="E361" t="inlineStr">
        <is>
          <t>Johnson's</t>
        </is>
      </c>
      <c r="F361" t="n">
        <v>3851</v>
      </c>
      <c r="G361" t="n">
        <v>5501</v>
      </c>
      <c r="H361" t="b">
        <v>1</v>
      </c>
      <c r="I361" t="n">
        <v>200</v>
      </c>
      <c r="J361" t="n">
        <v>19.255</v>
      </c>
      <c r="K361" t="inlineStr">
        <is>
          <t>&gt; Bebés &gt; Higiene del Bebé &gt; Óleos y Algodón &gt;</t>
        </is>
      </c>
      <c r="L361" t="inlineStr">
        <is>
          <t>shampoo</t>
        </is>
      </c>
      <c r="M361" t="inlineStr">
        <is>
          <t>estandar</t>
        </is>
      </c>
      <c r="N361" t="inlineStr">
        <is>
          <t>seco_danado</t>
        </is>
      </c>
      <c r="O361" t="inlineStr">
        <is>
          <t>https://www.farmacity.com/crema-johnson-baby-antes-de-dormir-x-200-ml/p</t>
        </is>
      </c>
    </row>
    <row r="362">
      <c r="A362" s="6" t="inlineStr">
        <is>
          <t>Farmacity</t>
        </is>
      </c>
      <c r="B362" s="6" t="n">
        <v>215762</v>
      </c>
      <c r="C362" s="6" t="n">
        <v>215762</v>
      </c>
      <c r="D362" s="6" t="inlineStr">
        <is>
          <t>Combo Capilatis Anticaída Ortiga Tratante</t>
        </is>
      </c>
      <c r="E362" s="6" t="inlineStr">
        <is>
          <t>Capilatis</t>
        </is>
      </c>
      <c r="F362" s="6" t="n">
        <v>15520</v>
      </c>
      <c r="G362" s="6" t="n">
        <v>19400</v>
      </c>
      <c r="H362" s="6" t="b">
        <v>1</v>
      </c>
      <c r="I362" s="6" t="inlineStr"/>
      <c r="J362" s="6" t="inlineStr"/>
      <c r="K362" s="6" t="inlineStr">
        <is>
          <t>&gt; Cuidado Capilar &gt; Shampoo Y Acondicionador &gt;</t>
        </is>
      </c>
      <c r="L362" s="6" t="inlineStr">
        <is>
          <t>shampoo</t>
        </is>
      </c>
      <c r="M362" s="6" t="inlineStr">
        <is>
          <t>estandar</t>
        </is>
      </c>
      <c r="N362" s="6" t="inlineStr">
        <is>
          <t>general</t>
        </is>
      </c>
      <c r="O362" s="6" t="inlineStr">
        <is>
          <t>https://www.farmacity.com/combo-capilatis-anticaida-ortiga-tratante/p</t>
        </is>
      </c>
    </row>
    <row r="363">
      <c r="A363" t="inlineStr">
        <is>
          <t>Farmacity</t>
        </is>
      </c>
      <c r="B363" t="n">
        <v>215761</v>
      </c>
      <c r="C363" t="n">
        <v>215761</v>
      </c>
      <c r="D363" t="inlineStr">
        <is>
          <t>Combo Capilatis Anticaída Ortiga Graso</t>
        </is>
      </c>
      <c r="E363" t="inlineStr">
        <is>
          <t>Capilatis</t>
        </is>
      </c>
      <c r="F363" t="n">
        <v>15520</v>
      </c>
      <c r="G363" t="n">
        <v>19400</v>
      </c>
      <c r="H363" t="b">
        <v>1</v>
      </c>
      <c r="I363" t="inlineStr"/>
      <c r="J363" t="inlineStr"/>
      <c r="K363" t="inlineStr">
        <is>
          <t>&gt; Cuidado Capilar &gt; Shampoo Y Acondicionador &gt;</t>
        </is>
      </c>
      <c r="L363" t="inlineStr">
        <is>
          <t>shampoo</t>
        </is>
      </c>
      <c r="M363" t="inlineStr">
        <is>
          <t>estandar</t>
        </is>
      </c>
      <c r="N363" t="inlineStr">
        <is>
          <t>graso</t>
        </is>
      </c>
      <c r="O363" t="inlineStr">
        <is>
          <t>https://www.farmacity.com/combo-capilatis-anticaida-ortiga-graso/p</t>
        </is>
      </c>
    </row>
    <row r="364">
      <c r="A364" s="6" t="inlineStr">
        <is>
          <t>Farmacity</t>
        </is>
      </c>
      <c r="B364" s="6" t="n">
        <v>244698</v>
      </c>
      <c r="C364" s="6" t="n">
        <v>244698</v>
      </c>
      <c r="D364" s="6" t="inlineStr">
        <is>
          <t>Crema Tratamiento Elvive Dream Liso x 300 g</t>
        </is>
      </c>
      <c r="E364" s="6" t="inlineStr">
        <is>
          <t>Elvive</t>
        </is>
      </c>
      <c r="F364" s="6" t="n">
        <v>12190</v>
      </c>
      <c r="G364" s="6" t="n">
        <v>12190</v>
      </c>
      <c r="H364" s="6" t="b">
        <v>1</v>
      </c>
      <c r="I364" s="6" t="n">
        <v>300</v>
      </c>
      <c r="J364" s="6" t="n">
        <v>40.6333</v>
      </c>
      <c r="K364" s="6" t="inlineStr">
        <is>
          <t>&gt; Cuidado Capilar &gt; Reparación Y Tratamiento &gt;</t>
        </is>
      </c>
      <c r="L364" s="6" t="inlineStr">
        <is>
          <t>tratamiento</t>
        </is>
      </c>
      <c r="M364" s="6" t="inlineStr">
        <is>
          <t>profesional</t>
        </is>
      </c>
      <c r="N364" s="6" t="inlineStr">
        <is>
          <t>general</t>
        </is>
      </c>
      <c r="O364" s="6" t="inlineStr">
        <is>
          <t>https://www.farmacity.com/crema-tratamiento-elvive-dream-liso-x-300-g/p</t>
        </is>
      </c>
    </row>
    <row r="365">
      <c r="A365" t="inlineStr">
        <is>
          <t>Farmacity</t>
        </is>
      </c>
      <c r="B365" t="n">
        <v>245995</v>
      </c>
      <c r="C365" t="n">
        <v>245995</v>
      </c>
      <c r="D365" t="inlineStr">
        <is>
          <t>Combo Pantene 3 MM Acondicionador Nutrición + Acondicionador Hidratación</t>
        </is>
      </c>
      <c r="E365" t="inlineStr">
        <is>
          <t>Pantene</t>
        </is>
      </c>
      <c r="F365" t="n">
        <v>19294</v>
      </c>
      <c r="G365" t="n">
        <v>19294</v>
      </c>
      <c r="H365" t="b">
        <v>1</v>
      </c>
      <c r="I365" t="inlineStr"/>
      <c r="J365" t="inlineStr"/>
      <c r="K365" t="inlineStr">
        <is>
          <t>&gt; Cuidado Capilar &gt; Shampoo Y Acondicionador &gt;</t>
        </is>
      </c>
      <c r="L365" t="inlineStr">
        <is>
          <t>acondicionador</t>
        </is>
      </c>
      <c r="M365" t="inlineStr">
        <is>
          <t>estandar</t>
        </is>
      </c>
      <c r="N365" t="inlineStr">
        <is>
          <t>seco_danado</t>
        </is>
      </c>
      <c r="O365" t="inlineStr">
        <is>
          <t>https://www.farmacity.com/combo-pantene-3-mm-acondicionador-nutricion-acondicionador-hidratacion/p</t>
        </is>
      </c>
    </row>
    <row r="366">
      <c r="A366" s="6" t="inlineStr">
        <is>
          <t>Farmacity</t>
        </is>
      </c>
      <c r="B366" s="6" t="n">
        <v>247954</v>
      </c>
      <c r="C366" s="6" t="n">
        <v>247954</v>
      </c>
      <c r="D366" s="6" t="inlineStr">
        <is>
          <t>Combo Pantene Colágeno x 510 ml</t>
        </is>
      </c>
      <c r="E366" s="6" t="inlineStr">
        <is>
          <t>Pantene</t>
        </is>
      </c>
      <c r="F366" s="6" t="n">
        <v>62870</v>
      </c>
      <c r="G366" s="6" t="n">
        <v>62870</v>
      </c>
      <c r="H366" s="6" t="b">
        <v>1</v>
      </c>
      <c r="I366" s="6" t="n">
        <v>510</v>
      </c>
      <c r="J366" s="6" t="n">
        <v>123.2745</v>
      </c>
      <c r="K366" s="6" t="inlineStr">
        <is>
          <t>&gt; Cuidado Capilar &gt; Shampoo Y Acondicionador &gt;</t>
        </is>
      </c>
      <c r="L366" s="6" t="inlineStr">
        <is>
          <t>shampoo</t>
        </is>
      </c>
      <c r="M366" s="6" t="inlineStr">
        <is>
          <t>estandar</t>
        </is>
      </c>
      <c r="N366" s="6" t="inlineStr">
        <is>
          <t>general</t>
        </is>
      </c>
      <c r="O366" s="6" t="inlineStr">
        <is>
          <t>https://www.farmacity.com/combo-pantene-colageno-x-510-ml-1/p</t>
        </is>
      </c>
    </row>
    <row r="367">
      <c r="A367" t="inlineStr">
        <is>
          <t>Farmacity</t>
        </is>
      </c>
      <c r="B367" t="n">
        <v>215760</v>
      </c>
      <c r="C367" t="n">
        <v>215760</v>
      </c>
      <c r="D367" t="inlineStr">
        <is>
          <t>Combo Capilatis Aloe Vera Puro</t>
        </is>
      </c>
      <c r="E367" t="inlineStr">
        <is>
          <t>Capilatis</t>
        </is>
      </c>
      <c r="F367" t="n">
        <v>17600</v>
      </c>
      <c r="G367" t="n">
        <v>22000</v>
      </c>
      <c r="H367" t="b">
        <v>1</v>
      </c>
      <c r="I367" t="inlineStr"/>
      <c r="J367" t="inlineStr"/>
      <c r="K367" t="inlineStr">
        <is>
          <t>&gt; Cuidado Capilar &gt; Shampoo Y Acondicionador &gt;</t>
        </is>
      </c>
      <c r="L367" t="inlineStr">
        <is>
          <t>shampoo</t>
        </is>
      </c>
      <c r="M367" t="inlineStr">
        <is>
          <t>estandar</t>
        </is>
      </c>
      <c r="N367" t="inlineStr">
        <is>
          <t>general</t>
        </is>
      </c>
      <c r="O367" t="inlineStr">
        <is>
          <t>https://www.farmacity.com/combo-capilatis-aloe-vera-puro/p</t>
        </is>
      </c>
    </row>
    <row r="368">
      <c r="A368" s="6" t="inlineStr">
        <is>
          <t>Farmacity</t>
        </is>
      </c>
      <c r="B368" s="6" t="n">
        <v>247952</v>
      </c>
      <c r="C368" s="6" t="n">
        <v>247952</v>
      </c>
      <c r="D368" s="6" t="inlineStr">
        <is>
          <t>Combo Pantene Keratina x 510 ml</t>
        </is>
      </c>
      <c r="E368" s="6" t="inlineStr">
        <is>
          <t>Pantene</t>
        </is>
      </c>
      <c r="F368" s="6" t="n">
        <v>54463</v>
      </c>
      <c r="G368" s="6" t="n">
        <v>54463</v>
      </c>
      <c r="H368" s="6" t="b">
        <v>1</v>
      </c>
      <c r="I368" s="6" t="n">
        <v>510</v>
      </c>
      <c r="J368" s="6" t="n">
        <v>106.7902</v>
      </c>
      <c r="K368" s="6" t="inlineStr">
        <is>
          <t>&gt; Cuidado Capilar &gt; Shampoo Y Acondicionador &gt;</t>
        </is>
      </c>
      <c r="L368" s="6" t="inlineStr">
        <is>
          <t>shampoo</t>
        </is>
      </c>
      <c r="M368" s="6" t="inlineStr">
        <is>
          <t>estandar</t>
        </is>
      </c>
      <c r="N368" s="6" t="inlineStr">
        <is>
          <t>tratado</t>
        </is>
      </c>
      <c r="O368" s="6" t="inlineStr">
        <is>
          <t>https://www.farmacity.com/combo-pantene-keratina-x-510-ml/p</t>
        </is>
      </c>
    </row>
    <row r="369">
      <c r="A369" t="inlineStr">
        <is>
          <t>Farmacity</t>
        </is>
      </c>
      <c r="B369" t="n">
        <v>244697</v>
      </c>
      <c r="C369" t="n">
        <v>244697</v>
      </c>
      <c r="D369" t="inlineStr">
        <is>
          <t>Crema para Peinar Elvive Dream Liso x 250 ml</t>
        </is>
      </c>
      <c r="E369" t="inlineStr">
        <is>
          <t>Elvive</t>
        </is>
      </c>
      <c r="F369" t="n">
        <v>9990</v>
      </c>
      <c r="G369" t="n">
        <v>9990</v>
      </c>
      <c r="H369" t="b">
        <v>1</v>
      </c>
      <c r="I369" t="n">
        <v>250</v>
      </c>
      <c r="J369" t="n">
        <v>39.96</v>
      </c>
      <c r="K369" t="inlineStr">
        <is>
          <t>&gt; Cuidado Capilar &gt; Modelado Y Peinado &gt;</t>
        </is>
      </c>
      <c r="L369" t="inlineStr">
        <is>
          <t>shampoo</t>
        </is>
      </c>
      <c r="M369" t="inlineStr">
        <is>
          <t>profesional</t>
        </is>
      </c>
      <c r="N369" t="inlineStr">
        <is>
          <t>general</t>
        </is>
      </c>
      <c r="O369" t="inlineStr">
        <is>
          <t>https://www.farmacity.com/crema-para-peinar-elvive-dream-liso-x-250-ml/p</t>
        </is>
      </c>
    </row>
    <row r="370">
      <c r="A370" s="6" t="inlineStr">
        <is>
          <t>Farmacity</t>
        </is>
      </c>
      <c r="B370" s="6" t="n">
        <v>236058</v>
      </c>
      <c r="C370" s="6" t="n">
        <v>236058</v>
      </c>
      <c r="D370" s="6" t="inlineStr">
        <is>
          <t>Bálsamo Biferdil Óleo de Argán x 200 ml</t>
        </is>
      </c>
      <c r="E370" s="6" t="inlineStr">
        <is>
          <t>Biferdil</t>
        </is>
      </c>
      <c r="F370" s="6" t="n">
        <v>14256</v>
      </c>
      <c r="G370" s="6" t="n">
        <v>14256</v>
      </c>
      <c r="H370" s="6" t="b">
        <v>1</v>
      </c>
      <c r="I370" s="6" t="n">
        <v>200</v>
      </c>
      <c r="J370" s="6" t="n">
        <v>71.28</v>
      </c>
      <c r="K370" s="6" t="inlineStr">
        <is>
          <t>&gt; Cuidado Capilar &gt; Reparación Y Tratamiento &gt;</t>
        </is>
      </c>
      <c r="L370" s="6" t="inlineStr">
        <is>
          <t>shampoo</t>
        </is>
      </c>
      <c r="M370" s="6" t="inlineStr">
        <is>
          <t>estandar</t>
        </is>
      </c>
      <c r="N370" s="6" t="inlineStr">
        <is>
          <t>general</t>
        </is>
      </c>
      <c r="O370" s="6" t="inlineStr">
        <is>
          <t>https://www.farmacity.com/balsam-biferdil-oleo-de-argan-x-200-ml/p</t>
        </is>
      </c>
    </row>
    <row r="371">
      <c r="A371" t="inlineStr">
        <is>
          <t>Farmacity</t>
        </is>
      </c>
      <c r="B371" t="n">
        <v>215759</v>
      </c>
      <c r="C371" t="n">
        <v>215759</v>
      </c>
      <c r="D371" t="inlineStr">
        <is>
          <t>Combo Capilatis Anticaída Concentrado Ortiga</t>
        </is>
      </c>
      <c r="E371" t="inlineStr">
        <is>
          <t>Capilatis</t>
        </is>
      </c>
      <c r="F371" t="n">
        <v>16800</v>
      </c>
      <c r="G371" t="n">
        <v>21000</v>
      </c>
      <c r="H371" t="b">
        <v>1</v>
      </c>
      <c r="I371" t="inlineStr"/>
      <c r="J371" t="inlineStr"/>
      <c r="K371" t="inlineStr">
        <is>
          <t>&gt; Cuidado Capilar &gt; Shampoo Y Acondicionador &gt;</t>
        </is>
      </c>
      <c r="L371" t="inlineStr">
        <is>
          <t>shampoo</t>
        </is>
      </c>
      <c r="M371" t="inlineStr">
        <is>
          <t>estandar</t>
        </is>
      </c>
      <c r="N371" t="inlineStr">
        <is>
          <t>general</t>
        </is>
      </c>
      <c r="O371" t="inlineStr">
        <is>
          <t>https://www.farmacity.com/combo-capilatis-anticaida-concentrado-ortiga/p</t>
        </is>
      </c>
    </row>
    <row r="372">
      <c r="A372" s="6" t="inlineStr">
        <is>
          <t>Farmacity</t>
        </is>
      </c>
      <c r="B372" s="6" t="n">
        <v>212380</v>
      </c>
      <c r="C372" s="6" t="n">
        <v>212380</v>
      </c>
      <c r="D372" s="6" t="inlineStr">
        <is>
          <t>Bálsamo Biferdil Proteínas de Soja x 400 ml</t>
        </is>
      </c>
      <c r="E372" s="6" t="inlineStr">
        <is>
          <t>Biferdil</t>
        </is>
      </c>
      <c r="F372" s="6" t="n">
        <v>13608</v>
      </c>
      <c r="G372" s="6" t="n">
        <v>13608</v>
      </c>
      <c r="H372" s="6" t="b">
        <v>1</v>
      </c>
      <c r="I372" s="6" t="n">
        <v>400</v>
      </c>
      <c r="J372" s="6" t="n">
        <v>34.02</v>
      </c>
      <c r="K372" s="6" t="inlineStr">
        <is>
          <t>&gt; Cuidado Capilar &gt; Reparación Y Tratamiento &gt;</t>
        </is>
      </c>
      <c r="L372" s="6" t="inlineStr">
        <is>
          <t>shampoo</t>
        </is>
      </c>
      <c r="M372" s="6" t="inlineStr">
        <is>
          <t>estandar</t>
        </is>
      </c>
      <c r="N372" s="6" t="inlineStr">
        <is>
          <t>general</t>
        </is>
      </c>
      <c r="O372" s="6" t="inlineStr">
        <is>
          <t>https://www.farmacity.com/balsamo-biferdil-proteinas-de-soja-x-400-ml/p</t>
        </is>
      </c>
    </row>
    <row r="373">
      <c r="A373" t="inlineStr">
        <is>
          <t>Farmacity</t>
        </is>
      </c>
      <c r="B373" t="n">
        <v>245656</v>
      </c>
      <c r="C373" t="n">
        <v>245656</v>
      </c>
      <c r="D373" t="inlineStr">
        <is>
          <t>Combo Óleo Extraordinario Elvive x 100 ml x 2 un</t>
        </is>
      </c>
      <c r="E373" t="inlineStr">
        <is>
          <t>Elvive</t>
        </is>
      </c>
      <c r="F373" t="n">
        <v>39980</v>
      </c>
      <c r="G373" t="n">
        <v>39980</v>
      </c>
      <c r="H373" t="b">
        <v>1</v>
      </c>
      <c r="I373" t="n">
        <v>100</v>
      </c>
      <c r="J373" t="n">
        <v>399.8</v>
      </c>
      <c r="K373" t="inlineStr">
        <is>
          <t>&gt; Cuidado Capilar &gt; Reparación Y Tratamiento &gt;</t>
        </is>
      </c>
      <c r="L373" t="inlineStr">
        <is>
          <t>shampoo</t>
        </is>
      </c>
      <c r="M373" t="inlineStr">
        <is>
          <t>profesional</t>
        </is>
      </c>
      <c r="N373" t="inlineStr">
        <is>
          <t>general</t>
        </is>
      </c>
      <c r="O373" t="inlineStr">
        <is>
          <t>https://www.farmacity.com/combo-oleo-extraordinario-elvive-x-100-ml-x-2-un/p</t>
        </is>
      </c>
    </row>
    <row r="374">
      <c r="A374" s="6" t="inlineStr">
        <is>
          <t>Farmacity</t>
        </is>
      </c>
      <c r="B374" s="6" t="n">
        <v>248554</v>
      </c>
      <c r="C374" s="6" t="n">
        <v>248554</v>
      </c>
      <c r="D374" s="6" t="inlineStr">
        <is>
          <t>Acondicionador Elvive Glycolic Cristal x 400 ml</t>
        </is>
      </c>
      <c r="E374" s="6" t="inlineStr">
        <is>
          <t>Elvive</t>
        </is>
      </c>
      <c r="F374" s="6" t="n">
        <v>7494</v>
      </c>
      <c r="G374" s="6" t="n">
        <v>12490</v>
      </c>
      <c r="H374" s="6" t="b">
        <v>1</v>
      </c>
      <c r="I374" s="6" t="n">
        <v>400</v>
      </c>
      <c r="J374" s="6" t="n">
        <v>18.735</v>
      </c>
      <c r="K374" s="6" t="inlineStr">
        <is>
          <t>&gt; Cuidado Capilar &gt; Shampoo Y Acondicionador &gt;</t>
        </is>
      </c>
      <c r="L374" s="6" t="inlineStr">
        <is>
          <t>acondicionador</t>
        </is>
      </c>
      <c r="M374" s="6" t="inlineStr">
        <is>
          <t>profesional</t>
        </is>
      </c>
      <c r="N374" s="6" t="inlineStr">
        <is>
          <t>general</t>
        </is>
      </c>
      <c r="O374" s="6" t="inlineStr">
        <is>
          <t>https://www.farmacity.com/acondicionador--glycolic-cristal-x-400-ml/p</t>
        </is>
      </c>
    </row>
    <row r="375">
      <c r="A375" t="inlineStr">
        <is>
          <t>Farmacity</t>
        </is>
      </c>
      <c r="B375" t="n">
        <v>241717</v>
      </c>
      <c r="C375" t="n">
        <v>241717</v>
      </c>
      <c r="D375" t="inlineStr">
        <is>
          <t>Kit Capilar Dove Óleo Nutrición</t>
        </is>
      </c>
      <c r="E375" t="inlineStr">
        <is>
          <t>Dove</t>
        </is>
      </c>
      <c r="F375" t="n">
        <v>15984</v>
      </c>
      <c r="G375" t="n">
        <v>29062</v>
      </c>
      <c r="H375" t="b">
        <v>1</v>
      </c>
      <c r="I375" t="inlineStr"/>
      <c r="J375" t="inlineStr"/>
      <c r="K375" t="inlineStr">
        <is>
          <t>&gt; Cuidado Capilar &gt; Shampoo Y Acondicionador &gt;</t>
        </is>
      </c>
      <c r="L375" t="inlineStr">
        <is>
          <t>tratamiento</t>
        </is>
      </c>
      <c r="M375" t="inlineStr">
        <is>
          <t>estandar</t>
        </is>
      </c>
      <c r="N375" t="inlineStr">
        <is>
          <t>general</t>
        </is>
      </c>
      <c r="O375" t="inlineStr">
        <is>
          <t>https://www.farmacity.com/combo-capilar-dove-oleo-nutricion/p</t>
        </is>
      </c>
    </row>
    <row r="376">
      <c r="A376" s="6" t="inlineStr">
        <is>
          <t>Farmacity</t>
        </is>
      </c>
      <c r="B376" s="6" t="n">
        <v>215768</v>
      </c>
      <c r="C376" s="6" t="n">
        <v>215768</v>
      </c>
      <c r="D376" s="6" t="inlineStr">
        <is>
          <t>Combo Capilatis Brillo Extremo</t>
        </is>
      </c>
      <c r="E376" s="6" t="inlineStr">
        <is>
          <t>Capilatis</t>
        </is>
      </c>
      <c r="F376" s="6" t="n">
        <v>15520</v>
      </c>
      <c r="G376" s="6" t="n">
        <v>19400</v>
      </c>
      <c r="H376" s="6" t="b">
        <v>1</v>
      </c>
      <c r="I376" s="6" t="inlineStr"/>
      <c r="J376" s="6" t="inlineStr"/>
      <c r="K376" s="6" t="inlineStr">
        <is>
          <t>&gt; Cuidado Capilar &gt; Shampoo Y Acondicionador &gt;</t>
        </is>
      </c>
      <c r="L376" s="6" t="inlineStr">
        <is>
          <t>shampoo</t>
        </is>
      </c>
      <c r="M376" s="6" t="inlineStr">
        <is>
          <t>estandar</t>
        </is>
      </c>
      <c r="N376" s="6" t="inlineStr">
        <is>
          <t>general</t>
        </is>
      </c>
      <c r="O376" s="6" t="inlineStr">
        <is>
          <t>https://www.farmacity.com/combo-capilatis-brillo-extremo/p</t>
        </is>
      </c>
    </row>
    <row r="377">
      <c r="A377" t="inlineStr">
        <is>
          <t>Farmacity</t>
        </is>
      </c>
      <c r="B377" t="n">
        <v>246647</v>
      </c>
      <c r="C377" t="n">
        <v>246647</v>
      </c>
      <c r="D377" t="inlineStr">
        <is>
          <t>Acondicionador Pantene Bamboo x 250 ml</t>
        </is>
      </c>
      <c r="E377" t="inlineStr">
        <is>
          <t>Pantene</t>
        </is>
      </c>
      <c r="F377" t="n">
        <v>6137</v>
      </c>
      <c r="G377" t="n">
        <v>10228</v>
      </c>
      <c r="H377" t="b">
        <v>1</v>
      </c>
      <c r="I377" t="n">
        <v>250</v>
      </c>
      <c r="J377" t="n">
        <v>24.548</v>
      </c>
      <c r="K377" t="inlineStr">
        <is>
          <t>&gt; Cuidado Capilar &gt; Shampoo Y Acondicionador &gt;</t>
        </is>
      </c>
      <c r="L377" t="inlineStr">
        <is>
          <t>acondicionador</t>
        </is>
      </c>
      <c r="M377" t="inlineStr">
        <is>
          <t>estandar</t>
        </is>
      </c>
      <c r="N377" t="inlineStr">
        <is>
          <t>general</t>
        </is>
      </c>
      <c r="O377" t="inlineStr">
        <is>
          <t>https://www.farmacity.com/acondicionador-pantene-bamboo-x-250-ml/p</t>
        </is>
      </c>
    </row>
    <row r="378">
      <c r="A378" s="6" t="inlineStr">
        <is>
          <t>Farmacity</t>
        </is>
      </c>
      <c r="B378" s="6" t="n">
        <v>215770</v>
      </c>
      <c r="C378" s="6" t="n">
        <v>215770</v>
      </c>
      <c r="D378" s="6" t="inlineStr">
        <is>
          <t>Combo Capilatis Lifting Capilar</t>
        </is>
      </c>
      <c r="E378" s="6" t="inlineStr">
        <is>
          <t>Capilatis</t>
        </is>
      </c>
      <c r="F378" s="6" t="n">
        <v>20800</v>
      </c>
      <c r="G378" s="6" t="n">
        <v>26000</v>
      </c>
      <c r="H378" s="6" t="b">
        <v>1</v>
      </c>
      <c r="I378" s="6" t="inlineStr"/>
      <c r="J378" s="6" t="inlineStr"/>
      <c r="K378" s="6" t="inlineStr">
        <is>
          <t>&gt; Cuidado Capilar &gt; Shampoo Y Acondicionador &gt;</t>
        </is>
      </c>
      <c r="L378" s="6" t="inlineStr">
        <is>
          <t>shampoo</t>
        </is>
      </c>
      <c r="M378" s="6" t="inlineStr">
        <is>
          <t>estandar</t>
        </is>
      </c>
      <c r="N378" s="6" t="inlineStr">
        <is>
          <t>general</t>
        </is>
      </c>
      <c r="O378" s="6" t="inlineStr">
        <is>
          <t>https://www.farmacity.com/combo-capilatis-lifting-capilar/p</t>
        </is>
      </c>
    </row>
    <row r="379">
      <c r="A379" t="inlineStr">
        <is>
          <t>Farmacity</t>
        </is>
      </c>
      <c r="B379" t="n">
        <v>228552</v>
      </c>
      <c r="C379" t="n">
        <v>228552</v>
      </c>
      <c r="D379" t="inlineStr">
        <is>
          <t>Ampolla Biferdil 1007 Caída Severa x 20 ml</t>
        </is>
      </c>
      <c r="E379" t="inlineStr">
        <is>
          <t>Biferdil</t>
        </is>
      </c>
      <c r="F379" t="n">
        <v>7700</v>
      </c>
      <c r="G379" t="n">
        <v>7700</v>
      </c>
      <c r="H379" t="b">
        <v>1</v>
      </c>
      <c r="I379" t="n">
        <v>20</v>
      </c>
      <c r="J379" t="n">
        <v>385</v>
      </c>
      <c r="K379" t="inlineStr">
        <is>
          <t>&gt; Cuidado Capilar &gt; Reparación Y Tratamiento &gt;</t>
        </is>
      </c>
      <c r="L379" t="inlineStr">
        <is>
          <t>shampoo</t>
        </is>
      </c>
      <c r="M379" t="inlineStr">
        <is>
          <t>estandar</t>
        </is>
      </c>
      <c r="N379" t="inlineStr">
        <is>
          <t>general</t>
        </is>
      </c>
      <c r="O379" t="inlineStr">
        <is>
          <t>https://www.farmacity.com/ampolla-biferdil-1007-caida-severa-x-20-ml/p</t>
        </is>
      </c>
    </row>
    <row r="380">
      <c r="A380" s="6" t="inlineStr">
        <is>
          <t>Farmacity</t>
        </is>
      </c>
      <c r="B380" s="6" t="n">
        <v>4763</v>
      </c>
      <c r="C380" s="6" t="n">
        <v>137831</v>
      </c>
      <c r="D380" s="6" t="inlineStr">
        <is>
          <t>Óleo Extraordinario Elvive x 100 ml</t>
        </is>
      </c>
      <c r="E380" s="6" t="inlineStr">
        <is>
          <t>Elvive</t>
        </is>
      </c>
      <c r="F380" s="6" t="n">
        <v>19990</v>
      </c>
      <c r="G380" s="6" t="n">
        <v>19990</v>
      </c>
      <c r="H380" s="6" t="b">
        <v>1</v>
      </c>
      <c r="I380" s="6" t="n">
        <v>100</v>
      </c>
      <c r="J380" s="6" t="n">
        <v>199.9</v>
      </c>
      <c r="K380" s="6" t="inlineStr">
        <is>
          <t>&gt; Cuidado Capilar &gt; Reparación Y Tratamiento &gt;</t>
        </is>
      </c>
      <c r="L380" s="6" t="inlineStr">
        <is>
          <t>shampoo</t>
        </is>
      </c>
      <c r="M380" s="6" t="inlineStr">
        <is>
          <t>profesional</t>
        </is>
      </c>
      <c r="N380" s="6" t="inlineStr">
        <is>
          <t>general</t>
        </is>
      </c>
      <c r="O380" s="6" t="inlineStr">
        <is>
          <t>https://www.farmacity.com/oleo-extraordinario-x-100-ml/p</t>
        </is>
      </c>
    </row>
    <row r="381">
      <c r="A381" t="inlineStr">
        <is>
          <t>Farmacity</t>
        </is>
      </c>
      <c r="B381" t="n">
        <v>241715</v>
      </c>
      <c r="C381" t="n">
        <v>241715</v>
      </c>
      <c r="D381" t="inlineStr">
        <is>
          <t>Kit Capilar Dove Reconstrucción Completa</t>
        </is>
      </c>
      <c r="E381" t="inlineStr">
        <is>
          <t>Dove</t>
        </is>
      </c>
      <c r="F381" t="n">
        <v>15984</v>
      </c>
      <c r="G381" t="n">
        <v>29062</v>
      </c>
      <c r="H381" t="b">
        <v>1</v>
      </c>
      <c r="I381" t="inlineStr"/>
      <c r="J381" t="inlineStr"/>
      <c r="K381" t="inlineStr">
        <is>
          <t>&gt; Cuidado Capilar &gt; Shampoo Y Acondicionador &gt;</t>
        </is>
      </c>
      <c r="L381" t="inlineStr">
        <is>
          <t>tratamiento</t>
        </is>
      </c>
      <c r="M381" t="inlineStr">
        <is>
          <t>estandar</t>
        </is>
      </c>
      <c r="N381" t="inlineStr">
        <is>
          <t>general</t>
        </is>
      </c>
      <c r="O381" t="inlineStr">
        <is>
          <t>https://www.farmacity.com/combo-capilar-dove-reconstruccion-completa/p</t>
        </is>
      </c>
    </row>
    <row r="382">
      <c r="A382" s="6" t="inlineStr">
        <is>
          <t>Farmacity</t>
        </is>
      </c>
      <c r="B382" s="6" t="n">
        <v>246648</v>
      </c>
      <c r="C382" s="6" t="n">
        <v>246648</v>
      </c>
      <c r="D382" s="6" t="inlineStr">
        <is>
          <t>Acondicionador Pantene Bamboo x 150 ml</t>
        </is>
      </c>
      <c r="E382" s="6" t="inlineStr">
        <is>
          <t>Pantene</t>
        </is>
      </c>
      <c r="F382" s="6" t="n">
        <v>3797</v>
      </c>
      <c r="G382" s="6" t="n">
        <v>6329</v>
      </c>
      <c r="H382" s="6" t="b">
        <v>1</v>
      </c>
      <c r="I382" s="6" t="n">
        <v>150</v>
      </c>
      <c r="J382" s="6" t="n">
        <v>25.3133</v>
      </c>
      <c r="K382" s="6" t="inlineStr">
        <is>
          <t>&gt; Cuidado Capilar &gt; Shampoo Y Acondicionador &gt;</t>
        </is>
      </c>
      <c r="L382" s="6" t="inlineStr">
        <is>
          <t>acondicionador</t>
        </is>
      </c>
      <c r="M382" s="6" t="inlineStr">
        <is>
          <t>estandar</t>
        </is>
      </c>
      <c r="N382" s="6" t="inlineStr">
        <is>
          <t>general</t>
        </is>
      </c>
      <c r="O382" s="6" t="inlineStr">
        <is>
          <t>https://www.farmacity.com/acondicionador-pantene-bamboo-x-150-ml/p</t>
        </is>
      </c>
    </row>
    <row r="383">
      <c r="A383" t="inlineStr">
        <is>
          <t>Farmacity</t>
        </is>
      </c>
      <c r="B383" t="n">
        <v>249147</v>
      </c>
      <c r="C383" t="n">
        <v>249147</v>
      </c>
      <c r="D383" t="inlineStr">
        <is>
          <t>Combo Capilar Alta Moda Hydra Save</t>
        </is>
      </c>
      <c r="E383" t="inlineStr">
        <is>
          <t>Alta Moda</t>
        </is>
      </c>
      <c r="F383" t="n">
        <v>12202</v>
      </c>
      <c r="G383" t="n">
        <v>20337</v>
      </c>
      <c r="H383" t="b">
        <v>1</v>
      </c>
      <c r="I383" t="inlineStr"/>
      <c r="J383" t="inlineStr"/>
      <c r="K383" t="inlineStr">
        <is>
          <t>&gt; Cuidado Capilar &gt; Shampoo Y Acondicionador &gt;</t>
        </is>
      </c>
      <c r="L383" t="inlineStr">
        <is>
          <t>shampoo</t>
        </is>
      </c>
      <c r="M383" t="inlineStr">
        <is>
          <t>estandar</t>
        </is>
      </c>
      <c r="N383" t="inlineStr">
        <is>
          <t>general</t>
        </is>
      </c>
      <c r="O383" t="inlineStr">
        <is>
          <t>https://www.farmacity.com/combo-alta-moda-hydra-save/p</t>
        </is>
      </c>
    </row>
    <row r="384">
      <c r="A384" s="6" t="inlineStr">
        <is>
          <t>Farmacity</t>
        </is>
      </c>
      <c r="B384" s="6" t="n">
        <v>241718</v>
      </c>
      <c r="C384" s="6" t="n">
        <v>241718</v>
      </c>
      <c r="D384" s="6" t="inlineStr">
        <is>
          <t>Kit Capilar Dove Hidratación</t>
        </is>
      </c>
      <c r="E384" s="6" t="inlineStr">
        <is>
          <t>Dove</t>
        </is>
      </c>
      <c r="F384" s="6" t="n">
        <v>15984</v>
      </c>
      <c r="G384" s="6" t="n">
        <v>29062</v>
      </c>
      <c r="H384" s="6" t="b">
        <v>1</v>
      </c>
      <c r="I384" s="6" t="inlineStr"/>
      <c r="J384" s="6" t="inlineStr"/>
      <c r="K384" s="6" t="inlineStr">
        <is>
          <t>&gt; Cuidado Capilar &gt; Shampoo Y Acondicionador &gt;</t>
        </is>
      </c>
      <c r="L384" s="6" t="inlineStr">
        <is>
          <t>tratamiento</t>
        </is>
      </c>
      <c r="M384" s="6" t="inlineStr">
        <is>
          <t>estandar</t>
        </is>
      </c>
      <c r="N384" s="6" t="inlineStr">
        <is>
          <t>seco_danado</t>
        </is>
      </c>
      <c r="O384" s="6" t="inlineStr">
        <is>
          <t>https://www.farmacity.com/combo-capilar-dove-hidratacion/p</t>
        </is>
      </c>
    </row>
    <row r="385">
      <c r="A385" t="inlineStr">
        <is>
          <t>Farmacity</t>
        </is>
      </c>
      <c r="B385" t="n">
        <v>248556</v>
      </c>
      <c r="C385" t="n">
        <v>248556</v>
      </c>
      <c r="D385" t="inlineStr">
        <is>
          <t>Mascarilla Elvive Glycolic Cristal x 300 g</t>
        </is>
      </c>
      <c r="E385" t="inlineStr">
        <is>
          <t>Elvive</t>
        </is>
      </c>
      <c r="F385" t="n">
        <v>12190</v>
      </c>
      <c r="G385" t="n">
        <v>12190</v>
      </c>
      <c r="H385" t="b">
        <v>1</v>
      </c>
      <c r="I385" t="n">
        <v>300</v>
      </c>
      <c r="J385" t="n">
        <v>40.6333</v>
      </c>
      <c r="K385" t="inlineStr">
        <is>
          <t>&gt; Cuidado Capilar &gt; Reparación Y Tratamiento &gt;</t>
        </is>
      </c>
      <c r="L385" t="inlineStr">
        <is>
          <t>tratamiento</t>
        </is>
      </c>
      <c r="M385" t="inlineStr">
        <is>
          <t>profesional</t>
        </is>
      </c>
      <c r="N385" t="inlineStr">
        <is>
          <t>general</t>
        </is>
      </c>
      <c r="O385" t="inlineStr">
        <is>
          <t>https://www.farmacity.com/mascarilla-elvive-glycolic-cristal-x-300-g/p</t>
        </is>
      </c>
    </row>
    <row r="386">
      <c r="A386" s="6" t="inlineStr">
        <is>
          <t>Farmacity</t>
        </is>
      </c>
      <c r="B386" s="6" t="n">
        <v>249149</v>
      </c>
      <c r="C386" s="6" t="n">
        <v>249149</v>
      </c>
      <c r="D386" s="6" t="inlineStr">
        <is>
          <t>Combo Capilar Alta Moda Intense Blond</t>
        </is>
      </c>
      <c r="E386" s="6" t="inlineStr">
        <is>
          <t>Alta Moda</t>
        </is>
      </c>
      <c r="F386" s="6" t="n">
        <v>11874</v>
      </c>
      <c r="G386" s="6" t="n">
        <v>19790</v>
      </c>
      <c r="H386" s="6" t="b">
        <v>1</v>
      </c>
      <c r="I386" s="6" t="inlineStr"/>
      <c r="J386" s="6" t="inlineStr"/>
      <c r="K386" s="6" t="inlineStr">
        <is>
          <t>&gt; Cuidado Capilar &gt; Shampoo Y Acondicionador &gt;</t>
        </is>
      </c>
      <c r="L386" s="6" t="inlineStr">
        <is>
          <t>shampoo</t>
        </is>
      </c>
      <c r="M386" s="6" t="inlineStr">
        <is>
          <t>estandar</t>
        </is>
      </c>
      <c r="N386" s="6" t="inlineStr">
        <is>
          <t>general</t>
        </is>
      </c>
      <c r="O386" s="6" t="inlineStr">
        <is>
          <t>https://www.farmacity.com/combo-alta-moda-intense-blond/p</t>
        </is>
      </c>
    </row>
    <row r="387">
      <c r="A387" t="inlineStr">
        <is>
          <t>Farmacity</t>
        </is>
      </c>
      <c r="B387" t="n">
        <v>247955</v>
      </c>
      <c r="C387" t="n">
        <v>247955</v>
      </c>
      <c r="D387" t="inlineStr">
        <is>
          <t>Combo Pantene Colágeno x 300 ml</t>
        </is>
      </c>
      <c r="E387" t="inlineStr">
        <is>
          <t>Pantene</t>
        </is>
      </c>
      <c r="F387" t="n">
        <v>48693</v>
      </c>
      <c r="G387" t="n">
        <v>48693</v>
      </c>
      <c r="H387" t="b">
        <v>1</v>
      </c>
      <c r="I387" t="n">
        <v>300</v>
      </c>
      <c r="J387" t="n">
        <v>162.31</v>
      </c>
      <c r="K387" t="inlineStr">
        <is>
          <t>&gt; Cuidado Capilar &gt; Shampoo Y Acondicionador &gt;</t>
        </is>
      </c>
      <c r="L387" t="inlineStr">
        <is>
          <t>shampoo</t>
        </is>
      </c>
      <c r="M387" t="inlineStr">
        <is>
          <t>estandar</t>
        </is>
      </c>
      <c r="N387" t="inlineStr">
        <is>
          <t>general</t>
        </is>
      </c>
      <c r="O387" t="inlineStr">
        <is>
          <t>https://www.farmacity.com/combo-pantene-colageno-x-510-ml/p</t>
        </is>
      </c>
    </row>
    <row r="388">
      <c r="A388" s="6" t="inlineStr">
        <is>
          <t>Farmacity</t>
        </is>
      </c>
      <c r="B388" s="6" t="n">
        <v>247953</v>
      </c>
      <c r="C388" s="6" t="n">
        <v>247953</v>
      </c>
      <c r="D388" s="6" t="inlineStr">
        <is>
          <t>Combo Pantene Keratina</t>
        </is>
      </c>
      <c r="E388" s="6" t="inlineStr">
        <is>
          <t>Pantene</t>
        </is>
      </c>
      <c r="F388" s="6" t="n">
        <v>41892</v>
      </c>
      <c r="G388" s="6" t="n">
        <v>41892</v>
      </c>
      <c r="H388" s="6" t="b">
        <v>1</v>
      </c>
      <c r="I388" s="6" t="inlineStr"/>
      <c r="J388" s="6" t="inlineStr"/>
      <c r="K388" s="6" t="inlineStr">
        <is>
          <t>&gt; Cuidado Capilar &gt; Shampoo Y Acondicionador &gt;</t>
        </is>
      </c>
      <c r="L388" s="6" t="inlineStr">
        <is>
          <t>shampoo</t>
        </is>
      </c>
      <c r="M388" s="6" t="inlineStr">
        <is>
          <t>estandar</t>
        </is>
      </c>
      <c r="N388" s="6" t="inlineStr">
        <is>
          <t>tratado</t>
        </is>
      </c>
      <c r="O388" s="6" t="inlineStr">
        <is>
          <t>https://www.farmacity.com/combo-pantene-keratina/p</t>
        </is>
      </c>
    </row>
    <row r="389">
      <c r="A389" t="inlineStr">
        <is>
          <t>Farmacity</t>
        </is>
      </c>
      <c r="B389" t="n">
        <v>221682</v>
      </c>
      <c r="C389" t="n">
        <v>221682</v>
      </c>
      <c r="D389" t="inlineStr">
        <is>
          <t>Acondicionador Elvive Hidra Hialurónico x 400 ml</t>
        </is>
      </c>
      <c r="E389" t="inlineStr">
        <is>
          <t>Elvive</t>
        </is>
      </c>
      <c r="F389" t="n">
        <v>6714</v>
      </c>
      <c r="G389" t="n">
        <v>11190</v>
      </c>
      <c r="H389" t="b">
        <v>1</v>
      </c>
      <c r="I389" t="n">
        <v>400</v>
      </c>
      <c r="J389" t="n">
        <v>16.785</v>
      </c>
      <c r="K389" t="inlineStr">
        <is>
          <t>&gt; Cuidado Capilar &gt; Shampoo Y Acondicionador &gt;</t>
        </is>
      </c>
      <c r="L389" t="inlineStr">
        <is>
          <t>acondicionador</t>
        </is>
      </c>
      <c r="M389" t="inlineStr">
        <is>
          <t>profesional</t>
        </is>
      </c>
      <c r="N389" t="inlineStr">
        <is>
          <t>general</t>
        </is>
      </c>
      <c r="O389" t="inlineStr">
        <is>
          <t>https://www.farmacity.com/acondicionador-elvive-hidra-hialuronico-x-400-ml/p</t>
        </is>
      </c>
    </row>
    <row r="390">
      <c r="A390" s="6" t="inlineStr">
        <is>
          <t>Farmacity</t>
        </is>
      </c>
      <c r="B390" s="6" t="n">
        <v>248553</v>
      </c>
      <c r="C390" s="6" t="n">
        <v>248553</v>
      </c>
      <c r="D390" s="6" t="inlineStr">
        <is>
          <t>Acondicionador Elvive Glycolic Cristal x 200 ml</t>
        </is>
      </c>
      <c r="E390" s="6" t="inlineStr">
        <is>
          <t>Elvive</t>
        </is>
      </c>
      <c r="F390" s="6" t="n">
        <v>7490</v>
      </c>
      <c r="G390" s="6" t="n">
        <v>7490</v>
      </c>
      <c r="H390" s="6" t="b">
        <v>1</v>
      </c>
      <c r="I390" s="6" t="n">
        <v>200</v>
      </c>
      <c r="J390" s="6" t="n">
        <v>37.45</v>
      </c>
      <c r="K390" s="6" t="inlineStr">
        <is>
          <t>&gt; Cuidado Capilar &gt; Shampoo Y Acondicionador &gt;</t>
        </is>
      </c>
      <c r="L390" s="6" t="inlineStr">
        <is>
          <t>acondicionador</t>
        </is>
      </c>
      <c r="M390" s="6" t="inlineStr">
        <is>
          <t>profesional</t>
        </is>
      </c>
      <c r="N390" s="6" t="inlineStr">
        <is>
          <t>general</t>
        </is>
      </c>
      <c r="O390" s="6" t="inlineStr">
        <is>
          <t>https://www.farmacity.com/acondicionador-elvive-glycolic-cristal-x-200-ml/p</t>
        </is>
      </c>
    </row>
    <row r="391">
      <c r="A391" t="inlineStr">
        <is>
          <t>Farmacity</t>
        </is>
      </c>
      <c r="B391" t="n">
        <v>247951</v>
      </c>
      <c r="C391" t="n">
        <v>247951</v>
      </c>
      <c r="D391" t="inlineStr">
        <is>
          <t>Combo Pantene Biotinamina x 510 ml</t>
        </is>
      </c>
      <c r="E391" t="inlineStr">
        <is>
          <t>Pantene</t>
        </is>
      </c>
      <c r="F391" t="n">
        <v>54463</v>
      </c>
      <c r="G391" t="n">
        <v>54463</v>
      </c>
      <c r="H391" t="b">
        <v>1</v>
      </c>
      <c r="I391" t="n">
        <v>510</v>
      </c>
      <c r="J391" t="n">
        <v>106.7902</v>
      </c>
      <c r="K391" t="inlineStr">
        <is>
          <t>&gt; Cuidado Capilar &gt; Shampoo Y Acondicionador &gt;</t>
        </is>
      </c>
      <c r="L391" t="inlineStr">
        <is>
          <t>shampoo</t>
        </is>
      </c>
      <c r="M391" t="inlineStr">
        <is>
          <t>estandar</t>
        </is>
      </c>
      <c r="N391" t="inlineStr">
        <is>
          <t>general</t>
        </is>
      </c>
      <c r="O391" t="inlineStr">
        <is>
          <t>https://www.farmacity.com/combo-pantene-biotinamina-x-510-ml/p</t>
        </is>
      </c>
    </row>
    <row r="392">
      <c r="A392" s="6" t="inlineStr">
        <is>
          <t>Farmacity</t>
        </is>
      </c>
      <c r="B392" s="6" t="n">
        <v>249148</v>
      </c>
      <c r="C392" s="6" t="n">
        <v>249148</v>
      </c>
      <c r="D392" s="6" t="inlineStr">
        <is>
          <t>Combo Capilar Alta Moda Super Oils</t>
        </is>
      </c>
      <c r="E392" s="6" t="inlineStr">
        <is>
          <t>Alta Moda</t>
        </is>
      </c>
      <c r="F392" s="6" t="n">
        <v>19214</v>
      </c>
      <c r="G392" s="6" t="n">
        <v>32023</v>
      </c>
      <c r="H392" s="6" t="b">
        <v>1</v>
      </c>
      <c r="I392" s="6" t="inlineStr"/>
      <c r="J392" s="6" t="inlineStr"/>
      <c r="K392" s="6" t="inlineStr">
        <is>
          <t>&gt; Cuidado Capilar &gt; Shampoo Y Acondicionador &gt;</t>
        </is>
      </c>
      <c r="L392" s="6" t="inlineStr">
        <is>
          <t>shampoo</t>
        </is>
      </c>
      <c r="M392" s="6" t="inlineStr">
        <is>
          <t>estandar</t>
        </is>
      </c>
      <c r="N392" s="6" t="inlineStr">
        <is>
          <t>general</t>
        </is>
      </c>
      <c r="O392" s="6" t="inlineStr">
        <is>
          <t>https://www.farmacity.com/combo-alta-moda-super-oils/p</t>
        </is>
      </c>
    </row>
    <row r="393">
      <c r="A393" t="inlineStr">
        <is>
          <t>Farmacity</t>
        </is>
      </c>
      <c r="B393" t="n">
        <v>246855</v>
      </c>
      <c r="C393" t="n">
        <v>246855</v>
      </c>
      <c r="D393" t="inlineStr">
        <is>
          <t>Acondicionador Ogx Rosemary Mint x 385 ml</t>
        </is>
      </c>
      <c r="E393" t="inlineStr">
        <is>
          <t>OGX</t>
        </is>
      </c>
      <c r="F393" t="n">
        <v>27154</v>
      </c>
      <c r="G393" t="n">
        <v>27154</v>
      </c>
      <c r="H393" t="b">
        <v>1</v>
      </c>
      <c r="I393" t="n">
        <v>385</v>
      </c>
      <c r="J393" t="n">
        <v>70.5299</v>
      </c>
      <c r="K393" t="inlineStr">
        <is>
          <t>&gt; Cuidado Capilar &gt; Shampoo Y Acondicionador &gt;</t>
        </is>
      </c>
      <c r="L393" t="inlineStr">
        <is>
          <t>acondicionador</t>
        </is>
      </c>
      <c r="M393" t="inlineStr">
        <is>
          <t>estandar</t>
        </is>
      </c>
      <c r="N393" t="inlineStr">
        <is>
          <t>general</t>
        </is>
      </c>
      <c r="O393" t="inlineStr">
        <is>
          <t>https://www.farmacity.com/acondicionador-ogx-rosemary-mint-x-385-ml/p</t>
        </is>
      </c>
    </row>
    <row r="394">
      <c r="A394" s="6" t="inlineStr">
        <is>
          <t>Farmacity</t>
        </is>
      </c>
      <c r="B394" s="6" t="n">
        <v>243743</v>
      </c>
      <c r="C394" s="6" t="n">
        <v>243743</v>
      </c>
      <c r="D394" s="6" t="inlineStr">
        <is>
          <t>Combo Capilatis Keratina Hair Therapy</t>
        </is>
      </c>
      <c r="E394" s="6" t="inlineStr">
        <is>
          <t>Capilatis</t>
        </is>
      </c>
      <c r="F394" s="6" t="n">
        <v>22000</v>
      </c>
      <c r="G394" s="6" t="n">
        <v>27500</v>
      </c>
      <c r="H394" s="6" t="b">
        <v>1</v>
      </c>
      <c r="I394" s="6" t="inlineStr"/>
      <c r="J394" s="6" t="inlineStr"/>
      <c r="K394" s="6" t="inlineStr">
        <is>
          <t>&gt; Cuidado Capilar &gt; Shampoo Y Acondicionador &gt;</t>
        </is>
      </c>
      <c r="L394" s="6" t="inlineStr">
        <is>
          <t>shampoo</t>
        </is>
      </c>
      <c r="M394" s="6" t="inlineStr">
        <is>
          <t>estandar</t>
        </is>
      </c>
      <c r="N394" s="6" t="inlineStr">
        <is>
          <t>tratado</t>
        </is>
      </c>
      <c r="O394" s="6" t="inlineStr">
        <is>
          <t>https://www.farmacity.com/combo-capilatis-kerattina-hair-herapy-243743/p</t>
        </is>
      </c>
    </row>
    <row r="395">
      <c r="A395" t="inlineStr">
        <is>
          <t>Farmacity</t>
        </is>
      </c>
      <c r="B395" t="n">
        <v>248755</v>
      </c>
      <c r="C395" t="n">
        <v>248755</v>
      </c>
      <c r="D395" t="inlineStr">
        <is>
          <t>Bálsamo Biferdil Óleo de Argan Nutrición Intensa x 100 ml</t>
        </is>
      </c>
      <c r="E395" t="inlineStr">
        <is>
          <t>Biferdil</t>
        </is>
      </c>
      <c r="F395" t="n">
        <v>9612</v>
      </c>
      <c r="G395" t="n">
        <v>9612</v>
      </c>
      <c r="H395" t="b">
        <v>1</v>
      </c>
      <c r="I395" t="n">
        <v>100</v>
      </c>
      <c r="J395" t="n">
        <v>96.12</v>
      </c>
      <c r="K395" t="inlineStr">
        <is>
          <t>&gt; Cuidado Capilar &gt; Reparación Y Tratamiento &gt;</t>
        </is>
      </c>
      <c r="L395" t="inlineStr">
        <is>
          <t>shampoo</t>
        </is>
      </c>
      <c r="M395" t="inlineStr">
        <is>
          <t>estandar</t>
        </is>
      </c>
      <c r="N395" t="inlineStr">
        <is>
          <t>general</t>
        </is>
      </c>
      <c r="O395" t="inlineStr">
        <is>
          <t>https://www.farmacity.com/balsamo-biferdil-oleo-de-argan-minitalla-x-100-ml/p</t>
        </is>
      </c>
    </row>
    <row r="396">
      <c r="A396" s="6" t="inlineStr">
        <is>
          <t>Farmacity</t>
        </is>
      </c>
      <c r="B396" s="6" t="n">
        <v>250352</v>
      </c>
      <c r="C396" s="6" t="n">
        <v>250352</v>
      </c>
      <c r="D396" s="6" t="inlineStr">
        <is>
          <t>Acondicionador Elvive Collagen Lifter x 200 ml</t>
        </is>
      </c>
      <c r="E396" s="6" t="inlineStr">
        <is>
          <t>Elvive</t>
        </is>
      </c>
      <c r="F396" s="6" t="n">
        <v>7490</v>
      </c>
      <c r="G396" s="6" t="n">
        <v>7490</v>
      </c>
      <c r="H396" s="6" t="b">
        <v>1</v>
      </c>
      <c r="I396" s="6" t="n">
        <v>200</v>
      </c>
      <c r="J396" s="6" t="n">
        <v>37.45</v>
      </c>
      <c r="K396" s="6" t="inlineStr">
        <is>
          <t>&gt; Cuidado Capilar &gt; Shampoo Y Acondicionador &gt;</t>
        </is>
      </c>
      <c r="L396" s="6" t="inlineStr">
        <is>
          <t>acondicionador</t>
        </is>
      </c>
      <c r="M396" s="6" t="inlineStr">
        <is>
          <t>profesional</t>
        </is>
      </c>
      <c r="N396" s="6" t="inlineStr">
        <is>
          <t>general</t>
        </is>
      </c>
      <c r="O396" s="6" t="inlineStr">
        <is>
          <t>https://www.farmacity.com/acondicionador-elvive-colageno-lifter-x-200-ml/p</t>
        </is>
      </c>
    </row>
    <row r="397">
      <c r="A397" t="inlineStr">
        <is>
          <t>Farmacity</t>
        </is>
      </c>
      <c r="B397" t="n">
        <v>250313</v>
      </c>
      <c r="C397" t="n">
        <v>250313</v>
      </c>
      <c r="D397" t="inlineStr">
        <is>
          <t>Acondicionador Kerasys Oriental Premium x 200 ml</t>
        </is>
      </c>
      <c r="E397" t="inlineStr">
        <is>
          <t>Kerasys</t>
        </is>
      </c>
      <c r="F397" t="n">
        <v>34900</v>
      </c>
      <c r="G397" t="n">
        <v>34900</v>
      </c>
      <c r="H397" t="b">
        <v>1</v>
      </c>
      <c r="I397" t="n">
        <v>200</v>
      </c>
      <c r="J397" t="n">
        <v>174.5</v>
      </c>
      <c r="K397" t="inlineStr">
        <is>
          <t>&gt; Cuidado Capilar &gt; Shampoo Y Acondicionador &gt;</t>
        </is>
      </c>
      <c r="L397" t="inlineStr">
        <is>
          <t>acondicionador</t>
        </is>
      </c>
      <c r="M397" t="inlineStr">
        <is>
          <t>estandar</t>
        </is>
      </c>
      <c r="N397" t="inlineStr">
        <is>
          <t>general</t>
        </is>
      </c>
      <c r="O397" t="inlineStr">
        <is>
          <t>https://www.farmacity.com/acondicionador-kerasys-oriental-premium-x-200-ml/p</t>
        </is>
      </c>
    </row>
    <row r="398">
      <c r="A398" s="6" t="inlineStr">
        <is>
          <t>Farmacity</t>
        </is>
      </c>
      <c r="B398" s="6" t="n">
        <v>248555</v>
      </c>
      <c r="C398" s="6" t="n">
        <v>248555</v>
      </c>
      <c r="D398" s="6" t="inlineStr">
        <is>
          <t>Acondicionador Elvive Glycolic Cristal x 750 ml</t>
        </is>
      </c>
      <c r="E398" s="6" t="inlineStr">
        <is>
          <t>Elvive</t>
        </is>
      </c>
      <c r="F398" s="6" t="n">
        <v>19990</v>
      </c>
      <c r="G398" s="6" t="n">
        <v>19990</v>
      </c>
      <c r="H398" s="6" t="b">
        <v>1</v>
      </c>
      <c r="I398" s="6" t="n">
        <v>750</v>
      </c>
      <c r="J398" s="6" t="n">
        <v>26.6533</v>
      </c>
      <c r="K398" s="6" t="inlineStr">
        <is>
          <t>&gt; Cuidado Capilar &gt; Shampoo Y Acondicionador &gt;</t>
        </is>
      </c>
      <c r="L398" s="6" t="inlineStr">
        <is>
          <t>acondicionador</t>
        </is>
      </c>
      <c r="M398" s="6" t="inlineStr">
        <is>
          <t>profesional</t>
        </is>
      </c>
      <c r="N398" s="6" t="inlineStr">
        <is>
          <t>general</t>
        </is>
      </c>
      <c r="O398" s="6" t="inlineStr">
        <is>
          <t>https://www.farmacity.com/acondicionador-elvive-glycolic-cristal-x-750-ml/p</t>
        </is>
      </c>
    </row>
    <row r="399">
      <c r="A399" t="inlineStr">
        <is>
          <t>Farmacity</t>
        </is>
      </c>
      <c r="B399" t="n">
        <v>249372</v>
      </c>
      <c r="C399" t="n">
        <v>249372</v>
      </c>
      <c r="D399" t="inlineStr">
        <is>
          <t>Acondicionador Alta Moda Keratin Impact x 300 ml</t>
        </is>
      </c>
      <c r="E399" t="inlineStr">
        <is>
          <t>Alta Moda</t>
        </is>
      </c>
      <c r="F399" t="n">
        <v>5692</v>
      </c>
      <c r="G399" t="n">
        <v>5692</v>
      </c>
      <c r="H399" t="b">
        <v>1</v>
      </c>
      <c r="I399" t="n">
        <v>300</v>
      </c>
      <c r="J399" t="n">
        <v>18.9733</v>
      </c>
      <c r="K399" t="inlineStr">
        <is>
          <t>&gt; Cuidado Capilar &gt; Shampoo Y Acondicionador &gt;</t>
        </is>
      </c>
      <c r="L399" t="inlineStr">
        <is>
          <t>acondicionador</t>
        </is>
      </c>
      <c r="M399" t="inlineStr">
        <is>
          <t>estandar</t>
        </is>
      </c>
      <c r="N399" t="inlineStr">
        <is>
          <t>general</t>
        </is>
      </c>
      <c r="O399" t="inlineStr">
        <is>
          <t>https://www.farmacity.com/acondicionador-alta-moda-keratin-impact-x-300-ml/p</t>
        </is>
      </c>
    </row>
    <row r="400">
      <c r="A400" s="6" t="inlineStr">
        <is>
          <t>Farmacity</t>
        </is>
      </c>
      <c r="B400" s="6" t="n">
        <v>250354</v>
      </c>
      <c r="C400" s="6" t="n">
        <v>250354</v>
      </c>
      <c r="D400" s="6" t="inlineStr">
        <is>
          <t>Acondicionador Elvive Collagen Lifter x 750 ml</t>
        </is>
      </c>
      <c r="E400" s="6" t="inlineStr">
        <is>
          <t>Elvive</t>
        </is>
      </c>
      <c r="F400" s="6" t="n">
        <v>19990</v>
      </c>
      <c r="G400" s="6" t="n">
        <v>19990</v>
      </c>
      <c r="H400" s="6" t="b">
        <v>1</v>
      </c>
      <c r="I400" s="6" t="n">
        <v>750</v>
      </c>
      <c r="J400" s="6" t="n">
        <v>26.6533</v>
      </c>
      <c r="K400" s="6" t="inlineStr">
        <is>
          <t>&gt; Cuidado Capilar &gt; Shampoo Y Acondicionador &gt;</t>
        </is>
      </c>
      <c r="L400" s="6" t="inlineStr">
        <is>
          <t>acondicionador</t>
        </is>
      </c>
      <c r="M400" s="6" t="inlineStr">
        <is>
          <t>profesional</t>
        </is>
      </c>
      <c r="N400" s="6" t="inlineStr">
        <is>
          <t>general</t>
        </is>
      </c>
      <c r="O400" s="6" t="inlineStr">
        <is>
          <t>https://www.farmacity.com/acondicionador-elvive-colageno-lifter-x-750-ml/p</t>
        </is>
      </c>
    </row>
    <row r="401">
      <c r="A401" t="inlineStr">
        <is>
          <t>Farmacity</t>
        </is>
      </c>
      <c r="B401" t="n">
        <v>250353</v>
      </c>
      <c r="C401" t="n">
        <v>250353</v>
      </c>
      <c r="D401" t="inlineStr">
        <is>
          <t>Acondicionador Elvive Collagen Lifter x 400 ml</t>
        </is>
      </c>
      <c r="E401" t="inlineStr">
        <is>
          <t>Elvive</t>
        </is>
      </c>
      <c r="F401" t="n">
        <v>12490</v>
      </c>
      <c r="G401" t="n">
        <v>12490</v>
      </c>
      <c r="H401" t="b">
        <v>1</v>
      </c>
      <c r="I401" t="n">
        <v>400</v>
      </c>
      <c r="J401" t="n">
        <v>31.225</v>
      </c>
      <c r="K401" t="inlineStr">
        <is>
          <t>&gt; Cuidado Capilar &gt; Shampoo Y Acondicionador &gt;</t>
        </is>
      </c>
      <c r="L401" t="inlineStr">
        <is>
          <t>acondicionador</t>
        </is>
      </c>
      <c r="M401" t="inlineStr">
        <is>
          <t>profesional</t>
        </is>
      </c>
      <c r="N401" t="inlineStr">
        <is>
          <t>general</t>
        </is>
      </c>
      <c r="O401" t="inlineStr">
        <is>
          <t>https://www.farmacity.com/acondicionador-elvive-colageno-lifter-x-400-ml/p</t>
        </is>
      </c>
    </row>
    <row r="402">
      <c r="A402" s="6" t="inlineStr">
        <is>
          <t>Farmacity</t>
        </is>
      </c>
      <c r="B402" s="6" t="n">
        <v>249371</v>
      </c>
      <c r="C402" s="6" t="n">
        <v>249371</v>
      </c>
      <c r="D402" s="6" t="inlineStr">
        <is>
          <t>Crema Tratamiento Alta Moda Keratin Impact x 300 g</t>
        </is>
      </c>
      <c r="E402" s="6" t="inlineStr">
        <is>
          <t>Alta Moda</t>
        </is>
      </c>
      <c r="F402" s="6" t="n">
        <v>7273</v>
      </c>
      <c r="G402" s="6" t="n">
        <v>7273</v>
      </c>
      <c r="H402" s="6" t="b">
        <v>1</v>
      </c>
      <c r="I402" s="6" t="n">
        <v>300</v>
      </c>
      <c r="J402" s="6" t="n">
        <v>24.2433</v>
      </c>
      <c r="K402" s="6" t="inlineStr">
        <is>
          <t>&gt; Cuidado Capilar &gt; Reparación Y Tratamiento &gt;</t>
        </is>
      </c>
      <c r="L402" s="6" t="inlineStr">
        <is>
          <t>tratamiento</t>
        </is>
      </c>
      <c r="M402" s="6" t="inlineStr">
        <is>
          <t>estandar</t>
        </is>
      </c>
      <c r="N402" s="6" t="inlineStr">
        <is>
          <t>general</t>
        </is>
      </c>
      <c r="O402" s="6" t="inlineStr">
        <is>
          <t>https://www.farmacity.com/crema-tratamiento-alta-moda-keratin-impact-x-300-g/p</t>
        </is>
      </c>
    </row>
    <row r="403">
      <c r="A403" t="inlineStr">
        <is>
          <t>Farmacity</t>
        </is>
      </c>
      <c r="B403" t="n">
        <v>247126</v>
      </c>
      <c r="C403" t="n">
        <v>247126</v>
      </c>
      <c r="D403" t="inlineStr">
        <is>
          <t>Acondicionador Pantene Pro-V Restauración x 200 ml</t>
        </is>
      </c>
      <c r="E403" t="inlineStr">
        <is>
          <t>Pantene</t>
        </is>
      </c>
      <c r="F403" t="n">
        <v>4124</v>
      </c>
      <c r="G403" t="n">
        <v>6345</v>
      </c>
      <c r="H403" t="b">
        <v>1</v>
      </c>
      <c r="I403" t="n">
        <v>200</v>
      </c>
      <c r="J403" t="n">
        <v>20.62</v>
      </c>
      <c r="K403" t="inlineStr">
        <is>
          <t>&gt; Cuidado Capilar &gt; Shampoo Y Acondicionador &gt;</t>
        </is>
      </c>
      <c r="L403" t="inlineStr">
        <is>
          <t>acondicionador</t>
        </is>
      </c>
      <c r="M403" t="inlineStr">
        <is>
          <t>profesional</t>
        </is>
      </c>
      <c r="N403" t="inlineStr">
        <is>
          <t>general</t>
        </is>
      </c>
      <c r="O403" t="inlineStr">
        <is>
          <t>https://www.farmacity.com/acondicionador-pantene-pro-v-restauracion-x-200-ml/p</t>
        </is>
      </c>
    </row>
    <row r="404">
      <c r="A404" s="6" t="inlineStr">
        <is>
          <t>Farmacity</t>
        </is>
      </c>
      <c r="B404" s="6" t="n">
        <v>246663</v>
      </c>
      <c r="C404" s="6" t="n">
        <v>246663</v>
      </c>
      <c r="D404" s="6" t="inlineStr">
        <is>
          <t>Acondicionador Herbal Essences Rosemary x 400 ml</t>
        </is>
      </c>
      <c r="E404" s="6" t="inlineStr">
        <is>
          <t>Herbal Essences</t>
        </is>
      </c>
      <c r="F404" s="6" t="n">
        <v>10574</v>
      </c>
      <c r="G404" s="6" t="n">
        <v>16267</v>
      </c>
      <c r="H404" s="6" t="b">
        <v>1</v>
      </c>
      <c r="I404" s="6" t="n">
        <v>400</v>
      </c>
      <c r="J404" s="6" t="n">
        <v>26.435</v>
      </c>
      <c r="K404" s="6" t="inlineStr">
        <is>
          <t>&gt; Cuidado Capilar &gt; Shampoo Y Acondicionador &gt;</t>
        </is>
      </c>
      <c r="L404" s="6" t="inlineStr">
        <is>
          <t>acondicionador</t>
        </is>
      </c>
      <c r="M404" s="6" t="inlineStr">
        <is>
          <t>estandar</t>
        </is>
      </c>
      <c r="N404" s="6" t="inlineStr">
        <is>
          <t>general</t>
        </is>
      </c>
      <c r="O404" s="6" t="inlineStr">
        <is>
          <t>https://www.farmacity.com/acondicionador-herbal-essences-rosemary-x-400-ml/p</t>
        </is>
      </c>
    </row>
    <row r="405">
      <c r="A405" t="inlineStr">
        <is>
          <t>Farmacity</t>
        </is>
      </c>
      <c r="B405" t="n">
        <v>246639</v>
      </c>
      <c r="C405" t="n">
        <v>246639</v>
      </c>
      <c r="D405" t="inlineStr">
        <is>
          <t>Acondicionador Herbal Essences Shine x 400 ml</t>
        </is>
      </c>
      <c r="E405" t="inlineStr">
        <is>
          <t>Herbal Essences</t>
        </is>
      </c>
      <c r="F405" t="n">
        <v>10574</v>
      </c>
      <c r="G405" t="n">
        <v>16267</v>
      </c>
      <c r="H405" t="b">
        <v>1</v>
      </c>
      <c r="I405" t="n">
        <v>400</v>
      </c>
      <c r="J405" t="n">
        <v>26.435</v>
      </c>
      <c r="K405" t="inlineStr">
        <is>
          <t>&gt; Cuidado Capilar &gt; Shampoo Y Acondicionador &gt;</t>
        </is>
      </c>
      <c r="L405" t="inlineStr">
        <is>
          <t>acondicionador</t>
        </is>
      </c>
      <c r="M405" t="inlineStr">
        <is>
          <t>estandar</t>
        </is>
      </c>
      <c r="N405" t="inlineStr">
        <is>
          <t>general</t>
        </is>
      </c>
      <c r="O405" t="inlineStr">
        <is>
          <t>https://www.farmacity.com/acondicionador-herbal-essences-shine-x-400-ml/p</t>
        </is>
      </c>
    </row>
    <row r="406">
      <c r="A406" s="6" t="inlineStr">
        <is>
          <t>Farmacity</t>
        </is>
      </c>
      <c r="B406" s="6" t="n">
        <v>246637</v>
      </c>
      <c r="C406" s="6" t="n">
        <v>246637</v>
      </c>
      <c r="D406" s="6" t="inlineStr">
        <is>
          <t>Acondicionador Herbal Essences Pomelo x 400 ml</t>
        </is>
      </c>
      <c r="E406" s="6" t="inlineStr">
        <is>
          <t>Herbal Essences</t>
        </is>
      </c>
      <c r="F406" s="6" t="n">
        <v>10574</v>
      </c>
      <c r="G406" s="6" t="n">
        <v>16267</v>
      </c>
      <c r="H406" s="6" t="b">
        <v>1</v>
      </c>
      <c r="I406" s="6" t="n">
        <v>400</v>
      </c>
      <c r="J406" s="6" t="n">
        <v>26.435</v>
      </c>
      <c r="K406" s="6" t="inlineStr">
        <is>
          <t>&gt; Cuidado Capilar &gt; Shampoo Y Acondicionador &gt;</t>
        </is>
      </c>
      <c r="L406" s="6" t="inlineStr">
        <is>
          <t>acondicionador</t>
        </is>
      </c>
      <c r="M406" s="6" t="inlineStr">
        <is>
          <t>estandar</t>
        </is>
      </c>
      <c r="N406" s="6" t="inlineStr">
        <is>
          <t>general</t>
        </is>
      </c>
      <c r="O406" s="6" t="inlineStr">
        <is>
          <t>https://www.farmacity.com/acondicionador-herbal-essences-pomelo-x-400-ml/p</t>
        </is>
      </c>
    </row>
    <row r="407">
      <c r="A407" t="inlineStr">
        <is>
          <t>Farmacity</t>
        </is>
      </c>
      <c r="B407" t="n">
        <v>248877</v>
      </c>
      <c r="C407" t="n">
        <v>248877</v>
      </c>
      <c r="D407" t="inlineStr">
        <is>
          <t>Acondicionador Tio Nacho Keratina Vegetal x 415 ml</t>
        </is>
      </c>
      <c r="E407" t="inlineStr">
        <is>
          <t>Tío Nacho</t>
        </is>
      </c>
      <c r="F407" t="n">
        <v>11750</v>
      </c>
      <c r="G407" t="n">
        <v>11750</v>
      </c>
      <c r="H407" t="b">
        <v>1</v>
      </c>
      <c r="I407" t="n">
        <v>415</v>
      </c>
      <c r="J407" t="n">
        <v>28.3133</v>
      </c>
      <c r="K407" t="inlineStr">
        <is>
          <t>&gt; Cuidado Capilar &gt; Shampoo Y Acondicionador &gt;</t>
        </is>
      </c>
      <c r="L407" t="inlineStr">
        <is>
          <t>acondicionador</t>
        </is>
      </c>
      <c r="M407" t="inlineStr">
        <is>
          <t>estandar</t>
        </is>
      </c>
      <c r="N407" t="inlineStr">
        <is>
          <t>tratado</t>
        </is>
      </c>
      <c r="O407" t="inlineStr">
        <is>
          <t>https://www.farmacity.com/acondicionador-tio-nacho-keratina-vegetal-x-415-ml/p</t>
        </is>
      </c>
    </row>
    <row r="408">
      <c r="A408" s="6" t="inlineStr">
        <is>
          <t>Farmacity</t>
        </is>
      </c>
      <c r="B408" s="6" t="n">
        <v>246642</v>
      </c>
      <c r="C408" s="6" t="n">
        <v>246642</v>
      </c>
      <c r="D408" s="6" t="inlineStr">
        <is>
          <t>Acondicionador Herbal Essences Rosa Mosqueta x 400 ml</t>
        </is>
      </c>
      <c r="E408" s="6" t="inlineStr">
        <is>
          <t>Herbal Essences</t>
        </is>
      </c>
      <c r="F408" s="6" t="n">
        <v>10574</v>
      </c>
      <c r="G408" s="6" t="n">
        <v>16267</v>
      </c>
      <c r="H408" s="6" t="b">
        <v>1</v>
      </c>
      <c r="I408" s="6" t="n">
        <v>400</v>
      </c>
      <c r="J408" s="6" t="n">
        <v>26.435</v>
      </c>
      <c r="K408" s="6" t="inlineStr">
        <is>
          <t>&gt; Cuidado Capilar &gt; Shampoo Y Acondicionador &gt;</t>
        </is>
      </c>
      <c r="L408" s="6" t="inlineStr">
        <is>
          <t>acondicionador</t>
        </is>
      </c>
      <c r="M408" s="6" t="inlineStr">
        <is>
          <t>estandar</t>
        </is>
      </c>
      <c r="N408" s="6" t="inlineStr">
        <is>
          <t>general</t>
        </is>
      </c>
      <c r="O408" s="6" t="inlineStr">
        <is>
          <t>https://www.farmacity.com/acondicionador-herbal-essences-rosa-mosqueta-x-400-ml/p</t>
        </is>
      </c>
    </row>
    <row r="409">
      <c r="A409" t="inlineStr">
        <is>
          <t>Farmacity</t>
        </is>
      </c>
      <c r="B409" t="n">
        <v>246644</v>
      </c>
      <c r="C409" t="n">
        <v>246644</v>
      </c>
      <c r="D409" t="inlineStr">
        <is>
          <t>Acondicionador Herbal Essences Rosa Mosqueta x 240 ml</t>
        </is>
      </c>
      <c r="E409" t="inlineStr">
        <is>
          <t>Herbal Essences</t>
        </is>
      </c>
      <c r="F409" t="n">
        <v>8262</v>
      </c>
      <c r="G409" t="n">
        <v>12711</v>
      </c>
      <c r="H409" t="b">
        <v>1</v>
      </c>
      <c r="I409" t="n">
        <v>240</v>
      </c>
      <c r="J409" t="n">
        <v>34.425</v>
      </c>
      <c r="K409" t="inlineStr">
        <is>
          <t>&gt; Cuidado Capilar &gt; Shampoo Y Acondicionador &gt;</t>
        </is>
      </c>
      <c r="L409" t="inlineStr">
        <is>
          <t>acondicionador</t>
        </is>
      </c>
      <c r="M409" t="inlineStr">
        <is>
          <t>estandar</t>
        </is>
      </c>
      <c r="N409" t="inlineStr">
        <is>
          <t>general</t>
        </is>
      </c>
      <c r="O409" t="inlineStr">
        <is>
          <t>https://www.farmacity.com/acondicionador-herbal-essences-rosa-mosqueta-x-240-ml/p</t>
        </is>
      </c>
    </row>
    <row r="410">
      <c r="A410" s="6" t="inlineStr">
        <is>
          <t>Farmacity</t>
        </is>
      </c>
      <c r="B410" s="6" t="n">
        <v>241728</v>
      </c>
      <c r="C410" s="6" t="n">
        <v>241728</v>
      </c>
      <c r="D410" s="6" t="inlineStr">
        <is>
          <t>Kit Capilar Tresemmé Cauterización Reparadora + Hidratación</t>
        </is>
      </c>
      <c r="E410" s="6" t="inlineStr">
        <is>
          <t>Tresemmé</t>
        </is>
      </c>
      <c r="F410" s="6" t="n">
        <v>25282</v>
      </c>
      <c r="G410" s="6" t="n">
        <v>42137</v>
      </c>
      <c r="H410" s="6" t="b">
        <v>1</v>
      </c>
      <c r="I410" s="6" t="inlineStr"/>
      <c r="J410" s="6" t="inlineStr"/>
      <c r="K410" s="6" t="inlineStr">
        <is>
          <t>&gt; Cuidado Capilar &gt; Shampoo Y Acondicionador &gt;</t>
        </is>
      </c>
      <c r="L410" s="6" t="inlineStr">
        <is>
          <t>tratamiento</t>
        </is>
      </c>
      <c r="M410" s="6" t="inlineStr">
        <is>
          <t>estandar</t>
        </is>
      </c>
      <c r="N410" s="6" t="inlineStr">
        <is>
          <t>seco_danado</t>
        </is>
      </c>
      <c r="O410" s="6" t="inlineStr">
        <is>
          <t>https://www.farmacity.com/combo-capilar-tresemme-cauterizacion-reparadora-hidratacion/p</t>
        </is>
      </c>
    </row>
    <row r="411">
      <c r="A411" t="inlineStr">
        <is>
          <t>Farmacity</t>
        </is>
      </c>
      <c r="B411" t="n">
        <v>229152</v>
      </c>
      <c r="C411" t="n">
        <v>229152</v>
      </c>
      <c r="D411" t="inlineStr">
        <is>
          <t>Kit Cuidado Corporal Completo Aveno Piel Sensible</t>
        </is>
      </c>
      <c r="E411" t="inlineStr">
        <is>
          <t>Aveno</t>
        </is>
      </c>
      <c r="F411" t="n">
        <v>93754</v>
      </c>
      <c r="G411" t="n">
        <v>133935</v>
      </c>
      <c r="H411" t="b">
        <v>1</v>
      </c>
      <c r="I411" t="inlineStr"/>
      <c r="J411" t="inlineStr"/>
      <c r="K411" t="inlineStr">
        <is>
          <t>&gt; Cuidado de la Piel &gt; Cuidado Corporal &gt;</t>
        </is>
      </c>
      <c r="L411" t="inlineStr">
        <is>
          <t>tratamiento</t>
        </is>
      </c>
      <c r="M411" t="inlineStr">
        <is>
          <t>estandar</t>
        </is>
      </c>
      <c r="N411" t="inlineStr">
        <is>
          <t>general</t>
        </is>
      </c>
      <c r="O411" t="inlineStr">
        <is>
          <t>https://www.farmacity.com/kit-cuidado-corporal-aveno/p</t>
        </is>
      </c>
    </row>
    <row r="412">
      <c r="A412" s="6" t="inlineStr">
        <is>
          <t>Farmacity</t>
        </is>
      </c>
      <c r="B412" s="6" t="n">
        <v>5313</v>
      </c>
      <c r="C412" s="6" t="n">
        <v>143512</v>
      </c>
      <c r="D412" s="6" t="inlineStr">
        <is>
          <t>Mascarilla Elvive RT Extreme x 300 g</t>
        </is>
      </c>
      <c r="E412" s="6" t="inlineStr">
        <is>
          <t>Elvive</t>
        </is>
      </c>
      <c r="F412" s="6" t="n">
        <v>11190</v>
      </c>
      <c r="G412" s="6" t="n">
        <v>11190</v>
      </c>
      <c r="H412" s="6" t="b">
        <v>1</v>
      </c>
      <c r="I412" s="6" t="n">
        <v>300</v>
      </c>
      <c r="J412" s="6" t="n">
        <v>37.3</v>
      </c>
      <c r="K412" s="6" t="inlineStr">
        <is>
          <t>&gt; Cuidado Capilar &gt; Reparación Y Tratamiento &gt;</t>
        </is>
      </c>
      <c r="L412" s="6" t="inlineStr">
        <is>
          <t>tratamiento</t>
        </is>
      </c>
      <c r="M412" s="6" t="inlineStr">
        <is>
          <t>profesional</t>
        </is>
      </c>
      <c r="N412" s="6" t="inlineStr">
        <is>
          <t>general</t>
        </is>
      </c>
      <c r="O412" s="6" t="inlineStr">
        <is>
          <t>https://www.farmacity.com/crema-de-tratamiento-reparacion-total-extreme-x-300-ml/p</t>
        </is>
      </c>
    </row>
    <row r="413">
      <c r="A413" t="inlineStr">
        <is>
          <t>Farmacity</t>
        </is>
      </c>
      <c r="B413" t="n">
        <v>250195</v>
      </c>
      <c r="C413" t="n">
        <v>250195</v>
      </c>
      <c r="D413" t="inlineStr">
        <is>
          <t>Bálsamo La Puissance Extra Cell Plex Paso 2 x 300 ml</t>
        </is>
      </c>
      <c r="E413" t="inlineStr">
        <is>
          <t>La Puissance</t>
        </is>
      </c>
      <c r="F413" t="n">
        <v>41400</v>
      </c>
      <c r="G413" t="n">
        <v>41400</v>
      </c>
      <c r="H413" t="b">
        <v>1</v>
      </c>
      <c r="I413" t="n">
        <v>300</v>
      </c>
      <c r="J413" t="n">
        <v>138</v>
      </c>
      <c r="K413" t="inlineStr">
        <is>
          <t>&gt; Cuidado Capilar &gt; Shampoo Y Acondicionador &gt;</t>
        </is>
      </c>
      <c r="L413" t="inlineStr">
        <is>
          <t>shampoo</t>
        </is>
      </c>
      <c r="M413" t="inlineStr">
        <is>
          <t>estandar</t>
        </is>
      </c>
      <c r="N413" t="inlineStr">
        <is>
          <t>general</t>
        </is>
      </c>
      <c r="O413" t="inlineStr">
        <is>
          <t>https://www.farmacity.com/balsamo-la-puissance-extra-cell-plex-paso-2-x-300-ml/p</t>
        </is>
      </c>
    </row>
    <row r="414">
      <c r="A414" s="6" t="inlineStr">
        <is>
          <t>Farmacity</t>
        </is>
      </c>
      <c r="B414" s="6" t="n">
        <v>241723</v>
      </c>
      <c r="C414" s="6" t="n">
        <v>241723</v>
      </c>
      <c r="D414" s="6" t="inlineStr">
        <is>
          <t>Kit Capilar Tresemmé Dosificador Liso Efecto Botox + Protección</t>
        </is>
      </c>
      <c r="E414" s="6" t="inlineStr">
        <is>
          <t>Tresemmé</t>
        </is>
      </c>
      <c r="F414" s="6" t="n">
        <v>18047</v>
      </c>
      <c r="G414" s="6" t="n">
        <v>30078</v>
      </c>
      <c r="H414" s="6" t="b">
        <v>1</v>
      </c>
      <c r="I414" s="6" t="inlineStr"/>
      <c r="J414" s="6" t="inlineStr"/>
      <c r="K414" s="6" t="inlineStr">
        <is>
          <t>&gt; Cuidado Capilar &gt; Shampoo Y Acondicionador &gt;</t>
        </is>
      </c>
      <c r="L414" s="6" t="inlineStr">
        <is>
          <t>tratamiento</t>
        </is>
      </c>
      <c r="M414" s="6" t="inlineStr">
        <is>
          <t>estandar</t>
        </is>
      </c>
      <c r="N414" s="6" t="inlineStr">
        <is>
          <t>general</t>
        </is>
      </c>
      <c r="O414" s="6" t="inlineStr">
        <is>
          <t>https://www.farmacity.com/combo-capilar-tresemme-dosificador-liso-efecto-botox-proteccion/p</t>
        </is>
      </c>
    </row>
    <row r="415">
      <c r="A415" t="inlineStr">
        <is>
          <t>Farmacity</t>
        </is>
      </c>
      <c r="B415" t="n">
        <v>243765</v>
      </c>
      <c r="C415" t="n">
        <v>243765</v>
      </c>
      <c r="D415" t="inlineStr">
        <is>
          <t>Combo Capilatis Plex Sérum Sellador de Puntas + Protector Térmico</t>
        </is>
      </c>
      <c r="E415" t="inlineStr">
        <is>
          <t>Capilatis</t>
        </is>
      </c>
      <c r="F415" t="n">
        <v>24320</v>
      </c>
      <c r="G415" t="n">
        <v>30400</v>
      </c>
      <c r="H415" t="b">
        <v>1</v>
      </c>
      <c r="I415" t="inlineStr"/>
      <c r="J415" t="inlineStr"/>
      <c r="K415" t="inlineStr">
        <is>
          <t>&gt; Cuidado Capilar &gt; Reparación Y Tratamiento &gt;</t>
        </is>
      </c>
      <c r="L415" t="inlineStr">
        <is>
          <t>shampoo</t>
        </is>
      </c>
      <c r="M415" t="inlineStr">
        <is>
          <t>estandar</t>
        </is>
      </c>
      <c r="N415" t="inlineStr">
        <is>
          <t>general</t>
        </is>
      </c>
      <c r="O415" t="inlineStr">
        <is>
          <t>https://www.farmacity.com/combo-capilatis-plex-serum-sellador-de-puntas-x-60-ml-protector-termico-x-190-ml/p</t>
        </is>
      </c>
    </row>
    <row r="416">
      <c r="A416" s="6" t="inlineStr">
        <is>
          <t>Farmacity</t>
        </is>
      </c>
      <c r="B416" s="6" t="n">
        <v>228677</v>
      </c>
      <c r="C416" s="6" t="n">
        <v>228677</v>
      </c>
      <c r="D416" s="6" t="inlineStr">
        <is>
          <t>Espuma Intima Lomecan V Therapy x 150 ml</t>
        </is>
      </c>
      <c r="E416" s="6" t="inlineStr">
        <is>
          <t>Lomecan</t>
        </is>
      </c>
      <c r="F416" s="6" t="n">
        <v>9251</v>
      </c>
      <c r="G416" s="6" t="n">
        <v>9251</v>
      </c>
      <c r="H416" s="6" t="b">
        <v>1</v>
      </c>
      <c r="I416" s="6" t="n">
        <v>150</v>
      </c>
      <c r="J416" s="6" t="n">
        <v>61.6733</v>
      </c>
      <c r="K416" s="6" t="inlineStr">
        <is>
          <t>&gt; Cuidado Personal &gt; Higiene Personal &gt; Protección Femenina &gt;</t>
        </is>
      </c>
      <c r="L416" s="6" t="inlineStr">
        <is>
          <t>shampoo</t>
        </is>
      </c>
      <c r="M416" s="6" t="inlineStr">
        <is>
          <t>estandar</t>
        </is>
      </c>
      <c r="N416" s="6" t="inlineStr">
        <is>
          <t>general</t>
        </is>
      </c>
      <c r="O416" s="6" t="inlineStr">
        <is>
          <t>https://www.farmacity.com/espuma-intimo-lomecan-v-therapy-x-150-ml/p</t>
        </is>
      </c>
    </row>
    <row r="417">
      <c r="A417" t="inlineStr">
        <is>
          <t>Farmacity</t>
        </is>
      </c>
      <c r="B417" t="n">
        <v>229153</v>
      </c>
      <c r="C417" t="n">
        <v>229153</v>
      </c>
      <c r="D417" t="inlineStr">
        <is>
          <t>Kit de Baño Bebes y Niños Aveno + Hipoglós Cuidado Diario</t>
        </is>
      </c>
      <c r="E417" t="inlineStr">
        <is>
          <t>Aveno</t>
        </is>
      </c>
      <c r="F417" t="n">
        <v>77004</v>
      </c>
      <c r="G417" t="n">
        <v>102672</v>
      </c>
      <c r="H417" t="b">
        <v>1</v>
      </c>
      <c r="I417" t="inlineStr"/>
      <c r="J417" t="inlineStr"/>
      <c r="K417" t="inlineStr">
        <is>
          <t>&gt; Bebés &gt; Higiene del Bebé &gt; Baño Del Bebé &gt;</t>
        </is>
      </c>
      <c r="L417" t="inlineStr">
        <is>
          <t>tratamiento</t>
        </is>
      </c>
      <c r="M417" t="inlineStr">
        <is>
          <t>estandar</t>
        </is>
      </c>
      <c r="N417" t="inlineStr">
        <is>
          <t>bebe</t>
        </is>
      </c>
      <c r="O417" t="inlineStr">
        <is>
          <t>https://www.farmacity.com/kit-basico-de-cuidado-infantil/p</t>
        </is>
      </c>
    </row>
    <row r="418">
      <c r="A418" s="6" t="inlineStr">
        <is>
          <t>Farmacity</t>
        </is>
      </c>
      <c r="B418" s="6" t="n">
        <v>237036</v>
      </c>
      <c r="C418" s="6" t="n">
        <v>237036</v>
      </c>
      <c r="D418" s="6" t="inlineStr">
        <is>
          <t>Combo Infantil Aveno</t>
        </is>
      </c>
      <c r="E418" s="6" t="inlineStr">
        <is>
          <t>Aveno</t>
        </is>
      </c>
      <c r="F418" s="6" t="n">
        <v>104959</v>
      </c>
      <c r="G418" s="6" t="n">
        <v>139946</v>
      </c>
      <c r="H418" s="6" t="b">
        <v>1</v>
      </c>
      <c r="I418" s="6" t="inlineStr"/>
      <c r="J418" s="6" t="inlineStr"/>
      <c r="K418" s="6" t="inlineStr">
        <is>
          <t>&gt; Bebés &gt; Higiene del Bebé &gt; Óleos y Algodón &gt;</t>
        </is>
      </c>
      <c r="L418" s="6" t="inlineStr">
        <is>
          <t>shampoo</t>
        </is>
      </c>
      <c r="M418" s="6" t="inlineStr">
        <is>
          <t>estandar</t>
        </is>
      </c>
      <c r="N418" s="6" t="inlineStr">
        <is>
          <t>bebe</t>
        </is>
      </c>
      <c r="O418" s="6" t="inlineStr">
        <is>
          <t>https://www.farmacity.com/infantil-aveno-crema-shampoo-acondicionador-gel-protector-solar/p</t>
        </is>
      </c>
    </row>
    <row r="419">
      <c r="A419" t="inlineStr">
        <is>
          <t>Farmacity</t>
        </is>
      </c>
      <c r="B419" t="n">
        <v>234311</v>
      </c>
      <c r="C419" t="n">
        <v>234311</v>
      </c>
      <c r="D419" t="inlineStr">
        <is>
          <t>Cuidado Corporal y Facial Aveno Piel Sensible</t>
        </is>
      </c>
      <c r="E419" t="inlineStr">
        <is>
          <t>Aveno</t>
        </is>
      </c>
      <c r="F419" t="n">
        <v>123203</v>
      </c>
      <c r="G419" t="n">
        <v>176005</v>
      </c>
      <c r="H419" t="b">
        <v>1</v>
      </c>
      <c r="I419" t="inlineStr"/>
      <c r="J419" t="inlineStr"/>
      <c r="K419" t="inlineStr">
        <is>
          <t>&gt; Cuidado de la Piel &gt; Cuidado Corporal &gt;</t>
        </is>
      </c>
      <c r="L419" t="inlineStr">
        <is>
          <t>shampoo</t>
        </is>
      </c>
      <c r="M419" t="inlineStr">
        <is>
          <t>estandar</t>
        </is>
      </c>
      <c r="N419" t="inlineStr">
        <is>
          <t>general</t>
        </is>
      </c>
      <c r="O419" t="inlineStr">
        <is>
          <t>https://www.farmacity.com/cuidado-corporal-y-facial-aveno-piel-sensible/p</t>
        </is>
      </c>
    </row>
    <row r="420">
      <c r="A420" s="6" t="inlineStr">
        <is>
          <t>Farmacity</t>
        </is>
      </c>
      <c r="B420" s="6" t="n">
        <v>228563</v>
      </c>
      <c r="C420" s="6" t="n">
        <v>228563</v>
      </c>
      <c r="D420" s="6" t="inlineStr">
        <is>
          <t>Spray Capilatis Stop Frizz C-Style</t>
        </is>
      </c>
      <c r="E420" s="6" t="inlineStr">
        <is>
          <t>Capilatis</t>
        </is>
      </c>
      <c r="F420" s="6" t="n">
        <v>5100</v>
      </c>
      <c r="G420" s="6" t="n">
        <v>10200</v>
      </c>
      <c r="H420" s="6" t="b">
        <v>1</v>
      </c>
      <c r="I420" s="6" t="inlineStr"/>
      <c r="J420" s="6" t="inlineStr"/>
      <c r="K420" s="6" t="inlineStr">
        <is>
          <t>&gt; Cuidado Capilar &gt; Reparación Y Tratamiento &gt;</t>
        </is>
      </c>
      <c r="L420" s="6" t="inlineStr">
        <is>
          <t>shampoo</t>
        </is>
      </c>
      <c r="M420" s="6" t="inlineStr">
        <is>
          <t>estandar</t>
        </is>
      </c>
      <c r="N420" s="6" t="inlineStr">
        <is>
          <t>general</t>
        </is>
      </c>
      <c r="O420" s="6" t="inlineStr">
        <is>
          <t>https://www.farmacity.com/spray-capilatis-stop-frizz-c-style/p</t>
        </is>
      </c>
    </row>
    <row r="421">
      <c r="A421" t="inlineStr">
        <is>
          <t>Farmacity</t>
        </is>
      </c>
      <c r="B421" t="n">
        <v>237035</v>
      </c>
      <c r="C421" t="n">
        <v>237035</v>
      </c>
      <c r="D421" t="inlineStr">
        <is>
          <t>Combo Infantil Aveno 2 Infantil Aveno Crema + Shampoo + Acondicionador + Gel + Solar</t>
        </is>
      </c>
      <c r="E421" t="inlineStr">
        <is>
          <t>Aveno</t>
        </is>
      </c>
      <c r="F421" t="n">
        <v>97636</v>
      </c>
      <c r="G421" t="n">
        <v>130182</v>
      </c>
      <c r="H421" t="b">
        <v>1</v>
      </c>
      <c r="I421" t="inlineStr"/>
      <c r="J421" t="inlineStr"/>
      <c r="K421" t="inlineStr">
        <is>
          <t>&gt; Bebés &gt; Higiene del Bebé &gt; Óleos y Algodón &gt;</t>
        </is>
      </c>
      <c r="L421" t="inlineStr">
        <is>
          <t>acondicionador</t>
        </is>
      </c>
      <c r="M421" t="inlineStr">
        <is>
          <t>estandar</t>
        </is>
      </c>
      <c r="N421" t="inlineStr">
        <is>
          <t>bebe</t>
        </is>
      </c>
      <c r="O421" t="inlineStr">
        <is>
          <t>https://www.farmacity.com/infantil-aveno-crema-shampoo-acondicionador-gel-solar/p</t>
        </is>
      </c>
    </row>
    <row r="422">
      <c r="A422" s="6" t="inlineStr">
        <is>
          <t>Farmacity</t>
        </is>
      </c>
      <c r="B422" s="6" t="n">
        <v>239333</v>
      </c>
      <c r="C422" s="6" t="n">
        <v>239333</v>
      </c>
      <c r="D422" s="6" t="inlineStr">
        <is>
          <t>Kit Rutina Completa L'Oreal Paris Elvive Hidra Hialurónico + Oleo Extraordinario</t>
        </is>
      </c>
      <c r="E422" s="6" t="inlineStr">
        <is>
          <t>Elvive</t>
        </is>
      </c>
      <c r="F422" s="6" t="n">
        <v>32136</v>
      </c>
      <c r="G422" s="6" t="n">
        <v>53560</v>
      </c>
      <c r="H422" s="6" t="b">
        <v>1</v>
      </c>
      <c r="I422" s="6" t="inlineStr"/>
      <c r="J422" s="6" t="inlineStr"/>
      <c r="K422" s="6" t="inlineStr">
        <is>
          <t>&gt; Cuidado Capilar &gt; Shampoo Y Acondicionador &gt;</t>
        </is>
      </c>
      <c r="L422" s="6" t="inlineStr">
        <is>
          <t>tratamiento</t>
        </is>
      </c>
      <c r="M422" s="6" t="inlineStr">
        <is>
          <t>profesional</t>
        </is>
      </c>
      <c r="N422" s="6" t="inlineStr">
        <is>
          <t>general</t>
        </is>
      </c>
      <c r="O422" s="6" t="inlineStr">
        <is>
          <t>https://www.farmacity.com/kit-elvive-hidra-hialuronico-rutina-completa-oleo-extraordinario/p</t>
        </is>
      </c>
    </row>
    <row r="423">
      <c r="A423" t="inlineStr">
        <is>
          <t>Farmacity</t>
        </is>
      </c>
      <c r="B423" t="n">
        <v>250125</v>
      </c>
      <c r="C423" t="n">
        <v>250125</v>
      </c>
      <c r="D423" t="inlineStr">
        <is>
          <t>Crema para Peinar Goodbye Daños Oil Control x 300 ml</t>
        </is>
      </c>
      <c r="E423" t="inlineStr">
        <is>
          <t>Fructis</t>
        </is>
      </c>
      <c r="F423" t="n">
        <v>12990</v>
      </c>
      <c r="G423" t="n">
        <v>12990</v>
      </c>
      <c r="H423" t="b">
        <v>1</v>
      </c>
      <c r="I423" t="n">
        <v>300</v>
      </c>
      <c r="J423" t="n">
        <v>43.3</v>
      </c>
      <c r="K423" t="inlineStr">
        <is>
          <t>&gt; Cuidado Capilar &gt; Modelado Y Peinado &gt;</t>
        </is>
      </c>
      <c r="L423" t="inlineStr">
        <is>
          <t>shampoo</t>
        </is>
      </c>
      <c r="M423" t="inlineStr">
        <is>
          <t>estandar</t>
        </is>
      </c>
      <c r="N423" t="inlineStr">
        <is>
          <t>general</t>
        </is>
      </c>
      <c r="O423" t="inlineStr">
        <is>
          <t>https://www.farmacity.com/crema-para-peinar-good-bye-danos-oil-control-x-300-ml/p</t>
        </is>
      </c>
    </row>
    <row r="424">
      <c r="A424" s="6" t="inlineStr">
        <is>
          <t>Farmacity</t>
        </is>
      </c>
      <c r="B424" s="6" t="n">
        <v>250124</v>
      </c>
      <c r="C424" s="6" t="n">
        <v>250124</v>
      </c>
      <c r="D424" s="6" t="inlineStr">
        <is>
          <t>Acondicionador Fructis Good Bye Daños Oil Control x 350 ml</t>
        </is>
      </c>
      <c r="E424" s="6" t="inlineStr">
        <is>
          <t>Fructis</t>
        </is>
      </c>
      <c r="F424" s="6" t="n">
        <v>7990</v>
      </c>
      <c r="G424" s="6" t="n">
        <v>7990</v>
      </c>
      <c r="H424" s="6" t="b">
        <v>1</v>
      </c>
      <c r="I424" s="6" t="n">
        <v>350</v>
      </c>
      <c r="J424" s="6" t="n">
        <v>22.8286</v>
      </c>
      <c r="K424" s="6" t="inlineStr">
        <is>
          <t>&gt; Cuidado Capilar &gt; Shampoo Y Acondicionador &gt;</t>
        </is>
      </c>
      <c r="L424" s="6" t="inlineStr">
        <is>
          <t>acondicionador</t>
        </is>
      </c>
      <c r="M424" s="6" t="inlineStr">
        <is>
          <t>estandar</t>
        </is>
      </c>
      <c r="N424" s="6" t="inlineStr">
        <is>
          <t>general</t>
        </is>
      </c>
      <c r="O424" s="6" t="inlineStr">
        <is>
          <t>https://www.farmacity.com/acondicionador-fructis-good-bye-danos-oil-control-x-350-ml/p</t>
        </is>
      </c>
    </row>
    <row r="425">
      <c r="A425" t="inlineStr">
        <is>
          <t>Farmacity</t>
        </is>
      </c>
      <c r="B425" t="n">
        <v>242447</v>
      </c>
      <c r="C425" t="n">
        <v>242447</v>
      </c>
      <c r="D425" t="inlineStr">
        <is>
          <t>Kit Biferdil Champú Sellador del Color Quinoa + Tratamiento Protector Térmico + Pantalla Capilar</t>
        </is>
      </c>
      <c r="E425" t="inlineStr">
        <is>
          <t>Biferdil</t>
        </is>
      </c>
      <c r="F425" t="n">
        <v>44280</v>
      </c>
      <c r="G425" t="n">
        <v>44280</v>
      </c>
      <c r="H425" t="b">
        <v>1</v>
      </c>
      <c r="I425" t="inlineStr"/>
      <c r="J425" t="inlineStr"/>
      <c r="K425" t="inlineStr">
        <is>
          <t>&gt; Cuidado Capilar &gt; Shampoo Y Acondicionador &gt;</t>
        </is>
      </c>
      <c r="L425" t="inlineStr">
        <is>
          <t>tratamiento</t>
        </is>
      </c>
      <c r="M425" t="inlineStr">
        <is>
          <t>estandar</t>
        </is>
      </c>
      <c r="N425" t="inlineStr">
        <is>
          <t>tratado</t>
        </is>
      </c>
      <c r="O425" t="inlineStr">
        <is>
          <t>https://www.farmacity.com/combo-biferdil-champu-sellador-del-color-quinoa-x-400-ml-tratamiento-protector-termico-x-250-ml-pantalla-capilar-x-155-ml/p</t>
        </is>
      </c>
    </row>
    <row r="426">
      <c r="A426" s="6" t="inlineStr">
        <is>
          <t>Farmacity</t>
        </is>
      </c>
      <c r="B426" s="6" t="n">
        <v>232308</v>
      </c>
      <c r="C426" s="6" t="n">
        <v>232308</v>
      </c>
      <c r="D426" s="6" t="inlineStr">
        <is>
          <t>Kit Ducha Johnson Baby</t>
        </is>
      </c>
      <c r="E426" s="6" t="inlineStr">
        <is>
          <t>Johnson's</t>
        </is>
      </c>
      <c r="F426" s="6" t="n">
        <v>17301</v>
      </c>
      <c r="G426" s="6" t="n">
        <v>17301</v>
      </c>
      <c r="H426" s="6" t="b">
        <v>1</v>
      </c>
      <c r="I426" s="6" t="inlineStr"/>
      <c r="J426" s="6" t="inlineStr"/>
      <c r="K426" s="6" t="inlineStr">
        <is>
          <t>&gt; Bebés &gt; Higiene del Bebé &gt; Baño Del Bebé &gt;</t>
        </is>
      </c>
      <c r="L426" s="6" t="inlineStr">
        <is>
          <t>tratamiento</t>
        </is>
      </c>
      <c r="M426" s="6" t="inlineStr">
        <is>
          <t>estandar</t>
        </is>
      </c>
      <c r="N426" s="6" t="inlineStr">
        <is>
          <t>general</t>
        </is>
      </c>
      <c r="O426" s="6" t="inlineStr">
        <is>
          <t>https://www.farmacity.com/kit-ducha-johnson-baby/p</t>
        </is>
      </c>
    </row>
    <row r="427">
      <c r="A427" t="inlineStr">
        <is>
          <t>Farmacity</t>
        </is>
      </c>
      <c r="B427" t="n">
        <v>242448</v>
      </c>
      <c r="C427" t="n">
        <v>242448</v>
      </c>
      <c r="D427" t="inlineStr">
        <is>
          <t>Kit Biferdil Champú Sellador del Color Quinoa + Máscara Ácida Biocolor + Tratamiento Óleo de Argán it Biferdil Champú Sellador del Color Quinoa + Máscara Ácida Biocolor + Tratamiento Óleo de Argán</t>
        </is>
      </c>
      <c r="E427" t="inlineStr">
        <is>
          <t>Biferdil</t>
        </is>
      </c>
      <c r="F427" t="n">
        <v>62748</v>
      </c>
      <c r="G427" t="n">
        <v>62748</v>
      </c>
      <c r="H427" t="b">
        <v>1</v>
      </c>
      <c r="I427" t="inlineStr"/>
      <c r="J427" t="inlineStr"/>
      <c r="K427" t="inlineStr">
        <is>
          <t>&gt; Cuidado Capilar &gt; Shampoo Y Acondicionador &gt;</t>
        </is>
      </c>
      <c r="L427" t="inlineStr">
        <is>
          <t>tratamiento</t>
        </is>
      </c>
      <c r="M427" t="inlineStr">
        <is>
          <t>estandar</t>
        </is>
      </c>
      <c r="N427" t="inlineStr">
        <is>
          <t>tratado</t>
        </is>
      </c>
      <c r="O427" t="inlineStr">
        <is>
          <t>https://www.farmacity.com/combo-biferdil-champu-sellador-del-color-quinoa-x-400-ml-mascara-acida-biocolor-0-x-150-ml-tratamiento-oleo-de-argan-x-58-ml/p</t>
        </is>
      </c>
    </row>
    <row r="428">
      <c r="A428" s="6" t="inlineStr">
        <is>
          <t>Farmacity</t>
        </is>
      </c>
      <c r="B428" s="6" t="n">
        <v>237019</v>
      </c>
      <c r="C428" s="6" t="n">
        <v>237019</v>
      </c>
      <c r="D428" s="6" t="inlineStr">
        <is>
          <t>Kit Excellence Creme Tono 5 Castaño Claro + Elvive Colorvive Crema Tratamiento 300 ml</t>
        </is>
      </c>
      <c r="E428" s="6" t="inlineStr">
        <is>
          <t>L'Oreal París</t>
        </is>
      </c>
      <c r="F428" s="6" t="n">
        <v>22217</v>
      </c>
      <c r="G428" s="6" t="n">
        <v>34180</v>
      </c>
      <c r="H428" s="6" t="b">
        <v>1</v>
      </c>
      <c r="I428" s="6" t="n">
        <v>300</v>
      </c>
      <c r="J428" s="6" t="n">
        <v>74.05670000000001</v>
      </c>
      <c r="K428" s="6" t="inlineStr">
        <is>
          <t>&gt; Cuidado Capilar &gt; Coloración Y Oxidantes &gt;</t>
        </is>
      </c>
      <c r="L428" s="6" t="inlineStr">
        <is>
          <t>tratamiento</t>
        </is>
      </c>
      <c r="M428" s="6" t="inlineStr">
        <is>
          <t>profesional</t>
        </is>
      </c>
      <c r="N428" s="6" t="inlineStr">
        <is>
          <t>tratado</t>
        </is>
      </c>
      <c r="O428" s="6" t="inlineStr">
        <is>
          <t>https://www.farmacity.com/kit-excellence-creme-tono-5-castano-claro-elvive-colorvive-crema-tratamiento-300-ml-/p</t>
        </is>
      </c>
    </row>
    <row r="429">
      <c r="A429" t="inlineStr">
        <is>
          <t>Farmacity</t>
        </is>
      </c>
      <c r="B429" t="n">
        <v>237022</v>
      </c>
      <c r="C429" t="n">
        <v>237022</v>
      </c>
      <c r="D429" t="inlineStr">
        <is>
          <t>Kit Excellence Creme Tono 8 Rubio Claro + Elvive Colorvive Crema Tratamiento 300 ml</t>
        </is>
      </c>
      <c r="E429" t="inlineStr">
        <is>
          <t>L'Oreal París</t>
        </is>
      </c>
      <c r="F429" t="n">
        <v>22217</v>
      </c>
      <c r="G429" t="n">
        <v>34180</v>
      </c>
      <c r="H429" t="b">
        <v>1</v>
      </c>
      <c r="I429" t="n">
        <v>300</v>
      </c>
      <c r="J429" t="n">
        <v>74.05670000000001</v>
      </c>
      <c r="K429" t="inlineStr">
        <is>
          <t>&gt; Cuidado Capilar &gt; Coloración Y Oxidantes &gt;</t>
        </is>
      </c>
      <c r="L429" t="inlineStr">
        <is>
          <t>tratamiento</t>
        </is>
      </c>
      <c r="M429" t="inlineStr">
        <is>
          <t>profesional</t>
        </is>
      </c>
      <c r="N429" t="inlineStr">
        <is>
          <t>tratado</t>
        </is>
      </c>
      <c r="O429" t="inlineStr">
        <is>
          <t>https://www.farmacity.com/kit-excellence-creme-tono-8-rubio-claro-elvive-colorvive-crema-tratamiento-300-ml-/p</t>
        </is>
      </c>
    </row>
    <row r="430">
      <c r="A430" s="6" t="inlineStr">
        <is>
          <t>Farmacity</t>
        </is>
      </c>
      <c r="B430" s="6" t="n">
        <v>208219</v>
      </c>
      <c r="C430" s="6" t="n">
        <v>208219</v>
      </c>
      <c r="D430" s="6" t="inlineStr">
        <is>
          <t>Kit Ahorro Nopucid Loción x 65 ml + Spray Repelente</t>
        </is>
      </c>
      <c r="E430" s="6" t="inlineStr">
        <is>
          <t>Nopucid</t>
        </is>
      </c>
      <c r="F430" s="6" t="n">
        <v>25238</v>
      </c>
      <c r="G430" s="6" t="n">
        <v>25238</v>
      </c>
      <c r="H430" s="6" t="b">
        <v>1</v>
      </c>
      <c r="I430" s="6" t="n">
        <v>65</v>
      </c>
      <c r="J430" s="6" t="n">
        <v>388.2769</v>
      </c>
      <c r="K430" s="6" t="inlineStr">
        <is>
          <t>&gt; Farmacia &gt; Pediculosis &gt; Lociones, Enjuagues Y Emulsiones &gt;</t>
        </is>
      </c>
      <c r="L430" s="6" t="inlineStr">
        <is>
          <t>tratamiento</t>
        </is>
      </c>
      <c r="M430" s="6" t="inlineStr">
        <is>
          <t>estandar</t>
        </is>
      </c>
      <c r="N430" s="6" t="inlineStr">
        <is>
          <t>general</t>
        </is>
      </c>
      <c r="O430" s="6" t="inlineStr">
        <is>
          <t>https://www.farmacity.com/kit-ahorro-nopucid-locion-x-15-gr-spray-repelente-x-70-ml/p</t>
        </is>
      </c>
    </row>
    <row r="431">
      <c r="A431" t="inlineStr">
        <is>
          <t>Farmacity</t>
        </is>
      </c>
      <c r="B431" t="n">
        <v>230637</v>
      </c>
      <c r="C431" t="n">
        <v>230637</v>
      </c>
      <c r="D431" t="inlineStr">
        <is>
          <t>Máscara Capilar Tresemmé Intensivo x 300 g</t>
        </is>
      </c>
      <c r="E431" t="inlineStr">
        <is>
          <t>Tresemmé</t>
        </is>
      </c>
      <c r="F431" t="n">
        <v>9870</v>
      </c>
      <c r="G431" t="n">
        <v>9870</v>
      </c>
      <c r="H431" t="b">
        <v>1</v>
      </c>
      <c r="I431" t="n">
        <v>300</v>
      </c>
      <c r="J431" t="n">
        <v>32.9</v>
      </c>
      <c r="K431" t="inlineStr">
        <is>
          <t>&gt; Cuidado Capilar &gt; Reparación Y Tratamiento &gt;</t>
        </is>
      </c>
      <c r="L431" t="inlineStr">
        <is>
          <t>shampoo</t>
        </is>
      </c>
      <c r="M431" t="inlineStr">
        <is>
          <t>estandar</t>
        </is>
      </c>
      <c r="N431" t="inlineStr">
        <is>
          <t>general</t>
        </is>
      </c>
      <c r="O431" t="inlineStr">
        <is>
          <t>https://www.farmacity.com/mascara-capilar-tresemme-intensivo-x-300-g/p</t>
        </is>
      </c>
    </row>
    <row r="432">
      <c r="A432" s="6" t="inlineStr">
        <is>
          <t>Farmacity</t>
        </is>
      </c>
      <c r="B432" s="6" t="n">
        <v>225833</v>
      </c>
      <c r="C432" s="6" t="n">
        <v>225833</v>
      </c>
      <c r="D432" s="6" t="inlineStr">
        <is>
          <t>Loción Nopucid Touch en Aerosol x 145 ml</t>
        </is>
      </c>
      <c r="E432" s="6" t="inlineStr">
        <is>
          <t>Nopucid</t>
        </is>
      </c>
      <c r="F432" s="6" t="n">
        <v>21304</v>
      </c>
      <c r="G432" s="6" t="n">
        <v>21304</v>
      </c>
      <c r="H432" s="6" t="b">
        <v>1</v>
      </c>
      <c r="I432" s="6" t="n">
        <v>145</v>
      </c>
      <c r="J432" s="6" t="n">
        <v>146.9241</v>
      </c>
      <c r="K432" s="6" t="inlineStr">
        <is>
          <t>&gt; Farmacia &gt; Pediculosis &gt; Lociones, Enjuagues Y Emulsiones &gt;</t>
        </is>
      </c>
      <c r="L432" s="6" t="inlineStr">
        <is>
          <t>shampoo</t>
        </is>
      </c>
      <c r="M432" s="6" t="inlineStr">
        <is>
          <t>estandar</t>
        </is>
      </c>
      <c r="N432" s="6" t="inlineStr">
        <is>
          <t>general</t>
        </is>
      </c>
      <c r="O432" s="6" t="inlineStr">
        <is>
          <t>https://www.farmacity.com/locion-nopucid-touch-en-spray-x-145-ml/p</t>
        </is>
      </c>
    </row>
    <row r="433">
      <c r="A433" t="inlineStr">
        <is>
          <t>Farmacity</t>
        </is>
      </c>
      <c r="B433" t="n">
        <v>230636</v>
      </c>
      <c r="C433" t="n">
        <v>230636</v>
      </c>
      <c r="D433" t="inlineStr">
        <is>
          <t>Máscara de Tratamiento Tresemmé Hidratación Pro Activa x 300 g</t>
        </is>
      </c>
      <c r="E433" t="inlineStr">
        <is>
          <t>Tresemmé</t>
        </is>
      </c>
      <c r="F433" t="n">
        <v>9870</v>
      </c>
      <c r="G433" t="n">
        <v>9870</v>
      </c>
      <c r="H433" t="b">
        <v>1</v>
      </c>
      <c r="I433" t="n">
        <v>300</v>
      </c>
      <c r="J433" t="n">
        <v>32.9</v>
      </c>
      <c r="K433" t="inlineStr">
        <is>
          <t>&gt; Cuidado Capilar &gt; Reparación Y Tratamiento &gt;</t>
        </is>
      </c>
      <c r="L433" t="inlineStr">
        <is>
          <t>tratamiento</t>
        </is>
      </c>
      <c r="M433" t="inlineStr">
        <is>
          <t>estandar</t>
        </is>
      </c>
      <c r="N433" t="inlineStr">
        <is>
          <t>seco_danado</t>
        </is>
      </c>
      <c r="O433" t="inlineStr">
        <is>
          <t>https://www.farmacity.com/mascara-capilar-tresemme-hidratacion-activa-x-300-g/p</t>
        </is>
      </c>
    </row>
    <row r="434">
      <c r="A434" s="6" t="inlineStr">
        <is>
          <t>Farmacity</t>
        </is>
      </c>
      <c r="B434" s="6" t="n">
        <v>249198</v>
      </c>
      <c r="C434" s="6" t="n">
        <v>249198</v>
      </c>
      <c r="D434" s="6" t="inlineStr">
        <is>
          <t>Shampoo Boti-k Puro Vegetal Rosa Mosqueta x 400 ml</t>
        </is>
      </c>
      <c r="E434" s="6" t="inlineStr">
        <is>
          <t>Boti-k</t>
        </is>
      </c>
      <c r="F434" s="6" t="n">
        <v>39948</v>
      </c>
      <c r="G434" s="6" t="n">
        <v>39948</v>
      </c>
      <c r="H434" s="6" t="b">
        <v>0</v>
      </c>
      <c r="I434" s="6" t="n">
        <v>400</v>
      </c>
      <c r="J434" s="6" t="n">
        <v>99.87</v>
      </c>
      <c r="K434" s="6" t="inlineStr">
        <is>
          <t>&gt; Cuidado Capilar &gt; Shampoo Y Acondicionador &gt;</t>
        </is>
      </c>
      <c r="L434" s="6" t="inlineStr">
        <is>
          <t>shampoo</t>
        </is>
      </c>
      <c r="M434" s="6" t="inlineStr">
        <is>
          <t>estandar</t>
        </is>
      </c>
      <c r="N434" s="6" t="inlineStr">
        <is>
          <t>general</t>
        </is>
      </c>
      <c r="O434" s="6" t="inlineStr">
        <is>
          <t>https://www.farmacity.com/shampoo-boti-k-puro-vegetal-rosa-mosqueta-x-400-ml/p</t>
        </is>
      </c>
    </row>
    <row r="435">
      <c r="A435" t="inlineStr">
        <is>
          <t>Farmacity</t>
        </is>
      </c>
      <c r="B435" t="n">
        <v>241550</v>
      </c>
      <c r="C435" t="n">
        <v>241550</v>
      </c>
      <c r="D435" t="inlineStr">
        <is>
          <t>Shampoo Nuxe Prodigieux Brillo x 200 ml</t>
        </is>
      </c>
      <c r="E435" t="inlineStr">
        <is>
          <t>Nuxe</t>
        </is>
      </c>
      <c r="F435" t="n">
        <v>36000</v>
      </c>
      <c r="G435" t="n">
        <v>36000</v>
      </c>
      <c r="H435" t="b">
        <v>0</v>
      </c>
      <c r="I435" t="n">
        <v>200</v>
      </c>
      <c r="J435" t="n">
        <v>180</v>
      </c>
      <c r="K435" t="inlineStr">
        <is>
          <t>&gt; Cuidado Capilar &gt; Shampoo Y Acondicionador &gt;</t>
        </is>
      </c>
      <c r="L435" t="inlineStr">
        <is>
          <t>shampoo</t>
        </is>
      </c>
      <c r="M435" t="inlineStr">
        <is>
          <t>estandar</t>
        </is>
      </c>
      <c r="N435" t="inlineStr">
        <is>
          <t>general</t>
        </is>
      </c>
      <c r="O435" t="inlineStr">
        <is>
          <t>https://www.farmacity.com/shampoo-nuxe-prodigieux-brillo-x-200-ml/p</t>
        </is>
      </c>
    </row>
    <row r="436">
      <c r="A436" s="6" t="inlineStr">
        <is>
          <t>Farmacity</t>
        </is>
      </c>
      <c r="B436" s="6" t="n">
        <v>238680</v>
      </c>
      <c r="C436" s="6" t="n">
        <v>238680</v>
      </c>
      <c r="D436" s="6" t="inlineStr">
        <is>
          <t>Shampoo Mustela Suave x 500 ml</t>
        </is>
      </c>
      <c r="E436" s="6" t="inlineStr">
        <is>
          <t>Mustela</t>
        </is>
      </c>
      <c r="F436" s="6" t="n">
        <v>32500</v>
      </c>
      <c r="G436" s="6" t="n">
        <v>32500</v>
      </c>
      <c r="H436" s="6" t="b">
        <v>0</v>
      </c>
      <c r="I436" s="6" t="n">
        <v>500</v>
      </c>
      <c r="J436" s="6" t="n">
        <v>65</v>
      </c>
      <c r="K436" s="6" t="inlineStr">
        <is>
          <t>&gt; Bebés &gt; Higiene del Bebé &gt; Baño Del Bebé &gt;</t>
        </is>
      </c>
      <c r="L436" s="6" t="inlineStr">
        <is>
          <t>shampoo</t>
        </is>
      </c>
      <c r="M436" s="6" t="inlineStr">
        <is>
          <t>estandar</t>
        </is>
      </c>
      <c r="N436" s="6" t="inlineStr">
        <is>
          <t>bebe</t>
        </is>
      </c>
      <c r="O436" s="6" t="inlineStr">
        <is>
          <t>https://www.farmacity.com/shampoo-mustela-suave-x-500-ml/p</t>
        </is>
      </c>
    </row>
    <row r="437">
      <c r="A437" t="inlineStr">
        <is>
          <t>Farmacity</t>
        </is>
      </c>
      <c r="B437" t="n">
        <v>237003</v>
      </c>
      <c r="C437" t="n">
        <v>237003</v>
      </c>
      <c r="D437" t="inlineStr">
        <is>
          <t>Shampoo Sir Fausto Caspa x 250 ml</t>
        </is>
      </c>
      <c r="E437" t="inlineStr">
        <is>
          <t>Sir Fausto</t>
        </is>
      </c>
      <c r="F437" t="n">
        <v>19582</v>
      </c>
      <c r="G437" t="n">
        <v>19582</v>
      </c>
      <c r="H437" t="b">
        <v>0</v>
      </c>
      <c r="I437" t="n">
        <v>250</v>
      </c>
      <c r="J437" t="n">
        <v>78.328</v>
      </c>
      <c r="K437" t="inlineStr">
        <is>
          <t>&gt; Cuidado Capilar &gt; Shampoo Y Acondicionador &gt;</t>
        </is>
      </c>
      <c r="L437" t="inlineStr">
        <is>
          <t>shampoo</t>
        </is>
      </c>
      <c r="M437" t="inlineStr">
        <is>
          <t>estandar</t>
        </is>
      </c>
      <c r="N437" t="inlineStr">
        <is>
          <t>anticaspa</t>
        </is>
      </c>
      <c r="O437" t="inlineStr">
        <is>
          <t>https://www.farmacity.com/shampoo-sir-fausto-caspa-x-250-ml/p</t>
        </is>
      </c>
    </row>
    <row r="438">
      <c r="A438" s="6" t="inlineStr">
        <is>
          <t>Farmacity</t>
        </is>
      </c>
      <c r="B438" s="6" t="n">
        <v>233828</v>
      </c>
      <c r="C438" s="6" t="n">
        <v>233828</v>
      </c>
      <c r="D438" s="6" t="inlineStr">
        <is>
          <t>Shampoo Alfaparf Smooth Semi Di Lino x 250 ml</t>
        </is>
      </c>
      <c r="E438" s="6" t="inlineStr">
        <is>
          <t>Alfaparf Milano</t>
        </is>
      </c>
      <c r="F438" s="6" t="n">
        <v>50205</v>
      </c>
      <c r="G438" s="6" t="n">
        <v>50205</v>
      </c>
      <c r="H438" s="6" t="b">
        <v>0</v>
      </c>
      <c r="I438" s="6" t="n">
        <v>250</v>
      </c>
      <c r="J438" s="6" t="n">
        <v>200.82</v>
      </c>
      <c r="K438" s="6" t="inlineStr">
        <is>
          <t>&gt; Cuidado Capilar &gt; Shampoo Y Acondicionador &gt;</t>
        </is>
      </c>
      <c r="L438" s="6" t="inlineStr">
        <is>
          <t>shampoo</t>
        </is>
      </c>
      <c r="M438" s="6" t="inlineStr">
        <is>
          <t>estandar</t>
        </is>
      </c>
      <c r="N438" s="6" t="inlineStr">
        <is>
          <t>general</t>
        </is>
      </c>
      <c r="O438" s="6" t="inlineStr">
        <is>
          <t>https://www.farmacity.com/shampoo-alfaparf-smooth-semi-di-lino-x-250-ml/p</t>
        </is>
      </c>
    </row>
    <row r="439">
      <c r="A439" t="inlineStr">
        <is>
          <t>Farmacity</t>
        </is>
      </c>
      <c r="B439" t="n">
        <v>230665</v>
      </c>
      <c r="C439" t="n">
        <v>230665</v>
      </c>
      <c r="D439" t="inlineStr">
        <is>
          <t>Shampoo Veganis Cabello Seco de Palta y Oliva x 400 ml</t>
        </is>
      </c>
      <c r="E439" t="inlineStr">
        <is>
          <t>Veganis</t>
        </is>
      </c>
      <c r="F439" t="n">
        <v>13572</v>
      </c>
      <c r="G439" t="n">
        <v>13572</v>
      </c>
      <c r="H439" t="b">
        <v>0</v>
      </c>
      <c r="I439" t="n">
        <v>400</v>
      </c>
      <c r="J439" t="n">
        <v>33.93</v>
      </c>
      <c r="K439" t="inlineStr">
        <is>
          <t>&gt; Cuidado Capilar &gt; Shampoo Y Acondicionador &gt;</t>
        </is>
      </c>
      <c r="L439" t="inlineStr">
        <is>
          <t>shampoo</t>
        </is>
      </c>
      <c r="M439" t="inlineStr">
        <is>
          <t>estandar</t>
        </is>
      </c>
      <c r="N439" t="inlineStr">
        <is>
          <t>seco_danado</t>
        </is>
      </c>
      <c r="O439" t="inlineStr">
        <is>
          <t>https://www.farmacity.com/shampoo-veganis-cabello-seco-de-palta-y-oliva-x-400-ml/p</t>
        </is>
      </c>
    </row>
    <row r="440">
      <c r="A440" s="6" t="inlineStr">
        <is>
          <t>Farmacity</t>
        </is>
      </c>
      <c r="B440" s="6" t="n">
        <v>230659</v>
      </c>
      <c r="C440" s="6" t="n">
        <v>230659</v>
      </c>
      <c r="D440" s="6" t="inlineStr">
        <is>
          <t>Shampoo Il Salone Nutrición y Protección x 500 ml</t>
        </is>
      </c>
      <c r="E440" s="6" t="inlineStr">
        <is>
          <t>IL SALONE</t>
        </is>
      </c>
      <c r="F440" s="6" t="n">
        <v>12487</v>
      </c>
      <c r="G440" s="6" t="n">
        <v>12487</v>
      </c>
      <c r="H440" s="6" t="b">
        <v>0</v>
      </c>
      <c r="I440" s="6" t="n">
        <v>500</v>
      </c>
      <c r="J440" s="6" t="n">
        <v>24.974</v>
      </c>
      <c r="K440" s="6" t="inlineStr">
        <is>
          <t>&gt; Cuidado Capilar &gt; Shampoo Y Acondicionador &gt;</t>
        </is>
      </c>
      <c r="L440" s="6" t="inlineStr">
        <is>
          <t>shampoo</t>
        </is>
      </c>
      <c r="M440" s="6" t="inlineStr">
        <is>
          <t>estandar</t>
        </is>
      </c>
      <c r="N440" s="6" t="inlineStr">
        <is>
          <t>general</t>
        </is>
      </c>
      <c r="O440" s="6" t="inlineStr">
        <is>
          <t>https://www.farmacity.com/shampoo-il-salone-nutricion-y-proteccion-x-500-ml/p</t>
        </is>
      </c>
    </row>
    <row r="441">
      <c r="A441" t="inlineStr">
        <is>
          <t>Farmacity</t>
        </is>
      </c>
      <c r="B441" t="n">
        <v>230656</v>
      </c>
      <c r="C441" t="n">
        <v>230656</v>
      </c>
      <c r="D441" t="inlineStr">
        <is>
          <t>Shampoo Il Salone Brillo y Vitalidad x 500 ml</t>
        </is>
      </c>
      <c r="E441" t="inlineStr">
        <is>
          <t>IL SALONE</t>
        </is>
      </c>
      <c r="F441" t="n">
        <v>12487</v>
      </c>
      <c r="G441" t="n">
        <v>12487</v>
      </c>
      <c r="H441" t="b">
        <v>0</v>
      </c>
      <c r="I441" t="n">
        <v>500</v>
      </c>
      <c r="J441" t="n">
        <v>24.974</v>
      </c>
      <c r="K441" t="inlineStr">
        <is>
          <t>&gt; Cuidado Capilar &gt; Shampoo Y Acondicionador &gt;</t>
        </is>
      </c>
      <c r="L441" t="inlineStr">
        <is>
          <t>shampoo</t>
        </is>
      </c>
      <c r="M441" t="inlineStr">
        <is>
          <t>estandar</t>
        </is>
      </c>
      <c r="N441" t="inlineStr">
        <is>
          <t>general</t>
        </is>
      </c>
      <c r="O441" t="inlineStr">
        <is>
          <t>https://www.farmacity.com/shampoo-il-salone-brillo-y-vitalidad-x-500-ml/p</t>
        </is>
      </c>
    </row>
    <row r="442">
      <c r="A442" s="6" t="inlineStr">
        <is>
          <t>Farmacity</t>
        </is>
      </c>
      <c r="B442" s="6" t="n">
        <v>230219</v>
      </c>
      <c r="C442" s="6" t="n">
        <v>230219</v>
      </c>
      <c r="D442" s="6" t="inlineStr">
        <is>
          <t>Shampoo Pantene Pro-V Miracles Colágeno Nutritivo 700 ml</t>
        </is>
      </c>
      <c r="E442" s="6" t="inlineStr">
        <is>
          <t>Pantene</t>
        </is>
      </c>
      <c r="F442" s="6" t="n">
        <v>15128</v>
      </c>
      <c r="G442" s="6" t="n">
        <v>15128</v>
      </c>
      <c r="H442" s="6" t="b">
        <v>0</v>
      </c>
      <c r="I442" s="6" t="n">
        <v>700</v>
      </c>
      <c r="J442" s="6" t="n">
        <v>21.6114</v>
      </c>
      <c r="K442" s="6" t="inlineStr">
        <is>
          <t>&gt; Cuidado Capilar &gt; Shampoo Y Acondicionador &gt;</t>
        </is>
      </c>
      <c r="L442" s="6" t="inlineStr">
        <is>
          <t>shampoo</t>
        </is>
      </c>
      <c r="M442" s="6" t="inlineStr">
        <is>
          <t>profesional</t>
        </is>
      </c>
      <c r="N442" s="6" t="inlineStr">
        <is>
          <t>general</t>
        </is>
      </c>
      <c r="O442" s="6" t="inlineStr">
        <is>
          <t>https://www.farmacity.com/shampoo-pantene-pro-v-miracles-colageno-nutre-y-revitaliza-x-700-ml/p</t>
        </is>
      </c>
    </row>
    <row r="443">
      <c r="A443" t="inlineStr">
        <is>
          <t>Farmacity</t>
        </is>
      </c>
      <c r="B443" t="n">
        <v>228736</v>
      </c>
      <c r="C443" t="n">
        <v>228736</v>
      </c>
      <c r="D443" t="inlineStr">
        <is>
          <t>Shampoo Solido Fructis Hair Food Aguacate x 60 g</t>
        </is>
      </c>
      <c r="E443" t="inlineStr">
        <is>
          <t>Fructis</t>
        </is>
      </c>
      <c r="F443" t="n">
        <v>6368</v>
      </c>
      <c r="G443" t="n">
        <v>6368</v>
      </c>
      <c r="H443" t="b">
        <v>0</v>
      </c>
      <c r="I443" t="n">
        <v>60</v>
      </c>
      <c r="J443" t="n">
        <v>106.1333</v>
      </c>
      <c r="K443" t="inlineStr">
        <is>
          <t>&gt; Cuidado Capilar &gt; Shampoo Y Acondicionador &gt;</t>
        </is>
      </c>
      <c r="L443" t="inlineStr">
        <is>
          <t>shampoo</t>
        </is>
      </c>
      <c r="M443" t="inlineStr">
        <is>
          <t>estandar</t>
        </is>
      </c>
      <c r="N443" t="inlineStr">
        <is>
          <t>general</t>
        </is>
      </c>
      <c r="O443" t="inlineStr">
        <is>
          <t>https://www.farmacity.com/shampoo-bar-garnier-fructis-hair-food-aguacate-x-60-g/p</t>
        </is>
      </c>
    </row>
    <row r="444">
      <c r="A444" s="6" t="inlineStr">
        <is>
          <t>Farmacity</t>
        </is>
      </c>
      <c r="B444" s="6" t="n">
        <v>228558</v>
      </c>
      <c r="C444" s="6" t="n">
        <v>228558</v>
      </c>
      <c r="D444" s="6" t="inlineStr">
        <is>
          <t>Shampoo Capitalis pH Extra Ácido x 350 ml</t>
        </is>
      </c>
      <c r="E444" s="6" t="inlineStr">
        <is>
          <t>Capilatis</t>
        </is>
      </c>
      <c r="F444" s="6" t="n">
        <v>8100</v>
      </c>
      <c r="G444" s="6" t="n">
        <v>8100</v>
      </c>
      <c r="H444" s="6" t="b">
        <v>0</v>
      </c>
      <c r="I444" s="6" t="n">
        <v>350</v>
      </c>
      <c r="J444" s="6" t="n">
        <v>23.1429</v>
      </c>
      <c r="K444" s="6" t="inlineStr">
        <is>
          <t>&gt; Cuidado Capilar &gt; Shampoo Y Acondicionador &gt;</t>
        </is>
      </c>
      <c r="L444" s="6" t="inlineStr">
        <is>
          <t>shampoo</t>
        </is>
      </c>
      <c r="M444" s="6" t="inlineStr">
        <is>
          <t>estandar</t>
        </is>
      </c>
      <c r="N444" s="6" t="inlineStr">
        <is>
          <t>general</t>
        </is>
      </c>
      <c r="O444" s="6" t="inlineStr">
        <is>
          <t>https://www.farmacity.com/shampoo-capitalis-ph-extra-acido-x-350-ml/p</t>
        </is>
      </c>
    </row>
    <row r="445">
      <c r="A445" t="inlineStr">
        <is>
          <t>Farmacity</t>
        </is>
      </c>
      <c r="B445" t="n">
        <v>226919</v>
      </c>
      <c r="C445" t="n">
        <v>226919</v>
      </c>
      <c r="D445" t="inlineStr">
        <is>
          <t>Shampoo Anticaida Klorane x 200 ml</t>
        </is>
      </c>
      <c r="E445" t="inlineStr">
        <is>
          <t>Klorane</t>
        </is>
      </c>
      <c r="F445" t="n">
        <v>35000</v>
      </c>
      <c r="G445" t="n">
        <v>35000</v>
      </c>
      <c r="H445" t="b">
        <v>0</v>
      </c>
      <c r="I445" t="n">
        <v>200</v>
      </c>
      <c r="J445" t="n">
        <v>175</v>
      </c>
      <c r="K445" t="inlineStr">
        <is>
          <t>&gt; Dermocosmética &gt; Pelo &gt; Shampoos y Acondicionadores &gt;</t>
        </is>
      </c>
      <c r="L445" t="inlineStr">
        <is>
          <t>shampoo</t>
        </is>
      </c>
      <c r="M445" t="inlineStr">
        <is>
          <t>estandar</t>
        </is>
      </c>
      <c r="N445" t="inlineStr">
        <is>
          <t>general</t>
        </is>
      </c>
      <c r="O445" t="inlineStr">
        <is>
          <t>https://www.farmacity.com/shampoo-klorane-quinina-x-200-ml/p</t>
        </is>
      </c>
    </row>
    <row r="446">
      <c r="A446" s="6" t="inlineStr">
        <is>
          <t>Farmacity</t>
        </is>
      </c>
      <c r="B446" s="6" t="n">
        <v>221692</v>
      </c>
      <c r="C446" s="6" t="n">
        <v>221692</v>
      </c>
      <c r="D446" s="6" t="inlineStr">
        <is>
          <t>Shampoo Herbal Essences Bio Renew 6X Aloe &amp; Mango x 400 ml</t>
        </is>
      </c>
      <c r="E446" s="6" t="inlineStr">
        <is>
          <t>Herbal Essences</t>
        </is>
      </c>
      <c r="F446" s="6" t="n">
        <v>16291</v>
      </c>
      <c r="G446" s="6" t="n">
        <v>16291</v>
      </c>
      <c r="H446" s="6" t="b">
        <v>0</v>
      </c>
      <c r="I446" s="6" t="n">
        <v>400</v>
      </c>
      <c r="J446" s="6" t="n">
        <v>40.7275</v>
      </c>
      <c r="K446" s="6" t="inlineStr">
        <is>
          <t>&gt; Cuidado Capilar &gt; Shampoo Y Acondicionador &gt;</t>
        </is>
      </c>
      <c r="L446" s="6" t="inlineStr">
        <is>
          <t>shampoo</t>
        </is>
      </c>
      <c r="M446" s="6" t="inlineStr">
        <is>
          <t>estandar</t>
        </is>
      </c>
      <c r="N446" s="6" t="inlineStr">
        <is>
          <t>general</t>
        </is>
      </c>
      <c r="O446" s="6" t="inlineStr">
        <is>
          <t>https://www.farmacity.com/shampoo-herbal-essences-bio-renew-x6-aloe-y-mango-x-400-ml/p</t>
        </is>
      </c>
    </row>
    <row r="447">
      <c r="A447" t="inlineStr">
        <is>
          <t>Farmacity</t>
        </is>
      </c>
      <c r="B447" t="n">
        <v>220415</v>
      </c>
      <c r="C447" t="n">
        <v>220415</v>
      </c>
      <c r="D447" t="inlineStr">
        <is>
          <t>Shampoo Pantene Brillo Extremo x 750 ml</t>
        </is>
      </c>
      <c r="E447" t="inlineStr">
        <is>
          <t>Pantene</t>
        </is>
      </c>
      <c r="F447" t="n">
        <v>13460</v>
      </c>
      <c r="G447" t="n">
        <v>13460</v>
      </c>
      <c r="H447" t="b">
        <v>0</v>
      </c>
      <c r="I447" t="n">
        <v>750</v>
      </c>
      <c r="J447" t="n">
        <v>17.9467</v>
      </c>
      <c r="K447" t="inlineStr">
        <is>
          <t>&gt; Cuidado Capilar &gt; Shampoo Y Acondicionador &gt;</t>
        </is>
      </c>
      <c r="L447" t="inlineStr">
        <is>
          <t>shampoo</t>
        </is>
      </c>
      <c r="M447" t="inlineStr">
        <is>
          <t>estandar</t>
        </is>
      </c>
      <c r="N447" t="inlineStr">
        <is>
          <t>general</t>
        </is>
      </c>
      <c r="O447" t="inlineStr">
        <is>
          <t>https://www.farmacity.com/shampoo-pantene-miracle-brillo-extremo-x-750-ml/p</t>
        </is>
      </c>
    </row>
    <row r="448">
      <c r="A448" s="6" t="inlineStr">
        <is>
          <t>Farmacity</t>
        </is>
      </c>
      <c r="B448" s="6" t="n">
        <v>218820</v>
      </c>
      <c r="C448" s="6" t="n">
        <v>218820</v>
      </c>
      <c r="D448" s="6" t="inlineStr">
        <is>
          <t>Shampoo Pantene Pro-V Essentials Bambú Nutre x 750 ml</t>
        </is>
      </c>
      <c r="E448" s="6" t="inlineStr">
        <is>
          <t>Pantene</t>
        </is>
      </c>
      <c r="F448" s="6" t="n">
        <v>13460</v>
      </c>
      <c r="G448" s="6" t="n">
        <v>13460</v>
      </c>
      <c r="H448" s="6" t="b">
        <v>0</v>
      </c>
      <c r="I448" s="6" t="n">
        <v>750</v>
      </c>
      <c r="J448" s="6" t="n">
        <v>17.9467</v>
      </c>
      <c r="K448" s="6" t="inlineStr">
        <is>
          <t>&gt; Cuidado Capilar &gt; Shampoo Y Acondicionador &gt;</t>
        </is>
      </c>
      <c r="L448" s="6" t="inlineStr">
        <is>
          <t>shampoo</t>
        </is>
      </c>
      <c r="M448" s="6" t="inlineStr">
        <is>
          <t>profesional</t>
        </is>
      </c>
      <c r="N448" s="6" t="inlineStr">
        <is>
          <t>general</t>
        </is>
      </c>
      <c r="O448" s="6" t="inlineStr">
        <is>
          <t>https://www.farmacity.com/shampoo-pantene-bambu-nutre-y-crece-x-750-ml/p</t>
        </is>
      </c>
    </row>
    <row r="449">
      <c r="A449" t="inlineStr">
        <is>
          <t>Farmacity</t>
        </is>
      </c>
      <c r="B449" t="n">
        <v>217113</v>
      </c>
      <c r="C449" t="n">
        <v>217113</v>
      </c>
      <c r="D449" t="inlineStr">
        <is>
          <t>Shampoo Alfaparf Milano Semi Di Lino Volumizing x 250 ml</t>
        </is>
      </c>
      <c r="E449" t="inlineStr">
        <is>
          <t>Alfaparf Milano</t>
        </is>
      </c>
      <c r="F449" t="n">
        <v>34436</v>
      </c>
      <c r="G449" t="n">
        <v>34436</v>
      </c>
      <c r="H449" t="b">
        <v>0</v>
      </c>
      <c r="I449" t="n">
        <v>250</v>
      </c>
      <c r="J449" t="n">
        <v>137.744</v>
      </c>
      <c r="K449" t="inlineStr">
        <is>
          <t>&gt; Cuidado Capilar &gt; Shampoo Y Acondicionador &gt;</t>
        </is>
      </c>
      <c r="L449" t="inlineStr">
        <is>
          <t>shampoo</t>
        </is>
      </c>
      <c r="M449" t="inlineStr">
        <is>
          <t>estandar</t>
        </is>
      </c>
      <c r="N449" t="inlineStr">
        <is>
          <t>general</t>
        </is>
      </c>
      <c r="O449" t="inlineStr">
        <is>
          <t>https://www.farmacity.com/low-shampoo-alfaparf-milano-semi-di-lino-volumizing-x-250-ml/p</t>
        </is>
      </c>
    </row>
    <row r="450">
      <c r="A450" s="6" t="inlineStr">
        <is>
          <t>Farmacity</t>
        </is>
      </c>
      <c r="B450" s="6" t="n">
        <v>217098</v>
      </c>
      <c r="C450" s="6" t="n">
        <v>217098</v>
      </c>
      <c r="D450" s="6" t="inlineStr">
        <is>
          <t>Shampoo Alfaparf Milano Semi Di Lino Moisture x 250 ml</t>
        </is>
      </c>
      <c r="E450" s="6" t="inlineStr">
        <is>
          <t>Alfaparf Milano</t>
        </is>
      </c>
      <c r="F450" s="6" t="n">
        <v>50205</v>
      </c>
      <c r="G450" s="6" t="n">
        <v>50205</v>
      </c>
      <c r="H450" s="6" t="b">
        <v>0</v>
      </c>
      <c r="I450" s="6" t="n">
        <v>250</v>
      </c>
      <c r="J450" s="6" t="n">
        <v>200.82</v>
      </c>
      <c r="K450" s="6" t="inlineStr">
        <is>
          <t>&gt; Cuidado Capilar &gt; Shampoo Y Acondicionador &gt;</t>
        </is>
      </c>
      <c r="L450" s="6" t="inlineStr">
        <is>
          <t>shampoo</t>
        </is>
      </c>
      <c r="M450" s="6" t="inlineStr">
        <is>
          <t>estandar</t>
        </is>
      </c>
      <c r="N450" s="6" t="inlineStr">
        <is>
          <t>general</t>
        </is>
      </c>
      <c r="O450" s="6" t="inlineStr">
        <is>
          <t>https://www.farmacity.com/low-shampoo-alfaparf-milano-semi-di-lino-moisture-x-250-ml/p</t>
        </is>
      </c>
    </row>
    <row r="451">
      <c r="A451" t="inlineStr">
        <is>
          <t>Farmacity</t>
        </is>
      </c>
      <c r="B451" t="n">
        <v>212379</v>
      </c>
      <c r="C451" t="n">
        <v>212379</v>
      </c>
      <c r="D451" t="inlineStr">
        <is>
          <t>Shampoo Biferdil Proteinas de Soja x 400 ml</t>
        </is>
      </c>
      <c r="E451" t="inlineStr">
        <is>
          <t>Biferdil</t>
        </is>
      </c>
      <c r="F451" t="n">
        <v>13176</v>
      </c>
      <c r="G451" t="n">
        <v>13176</v>
      </c>
      <c r="H451" t="b">
        <v>0</v>
      </c>
      <c r="I451" t="n">
        <v>400</v>
      </c>
      <c r="J451" t="n">
        <v>32.94</v>
      </c>
      <c r="K451" t="inlineStr">
        <is>
          <t>&gt; Cuidado Capilar &gt; Shampoo Y Acondicionador &gt;</t>
        </is>
      </c>
      <c r="L451" t="inlineStr">
        <is>
          <t>shampoo</t>
        </is>
      </c>
      <c r="M451" t="inlineStr">
        <is>
          <t>estandar</t>
        </is>
      </c>
      <c r="N451" t="inlineStr">
        <is>
          <t>general</t>
        </is>
      </c>
      <c r="O451" t="inlineStr">
        <is>
          <t>https://www.farmacity.com/shampoo-biferdil-proteinas-de-soja-x-400-ml/p</t>
        </is>
      </c>
    </row>
    <row r="452">
      <c r="A452" s="6" t="inlineStr">
        <is>
          <t>Farmacity</t>
        </is>
      </c>
      <c r="B452" s="6" t="n">
        <v>208134</v>
      </c>
      <c r="C452" s="6" t="n">
        <v>208134</v>
      </c>
      <c r="D452" s="6" t="inlineStr">
        <is>
          <t>Shampoo Elvive Dream Long x 750 ml</t>
        </is>
      </c>
      <c r="E452" s="6" t="inlineStr">
        <is>
          <t>Elvive</t>
        </is>
      </c>
      <c r="F452" s="6" t="n">
        <v>8995</v>
      </c>
      <c r="G452" s="6" t="n">
        <v>17990</v>
      </c>
      <c r="H452" s="6" t="b">
        <v>0</v>
      </c>
      <c r="I452" s="6" t="n">
        <v>750</v>
      </c>
      <c r="J452" s="6" t="n">
        <v>11.9933</v>
      </c>
      <c r="K452" s="6" t="inlineStr">
        <is>
          <t>&gt; Cuidado Capilar &gt; Shampoo Y Acondicionador &gt;</t>
        </is>
      </c>
      <c r="L452" s="6" t="inlineStr">
        <is>
          <t>shampoo</t>
        </is>
      </c>
      <c r="M452" s="6" t="inlineStr">
        <is>
          <t>profesional</t>
        </is>
      </c>
      <c r="N452" s="6" t="inlineStr">
        <is>
          <t>general</t>
        </is>
      </c>
      <c r="O452" s="6" t="inlineStr">
        <is>
          <t>https://www.farmacity.com/shampoo-dream-long-elvive-loreal-paris-x-750-ml/p</t>
        </is>
      </c>
    </row>
    <row r="453">
      <c r="A453" t="inlineStr">
        <is>
          <t>Farmacity</t>
        </is>
      </c>
      <c r="B453" t="n">
        <v>206186</v>
      </c>
      <c r="C453" t="n">
        <v>206186</v>
      </c>
      <c r="D453" t="inlineStr">
        <is>
          <t>Shampoo Klorane Ylang-Ylang x 200 ml</t>
        </is>
      </c>
      <c r="E453" t="inlineStr">
        <is>
          <t>Klorane</t>
        </is>
      </c>
      <c r="F453" t="n">
        <v>3635</v>
      </c>
      <c r="G453" t="n">
        <v>3635</v>
      </c>
      <c r="H453" t="b">
        <v>0</v>
      </c>
      <c r="I453" t="n">
        <v>200</v>
      </c>
      <c r="J453" t="n">
        <v>18.175</v>
      </c>
      <c r="K453" t="inlineStr">
        <is>
          <t>&gt; Dermocosmética &gt; Pelo &gt; Shampoos y Acondicionadores &gt;</t>
        </is>
      </c>
      <c r="L453" t="inlineStr">
        <is>
          <t>shampoo</t>
        </is>
      </c>
      <c r="M453" t="inlineStr">
        <is>
          <t>estandar</t>
        </is>
      </c>
      <c r="N453" t="inlineStr">
        <is>
          <t>general</t>
        </is>
      </c>
      <c r="O453" t="inlineStr">
        <is>
          <t>https://www.farmacity.com/shampoo-klorane-ylang-yang-x-200-ml/p</t>
        </is>
      </c>
    </row>
    <row r="454">
      <c r="A454" s="6" t="inlineStr">
        <is>
          <t>Farmacity</t>
        </is>
      </c>
      <c r="B454" s="6" t="n">
        <v>206033</v>
      </c>
      <c r="C454" s="6" t="n">
        <v>206033</v>
      </c>
      <c r="D454" s="6" t="inlineStr">
        <is>
          <t>Shampoo Head &amp; Shoulders Control Caspa Suave x 375 ml</t>
        </is>
      </c>
      <c r="E454" s="6" t="inlineStr">
        <is>
          <t>Head and Shoulders</t>
        </is>
      </c>
      <c r="F454" s="6" t="n">
        <v>8431</v>
      </c>
      <c r="G454" s="6" t="n">
        <v>8431</v>
      </c>
      <c r="H454" s="6" t="b">
        <v>0</v>
      </c>
      <c r="I454" s="6" t="n">
        <v>375</v>
      </c>
      <c r="J454" s="6" t="n">
        <v>22.4827</v>
      </c>
      <c r="K454" s="6" t="inlineStr">
        <is>
          <t>&gt; Cuidado Capilar &gt; Shampoo Y Acondicionador &gt;</t>
        </is>
      </c>
      <c r="L454" s="6" t="inlineStr">
        <is>
          <t>shampoo</t>
        </is>
      </c>
      <c r="M454" s="6" t="inlineStr">
        <is>
          <t>estandar</t>
        </is>
      </c>
      <c r="N454" s="6" t="inlineStr">
        <is>
          <t>anticaspa</t>
        </is>
      </c>
      <c r="O454" s="6" t="inlineStr">
        <is>
          <t>https://www.farmacity.com/shampoo-head-shoulders-suave-y-manejable-2-en-1-x-375-ml/p</t>
        </is>
      </c>
    </row>
    <row r="455">
      <c r="A455" t="inlineStr">
        <is>
          <t>Farmacity</t>
        </is>
      </c>
      <c r="B455" t="n">
        <v>205818</v>
      </c>
      <c r="C455" t="n">
        <v>205818</v>
      </c>
      <c r="D455" t="inlineStr">
        <is>
          <t>Shampoo Biferdil con Aceite de Palta x 295 ml</t>
        </is>
      </c>
      <c r="E455" t="inlineStr">
        <is>
          <t>Biferdil</t>
        </is>
      </c>
      <c r="F455" t="n">
        <v>11772</v>
      </c>
      <c r="G455" t="n">
        <v>11772</v>
      </c>
      <c r="H455" t="b">
        <v>0</v>
      </c>
      <c r="I455" t="n">
        <v>295</v>
      </c>
      <c r="J455" t="n">
        <v>39.9051</v>
      </c>
      <c r="K455" t="inlineStr">
        <is>
          <t>&gt; Cuidado Capilar &gt; Shampoo Y Acondicionador &gt;</t>
        </is>
      </c>
      <c r="L455" t="inlineStr">
        <is>
          <t>shampoo</t>
        </is>
      </c>
      <c r="M455" t="inlineStr">
        <is>
          <t>estandar</t>
        </is>
      </c>
      <c r="N455" t="inlineStr">
        <is>
          <t>general</t>
        </is>
      </c>
      <c r="O455" t="inlineStr">
        <is>
          <t>https://www.farmacity.com/shampoo-biferdil-con-aceite-de-palta-x-295-ml/p</t>
        </is>
      </c>
    </row>
    <row r="456">
      <c r="A456" s="6" t="inlineStr">
        <is>
          <t>Farmacity</t>
        </is>
      </c>
      <c r="B456" s="6" t="n">
        <v>205394</v>
      </c>
      <c r="C456" s="6" t="n">
        <v>205394</v>
      </c>
      <c r="D456" s="6" t="inlineStr">
        <is>
          <t>Shampoo Corrector Capilatis Pure Silve x 240 Ml</t>
        </is>
      </c>
      <c r="E456" s="6" t="inlineStr">
        <is>
          <t>Capilatis</t>
        </is>
      </c>
      <c r="F456" s="6" t="n">
        <v>9203</v>
      </c>
      <c r="G456" s="6" t="n">
        <v>9203</v>
      </c>
      <c r="H456" s="6" t="b">
        <v>0</v>
      </c>
      <c r="I456" s="6" t="n">
        <v>240</v>
      </c>
      <c r="J456" s="6" t="n">
        <v>38.3458</v>
      </c>
      <c r="K456" s="6" t="inlineStr">
        <is>
          <t>&gt; Cuidado Capilar &gt; Shampoo Y Acondicionador &gt;</t>
        </is>
      </c>
      <c r="L456" s="6" t="inlineStr">
        <is>
          <t>shampoo</t>
        </is>
      </c>
      <c r="M456" s="6" t="inlineStr">
        <is>
          <t>estandar</t>
        </is>
      </c>
      <c r="N456" s="6" t="inlineStr">
        <is>
          <t>general</t>
        </is>
      </c>
      <c r="O456" s="6" t="inlineStr">
        <is>
          <t>https://www.farmacity.com/shampoo-corrector-capilatis-pure-silve-x-240-ml/p</t>
        </is>
      </c>
    </row>
    <row r="457">
      <c r="A457" t="inlineStr">
        <is>
          <t>Farmacity</t>
        </is>
      </c>
      <c r="B457" t="n">
        <v>203663</v>
      </c>
      <c r="C457" t="n">
        <v>203663</v>
      </c>
      <c r="D457" t="inlineStr">
        <is>
          <t>Shampoo Biferdil con Aceite de Argán y Camelia x 295 ml</t>
        </is>
      </c>
      <c r="E457" t="inlineStr">
        <is>
          <t>Biferdil</t>
        </is>
      </c>
      <c r="F457" t="n">
        <v>10584</v>
      </c>
      <c r="G457" t="n">
        <v>10584</v>
      </c>
      <c r="H457" t="b">
        <v>0</v>
      </c>
      <c r="I457" t="n">
        <v>295</v>
      </c>
      <c r="J457" t="n">
        <v>35.878</v>
      </c>
      <c r="K457" t="inlineStr">
        <is>
          <t>&gt; Cuidado Capilar &gt; Shampoo Y Acondicionador &gt;</t>
        </is>
      </c>
      <c r="L457" t="inlineStr">
        <is>
          <t>shampoo</t>
        </is>
      </c>
      <c r="M457" t="inlineStr">
        <is>
          <t>estandar</t>
        </is>
      </c>
      <c r="N457" t="inlineStr">
        <is>
          <t>general</t>
        </is>
      </c>
      <c r="O457" t="inlineStr">
        <is>
          <t>https://www.farmacity.com/shampoo-biferdil-con-aceite-de-argan-y-camelia-x-295-ml/p</t>
        </is>
      </c>
    </row>
    <row r="458">
      <c r="A458" s="6" t="inlineStr">
        <is>
          <t>Farmacity</t>
        </is>
      </c>
      <c r="B458" s="6" t="n">
        <v>163841</v>
      </c>
      <c r="C458" s="6" t="n">
        <v>163841</v>
      </c>
      <c r="D458" s="6" t="inlineStr">
        <is>
          <t>Shampoo Fructis Rizos Poderosos x 200 ml</t>
        </is>
      </c>
      <c r="E458" s="6" t="inlineStr">
        <is>
          <t>Fructis</t>
        </is>
      </c>
      <c r="F458" s="6" t="n">
        <v>4590</v>
      </c>
      <c r="G458" s="6" t="n">
        <v>4590</v>
      </c>
      <c r="H458" s="6" t="b">
        <v>0</v>
      </c>
      <c r="I458" s="6" t="n">
        <v>200</v>
      </c>
      <c r="J458" s="6" t="n">
        <v>22.95</v>
      </c>
      <c r="K458" s="6" t="inlineStr">
        <is>
          <t>&gt; Cuidado Capilar &gt; Shampoo Y Acondicionador &gt;</t>
        </is>
      </c>
      <c r="L458" s="6" t="inlineStr">
        <is>
          <t>shampoo</t>
        </is>
      </c>
      <c r="M458" s="6" t="inlineStr">
        <is>
          <t>estandar</t>
        </is>
      </c>
      <c r="N458" s="6" t="inlineStr">
        <is>
          <t>rizado</t>
        </is>
      </c>
      <c r="O458" s="6" t="inlineStr">
        <is>
          <t>https://www.farmacity.com/shampoo-fructis-rizos-poderosos-x-200ml/p</t>
        </is>
      </c>
    </row>
    <row r="459">
      <c r="A459" t="inlineStr">
        <is>
          <t>Farmacity</t>
        </is>
      </c>
      <c r="B459" t="n">
        <v>133833</v>
      </c>
      <c r="C459" t="n">
        <v>133833</v>
      </c>
      <c r="D459" t="inlineStr">
        <is>
          <t>Shampoo Bioderma Node Ds + Producto Cosm‚Tico x 125 ml</t>
        </is>
      </c>
      <c r="E459" t="inlineStr">
        <is>
          <t>Bioderma</t>
        </is>
      </c>
      <c r="F459" t="n">
        <v>26990</v>
      </c>
      <c r="G459" t="n">
        <v>26990</v>
      </c>
      <c r="H459" t="b">
        <v>0</v>
      </c>
      <c r="I459" t="n">
        <v>125</v>
      </c>
      <c r="J459" t="n">
        <v>215.92</v>
      </c>
      <c r="K459" t="inlineStr">
        <is>
          <t>&gt; Venta Bajo Receta &gt; Dermatológico &gt;</t>
        </is>
      </c>
      <c r="L459" t="inlineStr">
        <is>
          <t>shampoo</t>
        </is>
      </c>
      <c r="M459" t="inlineStr">
        <is>
          <t>estandar</t>
        </is>
      </c>
      <c r="N459" t="inlineStr">
        <is>
          <t>general</t>
        </is>
      </c>
      <c r="O459" t="inlineStr">
        <is>
          <t>https://www.farmacity.com/shampoo-bioderma-node-ds-x-125-ml/p</t>
        </is>
      </c>
    </row>
    <row r="460">
      <c r="A460" s="6" t="inlineStr">
        <is>
          <t>Farmacity</t>
        </is>
      </c>
      <c r="B460" s="6" t="n">
        <v>41714</v>
      </c>
      <c r="C460" s="6" t="n">
        <v>41714</v>
      </c>
      <c r="D460" s="6" t="inlineStr">
        <is>
          <t>Shampoo Hol Trietanolamina + Asoc. x 250 ml</t>
        </is>
      </c>
      <c r="E460" s="6" t="inlineStr">
        <is>
          <t>Ethicus</t>
        </is>
      </c>
      <c r="F460" s="6" t="n">
        <v>9300</v>
      </c>
      <c r="G460" s="6" t="n">
        <v>9300</v>
      </c>
      <c r="H460" s="6" t="b">
        <v>0</v>
      </c>
      <c r="I460" s="6" t="n">
        <v>250</v>
      </c>
      <c r="J460" s="6" t="n">
        <v>37.2</v>
      </c>
      <c r="K460" s="6" t="inlineStr">
        <is>
          <t>&gt; Venta Bajo Receta &gt; Dermatológico &gt;</t>
        </is>
      </c>
      <c r="L460" s="6" t="inlineStr">
        <is>
          <t>shampoo</t>
        </is>
      </c>
      <c r="M460" s="6" t="inlineStr">
        <is>
          <t>estandar</t>
        </is>
      </c>
      <c r="N460" s="6" t="inlineStr">
        <is>
          <t>general</t>
        </is>
      </c>
      <c r="O460" s="6" t="inlineStr">
        <is>
          <t>https://www.farmacity.com/shampoo-hol-trietanolamina-asoc-x-250-ml/p</t>
        </is>
      </c>
    </row>
    <row r="461">
      <c r="A461" t="inlineStr">
        <is>
          <t>Farmacity</t>
        </is>
      </c>
      <c r="B461" t="n">
        <v>8076</v>
      </c>
      <c r="C461" t="n">
        <v>153319</v>
      </c>
      <c r="D461" t="inlineStr">
        <is>
          <t>Shampoo Pantene Rizos Definidos x 400 ml</t>
        </is>
      </c>
      <c r="E461" t="inlineStr">
        <is>
          <t>Pantene</t>
        </is>
      </c>
      <c r="F461" t="n">
        <v>6120</v>
      </c>
      <c r="G461" t="n">
        <v>6120</v>
      </c>
      <c r="H461" t="b">
        <v>0</v>
      </c>
      <c r="I461" t="n">
        <v>400</v>
      </c>
      <c r="J461" t="n">
        <v>15.3</v>
      </c>
      <c r="K461" t="inlineStr">
        <is>
          <t>&gt; Cuidado Capilar &gt; Shampoo Y Acondicionador &gt;</t>
        </is>
      </c>
      <c r="L461" t="inlineStr">
        <is>
          <t>shampoo</t>
        </is>
      </c>
      <c r="M461" t="inlineStr">
        <is>
          <t>estandar</t>
        </is>
      </c>
      <c r="N461" t="inlineStr">
        <is>
          <t>rizado</t>
        </is>
      </c>
      <c r="O461" t="inlineStr">
        <is>
          <t>https://www.farmacity.com/shampoo-max-pro-v-rizos-definidos-x-400-ml/p</t>
        </is>
      </c>
    </row>
    <row r="462">
      <c r="A462" s="6" t="inlineStr">
        <is>
          <t>Farmacity</t>
        </is>
      </c>
      <c r="B462" s="6" t="n">
        <v>1244</v>
      </c>
      <c r="C462" s="6" t="n">
        <v>135587</v>
      </c>
      <c r="D462" s="6" t="inlineStr">
        <is>
          <t>Shampoo Biferdil Suaviza sin TACC x 180 ml</t>
        </is>
      </c>
      <c r="E462" s="6" t="inlineStr">
        <is>
          <t>Biferdil</t>
        </is>
      </c>
      <c r="F462" s="6" t="n">
        <v>12636</v>
      </c>
      <c r="G462" s="6" t="n">
        <v>12636</v>
      </c>
      <c r="H462" s="6" t="b">
        <v>0</v>
      </c>
      <c r="I462" s="6" t="n">
        <v>180</v>
      </c>
      <c r="J462" s="6" t="n">
        <v>70.2</v>
      </c>
      <c r="K462" s="6" t="inlineStr">
        <is>
          <t>&gt; Cuidado Capilar &gt; Shampoo Y Acondicionador &gt;</t>
        </is>
      </c>
      <c r="L462" s="6" t="inlineStr">
        <is>
          <t>shampoo</t>
        </is>
      </c>
      <c r="M462" s="6" t="inlineStr">
        <is>
          <t>estandar</t>
        </is>
      </c>
      <c r="N462" s="6" t="inlineStr">
        <is>
          <t>general</t>
        </is>
      </c>
      <c r="O462" s="6" t="inlineStr">
        <is>
          <t>https://www.farmacity.com/shampoo-suaviza-libre-de-gluten-sin-tacc-x-180-ml/p</t>
        </is>
      </c>
    </row>
    <row r="463">
      <c r="A463" t="inlineStr">
        <is>
          <t>Farmacity</t>
        </is>
      </c>
      <c r="B463" t="n">
        <v>232845</v>
      </c>
      <c r="C463" t="n">
        <v>232845</v>
      </c>
      <c r="D463" t="inlineStr">
        <is>
          <t>Shampoo Tío Nacho Purificación con Células Madre x 415 ml</t>
        </is>
      </c>
      <c r="E463" t="inlineStr">
        <is>
          <t>Tío Nacho</t>
        </is>
      </c>
      <c r="F463" t="n">
        <v>10186</v>
      </c>
      <c r="G463" t="n">
        <v>10186</v>
      </c>
      <c r="H463" t="b">
        <v>0</v>
      </c>
      <c r="I463" t="n">
        <v>415</v>
      </c>
      <c r="J463" t="n">
        <v>24.5446</v>
      </c>
      <c r="K463" t="inlineStr">
        <is>
          <t>&gt; Cuidado Capilar &gt; Shampoo Y Acondicionador &gt;</t>
        </is>
      </c>
      <c r="L463" t="inlineStr">
        <is>
          <t>shampoo</t>
        </is>
      </c>
      <c r="M463" t="inlineStr">
        <is>
          <t>estandar</t>
        </is>
      </c>
      <c r="N463" t="inlineStr">
        <is>
          <t>general</t>
        </is>
      </c>
      <c r="O463" t="inlineStr">
        <is>
          <t>https://www.farmacity.com/shampoo-tio-nacho-purificacion-con-celulas-madre-x-415-ml/p</t>
        </is>
      </c>
    </row>
    <row r="464">
      <c r="A464" s="6" t="inlineStr">
        <is>
          <t>Farmacity</t>
        </is>
      </c>
      <c r="B464" s="6" t="n">
        <v>230662</v>
      </c>
      <c r="C464" s="6" t="n">
        <v>230662</v>
      </c>
      <c r="D464" s="6" t="inlineStr">
        <is>
          <t>Shampoo Il Salone Detox x 500 ml</t>
        </is>
      </c>
      <c r="E464" s="6" t="inlineStr">
        <is>
          <t>IL SALONE</t>
        </is>
      </c>
      <c r="F464" s="6" t="n">
        <v>12487</v>
      </c>
      <c r="G464" s="6" t="n">
        <v>12487</v>
      </c>
      <c r="H464" s="6" t="b">
        <v>0</v>
      </c>
      <c r="I464" s="6" t="n">
        <v>500</v>
      </c>
      <c r="J464" s="6" t="n">
        <v>24.974</v>
      </c>
      <c r="K464" s="6" t="inlineStr">
        <is>
          <t>&gt; Cuidado Capilar &gt; Shampoo Y Acondicionador &gt;</t>
        </is>
      </c>
      <c r="L464" s="6" t="inlineStr">
        <is>
          <t>shampoo</t>
        </is>
      </c>
      <c r="M464" s="6" t="inlineStr">
        <is>
          <t>estandar</t>
        </is>
      </c>
      <c r="N464" s="6" t="inlineStr">
        <is>
          <t>general</t>
        </is>
      </c>
      <c r="O464" s="6" t="inlineStr">
        <is>
          <t>https://www.farmacity.com/shampoo-il-salone-detox-x-500-ml/p</t>
        </is>
      </c>
    </row>
    <row r="465">
      <c r="A465" t="inlineStr">
        <is>
          <t>Farmacity</t>
        </is>
      </c>
      <c r="B465" t="n">
        <v>230601</v>
      </c>
      <c r="C465" t="n">
        <v>230601</v>
      </c>
      <c r="D465" t="inlineStr">
        <is>
          <t>Shampoo Tresemmé Ondas Boho x 250 ml</t>
        </is>
      </c>
      <c r="E465" t="inlineStr">
        <is>
          <t>Tresemmé</t>
        </is>
      </c>
      <c r="F465" t="n">
        <v>3676</v>
      </c>
      <c r="G465" t="n">
        <v>3676</v>
      </c>
      <c r="H465" t="b">
        <v>0</v>
      </c>
      <c r="I465" t="n">
        <v>250</v>
      </c>
      <c r="J465" t="n">
        <v>14.704</v>
      </c>
      <c r="K465" t="inlineStr">
        <is>
          <t>&gt; Cuidado Capilar &gt; Shampoo Y Acondicionador &gt;</t>
        </is>
      </c>
      <c r="L465" t="inlineStr">
        <is>
          <t>shampoo</t>
        </is>
      </c>
      <c r="M465" t="inlineStr">
        <is>
          <t>estandar</t>
        </is>
      </c>
      <c r="N465" t="inlineStr">
        <is>
          <t>general</t>
        </is>
      </c>
      <c r="O465" t="inlineStr">
        <is>
          <t>https://www.farmacity.com/shampoo-tresemme-ondas-boho-x-250-ml/p</t>
        </is>
      </c>
    </row>
    <row r="466">
      <c r="A466" s="6" t="inlineStr">
        <is>
          <t>Farmacity</t>
        </is>
      </c>
      <c r="B466" s="6" t="n">
        <v>230600</v>
      </c>
      <c r="C466" s="6" t="n">
        <v>230600</v>
      </c>
      <c r="D466" s="6" t="inlineStr">
        <is>
          <t>Shampoo Tresemmé Matrizador Ultravioleta x 250 ml</t>
        </is>
      </c>
      <c r="E466" s="6" t="inlineStr">
        <is>
          <t>Tresemmé</t>
        </is>
      </c>
      <c r="F466" s="6" t="n">
        <v>3676</v>
      </c>
      <c r="G466" s="6" t="n">
        <v>3676</v>
      </c>
      <c r="H466" s="6" t="b">
        <v>0</v>
      </c>
      <c r="I466" s="6" t="n">
        <v>250</v>
      </c>
      <c r="J466" s="6" t="n">
        <v>14.704</v>
      </c>
      <c r="K466" s="6" t="inlineStr">
        <is>
          <t>&gt; Cuidado Capilar &gt; Shampoo Y Acondicionador &gt;</t>
        </is>
      </c>
      <c r="L466" s="6" t="inlineStr">
        <is>
          <t>shampoo</t>
        </is>
      </c>
      <c r="M466" s="6" t="inlineStr">
        <is>
          <t>estandar</t>
        </is>
      </c>
      <c r="N466" s="6" t="inlineStr">
        <is>
          <t>rizado</t>
        </is>
      </c>
      <c r="O466" s="6" t="inlineStr">
        <is>
          <t>https://www.farmacity.com/shampoo-tresemme-matrizador-ultravioleta-x-250-ml/p</t>
        </is>
      </c>
    </row>
    <row r="467">
      <c r="A467" t="inlineStr">
        <is>
          <t>Farmacity</t>
        </is>
      </c>
      <c r="B467" t="n">
        <v>229995</v>
      </c>
      <c r="C467" t="n">
        <v>229995</v>
      </c>
      <c r="D467" t="inlineStr">
        <is>
          <t>Shampoo Seco Batiste Dark and Deep x 108 g</t>
        </is>
      </c>
      <c r="E467" t="inlineStr">
        <is>
          <t>Batiste</t>
        </is>
      </c>
      <c r="F467" t="n">
        <v>17955</v>
      </c>
      <c r="G467" t="n">
        <v>17955</v>
      </c>
      <c r="H467" t="b">
        <v>0</v>
      </c>
      <c r="I467" t="n">
        <v>108</v>
      </c>
      <c r="J467" t="n">
        <v>166.25</v>
      </c>
      <c r="K467" t="inlineStr">
        <is>
          <t>&gt; Cuidado Capilar &gt; Shampoo Y Acondicionador &gt;</t>
        </is>
      </c>
      <c r="L467" t="inlineStr">
        <is>
          <t>shampoo</t>
        </is>
      </c>
      <c r="M467" t="inlineStr">
        <is>
          <t>estandar</t>
        </is>
      </c>
      <c r="N467" t="inlineStr">
        <is>
          <t>seco_danado</t>
        </is>
      </c>
      <c r="O467" t="inlineStr">
        <is>
          <t>https://www.farmacity.com/shampoo-seco-batiste-brunette-x-200-ml/p</t>
        </is>
      </c>
    </row>
    <row r="468">
      <c r="A468" s="6" t="inlineStr">
        <is>
          <t>Farmacity</t>
        </is>
      </c>
      <c r="B468" s="6" t="n">
        <v>228567</v>
      </c>
      <c r="C468" s="6" t="n">
        <v>228567</v>
      </c>
      <c r="D468" s="6" t="inlineStr">
        <is>
          <t>Shampoo Solido Fructis Hair Food Aloe x 60 g</t>
        </is>
      </c>
      <c r="E468" s="6" t="inlineStr">
        <is>
          <t>Fructis</t>
        </is>
      </c>
      <c r="F468" s="6" t="n">
        <v>6368</v>
      </c>
      <c r="G468" s="6" t="n">
        <v>6368</v>
      </c>
      <c r="H468" s="6" t="b">
        <v>0</v>
      </c>
      <c r="I468" s="6" t="n">
        <v>60</v>
      </c>
      <c r="J468" s="6" t="n">
        <v>106.1333</v>
      </c>
      <c r="K468" s="6" t="inlineStr">
        <is>
          <t>&gt; Cuidado Capilar &gt; Shampoo Y Acondicionador &gt;</t>
        </is>
      </c>
      <c r="L468" s="6" t="inlineStr">
        <is>
          <t>shampoo</t>
        </is>
      </c>
      <c r="M468" s="6" t="inlineStr">
        <is>
          <t>estandar</t>
        </is>
      </c>
      <c r="N468" s="6" t="inlineStr">
        <is>
          <t>general</t>
        </is>
      </c>
      <c r="O468" s="6" t="inlineStr">
        <is>
          <t>https://www.farmacity.com/shampoo-solido-garnier-fructis-hair-aloe-vera-x-60-g/p</t>
        </is>
      </c>
    </row>
    <row r="469">
      <c r="A469" t="inlineStr">
        <is>
          <t>Farmacity</t>
        </is>
      </c>
      <c r="B469" t="n">
        <v>228566</v>
      </c>
      <c r="C469" t="n">
        <v>228566</v>
      </c>
      <c r="D469" t="inlineStr">
        <is>
          <t>Shampoo Solido Fructis Hair Food Coco x 60 g</t>
        </is>
      </c>
      <c r="E469" t="inlineStr">
        <is>
          <t>Fructis</t>
        </is>
      </c>
      <c r="F469" t="n">
        <v>6368</v>
      </c>
      <c r="G469" t="n">
        <v>6368</v>
      </c>
      <c r="H469" t="b">
        <v>0</v>
      </c>
      <c r="I469" t="n">
        <v>60</v>
      </c>
      <c r="J469" t="n">
        <v>106.1333</v>
      </c>
      <c r="K469" t="inlineStr">
        <is>
          <t>&gt; Cuidado Capilar &gt; Shampoo Y Acondicionador &gt;</t>
        </is>
      </c>
      <c r="L469" t="inlineStr">
        <is>
          <t>shampoo</t>
        </is>
      </c>
      <c r="M469" t="inlineStr">
        <is>
          <t>estandar</t>
        </is>
      </c>
      <c r="N469" t="inlineStr">
        <is>
          <t>general</t>
        </is>
      </c>
      <c r="O469" t="inlineStr">
        <is>
          <t>https://www.farmacity.com/shampoo-solido-garnier-fructis-hair-food-coco-x-60-g/p</t>
        </is>
      </c>
    </row>
    <row r="470">
      <c r="A470" s="6" t="inlineStr">
        <is>
          <t>Farmacity</t>
        </is>
      </c>
      <c r="B470" s="6" t="n">
        <v>224953</v>
      </c>
      <c r="C470" s="6" t="n">
        <v>224953</v>
      </c>
      <c r="D470" s="6" t="inlineStr">
        <is>
          <t>Shampoo Tío Nacho Purificación x 200 ml</t>
        </is>
      </c>
      <c r="E470" s="6" t="inlineStr">
        <is>
          <t>Tío Nacho</t>
        </is>
      </c>
      <c r="F470" s="6" t="n">
        <v>6411</v>
      </c>
      <c r="G470" s="6" t="n">
        <v>6411</v>
      </c>
      <c r="H470" s="6" t="b">
        <v>0</v>
      </c>
      <c r="I470" s="6" t="n">
        <v>200</v>
      </c>
      <c r="J470" s="6" t="n">
        <v>32.055</v>
      </c>
      <c r="K470" s="6" t="inlineStr">
        <is>
          <t>&gt; Cuidado Capilar &gt; Shampoo Y Acondicionador &gt;</t>
        </is>
      </c>
      <c r="L470" s="6" t="inlineStr">
        <is>
          <t>shampoo</t>
        </is>
      </c>
      <c r="M470" s="6" t="inlineStr">
        <is>
          <t>estandar</t>
        </is>
      </c>
      <c r="N470" s="6" t="inlineStr">
        <is>
          <t>general</t>
        </is>
      </c>
      <c r="O470" s="6" t="inlineStr">
        <is>
          <t>https://www.farmacity.com/shampoo-tio-nacho-purificacion-celulas-madre-x-200-ml/p</t>
        </is>
      </c>
    </row>
    <row r="471">
      <c r="A471" t="inlineStr">
        <is>
          <t>Farmacity</t>
        </is>
      </c>
      <c r="B471" t="n">
        <v>220337</v>
      </c>
      <c r="C471" t="n">
        <v>220337</v>
      </c>
      <c r="D471" t="inlineStr">
        <is>
          <t>Shampoo Pantene Prov Essentials Restauración x 750 ml</t>
        </is>
      </c>
      <c r="E471" t="inlineStr">
        <is>
          <t>Pantene</t>
        </is>
      </c>
      <c r="F471" t="n">
        <v>7014</v>
      </c>
      <c r="G471" t="n">
        <v>7014</v>
      </c>
      <c r="H471" t="b">
        <v>0</v>
      </c>
      <c r="I471" t="n">
        <v>750</v>
      </c>
      <c r="J471" t="n">
        <v>9.352</v>
      </c>
      <c r="K471" t="inlineStr">
        <is>
          <t>&gt; Cuidado Capilar &gt; Shampoo Y Acondicionador &gt;</t>
        </is>
      </c>
      <c r="L471" t="inlineStr">
        <is>
          <t>shampoo</t>
        </is>
      </c>
      <c r="M471" t="inlineStr">
        <is>
          <t>profesional</t>
        </is>
      </c>
      <c r="N471" t="inlineStr">
        <is>
          <t>general</t>
        </is>
      </c>
      <c r="O471" t="inlineStr">
        <is>
          <t>https://www.farmacity.com/shampoo-pantene-miracle-restauracion-x-750-ml/p</t>
        </is>
      </c>
    </row>
    <row r="472">
      <c r="A472" s="6" t="inlineStr">
        <is>
          <t>Farmacity</t>
        </is>
      </c>
      <c r="B472" s="6" t="n">
        <v>220333</v>
      </c>
      <c r="C472" s="6" t="n">
        <v>220333</v>
      </c>
      <c r="D472" s="6" t="inlineStr">
        <is>
          <t>Shampoo Pantene Prov Essentials Restauración x 200 ml</t>
        </is>
      </c>
      <c r="E472" s="6" t="inlineStr">
        <is>
          <t>Pantene</t>
        </is>
      </c>
      <c r="F472" s="6" t="n">
        <v>3491</v>
      </c>
      <c r="G472" s="6" t="n">
        <v>3491</v>
      </c>
      <c r="H472" s="6" t="b">
        <v>0</v>
      </c>
      <c r="I472" s="6" t="n">
        <v>200</v>
      </c>
      <c r="J472" s="6" t="n">
        <v>17.455</v>
      </c>
      <c r="K472" s="6" t="inlineStr">
        <is>
          <t>&gt; Cuidado Capilar &gt; Shampoo Y Acondicionador &gt;</t>
        </is>
      </c>
      <c r="L472" s="6" t="inlineStr">
        <is>
          <t>shampoo</t>
        </is>
      </c>
      <c r="M472" s="6" t="inlineStr">
        <is>
          <t>profesional</t>
        </is>
      </c>
      <c r="N472" s="6" t="inlineStr">
        <is>
          <t>general</t>
        </is>
      </c>
      <c r="O472" s="6" t="inlineStr">
        <is>
          <t>https://www.farmacity.com/shampoo-pantene-miracle-restauracion-x-200-ml/p</t>
        </is>
      </c>
    </row>
    <row r="473">
      <c r="A473" t="inlineStr">
        <is>
          <t>Farmacity</t>
        </is>
      </c>
      <c r="B473" t="n">
        <v>218290</v>
      </c>
      <c r="C473" t="n">
        <v>218290</v>
      </c>
      <c r="D473" t="inlineStr">
        <is>
          <t>Shampoo Klorane Cupuacu x 400ml Shampoo Klorane Cupuacu x 400 ml</t>
        </is>
      </c>
      <c r="E473" t="inlineStr">
        <is>
          <t>Klorane</t>
        </is>
      </c>
      <c r="F473" t="n">
        <v>43500</v>
      </c>
      <c r="G473" t="n">
        <v>43500</v>
      </c>
      <c r="H473" t="b">
        <v>0</v>
      </c>
      <c r="I473" t="n">
        <v>400</v>
      </c>
      <c r="J473" t="n">
        <v>108.75</v>
      </c>
      <c r="K473" t="inlineStr">
        <is>
          <t>&gt; Dermocosmética &gt; Pelo &gt; Shampoos y Acondicionadores &gt;</t>
        </is>
      </c>
      <c r="L473" t="inlineStr">
        <is>
          <t>shampoo</t>
        </is>
      </c>
      <c r="M473" t="inlineStr">
        <is>
          <t>estandar</t>
        </is>
      </c>
      <c r="N473" t="inlineStr">
        <is>
          <t>general</t>
        </is>
      </c>
      <c r="O473" t="inlineStr">
        <is>
          <t>https://www.farmacity.com/shampoo-klorane-cupuacu-x-400--ml/p</t>
        </is>
      </c>
    </row>
    <row r="474">
      <c r="A474" s="6" t="inlineStr">
        <is>
          <t>Farmacity</t>
        </is>
      </c>
      <c r="B474" s="6" t="n">
        <v>217237</v>
      </c>
      <c r="C474" s="6" t="n">
        <v>217237</v>
      </c>
      <c r="D474" s="6" t="inlineStr">
        <is>
          <t>Shampoo Tío Nacho Aclarante Recargable Doypack x 400 ml</t>
        </is>
      </c>
      <c r="E474" s="6" t="inlineStr">
        <is>
          <t>Tío Nacho</t>
        </is>
      </c>
      <c r="F474" s="6" t="n">
        <v>8300</v>
      </c>
      <c r="G474" s="6" t="n">
        <v>8300</v>
      </c>
      <c r="H474" s="6" t="b">
        <v>0</v>
      </c>
      <c r="I474" s="6" t="n">
        <v>400</v>
      </c>
      <c r="J474" s="6" t="n">
        <v>20.75</v>
      </c>
      <c r="K474" s="6" t="inlineStr">
        <is>
          <t>&gt; Cuidado Capilar &gt; Shampoo Y Acondicionador &gt;</t>
        </is>
      </c>
      <c r="L474" s="6" t="inlineStr">
        <is>
          <t>tratamiento</t>
        </is>
      </c>
      <c r="M474" s="6" t="inlineStr">
        <is>
          <t>estandar</t>
        </is>
      </c>
      <c r="N474" s="6" t="inlineStr">
        <is>
          <t>general</t>
        </is>
      </c>
      <c r="O474" s="6" t="inlineStr">
        <is>
          <t>https://www.farmacity.com/repuesto-economico-shampoo-tio-nacho-aclarante-x-400-ml/p</t>
        </is>
      </c>
    </row>
    <row r="475">
      <c r="A475" t="inlineStr">
        <is>
          <t>Farmacity</t>
        </is>
      </c>
      <c r="B475" t="n">
        <v>217233</v>
      </c>
      <c r="C475" t="n">
        <v>217233</v>
      </c>
      <c r="D475" t="inlineStr">
        <is>
          <t>Shampoo Tío Nacho Herbolaria Milenaria Recargable Doypack x 400 ml</t>
        </is>
      </c>
      <c r="E475" t="inlineStr">
        <is>
          <t>Tío Nacho</t>
        </is>
      </c>
      <c r="F475" t="n">
        <v>8300</v>
      </c>
      <c r="G475" t="n">
        <v>8300</v>
      </c>
      <c r="H475" t="b">
        <v>0</v>
      </c>
      <c r="I475" t="n">
        <v>400</v>
      </c>
      <c r="J475" t="n">
        <v>20.75</v>
      </c>
      <c r="K475" t="inlineStr">
        <is>
          <t>&gt; Cuidado Capilar &gt; Shampoo Y Acondicionador &gt;</t>
        </is>
      </c>
      <c r="L475" t="inlineStr">
        <is>
          <t>tratamiento</t>
        </is>
      </c>
      <c r="M475" t="inlineStr">
        <is>
          <t>estandar</t>
        </is>
      </c>
      <c r="N475" t="inlineStr">
        <is>
          <t>general</t>
        </is>
      </c>
      <c r="O475" t="inlineStr">
        <is>
          <t>https://www.farmacity.com/repuesto-economico-shampoo-tio-nacho-herbolaria-milenaria-x-400-ml/p</t>
        </is>
      </c>
    </row>
    <row r="476">
      <c r="A476" s="6" t="inlineStr">
        <is>
          <t>Farmacity</t>
        </is>
      </c>
      <c r="B476" s="6" t="n">
        <v>217111</v>
      </c>
      <c r="C476" s="6" t="n">
        <v>217111</v>
      </c>
      <c r="D476" s="6" t="inlineStr">
        <is>
          <t>Shampoo Alfaparf Milano Semi Di Lino x 250 ml</t>
        </is>
      </c>
      <c r="E476" s="6" t="inlineStr">
        <is>
          <t>Alfaparf Milano</t>
        </is>
      </c>
      <c r="F476" s="6" t="n">
        <v>30992</v>
      </c>
      <c r="G476" s="6" t="n">
        <v>30992</v>
      </c>
      <c r="H476" s="6" t="b">
        <v>0</v>
      </c>
      <c r="I476" s="6" t="n">
        <v>250</v>
      </c>
      <c r="J476" s="6" t="n">
        <v>123.968</v>
      </c>
      <c r="K476" s="6" t="inlineStr">
        <is>
          <t>&gt; Cuidado Capilar &gt; Shampoo Y Acondicionador &gt;</t>
        </is>
      </c>
      <c r="L476" s="6" t="inlineStr">
        <is>
          <t>shampoo</t>
        </is>
      </c>
      <c r="M476" s="6" t="inlineStr">
        <is>
          <t>estandar</t>
        </is>
      </c>
      <c r="N476" s="6" t="inlineStr">
        <is>
          <t>general</t>
        </is>
      </c>
      <c r="O476" s="6" t="inlineStr">
        <is>
          <t>https://www.farmacity.com/shampoo-alfaparf-milano-semi-di-lino-volumizing-low-x-250-ml/p</t>
        </is>
      </c>
    </row>
    <row r="477">
      <c r="A477" t="inlineStr">
        <is>
          <t>Farmacity</t>
        </is>
      </c>
      <c r="B477" t="n">
        <v>217097</v>
      </c>
      <c r="C477" t="n">
        <v>217097</v>
      </c>
      <c r="D477" t="inlineStr">
        <is>
          <t>Shampoo Alfaparf Milano Diamond Illuminating x 250 ml</t>
        </is>
      </c>
      <c r="E477" t="inlineStr">
        <is>
          <t>Alfaparf Milano</t>
        </is>
      </c>
      <c r="F477" t="n">
        <v>50205</v>
      </c>
      <c r="G477" t="n">
        <v>50205</v>
      </c>
      <c r="H477" t="b">
        <v>0</v>
      </c>
      <c r="I477" t="n">
        <v>250</v>
      </c>
      <c r="J477" t="n">
        <v>200.82</v>
      </c>
      <c r="K477" t="inlineStr">
        <is>
          <t>&gt; Cuidado Capilar &gt; Shampoo Y Acondicionador &gt;</t>
        </is>
      </c>
      <c r="L477" t="inlineStr">
        <is>
          <t>shampoo</t>
        </is>
      </c>
      <c r="M477" t="inlineStr">
        <is>
          <t>estandar</t>
        </is>
      </c>
      <c r="N477" t="inlineStr">
        <is>
          <t>general</t>
        </is>
      </c>
      <c r="O477" t="inlineStr">
        <is>
          <t>https://www.farmacity.com/low-shampoo-alfaparf-milano-semi-di-lino-diamond-illuminating-x-250-ml/p</t>
        </is>
      </c>
    </row>
    <row r="478">
      <c r="A478" s="6" t="inlineStr">
        <is>
          <t>Farmacity</t>
        </is>
      </c>
      <c r="B478" s="6" t="n">
        <v>211247</v>
      </c>
      <c r="C478" s="6" t="n">
        <v>211247</v>
      </c>
      <c r="D478" s="6" t="inlineStr">
        <is>
          <t>Shampoo Dove Nutritive Ritual de Crecimiento x 400 ml</t>
        </is>
      </c>
      <c r="E478" s="6" t="inlineStr">
        <is>
          <t>Dove</t>
        </is>
      </c>
      <c r="F478" s="6" t="n">
        <v>7694</v>
      </c>
      <c r="G478" s="6" t="n">
        <v>7694</v>
      </c>
      <c r="H478" s="6" t="b">
        <v>0</v>
      </c>
      <c r="I478" s="6" t="n">
        <v>400</v>
      </c>
      <c r="J478" s="6" t="n">
        <v>19.235</v>
      </c>
      <c r="K478" s="6" t="inlineStr">
        <is>
          <t>&gt; Cuidado Capilar &gt; Shampoo Y Acondicionador &gt;</t>
        </is>
      </c>
      <c r="L478" s="6" t="inlineStr">
        <is>
          <t>shampoo</t>
        </is>
      </c>
      <c r="M478" s="6" t="inlineStr">
        <is>
          <t>estandar</t>
        </is>
      </c>
      <c r="N478" s="6" t="inlineStr">
        <is>
          <t>general</t>
        </is>
      </c>
      <c r="O478" s="6" t="inlineStr">
        <is>
          <t>https://www.farmacity.com/acondicionador-dove-ritual-crecimiento-x-400-ml/p</t>
        </is>
      </c>
    </row>
    <row r="479">
      <c r="A479" t="inlineStr">
        <is>
          <t>Farmacity</t>
        </is>
      </c>
      <c r="B479" t="n">
        <v>164897</v>
      </c>
      <c r="C479" t="n">
        <v>164897</v>
      </c>
      <c r="D479" t="inlineStr">
        <is>
          <t>Shampoo Control Alsora Isdin x 200 ml</t>
        </is>
      </c>
      <c r="E479" t="inlineStr">
        <is>
          <t>Isdin</t>
        </is>
      </c>
      <c r="F479" t="n">
        <v>68508</v>
      </c>
      <c r="G479" t="n">
        <v>68508</v>
      </c>
      <c r="H479" t="b">
        <v>0</v>
      </c>
      <c r="I479" t="n">
        <v>200</v>
      </c>
      <c r="J479" t="n">
        <v>342.54</v>
      </c>
      <c r="K479" t="inlineStr">
        <is>
          <t>&gt; Dermocosmética &gt; Pelo &gt; Shampoos y Acondicionadores &gt;</t>
        </is>
      </c>
      <c r="L479" t="inlineStr">
        <is>
          <t>shampoo</t>
        </is>
      </c>
      <c r="M479" t="inlineStr">
        <is>
          <t>estandar</t>
        </is>
      </c>
      <c r="N479" t="inlineStr">
        <is>
          <t>general</t>
        </is>
      </c>
      <c r="O479" t="inlineStr">
        <is>
          <t>https://www.farmacity.com/shampoo-control-alsora-isdin-x-200-ml/p</t>
        </is>
      </c>
    </row>
    <row r="480">
      <c r="A480" s="6" t="inlineStr">
        <is>
          <t>Farmacity</t>
        </is>
      </c>
      <c r="B480" s="6" t="n">
        <v>162782</v>
      </c>
      <c r="C480" s="6" t="n">
        <v>162782</v>
      </c>
      <c r="D480" s="6" t="inlineStr">
        <is>
          <t>Shampoo Ayurvédico Sri Sri Tattva Anti Caspa x 200 ml</t>
        </is>
      </c>
      <c r="E480" s="6" t="inlineStr">
        <is>
          <t>Sri Sri Tattva</t>
        </is>
      </c>
      <c r="F480" s="6" t="n">
        <v>17142</v>
      </c>
      <c r="G480" s="6" t="n">
        <v>17142</v>
      </c>
      <c r="H480" s="6" t="b">
        <v>0</v>
      </c>
      <c r="I480" s="6" t="n">
        <v>200</v>
      </c>
      <c r="J480" s="6" t="n">
        <v>85.70999999999999</v>
      </c>
      <c r="K480" s="6" t="inlineStr">
        <is>
          <t>&gt; Cuidado Capilar &gt; Shampoo Y Acondicionador &gt;</t>
        </is>
      </c>
      <c r="L480" s="6" t="inlineStr">
        <is>
          <t>shampoo</t>
        </is>
      </c>
      <c r="M480" s="6" t="inlineStr">
        <is>
          <t>estandar</t>
        </is>
      </c>
      <c r="N480" s="6" t="inlineStr">
        <is>
          <t>anticaspa</t>
        </is>
      </c>
      <c r="O480" s="6" t="inlineStr">
        <is>
          <t>https://www.farmacity.com/shampoo-ayurvedico-sri-sri-tattva-anti-caspa-x-200-ml/p</t>
        </is>
      </c>
    </row>
    <row r="481">
      <c r="A481" t="inlineStr">
        <is>
          <t>Farmacity</t>
        </is>
      </c>
      <c r="B481" t="n">
        <v>43393</v>
      </c>
      <c r="C481" t="n">
        <v>43393</v>
      </c>
      <c r="D481" t="inlineStr">
        <is>
          <t>Shampoo Amenite Cap Zinc Piritiona x 100 g</t>
        </is>
      </c>
      <c r="E481" t="inlineStr">
        <is>
          <t>Amenite</t>
        </is>
      </c>
      <c r="F481" t="n">
        <v>34125</v>
      </c>
      <c r="G481" t="n">
        <v>34125</v>
      </c>
      <c r="H481" t="b">
        <v>0</v>
      </c>
      <c r="I481" t="n">
        <v>100</v>
      </c>
      <c r="J481" t="n">
        <v>341.25</v>
      </c>
      <c r="K481" t="inlineStr">
        <is>
          <t>&gt; Venta Bajo Receta &gt; Dermatológico &gt;</t>
        </is>
      </c>
      <c r="L481" t="inlineStr">
        <is>
          <t>shampoo</t>
        </is>
      </c>
      <c r="M481" t="inlineStr">
        <is>
          <t>estandar</t>
        </is>
      </c>
      <c r="N481" t="inlineStr">
        <is>
          <t>general</t>
        </is>
      </c>
      <c r="O481" t="inlineStr">
        <is>
          <t>https://www.farmacity.com/shampoo-amenite-cap-zinc-piritiona-x-100-g/p</t>
        </is>
      </c>
    </row>
    <row r="482">
      <c r="A482" s="6" t="inlineStr">
        <is>
          <t>Farmacity</t>
        </is>
      </c>
      <c r="B482" s="6" t="n">
        <v>16824</v>
      </c>
      <c r="C482" s="6" t="n">
        <v>163828</v>
      </c>
      <c r="D482" s="6" t="inlineStr">
        <is>
          <t>Shampoo Garnier Fructis Goodbye Daños x 200 ml</t>
        </is>
      </c>
      <c r="E482" s="6" t="inlineStr">
        <is>
          <t>Fructis</t>
        </is>
      </c>
      <c r="F482" s="6" t="n">
        <v>5490</v>
      </c>
      <c r="G482" s="6" t="n">
        <v>5490</v>
      </c>
      <c r="H482" s="6" t="b">
        <v>0</v>
      </c>
      <c r="I482" s="6" t="n">
        <v>200</v>
      </c>
      <c r="J482" s="6" t="n">
        <v>27.45</v>
      </c>
      <c r="K482" s="6" t="inlineStr">
        <is>
          <t>&gt; Cuidado Capilar &gt; Shampoo Y Acondicionador &gt;</t>
        </is>
      </c>
      <c r="L482" s="6" t="inlineStr">
        <is>
          <t>shampoo</t>
        </is>
      </c>
      <c r="M482" s="6" t="inlineStr">
        <is>
          <t>estandar</t>
        </is>
      </c>
      <c r="N482" s="6" t="inlineStr">
        <is>
          <t>general</t>
        </is>
      </c>
      <c r="O482" s="6" t="inlineStr">
        <is>
          <t>https://www.farmacity.com/sha-garnier-fructis-borrador-de-dano-x200-ml/p</t>
        </is>
      </c>
    </row>
    <row r="483">
      <c r="A483" t="inlineStr">
        <is>
          <t>Farmacity</t>
        </is>
      </c>
      <c r="B483" t="n">
        <v>4799</v>
      </c>
      <c r="C483" t="n">
        <v>141205</v>
      </c>
      <c r="D483" t="inlineStr">
        <is>
          <t>Shampoo Elvive Keraliso Brillo y Sedosidad x 750 ml</t>
        </is>
      </c>
      <c r="E483" t="inlineStr">
        <is>
          <t>Elvive</t>
        </is>
      </c>
      <c r="F483" t="n">
        <v>11120</v>
      </c>
      <c r="G483" t="n">
        <v>11120</v>
      </c>
      <c r="H483" t="b">
        <v>0</v>
      </c>
      <c r="I483" t="n">
        <v>750</v>
      </c>
      <c r="J483" t="n">
        <v>14.8267</v>
      </c>
      <c r="K483" t="inlineStr">
        <is>
          <t>&gt; Cuidado Capilar &gt; Shampoo Y Acondicionador &gt;</t>
        </is>
      </c>
      <c r="L483" t="inlineStr">
        <is>
          <t>shampoo</t>
        </is>
      </c>
      <c r="M483" t="inlineStr">
        <is>
          <t>profesional</t>
        </is>
      </c>
      <c r="N483" t="inlineStr">
        <is>
          <t>general</t>
        </is>
      </c>
      <c r="O483" t="inlineStr">
        <is>
          <t>https://www.farmacity.com/shampoo-kera-liso-brillo-y-suavidad-x-750-ml/p</t>
        </is>
      </c>
    </row>
    <row r="484">
      <c r="A484" s="6" t="inlineStr">
        <is>
          <t>Farmacity</t>
        </is>
      </c>
      <c r="B484" s="6" t="n">
        <v>4386</v>
      </c>
      <c r="C484" s="6" t="n">
        <v>114476</v>
      </c>
      <c r="D484" s="6" t="inlineStr">
        <is>
          <t>Shampoo Capilatis Energizante x 370 ml</t>
        </is>
      </c>
      <c r="E484" s="6" t="inlineStr">
        <is>
          <t>Capilatis</t>
        </is>
      </c>
      <c r="F484" s="6" t="n">
        <v>13000</v>
      </c>
      <c r="G484" s="6" t="n">
        <v>13000</v>
      </c>
      <c r="H484" s="6" t="b">
        <v>0</v>
      </c>
      <c r="I484" s="6" t="n">
        <v>370</v>
      </c>
      <c r="J484" s="6" t="n">
        <v>35.1351</v>
      </c>
      <c r="K484" s="6" t="inlineStr">
        <is>
          <t>&gt; Cuidado Capilar &gt; Shampoo Y Acondicionador &gt;</t>
        </is>
      </c>
      <c r="L484" s="6" t="inlineStr">
        <is>
          <t>shampoo</t>
        </is>
      </c>
      <c r="M484" s="6" t="inlineStr">
        <is>
          <t>estandar</t>
        </is>
      </c>
      <c r="N484" s="6" t="inlineStr">
        <is>
          <t>general</t>
        </is>
      </c>
      <c r="O484" s="6" t="inlineStr">
        <is>
          <t>https://www.farmacity.com/shampoo-energizante-x-370-ml-114476/p</t>
        </is>
      </c>
    </row>
    <row r="485">
      <c r="A485" t="inlineStr">
        <is>
          <t>Farmacity</t>
        </is>
      </c>
      <c r="B485" t="n">
        <v>4188</v>
      </c>
      <c r="C485" t="n">
        <v>139193</v>
      </c>
      <c r="D485" t="inlineStr">
        <is>
          <t>Shampoo Elvive Kera-Liso MQ x 200 ml</t>
        </is>
      </c>
      <c r="E485" t="inlineStr">
        <is>
          <t>Elvive</t>
        </is>
      </c>
      <c r="F485" t="n">
        <v>2995</v>
      </c>
      <c r="G485" t="n">
        <v>5990</v>
      </c>
      <c r="H485" t="b">
        <v>0</v>
      </c>
      <c r="I485" t="n">
        <v>200</v>
      </c>
      <c r="J485" t="n">
        <v>14.975</v>
      </c>
      <c r="K485" t="inlineStr">
        <is>
          <t>&gt; Cuidado Capilar &gt; Shampoo Y Acondicionador &gt;</t>
        </is>
      </c>
      <c r="L485" t="inlineStr">
        <is>
          <t>shampoo</t>
        </is>
      </c>
      <c r="M485" t="inlineStr">
        <is>
          <t>profesional</t>
        </is>
      </c>
      <c r="N485" t="inlineStr">
        <is>
          <t>general</t>
        </is>
      </c>
      <c r="O485" t="inlineStr">
        <is>
          <t>https://www.farmacity.com/shampoo-kera-liso-230-x-200-ml/p</t>
        </is>
      </c>
    </row>
    <row r="486">
      <c r="A486" s="6" t="inlineStr">
        <is>
          <t>Farmacity</t>
        </is>
      </c>
      <c r="B486" s="6" t="n">
        <v>929</v>
      </c>
      <c r="C486" s="6" t="n">
        <v>23732</v>
      </c>
      <c r="D486" s="6" t="inlineStr">
        <is>
          <t>Shampoo Capilatis Anti Piojos x 500 ml</t>
        </is>
      </c>
      <c r="E486" s="6" t="inlineStr">
        <is>
          <t>Capilatis</t>
        </is>
      </c>
      <c r="F486" s="6" t="n">
        <v>6229</v>
      </c>
      <c r="G486" s="6" t="n">
        <v>6229</v>
      </c>
      <c r="H486" s="6" t="b">
        <v>0</v>
      </c>
      <c r="I486" s="6" t="n">
        <v>500</v>
      </c>
      <c r="J486" s="6" t="n">
        <v>12.458</v>
      </c>
      <c r="K486" s="6" t="inlineStr">
        <is>
          <t>&gt; Farmacia &gt; Pediculosis &gt; Shampoo Y Acondicionador &gt;</t>
        </is>
      </c>
      <c r="L486" s="6" t="inlineStr">
        <is>
          <t>shampoo</t>
        </is>
      </c>
      <c r="M486" s="6" t="inlineStr">
        <is>
          <t>estandar</t>
        </is>
      </c>
      <c r="N486" s="6" t="inlineStr">
        <is>
          <t>general</t>
        </is>
      </c>
      <c r="O486" s="6" t="inlineStr">
        <is>
          <t>https://www.farmacity.com/shampoo-x-500-ml/p</t>
        </is>
      </c>
    </row>
    <row r="487">
      <c r="A487" t="inlineStr">
        <is>
          <t>Farmacity</t>
        </is>
      </c>
      <c r="B487" t="n">
        <v>241021</v>
      </c>
      <c r="C487" t="n">
        <v>241021</v>
      </c>
      <c r="D487" t="inlineStr">
        <is>
          <t>Shampoo Boti-K Calendula Manzanilla Dp x 280 ml</t>
        </is>
      </c>
      <c r="E487" t="inlineStr">
        <is>
          <t>Boti-k</t>
        </is>
      </c>
      <c r="F487" t="n">
        <v>14258</v>
      </c>
      <c r="G487" t="n">
        <v>14258</v>
      </c>
      <c r="H487" t="b">
        <v>0</v>
      </c>
      <c r="I487" t="n">
        <v>280</v>
      </c>
      <c r="J487" t="n">
        <v>50.9214</v>
      </c>
      <c r="K487" t="inlineStr">
        <is>
          <t>&gt; Cuidado Capilar &gt; Shampoo Y Acondicionador &gt;</t>
        </is>
      </c>
      <c r="L487" t="inlineStr">
        <is>
          <t>shampoo</t>
        </is>
      </c>
      <c r="M487" t="inlineStr">
        <is>
          <t>estandar</t>
        </is>
      </c>
      <c r="N487" t="inlineStr">
        <is>
          <t>general</t>
        </is>
      </c>
      <c r="O487" t="inlineStr">
        <is>
          <t>https://www.farmacity.com/shampoo-boti-k-calendula-manzanilla-dp-x-280-ml/p</t>
        </is>
      </c>
    </row>
    <row r="488">
      <c r="A488" s="6" t="inlineStr">
        <is>
          <t>Farmacity</t>
        </is>
      </c>
      <c r="B488" s="6" t="n">
        <v>237005</v>
      </c>
      <c r="C488" s="6" t="n">
        <v>237005</v>
      </c>
      <c r="D488" s="6" t="inlineStr">
        <is>
          <t>Shampoo Sir Fausto Pure D-Tox x 250 ml</t>
        </is>
      </c>
      <c r="E488" s="6" t="inlineStr">
        <is>
          <t>Sir Fausto</t>
        </is>
      </c>
      <c r="F488" s="6" t="n">
        <v>11398</v>
      </c>
      <c r="G488" s="6" t="n">
        <v>11398</v>
      </c>
      <c r="H488" s="6" t="b">
        <v>0</v>
      </c>
      <c r="I488" s="6" t="n">
        <v>250</v>
      </c>
      <c r="J488" s="6" t="n">
        <v>45.592</v>
      </c>
      <c r="K488" s="6" t="inlineStr">
        <is>
          <t>&gt; Cuidado Capilar &gt; Shampoo Y Acondicionador &gt;</t>
        </is>
      </c>
      <c r="L488" s="6" t="inlineStr">
        <is>
          <t>shampoo</t>
        </is>
      </c>
      <c r="M488" s="6" t="inlineStr">
        <is>
          <t>estandar</t>
        </is>
      </c>
      <c r="N488" s="6" t="inlineStr">
        <is>
          <t>general</t>
        </is>
      </c>
      <c r="O488" s="6" t="inlineStr">
        <is>
          <t>https://www.farmacity.com/shampoo-sir-fausto-pure-d-tox-x-250-ml/p</t>
        </is>
      </c>
    </row>
    <row r="489">
      <c r="A489" t="inlineStr">
        <is>
          <t>Farmacity</t>
        </is>
      </c>
      <c r="B489" t="n">
        <v>233583</v>
      </c>
      <c r="C489" t="n">
        <v>233583</v>
      </c>
      <c r="D489" t="inlineStr">
        <is>
          <t>Shampoo John Frieda Sheer Blonde x 250 ml</t>
        </is>
      </c>
      <c r="E489" t="inlineStr">
        <is>
          <t>John Frieda</t>
        </is>
      </c>
      <c r="F489" t="n">
        <v>15725</v>
      </c>
      <c r="G489" t="n">
        <v>15725</v>
      </c>
      <c r="H489" t="b">
        <v>0</v>
      </c>
      <c r="I489" t="n">
        <v>250</v>
      </c>
      <c r="J489" t="n">
        <v>62.9</v>
      </c>
      <c r="K489" t="inlineStr">
        <is>
          <t>&gt; Cuidado Capilar &gt; Shampoo Y Acondicionador &gt;</t>
        </is>
      </c>
      <c r="L489" t="inlineStr">
        <is>
          <t>shampoo</t>
        </is>
      </c>
      <c r="M489" t="inlineStr">
        <is>
          <t>estandar</t>
        </is>
      </c>
      <c r="N489" t="inlineStr">
        <is>
          <t>general</t>
        </is>
      </c>
      <c r="O489" t="inlineStr">
        <is>
          <t>https://www.farmacity.com/shampoo-john-frieda-sheer-blonde-hightlight-x-250-ml/p</t>
        </is>
      </c>
    </row>
    <row r="490">
      <c r="A490" s="6" t="inlineStr">
        <is>
          <t>Farmacity</t>
        </is>
      </c>
      <c r="B490" s="6" t="n">
        <v>231534</v>
      </c>
      <c r="C490" s="6" t="n">
        <v>231534</v>
      </c>
      <c r="D490" s="6" t="inlineStr">
        <is>
          <t>Shampoo Tío Nacho Crecimiento Saludable x 415 ml</t>
        </is>
      </c>
      <c r="E490" s="6" t="inlineStr">
        <is>
          <t>Tío Nacho</t>
        </is>
      </c>
      <c r="F490" s="6" t="n">
        <v>9947</v>
      </c>
      <c r="G490" s="6" t="n">
        <v>9947</v>
      </c>
      <c r="H490" s="6" t="b">
        <v>0</v>
      </c>
      <c r="I490" s="6" t="n">
        <v>415</v>
      </c>
      <c r="J490" s="6" t="n">
        <v>23.9687</v>
      </c>
      <c r="K490" s="6" t="inlineStr">
        <is>
          <t>&gt; Cuidado Capilar &gt; Shampoo Y Acondicionador &gt;</t>
        </is>
      </c>
      <c r="L490" s="6" t="inlineStr">
        <is>
          <t>shampoo</t>
        </is>
      </c>
      <c r="M490" s="6" t="inlineStr">
        <is>
          <t>estandar</t>
        </is>
      </c>
      <c r="N490" s="6" t="inlineStr">
        <is>
          <t>general</t>
        </is>
      </c>
      <c r="O490" s="6" t="inlineStr">
        <is>
          <t>https://www.farmacity.com/shampoo-tio-nacho-creciemiento-saludable-x-415-ml/p</t>
        </is>
      </c>
    </row>
    <row r="491">
      <c r="A491" t="inlineStr">
        <is>
          <t>Farmacity</t>
        </is>
      </c>
      <c r="B491" t="n">
        <v>230669</v>
      </c>
      <c r="C491" t="n">
        <v>230669</v>
      </c>
      <c r="D491" t="inlineStr">
        <is>
          <t>Shampoo Veganis Deep Luminous x 400 g</t>
        </is>
      </c>
      <c r="E491" t="inlineStr">
        <is>
          <t>Veganis</t>
        </is>
      </c>
      <c r="F491" t="n">
        <v>14616</v>
      </c>
      <c r="G491" t="n">
        <v>14616</v>
      </c>
      <c r="H491" t="b">
        <v>0</v>
      </c>
      <c r="I491" t="n">
        <v>400</v>
      </c>
      <c r="J491" t="n">
        <v>36.54</v>
      </c>
      <c r="K491" t="inlineStr">
        <is>
          <t>&gt; Cuidado Capilar &gt; Shampoo Y Acondicionador &gt;</t>
        </is>
      </c>
      <c r="L491" t="inlineStr">
        <is>
          <t>shampoo</t>
        </is>
      </c>
      <c r="M491" t="inlineStr">
        <is>
          <t>estandar</t>
        </is>
      </c>
      <c r="N491" t="inlineStr">
        <is>
          <t>general</t>
        </is>
      </c>
      <c r="O491" t="inlineStr">
        <is>
          <t>https://www.farmacity.com/shampoo-veganis-deep-luminous-x-400-g/p</t>
        </is>
      </c>
    </row>
    <row r="492">
      <c r="A492" s="6" t="inlineStr">
        <is>
          <t>Farmacity</t>
        </is>
      </c>
      <c r="B492" s="6" t="n">
        <v>230663</v>
      </c>
      <c r="C492" s="6" t="n">
        <v>230663</v>
      </c>
      <c r="D492" s="6" t="inlineStr">
        <is>
          <t>Shampoo Veganis Reparador de Coco, Calendula y Oliva x 400 ml</t>
        </is>
      </c>
      <c r="E492" s="6" t="inlineStr">
        <is>
          <t>Veganis</t>
        </is>
      </c>
      <c r="F492" s="6" t="n">
        <v>14616</v>
      </c>
      <c r="G492" s="6" t="n">
        <v>14616</v>
      </c>
      <c r="H492" s="6" t="b">
        <v>0</v>
      </c>
      <c r="I492" s="6" t="n">
        <v>400</v>
      </c>
      <c r="J492" s="6" t="n">
        <v>36.54</v>
      </c>
      <c r="K492" s="6" t="inlineStr">
        <is>
          <t>&gt; Cuidado Capilar &gt; Shampoo Y Acondicionador &gt;</t>
        </is>
      </c>
      <c r="L492" s="6" t="inlineStr">
        <is>
          <t>shampoo</t>
        </is>
      </c>
      <c r="M492" s="6" t="inlineStr">
        <is>
          <t>estandar</t>
        </is>
      </c>
      <c r="N492" s="6" t="inlineStr">
        <is>
          <t>general</t>
        </is>
      </c>
      <c r="O492" s="6" t="inlineStr">
        <is>
          <t>https://www.farmacity.com/shampoo-veganis-reparador-de-coco-calendula-y-oliva-x-400-ml/p</t>
        </is>
      </c>
    </row>
    <row r="493">
      <c r="A493" t="inlineStr">
        <is>
          <t>Farmacity</t>
        </is>
      </c>
      <c r="B493" t="n">
        <v>230653</v>
      </c>
      <c r="C493" t="n">
        <v>230653</v>
      </c>
      <c r="D493" t="inlineStr">
        <is>
          <t>Shampoo Il Salone Reestructurante y Fortalecedor x 500 ml</t>
        </is>
      </c>
      <c r="E493" t="inlineStr">
        <is>
          <t>IL SALONE</t>
        </is>
      </c>
      <c r="F493" t="n">
        <v>12487</v>
      </c>
      <c r="G493" t="n">
        <v>12487</v>
      </c>
      <c r="H493" t="b">
        <v>0</v>
      </c>
      <c r="I493" t="n">
        <v>500</v>
      </c>
      <c r="J493" t="n">
        <v>24.974</v>
      </c>
      <c r="K493" t="inlineStr">
        <is>
          <t>&gt; Cuidado Capilar &gt; Shampoo Y Acondicionador &gt;</t>
        </is>
      </c>
      <c r="L493" t="inlineStr">
        <is>
          <t>shampoo</t>
        </is>
      </c>
      <c r="M493" t="inlineStr">
        <is>
          <t>estandar</t>
        </is>
      </c>
      <c r="N493" t="inlineStr">
        <is>
          <t>general</t>
        </is>
      </c>
      <c r="O493" t="inlineStr">
        <is>
          <t>https://www.farmacity.com/shampoo-il-salone-reestructurante-y-fortalecedor-x-500-ml/p</t>
        </is>
      </c>
    </row>
    <row r="494">
      <c r="A494" s="6" t="inlineStr">
        <is>
          <t>Farmacity</t>
        </is>
      </c>
      <c r="B494" s="6" t="n">
        <v>230650</v>
      </c>
      <c r="C494" s="6" t="n">
        <v>230650</v>
      </c>
      <c r="D494" s="6" t="inlineStr">
        <is>
          <t>Shampoo Il Salone Magnificent Protección Color x 500 ml</t>
        </is>
      </c>
      <c r="E494" s="6" t="inlineStr">
        <is>
          <t>IL SALONE</t>
        </is>
      </c>
      <c r="F494" s="6" t="n">
        <v>12487</v>
      </c>
      <c r="G494" s="6" t="n">
        <v>12487</v>
      </c>
      <c r="H494" s="6" t="b">
        <v>0</v>
      </c>
      <c r="I494" s="6" t="n">
        <v>500</v>
      </c>
      <c r="J494" s="6" t="n">
        <v>24.974</v>
      </c>
      <c r="K494" s="6" t="inlineStr">
        <is>
          <t>&gt; Cuidado Capilar &gt; Shampoo Y Acondicionador &gt;</t>
        </is>
      </c>
      <c r="L494" s="6" t="inlineStr">
        <is>
          <t>shampoo</t>
        </is>
      </c>
      <c r="M494" s="6" t="inlineStr">
        <is>
          <t>estandar</t>
        </is>
      </c>
      <c r="N494" s="6" t="inlineStr">
        <is>
          <t>tratado</t>
        </is>
      </c>
      <c r="O494" s="6" t="inlineStr">
        <is>
          <t>https://www.farmacity.com/shampoo-il-salone-magnificent-proteccion-color-x-500-ml/p</t>
        </is>
      </c>
    </row>
    <row r="495">
      <c r="A495" t="inlineStr">
        <is>
          <t>Farmacity</t>
        </is>
      </c>
      <c r="B495" t="n">
        <v>230218</v>
      </c>
      <c r="C495" t="n">
        <v>230218</v>
      </c>
      <c r="D495" t="inlineStr">
        <is>
          <t>Shampoo Pantene Pro-V Miracles Colágeno Nutritivo 400 ml</t>
        </is>
      </c>
      <c r="E495" t="inlineStr">
        <is>
          <t>Pantene</t>
        </is>
      </c>
      <c r="F495" t="n">
        <v>9247</v>
      </c>
      <c r="G495" t="n">
        <v>9247</v>
      </c>
      <c r="H495" t="b">
        <v>0</v>
      </c>
      <c r="I495" t="n">
        <v>400</v>
      </c>
      <c r="J495" t="n">
        <v>23.1175</v>
      </c>
      <c r="K495" t="inlineStr">
        <is>
          <t>&gt; Cuidado Capilar &gt; Shampoo Y Acondicionador &gt;</t>
        </is>
      </c>
      <c r="L495" t="inlineStr">
        <is>
          <t>shampoo</t>
        </is>
      </c>
      <c r="M495" t="inlineStr">
        <is>
          <t>profesional</t>
        </is>
      </c>
      <c r="N495" t="inlineStr">
        <is>
          <t>general</t>
        </is>
      </c>
      <c r="O495" t="inlineStr">
        <is>
          <t>https://www.farmacity.com/shampoo-pantene-colageno-x-400-ml/p</t>
        </is>
      </c>
    </row>
    <row r="496">
      <c r="A496" s="6" t="inlineStr">
        <is>
          <t>Farmacity</t>
        </is>
      </c>
      <c r="B496" s="6" t="n">
        <v>228569</v>
      </c>
      <c r="C496" s="6" t="n">
        <v>228569</v>
      </c>
      <c r="D496" s="6" t="inlineStr">
        <is>
          <t>Shampoo Solido Fructis Hair Food Banana x 60 g</t>
        </is>
      </c>
      <c r="E496" s="6" t="inlineStr">
        <is>
          <t>Fructis</t>
        </is>
      </c>
      <c r="F496" s="6" t="n">
        <v>6368</v>
      </c>
      <c r="G496" s="6" t="n">
        <v>6368</v>
      </c>
      <c r="H496" s="6" t="b">
        <v>0</v>
      </c>
      <c r="I496" s="6" t="n">
        <v>60</v>
      </c>
      <c r="J496" s="6" t="n">
        <v>106.1333</v>
      </c>
      <c r="K496" s="6" t="inlineStr">
        <is>
          <t>&gt; Cuidado Capilar &gt; Shampoo Y Acondicionador &gt;</t>
        </is>
      </c>
      <c r="L496" s="6" t="inlineStr">
        <is>
          <t>shampoo</t>
        </is>
      </c>
      <c r="M496" s="6" t="inlineStr">
        <is>
          <t>estandar</t>
        </is>
      </c>
      <c r="N496" s="6" t="inlineStr">
        <is>
          <t>general</t>
        </is>
      </c>
      <c r="O496" s="6" t="inlineStr">
        <is>
          <t>https://www.farmacity.com/shampoo-solido-garnier-fructis-hair-banana-x-60-g/p</t>
        </is>
      </c>
    </row>
    <row r="497">
      <c r="A497" t="inlineStr">
        <is>
          <t>Farmacity</t>
        </is>
      </c>
      <c r="B497" t="n">
        <v>228568</v>
      </c>
      <c r="C497" t="n">
        <v>228568</v>
      </c>
      <c r="D497" t="inlineStr">
        <is>
          <t>Shampoo Solido Fructis Hair Food Sandia x 60 g</t>
        </is>
      </c>
      <c r="E497" t="inlineStr">
        <is>
          <t>Fructis</t>
        </is>
      </c>
      <c r="F497" t="n">
        <v>6368</v>
      </c>
      <c r="G497" t="n">
        <v>6368</v>
      </c>
      <c r="H497" t="b">
        <v>0</v>
      </c>
      <c r="I497" t="n">
        <v>60</v>
      </c>
      <c r="J497" t="n">
        <v>106.1333</v>
      </c>
      <c r="K497" t="inlineStr">
        <is>
          <t>&gt; Cuidado Capilar &gt; Shampoo Y Acondicionador &gt;</t>
        </is>
      </c>
      <c r="L497" t="inlineStr">
        <is>
          <t>shampoo</t>
        </is>
      </c>
      <c r="M497" t="inlineStr">
        <is>
          <t>estandar</t>
        </is>
      </c>
      <c r="N497" t="inlineStr">
        <is>
          <t>general</t>
        </is>
      </c>
      <c r="O497" t="inlineStr">
        <is>
          <t>https://www.farmacity.com/shampoo-solido-garnier-fructis-hair-sandia-x-60-g/p</t>
        </is>
      </c>
    </row>
    <row r="498">
      <c r="A498" s="6" t="inlineStr">
        <is>
          <t>Farmacity</t>
        </is>
      </c>
      <c r="B498" s="6" t="n">
        <v>222898</v>
      </c>
      <c r="C498" s="6" t="n">
        <v>222898</v>
      </c>
      <c r="D498" s="6" t="inlineStr">
        <is>
          <t>Shampoo Head &amp; Shoulders Supreme Detox &amp; Hydrate x 375 ml</t>
        </is>
      </c>
      <c r="E498" s="6" t="inlineStr">
        <is>
          <t>Head and Shoulders</t>
        </is>
      </c>
      <c r="F498" s="6" t="n">
        <v>8431</v>
      </c>
      <c r="G498" s="6" t="n">
        <v>8431</v>
      </c>
      <c r="H498" s="6" t="b">
        <v>0</v>
      </c>
      <c r="I498" s="6" t="n">
        <v>375</v>
      </c>
      <c r="J498" s="6" t="n">
        <v>22.4827</v>
      </c>
      <c r="K498" s="6" t="inlineStr">
        <is>
          <t>&gt; Cuidado Capilar &gt; Shampoo Y Acondicionador &gt;</t>
        </is>
      </c>
      <c r="L498" s="6" t="inlineStr">
        <is>
          <t>shampoo</t>
        </is>
      </c>
      <c r="M498" s="6" t="inlineStr">
        <is>
          <t>estandar</t>
        </is>
      </c>
      <c r="N498" s="6" t="inlineStr">
        <is>
          <t>general</t>
        </is>
      </c>
      <c r="O498" s="6" t="inlineStr">
        <is>
          <t>https://www.farmacity.com/shampoo-head-shoulders-supreme-detox-hydrate-x-375-ml/p</t>
        </is>
      </c>
    </row>
    <row r="499">
      <c r="A499" t="inlineStr">
        <is>
          <t>Farmacity</t>
        </is>
      </c>
      <c r="B499" t="n">
        <v>221807</v>
      </c>
      <c r="C499" t="n">
        <v>221807</v>
      </c>
      <c r="D499" t="inlineStr">
        <is>
          <t>Shampoo Sedal Colágeno + Vitamina C x 190 ml</t>
        </is>
      </c>
      <c r="E499" t="inlineStr">
        <is>
          <t>Sedal</t>
        </is>
      </c>
      <c r="F499" t="n">
        <v>1691</v>
      </c>
      <c r="G499" t="n">
        <v>3382</v>
      </c>
      <c r="H499" t="b">
        <v>0</v>
      </c>
      <c r="I499" t="n">
        <v>190</v>
      </c>
      <c r="J499" t="n">
        <v>8.9</v>
      </c>
      <c r="K499" t="inlineStr">
        <is>
          <t>&gt; Cuidado Capilar &gt; Shampoo Y Acondicionador &gt;</t>
        </is>
      </c>
      <c r="L499" t="inlineStr">
        <is>
          <t>shampoo</t>
        </is>
      </c>
      <c r="M499" t="inlineStr">
        <is>
          <t>estandar</t>
        </is>
      </c>
      <c r="N499" t="inlineStr">
        <is>
          <t>general</t>
        </is>
      </c>
      <c r="O499" t="inlineStr">
        <is>
          <t>https://www.farmacity.com/shampoo-sedal-colageno-vitamina-c-x-190-ml/p</t>
        </is>
      </c>
    </row>
    <row r="500">
      <c r="A500" s="6" t="inlineStr">
        <is>
          <t>Farmacity</t>
        </is>
      </c>
      <c r="B500" s="6" t="n">
        <v>219259</v>
      </c>
      <c r="C500" s="6" t="n">
        <v>219259</v>
      </c>
      <c r="D500" s="6" t="inlineStr">
        <is>
          <t>Shampoo John Freida Frizz Ease x 250 ml</t>
        </is>
      </c>
      <c r="E500" s="6" t="inlineStr">
        <is>
          <t>John Frieda</t>
        </is>
      </c>
      <c r="F500" s="6" t="n">
        <v>15725</v>
      </c>
      <c r="G500" s="6" t="n">
        <v>15725</v>
      </c>
      <c r="H500" s="6" t="b">
        <v>0</v>
      </c>
      <c r="I500" s="6" t="n">
        <v>250</v>
      </c>
      <c r="J500" s="6" t="n">
        <v>62.9</v>
      </c>
      <c r="K500" s="6" t="inlineStr">
        <is>
          <t>&gt; Cuidado Capilar &gt; Shampoo Y Acondicionador &gt;</t>
        </is>
      </c>
      <c r="L500" s="6" t="inlineStr">
        <is>
          <t>shampoo</t>
        </is>
      </c>
      <c r="M500" s="6" t="inlineStr">
        <is>
          <t>estandar</t>
        </is>
      </c>
      <c r="N500" s="6" t="inlineStr">
        <is>
          <t>general</t>
        </is>
      </c>
      <c r="O500" s="6" t="inlineStr">
        <is>
          <t>https://www.farmacity.com/shampoo-john-freida-flawlessly-straight-x-250-ml/p</t>
        </is>
      </c>
    </row>
    <row r="501">
      <c r="A501" t="inlineStr">
        <is>
          <t>Farmacity</t>
        </is>
      </c>
      <c r="B501" t="n">
        <v>218287</v>
      </c>
      <c r="C501" t="n">
        <v>218287</v>
      </c>
      <c r="D501" t="inlineStr">
        <is>
          <t>Shampoo Klorane Cupuacu x 200 ml</t>
        </is>
      </c>
      <c r="E501" t="inlineStr">
        <is>
          <t>Klorane</t>
        </is>
      </c>
      <c r="F501" t="n">
        <v>29000</v>
      </c>
      <c r="G501" t="n">
        <v>29000</v>
      </c>
      <c r="H501" t="b">
        <v>0</v>
      </c>
      <c r="I501" t="n">
        <v>200</v>
      </c>
      <c r="J501" t="n">
        <v>145</v>
      </c>
      <c r="K501" t="inlineStr">
        <is>
          <t>&gt; Dermocosmética &gt; Pelo &gt; Shampoos y Acondicionadores &gt;</t>
        </is>
      </c>
      <c r="L501" t="inlineStr">
        <is>
          <t>shampoo</t>
        </is>
      </c>
      <c r="M501" t="inlineStr">
        <is>
          <t>estandar</t>
        </is>
      </c>
      <c r="N501" t="inlineStr">
        <is>
          <t>general</t>
        </is>
      </c>
      <c r="O501" t="inlineStr">
        <is>
          <t>https://www.farmacity.com/shampoo-klorane-cupuacu-x-200-ml/p</t>
        </is>
      </c>
    </row>
    <row r="502">
      <c r="A502" s="6" t="inlineStr">
        <is>
          <t>Farmacity</t>
        </is>
      </c>
      <c r="B502" s="6" t="n">
        <v>217203</v>
      </c>
      <c r="C502" s="6" t="n">
        <v>217203</v>
      </c>
      <c r="D502" s="6" t="inlineStr">
        <is>
          <t>Shampoo Fructis Hair Food Banana x 300 ml</t>
        </is>
      </c>
      <c r="E502" s="6" t="inlineStr">
        <is>
          <t>Fructis</t>
        </is>
      </c>
      <c r="F502" s="6" t="n">
        <v>5595</v>
      </c>
      <c r="G502" s="6" t="n">
        <v>11190</v>
      </c>
      <c r="H502" s="6" t="b">
        <v>0</v>
      </c>
      <c r="I502" s="6" t="n">
        <v>300</v>
      </c>
      <c r="J502" s="6" t="n">
        <v>18.65</v>
      </c>
      <c r="K502" s="6" t="inlineStr">
        <is>
          <t>&gt; Cuidado Capilar &gt; Shampoo Y Acondicionador &gt;</t>
        </is>
      </c>
      <c r="L502" s="6" t="inlineStr">
        <is>
          <t>shampoo</t>
        </is>
      </c>
      <c r="M502" s="6" t="inlineStr">
        <is>
          <t>estandar</t>
        </is>
      </c>
      <c r="N502" s="6" t="inlineStr">
        <is>
          <t>general</t>
        </is>
      </c>
      <c r="O502" s="6" t="inlineStr">
        <is>
          <t>https://www.farmacity.com/shampoo-fructis-hair-food-banana-x-300-ml/p</t>
        </is>
      </c>
    </row>
    <row r="503">
      <c r="A503" t="inlineStr">
        <is>
          <t>Farmacity</t>
        </is>
      </c>
      <c r="B503" t="n">
        <v>217096</v>
      </c>
      <c r="C503" t="n">
        <v>217096</v>
      </c>
      <c r="D503" t="inlineStr">
        <is>
          <t>Shampoo Alfaparf Milano Reconstruction x 250 ml</t>
        </is>
      </c>
      <c r="E503" t="inlineStr">
        <is>
          <t>Alfaparf Milano</t>
        </is>
      </c>
      <c r="F503" t="n">
        <v>50205</v>
      </c>
      <c r="G503" t="n">
        <v>50205</v>
      </c>
      <c r="H503" t="b">
        <v>0</v>
      </c>
      <c r="I503" t="n">
        <v>250</v>
      </c>
      <c r="J503" t="n">
        <v>200.82</v>
      </c>
      <c r="K503" t="inlineStr">
        <is>
          <t>&gt; Cuidado Capilar &gt; Shampoo Y Acondicionador &gt;</t>
        </is>
      </c>
      <c r="L503" t="inlineStr">
        <is>
          <t>shampoo</t>
        </is>
      </c>
      <c r="M503" t="inlineStr">
        <is>
          <t>estandar</t>
        </is>
      </c>
      <c r="N503" t="inlineStr">
        <is>
          <t>general</t>
        </is>
      </c>
      <c r="O503" t="inlineStr">
        <is>
          <t>https://www.farmacity.com/low-shampoo-alfaparf-milano-semi-di-lino-reconstruction-x-250-ml/p</t>
        </is>
      </c>
    </row>
    <row r="504">
      <c r="A504" s="6" t="inlineStr">
        <is>
          <t>Farmacity</t>
        </is>
      </c>
      <c r="B504" s="6" t="n">
        <v>215037</v>
      </c>
      <c r="C504" s="6" t="n">
        <v>215037</v>
      </c>
      <c r="D504" s="6" t="inlineStr">
        <is>
          <t>Shampoo Elvive Dream Long Liss x 200 ml</t>
        </is>
      </c>
      <c r="E504" s="6" t="inlineStr">
        <is>
          <t>Elvive</t>
        </is>
      </c>
      <c r="F504" s="6" t="n">
        <v>4869</v>
      </c>
      <c r="G504" s="6" t="n">
        <v>4869</v>
      </c>
      <c r="H504" s="6" t="b">
        <v>0</v>
      </c>
      <c r="I504" s="6" t="n">
        <v>200</v>
      </c>
      <c r="J504" s="6" t="n">
        <v>24.345</v>
      </c>
      <c r="K504" s="6" t="inlineStr">
        <is>
          <t>&gt; Cuidado Capilar &gt; Shampoo Y Acondicionador &gt;</t>
        </is>
      </c>
      <c r="L504" s="6" t="inlineStr">
        <is>
          <t>shampoo</t>
        </is>
      </c>
      <c r="M504" s="6" t="inlineStr">
        <is>
          <t>profesional</t>
        </is>
      </c>
      <c r="N504" s="6" t="inlineStr">
        <is>
          <t>general</t>
        </is>
      </c>
      <c r="O504" s="6" t="inlineStr">
        <is>
          <t>https://www.farmacity.com/shampoo-elvive-dream-long-liss-x-200-ml/p</t>
        </is>
      </c>
    </row>
    <row r="505">
      <c r="A505" t="inlineStr">
        <is>
          <t>Farmacity</t>
        </is>
      </c>
      <c r="B505" t="n">
        <v>214586</v>
      </c>
      <c r="C505" t="n">
        <v>214586</v>
      </c>
      <c r="D505" t="inlineStr">
        <is>
          <t>Shampoo Herbal Essences Renew Chamomile x 400 ml</t>
        </is>
      </c>
      <c r="E505" t="inlineStr">
        <is>
          <t>Herbal Essences</t>
        </is>
      </c>
      <c r="F505" t="n">
        <v>6511</v>
      </c>
      <c r="G505" t="n">
        <v>13022</v>
      </c>
      <c r="H505" t="b">
        <v>0</v>
      </c>
      <c r="I505" t="n">
        <v>400</v>
      </c>
      <c r="J505" t="n">
        <v>16.2775</v>
      </c>
      <c r="K505" t="inlineStr">
        <is>
          <t>&gt; Cuidado Capilar &gt; Shampoo Y Acondicionador &gt;</t>
        </is>
      </c>
      <c r="L505" t="inlineStr">
        <is>
          <t>shampoo</t>
        </is>
      </c>
      <c r="M505" t="inlineStr">
        <is>
          <t>estandar</t>
        </is>
      </c>
      <c r="N505" t="inlineStr">
        <is>
          <t>general</t>
        </is>
      </c>
      <c r="O505" t="inlineStr">
        <is>
          <t>https://www.farmacity.com/shampoo-herbal-essences-renew-chamomile-x-400-ml/p</t>
        </is>
      </c>
    </row>
    <row r="506">
      <c r="A506" s="6" t="inlineStr">
        <is>
          <t>Farmacity</t>
        </is>
      </c>
      <c r="B506" s="6" t="n">
        <v>203661</v>
      </c>
      <c r="C506" s="6" t="n">
        <v>203661</v>
      </c>
      <c r="D506" s="6" t="inlineStr">
        <is>
          <t>Shampoo Biferdil con Ácido hialurónico x 295 ml</t>
        </is>
      </c>
      <c r="E506" s="6" t="inlineStr">
        <is>
          <t>Biferdil</t>
        </is>
      </c>
      <c r="F506" s="6" t="n">
        <v>10260</v>
      </c>
      <c r="G506" s="6" t="n">
        <v>10260</v>
      </c>
      <c r="H506" s="6" t="b">
        <v>0</v>
      </c>
      <c r="I506" s="6" t="n">
        <v>295</v>
      </c>
      <c r="J506" s="6" t="n">
        <v>34.7797</v>
      </c>
      <c r="K506" s="6" t="inlineStr">
        <is>
          <t>&gt; Cuidado Capilar &gt; Shampoo Y Acondicionador &gt;</t>
        </is>
      </c>
      <c r="L506" s="6" t="inlineStr">
        <is>
          <t>shampoo</t>
        </is>
      </c>
      <c r="M506" s="6" t="inlineStr">
        <is>
          <t>estandar</t>
        </is>
      </c>
      <c r="N506" s="6" t="inlineStr">
        <is>
          <t>general</t>
        </is>
      </c>
      <c r="O506" s="6" t="inlineStr">
        <is>
          <t>https://www.farmacity.com/shampoo-biferdil-con-acido-hialuronico-x-295-ml/p</t>
        </is>
      </c>
    </row>
    <row r="507">
      <c r="A507" t="inlineStr">
        <is>
          <t>Farmacity</t>
        </is>
      </c>
      <c r="B507" t="n">
        <v>162783</v>
      </c>
      <c r="C507" t="n">
        <v>162783</v>
      </c>
      <c r="D507" t="inlineStr">
        <is>
          <t>Shampoo Sri Sri Tattva Henna Shikakai Uso Diario x 200 ml</t>
        </is>
      </c>
      <c r="E507" t="inlineStr">
        <is>
          <t>Sri Sri Tattva</t>
        </is>
      </c>
      <c r="F507" t="n">
        <v>15589</v>
      </c>
      <c r="G507" t="n">
        <v>15589</v>
      </c>
      <c r="H507" t="b">
        <v>0</v>
      </c>
      <c r="I507" t="n">
        <v>200</v>
      </c>
      <c r="J507" t="n">
        <v>77.94499999999999</v>
      </c>
      <c r="K507" t="inlineStr">
        <is>
          <t>&gt; Cuidado Capilar &gt; Shampoo Y Acondicionador &gt;</t>
        </is>
      </c>
      <c r="L507" t="inlineStr">
        <is>
          <t>shampoo</t>
        </is>
      </c>
      <c r="M507" t="inlineStr">
        <is>
          <t>estandar</t>
        </is>
      </c>
      <c r="N507" t="inlineStr">
        <is>
          <t>general</t>
        </is>
      </c>
      <c r="O507" t="inlineStr">
        <is>
          <t>https://www.farmacity.com/shampoo-sri-sri-tattva-henna-shikakai-uso-diario-x-200-ml/p</t>
        </is>
      </c>
    </row>
    <row r="508">
      <c r="A508" s="6" t="inlineStr">
        <is>
          <t>Farmacity</t>
        </is>
      </c>
      <c r="B508" s="6" t="n">
        <v>153321</v>
      </c>
      <c r="C508" s="6" t="n">
        <v>153321</v>
      </c>
      <c r="D508" s="6" t="inlineStr">
        <is>
          <t>Shampoo Pantene Hidratación Extrema x 400 ml</t>
        </is>
      </c>
      <c r="E508" s="6" t="inlineStr">
        <is>
          <t>Pantene</t>
        </is>
      </c>
      <c r="F508" s="6" t="n">
        <v>7643</v>
      </c>
      <c r="G508" s="6" t="n">
        <v>7643</v>
      </c>
      <c r="H508" s="6" t="b">
        <v>0</v>
      </c>
      <c r="I508" s="6" t="n">
        <v>400</v>
      </c>
      <c r="J508" s="6" t="n">
        <v>19.1075</v>
      </c>
      <c r="K508" s="6" t="inlineStr">
        <is>
          <t>&gt; Cuidado Capilar &gt; Shampoo Y Acondicionador &gt;</t>
        </is>
      </c>
      <c r="L508" s="6" t="inlineStr">
        <is>
          <t>shampoo</t>
        </is>
      </c>
      <c r="M508" s="6" t="inlineStr">
        <is>
          <t>estandar</t>
        </is>
      </c>
      <c r="N508" s="6" t="inlineStr">
        <is>
          <t>seco_danado</t>
        </is>
      </c>
      <c r="O508" s="6" t="inlineStr">
        <is>
          <t>https://www.farmacity.com/shampoo-pantene-max-pro-v-hidro-cauterizacion-x-400-ml/p</t>
        </is>
      </c>
    </row>
    <row r="509">
      <c r="A509" t="inlineStr">
        <is>
          <t>Farmacity</t>
        </is>
      </c>
      <c r="B509" t="n">
        <v>150783</v>
      </c>
      <c r="C509" t="n">
        <v>150783</v>
      </c>
      <c r="D509" t="inlineStr">
        <is>
          <t>Shampoo Pantene Hidratación x 750 ml</t>
        </is>
      </c>
      <c r="E509" t="inlineStr">
        <is>
          <t>Pantene</t>
        </is>
      </c>
      <c r="F509" t="n">
        <v>7014</v>
      </c>
      <c r="G509" t="n">
        <v>7014</v>
      </c>
      <c r="H509" t="b">
        <v>0</v>
      </c>
      <c r="I509" t="n">
        <v>750</v>
      </c>
      <c r="J509" t="n">
        <v>9.352</v>
      </c>
      <c r="K509" t="inlineStr">
        <is>
          <t>&gt; Cuidado Capilar &gt; Shampoo Y Acondicionador &gt;</t>
        </is>
      </c>
      <c r="L509" t="inlineStr">
        <is>
          <t>shampoo</t>
        </is>
      </c>
      <c r="M509" t="inlineStr">
        <is>
          <t>estandar</t>
        </is>
      </c>
      <c r="N509" t="inlineStr">
        <is>
          <t>seco_danado</t>
        </is>
      </c>
      <c r="O509" t="inlineStr">
        <is>
          <t>https://www.farmacity.com/shampoo-pantene-max-pro-v-hidratacion-x-750-ml/p</t>
        </is>
      </c>
    </row>
    <row r="510">
      <c r="A510" s="6" t="inlineStr">
        <is>
          <t>Farmacity</t>
        </is>
      </c>
      <c r="B510" s="6" t="n">
        <v>41713</v>
      </c>
      <c r="C510" s="6" t="n">
        <v>41713</v>
      </c>
      <c r="D510" s="6" t="inlineStr">
        <is>
          <t>Shampoo Koal Salicílico, C. x 250 ml</t>
        </is>
      </c>
      <c r="E510" s="6" t="inlineStr">
        <is>
          <t>Ethicus</t>
        </is>
      </c>
      <c r="F510" s="6" t="n">
        <v>9300</v>
      </c>
      <c r="G510" s="6" t="n">
        <v>9300</v>
      </c>
      <c r="H510" s="6" t="b">
        <v>0</v>
      </c>
      <c r="I510" s="6" t="n">
        <v>250</v>
      </c>
      <c r="J510" s="6" t="n">
        <v>37.2</v>
      </c>
      <c r="K510" s="6" t="inlineStr">
        <is>
          <t>&gt; Venta Bajo Receta &gt; Dermatológico &gt;</t>
        </is>
      </c>
      <c r="L510" s="6" t="inlineStr">
        <is>
          <t>shampoo</t>
        </is>
      </c>
      <c r="M510" s="6" t="inlineStr">
        <is>
          <t>estandar</t>
        </is>
      </c>
      <c r="N510" s="6" t="inlineStr">
        <is>
          <t>general</t>
        </is>
      </c>
      <c r="O510" s="6" t="inlineStr">
        <is>
          <t>https://www.farmacity.com/shampoo-koal-salicilico-c-x-250-ml/p</t>
        </is>
      </c>
    </row>
    <row r="511">
      <c r="A511" t="inlineStr">
        <is>
          <t>Farmacity</t>
        </is>
      </c>
      <c r="B511" t="n">
        <v>8517</v>
      </c>
      <c r="C511" t="n">
        <v>154554</v>
      </c>
      <c r="D511" t="inlineStr">
        <is>
          <t>Shampoo Klorane a las Fibras de Lino x 200 ml</t>
        </is>
      </c>
      <c r="E511" t="inlineStr">
        <is>
          <t>Klorane</t>
        </is>
      </c>
      <c r="F511" t="n">
        <v>8000</v>
      </c>
      <c r="G511" t="n">
        <v>8000</v>
      </c>
      <c r="H511" t="b">
        <v>0</v>
      </c>
      <c r="I511" t="n">
        <v>200</v>
      </c>
      <c r="J511" t="n">
        <v>40</v>
      </c>
      <c r="K511" t="inlineStr">
        <is>
          <t>&gt; Dermocosmética &gt; Pelo &gt; Shampoos y Acondicionadores &gt;</t>
        </is>
      </c>
      <c r="L511" t="inlineStr">
        <is>
          <t>shampoo</t>
        </is>
      </c>
      <c r="M511" t="inlineStr">
        <is>
          <t>estandar</t>
        </is>
      </c>
      <c r="N511" t="inlineStr">
        <is>
          <t>general</t>
        </is>
      </c>
      <c r="O511" t="inlineStr">
        <is>
          <t>https://www.farmacity.com/shampoo-a-las-fibras-de-lino-x-200-ml/p</t>
        </is>
      </c>
    </row>
    <row r="512">
      <c r="A512" s="6" t="inlineStr">
        <is>
          <t>Farmacity</t>
        </is>
      </c>
      <c r="B512" s="6" t="n">
        <v>1302</v>
      </c>
      <c r="C512" s="6" t="n">
        <v>103341</v>
      </c>
      <c r="D512" s="6" t="inlineStr">
        <is>
          <t>Shampoo Klorane Extracto de Cédrat x 400 ml</t>
        </is>
      </c>
      <c r="E512" s="6" t="inlineStr">
        <is>
          <t>Klorane</t>
        </is>
      </c>
      <c r="F512" s="6" t="n">
        <v>43500</v>
      </c>
      <c r="G512" s="6" t="n">
        <v>43500</v>
      </c>
      <c r="H512" s="6" t="b">
        <v>0</v>
      </c>
      <c r="I512" s="6" t="n">
        <v>400</v>
      </c>
      <c r="J512" s="6" t="n">
        <v>108.75</v>
      </c>
      <c r="K512" s="6" t="inlineStr">
        <is>
          <t>&gt; Dermocosmética &gt; Pelo &gt; Shampoos y Acondicionadores &gt;</t>
        </is>
      </c>
      <c r="L512" s="6" t="inlineStr">
        <is>
          <t>shampoo</t>
        </is>
      </c>
      <c r="M512" s="6" t="inlineStr">
        <is>
          <t>estandar</t>
        </is>
      </c>
      <c r="N512" s="6" t="inlineStr">
        <is>
          <t>general</t>
        </is>
      </c>
      <c r="O512" s="6" t="inlineStr">
        <is>
          <t>https://www.farmacity.com/shampoo-al-extracto-de-cedrat-x-400-ml/p</t>
        </is>
      </c>
    </row>
    <row r="513">
      <c r="A513" t="inlineStr">
        <is>
          <t>Farmacity</t>
        </is>
      </c>
      <c r="B513" t="n">
        <v>1011</v>
      </c>
      <c r="C513" t="n">
        <v>7281</v>
      </c>
      <c r="D513" t="inlineStr">
        <is>
          <t>Shampoo Vichy Dercos Sebocorrector x 200 ml</t>
        </is>
      </c>
      <c r="E513" t="inlineStr">
        <is>
          <t>Vichy</t>
        </is>
      </c>
      <c r="F513" t="n">
        <v>29997</v>
      </c>
      <c r="G513" t="n">
        <v>29997</v>
      </c>
      <c r="H513" t="b">
        <v>0</v>
      </c>
      <c r="I513" t="n">
        <v>200</v>
      </c>
      <c r="J513" t="n">
        <v>149.985</v>
      </c>
      <c r="K513" t="inlineStr">
        <is>
          <t>&gt; Dermocosmética &gt; Pelo &gt; Shampoos y Acondicionadores &gt;</t>
        </is>
      </c>
      <c r="L513" t="inlineStr">
        <is>
          <t>shampoo</t>
        </is>
      </c>
      <c r="M513" t="inlineStr">
        <is>
          <t>estandar</t>
        </is>
      </c>
      <c r="N513" t="inlineStr">
        <is>
          <t>general</t>
        </is>
      </c>
      <c r="O513" t="inlineStr">
        <is>
          <t>https://www.farmacity.com/shampoo-dercos-sebo-corrector-x-200-ml/p</t>
        </is>
      </c>
    </row>
    <row r="514">
      <c r="A514" s="6" t="inlineStr">
        <is>
          <t>Farmacity</t>
        </is>
      </c>
      <c r="B514" s="6" t="n">
        <v>122581</v>
      </c>
      <c r="C514" s="6" t="n">
        <v>122581</v>
      </c>
      <c r="D514" s="6" t="inlineStr">
        <is>
          <t>Piroctol Octopirox Shampoo x 120 ml</t>
        </is>
      </c>
      <c r="E514" s="6" t="inlineStr">
        <is>
          <t>Valuge</t>
        </is>
      </c>
      <c r="F514" s="6" t="n">
        <v>16739</v>
      </c>
      <c r="G514" s="6" t="n">
        <v>16739</v>
      </c>
      <c r="H514" s="6" t="b">
        <v>0</v>
      </c>
      <c r="I514" s="6" t="n">
        <v>120</v>
      </c>
      <c r="J514" s="6" t="n">
        <v>139.4917</v>
      </c>
      <c r="K514" s="6" t="inlineStr">
        <is>
          <t>&gt; Venta Bajo Receta &gt; Dermatológico &gt;</t>
        </is>
      </c>
      <c r="L514" s="6" t="inlineStr">
        <is>
          <t>shampoo</t>
        </is>
      </c>
      <c r="M514" s="6" t="inlineStr">
        <is>
          <t>estandar</t>
        </is>
      </c>
      <c r="N514" s="6" t="inlineStr">
        <is>
          <t>general</t>
        </is>
      </c>
      <c r="O514" s="6" t="inlineStr">
        <is>
          <t>https://www.farmacity.com/piroctol-octopirox-shampoo-x-120-ml/p</t>
        </is>
      </c>
    </row>
    <row r="515">
      <c r="A515" t="inlineStr">
        <is>
          <t>Farmacity</t>
        </is>
      </c>
      <c r="B515" t="n">
        <v>242101</v>
      </c>
      <c r="C515" t="n">
        <v>242101</v>
      </c>
      <c r="D515" t="inlineStr">
        <is>
          <t>Tikl ketoconazol Shampoo Anticaspa x 60 ml</t>
        </is>
      </c>
      <c r="E515" t="inlineStr">
        <is>
          <t>Monserrat</t>
        </is>
      </c>
      <c r="F515" t="n">
        <v>11710</v>
      </c>
      <c r="G515" t="n">
        <v>11710</v>
      </c>
      <c r="H515" t="b">
        <v>0</v>
      </c>
      <c r="I515" t="n">
        <v>60</v>
      </c>
      <c r="J515" t="n">
        <v>195.1667</v>
      </c>
      <c r="K515" t="inlineStr">
        <is>
          <t>&gt; Medicamentos Venta Libre &gt; Cuidado Personal &gt;</t>
        </is>
      </c>
      <c r="L515" t="inlineStr">
        <is>
          <t>shampoo</t>
        </is>
      </c>
      <c r="M515" t="inlineStr">
        <is>
          <t>estandar</t>
        </is>
      </c>
      <c r="N515" t="inlineStr">
        <is>
          <t>anticaspa</t>
        </is>
      </c>
      <c r="O515" t="inlineStr">
        <is>
          <t>https://www.farmacity.com/tikl-shampoo-anticaspa-x-60-ml/p</t>
        </is>
      </c>
    </row>
    <row r="516">
      <c r="A516" s="6" t="inlineStr">
        <is>
          <t>Farmacity</t>
        </is>
      </c>
      <c r="B516" s="6" t="n">
        <v>138177</v>
      </c>
      <c r="C516" s="6" t="n">
        <v>138177</v>
      </c>
      <c r="D516" s="6" t="inlineStr">
        <is>
          <t>Piroctol AS Octopirox + Asoc. Shampoo x 120 ml</t>
        </is>
      </c>
      <c r="E516" s="6" t="inlineStr">
        <is>
          <t>Valuge</t>
        </is>
      </c>
      <c r="F516" s="6" t="n">
        <v>20165</v>
      </c>
      <c r="G516" s="6" t="n">
        <v>20165</v>
      </c>
      <c r="H516" s="6" t="b">
        <v>0</v>
      </c>
      <c r="I516" s="6" t="n">
        <v>120</v>
      </c>
      <c r="J516" s="6" t="n">
        <v>168.0417</v>
      </c>
      <c r="K516" s="6" t="inlineStr">
        <is>
          <t>&gt; Venta Bajo Receta &gt; Dermatológico &gt;</t>
        </is>
      </c>
      <c r="L516" s="6" t="inlineStr">
        <is>
          <t>shampoo</t>
        </is>
      </c>
      <c r="M516" s="6" t="inlineStr">
        <is>
          <t>estandar</t>
        </is>
      </c>
      <c r="N516" s="6" t="inlineStr">
        <is>
          <t>general</t>
        </is>
      </c>
      <c r="O516" s="6" t="inlineStr">
        <is>
          <t>https://www.farmacity.com/piroctol-as-octopirox-asoc-shampoo-x-120-ml/p</t>
        </is>
      </c>
    </row>
    <row r="517">
      <c r="A517" t="inlineStr">
        <is>
          <t>Farmacity</t>
        </is>
      </c>
      <c r="B517" t="n">
        <v>226376</v>
      </c>
      <c r="C517" t="n">
        <v>226376</v>
      </c>
      <c r="D517" t="inlineStr">
        <is>
          <t>Combo Vichy Dercos Densidad Shampoo + Acondicionador + Sérum</t>
        </is>
      </c>
      <c r="E517" t="inlineStr">
        <is>
          <t>Vichy</t>
        </is>
      </c>
      <c r="F517" t="n">
        <v>198855</v>
      </c>
      <c r="G517" t="n">
        <v>198855</v>
      </c>
      <c r="H517" t="b">
        <v>0</v>
      </c>
      <c r="I517" t="inlineStr"/>
      <c r="J517" t="inlineStr"/>
      <c r="K517" t="inlineStr">
        <is>
          <t>&gt; Dermocosmética &gt; Pelo &gt; Shampoos y Acondicionadores &gt;</t>
        </is>
      </c>
      <c r="L517" t="inlineStr">
        <is>
          <t>acondicionador</t>
        </is>
      </c>
      <c r="M517" t="inlineStr">
        <is>
          <t>estandar</t>
        </is>
      </c>
      <c r="N517" t="inlineStr">
        <is>
          <t>general</t>
        </is>
      </c>
      <c r="O517" t="inlineStr">
        <is>
          <t>https://www.farmacity.com/combo-vichy-dercos-perdida-de-densidad-shampoo-acondicionador-serum/p</t>
        </is>
      </c>
    </row>
    <row r="518">
      <c r="A518" s="6" t="inlineStr">
        <is>
          <t>Farmacity</t>
        </is>
      </c>
      <c r="B518" s="6" t="n">
        <v>107612</v>
      </c>
      <c r="C518" s="6" t="n">
        <v>107612</v>
      </c>
      <c r="D518" s="6" t="inlineStr">
        <is>
          <t>Aminoterapia Capilar Vitamina + Aminoácidos Shampoo x 120 ml</t>
        </is>
      </c>
      <c r="E518" s="6" t="inlineStr">
        <is>
          <t>Megalabs</t>
        </is>
      </c>
      <c r="F518" s="6" t="n">
        <v>12494</v>
      </c>
      <c r="G518" s="6" t="n">
        <v>12494</v>
      </c>
      <c r="H518" s="6" t="b">
        <v>0</v>
      </c>
      <c r="I518" s="6" t="n">
        <v>120</v>
      </c>
      <c r="J518" s="6" t="n">
        <v>104.1167</v>
      </c>
      <c r="K518" s="6" t="inlineStr">
        <is>
          <t>&gt; Venta Bajo Receta &gt; Dermatológico &gt;</t>
        </is>
      </c>
      <c r="L518" s="6" t="inlineStr">
        <is>
          <t>shampoo</t>
        </is>
      </c>
      <c r="M518" s="6" t="inlineStr">
        <is>
          <t>estandar</t>
        </is>
      </c>
      <c r="N518" s="6" t="inlineStr">
        <is>
          <t>general</t>
        </is>
      </c>
      <c r="O518" s="6" t="inlineStr">
        <is>
          <t>https://www.farmacity.com/aminoterapia-capilar-vitamina-aminoacidos-shampoo-x-120-ml/p</t>
        </is>
      </c>
    </row>
    <row r="519">
      <c r="A519" t="inlineStr">
        <is>
          <t>Farmacity</t>
        </is>
      </c>
      <c r="B519" t="n">
        <v>35333</v>
      </c>
      <c r="C519" t="n">
        <v>35333</v>
      </c>
      <c r="D519" t="inlineStr">
        <is>
          <t>Sutrico Tar Coaltar 9% Shampoo Acondic. x 100 ml</t>
        </is>
      </c>
      <c r="E519" t="inlineStr">
        <is>
          <t>Megalabs</t>
        </is>
      </c>
      <c r="F519" t="n">
        <v>6177</v>
      </c>
      <c r="G519" t="n">
        <v>6177</v>
      </c>
      <c r="H519" t="b">
        <v>0</v>
      </c>
      <c r="I519" t="n">
        <v>100</v>
      </c>
      <c r="J519" t="n">
        <v>61.77</v>
      </c>
      <c r="K519" t="inlineStr">
        <is>
          <t>&gt; Venta Bajo Receta &gt; Dermatológico &gt;</t>
        </is>
      </c>
      <c r="L519" t="inlineStr">
        <is>
          <t>shampoo</t>
        </is>
      </c>
      <c r="M519" t="inlineStr">
        <is>
          <t>estandar</t>
        </is>
      </c>
      <c r="N519" t="inlineStr">
        <is>
          <t>general</t>
        </is>
      </c>
      <c r="O519" t="inlineStr">
        <is>
          <t>https://www.farmacity.com/sutrico-tar-coaltar-9-shampoo-acondic-x-100-ml/p</t>
        </is>
      </c>
    </row>
    <row r="520">
      <c r="A520" s="6" t="inlineStr">
        <is>
          <t>Farmacity</t>
        </is>
      </c>
      <c r="B520" s="6" t="n">
        <v>230392</v>
      </c>
      <c r="C520" s="6" t="n">
        <v>230392</v>
      </c>
      <c r="D520" s="6" t="inlineStr">
        <is>
          <t>By Derm Capilar Octopirox + Asoc Shampoo Seborrea x 250ml</t>
        </is>
      </c>
      <c r="E520" s="6" t="inlineStr">
        <is>
          <t>Lesag</t>
        </is>
      </c>
      <c r="F520" s="6" t="n">
        <v>30720</v>
      </c>
      <c r="G520" s="6" t="n">
        <v>30720</v>
      </c>
      <c r="H520" s="6" t="b">
        <v>0</v>
      </c>
      <c r="I520" s="6" t="n">
        <v>250</v>
      </c>
      <c r="J520" s="6" t="n">
        <v>122.88</v>
      </c>
      <c r="K520" s="6" t="inlineStr">
        <is>
          <t>&gt; Venta Bajo Receta &gt; Dermatológico &gt;</t>
        </is>
      </c>
      <c r="L520" s="6" t="inlineStr">
        <is>
          <t>shampoo</t>
        </is>
      </c>
      <c r="M520" s="6" t="inlineStr">
        <is>
          <t>estandar</t>
        </is>
      </c>
      <c r="N520" s="6" t="inlineStr">
        <is>
          <t>general</t>
        </is>
      </c>
      <c r="O520" s="6" t="inlineStr">
        <is>
          <t>https://www.farmacity.com/by-derm-capilar-octopirox-asoc-shampoo-seborrea-x-250ml/p</t>
        </is>
      </c>
    </row>
    <row r="521">
      <c r="A521" t="inlineStr">
        <is>
          <t>Farmacity</t>
        </is>
      </c>
      <c r="B521" t="n">
        <v>34397</v>
      </c>
      <c r="C521" t="n">
        <v>34397</v>
      </c>
      <c r="D521" t="inlineStr">
        <is>
          <t>Laurinol Plus Vit.b6 + Asoc. Shampoo x 240 ml</t>
        </is>
      </c>
      <c r="E521" t="inlineStr">
        <is>
          <t>Savant Consumer</t>
        </is>
      </c>
      <c r="F521" t="n">
        <v>15049</v>
      </c>
      <c r="G521" t="n">
        <v>15049</v>
      </c>
      <c r="H521" t="b">
        <v>0</v>
      </c>
      <c r="I521" t="n">
        <v>240</v>
      </c>
      <c r="J521" t="n">
        <v>62.7042</v>
      </c>
      <c r="K521" t="inlineStr">
        <is>
          <t>&gt; Venta Bajo Receta &gt; Dermatológico &gt;</t>
        </is>
      </c>
      <c r="L521" t="inlineStr">
        <is>
          <t>shampoo</t>
        </is>
      </c>
      <c r="M521" t="inlineStr">
        <is>
          <t>estandar</t>
        </is>
      </c>
      <c r="N521" t="inlineStr">
        <is>
          <t>general</t>
        </is>
      </c>
      <c r="O521" t="inlineStr">
        <is>
          <t>https://www.farmacity.com/laurinol-plus-vit-b6-asoc-shampoo-x-240-ml/p</t>
        </is>
      </c>
    </row>
    <row r="522">
      <c r="A522" s="6" t="inlineStr">
        <is>
          <t>Farmacity</t>
        </is>
      </c>
      <c r="B522" s="6" t="n">
        <v>21739</v>
      </c>
      <c r="C522" s="6" t="n">
        <v>21739</v>
      </c>
      <c r="D522" s="6" t="inlineStr">
        <is>
          <t>Mencogrin Lauril Sulfato de Sodio + Asoc. Shampoo x 120 ml</t>
        </is>
      </c>
      <c r="E522" s="6" t="inlineStr">
        <is>
          <t>Megalabs</t>
        </is>
      </c>
      <c r="F522" s="6" t="n">
        <v>4201</v>
      </c>
      <c r="G522" s="6" t="n">
        <v>4201</v>
      </c>
      <c r="H522" s="6" t="b">
        <v>0</v>
      </c>
      <c r="I522" s="6" t="n">
        <v>120</v>
      </c>
      <c r="J522" s="6" t="n">
        <v>35.0083</v>
      </c>
      <c r="K522" s="6" t="inlineStr">
        <is>
          <t>&gt; Venta Bajo Receta &gt; Dermatológico &gt;</t>
        </is>
      </c>
      <c r="L522" s="6" t="inlineStr">
        <is>
          <t>shampoo</t>
        </is>
      </c>
      <c r="M522" s="6" t="inlineStr">
        <is>
          <t>estandar</t>
        </is>
      </c>
      <c r="N522" s="6" t="inlineStr">
        <is>
          <t>general</t>
        </is>
      </c>
      <c r="O522" s="6" t="inlineStr">
        <is>
          <t>https://www.farmacity.com/mencogrin-lauril-sulfato-de-sodio-asoc-shampoo-x-120-ml/p</t>
        </is>
      </c>
    </row>
    <row r="523">
      <c r="A523" t="inlineStr">
        <is>
          <t>Farmacity</t>
        </is>
      </c>
      <c r="B523" t="n">
        <v>124339</v>
      </c>
      <c r="C523" t="n">
        <v>124339</v>
      </c>
      <c r="D523" t="inlineStr">
        <is>
          <t>Tersoderm Colágeno + Asoc. Shampoo para Cabello Delicado x 260 ml</t>
        </is>
      </c>
      <c r="E523" t="inlineStr">
        <is>
          <t>Megalabs</t>
        </is>
      </c>
      <c r="F523" t="n">
        <v>2873</v>
      </c>
      <c r="G523" t="n">
        <v>2873</v>
      </c>
      <c r="H523" t="b">
        <v>0</v>
      </c>
      <c r="I523" t="n">
        <v>260</v>
      </c>
      <c r="J523" t="n">
        <v>11.05</v>
      </c>
      <c r="K523" t="inlineStr">
        <is>
          <t>&gt; Venta Bajo Receta &gt; Dermatológico &gt;</t>
        </is>
      </c>
      <c r="L523" t="inlineStr">
        <is>
          <t>shampoo</t>
        </is>
      </c>
      <c r="M523" t="inlineStr">
        <is>
          <t>estandar</t>
        </is>
      </c>
      <c r="N523" t="inlineStr">
        <is>
          <t>general</t>
        </is>
      </c>
      <c r="O523" t="inlineStr">
        <is>
          <t>https://www.farmacity.com/tersoderm-colageno-asoc-shampoo-para-cabello-delicado-x-260-ml/p</t>
        </is>
      </c>
    </row>
    <row r="524">
      <c r="A524" s="6" t="inlineStr">
        <is>
          <t>Farmacity</t>
        </is>
      </c>
      <c r="B524" s="6" t="n">
        <v>125163</v>
      </c>
      <c r="C524" s="6" t="n">
        <v>125163</v>
      </c>
      <c r="D524" s="6" t="inlineStr">
        <is>
          <t>Tersoderm Azufre + Asoc. Shampoo para Cabello Graso x 260 ml</t>
        </is>
      </c>
      <c r="E524" s="6" t="inlineStr">
        <is>
          <t>Megalabs</t>
        </is>
      </c>
      <c r="F524" s="6" t="n">
        <v>2873</v>
      </c>
      <c r="G524" s="6" t="n">
        <v>2873</v>
      </c>
      <c r="H524" s="6" t="b">
        <v>0</v>
      </c>
      <c r="I524" s="6" t="n">
        <v>260</v>
      </c>
      <c r="J524" s="6" t="n">
        <v>11.05</v>
      </c>
      <c r="K524" s="6" t="inlineStr">
        <is>
          <t>&gt; Venta Bajo Receta &gt; Dermatológico &gt;</t>
        </is>
      </c>
      <c r="L524" s="6" t="inlineStr">
        <is>
          <t>shampoo</t>
        </is>
      </c>
      <c r="M524" s="6" t="inlineStr">
        <is>
          <t>estandar</t>
        </is>
      </c>
      <c r="N524" s="6" t="inlineStr">
        <is>
          <t>graso</t>
        </is>
      </c>
      <c r="O524" s="6" t="inlineStr">
        <is>
          <t>https://www.farmacity.com/tersoderm-azufre-asoc-shampoo-para-cabello-graso-x-260-ml/p</t>
        </is>
      </c>
    </row>
    <row r="525">
      <c r="A525" t="inlineStr">
        <is>
          <t>Farmacity</t>
        </is>
      </c>
      <c r="B525" t="n">
        <v>21721</v>
      </c>
      <c r="C525" t="n">
        <v>21721</v>
      </c>
      <c r="D525" t="inlineStr">
        <is>
          <t>Mencogrin AP Acido Salicilico + Coaltar + Asoc. Shampoo x 120 ml</t>
        </is>
      </c>
      <c r="E525" t="inlineStr">
        <is>
          <t>Megalabs</t>
        </is>
      </c>
      <c r="F525" t="n">
        <v>5098</v>
      </c>
      <c r="G525" t="n">
        <v>5098</v>
      </c>
      <c r="H525" t="b">
        <v>0</v>
      </c>
      <c r="I525" t="n">
        <v>120</v>
      </c>
      <c r="J525" t="n">
        <v>42.4833</v>
      </c>
      <c r="K525" t="inlineStr">
        <is>
          <t>&gt; Venta Bajo Receta &gt; Dermatológico &gt;</t>
        </is>
      </c>
      <c r="L525" t="inlineStr">
        <is>
          <t>shampoo</t>
        </is>
      </c>
      <c r="M525" t="inlineStr">
        <is>
          <t>estandar</t>
        </is>
      </c>
      <c r="N525" t="inlineStr">
        <is>
          <t>general</t>
        </is>
      </c>
      <c r="O525" t="inlineStr">
        <is>
          <t>https://www.farmacity.com/mencogrin-ap-acido-salicilico-coaltar-asoc--shampoo-x-120-ml/p</t>
        </is>
      </c>
    </row>
    <row r="526">
      <c r="A526" s="6" t="inlineStr">
        <is>
          <t>Farmacity</t>
        </is>
      </c>
      <c r="B526" s="6" t="n">
        <v>244320</v>
      </c>
      <c r="C526" s="6" t="n">
        <v>244320</v>
      </c>
      <c r="D526" s="6" t="inlineStr">
        <is>
          <t>Combo Lambdapil Shampoo Anticaída x 200 ml + Suplemento Dietario Isdin Lambdapil Hairdensity x 60 Cáps</t>
        </is>
      </c>
      <c r="E526" s="6" t="inlineStr">
        <is>
          <t>Isdin</t>
        </is>
      </c>
      <c r="F526" s="6" t="n">
        <v>91541</v>
      </c>
      <c r="G526" s="6" t="n">
        <v>91541</v>
      </c>
      <c r="H526" s="6" t="b">
        <v>0</v>
      </c>
      <c r="I526" s="6" t="n">
        <v>200</v>
      </c>
      <c r="J526" s="6" t="n">
        <v>457.705</v>
      </c>
      <c r="K526" s="6" t="inlineStr">
        <is>
          <t>&gt; Dermocosmética &gt; Pelo &gt; Shampoos y Acondicionadores &gt;</t>
        </is>
      </c>
      <c r="L526" s="6" t="inlineStr">
        <is>
          <t>shampoo</t>
        </is>
      </c>
      <c r="M526" s="6" t="inlineStr">
        <is>
          <t>estandar</t>
        </is>
      </c>
      <c r="N526" s="6" t="inlineStr">
        <is>
          <t>general</t>
        </is>
      </c>
      <c r="O526" s="6" t="inlineStr">
        <is>
          <t>https://www.farmacity.com/combo-lambdapil-shampoo-anticaida-x-200-ml-suplemento-dietario-isdin-hairdensity-x-60-caps/p</t>
        </is>
      </c>
    </row>
    <row r="527">
      <c r="A527" t="inlineStr">
        <is>
          <t>Farmacity</t>
        </is>
      </c>
      <c r="B527" t="n">
        <v>249453</v>
      </c>
      <c r="C527" t="n">
        <v>249453</v>
      </c>
      <c r="D527" t="inlineStr">
        <is>
          <t>Combo Isdin Shampoo Lambdapil Anti-Caída x 200 ml + Suplemento Dietario Isdin Lambdapil Hairdensity x 60 Cáps</t>
        </is>
      </c>
      <c r="E527" t="inlineStr">
        <is>
          <t>Isdin</t>
        </is>
      </c>
      <c r="F527" t="n">
        <v>91541</v>
      </c>
      <c r="G527" t="n">
        <v>91541</v>
      </c>
      <c r="H527" t="b">
        <v>0</v>
      </c>
      <c r="I527" t="n">
        <v>200</v>
      </c>
      <c r="J527" t="n">
        <v>457.705</v>
      </c>
      <c r="K527" t="inlineStr">
        <is>
          <t>&gt; Dermocosmética &gt; Pelo &gt; Bálsamos y Tratamientos &gt;</t>
        </is>
      </c>
      <c r="L527" t="inlineStr">
        <is>
          <t>shampoo</t>
        </is>
      </c>
      <c r="M527" t="inlineStr">
        <is>
          <t>estandar</t>
        </is>
      </c>
      <c r="N527" t="inlineStr">
        <is>
          <t>general</t>
        </is>
      </c>
      <c r="O527" t="inlineStr">
        <is>
          <t>https://www.farmacity.com/combo-isdin-shampoo-lambdapil-anti-caida-x-200-ml---suplemento-dietario-isdin-lambdapil-hairdensity-x-60-caps/p</t>
        </is>
      </c>
    </row>
    <row r="528">
      <c r="A528" s="6" t="inlineStr">
        <is>
          <t>Farmacity</t>
        </is>
      </c>
      <c r="B528" s="6" t="n">
        <v>237994</v>
      </c>
      <c r="C528" s="6" t="n">
        <v>237994</v>
      </c>
      <c r="D528" s="6" t="inlineStr">
        <is>
          <t>Combo Ruh Shampoo Sólido Cabello Seco Mechanic Orange x 65 g + Acondicionador Sólido x 45 g + Jabonera Redonda Doble</t>
        </is>
      </c>
      <c r="E528" s="6" t="inlineStr">
        <is>
          <t>Ruh Natural</t>
        </is>
      </c>
      <c r="F528" s="6" t="n">
        <v>40860</v>
      </c>
      <c r="G528" s="6" t="n">
        <v>40860</v>
      </c>
      <c r="H528" s="6" t="b">
        <v>0</v>
      </c>
      <c r="I528" s="6" t="n">
        <v>65</v>
      </c>
      <c r="J528" s="6" t="n">
        <v>628.6154</v>
      </c>
      <c r="K528" s="6" t="inlineStr">
        <is>
          <t>&gt; Cuidado Capilar &gt; Shampoo Y Acondicionador &gt;</t>
        </is>
      </c>
      <c r="L528" s="6" t="inlineStr">
        <is>
          <t>acondicionador</t>
        </is>
      </c>
      <c r="M528" s="6" t="inlineStr">
        <is>
          <t>estandar</t>
        </is>
      </c>
      <c r="N528" s="6" t="inlineStr">
        <is>
          <t>seco_danado</t>
        </is>
      </c>
      <c r="O528" s="6" t="inlineStr">
        <is>
          <t>https://www.farmacity.com/combo-ruh-shampoo-solido-cabello-seco-mechanic-orange-x-65-g-acondicionador-ruh-x-45-g-jabonera-redonda-doble/p</t>
        </is>
      </c>
    </row>
    <row r="529">
      <c r="A529" t="inlineStr">
        <is>
          <t>Farmacity</t>
        </is>
      </c>
      <c r="B529" t="n">
        <v>237993</v>
      </c>
      <c r="C529" t="n">
        <v>237993</v>
      </c>
      <c r="D529" t="inlineStr">
        <is>
          <t>Combo Ruh Shampoo Sólido Cabello Normal Off White x 65 g + Acondicionador Sólido x 45 g + Jabonera Redonda Doble</t>
        </is>
      </c>
      <c r="E529" t="inlineStr">
        <is>
          <t>Ruh Natural</t>
        </is>
      </c>
      <c r="F529" t="n">
        <v>40860</v>
      </c>
      <c r="G529" t="n">
        <v>40860</v>
      </c>
      <c r="H529" t="b">
        <v>0</v>
      </c>
      <c r="I529" t="n">
        <v>65</v>
      </c>
      <c r="J529" t="n">
        <v>628.6154</v>
      </c>
      <c r="K529" t="inlineStr">
        <is>
          <t>&gt; Cuidado Capilar &gt; Shampoo Y Acondicionador &gt;</t>
        </is>
      </c>
      <c r="L529" t="inlineStr">
        <is>
          <t>acondicionador</t>
        </is>
      </c>
      <c r="M529" t="inlineStr">
        <is>
          <t>estandar</t>
        </is>
      </c>
      <c r="N529" t="inlineStr">
        <is>
          <t>general</t>
        </is>
      </c>
      <c r="O529" t="inlineStr">
        <is>
          <t>https://www.farmacity.com/combo-ruh-cabello-normal-off-white-x-65-g-acondicionador-ruh-x-45-g-jabonera-redonda-doble/p</t>
        </is>
      </c>
    </row>
    <row r="530">
      <c r="A530" s="6" t="inlineStr">
        <is>
          <t>Farmacity</t>
        </is>
      </c>
      <c r="B530" s="6" t="n">
        <v>237991</v>
      </c>
      <c r="C530" s="6" t="n">
        <v>237991</v>
      </c>
      <c r="D530" s="6" t="inlineStr">
        <is>
          <t>Combo Ruh Shampoo Sólido Cabello Danado Yellow Submarine x 65 g + Acondicionador Sólido x 45 g + Jabonera Redonda Doble</t>
        </is>
      </c>
      <c r="E530" s="6" t="inlineStr">
        <is>
          <t>Ruh Natural</t>
        </is>
      </c>
      <c r="F530" s="6" t="n">
        <v>40860</v>
      </c>
      <c r="G530" s="6" t="n">
        <v>40860</v>
      </c>
      <c r="H530" s="6" t="b">
        <v>0</v>
      </c>
      <c r="I530" s="6" t="n">
        <v>65</v>
      </c>
      <c r="J530" s="6" t="n">
        <v>628.6154</v>
      </c>
      <c r="K530" s="6" t="inlineStr">
        <is>
          <t>&gt; Cuidado Capilar &gt; Shampoo Y Acondicionador &gt;</t>
        </is>
      </c>
      <c r="L530" s="6" t="inlineStr">
        <is>
          <t>acondicionador</t>
        </is>
      </c>
      <c r="M530" s="6" t="inlineStr">
        <is>
          <t>estandar</t>
        </is>
      </c>
      <c r="N530" s="6" t="inlineStr">
        <is>
          <t>seco_danado</t>
        </is>
      </c>
      <c r="O530" s="6" t="inlineStr">
        <is>
          <t>https://www.farmacity.com/combo-ruh-shampoo-cabello-danado-yeloow-submarine-x-65-g-acondicionador-ruh-x-45-g-jabonera-redonda-doble/p</t>
        </is>
      </c>
    </row>
    <row r="531">
      <c r="A531" t="inlineStr">
        <is>
          <t>Farmacity</t>
        </is>
      </c>
      <c r="B531" t="n">
        <v>237992</v>
      </c>
      <c r="C531" t="n">
        <v>237992</v>
      </c>
      <c r="D531" t="inlineStr">
        <is>
          <t>Combo Ruh Shampoo Sólido Cabello Gaso Silver x 65 g + Acondicionador Sólido x 45 g + Jabonera Redonda Doble</t>
        </is>
      </c>
      <c r="E531" t="inlineStr">
        <is>
          <t>Ruh Natural</t>
        </is>
      </c>
      <c r="F531" t="n">
        <v>40860</v>
      </c>
      <c r="G531" t="n">
        <v>40860</v>
      </c>
      <c r="H531" t="b">
        <v>0</v>
      </c>
      <c r="I531" t="n">
        <v>65</v>
      </c>
      <c r="J531" t="n">
        <v>628.6154</v>
      </c>
      <c r="K531" t="inlineStr">
        <is>
          <t>&gt; Cuidado Capilar &gt; Shampoo Y Acondicionador &gt;</t>
        </is>
      </c>
      <c r="L531" t="inlineStr">
        <is>
          <t>acondicionador</t>
        </is>
      </c>
      <c r="M531" t="inlineStr">
        <is>
          <t>estandar</t>
        </is>
      </c>
      <c r="N531" t="inlineStr">
        <is>
          <t>general</t>
        </is>
      </c>
      <c r="O531" t="inlineStr">
        <is>
          <t>https://www.farmacity.com/combo-ruh-shampoo-cabello-gaso-silver-x-65-g-acondicionador-ruh-x-45-g-jabonera-redonda-doble/p</t>
        </is>
      </c>
    </row>
    <row r="532">
      <c r="A532" s="6" t="inlineStr">
        <is>
          <t>Farmacity</t>
        </is>
      </c>
      <c r="B532" s="6" t="n">
        <v>237995</v>
      </c>
      <c r="C532" s="6" t="n">
        <v>237995</v>
      </c>
      <c r="D532" s="6" t="inlineStr">
        <is>
          <t>Combo Ruh Shampoo Sólido Cabello Teñido Natural Lavender x 65 g + Acondicionador Sólido x 45 g + Jabonera Redonda Doble</t>
        </is>
      </c>
      <c r="E532" s="6" t="inlineStr">
        <is>
          <t>Ruh Natural</t>
        </is>
      </c>
      <c r="F532" s="6" t="n">
        <v>40860</v>
      </c>
      <c r="G532" s="6" t="n">
        <v>40860</v>
      </c>
      <c r="H532" s="6" t="b">
        <v>0</v>
      </c>
      <c r="I532" s="6" t="n">
        <v>65</v>
      </c>
      <c r="J532" s="6" t="n">
        <v>628.6154</v>
      </c>
      <c r="K532" s="6" t="inlineStr">
        <is>
          <t>&gt; Cuidado Capilar &gt; Shampoo Y Acondicionador &gt;</t>
        </is>
      </c>
      <c r="L532" s="6" t="inlineStr">
        <is>
          <t>acondicionador</t>
        </is>
      </c>
      <c r="M532" s="6" t="inlineStr">
        <is>
          <t>estandar</t>
        </is>
      </c>
      <c r="N532" s="6" t="inlineStr">
        <is>
          <t>tratado</t>
        </is>
      </c>
      <c r="O532" s="6" t="inlineStr">
        <is>
          <t>https://www.farmacity.com/combo-ruh-shampoo-solido-natural-lavender-x-65-g-acondicionador-ruh-x-45-g-jabonera-redonda-doble/p</t>
        </is>
      </c>
    </row>
    <row r="533">
      <c r="A533" t="inlineStr">
        <is>
          <t>Farmacity</t>
        </is>
      </c>
      <c r="B533" t="n">
        <v>225736</v>
      </c>
      <c r="C533" t="n">
        <v>225736</v>
      </c>
      <c r="D533" t="inlineStr">
        <is>
          <t>Jabón Líquido Next AB x 250 ml</t>
        </is>
      </c>
      <c r="E533" t="inlineStr">
        <is>
          <t>Next</t>
        </is>
      </c>
      <c r="F533" t="n">
        <v>1600</v>
      </c>
      <c r="G533" t="n">
        <v>3201</v>
      </c>
      <c r="H533" t="b">
        <v>0</v>
      </c>
      <c r="I533" t="n">
        <v>250</v>
      </c>
      <c r="J533" t="n">
        <v>6.4</v>
      </c>
      <c r="K533" t="inlineStr">
        <is>
          <t>&gt; Cuidado Personal &gt; Higiene Personal &gt; Jabones Y Ducha &gt;</t>
        </is>
      </c>
      <c r="L533" t="inlineStr">
        <is>
          <t>shampoo</t>
        </is>
      </c>
      <c r="M533" t="inlineStr">
        <is>
          <t>estandar</t>
        </is>
      </c>
      <c r="N533" t="inlineStr">
        <is>
          <t>general</t>
        </is>
      </c>
      <c r="O533" t="inlineStr">
        <is>
          <t>https://www.farmacity.com/jabon-liquido-next-antibacterial-x-250-ml/p</t>
        </is>
      </c>
    </row>
    <row r="534">
      <c r="A534" s="6" t="inlineStr">
        <is>
          <t>Farmacity</t>
        </is>
      </c>
      <c r="B534" s="6" t="n">
        <v>218288</v>
      </c>
      <c r="C534" s="6" t="n">
        <v>218288</v>
      </c>
      <c r="D534" s="6" t="inlineStr">
        <is>
          <t>Bálsamo Klorane Cupuacu x 200ml</t>
        </is>
      </c>
      <c r="E534" s="6" t="inlineStr">
        <is>
          <t>Klorane</t>
        </is>
      </c>
      <c r="F534" s="6" t="n">
        <v>39000</v>
      </c>
      <c r="G534" s="6" t="n">
        <v>39000</v>
      </c>
      <c r="H534" s="6" t="b">
        <v>0</v>
      </c>
      <c r="I534" s="6" t="n">
        <v>200</v>
      </c>
      <c r="J534" s="6" t="n">
        <v>195</v>
      </c>
      <c r="K534" s="6" t="inlineStr">
        <is>
          <t>&gt; Dermocosmética &gt; Pelo &gt; Bálsamos y Tratamientos &gt;</t>
        </is>
      </c>
      <c r="L534" s="6" t="inlineStr">
        <is>
          <t>shampoo</t>
        </is>
      </c>
      <c r="M534" s="6" t="inlineStr">
        <is>
          <t>estandar</t>
        </is>
      </c>
      <c r="N534" s="6" t="inlineStr">
        <is>
          <t>general</t>
        </is>
      </c>
      <c r="O534" s="6" t="inlineStr">
        <is>
          <t>https://www.farmacity.com/balsamo-klorane-cupuacu-x-200--ml/p</t>
        </is>
      </c>
    </row>
    <row r="535">
      <c r="A535" t="inlineStr">
        <is>
          <t>Farmacity</t>
        </is>
      </c>
      <c r="B535" t="n">
        <v>212598</v>
      </c>
      <c r="C535" t="n">
        <v>212598</v>
      </c>
      <c r="D535" t="inlineStr">
        <is>
          <t>Shampo Matizante Klorane Centáurea x 400 ml</t>
        </is>
      </c>
      <c r="E535" t="inlineStr">
        <is>
          <t>Klorane</t>
        </is>
      </c>
      <c r="F535" t="n">
        <v>43500</v>
      </c>
      <c r="G535" t="n">
        <v>43500</v>
      </c>
      <c r="H535" t="b">
        <v>0</v>
      </c>
      <c r="I535" t="n">
        <v>400</v>
      </c>
      <c r="J535" t="n">
        <v>108.75</v>
      </c>
      <c r="K535" t="inlineStr">
        <is>
          <t>&gt; Dermocosmética &gt; Pelo &gt; Shampoos y Acondicionadores &gt;</t>
        </is>
      </c>
      <c r="L535" t="inlineStr">
        <is>
          <t>shampoo</t>
        </is>
      </c>
      <c r="M535" t="inlineStr">
        <is>
          <t>estandar</t>
        </is>
      </c>
      <c r="N535" t="inlineStr">
        <is>
          <t>general</t>
        </is>
      </c>
      <c r="O535" t="inlineStr">
        <is>
          <t>https://www.farmacity.com/shampoo-al-extracto-de-centaurea-x-400-ml/p</t>
        </is>
      </c>
    </row>
    <row r="536">
      <c r="A536" s="6" t="inlineStr">
        <is>
          <t>Farmacity</t>
        </is>
      </c>
      <c r="B536" s="6" t="n">
        <v>236997</v>
      </c>
      <c r="C536" s="6" t="n">
        <v>236997</v>
      </c>
      <c r="D536" s="6" t="inlineStr">
        <is>
          <t>Tónico Fortalecedor Barba Sir Fausto x 250 ml</t>
        </is>
      </c>
      <c r="E536" s="6" t="inlineStr">
        <is>
          <t>Sir Fausto</t>
        </is>
      </c>
      <c r="F536" s="6" t="n">
        <v>52505</v>
      </c>
      <c r="G536" s="6" t="n">
        <v>52505</v>
      </c>
      <c r="H536" s="6" t="b">
        <v>0</v>
      </c>
      <c r="I536" s="6" t="n">
        <v>250</v>
      </c>
      <c r="J536" s="6" t="n">
        <v>210.02</v>
      </c>
      <c r="K536" s="6" t="inlineStr">
        <is>
          <t>&gt; Cuidado Capilar &gt; Reparación Y Tratamiento &gt;</t>
        </is>
      </c>
      <c r="L536" s="6" t="inlineStr">
        <is>
          <t>shampoo</t>
        </is>
      </c>
      <c r="M536" s="6" t="inlineStr">
        <is>
          <t>estandar</t>
        </is>
      </c>
      <c r="N536" s="6" t="inlineStr">
        <is>
          <t>general</t>
        </is>
      </c>
      <c r="O536" s="6" t="inlineStr">
        <is>
          <t>https://www.farmacity.com/tonico-fortececedor-barba-sir-fausto-x-250-ml/p</t>
        </is>
      </c>
    </row>
    <row r="537">
      <c r="A537" t="inlineStr">
        <is>
          <t>Farmacity</t>
        </is>
      </c>
      <c r="B537" t="n">
        <v>241727</v>
      </c>
      <c r="C537" t="n">
        <v>241727</v>
      </c>
      <c r="D537" t="inlineStr">
        <is>
          <t>Kit Capilar Tresemmé Keratina AntiFrizz + Hidratación</t>
        </is>
      </c>
      <c r="E537" t="inlineStr">
        <is>
          <t>Tresemmé</t>
        </is>
      </c>
      <c r="F537" t="n">
        <v>35669</v>
      </c>
      <c r="G537" t="n">
        <v>35669</v>
      </c>
      <c r="H537" t="b">
        <v>0</v>
      </c>
      <c r="I537" t="inlineStr"/>
      <c r="J537" t="inlineStr"/>
      <c r="K537" t="inlineStr">
        <is>
          <t>&gt; Cuidado Capilar &gt; Shampoo Y Acondicionador &gt;</t>
        </is>
      </c>
      <c r="L537" t="inlineStr">
        <is>
          <t>tratamiento</t>
        </is>
      </c>
      <c r="M537" t="inlineStr">
        <is>
          <t>estandar</t>
        </is>
      </c>
      <c r="N537" t="inlineStr">
        <is>
          <t>tratado</t>
        </is>
      </c>
      <c r="O537" t="inlineStr">
        <is>
          <t>https://www.farmacity.com/combo-capilar-tresemme-keratina-antifrizz-hidratacion/p</t>
        </is>
      </c>
    </row>
    <row r="538">
      <c r="A538" s="6" t="inlineStr">
        <is>
          <t>Farmacity</t>
        </is>
      </c>
      <c r="B538" s="6" t="n">
        <v>230655</v>
      </c>
      <c r="C538" s="6" t="n">
        <v>230655</v>
      </c>
      <c r="D538" s="6" t="inlineStr">
        <is>
          <t>Máscara Capilar IL Salone Brillo y Vitalidad x 250 ml</t>
        </is>
      </c>
      <c r="E538" s="6" t="inlineStr">
        <is>
          <t>IL SALONE</t>
        </is>
      </c>
      <c r="F538" s="6" t="n">
        <v>13973</v>
      </c>
      <c r="G538" s="6" t="n">
        <v>13973</v>
      </c>
      <c r="H538" s="6" t="b">
        <v>0</v>
      </c>
      <c r="I538" s="6" t="n">
        <v>250</v>
      </c>
      <c r="J538" s="6" t="n">
        <v>55.892</v>
      </c>
      <c r="K538" s="6" t="inlineStr">
        <is>
          <t>&gt; Cuidado Capilar &gt; Reparación Y Tratamiento &gt;</t>
        </is>
      </c>
      <c r="L538" s="6" t="inlineStr">
        <is>
          <t>shampoo</t>
        </is>
      </c>
      <c r="M538" s="6" t="inlineStr">
        <is>
          <t>estandar</t>
        </is>
      </c>
      <c r="N538" s="6" t="inlineStr">
        <is>
          <t>general</t>
        </is>
      </c>
      <c r="O538" s="6" t="inlineStr">
        <is>
          <t>https://www.farmacity.com/mascara-capilar-il-salone-brillo-y-vitalidad-x-250-ml/p</t>
        </is>
      </c>
    </row>
    <row r="539">
      <c r="A539" t="inlineStr">
        <is>
          <t>Farmacity</t>
        </is>
      </c>
      <c r="B539" t="n">
        <v>230658</v>
      </c>
      <c r="C539" t="n">
        <v>230658</v>
      </c>
      <c r="D539" t="inlineStr">
        <is>
          <t>Máscara Capilar IL Salone Nutrición y Protección x 250 ml</t>
        </is>
      </c>
      <c r="E539" t="inlineStr">
        <is>
          <t>IL SALONE</t>
        </is>
      </c>
      <c r="F539" t="n">
        <v>13970</v>
      </c>
      <c r="G539" t="n">
        <v>13970</v>
      </c>
      <c r="H539" t="b">
        <v>0</v>
      </c>
      <c r="I539" t="n">
        <v>250</v>
      </c>
      <c r="J539" t="n">
        <v>55.88</v>
      </c>
      <c r="K539" t="inlineStr">
        <is>
          <t>&gt; Cuidado Capilar &gt; Reparación Y Tratamiento &gt;</t>
        </is>
      </c>
      <c r="L539" t="inlineStr">
        <is>
          <t>shampoo</t>
        </is>
      </c>
      <c r="M539" t="inlineStr">
        <is>
          <t>estandar</t>
        </is>
      </c>
      <c r="N539" t="inlineStr">
        <is>
          <t>general</t>
        </is>
      </c>
      <c r="O539" t="inlineStr">
        <is>
          <t>https://www.farmacity.com/mascara-capilar-il-salone-nutricion-y-proteccion-x-250-ml/p</t>
        </is>
      </c>
    </row>
    <row r="540">
      <c r="A540" s="6" t="inlineStr">
        <is>
          <t>Farmacity</t>
        </is>
      </c>
      <c r="B540" s="6" t="n">
        <v>249197</v>
      </c>
      <c r="C540" s="6" t="n">
        <v>249197</v>
      </c>
      <c r="D540" s="6" t="inlineStr">
        <is>
          <t>Acondicionador Boti-k Puro Vegetal Rosa Mosqueta x 380 ml</t>
        </is>
      </c>
      <c r="E540" s="6" t="inlineStr">
        <is>
          <t>Boti-k</t>
        </is>
      </c>
      <c r="F540" s="6" t="n">
        <v>32000</v>
      </c>
      <c r="G540" s="6" t="n">
        <v>32000</v>
      </c>
      <c r="H540" s="6" t="b">
        <v>0</v>
      </c>
      <c r="I540" s="6" t="n">
        <v>380</v>
      </c>
      <c r="J540" s="6" t="n">
        <v>84.2105</v>
      </c>
      <c r="K540" s="6" t="inlineStr">
        <is>
          <t>&gt; Cuidado Capilar &gt; Shampoo Y Acondicionador &gt;</t>
        </is>
      </c>
      <c r="L540" s="6" t="inlineStr">
        <is>
          <t>acondicionador</t>
        </is>
      </c>
      <c r="M540" s="6" t="inlineStr">
        <is>
          <t>estandar</t>
        </is>
      </c>
      <c r="N540" s="6" t="inlineStr">
        <is>
          <t>general</t>
        </is>
      </c>
      <c r="O540" s="6" t="inlineStr">
        <is>
          <t>https://www.farmacity.com/acondicionador-boti-k-puro-vegetal-rosa-mosqueta-x-380-ml/p</t>
        </is>
      </c>
    </row>
    <row r="541">
      <c r="A541" t="inlineStr">
        <is>
          <t>Farmacity</t>
        </is>
      </c>
      <c r="B541" t="n">
        <v>237006</v>
      </c>
      <c r="C541" t="n">
        <v>237006</v>
      </c>
      <c r="D541" t="inlineStr">
        <is>
          <t>Bálsamo Sir Fausto Pure D-Tox x 250 ml</t>
        </is>
      </c>
      <c r="E541" t="inlineStr">
        <is>
          <t>Sir Fausto</t>
        </is>
      </c>
      <c r="F541" t="n">
        <v>12276</v>
      </c>
      <c r="G541" t="n">
        <v>12276</v>
      </c>
      <c r="H541" t="b">
        <v>0</v>
      </c>
      <c r="I541" t="n">
        <v>250</v>
      </c>
      <c r="J541" t="n">
        <v>49.104</v>
      </c>
      <c r="K541" t="inlineStr">
        <is>
          <t>&gt; Cuidado Capilar &gt; Shampoo Y Acondicionador &gt;</t>
        </is>
      </c>
      <c r="L541" t="inlineStr">
        <is>
          <t>shampoo</t>
        </is>
      </c>
      <c r="M541" t="inlineStr">
        <is>
          <t>estandar</t>
        </is>
      </c>
      <c r="N541" t="inlineStr">
        <is>
          <t>general</t>
        </is>
      </c>
      <c r="O541" t="inlineStr">
        <is>
          <t>https://www.farmacity.com/balsamo-sir-fausto-pure-d-tox-x-250-ml/p</t>
        </is>
      </c>
    </row>
    <row r="542">
      <c r="A542" s="6" t="inlineStr">
        <is>
          <t>Farmacity</t>
        </is>
      </c>
      <c r="B542" s="6" t="n">
        <v>208218</v>
      </c>
      <c r="C542" s="6" t="n">
        <v>208218</v>
      </c>
      <c r="D542" s="6" t="inlineStr">
        <is>
          <t>Spray Repelente Nopucid x 80 ml</t>
        </is>
      </c>
      <c r="E542" s="6" t="inlineStr">
        <is>
          <t>Nopucid</t>
        </is>
      </c>
      <c r="F542" s="6" t="n">
        <v>11949</v>
      </c>
      <c r="G542" s="6" t="n">
        <v>11949</v>
      </c>
      <c r="H542" s="6" t="b">
        <v>0</v>
      </c>
      <c r="I542" s="6" t="n">
        <v>80</v>
      </c>
      <c r="J542" s="6" t="n">
        <v>149.3625</v>
      </c>
      <c r="K542" s="6" t="inlineStr">
        <is>
          <t>&gt; Farmacia &gt; Pediculosis &gt; Lociones, Enjuagues Y Emulsiones &gt;</t>
        </is>
      </c>
      <c r="L542" s="6" t="inlineStr">
        <is>
          <t>shampoo</t>
        </is>
      </c>
      <c r="M542" s="6" t="inlineStr">
        <is>
          <t>estandar</t>
        </is>
      </c>
      <c r="N542" s="6" t="inlineStr">
        <is>
          <t>general</t>
        </is>
      </c>
      <c r="O542" s="6" t="inlineStr">
        <is>
          <t>https://www.farmacity.com/spray-repelente-nopucid-x-80-ml/p</t>
        </is>
      </c>
    </row>
    <row r="543">
      <c r="A543" t="inlineStr">
        <is>
          <t>Farmacity</t>
        </is>
      </c>
      <c r="B543" t="n">
        <v>228675</v>
      </c>
      <c r="C543" t="n">
        <v>228675</v>
      </c>
      <c r="D543" t="inlineStr">
        <is>
          <t>Toallitas Intimas Lomecan V Therapy x 10 un</t>
        </is>
      </c>
      <c r="E543" t="inlineStr">
        <is>
          <t>Lomecan</t>
        </is>
      </c>
      <c r="F543" t="n">
        <v>2022</v>
      </c>
      <c r="G543" t="n">
        <v>2022</v>
      </c>
      <c r="H543" t="b">
        <v>0</v>
      </c>
      <c r="I543" t="inlineStr"/>
      <c r="J543" t="inlineStr"/>
      <c r="K543" t="inlineStr">
        <is>
          <t>&gt; Cuidado Personal &gt; Higiene Personal &gt; Protección Femenina &gt;</t>
        </is>
      </c>
      <c r="L543" t="inlineStr">
        <is>
          <t>shampoo</t>
        </is>
      </c>
      <c r="M543" t="inlineStr">
        <is>
          <t>estandar</t>
        </is>
      </c>
      <c r="N543" t="inlineStr">
        <is>
          <t>general</t>
        </is>
      </c>
      <c r="O543" t="inlineStr">
        <is>
          <t>https://www.farmacity.com/toallitas-intima-lomecan-v-therapy-x-10-un/p</t>
        </is>
      </c>
    </row>
    <row r="544">
      <c r="A544" s="6" t="inlineStr">
        <is>
          <t>Farmacity</t>
        </is>
      </c>
      <c r="B544" s="6" t="n">
        <v>213249</v>
      </c>
      <c r="C544" s="6" t="n">
        <v>213249</v>
      </c>
      <c r="D544" s="6" t="inlineStr">
        <is>
          <t>Loción Corporal Mustela Refrescante sin Alcohol x 200 ml</t>
        </is>
      </c>
      <c r="E544" s="6" t="inlineStr">
        <is>
          <t>Mustela</t>
        </is>
      </c>
      <c r="F544" s="6" t="n">
        <v>26750</v>
      </c>
      <c r="G544" s="6" t="n">
        <v>26750</v>
      </c>
      <c r="H544" s="6" t="b">
        <v>0</v>
      </c>
      <c r="I544" s="6" t="n">
        <v>200</v>
      </c>
      <c r="J544" s="6" t="n">
        <v>133.75</v>
      </c>
      <c r="K544" s="6" t="inlineStr">
        <is>
          <t>&gt; Bebés &gt; Higiene del Bebé &gt; Baño Del Bebé &gt;</t>
        </is>
      </c>
      <c r="L544" s="6" t="inlineStr">
        <is>
          <t>shampoo</t>
        </is>
      </c>
      <c r="M544" s="6" t="inlineStr">
        <is>
          <t>estandar</t>
        </is>
      </c>
      <c r="N544" s="6" t="inlineStr">
        <is>
          <t>general</t>
        </is>
      </c>
      <c r="O544" s="6" t="inlineStr">
        <is>
          <t>https://www.farmacity.com/locion-corporal-mustela-refrescante-y-peinado-x-200-ml/p</t>
        </is>
      </c>
    </row>
    <row r="545">
      <c r="A545" t="inlineStr">
        <is>
          <t>Farmacity</t>
        </is>
      </c>
      <c r="B545" t="n">
        <v>222809</v>
      </c>
      <c r="C545" t="n">
        <v>222809</v>
      </c>
      <c r="D545" t="inlineStr">
        <is>
          <t>Suplemento Dietario Isdin Lambdapil Hairdensity x 60 Cáps</t>
        </is>
      </c>
      <c r="E545" t="inlineStr">
        <is>
          <t>Isdin</t>
        </is>
      </c>
      <c r="F545" t="n">
        <v>46303</v>
      </c>
      <c r="G545" t="n">
        <v>46303</v>
      </c>
      <c r="H545" t="b">
        <v>0</v>
      </c>
      <c r="I545" t="inlineStr"/>
      <c r="J545" t="inlineStr"/>
      <c r="K545" t="inlineStr">
        <is>
          <t>&gt; Dermocosmética &gt; Pelo &gt; Bálsamos y Tratamientos &gt;</t>
        </is>
      </c>
      <c r="L545" t="inlineStr">
        <is>
          <t>shampoo</t>
        </is>
      </c>
      <c r="M545" t="inlineStr">
        <is>
          <t>estandar</t>
        </is>
      </c>
      <c r="N545" t="inlineStr">
        <is>
          <t>general</t>
        </is>
      </c>
      <c r="O545" t="inlineStr">
        <is>
          <t>https://www.farmacity.com/suplemento-dietario-isdin-lambdapil-hairdensity-x-60-cap/p</t>
        </is>
      </c>
    </row>
    <row r="546">
      <c r="A546" s="6" t="inlineStr">
        <is>
          <t>Farmacity</t>
        </is>
      </c>
      <c r="B546" s="6" t="n">
        <v>213245</v>
      </c>
      <c r="C546" s="6" t="n">
        <v>213245</v>
      </c>
      <c r="D546" s="6" t="inlineStr">
        <is>
          <t>Leche Corporal Mustela Hydra Bebé Piel Normal x 500 ml</t>
        </is>
      </c>
      <c r="E546" s="6" t="inlineStr">
        <is>
          <t>Mustela</t>
        </is>
      </c>
      <c r="F546" s="6" t="n">
        <v>25900</v>
      </c>
      <c r="G546" s="6" t="n">
        <v>25900</v>
      </c>
      <c r="H546" s="6" t="b">
        <v>0</v>
      </c>
      <c r="I546" s="6" t="n">
        <v>500</v>
      </c>
      <c r="J546" s="6" t="n">
        <v>51.8</v>
      </c>
      <c r="K546" s="6" t="inlineStr">
        <is>
          <t>&gt; Bebés &gt; Higiene del Bebé &gt; Baño Del Bebé &gt;</t>
        </is>
      </c>
      <c r="L546" s="6" t="inlineStr">
        <is>
          <t>shampoo</t>
        </is>
      </c>
      <c r="M546" s="6" t="inlineStr">
        <is>
          <t>estandar</t>
        </is>
      </c>
      <c r="N546" s="6" t="inlineStr">
        <is>
          <t>bebe</t>
        </is>
      </c>
      <c r="O546" s="6" t="inlineStr">
        <is>
          <t>https://www.farmacity.com/leche-corporal-mustela-hydra-bebe-piel-normal-500-ml/p</t>
        </is>
      </c>
    </row>
    <row r="547">
      <c r="A547" t="inlineStr">
        <is>
          <t>Farmacity</t>
        </is>
      </c>
      <c r="B547" t="n">
        <v>238071</v>
      </c>
      <c r="C547" t="n">
        <v>238071</v>
      </c>
      <c r="D547" t="inlineStr">
        <is>
          <t>Kit Tintura Excellence Matizador Supreme Tono 6.111 Rubio Oscuro Cenizo Plata</t>
        </is>
      </c>
      <c r="E547" t="inlineStr">
        <is>
          <t>L'Oreal París</t>
        </is>
      </c>
      <c r="F547" t="n">
        <v>16190</v>
      </c>
      <c r="G547" t="n">
        <v>16190</v>
      </c>
      <c r="H547" t="b">
        <v>0</v>
      </c>
      <c r="I547" t="inlineStr"/>
      <c r="J547" t="inlineStr"/>
      <c r="K547" t="inlineStr">
        <is>
          <t>&gt; Cuidado Capilar &gt; Coloración Y Oxidantes &gt;</t>
        </is>
      </c>
      <c r="L547" t="inlineStr">
        <is>
          <t>tratamiento</t>
        </is>
      </c>
      <c r="M547" t="inlineStr">
        <is>
          <t>estandar</t>
        </is>
      </c>
      <c r="N547" t="inlineStr">
        <is>
          <t>tratado</t>
        </is>
      </c>
      <c r="O547" t="inlineStr">
        <is>
          <t>https://www.farmacity.com/kit-tintura-excellence-matizador--supreme/p</t>
        </is>
      </c>
    </row>
    <row r="548">
      <c r="A548" s="6" t="inlineStr">
        <is>
          <t>Farmacity</t>
        </is>
      </c>
      <c r="B548" s="6" t="n">
        <v>224818</v>
      </c>
      <c r="C548" s="6" t="n">
        <v>224818</v>
      </c>
      <c r="D548" s="6" t="inlineStr">
        <is>
          <t>Loción Nopucid Tribit Elimina Piojos y Liendres x 120 ml</t>
        </is>
      </c>
      <c r="E548" s="6" t="inlineStr">
        <is>
          <t>Nopucid</t>
        </is>
      </c>
      <c r="F548" s="6" t="n">
        <v>19429</v>
      </c>
      <c r="G548" s="6" t="n">
        <v>19429</v>
      </c>
      <c r="H548" s="6" t="b">
        <v>0</v>
      </c>
      <c r="I548" s="6" t="n">
        <v>120</v>
      </c>
      <c r="J548" s="6" t="n">
        <v>161.9083</v>
      </c>
      <c r="K548" s="6" t="inlineStr">
        <is>
          <t>&gt; Farmacia &gt; Pediculosis &gt; Lociones, Enjuagues Y Emulsiones &gt;</t>
        </is>
      </c>
      <c r="L548" s="6" t="inlineStr">
        <is>
          <t>shampoo</t>
        </is>
      </c>
      <c r="M548" s="6" t="inlineStr">
        <is>
          <t>estandar</t>
        </is>
      </c>
      <c r="N548" s="6" t="inlineStr">
        <is>
          <t>general</t>
        </is>
      </c>
      <c r="O548" s="6" t="inlineStr">
        <is>
          <t>https://www.farmacity.com/locion-nopucid-tribit-elimina-piojos-y-liendres-x-120-ml/p</t>
        </is>
      </c>
    </row>
    <row r="549">
      <c r="A549" t="inlineStr">
        <is>
          <t>Farmacity</t>
        </is>
      </c>
      <c r="B549" t="n">
        <v>222808</v>
      </c>
      <c r="C549" t="n">
        <v>222808</v>
      </c>
      <c r="D549" t="inlineStr">
        <is>
          <t>Kit Tintura Excellence Matizador Supreme Triple Cuidado 8.17 Rubio Claro Cenizo x 47 g</t>
        </is>
      </c>
      <c r="E549" t="inlineStr">
        <is>
          <t>L'Oreal París</t>
        </is>
      </c>
      <c r="F549" t="n">
        <v>17900</v>
      </c>
      <c r="G549" t="n">
        <v>17900</v>
      </c>
      <c r="H549" t="b">
        <v>0</v>
      </c>
      <c r="I549" t="n">
        <v>47</v>
      </c>
      <c r="J549" t="n">
        <v>380.8511</v>
      </c>
      <c r="K549" t="inlineStr">
        <is>
          <t>&gt; Cuidado Capilar &gt; Coloración Y Oxidantes &gt;</t>
        </is>
      </c>
      <c r="L549" t="inlineStr">
        <is>
          <t>tratamiento</t>
        </is>
      </c>
      <c r="M549" t="inlineStr">
        <is>
          <t>estandar</t>
        </is>
      </c>
      <c r="N549" t="inlineStr">
        <is>
          <t>tratado</t>
        </is>
      </c>
      <c r="O549" t="inlineStr">
        <is>
          <t>https://www.farmacity.com/kit-tintura-excellence-matizador-supreme-222808/p</t>
        </is>
      </c>
    </row>
    <row r="550">
      <c r="A550" s="6" t="inlineStr">
        <is>
          <t>Farmacity</t>
        </is>
      </c>
      <c r="B550" s="6" t="n">
        <v>222807</v>
      </c>
      <c r="C550" s="6" t="n">
        <v>222807</v>
      </c>
      <c r="D550" s="6" t="inlineStr">
        <is>
          <t>Kit Tintura  Excellence Matizador Supreme Triple Cuidado 7.17 Rubio Cenizo x 47 g</t>
        </is>
      </c>
      <c r="E550" s="6" t="inlineStr">
        <is>
          <t>L'Oreal París</t>
        </is>
      </c>
      <c r="F550" s="6" t="n">
        <v>17900</v>
      </c>
      <c r="G550" s="6" t="n">
        <v>17900</v>
      </c>
      <c r="H550" s="6" t="b">
        <v>0</v>
      </c>
      <c r="I550" s="6" t="n">
        <v>47</v>
      </c>
      <c r="J550" s="6" t="n">
        <v>380.8511</v>
      </c>
      <c r="K550" s="6" t="inlineStr">
        <is>
          <t>&gt; Cuidado Capilar &gt; Coloración Y Oxidantes &gt;</t>
        </is>
      </c>
      <c r="L550" s="6" t="inlineStr">
        <is>
          <t>tratamiento</t>
        </is>
      </c>
      <c r="M550" s="6" t="inlineStr">
        <is>
          <t>estandar</t>
        </is>
      </c>
      <c r="N550" s="6" t="inlineStr">
        <is>
          <t>tratado</t>
        </is>
      </c>
      <c r="O550" s="6" t="inlineStr">
        <is>
          <t>https://www.farmacity.com/kit-tintura-excellence-matizador-supreme-222807/p</t>
        </is>
      </c>
    </row>
    <row r="551">
      <c r="A551" t="inlineStr">
        <is>
          <t>Farmacity</t>
        </is>
      </c>
      <c r="B551" t="n">
        <v>222806</v>
      </c>
      <c r="C551" t="n">
        <v>222806</v>
      </c>
      <c r="D551" t="inlineStr">
        <is>
          <t>Kit Tintura Excellence Matizador Supreme Triple Cuidado 6.17 Rubio Oscuro Cenizo x 47 g</t>
        </is>
      </c>
      <c r="E551" t="inlineStr">
        <is>
          <t>L'Oreal París</t>
        </is>
      </c>
      <c r="F551" t="n">
        <v>17900</v>
      </c>
      <c r="G551" t="n">
        <v>17900</v>
      </c>
      <c r="H551" t="b">
        <v>0</v>
      </c>
      <c r="I551" t="n">
        <v>47</v>
      </c>
      <c r="J551" t="n">
        <v>380.8511</v>
      </c>
      <c r="K551" t="inlineStr">
        <is>
          <t>&gt; Cuidado Capilar &gt; Coloración Y Oxidantes &gt;</t>
        </is>
      </c>
      <c r="L551" t="inlineStr">
        <is>
          <t>tratamiento</t>
        </is>
      </c>
      <c r="M551" t="inlineStr">
        <is>
          <t>estandar</t>
        </is>
      </c>
      <c r="N551" t="inlineStr">
        <is>
          <t>tratado</t>
        </is>
      </c>
      <c r="O551" t="inlineStr">
        <is>
          <t>https://www.farmacity.com/kit-tintura-excellence-matizador-supreme-222806/p</t>
        </is>
      </c>
    </row>
    <row r="552">
      <c r="A552" s="6" t="inlineStr">
        <is>
          <t>Farmacity</t>
        </is>
      </c>
      <c r="B552" s="6" t="n">
        <v>586</v>
      </c>
      <c r="C552" s="6" t="n">
        <v>23645</v>
      </c>
      <c r="D552" s="6" t="inlineStr">
        <is>
          <t>Acondicionador iluminador x 420 ml</t>
        </is>
      </c>
      <c r="E552" s="6" t="inlineStr">
        <is>
          <t>Capilatis</t>
        </is>
      </c>
      <c r="F552" s="6" t="n">
        <v>9700</v>
      </c>
      <c r="G552" s="6" t="n">
        <v>9700</v>
      </c>
      <c r="H552" s="6" t="b">
        <v>1</v>
      </c>
      <c r="I552" s="6" t="n">
        <v>420</v>
      </c>
      <c r="J552" s="6" t="n">
        <v>23.0952</v>
      </c>
      <c r="K552" s="6" t="inlineStr">
        <is>
          <t>&gt; Cuidado Capilar &gt; Shampoo Y Acondicionador &gt;</t>
        </is>
      </c>
      <c r="L552" s="6" t="inlineStr">
        <is>
          <t>acondicionador</t>
        </is>
      </c>
      <c r="M552" s="6" t="inlineStr">
        <is>
          <t>estandar</t>
        </is>
      </c>
      <c r="N552" s="6" t="inlineStr">
        <is>
          <t>general</t>
        </is>
      </c>
      <c r="O552" s="6" t="inlineStr">
        <is>
          <t>https://www.farmacity.com/acondicionador-iluminador-x-420-ml/p</t>
        </is>
      </c>
    </row>
    <row r="553">
      <c r="A553" t="inlineStr">
        <is>
          <t>Farmacity</t>
        </is>
      </c>
      <c r="B553" t="n">
        <v>240015</v>
      </c>
      <c r="C553" t="n">
        <v>240015</v>
      </c>
      <c r="D553" t="inlineStr">
        <is>
          <t>Acondicionador Elvive Glycolic Gloss x 400 ml</t>
        </is>
      </c>
      <c r="E553" t="inlineStr">
        <is>
          <t>Elvive</t>
        </is>
      </c>
      <c r="F553" t="n">
        <v>7494</v>
      </c>
      <c r="G553" t="n">
        <v>12490</v>
      </c>
      <c r="H553" t="b">
        <v>1</v>
      </c>
      <c r="I553" t="n">
        <v>400</v>
      </c>
      <c r="J553" t="n">
        <v>18.735</v>
      </c>
      <c r="K553" t="inlineStr">
        <is>
          <t>&gt; Cuidado Capilar &gt; Shampoo Y Acondicionador &gt;</t>
        </is>
      </c>
      <c r="L553" t="inlineStr">
        <is>
          <t>acondicionador</t>
        </is>
      </c>
      <c r="M553" t="inlineStr">
        <is>
          <t>profesional</t>
        </is>
      </c>
      <c r="N553" t="inlineStr">
        <is>
          <t>general</t>
        </is>
      </c>
      <c r="O553" t="inlineStr">
        <is>
          <t>https://www.farmacity.com/acondicionador-elvive-glyco-gloss-x-400-ml/p</t>
        </is>
      </c>
    </row>
    <row r="554">
      <c r="A554" s="6" t="inlineStr">
        <is>
          <t>Farmacity</t>
        </is>
      </c>
      <c r="B554" s="6" t="n">
        <v>234285</v>
      </c>
      <c r="C554" s="6" t="n">
        <v>234285</v>
      </c>
      <c r="D554" s="6" t="inlineStr">
        <is>
          <t>Acondicionador Pantene Pro-V Miracles Hidrata y Fortalece x 400 ml</t>
        </is>
      </c>
      <c r="E554" s="6" t="inlineStr">
        <is>
          <t>Pantene</t>
        </is>
      </c>
      <c r="F554" s="6" t="n">
        <v>6137</v>
      </c>
      <c r="G554" s="6" t="n">
        <v>10228</v>
      </c>
      <c r="H554" s="6" t="b">
        <v>1</v>
      </c>
      <c r="I554" s="6" t="n">
        <v>400</v>
      </c>
      <c r="J554" s="6" t="n">
        <v>15.3425</v>
      </c>
      <c r="K554" s="6" t="inlineStr">
        <is>
          <t>&gt; Cuidado Capilar &gt; Shampoo Y Acondicionador &gt;</t>
        </is>
      </c>
      <c r="L554" s="6" t="inlineStr">
        <is>
          <t>acondicionador</t>
        </is>
      </c>
      <c r="M554" s="6" t="inlineStr">
        <is>
          <t>profesional</t>
        </is>
      </c>
      <c r="N554" s="6" t="inlineStr">
        <is>
          <t>seco_danado</t>
        </is>
      </c>
      <c r="O554" s="6" t="inlineStr">
        <is>
          <t>https://www.farmacity.com/acondicionador-pantene-pro-v-miracles-hidrata-y-fortalece-x-400-ml/p</t>
        </is>
      </c>
    </row>
    <row r="555">
      <c r="A555" t="inlineStr">
        <is>
          <t>Farmacity</t>
        </is>
      </c>
      <c r="B555" t="n">
        <v>225536</v>
      </c>
      <c r="C555" t="n">
        <v>225536</v>
      </c>
      <c r="D555" t="inlineStr">
        <is>
          <t>Acondicionador Bagóvit Capilar Reparación Intensiva x 350 ml</t>
        </is>
      </c>
      <c r="E555" t="inlineStr">
        <is>
          <t>Bagóvit</t>
        </is>
      </c>
      <c r="F555" t="n">
        <v>8984</v>
      </c>
      <c r="G555" t="n">
        <v>8984</v>
      </c>
      <c r="H555" t="b">
        <v>1</v>
      </c>
      <c r="I555" t="n">
        <v>350</v>
      </c>
      <c r="J555" t="n">
        <v>25.6686</v>
      </c>
      <c r="K555" t="inlineStr">
        <is>
          <t>&gt; Cuidado Capilar &gt; Shampoo Y Acondicionador &gt;</t>
        </is>
      </c>
      <c r="L555" t="inlineStr">
        <is>
          <t>acondicionador</t>
        </is>
      </c>
      <c r="M555" t="inlineStr">
        <is>
          <t>estandar</t>
        </is>
      </c>
      <c r="N555" t="inlineStr">
        <is>
          <t>general</t>
        </is>
      </c>
      <c r="O555" t="inlineStr">
        <is>
          <t>https://www.farmacity.com/acondicionador-bagovit-capilar-reparacion-intensiva-x-350-ml/p</t>
        </is>
      </c>
    </row>
    <row r="556">
      <c r="A556" s="6" t="inlineStr">
        <is>
          <t>Farmacity</t>
        </is>
      </c>
      <c r="B556" s="6" t="n">
        <v>9589</v>
      </c>
      <c r="C556" s="6" t="n">
        <v>158663</v>
      </c>
      <c r="D556" s="6" t="inlineStr">
        <is>
          <t>Acondicionador Elvive Óleo Extraordinario Rizos x 400 ml</t>
        </is>
      </c>
      <c r="E556" s="6" t="inlineStr">
        <is>
          <t>Elvive</t>
        </is>
      </c>
      <c r="F556" s="6" t="n">
        <v>6714</v>
      </c>
      <c r="G556" s="6" t="n">
        <v>11190</v>
      </c>
      <c r="H556" s="6" t="b">
        <v>1</v>
      </c>
      <c r="I556" s="6" t="n">
        <v>400</v>
      </c>
      <c r="J556" s="6" t="n">
        <v>16.785</v>
      </c>
      <c r="K556" s="6" t="inlineStr">
        <is>
          <t>&gt; Cuidado Capilar &gt; Shampoo Y Acondicionador &gt;</t>
        </is>
      </c>
      <c r="L556" s="6" t="inlineStr">
        <is>
          <t>acondicionador</t>
        </is>
      </c>
      <c r="M556" s="6" t="inlineStr">
        <is>
          <t>profesional</t>
        </is>
      </c>
      <c r="N556" s="6" t="inlineStr">
        <is>
          <t>rizado</t>
        </is>
      </c>
      <c r="O556" s="6" t="inlineStr">
        <is>
          <t>https://www.farmacity.com/acondicionador-oleo-extraordinario-rizos-definidos-x-400-ml/p</t>
        </is>
      </c>
    </row>
    <row r="557">
      <c r="A557" t="inlineStr">
        <is>
          <t>Farmacity</t>
        </is>
      </c>
      <c r="B557" t="n">
        <v>5344</v>
      </c>
      <c r="C557" t="n">
        <v>143509</v>
      </c>
      <c r="D557" t="inlineStr">
        <is>
          <t>Acondicionador Elvive Reparación Total Extreme x 400 ml</t>
        </is>
      </c>
      <c r="E557" t="inlineStr">
        <is>
          <t>Elvive</t>
        </is>
      </c>
      <c r="F557" t="n">
        <v>6714</v>
      </c>
      <c r="G557" t="n">
        <v>11190</v>
      </c>
      <c r="H557" t="b">
        <v>1</v>
      </c>
      <c r="I557" t="n">
        <v>400</v>
      </c>
      <c r="J557" t="n">
        <v>16.785</v>
      </c>
      <c r="K557" t="inlineStr">
        <is>
          <t>&gt; Cuidado Capilar &gt; Shampoo Y Acondicionador &gt;</t>
        </is>
      </c>
      <c r="L557" t="inlineStr">
        <is>
          <t>acondicionador</t>
        </is>
      </c>
      <c r="M557" t="inlineStr">
        <is>
          <t>profesional</t>
        </is>
      </c>
      <c r="N557" t="inlineStr">
        <is>
          <t>general</t>
        </is>
      </c>
      <c r="O557" t="inlineStr">
        <is>
          <t>https://www.farmacity.com/acondicionador-reparacion-total-extreme-x-400-ml/p</t>
        </is>
      </c>
    </row>
    <row r="558">
      <c r="A558" s="6" t="inlineStr">
        <is>
          <t>Farmacity</t>
        </is>
      </c>
      <c r="B558" s="6" t="n">
        <v>4379</v>
      </c>
      <c r="C558" s="6" t="n">
        <v>139247</v>
      </c>
      <c r="D558" s="6" t="inlineStr">
        <is>
          <t>Acondicionador Elvive Colorvive x 400 ml</t>
        </is>
      </c>
      <c r="E558" s="6" t="inlineStr">
        <is>
          <t>Elvive</t>
        </is>
      </c>
      <c r="F558" s="6" t="n">
        <v>6714</v>
      </c>
      <c r="G558" s="6" t="n">
        <v>11190</v>
      </c>
      <c r="H558" s="6" t="b">
        <v>1</v>
      </c>
      <c r="I558" s="6" t="n">
        <v>400</v>
      </c>
      <c r="J558" s="6" t="n">
        <v>16.785</v>
      </c>
      <c r="K558" s="6" t="inlineStr">
        <is>
          <t>&gt; Cuidado Capilar &gt; Shampoo Y Acondicionador &gt;</t>
        </is>
      </c>
      <c r="L558" s="6" t="inlineStr">
        <is>
          <t>acondicionador</t>
        </is>
      </c>
      <c r="M558" s="6" t="inlineStr">
        <is>
          <t>profesional</t>
        </is>
      </c>
      <c r="N558" s="6" t="inlineStr">
        <is>
          <t>tratado</t>
        </is>
      </c>
      <c r="O558" s="6" t="inlineStr">
        <is>
          <t>https://www.farmacity.com/acondicionador-colorvive-x-400-ml/p</t>
        </is>
      </c>
    </row>
    <row r="559">
      <c r="A559" t="inlineStr">
        <is>
          <t>Farmacity</t>
        </is>
      </c>
      <c r="B559" t="n">
        <v>484</v>
      </c>
      <c r="C559" t="n">
        <v>132368</v>
      </c>
      <c r="D559" t="inlineStr">
        <is>
          <t>Acondicionador Dove Óleo Nutrición x 400 ml</t>
        </is>
      </c>
      <c r="E559" t="inlineStr">
        <is>
          <t>Dove</t>
        </is>
      </c>
      <c r="F559" t="n">
        <v>5812</v>
      </c>
      <c r="G559" t="n">
        <v>9687</v>
      </c>
      <c r="H559" t="b">
        <v>1</v>
      </c>
      <c r="I559" t="n">
        <v>400</v>
      </c>
      <c r="J559" t="n">
        <v>14.53</v>
      </c>
      <c r="K559" t="inlineStr">
        <is>
          <t>&gt; Cuidado Capilar &gt; Shampoo Y Acondicionador &gt;</t>
        </is>
      </c>
      <c r="L559" t="inlineStr">
        <is>
          <t>acondicionador</t>
        </is>
      </c>
      <c r="M559" t="inlineStr">
        <is>
          <t>estandar</t>
        </is>
      </c>
      <c r="N559" t="inlineStr">
        <is>
          <t>general</t>
        </is>
      </c>
      <c r="O559" t="inlineStr">
        <is>
          <t>https://www.farmacity.com/acondicionador-dove-oleo-nutricion-botella-x-400-ml/p</t>
        </is>
      </c>
    </row>
    <row r="560">
      <c r="A560" s="6" t="inlineStr">
        <is>
          <t>Farmacity</t>
        </is>
      </c>
      <c r="B560" s="6" t="n">
        <v>245462</v>
      </c>
      <c r="C560" s="6" t="n">
        <v>245462</v>
      </c>
      <c r="D560" s="6" t="inlineStr">
        <is>
          <t>Acondicionador Garnier Fructis Hair Food Ananá x 300 ml</t>
        </is>
      </c>
      <c r="E560" s="6" t="inlineStr">
        <is>
          <t>Fructis</t>
        </is>
      </c>
      <c r="F560" s="6" t="n">
        <v>7273</v>
      </c>
      <c r="G560" s="6" t="n">
        <v>11190</v>
      </c>
      <c r="H560" s="6" t="b">
        <v>1</v>
      </c>
      <c r="I560" s="6" t="n">
        <v>300</v>
      </c>
      <c r="J560" s="6" t="n">
        <v>24.2433</v>
      </c>
      <c r="K560" s="6" t="inlineStr">
        <is>
          <t>&gt; Cuidado Capilar &gt; Shampoo Y Acondicionador &gt;</t>
        </is>
      </c>
      <c r="L560" s="6" t="inlineStr">
        <is>
          <t>acondicionador</t>
        </is>
      </c>
      <c r="M560" s="6" t="inlineStr">
        <is>
          <t>estandar</t>
        </is>
      </c>
      <c r="N560" s="6" t="inlineStr">
        <is>
          <t>general</t>
        </is>
      </c>
      <c r="O560" s="6" t="inlineStr">
        <is>
          <t>https://www.farmacity.com/acondicionador-garnier-fructis-hair-food-anana-x-300-ml/p</t>
        </is>
      </c>
    </row>
    <row r="561">
      <c r="A561" t="inlineStr">
        <is>
          <t>Farmacity</t>
        </is>
      </c>
      <c r="B561" t="n">
        <v>238879</v>
      </c>
      <c r="C561" t="n">
        <v>238879</v>
      </c>
      <c r="D561" t="inlineStr">
        <is>
          <t>Acondicionador Pantene Liso Infinito Pro-V Miracles x 400 ml</t>
        </is>
      </c>
      <c r="E561" t="inlineStr">
        <is>
          <t>Pantene</t>
        </is>
      </c>
      <c r="F561" t="n">
        <v>6137</v>
      </c>
      <c r="G561" t="n">
        <v>10228</v>
      </c>
      <c r="H561" t="b">
        <v>1</v>
      </c>
      <c r="I561" t="n">
        <v>400</v>
      </c>
      <c r="J561" t="n">
        <v>15.3425</v>
      </c>
      <c r="K561" t="inlineStr">
        <is>
          <t>&gt; Cuidado Capilar &gt; Shampoo Y Acondicionador &gt;</t>
        </is>
      </c>
      <c r="L561" t="inlineStr">
        <is>
          <t>acondicionador</t>
        </is>
      </c>
      <c r="M561" t="inlineStr">
        <is>
          <t>profesional</t>
        </is>
      </c>
      <c r="N561" t="inlineStr">
        <is>
          <t>general</t>
        </is>
      </c>
      <c r="O561" t="inlineStr">
        <is>
          <t>https://www.farmacity.com/acondicionador-pantene-pro-v-miracles-liso-infinito-x-400-ml/p</t>
        </is>
      </c>
    </row>
    <row r="562">
      <c r="A562" s="6" t="inlineStr">
        <is>
          <t>Farmacity</t>
        </is>
      </c>
      <c r="B562" s="6" t="n">
        <v>234286</v>
      </c>
      <c r="C562" s="6" t="n">
        <v>234286</v>
      </c>
      <c r="D562" s="6" t="inlineStr">
        <is>
          <t>Acondicionador Pantene Pro-V Miracles Hidrata y Fortalece 750 ml</t>
        </is>
      </c>
      <c r="E562" s="6" t="inlineStr">
        <is>
          <t>Pantene</t>
        </is>
      </c>
      <c r="F562" s="6" t="n">
        <v>10040</v>
      </c>
      <c r="G562" s="6" t="n">
        <v>16733</v>
      </c>
      <c r="H562" s="6" t="b">
        <v>1</v>
      </c>
      <c r="I562" s="6" t="n">
        <v>750</v>
      </c>
      <c r="J562" s="6" t="n">
        <v>13.3867</v>
      </c>
      <c r="K562" s="6" t="inlineStr">
        <is>
          <t>&gt; Cuidado Capilar &gt; Shampoo Y Acondicionador &gt;</t>
        </is>
      </c>
      <c r="L562" s="6" t="inlineStr">
        <is>
          <t>acondicionador</t>
        </is>
      </c>
      <c r="M562" s="6" t="inlineStr">
        <is>
          <t>profesional</t>
        </is>
      </c>
      <c r="N562" s="6" t="inlineStr">
        <is>
          <t>seco_danado</t>
        </is>
      </c>
      <c r="O562" s="6" t="inlineStr">
        <is>
          <t>https://www.farmacity.com/acondicionador-pantene-pro-v-miracles-hidrata-y-fortalece-x-750-ml/p</t>
        </is>
      </c>
    </row>
    <row r="563">
      <c r="A563" t="inlineStr">
        <is>
          <t>Farmacity</t>
        </is>
      </c>
      <c r="B563" t="n">
        <v>230617</v>
      </c>
      <c r="C563" t="n">
        <v>230617</v>
      </c>
      <c r="D563" t="inlineStr">
        <is>
          <t>Acondicionador Tresemmé Ondas Boho x 500 ml</t>
        </is>
      </c>
      <c r="E563" t="inlineStr">
        <is>
          <t>Tresemmé</t>
        </is>
      </c>
      <c r="F563" t="n">
        <v>6574</v>
      </c>
      <c r="G563" t="n">
        <v>10114</v>
      </c>
      <c r="H563" t="b">
        <v>1</v>
      </c>
      <c r="I563" t="n">
        <v>500</v>
      </c>
      <c r="J563" t="n">
        <v>13.148</v>
      </c>
      <c r="K563" t="inlineStr">
        <is>
          <t>&gt; Cuidado Capilar &gt; Shampoo Y Acondicionador &gt;</t>
        </is>
      </c>
      <c r="L563" t="inlineStr">
        <is>
          <t>acondicionador</t>
        </is>
      </c>
      <c r="M563" t="inlineStr">
        <is>
          <t>estandar</t>
        </is>
      </c>
      <c r="N563" t="inlineStr">
        <is>
          <t>general</t>
        </is>
      </c>
      <c r="O563" t="inlineStr">
        <is>
          <t>https://www.farmacity.com/acondiconado-tresemme-ondas-boho-x-500-ml/p</t>
        </is>
      </c>
    </row>
    <row r="564">
      <c r="A564" s="6" t="inlineStr">
        <is>
          <t>Farmacity</t>
        </is>
      </c>
      <c r="B564" s="6" t="n">
        <v>221681</v>
      </c>
      <c r="C564" s="6" t="n">
        <v>221681</v>
      </c>
      <c r="D564" s="6" t="inlineStr">
        <is>
          <t>Acondicionador Elvive Hidra Hialuronico x 200 ml</t>
        </is>
      </c>
      <c r="E564" s="6" t="inlineStr">
        <is>
          <t>Elvive</t>
        </is>
      </c>
      <c r="F564" s="6" t="n">
        <v>4194</v>
      </c>
      <c r="G564" s="6" t="n">
        <v>6990</v>
      </c>
      <c r="H564" s="6" t="b">
        <v>1</v>
      </c>
      <c r="I564" s="6" t="n">
        <v>200</v>
      </c>
      <c r="J564" s="6" t="n">
        <v>20.97</v>
      </c>
      <c r="K564" s="6" t="inlineStr">
        <is>
          <t>&gt; Cuidado Capilar &gt; Shampoo Y Acondicionador &gt;</t>
        </is>
      </c>
      <c r="L564" s="6" t="inlineStr">
        <is>
          <t>acondicionador</t>
        </is>
      </c>
      <c r="M564" s="6" t="inlineStr">
        <is>
          <t>profesional</t>
        </is>
      </c>
      <c r="N564" s="6" t="inlineStr">
        <is>
          <t>general</t>
        </is>
      </c>
      <c r="O564" s="6" t="inlineStr">
        <is>
          <t>https://www.farmacity.com/acondicionador-elvive-hidra-hialuronico-x-200-ml/p</t>
        </is>
      </c>
    </row>
    <row r="565">
      <c r="A565" t="inlineStr">
        <is>
          <t>Farmacity</t>
        </is>
      </c>
      <c r="B565" t="n">
        <v>208136</v>
      </c>
      <c r="C565" t="n">
        <v>208136</v>
      </c>
      <c r="D565" t="inlineStr">
        <is>
          <t>Acondicionador Elvive Dream Long x 400 ml</t>
        </is>
      </c>
      <c r="E565" t="inlineStr">
        <is>
          <t>Elvive</t>
        </is>
      </c>
      <c r="F565" t="n">
        <v>6714</v>
      </c>
      <c r="G565" t="n">
        <v>11190</v>
      </c>
      <c r="H565" t="b">
        <v>1</v>
      </c>
      <c r="I565" t="n">
        <v>400</v>
      </c>
      <c r="J565" t="n">
        <v>16.785</v>
      </c>
      <c r="K565" t="inlineStr">
        <is>
          <t>&gt; Cuidado Capilar &gt; Shampoo Y Acondicionador &gt;</t>
        </is>
      </c>
      <c r="L565" t="inlineStr">
        <is>
          <t>acondicionador</t>
        </is>
      </c>
      <c r="M565" t="inlineStr">
        <is>
          <t>profesional</t>
        </is>
      </c>
      <c r="N565" t="inlineStr">
        <is>
          <t>general</t>
        </is>
      </c>
      <c r="O565" t="inlineStr">
        <is>
          <t>https://www.farmacity.com/acondicionador-dream-long-elvive-loreal-paris-x-400-ml/p</t>
        </is>
      </c>
    </row>
    <row r="566">
      <c r="A566" s="6" t="inlineStr">
        <is>
          <t>Farmacity</t>
        </is>
      </c>
      <c r="B566" s="6" t="n">
        <v>4181</v>
      </c>
      <c r="C566" s="6" t="n">
        <v>139238</v>
      </c>
      <c r="D566" s="6" t="inlineStr">
        <is>
          <t>Acondicionador Elvive Reparación Total 5 x 400 ml</t>
        </is>
      </c>
      <c r="E566" s="6" t="inlineStr">
        <is>
          <t>Elvive</t>
        </is>
      </c>
      <c r="F566" s="6" t="n">
        <v>6714</v>
      </c>
      <c r="G566" s="6" t="n">
        <v>11190</v>
      </c>
      <c r="H566" s="6" t="b">
        <v>1</v>
      </c>
      <c r="I566" s="6" t="n">
        <v>400</v>
      </c>
      <c r="J566" s="6" t="n">
        <v>16.785</v>
      </c>
      <c r="K566" s="6" t="inlineStr">
        <is>
          <t>&gt; Cuidado Capilar &gt; Shampoo Y Acondicionador &gt;</t>
        </is>
      </c>
      <c r="L566" s="6" t="inlineStr">
        <is>
          <t>acondicionador</t>
        </is>
      </c>
      <c r="M566" s="6" t="inlineStr">
        <is>
          <t>profesional</t>
        </is>
      </c>
      <c r="N566" s="6" t="inlineStr">
        <is>
          <t>general</t>
        </is>
      </c>
      <c r="O566" s="6" t="inlineStr">
        <is>
          <t>https://www.farmacity.com/acondicionador-reparacion-total-5-x-400-ml-139238/p</t>
        </is>
      </c>
    </row>
    <row r="567">
      <c r="A567" t="inlineStr">
        <is>
          <t>Farmacity</t>
        </is>
      </c>
      <c r="B567" t="n">
        <v>244696</v>
      </c>
      <c r="C567" t="n">
        <v>244696</v>
      </c>
      <c r="D567" t="inlineStr">
        <is>
          <t>Acondicionador Elvive Dream Liso x 750 ml</t>
        </is>
      </c>
      <c r="E567" t="inlineStr">
        <is>
          <t>Elvive</t>
        </is>
      </c>
      <c r="F567" t="n">
        <v>19990</v>
      </c>
      <c r="G567" t="n">
        <v>19990</v>
      </c>
      <c r="H567" t="b">
        <v>1</v>
      </c>
      <c r="I567" t="n">
        <v>750</v>
      </c>
      <c r="J567" t="n">
        <v>26.6533</v>
      </c>
      <c r="K567" t="inlineStr">
        <is>
          <t>&gt; Cuidado Capilar &gt; Shampoo Y Acondicionador &gt;</t>
        </is>
      </c>
      <c r="L567" t="inlineStr">
        <is>
          <t>acondicionador</t>
        </is>
      </c>
      <c r="M567" t="inlineStr">
        <is>
          <t>profesional</t>
        </is>
      </c>
      <c r="N567" t="inlineStr">
        <is>
          <t>general</t>
        </is>
      </c>
      <c r="O567" t="inlineStr">
        <is>
          <t>https://www.farmacity.com/acondicionador-elvive-dream-liso-x-750-ml/p</t>
        </is>
      </c>
    </row>
    <row r="568">
      <c r="A568" s="6" t="inlineStr">
        <is>
          <t>Farmacity</t>
        </is>
      </c>
      <c r="B568" s="6" t="n">
        <v>243704</v>
      </c>
      <c r="C568" s="6" t="n">
        <v>243704</v>
      </c>
      <c r="D568" s="6" t="inlineStr">
        <is>
          <t>Acondicionador Antiquiebre Pantene Biotinamina B3 para Cabello Frágil y Quebradizo x 510 ml</t>
        </is>
      </c>
      <c r="E568" s="6" t="inlineStr">
        <is>
          <t>Pantene</t>
        </is>
      </c>
      <c r="F568" s="6" t="n">
        <v>10285</v>
      </c>
      <c r="G568" s="6" t="n">
        <v>17142</v>
      </c>
      <c r="H568" s="6" t="b">
        <v>1</v>
      </c>
      <c r="I568" s="6" t="n">
        <v>510</v>
      </c>
      <c r="J568" s="6" t="n">
        <v>20.1667</v>
      </c>
      <c r="K568" s="6" t="inlineStr">
        <is>
          <t>&gt; Cuidado Capilar &gt; Shampoo Y Acondicionador &gt;</t>
        </is>
      </c>
      <c r="L568" s="6" t="inlineStr">
        <is>
          <t>acondicionador</t>
        </is>
      </c>
      <c r="M568" s="6" t="inlineStr">
        <is>
          <t>estandar</t>
        </is>
      </c>
      <c r="N568" s="6" t="inlineStr">
        <is>
          <t>seco_danado</t>
        </is>
      </c>
      <c r="O568" s="6" t="inlineStr">
        <is>
          <t>https://www.farmacity.com/acondicionador-pantene-anti-caida-x-510-ml/p</t>
        </is>
      </c>
    </row>
    <row r="569">
      <c r="A569" t="inlineStr">
        <is>
          <t>Farmacity</t>
        </is>
      </c>
      <c r="B569" t="n">
        <v>240014</v>
      </c>
      <c r="C569" t="n">
        <v>240014</v>
      </c>
      <c r="D569" t="inlineStr">
        <is>
          <t>Acondicionador Elvive Glycolic Gloss x 200 ml</t>
        </is>
      </c>
      <c r="E569" t="inlineStr">
        <is>
          <t>Elvive</t>
        </is>
      </c>
      <c r="F569" t="n">
        <v>7490</v>
      </c>
      <c r="G569" t="n">
        <v>7490</v>
      </c>
      <c r="H569" t="b">
        <v>1</v>
      </c>
      <c r="I569" t="n">
        <v>200</v>
      </c>
      <c r="J569" t="n">
        <v>37.45</v>
      </c>
      <c r="K569" t="inlineStr">
        <is>
          <t>&gt; Cuidado Capilar &gt; Shampoo Y Acondicionador &gt;</t>
        </is>
      </c>
      <c r="L569" t="inlineStr">
        <is>
          <t>acondicionador</t>
        </is>
      </c>
      <c r="M569" t="inlineStr">
        <is>
          <t>profesional</t>
        </is>
      </c>
      <c r="N569" t="inlineStr">
        <is>
          <t>general</t>
        </is>
      </c>
      <c r="O569" t="inlineStr">
        <is>
          <t>https://www.farmacity.com/acondicionador-elvive-glyco-gloss-x-200-ml/p</t>
        </is>
      </c>
    </row>
    <row r="570">
      <c r="A570" s="6" t="inlineStr">
        <is>
          <t>Farmacity</t>
        </is>
      </c>
      <c r="B570" s="6" t="n">
        <v>237878</v>
      </c>
      <c r="C570" s="6" t="n">
        <v>237878</v>
      </c>
      <c r="D570" s="6" t="inlineStr">
        <is>
          <t>Acondicionador Capilatis Ortiga Concentrado x 420 ml</t>
        </is>
      </c>
      <c r="E570" s="6" t="inlineStr">
        <is>
          <t>Capilatis</t>
        </is>
      </c>
      <c r="F570" s="6" t="n">
        <v>7575</v>
      </c>
      <c r="G570" s="6" t="n">
        <v>10100</v>
      </c>
      <c r="H570" s="6" t="b">
        <v>1</v>
      </c>
      <c r="I570" s="6" t="n">
        <v>420</v>
      </c>
      <c r="J570" s="6" t="n">
        <v>18.0357</v>
      </c>
      <c r="K570" s="6" t="inlineStr">
        <is>
          <t>&gt; Cuidado Capilar &gt; Shampoo Y Acondicionador &gt;</t>
        </is>
      </c>
      <c r="L570" s="6" t="inlineStr">
        <is>
          <t>acondicionador</t>
        </is>
      </c>
      <c r="M570" s="6" t="inlineStr">
        <is>
          <t>estandar</t>
        </is>
      </c>
      <c r="N570" s="6" t="inlineStr">
        <is>
          <t>general</t>
        </is>
      </c>
      <c r="O570" s="6" t="inlineStr">
        <is>
          <t>https://www.farmacity.com/acondicionador-capilatis-ortiga-concentrado-x-420-ml/p</t>
        </is>
      </c>
    </row>
    <row r="571">
      <c r="A571" t="inlineStr">
        <is>
          <t>Farmacity</t>
        </is>
      </c>
      <c r="B571" t="n">
        <v>230627</v>
      </c>
      <c r="C571" t="n">
        <v>230627</v>
      </c>
      <c r="D571" t="inlineStr">
        <is>
          <t>Acondicionador Dosificador Tresemmé Cauterización Reparadora x 500 ml</t>
        </is>
      </c>
      <c r="E571" t="inlineStr">
        <is>
          <t>Tresemmé</t>
        </is>
      </c>
      <c r="F571" t="n">
        <v>6574</v>
      </c>
      <c r="G571" t="n">
        <v>10114</v>
      </c>
      <c r="H571" t="b">
        <v>1</v>
      </c>
      <c r="I571" t="n">
        <v>500</v>
      </c>
      <c r="J571" t="n">
        <v>13.148</v>
      </c>
      <c r="K571" t="inlineStr">
        <is>
          <t>&gt; Cuidado Capilar &gt; Shampoo Y Acondicionador &gt;</t>
        </is>
      </c>
      <c r="L571" t="inlineStr">
        <is>
          <t>acondicionador</t>
        </is>
      </c>
      <c r="M571" t="inlineStr">
        <is>
          <t>estandar</t>
        </is>
      </c>
      <c r="N571" t="inlineStr">
        <is>
          <t>general</t>
        </is>
      </c>
      <c r="O571" t="inlineStr">
        <is>
          <t>https://www.farmacity.com/acondicionador-dosificador-tresemme-cauterizacion-reparadora-x-500-ml/p</t>
        </is>
      </c>
    </row>
    <row r="572">
      <c r="A572" s="6" t="inlineStr">
        <is>
          <t>Farmacity</t>
        </is>
      </c>
      <c r="B572" s="6" t="n">
        <v>229981</v>
      </c>
      <c r="C572" s="6" t="n">
        <v>229981</v>
      </c>
      <c r="D572" s="6" t="inlineStr">
        <is>
          <t>Acondicionador Tío Nacho Engrosador x 415 ml</t>
        </is>
      </c>
      <c r="E572" s="6" t="inlineStr">
        <is>
          <t>Tío Nacho</t>
        </is>
      </c>
      <c r="F572" s="6" t="n">
        <v>11750</v>
      </c>
      <c r="G572" s="6" t="n">
        <v>11750</v>
      </c>
      <c r="H572" s="6" t="b">
        <v>1</v>
      </c>
      <c r="I572" s="6" t="n">
        <v>415</v>
      </c>
      <c r="J572" s="6" t="n">
        <v>28.3133</v>
      </c>
      <c r="K572" s="6" t="inlineStr">
        <is>
          <t>&gt; Cuidado Capilar &gt; Shampoo Y Acondicionador &gt;</t>
        </is>
      </c>
      <c r="L572" s="6" t="inlineStr">
        <is>
          <t>acondicionador</t>
        </is>
      </c>
      <c r="M572" s="6" t="inlineStr">
        <is>
          <t>estandar</t>
        </is>
      </c>
      <c r="N572" s="6" t="inlineStr">
        <is>
          <t>general</t>
        </is>
      </c>
      <c r="O572" s="6" t="inlineStr">
        <is>
          <t>https://www.farmacity.com/acondicionador-tio-nacho-engrosador-x-415-ml/p</t>
        </is>
      </c>
    </row>
    <row r="573">
      <c r="A573" t="inlineStr">
        <is>
          <t>Farmacity</t>
        </is>
      </c>
      <c r="B573" t="n">
        <v>226014</v>
      </c>
      <c r="C573" t="n">
        <v>226014</v>
      </c>
      <c r="D573" t="inlineStr">
        <is>
          <t>Acondicionador Alta Moda Repair &amp; Defense x 300 ml</t>
        </is>
      </c>
      <c r="E573" t="inlineStr">
        <is>
          <t>Alta Moda</t>
        </is>
      </c>
      <c r="F573" t="n">
        <v>5692</v>
      </c>
      <c r="G573" t="n">
        <v>5692</v>
      </c>
      <c r="H573" t="b">
        <v>1</v>
      </c>
      <c r="I573" t="n">
        <v>300</v>
      </c>
      <c r="J573" t="n">
        <v>18.9733</v>
      </c>
      <c r="K573" t="inlineStr">
        <is>
          <t>&gt; Cuidado Capilar &gt; Shampoo Y Acondicionador &gt;</t>
        </is>
      </c>
      <c r="L573" t="inlineStr">
        <is>
          <t>acondicionador</t>
        </is>
      </c>
      <c r="M573" t="inlineStr">
        <is>
          <t>profesional</t>
        </is>
      </c>
      <c r="N573" t="inlineStr">
        <is>
          <t>general</t>
        </is>
      </c>
      <c r="O573" t="inlineStr">
        <is>
          <t>https://www.farmacity.com/acondicionador-alta-moda-e-repair-y-defense-x-300-ml/p</t>
        </is>
      </c>
    </row>
    <row r="574">
      <c r="A574" s="6" t="inlineStr">
        <is>
          <t>Farmacity</t>
        </is>
      </c>
      <c r="B574" s="6" t="n">
        <v>224346</v>
      </c>
      <c r="C574" s="6" t="n">
        <v>224346</v>
      </c>
      <c r="D574" s="6" t="inlineStr">
        <is>
          <t>Acondicionador Garnier Fructis Hair Food Sandia x 300 ml</t>
        </is>
      </c>
      <c r="E574" s="6" t="inlineStr">
        <is>
          <t>Fructis</t>
        </is>
      </c>
      <c r="F574" s="6" t="n">
        <v>7273</v>
      </c>
      <c r="G574" s="6" t="n">
        <v>11190</v>
      </c>
      <c r="H574" s="6" t="b">
        <v>1</v>
      </c>
      <c r="I574" s="6" t="n">
        <v>300</v>
      </c>
      <c r="J574" s="6" t="n">
        <v>24.2433</v>
      </c>
      <c r="K574" s="6" t="inlineStr">
        <is>
          <t>&gt; Cuidado Capilar &gt; Shampoo Y Acondicionador &gt;</t>
        </is>
      </c>
      <c r="L574" s="6" t="inlineStr">
        <is>
          <t>acondicionador</t>
        </is>
      </c>
      <c r="M574" s="6" t="inlineStr">
        <is>
          <t>estandar</t>
        </is>
      </c>
      <c r="N574" s="6" t="inlineStr">
        <is>
          <t>general</t>
        </is>
      </c>
      <c r="O574" s="6" t="inlineStr">
        <is>
          <t>https://www.farmacity.com/acondicionador-garnier-fructis-hair-food-sandia-revitalizante-x-300-ml/p</t>
        </is>
      </c>
    </row>
    <row r="575">
      <c r="A575" t="inlineStr">
        <is>
          <t>Farmacity</t>
        </is>
      </c>
      <c r="B575" t="n">
        <v>220449</v>
      </c>
      <c r="C575" t="n">
        <v>220449</v>
      </c>
      <c r="D575" t="inlineStr">
        <is>
          <t>Acondicionador Desenredante Capilar Nic Desenready x 210 ml</t>
        </is>
      </c>
      <c r="E575" t="inlineStr">
        <is>
          <t>Nic</t>
        </is>
      </c>
      <c r="F575" t="n">
        <v>10392</v>
      </c>
      <c r="G575" t="n">
        <v>12990</v>
      </c>
      <c r="H575" t="b">
        <v>1</v>
      </c>
      <c r="I575" t="n">
        <v>210</v>
      </c>
      <c r="J575" t="n">
        <v>49.4857</v>
      </c>
      <c r="K575" t="inlineStr">
        <is>
          <t>&gt; Cuidado Capilar &gt; Shampoo Y Acondicionador &gt;</t>
        </is>
      </c>
      <c r="L575" t="inlineStr">
        <is>
          <t>acondicionador</t>
        </is>
      </c>
      <c r="M575" t="inlineStr">
        <is>
          <t>estandar</t>
        </is>
      </c>
      <c r="N575" t="inlineStr">
        <is>
          <t>general</t>
        </is>
      </c>
      <c r="O575" t="inlineStr">
        <is>
          <t>https://www.farmacity.com/tratamiento-capilar-nic-desenready-x-210-ml/p</t>
        </is>
      </c>
    </row>
    <row r="576">
      <c r="A576" s="6" t="inlineStr">
        <is>
          <t>Farmacity</t>
        </is>
      </c>
      <c r="B576" s="6" t="n">
        <v>217208</v>
      </c>
      <c r="C576" s="6" t="n">
        <v>217208</v>
      </c>
      <c r="D576" s="6" t="inlineStr">
        <is>
          <t>Acondicionador Fructis Hair Food Coco x 300 ml</t>
        </is>
      </c>
      <c r="E576" s="6" t="inlineStr">
        <is>
          <t>Fructis</t>
        </is>
      </c>
      <c r="F576" s="6" t="n">
        <v>7273</v>
      </c>
      <c r="G576" s="6" t="n">
        <v>11190</v>
      </c>
      <c r="H576" s="6" t="b">
        <v>1</v>
      </c>
      <c r="I576" s="6" t="n">
        <v>300</v>
      </c>
      <c r="J576" s="6" t="n">
        <v>24.2433</v>
      </c>
      <c r="K576" s="6" t="inlineStr">
        <is>
          <t>&gt; Cuidado Capilar &gt; Shampoo Y Acondicionador &gt;</t>
        </is>
      </c>
      <c r="L576" s="6" t="inlineStr">
        <is>
          <t>acondicionador</t>
        </is>
      </c>
      <c r="M576" s="6" t="inlineStr">
        <is>
          <t>estandar</t>
        </is>
      </c>
      <c r="N576" s="6" t="inlineStr">
        <is>
          <t>general</t>
        </is>
      </c>
      <c r="O576" s="6" t="inlineStr">
        <is>
          <t>https://www.farmacity.com/acondicionador-fructis-hair-food-coco-x-300-ml/p</t>
        </is>
      </c>
    </row>
    <row r="577">
      <c r="A577" t="inlineStr">
        <is>
          <t>Farmacity</t>
        </is>
      </c>
      <c r="B577" t="n">
        <v>217206</v>
      </c>
      <c r="C577" t="n">
        <v>217206</v>
      </c>
      <c r="D577" t="inlineStr">
        <is>
          <t>Acondicionador Garnier Fructis Hair Food Aloe x 300 ml</t>
        </is>
      </c>
      <c r="E577" t="inlineStr">
        <is>
          <t>Fructis</t>
        </is>
      </c>
      <c r="F577" t="n">
        <v>7273</v>
      </c>
      <c r="G577" t="n">
        <v>11190</v>
      </c>
      <c r="H577" t="b">
        <v>1</v>
      </c>
      <c r="I577" t="n">
        <v>300</v>
      </c>
      <c r="J577" t="n">
        <v>24.2433</v>
      </c>
      <c r="K577" t="inlineStr">
        <is>
          <t>&gt; Cuidado Capilar &gt; Shampoo Y Acondicionador &gt;</t>
        </is>
      </c>
      <c r="L577" t="inlineStr">
        <is>
          <t>acondicionador</t>
        </is>
      </c>
      <c r="M577" t="inlineStr">
        <is>
          <t>estandar</t>
        </is>
      </c>
      <c r="N577" t="inlineStr">
        <is>
          <t>general</t>
        </is>
      </c>
      <c r="O577" t="inlineStr">
        <is>
          <t>https://www.farmacity.com/acondicionador-fructis-hair-food-aloe-vera-x-300-ml/p</t>
        </is>
      </c>
    </row>
    <row r="578">
      <c r="A578" s="6" t="inlineStr">
        <is>
          <t>Farmacity</t>
        </is>
      </c>
      <c r="B578" s="6" t="n">
        <v>204166</v>
      </c>
      <c r="C578" s="6" t="n">
        <v>200364</v>
      </c>
      <c r="D578" s="6" t="inlineStr">
        <is>
          <t>Acondicionador Herbal Essences Coconut Milk x 400 ml</t>
        </is>
      </c>
      <c r="E578" s="6" t="inlineStr">
        <is>
          <t>Herbal Essences</t>
        </is>
      </c>
      <c r="F578" s="6" t="n">
        <v>10574</v>
      </c>
      <c r="G578" s="6" t="n">
        <v>16267</v>
      </c>
      <c r="H578" s="6" t="b">
        <v>1</v>
      </c>
      <c r="I578" s="6" t="n">
        <v>400</v>
      </c>
      <c r="J578" s="6" t="n">
        <v>26.435</v>
      </c>
      <c r="K578" s="6" t="inlineStr">
        <is>
          <t>&gt; Cuidado Capilar &gt; Shampoo Y Acondicionador &gt;</t>
        </is>
      </c>
      <c r="L578" s="6" t="inlineStr">
        <is>
          <t>acondicionador</t>
        </is>
      </c>
      <c r="M578" s="6" t="inlineStr">
        <is>
          <t>estandar</t>
        </is>
      </c>
      <c r="N578" s="6" t="inlineStr">
        <is>
          <t>general</t>
        </is>
      </c>
      <c r="O578" s="6" t="inlineStr">
        <is>
          <t>https://www.farmacity.com/acond-herbal-renew-coconut-milk-x-400ml/p</t>
        </is>
      </c>
    </row>
    <row r="579">
      <c r="A579" t="inlineStr">
        <is>
          <t>Farmacity</t>
        </is>
      </c>
      <c r="B579" t="n">
        <v>204162</v>
      </c>
      <c r="C579" t="n">
        <v>200360</v>
      </c>
      <c r="D579" t="inlineStr">
        <is>
          <t>Acondicionador Herbal Essences Bio Argan Oil x 400 ml</t>
        </is>
      </c>
      <c r="E579" t="inlineStr">
        <is>
          <t>Herbal Essences</t>
        </is>
      </c>
      <c r="F579" t="n">
        <v>10574</v>
      </c>
      <c r="G579" t="n">
        <v>16267</v>
      </c>
      <c r="H579" t="b">
        <v>1</v>
      </c>
      <c r="I579" t="n">
        <v>400</v>
      </c>
      <c r="J579" t="n">
        <v>26.435</v>
      </c>
      <c r="K579" t="inlineStr">
        <is>
          <t>&gt; Cuidado Capilar &gt; Shampoo Y Acondicionador &gt;</t>
        </is>
      </c>
      <c r="L579" t="inlineStr">
        <is>
          <t>acondicionador</t>
        </is>
      </c>
      <c r="M579" t="inlineStr">
        <is>
          <t>estandar</t>
        </is>
      </c>
      <c r="N579" t="inlineStr">
        <is>
          <t>general</t>
        </is>
      </c>
      <c r="O579" t="inlineStr">
        <is>
          <t>https://www.farmacity.com/acond-herbal-renew-reparacion-argan-oil-x-400ml/p</t>
        </is>
      </c>
    </row>
    <row r="580">
      <c r="A580" s="6" t="inlineStr">
        <is>
          <t>Farmacity</t>
        </is>
      </c>
      <c r="B580" s="6" t="n">
        <v>235938</v>
      </c>
      <c r="C580" s="6" t="n">
        <v>235938</v>
      </c>
      <c r="D580" s="6" t="inlineStr">
        <is>
          <t>Acondicionador Fructis Hydra Liss x 350 ml</t>
        </is>
      </c>
      <c r="E580" s="6" t="inlineStr">
        <is>
          <t>Fructis</t>
        </is>
      </c>
      <c r="F580" s="6" t="n">
        <v>7990</v>
      </c>
      <c r="G580" s="6" t="n">
        <v>7990</v>
      </c>
      <c r="H580" s="6" t="b">
        <v>1</v>
      </c>
      <c r="I580" s="6" t="n">
        <v>350</v>
      </c>
      <c r="J580" s="6" t="n">
        <v>22.8286</v>
      </c>
      <c r="K580" s="6" t="inlineStr">
        <is>
          <t>&gt; Cuidado Capilar &gt; Shampoo Y Acondicionador &gt;</t>
        </is>
      </c>
      <c r="L580" s="6" t="inlineStr">
        <is>
          <t>acondicionador</t>
        </is>
      </c>
      <c r="M580" s="6" t="inlineStr">
        <is>
          <t>estandar</t>
        </is>
      </c>
      <c r="N580" s="6" t="inlineStr">
        <is>
          <t>general</t>
        </is>
      </c>
      <c r="O580" s="6" t="inlineStr">
        <is>
          <t>https://www.farmacity.com/acondicionador-fructis-hydra-liss-x-350-ml/p</t>
        </is>
      </c>
    </row>
    <row r="581">
      <c r="A581" t="inlineStr">
        <is>
          <t>Farmacity</t>
        </is>
      </c>
      <c r="B581" t="n">
        <v>235656</v>
      </c>
      <c r="C581" t="n">
        <v>235656</v>
      </c>
      <c r="D581" t="inlineStr">
        <is>
          <t>Acondicionador Pantene Pro-V Miracles Detox 700 ml</t>
        </is>
      </c>
      <c r="E581" t="inlineStr">
        <is>
          <t>Pantene</t>
        </is>
      </c>
      <c r="F581" t="n">
        <v>10040</v>
      </c>
      <c r="G581" t="n">
        <v>16733</v>
      </c>
      <c r="H581" t="b">
        <v>1</v>
      </c>
      <c r="I581" t="n">
        <v>700</v>
      </c>
      <c r="J581" t="n">
        <v>14.3429</v>
      </c>
      <c r="K581" t="inlineStr">
        <is>
          <t>&gt; Cuidado Capilar &gt; Shampoo Y Acondicionador &gt;</t>
        </is>
      </c>
      <c r="L581" t="inlineStr">
        <is>
          <t>acondicionador</t>
        </is>
      </c>
      <c r="M581" t="inlineStr">
        <is>
          <t>profesional</t>
        </is>
      </c>
      <c r="N581" t="inlineStr">
        <is>
          <t>general</t>
        </is>
      </c>
      <c r="O581" t="inlineStr">
        <is>
          <t>https://www.farmacity.com/acondicionador-pantene-pro-v-miracles-detox-x-700-ml/p</t>
        </is>
      </c>
    </row>
    <row r="582">
      <c r="A582" s="6" t="inlineStr">
        <is>
          <t>Farmacity</t>
        </is>
      </c>
      <c r="B582" s="6" t="n">
        <v>233318</v>
      </c>
      <c r="C582" s="6" t="n">
        <v>233318</v>
      </c>
      <c r="D582" s="6" t="inlineStr">
        <is>
          <t>Acondicionador Alta Moda Detox Purify x 300 ml</t>
        </is>
      </c>
      <c r="E582" s="6" t="inlineStr">
        <is>
          <t>Alta Moda</t>
        </is>
      </c>
      <c r="F582" s="6" t="n">
        <v>5692</v>
      </c>
      <c r="G582" s="6" t="n">
        <v>5692</v>
      </c>
      <c r="H582" s="6" t="b">
        <v>1</v>
      </c>
      <c r="I582" s="6" t="n">
        <v>300</v>
      </c>
      <c r="J582" s="6" t="n">
        <v>18.9733</v>
      </c>
      <c r="K582" s="6" t="inlineStr">
        <is>
          <t>&gt; Cuidado Capilar &gt; Shampoo Y Acondicionador &gt;</t>
        </is>
      </c>
      <c r="L582" s="6" t="inlineStr">
        <is>
          <t>acondicionador</t>
        </is>
      </c>
      <c r="M582" s="6" t="inlineStr">
        <is>
          <t>estandar</t>
        </is>
      </c>
      <c r="N582" s="6" t="inlineStr">
        <is>
          <t>general</t>
        </is>
      </c>
      <c r="O582" s="6" t="inlineStr">
        <is>
          <t>https://www.farmacity.com/balsamo-suavizante-moda-e-detox-x-300-ml/p</t>
        </is>
      </c>
    </row>
    <row r="583">
      <c r="A583" t="inlineStr">
        <is>
          <t>Farmacity</t>
        </is>
      </c>
      <c r="B583" t="n">
        <v>225993</v>
      </c>
      <c r="C583" t="n">
        <v>225993</v>
      </c>
      <c r="D583" t="inlineStr">
        <is>
          <t>Acondicionador Alta Moda Hydra Save x 300 ml</t>
        </is>
      </c>
      <c r="E583" t="inlineStr">
        <is>
          <t>Alta Moda</t>
        </is>
      </c>
      <c r="F583" t="n">
        <v>5692</v>
      </c>
      <c r="G583" t="n">
        <v>5692</v>
      </c>
      <c r="H583" t="b">
        <v>1</v>
      </c>
      <c r="I583" t="n">
        <v>300</v>
      </c>
      <c r="J583" t="n">
        <v>18.9733</v>
      </c>
      <c r="K583" t="inlineStr">
        <is>
          <t>&gt; Cuidado Capilar &gt; Shampoo Y Acondicionador &gt;</t>
        </is>
      </c>
      <c r="L583" t="inlineStr">
        <is>
          <t>acondicionador</t>
        </is>
      </c>
      <c r="M583" t="inlineStr">
        <is>
          <t>estandar</t>
        </is>
      </c>
      <c r="N583" t="inlineStr">
        <is>
          <t>general</t>
        </is>
      </c>
      <c r="O583" t="inlineStr">
        <is>
          <t>https://www.farmacity.com/acondicionador-alta-moda-e-hydra-nutri-x-300-g/p</t>
        </is>
      </c>
    </row>
    <row r="584">
      <c r="A584" s="6" t="inlineStr">
        <is>
          <t>Farmacity</t>
        </is>
      </c>
      <c r="B584" s="6" t="n">
        <v>215470</v>
      </c>
      <c r="C584" s="6" t="n">
        <v>215470</v>
      </c>
      <c r="D584" s="6" t="inlineStr">
        <is>
          <t>Acondicionador Head &amp; Shoulders Aceite de Coco x 300 ml</t>
        </is>
      </c>
      <c r="E584" s="6" t="inlineStr">
        <is>
          <t>Head and Shoulders</t>
        </is>
      </c>
      <c r="F584" s="6" t="n">
        <v>7264</v>
      </c>
      <c r="G584" s="6" t="n">
        <v>11175</v>
      </c>
      <c r="H584" s="6" t="b">
        <v>1</v>
      </c>
      <c r="I584" s="6" t="n">
        <v>300</v>
      </c>
      <c r="J584" s="6" t="n">
        <v>24.2133</v>
      </c>
      <c r="K584" s="6" t="inlineStr">
        <is>
          <t>&gt; Cuidado Capilar &gt; Shampoo Y Acondicionador &gt;</t>
        </is>
      </c>
      <c r="L584" s="6" t="inlineStr">
        <is>
          <t>acondicionador</t>
        </is>
      </c>
      <c r="M584" s="6" t="inlineStr">
        <is>
          <t>estandar</t>
        </is>
      </c>
      <c r="N584" s="6" t="inlineStr">
        <is>
          <t>general</t>
        </is>
      </c>
      <c r="O584" s="6" t="inlineStr">
        <is>
          <t>https://www.farmacity.com/acondicionador-head-shouders-hidratacion-con-aceite-de-coco-x-300-ml/p</t>
        </is>
      </c>
    </row>
    <row r="585">
      <c r="A585" t="inlineStr">
        <is>
          <t>Farmacity</t>
        </is>
      </c>
      <c r="B585" t="n">
        <v>208135</v>
      </c>
      <c r="C585" t="n">
        <v>208135</v>
      </c>
      <c r="D585" t="inlineStr">
        <is>
          <t>Acondicionador Elvive Dream Long x 200 ml</t>
        </is>
      </c>
      <c r="E585" t="inlineStr">
        <is>
          <t>Elvive</t>
        </is>
      </c>
      <c r="F585" t="n">
        <v>4194</v>
      </c>
      <c r="G585" t="n">
        <v>6990</v>
      </c>
      <c r="H585" t="b">
        <v>1</v>
      </c>
      <c r="I585" t="n">
        <v>200</v>
      </c>
      <c r="J585" t="n">
        <v>20.97</v>
      </c>
      <c r="K585" t="inlineStr">
        <is>
          <t>&gt; Cuidado Capilar &gt; Shampoo Y Acondicionador &gt;</t>
        </is>
      </c>
      <c r="L585" t="inlineStr">
        <is>
          <t>acondicionador</t>
        </is>
      </c>
      <c r="M585" t="inlineStr">
        <is>
          <t>profesional</t>
        </is>
      </c>
      <c r="N585" t="inlineStr">
        <is>
          <t>general</t>
        </is>
      </c>
      <c r="O585" t="inlineStr">
        <is>
          <t>https://www.farmacity.com/acondicionador-dream-long-elvive-loreal-paris-x-200-ml/p</t>
        </is>
      </c>
    </row>
    <row r="586">
      <c r="A586" s="6" t="inlineStr">
        <is>
          <t>Farmacity</t>
        </is>
      </c>
      <c r="B586" s="6" t="n">
        <v>207430</v>
      </c>
      <c r="C586" s="6" t="n">
        <v>207430</v>
      </c>
      <c r="D586" s="6" t="inlineStr">
        <is>
          <t>Acondicionador Ogx Argan Oil Morrocco x 385 ml</t>
        </is>
      </c>
      <c r="E586" s="6" t="inlineStr">
        <is>
          <t>OGX</t>
        </is>
      </c>
      <c r="F586" s="6" t="n">
        <v>27154</v>
      </c>
      <c r="G586" s="6" t="n">
        <v>27154</v>
      </c>
      <c r="H586" s="6" t="b">
        <v>1</v>
      </c>
      <c r="I586" s="6" t="n">
        <v>385</v>
      </c>
      <c r="J586" s="6" t="n">
        <v>70.5299</v>
      </c>
      <c r="K586" s="6" t="inlineStr">
        <is>
          <t>&gt; Cuidado Capilar &gt; Shampoo Y Acondicionador &gt;</t>
        </is>
      </c>
      <c r="L586" s="6" t="inlineStr">
        <is>
          <t>acondicionador</t>
        </is>
      </c>
      <c r="M586" s="6" t="inlineStr">
        <is>
          <t>estandar</t>
        </is>
      </c>
      <c r="N586" s="6" t="inlineStr">
        <is>
          <t>general</t>
        </is>
      </c>
      <c r="O586" s="6" t="inlineStr">
        <is>
          <t>https://www.farmacity.com/acondicionador-ogx-argan-oil-morrocco-x-385-ml/p</t>
        </is>
      </c>
    </row>
    <row r="587">
      <c r="A587" t="inlineStr">
        <is>
          <t>Farmacity</t>
        </is>
      </c>
      <c r="B587" t="n">
        <v>201967</v>
      </c>
      <c r="C587" t="n">
        <v>201967</v>
      </c>
      <c r="D587" t="inlineStr">
        <is>
          <t>Acondicionador para Niños Johnson's Baby Rulos de Ensueño x 200 ml</t>
        </is>
      </c>
      <c r="E587" t="inlineStr">
        <is>
          <t>Johnson's</t>
        </is>
      </c>
      <c r="F587" t="n">
        <v>4540</v>
      </c>
      <c r="G587" t="n">
        <v>6486</v>
      </c>
      <c r="H587" t="b">
        <v>1</v>
      </c>
      <c r="I587" t="n">
        <v>200</v>
      </c>
      <c r="J587" t="n">
        <v>22.7</v>
      </c>
      <c r="K587" t="inlineStr">
        <is>
          <t>&gt; Bebés &gt; Higiene del Bebé &gt; Baño Del Bebé &gt;</t>
        </is>
      </c>
      <c r="L587" t="inlineStr">
        <is>
          <t>acondicionador</t>
        </is>
      </c>
      <c r="M587" t="inlineStr">
        <is>
          <t>estandar</t>
        </is>
      </c>
      <c r="N587" t="inlineStr">
        <is>
          <t>rizado</t>
        </is>
      </c>
      <c r="O587" t="inlineStr">
        <is>
          <t>https://www.farmacity.com/acondicionador-para-niños-johnsons-baby-rulos-de-ensueño-x-200-ml/p</t>
        </is>
      </c>
    </row>
    <row r="588">
      <c r="A588" s="6" t="inlineStr">
        <is>
          <t>Farmacity</t>
        </is>
      </c>
      <c r="B588" s="6" t="n">
        <v>248786</v>
      </c>
      <c r="C588" s="6" t="n">
        <v>248786</v>
      </c>
      <c r="D588" s="6" t="inlineStr">
        <is>
          <t>Acondicionador Dercos Collagen 17 x 200 ml</t>
        </is>
      </c>
      <c r="E588" s="6" t="inlineStr">
        <is>
          <t>Vichy</t>
        </is>
      </c>
      <c r="F588" s="6" t="n">
        <v>64802</v>
      </c>
      <c r="G588" s="6" t="n">
        <v>64802</v>
      </c>
      <c r="H588" s="6" t="b">
        <v>1</v>
      </c>
      <c r="I588" s="6" t="n">
        <v>200</v>
      </c>
      <c r="J588" s="6" t="n">
        <v>324.01</v>
      </c>
      <c r="K588" s="6" t="inlineStr">
        <is>
          <t>&gt; Dermocosmética &gt; Pelo &gt; Shampoos y Acondicionadores &gt;</t>
        </is>
      </c>
      <c r="L588" s="6" t="inlineStr">
        <is>
          <t>acondicionador</t>
        </is>
      </c>
      <c r="M588" s="6" t="inlineStr">
        <is>
          <t>estandar</t>
        </is>
      </c>
      <c r="N588" s="6" t="inlineStr">
        <is>
          <t>general</t>
        </is>
      </c>
      <c r="O588" s="6" t="inlineStr">
        <is>
          <t>https://www.farmacity.com/acondicionador-dercos-ultra-reparacion-x-200-ml/p</t>
        </is>
      </c>
    </row>
    <row r="589">
      <c r="A589" t="inlineStr">
        <is>
          <t>Farmacity</t>
        </is>
      </c>
      <c r="B589" t="n">
        <v>243912</v>
      </c>
      <c r="C589" t="n">
        <v>243912</v>
      </c>
      <c r="D589" t="inlineStr">
        <is>
          <t>Acondicionador Fructis Probióticos Fuerza x 200 ml</t>
        </is>
      </c>
      <c r="E589" t="inlineStr">
        <is>
          <t>Fructis</t>
        </is>
      </c>
      <c r="F589" t="n">
        <v>5490</v>
      </c>
      <c r="G589" t="n">
        <v>5490</v>
      </c>
      <c r="H589" t="b">
        <v>1</v>
      </c>
      <c r="I589" t="n">
        <v>200</v>
      </c>
      <c r="J589" t="n">
        <v>27.45</v>
      </c>
      <c r="K589" t="inlineStr">
        <is>
          <t>&gt; Cuidado Capilar &gt; Shampoo Y Acondicionador &gt;</t>
        </is>
      </c>
      <c r="L589" t="inlineStr">
        <is>
          <t>acondicionador</t>
        </is>
      </c>
      <c r="M589" t="inlineStr">
        <is>
          <t>profesional</t>
        </is>
      </c>
      <c r="N589" t="inlineStr">
        <is>
          <t>general</t>
        </is>
      </c>
      <c r="O589" t="inlineStr">
        <is>
          <t>https://www.farmacity.com/acondicionador-fructis-probioticos-fuerza-x-200-ml/p</t>
        </is>
      </c>
    </row>
    <row r="590">
      <c r="A590" s="6" t="inlineStr">
        <is>
          <t>Farmacity</t>
        </is>
      </c>
      <c r="B590" s="6" t="n">
        <v>241571</v>
      </c>
      <c r="C590" s="6" t="n">
        <v>241571</v>
      </c>
      <c r="D590" s="6" t="inlineStr">
        <is>
          <t>Acondicionador Bagóvit Capilar Plasma Vegetal x 350 ml</t>
        </is>
      </c>
      <c r="E590" s="6" t="inlineStr">
        <is>
          <t>Bagóvit</t>
        </is>
      </c>
      <c r="F590" s="6" t="n">
        <v>10470</v>
      </c>
      <c r="G590" s="6" t="n">
        <v>10470</v>
      </c>
      <c r="H590" s="6" t="b">
        <v>1</v>
      </c>
      <c r="I590" s="6" t="n">
        <v>350</v>
      </c>
      <c r="J590" s="6" t="n">
        <v>29.9143</v>
      </c>
      <c r="K590" s="6" t="inlineStr">
        <is>
          <t>&gt; Cuidado Capilar &gt; Shampoo Y Acondicionador &gt;</t>
        </is>
      </c>
      <c r="L590" s="6" t="inlineStr">
        <is>
          <t>acondicionador</t>
        </is>
      </c>
      <c r="M590" s="6" t="inlineStr">
        <is>
          <t>estandar</t>
        </is>
      </c>
      <c r="N590" s="6" t="inlineStr">
        <is>
          <t>general</t>
        </is>
      </c>
      <c r="O590" s="6" t="inlineStr">
        <is>
          <t>https://www.farmacity.com/acondicionador-bagovit-capilar-plasma-vegetal-x-350-ml-1/p</t>
        </is>
      </c>
    </row>
    <row r="591">
      <c r="A591" t="inlineStr">
        <is>
          <t>Farmacity</t>
        </is>
      </c>
      <c r="B591" t="n">
        <v>240910</v>
      </c>
      <c r="C591" t="n">
        <v>240910</v>
      </c>
      <c r="D591" t="inlineStr">
        <is>
          <t>Acondicionador Baby Dove Humectación Enriquecida x 200 ml</t>
        </is>
      </c>
      <c r="E591" t="inlineStr">
        <is>
          <t>Dove</t>
        </is>
      </c>
      <c r="F591" t="n">
        <v>7011</v>
      </c>
      <c r="G591" t="n">
        <v>7011</v>
      </c>
      <c r="H591" t="b">
        <v>1</v>
      </c>
      <c r="I591" t="n">
        <v>200</v>
      </c>
      <c r="J591" t="n">
        <v>35.055</v>
      </c>
      <c r="K591" t="inlineStr">
        <is>
          <t>&gt; Bebés &gt; Higiene del Bebé &gt; Baño Del Bebé &gt;</t>
        </is>
      </c>
      <c r="L591" t="inlineStr">
        <is>
          <t>acondicionador</t>
        </is>
      </c>
      <c r="M591" t="inlineStr">
        <is>
          <t>estandar</t>
        </is>
      </c>
      <c r="N591" t="inlineStr">
        <is>
          <t>general</t>
        </is>
      </c>
      <c r="O591" t="inlineStr">
        <is>
          <t>https://www.farmacity.com/acondicionador-dove-baby-humectacion-enriquecida-x-200-ml/p</t>
        </is>
      </c>
    </row>
    <row r="592">
      <c r="A592" s="6" t="inlineStr">
        <is>
          <t>Farmacity</t>
        </is>
      </c>
      <c r="B592" s="6" t="n">
        <v>239938</v>
      </c>
      <c r="C592" s="6" t="n">
        <v>239938</v>
      </c>
      <c r="D592" s="6" t="inlineStr">
        <is>
          <t>Acondicionador Pantene Keratina x 700 ml</t>
        </is>
      </c>
      <c r="E592" s="6" t="inlineStr">
        <is>
          <t>Pantene</t>
        </is>
      </c>
      <c r="F592" s="6" t="n">
        <v>15128</v>
      </c>
      <c r="G592" s="6" t="n">
        <v>15128</v>
      </c>
      <c r="H592" s="6" t="b">
        <v>1</v>
      </c>
      <c r="I592" s="6" t="n">
        <v>700</v>
      </c>
      <c r="J592" s="6" t="n">
        <v>21.6114</v>
      </c>
      <c r="K592" s="6" t="inlineStr">
        <is>
          <t>&gt; Cuidado Capilar &gt; Shampoo Y Acondicionador &gt;</t>
        </is>
      </c>
      <c r="L592" s="6" t="inlineStr">
        <is>
          <t>acondicionador</t>
        </is>
      </c>
      <c r="M592" s="6" t="inlineStr">
        <is>
          <t>estandar</t>
        </is>
      </c>
      <c r="N592" s="6" t="inlineStr">
        <is>
          <t>tratado</t>
        </is>
      </c>
      <c r="O592" s="6" t="inlineStr">
        <is>
          <t>https://www.farmacity.com/acondicionador-pantene-keratina-x-700-ml/p</t>
        </is>
      </c>
    </row>
    <row r="593">
      <c r="A593" t="inlineStr">
        <is>
          <t>Farmacity</t>
        </is>
      </c>
      <c r="B593" t="n">
        <v>235663</v>
      </c>
      <c r="C593" t="n">
        <v>235663</v>
      </c>
      <c r="D593" t="inlineStr">
        <is>
          <t>Acondicionador Pantene Pro-V Miracles Equilibrio Hidratante 200 ml</t>
        </is>
      </c>
      <c r="E593" t="inlineStr">
        <is>
          <t>Pantene</t>
        </is>
      </c>
      <c r="F593" t="n">
        <v>3807</v>
      </c>
      <c r="G593" t="n">
        <v>6345</v>
      </c>
      <c r="H593" t="b">
        <v>1</v>
      </c>
      <c r="I593" t="n">
        <v>200</v>
      </c>
      <c r="J593" t="n">
        <v>19.035</v>
      </c>
      <c r="K593" t="inlineStr">
        <is>
          <t>&gt; Cuidado Capilar &gt; Shampoo Y Acondicionador &gt;</t>
        </is>
      </c>
      <c r="L593" t="inlineStr">
        <is>
          <t>acondicionador</t>
        </is>
      </c>
      <c r="M593" t="inlineStr">
        <is>
          <t>profesional</t>
        </is>
      </c>
      <c r="N593" t="inlineStr">
        <is>
          <t>seco_danado</t>
        </is>
      </c>
      <c r="O593" t="inlineStr">
        <is>
          <t>https://www.farmacity.com/acondicionador-pantene-pro-v-miracles-equilibrio-x-200-ml/p</t>
        </is>
      </c>
    </row>
    <row r="594">
      <c r="A594" s="6" t="inlineStr">
        <is>
          <t>Farmacity</t>
        </is>
      </c>
      <c r="B594" s="6" t="n">
        <v>214538</v>
      </c>
      <c r="C594" s="6" t="n">
        <v>214538</v>
      </c>
      <c r="D594" s="6" t="inlineStr">
        <is>
          <t>Acondicionador Head &amp; Shoulders Apple Fresh x 300 ml</t>
        </is>
      </c>
      <c r="E594" s="6" t="inlineStr">
        <is>
          <t>Head and Shoulders</t>
        </is>
      </c>
      <c r="F594" s="6" t="n">
        <v>7264</v>
      </c>
      <c r="G594" s="6" t="n">
        <v>11175</v>
      </c>
      <c r="H594" s="6" t="b">
        <v>1</v>
      </c>
      <c r="I594" s="6" t="n">
        <v>300</v>
      </c>
      <c r="J594" s="6" t="n">
        <v>24.2133</v>
      </c>
      <c r="K594" s="6" t="inlineStr">
        <is>
          <t>&gt; Cuidado Capilar &gt; Shampoo Y Acondicionador &gt;</t>
        </is>
      </c>
      <c r="L594" s="6" t="inlineStr">
        <is>
          <t>acondicionador</t>
        </is>
      </c>
      <c r="M594" s="6" t="inlineStr">
        <is>
          <t>estandar</t>
        </is>
      </c>
      <c r="N594" s="6" t="inlineStr">
        <is>
          <t>general</t>
        </is>
      </c>
      <c r="O594" s="6" t="inlineStr">
        <is>
          <t>https://www.farmacity.com/acondicionador-head-and-shoulders-apple-fresh-x-300-ml/p</t>
        </is>
      </c>
    </row>
    <row r="595">
      <c r="A595" t="inlineStr">
        <is>
          <t>Farmacity</t>
        </is>
      </c>
      <c r="B595" t="n">
        <v>207432</v>
      </c>
      <c r="C595" t="n">
        <v>207432</v>
      </c>
      <c r="D595" t="inlineStr">
        <is>
          <t>Acondicionador Ogx Biotin Collagen x 385 Ml</t>
        </is>
      </c>
      <c r="E595" t="inlineStr">
        <is>
          <t>OGX</t>
        </is>
      </c>
      <c r="F595" t="n">
        <v>13577</v>
      </c>
      <c r="G595" t="n">
        <v>27154</v>
      </c>
      <c r="H595" t="b">
        <v>1</v>
      </c>
      <c r="I595" t="n">
        <v>385</v>
      </c>
      <c r="J595" t="n">
        <v>35.2649</v>
      </c>
      <c r="K595" t="inlineStr">
        <is>
          <t>&gt; Cuidado Capilar &gt; Shampoo Y Acondicionador &gt;</t>
        </is>
      </c>
      <c r="L595" t="inlineStr">
        <is>
          <t>acondicionador</t>
        </is>
      </c>
      <c r="M595" t="inlineStr">
        <is>
          <t>estandar</t>
        </is>
      </c>
      <c r="N595" t="inlineStr">
        <is>
          <t>general</t>
        </is>
      </c>
      <c r="O595" t="inlineStr">
        <is>
          <t>https://www.farmacity.com/acondicionador-ogx-biotin-collagen-x-385-ml/p</t>
        </is>
      </c>
    </row>
    <row r="596">
      <c r="A596" s="6" t="inlineStr">
        <is>
          <t>Farmacity</t>
        </is>
      </c>
      <c r="B596" s="6" t="n">
        <v>161059</v>
      </c>
      <c r="C596" s="6" t="n">
        <v>161059</v>
      </c>
      <c r="D596" s="6" t="inlineStr">
        <is>
          <t>Acondicionador Aveno Bebes y Niños x 250 ml</t>
        </is>
      </c>
      <c r="E596" s="6" t="inlineStr">
        <is>
          <t>Aveno</t>
        </is>
      </c>
      <c r="F596" s="6" t="n">
        <v>22618</v>
      </c>
      <c r="G596" s="6" t="n">
        <v>30157</v>
      </c>
      <c r="H596" s="6" t="b">
        <v>1</v>
      </c>
      <c r="I596" s="6" t="n">
        <v>250</v>
      </c>
      <c r="J596" s="6" t="n">
        <v>90.47199999999999</v>
      </c>
      <c r="K596" s="6" t="inlineStr">
        <is>
          <t>&gt; Bebés &gt; Higiene del Bebé &gt; Baño Del Bebé &gt;</t>
        </is>
      </c>
      <c r="L596" s="6" t="inlineStr">
        <is>
          <t>acondicionador</t>
        </is>
      </c>
      <c r="M596" s="6" t="inlineStr">
        <is>
          <t>estandar</t>
        </is>
      </c>
      <c r="N596" s="6" t="inlineStr">
        <is>
          <t>bebe</t>
        </is>
      </c>
      <c r="O596" s="6" t="inlineStr">
        <is>
          <t>https://www.farmacity.com/aveno-infantil-acondicionador-x-250-ml/p</t>
        </is>
      </c>
    </row>
    <row r="597">
      <c r="A597" t="inlineStr">
        <is>
          <t>Farmacity</t>
        </is>
      </c>
      <c r="B597" t="n">
        <v>243911</v>
      </c>
      <c r="C597" t="n">
        <v>243911</v>
      </c>
      <c r="D597" t="inlineStr">
        <is>
          <t>Acondicionador Fructis Probióticos Fuerza x 350 ml</t>
        </is>
      </c>
      <c r="E597" t="inlineStr">
        <is>
          <t>Fructis</t>
        </is>
      </c>
      <c r="F597" t="n">
        <v>7990</v>
      </c>
      <c r="G597" t="n">
        <v>7990</v>
      </c>
      <c r="H597" t="b">
        <v>1</v>
      </c>
      <c r="I597" t="n">
        <v>350</v>
      </c>
      <c r="J597" t="n">
        <v>22.8286</v>
      </c>
      <c r="K597" t="inlineStr">
        <is>
          <t>&gt; Cuidado Capilar &gt; Shampoo Y Acondicionador &gt;</t>
        </is>
      </c>
      <c r="L597" t="inlineStr">
        <is>
          <t>acondicionador</t>
        </is>
      </c>
      <c r="M597" t="inlineStr">
        <is>
          <t>profesional</t>
        </is>
      </c>
      <c r="N597" t="inlineStr">
        <is>
          <t>general</t>
        </is>
      </c>
      <c r="O597" t="inlineStr">
        <is>
          <t>https://www.farmacity.com/acondicionador-fructis-probioticos-fuerza-x-350-ml/p</t>
        </is>
      </c>
    </row>
    <row r="598">
      <c r="A598" s="6" t="inlineStr">
        <is>
          <t>Farmacity</t>
        </is>
      </c>
      <c r="B598" s="6" t="n">
        <v>238886</v>
      </c>
      <c r="C598" s="6" t="n">
        <v>238886</v>
      </c>
      <c r="D598" s="6" t="inlineStr">
        <is>
          <t>Acondicionador Pantene Pro-V Miracles Revitalizacion x 200 ml</t>
        </is>
      </c>
      <c r="E598" s="6" t="inlineStr">
        <is>
          <t>Pantene</t>
        </is>
      </c>
      <c r="F598" s="6" t="n">
        <v>3807</v>
      </c>
      <c r="G598" s="6" t="n">
        <v>6345</v>
      </c>
      <c r="H598" s="6" t="b">
        <v>1</v>
      </c>
      <c r="I598" s="6" t="n">
        <v>200</v>
      </c>
      <c r="J598" s="6" t="n">
        <v>19.035</v>
      </c>
      <c r="K598" s="6" t="inlineStr">
        <is>
          <t>&gt; Cuidado Capilar &gt; Shampoo Y Acondicionador &gt;</t>
        </is>
      </c>
      <c r="L598" s="6" t="inlineStr">
        <is>
          <t>acondicionador</t>
        </is>
      </c>
      <c r="M598" s="6" t="inlineStr">
        <is>
          <t>profesional</t>
        </is>
      </c>
      <c r="N598" s="6" t="inlineStr">
        <is>
          <t>general</t>
        </is>
      </c>
      <c r="O598" s="6" t="inlineStr">
        <is>
          <t>https://www.farmacity.com/acondicionador-pantene-pro-v-miracles-revitalizacion-x-200-ml/p</t>
        </is>
      </c>
    </row>
    <row r="599">
      <c r="A599" t="inlineStr">
        <is>
          <t>Farmacity</t>
        </is>
      </c>
      <c r="B599" t="n">
        <v>238880</v>
      </c>
      <c r="C599" t="n">
        <v>238880</v>
      </c>
      <c r="D599" t="inlineStr">
        <is>
          <t>Acondicionador Pantene Pro-V Miracles Liso Infinito x 200 ml</t>
        </is>
      </c>
      <c r="E599" t="inlineStr">
        <is>
          <t>Pantene</t>
        </is>
      </c>
      <c r="F599" t="n">
        <v>3807</v>
      </c>
      <c r="G599" t="n">
        <v>6345</v>
      </c>
      <c r="H599" t="b">
        <v>1</v>
      </c>
      <c r="I599" t="n">
        <v>200</v>
      </c>
      <c r="J599" t="n">
        <v>19.035</v>
      </c>
      <c r="K599" t="inlineStr">
        <is>
          <t>&gt; Cuidado Capilar &gt; Shampoo Y Acondicionador &gt;</t>
        </is>
      </c>
      <c r="L599" t="inlineStr">
        <is>
          <t>acondicionador</t>
        </is>
      </c>
      <c r="M599" t="inlineStr">
        <is>
          <t>profesional</t>
        </is>
      </c>
      <c r="N599" t="inlineStr">
        <is>
          <t>general</t>
        </is>
      </c>
      <c r="O599" t="inlineStr">
        <is>
          <t>https://www.farmacity.com/acondicionador-pantene-pro-v-miracles-liso-infinito-x-200-ml/p</t>
        </is>
      </c>
    </row>
    <row r="600">
      <c r="A600" s="6" t="inlineStr">
        <is>
          <t>Farmacity</t>
        </is>
      </c>
      <c r="B600" s="6" t="n">
        <v>236808</v>
      </c>
      <c r="C600" s="6" t="n">
        <v>236808</v>
      </c>
      <c r="D600" s="6" t="inlineStr">
        <is>
          <t>Acondicionador Sedal Prebióticos+Biotina x 340 ml</t>
        </is>
      </c>
      <c r="E600" s="6" t="inlineStr">
        <is>
          <t>Sedal</t>
        </is>
      </c>
      <c r="F600" s="6" t="n">
        <v>5837</v>
      </c>
      <c r="G600" s="6" t="n">
        <v>5837</v>
      </c>
      <c r="H600" s="6" t="b">
        <v>1</v>
      </c>
      <c r="I600" s="6" t="n">
        <v>340</v>
      </c>
      <c r="J600" s="6" t="n">
        <v>17.1676</v>
      </c>
      <c r="K600" s="6" t="inlineStr">
        <is>
          <t>&gt; Cuidado Capilar &gt; Shampoo Y Acondicionador &gt;</t>
        </is>
      </c>
      <c r="L600" s="6" t="inlineStr">
        <is>
          <t>acondicionador</t>
        </is>
      </c>
      <c r="M600" s="6" t="inlineStr">
        <is>
          <t>estandar</t>
        </is>
      </c>
      <c r="N600" s="6" t="inlineStr">
        <is>
          <t>general</t>
        </is>
      </c>
      <c r="O600" s="6" t="inlineStr">
        <is>
          <t>https://www.farmacity.com/acondicionador-sedal-prebioticos-biotina-x-340-ml/p</t>
        </is>
      </c>
    </row>
    <row r="601">
      <c r="A601" t="inlineStr">
        <is>
          <t>Farmacity</t>
        </is>
      </c>
      <c r="B601" t="n">
        <v>230624</v>
      </c>
      <c r="C601" t="n">
        <v>230624</v>
      </c>
      <c r="D601" t="inlineStr">
        <is>
          <t>Acondicionador Tresemmé Cauterización Reparadora x 250 ml</t>
        </is>
      </c>
      <c r="E601" t="inlineStr">
        <is>
          <t>Tresemmé</t>
        </is>
      </c>
      <c r="F601" t="n">
        <v>6091</v>
      </c>
      <c r="G601" t="n">
        <v>6091</v>
      </c>
      <c r="H601" t="b">
        <v>1</v>
      </c>
      <c r="I601" t="n">
        <v>250</v>
      </c>
      <c r="J601" t="n">
        <v>24.364</v>
      </c>
      <c r="K601" t="inlineStr">
        <is>
          <t>&gt; Cuidado Capilar &gt; Shampoo Y Acondicionador &gt;</t>
        </is>
      </c>
      <c r="L601" t="inlineStr">
        <is>
          <t>acondicionador</t>
        </is>
      </c>
      <c r="M601" t="inlineStr">
        <is>
          <t>estandar</t>
        </is>
      </c>
      <c r="N601" t="inlineStr">
        <is>
          <t>general</t>
        </is>
      </c>
      <c r="O601" t="inlineStr">
        <is>
          <t>https://www.farmacity.com/acondicionador-tresemme-cauterizacion-reparadora-x-250-ml/p</t>
        </is>
      </c>
    </row>
    <row r="602">
      <c r="A602" s="6" t="inlineStr">
        <is>
          <t>Farmacity</t>
        </is>
      </c>
      <c r="B602" s="6" t="n">
        <v>230623</v>
      </c>
      <c r="C602" s="6" t="n">
        <v>230623</v>
      </c>
      <c r="D602" s="6" t="inlineStr">
        <is>
          <t>Acondicionador Tresemmé Keratina AntiFrizz x 250 ml</t>
        </is>
      </c>
      <c r="E602" s="6" t="inlineStr">
        <is>
          <t>Tresemmé</t>
        </is>
      </c>
      <c r="F602" s="6" t="n">
        <v>6091</v>
      </c>
      <c r="G602" s="6" t="n">
        <v>6091</v>
      </c>
      <c r="H602" s="6" t="b">
        <v>1</v>
      </c>
      <c r="I602" s="6" t="n">
        <v>250</v>
      </c>
      <c r="J602" s="6" t="n">
        <v>24.364</v>
      </c>
      <c r="K602" s="6" t="inlineStr">
        <is>
          <t>&gt; Cuidado Capilar &gt; Shampoo Y Acondicionador &gt;</t>
        </is>
      </c>
      <c r="L602" s="6" t="inlineStr">
        <is>
          <t>acondicionador</t>
        </is>
      </c>
      <c r="M602" s="6" t="inlineStr">
        <is>
          <t>estandar</t>
        </is>
      </c>
      <c r="N602" s="6" t="inlineStr">
        <is>
          <t>tratado</t>
        </is>
      </c>
      <c r="O602" s="6" t="inlineStr">
        <is>
          <t>https://www.farmacity.com/acondicionador-tresemme-keratina-antifrizz-x-250-ml/p</t>
        </is>
      </c>
    </row>
    <row r="603">
      <c r="A603" t="inlineStr">
        <is>
          <t>Farmacity</t>
        </is>
      </c>
      <c r="B603" t="n">
        <v>208716</v>
      </c>
      <c r="C603" t="n">
        <v>208716</v>
      </c>
      <c r="D603" t="inlineStr">
        <is>
          <t>Acondicionador Capilatis con Aloe Vera Puro x 420 ml</t>
        </is>
      </c>
      <c r="E603" t="inlineStr">
        <is>
          <t>Capilatis</t>
        </is>
      </c>
      <c r="F603" t="n">
        <v>11000</v>
      </c>
      <c r="G603" t="n">
        <v>11000</v>
      </c>
      <c r="H603" t="b">
        <v>1</v>
      </c>
      <c r="I603" t="n">
        <v>420</v>
      </c>
      <c r="J603" t="n">
        <v>26.1905</v>
      </c>
      <c r="K603" t="inlineStr">
        <is>
          <t>&gt; Cuidado Capilar &gt; Reparación Y Tratamiento &gt;</t>
        </is>
      </c>
      <c r="L603" t="inlineStr">
        <is>
          <t>acondicionador</t>
        </is>
      </c>
      <c r="M603" t="inlineStr">
        <is>
          <t>estandar</t>
        </is>
      </c>
      <c r="N603" t="inlineStr">
        <is>
          <t>general</t>
        </is>
      </c>
      <c r="O603" t="inlineStr">
        <is>
          <t>https://www.farmacity.com/acondicionador-capilatis-con-aloe-vera-puro-x-420-ml/p</t>
        </is>
      </c>
    </row>
    <row r="604">
      <c r="A604" s="6" t="inlineStr">
        <is>
          <t>Farmacity</t>
        </is>
      </c>
      <c r="B604" s="6" t="n">
        <v>200785</v>
      </c>
      <c r="C604" s="6" t="n">
        <v>200785</v>
      </c>
      <c r="D604" s="6" t="inlineStr">
        <is>
          <t>Acondicionador Fructis Liso Coco x 200 ml</t>
        </is>
      </c>
      <c r="E604" s="6" t="inlineStr">
        <is>
          <t>Fructis</t>
        </is>
      </c>
      <c r="F604" s="6" t="n">
        <v>5490</v>
      </c>
      <c r="G604" s="6" t="n">
        <v>5490</v>
      </c>
      <c r="H604" s="6" t="b">
        <v>1</v>
      </c>
      <c r="I604" s="6" t="n">
        <v>200</v>
      </c>
      <c r="J604" s="6" t="n">
        <v>27.45</v>
      </c>
      <c r="K604" s="6" t="inlineStr">
        <is>
          <t>&gt; Cuidado Capilar &gt; Shampoo Y Acondicionador &gt;</t>
        </is>
      </c>
      <c r="L604" s="6" t="inlineStr">
        <is>
          <t>acondicionador</t>
        </is>
      </c>
      <c r="M604" s="6" t="inlineStr">
        <is>
          <t>estandar</t>
        </is>
      </c>
      <c r="N604" s="6" t="inlineStr">
        <is>
          <t>general</t>
        </is>
      </c>
      <c r="O604" s="6" t="inlineStr">
        <is>
          <t>https://www.farmacity.com/acondicionador-fructis-liso-coco-x-200-ml/p</t>
        </is>
      </c>
    </row>
    <row r="605">
      <c r="A605" t="inlineStr">
        <is>
          <t>Farmacity</t>
        </is>
      </c>
      <c r="B605" t="n">
        <v>163842</v>
      </c>
      <c r="C605" t="n">
        <v>163842</v>
      </c>
      <c r="D605" t="inlineStr">
        <is>
          <t>Acondicionador Fructis Recarga Nutritiva x 350 ml</t>
        </is>
      </c>
      <c r="E605" t="inlineStr">
        <is>
          <t>Fructis</t>
        </is>
      </c>
      <c r="F605" t="n">
        <v>7990</v>
      </c>
      <c r="G605" t="n">
        <v>7990</v>
      </c>
      <c r="H605" t="b">
        <v>1</v>
      </c>
      <c r="I605" t="n">
        <v>350</v>
      </c>
      <c r="J605" t="n">
        <v>22.8286</v>
      </c>
      <c r="K605" t="inlineStr">
        <is>
          <t>&gt; Cuidado Capilar &gt; Shampoo Y Acondicionador &gt;</t>
        </is>
      </c>
      <c r="L605" t="inlineStr">
        <is>
          <t>acondicionador</t>
        </is>
      </c>
      <c r="M605" t="inlineStr">
        <is>
          <t>estandar</t>
        </is>
      </c>
      <c r="N605" t="inlineStr">
        <is>
          <t>general</t>
        </is>
      </c>
      <c r="O605" t="inlineStr">
        <is>
          <t>https://www.farmacity.com/acondicionador-fructis-recarga-nutritiva-x-350-ml/p</t>
        </is>
      </c>
    </row>
    <row r="606">
      <c r="A606" s="6" t="inlineStr">
        <is>
          <t>Farmacity</t>
        </is>
      </c>
      <c r="B606" s="6" t="n">
        <v>16821</v>
      </c>
      <c r="C606" s="6" t="n">
        <v>163825</v>
      </c>
      <c r="D606" s="6" t="inlineStr">
        <is>
          <t>Acondicionador Fructis Recarga Nutritiva x 200 ml</t>
        </is>
      </c>
      <c r="E606" s="6" t="inlineStr">
        <is>
          <t>Fructis</t>
        </is>
      </c>
      <c r="F606" s="6" t="n">
        <v>5490</v>
      </c>
      <c r="G606" s="6" t="n">
        <v>5490</v>
      </c>
      <c r="H606" s="6" t="b">
        <v>1</v>
      </c>
      <c r="I606" s="6" t="n">
        <v>200</v>
      </c>
      <c r="J606" s="6" t="n">
        <v>27.45</v>
      </c>
      <c r="K606" s="6" t="inlineStr">
        <is>
          <t>&gt; Cuidado Capilar &gt; Shampoo Y Acondicionador &gt;</t>
        </is>
      </c>
      <c r="L606" s="6" t="inlineStr">
        <is>
          <t>acondicionador</t>
        </is>
      </c>
      <c r="M606" s="6" t="inlineStr">
        <is>
          <t>estandar</t>
        </is>
      </c>
      <c r="N606" s="6" t="inlineStr">
        <is>
          <t>general</t>
        </is>
      </c>
      <c r="O606" s="6" t="inlineStr">
        <is>
          <t>https://www.farmacity.com/acondicionador-fructis-recarga-nutritiva-x-200-ml/p</t>
        </is>
      </c>
    </row>
    <row r="607">
      <c r="A607" t="inlineStr">
        <is>
          <t>Farmacity</t>
        </is>
      </c>
      <c r="B607" t="n">
        <v>9174</v>
      </c>
      <c r="C607" t="n">
        <v>157030</v>
      </c>
      <c r="D607" t="inlineStr">
        <is>
          <t>Acondicionador Fortalecedor Diario Restauración Pantene Pro-V 3 Minute Miracle 170 ml</t>
        </is>
      </c>
      <c r="E607" t="inlineStr">
        <is>
          <t>Pantene</t>
        </is>
      </c>
      <c r="F607" t="n">
        <v>9647</v>
      </c>
      <c r="G607" t="n">
        <v>9647</v>
      </c>
      <c r="H607" t="b">
        <v>1</v>
      </c>
      <c r="I607" t="n">
        <v>170</v>
      </c>
      <c r="J607" t="n">
        <v>56.7471</v>
      </c>
      <c r="K607" t="inlineStr">
        <is>
          <t>&gt; Cuidado Capilar &gt; Shampoo Y Acondicionador &gt;</t>
        </is>
      </c>
      <c r="L607" t="inlineStr">
        <is>
          <t>acondicionador</t>
        </is>
      </c>
      <c r="M607" t="inlineStr">
        <is>
          <t>profesional</t>
        </is>
      </c>
      <c r="N607" t="inlineStr">
        <is>
          <t>general</t>
        </is>
      </c>
      <c r="O607" t="inlineStr">
        <is>
          <t>https://www.farmacity.com/acondicionador-pantene-pro-v-3-minute-miracle-restauracion-x-170-ml/p</t>
        </is>
      </c>
    </row>
    <row r="608">
      <c r="A608" s="6" t="inlineStr">
        <is>
          <t>Farmacity</t>
        </is>
      </c>
      <c r="B608" s="6" t="n">
        <v>5353</v>
      </c>
      <c r="C608" s="6" t="n">
        <v>143510</v>
      </c>
      <c r="D608" s="6" t="inlineStr">
        <is>
          <t>Acondicionador Elvive Reparación Total Extreme x 750 ml</t>
        </is>
      </c>
      <c r="E608" s="6" t="inlineStr">
        <is>
          <t>Elvive</t>
        </is>
      </c>
      <c r="F608" s="6" t="n">
        <v>17990</v>
      </c>
      <c r="G608" s="6" t="n">
        <v>17990</v>
      </c>
      <c r="H608" s="6" t="b">
        <v>1</v>
      </c>
      <c r="I608" s="6" t="n">
        <v>750</v>
      </c>
      <c r="J608" s="6" t="n">
        <v>23.9867</v>
      </c>
      <c r="K608" s="6" t="inlineStr">
        <is>
          <t>&gt; Cuidado Capilar &gt; Shampoo Y Acondicionador &gt;</t>
        </is>
      </c>
      <c r="L608" s="6" t="inlineStr">
        <is>
          <t>acondicionador</t>
        </is>
      </c>
      <c r="M608" s="6" t="inlineStr">
        <is>
          <t>profesional</t>
        </is>
      </c>
      <c r="N608" s="6" t="inlineStr">
        <is>
          <t>general</t>
        </is>
      </c>
      <c r="O608" s="6" t="inlineStr">
        <is>
          <t>https://www.farmacity.com/acondicionador-reparacion-total-extreme-x-750-ml/p</t>
        </is>
      </c>
    </row>
    <row r="609">
      <c r="A609" t="inlineStr">
        <is>
          <t>Farmacity</t>
        </is>
      </c>
      <c r="B609" t="n">
        <v>301</v>
      </c>
      <c r="C609" t="n">
        <v>112805</v>
      </c>
      <c r="D609" t="inlineStr">
        <is>
          <t>Acondicionador Capilatis Restaurador x 420 ml</t>
        </is>
      </c>
      <c r="E609" t="inlineStr">
        <is>
          <t>Capilatis</t>
        </is>
      </c>
      <c r="F609" t="n">
        <v>9700</v>
      </c>
      <c r="G609" t="n">
        <v>9700</v>
      </c>
      <c r="H609" t="b">
        <v>1</v>
      </c>
      <c r="I609" t="n">
        <v>420</v>
      </c>
      <c r="J609" t="n">
        <v>23.0952</v>
      </c>
      <c r="K609" t="inlineStr">
        <is>
          <t>&gt; Cuidado Capilar &gt; Shampoo Y Acondicionador &gt;</t>
        </is>
      </c>
      <c r="L609" t="inlineStr">
        <is>
          <t>acondicionador</t>
        </is>
      </c>
      <c r="M609" t="inlineStr">
        <is>
          <t>estandar</t>
        </is>
      </c>
      <c r="N609" t="inlineStr">
        <is>
          <t>general</t>
        </is>
      </c>
      <c r="O609" t="inlineStr">
        <is>
          <t>https://www.farmacity.com/acondicionador-restaurador-x-420-ml/p</t>
        </is>
      </c>
    </row>
    <row r="610">
      <c r="A610" s="6" t="inlineStr">
        <is>
          <t>Farmacity</t>
        </is>
      </c>
      <c r="B610" s="6" t="n">
        <v>246</v>
      </c>
      <c r="C610" s="6" t="n">
        <v>45399</v>
      </c>
      <c r="D610" s="6" t="inlineStr">
        <is>
          <t>Acondicionador para Bebé Johnson's Original x 400 ml</t>
        </is>
      </c>
      <c r="E610" s="6" t="inlineStr">
        <is>
          <t>Johnson's</t>
        </is>
      </c>
      <c r="F610" s="6" t="n">
        <v>8331</v>
      </c>
      <c r="G610" s="6" t="n">
        <v>11902</v>
      </c>
      <c r="H610" s="6" t="b">
        <v>1</v>
      </c>
      <c r="I610" s="6" t="n">
        <v>400</v>
      </c>
      <c r="J610" s="6" t="n">
        <v>20.8275</v>
      </c>
      <c r="K610" s="6" t="inlineStr">
        <is>
          <t>&gt; Bebés &gt; Higiene del Bebé &gt; Baño Del Bebé &gt;</t>
        </is>
      </c>
      <c r="L610" s="6" t="inlineStr">
        <is>
          <t>acondicionador</t>
        </is>
      </c>
      <c r="M610" s="6" t="inlineStr">
        <is>
          <t>estandar</t>
        </is>
      </c>
      <c r="N610" s="6" t="inlineStr">
        <is>
          <t>bebe</t>
        </is>
      </c>
      <c r="O610" s="6" t="inlineStr">
        <is>
          <t>https://www.farmacity.com/acondicionardor-para-bebe-johnsons-original-x-400-ml/p</t>
        </is>
      </c>
    </row>
    <row r="611">
      <c r="A611" t="inlineStr">
        <is>
          <t>Farmacity</t>
        </is>
      </c>
      <c r="B611" t="n">
        <v>248327</v>
      </c>
      <c r="C611" t="n">
        <v>248327</v>
      </c>
      <c r="D611" t="inlineStr">
        <is>
          <t>Acondicionador Ice Professional Repair My Hair x 250 ml</t>
        </is>
      </c>
      <c r="E611" t="inlineStr">
        <is>
          <t>Ice</t>
        </is>
      </c>
      <c r="F611" t="n">
        <v>17500</v>
      </c>
      <c r="G611" t="n">
        <v>25000</v>
      </c>
      <c r="H611" t="b">
        <v>1</v>
      </c>
      <c r="I611" t="n">
        <v>250</v>
      </c>
      <c r="J611" t="n">
        <v>70</v>
      </c>
      <c r="K611" t="inlineStr">
        <is>
          <t>&gt; Cuidado Capilar &gt; Shampoo Y Acondicionador &gt;</t>
        </is>
      </c>
      <c r="L611" t="inlineStr">
        <is>
          <t>acondicionador</t>
        </is>
      </c>
      <c r="M611" t="inlineStr">
        <is>
          <t>profesional</t>
        </is>
      </c>
      <c r="N611" t="inlineStr">
        <is>
          <t>general</t>
        </is>
      </c>
      <c r="O611" t="inlineStr">
        <is>
          <t>https://www.farmacity.com/acondicionador-ice-professional-repair-my-hair-x-250-ml/p</t>
        </is>
      </c>
    </row>
    <row r="612">
      <c r="A612" s="6" t="inlineStr">
        <is>
          <t>Farmacity</t>
        </is>
      </c>
      <c r="B612" s="6" t="n">
        <v>239945</v>
      </c>
      <c r="C612" s="6" t="n">
        <v>239945</v>
      </c>
      <c r="D612" s="6" t="inlineStr">
        <is>
          <t>Acondicionador Fortalecedor Diario Pantene Pro-V 3 Minutos Milagrosos Nutrición x 170 ml</t>
        </is>
      </c>
      <c r="E612" s="6" t="inlineStr">
        <is>
          <t>Pantene</t>
        </is>
      </c>
      <c r="F612" s="6" t="n">
        <v>9647</v>
      </c>
      <c r="G612" s="6" t="n">
        <v>9647</v>
      </c>
      <c r="H612" s="6" t="b">
        <v>1</v>
      </c>
      <c r="I612" s="6" t="n">
        <v>170</v>
      </c>
      <c r="J612" s="6" t="n">
        <v>56.7471</v>
      </c>
      <c r="K612" s="6" t="inlineStr">
        <is>
          <t>&gt; Cuidado Capilar &gt; Shampoo Y Acondicionador &gt;</t>
        </is>
      </c>
      <c r="L612" s="6" t="inlineStr">
        <is>
          <t>acondicionador</t>
        </is>
      </c>
      <c r="M612" s="6" t="inlineStr">
        <is>
          <t>profesional</t>
        </is>
      </c>
      <c r="N612" s="6" t="inlineStr">
        <is>
          <t>general</t>
        </is>
      </c>
      <c r="O612" s="6" t="inlineStr">
        <is>
          <t>https://www.farmacity.com/acondicionador-pantene-pro-v-3-minute-miracle-nutri-perlas-x-170-ml/p</t>
        </is>
      </c>
    </row>
    <row r="613">
      <c r="A613" t="inlineStr">
        <is>
          <t>Farmacity</t>
        </is>
      </c>
      <c r="B613" t="n">
        <v>147269</v>
      </c>
      <c r="C613" t="n">
        <v>147269</v>
      </c>
      <c r="D613" t="inlineStr">
        <is>
          <t>Acondicionador Elvive Oleo Extraordinario Coco x 400 ml</t>
        </is>
      </c>
      <c r="E613" t="inlineStr">
        <is>
          <t>Elvive</t>
        </is>
      </c>
      <c r="F613" t="n">
        <v>5595</v>
      </c>
      <c r="G613" t="n">
        <v>11190</v>
      </c>
      <c r="H613" t="b">
        <v>1</v>
      </c>
      <c r="I613" t="n">
        <v>400</v>
      </c>
      <c r="J613" t="n">
        <v>13.9875</v>
      </c>
      <c r="K613" t="inlineStr">
        <is>
          <t>&gt; Cuidado Capilar &gt; Shampoo Y Acondicionador &gt;</t>
        </is>
      </c>
      <c r="L613" t="inlineStr">
        <is>
          <t>acondicionador</t>
        </is>
      </c>
      <c r="M613" t="inlineStr">
        <is>
          <t>profesional</t>
        </is>
      </c>
      <c r="N613" t="inlineStr">
        <is>
          <t>general</t>
        </is>
      </c>
      <c r="O613" t="inlineStr">
        <is>
          <t>https://www.farmacity.com/acondicionador-elvive-oleo-coco-x-400-ml/p</t>
        </is>
      </c>
    </row>
    <row r="614">
      <c r="A614" s="6" t="inlineStr">
        <is>
          <t>Farmacity</t>
        </is>
      </c>
      <c r="B614" s="6" t="n">
        <v>249900</v>
      </c>
      <c r="C614" s="6" t="n">
        <v>249900</v>
      </c>
      <c r="D614" s="6" t="inlineStr">
        <is>
          <t>Acondicionador Primont Queration x 400 ml</t>
        </is>
      </c>
      <c r="E614" s="6" t="inlineStr">
        <is>
          <t>Primont</t>
        </is>
      </c>
      <c r="F614" s="6" t="n">
        <v>10596</v>
      </c>
      <c r="G614" s="6" t="n">
        <v>10596</v>
      </c>
      <c r="H614" s="6" t="b">
        <v>1</v>
      </c>
      <c r="I614" s="6" t="n">
        <v>400</v>
      </c>
      <c r="J614" s="6" t="n">
        <v>26.49</v>
      </c>
      <c r="K614" s="6" t="inlineStr">
        <is>
          <t>&gt; Cuidado Capilar &gt; Shampoo Y Acondicionador &gt;</t>
        </is>
      </c>
      <c r="L614" s="6" t="inlineStr">
        <is>
          <t>acondicionador</t>
        </is>
      </c>
      <c r="M614" s="6" t="inlineStr">
        <is>
          <t>estandar</t>
        </is>
      </c>
      <c r="N614" s="6" t="inlineStr">
        <is>
          <t>general</t>
        </is>
      </c>
      <c r="O614" s="6" t="inlineStr">
        <is>
          <t>https://www.farmacity.com/acondicionador-primont-queration-x-400-ml/p</t>
        </is>
      </c>
    </row>
    <row r="615">
      <c r="A615" t="inlineStr">
        <is>
          <t>Farmacity</t>
        </is>
      </c>
      <c r="B615" t="n">
        <v>244707</v>
      </c>
      <c r="C615" t="n">
        <v>244707</v>
      </c>
      <c r="D615" t="inlineStr">
        <is>
          <t>Acondicionador Ecohair Sensitive Producto Cosmético x 200 ml</t>
        </is>
      </c>
      <c r="E615" t="inlineStr">
        <is>
          <t>Garre Guevara</t>
        </is>
      </c>
      <c r="F615" t="n">
        <v>26000</v>
      </c>
      <c r="G615" t="n">
        <v>26000</v>
      </c>
      <c r="H615" t="b">
        <v>1</v>
      </c>
      <c r="I615" t="n">
        <v>200</v>
      </c>
      <c r="J615" t="n">
        <v>130</v>
      </c>
      <c r="K615" t="inlineStr">
        <is>
          <t>&gt; Venta Bajo Receta &gt; Dermatológico &gt;</t>
        </is>
      </c>
      <c r="L615" t="inlineStr">
        <is>
          <t>acondicionador</t>
        </is>
      </c>
      <c r="M615" t="inlineStr">
        <is>
          <t>estandar</t>
        </is>
      </c>
      <c r="N615" t="inlineStr">
        <is>
          <t>general</t>
        </is>
      </c>
      <c r="O615" t="inlineStr">
        <is>
          <t>https://www.farmacity.com/acondicionador-ecohair-sensitive-producto-cosmetico-x-200-ml/p</t>
        </is>
      </c>
    </row>
    <row r="616">
      <c r="A616" s="6" t="inlineStr">
        <is>
          <t>Farmacity</t>
        </is>
      </c>
      <c r="B616" s="6" t="n">
        <v>237266</v>
      </c>
      <c r="C616" s="6" t="n">
        <v>237266</v>
      </c>
      <c r="D616" s="6" t="inlineStr">
        <is>
          <t>Acondicionador Capilatis Manzanilla x 420 ml</t>
        </is>
      </c>
      <c r="E616" s="6" t="inlineStr">
        <is>
          <t>Capilatis</t>
        </is>
      </c>
      <c r="F616" s="6" t="n">
        <v>9700</v>
      </c>
      <c r="G616" s="6" t="n">
        <v>9700</v>
      </c>
      <c r="H616" s="6" t="b">
        <v>1</v>
      </c>
      <c r="I616" s="6" t="n">
        <v>420</v>
      </c>
      <c r="J616" s="6" t="n">
        <v>23.0952</v>
      </c>
      <c r="K616" s="6" t="inlineStr">
        <is>
          <t>&gt; Cuidado Capilar &gt; Shampoo Y Acondicionador &gt;</t>
        </is>
      </c>
      <c r="L616" s="6" t="inlineStr">
        <is>
          <t>acondicionador</t>
        </is>
      </c>
      <c r="M616" s="6" t="inlineStr">
        <is>
          <t>estandar</t>
        </is>
      </c>
      <c r="N616" s="6" t="inlineStr">
        <is>
          <t>general</t>
        </is>
      </c>
      <c r="O616" s="6" t="inlineStr">
        <is>
          <t>https://www.farmacity.com/acondicionador-capilatis-manzanilla-x-420-ml/p</t>
        </is>
      </c>
    </row>
    <row r="617">
      <c r="A617" t="inlineStr">
        <is>
          <t>Farmacity</t>
        </is>
      </c>
      <c r="B617" t="n">
        <v>229989</v>
      </c>
      <c r="C617" t="n">
        <v>229989</v>
      </c>
      <c r="D617" t="inlineStr">
        <is>
          <t>Acondicionador Tio Nacho Aclarante x 200 ml</t>
        </is>
      </c>
      <c r="E617" t="inlineStr">
        <is>
          <t>Tío Nacho</t>
        </is>
      </c>
      <c r="F617" t="n">
        <v>8057</v>
      </c>
      <c r="G617" t="n">
        <v>8057</v>
      </c>
      <c r="H617" t="b">
        <v>1</v>
      </c>
      <c r="I617" t="n">
        <v>200</v>
      </c>
      <c r="J617" t="n">
        <v>40.285</v>
      </c>
      <c r="K617" t="inlineStr">
        <is>
          <t>&gt; Cuidado Capilar &gt; Shampoo Y Acondicionador &gt;</t>
        </is>
      </c>
      <c r="L617" t="inlineStr">
        <is>
          <t>acondicionador</t>
        </is>
      </c>
      <c r="M617" t="inlineStr">
        <is>
          <t>estandar</t>
        </is>
      </c>
      <c r="N617" t="inlineStr">
        <is>
          <t>general</t>
        </is>
      </c>
      <c r="O617" t="inlineStr">
        <is>
          <t>https://www.farmacity.com/acondicionador-tio-nacho-aclarante-x-200-ml/p</t>
        </is>
      </c>
    </row>
    <row r="618">
      <c r="A618" s="6" t="inlineStr">
        <is>
          <t>Farmacity</t>
        </is>
      </c>
      <c r="B618" s="6" t="n">
        <v>229987</v>
      </c>
      <c r="C618" s="6" t="n">
        <v>229987</v>
      </c>
      <c r="D618" s="6" t="inlineStr">
        <is>
          <t>Acondicionador Tío Nacho Engrosador x 200 ml</t>
        </is>
      </c>
      <c r="E618" s="6" t="inlineStr">
        <is>
          <t>Tío Nacho</t>
        </is>
      </c>
      <c r="F618" s="6" t="n">
        <v>8250</v>
      </c>
      <c r="G618" s="6" t="n">
        <v>8250</v>
      </c>
      <c r="H618" s="6" t="b">
        <v>1</v>
      </c>
      <c r="I618" s="6" t="n">
        <v>200</v>
      </c>
      <c r="J618" s="6" t="n">
        <v>41.25</v>
      </c>
      <c r="K618" s="6" t="inlineStr">
        <is>
          <t>&gt; Cuidado Capilar &gt; Shampoo Y Acondicionador &gt;</t>
        </is>
      </c>
      <c r="L618" s="6" t="inlineStr">
        <is>
          <t>acondicionador</t>
        </is>
      </c>
      <c r="M618" s="6" t="inlineStr">
        <is>
          <t>estandar</t>
        </is>
      </c>
      <c r="N618" s="6" t="inlineStr">
        <is>
          <t>general</t>
        </is>
      </c>
      <c r="O618" s="6" t="inlineStr">
        <is>
          <t>https://www.farmacity.com/acondicionador-tio-nacho-engrosador-x-200-ml/p</t>
        </is>
      </c>
    </row>
    <row r="619">
      <c r="A619" t="inlineStr">
        <is>
          <t>Farmacity</t>
        </is>
      </c>
      <c r="B619" t="n">
        <v>244693</v>
      </c>
      <c r="C619" t="n">
        <v>244693</v>
      </c>
      <c r="D619" t="inlineStr">
        <is>
          <t>Acondicionador Elvive Dream Liso x 400 ml</t>
        </is>
      </c>
      <c r="E619" t="inlineStr">
        <is>
          <t>Elvive</t>
        </is>
      </c>
      <c r="F619" t="n">
        <v>7494</v>
      </c>
      <c r="G619" t="n">
        <v>12490</v>
      </c>
      <c r="H619" t="b">
        <v>1</v>
      </c>
      <c r="I619" t="n">
        <v>400</v>
      </c>
      <c r="J619" t="n">
        <v>18.735</v>
      </c>
      <c r="K619" t="inlineStr">
        <is>
          <t>&gt; Cuidado Capilar &gt; Shampoo Y Acondicionador &gt;</t>
        </is>
      </c>
      <c r="L619" t="inlineStr">
        <is>
          <t>acondicionador</t>
        </is>
      </c>
      <c r="M619" t="inlineStr">
        <is>
          <t>profesional</t>
        </is>
      </c>
      <c r="N619" t="inlineStr">
        <is>
          <t>general</t>
        </is>
      </c>
      <c r="O619" t="inlineStr">
        <is>
          <t>https://www.farmacity.com/acondicionador-elvive-dream-liso-x-400-ml/p</t>
        </is>
      </c>
    </row>
    <row r="620">
      <c r="A620" s="6" t="inlineStr">
        <is>
          <t>Farmacity</t>
        </is>
      </c>
      <c r="B620" s="6" t="n">
        <v>295</v>
      </c>
      <c r="C620" s="6" t="n">
        <v>109080</v>
      </c>
      <c r="D620" s="6" t="inlineStr">
        <is>
          <t>Acondicionador Dove Reconstrucción + Aminoácido x 400 ml</t>
        </is>
      </c>
      <c r="E620" s="6" t="inlineStr">
        <is>
          <t>Dove</t>
        </is>
      </c>
      <c r="F620" s="6" t="n">
        <v>5812</v>
      </c>
      <c r="G620" s="6" t="n">
        <v>9687</v>
      </c>
      <c r="H620" s="6" t="b">
        <v>1</v>
      </c>
      <c r="I620" s="6" t="n">
        <v>400</v>
      </c>
      <c r="J620" s="6" t="n">
        <v>14.53</v>
      </c>
      <c r="K620" s="6" t="inlineStr">
        <is>
          <t>&gt; Cuidado Capilar &gt; Shampoo Y Acondicionador &gt;</t>
        </is>
      </c>
      <c r="L620" s="6" t="inlineStr">
        <is>
          <t>acondicionador</t>
        </is>
      </c>
      <c r="M620" s="6" t="inlineStr">
        <is>
          <t>estandar</t>
        </is>
      </c>
      <c r="N620" s="6" t="inlineStr">
        <is>
          <t>general</t>
        </is>
      </c>
      <c r="O620" s="6" t="inlineStr">
        <is>
          <t>https://www.farmacity.com/acondicionador-dove-reconstruccion-completa-botella-x-400-ml/p</t>
        </is>
      </c>
    </row>
    <row r="621">
      <c r="A621" t="inlineStr">
        <is>
          <t>Farmacity</t>
        </is>
      </c>
      <c r="B621" t="n">
        <v>230626</v>
      </c>
      <c r="C621" t="n">
        <v>230626</v>
      </c>
      <c r="D621" t="inlineStr">
        <is>
          <t>Acondicionador Dosificador Tresemmé Keratina AntiFrizz x 500 ml</t>
        </is>
      </c>
      <c r="E621" t="inlineStr">
        <is>
          <t>Tresemmé</t>
        </is>
      </c>
      <c r="F621" t="n">
        <v>6574</v>
      </c>
      <c r="G621" t="n">
        <v>10114</v>
      </c>
      <c r="H621" t="b">
        <v>1</v>
      </c>
      <c r="I621" t="n">
        <v>500</v>
      </c>
      <c r="J621" t="n">
        <v>13.148</v>
      </c>
      <c r="K621" t="inlineStr">
        <is>
          <t>&gt; Cuidado Capilar &gt; Shampoo Y Acondicionador &gt;</t>
        </is>
      </c>
      <c r="L621" t="inlineStr">
        <is>
          <t>acondicionador</t>
        </is>
      </c>
      <c r="M621" t="inlineStr">
        <is>
          <t>estandar</t>
        </is>
      </c>
      <c r="N621" t="inlineStr">
        <is>
          <t>tratado</t>
        </is>
      </c>
      <c r="O621" t="inlineStr">
        <is>
          <t>https://www.farmacity.com/acondicionador-dosificador-tresemme-keratina-antifrizz-x-500-ml/p</t>
        </is>
      </c>
    </row>
    <row r="622">
      <c r="A622" s="6" t="inlineStr">
        <is>
          <t>Farmacity</t>
        </is>
      </c>
      <c r="B622" s="6" t="n">
        <v>239709</v>
      </c>
      <c r="C622" s="6" t="n">
        <v>239709</v>
      </c>
      <c r="D622" s="6" t="inlineStr">
        <is>
          <t>Acondicionador Fructis Hair Food Cacao x 300 ml</t>
        </is>
      </c>
      <c r="E622" s="6" t="inlineStr">
        <is>
          <t>Fructis</t>
        </is>
      </c>
      <c r="F622" s="6" t="n">
        <v>7273</v>
      </c>
      <c r="G622" s="6" t="n">
        <v>11190</v>
      </c>
      <c r="H622" s="6" t="b">
        <v>1</v>
      </c>
      <c r="I622" s="6" t="n">
        <v>300</v>
      </c>
      <c r="J622" s="6" t="n">
        <v>24.2433</v>
      </c>
      <c r="K622" s="6" t="inlineStr">
        <is>
          <t>&gt; Cuidado Capilar &gt; Shampoo Y Acondicionador &gt;</t>
        </is>
      </c>
      <c r="L622" s="6" t="inlineStr">
        <is>
          <t>acondicionador</t>
        </is>
      </c>
      <c r="M622" s="6" t="inlineStr">
        <is>
          <t>estandar</t>
        </is>
      </c>
      <c r="N622" s="6" t="inlineStr">
        <is>
          <t>general</t>
        </is>
      </c>
      <c r="O622" s="6" t="inlineStr">
        <is>
          <t>https://www.farmacity.com/acondicionador-garnier-fructis-hair-food-manteca-de-cacao-x-300-ml/p</t>
        </is>
      </c>
    </row>
    <row r="623">
      <c r="A623" t="inlineStr">
        <is>
          <t>Farmacity</t>
        </is>
      </c>
      <c r="B623" t="n">
        <v>230628</v>
      </c>
      <c r="C623" t="n">
        <v>230628</v>
      </c>
      <c r="D623" t="inlineStr">
        <is>
          <t>Acondicionador Dosificador Tresemmé Liso Efecto Botox x 500 ml</t>
        </is>
      </c>
      <c r="E623" t="inlineStr">
        <is>
          <t>Tresemmé</t>
        </is>
      </c>
      <c r="F623" t="n">
        <v>6574</v>
      </c>
      <c r="G623" t="n">
        <v>10114</v>
      </c>
      <c r="H623" t="b">
        <v>1</v>
      </c>
      <c r="I623" t="n">
        <v>500</v>
      </c>
      <c r="J623" t="n">
        <v>13.148</v>
      </c>
      <c r="K623" t="inlineStr">
        <is>
          <t>&gt; Cuidado Capilar &gt; Shampoo Y Acondicionador &gt;</t>
        </is>
      </c>
      <c r="L623" t="inlineStr">
        <is>
          <t>acondicionador</t>
        </is>
      </c>
      <c r="M623" t="inlineStr">
        <is>
          <t>estandar</t>
        </is>
      </c>
      <c r="N623" t="inlineStr">
        <is>
          <t>general</t>
        </is>
      </c>
      <c r="O623" t="inlineStr">
        <is>
          <t>https://www.farmacity.com/acondicionador-dosificador-tresemme-liso-efecto-botox-x-500-ml/p</t>
        </is>
      </c>
    </row>
    <row r="624">
      <c r="A624" s="6" t="inlineStr">
        <is>
          <t>Farmacity</t>
        </is>
      </c>
      <c r="B624" s="6" t="n">
        <v>215074</v>
      </c>
      <c r="C624" s="6" t="n">
        <v>215074</v>
      </c>
      <c r="D624" s="6" t="inlineStr">
        <is>
          <t>Acondicionador Dove Regeneración + Retinol x 400 ml</t>
        </is>
      </c>
      <c r="E624" s="6" t="inlineStr">
        <is>
          <t>Dove</t>
        </is>
      </c>
      <c r="F624" s="6" t="n">
        <v>5812</v>
      </c>
      <c r="G624" s="6" t="n">
        <v>9687</v>
      </c>
      <c r="H624" s="6" t="b">
        <v>1</v>
      </c>
      <c r="I624" s="6" t="n">
        <v>400</v>
      </c>
      <c r="J624" s="6" t="n">
        <v>14.53</v>
      </c>
      <c r="K624" s="6" t="inlineStr">
        <is>
          <t>&gt; Cuidado Capilar &gt; Shampoo Y Acondicionador &gt;</t>
        </is>
      </c>
      <c r="L624" s="6" t="inlineStr">
        <is>
          <t>acondicionador</t>
        </is>
      </c>
      <c r="M624" s="6" t="inlineStr">
        <is>
          <t>estandar</t>
        </is>
      </c>
      <c r="N624" s="6" t="inlineStr">
        <is>
          <t>general</t>
        </is>
      </c>
      <c r="O624" s="6" t="inlineStr">
        <is>
          <t>https://www.farmacity.com/acondicionador-dove-regeneracion-extrema-x-400-ml/p</t>
        </is>
      </c>
    </row>
    <row r="625">
      <c r="A625" t="inlineStr">
        <is>
          <t>Farmacity</t>
        </is>
      </c>
      <c r="B625" t="n">
        <v>244542</v>
      </c>
      <c r="C625" t="n">
        <v>244542</v>
      </c>
      <c r="D625" t="inlineStr">
        <is>
          <t>Acondicionador Reparador Pantene Pro-V Miracles Keratina Repara y Protege x 510 ml</t>
        </is>
      </c>
      <c r="E625" t="inlineStr">
        <is>
          <t>Pantene</t>
        </is>
      </c>
      <c r="F625" t="n">
        <v>10285</v>
      </c>
      <c r="G625" t="n">
        <v>17142</v>
      </c>
      <c r="H625" t="b">
        <v>1</v>
      </c>
      <c r="I625" t="n">
        <v>510</v>
      </c>
      <c r="J625" t="n">
        <v>20.1667</v>
      </c>
      <c r="K625" t="inlineStr">
        <is>
          <t>&gt; Cuidado Capilar &gt; Shampoo Y Acondicionador &gt;</t>
        </is>
      </c>
      <c r="L625" t="inlineStr">
        <is>
          <t>acondicionador</t>
        </is>
      </c>
      <c r="M625" t="inlineStr">
        <is>
          <t>profesional</t>
        </is>
      </c>
      <c r="N625" t="inlineStr">
        <is>
          <t>tratado</t>
        </is>
      </c>
      <c r="O625" t="inlineStr">
        <is>
          <t>https://www.farmacity.com/acondicionador-pantene-keratina-x-510-ml/p</t>
        </is>
      </c>
    </row>
    <row r="626">
      <c r="A626" s="6" t="inlineStr">
        <is>
          <t>Farmacity</t>
        </is>
      </c>
      <c r="B626" s="6" t="n">
        <v>235660</v>
      </c>
      <c r="C626" s="6" t="n">
        <v>235660</v>
      </c>
      <c r="D626" s="6" t="inlineStr">
        <is>
          <t>Acondicionador Pantene Pro-V Miracles Equilibrio Hidratante x 400 ml</t>
        </is>
      </c>
      <c r="E626" s="6" t="inlineStr">
        <is>
          <t>Pantene</t>
        </is>
      </c>
      <c r="F626" s="6" t="n">
        <v>6137</v>
      </c>
      <c r="G626" s="6" t="n">
        <v>10228</v>
      </c>
      <c r="H626" s="6" t="b">
        <v>1</v>
      </c>
      <c r="I626" s="6" t="n">
        <v>400</v>
      </c>
      <c r="J626" s="6" t="n">
        <v>15.3425</v>
      </c>
      <c r="K626" s="6" t="inlineStr">
        <is>
          <t>&gt; Cuidado Capilar &gt; Shampoo Y Acondicionador &gt;</t>
        </is>
      </c>
      <c r="L626" s="6" t="inlineStr">
        <is>
          <t>acondicionador</t>
        </is>
      </c>
      <c r="M626" s="6" t="inlineStr">
        <is>
          <t>profesional</t>
        </is>
      </c>
      <c r="N626" s="6" t="inlineStr">
        <is>
          <t>seco_danado</t>
        </is>
      </c>
      <c r="O626" s="6" t="inlineStr">
        <is>
          <t>https://www.farmacity.com/acondicionador-pantene-pro-v-miracles-equilibrio-x-400-ml/p</t>
        </is>
      </c>
    </row>
    <row r="627">
      <c r="A627" t="inlineStr">
        <is>
          <t>Farmacity</t>
        </is>
      </c>
      <c r="B627" t="n">
        <v>235653</v>
      </c>
      <c r="C627" t="n">
        <v>235653</v>
      </c>
      <c r="D627" t="inlineStr">
        <is>
          <t>Acondicionador Pantene Pro-V Miracles Detox Hidratante 200 ml</t>
        </is>
      </c>
      <c r="E627" t="inlineStr">
        <is>
          <t>Pantene</t>
        </is>
      </c>
      <c r="F627" t="n">
        <v>3807</v>
      </c>
      <c r="G627" t="n">
        <v>6345</v>
      </c>
      <c r="H627" t="b">
        <v>1</v>
      </c>
      <c r="I627" t="n">
        <v>200</v>
      </c>
      <c r="J627" t="n">
        <v>19.035</v>
      </c>
      <c r="K627" t="inlineStr">
        <is>
          <t>&gt; Cuidado Capilar &gt; Shampoo Y Acondicionador &gt;</t>
        </is>
      </c>
      <c r="L627" t="inlineStr">
        <is>
          <t>acondicionador</t>
        </is>
      </c>
      <c r="M627" t="inlineStr">
        <is>
          <t>profesional</t>
        </is>
      </c>
      <c r="N627" t="inlineStr">
        <is>
          <t>seco_danado</t>
        </is>
      </c>
      <c r="O627" t="inlineStr">
        <is>
          <t>https://www.farmacity.com/acondicionador-pantene-pro-v-miracles-detox-x-200-ml/p</t>
        </is>
      </c>
    </row>
    <row r="628">
      <c r="A628" s="6" t="inlineStr">
        <is>
          <t>Farmacity</t>
        </is>
      </c>
      <c r="B628" s="6" t="n">
        <v>229991</v>
      </c>
      <c r="C628" s="6" t="n">
        <v>229991</v>
      </c>
      <c r="D628" s="6" t="inlineStr">
        <is>
          <t>Acondicionador Elvive Colorvive x 200 ml</t>
        </is>
      </c>
      <c r="E628" s="6" t="inlineStr">
        <is>
          <t>Elvive</t>
        </is>
      </c>
      <c r="F628" s="6" t="n">
        <v>4494</v>
      </c>
      <c r="G628" s="6" t="n">
        <v>7490</v>
      </c>
      <c r="H628" s="6" t="b">
        <v>1</v>
      </c>
      <c r="I628" s="6" t="n">
        <v>200</v>
      </c>
      <c r="J628" s="6" t="n">
        <v>22.47</v>
      </c>
      <c r="K628" s="6" t="inlineStr">
        <is>
          <t>&gt; Cuidado Capilar &gt; Shampoo Y Acondicionador &gt;</t>
        </is>
      </c>
      <c r="L628" s="6" t="inlineStr">
        <is>
          <t>acondicionador</t>
        </is>
      </c>
      <c r="M628" s="6" t="inlineStr">
        <is>
          <t>profesional</t>
        </is>
      </c>
      <c r="N628" s="6" t="inlineStr">
        <is>
          <t>tratado</t>
        </is>
      </c>
      <c r="O628" s="6" t="inlineStr">
        <is>
          <t>https://www.farmacity.com/acondicionador-elvive-matizador-violeta-x-200-ml/p</t>
        </is>
      </c>
    </row>
    <row r="629">
      <c r="A629" t="inlineStr">
        <is>
          <t>Farmacity</t>
        </is>
      </c>
      <c r="B629" t="n">
        <v>229979</v>
      </c>
      <c r="C629" t="n">
        <v>229979</v>
      </c>
      <c r="D629" t="inlineStr">
        <is>
          <t>Acondicionador Tío Nacho Herbolaria Milenaria x 415 ml</t>
        </is>
      </c>
      <c r="E629" t="inlineStr">
        <is>
          <t>Tío Nacho</t>
        </is>
      </c>
      <c r="F629" t="n">
        <v>11750</v>
      </c>
      <c r="G629" t="n">
        <v>11750</v>
      </c>
      <c r="H629" t="b">
        <v>1</v>
      </c>
      <c r="I629" t="n">
        <v>415</v>
      </c>
      <c r="J629" t="n">
        <v>28.3133</v>
      </c>
      <c r="K629" t="inlineStr">
        <is>
          <t>&gt; Cuidado Capilar &gt; Shampoo Y Acondicionador &gt;</t>
        </is>
      </c>
      <c r="L629" t="inlineStr">
        <is>
          <t>acondicionador</t>
        </is>
      </c>
      <c r="M629" t="inlineStr">
        <is>
          <t>estandar</t>
        </is>
      </c>
      <c r="N629" t="inlineStr">
        <is>
          <t>general</t>
        </is>
      </c>
      <c r="O629" t="inlineStr">
        <is>
          <t>https://www.farmacity.com/acondicionador-tio-nacho-herbolaria-milenaria-x-415-ml/p</t>
        </is>
      </c>
    </row>
    <row r="630">
      <c r="A630" s="6" t="inlineStr">
        <is>
          <t>Farmacity</t>
        </is>
      </c>
      <c r="B630" s="6" t="n">
        <v>223268</v>
      </c>
      <c r="C630" s="6" t="n">
        <v>223268</v>
      </c>
      <c r="D630" s="6" t="inlineStr">
        <is>
          <t>Acondicionador para Niños Johnson’s Baby Gotas de Brillo x 400 ml</t>
        </is>
      </c>
      <c r="E630" s="6" t="inlineStr">
        <is>
          <t>Johnson's</t>
        </is>
      </c>
      <c r="F630" s="6" t="n">
        <v>7169</v>
      </c>
      <c r="G630" s="6" t="n">
        <v>10241</v>
      </c>
      <c r="H630" s="6" t="b">
        <v>1</v>
      </c>
      <c r="I630" s="6" t="n">
        <v>400</v>
      </c>
      <c r="J630" s="6" t="n">
        <v>17.9225</v>
      </c>
      <c r="K630" s="6" t="inlineStr">
        <is>
          <t>&gt; Bebés &gt; Higiene del Bebé &gt; Baño Del Bebé &gt;</t>
        </is>
      </c>
      <c r="L630" s="6" t="inlineStr">
        <is>
          <t>acondicionador</t>
        </is>
      </c>
      <c r="M630" s="6" t="inlineStr">
        <is>
          <t>estandar</t>
        </is>
      </c>
      <c r="N630" s="6" t="inlineStr">
        <is>
          <t>bebe</t>
        </is>
      </c>
      <c r="O630" s="6" t="inlineStr">
        <is>
          <t>https://www.farmacity.com/acondicionador-johnsons-baby-gotas-de-brillo-x-40-ml/p</t>
        </is>
      </c>
    </row>
    <row r="631">
      <c r="A631" t="inlineStr">
        <is>
          <t>Farmacity</t>
        </is>
      </c>
      <c r="B631" t="n">
        <v>220331</v>
      </c>
      <c r="C631" t="n">
        <v>220331</v>
      </c>
      <c r="D631" t="inlineStr">
        <is>
          <t>Acondicionador Pantene Pro-V Solutions Restauración x 400 ml</t>
        </is>
      </c>
      <c r="E631" t="inlineStr">
        <is>
          <t>Pantene</t>
        </is>
      </c>
      <c r="F631" t="n">
        <v>6137</v>
      </c>
      <c r="G631" t="n">
        <v>10228</v>
      </c>
      <c r="H631" t="b">
        <v>1</v>
      </c>
      <c r="I631" t="n">
        <v>400</v>
      </c>
      <c r="J631" t="n">
        <v>15.3425</v>
      </c>
      <c r="K631" t="inlineStr">
        <is>
          <t>&gt; Cuidado Capilar &gt; Shampoo Y Acondicionador &gt;</t>
        </is>
      </c>
      <c r="L631" t="inlineStr">
        <is>
          <t>acondicionador</t>
        </is>
      </c>
      <c r="M631" t="inlineStr">
        <is>
          <t>profesional</t>
        </is>
      </c>
      <c r="N631" t="inlineStr">
        <is>
          <t>general</t>
        </is>
      </c>
      <c r="O631" t="inlineStr">
        <is>
          <t>https://www.farmacity.com/acondicionador-pantene-miracle-restauracion-x-400-ml/p</t>
        </is>
      </c>
    </row>
    <row r="632">
      <c r="A632" s="6" t="inlineStr">
        <is>
          <t>Farmacity</t>
        </is>
      </c>
      <c r="B632" s="6" t="n">
        <v>7842</v>
      </c>
      <c r="C632" s="6" t="n">
        <v>152463</v>
      </c>
      <c r="D632" s="6" t="inlineStr">
        <is>
          <t>Acondicionador para Niños Johnson's Baby Gotas de Brillo x 200 ml</t>
        </is>
      </c>
      <c r="E632" s="6" t="inlineStr">
        <is>
          <t>Johnson's</t>
        </is>
      </c>
      <c r="F632" s="6" t="n">
        <v>4619</v>
      </c>
      <c r="G632" s="6" t="n">
        <v>6599</v>
      </c>
      <c r="H632" s="6" t="b">
        <v>1</v>
      </c>
      <c r="I632" s="6" t="n">
        <v>200</v>
      </c>
      <c r="J632" s="6" t="n">
        <v>23.095</v>
      </c>
      <c r="K632" s="6" t="inlineStr">
        <is>
          <t>&gt; Bebés &gt; Higiene del Bebé &gt; Baño Del Bebé &gt;</t>
        </is>
      </c>
      <c r="L632" s="6" t="inlineStr">
        <is>
          <t>acondicionador</t>
        </is>
      </c>
      <c r="M632" s="6" t="inlineStr">
        <is>
          <t>estandar</t>
        </is>
      </c>
      <c r="N632" s="6" t="inlineStr">
        <is>
          <t>bebe</t>
        </is>
      </c>
      <c r="O632" s="6" t="inlineStr">
        <is>
          <t>https://www.farmacity.com/acondicionador-gotas-de-brillo-x-200-ml/p</t>
        </is>
      </c>
    </row>
    <row r="633">
      <c r="A633" t="inlineStr">
        <is>
          <t>Farmacity</t>
        </is>
      </c>
      <c r="B633" t="n">
        <v>6187</v>
      </c>
      <c r="C633" t="n">
        <v>147255</v>
      </c>
      <c r="D633" t="inlineStr">
        <is>
          <t>Acondicionador Elvive Óleo Extraordinario x 200 ml</t>
        </is>
      </c>
      <c r="E633" t="inlineStr">
        <is>
          <t>Elvive</t>
        </is>
      </c>
      <c r="F633" t="n">
        <v>4194</v>
      </c>
      <c r="G633" t="n">
        <v>6990</v>
      </c>
      <c r="H633" t="b">
        <v>1</v>
      </c>
      <c r="I633" t="n">
        <v>200</v>
      </c>
      <c r="J633" t="n">
        <v>20.97</v>
      </c>
      <c r="K633" t="inlineStr">
        <is>
          <t>&gt; Cuidado Capilar &gt; Shampoo Y Acondicionador &gt;</t>
        </is>
      </c>
      <c r="L633" t="inlineStr">
        <is>
          <t>acondicionador</t>
        </is>
      </c>
      <c r="M633" t="inlineStr">
        <is>
          <t>profesional</t>
        </is>
      </c>
      <c r="N633" t="inlineStr">
        <is>
          <t>general</t>
        </is>
      </c>
      <c r="O633" t="inlineStr">
        <is>
          <t>https://www.farmacity.com/acondicionador-oleo-extraordinario-nutricion-universal-x-200-ml/p</t>
        </is>
      </c>
    </row>
    <row r="634">
      <c r="A634" s="6" t="inlineStr">
        <is>
          <t>Farmacity</t>
        </is>
      </c>
      <c r="B634" s="6" t="n">
        <v>243701</v>
      </c>
      <c r="C634" s="6" t="n">
        <v>243701</v>
      </c>
      <c r="D634" s="6" t="inlineStr">
        <is>
          <t>Acondicionador Pantene Anti Caida x 250 ml</t>
        </is>
      </c>
      <c r="E634" s="6" t="inlineStr">
        <is>
          <t>Pantene</t>
        </is>
      </c>
      <c r="F634" s="6" t="n">
        <v>6032</v>
      </c>
      <c r="G634" s="6" t="n">
        <v>10054</v>
      </c>
      <c r="H634" s="6" t="b">
        <v>1</v>
      </c>
      <c r="I634" s="6" t="n">
        <v>250</v>
      </c>
      <c r="J634" s="6" t="n">
        <v>24.128</v>
      </c>
      <c r="K634" s="6" t="inlineStr">
        <is>
          <t>&gt; Cuidado Capilar &gt; Shampoo Y Acondicionador &gt;</t>
        </is>
      </c>
      <c r="L634" s="6" t="inlineStr">
        <is>
          <t>acondicionador</t>
        </is>
      </c>
      <c r="M634" s="6" t="inlineStr">
        <is>
          <t>estandar</t>
        </is>
      </c>
      <c r="N634" s="6" t="inlineStr">
        <is>
          <t>general</t>
        </is>
      </c>
      <c r="O634" s="6" t="inlineStr">
        <is>
          <t>https://www.farmacity.com/acondicionador-pantene-anti-caida-x-250-ml/p</t>
        </is>
      </c>
    </row>
    <row r="635">
      <c r="A635" t="inlineStr">
        <is>
          <t>Farmacity</t>
        </is>
      </c>
      <c r="B635" t="n">
        <v>240016</v>
      </c>
      <c r="C635" t="n">
        <v>240016</v>
      </c>
      <c r="D635" t="inlineStr">
        <is>
          <t>Acondicionador Elvive Glycolic Gloss x 750 ml</t>
        </is>
      </c>
      <c r="E635" t="inlineStr">
        <is>
          <t>Elvive</t>
        </is>
      </c>
      <c r="F635" t="n">
        <v>19990</v>
      </c>
      <c r="G635" t="n">
        <v>19990</v>
      </c>
      <c r="H635" t="b">
        <v>1</v>
      </c>
      <c r="I635" t="n">
        <v>750</v>
      </c>
      <c r="J635" t="n">
        <v>26.6533</v>
      </c>
      <c r="K635" t="inlineStr">
        <is>
          <t>&gt; Cuidado Capilar &gt; Shampoo Y Acondicionador &gt;</t>
        </is>
      </c>
      <c r="L635" t="inlineStr">
        <is>
          <t>acondicionador</t>
        </is>
      </c>
      <c r="M635" t="inlineStr">
        <is>
          <t>profesional</t>
        </is>
      </c>
      <c r="N635" t="inlineStr">
        <is>
          <t>general</t>
        </is>
      </c>
      <c r="O635" t="inlineStr">
        <is>
          <t>https://www.farmacity.com/acondicionador-elvive-glyco-gloss-x-750-ml/p</t>
        </is>
      </c>
    </row>
    <row r="636">
      <c r="A636" s="6" t="inlineStr">
        <is>
          <t>Farmacity</t>
        </is>
      </c>
      <c r="B636" s="6" t="n">
        <v>239944</v>
      </c>
      <c r="C636" s="6" t="n">
        <v>239944</v>
      </c>
      <c r="D636" s="6" t="inlineStr">
        <is>
          <t>Acondicionador Pantene Keratina x 200 ml</t>
        </is>
      </c>
      <c r="E636" s="6" t="inlineStr">
        <is>
          <t>Pantene</t>
        </is>
      </c>
      <c r="F636" s="6" t="n">
        <v>3807</v>
      </c>
      <c r="G636" s="6" t="n">
        <v>6345</v>
      </c>
      <c r="H636" s="6" t="b">
        <v>1</v>
      </c>
      <c r="I636" s="6" t="n">
        <v>200</v>
      </c>
      <c r="J636" s="6" t="n">
        <v>19.035</v>
      </c>
      <c r="K636" s="6" t="inlineStr">
        <is>
          <t>&gt; Cuidado Capilar &gt; Shampoo Y Acondicionador &gt;</t>
        </is>
      </c>
      <c r="L636" s="6" t="inlineStr">
        <is>
          <t>acondicionador</t>
        </is>
      </c>
      <c r="M636" s="6" t="inlineStr">
        <is>
          <t>estandar</t>
        </is>
      </c>
      <c r="N636" s="6" t="inlineStr">
        <is>
          <t>tratado</t>
        </is>
      </c>
      <c r="O636" s="6" t="inlineStr">
        <is>
          <t>https://www.farmacity.com/acondicionador-pantene-keratina-x-200-ml/p</t>
        </is>
      </c>
    </row>
    <row r="637">
      <c r="A637" t="inlineStr">
        <is>
          <t>Farmacity</t>
        </is>
      </c>
      <c r="B637" t="n">
        <v>238884</v>
      </c>
      <c r="C637" t="n">
        <v>238884</v>
      </c>
      <c r="D637" t="inlineStr">
        <is>
          <t>Acondicionador Pantene Pro-V Miracles Revitalizacion x 750 ml</t>
        </is>
      </c>
      <c r="E637" t="inlineStr">
        <is>
          <t>Pantene</t>
        </is>
      </c>
      <c r="F637" t="n">
        <v>16733</v>
      </c>
      <c r="G637" t="n">
        <v>16733</v>
      </c>
      <c r="H637" t="b">
        <v>1</v>
      </c>
      <c r="I637" t="n">
        <v>750</v>
      </c>
      <c r="J637" t="n">
        <v>22.3107</v>
      </c>
      <c r="K637" t="inlineStr">
        <is>
          <t>&gt; Cuidado Capilar &gt; Shampoo Y Acondicionador &gt;</t>
        </is>
      </c>
      <c r="L637" t="inlineStr">
        <is>
          <t>acondicionador</t>
        </is>
      </c>
      <c r="M637" t="inlineStr">
        <is>
          <t>profesional</t>
        </is>
      </c>
      <c r="N637" t="inlineStr">
        <is>
          <t>general</t>
        </is>
      </c>
      <c r="O637" t="inlineStr">
        <is>
          <t>https://www.farmacity.com/acondicionador-pantene-pro-v-miracles-revitalizacion-x-750-ml/p</t>
        </is>
      </c>
    </row>
    <row r="638">
      <c r="A638" s="6" t="inlineStr">
        <is>
          <t>Farmacity</t>
        </is>
      </c>
      <c r="B638" s="6" t="n">
        <v>237263</v>
      </c>
      <c r="C638" s="6" t="n">
        <v>237263</v>
      </c>
      <c r="D638" s="6" t="inlineStr">
        <is>
          <t>Acondicionador Capilatis Plex Reparación Absoluta x 350 ml</t>
        </is>
      </c>
      <c r="E638" s="6" t="inlineStr">
        <is>
          <t>Capilatis</t>
        </is>
      </c>
      <c r="F638" s="6" t="n">
        <v>13000</v>
      </c>
      <c r="G638" s="6" t="n">
        <v>13000</v>
      </c>
      <c r="H638" s="6" t="b">
        <v>1</v>
      </c>
      <c r="I638" s="6" t="n">
        <v>350</v>
      </c>
      <c r="J638" s="6" t="n">
        <v>37.1429</v>
      </c>
      <c r="K638" s="6" t="inlineStr">
        <is>
          <t>&gt; Cuidado Capilar &gt; Shampoo Y Acondicionador &gt;</t>
        </is>
      </c>
      <c r="L638" s="6" t="inlineStr">
        <is>
          <t>acondicionador</t>
        </is>
      </c>
      <c r="M638" s="6" t="inlineStr">
        <is>
          <t>estandar</t>
        </is>
      </c>
      <c r="N638" s="6" t="inlineStr">
        <is>
          <t>general</t>
        </is>
      </c>
      <c r="O638" s="6" t="inlineStr">
        <is>
          <t>https://www.farmacity.com/acondicionador-capilatis-plex-reparacion-absoluta-x-350-ml/p</t>
        </is>
      </c>
    </row>
    <row r="639">
      <c r="A639" t="inlineStr">
        <is>
          <t>Farmacity</t>
        </is>
      </c>
      <c r="B639" t="n">
        <v>235658</v>
      </c>
      <c r="C639" t="n">
        <v>235658</v>
      </c>
      <c r="D639" t="inlineStr">
        <is>
          <t>Acondicionador Pantene Pro-V Miracles Detox x 400 ml</t>
        </is>
      </c>
      <c r="E639" t="inlineStr">
        <is>
          <t>Pantene</t>
        </is>
      </c>
      <c r="F639" t="n">
        <v>6137</v>
      </c>
      <c r="G639" t="n">
        <v>10228</v>
      </c>
      <c r="H639" t="b">
        <v>1</v>
      </c>
      <c r="I639" t="n">
        <v>400</v>
      </c>
      <c r="J639" t="n">
        <v>15.3425</v>
      </c>
      <c r="K639" t="inlineStr">
        <is>
          <t>&gt; Cuidado Capilar &gt; Shampoo Y Acondicionador &gt;</t>
        </is>
      </c>
      <c r="L639" t="inlineStr">
        <is>
          <t>acondicionador</t>
        </is>
      </c>
      <c r="M639" t="inlineStr">
        <is>
          <t>profesional</t>
        </is>
      </c>
      <c r="N639" t="inlineStr">
        <is>
          <t>general</t>
        </is>
      </c>
      <c r="O639" t="inlineStr">
        <is>
          <t>https://www.farmacity.com/acondicionador-pantene-pro-v-miracles-detox-x-400-ml/p</t>
        </is>
      </c>
    </row>
    <row r="640">
      <c r="A640" s="6" t="inlineStr">
        <is>
          <t>Farmacity</t>
        </is>
      </c>
      <c r="B640" s="6" t="n">
        <v>230629</v>
      </c>
      <c r="C640" s="6" t="n">
        <v>230629</v>
      </c>
      <c r="D640" s="6" t="inlineStr">
        <is>
          <t>Acondicionador Dosificador Tresemmé Detox Capilar x 500 ml</t>
        </is>
      </c>
      <c r="E640" s="6" t="inlineStr">
        <is>
          <t>Tresemmé</t>
        </is>
      </c>
      <c r="F640" s="6" t="n">
        <v>6574</v>
      </c>
      <c r="G640" s="6" t="n">
        <v>10114</v>
      </c>
      <c r="H640" s="6" t="b">
        <v>1</v>
      </c>
      <c r="I640" s="6" t="n">
        <v>500</v>
      </c>
      <c r="J640" s="6" t="n">
        <v>13.148</v>
      </c>
      <c r="K640" s="6" t="inlineStr">
        <is>
          <t>&gt; Cuidado Capilar &gt; Shampoo Y Acondicionador &gt;</t>
        </is>
      </c>
      <c r="L640" s="6" t="inlineStr">
        <is>
          <t>acondicionador</t>
        </is>
      </c>
      <c r="M640" s="6" t="inlineStr">
        <is>
          <t>estandar</t>
        </is>
      </c>
      <c r="N640" s="6" t="inlineStr">
        <is>
          <t>general</t>
        </is>
      </c>
      <c r="O640" s="6" t="inlineStr">
        <is>
          <t>https://www.farmacity.com/acondicionador-dosificador-tresemme-detox-capilar-x-500-ml/p</t>
        </is>
      </c>
    </row>
    <row r="641">
      <c r="A641" t="inlineStr">
        <is>
          <t>Farmacity</t>
        </is>
      </c>
      <c r="B641" t="n">
        <v>219376</v>
      </c>
      <c r="C641" t="n">
        <v>219376</v>
      </c>
      <c r="D641" t="inlineStr">
        <is>
          <t>Acondicionador Alta Moda Super Oils x 300 ml</t>
        </is>
      </c>
      <c r="E641" t="inlineStr">
        <is>
          <t>Alta Moda</t>
        </is>
      </c>
      <c r="F641" t="n">
        <v>5692</v>
      </c>
      <c r="G641" t="n">
        <v>5692</v>
      </c>
      <c r="H641" t="b">
        <v>1</v>
      </c>
      <c r="I641" t="n">
        <v>300</v>
      </c>
      <c r="J641" t="n">
        <v>18.9733</v>
      </c>
      <c r="K641" t="inlineStr">
        <is>
          <t>&gt; Cuidado Capilar &gt; Shampoo Y Acondicionador &gt;</t>
        </is>
      </c>
      <c r="L641" t="inlineStr">
        <is>
          <t>acondicionador</t>
        </is>
      </c>
      <c r="M641" t="inlineStr">
        <is>
          <t>estandar</t>
        </is>
      </c>
      <c r="N641" t="inlineStr">
        <is>
          <t>general</t>
        </is>
      </c>
      <c r="O641" t="inlineStr">
        <is>
          <t>https://www.farmacity.com/acondicionador-alta-moda-e-argan-therapy-x-300-ml/p</t>
        </is>
      </c>
    </row>
    <row r="642">
      <c r="A642" s="6" t="inlineStr">
        <is>
          <t>Farmacity</t>
        </is>
      </c>
      <c r="B642" s="6" t="n">
        <v>214534</v>
      </c>
      <c r="C642" s="6" t="n">
        <v>214534</v>
      </c>
      <c r="D642" s="6" t="inlineStr">
        <is>
          <t>Acondicionador Head &amp; Shoulders Protección Caída x 300 ml</t>
        </is>
      </c>
      <c r="E642" s="6" t="inlineStr">
        <is>
          <t>Head and Shoulders</t>
        </is>
      </c>
      <c r="F642" s="6" t="n">
        <v>7264</v>
      </c>
      <c r="G642" s="6" t="n">
        <v>11175</v>
      </c>
      <c r="H642" s="6" t="b">
        <v>1</v>
      </c>
      <c r="I642" s="6" t="n">
        <v>300</v>
      </c>
      <c r="J642" s="6" t="n">
        <v>24.2133</v>
      </c>
      <c r="K642" s="6" t="inlineStr">
        <is>
          <t>&gt; Cuidado Capilar &gt; Shampoo Y Acondicionador &gt;</t>
        </is>
      </c>
      <c r="L642" s="6" t="inlineStr">
        <is>
          <t>acondicionador</t>
        </is>
      </c>
      <c r="M642" s="6" t="inlineStr">
        <is>
          <t>estandar</t>
        </is>
      </c>
      <c r="N642" s="6" t="inlineStr">
        <is>
          <t>general</t>
        </is>
      </c>
      <c r="O642" s="6" t="inlineStr">
        <is>
          <t>https://www.farmacity.com/acondicionador-head-and-shoulders-anti-fall-x-300-ml/p</t>
        </is>
      </c>
    </row>
    <row r="643">
      <c r="A643" t="inlineStr">
        <is>
          <t>Farmacity</t>
        </is>
      </c>
      <c r="B643" t="n">
        <v>207428</v>
      </c>
      <c r="C643" t="n">
        <v>207428</v>
      </c>
      <c r="D643" t="inlineStr">
        <is>
          <t>Acondicionador Ogx Brazilian Keratin Smooth x 385 ml</t>
        </is>
      </c>
      <c r="E643" t="inlineStr">
        <is>
          <t>OGX</t>
        </is>
      </c>
      <c r="F643" t="n">
        <v>27154</v>
      </c>
      <c r="G643" t="n">
        <v>27154</v>
      </c>
      <c r="H643" t="b">
        <v>1</v>
      </c>
      <c r="I643" t="n">
        <v>385</v>
      </c>
      <c r="J643" t="n">
        <v>70.5299</v>
      </c>
      <c r="K643" t="inlineStr">
        <is>
          <t>&gt; Cuidado Capilar &gt; Shampoo Y Acondicionador &gt;</t>
        </is>
      </c>
      <c r="L643" t="inlineStr">
        <is>
          <t>acondicionador</t>
        </is>
      </c>
      <c r="M643" t="inlineStr">
        <is>
          <t>estandar</t>
        </is>
      </c>
      <c r="N643" t="inlineStr">
        <is>
          <t>general</t>
        </is>
      </c>
      <c r="O643" t="inlineStr">
        <is>
          <t>https://www.farmacity.com/acondicionador-ogx-brazilian-keratin-smooth-x-385-ml/p</t>
        </is>
      </c>
    </row>
    <row r="644">
      <c r="A644" s="6" t="inlineStr">
        <is>
          <t>Farmacity</t>
        </is>
      </c>
      <c r="B644" s="6" t="n">
        <v>221687</v>
      </c>
      <c r="C644" s="6" t="n">
        <v>221687</v>
      </c>
      <c r="D644" s="6" t="inlineStr">
        <is>
          <t>Acondicionador Head &amp; Shoulders Crece Fuerte Desde la Raíz x 300 ml</t>
        </is>
      </c>
      <c r="E644" s="6" t="inlineStr">
        <is>
          <t>Head and Shoulders</t>
        </is>
      </c>
      <c r="F644" s="6" t="n">
        <v>7264</v>
      </c>
      <c r="G644" s="6" t="n">
        <v>11175</v>
      </c>
      <c r="H644" s="6" t="b">
        <v>1</v>
      </c>
      <c r="I644" s="6" t="n">
        <v>300</v>
      </c>
      <c r="J644" s="6" t="n">
        <v>24.2133</v>
      </c>
      <c r="K644" s="6" t="inlineStr">
        <is>
          <t>&gt; Cuidado Capilar &gt; Shampoo Y Acondicionador &gt;</t>
        </is>
      </c>
      <c r="L644" s="6" t="inlineStr">
        <is>
          <t>acondicionador</t>
        </is>
      </c>
      <c r="M644" s="6" t="inlineStr">
        <is>
          <t>estandar</t>
        </is>
      </c>
      <c r="N644" s="6" t="inlineStr">
        <is>
          <t>general</t>
        </is>
      </c>
      <c r="O644" s="6" t="inlineStr">
        <is>
          <t>https://www.farmacity.com/acondicionador-head-y-shoulders-crece-fuerte-desde-la-raiz-x-300-ml/p</t>
        </is>
      </c>
    </row>
    <row r="645">
      <c r="A645" t="inlineStr">
        <is>
          <t>Farmacity</t>
        </is>
      </c>
      <c r="B645" t="n">
        <v>221683</v>
      </c>
      <c r="C645" t="n">
        <v>221683</v>
      </c>
      <c r="D645" t="inlineStr">
        <is>
          <t>Acondicionador Elvive Hidra Hialuronico x 750 ml</t>
        </is>
      </c>
      <c r="E645" t="inlineStr">
        <is>
          <t>Elvive</t>
        </is>
      </c>
      <c r="F645" t="n">
        <v>17990</v>
      </c>
      <c r="G645" t="n">
        <v>17990</v>
      </c>
      <c r="H645" t="b">
        <v>1</v>
      </c>
      <c r="I645" t="n">
        <v>750</v>
      </c>
      <c r="J645" t="n">
        <v>23.9867</v>
      </c>
      <c r="K645" t="inlineStr">
        <is>
          <t>&gt; Cuidado Capilar &gt; Shampoo Y Acondicionador &gt;</t>
        </is>
      </c>
      <c r="L645" t="inlineStr">
        <is>
          <t>acondicionador</t>
        </is>
      </c>
      <c r="M645" t="inlineStr">
        <is>
          <t>profesional</t>
        </is>
      </c>
      <c r="N645" t="inlineStr">
        <is>
          <t>general</t>
        </is>
      </c>
      <c r="O645" t="inlineStr">
        <is>
          <t>https://www.farmacity.com/acondicionador-elvive-hidra-hialuronico-x-750-ml/p</t>
        </is>
      </c>
    </row>
    <row r="646">
      <c r="A646" s="6" t="inlineStr">
        <is>
          <t>Farmacity</t>
        </is>
      </c>
      <c r="B646" s="6" t="n">
        <v>9588</v>
      </c>
      <c r="C646" s="6" t="n">
        <v>158661</v>
      </c>
      <c r="D646" s="6" t="inlineStr">
        <is>
          <t>Acondicionador Elvive Óleo Extraordinario Rizos x 200 ml</t>
        </is>
      </c>
      <c r="E646" s="6" t="inlineStr">
        <is>
          <t>Elvive</t>
        </is>
      </c>
      <c r="F646" s="6" t="n">
        <v>6990</v>
      </c>
      <c r="G646" s="6" t="n">
        <v>6990</v>
      </c>
      <c r="H646" s="6" t="b">
        <v>1</v>
      </c>
      <c r="I646" s="6" t="n">
        <v>200</v>
      </c>
      <c r="J646" s="6" t="n">
        <v>34.95</v>
      </c>
      <c r="K646" s="6" t="inlineStr">
        <is>
          <t>&gt; Cuidado Capilar &gt; Shampoo Y Acondicionador &gt;</t>
        </is>
      </c>
      <c r="L646" s="6" t="inlineStr">
        <is>
          <t>acondicionador</t>
        </is>
      </c>
      <c r="M646" s="6" t="inlineStr">
        <is>
          <t>profesional</t>
        </is>
      </c>
      <c r="N646" s="6" t="inlineStr">
        <is>
          <t>rizado</t>
        </is>
      </c>
      <c r="O646" s="6" t="inlineStr">
        <is>
          <t>https://www.farmacity.com/acondicionador-oleo-extraordinario-rizos-definidos-x-200-ml/p</t>
        </is>
      </c>
    </row>
    <row r="647">
      <c r="A647" t="inlineStr">
        <is>
          <t>Farmacity</t>
        </is>
      </c>
      <c r="B647" t="n">
        <v>371</v>
      </c>
      <c r="C647" t="n">
        <v>23604</v>
      </c>
      <c r="D647" t="inlineStr">
        <is>
          <t>Acondicionador Capilatis Ortiga con Extracto Vegetal para Caída x 410 ml</t>
        </is>
      </c>
      <c r="E647" t="inlineStr">
        <is>
          <t>Capilatis</t>
        </is>
      </c>
      <c r="F647" t="n">
        <v>9700</v>
      </c>
      <c r="G647" t="n">
        <v>9700</v>
      </c>
      <c r="H647" t="b">
        <v>1</v>
      </c>
      <c r="I647" t="n">
        <v>410</v>
      </c>
      <c r="J647" t="n">
        <v>23.6585</v>
      </c>
      <c r="K647" t="inlineStr">
        <is>
          <t>&gt; Cuidado Capilar &gt; Shampoo Y Acondicionador &gt;</t>
        </is>
      </c>
      <c r="L647" t="inlineStr">
        <is>
          <t>acondicionador</t>
        </is>
      </c>
      <c r="M647" t="inlineStr">
        <is>
          <t>estandar</t>
        </is>
      </c>
      <c r="N647" t="inlineStr">
        <is>
          <t>general</t>
        </is>
      </c>
      <c r="O647" t="inlineStr">
        <is>
          <t>https://www.farmacity.com/enjuague-control-caida-x-410-ml/p</t>
        </is>
      </c>
    </row>
    <row r="648">
      <c r="A648" s="6" t="inlineStr">
        <is>
          <t>Farmacity</t>
        </is>
      </c>
      <c r="B648" s="6" t="n">
        <v>229983</v>
      </c>
      <c r="C648" s="6" t="n">
        <v>229983</v>
      </c>
      <c r="D648" s="6" t="inlineStr">
        <is>
          <t>Acondicionador Tío Nacho Aclarante x 415 ml</t>
        </is>
      </c>
      <c r="E648" s="6" t="inlineStr">
        <is>
          <t>Tío Nacho</t>
        </is>
      </c>
      <c r="F648" s="6" t="n">
        <v>8225</v>
      </c>
      <c r="G648" s="6" t="n">
        <v>11750</v>
      </c>
      <c r="H648" s="6" t="b">
        <v>1</v>
      </c>
      <c r="I648" s="6" t="n">
        <v>415</v>
      </c>
      <c r="J648" s="6" t="n">
        <v>19.8193</v>
      </c>
      <c r="K648" s="6" t="inlineStr">
        <is>
          <t>&gt; Cuidado Capilar &gt; Shampoo Y Acondicionador &gt;</t>
        </is>
      </c>
      <c r="L648" s="6" t="inlineStr">
        <is>
          <t>acondicionador</t>
        </is>
      </c>
      <c r="M648" s="6" t="inlineStr">
        <is>
          <t>estandar</t>
        </is>
      </c>
      <c r="N648" s="6" t="inlineStr">
        <is>
          <t>general</t>
        </is>
      </c>
      <c r="O648" s="6" t="inlineStr">
        <is>
          <t>https://www.farmacity.com/acondicionador-tio-nacho-aclarante-x-415-ml/p</t>
        </is>
      </c>
    </row>
    <row r="649">
      <c r="A649" t="inlineStr">
        <is>
          <t>Farmacity</t>
        </is>
      </c>
      <c r="B649" t="n">
        <v>225535</v>
      </c>
      <c r="C649" t="n">
        <v>225535</v>
      </c>
      <c r="D649" t="inlineStr">
        <is>
          <t>Acondicionador Bagóvit Capilar Nutrición x 350 ml</t>
        </is>
      </c>
      <c r="E649" t="inlineStr">
        <is>
          <t>Bagóvit</t>
        </is>
      </c>
      <c r="F649" t="n">
        <v>9973</v>
      </c>
      <c r="G649" t="n">
        <v>9973</v>
      </c>
      <c r="H649" t="b">
        <v>1</v>
      </c>
      <c r="I649" t="n">
        <v>350</v>
      </c>
      <c r="J649" t="n">
        <v>28.4943</v>
      </c>
      <c r="K649" t="inlineStr">
        <is>
          <t>&gt; Cuidado Capilar &gt; Shampoo Y Acondicionador &gt;</t>
        </is>
      </c>
      <c r="L649" t="inlineStr">
        <is>
          <t>acondicionador</t>
        </is>
      </c>
      <c r="M649" t="inlineStr">
        <is>
          <t>estandar</t>
        </is>
      </c>
      <c r="N649" t="inlineStr">
        <is>
          <t>general</t>
        </is>
      </c>
      <c r="O649" t="inlineStr">
        <is>
          <t>https://www.farmacity.com/acondicionador-bagovit-capilar-nutricion-profunda-x-350-ml/p</t>
        </is>
      </c>
    </row>
    <row r="650">
      <c r="A650" s="6" t="inlineStr">
        <is>
          <t>Farmacity</t>
        </is>
      </c>
      <c r="B650" s="6" t="n">
        <v>200788</v>
      </c>
      <c r="C650" s="6" t="n">
        <v>200788</v>
      </c>
      <c r="D650" s="6" t="inlineStr">
        <is>
          <t>Acondicionador Fructis Liso Coco x 350 ml</t>
        </is>
      </c>
      <c r="E650" s="6" t="inlineStr">
        <is>
          <t>Fructis</t>
        </is>
      </c>
      <c r="F650" s="6" t="n">
        <v>7990</v>
      </c>
      <c r="G650" s="6" t="n">
        <v>7990</v>
      </c>
      <c r="H650" s="6" t="b">
        <v>1</v>
      </c>
      <c r="I650" s="6" t="n">
        <v>350</v>
      </c>
      <c r="J650" s="6" t="n">
        <v>22.8286</v>
      </c>
      <c r="K650" s="6" t="inlineStr">
        <is>
          <t>&gt; Cuidado Capilar &gt; Shampoo Y Acondicionador &gt;</t>
        </is>
      </c>
      <c r="L650" s="6" t="inlineStr">
        <is>
          <t>acondicionador</t>
        </is>
      </c>
      <c r="M650" s="6" t="inlineStr">
        <is>
          <t>estandar</t>
        </is>
      </c>
      <c r="N650" s="6" t="inlineStr">
        <is>
          <t>general</t>
        </is>
      </c>
      <c r="O650" s="6" t="inlineStr">
        <is>
          <t>https://www.farmacity.com/acondicionador-fructis-liso-coco-x-350-ml/p</t>
        </is>
      </c>
    </row>
    <row r="651">
      <c r="A651" t="inlineStr">
        <is>
          <t>Farmacity</t>
        </is>
      </c>
      <c r="B651" t="n">
        <v>15062</v>
      </c>
      <c r="C651" t="n">
        <v>34403</v>
      </c>
      <c r="D651" t="inlineStr">
        <is>
          <t>Acondicionador Aveno Restaurador Capilar x 250 ml</t>
        </is>
      </c>
      <c r="E651" t="inlineStr">
        <is>
          <t>Aveno</t>
        </is>
      </c>
      <c r="F651" t="n">
        <v>22398</v>
      </c>
      <c r="G651" t="n">
        <v>29864</v>
      </c>
      <c r="H651" t="b">
        <v>1</v>
      </c>
      <c r="I651" t="n">
        <v>250</v>
      </c>
      <c r="J651" t="n">
        <v>89.592</v>
      </c>
      <c r="K651" t="inlineStr">
        <is>
          <t>&gt; Cuidado Capilar &gt; Shampoo Y Acondicionador &gt;</t>
        </is>
      </c>
      <c r="L651" t="inlineStr">
        <is>
          <t>acondicionador</t>
        </is>
      </c>
      <c r="M651" t="inlineStr">
        <is>
          <t>estandar</t>
        </is>
      </c>
      <c r="N651" t="inlineStr">
        <is>
          <t>general</t>
        </is>
      </c>
      <c r="O651" t="inlineStr">
        <is>
          <t>https://www.farmacity.com/acondicionador-reactivo-hidratante-y-emoliente-x-250-ml/p</t>
        </is>
      </c>
    </row>
    <row r="652">
      <c r="A652" s="6" t="inlineStr">
        <is>
          <t>Farmacity</t>
        </is>
      </c>
      <c r="B652" s="6" t="n">
        <v>8876</v>
      </c>
      <c r="C652" s="6" t="n">
        <v>156328</v>
      </c>
      <c r="D652" s="6" t="inlineStr">
        <is>
          <t>Acondicionador Sedal Rizos Definidos x 340 ml</t>
        </is>
      </c>
      <c r="E652" s="6" t="inlineStr">
        <is>
          <t>Sedal</t>
        </is>
      </c>
      <c r="F652" s="6" t="n">
        <v>5836</v>
      </c>
      <c r="G652" s="6" t="n">
        <v>5836</v>
      </c>
      <c r="H652" s="6" t="b">
        <v>1</v>
      </c>
      <c r="I652" s="6" t="n">
        <v>340</v>
      </c>
      <c r="J652" s="6" t="n">
        <v>17.1647</v>
      </c>
      <c r="K652" s="6" t="inlineStr">
        <is>
          <t>&gt; Cuidado Capilar &gt; Shampoo Y Acondicionador &gt;</t>
        </is>
      </c>
      <c r="L652" s="6" t="inlineStr">
        <is>
          <t>acondicionador</t>
        </is>
      </c>
      <c r="M652" s="6" t="inlineStr">
        <is>
          <t>estandar</t>
        </is>
      </c>
      <c r="N652" s="6" t="inlineStr">
        <is>
          <t>rizado</t>
        </is>
      </c>
      <c r="O652" s="6" t="inlineStr">
        <is>
          <t>https://www.farmacity.com/acondicionador-rizos-definidos-botella-x-340-ml/p</t>
        </is>
      </c>
    </row>
    <row r="653">
      <c r="A653" t="inlineStr">
        <is>
          <t>Farmacity</t>
        </is>
      </c>
      <c r="B653" t="n">
        <v>701</v>
      </c>
      <c r="C653" t="n">
        <v>132367</v>
      </c>
      <c r="D653" t="inlineStr">
        <is>
          <t>Acondicionador Dove Nutrición + Tri-Óleos x 200 ml</t>
        </is>
      </c>
      <c r="E653" t="inlineStr">
        <is>
          <t>Dove</t>
        </is>
      </c>
      <c r="F653" t="n">
        <v>5788</v>
      </c>
      <c r="G653" t="n">
        <v>5788</v>
      </c>
      <c r="H653" t="b">
        <v>1</v>
      </c>
      <c r="I653" t="n">
        <v>200</v>
      </c>
      <c r="J653" t="n">
        <v>28.94</v>
      </c>
      <c r="K653" t="inlineStr">
        <is>
          <t>&gt; Cuidado Capilar &gt; Shampoo Y Acondicionador &gt;</t>
        </is>
      </c>
      <c r="L653" t="inlineStr">
        <is>
          <t>acondicionador</t>
        </is>
      </c>
      <c r="M653" t="inlineStr">
        <is>
          <t>estandar</t>
        </is>
      </c>
      <c r="N653" t="inlineStr">
        <is>
          <t>general</t>
        </is>
      </c>
      <c r="O653" t="inlineStr">
        <is>
          <t>https://www.farmacity.com/acondicionador-dove-oleo-nutricion-botella-x-200-ml/p</t>
        </is>
      </c>
    </row>
    <row r="654">
      <c r="A654" s="6" t="inlineStr">
        <is>
          <t>Farmacity</t>
        </is>
      </c>
      <c r="B654" s="6" t="n">
        <v>398</v>
      </c>
      <c r="C654" s="6" t="n">
        <v>45397</v>
      </c>
      <c r="D654" s="6" t="inlineStr">
        <is>
          <t>Acondicionador para Bebé Johnson's Cabello Claro x 200 ml</t>
        </is>
      </c>
      <c r="E654" s="6" t="inlineStr">
        <is>
          <t>Johnson's</t>
        </is>
      </c>
      <c r="F654" s="6" t="n">
        <v>5018</v>
      </c>
      <c r="G654" s="6" t="n">
        <v>7168</v>
      </c>
      <c r="H654" s="6" t="b">
        <v>1</v>
      </c>
      <c r="I654" s="6" t="n">
        <v>200</v>
      </c>
      <c r="J654" s="6" t="n">
        <v>25.09</v>
      </c>
      <c r="K654" s="6" t="inlineStr">
        <is>
          <t>&gt; Bebés &gt; Higiene del Bebé &gt; Baño Del Bebé &gt;</t>
        </is>
      </c>
      <c r="L654" s="6" t="inlineStr">
        <is>
          <t>acondicionador</t>
        </is>
      </c>
      <c r="M654" s="6" t="inlineStr">
        <is>
          <t>estandar</t>
        </is>
      </c>
      <c r="N654" s="6" t="inlineStr">
        <is>
          <t>bebe</t>
        </is>
      </c>
      <c r="O654" s="6" t="inlineStr">
        <is>
          <t>https://www.farmacity.com/acondicionador-para-bebe-cabello-claro-x-200-ml/p</t>
        </is>
      </c>
    </row>
    <row r="655">
      <c r="A655" t="inlineStr">
        <is>
          <t>Farmacity</t>
        </is>
      </c>
      <c r="B655" t="n">
        <v>244</v>
      </c>
      <c r="C655" t="n">
        <v>126742</v>
      </c>
      <c r="D655" t="inlineStr">
        <is>
          <t>Acondicionador para Bebé Johnson's Original x 200 ml</t>
        </is>
      </c>
      <c r="E655" t="inlineStr">
        <is>
          <t>Johnson's</t>
        </is>
      </c>
      <c r="F655" t="n">
        <v>5018</v>
      </c>
      <c r="G655" t="n">
        <v>7168</v>
      </c>
      <c r="H655" t="b">
        <v>1</v>
      </c>
      <c r="I655" t="n">
        <v>200</v>
      </c>
      <c r="J655" t="n">
        <v>25.09</v>
      </c>
      <c r="K655" t="inlineStr">
        <is>
          <t>&gt; Bebés &gt; Higiene del Bebé &gt; Baño Del Bebé &gt;</t>
        </is>
      </c>
      <c r="L655" t="inlineStr">
        <is>
          <t>acondicionador</t>
        </is>
      </c>
      <c r="M655" t="inlineStr">
        <is>
          <t>estandar</t>
        </is>
      </c>
      <c r="N655" t="inlineStr">
        <is>
          <t>bebe</t>
        </is>
      </c>
      <c r="O655" t="inlineStr">
        <is>
          <t>https://www.farmacity.com/acondicionardor-para-bebe-johnsons-original-x-200-ml/p</t>
        </is>
      </c>
    </row>
    <row r="656">
      <c r="A656" s="6" t="inlineStr">
        <is>
          <t>Farmacity</t>
        </is>
      </c>
      <c r="B656" s="6" t="n">
        <v>243573</v>
      </c>
      <c r="C656" s="6" t="n">
        <v>243573</v>
      </c>
      <c r="D656" s="6" t="inlineStr">
        <is>
          <t>Acondicionador Sedal Luminous UV x 340 ml</t>
        </is>
      </c>
      <c r="E656" s="6" t="inlineStr">
        <is>
          <t>Sedal</t>
        </is>
      </c>
      <c r="F656" s="6" t="n">
        <v>5837</v>
      </c>
      <c r="G656" s="6" t="n">
        <v>5837</v>
      </c>
      <c r="H656" s="6" t="b">
        <v>1</v>
      </c>
      <c r="I656" s="6" t="n">
        <v>340</v>
      </c>
      <c r="J656" s="6" t="n">
        <v>17.1676</v>
      </c>
      <c r="K656" s="6" t="inlineStr">
        <is>
          <t>&gt; Cuidado Capilar &gt; Shampoo Y Acondicionador &gt;</t>
        </is>
      </c>
      <c r="L656" s="6" t="inlineStr">
        <is>
          <t>acondicionador</t>
        </is>
      </c>
      <c r="M656" s="6" t="inlineStr">
        <is>
          <t>estandar</t>
        </is>
      </c>
      <c r="N656" s="6" t="inlineStr">
        <is>
          <t>general</t>
        </is>
      </c>
      <c r="O656" s="6" t="inlineStr">
        <is>
          <t>https://www.farmacity.com/acondicionador-sedal-luminous-uv-x-340-ml/p</t>
        </is>
      </c>
    </row>
    <row r="657">
      <c r="A657" t="inlineStr">
        <is>
          <t>Farmacity</t>
        </is>
      </c>
      <c r="B657" t="n">
        <v>239424</v>
      </c>
      <c r="C657" t="n">
        <v>239424</v>
      </c>
      <c r="D657" t="inlineStr">
        <is>
          <t>Acondicionador Tío Nacho Henna Egipcia Efecto Anti Canas x 415 ml</t>
        </is>
      </c>
      <c r="E657" t="inlineStr">
        <is>
          <t>Tío Nacho</t>
        </is>
      </c>
      <c r="F657" t="n">
        <v>8225</v>
      </c>
      <c r="G657" t="n">
        <v>11750</v>
      </c>
      <c r="H657" t="b">
        <v>1</v>
      </c>
      <c r="I657" t="n">
        <v>415</v>
      </c>
      <c r="J657" t="n">
        <v>19.8193</v>
      </c>
      <c r="K657" t="inlineStr">
        <is>
          <t>&gt; Cuidado Capilar &gt; Shampoo Y Acondicionador &gt;</t>
        </is>
      </c>
      <c r="L657" t="inlineStr">
        <is>
          <t>acondicionador</t>
        </is>
      </c>
      <c r="M657" t="inlineStr">
        <is>
          <t>estandar</t>
        </is>
      </c>
      <c r="N657" t="inlineStr">
        <is>
          <t>general</t>
        </is>
      </c>
      <c r="O657" t="inlineStr">
        <is>
          <t>https://www.farmacity.com/acondicionador-tio-nacho-anticanas-x-415-ml/p</t>
        </is>
      </c>
    </row>
    <row r="658">
      <c r="A658" s="6" t="inlineStr">
        <is>
          <t>Farmacity</t>
        </is>
      </c>
      <c r="B658" s="6" t="n">
        <v>238876</v>
      </c>
      <c r="C658" s="6" t="n">
        <v>238876</v>
      </c>
      <c r="D658" s="6" t="inlineStr">
        <is>
          <t>Acondicionador Pantene Pro-V Miracles Volumen x 750 ml</t>
        </is>
      </c>
      <c r="E658" s="6" t="inlineStr">
        <is>
          <t>Pantene</t>
        </is>
      </c>
      <c r="F658" s="6" t="n">
        <v>16733</v>
      </c>
      <c r="G658" s="6" t="n">
        <v>16733</v>
      </c>
      <c r="H658" s="6" t="b">
        <v>1</v>
      </c>
      <c r="I658" s="6" t="n">
        <v>750</v>
      </c>
      <c r="J658" s="6" t="n">
        <v>22.3107</v>
      </c>
      <c r="K658" s="6" t="inlineStr">
        <is>
          <t>&gt; Cuidado Capilar &gt; Shampoo Y Acondicionador &gt;</t>
        </is>
      </c>
      <c r="L658" s="6" t="inlineStr">
        <is>
          <t>acondicionador</t>
        </is>
      </c>
      <c r="M658" s="6" t="inlineStr">
        <is>
          <t>profesional</t>
        </is>
      </c>
      <c r="N658" s="6" t="inlineStr">
        <is>
          <t>general</t>
        </is>
      </c>
      <c r="O658" s="6" t="inlineStr">
        <is>
          <t>https://www.farmacity.com/acondicionador-pantene-pro-v-miracles-volumen-x-750-ml/p</t>
        </is>
      </c>
    </row>
    <row r="659">
      <c r="A659" t="inlineStr">
        <is>
          <t>Farmacity</t>
        </is>
      </c>
      <c r="B659" t="n">
        <v>234284</v>
      </c>
      <c r="C659" t="n">
        <v>234284</v>
      </c>
      <c r="D659" t="inlineStr">
        <is>
          <t>Acondicionador Pantene Pro-V Miracles Hidratante 200 ml</t>
        </is>
      </c>
      <c r="E659" t="inlineStr">
        <is>
          <t>Pantene</t>
        </is>
      </c>
      <c r="F659" t="n">
        <v>3807</v>
      </c>
      <c r="G659" t="n">
        <v>6345</v>
      </c>
      <c r="H659" t="b">
        <v>1</v>
      </c>
      <c r="I659" t="n">
        <v>200</v>
      </c>
      <c r="J659" t="n">
        <v>19.035</v>
      </c>
      <c r="K659" t="inlineStr">
        <is>
          <t>&gt; Cuidado Capilar &gt; Shampoo Y Acondicionador &gt;</t>
        </is>
      </c>
      <c r="L659" t="inlineStr">
        <is>
          <t>acondicionador</t>
        </is>
      </c>
      <c r="M659" t="inlineStr">
        <is>
          <t>profesional</t>
        </is>
      </c>
      <c r="N659" t="inlineStr">
        <is>
          <t>seco_danado</t>
        </is>
      </c>
      <c r="O659" t="inlineStr">
        <is>
          <t>https://www.farmacity.com/acondicionador-pantene-pro-v-miracles-hidrata-y-fortalece-x-200-ml/p</t>
        </is>
      </c>
    </row>
    <row r="660">
      <c r="A660" s="6" t="inlineStr">
        <is>
          <t>Farmacity</t>
        </is>
      </c>
      <c r="B660" s="6" t="n">
        <v>8873</v>
      </c>
      <c r="C660" s="6" t="n">
        <v>156290</v>
      </c>
      <c r="D660" s="6" t="inlineStr">
        <is>
          <t>Acondicionador Sedal Ceramidas x 190 ml</t>
        </is>
      </c>
      <c r="E660" s="6" t="inlineStr">
        <is>
          <t>Sedal</t>
        </is>
      </c>
      <c r="F660" s="6" t="n">
        <v>3907</v>
      </c>
      <c r="G660" s="6" t="n">
        <v>3907</v>
      </c>
      <c r="H660" s="6" t="b">
        <v>1</v>
      </c>
      <c r="I660" s="6" t="n">
        <v>190</v>
      </c>
      <c r="J660" s="6" t="n">
        <v>20.5632</v>
      </c>
      <c r="K660" s="6" t="inlineStr">
        <is>
          <t>&gt; Cuidado Capilar &gt; Shampoo Y Acondicionador &gt;</t>
        </is>
      </c>
      <c r="L660" s="6" t="inlineStr">
        <is>
          <t>acondicionador</t>
        </is>
      </c>
      <c r="M660" s="6" t="inlineStr">
        <is>
          <t>estandar</t>
        </is>
      </c>
      <c r="N660" s="6" t="inlineStr">
        <is>
          <t>general</t>
        </is>
      </c>
      <c r="O660" s="6" t="inlineStr">
        <is>
          <t>https://www.farmacity.com/acondicionador-ceramidas-x-190-ml/p</t>
        </is>
      </c>
    </row>
    <row r="661">
      <c r="A661" t="inlineStr">
        <is>
          <t>Farmacity</t>
        </is>
      </c>
      <c r="B661" t="n">
        <v>3842</v>
      </c>
      <c r="C661" t="n">
        <v>137317</v>
      </c>
      <c r="D661" t="inlineStr">
        <is>
          <t>Acondicionador con Keratina x 350 ml</t>
        </is>
      </c>
      <c r="E661" t="inlineStr">
        <is>
          <t>Capilatis</t>
        </is>
      </c>
      <c r="F661" t="n">
        <v>9900</v>
      </c>
      <c r="G661" t="n">
        <v>9900</v>
      </c>
      <c r="H661" t="b">
        <v>1</v>
      </c>
      <c r="I661" t="n">
        <v>350</v>
      </c>
      <c r="J661" t="n">
        <v>28.2857</v>
      </c>
      <c r="K661" t="inlineStr">
        <is>
          <t>&gt; Cuidado Capilar &gt; Shampoo Y Acondicionador &gt;</t>
        </is>
      </c>
      <c r="L661" t="inlineStr">
        <is>
          <t>acondicionador</t>
        </is>
      </c>
      <c r="M661" t="inlineStr">
        <is>
          <t>estandar</t>
        </is>
      </c>
      <c r="N661" t="inlineStr">
        <is>
          <t>tratado</t>
        </is>
      </c>
      <c r="O661" t="inlineStr">
        <is>
          <t>https://www.farmacity.com/acondicionador-con-keratina-x-350-ml/p</t>
        </is>
      </c>
    </row>
    <row r="662">
      <c r="A662" s="6" t="inlineStr">
        <is>
          <t>Farmacity</t>
        </is>
      </c>
      <c r="B662" s="6" t="n">
        <v>232723</v>
      </c>
      <c r="C662" s="6" t="n">
        <v>232723</v>
      </c>
      <c r="D662" s="6" t="inlineStr">
        <is>
          <t>Acondicionador Capilatis Natural Nutritivo x 420 ml</t>
        </is>
      </c>
      <c r="E662" s="6" t="inlineStr">
        <is>
          <t>Capilatis</t>
        </is>
      </c>
      <c r="F662" s="6" t="n">
        <v>9700</v>
      </c>
      <c r="G662" s="6" t="n">
        <v>9700</v>
      </c>
      <c r="H662" s="6" t="b">
        <v>1</v>
      </c>
      <c r="I662" s="6" t="n">
        <v>420</v>
      </c>
      <c r="J662" s="6" t="n">
        <v>23.0952</v>
      </c>
      <c r="K662" s="6" t="inlineStr">
        <is>
          <t>&gt; Cuidado Capilar &gt; Shampoo Y Acondicionador &gt;</t>
        </is>
      </c>
      <c r="L662" s="6" t="inlineStr">
        <is>
          <t>acondicionador</t>
        </is>
      </c>
      <c r="M662" s="6" t="inlineStr">
        <is>
          <t>estandar</t>
        </is>
      </c>
      <c r="N662" s="6" t="inlineStr">
        <is>
          <t>general</t>
        </is>
      </c>
      <c r="O662" s="6" t="inlineStr">
        <is>
          <t>https://www.farmacity.com/acondicionador-capilatis-natural-nutritivo-x-420-ml/p</t>
        </is>
      </c>
    </row>
    <row r="663">
      <c r="A663" t="inlineStr">
        <is>
          <t>Farmacity</t>
        </is>
      </c>
      <c r="B663" t="n">
        <v>220327</v>
      </c>
      <c r="C663" t="n">
        <v>220327</v>
      </c>
      <c r="D663" t="inlineStr">
        <is>
          <t>Acondicionador Pantene Brillo Extremo x 200 ml</t>
        </is>
      </c>
      <c r="E663" t="inlineStr">
        <is>
          <t>Pantene</t>
        </is>
      </c>
      <c r="F663" t="n">
        <v>4697</v>
      </c>
      <c r="G663" t="n">
        <v>4697</v>
      </c>
      <c r="H663" t="b">
        <v>1</v>
      </c>
      <c r="I663" t="n">
        <v>200</v>
      </c>
      <c r="J663" t="n">
        <v>23.485</v>
      </c>
      <c r="K663" t="inlineStr">
        <is>
          <t>&gt; Cuidado Capilar &gt; Shampoo Y Acondicionador &gt;</t>
        </is>
      </c>
      <c r="L663" t="inlineStr">
        <is>
          <t>acondicionador</t>
        </is>
      </c>
      <c r="M663" t="inlineStr">
        <is>
          <t>estandar</t>
        </is>
      </c>
      <c r="N663" t="inlineStr">
        <is>
          <t>general</t>
        </is>
      </c>
      <c r="O663" t="inlineStr">
        <is>
          <t>https://www.farmacity.com/acondicionador-pantene-miracle-brillo-extremo-x-200-ml/p</t>
        </is>
      </c>
    </row>
    <row r="664">
      <c r="A664" s="6" t="inlineStr">
        <is>
          <t>Farmacity</t>
        </is>
      </c>
      <c r="B664" s="6" t="n">
        <v>215073</v>
      </c>
      <c r="C664" s="6" t="n">
        <v>215073</v>
      </c>
      <c r="D664" s="6" t="inlineStr">
        <is>
          <t>Acondicionador Dove Regeneración + Retinol x 200 ml</t>
        </is>
      </c>
      <c r="E664" s="6" t="inlineStr">
        <is>
          <t>Dove</t>
        </is>
      </c>
      <c r="F664" s="6" t="n">
        <v>5788</v>
      </c>
      <c r="G664" s="6" t="n">
        <v>5788</v>
      </c>
      <c r="H664" s="6" t="b">
        <v>1</v>
      </c>
      <c r="I664" s="6" t="n">
        <v>200</v>
      </c>
      <c r="J664" s="6" t="n">
        <v>28.94</v>
      </c>
      <c r="K664" s="6" t="inlineStr">
        <is>
          <t>&gt; Cuidado Capilar &gt; Shampoo Y Acondicionador &gt;</t>
        </is>
      </c>
      <c r="L664" s="6" t="inlineStr">
        <is>
          <t>acondicionador</t>
        </is>
      </c>
      <c r="M664" s="6" t="inlineStr">
        <is>
          <t>estandar</t>
        </is>
      </c>
      <c r="N664" s="6" t="inlineStr">
        <is>
          <t>general</t>
        </is>
      </c>
      <c r="O664" s="6" t="inlineStr">
        <is>
          <t>https://www.farmacity.com/acondicionador-dove-regeneracion-extrema-x-200-ml/p</t>
        </is>
      </c>
    </row>
    <row r="665">
      <c r="A665" t="inlineStr">
        <is>
          <t>Farmacity</t>
        </is>
      </c>
      <c r="B665" t="n">
        <v>8849</v>
      </c>
      <c r="C665" t="n">
        <v>156327</v>
      </c>
      <c r="D665" t="inlineStr">
        <is>
          <t>Acondicionador Sedal Restauración Instantánea x 340 ml</t>
        </is>
      </c>
      <c r="E665" t="inlineStr">
        <is>
          <t>Sedal</t>
        </is>
      </c>
      <c r="F665" t="n">
        <v>5836</v>
      </c>
      <c r="G665" t="n">
        <v>5836</v>
      </c>
      <c r="H665" t="b">
        <v>1</v>
      </c>
      <c r="I665" t="n">
        <v>340</v>
      </c>
      <c r="J665" t="n">
        <v>17.1647</v>
      </c>
      <c r="K665" t="inlineStr">
        <is>
          <t>&gt; Cuidado Capilar &gt; Shampoo Y Acondicionador &gt;</t>
        </is>
      </c>
      <c r="L665" t="inlineStr">
        <is>
          <t>acondicionador</t>
        </is>
      </c>
      <c r="M665" t="inlineStr">
        <is>
          <t>estandar</t>
        </is>
      </c>
      <c r="N665" t="inlineStr">
        <is>
          <t>general</t>
        </is>
      </c>
      <c r="O665" t="inlineStr">
        <is>
          <t>https://www.farmacity.com/acondicionador-sedal-restauracion-instantanea-botella-x-340-ml/p</t>
        </is>
      </c>
    </row>
    <row r="666">
      <c r="A666" s="6" t="inlineStr">
        <is>
          <t>Farmacity</t>
        </is>
      </c>
      <c r="B666" s="6" t="n">
        <v>250129</v>
      </c>
      <c r="C666" s="6" t="n">
        <v>250129</v>
      </c>
      <c r="D666" s="6" t="inlineStr">
        <is>
          <t>Acondicionador Dove Regeneración + Retinol x 650 ml</t>
        </is>
      </c>
      <c r="E666" s="6" t="inlineStr">
        <is>
          <t>Dove</t>
        </is>
      </c>
      <c r="F666" s="6" t="n">
        <v>16218</v>
      </c>
      <c r="G666" s="6" t="n">
        <v>16218</v>
      </c>
      <c r="H666" s="6" t="b">
        <v>1</v>
      </c>
      <c r="I666" s="6" t="n">
        <v>650</v>
      </c>
      <c r="J666" s="6" t="n">
        <v>24.9508</v>
      </c>
      <c r="K666" s="6" t="inlineStr">
        <is>
          <t>&gt; Cuidado Capilar &gt; Shampoo Y Acondicionador &gt;</t>
        </is>
      </c>
      <c r="L666" s="6" t="inlineStr">
        <is>
          <t>acondicionador</t>
        </is>
      </c>
      <c r="M666" s="6" t="inlineStr">
        <is>
          <t>estandar</t>
        </is>
      </c>
      <c r="N666" s="6" t="inlineStr">
        <is>
          <t>general</t>
        </is>
      </c>
      <c r="O666" s="6" t="inlineStr">
        <is>
          <t>https://www.farmacity.com/acondicionador-dove-regeneracion-retinol-x-650-ml/p</t>
        </is>
      </c>
    </row>
    <row r="667">
      <c r="A667" t="inlineStr">
        <is>
          <t>Farmacity</t>
        </is>
      </c>
      <c r="B667" t="n">
        <v>249903</v>
      </c>
      <c r="C667" t="n">
        <v>249903</v>
      </c>
      <c r="D667" t="inlineStr">
        <is>
          <t>Acondicionador Primont Signature con Trufa Negra x 300 ml</t>
        </is>
      </c>
      <c r="E667" t="inlineStr">
        <is>
          <t>Primont</t>
        </is>
      </c>
      <c r="F667" t="n">
        <v>24783</v>
      </c>
      <c r="G667" t="n">
        <v>24783</v>
      </c>
      <c r="H667" t="b">
        <v>1</v>
      </c>
      <c r="I667" t="n">
        <v>300</v>
      </c>
      <c r="J667" t="n">
        <v>82.61</v>
      </c>
      <c r="K667" t="inlineStr">
        <is>
          <t>&gt; Cuidado Capilar &gt; Shampoo Y Acondicionador &gt;</t>
        </is>
      </c>
      <c r="L667" t="inlineStr">
        <is>
          <t>acondicionador</t>
        </is>
      </c>
      <c r="M667" t="inlineStr">
        <is>
          <t>estandar</t>
        </is>
      </c>
      <c r="N667" t="inlineStr">
        <is>
          <t>general</t>
        </is>
      </c>
      <c r="O667" t="inlineStr">
        <is>
          <t>https://www.farmacity.com/acondicionador-primont-signature-con-trufa-negra-x-300-ml/p</t>
        </is>
      </c>
    </row>
    <row r="668">
      <c r="A668" s="6" t="inlineStr">
        <is>
          <t>Farmacity</t>
        </is>
      </c>
      <c r="B668" s="6" t="n">
        <v>248331</v>
      </c>
      <c r="C668" s="6" t="n">
        <v>248331</v>
      </c>
      <c r="D668" s="6" t="inlineStr">
        <is>
          <t>Acondicionador Ice Professional Keep My Blonde x 250 ml</t>
        </is>
      </c>
      <c r="E668" s="6" t="inlineStr">
        <is>
          <t>Ice</t>
        </is>
      </c>
      <c r="F668" s="6" t="n">
        <v>17500</v>
      </c>
      <c r="G668" s="6" t="n">
        <v>25000</v>
      </c>
      <c r="H668" s="6" t="b">
        <v>1</v>
      </c>
      <c r="I668" s="6" t="n">
        <v>250</v>
      </c>
      <c r="J668" s="6" t="n">
        <v>70</v>
      </c>
      <c r="K668" s="6" t="inlineStr">
        <is>
          <t>&gt; Cuidado Capilar &gt; Shampoo Y Acondicionador &gt;</t>
        </is>
      </c>
      <c r="L668" s="6" t="inlineStr">
        <is>
          <t>acondicionador</t>
        </is>
      </c>
      <c r="M668" s="6" t="inlineStr">
        <is>
          <t>profesional</t>
        </is>
      </c>
      <c r="N668" s="6" t="inlineStr">
        <is>
          <t>general</t>
        </is>
      </c>
      <c r="O668" s="6" t="inlineStr">
        <is>
          <t>https://www.farmacity.com/acondicionador-ice-professional-keep-my-blonde-x-250-ml/p</t>
        </is>
      </c>
    </row>
    <row r="669">
      <c r="A669" t="inlineStr">
        <is>
          <t>Farmacity</t>
        </is>
      </c>
      <c r="B669" t="n">
        <v>244971</v>
      </c>
      <c r="C669" t="n">
        <v>244971</v>
      </c>
      <c r="D669" t="inlineStr">
        <is>
          <t>Acondicionador Capilatis Ortiga Mujer x 350 ml</t>
        </is>
      </c>
      <c r="E669" t="inlineStr">
        <is>
          <t>Capilatis</t>
        </is>
      </c>
      <c r="F669" t="n">
        <v>13000</v>
      </c>
      <c r="G669" t="n">
        <v>13000</v>
      </c>
      <c r="H669" t="b">
        <v>1</v>
      </c>
      <c r="I669" t="n">
        <v>350</v>
      </c>
      <c r="J669" t="n">
        <v>37.1429</v>
      </c>
      <c r="K669" t="inlineStr">
        <is>
          <t>&gt; Cuidado Capilar &gt; Shampoo Y Acondicionador &gt;</t>
        </is>
      </c>
      <c r="L669" t="inlineStr">
        <is>
          <t>acondicionador</t>
        </is>
      </c>
      <c r="M669" t="inlineStr">
        <is>
          <t>estandar</t>
        </is>
      </c>
      <c r="N669" t="inlineStr">
        <is>
          <t>general</t>
        </is>
      </c>
      <c r="O669" t="inlineStr">
        <is>
          <t>https://www.farmacity.com/acondicionador-ortiga-capilatis-mujer-x-350-ml/p</t>
        </is>
      </c>
    </row>
    <row r="670">
      <c r="A670" s="6" t="inlineStr">
        <is>
          <t>Farmacity</t>
        </is>
      </c>
      <c r="B670" s="6" t="n">
        <v>238877</v>
      </c>
      <c r="C670" s="6" t="n">
        <v>238877</v>
      </c>
      <c r="D670" s="6" t="inlineStr">
        <is>
          <t>Acondicionador Pantene Pro-V Miracles Volumen x 200 ml</t>
        </is>
      </c>
      <c r="E670" s="6" t="inlineStr">
        <is>
          <t>Pantene</t>
        </is>
      </c>
      <c r="F670" s="6" t="n">
        <v>3807</v>
      </c>
      <c r="G670" s="6" t="n">
        <v>6345</v>
      </c>
      <c r="H670" s="6" t="b">
        <v>1</v>
      </c>
      <c r="I670" s="6" t="n">
        <v>200</v>
      </c>
      <c r="J670" s="6" t="n">
        <v>19.035</v>
      </c>
      <c r="K670" s="6" t="inlineStr">
        <is>
          <t>&gt; Cuidado Capilar &gt; Shampoo Y Acondicionador &gt;</t>
        </is>
      </c>
      <c r="L670" s="6" t="inlineStr">
        <is>
          <t>acondicionador</t>
        </is>
      </c>
      <c r="M670" s="6" t="inlineStr">
        <is>
          <t>profesional</t>
        </is>
      </c>
      <c r="N670" s="6" t="inlineStr">
        <is>
          <t>general</t>
        </is>
      </c>
      <c r="O670" s="6" t="inlineStr">
        <is>
          <t>https://www.farmacity.com/acondicionador-pantene-pro-v-miracles-volumen-x-200-ml/p</t>
        </is>
      </c>
    </row>
    <row r="671">
      <c r="A671" t="inlineStr">
        <is>
          <t>Farmacity</t>
        </is>
      </c>
      <c r="B671" t="n">
        <v>230668</v>
      </c>
      <c r="C671" t="n">
        <v>230668</v>
      </c>
      <c r="D671" t="inlineStr">
        <is>
          <t>Acondicionador Veganis Double Trouble Ácido Hialurónico x 400 ml</t>
        </is>
      </c>
      <c r="E671" t="inlineStr">
        <is>
          <t>Veganis</t>
        </is>
      </c>
      <c r="F671" t="n">
        <v>14616</v>
      </c>
      <c r="G671" t="n">
        <v>14616</v>
      </c>
      <c r="H671" t="b">
        <v>1</v>
      </c>
      <c r="I671" t="n">
        <v>400</v>
      </c>
      <c r="J671" t="n">
        <v>36.54</v>
      </c>
      <c r="K671" t="inlineStr">
        <is>
          <t>&gt; Cuidado Capilar &gt; Shampoo Y Acondicionador &gt;</t>
        </is>
      </c>
      <c r="L671" t="inlineStr">
        <is>
          <t>acondicionador</t>
        </is>
      </c>
      <c r="M671" t="inlineStr">
        <is>
          <t>estandar</t>
        </is>
      </c>
      <c r="N671" t="inlineStr">
        <is>
          <t>general</t>
        </is>
      </c>
      <c r="O671" t="inlineStr">
        <is>
          <t>https://www.farmacity.com/acondicionador-veganis-double-troublea-acido-hialuronico-x-400-ml/p</t>
        </is>
      </c>
    </row>
    <row r="672">
      <c r="A672" s="6" t="inlineStr">
        <is>
          <t>Farmacity</t>
        </is>
      </c>
      <c r="B672" s="6" t="n">
        <v>228965</v>
      </c>
      <c r="C672" s="6" t="n">
        <v>228965</v>
      </c>
      <c r="D672" s="6" t="inlineStr">
        <is>
          <t>Acondicionador Solido Ruh Natural x 45 g</t>
        </is>
      </c>
      <c r="E672" s="6" t="inlineStr">
        <is>
          <t>Ruh Natural</t>
        </is>
      </c>
      <c r="F672" s="6" t="n">
        <v>13508</v>
      </c>
      <c r="G672" s="6" t="n">
        <v>13508</v>
      </c>
      <c r="H672" s="6" t="b">
        <v>1</v>
      </c>
      <c r="I672" s="6" t="n">
        <v>45</v>
      </c>
      <c r="J672" s="6" t="n">
        <v>300.1778</v>
      </c>
      <c r="K672" s="6" t="inlineStr">
        <is>
          <t>&gt; Cuidado Capilar &gt; Shampoo Y Acondicionador &gt;</t>
        </is>
      </c>
      <c r="L672" s="6" t="inlineStr">
        <is>
          <t>acondicionador</t>
        </is>
      </c>
      <c r="M672" s="6" t="inlineStr">
        <is>
          <t>estandar</t>
        </is>
      </c>
      <c r="N672" s="6" t="inlineStr">
        <is>
          <t>general</t>
        </is>
      </c>
      <c r="O672" s="6" t="inlineStr">
        <is>
          <t>https://www.farmacity.com/acondicionador-solido-ruh-cabello-x-65-g/p</t>
        </is>
      </c>
    </row>
    <row r="673">
      <c r="A673" t="inlineStr">
        <is>
          <t>Farmacity</t>
        </is>
      </c>
      <c r="B673" t="n">
        <v>224527</v>
      </c>
      <c r="C673" t="n">
        <v>224527</v>
      </c>
      <c r="D673" t="inlineStr">
        <is>
          <t>Acondicionador Anticaida Klorane x 200 ml</t>
        </is>
      </c>
      <c r="E673" t="inlineStr">
        <is>
          <t>Klorane</t>
        </is>
      </c>
      <c r="F673" t="n">
        <v>28700</v>
      </c>
      <c r="G673" t="n">
        <v>41000</v>
      </c>
      <c r="H673" t="b">
        <v>1</v>
      </c>
      <c r="I673" t="n">
        <v>200</v>
      </c>
      <c r="J673" t="n">
        <v>143.5</v>
      </c>
      <c r="K673" t="inlineStr">
        <is>
          <t>&gt; Dermocosmética &gt; Pelo &gt; Shampoos y Acondicionadores &gt;</t>
        </is>
      </c>
      <c r="L673" t="inlineStr">
        <is>
          <t>acondicionador</t>
        </is>
      </c>
      <c r="M673" t="inlineStr">
        <is>
          <t>estandar</t>
        </is>
      </c>
      <c r="N673" t="inlineStr">
        <is>
          <t>general</t>
        </is>
      </c>
      <c r="O673" t="inlineStr">
        <is>
          <t>https://www.farmacity.com/balsamos-capilar-klorane-quinina-x-200-ml/p</t>
        </is>
      </c>
    </row>
    <row r="674">
      <c r="A674" s="6" t="inlineStr">
        <is>
          <t>Farmacity</t>
        </is>
      </c>
      <c r="B674" s="6" t="n">
        <v>221810</v>
      </c>
      <c r="C674" s="6" t="n">
        <v>221810</v>
      </c>
      <c r="D674" s="6" t="inlineStr">
        <is>
          <t>Acondicionador Sedal Hialurónico + Vitamina A x 340 ml</t>
        </is>
      </c>
      <c r="E674" s="6" t="inlineStr">
        <is>
          <t>Sedal</t>
        </is>
      </c>
      <c r="F674" s="6" t="n">
        <v>5841</v>
      </c>
      <c r="G674" s="6" t="n">
        <v>5841</v>
      </c>
      <c r="H674" s="6" t="b">
        <v>1</v>
      </c>
      <c r="I674" s="6" t="n">
        <v>340</v>
      </c>
      <c r="J674" s="6" t="n">
        <v>17.1794</v>
      </c>
      <c r="K674" s="6" t="inlineStr">
        <is>
          <t>&gt; Cuidado Capilar &gt; Shampoo Y Acondicionador &gt;</t>
        </is>
      </c>
      <c r="L674" s="6" t="inlineStr">
        <is>
          <t>acondicionador</t>
        </is>
      </c>
      <c r="M674" s="6" t="inlineStr">
        <is>
          <t>estandar</t>
        </is>
      </c>
      <c r="N674" s="6" t="inlineStr">
        <is>
          <t>general</t>
        </is>
      </c>
      <c r="O674" s="6" t="inlineStr">
        <is>
          <t>https://www.farmacity.com/acondicionador-sedal-acido-hialuronico-vitamina-a-x-340-ml/p</t>
        </is>
      </c>
    </row>
    <row r="675">
      <c r="A675" t="inlineStr">
        <is>
          <t>Farmacity</t>
        </is>
      </c>
      <c r="B675" t="n">
        <v>219383</v>
      </c>
      <c r="C675" t="n">
        <v>219383</v>
      </c>
      <c r="D675" t="inlineStr">
        <is>
          <t>Acondicionador Alta Moda Acqua Shine x 300 ml</t>
        </is>
      </c>
      <c r="E675" t="inlineStr">
        <is>
          <t>Alta Moda</t>
        </is>
      </c>
      <c r="F675" t="n">
        <v>4301</v>
      </c>
      <c r="G675" t="n">
        <v>8602</v>
      </c>
      <c r="H675" t="b">
        <v>1</v>
      </c>
      <c r="I675" t="n">
        <v>300</v>
      </c>
      <c r="J675" t="n">
        <v>14.3367</v>
      </c>
      <c r="K675" t="inlineStr">
        <is>
          <t>&gt; Cuidado Capilar &gt; Shampoo Y Acondicionador &gt;</t>
        </is>
      </c>
      <c r="L675" t="inlineStr">
        <is>
          <t>acondicionador</t>
        </is>
      </c>
      <c r="M675" t="inlineStr">
        <is>
          <t>estandar</t>
        </is>
      </c>
      <c r="N675" t="inlineStr">
        <is>
          <t>general</t>
        </is>
      </c>
      <c r="O675" t="inlineStr">
        <is>
          <t>https://www.farmacity.com/acondicionador-alta-moda-e-vegano-x-300-ml/p</t>
        </is>
      </c>
    </row>
    <row r="676">
      <c r="A676" s="6" t="inlineStr">
        <is>
          <t>Farmacity</t>
        </is>
      </c>
      <c r="B676" s="6" t="n">
        <v>217204</v>
      </c>
      <c r="C676" s="6" t="n">
        <v>217204</v>
      </c>
      <c r="D676" s="6" t="inlineStr">
        <is>
          <t>Acondicionador Fructis Hair Food Banana x 300 ml</t>
        </is>
      </c>
      <c r="E676" s="6" t="inlineStr">
        <is>
          <t>Fructis</t>
        </is>
      </c>
      <c r="F676" s="6" t="n">
        <v>4214</v>
      </c>
      <c r="G676" s="6" t="n">
        <v>8428</v>
      </c>
      <c r="H676" s="6" t="b">
        <v>1</v>
      </c>
      <c r="I676" s="6" t="n">
        <v>300</v>
      </c>
      <c r="J676" s="6" t="n">
        <v>14.0467</v>
      </c>
      <c r="K676" s="6" t="inlineStr">
        <is>
          <t>&gt; Cuidado Capilar &gt; Shampoo Y Acondicionador &gt;</t>
        </is>
      </c>
      <c r="L676" s="6" t="inlineStr">
        <is>
          <t>acondicionador</t>
        </is>
      </c>
      <c r="M676" s="6" t="inlineStr">
        <is>
          <t>estandar</t>
        </is>
      </c>
      <c r="N676" s="6" t="inlineStr">
        <is>
          <t>general</t>
        </is>
      </c>
      <c r="O676" s="6" t="inlineStr">
        <is>
          <t>https://www.farmacity.com/acondicionador-fructis-hair-food-banana-x-300-ml/p</t>
        </is>
      </c>
    </row>
    <row r="677">
      <c r="A677" t="inlineStr">
        <is>
          <t>Farmacity</t>
        </is>
      </c>
      <c r="B677" t="n">
        <v>204195</v>
      </c>
      <c r="C677" t="n">
        <v>204195</v>
      </c>
      <c r="D677" t="inlineStr">
        <is>
          <t>Acondicionador Ayurvédico Sri Sri Tattva Coco x 100 g</t>
        </is>
      </c>
      <c r="E677" t="inlineStr">
        <is>
          <t>Sri Sri Tattva</t>
        </is>
      </c>
      <c r="F677" t="n">
        <v>11799</v>
      </c>
      <c r="G677" t="n">
        <v>11799</v>
      </c>
      <c r="H677" t="b">
        <v>1</v>
      </c>
      <c r="I677" t="n">
        <v>100</v>
      </c>
      <c r="J677" t="n">
        <v>117.99</v>
      </c>
      <c r="K677" t="inlineStr">
        <is>
          <t>&gt; Cuidado Capilar &gt; Shampoo Y Acondicionador &gt;</t>
        </is>
      </c>
      <c r="L677" t="inlineStr">
        <is>
          <t>acondicionador</t>
        </is>
      </c>
      <c r="M677" t="inlineStr">
        <is>
          <t>estandar</t>
        </is>
      </c>
      <c r="N677" t="inlineStr">
        <is>
          <t>general</t>
        </is>
      </c>
      <c r="O677" t="inlineStr">
        <is>
          <t>https://www.farmacity.com/acondicionador-ayurvedico-hidratante-sri-sri-tattva-coco-y-almendras-x-100-g/p</t>
        </is>
      </c>
    </row>
    <row r="678">
      <c r="A678" s="6" t="inlineStr">
        <is>
          <t>Farmacity</t>
        </is>
      </c>
      <c r="B678" s="6" t="n">
        <v>156320</v>
      </c>
      <c r="C678" s="6" t="n">
        <v>156320</v>
      </c>
      <c r="D678" s="6" t="inlineStr">
        <is>
          <t>Acondicionador Sedal Crema Balance Toque Seda x 340 ml</t>
        </is>
      </c>
      <c r="E678" s="6" t="inlineStr">
        <is>
          <t>Sedal</t>
        </is>
      </c>
      <c r="F678" s="6" t="n">
        <v>5836</v>
      </c>
      <c r="G678" s="6" t="n">
        <v>5836</v>
      </c>
      <c r="H678" s="6" t="b">
        <v>1</v>
      </c>
      <c r="I678" s="6" t="n">
        <v>340</v>
      </c>
      <c r="J678" s="6" t="n">
        <v>17.1647</v>
      </c>
      <c r="K678" s="6" t="inlineStr">
        <is>
          <t>&gt; Cuidado Capilar &gt; Shampoo Y Acondicionador &gt;</t>
        </is>
      </c>
      <c r="L678" s="6" t="inlineStr">
        <is>
          <t>acondicionador</t>
        </is>
      </c>
      <c r="M678" s="6" t="inlineStr">
        <is>
          <t>estandar</t>
        </is>
      </c>
      <c r="N678" s="6" t="inlineStr">
        <is>
          <t>general</t>
        </is>
      </c>
      <c r="O678" s="6" t="inlineStr">
        <is>
          <t>https://www.farmacity.com/acondicionador-sedal-crema-balance-x-340-ml/p</t>
        </is>
      </c>
    </row>
    <row r="679">
      <c r="A679" t="inlineStr">
        <is>
          <t>Farmacity</t>
        </is>
      </c>
      <c r="B679" t="n">
        <v>8867</v>
      </c>
      <c r="C679" t="n">
        <v>156325</v>
      </c>
      <c r="D679" t="inlineStr">
        <is>
          <t>Acondicionador Sedal Liso Perfecto x 340 ml</t>
        </is>
      </c>
      <c r="E679" t="inlineStr">
        <is>
          <t>Sedal</t>
        </is>
      </c>
      <c r="F679" t="n">
        <v>5836</v>
      </c>
      <c r="G679" t="n">
        <v>5836</v>
      </c>
      <c r="H679" t="b">
        <v>1</v>
      </c>
      <c r="I679" t="n">
        <v>340</v>
      </c>
      <c r="J679" t="n">
        <v>17.1647</v>
      </c>
      <c r="K679" t="inlineStr">
        <is>
          <t>&gt; Cuidado Capilar &gt; Shampoo Y Acondicionador &gt;</t>
        </is>
      </c>
      <c r="L679" t="inlineStr">
        <is>
          <t>acondicionador</t>
        </is>
      </c>
      <c r="M679" t="inlineStr">
        <is>
          <t>estandar</t>
        </is>
      </c>
      <c r="N679" t="inlineStr">
        <is>
          <t>general</t>
        </is>
      </c>
      <c r="O679" t="inlineStr">
        <is>
          <t>https://www.farmacity.com/acondiciondor-liso-perfecto-x-340-ml/p</t>
        </is>
      </c>
    </row>
    <row r="680">
      <c r="A680" s="6" t="inlineStr">
        <is>
          <t>Farmacity</t>
        </is>
      </c>
      <c r="B680" s="6" t="n">
        <v>244692</v>
      </c>
      <c r="C680" s="6" t="n">
        <v>244692</v>
      </c>
      <c r="D680" s="6" t="inlineStr">
        <is>
          <t>Acondicionador Elvive Dream Liso x 200 ml</t>
        </is>
      </c>
      <c r="E680" s="6" t="inlineStr">
        <is>
          <t>Elvive</t>
        </is>
      </c>
      <c r="F680" s="6" t="n">
        <v>7490</v>
      </c>
      <c r="G680" s="6" t="n">
        <v>7490</v>
      </c>
      <c r="H680" s="6" t="b">
        <v>1</v>
      </c>
      <c r="I680" s="6" t="n">
        <v>200</v>
      </c>
      <c r="J680" s="6" t="n">
        <v>37.45</v>
      </c>
      <c r="K680" s="6" t="inlineStr">
        <is>
          <t>&gt; Cuidado Capilar &gt; Shampoo Y Acondicionador &gt;</t>
        </is>
      </c>
      <c r="L680" s="6" t="inlineStr">
        <is>
          <t>acondicionador</t>
        </is>
      </c>
      <c r="M680" s="6" t="inlineStr">
        <is>
          <t>profesional</t>
        </is>
      </c>
      <c r="N680" s="6" t="inlineStr">
        <is>
          <t>general</t>
        </is>
      </c>
      <c r="O680" s="6" t="inlineStr">
        <is>
          <t>https://www.farmacity.com/acondicionador-elvive-dream-liso-x-200-ml/p</t>
        </is>
      </c>
    </row>
    <row r="681">
      <c r="A681" t="inlineStr">
        <is>
          <t>Farmacity</t>
        </is>
      </c>
      <c r="B681" t="n">
        <v>238885</v>
      </c>
      <c r="C681" t="n">
        <v>238885</v>
      </c>
      <c r="D681" t="inlineStr">
        <is>
          <t>Acondicionador Revitalización Pro-V Miracles x 400 ml</t>
        </is>
      </c>
      <c r="E681" t="inlineStr">
        <is>
          <t>Pantene</t>
        </is>
      </c>
      <c r="F681" t="n">
        <v>6137</v>
      </c>
      <c r="G681" t="n">
        <v>10228</v>
      </c>
      <c r="H681" t="b">
        <v>1</v>
      </c>
      <c r="I681" t="n">
        <v>400</v>
      </c>
      <c r="J681" t="n">
        <v>15.3425</v>
      </c>
      <c r="K681" t="inlineStr">
        <is>
          <t>&gt; Cuidado Capilar &gt; Shampoo Y Acondicionador &gt;</t>
        </is>
      </c>
      <c r="L681" t="inlineStr">
        <is>
          <t>acondicionador</t>
        </is>
      </c>
      <c r="M681" t="inlineStr">
        <is>
          <t>profesional</t>
        </is>
      </c>
      <c r="N681" t="inlineStr">
        <is>
          <t>general</t>
        </is>
      </c>
      <c r="O681" t="inlineStr">
        <is>
          <t>https://www.farmacity.com/acondicionador-pantene-pro-v-miracles-revitalizacion-x-400-ml/p</t>
        </is>
      </c>
    </row>
    <row r="682">
      <c r="A682" s="6" t="inlineStr">
        <is>
          <t>Farmacity</t>
        </is>
      </c>
      <c r="B682" s="6" t="n">
        <v>238878</v>
      </c>
      <c r="C682" s="6" t="n">
        <v>238878</v>
      </c>
      <c r="D682" s="6" t="inlineStr">
        <is>
          <t>Acondicionador Pantene Pro-V Miracles Liso Infinito x 750 ml</t>
        </is>
      </c>
      <c r="E682" s="6" t="inlineStr">
        <is>
          <t>Pantene</t>
        </is>
      </c>
      <c r="F682" s="6" t="n">
        <v>16733</v>
      </c>
      <c r="G682" s="6" t="n">
        <v>16733</v>
      </c>
      <c r="H682" s="6" t="b">
        <v>1</v>
      </c>
      <c r="I682" s="6" t="n">
        <v>750</v>
      </c>
      <c r="J682" s="6" t="n">
        <v>22.3107</v>
      </c>
      <c r="K682" s="6" t="inlineStr">
        <is>
          <t>&gt; Cuidado Capilar &gt; Shampoo Y Acondicionador &gt;</t>
        </is>
      </c>
      <c r="L682" s="6" t="inlineStr">
        <is>
          <t>acondicionador</t>
        </is>
      </c>
      <c r="M682" s="6" t="inlineStr">
        <is>
          <t>profesional</t>
        </is>
      </c>
      <c r="N682" s="6" t="inlineStr">
        <is>
          <t>general</t>
        </is>
      </c>
      <c r="O682" s="6" t="inlineStr">
        <is>
          <t>https://www.farmacity.com/acondicionador-pantene-pro-v-miracles-liso-infinito-x-750-ml/p</t>
        </is>
      </c>
    </row>
    <row r="683">
      <c r="A683" t="inlineStr">
        <is>
          <t>Farmacity</t>
        </is>
      </c>
      <c r="B683" t="n">
        <v>235659</v>
      </c>
      <c r="C683" t="n">
        <v>235659</v>
      </c>
      <c r="D683" t="inlineStr">
        <is>
          <t>Acondicionador Pantene Pro-V Miracles Equilibrio Hidratante 700 ml</t>
        </is>
      </c>
      <c r="E683" t="inlineStr">
        <is>
          <t>Pantene</t>
        </is>
      </c>
      <c r="F683" t="n">
        <v>10040</v>
      </c>
      <c r="G683" t="n">
        <v>16733</v>
      </c>
      <c r="H683" t="b">
        <v>1</v>
      </c>
      <c r="I683" t="n">
        <v>700</v>
      </c>
      <c r="J683" t="n">
        <v>14.3429</v>
      </c>
      <c r="K683" t="inlineStr">
        <is>
          <t>&gt; Cuidado Capilar &gt; Shampoo Y Acondicionador &gt;</t>
        </is>
      </c>
      <c r="L683" t="inlineStr">
        <is>
          <t>acondicionador</t>
        </is>
      </c>
      <c r="M683" t="inlineStr">
        <is>
          <t>profesional</t>
        </is>
      </c>
      <c r="N683" t="inlineStr">
        <is>
          <t>seco_danado</t>
        </is>
      </c>
      <c r="O683" t="inlineStr">
        <is>
          <t>https://www.farmacity.com/acondicionador-pantene-pro-v-miracles-equilibrio-x-700-ml/p</t>
        </is>
      </c>
    </row>
    <row r="684">
      <c r="A684" s="6" t="inlineStr">
        <is>
          <t>Farmacity</t>
        </is>
      </c>
      <c r="B684" s="6" t="n">
        <v>234382</v>
      </c>
      <c r="C684" s="6" t="n">
        <v>234382</v>
      </c>
      <c r="D684" s="6" t="inlineStr">
        <is>
          <t>Acondicionador Elvive Hialurónico Pure x 750 ml</t>
        </is>
      </c>
      <c r="E684" s="6" t="inlineStr">
        <is>
          <t>Elvive</t>
        </is>
      </c>
      <c r="F684" s="6" t="n">
        <v>17990</v>
      </c>
      <c r="G684" s="6" t="n">
        <v>17990</v>
      </c>
      <c r="H684" s="6" t="b">
        <v>1</v>
      </c>
      <c r="I684" s="6" t="n">
        <v>750</v>
      </c>
      <c r="J684" s="6" t="n">
        <v>23.9867</v>
      </c>
      <c r="K684" s="6" t="inlineStr">
        <is>
          <t>&gt; Cuidado Capilar &gt; Shampoo Y Acondicionador &gt;</t>
        </is>
      </c>
      <c r="L684" s="6" t="inlineStr">
        <is>
          <t>acondicionador</t>
        </is>
      </c>
      <c r="M684" s="6" t="inlineStr">
        <is>
          <t>profesional</t>
        </is>
      </c>
      <c r="N684" s="6" t="inlineStr">
        <is>
          <t>general</t>
        </is>
      </c>
      <c r="O684" s="6" t="inlineStr">
        <is>
          <t>https://www.farmacity.com/acondicionador-elvive-hialuronico-pure-x-750-ml/p</t>
        </is>
      </c>
    </row>
    <row r="685">
      <c r="A685" t="inlineStr">
        <is>
          <t>Farmacity</t>
        </is>
      </c>
      <c r="B685" t="n">
        <v>230618</v>
      </c>
      <c r="C685" t="n">
        <v>230618</v>
      </c>
      <c r="D685" t="inlineStr">
        <is>
          <t>Acondicionador Tresemmé Matrizador Ultravioleta x 500 ml</t>
        </is>
      </c>
      <c r="E685" t="inlineStr">
        <is>
          <t>Tresemmé</t>
        </is>
      </c>
      <c r="F685" t="n">
        <v>6574</v>
      </c>
      <c r="G685" t="n">
        <v>10114</v>
      </c>
      <c r="H685" t="b">
        <v>1</v>
      </c>
      <c r="I685" t="n">
        <v>500</v>
      </c>
      <c r="J685" t="n">
        <v>13.148</v>
      </c>
      <c r="K685" t="inlineStr">
        <is>
          <t>&gt; Cuidado Capilar &gt; Shampoo Y Acondicionador &gt;</t>
        </is>
      </c>
      <c r="L685" t="inlineStr">
        <is>
          <t>acondicionador</t>
        </is>
      </c>
      <c r="M685" t="inlineStr">
        <is>
          <t>estandar</t>
        </is>
      </c>
      <c r="N685" t="inlineStr">
        <is>
          <t>rizado</t>
        </is>
      </c>
      <c r="O685" t="inlineStr">
        <is>
          <t>https://www.farmacity.com/acondicionador-tresemme-matrizador-ultravioleta-x-500-ml/p</t>
        </is>
      </c>
    </row>
    <row r="686">
      <c r="A686" s="6" t="inlineStr">
        <is>
          <t>Farmacity</t>
        </is>
      </c>
      <c r="B686" s="6" t="n">
        <v>133691</v>
      </c>
      <c r="C686" s="6" t="n">
        <v>133691</v>
      </c>
      <c r="D686" s="6" t="inlineStr">
        <is>
          <t>Proavenal Avena+Asoc. Acondicionador x 300 ml</t>
        </is>
      </c>
      <c r="E686" s="6" t="inlineStr">
        <is>
          <t>Panalab</t>
        </is>
      </c>
      <c r="F686" s="6" t="n">
        <v>36644</v>
      </c>
      <c r="G686" s="6" t="n">
        <v>36644</v>
      </c>
      <c r="H686" s="6" t="b">
        <v>1</v>
      </c>
      <c r="I686" s="6" t="n">
        <v>300</v>
      </c>
      <c r="J686" s="6" t="n">
        <v>122.1467</v>
      </c>
      <c r="K686" s="6" t="inlineStr">
        <is>
          <t>&gt; Venta Bajo Receta &gt; Dermatológico &gt;</t>
        </is>
      </c>
      <c r="L686" s="6" t="inlineStr">
        <is>
          <t>acondicionador</t>
        </is>
      </c>
      <c r="M686" s="6" t="inlineStr">
        <is>
          <t>estandar</t>
        </is>
      </c>
      <c r="N686" s="6" t="inlineStr">
        <is>
          <t>general</t>
        </is>
      </c>
      <c r="O686" s="6" t="inlineStr">
        <is>
          <t>https://www.farmacity.com/proavenal-avena-asoc-acondicionador-x-300-ml/p</t>
        </is>
      </c>
    </row>
    <row r="687">
      <c r="A687" t="inlineStr">
        <is>
          <t>Farmacity</t>
        </is>
      </c>
      <c r="B687" t="n">
        <v>6717</v>
      </c>
      <c r="C687" t="n">
        <v>147618</v>
      </c>
      <c r="D687" t="inlineStr">
        <is>
          <t>Spray Acondicionador Biferdil Vitaminado x 200 ml</t>
        </is>
      </c>
      <c r="E687" t="inlineStr">
        <is>
          <t>Biferdil</t>
        </is>
      </c>
      <c r="F687" t="n">
        <v>13176</v>
      </c>
      <c r="G687" t="n">
        <v>13176</v>
      </c>
      <c r="H687" t="b">
        <v>1</v>
      </c>
      <c r="I687" t="n">
        <v>200</v>
      </c>
      <c r="J687" t="n">
        <v>65.88</v>
      </c>
      <c r="K687" t="inlineStr">
        <is>
          <t>&gt; Cuidado Capilar &gt; Shampoo Y Acondicionador &gt;</t>
        </is>
      </c>
      <c r="L687" t="inlineStr">
        <is>
          <t>acondicionador</t>
        </is>
      </c>
      <c r="M687" t="inlineStr">
        <is>
          <t>estandar</t>
        </is>
      </c>
      <c r="N687" t="inlineStr">
        <is>
          <t>general</t>
        </is>
      </c>
      <c r="O687" t="inlineStr">
        <is>
          <t>https://www.farmacity.com/spray-acondicionador-vitaminado-s-enjuague-x-200ml/p</t>
        </is>
      </c>
    </row>
    <row r="688">
      <c r="A688" s="6" t="inlineStr">
        <is>
          <t>Farmacity</t>
        </is>
      </c>
      <c r="B688" s="6" t="n">
        <v>237565</v>
      </c>
      <c r="C688" s="6" t="n">
        <v>237565</v>
      </c>
      <c r="D688" s="6" t="inlineStr">
        <is>
          <t>Valcatil Complex Aminoacidos + Asoc Acondicionador x 300 ml</t>
        </is>
      </c>
      <c r="E688" s="6" t="inlineStr">
        <is>
          <t>Panalab</t>
        </is>
      </c>
      <c r="F688" s="6" t="n">
        <v>58812</v>
      </c>
      <c r="G688" s="6" t="n">
        <v>58812</v>
      </c>
      <c r="H688" s="6" t="b">
        <v>1</v>
      </c>
      <c r="I688" s="6" t="n">
        <v>300</v>
      </c>
      <c r="J688" s="6" t="n">
        <v>196.04</v>
      </c>
      <c r="K688" s="6" t="inlineStr">
        <is>
          <t>&gt; Venta Bajo Receta &gt; Sistema Digestivo y Metabolismo &gt;</t>
        </is>
      </c>
      <c r="L688" s="6" t="inlineStr">
        <is>
          <t>acondicionador</t>
        </is>
      </c>
      <c r="M688" s="6" t="inlineStr">
        <is>
          <t>estandar</t>
        </is>
      </c>
      <c r="N688" s="6" t="inlineStr">
        <is>
          <t>general</t>
        </is>
      </c>
      <c r="O688" s="6" t="inlineStr">
        <is>
          <t>https://www.farmacity.com/valcatil-complex-aminoacidos-asoc-acondicionador-x-300-ml/p</t>
        </is>
      </c>
    </row>
    <row r="689">
      <c r="A689" t="inlineStr">
        <is>
          <t>Farmacity</t>
        </is>
      </c>
      <c r="B689" t="n">
        <v>232898</v>
      </c>
      <c r="C689" t="n">
        <v>232898</v>
      </c>
      <c r="D689" t="inlineStr">
        <is>
          <t>Dermo Acondicionador Head &amp; Shoulders Revitalización x 300 ml</t>
        </is>
      </c>
      <c r="E689" t="inlineStr">
        <is>
          <t>Head and Shoulders</t>
        </is>
      </c>
      <c r="F689" t="n">
        <v>7264</v>
      </c>
      <c r="G689" t="n">
        <v>11175</v>
      </c>
      <c r="H689" t="b">
        <v>1</v>
      </c>
      <c r="I689" t="n">
        <v>300</v>
      </c>
      <c r="J689" t="n">
        <v>24.2133</v>
      </c>
      <c r="K689" t="inlineStr">
        <is>
          <t>&gt; Cuidado Capilar &gt; Shampoo Y Acondicionador &gt;</t>
        </is>
      </c>
      <c r="L689" t="inlineStr">
        <is>
          <t>acondicionador</t>
        </is>
      </c>
      <c r="M689" t="inlineStr">
        <is>
          <t>estandar</t>
        </is>
      </c>
      <c r="N689" t="inlineStr">
        <is>
          <t>general</t>
        </is>
      </c>
      <c r="O689" t="inlineStr">
        <is>
          <t>https://www.farmacity.com/acondicionador-head-shoulders-argan-x-300-ml/p</t>
        </is>
      </c>
    </row>
    <row r="690">
      <c r="A690" s="6" t="inlineStr">
        <is>
          <t>Farmacity</t>
        </is>
      </c>
      <c r="B690" s="6" t="n">
        <v>249634</v>
      </c>
      <c r="C690" s="6" t="n">
        <v>249634</v>
      </c>
      <c r="D690" s="6" t="inlineStr">
        <is>
          <t>Combo Vichy Dercos Acondicionador Anti-Caída Apres Energy x 2 un</t>
        </is>
      </c>
      <c r="E690" s="6" t="inlineStr">
        <is>
          <t>Vichy</t>
        </is>
      </c>
      <c r="F690" s="6" t="n">
        <v>117726</v>
      </c>
      <c r="G690" s="6" t="n">
        <v>117726</v>
      </c>
      <c r="H690" s="6" t="b">
        <v>1</v>
      </c>
      <c r="I690" s="6" t="inlineStr"/>
      <c r="J690" s="6" t="inlineStr"/>
      <c r="K690" s="6" t="inlineStr">
        <is>
          <t>&gt; Dermocosmética &gt; Pelo &gt; Shampoos y Acondicionadores &gt;</t>
        </is>
      </c>
      <c r="L690" s="6" t="inlineStr">
        <is>
          <t>acondicionador</t>
        </is>
      </c>
      <c r="M690" s="6" t="inlineStr">
        <is>
          <t>estandar</t>
        </is>
      </c>
      <c r="N690" s="6" t="inlineStr">
        <is>
          <t>general</t>
        </is>
      </c>
      <c r="O690" s="6" t="inlineStr">
        <is>
          <t>https://www.farmacity.com/combo-vichy-dercos-acondicionador-anti-caida-apres-energy-x-2-un/p</t>
        </is>
      </c>
    </row>
    <row r="691">
      <c r="A691" t="inlineStr">
        <is>
          <t>Farmacity</t>
        </is>
      </c>
      <c r="B691" t="n">
        <v>244681</v>
      </c>
      <c r="C691" t="n">
        <v>244681</v>
      </c>
      <c r="D691" t="inlineStr">
        <is>
          <t>Kit Rutina Fructis Probióticos Fuerza: Shampoo, Acondicionador y Crema Para Peinar</t>
        </is>
      </c>
      <c r="E691" t="inlineStr">
        <is>
          <t>Fructis</t>
        </is>
      </c>
      <c r="F691" t="n">
        <v>16429</v>
      </c>
      <c r="G691" t="n">
        <v>23470</v>
      </c>
      <c r="H691" t="b">
        <v>1</v>
      </c>
      <c r="I691" t="inlineStr"/>
      <c r="J691" t="inlineStr"/>
      <c r="K691" t="inlineStr">
        <is>
          <t>&gt; Cuidado Capilar &gt; Shampoo Y Acondicionador &gt;</t>
        </is>
      </c>
      <c r="L691" t="inlineStr">
        <is>
          <t>acondicionador</t>
        </is>
      </c>
      <c r="M691" t="inlineStr">
        <is>
          <t>profesional</t>
        </is>
      </c>
      <c r="N691" t="inlineStr">
        <is>
          <t>general</t>
        </is>
      </c>
      <c r="O691" t="inlineStr">
        <is>
          <t>https://www.farmacity.com/kit-rutina-fructis-probioticos-fuerza-shampoo-acondicionador-y-crema-para-peinar/p</t>
        </is>
      </c>
    </row>
    <row r="692">
      <c r="A692" s="6" t="inlineStr">
        <is>
          <t>Farmacity</t>
        </is>
      </c>
      <c r="B692" s="6" t="n">
        <v>241696</v>
      </c>
      <c r="C692" s="6" t="n">
        <v>241696</v>
      </c>
      <c r="D692" s="6" t="inlineStr">
        <is>
          <t>Kit Dove Bond Intense Repair Shampoo + Acondicionador + Máscara de Tratamiento</t>
        </is>
      </c>
      <c r="E692" s="6" t="inlineStr">
        <is>
          <t>Dove</t>
        </is>
      </c>
      <c r="F692" s="6" t="n">
        <v>18120</v>
      </c>
      <c r="G692" s="6" t="n">
        <v>36240</v>
      </c>
      <c r="H692" s="6" t="b">
        <v>1</v>
      </c>
      <c r="I692" s="6" t="inlineStr"/>
      <c r="J692" s="6" t="inlineStr"/>
      <c r="K692" s="6" t="inlineStr">
        <is>
          <t>&gt; Cuidado Capilar &gt; Shampoo Y Acondicionador &gt;</t>
        </is>
      </c>
      <c r="L692" s="6" t="inlineStr">
        <is>
          <t>acondicionador</t>
        </is>
      </c>
      <c r="M692" s="6" t="inlineStr">
        <is>
          <t>profesional</t>
        </is>
      </c>
      <c r="N692" s="6" t="inlineStr">
        <is>
          <t>general</t>
        </is>
      </c>
      <c r="O692" s="6" t="inlineStr">
        <is>
          <t>https://www.farmacity.com/combo-dove-bond-intense-repair-shampoo-x-400-ml-acondicionador-x-250-ml-mascara-de-tratamiento-x-250-g/p</t>
        </is>
      </c>
    </row>
    <row r="693">
      <c r="A693" t="inlineStr">
        <is>
          <t>Farmacity</t>
        </is>
      </c>
      <c r="B693" t="n">
        <v>234282</v>
      </c>
      <c r="C693" t="n">
        <v>234282</v>
      </c>
      <c r="D693" t="inlineStr">
        <is>
          <t>Shampoo Pantene Pro-V Miracles Hidrata y Fortalece x 400 ml</t>
        </is>
      </c>
      <c r="E693" t="inlineStr">
        <is>
          <t>Pantene</t>
        </is>
      </c>
      <c r="F693" t="n">
        <v>6137</v>
      </c>
      <c r="G693" t="n">
        <v>10228</v>
      </c>
      <c r="H693" t="b">
        <v>1</v>
      </c>
      <c r="I693" t="n">
        <v>400</v>
      </c>
      <c r="J693" t="n">
        <v>15.3425</v>
      </c>
      <c r="K693" t="inlineStr">
        <is>
          <t>&gt; Cuidado Capilar &gt; Shampoo Y Acondicionador &gt;</t>
        </is>
      </c>
      <c r="L693" t="inlineStr">
        <is>
          <t>shampoo</t>
        </is>
      </c>
      <c r="M693" t="inlineStr">
        <is>
          <t>profesional</t>
        </is>
      </c>
      <c r="N693" t="inlineStr">
        <is>
          <t>seco_danado</t>
        </is>
      </c>
      <c r="O693" t="inlineStr">
        <is>
          <t>https://www.farmacity.com/shampoo-pantene-pro-v-miracles-hidrata-y-fortalece-x-400-ml/p</t>
        </is>
      </c>
    </row>
    <row r="694">
      <c r="A694" s="6" t="inlineStr">
        <is>
          <t>Farmacity</t>
        </is>
      </c>
      <c r="B694" s="6" t="n">
        <v>214555</v>
      </c>
      <c r="C694" s="6" t="n">
        <v>214555</v>
      </c>
      <c r="D694" s="6" t="inlineStr">
        <is>
          <t>Máscara Vichy Dercos Kera Solutions x 200 ml</t>
        </is>
      </c>
      <c r="E694" s="6" t="inlineStr">
        <is>
          <t>Vichy</t>
        </is>
      </c>
      <c r="F694" s="6" t="n">
        <v>66477</v>
      </c>
      <c r="G694" s="6" t="n">
        <v>66477</v>
      </c>
      <c r="H694" s="6" t="b">
        <v>1</v>
      </c>
      <c r="I694" s="6" t="n">
        <v>200</v>
      </c>
      <c r="J694" s="6" t="n">
        <v>332.385</v>
      </c>
      <c r="K694" s="6" t="inlineStr">
        <is>
          <t>&gt; Dermocosmética &gt; Pelo &gt; Bálsamos y Tratamientos &gt;</t>
        </is>
      </c>
      <c r="L694" s="6" t="inlineStr">
        <is>
          <t>shampoo</t>
        </is>
      </c>
      <c r="M694" s="6" t="inlineStr">
        <is>
          <t>estandar</t>
        </is>
      </c>
      <c r="N694" s="6" t="inlineStr">
        <is>
          <t>general</t>
        </is>
      </c>
      <c r="O694" s="6" t="inlineStr">
        <is>
          <t>https://www.farmacity.com/mascara-vichy-dercos-kera-solutions-x-250-ml/p</t>
        </is>
      </c>
    </row>
    <row r="695">
      <c r="A695" t="inlineStr">
        <is>
          <t>Farmacity</t>
        </is>
      </c>
      <c r="B695" t="n">
        <v>204156</v>
      </c>
      <c r="C695" t="n">
        <v>200273</v>
      </c>
      <c r="D695" t="inlineStr">
        <is>
          <t>Bálsamo Reconstituyente Vichy Dercos Densi Solutions x 150 ml</t>
        </is>
      </c>
      <c r="E695" t="inlineStr">
        <is>
          <t>Vichy</t>
        </is>
      </c>
      <c r="F695" t="n">
        <v>64802</v>
      </c>
      <c r="G695" t="n">
        <v>64802</v>
      </c>
      <c r="H695" t="b">
        <v>1</v>
      </c>
      <c r="I695" t="n">
        <v>150</v>
      </c>
      <c r="J695" t="n">
        <v>432.0133</v>
      </c>
      <c r="K695" t="inlineStr">
        <is>
          <t>&gt; Dermocosmética &gt; Pelo &gt; Bálsamos y Tratamientos &gt;</t>
        </is>
      </c>
      <c r="L695" t="inlineStr">
        <is>
          <t>shampoo</t>
        </is>
      </c>
      <c r="M695" t="inlineStr">
        <is>
          <t>estandar</t>
        </is>
      </c>
      <c r="N695" t="inlineStr">
        <is>
          <t>general</t>
        </is>
      </c>
      <c r="O695" t="inlineStr">
        <is>
          <t>https://www.farmacity.com/dercos-densi-solutions-balsamo-densificador-reconstituyent/p</t>
        </is>
      </c>
    </row>
    <row r="696">
      <c r="A696" s="6" t="inlineStr">
        <is>
          <t>Farmacity</t>
        </is>
      </c>
      <c r="B696" s="6" t="n">
        <v>9587</v>
      </c>
      <c r="C696" s="6" t="n">
        <v>158662</v>
      </c>
      <c r="D696" s="6" t="inlineStr">
        <is>
          <t>Shampoo Elvive Óleo Extraordinario Rizos x 400 ml</t>
        </is>
      </c>
      <c r="E696" s="6" t="inlineStr">
        <is>
          <t>Elvive</t>
        </is>
      </c>
      <c r="F696" s="6" t="n">
        <v>6714</v>
      </c>
      <c r="G696" s="6" t="n">
        <v>11190</v>
      </c>
      <c r="H696" s="6" t="b">
        <v>1</v>
      </c>
      <c r="I696" s="6" t="n">
        <v>400</v>
      </c>
      <c r="J696" s="6" t="n">
        <v>16.785</v>
      </c>
      <c r="K696" s="6" t="inlineStr">
        <is>
          <t>&gt; Cuidado Capilar &gt; Shampoo Y Acondicionador &gt;</t>
        </is>
      </c>
      <c r="L696" s="6" t="inlineStr">
        <is>
          <t>shampoo</t>
        </is>
      </c>
      <c r="M696" s="6" t="inlineStr">
        <is>
          <t>profesional</t>
        </is>
      </c>
      <c r="N696" s="6" t="inlineStr">
        <is>
          <t>rizado</t>
        </is>
      </c>
      <c r="O696" s="6" t="inlineStr">
        <is>
          <t>https://www.farmacity.com/shampoo-oleo-extraordinario-rizos-x-400-ml/p</t>
        </is>
      </c>
    </row>
    <row r="697">
      <c r="A697" t="inlineStr">
        <is>
          <t>Farmacity</t>
        </is>
      </c>
      <c r="B697" t="n">
        <v>230003</v>
      </c>
      <c r="C697" t="n">
        <v>230003</v>
      </c>
      <c r="D697" t="inlineStr">
        <is>
          <t>Shampoo Biferdil Anti Naranja x 295 ml</t>
        </is>
      </c>
      <c r="E697" t="inlineStr">
        <is>
          <t>Biferdil</t>
        </is>
      </c>
      <c r="F697" t="n">
        <v>13068</v>
      </c>
      <c r="G697" t="n">
        <v>13068</v>
      </c>
      <c r="H697" t="b">
        <v>1</v>
      </c>
      <c r="I697" t="n">
        <v>295</v>
      </c>
      <c r="J697" t="n">
        <v>44.2983</v>
      </c>
      <c r="K697" t="inlineStr">
        <is>
          <t>&gt; Cuidado Capilar &gt; Shampoo Y Acondicionador &gt;</t>
        </is>
      </c>
      <c r="L697" t="inlineStr">
        <is>
          <t>shampoo</t>
        </is>
      </c>
      <c r="M697" t="inlineStr">
        <is>
          <t>estandar</t>
        </is>
      </c>
      <c r="N697" t="inlineStr">
        <is>
          <t>general</t>
        </is>
      </c>
      <c r="O697" t="inlineStr">
        <is>
          <t>https://www.farmacity.com/shampoo-biferdil-anti-naranja-x-295-ml/p</t>
        </is>
      </c>
    </row>
    <row r="698">
      <c r="A698" s="6" t="inlineStr">
        <is>
          <t>Farmacity</t>
        </is>
      </c>
      <c r="B698" s="6" t="n">
        <v>236057</v>
      </c>
      <c r="C698" s="6" t="n">
        <v>236057</v>
      </c>
      <c r="D698" s="6" t="inlineStr">
        <is>
          <t>Shampoo Biferdil Óleo de Argán x 200 ml</t>
        </is>
      </c>
      <c r="E698" s="6" t="inlineStr">
        <is>
          <t>Biferdil</t>
        </is>
      </c>
      <c r="F698" s="6" t="n">
        <v>14256</v>
      </c>
      <c r="G698" s="6" t="n">
        <v>14256</v>
      </c>
      <c r="H698" s="6" t="b">
        <v>1</v>
      </c>
      <c r="I698" s="6" t="n">
        <v>200</v>
      </c>
      <c r="J698" s="6" t="n">
        <v>71.28</v>
      </c>
      <c r="K698" s="6" t="inlineStr">
        <is>
          <t>&gt; Cuidado Capilar &gt; Shampoo Y Acondicionador &gt;</t>
        </is>
      </c>
      <c r="L698" s="6" t="inlineStr">
        <is>
          <t>shampoo</t>
        </is>
      </c>
      <c r="M698" s="6" t="inlineStr">
        <is>
          <t>estandar</t>
        </is>
      </c>
      <c r="N698" s="6" t="inlineStr">
        <is>
          <t>general</t>
        </is>
      </c>
      <c r="O698" s="6" t="inlineStr">
        <is>
          <t>https://www.farmacity.com/shampoo-biferdil-oleo-de-argan-x-200-ml/p</t>
        </is>
      </c>
    </row>
    <row r="699">
      <c r="A699" t="inlineStr">
        <is>
          <t>Farmacity</t>
        </is>
      </c>
      <c r="B699" t="n">
        <v>225992</v>
      </c>
      <c r="C699" t="n">
        <v>225992</v>
      </c>
      <c r="D699" t="inlineStr">
        <is>
          <t>Shampoo Alta Moda Hydra Save x 300 ml</t>
        </is>
      </c>
      <c r="E699" t="inlineStr">
        <is>
          <t>Alta Moda</t>
        </is>
      </c>
      <c r="F699" t="n">
        <v>5692</v>
      </c>
      <c r="G699" t="n">
        <v>5692</v>
      </c>
      <c r="H699" t="b">
        <v>1</v>
      </c>
      <c r="I699" t="n">
        <v>300</v>
      </c>
      <c r="J699" t="n">
        <v>18.9733</v>
      </c>
      <c r="K699" t="inlineStr">
        <is>
          <t>&gt; Cuidado Capilar &gt; Shampoo Y Acondicionador &gt;</t>
        </is>
      </c>
      <c r="L699" t="inlineStr">
        <is>
          <t>shampoo</t>
        </is>
      </c>
      <c r="M699" t="inlineStr">
        <is>
          <t>estandar</t>
        </is>
      </c>
      <c r="N699" t="inlineStr">
        <is>
          <t>general</t>
        </is>
      </c>
      <c r="O699" t="inlineStr">
        <is>
          <t>https://www.farmacity.com/shampoo-alta-moda-e-hydra-nutri-x-300-g/p</t>
        </is>
      </c>
    </row>
    <row r="700">
      <c r="A700" s="6" t="inlineStr">
        <is>
          <t>Farmacity</t>
        </is>
      </c>
      <c r="B700" s="6" t="n">
        <v>239940</v>
      </c>
      <c r="C700" s="6" t="n">
        <v>239940</v>
      </c>
      <c r="D700" s="6" t="inlineStr">
        <is>
          <t>Shampoo Pantene Keratina x 700 ml</t>
        </is>
      </c>
      <c r="E700" s="6" t="inlineStr">
        <is>
          <t>Pantene</t>
        </is>
      </c>
      <c r="F700" s="6" t="n">
        <v>15128</v>
      </c>
      <c r="G700" s="6" t="n">
        <v>15128</v>
      </c>
      <c r="H700" s="6" t="b">
        <v>1</v>
      </c>
      <c r="I700" s="6" t="n">
        <v>700</v>
      </c>
      <c r="J700" s="6" t="n">
        <v>21.6114</v>
      </c>
      <c r="K700" s="6" t="inlineStr">
        <is>
          <t>&gt; Cuidado Capilar &gt; Shampoo Y Acondicionador &gt;</t>
        </is>
      </c>
      <c r="L700" s="6" t="inlineStr">
        <is>
          <t>shampoo</t>
        </is>
      </c>
      <c r="M700" s="6" t="inlineStr">
        <is>
          <t>estandar</t>
        </is>
      </c>
      <c r="N700" s="6" t="inlineStr">
        <is>
          <t>tratado</t>
        </is>
      </c>
      <c r="O700" s="6" t="inlineStr">
        <is>
          <t>https://www.farmacity.com/shampoo-pantene-keratina-x-700-ml/p</t>
        </is>
      </c>
    </row>
    <row r="701">
      <c r="A701" t="inlineStr">
        <is>
          <t>Farmacity</t>
        </is>
      </c>
      <c r="B701" t="n">
        <v>241716</v>
      </c>
      <c r="C701" t="n">
        <v>241716</v>
      </c>
      <c r="D701" t="inlineStr">
        <is>
          <t>Kit Capilar Dove Regeneración Extrema</t>
        </is>
      </c>
      <c r="E701" t="inlineStr">
        <is>
          <t>Dove</t>
        </is>
      </c>
      <c r="F701" t="n">
        <v>15984</v>
      </c>
      <c r="G701" t="n">
        <v>29062</v>
      </c>
      <c r="H701" t="b">
        <v>1</v>
      </c>
      <c r="I701" t="inlineStr"/>
      <c r="J701" t="inlineStr"/>
      <c r="K701" t="inlineStr">
        <is>
          <t>&gt; Cuidado Capilar &gt; Shampoo Y Acondicionador &gt;</t>
        </is>
      </c>
      <c r="L701" t="inlineStr">
        <is>
          <t>tratamiento</t>
        </is>
      </c>
      <c r="M701" t="inlineStr">
        <is>
          <t>estandar</t>
        </is>
      </c>
      <c r="N701" t="inlineStr">
        <is>
          <t>general</t>
        </is>
      </c>
      <c r="O701" t="inlineStr">
        <is>
          <t>https://www.farmacity.com/combo-capilar-dove-regeneracion-extrema/p</t>
        </is>
      </c>
    </row>
    <row r="702">
      <c r="A702" s="6" t="inlineStr">
        <is>
          <t>Farmacity</t>
        </is>
      </c>
      <c r="B702" s="6" t="n">
        <v>246664</v>
      </c>
      <c r="C702" s="6" t="n">
        <v>246664</v>
      </c>
      <c r="D702" s="6" t="inlineStr">
        <is>
          <t>Shampoo Pantene Bamboo x 200 ml</t>
        </is>
      </c>
      <c r="E702" s="6" t="inlineStr">
        <is>
          <t>Pantene</t>
        </is>
      </c>
      <c r="F702" s="6" t="n">
        <v>3808</v>
      </c>
      <c r="G702" s="6" t="n">
        <v>6347</v>
      </c>
      <c r="H702" s="6" t="b">
        <v>1</v>
      </c>
      <c r="I702" s="6" t="n">
        <v>200</v>
      </c>
      <c r="J702" s="6" t="n">
        <v>19.04</v>
      </c>
      <c r="K702" s="6" t="inlineStr">
        <is>
          <t>&gt; Cuidado Capilar &gt; Shampoo Y Acondicionador &gt;</t>
        </is>
      </c>
      <c r="L702" s="6" t="inlineStr">
        <is>
          <t>shampoo</t>
        </is>
      </c>
      <c r="M702" s="6" t="inlineStr">
        <is>
          <t>estandar</t>
        </is>
      </c>
      <c r="N702" s="6" t="inlineStr">
        <is>
          <t>general</t>
        </is>
      </c>
      <c r="O702" s="6" t="inlineStr">
        <is>
          <t>https://www.farmacity.com/shampoo-pantene-bamboo-x-200-ml/p</t>
        </is>
      </c>
    </row>
    <row r="703">
      <c r="A703" t="inlineStr">
        <is>
          <t>Farmacity</t>
        </is>
      </c>
      <c r="B703" t="n">
        <v>244544</v>
      </c>
      <c r="C703" t="n">
        <v>244544</v>
      </c>
      <c r="D703" t="inlineStr">
        <is>
          <t>Shampoo Pantene Keratina x 300 ml</t>
        </is>
      </c>
      <c r="E703" t="inlineStr">
        <is>
          <t>Pantene</t>
        </is>
      </c>
      <c r="F703" t="n">
        <v>6032</v>
      </c>
      <c r="G703" t="n">
        <v>10054</v>
      </c>
      <c r="H703" t="b">
        <v>1</v>
      </c>
      <c r="I703" t="n">
        <v>300</v>
      </c>
      <c r="J703" t="n">
        <v>20.1067</v>
      </c>
      <c r="K703" t="inlineStr">
        <is>
          <t>&gt; Cuidado Capilar &gt; Shampoo Y Acondicionador &gt;</t>
        </is>
      </c>
      <c r="L703" t="inlineStr">
        <is>
          <t>shampoo</t>
        </is>
      </c>
      <c r="M703" t="inlineStr">
        <is>
          <t>estandar</t>
        </is>
      </c>
      <c r="N703" t="inlineStr">
        <is>
          <t>tratado</t>
        </is>
      </c>
      <c r="O703" t="inlineStr">
        <is>
          <t>https://www.farmacity.com/shampoo-pantene-keratina-x-300-ml/p</t>
        </is>
      </c>
    </row>
    <row r="704">
      <c r="A704" s="6" t="inlineStr">
        <is>
          <t>Farmacity</t>
        </is>
      </c>
      <c r="B704" s="6" t="n">
        <v>230217</v>
      </c>
      <c r="C704" s="6" t="n">
        <v>230217</v>
      </c>
      <c r="D704" s="6" t="inlineStr">
        <is>
          <t>Crema para Peinar Pantene Colágeno Nutre &amp; Revitaliza x 300 ml</t>
        </is>
      </c>
      <c r="E704" s="6" t="inlineStr">
        <is>
          <t>Pantene</t>
        </is>
      </c>
      <c r="F704" s="6" t="n">
        <v>9024</v>
      </c>
      <c r="G704" s="6" t="n">
        <v>9024</v>
      </c>
      <c r="H704" s="6" t="b">
        <v>1</v>
      </c>
      <c r="I704" s="6" t="n">
        <v>300</v>
      </c>
      <c r="J704" s="6" t="n">
        <v>30.08</v>
      </c>
      <c r="K704" s="6" t="inlineStr">
        <is>
          <t>&gt; Cuidado Capilar &gt; Modelado Y Peinado &gt;</t>
        </is>
      </c>
      <c r="L704" s="6" t="inlineStr">
        <is>
          <t>shampoo</t>
        </is>
      </c>
      <c r="M704" s="6" t="inlineStr">
        <is>
          <t>estandar</t>
        </is>
      </c>
      <c r="N704" s="6" t="inlineStr">
        <is>
          <t>general</t>
        </is>
      </c>
      <c r="O704" s="6" t="inlineStr">
        <is>
          <t>https://www.farmacity.com/crema-para-peinar-pantene-colageno-x-300-ml/p</t>
        </is>
      </c>
    </row>
    <row r="705">
      <c r="A705" t="inlineStr">
        <is>
          <t>Farmacity</t>
        </is>
      </c>
      <c r="B705" t="n">
        <v>238887</v>
      </c>
      <c r="C705" t="n">
        <v>238887</v>
      </c>
      <c r="D705" t="inlineStr">
        <is>
          <t>Shampoo Pantene Pro-V Miracles Revitalizacion x 750 ml</t>
        </is>
      </c>
      <c r="E705" t="inlineStr">
        <is>
          <t>Pantene</t>
        </is>
      </c>
      <c r="F705" t="n">
        <v>16733</v>
      </c>
      <c r="G705" t="n">
        <v>16733</v>
      </c>
      <c r="H705" t="b">
        <v>1</v>
      </c>
      <c r="I705" t="n">
        <v>750</v>
      </c>
      <c r="J705" t="n">
        <v>22.3107</v>
      </c>
      <c r="K705" t="inlineStr">
        <is>
          <t>&gt; Cuidado Capilar &gt; Shampoo Y Acondicionador &gt;</t>
        </is>
      </c>
      <c r="L705" t="inlineStr">
        <is>
          <t>shampoo</t>
        </is>
      </c>
      <c r="M705" t="inlineStr">
        <is>
          <t>profesional</t>
        </is>
      </c>
      <c r="N705" t="inlineStr">
        <is>
          <t>general</t>
        </is>
      </c>
      <c r="O705" t="inlineStr">
        <is>
          <t>https://www.farmacity.com/shampoo-pantene-pro-v-miracles-revitalizacion-x-750-ml/p</t>
        </is>
      </c>
    </row>
    <row r="706">
      <c r="A706" s="6" t="inlineStr">
        <is>
          <t>Farmacity</t>
        </is>
      </c>
      <c r="B706" s="6" t="n">
        <v>242679</v>
      </c>
      <c r="C706" s="6" t="n">
        <v>242679</v>
      </c>
      <c r="D706" s="6" t="inlineStr">
        <is>
          <t>Shampoo Fructis Goodbye Daños x 350 ml</t>
        </is>
      </c>
      <c r="E706" s="6" t="inlineStr">
        <is>
          <t>Fructis</t>
        </is>
      </c>
      <c r="F706" s="6" t="n">
        <v>7990</v>
      </c>
      <c r="G706" s="6" t="n">
        <v>7990</v>
      </c>
      <c r="H706" s="6" t="b">
        <v>1</v>
      </c>
      <c r="I706" s="6" t="n">
        <v>350</v>
      </c>
      <c r="J706" s="6" t="n">
        <v>22.8286</v>
      </c>
      <c r="K706" s="6" t="inlineStr">
        <is>
          <t>&gt; Cuidado Capilar &gt; Shampoo Y Acondicionador &gt;</t>
        </is>
      </c>
      <c r="L706" s="6" t="inlineStr">
        <is>
          <t>shampoo</t>
        </is>
      </c>
      <c r="M706" s="6" t="inlineStr">
        <is>
          <t>estandar</t>
        </is>
      </c>
      <c r="N706" s="6" t="inlineStr">
        <is>
          <t>general</t>
        </is>
      </c>
      <c r="O706" s="6" t="inlineStr">
        <is>
          <t>https://www.farmacity.com/shampoo-fructis-goodbye-danos-x-350-ml/p</t>
        </is>
      </c>
    </row>
    <row r="707">
      <c r="A707" t="inlineStr">
        <is>
          <t>Farmacity</t>
        </is>
      </c>
      <c r="B707" t="n">
        <v>234032</v>
      </c>
      <c r="C707" t="n">
        <v>234032</v>
      </c>
      <c r="D707" t="inlineStr">
        <is>
          <t>Mousse Capilar Roby x 190 ml</t>
        </is>
      </c>
      <c r="E707" t="inlineStr">
        <is>
          <t>Roby</t>
        </is>
      </c>
      <c r="F707" t="n">
        <v>8108</v>
      </c>
      <c r="G707" t="n">
        <v>10135</v>
      </c>
      <c r="H707" t="b">
        <v>1</v>
      </c>
      <c r="I707" t="n">
        <v>190</v>
      </c>
      <c r="J707" t="n">
        <v>42.6737</v>
      </c>
      <c r="K707" t="inlineStr">
        <is>
          <t>&gt; Cuidado Capilar &gt; Modelado Y Peinado &gt;</t>
        </is>
      </c>
      <c r="L707" t="inlineStr">
        <is>
          <t>shampoo</t>
        </is>
      </c>
      <c r="M707" t="inlineStr">
        <is>
          <t>estandar</t>
        </is>
      </c>
      <c r="N707" t="inlineStr">
        <is>
          <t>general</t>
        </is>
      </c>
      <c r="O707" t="inlineStr">
        <is>
          <t>https://www.farmacity.com/mousse-capilar-roby-x-190-ml/p</t>
        </is>
      </c>
    </row>
    <row r="708">
      <c r="A708" s="6" t="inlineStr">
        <is>
          <t>Farmacity</t>
        </is>
      </c>
      <c r="B708" s="6" t="n">
        <v>250351</v>
      </c>
      <c r="C708" s="6" t="n">
        <v>250351</v>
      </c>
      <c r="D708" s="6" t="inlineStr">
        <is>
          <t>Shampoo Elvive Collagen Lifter x 750 ml</t>
        </is>
      </c>
      <c r="E708" s="6" t="inlineStr">
        <is>
          <t>Elvive</t>
        </is>
      </c>
      <c r="F708" s="6" t="n">
        <v>19990</v>
      </c>
      <c r="G708" s="6" t="n">
        <v>19990</v>
      </c>
      <c r="H708" s="6" t="b">
        <v>1</v>
      </c>
      <c r="I708" s="6" t="n">
        <v>750</v>
      </c>
      <c r="J708" s="6" t="n">
        <v>26.6533</v>
      </c>
      <c r="K708" s="6" t="inlineStr">
        <is>
          <t>&gt; Cuidado Capilar &gt; Shampoo Y Acondicionador &gt;</t>
        </is>
      </c>
      <c r="L708" s="6" t="inlineStr">
        <is>
          <t>shampoo</t>
        </is>
      </c>
      <c r="M708" s="6" t="inlineStr">
        <is>
          <t>profesional</t>
        </is>
      </c>
      <c r="N708" s="6" t="inlineStr">
        <is>
          <t>general</t>
        </is>
      </c>
      <c r="O708" s="6" t="inlineStr">
        <is>
          <t>https://www.farmacity.com/shampoo-elvive-colageno-lifter-x-750-ml/p</t>
        </is>
      </c>
    </row>
    <row r="709">
      <c r="A709" t="inlineStr">
        <is>
          <t>Farmacity</t>
        </is>
      </c>
      <c r="B709" t="n">
        <v>246636</v>
      </c>
      <c r="C709" t="n">
        <v>246636</v>
      </c>
      <c r="D709" t="inlineStr">
        <is>
          <t>Shampoo Herbal Essences Rosemary x 400 ml</t>
        </is>
      </c>
      <c r="E709" t="inlineStr">
        <is>
          <t>Herbal Essences</t>
        </is>
      </c>
      <c r="F709" t="n">
        <v>10574</v>
      </c>
      <c r="G709" t="n">
        <v>16267</v>
      </c>
      <c r="H709" t="b">
        <v>1</v>
      </c>
      <c r="I709" t="n">
        <v>400</v>
      </c>
      <c r="J709" t="n">
        <v>26.435</v>
      </c>
      <c r="K709" t="inlineStr">
        <is>
          <t>&gt; Cuidado Capilar &gt; Shampoo Y Acondicionador &gt;</t>
        </is>
      </c>
      <c r="L709" t="inlineStr">
        <is>
          <t>shampoo</t>
        </is>
      </c>
      <c r="M709" t="inlineStr">
        <is>
          <t>estandar</t>
        </is>
      </c>
      <c r="N709" t="inlineStr">
        <is>
          <t>general</t>
        </is>
      </c>
      <c r="O709" t="inlineStr">
        <is>
          <t>https://www.farmacity.com/shampoo-herbal-essences-rosemary-x-400-ml/p</t>
        </is>
      </c>
    </row>
    <row r="710">
      <c r="A710" s="6" t="inlineStr">
        <is>
          <t>Farmacity</t>
        </is>
      </c>
      <c r="B710" s="6" t="n">
        <v>246853</v>
      </c>
      <c r="C710" s="6" t="n">
        <v>246853</v>
      </c>
      <c r="D710" s="6" t="inlineStr">
        <is>
          <t>Shampoo Capilatis Matizador Pure Silver x 350 ml</t>
        </is>
      </c>
      <c r="E710" s="6" t="inlineStr">
        <is>
          <t>Capilatis</t>
        </is>
      </c>
      <c r="F710" s="6" t="n">
        <v>15700</v>
      </c>
      <c r="G710" s="6" t="n">
        <v>15700</v>
      </c>
      <c r="H710" s="6" t="b">
        <v>1</v>
      </c>
      <c r="I710" s="6" t="n">
        <v>350</v>
      </c>
      <c r="J710" s="6" t="n">
        <v>44.8571</v>
      </c>
      <c r="K710" s="6" t="inlineStr">
        <is>
          <t>&gt; Cuidado Capilar &gt; Shampoo Y Acondicionador &gt;</t>
        </is>
      </c>
      <c r="L710" s="6" t="inlineStr">
        <is>
          <t>shampoo</t>
        </is>
      </c>
      <c r="M710" s="6" t="inlineStr">
        <is>
          <t>estandar</t>
        </is>
      </c>
      <c r="N710" s="6" t="inlineStr">
        <is>
          <t>general</t>
        </is>
      </c>
      <c r="O710" s="6" t="inlineStr">
        <is>
          <t>https://www.farmacity.com/shampoo-capilatis-matizador-pure-silver-x-350-ml/p</t>
        </is>
      </c>
    </row>
    <row r="711">
      <c r="A711" t="inlineStr">
        <is>
          <t>Farmacity</t>
        </is>
      </c>
      <c r="B711" t="n">
        <v>250188</v>
      </c>
      <c r="C711" t="n">
        <v>250188</v>
      </c>
      <c r="D711" t="inlineStr">
        <is>
          <t>Shampoo La Puissance Nutrition x 300 ml</t>
        </is>
      </c>
      <c r="E711" t="inlineStr">
        <is>
          <t>La Puissance</t>
        </is>
      </c>
      <c r="F711" t="n">
        <v>20300</v>
      </c>
      <c r="G711" t="n">
        <v>20300</v>
      </c>
      <c r="H711" t="b">
        <v>1</v>
      </c>
      <c r="I711" t="n">
        <v>300</v>
      </c>
      <c r="J711" t="n">
        <v>67.66670000000001</v>
      </c>
      <c r="K711" t="inlineStr">
        <is>
          <t>&gt; Cuidado Capilar &gt; Shampoo Y Acondicionador &gt;</t>
        </is>
      </c>
      <c r="L711" t="inlineStr">
        <is>
          <t>shampoo</t>
        </is>
      </c>
      <c r="M711" t="inlineStr">
        <is>
          <t>estandar</t>
        </is>
      </c>
      <c r="N711" t="inlineStr">
        <is>
          <t>general</t>
        </is>
      </c>
      <c r="O711" t="inlineStr">
        <is>
          <t>https://www.farmacity.com/shampoo-la-puissance-nutrition-x-300-ml/p</t>
        </is>
      </c>
    </row>
    <row r="712">
      <c r="A712" s="6" t="inlineStr">
        <is>
          <t>Farmacity</t>
        </is>
      </c>
      <c r="B712" s="6" t="n">
        <v>239941</v>
      </c>
      <c r="C712" s="6" t="n">
        <v>239941</v>
      </c>
      <c r="D712" s="6" t="inlineStr">
        <is>
          <t>Shampoo Pantene Keratina x 400 ml</t>
        </is>
      </c>
      <c r="E712" s="6" t="inlineStr">
        <is>
          <t>Pantene</t>
        </is>
      </c>
      <c r="F712" s="6" t="n">
        <v>9247</v>
      </c>
      <c r="G712" s="6" t="n">
        <v>9247</v>
      </c>
      <c r="H712" s="6" t="b">
        <v>1</v>
      </c>
      <c r="I712" s="6" t="n">
        <v>400</v>
      </c>
      <c r="J712" s="6" t="n">
        <v>23.1175</v>
      </c>
      <c r="K712" s="6" t="inlineStr">
        <is>
          <t>&gt; Cuidado Capilar &gt; Shampoo Y Acondicionador &gt;</t>
        </is>
      </c>
      <c r="L712" s="6" t="inlineStr">
        <is>
          <t>shampoo</t>
        </is>
      </c>
      <c r="M712" s="6" t="inlineStr">
        <is>
          <t>estandar</t>
        </is>
      </c>
      <c r="N712" s="6" t="inlineStr">
        <is>
          <t>tratado</t>
        </is>
      </c>
      <c r="O712" s="6" t="inlineStr">
        <is>
          <t>https://www.farmacity.com/shampoo-pantene-keratina-x-400-ml/p</t>
        </is>
      </c>
    </row>
    <row r="713">
      <c r="A713" t="inlineStr">
        <is>
          <t>Farmacity</t>
        </is>
      </c>
      <c r="B713" t="n">
        <v>204408</v>
      </c>
      <c r="C713" t="n">
        <v>204408</v>
      </c>
      <c r="D713" t="inlineStr">
        <is>
          <t>Shampoo para Niños Johnson's Hidratación Intensa x 400 ml</t>
        </is>
      </c>
      <c r="E713" t="inlineStr">
        <is>
          <t>Johnson's</t>
        </is>
      </c>
      <c r="F713" t="n">
        <v>7169</v>
      </c>
      <c r="G713" t="n">
        <v>10242</v>
      </c>
      <c r="H713" t="b">
        <v>1</v>
      </c>
      <c r="I713" t="n">
        <v>400</v>
      </c>
      <c r="J713" t="n">
        <v>17.9225</v>
      </c>
      <c r="K713" t="inlineStr">
        <is>
          <t>&gt; Bebés &gt; Higiene del Bebé &gt; Baño Del Bebé &gt;</t>
        </is>
      </c>
      <c r="L713" t="inlineStr">
        <is>
          <t>shampoo</t>
        </is>
      </c>
      <c r="M713" t="inlineStr">
        <is>
          <t>estandar</t>
        </is>
      </c>
      <c r="N713" t="inlineStr">
        <is>
          <t>seco_danado</t>
        </is>
      </c>
      <c r="O713" t="inlineStr">
        <is>
          <t>https://www.farmacity.com/shampoo-johnsons-baby-hidratacion-intensa-x-400-ml/p</t>
        </is>
      </c>
    </row>
    <row r="714">
      <c r="A714" s="6" t="inlineStr">
        <is>
          <t>Farmacity</t>
        </is>
      </c>
      <c r="B714" s="6" t="n">
        <v>246643</v>
      </c>
      <c r="C714" s="6" t="n">
        <v>246643</v>
      </c>
      <c r="D714" s="6" t="inlineStr">
        <is>
          <t>Shampoo Herbal Essences Rosa Mosqueta x 240 ml</t>
        </is>
      </c>
      <c r="E714" s="6" t="inlineStr">
        <is>
          <t>Herbal Essences</t>
        </is>
      </c>
      <c r="F714" s="6" t="n">
        <v>8262</v>
      </c>
      <c r="G714" s="6" t="n">
        <v>12711</v>
      </c>
      <c r="H714" s="6" t="b">
        <v>1</v>
      </c>
      <c r="I714" s="6" t="n">
        <v>240</v>
      </c>
      <c r="J714" s="6" t="n">
        <v>34.425</v>
      </c>
      <c r="K714" s="6" t="inlineStr">
        <is>
          <t>&gt; Cuidado Capilar &gt; Shampoo Y Acondicionador &gt;</t>
        </is>
      </c>
      <c r="L714" s="6" t="inlineStr">
        <is>
          <t>shampoo</t>
        </is>
      </c>
      <c r="M714" s="6" t="inlineStr">
        <is>
          <t>estandar</t>
        </is>
      </c>
      <c r="N714" s="6" t="inlineStr">
        <is>
          <t>general</t>
        </is>
      </c>
      <c r="O714" s="6" t="inlineStr">
        <is>
          <t>https://www.farmacity.com/shampoo-herbal-essences-rosa-mosqueta-x-240-ml/p</t>
        </is>
      </c>
    </row>
    <row r="715">
      <c r="A715" t="inlineStr">
        <is>
          <t>Farmacity</t>
        </is>
      </c>
      <c r="B715" t="n">
        <v>7844</v>
      </c>
      <c r="C715" t="n">
        <v>152461</v>
      </c>
      <c r="D715" t="inlineStr">
        <is>
          <t>Shampoo para Niños Johnson's Gotas de Brillo x 200 ml</t>
        </is>
      </c>
      <c r="E715" t="inlineStr">
        <is>
          <t>Johnson's</t>
        </is>
      </c>
      <c r="F715" t="n">
        <v>4619</v>
      </c>
      <c r="G715" t="n">
        <v>6599</v>
      </c>
      <c r="H715" t="b">
        <v>1</v>
      </c>
      <c r="I715" t="n">
        <v>200</v>
      </c>
      <c r="J715" t="n">
        <v>23.095</v>
      </c>
      <c r="K715" t="inlineStr">
        <is>
          <t>&gt; Bebés &gt; Higiene del Bebé &gt; Baño Del Bebé &gt;</t>
        </is>
      </c>
      <c r="L715" t="inlineStr">
        <is>
          <t>shampoo</t>
        </is>
      </c>
      <c r="M715" t="inlineStr">
        <is>
          <t>estandar</t>
        </is>
      </c>
      <c r="N715" t="inlineStr">
        <is>
          <t>bebe</t>
        </is>
      </c>
      <c r="O715" t="inlineStr">
        <is>
          <t>https://www.farmacity.com/shampoo-gotas-de-brillo-x-200-ml/p</t>
        </is>
      </c>
    </row>
    <row r="716">
      <c r="A716" s="6" t="inlineStr">
        <is>
          <t>Farmacity</t>
        </is>
      </c>
      <c r="B716" s="6" t="n">
        <v>7826</v>
      </c>
      <c r="C716" s="6" t="n">
        <v>152462</v>
      </c>
      <c r="D716" s="6" t="inlineStr">
        <is>
          <t>Shampoo para Niños Johnson's Gotas de Brillo x 400 ml</t>
        </is>
      </c>
      <c r="E716" s="6" t="inlineStr">
        <is>
          <t>Johnson's</t>
        </is>
      </c>
      <c r="F716" s="6" t="n">
        <v>7169</v>
      </c>
      <c r="G716" s="6" t="n">
        <v>10242</v>
      </c>
      <c r="H716" s="6" t="b">
        <v>1</v>
      </c>
      <c r="I716" s="6" t="n">
        <v>400</v>
      </c>
      <c r="J716" s="6" t="n">
        <v>17.9225</v>
      </c>
      <c r="K716" s="6" t="inlineStr">
        <is>
          <t>&gt; Bebés &gt; Higiene del Bebé &gt; Baño Del Bebé &gt;</t>
        </is>
      </c>
      <c r="L716" s="6" t="inlineStr">
        <is>
          <t>shampoo</t>
        </is>
      </c>
      <c r="M716" s="6" t="inlineStr">
        <is>
          <t>estandar</t>
        </is>
      </c>
      <c r="N716" s="6" t="inlineStr">
        <is>
          <t>bebe</t>
        </is>
      </c>
      <c r="O716" s="6" t="inlineStr">
        <is>
          <t>https://www.farmacity.com/shampoo-gotas-de-brillo-x-400-ml/p</t>
        </is>
      </c>
    </row>
    <row r="717">
      <c r="A717" t="inlineStr">
        <is>
          <t>Farmacity</t>
        </is>
      </c>
      <c r="B717" t="n">
        <v>560</v>
      </c>
      <c r="C717" t="n">
        <v>45401</v>
      </c>
      <c r="D717" t="inlineStr">
        <is>
          <t>Shampoo para Bebé Johnson's Original x 400 ml</t>
        </is>
      </c>
      <c r="E717" t="inlineStr">
        <is>
          <t>Johnson's</t>
        </is>
      </c>
      <c r="F717" t="n">
        <v>8331</v>
      </c>
      <c r="G717" t="n">
        <v>11902</v>
      </c>
      <c r="H717" t="b">
        <v>1</v>
      </c>
      <c r="I717" t="n">
        <v>400</v>
      </c>
      <c r="J717" t="n">
        <v>20.8275</v>
      </c>
      <c r="K717" t="inlineStr">
        <is>
          <t>&gt; Bebés &gt; Higiene del Bebé &gt; Baño Del Bebé &gt;</t>
        </is>
      </c>
      <c r="L717" t="inlineStr">
        <is>
          <t>shampoo</t>
        </is>
      </c>
      <c r="M717" t="inlineStr">
        <is>
          <t>estandar</t>
        </is>
      </c>
      <c r="N717" t="inlineStr">
        <is>
          <t>bebe</t>
        </is>
      </c>
      <c r="O717" t="inlineStr">
        <is>
          <t>https://www.farmacity.com/shampoo-con-ph-balanceado-suave-para-ojos-y-cabello-x-400-ml/p</t>
        </is>
      </c>
    </row>
    <row r="718">
      <c r="A718" s="6" t="inlineStr">
        <is>
          <t>Farmacity</t>
        </is>
      </c>
      <c r="B718" s="6" t="n">
        <v>241</v>
      </c>
      <c r="C718" s="6" t="n">
        <v>12715</v>
      </c>
      <c r="D718" s="6" t="inlineStr">
        <is>
          <t>Shampoo para Bebé Johnson's Original x 200 ml</t>
        </is>
      </c>
      <c r="E718" s="6" t="inlineStr">
        <is>
          <t>Johnson's</t>
        </is>
      </c>
      <c r="F718" s="6" t="n">
        <v>5018</v>
      </c>
      <c r="G718" s="6" t="n">
        <v>7168</v>
      </c>
      <c r="H718" s="6" t="b">
        <v>1</v>
      </c>
      <c r="I718" s="6" t="n">
        <v>200</v>
      </c>
      <c r="J718" s="6" t="n">
        <v>25.09</v>
      </c>
      <c r="K718" s="6" t="inlineStr">
        <is>
          <t>&gt; Bebés &gt; Higiene del Bebé &gt; Baño Del Bebé &gt;</t>
        </is>
      </c>
      <c r="L718" s="6" t="inlineStr">
        <is>
          <t>shampoo</t>
        </is>
      </c>
      <c r="M718" s="6" t="inlineStr">
        <is>
          <t>estandar</t>
        </is>
      </c>
      <c r="N718" s="6" t="inlineStr">
        <is>
          <t>bebe</t>
        </is>
      </c>
      <c r="O718" s="6" t="inlineStr">
        <is>
          <t>https://www.farmacity.com/shampoo-con-ph-balanceado-suave-para-ojos-y-cabello-x-200-ml/p</t>
        </is>
      </c>
    </row>
    <row r="719">
      <c r="A719" t="inlineStr">
        <is>
          <t>Farmacity</t>
        </is>
      </c>
      <c r="B719" t="n">
        <v>223269</v>
      </c>
      <c r="C719" t="n">
        <v>223269</v>
      </c>
      <c r="D719" t="inlineStr">
        <is>
          <t>Shampoo para Niños Johnson’s Baby Rulos de Ensueños x 200 ml</t>
        </is>
      </c>
      <c r="E719" t="inlineStr">
        <is>
          <t>Johnson's</t>
        </is>
      </c>
      <c r="F719" t="n">
        <v>4540</v>
      </c>
      <c r="G719" t="n">
        <v>6486</v>
      </c>
      <c r="H719" t="b">
        <v>1</v>
      </c>
      <c r="I719" t="n">
        <v>200</v>
      </c>
      <c r="J719" t="n">
        <v>22.7</v>
      </c>
      <c r="K719" t="inlineStr">
        <is>
          <t>&gt; Bebés &gt; Higiene del Bebé &gt; Baño Del Bebé &gt;</t>
        </is>
      </c>
      <c r="L719" t="inlineStr">
        <is>
          <t>shampoo</t>
        </is>
      </c>
      <c r="M719" t="inlineStr">
        <is>
          <t>estandar</t>
        </is>
      </c>
      <c r="N719" t="inlineStr">
        <is>
          <t>rizado</t>
        </is>
      </c>
      <c r="O719" t="inlineStr">
        <is>
          <t>https://www.farmacity.com/shampoo-johnsons-baby-rulos-de-ensuenos-x-200-ml/p</t>
        </is>
      </c>
    </row>
    <row r="720">
      <c r="A720" s="6" t="inlineStr">
        <is>
          <t>Farmacity</t>
        </is>
      </c>
      <c r="B720" s="6" t="n">
        <v>237262</v>
      </c>
      <c r="C720" s="6" t="n">
        <v>237262</v>
      </c>
      <c r="D720" s="6" t="inlineStr">
        <is>
          <t>Shampoo Capilatis Plex Reparación Absoluta x 350 ml</t>
        </is>
      </c>
      <c r="E720" s="6" t="inlineStr">
        <is>
          <t>Capilatis</t>
        </is>
      </c>
      <c r="F720" s="6" t="n">
        <v>13000</v>
      </c>
      <c r="G720" s="6" t="n">
        <v>13000</v>
      </c>
      <c r="H720" s="6" t="b">
        <v>1</v>
      </c>
      <c r="I720" s="6" t="n">
        <v>350</v>
      </c>
      <c r="J720" s="6" t="n">
        <v>37.1429</v>
      </c>
      <c r="K720" s="6" t="inlineStr">
        <is>
          <t>&gt; Cuidado Capilar &gt; Shampoo Y Acondicionador &gt;</t>
        </is>
      </c>
      <c r="L720" s="6" t="inlineStr">
        <is>
          <t>shampoo</t>
        </is>
      </c>
      <c r="M720" s="6" t="inlineStr">
        <is>
          <t>estandar</t>
        </is>
      </c>
      <c r="N720" s="6" t="inlineStr">
        <is>
          <t>general</t>
        </is>
      </c>
      <c r="O720" s="6" t="inlineStr">
        <is>
          <t>https://www.farmacity.com/shampoo-capilatis-plex-reparacion-absoluta-x-350-ml/p</t>
        </is>
      </c>
    </row>
    <row r="721">
      <c r="A721" t="inlineStr">
        <is>
          <t>Farmacity</t>
        </is>
      </c>
      <c r="B721" t="n">
        <v>229631</v>
      </c>
      <c r="C721" t="n">
        <v>229631</v>
      </c>
      <c r="D721" t="inlineStr">
        <is>
          <t>Acondiconador Dove Real Fuerza + Bambú x 300 ml</t>
        </is>
      </c>
      <c r="E721" t="inlineStr">
        <is>
          <t>Dove</t>
        </is>
      </c>
      <c r="F721" t="n">
        <v>3437</v>
      </c>
      <c r="G721" t="n">
        <v>6874</v>
      </c>
      <c r="H721" t="b">
        <v>1</v>
      </c>
      <c r="I721" t="n">
        <v>300</v>
      </c>
      <c r="J721" t="n">
        <v>11.4567</v>
      </c>
      <c r="K721" t="inlineStr">
        <is>
          <t>&gt; Cuidado Capilar &gt; Shampoo Y Acondicionador &gt;</t>
        </is>
      </c>
      <c r="L721" t="inlineStr">
        <is>
          <t>shampoo</t>
        </is>
      </c>
      <c r="M721" t="inlineStr">
        <is>
          <t>estandar</t>
        </is>
      </c>
      <c r="N721" t="inlineStr">
        <is>
          <t>general</t>
        </is>
      </c>
      <c r="O721" t="inlineStr">
        <is>
          <t>https://www.farmacity.com/acondiconador-dove-poder-de-las-plantas-fuerza-bambu-6-un-x-300-ml/p</t>
        </is>
      </c>
    </row>
    <row r="722">
      <c r="A722" s="6" t="inlineStr">
        <is>
          <t>Farmacity</t>
        </is>
      </c>
      <c r="B722" s="6" t="n">
        <v>228960</v>
      </c>
      <c r="C722" s="6" t="n">
        <v>228960</v>
      </c>
      <c r="D722" s="6" t="inlineStr">
        <is>
          <t>Shampoo Solido Ruh Natural Yellow Submarine x 65 g</t>
        </is>
      </c>
      <c r="E722" s="6" t="inlineStr">
        <is>
          <t>Ruh Natural</t>
        </is>
      </c>
      <c r="F722" s="6" t="n">
        <v>13508</v>
      </c>
      <c r="G722" s="6" t="n">
        <v>13508</v>
      </c>
      <c r="H722" s="6" t="b">
        <v>1</v>
      </c>
      <c r="I722" s="6" t="n">
        <v>65</v>
      </c>
      <c r="J722" s="6" t="n">
        <v>207.8154</v>
      </c>
      <c r="K722" s="6" t="inlineStr">
        <is>
          <t>&gt; Cuidado Capilar &gt; Shampoo Y Acondicionador &gt;</t>
        </is>
      </c>
      <c r="L722" s="6" t="inlineStr">
        <is>
          <t>shampoo</t>
        </is>
      </c>
      <c r="M722" s="6" t="inlineStr">
        <is>
          <t>estandar</t>
        </is>
      </c>
      <c r="N722" s="6" t="inlineStr">
        <is>
          <t>general</t>
        </is>
      </c>
      <c r="O722" s="6" t="inlineStr">
        <is>
          <t>https://www.farmacity.com/shampoo-solido-ruh-yellow-submarine-cabello-danado-x-65-g/p</t>
        </is>
      </c>
    </row>
    <row r="723">
      <c r="A723" t="inlineStr">
        <is>
          <t>Farmacity</t>
        </is>
      </c>
      <c r="B723" t="n">
        <v>4486</v>
      </c>
      <c r="C723" t="n">
        <v>139286</v>
      </c>
      <c r="D723" t="inlineStr">
        <is>
          <t>Shampoo para Bebé Johnson's Cabello Claro x 200 ml</t>
        </is>
      </c>
      <c r="E723" t="inlineStr">
        <is>
          <t>Johnson's</t>
        </is>
      </c>
      <c r="F723" t="n">
        <v>5018</v>
      </c>
      <c r="G723" t="n">
        <v>7169</v>
      </c>
      <c r="H723" t="b">
        <v>1</v>
      </c>
      <c r="I723" t="n">
        <v>200</v>
      </c>
      <c r="J723" t="n">
        <v>25.09</v>
      </c>
      <c r="K723" t="inlineStr">
        <is>
          <t>&gt; Bebés &gt; Higiene del Bebé &gt; Baño Del Bebé &gt;</t>
        </is>
      </c>
      <c r="L723" t="inlineStr">
        <is>
          <t>shampoo</t>
        </is>
      </c>
      <c r="M723" t="inlineStr">
        <is>
          <t>estandar</t>
        </is>
      </c>
      <c r="N723" t="inlineStr">
        <is>
          <t>bebe</t>
        </is>
      </c>
      <c r="O723" t="inlineStr">
        <is>
          <t>https://www.farmacity.com/shampoo-con-manzanilla-cabello-claro-x-200-ml/p</t>
        </is>
      </c>
    </row>
    <row r="724">
      <c r="A724" s="6" t="inlineStr">
        <is>
          <t>Farmacity</t>
        </is>
      </c>
      <c r="B724" s="6" t="n">
        <v>249574</v>
      </c>
      <c r="C724" s="6" t="n">
        <v>249574</v>
      </c>
      <c r="D724" s="6" t="inlineStr">
        <is>
          <t>Shampoo Head &amp; Shoulders Romero Anti Caida x 375 ml</t>
        </is>
      </c>
      <c r="E724" s="6" t="inlineStr">
        <is>
          <t>Head and Shoulders</t>
        </is>
      </c>
      <c r="F724" s="6" t="n">
        <v>7895</v>
      </c>
      <c r="G724" s="6" t="n">
        <v>12146</v>
      </c>
      <c r="H724" s="6" t="b">
        <v>1</v>
      </c>
      <c r="I724" s="6" t="n">
        <v>375</v>
      </c>
      <c r="J724" s="6" t="n">
        <v>21.0533</v>
      </c>
      <c r="K724" s="6" t="inlineStr">
        <is>
          <t>&gt; Cuidado Capilar &gt; Shampoo Y Acondicionador &gt;</t>
        </is>
      </c>
      <c r="L724" s="6" t="inlineStr">
        <is>
          <t>shampoo</t>
        </is>
      </c>
      <c r="M724" s="6" t="inlineStr">
        <is>
          <t>estandar</t>
        </is>
      </c>
      <c r="N724" s="6" t="inlineStr">
        <is>
          <t>general</t>
        </is>
      </c>
      <c r="O724" s="6" t="inlineStr">
        <is>
          <t>https://www.farmacity.com/shampoo-head---shoulders-romero-anti-caida-x-375-ml/p</t>
        </is>
      </c>
    </row>
    <row r="725">
      <c r="A725" t="inlineStr">
        <is>
          <t>Farmacity</t>
        </is>
      </c>
      <c r="B725" t="n">
        <v>245508</v>
      </c>
      <c r="C725" t="n">
        <v>245508</v>
      </c>
      <c r="D725" t="inlineStr">
        <is>
          <t>Shampoo Tio Nacho Control Caspa 2 en 1 x 415 ml</t>
        </is>
      </c>
      <c r="E725" t="inlineStr">
        <is>
          <t>Tío Nacho</t>
        </is>
      </c>
      <c r="F725" t="n">
        <v>11750</v>
      </c>
      <c r="G725" t="n">
        <v>11750</v>
      </c>
      <c r="H725" t="b">
        <v>1</v>
      </c>
      <c r="I725" t="n">
        <v>415</v>
      </c>
      <c r="J725" t="n">
        <v>28.3133</v>
      </c>
      <c r="K725" t="inlineStr">
        <is>
          <t>&gt; Cuidado Capilar &gt; Shampoo Y Acondicionador &gt;</t>
        </is>
      </c>
      <c r="L725" t="inlineStr">
        <is>
          <t>shampoo</t>
        </is>
      </c>
      <c r="M725" t="inlineStr">
        <is>
          <t>estandar</t>
        </is>
      </c>
      <c r="N725" t="inlineStr">
        <is>
          <t>anticaspa</t>
        </is>
      </c>
      <c r="O725" t="inlineStr">
        <is>
          <t>https://www.farmacity.com/shampoo-tio-nacho-control-caspa-2-en-1-x-415-ml/p</t>
        </is>
      </c>
    </row>
    <row r="726">
      <c r="A726" s="6" t="inlineStr">
        <is>
          <t>Farmacity</t>
        </is>
      </c>
      <c r="B726" s="6" t="n">
        <v>221685</v>
      </c>
      <c r="C726" s="6" t="n">
        <v>221685</v>
      </c>
      <c r="D726" s="6" t="inlineStr">
        <is>
          <t>Mascarilla Elvive Hidra Hialuronico x 300 g</t>
        </is>
      </c>
      <c r="E726" s="6" t="inlineStr">
        <is>
          <t>Elvive</t>
        </is>
      </c>
      <c r="F726" s="6" t="n">
        <v>11190</v>
      </c>
      <c r="G726" s="6" t="n">
        <v>11190</v>
      </c>
      <c r="H726" s="6" t="b">
        <v>1</v>
      </c>
      <c r="I726" s="6" t="n">
        <v>300</v>
      </c>
      <c r="J726" s="6" t="n">
        <v>37.3</v>
      </c>
      <c r="K726" s="6" t="inlineStr">
        <is>
          <t>&gt; Cuidado Capilar &gt; Reparación Y Tratamiento &gt;</t>
        </is>
      </c>
      <c r="L726" s="6" t="inlineStr">
        <is>
          <t>tratamiento</t>
        </is>
      </c>
      <c r="M726" s="6" t="inlineStr">
        <is>
          <t>profesional</t>
        </is>
      </c>
      <c r="N726" s="6" t="inlineStr">
        <is>
          <t>general</t>
        </is>
      </c>
      <c r="O726" s="6" t="inlineStr">
        <is>
          <t>https://www.farmacity.com/tratamiento-capilar-elvive-hidra-hialuronico-x-300-ml/p</t>
        </is>
      </c>
    </row>
    <row r="727">
      <c r="A727" t="inlineStr">
        <is>
          <t>Farmacity</t>
        </is>
      </c>
      <c r="B727" t="n">
        <v>6111</v>
      </c>
      <c r="C727" t="n">
        <v>147253</v>
      </c>
      <c r="D727" t="inlineStr">
        <is>
          <t>Shampoo Elvive Óleo Extraordinario Nutrición x 400 ml</t>
        </is>
      </c>
      <c r="E727" t="inlineStr">
        <is>
          <t>Elvive</t>
        </is>
      </c>
      <c r="F727" t="n">
        <v>6714</v>
      </c>
      <c r="G727" t="n">
        <v>11190</v>
      </c>
      <c r="H727" t="b">
        <v>1</v>
      </c>
      <c r="I727" t="n">
        <v>400</v>
      </c>
      <c r="J727" t="n">
        <v>16.785</v>
      </c>
      <c r="K727" t="inlineStr">
        <is>
          <t>&gt; Cuidado Capilar &gt; Shampoo Y Acondicionador &gt;</t>
        </is>
      </c>
      <c r="L727" t="inlineStr">
        <is>
          <t>shampoo</t>
        </is>
      </c>
      <c r="M727" t="inlineStr">
        <is>
          <t>profesional</t>
        </is>
      </c>
      <c r="N727" t="inlineStr">
        <is>
          <t>general</t>
        </is>
      </c>
      <c r="O727" t="inlineStr">
        <is>
          <t>https://www.farmacity.com/shampoo-oleo-extraordinario-nutricion-universal-x-400-ml/p</t>
        </is>
      </c>
    </row>
    <row r="728">
      <c r="A728" s="6" t="inlineStr">
        <is>
          <t>Farmacity</t>
        </is>
      </c>
      <c r="B728" s="6" t="n">
        <v>231819</v>
      </c>
      <c r="C728" s="6" t="n">
        <v>231819</v>
      </c>
      <c r="D728" s="6" t="inlineStr">
        <is>
          <t>Shampoo Elvive 2 en 1 Reparación Total 5 x 400 ml</t>
        </is>
      </c>
      <c r="E728" s="6" t="inlineStr">
        <is>
          <t>Elvive</t>
        </is>
      </c>
      <c r="F728" s="6" t="n">
        <v>6714</v>
      </c>
      <c r="G728" s="6" t="n">
        <v>11190</v>
      </c>
      <c r="H728" s="6" t="b">
        <v>1</v>
      </c>
      <c r="I728" s="6" t="n">
        <v>400</v>
      </c>
      <c r="J728" s="6" t="n">
        <v>16.785</v>
      </c>
      <c r="K728" s="6" t="inlineStr">
        <is>
          <t>&gt; Cuidado Capilar &gt; Shampoo Y Acondicionador &gt;</t>
        </is>
      </c>
      <c r="L728" s="6" t="inlineStr">
        <is>
          <t>shampoo</t>
        </is>
      </c>
      <c r="M728" s="6" t="inlineStr">
        <is>
          <t>profesional</t>
        </is>
      </c>
      <c r="N728" s="6" t="inlineStr">
        <is>
          <t>general</t>
        </is>
      </c>
      <c r="O728" s="6" t="inlineStr">
        <is>
          <t>https://www.farmacity.com/shampoo-elvive-reparacion-total-5-2-en-1-x-400-ml/p</t>
        </is>
      </c>
    </row>
    <row r="729">
      <c r="A729" t="inlineStr">
        <is>
          <t>Farmacity</t>
        </is>
      </c>
      <c r="B729" t="n">
        <v>244694</v>
      </c>
      <c r="C729" t="n">
        <v>244694</v>
      </c>
      <c r="D729" t="inlineStr">
        <is>
          <t>Shampoo Elvive Dream Liso x 400 ml</t>
        </is>
      </c>
      <c r="E729" t="inlineStr">
        <is>
          <t>Elvive</t>
        </is>
      </c>
      <c r="F729" t="n">
        <v>7494</v>
      </c>
      <c r="G729" t="n">
        <v>12490</v>
      </c>
      <c r="H729" t="b">
        <v>1</v>
      </c>
      <c r="I729" t="n">
        <v>400</v>
      </c>
      <c r="J729" t="n">
        <v>18.735</v>
      </c>
      <c r="K729" t="inlineStr">
        <is>
          <t>&gt; Cuidado Capilar &gt; Shampoo Y Acondicionador &gt;</t>
        </is>
      </c>
      <c r="L729" t="inlineStr">
        <is>
          <t>shampoo</t>
        </is>
      </c>
      <c r="M729" t="inlineStr">
        <is>
          <t>profesional</t>
        </is>
      </c>
      <c r="N729" t="inlineStr">
        <is>
          <t>general</t>
        </is>
      </c>
      <c r="O729" t="inlineStr">
        <is>
          <t>https://www.farmacity.com/shampoo-elvive-dream-liso-x-400-ml/p</t>
        </is>
      </c>
    </row>
    <row r="730">
      <c r="A730" s="6" t="inlineStr">
        <is>
          <t>Farmacity</t>
        </is>
      </c>
      <c r="B730" s="6" t="n">
        <v>147271</v>
      </c>
      <c r="C730" s="6" t="n">
        <v>147271</v>
      </c>
      <c r="D730" s="6" t="inlineStr">
        <is>
          <t>Mascarilla  Elvive Óleo Extraordinario Coco x 300 g</t>
        </is>
      </c>
      <c r="E730" s="6" t="inlineStr">
        <is>
          <t>Elvive</t>
        </is>
      </c>
      <c r="F730" s="6" t="n">
        <v>5595</v>
      </c>
      <c r="G730" s="6" t="n">
        <v>11190</v>
      </c>
      <c r="H730" s="6" t="b">
        <v>1</v>
      </c>
      <c r="I730" s="6" t="n">
        <v>300</v>
      </c>
      <c r="J730" s="6" t="n">
        <v>18.65</v>
      </c>
      <c r="K730" s="6" t="inlineStr">
        <is>
          <t>&gt; Cuidado Capilar &gt; Reparación Y Tratamiento &gt;</t>
        </is>
      </c>
      <c r="L730" s="6" t="inlineStr">
        <is>
          <t>tratamiento</t>
        </is>
      </c>
      <c r="M730" s="6" t="inlineStr">
        <is>
          <t>profesional</t>
        </is>
      </c>
      <c r="N730" s="6" t="inlineStr">
        <is>
          <t>general</t>
        </is>
      </c>
      <c r="O730" s="6" t="inlineStr">
        <is>
          <t>https://www.farmacity.com/mascarilla--elvive-oleo-extraordinario-coco-x-300-g/p</t>
        </is>
      </c>
    </row>
    <row r="731">
      <c r="A731" t="inlineStr">
        <is>
          <t>Farmacity</t>
        </is>
      </c>
      <c r="B731" t="n">
        <v>245460</v>
      </c>
      <c r="C731" t="n">
        <v>245460</v>
      </c>
      <c r="D731" t="inlineStr">
        <is>
          <t>Tratamiento Garnier Fructis Hair Food Máscara Ananá x 350 ml</t>
        </is>
      </c>
      <c r="E731" t="inlineStr">
        <is>
          <t>Fructis</t>
        </is>
      </c>
      <c r="F731" t="n">
        <v>13990</v>
      </c>
      <c r="G731" t="n">
        <v>13990</v>
      </c>
      <c r="H731" t="b">
        <v>1</v>
      </c>
      <c r="I731" t="n">
        <v>350</v>
      </c>
      <c r="J731" t="n">
        <v>39.9714</v>
      </c>
      <c r="K731" t="inlineStr">
        <is>
          <t>&gt; Cuidado Capilar &gt; Reparación Y Tratamiento &gt;</t>
        </is>
      </c>
      <c r="L731" t="inlineStr">
        <is>
          <t>tratamiento</t>
        </is>
      </c>
      <c r="M731" t="inlineStr">
        <is>
          <t>estandar</t>
        </is>
      </c>
      <c r="N731" t="inlineStr">
        <is>
          <t>general</t>
        </is>
      </c>
      <c r="O731" t="inlineStr">
        <is>
          <t>https://www.farmacity.com/tratamiento-garnier-fructis-hair-food-mascara-anana-x-350-ml/p</t>
        </is>
      </c>
    </row>
    <row r="732">
      <c r="A732" s="6" t="inlineStr">
        <is>
          <t>Farmacity</t>
        </is>
      </c>
      <c r="B732" s="6" t="n">
        <v>232292</v>
      </c>
      <c r="C732" s="6" t="n">
        <v>232292</v>
      </c>
      <c r="D732" s="6" t="inlineStr">
        <is>
          <t>Kit Rutina Completa L'Oreal Paris Elvive Óleo Extraordinario</t>
        </is>
      </c>
      <c r="E732" s="6" t="inlineStr">
        <is>
          <t>Elvive</t>
        </is>
      </c>
      <c r="F732" s="6" t="n">
        <v>32136</v>
      </c>
      <c r="G732" s="6" t="n">
        <v>53560</v>
      </c>
      <c r="H732" s="6" t="b">
        <v>1</v>
      </c>
      <c r="I732" s="6" t="inlineStr"/>
      <c r="J732" s="6" t="inlineStr"/>
      <c r="K732" s="6" t="inlineStr">
        <is>
          <t>&gt; Cuidado Capilar &gt; Shampoo Y Acondicionador &gt;</t>
        </is>
      </c>
      <c r="L732" s="6" t="inlineStr">
        <is>
          <t>tratamiento</t>
        </is>
      </c>
      <c r="M732" s="6" t="inlineStr">
        <is>
          <t>profesional</t>
        </is>
      </c>
      <c r="N732" s="6" t="inlineStr">
        <is>
          <t>general</t>
        </is>
      </c>
      <c r="O732" s="6" t="inlineStr">
        <is>
          <t>https://www.farmacity.com/kit-elvive-oleo-extraordinario/p</t>
        </is>
      </c>
    </row>
    <row r="733">
      <c r="A733" t="inlineStr">
        <is>
          <t>Farmacity</t>
        </is>
      </c>
      <c r="B733" t="n">
        <v>246478</v>
      </c>
      <c r="C733" t="n">
        <v>246478</v>
      </c>
      <c r="D733" t="inlineStr">
        <is>
          <t>Crema Tratamiento Elvive Dream Liso 3-1 x 300 ml</t>
        </is>
      </c>
      <c r="E733" t="inlineStr">
        <is>
          <t>Elvive</t>
        </is>
      </c>
      <c r="F733" t="n">
        <v>18990</v>
      </c>
      <c r="G733" t="n">
        <v>18990</v>
      </c>
      <c r="H733" t="b">
        <v>1</v>
      </c>
      <c r="I733" t="n">
        <v>300</v>
      </c>
      <c r="J733" t="n">
        <v>63.3</v>
      </c>
      <c r="K733" t="inlineStr">
        <is>
          <t>&gt; Cuidado Capilar &gt; Reparación Y Tratamiento &gt;</t>
        </is>
      </c>
      <c r="L733" t="inlineStr">
        <is>
          <t>tratamiento</t>
        </is>
      </c>
      <c r="M733" t="inlineStr">
        <is>
          <t>profesional</t>
        </is>
      </c>
      <c r="N733" t="inlineStr">
        <is>
          <t>general</t>
        </is>
      </c>
      <c r="O733" t="inlineStr">
        <is>
          <t>https://www.farmacity.com/crema-tratamiento-elvive-dream-liso-3-1-x-300-ml/p</t>
        </is>
      </c>
    </row>
    <row r="734">
      <c r="A734" s="6" t="inlineStr">
        <is>
          <t>Farmacity</t>
        </is>
      </c>
      <c r="B734" s="6" t="n">
        <v>239939</v>
      </c>
      <c r="C734" s="6" t="n">
        <v>239939</v>
      </c>
      <c r="D734" s="6" t="inlineStr">
        <is>
          <t>Acondicionador Pantene Keratina x 400 ml</t>
        </is>
      </c>
      <c r="E734" s="6" t="inlineStr">
        <is>
          <t>Pantene</t>
        </is>
      </c>
      <c r="F734" s="6" t="n">
        <v>9247</v>
      </c>
      <c r="G734" s="6" t="n">
        <v>9247</v>
      </c>
      <c r="H734" s="6" t="b">
        <v>0</v>
      </c>
      <c r="I734" s="6" t="n">
        <v>400</v>
      </c>
      <c r="J734" s="6" t="n">
        <v>23.1175</v>
      </c>
      <c r="K734" s="6" t="inlineStr">
        <is>
          <t>&gt; Cuidado Capilar &gt; Shampoo Y Acondicionador &gt;</t>
        </is>
      </c>
      <c r="L734" s="6" t="inlineStr">
        <is>
          <t>acondicionador</t>
        </is>
      </c>
      <c r="M734" s="6" t="inlineStr">
        <is>
          <t>estandar</t>
        </is>
      </c>
      <c r="N734" s="6" t="inlineStr">
        <is>
          <t>tratado</t>
        </is>
      </c>
      <c r="O734" s="6" t="inlineStr">
        <is>
          <t>https://www.farmacity.com/acondicionador-pantene-keratina-x-400-ml/p</t>
        </is>
      </c>
    </row>
    <row r="735">
      <c r="A735" t="inlineStr">
        <is>
          <t>Farmacity</t>
        </is>
      </c>
      <c r="B735" t="n">
        <v>230215</v>
      </c>
      <c r="C735" t="n">
        <v>230215</v>
      </c>
      <c r="D735" t="inlineStr">
        <is>
          <t>Acondicionador Pantene 3 Minute Miracle Colágeno 170 ml</t>
        </is>
      </c>
      <c r="E735" t="inlineStr">
        <is>
          <t>Pantene</t>
        </is>
      </c>
      <c r="F735" t="n">
        <v>6622</v>
      </c>
      <c r="G735" t="n">
        <v>6622</v>
      </c>
      <c r="H735" t="b">
        <v>0</v>
      </c>
      <c r="I735" t="n">
        <v>170</v>
      </c>
      <c r="J735" t="n">
        <v>38.9529</v>
      </c>
      <c r="K735" t="inlineStr">
        <is>
          <t>&gt; Cuidado Capilar &gt; Shampoo Y Acondicionador &gt;</t>
        </is>
      </c>
      <c r="L735" t="inlineStr">
        <is>
          <t>acondicionador</t>
        </is>
      </c>
      <c r="M735" t="inlineStr">
        <is>
          <t>estandar</t>
        </is>
      </c>
      <c r="N735" t="inlineStr">
        <is>
          <t>general</t>
        </is>
      </c>
      <c r="O735" t="inlineStr">
        <is>
          <t>https://www.farmacity.com/acondicionador-pantene-colageno-3-minutos-x-170-ml/p</t>
        </is>
      </c>
    </row>
    <row r="736">
      <c r="A736" s="6" t="inlineStr">
        <is>
          <t>Farmacity</t>
        </is>
      </c>
      <c r="B736" s="6" t="n">
        <v>221808</v>
      </c>
      <c r="C736" s="6" t="n">
        <v>221808</v>
      </c>
      <c r="D736" s="6" t="inlineStr">
        <is>
          <t>Acondicionador Sedal Colágeno + Vitamina C x 190 ml</t>
        </is>
      </c>
      <c r="E736" s="6" t="inlineStr">
        <is>
          <t>Sedal</t>
        </is>
      </c>
      <c r="F736" s="6" t="n">
        <v>1691</v>
      </c>
      <c r="G736" s="6" t="n">
        <v>3382</v>
      </c>
      <c r="H736" s="6" t="b">
        <v>0</v>
      </c>
      <c r="I736" s="6" t="n">
        <v>190</v>
      </c>
      <c r="J736" s="6" t="n">
        <v>8.9</v>
      </c>
      <c r="K736" s="6" t="inlineStr">
        <is>
          <t>&gt; Cuidado Capilar &gt; Shampoo Y Acondicionador &gt;</t>
        </is>
      </c>
      <c r="L736" s="6" t="inlineStr">
        <is>
          <t>acondicionador</t>
        </is>
      </c>
      <c r="M736" s="6" t="inlineStr">
        <is>
          <t>estandar</t>
        </is>
      </c>
      <c r="N736" s="6" t="inlineStr">
        <is>
          <t>general</t>
        </is>
      </c>
      <c r="O736" s="6" t="inlineStr">
        <is>
          <t>https://www.farmacity.com/acondicionador-sedal-colageno-vitamina-c-x-190-ml/p</t>
        </is>
      </c>
    </row>
    <row r="737">
      <c r="A737" t="inlineStr">
        <is>
          <t>Farmacity</t>
        </is>
      </c>
      <c r="B737" t="n">
        <v>219260</v>
      </c>
      <c r="C737" t="n">
        <v>219260</v>
      </c>
      <c r="D737" t="inlineStr">
        <is>
          <t>Acondicionador John Freida Blonde Highlight x 250 ml</t>
        </is>
      </c>
      <c r="E737" t="inlineStr">
        <is>
          <t>John Frieda</t>
        </is>
      </c>
      <c r="F737" t="n">
        <v>15725</v>
      </c>
      <c r="G737" t="n">
        <v>15725</v>
      </c>
      <c r="H737" t="b">
        <v>0</v>
      </c>
      <c r="I737" t="n">
        <v>250</v>
      </c>
      <c r="J737" t="n">
        <v>62.9</v>
      </c>
      <c r="K737" t="inlineStr">
        <is>
          <t>&gt; Cuidado Capilar &gt; Shampoo Y Acondicionador &gt;</t>
        </is>
      </c>
      <c r="L737" t="inlineStr">
        <is>
          <t>acondicionador</t>
        </is>
      </c>
      <c r="M737" t="inlineStr">
        <is>
          <t>estandar</t>
        </is>
      </c>
      <c r="N737" t="inlineStr">
        <is>
          <t>general</t>
        </is>
      </c>
      <c r="O737" t="inlineStr">
        <is>
          <t>https://www.farmacity.com/acondicionador--john-freida-sheer-blonde-highlight-x-250-ml/p</t>
        </is>
      </c>
    </row>
    <row r="738">
      <c r="A738" s="6" t="inlineStr">
        <is>
          <t>Farmacity</t>
        </is>
      </c>
      <c r="B738" s="6" t="n">
        <v>219258</v>
      </c>
      <c r="C738" s="6" t="n">
        <v>219258</v>
      </c>
      <c r="D738" s="6" t="inlineStr">
        <is>
          <t>Acondicionador John Frieda Frizz Ease  x 250 ml</t>
        </is>
      </c>
      <c r="E738" s="6" t="inlineStr">
        <is>
          <t>John Frieda</t>
        </is>
      </c>
      <c r="F738" s="6" t="n">
        <v>15725</v>
      </c>
      <c r="G738" s="6" t="n">
        <v>15725</v>
      </c>
      <c r="H738" s="6" t="b">
        <v>0</v>
      </c>
      <c r="I738" s="6" t="n">
        <v>250</v>
      </c>
      <c r="J738" s="6" t="n">
        <v>62.9</v>
      </c>
      <c r="K738" s="6" t="inlineStr">
        <is>
          <t>&gt; Cuidado Capilar &gt; Shampoo Y Acondicionador &gt;</t>
        </is>
      </c>
      <c r="L738" s="6" t="inlineStr">
        <is>
          <t>acondicionador</t>
        </is>
      </c>
      <c r="M738" s="6" t="inlineStr">
        <is>
          <t>estandar</t>
        </is>
      </c>
      <c r="N738" s="6" t="inlineStr">
        <is>
          <t>general</t>
        </is>
      </c>
      <c r="O738" s="6" t="inlineStr">
        <is>
          <t>https://www.farmacity.com/acondicionador-reparador-john-frieda-full-repair-x-250-ml/p</t>
        </is>
      </c>
    </row>
    <row r="739">
      <c r="A739" t="inlineStr">
        <is>
          <t>Farmacity</t>
        </is>
      </c>
      <c r="B739" t="n">
        <v>217236</v>
      </c>
      <c r="C739" t="n">
        <v>217236</v>
      </c>
      <c r="D739" t="inlineStr">
        <is>
          <t>Acondicionador Tío Nacho Engrosador Recargable Doypack x 400 ml</t>
        </is>
      </c>
      <c r="E739" t="inlineStr">
        <is>
          <t>Tío Nacho</t>
        </is>
      </c>
      <c r="F739" t="n">
        <v>8300</v>
      </c>
      <c r="G739" t="n">
        <v>8300</v>
      </c>
      <c r="H739" t="b">
        <v>0</v>
      </c>
      <c r="I739" t="n">
        <v>400</v>
      </c>
      <c r="J739" t="n">
        <v>20.75</v>
      </c>
      <c r="K739" t="inlineStr">
        <is>
          <t>&gt; Cuidado Capilar &gt; Shampoo Y Acondicionador &gt;</t>
        </is>
      </c>
      <c r="L739" t="inlineStr">
        <is>
          <t>acondicionador</t>
        </is>
      </c>
      <c r="M739" t="inlineStr">
        <is>
          <t>estandar</t>
        </is>
      </c>
      <c r="N739" t="inlineStr">
        <is>
          <t>general</t>
        </is>
      </c>
      <c r="O739" t="inlineStr">
        <is>
          <t>https://www.farmacity.com/repuesto-economico-acondicionador-tio-nacho-engrosador-x-400-ml/p</t>
        </is>
      </c>
    </row>
    <row r="740">
      <c r="A740" s="6" t="inlineStr">
        <is>
          <t>Farmacity</t>
        </is>
      </c>
      <c r="B740" s="6" t="n">
        <v>205401</v>
      </c>
      <c r="C740" s="6" t="n">
        <v>205401</v>
      </c>
      <c r="D740" s="6" t="inlineStr">
        <is>
          <t>Acondicionador Dove 1 Minuto Factor Nutrición 50 x 170 ml</t>
        </is>
      </c>
      <c r="E740" s="6" t="inlineStr">
        <is>
          <t>Dove</t>
        </is>
      </c>
      <c r="F740" s="6" t="n">
        <v>4300</v>
      </c>
      <c r="G740" s="6" t="n">
        <v>4300</v>
      </c>
      <c r="H740" s="6" t="b">
        <v>0</v>
      </c>
      <c r="I740" s="6" t="n">
        <v>170</v>
      </c>
      <c r="J740" s="6" t="n">
        <v>25.2941</v>
      </c>
      <c r="K740" s="6" t="inlineStr">
        <is>
          <t>&gt; Cuidado Capilar &gt; Shampoo Y Acondicionador &gt;</t>
        </is>
      </c>
      <c r="L740" s="6" t="inlineStr">
        <is>
          <t>acondicionador</t>
        </is>
      </c>
      <c r="M740" s="6" t="inlineStr">
        <is>
          <t>estandar</t>
        </is>
      </c>
      <c r="N740" s="6" t="inlineStr">
        <is>
          <t>general</t>
        </is>
      </c>
      <c r="O740" s="6" t="inlineStr">
        <is>
          <t>https://www.farmacity.com/super-acondicionador-dove-factor-50x-170-ml/p</t>
        </is>
      </c>
    </row>
    <row r="741">
      <c r="A741" t="inlineStr">
        <is>
          <t>Farmacity</t>
        </is>
      </c>
      <c r="B741" t="n">
        <v>205396</v>
      </c>
      <c r="C741" t="n">
        <v>205396</v>
      </c>
      <c r="D741" t="inlineStr">
        <is>
          <t>Acondicionador Capilatis Engrosador x 410 Ml</t>
        </is>
      </c>
      <c r="E741" t="inlineStr">
        <is>
          <t>Capilatis</t>
        </is>
      </c>
      <c r="F741" t="n">
        <v>9700</v>
      </c>
      <c r="G741" t="n">
        <v>9700</v>
      </c>
      <c r="H741" t="b">
        <v>0</v>
      </c>
      <c r="I741" t="n">
        <v>410</v>
      </c>
      <c r="J741" t="n">
        <v>23.6585</v>
      </c>
      <c r="K741" t="inlineStr">
        <is>
          <t>&gt; Cuidado Capilar &gt; Shampoo Y Acondicionador &gt;</t>
        </is>
      </c>
      <c r="L741" t="inlineStr">
        <is>
          <t>acondicionador</t>
        </is>
      </c>
      <c r="M741" t="inlineStr">
        <is>
          <t>estandar</t>
        </is>
      </c>
      <c r="N741" t="inlineStr">
        <is>
          <t>general</t>
        </is>
      </c>
      <c r="O741" t="inlineStr">
        <is>
          <t>https://www.farmacity.com/acondicionador-capilatis-engrosador-x-410-ml/p</t>
        </is>
      </c>
    </row>
    <row r="742">
      <c r="A742" s="6" t="inlineStr">
        <is>
          <t>Farmacity</t>
        </is>
      </c>
      <c r="B742" s="6" t="n">
        <v>150778</v>
      </c>
      <c r="C742" s="6" t="n">
        <v>150778</v>
      </c>
      <c r="D742" s="6" t="inlineStr">
        <is>
          <t>Acondicionador Pantene Hidratación x 750 ml</t>
        </is>
      </c>
      <c r="E742" s="6" t="inlineStr">
        <is>
          <t>Pantene</t>
        </is>
      </c>
      <c r="F742" s="6" t="n">
        <v>7014</v>
      </c>
      <c r="G742" s="6" t="n">
        <v>7014</v>
      </c>
      <c r="H742" s="6" t="b">
        <v>0</v>
      </c>
      <c r="I742" s="6" t="n">
        <v>750</v>
      </c>
      <c r="J742" s="6" t="n">
        <v>9.352</v>
      </c>
      <c r="K742" s="6" t="inlineStr">
        <is>
          <t>&gt; Cuidado Capilar &gt; Shampoo Y Acondicionador &gt;</t>
        </is>
      </c>
      <c r="L742" s="6" t="inlineStr">
        <is>
          <t>acondicionador</t>
        </is>
      </c>
      <c r="M742" s="6" t="inlineStr">
        <is>
          <t>estandar</t>
        </is>
      </c>
      <c r="N742" s="6" t="inlineStr">
        <is>
          <t>seco_danado</t>
        </is>
      </c>
      <c r="O742" s="6" t="inlineStr">
        <is>
          <t>https://www.farmacity.com/acondicionador-pantene-max-pro-v-hidratacion-x-750-ml/p</t>
        </is>
      </c>
    </row>
    <row r="743">
      <c r="A743" t="inlineStr">
        <is>
          <t>Farmacity</t>
        </is>
      </c>
      <c r="B743" t="n">
        <v>143109</v>
      </c>
      <c r="C743" t="n">
        <v>143109</v>
      </c>
      <c r="D743" t="inlineStr">
        <is>
          <t>Acondicionador Hol Producto Cosm‚Tico Pomo x 250 ml</t>
        </is>
      </c>
      <c r="E743" t="inlineStr">
        <is>
          <t>Ethicus</t>
        </is>
      </c>
      <c r="F743" t="n">
        <v>8200</v>
      </c>
      <c r="G743" t="n">
        <v>8200</v>
      </c>
      <c r="H743" t="b">
        <v>0</v>
      </c>
      <c r="I743" t="n">
        <v>250</v>
      </c>
      <c r="J743" t="n">
        <v>32.8</v>
      </c>
      <c r="K743" t="inlineStr">
        <is>
          <t>&gt; Venta Bajo Receta &gt; Dermatológico &gt;</t>
        </is>
      </c>
      <c r="L743" t="inlineStr">
        <is>
          <t>acondicionador</t>
        </is>
      </c>
      <c r="M743" t="inlineStr">
        <is>
          <t>estandar</t>
        </is>
      </c>
      <c r="N743" t="inlineStr">
        <is>
          <t>general</t>
        </is>
      </c>
      <c r="O743" t="inlineStr">
        <is>
          <t>https://www.farmacity.com/acondicionador-hol-pomo-x-250-ml/p</t>
        </is>
      </c>
    </row>
    <row r="744">
      <c r="A744" s="6" t="inlineStr">
        <is>
          <t>Farmacity</t>
        </is>
      </c>
      <c r="B744" s="6" t="n">
        <v>248866</v>
      </c>
      <c r="C744" s="6" t="n">
        <v>248866</v>
      </c>
      <c r="D744" s="6" t="inlineStr">
        <is>
          <t>Acondicionador Savia Vegetal Get The Look con Aloe Vera x 205 ml</t>
        </is>
      </c>
      <c r="E744" s="6" t="inlineStr">
        <is>
          <t>Get the Look</t>
        </is>
      </c>
      <c r="F744" s="6" t="n">
        <v>9990</v>
      </c>
      <c r="G744" s="6" t="n">
        <v>9990</v>
      </c>
      <c r="H744" s="6" t="b">
        <v>0</v>
      </c>
      <c r="I744" s="6" t="n">
        <v>205</v>
      </c>
      <c r="J744" s="6" t="n">
        <v>48.7317</v>
      </c>
      <c r="K744" s="6" t="inlineStr">
        <is>
          <t>&gt; Cuidado Capilar &gt; Shampoo Y Acondicionador &gt;</t>
        </is>
      </c>
      <c r="L744" s="6" t="inlineStr">
        <is>
          <t>acondicionador</t>
        </is>
      </c>
      <c r="M744" s="6" t="inlineStr">
        <is>
          <t>estandar</t>
        </is>
      </c>
      <c r="N744" s="6" t="inlineStr">
        <is>
          <t>general</t>
        </is>
      </c>
      <c r="O744" s="6" t="inlineStr">
        <is>
          <t>https://www.farmacity.com/acondicionador-savia-vegetal-get-the-look-con-aloe-vera-x-205-ml/p</t>
        </is>
      </c>
    </row>
    <row r="745">
      <c r="A745" t="inlineStr">
        <is>
          <t>Farmacity</t>
        </is>
      </c>
      <c r="B745" t="n">
        <v>241585</v>
      </c>
      <c r="C745" t="n">
        <v>241585</v>
      </c>
      <c r="D745" t="inlineStr">
        <is>
          <t>Acondicionador Nuxe Prodigieux Brillo x 200 ml</t>
        </is>
      </c>
      <c r="E745" t="inlineStr">
        <is>
          <t>Nuxe</t>
        </is>
      </c>
      <c r="F745" t="n">
        <v>51750</v>
      </c>
      <c r="G745" t="n">
        <v>51750</v>
      </c>
      <c r="H745" t="b">
        <v>0</v>
      </c>
      <c r="I745" t="n">
        <v>200</v>
      </c>
      <c r="J745" t="n">
        <v>258.75</v>
      </c>
      <c r="K745" t="inlineStr">
        <is>
          <t>&gt; Cuidado Capilar &gt; Shampoo Y Acondicionador &gt;</t>
        </is>
      </c>
      <c r="L745" t="inlineStr">
        <is>
          <t>acondicionador</t>
        </is>
      </c>
      <c r="M745" t="inlineStr">
        <is>
          <t>estandar</t>
        </is>
      </c>
      <c r="N745" t="inlineStr">
        <is>
          <t>general</t>
        </is>
      </c>
      <c r="O745" t="inlineStr">
        <is>
          <t>https://www.farmacity.com/acondicionador-nuxe-prodigieux-brillo-x-200-ml/p</t>
        </is>
      </c>
    </row>
    <row r="746">
      <c r="A746" s="6" t="inlineStr">
        <is>
          <t>Farmacity</t>
        </is>
      </c>
      <c r="B746" s="6" t="n">
        <v>233829</v>
      </c>
      <c r="C746" s="6" t="n">
        <v>233829</v>
      </c>
      <c r="D746" s="6" t="inlineStr">
        <is>
          <t>Acondicionador Alfaparf Smooth Semi Di Lino x 200 ml</t>
        </is>
      </c>
      <c r="E746" s="6" t="inlineStr">
        <is>
          <t>Alfaparf Milano</t>
        </is>
      </c>
      <c r="F746" s="6" t="n">
        <v>55783</v>
      </c>
      <c r="G746" s="6" t="n">
        <v>55783</v>
      </c>
      <c r="H746" s="6" t="b">
        <v>0</v>
      </c>
      <c r="I746" s="6" t="n">
        <v>200</v>
      </c>
      <c r="J746" s="6" t="n">
        <v>278.915</v>
      </c>
      <c r="K746" s="6" t="inlineStr">
        <is>
          <t>&gt; Cuidado Capilar &gt; Shampoo Y Acondicionador &gt;</t>
        </is>
      </c>
      <c r="L746" s="6" t="inlineStr">
        <is>
          <t>acondicionador</t>
        </is>
      </c>
      <c r="M746" s="6" t="inlineStr">
        <is>
          <t>estandar</t>
        </is>
      </c>
      <c r="N746" s="6" t="inlineStr">
        <is>
          <t>general</t>
        </is>
      </c>
      <c r="O746" s="6" t="inlineStr">
        <is>
          <t>https://www.farmacity.com/acondicionador-alfaparf-smooth-semi-di-lino-x-200-ml/p</t>
        </is>
      </c>
    </row>
    <row r="747">
      <c r="A747" t="inlineStr">
        <is>
          <t>Farmacity</t>
        </is>
      </c>
      <c r="B747" t="n">
        <v>230664</v>
      </c>
      <c r="C747" t="n">
        <v>230664</v>
      </c>
      <c r="D747" t="inlineStr">
        <is>
          <t>Acondicionador Veganis Reparador de Coco, Calendula y Oliva x 400 ml</t>
        </is>
      </c>
      <c r="E747" t="inlineStr">
        <is>
          <t>Veganis</t>
        </is>
      </c>
      <c r="F747" t="n">
        <v>14616</v>
      </c>
      <c r="G747" t="n">
        <v>14616</v>
      </c>
      <c r="H747" t="b">
        <v>0</v>
      </c>
      <c r="I747" t="n">
        <v>400</v>
      </c>
      <c r="J747" t="n">
        <v>36.54</v>
      </c>
      <c r="K747" t="inlineStr">
        <is>
          <t>&gt; Cuidado Capilar &gt; Shampoo Y Acondicionador &gt;</t>
        </is>
      </c>
      <c r="L747" t="inlineStr">
        <is>
          <t>acondicionador</t>
        </is>
      </c>
      <c r="M747" t="inlineStr">
        <is>
          <t>estandar</t>
        </is>
      </c>
      <c r="N747" t="inlineStr">
        <is>
          <t>general</t>
        </is>
      </c>
      <c r="O747" t="inlineStr">
        <is>
          <t>https://www.farmacity.com/acondicionador-veganis-reparador-de-coco-calendula-y-oliva-x-400-ml/p</t>
        </is>
      </c>
    </row>
    <row r="748">
      <c r="A748" s="6" t="inlineStr">
        <is>
          <t>Farmacity</t>
        </is>
      </c>
      <c r="B748" s="6" t="n">
        <v>230222</v>
      </c>
      <c r="C748" s="6" t="n">
        <v>230222</v>
      </c>
      <c r="D748" s="6" t="inlineStr">
        <is>
          <t>Acondicionador Pantene Pro-V Miracles Colágeno Revitaliza 700 ml</t>
        </is>
      </c>
      <c r="E748" s="6" t="inlineStr">
        <is>
          <t>Pantene</t>
        </is>
      </c>
      <c r="F748" s="6" t="n">
        <v>15128</v>
      </c>
      <c r="G748" s="6" t="n">
        <v>15128</v>
      </c>
      <c r="H748" s="6" t="b">
        <v>0</v>
      </c>
      <c r="I748" s="6" t="n">
        <v>700</v>
      </c>
      <c r="J748" s="6" t="n">
        <v>21.6114</v>
      </c>
      <c r="K748" s="6" t="inlineStr">
        <is>
          <t>&gt; Cuidado Capilar &gt; Shampoo Y Acondicionador &gt;</t>
        </is>
      </c>
      <c r="L748" s="6" t="inlineStr">
        <is>
          <t>acondicionador</t>
        </is>
      </c>
      <c r="M748" s="6" t="inlineStr">
        <is>
          <t>profesional</t>
        </is>
      </c>
      <c r="N748" s="6" t="inlineStr">
        <is>
          <t>general</t>
        </is>
      </c>
      <c r="O748" s="6" t="inlineStr">
        <is>
          <t>https://www.farmacity.com/acondicionador-pantene-colageno-x-700-ml/p</t>
        </is>
      </c>
    </row>
    <row r="749">
      <c r="A749" t="inlineStr">
        <is>
          <t>Farmacity</t>
        </is>
      </c>
      <c r="B749" t="n">
        <v>230221</v>
      </c>
      <c r="C749" t="n">
        <v>230221</v>
      </c>
      <c r="D749" t="inlineStr">
        <is>
          <t>Acondicionador Pantene con Colágeno x 400 ml</t>
        </is>
      </c>
      <c r="E749" t="inlineStr">
        <is>
          <t>Pantene</t>
        </is>
      </c>
      <c r="F749" t="n">
        <v>9247</v>
      </c>
      <c r="G749" t="n">
        <v>9247</v>
      </c>
      <c r="H749" t="b">
        <v>0</v>
      </c>
      <c r="I749" t="n">
        <v>400</v>
      </c>
      <c r="J749" t="n">
        <v>23.1175</v>
      </c>
      <c r="K749" t="inlineStr">
        <is>
          <t>&gt; Cuidado Capilar &gt; Shampoo Y Acondicionador &gt;</t>
        </is>
      </c>
      <c r="L749" t="inlineStr">
        <is>
          <t>acondicionador</t>
        </is>
      </c>
      <c r="M749" t="inlineStr">
        <is>
          <t>estandar</t>
        </is>
      </c>
      <c r="N749" t="inlineStr">
        <is>
          <t>general</t>
        </is>
      </c>
      <c r="O749" t="inlineStr">
        <is>
          <t>https://www.farmacity.com/acondicionador-pantene-con-colageno-400-ml/p</t>
        </is>
      </c>
    </row>
    <row r="750">
      <c r="A750" s="6" t="inlineStr">
        <is>
          <t>Farmacity</t>
        </is>
      </c>
      <c r="B750" s="6" t="n">
        <v>221806</v>
      </c>
      <c r="C750" s="6" t="n">
        <v>221806</v>
      </c>
      <c r="D750" s="6" t="inlineStr">
        <is>
          <t>Acondicionador Sedal Hialurónico + Vitamina A x 190 ml</t>
        </is>
      </c>
      <c r="E750" s="6" t="inlineStr">
        <is>
          <t>Sedal</t>
        </is>
      </c>
      <c r="F750" s="6" t="n">
        <v>3382</v>
      </c>
      <c r="G750" s="6" t="n">
        <v>3382</v>
      </c>
      <c r="H750" s="6" t="b">
        <v>0</v>
      </c>
      <c r="I750" s="6" t="n">
        <v>190</v>
      </c>
      <c r="J750" s="6" t="n">
        <v>17.8</v>
      </c>
      <c r="K750" s="6" t="inlineStr">
        <is>
          <t>&gt; Cuidado Capilar &gt; Shampoo Y Acondicionador &gt;</t>
        </is>
      </c>
      <c r="L750" s="6" t="inlineStr">
        <is>
          <t>acondicionador</t>
        </is>
      </c>
      <c r="M750" s="6" t="inlineStr">
        <is>
          <t>estandar</t>
        </is>
      </c>
      <c r="N750" s="6" t="inlineStr">
        <is>
          <t>general</t>
        </is>
      </c>
      <c r="O750" s="6" t="inlineStr">
        <is>
          <t>https://www.farmacity.com/acondicionador-sedal-acido-hialuronico-vitamina-a-x-190-ml/p</t>
        </is>
      </c>
    </row>
    <row r="751">
      <c r="A751" t="inlineStr">
        <is>
          <t>Farmacity</t>
        </is>
      </c>
      <c r="B751" t="n">
        <v>221690</v>
      </c>
      <c r="C751" t="n">
        <v>221690</v>
      </c>
      <c r="D751" t="inlineStr">
        <is>
          <t>Acondicionador Herbal Essences Bio Renew 6X Aloe &amp; Mango x 250 ml</t>
        </is>
      </c>
      <c r="E751" t="inlineStr">
        <is>
          <t>Herbal Essences</t>
        </is>
      </c>
      <c r="F751" t="n">
        <v>16291</v>
      </c>
      <c r="G751" t="n">
        <v>16291</v>
      </c>
      <c r="H751" t="b">
        <v>0</v>
      </c>
      <c r="I751" t="n">
        <v>250</v>
      </c>
      <c r="J751" t="n">
        <v>65.164</v>
      </c>
      <c r="K751" t="inlineStr">
        <is>
          <t>&gt; Cuidado Capilar &gt; Shampoo Y Acondicionador &gt;</t>
        </is>
      </c>
      <c r="L751" t="inlineStr">
        <is>
          <t>acondicionador</t>
        </is>
      </c>
      <c r="M751" t="inlineStr">
        <is>
          <t>estandar</t>
        </is>
      </c>
      <c r="N751" t="inlineStr">
        <is>
          <t>general</t>
        </is>
      </c>
      <c r="O751" t="inlineStr">
        <is>
          <t>https://www.farmacity.com/acondicionador-herbal-essences-bio-renew-x6-aloe-y-mango-x-250-ml/p</t>
        </is>
      </c>
    </row>
    <row r="752">
      <c r="A752" s="6" t="inlineStr">
        <is>
          <t>Farmacity</t>
        </is>
      </c>
      <c r="B752" s="6" t="n">
        <v>218825</v>
      </c>
      <c r="C752" s="6" t="n">
        <v>218825</v>
      </c>
      <c r="D752" s="6" t="inlineStr">
        <is>
          <t>Acondicionador Pantene Bambú Nutre y Crece x 200 ml</t>
        </is>
      </c>
      <c r="E752" s="6" t="inlineStr">
        <is>
          <t>Pantene</t>
        </is>
      </c>
      <c r="F752" s="6" t="n">
        <v>3002</v>
      </c>
      <c r="G752" s="6" t="n">
        <v>3002</v>
      </c>
      <c r="H752" s="6" t="b">
        <v>0</v>
      </c>
      <c r="I752" s="6" t="n">
        <v>200</v>
      </c>
      <c r="J752" s="6" t="n">
        <v>15.01</v>
      </c>
      <c r="K752" s="6" t="inlineStr">
        <is>
          <t>&gt; Cuidado Capilar &gt; Shampoo Y Acondicionador &gt;</t>
        </is>
      </c>
      <c r="L752" s="6" t="inlineStr">
        <is>
          <t>acondicionador</t>
        </is>
      </c>
      <c r="M752" s="6" t="inlineStr">
        <is>
          <t>estandar</t>
        </is>
      </c>
      <c r="N752" s="6" t="inlineStr">
        <is>
          <t>general</t>
        </is>
      </c>
      <c r="O752" s="6" t="inlineStr">
        <is>
          <t>https://www.farmacity.com/acondicionador-pantene-bambu-nutre-y-crece-x-200-ml/p</t>
        </is>
      </c>
    </row>
    <row r="753">
      <c r="A753" t="inlineStr">
        <is>
          <t>Farmacity</t>
        </is>
      </c>
      <c r="B753" t="n">
        <v>218824</v>
      </c>
      <c r="C753" t="n">
        <v>218824</v>
      </c>
      <c r="D753" t="inlineStr">
        <is>
          <t>Acondicionador Pantene Bambú Nutre y Crece x 400 ml</t>
        </is>
      </c>
      <c r="E753" t="inlineStr">
        <is>
          <t>Pantene</t>
        </is>
      </c>
      <c r="F753" t="n">
        <v>8083</v>
      </c>
      <c r="G753" t="n">
        <v>8083</v>
      </c>
      <c r="H753" t="b">
        <v>0</v>
      </c>
      <c r="I753" t="n">
        <v>400</v>
      </c>
      <c r="J753" t="n">
        <v>20.2075</v>
      </c>
      <c r="K753" t="inlineStr">
        <is>
          <t>&gt; Cuidado Capilar &gt; Shampoo Y Acondicionador &gt;</t>
        </is>
      </c>
      <c r="L753" t="inlineStr">
        <is>
          <t>acondicionador</t>
        </is>
      </c>
      <c r="M753" t="inlineStr">
        <is>
          <t>estandar</t>
        </is>
      </c>
      <c r="N753" t="inlineStr">
        <is>
          <t>general</t>
        </is>
      </c>
      <c r="O753" t="inlineStr">
        <is>
          <t>https://www.farmacity.com/acondicionador-pantene-bambu-nutre-y-crece-x-400-ml/p</t>
        </is>
      </c>
    </row>
    <row r="754">
      <c r="A754" s="6" t="inlineStr">
        <is>
          <t>Farmacity</t>
        </is>
      </c>
      <c r="B754" s="6" t="n">
        <v>217238</v>
      </c>
      <c r="C754" s="6" t="n">
        <v>217238</v>
      </c>
      <c r="D754" s="6" t="inlineStr">
        <is>
          <t>Acondicionador Tío Nacho Aclarante Recargable x 400 ml</t>
        </is>
      </c>
      <c r="E754" s="6" t="inlineStr">
        <is>
          <t>Tío Nacho</t>
        </is>
      </c>
      <c r="F754" s="6" t="n">
        <v>8300</v>
      </c>
      <c r="G754" s="6" t="n">
        <v>8300</v>
      </c>
      <c r="H754" s="6" t="b">
        <v>0</v>
      </c>
      <c r="I754" s="6" t="n">
        <v>400</v>
      </c>
      <c r="J754" s="6" t="n">
        <v>20.75</v>
      </c>
      <c r="K754" s="6" t="inlineStr">
        <is>
          <t>&gt; Cuidado Capilar &gt; Shampoo Y Acondicionador &gt;</t>
        </is>
      </c>
      <c r="L754" s="6" t="inlineStr">
        <is>
          <t>acondicionador</t>
        </is>
      </c>
      <c r="M754" s="6" t="inlineStr">
        <is>
          <t>estandar</t>
        </is>
      </c>
      <c r="N754" s="6" t="inlineStr">
        <is>
          <t>general</t>
        </is>
      </c>
      <c r="O754" s="6" t="inlineStr">
        <is>
          <t>https://www.farmacity.com/repuesto-economico-acondicionador-tio-nacho-aclarante-x-400-ml/p</t>
        </is>
      </c>
    </row>
    <row r="755">
      <c r="A755" t="inlineStr">
        <is>
          <t>Farmacity</t>
        </is>
      </c>
      <c r="B755" t="n">
        <v>217103</v>
      </c>
      <c r="C755" t="n">
        <v>217103</v>
      </c>
      <c r="D755" t="inlineStr">
        <is>
          <t>Acondicionador Alfaparf Milano Moisture Nutritive x 200 ml</t>
        </is>
      </c>
      <c r="E755" t="inlineStr">
        <is>
          <t>Alfaparf Milano</t>
        </is>
      </c>
      <c r="F755" t="n">
        <v>55783</v>
      </c>
      <c r="G755" t="n">
        <v>55783</v>
      </c>
      <c r="H755" t="b">
        <v>0</v>
      </c>
      <c r="I755" t="n">
        <v>200</v>
      </c>
      <c r="J755" t="n">
        <v>278.915</v>
      </c>
      <c r="K755" t="inlineStr">
        <is>
          <t>&gt; Cuidado Capilar &gt; Shampoo Y Acondicionador &gt;</t>
        </is>
      </c>
      <c r="L755" t="inlineStr">
        <is>
          <t>acondicionador</t>
        </is>
      </c>
      <c r="M755" t="inlineStr">
        <is>
          <t>estandar</t>
        </is>
      </c>
      <c r="N755" t="inlineStr">
        <is>
          <t>general</t>
        </is>
      </c>
      <c r="O755" t="inlineStr">
        <is>
          <t>https://www.farmacity.com/acondicionador-alfaparf-milano-semi-di-lino-moisture-nutritive-x-200-ml/p</t>
        </is>
      </c>
    </row>
    <row r="756">
      <c r="A756" s="6" t="inlineStr">
        <is>
          <t>Farmacity</t>
        </is>
      </c>
      <c r="B756" s="6" t="n">
        <v>215080</v>
      </c>
      <c r="C756" s="6" t="n">
        <v>215080</v>
      </c>
      <c r="D756" s="6" t="inlineStr">
        <is>
          <t>Acondicionador Dove 1 Minuto Factor Nutrición 80 x 170 ml</t>
        </is>
      </c>
      <c r="E756" s="6" t="inlineStr">
        <is>
          <t>Dove</t>
        </is>
      </c>
      <c r="F756" s="6" t="n">
        <v>4300</v>
      </c>
      <c r="G756" s="6" t="n">
        <v>4300</v>
      </c>
      <c r="H756" s="6" t="b">
        <v>0</v>
      </c>
      <c r="I756" s="6" t="n">
        <v>170</v>
      </c>
      <c r="J756" s="6" t="n">
        <v>25.2941</v>
      </c>
      <c r="K756" s="6" t="inlineStr">
        <is>
          <t>&gt; Cuidado Capilar &gt; Shampoo Y Acondicionador &gt;</t>
        </is>
      </c>
      <c r="L756" s="6" t="inlineStr">
        <is>
          <t>acondicionador</t>
        </is>
      </c>
      <c r="M756" s="6" t="inlineStr">
        <is>
          <t>estandar</t>
        </is>
      </c>
      <c r="N756" s="6" t="inlineStr">
        <is>
          <t>general</t>
        </is>
      </c>
      <c r="O756" s="6" t="inlineStr">
        <is>
          <t>https://www.farmacity.com/super-acondicionador-dove-factor-80-x-170-ml/p</t>
        </is>
      </c>
    </row>
    <row r="757">
      <c r="A757" t="inlineStr">
        <is>
          <t>Farmacity</t>
        </is>
      </c>
      <c r="B757" t="n">
        <v>214539</v>
      </c>
      <c r="C757" t="n">
        <v>214539</v>
      </c>
      <c r="D757" t="inlineStr">
        <is>
          <t>Acondicionador Head &amp; Shoulders Charcoal x 300 ml</t>
        </is>
      </c>
      <c r="E757" t="inlineStr">
        <is>
          <t>Head and Shoulders</t>
        </is>
      </c>
      <c r="F757" t="n">
        <v>7757</v>
      </c>
      <c r="G757" t="n">
        <v>7757</v>
      </c>
      <c r="H757" t="b">
        <v>0</v>
      </c>
      <c r="I757" t="n">
        <v>300</v>
      </c>
      <c r="J757" t="n">
        <v>25.8567</v>
      </c>
      <c r="K757" t="inlineStr">
        <is>
          <t>&gt; Cuidado Capilar &gt; Shampoo Y Acondicionador &gt;</t>
        </is>
      </c>
      <c r="L757" t="inlineStr">
        <is>
          <t>acondicionador</t>
        </is>
      </c>
      <c r="M757" t="inlineStr">
        <is>
          <t>estandar</t>
        </is>
      </c>
      <c r="N757" t="inlineStr">
        <is>
          <t>general</t>
        </is>
      </c>
      <c r="O757" t="inlineStr">
        <is>
          <t>https://www.farmacity.com/acondicionador-head-and-shoulders-charcoal-x-300-ml/p</t>
        </is>
      </c>
    </row>
    <row r="758">
      <c r="A758" s="6" t="inlineStr">
        <is>
          <t>Farmacity</t>
        </is>
      </c>
      <c r="B758" s="6" t="n">
        <v>214537</v>
      </c>
      <c r="C758" s="6" t="n">
        <v>214537</v>
      </c>
      <c r="D758" s="6" t="inlineStr">
        <is>
          <t>Acondicionador Head &amp; Shoulders Suave x 300 ml</t>
        </is>
      </c>
      <c r="E758" s="6" t="inlineStr">
        <is>
          <t>Head and Shoulders</t>
        </is>
      </c>
      <c r="F758" s="6" t="n">
        <v>7757</v>
      </c>
      <c r="G758" s="6" t="n">
        <v>7757</v>
      </c>
      <c r="H758" s="6" t="b">
        <v>0</v>
      </c>
      <c r="I758" s="6" t="n">
        <v>300</v>
      </c>
      <c r="J758" s="6" t="n">
        <v>25.8567</v>
      </c>
      <c r="K758" s="6" t="inlineStr">
        <is>
          <t>&gt; Cuidado Capilar &gt; Shampoo Y Acondicionador &gt;</t>
        </is>
      </c>
      <c r="L758" s="6" t="inlineStr">
        <is>
          <t>acondicionador</t>
        </is>
      </c>
      <c r="M758" s="6" t="inlineStr">
        <is>
          <t>estandar</t>
        </is>
      </c>
      <c r="N758" s="6" t="inlineStr">
        <is>
          <t>bebe</t>
        </is>
      </c>
      <c r="O758" s="6" t="inlineStr">
        <is>
          <t>https://www.farmacity.com/acondicionador-head-and-shoulders-suave-y-manejable-x-300-ml/p</t>
        </is>
      </c>
    </row>
    <row r="759">
      <c r="A759" t="inlineStr">
        <is>
          <t>Farmacity</t>
        </is>
      </c>
      <c r="B759" t="n">
        <v>208137</v>
      </c>
      <c r="C759" t="n">
        <v>208137</v>
      </c>
      <c r="D759" t="inlineStr">
        <is>
          <t>Acondicionador Elvive Dream Long x 750 ml</t>
        </is>
      </c>
      <c r="E759" t="inlineStr">
        <is>
          <t>Elvive</t>
        </is>
      </c>
      <c r="F759" t="n">
        <v>8995</v>
      </c>
      <c r="G759" t="n">
        <v>17990</v>
      </c>
      <c r="H759" t="b">
        <v>0</v>
      </c>
      <c r="I759" t="n">
        <v>750</v>
      </c>
      <c r="J759" t="n">
        <v>11.9933</v>
      </c>
      <c r="K759" t="inlineStr">
        <is>
          <t>&gt; Cuidado Capilar &gt; Shampoo Y Acondicionador &gt;</t>
        </is>
      </c>
      <c r="L759" t="inlineStr">
        <is>
          <t>acondicionador</t>
        </is>
      </c>
      <c r="M759" t="inlineStr">
        <is>
          <t>profesional</t>
        </is>
      </c>
      <c r="N759" t="inlineStr">
        <is>
          <t>general</t>
        </is>
      </c>
      <c r="O759" t="inlineStr">
        <is>
          <t>https://www.farmacity.com/acondicionador-dream-long-elvive-loreal-paris-x-750-ml/p</t>
        </is>
      </c>
    </row>
    <row r="760">
      <c r="A760" s="6" t="inlineStr">
        <is>
          <t>Farmacity</t>
        </is>
      </c>
      <c r="B760" s="6" t="n">
        <v>205400</v>
      </c>
      <c r="C760" s="6" t="n">
        <v>205400</v>
      </c>
      <c r="D760" s="6" t="inlineStr">
        <is>
          <t>Acondicionador Dove 1 Minuto Factor Nutrición 60 x 170 ml</t>
        </is>
      </c>
      <c r="E760" s="6" t="inlineStr">
        <is>
          <t>Dove</t>
        </is>
      </c>
      <c r="F760" s="6" t="n">
        <v>4300</v>
      </c>
      <c r="G760" s="6" t="n">
        <v>4300</v>
      </c>
      <c r="H760" s="6" t="b">
        <v>0</v>
      </c>
      <c r="I760" s="6" t="n">
        <v>170</v>
      </c>
      <c r="J760" s="6" t="n">
        <v>25.2941</v>
      </c>
      <c r="K760" s="6" t="inlineStr">
        <is>
          <t>&gt; Cuidado Capilar &gt; Shampoo Y Acondicionador &gt;</t>
        </is>
      </c>
      <c r="L760" s="6" t="inlineStr">
        <is>
          <t>acondicionador</t>
        </is>
      </c>
      <c r="M760" s="6" t="inlineStr">
        <is>
          <t>estandar</t>
        </is>
      </c>
      <c r="N760" s="6" t="inlineStr">
        <is>
          <t>general</t>
        </is>
      </c>
      <c r="O760" s="6" t="inlineStr">
        <is>
          <t>https://www.farmacity.com/super-acondicionador-dove-1-minuto-factor-de-nutricion-60-x-170-ml/p</t>
        </is>
      </c>
    </row>
    <row r="761">
      <c r="A761" t="inlineStr">
        <is>
          <t>Farmacity</t>
        </is>
      </c>
      <c r="B761" t="n">
        <v>163845</v>
      </c>
      <c r="C761" t="n">
        <v>163845</v>
      </c>
      <c r="D761" t="inlineStr">
        <is>
          <t>Acondicionador Fructis Rizos Poderosos x 200 ml</t>
        </is>
      </c>
      <c r="E761" t="inlineStr">
        <is>
          <t>Fructis</t>
        </is>
      </c>
      <c r="F761" t="n">
        <v>4590</v>
      </c>
      <c r="G761" t="n">
        <v>4590</v>
      </c>
      <c r="H761" t="b">
        <v>0</v>
      </c>
      <c r="I761" t="n">
        <v>200</v>
      </c>
      <c r="J761" t="n">
        <v>22.95</v>
      </c>
      <c r="K761" t="inlineStr">
        <is>
          <t>&gt; Cuidado Capilar &gt; Shampoo Y Acondicionador &gt;</t>
        </is>
      </c>
      <c r="L761" t="inlineStr">
        <is>
          <t>acondicionador</t>
        </is>
      </c>
      <c r="M761" t="inlineStr">
        <is>
          <t>estandar</t>
        </is>
      </c>
      <c r="N761" t="inlineStr">
        <is>
          <t>rizado</t>
        </is>
      </c>
      <c r="O761" t="inlineStr">
        <is>
          <t>https://www.farmacity.com/acondicionador-fructis-rizos-poderosos-x-200ml/p</t>
        </is>
      </c>
    </row>
    <row r="762">
      <c r="A762" s="6" t="inlineStr">
        <is>
          <t>Farmacity</t>
        </is>
      </c>
      <c r="B762" s="6" t="n">
        <v>150777</v>
      </c>
      <c r="C762" s="6" t="n">
        <v>150777</v>
      </c>
      <c r="D762" s="6" t="inlineStr">
        <is>
          <t>Acondicionador Pantene Pro-V Solutions x 400 ml</t>
        </is>
      </c>
      <c r="E762" s="6" t="inlineStr">
        <is>
          <t>Pantene</t>
        </is>
      </c>
      <c r="F762" s="6" t="n">
        <v>8083</v>
      </c>
      <c r="G762" s="6" t="n">
        <v>8083</v>
      </c>
      <c r="H762" s="6" t="b">
        <v>0</v>
      </c>
      <c r="I762" s="6" t="n">
        <v>400</v>
      </c>
      <c r="J762" s="6" t="n">
        <v>20.2075</v>
      </c>
      <c r="K762" s="6" t="inlineStr">
        <is>
          <t>&gt; Cuidado Capilar &gt; Shampoo Y Acondicionador &gt;</t>
        </is>
      </c>
      <c r="L762" s="6" t="inlineStr">
        <is>
          <t>acondicionador</t>
        </is>
      </c>
      <c r="M762" s="6" t="inlineStr">
        <is>
          <t>profesional</t>
        </is>
      </c>
      <c r="N762" s="6" t="inlineStr">
        <is>
          <t>general</t>
        </is>
      </c>
      <c r="O762" s="6" t="inlineStr">
        <is>
          <t>https://www.farmacity.com/acondicionador-pantene-max-pro-v-hidratacion-x-400-ml/p</t>
        </is>
      </c>
    </row>
    <row r="763">
      <c r="A763" t="inlineStr">
        <is>
          <t>Farmacity</t>
        </is>
      </c>
      <c r="B763" t="n">
        <v>147270</v>
      </c>
      <c r="C763" t="n">
        <v>147270</v>
      </c>
      <c r="D763" t="inlineStr">
        <is>
          <t>Acondicionador Elvive Oleo Extraordinario Coco x 750 ml</t>
        </is>
      </c>
      <c r="E763" t="inlineStr">
        <is>
          <t>Elvive</t>
        </is>
      </c>
      <c r="F763" t="n">
        <v>17990</v>
      </c>
      <c r="G763" t="n">
        <v>17990</v>
      </c>
      <c r="H763" t="b">
        <v>0</v>
      </c>
      <c r="I763" t="n">
        <v>750</v>
      </c>
      <c r="J763" t="n">
        <v>23.9867</v>
      </c>
      <c r="K763" t="inlineStr">
        <is>
          <t>&gt; Cuidado Capilar &gt; Shampoo Y Acondicionador &gt;</t>
        </is>
      </c>
      <c r="L763" t="inlineStr">
        <is>
          <t>acondicionador</t>
        </is>
      </c>
      <c r="M763" t="inlineStr">
        <is>
          <t>profesional</t>
        </is>
      </c>
      <c r="N763" t="inlineStr">
        <is>
          <t>general</t>
        </is>
      </c>
      <c r="O763" t="inlineStr">
        <is>
          <t>https://www.farmacity.com/acondicionador-elvive-oleo-coco-x-750-ml/p</t>
        </is>
      </c>
    </row>
    <row r="764">
      <c r="A764" s="6" t="inlineStr">
        <is>
          <t>Farmacity</t>
        </is>
      </c>
      <c r="B764" s="6" t="n">
        <v>4692</v>
      </c>
      <c r="C764" s="6" t="n">
        <v>141206</v>
      </c>
      <c r="D764" s="6" t="inlineStr">
        <is>
          <t>Acondicionador Elvive Keraliso Brillo y Sedosidad x 750 ml</t>
        </is>
      </c>
      <c r="E764" s="6" t="inlineStr">
        <is>
          <t>Elvive</t>
        </is>
      </c>
      <c r="F764" s="6" t="n">
        <v>14299</v>
      </c>
      <c r="G764" s="6" t="n">
        <v>14299</v>
      </c>
      <c r="H764" s="6" t="b">
        <v>0</v>
      </c>
      <c r="I764" s="6" t="n">
        <v>750</v>
      </c>
      <c r="J764" s="6" t="n">
        <v>19.0653</v>
      </c>
      <c r="K764" s="6" t="inlineStr">
        <is>
          <t>&gt; Cuidado Capilar &gt; Shampoo Y Acondicionador &gt;</t>
        </is>
      </c>
      <c r="L764" s="6" t="inlineStr">
        <is>
          <t>acondicionador</t>
        </is>
      </c>
      <c r="M764" s="6" t="inlineStr">
        <is>
          <t>profesional</t>
        </is>
      </c>
      <c r="N764" s="6" t="inlineStr">
        <is>
          <t>general</t>
        </is>
      </c>
      <c r="O764" s="6" t="inlineStr">
        <is>
          <t>https://www.farmacity.com/acondicionador-kera-liso-brillo-y-suavidad-x-750-ml/p</t>
        </is>
      </c>
    </row>
    <row r="765">
      <c r="A765" t="inlineStr">
        <is>
          <t>Farmacity</t>
        </is>
      </c>
      <c r="B765" t="n">
        <v>4213</v>
      </c>
      <c r="C765" t="n">
        <v>139195</v>
      </c>
      <c r="D765" t="inlineStr">
        <is>
          <t>Acondicionador Elvive Kera-Liso MQ x 200 ml</t>
        </is>
      </c>
      <c r="E765" t="inlineStr">
        <is>
          <t>Elvive</t>
        </is>
      </c>
      <c r="F765" t="n">
        <v>7033</v>
      </c>
      <c r="G765" t="n">
        <v>7033</v>
      </c>
      <c r="H765" t="b">
        <v>0</v>
      </c>
      <c r="I765" t="n">
        <v>200</v>
      </c>
      <c r="J765" t="n">
        <v>35.165</v>
      </c>
      <c r="K765" t="inlineStr">
        <is>
          <t>&gt; Cuidado Capilar &gt; Shampoo Y Acondicionador &gt;</t>
        </is>
      </c>
      <c r="L765" t="inlineStr">
        <is>
          <t>acondicionador</t>
        </is>
      </c>
      <c r="M765" t="inlineStr">
        <is>
          <t>profesional</t>
        </is>
      </c>
      <c r="N765" t="inlineStr">
        <is>
          <t>general</t>
        </is>
      </c>
      <c r="O765" t="inlineStr">
        <is>
          <t>https://www.farmacity.com/acondicionador-kera-liso-230-x-200-ml/p</t>
        </is>
      </c>
    </row>
    <row r="766">
      <c r="A766" s="6" t="inlineStr">
        <is>
          <t>Farmacity</t>
        </is>
      </c>
      <c r="B766" s="6" t="n">
        <v>4168</v>
      </c>
      <c r="C766" s="6" t="n">
        <v>139196</v>
      </c>
      <c r="D766" s="6" t="inlineStr">
        <is>
          <t>Acondicionador Elvive Kera-Liso MQ x 400 ml</t>
        </is>
      </c>
      <c r="E766" s="6" t="inlineStr">
        <is>
          <t>Elvive</t>
        </is>
      </c>
      <c r="F766" s="6" t="n">
        <v>9990</v>
      </c>
      <c r="G766" s="6" t="n">
        <v>9990</v>
      </c>
      <c r="H766" s="6" t="b">
        <v>0</v>
      </c>
      <c r="I766" s="6" t="n">
        <v>400</v>
      </c>
      <c r="J766" s="6" t="n">
        <v>24.975</v>
      </c>
      <c r="K766" s="6" t="inlineStr">
        <is>
          <t>&gt; Cuidado Capilar &gt; Shampoo Y Acondicionador &gt;</t>
        </is>
      </c>
      <c r="L766" s="6" t="inlineStr">
        <is>
          <t>acondicionador</t>
        </is>
      </c>
      <c r="M766" s="6" t="inlineStr">
        <is>
          <t>profesional</t>
        </is>
      </c>
      <c r="N766" s="6" t="inlineStr">
        <is>
          <t>general</t>
        </is>
      </c>
      <c r="O766" s="6" t="inlineStr">
        <is>
          <t>https://www.farmacity.com/acondicionador-kera-liso-230-400-ml/p</t>
        </is>
      </c>
    </row>
    <row r="767">
      <c r="A767" t="inlineStr">
        <is>
          <t>Farmacity</t>
        </is>
      </c>
      <c r="B767" t="n">
        <v>536</v>
      </c>
      <c r="C767" t="n">
        <v>23731</v>
      </c>
      <c r="D767" t="inlineStr">
        <is>
          <t>Acondicionador Capilatis Equilibrante x 410 ml</t>
        </is>
      </c>
      <c r="E767" t="inlineStr">
        <is>
          <t>Capilatis</t>
        </is>
      </c>
      <c r="F767" t="n">
        <v>9700</v>
      </c>
      <c r="G767" t="n">
        <v>9700</v>
      </c>
      <c r="H767" t="b">
        <v>0</v>
      </c>
      <c r="I767" t="n">
        <v>410</v>
      </c>
      <c r="J767" t="n">
        <v>23.6585</v>
      </c>
      <c r="K767" t="inlineStr">
        <is>
          <t>&gt; Cuidado Capilar &gt; Shampoo Y Acondicionador &gt;</t>
        </is>
      </c>
      <c r="L767" t="inlineStr">
        <is>
          <t>acondicionador</t>
        </is>
      </c>
      <c r="M767" t="inlineStr">
        <is>
          <t>estandar</t>
        </is>
      </c>
      <c r="N767" t="inlineStr">
        <is>
          <t>general</t>
        </is>
      </c>
      <c r="O767" t="inlineStr">
        <is>
          <t>https://www.farmacity.com/acondicionador-equilibrante-purificante-x-410-ml/p</t>
        </is>
      </c>
    </row>
    <row r="768">
      <c r="A768" s="6" t="inlineStr">
        <is>
          <t>Farmacity</t>
        </is>
      </c>
      <c r="B768" s="6" t="n">
        <v>230660</v>
      </c>
      <c r="C768" s="6" t="n">
        <v>230660</v>
      </c>
      <c r="D768" s="6" t="inlineStr">
        <is>
          <t>Bálsamo Acondicionador Il Salone Detox x 500 ml</t>
        </is>
      </c>
      <c r="E768" s="6" t="inlineStr">
        <is>
          <t>IL SALONE</t>
        </is>
      </c>
      <c r="F768" s="6" t="n">
        <v>12487</v>
      </c>
      <c r="G768" s="6" t="n">
        <v>12487</v>
      </c>
      <c r="H768" s="6" t="b">
        <v>0</v>
      </c>
      <c r="I768" s="6" t="n">
        <v>500</v>
      </c>
      <c r="J768" s="6" t="n">
        <v>24.974</v>
      </c>
      <c r="K768" s="6" t="inlineStr">
        <is>
          <t>&gt; Cuidado Capilar &gt; Reparación Y Tratamiento &gt;</t>
        </is>
      </c>
      <c r="L768" s="6" t="inlineStr">
        <is>
          <t>acondicionador</t>
        </is>
      </c>
      <c r="M768" s="6" t="inlineStr">
        <is>
          <t>estandar</t>
        </is>
      </c>
      <c r="N768" s="6" t="inlineStr">
        <is>
          <t>general</t>
        </is>
      </c>
      <c r="O768" s="6" t="inlineStr">
        <is>
          <t>https://www.farmacity.com/balsamo-acondicionador-il-salone-detox-x-500-ml/p</t>
        </is>
      </c>
    </row>
    <row r="769">
      <c r="A769" t="inlineStr">
        <is>
          <t>Farmacity</t>
        </is>
      </c>
      <c r="B769" t="n">
        <v>217093</v>
      </c>
      <c r="C769" t="n">
        <v>217093</v>
      </c>
      <c r="D769" t="inlineStr">
        <is>
          <t>Tratamiento Acondicionador Alfaparf Milano Brillo x 3 un</t>
        </is>
      </c>
      <c r="E769" t="inlineStr">
        <is>
          <t>Alfaparf Milano</t>
        </is>
      </c>
      <c r="F769" t="n">
        <v>42396</v>
      </c>
      <c r="G769" t="n">
        <v>42396</v>
      </c>
      <c r="H769" t="b">
        <v>0</v>
      </c>
      <c r="I769" t="inlineStr"/>
      <c r="J769" t="inlineStr"/>
      <c r="K769" t="inlineStr">
        <is>
          <t>&gt; Cuidado Capilar &gt; Shampoo Y Acondicionador &gt;</t>
        </is>
      </c>
      <c r="L769" t="inlineStr">
        <is>
          <t>acondicionador</t>
        </is>
      </c>
      <c r="M769" t="inlineStr">
        <is>
          <t>estandar</t>
        </is>
      </c>
      <c r="N769" t="inlineStr">
        <is>
          <t>general</t>
        </is>
      </c>
      <c r="O769" t="inlineStr">
        <is>
          <t>https://www.farmacity.com/tratamiento-acondicionador-intensivo-de-brillo-alfaparf-milano-semi-di-lino-sublime-x-13-ml-x-3-un/p</t>
        </is>
      </c>
    </row>
    <row r="770">
      <c r="A770" s="6" t="inlineStr">
        <is>
          <t>Farmacity</t>
        </is>
      </c>
      <c r="B770" s="6" t="n">
        <v>230651</v>
      </c>
      <c r="C770" s="6" t="n">
        <v>230651</v>
      </c>
      <c r="D770" s="6" t="inlineStr">
        <is>
          <t>Bálsamo Acondicionador Il Salone Reestructurante y Fortalecedor x 500 ml</t>
        </is>
      </c>
      <c r="E770" s="6" t="inlineStr">
        <is>
          <t>IL SALONE</t>
        </is>
      </c>
      <c r="F770" s="6" t="n">
        <v>12487</v>
      </c>
      <c r="G770" s="6" t="n">
        <v>12487</v>
      </c>
      <c r="H770" s="6" t="b">
        <v>0</v>
      </c>
      <c r="I770" s="6" t="n">
        <v>500</v>
      </c>
      <c r="J770" s="6" t="n">
        <v>24.974</v>
      </c>
      <c r="K770" s="6" t="inlineStr">
        <is>
          <t>&gt; Cuidado Capilar &gt; Reparación Y Tratamiento &gt;</t>
        </is>
      </c>
      <c r="L770" s="6" t="inlineStr">
        <is>
          <t>acondicionador</t>
        </is>
      </c>
      <c r="M770" s="6" t="inlineStr">
        <is>
          <t>estandar</t>
        </is>
      </c>
      <c r="N770" s="6" t="inlineStr">
        <is>
          <t>general</t>
        </is>
      </c>
      <c r="O770" s="6" t="inlineStr">
        <is>
          <t>https://www.farmacity.com/balsamo-acondicionador-il-salone-reestructurante-y-fortalecedor-x-500-ml/p</t>
        </is>
      </c>
    </row>
    <row r="771">
      <c r="A771" t="inlineStr">
        <is>
          <t>Farmacity</t>
        </is>
      </c>
      <c r="B771" t="n">
        <v>230657</v>
      </c>
      <c r="C771" t="n">
        <v>230657</v>
      </c>
      <c r="D771" t="inlineStr">
        <is>
          <t>Bálsamo Acondicionador Il Salone Nutrición y Protección x 500 ml</t>
        </is>
      </c>
      <c r="E771" t="inlineStr">
        <is>
          <t>IL SALONE</t>
        </is>
      </c>
      <c r="F771" t="n">
        <v>12487</v>
      </c>
      <c r="G771" t="n">
        <v>12487</v>
      </c>
      <c r="H771" t="b">
        <v>0</v>
      </c>
      <c r="I771" t="n">
        <v>500</v>
      </c>
      <c r="J771" t="n">
        <v>24.974</v>
      </c>
      <c r="K771" t="inlineStr">
        <is>
          <t>&gt; Cuidado Capilar &gt; Reparación Y Tratamiento &gt;</t>
        </is>
      </c>
      <c r="L771" t="inlineStr">
        <is>
          <t>acondicionador</t>
        </is>
      </c>
      <c r="M771" t="inlineStr">
        <is>
          <t>estandar</t>
        </is>
      </c>
      <c r="N771" t="inlineStr">
        <is>
          <t>general</t>
        </is>
      </c>
      <c r="O771" t="inlineStr">
        <is>
          <t>https://www.farmacity.com/balsamo-acondicionador-il-salone-nutricion-y-proteccion-x-500-ml/p</t>
        </is>
      </c>
    </row>
    <row r="772">
      <c r="A772" s="6" t="inlineStr">
        <is>
          <t>Farmacity</t>
        </is>
      </c>
      <c r="B772" s="6" t="n">
        <v>230654</v>
      </c>
      <c r="C772" s="6" t="n">
        <v>230654</v>
      </c>
      <c r="D772" s="6" t="inlineStr">
        <is>
          <t>Bálsamo Acondicionador Il Salone Brillo y Vitalidad x 500 ml</t>
        </is>
      </c>
      <c r="E772" s="6" t="inlineStr">
        <is>
          <t>IL SALONE</t>
        </is>
      </c>
      <c r="F772" s="6" t="n">
        <v>12487</v>
      </c>
      <c r="G772" s="6" t="n">
        <v>12487</v>
      </c>
      <c r="H772" s="6" t="b">
        <v>0</v>
      </c>
      <c r="I772" s="6" t="n">
        <v>500</v>
      </c>
      <c r="J772" s="6" t="n">
        <v>24.974</v>
      </c>
      <c r="K772" s="6" t="inlineStr">
        <is>
          <t>&gt; Cuidado Capilar &gt; Reparación Y Tratamiento &gt;</t>
        </is>
      </c>
      <c r="L772" s="6" t="inlineStr">
        <is>
          <t>acondicionador</t>
        </is>
      </c>
      <c r="M772" s="6" t="inlineStr">
        <is>
          <t>estandar</t>
        </is>
      </c>
      <c r="N772" s="6" t="inlineStr">
        <is>
          <t>general</t>
        </is>
      </c>
      <c r="O772" s="6" t="inlineStr">
        <is>
          <t>https://www.farmacity.com/balsamo-acondicionador-il-salone-brillo-y-vitalidad-x-500-ml/p</t>
        </is>
      </c>
    </row>
    <row r="773">
      <c r="A773" t="inlineStr">
        <is>
          <t>Farmacity</t>
        </is>
      </c>
      <c r="B773" t="n">
        <v>230648</v>
      </c>
      <c r="C773" t="n">
        <v>230648</v>
      </c>
      <c r="D773" t="inlineStr">
        <is>
          <t>Bálsamo Acondicionador Il Salone Protección y Brillo x 500 ml</t>
        </is>
      </c>
      <c r="E773" t="inlineStr">
        <is>
          <t>IL SALONE</t>
        </is>
      </c>
      <c r="F773" t="n">
        <v>12487</v>
      </c>
      <c r="G773" t="n">
        <v>12487</v>
      </c>
      <c r="H773" t="b">
        <v>0</v>
      </c>
      <c r="I773" t="n">
        <v>500</v>
      </c>
      <c r="J773" t="n">
        <v>24.974</v>
      </c>
      <c r="K773" t="inlineStr">
        <is>
          <t>&gt; Cuidado Capilar &gt; Reparación Y Tratamiento &gt;</t>
        </is>
      </c>
      <c r="L773" t="inlineStr">
        <is>
          <t>acondicionador</t>
        </is>
      </c>
      <c r="M773" t="inlineStr">
        <is>
          <t>estandar</t>
        </is>
      </c>
      <c r="N773" t="inlineStr">
        <is>
          <t>general</t>
        </is>
      </c>
      <c r="O773" t="inlineStr">
        <is>
          <t>https://www.farmacity.com/balsamo-acondicionador-il-salone-proteccion-y-brillo-x-500-ml/p</t>
        </is>
      </c>
    </row>
    <row r="774">
      <c r="A774" s="6" t="inlineStr">
        <is>
          <t>Farmacity</t>
        </is>
      </c>
      <c r="B774" s="6" t="n">
        <v>205819</v>
      </c>
      <c r="C774" s="6" t="n">
        <v>205819</v>
      </c>
      <c r="D774" s="6" t="inlineStr">
        <is>
          <t>Bálsamo Biferdil con Aceite de Palta x 295 ml</t>
        </is>
      </c>
      <c r="E774" s="6" t="inlineStr">
        <is>
          <t>Biferdil</t>
        </is>
      </c>
      <c r="F774" s="6" t="n">
        <v>10260</v>
      </c>
      <c r="G774" s="6" t="n">
        <v>10260</v>
      </c>
      <c r="H774" s="6" t="b">
        <v>0</v>
      </c>
      <c r="I774" s="6" t="n">
        <v>295</v>
      </c>
      <c r="J774" s="6" t="n">
        <v>34.7797</v>
      </c>
      <c r="K774" s="6" t="inlineStr">
        <is>
          <t>&gt; Cuidado Capilar &gt; Reparación Y Tratamiento &gt;</t>
        </is>
      </c>
      <c r="L774" s="6" t="inlineStr">
        <is>
          <t>shampoo</t>
        </is>
      </c>
      <c r="M774" s="6" t="inlineStr">
        <is>
          <t>estandar</t>
        </is>
      </c>
      <c r="N774" s="6" t="inlineStr">
        <is>
          <t>general</t>
        </is>
      </c>
      <c r="O774" s="6" t="inlineStr">
        <is>
          <t>https://www.farmacity.com/balsamo-biferdil-con-aceite-de-palta-x-295-ml/p</t>
        </is>
      </c>
    </row>
    <row r="775">
      <c r="A775" t="inlineStr">
        <is>
          <t>Farmacity</t>
        </is>
      </c>
      <c r="B775" t="n">
        <v>203662</v>
      </c>
      <c r="C775" t="n">
        <v>203662</v>
      </c>
      <c r="D775" t="inlineStr">
        <is>
          <t>Bálsamo Biferdil con Ácido hialurónico x 295 ml</t>
        </is>
      </c>
      <c r="E775" t="inlineStr">
        <is>
          <t>Biferdil</t>
        </is>
      </c>
      <c r="F775" t="n">
        <v>10260</v>
      </c>
      <c r="G775" t="n">
        <v>10260</v>
      </c>
      <c r="H775" t="b">
        <v>0</v>
      </c>
      <c r="I775" t="n">
        <v>295</v>
      </c>
      <c r="J775" t="n">
        <v>34.7797</v>
      </c>
      <c r="K775" t="inlineStr">
        <is>
          <t>&gt; Cuidado Capilar &gt; Reparación Y Tratamiento &gt;</t>
        </is>
      </c>
      <c r="L775" t="inlineStr">
        <is>
          <t>shampoo</t>
        </is>
      </c>
      <c r="M775" t="inlineStr">
        <is>
          <t>estandar</t>
        </is>
      </c>
      <c r="N775" t="inlineStr">
        <is>
          <t>general</t>
        </is>
      </c>
      <c r="O775" t="inlineStr">
        <is>
          <t>https://www.farmacity.com/balsamo-biferdil-con-acido-hialuronico-x-295-ml/p</t>
        </is>
      </c>
    </row>
    <row r="776">
      <c r="A776" s="6" t="inlineStr">
        <is>
          <t>Farmacity</t>
        </is>
      </c>
      <c r="B776" s="6" t="n">
        <v>203664</v>
      </c>
      <c r="C776" s="6" t="n">
        <v>203664</v>
      </c>
      <c r="D776" s="6" t="inlineStr">
        <is>
          <t>Bálsamo Biferdil con Aceite de Argán y Camelia x 295 ml</t>
        </is>
      </c>
      <c r="E776" s="6" t="inlineStr">
        <is>
          <t>Biferdil</t>
        </is>
      </c>
      <c r="F776" s="6" t="n">
        <v>10260</v>
      </c>
      <c r="G776" s="6" t="n">
        <v>10260</v>
      </c>
      <c r="H776" s="6" t="b">
        <v>0</v>
      </c>
      <c r="I776" s="6" t="n">
        <v>295</v>
      </c>
      <c r="J776" s="6" t="n">
        <v>34.7797</v>
      </c>
      <c r="K776" s="6" t="inlineStr">
        <is>
          <t>&gt; Cuidado Capilar &gt; Reparación Y Tratamiento &gt;</t>
        </is>
      </c>
      <c r="L776" s="6" t="inlineStr">
        <is>
          <t>shampoo</t>
        </is>
      </c>
      <c r="M776" s="6" t="inlineStr">
        <is>
          <t>estandar</t>
        </is>
      </c>
      <c r="N776" s="6" t="inlineStr">
        <is>
          <t>general</t>
        </is>
      </c>
      <c r="O776" s="6" t="inlineStr">
        <is>
          <t>https://www.farmacity.com/balsamo-biferdil-con-aceite-de-argan-y-camelia-x-295-ml/p</t>
        </is>
      </c>
    </row>
    <row r="777">
      <c r="A777" t="inlineStr">
        <is>
          <t>Farmacity</t>
        </is>
      </c>
      <c r="B777" t="n">
        <v>219256</v>
      </c>
      <c r="C777" t="n">
        <v>219256</v>
      </c>
      <c r="D777" t="inlineStr">
        <is>
          <t>Spray John Frieda Dream Curls Daily Styling x 198 ml</t>
        </is>
      </c>
      <c r="E777" t="inlineStr">
        <is>
          <t>John Frieda</t>
        </is>
      </c>
      <c r="F777" t="n">
        <v>19120</v>
      </c>
      <c r="G777" t="n">
        <v>19120</v>
      </c>
      <c r="H777" t="b">
        <v>0</v>
      </c>
      <c r="I777" t="n">
        <v>198</v>
      </c>
      <c r="J777" t="n">
        <v>96.56570000000001</v>
      </c>
      <c r="K777" t="inlineStr">
        <is>
          <t>&gt; Cuidado Capilar &gt; Reparación Y Tratamiento &gt;</t>
        </is>
      </c>
      <c r="L777" t="inlineStr">
        <is>
          <t>shampoo</t>
        </is>
      </c>
      <c r="M777" t="inlineStr">
        <is>
          <t>estandar</t>
        </is>
      </c>
      <c r="N777" t="inlineStr">
        <is>
          <t>rizado</t>
        </is>
      </c>
      <c r="O777" t="inlineStr">
        <is>
          <t>https://www.farmacity.com/spray-para-peinar-john-frieda-dream-curls-daily-styling-198-ml/p</t>
        </is>
      </c>
    </row>
    <row r="778">
      <c r="A778" s="6" t="inlineStr">
        <is>
          <t>Farmacity</t>
        </is>
      </c>
      <c r="B778" s="6" t="n">
        <v>237265</v>
      </c>
      <c r="C778" s="6" t="n">
        <v>237265</v>
      </c>
      <c r="D778" s="6" t="inlineStr">
        <is>
          <t>Shampoo Capilatis Manzanilla x 420 ml</t>
        </is>
      </c>
      <c r="E778" s="6" t="inlineStr">
        <is>
          <t>Capilatis</t>
        </is>
      </c>
      <c r="F778" s="6" t="n">
        <v>9700</v>
      </c>
      <c r="G778" s="6" t="n">
        <v>9700</v>
      </c>
      <c r="H778" s="6" t="b">
        <v>0</v>
      </c>
      <c r="I778" s="6" t="n">
        <v>420</v>
      </c>
      <c r="J778" s="6" t="n">
        <v>23.0952</v>
      </c>
      <c r="K778" s="6" t="inlineStr">
        <is>
          <t>&gt; Cuidado Capilar &gt; Shampoo Y Acondicionador &gt;</t>
        </is>
      </c>
      <c r="L778" s="6" t="inlineStr">
        <is>
          <t>shampoo</t>
        </is>
      </c>
      <c r="M778" s="6" t="inlineStr">
        <is>
          <t>estandar</t>
        </is>
      </c>
      <c r="N778" s="6" t="inlineStr">
        <is>
          <t>general</t>
        </is>
      </c>
      <c r="O778" s="6" t="inlineStr">
        <is>
          <t>https://www.farmacity.com/shampoo-capilatis-manzanilla-x-420-ml/p</t>
        </is>
      </c>
    </row>
    <row r="779">
      <c r="A779" t="inlineStr">
        <is>
          <t>Farmacity</t>
        </is>
      </c>
      <c r="B779" t="n">
        <v>228559</v>
      </c>
      <c r="C779" t="n">
        <v>228559</v>
      </c>
      <c r="D779" t="inlineStr">
        <is>
          <t>Bálsamo Capitalis pH Extra Ácido x 350 ml</t>
        </is>
      </c>
      <c r="E779" t="inlineStr">
        <is>
          <t>Capilatis</t>
        </is>
      </c>
      <c r="F779" t="n">
        <v>8100</v>
      </c>
      <c r="G779" t="n">
        <v>8100</v>
      </c>
      <c r="H779" t="b">
        <v>0</v>
      </c>
      <c r="I779" t="n">
        <v>350</v>
      </c>
      <c r="J779" t="n">
        <v>23.1429</v>
      </c>
      <c r="K779" t="inlineStr">
        <is>
          <t>&gt; Cuidado Capilar &gt; Reparación Y Tratamiento &gt;</t>
        </is>
      </c>
      <c r="L779" t="inlineStr">
        <is>
          <t>shampoo</t>
        </is>
      </c>
      <c r="M779" t="inlineStr">
        <is>
          <t>estandar</t>
        </is>
      </c>
      <c r="N779" t="inlineStr">
        <is>
          <t>general</t>
        </is>
      </c>
      <c r="O779" t="inlineStr">
        <is>
          <t>https://www.farmacity.com/balsamo-capitalis-ph-extra-acido-x-350-ml/p</t>
        </is>
      </c>
    </row>
    <row r="780">
      <c r="A780" s="6" t="inlineStr">
        <is>
          <t>Farmacity</t>
        </is>
      </c>
      <c r="B780" s="6" t="n">
        <v>228560</v>
      </c>
      <c r="C780" s="6" t="n">
        <v>228560</v>
      </c>
      <c r="D780" s="6" t="inlineStr">
        <is>
          <t>Máscara Capitalis pH Extra Ácido x 170 ml</t>
        </is>
      </c>
      <c r="E780" s="6" t="inlineStr">
        <is>
          <t>Capilatis</t>
        </is>
      </c>
      <c r="F780" s="6" t="n">
        <v>6200</v>
      </c>
      <c r="G780" s="6" t="n">
        <v>6200</v>
      </c>
      <c r="H780" s="6" t="b">
        <v>0</v>
      </c>
      <c r="I780" s="6" t="n">
        <v>170</v>
      </c>
      <c r="J780" s="6" t="n">
        <v>36.4706</v>
      </c>
      <c r="K780" s="6" t="inlineStr">
        <is>
          <t>&gt; Cuidado Capilar &gt; Reparación Y Tratamiento &gt;</t>
        </is>
      </c>
      <c r="L780" s="6" t="inlineStr">
        <is>
          <t>shampoo</t>
        </is>
      </c>
      <c r="M780" s="6" t="inlineStr">
        <is>
          <t>estandar</t>
        </is>
      </c>
      <c r="N780" s="6" t="inlineStr">
        <is>
          <t>general</t>
        </is>
      </c>
      <c r="O780" s="6" t="inlineStr">
        <is>
          <t>https://www.farmacity.com/mascara-capitalis-ph-extra-acido-x-170-ml/p</t>
        </is>
      </c>
    </row>
    <row r="781">
      <c r="A781" t="inlineStr">
        <is>
          <t>Farmacity</t>
        </is>
      </c>
      <c r="B781" t="n">
        <v>226920</v>
      </c>
      <c r="C781" t="n">
        <v>226920</v>
      </c>
      <c r="D781" t="inlineStr">
        <is>
          <t>Sérum Anticaida Klorane Quinina x 100 ml</t>
        </is>
      </c>
      <c r="E781" t="inlineStr">
        <is>
          <t>Klorane</t>
        </is>
      </c>
      <c r="F781" t="n">
        <v>98000</v>
      </c>
      <c r="G781" t="n">
        <v>98000</v>
      </c>
      <c r="H781" t="b">
        <v>0</v>
      </c>
      <c r="I781" t="n">
        <v>100</v>
      </c>
      <c r="J781" t="n">
        <v>980</v>
      </c>
      <c r="K781" t="inlineStr">
        <is>
          <t>&gt; Cuidado Capilar &gt; Reparación Y Tratamiento &gt;</t>
        </is>
      </c>
      <c r="L781" t="inlineStr">
        <is>
          <t>shampoo</t>
        </is>
      </c>
      <c r="M781" t="inlineStr">
        <is>
          <t>estandar</t>
        </is>
      </c>
      <c r="N781" t="inlineStr">
        <is>
          <t>general</t>
        </is>
      </c>
      <c r="O781" t="inlineStr">
        <is>
          <t>https://www.farmacity.com/serum-capilar-klorane-quinina-anti-caida-x-100-ml/p</t>
        </is>
      </c>
    </row>
    <row r="782">
      <c r="A782" s="6" t="inlineStr">
        <is>
          <t>Farmacity</t>
        </is>
      </c>
      <c r="B782" s="6" t="n">
        <v>14527</v>
      </c>
      <c r="C782" s="6" t="n">
        <v>161089</v>
      </c>
      <c r="D782" s="6" t="inlineStr">
        <is>
          <t>Acodicionador Elvive Arcilla Purificante x 400 ml</t>
        </is>
      </c>
      <c r="E782" s="6" t="inlineStr">
        <is>
          <t>Elvive</t>
        </is>
      </c>
      <c r="F782" s="6" t="n">
        <v>7989</v>
      </c>
      <c r="G782" s="6" t="n">
        <v>7989</v>
      </c>
      <c r="H782" s="6" t="b">
        <v>0</v>
      </c>
      <c r="I782" s="6" t="n">
        <v>400</v>
      </c>
      <c r="J782" s="6" t="n">
        <v>19.9725</v>
      </c>
      <c r="K782" s="6" t="inlineStr">
        <is>
          <t>&gt; Cuidado Capilar &gt; Shampoo Y Acondicionador &gt;</t>
        </is>
      </c>
      <c r="L782" s="6" t="inlineStr">
        <is>
          <t>shampoo</t>
        </is>
      </c>
      <c r="M782" s="6" t="inlineStr">
        <is>
          <t>profesional</t>
        </is>
      </c>
      <c r="N782" s="6" t="inlineStr">
        <is>
          <t>general</t>
        </is>
      </c>
      <c r="O782" s="6" t="inlineStr">
        <is>
          <t>https://www.farmacity.com/acondicionador-arcilla-extraordinaria-x-400-ml/p</t>
        </is>
      </c>
    </row>
    <row r="783">
      <c r="A783" t="inlineStr">
        <is>
          <t>Farmacity</t>
        </is>
      </c>
      <c r="B783" t="n">
        <v>200316</v>
      </c>
      <c r="C783" t="n">
        <v>200316</v>
      </c>
      <c r="D783" t="inlineStr">
        <is>
          <t>Crema para Peinar Elvive Óleo Extraordinario Coco x 250 ml</t>
        </is>
      </c>
      <c r="E783" t="inlineStr">
        <is>
          <t>Elvive</t>
        </is>
      </c>
      <c r="F783" t="n">
        <v>4495</v>
      </c>
      <c r="G783" t="n">
        <v>8990</v>
      </c>
      <c r="H783" t="b">
        <v>0</v>
      </c>
      <c r="I783" t="n">
        <v>250</v>
      </c>
      <c r="J783" t="n">
        <v>17.98</v>
      </c>
      <c r="K783" t="inlineStr">
        <is>
          <t>&gt; Cuidado Capilar &gt; Modelado Y Peinado &gt;</t>
        </is>
      </c>
      <c r="L783" t="inlineStr">
        <is>
          <t>shampoo</t>
        </is>
      </c>
      <c r="M783" t="inlineStr">
        <is>
          <t>profesional</t>
        </is>
      </c>
      <c r="N783" t="inlineStr">
        <is>
          <t>general</t>
        </is>
      </c>
      <c r="O783" t="inlineStr">
        <is>
          <t>https://www.farmacity.com/crema-para-peinar-elvive-oleo-coco-x-250-ml/p</t>
        </is>
      </c>
    </row>
    <row r="784">
      <c r="A784" s="6" t="inlineStr">
        <is>
          <t>Farmacity</t>
        </is>
      </c>
      <c r="B784" s="6" t="n">
        <v>204189</v>
      </c>
      <c r="C784" s="6" t="n">
        <v>200691</v>
      </c>
      <c r="D784" s="6" t="inlineStr">
        <is>
          <t>Máscara De Pestañas Wonderfully Real x 11 ml</t>
        </is>
      </c>
      <c r="E784" s="6" t="inlineStr">
        <is>
          <t>Rimmel</t>
        </is>
      </c>
      <c r="F784" s="6" t="n">
        <v>25948</v>
      </c>
      <c r="G784" s="6" t="n">
        <v>25948</v>
      </c>
      <c r="H784" s="6" t="b">
        <v>0</v>
      </c>
      <c r="I784" s="6" t="n">
        <v>11</v>
      </c>
      <c r="J784" s="6" t="n">
        <v>2358.9091</v>
      </c>
      <c r="K784" s="6" t="inlineStr">
        <is>
          <t>&gt; Maquillaje &gt; Ojos &gt; Máscaras &gt;</t>
        </is>
      </c>
      <c r="L784" s="6" t="inlineStr">
        <is>
          <t>shampoo</t>
        </is>
      </c>
      <c r="M784" s="6" t="inlineStr">
        <is>
          <t>estandar</t>
        </is>
      </c>
      <c r="N784" s="6" t="inlineStr">
        <is>
          <t>general</t>
        </is>
      </c>
      <c r="O784" s="6" t="inlineStr">
        <is>
          <t>https://www.farmacity.com/mascara-de-pestanas-wonderfully-real/p</t>
        </is>
      </c>
    </row>
    <row r="785">
      <c r="A785" t="inlineStr">
        <is>
          <t>Farmacity</t>
        </is>
      </c>
      <c r="B785" t="n">
        <v>209293</v>
      </c>
      <c r="C785" t="n">
        <v>209293</v>
      </c>
      <c r="D785" t="inlineStr">
        <is>
          <t>Máscara de Pestañas Rimmel Wonder'Luxe x 11 ml</t>
        </is>
      </c>
      <c r="E785" t="inlineStr">
        <is>
          <t>Rimmel</t>
        </is>
      </c>
      <c r="F785" t="n">
        <v>29293</v>
      </c>
      <c r="G785" t="n">
        <v>29293</v>
      </c>
      <c r="H785" t="b">
        <v>0</v>
      </c>
      <c r="I785" t="n">
        <v>11</v>
      </c>
      <c r="J785" t="n">
        <v>2663</v>
      </c>
      <c r="K785" t="inlineStr">
        <is>
          <t>&gt; Maquillaje &gt; Ojos &gt; Máscaras &gt;</t>
        </is>
      </c>
      <c r="L785" t="inlineStr">
        <is>
          <t>shampoo</t>
        </is>
      </c>
      <c r="M785" t="inlineStr">
        <is>
          <t>estandar</t>
        </is>
      </c>
      <c r="N785" t="inlineStr">
        <is>
          <t>general</t>
        </is>
      </c>
      <c r="O785" t="inlineStr">
        <is>
          <t>https://www.farmacity.com/mascara-de-pestanas-rimmel-wonderluxe-x-11-ml/p</t>
        </is>
      </c>
    </row>
    <row r="786">
      <c r="A786" s="6" t="inlineStr">
        <is>
          <t>Farmacity</t>
        </is>
      </c>
      <c r="B786" s="6" t="n">
        <v>209293</v>
      </c>
      <c r="C786" s="6" t="n">
        <v>209715</v>
      </c>
      <c r="D786" s="6" t="inlineStr">
        <is>
          <t>Máscara de Pestañas Rimmel Wonder'Luxe x 11 ml</t>
        </is>
      </c>
      <c r="E786" s="6" t="inlineStr">
        <is>
          <t>Rimmel</t>
        </is>
      </c>
      <c r="F786" s="6" t="n">
        <v>7827</v>
      </c>
      <c r="G786" s="6" t="n">
        <v>7827</v>
      </c>
      <c r="H786" s="6" t="b">
        <v>0</v>
      </c>
      <c r="I786" s="6" t="n">
        <v>11</v>
      </c>
      <c r="J786" s="6" t="n">
        <v>711.5454999999999</v>
      </c>
      <c r="K786" s="6" t="inlineStr">
        <is>
          <t>&gt; Maquillaje &gt; Ojos &gt; Máscaras &gt;</t>
        </is>
      </c>
      <c r="L786" s="6" t="inlineStr">
        <is>
          <t>shampoo</t>
        </is>
      </c>
      <c r="M786" s="6" t="inlineStr">
        <is>
          <t>estandar</t>
        </is>
      </c>
      <c r="N786" s="6" t="inlineStr">
        <is>
          <t>general</t>
        </is>
      </c>
      <c r="O786" s="6" t="inlineStr">
        <is>
          <t>https://www.farmacity.com/mascara-de-pestanas-rimmel-wonderluxe-x-11-ml/p</t>
        </is>
      </c>
    </row>
    <row r="787">
      <c r="A787" t="inlineStr">
        <is>
          <t>Farmacity</t>
        </is>
      </c>
      <c r="B787" t="n">
        <v>143404</v>
      </c>
      <c r="C787" t="n">
        <v>143404</v>
      </c>
      <c r="D787" t="inlineStr">
        <is>
          <t>Shampoo Ecohair Anticaspa Producto Cosm‚Tico x 200 ml</t>
        </is>
      </c>
      <c r="E787" t="inlineStr">
        <is>
          <t>Garre Guevara</t>
        </is>
      </c>
      <c r="F787" t="n">
        <v>21000</v>
      </c>
      <c r="G787" t="n">
        <v>21000</v>
      </c>
      <c r="H787" t="b">
        <v>1</v>
      </c>
      <c r="I787" t="n">
        <v>200</v>
      </c>
      <c r="J787" t="n">
        <v>105</v>
      </c>
      <c r="K787" t="inlineStr">
        <is>
          <t>&gt; Venta Bajo Receta &gt; Dermatológico &gt;</t>
        </is>
      </c>
      <c r="L787" t="inlineStr">
        <is>
          <t>shampoo</t>
        </is>
      </c>
      <c r="M787" t="inlineStr">
        <is>
          <t>estandar</t>
        </is>
      </c>
      <c r="N787" t="inlineStr">
        <is>
          <t>anticaspa</t>
        </is>
      </c>
      <c r="O787" t="inlineStr">
        <is>
          <t>https://www.farmacity.com/shampoo-ecohair-anticaspa-x-200-ml/p</t>
        </is>
      </c>
    </row>
    <row r="788">
      <c r="A788" s="6" t="inlineStr">
        <is>
          <t>Farmacity</t>
        </is>
      </c>
      <c r="B788" s="6" t="n">
        <v>1122</v>
      </c>
      <c r="C788" s="6" t="n">
        <v>23602</v>
      </c>
      <c r="D788" s="6" t="inlineStr">
        <is>
          <t>Shampoo Capilatis Anticaspa y Control Caída x 410 ml</t>
        </is>
      </c>
      <c r="E788" s="6" t="inlineStr">
        <is>
          <t>Capilatis</t>
        </is>
      </c>
      <c r="F788" s="6" t="n">
        <v>9700</v>
      </c>
      <c r="G788" s="6" t="n">
        <v>9700</v>
      </c>
      <c r="H788" s="6" t="b">
        <v>1</v>
      </c>
      <c r="I788" s="6" t="n">
        <v>410</v>
      </c>
      <c r="J788" s="6" t="n">
        <v>23.6585</v>
      </c>
      <c r="K788" s="6" t="inlineStr">
        <is>
          <t>&gt; Cuidado Capilar &gt; Shampoo Y Acondicionador &gt;</t>
        </is>
      </c>
      <c r="L788" s="6" t="inlineStr">
        <is>
          <t>shampoo</t>
        </is>
      </c>
      <c r="M788" s="6" t="inlineStr">
        <is>
          <t>estandar</t>
        </is>
      </c>
      <c r="N788" s="6" t="inlineStr">
        <is>
          <t>anticaspa</t>
        </is>
      </c>
      <c r="O788" s="6" t="inlineStr">
        <is>
          <t>https://www.farmacity.com/shampoo-anticaspa-y-control-caida-x-410-ml/p</t>
        </is>
      </c>
    </row>
    <row r="789">
      <c r="A789" t="inlineStr">
        <is>
          <t>Farmacity</t>
        </is>
      </c>
      <c r="B789" t="n">
        <v>240154</v>
      </c>
      <c r="C789" t="n">
        <v>240154</v>
      </c>
      <c r="D789" t="inlineStr">
        <is>
          <t>Shampoo Dove Protección Anticaspa x 400 ml</t>
        </is>
      </c>
      <c r="E789" t="inlineStr">
        <is>
          <t>Dove</t>
        </is>
      </c>
      <c r="F789" t="n">
        <v>7266</v>
      </c>
      <c r="G789" t="n">
        <v>9688</v>
      </c>
      <c r="H789" t="b">
        <v>1</v>
      </c>
      <c r="I789" t="n">
        <v>400</v>
      </c>
      <c r="J789" t="n">
        <v>18.165</v>
      </c>
      <c r="K789" t="inlineStr">
        <is>
          <t>&gt; Cuidado Capilar &gt; Shampoo Y Acondicionador &gt;</t>
        </is>
      </c>
      <c r="L789" t="inlineStr">
        <is>
          <t>shampoo</t>
        </is>
      </c>
      <c r="M789" t="inlineStr">
        <is>
          <t>estandar</t>
        </is>
      </c>
      <c r="N789" t="inlineStr">
        <is>
          <t>anticaspa</t>
        </is>
      </c>
      <c r="O789" t="inlineStr">
        <is>
          <t>https://www.farmacity.com/shampoo-dove-men-caspa-control-x-400-ml/p</t>
        </is>
      </c>
    </row>
    <row r="790">
      <c r="A790" s="6" t="inlineStr">
        <is>
          <t>Farmacity</t>
        </is>
      </c>
      <c r="B790" s="6" t="n">
        <v>7651</v>
      </c>
      <c r="C790" s="6" t="n">
        <v>151685</v>
      </c>
      <c r="D790" s="6" t="inlineStr">
        <is>
          <t>Shampoo Vichy Dercos Anti-Caspa Cabello Normal a Graso x 200 ml</t>
        </is>
      </c>
      <c r="E790" s="6" t="inlineStr">
        <is>
          <t>Vichy</t>
        </is>
      </c>
      <c r="F790" s="6" t="n">
        <v>53488</v>
      </c>
      <c r="G790" s="6" t="n">
        <v>53488</v>
      </c>
      <c r="H790" s="6" t="b">
        <v>1</v>
      </c>
      <c r="I790" s="6" t="n">
        <v>200</v>
      </c>
      <c r="J790" s="6" t="n">
        <v>267.44</v>
      </c>
      <c r="K790" s="6" t="inlineStr">
        <is>
          <t>&gt; Dermocosmética &gt; Pelo &gt; Shampoos y Acondicionadores &gt;</t>
        </is>
      </c>
      <c r="L790" s="6" t="inlineStr">
        <is>
          <t>shampoo</t>
        </is>
      </c>
      <c r="M790" s="6" t="inlineStr">
        <is>
          <t>estandar</t>
        </is>
      </c>
      <c r="N790" s="6" t="inlineStr">
        <is>
          <t>anticaspa</t>
        </is>
      </c>
      <c r="O790" s="6" t="inlineStr">
        <is>
          <t>https://www.farmacity.com/shampoo-anticaspa-para-cabello-normal-a-graso-dercos-x-200-ml/p</t>
        </is>
      </c>
    </row>
    <row r="791">
      <c r="A791" t="inlineStr">
        <is>
          <t>Farmacity</t>
        </is>
      </c>
      <c r="B791" t="n">
        <v>224951</v>
      </c>
      <c r="C791" t="n">
        <v>224951</v>
      </c>
      <c r="D791" t="inlineStr">
        <is>
          <t>Shampoo Head &amp; Shoulders Dermo Sensitive Control Caspa x 375 ml</t>
        </is>
      </c>
      <c r="E791" t="inlineStr">
        <is>
          <t>Head and Shoulders</t>
        </is>
      </c>
      <c r="F791" t="n">
        <v>7895</v>
      </c>
      <c r="G791" t="n">
        <v>12146</v>
      </c>
      <c r="H791" t="b">
        <v>1</v>
      </c>
      <c r="I791" t="n">
        <v>375</v>
      </c>
      <c r="J791" t="n">
        <v>21.0533</v>
      </c>
      <c r="K791" t="inlineStr">
        <is>
          <t>&gt; Cuidado Capilar &gt; Shampoo Y Acondicionador &gt;</t>
        </is>
      </c>
      <c r="L791" t="inlineStr">
        <is>
          <t>shampoo</t>
        </is>
      </c>
      <c r="M791" t="inlineStr">
        <is>
          <t>estandar</t>
        </is>
      </c>
      <c r="N791" t="inlineStr">
        <is>
          <t>anticaspa</t>
        </is>
      </c>
      <c r="O791" t="inlineStr">
        <is>
          <t>https://www.farmacity.com/shampoo-head-shoulders-dermo-sensitive-x-375-ml/p</t>
        </is>
      </c>
    </row>
    <row r="792">
      <c r="A792" s="6" t="inlineStr">
        <is>
          <t>Farmacity</t>
        </is>
      </c>
      <c r="B792" s="6" t="n">
        <v>224950</v>
      </c>
      <c r="C792" s="6" t="n">
        <v>224950</v>
      </c>
      <c r="D792" s="6" t="inlineStr">
        <is>
          <t>Shampoo Head &amp; Shoulders Dermo Sensitive Control Caspa x 180 ml</t>
        </is>
      </c>
      <c r="E792" s="6" t="inlineStr">
        <is>
          <t>Head and Shoulders</t>
        </is>
      </c>
      <c r="F792" s="6" t="n">
        <v>4701</v>
      </c>
      <c r="G792" s="6" t="n">
        <v>7233</v>
      </c>
      <c r="H792" s="6" t="b">
        <v>1</v>
      </c>
      <c r="I792" s="6" t="n">
        <v>180</v>
      </c>
      <c r="J792" s="6" t="n">
        <v>26.1167</v>
      </c>
      <c r="K792" s="6" t="inlineStr">
        <is>
          <t>&gt; Cuidado Capilar &gt; Shampoo Y Acondicionador &gt;</t>
        </is>
      </c>
      <c r="L792" s="6" t="inlineStr">
        <is>
          <t>shampoo</t>
        </is>
      </c>
      <c r="M792" s="6" t="inlineStr">
        <is>
          <t>estandar</t>
        </is>
      </c>
      <c r="N792" s="6" t="inlineStr">
        <is>
          <t>anticaspa</t>
        </is>
      </c>
      <c r="O792" s="6" t="inlineStr">
        <is>
          <t>https://www.farmacity.com/shampoo-head-shoulders-dermo-sensitive-x-180-ml/p</t>
        </is>
      </c>
    </row>
    <row r="793">
      <c r="A793" t="inlineStr">
        <is>
          <t>Farmacity</t>
        </is>
      </c>
      <c r="B793" t="n">
        <v>209966</v>
      </c>
      <c r="C793" t="n">
        <v>209966</v>
      </c>
      <c r="D793" t="inlineStr">
        <is>
          <t>Shampoo Head &amp; Shoulders Purificación Capilar x 375 ml</t>
        </is>
      </c>
      <c r="E793" t="inlineStr">
        <is>
          <t>Head and Shoulders</t>
        </is>
      </c>
      <c r="F793" t="n">
        <v>7895</v>
      </c>
      <c r="G793" t="n">
        <v>12146</v>
      </c>
      <c r="H793" t="b">
        <v>1</v>
      </c>
      <c r="I793" t="n">
        <v>375</v>
      </c>
      <c r="J793" t="n">
        <v>21.0533</v>
      </c>
      <c r="K793" t="inlineStr">
        <is>
          <t>&gt; Cuidado Capilar &gt; Shampoo Y Acondicionador &gt;</t>
        </is>
      </c>
      <c r="L793" t="inlineStr">
        <is>
          <t>shampoo</t>
        </is>
      </c>
      <c r="M793" t="inlineStr">
        <is>
          <t>estandar</t>
        </is>
      </c>
      <c r="N793" t="inlineStr">
        <is>
          <t>general</t>
        </is>
      </c>
      <c r="O793" t="inlineStr">
        <is>
          <t>https://www.farmacity.com/shampoo-head-shoulders-purificacion-capilar-375-ml/p</t>
        </is>
      </c>
    </row>
    <row r="794">
      <c r="A794" s="6" t="inlineStr">
        <is>
          <t>Farmacity</t>
        </is>
      </c>
      <c r="B794" s="6" t="n">
        <v>206050</v>
      </c>
      <c r="C794" s="6" t="n">
        <v>206050</v>
      </c>
      <c r="D794" s="6" t="inlineStr">
        <is>
          <t>Shampoo Control Caspa Head &amp; Shoulders Anti Caída x 180 ml</t>
        </is>
      </c>
      <c r="E794" s="6" t="inlineStr">
        <is>
          <t>Head and Shoulders</t>
        </is>
      </c>
      <c r="F794" s="6" t="n">
        <v>4701</v>
      </c>
      <c r="G794" s="6" t="n">
        <v>7233</v>
      </c>
      <c r="H794" s="6" t="b">
        <v>1</v>
      </c>
      <c r="I794" s="6" t="n">
        <v>180</v>
      </c>
      <c r="J794" s="6" t="n">
        <v>26.1167</v>
      </c>
      <c r="K794" s="6" t="inlineStr">
        <is>
          <t>&gt; Cuidado Capilar &gt; Shampoo Y Acondicionador &gt;</t>
        </is>
      </c>
      <c r="L794" s="6" t="inlineStr">
        <is>
          <t>shampoo</t>
        </is>
      </c>
      <c r="M794" s="6" t="inlineStr">
        <is>
          <t>estandar</t>
        </is>
      </c>
      <c r="N794" s="6" t="inlineStr">
        <is>
          <t>anticaspa</t>
        </is>
      </c>
      <c r="O794" s="6" t="inlineStr">
        <is>
          <t>https://www.farmacity.com/shampoo-head-shoulders-antifall-proteccion-caida-con-cafeina-180-ml/p</t>
        </is>
      </c>
    </row>
    <row r="795">
      <c r="A795" t="inlineStr">
        <is>
          <t>Farmacity</t>
        </is>
      </c>
      <c r="B795" t="n">
        <v>9006</v>
      </c>
      <c r="C795" t="n">
        <v>156760</v>
      </c>
      <c r="D795" t="inlineStr">
        <is>
          <t>Shampoo Vichy Dercos Ultracalmante para Cabello Seco x 200 ml</t>
        </is>
      </c>
      <c r="E795" t="inlineStr">
        <is>
          <t>Vichy</t>
        </is>
      </c>
      <c r="F795" t="n">
        <v>53488</v>
      </c>
      <c r="G795" t="n">
        <v>53488</v>
      </c>
      <c r="H795" t="b">
        <v>1</v>
      </c>
      <c r="I795" t="n">
        <v>200</v>
      </c>
      <c r="J795" t="n">
        <v>267.44</v>
      </c>
      <c r="K795" t="inlineStr">
        <is>
          <t>&gt; Dermocosmética &gt; Pelo &gt; Shampoos y Acondicionadores &gt;</t>
        </is>
      </c>
      <c r="L795" t="inlineStr">
        <is>
          <t>shampoo</t>
        </is>
      </c>
      <c r="M795" t="inlineStr">
        <is>
          <t>estandar</t>
        </is>
      </c>
      <c r="N795" t="inlineStr">
        <is>
          <t>seco_danado</t>
        </is>
      </c>
      <c r="O795" t="inlineStr">
        <is>
          <t>https://www.farmacity.com/shampoo-dercos-ultracalmante-para-cabello-seco-x-200-ml/p</t>
        </is>
      </c>
    </row>
    <row r="796">
      <c r="A796" s="6" t="inlineStr">
        <is>
          <t>Farmacity</t>
        </is>
      </c>
      <c r="B796" s="6" t="n">
        <v>1114</v>
      </c>
      <c r="C796" s="6" t="n">
        <v>23601</v>
      </c>
      <c r="D796" s="6" t="inlineStr">
        <is>
          <t>Shampoo Capilatis Control Caída Pelo Seco Aloe x 410 ml</t>
        </is>
      </c>
      <c r="E796" s="6" t="inlineStr">
        <is>
          <t>Capilatis</t>
        </is>
      </c>
      <c r="F796" s="6" t="n">
        <v>9700</v>
      </c>
      <c r="G796" s="6" t="n">
        <v>9700</v>
      </c>
      <c r="H796" s="6" t="b">
        <v>1</v>
      </c>
      <c r="I796" s="6" t="n">
        <v>410</v>
      </c>
      <c r="J796" s="6" t="n">
        <v>23.6585</v>
      </c>
      <c r="K796" s="6" t="inlineStr">
        <is>
          <t>&gt; Cuidado Capilar &gt; Shampoo Y Acondicionador &gt;</t>
        </is>
      </c>
      <c r="L796" s="6" t="inlineStr">
        <is>
          <t>shampoo</t>
        </is>
      </c>
      <c r="M796" s="6" t="inlineStr">
        <is>
          <t>estandar</t>
        </is>
      </c>
      <c r="N796" s="6" t="inlineStr">
        <is>
          <t>seco_danado</t>
        </is>
      </c>
      <c r="O796" s="6" t="inlineStr">
        <is>
          <t>https://www.farmacity.com/shampoo-control-caida-pelo-seco-con-aloe-vera-x-410-ml/p</t>
        </is>
      </c>
    </row>
    <row r="797">
      <c r="A797" t="inlineStr">
        <is>
          <t>Farmacity</t>
        </is>
      </c>
      <c r="B797" t="n">
        <v>8903</v>
      </c>
      <c r="C797" t="n">
        <v>156311</v>
      </c>
      <c r="D797" t="inlineStr">
        <is>
          <t>Shampoo Sedal Ceramidas x 340 ml</t>
        </is>
      </c>
      <c r="E797" t="inlineStr">
        <is>
          <t>Sedal</t>
        </is>
      </c>
      <c r="F797" t="n">
        <v>5836</v>
      </c>
      <c r="G797" t="n">
        <v>5836</v>
      </c>
      <c r="H797" t="b">
        <v>1</v>
      </c>
      <c r="I797" t="n">
        <v>340</v>
      </c>
      <c r="J797" t="n">
        <v>17.1647</v>
      </c>
      <c r="K797" t="inlineStr">
        <is>
          <t>&gt; Cuidado Capilar &gt; Shampoo Y Acondicionador &gt;</t>
        </is>
      </c>
      <c r="L797" t="inlineStr">
        <is>
          <t>shampoo</t>
        </is>
      </c>
      <c r="M797" t="inlineStr">
        <is>
          <t>estandar</t>
        </is>
      </c>
      <c r="N797" t="inlineStr">
        <is>
          <t>general</t>
        </is>
      </c>
      <c r="O797" t="inlineStr">
        <is>
          <t>https://www.farmacity.com/shampoo-ceramidas-x-340-ml/p</t>
        </is>
      </c>
    </row>
    <row r="798">
      <c r="A798" s="6" t="inlineStr">
        <is>
          <t>Farmacity</t>
        </is>
      </c>
      <c r="B798" s="6" t="n">
        <v>221809</v>
      </c>
      <c r="C798" s="6" t="n">
        <v>221809</v>
      </c>
      <c r="D798" s="6" t="inlineStr">
        <is>
          <t>Shampoo Sedal Ácido Hialurónico + Vitamina A x 340 ml</t>
        </is>
      </c>
      <c r="E798" s="6" t="inlineStr">
        <is>
          <t>Sedal</t>
        </is>
      </c>
      <c r="F798" s="6" t="n">
        <v>5841</v>
      </c>
      <c r="G798" s="6" t="n">
        <v>5841</v>
      </c>
      <c r="H798" s="6" t="b">
        <v>1</v>
      </c>
      <c r="I798" s="6" t="n">
        <v>340</v>
      </c>
      <c r="J798" s="6" t="n">
        <v>17.1794</v>
      </c>
      <c r="K798" s="6" t="inlineStr">
        <is>
          <t>&gt; Cuidado Capilar &gt; Shampoo Y Acondicionador &gt;</t>
        </is>
      </c>
      <c r="L798" s="6" t="inlineStr">
        <is>
          <t>shampoo</t>
        </is>
      </c>
      <c r="M798" s="6" t="inlineStr">
        <is>
          <t>estandar</t>
        </is>
      </c>
      <c r="N798" s="6" t="inlineStr">
        <is>
          <t>general</t>
        </is>
      </c>
      <c r="O798" s="6" t="inlineStr">
        <is>
          <t>https://www.farmacity.com/shampoo-sedal-acido-hialuronico-vitamina-a-x-340-ml/p</t>
        </is>
      </c>
    </row>
    <row r="799">
      <c r="A799" t="inlineStr">
        <is>
          <t>Farmacity</t>
        </is>
      </c>
      <c r="B799" t="n">
        <v>8864</v>
      </c>
      <c r="C799" t="n">
        <v>156281</v>
      </c>
      <c r="D799" t="inlineStr">
        <is>
          <t>Shampoo Sedal Ceramidas x 190 ml</t>
        </is>
      </c>
      <c r="E799" t="inlineStr">
        <is>
          <t>Sedal</t>
        </is>
      </c>
      <c r="F799" t="n">
        <v>3907</v>
      </c>
      <c r="G799" t="n">
        <v>3907</v>
      </c>
      <c r="H799" t="b">
        <v>1</v>
      </c>
      <c r="I799" t="n">
        <v>190</v>
      </c>
      <c r="J799" t="n">
        <v>20.5632</v>
      </c>
      <c r="K799" t="inlineStr">
        <is>
          <t>&gt; Cuidado Capilar &gt; Shampoo Y Acondicionador &gt;</t>
        </is>
      </c>
      <c r="L799" t="inlineStr">
        <is>
          <t>shampoo</t>
        </is>
      </c>
      <c r="M799" t="inlineStr">
        <is>
          <t>estandar</t>
        </is>
      </c>
      <c r="N799" t="inlineStr">
        <is>
          <t>general</t>
        </is>
      </c>
      <c r="O799" t="inlineStr">
        <is>
          <t>https://www.farmacity.com/shampoo-ceramidas-x-190-ml/p</t>
        </is>
      </c>
    </row>
    <row r="800">
      <c r="A800" s="6" t="inlineStr">
        <is>
          <t>Farmacity</t>
        </is>
      </c>
      <c r="B800" s="6" t="n">
        <v>1022</v>
      </c>
      <c r="C800" s="6" t="n">
        <v>109083</v>
      </c>
      <c r="D800" s="6" t="inlineStr">
        <is>
          <t>Shampoo Dove Hidratación + Hialuron Vit x 400 ml</t>
        </is>
      </c>
      <c r="E800" s="6" t="inlineStr">
        <is>
          <t>Dove</t>
        </is>
      </c>
      <c r="F800" s="6" t="n">
        <v>5812</v>
      </c>
      <c r="G800" s="6" t="n">
        <v>9687</v>
      </c>
      <c r="H800" s="6" t="b">
        <v>1</v>
      </c>
      <c r="I800" s="6" t="n">
        <v>400</v>
      </c>
      <c r="J800" s="6" t="n">
        <v>14.53</v>
      </c>
      <c r="K800" s="6" t="inlineStr">
        <is>
          <t>&gt; Cuidado Capilar &gt; Shampoo Y Acondicionador &gt;</t>
        </is>
      </c>
      <c r="L800" s="6" t="inlineStr">
        <is>
          <t>shampoo</t>
        </is>
      </c>
      <c r="M800" s="6" t="inlineStr">
        <is>
          <t>estandar</t>
        </is>
      </c>
      <c r="N800" s="6" t="inlineStr">
        <is>
          <t>seco_danado</t>
        </is>
      </c>
      <c r="O800" s="6" t="inlineStr">
        <is>
          <t>https://www.farmacity.com/shampoo-dove-hidratacion-intensa-botella-x-400-ml/p</t>
        </is>
      </c>
    </row>
    <row r="801">
      <c r="A801" t="inlineStr">
        <is>
          <t>Farmacity</t>
        </is>
      </c>
      <c r="B801" t="n">
        <v>223338</v>
      </c>
      <c r="C801" t="n">
        <v>223338</v>
      </c>
      <c r="D801" t="inlineStr">
        <is>
          <t>Shampoo Dove Nutrición + Tri-Óleos x 400 ml</t>
        </is>
      </c>
      <c r="E801" t="inlineStr">
        <is>
          <t>Dove</t>
        </is>
      </c>
      <c r="F801" t="n">
        <v>5812</v>
      </c>
      <c r="G801" t="n">
        <v>9687</v>
      </c>
      <c r="H801" t="b">
        <v>1</v>
      </c>
      <c r="I801" t="n">
        <v>400</v>
      </c>
      <c r="J801" t="n">
        <v>14.53</v>
      </c>
      <c r="K801" t="inlineStr">
        <is>
          <t>&gt; Cuidado Capilar &gt; Shampoo Y Acondicionador &gt;</t>
        </is>
      </c>
      <c r="L801" t="inlineStr">
        <is>
          <t>shampoo</t>
        </is>
      </c>
      <c r="M801" t="inlineStr">
        <is>
          <t>estandar</t>
        </is>
      </c>
      <c r="N801" t="inlineStr">
        <is>
          <t>general</t>
        </is>
      </c>
      <c r="O801" t="inlineStr">
        <is>
          <t>https://www.farmacity.com/shampoo-dove-oleo-nutricion-superior-x-400-ml/p</t>
        </is>
      </c>
    </row>
    <row r="802">
      <c r="A802" s="6" t="inlineStr">
        <is>
          <t>Farmacity</t>
        </is>
      </c>
      <c r="B802" s="6" t="n">
        <v>16483</v>
      </c>
      <c r="C802" s="6" t="n">
        <v>162823</v>
      </c>
      <c r="D802" s="6" t="inlineStr">
        <is>
          <t>Shampoo Dove Humectación + Coco Antioxi x 400 ml</t>
        </is>
      </c>
      <c r="E802" s="6" t="inlineStr">
        <is>
          <t>Dove</t>
        </is>
      </c>
      <c r="F802" s="6" t="n">
        <v>5812</v>
      </c>
      <c r="G802" s="6" t="n">
        <v>9687</v>
      </c>
      <c r="H802" s="6" t="b">
        <v>1</v>
      </c>
      <c r="I802" s="6" t="n">
        <v>400</v>
      </c>
      <c r="J802" s="6" t="n">
        <v>14.53</v>
      </c>
      <c r="K802" s="6" t="inlineStr">
        <is>
          <t>&gt; Cuidado Capilar &gt; Shampoo Y Acondicionador &gt;</t>
        </is>
      </c>
      <c r="L802" s="6" t="inlineStr">
        <is>
          <t>shampoo</t>
        </is>
      </c>
      <c r="M802" s="6" t="inlineStr">
        <is>
          <t>estandar</t>
        </is>
      </c>
      <c r="N802" s="6" t="inlineStr">
        <is>
          <t>general</t>
        </is>
      </c>
      <c r="O802" s="6" t="inlineStr">
        <is>
          <t>https://www.farmacity.com/sha-dove-ritual-de-reparacion-x-400ml/p</t>
        </is>
      </c>
    </row>
    <row r="803">
      <c r="A803" t="inlineStr">
        <is>
          <t>Farmacity</t>
        </is>
      </c>
      <c r="B803" t="n">
        <v>1227</v>
      </c>
      <c r="C803" t="n">
        <v>132365</v>
      </c>
      <c r="D803" t="inlineStr">
        <is>
          <t>Shampoo Dove Nutrición + Tri-Óleos x 200 ml</t>
        </is>
      </c>
      <c r="E803" t="inlineStr">
        <is>
          <t>Dove</t>
        </is>
      </c>
      <c r="F803" t="n">
        <v>5788</v>
      </c>
      <c r="G803" t="n">
        <v>5788</v>
      </c>
      <c r="H803" t="b">
        <v>1</v>
      </c>
      <c r="I803" t="n">
        <v>200</v>
      </c>
      <c r="J803" t="n">
        <v>28.94</v>
      </c>
      <c r="K803" t="inlineStr">
        <is>
          <t>&gt; Cuidado Capilar &gt; Shampoo Y Acondicionador &gt;</t>
        </is>
      </c>
      <c r="L803" t="inlineStr">
        <is>
          <t>shampoo</t>
        </is>
      </c>
      <c r="M803" t="inlineStr">
        <is>
          <t>estandar</t>
        </is>
      </c>
      <c r="N803" t="inlineStr">
        <is>
          <t>general</t>
        </is>
      </c>
      <c r="O803" t="inlineStr">
        <is>
          <t>https://www.farmacity.com/shampoo-dove-oleo-nutricion-botella-x-200-ml/p</t>
        </is>
      </c>
    </row>
    <row r="804">
      <c r="A804" s="6" t="inlineStr">
        <is>
          <t>Farmacity</t>
        </is>
      </c>
      <c r="B804" s="6" t="n">
        <v>221811</v>
      </c>
      <c r="C804" s="6" t="n">
        <v>221811</v>
      </c>
      <c r="D804" s="6" t="inlineStr">
        <is>
          <t>Shampoo Sedal Colágeno + Vitamina C x 340 ml</t>
        </is>
      </c>
      <c r="E804" s="6" t="inlineStr">
        <is>
          <t>Sedal</t>
        </is>
      </c>
      <c r="F804" s="6" t="n">
        <v>5841</v>
      </c>
      <c r="G804" s="6" t="n">
        <v>5841</v>
      </c>
      <c r="H804" s="6" t="b">
        <v>1</v>
      </c>
      <c r="I804" s="6" t="n">
        <v>340</v>
      </c>
      <c r="J804" s="6" t="n">
        <v>17.1794</v>
      </c>
      <c r="K804" s="6" t="inlineStr">
        <is>
          <t>&gt; Cuidado Capilar &gt; Shampoo Y Acondicionador &gt;</t>
        </is>
      </c>
      <c r="L804" s="6" t="inlineStr">
        <is>
          <t>shampoo</t>
        </is>
      </c>
      <c r="M804" s="6" t="inlineStr">
        <is>
          <t>estandar</t>
        </is>
      </c>
      <c r="N804" s="6" t="inlineStr">
        <is>
          <t>general</t>
        </is>
      </c>
      <c r="O804" s="6" t="inlineStr">
        <is>
          <t>https://www.farmacity.com/shampoo-sedal-colageno-vitamina-c-x-340-ml/p</t>
        </is>
      </c>
    </row>
    <row r="805">
      <c r="A805" t="inlineStr">
        <is>
          <t>Farmacity</t>
        </is>
      </c>
      <c r="B805" t="n">
        <v>206036</v>
      </c>
      <c r="C805" t="n">
        <v>206036</v>
      </c>
      <c r="D805" t="inlineStr">
        <is>
          <t>Shampoo Head &amp; Shoulders Men 3 en 1 x 375 ml</t>
        </is>
      </c>
      <c r="E805" t="inlineStr">
        <is>
          <t>Head and Shoulders</t>
        </is>
      </c>
      <c r="F805" t="n">
        <v>7895</v>
      </c>
      <c r="G805" t="n">
        <v>12146</v>
      </c>
      <c r="H805" t="b">
        <v>1</v>
      </c>
      <c r="I805" t="n">
        <v>375</v>
      </c>
      <c r="J805" t="n">
        <v>21.0533</v>
      </c>
      <c r="K805" t="inlineStr">
        <is>
          <t>&gt; Cuidado Capilar &gt; Shampoo Y Acondicionador &gt;</t>
        </is>
      </c>
      <c r="L805" t="inlineStr">
        <is>
          <t>shampoo</t>
        </is>
      </c>
      <c r="M805" t="inlineStr">
        <is>
          <t>estandar</t>
        </is>
      </c>
      <c r="N805" t="inlineStr">
        <is>
          <t>general</t>
        </is>
      </c>
      <c r="O805" t="inlineStr">
        <is>
          <t>https://www.farmacity.com/shampoo-head-shoulders-3en1-para-hombres-375ml/p</t>
        </is>
      </c>
    </row>
    <row r="806">
      <c r="A806" s="6" t="inlineStr">
        <is>
          <t>Farmacity</t>
        </is>
      </c>
      <c r="B806" s="6" t="n">
        <v>239706</v>
      </c>
      <c r="C806" s="6" t="n">
        <v>239706</v>
      </c>
      <c r="D806" s="6" t="inlineStr">
        <is>
          <t>Shampoo Fructis Hair Food Cacao x 300 ml</t>
        </is>
      </c>
      <c r="E806" s="6" t="inlineStr">
        <is>
          <t>Fructis</t>
        </is>
      </c>
      <c r="F806" s="6" t="n">
        <v>7273</v>
      </c>
      <c r="G806" s="6" t="n">
        <v>11190</v>
      </c>
      <c r="H806" s="6" t="b">
        <v>1</v>
      </c>
      <c r="I806" s="6" t="n">
        <v>300</v>
      </c>
      <c r="J806" s="6" t="n">
        <v>24.2433</v>
      </c>
      <c r="K806" s="6" t="inlineStr">
        <is>
          <t>&gt; Cuidado Capilar &gt; Shampoo Y Acondicionador &gt;</t>
        </is>
      </c>
      <c r="L806" s="6" t="inlineStr">
        <is>
          <t>shampoo</t>
        </is>
      </c>
      <c r="M806" s="6" t="inlineStr">
        <is>
          <t>estandar</t>
        </is>
      </c>
      <c r="N806" s="6" t="inlineStr">
        <is>
          <t>general</t>
        </is>
      </c>
      <c r="O806" s="6" t="inlineStr">
        <is>
          <t>https://www.farmacity.com/shampoo-garnier-fructis-hair-food-manteca-de-cacao-x-300-ml/p</t>
        </is>
      </c>
    </row>
    <row r="807">
      <c r="A807" t="inlineStr">
        <is>
          <t>Farmacity</t>
        </is>
      </c>
      <c r="B807" t="n">
        <v>696</v>
      </c>
      <c r="C807" t="n">
        <v>109079</v>
      </c>
      <c r="D807" t="inlineStr">
        <is>
          <t>Acondicionador Dove Hidratación + Hialuron Vit x 400 ml</t>
        </is>
      </c>
      <c r="E807" t="inlineStr">
        <is>
          <t>Dove</t>
        </is>
      </c>
      <c r="F807" t="n">
        <v>5812</v>
      </c>
      <c r="G807" t="n">
        <v>9687</v>
      </c>
      <c r="H807" t="b">
        <v>1</v>
      </c>
      <c r="I807" t="n">
        <v>400</v>
      </c>
      <c r="J807" t="n">
        <v>14.53</v>
      </c>
      <c r="K807" t="inlineStr">
        <is>
          <t>&gt; Cuidado Capilar &gt; Shampoo Y Acondicionador &gt;</t>
        </is>
      </c>
      <c r="L807" t="inlineStr">
        <is>
          <t>acondicionador</t>
        </is>
      </c>
      <c r="M807" t="inlineStr">
        <is>
          <t>estandar</t>
        </is>
      </c>
      <c r="N807" t="inlineStr">
        <is>
          <t>seco_danado</t>
        </is>
      </c>
      <c r="O807" t="inlineStr">
        <is>
          <t>https://www.farmacity.com/acondicionador-dove-hidratacion-intensa-botella-x-400-ml/p</t>
        </is>
      </c>
    </row>
    <row r="808">
      <c r="A808" s="6" t="inlineStr">
        <is>
          <t>Farmacity</t>
        </is>
      </c>
      <c r="B808" s="6" t="n">
        <v>8895</v>
      </c>
      <c r="C808" s="6" t="n">
        <v>156322</v>
      </c>
      <c r="D808" s="6" t="inlineStr">
        <is>
          <t>Acondicionador Sedal Ceramidas x 340 ml</t>
        </is>
      </c>
      <c r="E808" s="6" t="inlineStr">
        <is>
          <t>Sedal</t>
        </is>
      </c>
      <c r="F808" s="6" t="n">
        <v>5836</v>
      </c>
      <c r="G808" s="6" t="n">
        <v>5836</v>
      </c>
      <c r="H808" s="6" t="b">
        <v>1</v>
      </c>
      <c r="I808" s="6" t="n">
        <v>340</v>
      </c>
      <c r="J808" s="6" t="n">
        <v>17.1647</v>
      </c>
      <c r="K808" s="6" t="inlineStr">
        <is>
          <t>&gt; Cuidado Capilar &gt; Shampoo Y Acondicionador &gt;</t>
        </is>
      </c>
      <c r="L808" s="6" t="inlineStr">
        <is>
          <t>acondicionador</t>
        </is>
      </c>
      <c r="M808" s="6" t="inlineStr">
        <is>
          <t>estandar</t>
        </is>
      </c>
      <c r="N808" s="6" t="inlineStr">
        <is>
          <t>general</t>
        </is>
      </c>
      <c r="O808" s="6" t="inlineStr">
        <is>
          <t>https://www.farmacity.com/acondicionador-ceramidas-x-340-ml/p</t>
        </is>
      </c>
    </row>
    <row r="809">
      <c r="A809" t="inlineStr">
        <is>
          <t>Farmacity</t>
        </is>
      </c>
      <c r="B809" t="n">
        <v>8852</v>
      </c>
      <c r="C809" t="n">
        <v>156291</v>
      </c>
      <c r="D809" t="inlineStr">
        <is>
          <t>Acondicionador Sedal Crema Balance Toque Seda x 190 ml</t>
        </is>
      </c>
      <c r="E809" t="inlineStr">
        <is>
          <t>Sedal</t>
        </is>
      </c>
      <c r="F809" t="n">
        <v>3907</v>
      </c>
      <c r="G809" t="n">
        <v>3907</v>
      </c>
      <c r="H809" t="b">
        <v>1</v>
      </c>
      <c r="I809" t="n">
        <v>190</v>
      </c>
      <c r="J809" t="n">
        <v>20.5632</v>
      </c>
      <c r="K809" t="inlineStr">
        <is>
          <t>&gt; Cuidado Capilar &gt; Shampoo Y Acondicionador &gt;</t>
        </is>
      </c>
      <c r="L809" t="inlineStr">
        <is>
          <t>acondicionador</t>
        </is>
      </c>
      <c r="M809" t="inlineStr">
        <is>
          <t>estandar</t>
        </is>
      </c>
      <c r="N809" t="inlineStr">
        <is>
          <t>general</t>
        </is>
      </c>
      <c r="O809" t="inlineStr">
        <is>
          <t>https://www.farmacity.com/acondicionador-crema-balance-x-190-ml/p</t>
        </is>
      </c>
    </row>
    <row r="810">
      <c r="A810" s="6" t="inlineStr">
        <is>
          <t>Farmacity</t>
        </is>
      </c>
      <c r="B810" s="6" t="n">
        <v>573</v>
      </c>
      <c r="C810" s="6" t="n">
        <v>128787</v>
      </c>
      <c r="D810" s="6" t="inlineStr">
        <is>
          <t>Acondicionador Dove Regeneración + Retinol x 200 ml</t>
        </is>
      </c>
      <c r="E810" s="6" t="inlineStr">
        <is>
          <t>Dove</t>
        </is>
      </c>
      <c r="F810" s="6" t="n">
        <v>5788</v>
      </c>
      <c r="G810" s="6" t="n">
        <v>5788</v>
      </c>
      <c r="H810" s="6" t="b">
        <v>1</v>
      </c>
      <c r="I810" s="6" t="n">
        <v>200</v>
      </c>
      <c r="J810" s="6" t="n">
        <v>28.94</v>
      </c>
      <c r="K810" s="6" t="inlineStr">
        <is>
          <t>&gt; Cuidado Capilar &gt; Shampoo Y Acondicionador &gt;</t>
        </is>
      </c>
      <c r="L810" s="6" t="inlineStr">
        <is>
          <t>acondicionador</t>
        </is>
      </c>
      <c r="M810" s="6" t="inlineStr">
        <is>
          <t>estandar</t>
        </is>
      </c>
      <c r="N810" s="6" t="inlineStr">
        <is>
          <t>general</t>
        </is>
      </c>
      <c r="O810" s="6" t="inlineStr">
        <is>
          <t>https://www.farmacity.com/acondicionador-dove-reconstruccion-completa-botella-x-200-ml/p</t>
        </is>
      </c>
    </row>
    <row r="811">
      <c r="A811" t="inlineStr">
        <is>
          <t>Farmacity</t>
        </is>
      </c>
      <c r="B811" t="n">
        <v>16489</v>
      </c>
      <c r="C811" t="n">
        <v>162824</v>
      </c>
      <c r="D811" t="inlineStr">
        <is>
          <t>Acondicionador Dove Humectación + Coco Antioxi x 200 ml</t>
        </is>
      </c>
      <c r="E811" t="inlineStr">
        <is>
          <t>Dove</t>
        </is>
      </c>
      <c r="F811" t="n">
        <v>5788</v>
      </c>
      <c r="G811" t="n">
        <v>5788</v>
      </c>
      <c r="H811" t="b">
        <v>1</v>
      </c>
      <c r="I811" t="n">
        <v>200</v>
      </c>
      <c r="J811" t="n">
        <v>28.94</v>
      </c>
      <c r="K811" t="inlineStr">
        <is>
          <t>&gt; Cuidado Capilar &gt; Shampoo Y Acondicionador &gt;</t>
        </is>
      </c>
      <c r="L811" t="inlineStr">
        <is>
          <t>acondicionador</t>
        </is>
      </c>
      <c r="M811" t="inlineStr">
        <is>
          <t>estandar</t>
        </is>
      </c>
      <c r="N811" t="inlineStr">
        <is>
          <t>general</t>
        </is>
      </c>
      <c r="O811" t="inlineStr">
        <is>
          <t>https://www.farmacity.com/acond-dove-ritual-de-reparacion-x-200ml/p</t>
        </is>
      </c>
    </row>
    <row r="812">
      <c r="A812" s="6" t="inlineStr">
        <is>
          <t>Farmacity</t>
        </is>
      </c>
      <c r="B812" s="6" t="n">
        <v>221812</v>
      </c>
      <c r="C812" s="6" t="n">
        <v>221812</v>
      </c>
      <c r="D812" s="6" t="inlineStr">
        <is>
          <t>Acondicionador Sedal Colágeno + Vitamina C x 340 ml</t>
        </is>
      </c>
      <c r="E812" s="6" t="inlineStr">
        <is>
          <t>Sedal</t>
        </is>
      </c>
      <c r="F812" s="6" t="n">
        <v>5841</v>
      </c>
      <c r="G812" s="6" t="n">
        <v>5841</v>
      </c>
      <c r="H812" s="6" t="b">
        <v>1</v>
      </c>
      <c r="I812" s="6" t="n">
        <v>340</v>
      </c>
      <c r="J812" s="6" t="n">
        <v>17.1794</v>
      </c>
      <c r="K812" s="6" t="inlineStr">
        <is>
          <t>&gt; Cuidado Capilar &gt; Shampoo Y Acondicionador &gt;</t>
        </is>
      </c>
      <c r="L812" s="6" t="inlineStr">
        <is>
          <t>acondicionador</t>
        </is>
      </c>
      <c r="M812" s="6" t="inlineStr">
        <is>
          <t>estandar</t>
        </is>
      </c>
      <c r="N812" s="6" t="inlineStr">
        <is>
          <t>general</t>
        </is>
      </c>
      <c r="O812" s="6" t="inlineStr">
        <is>
          <t>https://www.farmacity.com/acondicionador-sedal-colageno-vitamina-c-x-340-ml/p</t>
        </is>
      </c>
    </row>
    <row r="813">
      <c r="A813" t="inlineStr">
        <is>
          <t>Farmacity</t>
        </is>
      </c>
      <c r="B813" t="n">
        <v>241004</v>
      </c>
      <c r="C813" t="n">
        <v>241004</v>
      </c>
      <c r="D813" t="inlineStr">
        <is>
          <t>Acondicionador Dove Bond Intense Repair x 250 ml</t>
        </is>
      </c>
      <c r="E813" t="inlineStr">
        <is>
          <t>Dove</t>
        </is>
      </c>
      <c r="F813" t="n">
        <v>5404</v>
      </c>
      <c r="G813" t="n">
        <v>9006</v>
      </c>
      <c r="H813" t="b">
        <v>1</v>
      </c>
      <c r="I813" t="n">
        <v>250</v>
      </c>
      <c r="J813" t="n">
        <v>21.616</v>
      </c>
      <c r="K813" t="inlineStr">
        <is>
          <t>&gt; Cuidado Capilar &gt; Shampoo Y Acondicionador &gt;</t>
        </is>
      </c>
      <c r="L813" t="inlineStr">
        <is>
          <t>acondicionador</t>
        </is>
      </c>
      <c r="M813" t="inlineStr">
        <is>
          <t>profesional</t>
        </is>
      </c>
      <c r="N813" t="inlineStr">
        <is>
          <t>general</t>
        </is>
      </c>
      <c r="O813" t="inlineStr">
        <is>
          <t>https://www.farmacity.com/acondicionador-dove-bond-intense-repair-x-250-ml/p</t>
        </is>
      </c>
    </row>
    <row r="814">
      <c r="A814" s="6" t="inlineStr">
        <is>
          <t>Farmacity</t>
        </is>
      </c>
      <c r="B814" s="6" t="n">
        <v>16486</v>
      </c>
      <c r="C814" s="6" t="n">
        <v>162825</v>
      </c>
      <c r="D814" s="6" t="inlineStr">
        <is>
          <t>Acondicionador Dove Humectación + Coco Antioxi  x 400 ml</t>
        </is>
      </c>
      <c r="E814" s="6" t="inlineStr">
        <is>
          <t>Dove</t>
        </is>
      </c>
      <c r="F814" s="6" t="n">
        <v>5812</v>
      </c>
      <c r="G814" s="6" t="n">
        <v>9687</v>
      </c>
      <c r="H814" s="6" t="b">
        <v>1</v>
      </c>
      <c r="I814" s="6" t="n">
        <v>400</v>
      </c>
      <c r="J814" s="6" t="n">
        <v>14.53</v>
      </c>
      <c r="K814" s="6" t="inlineStr">
        <is>
          <t>&gt; Cuidado Capilar &gt; Shampoo Y Acondicionador &gt;</t>
        </is>
      </c>
      <c r="L814" s="6" t="inlineStr">
        <is>
          <t>acondicionador</t>
        </is>
      </c>
      <c r="M814" s="6" t="inlineStr">
        <is>
          <t>estandar</t>
        </is>
      </c>
      <c r="N814" s="6" t="inlineStr">
        <is>
          <t>general</t>
        </is>
      </c>
      <c r="O814" s="6" t="inlineStr">
        <is>
          <t>https://www.farmacity.com/acond-dove-ritual-de-reparacion-x-400ml/p</t>
        </is>
      </c>
    </row>
    <row r="815">
      <c r="A815" t="inlineStr">
        <is>
          <t>Farmacity</t>
        </is>
      </c>
      <c r="B815" t="n">
        <v>231816</v>
      </c>
      <c r="C815" t="n">
        <v>231816</v>
      </c>
      <c r="D815" t="inlineStr">
        <is>
          <t>Crema para Peinar Fructis Liso Coco x 250 ml</t>
        </is>
      </c>
      <c r="E815" t="inlineStr">
        <is>
          <t>Fructis</t>
        </is>
      </c>
      <c r="F815" t="n">
        <v>7490</v>
      </c>
      <c r="G815" t="n">
        <v>7490</v>
      </c>
      <c r="H815" t="b">
        <v>1</v>
      </c>
      <c r="I815" t="n">
        <v>250</v>
      </c>
      <c r="J815" t="n">
        <v>29.96</v>
      </c>
      <c r="K815" t="inlineStr">
        <is>
          <t>&gt; Cuidado Capilar &gt; Modelado Y Peinado &gt;</t>
        </is>
      </c>
      <c r="L815" t="inlineStr">
        <is>
          <t>shampoo</t>
        </is>
      </c>
      <c r="M815" t="inlineStr">
        <is>
          <t>estandar</t>
        </is>
      </c>
      <c r="N815" t="inlineStr">
        <is>
          <t>general</t>
        </is>
      </c>
      <c r="O815" t="inlineStr">
        <is>
          <t>https://www.farmacity.com/crema-para-peinar-fructis-coco-x-250-ml/p</t>
        </is>
      </c>
    </row>
    <row r="816">
      <c r="A816" s="6" t="inlineStr">
        <is>
          <t>Farmacity</t>
        </is>
      </c>
      <c r="B816" s="6" t="n">
        <v>230625</v>
      </c>
      <c r="C816" s="6" t="n">
        <v>230625</v>
      </c>
      <c r="D816" s="6" t="inlineStr">
        <is>
          <t>Acondicionador Tresemmé Liso Efecto Botox x 250 ml</t>
        </is>
      </c>
      <c r="E816" s="6" t="inlineStr">
        <is>
          <t>Tresemmé</t>
        </is>
      </c>
      <c r="F816" s="6" t="n">
        <v>6091</v>
      </c>
      <c r="G816" s="6" t="n">
        <v>6091</v>
      </c>
      <c r="H816" s="6" t="b">
        <v>1</v>
      </c>
      <c r="I816" s="6" t="n">
        <v>250</v>
      </c>
      <c r="J816" s="6" t="n">
        <v>24.364</v>
      </c>
      <c r="K816" s="6" t="inlineStr">
        <is>
          <t>&gt; Cuidado Capilar &gt; Shampoo Y Acondicionador &gt;</t>
        </is>
      </c>
      <c r="L816" s="6" t="inlineStr">
        <is>
          <t>acondicionador</t>
        </is>
      </c>
      <c r="M816" s="6" t="inlineStr">
        <is>
          <t>estandar</t>
        </is>
      </c>
      <c r="N816" s="6" t="inlineStr">
        <is>
          <t>general</t>
        </is>
      </c>
      <c r="O816" s="6" t="inlineStr">
        <is>
          <t>https://www.farmacity.com/acondicionador-tresemme-liso-efecto-botox-x-250-ml/p</t>
        </is>
      </c>
    </row>
    <row r="817">
      <c r="A817" t="inlineStr">
        <is>
          <t>Farmacity</t>
        </is>
      </c>
      <c r="B817" t="n">
        <v>218826</v>
      </c>
      <c r="C817" t="n">
        <v>218826</v>
      </c>
      <c r="D817" t="inlineStr">
        <is>
          <t>Acondicionador Pantene Bambú Nutre y Crece x 750 ml</t>
        </is>
      </c>
      <c r="E817" t="inlineStr">
        <is>
          <t>Pantene</t>
        </is>
      </c>
      <c r="F817" t="n">
        <v>14467</v>
      </c>
      <c r="G817" t="n">
        <v>14467</v>
      </c>
      <c r="H817" t="b">
        <v>0</v>
      </c>
      <c r="I817" t="n">
        <v>750</v>
      </c>
      <c r="J817" t="n">
        <v>19.2893</v>
      </c>
      <c r="K817" t="inlineStr">
        <is>
          <t>&gt; Cuidado Capilar &gt; Shampoo Y Acondicionador &gt;</t>
        </is>
      </c>
      <c r="L817" t="inlineStr">
        <is>
          <t>acondicionador</t>
        </is>
      </c>
      <c r="M817" t="inlineStr">
        <is>
          <t>estandar</t>
        </is>
      </c>
      <c r="N817" t="inlineStr">
        <is>
          <t>general</t>
        </is>
      </c>
      <c r="O817" t="inlineStr">
        <is>
          <t>https://www.farmacity.com/acondicionador-pantene-bambu-nutre-y-crece-x-750-ml/p</t>
        </is>
      </c>
    </row>
    <row r="818">
      <c r="A818" s="6" t="inlineStr">
        <is>
          <t>Farmacity</t>
        </is>
      </c>
      <c r="B818" s="6" t="n">
        <v>16825</v>
      </c>
      <c r="C818" s="6" t="n">
        <v>163829</v>
      </c>
      <c r="D818" s="6" t="inlineStr">
        <is>
          <t>Acondicionador Garnier Fructis Goodbye Daños x 200 ml</t>
        </is>
      </c>
      <c r="E818" s="6" t="inlineStr">
        <is>
          <t>Fructis</t>
        </is>
      </c>
      <c r="F818" s="6" t="n">
        <v>5490</v>
      </c>
      <c r="G818" s="6" t="n">
        <v>5490</v>
      </c>
      <c r="H818" s="6" t="b">
        <v>0</v>
      </c>
      <c r="I818" s="6" t="n">
        <v>200</v>
      </c>
      <c r="J818" s="6" t="n">
        <v>27.45</v>
      </c>
      <c r="K818" s="6" t="inlineStr">
        <is>
          <t>&gt; Cuidado Capilar &gt; Shampoo Y Acondicionador &gt;</t>
        </is>
      </c>
      <c r="L818" s="6" t="inlineStr">
        <is>
          <t>acondicionador</t>
        </is>
      </c>
      <c r="M818" s="6" t="inlineStr">
        <is>
          <t>estandar</t>
        </is>
      </c>
      <c r="N818" s="6" t="inlineStr">
        <is>
          <t>general</t>
        </is>
      </c>
      <c r="O818" s="6" t="inlineStr">
        <is>
          <t>https://www.farmacity.com/aco-garnier-fructis-borrador-de-dano-x-200ml/p</t>
        </is>
      </c>
    </row>
    <row r="819">
      <c r="A819" t="inlineStr">
        <is>
          <t>Farmacity</t>
        </is>
      </c>
      <c r="B819" t="n">
        <v>230615</v>
      </c>
      <c r="C819" t="n">
        <v>230615</v>
      </c>
      <c r="D819" t="inlineStr">
        <is>
          <t>Acondicionador Tresemmé Ondas Boho x 250 ml</t>
        </is>
      </c>
      <c r="E819" t="inlineStr">
        <is>
          <t>Tresemmé</t>
        </is>
      </c>
      <c r="F819" t="n">
        <v>3676</v>
      </c>
      <c r="G819" t="n">
        <v>3676</v>
      </c>
      <c r="H819" t="b">
        <v>0</v>
      </c>
      <c r="I819" t="n">
        <v>250</v>
      </c>
      <c r="J819" t="n">
        <v>14.704</v>
      </c>
      <c r="K819" t="inlineStr">
        <is>
          <t>&gt; Cuidado Capilar &gt; Shampoo Y Acondicionador &gt;</t>
        </is>
      </c>
      <c r="L819" t="inlineStr">
        <is>
          <t>acondicionador</t>
        </is>
      </c>
      <c r="M819" t="inlineStr">
        <is>
          <t>estandar</t>
        </is>
      </c>
      <c r="N819" t="inlineStr">
        <is>
          <t>general</t>
        </is>
      </c>
      <c r="O819" t="inlineStr">
        <is>
          <t>https://www.farmacity.com/acondicionador-tresemme-ondas-boho-x-250-ml/p</t>
        </is>
      </c>
    </row>
    <row r="820">
      <c r="A820" s="6" t="inlineStr">
        <is>
          <t>Farmacity</t>
        </is>
      </c>
      <c r="B820" s="6" t="n">
        <v>231535</v>
      </c>
      <c r="C820" s="6" t="n">
        <v>231535</v>
      </c>
      <c r="D820" s="6" t="inlineStr">
        <is>
          <t>Acondicionador Tío Nacho Crecimiento Saludable x 415 ml</t>
        </is>
      </c>
      <c r="E820" s="6" t="inlineStr">
        <is>
          <t>Tío Nacho</t>
        </is>
      </c>
      <c r="F820" s="6" t="n">
        <v>9947</v>
      </c>
      <c r="G820" s="6" t="n">
        <v>9947</v>
      </c>
      <c r="H820" s="6" t="b">
        <v>0</v>
      </c>
      <c r="I820" s="6" t="n">
        <v>415</v>
      </c>
      <c r="J820" s="6" t="n">
        <v>23.9687</v>
      </c>
      <c r="K820" s="6" t="inlineStr">
        <is>
          <t>&gt; Cuidado Capilar &gt; Shampoo Y Acondicionador &gt;</t>
        </is>
      </c>
      <c r="L820" s="6" t="inlineStr">
        <is>
          <t>acondicionador</t>
        </is>
      </c>
      <c r="M820" s="6" t="inlineStr">
        <is>
          <t>estandar</t>
        </is>
      </c>
      <c r="N820" s="6" t="inlineStr">
        <is>
          <t>general</t>
        </is>
      </c>
      <c r="O820" s="6" t="inlineStr">
        <is>
          <t>https://www.farmacity.com/acondicionador-tio-nacho-crecimiento-saludable-x-415-ml/p</t>
        </is>
      </c>
    </row>
    <row r="821">
      <c r="A821" t="inlineStr">
        <is>
          <t>Farmacity</t>
        </is>
      </c>
      <c r="B821" t="n">
        <v>245065</v>
      </c>
      <c r="C821" t="n">
        <v>245065</v>
      </c>
      <c r="D821" t="inlineStr">
        <is>
          <t>Combo Gel Fijador + Tratamiento Capilar</t>
        </is>
      </c>
      <c r="E821" t="inlineStr">
        <is>
          <t>Issue</t>
        </is>
      </c>
      <c r="F821" t="n">
        <v>7936</v>
      </c>
      <c r="G821" t="n">
        <v>7936</v>
      </c>
      <c r="H821" t="b">
        <v>1</v>
      </c>
      <c r="I821" t="inlineStr"/>
      <c r="J821" t="inlineStr"/>
      <c r="K821" t="inlineStr">
        <is>
          <t>&gt; Cuidado Capilar &gt; Modelado Y Peinado &gt;</t>
        </is>
      </c>
      <c r="L821" t="inlineStr">
        <is>
          <t>tratamiento</t>
        </is>
      </c>
      <c r="M821" t="inlineStr">
        <is>
          <t>estandar</t>
        </is>
      </c>
      <c r="N821" t="inlineStr">
        <is>
          <t>general</t>
        </is>
      </c>
      <c r="O821" t="inlineStr">
        <is>
          <t>https://www.farmacity.com/combo-gel-fijador-tratamiento-capilar/p</t>
        </is>
      </c>
    </row>
    <row r="822">
      <c r="A822" s="6" t="inlineStr">
        <is>
          <t>Farmacity</t>
        </is>
      </c>
      <c r="B822" s="6" t="n">
        <v>235834</v>
      </c>
      <c r="C822" s="6" t="n">
        <v>235834</v>
      </c>
      <c r="D822" s="6" t="inlineStr">
        <is>
          <t>Tratamiento Capilar Farmacity Banana x 20 g</t>
        </is>
      </c>
      <c r="E822" s="6" t="inlineStr">
        <is>
          <t>Farmacity</t>
        </is>
      </c>
      <c r="F822" s="6" t="n">
        <v>1020</v>
      </c>
      <c r="G822" s="6" t="n">
        <v>1020</v>
      </c>
      <c r="H822" s="6" t="b">
        <v>1</v>
      </c>
      <c r="I822" s="6" t="n">
        <v>20</v>
      </c>
      <c r="J822" s="6" t="n">
        <v>51</v>
      </c>
      <c r="K822" s="6" t="inlineStr">
        <is>
          <t>&gt; Cuidado Capilar &gt; Reparación Y Tratamiento &gt;</t>
        </is>
      </c>
      <c r="L822" s="6" t="inlineStr">
        <is>
          <t>tratamiento</t>
        </is>
      </c>
      <c r="M822" s="6" t="inlineStr">
        <is>
          <t>estandar</t>
        </is>
      </c>
      <c r="N822" s="6" t="inlineStr">
        <is>
          <t>general</t>
        </is>
      </c>
      <c r="O822" s="6" t="inlineStr">
        <is>
          <t>https://www.farmacity.com/tratamiento-capilar-farmacity-banana-x-20-g/p</t>
        </is>
      </c>
    </row>
    <row r="823">
      <c r="A823" t="inlineStr">
        <is>
          <t>Farmacity</t>
        </is>
      </c>
      <c r="B823" t="n">
        <v>249901</v>
      </c>
      <c r="C823" t="n">
        <v>249901</v>
      </c>
      <c r="D823" t="inlineStr">
        <is>
          <t>Tratamiento Capilar Primont Queration x 220 g</t>
        </is>
      </c>
      <c r="E823" t="inlineStr">
        <is>
          <t>Primont</t>
        </is>
      </c>
      <c r="F823" t="n">
        <v>8294</v>
      </c>
      <c r="G823" t="n">
        <v>8294</v>
      </c>
      <c r="H823" t="b">
        <v>1</v>
      </c>
      <c r="I823" t="n">
        <v>220</v>
      </c>
      <c r="J823" t="n">
        <v>37.7</v>
      </c>
      <c r="K823" t="inlineStr">
        <is>
          <t>&gt; Cuidado Capilar &gt; Reparación Y Tratamiento &gt;</t>
        </is>
      </c>
      <c r="L823" t="inlineStr">
        <is>
          <t>tratamiento</t>
        </is>
      </c>
      <c r="M823" t="inlineStr">
        <is>
          <t>estandar</t>
        </is>
      </c>
      <c r="N823" t="inlineStr">
        <is>
          <t>general</t>
        </is>
      </c>
      <c r="O823" t="inlineStr">
        <is>
          <t>https://www.farmacity.com/tratamiento-capilar-primont-queration-x-220-g/p</t>
        </is>
      </c>
    </row>
    <row r="824">
      <c r="A824" s="6" t="inlineStr">
        <is>
          <t>Farmacity</t>
        </is>
      </c>
      <c r="B824" s="6" t="n">
        <v>1040</v>
      </c>
      <c r="C824" s="6" t="n">
        <v>17645</v>
      </c>
      <c r="D824" s="6" t="inlineStr">
        <is>
          <t>Tratamiento Capilar Biferdil Térmico x 245 ml</t>
        </is>
      </c>
      <c r="E824" s="6" t="inlineStr">
        <is>
          <t>Biferdil</t>
        </is>
      </c>
      <c r="F824" s="6" t="n">
        <v>14904</v>
      </c>
      <c r="G824" s="6" t="n">
        <v>14904</v>
      </c>
      <c r="H824" s="6" t="b">
        <v>1</v>
      </c>
      <c r="I824" s="6" t="n">
        <v>245</v>
      </c>
      <c r="J824" s="6" t="n">
        <v>60.8327</v>
      </c>
      <c r="K824" s="6" t="inlineStr">
        <is>
          <t>&gt; Cuidado Capilar &gt; Reparación Y Tratamiento &gt;</t>
        </is>
      </c>
      <c r="L824" s="6" t="inlineStr">
        <is>
          <t>tratamiento</t>
        </is>
      </c>
      <c r="M824" s="6" t="inlineStr">
        <is>
          <t>estandar</t>
        </is>
      </c>
      <c r="N824" s="6" t="inlineStr">
        <is>
          <t>general</t>
        </is>
      </c>
      <c r="O824" s="6" t="inlineStr">
        <is>
          <t>https://www.farmacity.com/tratamiento-protector-termico-x-250-ml/p</t>
        </is>
      </c>
    </row>
    <row r="825">
      <c r="A825" t="inlineStr">
        <is>
          <t>Farmacity</t>
        </is>
      </c>
      <c r="B825" t="n">
        <v>249888</v>
      </c>
      <c r="C825" t="n">
        <v>249888</v>
      </c>
      <c r="D825" t="inlineStr">
        <is>
          <t>Tratamiento Capilar Natucapil Nl x 30 Caps</t>
        </is>
      </c>
      <c r="E825" t="inlineStr">
        <is>
          <t>Natural Life</t>
        </is>
      </c>
      <c r="F825" t="n">
        <v>26700</v>
      </c>
      <c r="G825" t="n">
        <v>26700</v>
      </c>
      <c r="H825" t="b">
        <v>1</v>
      </c>
      <c r="I825" t="inlineStr"/>
      <c r="J825" t="inlineStr"/>
      <c r="K825" t="inlineStr">
        <is>
          <t>&gt; Nutrición Y Deportes &gt; Suplementos Dietarios &gt; Piel, Uñas Y Cabello &gt;</t>
        </is>
      </c>
      <c r="L825" t="inlineStr">
        <is>
          <t>tratamiento</t>
        </is>
      </c>
      <c r="M825" t="inlineStr">
        <is>
          <t>estandar</t>
        </is>
      </c>
      <c r="N825" t="inlineStr">
        <is>
          <t>general</t>
        </is>
      </c>
      <c r="O825" t="inlineStr">
        <is>
          <t>https://www.farmacity.com/tratamiento-capilar-natucapil-nl-x-30-caps/p</t>
        </is>
      </c>
    </row>
    <row r="826">
      <c r="A826" s="6" t="inlineStr">
        <is>
          <t>Farmacity</t>
        </is>
      </c>
      <c r="B826" s="6" t="n">
        <v>238112</v>
      </c>
      <c r="C826" s="6" t="n">
        <v>238112</v>
      </c>
      <c r="D826" s="6" t="inlineStr">
        <is>
          <t>Gorra para Tratamiento Capilar Studio 9 Aluminio</t>
        </is>
      </c>
      <c r="E826" s="6" t="inlineStr">
        <is>
          <t>Studio 9</t>
        </is>
      </c>
      <c r="F826" s="6" t="n">
        <v>5166</v>
      </c>
      <c r="G826" s="6" t="n">
        <v>8610</v>
      </c>
      <c r="H826" s="6" t="b">
        <v>1</v>
      </c>
      <c r="I826" s="6" t="inlineStr"/>
      <c r="J826" s="6" t="inlineStr"/>
      <c r="K826" s="6" t="inlineStr">
        <is>
          <t>&gt; Cuidado Personal &gt; Higiene Personal &gt; Jabones Y Ducha &gt;</t>
        </is>
      </c>
      <c r="L826" s="6" t="inlineStr">
        <is>
          <t>tratamiento</t>
        </is>
      </c>
      <c r="M826" s="6" t="inlineStr">
        <is>
          <t>estandar</t>
        </is>
      </c>
      <c r="N826" s="6" t="inlineStr">
        <is>
          <t>general</t>
        </is>
      </c>
      <c r="O826" s="6" t="inlineStr">
        <is>
          <t>https://www.farmacity.com/gorra-para-tratamiento-capilar-studio-9-aluminio/p</t>
        </is>
      </c>
    </row>
    <row r="827">
      <c r="A827" t="inlineStr">
        <is>
          <t>Farmacity</t>
        </is>
      </c>
      <c r="B827" t="n">
        <v>212303</v>
      </c>
      <c r="C827" t="n">
        <v>212303</v>
      </c>
      <c r="D827" t="inlineStr">
        <is>
          <t>Tratamiento Capilar Farmacity Shock Reparador x 20 g</t>
        </is>
      </c>
      <c r="E827" t="inlineStr">
        <is>
          <t>Farmacity</t>
        </is>
      </c>
      <c r="F827" t="n">
        <v>1020</v>
      </c>
      <c r="G827" t="n">
        <v>1020</v>
      </c>
      <c r="H827" t="b">
        <v>1</v>
      </c>
      <c r="I827" t="n">
        <v>20</v>
      </c>
      <c r="J827" t="n">
        <v>51</v>
      </c>
      <c r="K827" t="inlineStr">
        <is>
          <t>&gt; Cuidado Capilar &gt; Reparación Y Tratamiento &gt;</t>
        </is>
      </c>
      <c r="L827" t="inlineStr">
        <is>
          <t>tratamiento</t>
        </is>
      </c>
      <c r="M827" t="inlineStr">
        <is>
          <t>estandar</t>
        </is>
      </c>
      <c r="N827" t="inlineStr">
        <is>
          <t>general</t>
        </is>
      </c>
      <c r="O827" t="inlineStr">
        <is>
          <t>https://www.farmacity.com/tratamiento-capilar-farmacity-shock-reparador-x-20-g/p</t>
        </is>
      </c>
    </row>
    <row r="828">
      <c r="A828" s="6" t="inlineStr">
        <is>
          <t>Farmacity</t>
        </is>
      </c>
      <c r="B828" s="6" t="n">
        <v>235833</v>
      </c>
      <c r="C828" s="6" t="n">
        <v>235833</v>
      </c>
      <c r="D828" s="6" t="inlineStr">
        <is>
          <t>Tratamiento Capilar Farmacity Aloe Vera x 20 g</t>
        </is>
      </c>
      <c r="E828" s="6" t="inlineStr">
        <is>
          <t>Farmacity</t>
        </is>
      </c>
      <c r="F828" s="6" t="n">
        <v>1020</v>
      </c>
      <c r="G828" s="6" t="n">
        <v>1020</v>
      </c>
      <c r="H828" s="6" t="b">
        <v>1</v>
      </c>
      <c r="I828" s="6" t="n">
        <v>20</v>
      </c>
      <c r="J828" s="6" t="n">
        <v>51</v>
      </c>
      <c r="K828" s="6" t="inlineStr">
        <is>
          <t>&gt; Cuidado Capilar &gt; Reparación Y Tratamiento &gt;</t>
        </is>
      </c>
      <c r="L828" s="6" t="inlineStr">
        <is>
          <t>tratamiento</t>
        </is>
      </c>
      <c r="M828" s="6" t="inlineStr">
        <is>
          <t>estandar</t>
        </is>
      </c>
      <c r="N828" s="6" t="inlineStr">
        <is>
          <t>general</t>
        </is>
      </c>
      <c r="O828" s="6" t="inlineStr">
        <is>
          <t>https://www.farmacity.com/tratamiento-capilar-farmacity-aloe-vera-x-20-g/p</t>
        </is>
      </c>
    </row>
    <row r="829">
      <c r="A829" t="inlineStr">
        <is>
          <t>Farmacity</t>
        </is>
      </c>
      <c r="B829" t="n">
        <v>227032</v>
      </c>
      <c r="C829" t="n">
        <v>227032</v>
      </c>
      <c r="D829" t="inlineStr">
        <is>
          <t>Tratamiento Capilar Farmacity Protección Total x 20 g</t>
        </is>
      </c>
      <c r="E829" t="inlineStr">
        <is>
          <t>Farmacity</t>
        </is>
      </c>
      <c r="F829" t="n">
        <v>1020</v>
      </c>
      <c r="G829" t="n">
        <v>1020</v>
      </c>
      <c r="H829" t="b">
        <v>1</v>
      </c>
      <c r="I829" t="n">
        <v>20</v>
      </c>
      <c r="J829" t="n">
        <v>51</v>
      </c>
      <c r="K829" t="inlineStr">
        <is>
          <t>&gt; Cuidado Capilar &gt; Reparación Y Tratamiento &gt;</t>
        </is>
      </c>
      <c r="L829" t="inlineStr">
        <is>
          <t>tratamiento</t>
        </is>
      </c>
      <c r="M829" t="inlineStr">
        <is>
          <t>estandar</t>
        </is>
      </c>
      <c r="N829" t="inlineStr">
        <is>
          <t>general</t>
        </is>
      </c>
      <c r="O829" t="inlineStr">
        <is>
          <t>https://www.farmacity.com/tratamiento-capilar-farmacity-proteccion-total-x-20-g/p</t>
        </is>
      </c>
    </row>
    <row r="830">
      <c r="A830" s="6" t="inlineStr">
        <is>
          <t>Farmacity</t>
        </is>
      </c>
      <c r="B830" s="6" t="n">
        <v>219220</v>
      </c>
      <c r="C830" s="6" t="n">
        <v>219220</v>
      </c>
      <c r="D830" s="6" t="inlineStr">
        <is>
          <t>Tratamiento Capilar Issue Reparación Profunda x 150 g</t>
        </is>
      </c>
      <c r="E830" s="6" t="inlineStr">
        <is>
          <t>Issue</t>
        </is>
      </c>
      <c r="F830" s="6" t="n">
        <v>4300</v>
      </c>
      <c r="G830" s="6" t="n">
        <v>4300</v>
      </c>
      <c r="H830" s="6" t="b">
        <v>1</v>
      </c>
      <c r="I830" s="6" t="n">
        <v>150</v>
      </c>
      <c r="J830" s="6" t="n">
        <v>28.6667</v>
      </c>
      <c r="K830" s="6" t="inlineStr">
        <is>
          <t>&gt; Cuidado Capilar &gt; Reparación Y Tratamiento &gt;</t>
        </is>
      </c>
      <c r="L830" s="6" t="inlineStr">
        <is>
          <t>tratamiento</t>
        </is>
      </c>
      <c r="M830" s="6" t="inlineStr">
        <is>
          <t>estandar</t>
        </is>
      </c>
      <c r="N830" s="6" t="inlineStr">
        <is>
          <t>general</t>
        </is>
      </c>
      <c r="O830" s="6" t="inlineStr">
        <is>
          <t>https://www.farmacity.com/tratamiento-capilar-issue-reparacion-con-eco-keratina-x-150-g/p</t>
        </is>
      </c>
    </row>
    <row r="831">
      <c r="A831" t="inlineStr">
        <is>
          <t>Farmacity</t>
        </is>
      </c>
      <c r="B831" t="n">
        <v>230630</v>
      </c>
      <c r="C831" t="n">
        <v>230630</v>
      </c>
      <c r="D831" t="inlineStr">
        <is>
          <t>Tratamiento Capilar Tresemmé Oil Spray x 120 ml</t>
        </is>
      </c>
      <c r="E831" t="inlineStr">
        <is>
          <t>Tresemmé</t>
        </is>
      </c>
      <c r="F831" t="n">
        <v>12381</v>
      </c>
      <c r="G831" t="n">
        <v>12381</v>
      </c>
      <c r="H831" t="b">
        <v>1</v>
      </c>
      <c r="I831" t="n">
        <v>120</v>
      </c>
      <c r="J831" t="n">
        <v>103.175</v>
      </c>
      <c r="K831" t="inlineStr">
        <is>
          <t>&gt; Cuidado Capilar &gt; Reparación Y Tratamiento &gt;</t>
        </is>
      </c>
      <c r="L831" t="inlineStr">
        <is>
          <t>tratamiento</t>
        </is>
      </c>
      <c r="M831" t="inlineStr">
        <is>
          <t>estandar</t>
        </is>
      </c>
      <c r="N831" t="inlineStr">
        <is>
          <t>general</t>
        </is>
      </c>
      <c r="O831" t="inlineStr">
        <is>
          <t>https://www.farmacity.com/tratamiento-capilar-tresemme-oil-spray-x-120-ml/p</t>
        </is>
      </c>
    </row>
    <row r="832">
      <c r="A832" s="6" t="inlineStr">
        <is>
          <t>Farmacity</t>
        </is>
      </c>
      <c r="B832" s="6" t="n">
        <v>248894</v>
      </c>
      <c r="C832" s="6" t="n">
        <v>248894</v>
      </c>
      <c r="D832" s="6" t="inlineStr">
        <is>
          <t>Tratamiento Capilar Antifrizz Nic Frizzmineitor x 215 ml</t>
        </is>
      </c>
      <c r="E832" s="6" t="inlineStr">
        <is>
          <t>Nic</t>
        </is>
      </c>
      <c r="F832" s="6" t="n">
        <v>14290</v>
      </c>
      <c r="G832" s="6" t="n">
        <v>14290</v>
      </c>
      <c r="H832" s="6" t="b">
        <v>1</v>
      </c>
      <c r="I832" s="6" t="n">
        <v>215</v>
      </c>
      <c r="J832" s="6" t="n">
        <v>66.46510000000001</v>
      </c>
      <c r="K832" s="6" t="inlineStr">
        <is>
          <t>&gt; Cuidado Capilar &gt; Reparación Y Tratamiento &gt;</t>
        </is>
      </c>
      <c r="L832" s="6" t="inlineStr">
        <is>
          <t>tratamiento</t>
        </is>
      </c>
      <c r="M832" s="6" t="inlineStr">
        <is>
          <t>estandar</t>
        </is>
      </c>
      <c r="N832" s="6" t="inlineStr">
        <is>
          <t>general</t>
        </is>
      </c>
      <c r="O832" s="6" t="inlineStr">
        <is>
          <t>https://www.farmacity.com/tratamiento-capilar-antifrizz-nic-frizzmineitor-x-215-ml/p</t>
        </is>
      </c>
    </row>
    <row r="833">
      <c r="A833" t="inlineStr">
        <is>
          <t>Farmacity</t>
        </is>
      </c>
      <c r="B833" t="n">
        <v>203240</v>
      </c>
      <c r="C833" t="n">
        <v>203240</v>
      </c>
      <c r="D833" t="inlineStr">
        <is>
          <t>Tratamiento Capilar Biferdil Beauty Box  x 20 ml</t>
        </is>
      </c>
      <c r="E833" t="inlineStr">
        <is>
          <t>Biferdil</t>
        </is>
      </c>
      <c r="F833" t="n">
        <v>900</v>
      </c>
      <c r="G833" t="n">
        <v>1800</v>
      </c>
      <c r="H833" t="b">
        <v>1</v>
      </c>
      <c r="I833" t="n">
        <v>20</v>
      </c>
      <c r="J833" t="n">
        <v>45</v>
      </c>
      <c r="K833" t="inlineStr">
        <is>
          <t>&gt; Cuidado Capilar &gt; Reparación Y Tratamiento &gt;</t>
        </is>
      </c>
      <c r="L833" t="inlineStr">
        <is>
          <t>tratamiento</t>
        </is>
      </c>
      <c r="M833" t="inlineStr">
        <is>
          <t>estandar</t>
        </is>
      </c>
      <c r="N833" t="inlineStr">
        <is>
          <t>general</t>
        </is>
      </c>
      <c r="O833" t="inlineStr">
        <is>
          <t>https://www.farmacity.com/tratamiento-capilar-biferdil-beauty-box-con-aceite-de-palta-x-20-ml/p</t>
        </is>
      </c>
    </row>
    <row r="834">
      <c r="A834" s="6" t="inlineStr">
        <is>
          <t>Farmacity</t>
        </is>
      </c>
      <c r="B834" s="6" t="n">
        <v>212304</v>
      </c>
      <c r="C834" s="6" t="n">
        <v>212304</v>
      </c>
      <c r="D834" s="6" t="inlineStr">
        <is>
          <t>Tratamiento Capilar Farmacity Hidratación Extrema x 20 g</t>
        </is>
      </c>
      <c r="E834" s="6" t="inlineStr">
        <is>
          <t>Farmacity</t>
        </is>
      </c>
      <c r="F834" s="6" t="n">
        <v>1020</v>
      </c>
      <c r="G834" s="6" t="n">
        <v>1020</v>
      </c>
      <c r="H834" s="6" t="b">
        <v>1</v>
      </c>
      <c r="I834" s="6" t="n">
        <v>20</v>
      </c>
      <c r="J834" s="6" t="n">
        <v>51</v>
      </c>
      <c r="K834" s="6" t="inlineStr">
        <is>
          <t>&gt; Cuidado Capilar &gt; Reparación Y Tratamiento &gt;</t>
        </is>
      </c>
      <c r="L834" s="6" t="inlineStr">
        <is>
          <t>tratamiento</t>
        </is>
      </c>
      <c r="M834" s="6" t="inlineStr">
        <is>
          <t>estandar</t>
        </is>
      </c>
      <c r="N834" s="6" t="inlineStr">
        <is>
          <t>seco_danado</t>
        </is>
      </c>
      <c r="O834" s="6" t="inlineStr">
        <is>
          <t>https://www.farmacity.com/tratamiento-capilar-farmacity-hidratacion-extrema-x-20-g/p</t>
        </is>
      </c>
    </row>
    <row r="835">
      <c r="A835" t="inlineStr">
        <is>
          <t>Farmacity</t>
        </is>
      </c>
      <c r="B835" t="n">
        <v>212302</v>
      </c>
      <c r="C835" t="n">
        <v>212302</v>
      </c>
      <c r="D835" t="inlineStr">
        <is>
          <t>Tratamiento Capilar Farmacity Brillo Total x 20 g</t>
        </is>
      </c>
      <c r="E835" t="inlineStr">
        <is>
          <t>Farmacity</t>
        </is>
      </c>
      <c r="F835" t="n">
        <v>1020</v>
      </c>
      <c r="G835" t="n">
        <v>1020</v>
      </c>
      <c r="H835" t="b">
        <v>1</v>
      </c>
      <c r="I835" t="n">
        <v>20</v>
      </c>
      <c r="J835" t="n">
        <v>51</v>
      </c>
      <c r="K835" t="inlineStr">
        <is>
          <t>&gt; Cuidado Capilar &gt; Reparación Y Tratamiento &gt;</t>
        </is>
      </c>
      <c r="L835" t="inlineStr">
        <is>
          <t>tratamiento</t>
        </is>
      </c>
      <c r="M835" t="inlineStr">
        <is>
          <t>estandar</t>
        </is>
      </c>
      <c r="N835" t="inlineStr">
        <is>
          <t>general</t>
        </is>
      </c>
      <c r="O835" t="inlineStr">
        <is>
          <t>https://www.farmacity.com/tratamiento-capilar-farmacity-brillo-total-x-20-g/p</t>
        </is>
      </c>
    </row>
    <row r="836">
      <c r="A836" s="6" t="inlineStr">
        <is>
          <t>Farmacity</t>
        </is>
      </c>
      <c r="B836" s="6" t="n">
        <v>14826</v>
      </c>
      <c r="C836" s="6" t="n">
        <v>161133</v>
      </c>
      <c r="D836" s="6" t="inlineStr">
        <is>
          <t>Tratamiento Capilar Issue Brillo Extremo x 150 g</t>
        </is>
      </c>
      <c r="E836" s="6" t="inlineStr">
        <is>
          <t>Issue</t>
        </is>
      </c>
      <c r="F836" s="6" t="n">
        <v>4300</v>
      </c>
      <c r="G836" s="6" t="n">
        <v>4300</v>
      </c>
      <c r="H836" s="6" t="b">
        <v>1</v>
      </c>
      <c r="I836" s="6" t="n">
        <v>150</v>
      </c>
      <c r="J836" s="6" t="n">
        <v>28.6667</v>
      </c>
      <c r="K836" s="6" t="inlineStr">
        <is>
          <t>&gt; Cuidado Capilar &gt; Reparación Y Tratamiento &gt;</t>
        </is>
      </c>
      <c r="L836" s="6" t="inlineStr">
        <is>
          <t>tratamiento</t>
        </is>
      </c>
      <c r="M836" s="6" t="inlineStr">
        <is>
          <t>estandar</t>
        </is>
      </c>
      <c r="N836" s="6" t="inlineStr">
        <is>
          <t>general</t>
        </is>
      </c>
      <c r="O836" s="6" t="inlineStr">
        <is>
          <t>https://www.farmacity.com/tratamiento-capilar-issue-brillo-extremo-x-150-grs/p</t>
        </is>
      </c>
    </row>
    <row r="837">
      <c r="A837" t="inlineStr">
        <is>
          <t>Farmacity</t>
        </is>
      </c>
      <c r="B837" t="n">
        <v>232580</v>
      </c>
      <c r="C837" t="n">
        <v>232580</v>
      </c>
      <c r="D837" t="inlineStr">
        <is>
          <t>Tratamiento Capilar Estereocolor Hair Food Palta x 50 ml</t>
        </is>
      </c>
      <c r="E837" t="inlineStr">
        <is>
          <t>Estereocolor</t>
        </is>
      </c>
      <c r="F837" t="n">
        <v>2250</v>
      </c>
      <c r="G837" t="n">
        <v>2250</v>
      </c>
      <c r="H837" t="b">
        <v>1</v>
      </c>
      <c r="I837" t="n">
        <v>50</v>
      </c>
      <c r="J837" t="n">
        <v>45</v>
      </c>
      <c r="K837" t="inlineStr">
        <is>
          <t>&gt; Cuidado Capilar &gt; Reparación Y Tratamiento &gt;</t>
        </is>
      </c>
      <c r="L837" t="inlineStr">
        <is>
          <t>tratamiento</t>
        </is>
      </c>
      <c r="M837" t="inlineStr">
        <is>
          <t>estandar</t>
        </is>
      </c>
      <c r="N837" t="inlineStr">
        <is>
          <t>tratado</t>
        </is>
      </c>
      <c r="O837" t="inlineStr">
        <is>
          <t>https://www.farmacity.com/tratamiento-capilar-estereo-color-hair-food-palta-x-50-ml/p</t>
        </is>
      </c>
    </row>
    <row r="838">
      <c r="A838" s="6" t="inlineStr">
        <is>
          <t>Farmacity</t>
        </is>
      </c>
      <c r="B838" s="6" t="n">
        <v>227030</v>
      </c>
      <c r="C838" s="6" t="n">
        <v>227030</v>
      </c>
      <c r="D838" s="6" t="inlineStr">
        <is>
          <t>Tratamiento Capilar Farmacity Liso Total Antifrizz x 20 g</t>
        </is>
      </c>
      <c r="E838" s="6" t="inlineStr">
        <is>
          <t>Farmacity</t>
        </is>
      </c>
      <c r="F838" s="6" t="n">
        <v>1020</v>
      </c>
      <c r="G838" s="6" t="n">
        <v>1020</v>
      </c>
      <c r="H838" s="6" t="b">
        <v>1</v>
      </c>
      <c r="I838" s="6" t="n">
        <v>20</v>
      </c>
      <c r="J838" s="6" t="n">
        <v>51</v>
      </c>
      <c r="K838" s="6" t="inlineStr">
        <is>
          <t>&gt; Cuidado Capilar &gt; Reparación Y Tratamiento &gt;</t>
        </is>
      </c>
      <c r="L838" s="6" t="inlineStr">
        <is>
          <t>tratamiento</t>
        </is>
      </c>
      <c r="M838" s="6" t="inlineStr">
        <is>
          <t>profesional</t>
        </is>
      </c>
      <c r="N838" s="6" t="inlineStr">
        <is>
          <t>general</t>
        </is>
      </c>
      <c r="O838" s="6" t="inlineStr">
        <is>
          <t>https://www.farmacity.com/tratamiento-capilar-farmacity-liso-total-antifrizz-x-20-g/p</t>
        </is>
      </c>
    </row>
    <row r="839">
      <c r="A839" t="inlineStr">
        <is>
          <t>Farmacity</t>
        </is>
      </c>
      <c r="B839" t="n">
        <v>232725</v>
      </c>
      <c r="C839" t="n">
        <v>232725</v>
      </c>
      <c r="D839" t="inlineStr">
        <is>
          <t>Tratamiento Capilar Capilatis Natural Anti-Daño x 200 ml</t>
        </is>
      </c>
      <c r="E839" t="inlineStr">
        <is>
          <t>Capilatis</t>
        </is>
      </c>
      <c r="F839" t="n">
        <v>6210</v>
      </c>
      <c r="G839" t="n">
        <v>6900</v>
      </c>
      <c r="H839" t="b">
        <v>1</v>
      </c>
      <c r="I839" t="n">
        <v>200</v>
      </c>
      <c r="J839" t="n">
        <v>31.05</v>
      </c>
      <c r="K839" t="inlineStr">
        <is>
          <t>&gt; Cuidado Capilar &gt; Reparación Y Tratamiento &gt;</t>
        </is>
      </c>
      <c r="L839" t="inlineStr">
        <is>
          <t>tratamiento</t>
        </is>
      </c>
      <c r="M839" t="inlineStr">
        <is>
          <t>estandar</t>
        </is>
      </c>
      <c r="N839" t="inlineStr">
        <is>
          <t>general</t>
        </is>
      </c>
      <c r="O839" t="inlineStr">
        <is>
          <t>https://www.farmacity.com/tratamiento-capilar-capilatis-natural-anti-dano-x-200-ml/p</t>
        </is>
      </c>
    </row>
    <row r="840">
      <c r="A840" s="6" t="inlineStr">
        <is>
          <t>Farmacity</t>
        </is>
      </c>
      <c r="B840" s="6" t="n">
        <v>246061</v>
      </c>
      <c r="C840" s="6" t="n">
        <v>246061</v>
      </c>
      <c r="D840" s="6" t="inlineStr">
        <is>
          <t>Tratamiento Capilar Biferdil Protector Térmico Minitalla x 100 ml</t>
        </is>
      </c>
      <c r="E840" s="6" t="inlineStr">
        <is>
          <t>Biferdil</t>
        </is>
      </c>
      <c r="F840" s="6" t="n">
        <v>8316</v>
      </c>
      <c r="G840" s="6" t="n">
        <v>8316</v>
      </c>
      <c r="H840" s="6" t="b">
        <v>1</v>
      </c>
      <c r="I840" s="6" t="n">
        <v>100</v>
      </c>
      <c r="J840" s="6" t="n">
        <v>83.16</v>
      </c>
      <c r="K840" s="6" t="inlineStr">
        <is>
          <t>&gt; Cuidado Capilar &gt; Reparación Y Tratamiento &gt;</t>
        </is>
      </c>
      <c r="L840" s="6" t="inlineStr">
        <is>
          <t>tratamiento</t>
        </is>
      </c>
      <c r="M840" s="6" t="inlineStr">
        <is>
          <t>estandar</t>
        </is>
      </c>
      <c r="N840" s="6" t="inlineStr">
        <is>
          <t>general</t>
        </is>
      </c>
      <c r="O840" s="6" t="inlineStr">
        <is>
          <t>https://www.farmacity.com/tratamiento-capilar-biferdil-protector-termico-minitalla-x-100-ml/p</t>
        </is>
      </c>
    </row>
    <row r="841">
      <c r="A841" t="inlineStr">
        <is>
          <t>Farmacity</t>
        </is>
      </c>
      <c r="B841" t="n">
        <v>232579</v>
      </c>
      <c r="C841" t="n">
        <v>232579</v>
      </c>
      <c r="D841" t="inlineStr">
        <is>
          <t>Tratamiento Capilar Estereocolor Hair Food Banana x 50 ml</t>
        </is>
      </c>
      <c r="E841" t="inlineStr">
        <is>
          <t>Estereocolor</t>
        </is>
      </c>
      <c r="F841" t="n">
        <v>2250</v>
      </c>
      <c r="G841" t="n">
        <v>2250</v>
      </c>
      <c r="H841" t="b">
        <v>1</v>
      </c>
      <c r="I841" t="n">
        <v>50</v>
      </c>
      <c r="J841" t="n">
        <v>45</v>
      </c>
      <c r="K841" t="inlineStr">
        <is>
          <t>&gt; Cuidado Capilar &gt; Reparación Y Tratamiento &gt;</t>
        </is>
      </c>
      <c r="L841" t="inlineStr">
        <is>
          <t>tratamiento</t>
        </is>
      </c>
      <c r="M841" t="inlineStr">
        <is>
          <t>estandar</t>
        </is>
      </c>
      <c r="N841" t="inlineStr">
        <is>
          <t>tratado</t>
        </is>
      </c>
      <c r="O841" t="inlineStr">
        <is>
          <t>https://www.farmacity.com/tratamiento-capilar-estereo-color-hair-food-banana-x-50-ml/p</t>
        </is>
      </c>
    </row>
    <row r="842">
      <c r="A842" s="6" t="inlineStr">
        <is>
          <t>Farmacity</t>
        </is>
      </c>
      <c r="B842" s="6" t="n">
        <v>227031</v>
      </c>
      <c r="C842" s="6" t="n">
        <v>227031</v>
      </c>
      <c r="D842" s="6" t="inlineStr">
        <is>
          <t>Tratamiento Capilar Farmacity Intensivo 10 en 1 x 20 g</t>
        </is>
      </c>
      <c r="E842" s="6" t="inlineStr">
        <is>
          <t>Farmacity</t>
        </is>
      </c>
      <c r="F842" s="6" t="n">
        <v>1020</v>
      </c>
      <c r="G842" s="6" t="n">
        <v>1020</v>
      </c>
      <c r="H842" s="6" t="b">
        <v>1</v>
      </c>
      <c r="I842" s="6" t="n">
        <v>20</v>
      </c>
      <c r="J842" s="6" t="n">
        <v>51</v>
      </c>
      <c r="K842" s="6" t="inlineStr">
        <is>
          <t>&gt; Cuidado Capilar &gt; Reparación Y Tratamiento &gt;</t>
        </is>
      </c>
      <c r="L842" s="6" t="inlineStr">
        <is>
          <t>tratamiento</t>
        </is>
      </c>
      <c r="M842" s="6" t="inlineStr">
        <is>
          <t>estandar</t>
        </is>
      </c>
      <c r="N842" s="6" t="inlineStr">
        <is>
          <t>general</t>
        </is>
      </c>
      <c r="O842" s="6" t="inlineStr">
        <is>
          <t>https://www.farmacity.com/tratamiento-capilar-farmacity-intensivo-10-en-1-x-20-g/p</t>
        </is>
      </c>
    </row>
    <row r="843">
      <c r="A843" t="inlineStr">
        <is>
          <t>Farmacity</t>
        </is>
      </c>
      <c r="B843" t="n">
        <v>246864</v>
      </c>
      <c r="C843" t="n">
        <v>246864</v>
      </c>
      <c r="D843" t="inlineStr">
        <is>
          <t>Tratamiento Capilar Estereocolor Shock Hair Food Cacao x 50 g</t>
        </is>
      </c>
      <c r="E843" t="inlineStr">
        <is>
          <t>Estereocolor</t>
        </is>
      </c>
      <c r="F843" t="n">
        <v>2318</v>
      </c>
      <c r="G843" t="n">
        <v>2318</v>
      </c>
      <c r="H843" t="b">
        <v>1</v>
      </c>
      <c r="I843" t="n">
        <v>50</v>
      </c>
      <c r="J843" t="n">
        <v>46.36</v>
      </c>
      <c r="K843" t="inlineStr">
        <is>
          <t>&gt; Cuidado Capilar &gt; Reparación Y Tratamiento &gt;</t>
        </is>
      </c>
      <c r="L843" t="inlineStr">
        <is>
          <t>tratamiento</t>
        </is>
      </c>
      <c r="M843" t="inlineStr">
        <is>
          <t>estandar</t>
        </is>
      </c>
      <c r="N843" t="inlineStr">
        <is>
          <t>tratado</t>
        </is>
      </c>
      <c r="O843" t="inlineStr">
        <is>
          <t>https://www.farmacity.com/tratamiento-capilar-estereocolor-shock-hair-food-cacao-x-50-g/p</t>
        </is>
      </c>
    </row>
    <row r="844">
      <c r="A844" s="6" t="inlineStr">
        <is>
          <t>Farmacity</t>
        </is>
      </c>
      <c r="B844" s="6" t="n">
        <v>208727</v>
      </c>
      <c r="C844" s="6" t="n">
        <v>208727</v>
      </c>
      <c r="D844" s="6" t="inlineStr">
        <is>
          <t>Tratamiento Capilar Capilatis con Aloe Vera Puro x 170 ml</t>
        </is>
      </c>
      <c r="E844" s="6" t="inlineStr">
        <is>
          <t>Capilatis</t>
        </is>
      </c>
      <c r="F844" s="6" t="n">
        <v>3400</v>
      </c>
      <c r="G844" s="6" t="n">
        <v>6800</v>
      </c>
      <c r="H844" s="6" t="b">
        <v>1</v>
      </c>
      <c r="I844" s="6" t="n">
        <v>170</v>
      </c>
      <c r="J844" s="6" t="n">
        <v>20</v>
      </c>
      <c r="K844" s="6" t="inlineStr">
        <is>
          <t>&gt; Cuidado Capilar &gt; Reparación Y Tratamiento &gt;</t>
        </is>
      </c>
      <c r="L844" s="6" t="inlineStr">
        <is>
          <t>tratamiento</t>
        </is>
      </c>
      <c r="M844" s="6" t="inlineStr">
        <is>
          <t>estandar</t>
        </is>
      </c>
      <c r="N844" s="6" t="inlineStr">
        <is>
          <t>general</t>
        </is>
      </c>
      <c r="O844" s="6" t="inlineStr">
        <is>
          <t>https://www.farmacity.com/tratamiento-capilar-capilatis-con-aloe-vera-puro-x-170-ml/p</t>
        </is>
      </c>
    </row>
    <row r="845">
      <c r="A845" t="inlineStr">
        <is>
          <t>Farmacity</t>
        </is>
      </c>
      <c r="B845" t="n">
        <v>249904</v>
      </c>
      <c r="C845" t="n">
        <v>249904</v>
      </c>
      <c r="D845" t="inlineStr">
        <is>
          <t>Tratamiento Capilar Primont Signature con Trufa Negra x 250 ml</t>
        </is>
      </c>
      <c r="E845" t="inlineStr">
        <is>
          <t>Primont</t>
        </is>
      </c>
      <c r="F845" t="n">
        <v>27678</v>
      </c>
      <c r="G845" t="n">
        <v>27678</v>
      </c>
      <c r="H845" t="b">
        <v>1</v>
      </c>
      <c r="I845" t="n">
        <v>250</v>
      </c>
      <c r="J845" t="n">
        <v>110.712</v>
      </c>
      <c r="K845" t="inlineStr">
        <is>
          <t>&gt; Cuidado Capilar &gt; Reparación Y Tratamiento &gt;</t>
        </is>
      </c>
      <c r="L845" t="inlineStr">
        <is>
          <t>tratamiento</t>
        </is>
      </c>
      <c r="M845" t="inlineStr">
        <is>
          <t>estandar</t>
        </is>
      </c>
      <c r="N845" t="inlineStr">
        <is>
          <t>general</t>
        </is>
      </c>
      <c r="O845" t="inlineStr">
        <is>
          <t>https://www.farmacity.com/tratamiento-capilar-primont-signature-con-trufa-negra-x-250-ml/p</t>
        </is>
      </c>
    </row>
    <row r="846">
      <c r="A846" s="6" t="inlineStr">
        <is>
          <t>Farmacity</t>
        </is>
      </c>
      <c r="B846" s="6" t="n">
        <v>246862</v>
      </c>
      <c r="C846" s="6" t="n">
        <v>246862</v>
      </c>
      <c r="D846" s="6" t="inlineStr">
        <is>
          <t>Tratamiento Capilar Estereocolor Shock Hair Food Pistacho x 50 g</t>
        </is>
      </c>
      <c r="E846" s="6" t="inlineStr">
        <is>
          <t>Estereocolor</t>
        </is>
      </c>
      <c r="F846" s="6" t="n">
        <v>2318</v>
      </c>
      <c r="G846" s="6" t="n">
        <v>2318</v>
      </c>
      <c r="H846" s="6" t="b">
        <v>1</v>
      </c>
      <c r="I846" s="6" t="n">
        <v>50</v>
      </c>
      <c r="J846" s="6" t="n">
        <v>46.36</v>
      </c>
      <c r="K846" s="6" t="inlineStr">
        <is>
          <t>&gt; Cuidado Capilar &gt; Reparación Y Tratamiento &gt;</t>
        </is>
      </c>
      <c r="L846" s="6" t="inlineStr">
        <is>
          <t>tratamiento</t>
        </is>
      </c>
      <c r="M846" s="6" t="inlineStr">
        <is>
          <t>estandar</t>
        </is>
      </c>
      <c r="N846" s="6" t="inlineStr">
        <is>
          <t>tratado</t>
        </is>
      </c>
      <c r="O846" s="6" t="inlineStr">
        <is>
          <t>https://www.farmacity.com/tratamiento-capilar-estereocolor-shock-hair-food-pistacho-x-50-g/p</t>
        </is>
      </c>
    </row>
    <row r="847">
      <c r="A847" t="inlineStr">
        <is>
          <t>Farmacity</t>
        </is>
      </c>
      <c r="B847" t="n">
        <v>232581</v>
      </c>
      <c r="C847" t="n">
        <v>232581</v>
      </c>
      <c r="D847" t="inlineStr">
        <is>
          <t>Tratamiento Capilar Estereocolor Crema de Lavado Co-wash x 50 ml</t>
        </is>
      </c>
      <c r="E847" t="inlineStr">
        <is>
          <t>Estereocolor</t>
        </is>
      </c>
      <c r="F847" t="n">
        <v>1125</v>
      </c>
      <c r="G847" t="n">
        <v>2250</v>
      </c>
      <c r="H847" t="b">
        <v>1</v>
      </c>
      <c r="I847" t="n">
        <v>50</v>
      </c>
      <c r="J847" t="n">
        <v>22.5</v>
      </c>
      <c r="K847" t="inlineStr">
        <is>
          <t>&gt; Cuidado Capilar &gt; Reparación Y Tratamiento &gt;</t>
        </is>
      </c>
      <c r="L847" t="inlineStr">
        <is>
          <t>tratamiento</t>
        </is>
      </c>
      <c r="M847" t="inlineStr">
        <is>
          <t>estandar</t>
        </is>
      </c>
      <c r="N847" t="inlineStr">
        <is>
          <t>tratado</t>
        </is>
      </c>
      <c r="O847" t="inlineStr">
        <is>
          <t>https://www.farmacity.com/tratamiento-capilar-estereo-color-crema-de-lavado-co-wash-x-50-ml/p</t>
        </is>
      </c>
    </row>
    <row r="848">
      <c r="A848" s="6" t="inlineStr">
        <is>
          <t>Farmacity</t>
        </is>
      </c>
      <c r="B848" s="6" t="n">
        <v>246863</v>
      </c>
      <c r="C848" s="6" t="n">
        <v>246863</v>
      </c>
      <c r="D848" s="6" t="inlineStr">
        <is>
          <t>Tratamiento Capilar Estereocolor Shock Hair Food Cacao Caja x 10 un</t>
        </is>
      </c>
      <c r="E848" s="6" t="inlineStr">
        <is>
          <t>Estereocolor</t>
        </is>
      </c>
      <c r="F848" s="6" t="n">
        <v>23175</v>
      </c>
      <c r="G848" s="6" t="n">
        <v>23175</v>
      </c>
      <c r="H848" s="6" t="b">
        <v>1</v>
      </c>
      <c r="I848" s="6" t="inlineStr"/>
      <c r="J848" s="6" t="inlineStr"/>
      <c r="K848" s="6" t="inlineStr">
        <is>
          <t>&gt; Cuidado Capilar &gt; Reparación Y Tratamiento &gt;</t>
        </is>
      </c>
      <c r="L848" s="6" t="inlineStr">
        <is>
          <t>tratamiento</t>
        </is>
      </c>
      <c r="M848" s="6" t="inlineStr">
        <is>
          <t>estandar</t>
        </is>
      </c>
      <c r="N848" s="6" t="inlineStr">
        <is>
          <t>tratado</t>
        </is>
      </c>
      <c r="O848" s="6" t="inlineStr">
        <is>
          <t>https://www.farmacity.com/tratamiento-capilar-estereocolor-shock-hair-food-cacao-caja-x-10-un/p</t>
        </is>
      </c>
    </row>
    <row r="849">
      <c r="A849" t="inlineStr">
        <is>
          <t>Farmacity</t>
        </is>
      </c>
      <c r="B849" t="n">
        <v>246861</v>
      </c>
      <c r="C849" t="n">
        <v>246861</v>
      </c>
      <c r="D849" t="inlineStr">
        <is>
          <t>Tratamiento Capilar Estereocolor Shock Hair Food Pistacho Caja x 10 un</t>
        </is>
      </c>
      <c r="E849" t="inlineStr">
        <is>
          <t>Estereocolor</t>
        </is>
      </c>
      <c r="F849" t="n">
        <v>23175</v>
      </c>
      <c r="G849" t="n">
        <v>23175</v>
      </c>
      <c r="H849" t="b">
        <v>1</v>
      </c>
      <c r="I849" t="inlineStr"/>
      <c r="J849" t="inlineStr"/>
      <c r="K849" t="inlineStr">
        <is>
          <t>&gt; Cuidado Capilar &gt; Reparación Y Tratamiento &gt;</t>
        </is>
      </c>
      <c r="L849" t="inlineStr">
        <is>
          <t>tratamiento</t>
        </is>
      </c>
      <c r="M849" t="inlineStr">
        <is>
          <t>estandar</t>
        </is>
      </c>
      <c r="N849" t="inlineStr">
        <is>
          <t>tratado</t>
        </is>
      </c>
      <c r="O849" t="inlineStr">
        <is>
          <t>https://www.farmacity.com/tratamiento-capilar-estereocolor-shock-hair-food-pistacho-caja-x-10-un/p</t>
        </is>
      </c>
    </row>
    <row r="850">
      <c r="A850" s="6" t="inlineStr">
        <is>
          <t>Farmacity</t>
        </is>
      </c>
      <c r="B850" s="6" t="n">
        <v>248329</v>
      </c>
      <c r="C850" s="6" t="n">
        <v>248329</v>
      </c>
      <c r="D850" s="6" t="inlineStr">
        <is>
          <t>Tratamiento Capilar Ice Professional Repair My Hair Keratina x 100 ml</t>
        </is>
      </c>
      <c r="E850" s="6" t="inlineStr">
        <is>
          <t>Ice</t>
        </is>
      </c>
      <c r="F850" s="6" t="n">
        <v>15400</v>
      </c>
      <c r="G850" s="6" t="n">
        <v>22000</v>
      </c>
      <c r="H850" s="6" t="b">
        <v>1</v>
      </c>
      <c r="I850" s="6" t="n">
        <v>100</v>
      </c>
      <c r="J850" s="6" t="n">
        <v>154</v>
      </c>
      <c r="K850" s="6" t="inlineStr">
        <is>
          <t>&gt; Cuidado Capilar &gt; Reparación Y Tratamiento &gt;</t>
        </is>
      </c>
      <c r="L850" s="6" t="inlineStr">
        <is>
          <t>tratamiento</t>
        </is>
      </c>
      <c r="M850" s="6" t="inlineStr">
        <is>
          <t>profesional</t>
        </is>
      </c>
      <c r="N850" s="6" t="inlineStr">
        <is>
          <t>tratado</t>
        </is>
      </c>
      <c r="O850" s="6" t="inlineStr">
        <is>
          <t>https://www.farmacity.com/tratamiento-capilar-ice-professional-repair-my-hair-keratina-x-100-ml/p</t>
        </is>
      </c>
    </row>
    <row r="851">
      <c r="A851" t="inlineStr">
        <is>
          <t>Farmacity</t>
        </is>
      </c>
      <c r="B851" t="n">
        <v>228281</v>
      </c>
      <c r="C851" t="n">
        <v>228281</v>
      </c>
      <c r="D851" t="inlineStr">
        <is>
          <t>Tratamiento Capilar en Spray Multibeneficios Nic 10 en 1 x 215 ml</t>
        </is>
      </c>
      <c r="E851" t="inlineStr">
        <is>
          <t>Nic</t>
        </is>
      </c>
      <c r="F851" t="n">
        <v>13352</v>
      </c>
      <c r="G851" t="n">
        <v>16690</v>
      </c>
      <c r="H851" t="b">
        <v>1</v>
      </c>
      <c r="I851" t="n">
        <v>215</v>
      </c>
      <c r="J851" t="n">
        <v>62.1023</v>
      </c>
      <c r="K851" t="inlineStr">
        <is>
          <t>&gt; Cuidado Capilar &gt; Reparación Y Tratamiento &gt;</t>
        </is>
      </c>
      <c r="L851" t="inlineStr">
        <is>
          <t>tratamiento</t>
        </is>
      </c>
      <c r="M851" t="inlineStr">
        <is>
          <t>estandar</t>
        </is>
      </c>
      <c r="N851" t="inlineStr">
        <is>
          <t>general</t>
        </is>
      </c>
      <c r="O851" t="inlineStr">
        <is>
          <t>https://www.farmacity.com/tratamiento-capilar-nic-all-you-need-is-shine-x-215-ml/p</t>
        </is>
      </c>
    </row>
    <row r="852">
      <c r="A852" s="6" t="inlineStr">
        <is>
          <t>Farmacity</t>
        </is>
      </c>
      <c r="B852" s="6" t="n">
        <v>865</v>
      </c>
      <c r="C852" s="6" t="n">
        <v>133756</v>
      </c>
      <c r="D852" s="6" t="inlineStr">
        <is>
          <t>Tratamiento Capilar Vichy Dercos Aminexil Pro Homme x 12 un x 6 ml</t>
        </is>
      </c>
      <c r="E852" s="6" t="inlineStr">
        <is>
          <t>Vichy</t>
        </is>
      </c>
      <c r="F852" s="6" t="n">
        <v>143134</v>
      </c>
      <c r="G852" s="6" t="n">
        <v>143134</v>
      </c>
      <c r="H852" s="6" t="b">
        <v>1</v>
      </c>
      <c r="I852" s="6" t="n">
        <v>6</v>
      </c>
      <c r="J852" s="6" t="n">
        <v>23855.6667</v>
      </c>
      <c r="K852" s="6" t="inlineStr">
        <is>
          <t>&gt; Dermocosmética &gt; Pelo &gt; Bálsamos y Tratamientos &gt;</t>
        </is>
      </c>
      <c r="L852" s="6" t="inlineStr">
        <is>
          <t>tratamiento</t>
        </is>
      </c>
      <c r="M852" s="6" t="inlineStr">
        <is>
          <t>estandar</t>
        </is>
      </c>
      <c r="N852" s="6" t="inlineStr">
        <is>
          <t>general</t>
        </is>
      </c>
      <c r="O852" s="6" t="inlineStr">
        <is>
          <t>https://www.farmacity.com/tratamiento-capilar-anticaida-dercos-aminexil-pro-para-hombres-12-un-x-6ml-c-u/p</t>
        </is>
      </c>
    </row>
    <row r="853">
      <c r="A853" t="inlineStr">
        <is>
          <t>Farmacity</t>
        </is>
      </c>
      <c r="B853" t="n">
        <v>245032</v>
      </c>
      <c r="C853" t="n">
        <v>245032</v>
      </c>
      <c r="D853" t="inlineStr">
        <is>
          <t>Ampolla Tratamiento Capilar Get The Look Hidratación Profunda x 15 ml</t>
        </is>
      </c>
      <c r="E853" t="inlineStr">
        <is>
          <t>Get the Look</t>
        </is>
      </c>
      <c r="F853" t="n">
        <v>4830</v>
      </c>
      <c r="G853" t="n">
        <v>4830</v>
      </c>
      <c r="H853" t="b">
        <v>1</v>
      </c>
      <c r="I853" t="n">
        <v>15</v>
      </c>
      <c r="J853" t="n">
        <v>322</v>
      </c>
      <c r="K853" t="inlineStr">
        <is>
          <t>&gt; Cuidado Capilar &gt; Reparación Y Tratamiento &gt;</t>
        </is>
      </c>
      <c r="L853" t="inlineStr">
        <is>
          <t>tratamiento</t>
        </is>
      </c>
      <c r="M853" t="inlineStr">
        <is>
          <t>estandar</t>
        </is>
      </c>
      <c r="N853" t="inlineStr">
        <is>
          <t>seco_danado</t>
        </is>
      </c>
      <c r="O853" t="inlineStr">
        <is>
          <t>https://www.farmacity.com/ampolla-tratamiento-capilar-get-the-look-hidratacion-profunda-acido-hialuronico-y-vitamina-c-x-15-ml/p</t>
        </is>
      </c>
    </row>
    <row r="854">
      <c r="A854" s="6" t="inlineStr">
        <is>
          <t>Farmacity</t>
        </is>
      </c>
      <c r="B854" s="6" t="n">
        <v>245031</v>
      </c>
      <c r="C854" s="6" t="n">
        <v>245031</v>
      </c>
      <c r="D854" s="6" t="inlineStr">
        <is>
          <t>Ampolla Tratamiento Capilar Get The Look Nutrición Profunda Palta x 15 ml</t>
        </is>
      </c>
      <c r="E854" s="6" t="inlineStr">
        <is>
          <t>Get the Look</t>
        </is>
      </c>
      <c r="F854" s="6" t="n">
        <v>4830</v>
      </c>
      <c r="G854" s="6" t="n">
        <v>4830</v>
      </c>
      <c r="H854" s="6" t="b">
        <v>1</v>
      </c>
      <c r="I854" s="6" t="n">
        <v>15</v>
      </c>
      <c r="J854" s="6" t="n">
        <v>322</v>
      </c>
      <c r="K854" s="6" t="inlineStr">
        <is>
          <t>&gt; Cuidado Capilar &gt; Reparación Y Tratamiento &gt;</t>
        </is>
      </c>
      <c r="L854" s="6" t="inlineStr">
        <is>
          <t>tratamiento</t>
        </is>
      </c>
      <c r="M854" s="6" t="inlineStr">
        <is>
          <t>estandar</t>
        </is>
      </c>
      <c r="N854" s="6" t="inlineStr">
        <is>
          <t>general</t>
        </is>
      </c>
      <c r="O854" s="6" t="inlineStr">
        <is>
          <t>https://www.farmacity.com/ampolla-tratamiento-capilar-get-the-look-nutricion-profunda-palta-x-15-ml/p</t>
        </is>
      </c>
    </row>
    <row r="855">
      <c r="A855" t="inlineStr">
        <is>
          <t>Farmacity</t>
        </is>
      </c>
      <c r="B855" t="n">
        <v>245029</v>
      </c>
      <c r="C855" t="n">
        <v>245029</v>
      </c>
      <c r="D855" t="inlineStr">
        <is>
          <t>Ampolla Tratamiento Capilar Get The Look Anti Caída Niacinamida x 15 ml</t>
        </is>
      </c>
      <c r="E855" t="inlineStr">
        <is>
          <t>Get the Look</t>
        </is>
      </c>
      <c r="F855" t="n">
        <v>4830</v>
      </c>
      <c r="G855" t="n">
        <v>4830</v>
      </c>
      <c r="H855" t="b">
        <v>1</v>
      </c>
      <c r="I855" t="n">
        <v>15</v>
      </c>
      <c r="J855" t="n">
        <v>322</v>
      </c>
      <c r="K855" t="inlineStr">
        <is>
          <t>&gt; Cuidado Capilar &gt; Reparación Y Tratamiento &gt;</t>
        </is>
      </c>
      <c r="L855" t="inlineStr">
        <is>
          <t>tratamiento</t>
        </is>
      </c>
      <c r="M855" t="inlineStr">
        <is>
          <t>estandar</t>
        </is>
      </c>
      <c r="N855" t="inlineStr">
        <is>
          <t>general</t>
        </is>
      </c>
      <c r="O855" t="inlineStr">
        <is>
          <t>https://www.farmacity.com/ampolla-tratamiento-capilar-get-the-look-anti-caida-niacinamida-x-15-ml/p</t>
        </is>
      </c>
    </row>
    <row r="856">
      <c r="A856" s="6" t="inlineStr">
        <is>
          <t>Farmacity</t>
        </is>
      </c>
      <c r="B856" s="6" t="n">
        <v>245030</v>
      </c>
      <c r="C856" s="6" t="n">
        <v>245030</v>
      </c>
      <c r="D856" s="6" t="inlineStr">
        <is>
          <t>Ampolla Tratamiento Capilar Get The Look Silsoft y Keratina Hidrolizada x 15 ml</t>
        </is>
      </c>
      <c r="E856" s="6" t="inlineStr">
        <is>
          <t>Get the Look</t>
        </is>
      </c>
      <c r="F856" s="6" t="n">
        <v>4830</v>
      </c>
      <c r="G856" s="6" t="n">
        <v>4830</v>
      </c>
      <c r="H856" s="6" t="b">
        <v>1</v>
      </c>
      <c r="I856" s="6" t="n">
        <v>15</v>
      </c>
      <c r="J856" s="6" t="n">
        <v>322</v>
      </c>
      <c r="K856" s="6" t="inlineStr">
        <is>
          <t>&gt; Cuidado Capilar &gt; Reparación Y Tratamiento &gt;</t>
        </is>
      </c>
      <c r="L856" s="6" t="inlineStr">
        <is>
          <t>tratamiento</t>
        </is>
      </c>
      <c r="M856" s="6" t="inlineStr">
        <is>
          <t>estandar</t>
        </is>
      </c>
      <c r="N856" s="6" t="inlineStr">
        <is>
          <t>tratado</t>
        </is>
      </c>
      <c r="O856" s="6" t="inlineStr">
        <is>
          <t>https://www.farmacity.com/ampolla-tratamiento-capilar-get-the-look-reparacion-profunda-silfoft-y-keratina-hidrolizada-x-15-ml/p</t>
        </is>
      </c>
    </row>
    <row r="857">
      <c r="A857" t="inlineStr">
        <is>
          <t>Farmacity</t>
        </is>
      </c>
      <c r="B857" t="n">
        <v>209164</v>
      </c>
      <c r="C857" t="n">
        <v>209164</v>
      </c>
      <c r="D857" t="inlineStr">
        <is>
          <t>Tratamiento Estereocolor Shock Humectación x 50 ml</t>
        </is>
      </c>
      <c r="E857" t="inlineStr">
        <is>
          <t>Estereocolor</t>
        </is>
      </c>
      <c r="F857" t="n">
        <v>2250</v>
      </c>
      <c r="G857" t="n">
        <v>2250</v>
      </c>
      <c r="H857" t="b">
        <v>1</v>
      </c>
      <c r="I857" t="n">
        <v>50</v>
      </c>
      <c r="J857" t="n">
        <v>45</v>
      </c>
      <c r="K857" t="inlineStr">
        <is>
          <t>&gt; Cuidado Capilar &gt; Reparación Y Tratamiento &gt;</t>
        </is>
      </c>
      <c r="L857" t="inlineStr">
        <is>
          <t>tratamiento</t>
        </is>
      </c>
      <c r="M857" t="inlineStr">
        <is>
          <t>estandar</t>
        </is>
      </c>
      <c r="N857" t="inlineStr">
        <is>
          <t>tratado</t>
        </is>
      </c>
      <c r="O857" t="inlineStr">
        <is>
          <t>https://www.farmacity.com/tratamiento-estereo-color-shock-humectacion-intensiva-con-aceite-de-coco-x-50-ml/p</t>
        </is>
      </c>
    </row>
    <row r="858">
      <c r="A858" s="6" t="inlineStr">
        <is>
          <t>Farmacity</t>
        </is>
      </c>
      <c r="B858" s="6" t="n">
        <v>209165</v>
      </c>
      <c r="C858" s="6" t="n">
        <v>209165</v>
      </c>
      <c r="D858" s="6" t="inlineStr">
        <is>
          <t>Tratamiento Estereocolor Shock Concentrado x 50 ml</t>
        </is>
      </c>
      <c r="E858" s="6" t="inlineStr">
        <is>
          <t>Estereocolor</t>
        </is>
      </c>
      <c r="F858" s="6" t="n">
        <v>2250</v>
      </c>
      <c r="G858" s="6" t="n">
        <v>2250</v>
      </c>
      <c r="H858" s="6" t="b">
        <v>1</v>
      </c>
      <c r="I858" s="6" t="n">
        <v>50</v>
      </c>
      <c r="J858" s="6" t="n">
        <v>45</v>
      </c>
      <c r="K858" s="6" t="inlineStr">
        <is>
          <t>&gt; Cuidado Capilar &gt; Reparación Y Tratamiento &gt;</t>
        </is>
      </c>
      <c r="L858" s="6" t="inlineStr">
        <is>
          <t>tratamiento</t>
        </is>
      </c>
      <c r="M858" s="6" t="inlineStr">
        <is>
          <t>estandar</t>
        </is>
      </c>
      <c r="N858" s="6" t="inlineStr">
        <is>
          <t>tratado</t>
        </is>
      </c>
      <c r="O858" s="6" t="inlineStr">
        <is>
          <t>https://www.farmacity.com/tratamiento-estereo-color-shock-concentrado-reparador-x-50-ml/p</t>
        </is>
      </c>
    </row>
    <row r="859">
      <c r="A859" t="inlineStr">
        <is>
          <t>Farmacity</t>
        </is>
      </c>
      <c r="B859" t="n">
        <v>220314</v>
      </c>
      <c r="C859" t="n">
        <v>220314</v>
      </c>
      <c r="D859" t="inlineStr">
        <is>
          <t>Tratamiento Estereocolor Shock Oro 24k x 50 g</t>
        </is>
      </c>
      <c r="E859" t="inlineStr">
        <is>
          <t>Estereocolor</t>
        </is>
      </c>
      <c r="F859" t="n">
        <v>2250</v>
      </c>
      <c r="G859" t="n">
        <v>2250</v>
      </c>
      <c r="H859" t="b">
        <v>1</v>
      </c>
      <c r="I859" t="n">
        <v>50</v>
      </c>
      <c r="J859" t="n">
        <v>45</v>
      </c>
      <c r="K859" t="inlineStr">
        <is>
          <t>&gt; Cuidado Capilar &gt; Reparación Y Tratamiento &gt;</t>
        </is>
      </c>
      <c r="L859" t="inlineStr">
        <is>
          <t>tratamiento</t>
        </is>
      </c>
      <c r="M859" t="inlineStr">
        <is>
          <t>estandar</t>
        </is>
      </c>
      <c r="N859" t="inlineStr">
        <is>
          <t>tratado</t>
        </is>
      </c>
      <c r="O859" t="inlineStr">
        <is>
          <t>https://www.farmacity.com/tratamiento-estereo-color-shock-oro-24-k-x-50-g/p</t>
        </is>
      </c>
    </row>
    <row r="860">
      <c r="A860" s="6" t="inlineStr">
        <is>
          <t>Farmacity</t>
        </is>
      </c>
      <c r="B860" s="6" t="n">
        <v>220315</v>
      </c>
      <c r="C860" s="6" t="n">
        <v>220315</v>
      </c>
      <c r="D860" s="6" t="inlineStr">
        <is>
          <t>Tratamiento Estereocolor Carbón Detox Activado x 50 g</t>
        </is>
      </c>
      <c r="E860" s="6" t="inlineStr">
        <is>
          <t>Estereocolor</t>
        </is>
      </c>
      <c r="F860" s="6" t="n">
        <v>1125</v>
      </c>
      <c r="G860" s="6" t="n">
        <v>2250</v>
      </c>
      <c r="H860" s="6" t="b">
        <v>1</v>
      </c>
      <c r="I860" s="6" t="n">
        <v>50</v>
      </c>
      <c r="J860" s="6" t="n">
        <v>22.5</v>
      </c>
      <c r="K860" s="6" t="inlineStr">
        <is>
          <t>&gt; Cuidado Capilar &gt; Reparación Y Tratamiento &gt;</t>
        </is>
      </c>
      <c r="L860" s="6" t="inlineStr">
        <is>
          <t>tratamiento</t>
        </is>
      </c>
      <c r="M860" s="6" t="inlineStr">
        <is>
          <t>estandar</t>
        </is>
      </c>
      <c r="N860" s="6" t="inlineStr">
        <is>
          <t>tratado</t>
        </is>
      </c>
      <c r="O860" s="6" t="inlineStr">
        <is>
          <t>https://www.farmacity.com/tratamiento-estereo-color-carbon-detox-activado-x-50-g/p</t>
        </is>
      </c>
    </row>
    <row r="861">
      <c r="A861" t="inlineStr">
        <is>
          <t>Farmacity</t>
        </is>
      </c>
      <c r="B861" t="n">
        <v>224948</v>
      </c>
      <c r="C861" t="n">
        <v>224948</v>
      </c>
      <c r="D861" t="inlineStr">
        <is>
          <t>Tratamiento Estereocolor Shock Intensivo Silver x 50 g</t>
        </is>
      </c>
      <c r="E861" t="inlineStr">
        <is>
          <t>Estereocolor</t>
        </is>
      </c>
      <c r="F861" t="n">
        <v>2250</v>
      </c>
      <c r="G861" t="n">
        <v>2250</v>
      </c>
      <c r="H861" t="b">
        <v>1</v>
      </c>
      <c r="I861" t="n">
        <v>50</v>
      </c>
      <c r="J861" t="n">
        <v>45</v>
      </c>
      <c r="K861" t="inlineStr">
        <is>
          <t>&gt; Cuidado Capilar &gt; Reparación Y Tratamiento &gt;</t>
        </is>
      </c>
      <c r="L861" t="inlineStr">
        <is>
          <t>tratamiento</t>
        </is>
      </c>
      <c r="M861" t="inlineStr">
        <is>
          <t>estandar</t>
        </is>
      </c>
      <c r="N861" t="inlineStr">
        <is>
          <t>tratado</t>
        </is>
      </c>
      <c r="O861" t="inlineStr">
        <is>
          <t>https://www.farmacity.com/tratamiento-estereo-color-shock-intensivo-silver-x-50-g/p</t>
        </is>
      </c>
    </row>
    <row r="862">
      <c r="A862" s="6" t="inlineStr">
        <is>
          <t>Farmacity</t>
        </is>
      </c>
      <c r="B862" s="6" t="n">
        <v>249158</v>
      </c>
      <c r="C862" s="6" t="n">
        <v>249158</v>
      </c>
      <c r="D862" s="6" t="inlineStr">
        <is>
          <t>Combo Get The Look Capilar Desenredante + Óleo + Ampolla Tratamiento</t>
        </is>
      </c>
      <c r="E862" s="6" t="inlineStr">
        <is>
          <t>Get the Look</t>
        </is>
      </c>
      <c r="F862" s="6" t="n">
        <v>12184</v>
      </c>
      <c r="G862" s="6" t="n">
        <v>24369</v>
      </c>
      <c r="H862" s="6" t="b">
        <v>1</v>
      </c>
      <c r="I862" s="6" t="inlineStr"/>
      <c r="J862" s="6" t="inlineStr"/>
      <c r="K862" s="6" t="inlineStr">
        <is>
          <t>&gt; Cuidado Capilar &gt; Reparación Y Tratamiento &gt;</t>
        </is>
      </c>
      <c r="L862" s="6" t="inlineStr">
        <is>
          <t>tratamiento</t>
        </is>
      </c>
      <c r="M862" s="6" t="inlineStr">
        <is>
          <t>estandar</t>
        </is>
      </c>
      <c r="N862" s="6" t="inlineStr">
        <is>
          <t>general</t>
        </is>
      </c>
      <c r="O862" s="6" t="inlineStr">
        <is>
          <t>https://www.farmacity.com/combo-get-the-look-capilar-desenredante-oleo-ampolla-tratamiento/p</t>
        </is>
      </c>
    </row>
    <row r="863">
      <c r="A863" t="inlineStr">
        <is>
          <t>Farmacity</t>
        </is>
      </c>
      <c r="B863" t="n">
        <v>241697</v>
      </c>
      <c r="C863" t="n">
        <v>241697</v>
      </c>
      <c r="D863" t="inlineStr">
        <is>
          <t>Kit Dove Bond Intense Repair Óleo + Sérum Capilar + Máscara de Tratamiento</t>
        </is>
      </c>
      <c r="E863" t="inlineStr">
        <is>
          <t>Dove</t>
        </is>
      </c>
      <c r="F863" t="n">
        <v>17141</v>
      </c>
      <c r="G863" t="n">
        <v>34282</v>
      </c>
      <c r="H863" t="b">
        <v>1</v>
      </c>
      <c r="I863" t="inlineStr"/>
      <c r="J863" t="inlineStr"/>
      <c r="K863" t="inlineStr">
        <is>
          <t>&gt; Cuidado Capilar &gt; Reparación Y Tratamiento &gt;</t>
        </is>
      </c>
      <c r="L863" t="inlineStr">
        <is>
          <t>tratamiento</t>
        </is>
      </c>
      <c r="M863" t="inlineStr">
        <is>
          <t>profesional</t>
        </is>
      </c>
      <c r="N863" t="inlineStr">
        <is>
          <t>general</t>
        </is>
      </c>
      <c r="O863" t="inlineStr">
        <is>
          <t>https://www.farmacity.com/combo-dove-bond-intense-repair-oleo-serum-capilar-x-110-ml-mascara-de-tratamiento-x-250-g/p</t>
        </is>
      </c>
    </row>
    <row r="864">
      <c r="A864" s="6" t="inlineStr">
        <is>
          <t>Farmacity</t>
        </is>
      </c>
      <c r="B864" s="6" t="n">
        <v>214141</v>
      </c>
      <c r="C864" s="6" t="n">
        <v>214141</v>
      </c>
      <c r="D864" s="6" t="inlineStr">
        <is>
          <t>Tratamiento Estereocolor Oleo de Argán</t>
        </is>
      </c>
      <c r="E864" s="6" t="inlineStr">
        <is>
          <t>Estereocolor</t>
        </is>
      </c>
      <c r="F864" s="6" t="n">
        <v>1040</v>
      </c>
      <c r="G864" s="6" t="n">
        <v>1040</v>
      </c>
      <c r="H864" s="6" t="b">
        <v>1</v>
      </c>
      <c r="I864" s="6" t="inlineStr"/>
      <c r="J864" s="6" t="inlineStr"/>
      <c r="K864" s="6" t="inlineStr">
        <is>
          <t>&gt; Cuidado Capilar &gt; Reparación Y Tratamiento &gt;</t>
        </is>
      </c>
      <c r="L864" s="6" t="inlineStr">
        <is>
          <t>tratamiento</t>
        </is>
      </c>
      <c r="M864" s="6" t="inlineStr">
        <is>
          <t>estandar</t>
        </is>
      </c>
      <c r="N864" s="6" t="inlineStr">
        <is>
          <t>tratado</t>
        </is>
      </c>
      <c r="O864" s="6" t="inlineStr">
        <is>
          <t>https://www.farmacity.com/tratamiento-estereo-color-oleo-de-argan-x-1-un/p</t>
        </is>
      </c>
    </row>
    <row r="865">
      <c r="A865" t="inlineStr">
        <is>
          <t>Farmacity</t>
        </is>
      </c>
      <c r="B865" t="n">
        <v>214142</v>
      </c>
      <c r="C865" t="n">
        <v>214142</v>
      </c>
      <c r="D865" t="inlineStr">
        <is>
          <t>Tratamiento Estereocolor Aceite de Almendras</t>
        </is>
      </c>
      <c r="E865" t="inlineStr">
        <is>
          <t>Estereocolor</t>
        </is>
      </c>
      <c r="F865" t="n">
        <v>1040</v>
      </c>
      <c r="G865" t="n">
        <v>1040</v>
      </c>
      <c r="H865" t="b">
        <v>1</v>
      </c>
      <c r="I865" t="inlineStr"/>
      <c r="J865" t="inlineStr"/>
      <c r="K865" t="inlineStr">
        <is>
          <t>&gt; Cuidado Capilar &gt; Reparación Y Tratamiento &gt;</t>
        </is>
      </c>
      <c r="L865" t="inlineStr">
        <is>
          <t>tratamiento</t>
        </is>
      </c>
      <c r="M865" t="inlineStr">
        <is>
          <t>estandar</t>
        </is>
      </c>
      <c r="N865" t="inlineStr">
        <is>
          <t>tratado</t>
        </is>
      </c>
      <c r="O865" t="inlineStr">
        <is>
          <t>https://www.farmacity.com/tratamiento-estereo-color-aceite-de-almendras-x-40-un/p</t>
        </is>
      </c>
    </row>
    <row r="866">
      <c r="A866" s="6" t="inlineStr">
        <is>
          <t>Farmacity</t>
        </is>
      </c>
      <c r="B866" s="6" t="n">
        <v>244370</v>
      </c>
      <c r="C866" s="6" t="n">
        <v>244370</v>
      </c>
      <c r="D866" s="6" t="inlineStr">
        <is>
          <t>Máscara de Tratamiento Tresemmé Keratina Antifrizz x 300 g</t>
        </is>
      </c>
      <c r="E866" s="6" t="inlineStr">
        <is>
          <t>Tresemmé</t>
        </is>
      </c>
      <c r="F866" s="6" t="n">
        <v>9871</v>
      </c>
      <c r="G866" s="6" t="n">
        <v>9871</v>
      </c>
      <c r="H866" s="6" t="b">
        <v>1</v>
      </c>
      <c r="I866" s="6" t="n">
        <v>300</v>
      </c>
      <c r="J866" s="6" t="n">
        <v>32.9033</v>
      </c>
      <c r="K866" s="6" t="inlineStr">
        <is>
          <t>&gt; Cuidado Capilar &gt; Reparación Y Tratamiento &gt;</t>
        </is>
      </c>
      <c r="L866" s="6" t="inlineStr">
        <is>
          <t>tratamiento</t>
        </is>
      </c>
      <c r="M866" s="6" t="inlineStr">
        <is>
          <t>estandar</t>
        </is>
      </c>
      <c r="N866" s="6" t="inlineStr">
        <is>
          <t>tratado</t>
        </is>
      </c>
      <c r="O866" s="6" t="inlineStr">
        <is>
          <t>https://www.farmacity.com/mascarilla-capilar-tresemme-keratina-blind-antifrizz-x-300-g/p</t>
        </is>
      </c>
    </row>
    <row r="867">
      <c r="A867" t="inlineStr">
        <is>
          <t>Farmacity</t>
        </is>
      </c>
      <c r="B867" t="n">
        <v>250127</v>
      </c>
      <c r="C867" t="n">
        <v>250127</v>
      </c>
      <c r="D867" t="inlineStr">
        <is>
          <t>Tratamiento Leave In Dove Reconstrucción x 110 ml</t>
        </is>
      </c>
      <c r="E867" t="inlineStr">
        <is>
          <t>Dove</t>
        </is>
      </c>
      <c r="F867" t="n">
        <v>9810</v>
      </c>
      <c r="G867" t="n">
        <v>17837</v>
      </c>
      <c r="H867" t="b">
        <v>1</v>
      </c>
      <c r="I867" t="n">
        <v>110</v>
      </c>
      <c r="J867" t="n">
        <v>89.1818</v>
      </c>
      <c r="K867" t="inlineStr">
        <is>
          <t>&gt; Cuidado Capilar &gt; Reparación Y Tratamiento &gt;</t>
        </is>
      </c>
      <c r="L867" t="inlineStr">
        <is>
          <t>tratamiento</t>
        </is>
      </c>
      <c r="M867" t="inlineStr">
        <is>
          <t>estandar</t>
        </is>
      </c>
      <c r="N867" t="inlineStr">
        <is>
          <t>general</t>
        </is>
      </c>
      <c r="O867" t="inlineStr">
        <is>
          <t>https://www.farmacity.com/tratamiento-leave-in-dove-reconstruccion-x-110-ml/p</t>
        </is>
      </c>
    </row>
    <row r="868">
      <c r="A868" s="6" t="inlineStr">
        <is>
          <t>Farmacity</t>
        </is>
      </c>
      <c r="B868" s="6" t="n">
        <v>250126</v>
      </c>
      <c r="C868" s="6" t="n">
        <v>250126</v>
      </c>
      <c r="D868" s="6" t="inlineStr">
        <is>
          <t>Tratamiento Leave In Dove Nutrición x 110 ml</t>
        </is>
      </c>
      <c r="E868" s="6" t="inlineStr">
        <is>
          <t>Dove</t>
        </is>
      </c>
      <c r="F868" s="6" t="n">
        <v>9810</v>
      </c>
      <c r="G868" s="6" t="n">
        <v>17837</v>
      </c>
      <c r="H868" s="6" t="b">
        <v>1</v>
      </c>
      <c r="I868" s="6" t="n">
        <v>110</v>
      </c>
      <c r="J868" s="6" t="n">
        <v>89.1818</v>
      </c>
      <c r="K868" s="6" t="inlineStr">
        <is>
          <t>&gt; Cuidado Capilar &gt; Reparación Y Tratamiento &gt;</t>
        </is>
      </c>
      <c r="L868" s="6" t="inlineStr">
        <is>
          <t>tratamiento</t>
        </is>
      </c>
      <c r="M868" s="6" t="inlineStr">
        <is>
          <t>estandar</t>
        </is>
      </c>
      <c r="N868" s="6" t="inlineStr">
        <is>
          <t>general</t>
        </is>
      </c>
      <c r="O868" s="6" t="inlineStr">
        <is>
          <t>https://www.farmacity.com/tratamiento-leave-in-dove-nutricion-x-110-ml/p</t>
        </is>
      </c>
    </row>
    <row r="869">
      <c r="A869" t="inlineStr">
        <is>
          <t>Farmacity</t>
        </is>
      </c>
      <c r="B869" t="n">
        <v>239872</v>
      </c>
      <c r="C869" t="n">
        <v>239872</v>
      </c>
      <c r="D869" t="inlineStr">
        <is>
          <t>Máscara de Tratamiento Dove Hidratación + Hialuron x 300 g</t>
        </is>
      </c>
      <c r="E869" t="inlineStr">
        <is>
          <t>Dove</t>
        </is>
      </c>
      <c r="F869" t="n">
        <v>9688</v>
      </c>
      <c r="G869" t="n">
        <v>9688</v>
      </c>
      <c r="H869" t="b">
        <v>1</v>
      </c>
      <c r="I869" t="n">
        <v>300</v>
      </c>
      <c r="J869" t="n">
        <v>32.2933</v>
      </c>
      <c r="K869" t="inlineStr">
        <is>
          <t>&gt; Cuidado Capilar &gt; Reparación Y Tratamiento &gt;</t>
        </is>
      </c>
      <c r="L869" t="inlineStr">
        <is>
          <t>tratamiento</t>
        </is>
      </c>
      <c r="M869" t="inlineStr">
        <is>
          <t>estandar</t>
        </is>
      </c>
      <c r="N869" t="inlineStr">
        <is>
          <t>seco_danado</t>
        </is>
      </c>
      <c r="O869" t="inlineStr">
        <is>
          <t>https://www.farmacity.com/crema-tratamiento-dove-hidratacion-x-300-g/p</t>
        </is>
      </c>
    </row>
    <row r="870">
      <c r="A870" s="6" t="inlineStr">
        <is>
          <t>Farmacity</t>
        </is>
      </c>
      <c r="B870" s="6" t="n">
        <v>215079</v>
      </c>
      <c r="C870" s="6" t="n">
        <v>215079</v>
      </c>
      <c r="D870" s="6" t="inlineStr">
        <is>
          <t>Máscara de Tratamiento Dove Regeneración + Retinol x 300 g</t>
        </is>
      </c>
      <c r="E870" s="6" t="inlineStr">
        <is>
          <t>Dove</t>
        </is>
      </c>
      <c r="F870" s="6" t="n">
        <v>9688</v>
      </c>
      <c r="G870" s="6" t="n">
        <v>9688</v>
      </c>
      <c r="H870" s="6" t="b">
        <v>1</v>
      </c>
      <c r="I870" s="6" t="n">
        <v>300</v>
      </c>
      <c r="J870" s="6" t="n">
        <v>32.2933</v>
      </c>
      <c r="K870" s="6" t="inlineStr">
        <is>
          <t>&gt; Cuidado Capilar &gt; Reparación Y Tratamiento &gt;</t>
        </is>
      </c>
      <c r="L870" s="6" t="inlineStr">
        <is>
          <t>tratamiento</t>
        </is>
      </c>
      <c r="M870" s="6" t="inlineStr">
        <is>
          <t>estandar</t>
        </is>
      </c>
      <c r="N870" s="6" t="inlineStr">
        <is>
          <t>general</t>
        </is>
      </c>
      <c r="O870" s="6" t="inlineStr">
        <is>
          <t>https://www.farmacity.com/mascara-de-tratamiento-dove-regeneracion-extrema-ultra-cuidado-x-300-g/p</t>
        </is>
      </c>
    </row>
    <row r="871">
      <c r="A871" t="inlineStr">
        <is>
          <t>Farmacity</t>
        </is>
      </c>
      <c r="B871" t="n">
        <v>211772</v>
      </c>
      <c r="C871" t="n">
        <v>211772</v>
      </c>
      <c r="D871" t="inlineStr">
        <is>
          <t>Máscara de Tratamiento Dove Reconstrucción + Aminoácido x 300 g Máscara de Tratamiento Dove Reconstrucción Completa x 300 g</t>
        </is>
      </c>
      <c r="E871" t="inlineStr">
        <is>
          <t>Dove</t>
        </is>
      </c>
      <c r="F871" t="n">
        <v>9688</v>
      </c>
      <c r="G871" t="n">
        <v>9688</v>
      </c>
      <c r="H871" t="b">
        <v>1</v>
      </c>
      <c r="I871" t="n">
        <v>300</v>
      </c>
      <c r="J871" t="n">
        <v>32.2933</v>
      </c>
      <c r="K871" t="inlineStr">
        <is>
          <t>&gt; Cuidado Capilar &gt; Reparación Y Tratamiento &gt;</t>
        </is>
      </c>
      <c r="L871" t="inlineStr">
        <is>
          <t>tratamiento</t>
        </is>
      </c>
      <c r="M871" t="inlineStr">
        <is>
          <t>estandar</t>
        </is>
      </c>
      <c r="N871" t="inlineStr">
        <is>
          <t>general</t>
        </is>
      </c>
      <c r="O871" t="inlineStr">
        <is>
          <t>https://www.farmacity.com/crema-tratamiento-dove-1-minuto-reconstruccion-completa-x-300-g/p</t>
        </is>
      </c>
    </row>
    <row r="872">
      <c r="A872" s="6" t="inlineStr">
        <is>
          <t>Farmacity</t>
        </is>
      </c>
      <c r="B872" s="6" t="n">
        <v>228360</v>
      </c>
      <c r="C872" s="6" t="n">
        <v>228360</v>
      </c>
      <c r="D872" s="6" t="inlineStr">
        <is>
          <t>Máscara de Tratamiento Dove Humectación + Coco Antioxi x 300 g</t>
        </is>
      </c>
      <c r="E872" s="6" t="inlineStr">
        <is>
          <t>Dove</t>
        </is>
      </c>
      <c r="F872" s="6" t="n">
        <v>9688</v>
      </c>
      <c r="G872" s="6" t="n">
        <v>9688</v>
      </c>
      <c r="H872" s="6" t="b">
        <v>1</v>
      </c>
      <c r="I872" s="6" t="n">
        <v>300</v>
      </c>
      <c r="J872" s="6" t="n">
        <v>32.2933</v>
      </c>
      <c r="K872" s="6" t="inlineStr">
        <is>
          <t>&gt; Cuidado Capilar &gt; Reparación Y Tratamiento &gt;</t>
        </is>
      </c>
      <c r="L872" s="6" t="inlineStr">
        <is>
          <t>tratamiento</t>
        </is>
      </c>
      <c r="M872" s="6" t="inlineStr">
        <is>
          <t>estandar</t>
        </is>
      </c>
      <c r="N872" s="6" t="inlineStr">
        <is>
          <t>general</t>
        </is>
      </c>
      <c r="O872" s="6" t="inlineStr">
        <is>
          <t>https://www.farmacity.com/crema-tratamiento-dove-1-minuto-ritual-de-reparacion-x-300-g/p</t>
        </is>
      </c>
    </row>
    <row r="873">
      <c r="A873" t="inlineStr">
        <is>
          <t>Farmacity</t>
        </is>
      </c>
      <c r="B873" t="n">
        <v>211773</v>
      </c>
      <c r="C873" t="n">
        <v>211773</v>
      </c>
      <c r="D873" t="inlineStr">
        <is>
          <t>Máscara de Tratamiento Dove Nutrición + Tri-Óleos x 300 g</t>
        </is>
      </c>
      <c r="E873" t="inlineStr">
        <is>
          <t>Dove</t>
        </is>
      </c>
      <c r="F873" t="n">
        <v>9688</v>
      </c>
      <c r="G873" t="n">
        <v>9688</v>
      </c>
      <c r="H873" t="b">
        <v>1</v>
      </c>
      <c r="I873" t="n">
        <v>300</v>
      </c>
      <c r="J873" t="n">
        <v>32.2933</v>
      </c>
      <c r="K873" t="inlineStr">
        <is>
          <t>&gt; Cuidado Capilar &gt; Reparación Y Tratamiento &gt;</t>
        </is>
      </c>
      <c r="L873" t="inlineStr">
        <is>
          <t>tratamiento</t>
        </is>
      </c>
      <c r="M873" t="inlineStr">
        <is>
          <t>estandar</t>
        </is>
      </c>
      <c r="N873" t="inlineStr">
        <is>
          <t>general</t>
        </is>
      </c>
      <c r="O873" t="inlineStr">
        <is>
          <t>https://www.farmacity.com/crema-tratamiento-dove-1-minuto-oleo-nutricion-x-300-g/p</t>
        </is>
      </c>
    </row>
    <row r="874">
      <c r="A874" s="6" t="inlineStr">
        <is>
          <t>Farmacity</t>
        </is>
      </c>
      <c r="B874" s="6" t="n">
        <v>4165</v>
      </c>
      <c r="C874" s="6" t="n">
        <v>139205</v>
      </c>
      <c r="D874" s="6" t="inlineStr">
        <is>
          <t>Crema Tratamiento Elvive Keraliso Brillo x 300 g</t>
        </is>
      </c>
      <c r="E874" s="6" t="inlineStr">
        <is>
          <t>Elvive</t>
        </is>
      </c>
      <c r="F874" s="6" t="n">
        <v>3500</v>
      </c>
      <c r="G874" s="6" t="n">
        <v>7000</v>
      </c>
      <c r="H874" s="6" t="b">
        <v>1</v>
      </c>
      <c r="I874" s="6" t="n">
        <v>300</v>
      </c>
      <c r="J874" s="6" t="n">
        <v>11.6667</v>
      </c>
      <c r="K874" s="6" t="inlineStr">
        <is>
          <t>&gt; Cuidado Capilar &gt; Reparación Y Tratamiento &gt;</t>
        </is>
      </c>
      <c r="L874" s="6" t="inlineStr">
        <is>
          <t>tratamiento</t>
        </is>
      </c>
      <c r="M874" s="6" t="inlineStr">
        <is>
          <t>profesional</t>
        </is>
      </c>
      <c r="N874" s="6" t="inlineStr">
        <is>
          <t>general</t>
        </is>
      </c>
      <c r="O874" s="6" t="inlineStr">
        <is>
          <t>https://www.farmacity.com/crema-de-tratamiento-kera-liso-x-300-ml/p</t>
        </is>
      </c>
    </row>
    <row r="875">
      <c r="A875" t="inlineStr">
        <is>
          <t>Farmacity</t>
        </is>
      </c>
      <c r="B875" t="n">
        <v>249154</v>
      </c>
      <c r="C875" t="n">
        <v>249154</v>
      </c>
      <c r="D875" t="inlineStr">
        <is>
          <t>Combo Fuerza Reparación Capilar</t>
        </is>
      </c>
      <c r="E875" t="inlineStr">
        <is>
          <t>Get the Look</t>
        </is>
      </c>
      <c r="F875" t="n">
        <v>19405</v>
      </c>
      <c r="G875" t="n">
        <v>38810</v>
      </c>
      <c r="H875" t="b">
        <v>1</v>
      </c>
      <c r="I875" t="inlineStr"/>
      <c r="J875" t="inlineStr"/>
      <c r="K875" t="inlineStr">
        <is>
          <t>&gt; Cuidado Capilar &gt; Reparación Y Tratamiento &gt;</t>
        </is>
      </c>
      <c r="L875" t="inlineStr">
        <is>
          <t>shampoo</t>
        </is>
      </c>
      <c r="M875" t="inlineStr">
        <is>
          <t>estandar</t>
        </is>
      </c>
      <c r="N875" t="inlineStr">
        <is>
          <t>general</t>
        </is>
      </c>
      <c r="O875" t="inlineStr">
        <is>
          <t>https://www.farmacity.com/combo-fuerza-reparacion-capilar/p</t>
        </is>
      </c>
    </row>
    <row r="876">
      <c r="A876" s="6" t="inlineStr">
        <is>
          <t>Farmacity</t>
        </is>
      </c>
      <c r="B876" s="6" t="n">
        <v>246479</v>
      </c>
      <c r="C876" s="6" t="n">
        <v>246479</v>
      </c>
      <c r="D876" s="6" t="inlineStr">
        <is>
          <t>Máscara de Tratamiento Dove UV Repair &amp; Glow 250 g</t>
        </is>
      </c>
      <c r="E876" s="6" t="inlineStr">
        <is>
          <t>Dove</t>
        </is>
      </c>
      <c r="F876" s="6" t="n">
        <v>16479</v>
      </c>
      <c r="G876" s="6" t="n">
        <v>16479</v>
      </c>
      <c r="H876" s="6" t="b">
        <v>1</v>
      </c>
      <c r="I876" s="6" t="n">
        <v>250</v>
      </c>
      <c r="J876" s="6" t="n">
        <v>65.916</v>
      </c>
      <c r="K876" s="6" t="inlineStr">
        <is>
          <t>&gt; Cuidado Capilar &gt; Reparación Y Tratamiento &gt;</t>
        </is>
      </c>
      <c r="L876" s="6" t="inlineStr">
        <is>
          <t>tratamiento</t>
        </is>
      </c>
      <c r="M876" s="6" t="inlineStr">
        <is>
          <t>profesional</t>
        </is>
      </c>
      <c r="N876" s="6" t="inlineStr">
        <is>
          <t>general</t>
        </is>
      </c>
      <c r="O876" s="6" t="inlineStr">
        <is>
          <t>https://www.farmacity.com/mascara-capilar-dove-uv-repair-x-250-g/p</t>
        </is>
      </c>
    </row>
    <row r="877">
      <c r="A877" t="inlineStr">
        <is>
          <t>Farmacity</t>
        </is>
      </c>
      <c r="B877" t="n">
        <v>250356</v>
      </c>
      <c r="C877" t="n">
        <v>250356</v>
      </c>
      <c r="D877" t="inlineStr">
        <is>
          <t>Crema Tratamiento Elvive Collagen Lifter x 300 ml</t>
        </is>
      </c>
      <c r="E877" t="inlineStr">
        <is>
          <t>Elvive</t>
        </is>
      </c>
      <c r="F877" t="n">
        <v>13490</v>
      </c>
      <c r="G877" t="n">
        <v>13490</v>
      </c>
      <c r="H877" t="b">
        <v>1</v>
      </c>
      <c r="I877" t="n">
        <v>300</v>
      </c>
      <c r="J877" t="n">
        <v>44.9667</v>
      </c>
      <c r="K877" t="inlineStr">
        <is>
          <t>&gt; Cuidado Capilar &gt; Reparación Y Tratamiento &gt;</t>
        </is>
      </c>
      <c r="L877" t="inlineStr">
        <is>
          <t>tratamiento</t>
        </is>
      </c>
      <c r="M877" t="inlineStr">
        <is>
          <t>profesional</t>
        </is>
      </c>
      <c r="N877" t="inlineStr">
        <is>
          <t>general</t>
        </is>
      </c>
      <c r="O877" t="inlineStr">
        <is>
          <t>https://www.farmacity.com/crema-tratamiento-elvive-colageno-lifter-x-300-ml/p</t>
        </is>
      </c>
    </row>
    <row r="878">
      <c r="A878" s="6" t="inlineStr">
        <is>
          <t>Farmacity</t>
        </is>
      </c>
      <c r="B878" s="6" t="n">
        <v>246062</v>
      </c>
      <c r="C878" s="6" t="n">
        <v>246062</v>
      </c>
      <c r="D878" s="6" t="inlineStr">
        <is>
          <t>Crema Tratamiento Sedal Toque de Seda x 300 g</t>
        </is>
      </c>
      <c r="E878" s="6" t="inlineStr">
        <is>
          <t>Sedal</t>
        </is>
      </c>
      <c r="F878" s="6" t="n">
        <v>5127</v>
      </c>
      <c r="G878" s="6" t="n">
        <v>6409</v>
      </c>
      <c r="H878" s="6" t="b">
        <v>1</v>
      </c>
      <c r="I878" s="6" t="n">
        <v>300</v>
      </c>
      <c r="J878" s="6" t="n">
        <v>17.09</v>
      </c>
      <c r="K878" s="6" t="inlineStr">
        <is>
          <t>&gt; Cuidado Capilar &gt; Reparación Y Tratamiento &gt;</t>
        </is>
      </c>
      <c r="L878" s="6" t="inlineStr">
        <is>
          <t>tratamiento</t>
        </is>
      </c>
      <c r="M878" s="6" t="inlineStr">
        <is>
          <t>estandar</t>
        </is>
      </c>
      <c r="N878" s="6" t="inlineStr">
        <is>
          <t>general</t>
        </is>
      </c>
      <c r="O878" s="6" t="inlineStr">
        <is>
          <t>https://www.farmacity.com/crema-tratamiento-sedal-toque-de-seda-x-300-g/p</t>
        </is>
      </c>
    </row>
    <row r="879">
      <c r="A879" t="inlineStr">
        <is>
          <t>Farmacity</t>
        </is>
      </c>
      <c r="B879" t="n">
        <v>248890</v>
      </c>
      <c r="C879" t="n">
        <v>248890</v>
      </c>
      <c r="D879" t="inlineStr">
        <is>
          <t>Crema Tratamiento Capilatis Natural Oil x 300 ml</t>
        </is>
      </c>
      <c r="E879" t="inlineStr">
        <is>
          <t>Capilatis</t>
        </is>
      </c>
      <c r="F879" t="n">
        <v>11000</v>
      </c>
      <c r="G879" t="n">
        <v>11000</v>
      </c>
      <c r="H879" t="b">
        <v>1</v>
      </c>
      <c r="I879" t="n">
        <v>300</v>
      </c>
      <c r="J879" t="n">
        <v>36.6667</v>
      </c>
      <c r="K879" t="inlineStr">
        <is>
          <t>&gt; Cuidado Capilar &gt; Reparación Y Tratamiento &gt;</t>
        </is>
      </c>
      <c r="L879" t="inlineStr">
        <is>
          <t>tratamiento</t>
        </is>
      </c>
      <c r="M879" t="inlineStr">
        <is>
          <t>estandar</t>
        </is>
      </c>
      <c r="N879" t="inlineStr">
        <is>
          <t>general</t>
        </is>
      </c>
      <c r="O879" t="inlineStr">
        <is>
          <t>https://www.farmacity.com/crema-tratamiento-capilatis-natural-oil-x-300-ml/p</t>
        </is>
      </c>
    </row>
    <row r="880">
      <c r="A880" s="6" t="inlineStr">
        <is>
          <t>Farmacity</t>
        </is>
      </c>
      <c r="B880" s="6" t="n">
        <v>248891</v>
      </c>
      <c r="C880" s="6" t="n">
        <v>248891</v>
      </c>
      <c r="D880" s="6" t="inlineStr">
        <is>
          <t>Crema Tratamiento Capilatis Aloe Vera x 300 ml</t>
        </is>
      </c>
      <c r="E880" s="6" t="inlineStr">
        <is>
          <t>Capilatis</t>
        </is>
      </c>
      <c r="F880" s="6" t="n">
        <v>11000</v>
      </c>
      <c r="G880" s="6" t="n">
        <v>11000</v>
      </c>
      <c r="H880" s="6" t="b">
        <v>1</v>
      </c>
      <c r="I880" s="6" t="n">
        <v>300</v>
      </c>
      <c r="J880" s="6" t="n">
        <v>36.6667</v>
      </c>
      <c r="K880" s="6" t="inlineStr">
        <is>
          <t>&gt; Cuidado Capilar &gt; Reparación Y Tratamiento &gt;</t>
        </is>
      </c>
      <c r="L880" s="6" t="inlineStr">
        <is>
          <t>tratamiento</t>
        </is>
      </c>
      <c r="M880" s="6" t="inlineStr">
        <is>
          <t>estandar</t>
        </is>
      </c>
      <c r="N880" s="6" t="inlineStr">
        <is>
          <t>general</t>
        </is>
      </c>
      <c r="O880" s="6" t="inlineStr">
        <is>
          <t>https://www.farmacity.com/crema-tratamiento-capilatis-aloe-vera-x-300-ml/p</t>
        </is>
      </c>
    </row>
    <row r="881">
      <c r="A881" t="inlineStr">
        <is>
          <t>Farmacity</t>
        </is>
      </c>
      <c r="B881" t="n">
        <v>250189</v>
      </c>
      <c r="C881" t="n">
        <v>250189</v>
      </c>
      <c r="D881" t="inlineStr">
        <is>
          <t>Crema Tratamiento La Puissance Nutrition x 300 ml</t>
        </is>
      </c>
      <c r="E881" t="inlineStr">
        <is>
          <t>La Puissance</t>
        </is>
      </c>
      <c r="F881" t="n">
        <v>17600</v>
      </c>
      <c r="G881" t="n">
        <v>17600</v>
      </c>
      <c r="H881" t="b">
        <v>1</v>
      </c>
      <c r="I881" t="n">
        <v>300</v>
      </c>
      <c r="J881" t="n">
        <v>58.6667</v>
      </c>
      <c r="K881" t="inlineStr">
        <is>
          <t>&gt; Cuidado Capilar &gt; Reparación Y Tratamiento &gt;</t>
        </is>
      </c>
      <c r="L881" t="inlineStr">
        <is>
          <t>tratamiento</t>
        </is>
      </c>
      <c r="M881" t="inlineStr">
        <is>
          <t>estandar</t>
        </is>
      </c>
      <c r="N881" t="inlineStr">
        <is>
          <t>general</t>
        </is>
      </c>
      <c r="O881" t="inlineStr">
        <is>
          <t>https://www.farmacity.com/crema-tratamiento-la-puissance-nutrition-x-300-ml/p</t>
        </is>
      </c>
    </row>
    <row r="882">
      <c r="A882" s="6" t="inlineStr">
        <is>
          <t>Farmacity</t>
        </is>
      </c>
      <c r="B882" s="6" t="n">
        <v>250186</v>
      </c>
      <c r="C882" s="6" t="n">
        <v>250186</v>
      </c>
      <c r="D882" s="6" t="inlineStr">
        <is>
          <t>Crema Tratamiento La Puissance Keratine x 300 ml</t>
        </is>
      </c>
      <c r="E882" s="6" t="inlineStr">
        <is>
          <t>La Puissance</t>
        </is>
      </c>
      <c r="F882" s="6" t="n">
        <v>16600</v>
      </c>
      <c r="G882" s="6" t="n">
        <v>16600</v>
      </c>
      <c r="H882" s="6" t="b">
        <v>1</v>
      </c>
      <c r="I882" s="6" t="n">
        <v>300</v>
      </c>
      <c r="J882" s="6" t="n">
        <v>55.3333</v>
      </c>
      <c r="K882" s="6" t="inlineStr">
        <is>
          <t>&gt; Cuidado Capilar &gt; Reparación Y Tratamiento &gt;</t>
        </is>
      </c>
      <c r="L882" s="6" t="inlineStr">
        <is>
          <t>tratamiento</t>
        </is>
      </c>
      <c r="M882" s="6" t="inlineStr">
        <is>
          <t>estandar</t>
        </is>
      </c>
      <c r="N882" s="6" t="inlineStr">
        <is>
          <t>general</t>
        </is>
      </c>
      <c r="O882" s="6" t="inlineStr">
        <is>
          <t>https://www.farmacity.com/crema-tratamiento-la-puissance-keratine-x-300-ml/p</t>
        </is>
      </c>
    </row>
    <row r="883">
      <c r="A883" t="inlineStr">
        <is>
          <t>Farmacity</t>
        </is>
      </c>
      <c r="B883" t="n">
        <v>238114</v>
      </c>
      <c r="C883" t="n">
        <v>238114</v>
      </c>
      <c r="D883" t="inlineStr">
        <is>
          <t>Caja Tratamiento Estereocolor Aceite de Coco x 40 un</t>
        </is>
      </c>
      <c r="E883" t="inlineStr">
        <is>
          <t>Estereocolor</t>
        </is>
      </c>
      <c r="F883" t="n">
        <v>20800</v>
      </c>
      <c r="G883" t="n">
        <v>41600</v>
      </c>
      <c r="H883" t="b">
        <v>1</v>
      </c>
      <c r="I883" t="inlineStr"/>
      <c r="J883" t="inlineStr"/>
      <c r="K883" t="inlineStr">
        <is>
          <t>&gt; Cuidado Capilar &gt; Reparación Y Tratamiento &gt;</t>
        </is>
      </c>
      <c r="L883" t="inlineStr">
        <is>
          <t>tratamiento</t>
        </is>
      </c>
      <c r="M883" t="inlineStr">
        <is>
          <t>estandar</t>
        </is>
      </c>
      <c r="N883" t="inlineStr">
        <is>
          <t>tratado</t>
        </is>
      </c>
      <c r="O883" t="inlineStr">
        <is>
          <t>https://www.farmacity.com/caja-tratamiento-estereocolor-aceite-de-coco-x-40-un/p</t>
        </is>
      </c>
    </row>
    <row r="884">
      <c r="A884" s="6" t="inlineStr">
        <is>
          <t>Farmacity</t>
        </is>
      </c>
      <c r="B884" s="6" t="n">
        <v>250310</v>
      </c>
      <c r="C884" s="6" t="n">
        <v>250310</v>
      </c>
      <c r="D884" s="6" t="inlineStr">
        <is>
          <t>Crema Tratamiento Kerasys Advanced Moisture Ampoule x 300 ml</t>
        </is>
      </c>
      <c r="E884" s="6" t="inlineStr">
        <is>
          <t>Kerasys</t>
        </is>
      </c>
      <c r="F884" s="6" t="n">
        <v>59000</v>
      </c>
      <c r="G884" s="6" t="n">
        <v>59000</v>
      </c>
      <c r="H884" s="6" t="b">
        <v>1</v>
      </c>
      <c r="I884" s="6" t="n">
        <v>300</v>
      </c>
      <c r="J884" s="6" t="n">
        <v>196.6667</v>
      </c>
      <c r="K884" s="6" t="inlineStr">
        <is>
          <t>&gt; Cuidado Capilar &gt; Reparación Y Tratamiento &gt;</t>
        </is>
      </c>
      <c r="L884" s="6" t="inlineStr">
        <is>
          <t>tratamiento</t>
        </is>
      </c>
      <c r="M884" s="6" t="inlineStr">
        <is>
          <t>estandar</t>
        </is>
      </c>
      <c r="N884" s="6" t="inlineStr">
        <is>
          <t>general</t>
        </is>
      </c>
      <c r="O884" s="6" t="inlineStr">
        <is>
          <t>https://www.farmacity.com/crema-tratamiento-kerasys-advanced-moisture-ampoule-x-300-ml/p</t>
        </is>
      </c>
    </row>
    <row r="885">
      <c r="A885" t="inlineStr">
        <is>
          <t>Farmacity</t>
        </is>
      </c>
      <c r="B885" t="n">
        <v>250309</v>
      </c>
      <c r="C885" t="n">
        <v>250309</v>
      </c>
      <c r="D885" t="inlineStr">
        <is>
          <t>Crema Tratamiento Kerasys Advance Repair Ampoule x 300 ml</t>
        </is>
      </c>
      <c r="E885" t="inlineStr">
        <is>
          <t>Kerasys</t>
        </is>
      </c>
      <c r="F885" t="n">
        <v>59000</v>
      </c>
      <c r="G885" t="n">
        <v>59000</v>
      </c>
      <c r="H885" t="b">
        <v>1</v>
      </c>
      <c r="I885" t="n">
        <v>300</v>
      </c>
      <c r="J885" t="n">
        <v>196.6667</v>
      </c>
      <c r="K885" t="inlineStr">
        <is>
          <t>&gt; Cuidado Capilar &gt; Reparación Y Tratamiento &gt;</t>
        </is>
      </c>
      <c r="L885" t="inlineStr">
        <is>
          <t>tratamiento</t>
        </is>
      </c>
      <c r="M885" t="inlineStr">
        <is>
          <t>profesional</t>
        </is>
      </c>
      <c r="N885" t="inlineStr">
        <is>
          <t>general</t>
        </is>
      </c>
      <c r="O885" t="inlineStr">
        <is>
          <t>https://www.farmacity.com/crema-tratamiento-kerasys-advance-repair-ampoule-x-300-ml/p</t>
        </is>
      </c>
    </row>
    <row r="886">
      <c r="A886" s="6" t="inlineStr">
        <is>
          <t>Farmacity</t>
        </is>
      </c>
      <c r="B886" s="6" t="n">
        <v>241005</v>
      </c>
      <c r="C886" s="6" t="n">
        <v>241005</v>
      </c>
      <c r="D886" s="6" t="inlineStr">
        <is>
          <t>Máscara de Tratamiento Dove Bond Repair + Péptido x 250 g</t>
        </is>
      </c>
      <c r="E886" s="6" t="inlineStr">
        <is>
          <t>Dove</t>
        </is>
      </c>
      <c r="F886" s="6" t="n">
        <v>16479</v>
      </c>
      <c r="G886" s="6" t="n">
        <v>16479</v>
      </c>
      <c r="H886" s="6" t="b">
        <v>1</v>
      </c>
      <c r="I886" s="6" t="n">
        <v>250</v>
      </c>
      <c r="J886" s="6" t="n">
        <v>65.916</v>
      </c>
      <c r="K886" s="6" t="inlineStr">
        <is>
          <t>&gt; Cuidado Capilar &gt; Reparación Y Tratamiento &gt;</t>
        </is>
      </c>
      <c r="L886" s="6" t="inlineStr">
        <is>
          <t>tratamiento</t>
        </is>
      </c>
      <c r="M886" s="6" t="inlineStr">
        <is>
          <t>profesional</t>
        </is>
      </c>
      <c r="N886" s="6" t="inlineStr">
        <is>
          <t>general</t>
        </is>
      </c>
      <c r="O886" s="6" t="inlineStr">
        <is>
          <t>https://www.farmacity.com/mascara-de-tratamiento-dove-bond-intense-repair-x-250-g/p</t>
        </is>
      </c>
    </row>
    <row r="887">
      <c r="A887" t="inlineStr">
        <is>
          <t>Farmacity</t>
        </is>
      </c>
      <c r="B887" t="n">
        <v>239631</v>
      </c>
      <c r="C887" t="n">
        <v>239631</v>
      </c>
      <c r="D887" t="inlineStr">
        <is>
          <t>Combo Capilar Tintura Permanente Excellence Triple cuidado  Tono 5U Castaño Claro + Tratamiento Elvive Óleo Extraordinario x 100 ml Combo Capilar Tintura Permanente Excellence Triple cuidado Tono 5U Castaño Claro + Tratamiento Elvive Óleo Extraordinario x 100 ml</t>
        </is>
      </c>
      <c r="E887" t="inlineStr">
        <is>
          <t>Elvive</t>
        </is>
      </c>
      <c r="F887" t="n">
        <v>44980</v>
      </c>
      <c r="G887" t="n">
        <v>44980</v>
      </c>
      <c r="H887" t="b">
        <v>1</v>
      </c>
      <c r="I887" t="n">
        <v>100</v>
      </c>
      <c r="J887" t="n">
        <v>449.8</v>
      </c>
      <c r="K887" t="inlineStr">
        <is>
          <t>&gt; Cuidado Capilar &gt; Coloración Y Oxidantes &gt;</t>
        </is>
      </c>
      <c r="L887" t="inlineStr">
        <is>
          <t>tratamiento</t>
        </is>
      </c>
      <c r="M887" t="inlineStr">
        <is>
          <t>profesional</t>
        </is>
      </c>
      <c r="N887" t="inlineStr">
        <is>
          <t>tratado</t>
        </is>
      </c>
      <c r="O887" t="inlineStr">
        <is>
          <t>https://www.farmacity.com/combo-capilar-tintura-permanente-excellence-triple-cuidado-sin-amoniaco-tono-5u-castano-claro-tratamiento-intensivo-elvive-oleo-extraordinario/p</t>
        </is>
      </c>
    </row>
    <row r="888">
      <c r="A888" s="6" t="inlineStr">
        <is>
          <t>Farmacity</t>
        </is>
      </c>
      <c r="B888" s="6" t="n">
        <v>239632</v>
      </c>
      <c r="C888" s="6" t="n">
        <v>239632</v>
      </c>
      <c r="D888" s="6" t="inlineStr">
        <is>
          <t>Combo Capilar Tintura Permanente Excellence Triple cuidado  Tono 6U Rubio Oscuro + Tratamiento Elvive Óleo Extraordinario x 100 ml</t>
        </is>
      </c>
      <c r="E888" s="6" t="inlineStr">
        <is>
          <t>Elvive</t>
        </is>
      </c>
      <c r="F888" s="6" t="n">
        <v>44980</v>
      </c>
      <c r="G888" s="6" t="n">
        <v>44980</v>
      </c>
      <c r="H888" s="6" t="b">
        <v>1</v>
      </c>
      <c r="I888" s="6" t="n">
        <v>100</v>
      </c>
      <c r="J888" s="6" t="n">
        <v>449.8</v>
      </c>
      <c r="K888" s="6" t="inlineStr">
        <is>
          <t>&gt; Cuidado Capilar &gt; Coloración Y Oxidantes &gt;</t>
        </is>
      </c>
      <c r="L888" s="6" t="inlineStr">
        <is>
          <t>tratamiento</t>
        </is>
      </c>
      <c r="M888" s="6" t="inlineStr">
        <is>
          <t>profesional</t>
        </is>
      </c>
      <c r="N888" s="6" t="inlineStr">
        <is>
          <t>tratado</t>
        </is>
      </c>
      <c r="O888" s="6" t="inlineStr">
        <is>
          <t>https://www.farmacity.com/combo-capilar-tintura-permanente-excellence-triple-cuidado-sin-amoniaco-tono-6u-rubio-oscuro-tratamiento-intensivo-elvive-oleo-extraordinario/p</t>
        </is>
      </c>
    </row>
    <row r="889">
      <c r="A889" t="inlineStr">
        <is>
          <t>Farmacity</t>
        </is>
      </c>
      <c r="B889" t="n">
        <v>239630</v>
      </c>
      <c r="C889" t="n">
        <v>239630</v>
      </c>
      <c r="D889" t="inlineStr">
        <is>
          <t>Combo Capilar Tintura Permanente Excellence Triple cuidado  Tono 4U Castaño + Tratamiento Elvive Óleo Extraordinario Nutrición x 100 ml</t>
        </is>
      </c>
      <c r="E889" t="inlineStr">
        <is>
          <t>Elvive</t>
        </is>
      </c>
      <c r="F889" t="n">
        <v>44980</v>
      </c>
      <c r="G889" t="n">
        <v>44980</v>
      </c>
      <c r="H889" t="b">
        <v>1</v>
      </c>
      <c r="I889" t="n">
        <v>100</v>
      </c>
      <c r="J889" t="n">
        <v>449.8</v>
      </c>
      <c r="K889" t="inlineStr">
        <is>
          <t>&gt; Cuidado Capilar &gt; Coloración Y Oxidantes &gt;</t>
        </is>
      </c>
      <c r="L889" t="inlineStr">
        <is>
          <t>tratamiento</t>
        </is>
      </c>
      <c r="M889" t="inlineStr">
        <is>
          <t>profesional</t>
        </is>
      </c>
      <c r="N889" t="inlineStr">
        <is>
          <t>tratado</t>
        </is>
      </c>
      <c r="O889" t="inlineStr">
        <is>
          <t>https://www.farmacity.com/combo-capilar-tintura-permanente-excellence-triple-cuidado-sin-amoniaco-tono-4u-castano-tratamiento-intensivo-elvive-oleo-extraordinario/p</t>
        </is>
      </c>
    </row>
    <row r="890">
      <c r="A890" s="6" t="inlineStr">
        <is>
          <t>Farmacity</t>
        </is>
      </c>
      <c r="B890" s="6" t="n">
        <v>229633</v>
      </c>
      <c r="C890" s="6" t="n">
        <v>229633</v>
      </c>
      <c r="D890" s="6" t="inlineStr">
        <is>
          <t>Crema Tratamiento Dove Real Fuerza + Bambú x 190 g</t>
        </is>
      </c>
      <c r="E890" s="6" t="inlineStr">
        <is>
          <t>Dove</t>
        </is>
      </c>
      <c r="F890" s="6" t="n">
        <v>2636</v>
      </c>
      <c r="G890" s="6" t="n">
        <v>5273</v>
      </c>
      <c r="H890" s="6" t="b">
        <v>1</v>
      </c>
      <c r="I890" s="6" t="n">
        <v>190</v>
      </c>
      <c r="J890" s="6" t="n">
        <v>13.8737</v>
      </c>
      <c r="K890" s="6" t="inlineStr">
        <is>
          <t>&gt; Cuidado Capilar &gt; Reparación Y Tratamiento &gt;</t>
        </is>
      </c>
      <c r="L890" s="6" t="inlineStr">
        <is>
          <t>tratamiento</t>
        </is>
      </c>
      <c r="M890" s="6" t="inlineStr">
        <is>
          <t>estandar</t>
        </is>
      </c>
      <c r="N890" s="6" t="inlineStr">
        <is>
          <t>general</t>
        </is>
      </c>
      <c r="O890" s="6" t="inlineStr">
        <is>
          <t>https://www.farmacity.com/crema-tratamiento-dove-real-poder-de-las-plantas-fuerza-bambu-x-190-g/p</t>
        </is>
      </c>
    </row>
    <row r="891">
      <c r="A891" t="inlineStr">
        <is>
          <t>Farmacity</t>
        </is>
      </c>
      <c r="B891" t="n">
        <v>248883</v>
      </c>
      <c r="C891" t="n">
        <v>248883</v>
      </c>
      <c r="D891" t="inlineStr">
        <is>
          <t>Crema Tratamiento Ogx Bond Protein Repair 1-Minuto x 200 ml</t>
        </is>
      </c>
      <c r="E891" t="inlineStr">
        <is>
          <t>OGX</t>
        </is>
      </c>
      <c r="F891" t="n">
        <v>31641</v>
      </c>
      <c r="G891" t="n">
        <v>31641</v>
      </c>
      <c r="H891" t="b">
        <v>1</v>
      </c>
      <c r="I891" t="n">
        <v>200</v>
      </c>
      <c r="J891" t="n">
        <v>158.205</v>
      </c>
      <c r="K891" t="inlineStr">
        <is>
          <t>&gt; Cuidado Capilar &gt; Reparación Y Tratamiento &gt;</t>
        </is>
      </c>
      <c r="L891" t="inlineStr">
        <is>
          <t>tratamiento</t>
        </is>
      </c>
      <c r="M891" t="inlineStr">
        <is>
          <t>profesional</t>
        </is>
      </c>
      <c r="N891" t="inlineStr">
        <is>
          <t>general</t>
        </is>
      </c>
      <c r="O891" t="inlineStr">
        <is>
          <t>https://www.farmacity.com/crema-tratamiento-ogx-bond-protein-repair-1-minuto-x-200-ml/p</t>
        </is>
      </c>
    </row>
    <row r="892">
      <c r="A892" s="6" t="inlineStr">
        <is>
          <t>Farmacity</t>
        </is>
      </c>
      <c r="B892" s="6" t="n">
        <v>250311</v>
      </c>
      <c r="C892" s="6" t="n">
        <v>250311</v>
      </c>
      <c r="D892" s="6" t="inlineStr">
        <is>
          <t>Crema Tratamiento Kerasys Hair Clinic Heat Active x 200 ml</t>
        </is>
      </c>
      <c r="E892" s="6" t="inlineStr">
        <is>
          <t>Kerasys</t>
        </is>
      </c>
      <c r="F892" s="6" t="n">
        <v>59000</v>
      </c>
      <c r="G892" s="6" t="n">
        <v>59000</v>
      </c>
      <c r="H892" s="6" t="b">
        <v>1</v>
      </c>
      <c r="I892" s="6" t="n">
        <v>200</v>
      </c>
      <c r="J892" s="6" t="n">
        <v>295</v>
      </c>
      <c r="K892" s="6" t="inlineStr">
        <is>
          <t>&gt; Cuidado Capilar &gt; Reparación Y Tratamiento &gt;</t>
        </is>
      </c>
      <c r="L892" s="6" t="inlineStr">
        <is>
          <t>tratamiento</t>
        </is>
      </c>
      <c r="M892" s="6" t="inlineStr">
        <is>
          <t>estandar</t>
        </is>
      </c>
      <c r="N892" s="6" t="inlineStr">
        <is>
          <t>general</t>
        </is>
      </c>
      <c r="O892" s="6" t="inlineStr">
        <is>
          <t>https://www.farmacity.com/crema-tratamiento-kerasys-hair-clinic-heat-active-x-200-ml/p</t>
        </is>
      </c>
    </row>
    <row r="893">
      <c r="A893" t="inlineStr">
        <is>
          <t>Farmacity</t>
        </is>
      </c>
      <c r="B893" t="n">
        <v>236810</v>
      </c>
      <c r="C893" t="n">
        <v>236810</v>
      </c>
      <c r="D893" t="inlineStr">
        <is>
          <t>Crema de Tratamiento Sedal Colágeno y Vitamina C x 300 g</t>
        </is>
      </c>
      <c r="E893" t="inlineStr">
        <is>
          <t>Sedal</t>
        </is>
      </c>
      <c r="F893" t="n">
        <v>5127</v>
      </c>
      <c r="G893" t="n">
        <v>6409</v>
      </c>
      <c r="H893" t="b">
        <v>1</v>
      </c>
      <c r="I893" t="n">
        <v>300</v>
      </c>
      <c r="J893" t="n">
        <v>17.09</v>
      </c>
      <c r="K893" t="inlineStr">
        <is>
          <t>&gt; Cuidado Capilar &gt; Reparación Y Tratamiento &gt;</t>
        </is>
      </c>
      <c r="L893" t="inlineStr">
        <is>
          <t>tratamiento</t>
        </is>
      </c>
      <c r="M893" t="inlineStr">
        <is>
          <t>estandar</t>
        </is>
      </c>
      <c r="N893" t="inlineStr">
        <is>
          <t>general</t>
        </is>
      </c>
      <c r="O893" t="inlineStr">
        <is>
          <t>https://www.farmacity.com/crema-de-tratamiento-sedal-colageno-y-vitamina-c-x-300-g/p</t>
        </is>
      </c>
    </row>
    <row r="894">
      <c r="A894" s="6" t="inlineStr">
        <is>
          <t>Farmacity</t>
        </is>
      </c>
      <c r="B894" s="6" t="n">
        <v>236811</v>
      </c>
      <c r="C894" s="6" t="n">
        <v>236811</v>
      </c>
      <c r="D894" s="6" t="inlineStr">
        <is>
          <t>Crema de Tratamiento Sedal Ácido Hialurónico y Vitamina A x 300 g</t>
        </is>
      </c>
      <c r="E894" s="6" t="inlineStr">
        <is>
          <t>Sedal</t>
        </is>
      </c>
      <c r="F894" s="6" t="n">
        <v>5127</v>
      </c>
      <c r="G894" s="6" t="n">
        <v>6409</v>
      </c>
      <c r="H894" s="6" t="b">
        <v>1</v>
      </c>
      <c r="I894" s="6" t="n">
        <v>300</v>
      </c>
      <c r="J894" s="6" t="n">
        <v>17.09</v>
      </c>
      <c r="K894" s="6" t="inlineStr">
        <is>
          <t>&gt; Cuidado Capilar &gt; Reparación Y Tratamiento &gt;</t>
        </is>
      </c>
      <c r="L894" s="6" t="inlineStr">
        <is>
          <t>tratamiento</t>
        </is>
      </c>
      <c r="M894" s="6" t="inlineStr">
        <is>
          <t>estandar</t>
        </is>
      </c>
      <c r="N894" s="6" t="inlineStr">
        <is>
          <t>general</t>
        </is>
      </c>
      <c r="O894" s="6" t="inlineStr">
        <is>
          <t>https://www.farmacity.com/crema-de-tratamiento-sedal-acido-hialuronico-y-vitamina-a-x-300-g/p</t>
        </is>
      </c>
    </row>
    <row r="895">
      <c r="A895" t="inlineStr">
        <is>
          <t>Farmacity</t>
        </is>
      </c>
      <c r="B895" t="n">
        <v>8576</v>
      </c>
      <c r="C895" t="n">
        <v>155200</v>
      </c>
      <c r="D895" t="inlineStr">
        <is>
          <t>Leche Capilar Argan Shock x 125 ml</t>
        </is>
      </c>
      <c r="E895" t="inlineStr">
        <is>
          <t>Iyosei</t>
        </is>
      </c>
      <c r="F895" t="n">
        <v>7836</v>
      </c>
      <c r="G895" t="n">
        <v>7836</v>
      </c>
      <c r="H895" t="b">
        <v>1</v>
      </c>
      <c r="I895" t="n">
        <v>125</v>
      </c>
      <c r="J895" t="n">
        <v>62.688</v>
      </c>
      <c r="K895" t="inlineStr">
        <is>
          <t>&gt; Cuidado Capilar &gt; Reparación Y Tratamiento &gt;</t>
        </is>
      </c>
      <c r="L895" t="inlineStr">
        <is>
          <t>shampoo</t>
        </is>
      </c>
      <c r="M895" t="inlineStr">
        <is>
          <t>estandar</t>
        </is>
      </c>
      <c r="N895" t="inlineStr">
        <is>
          <t>general</t>
        </is>
      </c>
      <c r="O895" t="inlineStr">
        <is>
          <t>https://www.farmacity.com/leche-capilar-argan-shock-x-125-ml/p</t>
        </is>
      </c>
    </row>
    <row r="896">
      <c r="A896" s="6" t="inlineStr">
        <is>
          <t>Farmacity</t>
        </is>
      </c>
      <c r="B896" s="6" t="n">
        <v>217255</v>
      </c>
      <c r="C896" s="6" t="n">
        <v>217255</v>
      </c>
      <c r="D896" s="6" t="inlineStr">
        <is>
          <t>Sérum Capilar Ogx Coconut Milk x 118 ml</t>
        </is>
      </c>
      <c r="E896" s="6" t="inlineStr">
        <is>
          <t>OGX</t>
        </is>
      </c>
      <c r="F896" s="6" t="n">
        <v>31640</v>
      </c>
      <c r="G896" s="6" t="n">
        <v>31640</v>
      </c>
      <c r="H896" s="6" t="b">
        <v>1</v>
      </c>
      <c r="I896" s="6" t="n">
        <v>118</v>
      </c>
      <c r="J896" s="6" t="n">
        <v>268.1356</v>
      </c>
      <c r="K896" s="6" t="inlineStr">
        <is>
          <t>&gt; Cuidado Capilar &gt; Reparación Y Tratamiento &gt;</t>
        </is>
      </c>
      <c r="L896" s="6" t="inlineStr">
        <is>
          <t>shampoo</t>
        </is>
      </c>
      <c r="M896" s="6" t="inlineStr">
        <is>
          <t>estandar</t>
        </is>
      </c>
      <c r="N896" s="6" t="inlineStr">
        <is>
          <t>general</t>
        </is>
      </c>
      <c r="O896" s="6" t="inlineStr">
        <is>
          <t>https://www.farmacity.com/serum-capilar-ogx-coconut-milk-x-118-ml/p</t>
        </is>
      </c>
    </row>
    <row r="897">
      <c r="A897" t="inlineStr">
        <is>
          <t>Farmacity</t>
        </is>
      </c>
      <c r="B897" t="n">
        <v>9890</v>
      </c>
      <c r="C897" t="n">
        <v>157175</v>
      </c>
      <c r="D897" t="inlineStr">
        <is>
          <t>Sachet de Mascarilla Capilar con Keratina x 15 Gr</t>
        </is>
      </c>
      <c r="E897" t="inlineStr">
        <is>
          <t>Capilatis</t>
        </is>
      </c>
      <c r="F897" t="n">
        <v>1800</v>
      </c>
      <c r="G897" t="n">
        <v>1800</v>
      </c>
      <c r="H897" t="b">
        <v>1</v>
      </c>
      <c r="I897" t="n">
        <v>15</v>
      </c>
      <c r="J897" t="n">
        <v>120</v>
      </c>
      <c r="K897" t="inlineStr">
        <is>
          <t>&gt; Cuidado Capilar &gt; Reparación Y Tratamiento &gt;</t>
        </is>
      </c>
      <c r="L897" t="inlineStr">
        <is>
          <t>tratamiento</t>
        </is>
      </c>
      <c r="M897" t="inlineStr">
        <is>
          <t>estandar</t>
        </is>
      </c>
      <c r="N897" t="inlineStr">
        <is>
          <t>tratado</t>
        </is>
      </c>
      <c r="O897" t="inlineStr">
        <is>
          <t>https://www.farmacity.com/sachet-de-mascarilla-capilar-con-keratina-x-15-gr/p</t>
        </is>
      </c>
    </row>
    <row r="898">
      <c r="A898" s="6" t="inlineStr">
        <is>
          <t>Farmacity</t>
        </is>
      </c>
      <c r="B898" s="6" t="n">
        <v>245147</v>
      </c>
      <c r="C898" s="6" t="n">
        <v>245147</v>
      </c>
      <c r="D898" s="6" t="inlineStr">
        <is>
          <t>Óleo Capilar Get The Look x 95 ml</t>
        </is>
      </c>
      <c r="E898" s="6" t="inlineStr">
        <is>
          <t>Get the Look</t>
        </is>
      </c>
      <c r="F898" s="6" t="n">
        <v>14400</v>
      </c>
      <c r="G898" s="6" t="n">
        <v>14400</v>
      </c>
      <c r="H898" s="6" t="b">
        <v>1</v>
      </c>
      <c r="I898" s="6" t="n">
        <v>95</v>
      </c>
      <c r="J898" s="6" t="n">
        <v>151.5789</v>
      </c>
      <c r="K898" s="6" t="inlineStr">
        <is>
          <t>&gt; Cuidado Capilar &gt; Reparación Y Tratamiento &gt;</t>
        </is>
      </c>
      <c r="L898" s="6" t="inlineStr">
        <is>
          <t>shampoo</t>
        </is>
      </c>
      <c r="M898" s="6" t="inlineStr">
        <is>
          <t>estandar</t>
        </is>
      </c>
      <c r="N898" s="6" t="inlineStr">
        <is>
          <t>general</t>
        </is>
      </c>
      <c r="O898" s="6" t="inlineStr">
        <is>
          <t>https://www.farmacity.com/oleo-capilar-get-the-look-x-95-ml/p</t>
        </is>
      </c>
    </row>
    <row r="899">
      <c r="A899" t="inlineStr">
        <is>
          <t>Farmacity</t>
        </is>
      </c>
      <c r="B899" t="n">
        <v>249575</v>
      </c>
      <c r="C899" t="n">
        <v>249575</v>
      </c>
      <c r="D899" t="inlineStr">
        <is>
          <t>Perfume Capilar Herbal Essences x 90 ml</t>
        </is>
      </c>
      <c r="E899" t="inlineStr">
        <is>
          <t>Herbal Essences</t>
        </is>
      </c>
      <c r="F899" t="n">
        <v>14609</v>
      </c>
      <c r="G899" t="n">
        <v>22475</v>
      </c>
      <c r="H899" t="b">
        <v>1</v>
      </c>
      <c r="I899" t="n">
        <v>90</v>
      </c>
      <c r="J899" t="n">
        <v>162.3222</v>
      </c>
      <c r="K899" t="inlineStr">
        <is>
          <t>&gt; Cuidado Capilar &gt; Reparación Y Tratamiento &gt;</t>
        </is>
      </c>
      <c r="L899" t="inlineStr">
        <is>
          <t>shampoo</t>
        </is>
      </c>
      <c r="M899" t="inlineStr">
        <is>
          <t>estandar</t>
        </is>
      </c>
      <c r="N899" t="inlineStr">
        <is>
          <t>general</t>
        </is>
      </c>
      <c r="O899" t="inlineStr">
        <is>
          <t>https://www.farmacity.com/perfume-capilar-herbal-essences-x-90-ml/p</t>
        </is>
      </c>
    </row>
    <row r="900">
      <c r="A900" s="6" t="inlineStr">
        <is>
          <t>Farmacity</t>
        </is>
      </c>
      <c r="B900" s="6" t="n">
        <v>236056</v>
      </c>
      <c r="C900" s="6" t="n">
        <v>236056</v>
      </c>
      <c r="D900" s="6" t="inlineStr">
        <is>
          <t>Máscara Capilar Biferdil Óleo de Argán x 150 ml</t>
        </is>
      </c>
      <c r="E900" s="6" t="inlineStr">
        <is>
          <t>Biferdil</t>
        </is>
      </c>
      <c r="F900" s="6" t="n">
        <v>14796</v>
      </c>
      <c r="G900" s="6" t="n">
        <v>14796</v>
      </c>
      <c r="H900" s="6" t="b">
        <v>1</v>
      </c>
      <c r="I900" s="6" t="n">
        <v>150</v>
      </c>
      <c r="J900" s="6" t="n">
        <v>98.64</v>
      </c>
      <c r="K900" s="6" t="inlineStr">
        <is>
          <t>&gt; Cuidado Capilar &gt; Reparación Y Tratamiento &gt;</t>
        </is>
      </c>
      <c r="L900" s="6" t="inlineStr">
        <is>
          <t>shampoo</t>
        </is>
      </c>
      <c r="M900" s="6" t="inlineStr">
        <is>
          <t>estandar</t>
        </is>
      </c>
      <c r="N900" s="6" t="inlineStr">
        <is>
          <t>general</t>
        </is>
      </c>
      <c r="O900" s="6" t="inlineStr">
        <is>
          <t>https://www.farmacity.com/mascara-capilar-biferdil-oleo-de-argan-x-150-ml/p</t>
        </is>
      </c>
    </row>
    <row r="901">
      <c r="A901" t="inlineStr">
        <is>
          <t>Farmacity</t>
        </is>
      </c>
      <c r="B901" t="n">
        <v>15259</v>
      </c>
      <c r="C901" t="n">
        <v>160431</v>
      </c>
      <c r="D901" t="inlineStr">
        <is>
          <t>Máscara Capilar Capilatis Ácido Hialurónico x 170 g</t>
        </is>
      </c>
      <c r="E901" t="inlineStr">
        <is>
          <t>Capilatis</t>
        </is>
      </c>
      <c r="F901" t="n">
        <v>9400</v>
      </c>
      <c r="G901" t="n">
        <v>9400</v>
      </c>
      <c r="H901" t="b">
        <v>1</v>
      </c>
      <c r="I901" t="n">
        <v>170</v>
      </c>
      <c r="J901" t="n">
        <v>55.2941</v>
      </c>
      <c r="K901" t="inlineStr">
        <is>
          <t>&gt; Cuidado Capilar &gt; Reparación Y Tratamiento &gt;</t>
        </is>
      </c>
      <c r="L901" t="inlineStr">
        <is>
          <t>shampoo</t>
        </is>
      </c>
      <c r="M901" t="inlineStr">
        <is>
          <t>estandar</t>
        </is>
      </c>
      <c r="N901" t="inlineStr">
        <is>
          <t>general</t>
        </is>
      </c>
      <c r="O901" t="inlineStr">
        <is>
          <t>https://www.farmacity.com/mascara-capilar-acido-hialuronico-x-170-gr/p</t>
        </is>
      </c>
    </row>
    <row r="902">
      <c r="A902" s="6" t="inlineStr">
        <is>
          <t>Farmacity</t>
        </is>
      </c>
      <c r="B902" s="6" t="n">
        <v>228547</v>
      </c>
      <c r="C902" s="6" t="n">
        <v>228547</v>
      </c>
      <c r="D902" s="6" t="inlineStr">
        <is>
          <t>Máscara Capilar Biferdil Nutri Cream x 150 ml</t>
        </is>
      </c>
      <c r="E902" s="6" t="inlineStr">
        <is>
          <t>Biferdil</t>
        </is>
      </c>
      <c r="F902" s="6" t="n">
        <v>10152</v>
      </c>
      <c r="G902" s="6" t="n">
        <v>10152</v>
      </c>
      <c r="H902" s="6" t="b">
        <v>1</v>
      </c>
      <c r="I902" s="6" t="n">
        <v>150</v>
      </c>
      <c r="J902" s="6" t="n">
        <v>67.68000000000001</v>
      </c>
      <c r="K902" s="6" t="inlineStr">
        <is>
          <t>&gt; Cuidado Capilar &gt; Reparación Y Tratamiento &gt;</t>
        </is>
      </c>
      <c r="L902" s="6" t="inlineStr">
        <is>
          <t>shampoo</t>
        </is>
      </c>
      <c r="M902" s="6" t="inlineStr">
        <is>
          <t>estandar</t>
        </is>
      </c>
      <c r="N902" s="6" t="inlineStr">
        <is>
          <t>general</t>
        </is>
      </c>
      <c r="O902" s="6" t="inlineStr">
        <is>
          <t>https://www.farmacity.com/mascara-capilar-biferdil-nutri-cream-x-150-ml/p</t>
        </is>
      </c>
    </row>
    <row r="903">
      <c r="A903" t="inlineStr">
        <is>
          <t>Farmacity</t>
        </is>
      </c>
      <c r="B903" t="n">
        <v>249892</v>
      </c>
      <c r="C903" t="n">
        <v>249892</v>
      </c>
      <c r="D903" t="inlineStr">
        <is>
          <t>Óleo Capilar Karseell  Essence x 50 ml Óleo Capilar Karseell Maca Essence x 50 ml</t>
        </is>
      </c>
      <c r="E903" t="inlineStr">
        <is>
          <t>Karseell</t>
        </is>
      </c>
      <c r="F903" t="n">
        <v>29000</v>
      </c>
      <c r="G903" t="n">
        <v>29000</v>
      </c>
      <c r="H903" t="b">
        <v>1</v>
      </c>
      <c r="I903" t="n">
        <v>50</v>
      </c>
      <c r="J903" t="n">
        <v>580</v>
      </c>
      <c r="K903" t="inlineStr">
        <is>
          <t>&gt; Cuidado Capilar &gt; Reparación Y Tratamiento &gt;</t>
        </is>
      </c>
      <c r="L903" t="inlineStr">
        <is>
          <t>shampoo</t>
        </is>
      </c>
      <c r="M903" t="inlineStr">
        <is>
          <t>estandar</t>
        </is>
      </c>
      <c r="N903" t="inlineStr">
        <is>
          <t>general</t>
        </is>
      </c>
      <c r="O903" t="inlineStr">
        <is>
          <t>https://www.farmacity.com/oleo-capilar-karseell-maca-essence-x-50-ml/p</t>
        </is>
      </c>
    </row>
    <row r="904">
      <c r="A904" s="6" t="inlineStr">
        <is>
          <t>Farmacity</t>
        </is>
      </c>
      <c r="B904" s="6" t="n">
        <v>243567</v>
      </c>
      <c r="C904" s="6" t="n">
        <v>243567</v>
      </c>
      <c r="D904" s="6" t="inlineStr">
        <is>
          <t>Mascarilla Capilar Sedal Luminous UV x 300 g</t>
        </is>
      </c>
      <c r="E904" s="6" t="inlineStr">
        <is>
          <t>Sedal</t>
        </is>
      </c>
      <c r="F904" s="6" t="n">
        <v>5127</v>
      </c>
      <c r="G904" s="6" t="n">
        <v>6409</v>
      </c>
      <c r="H904" s="6" t="b">
        <v>1</v>
      </c>
      <c r="I904" s="6" t="n">
        <v>300</v>
      </c>
      <c r="J904" s="6" t="n">
        <v>17.09</v>
      </c>
      <c r="K904" s="6" t="inlineStr">
        <is>
          <t>&gt; Cuidado Capilar &gt; Reparación Y Tratamiento &gt;</t>
        </is>
      </c>
      <c r="L904" s="6" t="inlineStr">
        <is>
          <t>tratamiento</t>
        </is>
      </c>
      <c r="M904" s="6" t="inlineStr">
        <is>
          <t>estandar</t>
        </is>
      </c>
      <c r="N904" s="6" t="inlineStr">
        <is>
          <t>general</t>
        </is>
      </c>
      <c r="O904" s="6" t="inlineStr">
        <is>
          <t>https://www.farmacity.com/mascarilla-capilar-sedal-luminous-uv-x-300-g/p</t>
        </is>
      </c>
    </row>
    <row r="905">
      <c r="A905" t="inlineStr">
        <is>
          <t>Farmacity</t>
        </is>
      </c>
      <c r="B905" t="n">
        <v>250308</v>
      </c>
      <c r="C905" t="n">
        <v>250308</v>
      </c>
      <c r="D905" t="inlineStr">
        <is>
          <t>Mascarilla Capilar Kerasys Propolis Shine x 180 ml</t>
        </is>
      </c>
      <c r="E905" t="inlineStr">
        <is>
          <t>Kerasys</t>
        </is>
      </c>
      <c r="F905" t="n">
        <v>39000</v>
      </c>
      <c r="G905" t="n">
        <v>39000</v>
      </c>
      <c r="H905" t="b">
        <v>1</v>
      </c>
      <c r="I905" t="n">
        <v>180</v>
      </c>
      <c r="J905" t="n">
        <v>216.6667</v>
      </c>
      <c r="K905" t="inlineStr">
        <is>
          <t>&gt; Cuidado Capilar &gt; Reparación Y Tratamiento &gt;</t>
        </is>
      </c>
      <c r="L905" t="inlineStr">
        <is>
          <t>tratamiento</t>
        </is>
      </c>
      <c r="M905" t="inlineStr">
        <is>
          <t>estandar</t>
        </is>
      </c>
      <c r="N905" t="inlineStr">
        <is>
          <t>general</t>
        </is>
      </c>
      <c r="O905" t="inlineStr">
        <is>
          <t>https://www.farmacity.com/mascarilla-capilar-kerasys-propolis-shine-x-180-ml/p</t>
        </is>
      </c>
    </row>
    <row r="906">
      <c r="A906" s="6" t="inlineStr">
        <is>
          <t>Farmacity</t>
        </is>
      </c>
      <c r="B906" s="6" t="n">
        <v>225544</v>
      </c>
      <c r="C906" s="6" t="n">
        <v>225544</v>
      </c>
      <c r="D906" s="6" t="inlineStr">
        <is>
          <t>Máscara Bagóvit Capilar Reparación Intensiva x 300 ml</t>
        </is>
      </c>
      <c r="E906" s="6" t="inlineStr">
        <is>
          <t>Bagóvit</t>
        </is>
      </c>
      <c r="F906" s="6" t="n">
        <v>8983</v>
      </c>
      <c r="G906" s="6" t="n">
        <v>8983</v>
      </c>
      <c r="H906" s="6" t="b">
        <v>1</v>
      </c>
      <c r="I906" s="6" t="n">
        <v>300</v>
      </c>
      <c r="J906" s="6" t="n">
        <v>29.9433</v>
      </c>
      <c r="K906" s="6" t="inlineStr">
        <is>
          <t>&gt; Cuidado Capilar &gt; Reparación Y Tratamiento &gt;</t>
        </is>
      </c>
      <c r="L906" s="6" t="inlineStr">
        <is>
          <t>shampoo</t>
        </is>
      </c>
      <c r="M906" s="6" t="inlineStr">
        <is>
          <t>estandar</t>
        </is>
      </c>
      <c r="N906" s="6" t="inlineStr">
        <is>
          <t>general</t>
        </is>
      </c>
      <c r="O906" s="6" t="inlineStr">
        <is>
          <t>https://www.farmacity.com/mascara-bagovit-capilar-r-reparacion-intensiva-x-300-ml/p</t>
        </is>
      </c>
    </row>
    <row r="907">
      <c r="A907" t="inlineStr">
        <is>
          <t>Farmacity</t>
        </is>
      </c>
      <c r="B907" t="n">
        <v>217100</v>
      </c>
      <c r="C907" t="n">
        <v>217100</v>
      </c>
      <c r="D907" t="inlineStr">
        <is>
          <t>Máscara Capilar Alfaparf Milano Diamond x 200 ml</t>
        </is>
      </c>
      <c r="E907" t="inlineStr">
        <is>
          <t>Alfaparf Milano</t>
        </is>
      </c>
      <c r="F907" t="n">
        <v>62477</v>
      </c>
      <c r="G907" t="n">
        <v>62477</v>
      </c>
      <c r="H907" t="b">
        <v>1</v>
      </c>
      <c r="I907" t="n">
        <v>200</v>
      </c>
      <c r="J907" t="n">
        <v>312.385</v>
      </c>
      <c r="K907" t="inlineStr">
        <is>
          <t>&gt; Cuidado Capilar &gt; Reparación Y Tratamiento &gt;</t>
        </is>
      </c>
      <c r="L907" t="inlineStr">
        <is>
          <t>shampoo</t>
        </is>
      </c>
      <c r="M907" t="inlineStr">
        <is>
          <t>estandar</t>
        </is>
      </c>
      <c r="N907" t="inlineStr">
        <is>
          <t>general</t>
        </is>
      </c>
      <c r="O907" t="inlineStr">
        <is>
          <t>https://www.farmacity.com/mascara-capilar-alfaparf-milano-semi-di-lino-diamond-illuminating-x-200-ml/p</t>
        </is>
      </c>
    </row>
    <row r="908">
      <c r="A908" s="6" t="inlineStr">
        <is>
          <t>Farmacity</t>
        </is>
      </c>
      <c r="B908" s="6" t="n">
        <v>234386</v>
      </c>
      <c r="C908" s="6" t="n">
        <v>234386</v>
      </c>
      <c r="D908" s="6" t="inlineStr">
        <is>
          <t>Mascarilla Capilar Elvive Hialurónico Pure x 300 g</t>
        </is>
      </c>
      <c r="E908" s="6" t="inlineStr">
        <is>
          <t>Elvive</t>
        </is>
      </c>
      <c r="F908" s="6" t="n">
        <v>11190</v>
      </c>
      <c r="G908" s="6" t="n">
        <v>11190</v>
      </c>
      <c r="H908" s="6" t="b">
        <v>1</v>
      </c>
      <c r="I908" s="6" t="n">
        <v>300</v>
      </c>
      <c r="J908" s="6" t="n">
        <v>37.3</v>
      </c>
      <c r="K908" s="6" t="inlineStr">
        <is>
          <t>&gt; Cuidado Capilar &gt; Reparación Y Tratamiento &gt;</t>
        </is>
      </c>
      <c r="L908" s="6" t="inlineStr">
        <is>
          <t>tratamiento</t>
        </is>
      </c>
      <c r="M908" s="6" t="inlineStr">
        <is>
          <t>profesional</t>
        </is>
      </c>
      <c r="N908" s="6" t="inlineStr">
        <is>
          <t>general</t>
        </is>
      </c>
      <c r="O908" s="6" t="inlineStr">
        <is>
          <t>https://www.farmacity.com/mascarilla-capilar-elvive-hialuronico-pure-x-300-g/p</t>
        </is>
      </c>
    </row>
    <row r="909">
      <c r="A909" t="inlineStr">
        <is>
          <t>Farmacity</t>
        </is>
      </c>
      <c r="B909" t="n">
        <v>228545</v>
      </c>
      <c r="C909" t="n">
        <v>228545</v>
      </c>
      <c r="D909" t="inlineStr">
        <is>
          <t>Máscara Capilar Biferdil Rosa Mosqueta Orgánica x 150 ml</t>
        </is>
      </c>
      <c r="E909" t="inlineStr">
        <is>
          <t>Biferdil</t>
        </is>
      </c>
      <c r="F909" t="n">
        <v>11988</v>
      </c>
      <c r="G909" t="n">
        <v>11988</v>
      </c>
      <c r="H909" t="b">
        <v>1</v>
      </c>
      <c r="I909" t="n">
        <v>150</v>
      </c>
      <c r="J909" t="n">
        <v>79.92</v>
      </c>
      <c r="K909" t="inlineStr">
        <is>
          <t>&gt; Cuidado Capilar &gt; Reparación Y Tratamiento &gt;</t>
        </is>
      </c>
      <c r="L909" t="inlineStr">
        <is>
          <t>shampoo</t>
        </is>
      </c>
      <c r="M909" t="inlineStr">
        <is>
          <t>estandar</t>
        </is>
      </c>
      <c r="N909" t="inlineStr">
        <is>
          <t>general</t>
        </is>
      </c>
      <c r="O909" t="inlineStr">
        <is>
          <t>https://www.farmacity.com/mascara-capilar-biferdil-rosa-mosqueta-organica-x-150-ml/p</t>
        </is>
      </c>
    </row>
    <row r="910">
      <c r="A910" s="6" t="inlineStr">
        <is>
          <t>Farmacity</t>
        </is>
      </c>
      <c r="B910" s="6" t="n">
        <v>243566</v>
      </c>
      <c r="C910" s="6" t="n">
        <v>243566</v>
      </c>
      <c r="D910" s="6" t="inlineStr">
        <is>
          <t>Sérum Capilar Sedal Luminous UV x 110 ml</t>
        </is>
      </c>
      <c r="E910" s="6" t="inlineStr">
        <is>
          <t>Sedal</t>
        </is>
      </c>
      <c r="F910" s="6" t="n">
        <v>8464</v>
      </c>
      <c r="G910" s="6" t="n">
        <v>10580</v>
      </c>
      <c r="H910" s="6" t="b">
        <v>1</v>
      </c>
      <c r="I910" s="6" t="n">
        <v>110</v>
      </c>
      <c r="J910" s="6" t="n">
        <v>76.9455</v>
      </c>
      <c r="K910" s="6" t="inlineStr">
        <is>
          <t>&gt; Cuidado Capilar &gt; Reparación Y Tratamiento &gt;</t>
        </is>
      </c>
      <c r="L910" s="6" t="inlineStr">
        <is>
          <t>shampoo</t>
        </is>
      </c>
      <c r="M910" s="6" t="inlineStr">
        <is>
          <t>estandar</t>
        </is>
      </c>
      <c r="N910" s="6" t="inlineStr">
        <is>
          <t>general</t>
        </is>
      </c>
      <c r="O910" s="6" t="inlineStr">
        <is>
          <t>https://www.farmacity.com/serum-capilar-sedal-luminous-uv-x-110-ml/p</t>
        </is>
      </c>
    </row>
    <row r="911">
      <c r="A911" t="inlineStr">
        <is>
          <t>Farmacity</t>
        </is>
      </c>
      <c r="B911" t="n">
        <v>249891</v>
      </c>
      <c r="C911" t="n">
        <v>249891</v>
      </c>
      <c r="D911" t="inlineStr">
        <is>
          <t>Mascarilla Capilar Karseell con Colágeno x 500 ml</t>
        </is>
      </c>
      <c r="E911" t="inlineStr">
        <is>
          <t>Karseell</t>
        </is>
      </c>
      <c r="F911" t="n">
        <v>33000</v>
      </c>
      <c r="G911" t="n">
        <v>33000</v>
      </c>
      <c r="H911" t="b">
        <v>1</v>
      </c>
      <c r="I911" t="n">
        <v>500</v>
      </c>
      <c r="J911" t="n">
        <v>66</v>
      </c>
      <c r="K911" t="inlineStr">
        <is>
          <t>&gt; Cuidado Capilar &gt; Reparación Y Tratamiento &gt;</t>
        </is>
      </c>
      <c r="L911" t="inlineStr">
        <is>
          <t>tratamiento</t>
        </is>
      </c>
      <c r="M911" t="inlineStr">
        <is>
          <t>estandar</t>
        </is>
      </c>
      <c r="N911" t="inlineStr">
        <is>
          <t>general</t>
        </is>
      </c>
      <c r="O911" t="inlineStr">
        <is>
          <t>https://www.farmacity.com/mascarilla-capilar-karseell-con-colageno-x-500-ml/p</t>
        </is>
      </c>
    </row>
    <row r="912">
      <c r="A912" s="6" t="inlineStr">
        <is>
          <t>Farmacity</t>
        </is>
      </c>
      <c r="B912" s="6" t="n">
        <v>244546</v>
      </c>
      <c r="C912" s="6" t="n">
        <v>244546</v>
      </c>
      <c r="D912" s="6" t="inlineStr">
        <is>
          <t>Tónico Capilar Pantene Anti Caída x 52 ml</t>
        </is>
      </c>
      <c r="E912" s="6" t="inlineStr">
        <is>
          <t>Pantene</t>
        </is>
      </c>
      <c r="F912" s="6" t="n">
        <v>25541</v>
      </c>
      <c r="G912" s="6" t="n">
        <v>25541</v>
      </c>
      <c r="H912" s="6" t="b">
        <v>1</v>
      </c>
      <c r="I912" s="6" t="n">
        <v>52</v>
      </c>
      <c r="J912" s="6" t="n">
        <v>491.1731</v>
      </c>
      <c r="K912" s="6" t="inlineStr">
        <is>
          <t>&gt; Cuidado Capilar &gt; Reparación Y Tratamiento &gt;</t>
        </is>
      </c>
      <c r="L912" s="6" t="inlineStr">
        <is>
          <t>shampoo</t>
        </is>
      </c>
      <c r="M912" s="6" t="inlineStr">
        <is>
          <t>estandar</t>
        </is>
      </c>
      <c r="N912" s="6" t="inlineStr">
        <is>
          <t>general</t>
        </is>
      </c>
      <c r="O912" s="6" t="inlineStr">
        <is>
          <t>https://www.farmacity.com/tonico-capilar-pantene-anti-caida-x-52-ml/p</t>
        </is>
      </c>
    </row>
    <row r="913">
      <c r="A913" t="inlineStr">
        <is>
          <t>Farmacity</t>
        </is>
      </c>
      <c r="B913" t="n">
        <v>243572</v>
      </c>
      <c r="C913" t="n">
        <v>243572</v>
      </c>
      <c r="D913" t="inlineStr">
        <is>
          <t>Mascarilla Capilar Capilatis Ácido Glicólico x 170 g</t>
        </is>
      </c>
      <c r="E913" t="inlineStr">
        <is>
          <t>Capilatis</t>
        </is>
      </c>
      <c r="F913" t="n">
        <v>9400</v>
      </c>
      <c r="G913" t="n">
        <v>9400</v>
      </c>
      <c r="H913" t="b">
        <v>1</v>
      </c>
      <c r="I913" t="n">
        <v>170</v>
      </c>
      <c r="J913" t="n">
        <v>55.2941</v>
      </c>
      <c r="K913" t="inlineStr">
        <is>
          <t>&gt; Cuidado Capilar &gt; Reparación Y Tratamiento &gt;</t>
        </is>
      </c>
      <c r="L913" t="inlineStr">
        <is>
          <t>tratamiento</t>
        </is>
      </c>
      <c r="M913" t="inlineStr">
        <is>
          <t>estandar</t>
        </is>
      </c>
      <c r="N913" t="inlineStr">
        <is>
          <t>general</t>
        </is>
      </c>
      <c r="O913" t="inlineStr">
        <is>
          <t>https://www.farmacity.com/mascarilla-capilar-capilatis-acido-glicolico-x-170-g/p</t>
        </is>
      </c>
    </row>
    <row r="914">
      <c r="A914" s="6" t="inlineStr">
        <is>
          <t>Farmacity</t>
        </is>
      </c>
      <c r="B914" s="6" t="n">
        <v>241572</v>
      </c>
      <c r="C914" s="6" t="n">
        <v>241572</v>
      </c>
      <c r="D914" s="6" t="inlineStr">
        <is>
          <t>Mascarilla Bagóvit Capilar Plasma Vegetal x 300 ml</t>
        </is>
      </c>
      <c r="E914" s="6" t="inlineStr">
        <is>
          <t>Bagóvit</t>
        </is>
      </c>
      <c r="F914" s="6" t="n">
        <v>10392</v>
      </c>
      <c r="G914" s="6" t="n">
        <v>10392</v>
      </c>
      <c r="H914" s="6" t="b">
        <v>1</v>
      </c>
      <c r="I914" s="6" t="n">
        <v>300</v>
      </c>
      <c r="J914" s="6" t="n">
        <v>34.64</v>
      </c>
      <c r="K914" s="6" t="inlineStr">
        <is>
          <t>&gt; Cuidado Capilar &gt; Reparación Y Tratamiento &gt;</t>
        </is>
      </c>
      <c r="L914" s="6" t="inlineStr">
        <is>
          <t>tratamiento</t>
        </is>
      </c>
      <c r="M914" s="6" t="inlineStr">
        <is>
          <t>estandar</t>
        </is>
      </c>
      <c r="N914" s="6" t="inlineStr">
        <is>
          <t>general</t>
        </is>
      </c>
      <c r="O914" s="6" t="inlineStr">
        <is>
          <t>https://www.farmacity.com/mascarilla-bagovit-capilar-plasma-vegetal-x-300-ml/p</t>
        </is>
      </c>
    </row>
    <row r="915">
      <c r="A915" t="inlineStr">
        <is>
          <t>Farmacity</t>
        </is>
      </c>
      <c r="B915" t="n">
        <v>250191</v>
      </c>
      <c r="C915" t="n">
        <v>250191</v>
      </c>
      <c r="D915" t="inlineStr">
        <is>
          <t>Óleo Capilar La Puissance Nutrition x 30 ml</t>
        </is>
      </c>
      <c r="E915" t="inlineStr">
        <is>
          <t>La Puissance</t>
        </is>
      </c>
      <c r="F915" t="n">
        <v>18000</v>
      </c>
      <c r="G915" t="n">
        <v>18000</v>
      </c>
      <c r="H915" t="b">
        <v>1</v>
      </c>
      <c r="I915" t="n">
        <v>30</v>
      </c>
      <c r="J915" t="n">
        <v>600</v>
      </c>
      <c r="K915" t="inlineStr">
        <is>
          <t>&gt; Cuidado Capilar &gt; Reparación Y Tratamiento &gt;</t>
        </is>
      </c>
      <c r="L915" t="inlineStr">
        <is>
          <t>shampoo</t>
        </is>
      </c>
      <c r="M915" t="inlineStr">
        <is>
          <t>estandar</t>
        </is>
      </c>
      <c r="N915" t="inlineStr">
        <is>
          <t>general</t>
        </is>
      </c>
      <c r="O915" t="inlineStr">
        <is>
          <t>https://www.farmacity.com/oleo-capilar-la-puissance-nutrition-x-30-ml/p</t>
        </is>
      </c>
    </row>
    <row r="916">
      <c r="A916" s="6" t="inlineStr">
        <is>
          <t>Farmacity</t>
        </is>
      </c>
      <c r="B916" s="6" t="n">
        <v>250190</v>
      </c>
      <c r="C916" s="6" t="n">
        <v>250190</v>
      </c>
      <c r="D916" s="6" t="inlineStr">
        <is>
          <t>Mascarilla Capilar La Puissance Nutrition x 250 ml</t>
        </is>
      </c>
      <c r="E916" s="6" t="inlineStr">
        <is>
          <t>La Puissance</t>
        </is>
      </c>
      <c r="F916" s="6" t="n">
        <v>17600</v>
      </c>
      <c r="G916" s="6" t="n">
        <v>17600</v>
      </c>
      <c r="H916" s="6" t="b">
        <v>1</v>
      </c>
      <c r="I916" s="6" t="n">
        <v>250</v>
      </c>
      <c r="J916" s="6" t="n">
        <v>70.40000000000001</v>
      </c>
      <c r="K916" s="6" t="inlineStr">
        <is>
          <t>&gt; Cuidado Capilar &gt; Reparación Y Tratamiento &gt;</t>
        </is>
      </c>
      <c r="L916" s="6" t="inlineStr">
        <is>
          <t>tratamiento</t>
        </is>
      </c>
      <c r="M916" s="6" t="inlineStr">
        <is>
          <t>estandar</t>
        </is>
      </c>
      <c r="N916" s="6" t="inlineStr">
        <is>
          <t>general</t>
        </is>
      </c>
      <c r="O916" s="6" t="inlineStr">
        <is>
          <t>https://www.farmacity.com/mascarilla-capilar-la-puissance-nutrition-x-250-ml/p</t>
        </is>
      </c>
    </row>
    <row r="917">
      <c r="A917" t="inlineStr">
        <is>
          <t>Farmacity</t>
        </is>
      </c>
      <c r="B917" t="n">
        <v>249155</v>
      </c>
      <c r="C917" t="n">
        <v>249155</v>
      </c>
      <c r="D917" t="inlineStr">
        <is>
          <t>Combo Get The Look Brillo y Fuerza Capilar</t>
        </is>
      </c>
      <c r="E917" t="inlineStr">
        <is>
          <t>Get the Look</t>
        </is>
      </c>
      <c r="F917" t="n">
        <v>20275</v>
      </c>
      <c r="G917" t="n">
        <v>40550</v>
      </c>
      <c r="H917" t="b">
        <v>1</v>
      </c>
      <c r="I917" t="inlineStr"/>
      <c r="J917" t="inlineStr"/>
      <c r="K917" t="inlineStr">
        <is>
          <t>&gt; Cuidado Capilar &gt; Reparación Y Tratamiento &gt;</t>
        </is>
      </c>
      <c r="L917" t="inlineStr">
        <is>
          <t>shampoo</t>
        </is>
      </c>
      <c r="M917" t="inlineStr">
        <is>
          <t>estandar</t>
        </is>
      </c>
      <c r="N917" t="inlineStr">
        <is>
          <t>general</t>
        </is>
      </c>
      <c r="O917" t="inlineStr">
        <is>
          <t>https://www.farmacity.com/combo-get-the-look-brillo-y-fuerza-capilar/p</t>
        </is>
      </c>
    </row>
    <row r="918">
      <c r="A918" s="6" t="inlineStr">
        <is>
          <t>Farmacity</t>
        </is>
      </c>
      <c r="B918" s="6" t="n">
        <v>212301</v>
      </c>
      <c r="C918" s="6" t="n">
        <v>212301</v>
      </c>
      <c r="D918" s="6" t="inlineStr">
        <is>
          <t>Ampolla Capilar Farmacity Nutrición Intensa x 10 ml</t>
        </is>
      </c>
      <c r="E918" s="6" t="inlineStr">
        <is>
          <t>Farmacity</t>
        </is>
      </c>
      <c r="F918" s="6" t="n">
        <v>3150</v>
      </c>
      <c r="G918" s="6" t="n">
        <v>3150</v>
      </c>
      <c r="H918" s="6" t="b">
        <v>1</v>
      </c>
      <c r="I918" s="6" t="n">
        <v>10</v>
      </c>
      <c r="J918" s="6" t="n">
        <v>315</v>
      </c>
      <c r="K918" s="6" t="inlineStr">
        <is>
          <t>&gt; Cuidado Capilar &gt; Reparación Y Tratamiento &gt;</t>
        </is>
      </c>
      <c r="L918" s="6" t="inlineStr">
        <is>
          <t>shampoo</t>
        </is>
      </c>
      <c r="M918" s="6" t="inlineStr">
        <is>
          <t>estandar</t>
        </is>
      </c>
      <c r="N918" s="6" t="inlineStr">
        <is>
          <t>general</t>
        </is>
      </c>
      <c r="O918" s="6" t="inlineStr">
        <is>
          <t>https://www.farmacity.com/ampolla-capilar-farmacity-nutricion-intensa-x-10-ml/p</t>
        </is>
      </c>
    </row>
    <row r="919">
      <c r="A919" t="inlineStr">
        <is>
          <t>Farmacity</t>
        </is>
      </c>
      <c r="B919" t="n">
        <v>212300</v>
      </c>
      <c r="C919" t="n">
        <v>212300</v>
      </c>
      <c r="D919" t="inlineStr">
        <is>
          <t>Ampolla Capilar Farmacity Reparación Profunda x 10 ml</t>
        </is>
      </c>
      <c r="E919" t="inlineStr">
        <is>
          <t>Farmacity</t>
        </is>
      </c>
      <c r="F919" t="n">
        <v>3150</v>
      </c>
      <c r="G919" t="n">
        <v>3150</v>
      </c>
      <c r="H919" t="b">
        <v>1</v>
      </c>
      <c r="I919" t="n">
        <v>10</v>
      </c>
      <c r="J919" t="n">
        <v>315</v>
      </c>
      <c r="K919" t="inlineStr">
        <is>
          <t>&gt; Cuidado Capilar &gt; Reparación Y Tratamiento &gt;</t>
        </is>
      </c>
      <c r="L919" t="inlineStr">
        <is>
          <t>shampoo</t>
        </is>
      </c>
      <c r="M919" t="inlineStr">
        <is>
          <t>estandar</t>
        </is>
      </c>
      <c r="N919" t="inlineStr">
        <is>
          <t>general</t>
        </is>
      </c>
      <c r="O919" t="inlineStr">
        <is>
          <t>https://www.farmacity.com/ampolla-capilar-farmacity-reparacion-profunda-x-10-ml/p</t>
        </is>
      </c>
    </row>
    <row r="920">
      <c r="A920" s="6" t="inlineStr">
        <is>
          <t>Farmacity</t>
        </is>
      </c>
      <c r="B920" s="6" t="n">
        <v>248878</v>
      </c>
      <c r="C920" s="6" t="n">
        <v>248878</v>
      </c>
      <c r="D920" s="6" t="inlineStr">
        <is>
          <t>Cera Capilar Iyosei con Filtro UV x 50 g</t>
        </is>
      </c>
      <c r="E920" s="6" t="inlineStr">
        <is>
          <t>Iyosei</t>
        </is>
      </c>
      <c r="F920" s="6" t="n">
        <v>9400</v>
      </c>
      <c r="G920" s="6" t="n">
        <v>9400</v>
      </c>
      <c r="H920" s="6" t="b">
        <v>1</v>
      </c>
      <c r="I920" s="6" t="n">
        <v>50</v>
      </c>
      <c r="J920" s="6" t="n">
        <v>188</v>
      </c>
      <c r="K920" s="6" t="inlineStr">
        <is>
          <t>&gt; Cuidado Capilar &gt; Reparación Y Tratamiento &gt;</t>
        </is>
      </c>
      <c r="L920" s="6" t="inlineStr">
        <is>
          <t>shampoo</t>
        </is>
      </c>
      <c r="M920" s="6" t="inlineStr">
        <is>
          <t>estandar</t>
        </is>
      </c>
      <c r="N920" s="6" t="inlineStr">
        <is>
          <t>general</t>
        </is>
      </c>
      <c r="O920" s="6" t="inlineStr">
        <is>
          <t>https://www.farmacity.com/cera-capilar-iyosei-con-filtro-uv-x-50-g/p</t>
        </is>
      </c>
    </row>
    <row r="921">
      <c r="A921" t="inlineStr">
        <is>
          <t>Farmacity</t>
        </is>
      </c>
      <c r="B921" t="n">
        <v>245148</v>
      </c>
      <c r="C921" t="n">
        <v>245148</v>
      </c>
      <c r="D921" t="inlineStr">
        <is>
          <t>Cera Capilar Get The Look x 75 g</t>
        </is>
      </c>
      <c r="E921" t="inlineStr">
        <is>
          <t>Get the Look</t>
        </is>
      </c>
      <c r="F921" t="n">
        <v>7623</v>
      </c>
      <c r="G921" t="n">
        <v>10890</v>
      </c>
      <c r="H921" t="b">
        <v>1</v>
      </c>
      <c r="I921" t="n">
        <v>75</v>
      </c>
      <c r="J921" t="n">
        <v>101.64</v>
      </c>
      <c r="K921" t="inlineStr">
        <is>
          <t>&gt; Cuidado Capilar &gt; Modelado Y Peinado &gt;</t>
        </is>
      </c>
      <c r="L921" t="inlineStr">
        <is>
          <t>shampoo</t>
        </is>
      </c>
      <c r="M921" t="inlineStr">
        <is>
          <t>estandar</t>
        </is>
      </c>
      <c r="N921" t="inlineStr">
        <is>
          <t>general</t>
        </is>
      </c>
      <c r="O921" t="inlineStr">
        <is>
          <t>https://www.farmacity.com/cera-capilar-get-the-look-x-75-g/p</t>
        </is>
      </c>
    </row>
    <row r="922">
      <c r="A922" s="6" t="inlineStr">
        <is>
          <t>Farmacity</t>
        </is>
      </c>
      <c r="B922" s="6" t="n">
        <v>250314</v>
      </c>
      <c r="C922" s="6" t="n">
        <v>250314</v>
      </c>
      <c r="D922" s="6" t="inlineStr">
        <is>
          <t>Sérum Capilar Kerasys Keramide Extrame Damage x 70 ml</t>
        </is>
      </c>
      <c r="E922" s="6" t="inlineStr">
        <is>
          <t>Kerasys</t>
        </is>
      </c>
      <c r="F922" s="6" t="n">
        <v>65000</v>
      </c>
      <c r="G922" s="6" t="n">
        <v>65000</v>
      </c>
      <c r="H922" s="6" t="b">
        <v>1</v>
      </c>
      <c r="I922" s="6" t="n">
        <v>70</v>
      </c>
      <c r="J922" s="6" t="n">
        <v>928.5714</v>
      </c>
      <c r="K922" s="6" t="inlineStr">
        <is>
          <t>&gt; Cuidado Capilar &gt; Reparación Y Tratamiento &gt;</t>
        </is>
      </c>
      <c r="L922" s="6" t="inlineStr">
        <is>
          <t>shampoo</t>
        </is>
      </c>
      <c r="M922" s="6" t="inlineStr">
        <is>
          <t>estandar</t>
        </is>
      </c>
      <c r="N922" s="6" t="inlineStr">
        <is>
          <t>general</t>
        </is>
      </c>
      <c r="O922" s="6" t="inlineStr">
        <is>
          <t>https://www.farmacity.com/serum-capilar-kerasys-keramide-extrame-damage-x-70-ml/p</t>
        </is>
      </c>
    </row>
    <row r="923">
      <c r="A923" t="inlineStr">
        <is>
          <t>Farmacity</t>
        </is>
      </c>
      <c r="B923" t="n">
        <v>219379</v>
      </c>
      <c r="C923" t="n">
        <v>219379</v>
      </c>
      <c r="D923" t="inlineStr">
        <is>
          <t>Máscara Capilar Alta Moda é Desamarillador Intense Blonde x 300 g</t>
        </is>
      </c>
      <c r="E923" t="inlineStr">
        <is>
          <t>Alta Moda</t>
        </is>
      </c>
      <c r="F923" t="n">
        <v>10783</v>
      </c>
      <c r="G923" t="n">
        <v>10783</v>
      </c>
      <c r="H923" t="b">
        <v>1</v>
      </c>
      <c r="I923" t="n">
        <v>300</v>
      </c>
      <c r="J923" t="n">
        <v>35.9433</v>
      </c>
      <c r="K923" t="inlineStr">
        <is>
          <t>&gt; Cuidado Capilar &gt; Reparación Y Tratamiento &gt;</t>
        </is>
      </c>
      <c r="L923" t="inlineStr">
        <is>
          <t>shampoo</t>
        </is>
      </c>
      <c r="M923" t="inlineStr">
        <is>
          <t>estandar</t>
        </is>
      </c>
      <c r="N923" t="inlineStr">
        <is>
          <t>general</t>
        </is>
      </c>
      <c r="O923" t="inlineStr">
        <is>
          <t>https://www.farmacity.com/mascara-alta-moda-e-desamarillador-x-300-g/p</t>
        </is>
      </c>
    </row>
    <row r="924">
      <c r="A924" s="6" t="inlineStr">
        <is>
          <t>Farmacity</t>
        </is>
      </c>
      <c r="B924" s="6" t="n">
        <v>241726</v>
      </c>
      <c r="C924" s="6" t="n">
        <v>241726</v>
      </c>
      <c r="D924" s="6" t="inlineStr">
        <is>
          <t>Kit Capilar Tresemmé Liso Efecto Botox + Hidratación + Protección</t>
        </is>
      </c>
      <c r="E924" s="6" t="inlineStr">
        <is>
          <t>Tresemmé</t>
        </is>
      </c>
      <c r="F924" s="6" t="n">
        <v>31192</v>
      </c>
      <c r="G924" s="6" t="n">
        <v>51986</v>
      </c>
      <c r="H924" s="6" t="b">
        <v>1</v>
      </c>
      <c r="I924" s="6" t="inlineStr"/>
      <c r="J924" s="6" t="inlineStr"/>
      <c r="K924" s="6" t="inlineStr">
        <is>
          <t>&gt; Cuidado Capilar &gt; Reparación Y Tratamiento &gt;</t>
        </is>
      </c>
      <c r="L924" s="6" t="inlineStr">
        <is>
          <t>tratamiento</t>
        </is>
      </c>
      <c r="M924" s="6" t="inlineStr">
        <is>
          <t>estandar</t>
        </is>
      </c>
      <c r="N924" s="6" t="inlineStr">
        <is>
          <t>seco_danado</t>
        </is>
      </c>
      <c r="O924" s="6" t="inlineStr">
        <is>
          <t>https://www.farmacity.com/combo-capilar-tresemme-liso-efecto-botox-hidratacion-proteccion/p</t>
        </is>
      </c>
    </row>
    <row r="925">
      <c r="A925" t="inlineStr">
        <is>
          <t>Farmacity</t>
        </is>
      </c>
      <c r="B925" t="n">
        <v>219378</v>
      </c>
      <c r="C925" t="n">
        <v>219378</v>
      </c>
      <c r="D925" t="inlineStr">
        <is>
          <t>Máscara Capilar Alta Moda é Argan Super Oils x 300 g</t>
        </is>
      </c>
      <c r="E925" t="inlineStr">
        <is>
          <t>Alta Moda</t>
        </is>
      </c>
      <c r="F925" t="n">
        <v>7273</v>
      </c>
      <c r="G925" t="n">
        <v>7273</v>
      </c>
      <c r="H925" t="b">
        <v>1</v>
      </c>
      <c r="I925" t="n">
        <v>300</v>
      </c>
      <c r="J925" t="n">
        <v>24.2433</v>
      </c>
      <c r="K925" t="inlineStr">
        <is>
          <t>&gt; Cuidado Capilar &gt; Reparación Y Tratamiento &gt;</t>
        </is>
      </c>
      <c r="L925" t="inlineStr">
        <is>
          <t>shampoo</t>
        </is>
      </c>
      <c r="M925" t="inlineStr">
        <is>
          <t>estandar</t>
        </is>
      </c>
      <c r="N925" t="inlineStr">
        <is>
          <t>general</t>
        </is>
      </c>
      <c r="O925" t="inlineStr">
        <is>
          <t>https://www.farmacity.com/mascara-alta-moda-e-argan-therapy-x-300-g/p</t>
        </is>
      </c>
    </row>
    <row r="926">
      <c r="A926" s="6" t="inlineStr">
        <is>
          <t>Farmacity</t>
        </is>
      </c>
      <c r="B926" s="6" t="n">
        <v>226015</v>
      </c>
      <c r="C926" s="6" t="n">
        <v>226015</v>
      </c>
      <c r="D926" s="6" t="inlineStr">
        <is>
          <t>Máscara Capilar Alta Moda é Repair &amp; Defense x 300 g</t>
        </is>
      </c>
      <c r="E926" s="6" t="inlineStr">
        <is>
          <t>Alta Moda</t>
        </is>
      </c>
      <c r="F926" s="6" t="n">
        <v>7273</v>
      </c>
      <c r="G926" s="6" t="n">
        <v>7273</v>
      </c>
      <c r="H926" s="6" t="b">
        <v>1</v>
      </c>
      <c r="I926" s="6" t="n">
        <v>300</v>
      </c>
      <c r="J926" s="6" t="n">
        <v>24.2433</v>
      </c>
      <c r="K926" s="6" t="inlineStr">
        <is>
          <t>&gt; Cuidado Capilar &gt; Reparación Y Tratamiento &gt;</t>
        </is>
      </c>
      <c r="L926" s="6" t="inlineStr">
        <is>
          <t>shampoo</t>
        </is>
      </c>
      <c r="M926" s="6" t="inlineStr">
        <is>
          <t>profesional</t>
        </is>
      </c>
      <c r="N926" s="6" t="inlineStr">
        <is>
          <t>general</t>
        </is>
      </c>
      <c r="O926" s="6" t="inlineStr">
        <is>
          <t>https://www.farmacity.com/mascara-capilar-alta-moda-e-repair-y-defense-x-300-g/p</t>
        </is>
      </c>
    </row>
    <row r="927">
      <c r="A927" t="inlineStr">
        <is>
          <t>Farmacity</t>
        </is>
      </c>
      <c r="B927" t="n">
        <v>245033</v>
      </c>
      <c r="C927" t="n">
        <v>245033</v>
      </c>
      <c r="D927" t="inlineStr">
        <is>
          <t>Sérum Capilar Get The Look Ácido Hialurónico x 30 ml</t>
        </is>
      </c>
      <c r="E927" t="inlineStr">
        <is>
          <t>Get the Look</t>
        </is>
      </c>
      <c r="F927" t="n">
        <v>8078</v>
      </c>
      <c r="G927" t="n">
        <v>11540</v>
      </c>
      <c r="H927" t="b">
        <v>1</v>
      </c>
      <c r="I927" t="n">
        <v>30</v>
      </c>
      <c r="J927" t="n">
        <v>269.2667</v>
      </c>
      <c r="K927" t="inlineStr">
        <is>
          <t>&gt; Cuidado Capilar &gt; Reparación Y Tratamiento &gt;</t>
        </is>
      </c>
      <c r="L927" t="inlineStr">
        <is>
          <t>shampoo</t>
        </is>
      </c>
      <c r="M927" t="inlineStr">
        <is>
          <t>estandar</t>
        </is>
      </c>
      <c r="N927" t="inlineStr">
        <is>
          <t>general</t>
        </is>
      </c>
      <c r="O927" t="inlineStr">
        <is>
          <t>https://www.farmacity.com/serum-capilar-get-the-look-acido-hialuronico-x-30-ml/p</t>
        </is>
      </c>
    </row>
    <row r="928">
      <c r="A928" s="6" t="inlineStr">
        <is>
          <t>Farmacity</t>
        </is>
      </c>
      <c r="B928" s="6" t="n">
        <v>228733</v>
      </c>
      <c r="C928" s="6" t="n">
        <v>228733</v>
      </c>
      <c r="D928" s="6" t="inlineStr">
        <is>
          <t>Ampolla Capilar Biferdil Caída del Cabello con Bioxidil x 10 ml</t>
        </is>
      </c>
      <c r="E928" s="6" t="inlineStr">
        <is>
          <t>Biferdil</t>
        </is>
      </c>
      <c r="F928" s="6" t="n">
        <v>8800</v>
      </c>
      <c r="G928" s="6" t="n">
        <v>8800</v>
      </c>
      <c r="H928" s="6" t="b">
        <v>1</v>
      </c>
      <c r="I928" s="6" t="n">
        <v>10</v>
      </c>
      <c r="J928" s="6" t="n">
        <v>880</v>
      </c>
      <c r="K928" s="6" t="inlineStr">
        <is>
          <t>&gt; Cuidado Capilar &gt; Reparación Y Tratamiento &gt;</t>
        </is>
      </c>
      <c r="L928" s="6" t="inlineStr">
        <is>
          <t>shampoo</t>
        </is>
      </c>
      <c r="M928" s="6" t="inlineStr">
        <is>
          <t>estandar</t>
        </is>
      </c>
      <c r="N928" s="6" t="inlineStr">
        <is>
          <t>general</t>
        </is>
      </c>
      <c r="O928" s="6" t="inlineStr">
        <is>
          <t>https://www.farmacity.com/ampolla-capilar-biferdil-caida-del-cabello-con-bioxidil-x-10-ml/p</t>
        </is>
      </c>
    </row>
    <row r="929">
      <c r="A929" t="inlineStr">
        <is>
          <t>Farmacity</t>
        </is>
      </c>
      <c r="B929" t="n">
        <v>245035</v>
      </c>
      <c r="C929" t="n">
        <v>245035</v>
      </c>
      <c r="D929" t="inlineStr">
        <is>
          <t>Desenredante Capilar Get The Look Hidratación y Suavidad x 125 ml</t>
        </is>
      </c>
      <c r="E929" t="inlineStr">
        <is>
          <t>Get the Look</t>
        </is>
      </c>
      <c r="F929" t="n">
        <v>5599</v>
      </c>
      <c r="G929" t="n">
        <v>7999</v>
      </c>
      <c r="H929" t="b">
        <v>1</v>
      </c>
      <c r="I929" t="n">
        <v>125</v>
      </c>
      <c r="J929" t="n">
        <v>44.792</v>
      </c>
      <c r="K929" t="inlineStr">
        <is>
          <t>&gt; Cuidado Capilar &gt; Reparación Y Tratamiento &gt;</t>
        </is>
      </c>
      <c r="L929" t="inlineStr">
        <is>
          <t>shampoo</t>
        </is>
      </c>
      <c r="M929" t="inlineStr">
        <is>
          <t>estandar</t>
        </is>
      </c>
      <c r="N929" t="inlineStr">
        <is>
          <t>seco_danado</t>
        </is>
      </c>
      <c r="O929" t="inlineStr">
        <is>
          <t>https://www.farmacity.com/desenredante-capilar-get-the-look-hidratacion-y-suavidad-x-125-ml/p</t>
        </is>
      </c>
    </row>
    <row r="930">
      <c r="A930" s="6" t="inlineStr">
        <is>
          <t>Farmacity</t>
        </is>
      </c>
      <c r="B930" s="6" t="n">
        <v>245034</v>
      </c>
      <c r="C930" s="6" t="n">
        <v>245034</v>
      </c>
      <c r="D930" s="6" t="inlineStr">
        <is>
          <t>Óleo Capilar Get The Look Argán y Palta x 50 ml</t>
        </is>
      </c>
      <c r="E930" s="6" t="inlineStr">
        <is>
          <t>Get the Look</t>
        </is>
      </c>
      <c r="F930" s="6" t="n">
        <v>5495</v>
      </c>
      <c r="G930" s="6" t="n">
        <v>10990</v>
      </c>
      <c r="H930" s="6" t="b">
        <v>1</v>
      </c>
      <c r="I930" s="6" t="n">
        <v>50</v>
      </c>
      <c r="J930" s="6" t="n">
        <v>109.9</v>
      </c>
      <c r="K930" s="6" t="inlineStr">
        <is>
          <t>&gt; Cuidado Capilar &gt; Reparación Y Tratamiento &gt;</t>
        </is>
      </c>
      <c r="L930" s="6" t="inlineStr">
        <is>
          <t>shampoo</t>
        </is>
      </c>
      <c r="M930" s="6" t="inlineStr">
        <is>
          <t>estandar</t>
        </is>
      </c>
      <c r="N930" s="6" t="inlineStr">
        <is>
          <t>general</t>
        </is>
      </c>
      <c r="O930" s="6" t="inlineStr">
        <is>
          <t>https://www.farmacity.com/oleo-capilar-get-the-look-argan-y-palta-x-50-ml/p</t>
        </is>
      </c>
    </row>
    <row r="931">
      <c r="A931" t="inlineStr">
        <is>
          <t>Farmacity</t>
        </is>
      </c>
      <c r="B931" t="n">
        <v>247380</v>
      </c>
      <c r="C931" t="n">
        <v>247380</v>
      </c>
      <c r="D931" t="inlineStr">
        <is>
          <t>Sellador Capilar Get The Look Antifrizz en Spray x 210 ml</t>
        </is>
      </c>
      <c r="E931" t="inlineStr">
        <is>
          <t>Get the Look</t>
        </is>
      </c>
      <c r="F931" t="n">
        <v>5395</v>
      </c>
      <c r="G931" t="n">
        <v>10790</v>
      </c>
      <c r="H931" t="b">
        <v>1</v>
      </c>
      <c r="I931" t="n">
        <v>210</v>
      </c>
      <c r="J931" t="n">
        <v>25.6905</v>
      </c>
      <c r="K931" t="inlineStr">
        <is>
          <t>&gt; Cuidado Capilar &gt; Reparación Y Tratamiento &gt;</t>
        </is>
      </c>
      <c r="L931" t="inlineStr">
        <is>
          <t>shampoo</t>
        </is>
      </c>
      <c r="M931" t="inlineStr">
        <is>
          <t>estandar</t>
        </is>
      </c>
      <c r="N931" t="inlineStr">
        <is>
          <t>general</t>
        </is>
      </c>
      <c r="O931" t="inlineStr">
        <is>
          <t>https://www.farmacity.com/spray-sellador-antifrizz-get-the-look-x-210-ml/p</t>
        </is>
      </c>
    </row>
    <row r="932">
      <c r="A932" s="6" t="inlineStr">
        <is>
          <t>Farmacity</t>
        </is>
      </c>
      <c r="B932" s="6" t="n">
        <v>250198</v>
      </c>
      <c r="C932" s="6" t="n">
        <v>250198</v>
      </c>
      <c r="D932" s="6" t="inlineStr">
        <is>
          <t>Sérum Capilar La Puissance Extra Cell Plex Paso 6 x 55 ml</t>
        </is>
      </c>
      <c r="E932" s="6" t="inlineStr">
        <is>
          <t>La Puissance</t>
        </is>
      </c>
      <c r="F932" s="6" t="n">
        <v>33900</v>
      </c>
      <c r="G932" s="6" t="n">
        <v>33900</v>
      </c>
      <c r="H932" s="6" t="b">
        <v>1</v>
      </c>
      <c r="I932" s="6" t="n">
        <v>55</v>
      </c>
      <c r="J932" s="6" t="n">
        <v>616.3636</v>
      </c>
      <c r="K932" s="6" t="inlineStr">
        <is>
          <t>&gt; Cuidado Capilar &gt; Reparación Y Tratamiento &gt;</t>
        </is>
      </c>
      <c r="L932" s="6" t="inlineStr">
        <is>
          <t>shampoo</t>
        </is>
      </c>
      <c r="M932" s="6" t="inlineStr">
        <is>
          <t>estandar</t>
        </is>
      </c>
      <c r="N932" s="6" t="inlineStr">
        <is>
          <t>general</t>
        </is>
      </c>
      <c r="O932" s="6" t="inlineStr">
        <is>
          <t>https://www.farmacity.com/serum-capilar-la-puissance-extra-cell-plex-paso-6-x-55-ml/p</t>
        </is>
      </c>
    </row>
    <row r="933">
      <c r="A933" t="inlineStr">
        <is>
          <t>Farmacity</t>
        </is>
      </c>
      <c r="B933" t="n">
        <v>250196</v>
      </c>
      <c r="C933" t="n">
        <v>250196</v>
      </c>
      <c r="D933" t="inlineStr">
        <is>
          <t>Mascarilla Capilar La Puissance Extra Cell Plex Paso 3 x 250 ml</t>
        </is>
      </c>
      <c r="E933" t="inlineStr">
        <is>
          <t>La Puissance</t>
        </is>
      </c>
      <c r="F933" t="n">
        <v>42600</v>
      </c>
      <c r="G933" t="n">
        <v>42600</v>
      </c>
      <c r="H933" t="b">
        <v>1</v>
      </c>
      <c r="I933" t="n">
        <v>250</v>
      </c>
      <c r="J933" t="n">
        <v>170.4</v>
      </c>
      <c r="K933" t="inlineStr">
        <is>
          <t>&gt; Cuidado Capilar &gt; Reparación Y Tratamiento &gt;</t>
        </is>
      </c>
      <c r="L933" t="inlineStr">
        <is>
          <t>tratamiento</t>
        </is>
      </c>
      <c r="M933" t="inlineStr">
        <is>
          <t>estandar</t>
        </is>
      </c>
      <c r="N933" t="inlineStr">
        <is>
          <t>general</t>
        </is>
      </c>
      <c r="O933" t="inlineStr">
        <is>
          <t>https://www.farmacity.com/mascarilla-capilar-la-puissance-extra-cell-plex-paso-3-x-250-ml/p</t>
        </is>
      </c>
    </row>
    <row r="934">
      <c r="A934" s="6" t="inlineStr">
        <is>
          <t>Farmacity</t>
        </is>
      </c>
      <c r="B934" s="6" t="n">
        <v>246481</v>
      </c>
      <c r="C934" s="6" t="n">
        <v>246481</v>
      </c>
      <c r="D934" s="6" t="inlineStr">
        <is>
          <t>Shampoo Dove Uv Repair &amp; Glow x 200 ml</t>
        </is>
      </c>
      <c r="E934" s="6" t="inlineStr">
        <is>
          <t>Dove</t>
        </is>
      </c>
      <c r="F934" s="6" t="n">
        <v>6418</v>
      </c>
      <c r="G934" s="6" t="n">
        <v>6418</v>
      </c>
      <c r="H934" s="6" t="b">
        <v>1</v>
      </c>
      <c r="I934" s="6" t="n">
        <v>200</v>
      </c>
      <c r="J934" s="6" t="n">
        <v>32.09</v>
      </c>
      <c r="K934" s="6" t="inlineStr">
        <is>
          <t>&gt; Cuidado Capilar &gt; Shampoo Y Acondicionador &gt;</t>
        </is>
      </c>
      <c r="L934" s="6" t="inlineStr">
        <is>
          <t>shampoo</t>
        </is>
      </c>
      <c r="M934" s="6" t="inlineStr">
        <is>
          <t>profesional</t>
        </is>
      </c>
      <c r="N934" s="6" t="inlineStr">
        <is>
          <t>general</t>
        </is>
      </c>
      <c r="O934" s="6" t="inlineStr">
        <is>
          <t>https://www.farmacity.com/shampoo-dove-uv-repair-x-200-ml/p</t>
        </is>
      </c>
    </row>
    <row r="935">
      <c r="A935" t="inlineStr">
        <is>
          <t>Farmacity</t>
        </is>
      </c>
      <c r="B935" t="n">
        <v>215075</v>
      </c>
      <c r="C935" t="n">
        <v>215075</v>
      </c>
      <c r="D935" t="inlineStr">
        <is>
          <t>Shampoo Dove Regeneración + Retinol x 200 ml</t>
        </is>
      </c>
      <c r="E935" t="inlineStr">
        <is>
          <t>Dove</t>
        </is>
      </c>
      <c r="F935" t="n">
        <v>5788</v>
      </c>
      <c r="G935" t="n">
        <v>5788</v>
      </c>
      <c r="H935" t="b">
        <v>1</v>
      </c>
      <c r="I935" t="n">
        <v>200</v>
      </c>
      <c r="J935" t="n">
        <v>28.94</v>
      </c>
      <c r="K935" t="inlineStr">
        <is>
          <t>&gt; Cuidado Capilar &gt; Shampoo Y Acondicionador &gt;</t>
        </is>
      </c>
      <c r="L935" t="inlineStr">
        <is>
          <t>shampoo</t>
        </is>
      </c>
      <c r="M935" t="inlineStr">
        <is>
          <t>estandar</t>
        </is>
      </c>
      <c r="N935" t="inlineStr">
        <is>
          <t>general</t>
        </is>
      </c>
      <c r="O935" t="inlineStr">
        <is>
          <t>https://www.farmacity.com/shampoo-dove-regeneracion-extrema-x-200-ml/p</t>
        </is>
      </c>
    </row>
    <row r="936">
      <c r="A936" s="6" t="inlineStr">
        <is>
          <t>Farmacity</t>
        </is>
      </c>
      <c r="B936" s="6" t="n">
        <v>230610</v>
      </c>
      <c r="C936" s="6" t="n">
        <v>230610</v>
      </c>
      <c r="D936" s="6" t="inlineStr">
        <is>
          <t>Shampoo Tresemmé Liso Efecto Botox x 250 ml</t>
        </is>
      </c>
      <c r="E936" s="6" t="inlineStr">
        <is>
          <t>Tresemmé</t>
        </is>
      </c>
      <c r="F936" s="6" t="n">
        <v>6091</v>
      </c>
      <c r="G936" s="6" t="n">
        <v>6091</v>
      </c>
      <c r="H936" s="6" t="b">
        <v>1</v>
      </c>
      <c r="I936" s="6" t="n">
        <v>250</v>
      </c>
      <c r="J936" s="6" t="n">
        <v>24.364</v>
      </c>
      <c r="K936" s="6" t="inlineStr">
        <is>
          <t>&gt; Cuidado Capilar &gt; Shampoo Y Acondicionador &gt;</t>
        </is>
      </c>
      <c r="L936" s="6" t="inlineStr">
        <is>
          <t>shampoo</t>
        </is>
      </c>
      <c r="M936" s="6" t="inlineStr">
        <is>
          <t>estandar</t>
        </is>
      </c>
      <c r="N936" s="6" t="inlineStr">
        <is>
          <t>general</t>
        </is>
      </c>
      <c r="O936" s="6" t="inlineStr">
        <is>
          <t>https://www.farmacity.com/shampoo-tresemme-liso-efecto-botox-x-250-ml/p</t>
        </is>
      </c>
    </row>
    <row r="937">
      <c r="A937" t="inlineStr">
        <is>
          <t>Farmacity</t>
        </is>
      </c>
      <c r="B937" t="n">
        <v>247379</v>
      </c>
      <c r="C937" t="n">
        <v>247379</v>
      </c>
      <c r="D937" t="inlineStr">
        <is>
          <t>Serum Capilar de Brillo Get The Look con Acido Glicolico y Filtro UV x 95 ml</t>
        </is>
      </c>
      <c r="E937" t="inlineStr">
        <is>
          <t>Get the Look</t>
        </is>
      </c>
      <c r="F937" t="n">
        <v>7200</v>
      </c>
      <c r="G937" t="n">
        <v>14400</v>
      </c>
      <c r="H937" t="b">
        <v>1</v>
      </c>
      <c r="I937" t="n">
        <v>95</v>
      </c>
      <c r="J937" t="n">
        <v>75.7895</v>
      </c>
      <c r="K937" t="inlineStr">
        <is>
          <t>&gt; Cuidado Capilar &gt; Reparación Y Tratamiento &gt;</t>
        </is>
      </c>
      <c r="L937" t="inlineStr">
        <is>
          <t>shampoo</t>
        </is>
      </c>
      <c r="M937" t="inlineStr">
        <is>
          <t>estandar</t>
        </is>
      </c>
      <c r="N937" t="inlineStr">
        <is>
          <t>general</t>
        </is>
      </c>
      <c r="O937" t="inlineStr">
        <is>
          <t>https://www.farmacity.com/serum-de-brillo-get-the-look-con-acido-glicolico-y-filtro-uv-x-95-ml/p</t>
        </is>
      </c>
    </row>
    <row r="938">
      <c r="A938" s="6" t="inlineStr">
        <is>
          <t>Farmacity</t>
        </is>
      </c>
      <c r="B938" s="6" t="n">
        <v>237879</v>
      </c>
      <c r="C938" s="6" t="n">
        <v>237879</v>
      </c>
      <c r="D938" s="6" t="inlineStr">
        <is>
          <t>Shampoo Capilatis Ortiga Concentrado Graso x 420 ml</t>
        </is>
      </c>
      <c r="E938" s="6" t="inlineStr">
        <is>
          <t>Capilatis</t>
        </is>
      </c>
      <c r="F938" s="6" t="n">
        <v>7575</v>
      </c>
      <c r="G938" s="6" t="n">
        <v>10100</v>
      </c>
      <c r="H938" s="6" t="b">
        <v>1</v>
      </c>
      <c r="I938" s="6" t="n">
        <v>420</v>
      </c>
      <c r="J938" s="6" t="n">
        <v>18.0357</v>
      </c>
      <c r="K938" s="6" t="inlineStr">
        <is>
          <t>&gt; Cuidado Capilar &gt; Shampoo Y Acondicionador &gt;</t>
        </is>
      </c>
      <c r="L938" s="6" t="inlineStr">
        <is>
          <t>shampoo</t>
        </is>
      </c>
      <c r="M938" s="6" t="inlineStr">
        <is>
          <t>estandar</t>
        </is>
      </c>
      <c r="N938" s="6" t="inlineStr">
        <is>
          <t>graso</t>
        </is>
      </c>
      <c r="O938" s="6" t="inlineStr">
        <is>
          <t>https://www.farmacity.com/shampoo-capilatis-ortiga-concentrado-graso-x-420-ml/p</t>
        </is>
      </c>
    </row>
    <row r="939">
      <c r="A939" t="inlineStr">
        <is>
          <t>Farmacity</t>
        </is>
      </c>
      <c r="B939" t="n">
        <v>237881</v>
      </c>
      <c r="C939" t="n">
        <v>237881</v>
      </c>
      <c r="D939" t="inlineStr">
        <is>
          <t>Shampoo Capilatis Ortiga Concentrado Caspa x 420 ml</t>
        </is>
      </c>
      <c r="E939" t="inlineStr">
        <is>
          <t>Capilatis</t>
        </is>
      </c>
      <c r="F939" t="n">
        <v>10800</v>
      </c>
      <c r="G939" t="n">
        <v>10800</v>
      </c>
      <c r="H939" t="b">
        <v>1</v>
      </c>
      <c r="I939" t="n">
        <v>420</v>
      </c>
      <c r="J939" t="n">
        <v>25.7143</v>
      </c>
      <c r="K939" t="inlineStr">
        <is>
          <t>&gt; Cuidado Capilar &gt; Shampoo Y Acondicionador &gt;</t>
        </is>
      </c>
      <c r="L939" t="inlineStr">
        <is>
          <t>shampoo</t>
        </is>
      </c>
      <c r="M939" t="inlineStr">
        <is>
          <t>estandar</t>
        </is>
      </c>
      <c r="N939" t="inlineStr">
        <is>
          <t>anticaspa</t>
        </is>
      </c>
      <c r="O939" t="inlineStr">
        <is>
          <t>https://www.farmacity.com/shampoo-capilatis-ortiga-concentrado-caspa-x-420-ml/p</t>
        </is>
      </c>
    </row>
    <row r="940">
      <c r="A940" s="6" t="inlineStr">
        <is>
          <t>Farmacity</t>
        </is>
      </c>
      <c r="B940" s="6" t="n">
        <v>241008</v>
      </c>
      <c r="C940" s="6" t="n">
        <v>241008</v>
      </c>
      <c r="D940" s="6" t="inlineStr">
        <is>
          <t>Shampoo Dove Bond Repair + Péptido x 400 ml</t>
        </is>
      </c>
      <c r="E940" s="6" t="inlineStr">
        <is>
          <t>Dove</t>
        </is>
      </c>
      <c r="F940" s="6" t="n">
        <v>6453</v>
      </c>
      <c r="G940" s="6" t="n">
        <v>10755</v>
      </c>
      <c r="H940" s="6" t="b">
        <v>1</v>
      </c>
      <c r="I940" s="6" t="n">
        <v>400</v>
      </c>
      <c r="J940" s="6" t="n">
        <v>16.1325</v>
      </c>
      <c r="K940" s="6" t="inlineStr">
        <is>
          <t>&gt; Cuidado Capilar &gt; Shampoo Y Acondicionador &gt;</t>
        </is>
      </c>
      <c r="L940" s="6" t="inlineStr">
        <is>
          <t>shampoo</t>
        </is>
      </c>
      <c r="M940" s="6" t="inlineStr">
        <is>
          <t>profesional</t>
        </is>
      </c>
      <c r="N940" s="6" t="inlineStr">
        <is>
          <t>general</t>
        </is>
      </c>
      <c r="O940" s="6" t="inlineStr">
        <is>
          <t>https://www.farmacity.com/shampo-dove-bond-intense-repair-x-400-ml/p</t>
        </is>
      </c>
    </row>
    <row r="941">
      <c r="A941" t="inlineStr">
        <is>
          <t>Farmacity</t>
        </is>
      </c>
      <c r="B941" t="n">
        <v>215076</v>
      </c>
      <c r="C941" t="n">
        <v>215076</v>
      </c>
      <c r="D941" t="inlineStr">
        <is>
          <t>Shampoo Dove Regeneración + Retinol x 400 ml</t>
        </is>
      </c>
      <c r="E941" t="inlineStr">
        <is>
          <t>Dove</t>
        </is>
      </c>
      <c r="F941" t="n">
        <v>5812</v>
      </c>
      <c r="G941" t="n">
        <v>9687</v>
      </c>
      <c r="H941" t="b">
        <v>1</v>
      </c>
      <c r="I941" t="n">
        <v>400</v>
      </c>
      <c r="J941" t="n">
        <v>14.53</v>
      </c>
      <c r="K941" t="inlineStr">
        <is>
          <t>&gt; Cuidado Capilar &gt; Shampoo Y Acondicionador &gt;</t>
        </is>
      </c>
      <c r="L941" t="inlineStr">
        <is>
          <t>shampoo</t>
        </is>
      </c>
      <c r="M941" t="inlineStr">
        <is>
          <t>estandar</t>
        </is>
      </c>
      <c r="N941" t="inlineStr">
        <is>
          <t>general</t>
        </is>
      </c>
      <c r="O941" t="inlineStr">
        <is>
          <t>https://www.farmacity.com/shampoo-dove-regeneracion-extrema-x-400-ml/p</t>
        </is>
      </c>
    </row>
    <row r="942">
      <c r="A942" s="6" t="inlineStr">
        <is>
          <t>Farmacity</t>
        </is>
      </c>
      <c r="B942" s="6" t="n">
        <v>953</v>
      </c>
      <c r="C942" s="6" t="n">
        <v>128825</v>
      </c>
      <c r="D942" s="6" t="inlineStr">
        <is>
          <t>Shampoo Dove Reconstrucción + Aminoácido x 200 ml</t>
        </is>
      </c>
      <c r="E942" s="6" t="inlineStr">
        <is>
          <t>Dove</t>
        </is>
      </c>
      <c r="F942" s="6" t="n">
        <v>5788</v>
      </c>
      <c r="G942" s="6" t="n">
        <v>5788</v>
      </c>
      <c r="H942" s="6" t="b">
        <v>1</v>
      </c>
      <c r="I942" s="6" t="n">
        <v>200</v>
      </c>
      <c r="J942" s="6" t="n">
        <v>28.94</v>
      </c>
      <c r="K942" s="6" t="inlineStr">
        <is>
          <t>&gt; Cuidado Capilar &gt; Shampoo Y Acondicionador &gt;</t>
        </is>
      </c>
      <c r="L942" s="6" t="inlineStr">
        <is>
          <t>shampoo</t>
        </is>
      </c>
      <c r="M942" s="6" t="inlineStr">
        <is>
          <t>estandar</t>
        </is>
      </c>
      <c r="N942" s="6" t="inlineStr">
        <is>
          <t>general</t>
        </is>
      </c>
      <c r="O942" s="6" t="inlineStr">
        <is>
          <t>https://www.farmacity.com/shampoo-dove-reconstruccion-completa-botella-x-200-ml/p</t>
        </is>
      </c>
    </row>
    <row r="943">
      <c r="A943" t="inlineStr">
        <is>
          <t>Farmacity</t>
        </is>
      </c>
      <c r="B943" t="n">
        <v>224347</v>
      </c>
      <c r="C943" t="n">
        <v>224347</v>
      </c>
      <c r="D943" t="inlineStr">
        <is>
          <t>Mascarilla Fructis Hair Food Sandia x 350 ml</t>
        </is>
      </c>
      <c r="E943" t="inlineStr">
        <is>
          <t>Fructis</t>
        </is>
      </c>
      <c r="F943" t="n">
        <v>13990</v>
      </c>
      <c r="G943" t="n">
        <v>13990</v>
      </c>
      <c r="H943" t="b">
        <v>1</v>
      </c>
      <c r="I943" t="n">
        <v>350</v>
      </c>
      <c r="J943" t="n">
        <v>39.9714</v>
      </c>
      <c r="K943" t="inlineStr">
        <is>
          <t>&gt; Cuidado Capilar &gt; Reparación Y Tratamiento &gt;</t>
        </is>
      </c>
      <c r="L943" t="inlineStr">
        <is>
          <t>tratamiento</t>
        </is>
      </c>
      <c r="M943" t="inlineStr">
        <is>
          <t>estandar</t>
        </is>
      </c>
      <c r="N943" t="inlineStr">
        <is>
          <t>general</t>
        </is>
      </c>
      <c r="O943" t="inlineStr">
        <is>
          <t>https://www.farmacity.com/tratamiento-capilar-garnier-fructis-hair-food-sandia-revitalizante-x-300-ml/p</t>
        </is>
      </c>
    </row>
    <row r="944">
      <c r="A944" s="6" t="inlineStr">
        <is>
          <t>Farmacity</t>
        </is>
      </c>
      <c r="B944" s="6" t="n">
        <v>1013</v>
      </c>
      <c r="C944" s="6" t="n">
        <v>101809</v>
      </c>
      <c r="D944" s="6" t="inlineStr">
        <is>
          <t>Mascarilla Elvive Colorvive x 300 g</t>
        </is>
      </c>
      <c r="E944" s="6" t="inlineStr">
        <is>
          <t>Elvive</t>
        </is>
      </c>
      <c r="F944" s="6" t="n">
        <v>11190</v>
      </c>
      <c r="G944" s="6" t="n">
        <v>11190</v>
      </c>
      <c r="H944" s="6" t="b">
        <v>1</v>
      </c>
      <c r="I944" s="6" t="n">
        <v>300</v>
      </c>
      <c r="J944" s="6" t="n">
        <v>37.3</v>
      </c>
      <c r="K944" s="6" t="inlineStr">
        <is>
          <t>&gt; Cuidado Capilar &gt; Reparación Y Tratamiento &gt;</t>
        </is>
      </c>
      <c r="L944" s="6" t="inlineStr">
        <is>
          <t>tratamiento</t>
        </is>
      </c>
      <c r="M944" s="6" t="inlineStr">
        <is>
          <t>profesional</t>
        </is>
      </c>
      <c r="N944" s="6" t="inlineStr">
        <is>
          <t>tratado</t>
        </is>
      </c>
      <c r="O944" s="6" t="inlineStr">
        <is>
          <t>https://www.farmacity.com/colorvive-crema-de-tratamiento-x-300-ml/p</t>
        </is>
      </c>
    </row>
    <row r="945">
      <c r="A945" t="inlineStr">
        <is>
          <t>Farmacity</t>
        </is>
      </c>
      <c r="B945" t="n">
        <v>246400</v>
      </c>
      <c r="C945" t="n">
        <v>246400</v>
      </c>
      <c r="D945" t="inlineStr">
        <is>
          <t>Óleo Pantene Nutritivo x 95 ml</t>
        </is>
      </c>
      <c r="E945" t="inlineStr">
        <is>
          <t>Pantene</t>
        </is>
      </c>
      <c r="F945" t="n">
        <v>20179</v>
      </c>
      <c r="G945" t="n">
        <v>20179</v>
      </c>
      <c r="H945" t="b">
        <v>1</v>
      </c>
      <c r="I945" t="n">
        <v>95</v>
      </c>
      <c r="J945" t="n">
        <v>212.4105</v>
      </c>
      <c r="K945" t="inlineStr">
        <is>
          <t>&gt; Cuidado Capilar &gt; Reparación Y Tratamiento &gt;</t>
        </is>
      </c>
      <c r="L945" t="inlineStr">
        <is>
          <t>shampoo</t>
        </is>
      </c>
      <c r="M945" t="inlineStr">
        <is>
          <t>estandar</t>
        </is>
      </c>
      <c r="N945" t="inlineStr">
        <is>
          <t>general</t>
        </is>
      </c>
      <c r="O945" t="inlineStr">
        <is>
          <t>https://www.farmacity.com/oleo-pantene-nutritivo-x-95-ml/p</t>
        </is>
      </c>
    </row>
    <row r="946">
      <c r="A946" s="6" t="inlineStr">
        <is>
          <t>Farmacity</t>
        </is>
      </c>
      <c r="B946" s="6" t="n">
        <v>250357</v>
      </c>
      <c r="C946" s="6" t="n">
        <v>250357</v>
      </c>
      <c r="D946" s="6" t="inlineStr">
        <is>
          <t>Sérum Elvive Collagen Lifter x 100 ml</t>
        </is>
      </c>
      <c r="E946" s="6" t="inlineStr">
        <is>
          <t>Elvive</t>
        </is>
      </c>
      <c r="F946" s="6" t="n">
        <v>19990</v>
      </c>
      <c r="G946" s="6" t="n">
        <v>19990</v>
      </c>
      <c r="H946" s="6" t="b">
        <v>1</v>
      </c>
      <c r="I946" s="6" t="n">
        <v>100</v>
      </c>
      <c r="J946" s="6" t="n">
        <v>199.9</v>
      </c>
      <c r="K946" s="6" t="inlineStr">
        <is>
          <t>&gt; Cuidado Capilar &gt; Reparación Y Tratamiento &gt;</t>
        </is>
      </c>
      <c r="L946" s="6" t="inlineStr">
        <is>
          <t>shampoo</t>
        </is>
      </c>
      <c r="M946" s="6" t="inlineStr">
        <is>
          <t>profesional</t>
        </is>
      </c>
      <c r="N946" s="6" t="inlineStr">
        <is>
          <t>general</t>
        </is>
      </c>
      <c r="O946" s="6" t="inlineStr">
        <is>
          <t>https://www.farmacity.com/serum-elvive-colageno-lifter-x-100-ml/p</t>
        </is>
      </c>
    </row>
    <row r="947">
      <c r="A947" t="inlineStr">
        <is>
          <t>Farmacity</t>
        </is>
      </c>
      <c r="B947" t="n">
        <v>4747</v>
      </c>
      <c r="C947" t="n">
        <v>138021</v>
      </c>
      <c r="D947" t="inlineStr">
        <is>
          <t>Crema para Peinar Sedal Ceramidas x 300 ml</t>
        </is>
      </c>
      <c r="E947" t="inlineStr">
        <is>
          <t>Sedal</t>
        </is>
      </c>
      <c r="F947" t="n">
        <v>5684</v>
      </c>
      <c r="G947" t="n">
        <v>5684</v>
      </c>
      <c r="H947" t="b">
        <v>1</v>
      </c>
      <c r="I947" t="n">
        <v>300</v>
      </c>
      <c r="J947" t="n">
        <v>18.9467</v>
      </c>
      <c r="K947" t="inlineStr">
        <is>
          <t>&gt; Cuidado Capilar &gt; Modelado Y Peinado &gt;</t>
        </is>
      </c>
      <c r="L947" t="inlineStr">
        <is>
          <t>shampoo</t>
        </is>
      </c>
      <c r="M947" t="inlineStr">
        <is>
          <t>estandar</t>
        </is>
      </c>
      <c r="N947" t="inlineStr">
        <is>
          <t>general</t>
        </is>
      </c>
      <c r="O947" t="inlineStr">
        <is>
          <t>https://www.farmacity.com/crema-para-peinar-sedal-ceramidas-pote-x-300-ml/p</t>
        </is>
      </c>
    </row>
    <row r="948">
      <c r="A948" s="6" t="inlineStr">
        <is>
          <t>Farmacity</t>
        </is>
      </c>
      <c r="B948" s="6" t="n">
        <v>230612</v>
      </c>
      <c r="C948" s="6" t="n">
        <v>230612</v>
      </c>
      <c r="D948" s="6" t="inlineStr">
        <is>
          <t>Shampoo Dosificador Tresemmé Cauterización Reparadora x 500 ml</t>
        </is>
      </c>
      <c r="E948" s="6" t="inlineStr">
        <is>
          <t>Tresemmé</t>
        </is>
      </c>
      <c r="F948" s="6" t="n">
        <v>6574</v>
      </c>
      <c r="G948" s="6" t="n">
        <v>10114</v>
      </c>
      <c r="H948" s="6" t="b">
        <v>1</v>
      </c>
      <c r="I948" s="6" t="n">
        <v>500</v>
      </c>
      <c r="J948" s="6" t="n">
        <v>13.148</v>
      </c>
      <c r="K948" s="6" t="inlineStr">
        <is>
          <t>&gt; Cuidado Capilar &gt; Shampoo Y Acondicionador &gt;</t>
        </is>
      </c>
      <c r="L948" s="6" t="inlineStr">
        <is>
          <t>shampoo</t>
        </is>
      </c>
      <c r="M948" s="6" t="inlineStr">
        <is>
          <t>estandar</t>
        </is>
      </c>
      <c r="N948" s="6" t="inlineStr">
        <is>
          <t>general</t>
        </is>
      </c>
      <c r="O948" s="6" t="inlineStr">
        <is>
          <t>https://www.farmacity.com/shampoo-dosificador-tresemme-cauterizacion-reparadora-x-500-ml/p</t>
        </is>
      </c>
    </row>
    <row r="949">
      <c r="A949" t="inlineStr">
        <is>
          <t>Farmacity</t>
        </is>
      </c>
      <c r="B949" t="n">
        <v>246063</v>
      </c>
      <c r="C949" t="n">
        <v>246063</v>
      </c>
      <c r="D949" t="inlineStr">
        <is>
          <t>Óleo Sedal Toque de Seda x 60 ml</t>
        </is>
      </c>
      <c r="E949" t="inlineStr">
        <is>
          <t>Sedal</t>
        </is>
      </c>
      <c r="F949" t="n">
        <v>7914</v>
      </c>
      <c r="G949" t="n">
        <v>9892</v>
      </c>
      <c r="H949" t="b">
        <v>1</v>
      </c>
      <c r="I949" t="n">
        <v>60</v>
      </c>
      <c r="J949" t="n">
        <v>131.9</v>
      </c>
      <c r="K949" t="inlineStr">
        <is>
          <t>&gt; Cuidado Capilar &gt; Reparación Y Tratamiento &gt;</t>
        </is>
      </c>
      <c r="L949" t="inlineStr">
        <is>
          <t>shampoo</t>
        </is>
      </c>
      <c r="M949" t="inlineStr">
        <is>
          <t>estandar</t>
        </is>
      </c>
      <c r="N949" t="inlineStr">
        <is>
          <t>general</t>
        </is>
      </c>
      <c r="O949" t="inlineStr">
        <is>
          <t>https://www.farmacity.com/oleo-sedal-toque-de-seda-x-60-ml/p</t>
        </is>
      </c>
    </row>
    <row r="950">
      <c r="A950" s="6" t="inlineStr">
        <is>
          <t>Farmacity</t>
        </is>
      </c>
      <c r="B950" s="6" t="n">
        <v>246064</v>
      </c>
      <c r="C950" s="6" t="n">
        <v>246064</v>
      </c>
      <c r="D950" s="6" t="inlineStr">
        <is>
          <t>Sérum Sedal Toque de Seda x 100 ml</t>
        </is>
      </c>
      <c r="E950" s="6" t="inlineStr">
        <is>
          <t>Sedal</t>
        </is>
      </c>
      <c r="F950" s="6" t="n">
        <v>8464</v>
      </c>
      <c r="G950" s="6" t="n">
        <v>10580</v>
      </c>
      <c r="H950" s="6" t="b">
        <v>1</v>
      </c>
      <c r="I950" s="6" t="n">
        <v>100</v>
      </c>
      <c r="J950" s="6" t="n">
        <v>84.64</v>
      </c>
      <c r="K950" s="6" t="inlineStr">
        <is>
          <t>&gt; Cuidado Capilar &gt; Reparación Y Tratamiento &gt;</t>
        </is>
      </c>
      <c r="L950" s="6" t="inlineStr">
        <is>
          <t>shampoo</t>
        </is>
      </c>
      <c r="M950" s="6" t="inlineStr">
        <is>
          <t>estandar</t>
        </is>
      </c>
      <c r="N950" s="6" t="inlineStr">
        <is>
          <t>general</t>
        </is>
      </c>
      <c r="O950" s="6" t="inlineStr">
        <is>
          <t>https://www.farmacity.com/serum-sedal-toque-de-seda-x-100-ml/p</t>
        </is>
      </c>
    </row>
    <row r="951">
      <c r="A951" t="inlineStr">
        <is>
          <t>Farmacity</t>
        </is>
      </c>
      <c r="B951" t="n">
        <v>245027</v>
      </c>
      <c r="C951" t="n">
        <v>245027</v>
      </c>
      <c r="D951" t="inlineStr">
        <is>
          <t>Sérum Elvive Dream Liso x 100 ml</t>
        </is>
      </c>
      <c r="E951" t="inlineStr">
        <is>
          <t>Elvive</t>
        </is>
      </c>
      <c r="F951" t="n">
        <v>19990</v>
      </c>
      <c r="G951" t="n">
        <v>19990</v>
      </c>
      <c r="H951" t="b">
        <v>1</v>
      </c>
      <c r="I951" t="n">
        <v>100</v>
      </c>
      <c r="J951" t="n">
        <v>199.9</v>
      </c>
      <c r="K951" t="inlineStr">
        <is>
          <t>&gt; Cuidado Capilar &gt; Reparación Y Tratamiento &gt;</t>
        </is>
      </c>
      <c r="L951" t="inlineStr">
        <is>
          <t>shampoo</t>
        </is>
      </c>
      <c r="M951" t="inlineStr">
        <is>
          <t>profesional</t>
        </is>
      </c>
      <c r="N951" t="inlineStr">
        <is>
          <t>general</t>
        </is>
      </c>
      <c r="O951" t="inlineStr">
        <is>
          <t>https://www.farmacity.com/serum-elvive-dream-liso-x-100-ml/p</t>
        </is>
      </c>
    </row>
    <row r="952">
      <c r="A952" s="6" t="inlineStr">
        <is>
          <t>Farmacity</t>
        </is>
      </c>
      <c r="B952" s="6" t="n">
        <v>216503</v>
      </c>
      <c r="C952" s="6" t="n">
        <v>216503</v>
      </c>
      <c r="D952" s="6" t="inlineStr">
        <is>
          <t>Mascarilla Herbal Essences Argan Oil Of Morocco x 300 ml</t>
        </is>
      </c>
      <c r="E952" s="6" t="inlineStr">
        <is>
          <t>Herbal Essences</t>
        </is>
      </c>
      <c r="F952" s="6" t="n">
        <v>10631</v>
      </c>
      <c r="G952" s="6" t="n">
        <v>16356</v>
      </c>
      <c r="H952" s="6" t="b">
        <v>1</v>
      </c>
      <c r="I952" s="6" t="n">
        <v>300</v>
      </c>
      <c r="J952" s="6" t="n">
        <v>35.4367</v>
      </c>
      <c r="K952" s="6" t="inlineStr">
        <is>
          <t>&gt; Cuidado Capilar &gt; Reparación Y Tratamiento &gt;</t>
        </is>
      </c>
      <c r="L952" s="6" t="inlineStr">
        <is>
          <t>tratamiento</t>
        </is>
      </c>
      <c r="M952" s="6" t="inlineStr">
        <is>
          <t>estandar</t>
        </is>
      </c>
      <c r="N952" s="6" t="inlineStr">
        <is>
          <t>general</t>
        </is>
      </c>
      <c r="O952" s="6" t="inlineStr">
        <is>
          <t>https://www.farmacity.com/mascarilla-intensiva-herbal-essences-bio-renew-argan-oil-of-morocco-x-300-ml/p</t>
        </is>
      </c>
    </row>
    <row r="953">
      <c r="A953" t="inlineStr">
        <is>
          <t>Farmacity</t>
        </is>
      </c>
      <c r="B953" t="n">
        <v>216504</v>
      </c>
      <c r="C953" t="n">
        <v>216504</v>
      </c>
      <c r="D953" t="inlineStr">
        <is>
          <t>Mascarilla Herbal Essences Bio Coconut Milk x 300 ml</t>
        </is>
      </c>
      <c r="E953" t="inlineStr">
        <is>
          <t>Herbal Essences</t>
        </is>
      </c>
      <c r="F953" t="n">
        <v>16356</v>
      </c>
      <c r="G953" t="n">
        <v>16356</v>
      </c>
      <c r="H953" t="b">
        <v>1</v>
      </c>
      <c r="I953" t="n">
        <v>300</v>
      </c>
      <c r="J953" t="n">
        <v>54.52</v>
      </c>
      <c r="K953" t="inlineStr">
        <is>
          <t>&gt; Cuidado Capilar &gt; Reparación Y Tratamiento &gt;</t>
        </is>
      </c>
      <c r="L953" t="inlineStr">
        <is>
          <t>tratamiento</t>
        </is>
      </c>
      <c r="M953" t="inlineStr">
        <is>
          <t>estandar</t>
        </is>
      </c>
      <c r="N953" t="inlineStr">
        <is>
          <t>general</t>
        </is>
      </c>
      <c r="O953" t="inlineStr">
        <is>
          <t>https://www.farmacity.com/mascarilla-intensiva-herbal-essences-bio-renew-coconut-milk-x-300-ml/p</t>
        </is>
      </c>
    </row>
    <row r="954">
      <c r="A954" s="6" t="inlineStr">
        <is>
          <t>Farmacity</t>
        </is>
      </c>
      <c r="B954" s="6" t="n">
        <v>246482</v>
      </c>
      <c r="C954" s="6" t="n">
        <v>246482</v>
      </c>
      <c r="D954" s="6" t="inlineStr">
        <is>
          <t>Óleo + Sérum Bifásico Dove UV Repair &amp; Glow 110 ml</t>
        </is>
      </c>
      <c r="E954" s="6" t="inlineStr">
        <is>
          <t>Dove</t>
        </is>
      </c>
      <c r="F954" s="6" t="n">
        <v>17803</v>
      </c>
      <c r="G954" s="6" t="n">
        <v>17803</v>
      </c>
      <c r="H954" s="6" t="b">
        <v>1</v>
      </c>
      <c r="I954" s="6" t="n">
        <v>110</v>
      </c>
      <c r="J954" s="6" t="n">
        <v>161.8455</v>
      </c>
      <c r="K954" s="6" t="inlineStr">
        <is>
          <t>&gt; Cuidado Capilar &gt; Reparación Y Tratamiento &gt;</t>
        </is>
      </c>
      <c r="L954" s="6" t="inlineStr">
        <is>
          <t>shampoo</t>
        </is>
      </c>
      <c r="M954" s="6" t="inlineStr">
        <is>
          <t>profesional</t>
        </is>
      </c>
      <c r="N954" s="6" t="inlineStr">
        <is>
          <t>general</t>
        </is>
      </c>
      <c r="O954" s="6" t="inlineStr">
        <is>
          <t>https://www.farmacity.com/oleo-dove-uv-repair-x-110-ml/p</t>
        </is>
      </c>
    </row>
    <row r="955">
      <c r="A955" t="inlineStr">
        <is>
          <t>Farmacity</t>
        </is>
      </c>
      <c r="B955" t="n">
        <v>250192</v>
      </c>
      <c r="C955" t="n">
        <v>250192</v>
      </c>
      <c r="D955" t="inlineStr">
        <is>
          <t>Ampolla La Puissance Nutrition x 15 ml</t>
        </is>
      </c>
      <c r="E955" t="inlineStr">
        <is>
          <t>La Puissance</t>
        </is>
      </c>
      <c r="F955" t="n">
        <v>7900</v>
      </c>
      <c r="G955" t="n">
        <v>7900</v>
      </c>
      <c r="H955" t="b">
        <v>1</v>
      </c>
      <c r="I955" t="n">
        <v>15</v>
      </c>
      <c r="J955" t="n">
        <v>526.6667</v>
      </c>
      <c r="K955" t="inlineStr">
        <is>
          <t>&gt; Cuidado Capilar &gt; Reparación Y Tratamiento &gt;</t>
        </is>
      </c>
      <c r="L955" t="inlineStr">
        <is>
          <t>shampoo</t>
        </is>
      </c>
      <c r="M955" t="inlineStr">
        <is>
          <t>estandar</t>
        </is>
      </c>
      <c r="N955" t="inlineStr">
        <is>
          <t>general</t>
        </is>
      </c>
      <c r="O955" t="inlineStr">
        <is>
          <t>https://www.farmacity.com/ampolla-la-puissance-nutrition-x-15-ml/p</t>
        </is>
      </c>
    </row>
    <row r="956">
      <c r="A956" s="6" t="inlineStr">
        <is>
          <t>Farmacity</t>
        </is>
      </c>
      <c r="B956" s="6" t="n">
        <v>230609</v>
      </c>
      <c r="C956" s="6" t="n">
        <v>230609</v>
      </c>
      <c r="D956" s="6" t="inlineStr">
        <is>
          <t>Shampoo Tresemmé Cauterización Reparadora x 250 ml</t>
        </is>
      </c>
      <c r="E956" s="6" t="inlineStr">
        <is>
          <t>Tresemmé</t>
        </is>
      </c>
      <c r="F956" s="6" t="n">
        <v>6091</v>
      </c>
      <c r="G956" s="6" t="n">
        <v>6091</v>
      </c>
      <c r="H956" s="6" t="b">
        <v>1</v>
      </c>
      <c r="I956" s="6" t="n">
        <v>250</v>
      </c>
      <c r="J956" s="6" t="n">
        <v>24.364</v>
      </c>
      <c r="K956" s="6" t="inlineStr">
        <is>
          <t>&gt; Cuidado Capilar &gt; Shampoo Y Acondicionador &gt;</t>
        </is>
      </c>
      <c r="L956" s="6" t="inlineStr">
        <is>
          <t>shampoo</t>
        </is>
      </c>
      <c r="M956" s="6" t="inlineStr">
        <is>
          <t>estandar</t>
        </is>
      </c>
      <c r="N956" s="6" t="inlineStr">
        <is>
          <t>general</t>
        </is>
      </c>
      <c r="O956" s="6" t="inlineStr">
        <is>
          <t>https://www.farmacity.com/shampoo-tresemme-cauterizacion-reparadora-x-250-ml/p</t>
        </is>
      </c>
    </row>
    <row r="957">
      <c r="A957" t="inlineStr">
        <is>
          <t>Farmacity</t>
        </is>
      </c>
      <c r="B957" t="n">
        <v>248882</v>
      </c>
      <c r="C957" t="n">
        <v>248882</v>
      </c>
      <c r="D957" t="inlineStr">
        <is>
          <t>Protector Térmico Ogx Bond Protein Repair x 385 ml</t>
        </is>
      </c>
      <c r="E957" t="inlineStr">
        <is>
          <t>OGX</t>
        </is>
      </c>
      <c r="F957" t="n">
        <v>31641</v>
      </c>
      <c r="G957" t="n">
        <v>31641</v>
      </c>
      <c r="H957" t="b">
        <v>1</v>
      </c>
      <c r="I957" t="n">
        <v>385</v>
      </c>
      <c r="J957" t="n">
        <v>82.1844</v>
      </c>
      <c r="K957" t="inlineStr">
        <is>
          <t>&gt; Cuidado Capilar &gt; Reparación Y Tratamiento &gt;</t>
        </is>
      </c>
      <c r="L957" t="inlineStr">
        <is>
          <t>shampoo</t>
        </is>
      </c>
      <c r="M957" t="inlineStr">
        <is>
          <t>profesional</t>
        </is>
      </c>
      <c r="N957" t="inlineStr">
        <is>
          <t>general</t>
        </is>
      </c>
      <c r="O957" t="inlineStr">
        <is>
          <t>https://www.farmacity.com/protector-termico-ogx-bond-protein-repair-x-385-ml/p</t>
        </is>
      </c>
    </row>
    <row r="958">
      <c r="A958" s="6" t="inlineStr">
        <is>
          <t>Farmacity</t>
        </is>
      </c>
      <c r="B958" s="6" t="n">
        <v>242988</v>
      </c>
      <c r="C958" s="6" t="n">
        <v>242988</v>
      </c>
      <c r="D958" s="6" t="inlineStr">
        <is>
          <t>Protector Térmico Capilatis Spray x 190 ml</t>
        </is>
      </c>
      <c r="E958" s="6" t="inlineStr">
        <is>
          <t>Capilatis</t>
        </is>
      </c>
      <c r="F958" s="6" t="n">
        <v>14200</v>
      </c>
      <c r="G958" s="6" t="n">
        <v>14200</v>
      </c>
      <c r="H958" s="6" t="b">
        <v>1</v>
      </c>
      <c r="I958" s="6" t="n">
        <v>190</v>
      </c>
      <c r="J958" s="6" t="n">
        <v>74.7368</v>
      </c>
      <c r="K958" s="6" t="inlineStr">
        <is>
          <t>&gt; Cuidado Capilar &gt; Reparación Y Tratamiento &gt;</t>
        </is>
      </c>
      <c r="L958" s="6" t="inlineStr">
        <is>
          <t>shampoo</t>
        </is>
      </c>
      <c r="M958" s="6" t="inlineStr">
        <is>
          <t>estandar</t>
        </is>
      </c>
      <c r="N958" s="6" t="inlineStr">
        <is>
          <t>general</t>
        </is>
      </c>
      <c r="O958" s="6" t="inlineStr">
        <is>
          <t>https://www.farmacity.com/protector-termico-capilatis--spray-x-190-ml/p</t>
        </is>
      </c>
    </row>
    <row r="959">
      <c r="A959" t="inlineStr">
        <is>
          <t>Farmacity</t>
        </is>
      </c>
      <c r="B959" t="n">
        <v>234031</v>
      </c>
      <c r="C959" t="n">
        <v>234031</v>
      </c>
      <c r="D959" t="inlineStr">
        <is>
          <t>Protector Térmico Roby x 200 ml</t>
        </is>
      </c>
      <c r="E959" t="inlineStr">
        <is>
          <t>Roby</t>
        </is>
      </c>
      <c r="F959" t="n">
        <v>10269</v>
      </c>
      <c r="G959" t="n">
        <v>12836</v>
      </c>
      <c r="H959" t="b">
        <v>1</v>
      </c>
      <c r="I959" t="n">
        <v>200</v>
      </c>
      <c r="J959" t="n">
        <v>51.345</v>
      </c>
      <c r="K959" t="inlineStr">
        <is>
          <t>&gt; Cuidado Capilar &gt; Reparación Y Tratamiento &gt;</t>
        </is>
      </c>
      <c r="L959" t="inlineStr">
        <is>
          <t>shampoo</t>
        </is>
      </c>
      <c r="M959" t="inlineStr">
        <is>
          <t>estandar</t>
        </is>
      </c>
      <c r="N959" t="inlineStr">
        <is>
          <t>general</t>
        </is>
      </c>
      <c r="O959" t="inlineStr">
        <is>
          <t>https://www.farmacity.com/protector-termicospray-roby--x-200-ml/p</t>
        </is>
      </c>
    </row>
    <row r="960">
      <c r="A960" s="6" t="inlineStr">
        <is>
          <t>Farmacity</t>
        </is>
      </c>
      <c r="B960" s="6" t="n">
        <v>242989</v>
      </c>
      <c r="C960" s="6" t="n">
        <v>242989</v>
      </c>
      <c r="D960" s="6" t="inlineStr">
        <is>
          <t>Sérum Capilatis Sellador de Puntas Plex x 60 ml</t>
        </is>
      </c>
      <c r="E960" s="6" t="inlineStr">
        <is>
          <t>Capilatis</t>
        </is>
      </c>
      <c r="F960" s="6" t="n">
        <v>16200</v>
      </c>
      <c r="G960" s="6" t="n">
        <v>16200</v>
      </c>
      <c r="H960" s="6" t="b">
        <v>1</v>
      </c>
      <c r="I960" s="6" t="n">
        <v>60</v>
      </c>
      <c r="J960" s="6" t="n">
        <v>270</v>
      </c>
      <c r="K960" s="6" t="inlineStr">
        <is>
          <t>&gt; Cuidado Capilar &gt; Reparación Y Tratamiento &gt;</t>
        </is>
      </c>
      <c r="L960" s="6" t="inlineStr">
        <is>
          <t>shampoo</t>
        </is>
      </c>
      <c r="M960" s="6" t="inlineStr">
        <is>
          <t>estandar</t>
        </is>
      </c>
      <c r="N960" s="6" t="inlineStr">
        <is>
          <t>general</t>
        </is>
      </c>
      <c r="O960" s="6" t="inlineStr">
        <is>
          <t>https://www.farmacity.com/serum-capilatis-sellador-de-puntas-plex-x-60-ml/p</t>
        </is>
      </c>
    </row>
    <row r="961">
      <c r="A961" t="inlineStr">
        <is>
          <t>Farmacity</t>
        </is>
      </c>
      <c r="B961" t="n">
        <v>250303</v>
      </c>
      <c r="C961" t="n">
        <v>250303</v>
      </c>
      <c r="D961" t="inlineStr">
        <is>
          <t>Bruma Capilatis Ácido Hialurónico y Colágeno x 190 ml</t>
        </is>
      </c>
      <c r="E961" t="inlineStr">
        <is>
          <t>Capilatis</t>
        </is>
      </c>
      <c r="F961" t="n">
        <v>14200</v>
      </c>
      <c r="G961" t="n">
        <v>14200</v>
      </c>
      <c r="H961" t="b">
        <v>1</v>
      </c>
      <c r="I961" t="n">
        <v>190</v>
      </c>
      <c r="J961" t="n">
        <v>74.7368</v>
      </c>
      <c r="K961" t="inlineStr">
        <is>
          <t>&gt; Cuidado Capilar &gt; Reparación Y Tratamiento &gt;</t>
        </is>
      </c>
      <c r="L961" t="inlineStr">
        <is>
          <t>shampoo</t>
        </is>
      </c>
      <c r="M961" t="inlineStr">
        <is>
          <t>estandar</t>
        </is>
      </c>
      <c r="N961" t="inlineStr">
        <is>
          <t>general</t>
        </is>
      </c>
      <c r="O961" t="inlineStr">
        <is>
          <t>https://www.farmacity.com/bruma-capilatis-acido-hialuronico-y-colageno-x-190-ml/p</t>
        </is>
      </c>
    </row>
    <row r="962">
      <c r="A962" s="6" t="inlineStr">
        <is>
          <t>Farmacity</t>
        </is>
      </c>
      <c r="B962" s="6" t="n">
        <v>245036</v>
      </c>
      <c r="C962" s="6" t="n">
        <v>245036</v>
      </c>
      <c r="D962" s="6" t="inlineStr">
        <is>
          <t>Protector Térmico Get The Look x 125 ml</t>
        </is>
      </c>
      <c r="E962" s="6" t="inlineStr">
        <is>
          <t>Get the Look</t>
        </is>
      </c>
      <c r="F962" s="6" t="n">
        <v>4823</v>
      </c>
      <c r="G962" s="6" t="n">
        <v>6890</v>
      </c>
      <c r="H962" s="6" t="b">
        <v>1</v>
      </c>
      <c r="I962" s="6" t="n">
        <v>125</v>
      </c>
      <c r="J962" s="6" t="n">
        <v>38.584</v>
      </c>
      <c r="K962" s="6" t="inlineStr">
        <is>
          <t>&gt; Cuidado Capilar &gt; Reparación Y Tratamiento &gt;</t>
        </is>
      </c>
      <c r="L962" s="6" t="inlineStr">
        <is>
          <t>shampoo</t>
        </is>
      </c>
      <c r="M962" s="6" t="inlineStr">
        <is>
          <t>estandar</t>
        </is>
      </c>
      <c r="N962" s="6" t="inlineStr">
        <is>
          <t>general</t>
        </is>
      </c>
      <c r="O962" s="6" t="inlineStr">
        <is>
          <t>https://www.farmacity.com/protector-termico-get-the-look-x-125-ml/p</t>
        </is>
      </c>
    </row>
    <row r="963">
      <c r="A963" t="inlineStr">
        <is>
          <t>Farmacity</t>
        </is>
      </c>
      <c r="B963" t="n">
        <v>249156</v>
      </c>
      <c r="C963" t="n">
        <v>249156</v>
      </c>
      <c r="D963" t="inlineStr">
        <is>
          <t>Combo Get The Look Control Frizz y Brillo</t>
        </is>
      </c>
      <c r="E963" t="inlineStr">
        <is>
          <t>Get the Look</t>
        </is>
      </c>
      <c r="F963" t="n">
        <v>16040</v>
      </c>
      <c r="G963" t="n">
        <v>32080</v>
      </c>
      <c r="H963" t="b">
        <v>1</v>
      </c>
      <c r="I963" t="inlineStr"/>
      <c r="J963" t="inlineStr"/>
      <c r="K963" t="inlineStr">
        <is>
          <t>&gt; Cuidado Capilar &gt; Reparación Y Tratamiento &gt;</t>
        </is>
      </c>
      <c r="L963" t="inlineStr">
        <is>
          <t>shampoo</t>
        </is>
      </c>
      <c r="M963" t="inlineStr">
        <is>
          <t>estandar</t>
        </is>
      </c>
      <c r="N963" t="inlineStr">
        <is>
          <t>general</t>
        </is>
      </c>
      <c r="O963" t="inlineStr">
        <is>
          <t>https://www.farmacity.com/combo-get-the-look-control-frizz-y-brillo/p</t>
        </is>
      </c>
    </row>
    <row r="964">
      <c r="A964" s="6" t="inlineStr">
        <is>
          <t>Farmacity</t>
        </is>
      </c>
      <c r="B964" s="6" t="n">
        <v>246635</v>
      </c>
      <c r="C964" s="6" t="n">
        <v>246635</v>
      </c>
      <c r="D964" s="6" t="inlineStr">
        <is>
          <t>Óleo Herbal Essences Argan y Aloe x 100 ml</t>
        </is>
      </c>
      <c r="E964" s="6" t="inlineStr">
        <is>
          <t>Herbal Essences</t>
        </is>
      </c>
      <c r="F964" s="6" t="n">
        <v>16581</v>
      </c>
      <c r="G964" s="6" t="n">
        <v>25509</v>
      </c>
      <c r="H964" s="6" t="b">
        <v>1</v>
      </c>
      <c r="I964" s="6" t="n">
        <v>100</v>
      </c>
      <c r="J964" s="6" t="n">
        <v>165.81</v>
      </c>
      <c r="K964" s="6" t="inlineStr">
        <is>
          <t>&gt; Cuidado Capilar &gt; Reparación Y Tratamiento &gt;</t>
        </is>
      </c>
      <c r="L964" s="6" t="inlineStr">
        <is>
          <t>shampoo</t>
        </is>
      </c>
      <c r="M964" s="6" t="inlineStr">
        <is>
          <t>estandar</t>
        </is>
      </c>
      <c r="N964" s="6" t="inlineStr">
        <is>
          <t>general</t>
        </is>
      </c>
      <c r="O964" s="6" t="inlineStr">
        <is>
          <t>https://www.farmacity.com/oleo-herbal-essences-argan-y-aloe-x-100-ml/p</t>
        </is>
      </c>
    </row>
    <row r="965">
      <c r="A965" t="inlineStr">
        <is>
          <t>Farmacity</t>
        </is>
      </c>
      <c r="B965" t="n">
        <v>239875</v>
      </c>
      <c r="C965" t="n">
        <v>239875</v>
      </c>
      <c r="D965" t="inlineStr">
        <is>
          <t>Sérum Revitalizador Pantene Pro-V Miracles Equilibrio Raíz y Puntas x 95 ml</t>
        </is>
      </c>
      <c r="E965" t="inlineStr">
        <is>
          <t>Pantene</t>
        </is>
      </c>
      <c r="F965" t="n">
        <v>23485</v>
      </c>
      <c r="G965" t="n">
        <v>23485</v>
      </c>
      <c r="H965" t="b">
        <v>1</v>
      </c>
      <c r="I965" t="n">
        <v>95</v>
      </c>
      <c r="J965" t="n">
        <v>247.2105</v>
      </c>
      <c r="K965" t="inlineStr">
        <is>
          <t>&gt; Cuidado Capilar &gt; Reparación Y Tratamiento &gt;</t>
        </is>
      </c>
      <c r="L965" t="inlineStr">
        <is>
          <t>shampoo</t>
        </is>
      </c>
      <c r="M965" t="inlineStr">
        <is>
          <t>profesional</t>
        </is>
      </c>
      <c r="N965" t="inlineStr">
        <is>
          <t>general</t>
        </is>
      </c>
      <c r="O965" t="inlineStr">
        <is>
          <t>https://www.farmacity.com/serum-pantene-equilibrio-x-95-ml/p</t>
        </is>
      </c>
    </row>
    <row r="966">
      <c r="A966" s="6" t="inlineStr">
        <is>
          <t>Farmacity</t>
        </is>
      </c>
      <c r="B966" s="6" t="n">
        <v>250199</v>
      </c>
      <c r="C966" s="6" t="n">
        <v>250199</v>
      </c>
      <c r="D966" s="6" t="inlineStr">
        <is>
          <t>Ampolla La Puissance Paso 5 Extra Cell Plex x 15 ml</t>
        </is>
      </c>
      <c r="E966" s="6" t="inlineStr">
        <is>
          <t>La Puissance</t>
        </is>
      </c>
      <c r="F966" s="6" t="n">
        <v>9900</v>
      </c>
      <c r="G966" s="6" t="n">
        <v>9900</v>
      </c>
      <c r="H966" s="6" t="b">
        <v>1</v>
      </c>
      <c r="I966" s="6" t="n">
        <v>15</v>
      </c>
      <c r="J966" s="6" t="n">
        <v>660</v>
      </c>
      <c r="K966" s="6" t="inlineStr">
        <is>
          <t>&gt; Cuidado Capilar &gt; Reparación Y Tratamiento &gt;</t>
        </is>
      </c>
      <c r="L966" s="6" t="inlineStr">
        <is>
          <t>shampoo</t>
        </is>
      </c>
      <c r="M966" s="6" t="inlineStr">
        <is>
          <t>estandar</t>
        </is>
      </c>
      <c r="N966" s="6" t="inlineStr">
        <is>
          <t>general</t>
        </is>
      </c>
      <c r="O966" s="6" t="inlineStr">
        <is>
          <t>https://www.farmacity.com/ampolla-la-puissance-paso-5-extra-cell-plex-x-15-ml/p</t>
        </is>
      </c>
    </row>
    <row r="967">
      <c r="A967" t="inlineStr">
        <is>
          <t>Farmacity</t>
        </is>
      </c>
      <c r="B967" t="n">
        <v>250197</v>
      </c>
      <c r="C967" t="n">
        <v>250197</v>
      </c>
      <c r="D967" t="inlineStr">
        <is>
          <t>Spray La Puissance Extra Cell Plex Paso 4 x 100 ml</t>
        </is>
      </c>
      <c r="E967" t="inlineStr">
        <is>
          <t>La Puissance</t>
        </is>
      </c>
      <c r="F967" t="n">
        <v>13900</v>
      </c>
      <c r="G967" t="n">
        <v>13900</v>
      </c>
      <c r="H967" t="b">
        <v>1</v>
      </c>
      <c r="I967" t="n">
        <v>100</v>
      </c>
      <c r="J967" t="n">
        <v>139</v>
      </c>
      <c r="K967" t="inlineStr">
        <is>
          <t>&gt; Cuidado Capilar &gt; Reparación Y Tratamiento &gt;</t>
        </is>
      </c>
      <c r="L967" t="inlineStr">
        <is>
          <t>shampoo</t>
        </is>
      </c>
      <c r="M967" t="inlineStr">
        <is>
          <t>estandar</t>
        </is>
      </c>
      <c r="N967" t="inlineStr">
        <is>
          <t>general</t>
        </is>
      </c>
      <c r="O967" t="inlineStr">
        <is>
          <t>https://www.farmacity.com/spray-la-puissance-extra-cell-plex-paso-4-x-100-ml/p</t>
        </is>
      </c>
    </row>
    <row r="968">
      <c r="A968" s="6" t="inlineStr">
        <is>
          <t>Farmacity</t>
        </is>
      </c>
      <c r="B968" s="6" t="n">
        <v>208220</v>
      </c>
      <c r="C968" s="6" t="n">
        <v>208220</v>
      </c>
      <c r="D968" s="6" t="inlineStr">
        <is>
          <t>Shampoo Nopucid Uso Diario x 200 ml</t>
        </is>
      </c>
      <c r="E968" s="6" t="inlineStr">
        <is>
          <t>Nopucid</t>
        </is>
      </c>
      <c r="F968" s="6" t="n">
        <v>14880</v>
      </c>
      <c r="G968" s="6" t="n">
        <v>14880</v>
      </c>
      <c r="H968" s="6" t="b">
        <v>1</v>
      </c>
      <c r="I968" s="6" t="n">
        <v>200</v>
      </c>
      <c r="J968" s="6" t="n">
        <v>74.40000000000001</v>
      </c>
      <c r="K968" s="6" t="inlineStr">
        <is>
          <t>&gt; Farmacia &gt; Pediculosis &gt; Shampoo Y Acondicionador &gt;</t>
        </is>
      </c>
      <c r="L968" s="6" t="inlineStr">
        <is>
          <t>shampoo</t>
        </is>
      </c>
      <c r="M968" s="6" t="inlineStr">
        <is>
          <t>estandar</t>
        </is>
      </c>
      <c r="N968" s="6" t="inlineStr">
        <is>
          <t>general</t>
        </is>
      </c>
      <c r="O968" s="6" t="inlineStr">
        <is>
          <t>https://www.farmacity.com/shampoo-uso-diario-nopucid-x-200-ml/p</t>
        </is>
      </c>
    </row>
    <row r="969">
      <c r="A969" t="inlineStr">
        <is>
          <t>Farmacity</t>
        </is>
      </c>
      <c r="B969" t="n">
        <v>8856</v>
      </c>
      <c r="C969" t="n">
        <v>156279</v>
      </c>
      <c r="D969" t="inlineStr">
        <is>
          <t>Crema para Peinar Sedal Rizos Definidos x 300 ml</t>
        </is>
      </c>
      <c r="E969" t="inlineStr">
        <is>
          <t>Sedal</t>
        </is>
      </c>
      <c r="F969" t="n">
        <v>5684</v>
      </c>
      <c r="G969" t="n">
        <v>5684</v>
      </c>
      <c r="H969" t="b">
        <v>1</v>
      </c>
      <c r="I969" t="n">
        <v>300</v>
      </c>
      <c r="J969" t="n">
        <v>18.9467</v>
      </c>
      <c r="K969" t="inlineStr">
        <is>
          <t>&gt; Cuidado Capilar &gt; Modelado Y Peinado &gt;</t>
        </is>
      </c>
      <c r="L969" t="inlineStr">
        <is>
          <t>shampoo</t>
        </is>
      </c>
      <c r="M969" t="inlineStr">
        <is>
          <t>estandar</t>
        </is>
      </c>
      <c r="N969" t="inlineStr">
        <is>
          <t>rizado</t>
        </is>
      </c>
      <c r="O969" t="inlineStr">
        <is>
          <t>https://www.farmacity.com/crema-p-peinar-sedal-rizos-definidos-x-300-ml/p</t>
        </is>
      </c>
    </row>
    <row r="970">
      <c r="A970" s="6" t="inlineStr">
        <is>
          <t>Farmacity</t>
        </is>
      </c>
      <c r="B970" s="6" t="n">
        <v>214145</v>
      </c>
      <c r="C970" s="6" t="n">
        <v>214145</v>
      </c>
      <c r="D970" s="6" t="inlineStr">
        <is>
          <t>Crema de Peinar Estereocolor Macadamia</t>
        </is>
      </c>
      <c r="E970" s="6" t="inlineStr">
        <is>
          <t>Estereocolor</t>
        </is>
      </c>
      <c r="F970" s="6" t="n">
        <v>1040</v>
      </c>
      <c r="G970" s="6" t="n">
        <v>1040</v>
      </c>
      <c r="H970" s="6" t="b">
        <v>1</v>
      </c>
      <c r="I970" s="6" t="inlineStr"/>
      <c r="J970" s="6" t="inlineStr"/>
      <c r="K970" s="6" t="inlineStr">
        <is>
          <t>&gt; Cuidado Capilar &gt; Reparación Y Tratamiento &gt;</t>
        </is>
      </c>
      <c r="L970" s="6" t="inlineStr">
        <is>
          <t>shampoo</t>
        </is>
      </c>
      <c r="M970" s="6" t="inlineStr">
        <is>
          <t>estandar</t>
        </is>
      </c>
      <c r="N970" s="6" t="inlineStr">
        <is>
          <t>tratado</t>
        </is>
      </c>
      <c r="O970" s="6" t="inlineStr">
        <is>
          <t>https://www.farmacity.com/crema-de-peinar-estereo-color-macadamia-x-1-un/p</t>
        </is>
      </c>
    </row>
    <row r="971">
      <c r="A971" t="inlineStr">
        <is>
          <t>Farmacity</t>
        </is>
      </c>
      <c r="B971" t="n">
        <v>208217</v>
      </c>
      <c r="C971" t="n">
        <v>208217</v>
      </c>
      <c r="D971" t="inlineStr">
        <is>
          <t>Loción con Shampoo Nopucid x 65 ml</t>
        </is>
      </c>
      <c r="E971" t="inlineStr">
        <is>
          <t>Nopucid</t>
        </is>
      </c>
      <c r="F971" t="n">
        <v>19409</v>
      </c>
      <c r="G971" t="n">
        <v>19409</v>
      </c>
      <c r="H971" t="b">
        <v>1</v>
      </c>
      <c r="I971" t="n">
        <v>65</v>
      </c>
      <c r="J971" t="n">
        <v>298.6</v>
      </c>
      <c r="K971" t="inlineStr">
        <is>
          <t>&gt; Farmacia &gt; Pediculosis &gt; Lociones, Enjuagues Y Emulsiones &gt;</t>
        </is>
      </c>
      <c r="L971" t="inlineStr">
        <is>
          <t>shampoo</t>
        </is>
      </c>
      <c r="M971" t="inlineStr">
        <is>
          <t>estandar</t>
        </is>
      </c>
      <c r="N971" t="inlineStr">
        <is>
          <t>general</t>
        </is>
      </c>
      <c r="O971" t="inlineStr">
        <is>
          <t>https://www.farmacity.com/locion-con-shampoo-nopucid-x-65-ml/p</t>
        </is>
      </c>
    </row>
    <row r="972">
      <c r="A972" s="6" t="inlineStr">
        <is>
          <t>Farmacity</t>
        </is>
      </c>
      <c r="B972" s="6" t="n">
        <v>825</v>
      </c>
      <c r="C972" s="6" t="n">
        <v>131898</v>
      </c>
      <c r="D972" s="6" t="inlineStr">
        <is>
          <t>Ampollas Pantene Shot de Reconstrucción Perlas Pro-Vitaminas x 15 ml x 3 un</t>
        </is>
      </c>
      <c r="E972" s="6" t="inlineStr">
        <is>
          <t>Pantene</t>
        </is>
      </c>
      <c r="F972" s="6" t="n">
        <v>7482</v>
      </c>
      <c r="G972" s="6" t="n">
        <v>7482</v>
      </c>
      <c r="H972" s="6" t="b">
        <v>1</v>
      </c>
      <c r="I972" s="6" t="n">
        <v>15</v>
      </c>
      <c r="J972" s="6" t="n">
        <v>498.8</v>
      </c>
      <c r="K972" s="6" t="inlineStr">
        <is>
          <t>&gt; Cuidado Capilar &gt; Reparación Y Tratamiento &gt;</t>
        </is>
      </c>
      <c r="L972" s="6" t="inlineStr">
        <is>
          <t>shampoo</t>
        </is>
      </c>
      <c r="M972" s="6" t="inlineStr">
        <is>
          <t>profesional</t>
        </is>
      </c>
      <c r="N972" s="6" t="inlineStr">
        <is>
          <t>general</t>
        </is>
      </c>
      <c r="O972" s="6" t="inlineStr">
        <is>
          <t>https://www.farmacity.com/tratamiento-capilar-pantene-pro-v-restauracion-45-ml/p</t>
        </is>
      </c>
    </row>
    <row r="973">
      <c r="A973" t="inlineStr">
        <is>
          <t>Farmacity</t>
        </is>
      </c>
      <c r="B973" t="n">
        <v>221813</v>
      </c>
      <c r="C973" t="n">
        <v>221813</v>
      </c>
      <c r="D973" t="inlineStr">
        <is>
          <t>Crema para Peinar Sedal Hialurónico y Vitamina A x 300 ml</t>
        </is>
      </c>
      <c r="E973" t="inlineStr">
        <is>
          <t>Sedal</t>
        </is>
      </c>
      <c r="F973" t="n">
        <v>5684</v>
      </c>
      <c r="G973" t="n">
        <v>5684</v>
      </c>
      <c r="H973" t="b">
        <v>1</v>
      </c>
      <c r="I973" t="n">
        <v>300</v>
      </c>
      <c r="J973" t="n">
        <v>18.9467</v>
      </c>
      <c r="K973" t="inlineStr">
        <is>
          <t>&gt; Cuidado Capilar &gt; Modelado Y Peinado &gt;</t>
        </is>
      </c>
      <c r="L973" t="inlineStr">
        <is>
          <t>shampoo</t>
        </is>
      </c>
      <c r="M973" t="inlineStr">
        <is>
          <t>estandar</t>
        </is>
      </c>
      <c r="N973" t="inlineStr">
        <is>
          <t>general</t>
        </is>
      </c>
      <c r="O973" t="inlineStr">
        <is>
          <t>https://www.farmacity.com/crema-para-peinar-sedal-acido-hialuronico-vitamina-a-x-300-ml/p</t>
        </is>
      </c>
    </row>
    <row r="974">
      <c r="A974" s="6" t="inlineStr">
        <is>
          <t>Farmacity</t>
        </is>
      </c>
      <c r="B974" s="6" t="n">
        <v>226252</v>
      </c>
      <c r="C974" s="6" t="n">
        <v>226252</v>
      </c>
      <c r="D974" s="6" t="inlineStr">
        <is>
          <t>Shampoo Nutritivo Klorane Mango x 200 ml</t>
        </is>
      </c>
      <c r="E974" s="6" t="inlineStr">
        <is>
          <t>Klorane</t>
        </is>
      </c>
      <c r="F974" s="6" t="n">
        <v>29000</v>
      </c>
      <c r="G974" s="6" t="n">
        <v>29000</v>
      </c>
      <c r="H974" s="6" t="b">
        <v>1</v>
      </c>
      <c r="I974" s="6" t="n">
        <v>200</v>
      </c>
      <c r="J974" s="6" t="n">
        <v>145</v>
      </c>
      <c r="K974" s="6" t="inlineStr">
        <is>
          <t>&gt; Dermocosmética &gt; Pelo &gt; Shampoos y Acondicionadores &gt;</t>
        </is>
      </c>
      <c r="L974" s="6" t="inlineStr">
        <is>
          <t>shampoo</t>
        </is>
      </c>
      <c r="M974" s="6" t="inlineStr">
        <is>
          <t>estandar</t>
        </is>
      </c>
      <c r="N974" s="6" t="inlineStr">
        <is>
          <t>general</t>
        </is>
      </c>
      <c r="O974" s="6" t="inlineStr">
        <is>
          <t>https://www.farmacity.com/shampoo-klorane-mango-x-200-ml/p</t>
        </is>
      </c>
    </row>
    <row r="975">
      <c r="A975" t="inlineStr">
        <is>
          <t>Farmacity</t>
        </is>
      </c>
      <c r="B975" t="n">
        <v>224730</v>
      </c>
      <c r="C975" t="n">
        <v>224730</v>
      </c>
      <c r="D975" t="inlineStr">
        <is>
          <t>Mascarilla Intensiva Pantene Pro-V Nutrición x 270 ml</t>
        </is>
      </c>
      <c r="E975" t="inlineStr">
        <is>
          <t>Pantene</t>
        </is>
      </c>
      <c r="F975" t="n">
        <v>10225</v>
      </c>
      <c r="G975" t="n">
        <v>10225</v>
      </c>
      <c r="H975" t="b">
        <v>1</v>
      </c>
      <c r="I975" t="n">
        <v>270</v>
      </c>
      <c r="J975" t="n">
        <v>37.8704</v>
      </c>
      <c r="K975" t="inlineStr">
        <is>
          <t>&gt; Cuidado Capilar &gt; Reparación Y Tratamiento &gt;</t>
        </is>
      </c>
      <c r="L975" t="inlineStr">
        <is>
          <t>tratamiento</t>
        </is>
      </c>
      <c r="M975" t="inlineStr">
        <is>
          <t>profesional</t>
        </is>
      </c>
      <c r="N975" t="inlineStr">
        <is>
          <t>general</t>
        </is>
      </c>
      <c r="O975" t="inlineStr">
        <is>
          <t>https://www.farmacity.com/mascarilla-intesiva-pantene-pro-v-nutricion-x-270-ml/p</t>
        </is>
      </c>
    </row>
    <row r="976">
      <c r="A976" s="6" t="inlineStr">
        <is>
          <t>Farmacity</t>
        </is>
      </c>
      <c r="B976" s="6" t="n">
        <v>244369</v>
      </c>
      <c r="C976" s="6" t="n">
        <v>244369</v>
      </c>
      <c r="D976" s="6" t="inlineStr">
        <is>
          <t>Coat Spray Tresemmé Sellado Antifrizz x 190 ml</t>
        </is>
      </c>
      <c r="E976" s="6" t="inlineStr">
        <is>
          <t>Tresemmé</t>
        </is>
      </c>
      <c r="F976" s="6" t="n">
        <v>8088</v>
      </c>
      <c r="G976" s="6" t="n">
        <v>14705</v>
      </c>
      <c r="H976" s="6" t="b">
        <v>1</v>
      </c>
      <c r="I976" s="6" t="n">
        <v>190</v>
      </c>
      <c r="J976" s="6" t="n">
        <v>42.5684</v>
      </c>
      <c r="K976" s="6" t="inlineStr">
        <is>
          <t>&gt; Cuidado Capilar &gt; Reparación Y Tratamiento &gt;</t>
        </is>
      </c>
      <c r="L976" s="6" t="inlineStr">
        <is>
          <t>shampoo</t>
        </is>
      </c>
      <c r="M976" s="6" t="inlineStr">
        <is>
          <t>estandar</t>
        </is>
      </c>
      <c r="N976" s="6" t="inlineStr">
        <is>
          <t>general</t>
        </is>
      </c>
      <c r="O976" s="6" t="inlineStr">
        <is>
          <t>https://www.farmacity.com/spray-tresemme-blind-antifrizz-x-190-ml/p</t>
        </is>
      </c>
    </row>
    <row r="977">
      <c r="A977" t="inlineStr">
        <is>
          <t>Farmacity</t>
        </is>
      </c>
      <c r="B977" t="n">
        <v>238890</v>
      </c>
      <c r="C977" t="n">
        <v>238890</v>
      </c>
      <c r="D977" t="inlineStr">
        <is>
          <t>Acondicionador Pantene Pro-V Miracles Volumen x 400 ml</t>
        </is>
      </c>
      <c r="E977" t="inlineStr">
        <is>
          <t>Pantene</t>
        </is>
      </c>
      <c r="F977" t="n">
        <v>6137</v>
      </c>
      <c r="G977" t="n">
        <v>10228</v>
      </c>
      <c r="H977" t="b">
        <v>1</v>
      </c>
      <c r="I977" t="n">
        <v>400</v>
      </c>
      <c r="J977" t="n">
        <v>15.3425</v>
      </c>
      <c r="K977" t="inlineStr">
        <is>
          <t>&gt; Cuidado Capilar &gt; Shampoo Y Acondicionador &gt;</t>
        </is>
      </c>
      <c r="L977" t="inlineStr">
        <is>
          <t>acondicionador</t>
        </is>
      </c>
      <c r="M977" t="inlineStr">
        <is>
          <t>profesional</t>
        </is>
      </c>
      <c r="N977" t="inlineStr">
        <is>
          <t>general</t>
        </is>
      </c>
      <c r="O977" t="inlineStr">
        <is>
          <t>https://www.farmacity.com/acondicionador-pantene-pro-v-miracles-volumen-x-400-ml/p</t>
        </is>
      </c>
    </row>
    <row r="978">
      <c r="A978" s="6" t="inlineStr">
        <is>
          <t>Farmacity</t>
        </is>
      </c>
      <c r="B978" s="6" t="n">
        <v>238285</v>
      </c>
      <c r="C978" s="6" t="n">
        <v>238285</v>
      </c>
      <c r="D978" s="6" t="inlineStr">
        <is>
          <t>Tratamiento Capilar Coony Intensivo x 500 ml</t>
        </is>
      </c>
      <c r="E978" s="6" t="inlineStr">
        <is>
          <t>Coony</t>
        </is>
      </c>
      <c r="F978" s="6" t="n">
        <v>36050</v>
      </c>
      <c r="G978" s="6" t="n">
        <v>36050</v>
      </c>
      <c r="H978" s="6" t="b">
        <v>0</v>
      </c>
      <c r="I978" s="6" t="n">
        <v>500</v>
      </c>
      <c r="J978" s="6" t="n">
        <v>72.09999999999999</v>
      </c>
      <c r="K978" s="6" t="inlineStr">
        <is>
          <t>&gt; Cuidado Capilar &gt; Reparación Y Tratamiento &gt;</t>
        </is>
      </c>
      <c r="L978" s="6" t="inlineStr">
        <is>
          <t>tratamiento</t>
        </is>
      </c>
      <c r="M978" s="6" t="inlineStr">
        <is>
          <t>estandar</t>
        </is>
      </c>
      <c r="N978" s="6" t="inlineStr">
        <is>
          <t>general</t>
        </is>
      </c>
      <c r="O978" s="6" t="inlineStr">
        <is>
          <t>https://www.farmacity.com/tratamiento-capilar-coony-intensivo-x-500-ml/p</t>
        </is>
      </c>
    </row>
    <row r="979">
      <c r="A979" t="inlineStr">
        <is>
          <t>Farmacity</t>
        </is>
      </c>
      <c r="B979" t="n">
        <v>228548</v>
      </c>
      <c r="C979" t="n">
        <v>228548</v>
      </c>
      <c r="D979" t="inlineStr">
        <is>
          <t>Tratamiento Capilar Biferdil Anti-Frizz x 155 ml</t>
        </is>
      </c>
      <c r="E979" t="inlineStr">
        <is>
          <t>Biferdil</t>
        </is>
      </c>
      <c r="F979" t="n">
        <v>12400</v>
      </c>
      <c r="G979" t="n">
        <v>12400</v>
      </c>
      <c r="H979" t="b">
        <v>0</v>
      </c>
      <c r="I979" t="n">
        <v>155</v>
      </c>
      <c r="J979" t="n">
        <v>80</v>
      </c>
      <c r="K979" t="inlineStr">
        <is>
          <t>&gt; Cuidado Capilar &gt; Reparación Y Tratamiento &gt;</t>
        </is>
      </c>
      <c r="L979" t="inlineStr">
        <is>
          <t>tratamiento</t>
        </is>
      </c>
      <c r="M979" t="inlineStr">
        <is>
          <t>estandar</t>
        </is>
      </c>
      <c r="N979" t="inlineStr">
        <is>
          <t>general</t>
        </is>
      </c>
      <c r="O979" t="inlineStr">
        <is>
          <t>https://www.farmacity.com/tratamiento-capilar-biferdil-anti-frizz-x-155-ml/p</t>
        </is>
      </c>
    </row>
    <row r="980">
      <c r="A980" s="6" t="inlineStr">
        <is>
          <t>Farmacity</t>
        </is>
      </c>
      <c r="B980" s="6" t="n">
        <v>241586</v>
      </c>
      <c r="C980" s="6" t="n">
        <v>241586</v>
      </c>
      <c r="D980" s="6" t="inlineStr">
        <is>
          <t>Tratamiento Capilar Nuxe Prodigieux Nutrición Intensa x 100 ml</t>
        </is>
      </c>
      <c r="E980" s="6" t="inlineStr">
        <is>
          <t>Nuxe</t>
        </is>
      </c>
      <c r="F980" s="6" t="n">
        <v>39037</v>
      </c>
      <c r="G980" s="6" t="n">
        <v>39037</v>
      </c>
      <c r="H980" s="6" t="b">
        <v>0</v>
      </c>
      <c r="I980" s="6" t="n">
        <v>100</v>
      </c>
      <c r="J980" s="6" t="n">
        <v>390.37</v>
      </c>
      <c r="K980" s="6" t="inlineStr">
        <is>
          <t>&gt; Cuidado Capilar &gt; Reparación Y Tratamiento &gt;</t>
        </is>
      </c>
      <c r="L980" s="6" t="inlineStr">
        <is>
          <t>tratamiento</t>
        </is>
      </c>
      <c r="M980" s="6" t="inlineStr">
        <is>
          <t>estandar</t>
        </is>
      </c>
      <c r="N980" s="6" t="inlineStr">
        <is>
          <t>general</t>
        </is>
      </c>
      <c r="O980" s="6" t="inlineStr">
        <is>
          <t>https://www.farmacity.com/tratamiento-capilar-nuxe-prodigieux-nutricion-intensa-x-100-ml/p</t>
        </is>
      </c>
    </row>
    <row r="981">
      <c r="A981" t="inlineStr">
        <is>
          <t>Farmacity</t>
        </is>
      </c>
      <c r="B981" t="n">
        <v>204154</v>
      </c>
      <c r="C981" t="n">
        <v>200271</v>
      </c>
      <c r="D981" t="inlineStr">
        <is>
          <t>Tratamiento Capilar Vichy Dercos Densi-Solutions x 100 ml</t>
        </is>
      </c>
      <c r="E981" t="inlineStr">
        <is>
          <t>Vichy</t>
        </is>
      </c>
      <c r="F981" t="n">
        <v>74630</v>
      </c>
      <c r="G981" t="n">
        <v>74630</v>
      </c>
      <c r="H981" t="b">
        <v>0</v>
      </c>
      <c r="I981" t="n">
        <v>100</v>
      </c>
      <c r="J981" t="n">
        <v>746.3</v>
      </c>
      <c r="K981" t="inlineStr">
        <is>
          <t>&gt; Dermocosmética &gt; Pelo &gt; Bálsamos y Tratamientos &gt;</t>
        </is>
      </c>
      <c r="L981" t="inlineStr">
        <is>
          <t>tratamiento</t>
        </is>
      </c>
      <c r="M981" t="inlineStr">
        <is>
          <t>estandar</t>
        </is>
      </c>
      <c r="N981" t="inlineStr">
        <is>
          <t>general</t>
        </is>
      </c>
      <c r="O981" t="inlineStr">
        <is>
          <t>https://www.farmacity.com/dercos-densi-solutions-concentrado-creador-de-masa-capilar/p</t>
        </is>
      </c>
    </row>
    <row r="982">
      <c r="A982" s="6" t="inlineStr">
        <is>
          <t>Farmacity</t>
        </is>
      </c>
      <c r="B982" s="6" t="n">
        <v>203231</v>
      </c>
      <c r="C982" s="6" t="n">
        <v>203231</v>
      </c>
      <c r="D982" s="6" t="inlineStr">
        <is>
          <t>Tratamiento Capilar Capilatis Natural Oil Argán x 170 ml</t>
        </is>
      </c>
      <c r="E982" s="6" t="inlineStr">
        <is>
          <t>Capilatis</t>
        </is>
      </c>
      <c r="F982" s="6" t="n">
        <v>3400</v>
      </c>
      <c r="G982" s="6" t="n">
        <v>6800</v>
      </c>
      <c r="H982" s="6" t="b">
        <v>0</v>
      </c>
      <c r="I982" s="6" t="n">
        <v>170</v>
      </c>
      <c r="J982" s="6" t="n">
        <v>20</v>
      </c>
      <c r="K982" s="6" t="inlineStr">
        <is>
          <t>&gt; Cuidado Capilar &gt; Reparación Y Tratamiento &gt;</t>
        </is>
      </c>
      <c r="L982" s="6" t="inlineStr">
        <is>
          <t>tratamiento</t>
        </is>
      </c>
      <c r="M982" s="6" t="inlineStr">
        <is>
          <t>estandar</t>
        </is>
      </c>
      <c r="N982" s="6" t="inlineStr">
        <is>
          <t>general</t>
        </is>
      </c>
      <c r="O982" s="6" t="inlineStr">
        <is>
          <t>https://www.farmacity.com/tratamiento-capilar-capilatis-natural-oli-con-argan-x-170-ml/p</t>
        </is>
      </c>
    </row>
    <row r="983">
      <c r="A983" t="inlineStr">
        <is>
          <t>Farmacity</t>
        </is>
      </c>
      <c r="B983" t="n">
        <v>203241</v>
      </c>
      <c r="C983" t="n">
        <v>203241</v>
      </c>
      <c r="D983" t="inlineStr">
        <is>
          <t>Tratamiento Capilar Biferdil Beauty Box con Coco x 20 ml</t>
        </is>
      </c>
      <c r="E983" t="inlineStr">
        <is>
          <t>Biferdil</t>
        </is>
      </c>
      <c r="F983" t="n">
        <v>900</v>
      </c>
      <c r="G983" t="n">
        <v>1800</v>
      </c>
      <c r="H983" t="b">
        <v>0</v>
      </c>
      <c r="I983" t="n">
        <v>20</v>
      </c>
      <c r="J983" t="n">
        <v>45</v>
      </c>
      <c r="K983" t="inlineStr">
        <is>
          <t>&gt; Cuidado Capilar &gt; Reparación Y Tratamiento &gt;</t>
        </is>
      </c>
      <c r="L983" t="inlineStr">
        <is>
          <t>tratamiento</t>
        </is>
      </c>
      <c r="M983" t="inlineStr">
        <is>
          <t>estandar</t>
        </is>
      </c>
      <c r="N983" t="inlineStr">
        <is>
          <t>general</t>
        </is>
      </c>
      <c r="O983" t="inlineStr">
        <is>
          <t>https://www.farmacity.com/tratamiento-capilar-biferdil-beauty-box-con-aceite-de-coco-x-20-ml/p</t>
        </is>
      </c>
    </row>
    <row r="984">
      <c r="A984" s="6" t="inlineStr">
        <is>
          <t>Farmacity</t>
        </is>
      </c>
      <c r="B984" s="6" t="n">
        <v>819</v>
      </c>
      <c r="C984" s="6" t="n">
        <v>133755</v>
      </c>
      <c r="D984" s="6" t="inlineStr">
        <is>
          <t>Tratamiento Capilar Anticaída Vichy Dercos Aminexil Pro Mujer x 12 Ampollas x 6 ml</t>
        </is>
      </c>
      <c r="E984" s="6" t="inlineStr">
        <is>
          <t>Vichy</t>
        </is>
      </c>
      <c r="F984" s="6" t="n">
        <v>143134</v>
      </c>
      <c r="G984" s="6" t="n">
        <v>143134</v>
      </c>
      <c r="H984" s="6" t="b">
        <v>0</v>
      </c>
      <c r="I984" s="6" t="n">
        <v>6</v>
      </c>
      <c r="J984" s="6" t="n">
        <v>23855.6667</v>
      </c>
      <c r="K984" s="6" t="inlineStr">
        <is>
          <t>&gt; Dermocosmética &gt; Pelo &gt; Bálsamos y Tratamientos &gt;</t>
        </is>
      </c>
      <c r="L984" s="6" t="inlineStr">
        <is>
          <t>tratamiento</t>
        </is>
      </c>
      <c r="M984" s="6" t="inlineStr">
        <is>
          <t>estandar</t>
        </is>
      </c>
      <c r="N984" s="6" t="inlineStr">
        <is>
          <t>general</t>
        </is>
      </c>
      <c r="O984" s="6" t="inlineStr">
        <is>
          <t>https://www.farmacity.com/tratamiento-capilar-anticaida-dercos-aminexil-pro-para-mujer-12-un-x-6ml-c-u/p</t>
        </is>
      </c>
    </row>
    <row r="985">
      <c r="A985" t="inlineStr">
        <is>
          <t>Farmacity</t>
        </is>
      </c>
      <c r="B985" t="n">
        <v>4153</v>
      </c>
      <c r="C985" t="n">
        <v>138603</v>
      </c>
      <c r="D985" t="inlineStr">
        <is>
          <t>Tratamiento Intensivo Revitalizante Anticaída Eucerin DermoCapillaire x 100 ml</t>
        </is>
      </c>
      <c r="E985" t="inlineStr">
        <is>
          <t>Eucerin</t>
        </is>
      </c>
      <c r="F985" t="n">
        <v>19938</v>
      </c>
      <c r="G985" t="n">
        <v>39877</v>
      </c>
      <c r="H985" t="b">
        <v>0</v>
      </c>
      <c r="I985" t="n">
        <v>100</v>
      </c>
      <c r="J985" t="n">
        <v>199.38</v>
      </c>
      <c r="K985" t="inlineStr">
        <is>
          <t>&gt; Dermocosmética &gt; Pelo &gt; Bálsamos y Tratamientos &gt;</t>
        </is>
      </c>
      <c r="L985" t="inlineStr">
        <is>
          <t>tratamiento</t>
        </is>
      </c>
      <c r="M985" t="inlineStr">
        <is>
          <t>estandar</t>
        </is>
      </c>
      <c r="N985" t="inlineStr">
        <is>
          <t>general</t>
        </is>
      </c>
      <c r="O985" t="inlineStr">
        <is>
          <t>https://www.farmacity.com/tratamiento-revitalizante-anticaida-x-100-ml/p</t>
        </is>
      </c>
    </row>
    <row r="986">
      <c r="A986" s="6" t="inlineStr">
        <is>
          <t>Farmacity</t>
        </is>
      </c>
      <c r="B986" s="6" t="n">
        <v>220444</v>
      </c>
      <c r="C986" s="6" t="n">
        <v>220444</v>
      </c>
      <c r="D986" s="6" t="inlineStr">
        <is>
          <t>Tratamiento Reparador Antifrizz Nic Frizzmineitor x 200 ml</t>
        </is>
      </c>
      <c r="E986" s="6" t="inlineStr">
        <is>
          <t>Nic</t>
        </is>
      </c>
      <c r="F986" s="6" t="n">
        <v>7145</v>
      </c>
      <c r="G986" s="6" t="n">
        <v>14290</v>
      </c>
      <c r="H986" s="6" t="b">
        <v>0</v>
      </c>
      <c r="I986" s="6" t="n">
        <v>200</v>
      </c>
      <c r="J986" s="6" t="n">
        <v>35.725</v>
      </c>
      <c r="K986" s="6" t="inlineStr">
        <is>
          <t>&gt; Cuidado Capilar &gt; Reparación Y Tratamiento &gt;</t>
        </is>
      </c>
      <c r="L986" s="6" t="inlineStr">
        <is>
          <t>tratamiento</t>
        </is>
      </c>
      <c r="M986" s="6" t="inlineStr">
        <is>
          <t>estandar</t>
        </is>
      </c>
      <c r="N986" s="6" t="inlineStr">
        <is>
          <t>general</t>
        </is>
      </c>
      <c r="O986" s="6" t="inlineStr">
        <is>
          <t>https://www.farmacity.com/tratamiento-capilar-nic-frizzmineitor-x-200-ml/p</t>
        </is>
      </c>
    </row>
    <row r="987">
      <c r="A987" t="inlineStr">
        <is>
          <t>Farmacity</t>
        </is>
      </c>
      <c r="B987" t="n">
        <v>249893</v>
      </c>
      <c r="C987" t="n">
        <v>249893</v>
      </c>
      <c r="D987" t="inlineStr">
        <is>
          <t>Crema de Tratamiento Skala 2 en 1 Mais Cachos x 1 k</t>
        </is>
      </c>
      <c r="E987" t="inlineStr">
        <is>
          <t>Skala</t>
        </is>
      </c>
      <c r="F987" t="n">
        <v>6890</v>
      </c>
      <c r="G987" t="n">
        <v>6890</v>
      </c>
      <c r="H987" t="b">
        <v>0</v>
      </c>
      <c r="I987" t="inlineStr"/>
      <c r="J987" t="inlineStr"/>
      <c r="K987" t="inlineStr">
        <is>
          <t>&gt; Cuidado Capilar &gt; Reparación Y Tratamiento &gt;</t>
        </is>
      </c>
      <c r="L987" t="inlineStr">
        <is>
          <t>tratamiento</t>
        </is>
      </c>
      <c r="M987" t="inlineStr">
        <is>
          <t>estandar</t>
        </is>
      </c>
      <c r="N987" t="inlineStr">
        <is>
          <t>general</t>
        </is>
      </c>
      <c r="O987" t="inlineStr">
        <is>
          <t>https://www.farmacity.com/crema-de-tratamiento-skala-2-en-1-mais-cachos-x-1-k/p</t>
        </is>
      </c>
    </row>
    <row r="988">
      <c r="A988" s="6" t="inlineStr">
        <is>
          <t>Farmacity</t>
        </is>
      </c>
      <c r="B988" s="6" t="n">
        <v>228361</v>
      </c>
      <c r="C988" s="6" t="n">
        <v>228361</v>
      </c>
      <c r="D988" s="6" t="inlineStr">
        <is>
          <t>Crema Tratamiento Dove 1 Minuto Ritual de Fortalecimiento x 300 g</t>
        </is>
      </c>
      <c r="E988" s="6" t="inlineStr">
        <is>
          <t>Dove</t>
        </is>
      </c>
      <c r="F988" s="6" t="n">
        <v>4715</v>
      </c>
      <c r="G988" s="6" t="n">
        <v>4715</v>
      </c>
      <c r="H988" s="6" t="b">
        <v>0</v>
      </c>
      <c r="I988" s="6" t="n">
        <v>300</v>
      </c>
      <c r="J988" s="6" t="n">
        <v>15.7167</v>
      </c>
      <c r="K988" s="6" t="inlineStr">
        <is>
          <t>&gt; Cuidado Capilar &gt; Reparación Y Tratamiento &gt;</t>
        </is>
      </c>
      <c r="L988" s="6" t="inlineStr">
        <is>
          <t>tratamiento</t>
        </is>
      </c>
      <c r="M988" s="6" t="inlineStr">
        <is>
          <t>estandar</t>
        </is>
      </c>
      <c r="N988" s="6" t="inlineStr">
        <is>
          <t>general</t>
        </is>
      </c>
      <c r="O988" s="6" t="inlineStr">
        <is>
          <t>https://www.farmacity.com/crema-tratamiento-dove-1-minuto-ritual-de-fortalecimiento-x-300-g/p</t>
        </is>
      </c>
    </row>
    <row r="989">
      <c r="A989" t="inlineStr">
        <is>
          <t>Farmacity</t>
        </is>
      </c>
      <c r="B989" t="n">
        <v>229632</v>
      </c>
      <c r="C989" t="n">
        <v>229632</v>
      </c>
      <c r="D989" t="inlineStr">
        <is>
          <t>Crema Tratamiento Dove Real Nutrición + Geranio x 190 g</t>
        </is>
      </c>
      <c r="E989" t="inlineStr">
        <is>
          <t>Dove</t>
        </is>
      </c>
      <c r="F989" t="n">
        <v>5273</v>
      </c>
      <c r="G989" t="n">
        <v>5273</v>
      </c>
      <c r="H989" t="b">
        <v>0</v>
      </c>
      <c r="I989" t="n">
        <v>190</v>
      </c>
      <c r="J989" t="n">
        <v>27.7526</v>
      </c>
      <c r="K989" t="inlineStr">
        <is>
          <t>&gt; Cuidado Capilar &gt; Reparación Y Tratamiento &gt;</t>
        </is>
      </c>
      <c r="L989" t="inlineStr">
        <is>
          <t>tratamiento</t>
        </is>
      </c>
      <c r="M989" t="inlineStr">
        <is>
          <t>estandar</t>
        </is>
      </c>
      <c r="N989" t="inlineStr">
        <is>
          <t>general</t>
        </is>
      </c>
      <c r="O989" t="inlineStr">
        <is>
          <t>https://www.farmacity.com/crema-tratamiento-dove-poder-de-las-plantas-nutricion-geranio-x-190-g/p</t>
        </is>
      </c>
    </row>
    <row r="990">
      <c r="A990" s="6" t="inlineStr">
        <is>
          <t>Farmacity</t>
        </is>
      </c>
      <c r="B990" s="6" t="n">
        <v>228359</v>
      </c>
      <c r="C990" s="6" t="n">
        <v>228359</v>
      </c>
      <c r="D990" s="6" t="inlineStr">
        <is>
          <t>Crema Tratamiento Dove 1 Minuto Ritual de Crecimiento x 300 g</t>
        </is>
      </c>
      <c r="E990" s="6" t="inlineStr">
        <is>
          <t>Dove</t>
        </is>
      </c>
      <c r="F990" s="6" t="n">
        <v>7692</v>
      </c>
      <c r="G990" s="6" t="n">
        <v>7692</v>
      </c>
      <c r="H990" s="6" t="b">
        <v>0</v>
      </c>
      <c r="I990" s="6" t="n">
        <v>300</v>
      </c>
      <c r="J990" s="6" t="n">
        <v>25.64</v>
      </c>
      <c r="K990" s="6" t="inlineStr">
        <is>
          <t>&gt; Cuidado Capilar &gt; Reparación Y Tratamiento &gt;</t>
        </is>
      </c>
      <c r="L990" s="6" t="inlineStr">
        <is>
          <t>tratamiento</t>
        </is>
      </c>
      <c r="M990" s="6" t="inlineStr">
        <is>
          <t>estandar</t>
        </is>
      </c>
      <c r="N990" s="6" t="inlineStr">
        <is>
          <t>general</t>
        </is>
      </c>
      <c r="O990" s="6" t="inlineStr">
        <is>
          <t>https://www.farmacity.com/crema-tratamiento-dove-1-minuto-ritual-de-crecimiento-x-300-g/p</t>
        </is>
      </c>
    </row>
    <row r="991">
      <c r="A991" t="inlineStr">
        <is>
          <t>Farmacity</t>
        </is>
      </c>
      <c r="B991" t="n">
        <v>910</v>
      </c>
      <c r="C991" t="n">
        <v>23733</v>
      </c>
      <c r="D991" t="inlineStr">
        <is>
          <t>Loción Capilar Capilatis Anti Piojos x 120 ml</t>
        </is>
      </c>
      <c r="E991" t="inlineStr">
        <is>
          <t>Capilatis</t>
        </is>
      </c>
      <c r="F991" t="n">
        <v>6875</v>
      </c>
      <c r="G991" t="n">
        <v>6875</v>
      </c>
      <c r="H991" t="b">
        <v>0</v>
      </c>
      <c r="I991" t="n">
        <v>120</v>
      </c>
      <c r="J991" t="n">
        <v>57.2917</v>
      </c>
      <c r="K991" t="inlineStr">
        <is>
          <t>&gt; Farmacia &gt; Pediculosis &gt; Lociones, Enjuagues Y Emulsiones &gt;</t>
        </is>
      </c>
      <c r="L991" t="inlineStr">
        <is>
          <t>shampoo</t>
        </is>
      </c>
      <c r="M991" t="inlineStr">
        <is>
          <t>estandar</t>
        </is>
      </c>
      <c r="N991" t="inlineStr">
        <is>
          <t>general</t>
        </is>
      </c>
      <c r="O991" t="inlineStr">
        <is>
          <t>https://www.farmacity.com/locion-a-base-de-palo-amargo-x-120-ml/p</t>
        </is>
      </c>
    </row>
    <row r="992">
      <c r="A992" s="6" t="inlineStr">
        <is>
          <t>Farmacity</t>
        </is>
      </c>
      <c r="B992" s="6" t="n">
        <v>217099</v>
      </c>
      <c r="C992" s="6" t="n">
        <v>217099</v>
      </c>
      <c r="D992" s="6" t="inlineStr">
        <is>
          <t>Máscara Capilar Alfaparf Milano Reconstruction x 200 ml</t>
        </is>
      </c>
      <c r="E992" s="6" t="inlineStr">
        <is>
          <t>Alfaparf Milano</t>
        </is>
      </c>
      <c r="F992" s="6" t="n">
        <v>62477</v>
      </c>
      <c r="G992" s="6" t="n">
        <v>62477</v>
      </c>
      <c r="H992" s="6" t="b">
        <v>0</v>
      </c>
      <c r="I992" s="6" t="n">
        <v>200</v>
      </c>
      <c r="J992" s="6" t="n">
        <v>312.385</v>
      </c>
      <c r="K992" s="6" t="inlineStr">
        <is>
          <t>&gt; Cuidado Capilar &gt; Reparación Y Tratamiento &gt;</t>
        </is>
      </c>
      <c r="L992" s="6" t="inlineStr">
        <is>
          <t>shampoo</t>
        </is>
      </c>
      <c r="M992" s="6" t="inlineStr">
        <is>
          <t>estandar</t>
        </is>
      </c>
      <c r="N992" s="6" t="inlineStr">
        <is>
          <t>general</t>
        </is>
      </c>
      <c r="O992" s="6" t="inlineStr">
        <is>
          <t>https://www.farmacity.com/mascara-capilar-alfaparf-milano-semi-di-lino-reconstruction-x-200-ml/p</t>
        </is>
      </c>
    </row>
    <row r="993">
      <c r="A993" t="inlineStr">
        <is>
          <t>Farmacity</t>
        </is>
      </c>
      <c r="B993" t="n">
        <v>249894</v>
      </c>
      <c r="C993" t="n">
        <v>249894</v>
      </c>
      <c r="D993" t="inlineStr">
        <is>
          <t>Crema de Tratamiento Skala 2 en 1 Bomba S.O.S x 1 k</t>
        </is>
      </c>
      <c r="E993" t="inlineStr">
        <is>
          <t>Skala</t>
        </is>
      </c>
      <c r="F993" t="n">
        <v>6890</v>
      </c>
      <c r="G993" t="n">
        <v>6890</v>
      </c>
      <c r="H993" t="b">
        <v>0</v>
      </c>
      <c r="I993" t="inlineStr"/>
      <c r="J993" t="inlineStr"/>
      <c r="K993" t="inlineStr">
        <is>
          <t>&gt; Cuidado Capilar &gt; Reparación Y Tratamiento &gt;</t>
        </is>
      </c>
      <c r="L993" t="inlineStr">
        <is>
          <t>tratamiento</t>
        </is>
      </c>
      <c r="M993" t="inlineStr">
        <is>
          <t>estandar</t>
        </is>
      </c>
      <c r="N993" t="inlineStr">
        <is>
          <t>general</t>
        </is>
      </c>
      <c r="O993" t="inlineStr">
        <is>
          <t>https://www.farmacity.com/crema-de-tratamiento-skala-2-en-1-bomba-s-o-s-x-1-k/p</t>
        </is>
      </c>
    </row>
    <row r="994">
      <c r="A994" s="6" t="inlineStr">
        <is>
          <t>Farmacity</t>
        </is>
      </c>
      <c r="B994" s="6" t="n">
        <v>228735</v>
      </c>
      <c r="C994" s="6" t="n">
        <v>228735</v>
      </c>
      <c r="D994" s="6" t="inlineStr">
        <is>
          <t>Ampolla Capilar Biferdil 1007 Caída Leve x 20 ml</t>
        </is>
      </c>
      <c r="E994" s="6" t="inlineStr">
        <is>
          <t>Biferdil</t>
        </is>
      </c>
      <c r="F994" s="6" t="n">
        <v>7300</v>
      </c>
      <c r="G994" s="6" t="n">
        <v>7300</v>
      </c>
      <c r="H994" s="6" t="b">
        <v>0</v>
      </c>
      <c r="I994" s="6" t="n">
        <v>20</v>
      </c>
      <c r="J994" s="6" t="n">
        <v>365</v>
      </c>
      <c r="K994" s="6" t="inlineStr">
        <is>
          <t>&gt; Cuidado Capilar &gt; Reparación Y Tratamiento &gt;</t>
        </is>
      </c>
      <c r="L994" s="6" t="inlineStr">
        <is>
          <t>shampoo</t>
        </is>
      </c>
      <c r="M994" s="6" t="inlineStr">
        <is>
          <t>estandar</t>
        </is>
      </c>
      <c r="N994" s="6" t="inlineStr">
        <is>
          <t>general</t>
        </is>
      </c>
      <c r="O994" s="6" t="inlineStr">
        <is>
          <t>https://www.farmacity.com/ampolla-capilar-biferdil-1007-caida-leve-del-cabello-con-extractos-vegetales-y-oligoelementos-x-20-ml/p</t>
        </is>
      </c>
    </row>
    <row r="995">
      <c r="A995" t="inlineStr">
        <is>
          <t>Farmacity</t>
        </is>
      </c>
      <c r="B995" t="n">
        <v>217253</v>
      </c>
      <c r="C995" t="n">
        <v>217253</v>
      </c>
      <c r="D995" t="inlineStr">
        <is>
          <t>Óleo Capilar Ogx Argan Oil of Morocco x 100 ml</t>
        </is>
      </c>
      <c r="E995" t="inlineStr">
        <is>
          <t>OGX</t>
        </is>
      </c>
      <c r="F995" t="n">
        <v>31640</v>
      </c>
      <c r="G995" t="n">
        <v>31640</v>
      </c>
      <c r="H995" t="b">
        <v>0</v>
      </c>
      <c r="I995" t="n">
        <v>100</v>
      </c>
      <c r="J995" t="n">
        <v>316.4</v>
      </c>
      <c r="K995" t="inlineStr">
        <is>
          <t>&gt; Cuidado Capilar &gt; Reparación Y Tratamiento &gt;</t>
        </is>
      </c>
      <c r="L995" t="inlineStr">
        <is>
          <t>shampoo</t>
        </is>
      </c>
      <c r="M995" t="inlineStr">
        <is>
          <t>estandar</t>
        </is>
      </c>
      <c r="N995" t="inlineStr">
        <is>
          <t>general</t>
        </is>
      </c>
      <c r="O995" t="inlineStr">
        <is>
          <t>https://www.farmacity.com/oleo-capilar-ogx-argan-oil-of-morocco-x-100-ml/p</t>
        </is>
      </c>
    </row>
    <row r="996">
      <c r="A996" s="6" t="inlineStr">
        <is>
          <t>Farmacity</t>
        </is>
      </c>
      <c r="B996" s="6" t="n">
        <v>236812</v>
      </c>
      <c r="C996" s="6" t="n">
        <v>236812</v>
      </c>
      <c r="D996" s="6" t="inlineStr">
        <is>
          <t>Loción Capilar Sedal Prebióticos+Biotina x 100 ml</t>
        </is>
      </c>
      <c r="E996" s="6" t="inlineStr">
        <is>
          <t>Sedal</t>
        </is>
      </c>
      <c r="F996" s="6" t="n">
        <v>6233</v>
      </c>
      <c r="G996" s="6" t="n">
        <v>6233</v>
      </c>
      <c r="H996" s="6" t="b">
        <v>0</v>
      </c>
      <c r="I996" s="6" t="n">
        <v>100</v>
      </c>
      <c r="J996" s="6" t="n">
        <v>62.33</v>
      </c>
      <c r="K996" s="6" t="inlineStr">
        <is>
          <t>&gt; Cuidado Capilar &gt; Reparación Y Tratamiento &gt;</t>
        </is>
      </c>
      <c r="L996" s="6" t="inlineStr">
        <is>
          <t>shampoo</t>
        </is>
      </c>
      <c r="M996" s="6" t="inlineStr">
        <is>
          <t>estandar</t>
        </is>
      </c>
      <c r="N996" s="6" t="inlineStr">
        <is>
          <t>general</t>
        </is>
      </c>
      <c r="O996" s="6" t="inlineStr">
        <is>
          <t>https://www.farmacity.com/locion-capilar-sedal-prebioticos-biotina-x-100-ml/p</t>
        </is>
      </c>
    </row>
    <row r="997">
      <c r="A997" t="inlineStr">
        <is>
          <t>Farmacity</t>
        </is>
      </c>
      <c r="B997" t="n">
        <v>228734</v>
      </c>
      <c r="C997" t="n">
        <v>228734</v>
      </c>
      <c r="D997" t="inlineStr">
        <is>
          <t>Ampolla Capilar Biferdil 1044 Cabello Graso con Keratina Hidrolizada x 20 ml</t>
        </is>
      </c>
      <c r="E997" t="inlineStr">
        <is>
          <t>Biferdil</t>
        </is>
      </c>
      <c r="F997" t="n">
        <v>7300</v>
      </c>
      <c r="G997" t="n">
        <v>7300</v>
      </c>
      <c r="H997" t="b">
        <v>0</v>
      </c>
      <c r="I997" t="n">
        <v>20</v>
      </c>
      <c r="J997" t="n">
        <v>365</v>
      </c>
      <c r="K997" t="inlineStr">
        <is>
          <t>&gt; Cuidado Capilar &gt; Reparación Y Tratamiento &gt;</t>
        </is>
      </c>
      <c r="L997" t="inlineStr">
        <is>
          <t>shampoo</t>
        </is>
      </c>
      <c r="M997" t="inlineStr">
        <is>
          <t>estandar</t>
        </is>
      </c>
      <c r="N997" t="inlineStr">
        <is>
          <t>tratado</t>
        </is>
      </c>
      <c r="O997" t="inlineStr">
        <is>
          <t>https://www.farmacity.com/ampolla-capilar-biferdil-1044-cabello-graso-con-keratina-hidrolizada-x-20-ml/p</t>
        </is>
      </c>
    </row>
    <row r="998">
      <c r="A998" s="6" t="inlineStr">
        <is>
          <t>Farmacity</t>
        </is>
      </c>
      <c r="B998" s="6" t="n">
        <v>238284</v>
      </c>
      <c r="C998" s="6" t="n">
        <v>238284</v>
      </c>
      <c r="D998" s="6" t="inlineStr">
        <is>
          <t>Sérum Coony Hair Miracle x 130 ml</t>
        </is>
      </c>
      <c r="E998" s="6" t="inlineStr">
        <is>
          <t>Coony</t>
        </is>
      </c>
      <c r="F998" s="6" t="n">
        <v>40689</v>
      </c>
      <c r="G998" s="6" t="n">
        <v>40689</v>
      </c>
      <c r="H998" s="6" t="b">
        <v>0</v>
      </c>
      <c r="I998" s="6" t="n">
        <v>130</v>
      </c>
      <c r="J998" s="6" t="n">
        <v>312.9923</v>
      </c>
      <c r="K998" s="6" t="inlineStr">
        <is>
          <t>&gt; Cuidado Capilar &gt; Reparación Y Tratamiento &gt;</t>
        </is>
      </c>
      <c r="L998" s="6" t="inlineStr">
        <is>
          <t>shampoo</t>
        </is>
      </c>
      <c r="M998" s="6" t="inlineStr">
        <is>
          <t>estandar</t>
        </is>
      </c>
      <c r="N998" s="6" t="inlineStr">
        <is>
          <t>general</t>
        </is>
      </c>
      <c r="O998" s="6" t="inlineStr">
        <is>
          <t>https://www.farmacity.com/serum-coony-hair-miracle-x-130-ml/p</t>
        </is>
      </c>
    </row>
    <row r="999">
      <c r="A999" t="inlineStr">
        <is>
          <t>Farmacity</t>
        </is>
      </c>
      <c r="B999" t="n">
        <v>241587</v>
      </c>
      <c r="C999" t="n">
        <v>241587</v>
      </c>
      <c r="D999" t="inlineStr">
        <is>
          <t>Óleo Nuxe Prodigieux Prewash x 125 ml</t>
        </is>
      </c>
      <c r="E999" t="inlineStr">
        <is>
          <t>Nuxe</t>
        </is>
      </c>
      <c r="F999" t="n">
        <v>65405</v>
      </c>
      <c r="G999" t="n">
        <v>65405</v>
      </c>
      <c r="H999" t="b">
        <v>0</v>
      </c>
      <c r="I999" t="n">
        <v>125</v>
      </c>
      <c r="J999" t="n">
        <v>523.24</v>
      </c>
      <c r="K999" t="inlineStr">
        <is>
          <t>&gt; Cuidado Capilar &gt; Reparación Y Tratamiento &gt;</t>
        </is>
      </c>
      <c r="L999" t="inlineStr">
        <is>
          <t>shampoo</t>
        </is>
      </c>
      <c r="M999" t="inlineStr">
        <is>
          <t>estandar</t>
        </is>
      </c>
      <c r="N999" t="inlineStr">
        <is>
          <t>general</t>
        </is>
      </c>
      <c r="O999" t="inlineStr">
        <is>
          <t>https://www.farmacity.com/oleo-nuxe-prodigieux-prewash-x-125-ml/p</t>
        </is>
      </c>
    </row>
    <row r="1000">
      <c r="A1000" s="6" t="inlineStr">
        <is>
          <t>Farmacity</t>
        </is>
      </c>
      <c r="B1000" s="6" t="n">
        <v>250193</v>
      </c>
      <c r="C1000" s="6" t="n">
        <v>250193</v>
      </c>
      <c r="D1000" s="6" t="inlineStr">
        <is>
          <t>Protector Térmico La Puissance x 250 ml</t>
        </is>
      </c>
      <c r="E1000" s="6" t="inlineStr">
        <is>
          <t>La Puissance</t>
        </is>
      </c>
      <c r="F1000" s="6" t="n">
        <v>21300</v>
      </c>
      <c r="G1000" s="6" t="n">
        <v>21300</v>
      </c>
      <c r="H1000" s="6" t="b">
        <v>0</v>
      </c>
      <c r="I1000" s="6" t="n">
        <v>250</v>
      </c>
      <c r="J1000" s="6" t="n">
        <v>85.2</v>
      </c>
      <c r="K1000" s="6" t="inlineStr">
        <is>
          <t>&gt; Cuidado Capilar &gt; Reparación Y Tratamiento &gt;</t>
        </is>
      </c>
      <c r="L1000" s="6" t="inlineStr">
        <is>
          <t>shampoo</t>
        </is>
      </c>
      <c r="M1000" s="6" t="inlineStr">
        <is>
          <t>estandar</t>
        </is>
      </c>
      <c r="N1000" s="6" t="inlineStr">
        <is>
          <t>general</t>
        </is>
      </c>
      <c r="O1000" s="6" t="inlineStr">
        <is>
          <t>https://www.farmacity.com/protector-termico-la-puissance-x-250-ml/p</t>
        </is>
      </c>
    </row>
    <row r="1001">
      <c r="A1001" t="inlineStr">
        <is>
          <t>Farmacity</t>
        </is>
      </c>
      <c r="B1001" t="n">
        <v>218823</v>
      </c>
      <c r="C1001" t="n">
        <v>218823</v>
      </c>
      <c r="D1001" t="inlineStr">
        <is>
          <t>Crema de Peinar Pantene Bambú Nutre y Crece x 300 ml</t>
        </is>
      </c>
      <c r="E1001" t="inlineStr">
        <is>
          <t>Pantene</t>
        </is>
      </c>
      <c r="F1001" t="n">
        <v>5229</v>
      </c>
      <c r="G1001" t="n">
        <v>5229</v>
      </c>
      <c r="H1001" t="b">
        <v>0</v>
      </c>
      <c r="I1001" t="n">
        <v>300</v>
      </c>
      <c r="J1001" t="n">
        <v>17.43</v>
      </c>
      <c r="K1001" t="inlineStr">
        <is>
          <t>&gt; Cuidado Capilar &gt; Modelado Y Peinado &gt;</t>
        </is>
      </c>
      <c r="L1001" t="inlineStr">
        <is>
          <t>shampoo</t>
        </is>
      </c>
      <c r="M1001" t="inlineStr">
        <is>
          <t>estandar</t>
        </is>
      </c>
      <c r="N1001" t="inlineStr">
        <is>
          <t>general</t>
        </is>
      </c>
      <c r="O1001" t="inlineStr">
        <is>
          <t>https://www.farmacity.com/crema-de-peinar-pantene-bambu-nutre-y-crece-x-300-ml/p</t>
        </is>
      </c>
    </row>
    <row r="1002">
      <c r="A1002" s="6" t="inlineStr">
        <is>
          <t>Farmacity</t>
        </is>
      </c>
      <c r="B1002" s="6" t="n">
        <v>219384</v>
      </c>
      <c r="C1002" s="6" t="n">
        <v>219384</v>
      </c>
      <c r="D1002" s="6" t="inlineStr">
        <is>
          <t>Máscara Alta Moda é Vegano x 300 g</t>
        </is>
      </c>
      <c r="E1002" s="6" t="inlineStr">
        <is>
          <t>Alta Moda</t>
        </is>
      </c>
      <c r="F1002" s="6" t="n">
        <v>5293</v>
      </c>
      <c r="G1002" s="6" t="n">
        <v>10587</v>
      </c>
      <c r="H1002" s="6" t="b">
        <v>0</v>
      </c>
      <c r="I1002" s="6" t="n">
        <v>300</v>
      </c>
      <c r="J1002" s="6" t="n">
        <v>17.6433</v>
      </c>
      <c r="K1002" s="6" t="inlineStr">
        <is>
          <t>&gt; Cuidado Capilar &gt; Reparación Y Tratamiento &gt;</t>
        </is>
      </c>
      <c r="L1002" s="6" t="inlineStr">
        <is>
          <t>shampoo</t>
        </is>
      </c>
      <c r="M1002" s="6" t="inlineStr">
        <is>
          <t>estandar</t>
        </is>
      </c>
      <c r="N1002" s="6" t="inlineStr">
        <is>
          <t>general</t>
        </is>
      </c>
      <c r="O1002" s="6" t="inlineStr">
        <is>
          <t>https://www.farmacity.com/mascara-alta-moda-e-vegano-x-300-g/p</t>
        </is>
      </c>
    </row>
    <row r="1003">
      <c r="A1003" t="inlineStr">
        <is>
          <t>Farmacity</t>
        </is>
      </c>
      <c r="B1003" t="n">
        <v>226253</v>
      </c>
      <c r="C1003" t="n">
        <v>226253</v>
      </c>
      <c r="D1003" t="inlineStr">
        <is>
          <t>Aceite Nutritivo Klorane Mango x 100 ml</t>
        </is>
      </c>
      <c r="E1003" t="inlineStr">
        <is>
          <t>Klorane</t>
        </is>
      </c>
      <c r="F1003" t="n">
        <v>46000</v>
      </c>
      <c r="G1003" t="n">
        <v>46000</v>
      </c>
      <c r="H1003" t="b">
        <v>0</v>
      </c>
      <c r="I1003" t="n">
        <v>100</v>
      </c>
      <c r="J1003" t="n">
        <v>460</v>
      </c>
      <c r="K1003" t="inlineStr">
        <is>
          <t>&gt; Dermocosmética &gt; Pelo &gt; Bálsamos y Tratamientos &gt;</t>
        </is>
      </c>
      <c r="L1003" t="inlineStr">
        <is>
          <t>shampoo</t>
        </is>
      </c>
      <c r="M1003" t="inlineStr">
        <is>
          <t>estandar</t>
        </is>
      </c>
      <c r="N1003" t="inlineStr">
        <is>
          <t>general</t>
        </is>
      </c>
      <c r="O1003" t="inlineStr">
        <is>
          <t>https://www.farmacity.com/aceite-klorane-mango-x-100-ml/p</t>
        </is>
      </c>
    </row>
    <row r="1004">
      <c r="A1004" s="6" t="inlineStr">
        <is>
          <t>Farmacity</t>
        </is>
      </c>
      <c r="B1004" s="6" t="n">
        <v>238676</v>
      </c>
      <c r="C1004" s="6" t="n">
        <v>238676</v>
      </c>
      <c r="D1004" s="6" t="inlineStr">
        <is>
          <t>Shampoo Biferdil Kids 3 en 1 x 250 ml</t>
        </is>
      </c>
      <c r="E1004" s="6" t="inlineStr">
        <is>
          <t>Biferdil</t>
        </is>
      </c>
      <c r="F1004" s="6" t="n">
        <v>12312</v>
      </c>
      <c r="G1004" s="6" t="n">
        <v>12312</v>
      </c>
      <c r="H1004" s="6" t="b">
        <v>1</v>
      </c>
      <c r="I1004" s="6" t="n">
        <v>250</v>
      </c>
      <c r="J1004" s="6" t="n">
        <v>49.248</v>
      </c>
      <c r="K1004" s="6" t="inlineStr">
        <is>
          <t>&gt; Bebés &gt; Higiene del Bebé &gt; Baño Del Bebé &gt;</t>
        </is>
      </c>
      <c r="L1004" s="6" t="inlineStr">
        <is>
          <t>shampoo</t>
        </is>
      </c>
      <c r="M1004" s="6" t="inlineStr">
        <is>
          <t>estandar</t>
        </is>
      </c>
      <c r="N1004" s="6" t="inlineStr">
        <is>
          <t>bebe</t>
        </is>
      </c>
      <c r="O1004" s="6" t="inlineStr">
        <is>
          <t>https://www.farmacity.com/shampoo-biferdil-kids-3-en-1-x-250-ml/p</t>
        </is>
      </c>
    </row>
    <row r="1005">
      <c r="A1005" t="inlineStr">
        <is>
          <t>Farmacity</t>
        </is>
      </c>
      <c r="B1005" t="n">
        <v>230608</v>
      </c>
      <c r="C1005" t="n">
        <v>230608</v>
      </c>
      <c r="D1005" t="inlineStr">
        <is>
          <t>Shampoo Tresemmé Keratina AntiFrizz x 250 ml</t>
        </is>
      </c>
      <c r="E1005" t="inlineStr">
        <is>
          <t>Tresemmé</t>
        </is>
      </c>
      <c r="F1005" t="n">
        <v>6091</v>
      </c>
      <c r="G1005" t="n">
        <v>6091</v>
      </c>
      <c r="H1005" t="b">
        <v>1</v>
      </c>
      <c r="I1005" t="n">
        <v>250</v>
      </c>
      <c r="J1005" t="n">
        <v>24.364</v>
      </c>
      <c r="K1005" t="inlineStr">
        <is>
          <t>&gt; Cuidado Capilar &gt; Shampoo Y Acondicionador &gt;</t>
        </is>
      </c>
      <c r="L1005" t="inlineStr">
        <is>
          <t>shampoo</t>
        </is>
      </c>
      <c r="M1005" t="inlineStr">
        <is>
          <t>estandar</t>
        </is>
      </c>
      <c r="N1005" t="inlineStr">
        <is>
          <t>tratado</t>
        </is>
      </c>
      <c r="O1005" t="inlineStr">
        <is>
          <t>https://www.farmacity.com/shampoo-tresemme-keratina-antifrizz-x-250-ml/p</t>
        </is>
      </c>
    </row>
    <row r="1006">
      <c r="A1006" s="6" t="inlineStr">
        <is>
          <t>Farmacity</t>
        </is>
      </c>
      <c r="B1006" s="6" t="n">
        <v>230611</v>
      </c>
      <c r="C1006" s="6" t="n">
        <v>230611</v>
      </c>
      <c r="D1006" s="6" t="inlineStr">
        <is>
          <t>Shampoo Dosificador Tresemmé Keratina AntiFrizz x 500 ml</t>
        </is>
      </c>
      <c r="E1006" s="6" t="inlineStr">
        <is>
          <t>Tresemmé</t>
        </is>
      </c>
      <c r="F1006" s="6" t="n">
        <v>6574</v>
      </c>
      <c r="G1006" s="6" t="n">
        <v>10114</v>
      </c>
      <c r="H1006" s="6" t="b">
        <v>1</v>
      </c>
      <c r="I1006" s="6" t="n">
        <v>500</v>
      </c>
      <c r="J1006" s="6" t="n">
        <v>13.148</v>
      </c>
      <c r="K1006" s="6" t="inlineStr">
        <is>
          <t>&gt; Cuidado Capilar &gt; Shampoo Y Acondicionador &gt;</t>
        </is>
      </c>
      <c r="L1006" s="6" t="inlineStr">
        <is>
          <t>shampoo</t>
        </is>
      </c>
      <c r="M1006" s="6" t="inlineStr">
        <is>
          <t>estandar</t>
        </is>
      </c>
      <c r="N1006" s="6" t="inlineStr">
        <is>
          <t>tratado</t>
        </is>
      </c>
      <c r="O1006" s="6" t="inlineStr">
        <is>
          <t>https://www.farmacity.com/shampoo-dosificador-tresemme-keratina-antifrizz-x-500-ml/p</t>
        </is>
      </c>
    </row>
    <row r="1007">
      <c r="A1007" t="inlineStr">
        <is>
          <t>Farmacity</t>
        </is>
      </c>
      <c r="B1007" t="n">
        <v>215038</v>
      </c>
      <c r="C1007" t="n">
        <v>215038</v>
      </c>
      <c r="D1007" t="inlineStr">
        <is>
          <t>Shampoo Elvive Dream Long Liss x 400 ml</t>
        </is>
      </c>
      <c r="E1007" t="inlineStr">
        <is>
          <t>Elvive</t>
        </is>
      </c>
      <c r="F1007" t="n">
        <v>4399</v>
      </c>
      <c r="G1007" t="n">
        <v>8799</v>
      </c>
      <c r="H1007" t="b">
        <v>1</v>
      </c>
      <c r="I1007" t="n">
        <v>400</v>
      </c>
      <c r="J1007" t="n">
        <v>10.9975</v>
      </c>
      <c r="K1007" t="inlineStr">
        <is>
          <t>&gt; Cuidado Capilar &gt; Shampoo Y Acondicionador &gt;</t>
        </is>
      </c>
      <c r="L1007" t="inlineStr">
        <is>
          <t>shampoo</t>
        </is>
      </c>
      <c r="M1007" t="inlineStr">
        <is>
          <t>profesional</t>
        </is>
      </c>
      <c r="N1007" t="inlineStr">
        <is>
          <t>general</t>
        </is>
      </c>
      <c r="O1007" t="inlineStr">
        <is>
          <t>https://www.farmacity.com/shampoo-elvive-dream-long-liss-x-400-ml/p</t>
        </is>
      </c>
    </row>
    <row r="1008">
      <c r="A1008" s="6" t="inlineStr">
        <is>
          <t>Farmacity</t>
        </is>
      </c>
      <c r="B1008" s="6" t="n">
        <v>225903</v>
      </c>
      <c r="C1008" s="6" t="n">
        <v>225903</v>
      </c>
      <c r="D1008" s="6" t="inlineStr">
        <is>
          <t>Acondicionador Dove Largos Fortalecidos x 400 ml</t>
        </is>
      </c>
      <c r="E1008" s="6" t="inlineStr">
        <is>
          <t>Dove</t>
        </is>
      </c>
      <c r="F1008" s="6" t="n">
        <v>7694</v>
      </c>
      <c r="G1008" s="6" t="n">
        <v>7694</v>
      </c>
      <c r="H1008" s="6" t="b">
        <v>0</v>
      </c>
      <c r="I1008" s="6" t="n">
        <v>400</v>
      </c>
      <c r="J1008" s="6" t="n">
        <v>19.235</v>
      </c>
      <c r="K1008" s="6" t="inlineStr">
        <is>
          <t>&gt; Cuidado Capilar &gt; Shampoo Y Acondicionador &gt;</t>
        </is>
      </c>
      <c r="L1008" s="6" t="inlineStr">
        <is>
          <t>acondicionador</t>
        </is>
      </c>
      <c r="M1008" s="6" t="inlineStr">
        <is>
          <t>estandar</t>
        </is>
      </c>
      <c r="N1008" s="6" t="inlineStr">
        <is>
          <t>general</t>
        </is>
      </c>
      <c r="O1008" s="6" t="inlineStr">
        <is>
          <t>https://www.farmacity.com/acondicionador-dove-largos-fuertes-y-flexibles-x-400-ml/p</t>
        </is>
      </c>
    </row>
    <row r="1009">
      <c r="A1009" t="inlineStr">
        <is>
          <t>Farmacity</t>
        </is>
      </c>
      <c r="B1009" t="n">
        <v>229630</v>
      </c>
      <c r="C1009" t="n">
        <v>229630</v>
      </c>
      <c r="D1009" t="inlineStr">
        <is>
          <t>Acondicionador Dove Real Purificación + Jengibre x 300 ml</t>
        </is>
      </c>
      <c r="E1009" t="inlineStr">
        <is>
          <t>Dove</t>
        </is>
      </c>
      <c r="F1009" t="n">
        <v>6874</v>
      </c>
      <c r="G1009" t="n">
        <v>6874</v>
      </c>
      <c r="H1009" t="b">
        <v>0</v>
      </c>
      <c r="I1009" t="n">
        <v>300</v>
      </c>
      <c r="J1009" t="n">
        <v>22.9133</v>
      </c>
      <c r="K1009" t="inlineStr">
        <is>
          <t>&gt; Cuidado Capilar &gt; Shampoo Y Acondicionador &gt;</t>
        </is>
      </c>
      <c r="L1009" t="inlineStr">
        <is>
          <t>acondicionador</t>
        </is>
      </c>
      <c r="M1009" t="inlineStr">
        <is>
          <t>estandar</t>
        </is>
      </c>
      <c r="N1009" t="inlineStr">
        <is>
          <t>general</t>
        </is>
      </c>
      <c r="O1009" t="inlineStr">
        <is>
          <t>https://www.farmacity.com/acondicionador-dove-plant-power-purificacion-jengibre-x-300-ml/p</t>
        </is>
      </c>
    </row>
    <row r="1010">
      <c r="A1010" s="6" t="inlineStr">
        <is>
          <t>Farmacity</t>
        </is>
      </c>
      <c r="B1010" s="6" t="n">
        <v>230216</v>
      </c>
      <c r="C1010" s="6" t="n">
        <v>230216</v>
      </c>
      <c r="D1010" s="6" t="inlineStr">
        <is>
          <t>Sérum Concentrado Pantene Pro-V Miracles Colágeno Nutre &amp; Revitaliza Sellador de Puntas x 90 ml Sérum Concentrado Pantene Pro-V Miracles Colágeno Nutre &amp; Revitaliza Sellador de Puntas 90 ml</t>
        </is>
      </c>
      <c r="E1010" s="6" t="inlineStr">
        <is>
          <t>Pantene</t>
        </is>
      </c>
      <c r="F1010" s="6" t="n">
        <v>8408</v>
      </c>
      <c r="G1010" s="6" t="n">
        <v>8408</v>
      </c>
      <c r="H1010" s="6" t="b">
        <v>1</v>
      </c>
      <c r="I1010" s="6" t="n">
        <v>90</v>
      </c>
      <c r="J1010" s="6" t="n">
        <v>93.4222</v>
      </c>
      <c r="K1010" s="6" t="inlineStr">
        <is>
          <t>&gt; Cuidado Capilar &gt; Reparación Y Tratamiento &gt;</t>
        </is>
      </c>
      <c r="L1010" s="6" t="inlineStr">
        <is>
          <t>shampoo</t>
        </is>
      </c>
      <c r="M1010" s="6" t="inlineStr">
        <is>
          <t>profesional</t>
        </is>
      </c>
      <c r="N1010" s="6" t="inlineStr">
        <is>
          <t>general</t>
        </is>
      </c>
      <c r="O1010" s="6" t="inlineStr">
        <is>
          <t>https://www.farmacity.com/serum-pantene-con-colageno-x-90-ml/p</t>
        </is>
      </c>
    </row>
    <row r="1011">
      <c r="A1011" t="inlineStr">
        <is>
          <t>Farmacity</t>
        </is>
      </c>
      <c r="B1011" t="n">
        <v>235654</v>
      </c>
      <c r="C1011" t="n">
        <v>235654</v>
      </c>
      <c r="D1011" t="inlineStr">
        <is>
          <t>Shampoo Pantene Pro-V Miracles Detox Limpia - Purifica x 400 ml</t>
        </is>
      </c>
      <c r="E1011" t="inlineStr">
        <is>
          <t>Pantene</t>
        </is>
      </c>
      <c r="F1011" t="n">
        <v>6137</v>
      </c>
      <c r="G1011" t="n">
        <v>10228</v>
      </c>
      <c r="H1011" t="b">
        <v>1</v>
      </c>
      <c r="I1011" t="n">
        <v>400</v>
      </c>
      <c r="J1011" t="n">
        <v>15.3425</v>
      </c>
      <c r="K1011" t="inlineStr">
        <is>
          <t>&gt; Cuidado Capilar &gt; Shampoo Y Acondicionador &gt;</t>
        </is>
      </c>
      <c r="L1011" t="inlineStr">
        <is>
          <t>shampoo</t>
        </is>
      </c>
      <c r="M1011" t="inlineStr">
        <is>
          <t>profesional</t>
        </is>
      </c>
      <c r="N1011" t="inlineStr">
        <is>
          <t>general</t>
        </is>
      </c>
      <c r="O1011" t="inlineStr">
        <is>
          <t>https://www.farmacity.com/shampoo-pantene-pro-v-miracles-detox-x-400-ml/p</t>
        </is>
      </c>
    </row>
    <row r="1012">
      <c r="A1012" s="6" t="inlineStr">
        <is>
          <t>Farmacity</t>
        </is>
      </c>
      <c r="B1012" s="6" t="n">
        <v>244547</v>
      </c>
      <c r="C1012" s="6" t="n">
        <v>244547</v>
      </c>
      <c r="D1012" s="6" t="inlineStr">
        <is>
          <t>Crema para Peinar fortalecedora Pantene Biotinamina B3 para Cabello Quebradizo x 300 ml</t>
        </is>
      </c>
      <c r="E1012" s="6" t="inlineStr">
        <is>
          <t>Pantene</t>
        </is>
      </c>
      <c r="F1012" s="6" t="n">
        <v>9024</v>
      </c>
      <c r="G1012" s="6" t="n">
        <v>9024</v>
      </c>
      <c r="H1012" s="6" t="b">
        <v>1</v>
      </c>
      <c r="I1012" s="6" t="n">
        <v>300</v>
      </c>
      <c r="J1012" s="6" t="n">
        <v>30.08</v>
      </c>
      <c r="K1012" s="6" t="inlineStr">
        <is>
          <t>&gt; Cuidado Capilar &gt; Modelado Y Peinado &gt;</t>
        </is>
      </c>
      <c r="L1012" s="6" t="inlineStr">
        <is>
          <t>shampoo</t>
        </is>
      </c>
      <c r="M1012" s="6" t="inlineStr">
        <is>
          <t>estandar</t>
        </is>
      </c>
      <c r="N1012" s="6" t="inlineStr">
        <is>
          <t>seco_danado</t>
        </is>
      </c>
      <c r="O1012" s="6" t="inlineStr">
        <is>
          <t>https://www.farmacity.com/crema-para-peinar-pantene-anti-caida-x-300-ml/p</t>
        </is>
      </c>
    </row>
    <row r="1013">
      <c r="A1013" t="inlineStr">
        <is>
          <t>Farmacity</t>
        </is>
      </c>
      <c r="B1013" t="n">
        <v>243702</v>
      </c>
      <c r="C1013" t="n">
        <v>243702</v>
      </c>
      <c r="D1013" t="inlineStr">
        <is>
          <t>Shampoo Anticaída+Pantene Biotinamina B3 para Cabello Débil x 510 ml</t>
        </is>
      </c>
      <c r="E1013" t="inlineStr">
        <is>
          <t>Pantene</t>
        </is>
      </c>
      <c r="F1013" t="n">
        <v>10285</v>
      </c>
      <c r="G1013" t="n">
        <v>17142</v>
      </c>
      <c r="H1013" t="b">
        <v>1</v>
      </c>
      <c r="I1013" t="n">
        <v>510</v>
      </c>
      <c r="J1013" t="n">
        <v>20.1667</v>
      </c>
      <c r="K1013" t="inlineStr">
        <is>
          <t>&gt; Cuidado Capilar &gt; Shampoo Y Acondicionador &gt;</t>
        </is>
      </c>
      <c r="L1013" t="inlineStr">
        <is>
          <t>shampoo</t>
        </is>
      </c>
      <c r="M1013" t="inlineStr">
        <is>
          <t>estandar</t>
        </is>
      </c>
      <c r="N1013" t="inlineStr">
        <is>
          <t>general</t>
        </is>
      </c>
      <c r="O1013" t="inlineStr">
        <is>
          <t>https://www.farmacity.com/shampoo-anticaida-pantene-biotinamina-b3-para-cabello-debil-x-510-ml/p</t>
        </is>
      </c>
    </row>
    <row r="1014">
      <c r="A1014" s="6" t="inlineStr">
        <is>
          <t>Farmacity</t>
        </is>
      </c>
      <c r="B1014" s="6" t="n">
        <v>974</v>
      </c>
      <c r="C1014" s="6" t="n">
        <v>125487</v>
      </c>
      <c r="D1014" s="6" t="inlineStr">
        <is>
          <t>Mascarilla Intensiva Pantene Pro-V Restauración x 270 ml</t>
        </is>
      </c>
      <c r="E1014" s="6" t="inlineStr">
        <is>
          <t>Pantene</t>
        </is>
      </c>
      <c r="F1014" s="6" t="n">
        <v>10225</v>
      </c>
      <c r="G1014" s="6" t="n">
        <v>10225</v>
      </c>
      <c r="H1014" s="6" t="b">
        <v>1</v>
      </c>
      <c r="I1014" s="6" t="n">
        <v>270</v>
      </c>
      <c r="J1014" s="6" t="n">
        <v>37.8704</v>
      </c>
      <c r="K1014" s="6" t="inlineStr">
        <is>
          <t>&gt; Cuidado Capilar &gt; Reparación Y Tratamiento &gt;</t>
        </is>
      </c>
      <c r="L1014" s="6" t="inlineStr">
        <is>
          <t>tratamiento</t>
        </is>
      </c>
      <c r="M1014" s="6" t="inlineStr">
        <is>
          <t>profesional</t>
        </is>
      </c>
      <c r="N1014" s="6" t="inlineStr">
        <is>
          <t>general</t>
        </is>
      </c>
      <c r="O1014" s="6" t="inlineStr">
        <is>
          <t>https://www.farmacity.com/tratamiento-capilar-pantene-pro-v-restauracion-x-300ml/p</t>
        </is>
      </c>
    </row>
    <row r="1015">
      <c r="A1015" t="inlineStr">
        <is>
          <t>Farmacity</t>
        </is>
      </c>
      <c r="B1015" t="n">
        <v>945</v>
      </c>
      <c r="C1015" t="n">
        <v>125486</v>
      </c>
      <c r="D1015" t="inlineStr">
        <is>
          <t>Mascarilla Intensiva Pantene Pro-V Hidratación x 270 ml</t>
        </is>
      </c>
      <c r="E1015" t="inlineStr">
        <is>
          <t>Pantene</t>
        </is>
      </c>
      <c r="F1015" t="n">
        <v>10225</v>
      </c>
      <c r="G1015" t="n">
        <v>10225</v>
      </c>
      <c r="H1015" t="b">
        <v>1</v>
      </c>
      <c r="I1015" t="n">
        <v>270</v>
      </c>
      <c r="J1015" t="n">
        <v>37.8704</v>
      </c>
      <c r="K1015" t="inlineStr">
        <is>
          <t>&gt; Cuidado Capilar &gt; Reparación Y Tratamiento &gt;</t>
        </is>
      </c>
      <c r="L1015" t="inlineStr">
        <is>
          <t>tratamiento</t>
        </is>
      </c>
      <c r="M1015" t="inlineStr">
        <is>
          <t>profesional</t>
        </is>
      </c>
      <c r="N1015" t="inlineStr">
        <is>
          <t>seco_danado</t>
        </is>
      </c>
      <c r="O1015" t="inlineStr">
        <is>
          <t>https://www.farmacity.com/mascara-de-hidratacion-intensiva-pantene-pro-v-x-300ml/p</t>
        </is>
      </c>
    </row>
    <row r="1016">
      <c r="A1016" s="6" t="inlineStr">
        <is>
          <t>Farmacity</t>
        </is>
      </c>
      <c r="B1016" s="6" t="n">
        <v>245994</v>
      </c>
      <c r="C1016" s="6" t="n">
        <v>245994</v>
      </c>
      <c r="D1016" s="6" t="inlineStr">
        <is>
          <t>Combo Pantene Mascarilla Intensiva Nutrición + Mascarilla Intensiva Restauración</t>
        </is>
      </c>
      <c r="E1016" s="6" t="inlineStr">
        <is>
          <t>Pantene</t>
        </is>
      </c>
      <c r="F1016" s="6" t="n">
        <v>20450</v>
      </c>
      <c r="G1016" s="6" t="n">
        <v>20450</v>
      </c>
      <c r="H1016" s="6" t="b">
        <v>1</v>
      </c>
      <c r="I1016" s="6" t="inlineStr"/>
      <c r="J1016" s="6" t="inlineStr"/>
      <c r="K1016" s="6" t="inlineStr">
        <is>
          <t>&gt; Cuidado Capilar &gt; Reparación Y Tratamiento &gt;</t>
        </is>
      </c>
      <c r="L1016" s="6" t="inlineStr">
        <is>
          <t>tratamiento</t>
        </is>
      </c>
      <c r="M1016" s="6" t="inlineStr">
        <is>
          <t>estandar</t>
        </is>
      </c>
      <c r="N1016" s="6" t="inlineStr">
        <is>
          <t>general</t>
        </is>
      </c>
      <c r="O1016" s="6" t="inlineStr">
        <is>
          <t>https://www.farmacity.com/combo-pantene-mascarilla-intensiva-nutricion-mascarilla-intensiva-restauracion/p</t>
        </is>
      </c>
    </row>
    <row r="1017">
      <c r="A1017" t="inlineStr">
        <is>
          <t>Farmacity</t>
        </is>
      </c>
      <c r="B1017" t="n">
        <v>244540</v>
      </c>
      <c r="C1017" t="n">
        <v>244540</v>
      </c>
      <c r="D1017" t="inlineStr">
        <is>
          <t>Acondicionador Pantene Colageno x 510 ml</t>
        </is>
      </c>
      <c r="E1017" t="inlineStr">
        <is>
          <t>Pantene</t>
        </is>
      </c>
      <c r="F1017" t="n">
        <v>10285</v>
      </c>
      <c r="G1017" t="n">
        <v>17142</v>
      </c>
      <c r="H1017" t="b">
        <v>1</v>
      </c>
      <c r="I1017" t="n">
        <v>510</v>
      </c>
      <c r="J1017" t="n">
        <v>20.1667</v>
      </c>
      <c r="K1017" t="inlineStr">
        <is>
          <t>&gt; Cuidado Capilar &gt; Shampoo Y Acondicionador &gt;</t>
        </is>
      </c>
      <c r="L1017" t="inlineStr">
        <is>
          <t>acondicionador</t>
        </is>
      </c>
      <c r="M1017" t="inlineStr">
        <is>
          <t>estandar</t>
        </is>
      </c>
      <c r="N1017" t="inlineStr">
        <is>
          <t>general</t>
        </is>
      </c>
      <c r="O1017" t="inlineStr">
        <is>
          <t>https://www.farmacity.com/acondicionador-pantene-colageno-x-510-ml/p</t>
        </is>
      </c>
    </row>
    <row r="1018">
      <c r="A1018" s="6" t="inlineStr">
        <is>
          <t>Farmacity</t>
        </is>
      </c>
      <c r="B1018" s="6" t="n">
        <v>239943</v>
      </c>
      <c r="C1018" s="6" t="n">
        <v>239943</v>
      </c>
      <c r="D1018" s="6" t="inlineStr">
        <is>
          <t>Crema para Peinar Termoprotectora Pantene Pro-V Miracles Keratina Repara y Protege x 300 ml</t>
        </is>
      </c>
      <c r="E1018" s="6" t="inlineStr">
        <is>
          <t>Pantene</t>
        </is>
      </c>
      <c r="F1018" s="6" t="n">
        <v>9024</v>
      </c>
      <c r="G1018" s="6" t="n">
        <v>9024</v>
      </c>
      <c r="H1018" s="6" t="b">
        <v>1</v>
      </c>
      <c r="I1018" s="6" t="n">
        <v>300</v>
      </c>
      <c r="J1018" s="6" t="n">
        <v>30.08</v>
      </c>
      <c r="K1018" s="6" t="inlineStr">
        <is>
          <t>&gt; Cuidado Capilar &gt; Modelado Y Peinado &gt;</t>
        </is>
      </c>
      <c r="L1018" s="6" t="inlineStr">
        <is>
          <t>shampoo</t>
        </is>
      </c>
      <c r="M1018" s="6" t="inlineStr">
        <is>
          <t>profesional</t>
        </is>
      </c>
      <c r="N1018" s="6" t="inlineStr">
        <is>
          <t>tratado</t>
        </is>
      </c>
      <c r="O1018" s="6" t="inlineStr">
        <is>
          <t>https://www.farmacity.com/crema-para-peinar-pantene-keratina-x-300-ml/p</t>
        </is>
      </c>
    </row>
    <row r="1019">
      <c r="A1019" t="inlineStr">
        <is>
          <t>Farmacity</t>
        </is>
      </c>
      <c r="B1019" t="n">
        <v>235661</v>
      </c>
      <c r="C1019" t="n">
        <v>235661</v>
      </c>
      <c r="D1019" t="inlineStr">
        <is>
          <t>Shampoo Pantene Pro-V Miracles Equilibrio Raíz &amp; Puntas x 400 ml</t>
        </is>
      </c>
      <c r="E1019" t="inlineStr">
        <is>
          <t>Pantene</t>
        </is>
      </c>
      <c r="F1019" t="n">
        <v>6137</v>
      </c>
      <c r="G1019" t="n">
        <v>10228</v>
      </c>
      <c r="H1019" t="b">
        <v>1</v>
      </c>
      <c r="I1019" t="n">
        <v>400</v>
      </c>
      <c r="J1019" t="n">
        <v>15.3425</v>
      </c>
      <c r="K1019" t="inlineStr">
        <is>
          <t>&gt; Cuidado Capilar &gt; Shampoo Y Acondicionador &gt;</t>
        </is>
      </c>
      <c r="L1019" t="inlineStr">
        <is>
          <t>shampoo</t>
        </is>
      </c>
      <c r="M1019" t="inlineStr">
        <is>
          <t>profesional</t>
        </is>
      </c>
      <c r="N1019" t="inlineStr">
        <is>
          <t>general</t>
        </is>
      </c>
      <c r="O1019" t="inlineStr">
        <is>
          <t>https://www.farmacity.com/shampoo-pantene-pro-v-miracles-equilibrio-x-400-ml/p</t>
        </is>
      </c>
    </row>
    <row r="1020">
      <c r="A1020" s="6" t="inlineStr">
        <is>
          <t>Farmacity</t>
        </is>
      </c>
      <c r="B1020" s="6" t="n">
        <v>230220</v>
      </c>
      <c r="C1020" s="6" t="n">
        <v>230220</v>
      </c>
      <c r="D1020" s="6" t="inlineStr">
        <is>
          <t>Acondicionador Pantene Pro-V Miracles Colágeno Nutritivo 200 ml</t>
        </is>
      </c>
      <c r="E1020" s="6" t="inlineStr">
        <is>
          <t>Pantene</t>
        </is>
      </c>
      <c r="F1020" s="6" t="n">
        <v>3807</v>
      </c>
      <c r="G1020" s="6" t="n">
        <v>6345</v>
      </c>
      <c r="H1020" s="6" t="b">
        <v>1</v>
      </c>
      <c r="I1020" s="6" t="n">
        <v>200</v>
      </c>
      <c r="J1020" s="6" t="n">
        <v>19.035</v>
      </c>
      <c r="K1020" s="6" t="inlineStr">
        <is>
          <t>&gt; Cuidado Capilar &gt; Shampoo Y Acondicionador &gt;</t>
        </is>
      </c>
      <c r="L1020" s="6" t="inlineStr">
        <is>
          <t>acondicionador</t>
        </is>
      </c>
      <c r="M1020" s="6" t="inlineStr">
        <is>
          <t>profesional</t>
        </is>
      </c>
      <c r="N1020" s="6" t="inlineStr">
        <is>
          <t>general</t>
        </is>
      </c>
      <c r="O1020" s="6" t="inlineStr">
        <is>
          <t>https://www.farmacity.com/acondicionador-pantene-colageno-x-200-ml/p</t>
        </is>
      </c>
    </row>
    <row r="1021">
      <c r="A1021" t="inlineStr">
        <is>
          <t>Farmacity</t>
        </is>
      </c>
      <c r="B1021" t="n">
        <v>220338</v>
      </c>
      <c r="C1021" t="n">
        <v>220338</v>
      </c>
      <c r="D1021" t="inlineStr">
        <is>
          <t>Shampoo Pantene Pro-V Solutions Restauración x 400 ml</t>
        </is>
      </c>
      <c r="E1021" t="inlineStr">
        <is>
          <t>Pantene</t>
        </is>
      </c>
      <c r="F1021" t="n">
        <v>6137</v>
      </c>
      <c r="G1021" t="n">
        <v>10228</v>
      </c>
      <c r="H1021" t="b">
        <v>1</v>
      </c>
      <c r="I1021" t="n">
        <v>400</v>
      </c>
      <c r="J1021" t="n">
        <v>15.3425</v>
      </c>
      <c r="K1021" t="inlineStr">
        <is>
          <t>&gt; Cuidado Capilar &gt; Shampoo Y Acondicionador &gt;</t>
        </is>
      </c>
      <c r="L1021" t="inlineStr">
        <is>
          <t>shampoo</t>
        </is>
      </c>
      <c r="M1021" t="inlineStr">
        <is>
          <t>profesional</t>
        </is>
      </c>
      <c r="N1021" t="inlineStr">
        <is>
          <t>general</t>
        </is>
      </c>
      <c r="O1021" t="inlineStr">
        <is>
          <t>https://www.farmacity.com/shampoo-pantene-restauracion-x-400-ml/p</t>
        </is>
      </c>
    </row>
    <row r="1022">
      <c r="A1022" s="6" t="inlineStr">
        <is>
          <t>Farmacity</t>
        </is>
      </c>
      <c r="B1022" s="6" t="n">
        <v>243703</v>
      </c>
      <c r="C1022" s="6" t="n">
        <v>243703</v>
      </c>
      <c r="D1022" s="6" t="inlineStr">
        <is>
          <t>Shampoo Pantene Anti Caida x 300 ml</t>
        </is>
      </c>
      <c r="E1022" s="6" t="inlineStr">
        <is>
          <t>Pantene</t>
        </is>
      </c>
      <c r="F1022" s="6" t="n">
        <v>6032</v>
      </c>
      <c r="G1022" s="6" t="n">
        <v>10054</v>
      </c>
      <c r="H1022" s="6" t="b">
        <v>1</v>
      </c>
      <c r="I1022" s="6" t="n">
        <v>300</v>
      </c>
      <c r="J1022" s="6" t="n">
        <v>20.1067</v>
      </c>
      <c r="K1022" s="6" t="inlineStr">
        <is>
          <t>&gt; Cuidado Capilar &gt; Shampoo Y Acondicionador &gt;</t>
        </is>
      </c>
      <c r="L1022" s="6" t="inlineStr">
        <is>
          <t>shampoo</t>
        </is>
      </c>
      <c r="M1022" s="6" t="inlineStr">
        <is>
          <t>estandar</t>
        </is>
      </c>
      <c r="N1022" s="6" t="inlineStr">
        <is>
          <t>general</t>
        </is>
      </c>
      <c r="O1022" s="6" t="inlineStr">
        <is>
          <t>https://www.farmacity.com/shampoo-pantene-anti-caida-x-300-ml/p</t>
        </is>
      </c>
    </row>
    <row r="1023">
      <c r="A1023" t="inlineStr">
        <is>
          <t>Farmacity</t>
        </is>
      </c>
      <c r="B1023" t="n">
        <v>235664</v>
      </c>
      <c r="C1023" t="n">
        <v>235664</v>
      </c>
      <c r="D1023" t="inlineStr">
        <is>
          <t>Shampoo Pantene Pro-V Miracles Equilibrio Raíz &amp; Puntas 700 ml</t>
        </is>
      </c>
      <c r="E1023" t="inlineStr">
        <is>
          <t>Pantene</t>
        </is>
      </c>
      <c r="F1023" t="n">
        <v>10040</v>
      </c>
      <c r="G1023" t="n">
        <v>16733</v>
      </c>
      <c r="H1023" t="b">
        <v>1</v>
      </c>
      <c r="I1023" t="n">
        <v>700</v>
      </c>
      <c r="J1023" t="n">
        <v>14.3429</v>
      </c>
      <c r="K1023" t="inlineStr">
        <is>
          <t>&gt; Cuidado Capilar &gt; Shampoo Y Acondicionador &gt;</t>
        </is>
      </c>
      <c r="L1023" t="inlineStr">
        <is>
          <t>shampoo</t>
        </is>
      </c>
      <c r="M1023" t="inlineStr">
        <is>
          <t>profesional</t>
        </is>
      </c>
      <c r="N1023" t="inlineStr">
        <is>
          <t>general</t>
        </is>
      </c>
      <c r="O1023" t="inlineStr">
        <is>
          <t>https://www.farmacity.com/shampoo-pantene-pro-v-miracles-equilibrio-x-700-ml/p</t>
        </is>
      </c>
    </row>
    <row r="1024">
      <c r="A1024" s="6" t="inlineStr">
        <is>
          <t>Farmacity</t>
        </is>
      </c>
      <c r="B1024" s="6" t="n">
        <v>244545</v>
      </c>
      <c r="C1024" s="6" t="n">
        <v>244545</v>
      </c>
      <c r="D1024" s="6" t="inlineStr">
        <is>
          <t>Acondicionador Pantene Keratina x 250 ml</t>
        </is>
      </c>
      <c r="E1024" s="6" t="inlineStr">
        <is>
          <t>Pantene</t>
        </is>
      </c>
      <c r="F1024" s="6" t="n">
        <v>6032</v>
      </c>
      <c r="G1024" s="6" t="n">
        <v>10054</v>
      </c>
      <c r="H1024" s="6" t="b">
        <v>1</v>
      </c>
      <c r="I1024" s="6" t="n">
        <v>250</v>
      </c>
      <c r="J1024" s="6" t="n">
        <v>24.128</v>
      </c>
      <c r="K1024" s="6" t="inlineStr">
        <is>
          <t>&gt; Cuidado Capilar &gt; Shampoo Y Acondicionador &gt;</t>
        </is>
      </c>
      <c r="L1024" s="6" t="inlineStr">
        <is>
          <t>acondicionador</t>
        </is>
      </c>
      <c r="M1024" s="6" t="inlineStr">
        <is>
          <t>estandar</t>
        </is>
      </c>
      <c r="N1024" s="6" t="inlineStr">
        <is>
          <t>tratado</t>
        </is>
      </c>
      <c r="O1024" s="6" t="inlineStr">
        <is>
          <t>https://www.farmacity.com/acondicionador-pantene-keratina-x-250-ml/p</t>
        </is>
      </c>
    </row>
    <row r="1025">
      <c r="A1025" t="inlineStr">
        <is>
          <t>Farmacity</t>
        </is>
      </c>
      <c r="B1025" t="n">
        <v>244541</v>
      </c>
      <c r="C1025" t="n">
        <v>244541</v>
      </c>
      <c r="D1025" t="inlineStr">
        <is>
          <t>Acondicionador Pantene Colageno x 250 ml</t>
        </is>
      </c>
      <c r="E1025" t="inlineStr">
        <is>
          <t>Pantene</t>
        </is>
      </c>
      <c r="F1025" t="n">
        <v>6032</v>
      </c>
      <c r="G1025" t="n">
        <v>10054</v>
      </c>
      <c r="H1025" t="b">
        <v>1</v>
      </c>
      <c r="I1025" t="n">
        <v>250</v>
      </c>
      <c r="J1025" t="n">
        <v>24.128</v>
      </c>
      <c r="K1025" t="inlineStr">
        <is>
          <t>&gt; Cuidado Capilar &gt; Shampoo Y Acondicionador &gt;</t>
        </is>
      </c>
      <c r="L1025" t="inlineStr">
        <is>
          <t>acondicionador</t>
        </is>
      </c>
      <c r="M1025" t="inlineStr">
        <is>
          <t>estandar</t>
        </is>
      </c>
      <c r="N1025" t="inlineStr">
        <is>
          <t>general</t>
        </is>
      </c>
      <c r="O1025" t="inlineStr">
        <is>
          <t>https://www.farmacity.com/acondicionador-pantene-colageno-x-250-ml/p</t>
        </is>
      </c>
    </row>
    <row r="1026">
      <c r="A1026" s="6" t="inlineStr">
        <is>
          <t>Farmacity</t>
        </is>
      </c>
      <c r="B1026" s="6" t="n">
        <v>238873</v>
      </c>
      <c r="C1026" s="6" t="n">
        <v>238873</v>
      </c>
      <c r="D1026" s="6" t="inlineStr">
        <is>
          <t>Shampoo Pantene Pro-V Miracles Volumen x 400 ml</t>
        </is>
      </c>
      <c r="E1026" s="6" t="inlineStr">
        <is>
          <t>Pantene</t>
        </is>
      </c>
      <c r="F1026" s="6" t="n">
        <v>6137</v>
      </c>
      <c r="G1026" s="6" t="n">
        <v>10228</v>
      </c>
      <c r="H1026" s="6" t="b">
        <v>1</v>
      </c>
      <c r="I1026" s="6" t="n">
        <v>400</v>
      </c>
      <c r="J1026" s="6" t="n">
        <v>15.3425</v>
      </c>
      <c r="K1026" s="6" t="inlineStr">
        <is>
          <t>&gt; Cuidado Capilar &gt; Shampoo Y Acondicionador &gt;</t>
        </is>
      </c>
      <c r="L1026" s="6" t="inlineStr">
        <is>
          <t>shampoo</t>
        </is>
      </c>
      <c r="M1026" s="6" t="inlineStr">
        <is>
          <t>profesional</t>
        </is>
      </c>
      <c r="N1026" s="6" t="inlineStr">
        <is>
          <t>general</t>
        </is>
      </c>
      <c r="O1026" s="6" t="inlineStr">
        <is>
          <t>https://www.farmacity.com/shampoo-pantene-pro-v-miracles-volumen-x-400-ml/p</t>
        </is>
      </c>
    </row>
    <row r="1027">
      <c r="A1027" t="inlineStr">
        <is>
          <t>Farmacity</t>
        </is>
      </c>
      <c r="B1027" t="n">
        <v>9162</v>
      </c>
      <c r="C1027" t="n">
        <v>157033</v>
      </c>
      <c r="D1027" t="inlineStr">
        <is>
          <t>Acondicionador Pantene 3 Minute Miracle x 170 ml</t>
        </is>
      </c>
      <c r="E1027" t="inlineStr">
        <is>
          <t>Pantene</t>
        </is>
      </c>
      <c r="F1027" t="n">
        <v>9647</v>
      </c>
      <c r="G1027" t="n">
        <v>9647</v>
      </c>
      <c r="H1027" t="b">
        <v>1</v>
      </c>
      <c r="I1027" t="n">
        <v>170</v>
      </c>
      <c r="J1027" t="n">
        <v>56.7471</v>
      </c>
      <c r="K1027" t="inlineStr">
        <is>
          <t>&gt; Cuidado Capilar &gt; Shampoo Y Acondicionador &gt;</t>
        </is>
      </c>
      <c r="L1027" t="inlineStr">
        <is>
          <t>acondicionador</t>
        </is>
      </c>
      <c r="M1027" t="inlineStr">
        <is>
          <t>estandar</t>
        </is>
      </c>
      <c r="N1027" t="inlineStr">
        <is>
          <t>general</t>
        </is>
      </c>
      <c r="O1027" t="inlineStr">
        <is>
          <t>https://www.farmacity.com/acondicionador-pantene-3mm-hidratacion-extrema-x-170-ml/p</t>
        </is>
      </c>
    </row>
    <row r="1028">
      <c r="A1028" s="6" t="inlineStr">
        <is>
          <t>Farmacity</t>
        </is>
      </c>
      <c r="B1028" s="6" t="n">
        <v>247956</v>
      </c>
      <c r="C1028" s="6" t="n">
        <v>247956</v>
      </c>
      <c r="D1028" s="6" t="inlineStr">
        <is>
          <t>Combo Óleo Pantene Nutritivo x 95 ml</t>
        </is>
      </c>
      <c r="E1028" s="6" t="inlineStr">
        <is>
          <t>Pantene</t>
        </is>
      </c>
      <c r="F1028" s="6" t="n">
        <v>40357</v>
      </c>
      <c r="G1028" s="6" t="n">
        <v>40357</v>
      </c>
      <c r="H1028" s="6" t="b">
        <v>1</v>
      </c>
      <c r="I1028" s="6" t="n">
        <v>95</v>
      </c>
      <c r="J1028" s="6" t="n">
        <v>424.8105</v>
      </c>
      <c r="K1028" s="6" t="inlineStr">
        <is>
          <t>&gt; Cuidado Capilar &gt; Reparación Y Tratamiento &gt;</t>
        </is>
      </c>
      <c r="L1028" s="6" t="inlineStr">
        <is>
          <t>shampoo</t>
        </is>
      </c>
      <c r="M1028" s="6" t="inlineStr">
        <is>
          <t>estandar</t>
        </is>
      </c>
      <c r="N1028" s="6" t="inlineStr">
        <is>
          <t>general</t>
        </is>
      </c>
      <c r="O1028" s="6" t="inlineStr">
        <is>
          <t>https://www.farmacity.com/combo-oleo-pantene-nutritivo-x-95-ml/p</t>
        </is>
      </c>
    </row>
    <row r="1029">
      <c r="A1029" t="inlineStr">
        <is>
          <t>Farmacity</t>
        </is>
      </c>
      <c r="B1029" t="n">
        <v>238874</v>
      </c>
      <c r="C1029" t="n">
        <v>238874</v>
      </c>
      <c r="D1029" t="inlineStr">
        <is>
          <t>Shampoo Pantene Pro-V Miracles Volumen x 750 ml</t>
        </is>
      </c>
      <c r="E1029" t="inlineStr">
        <is>
          <t>Pantene</t>
        </is>
      </c>
      <c r="F1029" t="n">
        <v>16733</v>
      </c>
      <c r="G1029" t="n">
        <v>16733</v>
      </c>
      <c r="H1029" t="b">
        <v>1</v>
      </c>
      <c r="I1029" t="n">
        <v>750</v>
      </c>
      <c r="J1029" t="n">
        <v>22.3107</v>
      </c>
      <c r="K1029" t="inlineStr">
        <is>
          <t>&gt; Cuidado Capilar &gt; Shampoo Y Acondicionador &gt;</t>
        </is>
      </c>
      <c r="L1029" t="inlineStr">
        <is>
          <t>shampoo</t>
        </is>
      </c>
      <c r="M1029" t="inlineStr">
        <is>
          <t>profesional</t>
        </is>
      </c>
      <c r="N1029" t="inlineStr">
        <is>
          <t>general</t>
        </is>
      </c>
      <c r="O1029" t="inlineStr">
        <is>
          <t>https://www.farmacity.com/shampoo-pantene-pro-v-miracles-volumen-x-750-ml/p</t>
        </is>
      </c>
    </row>
    <row r="1030">
      <c r="A1030" s="6" t="inlineStr">
        <is>
          <t>Farmacity</t>
        </is>
      </c>
      <c r="B1030" s="6" t="n">
        <v>220328</v>
      </c>
      <c r="C1030" s="6" t="n">
        <v>220328</v>
      </c>
      <c r="D1030" s="6" t="inlineStr">
        <is>
          <t>Acondicionador Pantene Brillo Extremo x 400 ml</t>
        </is>
      </c>
      <c r="E1030" s="6" t="inlineStr">
        <is>
          <t>Pantene</t>
        </is>
      </c>
      <c r="F1030" s="6" t="n">
        <v>6855</v>
      </c>
      <c r="G1030" s="6" t="n">
        <v>6855</v>
      </c>
      <c r="H1030" s="6" t="b">
        <v>0</v>
      </c>
      <c r="I1030" s="6" t="n">
        <v>400</v>
      </c>
      <c r="J1030" s="6" t="n">
        <v>17.1375</v>
      </c>
      <c r="K1030" s="6" t="inlineStr">
        <is>
          <t>&gt; Cuidado Capilar &gt; Shampoo Y Acondicionador &gt;</t>
        </is>
      </c>
      <c r="L1030" s="6" t="inlineStr">
        <is>
          <t>acondicionador</t>
        </is>
      </c>
      <c r="M1030" s="6" t="inlineStr">
        <is>
          <t>estandar</t>
        </is>
      </c>
      <c r="N1030" s="6" t="inlineStr">
        <is>
          <t>general</t>
        </is>
      </c>
      <c r="O1030" s="6" t="inlineStr">
        <is>
          <t>https://www.farmacity.com/acondicionador-pantene-miracle-brillo-extremo-x-400-ml/p</t>
        </is>
      </c>
    </row>
    <row r="1031">
      <c r="A1031" t="inlineStr">
        <is>
          <t>Farmacity</t>
        </is>
      </c>
      <c r="B1031" t="n">
        <v>218822</v>
      </c>
      <c r="C1031" t="n">
        <v>218822</v>
      </c>
      <c r="D1031" t="inlineStr">
        <is>
          <t>Tratamiento Pantene Pro-V Miracles Pelo Débil x 300 ml</t>
        </is>
      </c>
      <c r="E1031" t="inlineStr">
        <is>
          <t>Pantene</t>
        </is>
      </c>
      <c r="F1031" t="n">
        <v>6807</v>
      </c>
      <c r="G1031" t="n">
        <v>6807</v>
      </c>
      <c r="H1031" t="b">
        <v>0</v>
      </c>
      <c r="I1031" t="n">
        <v>300</v>
      </c>
      <c r="J1031" t="n">
        <v>22.69</v>
      </c>
      <c r="K1031" t="inlineStr">
        <is>
          <t>&gt; Cuidado Capilar &gt; Reparación Y Tratamiento &gt;</t>
        </is>
      </c>
      <c r="L1031" t="inlineStr">
        <is>
          <t>tratamiento</t>
        </is>
      </c>
      <c r="M1031" t="inlineStr">
        <is>
          <t>profesional</t>
        </is>
      </c>
      <c r="N1031" t="inlineStr">
        <is>
          <t>general</t>
        </is>
      </c>
      <c r="O1031" t="inlineStr">
        <is>
          <t>https://www.farmacity.com/mascara-nutritiva-pantene-bambu-nutre-y-crece-x-300-ml/p</t>
        </is>
      </c>
    </row>
    <row r="1032">
      <c r="A1032" s="6" t="inlineStr">
        <is>
          <t>Farmacity</t>
        </is>
      </c>
      <c r="B1032" s="6" t="n">
        <v>161215</v>
      </c>
      <c r="C1032" s="6" t="n">
        <v>161215</v>
      </c>
      <c r="D1032" s="6" t="inlineStr">
        <is>
          <t>Crema para Peinar Pantene Pro-V Repara x 300 ml</t>
        </is>
      </c>
      <c r="E1032" s="6" t="inlineStr">
        <is>
          <t>Pantene</t>
        </is>
      </c>
      <c r="F1032" s="6" t="n">
        <v>9025</v>
      </c>
      <c r="G1032" s="6" t="n">
        <v>9025</v>
      </c>
      <c r="H1032" s="6" t="b">
        <v>0</v>
      </c>
      <c r="I1032" s="6" t="n">
        <v>300</v>
      </c>
      <c r="J1032" s="6" t="n">
        <v>30.0833</v>
      </c>
      <c r="K1032" s="6" t="inlineStr">
        <is>
          <t>&gt; Cuidado Capilar &gt; Modelado Y Peinado &gt;</t>
        </is>
      </c>
      <c r="L1032" s="6" t="inlineStr">
        <is>
          <t>shampoo</t>
        </is>
      </c>
      <c r="M1032" s="6" t="inlineStr">
        <is>
          <t>profesional</t>
        </is>
      </c>
      <c r="N1032" s="6" t="inlineStr">
        <is>
          <t>general</t>
        </is>
      </c>
      <c r="O1032" s="6" t="inlineStr">
        <is>
          <t>https://www.farmacity.com/nueva-crema-para-peinar-pantene-restauracion-300-ml/p</t>
        </is>
      </c>
    </row>
    <row r="1033">
      <c r="A1033" t="inlineStr">
        <is>
          <t>Farmacity</t>
        </is>
      </c>
      <c r="B1033" t="n">
        <v>150775</v>
      </c>
      <c r="C1033" t="n">
        <v>150775</v>
      </c>
      <c r="D1033" t="inlineStr">
        <is>
          <t>Acondicionador Pantene Hidratación x 200 ml</t>
        </is>
      </c>
      <c r="E1033" t="inlineStr">
        <is>
          <t>Pantene</t>
        </is>
      </c>
      <c r="F1033" t="n">
        <v>4697</v>
      </c>
      <c r="G1033" t="n">
        <v>4697</v>
      </c>
      <c r="H1033" t="b">
        <v>0</v>
      </c>
      <c r="I1033" t="n">
        <v>200</v>
      </c>
      <c r="J1033" t="n">
        <v>23.485</v>
      </c>
      <c r="K1033" t="inlineStr">
        <is>
          <t>&gt; Cuidado Capilar &gt; Shampoo Y Acondicionador &gt;</t>
        </is>
      </c>
      <c r="L1033" t="inlineStr">
        <is>
          <t>acondicionador</t>
        </is>
      </c>
      <c r="M1033" t="inlineStr">
        <is>
          <t>estandar</t>
        </is>
      </c>
      <c r="N1033" t="inlineStr">
        <is>
          <t>seco_danado</t>
        </is>
      </c>
      <c r="O1033" t="inlineStr">
        <is>
          <t>https://www.farmacity.com/acondicionador-pantene-max-pro-v-hidratacion-x-200-ml/p</t>
        </is>
      </c>
    </row>
    <row r="1034">
      <c r="A1034" s="6" t="inlineStr">
        <is>
          <t>Farmacity</t>
        </is>
      </c>
      <c r="B1034" s="6" t="n">
        <v>921</v>
      </c>
      <c r="C1034" s="6" t="n">
        <v>120982</v>
      </c>
      <c r="D1034" s="6" t="inlineStr">
        <is>
          <t>Crema Para Peinar Pantene Rizos Definidos x 300 ml</t>
        </is>
      </c>
      <c r="E1034" s="6" t="inlineStr">
        <is>
          <t>Pantene</t>
        </is>
      </c>
      <c r="F1034" s="6" t="n">
        <v>5229</v>
      </c>
      <c r="G1034" s="6" t="n">
        <v>5229</v>
      </c>
      <c r="H1034" s="6" t="b">
        <v>0</v>
      </c>
      <c r="I1034" s="6" t="n">
        <v>300</v>
      </c>
      <c r="J1034" s="6" t="n">
        <v>17.43</v>
      </c>
      <c r="K1034" s="6" t="inlineStr">
        <is>
          <t>&gt; Cuidado Capilar &gt; Modelado Y Peinado &gt;</t>
        </is>
      </c>
      <c r="L1034" s="6" t="inlineStr">
        <is>
          <t>shampoo</t>
        </is>
      </c>
      <c r="M1034" s="6" t="inlineStr">
        <is>
          <t>estandar</t>
        </is>
      </c>
      <c r="N1034" s="6" t="inlineStr">
        <is>
          <t>rizado</t>
        </is>
      </c>
      <c r="O1034" s="6" t="inlineStr">
        <is>
          <t>https://www.farmacity.com/crema-para-peinar-activadora-pro-v-rizos-definidos-x-300-ml/p</t>
        </is>
      </c>
    </row>
    <row r="1035">
      <c r="A1035" t="inlineStr">
        <is>
          <t>Farmacity</t>
        </is>
      </c>
      <c r="B1035" t="n">
        <v>236814</v>
      </c>
      <c r="C1035" t="n">
        <v>236814</v>
      </c>
      <c r="D1035" t="inlineStr">
        <is>
          <t>Shampoo Sedal Prebióticos+Biotina x 340 ml</t>
        </is>
      </c>
      <c r="E1035" t="inlineStr">
        <is>
          <t>Sedal</t>
        </is>
      </c>
      <c r="F1035" t="n">
        <v>5837</v>
      </c>
      <c r="G1035" t="n">
        <v>5837</v>
      </c>
      <c r="H1035" t="b">
        <v>1</v>
      </c>
      <c r="I1035" t="n">
        <v>340</v>
      </c>
      <c r="J1035" t="n">
        <v>17.1676</v>
      </c>
      <c r="K1035" t="inlineStr">
        <is>
          <t>&gt; Cuidado Capilar &gt; Shampoo Y Acondicionador &gt;</t>
        </is>
      </c>
      <c r="L1035" t="inlineStr">
        <is>
          <t>shampoo</t>
        </is>
      </c>
      <c r="M1035" t="inlineStr">
        <is>
          <t>estandar</t>
        </is>
      </c>
      <c r="N1035" t="inlineStr">
        <is>
          <t>general</t>
        </is>
      </c>
      <c r="O1035" t="inlineStr">
        <is>
          <t>https://www.farmacity.com/shampoo-sedal-prebioticos-biotina-x-340-ml/p</t>
        </is>
      </c>
    </row>
    <row r="1036">
      <c r="A1036" s="6" t="inlineStr">
        <is>
          <t>Farmacity</t>
        </is>
      </c>
      <c r="B1036" s="6" t="n">
        <v>243569</v>
      </c>
      <c r="C1036" s="6" t="n">
        <v>243569</v>
      </c>
      <c r="D1036" s="6" t="inlineStr">
        <is>
          <t>Crema para Peinar Sedal Luminous UV x 300 ml</t>
        </is>
      </c>
      <c r="E1036" s="6" t="inlineStr">
        <is>
          <t>Sedal</t>
        </is>
      </c>
      <c r="F1036" s="6" t="n">
        <v>5684</v>
      </c>
      <c r="G1036" s="6" t="n">
        <v>5684</v>
      </c>
      <c r="H1036" s="6" t="b">
        <v>1</v>
      </c>
      <c r="I1036" s="6" t="n">
        <v>300</v>
      </c>
      <c r="J1036" s="6" t="n">
        <v>18.9467</v>
      </c>
      <c r="K1036" s="6" t="inlineStr">
        <is>
          <t>&gt; Cuidado Capilar &gt; Modelado Y Peinado &gt;</t>
        </is>
      </c>
      <c r="L1036" s="6" t="inlineStr">
        <is>
          <t>shampoo</t>
        </is>
      </c>
      <c r="M1036" s="6" t="inlineStr">
        <is>
          <t>estandar</t>
        </is>
      </c>
      <c r="N1036" s="6" t="inlineStr">
        <is>
          <t>general</t>
        </is>
      </c>
      <c r="O1036" s="6" t="inlineStr">
        <is>
          <t>https://www.farmacity.com/crema-para-peinar-sedal-luminous-uv-x-300-ml/p</t>
        </is>
      </c>
    </row>
    <row r="1037">
      <c r="A1037" t="inlineStr">
        <is>
          <t>Farmacity</t>
        </is>
      </c>
      <c r="B1037" t="n">
        <v>239705</v>
      </c>
      <c r="C1037" t="n">
        <v>239705</v>
      </c>
      <c r="D1037" t="inlineStr">
        <is>
          <t>Crema de Peinar Sedal Liso Perfecto x 300 ml</t>
        </is>
      </c>
      <c r="E1037" t="inlineStr">
        <is>
          <t>Sedal</t>
        </is>
      </c>
      <c r="F1037" t="n">
        <v>5684</v>
      </c>
      <c r="G1037" t="n">
        <v>5684</v>
      </c>
      <c r="H1037" t="b">
        <v>1</v>
      </c>
      <c r="I1037" t="n">
        <v>300</v>
      </c>
      <c r="J1037" t="n">
        <v>18.9467</v>
      </c>
      <c r="K1037" t="inlineStr">
        <is>
          <t>&gt; Cuidado Capilar &gt; Modelado Y Peinado &gt;</t>
        </is>
      </c>
      <c r="L1037" t="inlineStr">
        <is>
          <t>shampoo</t>
        </is>
      </c>
      <c r="M1037" t="inlineStr">
        <is>
          <t>estandar</t>
        </is>
      </c>
      <c r="N1037" t="inlineStr">
        <is>
          <t>general</t>
        </is>
      </c>
      <c r="O1037" t="inlineStr">
        <is>
          <t>https://www.farmacity.com/crema-de-peinar-sedal-liso-perfecto-x-300-ml/p</t>
        </is>
      </c>
    </row>
    <row r="1038">
      <c r="A1038" s="6" t="inlineStr">
        <is>
          <t>Farmacity</t>
        </is>
      </c>
      <c r="B1038" s="6" t="n">
        <v>236813</v>
      </c>
      <c r="C1038" s="6" t="n">
        <v>236813</v>
      </c>
      <c r="D1038" s="6" t="inlineStr">
        <is>
          <t>Shampoo Sedal Prebióticos+Biotina x 190 ml</t>
        </is>
      </c>
      <c r="E1038" s="6" t="inlineStr">
        <is>
          <t>Sedal</t>
        </is>
      </c>
      <c r="F1038" s="6" t="n">
        <v>1739</v>
      </c>
      <c r="G1038" s="6" t="n">
        <v>3478</v>
      </c>
      <c r="H1038" s="6" t="b">
        <v>1</v>
      </c>
      <c r="I1038" s="6" t="n">
        <v>190</v>
      </c>
      <c r="J1038" s="6" t="n">
        <v>9.1526</v>
      </c>
      <c r="K1038" s="6" t="inlineStr">
        <is>
          <t>&gt; Cuidado Capilar &gt; Shampoo Y Acondicionador &gt;</t>
        </is>
      </c>
      <c r="L1038" s="6" t="inlineStr">
        <is>
          <t>shampoo</t>
        </is>
      </c>
      <c r="M1038" s="6" t="inlineStr">
        <is>
          <t>estandar</t>
        </is>
      </c>
      <c r="N1038" s="6" t="inlineStr">
        <is>
          <t>general</t>
        </is>
      </c>
      <c r="O1038" s="6" t="inlineStr">
        <is>
          <t>https://www.farmacity.com/shampoo-sedal-prebioticos-biotina-x-190-ml/p</t>
        </is>
      </c>
    </row>
    <row r="1039">
      <c r="A1039" t="inlineStr">
        <is>
          <t>Farmacity</t>
        </is>
      </c>
      <c r="B1039" t="n">
        <v>215467</v>
      </c>
      <c r="C1039" t="n">
        <v>215467</v>
      </c>
      <c r="D1039" t="inlineStr">
        <is>
          <t>Shampoo Head &amp; Shoulders Aceite de Coco x 180 ml</t>
        </is>
      </c>
      <c r="E1039" t="inlineStr">
        <is>
          <t>Head and Shoulders</t>
        </is>
      </c>
      <c r="F1039" t="n">
        <v>4701</v>
      </c>
      <c r="G1039" t="n">
        <v>7233</v>
      </c>
      <c r="H1039" t="b">
        <v>1</v>
      </c>
      <c r="I1039" t="n">
        <v>180</v>
      </c>
      <c r="J1039" t="n">
        <v>26.1167</v>
      </c>
      <c r="K1039" t="inlineStr">
        <is>
          <t>&gt; Cuidado Capilar &gt; Shampoo Y Acondicionador &gt;</t>
        </is>
      </c>
      <c r="L1039" t="inlineStr">
        <is>
          <t>shampoo</t>
        </is>
      </c>
      <c r="M1039" t="inlineStr">
        <is>
          <t>estandar</t>
        </is>
      </c>
      <c r="N1039" t="inlineStr">
        <is>
          <t>general</t>
        </is>
      </c>
      <c r="O1039" t="inlineStr">
        <is>
          <t>https://www.farmacity.com/shampoo-head-shouders-hidratacion-con-aceite-de-coco-x-180-ml/p</t>
        </is>
      </c>
    </row>
    <row r="1040">
      <c r="A1040" s="6" t="inlineStr">
        <is>
          <t>Farmacity</t>
        </is>
      </c>
      <c r="B1040" s="6" t="n">
        <v>219597</v>
      </c>
      <c r="C1040" s="6" t="n">
        <v>219597</v>
      </c>
      <c r="D1040" s="6" t="inlineStr">
        <is>
          <t>Shampoo Head &amp; Shoulders Manzana Fresh x 180 ml</t>
        </is>
      </c>
      <c r="E1040" s="6" t="inlineStr">
        <is>
          <t>Head and Shoulders</t>
        </is>
      </c>
      <c r="F1040" s="6" t="n">
        <v>4701</v>
      </c>
      <c r="G1040" s="6" t="n">
        <v>7233</v>
      </c>
      <c r="H1040" s="6" t="b">
        <v>1</v>
      </c>
      <c r="I1040" s="6" t="n">
        <v>180</v>
      </c>
      <c r="J1040" s="6" t="n">
        <v>26.1167</v>
      </c>
      <c r="K1040" s="6" t="inlineStr">
        <is>
          <t>&gt; Cuidado Capilar &gt; Shampoo Y Acondicionador &gt;</t>
        </is>
      </c>
      <c r="L1040" s="6" t="inlineStr">
        <is>
          <t>shampoo</t>
        </is>
      </c>
      <c r="M1040" s="6" t="inlineStr">
        <is>
          <t>estandar</t>
        </is>
      </c>
      <c r="N1040" s="6" t="inlineStr">
        <is>
          <t>general</t>
        </is>
      </c>
      <c r="O1040" s="6" t="inlineStr">
        <is>
          <t>https://www.farmacity.com/shampoo-head-shoulders-manzana-fresh-x-180-ml/p</t>
        </is>
      </c>
    </row>
    <row r="1041">
      <c r="A1041" t="inlineStr">
        <is>
          <t>Farmacity</t>
        </is>
      </c>
      <c r="B1041" t="n">
        <v>221688</v>
      </c>
      <c r="C1041" t="n">
        <v>221688</v>
      </c>
      <c r="D1041" t="inlineStr">
        <is>
          <t>Shampoo Head &amp; Shoulders Crece Fuerte desde la Raíz x 180 ml</t>
        </is>
      </c>
      <c r="E1041" t="inlineStr">
        <is>
          <t>Head and Shoulders</t>
        </is>
      </c>
      <c r="F1041" t="n">
        <v>4701</v>
      </c>
      <c r="G1041" t="n">
        <v>7233</v>
      </c>
      <c r="H1041" t="b">
        <v>1</v>
      </c>
      <c r="I1041" t="n">
        <v>180</v>
      </c>
      <c r="J1041" t="n">
        <v>26.1167</v>
      </c>
      <c r="K1041" t="inlineStr">
        <is>
          <t>&gt; Cuidado Capilar &gt; Shampoo Y Acondicionador &gt;</t>
        </is>
      </c>
      <c r="L1041" t="inlineStr">
        <is>
          <t>shampoo</t>
        </is>
      </c>
      <c r="M1041" t="inlineStr">
        <is>
          <t>estandar</t>
        </is>
      </c>
      <c r="N1041" t="inlineStr">
        <is>
          <t>general</t>
        </is>
      </c>
      <c r="O1041" t="inlineStr">
        <is>
          <t>https://www.farmacity.com/shampoo-head-y-shoulders-crece-fuerte-desde-la-raiz-x-180-ml/p</t>
        </is>
      </c>
    </row>
    <row r="1042">
      <c r="A1042" s="6" t="inlineStr">
        <is>
          <t>Farmacity</t>
        </is>
      </c>
      <c r="B1042" s="6" t="n">
        <v>214532</v>
      </c>
      <c r="C1042" s="6" t="n">
        <v>214532</v>
      </c>
      <c r="D1042" s="6" t="inlineStr">
        <is>
          <t>Acondicionador Head &amp; Shoulders Moisture x 300 ml</t>
        </is>
      </c>
      <c r="E1042" s="6" t="inlineStr">
        <is>
          <t>Head and Shoulders</t>
        </is>
      </c>
      <c r="F1042" s="6" t="n">
        <v>8688</v>
      </c>
      <c r="G1042" s="6" t="n">
        <v>8688</v>
      </c>
      <c r="H1042" s="6" t="b">
        <v>0</v>
      </c>
      <c r="I1042" s="6" t="n">
        <v>300</v>
      </c>
      <c r="J1042" s="6" t="n">
        <v>28.96</v>
      </c>
      <c r="K1042" s="6" t="inlineStr">
        <is>
          <t>&gt; Cuidado Capilar &gt; Shampoo Y Acondicionador &gt;</t>
        </is>
      </c>
      <c r="L1042" s="6" t="inlineStr">
        <is>
          <t>acondicionador</t>
        </is>
      </c>
      <c r="M1042" s="6" t="inlineStr">
        <is>
          <t>estandar</t>
        </is>
      </c>
      <c r="N1042" s="6" t="inlineStr">
        <is>
          <t>general</t>
        </is>
      </c>
      <c r="O1042" s="6" t="inlineStr">
        <is>
          <t>https://www.farmacity.com/acondicionador-head-and-shoulders-moisture-x-300-ml/p</t>
        </is>
      </c>
    </row>
    <row r="1043">
      <c r="A1043" t="inlineStr">
        <is>
          <t>Farmacity</t>
        </is>
      </c>
      <c r="B1043" t="n">
        <v>224949</v>
      </c>
      <c r="C1043" t="n">
        <v>224949</v>
      </c>
      <c r="D1043" t="inlineStr">
        <is>
          <t>Acondicionador Head &amp; Shoulders Dermo-Sensitive x 300 ml</t>
        </is>
      </c>
      <c r="E1043" t="inlineStr">
        <is>
          <t>Head and Shoulders</t>
        </is>
      </c>
      <c r="F1043" t="n">
        <v>7757</v>
      </c>
      <c r="G1043" t="n">
        <v>7757</v>
      </c>
      <c r="H1043" t="b">
        <v>0</v>
      </c>
      <c r="I1043" t="n">
        <v>300</v>
      </c>
      <c r="J1043" t="n">
        <v>25.8567</v>
      </c>
      <c r="K1043" t="inlineStr">
        <is>
          <t>&gt; Cuidado Capilar &gt; Shampoo Y Acondicionador &gt;</t>
        </is>
      </c>
      <c r="L1043" t="inlineStr">
        <is>
          <t>acondicionador</t>
        </is>
      </c>
      <c r="M1043" t="inlineStr">
        <is>
          <t>estandar</t>
        </is>
      </c>
      <c r="N1043" t="inlineStr">
        <is>
          <t>general</t>
        </is>
      </c>
      <c r="O1043" t="inlineStr">
        <is>
          <t>https://www.farmacity.com/acondicionador-head-y-shoulders-dermo-sensitive-x-300-ml/p</t>
        </is>
      </c>
    </row>
    <row r="1044">
      <c r="A1044" s="6" t="inlineStr">
        <is>
          <t>Farmacity</t>
        </is>
      </c>
      <c r="B1044" s="6" t="n">
        <v>239710</v>
      </c>
      <c r="C1044" s="6" t="n">
        <v>239710</v>
      </c>
      <c r="D1044" s="6" t="inlineStr">
        <is>
          <t>Crema para Peinar Fructis Hair Food Manteca de Cacao x 250 ml</t>
        </is>
      </c>
      <c r="E1044" s="6" t="inlineStr">
        <is>
          <t>Fructis</t>
        </is>
      </c>
      <c r="F1044" s="6" t="n">
        <v>8990</v>
      </c>
      <c r="G1044" s="6" t="n">
        <v>8990</v>
      </c>
      <c r="H1044" s="6" t="b">
        <v>1</v>
      </c>
      <c r="I1044" s="6" t="n">
        <v>250</v>
      </c>
      <c r="J1044" s="6" t="n">
        <v>35.96</v>
      </c>
      <c r="K1044" s="6" t="inlineStr">
        <is>
          <t>&gt; Cuidado Capilar &gt; Modelado Y Peinado &gt;</t>
        </is>
      </c>
      <c r="L1044" s="6" t="inlineStr">
        <is>
          <t>shampoo</t>
        </is>
      </c>
      <c r="M1044" s="6" t="inlineStr">
        <is>
          <t>estandar</t>
        </is>
      </c>
      <c r="N1044" s="6" t="inlineStr">
        <is>
          <t>general</t>
        </is>
      </c>
      <c r="O1044" s="6" t="inlineStr">
        <is>
          <t>https://www.farmacity.com/crema-para-peinar-garnier-fructis-hair-food-manteca-de-cacao-x-250-ml/p</t>
        </is>
      </c>
    </row>
    <row r="1045">
      <c r="A1045" t="inlineStr">
        <is>
          <t>Farmacity</t>
        </is>
      </c>
      <c r="B1045" t="n">
        <v>243910</v>
      </c>
      <c r="C1045" t="n">
        <v>243910</v>
      </c>
      <c r="D1045" t="inlineStr">
        <is>
          <t>Crema para Peinar Fructis Probióticos Fuerza x 250 ml</t>
        </is>
      </c>
      <c r="E1045" t="inlineStr">
        <is>
          <t>Fructis</t>
        </is>
      </c>
      <c r="F1045" t="n">
        <v>7490</v>
      </c>
      <c r="G1045" t="n">
        <v>7490</v>
      </c>
      <c r="H1045" t="b">
        <v>1</v>
      </c>
      <c r="I1045" t="n">
        <v>250</v>
      </c>
      <c r="J1045" t="n">
        <v>29.96</v>
      </c>
      <c r="K1045" t="inlineStr">
        <is>
          <t>&gt; Cuidado Capilar &gt; Modelado Y Peinado &gt;</t>
        </is>
      </c>
      <c r="L1045" t="inlineStr">
        <is>
          <t>shampoo</t>
        </is>
      </c>
      <c r="M1045" t="inlineStr">
        <is>
          <t>profesional</t>
        </is>
      </c>
      <c r="N1045" t="inlineStr">
        <is>
          <t>general</t>
        </is>
      </c>
      <c r="O1045" t="inlineStr">
        <is>
          <t>https://www.farmacity.com/crema-para-peinar-fructis-probioticos-fuerza-x-250-ml/p</t>
        </is>
      </c>
    </row>
    <row r="1046">
      <c r="A1046" s="6" t="inlineStr">
        <is>
          <t>Farmacity</t>
        </is>
      </c>
      <c r="B1046" s="6" t="n">
        <v>231817</v>
      </c>
      <c r="C1046" s="6" t="n">
        <v>231817</v>
      </c>
      <c r="D1046" s="6" t="inlineStr">
        <is>
          <t>Crema para Peinar Fructis Aloe Hidra Bomb x 250 ml</t>
        </is>
      </c>
      <c r="E1046" s="6" t="inlineStr">
        <is>
          <t>Fructis</t>
        </is>
      </c>
      <c r="F1046" s="6" t="n">
        <v>3745</v>
      </c>
      <c r="G1046" s="6" t="n">
        <v>7490</v>
      </c>
      <c r="H1046" s="6" t="b">
        <v>1</v>
      </c>
      <c r="I1046" s="6" t="n">
        <v>250</v>
      </c>
      <c r="J1046" s="6" t="n">
        <v>14.98</v>
      </c>
      <c r="K1046" s="6" t="inlineStr">
        <is>
          <t>&gt; Cuidado Capilar &gt; Modelado Y Peinado &gt;</t>
        </is>
      </c>
      <c r="L1046" s="6" t="inlineStr">
        <is>
          <t>shampoo</t>
        </is>
      </c>
      <c r="M1046" s="6" t="inlineStr">
        <is>
          <t>estandar</t>
        </is>
      </c>
      <c r="N1046" s="6" t="inlineStr">
        <is>
          <t>general</t>
        </is>
      </c>
      <c r="O1046" s="6" t="inlineStr">
        <is>
          <t>https://www.farmacity.com/crema-para-peinar-garnier-aloe-hidra-liso-bond-x-250-ml/p</t>
        </is>
      </c>
    </row>
    <row r="1047">
      <c r="A1047" t="inlineStr">
        <is>
          <t>Farmacity</t>
        </is>
      </c>
      <c r="B1047" t="n">
        <v>217205</v>
      </c>
      <c r="C1047" t="n">
        <v>217205</v>
      </c>
      <c r="D1047" t="inlineStr">
        <is>
          <t>Shampoo Garnier Fructis Hair Food Aloe x 300 ml</t>
        </is>
      </c>
      <c r="E1047" t="inlineStr">
        <is>
          <t>Fructis</t>
        </is>
      </c>
      <c r="F1047" t="n">
        <v>7273</v>
      </c>
      <c r="G1047" t="n">
        <v>11190</v>
      </c>
      <c r="H1047" t="b">
        <v>1</v>
      </c>
      <c r="I1047" t="n">
        <v>300</v>
      </c>
      <c r="J1047" t="n">
        <v>24.2433</v>
      </c>
      <c r="K1047" t="inlineStr">
        <is>
          <t>&gt; Cuidado Capilar &gt; Shampoo Y Acondicionador &gt;</t>
        </is>
      </c>
      <c r="L1047" t="inlineStr">
        <is>
          <t>shampoo</t>
        </is>
      </c>
      <c r="M1047" t="inlineStr">
        <is>
          <t>estandar</t>
        </is>
      </c>
      <c r="N1047" t="inlineStr">
        <is>
          <t>general</t>
        </is>
      </c>
      <c r="O1047" t="inlineStr">
        <is>
          <t>https://www.farmacity.com/shampoo-fructis-hair-food-aloe-vera-x-300-ml/p</t>
        </is>
      </c>
    </row>
    <row r="1048">
      <c r="A1048" s="6" t="inlineStr">
        <is>
          <t>Farmacity</t>
        </is>
      </c>
      <c r="B1048" s="6" t="n">
        <v>209539</v>
      </c>
      <c r="C1048" s="6" t="n">
        <v>209539</v>
      </c>
      <c r="D1048" s="6" t="inlineStr">
        <is>
          <t>Acondicionador Garnier Fructis Aloe Hidra Bomb x 200 ml</t>
        </is>
      </c>
      <c r="E1048" s="6" t="inlineStr">
        <is>
          <t>Fructis</t>
        </is>
      </c>
      <c r="F1048" s="6" t="n">
        <v>2745</v>
      </c>
      <c r="G1048" s="6" t="n">
        <v>5490</v>
      </c>
      <c r="H1048" s="6" t="b">
        <v>1</v>
      </c>
      <c r="I1048" s="6" t="n">
        <v>200</v>
      </c>
      <c r="J1048" s="6" t="n">
        <v>13.725</v>
      </c>
      <c r="K1048" s="6" t="inlineStr">
        <is>
          <t>&gt; Cuidado Capilar &gt; Shampoo Y Acondicionador &gt;</t>
        </is>
      </c>
      <c r="L1048" s="6" t="inlineStr">
        <is>
          <t>acondicionador</t>
        </is>
      </c>
      <c r="M1048" s="6" t="inlineStr">
        <is>
          <t>estandar</t>
        </is>
      </c>
      <c r="N1048" s="6" t="inlineStr">
        <is>
          <t>general</t>
        </is>
      </c>
      <c r="O1048" s="6" t="inlineStr">
        <is>
          <t>https://www.farmacity.com/acondicionador-fructis-aloe-hidra-bomb-x-200-ml/p</t>
        </is>
      </c>
    </row>
    <row r="1049">
      <c r="A1049" t="inlineStr">
        <is>
          <t>Farmacity</t>
        </is>
      </c>
      <c r="B1049" t="n">
        <v>231815</v>
      </c>
      <c r="C1049" t="n">
        <v>231815</v>
      </c>
      <c r="D1049" t="inlineStr">
        <is>
          <t>Crema para Peinar Fructis Recarga Nutritiva x 250 ml</t>
        </is>
      </c>
      <c r="E1049" t="inlineStr">
        <is>
          <t>Fructis</t>
        </is>
      </c>
      <c r="F1049" t="n">
        <v>7490</v>
      </c>
      <c r="G1049" t="n">
        <v>7490</v>
      </c>
      <c r="H1049" t="b">
        <v>1</v>
      </c>
      <c r="I1049" t="n">
        <v>250</v>
      </c>
      <c r="J1049" t="n">
        <v>29.96</v>
      </c>
      <c r="K1049" t="inlineStr">
        <is>
          <t>&gt; Cuidado Capilar &gt; Modelado Y Peinado &gt;</t>
        </is>
      </c>
      <c r="L1049" t="inlineStr">
        <is>
          <t>shampoo</t>
        </is>
      </c>
      <c r="M1049" t="inlineStr">
        <is>
          <t>estandar</t>
        </is>
      </c>
      <c r="N1049" t="inlineStr">
        <is>
          <t>general</t>
        </is>
      </c>
      <c r="O1049" t="inlineStr">
        <is>
          <t>https://www.farmacity.com/crema-para-peinar-fructis-recarga-nutritiva-x-250-ml/p</t>
        </is>
      </c>
    </row>
    <row r="1050">
      <c r="A1050" s="6" t="inlineStr">
        <is>
          <t>Farmacity</t>
        </is>
      </c>
      <c r="B1050" s="6" t="n">
        <v>221257</v>
      </c>
      <c r="C1050" s="6" t="n">
        <v>221257</v>
      </c>
      <c r="D1050" s="6" t="inlineStr">
        <is>
          <t>Crema para Peinar Fructis Goodbye Daños x 250 ml</t>
        </is>
      </c>
      <c r="E1050" s="6" t="inlineStr">
        <is>
          <t>Fructis</t>
        </is>
      </c>
      <c r="F1050" s="6" t="n">
        <v>7490</v>
      </c>
      <c r="G1050" s="6" t="n">
        <v>7490</v>
      </c>
      <c r="H1050" s="6" t="b">
        <v>1</v>
      </c>
      <c r="I1050" s="6" t="n">
        <v>250</v>
      </c>
      <c r="J1050" s="6" t="n">
        <v>29.96</v>
      </c>
      <c r="K1050" s="6" t="inlineStr">
        <is>
          <t>&gt; Cuidado Capilar &gt; Modelado Y Peinado &gt;</t>
        </is>
      </c>
      <c r="L1050" s="6" t="inlineStr">
        <is>
          <t>shampoo</t>
        </is>
      </c>
      <c r="M1050" s="6" t="inlineStr">
        <is>
          <t>estandar</t>
        </is>
      </c>
      <c r="N1050" s="6" t="inlineStr">
        <is>
          <t>general</t>
        </is>
      </c>
      <c r="O1050" s="6" t="inlineStr">
        <is>
          <t>https://www.farmacity.com/crema-de-peinar-fructis-good-bye-dano-x-300-ml/p</t>
        </is>
      </c>
    </row>
    <row r="1051">
      <c r="A1051" t="inlineStr">
        <is>
          <t>Farmacity</t>
        </is>
      </c>
      <c r="B1051" t="n">
        <v>217210</v>
      </c>
      <c r="C1051" t="n">
        <v>217210</v>
      </c>
      <c r="D1051" t="inlineStr">
        <is>
          <t>Acondicionador Garnier Fructis Hair Food Palta x 300 ml</t>
        </is>
      </c>
      <c r="E1051" t="inlineStr">
        <is>
          <t>Fructis</t>
        </is>
      </c>
      <c r="F1051" t="n">
        <v>7273</v>
      </c>
      <c r="G1051" t="n">
        <v>11190</v>
      </c>
      <c r="H1051" t="b">
        <v>1</v>
      </c>
      <c r="I1051" t="n">
        <v>300</v>
      </c>
      <c r="J1051" t="n">
        <v>24.2433</v>
      </c>
      <c r="K1051" t="inlineStr">
        <is>
          <t>&gt; Cuidado Capilar &gt; Shampoo Y Acondicionador &gt;</t>
        </is>
      </c>
      <c r="L1051" t="inlineStr">
        <is>
          <t>acondicionador</t>
        </is>
      </c>
      <c r="M1051" t="inlineStr">
        <is>
          <t>estandar</t>
        </is>
      </c>
      <c r="N1051" t="inlineStr">
        <is>
          <t>general</t>
        </is>
      </c>
      <c r="O1051" t="inlineStr">
        <is>
          <t>https://www.farmacity.com/acondicionador-fructis-hair-food-aguacate-x-300-ml/p</t>
        </is>
      </c>
    </row>
    <row r="1052">
      <c r="A1052" s="6" t="inlineStr">
        <is>
          <t>Farmacity</t>
        </is>
      </c>
      <c r="B1052" s="6" t="n">
        <v>206404</v>
      </c>
      <c r="C1052" s="6" t="n">
        <v>206404</v>
      </c>
      <c r="D1052" s="6" t="inlineStr">
        <is>
          <t>Mascarilla Fructis Hair Food Palta x 350 ml</t>
        </is>
      </c>
      <c r="E1052" s="6" t="inlineStr">
        <is>
          <t>Fructis</t>
        </is>
      </c>
      <c r="F1052" s="6" t="n">
        <v>13990</v>
      </c>
      <c r="G1052" s="6" t="n">
        <v>13990</v>
      </c>
      <c r="H1052" s="6" t="b">
        <v>1</v>
      </c>
      <c r="I1052" s="6" t="n">
        <v>350</v>
      </c>
      <c r="J1052" s="6" t="n">
        <v>39.9714</v>
      </c>
      <c r="K1052" s="6" t="inlineStr">
        <is>
          <t>&gt; Cuidado Capilar &gt; Reparación Y Tratamiento &gt;</t>
        </is>
      </c>
      <c r="L1052" s="6" t="inlineStr">
        <is>
          <t>tratamiento</t>
        </is>
      </c>
      <c r="M1052" s="6" t="inlineStr">
        <is>
          <t>estandar</t>
        </is>
      </c>
      <c r="N1052" s="6" t="inlineStr">
        <is>
          <t>general</t>
        </is>
      </c>
      <c r="O1052" s="6" t="inlineStr">
        <is>
          <t>https://www.farmacity.com/mascara-capilar-fructis-nutricion-hairfood-aguacate-x-350-ml/p</t>
        </is>
      </c>
    </row>
    <row r="1053">
      <c r="A1053" t="inlineStr">
        <is>
          <t>Farmacity</t>
        </is>
      </c>
      <c r="B1053" t="n">
        <v>206401</v>
      </c>
      <c r="C1053" t="n">
        <v>206401</v>
      </c>
      <c r="D1053" t="inlineStr">
        <is>
          <t>Mascarilla Fructis Hair Food Coco x 350ml</t>
        </is>
      </c>
      <c r="E1053" t="inlineStr">
        <is>
          <t>Fructis</t>
        </is>
      </c>
      <c r="F1053" t="n">
        <v>13990</v>
      </c>
      <c r="G1053" t="n">
        <v>13990</v>
      </c>
      <c r="H1053" t="b">
        <v>1</v>
      </c>
      <c r="I1053" t="n">
        <v>350</v>
      </c>
      <c r="J1053" t="n">
        <v>39.9714</v>
      </c>
      <c r="K1053" t="inlineStr">
        <is>
          <t>&gt; Cuidado Capilar &gt; Reparación Y Tratamiento &gt;</t>
        </is>
      </c>
      <c r="L1053" t="inlineStr">
        <is>
          <t>tratamiento</t>
        </is>
      </c>
      <c r="M1053" t="inlineStr">
        <is>
          <t>estandar</t>
        </is>
      </c>
      <c r="N1053" t="inlineStr">
        <is>
          <t>general</t>
        </is>
      </c>
      <c r="O1053" t="inlineStr">
        <is>
          <t>https://www.farmacity.com/mascara-capilar-fructis-nutricion-hairfood-coco-x-350-ml/p</t>
        </is>
      </c>
    </row>
    <row r="1054">
      <c r="A1054" s="6" t="inlineStr">
        <is>
          <t>Farmacity</t>
        </is>
      </c>
      <c r="B1054" s="6" t="n">
        <v>246328</v>
      </c>
      <c r="C1054" s="6" t="n">
        <v>246328</v>
      </c>
      <c r="D1054" s="6" t="inlineStr">
        <is>
          <t>Kit Fructis Hair Food Alimenta tu Pelo x 5 Mascarillas</t>
        </is>
      </c>
      <c r="E1054" s="6" t="inlineStr">
        <is>
          <t>Fructis</t>
        </is>
      </c>
      <c r="F1054" s="6" t="n">
        <v>45467</v>
      </c>
      <c r="G1054" s="6" t="n">
        <v>69950</v>
      </c>
      <c r="H1054" s="6" t="b">
        <v>1</v>
      </c>
      <c r="I1054" s="6" t="inlineStr"/>
      <c r="J1054" s="6" t="inlineStr"/>
      <c r="K1054" s="6" t="inlineStr">
        <is>
          <t>&gt; Cuidado Capilar &gt; Reparación Y Tratamiento &gt;</t>
        </is>
      </c>
      <c r="L1054" s="6" t="inlineStr">
        <is>
          <t>tratamiento</t>
        </is>
      </c>
      <c r="M1054" s="6" t="inlineStr">
        <is>
          <t>estandar</t>
        </is>
      </c>
      <c r="N1054" s="6" t="inlineStr">
        <is>
          <t>general</t>
        </is>
      </c>
      <c r="O1054" s="6" t="inlineStr">
        <is>
          <t>https://www.farmacity.com/246328_kit-fructis-hair-food-5-mascarillas/p</t>
        </is>
      </c>
    </row>
    <row r="1055">
      <c r="A1055" t="inlineStr">
        <is>
          <t>Farmacity</t>
        </is>
      </c>
      <c r="B1055" t="n">
        <v>239708</v>
      </c>
      <c r="C1055" t="n">
        <v>239708</v>
      </c>
      <c r="D1055" t="inlineStr">
        <is>
          <t>Mascarilla Fructis Hair Food Cacao x 350 ml</t>
        </is>
      </c>
      <c r="E1055" t="inlineStr">
        <is>
          <t>Fructis</t>
        </is>
      </c>
      <c r="F1055" t="n">
        <v>13990</v>
      </c>
      <c r="G1055" t="n">
        <v>13990</v>
      </c>
      <c r="H1055" t="b">
        <v>1</v>
      </c>
      <c r="I1055" t="n">
        <v>350</v>
      </c>
      <c r="J1055" t="n">
        <v>39.9714</v>
      </c>
      <c r="K1055" t="inlineStr">
        <is>
          <t>&gt; Cuidado Capilar &gt; Reparación Y Tratamiento &gt;</t>
        </is>
      </c>
      <c r="L1055" t="inlineStr">
        <is>
          <t>tratamiento</t>
        </is>
      </c>
      <c r="M1055" t="inlineStr">
        <is>
          <t>estandar</t>
        </is>
      </c>
      <c r="N1055" t="inlineStr">
        <is>
          <t>general</t>
        </is>
      </c>
      <c r="O1055" t="inlineStr">
        <is>
          <t>https://www.farmacity.com/tratamiento-garnier-fructis-hair-food-mascara-de-restauracion-manteca-de-cacao-x-350-ml/p</t>
        </is>
      </c>
    </row>
    <row r="1056">
      <c r="A1056" s="6" t="inlineStr">
        <is>
          <t>Farmacity</t>
        </is>
      </c>
      <c r="B1056" s="6" t="n">
        <v>215036</v>
      </c>
      <c r="C1056" s="6" t="n">
        <v>215036</v>
      </c>
      <c r="D1056" s="6" t="inlineStr">
        <is>
          <t>Mascarilla Fructis Hair Food Aloe x 350ml</t>
        </is>
      </c>
      <c r="E1056" s="6" t="inlineStr">
        <is>
          <t>Fructis</t>
        </is>
      </c>
      <c r="F1056" s="6" t="n">
        <v>13990</v>
      </c>
      <c r="G1056" s="6" t="n">
        <v>13990</v>
      </c>
      <c r="H1056" s="6" t="b">
        <v>1</v>
      </c>
      <c r="I1056" s="6" t="n">
        <v>350</v>
      </c>
      <c r="J1056" s="6" t="n">
        <v>39.9714</v>
      </c>
      <c r="K1056" s="6" t="inlineStr">
        <is>
          <t>&gt; Cuidado Capilar &gt; Reparación Y Tratamiento &gt;</t>
        </is>
      </c>
      <c r="L1056" s="6" t="inlineStr">
        <is>
          <t>tratamiento</t>
        </is>
      </c>
      <c r="M1056" s="6" t="inlineStr">
        <is>
          <t>estandar</t>
        </is>
      </c>
      <c r="N1056" s="6" t="inlineStr">
        <is>
          <t>general</t>
        </is>
      </c>
      <c r="O1056" s="6" t="inlineStr">
        <is>
          <t>https://www.farmacity.com/mascara-capilar-garnier-fructis-hair-food-aloe-x-350-ml/p</t>
        </is>
      </c>
    </row>
    <row r="1057">
      <c r="A1057" t="inlineStr">
        <is>
          <t>Farmacity</t>
        </is>
      </c>
      <c r="B1057" t="n">
        <v>250123</v>
      </c>
      <c r="C1057" t="n">
        <v>250123</v>
      </c>
      <c r="D1057" t="inlineStr">
        <is>
          <t>Acondicionador Fructis Good Bye Daños Oil Control x 200 ml</t>
        </is>
      </c>
      <c r="E1057" t="inlineStr">
        <is>
          <t>Fructis</t>
        </is>
      </c>
      <c r="F1057" t="n">
        <v>5490</v>
      </c>
      <c r="G1057" t="n">
        <v>5490</v>
      </c>
      <c r="H1057" t="b">
        <v>1</v>
      </c>
      <c r="I1057" t="n">
        <v>200</v>
      </c>
      <c r="J1057" t="n">
        <v>27.45</v>
      </c>
      <c r="K1057" t="inlineStr">
        <is>
          <t>&gt; Cuidado Capilar &gt; Shampoo Y Acondicionador &gt;</t>
        </is>
      </c>
      <c r="L1057" t="inlineStr">
        <is>
          <t>acondicionador</t>
        </is>
      </c>
      <c r="M1057" t="inlineStr">
        <is>
          <t>estandar</t>
        </is>
      </c>
      <c r="N1057" t="inlineStr">
        <is>
          <t>general</t>
        </is>
      </c>
      <c r="O1057" t="inlineStr">
        <is>
          <t>https://www.farmacity.com/acondicionador-fructis-good-bye-danos-oil-control-x-200-ml/p</t>
        </is>
      </c>
    </row>
    <row r="1058">
      <c r="A1058" s="6" t="inlineStr">
        <is>
          <t>Farmacity</t>
        </is>
      </c>
      <c r="B1058" s="6" t="n">
        <v>249638</v>
      </c>
      <c r="C1058" s="6" t="n">
        <v>249638</v>
      </c>
      <c r="D1058" s="6" t="inlineStr">
        <is>
          <t>Combo Garnier Fructis Mascarillas Hair Food Cacao + Palta + Ananá</t>
        </is>
      </c>
      <c r="E1058" s="6" t="inlineStr">
        <is>
          <t>Fructis</t>
        </is>
      </c>
      <c r="F1058" s="6" t="n">
        <v>29379</v>
      </c>
      <c r="G1058" s="6" t="n">
        <v>41970</v>
      </c>
      <c r="H1058" s="6" t="b">
        <v>1</v>
      </c>
      <c r="I1058" s="6" t="inlineStr"/>
      <c r="J1058" s="6" t="inlineStr"/>
      <c r="K1058" s="6" t="inlineStr">
        <is>
          <t>&gt; Cuidado Capilar &gt; Reparación Y Tratamiento &gt;</t>
        </is>
      </c>
      <c r="L1058" s="6" t="inlineStr">
        <is>
          <t>tratamiento</t>
        </is>
      </c>
      <c r="M1058" s="6" t="inlineStr">
        <is>
          <t>estandar</t>
        </is>
      </c>
      <c r="N1058" s="6" t="inlineStr">
        <is>
          <t>general</t>
        </is>
      </c>
      <c r="O1058" s="6" t="inlineStr">
        <is>
          <t>https://www.farmacity.com/combo-garnier-fructis-mascarillas-hair-food-cacao-palta-anana/p</t>
        </is>
      </c>
    </row>
    <row r="1059">
      <c r="A1059" t="inlineStr">
        <is>
          <t>Farmacity</t>
        </is>
      </c>
      <c r="B1059" t="n">
        <v>206403</v>
      </c>
      <c r="C1059" t="n">
        <v>206403</v>
      </c>
      <c r="D1059" t="inlineStr">
        <is>
          <t>Mascarilla Fructis Hair Food Banana x 350ml</t>
        </is>
      </c>
      <c r="E1059" t="inlineStr">
        <is>
          <t>Fructis</t>
        </is>
      </c>
      <c r="F1059" t="n">
        <v>4945</v>
      </c>
      <c r="G1059" t="n">
        <v>9890</v>
      </c>
      <c r="H1059" t="b">
        <v>1</v>
      </c>
      <c r="I1059" t="n">
        <v>350</v>
      </c>
      <c r="J1059" t="n">
        <v>14.1286</v>
      </c>
      <c r="K1059" t="inlineStr">
        <is>
          <t>&gt; Cuidado Capilar &gt; Reparación Y Tratamiento &gt;</t>
        </is>
      </c>
      <c r="L1059" t="inlineStr">
        <is>
          <t>tratamiento</t>
        </is>
      </c>
      <c r="M1059" t="inlineStr">
        <is>
          <t>estandar</t>
        </is>
      </c>
      <c r="N1059" t="inlineStr">
        <is>
          <t>general</t>
        </is>
      </c>
      <c r="O1059" t="inlineStr">
        <is>
          <t>https://www.farmacity.com/mascara-capilar-fructis-nutricion-hairfood-banana-x-350-ml/p</t>
        </is>
      </c>
    </row>
    <row r="1060">
      <c r="A1060" s="6" t="inlineStr">
        <is>
          <t>Farmacity</t>
        </is>
      </c>
      <c r="B1060" s="6" t="n">
        <v>230631</v>
      </c>
      <c r="C1060" s="6" t="n">
        <v>230631</v>
      </c>
      <c r="D1060" s="6" t="inlineStr">
        <is>
          <t>Protector Térmico Tresemmé Spray x 120 ml</t>
        </is>
      </c>
      <c r="E1060" s="6" t="inlineStr">
        <is>
          <t>Tresemmé</t>
        </is>
      </c>
      <c r="F1060" s="6" t="n">
        <v>7880</v>
      </c>
      <c r="G1060" s="6" t="n">
        <v>9850</v>
      </c>
      <c r="H1060" s="6" t="b">
        <v>1</v>
      </c>
      <c r="I1060" s="6" t="n">
        <v>120</v>
      </c>
      <c r="J1060" s="6" t="n">
        <v>65.66670000000001</v>
      </c>
      <c r="K1060" s="6" t="inlineStr">
        <is>
          <t>&gt; Cuidado Capilar &gt; Reparación Y Tratamiento &gt;</t>
        </is>
      </c>
      <c r="L1060" s="6" t="inlineStr">
        <is>
          <t>shampoo</t>
        </is>
      </c>
      <c r="M1060" s="6" t="inlineStr">
        <is>
          <t>estandar</t>
        </is>
      </c>
      <c r="N1060" s="6" t="inlineStr">
        <is>
          <t>general</t>
        </is>
      </c>
      <c r="O1060" s="6" t="inlineStr">
        <is>
          <t>https://www.farmacity.com/protector-termico-tresemme-spray-x-120-ml/p</t>
        </is>
      </c>
    </row>
    <row r="1061">
      <c r="A1061" t="inlineStr">
        <is>
          <t>Farmacity</t>
        </is>
      </c>
      <c r="B1061" t="n">
        <v>246593</v>
      </c>
      <c r="C1061" t="n">
        <v>246593</v>
      </c>
      <c r="D1061" t="inlineStr">
        <is>
          <t>Combo Tresemmé Óleo + Protector Térmico</t>
        </is>
      </c>
      <c r="E1061" t="inlineStr">
        <is>
          <t>Tresemmé</t>
        </is>
      </c>
      <c r="F1061" t="n">
        <v>13133</v>
      </c>
      <c r="G1061" t="n">
        <v>21888</v>
      </c>
      <c r="H1061" t="b">
        <v>1</v>
      </c>
      <c r="I1061" t="inlineStr"/>
      <c r="J1061" t="inlineStr"/>
      <c r="K1061" t="inlineStr">
        <is>
          <t>&gt; Cuidado Capilar &gt; Reparación Y Tratamiento &gt;</t>
        </is>
      </c>
      <c r="L1061" t="inlineStr">
        <is>
          <t>shampoo</t>
        </is>
      </c>
      <c r="M1061" t="inlineStr">
        <is>
          <t>estandar</t>
        </is>
      </c>
      <c r="N1061" t="inlineStr">
        <is>
          <t>general</t>
        </is>
      </c>
      <c r="O1061" t="inlineStr">
        <is>
          <t>https://www.farmacity.com/combo-tresemme-oleo-protector-termico/p</t>
        </is>
      </c>
    </row>
    <row r="1062">
      <c r="A1062" s="6" t="inlineStr">
        <is>
          <t>Farmacity</t>
        </is>
      </c>
      <c r="B1062" s="6" t="n">
        <v>244704</v>
      </c>
      <c r="C1062" s="6" t="n">
        <v>244704</v>
      </c>
      <c r="D1062" s="6" t="inlineStr">
        <is>
          <t>Combo Tresemmé Keratina AntiFrizz: Limpia, Nutre y Repara</t>
        </is>
      </c>
      <c r="E1062" s="6" t="inlineStr">
        <is>
          <t>Tresemmé</t>
        </is>
      </c>
      <c r="F1062" s="6" t="n">
        <v>18059</v>
      </c>
      <c r="G1062" s="6" t="n">
        <v>30099</v>
      </c>
      <c r="H1062" s="6" t="b">
        <v>1</v>
      </c>
      <c r="I1062" s="6" t="inlineStr"/>
      <c r="J1062" s="6" t="inlineStr"/>
      <c r="K1062" s="6" t="inlineStr">
        <is>
          <t>&gt; Cuidado Capilar &gt; Shampoo Y Acondicionador &gt;</t>
        </is>
      </c>
      <c r="L1062" s="6" t="inlineStr">
        <is>
          <t>shampoo</t>
        </is>
      </c>
      <c r="M1062" s="6" t="inlineStr">
        <is>
          <t>estandar</t>
        </is>
      </c>
      <c r="N1062" s="6" t="inlineStr">
        <is>
          <t>tratado</t>
        </is>
      </c>
      <c r="O1062" s="6" t="inlineStr">
        <is>
          <t>https://www.farmacity.com/combo-tresemme-keratina-antifrizz-limpia-nutre-y-repara/p</t>
        </is>
      </c>
    </row>
    <row r="1063">
      <c r="A1063" t="inlineStr">
        <is>
          <t>Farmacity</t>
        </is>
      </c>
      <c r="B1063" t="n">
        <v>240155</v>
      </c>
      <c r="C1063" t="n">
        <v>240155</v>
      </c>
      <c r="D1063" t="inlineStr">
        <is>
          <t>Crema para Peinar Tresemme Antifrizz x 300 ml</t>
        </is>
      </c>
      <c r="E1063" t="inlineStr">
        <is>
          <t>Tresemmé</t>
        </is>
      </c>
      <c r="F1063" t="n">
        <v>7568</v>
      </c>
      <c r="G1063" t="n">
        <v>7568</v>
      </c>
      <c r="H1063" t="b">
        <v>1</v>
      </c>
      <c r="I1063" t="n">
        <v>300</v>
      </c>
      <c r="J1063" t="n">
        <v>25.2267</v>
      </c>
      <c r="K1063" t="inlineStr">
        <is>
          <t>&gt; Cuidado Capilar &gt; Modelado Y Peinado &gt;</t>
        </is>
      </c>
      <c r="L1063" t="inlineStr">
        <is>
          <t>shampoo</t>
        </is>
      </c>
      <c r="M1063" t="inlineStr">
        <is>
          <t>estandar</t>
        </is>
      </c>
      <c r="N1063" t="inlineStr">
        <is>
          <t>general</t>
        </is>
      </c>
      <c r="O1063" t="inlineStr">
        <is>
          <t>https://www.farmacity.com/crema-para-peinar-tresemme-antifrizz-x-300-ml/p</t>
        </is>
      </c>
    </row>
    <row r="1064">
      <c r="A1064" s="6" t="inlineStr">
        <is>
          <t>Farmacity</t>
        </is>
      </c>
      <c r="B1064" s="6" t="n">
        <v>237325</v>
      </c>
      <c r="C1064" s="6" t="n">
        <v>237325</v>
      </c>
      <c r="D1064" s="6" t="inlineStr">
        <is>
          <t>Óleo Tresemmé Finisher Textura Liviana x 60 ml</t>
        </is>
      </c>
      <c r="E1064" s="6" t="inlineStr">
        <is>
          <t>Tresemmé</t>
        </is>
      </c>
      <c r="F1064" s="6" t="n">
        <v>6621</v>
      </c>
      <c r="G1064" s="6" t="n">
        <v>12039</v>
      </c>
      <c r="H1064" s="6" t="b">
        <v>1</v>
      </c>
      <c r="I1064" s="6" t="n">
        <v>60</v>
      </c>
      <c r="J1064" s="6" t="n">
        <v>110.35</v>
      </c>
      <c r="K1064" s="6" t="inlineStr">
        <is>
          <t>&gt; Cuidado Capilar &gt; Reparación Y Tratamiento &gt;</t>
        </is>
      </c>
      <c r="L1064" s="6" t="inlineStr">
        <is>
          <t>shampoo</t>
        </is>
      </c>
      <c r="M1064" s="6" t="inlineStr">
        <is>
          <t>estandar</t>
        </is>
      </c>
      <c r="N1064" s="6" t="inlineStr">
        <is>
          <t>general</t>
        </is>
      </c>
      <c r="O1064" s="6" t="inlineStr">
        <is>
          <t>https://www.farmacity.com/oleo-tresemme-finisher-textura-liviana-x-60-ml/p</t>
        </is>
      </c>
    </row>
    <row r="1065">
      <c r="A1065" t="inlineStr">
        <is>
          <t>Farmacity</t>
        </is>
      </c>
      <c r="B1065" t="n">
        <v>230632</v>
      </c>
      <c r="C1065" t="n">
        <v>230632</v>
      </c>
      <c r="D1065" t="inlineStr">
        <is>
          <t>Mousse Tresemmé Ondas y Rizos x 200 ml</t>
        </is>
      </c>
      <c r="E1065" t="inlineStr">
        <is>
          <t>Tresemmé</t>
        </is>
      </c>
      <c r="F1065" t="n">
        <v>12516</v>
      </c>
      <c r="G1065" t="n">
        <v>12516</v>
      </c>
      <c r="H1065" t="b">
        <v>1</v>
      </c>
      <c r="I1065" t="n">
        <v>200</v>
      </c>
      <c r="J1065" t="n">
        <v>62.58</v>
      </c>
      <c r="K1065" t="inlineStr">
        <is>
          <t>&gt; Cuidado Capilar &gt; Modelado Y Peinado &gt;</t>
        </is>
      </c>
      <c r="L1065" t="inlineStr">
        <is>
          <t>shampoo</t>
        </is>
      </c>
      <c r="M1065" t="inlineStr">
        <is>
          <t>estandar</t>
        </is>
      </c>
      <c r="N1065" t="inlineStr">
        <is>
          <t>rizado</t>
        </is>
      </c>
      <c r="O1065" t="inlineStr">
        <is>
          <t>https://www.farmacity.com/mousse-tresemme-ondas-y-rizos-x-200-ml/p</t>
        </is>
      </c>
    </row>
    <row r="1066">
      <c r="A1066" s="6" t="inlineStr">
        <is>
          <t>Farmacity</t>
        </is>
      </c>
      <c r="B1066" s="6" t="n">
        <v>244703</v>
      </c>
      <c r="C1066" s="6" t="n">
        <v>244703</v>
      </c>
      <c r="D1066" s="6" t="inlineStr">
        <is>
          <t>Combo Completo Tresemmé Keratina Blind Antifrizz</t>
        </is>
      </c>
      <c r="E1066" s="6" t="inlineStr">
        <is>
          <t>Tresemmé</t>
        </is>
      </c>
      <c r="F1066" s="6" t="n">
        <v>26882</v>
      </c>
      <c r="G1066" s="6" t="n">
        <v>44803</v>
      </c>
      <c r="H1066" s="6" t="b">
        <v>1</v>
      </c>
      <c r="I1066" s="6" t="inlineStr"/>
      <c r="J1066" s="6" t="inlineStr"/>
      <c r="K1066" s="6" t="inlineStr">
        <is>
          <t>&gt; Cuidado Capilar &gt; Shampoo Y Acondicionador &gt;</t>
        </is>
      </c>
      <c r="L1066" s="6" t="inlineStr">
        <is>
          <t>shampoo</t>
        </is>
      </c>
      <c r="M1066" s="6" t="inlineStr">
        <is>
          <t>estandar</t>
        </is>
      </c>
      <c r="N1066" s="6" t="inlineStr">
        <is>
          <t>tratado</t>
        </is>
      </c>
      <c r="O1066" s="6" t="inlineStr">
        <is>
          <t>https://www.farmacity.com/combo-completo-tresemme-keratina-blind-antifrizz/p</t>
        </is>
      </c>
    </row>
    <row r="1067">
      <c r="A1067" t="inlineStr">
        <is>
          <t>Farmacity</t>
        </is>
      </c>
      <c r="B1067" t="n">
        <v>237322</v>
      </c>
      <c r="C1067" t="n">
        <v>237322</v>
      </c>
      <c r="D1067" t="inlineStr">
        <is>
          <t>Acondicionador Tresemmé Brillo Lamelar P x 500 ml</t>
        </is>
      </c>
      <c r="E1067" t="inlineStr">
        <is>
          <t>Tresemmé</t>
        </is>
      </c>
      <c r="F1067" t="n">
        <v>6574</v>
      </c>
      <c r="G1067" t="n">
        <v>10114</v>
      </c>
      <c r="H1067" t="b">
        <v>1</v>
      </c>
      <c r="I1067" t="n">
        <v>500</v>
      </c>
      <c r="J1067" t="n">
        <v>13.148</v>
      </c>
      <c r="K1067" t="inlineStr">
        <is>
          <t>&gt; Cuidado Capilar &gt; Shampoo Y Acondicionador &gt;</t>
        </is>
      </c>
      <c r="L1067" t="inlineStr">
        <is>
          <t>acondicionador</t>
        </is>
      </c>
      <c r="M1067" t="inlineStr">
        <is>
          <t>estandar</t>
        </is>
      </c>
      <c r="N1067" t="inlineStr">
        <is>
          <t>general</t>
        </is>
      </c>
      <c r="O1067" t="inlineStr">
        <is>
          <t>https://www.farmacity.com/acondicionador-tresemme-brillo-lamelar-p-x-500-ml/p</t>
        </is>
      </c>
    </row>
    <row r="1068">
      <c r="A1068" s="6" t="inlineStr">
        <is>
          <t>Farmacity</t>
        </is>
      </c>
      <c r="B1068" s="6" t="n">
        <v>246592</v>
      </c>
      <c r="C1068" s="6" t="n">
        <v>246592</v>
      </c>
      <c r="D1068" s="6" t="inlineStr">
        <is>
          <t>Kit Capilar Tresemmé Mousse + Óleo + Protector Térmico</t>
        </is>
      </c>
      <c r="E1068" s="6" t="inlineStr">
        <is>
          <t>Tresemmé</t>
        </is>
      </c>
      <c r="F1068" s="6" t="n">
        <v>20642</v>
      </c>
      <c r="G1068" s="6" t="n">
        <v>34404</v>
      </c>
      <c r="H1068" s="6" t="b">
        <v>1</v>
      </c>
      <c r="I1068" s="6" t="inlineStr"/>
      <c r="J1068" s="6" t="inlineStr"/>
      <c r="K1068" s="6" t="inlineStr">
        <is>
          <t>&gt; Cuidado Capilar &gt; Reparación Y Tratamiento &gt;</t>
        </is>
      </c>
      <c r="L1068" s="6" t="inlineStr">
        <is>
          <t>tratamiento</t>
        </is>
      </c>
      <c r="M1068" s="6" t="inlineStr">
        <is>
          <t>estandar</t>
        </is>
      </c>
      <c r="N1068" s="6" t="inlineStr">
        <is>
          <t>general</t>
        </is>
      </c>
      <c r="O1068" s="6" t="inlineStr">
        <is>
          <t>https://www.farmacity.com/kit-capilar-tresemme-mousse-oleo-protector-termico/p</t>
        </is>
      </c>
    </row>
    <row r="1069">
      <c r="A1069" t="inlineStr">
        <is>
          <t>Farmacity</t>
        </is>
      </c>
      <c r="B1069" t="n">
        <v>240156</v>
      </c>
      <c r="C1069" t="n">
        <v>240156</v>
      </c>
      <c r="D1069" t="inlineStr">
        <is>
          <t>Gel Tresemme Texturizador Define x 300 g</t>
        </is>
      </c>
      <c r="E1069" t="inlineStr">
        <is>
          <t>Tresemmé</t>
        </is>
      </c>
      <c r="F1069" t="n">
        <v>7568</v>
      </c>
      <c r="G1069" t="n">
        <v>7568</v>
      </c>
      <c r="H1069" t="b">
        <v>1</v>
      </c>
      <c r="I1069" t="n">
        <v>300</v>
      </c>
      <c r="J1069" t="n">
        <v>25.2267</v>
      </c>
      <c r="K1069" t="inlineStr">
        <is>
          <t>&gt; Cuidado Capilar &gt; Modelado Y Peinado &gt;</t>
        </is>
      </c>
      <c r="L1069" t="inlineStr">
        <is>
          <t>shampoo</t>
        </is>
      </c>
      <c r="M1069" t="inlineStr">
        <is>
          <t>estandar</t>
        </is>
      </c>
      <c r="N1069" t="inlineStr">
        <is>
          <t>rizado</t>
        </is>
      </c>
      <c r="O1069" t="inlineStr">
        <is>
          <t>https://www.farmacity.com/gel-tresemme-texturizador-define-x-300-g/p</t>
        </is>
      </c>
    </row>
    <row r="1070">
      <c r="A1070" s="6" t="inlineStr">
        <is>
          <t>Farmacity</t>
        </is>
      </c>
      <c r="B1070" s="6" t="n">
        <v>237324</v>
      </c>
      <c r="C1070" s="6" t="n">
        <v>237324</v>
      </c>
      <c r="D1070" s="6" t="inlineStr">
        <is>
          <t>Sérum TRESemmé Brillo Lamelar x 170 ml</t>
        </is>
      </c>
      <c r="E1070" s="6" t="inlineStr">
        <is>
          <t>Tresemmé</t>
        </is>
      </c>
      <c r="F1070" s="6" t="n">
        <v>12019</v>
      </c>
      <c r="G1070" s="6" t="n">
        <v>12019</v>
      </c>
      <c r="H1070" s="6" t="b">
        <v>1</v>
      </c>
      <c r="I1070" s="6" t="n">
        <v>170</v>
      </c>
      <c r="J1070" s="6" t="n">
        <v>70.7</v>
      </c>
      <c r="K1070" s="6" t="inlineStr">
        <is>
          <t>&gt; Cuidado Capilar &gt; Reparación Y Tratamiento &gt;</t>
        </is>
      </c>
      <c r="L1070" s="6" t="inlineStr">
        <is>
          <t>shampoo</t>
        </is>
      </c>
      <c r="M1070" s="6" t="inlineStr">
        <is>
          <t>estandar</t>
        </is>
      </c>
      <c r="N1070" s="6" t="inlineStr">
        <is>
          <t>general</t>
        </is>
      </c>
      <c r="O1070" s="6" t="inlineStr">
        <is>
          <t>https://www.farmacity.com/serum-tresemme-brillo-lamelar-x-170-ml/p</t>
        </is>
      </c>
    </row>
    <row r="1071">
      <c r="A1071" t="inlineStr">
        <is>
          <t>Farmacity</t>
        </is>
      </c>
      <c r="B1071" t="n">
        <v>230603</v>
      </c>
      <c r="C1071" t="n">
        <v>230603</v>
      </c>
      <c r="D1071" t="inlineStr">
        <is>
          <t>Shampoo Dosificador Tresemmé Matizador Ultravioleta x 500 ml</t>
        </is>
      </c>
      <c r="E1071" t="inlineStr">
        <is>
          <t>Tresemmé</t>
        </is>
      </c>
      <c r="F1071" t="n">
        <v>6574</v>
      </c>
      <c r="G1071" t="n">
        <v>10114</v>
      </c>
      <c r="H1071" t="b">
        <v>1</v>
      </c>
      <c r="I1071" t="n">
        <v>500</v>
      </c>
      <c r="J1071" t="n">
        <v>13.148</v>
      </c>
      <c r="K1071" t="inlineStr">
        <is>
          <t>&gt; Cuidado Capilar &gt; Shampoo Y Acondicionador &gt;</t>
        </is>
      </c>
      <c r="L1071" t="inlineStr">
        <is>
          <t>shampoo</t>
        </is>
      </c>
      <c r="M1071" t="inlineStr">
        <is>
          <t>estandar</t>
        </is>
      </c>
      <c r="N1071" t="inlineStr">
        <is>
          <t>general</t>
        </is>
      </c>
      <c r="O1071" t="inlineStr">
        <is>
          <t>https://www.farmacity.com/shampoo-dosificador-tresemme-matrizador-ultravioleta-x-500-ml/p</t>
        </is>
      </c>
    </row>
    <row r="1072">
      <c r="A1072" s="6" t="inlineStr">
        <is>
          <t>Farmacity</t>
        </is>
      </c>
      <c r="B1072" s="6" t="n">
        <v>244705</v>
      </c>
      <c r="C1072" s="6" t="n">
        <v>244705</v>
      </c>
      <c r="D1072" s="6" t="inlineStr">
        <is>
          <t>Combo Tresemmé Keratina AntiFrizz: Limpieza, Suavidad y Protección</t>
        </is>
      </c>
      <c r="E1072" s="6" t="inlineStr">
        <is>
          <t>Tresemmé</t>
        </is>
      </c>
      <c r="F1072" s="6" t="n">
        <v>20960</v>
      </c>
      <c r="G1072" s="6" t="n">
        <v>34933</v>
      </c>
      <c r="H1072" s="6" t="b">
        <v>1</v>
      </c>
      <c r="I1072" s="6" t="inlineStr"/>
      <c r="J1072" s="6" t="inlineStr"/>
      <c r="K1072" s="6" t="inlineStr">
        <is>
          <t>&gt; Cuidado Capilar &gt; Shampoo Y Acondicionador &gt;</t>
        </is>
      </c>
      <c r="L1072" s="6" t="inlineStr">
        <is>
          <t>shampoo</t>
        </is>
      </c>
      <c r="M1072" s="6" t="inlineStr">
        <is>
          <t>estandar</t>
        </is>
      </c>
      <c r="N1072" s="6" t="inlineStr">
        <is>
          <t>tratado</t>
        </is>
      </c>
      <c r="O1072" s="6" t="inlineStr">
        <is>
          <t>https://www.farmacity.com/combo-tresemme-keratina-antifrizz-limpieza-suavidad-y-proteccion/p</t>
        </is>
      </c>
    </row>
    <row r="1073">
      <c r="A1073" t="inlineStr">
        <is>
          <t>Farmacity</t>
        </is>
      </c>
      <c r="B1073" t="n">
        <v>230633</v>
      </c>
      <c r="C1073" t="n">
        <v>230633</v>
      </c>
      <c r="D1073" t="inlineStr">
        <is>
          <t>Spray Tresemmé Ultra-Fine Hold x 367 ml</t>
        </is>
      </c>
      <c r="E1073" t="inlineStr">
        <is>
          <t>Tresemmé</t>
        </is>
      </c>
      <c r="F1073" t="n">
        <v>12805</v>
      </c>
      <c r="G1073" t="n">
        <v>12805</v>
      </c>
      <c r="H1073" t="b">
        <v>1</v>
      </c>
      <c r="I1073" t="n">
        <v>367</v>
      </c>
      <c r="J1073" t="n">
        <v>34.891</v>
      </c>
      <c r="K1073" t="inlineStr">
        <is>
          <t>&gt; Cuidado Capilar &gt; Modelado Y Peinado &gt;</t>
        </is>
      </c>
      <c r="L1073" t="inlineStr">
        <is>
          <t>shampoo</t>
        </is>
      </c>
      <c r="M1073" t="inlineStr">
        <is>
          <t>estandar</t>
        </is>
      </c>
      <c r="N1073" t="inlineStr">
        <is>
          <t>general</t>
        </is>
      </c>
      <c r="O1073" t="inlineStr">
        <is>
          <t>https://www.farmacity.com/spray-tresemme-ultra-fine-hold-x-367-ml/p</t>
        </is>
      </c>
    </row>
    <row r="1074">
      <c r="A1074" s="6" t="inlineStr">
        <is>
          <t>Farmacity</t>
        </is>
      </c>
      <c r="B1074" s="6" t="n">
        <v>248675</v>
      </c>
      <c r="C1074" s="6" t="n">
        <v>248675</v>
      </c>
      <c r="D1074" s="6" t="inlineStr">
        <is>
          <t>Combo Tresemme Oleo + Crema Tratamiento</t>
        </is>
      </c>
      <c r="E1074" s="6" t="inlineStr">
        <is>
          <t>Tresemmé</t>
        </is>
      </c>
      <c r="F1074" s="6" t="n">
        <v>13145</v>
      </c>
      <c r="G1074" s="6" t="n">
        <v>21909</v>
      </c>
      <c r="H1074" s="6" t="b">
        <v>1</v>
      </c>
      <c r="I1074" s="6" t="inlineStr"/>
      <c r="J1074" s="6" t="inlineStr"/>
      <c r="K1074" s="6" t="inlineStr">
        <is>
          <t>&gt; Cuidado Capilar &gt; Reparación Y Tratamiento &gt;</t>
        </is>
      </c>
      <c r="L1074" s="6" t="inlineStr">
        <is>
          <t>tratamiento</t>
        </is>
      </c>
      <c r="M1074" s="6" t="inlineStr">
        <is>
          <t>estandar</t>
        </is>
      </c>
      <c r="N1074" s="6" t="inlineStr">
        <is>
          <t>general</t>
        </is>
      </c>
      <c r="O1074" s="6" t="inlineStr">
        <is>
          <t>https://www.farmacity.com/combo-tresemme-oleo-crema-tratamiento/p</t>
        </is>
      </c>
    </row>
    <row r="1075">
      <c r="A1075" t="inlineStr">
        <is>
          <t>Farmacity</t>
        </is>
      </c>
      <c r="B1075" t="n">
        <v>237323</v>
      </c>
      <c r="C1075" t="n">
        <v>237323</v>
      </c>
      <c r="D1075" t="inlineStr">
        <is>
          <t>Acondicionador TRESemmé Brillo Lamelar x 250 ml</t>
        </is>
      </c>
      <c r="E1075" t="inlineStr">
        <is>
          <t>Tresemmé</t>
        </is>
      </c>
      <c r="F1075" t="n">
        <v>6091</v>
      </c>
      <c r="G1075" t="n">
        <v>6091</v>
      </c>
      <c r="H1075" t="b">
        <v>1</v>
      </c>
      <c r="I1075" t="n">
        <v>250</v>
      </c>
      <c r="J1075" t="n">
        <v>24.364</v>
      </c>
      <c r="K1075" t="inlineStr">
        <is>
          <t>&gt; Cuidado Capilar &gt; Shampoo Y Acondicionador &gt;</t>
        </is>
      </c>
      <c r="L1075" t="inlineStr">
        <is>
          <t>acondicionador</t>
        </is>
      </c>
      <c r="M1075" t="inlineStr">
        <is>
          <t>estandar</t>
        </is>
      </c>
      <c r="N1075" t="inlineStr">
        <is>
          <t>general</t>
        </is>
      </c>
      <c r="O1075" t="inlineStr">
        <is>
          <t>https://www.farmacity.com/acondicionador-tresemme-brillo-lamelar-x-250-ml/p</t>
        </is>
      </c>
    </row>
    <row r="1076">
      <c r="A1076" s="6" t="inlineStr">
        <is>
          <t>Farmacity</t>
        </is>
      </c>
      <c r="B1076" s="6" t="n">
        <v>230634</v>
      </c>
      <c r="C1076" s="6" t="n">
        <v>230634</v>
      </c>
      <c r="D1076" s="6" t="inlineStr">
        <is>
          <t>Crema de Peinar Tresemmé Antifrizz x 200 ml</t>
        </is>
      </c>
      <c r="E1076" s="6" t="inlineStr">
        <is>
          <t>Tresemmé</t>
        </is>
      </c>
      <c r="F1076" s="6" t="n">
        <v>3403</v>
      </c>
      <c r="G1076" s="6" t="n">
        <v>3403</v>
      </c>
      <c r="H1076" s="6" t="b">
        <v>0</v>
      </c>
      <c r="I1076" s="6" t="n">
        <v>200</v>
      </c>
      <c r="J1076" s="6" t="n">
        <v>17.015</v>
      </c>
      <c r="K1076" s="6" t="inlineStr">
        <is>
          <t>&gt; Cuidado Capilar &gt; Modelado Y Peinado &gt;</t>
        </is>
      </c>
      <c r="L1076" s="6" t="inlineStr">
        <is>
          <t>shampoo</t>
        </is>
      </c>
      <c r="M1076" s="6" t="inlineStr">
        <is>
          <t>estandar</t>
        </is>
      </c>
      <c r="N1076" s="6" t="inlineStr">
        <is>
          <t>general</t>
        </is>
      </c>
      <c r="O1076" s="6" t="inlineStr">
        <is>
          <t>https://www.farmacity.com/crema-de-peinar-tresemme-antifrizz-x-200-ml/p</t>
        </is>
      </c>
    </row>
    <row r="1077">
      <c r="A1077" t="inlineStr">
        <is>
          <t>Farmacity</t>
        </is>
      </c>
      <c r="B1077" t="n">
        <v>249576</v>
      </c>
      <c r="C1077" t="n">
        <v>249576</v>
      </c>
      <c r="D1077" t="inlineStr">
        <is>
          <t>Crema para Peinar Herbal Essences Rosa Mosqueta x 150 ml</t>
        </is>
      </c>
      <c r="E1077" t="inlineStr">
        <is>
          <t>Herbal Essences</t>
        </is>
      </c>
      <c r="F1077" t="n">
        <v>4512</v>
      </c>
      <c r="G1077" t="n">
        <v>6941</v>
      </c>
      <c r="H1077" t="b">
        <v>1</v>
      </c>
      <c r="I1077" t="n">
        <v>150</v>
      </c>
      <c r="J1077" t="n">
        <v>30.08</v>
      </c>
      <c r="K1077" t="inlineStr">
        <is>
          <t>&gt; Cuidado Capilar &gt; Modelado Y Peinado &gt;</t>
        </is>
      </c>
      <c r="L1077" t="inlineStr">
        <is>
          <t>shampoo</t>
        </is>
      </c>
      <c r="M1077" t="inlineStr">
        <is>
          <t>estandar</t>
        </is>
      </c>
      <c r="N1077" t="inlineStr">
        <is>
          <t>general</t>
        </is>
      </c>
      <c r="O1077" t="inlineStr">
        <is>
          <t>https://www.farmacity.com/crema-para-peinar-herbal-essences-rosa-mosqueta-x-150-ml/p</t>
        </is>
      </c>
    </row>
    <row r="1078">
      <c r="A1078" s="6" t="inlineStr">
        <is>
          <t>Farmacity</t>
        </is>
      </c>
      <c r="B1078" s="6" t="n">
        <v>246646</v>
      </c>
      <c r="C1078" s="6" t="n">
        <v>246646</v>
      </c>
      <c r="D1078" s="6" t="inlineStr">
        <is>
          <t>Crema para Peinar Herbal Essences Rosa Mosqueta x 300 ml</t>
        </is>
      </c>
      <c r="E1078" s="6" t="inlineStr">
        <is>
          <t>Herbal Essences</t>
        </is>
      </c>
      <c r="F1078" s="6" t="n">
        <v>7315</v>
      </c>
      <c r="G1078" s="6" t="n">
        <v>11254</v>
      </c>
      <c r="H1078" s="6" t="b">
        <v>1</v>
      </c>
      <c r="I1078" s="6" t="n">
        <v>300</v>
      </c>
      <c r="J1078" s="6" t="n">
        <v>24.3833</v>
      </c>
      <c r="K1078" s="6" t="inlineStr">
        <is>
          <t>&gt; Cuidado Capilar &gt; Modelado Y Peinado &gt;</t>
        </is>
      </c>
      <c r="L1078" s="6" t="inlineStr">
        <is>
          <t>shampoo</t>
        </is>
      </c>
      <c r="M1078" s="6" t="inlineStr">
        <is>
          <t>estandar</t>
        </is>
      </c>
      <c r="N1078" s="6" t="inlineStr">
        <is>
          <t>general</t>
        </is>
      </c>
      <c r="O1078" s="6" t="inlineStr">
        <is>
          <t>https://www.farmacity.com/crema-para-peinar-herbal-essences-rosa-mosqueta-x-300-ml/p</t>
        </is>
      </c>
    </row>
    <row r="1079">
      <c r="A1079" t="inlineStr">
        <is>
          <t>Farmacity</t>
        </is>
      </c>
      <c r="B1079" t="n">
        <v>246645</v>
      </c>
      <c r="C1079" t="n">
        <v>246645</v>
      </c>
      <c r="D1079" t="inlineStr">
        <is>
          <t>Mascarilla Capilar Herbal Essences Rosa Mosqueta x 300 ml</t>
        </is>
      </c>
      <c r="E1079" t="inlineStr">
        <is>
          <t>Herbal Essences</t>
        </is>
      </c>
      <c r="F1079" t="n">
        <v>10631</v>
      </c>
      <c r="G1079" t="n">
        <v>16356</v>
      </c>
      <c r="H1079" t="b">
        <v>0</v>
      </c>
      <c r="I1079" t="n">
        <v>300</v>
      </c>
      <c r="J1079" t="n">
        <v>35.4367</v>
      </c>
      <c r="K1079" t="inlineStr">
        <is>
          <t>&gt; Cuidado Capilar &gt; Reparación Y Tratamiento &gt;</t>
        </is>
      </c>
      <c r="L1079" t="inlineStr">
        <is>
          <t>tratamiento</t>
        </is>
      </c>
      <c r="M1079" t="inlineStr">
        <is>
          <t>estandar</t>
        </is>
      </c>
      <c r="N1079" t="inlineStr">
        <is>
          <t>general</t>
        </is>
      </c>
      <c r="O1079" t="inlineStr">
        <is>
          <t>https://www.farmacity.com/mascarilla-capilar-herbal-essences-rosa-mosqueta-x-300-ml/p</t>
        </is>
      </c>
    </row>
    <row r="1080">
      <c r="A1080" s="6" t="inlineStr">
        <is>
          <t>Farmacity</t>
        </is>
      </c>
      <c r="B1080" s="6" t="n">
        <v>214590</v>
      </c>
      <c r="C1080" s="6" t="n">
        <v>214590</v>
      </c>
      <c r="D1080" s="6" t="inlineStr">
        <is>
          <t>Crema para Peinar Herbal Essence Coconut Milk x 300 ml</t>
        </is>
      </c>
      <c r="E1080" s="6" t="inlineStr">
        <is>
          <t>Herbal Essences</t>
        </is>
      </c>
      <c r="F1080" s="6" t="n">
        <v>18043</v>
      </c>
      <c r="G1080" s="6" t="n">
        <v>18043</v>
      </c>
      <c r="H1080" s="6" t="b">
        <v>0</v>
      </c>
      <c r="I1080" s="6" t="n">
        <v>300</v>
      </c>
      <c r="J1080" s="6" t="n">
        <v>60.1433</v>
      </c>
      <c r="K1080" s="6" t="inlineStr">
        <is>
          <t>&gt; Cuidado Capilar &gt; Modelado Y Peinado &gt;</t>
        </is>
      </c>
      <c r="L1080" s="6" t="inlineStr">
        <is>
          <t>shampoo</t>
        </is>
      </c>
      <c r="M1080" s="6" t="inlineStr">
        <is>
          <t>estandar</t>
        </is>
      </c>
      <c r="N1080" s="6" t="inlineStr">
        <is>
          <t>general</t>
        </is>
      </c>
      <c r="O1080" s="6" t="inlineStr">
        <is>
          <t>https://www.farmacity.com/crema-para-peinar-herbal-essences-renew-coconut-milk-x-300-ml/p</t>
        </is>
      </c>
    </row>
    <row r="1081">
      <c r="A1081" t="inlineStr">
        <is>
          <t>Farmacity</t>
        </is>
      </c>
      <c r="B1081" t="n">
        <v>214589</v>
      </c>
      <c r="C1081" t="n">
        <v>214589</v>
      </c>
      <c r="D1081" t="inlineStr">
        <is>
          <t>Crema para Peinar Herbal Essences Argan Oil x 300 ml</t>
        </is>
      </c>
      <c r="E1081" t="inlineStr">
        <is>
          <t>Herbal Essences</t>
        </is>
      </c>
      <c r="F1081" t="n">
        <v>19773</v>
      </c>
      <c r="G1081" t="n">
        <v>19773</v>
      </c>
      <c r="H1081" t="b">
        <v>0</v>
      </c>
      <c r="I1081" t="n">
        <v>300</v>
      </c>
      <c r="J1081" t="n">
        <v>65.91</v>
      </c>
      <c r="K1081" t="inlineStr">
        <is>
          <t>&gt; Cuidado Capilar &gt; Modelado Y Peinado &gt;</t>
        </is>
      </c>
      <c r="L1081" t="inlineStr">
        <is>
          <t>shampoo</t>
        </is>
      </c>
      <c r="M1081" t="inlineStr">
        <is>
          <t>estandar</t>
        </is>
      </c>
      <c r="N1081" t="inlineStr">
        <is>
          <t>general</t>
        </is>
      </c>
      <c r="O1081" t="inlineStr">
        <is>
          <t>https://www.farmacity.com/crema-para-peinar-herbal-essences-renew-argan-oil-morocco-x-300-ml/p</t>
        </is>
      </c>
    </row>
    <row r="1082">
      <c r="A1082" s="6" t="inlineStr">
        <is>
          <t>Farmacity</t>
        </is>
      </c>
      <c r="B1082" s="6" t="n">
        <v>234381</v>
      </c>
      <c r="C1082" s="6" t="n">
        <v>234381</v>
      </c>
      <c r="D1082" s="6" t="inlineStr">
        <is>
          <t>Acondicionador Elvive Hialurónico Pure x 400 ml</t>
        </is>
      </c>
      <c r="E1082" s="6" t="inlineStr">
        <is>
          <t>Elvive</t>
        </is>
      </c>
      <c r="F1082" s="6" t="n">
        <v>6714</v>
      </c>
      <c r="G1082" s="6" t="n">
        <v>11190</v>
      </c>
      <c r="H1082" s="6" t="b">
        <v>1</v>
      </c>
      <c r="I1082" s="6" t="n">
        <v>400</v>
      </c>
      <c r="J1082" s="6" t="n">
        <v>16.785</v>
      </c>
      <c r="K1082" s="6" t="inlineStr">
        <is>
          <t>&gt; Cuidado Capilar &gt; Shampoo Y Acondicionador &gt;</t>
        </is>
      </c>
      <c r="L1082" s="6" t="inlineStr">
        <is>
          <t>acondicionador</t>
        </is>
      </c>
      <c r="M1082" s="6" t="inlineStr">
        <is>
          <t>profesional</t>
        </is>
      </c>
      <c r="N1082" s="6" t="inlineStr">
        <is>
          <t>general</t>
        </is>
      </c>
      <c r="O1082" s="6" t="inlineStr">
        <is>
          <t>https://www.farmacity.com/acondicionador-elvive-hialuronico-pure-x-400-ml/p</t>
        </is>
      </c>
    </row>
    <row r="1083">
      <c r="A1083" t="inlineStr">
        <is>
          <t>Farmacity</t>
        </is>
      </c>
      <c r="B1083" t="n">
        <v>232262</v>
      </c>
      <c r="C1083" t="n">
        <v>232262</v>
      </c>
      <c r="D1083" t="inlineStr">
        <is>
          <t>Mascarilla Elvive Oleo Extraordinario Nutrición Universal x 300 g</t>
        </is>
      </c>
      <c r="E1083" t="inlineStr">
        <is>
          <t>Elvive</t>
        </is>
      </c>
      <c r="F1083" t="n">
        <v>11190</v>
      </c>
      <c r="G1083" t="n">
        <v>11190</v>
      </c>
      <c r="H1083" t="b">
        <v>1</v>
      </c>
      <c r="I1083" t="n">
        <v>300</v>
      </c>
      <c r="J1083" t="n">
        <v>37.3</v>
      </c>
      <c r="K1083" t="inlineStr">
        <is>
          <t>&gt; Cuidado Capilar &gt; Reparación Y Tratamiento &gt;</t>
        </is>
      </c>
      <c r="L1083" t="inlineStr">
        <is>
          <t>tratamiento</t>
        </is>
      </c>
      <c r="M1083" t="inlineStr">
        <is>
          <t>profesional</t>
        </is>
      </c>
      <c r="N1083" t="inlineStr">
        <is>
          <t>general</t>
        </is>
      </c>
      <c r="O1083" t="inlineStr">
        <is>
          <t>https://www.farmacity.com/mascarilla-elvive-oleo-extraordinario-nutricion-universal-x-300-g/p</t>
        </is>
      </c>
    </row>
    <row r="1084">
      <c r="A1084" s="6" t="inlineStr">
        <is>
          <t>Farmacity</t>
        </is>
      </c>
      <c r="B1084" s="6" t="n">
        <v>6071</v>
      </c>
      <c r="C1084" s="6" t="n">
        <v>147256</v>
      </c>
      <c r="D1084" s="6" t="inlineStr">
        <is>
          <t>Acondicionador Elvive Óleo Extraordinario x 400 ml</t>
        </is>
      </c>
      <c r="E1084" s="6" t="inlineStr">
        <is>
          <t>Elvive</t>
        </is>
      </c>
      <c r="F1084" s="6" t="n">
        <v>6714</v>
      </c>
      <c r="G1084" s="6" t="n">
        <v>11190</v>
      </c>
      <c r="H1084" s="6" t="b">
        <v>1</v>
      </c>
      <c r="I1084" s="6" t="n">
        <v>400</v>
      </c>
      <c r="J1084" s="6" t="n">
        <v>16.785</v>
      </c>
      <c r="K1084" s="6" t="inlineStr">
        <is>
          <t>&gt; Cuidado Capilar &gt; Shampoo Y Acondicionador &gt;</t>
        </is>
      </c>
      <c r="L1084" s="6" t="inlineStr">
        <is>
          <t>acondicionador</t>
        </is>
      </c>
      <c r="M1084" s="6" t="inlineStr">
        <is>
          <t>profesional</t>
        </is>
      </c>
      <c r="N1084" s="6" t="inlineStr">
        <is>
          <t>general</t>
        </is>
      </c>
      <c r="O1084" s="6" t="inlineStr">
        <is>
          <t>https://www.farmacity.com/acondicionador-oleo-extraordinario-nutricion-universal-x-400-ml/p</t>
        </is>
      </c>
    </row>
    <row r="1085">
      <c r="A1085" t="inlineStr">
        <is>
          <t>Farmacity</t>
        </is>
      </c>
      <c r="B1085" t="n">
        <v>240019</v>
      </c>
      <c r="C1085" t="n">
        <v>240019</v>
      </c>
      <c r="D1085" t="inlineStr">
        <is>
          <t>Sérum Elvive Glycolic Gloss x 100 ml</t>
        </is>
      </c>
      <c r="E1085" t="inlineStr">
        <is>
          <t>Elvive</t>
        </is>
      </c>
      <c r="F1085" t="n">
        <v>19990</v>
      </c>
      <c r="G1085" t="n">
        <v>19990</v>
      </c>
      <c r="H1085" t="b">
        <v>1</v>
      </c>
      <c r="I1085" t="n">
        <v>100</v>
      </c>
      <c r="J1085" t="n">
        <v>199.9</v>
      </c>
      <c r="K1085" t="inlineStr">
        <is>
          <t>&gt; Cuidado Capilar &gt; Reparación Y Tratamiento &gt;</t>
        </is>
      </c>
      <c r="L1085" t="inlineStr">
        <is>
          <t>shampoo</t>
        </is>
      </c>
      <c r="M1085" t="inlineStr">
        <is>
          <t>profesional</t>
        </is>
      </c>
      <c r="N1085" t="inlineStr">
        <is>
          <t>general</t>
        </is>
      </c>
      <c r="O1085" t="inlineStr">
        <is>
          <t>https://www.farmacity.com/serum-elvive-glyco-gloss-x-100-ml/p</t>
        </is>
      </c>
    </row>
    <row r="1086">
      <c r="A1086" s="6" t="inlineStr">
        <is>
          <t>Farmacity</t>
        </is>
      </c>
      <c r="B1086" s="6" t="n">
        <v>240017</v>
      </c>
      <c r="C1086" s="6" t="n">
        <v>240017</v>
      </c>
      <c r="D1086" s="6" t="inlineStr">
        <is>
          <t>Mascarilla Elvive Glycolic Gloss x 300 g</t>
        </is>
      </c>
      <c r="E1086" s="6" t="inlineStr">
        <is>
          <t>Elvive</t>
        </is>
      </c>
      <c r="F1086" s="6" t="n">
        <v>12190</v>
      </c>
      <c r="G1086" s="6" t="n">
        <v>12190</v>
      </c>
      <c r="H1086" s="6" t="b">
        <v>1</v>
      </c>
      <c r="I1086" s="6" t="n">
        <v>300</v>
      </c>
      <c r="J1086" s="6" t="n">
        <v>40.6333</v>
      </c>
      <c r="K1086" s="6" t="inlineStr">
        <is>
          <t>&gt; Cuidado Capilar &gt; Reparación Y Tratamiento &gt;</t>
        </is>
      </c>
      <c r="L1086" s="6" t="inlineStr">
        <is>
          <t>tratamiento</t>
        </is>
      </c>
      <c r="M1086" s="6" t="inlineStr">
        <is>
          <t>profesional</t>
        </is>
      </c>
      <c r="N1086" s="6" t="inlineStr">
        <is>
          <t>general</t>
        </is>
      </c>
      <c r="O1086" s="6" t="inlineStr">
        <is>
          <t>https://www.farmacity.com/mascarilla-elvive-glycolic-gloss-x-300-g/p</t>
        </is>
      </c>
    </row>
    <row r="1087">
      <c r="A1087" t="inlineStr">
        <is>
          <t>Farmacity</t>
        </is>
      </c>
      <c r="B1087" t="n">
        <v>221678</v>
      </c>
      <c r="C1087" t="n">
        <v>221678</v>
      </c>
      <c r="D1087" t="inlineStr">
        <is>
          <t>Shampoo Elvive Hidra Hialuronico x 200 ml</t>
        </is>
      </c>
      <c r="E1087" t="inlineStr">
        <is>
          <t>Elvive</t>
        </is>
      </c>
      <c r="F1087" t="n">
        <v>4194</v>
      </c>
      <c r="G1087" t="n">
        <v>6990</v>
      </c>
      <c r="H1087" t="b">
        <v>1</v>
      </c>
      <c r="I1087" t="n">
        <v>200</v>
      </c>
      <c r="J1087" t="n">
        <v>20.97</v>
      </c>
      <c r="K1087" t="inlineStr">
        <is>
          <t>&gt; Cuidado Capilar &gt; Shampoo Y Acondicionador &gt;</t>
        </is>
      </c>
      <c r="L1087" t="inlineStr">
        <is>
          <t>shampoo</t>
        </is>
      </c>
      <c r="M1087" t="inlineStr">
        <is>
          <t>profesional</t>
        </is>
      </c>
      <c r="N1087" t="inlineStr">
        <is>
          <t>general</t>
        </is>
      </c>
      <c r="O1087" t="inlineStr">
        <is>
          <t>https://www.farmacity.com/shampoo-elvive-hidra-hialuronico-x-200-ml/p</t>
        </is>
      </c>
    </row>
    <row r="1088">
      <c r="A1088" s="6" t="inlineStr">
        <is>
          <t>Farmacity</t>
        </is>
      </c>
      <c r="B1088" s="6" t="n">
        <v>5317</v>
      </c>
      <c r="C1088" s="6" t="n">
        <v>143506</v>
      </c>
      <c r="D1088" s="6" t="inlineStr">
        <is>
          <t>Shampoo Elvive Reparación Total Extreme x 400 ml</t>
        </is>
      </c>
      <c r="E1088" s="6" t="inlineStr">
        <is>
          <t>Elvive</t>
        </is>
      </c>
      <c r="F1088" s="6" t="n">
        <v>6714</v>
      </c>
      <c r="G1088" s="6" t="n">
        <v>11190</v>
      </c>
      <c r="H1088" s="6" t="b">
        <v>1</v>
      </c>
      <c r="I1088" s="6" t="n">
        <v>400</v>
      </c>
      <c r="J1088" s="6" t="n">
        <v>16.785</v>
      </c>
      <c r="K1088" s="6" t="inlineStr">
        <is>
          <t>&gt; Cuidado Capilar &gt; Shampoo Y Acondicionador &gt;</t>
        </is>
      </c>
      <c r="L1088" s="6" t="inlineStr">
        <is>
          <t>shampoo</t>
        </is>
      </c>
      <c r="M1088" s="6" t="inlineStr">
        <is>
          <t>profesional</t>
        </is>
      </c>
      <c r="N1088" s="6" t="inlineStr">
        <is>
          <t>general</t>
        </is>
      </c>
      <c r="O1088" s="6" t="inlineStr">
        <is>
          <t>https://www.farmacity.com/shampoo-reparacion-total-extreme-x-400-ml/p</t>
        </is>
      </c>
    </row>
    <row r="1089">
      <c r="A1089" t="inlineStr">
        <is>
          <t>Farmacity</t>
        </is>
      </c>
      <c r="B1089" t="n">
        <v>4772</v>
      </c>
      <c r="C1089" t="n">
        <v>140576</v>
      </c>
      <c r="D1089" t="inlineStr">
        <is>
          <t>Mascarilla Elvive RT 5 Keratin x 300 g</t>
        </is>
      </c>
      <c r="E1089" t="inlineStr">
        <is>
          <t>Elvive</t>
        </is>
      </c>
      <c r="F1089" t="n">
        <v>11190</v>
      </c>
      <c r="G1089" t="n">
        <v>11190</v>
      </c>
      <c r="H1089" t="b">
        <v>1</v>
      </c>
      <c r="I1089" t="n">
        <v>300</v>
      </c>
      <c r="J1089" t="n">
        <v>37.3</v>
      </c>
      <c r="K1089" t="inlineStr">
        <is>
          <t>&gt; Cuidado Capilar &gt; Reparación Y Tratamiento &gt;</t>
        </is>
      </c>
      <c r="L1089" t="inlineStr">
        <is>
          <t>tratamiento</t>
        </is>
      </c>
      <c r="M1089" t="inlineStr">
        <is>
          <t>profesional</t>
        </is>
      </c>
      <c r="N1089" t="inlineStr">
        <is>
          <t>general</t>
        </is>
      </c>
      <c r="O1089" t="inlineStr">
        <is>
          <t>https://www.farmacity.com/mascarilla-elvive-rt-5-keratin-x-300-g/p</t>
        </is>
      </c>
    </row>
    <row r="1090">
      <c r="A1090" s="6" t="inlineStr">
        <is>
          <t>Farmacity</t>
        </is>
      </c>
      <c r="B1090" s="6" t="n">
        <v>4118</v>
      </c>
      <c r="C1090" s="6" t="n">
        <v>139246</v>
      </c>
      <c r="D1090" s="6" t="inlineStr">
        <is>
          <t>Shampoo Elvive Colorvive x 400 ml</t>
        </is>
      </c>
      <c r="E1090" s="6" t="inlineStr">
        <is>
          <t>Elvive</t>
        </is>
      </c>
      <c r="F1090" s="6" t="n">
        <v>6714</v>
      </c>
      <c r="G1090" s="6" t="n">
        <v>11190</v>
      </c>
      <c r="H1090" s="6" t="b">
        <v>1</v>
      </c>
      <c r="I1090" s="6" t="n">
        <v>400</v>
      </c>
      <c r="J1090" s="6" t="n">
        <v>16.785</v>
      </c>
      <c r="K1090" s="6" t="inlineStr">
        <is>
          <t>&gt; Cuidado Capilar &gt; Shampoo Y Acondicionador &gt;</t>
        </is>
      </c>
      <c r="L1090" s="6" t="inlineStr">
        <is>
          <t>shampoo</t>
        </is>
      </c>
      <c r="M1090" s="6" t="inlineStr">
        <is>
          <t>profesional</t>
        </is>
      </c>
      <c r="N1090" s="6" t="inlineStr">
        <is>
          <t>tratado</t>
        </is>
      </c>
      <c r="O1090" s="6" t="inlineStr">
        <is>
          <t>https://www.farmacity.com/shampoo-color-vive-x-400-ml/p</t>
        </is>
      </c>
    </row>
    <row r="1091">
      <c r="A1091" t="inlineStr">
        <is>
          <t>Farmacity</t>
        </is>
      </c>
      <c r="B1091" t="n">
        <v>4224</v>
      </c>
      <c r="C1091" t="n">
        <v>139237</v>
      </c>
      <c r="D1091" t="inlineStr">
        <is>
          <t>Acondicionador Elvive Reparación Total 5 x 200 ml</t>
        </is>
      </c>
      <c r="E1091" t="inlineStr">
        <is>
          <t>Elvive</t>
        </is>
      </c>
      <c r="F1091" t="n">
        <v>6990</v>
      </c>
      <c r="G1091" t="n">
        <v>6990</v>
      </c>
      <c r="H1091" t="b">
        <v>1</v>
      </c>
      <c r="I1091" t="n">
        <v>200</v>
      </c>
      <c r="J1091" t="n">
        <v>34.95</v>
      </c>
      <c r="K1091" t="inlineStr">
        <is>
          <t>&gt; Cuidado Capilar &gt; Shampoo Y Acondicionador &gt;</t>
        </is>
      </c>
      <c r="L1091" t="inlineStr">
        <is>
          <t>acondicionador</t>
        </is>
      </c>
      <c r="M1091" t="inlineStr">
        <is>
          <t>profesional</t>
        </is>
      </c>
      <c r="N1091" t="inlineStr">
        <is>
          <t>general</t>
        </is>
      </c>
      <c r="O1091" t="inlineStr">
        <is>
          <t>https://www.farmacity.com/acondicionador-reparacion-total-5-x-200-ml-139237/p</t>
        </is>
      </c>
    </row>
    <row r="1092">
      <c r="A1092" s="6" t="inlineStr">
        <is>
          <t>Farmacity</t>
        </is>
      </c>
      <c r="B1092" s="6" t="n">
        <v>234385</v>
      </c>
      <c r="C1092" s="6" t="n">
        <v>234385</v>
      </c>
      <c r="D1092" s="6" t="inlineStr">
        <is>
          <t>Shampoo Elvive Hialurónico Pure x 750 ml</t>
        </is>
      </c>
      <c r="E1092" s="6" t="inlineStr">
        <is>
          <t>Elvive</t>
        </is>
      </c>
      <c r="F1092" s="6" t="n">
        <v>17990</v>
      </c>
      <c r="G1092" s="6" t="n">
        <v>17990</v>
      </c>
      <c r="H1092" s="6" t="b">
        <v>1</v>
      </c>
      <c r="I1092" s="6" t="n">
        <v>750</v>
      </c>
      <c r="J1092" s="6" t="n">
        <v>23.9867</v>
      </c>
      <c r="K1092" s="6" t="inlineStr">
        <is>
          <t>&gt; Cuidado Capilar &gt; Shampoo Y Acondicionador &gt;</t>
        </is>
      </c>
      <c r="L1092" s="6" t="inlineStr">
        <is>
          <t>shampoo</t>
        </is>
      </c>
      <c r="M1092" s="6" t="inlineStr">
        <is>
          <t>profesional</t>
        </is>
      </c>
      <c r="N1092" s="6" t="inlineStr">
        <is>
          <t>general</t>
        </is>
      </c>
      <c r="O1092" s="6" t="inlineStr">
        <is>
          <t>https://www.farmacity.com/shampoo-elvive-hialuronico-pure-x-750-ml/p</t>
        </is>
      </c>
    </row>
    <row r="1093">
      <c r="A1093" t="inlineStr">
        <is>
          <t>Farmacity</t>
        </is>
      </c>
      <c r="B1093" t="n">
        <v>234380</v>
      </c>
      <c r="C1093" t="n">
        <v>234380</v>
      </c>
      <c r="D1093" t="inlineStr">
        <is>
          <t>Acondicionador Elvive Hialurónico Pure x 200 ml</t>
        </is>
      </c>
      <c r="E1093" t="inlineStr">
        <is>
          <t>Elvive</t>
        </is>
      </c>
      <c r="F1093" t="n">
        <v>4194</v>
      </c>
      <c r="G1093" t="n">
        <v>6990</v>
      </c>
      <c r="H1093" t="b">
        <v>1</v>
      </c>
      <c r="I1093" t="n">
        <v>200</v>
      </c>
      <c r="J1093" t="n">
        <v>20.97</v>
      </c>
      <c r="K1093" t="inlineStr">
        <is>
          <t>&gt; Cuidado Capilar &gt; Shampoo Y Acondicionador &gt;</t>
        </is>
      </c>
      <c r="L1093" t="inlineStr">
        <is>
          <t>acondicionador</t>
        </is>
      </c>
      <c r="M1093" t="inlineStr">
        <is>
          <t>profesional</t>
        </is>
      </c>
      <c r="N1093" t="inlineStr">
        <is>
          <t>general</t>
        </is>
      </c>
      <c r="O1093" t="inlineStr">
        <is>
          <t>https://www.farmacity.com/acondicionador-elvive-hialuronico-pure-x-200-ml/p</t>
        </is>
      </c>
    </row>
    <row r="1094">
      <c r="A1094" s="6" t="inlineStr">
        <is>
          <t>Farmacity</t>
        </is>
      </c>
      <c r="B1094" s="6" t="n">
        <v>249637</v>
      </c>
      <c r="C1094" s="6" t="n">
        <v>249637</v>
      </c>
      <c r="D1094" s="6" t="inlineStr">
        <is>
          <t>Combo Elvive Oleo Extraordinario + Sérum Glycolic Gloss</t>
        </is>
      </c>
      <c r="E1094" s="6" t="inlineStr">
        <is>
          <t>Elvive</t>
        </is>
      </c>
      <c r="F1094" s="6" t="n">
        <v>19990</v>
      </c>
      <c r="G1094" s="6" t="n">
        <v>39980</v>
      </c>
      <c r="H1094" s="6" t="b">
        <v>1</v>
      </c>
      <c r="I1094" s="6" t="inlineStr"/>
      <c r="J1094" s="6" t="inlineStr"/>
      <c r="K1094" s="6" t="inlineStr">
        <is>
          <t>&gt; Cuidado Capilar &gt; Reparación Y Tratamiento &gt;</t>
        </is>
      </c>
      <c r="L1094" s="6" t="inlineStr">
        <is>
          <t>shampoo</t>
        </is>
      </c>
      <c r="M1094" s="6" t="inlineStr">
        <is>
          <t>profesional</t>
        </is>
      </c>
      <c r="N1094" s="6" t="inlineStr">
        <is>
          <t>general</t>
        </is>
      </c>
      <c r="O1094" s="6" t="inlineStr">
        <is>
          <t>https://www.farmacity.com/combo-elvive-oleo-extraordinario-serum-glycolic-gloss/p</t>
        </is>
      </c>
    </row>
    <row r="1095">
      <c r="A1095" t="inlineStr">
        <is>
          <t>Farmacity</t>
        </is>
      </c>
      <c r="B1095" t="n">
        <v>249636</v>
      </c>
      <c r="C1095" t="n">
        <v>249636</v>
      </c>
      <c r="D1095" t="inlineStr">
        <is>
          <t>Combo Elvive Oleo Extraordinario + Sérum Dream Liso</t>
        </is>
      </c>
      <c r="E1095" t="inlineStr">
        <is>
          <t>Elvive</t>
        </is>
      </c>
      <c r="F1095" t="n">
        <v>23988</v>
      </c>
      <c r="G1095" t="n">
        <v>39980</v>
      </c>
      <c r="H1095" t="b">
        <v>1</v>
      </c>
      <c r="I1095" t="inlineStr"/>
      <c r="J1095" t="inlineStr"/>
      <c r="K1095" t="inlineStr">
        <is>
          <t>&gt; Cuidado Capilar &gt; Reparación Y Tratamiento &gt;</t>
        </is>
      </c>
      <c r="L1095" t="inlineStr">
        <is>
          <t>shampoo</t>
        </is>
      </c>
      <c r="M1095" t="inlineStr">
        <is>
          <t>profesional</t>
        </is>
      </c>
      <c r="N1095" t="inlineStr">
        <is>
          <t>general</t>
        </is>
      </c>
      <c r="O1095" t="inlineStr">
        <is>
          <t>https://www.farmacity.com/combo-elvive-oleo-extraordinario-serum-dream-liso/p</t>
        </is>
      </c>
    </row>
    <row r="1096">
      <c r="A1096" s="6" t="inlineStr">
        <is>
          <t>Farmacity</t>
        </is>
      </c>
      <c r="B1096" s="6" t="n">
        <v>221684</v>
      </c>
      <c r="C1096" s="6" t="n">
        <v>221684</v>
      </c>
      <c r="D1096" s="6" t="inlineStr">
        <is>
          <t>Crema para Peinar Elvive Hidra Hialuronico x 250 ml</t>
        </is>
      </c>
      <c r="E1096" s="6" t="inlineStr">
        <is>
          <t>Elvive</t>
        </is>
      </c>
      <c r="F1096" s="6" t="n">
        <v>8990</v>
      </c>
      <c r="G1096" s="6" t="n">
        <v>8990</v>
      </c>
      <c r="H1096" s="6" t="b">
        <v>1</v>
      </c>
      <c r="I1096" s="6" t="n">
        <v>250</v>
      </c>
      <c r="J1096" s="6" t="n">
        <v>35.96</v>
      </c>
      <c r="K1096" s="6" t="inlineStr">
        <is>
          <t>&gt; Cuidado Capilar &gt; Modelado Y Peinado &gt;</t>
        </is>
      </c>
      <c r="L1096" s="6" t="inlineStr">
        <is>
          <t>shampoo</t>
        </is>
      </c>
      <c r="M1096" s="6" t="inlineStr">
        <is>
          <t>profesional</t>
        </is>
      </c>
      <c r="N1096" s="6" t="inlineStr">
        <is>
          <t>general</t>
        </is>
      </c>
      <c r="O1096" s="6" t="inlineStr">
        <is>
          <t>https://www.farmacity.com/crema-para-peinar-elvive-hidra-hialuronico-x-250-ml/p</t>
        </is>
      </c>
    </row>
    <row r="1097">
      <c r="A1097" t="inlineStr">
        <is>
          <t>Farmacity</t>
        </is>
      </c>
      <c r="B1097" t="n">
        <v>6098</v>
      </c>
      <c r="C1097" t="n">
        <v>147254</v>
      </c>
      <c r="D1097" t="inlineStr">
        <is>
          <t>Shampoo Oleo Extraordinario Elvive Nutrición Universal x 750 ml</t>
        </is>
      </c>
      <c r="E1097" t="inlineStr">
        <is>
          <t>Elvive</t>
        </is>
      </c>
      <c r="F1097" t="n">
        <v>17990</v>
      </c>
      <c r="G1097" t="n">
        <v>17990</v>
      </c>
      <c r="H1097" t="b">
        <v>1</v>
      </c>
      <c r="I1097" t="n">
        <v>750</v>
      </c>
      <c r="J1097" t="n">
        <v>23.9867</v>
      </c>
      <c r="K1097" t="inlineStr">
        <is>
          <t>&gt; Cuidado Capilar &gt; Shampoo Y Acondicionador &gt;</t>
        </is>
      </c>
      <c r="L1097" t="inlineStr">
        <is>
          <t>shampoo</t>
        </is>
      </c>
      <c r="M1097" t="inlineStr">
        <is>
          <t>profesional</t>
        </is>
      </c>
      <c r="N1097" t="inlineStr">
        <is>
          <t>general</t>
        </is>
      </c>
      <c r="O1097" t="inlineStr">
        <is>
          <t>https://www.farmacity.com/shampoo-oleo-extraordinario-nutricion-universal-x-750-ml/p</t>
        </is>
      </c>
    </row>
    <row r="1098">
      <c r="A1098" s="6" t="inlineStr">
        <is>
          <t>Farmacity</t>
        </is>
      </c>
      <c r="B1098" s="6" t="n">
        <v>6070</v>
      </c>
      <c r="C1098" s="6" t="n">
        <v>147257</v>
      </c>
      <c r="D1098" s="6" t="inlineStr">
        <is>
          <t>Acondicionador Elvive Oleo Extraordinario x 750 ml</t>
        </is>
      </c>
      <c r="E1098" s="6" t="inlineStr">
        <is>
          <t>Elvive</t>
        </is>
      </c>
      <c r="F1098" s="6" t="n">
        <v>17990</v>
      </c>
      <c r="G1098" s="6" t="n">
        <v>17990</v>
      </c>
      <c r="H1098" s="6" t="b">
        <v>1</v>
      </c>
      <c r="I1098" s="6" t="n">
        <v>750</v>
      </c>
      <c r="J1098" s="6" t="n">
        <v>23.9867</v>
      </c>
      <c r="K1098" s="6" t="inlineStr">
        <is>
          <t>&gt; Cuidado Capilar &gt; Shampoo Y Acondicionador &gt;</t>
        </is>
      </c>
      <c r="L1098" s="6" t="inlineStr">
        <is>
          <t>acondicionador</t>
        </is>
      </c>
      <c r="M1098" s="6" t="inlineStr">
        <is>
          <t>profesional</t>
        </is>
      </c>
      <c r="N1098" s="6" t="inlineStr">
        <is>
          <t>general</t>
        </is>
      </c>
      <c r="O1098" s="6" t="inlineStr">
        <is>
          <t>https://www.farmacity.com/acondicionador-oleo-extraordinario-nutricion-universal-x-750-ml/p</t>
        </is>
      </c>
    </row>
    <row r="1099">
      <c r="A1099" t="inlineStr">
        <is>
          <t>Farmacity</t>
        </is>
      </c>
      <c r="B1099" t="n">
        <v>4112</v>
      </c>
      <c r="C1099" t="n">
        <v>139248</v>
      </c>
      <c r="D1099" t="inlineStr">
        <is>
          <t>Shampoo Elvive Colorvive x 200 ml</t>
        </is>
      </c>
      <c r="E1099" t="inlineStr">
        <is>
          <t>Elvive</t>
        </is>
      </c>
      <c r="F1099" t="n">
        <v>6990</v>
      </c>
      <c r="G1099" t="n">
        <v>6990</v>
      </c>
      <c r="H1099" t="b">
        <v>1</v>
      </c>
      <c r="I1099" t="n">
        <v>200</v>
      </c>
      <c r="J1099" t="n">
        <v>34.95</v>
      </c>
      <c r="K1099" t="inlineStr">
        <is>
          <t>&gt; Cuidado Capilar &gt; Shampoo Y Acondicionador &gt;</t>
        </is>
      </c>
      <c r="L1099" t="inlineStr">
        <is>
          <t>shampoo</t>
        </is>
      </c>
      <c r="M1099" t="inlineStr">
        <is>
          <t>profesional</t>
        </is>
      </c>
      <c r="N1099" t="inlineStr">
        <is>
          <t>tratado</t>
        </is>
      </c>
      <c r="O1099" t="inlineStr">
        <is>
          <t>https://www.farmacity.com/shampoo-colorvive-x-200-ml/p</t>
        </is>
      </c>
    </row>
    <row r="1100">
      <c r="A1100" s="6" t="inlineStr">
        <is>
          <t>Farmacity</t>
        </is>
      </c>
      <c r="B1100" s="6" t="n">
        <v>240018</v>
      </c>
      <c r="C1100" s="6" t="n">
        <v>240018</v>
      </c>
      <c r="D1100" s="6" t="inlineStr">
        <is>
          <t>Crema para Peinar Elvive Glycolic Gloss x 250 ml</t>
        </is>
      </c>
      <c r="E1100" s="6" t="inlineStr">
        <is>
          <t>Elvive</t>
        </is>
      </c>
      <c r="F1100" s="6" t="n">
        <v>9990</v>
      </c>
      <c r="G1100" s="6" t="n">
        <v>9990</v>
      </c>
      <c r="H1100" s="6" t="b">
        <v>1</v>
      </c>
      <c r="I1100" s="6" t="n">
        <v>250</v>
      </c>
      <c r="J1100" s="6" t="n">
        <v>39.96</v>
      </c>
      <c r="K1100" s="6" t="inlineStr">
        <is>
          <t>&gt; Cuidado Capilar &gt; Modelado Y Peinado &gt;</t>
        </is>
      </c>
      <c r="L1100" s="6" t="inlineStr">
        <is>
          <t>shampoo</t>
        </is>
      </c>
      <c r="M1100" s="6" t="inlineStr">
        <is>
          <t>profesional</t>
        </is>
      </c>
      <c r="N1100" s="6" t="inlineStr">
        <is>
          <t>general</t>
        </is>
      </c>
      <c r="O1100" s="6" t="inlineStr">
        <is>
          <t>https://www.farmacity.com/crema-para-peinar-elvive-glyco-gloss-x-250-ml/p</t>
        </is>
      </c>
    </row>
    <row r="1101">
      <c r="A1101" t="inlineStr">
        <is>
          <t>Farmacity</t>
        </is>
      </c>
      <c r="B1101" t="n">
        <v>5342</v>
      </c>
      <c r="C1101" t="n">
        <v>143508</v>
      </c>
      <c r="D1101" t="inlineStr">
        <is>
          <t>Acondicionador Elvive Reparación Total Extreme x 200 ml</t>
        </is>
      </c>
      <c r="E1101" t="inlineStr">
        <is>
          <t>Elvive</t>
        </is>
      </c>
      <c r="F1101" t="n">
        <v>6990</v>
      </c>
      <c r="G1101" t="n">
        <v>6990</v>
      </c>
      <c r="H1101" t="b">
        <v>1</v>
      </c>
      <c r="I1101" t="n">
        <v>200</v>
      </c>
      <c r="J1101" t="n">
        <v>34.95</v>
      </c>
      <c r="K1101" t="inlineStr">
        <is>
          <t>&gt; Cuidado Capilar &gt; Shampoo Y Acondicionador &gt;</t>
        </is>
      </c>
      <c r="L1101" t="inlineStr">
        <is>
          <t>acondicionador</t>
        </is>
      </c>
      <c r="M1101" t="inlineStr">
        <is>
          <t>profesional</t>
        </is>
      </c>
      <c r="N1101" t="inlineStr">
        <is>
          <t>general</t>
        </is>
      </c>
      <c r="O1101" t="inlineStr">
        <is>
          <t>https://www.farmacity.com/acondicionador-reparacion-total-extreme-x-200-ml/p</t>
        </is>
      </c>
    </row>
    <row r="1102">
      <c r="A1102" s="6" t="inlineStr">
        <is>
          <t>Farmacity</t>
        </is>
      </c>
      <c r="B1102" s="6" t="n">
        <v>4387</v>
      </c>
      <c r="C1102" s="6" t="n">
        <v>140572</v>
      </c>
      <c r="D1102" s="6" t="inlineStr">
        <is>
          <t>Acondicionador Elvive Reparación Total 5 x 750 ml</t>
        </is>
      </c>
      <c r="E1102" s="6" t="inlineStr">
        <is>
          <t>Elvive</t>
        </is>
      </c>
      <c r="F1102" s="6" t="n">
        <v>17990</v>
      </c>
      <c r="G1102" s="6" t="n">
        <v>17990</v>
      </c>
      <c r="H1102" s="6" t="b">
        <v>1</v>
      </c>
      <c r="I1102" s="6" t="n">
        <v>750</v>
      </c>
      <c r="J1102" s="6" t="n">
        <v>23.9867</v>
      </c>
      <c r="K1102" s="6" t="inlineStr">
        <is>
          <t>&gt; Cuidado Capilar &gt; Shampoo Y Acondicionador &gt;</t>
        </is>
      </c>
      <c r="L1102" s="6" t="inlineStr">
        <is>
          <t>acondicionador</t>
        </is>
      </c>
      <c r="M1102" s="6" t="inlineStr">
        <is>
          <t>profesional</t>
        </is>
      </c>
      <c r="N1102" s="6" t="inlineStr">
        <is>
          <t>general</t>
        </is>
      </c>
      <c r="O1102" s="6" t="inlineStr">
        <is>
          <t>https://www.farmacity.com/acondicionador-reparacion-total-5-x-750-ml-140572/p</t>
        </is>
      </c>
    </row>
    <row r="1103">
      <c r="A1103" t="inlineStr">
        <is>
          <t>Farmacity</t>
        </is>
      </c>
      <c r="B1103" t="n">
        <v>4293</v>
      </c>
      <c r="C1103" t="n">
        <v>140574</v>
      </c>
      <c r="D1103" t="inlineStr">
        <is>
          <t>Shampoo Elvive Reparación Total 5 Keratin x 750 ml</t>
        </is>
      </c>
      <c r="E1103" t="inlineStr">
        <is>
          <t>Elvive</t>
        </is>
      </c>
      <c r="F1103" t="n">
        <v>17990</v>
      </c>
      <c r="G1103" t="n">
        <v>17990</v>
      </c>
      <c r="H1103" t="b">
        <v>1</v>
      </c>
      <c r="I1103" t="n">
        <v>750</v>
      </c>
      <c r="J1103" t="n">
        <v>23.9867</v>
      </c>
      <c r="K1103" t="inlineStr">
        <is>
          <t>&gt; Cuidado Capilar &gt; Shampoo Y Acondicionador &gt;</t>
        </is>
      </c>
      <c r="L1103" t="inlineStr">
        <is>
          <t>shampoo</t>
        </is>
      </c>
      <c r="M1103" t="inlineStr">
        <is>
          <t>profesional</t>
        </is>
      </c>
      <c r="N1103" t="inlineStr">
        <is>
          <t>general</t>
        </is>
      </c>
      <c r="O1103" t="inlineStr">
        <is>
          <t>https://www.farmacity.com/shampoo-reparacion-total-5-x-750-ml-140574/p</t>
        </is>
      </c>
    </row>
    <row r="1104">
      <c r="A1104" s="6" t="inlineStr">
        <is>
          <t>Farmacity</t>
        </is>
      </c>
      <c r="B1104" s="6" t="n">
        <v>4163</v>
      </c>
      <c r="C1104" s="6" t="n">
        <v>139479</v>
      </c>
      <c r="D1104" s="6" t="inlineStr">
        <is>
          <t>Acondicionador Elvive Colorvive x 200 ml</t>
        </is>
      </c>
      <c r="E1104" s="6" t="inlineStr">
        <is>
          <t>Elvive</t>
        </is>
      </c>
      <c r="F1104" s="6" t="n">
        <v>6990</v>
      </c>
      <c r="G1104" s="6" t="n">
        <v>6990</v>
      </c>
      <c r="H1104" s="6" t="b">
        <v>1</v>
      </c>
      <c r="I1104" s="6" t="n">
        <v>200</v>
      </c>
      <c r="J1104" s="6" t="n">
        <v>34.95</v>
      </c>
      <c r="K1104" s="6" t="inlineStr">
        <is>
          <t>&gt; Cuidado Capilar &gt; Shampoo Y Acondicionador &gt;</t>
        </is>
      </c>
      <c r="L1104" s="6" t="inlineStr">
        <is>
          <t>acondicionador</t>
        </is>
      </c>
      <c r="M1104" s="6" t="inlineStr">
        <is>
          <t>profesional</t>
        </is>
      </c>
      <c r="N1104" s="6" t="inlineStr">
        <is>
          <t>tratado</t>
        </is>
      </c>
      <c r="O1104" s="6" t="inlineStr">
        <is>
          <t>https://www.farmacity.com/acondicionador-colorvive-x-200-ml/p</t>
        </is>
      </c>
    </row>
    <row r="1105">
      <c r="A1105" t="inlineStr">
        <is>
          <t>Farmacity</t>
        </is>
      </c>
      <c r="B1105" t="n">
        <v>970</v>
      </c>
      <c r="C1105" t="n">
        <v>122408</v>
      </c>
      <c r="D1105" t="inlineStr">
        <is>
          <t>Crema para Peinar Elvive Reparación Total 5 Keratin x 250 ml</t>
        </is>
      </c>
      <c r="E1105" t="inlineStr">
        <is>
          <t>Elvive</t>
        </is>
      </c>
      <c r="F1105" t="n">
        <v>8990</v>
      </c>
      <c r="G1105" t="n">
        <v>8990</v>
      </c>
      <c r="H1105" t="b">
        <v>1</v>
      </c>
      <c r="I1105" t="n">
        <v>250</v>
      </c>
      <c r="J1105" t="n">
        <v>35.96</v>
      </c>
      <c r="K1105" t="inlineStr">
        <is>
          <t>&gt; Cuidado Capilar &gt; Modelado Y Peinado &gt;</t>
        </is>
      </c>
      <c r="L1105" t="inlineStr">
        <is>
          <t>shampoo</t>
        </is>
      </c>
      <c r="M1105" t="inlineStr">
        <is>
          <t>profesional</t>
        </is>
      </c>
      <c r="N1105" t="inlineStr">
        <is>
          <t>general</t>
        </is>
      </c>
      <c r="O1105" t="inlineStr">
        <is>
          <t>https://www.farmacity.com/crema-de-tratamiento-reparacion-total-5-x-300-ml/p</t>
        </is>
      </c>
    </row>
    <row r="1106">
      <c r="A1106" s="6" t="inlineStr">
        <is>
          <t>Farmacity</t>
        </is>
      </c>
      <c r="B1106" s="6" t="n">
        <v>147259</v>
      </c>
      <c r="C1106" s="6" t="n">
        <v>147259</v>
      </c>
      <c r="D1106" s="6" t="inlineStr">
        <is>
          <t>Shampoo Elvive Oleo Extraordinario Coco x 400 ml</t>
        </is>
      </c>
      <c r="E1106" s="6" t="inlineStr">
        <is>
          <t>Elvive</t>
        </is>
      </c>
      <c r="F1106" s="6" t="n">
        <v>5595</v>
      </c>
      <c r="G1106" s="6" t="n">
        <v>11190</v>
      </c>
      <c r="H1106" s="6" t="b">
        <v>1</v>
      </c>
      <c r="I1106" s="6" t="n">
        <v>400</v>
      </c>
      <c r="J1106" s="6" t="n">
        <v>13.9875</v>
      </c>
      <c r="K1106" s="6" t="inlineStr">
        <is>
          <t>&gt; Cuidado Capilar &gt; Shampoo Y Acondicionador &gt;</t>
        </is>
      </c>
      <c r="L1106" s="6" t="inlineStr">
        <is>
          <t>shampoo</t>
        </is>
      </c>
      <c r="M1106" s="6" t="inlineStr">
        <is>
          <t>profesional</t>
        </is>
      </c>
      <c r="N1106" s="6" t="inlineStr">
        <is>
          <t>general</t>
        </is>
      </c>
      <c r="O1106" s="6" t="inlineStr">
        <is>
          <t>https://www.farmacity.com/shampoo-elvive-oleo-coco-x-400-ml/p</t>
        </is>
      </c>
    </row>
    <row r="1107">
      <c r="A1107" t="inlineStr">
        <is>
          <t>Farmacity</t>
        </is>
      </c>
      <c r="B1107" t="n">
        <v>250355</v>
      </c>
      <c r="C1107" t="n">
        <v>250355</v>
      </c>
      <c r="D1107" t="inlineStr">
        <is>
          <t>Crema para Peinar Elvive Collagen Lifter x 250 ml</t>
        </is>
      </c>
      <c r="E1107" t="inlineStr">
        <is>
          <t>Elvive</t>
        </is>
      </c>
      <c r="F1107" t="n">
        <v>9990</v>
      </c>
      <c r="G1107" t="n">
        <v>9990</v>
      </c>
      <c r="H1107" t="b">
        <v>1</v>
      </c>
      <c r="I1107" t="n">
        <v>250</v>
      </c>
      <c r="J1107" t="n">
        <v>39.96</v>
      </c>
      <c r="K1107" t="inlineStr">
        <is>
          <t>&gt; Cuidado Capilar &gt; Modelado Y Peinado &gt;</t>
        </is>
      </c>
      <c r="L1107" t="inlineStr">
        <is>
          <t>shampoo</t>
        </is>
      </c>
      <c r="M1107" t="inlineStr">
        <is>
          <t>profesional</t>
        </is>
      </c>
      <c r="N1107" t="inlineStr">
        <is>
          <t>general</t>
        </is>
      </c>
      <c r="O1107" t="inlineStr">
        <is>
          <t>https://www.farmacity.com/crema-para-peinar-elvive-colageno-lifter-x-250-ml/p</t>
        </is>
      </c>
    </row>
    <row r="1108">
      <c r="A1108" s="6" t="inlineStr">
        <is>
          <t>Farmacity</t>
        </is>
      </c>
      <c r="B1108" s="6" t="n">
        <v>239625</v>
      </c>
      <c r="C1108" s="6" t="n">
        <v>239625</v>
      </c>
      <c r="D1108" s="6" t="inlineStr">
        <is>
          <t>Kit Excellence Color Creme Tono 6 Rubio Oscuro + Elvive Oleo Extraordinario x 100 ml</t>
        </is>
      </c>
      <c r="E1108" s="6" t="inlineStr">
        <is>
          <t>Elvive</t>
        </is>
      </c>
      <c r="F1108" s="6" t="n">
        <v>42980</v>
      </c>
      <c r="G1108" s="6" t="n">
        <v>42980</v>
      </c>
      <c r="H1108" s="6" t="b">
        <v>1</v>
      </c>
      <c r="I1108" s="6" t="n">
        <v>100</v>
      </c>
      <c r="J1108" s="6" t="n">
        <v>429.8</v>
      </c>
      <c r="K1108" s="6" t="inlineStr">
        <is>
          <t>&gt; Cuidado Capilar &gt; Coloración Y Oxidantes &gt;</t>
        </is>
      </c>
      <c r="L1108" s="6" t="inlineStr">
        <is>
          <t>tratamiento</t>
        </is>
      </c>
      <c r="M1108" s="6" t="inlineStr">
        <is>
          <t>profesional</t>
        </is>
      </c>
      <c r="N1108" s="6" t="inlineStr">
        <is>
          <t>tratado</t>
        </is>
      </c>
      <c r="O1108" s="6" t="inlineStr">
        <is>
          <t>https://www.farmacity.com/kit-excellence-color-creme-tono-6-rubio-oscuro-elvive-oleo-extraordinario/p</t>
        </is>
      </c>
    </row>
    <row r="1109">
      <c r="A1109" t="inlineStr">
        <is>
          <t>Farmacity</t>
        </is>
      </c>
      <c r="B1109" t="n">
        <v>147268</v>
      </c>
      <c r="C1109" t="n">
        <v>147268</v>
      </c>
      <c r="D1109" t="inlineStr">
        <is>
          <t>Acondicionador Elvive Oleo Extraordinario Coco x 200 ml</t>
        </is>
      </c>
      <c r="E1109" t="inlineStr">
        <is>
          <t>Elvive</t>
        </is>
      </c>
      <c r="F1109" t="n">
        <v>3495</v>
      </c>
      <c r="G1109" t="n">
        <v>6990</v>
      </c>
      <c r="H1109" t="b">
        <v>1</v>
      </c>
      <c r="I1109" t="n">
        <v>200</v>
      </c>
      <c r="J1109" t="n">
        <v>17.475</v>
      </c>
      <c r="K1109" t="inlineStr">
        <is>
          <t>&gt; Cuidado Capilar &gt; Shampoo Y Acondicionador &gt;</t>
        </is>
      </c>
      <c r="L1109" t="inlineStr">
        <is>
          <t>acondicionador</t>
        </is>
      </c>
      <c r="M1109" t="inlineStr">
        <is>
          <t>profesional</t>
        </is>
      </c>
      <c r="N1109" t="inlineStr">
        <is>
          <t>general</t>
        </is>
      </c>
      <c r="O1109" t="inlineStr">
        <is>
          <t>https://www.farmacity.com/acondicionador-elvive-oleo-coco-x-200-ml/p</t>
        </is>
      </c>
    </row>
    <row r="1110">
      <c r="A1110" s="6" t="inlineStr">
        <is>
          <t>Farmacity</t>
        </is>
      </c>
      <c r="B1110" s="6" t="n">
        <v>215039</v>
      </c>
      <c r="C1110" s="6" t="n">
        <v>215039</v>
      </c>
      <c r="D1110" s="6" t="inlineStr">
        <is>
          <t>Acondicionador Elvive Dream Long Liss x 200 ml</t>
        </is>
      </c>
      <c r="E1110" s="6" t="inlineStr">
        <is>
          <t>Elvive</t>
        </is>
      </c>
      <c r="F1110" s="6" t="n">
        <v>4869</v>
      </c>
      <c r="G1110" s="6" t="n">
        <v>4869</v>
      </c>
      <c r="H1110" s="6" t="b">
        <v>0</v>
      </c>
      <c r="I1110" s="6" t="n">
        <v>200</v>
      </c>
      <c r="J1110" s="6" t="n">
        <v>24.345</v>
      </c>
      <c r="K1110" s="6" t="inlineStr">
        <is>
          <t>&gt; Cuidado Capilar &gt; Shampoo Y Acondicionador &gt;</t>
        </is>
      </c>
      <c r="L1110" s="6" t="inlineStr">
        <is>
          <t>acondicionador</t>
        </is>
      </c>
      <c r="M1110" s="6" t="inlineStr">
        <is>
          <t>profesional</t>
        </is>
      </c>
      <c r="N1110" s="6" t="inlineStr">
        <is>
          <t>general</t>
        </is>
      </c>
      <c r="O1110" s="6" t="inlineStr">
        <is>
          <t>https://www.farmacity.com/acondicionador-elvive-dream-long-liss-x-200-ml/p</t>
        </is>
      </c>
    </row>
    <row r="1111">
      <c r="A1111" t="inlineStr">
        <is>
          <t>Farmacity</t>
        </is>
      </c>
      <c r="B1111" t="n">
        <v>208138</v>
      </c>
      <c r="C1111" t="n">
        <v>208138</v>
      </c>
      <c r="D1111" t="inlineStr">
        <is>
          <t>Crema para Peinar Elvive Dream Long x 250 ml</t>
        </is>
      </c>
      <c r="E1111" t="inlineStr">
        <is>
          <t>Elvive</t>
        </is>
      </c>
      <c r="F1111" t="n">
        <v>8990</v>
      </c>
      <c r="G1111" t="n">
        <v>8990</v>
      </c>
      <c r="H1111" t="b">
        <v>0</v>
      </c>
      <c r="I1111" t="n">
        <v>250</v>
      </c>
      <c r="J1111" t="n">
        <v>35.96</v>
      </c>
      <c r="K1111" t="inlineStr">
        <is>
          <t>&gt; Cuidado Capilar &gt; Modelado Y Peinado &gt;</t>
        </is>
      </c>
      <c r="L1111" t="inlineStr">
        <is>
          <t>shampoo</t>
        </is>
      </c>
      <c r="M1111" t="inlineStr">
        <is>
          <t>profesional</t>
        </is>
      </c>
      <c r="N1111" t="inlineStr">
        <is>
          <t>general</t>
        </is>
      </c>
      <c r="O1111" t="inlineStr">
        <is>
          <t>https://www.farmacity.com/crema-para-peinar-dream-long-elvive-loreal-paris-x-250-ml/p</t>
        </is>
      </c>
    </row>
    <row r="1112">
      <c r="A1112" s="6" t="inlineStr">
        <is>
          <t>Farmacity</t>
        </is>
      </c>
      <c r="B1112" s="6" t="n">
        <v>4170</v>
      </c>
      <c r="C1112" s="6" t="n">
        <v>139197</v>
      </c>
      <c r="D1112" s="6" t="inlineStr">
        <is>
          <t>Crema Tratamiento Elvive Kera-Liso Protección x 300 g</t>
        </is>
      </c>
      <c r="E1112" s="6" t="inlineStr">
        <is>
          <t>Elvive</t>
        </is>
      </c>
      <c r="F1112" s="6" t="n">
        <v>4995</v>
      </c>
      <c r="G1112" s="6" t="n">
        <v>9990</v>
      </c>
      <c r="H1112" s="6" t="b">
        <v>0</v>
      </c>
      <c r="I1112" s="6" t="n">
        <v>300</v>
      </c>
      <c r="J1112" s="6" t="n">
        <v>16.65</v>
      </c>
      <c r="K1112" s="6" t="inlineStr">
        <is>
          <t>&gt; Cuidado Capilar &gt; Reparación Y Tratamiento &gt;</t>
        </is>
      </c>
      <c r="L1112" s="6" t="inlineStr">
        <is>
          <t>tratamiento</t>
        </is>
      </c>
      <c r="M1112" s="6" t="inlineStr">
        <is>
          <t>profesional</t>
        </is>
      </c>
      <c r="N1112" s="6" t="inlineStr">
        <is>
          <t>general</t>
        </is>
      </c>
      <c r="O1112" s="6" t="inlineStr">
        <is>
          <t>https://www.farmacity.com/mascarilla-elvive-kera-liso-mq-brillo-sedosidad-x-300-gr/p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55" customWidth="1" min="4" max="4"/>
    <col width="21" customWidth="1" min="5" max="5"/>
    <col width="13" customWidth="1" min="6" max="6"/>
    <col width="15" customWidth="1" min="7" max="7"/>
    <col width="13" customWidth="1" min="8" max="8"/>
    <col width="13" customWidth="1" min="9" max="9"/>
    <col width="16" customWidth="1" min="10" max="10"/>
    <col width="55" customWidth="1" min="11" max="11"/>
    <col width="17" customWidth="1" min="12" max="12"/>
    <col width="14" customWidth="1" min="13" max="13"/>
    <col width="15" customWidth="1" min="14" max="14"/>
    <col width="55" customWidth="1" min="15" max="15"/>
    <col width="29" customWidth="1" min="16" max="16"/>
    <col width="55" customWidth="1" min="17" max="17"/>
    <col width="33" customWidth="1" min="18" max="18"/>
    <col width="46" customWidth="1" min="19" max="19"/>
    <col width="55" customWidth="1" min="20" max="20"/>
    <col width="54" customWidth="1" min="21" max="21"/>
  </cols>
  <sheetData>
    <row r="1" ht="26" customHeight="1">
      <c r="A1" s="5" t="inlineStr">
        <is>
          <t>fuente</t>
        </is>
      </c>
      <c r="B1" s="5" t="inlineStr">
        <is>
          <t>producto_id</t>
        </is>
      </c>
      <c r="C1" s="5" t="inlineStr">
        <is>
          <t>sku_id</t>
        </is>
      </c>
      <c r="D1" s="5" t="inlineStr">
        <is>
          <t>nombre</t>
        </is>
      </c>
      <c r="E1" s="5" t="inlineStr">
        <is>
          <t>marca</t>
        </is>
      </c>
      <c r="F1" s="5" t="inlineStr">
        <is>
          <t>precio_ars</t>
        </is>
      </c>
      <c r="G1" s="5" t="inlineStr">
        <is>
          <t>precio_lista</t>
        </is>
      </c>
      <c r="H1" s="5" t="inlineStr">
        <is>
          <t>disponible</t>
        </is>
      </c>
      <c r="I1" s="5" t="inlineStr">
        <is>
          <t>volumen_ml</t>
        </is>
      </c>
      <c r="J1" s="5" t="inlineStr">
        <is>
          <t>precio_por_ml</t>
        </is>
      </c>
      <c r="K1" s="5" t="inlineStr">
        <is>
          <t>categoria_raw</t>
        </is>
      </c>
      <c r="L1" s="5" t="inlineStr">
        <is>
          <t>tipo_producto</t>
        </is>
      </c>
      <c r="M1" s="5" t="inlineStr">
        <is>
          <t>linea_tipo</t>
        </is>
      </c>
      <c r="N1" s="5" t="inlineStr">
        <is>
          <t>tipo_cabello</t>
        </is>
      </c>
      <c r="O1" s="5" t="inlineStr">
        <is>
          <t>url</t>
        </is>
      </c>
      <c r="P1" s="7" t="inlineStr">
        <is>
          <t>nombre_limpio</t>
        </is>
      </c>
      <c r="Q1" s="7" t="inlineStr">
        <is>
          <t>marca_normalizada</t>
        </is>
      </c>
      <c r="R1" s="7" t="inlineStr">
        <is>
          <t>es_duplicado</t>
        </is>
      </c>
      <c r="S1" s="7" t="inlineStr">
        <is>
          <t>disponible_texto</t>
        </is>
      </c>
      <c r="T1" s="7" t="inlineStr">
        <is>
          <t>precio_ml_calculado</t>
        </is>
      </c>
      <c r="U1" s="7" t="inlineStr">
        <is>
          <t>rango_precio</t>
        </is>
      </c>
    </row>
    <row r="2">
      <c r="A2" s="6" t="inlineStr">
        <is>
          <t>Farmacity</t>
        </is>
      </c>
      <c r="B2" s="6" t="n">
        <v>234384</v>
      </c>
      <c r="C2" s="6" t="n">
        <v>234384</v>
      </c>
      <c r="D2" s="6" t="inlineStr">
        <is>
          <t>Shampoo Elvive Hialurónico Pure x 400 ml</t>
        </is>
      </c>
      <c r="E2" s="6" t="inlineStr">
        <is>
          <t>Elvive</t>
        </is>
      </c>
      <c r="F2" s="6" t="n">
        <v>6714</v>
      </c>
      <c r="G2" s="6" t="n">
        <v>11190</v>
      </c>
      <c r="H2" s="6" t="b">
        <v>1</v>
      </c>
      <c r="I2" s="6" t="n">
        <v>400</v>
      </c>
      <c r="J2" s="6" t="n">
        <v>16.785</v>
      </c>
      <c r="K2" s="6" t="inlineStr">
        <is>
          <t>&gt; Cuidado Capilar &gt; Shampoo Y Acondicionador &gt;</t>
        </is>
      </c>
      <c r="L2" s="6" t="inlineStr">
        <is>
          <t>shampoo</t>
        </is>
      </c>
      <c r="M2" s="6" t="inlineStr">
        <is>
          <t>profesional</t>
        </is>
      </c>
      <c r="N2" s="6" t="inlineStr">
        <is>
          <t>general</t>
        </is>
      </c>
      <c r="O2" s="6" t="inlineStr">
        <is>
          <t>https://www.farmacity.com/shampoo-elvive-hialuronico-pure-x-400-ml/p</t>
        </is>
      </c>
      <c r="P2" s="8">
        <f>TRIM(CLEAN(PROPER(D2)))</f>
        <v/>
      </c>
      <c r="Q2" s="8">
        <f>PROPER(TRIM(SUBSTITUTE(SUBSTITUTE(SUBSTITUTE(SUBSTITUTE(E2,"TRESEMME","Tresemme"),"HEAD &amp; SHOULDERS","Head &amp; Shoulders"),"ELVIVE","Elvive"),"FRUCTIS","Fructis")))</f>
        <v/>
      </c>
      <c r="R2" s="8">
        <f>COUNTIF($D$2:$D$10000,D2)&gt;1</f>
        <v/>
      </c>
      <c r="S2" s="8">
        <f>IF(H2=TRUE,"Disponible","No disponible")</f>
        <v/>
      </c>
      <c r="T2" s="8">
        <f>IF(AND(ISNUMBER(I2),I2&gt;0),ROUND(F2/I2,2),"Sin volumen")</f>
        <v/>
      </c>
      <c r="U2" s="8">
        <f>IF(F2&lt;5000,"Bajo",IF(F2&lt;15000,"Medio","Alto"))</f>
        <v/>
      </c>
    </row>
    <row r="3">
      <c r="A3" t="inlineStr">
        <is>
          <t>Farmacity</t>
        </is>
      </c>
      <c r="B3" t="n">
        <v>221679</v>
      </c>
      <c r="C3" t="n">
        <v>221679</v>
      </c>
      <c r="D3" t="inlineStr">
        <is>
          <t>Shampoo Elvive Hidra Hialurónico x 400 ml</t>
        </is>
      </c>
      <c r="E3" t="inlineStr">
        <is>
          <t>Elvive</t>
        </is>
      </c>
      <c r="F3" t="n">
        <v>6714</v>
      </c>
      <c r="G3" t="n">
        <v>11190</v>
      </c>
      <c r="H3" t="b">
        <v>1</v>
      </c>
      <c r="I3" t="n">
        <v>400</v>
      </c>
      <c r="J3" t="n">
        <v>16.785</v>
      </c>
      <c r="K3" t="inlineStr">
        <is>
          <t>&gt; Cuidado Capilar &gt; Shampoo Y Acondicionador &gt;</t>
        </is>
      </c>
      <c r="L3" t="inlineStr">
        <is>
          <t>shampoo</t>
        </is>
      </c>
      <c r="M3" t="inlineStr">
        <is>
          <t>profesional</t>
        </is>
      </c>
      <c r="N3" t="inlineStr">
        <is>
          <t>general</t>
        </is>
      </c>
      <c r="O3" t="inlineStr">
        <is>
          <t>https://www.farmacity.com/shampoo-elvive-hidra-hialuronico-x-400-ml/p</t>
        </is>
      </c>
      <c r="P3">
        <f>TRIM(CLEAN(PROPER(D3)))</f>
        <v/>
      </c>
      <c r="Q3">
        <f>PROPER(TRIM(SUBSTITUTE(SUBSTITUTE(SUBSTITUTE(SUBSTITUTE(E3,"TRESEMME","Tresemme"),"HEAD &amp; SHOULDERS","Head &amp; Shoulders"),"ELVIVE","Elvive"),"FRUCTIS","Fructis")))</f>
        <v/>
      </c>
      <c r="R3">
        <f>COUNTIF($D$2:$D$10000,D3)&gt;1</f>
        <v/>
      </c>
      <c r="S3">
        <f>IF(H3=TRUE,"Disponible","No disponible")</f>
        <v/>
      </c>
      <c r="T3">
        <f>IF(AND(ISNUMBER(I3),I3&gt;0),ROUND(F3/I3,2),"Sin volumen")</f>
        <v/>
      </c>
      <c r="U3">
        <f>IF(F3&lt;5000,"Bajo",IF(F3&lt;15000,"Medio","Alto"))</f>
        <v/>
      </c>
    </row>
    <row r="4">
      <c r="A4" s="6" t="inlineStr">
        <is>
          <t>Farmacity</t>
        </is>
      </c>
      <c r="B4" s="6" t="n">
        <v>164244</v>
      </c>
      <c r="C4" s="6" t="n">
        <v>164244</v>
      </c>
      <c r="D4" s="6" t="inlineStr">
        <is>
          <t>Shampoo Capilatis PH Neutro Limpieza Profunda x 420 ml</t>
        </is>
      </c>
      <c r="E4" s="6" t="inlineStr">
        <is>
          <t>Capilatis</t>
        </is>
      </c>
      <c r="F4" s="6" t="n">
        <v>9000</v>
      </c>
      <c r="G4" s="6" t="n">
        <v>9000</v>
      </c>
      <c r="H4" s="6" t="b">
        <v>1</v>
      </c>
      <c r="I4" s="6" t="n">
        <v>420</v>
      </c>
      <c r="J4" s="6" t="n">
        <v>21.4286</v>
      </c>
      <c r="K4" s="6" t="inlineStr">
        <is>
          <t>&gt; Cuidado Capilar &gt; Shampoo Y Acondicionador &gt;</t>
        </is>
      </c>
      <c r="L4" s="6" t="inlineStr">
        <is>
          <t>shampoo</t>
        </is>
      </c>
      <c r="M4" s="6" t="inlineStr">
        <is>
          <t>estandar</t>
        </is>
      </c>
      <c r="N4" s="6" t="inlineStr">
        <is>
          <t>general</t>
        </is>
      </c>
      <c r="O4" s="6" t="inlineStr">
        <is>
          <t>https://www.farmacity.com/shampoo-limpieza-profunda-capilatis-ph-neutro-x-420-ml/p</t>
        </is>
      </c>
      <c r="P4" s="8">
        <f>TRIM(CLEAN(PROPER(D4)))</f>
        <v/>
      </c>
      <c r="Q4" s="8">
        <f>PROPER(TRIM(SUBSTITUTE(SUBSTITUTE(SUBSTITUTE(SUBSTITUTE(E4,"TRESEMME","Tresemme"),"HEAD &amp; SHOULDERS","Head &amp; Shoulders"),"ELVIVE","Elvive"),"FRUCTIS","Fructis")))</f>
        <v/>
      </c>
      <c r="R4" s="8">
        <f>COUNTIF($D$2:$D$10000,D4)&gt;1</f>
        <v/>
      </c>
      <c r="S4" s="8">
        <f>IF(H4=TRUE,"Disponible","No disponible")</f>
        <v/>
      </c>
      <c r="T4" s="8">
        <f>IF(AND(ISNUMBER(I4),I4&gt;0),ROUND(F4/I4,2),"Sin volumen")</f>
        <v/>
      </c>
      <c r="U4" s="8">
        <f>IF(F4&lt;5000,"Bajo",IF(F4&lt;15000,"Medio","Alto"))</f>
        <v/>
      </c>
    </row>
    <row r="5">
      <c r="A5" t="inlineStr">
        <is>
          <t>Farmacity</t>
        </is>
      </c>
      <c r="B5" t="n">
        <v>1031</v>
      </c>
      <c r="C5" t="n">
        <v>109084</v>
      </c>
      <c r="D5" t="inlineStr">
        <is>
          <t>Shampoo Dove Reconstrucción + Aminoácido x 400 ml</t>
        </is>
      </c>
      <c r="E5" t="inlineStr">
        <is>
          <t>Dove</t>
        </is>
      </c>
      <c r="F5" t="n">
        <v>5812</v>
      </c>
      <c r="G5" t="n">
        <v>9687</v>
      </c>
      <c r="H5" t="b">
        <v>1</v>
      </c>
      <c r="I5" t="n">
        <v>400</v>
      </c>
      <c r="J5" t="n">
        <v>14.53</v>
      </c>
      <c r="K5" t="inlineStr">
        <is>
          <t>&gt; Cuidado Capilar &gt; Shampoo Y Acondicionador &gt;</t>
        </is>
      </c>
      <c r="L5" t="inlineStr">
        <is>
          <t>shampoo</t>
        </is>
      </c>
      <c r="M5" t="inlineStr">
        <is>
          <t>estandar</t>
        </is>
      </c>
      <c r="N5" t="inlineStr">
        <is>
          <t>general</t>
        </is>
      </c>
      <c r="O5" t="inlineStr">
        <is>
          <t>https://www.farmacity.com/shampoo-dove-reconstruccion-completa-botella-x-400-ml/p</t>
        </is>
      </c>
      <c r="P5">
        <f>TRIM(CLEAN(PROPER(D5)))</f>
        <v/>
      </c>
      <c r="Q5">
        <f>PROPER(TRIM(SUBSTITUTE(SUBSTITUTE(SUBSTITUTE(SUBSTITUTE(E5,"TRESEMME","Tresemme"),"HEAD &amp; SHOULDERS","Head &amp; Shoulders"),"ELVIVE","Elvive"),"FRUCTIS","Fructis")))</f>
        <v/>
      </c>
      <c r="R5">
        <f>COUNTIF($D$2:$D$10000,D5)&gt;1</f>
        <v/>
      </c>
      <c r="S5">
        <f>IF(H5=TRUE,"Disponible","No disponible")</f>
        <v/>
      </c>
      <c r="T5">
        <f>IF(AND(ISNUMBER(I5),I5&gt;0),ROUND(F5/I5,2),"Sin volumen")</f>
        <v/>
      </c>
      <c r="U5">
        <f>IF(F5&lt;5000,"Bajo",IF(F5&lt;15000,"Medio","Alto"))</f>
        <v/>
      </c>
    </row>
    <row r="6">
      <c r="A6" s="6" t="inlineStr">
        <is>
          <t>Farmacity</t>
        </is>
      </c>
      <c r="B6" s="6" t="n">
        <v>248551</v>
      </c>
      <c r="C6" s="6" t="n">
        <v>248551</v>
      </c>
      <c r="D6" s="6" t="inlineStr">
        <is>
          <t>Shampoo Elvive Glycolic Cristal x 400 ml</t>
        </is>
      </c>
      <c r="E6" s="6" t="inlineStr">
        <is>
          <t>Elvive</t>
        </is>
      </c>
      <c r="F6" s="6" t="n">
        <v>7494</v>
      </c>
      <c r="G6" s="6" t="n">
        <v>12490</v>
      </c>
      <c r="H6" s="6" t="b">
        <v>1</v>
      </c>
      <c r="I6" s="6" t="n">
        <v>400</v>
      </c>
      <c r="J6" s="6" t="n">
        <v>18.735</v>
      </c>
      <c r="K6" s="6" t="inlineStr">
        <is>
          <t>&gt; Cuidado Capilar &gt; Shampoo Y Acondicionador &gt;</t>
        </is>
      </c>
      <c r="L6" s="6" t="inlineStr">
        <is>
          <t>shampoo</t>
        </is>
      </c>
      <c r="M6" s="6" t="inlineStr">
        <is>
          <t>profesional</t>
        </is>
      </c>
      <c r="N6" s="6" t="inlineStr">
        <is>
          <t>general</t>
        </is>
      </c>
      <c r="O6" s="6" t="inlineStr">
        <is>
          <t>https://www.farmacity.com/shampoo-elvive-glycolic-cristal-x-400-ml/p</t>
        </is>
      </c>
      <c r="P6" s="8">
        <f>TRIM(CLEAN(PROPER(D6)))</f>
        <v/>
      </c>
      <c r="Q6" s="8">
        <f>PROPER(TRIM(SUBSTITUTE(SUBSTITUTE(SUBSTITUTE(SUBSTITUTE(E6,"TRESEMME","Tresemme"),"HEAD &amp; SHOULDERS","Head &amp; Shoulders"),"ELVIVE","Elvive"),"FRUCTIS","Fructis")))</f>
        <v/>
      </c>
      <c r="R6" s="8">
        <f>COUNTIF($D$2:$D$10000,D6)&gt;1</f>
        <v/>
      </c>
      <c r="S6" s="8">
        <f>IF(H6=TRUE,"Disponible","No disponible")</f>
        <v/>
      </c>
      <c r="T6" s="8">
        <f>IF(AND(ISNUMBER(I6),I6&gt;0),ROUND(F6/I6,2),"Sin volumen")</f>
        <v/>
      </c>
      <c r="U6" s="8">
        <f>IF(F6&lt;5000,"Bajo",IF(F6&lt;15000,"Medio","Alto"))</f>
        <v/>
      </c>
    </row>
    <row r="7">
      <c r="A7" t="inlineStr">
        <is>
          <t>Farmacity</t>
        </is>
      </c>
      <c r="B7" t="n">
        <v>237877</v>
      </c>
      <c r="C7" t="n">
        <v>237877</v>
      </c>
      <c r="D7" t="inlineStr">
        <is>
          <t>Shampoo Capilatis Ortiga Concentrado x 420 ml</t>
        </is>
      </c>
      <c r="E7" t="inlineStr">
        <is>
          <t>Capilatis</t>
        </is>
      </c>
      <c r="F7" t="n">
        <v>7575</v>
      </c>
      <c r="G7" t="n">
        <v>10100</v>
      </c>
      <c r="H7" t="b">
        <v>1</v>
      </c>
      <c r="I7" t="n">
        <v>420</v>
      </c>
      <c r="J7" t="n">
        <v>18.0357</v>
      </c>
      <c r="K7" t="inlineStr">
        <is>
          <t>&gt; Cuidado Capilar &gt; Shampoo Y Acondicionador &gt;</t>
        </is>
      </c>
      <c r="L7" t="inlineStr">
        <is>
          <t>shampoo</t>
        </is>
      </c>
      <c r="M7" t="inlineStr">
        <is>
          <t>estandar</t>
        </is>
      </c>
      <c r="N7" t="inlineStr">
        <is>
          <t>general</t>
        </is>
      </c>
      <c r="O7" t="inlineStr">
        <is>
          <t>https://www.farmacity.com/shampoo-capilatis-ortiga-concentrado-x-420-ml/p</t>
        </is>
      </c>
      <c r="P7">
        <f>TRIM(CLEAN(PROPER(D7)))</f>
        <v/>
      </c>
      <c r="Q7">
        <f>PROPER(TRIM(SUBSTITUTE(SUBSTITUTE(SUBSTITUTE(SUBSTITUTE(E7,"TRESEMME","Tresemme"),"HEAD &amp; SHOULDERS","Head &amp; Shoulders"),"ELVIVE","Elvive"),"FRUCTIS","Fructis")))</f>
        <v/>
      </c>
      <c r="R7">
        <f>COUNTIF($D$2:$D$10000,D7)&gt;1</f>
        <v/>
      </c>
      <c r="S7">
        <f>IF(H7=TRUE,"Disponible","No disponible")</f>
        <v/>
      </c>
      <c r="T7">
        <f>IF(AND(ISNUMBER(I7),I7&gt;0),ROUND(F7/I7,2),"Sin volumen")</f>
        <v/>
      </c>
      <c r="U7">
        <f>IF(F7&lt;5000,"Bajo",IF(F7&lt;15000,"Medio","Alto"))</f>
        <v/>
      </c>
    </row>
    <row r="8">
      <c r="A8" s="6" t="inlineStr">
        <is>
          <t>Farmacity</t>
        </is>
      </c>
      <c r="B8" s="6" t="n">
        <v>232640</v>
      </c>
      <c r="C8" s="6" t="n">
        <v>232640</v>
      </c>
      <c r="D8" s="6" t="inlineStr">
        <is>
          <t>Shampoo Control Caspa Head &amp; Shoulders Limpieza y Revitalización x 375 ml</t>
        </is>
      </c>
      <c r="E8" s="6" t="inlineStr">
        <is>
          <t>Head and Shoulders</t>
        </is>
      </c>
      <c r="F8" s="6" t="n">
        <v>7895</v>
      </c>
      <c r="G8" s="6" t="n">
        <v>12146</v>
      </c>
      <c r="H8" s="6" t="b">
        <v>1</v>
      </c>
      <c r="I8" s="6" t="n">
        <v>375</v>
      </c>
      <c r="J8" s="6" t="n">
        <v>21.0533</v>
      </c>
      <c r="K8" s="6" t="inlineStr">
        <is>
          <t>&gt; Cuidado Capilar &gt; Shampoo Y Acondicionador &gt;</t>
        </is>
      </c>
      <c r="L8" s="6" t="inlineStr">
        <is>
          <t>shampoo</t>
        </is>
      </c>
      <c r="M8" s="6" t="inlineStr">
        <is>
          <t>estandar</t>
        </is>
      </c>
      <c r="N8" s="6" t="inlineStr">
        <is>
          <t>anticaspa</t>
        </is>
      </c>
      <c r="O8" s="6" t="inlineStr">
        <is>
          <t>https://www.farmacity.com/shampoo-head-y-shoulders-limpieza-y-revitalizacion-x-375-ml/p</t>
        </is>
      </c>
      <c r="P8" s="8">
        <f>TRIM(CLEAN(PROPER(D8)))</f>
        <v/>
      </c>
      <c r="Q8" s="8">
        <f>PROPER(TRIM(SUBSTITUTE(SUBSTITUTE(SUBSTITUTE(SUBSTITUTE(E8,"TRESEMME","Tresemme"),"HEAD &amp; SHOULDERS","Head &amp; Shoulders"),"ELVIVE","Elvive"),"FRUCTIS","Fructis")))</f>
        <v/>
      </c>
      <c r="R8" s="8">
        <f>COUNTIF($D$2:$D$10000,D8)&gt;1</f>
        <v/>
      </c>
      <c r="S8" s="8">
        <f>IF(H8=TRUE,"Disponible","No disponible")</f>
        <v/>
      </c>
      <c r="T8" s="8">
        <f>IF(AND(ISNUMBER(I8),I8&gt;0),ROUND(F8/I8,2),"Sin volumen")</f>
        <v/>
      </c>
      <c r="U8" s="8">
        <f>IF(F8&lt;5000,"Bajo",IF(F8&lt;15000,"Medio","Alto"))</f>
        <v/>
      </c>
    </row>
    <row r="9">
      <c r="A9" t="inlineStr">
        <is>
          <t>Farmacity</t>
        </is>
      </c>
      <c r="B9" t="n">
        <v>229980</v>
      </c>
      <c r="C9" t="n">
        <v>229980</v>
      </c>
      <c r="D9" t="inlineStr">
        <is>
          <t>Shampoo Tío Nacho Engrosador x 415 ml</t>
        </is>
      </c>
      <c r="E9" t="inlineStr">
        <is>
          <t>Tío Nacho</t>
        </is>
      </c>
      <c r="F9" t="n">
        <v>11750</v>
      </c>
      <c r="G9" t="n">
        <v>11750</v>
      </c>
      <c r="H9" t="b">
        <v>1</v>
      </c>
      <c r="I9" t="n">
        <v>415</v>
      </c>
      <c r="J9" t="n">
        <v>28.3133</v>
      </c>
      <c r="K9" t="inlineStr">
        <is>
          <t>&gt; Cuidado Capilar &gt; Shampoo Y Acondicionador &gt;</t>
        </is>
      </c>
      <c r="L9" t="inlineStr">
        <is>
          <t>shampoo</t>
        </is>
      </c>
      <c r="M9" t="inlineStr">
        <is>
          <t>estandar</t>
        </is>
      </c>
      <c r="N9" t="inlineStr">
        <is>
          <t>general</t>
        </is>
      </c>
      <c r="O9" t="inlineStr">
        <is>
          <t>https://www.farmacity.com/shampoo-tio-nacho-engorsador-x-415-ml/p</t>
        </is>
      </c>
      <c r="P9">
        <f>TRIM(CLEAN(PROPER(D9)))</f>
        <v/>
      </c>
      <c r="Q9">
        <f>PROPER(TRIM(SUBSTITUTE(SUBSTITUTE(SUBSTITUTE(SUBSTITUTE(E9,"TRESEMME","Tresemme"),"HEAD &amp; SHOULDERS","Head &amp; Shoulders"),"ELVIVE","Elvive"),"FRUCTIS","Fructis")))</f>
        <v/>
      </c>
      <c r="R9">
        <f>COUNTIF($D$2:$D$10000,D9)&gt;1</f>
        <v/>
      </c>
      <c r="S9">
        <f>IF(H9=TRUE,"Disponible","No disponible")</f>
        <v/>
      </c>
      <c r="T9">
        <f>IF(AND(ISNUMBER(I9),I9&gt;0),ROUND(F9/I9,2),"Sin volumen")</f>
        <v/>
      </c>
      <c r="U9">
        <f>IF(F9&lt;5000,"Bajo",IF(F9&lt;15000,"Medio","Alto"))</f>
        <v/>
      </c>
    </row>
    <row r="10">
      <c r="A10" s="6" t="inlineStr">
        <is>
          <t>Farmacity</t>
        </is>
      </c>
      <c r="B10" s="6" t="n">
        <v>225541</v>
      </c>
      <c r="C10" s="6" t="n">
        <v>225541</v>
      </c>
      <c r="D10" s="6" t="inlineStr">
        <is>
          <t>Shampoo Bagóvit Pelo Largo y Sin Frizz x 350 ml</t>
        </is>
      </c>
      <c r="E10" s="6" t="inlineStr">
        <is>
          <t>Bagóvit</t>
        </is>
      </c>
      <c r="F10" s="6" t="n">
        <v>8984</v>
      </c>
      <c r="G10" s="6" t="n">
        <v>8984</v>
      </c>
      <c r="H10" s="6" t="b">
        <v>1</v>
      </c>
      <c r="I10" s="6" t="n">
        <v>350</v>
      </c>
      <c r="J10" s="6" t="n">
        <v>25.6686</v>
      </c>
      <c r="K10" s="6" t="inlineStr">
        <is>
          <t>&gt; Cuidado Capilar &gt; Shampoo Y Acondicionador &gt;</t>
        </is>
      </c>
      <c r="L10" s="6" t="inlineStr">
        <is>
          <t>shampoo</t>
        </is>
      </c>
      <c r="M10" s="6" t="inlineStr">
        <is>
          <t>estandar</t>
        </is>
      </c>
      <c r="N10" s="6" t="inlineStr">
        <is>
          <t>general</t>
        </is>
      </c>
      <c r="O10" s="6" t="inlineStr">
        <is>
          <t>https://www.farmacity.com/shampoo-bagovit-pelo-largo-y-sin-frizz-x-350-ml/p</t>
        </is>
      </c>
      <c r="P10" s="8">
        <f>TRIM(CLEAN(PROPER(D10)))</f>
        <v/>
      </c>
      <c r="Q10" s="8">
        <f>PROPER(TRIM(SUBSTITUTE(SUBSTITUTE(SUBSTITUTE(SUBSTITUTE(E10,"TRESEMME","Tresemme"),"HEAD &amp; SHOULDERS","Head &amp; Shoulders"),"ELVIVE","Elvive"),"FRUCTIS","Fructis")))</f>
        <v/>
      </c>
      <c r="R10" s="8">
        <f>COUNTIF($D$2:$D$10000,D10)&gt;1</f>
        <v/>
      </c>
      <c r="S10" s="8">
        <f>IF(H10=TRUE,"Disponible","No disponible")</f>
        <v/>
      </c>
      <c r="T10" s="8">
        <f>IF(AND(ISNUMBER(I10),I10&gt;0),ROUND(F10/I10,2),"Sin volumen")</f>
        <v/>
      </c>
      <c r="U10" s="8">
        <f>IF(F10&lt;5000,"Bajo",IF(F10&lt;15000,"Medio","Alto"))</f>
        <v/>
      </c>
    </row>
    <row r="11">
      <c r="A11" t="inlineStr">
        <is>
          <t>Farmacity</t>
        </is>
      </c>
      <c r="B11" t="n">
        <v>246480</v>
      </c>
      <c r="C11" t="n">
        <v>246480</v>
      </c>
      <c r="D11" t="inlineStr">
        <is>
          <t>Shampoo Dove Uv Repair &amp; Glow x 400 ml</t>
        </is>
      </c>
      <c r="E11" t="inlineStr">
        <is>
          <t>Dove</t>
        </is>
      </c>
      <c r="F11" t="n">
        <v>6453</v>
      </c>
      <c r="G11" t="n">
        <v>10755</v>
      </c>
      <c r="H11" t="b">
        <v>1</v>
      </c>
      <c r="I11" t="n">
        <v>400</v>
      </c>
      <c r="J11" t="n">
        <v>16.1325</v>
      </c>
      <c r="K11" t="inlineStr">
        <is>
          <t>&gt; Cuidado Capilar &gt; Shampoo Y Acondicionador &gt;</t>
        </is>
      </c>
      <c r="L11" t="inlineStr">
        <is>
          <t>shampoo</t>
        </is>
      </c>
      <c r="M11" t="inlineStr">
        <is>
          <t>profesional</t>
        </is>
      </c>
      <c r="N11" t="inlineStr">
        <is>
          <t>general</t>
        </is>
      </c>
      <c r="O11" t="inlineStr">
        <is>
          <t>https://www.farmacity.com/shampoo-dove-uv-repair-x-400-ml/p</t>
        </is>
      </c>
      <c r="P11">
        <f>TRIM(CLEAN(PROPER(D11)))</f>
        <v/>
      </c>
      <c r="Q11">
        <f>PROPER(TRIM(SUBSTITUTE(SUBSTITUTE(SUBSTITUTE(SUBSTITUTE(E11,"TRESEMME","Tresemme"),"HEAD &amp; SHOULDERS","Head &amp; Shoulders"),"ELVIVE","Elvive"),"FRUCTIS","Fructis")))</f>
        <v/>
      </c>
      <c r="R11">
        <f>COUNTIF($D$2:$D$10000,D11)&gt;1</f>
        <v/>
      </c>
      <c r="S11">
        <f>IF(H11=TRUE,"Disponible","No disponible")</f>
        <v/>
      </c>
      <c r="T11">
        <f>IF(AND(ISNUMBER(I11),I11&gt;0),ROUND(F11/I11,2),"Sin volumen")</f>
        <v/>
      </c>
      <c r="U11">
        <f>IF(F11&lt;5000,"Bajo",IF(F11&lt;15000,"Medio","Alto"))</f>
        <v/>
      </c>
    </row>
    <row r="12">
      <c r="A12" s="6" t="inlineStr">
        <is>
          <t>Farmacity</t>
        </is>
      </c>
      <c r="B12" s="6" t="n">
        <v>233317</v>
      </c>
      <c r="C12" s="6" t="n">
        <v>233317</v>
      </c>
      <c r="D12" s="6" t="inlineStr">
        <is>
          <t>Shampoo Alta Moda Detox Purify x 300 ml</t>
        </is>
      </c>
      <c r="E12" s="6" t="inlineStr">
        <is>
          <t>Alta Moda</t>
        </is>
      </c>
      <c r="F12" s="6" t="n">
        <v>5692</v>
      </c>
      <c r="G12" s="6" t="n">
        <v>5692</v>
      </c>
      <c r="H12" s="6" t="b">
        <v>1</v>
      </c>
      <c r="I12" s="6" t="n">
        <v>300</v>
      </c>
      <c r="J12" s="6" t="n">
        <v>18.9733</v>
      </c>
      <c r="K12" s="6" t="inlineStr">
        <is>
          <t>&gt; Cuidado Capilar &gt; Shampoo Y Acondicionador &gt;</t>
        </is>
      </c>
      <c r="L12" s="6" t="inlineStr">
        <is>
          <t>shampoo</t>
        </is>
      </c>
      <c r="M12" s="6" t="inlineStr">
        <is>
          <t>estandar</t>
        </is>
      </c>
      <c r="N12" s="6" t="inlineStr">
        <is>
          <t>general</t>
        </is>
      </c>
      <c r="O12" s="6" t="inlineStr">
        <is>
          <t>https://www.farmacity.com/shampoo-alta-moda-e-detox-x-300-ml/p</t>
        </is>
      </c>
      <c r="P12" s="8">
        <f>TRIM(CLEAN(PROPER(D12)))</f>
        <v/>
      </c>
      <c r="Q12" s="8">
        <f>PROPER(TRIM(SUBSTITUTE(SUBSTITUTE(SUBSTITUTE(SUBSTITUTE(E12,"TRESEMME","Tresemme"),"HEAD &amp; SHOULDERS","Head &amp; Shoulders"),"ELVIVE","Elvive"),"FRUCTIS","Fructis")))</f>
        <v/>
      </c>
      <c r="R12" s="8">
        <f>COUNTIF($D$2:$D$10000,D12)&gt;1</f>
        <v/>
      </c>
      <c r="S12" s="8">
        <f>IF(H12=TRUE,"Disponible","No disponible")</f>
        <v/>
      </c>
      <c r="T12" s="8">
        <f>IF(AND(ISNUMBER(I12),I12&gt;0),ROUND(F12/I12,2),"Sin volumen")</f>
        <v/>
      </c>
      <c r="U12" s="8">
        <f>IF(F12&lt;5000,"Bajo",IF(F12&lt;15000,"Medio","Alto"))</f>
        <v/>
      </c>
    </row>
    <row r="13">
      <c r="A13" t="inlineStr">
        <is>
          <t>Farmacity</t>
        </is>
      </c>
      <c r="B13" t="n">
        <v>230602</v>
      </c>
      <c r="C13" t="n">
        <v>230602</v>
      </c>
      <c r="D13" t="inlineStr">
        <is>
          <t>Shampoo Dosificador Tresemmé Ondas Boho x 500 ml</t>
        </is>
      </c>
      <c r="E13" t="inlineStr">
        <is>
          <t>Tresemmé</t>
        </is>
      </c>
      <c r="F13" t="n">
        <v>6574</v>
      </c>
      <c r="G13" t="n">
        <v>10114</v>
      </c>
      <c r="H13" t="b">
        <v>1</v>
      </c>
      <c r="I13" t="n">
        <v>500</v>
      </c>
      <c r="J13" t="n">
        <v>13.148</v>
      </c>
      <c r="K13" t="inlineStr">
        <is>
          <t>&gt; Cuidado Capilar &gt; Shampoo Y Acondicionador &gt;</t>
        </is>
      </c>
      <c r="L13" t="inlineStr">
        <is>
          <t>shampoo</t>
        </is>
      </c>
      <c r="M13" t="inlineStr">
        <is>
          <t>estandar</t>
        </is>
      </c>
      <c r="N13" t="inlineStr">
        <is>
          <t>general</t>
        </is>
      </c>
      <c r="O13" t="inlineStr">
        <is>
          <t>https://www.farmacity.com/shampoo-dosificador-tresemme-ondas-boho-x-500-ml/p</t>
        </is>
      </c>
      <c r="P13">
        <f>TRIM(CLEAN(PROPER(D13)))</f>
        <v/>
      </c>
      <c r="Q13">
        <f>PROPER(TRIM(SUBSTITUTE(SUBSTITUTE(SUBSTITUTE(SUBSTITUTE(E13,"TRESEMME","Tresemme"),"HEAD &amp; SHOULDERS","Head &amp; Shoulders"),"ELVIVE","Elvive"),"FRUCTIS","Fructis")))</f>
        <v/>
      </c>
      <c r="R13">
        <f>COUNTIF($D$2:$D$10000,D13)&gt;1</f>
        <v/>
      </c>
      <c r="S13">
        <f>IF(H13=TRUE,"Disponible","No disponible")</f>
        <v/>
      </c>
      <c r="T13">
        <f>IF(AND(ISNUMBER(I13),I13&gt;0),ROUND(F13/I13,2),"Sin volumen")</f>
        <v/>
      </c>
      <c r="U13">
        <f>IF(F13&lt;5000,"Bajo",IF(F13&lt;15000,"Medio","Alto"))</f>
        <v/>
      </c>
    </row>
    <row r="14">
      <c r="A14" s="6" t="inlineStr">
        <is>
          <t>Farmacity</t>
        </is>
      </c>
      <c r="B14" s="6" t="n">
        <v>229990</v>
      </c>
      <c r="C14" s="6" t="n">
        <v>229990</v>
      </c>
      <c r="D14" s="6" t="inlineStr">
        <is>
          <t>Shampoo Elvive Colorvive x 200 ml</t>
        </is>
      </c>
      <c r="E14" s="6" t="inlineStr">
        <is>
          <t>Elvive</t>
        </is>
      </c>
      <c r="F14" s="6" t="n">
        <v>4494</v>
      </c>
      <c r="G14" s="6" t="n">
        <v>7490</v>
      </c>
      <c r="H14" s="6" t="b">
        <v>1</v>
      </c>
      <c r="I14" s="6" t="n">
        <v>200</v>
      </c>
      <c r="J14" s="6" t="n">
        <v>22.47</v>
      </c>
      <c r="K14" s="6" t="inlineStr">
        <is>
          <t>&gt; Cuidado Capilar &gt; Shampoo Y Acondicionador &gt;</t>
        </is>
      </c>
      <c r="L14" s="6" t="inlineStr">
        <is>
          <t>shampoo</t>
        </is>
      </c>
      <c r="M14" s="6" t="inlineStr">
        <is>
          <t>profesional</t>
        </is>
      </c>
      <c r="N14" s="6" t="inlineStr">
        <is>
          <t>tratado</t>
        </is>
      </c>
      <c r="O14" s="6" t="inlineStr">
        <is>
          <t>https://www.farmacity.com/shampoo-elvive-matizador-violeta-x-200-ml/p</t>
        </is>
      </c>
      <c r="P14" s="8">
        <f>TRIM(CLEAN(PROPER(D14)))</f>
        <v/>
      </c>
      <c r="Q14" s="8">
        <f>PROPER(TRIM(SUBSTITUTE(SUBSTITUTE(SUBSTITUTE(SUBSTITUTE(E14,"TRESEMME","Tresemme"),"HEAD &amp; SHOULDERS","Head &amp; Shoulders"),"ELVIVE","Elvive"),"FRUCTIS","Fructis")))</f>
        <v/>
      </c>
      <c r="R14" s="8">
        <f>COUNTIF($D$2:$D$10000,D14)&gt;1</f>
        <v/>
      </c>
      <c r="S14" s="8">
        <f>IF(H14=TRUE,"Disponible","No disponible")</f>
        <v/>
      </c>
      <c r="T14" s="8">
        <f>IF(AND(ISNUMBER(I14),I14&gt;0),ROUND(F14/I14,2),"Sin volumen")</f>
        <v/>
      </c>
      <c r="U14" s="8">
        <f>IF(F14&lt;5000,"Bajo",IF(F14&lt;15000,"Medio","Alto"))</f>
        <v/>
      </c>
    </row>
    <row r="15">
      <c r="A15" t="inlineStr">
        <is>
          <t>Farmacity</t>
        </is>
      </c>
      <c r="B15" t="n">
        <v>224345</v>
      </c>
      <c r="C15" t="n">
        <v>224345</v>
      </c>
      <c r="D15" t="inlineStr">
        <is>
          <t>Shampoo Garnier Fructis Hair Food Sandia x 300 ml</t>
        </is>
      </c>
      <c r="E15" t="inlineStr">
        <is>
          <t>Fructis</t>
        </is>
      </c>
      <c r="F15" t="n">
        <v>7273</v>
      </c>
      <c r="G15" t="n">
        <v>11190</v>
      </c>
      <c r="H15" t="b">
        <v>1</v>
      </c>
      <c r="I15" t="n">
        <v>300</v>
      </c>
      <c r="J15" t="n">
        <v>24.2433</v>
      </c>
      <c r="K15" t="inlineStr">
        <is>
          <t>&gt; Cuidado Capilar &gt; Shampoo Y Acondicionador &gt;</t>
        </is>
      </c>
      <c r="L15" t="inlineStr">
        <is>
          <t>shampoo</t>
        </is>
      </c>
      <c r="M15" t="inlineStr">
        <is>
          <t>estandar</t>
        </is>
      </c>
      <c r="N15" t="inlineStr">
        <is>
          <t>general</t>
        </is>
      </c>
      <c r="O15" t="inlineStr">
        <is>
          <t>https://www.farmacity.com/shampoo-garnier-fructis-hair-food-sandia-revitalizante-x-300-ml/p</t>
        </is>
      </c>
      <c r="P15">
        <f>TRIM(CLEAN(PROPER(D15)))</f>
        <v/>
      </c>
      <c r="Q15">
        <f>PROPER(TRIM(SUBSTITUTE(SUBSTITUTE(SUBSTITUTE(SUBSTITUTE(E15,"TRESEMME","Tresemme"),"HEAD &amp; SHOULDERS","Head &amp; Shoulders"),"ELVIVE","Elvive"),"FRUCTIS","Fructis")))</f>
        <v/>
      </c>
      <c r="R15">
        <f>COUNTIF($D$2:$D$10000,D15)&gt;1</f>
        <v/>
      </c>
      <c r="S15">
        <f>IF(H15=TRUE,"Disponible","No disponible")</f>
        <v/>
      </c>
      <c r="T15">
        <f>IF(AND(ISNUMBER(I15),I15&gt;0),ROUND(F15/I15,2),"Sin volumen")</f>
        <v/>
      </c>
      <c r="U15">
        <f>IF(F15&lt;5000,"Bajo",IF(F15&lt;15000,"Medio","Alto"))</f>
        <v/>
      </c>
    </row>
    <row r="16">
      <c r="A16" s="6" t="inlineStr">
        <is>
          <t>Farmacity</t>
        </is>
      </c>
      <c r="B16" s="6" t="n">
        <v>217209</v>
      </c>
      <c r="C16" s="6" t="n">
        <v>217209</v>
      </c>
      <c r="D16" s="6" t="inlineStr">
        <is>
          <t>Shampoo Garnier Fructis Hair Food Palta x 300 ml</t>
        </is>
      </c>
      <c r="E16" s="6" t="inlineStr">
        <is>
          <t>Fructis</t>
        </is>
      </c>
      <c r="F16" s="6" t="n">
        <v>7273</v>
      </c>
      <c r="G16" s="6" t="n">
        <v>11190</v>
      </c>
      <c r="H16" s="6" t="b">
        <v>1</v>
      </c>
      <c r="I16" s="6" t="n">
        <v>300</v>
      </c>
      <c r="J16" s="6" t="n">
        <v>24.2433</v>
      </c>
      <c r="K16" s="6" t="inlineStr">
        <is>
          <t>&gt; Cuidado Capilar &gt; Shampoo Y Acondicionador &gt;</t>
        </is>
      </c>
      <c r="L16" s="6" t="inlineStr">
        <is>
          <t>shampoo</t>
        </is>
      </c>
      <c r="M16" s="6" t="inlineStr">
        <is>
          <t>estandar</t>
        </is>
      </c>
      <c r="N16" s="6" t="inlineStr">
        <is>
          <t>general</t>
        </is>
      </c>
      <c r="O16" s="6" t="inlineStr">
        <is>
          <t>https://www.farmacity.com/shampoo-fructis-hair-food-aguacate-x-300-ml/p</t>
        </is>
      </c>
      <c r="P16" s="8">
        <f>TRIM(CLEAN(PROPER(D16)))</f>
        <v/>
      </c>
      <c r="Q16" s="8">
        <f>PROPER(TRIM(SUBSTITUTE(SUBSTITUTE(SUBSTITUTE(SUBSTITUTE(E16,"TRESEMME","Tresemme"),"HEAD &amp; SHOULDERS","Head &amp; Shoulders"),"ELVIVE","Elvive"),"FRUCTIS","Fructis")))</f>
        <v/>
      </c>
      <c r="R16" s="8">
        <f>COUNTIF($D$2:$D$10000,D16)&gt;1</f>
        <v/>
      </c>
      <c r="S16" s="8">
        <f>IF(H16=TRUE,"Disponible","No disponible")</f>
        <v/>
      </c>
      <c r="T16" s="8">
        <f>IF(AND(ISNUMBER(I16),I16&gt;0),ROUND(F16/I16,2),"Sin volumen")</f>
        <v/>
      </c>
      <c r="U16" s="8">
        <f>IF(F16&lt;5000,"Bajo",IF(F16&lt;15000,"Medio","Alto"))</f>
        <v/>
      </c>
    </row>
    <row r="17">
      <c r="A17" t="inlineStr">
        <is>
          <t>Farmacity</t>
        </is>
      </c>
      <c r="B17" t="n">
        <v>208133</v>
      </c>
      <c r="C17" t="n">
        <v>208133</v>
      </c>
      <c r="D17" t="inlineStr">
        <is>
          <t>Shampoo Elvive Dream Long x 400 ml</t>
        </is>
      </c>
      <c r="E17" t="inlineStr">
        <is>
          <t>Elvive</t>
        </is>
      </c>
      <c r="F17" t="n">
        <v>6714</v>
      </c>
      <c r="G17" t="n">
        <v>11190</v>
      </c>
      <c r="H17" t="b">
        <v>1</v>
      </c>
      <c r="I17" t="n">
        <v>400</v>
      </c>
      <c r="J17" t="n">
        <v>16.785</v>
      </c>
      <c r="K17" t="inlineStr">
        <is>
          <t>&gt; Cuidado Capilar &gt; Shampoo Y Acondicionador &gt;</t>
        </is>
      </c>
      <c r="L17" t="inlineStr">
        <is>
          <t>shampoo</t>
        </is>
      </c>
      <c r="M17" t="inlineStr">
        <is>
          <t>profesional</t>
        </is>
      </c>
      <c r="N17" t="inlineStr">
        <is>
          <t>general</t>
        </is>
      </c>
      <c r="O17" t="inlineStr">
        <is>
          <t>https://www.farmacity.com/shampoo-dream-long-elvive-loreal-paris-x-400-ml/p</t>
        </is>
      </c>
      <c r="P17">
        <f>TRIM(CLEAN(PROPER(D17)))</f>
        <v/>
      </c>
      <c r="Q17">
        <f>PROPER(TRIM(SUBSTITUTE(SUBSTITUTE(SUBSTITUTE(SUBSTITUTE(E17,"TRESEMME","Tresemme"),"HEAD &amp; SHOULDERS","Head &amp; Shoulders"),"ELVIVE","Elvive"),"FRUCTIS","Fructis")))</f>
        <v/>
      </c>
      <c r="R17">
        <f>COUNTIF($D$2:$D$10000,D17)&gt;1</f>
        <v/>
      </c>
      <c r="S17">
        <f>IF(H17=TRUE,"Disponible","No disponible")</f>
        <v/>
      </c>
      <c r="T17">
        <f>IF(AND(ISNUMBER(I17),I17&gt;0),ROUND(F17/I17,2),"Sin volumen")</f>
        <v/>
      </c>
      <c r="U17">
        <f>IF(F17&lt;5000,"Bajo",IF(F17&lt;15000,"Medio","Alto"))</f>
        <v/>
      </c>
    </row>
    <row r="18">
      <c r="A18" s="6" t="inlineStr">
        <is>
          <t>Farmacity</t>
        </is>
      </c>
      <c r="B18" s="6" t="n">
        <v>206051</v>
      </c>
      <c r="C18" s="6" t="n">
        <v>206051</v>
      </c>
      <c r="D18" s="6" t="inlineStr">
        <is>
          <t>Shampoo Head &amp; Shoulders Protección Caída x 375 ml</t>
        </is>
      </c>
      <c r="E18" s="6" t="inlineStr">
        <is>
          <t>Head and Shoulders</t>
        </is>
      </c>
      <c r="F18" s="6" t="n">
        <v>7895</v>
      </c>
      <c r="G18" s="6" t="n">
        <v>12146</v>
      </c>
      <c r="H18" s="6" t="b">
        <v>1</v>
      </c>
      <c r="I18" s="6" t="n">
        <v>375</v>
      </c>
      <c r="J18" s="6" t="n">
        <v>21.0533</v>
      </c>
      <c r="K18" s="6" t="inlineStr">
        <is>
          <t>&gt; Cuidado Capilar &gt; Shampoo Y Acondicionador &gt;</t>
        </is>
      </c>
      <c r="L18" s="6" t="inlineStr">
        <is>
          <t>shampoo</t>
        </is>
      </c>
      <c r="M18" s="6" t="inlineStr">
        <is>
          <t>estandar</t>
        </is>
      </c>
      <c r="N18" s="6" t="inlineStr">
        <is>
          <t>general</t>
        </is>
      </c>
      <c r="O18" s="6" t="inlineStr">
        <is>
          <t>https://www.farmacity.com/shampoo-head-shoulders-antifall-proteccion-caida-con-cafeina-375ml/p</t>
        </is>
      </c>
      <c r="P18" s="8">
        <f>TRIM(CLEAN(PROPER(D18)))</f>
        <v/>
      </c>
      <c r="Q18" s="8">
        <f>PROPER(TRIM(SUBSTITUTE(SUBSTITUTE(SUBSTITUTE(SUBSTITUTE(E18,"TRESEMME","Tresemme"),"HEAD &amp; SHOULDERS","Head &amp; Shoulders"),"ELVIVE","Elvive"),"FRUCTIS","Fructis")))</f>
        <v/>
      </c>
      <c r="R18" s="8">
        <f>COUNTIF($D$2:$D$10000,D18)&gt;1</f>
        <v/>
      </c>
      <c r="S18" s="8">
        <f>IF(H18=TRUE,"Disponible","No disponible")</f>
        <v/>
      </c>
      <c r="T18" s="8">
        <f>IF(AND(ISNUMBER(I18),I18&gt;0),ROUND(F18/I18,2),"Sin volumen")</f>
        <v/>
      </c>
      <c r="U18" s="8">
        <f>IF(F18&lt;5000,"Bajo",IF(F18&lt;15000,"Medio","Alto"))</f>
        <v/>
      </c>
    </row>
    <row r="19">
      <c r="A19" t="inlineStr">
        <is>
          <t>Farmacity</t>
        </is>
      </c>
      <c r="B19" t="n">
        <v>15033</v>
      </c>
      <c r="C19" t="n">
        <v>34404</v>
      </c>
      <c r="D19" t="inlineStr">
        <is>
          <t>Shampoo Aveno Hidratante y Emoliente x 250 ml</t>
        </is>
      </c>
      <c r="E19" t="inlineStr">
        <is>
          <t>Aveno</t>
        </is>
      </c>
      <c r="F19" t="n">
        <v>22407</v>
      </c>
      <c r="G19" t="n">
        <v>29876</v>
      </c>
      <c r="H19" t="b">
        <v>1</v>
      </c>
      <c r="I19" t="n">
        <v>250</v>
      </c>
      <c r="J19" t="n">
        <v>89.628</v>
      </c>
      <c r="K19" t="inlineStr">
        <is>
          <t>&gt; Cuidado Capilar &gt; Shampoo Y Acondicionador &gt;</t>
        </is>
      </c>
      <c r="L19" t="inlineStr">
        <is>
          <t>shampoo</t>
        </is>
      </c>
      <c r="M19" t="inlineStr">
        <is>
          <t>estandar</t>
        </is>
      </c>
      <c r="N19" t="inlineStr">
        <is>
          <t>seco_danado</t>
        </is>
      </c>
      <c r="O19" t="inlineStr">
        <is>
          <t>https://www.farmacity.com/shampoo-reactivo-hidratante-y-emoliente-x-250-ml/p</t>
        </is>
      </c>
      <c r="P19">
        <f>TRIM(CLEAN(PROPER(D19)))</f>
        <v/>
      </c>
      <c r="Q19">
        <f>PROPER(TRIM(SUBSTITUTE(SUBSTITUTE(SUBSTITUTE(SUBSTITUTE(E19,"TRESEMME","Tresemme"),"HEAD &amp; SHOULDERS","Head &amp; Shoulders"),"ELVIVE","Elvive"),"FRUCTIS","Fructis")))</f>
        <v/>
      </c>
      <c r="R19">
        <f>COUNTIF($D$2:$D$10000,D19)&gt;1</f>
        <v/>
      </c>
      <c r="S19">
        <f>IF(H19=TRUE,"Disponible","No disponible")</f>
        <v/>
      </c>
      <c r="T19">
        <f>IF(AND(ISNUMBER(I19),I19&gt;0),ROUND(F19/I19,2),"Sin volumen")</f>
        <v/>
      </c>
      <c r="U19">
        <f>IF(F19&lt;5000,"Bajo",IF(F19&lt;15000,"Medio","Alto"))</f>
        <v/>
      </c>
    </row>
    <row r="20">
      <c r="A20" s="6" t="inlineStr">
        <is>
          <t>Farmacity</t>
        </is>
      </c>
      <c r="B20" s="6" t="n">
        <v>1237</v>
      </c>
      <c r="C20" s="6" t="n">
        <v>17971</v>
      </c>
      <c r="D20" s="6" t="inlineStr">
        <is>
          <t>Shampoo Biferdil con Manzanilla x 400 ml</t>
        </is>
      </c>
      <c r="E20" s="6" t="inlineStr">
        <is>
          <t>Biferdil</t>
        </is>
      </c>
      <c r="F20" s="6" t="n">
        <v>11300</v>
      </c>
      <c r="G20" s="6" t="n">
        <v>11300</v>
      </c>
      <c r="H20" s="6" t="b">
        <v>1</v>
      </c>
      <c r="I20" s="6" t="n">
        <v>400</v>
      </c>
      <c r="J20" s="6" t="n">
        <v>28.25</v>
      </c>
      <c r="K20" s="6" t="inlineStr">
        <is>
          <t>&gt; Cuidado Capilar &gt; Shampoo Y Acondicionador &gt;</t>
        </is>
      </c>
      <c r="L20" s="6" t="inlineStr">
        <is>
          <t>shampoo</t>
        </is>
      </c>
      <c r="M20" s="6" t="inlineStr">
        <is>
          <t>estandar</t>
        </is>
      </c>
      <c r="N20" s="6" t="inlineStr">
        <is>
          <t>general</t>
        </is>
      </c>
      <c r="O20" s="6" t="inlineStr">
        <is>
          <t>https://www.farmacity.com/shampoo-realza-el-color-con-manzanilla-x-400-ml-17971/p</t>
        </is>
      </c>
      <c r="P20" s="8">
        <f>TRIM(CLEAN(PROPER(D20)))</f>
        <v/>
      </c>
      <c r="Q20" s="8">
        <f>PROPER(TRIM(SUBSTITUTE(SUBSTITUTE(SUBSTITUTE(SUBSTITUTE(E20,"TRESEMME","Tresemme"),"HEAD &amp; SHOULDERS","Head &amp; Shoulders"),"ELVIVE","Elvive"),"FRUCTIS","Fructis")))</f>
        <v/>
      </c>
      <c r="R20" s="8">
        <f>COUNTIF($D$2:$D$10000,D20)&gt;1</f>
        <v/>
      </c>
      <c r="S20" s="8">
        <f>IF(H20=TRUE,"Disponible","No disponible")</f>
        <v/>
      </c>
      <c r="T20" s="8">
        <f>IF(AND(ISNUMBER(I20),I20&gt;0),ROUND(F20/I20,2),"Sin volumen")</f>
        <v/>
      </c>
      <c r="U20" s="8">
        <f>IF(F20&lt;5000,"Bajo",IF(F20&lt;15000,"Medio","Alto"))</f>
        <v/>
      </c>
    </row>
    <row r="21">
      <c r="A21" t="inlineStr">
        <is>
          <t>Farmacity</t>
        </is>
      </c>
      <c r="B21" t="n">
        <v>249573</v>
      </c>
      <c r="C21" t="n">
        <v>249573</v>
      </c>
      <c r="D21" t="inlineStr">
        <is>
          <t>Shampoo Head &amp; Shoulders Romero Anti Caida x 180 ml</t>
        </is>
      </c>
      <c r="E21" t="inlineStr">
        <is>
          <t>Head and Shoulders</t>
        </is>
      </c>
      <c r="F21" t="n">
        <v>4701</v>
      </c>
      <c r="G21" t="n">
        <v>7233</v>
      </c>
      <c r="H21" t="b">
        <v>1</v>
      </c>
      <c r="I21" t="n">
        <v>180</v>
      </c>
      <c r="J21" t="n">
        <v>26.1167</v>
      </c>
      <c r="K21" t="inlineStr">
        <is>
          <t>&gt; Cuidado Capilar &gt; Shampoo Y Acondicionador &gt;</t>
        </is>
      </c>
      <c r="L21" t="inlineStr">
        <is>
          <t>shampoo</t>
        </is>
      </c>
      <c r="M21" t="inlineStr">
        <is>
          <t>estandar</t>
        </is>
      </c>
      <c r="N21" t="inlineStr">
        <is>
          <t>general</t>
        </is>
      </c>
      <c r="O21" t="inlineStr">
        <is>
          <t>https://www.farmacity.com/shampoo-head---shoulders-romero-anti-caida-x-180-ml/p</t>
        </is>
      </c>
      <c r="P21">
        <f>TRIM(CLEAN(PROPER(D21)))</f>
        <v/>
      </c>
      <c r="Q21">
        <f>PROPER(TRIM(SUBSTITUTE(SUBSTITUTE(SUBSTITUTE(SUBSTITUTE(E21,"TRESEMME","Tresemme"),"HEAD &amp; SHOULDERS","Head &amp; Shoulders"),"ELVIVE","Elvive"),"FRUCTIS","Fructis")))</f>
        <v/>
      </c>
      <c r="R21">
        <f>COUNTIF($D$2:$D$10000,D21)&gt;1</f>
        <v/>
      </c>
      <c r="S21">
        <f>IF(H21=TRUE,"Disponible","No disponible")</f>
        <v/>
      </c>
      <c r="T21">
        <f>IF(AND(ISNUMBER(I21),I21&gt;0),ROUND(F21/I21,2),"Sin volumen")</f>
        <v/>
      </c>
      <c r="U21">
        <f>IF(F21&lt;5000,"Bajo",IF(F21&lt;15000,"Medio","Alto"))</f>
        <v/>
      </c>
    </row>
    <row r="22">
      <c r="A22" s="6" t="inlineStr">
        <is>
          <t>Farmacity</t>
        </is>
      </c>
      <c r="B22" s="6" t="n">
        <v>244539</v>
      </c>
      <c r="C22" s="6" t="n">
        <v>244539</v>
      </c>
      <c r="D22" s="6" t="inlineStr">
        <is>
          <t>Shampoo Pantene Pro-V Miracles Colágeno Nutre &amp; Revitaliza x 510 ml</t>
        </is>
      </c>
      <c r="E22" s="6" t="inlineStr">
        <is>
          <t>Pantene</t>
        </is>
      </c>
      <c r="F22" s="6" t="n">
        <v>10285</v>
      </c>
      <c r="G22" s="6" t="n">
        <v>17142</v>
      </c>
      <c r="H22" s="6" t="b">
        <v>1</v>
      </c>
      <c r="I22" s="6" t="n">
        <v>510</v>
      </c>
      <c r="J22" s="6" t="n">
        <v>20.1667</v>
      </c>
      <c r="K22" s="6" t="inlineStr">
        <is>
          <t>&gt; Cuidado Capilar &gt; Shampoo Y Acondicionador &gt;</t>
        </is>
      </c>
      <c r="L22" s="6" t="inlineStr">
        <is>
          <t>shampoo</t>
        </is>
      </c>
      <c r="M22" s="6" t="inlineStr">
        <is>
          <t>profesional</t>
        </is>
      </c>
      <c r="N22" s="6" t="inlineStr">
        <is>
          <t>general</t>
        </is>
      </c>
      <c r="O22" s="6" t="inlineStr">
        <is>
          <t>https://www.farmacity.com/shampoo-pantene-colageno-x-510-ml/p</t>
        </is>
      </c>
      <c r="P22" s="8">
        <f>TRIM(CLEAN(PROPER(D22)))</f>
        <v/>
      </c>
      <c r="Q22" s="8">
        <f>PROPER(TRIM(SUBSTITUTE(SUBSTITUTE(SUBSTITUTE(SUBSTITUTE(E22,"TRESEMME","Tresemme"),"HEAD &amp; SHOULDERS","Head &amp; Shoulders"),"ELVIVE","Elvive"),"FRUCTIS","Fructis")))</f>
        <v/>
      </c>
      <c r="R22" s="8">
        <f>COUNTIF($D$2:$D$10000,D22)&gt;1</f>
        <v/>
      </c>
      <c r="S22" s="8">
        <f>IF(H22=TRUE,"Disponible","No disponible")</f>
        <v/>
      </c>
      <c r="T22" s="8">
        <f>IF(AND(ISNUMBER(I22),I22&gt;0),ROUND(F22/I22,2),"Sin volumen")</f>
        <v/>
      </c>
      <c r="U22" s="8">
        <f>IF(F22&lt;5000,"Bajo",IF(F22&lt;15000,"Medio","Alto"))</f>
        <v/>
      </c>
    </row>
    <row r="23">
      <c r="A23" t="inlineStr">
        <is>
          <t>Farmacity</t>
        </is>
      </c>
      <c r="B23" t="n">
        <v>235657</v>
      </c>
      <c r="C23" t="n">
        <v>235657</v>
      </c>
      <c r="D23" t="inlineStr">
        <is>
          <t>Shampoo Pantene Pro-V Miracles Detox Limpia - Purifica 750 ml</t>
        </is>
      </c>
      <c r="E23" t="inlineStr">
        <is>
          <t>Pantene</t>
        </is>
      </c>
      <c r="F23" t="n">
        <v>10040</v>
      </c>
      <c r="G23" t="n">
        <v>16733</v>
      </c>
      <c r="H23" t="b">
        <v>1</v>
      </c>
      <c r="I23" t="n">
        <v>750</v>
      </c>
      <c r="J23" t="n">
        <v>13.3867</v>
      </c>
      <c r="K23" t="inlineStr">
        <is>
          <t>&gt; Cuidado Capilar &gt; Shampoo Y Acondicionador &gt;</t>
        </is>
      </c>
      <c r="L23" t="inlineStr">
        <is>
          <t>shampoo</t>
        </is>
      </c>
      <c r="M23" t="inlineStr">
        <is>
          <t>profesional</t>
        </is>
      </c>
      <c r="N23" t="inlineStr">
        <is>
          <t>general</t>
        </is>
      </c>
      <c r="O23" t="inlineStr">
        <is>
          <t>https://www.farmacity.com/shampoo-pantene-pro-v-miracles-detox-x-750-ml/p</t>
        </is>
      </c>
      <c r="P23">
        <f>TRIM(CLEAN(PROPER(D23)))</f>
        <v/>
      </c>
      <c r="Q23">
        <f>PROPER(TRIM(SUBSTITUTE(SUBSTITUTE(SUBSTITUTE(SUBSTITUTE(E23,"TRESEMME","Tresemme"),"HEAD &amp; SHOULDERS","Head &amp; Shoulders"),"ELVIVE","Elvive"),"FRUCTIS","Fructis")))</f>
        <v/>
      </c>
      <c r="R23">
        <f>COUNTIF($D$2:$D$10000,D23)&gt;1</f>
        <v/>
      </c>
      <c r="S23">
        <f>IF(H23=TRUE,"Disponible","No disponible")</f>
        <v/>
      </c>
      <c r="T23">
        <f>IF(AND(ISNUMBER(I23),I23&gt;0),ROUND(F23/I23,2),"Sin volumen")</f>
        <v/>
      </c>
      <c r="U23">
        <f>IF(F23&lt;5000,"Bajo",IF(F23&lt;15000,"Medio","Alto"))</f>
        <v/>
      </c>
    </row>
    <row r="24">
      <c r="A24" s="6" t="inlineStr">
        <is>
          <t>Farmacity</t>
        </is>
      </c>
      <c r="B24" s="6" t="n">
        <v>230214</v>
      </c>
      <c r="C24" s="6" t="n">
        <v>230214</v>
      </c>
      <c r="D24" s="6" t="inlineStr">
        <is>
          <t>Shampoo Pantene Pro-V Miracles Colágeno Revitaliza 200 ml</t>
        </is>
      </c>
      <c r="E24" s="6" t="inlineStr">
        <is>
          <t>Pantene</t>
        </is>
      </c>
      <c r="F24" s="6" t="n">
        <v>3807</v>
      </c>
      <c r="G24" s="6" t="n">
        <v>6345</v>
      </c>
      <c r="H24" s="6" t="b">
        <v>1</v>
      </c>
      <c r="I24" s="6" t="n">
        <v>200</v>
      </c>
      <c r="J24" s="6" t="n">
        <v>19.035</v>
      </c>
      <c r="K24" s="6" t="inlineStr">
        <is>
          <t>&gt; Cuidado Capilar &gt; Shampoo Y Acondicionador &gt;</t>
        </is>
      </c>
      <c r="L24" s="6" t="inlineStr">
        <is>
          <t>shampoo</t>
        </is>
      </c>
      <c r="M24" s="6" t="inlineStr">
        <is>
          <t>profesional</t>
        </is>
      </c>
      <c r="N24" s="6" t="inlineStr">
        <is>
          <t>general</t>
        </is>
      </c>
      <c r="O24" s="6" t="inlineStr">
        <is>
          <t>https://www.farmacity.com/shampoo-pantene-nutritivo-pro-v-miracles-colageno-nutre-y-revitaliza-x-200-ml/p</t>
        </is>
      </c>
      <c r="P24" s="8">
        <f>TRIM(CLEAN(PROPER(D24)))</f>
        <v/>
      </c>
      <c r="Q24" s="8">
        <f>PROPER(TRIM(SUBSTITUTE(SUBSTITUTE(SUBSTITUTE(SUBSTITUTE(E24,"TRESEMME","Tresemme"),"HEAD &amp; SHOULDERS","Head &amp; Shoulders"),"ELVIVE","Elvive"),"FRUCTIS","Fructis")))</f>
        <v/>
      </c>
      <c r="R24" s="8">
        <f>COUNTIF($D$2:$D$10000,D24)&gt;1</f>
        <v/>
      </c>
      <c r="S24" s="8">
        <f>IF(H24=TRUE,"Disponible","No disponible")</f>
        <v/>
      </c>
      <c r="T24" s="8">
        <f>IF(AND(ISNUMBER(I24),I24&gt;0),ROUND(F24/I24,2),"Sin volumen")</f>
        <v/>
      </c>
      <c r="U24" s="8">
        <f>IF(F24&lt;5000,"Bajo",IF(F24&lt;15000,"Medio","Alto"))</f>
        <v/>
      </c>
    </row>
    <row r="25">
      <c r="A25" t="inlineStr">
        <is>
          <t>Farmacity</t>
        </is>
      </c>
      <c r="B25" t="n">
        <v>228551</v>
      </c>
      <c r="C25" t="n">
        <v>228551</v>
      </c>
      <c r="D25" t="inlineStr">
        <is>
          <t>Shampoo Biferdil P+T para la Seborrea y Caída x 300 ml</t>
        </is>
      </c>
      <c r="E25" t="inlineStr">
        <is>
          <t>Biferdil</t>
        </is>
      </c>
      <c r="F25" t="n">
        <v>10205</v>
      </c>
      <c r="G25" t="n">
        <v>15700</v>
      </c>
      <c r="H25" t="b">
        <v>1</v>
      </c>
      <c r="I25" t="n">
        <v>300</v>
      </c>
      <c r="J25" t="n">
        <v>34.0167</v>
      </c>
      <c r="K25" t="inlineStr">
        <is>
          <t>&gt; Cuidado Capilar &gt; Shampoo Y Acondicionador &gt;</t>
        </is>
      </c>
      <c r="L25" t="inlineStr">
        <is>
          <t>shampoo</t>
        </is>
      </c>
      <c r="M25" t="inlineStr">
        <is>
          <t>estandar</t>
        </is>
      </c>
      <c r="N25" t="inlineStr">
        <is>
          <t>general</t>
        </is>
      </c>
      <c r="O25" t="inlineStr">
        <is>
          <t>https://www.farmacity.com/shampoo-biferdil-pt-para-la-seborrea-y-caida-x-300-ml/p</t>
        </is>
      </c>
      <c r="P25">
        <f>TRIM(CLEAN(PROPER(D25)))</f>
        <v/>
      </c>
      <c r="Q25">
        <f>PROPER(TRIM(SUBSTITUTE(SUBSTITUTE(SUBSTITUTE(SUBSTITUTE(E25,"TRESEMME","Tresemme"),"HEAD &amp; SHOULDERS","Head &amp; Shoulders"),"ELVIVE","Elvive"),"FRUCTIS","Fructis")))</f>
        <v/>
      </c>
      <c r="R25">
        <f>COUNTIF($D$2:$D$10000,D25)&gt;1</f>
        <v/>
      </c>
      <c r="S25">
        <f>IF(H25=TRUE,"Disponible","No disponible")</f>
        <v/>
      </c>
      <c r="T25">
        <f>IF(AND(ISNUMBER(I25),I25&gt;0),ROUND(F25/I25,2),"Sin volumen")</f>
        <v/>
      </c>
      <c r="U25">
        <f>IF(F25&lt;5000,"Bajo",IF(F25&lt;15000,"Medio","Alto"))</f>
        <v/>
      </c>
    </row>
    <row r="26">
      <c r="A26" s="6" t="inlineStr">
        <is>
          <t>Farmacity</t>
        </is>
      </c>
      <c r="B26" s="6" t="n">
        <v>228280</v>
      </c>
      <c r="C26" s="6" t="n">
        <v>228280</v>
      </c>
      <c r="D26" s="6" t="inlineStr">
        <is>
          <t>Shampoo Triatop Clinical x 165 ml</t>
        </is>
      </c>
      <c r="E26" s="6" t="inlineStr">
        <is>
          <t>Triatop</t>
        </is>
      </c>
      <c r="F26" s="6" t="n">
        <v>14251</v>
      </c>
      <c r="G26" s="6" t="n">
        <v>14251</v>
      </c>
      <c r="H26" s="6" t="b">
        <v>1</v>
      </c>
      <c r="I26" s="6" t="n">
        <v>165</v>
      </c>
      <c r="J26" s="6" t="n">
        <v>86.36969999999999</v>
      </c>
      <c r="K26" s="6" t="inlineStr">
        <is>
          <t>&gt; Cuidado Capilar &gt; Shampoo Y Acondicionador &gt;</t>
        </is>
      </c>
      <c r="L26" s="6" t="inlineStr">
        <is>
          <t>shampoo</t>
        </is>
      </c>
      <c r="M26" s="6" t="inlineStr">
        <is>
          <t>estandar</t>
        </is>
      </c>
      <c r="N26" s="6" t="inlineStr">
        <is>
          <t>general</t>
        </is>
      </c>
      <c r="O26" s="6" t="inlineStr">
        <is>
          <t>https://www.farmacity.com/shampoo-triatop-clinical-x-165-ml/p</t>
        </is>
      </c>
      <c r="P26" s="8">
        <f>TRIM(CLEAN(PROPER(D26)))</f>
        <v/>
      </c>
      <c r="Q26" s="8">
        <f>PROPER(TRIM(SUBSTITUTE(SUBSTITUTE(SUBSTITUTE(SUBSTITUTE(E26,"TRESEMME","Tresemme"),"HEAD &amp; SHOULDERS","Head &amp; Shoulders"),"ELVIVE","Elvive"),"FRUCTIS","Fructis")))</f>
        <v/>
      </c>
      <c r="R26" s="8">
        <f>COUNTIF($D$2:$D$10000,D26)&gt;1</f>
        <v/>
      </c>
      <c r="S26" s="8">
        <f>IF(H26=TRUE,"Disponible","No disponible")</f>
        <v/>
      </c>
      <c r="T26" s="8">
        <f>IF(AND(ISNUMBER(I26),I26&gt;0),ROUND(F26/I26,2),"Sin volumen")</f>
        <v/>
      </c>
      <c r="U26" s="8">
        <f>IF(F26&lt;5000,"Bajo",IF(F26&lt;15000,"Medio","Alto"))</f>
        <v/>
      </c>
    </row>
    <row r="27">
      <c r="A27" t="inlineStr">
        <is>
          <t>Farmacity</t>
        </is>
      </c>
      <c r="B27" t="n">
        <v>225994</v>
      </c>
      <c r="C27" t="n">
        <v>225994</v>
      </c>
      <c r="D27" t="inlineStr">
        <is>
          <t>Shampoo Alta Moda Repair &amp; Defense x 300 ml</t>
        </is>
      </c>
      <c r="E27" t="inlineStr">
        <is>
          <t>Alta Moda</t>
        </is>
      </c>
      <c r="F27" t="n">
        <v>5692</v>
      </c>
      <c r="G27" t="n">
        <v>5692</v>
      </c>
      <c r="H27" t="b">
        <v>1</v>
      </c>
      <c r="I27" t="n">
        <v>300</v>
      </c>
      <c r="J27" t="n">
        <v>18.9733</v>
      </c>
      <c r="K27" t="inlineStr">
        <is>
          <t>&gt; Cuidado Capilar &gt; Shampoo Y Acondicionador &gt;</t>
        </is>
      </c>
      <c r="L27" t="inlineStr">
        <is>
          <t>shampoo</t>
        </is>
      </c>
      <c r="M27" t="inlineStr">
        <is>
          <t>profesional</t>
        </is>
      </c>
      <c r="N27" t="inlineStr">
        <is>
          <t>general</t>
        </is>
      </c>
      <c r="O27" t="inlineStr">
        <is>
          <t>https://www.farmacity.com/shampoo-alta-moda-e-repair-y-defense-x-300-ml/p</t>
        </is>
      </c>
      <c r="P27">
        <f>TRIM(CLEAN(PROPER(D27)))</f>
        <v/>
      </c>
      <c r="Q27">
        <f>PROPER(TRIM(SUBSTITUTE(SUBSTITUTE(SUBSTITUTE(SUBSTITUTE(E27,"TRESEMME","Tresemme"),"HEAD &amp; SHOULDERS","Head &amp; Shoulders"),"ELVIVE","Elvive"),"FRUCTIS","Fructis")))</f>
        <v/>
      </c>
      <c r="R27">
        <f>COUNTIF($D$2:$D$10000,D27)&gt;1</f>
        <v/>
      </c>
      <c r="S27">
        <f>IF(H27=TRUE,"Disponible","No disponible")</f>
        <v/>
      </c>
      <c r="T27">
        <f>IF(AND(ISNUMBER(I27),I27&gt;0),ROUND(F27/I27,2),"Sin volumen")</f>
        <v/>
      </c>
      <c r="U27">
        <f>IF(F27&lt;5000,"Bajo",IF(F27&lt;15000,"Medio","Alto"))</f>
        <v/>
      </c>
    </row>
    <row r="28">
      <c r="A28" s="6" t="inlineStr">
        <is>
          <t>Farmacity</t>
        </is>
      </c>
      <c r="B28" s="6" t="n">
        <v>217207</v>
      </c>
      <c r="C28" s="6" t="n">
        <v>217207</v>
      </c>
      <c r="D28" s="6" t="inlineStr">
        <is>
          <t>Shampoo Garnier Fructis Hair Food Coco x 300 ml</t>
        </is>
      </c>
      <c r="E28" s="6" t="inlineStr">
        <is>
          <t>Fructis</t>
        </is>
      </c>
      <c r="F28" s="6" t="n">
        <v>7273</v>
      </c>
      <c r="G28" s="6" t="n">
        <v>11190</v>
      </c>
      <c r="H28" s="6" t="b">
        <v>1</v>
      </c>
      <c r="I28" s="6" t="n">
        <v>300</v>
      </c>
      <c r="J28" s="6" t="n">
        <v>24.2433</v>
      </c>
      <c r="K28" s="6" t="inlineStr">
        <is>
          <t>&gt; Cuidado Capilar &gt; Shampoo Y Acondicionador &gt;</t>
        </is>
      </c>
      <c r="L28" s="6" t="inlineStr">
        <is>
          <t>shampoo</t>
        </is>
      </c>
      <c r="M28" s="6" t="inlineStr">
        <is>
          <t>estandar</t>
        </is>
      </c>
      <c r="N28" s="6" t="inlineStr">
        <is>
          <t>general</t>
        </is>
      </c>
      <c r="O28" s="6" t="inlineStr">
        <is>
          <t>https://www.farmacity.com/shampoo-fructis-hair-food-coco-x-300-ml/p</t>
        </is>
      </c>
      <c r="P28" s="8">
        <f>TRIM(CLEAN(PROPER(D28)))</f>
        <v/>
      </c>
      <c r="Q28" s="8">
        <f>PROPER(TRIM(SUBSTITUTE(SUBSTITUTE(SUBSTITUTE(SUBSTITUTE(E28,"TRESEMME","Tresemme"),"HEAD &amp; SHOULDERS","Head &amp; Shoulders"),"ELVIVE","Elvive"),"FRUCTIS","Fructis")))</f>
        <v/>
      </c>
      <c r="R28" s="8">
        <f>COUNTIF($D$2:$D$10000,D28)&gt;1</f>
        <v/>
      </c>
      <c r="S28" s="8">
        <f>IF(H28=TRUE,"Disponible","No disponible")</f>
        <v/>
      </c>
      <c r="T28" s="8">
        <f>IF(AND(ISNUMBER(I28),I28&gt;0),ROUND(F28/I28,2),"Sin volumen")</f>
        <v/>
      </c>
      <c r="U28" s="8">
        <f>IF(F28&lt;5000,"Bajo",IF(F28&lt;15000,"Medio","Alto"))</f>
        <v/>
      </c>
    </row>
    <row r="29">
      <c r="A29" t="inlineStr">
        <is>
          <t>Farmacity</t>
        </is>
      </c>
      <c r="B29" t="n">
        <v>215466</v>
      </c>
      <c r="C29" t="n">
        <v>215466</v>
      </c>
      <c r="D29" t="inlineStr">
        <is>
          <t>Shampoo Head &amp; Shoulders Aceite de Coco x 375 ml</t>
        </is>
      </c>
      <c r="E29" t="inlineStr">
        <is>
          <t>Head and Shoulders</t>
        </is>
      </c>
      <c r="F29" t="n">
        <v>7895</v>
      </c>
      <c r="G29" t="n">
        <v>12146</v>
      </c>
      <c r="H29" t="b">
        <v>1</v>
      </c>
      <c r="I29" t="n">
        <v>375</v>
      </c>
      <c r="J29" t="n">
        <v>21.0533</v>
      </c>
      <c r="K29" t="inlineStr">
        <is>
          <t>&gt; Cuidado Capilar &gt; Shampoo Y Acondicionador &gt;</t>
        </is>
      </c>
      <c r="L29" t="inlineStr">
        <is>
          <t>shampoo</t>
        </is>
      </c>
      <c r="M29" t="inlineStr">
        <is>
          <t>estandar</t>
        </is>
      </c>
      <c r="N29" t="inlineStr">
        <is>
          <t>general</t>
        </is>
      </c>
      <c r="O29" t="inlineStr">
        <is>
          <t>https://www.farmacity.com/shampoo-head-shouders-hidratacion-con-aceite-de-coco-x-375-ml/p</t>
        </is>
      </c>
      <c r="P29">
        <f>TRIM(CLEAN(PROPER(D29)))</f>
        <v/>
      </c>
      <c r="Q29">
        <f>PROPER(TRIM(SUBSTITUTE(SUBSTITUTE(SUBSTITUTE(SUBSTITUTE(E29,"TRESEMME","Tresemme"),"HEAD &amp; SHOULDERS","Head &amp; Shoulders"),"ELVIVE","Elvive"),"FRUCTIS","Fructis")))</f>
        <v/>
      </c>
      <c r="R29">
        <f>COUNTIF($D$2:$D$10000,D29)&gt;1</f>
        <v/>
      </c>
      <c r="S29">
        <f>IF(H29=TRUE,"Disponible","No disponible")</f>
        <v/>
      </c>
      <c r="T29">
        <f>IF(AND(ISNUMBER(I29),I29&gt;0),ROUND(F29/I29,2),"Sin volumen")</f>
        <v/>
      </c>
      <c r="U29">
        <f>IF(F29&lt;5000,"Bajo",IF(F29&lt;15000,"Medio","Alto"))</f>
        <v/>
      </c>
    </row>
    <row r="30">
      <c r="A30" s="6" t="inlineStr">
        <is>
          <t>Farmacity</t>
        </is>
      </c>
      <c r="B30" s="6" t="n">
        <v>204165</v>
      </c>
      <c r="C30" s="6" t="n">
        <v>200363</v>
      </c>
      <c r="D30" s="6" t="inlineStr">
        <is>
          <t>Shampoo Herbal Essences Hydrate Coconut Milk x 400 ml</t>
        </is>
      </c>
      <c r="E30" s="6" t="inlineStr">
        <is>
          <t>Herbal Essences</t>
        </is>
      </c>
      <c r="F30" s="6" t="n">
        <v>10574</v>
      </c>
      <c r="G30" s="6" t="n">
        <v>16267</v>
      </c>
      <c r="H30" s="6" t="b">
        <v>1</v>
      </c>
      <c r="I30" s="6" t="n">
        <v>400</v>
      </c>
      <c r="J30" s="6" t="n">
        <v>26.435</v>
      </c>
      <c r="K30" s="6" t="inlineStr">
        <is>
          <t>&gt; Cuidado Capilar &gt; Shampoo Y Acondicionador &gt;</t>
        </is>
      </c>
      <c r="L30" s="6" t="inlineStr">
        <is>
          <t>shampoo</t>
        </is>
      </c>
      <c r="M30" s="6" t="inlineStr">
        <is>
          <t>estandar</t>
        </is>
      </c>
      <c r="N30" s="6" t="inlineStr">
        <is>
          <t>general</t>
        </is>
      </c>
      <c r="O30" s="6" t="inlineStr">
        <is>
          <t>https://www.farmacity.com/shampoo-herbal-renew-coconut-milk-x-400ml/p</t>
        </is>
      </c>
      <c r="P30" s="8">
        <f>TRIM(CLEAN(PROPER(D30)))</f>
        <v/>
      </c>
      <c r="Q30" s="8">
        <f>PROPER(TRIM(SUBSTITUTE(SUBSTITUTE(SUBSTITUTE(SUBSTITUTE(E30,"TRESEMME","Tresemme"),"HEAD &amp; SHOULDERS","Head &amp; Shoulders"),"ELVIVE","Elvive"),"FRUCTIS","Fructis")))</f>
        <v/>
      </c>
      <c r="R30" s="8">
        <f>COUNTIF($D$2:$D$10000,D30)&gt;1</f>
        <v/>
      </c>
      <c r="S30" s="8">
        <f>IF(H30=TRUE,"Disponible","No disponible")</f>
        <v/>
      </c>
      <c r="T30" s="8">
        <f>IF(AND(ISNUMBER(I30),I30&gt;0),ROUND(F30/I30,2),"Sin volumen")</f>
        <v/>
      </c>
      <c r="U30" s="8">
        <f>IF(F30&lt;5000,"Bajo",IF(F30&lt;15000,"Medio","Alto"))</f>
        <v/>
      </c>
    </row>
    <row r="31">
      <c r="A31" t="inlineStr">
        <is>
          <t>Farmacity</t>
        </is>
      </c>
      <c r="B31" t="n">
        <v>4184</v>
      </c>
      <c r="C31" t="n">
        <v>138600</v>
      </c>
      <c r="D31" t="inlineStr">
        <is>
          <t>Shampoo Gel Anti-Caspa Eucerin DermoCapillaire para Dermatitis Seborreica x 250 ml</t>
        </is>
      </c>
      <c r="E31" t="inlineStr">
        <is>
          <t>Eucerin</t>
        </is>
      </c>
      <c r="F31" t="n">
        <v>36297</v>
      </c>
      <c r="G31" t="n">
        <v>45371</v>
      </c>
      <c r="H31" t="b">
        <v>1</v>
      </c>
      <c r="I31" t="n">
        <v>250</v>
      </c>
      <c r="J31" t="n">
        <v>145.188</v>
      </c>
      <c r="K31" t="inlineStr">
        <is>
          <t>&gt; Dermocosmética &gt; Pelo &gt; Shampoos y Acondicionadores &gt;</t>
        </is>
      </c>
      <c r="L31" t="inlineStr">
        <is>
          <t>shampoo</t>
        </is>
      </c>
      <c r="M31" t="inlineStr">
        <is>
          <t>estandar</t>
        </is>
      </c>
      <c r="N31" t="inlineStr">
        <is>
          <t>anticaspa</t>
        </is>
      </c>
      <c r="O31" t="inlineStr">
        <is>
          <t>https://www.farmacity.com/shampoo-anticaspa-dermo-capillaire-x-250/p</t>
        </is>
      </c>
      <c r="P31">
        <f>TRIM(CLEAN(PROPER(D31)))</f>
        <v/>
      </c>
      <c r="Q31">
        <f>PROPER(TRIM(SUBSTITUTE(SUBSTITUTE(SUBSTITUTE(SUBSTITUTE(E31,"TRESEMME","Tresemme"),"HEAD &amp; SHOULDERS","Head &amp; Shoulders"),"ELVIVE","Elvive"),"FRUCTIS","Fructis")))</f>
        <v/>
      </c>
      <c r="R31">
        <f>COUNTIF($D$2:$D$10000,D31)&gt;1</f>
        <v/>
      </c>
      <c r="S31">
        <f>IF(H31=TRUE,"Disponible","No disponible")</f>
        <v/>
      </c>
      <c r="T31">
        <f>IF(AND(ISNUMBER(I31),I31&gt;0),ROUND(F31/I31,2),"Sin volumen")</f>
        <v/>
      </c>
      <c r="U31">
        <f>IF(F31&lt;5000,"Bajo",IF(F31&lt;15000,"Medio","Alto"))</f>
        <v/>
      </c>
    </row>
    <row r="32">
      <c r="A32" s="6" t="inlineStr">
        <is>
          <t>Farmacity</t>
        </is>
      </c>
      <c r="B32" s="6" t="n">
        <v>250122</v>
      </c>
      <c r="C32" s="6" t="n">
        <v>250122</v>
      </c>
      <c r="D32" s="6" t="inlineStr">
        <is>
          <t>Shampoo Fructis Good Bye Daños Oil Control x 350 ml</t>
        </is>
      </c>
      <c r="E32" s="6" t="inlineStr">
        <is>
          <t>Fructis</t>
        </is>
      </c>
      <c r="F32" s="6" t="n">
        <v>7990</v>
      </c>
      <c r="G32" s="6" t="n">
        <v>7990</v>
      </c>
      <c r="H32" s="6" t="b">
        <v>1</v>
      </c>
      <c r="I32" s="6" t="n">
        <v>350</v>
      </c>
      <c r="J32" s="6" t="n">
        <v>22.8286</v>
      </c>
      <c r="K32" s="6" t="inlineStr">
        <is>
          <t>&gt; Cuidado Capilar &gt; Shampoo Y Acondicionador &gt;</t>
        </is>
      </c>
      <c r="L32" s="6" t="inlineStr">
        <is>
          <t>shampoo</t>
        </is>
      </c>
      <c r="M32" s="6" t="inlineStr">
        <is>
          <t>estandar</t>
        </is>
      </c>
      <c r="N32" s="6" t="inlineStr">
        <is>
          <t>general</t>
        </is>
      </c>
      <c r="O32" s="6" t="inlineStr">
        <is>
          <t>https://www.farmacity.com/shampoo-fructis-good-bye-danos-x-350-ml/p</t>
        </is>
      </c>
      <c r="P32" s="8">
        <f>TRIM(CLEAN(PROPER(D32)))</f>
        <v/>
      </c>
      <c r="Q32" s="8">
        <f>PROPER(TRIM(SUBSTITUTE(SUBSTITUTE(SUBSTITUTE(SUBSTITUTE(E32,"TRESEMME","Tresemme"),"HEAD &amp; SHOULDERS","Head &amp; Shoulders"),"ELVIVE","Elvive"),"FRUCTIS","Fructis")))</f>
        <v/>
      </c>
      <c r="R32" s="8">
        <f>COUNTIF($D$2:$D$10000,D32)&gt;1</f>
        <v/>
      </c>
      <c r="S32" s="8">
        <f>IF(H32=TRUE,"Disponible","No disponible")</f>
        <v/>
      </c>
      <c r="T32" s="8">
        <f>IF(AND(ISNUMBER(I32),I32&gt;0),ROUND(F32/I32,2),"Sin volumen")</f>
        <v/>
      </c>
      <c r="U32" s="8">
        <f>IF(F32&lt;5000,"Bajo",IF(F32&lt;15000,"Medio","Alto"))</f>
        <v/>
      </c>
    </row>
    <row r="33">
      <c r="A33" t="inlineStr">
        <is>
          <t>Farmacity</t>
        </is>
      </c>
      <c r="B33" t="n">
        <v>250121</v>
      </c>
      <c r="C33" t="n">
        <v>250121</v>
      </c>
      <c r="D33" t="inlineStr">
        <is>
          <t>Shampoo Fructis Good Bye Daños Oil Control x 200 ml</t>
        </is>
      </c>
      <c r="E33" t="inlineStr">
        <is>
          <t>Fructis</t>
        </is>
      </c>
      <c r="F33" t="n">
        <v>5490</v>
      </c>
      <c r="G33" t="n">
        <v>5490</v>
      </c>
      <c r="H33" t="b">
        <v>1</v>
      </c>
      <c r="I33" t="n">
        <v>200</v>
      </c>
      <c r="J33" t="n">
        <v>27.45</v>
      </c>
      <c r="K33" t="inlineStr">
        <is>
          <t>&gt; Cuidado Capilar &gt; Shampoo Y Acondicionador &gt;</t>
        </is>
      </c>
      <c r="L33" t="inlineStr">
        <is>
          <t>shampoo</t>
        </is>
      </c>
      <c r="M33" t="inlineStr">
        <is>
          <t>estandar</t>
        </is>
      </c>
      <c r="N33" t="inlineStr">
        <is>
          <t>general</t>
        </is>
      </c>
      <c r="O33" t="inlineStr">
        <is>
          <t>https://www.farmacity.com/shampoo-fructis-good-bye-danos-oil-control-x-200-ml/p</t>
        </is>
      </c>
      <c r="P33">
        <f>TRIM(CLEAN(PROPER(D33)))</f>
        <v/>
      </c>
      <c r="Q33">
        <f>PROPER(TRIM(SUBSTITUTE(SUBSTITUTE(SUBSTITUTE(SUBSTITUTE(E33,"TRESEMME","Tresemme"),"HEAD &amp; SHOULDERS","Head &amp; Shoulders"),"ELVIVE","Elvive"),"FRUCTIS","Fructis")))</f>
        <v/>
      </c>
      <c r="R33">
        <f>COUNTIF($D$2:$D$10000,D33)&gt;1</f>
        <v/>
      </c>
      <c r="S33">
        <f>IF(H33=TRUE,"Disponible","No disponible")</f>
        <v/>
      </c>
      <c r="T33">
        <f>IF(AND(ISNUMBER(I33),I33&gt;0),ROUND(F33/I33,2),"Sin volumen")</f>
        <v/>
      </c>
      <c r="U33">
        <f>IF(F33&lt;5000,"Bajo",IF(F33&lt;15000,"Medio","Alto"))</f>
        <v/>
      </c>
    </row>
    <row r="34">
      <c r="A34" s="6" t="inlineStr">
        <is>
          <t>Farmacity</t>
        </is>
      </c>
      <c r="B34" s="6" t="n">
        <v>248552</v>
      </c>
      <c r="C34" s="6" t="n">
        <v>248552</v>
      </c>
      <c r="D34" s="6" t="inlineStr">
        <is>
          <t>Shampoo Elvive Glycolic Cristal x 750 ml</t>
        </is>
      </c>
      <c r="E34" s="6" t="inlineStr">
        <is>
          <t>Elvive</t>
        </is>
      </c>
      <c r="F34" s="6" t="n">
        <v>19990</v>
      </c>
      <c r="G34" s="6" t="n">
        <v>19990</v>
      </c>
      <c r="H34" s="6" t="b">
        <v>1</v>
      </c>
      <c r="I34" s="6" t="n">
        <v>750</v>
      </c>
      <c r="J34" s="6" t="n">
        <v>26.6533</v>
      </c>
      <c r="K34" s="6" t="inlineStr">
        <is>
          <t>&gt; Cuidado Capilar &gt; Shampoo Y Acondicionador &gt;</t>
        </is>
      </c>
      <c r="L34" s="6" t="inlineStr">
        <is>
          <t>shampoo</t>
        </is>
      </c>
      <c r="M34" s="6" t="inlineStr">
        <is>
          <t>profesional</t>
        </is>
      </c>
      <c r="N34" s="6" t="inlineStr">
        <is>
          <t>general</t>
        </is>
      </c>
      <c r="O34" s="6" t="inlineStr">
        <is>
          <t>https://www.farmacity.com/shampoo-elvive-glycolic-cristal-x-750-ml/p</t>
        </is>
      </c>
      <c r="P34" s="8">
        <f>TRIM(CLEAN(PROPER(D34)))</f>
        <v/>
      </c>
      <c r="Q34" s="8">
        <f>PROPER(TRIM(SUBSTITUTE(SUBSTITUTE(SUBSTITUTE(SUBSTITUTE(E34,"TRESEMME","Tresemme"),"HEAD &amp; SHOULDERS","Head &amp; Shoulders"),"ELVIVE","Elvive"),"FRUCTIS","Fructis")))</f>
        <v/>
      </c>
      <c r="R34" s="8">
        <f>COUNTIF($D$2:$D$10000,D34)&gt;1</f>
        <v/>
      </c>
      <c r="S34" s="8">
        <f>IF(H34=TRUE,"Disponible","No disponible")</f>
        <v/>
      </c>
      <c r="T34" s="8">
        <f>IF(AND(ISNUMBER(I34),I34&gt;0),ROUND(F34/I34,2),"Sin volumen")</f>
        <v/>
      </c>
      <c r="U34" s="8">
        <f>IF(F34&lt;5000,"Bajo",IF(F34&lt;15000,"Medio","Alto"))</f>
        <v/>
      </c>
    </row>
    <row r="35">
      <c r="A35" t="inlineStr">
        <is>
          <t>Farmacity</t>
        </is>
      </c>
      <c r="B35" t="n">
        <v>248550</v>
      </c>
      <c r="C35" t="n">
        <v>248550</v>
      </c>
      <c r="D35" t="inlineStr">
        <is>
          <t>Shampoo Elvive Glycolic Cristal x 200 ml</t>
        </is>
      </c>
      <c r="E35" t="inlineStr">
        <is>
          <t>Elvive</t>
        </is>
      </c>
      <c r="F35" t="n">
        <v>4494</v>
      </c>
      <c r="G35" t="n">
        <v>7490</v>
      </c>
      <c r="H35" t="b">
        <v>1</v>
      </c>
      <c r="I35" t="n">
        <v>200</v>
      </c>
      <c r="J35" t="n">
        <v>22.47</v>
      </c>
      <c r="K35" t="inlineStr">
        <is>
          <t>&gt; Cuidado Capilar &gt; Shampoo Y Acondicionador &gt;</t>
        </is>
      </c>
      <c r="L35" t="inlineStr">
        <is>
          <t>shampoo</t>
        </is>
      </c>
      <c r="M35" t="inlineStr">
        <is>
          <t>profesional</t>
        </is>
      </c>
      <c r="N35" t="inlineStr">
        <is>
          <t>general</t>
        </is>
      </c>
      <c r="O35" t="inlineStr">
        <is>
          <t>https://www.farmacity.com/shampoo-elvive-glycolic-cristal-x-200-ml/p</t>
        </is>
      </c>
      <c r="P35">
        <f>TRIM(CLEAN(PROPER(D35)))</f>
        <v/>
      </c>
      <c r="Q35">
        <f>PROPER(TRIM(SUBSTITUTE(SUBSTITUTE(SUBSTITUTE(SUBSTITUTE(E35,"TRESEMME","Tresemme"),"HEAD &amp; SHOULDERS","Head &amp; Shoulders"),"ELVIVE","Elvive"),"FRUCTIS","Fructis")))</f>
        <v/>
      </c>
      <c r="R35">
        <f>COUNTIF($D$2:$D$10000,D35)&gt;1</f>
        <v/>
      </c>
      <c r="S35">
        <f>IF(H35=TRUE,"Disponible","No disponible")</f>
        <v/>
      </c>
      <c r="T35">
        <f>IF(AND(ISNUMBER(I35),I35&gt;0),ROUND(F35/I35,2),"Sin volumen")</f>
        <v/>
      </c>
      <c r="U35">
        <f>IF(F35&lt;5000,"Bajo",IF(F35&lt;15000,"Medio","Alto"))</f>
        <v/>
      </c>
    </row>
    <row r="36">
      <c r="A36" s="6" t="inlineStr">
        <is>
          <t>Farmacity</t>
        </is>
      </c>
      <c r="B36" s="6" t="n">
        <v>246051</v>
      </c>
      <c r="C36" s="6" t="n">
        <v>246051</v>
      </c>
      <c r="D36" s="6" t="inlineStr">
        <is>
          <t>Shampoo Vichy Dercos Energy Anticaída Repuesto x 400 ml</t>
        </is>
      </c>
      <c r="E36" s="6" t="inlineStr">
        <is>
          <t>Vichy</t>
        </is>
      </c>
      <c r="F36" s="6" t="n">
        <v>76668</v>
      </c>
      <c r="G36" s="6" t="n">
        <v>76668</v>
      </c>
      <c r="H36" s="6" t="b">
        <v>1</v>
      </c>
      <c r="I36" s="6" t="n">
        <v>400</v>
      </c>
      <c r="J36" s="6" t="n">
        <v>191.67</v>
      </c>
      <c r="K36" s="6" t="inlineStr">
        <is>
          <t>&gt; Dermocosmética &gt; Pelo &gt; Shampoos y Acondicionadores &gt;</t>
        </is>
      </c>
      <c r="L36" s="6" t="inlineStr">
        <is>
          <t>shampoo</t>
        </is>
      </c>
      <c r="M36" s="6" t="inlineStr">
        <is>
          <t>estandar</t>
        </is>
      </c>
      <c r="N36" s="6" t="inlineStr">
        <is>
          <t>general</t>
        </is>
      </c>
      <c r="O36" s="6" t="inlineStr">
        <is>
          <t>https://www.farmacity.com/shampoo-vichy-dercos-energy-anticaida-repuesto-x-400-ml/p</t>
        </is>
      </c>
      <c r="P36" s="8">
        <f>TRIM(CLEAN(PROPER(D36)))</f>
        <v/>
      </c>
      <c r="Q36" s="8">
        <f>PROPER(TRIM(SUBSTITUTE(SUBSTITUTE(SUBSTITUTE(SUBSTITUTE(E36,"TRESEMME","Tresemme"),"HEAD &amp; SHOULDERS","Head &amp; Shoulders"),"ELVIVE","Elvive"),"FRUCTIS","Fructis")))</f>
        <v/>
      </c>
      <c r="R36" s="8">
        <f>COUNTIF($D$2:$D$10000,D36)&gt;1</f>
        <v/>
      </c>
      <c r="S36" s="8">
        <f>IF(H36=TRUE,"Disponible","No disponible")</f>
        <v/>
      </c>
      <c r="T36" s="8">
        <f>IF(AND(ISNUMBER(I36),I36&gt;0),ROUND(F36/I36,2),"Sin volumen")</f>
        <v/>
      </c>
      <c r="U36" s="8">
        <f>IF(F36&lt;5000,"Bajo",IF(F36&lt;15000,"Medio","Alto"))</f>
        <v/>
      </c>
    </row>
    <row r="37">
      <c r="A37" t="inlineStr">
        <is>
          <t>Farmacity</t>
        </is>
      </c>
      <c r="B37" t="n">
        <v>246050</v>
      </c>
      <c r="C37" t="n">
        <v>246050</v>
      </c>
      <c r="D37" t="inlineStr">
        <is>
          <t>Shampoo Vichy Dercos Anticaspa Cabello Graso Repuesto x 390 ml Shampoo Vichy Dercos Anticaspa Repuesto x 390 ml</t>
        </is>
      </c>
      <c r="E37" t="inlineStr">
        <is>
          <t>Vichy</t>
        </is>
      </c>
      <c r="F37" t="n">
        <v>76668</v>
      </c>
      <c r="G37" t="n">
        <v>76668</v>
      </c>
      <c r="H37" t="b">
        <v>1</v>
      </c>
      <c r="I37" t="n">
        <v>390</v>
      </c>
      <c r="J37" t="n">
        <v>196.5846</v>
      </c>
      <c r="K37" t="inlineStr">
        <is>
          <t>&gt; Dermocosmética &gt; Pelo &gt; Shampoos y Acondicionadores &gt;</t>
        </is>
      </c>
      <c r="L37" t="inlineStr">
        <is>
          <t>shampoo</t>
        </is>
      </c>
      <c r="M37" t="inlineStr">
        <is>
          <t>estandar</t>
        </is>
      </c>
      <c r="N37" t="inlineStr">
        <is>
          <t>anticaspa</t>
        </is>
      </c>
      <c r="O37" t="inlineStr">
        <is>
          <t>https://www.farmacity.com/shampoo-vichy-dercos-anticaspa-cabello-graso-repuesto-x-390-ml/p</t>
        </is>
      </c>
      <c r="P37">
        <f>TRIM(CLEAN(PROPER(D37)))</f>
        <v/>
      </c>
      <c r="Q37">
        <f>PROPER(TRIM(SUBSTITUTE(SUBSTITUTE(SUBSTITUTE(SUBSTITUTE(E37,"TRESEMME","Tresemme"),"HEAD &amp; SHOULDERS","Head &amp; Shoulders"),"ELVIVE","Elvive"),"FRUCTIS","Fructis")))</f>
        <v/>
      </c>
      <c r="R37">
        <f>COUNTIF($D$2:$D$10000,D37)&gt;1</f>
        <v/>
      </c>
      <c r="S37">
        <f>IF(H37=TRUE,"Disponible","No disponible")</f>
        <v/>
      </c>
      <c r="T37">
        <f>IF(AND(ISNUMBER(I37),I37&gt;0),ROUND(F37/I37,2),"Sin volumen")</f>
        <v/>
      </c>
      <c r="U37">
        <f>IF(F37&lt;5000,"Bajo",IF(F37&lt;15000,"Medio","Alto"))</f>
        <v/>
      </c>
    </row>
    <row r="38">
      <c r="A38" s="6" t="inlineStr">
        <is>
          <t>Farmacity</t>
        </is>
      </c>
      <c r="B38" s="6" t="n">
        <v>244691</v>
      </c>
      <c r="C38" s="6" t="n">
        <v>244691</v>
      </c>
      <c r="D38" s="6" t="inlineStr">
        <is>
          <t>Shampoo Elvive Dream Liso x 200 ml</t>
        </is>
      </c>
      <c r="E38" s="6" t="inlineStr">
        <is>
          <t>Elvive</t>
        </is>
      </c>
      <c r="F38" s="6" t="n">
        <v>7490</v>
      </c>
      <c r="G38" s="6" t="n">
        <v>7490</v>
      </c>
      <c r="H38" s="6" t="b">
        <v>1</v>
      </c>
      <c r="I38" s="6" t="n">
        <v>200</v>
      </c>
      <c r="J38" s="6" t="n">
        <v>37.45</v>
      </c>
      <c r="K38" s="6" t="inlineStr">
        <is>
          <t>&gt; Cuidado Capilar &gt; Shampoo Y Acondicionador &gt;</t>
        </is>
      </c>
      <c r="L38" s="6" t="inlineStr">
        <is>
          <t>shampoo</t>
        </is>
      </c>
      <c r="M38" s="6" t="inlineStr">
        <is>
          <t>profesional</t>
        </is>
      </c>
      <c r="N38" s="6" t="inlineStr">
        <is>
          <t>general</t>
        </is>
      </c>
      <c r="O38" s="6" t="inlineStr">
        <is>
          <t>https://www.farmacity.com/shampoo-elvive-dream-liso-x-200-ml/p</t>
        </is>
      </c>
      <c r="P38" s="8">
        <f>TRIM(CLEAN(PROPER(D38)))</f>
        <v/>
      </c>
      <c r="Q38" s="8">
        <f>PROPER(TRIM(SUBSTITUTE(SUBSTITUTE(SUBSTITUTE(SUBSTITUTE(E38,"TRESEMME","Tresemme"),"HEAD &amp; SHOULDERS","Head &amp; Shoulders"),"ELVIVE","Elvive"),"FRUCTIS","Fructis")))</f>
        <v/>
      </c>
      <c r="R38" s="8">
        <f>COUNTIF($D$2:$D$10000,D38)&gt;1</f>
        <v/>
      </c>
      <c r="S38" s="8">
        <f>IF(H38=TRUE,"Disponible","No disponible")</f>
        <v/>
      </c>
      <c r="T38" s="8">
        <f>IF(AND(ISNUMBER(I38),I38&gt;0),ROUND(F38/I38,2),"Sin volumen")</f>
        <v/>
      </c>
      <c r="U38" s="8">
        <f>IF(F38&lt;5000,"Bajo",IF(F38&lt;15000,"Medio","Alto"))</f>
        <v/>
      </c>
    </row>
    <row r="39">
      <c r="A39" t="inlineStr">
        <is>
          <t>Farmacity</t>
        </is>
      </c>
      <c r="B39" t="n">
        <v>244036</v>
      </c>
      <c r="C39" t="n">
        <v>244036</v>
      </c>
      <c r="D39" t="inlineStr">
        <is>
          <t>Shampoo Tio Nacho Control Caspa x 415 ml</t>
        </is>
      </c>
      <c r="E39" t="inlineStr">
        <is>
          <t>Tío Nacho</t>
        </is>
      </c>
      <c r="F39" t="n">
        <v>11750</v>
      </c>
      <c r="G39" t="n">
        <v>11750</v>
      </c>
      <c r="H39" t="b">
        <v>1</v>
      </c>
      <c r="I39" t="n">
        <v>415</v>
      </c>
      <c r="J39" t="n">
        <v>28.3133</v>
      </c>
      <c r="K39" t="inlineStr">
        <is>
          <t>&gt; Cuidado Capilar &gt; Shampoo Y Acondicionador &gt;</t>
        </is>
      </c>
      <c r="L39" t="inlineStr">
        <is>
          <t>shampoo</t>
        </is>
      </c>
      <c r="M39" t="inlineStr">
        <is>
          <t>estandar</t>
        </is>
      </c>
      <c r="N39" t="inlineStr">
        <is>
          <t>anticaspa</t>
        </is>
      </c>
      <c r="O39" t="inlineStr">
        <is>
          <t>https://www.farmacity.com/shampoo-tio-nacho-control-caspa-x-415-ml/p</t>
        </is>
      </c>
      <c r="P39">
        <f>TRIM(CLEAN(PROPER(D39)))</f>
        <v/>
      </c>
      <c r="Q39">
        <f>PROPER(TRIM(SUBSTITUTE(SUBSTITUTE(SUBSTITUTE(SUBSTITUTE(E39,"TRESEMME","Tresemme"),"HEAD &amp; SHOULDERS","Head &amp; Shoulders"),"ELVIVE","Elvive"),"FRUCTIS","Fructis")))</f>
        <v/>
      </c>
      <c r="R39">
        <f>COUNTIF($D$2:$D$10000,D39)&gt;1</f>
        <v/>
      </c>
      <c r="S39">
        <f>IF(H39=TRUE,"Disponible","No disponible")</f>
        <v/>
      </c>
      <c r="T39">
        <f>IF(AND(ISNUMBER(I39),I39&gt;0),ROUND(F39/I39,2),"Sin volumen")</f>
        <v/>
      </c>
      <c r="U39">
        <f>IF(F39&lt;5000,"Bajo",IF(F39&lt;15000,"Medio","Alto"))</f>
        <v/>
      </c>
    </row>
    <row r="40">
      <c r="A40" s="6" t="inlineStr">
        <is>
          <t>Farmacity</t>
        </is>
      </c>
      <c r="B40" s="6" t="n">
        <v>241360</v>
      </c>
      <c r="C40" s="6" t="n">
        <v>241360</v>
      </c>
      <c r="D40" s="6" t="inlineStr">
        <is>
          <t>Shampoo Head &amp; Shoulders Anti Comezón x 180 ml</t>
        </is>
      </c>
      <c r="E40" s="6" t="inlineStr">
        <is>
          <t>Head and Shoulders</t>
        </is>
      </c>
      <c r="F40" s="6" t="n">
        <v>4701</v>
      </c>
      <c r="G40" s="6" t="n">
        <v>7233</v>
      </c>
      <c r="H40" s="6" t="b">
        <v>1</v>
      </c>
      <c r="I40" s="6" t="n">
        <v>180</v>
      </c>
      <c r="J40" s="6" t="n">
        <v>26.1167</v>
      </c>
      <c r="K40" s="6" t="inlineStr">
        <is>
          <t>&gt; Cuidado Capilar &gt; Shampoo Y Acondicionador &gt;</t>
        </is>
      </c>
      <c r="L40" s="6" t="inlineStr">
        <is>
          <t>shampoo</t>
        </is>
      </c>
      <c r="M40" s="6" t="inlineStr">
        <is>
          <t>estandar</t>
        </is>
      </c>
      <c r="N40" s="6" t="inlineStr">
        <is>
          <t>general</t>
        </is>
      </c>
      <c r="O40" s="6" t="inlineStr">
        <is>
          <t>https://www.farmacity.com/shampoo-head-shoulders-anti-comezon-x-180-ml/p</t>
        </is>
      </c>
      <c r="P40" s="8">
        <f>TRIM(CLEAN(PROPER(D40)))</f>
        <v/>
      </c>
      <c r="Q40" s="8">
        <f>PROPER(TRIM(SUBSTITUTE(SUBSTITUTE(SUBSTITUTE(SUBSTITUTE(E40,"TRESEMME","Tresemme"),"HEAD &amp; SHOULDERS","Head &amp; Shoulders"),"ELVIVE","Elvive"),"FRUCTIS","Fructis")))</f>
        <v/>
      </c>
      <c r="R40" s="8">
        <f>COUNTIF($D$2:$D$10000,D40)&gt;1</f>
        <v/>
      </c>
      <c r="S40" s="8">
        <f>IF(H40=TRUE,"Disponible","No disponible")</f>
        <v/>
      </c>
      <c r="T40" s="8">
        <f>IF(AND(ISNUMBER(I40),I40&gt;0),ROUND(F40/I40,2),"Sin volumen")</f>
        <v/>
      </c>
      <c r="U40" s="8">
        <f>IF(F40&lt;5000,"Bajo",IF(F40&lt;15000,"Medio","Alto"))</f>
        <v/>
      </c>
    </row>
    <row r="41">
      <c r="A41" t="inlineStr">
        <is>
          <t>Farmacity</t>
        </is>
      </c>
      <c r="B41" t="n">
        <v>241016</v>
      </c>
      <c r="C41" t="n">
        <v>241016</v>
      </c>
      <c r="D41" t="inlineStr">
        <is>
          <t>Shampoo Cabello Claro Baby Dove Humectación pH Neutro x 200 ml</t>
        </is>
      </c>
      <c r="E41" t="inlineStr">
        <is>
          <t>Dove</t>
        </is>
      </c>
      <c r="F41" t="n">
        <v>7011</v>
      </c>
      <c r="G41" t="n">
        <v>7011</v>
      </c>
      <c r="H41" t="b">
        <v>1</v>
      </c>
      <c r="I41" t="n">
        <v>200</v>
      </c>
      <c r="J41" t="n">
        <v>35.055</v>
      </c>
      <c r="K41" t="inlineStr">
        <is>
          <t>&gt; Bebés &gt; Higiene del Bebé &gt; Baño Del Bebé &gt;</t>
        </is>
      </c>
      <c r="L41" t="inlineStr">
        <is>
          <t>shampoo</t>
        </is>
      </c>
      <c r="M41" t="inlineStr">
        <is>
          <t>estandar</t>
        </is>
      </c>
      <c r="N41" t="inlineStr">
        <is>
          <t>general</t>
        </is>
      </c>
      <c r="O41" t="inlineStr">
        <is>
          <t>https://www.farmacity.com/shampoo-dove-baby-cabello-claro-x-200-ml/p</t>
        </is>
      </c>
      <c r="P41">
        <f>TRIM(CLEAN(PROPER(D41)))</f>
        <v/>
      </c>
      <c r="Q41">
        <f>PROPER(TRIM(SUBSTITUTE(SUBSTITUTE(SUBSTITUTE(SUBSTITUTE(E41,"TRESEMME","Tresemme"),"HEAD &amp; SHOULDERS","Head &amp; Shoulders"),"ELVIVE","Elvive"),"FRUCTIS","Fructis")))</f>
        <v/>
      </c>
      <c r="R41">
        <f>COUNTIF($D$2:$D$10000,D41)&gt;1</f>
        <v/>
      </c>
      <c r="S41">
        <f>IF(H41=TRUE,"Disponible","No disponible")</f>
        <v/>
      </c>
      <c r="T41">
        <f>IF(AND(ISNUMBER(I41),I41&gt;0),ROUND(F41/I41,2),"Sin volumen")</f>
        <v/>
      </c>
      <c r="U41">
        <f>IF(F41&lt;5000,"Bajo",IF(F41&lt;15000,"Medio","Alto"))</f>
        <v/>
      </c>
    </row>
    <row r="42">
      <c r="A42" s="6" t="inlineStr">
        <is>
          <t>Farmacity</t>
        </is>
      </c>
      <c r="B42" s="6" t="n">
        <v>239942</v>
      </c>
      <c r="C42" s="6" t="n">
        <v>239942</v>
      </c>
      <c r="D42" s="6" t="inlineStr">
        <is>
          <t>Shampoo Pantene Keratina x 200 ml</t>
        </is>
      </c>
      <c r="E42" s="6" t="inlineStr">
        <is>
          <t>Pantene</t>
        </is>
      </c>
      <c r="F42" s="6" t="n">
        <v>3807</v>
      </c>
      <c r="G42" s="6" t="n">
        <v>6345</v>
      </c>
      <c r="H42" s="6" t="b">
        <v>1</v>
      </c>
      <c r="I42" s="6" t="n">
        <v>200</v>
      </c>
      <c r="J42" s="6" t="n">
        <v>19.035</v>
      </c>
      <c r="K42" s="6" t="inlineStr">
        <is>
          <t>&gt; Cuidado Capilar &gt; Shampoo Y Acondicionador &gt;</t>
        </is>
      </c>
      <c r="L42" s="6" t="inlineStr">
        <is>
          <t>shampoo</t>
        </is>
      </c>
      <c r="M42" s="6" t="inlineStr">
        <is>
          <t>estandar</t>
        </is>
      </c>
      <c r="N42" s="6" t="inlineStr">
        <is>
          <t>tratado</t>
        </is>
      </c>
      <c r="O42" s="6" t="inlineStr">
        <is>
          <t>https://www.farmacity.com/shampoo-pantene-keratina-x-200-ml/p</t>
        </is>
      </c>
      <c r="P42" s="8">
        <f>TRIM(CLEAN(PROPER(D42)))</f>
        <v/>
      </c>
      <c r="Q42" s="8">
        <f>PROPER(TRIM(SUBSTITUTE(SUBSTITUTE(SUBSTITUTE(SUBSTITUTE(E42,"TRESEMME","Tresemme"),"HEAD &amp; SHOULDERS","Head &amp; Shoulders"),"ELVIVE","Elvive"),"FRUCTIS","Fructis")))</f>
        <v/>
      </c>
      <c r="R42" s="8">
        <f>COUNTIF($D$2:$D$10000,D42)&gt;1</f>
        <v/>
      </c>
      <c r="S42" s="8">
        <f>IF(H42=TRUE,"Disponible","No disponible")</f>
        <v/>
      </c>
      <c r="T42" s="8">
        <f>IF(AND(ISNUMBER(I42),I42&gt;0),ROUND(F42/I42,2),"Sin volumen")</f>
        <v/>
      </c>
      <c r="U42" s="8">
        <f>IF(F42&lt;5000,"Bajo",IF(F42&lt;15000,"Medio","Alto"))</f>
        <v/>
      </c>
    </row>
    <row r="43">
      <c r="A43" t="inlineStr">
        <is>
          <t>Farmacity</t>
        </is>
      </c>
      <c r="B43" t="n">
        <v>228549</v>
      </c>
      <c r="C43" t="n">
        <v>228549</v>
      </c>
      <c r="D43" t="inlineStr">
        <is>
          <t>Shampoo Biferdil P+T para la Caspa y Caída x 300 ml</t>
        </is>
      </c>
      <c r="E43" t="inlineStr">
        <is>
          <t>Biferdil</t>
        </is>
      </c>
      <c r="F43" t="n">
        <v>12805</v>
      </c>
      <c r="G43" t="n">
        <v>19700</v>
      </c>
      <c r="H43" t="b">
        <v>1</v>
      </c>
      <c r="I43" t="n">
        <v>300</v>
      </c>
      <c r="J43" t="n">
        <v>42.6833</v>
      </c>
      <c r="K43" t="inlineStr">
        <is>
          <t>&gt; Cuidado Capilar &gt; Shampoo Y Acondicionador &gt;</t>
        </is>
      </c>
      <c r="L43" t="inlineStr">
        <is>
          <t>shampoo</t>
        </is>
      </c>
      <c r="M43" t="inlineStr">
        <is>
          <t>estandar</t>
        </is>
      </c>
      <c r="N43" t="inlineStr">
        <is>
          <t>anticaspa</t>
        </is>
      </c>
      <c r="O43" t="inlineStr">
        <is>
          <t>https://www.farmacity.com/shampoo-biferdil-pt-para-la-caspa-y-caida-x-300-ml/p</t>
        </is>
      </c>
      <c r="P43">
        <f>TRIM(CLEAN(PROPER(D43)))</f>
        <v/>
      </c>
      <c r="Q43">
        <f>PROPER(TRIM(SUBSTITUTE(SUBSTITUTE(SUBSTITUTE(SUBSTITUTE(E43,"TRESEMME","Tresemme"),"HEAD &amp; SHOULDERS","Head &amp; Shoulders"),"ELVIVE","Elvive"),"FRUCTIS","Fructis")))</f>
        <v/>
      </c>
      <c r="R43">
        <f>COUNTIF($D$2:$D$10000,D43)&gt;1</f>
        <v/>
      </c>
      <c r="S43">
        <f>IF(H43=TRUE,"Disponible","No disponible")</f>
        <v/>
      </c>
      <c r="T43">
        <f>IF(AND(ISNUMBER(I43),I43&gt;0),ROUND(F43/I43,2),"Sin volumen")</f>
        <v/>
      </c>
      <c r="U43">
        <f>IF(F43&lt;5000,"Bajo",IF(F43&lt;15000,"Medio","Alto"))</f>
        <v/>
      </c>
    </row>
    <row r="44">
      <c r="A44" s="6" t="inlineStr">
        <is>
          <t>Farmacity</t>
        </is>
      </c>
      <c r="B44" s="6" t="n">
        <v>221680</v>
      </c>
      <c r="C44" s="6" t="n">
        <v>221680</v>
      </c>
      <c r="D44" s="6" t="inlineStr">
        <is>
          <t>Shampoo Elvive Hidra Hialuronico x 750 ml</t>
        </is>
      </c>
      <c r="E44" s="6" t="inlineStr">
        <is>
          <t>Elvive</t>
        </is>
      </c>
      <c r="F44" s="6" t="n">
        <v>17990</v>
      </c>
      <c r="G44" s="6" t="n">
        <v>17990</v>
      </c>
      <c r="H44" s="6" t="b">
        <v>1</v>
      </c>
      <c r="I44" s="6" t="n">
        <v>750</v>
      </c>
      <c r="J44" s="6" t="n">
        <v>23.9867</v>
      </c>
      <c r="K44" s="6" t="inlineStr">
        <is>
          <t>&gt; Cuidado Capilar &gt; Shampoo Y Acondicionador &gt;</t>
        </is>
      </c>
      <c r="L44" s="6" t="inlineStr">
        <is>
          <t>shampoo</t>
        </is>
      </c>
      <c r="M44" s="6" t="inlineStr">
        <is>
          <t>profesional</t>
        </is>
      </c>
      <c r="N44" s="6" t="inlineStr">
        <is>
          <t>general</t>
        </is>
      </c>
      <c r="O44" s="6" t="inlineStr">
        <is>
          <t>https://www.farmacity.com/shampoo-elvive-hidra-hialuronico-x-750-ml/p</t>
        </is>
      </c>
      <c r="P44" s="8">
        <f>TRIM(CLEAN(PROPER(D44)))</f>
        <v/>
      </c>
      <c r="Q44" s="8">
        <f>PROPER(TRIM(SUBSTITUTE(SUBSTITUTE(SUBSTITUTE(SUBSTITUTE(E44,"TRESEMME","Tresemme"),"HEAD &amp; SHOULDERS","Head &amp; Shoulders"),"ELVIVE","Elvive"),"FRUCTIS","Fructis")))</f>
        <v/>
      </c>
      <c r="R44" s="8">
        <f>COUNTIF($D$2:$D$10000,D44)&gt;1</f>
        <v/>
      </c>
      <c r="S44" s="8">
        <f>IF(H44=TRUE,"Disponible","No disponible")</f>
        <v/>
      </c>
      <c r="T44" s="8">
        <f>IF(AND(ISNUMBER(I44),I44&gt;0),ROUND(F44/I44,2),"Sin volumen")</f>
        <v/>
      </c>
      <c r="U44" s="8">
        <f>IF(F44&lt;5000,"Bajo",IF(F44&lt;15000,"Medio","Alto"))</f>
        <v/>
      </c>
    </row>
    <row r="45">
      <c r="A45" t="inlineStr">
        <is>
          <t>Farmacity</t>
        </is>
      </c>
      <c r="B45" t="n">
        <v>7713</v>
      </c>
      <c r="C45" t="n">
        <v>151684</v>
      </c>
      <c r="D45" t="inlineStr">
        <is>
          <t>Shampoo Vichy Dercos Anti-Caspa para Cabello Seco x 200 ml</t>
        </is>
      </c>
      <c r="E45" t="inlineStr">
        <is>
          <t>Vichy</t>
        </is>
      </c>
      <c r="F45" t="n">
        <v>53488</v>
      </c>
      <c r="G45" t="n">
        <v>53488</v>
      </c>
      <c r="H45" t="b">
        <v>1</v>
      </c>
      <c r="I45" t="n">
        <v>200</v>
      </c>
      <c r="J45" t="n">
        <v>267.44</v>
      </c>
      <c r="K45" t="inlineStr">
        <is>
          <t>&gt; Dermocosmética &gt; Pelo &gt; Shampoos y Acondicionadores &gt;</t>
        </is>
      </c>
      <c r="L45" t="inlineStr">
        <is>
          <t>shampoo</t>
        </is>
      </c>
      <c r="M45" t="inlineStr">
        <is>
          <t>estandar</t>
        </is>
      </c>
      <c r="N45" t="inlineStr">
        <is>
          <t>anticaspa</t>
        </is>
      </c>
      <c r="O45" t="inlineStr">
        <is>
          <t>https://www.farmacity.com/shampoo-anticaspa-para-cabello-seco-dercos-x-200-ml/p</t>
        </is>
      </c>
      <c r="P45">
        <f>TRIM(CLEAN(PROPER(D45)))</f>
        <v/>
      </c>
      <c r="Q45">
        <f>PROPER(TRIM(SUBSTITUTE(SUBSTITUTE(SUBSTITUTE(SUBSTITUTE(E45,"TRESEMME","Tresemme"),"HEAD &amp; SHOULDERS","Head &amp; Shoulders"),"ELVIVE","Elvive"),"FRUCTIS","Fructis")))</f>
        <v/>
      </c>
      <c r="R45">
        <f>COUNTIF($D$2:$D$10000,D45)&gt;1</f>
        <v/>
      </c>
      <c r="S45">
        <f>IF(H45=TRUE,"Disponible","No disponible")</f>
        <v/>
      </c>
      <c r="T45">
        <f>IF(AND(ISNUMBER(I45),I45&gt;0),ROUND(F45/I45,2),"Sin volumen")</f>
        <v/>
      </c>
      <c r="U45">
        <f>IF(F45&lt;5000,"Bajo",IF(F45&lt;15000,"Medio","Alto"))</f>
        <v/>
      </c>
    </row>
    <row r="46">
      <c r="A46" s="6" t="inlineStr">
        <is>
          <t>Farmacity</t>
        </is>
      </c>
      <c r="B46" s="6" t="n">
        <v>4060</v>
      </c>
      <c r="C46" s="6" t="n">
        <v>138760</v>
      </c>
      <c r="D46" s="6" t="inlineStr">
        <is>
          <t>Shampoo 2 en 1 Anticaspa Clear Limpieza Diaria x 400 ml</t>
        </is>
      </c>
      <c r="E46" s="6" t="inlineStr">
        <is>
          <t>Clear</t>
        </is>
      </c>
      <c r="F46" s="6" t="n">
        <v>10412</v>
      </c>
      <c r="G46" s="6" t="n">
        <v>10412</v>
      </c>
      <c r="H46" s="6" t="b">
        <v>1</v>
      </c>
      <c r="I46" s="6" t="n">
        <v>400</v>
      </c>
      <c r="J46" s="6" t="n">
        <v>26.03</v>
      </c>
      <c r="K46" s="6" t="inlineStr">
        <is>
          <t>&gt; Cuidado Capilar &gt; Shampoo Y Acondicionador &gt;</t>
        </is>
      </c>
      <c r="L46" s="6" t="inlineStr">
        <is>
          <t>shampoo</t>
        </is>
      </c>
      <c r="M46" s="6" t="inlineStr">
        <is>
          <t>estandar</t>
        </is>
      </c>
      <c r="N46" s="6" t="inlineStr">
        <is>
          <t>anticaspa</t>
        </is>
      </c>
      <c r="O46" s="6" t="inlineStr">
        <is>
          <t>https://www.farmacity.com/shampoo-clear-anticaspa-dual-effect-x-400-ml/p</t>
        </is>
      </c>
      <c r="P46" s="8">
        <f>TRIM(CLEAN(PROPER(D46)))</f>
        <v/>
      </c>
      <c r="Q46" s="8">
        <f>PROPER(TRIM(SUBSTITUTE(SUBSTITUTE(SUBSTITUTE(SUBSTITUTE(E46,"TRESEMME","Tresemme"),"HEAD &amp; SHOULDERS","Head &amp; Shoulders"),"ELVIVE","Elvive"),"FRUCTIS","Fructis")))</f>
        <v/>
      </c>
      <c r="R46" s="8">
        <f>COUNTIF($D$2:$D$10000,D46)&gt;1</f>
        <v/>
      </c>
      <c r="S46" s="8">
        <f>IF(H46=TRUE,"Disponible","No disponible")</f>
        <v/>
      </c>
      <c r="T46" s="8">
        <f>IF(AND(ISNUMBER(I46),I46&gt;0),ROUND(F46/I46,2),"Sin volumen")</f>
        <v/>
      </c>
      <c r="U46" s="8">
        <f>IF(F46&lt;5000,"Bajo",IF(F46&lt;15000,"Medio","Alto"))</f>
        <v/>
      </c>
    </row>
    <row r="47">
      <c r="A47" t="inlineStr">
        <is>
          <t>Farmacity</t>
        </is>
      </c>
      <c r="B47" t="n">
        <v>1282</v>
      </c>
      <c r="C47" t="n">
        <v>17972</v>
      </c>
      <c r="D47" t="inlineStr">
        <is>
          <t>Shampoo Biferdil pH Neutro con Algas Marinas x 400 ml</t>
        </is>
      </c>
      <c r="E47" t="inlineStr">
        <is>
          <t>Biferdil</t>
        </is>
      </c>
      <c r="F47" t="n">
        <v>12204</v>
      </c>
      <c r="G47" t="n">
        <v>12204</v>
      </c>
      <c r="H47" t="b">
        <v>1</v>
      </c>
      <c r="I47" t="n">
        <v>400</v>
      </c>
      <c r="J47" t="n">
        <v>30.51</v>
      </c>
      <c r="K47" t="inlineStr">
        <is>
          <t>&gt; Cuidado Capilar &gt; Shampoo Y Acondicionador &gt;</t>
        </is>
      </c>
      <c r="L47" t="inlineStr">
        <is>
          <t>shampoo</t>
        </is>
      </c>
      <c r="M47" t="inlineStr">
        <is>
          <t>estandar</t>
        </is>
      </c>
      <c r="N47" t="inlineStr">
        <is>
          <t>general</t>
        </is>
      </c>
      <c r="O47" t="inlineStr">
        <is>
          <t>https://www.farmacity.com/shampoo-ph-neutro-con-algas-marinas-x-400-ml/p</t>
        </is>
      </c>
      <c r="P47">
        <f>TRIM(CLEAN(PROPER(D47)))</f>
        <v/>
      </c>
      <c r="Q47">
        <f>PROPER(TRIM(SUBSTITUTE(SUBSTITUTE(SUBSTITUTE(SUBSTITUTE(E47,"TRESEMME","Tresemme"),"HEAD &amp; SHOULDERS","Head &amp; Shoulders"),"ELVIVE","Elvive"),"FRUCTIS","Fructis")))</f>
        <v/>
      </c>
      <c r="R47">
        <f>COUNTIF($D$2:$D$10000,D47)&gt;1</f>
        <v/>
      </c>
      <c r="S47">
        <f>IF(H47=TRUE,"Disponible","No disponible")</f>
        <v/>
      </c>
      <c r="T47">
        <f>IF(AND(ISNUMBER(I47),I47&gt;0),ROUND(F47/I47,2),"Sin volumen")</f>
        <v/>
      </c>
      <c r="U47">
        <f>IF(F47&lt;5000,"Bajo",IF(F47&lt;15000,"Medio","Alto"))</f>
        <v/>
      </c>
    </row>
    <row r="48">
      <c r="A48" s="6" t="inlineStr">
        <is>
          <t>Farmacity</t>
        </is>
      </c>
      <c r="B48" s="6" t="n">
        <v>1216</v>
      </c>
      <c r="C48" s="6" t="n">
        <v>136328</v>
      </c>
      <c r="D48" s="6" t="inlineStr">
        <is>
          <t>Shampoo Vichy Dercos Anticaspa Sensible x 200 ml</t>
        </is>
      </c>
      <c r="E48" s="6" t="inlineStr">
        <is>
          <t>Vichy</t>
        </is>
      </c>
      <c r="F48" s="6" t="n">
        <v>53488</v>
      </c>
      <c r="G48" s="6" t="n">
        <v>53488</v>
      </c>
      <c r="H48" s="6" t="b">
        <v>1</v>
      </c>
      <c r="I48" s="6" t="n">
        <v>200</v>
      </c>
      <c r="J48" s="6" t="n">
        <v>267.44</v>
      </c>
      <c r="K48" s="6" t="inlineStr">
        <is>
          <t>&gt; Dermocosmética &gt; Pelo &gt; Shampoos y Acondicionadores &gt;</t>
        </is>
      </c>
      <c r="L48" s="6" t="inlineStr">
        <is>
          <t>shampoo</t>
        </is>
      </c>
      <c r="M48" s="6" t="inlineStr">
        <is>
          <t>estandar</t>
        </is>
      </c>
      <c r="N48" s="6" t="inlineStr">
        <is>
          <t>anticaspa</t>
        </is>
      </c>
      <c r="O48" s="6" t="inlineStr">
        <is>
          <t>https://www.farmacity.com/shampoo-anticaspa-para-el-cuero-cabelludo-sensible-dercos-x-200-ml/p</t>
        </is>
      </c>
      <c r="P48" s="8">
        <f>TRIM(CLEAN(PROPER(D48)))</f>
        <v/>
      </c>
      <c r="Q48" s="8">
        <f>PROPER(TRIM(SUBSTITUTE(SUBSTITUTE(SUBSTITUTE(SUBSTITUTE(E48,"TRESEMME","Tresemme"),"HEAD &amp; SHOULDERS","Head &amp; Shoulders"),"ELVIVE","Elvive"),"FRUCTIS","Fructis")))</f>
        <v/>
      </c>
      <c r="R48" s="8">
        <f>COUNTIF($D$2:$D$10000,D48)&gt;1</f>
        <v/>
      </c>
      <c r="S48" s="8">
        <f>IF(H48=TRUE,"Disponible","No disponible")</f>
        <v/>
      </c>
      <c r="T48" s="8">
        <f>IF(AND(ISNUMBER(I48),I48&gt;0),ROUND(F48/I48,2),"Sin volumen")</f>
        <v/>
      </c>
      <c r="U48" s="8">
        <f>IF(F48&lt;5000,"Bajo",IF(F48&lt;15000,"Medio","Alto"))</f>
        <v/>
      </c>
    </row>
    <row r="49">
      <c r="A49" t="inlineStr">
        <is>
          <t>Farmacity</t>
        </is>
      </c>
      <c r="B49" t="n">
        <v>1109</v>
      </c>
      <c r="C49" t="n">
        <v>23598</v>
      </c>
      <c r="D49" t="inlineStr">
        <is>
          <t>Shampoo Capilatis Control Caída con Ortiga x 410 ml</t>
        </is>
      </c>
      <c r="E49" t="inlineStr">
        <is>
          <t>Capilatis</t>
        </is>
      </c>
      <c r="F49" t="n">
        <v>11300</v>
      </c>
      <c r="G49" t="n">
        <v>11300</v>
      </c>
      <c r="H49" t="b">
        <v>1</v>
      </c>
      <c r="I49" t="n">
        <v>410</v>
      </c>
      <c r="J49" t="n">
        <v>27.561</v>
      </c>
      <c r="K49" t="inlineStr">
        <is>
          <t>&gt; Cuidado Capilar &gt; Shampoo Y Acondicionador &gt;</t>
        </is>
      </c>
      <c r="L49" t="inlineStr">
        <is>
          <t>shampoo</t>
        </is>
      </c>
      <c r="M49" t="inlineStr">
        <is>
          <t>estandar</t>
        </is>
      </c>
      <c r="N49" t="inlineStr">
        <is>
          <t>general</t>
        </is>
      </c>
      <c r="O49" t="inlineStr">
        <is>
          <t>https://www.farmacity.com/shampoo-control-caida-con-concentrado-puro-de-ortiga-x-410-ml/p</t>
        </is>
      </c>
      <c r="P49">
        <f>TRIM(CLEAN(PROPER(D49)))</f>
        <v/>
      </c>
      <c r="Q49">
        <f>PROPER(TRIM(SUBSTITUTE(SUBSTITUTE(SUBSTITUTE(SUBSTITUTE(E49,"TRESEMME","Tresemme"),"HEAD &amp; SHOULDERS","Head &amp; Shoulders"),"ELVIVE","Elvive"),"FRUCTIS","Fructis")))</f>
        <v/>
      </c>
      <c r="R49">
        <f>COUNTIF($D$2:$D$10000,D49)&gt;1</f>
        <v/>
      </c>
      <c r="S49">
        <f>IF(H49=TRUE,"Disponible","No disponible")</f>
        <v/>
      </c>
      <c r="T49">
        <f>IF(AND(ISNUMBER(I49),I49&gt;0),ROUND(F49/I49,2),"Sin volumen")</f>
        <v/>
      </c>
      <c r="U49">
        <f>IF(F49&lt;5000,"Bajo",IF(F49&lt;15000,"Medio","Alto"))</f>
        <v/>
      </c>
    </row>
    <row r="50">
      <c r="A50" s="6" t="inlineStr">
        <is>
          <t>Farmacity</t>
        </is>
      </c>
      <c r="B50" s="6" t="n">
        <v>860</v>
      </c>
      <c r="C50" s="6" t="n">
        <v>23711</v>
      </c>
      <c r="D50" s="6" t="inlineStr">
        <is>
          <t>Shampoo Capilatis Equilibrante Purificante x 410 ml</t>
        </is>
      </c>
      <c r="E50" s="6" t="inlineStr">
        <is>
          <t>Capilatis</t>
        </is>
      </c>
      <c r="F50" s="6" t="n">
        <v>9700</v>
      </c>
      <c r="G50" s="6" t="n">
        <v>9700</v>
      </c>
      <c r="H50" s="6" t="b">
        <v>1</v>
      </c>
      <c r="I50" s="6" t="n">
        <v>410</v>
      </c>
      <c r="J50" s="6" t="n">
        <v>23.6585</v>
      </c>
      <c r="K50" s="6" t="inlineStr">
        <is>
          <t>&gt; Cuidado Capilar &gt; Shampoo Y Acondicionador &gt;</t>
        </is>
      </c>
      <c r="L50" s="6" t="inlineStr">
        <is>
          <t>shampoo</t>
        </is>
      </c>
      <c r="M50" s="6" t="inlineStr">
        <is>
          <t>estandar</t>
        </is>
      </c>
      <c r="N50" s="6" t="inlineStr">
        <is>
          <t>general</t>
        </is>
      </c>
      <c r="O50" s="6" t="inlineStr">
        <is>
          <t>https://www.farmacity.com/shampoo-equilibrante-purificante-x-410-ml/p</t>
        </is>
      </c>
      <c r="P50" s="8">
        <f>TRIM(CLEAN(PROPER(D50)))</f>
        <v/>
      </c>
      <c r="Q50" s="8">
        <f>PROPER(TRIM(SUBSTITUTE(SUBSTITUTE(SUBSTITUTE(SUBSTITUTE(E50,"TRESEMME","Tresemme"),"HEAD &amp; SHOULDERS","Head &amp; Shoulders"),"ELVIVE","Elvive"),"FRUCTIS","Fructis")))</f>
        <v/>
      </c>
      <c r="R50" s="8">
        <f>COUNTIF($D$2:$D$10000,D50)&gt;1</f>
        <v/>
      </c>
      <c r="S50" s="8">
        <f>IF(H50=TRUE,"Disponible","No disponible")</f>
        <v/>
      </c>
      <c r="T50" s="8">
        <f>IF(AND(ISNUMBER(I50),I50&gt;0),ROUND(F50/I50,2),"Sin volumen")</f>
        <v/>
      </c>
      <c r="U50" s="8">
        <f>IF(F50&lt;5000,"Bajo",IF(F50&lt;15000,"Medio","Alto"))</f>
        <v/>
      </c>
    </row>
    <row r="51">
      <c r="A51" t="inlineStr">
        <is>
          <t>Farmacity</t>
        </is>
      </c>
      <c r="B51" t="n">
        <v>248784</v>
      </c>
      <c r="C51" t="n">
        <v>248784</v>
      </c>
      <c r="D51" t="inlineStr">
        <is>
          <t>Shampoo Vichy Dercos Collagen 17 Anti-Quiebre x 200 ml</t>
        </is>
      </c>
      <c r="E51" t="inlineStr">
        <is>
          <t>Vichy</t>
        </is>
      </c>
      <c r="F51" t="n">
        <v>59423</v>
      </c>
      <c r="G51" t="n">
        <v>59423</v>
      </c>
      <c r="H51" t="b">
        <v>1</v>
      </c>
      <c r="I51" t="n">
        <v>200</v>
      </c>
      <c r="J51" t="n">
        <v>297.115</v>
      </c>
      <c r="K51" t="inlineStr">
        <is>
          <t>&gt; Dermocosmética &gt; Pelo &gt; Shampoos y Acondicionadores &gt;</t>
        </is>
      </c>
      <c r="L51" t="inlineStr">
        <is>
          <t>shampoo</t>
        </is>
      </c>
      <c r="M51" t="inlineStr">
        <is>
          <t>estandar</t>
        </is>
      </c>
      <c r="N51" t="inlineStr">
        <is>
          <t>general</t>
        </is>
      </c>
      <c r="O51" t="inlineStr">
        <is>
          <t>https://www.farmacity.com/shampoo-dercos-ultra-reparacion-x-200-ml/p</t>
        </is>
      </c>
      <c r="P51">
        <f>TRIM(CLEAN(PROPER(D51)))</f>
        <v/>
      </c>
      <c r="Q51">
        <f>PROPER(TRIM(SUBSTITUTE(SUBSTITUTE(SUBSTITUTE(SUBSTITUTE(E51,"TRESEMME","Tresemme"),"HEAD &amp; SHOULDERS","Head &amp; Shoulders"),"ELVIVE","Elvive"),"FRUCTIS","Fructis")))</f>
        <v/>
      </c>
      <c r="R51">
        <f>COUNTIF($D$2:$D$10000,D51)&gt;1</f>
        <v/>
      </c>
      <c r="S51">
        <f>IF(H51=TRUE,"Disponible","No disponible")</f>
        <v/>
      </c>
      <c r="T51">
        <f>IF(AND(ISNUMBER(I51),I51&gt;0),ROUND(F51/I51,2),"Sin volumen")</f>
        <v/>
      </c>
      <c r="U51">
        <f>IF(F51&lt;5000,"Bajo",IF(F51&lt;15000,"Medio","Alto"))</f>
        <v/>
      </c>
    </row>
    <row r="52">
      <c r="A52" s="6" t="inlineStr">
        <is>
          <t>Farmacity</t>
        </is>
      </c>
      <c r="B52" s="6" t="n">
        <v>243914</v>
      </c>
      <c r="C52" s="6" t="n">
        <v>243914</v>
      </c>
      <c r="D52" s="6" t="inlineStr">
        <is>
          <t>Shampoo Fructis Probióticos Fuerza x 350 ml</t>
        </is>
      </c>
      <c r="E52" s="6" t="inlineStr">
        <is>
          <t>Fructis</t>
        </is>
      </c>
      <c r="F52" s="6" t="n">
        <v>7990</v>
      </c>
      <c r="G52" s="6" t="n">
        <v>7990</v>
      </c>
      <c r="H52" s="6" t="b">
        <v>1</v>
      </c>
      <c r="I52" s="6" t="n">
        <v>350</v>
      </c>
      <c r="J52" s="6" t="n">
        <v>22.8286</v>
      </c>
      <c r="K52" s="6" t="inlineStr">
        <is>
          <t>&gt; Cuidado Capilar &gt; Shampoo Y Acondicionador &gt;</t>
        </is>
      </c>
      <c r="L52" s="6" t="inlineStr">
        <is>
          <t>shampoo</t>
        </is>
      </c>
      <c r="M52" s="6" t="inlineStr">
        <is>
          <t>profesional</t>
        </is>
      </c>
      <c r="N52" s="6" t="inlineStr">
        <is>
          <t>general</t>
        </is>
      </c>
      <c r="O52" s="6" t="inlineStr">
        <is>
          <t>https://www.farmacity.com/shampoo-fructis-probioticos-fuerza-x-350-ml/p</t>
        </is>
      </c>
      <c r="P52" s="8">
        <f>TRIM(CLEAN(PROPER(D52)))</f>
        <v/>
      </c>
      <c r="Q52" s="8">
        <f>PROPER(TRIM(SUBSTITUTE(SUBSTITUTE(SUBSTITUTE(SUBSTITUTE(E52,"TRESEMME","Tresemme"),"HEAD &amp; SHOULDERS","Head &amp; Shoulders"),"ELVIVE","Elvive"),"FRUCTIS","Fructis")))</f>
        <v/>
      </c>
      <c r="R52" s="8">
        <f>COUNTIF($D$2:$D$10000,D52)&gt;1</f>
        <v/>
      </c>
      <c r="S52" s="8">
        <f>IF(H52=TRUE,"Disponible","No disponible")</f>
        <v/>
      </c>
      <c r="T52" s="8">
        <f>IF(AND(ISNUMBER(I52),I52&gt;0),ROUND(F52/I52,2),"Sin volumen")</f>
        <v/>
      </c>
      <c r="U52" s="8">
        <f>IF(F52&lt;5000,"Bajo",IF(F52&lt;15000,"Medio","Alto"))</f>
        <v/>
      </c>
    </row>
    <row r="53">
      <c r="A53" t="inlineStr">
        <is>
          <t>Farmacity</t>
        </is>
      </c>
      <c r="B53" t="n">
        <v>241007</v>
      </c>
      <c r="C53" t="n">
        <v>241007</v>
      </c>
      <c r="D53" t="inlineStr">
        <is>
          <t>Shampoo Dove Bond Repair + Péptido x 200 ml</t>
        </is>
      </c>
      <c r="E53" t="inlineStr">
        <is>
          <t>Dove</t>
        </is>
      </c>
      <c r="F53" t="n">
        <v>6418</v>
      </c>
      <c r="G53" t="n">
        <v>6418</v>
      </c>
      <c r="H53" t="b">
        <v>1</v>
      </c>
      <c r="I53" t="n">
        <v>200</v>
      </c>
      <c r="J53" t="n">
        <v>32.09</v>
      </c>
      <c r="K53" t="inlineStr">
        <is>
          <t>&gt; Cuidado Capilar &gt; Shampoo Y Acondicionador &gt;</t>
        </is>
      </c>
      <c r="L53" t="inlineStr">
        <is>
          <t>shampoo</t>
        </is>
      </c>
      <c r="M53" t="inlineStr">
        <is>
          <t>profesional</t>
        </is>
      </c>
      <c r="N53" t="inlineStr">
        <is>
          <t>general</t>
        </is>
      </c>
      <c r="O53" t="inlineStr">
        <is>
          <t>https://www.farmacity.com/shampoo-dove-bond-intense-repair-x-200-ml/p</t>
        </is>
      </c>
      <c r="P53">
        <f>TRIM(CLEAN(PROPER(D53)))</f>
        <v/>
      </c>
      <c r="Q53">
        <f>PROPER(TRIM(SUBSTITUTE(SUBSTITUTE(SUBSTITUTE(SUBSTITUTE(E53,"TRESEMME","Tresemme"),"HEAD &amp; SHOULDERS","Head &amp; Shoulders"),"ELVIVE","Elvive"),"FRUCTIS","Fructis")))</f>
        <v/>
      </c>
      <c r="R53">
        <f>COUNTIF($D$2:$D$10000,D53)&gt;1</f>
        <v/>
      </c>
      <c r="S53">
        <f>IF(H53=TRUE,"Disponible","No disponible")</f>
        <v/>
      </c>
      <c r="T53">
        <f>IF(AND(ISNUMBER(I53),I53&gt;0),ROUND(F53/I53,2),"Sin volumen")</f>
        <v/>
      </c>
      <c r="U53">
        <f>IF(F53&lt;5000,"Bajo",IF(F53&lt;15000,"Medio","Alto"))</f>
        <v/>
      </c>
    </row>
    <row r="54">
      <c r="A54" s="6" t="inlineStr">
        <is>
          <t>Farmacity</t>
        </is>
      </c>
      <c r="B54" s="6" t="n">
        <v>238881</v>
      </c>
      <c r="C54" s="6" t="n">
        <v>238881</v>
      </c>
      <c r="D54" s="6" t="inlineStr">
        <is>
          <t>Shampoo Pantene Pro-V Miracles Liso Infinito x 750 ml</t>
        </is>
      </c>
      <c r="E54" s="6" t="inlineStr">
        <is>
          <t>Pantene</t>
        </is>
      </c>
      <c r="F54" s="6" t="n">
        <v>16733</v>
      </c>
      <c r="G54" s="6" t="n">
        <v>16733</v>
      </c>
      <c r="H54" s="6" t="b">
        <v>1</v>
      </c>
      <c r="I54" s="6" t="n">
        <v>750</v>
      </c>
      <c r="J54" s="6" t="n">
        <v>22.3107</v>
      </c>
      <c r="K54" s="6" t="inlineStr">
        <is>
          <t>&gt; Cuidado Capilar &gt; Shampoo Y Acondicionador &gt;</t>
        </is>
      </c>
      <c r="L54" s="6" t="inlineStr">
        <is>
          <t>shampoo</t>
        </is>
      </c>
      <c r="M54" s="6" t="inlineStr">
        <is>
          <t>profesional</t>
        </is>
      </c>
      <c r="N54" s="6" t="inlineStr">
        <is>
          <t>general</t>
        </is>
      </c>
      <c r="O54" s="6" t="inlineStr">
        <is>
          <t>https://www.farmacity.com/shampoo-pantene-pro-v-miracles-liso-infinito-x-750-ml/p</t>
        </is>
      </c>
      <c r="P54" s="8">
        <f>TRIM(CLEAN(PROPER(D54)))</f>
        <v/>
      </c>
      <c r="Q54" s="8">
        <f>PROPER(TRIM(SUBSTITUTE(SUBSTITUTE(SUBSTITUTE(SUBSTITUTE(E54,"TRESEMME","Tresemme"),"HEAD &amp; SHOULDERS","Head &amp; Shoulders"),"ELVIVE","Elvive"),"FRUCTIS","Fructis")))</f>
        <v/>
      </c>
      <c r="R54" s="8">
        <f>COUNTIF($D$2:$D$10000,D54)&gt;1</f>
        <v/>
      </c>
      <c r="S54" s="8">
        <f>IF(H54=TRUE,"Disponible","No disponible")</f>
        <v/>
      </c>
      <c r="T54" s="8">
        <f>IF(AND(ISNUMBER(I54),I54&gt;0),ROUND(F54/I54,2),"Sin volumen")</f>
        <v/>
      </c>
      <c r="U54" s="8">
        <f>IF(F54&lt;5000,"Bajo",IF(F54&lt;15000,"Medio","Alto"))</f>
        <v/>
      </c>
    </row>
    <row r="55">
      <c r="A55" t="inlineStr">
        <is>
          <t>Farmacity</t>
        </is>
      </c>
      <c r="B55" t="n">
        <v>235937</v>
      </c>
      <c r="C55" t="n">
        <v>235937</v>
      </c>
      <c r="D55" t="inlineStr">
        <is>
          <t>Shampoo Garnier Fructis Hydra Liss x 200 ml</t>
        </is>
      </c>
      <c r="E55" t="inlineStr">
        <is>
          <t>Fructis</t>
        </is>
      </c>
      <c r="F55" t="n">
        <v>5490</v>
      </c>
      <c r="G55" t="n">
        <v>5490</v>
      </c>
      <c r="H55" t="b">
        <v>1</v>
      </c>
      <c r="I55" t="n">
        <v>200</v>
      </c>
      <c r="J55" t="n">
        <v>27.45</v>
      </c>
      <c r="K55" t="inlineStr">
        <is>
          <t>&gt; Cuidado Capilar &gt; Shampoo Y Acondicionador &gt;</t>
        </is>
      </c>
      <c r="L55" t="inlineStr">
        <is>
          <t>shampoo</t>
        </is>
      </c>
      <c r="M55" t="inlineStr">
        <is>
          <t>estandar</t>
        </is>
      </c>
      <c r="N55" t="inlineStr">
        <is>
          <t>general</t>
        </is>
      </c>
      <c r="O55" t="inlineStr">
        <is>
          <t>https://www.farmacity.com/shampoo-fructis-hydra-liss-x-200-ml/p</t>
        </is>
      </c>
      <c r="P55">
        <f>TRIM(CLEAN(PROPER(D55)))</f>
        <v/>
      </c>
      <c r="Q55">
        <f>PROPER(TRIM(SUBSTITUTE(SUBSTITUTE(SUBSTITUTE(SUBSTITUTE(E55,"TRESEMME","Tresemme"),"HEAD &amp; SHOULDERS","Head &amp; Shoulders"),"ELVIVE","Elvive"),"FRUCTIS","Fructis")))</f>
        <v/>
      </c>
      <c r="R55">
        <f>COUNTIF($D$2:$D$10000,D55)&gt;1</f>
        <v/>
      </c>
      <c r="S55">
        <f>IF(H55=TRUE,"Disponible","No disponible")</f>
        <v/>
      </c>
      <c r="T55">
        <f>IF(AND(ISNUMBER(I55),I55&gt;0),ROUND(F55/I55,2),"Sin volumen")</f>
        <v/>
      </c>
      <c r="U55">
        <f>IF(F55&lt;5000,"Bajo",IF(F55&lt;15000,"Medio","Alto"))</f>
        <v/>
      </c>
    </row>
    <row r="56">
      <c r="A56" s="6" t="inlineStr">
        <is>
          <t>Farmacity</t>
        </is>
      </c>
      <c r="B56" s="6" t="n">
        <v>235662</v>
      </c>
      <c r="C56" s="6" t="n">
        <v>235662</v>
      </c>
      <c r="D56" s="6" t="inlineStr">
        <is>
          <t>Shampoo Pantene Pro-V Miracles Equilibrio Raíz &amp; Puntas 200 ml</t>
        </is>
      </c>
      <c r="E56" s="6" t="inlineStr">
        <is>
          <t>Pantene</t>
        </is>
      </c>
      <c r="F56" s="6" t="n">
        <v>3807</v>
      </c>
      <c r="G56" s="6" t="n">
        <v>6345</v>
      </c>
      <c r="H56" s="6" t="b">
        <v>1</v>
      </c>
      <c r="I56" s="6" t="n">
        <v>200</v>
      </c>
      <c r="J56" s="6" t="n">
        <v>19.035</v>
      </c>
      <c r="K56" s="6" t="inlineStr">
        <is>
          <t>&gt; Cuidado Capilar &gt; Shampoo Y Acondicionador &gt;</t>
        </is>
      </c>
      <c r="L56" s="6" t="inlineStr">
        <is>
          <t>shampoo</t>
        </is>
      </c>
      <c r="M56" s="6" t="inlineStr">
        <is>
          <t>profesional</t>
        </is>
      </c>
      <c r="N56" s="6" t="inlineStr">
        <is>
          <t>general</t>
        </is>
      </c>
      <c r="O56" s="6" t="inlineStr">
        <is>
          <t>https://www.farmacity.com/shampoo-pantene-pro-v-miracles-equilibrio-x-200-ml/p</t>
        </is>
      </c>
      <c r="P56" s="8">
        <f>TRIM(CLEAN(PROPER(D56)))</f>
        <v/>
      </c>
      <c r="Q56" s="8">
        <f>PROPER(TRIM(SUBSTITUTE(SUBSTITUTE(SUBSTITUTE(SUBSTITUTE(E56,"TRESEMME","Tresemme"),"HEAD &amp; SHOULDERS","Head &amp; Shoulders"),"ELVIVE","Elvive"),"FRUCTIS","Fructis")))</f>
        <v/>
      </c>
      <c r="R56" s="8">
        <f>COUNTIF($D$2:$D$10000,D56)&gt;1</f>
        <v/>
      </c>
      <c r="S56" s="8">
        <f>IF(H56=TRUE,"Disponible","No disponible")</f>
        <v/>
      </c>
      <c r="T56" s="8">
        <f>IF(AND(ISNUMBER(I56),I56&gt;0),ROUND(F56/I56,2),"Sin volumen")</f>
        <v/>
      </c>
      <c r="U56" s="8">
        <f>IF(F56&lt;5000,"Bajo",IF(F56&lt;15000,"Medio","Alto"))</f>
        <v/>
      </c>
    </row>
    <row r="57">
      <c r="A57" t="inlineStr">
        <is>
          <t>Farmacity</t>
        </is>
      </c>
      <c r="B57" t="n">
        <v>234281</v>
      </c>
      <c r="C57" t="n">
        <v>234281</v>
      </c>
      <c r="D57" t="inlineStr">
        <is>
          <t>Shampoo Pantene Pro-V Miracles Fortalecedor 200 ml</t>
        </is>
      </c>
      <c r="E57" t="inlineStr">
        <is>
          <t>Pantene</t>
        </is>
      </c>
      <c r="F57" t="n">
        <v>3807</v>
      </c>
      <c r="G57" t="n">
        <v>6345</v>
      </c>
      <c r="H57" t="b">
        <v>1</v>
      </c>
      <c r="I57" t="n">
        <v>200</v>
      </c>
      <c r="J57" t="n">
        <v>19.035</v>
      </c>
      <c r="K57" t="inlineStr">
        <is>
          <t>&gt; Cuidado Capilar &gt; Shampoo Y Acondicionador &gt;</t>
        </is>
      </c>
      <c r="L57" t="inlineStr">
        <is>
          <t>shampoo</t>
        </is>
      </c>
      <c r="M57" t="inlineStr">
        <is>
          <t>profesional</t>
        </is>
      </c>
      <c r="N57" t="inlineStr">
        <is>
          <t>general</t>
        </is>
      </c>
      <c r="O57" t="inlineStr">
        <is>
          <t>https://www.farmacity.com/shampoo-pantene-pro-v-miracles-hidrata-y-fortalece-x-200-ml/p</t>
        </is>
      </c>
      <c r="P57">
        <f>TRIM(CLEAN(PROPER(D57)))</f>
        <v/>
      </c>
      <c r="Q57">
        <f>PROPER(TRIM(SUBSTITUTE(SUBSTITUTE(SUBSTITUTE(SUBSTITUTE(E57,"TRESEMME","Tresemme"),"HEAD &amp; SHOULDERS","Head &amp; Shoulders"),"ELVIVE","Elvive"),"FRUCTIS","Fructis")))</f>
        <v/>
      </c>
      <c r="R57">
        <f>COUNTIF($D$2:$D$10000,D57)&gt;1</f>
        <v/>
      </c>
      <c r="S57">
        <f>IF(H57=TRUE,"Disponible","No disponible")</f>
        <v/>
      </c>
      <c r="T57">
        <f>IF(AND(ISNUMBER(I57),I57&gt;0),ROUND(F57/I57,2),"Sin volumen")</f>
        <v/>
      </c>
      <c r="U57">
        <f>IF(F57&lt;5000,"Bajo",IF(F57&lt;15000,"Medio","Alto"))</f>
        <v/>
      </c>
    </row>
    <row r="58">
      <c r="A58" s="6" t="inlineStr">
        <is>
          <t>Farmacity</t>
        </is>
      </c>
      <c r="B58" s="6" t="n">
        <v>228565</v>
      </c>
      <c r="C58" s="6" t="n">
        <v>228565</v>
      </c>
      <c r="D58" s="6" t="inlineStr">
        <is>
          <t>Shampoo Capilatis Anti Caspa x 260 ml</t>
        </is>
      </c>
      <c r="E58" s="6" t="inlineStr">
        <is>
          <t>Capilatis</t>
        </is>
      </c>
      <c r="F58" s="6" t="n">
        <v>15700</v>
      </c>
      <c r="G58" s="6" t="n">
        <v>15700</v>
      </c>
      <c r="H58" s="6" t="b">
        <v>1</v>
      </c>
      <c r="I58" s="6" t="n">
        <v>260</v>
      </c>
      <c r="J58" s="6" t="n">
        <v>60.3846</v>
      </c>
      <c r="K58" s="6" t="inlineStr">
        <is>
          <t>&gt; Cuidado Capilar &gt; Shampoo Y Acondicionador &gt;</t>
        </is>
      </c>
      <c r="L58" s="6" t="inlineStr">
        <is>
          <t>shampoo</t>
        </is>
      </c>
      <c r="M58" s="6" t="inlineStr">
        <is>
          <t>estandar</t>
        </is>
      </c>
      <c r="N58" s="6" t="inlineStr">
        <is>
          <t>anticaspa</t>
        </is>
      </c>
      <c r="O58" s="6" t="inlineStr">
        <is>
          <t>https://www.farmacity.com/shampoo-anti-caspa-capilatis/p</t>
        </is>
      </c>
      <c r="P58" s="8">
        <f>TRIM(CLEAN(PROPER(D58)))</f>
        <v/>
      </c>
      <c r="Q58" s="8">
        <f>PROPER(TRIM(SUBSTITUTE(SUBSTITUTE(SUBSTITUTE(SUBSTITUTE(E58,"TRESEMME","Tresemme"),"HEAD &amp; SHOULDERS","Head &amp; Shoulders"),"ELVIVE","Elvive"),"FRUCTIS","Fructis")))</f>
        <v/>
      </c>
      <c r="R58" s="8">
        <f>COUNTIF($D$2:$D$10000,D58)&gt;1</f>
        <v/>
      </c>
      <c r="S58" s="8">
        <f>IF(H58=TRUE,"Disponible","No disponible")</f>
        <v/>
      </c>
      <c r="T58" s="8">
        <f>IF(AND(ISNUMBER(I58),I58&gt;0),ROUND(F58/I58,2),"Sin volumen")</f>
        <v/>
      </c>
      <c r="U58" s="8">
        <f>IF(F58&lt;5000,"Bajo",IF(F58&lt;15000,"Medio","Alto"))</f>
        <v/>
      </c>
    </row>
    <row r="59">
      <c r="A59" t="inlineStr">
        <is>
          <t>Farmacity</t>
        </is>
      </c>
      <c r="B59" t="n">
        <v>208715</v>
      </c>
      <c r="C59" t="n">
        <v>208715</v>
      </c>
      <c r="D59" t="inlineStr">
        <is>
          <t>Shampoo Capilatis con Aloe Vera Puro x 420 ml</t>
        </is>
      </c>
      <c r="E59" t="inlineStr">
        <is>
          <t>Capilatis</t>
        </is>
      </c>
      <c r="F59" t="n">
        <v>11000</v>
      </c>
      <c r="G59" t="n">
        <v>11000</v>
      </c>
      <c r="H59" t="b">
        <v>1</v>
      </c>
      <c r="I59" t="n">
        <v>420</v>
      </c>
      <c r="J59" t="n">
        <v>26.1905</v>
      </c>
      <c r="K59" t="inlineStr">
        <is>
          <t>&gt; Cuidado Capilar &gt; Shampoo Y Acondicionador &gt;</t>
        </is>
      </c>
      <c r="L59" t="inlineStr">
        <is>
          <t>shampoo</t>
        </is>
      </c>
      <c r="M59" t="inlineStr">
        <is>
          <t>estandar</t>
        </is>
      </c>
      <c r="N59" t="inlineStr">
        <is>
          <t>general</t>
        </is>
      </c>
      <c r="O59" t="inlineStr">
        <is>
          <t>https://www.farmacity.com/shampoo-capilatis-con-aloe-vera-puro-x-420-ml/p</t>
        </is>
      </c>
      <c r="P59">
        <f>TRIM(CLEAN(PROPER(D59)))</f>
        <v/>
      </c>
      <c r="Q59">
        <f>PROPER(TRIM(SUBSTITUTE(SUBSTITUTE(SUBSTITUTE(SUBSTITUTE(E59,"TRESEMME","Tresemme"),"HEAD &amp; SHOULDERS","Head &amp; Shoulders"),"ELVIVE","Elvive"),"FRUCTIS","Fructis")))</f>
        <v/>
      </c>
      <c r="R59">
        <f>COUNTIF($D$2:$D$10000,D59)&gt;1</f>
        <v/>
      </c>
      <c r="S59">
        <f>IF(H59=TRUE,"Disponible","No disponible")</f>
        <v/>
      </c>
      <c r="T59">
        <f>IF(AND(ISNUMBER(I59),I59&gt;0),ROUND(F59/I59,2),"Sin volumen")</f>
        <v/>
      </c>
      <c r="U59">
        <f>IF(F59&lt;5000,"Bajo",IF(F59&lt;15000,"Medio","Alto"))</f>
        <v/>
      </c>
    </row>
    <row r="60">
      <c r="A60" s="6" t="inlineStr">
        <is>
          <t>Farmacity</t>
        </is>
      </c>
      <c r="B60" s="6" t="n">
        <v>206035</v>
      </c>
      <c r="C60" s="6" t="n">
        <v>206035</v>
      </c>
      <c r="D60" s="6" t="inlineStr">
        <is>
          <t>Shampoo Head &amp; Shoulders 3en1 para Hombres x 180 ml</t>
        </is>
      </c>
      <c r="E60" s="6" t="inlineStr">
        <is>
          <t>Head and Shoulders</t>
        </is>
      </c>
      <c r="F60" s="6" t="n">
        <v>4701</v>
      </c>
      <c r="G60" s="6" t="n">
        <v>7233</v>
      </c>
      <c r="H60" s="6" t="b">
        <v>1</v>
      </c>
      <c r="I60" s="6" t="n">
        <v>180</v>
      </c>
      <c r="J60" s="6" t="n">
        <v>26.1167</v>
      </c>
      <c r="K60" s="6" t="inlineStr">
        <is>
          <t>&gt; Cuidado Capilar &gt; Shampoo Y Acondicionador &gt;</t>
        </is>
      </c>
      <c r="L60" s="6" t="inlineStr">
        <is>
          <t>shampoo</t>
        </is>
      </c>
      <c r="M60" s="6" t="inlineStr">
        <is>
          <t>estandar</t>
        </is>
      </c>
      <c r="N60" s="6" t="inlineStr">
        <is>
          <t>general</t>
        </is>
      </c>
      <c r="O60" s="6" t="inlineStr">
        <is>
          <t>https://www.farmacity.com/shampoo-head-shoulders-3en1-para-hombres-180ml/p</t>
        </is>
      </c>
      <c r="P60" s="8">
        <f>TRIM(CLEAN(PROPER(D60)))</f>
        <v/>
      </c>
      <c r="Q60" s="8">
        <f>PROPER(TRIM(SUBSTITUTE(SUBSTITUTE(SUBSTITUTE(SUBSTITUTE(E60,"TRESEMME","Tresemme"),"HEAD &amp; SHOULDERS","Head &amp; Shoulders"),"ELVIVE","Elvive"),"FRUCTIS","Fructis")))</f>
        <v/>
      </c>
      <c r="R60" s="8">
        <f>COUNTIF($D$2:$D$10000,D60)&gt;1</f>
        <v/>
      </c>
      <c r="S60" s="8">
        <f>IF(H60=TRUE,"Disponible","No disponible")</f>
        <v/>
      </c>
      <c r="T60" s="8">
        <f>IF(AND(ISNUMBER(I60),I60&gt;0),ROUND(F60/I60,2),"Sin volumen")</f>
        <v/>
      </c>
      <c r="U60" s="8">
        <f>IF(F60&lt;5000,"Bajo",IF(F60&lt;15000,"Medio","Alto"))</f>
        <v/>
      </c>
    </row>
    <row r="61">
      <c r="A61" t="inlineStr">
        <is>
          <t>Farmacity</t>
        </is>
      </c>
      <c r="B61" t="n">
        <v>163843</v>
      </c>
      <c r="C61" t="n">
        <v>163843</v>
      </c>
      <c r="D61" t="inlineStr">
        <is>
          <t>Shampoo Fructis Recarga Nutritiva x 350 ml</t>
        </is>
      </c>
      <c r="E61" t="inlineStr">
        <is>
          <t>Fructis</t>
        </is>
      </c>
      <c r="F61" t="n">
        <v>7990</v>
      </c>
      <c r="G61" t="n">
        <v>7990</v>
      </c>
      <c r="H61" t="b">
        <v>1</v>
      </c>
      <c r="I61" t="n">
        <v>350</v>
      </c>
      <c r="J61" t="n">
        <v>22.8286</v>
      </c>
      <c r="K61" t="inlineStr">
        <is>
          <t>&gt; Cuidado Capilar &gt; Shampoo Y Acondicionador &gt;</t>
        </is>
      </c>
      <c r="L61" t="inlineStr">
        <is>
          <t>shampoo</t>
        </is>
      </c>
      <c r="M61" t="inlineStr">
        <is>
          <t>estandar</t>
        </is>
      </c>
      <c r="N61" t="inlineStr">
        <is>
          <t>general</t>
        </is>
      </c>
      <c r="O61" t="inlineStr">
        <is>
          <t>https://www.farmacity.com/shampoo-fructis-recarga-nutritiva-x-350-ml/p</t>
        </is>
      </c>
      <c r="P61">
        <f>TRIM(CLEAN(PROPER(D61)))</f>
        <v/>
      </c>
      <c r="Q61">
        <f>PROPER(TRIM(SUBSTITUTE(SUBSTITUTE(SUBSTITUTE(SUBSTITUTE(E61,"TRESEMME","Tresemme"),"HEAD &amp; SHOULDERS","Head &amp; Shoulders"),"ELVIVE","Elvive"),"FRUCTIS","Fructis")))</f>
        <v/>
      </c>
      <c r="R61">
        <f>COUNTIF($D$2:$D$10000,D61)&gt;1</f>
        <v/>
      </c>
      <c r="S61">
        <f>IF(H61=TRUE,"Disponible","No disponible")</f>
        <v/>
      </c>
      <c r="T61">
        <f>IF(AND(ISNUMBER(I61),I61&gt;0),ROUND(F61/I61,2),"Sin volumen")</f>
        <v/>
      </c>
      <c r="U61">
        <f>IF(F61&lt;5000,"Bajo",IF(F61&lt;15000,"Medio","Alto"))</f>
        <v/>
      </c>
    </row>
    <row r="62">
      <c r="A62" s="6" t="inlineStr">
        <is>
          <t>Farmacity</t>
        </is>
      </c>
      <c r="B62" s="6" t="n">
        <v>17964</v>
      </c>
      <c r="C62" s="6" t="n">
        <v>17964</v>
      </c>
      <c r="D62" s="6" t="inlineStr">
        <is>
          <t>Shampoo Estimulante Biferdil Control Caída x 400 ml</t>
        </is>
      </c>
      <c r="E62" s="6" t="inlineStr">
        <is>
          <t>Biferdil</t>
        </is>
      </c>
      <c r="F62" s="6" t="n">
        <v>12636</v>
      </c>
      <c r="G62" s="6" t="n">
        <v>12636</v>
      </c>
      <c r="H62" s="6" t="b">
        <v>1</v>
      </c>
      <c r="I62" s="6" t="n">
        <v>400</v>
      </c>
      <c r="J62" s="6" t="n">
        <v>31.59</v>
      </c>
      <c r="K62" s="6" t="inlineStr">
        <is>
          <t>&gt; Cuidado Capilar &gt; Shampoo Y Acondicionador &gt;</t>
        </is>
      </c>
      <c r="L62" s="6" t="inlineStr">
        <is>
          <t>shampoo</t>
        </is>
      </c>
      <c r="M62" s="6" t="inlineStr">
        <is>
          <t>estandar</t>
        </is>
      </c>
      <c r="N62" s="6" t="inlineStr">
        <is>
          <t>general</t>
        </is>
      </c>
      <c r="O62" s="6" t="inlineStr">
        <is>
          <t>https://www.farmacity.com/shampoo-estimulante-biferdil-control-caida-x-400-ml/p</t>
        </is>
      </c>
      <c r="P62" s="8">
        <f>TRIM(CLEAN(PROPER(D62)))</f>
        <v/>
      </c>
      <c r="Q62" s="8">
        <f>PROPER(TRIM(SUBSTITUTE(SUBSTITUTE(SUBSTITUTE(SUBSTITUTE(E62,"TRESEMME","Tresemme"),"HEAD &amp; SHOULDERS","Head &amp; Shoulders"),"ELVIVE","Elvive"),"FRUCTIS","Fructis")))</f>
        <v/>
      </c>
      <c r="R62" s="8">
        <f>COUNTIF($D$2:$D$10000,D62)&gt;1</f>
        <v/>
      </c>
      <c r="S62" s="8">
        <f>IF(H62=TRUE,"Disponible","No disponible")</f>
        <v/>
      </c>
      <c r="T62" s="8">
        <f>IF(AND(ISNUMBER(I62),I62&gt;0),ROUND(F62/I62,2),"Sin volumen")</f>
        <v/>
      </c>
      <c r="U62" s="8">
        <f>IF(F62&lt;5000,"Bajo",IF(F62&lt;15000,"Medio","Alto"))</f>
        <v/>
      </c>
    </row>
    <row r="63">
      <c r="A63" t="inlineStr">
        <is>
          <t>Farmacity</t>
        </is>
      </c>
      <c r="B63" t="n">
        <v>8875</v>
      </c>
      <c r="C63" t="n">
        <v>156318</v>
      </c>
      <c r="D63" t="inlineStr">
        <is>
          <t>Shampoo Sedal Rizos Definidos x 340 ml</t>
        </is>
      </c>
      <c r="E63" t="inlineStr">
        <is>
          <t>Sedal</t>
        </is>
      </c>
      <c r="F63" t="n">
        <v>5836</v>
      </c>
      <c r="G63" t="n">
        <v>5836</v>
      </c>
      <c r="H63" t="b">
        <v>1</v>
      </c>
      <c r="I63" t="n">
        <v>340</v>
      </c>
      <c r="J63" t="n">
        <v>17.1647</v>
      </c>
      <c r="K63" t="inlineStr">
        <is>
          <t>&gt; Cuidado Capilar &gt; Shampoo Y Acondicionador &gt;</t>
        </is>
      </c>
      <c r="L63" t="inlineStr">
        <is>
          <t>shampoo</t>
        </is>
      </c>
      <c r="M63" t="inlineStr">
        <is>
          <t>estandar</t>
        </is>
      </c>
      <c r="N63" t="inlineStr">
        <is>
          <t>rizado</t>
        </is>
      </c>
      <c r="O63" t="inlineStr">
        <is>
          <t>https://www.farmacity.com/shampoo-sedal-rizos-definidos-x-340-ml/p</t>
        </is>
      </c>
      <c r="P63">
        <f>TRIM(CLEAN(PROPER(D63)))</f>
        <v/>
      </c>
      <c r="Q63">
        <f>PROPER(TRIM(SUBSTITUTE(SUBSTITUTE(SUBSTITUTE(SUBSTITUTE(E63,"TRESEMME","Tresemme"),"HEAD &amp; SHOULDERS","Head &amp; Shoulders"),"ELVIVE","Elvive"),"FRUCTIS","Fructis")))</f>
        <v/>
      </c>
      <c r="R63">
        <f>COUNTIF($D$2:$D$10000,D63)&gt;1</f>
        <v/>
      </c>
      <c r="S63">
        <f>IF(H63=TRUE,"Disponible","No disponible")</f>
        <v/>
      </c>
      <c r="T63">
        <f>IF(AND(ISNUMBER(I63),I63&gt;0),ROUND(F63/I63,2),"Sin volumen")</f>
        <v/>
      </c>
      <c r="U63">
        <f>IF(F63&lt;5000,"Bajo",IF(F63&lt;15000,"Medio","Alto"))</f>
        <v/>
      </c>
    </row>
    <row r="64">
      <c r="A64" s="6" t="inlineStr">
        <is>
          <t>Farmacity</t>
        </is>
      </c>
      <c r="B64" s="6" t="n">
        <v>4160</v>
      </c>
      <c r="C64" s="6" t="n">
        <v>139245</v>
      </c>
      <c r="D64" s="6" t="inlineStr">
        <is>
          <t>Shampoo Elvive Óleo Extraordinario Nutrición x 200 ml</t>
        </is>
      </c>
      <c r="E64" s="6" t="inlineStr">
        <is>
          <t>Elvive</t>
        </is>
      </c>
      <c r="F64" s="6" t="n">
        <v>6990</v>
      </c>
      <c r="G64" s="6" t="n">
        <v>6990</v>
      </c>
      <c r="H64" s="6" t="b">
        <v>1</v>
      </c>
      <c r="I64" s="6" t="n">
        <v>200</v>
      </c>
      <c r="J64" s="6" t="n">
        <v>34.95</v>
      </c>
      <c r="K64" s="6" t="inlineStr">
        <is>
          <t>&gt; Cuidado Capilar &gt; Shampoo Y Acondicionador &gt;</t>
        </is>
      </c>
      <c r="L64" s="6" t="inlineStr">
        <is>
          <t>shampoo</t>
        </is>
      </c>
      <c r="M64" s="6" t="inlineStr">
        <is>
          <t>profesional</t>
        </is>
      </c>
      <c r="N64" s="6" t="inlineStr">
        <is>
          <t>general</t>
        </is>
      </c>
      <c r="O64" s="6" t="inlineStr">
        <is>
          <t>https://www.farmacity.com/acondicionador-renutricion-x-200-ml/p</t>
        </is>
      </c>
      <c r="P64" s="8">
        <f>TRIM(CLEAN(PROPER(D64)))</f>
        <v/>
      </c>
      <c r="Q64" s="8">
        <f>PROPER(TRIM(SUBSTITUTE(SUBSTITUTE(SUBSTITUTE(SUBSTITUTE(E64,"TRESEMME","Tresemme"),"HEAD &amp; SHOULDERS","Head &amp; Shoulders"),"ELVIVE","Elvive"),"FRUCTIS","Fructis")))</f>
        <v/>
      </c>
      <c r="R64" s="8">
        <f>COUNTIF($D$2:$D$10000,D64)&gt;1</f>
        <v/>
      </c>
      <c r="S64" s="8">
        <f>IF(H64=TRUE,"Disponible","No disponible")</f>
        <v/>
      </c>
      <c r="T64" s="8">
        <f>IF(AND(ISNUMBER(I64),I64&gt;0),ROUND(F64/I64,2),"Sin volumen")</f>
        <v/>
      </c>
      <c r="U64" s="8">
        <f>IF(F64&lt;5000,"Bajo",IF(F64&lt;15000,"Medio","Alto"))</f>
        <v/>
      </c>
    </row>
    <row r="65">
      <c r="A65" t="inlineStr">
        <is>
          <t>Farmacity</t>
        </is>
      </c>
      <c r="B65" t="n">
        <v>4114</v>
      </c>
      <c r="C65" t="n">
        <v>138602</v>
      </c>
      <c r="D65" t="inlineStr">
        <is>
          <t>Shampoo Anticaída Eucerin DermoCapillaire x 250 ml</t>
        </is>
      </c>
      <c r="E65" t="inlineStr">
        <is>
          <t>Eucerin</t>
        </is>
      </c>
      <c r="F65" t="n">
        <v>36297</v>
      </c>
      <c r="G65" t="n">
        <v>45371</v>
      </c>
      <c r="H65" t="b">
        <v>1</v>
      </c>
      <c r="I65" t="n">
        <v>250</v>
      </c>
      <c r="J65" t="n">
        <v>145.188</v>
      </c>
      <c r="K65" t="inlineStr">
        <is>
          <t>&gt; Dermocosmética &gt; Pelo &gt; Shampoos y Acondicionadores &gt;</t>
        </is>
      </c>
      <c r="L65" t="inlineStr">
        <is>
          <t>shampoo</t>
        </is>
      </c>
      <c r="M65" t="inlineStr">
        <is>
          <t>estandar</t>
        </is>
      </c>
      <c r="N65" t="inlineStr">
        <is>
          <t>general</t>
        </is>
      </c>
      <c r="O65" t="inlineStr">
        <is>
          <t>https://www.farmacity.com/shampoo-dermo-capillare-anticaida-x-250/p</t>
        </is>
      </c>
      <c r="P65">
        <f>TRIM(CLEAN(PROPER(D65)))</f>
        <v/>
      </c>
      <c r="Q65">
        <f>PROPER(TRIM(SUBSTITUTE(SUBSTITUTE(SUBSTITUTE(SUBSTITUTE(E65,"TRESEMME","Tresemme"),"HEAD &amp; SHOULDERS","Head &amp; Shoulders"),"ELVIVE","Elvive"),"FRUCTIS","Fructis")))</f>
        <v/>
      </c>
      <c r="R65">
        <f>COUNTIF($D$2:$D$10000,D65)&gt;1</f>
        <v/>
      </c>
      <c r="S65">
        <f>IF(H65=TRUE,"Disponible","No disponible")</f>
        <v/>
      </c>
      <c r="T65">
        <f>IF(AND(ISNUMBER(I65),I65&gt;0),ROUND(F65/I65,2),"Sin volumen")</f>
        <v/>
      </c>
      <c r="U65">
        <f>IF(F65&lt;5000,"Bajo",IF(F65&lt;15000,"Medio","Alto"))</f>
        <v/>
      </c>
    </row>
    <row r="66">
      <c r="A66" s="6" t="inlineStr">
        <is>
          <t>Farmacity</t>
        </is>
      </c>
      <c r="B66" s="6" t="n">
        <v>1298</v>
      </c>
      <c r="C66" s="6" t="n">
        <v>102068</v>
      </c>
      <c r="D66" s="6" t="inlineStr">
        <is>
          <t>Shampoo Biferdil Suavidad y Luminosidad x 255 ml</t>
        </is>
      </c>
      <c r="E66" s="6" t="inlineStr">
        <is>
          <t>Biferdil</t>
        </is>
      </c>
      <c r="F66" s="6" t="n">
        <v>19872</v>
      </c>
      <c r="G66" s="6" t="n">
        <v>19872</v>
      </c>
      <c r="H66" s="6" t="b">
        <v>1</v>
      </c>
      <c r="I66" s="6" t="n">
        <v>255</v>
      </c>
      <c r="J66" s="6" t="n">
        <v>77.9294</v>
      </c>
      <c r="K66" s="6" t="inlineStr">
        <is>
          <t>&gt; Cuidado Capilar &gt; Shampoo Y Acondicionador &gt;</t>
        </is>
      </c>
      <c r="L66" s="6" t="inlineStr">
        <is>
          <t>shampoo</t>
        </is>
      </c>
      <c r="M66" s="6" t="inlineStr">
        <is>
          <t>estandar</t>
        </is>
      </c>
      <c r="N66" s="6" t="inlineStr">
        <is>
          <t>general</t>
        </is>
      </c>
      <c r="O66" s="6" t="inlineStr">
        <is>
          <t>https://www.farmacity.com/shampoo-suavidad-y-luminosidad-x-255-ml/p</t>
        </is>
      </c>
      <c r="P66" s="8">
        <f>TRIM(CLEAN(PROPER(D66)))</f>
        <v/>
      </c>
      <c r="Q66" s="8">
        <f>PROPER(TRIM(SUBSTITUTE(SUBSTITUTE(SUBSTITUTE(SUBSTITUTE(E66,"TRESEMME","Tresemme"),"HEAD &amp; SHOULDERS","Head &amp; Shoulders"),"ELVIVE","Elvive"),"FRUCTIS","Fructis")))</f>
        <v/>
      </c>
      <c r="R66" s="8">
        <f>COUNTIF($D$2:$D$10000,D66)&gt;1</f>
        <v/>
      </c>
      <c r="S66" s="8">
        <f>IF(H66=TRUE,"Disponible","No disponible")</f>
        <v/>
      </c>
      <c r="T66" s="8">
        <f>IF(AND(ISNUMBER(I66),I66&gt;0),ROUND(F66/I66,2),"Sin volumen")</f>
        <v/>
      </c>
      <c r="U66" s="8">
        <f>IF(F66&lt;5000,"Bajo",IF(F66&lt;15000,"Medio","Alto"))</f>
        <v/>
      </c>
    </row>
    <row r="67">
      <c r="A67" t="inlineStr">
        <is>
          <t>Farmacity</t>
        </is>
      </c>
      <c r="B67" t="n">
        <v>1276</v>
      </c>
      <c r="C67" t="n">
        <v>102383</v>
      </c>
      <c r="D67" t="inlineStr">
        <is>
          <t>Shampoo Biferdil pH Neutro con Ceramidas x 400 ml</t>
        </is>
      </c>
      <c r="E67" t="inlineStr">
        <is>
          <t>Biferdil</t>
        </is>
      </c>
      <c r="F67" t="n">
        <v>18792</v>
      </c>
      <c r="G67" t="n">
        <v>18792</v>
      </c>
      <c r="H67" t="b">
        <v>1</v>
      </c>
      <c r="I67" t="n">
        <v>400</v>
      </c>
      <c r="J67" t="n">
        <v>46.98</v>
      </c>
      <c r="K67" t="inlineStr">
        <is>
          <t>&gt; Cuidado Capilar &gt; Shampoo Y Acondicionador &gt;</t>
        </is>
      </c>
      <c r="L67" t="inlineStr">
        <is>
          <t>shampoo</t>
        </is>
      </c>
      <c r="M67" t="inlineStr">
        <is>
          <t>estandar</t>
        </is>
      </c>
      <c r="N67" t="inlineStr">
        <is>
          <t>general</t>
        </is>
      </c>
      <c r="O67" t="inlineStr">
        <is>
          <t>https://www.farmacity.com/shampoo-ph-neutro-con-ceramidas-x-400-ml/p</t>
        </is>
      </c>
      <c r="P67">
        <f>TRIM(CLEAN(PROPER(D67)))</f>
        <v/>
      </c>
      <c r="Q67">
        <f>PROPER(TRIM(SUBSTITUTE(SUBSTITUTE(SUBSTITUTE(SUBSTITUTE(E67,"TRESEMME","Tresemme"),"HEAD &amp; SHOULDERS","Head &amp; Shoulders"),"ELVIVE","Elvive"),"FRUCTIS","Fructis")))</f>
        <v/>
      </c>
      <c r="R67">
        <f>COUNTIF($D$2:$D$10000,D67)&gt;1</f>
        <v/>
      </c>
      <c r="S67">
        <f>IF(H67=TRUE,"Disponible","No disponible")</f>
        <v/>
      </c>
      <c r="T67">
        <f>IF(AND(ISNUMBER(I67),I67&gt;0),ROUND(F67/I67,2),"Sin volumen")</f>
        <v/>
      </c>
      <c r="U67">
        <f>IF(F67&lt;5000,"Bajo",IF(F67&lt;15000,"Medio","Alto"))</f>
        <v/>
      </c>
    </row>
    <row r="68">
      <c r="A68" s="6" t="inlineStr">
        <is>
          <t>Farmacity</t>
        </is>
      </c>
      <c r="B68" s="6" t="n">
        <v>1254</v>
      </c>
      <c r="C68" s="6" t="n">
        <v>17965</v>
      </c>
      <c r="D68" s="6" t="inlineStr">
        <is>
          <t>Shampoo Biferdil Gel Control Caída x 400 ml</t>
        </is>
      </c>
      <c r="E68" s="6" t="inlineStr">
        <is>
          <t>Biferdil</t>
        </is>
      </c>
      <c r="F68" s="6" t="n">
        <v>15660</v>
      </c>
      <c r="G68" s="6" t="n">
        <v>15660</v>
      </c>
      <c r="H68" s="6" t="b">
        <v>1</v>
      </c>
      <c r="I68" s="6" t="n">
        <v>400</v>
      </c>
      <c r="J68" s="6" t="n">
        <v>39.15</v>
      </c>
      <c r="K68" s="6" t="inlineStr">
        <is>
          <t>&gt; Cuidado Capilar &gt; Shampoo Y Acondicionador &gt;</t>
        </is>
      </c>
      <c r="L68" s="6" t="inlineStr">
        <is>
          <t>shampoo</t>
        </is>
      </c>
      <c r="M68" s="6" t="inlineStr">
        <is>
          <t>estandar</t>
        </is>
      </c>
      <c r="N68" s="6" t="inlineStr">
        <is>
          <t>general</t>
        </is>
      </c>
      <c r="O68" s="6" t="inlineStr">
        <is>
          <t>https://www.farmacity.com/shampoo-gel-control-caida-x-400-ml/p</t>
        </is>
      </c>
      <c r="P68" s="8">
        <f>TRIM(CLEAN(PROPER(D68)))</f>
        <v/>
      </c>
      <c r="Q68" s="8">
        <f>PROPER(TRIM(SUBSTITUTE(SUBSTITUTE(SUBSTITUTE(SUBSTITUTE(E68,"TRESEMME","Tresemme"),"HEAD &amp; SHOULDERS","Head &amp; Shoulders"),"ELVIVE","Elvive"),"FRUCTIS","Fructis")))</f>
        <v/>
      </c>
      <c r="R68" s="8">
        <f>COUNTIF($D$2:$D$10000,D68)&gt;1</f>
        <v/>
      </c>
      <c r="S68" s="8">
        <f>IF(H68=TRUE,"Disponible","No disponible")</f>
        <v/>
      </c>
      <c r="T68" s="8">
        <f>IF(AND(ISNUMBER(I68),I68&gt;0),ROUND(F68/I68,2),"Sin volumen")</f>
        <v/>
      </c>
      <c r="U68" s="8">
        <f>IF(F68&lt;5000,"Bajo",IF(F68&lt;15000,"Medio","Alto"))</f>
        <v/>
      </c>
    </row>
    <row r="69">
      <c r="A69" t="inlineStr">
        <is>
          <t>Farmacity</t>
        </is>
      </c>
      <c r="B69" t="n">
        <v>1232</v>
      </c>
      <c r="C69" t="n">
        <v>23612</v>
      </c>
      <c r="D69" t="inlineStr">
        <is>
          <t>Shampoo Capilatis Anticaspa x 260 ml</t>
        </is>
      </c>
      <c r="E69" t="inlineStr">
        <is>
          <t>Capilatis</t>
        </is>
      </c>
      <c r="F69" t="n">
        <v>10802</v>
      </c>
      <c r="G69" t="n">
        <v>10802</v>
      </c>
      <c r="H69" t="b">
        <v>1</v>
      </c>
      <c r="I69" t="n">
        <v>260</v>
      </c>
      <c r="J69" t="n">
        <v>41.5462</v>
      </c>
      <c r="K69" t="inlineStr">
        <is>
          <t>&gt; Cuidado Capilar &gt; Shampoo Y Acondicionador &gt;</t>
        </is>
      </c>
      <c r="L69" t="inlineStr">
        <is>
          <t>shampoo</t>
        </is>
      </c>
      <c r="M69" t="inlineStr">
        <is>
          <t>estandar</t>
        </is>
      </c>
      <c r="N69" t="inlineStr">
        <is>
          <t>anticaspa</t>
        </is>
      </c>
      <c r="O69" t="inlineStr">
        <is>
          <t>https://www.farmacity.com/shampoo-anticaspa-x-260-ml/p</t>
        </is>
      </c>
      <c r="P69">
        <f>TRIM(CLEAN(PROPER(D69)))</f>
        <v/>
      </c>
      <c r="Q69">
        <f>PROPER(TRIM(SUBSTITUTE(SUBSTITUTE(SUBSTITUTE(SUBSTITUTE(E69,"TRESEMME","Tresemme"),"HEAD &amp; SHOULDERS","Head &amp; Shoulders"),"ELVIVE","Elvive"),"FRUCTIS","Fructis")))</f>
        <v/>
      </c>
      <c r="R69">
        <f>COUNTIF($D$2:$D$10000,D69)&gt;1</f>
        <v/>
      </c>
      <c r="S69">
        <f>IF(H69=TRUE,"Disponible","No disponible")</f>
        <v/>
      </c>
      <c r="T69">
        <f>IF(AND(ISNUMBER(I69),I69&gt;0),ROUND(F69/I69,2),"Sin volumen")</f>
        <v/>
      </c>
      <c r="U69">
        <f>IF(F69&lt;5000,"Bajo",IF(F69&lt;15000,"Medio","Alto"))</f>
        <v/>
      </c>
    </row>
    <row r="70">
      <c r="A70" s="6" t="inlineStr">
        <is>
          <t>Farmacity</t>
        </is>
      </c>
      <c r="B70" s="6" t="n">
        <v>1196</v>
      </c>
      <c r="C70" s="6" t="n">
        <v>62499</v>
      </c>
      <c r="D70" s="6" t="inlineStr">
        <is>
          <t>Shampoo Biferdil Normalizador x 400 ml</t>
        </is>
      </c>
      <c r="E70" s="6" t="inlineStr">
        <is>
          <t>Biferdil</t>
        </is>
      </c>
      <c r="F70" s="6" t="n">
        <v>14148</v>
      </c>
      <c r="G70" s="6" t="n">
        <v>14148</v>
      </c>
      <c r="H70" s="6" t="b">
        <v>1</v>
      </c>
      <c r="I70" s="6" t="n">
        <v>400</v>
      </c>
      <c r="J70" s="6" t="n">
        <v>35.37</v>
      </c>
      <c r="K70" s="6" t="inlineStr">
        <is>
          <t>&gt; Cuidado Capilar &gt; Shampoo Y Acondicionador &gt;</t>
        </is>
      </c>
      <c r="L70" s="6" t="inlineStr">
        <is>
          <t>shampoo</t>
        </is>
      </c>
      <c r="M70" s="6" t="inlineStr">
        <is>
          <t>estandar</t>
        </is>
      </c>
      <c r="N70" s="6" t="inlineStr">
        <is>
          <t>general</t>
        </is>
      </c>
      <c r="O70" s="6" t="inlineStr">
        <is>
          <t>https://www.farmacity.com/shampoo-normalizador-x-400-ml/p</t>
        </is>
      </c>
      <c r="P70" s="8">
        <f>TRIM(CLEAN(PROPER(D70)))</f>
        <v/>
      </c>
      <c r="Q70" s="8">
        <f>PROPER(TRIM(SUBSTITUTE(SUBSTITUTE(SUBSTITUTE(SUBSTITUTE(E70,"TRESEMME","Tresemme"),"HEAD &amp; SHOULDERS","Head &amp; Shoulders"),"ELVIVE","Elvive"),"FRUCTIS","Fructis")))</f>
        <v/>
      </c>
      <c r="R70" s="8">
        <f>COUNTIF($D$2:$D$10000,D70)&gt;1</f>
        <v/>
      </c>
      <c r="S70" s="8">
        <f>IF(H70=TRUE,"Disponible","No disponible")</f>
        <v/>
      </c>
      <c r="T70" s="8">
        <f>IF(AND(ISNUMBER(I70),I70&gt;0),ROUND(F70/I70,2),"Sin volumen")</f>
        <v/>
      </c>
      <c r="U70" s="8">
        <f>IF(F70&lt;5000,"Bajo",IF(F70&lt;15000,"Medio","Alto"))</f>
        <v/>
      </c>
    </row>
    <row r="71">
      <c r="A71" t="inlineStr">
        <is>
          <t>Farmacity</t>
        </is>
      </c>
      <c r="B71" t="n">
        <v>1180</v>
      </c>
      <c r="C71" t="n">
        <v>17900</v>
      </c>
      <c r="D71" t="inlineStr">
        <is>
          <t>Shampoo Biferdil Fortalecedor y Engrosador x 250 ml</t>
        </is>
      </c>
      <c r="E71" t="inlineStr">
        <is>
          <t>Biferdil</t>
        </is>
      </c>
      <c r="F71" t="n">
        <v>24084</v>
      </c>
      <c r="G71" t="n">
        <v>24084</v>
      </c>
      <c r="H71" t="b">
        <v>1</v>
      </c>
      <c r="I71" t="n">
        <v>250</v>
      </c>
      <c r="J71" t="n">
        <v>96.336</v>
      </c>
      <c r="K71" t="inlineStr">
        <is>
          <t>&gt; Cuidado Capilar &gt; Shampoo Y Acondicionador &gt;</t>
        </is>
      </c>
      <c r="L71" t="inlineStr">
        <is>
          <t>shampoo</t>
        </is>
      </c>
      <c r="M71" t="inlineStr">
        <is>
          <t>estandar</t>
        </is>
      </c>
      <c r="N71" t="inlineStr">
        <is>
          <t>general</t>
        </is>
      </c>
      <c r="O71" t="inlineStr">
        <is>
          <t>https://www.farmacity.com/shampoo-fortalecedor-y-engrosador-x-250-ml/p</t>
        </is>
      </c>
      <c r="P71">
        <f>TRIM(CLEAN(PROPER(D71)))</f>
        <v/>
      </c>
      <c r="Q71">
        <f>PROPER(TRIM(SUBSTITUTE(SUBSTITUTE(SUBSTITUTE(SUBSTITUTE(E71,"TRESEMME","Tresemme"),"HEAD &amp; SHOULDERS","Head &amp; Shoulders"),"ELVIVE","Elvive"),"FRUCTIS","Fructis")))</f>
        <v/>
      </c>
      <c r="R71">
        <f>COUNTIF($D$2:$D$10000,D71)&gt;1</f>
        <v/>
      </c>
      <c r="S71">
        <f>IF(H71=TRUE,"Disponible","No disponible")</f>
        <v/>
      </c>
      <c r="T71">
        <f>IF(AND(ISNUMBER(I71),I71&gt;0),ROUND(F71/I71,2),"Sin volumen")</f>
        <v/>
      </c>
      <c r="U71">
        <f>IF(F71&lt;5000,"Bajo",IF(F71&lt;15000,"Medio","Alto"))</f>
        <v/>
      </c>
    </row>
    <row r="72">
      <c r="A72" s="6" t="inlineStr">
        <is>
          <t>Farmacity</t>
        </is>
      </c>
      <c r="B72" s="6" t="n">
        <v>926</v>
      </c>
      <c r="C72" s="6" t="n">
        <v>131782</v>
      </c>
      <c r="D72" s="6" t="inlineStr">
        <is>
          <t>Shampoo Acondicionador Assy Forte x 400 ml</t>
        </is>
      </c>
      <c r="E72" s="6" t="inlineStr">
        <is>
          <t>Assy</t>
        </is>
      </c>
      <c r="F72" s="6" t="n">
        <v>17354</v>
      </c>
      <c r="G72" s="6" t="n">
        <v>26699</v>
      </c>
      <c r="H72" s="6" t="b">
        <v>1</v>
      </c>
      <c r="I72" s="6" t="n">
        <v>400</v>
      </c>
      <c r="J72" s="6" t="n">
        <v>43.385</v>
      </c>
      <c r="K72" s="6" t="inlineStr">
        <is>
          <t>&gt; Farmacia &gt; Pediculosis &gt; Shampoo Y Acondicionador &gt;</t>
        </is>
      </c>
      <c r="L72" s="6" t="inlineStr">
        <is>
          <t>acondicionador</t>
        </is>
      </c>
      <c r="M72" s="6" t="inlineStr">
        <is>
          <t>estandar</t>
        </is>
      </c>
      <c r="N72" s="6" t="inlineStr">
        <is>
          <t>general</t>
        </is>
      </c>
      <c r="O72" s="6" t="inlineStr">
        <is>
          <t>https://www.farmacity.com/shampoo-acondicionador-forte-x-400-ml/p</t>
        </is>
      </c>
      <c r="P72" s="8">
        <f>TRIM(CLEAN(PROPER(D72)))</f>
        <v/>
      </c>
      <c r="Q72" s="8">
        <f>PROPER(TRIM(SUBSTITUTE(SUBSTITUTE(SUBSTITUTE(SUBSTITUTE(E72,"TRESEMME","Tresemme"),"HEAD &amp; SHOULDERS","Head &amp; Shoulders"),"ELVIVE","Elvive"),"FRUCTIS","Fructis")))</f>
        <v/>
      </c>
      <c r="R72" s="8">
        <f>COUNTIF($D$2:$D$10000,D72)&gt;1</f>
        <v/>
      </c>
      <c r="S72" s="8">
        <f>IF(H72=TRUE,"Disponible","No disponible")</f>
        <v/>
      </c>
      <c r="T72" s="8">
        <f>IF(AND(ISNUMBER(I72),I72&gt;0),ROUND(F72/I72,2),"Sin volumen")</f>
        <v/>
      </c>
      <c r="U72" s="8">
        <f>IF(F72&lt;5000,"Bajo",IF(F72&lt;15000,"Medio","Alto"))</f>
        <v/>
      </c>
    </row>
    <row r="73">
      <c r="A73" t="inlineStr">
        <is>
          <t>Farmacity</t>
        </is>
      </c>
      <c r="B73" t="n">
        <v>246854</v>
      </c>
      <c r="C73" t="n">
        <v>246854</v>
      </c>
      <c r="D73" t="inlineStr">
        <is>
          <t>Shampoo Ogx Rosemary Mint x 385 ml</t>
        </is>
      </c>
      <c r="E73" t="inlineStr">
        <is>
          <t>OGX</t>
        </is>
      </c>
      <c r="F73" t="n">
        <v>27154</v>
      </c>
      <c r="G73" t="n">
        <v>27154</v>
      </c>
      <c r="H73" t="b">
        <v>1</v>
      </c>
      <c r="I73" t="n">
        <v>385</v>
      </c>
      <c r="J73" t="n">
        <v>70.5299</v>
      </c>
      <c r="K73" t="inlineStr">
        <is>
          <t>&gt; Cuidado Capilar &gt; Shampoo Y Acondicionador &gt;</t>
        </is>
      </c>
      <c r="L73" t="inlineStr">
        <is>
          <t>shampoo</t>
        </is>
      </c>
      <c r="M73" t="inlineStr">
        <is>
          <t>estandar</t>
        </is>
      </c>
      <c r="N73" t="inlineStr">
        <is>
          <t>general</t>
        </is>
      </c>
      <c r="O73" t="inlineStr">
        <is>
          <t>https://www.farmacity.com/shampoo-ogx-rosemary-mint-x-385-ml/p</t>
        </is>
      </c>
      <c r="P73">
        <f>TRIM(CLEAN(PROPER(D73)))</f>
        <v/>
      </c>
      <c r="Q73">
        <f>PROPER(TRIM(SUBSTITUTE(SUBSTITUTE(SUBSTITUTE(SUBSTITUTE(E73,"TRESEMME","Tresemme"),"HEAD &amp; SHOULDERS","Head &amp; Shoulders"),"ELVIVE","Elvive"),"FRUCTIS","Fructis")))</f>
        <v/>
      </c>
      <c r="R73">
        <f>COUNTIF($D$2:$D$10000,D73)&gt;1</f>
        <v/>
      </c>
      <c r="S73">
        <f>IF(H73=TRUE,"Disponible","No disponible")</f>
        <v/>
      </c>
      <c r="T73">
        <f>IF(AND(ISNUMBER(I73),I73&gt;0),ROUND(F73/I73,2),"Sin volumen")</f>
        <v/>
      </c>
      <c r="U73">
        <f>IF(F73&lt;5000,"Bajo",IF(F73&lt;15000,"Medio","Alto"))</f>
        <v/>
      </c>
    </row>
    <row r="74">
      <c r="A74" s="6" t="inlineStr">
        <is>
          <t>Farmacity</t>
        </is>
      </c>
      <c r="B74" s="6" t="n">
        <v>243618</v>
      </c>
      <c r="C74" s="6" t="n">
        <v>243618</v>
      </c>
      <c r="D74" s="6" t="inlineStr">
        <is>
          <t>Shampoo Tintura Color Issue Express 5 Min Rojo</t>
        </is>
      </c>
      <c r="E74" s="6" t="inlineStr">
        <is>
          <t>Issue</t>
        </is>
      </c>
      <c r="F74" s="6" t="n">
        <v>4737</v>
      </c>
      <c r="G74" s="6" t="n">
        <v>4737</v>
      </c>
      <c r="H74" s="6" t="b">
        <v>1</v>
      </c>
      <c r="I74" s="6" t="inlineStr"/>
      <c r="J74" s="6" t="inlineStr"/>
      <c r="K74" s="6" t="inlineStr">
        <is>
          <t>&gt; Cuidado Capilar &gt; Coloración Y Oxidantes &gt;</t>
        </is>
      </c>
      <c r="L74" s="6" t="inlineStr">
        <is>
          <t>shampoo</t>
        </is>
      </c>
      <c r="M74" s="6" t="inlineStr">
        <is>
          <t>estandar</t>
        </is>
      </c>
      <c r="N74" s="6" t="inlineStr">
        <is>
          <t>tratado</t>
        </is>
      </c>
      <c r="O74" s="6" t="inlineStr">
        <is>
          <t>https://www.farmacity.com/shampoo-tintura-color-issue-express-5-min-rojo/p</t>
        </is>
      </c>
      <c r="P74" s="8">
        <f>TRIM(CLEAN(PROPER(D74)))</f>
        <v/>
      </c>
      <c r="Q74" s="8">
        <f>PROPER(TRIM(SUBSTITUTE(SUBSTITUTE(SUBSTITUTE(SUBSTITUTE(E74,"TRESEMME","Tresemme"),"HEAD &amp; SHOULDERS","Head &amp; Shoulders"),"ELVIVE","Elvive"),"FRUCTIS","Fructis")))</f>
        <v/>
      </c>
      <c r="R74" s="8">
        <f>COUNTIF($D$2:$D$10000,D74)&gt;1</f>
        <v/>
      </c>
      <c r="S74" s="8">
        <f>IF(H74=TRUE,"Disponible","No disponible")</f>
        <v/>
      </c>
      <c r="T74" s="8">
        <f>IF(AND(ISNUMBER(I74),I74&gt;0),ROUND(F74/I74,2),"Sin volumen")</f>
        <v/>
      </c>
      <c r="U74" s="8">
        <f>IF(F74&lt;5000,"Bajo",IF(F74&lt;15000,"Medio","Alto"))</f>
        <v/>
      </c>
    </row>
    <row r="75">
      <c r="A75" t="inlineStr">
        <is>
          <t>Farmacity</t>
        </is>
      </c>
      <c r="B75" t="n">
        <v>238889</v>
      </c>
      <c r="C75" t="n">
        <v>238889</v>
      </c>
      <c r="D75" t="inlineStr">
        <is>
          <t>Shampoo Pantene Pro-V Miracles Revitalizacion x 200 ml</t>
        </is>
      </c>
      <c r="E75" t="inlineStr">
        <is>
          <t>Pantene</t>
        </is>
      </c>
      <c r="F75" t="n">
        <v>3807</v>
      </c>
      <c r="G75" t="n">
        <v>6345</v>
      </c>
      <c r="H75" t="b">
        <v>1</v>
      </c>
      <c r="I75" t="n">
        <v>200</v>
      </c>
      <c r="J75" t="n">
        <v>19.035</v>
      </c>
      <c r="K75" t="inlineStr">
        <is>
          <t>&gt; Cuidado Capilar &gt; Shampoo Y Acondicionador &gt;</t>
        </is>
      </c>
      <c r="L75" t="inlineStr">
        <is>
          <t>shampoo</t>
        </is>
      </c>
      <c r="M75" t="inlineStr">
        <is>
          <t>profesional</t>
        </is>
      </c>
      <c r="N75" t="inlineStr">
        <is>
          <t>general</t>
        </is>
      </c>
      <c r="O75" t="inlineStr">
        <is>
          <t>https://www.farmacity.com/shampoo-pantene-pro-v-miracles-revitalizacion-x-200-ml/p</t>
        </is>
      </c>
      <c r="P75">
        <f>TRIM(CLEAN(PROPER(D75)))</f>
        <v/>
      </c>
      <c r="Q75">
        <f>PROPER(TRIM(SUBSTITUTE(SUBSTITUTE(SUBSTITUTE(SUBSTITUTE(E75,"TRESEMME","Tresemme"),"HEAD &amp; SHOULDERS","Head &amp; Shoulders"),"ELVIVE","Elvive"),"FRUCTIS","Fructis")))</f>
        <v/>
      </c>
      <c r="R75">
        <f>COUNTIF($D$2:$D$10000,D75)&gt;1</f>
        <v/>
      </c>
      <c r="S75">
        <f>IF(H75=TRUE,"Disponible","No disponible")</f>
        <v/>
      </c>
      <c r="T75">
        <f>IF(AND(ISNUMBER(I75),I75&gt;0),ROUND(F75/I75,2),"Sin volumen")</f>
        <v/>
      </c>
      <c r="U75">
        <f>IF(F75&lt;5000,"Bajo",IF(F75&lt;15000,"Medio","Alto"))</f>
        <v/>
      </c>
    </row>
    <row r="76">
      <c r="A76" s="6" t="inlineStr">
        <is>
          <t>Farmacity</t>
        </is>
      </c>
      <c r="B76" s="6" t="n">
        <v>232722</v>
      </c>
      <c r="C76" s="6" t="n">
        <v>232722</v>
      </c>
      <c r="D76" s="6" t="inlineStr">
        <is>
          <t>Shampoo Capilatis Natural Nutritivo x 420 ml</t>
        </is>
      </c>
      <c r="E76" s="6" t="inlineStr">
        <is>
          <t>Capilatis</t>
        </is>
      </c>
      <c r="F76" s="6" t="n">
        <v>9700</v>
      </c>
      <c r="G76" s="6" t="n">
        <v>9700</v>
      </c>
      <c r="H76" s="6" t="b">
        <v>1</v>
      </c>
      <c r="I76" s="6" t="n">
        <v>420</v>
      </c>
      <c r="J76" s="6" t="n">
        <v>23.0952</v>
      </c>
      <c r="K76" s="6" t="inlineStr">
        <is>
          <t>&gt; Cuidado Capilar &gt; Shampoo Y Acondicionador &gt;</t>
        </is>
      </c>
      <c r="L76" s="6" t="inlineStr">
        <is>
          <t>shampoo</t>
        </is>
      </c>
      <c r="M76" s="6" t="inlineStr">
        <is>
          <t>estandar</t>
        </is>
      </c>
      <c r="N76" s="6" t="inlineStr">
        <is>
          <t>general</t>
        </is>
      </c>
      <c r="O76" s="6" t="inlineStr">
        <is>
          <t>https://www.farmacity.com/shampoo-capilatis-natural-nutritivo-x-420-ml/p</t>
        </is>
      </c>
      <c r="P76" s="8">
        <f>TRIM(CLEAN(PROPER(D76)))</f>
        <v/>
      </c>
      <c r="Q76" s="8">
        <f>PROPER(TRIM(SUBSTITUTE(SUBSTITUTE(SUBSTITUTE(SUBSTITUTE(E76,"TRESEMME","Tresemme"),"HEAD &amp; SHOULDERS","Head &amp; Shoulders"),"ELVIVE","Elvive"),"FRUCTIS","Fructis")))</f>
        <v/>
      </c>
      <c r="R76" s="8">
        <f>COUNTIF($D$2:$D$10000,D76)&gt;1</f>
        <v/>
      </c>
      <c r="S76" s="8">
        <f>IF(H76=TRUE,"Disponible","No disponible")</f>
        <v/>
      </c>
      <c r="T76" s="8">
        <f>IF(AND(ISNUMBER(I76),I76&gt;0),ROUND(F76/I76,2),"Sin volumen")</f>
        <v/>
      </c>
      <c r="U76" s="8">
        <f>IF(F76&lt;5000,"Bajo",IF(F76&lt;15000,"Medio","Alto"))</f>
        <v/>
      </c>
    </row>
    <row r="77">
      <c r="A77" t="inlineStr">
        <is>
          <t>Farmacity</t>
        </is>
      </c>
      <c r="B77" t="n">
        <v>206048</v>
      </c>
      <c r="C77" t="n">
        <v>206048</v>
      </c>
      <c r="D77" t="inlineStr">
        <is>
          <t>Shampoo Head &amp; Shoulders Old Spice para Hombres x 180 ml</t>
        </is>
      </c>
      <c r="E77" t="inlineStr">
        <is>
          <t>Head and Shoulders</t>
        </is>
      </c>
      <c r="F77" t="n">
        <v>4701</v>
      </c>
      <c r="G77" t="n">
        <v>7233</v>
      </c>
      <c r="H77" t="b">
        <v>1</v>
      </c>
      <c r="I77" t="n">
        <v>180</v>
      </c>
      <c r="J77" t="n">
        <v>26.1167</v>
      </c>
      <c r="K77" t="inlineStr">
        <is>
          <t>&gt; Cuidado Capilar &gt; Shampoo Y Acondicionador &gt;</t>
        </is>
      </c>
      <c r="L77" t="inlineStr">
        <is>
          <t>shampoo</t>
        </is>
      </c>
      <c r="M77" t="inlineStr">
        <is>
          <t>estandar</t>
        </is>
      </c>
      <c r="N77" t="inlineStr">
        <is>
          <t>general</t>
        </is>
      </c>
      <c r="O77" t="inlineStr">
        <is>
          <t>https://www.farmacity.com/shampoo-head-shoulders-old-spice-para-hombres-x-180-ml/p</t>
        </is>
      </c>
      <c r="P77">
        <f>TRIM(CLEAN(PROPER(D77)))</f>
        <v/>
      </c>
      <c r="Q77">
        <f>PROPER(TRIM(SUBSTITUTE(SUBSTITUTE(SUBSTITUTE(SUBSTITUTE(E77,"TRESEMME","Tresemme"),"HEAD &amp; SHOULDERS","Head &amp; Shoulders"),"ELVIVE","Elvive"),"FRUCTIS","Fructis")))</f>
        <v/>
      </c>
      <c r="R77">
        <f>COUNTIF($D$2:$D$10000,D77)&gt;1</f>
        <v/>
      </c>
      <c r="S77">
        <f>IF(H77=TRUE,"Disponible","No disponible")</f>
        <v/>
      </c>
      <c r="T77">
        <f>IF(AND(ISNUMBER(I77),I77&gt;0),ROUND(F77/I77,2),"Sin volumen")</f>
        <v/>
      </c>
      <c r="U77">
        <f>IF(F77&lt;5000,"Bajo",IF(F77&lt;15000,"Medio","Alto"))</f>
        <v/>
      </c>
    </row>
    <row r="78">
      <c r="A78" s="6" t="inlineStr">
        <is>
          <t>Farmacity</t>
        </is>
      </c>
      <c r="B78" s="6" t="n">
        <v>8853</v>
      </c>
      <c r="C78" s="6" t="n">
        <v>156316</v>
      </c>
      <c r="D78" s="6" t="inlineStr">
        <is>
          <t>Shampoo Sedal Liso Perfecto x 340 ml</t>
        </is>
      </c>
      <c r="E78" s="6" t="inlineStr">
        <is>
          <t>Sedal</t>
        </is>
      </c>
      <c r="F78" s="6" t="n">
        <v>5836</v>
      </c>
      <c r="G78" s="6" t="n">
        <v>5836</v>
      </c>
      <c r="H78" s="6" t="b">
        <v>1</v>
      </c>
      <c r="I78" s="6" t="n">
        <v>340</v>
      </c>
      <c r="J78" s="6" t="n">
        <v>17.1647</v>
      </c>
      <c r="K78" s="6" t="inlineStr">
        <is>
          <t>&gt; Cuidado Capilar &gt; Shampoo Y Acondicionador &gt;</t>
        </is>
      </c>
      <c r="L78" s="6" t="inlineStr">
        <is>
          <t>shampoo</t>
        </is>
      </c>
      <c r="M78" s="6" t="inlineStr">
        <is>
          <t>estandar</t>
        </is>
      </c>
      <c r="N78" s="6" t="inlineStr">
        <is>
          <t>general</t>
        </is>
      </c>
      <c r="O78" s="6" t="inlineStr">
        <is>
          <t>https://www.farmacity.com/shampoo-liso-perfecto-x-340-ml/p</t>
        </is>
      </c>
      <c r="P78" s="8">
        <f>TRIM(CLEAN(PROPER(D78)))</f>
        <v/>
      </c>
      <c r="Q78" s="8">
        <f>PROPER(TRIM(SUBSTITUTE(SUBSTITUTE(SUBSTITUTE(SUBSTITUTE(E78,"TRESEMME","Tresemme"),"HEAD &amp; SHOULDERS","Head &amp; Shoulders"),"ELVIVE","Elvive"),"FRUCTIS","Fructis")))</f>
        <v/>
      </c>
      <c r="R78" s="8">
        <f>COUNTIF($D$2:$D$10000,D78)&gt;1</f>
        <v/>
      </c>
      <c r="S78" s="8">
        <f>IF(H78=TRUE,"Disponible","No disponible")</f>
        <v/>
      </c>
      <c r="T78" s="8">
        <f>IF(AND(ISNUMBER(I78),I78&gt;0),ROUND(F78/I78,2),"Sin volumen")</f>
        <v/>
      </c>
      <c r="U78" s="8">
        <f>IF(F78&lt;5000,"Bajo",IF(F78&lt;15000,"Medio","Alto"))</f>
        <v/>
      </c>
    </row>
    <row r="79">
      <c r="A79" t="inlineStr">
        <is>
          <t>Farmacity</t>
        </is>
      </c>
      <c r="B79" t="n">
        <v>772</v>
      </c>
      <c r="C79" t="n">
        <v>128224</v>
      </c>
      <c r="D79" t="inlineStr">
        <is>
          <t>Shampoo Acondicionador Assy Forte x 220 ml</t>
        </is>
      </c>
      <c r="E79" t="inlineStr">
        <is>
          <t>Assy</t>
        </is>
      </c>
      <c r="F79" t="n">
        <v>19697</v>
      </c>
      <c r="G79" t="n">
        <v>19697</v>
      </c>
      <c r="H79" t="b">
        <v>1</v>
      </c>
      <c r="I79" t="n">
        <v>220</v>
      </c>
      <c r="J79" t="n">
        <v>89.5318</v>
      </c>
      <c r="K79" t="inlineStr">
        <is>
          <t>&gt; Farmacia &gt; Pediculosis &gt; Shampoo Y Acondicionador &gt;</t>
        </is>
      </c>
      <c r="L79" t="inlineStr">
        <is>
          <t>acondicionador</t>
        </is>
      </c>
      <c r="M79" t="inlineStr">
        <is>
          <t>estandar</t>
        </is>
      </c>
      <c r="N79" t="inlineStr">
        <is>
          <t>general</t>
        </is>
      </c>
      <c r="O79" t="inlineStr">
        <is>
          <t>https://www.farmacity.com/shampoo-acondicionador-forte-x-220-ml/p</t>
        </is>
      </c>
      <c r="P79">
        <f>TRIM(CLEAN(PROPER(D79)))</f>
        <v/>
      </c>
      <c r="Q79">
        <f>PROPER(TRIM(SUBSTITUTE(SUBSTITUTE(SUBSTITUTE(SUBSTITUTE(E79,"TRESEMME","Tresemme"),"HEAD &amp; SHOULDERS","Head &amp; Shoulders"),"ELVIVE","Elvive"),"FRUCTIS","Fructis")))</f>
        <v/>
      </c>
      <c r="R79">
        <f>COUNTIF($D$2:$D$10000,D79)&gt;1</f>
        <v/>
      </c>
      <c r="S79">
        <f>IF(H79=TRUE,"Disponible","No disponible")</f>
        <v/>
      </c>
      <c r="T79">
        <f>IF(AND(ISNUMBER(I79),I79&gt;0),ROUND(F79/I79,2),"Sin volumen")</f>
        <v/>
      </c>
      <c r="U79">
        <f>IF(F79&lt;5000,"Bajo",IF(F79&lt;15000,"Medio","Alto"))</f>
        <v/>
      </c>
    </row>
    <row r="80">
      <c r="A80" s="6" t="inlineStr">
        <is>
          <t>Farmacity</t>
        </is>
      </c>
      <c r="B80" s="6" t="n">
        <v>441</v>
      </c>
      <c r="C80" s="6" t="n">
        <v>136891</v>
      </c>
      <c r="D80" s="6" t="inlineStr">
        <is>
          <t>Shampoo para Niños Johnson's Fragancia Prolongada x 200 ml</t>
        </is>
      </c>
      <c r="E80" s="6" t="inlineStr">
        <is>
          <t>Johnson's</t>
        </is>
      </c>
      <c r="F80" s="6" t="n">
        <v>4540</v>
      </c>
      <c r="G80" s="6" t="n">
        <v>6486</v>
      </c>
      <c r="H80" s="6" t="b">
        <v>1</v>
      </c>
      <c r="I80" s="6" t="n">
        <v>200</v>
      </c>
      <c r="J80" s="6" t="n">
        <v>22.7</v>
      </c>
      <c r="K80" s="6" t="inlineStr">
        <is>
          <t>&gt; Bebés &gt; Higiene del Bebé &gt; Baño Del Bebé &gt;</t>
        </is>
      </c>
      <c r="L80" s="6" t="inlineStr">
        <is>
          <t>shampoo</t>
        </is>
      </c>
      <c r="M80" s="6" t="inlineStr">
        <is>
          <t>estandar</t>
        </is>
      </c>
      <c r="N80" s="6" t="inlineStr">
        <is>
          <t>bebe</t>
        </is>
      </c>
      <c r="O80" s="6" t="inlineStr">
        <is>
          <t>https://www.farmacity.com/shampoo-para-niños-johnsons-fragancia-prolongada-x-200-ml/p</t>
        </is>
      </c>
      <c r="P80" s="8">
        <f>TRIM(CLEAN(PROPER(D80)))</f>
        <v/>
      </c>
      <c r="Q80" s="8">
        <f>PROPER(TRIM(SUBSTITUTE(SUBSTITUTE(SUBSTITUTE(SUBSTITUTE(E80,"TRESEMME","Tresemme"),"HEAD &amp; SHOULDERS","Head &amp; Shoulders"),"ELVIVE","Elvive"),"FRUCTIS","Fructis")))</f>
        <v/>
      </c>
      <c r="R80" s="8">
        <f>COUNTIF($D$2:$D$10000,D80)&gt;1</f>
        <v/>
      </c>
      <c r="S80" s="8">
        <f>IF(H80=TRUE,"Disponible","No disponible")</f>
        <v/>
      </c>
      <c r="T80" s="8">
        <f>IF(AND(ISNUMBER(I80),I80&gt;0),ROUND(F80/I80,2),"Sin volumen")</f>
        <v/>
      </c>
      <c r="U80" s="8">
        <f>IF(F80&lt;5000,"Bajo",IF(F80&lt;15000,"Medio","Alto"))</f>
        <v/>
      </c>
    </row>
    <row r="81">
      <c r="A81" t="inlineStr">
        <is>
          <t>Farmacity</t>
        </is>
      </c>
      <c r="B81" t="n">
        <v>248326</v>
      </c>
      <c r="C81" t="n">
        <v>248326</v>
      </c>
      <c r="D81" t="inlineStr">
        <is>
          <t>Shampoo Ice Professional Repair My Hair x 250 ml</t>
        </is>
      </c>
      <c r="E81" t="inlineStr">
        <is>
          <t>Ice</t>
        </is>
      </c>
      <c r="F81" t="n">
        <v>17500</v>
      </c>
      <c r="G81" t="n">
        <v>25000</v>
      </c>
      <c r="H81" t="b">
        <v>1</v>
      </c>
      <c r="I81" t="n">
        <v>250</v>
      </c>
      <c r="J81" t="n">
        <v>70</v>
      </c>
      <c r="K81" t="inlineStr">
        <is>
          <t>&gt; Cuidado Capilar &gt; Shampoo Y Acondicionador &gt;</t>
        </is>
      </c>
      <c r="L81" t="inlineStr">
        <is>
          <t>shampoo</t>
        </is>
      </c>
      <c r="M81" t="inlineStr">
        <is>
          <t>profesional</t>
        </is>
      </c>
      <c r="N81" t="inlineStr">
        <is>
          <t>general</t>
        </is>
      </c>
      <c r="O81" t="inlineStr">
        <is>
          <t>https://www.farmacity.com/shampoo-ice-repair-my-hair-x-250-ml/p</t>
        </is>
      </c>
      <c r="P81">
        <f>TRIM(CLEAN(PROPER(D81)))</f>
        <v/>
      </c>
      <c r="Q81">
        <f>PROPER(TRIM(SUBSTITUTE(SUBSTITUTE(SUBSTITUTE(SUBSTITUTE(E81,"TRESEMME","Tresemme"),"HEAD &amp; SHOULDERS","Head &amp; Shoulders"),"ELVIVE","Elvive"),"FRUCTIS","Fructis")))</f>
        <v/>
      </c>
      <c r="R81">
        <f>COUNTIF($D$2:$D$10000,D81)&gt;1</f>
        <v/>
      </c>
      <c r="S81">
        <f>IF(H81=TRUE,"Disponible","No disponible")</f>
        <v/>
      </c>
      <c r="T81">
        <f>IF(AND(ISNUMBER(I81),I81&gt;0),ROUND(F81/I81,2),"Sin volumen")</f>
        <v/>
      </c>
      <c r="U81">
        <f>IF(F81&lt;5000,"Bajo",IF(F81&lt;15000,"Medio","Alto"))</f>
        <v/>
      </c>
    </row>
    <row r="82">
      <c r="A82" s="6" t="inlineStr">
        <is>
          <t>Farmacity</t>
        </is>
      </c>
      <c r="B82" s="6" t="n">
        <v>238875</v>
      </c>
      <c r="C82" s="6" t="n">
        <v>238875</v>
      </c>
      <c r="D82" s="6" t="inlineStr">
        <is>
          <t>Shampoo Pantene Pro-V Miracles Volumen x 200 ml</t>
        </is>
      </c>
      <c r="E82" s="6" t="inlineStr">
        <is>
          <t>Pantene</t>
        </is>
      </c>
      <c r="F82" s="6" t="n">
        <v>3807</v>
      </c>
      <c r="G82" s="6" t="n">
        <v>6345</v>
      </c>
      <c r="H82" s="6" t="b">
        <v>1</v>
      </c>
      <c r="I82" s="6" t="n">
        <v>200</v>
      </c>
      <c r="J82" s="6" t="n">
        <v>19.035</v>
      </c>
      <c r="K82" s="6" t="inlineStr">
        <is>
          <t>&gt; Cuidado Capilar &gt; Shampoo Y Acondicionador &gt;</t>
        </is>
      </c>
      <c r="L82" s="6" t="inlineStr">
        <is>
          <t>shampoo</t>
        </is>
      </c>
      <c r="M82" s="6" t="inlineStr">
        <is>
          <t>profesional</t>
        </is>
      </c>
      <c r="N82" s="6" t="inlineStr">
        <is>
          <t>general</t>
        </is>
      </c>
      <c r="O82" s="6" t="inlineStr">
        <is>
          <t>https://www.farmacity.com/shampoo-pantene-pro-v-miracles-volumen-x-200-ml/p</t>
        </is>
      </c>
      <c r="P82" s="8">
        <f>TRIM(CLEAN(PROPER(D82)))</f>
        <v/>
      </c>
      <c r="Q82" s="8">
        <f>PROPER(TRIM(SUBSTITUTE(SUBSTITUTE(SUBSTITUTE(SUBSTITUTE(E82,"TRESEMME","Tresemme"),"HEAD &amp; SHOULDERS","Head &amp; Shoulders"),"ELVIVE","Elvive"),"FRUCTIS","Fructis")))</f>
        <v/>
      </c>
      <c r="R82" s="8">
        <f>COUNTIF($D$2:$D$10000,D82)&gt;1</f>
        <v/>
      </c>
      <c r="S82" s="8">
        <f>IF(H82=TRUE,"Disponible","No disponible")</f>
        <v/>
      </c>
      <c r="T82" s="8">
        <f>IF(AND(ISNUMBER(I82),I82&gt;0),ROUND(F82/I82,2),"Sin volumen")</f>
        <v/>
      </c>
      <c r="U82" s="8">
        <f>IF(F82&lt;5000,"Bajo",IF(F82&lt;15000,"Medio","Alto"))</f>
        <v/>
      </c>
    </row>
    <row r="83">
      <c r="A83" t="inlineStr">
        <is>
          <t>Farmacity</t>
        </is>
      </c>
      <c r="B83" t="n">
        <v>228279</v>
      </c>
      <c r="C83" t="n">
        <v>228279</v>
      </c>
      <c r="D83" t="inlineStr">
        <is>
          <t>Shampoo Triatop Regeneración Ketoconazol y Keratina x 165 ml</t>
        </is>
      </c>
      <c r="E83" t="inlineStr">
        <is>
          <t>Triatop</t>
        </is>
      </c>
      <c r="F83" t="n">
        <v>14251</v>
      </c>
      <c r="G83" t="n">
        <v>14251</v>
      </c>
      <c r="H83" t="b">
        <v>1</v>
      </c>
      <c r="I83" t="n">
        <v>165</v>
      </c>
      <c r="J83" t="n">
        <v>86.36969999999999</v>
      </c>
      <c r="K83" t="inlineStr">
        <is>
          <t>&gt; Cuidado Capilar &gt; Shampoo Y Acondicionador &gt;</t>
        </is>
      </c>
      <c r="L83" t="inlineStr">
        <is>
          <t>shampoo</t>
        </is>
      </c>
      <c r="M83" t="inlineStr">
        <is>
          <t>estandar</t>
        </is>
      </c>
      <c r="N83" t="inlineStr">
        <is>
          <t>tratado</t>
        </is>
      </c>
      <c r="O83" t="inlineStr">
        <is>
          <t>https://www.farmacity.com/shampoo-triatop-regeneracion-ketoconazol-y-keratina-x-165-ml/p</t>
        </is>
      </c>
      <c r="P83">
        <f>TRIM(CLEAN(PROPER(D83)))</f>
        <v/>
      </c>
      <c r="Q83">
        <f>PROPER(TRIM(SUBSTITUTE(SUBSTITUTE(SUBSTITUTE(SUBSTITUTE(E83,"TRESEMME","Tresemme"),"HEAD &amp; SHOULDERS","Head &amp; Shoulders"),"ELVIVE","Elvive"),"FRUCTIS","Fructis")))</f>
        <v/>
      </c>
      <c r="R83">
        <f>COUNTIF($D$2:$D$10000,D83)&gt;1</f>
        <v/>
      </c>
      <c r="S83">
        <f>IF(H83=TRUE,"Disponible","No disponible")</f>
        <v/>
      </c>
      <c r="T83">
        <f>IF(AND(ISNUMBER(I83),I83&gt;0),ROUND(F83/I83,2),"Sin volumen")</f>
        <v/>
      </c>
      <c r="U83">
        <f>IF(F83&lt;5000,"Bajo",IF(F83&lt;15000,"Medio","Alto"))</f>
        <v/>
      </c>
    </row>
    <row r="84">
      <c r="A84" s="6" t="inlineStr">
        <is>
          <t>Farmacity</t>
        </is>
      </c>
      <c r="B84" s="6" t="n">
        <v>225538</v>
      </c>
      <c r="C84" s="6" t="n">
        <v>225538</v>
      </c>
      <c r="D84" s="6" t="inlineStr">
        <is>
          <t>Shampoo Bagóvit Capilar Brillo Sublime x 350 ml</t>
        </is>
      </c>
      <c r="E84" s="6" t="inlineStr">
        <is>
          <t>Bagóvit</t>
        </is>
      </c>
      <c r="F84" s="6" t="n">
        <v>9973</v>
      </c>
      <c r="G84" s="6" t="n">
        <v>9973</v>
      </c>
      <c r="H84" s="6" t="b">
        <v>1</v>
      </c>
      <c r="I84" s="6" t="n">
        <v>350</v>
      </c>
      <c r="J84" s="6" t="n">
        <v>28.4943</v>
      </c>
      <c r="K84" s="6" t="inlineStr">
        <is>
          <t>&gt; Cuidado Capilar &gt; Shampoo Y Acondicionador &gt;</t>
        </is>
      </c>
      <c r="L84" s="6" t="inlineStr">
        <is>
          <t>shampoo</t>
        </is>
      </c>
      <c r="M84" s="6" t="inlineStr">
        <is>
          <t>estandar</t>
        </is>
      </c>
      <c r="N84" s="6" t="inlineStr">
        <is>
          <t>general</t>
        </is>
      </c>
      <c r="O84" s="6" t="inlineStr">
        <is>
          <t>https://www.farmacity.com/shampoo-bagovit-capilar-brillo-sublime-x-350-ml/p</t>
        </is>
      </c>
      <c r="P84" s="8">
        <f>TRIM(CLEAN(PROPER(D84)))</f>
        <v/>
      </c>
      <c r="Q84" s="8">
        <f>PROPER(TRIM(SUBSTITUTE(SUBSTITUTE(SUBSTITUTE(SUBSTITUTE(E84,"TRESEMME","Tresemme"),"HEAD &amp; SHOULDERS","Head &amp; Shoulders"),"ELVIVE","Elvive"),"FRUCTIS","Fructis")))</f>
        <v/>
      </c>
      <c r="R84" s="8">
        <f>COUNTIF($D$2:$D$10000,D84)&gt;1</f>
        <v/>
      </c>
      <c r="S84" s="8">
        <f>IF(H84=TRUE,"Disponible","No disponible")</f>
        <v/>
      </c>
      <c r="T84" s="8">
        <f>IF(AND(ISNUMBER(I84),I84&gt;0),ROUND(F84/I84,2),"Sin volumen")</f>
        <v/>
      </c>
      <c r="U84" s="8">
        <f>IF(F84&lt;5000,"Bajo",IF(F84&lt;15000,"Medio","Alto"))</f>
        <v/>
      </c>
    </row>
    <row r="85">
      <c r="A85" t="inlineStr">
        <is>
          <t>Farmacity</t>
        </is>
      </c>
      <c r="B85" t="n">
        <v>225277</v>
      </c>
      <c r="C85" t="n">
        <v>225277</v>
      </c>
      <c r="D85" t="inlineStr">
        <is>
          <t>Shampoo Vichy Dercos Psolution Psoriasis x 200 ml</t>
        </is>
      </c>
      <c r="E85" t="inlineStr">
        <is>
          <t>Vichy</t>
        </is>
      </c>
      <c r="F85" t="n">
        <v>53519</v>
      </c>
      <c r="G85" t="n">
        <v>53519</v>
      </c>
      <c r="H85" t="b">
        <v>1</v>
      </c>
      <c r="I85" t="n">
        <v>200</v>
      </c>
      <c r="J85" t="n">
        <v>267.595</v>
      </c>
      <c r="K85" t="inlineStr">
        <is>
          <t>&gt; Dermocosmética &gt; Pelo &gt; Shampoos y Acondicionadores &gt;</t>
        </is>
      </c>
      <c r="L85" t="inlineStr">
        <is>
          <t>shampoo</t>
        </is>
      </c>
      <c r="M85" t="inlineStr">
        <is>
          <t>estandar</t>
        </is>
      </c>
      <c r="N85" t="inlineStr">
        <is>
          <t>general</t>
        </is>
      </c>
      <c r="O85" t="inlineStr">
        <is>
          <t>https://www.farmacity.com/shampoo-vichy-dercos-psolution-x-200-ml/p</t>
        </is>
      </c>
      <c r="P85">
        <f>TRIM(CLEAN(PROPER(D85)))</f>
        <v/>
      </c>
      <c r="Q85">
        <f>PROPER(TRIM(SUBSTITUTE(SUBSTITUTE(SUBSTITUTE(SUBSTITUTE(E85,"TRESEMME","Tresemme"),"HEAD &amp; SHOULDERS","Head &amp; Shoulders"),"ELVIVE","Elvive"),"FRUCTIS","Fructis")))</f>
        <v/>
      </c>
      <c r="R85">
        <f>COUNTIF($D$2:$D$10000,D85)&gt;1</f>
        <v/>
      </c>
      <c r="S85">
        <f>IF(H85=TRUE,"Disponible","No disponible")</f>
        <v/>
      </c>
      <c r="T85">
        <f>IF(AND(ISNUMBER(I85),I85&gt;0),ROUND(F85/I85,2),"Sin volumen")</f>
        <v/>
      </c>
      <c r="U85">
        <f>IF(F85&lt;5000,"Bajo",IF(F85&lt;15000,"Medio","Alto"))</f>
        <v/>
      </c>
    </row>
    <row r="86">
      <c r="A86" s="6" t="inlineStr">
        <is>
          <t>Farmacity</t>
        </is>
      </c>
      <c r="B86" s="6" t="n">
        <v>215361</v>
      </c>
      <c r="C86" s="6" t="n">
        <v>215361</v>
      </c>
      <c r="D86" s="6" t="inlineStr">
        <is>
          <t>Shampoo Panalab Valcatil Complex Reparación x 150 ml</t>
        </is>
      </c>
      <c r="E86" s="6" t="inlineStr">
        <is>
          <t>Valcatil</t>
        </is>
      </c>
      <c r="F86" s="6" t="n">
        <v>32913</v>
      </c>
      <c r="G86" s="6" t="n">
        <v>32913</v>
      </c>
      <c r="H86" s="6" t="b">
        <v>1</v>
      </c>
      <c r="I86" s="6" t="n">
        <v>150</v>
      </c>
      <c r="J86" s="6" t="n">
        <v>219.42</v>
      </c>
      <c r="K86" s="6" t="inlineStr">
        <is>
          <t>&gt; Cuidado Capilar &gt; Shampoo Y Acondicionador &gt;</t>
        </is>
      </c>
      <c r="L86" s="6" t="inlineStr">
        <is>
          <t>shampoo</t>
        </is>
      </c>
      <c r="M86" s="6" t="inlineStr">
        <is>
          <t>estandar</t>
        </is>
      </c>
      <c r="N86" s="6" t="inlineStr">
        <is>
          <t>general</t>
        </is>
      </c>
      <c r="O86" s="6" t="inlineStr">
        <is>
          <t>https://www.farmacity.com/shampoo-panalab-valcatil-complex-reparacion-y-proteccion-pelo-danado-x-150-ml/p</t>
        </is>
      </c>
      <c r="P86" s="8">
        <f>TRIM(CLEAN(PROPER(D86)))</f>
        <v/>
      </c>
      <c r="Q86" s="8">
        <f>PROPER(TRIM(SUBSTITUTE(SUBSTITUTE(SUBSTITUTE(SUBSTITUTE(E86,"TRESEMME","Tresemme"),"HEAD &amp; SHOULDERS","Head &amp; Shoulders"),"ELVIVE","Elvive"),"FRUCTIS","Fructis")))</f>
        <v/>
      </c>
      <c r="R86" s="8">
        <f>COUNTIF($D$2:$D$10000,D86)&gt;1</f>
        <v/>
      </c>
      <c r="S86" s="8">
        <f>IF(H86=TRUE,"Disponible","No disponible")</f>
        <v/>
      </c>
      <c r="T86" s="8">
        <f>IF(AND(ISNUMBER(I86),I86&gt;0),ROUND(F86/I86,2),"Sin volumen")</f>
        <v/>
      </c>
      <c r="U86" s="8">
        <f>IF(F86&lt;5000,"Bajo",IF(F86&lt;15000,"Medio","Alto"))</f>
        <v/>
      </c>
    </row>
    <row r="87">
      <c r="A87" t="inlineStr">
        <is>
          <t>Farmacity</t>
        </is>
      </c>
      <c r="B87" t="n">
        <v>205822</v>
      </c>
      <c r="C87" t="n">
        <v>205822</v>
      </c>
      <c r="D87" t="inlineStr">
        <is>
          <t>Shampoo Biferdil Anti Amarillo x 295 ml</t>
        </is>
      </c>
      <c r="E87" t="inlineStr">
        <is>
          <t>Biferdil</t>
        </is>
      </c>
      <c r="F87" t="n">
        <v>13068</v>
      </c>
      <c r="G87" t="n">
        <v>13068</v>
      </c>
      <c r="H87" t="b">
        <v>1</v>
      </c>
      <c r="I87" t="n">
        <v>295</v>
      </c>
      <c r="J87" t="n">
        <v>44.2983</v>
      </c>
      <c r="K87" t="inlineStr">
        <is>
          <t>&gt; Cuidado Capilar &gt; Shampoo Y Acondicionador &gt;</t>
        </is>
      </c>
      <c r="L87" t="inlineStr">
        <is>
          <t>shampoo</t>
        </is>
      </c>
      <c r="M87" t="inlineStr">
        <is>
          <t>estandar</t>
        </is>
      </c>
      <c r="N87" t="inlineStr">
        <is>
          <t>general</t>
        </is>
      </c>
      <c r="O87" t="inlineStr">
        <is>
          <t>https://www.farmacity.com/shampoo-biferdil-anti-amarillo-x-295-ml/p</t>
        </is>
      </c>
      <c r="P87">
        <f>TRIM(CLEAN(PROPER(D87)))</f>
        <v/>
      </c>
      <c r="Q87">
        <f>PROPER(TRIM(SUBSTITUTE(SUBSTITUTE(SUBSTITUTE(SUBSTITUTE(E87,"TRESEMME","Tresemme"),"HEAD &amp; SHOULDERS","Head &amp; Shoulders"),"ELVIVE","Elvive"),"FRUCTIS","Fructis")))</f>
        <v/>
      </c>
      <c r="R87">
        <f>COUNTIF($D$2:$D$10000,D87)&gt;1</f>
        <v/>
      </c>
      <c r="S87">
        <f>IF(H87=TRUE,"Disponible","No disponible")</f>
        <v/>
      </c>
      <c r="T87">
        <f>IF(AND(ISNUMBER(I87),I87&gt;0),ROUND(F87/I87,2),"Sin volumen")</f>
        <v/>
      </c>
      <c r="U87">
        <f>IF(F87&lt;5000,"Bajo",IF(F87&lt;15000,"Medio","Alto"))</f>
        <v/>
      </c>
    </row>
    <row r="88">
      <c r="A88" s="6" t="inlineStr">
        <is>
          <t>Farmacity</t>
        </is>
      </c>
      <c r="B88" s="6" t="n">
        <v>204155</v>
      </c>
      <c r="C88" s="6" t="n">
        <v>200272</v>
      </c>
      <c r="D88" s="6" t="inlineStr">
        <is>
          <t>Shampoo Vichy Dercos Densificador Densi Solutions x 250 ml</t>
        </is>
      </c>
      <c r="E88" s="6" t="inlineStr">
        <is>
          <t>Vichy</t>
        </is>
      </c>
      <c r="F88" s="6" t="n">
        <v>59423</v>
      </c>
      <c r="G88" s="6" t="n">
        <v>59423</v>
      </c>
      <c r="H88" s="6" t="b">
        <v>1</v>
      </c>
      <c r="I88" s="6" t="n">
        <v>250</v>
      </c>
      <c r="J88" s="6" t="n">
        <v>237.692</v>
      </c>
      <c r="K88" s="6" t="inlineStr">
        <is>
          <t>&gt; Dermocosmética &gt; Pelo &gt; Shampoos y Acondicionadores &gt;</t>
        </is>
      </c>
      <c r="L88" s="6" t="inlineStr">
        <is>
          <t>shampoo</t>
        </is>
      </c>
      <c r="M88" s="6" t="inlineStr">
        <is>
          <t>estandar</t>
        </is>
      </c>
      <c r="N88" s="6" t="inlineStr">
        <is>
          <t>general</t>
        </is>
      </c>
      <c r="O88" s="6" t="inlineStr">
        <is>
          <t>https://www.farmacity.com/dercos-densi-solutions-shampoo-densificador/p</t>
        </is>
      </c>
      <c r="P88" s="8">
        <f>TRIM(CLEAN(PROPER(D88)))</f>
        <v/>
      </c>
      <c r="Q88" s="8">
        <f>PROPER(TRIM(SUBSTITUTE(SUBSTITUTE(SUBSTITUTE(SUBSTITUTE(E88,"TRESEMME","Tresemme"),"HEAD &amp; SHOULDERS","Head &amp; Shoulders"),"ELVIVE","Elvive"),"FRUCTIS","Fructis")))</f>
        <v/>
      </c>
      <c r="R88" s="8">
        <f>COUNTIF($D$2:$D$10000,D88)&gt;1</f>
        <v/>
      </c>
      <c r="S88" s="8">
        <f>IF(H88=TRUE,"Disponible","No disponible")</f>
        <v/>
      </c>
      <c r="T88" s="8">
        <f>IF(AND(ISNUMBER(I88),I88&gt;0),ROUND(F88/I88,2),"Sin volumen")</f>
        <v/>
      </c>
      <c r="U88" s="8">
        <f>IF(F88&lt;5000,"Bajo",IF(F88&lt;15000,"Medio","Alto"))</f>
        <v/>
      </c>
    </row>
    <row r="89">
      <c r="A89" t="inlineStr">
        <is>
          <t>Farmacity</t>
        </is>
      </c>
      <c r="B89" t="n">
        <v>8939</v>
      </c>
      <c r="C89" t="n">
        <v>156317</v>
      </c>
      <c r="D89" t="inlineStr">
        <is>
          <t>Shampoo Sedal Restauración Instantánea x 340 ml</t>
        </is>
      </c>
      <c r="E89" t="inlineStr">
        <is>
          <t>Sedal</t>
        </is>
      </c>
      <c r="F89" t="n">
        <v>5836</v>
      </c>
      <c r="G89" t="n">
        <v>5836</v>
      </c>
      <c r="H89" t="b">
        <v>1</v>
      </c>
      <c r="I89" t="n">
        <v>340</v>
      </c>
      <c r="J89" t="n">
        <v>17.1647</v>
      </c>
      <c r="K89" t="inlineStr">
        <is>
          <t>&gt; Cuidado Capilar &gt; Shampoo Y Acondicionador &gt;</t>
        </is>
      </c>
      <c r="L89" t="inlineStr">
        <is>
          <t>shampoo</t>
        </is>
      </c>
      <c r="M89" t="inlineStr">
        <is>
          <t>estandar</t>
        </is>
      </c>
      <c r="N89" t="inlineStr">
        <is>
          <t>general</t>
        </is>
      </c>
      <c r="O89" t="inlineStr">
        <is>
          <t>https://www.farmacity.com/shampoo-sedal-restauracion-instantanea-x-340-ml/p</t>
        </is>
      </c>
      <c r="P89">
        <f>TRIM(CLEAN(PROPER(D89)))</f>
        <v/>
      </c>
      <c r="Q89">
        <f>PROPER(TRIM(SUBSTITUTE(SUBSTITUTE(SUBSTITUTE(SUBSTITUTE(E89,"TRESEMME","Tresemme"),"HEAD &amp; SHOULDERS","Head &amp; Shoulders"),"ELVIVE","Elvive"),"FRUCTIS","Fructis")))</f>
        <v/>
      </c>
      <c r="R89">
        <f>COUNTIF($D$2:$D$10000,D89)&gt;1</f>
        <v/>
      </c>
      <c r="S89">
        <f>IF(H89=TRUE,"Disponible","No disponible")</f>
        <v/>
      </c>
      <c r="T89">
        <f>IF(AND(ISNUMBER(I89),I89&gt;0),ROUND(F89/I89,2),"Sin volumen")</f>
        <v/>
      </c>
      <c r="U89">
        <f>IF(F89&lt;5000,"Bajo",IF(F89&lt;15000,"Medio","Alto"))</f>
        <v/>
      </c>
    </row>
    <row r="90">
      <c r="A90" s="6" t="inlineStr">
        <is>
          <t>Farmacity</t>
        </is>
      </c>
      <c r="B90" s="6" t="n">
        <v>8880</v>
      </c>
      <c r="C90" s="6" t="n">
        <v>156314</v>
      </c>
      <c r="D90" s="6" t="inlineStr">
        <is>
          <t>Shampoo Sedal Crema Balance Toque Seda x 340 ml</t>
        </is>
      </c>
      <c r="E90" s="6" t="inlineStr">
        <is>
          <t>Sedal</t>
        </is>
      </c>
      <c r="F90" s="6" t="n">
        <v>5836</v>
      </c>
      <c r="G90" s="6" t="n">
        <v>5836</v>
      </c>
      <c r="H90" s="6" t="b">
        <v>1</v>
      </c>
      <c r="I90" s="6" t="n">
        <v>340</v>
      </c>
      <c r="J90" s="6" t="n">
        <v>17.1647</v>
      </c>
      <c r="K90" s="6" t="inlineStr">
        <is>
          <t>&gt; Cuidado Capilar &gt; Shampoo Y Acondicionador &gt;</t>
        </is>
      </c>
      <c r="L90" s="6" t="inlineStr">
        <is>
          <t>shampoo</t>
        </is>
      </c>
      <c r="M90" s="6" t="inlineStr">
        <is>
          <t>estandar</t>
        </is>
      </c>
      <c r="N90" s="6" t="inlineStr">
        <is>
          <t>general</t>
        </is>
      </c>
      <c r="O90" s="6" t="inlineStr">
        <is>
          <t>https://www.farmacity.com/shampoo-crema-balance-x-340-ml/p</t>
        </is>
      </c>
      <c r="P90" s="8">
        <f>TRIM(CLEAN(PROPER(D90)))</f>
        <v/>
      </c>
      <c r="Q90" s="8">
        <f>PROPER(TRIM(SUBSTITUTE(SUBSTITUTE(SUBSTITUTE(SUBSTITUTE(E90,"TRESEMME","Tresemme"),"HEAD &amp; SHOULDERS","Head &amp; Shoulders"),"ELVIVE","Elvive"),"FRUCTIS","Fructis")))</f>
        <v/>
      </c>
      <c r="R90" s="8">
        <f>COUNTIF($D$2:$D$10000,D90)&gt;1</f>
        <v/>
      </c>
      <c r="S90" s="8">
        <f>IF(H90=TRUE,"Disponible","No disponible")</f>
        <v/>
      </c>
      <c r="T90" s="8">
        <f>IF(AND(ISNUMBER(I90),I90&gt;0),ROUND(F90/I90,2),"Sin volumen")</f>
        <v/>
      </c>
      <c r="U90" s="8">
        <f>IF(F90&lt;5000,"Bajo",IF(F90&lt;15000,"Medio","Alto"))</f>
        <v/>
      </c>
    </row>
    <row r="91">
      <c r="A91" t="inlineStr">
        <is>
          <t>Farmacity</t>
        </is>
      </c>
      <c r="B91" t="n">
        <v>5423</v>
      </c>
      <c r="C91" t="n">
        <v>144820</v>
      </c>
      <c r="D91" t="inlineStr">
        <is>
          <t>Shampoo Biferdil Vegano con Keratina Vegetal x 200 ml</t>
        </is>
      </c>
      <c r="E91" t="inlineStr">
        <is>
          <t>Biferdil</t>
        </is>
      </c>
      <c r="F91" t="n">
        <v>10260</v>
      </c>
      <c r="G91" t="n">
        <v>10260</v>
      </c>
      <c r="H91" t="b">
        <v>1</v>
      </c>
      <c r="I91" t="n">
        <v>200</v>
      </c>
      <c r="J91" t="n">
        <v>51.3</v>
      </c>
      <c r="K91" t="inlineStr">
        <is>
          <t>&gt; Cuidado Capilar &gt; Shampoo Y Acondicionador &gt;</t>
        </is>
      </c>
      <c r="L91" t="inlineStr">
        <is>
          <t>shampoo</t>
        </is>
      </c>
      <c r="M91" t="inlineStr">
        <is>
          <t>estandar</t>
        </is>
      </c>
      <c r="N91" t="inlineStr">
        <is>
          <t>tratado</t>
        </is>
      </c>
      <c r="O91" t="inlineStr">
        <is>
          <t>https://www.farmacity.com/shampoo-100-vegano-con-keratina-vegetal-x-200-ml/p</t>
        </is>
      </c>
      <c r="P91">
        <f>TRIM(CLEAN(PROPER(D91)))</f>
        <v/>
      </c>
      <c r="Q91">
        <f>PROPER(TRIM(SUBSTITUTE(SUBSTITUTE(SUBSTITUTE(SUBSTITUTE(E91,"TRESEMME","Tresemme"),"HEAD &amp; SHOULDERS","Head &amp; Shoulders"),"ELVIVE","Elvive"),"FRUCTIS","Fructis")))</f>
        <v/>
      </c>
      <c r="R91">
        <f>COUNTIF($D$2:$D$10000,D91)&gt;1</f>
        <v/>
      </c>
      <c r="S91">
        <f>IF(H91=TRUE,"Disponible","No disponible")</f>
        <v/>
      </c>
      <c r="T91">
        <f>IF(AND(ISNUMBER(I91),I91&gt;0),ROUND(F91/I91,2),"Sin volumen")</f>
        <v/>
      </c>
      <c r="U91">
        <f>IF(F91&lt;5000,"Bajo",IF(F91&lt;15000,"Medio","Alto"))</f>
        <v/>
      </c>
    </row>
    <row r="92">
      <c r="A92" s="6" t="inlineStr">
        <is>
          <t>Farmacity</t>
        </is>
      </c>
      <c r="B92" s="6" t="n">
        <v>858</v>
      </c>
      <c r="C92" s="6" t="n">
        <v>23642</v>
      </c>
      <c r="D92" s="6" t="inlineStr">
        <is>
          <t>Shampoo Capilatis Iluminador x 420 ml</t>
        </is>
      </c>
      <c r="E92" s="6" t="inlineStr">
        <is>
          <t>Capilatis</t>
        </is>
      </c>
      <c r="F92" s="6" t="n">
        <v>9700</v>
      </c>
      <c r="G92" s="6" t="n">
        <v>9700</v>
      </c>
      <c r="H92" s="6" t="b">
        <v>1</v>
      </c>
      <c r="I92" s="6" t="n">
        <v>420</v>
      </c>
      <c r="J92" s="6" t="n">
        <v>23.0952</v>
      </c>
      <c r="K92" s="6" t="inlineStr">
        <is>
          <t>&gt; Cuidado Capilar &gt; Shampoo Y Acondicionador &gt;</t>
        </is>
      </c>
      <c r="L92" s="6" t="inlineStr">
        <is>
          <t>shampoo</t>
        </is>
      </c>
      <c r="M92" s="6" t="inlineStr">
        <is>
          <t>estandar</t>
        </is>
      </c>
      <c r="N92" s="6" t="inlineStr">
        <is>
          <t>general</t>
        </is>
      </c>
      <c r="O92" s="6" t="inlineStr">
        <is>
          <t>https://www.farmacity.com/shampoo-iluminador-x-420-ml/p</t>
        </is>
      </c>
      <c r="P92" s="8">
        <f>TRIM(CLEAN(PROPER(D92)))</f>
        <v/>
      </c>
      <c r="Q92" s="8">
        <f>PROPER(TRIM(SUBSTITUTE(SUBSTITUTE(SUBSTITUTE(SUBSTITUTE(E92,"TRESEMME","Tresemme"),"HEAD &amp; SHOULDERS","Head &amp; Shoulders"),"ELVIVE","Elvive"),"FRUCTIS","Fructis")))</f>
        <v/>
      </c>
      <c r="R92" s="8">
        <f>COUNTIF($D$2:$D$10000,D92)&gt;1</f>
        <v/>
      </c>
      <c r="S92" s="8">
        <f>IF(H92=TRUE,"Disponible","No disponible")</f>
        <v/>
      </c>
      <c r="T92" s="8">
        <f>IF(AND(ISNUMBER(I92),I92&gt;0),ROUND(F92/I92,2),"Sin volumen")</f>
        <v/>
      </c>
      <c r="U92" s="8">
        <f>IF(F92&lt;5000,"Bajo",IF(F92&lt;15000,"Medio","Alto"))</f>
        <v/>
      </c>
    </row>
    <row r="93">
      <c r="A93" t="inlineStr">
        <is>
          <t>Farmacity</t>
        </is>
      </c>
      <c r="B93" t="n">
        <v>250349</v>
      </c>
      <c r="C93" t="n">
        <v>250349</v>
      </c>
      <c r="D93" t="inlineStr">
        <is>
          <t>Shampoo Elvive Collagen Lifter x 200 ml</t>
        </is>
      </c>
      <c r="E93" t="inlineStr">
        <is>
          <t>Elvive</t>
        </is>
      </c>
      <c r="F93" t="n">
        <v>7490</v>
      </c>
      <c r="G93" t="n">
        <v>7490</v>
      </c>
      <c r="H93" t="b">
        <v>1</v>
      </c>
      <c r="I93" t="n">
        <v>200</v>
      </c>
      <c r="J93" t="n">
        <v>37.45</v>
      </c>
      <c r="K93" t="inlineStr">
        <is>
          <t>&gt; Cuidado Capilar &gt; Shampoo Y Acondicionador &gt;</t>
        </is>
      </c>
      <c r="L93" t="inlineStr">
        <is>
          <t>shampoo</t>
        </is>
      </c>
      <c r="M93" t="inlineStr">
        <is>
          <t>profesional</t>
        </is>
      </c>
      <c r="N93" t="inlineStr">
        <is>
          <t>general</t>
        </is>
      </c>
      <c r="O93" t="inlineStr">
        <is>
          <t>https://www.farmacity.com/shampoo-elvive-colageno-lifter-x-200-ml/p</t>
        </is>
      </c>
      <c r="P93">
        <f>TRIM(CLEAN(PROPER(D93)))</f>
        <v/>
      </c>
      <c r="Q93">
        <f>PROPER(TRIM(SUBSTITUTE(SUBSTITUTE(SUBSTITUTE(SUBSTITUTE(E93,"TRESEMME","Tresemme"),"HEAD &amp; SHOULDERS","Head &amp; Shoulders"),"ELVIVE","Elvive"),"FRUCTIS","Fructis")))</f>
        <v/>
      </c>
      <c r="R93">
        <f>COUNTIF($D$2:$D$10000,D93)&gt;1</f>
        <v/>
      </c>
      <c r="S93">
        <f>IF(H93=TRUE,"Disponible","No disponible")</f>
        <v/>
      </c>
      <c r="T93">
        <f>IF(AND(ISNUMBER(I93),I93&gt;0),ROUND(F93/I93,2),"Sin volumen")</f>
        <v/>
      </c>
      <c r="U93">
        <f>IF(F93&lt;5000,"Bajo",IF(F93&lt;15000,"Medio","Alto"))</f>
        <v/>
      </c>
    </row>
    <row r="94">
      <c r="A94" s="6" t="inlineStr">
        <is>
          <t>Farmacity</t>
        </is>
      </c>
      <c r="B94" s="6" t="n">
        <v>250194</v>
      </c>
      <c r="C94" s="6" t="n">
        <v>250194</v>
      </c>
      <c r="D94" s="6" t="inlineStr">
        <is>
          <t>Shampoo La Puissance Extra Cell Plex Paso 1 x 300 ml</t>
        </is>
      </c>
      <c r="E94" s="6" t="inlineStr">
        <is>
          <t>La Puissance</t>
        </is>
      </c>
      <c r="F94" s="6" t="n">
        <v>35700</v>
      </c>
      <c r="G94" s="6" t="n">
        <v>35700</v>
      </c>
      <c r="H94" s="6" t="b">
        <v>1</v>
      </c>
      <c r="I94" s="6" t="n">
        <v>300</v>
      </c>
      <c r="J94" s="6" t="n">
        <v>119</v>
      </c>
      <c r="K94" s="6" t="inlineStr">
        <is>
          <t>&gt; Cuidado Capilar &gt; Shampoo Y Acondicionador &gt;</t>
        </is>
      </c>
      <c r="L94" s="6" t="inlineStr">
        <is>
          <t>shampoo</t>
        </is>
      </c>
      <c r="M94" s="6" t="inlineStr">
        <is>
          <t>estandar</t>
        </is>
      </c>
      <c r="N94" s="6" t="inlineStr">
        <is>
          <t>general</t>
        </is>
      </c>
      <c r="O94" s="6" t="inlineStr">
        <is>
          <t>https://www.farmacity.com/shampoo-la-puissance-extra-cell-plex-paso-1-x-300-ml/p</t>
        </is>
      </c>
      <c r="P94" s="8">
        <f>TRIM(CLEAN(PROPER(D94)))</f>
        <v/>
      </c>
      <c r="Q94" s="8">
        <f>PROPER(TRIM(SUBSTITUTE(SUBSTITUTE(SUBSTITUTE(SUBSTITUTE(E94,"TRESEMME","Tresemme"),"HEAD &amp; SHOULDERS","Head &amp; Shoulders"),"ELVIVE","Elvive"),"FRUCTIS","Fructis")))</f>
        <v/>
      </c>
      <c r="R94" s="8">
        <f>COUNTIF($D$2:$D$10000,D94)&gt;1</f>
        <v/>
      </c>
      <c r="S94" s="8">
        <f>IF(H94=TRUE,"Disponible","No disponible")</f>
        <v/>
      </c>
      <c r="T94" s="8">
        <f>IF(AND(ISNUMBER(I94),I94&gt;0),ROUND(F94/I94,2),"Sin volumen")</f>
        <v/>
      </c>
      <c r="U94" s="8">
        <f>IF(F94&lt;5000,"Bajo",IF(F94&lt;15000,"Medio","Alto"))</f>
        <v/>
      </c>
    </row>
    <row r="95">
      <c r="A95" t="inlineStr">
        <is>
          <t>Farmacity</t>
        </is>
      </c>
      <c r="B95" t="n">
        <v>238678</v>
      </c>
      <c r="C95" t="n">
        <v>238678</v>
      </c>
      <c r="D95" t="inlineStr">
        <is>
          <t>Shampoo Biferdil Kids Azul x 250 ml</t>
        </is>
      </c>
      <c r="E95" t="inlineStr">
        <is>
          <t>Biferdil</t>
        </is>
      </c>
      <c r="F95" t="n">
        <v>12204</v>
      </c>
      <c r="G95" t="n">
        <v>12204</v>
      </c>
      <c r="H95" t="b">
        <v>1</v>
      </c>
      <c r="I95" t="n">
        <v>250</v>
      </c>
      <c r="J95" t="n">
        <v>48.816</v>
      </c>
      <c r="K95" t="inlineStr">
        <is>
          <t>&gt; Bebés &gt; Higiene del Bebé &gt; Baño Del Bebé &gt;</t>
        </is>
      </c>
      <c r="L95" t="inlineStr">
        <is>
          <t>shampoo</t>
        </is>
      </c>
      <c r="M95" t="inlineStr">
        <is>
          <t>estandar</t>
        </is>
      </c>
      <c r="N95" t="inlineStr">
        <is>
          <t>bebe</t>
        </is>
      </c>
      <c r="O95" t="inlineStr">
        <is>
          <t>https://www.farmacity.com/shampoo-biferdil-kids-azul-x-250-ml/p</t>
        </is>
      </c>
      <c r="P95">
        <f>TRIM(CLEAN(PROPER(D95)))</f>
        <v/>
      </c>
      <c r="Q95">
        <f>PROPER(TRIM(SUBSTITUTE(SUBSTITUTE(SUBSTITUTE(SUBSTITUTE(E95,"TRESEMME","Tresemme"),"HEAD &amp; SHOULDERS","Head &amp; Shoulders"),"ELVIVE","Elvive"),"FRUCTIS","Fructis")))</f>
        <v/>
      </c>
      <c r="R95">
        <f>COUNTIF($D$2:$D$10000,D95)&gt;1</f>
        <v/>
      </c>
      <c r="S95">
        <f>IF(H95=TRUE,"Disponible","No disponible")</f>
        <v/>
      </c>
      <c r="T95">
        <f>IF(AND(ISNUMBER(I95),I95&gt;0),ROUND(F95/I95,2),"Sin volumen")</f>
        <v/>
      </c>
      <c r="U95">
        <f>IF(F95&lt;5000,"Bajo",IF(F95&lt;15000,"Medio","Alto"))</f>
        <v/>
      </c>
    </row>
    <row r="96">
      <c r="A96" s="6" t="inlineStr">
        <is>
          <t>Farmacity</t>
        </is>
      </c>
      <c r="B96" s="6" t="n">
        <v>237193</v>
      </c>
      <c r="C96" s="6" t="n">
        <v>237193</v>
      </c>
      <c r="D96" s="6" t="inlineStr">
        <is>
          <t>Shampoo La Botica Eco Sólido Infantil con Avena y Caléndula Anmat OK x 60 g</t>
        </is>
      </c>
      <c r="E96" s="6" t="inlineStr">
        <is>
          <t>La Botica Eco</t>
        </is>
      </c>
      <c r="F96" s="6" t="n">
        <v>11289</v>
      </c>
      <c r="G96" s="6" t="n">
        <v>11289</v>
      </c>
      <c r="H96" s="6" t="b">
        <v>1</v>
      </c>
      <c r="I96" s="6" t="n">
        <v>60</v>
      </c>
      <c r="J96" s="6" t="n">
        <v>188.15</v>
      </c>
      <c r="K96" s="6" t="inlineStr">
        <is>
          <t>&gt; Bebés &gt; Higiene del Bebé &gt; Baño Del Bebé &gt;</t>
        </is>
      </c>
      <c r="L96" s="6" t="inlineStr">
        <is>
          <t>shampoo</t>
        </is>
      </c>
      <c r="M96" s="6" t="inlineStr">
        <is>
          <t>estandar</t>
        </is>
      </c>
      <c r="N96" s="6" t="inlineStr">
        <is>
          <t>bebe</t>
        </is>
      </c>
      <c r="O96" s="6" t="inlineStr">
        <is>
          <t>https://www.farmacity.com/shampoo-la-botica-eco-solido-infantil-con-avena-y-calendula-anmat-ok-x-60-g/p</t>
        </is>
      </c>
      <c r="P96" s="8">
        <f>TRIM(CLEAN(PROPER(D96)))</f>
        <v/>
      </c>
      <c r="Q96" s="8">
        <f>PROPER(TRIM(SUBSTITUTE(SUBSTITUTE(SUBSTITUTE(SUBSTITUTE(E96,"TRESEMME","Tresemme"),"HEAD &amp; SHOULDERS","Head &amp; Shoulders"),"ELVIVE","Elvive"),"FRUCTIS","Fructis")))</f>
        <v/>
      </c>
      <c r="R96" s="8">
        <f>COUNTIF($D$2:$D$10000,D96)&gt;1</f>
        <v/>
      </c>
      <c r="S96" s="8">
        <f>IF(H96=TRUE,"Disponible","No disponible")</f>
        <v/>
      </c>
      <c r="T96" s="8">
        <f>IF(AND(ISNUMBER(I96),I96&gt;0),ROUND(F96/I96,2),"Sin volumen")</f>
        <v/>
      </c>
      <c r="U96" s="8">
        <f>IF(F96&lt;5000,"Bajo",IF(F96&lt;15000,"Medio","Alto"))</f>
        <v/>
      </c>
    </row>
    <row r="97">
      <c r="A97" t="inlineStr">
        <is>
          <t>Farmacity</t>
        </is>
      </c>
      <c r="B97" t="n">
        <v>235939</v>
      </c>
      <c r="C97" t="n">
        <v>235939</v>
      </c>
      <c r="D97" t="inlineStr">
        <is>
          <t>Shampoo Meraki Sólido Nutritivo x 65 g</t>
        </is>
      </c>
      <c r="E97" t="inlineStr">
        <is>
          <t>Meraki</t>
        </is>
      </c>
      <c r="F97" t="n">
        <v>9257</v>
      </c>
      <c r="G97" t="n">
        <v>13224</v>
      </c>
      <c r="H97" t="b">
        <v>1</v>
      </c>
      <c r="I97" t="n">
        <v>65</v>
      </c>
      <c r="J97" t="n">
        <v>142.4154</v>
      </c>
      <c r="K97" t="inlineStr">
        <is>
          <t>&gt; Cuidado Capilar &gt; Shampoo Y Acondicionador &gt;</t>
        </is>
      </c>
      <c r="L97" t="inlineStr">
        <is>
          <t>shampoo</t>
        </is>
      </c>
      <c r="M97" t="inlineStr">
        <is>
          <t>estandar</t>
        </is>
      </c>
      <c r="N97" t="inlineStr">
        <is>
          <t>general</t>
        </is>
      </c>
      <c r="O97" t="inlineStr">
        <is>
          <t>https://www.farmacity.com/shampoo-meraki-solido-nutritivo-x-65-g/p</t>
        </is>
      </c>
      <c r="P97">
        <f>TRIM(CLEAN(PROPER(D97)))</f>
        <v/>
      </c>
      <c r="Q97">
        <f>PROPER(TRIM(SUBSTITUTE(SUBSTITUTE(SUBSTITUTE(SUBSTITUTE(E97,"TRESEMME","Tresemme"),"HEAD &amp; SHOULDERS","Head &amp; Shoulders"),"ELVIVE","Elvive"),"FRUCTIS","Fructis")))</f>
        <v/>
      </c>
      <c r="R97">
        <f>COUNTIF($D$2:$D$10000,D97)&gt;1</f>
        <v/>
      </c>
      <c r="S97">
        <f>IF(H97=TRUE,"Disponible","No disponible")</f>
        <v/>
      </c>
      <c r="T97">
        <f>IF(AND(ISNUMBER(I97),I97&gt;0),ROUND(F97/I97,2),"Sin volumen")</f>
        <v/>
      </c>
      <c r="U97">
        <f>IF(F97&lt;5000,"Bajo",IF(F97&lt;15000,"Medio","Alto"))</f>
        <v/>
      </c>
    </row>
    <row r="98">
      <c r="A98" s="6" t="inlineStr">
        <is>
          <t>Farmacity</t>
        </is>
      </c>
      <c r="B98" s="6" t="n">
        <v>230667</v>
      </c>
      <c r="C98" s="6" t="n">
        <v>230667</v>
      </c>
      <c r="D98" s="6" t="inlineStr">
        <is>
          <t>Shampoo Veganis Double Trouble x 400 ml</t>
        </is>
      </c>
      <c r="E98" s="6" t="inlineStr">
        <is>
          <t>Veganis</t>
        </is>
      </c>
      <c r="F98" s="6" t="n">
        <v>14616</v>
      </c>
      <c r="G98" s="6" t="n">
        <v>14616</v>
      </c>
      <c r="H98" s="6" t="b">
        <v>1</v>
      </c>
      <c r="I98" s="6" t="n">
        <v>400</v>
      </c>
      <c r="J98" s="6" t="n">
        <v>36.54</v>
      </c>
      <c r="K98" s="6" t="inlineStr">
        <is>
          <t>&gt; Cuidado Capilar &gt; Shampoo Y Acondicionador &gt;</t>
        </is>
      </c>
      <c r="L98" s="6" t="inlineStr">
        <is>
          <t>shampoo</t>
        </is>
      </c>
      <c r="M98" s="6" t="inlineStr">
        <is>
          <t>estandar</t>
        </is>
      </c>
      <c r="N98" s="6" t="inlineStr">
        <is>
          <t>general</t>
        </is>
      </c>
      <c r="O98" s="6" t="inlineStr">
        <is>
          <t>https://www.farmacity.com/shampoo-veganis-double-trouble-x-400-ml/p</t>
        </is>
      </c>
      <c r="P98" s="8">
        <f>TRIM(CLEAN(PROPER(D98)))</f>
        <v/>
      </c>
      <c r="Q98" s="8">
        <f>PROPER(TRIM(SUBSTITUTE(SUBSTITUTE(SUBSTITUTE(SUBSTITUTE(E98,"TRESEMME","Tresemme"),"HEAD &amp; SHOULDERS","Head &amp; Shoulders"),"ELVIVE","Elvive"),"FRUCTIS","Fructis")))</f>
        <v/>
      </c>
      <c r="R98" s="8">
        <f>COUNTIF($D$2:$D$10000,D98)&gt;1</f>
        <v/>
      </c>
      <c r="S98" s="8">
        <f>IF(H98=TRUE,"Disponible","No disponible")</f>
        <v/>
      </c>
      <c r="T98" s="8">
        <f>IF(AND(ISNUMBER(I98),I98&gt;0),ROUND(F98/I98,2),"Sin volumen")</f>
        <v/>
      </c>
      <c r="U98" s="8">
        <f>IF(F98&lt;5000,"Bajo",IF(F98&lt;15000,"Medio","Alto"))</f>
        <v/>
      </c>
    </row>
    <row r="99">
      <c r="A99" t="inlineStr">
        <is>
          <t>Farmacity</t>
        </is>
      </c>
      <c r="B99" t="n">
        <v>229992</v>
      </c>
      <c r="C99" t="n">
        <v>229992</v>
      </c>
      <c r="D99" t="inlineStr">
        <is>
          <t>Shampoo Seco Batiste Original x 108 g</t>
        </is>
      </c>
      <c r="E99" t="inlineStr">
        <is>
          <t>Batiste</t>
        </is>
      </c>
      <c r="F99" t="n">
        <v>14364</v>
      </c>
      <c r="G99" t="n">
        <v>17955</v>
      </c>
      <c r="H99" t="b">
        <v>1</v>
      </c>
      <c r="I99" t="n">
        <v>108</v>
      </c>
      <c r="J99" t="n">
        <v>133</v>
      </c>
      <c r="K99" t="inlineStr">
        <is>
          <t>&gt; Cuidado Capilar &gt; Shampoo Y Acondicionador &gt;</t>
        </is>
      </c>
      <c r="L99" t="inlineStr">
        <is>
          <t>shampoo</t>
        </is>
      </c>
      <c r="M99" t="inlineStr">
        <is>
          <t>estandar</t>
        </is>
      </c>
      <c r="N99" t="inlineStr">
        <is>
          <t>seco_danado</t>
        </is>
      </c>
      <c r="O99" t="inlineStr">
        <is>
          <t>https://www.farmacity.com/shampoo-seco-batiste-original-x-200-ml/p</t>
        </is>
      </c>
      <c r="P99">
        <f>TRIM(CLEAN(PROPER(D99)))</f>
        <v/>
      </c>
      <c r="Q99">
        <f>PROPER(TRIM(SUBSTITUTE(SUBSTITUTE(SUBSTITUTE(SUBSTITUTE(E99,"TRESEMME","Tresemme"),"HEAD &amp; SHOULDERS","Head &amp; Shoulders"),"ELVIVE","Elvive"),"FRUCTIS","Fructis")))</f>
        <v/>
      </c>
      <c r="R99">
        <f>COUNTIF($D$2:$D$10000,D99)&gt;1</f>
        <v/>
      </c>
      <c r="S99">
        <f>IF(H99=TRUE,"Disponible","No disponible")</f>
        <v/>
      </c>
      <c r="T99">
        <f>IF(AND(ISNUMBER(I99),I99&gt;0),ROUND(F99/I99,2),"Sin volumen")</f>
        <v/>
      </c>
      <c r="U99">
        <f>IF(F99&lt;5000,"Bajo",IF(F99&lt;15000,"Medio","Alto"))</f>
        <v/>
      </c>
    </row>
    <row r="100">
      <c r="A100" s="6" t="inlineStr">
        <is>
          <t>Farmacity</t>
        </is>
      </c>
      <c r="B100" s="6" t="n">
        <v>229988</v>
      </c>
      <c r="C100" s="6" t="n">
        <v>229988</v>
      </c>
      <c r="D100" s="6" t="inlineStr">
        <is>
          <t>Shampoo Tío Nacho Aclarante x 200 ml</t>
        </is>
      </c>
      <c r="E100" s="6" t="inlineStr">
        <is>
          <t>Tío Nacho</t>
        </is>
      </c>
      <c r="F100" s="6" t="n">
        <v>8057</v>
      </c>
      <c r="G100" s="6" t="n">
        <v>8057</v>
      </c>
      <c r="H100" s="6" t="b">
        <v>1</v>
      </c>
      <c r="I100" s="6" t="n">
        <v>200</v>
      </c>
      <c r="J100" s="6" t="n">
        <v>40.285</v>
      </c>
      <c r="K100" s="6" t="inlineStr">
        <is>
          <t>&gt; Cuidado Capilar &gt; Shampoo Y Acondicionador &gt;</t>
        </is>
      </c>
      <c r="L100" s="6" t="inlineStr">
        <is>
          <t>shampoo</t>
        </is>
      </c>
      <c r="M100" s="6" t="inlineStr">
        <is>
          <t>estandar</t>
        </is>
      </c>
      <c r="N100" s="6" t="inlineStr">
        <is>
          <t>general</t>
        </is>
      </c>
      <c r="O100" s="6" t="inlineStr">
        <is>
          <t>https://www.farmacity.com/shampoo-tio-nacho-aclarante-x-200-ml/p</t>
        </is>
      </c>
      <c r="P100" s="8">
        <f>TRIM(CLEAN(PROPER(D100)))</f>
        <v/>
      </c>
      <c r="Q100" s="8">
        <f>PROPER(TRIM(SUBSTITUTE(SUBSTITUTE(SUBSTITUTE(SUBSTITUTE(E100,"TRESEMME","Tresemme"),"HEAD &amp; SHOULDERS","Head &amp; Shoulders"),"ELVIVE","Elvive"),"FRUCTIS","Fructis")))</f>
        <v/>
      </c>
      <c r="R100" s="8">
        <f>COUNTIF($D$2:$D$10000,D100)&gt;1</f>
        <v/>
      </c>
      <c r="S100" s="8">
        <f>IF(H100=TRUE,"Disponible","No disponible")</f>
        <v/>
      </c>
      <c r="T100" s="8">
        <f>IF(AND(ISNUMBER(I100),I100&gt;0),ROUND(F100/I100,2),"Sin volumen")</f>
        <v/>
      </c>
      <c r="U100" s="8">
        <f>IF(F100&lt;5000,"Bajo",IF(F100&lt;15000,"Medio","Alto"))</f>
        <v/>
      </c>
    </row>
    <row r="101">
      <c r="A101" t="inlineStr">
        <is>
          <t>Farmacity</t>
        </is>
      </c>
      <c r="B101" t="n">
        <v>228964</v>
      </c>
      <c r="C101" t="n">
        <v>228964</v>
      </c>
      <c r="D101" t="inlineStr">
        <is>
          <t>Shampoo Solido Ruh Natural Silver x 65 g</t>
        </is>
      </c>
      <c r="E101" t="inlineStr">
        <is>
          <t>Ruh Natural</t>
        </is>
      </c>
      <c r="F101" t="n">
        <v>13508</v>
      </c>
      <c r="G101" t="n">
        <v>13508</v>
      </c>
      <c r="H101" t="b">
        <v>1</v>
      </c>
      <c r="I101" t="n">
        <v>65</v>
      </c>
      <c r="J101" t="n">
        <v>207.8154</v>
      </c>
      <c r="K101" t="inlineStr">
        <is>
          <t>&gt; Cuidado Capilar &gt; Shampoo Y Acondicionador &gt;</t>
        </is>
      </c>
      <c r="L101" t="inlineStr">
        <is>
          <t>shampoo</t>
        </is>
      </c>
      <c r="M101" t="inlineStr">
        <is>
          <t>estandar</t>
        </is>
      </c>
      <c r="N101" t="inlineStr">
        <is>
          <t>general</t>
        </is>
      </c>
      <c r="O101" t="inlineStr">
        <is>
          <t>https://www.farmacity.com/shampoo-solido-ruh-silver-cabello-graso-x-65-g/p</t>
        </is>
      </c>
      <c r="P101">
        <f>TRIM(CLEAN(PROPER(D101)))</f>
        <v/>
      </c>
      <c r="Q101">
        <f>PROPER(TRIM(SUBSTITUTE(SUBSTITUTE(SUBSTITUTE(SUBSTITUTE(E101,"TRESEMME","Tresemme"),"HEAD &amp; SHOULDERS","Head &amp; Shoulders"),"ELVIVE","Elvive"),"FRUCTIS","Fructis")))</f>
        <v/>
      </c>
      <c r="R101">
        <f>COUNTIF($D$2:$D$10000,D101)&gt;1</f>
        <v/>
      </c>
      <c r="S101">
        <f>IF(H101=TRUE,"Disponible","No disponible")</f>
        <v/>
      </c>
      <c r="T101">
        <f>IF(AND(ISNUMBER(I101),I101&gt;0),ROUND(F101/I101,2),"Sin volumen")</f>
        <v/>
      </c>
      <c r="U101">
        <f>IF(F101&lt;5000,"Bajo",IF(F101&lt;15000,"Medio","Alto"))</f>
        <v/>
      </c>
    </row>
    <row r="102">
      <c r="A102" s="6" t="inlineStr">
        <is>
          <t>Farmacity</t>
        </is>
      </c>
      <c r="B102" s="6" t="n">
        <v>228962</v>
      </c>
      <c r="C102" s="6" t="n">
        <v>228962</v>
      </c>
      <c r="D102" s="6" t="inlineStr">
        <is>
          <t>Shampoo Solido Ruh Natural Mechanic Orange x 65 g</t>
        </is>
      </c>
      <c r="E102" s="6" t="inlineStr">
        <is>
          <t>Ruh Natural</t>
        </is>
      </c>
      <c r="F102" s="6" t="n">
        <v>13508</v>
      </c>
      <c r="G102" s="6" t="n">
        <v>13508</v>
      </c>
      <c r="H102" s="6" t="b">
        <v>1</v>
      </c>
      <c r="I102" s="6" t="n">
        <v>65</v>
      </c>
      <c r="J102" s="6" t="n">
        <v>207.8154</v>
      </c>
      <c r="K102" s="6" t="inlineStr">
        <is>
          <t>&gt; Cuidado Capilar &gt; Shampoo Y Acondicionador &gt;</t>
        </is>
      </c>
      <c r="L102" s="6" t="inlineStr">
        <is>
          <t>shampoo</t>
        </is>
      </c>
      <c r="M102" s="6" t="inlineStr">
        <is>
          <t>estandar</t>
        </is>
      </c>
      <c r="N102" s="6" t="inlineStr">
        <is>
          <t>general</t>
        </is>
      </c>
      <c r="O102" s="6" t="inlineStr">
        <is>
          <t>https://www.farmacity.com/shampoo-solido-ruh-mechanic-orange-cabello-seco-x-65-g/p</t>
        </is>
      </c>
      <c r="P102" s="8">
        <f>TRIM(CLEAN(PROPER(D102)))</f>
        <v/>
      </c>
      <c r="Q102" s="8">
        <f>PROPER(TRIM(SUBSTITUTE(SUBSTITUTE(SUBSTITUTE(SUBSTITUTE(E102,"TRESEMME","Tresemme"),"HEAD &amp; SHOULDERS","Head &amp; Shoulders"),"ELVIVE","Elvive"),"FRUCTIS","Fructis")))</f>
        <v/>
      </c>
      <c r="R102" s="8">
        <f>COUNTIF($D$2:$D$10000,D102)&gt;1</f>
        <v/>
      </c>
      <c r="S102" s="8">
        <f>IF(H102=TRUE,"Disponible","No disponible")</f>
        <v/>
      </c>
      <c r="T102" s="8">
        <f>IF(AND(ISNUMBER(I102),I102&gt;0),ROUND(F102/I102,2),"Sin volumen")</f>
        <v/>
      </c>
      <c r="U102" s="8">
        <f>IF(F102&lt;5000,"Bajo",IF(F102&lt;15000,"Medio","Alto"))</f>
        <v/>
      </c>
    </row>
    <row r="103">
      <c r="A103" t="inlineStr">
        <is>
          <t>Farmacity</t>
        </is>
      </c>
      <c r="B103" t="n">
        <v>228961</v>
      </c>
      <c r="C103" t="n">
        <v>228961</v>
      </c>
      <c r="D103" t="inlineStr">
        <is>
          <t>Shampoo Solido Ruh Natural Lavender x 65 g</t>
        </is>
      </c>
      <c r="E103" t="inlineStr">
        <is>
          <t>Ruh Natural</t>
        </is>
      </c>
      <c r="F103" t="n">
        <v>13508</v>
      </c>
      <c r="G103" t="n">
        <v>13508</v>
      </c>
      <c r="H103" t="b">
        <v>1</v>
      </c>
      <c r="I103" t="n">
        <v>65</v>
      </c>
      <c r="J103" t="n">
        <v>207.8154</v>
      </c>
      <c r="K103" t="inlineStr">
        <is>
          <t>&gt; Cuidado Capilar &gt; Shampoo Y Acondicionador &gt;</t>
        </is>
      </c>
      <c r="L103" t="inlineStr">
        <is>
          <t>shampoo</t>
        </is>
      </c>
      <c r="M103" t="inlineStr">
        <is>
          <t>estandar</t>
        </is>
      </c>
      <c r="N103" t="inlineStr">
        <is>
          <t>general</t>
        </is>
      </c>
      <c r="O103" t="inlineStr">
        <is>
          <t>https://www.farmacity.com/shampoo-solido-ruh-lavender-cabello-tenido-x-65-g/p</t>
        </is>
      </c>
      <c r="P103">
        <f>TRIM(CLEAN(PROPER(D103)))</f>
        <v/>
      </c>
      <c r="Q103">
        <f>PROPER(TRIM(SUBSTITUTE(SUBSTITUTE(SUBSTITUTE(SUBSTITUTE(E103,"TRESEMME","Tresemme"),"HEAD &amp; SHOULDERS","Head &amp; Shoulders"),"ELVIVE","Elvive"),"FRUCTIS","Fructis")))</f>
        <v/>
      </c>
      <c r="R103">
        <f>COUNTIF($D$2:$D$10000,D103)&gt;1</f>
        <v/>
      </c>
      <c r="S103">
        <f>IF(H103=TRUE,"Disponible","No disponible")</f>
        <v/>
      </c>
      <c r="T103">
        <f>IF(AND(ISNUMBER(I103),I103&gt;0),ROUND(F103/I103,2),"Sin volumen")</f>
        <v/>
      </c>
      <c r="U103">
        <f>IF(F103&lt;5000,"Bajo",IF(F103&lt;15000,"Medio","Alto"))</f>
        <v/>
      </c>
    </row>
    <row r="104">
      <c r="A104" s="6" t="inlineStr">
        <is>
          <t>Farmacity</t>
        </is>
      </c>
      <c r="B104" s="6" t="n">
        <v>224526</v>
      </c>
      <c r="C104" s="6" t="n">
        <v>224526</v>
      </c>
      <c r="D104" s="6" t="inlineStr">
        <is>
          <t>Shampoo Anticaída Klorane x 400 ml</t>
        </is>
      </c>
      <c r="E104" s="6" t="inlineStr">
        <is>
          <t>Klorane</t>
        </is>
      </c>
      <c r="F104" s="6" t="n">
        <v>36750</v>
      </c>
      <c r="G104" s="6" t="n">
        <v>52500</v>
      </c>
      <c r="H104" s="6" t="b">
        <v>1</v>
      </c>
      <c r="I104" s="6" t="n">
        <v>400</v>
      </c>
      <c r="J104" s="6" t="n">
        <v>91.875</v>
      </c>
      <c r="K104" s="6" t="inlineStr">
        <is>
          <t>&gt; Dermocosmética &gt; Pelo &gt; Shampoos y Acondicionadores &gt;</t>
        </is>
      </c>
      <c r="L104" s="6" t="inlineStr">
        <is>
          <t>shampoo</t>
        </is>
      </c>
      <c r="M104" s="6" t="inlineStr">
        <is>
          <t>estandar</t>
        </is>
      </c>
      <c r="N104" s="6" t="inlineStr">
        <is>
          <t>general</t>
        </is>
      </c>
      <c r="O104" s="6" t="inlineStr">
        <is>
          <t>https://www.farmacity.com/shampoo-klorane-quinina-x-400-ml/p</t>
        </is>
      </c>
      <c r="P104" s="8">
        <f>TRIM(CLEAN(PROPER(D104)))</f>
        <v/>
      </c>
      <c r="Q104" s="8">
        <f>PROPER(TRIM(SUBSTITUTE(SUBSTITUTE(SUBSTITUTE(SUBSTITUTE(E104,"TRESEMME","Tresemme"),"HEAD &amp; SHOULDERS","Head &amp; Shoulders"),"ELVIVE","Elvive"),"FRUCTIS","Fructis")))</f>
        <v/>
      </c>
      <c r="R104" s="8">
        <f>COUNTIF($D$2:$D$10000,D104)&gt;1</f>
        <v/>
      </c>
      <c r="S104" s="8">
        <f>IF(H104=TRUE,"Disponible","No disponible")</f>
        <v/>
      </c>
      <c r="T104" s="8">
        <f>IF(AND(ISNUMBER(I104),I104&gt;0),ROUND(F104/I104,2),"Sin volumen")</f>
        <v/>
      </c>
      <c r="U104" s="8">
        <f>IF(F104&lt;5000,"Bajo",IF(F104&lt;15000,"Medio","Alto"))</f>
        <v/>
      </c>
    </row>
    <row r="105">
      <c r="A105" t="inlineStr">
        <is>
          <t>Farmacity</t>
        </is>
      </c>
      <c r="B105" t="n">
        <v>219382</v>
      </c>
      <c r="C105" t="n">
        <v>219382</v>
      </c>
      <c r="D105" t="inlineStr">
        <is>
          <t>Shampoo Alta Moda Acqua Shine x 300 ml</t>
        </is>
      </c>
      <c r="E105" t="inlineStr">
        <is>
          <t>Alta Moda</t>
        </is>
      </c>
      <c r="F105" t="n">
        <v>4301</v>
      </c>
      <c r="G105" t="n">
        <v>8602</v>
      </c>
      <c r="H105" t="b">
        <v>1</v>
      </c>
      <c r="I105" t="n">
        <v>300</v>
      </c>
      <c r="J105" t="n">
        <v>14.3367</v>
      </c>
      <c r="K105" t="inlineStr">
        <is>
          <t>&gt; Cuidado Capilar &gt; Shampoo Y Acondicionador &gt;</t>
        </is>
      </c>
      <c r="L105" t="inlineStr">
        <is>
          <t>shampoo</t>
        </is>
      </c>
      <c r="M105" t="inlineStr">
        <is>
          <t>estandar</t>
        </is>
      </c>
      <c r="N105" t="inlineStr">
        <is>
          <t>general</t>
        </is>
      </c>
      <c r="O105" t="inlineStr">
        <is>
          <t>https://www.farmacity.com/shampoo-alta-moda-e-vegano-x-300-ml/p</t>
        </is>
      </c>
      <c r="P105">
        <f>TRIM(CLEAN(PROPER(D105)))</f>
        <v/>
      </c>
      <c r="Q105">
        <f>PROPER(TRIM(SUBSTITUTE(SUBSTITUTE(SUBSTITUTE(SUBSTITUTE(E105,"TRESEMME","Tresemme"),"HEAD &amp; SHOULDERS","Head &amp; Shoulders"),"ELVIVE","Elvive"),"FRUCTIS","Fructis")))</f>
        <v/>
      </c>
      <c r="R105">
        <f>COUNTIF($D$2:$D$10000,D105)&gt;1</f>
        <v/>
      </c>
      <c r="S105">
        <f>IF(H105=TRUE,"Disponible","No disponible")</f>
        <v/>
      </c>
      <c r="T105">
        <f>IF(AND(ISNUMBER(I105),I105&gt;0),ROUND(F105/I105,2),"Sin volumen")</f>
        <v/>
      </c>
      <c r="U105">
        <f>IF(F105&lt;5000,"Bajo",IF(F105&lt;15000,"Medio","Alto"))</f>
        <v/>
      </c>
    </row>
    <row r="106">
      <c r="A106" s="6" t="inlineStr">
        <is>
          <t>Farmacity</t>
        </is>
      </c>
      <c r="B106" s="6" t="n">
        <v>216506</v>
      </c>
      <c r="C106" s="6" t="n">
        <v>216506</v>
      </c>
      <c r="D106" s="6" t="inlineStr">
        <is>
          <t>Shampoo para Niños Johnson's Hidratación Intensa x 200 ml</t>
        </is>
      </c>
      <c r="E106" s="6" t="inlineStr">
        <is>
          <t>Johnson's</t>
        </is>
      </c>
      <c r="F106" s="6" t="n">
        <v>3825</v>
      </c>
      <c r="G106" s="6" t="n">
        <v>5465</v>
      </c>
      <c r="H106" s="6" t="b">
        <v>1</v>
      </c>
      <c r="I106" s="6" t="n">
        <v>200</v>
      </c>
      <c r="J106" s="6" t="n">
        <v>19.125</v>
      </c>
      <c r="K106" s="6" t="inlineStr">
        <is>
          <t>&gt; Bebés &gt; Higiene del Bebé &gt; Baño Del Bebé &gt;</t>
        </is>
      </c>
      <c r="L106" s="6" t="inlineStr">
        <is>
          <t>shampoo</t>
        </is>
      </c>
      <c r="M106" s="6" t="inlineStr">
        <is>
          <t>estandar</t>
        </is>
      </c>
      <c r="N106" s="6" t="inlineStr">
        <is>
          <t>seco_danado</t>
        </is>
      </c>
      <c r="O106" s="6" t="inlineStr">
        <is>
          <t>https://www.farmacity.com/shampoo-johnsons-baby-hidratacion-intensa-x-200-ml/p</t>
        </is>
      </c>
      <c r="P106" s="8">
        <f>TRIM(CLEAN(PROPER(D106)))</f>
        <v/>
      </c>
      <c r="Q106" s="8">
        <f>PROPER(TRIM(SUBSTITUTE(SUBSTITUTE(SUBSTITUTE(SUBSTITUTE(E106,"TRESEMME","Tresemme"),"HEAD &amp; SHOULDERS","Head &amp; Shoulders"),"ELVIVE","Elvive"),"FRUCTIS","Fructis")))</f>
        <v/>
      </c>
      <c r="R106" s="8">
        <f>COUNTIF($D$2:$D$10000,D106)&gt;1</f>
        <v/>
      </c>
      <c r="S106" s="8">
        <f>IF(H106=TRUE,"Disponible","No disponible")</f>
        <v/>
      </c>
      <c r="T106" s="8">
        <f>IF(AND(ISNUMBER(I106),I106&gt;0),ROUND(F106/I106,2),"Sin volumen")</f>
        <v/>
      </c>
      <c r="U106" s="8">
        <f>IF(F106&lt;5000,"Bajo",IF(F106&lt;15000,"Medio","Alto"))</f>
        <v/>
      </c>
    </row>
    <row r="107">
      <c r="A107" t="inlineStr">
        <is>
          <t>Farmacity</t>
        </is>
      </c>
      <c r="B107" t="n">
        <v>147258</v>
      </c>
      <c r="C107" t="n">
        <v>147258</v>
      </c>
      <c r="D107" t="inlineStr">
        <is>
          <t>Shampoo Elvive Oleo Extraordinario Coco x 200 ml</t>
        </is>
      </c>
      <c r="E107" t="inlineStr">
        <is>
          <t>Elvive</t>
        </is>
      </c>
      <c r="F107" t="n">
        <v>3495</v>
      </c>
      <c r="G107" t="n">
        <v>6990</v>
      </c>
      <c r="H107" t="b">
        <v>1</v>
      </c>
      <c r="I107" t="n">
        <v>200</v>
      </c>
      <c r="J107" t="n">
        <v>17.475</v>
      </c>
      <c r="K107" t="inlineStr">
        <is>
          <t>&gt; Cuidado Capilar &gt; Shampoo Y Acondicionador &gt;</t>
        </is>
      </c>
      <c r="L107" t="inlineStr">
        <is>
          <t>shampoo</t>
        </is>
      </c>
      <c r="M107" t="inlineStr">
        <is>
          <t>profesional</t>
        </is>
      </c>
      <c r="N107" t="inlineStr">
        <is>
          <t>general</t>
        </is>
      </c>
      <c r="O107" t="inlineStr">
        <is>
          <t>https://www.farmacity.com/shampoo-elvive-oleo-coco-x-200-ml/p</t>
        </is>
      </c>
      <c r="P107">
        <f>TRIM(CLEAN(PROPER(D107)))</f>
        <v/>
      </c>
      <c r="Q107">
        <f>PROPER(TRIM(SUBSTITUTE(SUBSTITUTE(SUBSTITUTE(SUBSTITUTE(E107,"TRESEMME","Tresemme"),"HEAD &amp; SHOULDERS","Head &amp; Shoulders"),"ELVIVE","Elvive"),"FRUCTIS","Fructis")))</f>
        <v/>
      </c>
      <c r="R107">
        <f>COUNTIF($D$2:$D$10000,D107)&gt;1</f>
        <v/>
      </c>
      <c r="S107">
        <f>IF(H107=TRUE,"Disponible","No disponible")</f>
        <v/>
      </c>
      <c r="T107">
        <f>IF(AND(ISNUMBER(I107),I107&gt;0),ROUND(F107/I107,2),"Sin volumen")</f>
        <v/>
      </c>
      <c r="U107">
        <f>IF(F107&lt;5000,"Bajo",IF(F107&lt;15000,"Medio","Alto"))</f>
        <v/>
      </c>
    </row>
    <row r="108">
      <c r="A108" s="6" t="inlineStr">
        <is>
          <t>Farmacity</t>
        </is>
      </c>
      <c r="B108" s="6" t="n">
        <v>111829</v>
      </c>
      <c r="C108" s="6" t="n">
        <v>111829</v>
      </c>
      <c r="D108" s="6" t="inlineStr">
        <is>
          <t>Shampoo Micopirox Ciclopiroxolamina x 100 ml</t>
        </is>
      </c>
      <c r="E108" s="6" t="inlineStr">
        <is>
          <t>Lersan</t>
        </is>
      </c>
      <c r="F108" s="6" t="n">
        <v>27000</v>
      </c>
      <c r="G108" s="6" t="n">
        <v>27000</v>
      </c>
      <c r="H108" s="6" t="b">
        <v>1</v>
      </c>
      <c r="I108" s="6" t="n">
        <v>100</v>
      </c>
      <c r="J108" s="6" t="n">
        <v>270</v>
      </c>
      <c r="K108" s="6" t="inlineStr">
        <is>
          <t>&gt; Venta Bajo Receta &gt; Dermatológico &gt;</t>
        </is>
      </c>
      <c r="L108" s="6" t="inlineStr">
        <is>
          <t>shampoo</t>
        </is>
      </c>
      <c r="M108" s="6" t="inlineStr">
        <is>
          <t>estandar</t>
        </is>
      </c>
      <c r="N108" s="6" t="inlineStr">
        <is>
          <t>general</t>
        </is>
      </c>
      <c r="O108" s="6" t="inlineStr">
        <is>
          <t>https://www.farmacity.com/shampoo-micopirox-ciclopiroxolamina-x-100-ml/p</t>
        </is>
      </c>
      <c r="P108" s="8">
        <f>TRIM(CLEAN(PROPER(D108)))</f>
        <v/>
      </c>
      <c r="Q108" s="8">
        <f>PROPER(TRIM(SUBSTITUTE(SUBSTITUTE(SUBSTITUTE(SUBSTITUTE(E108,"TRESEMME","Tresemme"),"HEAD &amp; SHOULDERS","Head &amp; Shoulders"),"ELVIVE","Elvive"),"FRUCTIS","Fructis")))</f>
        <v/>
      </c>
      <c r="R108" s="8">
        <f>COUNTIF($D$2:$D$10000,D108)&gt;1</f>
        <v/>
      </c>
      <c r="S108" s="8">
        <f>IF(H108=TRUE,"Disponible","No disponible")</f>
        <v/>
      </c>
      <c r="T108" s="8">
        <f>IF(AND(ISNUMBER(I108),I108&gt;0),ROUND(F108/I108,2),"Sin volumen")</f>
        <v/>
      </c>
      <c r="U108" s="8">
        <f>IF(F108&lt;5000,"Bajo",IF(F108&lt;15000,"Medio","Alto"))</f>
        <v/>
      </c>
    </row>
    <row r="109">
      <c r="A109" t="inlineStr">
        <is>
          <t>Farmacity</t>
        </is>
      </c>
      <c r="B109" t="n">
        <v>43396</v>
      </c>
      <c r="C109" t="n">
        <v>43396</v>
      </c>
      <c r="D109" t="inlineStr">
        <is>
          <t>Shampoo Amenite Plus Colágeno + Asoc. x 100 g</t>
        </is>
      </c>
      <c r="E109" t="inlineStr">
        <is>
          <t>Amenite</t>
        </is>
      </c>
      <c r="F109" t="n">
        <v>32375</v>
      </c>
      <c r="G109" t="n">
        <v>32375</v>
      </c>
      <c r="H109" t="b">
        <v>1</v>
      </c>
      <c r="I109" t="n">
        <v>100</v>
      </c>
      <c r="J109" t="n">
        <v>323.75</v>
      </c>
      <c r="K109" t="inlineStr">
        <is>
          <t>&gt; Venta Bajo Receta &gt; Dermatológico &gt;</t>
        </is>
      </c>
      <c r="L109" t="inlineStr">
        <is>
          <t>shampoo</t>
        </is>
      </c>
      <c r="M109" t="inlineStr">
        <is>
          <t>estandar</t>
        </is>
      </c>
      <c r="N109" t="inlineStr">
        <is>
          <t>general</t>
        </is>
      </c>
      <c r="O109" t="inlineStr">
        <is>
          <t>https://www.farmacity.com/shampoo-amenite-plus-colageno-asoc-x-100-g/p</t>
        </is>
      </c>
      <c r="P109">
        <f>TRIM(CLEAN(PROPER(D109)))</f>
        <v/>
      </c>
      <c r="Q109">
        <f>PROPER(TRIM(SUBSTITUTE(SUBSTITUTE(SUBSTITUTE(SUBSTITUTE(E109,"TRESEMME","Tresemme"),"HEAD &amp; SHOULDERS","Head &amp; Shoulders"),"ELVIVE","Elvive"),"FRUCTIS","Fructis")))</f>
        <v/>
      </c>
      <c r="R109">
        <f>COUNTIF($D$2:$D$10000,D109)&gt;1</f>
        <v/>
      </c>
      <c r="S109">
        <f>IF(H109=TRUE,"Disponible","No disponible")</f>
        <v/>
      </c>
      <c r="T109">
        <f>IF(AND(ISNUMBER(I109),I109&gt;0),ROUND(F109/I109,2),"Sin volumen")</f>
        <v/>
      </c>
      <c r="U109">
        <f>IF(F109&lt;5000,"Bajo",IF(F109&lt;15000,"Medio","Alto"))</f>
        <v/>
      </c>
    </row>
    <row r="110">
      <c r="A110" s="6" t="inlineStr">
        <is>
          <t>Farmacity</t>
        </is>
      </c>
      <c r="B110" s="6" t="n">
        <v>34420</v>
      </c>
      <c r="C110" s="6" t="n">
        <v>34420</v>
      </c>
      <c r="D110" s="6" t="inlineStr">
        <is>
          <t>Shampoo Cistina B6 Cistina + Asoc. x 150 ml</t>
        </is>
      </c>
      <c r="E110" s="6" t="inlineStr">
        <is>
          <t>Savant Consumer</t>
        </is>
      </c>
      <c r="F110" s="6" t="n">
        <v>26781</v>
      </c>
      <c r="G110" s="6" t="n">
        <v>26781</v>
      </c>
      <c r="H110" s="6" t="b">
        <v>1</v>
      </c>
      <c r="I110" s="6" t="n">
        <v>150</v>
      </c>
      <c r="J110" s="6" t="n">
        <v>178.54</v>
      </c>
      <c r="K110" s="6" t="inlineStr">
        <is>
          <t>&gt; Venta Bajo Receta &gt; Dermatológico &gt;</t>
        </is>
      </c>
      <c r="L110" s="6" t="inlineStr">
        <is>
          <t>shampoo</t>
        </is>
      </c>
      <c r="M110" s="6" t="inlineStr">
        <is>
          <t>estandar</t>
        </is>
      </c>
      <c r="N110" s="6" t="inlineStr">
        <is>
          <t>general</t>
        </is>
      </c>
      <c r="O110" s="6" t="inlineStr">
        <is>
          <t>https://www.farmacity.com/shampoo-cistina-b6-cistina-asoc-x-150-ml/p</t>
        </is>
      </c>
      <c r="P110" s="8">
        <f>TRIM(CLEAN(PROPER(D110)))</f>
        <v/>
      </c>
      <c r="Q110" s="8">
        <f>PROPER(TRIM(SUBSTITUTE(SUBSTITUTE(SUBSTITUTE(SUBSTITUTE(E110,"TRESEMME","Tresemme"),"HEAD &amp; SHOULDERS","Head &amp; Shoulders"),"ELVIVE","Elvive"),"FRUCTIS","Fructis")))</f>
        <v/>
      </c>
      <c r="R110" s="8">
        <f>COUNTIF($D$2:$D$10000,D110)&gt;1</f>
        <v/>
      </c>
      <c r="S110" s="8">
        <f>IF(H110=TRUE,"Disponible","No disponible")</f>
        <v/>
      </c>
      <c r="T110" s="8">
        <f>IF(AND(ISNUMBER(I110),I110&gt;0),ROUND(F110/I110,2),"Sin volumen")</f>
        <v/>
      </c>
      <c r="U110" s="8">
        <f>IF(F110&lt;5000,"Bajo",IF(F110&lt;15000,"Medio","Alto"))</f>
        <v/>
      </c>
    </row>
    <row r="111">
      <c r="A111" t="inlineStr">
        <is>
          <t>Farmacity</t>
        </is>
      </c>
      <c r="B111" t="n">
        <v>16820</v>
      </c>
      <c r="C111" t="n">
        <v>163824</v>
      </c>
      <c r="D111" t="inlineStr">
        <is>
          <t>Shampoo Fructis Recarga Nutritiva x 200 ml</t>
        </is>
      </c>
      <c r="E111" t="inlineStr">
        <is>
          <t>Fructis</t>
        </is>
      </c>
      <c r="F111" t="n">
        <v>5490</v>
      </c>
      <c r="G111" t="n">
        <v>5490</v>
      </c>
      <c r="H111" t="b">
        <v>1</v>
      </c>
      <c r="I111" t="n">
        <v>200</v>
      </c>
      <c r="J111" t="n">
        <v>27.45</v>
      </c>
      <c r="K111" t="inlineStr">
        <is>
          <t>&gt; Cuidado Capilar &gt; Shampoo Y Acondicionador &gt;</t>
        </is>
      </c>
      <c r="L111" t="inlineStr">
        <is>
          <t>shampoo</t>
        </is>
      </c>
      <c r="M111" t="inlineStr">
        <is>
          <t>estandar</t>
        </is>
      </c>
      <c r="N111" t="inlineStr">
        <is>
          <t>general</t>
        </is>
      </c>
      <c r="O111" t="inlineStr">
        <is>
          <t>https://www.farmacity.com/shampoo-fructis-recarga-nutritiva-x200ml/p</t>
        </is>
      </c>
      <c r="P111">
        <f>TRIM(CLEAN(PROPER(D111)))</f>
        <v/>
      </c>
      <c r="Q111">
        <f>PROPER(TRIM(SUBSTITUTE(SUBSTITUTE(SUBSTITUTE(SUBSTITUTE(E111,"TRESEMME","Tresemme"),"HEAD &amp; SHOULDERS","Head &amp; Shoulders"),"ELVIVE","Elvive"),"FRUCTIS","Fructis")))</f>
        <v/>
      </c>
      <c r="R111">
        <f>COUNTIF($D$2:$D$10000,D111)&gt;1</f>
        <v/>
      </c>
      <c r="S111">
        <f>IF(H111=TRUE,"Disponible","No disponible")</f>
        <v/>
      </c>
      <c r="T111">
        <f>IF(AND(ISNUMBER(I111),I111&gt;0),ROUND(F111/I111,2),"Sin volumen")</f>
        <v/>
      </c>
      <c r="U111">
        <f>IF(F111&lt;5000,"Bajo",IF(F111&lt;15000,"Medio","Alto"))</f>
        <v/>
      </c>
    </row>
    <row r="112">
      <c r="A112" s="6" t="inlineStr">
        <is>
          <t>Farmacity</t>
        </is>
      </c>
      <c r="B112" s="6" t="n">
        <v>10077</v>
      </c>
      <c r="C112" s="6" t="n">
        <v>160428</v>
      </c>
      <c r="D112" s="6" t="inlineStr">
        <is>
          <t>Shampoo Capilatis Ácido Hialuronico x 350 ml</t>
        </is>
      </c>
      <c r="E112" s="6" t="inlineStr">
        <is>
          <t>Capilatis</t>
        </is>
      </c>
      <c r="F112" s="6" t="n">
        <v>13000</v>
      </c>
      <c r="G112" s="6" t="n">
        <v>13000</v>
      </c>
      <c r="H112" s="6" t="b">
        <v>1</v>
      </c>
      <c r="I112" s="6" t="n">
        <v>350</v>
      </c>
      <c r="J112" s="6" t="n">
        <v>37.1429</v>
      </c>
      <c r="K112" s="6" t="inlineStr">
        <is>
          <t>&gt; Cuidado Capilar &gt; Shampoo Y Acondicionador &gt;</t>
        </is>
      </c>
      <c r="L112" s="6" t="inlineStr">
        <is>
          <t>shampoo</t>
        </is>
      </c>
      <c r="M112" s="6" t="inlineStr">
        <is>
          <t>estandar</t>
        </is>
      </c>
      <c r="N112" s="6" t="inlineStr">
        <is>
          <t>general</t>
        </is>
      </c>
      <c r="O112" s="6" t="inlineStr">
        <is>
          <t>https://www.farmacity.com/shampoo-acido-hialuronico-x-350ml/p</t>
        </is>
      </c>
      <c r="P112" s="8">
        <f>TRIM(CLEAN(PROPER(D112)))</f>
        <v/>
      </c>
      <c r="Q112" s="8">
        <f>PROPER(TRIM(SUBSTITUTE(SUBSTITUTE(SUBSTITUTE(SUBSTITUTE(E112,"TRESEMME","Tresemme"),"HEAD &amp; SHOULDERS","Head &amp; Shoulders"),"ELVIVE","Elvive"),"FRUCTIS","Fructis")))</f>
        <v/>
      </c>
      <c r="R112" s="8">
        <f>COUNTIF($D$2:$D$10000,D112)&gt;1</f>
        <v/>
      </c>
      <c r="S112" s="8">
        <f>IF(H112=TRUE,"Disponible","No disponible")</f>
        <v/>
      </c>
      <c r="T112" s="8">
        <f>IF(AND(ISNUMBER(I112),I112&gt;0),ROUND(F112/I112,2),"Sin volumen")</f>
        <v/>
      </c>
      <c r="U112" s="8">
        <f>IF(F112&lt;5000,"Bajo",IF(F112&lt;15000,"Medio","Alto"))</f>
        <v/>
      </c>
    </row>
    <row r="113">
      <c r="A113" t="inlineStr">
        <is>
          <t>Farmacity</t>
        </is>
      </c>
      <c r="B113" t="n">
        <v>248876</v>
      </c>
      <c r="C113" t="n">
        <v>248876</v>
      </c>
      <c r="D113" t="inlineStr">
        <is>
          <t>Shampoo Tio Nacho Keratina Vegetal x 415 ml</t>
        </is>
      </c>
      <c r="E113" t="inlineStr">
        <is>
          <t>Tío Nacho</t>
        </is>
      </c>
      <c r="F113" t="n">
        <v>11750</v>
      </c>
      <c r="G113" t="n">
        <v>11750</v>
      </c>
      <c r="H113" t="b">
        <v>1</v>
      </c>
      <c r="I113" t="n">
        <v>415</v>
      </c>
      <c r="J113" t="n">
        <v>28.3133</v>
      </c>
      <c r="K113" t="inlineStr">
        <is>
          <t>&gt; Cuidado Capilar &gt; Shampoo Y Acondicionador &gt;</t>
        </is>
      </c>
      <c r="L113" t="inlineStr">
        <is>
          <t>shampoo</t>
        </is>
      </c>
      <c r="M113" t="inlineStr">
        <is>
          <t>estandar</t>
        </is>
      </c>
      <c r="N113" t="inlineStr">
        <is>
          <t>tratado</t>
        </is>
      </c>
      <c r="O113" t="inlineStr">
        <is>
          <t>https://www.farmacity.com/shampoo-tio-nacho-keratina-vegetal-x-415-ml/p</t>
        </is>
      </c>
      <c r="P113">
        <f>TRIM(CLEAN(PROPER(D113)))</f>
        <v/>
      </c>
      <c r="Q113">
        <f>PROPER(TRIM(SUBSTITUTE(SUBSTITUTE(SUBSTITUTE(SUBSTITUTE(E113,"TRESEMME","Tresemme"),"HEAD &amp; SHOULDERS","Head &amp; Shoulders"),"ELVIVE","Elvive"),"FRUCTIS","Fructis")))</f>
        <v/>
      </c>
      <c r="R113">
        <f>COUNTIF($D$2:$D$10000,D113)&gt;1</f>
        <v/>
      </c>
      <c r="S113">
        <f>IF(H113=TRUE,"Disponible","No disponible")</f>
        <v/>
      </c>
      <c r="T113">
        <f>IF(AND(ISNUMBER(I113),I113&gt;0),ROUND(F113/I113,2),"Sin volumen")</f>
        <v/>
      </c>
      <c r="U113">
        <f>IF(F113&lt;5000,"Bajo",IF(F113&lt;15000,"Medio","Alto"))</f>
        <v/>
      </c>
    </row>
    <row r="114">
      <c r="A114" s="6" t="inlineStr">
        <is>
          <t>Farmacity</t>
        </is>
      </c>
      <c r="B114" s="6" t="n">
        <v>241361</v>
      </c>
      <c r="C114" s="6" t="n">
        <v>241361</v>
      </c>
      <c r="D114" s="6" t="inlineStr">
        <is>
          <t>Shampoo Control Caspa Head &amp; Shoulders Anti-Comezón x 375 ml</t>
        </is>
      </c>
      <c r="E114" s="6" t="inlineStr">
        <is>
          <t>Head and Shoulders</t>
        </is>
      </c>
      <c r="F114" s="6" t="n">
        <v>7895</v>
      </c>
      <c r="G114" s="6" t="n">
        <v>12146</v>
      </c>
      <c r="H114" s="6" t="b">
        <v>1</v>
      </c>
      <c r="I114" s="6" t="n">
        <v>375</v>
      </c>
      <c r="J114" s="6" t="n">
        <v>21.0533</v>
      </c>
      <c r="K114" s="6" t="inlineStr">
        <is>
          <t>&gt; Cuidado Capilar &gt; Shampoo Y Acondicionador &gt;</t>
        </is>
      </c>
      <c r="L114" s="6" t="inlineStr">
        <is>
          <t>shampoo</t>
        </is>
      </c>
      <c r="M114" s="6" t="inlineStr">
        <is>
          <t>estandar</t>
        </is>
      </c>
      <c r="N114" s="6" t="inlineStr">
        <is>
          <t>anticaspa</t>
        </is>
      </c>
      <c r="O114" s="6" t="inlineStr">
        <is>
          <t>https://www.farmacity.com/shampoo-head-shoulders-anti-comezon-x-375-ml/p</t>
        </is>
      </c>
      <c r="P114" s="8">
        <f>TRIM(CLEAN(PROPER(D114)))</f>
        <v/>
      </c>
      <c r="Q114" s="8">
        <f>PROPER(TRIM(SUBSTITUTE(SUBSTITUTE(SUBSTITUTE(SUBSTITUTE(E114,"TRESEMME","Tresemme"),"HEAD &amp; SHOULDERS","Head &amp; Shoulders"),"ELVIVE","Elvive"),"FRUCTIS","Fructis")))</f>
        <v/>
      </c>
      <c r="R114" s="8">
        <f>COUNTIF($D$2:$D$10000,D114)&gt;1</f>
        <v/>
      </c>
      <c r="S114" s="8">
        <f>IF(H114=TRUE,"Disponible","No disponible")</f>
        <v/>
      </c>
      <c r="T114" s="8">
        <f>IF(AND(ISNUMBER(I114),I114&gt;0),ROUND(F114/I114,2),"Sin volumen")</f>
        <v/>
      </c>
      <c r="U114" s="8">
        <f>IF(F114&lt;5000,"Bajo",IF(F114&lt;15000,"Medio","Alto"))</f>
        <v/>
      </c>
    </row>
    <row r="115">
      <c r="A115" t="inlineStr">
        <is>
          <t>Farmacity</t>
        </is>
      </c>
      <c r="B115" t="n">
        <v>240012</v>
      </c>
      <c r="C115" t="n">
        <v>240012</v>
      </c>
      <c r="D115" t="inlineStr">
        <is>
          <t>Shampoo Elvive Glycolic Gloss x 400 ml</t>
        </is>
      </c>
      <c r="E115" t="inlineStr">
        <is>
          <t>Elvive</t>
        </is>
      </c>
      <c r="F115" t="n">
        <v>7494</v>
      </c>
      <c r="G115" t="n">
        <v>12490</v>
      </c>
      <c r="H115" t="b">
        <v>1</v>
      </c>
      <c r="I115" t="n">
        <v>400</v>
      </c>
      <c r="J115" t="n">
        <v>18.735</v>
      </c>
      <c r="K115" t="inlineStr">
        <is>
          <t>&gt; Cuidado Capilar &gt; Shampoo Y Acondicionador &gt;</t>
        </is>
      </c>
      <c r="L115" t="inlineStr">
        <is>
          <t>shampoo</t>
        </is>
      </c>
      <c r="M115" t="inlineStr">
        <is>
          <t>profesional</t>
        </is>
      </c>
      <c r="N115" t="inlineStr">
        <is>
          <t>general</t>
        </is>
      </c>
      <c r="O115" t="inlineStr">
        <is>
          <t>https://www.farmacity.com/shampoo-elvive-glyco-gloss-x-400-ml/p</t>
        </is>
      </c>
      <c r="P115">
        <f>TRIM(CLEAN(PROPER(D115)))</f>
        <v/>
      </c>
      <c r="Q115">
        <f>PROPER(TRIM(SUBSTITUTE(SUBSTITUTE(SUBSTITUTE(SUBSTITUTE(E115,"TRESEMME","Tresemme"),"HEAD &amp; SHOULDERS","Head &amp; Shoulders"),"ELVIVE","Elvive"),"FRUCTIS","Fructis")))</f>
        <v/>
      </c>
      <c r="R115">
        <f>COUNTIF($D$2:$D$10000,D115)&gt;1</f>
        <v/>
      </c>
      <c r="S115">
        <f>IF(H115=TRUE,"Disponible","No disponible")</f>
        <v/>
      </c>
      <c r="T115">
        <f>IF(AND(ISNUMBER(I115),I115&gt;0),ROUND(F115/I115,2),"Sin volumen")</f>
        <v/>
      </c>
      <c r="U115">
        <f>IF(F115&lt;5000,"Bajo",IF(F115&lt;15000,"Medio","Alto"))</f>
        <v/>
      </c>
    </row>
    <row r="116">
      <c r="A116" s="6" t="inlineStr">
        <is>
          <t>Farmacity</t>
        </is>
      </c>
      <c r="B116" s="6" t="n">
        <v>229978</v>
      </c>
      <c r="C116" s="6" t="n">
        <v>229978</v>
      </c>
      <c r="D116" s="6" t="inlineStr">
        <is>
          <t>Shampoo Tío Nacho Herbolaria Milenaria x 415 ml</t>
        </is>
      </c>
      <c r="E116" s="6" t="inlineStr">
        <is>
          <t>Tío Nacho</t>
        </is>
      </c>
      <c r="F116" s="6" t="n">
        <v>11750</v>
      </c>
      <c r="G116" s="6" t="n">
        <v>11750</v>
      </c>
      <c r="H116" s="6" t="b">
        <v>1</v>
      </c>
      <c r="I116" s="6" t="n">
        <v>415</v>
      </c>
      <c r="J116" s="6" t="n">
        <v>28.3133</v>
      </c>
      <c r="K116" s="6" t="inlineStr">
        <is>
          <t>&gt; Cuidado Capilar &gt; Shampoo Y Acondicionador &gt;</t>
        </is>
      </c>
      <c r="L116" s="6" t="inlineStr">
        <is>
          <t>shampoo</t>
        </is>
      </c>
      <c r="M116" s="6" t="inlineStr">
        <is>
          <t>estandar</t>
        </is>
      </c>
      <c r="N116" s="6" t="inlineStr">
        <is>
          <t>general</t>
        </is>
      </c>
      <c r="O116" s="6" t="inlineStr">
        <is>
          <t>https://www.farmacity.com/shampoo-tio-nacho-herbolaria-milenaria-x-415-ml/p</t>
        </is>
      </c>
      <c r="P116" s="8">
        <f>TRIM(CLEAN(PROPER(D116)))</f>
        <v/>
      </c>
      <c r="Q116" s="8">
        <f>PROPER(TRIM(SUBSTITUTE(SUBSTITUTE(SUBSTITUTE(SUBSTITUTE(E116,"TRESEMME","Tresemme"),"HEAD &amp; SHOULDERS","Head &amp; Shoulders"),"ELVIVE","Elvive"),"FRUCTIS","Fructis")))</f>
        <v/>
      </c>
      <c r="R116" s="8">
        <f>COUNTIF($D$2:$D$10000,D116)&gt;1</f>
        <v/>
      </c>
      <c r="S116" s="8">
        <f>IF(H116=TRUE,"Disponible","No disponible")</f>
        <v/>
      </c>
      <c r="T116" s="8">
        <f>IF(AND(ISNUMBER(I116),I116&gt;0),ROUND(F116/I116,2),"Sin volumen")</f>
        <v/>
      </c>
      <c r="U116" s="8">
        <f>IF(F116&lt;5000,"Bajo",IF(F116&lt;15000,"Medio","Alto"))</f>
        <v/>
      </c>
    </row>
    <row r="117">
      <c r="A117" t="inlineStr">
        <is>
          <t>Farmacity</t>
        </is>
      </c>
      <c r="B117" t="n">
        <v>225542</v>
      </c>
      <c r="C117" t="n">
        <v>225542</v>
      </c>
      <c r="D117" t="inlineStr">
        <is>
          <t>Shampoo Bagóvit Reparación Intensiva x 350 ml</t>
        </is>
      </c>
      <c r="E117" t="inlineStr">
        <is>
          <t>Bagóvit</t>
        </is>
      </c>
      <c r="F117" t="n">
        <v>8984</v>
      </c>
      <c r="G117" t="n">
        <v>8984</v>
      </c>
      <c r="H117" t="b">
        <v>1</v>
      </c>
      <c r="I117" t="n">
        <v>350</v>
      </c>
      <c r="J117" t="n">
        <v>25.6686</v>
      </c>
      <c r="K117" t="inlineStr">
        <is>
          <t>&gt; Cuidado Capilar &gt; Shampoo Y Acondicionador &gt;</t>
        </is>
      </c>
      <c r="L117" t="inlineStr">
        <is>
          <t>shampoo</t>
        </is>
      </c>
      <c r="M117" t="inlineStr">
        <is>
          <t>estandar</t>
        </is>
      </c>
      <c r="N117" t="inlineStr">
        <is>
          <t>general</t>
        </is>
      </c>
      <c r="O117" t="inlineStr">
        <is>
          <t>https://www.farmacity.com/shampoo-bagovit-reparacion-intensiva-x-350-ml/p</t>
        </is>
      </c>
      <c r="P117">
        <f>TRIM(CLEAN(PROPER(D117)))</f>
        <v/>
      </c>
      <c r="Q117">
        <f>PROPER(TRIM(SUBSTITUTE(SUBSTITUTE(SUBSTITUTE(SUBSTITUTE(E117,"TRESEMME","Tresemme"),"HEAD &amp; SHOULDERS","Head &amp; Shoulders"),"ELVIVE","Elvive"),"FRUCTIS","Fructis")))</f>
        <v/>
      </c>
      <c r="R117">
        <f>COUNTIF($D$2:$D$10000,D117)&gt;1</f>
        <v/>
      </c>
      <c r="S117">
        <f>IF(H117=TRUE,"Disponible","No disponible")</f>
        <v/>
      </c>
      <c r="T117">
        <f>IF(AND(ISNUMBER(I117),I117&gt;0),ROUND(F117/I117,2),"Sin volumen")</f>
        <v/>
      </c>
      <c r="U117">
        <f>IF(F117&lt;5000,"Bajo",IF(F117&lt;15000,"Medio","Alto"))</f>
        <v/>
      </c>
    </row>
    <row r="118">
      <c r="A118" s="6" t="inlineStr">
        <is>
          <t>Farmacity</t>
        </is>
      </c>
      <c r="B118" s="6" t="n">
        <v>248754</v>
      </c>
      <c r="C118" s="6" t="n">
        <v>248754</v>
      </c>
      <c r="D118" s="6" t="inlineStr">
        <is>
          <t>Shampoo Biferdil Óleo de Argan Nutrición Intensa x 100 ml</t>
        </is>
      </c>
      <c r="E118" s="6" t="inlineStr">
        <is>
          <t>Biferdil</t>
        </is>
      </c>
      <c r="F118" s="6" t="n">
        <v>9612</v>
      </c>
      <c r="G118" s="6" t="n">
        <v>9612</v>
      </c>
      <c r="H118" s="6" t="b">
        <v>1</v>
      </c>
      <c r="I118" s="6" t="n">
        <v>100</v>
      </c>
      <c r="J118" s="6" t="n">
        <v>96.12</v>
      </c>
      <c r="K118" s="6" t="inlineStr">
        <is>
          <t>&gt; Cuidado Capilar &gt; Shampoo Y Acondicionador &gt;</t>
        </is>
      </c>
      <c r="L118" s="6" t="inlineStr">
        <is>
          <t>shampoo</t>
        </is>
      </c>
      <c r="M118" s="6" t="inlineStr">
        <is>
          <t>estandar</t>
        </is>
      </c>
      <c r="N118" s="6" t="inlineStr">
        <is>
          <t>general</t>
        </is>
      </c>
      <c r="O118" s="6" t="inlineStr">
        <is>
          <t>https://www.farmacity.com/shampoo-biferdil-oleo-de-argan-minitalla-x-100-ml/p</t>
        </is>
      </c>
      <c r="P118" s="8">
        <f>TRIM(CLEAN(PROPER(D118)))</f>
        <v/>
      </c>
      <c r="Q118" s="8">
        <f>PROPER(TRIM(SUBSTITUTE(SUBSTITUTE(SUBSTITUTE(SUBSTITUTE(E118,"TRESEMME","Tresemme"),"HEAD &amp; SHOULDERS","Head &amp; Shoulders"),"ELVIVE","Elvive"),"FRUCTIS","Fructis")))</f>
        <v/>
      </c>
      <c r="R118" s="8">
        <f>COUNTIF($D$2:$D$10000,D118)&gt;1</f>
        <v/>
      </c>
      <c r="S118" s="8">
        <f>IF(H118=TRUE,"Disponible","No disponible")</f>
        <v/>
      </c>
      <c r="T118" s="8">
        <f>IF(AND(ISNUMBER(I118),I118&gt;0),ROUND(F118/I118,2),"Sin volumen")</f>
        <v/>
      </c>
      <c r="U118" s="8">
        <f>IF(F118&lt;5000,"Bajo",IF(F118&lt;15000,"Medio","Alto"))</f>
        <v/>
      </c>
    </row>
    <row r="119">
      <c r="A119" t="inlineStr">
        <is>
          <t>Farmacity</t>
        </is>
      </c>
      <c r="B119" t="n">
        <v>245461</v>
      </c>
      <c r="C119" t="n">
        <v>245461</v>
      </c>
      <c r="D119" t="inlineStr">
        <is>
          <t>Shampoo Garnier Fructis Hair Food Ananá x 300 ml</t>
        </is>
      </c>
      <c r="E119" t="inlineStr">
        <is>
          <t>Fructis</t>
        </is>
      </c>
      <c r="F119" t="n">
        <v>7273</v>
      </c>
      <c r="G119" t="n">
        <v>11190</v>
      </c>
      <c r="H119" t="b">
        <v>1</v>
      </c>
      <c r="I119" t="n">
        <v>300</v>
      </c>
      <c r="J119" t="n">
        <v>24.2433</v>
      </c>
      <c r="K119" t="inlineStr">
        <is>
          <t>&gt; Cuidado Capilar &gt; Shampoo Y Acondicionador &gt;</t>
        </is>
      </c>
      <c r="L119" t="inlineStr">
        <is>
          <t>shampoo</t>
        </is>
      </c>
      <c r="M119" t="inlineStr">
        <is>
          <t>estandar</t>
        </is>
      </c>
      <c r="N119" t="inlineStr">
        <is>
          <t>general</t>
        </is>
      </c>
      <c r="O119" t="inlineStr">
        <is>
          <t>https://www.farmacity.com/shampoo-garnier-fructis-hair-food-anana-x-300-ml/p</t>
        </is>
      </c>
      <c r="P119">
        <f>TRIM(CLEAN(PROPER(D119)))</f>
        <v/>
      </c>
      <c r="Q119">
        <f>PROPER(TRIM(SUBSTITUTE(SUBSTITUTE(SUBSTITUTE(SUBSTITUTE(E119,"TRESEMME","Tresemme"),"HEAD &amp; SHOULDERS","Head &amp; Shoulders"),"ELVIVE","Elvive"),"FRUCTIS","Fructis")))</f>
        <v/>
      </c>
      <c r="R119">
        <f>COUNTIF($D$2:$D$10000,D119)&gt;1</f>
        <v/>
      </c>
      <c r="S119">
        <f>IF(H119=TRUE,"Disponible","No disponible")</f>
        <v/>
      </c>
      <c r="T119">
        <f>IF(AND(ISNUMBER(I119),I119&gt;0),ROUND(F119/I119,2),"Sin volumen")</f>
        <v/>
      </c>
      <c r="U119">
        <f>IF(F119&lt;5000,"Bajo",IF(F119&lt;15000,"Medio","Alto"))</f>
        <v/>
      </c>
    </row>
    <row r="120">
      <c r="A120" s="6" t="inlineStr">
        <is>
          <t>Farmacity</t>
        </is>
      </c>
      <c r="B120" s="6" t="n">
        <v>243705</v>
      </c>
      <c r="C120" s="6" t="n">
        <v>243705</v>
      </c>
      <c r="D120" s="6" t="inlineStr">
        <is>
          <t>Shampoo Head &amp; Shoulders Anti Resequedad x 375 ml</t>
        </is>
      </c>
      <c r="E120" s="6" t="inlineStr">
        <is>
          <t>Head and Shoulders</t>
        </is>
      </c>
      <c r="F120" s="6" t="n">
        <v>7895</v>
      </c>
      <c r="G120" s="6" t="n">
        <v>12146</v>
      </c>
      <c r="H120" s="6" t="b">
        <v>1</v>
      </c>
      <c r="I120" s="6" t="n">
        <v>375</v>
      </c>
      <c r="J120" s="6" t="n">
        <v>21.0533</v>
      </c>
      <c r="K120" s="6" t="inlineStr">
        <is>
          <t>&gt; Cuidado Capilar &gt; Shampoo Y Acondicionador &gt;</t>
        </is>
      </c>
      <c r="L120" s="6" t="inlineStr">
        <is>
          <t>shampoo</t>
        </is>
      </c>
      <c r="M120" s="6" t="inlineStr">
        <is>
          <t>estandar</t>
        </is>
      </c>
      <c r="N120" s="6" t="inlineStr">
        <is>
          <t>general</t>
        </is>
      </c>
      <c r="O120" s="6" t="inlineStr">
        <is>
          <t>https://www.farmacity.com/shampoo-head-shoulders-anti-resequedad-x-375-ml/p</t>
        </is>
      </c>
      <c r="P120" s="8">
        <f>TRIM(CLEAN(PROPER(D120)))</f>
        <v/>
      </c>
      <c r="Q120" s="8">
        <f>PROPER(TRIM(SUBSTITUTE(SUBSTITUTE(SUBSTITUTE(SUBSTITUTE(E120,"TRESEMME","Tresemme"),"HEAD &amp; SHOULDERS","Head &amp; Shoulders"),"ELVIVE","Elvive"),"FRUCTIS","Fructis")))</f>
        <v/>
      </c>
      <c r="R120" s="8">
        <f>COUNTIF($D$2:$D$10000,D120)&gt;1</f>
        <v/>
      </c>
      <c r="S120" s="8">
        <f>IF(H120=TRUE,"Disponible","No disponible")</f>
        <v/>
      </c>
      <c r="T120" s="8">
        <f>IF(AND(ISNUMBER(I120),I120&gt;0),ROUND(F120/I120,2),"Sin volumen")</f>
        <v/>
      </c>
      <c r="U120" s="8">
        <f>IF(F120&lt;5000,"Bajo",IF(F120&lt;15000,"Medio","Alto"))</f>
        <v/>
      </c>
    </row>
    <row r="121">
      <c r="A121" t="inlineStr">
        <is>
          <t>Farmacity</t>
        </is>
      </c>
      <c r="B121" t="n">
        <v>238882</v>
      </c>
      <c r="C121" t="n">
        <v>238882</v>
      </c>
      <c r="D121" t="inlineStr">
        <is>
          <t>Shampoo Pantene Pro-V Miracles Liso Infinito x 400 ml</t>
        </is>
      </c>
      <c r="E121" t="inlineStr">
        <is>
          <t>Pantene</t>
        </is>
      </c>
      <c r="F121" t="n">
        <v>6137</v>
      </c>
      <c r="G121" t="n">
        <v>10228</v>
      </c>
      <c r="H121" t="b">
        <v>1</v>
      </c>
      <c r="I121" t="n">
        <v>400</v>
      </c>
      <c r="J121" t="n">
        <v>15.3425</v>
      </c>
      <c r="K121" t="inlineStr">
        <is>
          <t>&gt; Cuidado Capilar &gt; Shampoo Y Acondicionador &gt;</t>
        </is>
      </c>
      <c r="L121" t="inlineStr">
        <is>
          <t>shampoo</t>
        </is>
      </c>
      <c r="M121" t="inlineStr">
        <is>
          <t>profesional</t>
        </is>
      </c>
      <c r="N121" t="inlineStr">
        <is>
          <t>general</t>
        </is>
      </c>
      <c r="O121" t="inlineStr">
        <is>
          <t>https://www.farmacity.com/shampoo-pantene-pro-v-miracles-liso-infinito-x-400-ml/p</t>
        </is>
      </c>
      <c r="P121">
        <f>TRIM(CLEAN(PROPER(D121)))</f>
        <v/>
      </c>
      <c r="Q121">
        <f>PROPER(TRIM(SUBSTITUTE(SUBSTITUTE(SUBSTITUTE(SUBSTITUTE(E121,"TRESEMME","Tresemme"),"HEAD &amp; SHOULDERS","Head &amp; Shoulders"),"ELVIVE","Elvive"),"FRUCTIS","Fructis")))</f>
        <v/>
      </c>
      <c r="R121">
        <f>COUNTIF($D$2:$D$10000,D121)&gt;1</f>
        <v/>
      </c>
      <c r="S121">
        <f>IF(H121=TRUE,"Disponible","No disponible")</f>
        <v/>
      </c>
      <c r="T121">
        <f>IF(AND(ISNUMBER(I121),I121&gt;0),ROUND(F121/I121,2),"Sin volumen")</f>
        <v/>
      </c>
      <c r="U121">
        <f>IF(F121&lt;5000,"Bajo",IF(F121&lt;15000,"Medio","Alto"))</f>
        <v/>
      </c>
    </row>
    <row r="122">
      <c r="A122" s="6" t="inlineStr">
        <is>
          <t>Farmacity</t>
        </is>
      </c>
      <c r="B122" s="6" t="n">
        <v>235655</v>
      </c>
      <c r="C122" s="6" t="n">
        <v>235655</v>
      </c>
      <c r="D122" s="6" t="inlineStr">
        <is>
          <t>Shampoo Pantene Pro-V Miracles Detox Limpia - Purifica 200 ml</t>
        </is>
      </c>
      <c r="E122" s="6" t="inlineStr">
        <is>
          <t>Pantene</t>
        </is>
      </c>
      <c r="F122" s="6" t="n">
        <v>3807</v>
      </c>
      <c r="G122" s="6" t="n">
        <v>6345</v>
      </c>
      <c r="H122" s="6" t="b">
        <v>1</v>
      </c>
      <c r="I122" s="6" t="n">
        <v>200</v>
      </c>
      <c r="J122" s="6" t="n">
        <v>19.035</v>
      </c>
      <c r="K122" s="6" t="inlineStr">
        <is>
          <t>&gt; Cuidado Capilar &gt; Shampoo Y Acondicionador &gt;</t>
        </is>
      </c>
      <c r="L122" s="6" t="inlineStr">
        <is>
          <t>shampoo</t>
        </is>
      </c>
      <c r="M122" s="6" t="inlineStr">
        <is>
          <t>profesional</t>
        </is>
      </c>
      <c r="N122" s="6" t="inlineStr">
        <is>
          <t>general</t>
        </is>
      </c>
      <c r="O122" s="6" t="inlineStr">
        <is>
          <t>https://www.farmacity.com/shampoo-pantene-pro-v-miracles-detox-x-200-ml/p</t>
        </is>
      </c>
      <c r="P122" s="8">
        <f>TRIM(CLEAN(PROPER(D122)))</f>
        <v/>
      </c>
      <c r="Q122" s="8">
        <f>PROPER(TRIM(SUBSTITUTE(SUBSTITUTE(SUBSTITUTE(SUBSTITUTE(E122,"TRESEMME","Tresemme"),"HEAD &amp; SHOULDERS","Head &amp; Shoulders"),"ELVIVE","Elvive"),"FRUCTIS","Fructis")))</f>
        <v/>
      </c>
      <c r="R122" s="8">
        <f>COUNTIF($D$2:$D$10000,D122)&gt;1</f>
        <v/>
      </c>
      <c r="S122" s="8">
        <f>IF(H122=TRUE,"Disponible","No disponible")</f>
        <v/>
      </c>
      <c r="T122" s="8">
        <f>IF(AND(ISNUMBER(I122),I122&gt;0),ROUND(F122/I122,2),"Sin volumen")</f>
        <v/>
      </c>
      <c r="U122" s="8">
        <f>IF(F122&lt;5000,"Bajo",IF(F122&lt;15000,"Medio","Alto"))</f>
        <v/>
      </c>
    </row>
    <row r="123">
      <c r="A123" t="inlineStr">
        <is>
          <t>Farmacity</t>
        </is>
      </c>
      <c r="B123" t="n">
        <v>230614</v>
      </c>
      <c r="C123" t="n">
        <v>230614</v>
      </c>
      <c r="D123" t="inlineStr">
        <is>
          <t>Shampoo Dosificador Tresemmé Detox Capilar x 500 ml</t>
        </is>
      </c>
      <c r="E123" t="inlineStr">
        <is>
          <t>Tresemmé</t>
        </is>
      </c>
      <c r="F123" t="n">
        <v>6574</v>
      </c>
      <c r="G123" t="n">
        <v>10114</v>
      </c>
      <c r="H123" t="b">
        <v>1</v>
      </c>
      <c r="I123" t="n">
        <v>500</v>
      </c>
      <c r="J123" t="n">
        <v>13.148</v>
      </c>
      <c r="K123" t="inlineStr">
        <is>
          <t>&gt; Cuidado Capilar &gt; Shampoo Y Acondicionador &gt;</t>
        </is>
      </c>
      <c r="L123" t="inlineStr">
        <is>
          <t>shampoo</t>
        </is>
      </c>
      <c r="M123" t="inlineStr">
        <is>
          <t>estandar</t>
        </is>
      </c>
      <c r="N123" t="inlineStr">
        <is>
          <t>general</t>
        </is>
      </c>
      <c r="O123" t="inlineStr">
        <is>
          <t>https://www.farmacity.com/shampoo-dosificador-tresemme-detox-capilar-x-500-ml/p</t>
        </is>
      </c>
      <c r="P123">
        <f>TRIM(CLEAN(PROPER(D123)))</f>
        <v/>
      </c>
      <c r="Q123">
        <f>PROPER(TRIM(SUBSTITUTE(SUBSTITUTE(SUBSTITUTE(SUBSTITUTE(E123,"TRESEMME","Tresemme"),"HEAD &amp; SHOULDERS","Head &amp; Shoulders"),"ELVIVE","Elvive"),"FRUCTIS","Fructis")))</f>
        <v/>
      </c>
      <c r="R123">
        <f>COUNTIF($D$2:$D$10000,D123)&gt;1</f>
        <v/>
      </c>
      <c r="S123">
        <f>IF(H123=TRUE,"Disponible","No disponible")</f>
        <v/>
      </c>
      <c r="T123">
        <f>IF(AND(ISNUMBER(I123),I123&gt;0),ROUND(F123/I123,2),"Sin volumen")</f>
        <v/>
      </c>
      <c r="U123">
        <f>IF(F123&lt;5000,"Bajo",IF(F123&lt;15000,"Medio","Alto"))</f>
        <v/>
      </c>
    </row>
    <row r="124">
      <c r="A124" s="6" t="inlineStr">
        <is>
          <t>Farmacity</t>
        </is>
      </c>
      <c r="B124" s="6" t="n">
        <v>230613</v>
      </c>
      <c r="C124" s="6" t="n">
        <v>230613</v>
      </c>
      <c r="D124" s="6" t="inlineStr">
        <is>
          <t>Shampoo Dosificador Tresemmé Liso Efecto Botox x 500 ml</t>
        </is>
      </c>
      <c r="E124" s="6" t="inlineStr">
        <is>
          <t>Tresemmé</t>
        </is>
      </c>
      <c r="F124" s="6" t="n">
        <v>6574</v>
      </c>
      <c r="G124" s="6" t="n">
        <v>10114</v>
      </c>
      <c r="H124" s="6" t="b">
        <v>1</v>
      </c>
      <c r="I124" s="6" t="n">
        <v>500</v>
      </c>
      <c r="J124" s="6" t="n">
        <v>13.148</v>
      </c>
      <c r="K124" s="6" t="inlineStr">
        <is>
          <t>&gt; Cuidado Capilar &gt; Shampoo Y Acondicionador &gt;</t>
        </is>
      </c>
      <c r="L124" s="6" t="inlineStr">
        <is>
          <t>shampoo</t>
        </is>
      </c>
      <c r="M124" s="6" t="inlineStr">
        <is>
          <t>estandar</t>
        </is>
      </c>
      <c r="N124" s="6" t="inlineStr">
        <is>
          <t>general</t>
        </is>
      </c>
      <c r="O124" s="6" t="inlineStr">
        <is>
          <t>https://www.farmacity.com/shampoo-dosificador-tresemme-liso-efecto-botox-x-500-ml/p</t>
        </is>
      </c>
      <c r="P124" s="8">
        <f>TRIM(CLEAN(PROPER(D124)))</f>
        <v/>
      </c>
      <c r="Q124" s="8">
        <f>PROPER(TRIM(SUBSTITUTE(SUBSTITUTE(SUBSTITUTE(SUBSTITUTE(E124,"TRESEMME","Tresemme"),"HEAD &amp; SHOULDERS","Head &amp; Shoulders"),"ELVIVE","Elvive"),"FRUCTIS","Fructis")))</f>
        <v/>
      </c>
      <c r="R124" s="8">
        <f>COUNTIF($D$2:$D$10000,D124)&gt;1</f>
        <v/>
      </c>
      <c r="S124" s="8">
        <f>IF(H124=TRUE,"Disponible","No disponible")</f>
        <v/>
      </c>
      <c r="T124" s="8">
        <f>IF(AND(ISNUMBER(I124),I124&gt;0),ROUND(F124/I124,2),"Sin volumen")</f>
        <v/>
      </c>
      <c r="U124" s="8">
        <f>IF(F124&lt;5000,"Bajo",IF(F124&lt;15000,"Medio","Alto"))</f>
        <v/>
      </c>
    </row>
    <row r="125">
      <c r="A125" t="inlineStr">
        <is>
          <t>Farmacity</t>
        </is>
      </c>
      <c r="B125" t="n">
        <v>206049</v>
      </c>
      <c r="C125" t="n">
        <v>206049</v>
      </c>
      <c r="D125" t="inlineStr">
        <is>
          <t>Shampoo Head &amp; Shoulders Men con Old Spice x 375 ml</t>
        </is>
      </c>
      <c r="E125" t="inlineStr">
        <is>
          <t>Head and Shoulders</t>
        </is>
      </c>
      <c r="F125" t="n">
        <v>7895</v>
      </c>
      <c r="G125" t="n">
        <v>12146</v>
      </c>
      <c r="H125" t="b">
        <v>1</v>
      </c>
      <c r="I125" t="n">
        <v>375</v>
      </c>
      <c r="J125" t="n">
        <v>21.0533</v>
      </c>
      <c r="K125" t="inlineStr">
        <is>
          <t>&gt; Cuidado Capilar &gt; Shampoo Y Acondicionador &gt;</t>
        </is>
      </c>
      <c r="L125" t="inlineStr">
        <is>
          <t>shampoo</t>
        </is>
      </c>
      <c r="M125" t="inlineStr">
        <is>
          <t>estandar</t>
        </is>
      </c>
      <c r="N125" t="inlineStr">
        <is>
          <t>general</t>
        </is>
      </c>
      <c r="O125" t="inlineStr">
        <is>
          <t>https://www.farmacity.com/shampoo-head-shoulders-old-spice-para-hombres-x-375-ml/p</t>
        </is>
      </c>
      <c r="P125">
        <f>TRIM(CLEAN(PROPER(D125)))</f>
        <v/>
      </c>
      <c r="Q125">
        <f>PROPER(TRIM(SUBSTITUTE(SUBSTITUTE(SUBSTITUTE(SUBSTITUTE(E125,"TRESEMME","Tresemme"),"HEAD &amp; SHOULDERS","Head &amp; Shoulders"),"ELVIVE","Elvive"),"FRUCTIS","Fructis")))</f>
        <v/>
      </c>
      <c r="R125">
        <f>COUNTIF($D$2:$D$10000,D125)&gt;1</f>
        <v/>
      </c>
      <c r="S125">
        <f>IF(H125=TRUE,"Disponible","No disponible")</f>
        <v/>
      </c>
      <c r="T125">
        <f>IF(AND(ISNUMBER(I125),I125&gt;0),ROUND(F125/I125,2),"Sin volumen")</f>
        <v/>
      </c>
      <c r="U125">
        <f>IF(F125&lt;5000,"Bajo",IF(F125&lt;15000,"Medio","Alto"))</f>
        <v/>
      </c>
    </row>
    <row r="126">
      <c r="A126" s="6" t="inlineStr">
        <is>
          <t>Farmacity</t>
        </is>
      </c>
      <c r="B126" s="6" t="n">
        <v>206045</v>
      </c>
      <c r="C126" s="6" t="n">
        <v>206045</v>
      </c>
      <c r="D126" s="6" t="inlineStr">
        <is>
          <t>Shampoo Head &amp; Shoulders Manzana Fresh x 375 ml</t>
        </is>
      </c>
      <c r="E126" s="6" t="inlineStr">
        <is>
          <t>Head and Shoulders</t>
        </is>
      </c>
      <c r="F126" s="6" t="n">
        <v>7895</v>
      </c>
      <c r="G126" s="6" t="n">
        <v>12146</v>
      </c>
      <c r="H126" s="6" t="b">
        <v>1</v>
      </c>
      <c r="I126" s="6" t="n">
        <v>375</v>
      </c>
      <c r="J126" s="6" t="n">
        <v>21.0533</v>
      </c>
      <c r="K126" s="6" t="inlineStr">
        <is>
          <t>&gt; Cuidado Capilar &gt; Shampoo Y Acondicionador &gt;</t>
        </is>
      </c>
      <c r="L126" s="6" t="inlineStr">
        <is>
          <t>shampoo</t>
        </is>
      </c>
      <c r="M126" s="6" t="inlineStr">
        <is>
          <t>estandar</t>
        </is>
      </c>
      <c r="N126" s="6" t="inlineStr">
        <is>
          <t>general</t>
        </is>
      </c>
      <c r="O126" s="6" t="inlineStr">
        <is>
          <t>https://www.farmacity.com/shampoo-head-shoulders-manzana-fresh-375ml/p</t>
        </is>
      </c>
      <c r="P126" s="8">
        <f>TRIM(CLEAN(PROPER(D126)))</f>
        <v/>
      </c>
      <c r="Q126" s="8">
        <f>PROPER(TRIM(SUBSTITUTE(SUBSTITUTE(SUBSTITUTE(SUBSTITUTE(E126,"TRESEMME","Tresemme"),"HEAD &amp; SHOULDERS","Head &amp; Shoulders"),"ELVIVE","Elvive"),"FRUCTIS","Fructis")))</f>
        <v/>
      </c>
      <c r="R126" s="8">
        <f>COUNTIF($D$2:$D$10000,D126)&gt;1</f>
        <v/>
      </c>
      <c r="S126" s="8">
        <f>IF(H126=TRUE,"Disponible","No disponible")</f>
        <v/>
      </c>
      <c r="T126" s="8">
        <f>IF(AND(ISNUMBER(I126),I126&gt;0),ROUND(F126/I126,2),"Sin volumen")</f>
        <v/>
      </c>
      <c r="U126" s="8">
        <f>IF(F126&lt;5000,"Bajo",IF(F126&lt;15000,"Medio","Alto"))</f>
        <v/>
      </c>
    </row>
    <row r="127">
      <c r="A127" t="inlineStr">
        <is>
          <t>Farmacity</t>
        </is>
      </c>
      <c r="B127" t="n">
        <v>4190</v>
      </c>
      <c r="C127" t="n">
        <v>139236</v>
      </c>
      <c r="D127" t="inlineStr">
        <is>
          <t>Shampoo Elvive Reparación Total 5 x 400 ml</t>
        </is>
      </c>
      <c r="E127" t="inlineStr">
        <is>
          <t>Elvive</t>
        </is>
      </c>
      <c r="F127" t="n">
        <v>6714</v>
      </c>
      <c r="G127" t="n">
        <v>11190</v>
      </c>
      <c r="H127" t="b">
        <v>1</v>
      </c>
      <c r="I127" t="n">
        <v>400</v>
      </c>
      <c r="J127" t="n">
        <v>16.785</v>
      </c>
      <c r="K127" t="inlineStr">
        <is>
          <t>&gt; Cuidado Capilar &gt; Shampoo Y Acondicionador &gt;</t>
        </is>
      </c>
      <c r="L127" t="inlineStr">
        <is>
          <t>shampoo</t>
        </is>
      </c>
      <c r="M127" t="inlineStr">
        <is>
          <t>profesional</t>
        </is>
      </c>
      <c r="N127" t="inlineStr">
        <is>
          <t>general</t>
        </is>
      </c>
      <c r="O127" t="inlineStr">
        <is>
          <t>https://www.farmacity.com/shampoo-reparacion-total-5-x-400-ml-139236/p</t>
        </is>
      </c>
      <c r="P127">
        <f>TRIM(CLEAN(PROPER(D127)))</f>
        <v/>
      </c>
      <c r="Q127">
        <f>PROPER(TRIM(SUBSTITUTE(SUBSTITUTE(SUBSTITUTE(SUBSTITUTE(E127,"TRESEMME","Tresemme"),"HEAD &amp; SHOULDERS","Head &amp; Shoulders"),"ELVIVE","Elvive"),"FRUCTIS","Fructis")))</f>
        <v/>
      </c>
      <c r="R127">
        <f>COUNTIF($D$2:$D$10000,D127)&gt;1</f>
        <v/>
      </c>
      <c r="S127">
        <f>IF(H127=TRUE,"Disponible","No disponible")</f>
        <v/>
      </c>
      <c r="T127">
        <f>IF(AND(ISNUMBER(I127),I127&gt;0),ROUND(F127/I127,2),"Sin volumen")</f>
        <v/>
      </c>
      <c r="U127">
        <f>IF(F127&lt;5000,"Bajo",IF(F127&lt;15000,"Medio","Alto"))</f>
        <v/>
      </c>
    </row>
    <row r="128">
      <c r="A128" s="6" t="inlineStr">
        <is>
          <t>Farmacity</t>
        </is>
      </c>
      <c r="B128" s="6" t="n">
        <v>4133</v>
      </c>
      <c r="C128" s="6" t="n">
        <v>139235</v>
      </c>
      <c r="D128" s="6" t="inlineStr">
        <is>
          <t>Shampoo Elvive Reparación Total 5 Keratin x 200 ml</t>
        </is>
      </c>
      <c r="E128" s="6" t="inlineStr">
        <is>
          <t>Elvive</t>
        </is>
      </c>
      <c r="F128" s="6" t="n">
        <v>6990</v>
      </c>
      <c r="G128" s="6" t="n">
        <v>6990</v>
      </c>
      <c r="H128" s="6" t="b">
        <v>1</v>
      </c>
      <c r="I128" s="6" t="n">
        <v>200</v>
      </c>
      <c r="J128" s="6" t="n">
        <v>34.95</v>
      </c>
      <c r="K128" s="6" t="inlineStr">
        <is>
          <t>&gt; Cuidado Capilar &gt; Shampoo Y Acondicionador &gt;</t>
        </is>
      </c>
      <c r="L128" s="6" t="inlineStr">
        <is>
          <t>shampoo</t>
        </is>
      </c>
      <c r="M128" s="6" t="inlineStr">
        <is>
          <t>profesional</t>
        </is>
      </c>
      <c r="N128" s="6" t="inlineStr">
        <is>
          <t>general</t>
        </is>
      </c>
      <c r="O128" s="6" t="inlineStr">
        <is>
          <t>https://www.farmacity.com/reparacion-total-5-shampoo-x-200-ml/p</t>
        </is>
      </c>
      <c r="P128" s="8">
        <f>TRIM(CLEAN(PROPER(D128)))</f>
        <v/>
      </c>
      <c r="Q128" s="8">
        <f>PROPER(TRIM(SUBSTITUTE(SUBSTITUTE(SUBSTITUTE(SUBSTITUTE(E128,"TRESEMME","Tresemme"),"HEAD &amp; SHOULDERS","Head &amp; Shoulders"),"ELVIVE","Elvive"),"FRUCTIS","Fructis")))</f>
        <v/>
      </c>
      <c r="R128" s="8">
        <f>COUNTIF($D$2:$D$10000,D128)&gt;1</f>
        <v/>
      </c>
      <c r="S128" s="8">
        <f>IF(H128=TRUE,"Disponible","No disponible")</f>
        <v/>
      </c>
      <c r="T128" s="8">
        <f>IF(AND(ISNUMBER(I128),I128&gt;0),ROUND(F128/I128,2),"Sin volumen")</f>
        <v/>
      </c>
      <c r="U128" s="8">
        <f>IF(F128&lt;5000,"Bajo",IF(F128&lt;15000,"Medio","Alto"))</f>
        <v/>
      </c>
    </row>
    <row r="129">
      <c r="A129" t="inlineStr">
        <is>
          <t>Farmacity</t>
        </is>
      </c>
      <c r="B129" t="n">
        <v>249370</v>
      </c>
      <c r="C129" t="n">
        <v>249370</v>
      </c>
      <c r="D129" t="inlineStr">
        <is>
          <t>Shampoo Alta Moda Keratin Impact x 300 ml</t>
        </is>
      </c>
      <c r="E129" t="inlineStr">
        <is>
          <t>Alta Moda</t>
        </is>
      </c>
      <c r="F129" t="n">
        <v>5692</v>
      </c>
      <c r="G129" t="n">
        <v>5692</v>
      </c>
      <c r="H129" t="b">
        <v>1</v>
      </c>
      <c r="I129" t="n">
        <v>300</v>
      </c>
      <c r="J129" t="n">
        <v>18.9733</v>
      </c>
      <c r="K129" t="inlineStr">
        <is>
          <t>&gt; Cuidado Capilar &gt; Shampoo Y Acondicionador &gt;</t>
        </is>
      </c>
      <c r="L129" t="inlineStr">
        <is>
          <t>shampoo</t>
        </is>
      </c>
      <c r="M129" t="inlineStr">
        <is>
          <t>estandar</t>
        </is>
      </c>
      <c r="N129" t="inlineStr">
        <is>
          <t>general</t>
        </is>
      </c>
      <c r="O129" t="inlineStr">
        <is>
          <t>https://www.farmacity.com/shampoo-alta-moda-keratin-impact-x-300-ml/p</t>
        </is>
      </c>
      <c r="P129">
        <f>TRIM(CLEAN(PROPER(D129)))</f>
        <v/>
      </c>
      <c r="Q129">
        <f>PROPER(TRIM(SUBSTITUTE(SUBSTITUTE(SUBSTITUTE(SUBSTITUTE(E129,"TRESEMME","Tresemme"),"HEAD &amp; SHOULDERS","Head &amp; Shoulders"),"ELVIVE","Elvive"),"FRUCTIS","Fructis")))</f>
        <v/>
      </c>
      <c r="R129">
        <f>COUNTIF($D$2:$D$10000,D129)&gt;1</f>
        <v/>
      </c>
      <c r="S129">
        <f>IF(H129=TRUE,"Disponible","No disponible")</f>
        <v/>
      </c>
      <c r="T129">
        <f>IF(AND(ISNUMBER(I129),I129&gt;0),ROUND(F129/I129,2),"Sin volumen")</f>
        <v/>
      </c>
      <c r="U129">
        <f>IF(F129&lt;5000,"Bajo",IF(F129&lt;15000,"Medio","Alto"))</f>
        <v/>
      </c>
    </row>
    <row r="130">
      <c r="A130" s="6" t="inlineStr">
        <is>
          <t>Farmacity</t>
        </is>
      </c>
      <c r="B130" s="6" t="n">
        <v>246641</v>
      </c>
      <c r="C130" s="6" t="n">
        <v>246641</v>
      </c>
      <c r="D130" s="6" t="inlineStr">
        <is>
          <t>Shampoo Herbal Essences Rosa Mosqueta x 400 ml</t>
        </is>
      </c>
      <c r="E130" s="6" t="inlineStr">
        <is>
          <t>Herbal Essences</t>
        </is>
      </c>
      <c r="F130" s="6" t="n">
        <v>10574</v>
      </c>
      <c r="G130" s="6" t="n">
        <v>16267</v>
      </c>
      <c r="H130" s="6" t="b">
        <v>1</v>
      </c>
      <c r="I130" s="6" t="n">
        <v>400</v>
      </c>
      <c r="J130" s="6" t="n">
        <v>26.435</v>
      </c>
      <c r="K130" s="6" t="inlineStr">
        <is>
          <t>&gt; Cuidado Capilar &gt; Shampoo Y Acondicionador &gt;</t>
        </is>
      </c>
      <c r="L130" s="6" t="inlineStr">
        <is>
          <t>shampoo</t>
        </is>
      </c>
      <c r="M130" s="6" t="inlineStr">
        <is>
          <t>estandar</t>
        </is>
      </c>
      <c r="N130" s="6" t="inlineStr">
        <is>
          <t>general</t>
        </is>
      </c>
      <c r="O130" s="6" t="inlineStr">
        <is>
          <t>https://www.farmacity.com/shampoo-herbal-essences-rosa-mosqueta-x-400-ml/p</t>
        </is>
      </c>
      <c r="P130" s="8">
        <f>TRIM(CLEAN(PROPER(D130)))</f>
        <v/>
      </c>
      <c r="Q130" s="8">
        <f>PROPER(TRIM(SUBSTITUTE(SUBSTITUTE(SUBSTITUTE(SUBSTITUTE(E130,"TRESEMME","Tresemme"),"HEAD &amp; SHOULDERS","Head &amp; Shoulders"),"ELVIVE","Elvive"),"FRUCTIS","Fructis")))</f>
        <v/>
      </c>
      <c r="R130" s="8">
        <f>COUNTIF($D$2:$D$10000,D130)&gt;1</f>
        <v/>
      </c>
      <c r="S130" s="8">
        <f>IF(H130=TRUE,"Disponible","No disponible")</f>
        <v/>
      </c>
      <c r="T130" s="8">
        <f>IF(AND(ISNUMBER(I130),I130&gt;0),ROUND(F130/I130,2),"Sin volumen")</f>
        <v/>
      </c>
      <c r="U130" s="8">
        <f>IF(F130&lt;5000,"Bajo",IF(F130&lt;15000,"Medio","Alto"))</f>
        <v/>
      </c>
    </row>
    <row r="131">
      <c r="A131" t="inlineStr">
        <is>
          <t>Farmacity</t>
        </is>
      </c>
      <c r="B131" t="n">
        <v>246640</v>
      </c>
      <c r="C131" t="n">
        <v>246640</v>
      </c>
      <c r="D131" t="inlineStr">
        <is>
          <t>Shampoo Herbal Essences Shine x 400 ml</t>
        </is>
      </c>
      <c r="E131" t="inlineStr">
        <is>
          <t>Herbal Essences</t>
        </is>
      </c>
      <c r="F131" t="n">
        <v>10574</v>
      </c>
      <c r="G131" t="n">
        <v>16267</v>
      </c>
      <c r="H131" t="b">
        <v>1</v>
      </c>
      <c r="I131" t="n">
        <v>400</v>
      </c>
      <c r="J131" t="n">
        <v>26.435</v>
      </c>
      <c r="K131" t="inlineStr">
        <is>
          <t>&gt; Cuidado Capilar &gt; Shampoo Y Acondicionador &gt;</t>
        </is>
      </c>
      <c r="L131" t="inlineStr">
        <is>
          <t>shampoo</t>
        </is>
      </c>
      <c r="M131" t="inlineStr">
        <is>
          <t>estandar</t>
        </is>
      </c>
      <c r="N131" t="inlineStr">
        <is>
          <t>general</t>
        </is>
      </c>
      <c r="O131" t="inlineStr">
        <is>
          <t>https://www.farmacity.com/shampoo-herbal-essences-shine-x-400-ml/p</t>
        </is>
      </c>
      <c r="P131">
        <f>TRIM(CLEAN(PROPER(D131)))</f>
        <v/>
      </c>
      <c r="Q131">
        <f>PROPER(TRIM(SUBSTITUTE(SUBSTITUTE(SUBSTITUTE(SUBSTITUTE(E131,"TRESEMME","Tresemme"),"HEAD &amp; SHOULDERS","Head &amp; Shoulders"),"ELVIVE","Elvive"),"FRUCTIS","Fructis")))</f>
        <v/>
      </c>
      <c r="R131">
        <f>COUNTIF($D$2:$D$10000,D131)&gt;1</f>
        <v/>
      </c>
      <c r="S131">
        <f>IF(H131=TRUE,"Disponible","No disponible")</f>
        <v/>
      </c>
      <c r="T131">
        <f>IF(AND(ISNUMBER(I131),I131&gt;0),ROUND(F131/I131,2),"Sin volumen")</f>
        <v/>
      </c>
      <c r="U131">
        <f>IF(F131&lt;5000,"Bajo",IF(F131&lt;15000,"Medio","Alto"))</f>
        <v/>
      </c>
    </row>
    <row r="132">
      <c r="A132" s="6" t="inlineStr">
        <is>
          <t>Farmacity</t>
        </is>
      </c>
      <c r="B132" s="6" t="n">
        <v>244695</v>
      </c>
      <c r="C132" s="6" t="n">
        <v>244695</v>
      </c>
      <c r="D132" s="6" t="inlineStr">
        <is>
          <t>Shampoo Elvive Dream Liso x 750 ml</t>
        </is>
      </c>
      <c r="E132" s="6" t="inlineStr">
        <is>
          <t>Elvive</t>
        </is>
      </c>
      <c r="F132" s="6" t="n">
        <v>19990</v>
      </c>
      <c r="G132" s="6" t="n">
        <v>19990</v>
      </c>
      <c r="H132" s="6" t="b">
        <v>1</v>
      </c>
      <c r="I132" s="6" t="n">
        <v>750</v>
      </c>
      <c r="J132" s="6" t="n">
        <v>26.6533</v>
      </c>
      <c r="K132" s="6" t="inlineStr">
        <is>
          <t>&gt; Cuidado Capilar &gt; Shampoo Y Acondicionador &gt;</t>
        </is>
      </c>
      <c r="L132" s="6" t="inlineStr">
        <is>
          <t>shampoo</t>
        </is>
      </c>
      <c r="M132" s="6" t="inlineStr">
        <is>
          <t>profesional</t>
        </is>
      </c>
      <c r="N132" s="6" t="inlineStr">
        <is>
          <t>general</t>
        </is>
      </c>
      <c r="O132" s="6" t="inlineStr">
        <is>
          <t>https://www.farmacity.com/shampoo-elvive-dream-liso-x-750-ml/p</t>
        </is>
      </c>
      <c r="P132" s="8">
        <f>TRIM(CLEAN(PROPER(D132)))</f>
        <v/>
      </c>
      <c r="Q132" s="8">
        <f>PROPER(TRIM(SUBSTITUTE(SUBSTITUTE(SUBSTITUTE(SUBSTITUTE(E132,"TRESEMME","Tresemme"),"HEAD &amp; SHOULDERS","Head &amp; Shoulders"),"ELVIVE","Elvive"),"FRUCTIS","Fructis")))</f>
        <v/>
      </c>
      <c r="R132" s="8">
        <f>COUNTIF($D$2:$D$10000,D132)&gt;1</f>
        <v/>
      </c>
      <c r="S132" s="8">
        <f>IF(H132=TRUE,"Disponible","No disponible")</f>
        <v/>
      </c>
      <c r="T132" s="8">
        <f>IF(AND(ISNUMBER(I132),I132&gt;0),ROUND(F132/I132,2),"Sin volumen")</f>
        <v/>
      </c>
      <c r="U132" s="8">
        <f>IF(F132&lt;5000,"Bajo",IF(F132&lt;15000,"Medio","Alto"))</f>
        <v/>
      </c>
    </row>
    <row r="133">
      <c r="A133" t="inlineStr">
        <is>
          <t>Farmacity</t>
        </is>
      </c>
      <c r="B133" t="n">
        <v>239566</v>
      </c>
      <c r="C133" t="n">
        <v>239566</v>
      </c>
      <c r="D133" t="inlineStr">
        <is>
          <t>Shampoo Farmacity Bebé Avena x 200 ml</t>
        </is>
      </c>
      <c r="E133" t="inlineStr">
        <is>
          <t>Farmacity</t>
        </is>
      </c>
      <c r="F133" t="n">
        <v>5400</v>
      </c>
      <c r="G133" t="n">
        <v>5400</v>
      </c>
      <c r="H133" t="b">
        <v>1</v>
      </c>
      <c r="I133" t="n">
        <v>200</v>
      </c>
      <c r="J133" t="n">
        <v>27</v>
      </c>
      <c r="K133" t="inlineStr">
        <is>
          <t>&gt; Bebés &gt; Higiene del Bebé &gt; Baño Del Bebé &gt;</t>
        </is>
      </c>
      <c r="L133" t="inlineStr">
        <is>
          <t>shampoo</t>
        </is>
      </c>
      <c r="M133" t="inlineStr">
        <is>
          <t>estandar</t>
        </is>
      </c>
      <c r="N133" t="inlineStr">
        <is>
          <t>bebe</t>
        </is>
      </c>
      <c r="O133" t="inlineStr">
        <is>
          <t>https://www.farmacity.com/shampoo-farmacity-bebe-avena-x-200-ml/p</t>
        </is>
      </c>
      <c r="P133">
        <f>TRIM(CLEAN(PROPER(D133)))</f>
        <v/>
      </c>
      <c r="Q133">
        <f>PROPER(TRIM(SUBSTITUTE(SUBSTITUTE(SUBSTITUTE(SUBSTITUTE(E133,"TRESEMME","Tresemme"),"HEAD &amp; SHOULDERS","Head &amp; Shoulders"),"ELVIVE","Elvive"),"FRUCTIS","Fructis")))</f>
        <v/>
      </c>
      <c r="R133">
        <f>COUNTIF($D$2:$D$10000,D133)&gt;1</f>
        <v/>
      </c>
      <c r="S133">
        <f>IF(H133=TRUE,"Disponible","No disponible")</f>
        <v/>
      </c>
      <c r="T133">
        <f>IF(AND(ISNUMBER(I133),I133&gt;0),ROUND(F133/I133,2),"Sin volumen")</f>
        <v/>
      </c>
      <c r="U133">
        <f>IF(F133&lt;5000,"Bajo",IF(F133&lt;15000,"Medio","Alto"))</f>
        <v/>
      </c>
    </row>
    <row r="134">
      <c r="A134" s="6" t="inlineStr">
        <is>
          <t>Farmacity</t>
        </is>
      </c>
      <c r="B134" s="6" t="n">
        <v>237326</v>
      </c>
      <c r="C134" s="6" t="n">
        <v>237326</v>
      </c>
      <c r="D134" s="6" t="inlineStr">
        <is>
          <t>Shampoo TRESemmé Brillo Lamelar P x 500 ml</t>
        </is>
      </c>
      <c r="E134" s="6" t="inlineStr">
        <is>
          <t>Tresemmé</t>
        </is>
      </c>
      <c r="F134" s="6" t="n">
        <v>6574</v>
      </c>
      <c r="G134" s="6" t="n">
        <v>10114</v>
      </c>
      <c r="H134" s="6" t="b">
        <v>1</v>
      </c>
      <c r="I134" s="6" t="n">
        <v>500</v>
      </c>
      <c r="J134" s="6" t="n">
        <v>13.148</v>
      </c>
      <c r="K134" s="6" t="inlineStr">
        <is>
          <t>&gt; Cuidado Capilar &gt; Shampoo Y Acondicionador &gt;</t>
        </is>
      </c>
      <c r="L134" s="6" t="inlineStr">
        <is>
          <t>shampoo</t>
        </is>
      </c>
      <c r="M134" s="6" t="inlineStr">
        <is>
          <t>estandar</t>
        </is>
      </c>
      <c r="N134" s="6" t="inlineStr">
        <is>
          <t>general</t>
        </is>
      </c>
      <c r="O134" s="6" t="inlineStr">
        <is>
          <t>https://www.farmacity.com/shampoo-tresemme-brillo-lamelar-p-x-500-ml/p</t>
        </is>
      </c>
      <c r="P134" s="8">
        <f>TRIM(CLEAN(PROPER(D134)))</f>
        <v/>
      </c>
      <c r="Q134" s="8">
        <f>PROPER(TRIM(SUBSTITUTE(SUBSTITUTE(SUBSTITUTE(SUBSTITUTE(E134,"TRESEMME","Tresemme"),"HEAD &amp; SHOULDERS","Head &amp; Shoulders"),"ELVIVE","Elvive"),"FRUCTIS","Fructis")))</f>
        <v/>
      </c>
      <c r="R134" s="8">
        <f>COUNTIF($D$2:$D$10000,D134)&gt;1</f>
        <v/>
      </c>
      <c r="S134" s="8">
        <f>IF(H134=TRUE,"Disponible","No disponible")</f>
        <v/>
      </c>
      <c r="T134" s="8">
        <f>IF(AND(ISNUMBER(I134),I134&gt;0),ROUND(F134/I134,2),"Sin volumen")</f>
        <v/>
      </c>
      <c r="U134" s="8">
        <f>IF(F134&lt;5000,"Bajo",IF(F134&lt;15000,"Medio","Alto"))</f>
        <v/>
      </c>
    </row>
    <row r="135">
      <c r="A135" t="inlineStr">
        <is>
          <t>Farmacity</t>
        </is>
      </c>
      <c r="B135" t="n">
        <v>234383</v>
      </c>
      <c r="C135" t="n">
        <v>234383</v>
      </c>
      <c r="D135" t="inlineStr">
        <is>
          <t>Shampoo Elvive Hialurónico Pure x 200 ml</t>
        </is>
      </c>
      <c r="E135" t="inlineStr">
        <is>
          <t>Elvive</t>
        </is>
      </c>
      <c r="F135" t="n">
        <v>6990</v>
      </c>
      <c r="G135" t="n">
        <v>6990</v>
      </c>
      <c r="H135" t="b">
        <v>1</v>
      </c>
      <c r="I135" t="n">
        <v>200</v>
      </c>
      <c r="J135" t="n">
        <v>34.95</v>
      </c>
      <c r="K135" t="inlineStr">
        <is>
          <t>&gt; Cuidado Capilar &gt; Shampoo Y Acondicionador &gt;</t>
        </is>
      </c>
      <c r="L135" t="inlineStr">
        <is>
          <t>shampoo</t>
        </is>
      </c>
      <c r="M135" t="inlineStr">
        <is>
          <t>profesional</t>
        </is>
      </c>
      <c r="N135" t="inlineStr">
        <is>
          <t>general</t>
        </is>
      </c>
      <c r="O135" t="inlineStr">
        <is>
          <t>https://www.farmacity.com/shampoo-elvive-hialuronico-pure-x-200-ml/p</t>
        </is>
      </c>
      <c r="P135">
        <f>TRIM(CLEAN(PROPER(D135)))</f>
        <v/>
      </c>
      <c r="Q135">
        <f>PROPER(TRIM(SUBSTITUTE(SUBSTITUTE(SUBSTITUTE(SUBSTITUTE(E135,"TRESEMME","Tresemme"),"HEAD &amp; SHOULDERS","Head &amp; Shoulders"),"ELVIVE","Elvive"),"FRUCTIS","Fructis")))</f>
        <v/>
      </c>
      <c r="R135">
        <f>COUNTIF($D$2:$D$10000,D135)&gt;1</f>
        <v/>
      </c>
      <c r="S135">
        <f>IF(H135=TRUE,"Disponible","No disponible")</f>
        <v/>
      </c>
      <c r="T135">
        <f>IF(AND(ISNUMBER(I135),I135&gt;0),ROUND(F135/I135,2),"Sin volumen")</f>
        <v/>
      </c>
      <c r="U135">
        <f>IF(F135&lt;5000,"Bajo",IF(F135&lt;15000,"Medio","Alto"))</f>
        <v/>
      </c>
    </row>
    <row r="136">
      <c r="A136" s="6" t="inlineStr">
        <is>
          <t>Farmacity</t>
        </is>
      </c>
      <c r="B136" s="6" t="n">
        <v>234283</v>
      </c>
      <c r="C136" s="6" t="n">
        <v>234283</v>
      </c>
      <c r="D136" s="6" t="inlineStr">
        <is>
          <t>Shampoo Pantene Pro-V Miracles Fortalecedor x 750 ml</t>
        </is>
      </c>
      <c r="E136" s="6" t="inlineStr">
        <is>
          <t>Pantene</t>
        </is>
      </c>
      <c r="F136" s="6" t="n">
        <v>10040</v>
      </c>
      <c r="G136" s="6" t="n">
        <v>16733</v>
      </c>
      <c r="H136" s="6" t="b">
        <v>1</v>
      </c>
      <c r="I136" s="6" t="n">
        <v>750</v>
      </c>
      <c r="J136" s="6" t="n">
        <v>13.3867</v>
      </c>
      <c r="K136" s="6" t="inlineStr">
        <is>
          <t>&gt; Cuidado Capilar &gt; Shampoo Y Acondicionador &gt;</t>
        </is>
      </c>
      <c r="L136" s="6" t="inlineStr">
        <is>
          <t>shampoo</t>
        </is>
      </c>
      <c r="M136" s="6" t="inlineStr">
        <is>
          <t>profesional</t>
        </is>
      </c>
      <c r="N136" s="6" t="inlineStr">
        <is>
          <t>general</t>
        </is>
      </c>
      <c r="O136" s="6" t="inlineStr">
        <is>
          <t>https://www.farmacity.com/shampoo-pantene-pro-v-miracles-hidrata-y-fortalece-x-750-ml/p</t>
        </is>
      </c>
      <c r="P136" s="8">
        <f>TRIM(CLEAN(PROPER(D136)))</f>
        <v/>
      </c>
      <c r="Q136" s="8">
        <f>PROPER(TRIM(SUBSTITUTE(SUBSTITUTE(SUBSTITUTE(SUBSTITUTE(E136,"TRESEMME","Tresemme"),"HEAD &amp; SHOULDERS","Head &amp; Shoulders"),"ELVIVE","Elvive"),"FRUCTIS","Fructis")))</f>
        <v/>
      </c>
      <c r="R136" s="8">
        <f>COUNTIF($D$2:$D$10000,D136)&gt;1</f>
        <v/>
      </c>
      <c r="S136" s="8">
        <f>IF(H136=TRUE,"Disponible","No disponible")</f>
        <v/>
      </c>
      <c r="T136" s="8">
        <f>IF(AND(ISNUMBER(I136),I136&gt;0),ROUND(F136/I136,2),"Sin volumen")</f>
        <v/>
      </c>
      <c r="U136" s="8">
        <f>IF(F136&lt;5000,"Bajo",IF(F136&lt;15000,"Medio","Alto"))</f>
        <v/>
      </c>
    </row>
    <row r="137">
      <c r="A137" t="inlineStr">
        <is>
          <t>Farmacity</t>
        </is>
      </c>
      <c r="B137" t="n">
        <v>218819</v>
      </c>
      <c r="C137" t="n">
        <v>218819</v>
      </c>
      <c r="D137" t="inlineStr">
        <is>
          <t>Shampoo Pantene Bambú Nutre y Crece x 400 ml</t>
        </is>
      </c>
      <c r="E137" t="inlineStr">
        <is>
          <t>Pantene</t>
        </is>
      </c>
      <c r="F137" t="n">
        <v>6137</v>
      </c>
      <c r="G137" t="n">
        <v>10228</v>
      </c>
      <c r="H137" t="b">
        <v>1</v>
      </c>
      <c r="I137" t="n">
        <v>400</v>
      </c>
      <c r="J137" t="n">
        <v>15.3425</v>
      </c>
      <c r="K137" t="inlineStr">
        <is>
          <t>&gt; Cuidado Capilar &gt; Shampoo Y Acondicionador &gt;</t>
        </is>
      </c>
      <c r="L137" t="inlineStr">
        <is>
          <t>shampoo</t>
        </is>
      </c>
      <c r="M137" t="inlineStr">
        <is>
          <t>estandar</t>
        </is>
      </c>
      <c r="N137" t="inlineStr">
        <is>
          <t>general</t>
        </is>
      </c>
      <c r="O137" t="inlineStr">
        <is>
          <t>https://www.farmacity.com/shampoo-pantene-bambu-nutre-y-crece-x-400-ml/p</t>
        </is>
      </c>
      <c r="P137">
        <f>TRIM(CLEAN(PROPER(D137)))</f>
        <v/>
      </c>
      <c r="Q137">
        <f>PROPER(TRIM(SUBSTITUTE(SUBSTITUTE(SUBSTITUTE(SUBSTITUTE(E137,"TRESEMME","Tresemme"),"HEAD &amp; SHOULDERS","Head &amp; Shoulders"),"ELVIVE","Elvive"),"FRUCTIS","Fructis")))</f>
        <v/>
      </c>
      <c r="R137">
        <f>COUNTIF($D$2:$D$10000,D137)&gt;1</f>
        <v/>
      </c>
      <c r="S137">
        <f>IF(H137=TRUE,"Disponible","No disponible")</f>
        <v/>
      </c>
      <c r="T137">
        <f>IF(AND(ISNUMBER(I137),I137&gt;0),ROUND(F137/I137,2),"Sin volumen")</f>
        <v/>
      </c>
      <c r="U137">
        <f>IF(F137&lt;5000,"Bajo",IF(F137&lt;15000,"Medio","Alto"))</f>
        <v/>
      </c>
    </row>
    <row r="138">
      <c r="A138" s="6" t="inlineStr">
        <is>
          <t>Farmacity</t>
        </is>
      </c>
      <c r="B138" s="6" t="n">
        <v>208132</v>
      </c>
      <c r="C138" s="6" t="n">
        <v>208132</v>
      </c>
      <c r="D138" s="6" t="inlineStr">
        <is>
          <t>Shampoo Elvive Dream Long x 200 ml</t>
        </is>
      </c>
      <c r="E138" s="6" t="inlineStr">
        <is>
          <t>Elvive</t>
        </is>
      </c>
      <c r="F138" s="6" t="n">
        <v>4194</v>
      </c>
      <c r="G138" s="6" t="n">
        <v>6990</v>
      </c>
      <c r="H138" s="6" t="b">
        <v>1</v>
      </c>
      <c r="I138" s="6" t="n">
        <v>200</v>
      </c>
      <c r="J138" s="6" t="n">
        <v>20.97</v>
      </c>
      <c r="K138" s="6" t="inlineStr">
        <is>
          <t>&gt; Cuidado Capilar &gt; Shampoo Y Acondicionador &gt;</t>
        </is>
      </c>
      <c r="L138" s="6" t="inlineStr">
        <is>
          <t>shampoo</t>
        </is>
      </c>
      <c r="M138" s="6" t="inlineStr">
        <is>
          <t>profesional</t>
        </is>
      </c>
      <c r="N138" s="6" t="inlineStr">
        <is>
          <t>general</t>
        </is>
      </c>
      <c r="O138" s="6" t="inlineStr">
        <is>
          <t>https://www.farmacity.com/shampoo-dream-long-elvive-loreal-paris-x-200-ml/p</t>
        </is>
      </c>
      <c r="P138" s="8">
        <f>TRIM(CLEAN(PROPER(D138)))</f>
        <v/>
      </c>
      <c r="Q138" s="8">
        <f>PROPER(TRIM(SUBSTITUTE(SUBSTITUTE(SUBSTITUTE(SUBSTITUTE(E138,"TRESEMME","Tresemme"),"HEAD &amp; SHOULDERS","Head &amp; Shoulders"),"ELVIVE","Elvive"),"FRUCTIS","Fructis")))</f>
        <v/>
      </c>
      <c r="R138" s="8">
        <f>COUNTIF($D$2:$D$10000,D138)&gt;1</f>
        <v/>
      </c>
      <c r="S138" s="8">
        <f>IF(H138=TRUE,"Disponible","No disponible")</f>
        <v/>
      </c>
      <c r="T138" s="8">
        <f>IF(AND(ISNUMBER(I138),I138&gt;0),ROUND(F138/I138,2),"Sin volumen")</f>
        <v/>
      </c>
      <c r="U138" s="8">
        <f>IF(F138&lt;5000,"Bajo",IF(F138&lt;15000,"Medio","Alto"))</f>
        <v/>
      </c>
    </row>
    <row r="139">
      <c r="A139" t="inlineStr">
        <is>
          <t>Farmacity</t>
        </is>
      </c>
      <c r="B139" t="n">
        <v>204161</v>
      </c>
      <c r="C139" t="n">
        <v>200359</v>
      </c>
      <c r="D139" t="inlineStr">
        <is>
          <t>Shampoo Herbal Essences Argan Oil Of Morocco x 400 ml</t>
        </is>
      </c>
      <c r="E139" t="inlineStr">
        <is>
          <t>Herbal Essences</t>
        </is>
      </c>
      <c r="F139" t="n">
        <v>10574</v>
      </c>
      <c r="G139" t="n">
        <v>16267</v>
      </c>
      <c r="H139" t="b">
        <v>1</v>
      </c>
      <c r="I139" t="n">
        <v>400</v>
      </c>
      <c r="J139" t="n">
        <v>26.435</v>
      </c>
      <c r="K139" t="inlineStr">
        <is>
          <t>&gt; Cuidado Capilar &gt; Shampoo Y Acondicionador &gt;</t>
        </is>
      </c>
      <c r="L139" t="inlineStr">
        <is>
          <t>shampoo</t>
        </is>
      </c>
      <c r="M139" t="inlineStr">
        <is>
          <t>estandar</t>
        </is>
      </c>
      <c r="N139" t="inlineStr">
        <is>
          <t>general</t>
        </is>
      </c>
      <c r="O139" t="inlineStr">
        <is>
          <t>https://www.farmacity.com/shampoo-herbal-renew-reparacion-argan-oil-x-400ml/p</t>
        </is>
      </c>
      <c r="P139">
        <f>TRIM(CLEAN(PROPER(D139)))</f>
        <v/>
      </c>
      <c r="Q139">
        <f>PROPER(TRIM(SUBSTITUTE(SUBSTITUTE(SUBSTITUTE(SUBSTITUTE(E139,"TRESEMME","Tresemme"),"HEAD &amp; SHOULDERS","Head &amp; Shoulders"),"ELVIVE","Elvive"),"FRUCTIS","Fructis")))</f>
        <v/>
      </c>
      <c r="R139">
        <f>COUNTIF($D$2:$D$10000,D139)&gt;1</f>
        <v/>
      </c>
      <c r="S139">
        <f>IF(H139=TRUE,"Disponible","No disponible")</f>
        <v/>
      </c>
      <c r="T139">
        <f>IF(AND(ISNUMBER(I139),I139&gt;0),ROUND(F139/I139,2),"Sin volumen")</f>
        <v/>
      </c>
      <c r="U139">
        <f>IF(F139&lt;5000,"Bajo",IF(F139&lt;15000,"Medio","Alto"))</f>
        <v/>
      </c>
    </row>
    <row r="140">
      <c r="A140" s="6" t="inlineStr">
        <is>
          <t>Farmacity</t>
        </is>
      </c>
      <c r="B140" s="6" t="n">
        <v>9120</v>
      </c>
      <c r="C140" s="6" t="n">
        <v>219373</v>
      </c>
      <c r="D140" s="6" t="inlineStr">
        <is>
          <t>Shampoo Alta Moda Super Oils x 300 ml</t>
        </is>
      </c>
      <c r="E140" s="6" t="inlineStr">
        <is>
          <t>Alta Moda</t>
        </is>
      </c>
      <c r="F140" s="6" t="n">
        <v>5692</v>
      </c>
      <c r="G140" s="6" t="n">
        <v>5692</v>
      </c>
      <c r="H140" s="6" t="b">
        <v>1</v>
      </c>
      <c r="I140" s="6" t="n">
        <v>300</v>
      </c>
      <c r="J140" s="6" t="n">
        <v>18.9733</v>
      </c>
      <c r="K140" s="6" t="inlineStr">
        <is>
          <t>&gt; Cuidado Capilar &gt; Shampoo Y Acondicionador &gt;</t>
        </is>
      </c>
      <c r="L140" s="6" t="inlineStr">
        <is>
          <t>shampoo</t>
        </is>
      </c>
      <c r="M140" s="6" t="inlineStr">
        <is>
          <t>estandar</t>
        </is>
      </c>
      <c r="N140" s="6" t="inlineStr">
        <is>
          <t>general</t>
        </is>
      </c>
      <c r="O140" s="6" t="inlineStr">
        <is>
          <t>https://www.farmacity.com/shampoo-alta-moda-argan-therapy-x-300/p</t>
        </is>
      </c>
      <c r="P140" s="8">
        <f>TRIM(CLEAN(PROPER(D140)))</f>
        <v/>
      </c>
      <c r="Q140" s="8">
        <f>PROPER(TRIM(SUBSTITUTE(SUBSTITUTE(SUBSTITUTE(SUBSTITUTE(E140,"TRESEMME","Tresemme"),"HEAD &amp; SHOULDERS","Head &amp; Shoulders"),"ELVIVE","Elvive"),"FRUCTIS","Fructis")))</f>
        <v/>
      </c>
      <c r="R140" s="8">
        <f>COUNTIF($D$2:$D$10000,D140)&gt;1</f>
        <v/>
      </c>
      <c r="S140" s="8">
        <f>IF(H140=TRUE,"Disponible","No disponible")</f>
        <v/>
      </c>
      <c r="T140" s="8">
        <f>IF(AND(ISNUMBER(I140),I140&gt;0),ROUND(F140/I140,2),"Sin volumen")</f>
        <v/>
      </c>
      <c r="U140" s="8">
        <f>IF(F140&lt;5000,"Bajo",IF(F140&lt;15000,"Medio","Alto"))</f>
        <v/>
      </c>
    </row>
    <row r="141">
      <c r="A141" t="inlineStr">
        <is>
          <t>Farmacity</t>
        </is>
      </c>
      <c r="B141" t="n">
        <v>4865</v>
      </c>
      <c r="C141" t="n">
        <v>142448</v>
      </c>
      <c r="D141" t="inlineStr">
        <is>
          <t>Shampoo Dove Men 2 en 1 Fuerza Resistente x 400 ml</t>
        </is>
      </c>
      <c r="E141" t="inlineStr">
        <is>
          <t>Dove</t>
        </is>
      </c>
      <c r="F141" t="n">
        <v>7266</v>
      </c>
      <c r="G141" t="n">
        <v>9688</v>
      </c>
      <c r="H141" t="b">
        <v>1</v>
      </c>
      <c r="I141" t="n">
        <v>400</v>
      </c>
      <c r="J141" t="n">
        <v>18.165</v>
      </c>
      <c r="K141" t="inlineStr">
        <is>
          <t>&gt; Cuidado Capilar &gt; Shampoo Y Acondicionador &gt;</t>
        </is>
      </c>
      <c r="L141" t="inlineStr">
        <is>
          <t>shampoo</t>
        </is>
      </c>
      <c r="M141" t="inlineStr">
        <is>
          <t>estandar</t>
        </is>
      </c>
      <c r="N141" t="inlineStr">
        <is>
          <t>general</t>
        </is>
      </c>
      <c r="O141" t="inlineStr">
        <is>
          <t>https://www.farmacity.com/shampoo-dove-men-fuerza-extrema-botella-x-400-ml/p</t>
        </is>
      </c>
      <c r="P141">
        <f>TRIM(CLEAN(PROPER(D141)))</f>
        <v/>
      </c>
      <c r="Q141">
        <f>PROPER(TRIM(SUBSTITUTE(SUBSTITUTE(SUBSTITUTE(SUBSTITUTE(E141,"TRESEMME","Tresemme"),"HEAD &amp; SHOULDERS","Head &amp; Shoulders"),"ELVIVE","Elvive"),"FRUCTIS","Fructis")))</f>
        <v/>
      </c>
      <c r="R141">
        <f>COUNTIF($D$2:$D$10000,D141)&gt;1</f>
        <v/>
      </c>
      <c r="S141">
        <f>IF(H141=TRUE,"Disponible","No disponible")</f>
        <v/>
      </c>
      <c r="T141">
        <f>IF(AND(ISNUMBER(I141),I141&gt;0),ROUND(F141/I141,2),"Sin volumen")</f>
        <v/>
      </c>
      <c r="U141">
        <f>IF(F141&lt;5000,"Bajo",IF(F141&lt;15000,"Medio","Alto"))</f>
        <v/>
      </c>
    </row>
    <row r="142">
      <c r="A142" s="6" t="inlineStr">
        <is>
          <t>Farmacity</t>
        </is>
      </c>
      <c r="B142" s="6" t="n">
        <v>4356</v>
      </c>
      <c r="C142" s="6" t="n">
        <v>139287</v>
      </c>
      <c r="D142" s="6" t="inlineStr">
        <is>
          <t>Shampoo para Bebé Johnson's Cabello Claro x 400 ml</t>
        </is>
      </c>
      <c r="E142" s="6" t="inlineStr">
        <is>
          <t>Johnson's</t>
        </is>
      </c>
      <c r="F142" s="6" t="n">
        <v>8331</v>
      </c>
      <c r="G142" s="6" t="n">
        <v>11902</v>
      </c>
      <c r="H142" s="6" t="b">
        <v>1</v>
      </c>
      <c r="I142" s="6" t="n">
        <v>400</v>
      </c>
      <c r="J142" s="6" t="n">
        <v>20.8275</v>
      </c>
      <c r="K142" s="6" t="inlineStr">
        <is>
          <t>&gt; Bebés &gt; Higiene del Bebé &gt; Baño Del Bebé &gt;</t>
        </is>
      </c>
      <c r="L142" s="6" t="inlineStr">
        <is>
          <t>shampoo</t>
        </is>
      </c>
      <c r="M142" s="6" t="inlineStr">
        <is>
          <t>estandar</t>
        </is>
      </c>
      <c r="N142" s="6" t="inlineStr">
        <is>
          <t>bebe</t>
        </is>
      </c>
      <c r="O142" s="6" t="inlineStr">
        <is>
          <t>https://www.farmacity.com/shampoo-con-manzanilla-natural-cabello-claro-x-400-ml/p</t>
        </is>
      </c>
      <c r="P142" s="8">
        <f>TRIM(CLEAN(PROPER(D142)))</f>
        <v/>
      </c>
      <c r="Q142" s="8">
        <f>PROPER(TRIM(SUBSTITUTE(SUBSTITUTE(SUBSTITUTE(SUBSTITUTE(E142,"TRESEMME","Tresemme"),"HEAD &amp; SHOULDERS","Head &amp; Shoulders"),"ELVIVE","Elvive"),"FRUCTIS","Fructis")))</f>
        <v/>
      </c>
      <c r="R142" s="8">
        <f>COUNTIF($D$2:$D$10000,D142)&gt;1</f>
        <v/>
      </c>
      <c r="S142" s="8">
        <f>IF(H142=TRUE,"Disponible","No disponible")</f>
        <v/>
      </c>
      <c r="T142" s="8">
        <f>IF(AND(ISNUMBER(I142),I142&gt;0),ROUND(F142/I142,2),"Sin volumen")</f>
        <v/>
      </c>
      <c r="U142" s="8">
        <f>IF(F142&lt;5000,"Bajo",IF(F142&lt;15000,"Medio","Alto"))</f>
        <v/>
      </c>
    </row>
    <row r="143">
      <c r="A143" t="inlineStr">
        <is>
          <t>Farmacity</t>
        </is>
      </c>
      <c r="B143" t="n">
        <v>1134</v>
      </c>
      <c r="C143" t="n">
        <v>23600</v>
      </c>
      <c r="D143" t="inlineStr">
        <is>
          <t>Shampoo Capilatis Control Caída Pelo Graso con Ortiga y Salvia x 410 ml</t>
        </is>
      </c>
      <c r="E143" t="inlineStr">
        <is>
          <t>Capilatis</t>
        </is>
      </c>
      <c r="F143" t="n">
        <v>9700</v>
      </c>
      <c r="G143" t="n">
        <v>9700</v>
      </c>
      <c r="H143" t="b">
        <v>1</v>
      </c>
      <c r="I143" t="n">
        <v>410</v>
      </c>
      <c r="J143" t="n">
        <v>23.6585</v>
      </c>
      <c r="K143" t="inlineStr">
        <is>
          <t>&gt; Cuidado Capilar &gt; Shampoo Y Acondicionador &gt;</t>
        </is>
      </c>
      <c r="L143" t="inlineStr">
        <is>
          <t>shampoo</t>
        </is>
      </c>
      <c r="M143" t="inlineStr">
        <is>
          <t>estandar</t>
        </is>
      </c>
      <c r="N143" t="inlineStr">
        <is>
          <t>graso</t>
        </is>
      </c>
      <c r="O143" t="inlineStr">
        <is>
          <t>https://www.farmacity.com/shampoo-control-caida-pelo-graso-con-ortiga-y-salvia-x-410-ml/p</t>
        </is>
      </c>
      <c r="P143">
        <f>TRIM(CLEAN(PROPER(D143)))</f>
        <v/>
      </c>
      <c r="Q143">
        <f>PROPER(TRIM(SUBSTITUTE(SUBSTITUTE(SUBSTITUTE(SUBSTITUTE(E143,"TRESEMME","Tresemme"),"HEAD &amp; SHOULDERS","Head &amp; Shoulders"),"ELVIVE","Elvive"),"FRUCTIS","Fructis")))</f>
        <v/>
      </c>
      <c r="R143">
        <f>COUNTIF($D$2:$D$10000,D143)&gt;1</f>
        <v/>
      </c>
      <c r="S143">
        <f>IF(H143=TRUE,"Disponible","No disponible")</f>
        <v/>
      </c>
      <c r="T143">
        <f>IF(AND(ISNUMBER(I143),I143&gt;0),ROUND(F143/I143,2),"Sin volumen")</f>
        <v/>
      </c>
      <c r="U143">
        <f>IF(F143&lt;5000,"Bajo",IF(F143&lt;15000,"Medio","Alto"))</f>
        <v/>
      </c>
    </row>
    <row r="144">
      <c r="A144" s="6" t="inlineStr">
        <is>
          <t>Farmacity</t>
        </is>
      </c>
      <c r="B144" s="6" t="n">
        <v>244543</v>
      </c>
      <c r="C144" s="6" t="n">
        <v>244543</v>
      </c>
      <c r="D144" s="6" t="inlineStr">
        <is>
          <t>Shampoo Reparador Pantene Pro-V Miracles Keratina Repara y Protege x 510 ml</t>
        </is>
      </c>
      <c r="E144" s="6" t="inlineStr">
        <is>
          <t>Pantene</t>
        </is>
      </c>
      <c r="F144" s="6" t="n">
        <v>10285</v>
      </c>
      <c r="G144" s="6" t="n">
        <v>17142</v>
      </c>
      <c r="H144" s="6" t="b">
        <v>1</v>
      </c>
      <c r="I144" s="6" t="n">
        <v>510</v>
      </c>
      <c r="J144" s="6" t="n">
        <v>20.1667</v>
      </c>
      <c r="K144" s="6" t="inlineStr">
        <is>
          <t>&gt; Cuidado Capilar &gt; Shampoo Y Acondicionador &gt;</t>
        </is>
      </c>
      <c r="L144" s="6" t="inlineStr">
        <is>
          <t>shampoo</t>
        </is>
      </c>
      <c r="M144" s="6" t="inlineStr">
        <is>
          <t>profesional</t>
        </is>
      </c>
      <c r="N144" s="6" t="inlineStr">
        <is>
          <t>tratado</t>
        </is>
      </c>
      <c r="O144" s="6" t="inlineStr">
        <is>
          <t>https://www.farmacity.com/shampoo-pantene-keratina-x-510-ml/p</t>
        </is>
      </c>
      <c r="P144" s="8">
        <f>TRIM(CLEAN(PROPER(D144)))</f>
        <v/>
      </c>
      <c r="Q144" s="8">
        <f>PROPER(TRIM(SUBSTITUTE(SUBSTITUTE(SUBSTITUTE(SUBSTITUTE(E144,"TRESEMME","Tresemme"),"HEAD &amp; SHOULDERS","Head &amp; Shoulders"),"ELVIVE","Elvive"),"FRUCTIS","Fructis")))</f>
        <v/>
      </c>
      <c r="R144" s="8">
        <f>COUNTIF($D$2:$D$10000,D144)&gt;1</f>
        <v/>
      </c>
      <c r="S144" s="8">
        <f>IF(H144=TRUE,"Disponible","No disponible")</f>
        <v/>
      </c>
      <c r="T144" s="8">
        <f>IF(AND(ISNUMBER(I144),I144&gt;0),ROUND(F144/I144,2),"Sin volumen")</f>
        <v/>
      </c>
      <c r="U144" s="8">
        <f>IF(F144&lt;5000,"Bajo",IF(F144&lt;15000,"Medio","Alto"))</f>
        <v/>
      </c>
    </row>
    <row r="145">
      <c r="A145" t="inlineStr">
        <is>
          <t>Farmacity</t>
        </is>
      </c>
      <c r="B145" t="n">
        <v>243913</v>
      </c>
      <c r="C145" t="n">
        <v>243913</v>
      </c>
      <c r="D145" t="inlineStr">
        <is>
          <t>Shampoo Fructis Probióticos Fuerza x 200 ml</t>
        </is>
      </c>
      <c r="E145" t="inlineStr">
        <is>
          <t>Fructis</t>
        </is>
      </c>
      <c r="F145" t="n">
        <v>5490</v>
      </c>
      <c r="G145" t="n">
        <v>5490</v>
      </c>
      <c r="H145" t="b">
        <v>1</v>
      </c>
      <c r="I145" t="n">
        <v>200</v>
      </c>
      <c r="J145" t="n">
        <v>27.45</v>
      </c>
      <c r="K145" t="inlineStr">
        <is>
          <t>&gt; Cuidado Capilar &gt; Shampoo Y Acondicionador &gt;</t>
        </is>
      </c>
      <c r="L145" t="inlineStr">
        <is>
          <t>shampoo</t>
        </is>
      </c>
      <c r="M145" t="inlineStr">
        <is>
          <t>profesional</t>
        </is>
      </c>
      <c r="N145" t="inlineStr">
        <is>
          <t>general</t>
        </is>
      </c>
      <c r="O145" t="inlineStr">
        <is>
          <t>https://www.farmacity.com/shampoo-fructis-probioticos-fuerza-x-200-ml/p</t>
        </is>
      </c>
      <c r="P145">
        <f>TRIM(CLEAN(PROPER(D145)))</f>
        <v/>
      </c>
      <c r="Q145">
        <f>PROPER(TRIM(SUBSTITUTE(SUBSTITUTE(SUBSTITUTE(SUBSTITUTE(E145,"TRESEMME","Tresemme"),"HEAD &amp; SHOULDERS","Head &amp; Shoulders"),"ELVIVE","Elvive"),"FRUCTIS","Fructis")))</f>
        <v/>
      </c>
      <c r="R145">
        <f>COUNTIF($D$2:$D$10000,D145)&gt;1</f>
        <v/>
      </c>
      <c r="S145">
        <f>IF(H145=TRUE,"Disponible","No disponible")</f>
        <v/>
      </c>
      <c r="T145">
        <f>IF(AND(ISNUMBER(I145),I145&gt;0),ROUND(F145/I145,2),"Sin volumen")</f>
        <v/>
      </c>
      <c r="U145">
        <f>IF(F145&lt;5000,"Bajo",IF(F145&lt;15000,"Medio","Alto"))</f>
        <v/>
      </c>
    </row>
    <row r="146">
      <c r="A146" s="6" t="inlineStr">
        <is>
          <t>Farmacity</t>
        </is>
      </c>
      <c r="B146" s="6" t="n">
        <v>240011</v>
      </c>
      <c r="C146" s="6" t="n">
        <v>240011</v>
      </c>
      <c r="D146" s="6" t="inlineStr">
        <is>
          <t>Shampoo Elvive Glycolic Gloss x 200 ml</t>
        </is>
      </c>
      <c r="E146" s="6" t="inlineStr">
        <is>
          <t>Elvive</t>
        </is>
      </c>
      <c r="F146" s="6" t="n">
        <v>7490</v>
      </c>
      <c r="G146" s="6" t="n">
        <v>7490</v>
      </c>
      <c r="H146" s="6" t="b">
        <v>1</v>
      </c>
      <c r="I146" s="6" t="n">
        <v>200</v>
      </c>
      <c r="J146" s="6" t="n">
        <v>37.45</v>
      </c>
      <c r="K146" s="6" t="inlineStr">
        <is>
          <t>&gt; Cuidado Capilar &gt; Shampoo Y Acondicionador &gt;</t>
        </is>
      </c>
      <c r="L146" s="6" t="inlineStr">
        <is>
          <t>shampoo</t>
        </is>
      </c>
      <c r="M146" s="6" t="inlineStr">
        <is>
          <t>profesional</t>
        </is>
      </c>
      <c r="N146" s="6" t="inlineStr">
        <is>
          <t>general</t>
        </is>
      </c>
      <c r="O146" s="6" t="inlineStr">
        <is>
          <t>https://www.farmacity.com/shampoo-elvive-glyco-gloss-x-200-ml/p</t>
        </is>
      </c>
      <c r="P146" s="8">
        <f>TRIM(CLEAN(PROPER(D146)))</f>
        <v/>
      </c>
      <c r="Q146" s="8">
        <f>PROPER(TRIM(SUBSTITUTE(SUBSTITUTE(SUBSTITUTE(SUBSTITUTE(E146,"TRESEMME","Tresemme"),"HEAD &amp; SHOULDERS","Head &amp; Shoulders"),"ELVIVE","Elvive"),"FRUCTIS","Fructis")))</f>
        <v/>
      </c>
      <c r="R146" s="8">
        <f>COUNTIF($D$2:$D$10000,D146)&gt;1</f>
        <v/>
      </c>
      <c r="S146" s="8">
        <f>IF(H146=TRUE,"Disponible","No disponible")</f>
        <v/>
      </c>
      <c r="T146" s="8">
        <f>IF(AND(ISNUMBER(I146),I146&gt;0),ROUND(F146/I146,2),"Sin volumen")</f>
        <v/>
      </c>
      <c r="U146" s="8">
        <f>IF(F146&lt;5000,"Bajo",IF(F146&lt;15000,"Medio","Alto"))</f>
        <v/>
      </c>
    </row>
    <row r="147">
      <c r="A147" t="inlineStr">
        <is>
          <t>Farmacity</t>
        </is>
      </c>
      <c r="B147" t="n">
        <v>239425</v>
      </c>
      <c r="C147" t="n">
        <v>239425</v>
      </c>
      <c r="D147" t="inlineStr">
        <is>
          <t>Shampoo Tío Nacho Henna Egipcia Efecto Anti Canas x 415 ml</t>
        </is>
      </c>
      <c r="E147" t="inlineStr">
        <is>
          <t>Tío Nacho</t>
        </is>
      </c>
      <c r="F147" t="n">
        <v>8225</v>
      </c>
      <c r="G147" t="n">
        <v>11750</v>
      </c>
      <c r="H147" t="b">
        <v>1</v>
      </c>
      <c r="I147" t="n">
        <v>415</v>
      </c>
      <c r="J147" t="n">
        <v>19.8193</v>
      </c>
      <c r="K147" t="inlineStr">
        <is>
          <t>&gt; Cuidado Capilar &gt; Shampoo Y Acondicionador &gt;</t>
        </is>
      </c>
      <c r="L147" t="inlineStr">
        <is>
          <t>shampoo</t>
        </is>
      </c>
      <c r="M147" t="inlineStr">
        <is>
          <t>estandar</t>
        </is>
      </c>
      <c r="N147" t="inlineStr">
        <is>
          <t>general</t>
        </is>
      </c>
      <c r="O147" t="inlineStr">
        <is>
          <t>https://www.farmacity.com/shampoo-tio-nacho-anticanas-x-415-ml/p</t>
        </is>
      </c>
      <c r="P147">
        <f>TRIM(CLEAN(PROPER(D147)))</f>
        <v/>
      </c>
      <c r="Q147">
        <f>PROPER(TRIM(SUBSTITUTE(SUBSTITUTE(SUBSTITUTE(SUBSTITUTE(E147,"TRESEMME","Tresemme"),"HEAD &amp; SHOULDERS","Head &amp; Shoulders"),"ELVIVE","Elvive"),"FRUCTIS","Fructis")))</f>
        <v/>
      </c>
      <c r="R147">
        <f>COUNTIF($D$2:$D$10000,D147)&gt;1</f>
        <v/>
      </c>
      <c r="S147">
        <f>IF(H147=TRUE,"Disponible","No disponible")</f>
        <v/>
      </c>
      <c r="T147">
        <f>IF(AND(ISNUMBER(I147),I147&gt;0),ROUND(F147/I147,2),"Sin volumen")</f>
        <v/>
      </c>
      <c r="U147">
        <f>IF(F147&lt;5000,"Bajo",IF(F147&lt;15000,"Medio","Alto"))</f>
        <v/>
      </c>
    </row>
    <row r="148">
      <c r="A148" s="6" t="inlineStr">
        <is>
          <t>Farmacity</t>
        </is>
      </c>
      <c r="B148" s="6" t="n">
        <v>238888</v>
      </c>
      <c r="C148" s="6" t="n">
        <v>238888</v>
      </c>
      <c r="D148" s="6" t="inlineStr">
        <is>
          <t>Shampoo Pantene Revitalización Pro-V Miracles x 400 ml</t>
        </is>
      </c>
      <c r="E148" s="6" t="inlineStr">
        <is>
          <t>Pantene</t>
        </is>
      </c>
      <c r="F148" s="6" t="n">
        <v>6137</v>
      </c>
      <c r="G148" s="6" t="n">
        <v>10228</v>
      </c>
      <c r="H148" s="6" t="b">
        <v>1</v>
      </c>
      <c r="I148" s="6" t="n">
        <v>400</v>
      </c>
      <c r="J148" s="6" t="n">
        <v>15.3425</v>
      </c>
      <c r="K148" s="6" t="inlineStr">
        <is>
          <t>&gt; Cuidado Capilar &gt; Shampoo Y Acondicionador &gt;</t>
        </is>
      </c>
      <c r="L148" s="6" t="inlineStr">
        <is>
          <t>shampoo</t>
        </is>
      </c>
      <c r="M148" s="6" t="inlineStr">
        <is>
          <t>profesional</t>
        </is>
      </c>
      <c r="N148" s="6" t="inlineStr">
        <is>
          <t>general</t>
        </is>
      </c>
      <c r="O148" s="6" t="inlineStr">
        <is>
          <t>https://www.farmacity.com/shampoo-pantene-pro-v-miracles-revitalizacion-x-400-ml/p</t>
        </is>
      </c>
      <c r="P148" s="8">
        <f>TRIM(CLEAN(PROPER(D148)))</f>
        <v/>
      </c>
      <c r="Q148" s="8">
        <f>PROPER(TRIM(SUBSTITUTE(SUBSTITUTE(SUBSTITUTE(SUBSTITUTE(E148,"TRESEMME","Tresemme"),"HEAD &amp; SHOULDERS","Head &amp; Shoulders"),"ELVIVE","Elvive"),"FRUCTIS","Fructis")))</f>
        <v/>
      </c>
      <c r="R148" s="8">
        <f>COUNTIF($D$2:$D$10000,D148)&gt;1</f>
        <v/>
      </c>
      <c r="S148" s="8">
        <f>IF(H148=TRUE,"Disponible","No disponible")</f>
        <v/>
      </c>
      <c r="T148" s="8">
        <f>IF(AND(ISNUMBER(I148),I148&gt;0),ROUND(F148/I148,2),"Sin volumen")</f>
        <v/>
      </c>
      <c r="U148" s="8">
        <f>IF(F148&lt;5000,"Bajo",IF(F148&lt;15000,"Medio","Alto"))</f>
        <v/>
      </c>
    </row>
    <row r="149">
      <c r="A149" t="inlineStr">
        <is>
          <t>Farmacity</t>
        </is>
      </c>
      <c r="B149" t="n">
        <v>235936</v>
      </c>
      <c r="C149" t="n">
        <v>235936</v>
      </c>
      <c r="D149" t="inlineStr">
        <is>
          <t>Shampoo Fructis Hydra Liss x 350 ml</t>
        </is>
      </c>
      <c r="E149" t="inlineStr">
        <is>
          <t>Fructis</t>
        </is>
      </c>
      <c r="F149" t="n">
        <v>7990</v>
      </c>
      <c r="G149" t="n">
        <v>7990</v>
      </c>
      <c r="H149" t="b">
        <v>1</v>
      </c>
      <c r="I149" t="n">
        <v>350</v>
      </c>
      <c r="J149" t="n">
        <v>22.8286</v>
      </c>
      <c r="K149" t="inlineStr">
        <is>
          <t>&gt; Cuidado Capilar &gt; Shampoo Y Acondicionador &gt;</t>
        </is>
      </c>
      <c r="L149" t="inlineStr">
        <is>
          <t>shampoo</t>
        </is>
      </c>
      <c r="M149" t="inlineStr">
        <is>
          <t>estandar</t>
        </is>
      </c>
      <c r="N149" t="inlineStr">
        <is>
          <t>general</t>
        </is>
      </c>
      <c r="O149" t="inlineStr">
        <is>
          <t>https://www.farmacity.com/shampoo-fructis-hydra-liss-x-350-ml/p</t>
        </is>
      </c>
      <c r="P149">
        <f>TRIM(CLEAN(PROPER(D149)))</f>
        <v/>
      </c>
      <c r="Q149">
        <f>PROPER(TRIM(SUBSTITUTE(SUBSTITUTE(SUBSTITUTE(SUBSTITUTE(E149,"TRESEMME","Tresemme"),"HEAD &amp; SHOULDERS","Head &amp; Shoulders"),"ELVIVE","Elvive"),"FRUCTIS","Fructis")))</f>
        <v/>
      </c>
      <c r="R149">
        <f>COUNTIF($D$2:$D$10000,D149)&gt;1</f>
        <v/>
      </c>
      <c r="S149">
        <f>IF(H149=TRUE,"Disponible","No disponible")</f>
        <v/>
      </c>
      <c r="T149">
        <f>IF(AND(ISNUMBER(I149),I149&gt;0),ROUND(F149/I149,2),"Sin volumen")</f>
        <v/>
      </c>
      <c r="U149">
        <f>IF(F149&lt;5000,"Bajo",IF(F149&lt;15000,"Medio","Alto"))</f>
        <v/>
      </c>
    </row>
    <row r="150">
      <c r="A150" s="6" t="inlineStr">
        <is>
          <t>Farmacity</t>
        </is>
      </c>
      <c r="B150" s="6" t="n">
        <v>232639</v>
      </c>
      <c r="C150" s="6" t="n">
        <v>232639</v>
      </c>
      <c r="D150" s="6" t="inlineStr">
        <is>
          <t>Shampoo Head &amp; Shoulders Limpieza y Revitalización x 180 ml</t>
        </is>
      </c>
      <c r="E150" s="6" t="inlineStr">
        <is>
          <t>Head and Shoulders</t>
        </is>
      </c>
      <c r="F150" s="6" t="n">
        <v>4701</v>
      </c>
      <c r="G150" s="6" t="n">
        <v>7233</v>
      </c>
      <c r="H150" s="6" t="b">
        <v>1</v>
      </c>
      <c r="I150" s="6" t="n">
        <v>180</v>
      </c>
      <c r="J150" s="6" t="n">
        <v>26.1167</v>
      </c>
      <c r="K150" s="6" t="inlineStr">
        <is>
          <t>&gt; Cuidado Capilar &gt; Shampoo Y Acondicionador &gt;</t>
        </is>
      </c>
      <c r="L150" s="6" t="inlineStr">
        <is>
          <t>shampoo</t>
        </is>
      </c>
      <c r="M150" s="6" t="inlineStr">
        <is>
          <t>estandar</t>
        </is>
      </c>
      <c r="N150" s="6" t="inlineStr">
        <is>
          <t>general</t>
        </is>
      </c>
      <c r="O150" s="6" t="inlineStr">
        <is>
          <t>https://www.farmacity.com/shampoo-head-y-shoulders-limpieza-y-revitalizacion-x-180-ml/p</t>
        </is>
      </c>
      <c r="P150" s="8">
        <f>TRIM(CLEAN(PROPER(D150)))</f>
        <v/>
      </c>
      <c r="Q150" s="8">
        <f>PROPER(TRIM(SUBSTITUTE(SUBSTITUTE(SUBSTITUTE(SUBSTITUTE(E150,"TRESEMME","Tresemme"),"HEAD &amp; SHOULDERS","Head &amp; Shoulders"),"ELVIVE","Elvive"),"FRUCTIS","Fructis")))</f>
        <v/>
      </c>
      <c r="R150" s="8">
        <f>COUNTIF($D$2:$D$10000,D150)&gt;1</f>
        <v/>
      </c>
      <c r="S150" s="8">
        <f>IF(H150=TRUE,"Disponible","No disponible")</f>
        <v/>
      </c>
      <c r="T150" s="8">
        <f>IF(AND(ISNUMBER(I150),I150&gt;0),ROUND(F150/I150,2),"Sin volumen")</f>
        <v/>
      </c>
      <c r="U150" s="8">
        <f>IF(F150&lt;5000,"Bajo",IF(F150&lt;15000,"Medio","Alto"))</f>
        <v/>
      </c>
    </row>
    <row r="151">
      <c r="A151" t="inlineStr">
        <is>
          <t>Farmacity</t>
        </is>
      </c>
      <c r="B151" t="n">
        <v>229982</v>
      </c>
      <c r="C151" t="n">
        <v>229982</v>
      </c>
      <c r="D151" t="inlineStr">
        <is>
          <t>Shampoo Tío Nacho Aclarante x 415 ml</t>
        </is>
      </c>
      <c r="E151" t="inlineStr">
        <is>
          <t>Tío Nacho</t>
        </is>
      </c>
      <c r="F151" t="n">
        <v>8225</v>
      </c>
      <c r="G151" t="n">
        <v>11750</v>
      </c>
      <c r="H151" t="b">
        <v>1</v>
      </c>
      <c r="I151" t="n">
        <v>415</v>
      </c>
      <c r="J151" t="n">
        <v>19.8193</v>
      </c>
      <c r="K151" t="inlineStr">
        <is>
          <t>&gt; Cuidado Capilar &gt; Shampoo Y Acondicionador &gt;</t>
        </is>
      </c>
      <c r="L151" t="inlineStr">
        <is>
          <t>shampoo</t>
        </is>
      </c>
      <c r="M151" t="inlineStr">
        <is>
          <t>estandar</t>
        </is>
      </c>
      <c r="N151" t="inlineStr">
        <is>
          <t>general</t>
        </is>
      </c>
      <c r="O151" t="inlineStr">
        <is>
          <t>https://www.farmacity.com/shampoo-tio-nacho-aclarante-x-415-ml/p</t>
        </is>
      </c>
      <c r="P151">
        <f>TRIM(CLEAN(PROPER(D151)))</f>
        <v/>
      </c>
      <c r="Q151">
        <f>PROPER(TRIM(SUBSTITUTE(SUBSTITUTE(SUBSTITUTE(SUBSTITUTE(E151,"TRESEMME","Tresemme"),"HEAD &amp; SHOULDERS","Head &amp; Shoulders"),"ELVIVE","Elvive"),"FRUCTIS","Fructis")))</f>
        <v/>
      </c>
      <c r="R151">
        <f>COUNTIF($D$2:$D$10000,D151)&gt;1</f>
        <v/>
      </c>
      <c r="S151">
        <f>IF(H151=TRUE,"Disponible","No disponible")</f>
        <v/>
      </c>
      <c r="T151">
        <f>IF(AND(ISNUMBER(I151),I151&gt;0),ROUND(F151/I151,2),"Sin volumen")</f>
        <v/>
      </c>
      <c r="U151">
        <f>IF(F151&lt;5000,"Bajo",IF(F151&lt;15000,"Medio","Alto"))</f>
        <v/>
      </c>
    </row>
    <row r="152">
      <c r="A152" s="6" t="inlineStr">
        <is>
          <t>Farmacity</t>
        </is>
      </c>
      <c r="B152" s="6" t="n">
        <v>247127</v>
      </c>
      <c r="C152" s="6" t="n">
        <v>247127</v>
      </c>
      <c r="D152" s="6" t="inlineStr">
        <is>
          <t>Shampoo Pantene Pro-V Restauración x 200 ml</t>
        </is>
      </c>
      <c r="E152" s="6" t="inlineStr">
        <is>
          <t>Pantene</t>
        </is>
      </c>
      <c r="F152" s="6" t="n">
        <v>6345</v>
      </c>
      <c r="G152" s="6" t="n">
        <v>6345</v>
      </c>
      <c r="H152" s="6" t="b">
        <v>1</v>
      </c>
      <c r="I152" s="6" t="n">
        <v>200</v>
      </c>
      <c r="J152" s="6" t="n">
        <v>31.725</v>
      </c>
      <c r="K152" s="6" t="inlineStr">
        <is>
          <t>&gt; Cuidado Capilar &gt; Shampoo Y Acondicionador &gt;</t>
        </is>
      </c>
      <c r="L152" s="6" t="inlineStr">
        <is>
          <t>shampoo</t>
        </is>
      </c>
      <c r="M152" s="6" t="inlineStr">
        <is>
          <t>profesional</t>
        </is>
      </c>
      <c r="N152" s="6" t="inlineStr">
        <is>
          <t>general</t>
        </is>
      </c>
      <c r="O152" s="6" t="inlineStr">
        <is>
          <t>https://www.farmacity.com/shampoo-pantene-pro-v-restauracion-x-200-ml/p</t>
        </is>
      </c>
      <c r="P152" s="8">
        <f>TRIM(CLEAN(PROPER(D152)))</f>
        <v/>
      </c>
      <c r="Q152" s="8">
        <f>PROPER(TRIM(SUBSTITUTE(SUBSTITUTE(SUBSTITUTE(SUBSTITUTE(E152,"TRESEMME","Tresemme"),"HEAD &amp; SHOULDERS","Head &amp; Shoulders"),"ELVIVE","Elvive"),"FRUCTIS","Fructis")))</f>
        <v/>
      </c>
      <c r="R152" s="8">
        <f>COUNTIF($D$2:$D$10000,D152)&gt;1</f>
        <v/>
      </c>
      <c r="S152" s="8">
        <f>IF(H152=TRUE,"Disponible","No disponible")</f>
        <v/>
      </c>
      <c r="T152" s="8">
        <f>IF(AND(ISNUMBER(I152),I152&gt;0),ROUND(F152/I152,2),"Sin volumen")</f>
        <v/>
      </c>
      <c r="U152" s="8">
        <f>IF(F152&lt;5000,"Bajo",IF(F152&lt;15000,"Medio","Alto"))</f>
        <v/>
      </c>
    </row>
    <row r="153">
      <c r="A153" t="inlineStr">
        <is>
          <t>Farmacity</t>
        </is>
      </c>
      <c r="B153" t="n">
        <v>245730</v>
      </c>
      <c r="C153" t="n">
        <v>245730</v>
      </c>
      <c r="D153" t="inlineStr">
        <is>
          <t>Shampoo Seco Batiste Tropical x 200 ml</t>
        </is>
      </c>
      <c r="E153" t="inlineStr">
        <is>
          <t>Batiste</t>
        </is>
      </c>
      <c r="F153" t="n">
        <v>14364</v>
      </c>
      <c r="G153" t="n">
        <v>17955</v>
      </c>
      <c r="H153" t="b">
        <v>1</v>
      </c>
      <c r="I153" t="n">
        <v>200</v>
      </c>
      <c r="J153" t="n">
        <v>71.81999999999999</v>
      </c>
      <c r="K153" t="inlineStr">
        <is>
          <t>&gt; Cuidado Capilar &gt; Shampoo Y Acondicionador &gt;</t>
        </is>
      </c>
      <c r="L153" t="inlineStr">
        <is>
          <t>shampoo</t>
        </is>
      </c>
      <c r="M153" t="inlineStr">
        <is>
          <t>estandar</t>
        </is>
      </c>
      <c r="N153" t="inlineStr">
        <is>
          <t>seco_danado</t>
        </is>
      </c>
      <c r="O153" t="inlineStr">
        <is>
          <t>https://www.farmacity.com/shampoo-seco-batiste-tropical-x-200-ml/p</t>
        </is>
      </c>
      <c r="P153">
        <f>TRIM(CLEAN(PROPER(D153)))</f>
        <v/>
      </c>
      <c r="Q153">
        <f>PROPER(TRIM(SUBSTITUTE(SUBSTITUTE(SUBSTITUTE(SUBSTITUTE(E153,"TRESEMME","Tresemme"),"HEAD &amp; SHOULDERS","Head &amp; Shoulders"),"ELVIVE","Elvive"),"FRUCTIS","Fructis")))</f>
        <v/>
      </c>
      <c r="R153">
        <f>COUNTIF($D$2:$D$10000,D153)&gt;1</f>
        <v/>
      </c>
      <c r="S153">
        <f>IF(H153=TRUE,"Disponible","No disponible")</f>
        <v/>
      </c>
      <c r="T153">
        <f>IF(AND(ISNUMBER(I153),I153&gt;0),ROUND(F153/I153,2),"Sin volumen")</f>
        <v/>
      </c>
      <c r="U153">
        <f>IF(F153&lt;5000,"Bajo",IF(F153&lt;15000,"Medio","Alto"))</f>
        <v/>
      </c>
    </row>
    <row r="154">
      <c r="A154" s="6" t="inlineStr">
        <is>
          <t>Farmacity</t>
        </is>
      </c>
      <c r="B154" s="6" t="n">
        <v>244970</v>
      </c>
      <c r="C154" s="6" t="n">
        <v>244970</v>
      </c>
      <c r="D154" s="6" t="inlineStr">
        <is>
          <t>Shampoo Capilatis Ortiga Mujer x 350 ml</t>
        </is>
      </c>
      <c r="E154" s="6" t="inlineStr">
        <is>
          <t>Capilatis</t>
        </is>
      </c>
      <c r="F154" s="6" t="n">
        <v>13000</v>
      </c>
      <c r="G154" s="6" t="n">
        <v>13000</v>
      </c>
      <c r="H154" s="6" t="b">
        <v>1</v>
      </c>
      <c r="I154" s="6" t="n">
        <v>350</v>
      </c>
      <c r="J154" s="6" t="n">
        <v>37.1429</v>
      </c>
      <c r="K154" s="6" t="inlineStr">
        <is>
          <t>&gt; Cuidado Capilar &gt; Shampoo Y Acondicionador &gt;</t>
        </is>
      </c>
      <c r="L154" s="6" t="inlineStr">
        <is>
          <t>shampoo</t>
        </is>
      </c>
      <c r="M154" s="6" t="inlineStr">
        <is>
          <t>estandar</t>
        </is>
      </c>
      <c r="N154" s="6" t="inlineStr">
        <is>
          <t>general</t>
        </is>
      </c>
      <c r="O154" s="6" t="inlineStr">
        <is>
          <t>https://www.farmacity.com/shampoo-ortiga-capilatis-mujer-x-350-ml/p</t>
        </is>
      </c>
      <c r="P154" s="8">
        <f>TRIM(CLEAN(PROPER(D154)))</f>
        <v/>
      </c>
      <c r="Q154" s="8">
        <f>PROPER(TRIM(SUBSTITUTE(SUBSTITUTE(SUBSTITUTE(SUBSTITUTE(E154,"TRESEMME","Tresemme"),"HEAD &amp; SHOULDERS","Head &amp; Shoulders"),"ELVIVE","Elvive"),"FRUCTIS","Fructis")))</f>
        <v/>
      </c>
      <c r="R154" s="8">
        <f>COUNTIF($D$2:$D$10000,D154)&gt;1</f>
        <v/>
      </c>
      <c r="S154" s="8">
        <f>IF(H154=TRUE,"Disponible","No disponible")</f>
        <v/>
      </c>
      <c r="T154" s="8">
        <f>IF(AND(ISNUMBER(I154),I154&gt;0),ROUND(F154/I154,2),"Sin volumen")</f>
        <v/>
      </c>
      <c r="U154" s="8">
        <f>IF(F154&lt;5000,"Bajo",IF(F154&lt;15000,"Medio","Alto"))</f>
        <v/>
      </c>
    </row>
    <row r="155">
      <c r="A155" t="inlineStr">
        <is>
          <t>Farmacity</t>
        </is>
      </c>
      <c r="B155" t="n">
        <v>244530</v>
      </c>
      <c r="C155" t="n">
        <v>244530</v>
      </c>
      <c r="D155" t="inlineStr">
        <is>
          <t>Shampoo Huggies Hora de Soñar Manzanilla x 200 ml</t>
        </is>
      </c>
      <c r="E155" t="inlineStr">
        <is>
          <t>Huggies</t>
        </is>
      </c>
      <c r="F155" t="n">
        <v>5814</v>
      </c>
      <c r="G155" t="n">
        <v>5814</v>
      </c>
      <c r="H155" t="b">
        <v>1</v>
      </c>
      <c r="I155" t="n">
        <v>200</v>
      </c>
      <c r="J155" t="n">
        <v>29.07</v>
      </c>
      <c r="K155" t="inlineStr">
        <is>
          <t>&gt; Bebés &gt; Higiene del Bebé &gt; Baño Del Bebé &gt;</t>
        </is>
      </c>
      <c r="L155" t="inlineStr">
        <is>
          <t>shampoo</t>
        </is>
      </c>
      <c r="M155" t="inlineStr">
        <is>
          <t>estandar</t>
        </is>
      </c>
      <c r="N155" t="inlineStr">
        <is>
          <t>general</t>
        </is>
      </c>
      <c r="O155" t="inlineStr">
        <is>
          <t>https://www.farmacity.com/shampoo-huggies-hora-de-sonar-x-200-ml/p</t>
        </is>
      </c>
      <c r="P155">
        <f>TRIM(CLEAN(PROPER(D155)))</f>
        <v/>
      </c>
      <c r="Q155">
        <f>PROPER(TRIM(SUBSTITUTE(SUBSTITUTE(SUBSTITUTE(SUBSTITUTE(E155,"TRESEMME","Tresemme"),"HEAD &amp; SHOULDERS","Head &amp; Shoulders"),"ELVIVE","Elvive"),"FRUCTIS","Fructis")))</f>
        <v/>
      </c>
      <c r="R155">
        <f>COUNTIF($D$2:$D$10000,D155)&gt;1</f>
        <v/>
      </c>
      <c r="S155">
        <f>IF(H155=TRUE,"Disponible","No disponible")</f>
        <v/>
      </c>
      <c r="T155">
        <f>IF(AND(ISNUMBER(I155),I155&gt;0),ROUND(F155/I155,2),"Sin volumen")</f>
        <v/>
      </c>
      <c r="U155">
        <f>IF(F155&lt;5000,"Bajo",IF(F155&lt;15000,"Medio","Alto"))</f>
        <v/>
      </c>
    </row>
    <row r="156">
      <c r="A156" s="6" t="inlineStr">
        <is>
          <t>Farmacity</t>
        </is>
      </c>
      <c r="B156" s="6" t="n">
        <v>243570</v>
      </c>
      <c r="C156" s="6" t="n">
        <v>243570</v>
      </c>
      <c r="D156" s="6" t="inlineStr">
        <is>
          <t>Shampoo Capilatis Ácido Glicólico x 350 ml</t>
        </is>
      </c>
      <c r="E156" s="6" t="inlineStr">
        <is>
          <t>Capilatis</t>
        </is>
      </c>
      <c r="F156" s="6" t="n">
        <v>13000</v>
      </c>
      <c r="G156" s="6" t="n">
        <v>13000</v>
      </c>
      <c r="H156" s="6" t="b">
        <v>1</v>
      </c>
      <c r="I156" s="6" t="n">
        <v>350</v>
      </c>
      <c r="J156" s="6" t="n">
        <v>37.1429</v>
      </c>
      <c r="K156" s="6" t="inlineStr">
        <is>
          <t>&gt; Cuidado Capilar &gt; Shampoo Y Acondicionador &gt;</t>
        </is>
      </c>
      <c r="L156" s="6" t="inlineStr">
        <is>
          <t>shampoo</t>
        </is>
      </c>
      <c r="M156" s="6" t="inlineStr">
        <is>
          <t>estandar</t>
        </is>
      </c>
      <c r="N156" s="6" t="inlineStr">
        <is>
          <t>general</t>
        </is>
      </c>
      <c r="O156" s="6" t="inlineStr">
        <is>
          <t>https://www.farmacity.com/shampoo-capilatis-acido-glicolico-x-350-ml/p</t>
        </is>
      </c>
      <c r="P156" s="8">
        <f>TRIM(CLEAN(PROPER(D156)))</f>
        <v/>
      </c>
      <c r="Q156" s="8">
        <f>PROPER(TRIM(SUBSTITUTE(SUBSTITUTE(SUBSTITUTE(SUBSTITUTE(E156,"TRESEMME","Tresemme"),"HEAD &amp; SHOULDERS","Head &amp; Shoulders"),"ELVIVE","Elvive"),"FRUCTIS","Fructis")))</f>
        <v/>
      </c>
      <c r="R156" s="8">
        <f>COUNTIF($D$2:$D$10000,D156)&gt;1</f>
        <v/>
      </c>
      <c r="S156" s="8">
        <f>IF(H156=TRUE,"Disponible","No disponible")</f>
        <v/>
      </c>
      <c r="T156" s="8">
        <f>IF(AND(ISNUMBER(I156),I156&gt;0),ROUND(F156/I156,2),"Sin volumen")</f>
        <v/>
      </c>
      <c r="U156" s="8">
        <f>IF(F156&lt;5000,"Bajo",IF(F156&lt;15000,"Medio","Alto"))</f>
        <v/>
      </c>
    </row>
    <row r="157">
      <c r="A157" t="inlineStr">
        <is>
          <t>Farmacity</t>
        </is>
      </c>
      <c r="B157" t="n">
        <v>240413</v>
      </c>
      <c r="C157" t="n">
        <v>240413</v>
      </c>
      <c r="D157" t="inlineStr">
        <is>
          <t>Shampoo Piroctol AS Octopirox + Asoc. x 150 ml</t>
        </is>
      </c>
      <c r="E157" t="inlineStr">
        <is>
          <t>Valuge</t>
        </is>
      </c>
      <c r="F157" t="n">
        <v>38359</v>
      </c>
      <c r="G157" t="n">
        <v>38359</v>
      </c>
      <c r="H157" t="b">
        <v>1</v>
      </c>
      <c r="I157" t="n">
        <v>150</v>
      </c>
      <c r="J157" t="n">
        <v>255.7267</v>
      </c>
      <c r="K157" t="inlineStr">
        <is>
          <t>&gt; Venta Bajo Receta &gt; Dermatológico &gt;</t>
        </is>
      </c>
      <c r="L157" t="inlineStr">
        <is>
          <t>shampoo</t>
        </is>
      </c>
      <c r="M157" t="inlineStr">
        <is>
          <t>estandar</t>
        </is>
      </c>
      <c r="N157" t="inlineStr">
        <is>
          <t>general</t>
        </is>
      </c>
      <c r="O157" t="inlineStr">
        <is>
          <t>https://www.farmacity.com/shampoo-piroctol-as-octopirox-asoc-x-150-ml/p</t>
        </is>
      </c>
      <c r="P157">
        <f>TRIM(CLEAN(PROPER(D157)))</f>
        <v/>
      </c>
      <c r="Q157">
        <f>PROPER(TRIM(SUBSTITUTE(SUBSTITUTE(SUBSTITUTE(SUBSTITUTE(E157,"TRESEMME","Tresemme"),"HEAD &amp; SHOULDERS","Head &amp; Shoulders"),"ELVIVE","Elvive"),"FRUCTIS","Fructis")))</f>
        <v/>
      </c>
      <c r="R157">
        <f>COUNTIF($D$2:$D$10000,D157)&gt;1</f>
        <v/>
      </c>
      <c r="S157">
        <f>IF(H157=TRUE,"Disponible","No disponible")</f>
        <v/>
      </c>
      <c r="T157">
        <f>IF(AND(ISNUMBER(I157),I157&gt;0),ROUND(F157/I157,2),"Sin volumen")</f>
        <v/>
      </c>
      <c r="U157">
        <f>IF(F157&lt;5000,"Bajo",IF(F157&lt;15000,"Medio","Alto"))</f>
        <v/>
      </c>
    </row>
    <row r="158">
      <c r="A158" s="6" t="inlineStr">
        <is>
          <t>Farmacity</t>
        </is>
      </c>
      <c r="B158" s="6" t="n">
        <v>239455</v>
      </c>
      <c r="C158" s="6" t="n">
        <v>239455</v>
      </c>
      <c r="D158" s="6" t="inlineStr">
        <is>
          <t>Shampoo Seco Batiste Rose Gold x 108 g</t>
        </is>
      </c>
      <c r="E158" s="6" t="inlineStr">
        <is>
          <t>Batiste</t>
        </is>
      </c>
      <c r="F158" s="6" t="n">
        <v>14364</v>
      </c>
      <c r="G158" s="6" t="n">
        <v>17955</v>
      </c>
      <c r="H158" s="6" t="b">
        <v>1</v>
      </c>
      <c r="I158" s="6" t="n">
        <v>108</v>
      </c>
      <c r="J158" s="6" t="n">
        <v>133</v>
      </c>
      <c r="K158" s="6" t="inlineStr">
        <is>
          <t>&gt; Cuidado Capilar &gt; Shampoo Y Acondicionador &gt;</t>
        </is>
      </c>
      <c r="L158" s="6" t="inlineStr">
        <is>
          <t>shampoo</t>
        </is>
      </c>
      <c r="M158" s="6" t="inlineStr">
        <is>
          <t>estandar</t>
        </is>
      </c>
      <c r="N158" s="6" t="inlineStr">
        <is>
          <t>seco_danado</t>
        </is>
      </c>
      <c r="O158" s="6" t="inlineStr">
        <is>
          <t>https://www.farmacity.com/shampoo-seco-batiste-rose-gold-x-108-g/p</t>
        </is>
      </c>
      <c r="P158" s="8">
        <f>TRIM(CLEAN(PROPER(D158)))</f>
        <v/>
      </c>
      <c r="Q158" s="8">
        <f>PROPER(TRIM(SUBSTITUTE(SUBSTITUTE(SUBSTITUTE(SUBSTITUTE(E158,"TRESEMME","Tresemme"),"HEAD &amp; SHOULDERS","Head &amp; Shoulders"),"ELVIVE","Elvive"),"FRUCTIS","Fructis")))</f>
        <v/>
      </c>
      <c r="R158" s="8">
        <f>COUNTIF($D$2:$D$10000,D158)&gt;1</f>
        <v/>
      </c>
      <c r="S158" s="8">
        <f>IF(H158=TRUE,"Disponible","No disponible")</f>
        <v/>
      </c>
      <c r="T158" s="8">
        <f>IF(AND(ISNUMBER(I158),I158&gt;0),ROUND(F158/I158,2),"Sin volumen")</f>
        <v/>
      </c>
      <c r="U158" s="8">
        <f>IF(F158&lt;5000,"Bajo",IF(F158&lt;15000,"Medio","Alto"))</f>
        <v/>
      </c>
    </row>
    <row r="159">
      <c r="A159" t="inlineStr">
        <is>
          <t>Farmacity</t>
        </is>
      </c>
      <c r="B159" t="n">
        <v>238677</v>
      </c>
      <c r="C159" t="n">
        <v>238677</v>
      </c>
      <c r="D159" t="inlineStr">
        <is>
          <t>Shampoo Biferdil Kids Rojo x 250 ml</t>
        </is>
      </c>
      <c r="E159" t="inlineStr">
        <is>
          <t>Biferdil</t>
        </is>
      </c>
      <c r="F159" t="n">
        <v>12204</v>
      </c>
      <c r="G159" t="n">
        <v>12204</v>
      </c>
      <c r="H159" t="b">
        <v>1</v>
      </c>
      <c r="I159" t="n">
        <v>250</v>
      </c>
      <c r="J159" t="n">
        <v>48.816</v>
      </c>
      <c r="K159" t="inlineStr">
        <is>
          <t>&gt; Bebés &gt; Higiene del Bebé &gt; Baño Del Bebé &gt;</t>
        </is>
      </c>
      <c r="L159" t="inlineStr">
        <is>
          <t>shampoo</t>
        </is>
      </c>
      <c r="M159" t="inlineStr">
        <is>
          <t>estandar</t>
        </is>
      </c>
      <c r="N159" t="inlineStr">
        <is>
          <t>bebe</t>
        </is>
      </c>
      <c r="O159" t="inlineStr">
        <is>
          <t>https://www.farmacity.com/shampoo-biferdil-kids-rojo-x-250-ml/p</t>
        </is>
      </c>
      <c r="P159">
        <f>TRIM(CLEAN(PROPER(D159)))</f>
        <v/>
      </c>
      <c r="Q159">
        <f>PROPER(TRIM(SUBSTITUTE(SUBSTITUTE(SUBSTITUTE(SUBSTITUTE(E159,"TRESEMME","Tresemme"),"HEAD &amp; SHOULDERS","Head &amp; Shoulders"),"ELVIVE","Elvive"),"FRUCTIS","Fructis")))</f>
        <v/>
      </c>
      <c r="R159">
        <f>COUNTIF($D$2:$D$10000,D159)&gt;1</f>
        <v/>
      </c>
      <c r="S159">
        <f>IF(H159=TRUE,"Disponible","No disponible")</f>
        <v/>
      </c>
      <c r="T159">
        <f>IF(AND(ISNUMBER(I159),I159&gt;0),ROUND(F159/I159,2),"Sin volumen")</f>
        <v/>
      </c>
      <c r="U159">
        <f>IF(F159&lt;5000,"Bajo",IF(F159&lt;15000,"Medio","Alto"))</f>
        <v/>
      </c>
    </row>
    <row r="160">
      <c r="A160" s="6" t="inlineStr">
        <is>
          <t>Farmacity</t>
        </is>
      </c>
      <c r="B160" s="6" t="n">
        <v>237880</v>
      </c>
      <c r="C160" s="6" t="n">
        <v>237880</v>
      </c>
      <c r="D160" s="6" t="inlineStr">
        <is>
          <t>Shampoo Capilatis Ortiga Concentrado Seco x 420 ml</t>
        </is>
      </c>
      <c r="E160" s="6" t="inlineStr">
        <is>
          <t>Capilatis</t>
        </is>
      </c>
      <c r="F160" s="6" t="n">
        <v>10800</v>
      </c>
      <c r="G160" s="6" t="n">
        <v>10800</v>
      </c>
      <c r="H160" s="6" t="b">
        <v>1</v>
      </c>
      <c r="I160" s="6" t="n">
        <v>420</v>
      </c>
      <c r="J160" s="6" t="n">
        <v>25.7143</v>
      </c>
      <c r="K160" s="6" t="inlineStr">
        <is>
          <t>&gt; Cuidado Capilar &gt; Shampoo Y Acondicionador &gt;</t>
        </is>
      </c>
      <c r="L160" s="6" t="inlineStr">
        <is>
          <t>shampoo</t>
        </is>
      </c>
      <c r="M160" s="6" t="inlineStr">
        <is>
          <t>estandar</t>
        </is>
      </c>
      <c r="N160" s="6" t="inlineStr">
        <is>
          <t>seco_danado</t>
        </is>
      </c>
      <c r="O160" s="6" t="inlineStr">
        <is>
          <t>https://www.farmacity.com/shampoo-capilatis-ortiga-concentrado-seco-x-420-ml/p</t>
        </is>
      </c>
      <c r="P160" s="8">
        <f>TRIM(CLEAN(PROPER(D160)))</f>
        <v/>
      </c>
      <c r="Q160" s="8">
        <f>PROPER(TRIM(SUBSTITUTE(SUBSTITUTE(SUBSTITUTE(SUBSTITUTE(E160,"TRESEMME","Tresemme"),"HEAD &amp; SHOULDERS","Head &amp; Shoulders"),"ELVIVE","Elvive"),"FRUCTIS","Fructis")))</f>
        <v/>
      </c>
      <c r="R160" s="8">
        <f>COUNTIF($D$2:$D$10000,D160)&gt;1</f>
        <v/>
      </c>
      <c r="S160" s="8">
        <f>IF(H160=TRUE,"Disponible","No disponible")</f>
        <v/>
      </c>
      <c r="T160" s="8">
        <f>IF(AND(ISNUMBER(I160),I160&gt;0),ROUND(F160/I160,2),"Sin volumen")</f>
        <v/>
      </c>
      <c r="U160" s="8">
        <f>IF(F160&lt;5000,"Bajo",IF(F160&lt;15000,"Medio","Alto"))</f>
        <v/>
      </c>
    </row>
    <row r="161">
      <c r="A161" t="inlineStr">
        <is>
          <t>Farmacity</t>
        </is>
      </c>
      <c r="B161" t="n">
        <v>237327</v>
      </c>
      <c r="C161" t="n">
        <v>237327</v>
      </c>
      <c r="D161" t="inlineStr">
        <is>
          <t>Shampoo TRESemmé Brillo Lamelar x 250 ml</t>
        </is>
      </c>
      <c r="E161" t="inlineStr">
        <is>
          <t>Tresemmé</t>
        </is>
      </c>
      <c r="F161" t="n">
        <v>6091</v>
      </c>
      <c r="G161" t="n">
        <v>6091</v>
      </c>
      <c r="H161" t="b">
        <v>1</v>
      </c>
      <c r="I161" t="n">
        <v>250</v>
      </c>
      <c r="J161" t="n">
        <v>24.364</v>
      </c>
      <c r="K161" t="inlineStr">
        <is>
          <t>&gt; Cuidado Capilar &gt; Shampoo Y Acondicionador &gt;</t>
        </is>
      </c>
      <c r="L161" t="inlineStr">
        <is>
          <t>shampoo</t>
        </is>
      </c>
      <c r="M161" t="inlineStr">
        <is>
          <t>estandar</t>
        </is>
      </c>
      <c r="N161" t="inlineStr">
        <is>
          <t>general</t>
        </is>
      </c>
      <c r="O161" t="inlineStr">
        <is>
          <t>https://www.farmacity.com/shampoo-tresemme-brillo-lamelar-x-250-ml/p</t>
        </is>
      </c>
      <c r="P161">
        <f>TRIM(CLEAN(PROPER(D161)))</f>
        <v/>
      </c>
      <c r="Q161">
        <f>PROPER(TRIM(SUBSTITUTE(SUBSTITUTE(SUBSTITUTE(SUBSTITUTE(E161,"TRESEMME","Tresemme"),"HEAD &amp; SHOULDERS","Head &amp; Shoulders"),"ELVIVE","Elvive"),"FRUCTIS","Fructis")))</f>
        <v/>
      </c>
      <c r="R161">
        <f>COUNTIF($D$2:$D$10000,D161)&gt;1</f>
        <v/>
      </c>
      <c r="S161">
        <f>IF(H161=TRUE,"Disponible","No disponible")</f>
        <v/>
      </c>
      <c r="T161">
        <f>IF(AND(ISNUMBER(I161),I161&gt;0),ROUND(F161/I161,2),"Sin volumen")</f>
        <v/>
      </c>
      <c r="U161">
        <f>IF(F161&lt;5000,"Bajo",IF(F161&lt;15000,"Medio","Alto"))</f>
        <v/>
      </c>
    </row>
    <row r="162">
      <c r="A162" s="6" t="inlineStr">
        <is>
          <t>Farmacity</t>
        </is>
      </c>
      <c r="B162" s="6" t="n">
        <v>237188</v>
      </c>
      <c r="C162" s="6" t="n">
        <v>237188</v>
      </c>
      <c r="D162" s="6" t="inlineStr">
        <is>
          <t>Shampoo Vichy Dercos Anti-Caspa x 2 un x 200 ml c/u</t>
        </is>
      </c>
      <c r="E162" s="6" t="inlineStr">
        <is>
          <t>Vichy</t>
        </is>
      </c>
      <c r="F162" s="6" t="n">
        <v>106976</v>
      </c>
      <c r="G162" s="6" t="n">
        <v>106976</v>
      </c>
      <c r="H162" s="6" t="b">
        <v>1</v>
      </c>
      <c r="I162" s="6" t="n">
        <v>200</v>
      </c>
      <c r="J162" s="6" t="n">
        <v>534.88</v>
      </c>
      <c r="K162" s="6" t="inlineStr">
        <is>
          <t>&gt; Dermocosmética &gt; Pelo &gt; Shampoos y Acondicionadores &gt;</t>
        </is>
      </c>
      <c r="L162" s="6" t="inlineStr">
        <is>
          <t>shampoo</t>
        </is>
      </c>
      <c r="M162" s="6" t="inlineStr">
        <is>
          <t>estandar</t>
        </is>
      </c>
      <c r="N162" s="6" t="inlineStr">
        <is>
          <t>anticaspa</t>
        </is>
      </c>
      <c r="O162" s="6" t="inlineStr">
        <is>
          <t>https://www.farmacity.com/shampoo-vichy-dercos-anti-caspa-x-2-un-x-200-ml-c-u/p</t>
        </is>
      </c>
      <c r="P162" s="8">
        <f>TRIM(CLEAN(PROPER(D162)))</f>
        <v/>
      </c>
      <c r="Q162" s="8">
        <f>PROPER(TRIM(SUBSTITUTE(SUBSTITUTE(SUBSTITUTE(SUBSTITUTE(E162,"TRESEMME","Tresemme"),"HEAD &amp; SHOULDERS","Head &amp; Shoulders"),"ELVIVE","Elvive"),"FRUCTIS","Fructis")))</f>
        <v/>
      </c>
      <c r="R162" s="8">
        <f>COUNTIF($D$2:$D$10000,D162)&gt;1</f>
        <v/>
      </c>
      <c r="S162" s="8">
        <f>IF(H162=TRUE,"Disponible","No disponible")</f>
        <v/>
      </c>
      <c r="T162" s="8">
        <f>IF(AND(ISNUMBER(I162),I162&gt;0),ROUND(F162/I162,2),"Sin volumen")</f>
        <v/>
      </c>
      <c r="U162" s="8">
        <f>IF(F162&lt;5000,"Bajo",IF(F162&lt;15000,"Medio","Alto"))</f>
        <v/>
      </c>
    </row>
    <row r="163">
      <c r="A163" t="inlineStr">
        <is>
          <t>Farmacity</t>
        </is>
      </c>
      <c r="B163" t="n">
        <v>233212</v>
      </c>
      <c r="C163" t="n">
        <v>233212</v>
      </c>
      <c r="D163" t="inlineStr">
        <is>
          <t>Shampoo Anticaída Ecohair x 450 ml</t>
        </is>
      </c>
      <c r="E163" t="inlineStr">
        <is>
          <t>Garre Guevara</t>
        </is>
      </c>
      <c r="F163" t="n">
        <v>40000</v>
      </c>
      <c r="G163" t="n">
        <v>40000</v>
      </c>
      <c r="H163" t="b">
        <v>1</v>
      </c>
      <c r="I163" t="n">
        <v>450</v>
      </c>
      <c r="J163" t="n">
        <v>88.88890000000001</v>
      </c>
      <c r="K163" t="inlineStr">
        <is>
          <t>&gt; Venta Bajo Receta &gt; Sistema Digestivo y Metabolismo &gt;</t>
        </is>
      </c>
      <c r="L163" t="inlineStr">
        <is>
          <t>shampoo</t>
        </is>
      </c>
      <c r="M163" t="inlineStr">
        <is>
          <t>estandar</t>
        </is>
      </c>
      <c r="N163" t="inlineStr">
        <is>
          <t>general</t>
        </is>
      </c>
      <c r="O163" t="inlineStr">
        <is>
          <t>https://www.farmacity.com/shampoo-anticaida-ecohair-x-450-ml/p</t>
        </is>
      </c>
      <c r="P163">
        <f>TRIM(CLEAN(PROPER(D163)))</f>
        <v/>
      </c>
      <c r="Q163">
        <f>PROPER(TRIM(SUBSTITUTE(SUBSTITUTE(SUBSTITUTE(SUBSTITUTE(E163,"TRESEMME","Tresemme"),"HEAD &amp; SHOULDERS","Head &amp; Shoulders"),"ELVIVE","Elvive"),"FRUCTIS","Fructis")))</f>
        <v/>
      </c>
      <c r="R163">
        <f>COUNTIF($D$2:$D$10000,D163)&gt;1</f>
        <v/>
      </c>
      <c r="S163">
        <f>IF(H163=TRUE,"Disponible","No disponible")</f>
        <v/>
      </c>
      <c r="T163">
        <f>IF(AND(ISNUMBER(I163),I163&gt;0),ROUND(F163/I163,2),"Sin volumen")</f>
        <v/>
      </c>
      <c r="U163">
        <f>IF(F163&lt;5000,"Bajo",IF(F163&lt;15000,"Medio","Alto"))</f>
        <v/>
      </c>
    </row>
    <row r="164">
      <c r="A164" s="6" t="inlineStr">
        <is>
          <t>Farmacity</t>
        </is>
      </c>
      <c r="B164" s="6" t="n">
        <v>231532</v>
      </c>
      <c r="C164" s="6" t="n">
        <v>231532</v>
      </c>
      <c r="D164" s="6" t="inlineStr">
        <is>
          <t>Shampoo Tio Nacho Aloe Vera V2 x 415 ml</t>
        </is>
      </c>
      <c r="E164" s="6" t="inlineStr">
        <is>
          <t>Tío Nacho</t>
        </is>
      </c>
      <c r="F164" s="6" t="n">
        <v>4973</v>
      </c>
      <c r="G164" s="6" t="n">
        <v>9947</v>
      </c>
      <c r="H164" s="6" t="b">
        <v>1</v>
      </c>
      <c r="I164" s="6" t="n">
        <v>415</v>
      </c>
      <c r="J164" s="6" t="n">
        <v>11.9831</v>
      </c>
      <c r="K164" s="6" t="inlineStr">
        <is>
          <t>&gt; Cuidado Capilar &gt; Shampoo Y Acondicionador &gt;</t>
        </is>
      </c>
      <c r="L164" s="6" t="inlineStr">
        <is>
          <t>shampoo</t>
        </is>
      </c>
      <c r="M164" s="6" t="inlineStr">
        <is>
          <t>estandar</t>
        </is>
      </c>
      <c r="N164" s="6" t="inlineStr">
        <is>
          <t>general</t>
        </is>
      </c>
      <c r="O164" s="6" t="inlineStr">
        <is>
          <t>https://www.farmacity.com/shampoo-tio-nacho-aloe-vera-x-415-ml/p</t>
        </is>
      </c>
      <c r="P164" s="8">
        <f>TRIM(CLEAN(PROPER(D164)))</f>
        <v/>
      </c>
      <c r="Q164" s="8">
        <f>PROPER(TRIM(SUBSTITUTE(SUBSTITUTE(SUBSTITUTE(SUBSTITUTE(E164,"TRESEMME","Tresemme"),"HEAD &amp; SHOULDERS","Head &amp; Shoulders"),"ELVIVE","Elvive"),"FRUCTIS","Fructis")))</f>
        <v/>
      </c>
      <c r="R164" s="8">
        <f>COUNTIF($D$2:$D$10000,D164)&gt;1</f>
        <v/>
      </c>
      <c r="S164" s="8">
        <f>IF(H164=TRUE,"Disponible","No disponible")</f>
        <v/>
      </c>
      <c r="T164" s="8">
        <f>IF(AND(ISNUMBER(I164),I164&gt;0),ROUND(F164/I164,2),"Sin volumen")</f>
        <v/>
      </c>
      <c r="U164" s="8">
        <f>IF(F164&lt;5000,"Bajo",IF(F164&lt;15000,"Medio","Alto"))</f>
        <v/>
      </c>
    </row>
    <row r="165">
      <c r="A165" t="inlineStr">
        <is>
          <t>Farmacity</t>
        </is>
      </c>
      <c r="B165" t="n">
        <v>229636</v>
      </c>
      <c r="C165" t="n">
        <v>229636</v>
      </c>
      <c r="D165" t="inlineStr">
        <is>
          <t>Shampoo Dove Real Fuerza + Bambú x 300 ml</t>
        </is>
      </c>
      <c r="E165" t="inlineStr">
        <is>
          <t>Dove</t>
        </is>
      </c>
      <c r="F165" t="n">
        <v>3437</v>
      </c>
      <c r="G165" t="n">
        <v>6874</v>
      </c>
      <c r="H165" t="b">
        <v>1</v>
      </c>
      <c r="I165" t="n">
        <v>300</v>
      </c>
      <c r="J165" t="n">
        <v>11.4567</v>
      </c>
      <c r="K165" t="inlineStr">
        <is>
          <t>&gt; Cuidado Capilar &gt; Shampoo Y Acondicionador &gt;</t>
        </is>
      </c>
      <c r="L165" t="inlineStr">
        <is>
          <t>shampoo</t>
        </is>
      </c>
      <c r="M165" t="inlineStr">
        <is>
          <t>estandar</t>
        </is>
      </c>
      <c r="N165" t="inlineStr">
        <is>
          <t>general</t>
        </is>
      </c>
      <c r="O165" t="inlineStr">
        <is>
          <t>https://www.farmacity.com/shampoo-dove-plant-power-fuerza-bambu-x-300-ml/p</t>
        </is>
      </c>
      <c r="P165">
        <f>TRIM(CLEAN(PROPER(D165)))</f>
        <v/>
      </c>
      <c r="Q165">
        <f>PROPER(TRIM(SUBSTITUTE(SUBSTITUTE(SUBSTITUTE(SUBSTITUTE(E165,"TRESEMME","Tresemme"),"HEAD &amp; SHOULDERS","Head &amp; Shoulders"),"ELVIVE","Elvive"),"FRUCTIS","Fructis")))</f>
        <v/>
      </c>
      <c r="R165">
        <f>COUNTIF($D$2:$D$10000,D165)&gt;1</f>
        <v/>
      </c>
      <c r="S165">
        <f>IF(H165=TRUE,"Disponible","No disponible")</f>
        <v/>
      </c>
      <c r="T165">
        <f>IF(AND(ISNUMBER(I165),I165&gt;0),ROUND(F165/I165,2),"Sin volumen")</f>
        <v/>
      </c>
      <c r="U165">
        <f>IF(F165&lt;5000,"Bajo",IF(F165&lt;15000,"Medio","Alto"))</f>
        <v/>
      </c>
    </row>
    <row r="166">
      <c r="A166" s="6" t="inlineStr">
        <is>
          <t>Farmacity</t>
        </is>
      </c>
      <c r="B166" s="6" t="n">
        <v>228963</v>
      </c>
      <c r="C166" s="6" t="n">
        <v>228963</v>
      </c>
      <c r="D166" s="6" t="inlineStr">
        <is>
          <t>Shampoo Solido Ruh Natual Off White x 65 g</t>
        </is>
      </c>
      <c r="E166" s="6" t="inlineStr">
        <is>
          <t>Ruh Natural</t>
        </is>
      </c>
      <c r="F166" s="6" t="n">
        <v>13508</v>
      </c>
      <c r="G166" s="6" t="n">
        <v>13508</v>
      </c>
      <c r="H166" s="6" t="b">
        <v>1</v>
      </c>
      <c r="I166" s="6" t="n">
        <v>65</v>
      </c>
      <c r="J166" s="6" t="n">
        <v>207.8154</v>
      </c>
      <c r="K166" s="6" t="inlineStr">
        <is>
          <t>&gt; Cuidado Capilar &gt; Shampoo Y Acondicionador &gt;</t>
        </is>
      </c>
      <c r="L166" s="6" t="inlineStr">
        <is>
          <t>shampoo</t>
        </is>
      </c>
      <c r="M166" s="6" t="inlineStr">
        <is>
          <t>estandar</t>
        </is>
      </c>
      <c r="N166" s="6" t="inlineStr">
        <is>
          <t>general</t>
        </is>
      </c>
      <c r="O166" s="6" t="inlineStr">
        <is>
          <t>https://www.farmacity.com/shampoo-solido-ruh-off-white-cabello-normal-x-65-g/p</t>
        </is>
      </c>
      <c r="P166" s="8">
        <f>TRIM(CLEAN(PROPER(D166)))</f>
        <v/>
      </c>
      <c r="Q166" s="8">
        <f>PROPER(TRIM(SUBSTITUTE(SUBSTITUTE(SUBSTITUTE(SUBSTITUTE(E166,"TRESEMME","Tresemme"),"HEAD &amp; SHOULDERS","Head &amp; Shoulders"),"ELVIVE","Elvive"),"FRUCTIS","Fructis")))</f>
        <v/>
      </c>
      <c r="R166" s="8">
        <f>COUNTIF($D$2:$D$10000,D166)&gt;1</f>
        <v/>
      </c>
      <c r="S166" s="8">
        <f>IF(H166=TRUE,"Disponible","No disponible")</f>
        <v/>
      </c>
      <c r="T166" s="8">
        <f>IF(AND(ISNUMBER(I166),I166&gt;0),ROUND(F166/I166,2),"Sin volumen")</f>
        <v/>
      </c>
      <c r="U166" s="8">
        <f>IF(F166&lt;5000,"Bajo",IF(F166&lt;15000,"Medio","Alto"))</f>
        <v/>
      </c>
    </row>
    <row r="167">
      <c r="A167" t="inlineStr">
        <is>
          <t>Farmacity</t>
        </is>
      </c>
      <c r="B167" t="n">
        <v>226184</v>
      </c>
      <c r="C167" t="n">
        <v>226184</v>
      </c>
      <c r="D167" t="inlineStr">
        <is>
          <t>Shampoo Valcatil Aminoácidos + Asoc. Pomo x 150 ml</t>
        </is>
      </c>
      <c r="E167" t="inlineStr">
        <is>
          <t>Panalab</t>
        </is>
      </c>
      <c r="F167" t="n">
        <v>24670</v>
      </c>
      <c r="G167" t="n">
        <v>24670</v>
      </c>
      <c r="H167" t="b">
        <v>1</v>
      </c>
      <c r="I167" t="n">
        <v>150</v>
      </c>
      <c r="J167" t="n">
        <v>164.4667</v>
      </c>
      <c r="K167" t="inlineStr">
        <is>
          <t>&gt; Venta Bajo Receta &gt; Dermatológico &gt;</t>
        </is>
      </c>
      <c r="L167" t="inlineStr">
        <is>
          <t>shampoo</t>
        </is>
      </c>
      <c r="M167" t="inlineStr">
        <is>
          <t>estandar</t>
        </is>
      </c>
      <c r="N167" t="inlineStr">
        <is>
          <t>general</t>
        </is>
      </c>
      <c r="O167" t="inlineStr">
        <is>
          <t>https://www.farmacity.com/shampoo-valcatil-aminoacidos-asoc-pomo-x-150-ml/p</t>
        </is>
      </c>
      <c r="P167">
        <f>TRIM(CLEAN(PROPER(D167)))</f>
        <v/>
      </c>
      <c r="Q167">
        <f>PROPER(TRIM(SUBSTITUTE(SUBSTITUTE(SUBSTITUTE(SUBSTITUTE(E167,"TRESEMME","Tresemme"),"HEAD &amp; SHOULDERS","Head &amp; Shoulders"),"ELVIVE","Elvive"),"FRUCTIS","Fructis")))</f>
        <v/>
      </c>
      <c r="R167">
        <f>COUNTIF($D$2:$D$10000,D167)&gt;1</f>
        <v/>
      </c>
      <c r="S167">
        <f>IF(H167=TRUE,"Disponible","No disponible")</f>
        <v/>
      </c>
      <c r="T167">
        <f>IF(AND(ISNUMBER(I167),I167&gt;0),ROUND(F167/I167,2),"Sin volumen")</f>
        <v/>
      </c>
      <c r="U167">
        <f>IF(F167&lt;5000,"Bajo",IF(F167&lt;15000,"Medio","Alto"))</f>
        <v/>
      </c>
    </row>
    <row r="168">
      <c r="A168" s="6" t="inlineStr">
        <is>
          <t>Farmacity</t>
        </is>
      </c>
      <c r="B168" s="6" t="n">
        <v>226017</v>
      </c>
      <c r="C168" s="6" t="n">
        <v>226017</v>
      </c>
      <c r="D168" s="6" t="inlineStr">
        <is>
          <t>Shampoo Valcatil Metionina + Cistina Pomo x 300 ml</t>
        </is>
      </c>
      <c r="E168" s="6" t="inlineStr">
        <is>
          <t>Panalab</t>
        </is>
      </c>
      <c r="F168" s="6" t="n">
        <v>41507</v>
      </c>
      <c r="G168" s="6" t="n">
        <v>41507</v>
      </c>
      <c r="H168" s="6" t="b">
        <v>1</v>
      </c>
      <c r="I168" s="6" t="n">
        <v>300</v>
      </c>
      <c r="J168" s="6" t="n">
        <v>138.3567</v>
      </c>
      <c r="K168" s="6" t="inlineStr">
        <is>
          <t>&gt; Venta Bajo Receta &gt; Dermatológico &gt;</t>
        </is>
      </c>
      <c r="L168" s="6" t="inlineStr">
        <is>
          <t>shampoo</t>
        </is>
      </c>
      <c r="M168" s="6" t="inlineStr">
        <is>
          <t>estandar</t>
        </is>
      </c>
      <c r="N168" s="6" t="inlineStr">
        <is>
          <t>general</t>
        </is>
      </c>
      <c r="O168" s="6" t="inlineStr">
        <is>
          <t>https://www.farmacity.com/shampoo-valcatil-metionina-cistina-pomo-x-300-ml/p</t>
        </is>
      </c>
      <c r="P168" s="8">
        <f>TRIM(CLEAN(PROPER(D168)))</f>
        <v/>
      </c>
      <c r="Q168" s="8">
        <f>PROPER(TRIM(SUBSTITUTE(SUBSTITUTE(SUBSTITUTE(SUBSTITUTE(E168,"TRESEMME","Tresemme"),"HEAD &amp; SHOULDERS","Head &amp; Shoulders"),"ELVIVE","Elvive"),"FRUCTIS","Fructis")))</f>
        <v/>
      </c>
      <c r="R168" s="8">
        <f>COUNTIF($D$2:$D$10000,D168)&gt;1</f>
        <v/>
      </c>
      <c r="S168" s="8">
        <f>IF(H168=TRUE,"Disponible","No disponible")</f>
        <v/>
      </c>
      <c r="T168" s="8">
        <f>IF(AND(ISNUMBER(I168),I168&gt;0),ROUND(F168/I168,2),"Sin volumen")</f>
        <v/>
      </c>
      <c r="U168" s="8">
        <f>IF(F168&lt;5000,"Bajo",IF(F168&lt;15000,"Medio","Alto"))</f>
        <v/>
      </c>
    </row>
    <row r="169">
      <c r="A169" t="inlineStr">
        <is>
          <t>Farmacity</t>
        </is>
      </c>
      <c r="B169" t="n">
        <v>214554</v>
      </c>
      <c r="C169" t="n">
        <v>214554</v>
      </c>
      <c r="D169" t="inlineStr">
        <is>
          <t>Shampoo Vichy Dercos Kera Solutions Rejuvenecedor x 250 ml</t>
        </is>
      </c>
      <c r="E169" t="inlineStr">
        <is>
          <t>Vichy</t>
        </is>
      </c>
      <c r="F169" t="n">
        <v>59423</v>
      </c>
      <c r="G169" t="n">
        <v>59423</v>
      </c>
      <c r="H169" t="b">
        <v>1</v>
      </c>
      <c r="I169" t="n">
        <v>250</v>
      </c>
      <c r="J169" t="n">
        <v>237.692</v>
      </c>
      <c r="K169" t="inlineStr">
        <is>
          <t>&gt; Dermocosmética &gt; Pelo &gt; Shampoos y Acondicionadores &gt;</t>
        </is>
      </c>
      <c r="L169" t="inlineStr">
        <is>
          <t>shampoo</t>
        </is>
      </c>
      <c r="M169" t="inlineStr">
        <is>
          <t>estandar</t>
        </is>
      </c>
      <c r="N169" t="inlineStr">
        <is>
          <t>general</t>
        </is>
      </c>
      <c r="O169" t="inlineStr">
        <is>
          <t>https://www.farmacity.com/shampoo-vichy-dercos-kera-solutions-x-250-ml/p</t>
        </is>
      </c>
      <c r="P169">
        <f>TRIM(CLEAN(PROPER(D169)))</f>
        <v/>
      </c>
      <c r="Q169">
        <f>PROPER(TRIM(SUBSTITUTE(SUBSTITUTE(SUBSTITUTE(SUBSTITUTE(E169,"TRESEMME","Tresemme"),"HEAD &amp; SHOULDERS","Head &amp; Shoulders"),"ELVIVE","Elvive"),"FRUCTIS","Fructis")))</f>
        <v/>
      </c>
      <c r="R169">
        <f>COUNTIF($D$2:$D$10000,D169)&gt;1</f>
        <v/>
      </c>
      <c r="S169">
        <f>IF(H169=TRUE,"Disponible","No disponible")</f>
        <v/>
      </c>
      <c r="T169">
        <f>IF(AND(ISNUMBER(I169),I169&gt;0),ROUND(F169/I169,2),"Sin volumen")</f>
        <v/>
      </c>
      <c r="U169">
        <f>IF(F169&lt;5000,"Bajo",IF(F169&lt;15000,"Medio","Alto"))</f>
        <v/>
      </c>
    </row>
    <row r="170">
      <c r="A170" s="6" t="inlineStr">
        <is>
          <t>Farmacity</t>
        </is>
      </c>
      <c r="B170" s="6" t="n">
        <v>204198</v>
      </c>
      <c r="C170" s="6" t="n">
        <v>204198</v>
      </c>
      <c r="D170" s="6" t="inlineStr">
        <is>
          <t>Shampoo Ayurvédico Sri Sri Tattva Protéico x 200 ml</t>
        </is>
      </c>
      <c r="E170" s="6" t="inlineStr">
        <is>
          <t>Sri Sri Tattva</t>
        </is>
      </c>
      <c r="F170" s="6" t="n">
        <v>17140</v>
      </c>
      <c r="G170" s="6" t="n">
        <v>17140</v>
      </c>
      <c r="H170" s="6" t="b">
        <v>1</v>
      </c>
      <c r="I170" s="6" t="n">
        <v>200</v>
      </c>
      <c r="J170" s="6" t="n">
        <v>85.7</v>
      </c>
      <c r="K170" s="6" t="inlineStr">
        <is>
          <t>&gt; Cuidado Capilar &gt; Shampoo Y Acondicionador &gt;</t>
        </is>
      </c>
      <c r="L170" s="6" t="inlineStr">
        <is>
          <t>shampoo</t>
        </is>
      </c>
      <c r="M170" s="6" t="inlineStr">
        <is>
          <t>estandar</t>
        </is>
      </c>
      <c r="N170" s="6" t="inlineStr">
        <is>
          <t>general</t>
        </is>
      </c>
      <c r="O170" s="6" t="inlineStr">
        <is>
          <t>https://www.farmacity.com/shampoo-ayurvedico-sri-sri-tattva-proteico-fenogreco-garbanzos-y-porotos-mung-x-200-ml/p</t>
        </is>
      </c>
      <c r="P170" s="8">
        <f>TRIM(CLEAN(PROPER(D170)))</f>
        <v/>
      </c>
      <c r="Q170" s="8">
        <f>PROPER(TRIM(SUBSTITUTE(SUBSTITUTE(SUBSTITUTE(SUBSTITUTE(E170,"TRESEMME","Tresemme"),"HEAD &amp; SHOULDERS","Head &amp; Shoulders"),"ELVIVE","Elvive"),"FRUCTIS","Fructis")))</f>
        <v/>
      </c>
      <c r="R170" s="8">
        <f>COUNTIF($D$2:$D$10000,D170)&gt;1</f>
        <v/>
      </c>
      <c r="S170" s="8">
        <f>IF(H170=TRUE,"Disponible","No disponible")</f>
        <v/>
      </c>
      <c r="T170" s="8">
        <f>IF(AND(ISNUMBER(I170),I170&gt;0),ROUND(F170/I170,2),"Sin volumen")</f>
        <v/>
      </c>
      <c r="U170" s="8">
        <f>IF(F170&lt;5000,"Bajo",IF(F170&lt;15000,"Medio","Alto"))</f>
        <v/>
      </c>
    </row>
    <row r="171">
      <c r="A171" t="inlineStr">
        <is>
          <t>Farmacity</t>
        </is>
      </c>
      <c r="B171" t="n">
        <v>150781</v>
      </c>
      <c r="C171" t="n">
        <v>150781</v>
      </c>
      <c r="D171" t="inlineStr">
        <is>
          <t>Shampoo Pantene  Pro-V Solutions Hidratación  x 400 ml</t>
        </is>
      </c>
      <c r="E171" t="inlineStr">
        <is>
          <t>Pantene</t>
        </is>
      </c>
      <c r="F171" t="n">
        <v>8083</v>
      </c>
      <c r="G171" t="n">
        <v>8083</v>
      </c>
      <c r="H171" t="b">
        <v>1</v>
      </c>
      <c r="I171" t="n">
        <v>400</v>
      </c>
      <c r="J171" t="n">
        <v>20.2075</v>
      </c>
      <c r="K171" t="inlineStr">
        <is>
          <t>&gt; Cuidado Capilar &gt; Shampoo Y Acondicionador &gt;</t>
        </is>
      </c>
      <c r="L171" t="inlineStr">
        <is>
          <t>shampoo</t>
        </is>
      </c>
      <c r="M171" t="inlineStr">
        <is>
          <t>profesional</t>
        </is>
      </c>
      <c r="N171" t="inlineStr">
        <is>
          <t>seco_danado</t>
        </is>
      </c>
      <c r="O171" t="inlineStr">
        <is>
          <t>https://www.farmacity.com/shampoo-pantene-max-pro-v-hidratacion-x-400-ml/p</t>
        </is>
      </c>
      <c r="P171">
        <f>TRIM(CLEAN(PROPER(D171)))</f>
        <v/>
      </c>
      <c r="Q171">
        <f>PROPER(TRIM(SUBSTITUTE(SUBSTITUTE(SUBSTITUTE(SUBSTITUTE(E171,"TRESEMME","Tresemme"),"HEAD &amp; SHOULDERS","Head &amp; Shoulders"),"ELVIVE","Elvive"),"FRUCTIS","Fructis")))</f>
        <v/>
      </c>
      <c r="R171">
        <f>COUNTIF($D$2:$D$10000,D171)&gt;1</f>
        <v/>
      </c>
      <c r="S171">
        <f>IF(H171=TRUE,"Disponible","No disponible")</f>
        <v/>
      </c>
      <c r="T171">
        <f>IF(AND(ISNUMBER(I171),I171&gt;0),ROUND(F171/I171,2),"Sin volumen")</f>
        <v/>
      </c>
      <c r="U171">
        <f>IF(F171&lt;5000,"Bajo",IF(F171&lt;15000,"Medio","Alto"))</f>
        <v/>
      </c>
    </row>
    <row r="172">
      <c r="A172" s="6" t="inlineStr">
        <is>
          <t>Farmacity</t>
        </is>
      </c>
      <c r="B172" s="6" t="n">
        <v>123819</v>
      </c>
      <c r="C172" s="6" t="n">
        <v>123819</v>
      </c>
      <c r="D172" s="6" t="inlineStr">
        <is>
          <t>Shampoo Clob-x Clobetasol 0.05% x 125 ml</t>
        </is>
      </c>
      <c r="E172" s="6" t="inlineStr">
        <is>
          <t>Galderma</t>
        </is>
      </c>
      <c r="F172" s="6" t="n">
        <v>34212</v>
      </c>
      <c r="G172" s="6" t="n">
        <v>34212</v>
      </c>
      <c r="H172" s="6" t="b">
        <v>1</v>
      </c>
      <c r="I172" s="6" t="n">
        <v>125</v>
      </c>
      <c r="J172" s="6" t="n">
        <v>273.696</v>
      </c>
      <c r="K172" s="6" t="inlineStr">
        <is>
          <t>&gt; Venta Bajo Receta &gt; Dermatológico &gt;</t>
        </is>
      </c>
      <c r="L172" s="6" t="inlineStr">
        <is>
          <t>shampoo</t>
        </is>
      </c>
      <c r="M172" s="6" t="inlineStr">
        <is>
          <t>estandar</t>
        </is>
      </c>
      <c r="N172" s="6" t="inlineStr">
        <is>
          <t>general</t>
        </is>
      </c>
      <c r="O172" s="6" t="inlineStr">
        <is>
          <t>https://www.farmacity.com/shampoo-clob-x-clobetasol-0-05-x-125-ml/p</t>
        </is>
      </c>
      <c r="P172" s="8">
        <f>TRIM(CLEAN(PROPER(D172)))</f>
        <v/>
      </c>
      <c r="Q172" s="8">
        <f>PROPER(TRIM(SUBSTITUTE(SUBSTITUTE(SUBSTITUTE(SUBSTITUTE(E172,"TRESEMME","Tresemme"),"HEAD &amp; SHOULDERS","Head &amp; Shoulders"),"ELVIVE","Elvive"),"FRUCTIS","Fructis")))</f>
        <v/>
      </c>
      <c r="R172" s="8">
        <f>COUNTIF($D$2:$D$10000,D172)&gt;1</f>
        <v/>
      </c>
      <c r="S172" s="8">
        <f>IF(H172=TRUE,"Disponible","No disponible")</f>
        <v/>
      </c>
      <c r="T172" s="8">
        <f>IF(AND(ISNUMBER(I172),I172&gt;0),ROUND(F172/I172,2),"Sin volumen")</f>
        <v/>
      </c>
      <c r="U172" s="8">
        <f>IF(F172&lt;5000,"Bajo",IF(F172&lt;15000,"Medio","Alto"))</f>
        <v/>
      </c>
    </row>
    <row r="173">
      <c r="A173" t="inlineStr">
        <is>
          <t>Farmacity</t>
        </is>
      </c>
      <c r="B173" t="n">
        <v>34381</v>
      </c>
      <c r="C173" t="n">
        <v>34381</v>
      </c>
      <c r="D173" t="inlineStr">
        <is>
          <t>Shampoo Gel Hidrosam Colágeno + Elastina + Asoc. x 250 ml Shampoo Gel Hidrosam Col Geno + Elastina + Asoc. x 250 ml</t>
        </is>
      </c>
      <c r="E173" t="inlineStr">
        <is>
          <t>Andromaco</t>
        </is>
      </c>
      <c r="F173" t="n">
        <v>27598</v>
      </c>
      <c r="G173" t="n">
        <v>27598</v>
      </c>
      <c r="H173" t="b">
        <v>1</v>
      </c>
      <c r="I173" t="n">
        <v>250</v>
      </c>
      <c r="J173" t="n">
        <v>110.392</v>
      </c>
      <c r="K173" t="inlineStr">
        <is>
          <t>&gt; Venta Bajo Receta &gt; Dermatológico &gt;</t>
        </is>
      </c>
      <c r="L173" t="inlineStr">
        <is>
          <t>shampoo</t>
        </is>
      </c>
      <c r="M173" t="inlineStr">
        <is>
          <t>estandar</t>
        </is>
      </c>
      <c r="N173" t="inlineStr">
        <is>
          <t>general</t>
        </is>
      </c>
      <c r="O173" t="inlineStr">
        <is>
          <t>https://www.farmacity.com/shampoo-gel-hidrosam-colageno-elastina-asoc-x-250-ml/p</t>
        </is>
      </c>
      <c r="P173">
        <f>TRIM(CLEAN(PROPER(D173)))</f>
        <v/>
      </c>
      <c r="Q173">
        <f>PROPER(TRIM(SUBSTITUTE(SUBSTITUTE(SUBSTITUTE(SUBSTITUTE(E173,"TRESEMME","Tresemme"),"HEAD &amp; SHOULDERS","Head &amp; Shoulders"),"ELVIVE","Elvive"),"FRUCTIS","Fructis")))</f>
        <v/>
      </c>
      <c r="R173">
        <f>COUNTIF($D$2:$D$10000,D173)&gt;1</f>
        <v/>
      </c>
      <c r="S173">
        <f>IF(H173=TRUE,"Disponible","No disponible")</f>
        <v/>
      </c>
      <c r="T173">
        <f>IF(AND(ISNUMBER(I173),I173&gt;0),ROUND(F173/I173,2),"Sin volumen")</f>
        <v/>
      </c>
      <c r="U173">
        <f>IF(F173&lt;5000,"Bajo",IF(F173&lt;15000,"Medio","Alto"))</f>
        <v/>
      </c>
    </row>
    <row r="174">
      <c r="A174" s="6" t="inlineStr">
        <is>
          <t>Farmacity</t>
        </is>
      </c>
      <c r="B174" s="6" t="n">
        <v>4206</v>
      </c>
      <c r="C174" s="6" t="n">
        <v>139200</v>
      </c>
      <c r="D174" s="6" t="inlineStr">
        <is>
          <t>Shampoo Elvive Keraliso Brillo y Sedosidad x 400 ml</t>
        </is>
      </c>
      <c r="E174" s="6" t="inlineStr">
        <is>
          <t>Elvive</t>
        </is>
      </c>
      <c r="F174" s="6" t="n">
        <v>3994</v>
      </c>
      <c r="G174" s="6" t="n">
        <v>7989</v>
      </c>
      <c r="H174" s="6" t="b">
        <v>1</v>
      </c>
      <c r="I174" s="6" t="n">
        <v>400</v>
      </c>
      <c r="J174" s="6" t="n">
        <v>9.984999999999999</v>
      </c>
      <c r="K174" s="6" t="inlineStr">
        <is>
          <t>&gt; Cuidado Capilar &gt; Shampoo Y Acondicionador &gt;</t>
        </is>
      </c>
      <c r="L174" s="6" t="inlineStr">
        <is>
          <t>shampoo</t>
        </is>
      </c>
      <c r="M174" s="6" t="inlineStr">
        <is>
          <t>profesional</t>
        </is>
      </c>
      <c r="N174" s="6" t="inlineStr">
        <is>
          <t>general</t>
        </is>
      </c>
      <c r="O174" s="6" t="inlineStr">
        <is>
          <t>https://www.farmacity.com/shampoo-kera-liso-brillo-y-suavidad-x-400-ml/p</t>
        </is>
      </c>
      <c r="P174" s="8">
        <f>TRIM(CLEAN(PROPER(D174)))</f>
        <v/>
      </c>
      <c r="Q174" s="8">
        <f>PROPER(TRIM(SUBSTITUTE(SUBSTITUTE(SUBSTITUTE(SUBSTITUTE(E174,"TRESEMME","Tresemme"),"HEAD &amp; SHOULDERS","Head &amp; Shoulders"),"ELVIVE","Elvive"),"FRUCTIS","Fructis")))</f>
        <v/>
      </c>
      <c r="R174" s="8">
        <f>COUNTIF($D$2:$D$10000,D174)&gt;1</f>
        <v/>
      </c>
      <c r="S174" s="8">
        <f>IF(H174=TRUE,"Disponible","No disponible")</f>
        <v/>
      </c>
      <c r="T174" s="8">
        <f>IF(AND(ISNUMBER(I174),I174&gt;0),ROUND(F174/I174,2),"Sin volumen")</f>
        <v/>
      </c>
      <c r="U174" s="8">
        <f>IF(F174&lt;5000,"Bajo",IF(F174&lt;15000,"Medio","Alto"))</f>
        <v/>
      </c>
    </row>
    <row r="175">
      <c r="A175" t="inlineStr">
        <is>
          <t>Farmacity</t>
        </is>
      </c>
      <c r="B175" t="n">
        <v>1239</v>
      </c>
      <c r="C175" t="n">
        <v>111020</v>
      </c>
      <c r="D175" t="inlineStr">
        <is>
          <t>Shampoo Biferdil Control Caída Tonificante x 295 ml</t>
        </is>
      </c>
      <c r="E175" t="inlineStr">
        <is>
          <t>Biferdil</t>
        </is>
      </c>
      <c r="F175" t="n">
        <v>9828</v>
      </c>
      <c r="G175" t="n">
        <v>9828</v>
      </c>
      <c r="H175" t="b">
        <v>1</v>
      </c>
      <c r="I175" t="n">
        <v>295</v>
      </c>
      <c r="J175" t="n">
        <v>33.3153</v>
      </c>
      <c r="K175" t="inlineStr">
        <is>
          <t>&gt; Cuidado Capilar &gt; Shampoo Y Acondicionador &gt;</t>
        </is>
      </c>
      <c r="L175" t="inlineStr">
        <is>
          <t>shampoo</t>
        </is>
      </c>
      <c r="M175" t="inlineStr">
        <is>
          <t>estandar</t>
        </is>
      </c>
      <c r="N175" t="inlineStr">
        <is>
          <t>general</t>
        </is>
      </c>
      <c r="O175" t="inlineStr">
        <is>
          <t>https://www.farmacity.com/shampoo-control-caida-tonificante-x-295-ml/p</t>
        </is>
      </c>
      <c r="P175">
        <f>TRIM(CLEAN(PROPER(D175)))</f>
        <v/>
      </c>
      <c r="Q175">
        <f>PROPER(TRIM(SUBSTITUTE(SUBSTITUTE(SUBSTITUTE(SUBSTITUTE(E175,"TRESEMME","Tresemme"),"HEAD &amp; SHOULDERS","Head &amp; Shoulders"),"ELVIVE","Elvive"),"FRUCTIS","Fructis")))</f>
        <v/>
      </c>
      <c r="R175">
        <f>COUNTIF($D$2:$D$10000,D175)&gt;1</f>
        <v/>
      </c>
      <c r="S175">
        <f>IF(H175=TRUE,"Disponible","No disponible")</f>
        <v/>
      </c>
      <c r="T175">
        <f>IF(AND(ISNUMBER(I175),I175&gt;0),ROUND(F175/I175,2),"Sin volumen")</f>
        <v/>
      </c>
      <c r="U175">
        <f>IF(F175&lt;5000,"Bajo",IF(F175&lt;15000,"Medio","Alto"))</f>
        <v/>
      </c>
    </row>
    <row r="176">
      <c r="A176" s="6" t="inlineStr">
        <is>
          <t>Farmacity</t>
        </is>
      </c>
      <c r="B176" s="6" t="n">
        <v>1202</v>
      </c>
      <c r="C176" s="6" t="n">
        <v>127714</v>
      </c>
      <c r="D176" s="6" t="inlineStr">
        <is>
          <t>Shampoo Biferdil Brillo y Nutrición x 295 ml</t>
        </is>
      </c>
      <c r="E176" s="6" t="inlineStr">
        <is>
          <t>Biferdil</t>
        </is>
      </c>
      <c r="F176" s="6" t="n">
        <v>17400</v>
      </c>
      <c r="G176" s="6" t="n">
        <v>17400</v>
      </c>
      <c r="H176" s="6" t="b">
        <v>1</v>
      </c>
      <c r="I176" s="6" t="n">
        <v>295</v>
      </c>
      <c r="J176" s="6" t="n">
        <v>58.9831</v>
      </c>
      <c r="K176" s="6" t="inlineStr">
        <is>
          <t>&gt; Cuidado Capilar &gt; Shampoo Y Acondicionador &gt;</t>
        </is>
      </c>
      <c r="L176" s="6" t="inlineStr">
        <is>
          <t>shampoo</t>
        </is>
      </c>
      <c r="M176" s="6" t="inlineStr">
        <is>
          <t>estandar</t>
        </is>
      </c>
      <c r="N176" s="6" t="inlineStr">
        <is>
          <t>general</t>
        </is>
      </c>
      <c r="O176" s="6" t="inlineStr">
        <is>
          <t>https://www.farmacity.com/shampoo-brillo-y-nutricion-x-295-ml/p</t>
        </is>
      </c>
      <c r="P176" s="8">
        <f>TRIM(CLEAN(PROPER(D176)))</f>
        <v/>
      </c>
      <c r="Q176" s="8">
        <f>PROPER(TRIM(SUBSTITUTE(SUBSTITUTE(SUBSTITUTE(SUBSTITUTE(E176,"TRESEMME","Tresemme"),"HEAD &amp; SHOULDERS","Head &amp; Shoulders"),"ELVIVE","Elvive"),"FRUCTIS","Fructis")))</f>
        <v/>
      </c>
      <c r="R176" s="8">
        <f>COUNTIF($D$2:$D$10000,D176)&gt;1</f>
        <v/>
      </c>
      <c r="S176" s="8">
        <f>IF(H176=TRUE,"Disponible","No disponible")</f>
        <v/>
      </c>
      <c r="T176" s="8">
        <f>IF(AND(ISNUMBER(I176),I176&gt;0),ROUND(F176/I176,2),"Sin volumen")</f>
        <v/>
      </c>
      <c r="U176" s="8">
        <f>IF(F176&lt;5000,"Bajo",IF(F176&lt;15000,"Medio","Alto"))</f>
        <v/>
      </c>
    </row>
    <row r="177">
      <c r="A177" t="inlineStr">
        <is>
          <t>Farmacity</t>
        </is>
      </c>
      <c r="B177" t="n">
        <v>1190</v>
      </c>
      <c r="C177" t="n">
        <v>134442</v>
      </c>
      <c r="D177" t="inlineStr">
        <is>
          <t>Shampoo en Seco Klorane de Avena en Spray x 150 ml</t>
        </is>
      </c>
      <c r="E177" t="inlineStr">
        <is>
          <t>Klorane</t>
        </is>
      </c>
      <c r="F177" t="n">
        <v>40000</v>
      </c>
      <c r="G177" t="n">
        <v>40000</v>
      </c>
      <c r="H177" t="b">
        <v>1</v>
      </c>
      <c r="I177" t="n">
        <v>150</v>
      </c>
      <c r="J177" t="n">
        <v>266.6667</v>
      </c>
      <c r="K177" t="inlineStr">
        <is>
          <t>&gt; Dermocosmética &gt; Pelo &gt; Shampoos y Acondicionadores &gt;</t>
        </is>
      </c>
      <c r="L177" t="inlineStr">
        <is>
          <t>shampoo</t>
        </is>
      </c>
      <c r="M177" t="inlineStr">
        <is>
          <t>estandar</t>
        </is>
      </c>
      <c r="N177" t="inlineStr">
        <is>
          <t>seco_danado</t>
        </is>
      </c>
      <c r="O177" t="inlineStr">
        <is>
          <t>https://www.farmacity.com/shampoo-seco-en-aerosol-limpia-sin-mojar-x-150-ml/p</t>
        </is>
      </c>
      <c r="P177">
        <f>TRIM(CLEAN(PROPER(D177)))</f>
        <v/>
      </c>
      <c r="Q177">
        <f>PROPER(TRIM(SUBSTITUTE(SUBSTITUTE(SUBSTITUTE(SUBSTITUTE(E177,"TRESEMME","Tresemme"),"HEAD &amp; SHOULDERS","Head &amp; Shoulders"),"ELVIVE","Elvive"),"FRUCTIS","Fructis")))</f>
        <v/>
      </c>
      <c r="R177">
        <f>COUNTIF($D$2:$D$10000,D177)&gt;1</f>
        <v/>
      </c>
      <c r="S177">
        <f>IF(H177=TRUE,"Disponible","No disponible")</f>
        <v/>
      </c>
      <c r="T177">
        <f>IF(AND(ISNUMBER(I177),I177&gt;0),ROUND(F177/I177,2),"Sin volumen")</f>
        <v/>
      </c>
      <c r="U177">
        <f>IF(F177&lt;5000,"Bajo",IF(F177&lt;15000,"Medio","Alto"))</f>
        <v/>
      </c>
    </row>
    <row r="178">
      <c r="A178" s="6" t="inlineStr">
        <is>
          <t>Farmacity</t>
        </is>
      </c>
      <c r="B178" s="6" t="n">
        <v>1137</v>
      </c>
      <c r="C178" s="6" t="n">
        <v>98326</v>
      </c>
      <c r="D178" s="6" t="inlineStr">
        <is>
          <t>Shampoo Hidratante Klorane Avena x 200 ml</t>
        </is>
      </c>
      <c r="E178" s="6" t="inlineStr">
        <is>
          <t>Klorane</t>
        </is>
      </c>
      <c r="F178" s="6" t="n">
        <v>29000</v>
      </c>
      <c r="G178" s="6" t="n">
        <v>29000</v>
      </c>
      <c r="H178" s="6" t="b">
        <v>1</v>
      </c>
      <c r="I178" s="6" t="n">
        <v>200</v>
      </c>
      <c r="J178" s="6" t="n">
        <v>145</v>
      </c>
      <c r="K178" s="6" t="inlineStr">
        <is>
          <t>&gt; Dermocosmética &gt; Pelo &gt; Shampoos y Acondicionadores &gt;</t>
        </is>
      </c>
      <c r="L178" s="6" t="inlineStr">
        <is>
          <t>shampoo</t>
        </is>
      </c>
      <c r="M178" s="6" t="inlineStr">
        <is>
          <t>estandar</t>
        </is>
      </c>
      <c r="N178" s="6" t="inlineStr">
        <is>
          <t>seco_danado</t>
        </is>
      </c>
      <c r="O178" s="6" t="inlineStr">
        <is>
          <t>https://www.farmacity.com/shampoo-a-la-leche-de-avena-x-200-ml/p</t>
        </is>
      </c>
      <c r="P178" s="8">
        <f>TRIM(CLEAN(PROPER(D178)))</f>
        <v/>
      </c>
      <c r="Q178" s="8">
        <f>PROPER(TRIM(SUBSTITUTE(SUBSTITUTE(SUBSTITUTE(SUBSTITUTE(E178,"TRESEMME","Tresemme"),"HEAD &amp; SHOULDERS","Head &amp; Shoulders"),"ELVIVE","Elvive"),"FRUCTIS","Fructis")))</f>
        <v/>
      </c>
      <c r="R178" s="8">
        <f>COUNTIF($D$2:$D$10000,D178)&gt;1</f>
        <v/>
      </c>
      <c r="S178" s="8">
        <f>IF(H178=TRUE,"Disponible","No disponible")</f>
        <v/>
      </c>
      <c r="T178" s="8">
        <f>IF(AND(ISNUMBER(I178),I178&gt;0),ROUND(F178/I178,2),"Sin volumen")</f>
        <v/>
      </c>
      <c r="U178" s="8">
        <f>IF(F178&lt;5000,"Bajo",IF(F178&lt;15000,"Medio","Alto"))</f>
        <v/>
      </c>
    </row>
    <row r="179">
      <c r="A179" t="inlineStr">
        <is>
          <t>Farmacity</t>
        </is>
      </c>
      <c r="B179" t="n">
        <v>228550</v>
      </c>
      <c r="C179" t="n">
        <v>228550</v>
      </c>
      <c r="D179" t="inlineStr">
        <is>
          <t>Shampoo Biferdil P+T para la Caída x 300 ml</t>
        </is>
      </c>
      <c r="E179" t="inlineStr">
        <is>
          <t>Biferdil</t>
        </is>
      </c>
      <c r="F179" t="n">
        <v>8775</v>
      </c>
      <c r="G179" t="n">
        <v>13500</v>
      </c>
      <c r="H179" t="b">
        <v>1</v>
      </c>
      <c r="I179" t="n">
        <v>300</v>
      </c>
      <c r="J179" t="n">
        <v>29.25</v>
      </c>
      <c r="K179" t="inlineStr">
        <is>
          <t>&gt; Cuidado Capilar &gt; Shampoo Y Acondicionador &gt;</t>
        </is>
      </c>
      <c r="L179" t="inlineStr">
        <is>
          <t>shampoo</t>
        </is>
      </c>
      <c r="M179" t="inlineStr">
        <is>
          <t>estandar</t>
        </is>
      </c>
      <c r="N179" t="inlineStr">
        <is>
          <t>general</t>
        </is>
      </c>
      <c r="O179" t="inlineStr">
        <is>
          <t>https://www.farmacity.com/shampoo-biferdil-pt-para-la-caida-x-300-ml/p</t>
        </is>
      </c>
      <c r="P179">
        <f>TRIM(CLEAN(PROPER(D179)))</f>
        <v/>
      </c>
      <c r="Q179">
        <f>PROPER(TRIM(SUBSTITUTE(SUBSTITUTE(SUBSTITUTE(SUBSTITUTE(E179,"TRESEMME","Tresemme"),"HEAD &amp; SHOULDERS","Head &amp; Shoulders"),"ELVIVE","Elvive"),"FRUCTIS","Fructis")))</f>
        <v/>
      </c>
      <c r="R179">
        <f>COUNTIF($D$2:$D$10000,D179)&gt;1</f>
        <v/>
      </c>
      <c r="S179">
        <f>IF(H179=TRUE,"Disponible","No disponible")</f>
        <v/>
      </c>
      <c r="T179">
        <f>IF(AND(ISNUMBER(I179),I179&gt;0),ROUND(F179/I179,2),"Sin volumen")</f>
        <v/>
      </c>
      <c r="U179">
        <f>IF(F179&lt;5000,"Bajo",IF(F179&lt;15000,"Medio","Alto"))</f>
        <v/>
      </c>
    </row>
    <row r="180">
      <c r="A180" s="6" t="inlineStr">
        <is>
          <t>Farmacity</t>
        </is>
      </c>
      <c r="B180" s="6" t="n">
        <v>221686</v>
      </c>
      <c r="C180" s="6" t="n">
        <v>221686</v>
      </c>
      <c r="D180" s="6" t="inlineStr">
        <is>
          <t>Shampoo Head &amp; Shoulders Crece Fuerte desde la Raíz x 375 ml</t>
        </is>
      </c>
      <c r="E180" s="6" t="inlineStr">
        <is>
          <t>Head and Shoulders</t>
        </is>
      </c>
      <c r="F180" s="6" t="n">
        <v>7895</v>
      </c>
      <c r="G180" s="6" t="n">
        <v>12146</v>
      </c>
      <c r="H180" s="6" t="b">
        <v>1</v>
      </c>
      <c r="I180" s="6" t="n">
        <v>375</v>
      </c>
      <c r="J180" s="6" t="n">
        <v>21.0533</v>
      </c>
      <c r="K180" s="6" t="inlineStr">
        <is>
          <t>&gt; Cuidado Capilar &gt; Shampoo Y Acondicionador &gt;</t>
        </is>
      </c>
      <c r="L180" s="6" t="inlineStr">
        <is>
          <t>shampoo</t>
        </is>
      </c>
      <c r="M180" s="6" t="inlineStr">
        <is>
          <t>estandar</t>
        </is>
      </c>
      <c r="N180" s="6" t="inlineStr">
        <is>
          <t>general</t>
        </is>
      </c>
      <c r="O180" s="6" t="inlineStr">
        <is>
          <t>https://www.farmacity.com/shampoo-head-y-shoulders-crece-fuerte-desde-la-raiz-x-375-ml/p</t>
        </is>
      </c>
      <c r="P180" s="8">
        <f>TRIM(CLEAN(PROPER(D180)))</f>
        <v/>
      </c>
      <c r="Q180" s="8">
        <f>PROPER(TRIM(SUBSTITUTE(SUBSTITUTE(SUBSTITUTE(SUBSTITUTE(E180,"TRESEMME","Tresemme"),"HEAD &amp; SHOULDERS","Head &amp; Shoulders"),"ELVIVE","Elvive"),"FRUCTIS","Fructis")))</f>
        <v/>
      </c>
      <c r="R180" s="8">
        <f>COUNTIF($D$2:$D$10000,D180)&gt;1</f>
        <v/>
      </c>
      <c r="S180" s="8">
        <f>IF(H180=TRUE,"Disponible","No disponible")</f>
        <v/>
      </c>
      <c r="T180" s="8">
        <f>IF(AND(ISNUMBER(I180),I180&gt;0),ROUND(F180/I180,2),"Sin volumen")</f>
        <v/>
      </c>
      <c r="U180" s="8">
        <f>IF(F180&lt;5000,"Bajo",IF(F180&lt;15000,"Medio","Alto"))</f>
        <v/>
      </c>
    </row>
    <row r="181">
      <c r="A181" t="inlineStr">
        <is>
          <t>Farmacity</t>
        </is>
      </c>
      <c r="B181" t="n">
        <v>207433</v>
      </c>
      <c r="C181" t="n">
        <v>207433</v>
      </c>
      <c r="D181" t="inlineStr">
        <is>
          <t>Shampoo Ogx Coconut Milk x 385 ml</t>
        </is>
      </c>
      <c r="E181" t="inlineStr">
        <is>
          <t>OGX</t>
        </is>
      </c>
      <c r="F181" t="n">
        <v>27154</v>
      </c>
      <c r="G181" t="n">
        <v>27154</v>
      </c>
      <c r="H181" t="b">
        <v>1</v>
      </c>
      <c r="I181" t="n">
        <v>385</v>
      </c>
      <c r="J181" t="n">
        <v>70.5299</v>
      </c>
      <c r="K181" t="inlineStr">
        <is>
          <t>&gt; Cuidado Capilar &gt; Shampoo Y Acondicionador &gt;</t>
        </is>
      </c>
      <c r="L181" t="inlineStr">
        <is>
          <t>shampoo</t>
        </is>
      </c>
      <c r="M181" t="inlineStr">
        <is>
          <t>estandar</t>
        </is>
      </c>
      <c r="N181" t="inlineStr">
        <is>
          <t>general</t>
        </is>
      </c>
      <c r="O181" t="inlineStr">
        <is>
          <t>https://www.farmacity.com/shampoo-ogx-coconut-milk-x-385-ml/p</t>
        </is>
      </c>
      <c r="P181">
        <f>TRIM(CLEAN(PROPER(D181)))</f>
        <v/>
      </c>
      <c r="Q181">
        <f>PROPER(TRIM(SUBSTITUTE(SUBSTITUTE(SUBSTITUTE(SUBSTITUTE(E181,"TRESEMME","Tresemme"),"HEAD &amp; SHOULDERS","Head &amp; Shoulders"),"ELVIVE","Elvive"),"FRUCTIS","Fructis")))</f>
        <v/>
      </c>
      <c r="R181">
        <f>COUNTIF($D$2:$D$10000,D181)&gt;1</f>
        <v/>
      </c>
      <c r="S181">
        <f>IF(H181=TRUE,"Disponible","No disponible")</f>
        <v/>
      </c>
      <c r="T181">
        <f>IF(AND(ISNUMBER(I181),I181&gt;0),ROUND(F181/I181,2),"Sin volumen")</f>
        <v/>
      </c>
      <c r="U181">
        <f>IF(F181&lt;5000,"Bajo",IF(F181&lt;15000,"Medio","Alto"))</f>
        <v/>
      </c>
    </row>
    <row r="182">
      <c r="A182" s="6" t="inlineStr">
        <is>
          <t>Farmacity</t>
        </is>
      </c>
      <c r="B182" s="6" t="n">
        <v>207427</v>
      </c>
      <c r="C182" s="6" t="n">
        <v>207427</v>
      </c>
      <c r="D182" s="6" t="inlineStr">
        <is>
          <t>Shampoo Ogx Brazilian Keratin Smooth x 385 ml</t>
        </is>
      </c>
      <c r="E182" s="6" t="inlineStr">
        <is>
          <t>OGX</t>
        </is>
      </c>
      <c r="F182" s="6" t="n">
        <v>27154</v>
      </c>
      <c r="G182" s="6" t="n">
        <v>27154</v>
      </c>
      <c r="H182" s="6" t="b">
        <v>1</v>
      </c>
      <c r="I182" s="6" t="n">
        <v>385</v>
      </c>
      <c r="J182" s="6" t="n">
        <v>70.5299</v>
      </c>
      <c r="K182" s="6" t="inlineStr">
        <is>
          <t>&gt; Cuidado Capilar &gt; Shampoo Y Acondicionador &gt;</t>
        </is>
      </c>
      <c r="L182" s="6" t="inlineStr">
        <is>
          <t>shampoo</t>
        </is>
      </c>
      <c r="M182" s="6" t="inlineStr">
        <is>
          <t>estandar</t>
        </is>
      </c>
      <c r="N182" s="6" t="inlineStr">
        <is>
          <t>general</t>
        </is>
      </c>
      <c r="O182" s="6" t="inlineStr">
        <is>
          <t>https://www.farmacity.com/shampoo-ogx-brazilian-keratin-smooth-x-385-ml/p</t>
        </is>
      </c>
      <c r="P182" s="8">
        <f>TRIM(CLEAN(PROPER(D182)))</f>
        <v/>
      </c>
      <c r="Q182" s="8">
        <f>PROPER(TRIM(SUBSTITUTE(SUBSTITUTE(SUBSTITUTE(SUBSTITUTE(E182,"TRESEMME","Tresemme"),"HEAD &amp; SHOULDERS","Head &amp; Shoulders"),"ELVIVE","Elvive"),"FRUCTIS","Fructis")))</f>
        <v/>
      </c>
      <c r="R182" s="8">
        <f>COUNTIF($D$2:$D$10000,D182)&gt;1</f>
        <v/>
      </c>
      <c r="S182" s="8">
        <f>IF(H182=TRUE,"Disponible","No disponible")</f>
        <v/>
      </c>
      <c r="T182" s="8">
        <f>IF(AND(ISNUMBER(I182),I182&gt;0),ROUND(F182/I182,2),"Sin volumen")</f>
        <v/>
      </c>
      <c r="U182" s="8">
        <f>IF(F182&lt;5000,"Bajo",IF(F182&lt;15000,"Medio","Alto"))</f>
        <v/>
      </c>
    </row>
    <row r="183">
      <c r="A183" t="inlineStr">
        <is>
          <t>Farmacity</t>
        </is>
      </c>
      <c r="B183" t="n">
        <v>205391</v>
      </c>
      <c r="C183" t="n">
        <v>205391</v>
      </c>
      <c r="D183" t="inlineStr">
        <is>
          <t>Shampoo Herbal Essences White Grapefruit &amp; Mosa Mint x 400 ml</t>
        </is>
      </c>
      <c r="E183" t="inlineStr">
        <is>
          <t>Herbal Essences</t>
        </is>
      </c>
      <c r="F183" t="n">
        <v>10574</v>
      </c>
      <c r="G183" t="n">
        <v>16267</v>
      </c>
      <c r="H183" t="b">
        <v>1</v>
      </c>
      <c r="I183" t="n">
        <v>400</v>
      </c>
      <c r="J183" t="n">
        <v>26.435</v>
      </c>
      <c r="K183" t="inlineStr">
        <is>
          <t>&gt; Cuidado Capilar &gt; Shampoo Y Acondicionador &gt;</t>
        </is>
      </c>
      <c r="L183" t="inlineStr">
        <is>
          <t>shampoo</t>
        </is>
      </c>
      <c r="M183" t="inlineStr">
        <is>
          <t>estandar</t>
        </is>
      </c>
      <c r="N183" t="inlineStr">
        <is>
          <t>general</t>
        </is>
      </c>
      <c r="O183" t="inlineStr">
        <is>
          <t>https://www.farmacity.com/shampoo-herbal-essences-bio-renew-riadiant-shine-white-grapefruit-mosa-mint-400ml/p</t>
        </is>
      </c>
      <c r="P183">
        <f>TRIM(CLEAN(PROPER(D183)))</f>
        <v/>
      </c>
      <c r="Q183">
        <f>PROPER(TRIM(SUBSTITUTE(SUBSTITUTE(SUBSTITUTE(SUBSTITUTE(E183,"TRESEMME","Tresemme"),"HEAD &amp; SHOULDERS","Head &amp; Shoulders"),"ELVIVE","Elvive"),"FRUCTIS","Fructis")))</f>
        <v/>
      </c>
      <c r="R183">
        <f>COUNTIF($D$2:$D$10000,D183)&gt;1</f>
        <v/>
      </c>
      <c r="S183">
        <f>IF(H183=TRUE,"Disponible","No disponible")</f>
        <v/>
      </c>
      <c r="T183">
        <f>IF(AND(ISNUMBER(I183),I183&gt;0),ROUND(F183/I183,2),"Sin volumen")</f>
        <v/>
      </c>
      <c r="U183">
        <f>IF(F183&lt;5000,"Bajo",IF(F183&lt;15000,"Medio","Alto"))</f>
        <v/>
      </c>
    </row>
    <row r="184">
      <c r="A184" s="6" t="inlineStr">
        <is>
          <t>Farmacity</t>
        </is>
      </c>
      <c r="B184" s="6" t="n">
        <v>161060</v>
      </c>
      <c r="C184" s="6" t="n">
        <v>161060</v>
      </c>
      <c r="D184" s="6" t="inlineStr">
        <is>
          <t>Shampoo Aveno Bebes y Niños x 250 ml</t>
        </is>
      </c>
      <c r="E184" s="6" t="inlineStr">
        <is>
          <t>Aveno</t>
        </is>
      </c>
      <c r="F184" s="6" t="n">
        <v>22618</v>
      </c>
      <c r="G184" s="6" t="n">
        <v>30157</v>
      </c>
      <c r="H184" s="6" t="b">
        <v>1</v>
      </c>
      <c r="I184" s="6" t="n">
        <v>250</v>
      </c>
      <c r="J184" s="6" t="n">
        <v>90.47199999999999</v>
      </c>
      <c r="K184" s="6" t="inlineStr">
        <is>
          <t>&gt; Bebés &gt; Higiene del Bebé &gt; Baño Del Bebé &gt;</t>
        </is>
      </c>
      <c r="L184" s="6" t="inlineStr">
        <is>
          <t>shampoo</t>
        </is>
      </c>
      <c r="M184" s="6" t="inlineStr">
        <is>
          <t>estandar</t>
        </is>
      </c>
      <c r="N184" s="6" t="inlineStr">
        <is>
          <t>bebe</t>
        </is>
      </c>
      <c r="O184" s="6" t="inlineStr">
        <is>
          <t>https://www.farmacity.com/aveno-infantil-shampoo-x-250-ml/p</t>
        </is>
      </c>
      <c r="P184" s="8">
        <f>TRIM(CLEAN(PROPER(D184)))</f>
        <v/>
      </c>
      <c r="Q184" s="8">
        <f>PROPER(TRIM(SUBSTITUTE(SUBSTITUTE(SUBSTITUTE(SUBSTITUTE(E184,"TRESEMME","Tresemme"),"HEAD &amp; SHOULDERS","Head &amp; Shoulders"),"ELVIVE","Elvive"),"FRUCTIS","Fructis")))</f>
        <v/>
      </c>
      <c r="R184" s="8">
        <f>COUNTIF($D$2:$D$10000,D184)&gt;1</f>
        <v/>
      </c>
      <c r="S184" s="8">
        <f>IF(H184=TRUE,"Disponible","No disponible")</f>
        <v/>
      </c>
      <c r="T184" s="8">
        <f>IF(AND(ISNUMBER(I184),I184&gt;0),ROUND(F184/I184,2),"Sin volumen")</f>
        <v/>
      </c>
      <c r="U184" s="8">
        <f>IF(F184&lt;5000,"Bajo",IF(F184&lt;15000,"Medio","Alto"))</f>
        <v/>
      </c>
    </row>
    <row r="185">
      <c r="A185" t="inlineStr">
        <is>
          <t>Farmacity</t>
        </is>
      </c>
      <c r="B185" t="n">
        <v>9574</v>
      </c>
      <c r="C185" t="n">
        <v>158660</v>
      </c>
      <c r="D185" t="inlineStr">
        <is>
          <t>Shampoo Elvive Óleo Extraordinario Rizos x 200 ml</t>
        </is>
      </c>
      <c r="E185" t="inlineStr">
        <is>
          <t>Elvive</t>
        </is>
      </c>
      <c r="F185" t="n">
        <v>6990</v>
      </c>
      <c r="G185" t="n">
        <v>6990</v>
      </c>
      <c r="H185" t="b">
        <v>1</v>
      </c>
      <c r="I185" t="n">
        <v>200</v>
      </c>
      <c r="J185" t="n">
        <v>34.95</v>
      </c>
      <c r="K185" t="inlineStr">
        <is>
          <t>&gt; Cuidado Capilar &gt; Shampoo Y Acondicionador &gt;</t>
        </is>
      </c>
      <c r="L185" t="inlineStr">
        <is>
          <t>shampoo</t>
        </is>
      </c>
      <c r="M185" t="inlineStr">
        <is>
          <t>profesional</t>
        </is>
      </c>
      <c r="N185" t="inlineStr">
        <is>
          <t>rizado</t>
        </is>
      </c>
      <c r="O185" t="inlineStr">
        <is>
          <t>https://www.farmacity.com/shampoo-oleo-extraordinario-rizos-definidos-x-200ml/p</t>
        </is>
      </c>
      <c r="P185">
        <f>TRIM(CLEAN(PROPER(D185)))</f>
        <v/>
      </c>
      <c r="Q185">
        <f>PROPER(TRIM(SUBSTITUTE(SUBSTITUTE(SUBSTITUTE(SUBSTITUTE(E185,"TRESEMME","Tresemme"),"HEAD &amp; SHOULDERS","Head &amp; Shoulders"),"ELVIVE","Elvive"),"FRUCTIS","Fructis")))</f>
        <v/>
      </c>
      <c r="R185">
        <f>COUNTIF($D$2:$D$10000,D185)&gt;1</f>
        <v/>
      </c>
      <c r="S185">
        <f>IF(H185=TRUE,"Disponible","No disponible")</f>
        <v/>
      </c>
      <c r="T185">
        <f>IF(AND(ISNUMBER(I185),I185&gt;0),ROUND(F185/I185,2),"Sin volumen")</f>
        <v/>
      </c>
      <c r="U185">
        <f>IF(F185&lt;5000,"Bajo",IF(F185&lt;15000,"Medio","Alto"))</f>
        <v/>
      </c>
    </row>
    <row r="186">
      <c r="A186" s="6" t="inlineStr">
        <is>
          <t>Farmacity</t>
        </is>
      </c>
      <c r="B186" s="6" t="n">
        <v>5351</v>
      </c>
      <c r="C186" s="6" t="n">
        <v>143505</v>
      </c>
      <c r="D186" s="6" t="inlineStr">
        <is>
          <t>Shampoo Elvive Reparación Total Extreme x 200 ml</t>
        </is>
      </c>
      <c r="E186" s="6" t="inlineStr">
        <is>
          <t>Elvive</t>
        </is>
      </c>
      <c r="F186" s="6" t="n">
        <v>6990</v>
      </c>
      <c r="G186" s="6" t="n">
        <v>6990</v>
      </c>
      <c r="H186" s="6" t="b">
        <v>1</v>
      </c>
      <c r="I186" s="6" t="n">
        <v>200</v>
      </c>
      <c r="J186" s="6" t="n">
        <v>34.95</v>
      </c>
      <c r="K186" s="6" t="inlineStr">
        <is>
          <t>&gt; Cuidado Capilar &gt; Shampoo Y Acondicionador &gt;</t>
        </is>
      </c>
      <c r="L186" s="6" t="inlineStr">
        <is>
          <t>shampoo</t>
        </is>
      </c>
      <c r="M186" s="6" t="inlineStr">
        <is>
          <t>profesional</t>
        </is>
      </c>
      <c r="N186" s="6" t="inlineStr">
        <is>
          <t>general</t>
        </is>
      </c>
      <c r="O186" s="6" t="inlineStr">
        <is>
          <t>https://www.farmacity.com/shampoo-reparacion-total-extreme-x-200-ml/p</t>
        </is>
      </c>
      <c r="P186" s="8">
        <f>TRIM(CLEAN(PROPER(D186)))</f>
        <v/>
      </c>
      <c r="Q186" s="8">
        <f>PROPER(TRIM(SUBSTITUTE(SUBSTITUTE(SUBSTITUTE(SUBSTITUTE(E186,"TRESEMME","Tresemme"),"HEAD &amp; SHOULDERS","Head &amp; Shoulders"),"ELVIVE","Elvive"),"FRUCTIS","Fructis")))</f>
        <v/>
      </c>
      <c r="R186" s="8">
        <f>COUNTIF($D$2:$D$10000,D186)&gt;1</f>
        <v/>
      </c>
      <c r="S186" s="8">
        <f>IF(H186=TRUE,"Disponible","No disponible")</f>
        <v/>
      </c>
      <c r="T186" s="8">
        <f>IF(AND(ISNUMBER(I186),I186&gt;0),ROUND(F186/I186,2),"Sin volumen")</f>
        <v/>
      </c>
      <c r="U186" s="8">
        <f>IF(F186&lt;5000,"Bajo",IF(F186&lt;15000,"Medio","Alto"))</f>
        <v/>
      </c>
    </row>
    <row r="187">
      <c r="A187" t="inlineStr">
        <is>
          <t>Farmacity</t>
        </is>
      </c>
      <c r="B187" t="n">
        <v>3977</v>
      </c>
      <c r="C187" t="n">
        <v>138762</v>
      </c>
      <c r="D187" t="inlineStr">
        <is>
          <t>Shampoo Anticaspa Clear Control  Caída x 400 ml</t>
        </is>
      </c>
      <c r="E187" t="inlineStr">
        <is>
          <t>Clear</t>
        </is>
      </c>
      <c r="F187" t="n">
        <v>10412</v>
      </c>
      <c r="G187" t="n">
        <v>10412</v>
      </c>
      <c r="H187" t="b">
        <v>1</v>
      </c>
      <c r="I187" t="n">
        <v>400</v>
      </c>
      <c r="J187" t="n">
        <v>26.03</v>
      </c>
      <c r="K187" t="inlineStr">
        <is>
          <t>&gt; Cuidado Capilar &gt; Shampoo Y Acondicionador &gt;</t>
        </is>
      </c>
      <c r="L187" t="inlineStr">
        <is>
          <t>shampoo</t>
        </is>
      </c>
      <c r="M187" t="inlineStr">
        <is>
          <t>estandar</t>
        </is>
      </c>
      <c r="N187" t="inlineStr">
        <is>
          <t>anticaspa</t>
        </is>
      </c>
      <c r="O187" t="inlineStr">
        <is>
          <t>https://www.farmacity.com/shampoo-clear-anticaspa-control-caida-x-400-ml/p</t>
        </is>
      </c>
      <c r="P187">
        <f>TRIM(CLEAN(PROPER(D187)))</f>
        <v/>
      </c>
      <c r="Q187">
        <f>PROPER(TRIM(SUBSTITUTE(SUBSTITUTE(SUBSTITUTE(SUBSTITUTE(E187,"TRESEMME","Tresemme"),"HEAD &amp; SHOULDERS","Head &amp; Shoulders"),"ELVIVE","Elvive"),"FRUCTIS","Fructis")))</f>
        <v/>
      </c>
      <c r="R187">
        <f>COUNTIF($D$2:$D$10000,D187)&gt;1</f>
        <v/>
      </c>
      <c r="S187">
        <f>IF(H187=TRUE,"Disponible","No disponible")</f>
        <v/>
      </c>
      <c r="T187">
        <f>IF(AND(ISNUMBER(I187),I187&gt;0),ROUND(F187/I187,2),"Sin volumen")</f>
        <v/>
      </c>
      <c r="U187">
        <f>IF(F187&lt;5000,"Bajo",IF(F187&lt;15000,"Medio","Alto"))</f>
        <v/>
      </c>
    </row>
    <row r="188">
      <c r="A188" s="6" t="inlineStr">
        <is>
          <t>Farmacity</t>
        </is>
      </c>
      <c r="B188" s="6" t="n">
        <v>1151</v>
      </c>
      <c r="C188" s="6" t="n">
        <v>23597</v>
      </c>
      <c r="D188" s="6" t="inlineStr">
        <is>
          <t>Shampoo Capilatis Engrosador x 410 ml</t>
        </is>
      </c>
      <c r="E188" s="6" t="inlineStr">
        <is>
          <t>Capilatis</t>
        </is>
      </c>
      <c r="F188" s="6" t="n">
        <v>6750</v>
      </c>
      <c r="G188" s="6" t="n">
        <v>9000</v>
      </c>
      <c r="H188" s="6" t="b">
        <v>1</v>
      </c>
      <c r="I188" s="6" t="n">
        <v>410</v>
      </c>
      <c r="J188" s="6" t="n">
        <v>16.4634</v>
      </c>
      <c r="K188" s="6" t="inlineStr">
        <is>
          <t>&gt; Cuidado Capilar &gt; Shampoo Y Acondicionador &gt;</t>
        </is>
      </c>
      <c r="L188" s="6" t="inlineStr">
        <is>
          <t>shampoo</t>
        </is>
      </c>
      <c r="M188" s="6" t="inlineStr">
        <is>
          <t>estandar</t>
        </is>
      </c>
      <c r="N188" s="6" t="inlineStr">
        <is>
          <t>general</t>
        </is>
      </c>
      <c r="O188" s="6" t="inlineStr">
        <is>
          <t>https://www.farmacity.com/shampoo-engrosador-x-410-ml/p</t>
        </is>
      </c>
      <c r="P188" s="8">
        <f>TRIM(CLEAN(PROPER(D188)))</f>
        <v/>
      </c>
      <c r="Q188" s="8">
        <f>PROPER(TRIM(SUBSTITUTE(SUBSTITUTE(SUBSTITUTE(SUBSTITUTE(E188,"TRESEMME","Tresemme"),"HEAD &amp; SHOULDERS","Head &amp; Shoulders"),"ELVIVE","Elvive"),"FRUCTIS","Fructis")))</f>
        <v/>
      </c>
      <c r="R188" s="8">
        <f>COUNTIF($D$2:$D$10000,D188)&gt;1</f>
        <v/>
      </c>
      <c r="S188" s="8">
        <f>IF(H188=TRUE,"Disponible","No disponible")</f>
        <v/>
      </c>
      <c r="T188" s="8">
        <f>IF(AND(ISNUMBER(I188),I188&gt;0),ROUND(F188/I188,2),"Sin volumen")</f>
        <v/>
      </c>
      <c r="U188" s="8">
        <f>IF(F188&lt;5000,"Bajo",IF(F188&lt;15000,"Medio","Alto"))</f>
        <v/>
      </c>
    </row>
    <row r="189">
      <c r="A189" t="inlineStr">
        <is>
          <t>Farmacity</t>
        </is>
      </c>
      <c r="B189" t="n">
        <v>855</v>
      </c>
      <c r="C189" t="n">
        <v>7208</v>
      </c>
      <c r="D189" t="inlineStr">
        <is>
          <t>Shampoo Vichy Dercos Energy Anti-Caída x 200 ml</t>
        </is>
      </c>
      <c r="E189" t="inlineStr">
        <is>
          <t>Vichy</t>
        </is>
      </c>
      <c r="F189" t="n">
        <v>53488</v>
      </c>
      <c r="G189" t="n">
        <v>53488</v>
      </c>
      <c r="H189" t="b">
        <v>1</v>
      </c>
      <c r="I189" t="n">
        <v>200</v>
      </c>
      <c r="J189" t="n">
        <v>267.44</v>
      </c>
      <c r="K189" t="inlineStr">
        <is>
          <t>&gt; Dermocosmética &gt; Pelo &gt; Shampoos y Acondicionadores &gt;</t>
        </is>
      </c>
      <c r="L189" t="inlineStr">
        <is>
          <t>shampoo</t>
        </is>
      </c>
      <c r="M189" t="inlineStr">
        <is>
          <t>estandar</t>
        </is>
      </c>
      <c r="N189" t="inlineStr">
        <is>
          <t>general</t>
        </is>
      </c>
      <c r="O189" t="inlineStr">
        <is>
          <t>https://www.farmacity.com/shampoo-dercos-energizante-anticaida-x-200-ml/p</t>
        </is>
      </c>
      <c r="P189">
        <f>TRIM(CLEAN(PROPER(D189)))</f>
        <v/>
      </c>
      <c r="Q189">
        <f>PROPER(TRIM(SUBSTITUTE(SUBSTITUTE(SUBSTITUTE(SUBSTITUTE(E189,"TRESEMME","Tresemme"),"HEAD &amp; SHOULDERS","Head &amp; Shoulders"),"ELVIVE","Elvive"),"FRUCTIS","Fructis")))</f>
        <v/>
      </c>
      <c r="R189">
        <f>COUNTIF($D$2:$D$10000,D189)&gt;1</f>
        <v/>
      </c>
      <c r="S189">
        <f>IF(H189=TRUE,"Disponible","No disponible")</f>
        <v/>
      </c>
      <c r="T189">
        <f>IF(AND(ISNUMBER(I189),I189&gt;0),ROUND(F189/I189,2),"Sin volumen")</f>
        <v/>
      </c>
      <c r="U189">
        <f>IF(F189&lt;5000,"Bajo",IF(F189&lt;15000,"Medio","Alto"))</f>
        <v/>
      </c>
    </row>
    <row r="190">
      <c r="A190" s="6" t="inlineStr">
        <is>
          <t>Farmacity</t>
        </is>
      </c>
      <c r="B190" s="6" t="n">
        <v>246059</v>
      </c>
      <c r="C190" s="6" t="n">
        <v>246059</v>
      </c>
      <c r="D190" s="6" t="inlineStr">
        <is>
          <t>Shampoo Biferdil Ultra Brillo Minitalla x 100 ml</t>
        </is>
      </c>
      <c r="E190" s="6" t="inlineStr">
        <is>
          <t>Biferdil</t>
        </is>
      </c>
      <c r="F190" s="6" t="n">
        <v>8748</v>
      </c>
      <c r="G190" s="6" t="n">
        <v>8748</v>
      </c>
      <c r="H190" s="6" t="b">
        <v>1</v>
      </c>
      <c r="I190" s="6" t="n">
        <v>100</v>
      </c>
      <c r="J190" s="6" t="n">
        <v>87.48</v>
      </c>
      <c r="K190" s="6" t="inlineStr">
        <is>
          <t>&gt; Cuidado Capilar &gt; Shampoo Y Acondicionador &gt;</t>
        </is>
      </c>
      <c r="L190" s="6" t="inlineStr">
        <is>
          <t>shampoo</t>
        </is>
      </c>
      <c r="M190" s="6" t="inlineStr">
        <is>
          <t>estandar</t>
        </is>
      </c>
      <c r="N190" s="6" t="inlineStr">
        <is>
          <t>general</t>
        </is>
      </c>
      <c r="O190" s="6" t="inlineStr">
        <is>
          <t>https://www.farmacity.com/shampoo-biferdil-ultra-brillo-minitalla-x-100-ml/p</t>
        </is>
      </c>
      <c r="P190" s="8">
        <f>TRIM(CLEAN(PROPER(D190)))</f>
        <v/>
      </c>
      <c r="Q190" s="8">
        <f>PROPER(TRIM(SUBSTITUTE(SUBSTITUTE(SUBSTITUTE(SUBSTITUTE(E190,"TRESEMME","Tresemme"),"HEAD &amp; SHOULDERS","Head &amp; Shoulders"),"ELVIVE","Elvive"),"FRUCTIS","Fructis")))</f>
        <v/>
      </c>
      <c r="R190" s="8">
        <f>COUNTIF($D$2:$D$10000,D190)&gt;1</f>
        <v/>
      </c>
      <c r="S190" s="8">
        <f>IF(H190=TRUE,"Disponible","No disponible")</f>
        <v/>
      </c>
      <c r="T190" s="8">
        <f>IF(AND(ISNUMBER(I190),I190&gt;0),ROUND(F190/I190,2),"Sin volumen")</f>
        <v/>
      </c>
      <c r="U190" s="8">
        <f>IF(F190&lt;5000,"Bajo",IF(F190&lt;15000,"Medio","Alto"))</f>
        <v/>
      </c>
    </row>
    <row r="191">
      <c r="A191" t="inlineStr">
        <is>
          <t>Farmacity</t>
        </is>
      </c>
      <c r="B191" t="n">
        <v>244538</v>
      </c>
      <c r="C191" t="n">
        <v>244538</v>
      </c>
      <c r="D191" t="inlineStr">
        <is>
          <t>Shampoo Pantene Colageno x 300 ml</t>
        </is>
      </c>
      <c r="E191" t="inlineStr">
        <is>
          <t>Pantene</t>
        </is>
      </c>
      <c r="F191" t="n">
        <v>6032</v>
      </c>
      <c r="G191" t="n">
        <v>10054</v>
      </c>
      <c r="H191" t="b">
        <v>1</v>
      </c>
      <c r="I191" t="n">
        <v>300</v>
      </c>
      <c r="J191" t="n">
        <v>20.1067</v>
      </c>
      <c r="K191" t="inlineStr">
        <is>
          <t>&gt; Cuidado Capilar &gt; Shampoo Y Acondicionador &gt;</t>
        </is>
      </c>
      <c r="L191" t="inlineStr">
        <is>
          <t>shampoo</t>
        </is>
      </c>
      <c r="M191" t="inlineStr">
        <is>
          <t>estandar</t>
        </is>
      </c>
      <c r="N191" t="inlineStr">
        <is>
          <t>general</t>
        </is>
      </c>
      <c r="O191" t="inlineStr">
        <is>
          <t>https://www.farmacity.com/shampoo-pantene-colageno-x-300-ml/p</t>
        </is>
      </c>
      <c r="P191">
        <f>TRIM(CLEAN(PROPER(D191)))</f>
        <v/>
      </c>
      <c r="Q191">
        <f>PROPER(TRIM(SUBSTITUTE(SUBSTITUTE(SUBSTITUTE(SUBSTITUTE(E191,"TRESEMME","Tresemme"),"HEAD &amp; SHOULDERS","Head &amp; Shoulders"),"ELVIVE","Elvive"),"FRUCTIS","Fructis")))</f>
        <v/>
      </c>
      <c r="R191">
        <f>COUNTIF($D$2:$D$10000,D191)&gt;1</f>
        <v/>
      </c>
      <c r="S191">
        <f>IF(H191=TRUE,"Disponible","No disponible")</f>
        <v/>
      </c>
      <c r="T191">
        <f>IF(AND(ISNUMBER(I191),I191&gt;0),ROUND(F191/I191,2),"Sin volumen")</f>
        <v/>
      </c>
      <c r="U191">
        <f>IF(F191&lt;5000,"Bajo",IF(F191&lt;15000,"Medio","Alto"))</f>
        <v/>
      </c>
    </row>
    <row r="192">
      <c r="A192" s="6" t="inlineStr">
        <is>
          <t>Farmacity</t>
        </is>
      </c>
      <c r="B192" s="6" t="n">
        <v>243706</v>
      </c>
      <c r="C192" s="6" t="n">
        <v>243706</v>
      </c>
      <c r="D192" s="6" t="inlineStr">
        <is>
          <t>Shampoo Head &amp; Shoulders Anti Resequedad x 180 ml</t>
        </is>
      </c>
      <c r="E192" s="6" t="inlineStr">
        <is>
          <t>Head and Shoulders</t>
        </is>
      </c>
      <c r="F192" s="6" t="n">
        <v>4701</v>
      </c>
      <c r="G192" s="6" t="n">
        <v>7233</v>
      </c>
      <c r="H192" s="6" t="b">
        <v>1</v>
      </c>
      <c r="I192" s="6" t="n">
        <v>180</v>
      </c>
      <c r="J192" s="6" t="n">
        <v>26.1167</v>
      </c>
      <c r="K192" s="6" t="inlineStr">
        <is>
          <t>&gt; Cuidado Capilar &gt; Shampoo Y Acondicionador &gt;</t>
        </is>
      </c>
      <c r="L192" s="6" t="inlineStr">
        <is>
          <t>shampoo</t>
        </is>
      </c>
      <c r="M192" s="6" t="inlineStr">
        <is>
          <t>estandar</t>
        </is>
      </c>
      <c r="N192" s="6" t="inlineStr">
        <is>
          <t>general</t>
        </is>
      </c>
      <c r="O192" s="6" t="inlineStr">
        <is>
          <t>https://www.farmacity.com/shampoo-head-shoulders-anti-resequedad-x-180-ml/p</t>
        </is>
      </c>
      <c r="P192" s="8">
        <f>TRIM(CLEAN(PROPER(D192)))</f>
        <v/>
      </c>
      <c r="Q192" s="8">
        <f>PROPER(TRIM(SUBSTITUTE(SUBSTITUTE(SUBSTITUTE(SUBSTITUTE(E192,"TRESEMME","Tresemme"),"HEAD &amp; SHOULDERS","Head &amp; Shoulders"),"ELVIVE","Elvive"),"FRUCTIS","Fructis")))</f>
        <v/>
      </c>
      <c r="R192" s="8">
        <f>COUNTIF($D$2:$D$10000,D192)&gt;1</f>
        <v/>
      </c>
      <c r="S192" s="8">
        <f>IF(H192=TRUE,"Disponible","No disponible")</f>
        <v/>
      </c>
      <c r="T192" s="8">
        <f>IF(AND(ISNUMBER(I192),I192&gt;0),ROUND(F192/I192,2),"Sin volumen")</f>
        <v/>
      </c>
      <c r="U192" s="8">
        <f>IF(F192&lt;5000,"Bajo",IF(F192&lt;15000,"Medio","Alto"))</f>
        <v/>
      </c>
    </row>
    <row r="193">
      <c r="A193" t="inlineStr">
        <is>
          <t>Farmacity</t>
        </is>
      </c>
      <c r="B193" t="n">
        <v>241570</v>
      </c>
      <c r="C193" t="n">
        <v>241570</v>
      </c>
      <c r="D193" t="inlineStr">
        <is>
          <t>Shampoo Bagóvit Capilar Plasma Vegetal x 350 ml</t>
        </is>
      </c>
      <c r="E193" t="inlineStr">
        <is>
          <t>Bagóvit</t>
        </is>
      </c>
      <c r="F193" t="n">
        <v>10470</v>
      </c>
      <c r="G193" t="n">
        <v>10470</v>
      </c>
      <c r="H193" t="b">
        <v>1</v>
      </c>
      <c r="I193" t="n">
        <v>350</v>
      </c>
      <c r="J193" t="n">
        <v>29.9143</v>
      </c>
      <c r="K193" t="inlineStr">
        <is>
          <t>&gt; Cuidado Capilar &gt; Shampoo Y Acondicionador &gt;</t>
        </is>
      </c>
      <c r="L193" t="inlineStr">
        <is>
          <t>shampoo</t>
        </is>
      </c>
      <c r="M193" t="inlineStr">
        <is>
          <t>estandar</t>
        </is>
      </c>
      <c r="N193" t="inlineStr">
        <is>
          <t>general</t>
        </is>
      </c>
      <c r="O193" t="inlineStr">
        <is>
          <t>https://www.farmacity.com/shampoo-bagovit-capilar-plasma-vegetal-x-350-ml/p</t>
        </is>
      </c>
      <c r="P193">
        <f>TRIM(CLEAN(PROPER(D193)))</f>
        <v/>
      </c>
      <c r="Q193">
        <f>PROPER(TRIM(SUBSTITUTE(SUBSTITUTE(SUBSTITUTE(SUBSTITUTE(E193,"TRESEMME","Tresemme"),"HEAD &amp; SHOULDERS","Head &amp; Shoulders"),"ELVIVE","Elvive"),"FRUCTIS","Fructis")))</f>
        <v/>
      </c>
      <c r="R193">
        <f>COUNTIF($D$2:$D$10000,D193)&gt;1</f>
        <v/>
      </c>
      <c r="S193">
        <f>IF(H193=TRUE,"Disponible","No disponible")</f>
        <v/>
      </c>
      <c r="T193">
        <f>IF(AND(ISNUMBER(I193),I193&gt;0),ROUND(F193/I193,2),"Sin volumen")</f>
        <v/>
      </c>
      <c r="U193">
        <f>IF(F193&lt;5000,"Bajo",IF(F193&lt;15000,"Medio","Alto"))</f>
        <v/>
      </c>
    </row>
    <row r="194">
      <c r="A194" s="6" t="inlineStr">
        <is>
          <t>Farmacity</t>
        </is>
      </c>
      <c r="B194" s="6" t="n">
        <v>241438</v>
      </c>
      <c r="C194" s="6" t="n">
        <v>241438</v>
      </c>
      <c r="D194" s="6" t="inlineStr">
        <is>
          <t>Shampoo Dercos Oil Control x 200 ml</t>
        </is>
      </c>
      <c r="E194" s="6" t="inlineStr">
        <is>
          <t>Vichy</t>
        </is>
      </c>
      <c r="F194" s="6" t="n">
        <v>53488</v>
      </c>
      <c r="G194" s="6" t="n">
        <v>53488</v>
      </c>
      <c r="H194" s="6" t="b">
        <v>1</v>
      </c>
      <c r="I194" s="6" t="n">
        <v>200</v>
      </c>
      <c r="J194" s="6" t="n">
        <v>267.44</v>
      </c>
      <c r="K194" s="6" t="inlineStr">
        <is>
          <t>&gt; Dermocosmética &gt; Pelo &gt; Shampoos y Acondicionadores &gt;</t>
        </is>
      </c>
      <c r="L194" s="6" t="inlineStr">
        <is>
          <t>shampoo</t>
        </is>
      </c>
      <c r="M194" s="6" t="inlineStr">
        <is>
          <t>estandar</t>
        </is>
      </c>
      <c r="N194" s="6" t="inlineStr">
        <is>
          <t>general</t>
        </is>
      </c>
      <c r="O194" s="6" t="inlineStr">
        <is>
          <t>https://www.farmacity.com/shampoo-dercos-oil-control-x-200-ml/p</t>
        </is>
      </c>
      <c r="P194" s="8">
        <f>TRIM(CLEAN(PROPER(D194)))</f>
        <v/>
      </c>
      <c r="Q194" s="8">
        <f>PROPER(TRIM(SUBSTITUTE(SUBSTITUTE(SUBSTITUTE(SUBSTITUTE(E194,"TRESEMME","Tresemme"),"HEAD &amp; SHOULDERS","Head &amp; Shoulders"),"ELVIVE","Elvive"),"FRUCTIS","Fructis")))</f>
        <v/>
      </c>
      <c r="R194" s="8">
        <f>COUNTIF($D$2:$D$10000,D194)&gt;1</f>
        <v/>
      </c>
      <c r="S194" s="8">
        <f>IF(H194=TRUE,"Disponible","No disponible")</f>
        <v/>
      </c>
      <c r="T194" s="8">
        <f>IF(AND(ISNUMBER(I194),I194&gt;0),ROUND(F194/I194,2),"Sin volumen")</f>
        <v/>
      </c>
      <c r="U194" s="8">
        <f>IF(F194&lt;5000,"Bajo",IF(F194&lt;15000,"Medio","Alto"))</f>
        <v/>
      </c>
    </row>
    <row r="195">
      <c r="A195" t="inlineStr">
        <is>
          <t>Farmacity</t>
        </is>
      </c>
      <c r="B195" t="n">
        <v>240911</v>
      </c>
      <c r="C195" t="n">
        <v>240911</v>
      </c>
      <c r="D195" t="inlineStr">
        <is>
          <t>Shampoo Humectación Baby Dove Enriquecida Sin Lágrimas x 200 ml</t>
        </is>
      </c>
      <c r="E195" t="inlineStr">
        <is>
          <t>Dove</t>
        </is>
      </c>
      <c r="F195" t="n">
        <v>7011</v>
      </c>
      <c r="G195" t="n">
        <v>7011</v>
      </c>
      <c r="H195" t="b">
        <v>1</v>
      </c>
      <c r="I195" t="n">
        <v>200</v>
      </c>
      <c r="J195" t="n">
        <v>35.055</v>
      </c>
      <c r="K195" t="inlineStr">
        <is>
          <t>&gt; Bebés &gt; Higiene del Bebé &gt; Baño Del Bebé &gt;</t>
        </is>
      </c>
      <c r="L195" t="inlineStr">
        <is>
          <t>shampoo</t>
        </is>
      </c>
      <c r="M195" t="inlineStr">
        <is>
          <t>estandar</t>
        </is>
      </c>
      <c r="N195" t="inlineStr">
        <is>
          <t>general</t>
        </is>
      </c>
      <c r="O195" t="inlineStr">
        <is>
          <t>https://www.farmacity.com/shampoo-dove-baby-humectacion-enriquecida-x-200-ml/p</t>
        </is>
      </c>
      <c r="P195">
        <f>TRIM(CLEAN(PROPER(D195)))</f>
        <v/>
      </c>
      <c r="Q195">
        <f>PROPER(TRIM(SUBSTITUTE(SUBSTITUTE(SUBSTITUTE(SUBSTITUTE(E195,"TRESEMME","Tresemme"),"HEAD &amp; SHOULDERS","Head &amp; Shoulders"),"ELVIVE","Elvive"),"FRUCTIS","Fructis")))</f>
        <v/>
      </c>
      <c r="R195">
        <f>COUNTIF($D$2:$D$10000,D195)&gt;1</f>
        <v/>
      </c>
      <c r="S195">
        <f>IF(H195=TRUE,"Disponible","No disponible")</f>
        <v/>
      </c>
      <c r="T195">
        <f>IF(AND(ISNUMBER(I195),I195&gt;0),ROUND(F195/I195,2),"Sin volumen")</f>
        <v/>
      </c>
      <c r="U195">
        <f>IF(F195&lt;5000,"Bajo",IF(F195&lt;15000,"Medio","Alto"))</f>
        <v/>
      </c>
    </row>
    <row r="196">
      <c r="A196" s="6" t="inlineStr">
        <is>
          <t>Farmacity</t>
        </is>
      </c>
      <c r="B196" s="6" t="n">
        <v>240013</v>
      </c>
      <c r="C196" s="6" t="n">
        <v>240013</v>
      </c>
      <c r="D196" s="6" t="inlineStr">
        <is>
          <t>Shampoo Elvive Glycolic Gloss x 750 ml</t>
        </is>
      </c>
      <c r="E196" s="6" t="inlineStr">
        <is>
          <t>Elvive</t>
        </is>
      </c>
      <c r="F196" s="6" t="n">
        <v>19990</v>
      </c>
      <c r="G196" s="6" t="n">
        <v>19990</v>
      </c>
      <c r="H196" s="6" t="b">
        <v>1</v>
      </c>
      <c r="I196" s="6" t="n">
        <v>750</v>
      </c>
      <c r="J196" s="6" t="n">
        <v>26.6533</v>
      </c>
      <c r="K196" s="6" t="inlineStr">
        <is>
          <t>&gt; Cuidado Capilar &gt; Shampoo Y Acondicionador &gt;</t>
        </is>
      </c>
      <c r="L196" s="6" t="inlineStr">
        <is>
          <t>shampoo</t>
        </is>
      </c>
      <c r="M196" s="6" t="inlineStr">
        <is>
          <t>profesional</t>
        </is>
      </c>
      <c r="N196" s="6" t="inlineStr">
        <is>
          <t>general</t>
        </is>
      </c>
      <c r="O196" s="6" t="inlineStr">
        <is>
          <t>https://www.farmacity.com/shampoo-elvive-glyco-gloss-x-750-ml/p</t>
        </is>
      </c>
      <c r="P196" s="8">
        <f>TRIM(CLEAN(PROPER(D196)))</f>
        <v/>
      </c>
      <c r="Q196" s="8">
        <f>PROPER(TRIM(SUBSTITUTE(SUBSTITUTE(SUBSTITUTE(SUBSTITUTE(E196,"TRESEMME","Tresemme"),"HEAD &amp; SHOULDERS","Head &amp; Shoulders"),"ELVIVE","Elvive"),"FRUCTIS","Fructis")))</f>
        <v/>
      </c>
      <c r="R196" s="8">
        <f>COUNTIF($D$2:$D$10000,D196)&gt;1</f>
        <v/>
      </c>
      <c r="S196" s="8">
        <f>IF(H196=TRUE,"Disponible","No disponible")</f>
        <v/>
      </c>
      <c r="T196" s="8">
        <f>IF(AND(ISNUMBER(I196),I196&gt;0),ROUND(F196/I196,2),"Sin volumen")</f>
        <v/>
      </c>
      <c r="U196" s="8">
        <f>IF(F196&lt;5000,"Bajo",IF(F196&lt;15000,"Medio","Alto"))</f>
        <v/>
      </c>
    </row>
    <row r="197">
      <c r="A197" t="inlineStr">
        <is>
          <t>Farmacity</t>
        </is>
      </c>
      <c r="B197" t="n">
        <v>238883</v>
      </c>
      <c r="C197" t="n">
        <v>238883</v>
      </c>
      <c r="D197" t="inlineStr">
        <is>
          <t>Shampoo Pantene Pro-V Miracles Liso Infinito x 200 ml</t>
        </is>
      </c>
      <c r="E197" t="inlineStr">
        <is>
          <t>Pantene</t>
        </is>
      </c>
      <c r="F197" t="n">
        <v>3807</v>
      </c>
      <c r="G197" t="n">
        <v>6345</v>
      </c>
      <c r="H197" t="b">
        <v>1</v>
      </c>
      <c r="I197" t="n">
        <v>200</v>
      </c>
      <c r="J197" t="n">
        <v>19.035</v>
      </c>
      <c r="K197" t="inlineStr">
        <is>
          <t>&gt; Cuidado Capilar &gt; Shampoo Y Acondicionador &gt;</t>
        </is>
      </c>
      <c r="L197" t="inlineStr">
        <is>
          <t>shampoo</t>
        </is>
      </c>
      <c r="M197" t="inlineStr">
        <is>
          <t>profesional</t>
        </is>
      </c>
      <c r="N197" t="inlineStr">
        <is>
          <t>general</t>
        </is>
      </c>
      <c r="O197" t="inlineStr">
        <is>
          <t>https://www.farmacity.com/shampoo-pantene-pro-v-miracles-liso-infinito-x-200-ml/p</t>
        </is>
      </c>
      <c r="P197">
        <f>TRIM(CLEAN(PROPER(D197)))</f>
        <v/>
      </c>
      <c r="Q197">
        <f>PROPER(TRIM(SUBSTITUTE(SUBSTITUTE(SUBSTITUTE(SUBSTITUTE(E197,"TRESEMME","Tresemme"),"HEAD &amp; SHOULDERS","Head &amp; Shoulders"),"ELVIVE","Elvive"),"FRUCTIS","Fructis")))</f>
        <v/>
      </c>
      <c r="R197">
        <f>COUNTIF($D$2:$D$10000,D197)&gt;1</f>
        <v/>
      </c>
      <c r="S197">
        <f>IF(H197=TRUE,"Disponible","No disponible")</f>
        <v/>
      </c>
      <c r="T197">
        <f>IF(AND(ISNUMBER(I197),I197&gt;0),ROUND(F197/I197,2),"Sin volumen")</f>
        <v/>
      </c>
      <c r="U197">
        <f>IF(F197&lt;5000,"Bajo",IF(F197&lt;15000,"Medio","Alto"))</f>
        <v/>
      </c>
    </row>
    <row r="198">
      <c r="A198" s="6" t="inlineStr">
        <is>
          <t>Farmacity</t>
        </is>
      </c>
      <c r="B198" s="6" t="n">
        <v>235977</v>
      </c>
      <c r="C198" s="6" t="n">
        <v>235977</v>
      </c>
      <c r="D198" s="6" t="inlineStr">
        <is>
          <t>Shampoo Elvive Reparación Total Extreme x 750 ml</t>
        </is>
      </c>
      <c r="E198" s="6" t="inlineStr">
        <is>
          <t>Elvive</t>
        </is>
      </c>
      <c r="F198" s="6" t="n">
        <v>17990</v>
      </c>
      <c r="G198" s="6" t="n">
        <v>17990</v>
      </c>
      <c r="H198" s="6" t="b">
        <v>1</v>
      </c>
      <c r="I198" s="6" t="n">
        <v>750</v>
      </c>
      <c r="J198" s="6" t="n">
        <v>23.9867</v>
      </c>
      <c r="K198" s="6" t="inlineStr">
        <is>
          <t>&gt; Cuidado Capilar &gt; Shampoo Y Acondicionador &gt;</t>
        </is>
      </c>
      <c r="L198" s="6" t="inlineStr">
        <is>
          <t>shampoo</t>
        </is>
      </c>
      <c r="M198" s="6" t="inlineStr">
        <is>
          <t>profesional</t>
        </is>
      </c>
      <c r="N198" s="6" t="inlineStr">
        <is>
          <t>general</t>
        </is>
      </c>
      <c r="O198" s="6" t="inlineStr">
        <is>
          <t>https://www.farmacity.com/shampoo-elvive-reparacion-total-extreme-x-750-ml/p</t>
        </is>
      </c>
      <c r="P198" s="8">
        <f>TRIM(CLEAN(PROPER(D198)))</f>
        <v/>
      </c>
      <c r="Q198" s="8">
        <f>PROPER(TRIM(SUBSTITUTE(SUBSTITUTE(SUBSTITUTE(SUBSTITUTE(E198,"TRESEMME","Tresemme"),"HEAD &amp; SHOULDERS","Head &amp; Shoulders"),"ELVIVE","Elvive"),"FRUCTIS","Fructis")))</f>
        <v/>
      </c>
      <c r="R198" s="8">
        <f>COUNTIF($D$2:$D$10000,D198)&gt;1</f>
        <v/>
      </c>
      <c r="S198" s="8">
        <f>IF(H198=TRUE,"Disponible","No disponible")</f>
        <v/>
      </c>
      <c r="T198" s="8">
        <f>IF(AND(ISNUMBER(I198),I198&gt;0),ROUND(F198/I198,2),"Sin volumen")</f>
        <v/>
      </c>
      <c r="U198" s="8">
        <f>IF(F198&lt;5000,"Bajo",IF(F198&lt;15000,"Medio","Alto"))</f>
        <v/>
      </c>
    </row>
    <row r="199">
      <c r="A199" t="inlineStr">
        <is>
          <t>Farmacity</t>
        </is>
      </c>
      <c r="B199" t="n">
        <v>225540</v>
      </c>
      <c r="C199" t="n">
        <v>225540</v>
      </c>
      <c r="D199" t="inlineStr">
        <is>
          <t>Shampoo Bagóvit Nutrición Profunda x 350 ml</t>
        </is>
      </c>
      <c r="E199" t="inlineStr">
        <is>
          <t>Bagóvit</t>
        </is>
      </c>
      <c r="F199" t="n">
        <v>9973</v>
      </c>
      <c r="G199" t="n">
        <v>9973</v>
      </c>
      <c r="H199" t="b">
        <v>1</v>
      </c>
      <c r="I199" t="n">
        <v>350</v>
      </c>
      <c r="J199" t="n">
        <v>28.4943</v>
      </c>
      <c r="K199" t="inlineStr">
        <is>
          <t>&gt; Cuidado Capilar &gt; Shampoo Y Acondicionador &gt;</t>
        </is>
      </c>
      <c r="L199" t="inlineStr">
        <is>
          <t>shampoo</t>
        </is>
      </c>
      <c r="M199" t="inlineStr">
        <is>
          <t>estandar</t>
        </is>
      </c>
      <c r="N199" t="inlineStr">
        <is>
          <t>general</t>
        </is>
      </c>
      <c r="O199" t="inlineStr">
        <is>
          <t>https://www.farmacity.com/shampoo-bagovit-nutricion-profunda-x-350-ml/p</t>
        </is>
      </c>
      <c r="P199">
        <f>TRIM(CLEAN(PROPER(D199)))</f>
        <v/>
      </c>
      <c r="Q199">
        <f>PROPER(TRIM(SUBSTITUTE(SUBSTITUTE(SUBSTITUTE(SUBSTITUTE(E199,"TRESEMME","Tresemme"),"HEAD &amp; SHOULDERS","Head &amp; Shoulders"),"ELVIVE","Elvive"),"FRUCTIS","Fructis")))</f>
        <v/>
      </c>
      <c r="R199">
        <f>COUNTIF($D$2:$D$10000,D199)&gt;1</f>
        <v/>
      </c>
      <c r="S199">
        <f>IF(H199=TRUE,"Disponible","No disponible")</f>
        <v/>
      </c>
      <c r="T199">
        <f>IF(AND(ISNUMBER(I199),I199&gt;0),ROUND(F199/I199,2),"Sin volumen")</f>
        <v/>
      </c>
      <c r="U199">
        <f>IF(F199&lt;5000,"Bajo",IF(F199&lt;15000,"Medio","Alto"))</f>
        <v/>
      </c>
    </row>
    <row r="200">
      <c r="A200" s="6" t="inlineStr">
        <is>
          <t>Farmacity</t>
        </is>
      </c>
      <c r="B200" s="6" t="n">
        <v>223838</v>
      </c>
      <c r="C200" s="6" t="n">
        <v>223838</v>
      </c>
      <c r="D200" s="6" t="inlineStr">
        <is>
          <t>Shampoo para Niños Johnson's Fragancia Prolongada x 400 ml</t>
        </is>
      </c>
      <c r="E200" s="6" t="inlineStr">
        <is>
          <t>Johnson's</t>
        </is>
      </c>
      <c r="F200" s="6" t="n">
        <v>7169</v>
      </c>
      <c r="G200" s="6" t="n">
        <v>10242</v>
      </c>
      <c r="H200" s="6" t="b">
        <v>1</v>
      </c>
      <c r="I200" s="6" t="n">
        <v>400</v>
      </c>
      <c r="J200" s="6" t="n">
        <v>17.9225</v>
      </c>
      <c r="K200" s="6" t="inlineStr">
        <is>
          <t>&gt; Bebés &gt; Higiene del Bebé &gt; Baño Del Bebé &gt;</t>
        </is>
      </c>
      <c r="L200" s="6" t="inlineStr">
        <is>
          <t>shampoo</t>
        </is>
      </c>
      <c r="M200" s="6" t="inlineStr">
        <is>
          <t>estandar</t>
        </is>
      </c>
      <c r="N200" s="6" t="inlineStr">
        <is>
          <t>bebe</t>
        </is>
      </c>
      <c r="O200" s="6" t="inlineStr">
        <is>
          <t>https://www.farmacity.com/shampoo-johnsons-niños-fragancia-prolongada-x-400-ml/p</t>
        </is>
      </c>
      <c r="P200" s="8">
        <f>TRIM(CLEAN(PROPER(D200)))</f>
        <v/>
      </c>
      <c r="Q200" s="8">
        <f>PROPER(TRIM(SUBSTITUTE(SUBSTITUTE(SUBSTITUTE(SUBSTITUTE(E200,"TRESEMME","Tresemme"),"HEAD &amp; SHOULDERS","Head &amp; Shoulders"),"ELVIVE","Elvive"),"FRUCTIS","Fructis")))</f>
        <v/>
      </c>
      <c r="R200" s="8">
        <f>COUNTIF($D$2:$D$10000,D200)&gt;1</f>
        <v/>
      </c>
      <c r="S200" s="8">
        <f>IF(H200=TRUE,"Disponible","No disponible")</f>
        <v/>
      </c>
      <c r="T200" s="8">
        <f>IF(AND(ISNUMBER(I200),I200&gt;0),ROUND(F200/I200,2),"Sin volumen")</f>
        <v/>
      </c>
      <c r="U200" s="8">
        <f>IF(F200&lt;5000,"Bajo",IF(F200&lt;15000,"Medio","Alto"))</f>
        <v/>
      </c>
    </row>
    <row r="201">
      <c r="A201" t="inlineStr">
        <is>
          <t>Farmacity</t>
        </is>
      </c>
      <c r="B201" t="n">
        <v>219374</v>
      </c>
      <c r="C201" t="n">
        <v>219374</v>
      </c>
      <c r="D201" t="inlineStr">
        <is>
          <t>Shampoo Desamarillador Alta Moda Intense Blond x 300 ml</t>
        </is>
      </c>
      <c r="E201" t="inlineStr">
        <is>
          <t>Alta Moda</t>
        </is>
      </c>
      <c r="F201" t="n">
        <v>9008</v>
      </c>
      <c r="G201" t="n">
        <v>9008</v>
      </c>
      <c r="H201" t="b">
        <v>1</v>
      </c>
      <c r="I201" t="n">
        <v>300</v>
      </c>
      <c r="J201" t="n">
        <v>30.0267</v>
      </c>
      <c r="K201" t="inlineStr">
        <is>
          <t>&gt; Cuidado Capilar &gt; Shampoo Y Acondicionador &gt;</t>
        </is>
      </c>
      <c r="L201" t="inlineStr">
        <is>
          <t>shampoo</t>
        </is>
      </c>
      <c r="M201" t="inlineStr">
        <is>
          <t>estandar</t>
        </is>
      </c>
      <c r="N201" t="inlineStr">
        <is>
          <t>general</t>
        </is>
      </c>
      <c r="O201" t="inlineStr">
        <is>
          <t>https://www.farmacity.com/shampoo-alta-moda-e-desamarillador-x-300-ml/p</t>
        </is>
      </c>
      <c r="P201">
        <f>TRIM(CLEAN(PROPER(D201)))</f>
        <v/>
      </c>
      <c r="Q201">
        <f>PROPER(TRIM(SUBSTITUTE(SUBSTITUTE(SUBSTITUTE(SUBSTITUTE(E201,"TRESEMME","Tresemme"),"HEAD &amp; SHOULDERS","Head &amp; Shoulders"),"ELVIVE","Elvive"),"FRUCTIS","Fructis")))</f>
        <v/>
      </c>
      <c r="R201">
        <f>COUNTIF($D$2:$D$10000,D201)&gt;1</f>
        <v/>
      </c>
      <c r="S201">
        <f>IF(H201=TRUE,"Disponible","No disponible")</f>
        <v/>
      </c>
      <c r="T201">
        <f>IF(AND(ISNUMBER(I201),I201&gt;0),ROUND(F201/I201,2),"Sin volumen")</f>
        <v/>
      </c>
      <c r="U201">
        <f>IF(F201&lt;5000,"Bajo",IF(F201&lt;15000,"Medio","Alto"))</f>
        <v/>
      </c>
    </row>
    <row r="202">
      <c r="A202" s="6" t="inlineStr">
        <is>
          <t>Farmacity</t>
        </is>
      </c>
      <c r="B202" s="6" t="n">
        <v>200787</v>
      </c>
      <c r="C202" s="6" t="n">
        <v>200787</v>
      </c>
      <c r="D202" s="6" t="inlineStr">
        <is>
          <t>Shampoo Fructis Liso Coco x 350 ml</t>
        </is>
      </c>
      <c r="E202" s="6" t="inlineStr">
        <is>
          <t>Fructis</t>
        </is>
      </c>
      <c r="F202" s="6" t="n">
        <v>7990</v>
      </c>
      <c r="G202" s="6" t="n">
        <v>7990</v>
      </c>
      <c r="H202" s="6" t="b">
        <v>1</v>
      </c>
      <c r="I202" s="6" t="n">
        <v>350</v>
      </c>
      <c r="J202" s="6" t="n">
        <v>22.8286</v>
      </c>
      <c r="K202" s="6" t="inlineStr">
        <is>
          <t>&gt; Cuidado Capilar &gt; Shampoo Y Acondicionador &gt;</t>
        </is>
      </c>
      <c r="L202" s="6" t="inlineStr">
        <is>
          <t>shampoo</t>
        </is>
      </c>
      <c r="M202" s="6" t="inlineStr">
        <is>
          <t>estandar</t>
        </is>
      </c>
      <c r="N202" s="6" t="inlineStr">
        <is>
          <t>general</t>
        </is>
      </c>
      <c r="O202" s="6" t="inlineStr">
        <is>
          <t>https://www.farmacity.com/shampoo-fructis-liso-coco-x-350-ml/p</t>
        </is>
      </c>
      <c r="P202" s="8">
        <f>TRIM(CLEAN(PROPER(D202)))</f>
        <v/>
      </c>
      <c r="Q202" s="8">
        <f>PROPER(TRIM(SUBSTITUTE(SUBSTITUTE(SUBSTITUTE(SUBSTITUTE(E202,"TRESEMME","Tresemme"),"HEAD &amp; SHOULDERS","Head &amp; Shoulders"),"ELVIVE","Elvive"),"FRUCTIS","Fructis")))</f>
        <v/>
      </c>
      <c r="R202" s="8">
        <f>COUNTIF($D$2:$D$10000,D202)&gt;1</f>
        <v/>
      </c>
      <c r="S202" s="8">
        <f>IF(H202=TRUE,"Disponible","No disponible")</f>
        <v/>
      </c>
      <c r="T202" s="8">
        <f>IF(AND(ISNUMBER(I202),I202&gt;0),ROUND(F202/I202,2),"Sin volumen")</f>
        <v/>
      </c>
      <c r="U202" s="8">
        <f>IF(F202&lt;5000,"Bajo",IF(F202&lt;15000,"Medio","Alto"))</f>
        <v/>
      </c>
    </row>
    <row r="203">
      <c r="A203" t="inlineStr">
        <is>
          <t>Farmacity</t>
        </is>
      </c>
      <c r="B203" t="n">
        <v>3866</v>
      </c>
      <c r="C203" t="n">
        <v>138759</v>
      </c>
      <c r="D203" t="inlineStr">
        <is>
          <t>Shampoo 2 en 1 Anticaspa Clear Limpieza Diaria x 200 ml</t>
        </is>
      </c>
      <c r="E203" t="inlineStr">
        <is>
          <t>Clear</t>
        </is>
      </c>
      <c r="F203" t="n">
        <v>6213</v>
      </c>
      <c r="G203" t="n">
        <v>6213</v>
      </c>
      <c r="H203" t="b">
        <v>1</v>
      </c>
      <c r="I203" t="n">
        <v>200</v>
      </c>
      <c r="J203" t="n">
        <v>31.065</v>
      </c>
      <c r="K203" t="inlineStr">
        <is>
          <t>&gt; Cuidado Capilar &gt; Shampoo Y Acondicionador &gt;</t>
        </is>
      </c>
      <c r="L203" t="inlineStr">
        <is>
          <t>shampoo</t>
        </is>
      </c>
      <c r="M203" t="inlineStr">
        <is>
          <t>estandar</t>
        </is>
      </c>
      <c r="N203" t="inlineStr">
        <is>
          <t>anticaspa</t>
        </is>
      </c>
      <c r="O203" t="inlineStr">
        <is>
          <t>https://www.farmacity.com/shampoo-clear-anticaspa-dual-effect-botella-x-200-ml/p</t>
        </is>
      </c>
      <c r="P203">
        <f>TRIM(CLEAN(PROPER(D203)))</f>
        <v/>
      </c>
      <c r="Q203">
        <f>PROPER(TRIM(SUBSTITUTE(SUBSTITUTE(SUBSTITUTE(SUBSTITUTE(E203,"TRESEMME","Tresemme"),"HEAD &amp; SHOULDERS","Head &amp; Shoulders"),"ELVIVE","Elvive"),"FRUCTIS","Fructis")))</f>
        <v/>
      </c>
      <c r="R203">
        <f>COUNTIF($D$2:$D$10000,D203)&gt;1</f>
        <v/>
      </c>
      <c r="S203">
        <f>IF(H203=TRUE,"Disponible","No disponible")</f>
        <v/>
      </c>
      <c r="T203">
        <f>IF(AND(ISNUMBER(I203),I203&gt;0),ROUND(F203/I203,2),"Sin volumen")</f>
        <v/>
      </c>
      <c r="U203">
        <f>IF(F203&lt;5000,"Bajo",IF(F203&lt;15000,"Medio","Alto"))</f>
        <v/>
      </c>
    </row>
    <row r="204">
      <c r="A204" s="6" t="inlineStr">
        <is>
          <t>Farmacity</t>
        </is>
      </c>
      <c r="B204" s="6" t="n">
        <v>1268</v>
      </c>
      <c r="C204" s="6" t="n">
        <v>17961</v>
      </c>
      <c r="D204" s="6" t="inlineStr">
        <is>
          <t>Shampoo Biferdil Equilibrio x 400 ml</t>
        </is>
      </c>
      <c r="E204" s="6" t="inlineStr">
        <is>
          <t>Biferdil</t>
        </is>
      </c>
      <c r="F204" s="6" t="n">
        <v>12852</v>
      </c>
      <c r="G204" s="6" t="n">
        <v>12852</v>
      </c>
      <c r="H204" s="6" t="b">
        <v>1</v>
      </c>
      <c r="I204" s="6" t="n">
        <v>400</v>
      </c>
      <c r="J204" s="6" t="n">
        <v>32.13</v>
      </c>
      <c r="K204" s="6" t="inlineStr">
        <is>
          <t>&gt; Cuidado Capilar &gt; Shampoo Y Acondicionador &gt;</t>
        </is>
      </c>
      <c r="L204" s="6" t="inlineStr">
        <is>
          <t>shampoo</t>
        </is>
      </c>
      <c r="M204" s="6" t="inlineStr">
        <is>
          <t>estandar</t>
        </is>
      </c>
      <c r="N204" s="6" t="inlineStr">
        <is>
          <t>general</t>
        </is>
      </c>
      <c r="O204" s="6" t="inlineStr">
        <is>
          <t>https://www.farmacity.com/shampoo-equilibrio-x-400-ml/p</t>
        </is>
      </c>
      <c r="P204" s="8">
        <f>TRIM(CLEAN(PROPER(D204)))</f>
        <v/>
      </c>
      <c r="Q204" s="8">
        <f>PROPER(TRIM(SUBSTITUTE(SUBSTITUTE(SUBSTITUTE(SUBSTITUTE(E204,"TRESEMME","Tresemme"),"HEAD &amp; SHOULDERS","Head &amp; Shoulders"),"ELVIVE","Elvive"),"FRUCTIS","Fructis")))</f>
        <v/>
      </c>
      <c r="R204" s="8">
        <f>COUNTIF($D$2:$D$10000,D204)&gt;1</f>
        <v/>
      </c>
      <c r="S204" s="8">
        <f>IF(H204=TRUE,"Disponible","No disponible")</f>
        <v/>
      </c>
      <c r="T204" s="8">
        <f>IF(AND(ISNUMBER(I204),I204&gt;0),ROUND(F204/I204,2),"Sin volumen")</f>
        <v/>
      </c>
      <c r="U204" s="8">
        <f>IF(F204&lt;5000,"Bajo",IF(F204&lt;15000,"Medio","Alto"))</f>
        <v/>
      </c>
    </row>
    <row r="205">
      <c r="A205" t="inlineStr">
        <is>
          <t>Farmacity</t>
        </is>
      </c>
      <c r="B205" t="n">
        <v>1243</v>
      </c>
      <c r="C205" t="n">
        <v>124705</v>
      </c>
      <c r="D205" t="inlineStr">
        <is>
          <t>Shampoo Capilatis Control Caída Engrosador x 410 ml</t>
        </is>
      </c>
      <c r="E205" t="inlineStr">
        <is>
          <t>Capilatis</t>
        </is>
      </c>
      <c r="F205" t="n">
        <v>9700</v>
      </c>
      <c r="G205" t="n">
        <v>9700</v>
      </c>
      <c r="H205" t="b">
        <v>1</v>
      </c>
      <c r="I205" t="n">
        <v>410</v>
      </c>
      <c r="J205" t="n">
        <v>23.6585</v>
      </c>
      <c r="K205" t="inlineStr">
        <is>
          <t>&gt; Cuidado Capilar &gt; Shampoo Y Acondicionador &gt;</t>
        </is>
      </c>
      <c r="L205" t="inlineStr">
        <is>
          <t>shampoo</t>
        </is>
      </c>
      <c r="M205" t="inlineStr">
        <is>
          <t>estandar</t>
        </is>
      </c>
      <c r="N205" t="inlineStr">
        <is>
          <t>general</t>
        </is>
      </c>
      <c r="O205" t="inlineStr">
        <is>
          <t>https://www.farmacity.com/shampoo-control-caida-engrosador-x-410-ml/p</t>
        </is>
      </c>
      <c r="P205">
        <f>TRIM(CLEAN(PROPER(D205)))</f>
        <v/>
      </c>
      <c r="Q205">
        <f>PROPER(TRIM(SUBSTITUTE(SUBSTITUTE(SUBSTITUTE(SUBSTITUTE(E205,"TRESEMME","Tresemme"),"HEAD &amp; SHOULDERS","Head &amp; Shoulders"),"ELVIVE","Elvive"),"FRUCTIS","Fructis")))</f>
        <v/>
      </c>
      <c r="R205">
        <f>COUNTIF($D$2:$D$10000,D205)&gt;1</f>
        <v/>
      </c>
      <c r="S205">
        <f>IF(H205=TRUE,"Disponible","No disponible")</f>
        <v/>
      </c>
      <c r="T205">
        <f>IF(AND(ISNUMBER(I205),I205&gt;0),ROUND(F205/I205,2),"Sin volumen")</f>
        <v/>
      </c>
      <c r="U205">
        <f>IF(F205&lt;5000,"Bajo",IF(F205&lt;15000,"Medio","Alto"))</f>
        <v/>
      </c>
    </row>
    <row r="206">
      <c r="A206" s="6" t="inlineStr">
        <is>
          <t>Farmacity</t>
        </is>
      </c>
      <c r="B206" s="6" t="n">
        <v>1189</v>
      </c>
      <c r="C206" s="6" t="n">
        <v>17970</v>
      </c>
      <c r="D206" s="6" t="inlineStr">
        <is>
          <t>Shampoo Biferdi Nutrición y Reparación x 400 ml</t>
        </is>
      </c>
      <c r="E206" s="6" t="inlineStr">
        <is>
          <t>Biferdil</t>
        </is>
      </c>
      <c r="F206" s="6" t="n">
        <v>12852</v>
      </c>
      <c r="G206" s="6" t="n">
        <v>12852</v>
      </c>
      <c r="H206" s="6" t="b">
        <v>1</v>
      </c>
      <c r="I206" s="6" t="n">
        <v>400</v>
      </c>
      <c r="J206" s="6" t="n">
        <v>32.13</v>
      </c>
      <c r="K206" s="6" t="inlineStr">
        <is>
          <t>&gt; Cuidado Capilar &gt; Shampoo Y Acondicionador &gt;</t>
        </is>
      </c>
      <c r="L206" s="6" t="inlineStr">
        <is>
          <t>shampoo</t>
        </is>
      </c>
      <c r="M206" s="6" t="inlineStr">
        <is>
          <t>estandar</t>
        </is>
      </c>
      <c r="N206" s="6" t="inlineStr">
        <is>
          <t>general</t>
        </is>
      </c>
      <c r="O206" s="6" t="inlineStr">
        <is>
          <t>https://www.farmacity.com/shampoo-nutricion-y-reparacion-x-400-ml/p</t>
        </is>
      </c>
      <c r="P206" s="8">
        <f>TRIM(CLEAN(PROPER(D206)))</f>
        <v/>
      </c>
      <c r="Q206" s="8">
        <f>PROPER(TRIM(SUBSTITUTE(SUBSTITUTE(SUBSTITUTE(SUBSTITUTE(E206,"TRESEMME","Tresemme"),"HEAD &amp; SHOULDERS","Head &amp; Shoulders"),"ELVIVE","Elvive"),"FRUCTIS","Fructis")))</f>
        <v/>
      </c>
      <c r="R206" s="8">
        <f>COUNTIF($D$2:$D$10000,D206)&gt;1</f>
        <v/>
      </c>
      <c r="S206" s="8">
        <f>IF(H206=TRUE,"Disponible","No disponible")</f>
        <v/>
      </c>
      <c r="T206" s="8">
        <f>IF(AND(ISNUMBER(I206),I206&gt;0),ROUND(F206/I206,2),"Sin volumen")</f>
        <v/>
      </c>
      <c r="U206" s="8">
        <f>IF(F206&lt;5000,"Bajo",IF(F206&lt;15000,"Medio","Alto"))</f>
        <v/>
      </c>
    </row>
    <row r="207">
      <c r="A207" t="inlineStr">
        <is>
          <t>Farmacity</t>
        </is>
      </c>
      <c r="B207" t="n">
        <v>1103</v>
      </c>
      <c r="C207" t="n">
        <v>23605</v>
      </c>
      <c r="D207" t="inlineStr">
        <is>
          <t>Shampoo Control Caída con Extracto Vegetal x 410 ml</t>
        </is>
      </c>
      <c r="E207" t="inlineStr">
        <is>
          <t>Capilatis</t>
        </is>
      </c>
      <c r="F207" t="n">
        <v>9700</v>
      </c>
      <c r="G207" t="n">
        <v>9700</v>
      </c>
      <c r="H207" t="b">
        <v>1</v>
      </c>
      <c r="I207" t="n">
        <v>410</v>
      </c>
      <c r="J207" t="n">
        <v>23.6585</v>
      </c>
      <c r="K207" t="inlineStr">
        <is>
          <t>&gt; Cuidado Capilar &gt; Shampoo Y Acondicionador &gt;</t>
        </is>
      </c>
      <c r="L207" t="inlineStr">
        <is>
          <t>shampoo</t>
        </is>
      </c>
      <c r="M207" t="inlineStr">
        <is>
          <t>estandar</t>
        </is>
      </c>
      <c r="N207" t="inlineStr">
        <is>
          <t>general</t>
        </is>
      </c>
      <c r="O207" t="inlineStr">
        <is>
          <t>https://www.farmacity.com/shampoo-control-caida-con-ortiga-y-extracto-vegetal-x-410-ml/p</t>
        </is>
      </c>
      <c r="P207">
        <f>TRIM(CLEAN(PROPER(D207)))</f>
        <v/>
      </c>
      <c r="Q207">
        <f>PROPER(TRIM(SUBSTITUTE(SUBSTITUTE(SUBSTITUTE(SUBSTITUTE(E207,"TRESEMME","Tresemme"),"HEAD &amp; SHOULDERS","Head &amp; Shoulders"),"ELVIVE","Elvive"),"FRUCTIS","Fructis")))</f>
        <v/>
      </c>
      <c r="R207">
        <f>COUNTIF($D$2:$D$10000,D207)&gt;1</f>
        <v/>
      </c>
      <c r="S207">
        <f>IF(H207=TRUE,"Disponible","No disponible")</f>
        <v/>
      </c>
      <c r="T207">
        <f>IF(AND(ISNUMBER(I207),I207&gt;0),ROUND(F207/I207,2),"Sin volumen")</f>
        <v/>
      </c>
      <c r="U207">
        <f>IF(F207&lt;5000,"Bajo",IF(F207&lt;15000,"Medio","Alto"))</f>
        <v/>
      </c>
    </row>
    <row r="208">
      <c r="A208" s="6" t="inlineStr">
        <is>
          <t>Farmacity</t>
        </is>
      </c>
      <c r="B208" s="6" t="n">
        <v>248333</v>
      </c>
      <c r="C208" s="6" t="n">
        <v>248333</v>
      </c>
      <c r="D208" s="6" t="inlineStr">
        <is>
          <t>Shampoo Ice Professional Refresh My Scalp x 250 ml</t>
        </is>
      </c>
      <c r="E208" s="6" t="inlineStr">
        <is>
          <t>Ice</t>
        </is>
      </c>
      <c r="F208" s="6" t="n">
        <v>17500</v>
      </c>
      <c r="G208" s="6" t="n">
        <v>25000</v>
      </c>
      <c r="H208" s="6" t="b">
        <v>1</v>
      </c>
      <c r="I208" s="6" t="n">
        <v>250</v>
      </c>
      <c r="J208" s="6" t="n">
        <v>70</v>
      </c>
      <c r="K208" s="6" t="inlineStr">
        <is>
          <t>&gt; Cuidado Capilar &gt; Shampoo Y Acondicionador &gt;</t>
        </is>
      </c>
      <c r="L208" s="6" t="inlineStr">
        <is>
          <t>shampoo</t>
        </is>
      </c>
      <c r="M208" s="6" t="inlineStr">
        <is>
          <t>profesional</t>
        </is>
      </c>
      <c r="N208" s="6" t="inlineStr">
        <is>
          <t>general</t>
        </is>
      </c>
      <c r="O208" s="6" t="inlineStr">
        <is>
          <t>https://www.farmacity.com/shampoo-ice-professional-refresh-my-scalp-x-250-ml/p</t>
        </is>
      </c>
      <c r="P208" s="8">
        <f>TRIM(CLEAN(PROPER(D208)))</f>
        <v/>
      </c>
      <c r="Q208" s="8">
        <f>PROPER(TRIM(SUBSTITUTE(SUBSTITUTE(SUBSTITUTE(SUBSTITUTE(E208,"TRESEMME","Tresemme"),"HEAD &amp; SHOULDERS","Head &amp; Shoulders"),"ELVIVE","Elvive"),"FRUCTIS","Fructis")))</f>
        <v/>
      </c>
      <c r="R208" s="8">
        <f>COUNTIF($D$2:$D$10000,D208)&gt;1</f>
        <v/>
      </c>
      <c r="S208" s="8">
        <f>IF(H208=TRUE,"Disponible","No disponible")</f>
        <v/>
      </c>
      <c r="T208" s="8">
        <f>IF(AND(ISNUMBER(I208),I208&gt;0),ROUND(F208/I208,2),"Sin volumen")</f>
        <v/>
      </c>
      <c r="U208" s="8">
        <f>IF(F208&lt;5000,"Bajo",IF(F208&lt;15000,"Medio","Alto"))</f>
        <v/>
      </c>
    </row>
    <row r="209">
      <c r="A209" t="inlineStr">
        <is>
          <t>Farmacity</t>
        </is>
      </c>
      <c r="B209" t="n">
        <v>248330</v>
      </c>
      <c r="C209" t="n">
        <v>248330</v>
      </c>
      <c r="D209" t="inlineStr">
        <is>
          <t>Shampoo Ice Professional Keep My Blonde x 250 ml</t>
        </is>
      </c>
      <c r="E209" t="inlineStr">
        <is>
          <t>Ice</t>
        </is>
      </c>
      <c r="F209" t="n">
        <v>17500</v>
      </c>
      <c r="G209" t="n">
        <v>25000</v>
      </c>
      <c r="H209" t="b">
        <v>1</v>
      </c>
      <c r="I209" t="n">
        <v>250</v>
      </c>
      <c r="J209" t="n">
        <v>70</v>
      </c>
      <c r="K209" t="inlineStr">
        <is>
          <t>&gt; Cuidado Capilar &gt; Shampoo Y Acondicionador &gt;</t>
        </is>
      </c>
      <c r="L209" t="inlineStr">
        <is>
          <t>shampoo</t>
        </is>
      </c>
      <c r="M209" t="inlineStr">
        <is>
          <t>profesional</t>
        </is>
      </c>
      <c r="N209" t="inlineStr">
        <is>
          <t>general</t>
        </is>
      </c>
      <c r="O209" t="inlineStr">
        <is>
          <t>https://www.farmacity.com/shampoo-ice-professional-keep-my-blonde-x-250-ml/p</t>
        </is>
      </c>
      <c r="P209">
        <f>TRIM(CLEAN(PROPER(D209)))</f>
        <v/>
      </c>
      <c r="Q209">
        <f>PROPER(TRIM(SUBSTITUTE(SUBSTITUTE(SUBSTITUTE(SUBSTITUTE(E209,"TRESEMME","Tresemme"),"HEAD &amp; SHOULDERS","Head &amp; Shoulders"),"ELVIVE","Elvive"),"FRUCTIS","Fructis")))</f>
        <v/>
      </c>
      <c r="R209">
        <f>COUNTIF($D$2:$D$10000,D209)&gt;1</f>
        <v/>
      </c>
      <c r="S209">
        <f>IF(H209=TRUE,"Disponible","No disponible")</f>
        <v/>
      </c>
      <c r="T209">
        <f>IF(AND(ISNUMBER(I209),I209&gt;0),ROUND(F209/I209,2),"Sin volumen")</f>
        <v/>
      </c>
      <c r="U209">
        <f>IF(F209&lt;5000,"Bajo",IF(F209&lt;15000,"Medio","Alto"))</f>
        <v/>
      </c>
    </row>
    <row r="210">
      <c r="A210" s="6" t="inlineStr">
        <is>
          <t>Farmacity</t>
        </is>
      </c>
      <c r="B210" s="6" t="n">
        <v>246986</v>
      </c>
      <c r="C210" s="6" t="n">
        <v>246986</v>
      </c>
      <c r="D210" s="6" t="inlineStr">
        <is>
          <t>Shampoo Johnson's Kids Fragancia Prolongada Repuesto x 180 ml</t>
        </is>
      </c>
      <c r="E210" s="6" t="inlineStr">
        <is>
          <t>Johnson's</t>
        </is>
      </c>
      <c r="F210" s="6" t="n">
        <v>3208</v>
      </c>
      <c r="G210" s="6" t="n">
        <v>4583</v>
      </c>
      <c r="H210" s="6" t="b">
        <v>1</v>
      </c>
      <c r="I210" s="6" t="n">
        <v>180</v>
      </c>
      <c r="J210" s="6" t="n">
        <v>17.8222</v>
      </c>
      <c r="K210" s="6" t="inlineStr">
        <is>
          <t>&gt; Bebés &gt; Higiene del Bebé &gt; Baño Del Bebé &gt;</t>
        </is>
      </c>
      <c r="L210" s="6" t="inlineStr">
        <is>
          <t>shampoo</t>
        </is>
      </c>
      <c r="M210" s="6" t="inlineStr">
        <is>
          <t>estandar</t>
        </is>
      </c>
      <c r="N210" s="6" t="inlineStr">
        <is>
          <t>bebe</t>
        </is>
      </c>
      <c r="O210" s="6" t="inlineStr">
        <is>
          <t>https://www.farmacity.com/shampoo-johnson-kids-frag-prolongada-repuesto-x-180-ml/p</t>
        </is>
      </c>
      <c r="P210" s="8">
        <f>TRIM(CLEAN(PROPER(D210)))</f>
        <v/>
      </c>
      <c r="Q210" s="8">
        <f>PROPER(TRIM(SUBSTITUTE(SUBSTITUTE(SUBSTITUTE(SUBSTITUTE(E210,"TRESEMME","Tresemme"),"HEAD &amp; SHOULDERS","Head &amp; Shoulders"),"ELVIVE","Elvive"),"FRUCTIS","Fructis")))</f>
        <v/>
      </c>
      <c r="R210" s="8">
        <f>COUNTIF($D$2:$D$10000,D210)&gt;1</f>
        <v/>
      </c>
      <c r="S210" s="8">
        <f>IF(H210=TRUE,"Disponible","No disponible")</f>
        <v/>
      </c>
      <c r="T210" s="8">
        <f>IF(AND(ISNUMBER(I210),I210&gt;0),ROUND(F210/I210,2),"Sin volumen")</f>
        <v/>
      </c>
      <c r="U210" s="8">
        <f>IF(F210&lt;5000,"Bajo",IF(F210&lt;15000,"Medio","Alto"))</f>
        <v/>
      </c>
    </row>
    <row r="211">
      <c r="A211" t="inlineStr">
        <is>
          <t>Farmacity</t>
        </is>
      </c>
      <c r="B211" t="n">
        <v>246985</v>
      </c>
      <c r="C211" t="n">
        <v>246985</v>
      </c>
      <c r="D211" t="inlineStr">
        <is>
          <t>Shampoo Johnson's Baby Original Repuesto x 180 ml</t>
        </is>
      </c>
      <c r="E211" t="inlineStr">
        <is>
          <t>Johnson's</t>
        </is>
      </c>
      <c r="F211" t="n">
        <v>3636</v>
      </c>
      <c r="G211" t="n">
        <v>5195</v>
      </c>
      <c r="H211" t="b">
        <v>1</v>
      </c>
      <c r="I211" t="n">
        <v>180</v>
      </c>
      <c r="J211" t="n">
        <v>20.2</v>
      </c>
      <c r="K211" t="inlineStr">
        <is>
          <t>&gt; Bebés &gt; Higiene del Bebé &gt; Baño Del Bebé &gt;</t>
        </is>
      </c>
      <c r="L211" t="inlineStr">
        <is>
          <t>shampoo</t>
        </is>
      </c>
      <c r="M211" t="inlineStr">
        <is>
          <t>estandar</t>
        </is>
      </c>
      <c r="N211" t="inlineStr">
        <is>
          <t>general</t>
        </is>
      </c>
      <c r="O211" t="inlineStr">
        <is>
          <t>https://www.farmacity.com/shampoo-johnson-baby-original-repuesto-x-180-ml/p</t>
        </is>
      </c>
      <c r="P211">
        <f>TRIM(CLEAN(PROPER(D211)))</f>
        <v/>
      </c>
      <c r="Q211">
        <f>PROPER(TRIM(SUBSTITUTE(SUBSTITUTE(SUBSTITUTE(SUBSTITUTE(E211,"TRESEMME","Tresemme"),"HEAD &amp; SHOULDERS","Head &amp; Shoulders"),"ELVIVE","Elvive"),"FRUCTIS","Fructis")))</f>
        <v/>
      </c>
      <c r="R211">
        <f>COUNTIF($D$2:$D$10000,D211)&gt;1</f>
        <v/>
      </c>
      <c r="S211">
        <f>IF(H211=TRUE,"Disponible","No disponible")</f>
        <v/>
      </c>
      <c r="T211">
        <f>IF(AND(ISNUMBER(I211),I211&gt;0),ROUND(F211/I211,2),"Sin volumen")</f>
        <v/>
      </c>
      <c r="U211">
        <f>IF(F211&lt;5000,"Bajo",IF(F211&lt;15000,"Medio","Alto"))</f>
        <v/>
      </c>
    </row>
    <row r="212">
      <c r="A212" s="6" t="inlineStr">
        <is>
          <t>Farmacity</t>
        </is>
      </c>
      <c r="B212" s="6" t="n">
        <v>243568</v>
      </c>
      <c r="C212" s="6" t="n">
        <v>243568</v>
      </c>
      <c r="D212" s="6" t="inlineStr">
        <is>
          <t>Shampoo Sedal Luminous UV x 340 ml</t>
        </is>
      </c>
      <c r="E212" s="6" t="inlineStr">
        <is>
          <t>Sedal</t>
        </is>
      </c>
      <c r="F212" s="6" t="n">
        <v>5837</v>
      </c>
      <c r="G212" s="6" t="n">
        <v>5837</v>
      </c>
      <c r="H212" s="6" t="b">
        <v>1</v>
      </c>
      <c r="I212" s="6" t="n">
        <v>340</v>
      </c>
      <c r="J212" s="6" t="n">
        <v>17.1676</v>
      </c>
      <c r="K212" s="6" t="inlineStr">
        <is>
          <t>&gt; Cuidado Capilar &gt; Shampoo Y Acondicionador &gt;</t>
        </is>
      </c>
      <c r="L212" s="6" t="inlineStr">
        <is>
          <t>shampoo</t>
        </is>
      </c>
      <c r="M212" s="6" t="inlineStr">
        <is>
          <t>estandar</t>
        </is>
      </c>
      <c r="N212" s="6" t="inlineStr">
        <is>
          <t>general</t>
        </is>
      </c>
      <c r="O212" s="6" t="inlineStr">
        <is>
          <t>https://www.farmacity.com/shampoo-sedal-luminous-uv-x-340-ml/p</t>
        </is>
      </c>
      <c r="P212" s="8">
        <f>TRIM(CLEAN(PROPER(D212)))</f>
        <v/>
      </c>
      <c r="Q212" s="8">
        <f>PROPER(TRIM(SUBSTITUTE(SUBSTITUTE(SUBSTITUTE(SUBSTITUTE(E212,"TRESEMME","Tresemme"),"HEAD &amp; SHOULDERS","Head &amp; Shoulders"),"ELVIVE","Elvive"),"FRUCTIS","Fructis")))</f>
        <v/>
      </c>
      <c r="R212" s="8">
        <f>COUNTIF($D$2:$D$10000,D212)&gt;1</f>
        <v/>
      </c>
      <c r="S212" s="8">
        <f>IF(H212=TRUE,"Disponible","No disponible")</f>
        <v/>
      </c>
      <c r="T212" s="8">
        <f>IF(AND(ISNUMBER(I212),I212&gt;0),ROUND(F212/I212,2),"Sin volumen")</f>
        <v/>
      </c>
      <c r="U212" s="8">
        <f>IF(F212&lt;5000,"Bajo",IF(F212&lt;15000,"Medio","Alto"))</f>
        <v/>
      </c>
    </row>
    <row r="213">
      <c r="A213" t="inlineStr">
        <is>
          <t>Farmacity</t>
        </is>
      </c>
      <c r="B213" t="n">
        <v>208737</v>
      </c>
      <c r="C213" t="n">
        <v>208737</v>
      </c>
      <c r="D213" t="inlineStr">
        <is>
          <t>Shampoo en Sachet Biferdil Anti Amarillo x 20 ml</t>
        </is>
      </c>
      <c r="E213" t="inlineStr">
        <is>
          <t>Biferdil</t>
        </is>
      </c>
      <c r="F213" t="n">
        <v>1900</v>
      </c>
      <c r="G213" t="n">
        <v>1900</v>
      </c>
      <c r="H213" t="b">
        <v>1</v>
      </c>
      <c r="I213" t="n">
        <v>20</v>
      </c>
      <c r="J213" t="n">
        <v>95</v>
      </c>
      <c r="K213" t="inlineStr">
        <is>
          <t>&gt; Cuidado Capilar &gt; Shampoo Y Acondicionador &gt;</t>
        </is>
      </c>
      <c r="L213" t="inlineStr">
        <is>
          <t>shampoo</t>
        </is>
      </c>
      <c r="M213" t="inlineStr">
        <is>
          <t>estandar</t>
        </is>
      </c>
      <c r="N213" t="inlineStr">
        <is>
          <t>general</t>
        </is>
      </c>
      <c r="O213" t="inlineStr">
        <is>
          <t>https://www.farmacity.com/shampoo-en-sachet-biferdil-anti-amarillo-x-20-ml/p</t>
        </is>
      </c>
      <c r="P213">
        <f>TRIM(CLEAN(PROPER(D213)))</f>
        <v/>
      </c>
      <c r="Q213">
        <f>PROPER(TRIM(SUBSTITUTE(SUBSTITUTE(SUBSTITUTE(SUBSTITUTE(E213,"TRESEMME","Tresemme"),"HEAD &amp; SHOULDERS","Head &amp; Shoulders"),"ELVIVE","Elvive"),"FRUCTIS","Fructis")))</f>
        <v/>
      </c>
      <c r="R213">
        <f>COUNTIF($D$2:$D$10000,D213)&gt;1</f>
        <v/>
      </c>
      <c r="S213">
        <f>IF(H213=TRUE,"Disponible","No disponible")</f>
        <v/>
      </c>
      <c r="T213">
        <f>IF(AND(ISNUMBER(I213),I213&gt;0),ROUND(F213/I213,2),"Sin volumen")</f>
        <v/>
      </c>
      <c r="U213">
        <f>IF(F213&lt;5000,"Bajo",IF(F213&lt;15000,"Medio","Alto"))</f>
        <v/>
      </c>
    </row>
    <row r="214">
      <c r="A214" s="6" t="inlineStr">
        <is>
          <t>Farmacity</t>
        </is>
      </c>
      <c r="B214" s="6" t="n">
        <v>200786</v>
      </c>
      <c r="C214" s="6" t="n">
        <v>200786</v>
      </c>
      <c r="D214" s="6" t="inlineStr">
        <is>
          <t>Shampoo Garnier Fructis Oil Repair Liso Coco x 200 ml</t>
        </is>
      </c>
      <c r="E214" s="6" t="inlineStr">
        <is>
          <t>Fructis</t>
        </is>
      </c>
      <c r="F214" s="6" t="n">
        <v>5490</v>
      </c>
      <c r="G214" s="6" t="n">
        <v>5490</v>
      </c>
      <c r="H214" s="6" t="b">
        <v>1</v>
      </c>
      <c r="I214" s="6" t="n">
        <v>200</v>
      </c>
      <c r="J214" s="6" t="n">
        <v>27.45</v>
      </c>
      <c r="K214" s="6" t="inlineStr">
        <is>
          <t>&gt; Cuidado Capilar &gt; Shampoo Y Acondicionador &gt;</t>
        </is>
      </c>
      <c r="L214" s="6" t="inlineStr">
        <is>
          <t>shampoo</t>
        </is>
      </c>
      <c r="M214" s="6" t="inlineStr">
        <is>
          <t>profesional</t>
        </is>
      </c>
      <c r="N214" s="6" t="inlineStr">
        <is>
          <t>general</t>
        </is>
      </c>
      <c r="O214" s="6" t="inlineStr">
        <is>
          <t>https://www.farmacity.com/shampoo-fructis-liso-coco-x-200-ml/p</t>
        </is>
      </c>
      <c r="P214" s="8">
        <f>TRIM(CLEAN(PROPER(D214)))</f>
        <v/>
      </c>
      <c r="Q214" s="8">
        <f>PROPER(TRIM(SUBSTITUTE(SUBSTITUTE(SUBSTITUTE(SUBSTITUTE(E214,"TRESEMME","Tresemme"),"HEAD &amp; SHOULDERS","Head &amp; Shoulders"),"ELVIVE","Elvive"),"FRUCTIS","Fructis")))</f>
        <v/>
      </c>
      <c r="R214" s="8">
        <f>COUNTIF($D$2:$D$10000,D214)&gt;1</f>
        <v/>
      </c>
      <c r="S214" s="8">
        <f>IF(H214=TRUE,"Disponible","No disponible")</f>
        <v/>
      </c>
      <c r="T214" s="8">
        <f>IF(AND(ISNUMBER(I214),I214&gt;0),ROUND(F214/I214,2),"Sin volumen")</f>
        <v/>
      </c>
      <c r="U214" s="8">
        <f>IF(F214&lt;5000,"Bajo",IF(F214&lt;15000,"Medio","Alto"))</f>
        <v/>
      </c>
    </row>
    <row r="215">
      <c r="A215" t="inlineStr">
        <is>
          <t>Farmacity</t>
        </is>
      </c>
      <c r="B215" t="n">
        <v>16487</v>
      </c>
      <c r="C215" t="n">
        <v>162826</v>
      </c>
      <c r="D215" t="inlineStr">
        <is>
          <t>Shampoo Dove Humectación + Coco y Antioxi x 200 ml</t>
        </is>
      </c>
      <c r="E215" t="inlineStr">
        <is>
          <t>Dove</t>
        </is>
      </c>
      <c r="F215" t="n">
        <v>5788</v>
      </c>
      <c r="G215" t="n">
        <v>5788</v>
      </c>
      <c r="H215" t="b">
        <v>1</v>
      </c>
      <c r="I215" t="n">
        <v>200</v>
      </c>
      <c r="J215" t="n">
        <v>28.94</v>
      </c>
      <c r="K215" t="inlineStr">
        <is>
          <t>&gt; Cuidado Capilar &gt; Shampoo Y Acondicionador &gt;</t>
        </is>
      </c>
      <c r="L215" t="inlineStr">
        <is>
          <t>shampoo</t>
        </is>
      </c>
      <c r="M215" t="inlineStr">
        <is>
          <t>estandar</t>
        </is>
      </c>
      <c r="N215" t="inlineStr">
        <is>
          <t>general</t>
        </is>
      </c>
      <c r="O215" t="inlineStr">
        <is>
          <t>https://www.farmacity.com/sha-dove-ritual-de-reparacion-x-200ml/p</t>
        </is>
      </c>
      <c r="P215">
        <f>TRIM(CLEAN(PROPER(D215)))</f>
        <v/>
      </c>
      <c r="Q215">
        <f>PROPER(TRIM(SUBSTITUTE(SUBSTITUTE(SUBSTITUTE(SUBSTITUTE(E215,"TRESEMME","Tresemme"),"HEAD &amp; SHOULDERS","Head &amp; Shoulders"),"ELVIVE","Elvive"),"FRUCTIS","Fructis")))</f>
        <v/>
      </c>
      <c r="R215">
        <f>COUNTIF($D$2:$D$10000,D215)&gt;1</f>
        <v/>
      </c>
      <c r="S215">
        <f>IF(H215=TRUE,"Disponible","No disponible")</f>
        <v/>
      </c>
      <c r="T215">
        <f>IF(AND(ISNUMBER(I215),I215&gt;0),ROUND(F215/I215,2),"Sin volumen")</f>
        <v/>
      </c>
      <c r="U215">
        <f>IF(F215&lt;5000,"Bajo",IF(F215&lt;15000,"Medio","Alto"))</f>
        <v/>
      </c>
    </row>
    <row r="216">
      <c r="A216" s="6" t="inlineStr">
        <is>
          <t>Farmacity</t>
        </is>
      </c>
      <c r="B216" s="6" t="n">
        <v>230004</v>
      </c>
      <c r="C216" s="6" t="n">
        <v>230004</v>
      </c>
      <c r="D216" s="6" t="inlineStr">
        <is>
          <t>Shampoo Biferdil Reflejante Plata x 295 ml</t>
        </is>
      </c>
      <c r="E216" s="6" t="inlineStr">
        <is>
          <t>Biferdil</t>
        </is>
      </c>
      <c r="F216" s="6" t="n">
        <v>17496</v>
      </c>
      <c r="G216" s="6" t="n">
        <v>17496</v>
      </c>
      <c r="H216" s="6" t="b">
        <v>1</v>
      </c>
      <c r="I216" s="6" t="n">
        <v>295</v>
      </c>
      <c r="J216" s="6" t="n">
        <v>59.3085</v>
      </c>
      <c r="K216" s="6" t="inlineStr">
        <is>
          <t>&gt; Cuidado Capilar &gt; Shampoo Y Acondicionador &gt;</t>
        </is>
      </c>
      <c r="L216" s="6" t="inlineStr">
        <is>
          <t>shampoo</t>
        </is>
      </c>
      <c r="M216" s="6" t="inlineStr">
        <is>
          <t>estandar</t>
        </is>
      </c>
      <c r="N216" s="6" t="inlineStr">
        <is>
          <t>general</t>
        </is>
      </c>
      <c r="O216" s="6" t="inlineStr">
        <is>
          <t>https://www.farmacity.com/shampoo-biferdil-reflejante-plata-x-295-ml/p</t>
        </is>
      </c>
      <c r="P216" s="8">
        <f>TRIM(CLEAN(PROPER(D216)))</f>
        <v/>
      </c>
      <c r="Q216" s="8">
        <f>PROPER(TRIM(SUBSTITUTE(SUBSTITUTE(SUBSTITUTE(SUBSTITUTE(E216,"TRESEMME","Tresemme"),"HEAD &amp; SHOULDERS","Head &amp; Shoulders"),"ELVIVE","Elvive"),"FRUCTIS","Fructis")))</f>
        <v/>
      </c>
      <c r="R216" s="8">
        <f>COUNTIF($D$2:$D$10000,D216)&gt;1</f>
        <v/>
      </c>
      <c r="S216" s="8">
        <f>IF(H216=TRUE,"Disponible","No disponible")</f>
        <v/>
      </c>
      <c r="T216" s="8">
        <f>IF(AND(ISNUMBER(I216),I216&gt;0),ROUND(F216/I216,2),"Sin volumen")</f>
        <v/>
      </c>
      <c r="U216" s="8">
        <f>IF(F216&lt;5000,"Bajo",IF(F216&lt;15000,"Medio","Alto"))</f>
        <v/>
      </c>
    </row>
    <row r="217">
      <c r="A217" t="inlineStr">
        <is>
          <t>Farmacity</t>
        </is>
      </c>
      <c r="B217" t="n">
        <v>229984</v>
      </c>
      <c r="C217" t="n">
        <v>229984</v>
      </c>
      <c r="D217" t="inlineStr">
        <is>
          <t>Shampoo Tío Nacho Herbolaria Milenaria x 200 ml</t>
        </is>
      </c>
      <c r="E217" t="inlineStr">
        <is>
          <t>Tío Nacho</t>
        </is>
      </c>
      <c r="F217" t="n">
        <v>8250</v>
      </c>
      <c r="G217" t="n">
        <v>8250</v>
      </c>
      <c r="H217" t="b">
        <v>1</v>
      </c>
      <c r="I217" t="n">
        <v>200</v>
      </c>
      <c r="J217" t="n">
        <v>41.25</v>
      </c>
      <c r="K217" t="inlineStr">
        <is>
          <t>&gt; Cuidado Capilar &gt; Shampoo Y Acondicionador &gt;</t>
        </is>
      </c>
      <c r="L217" t="inlineStr">
        <is>
          <t>shampoo</t>
        </is>
      </c>
      <c r="M217" t="inlineStr">
        <is>
          <t>estandar</t>
        </is>
      </c>
      <c r="N217" t="inlineStr">
        <is>
          <t>general</t>
        </is>
      </c>
      <c r="O217" t="inlineStr">
        <is>
          <t>https://www.farmacity.com/shampoo-tio-nacho-herbolaria-milenaria-x-200-ml/p</t>
        </is>
      </c>
      <c r="P217">
        <f>TRIM(CLEAN(PROPER(D217)))</f>
        <v/>
      </c>
      <c r="Q217">
        <f>PROPER(TRIM(SUBSTITUTE(SUBSTITUTE(SUBSTITUTE(SUBSTITUTE(E217,"TRESEMME","Tresemme"),"HEAD &amp; SHOULDERS","Head &amp; Shoulders"),"ELVIVE","Elvive"),"FRUCTIS","Fructis")))</f>
        <v/>
      </c>
      <c r="R217">
        <f>COUNTIF($D$2:$D$10000,D217)&gt;1</f>
        <v/>
      </c>
      <c r="S217">
        <f>IF(H217=TRUE,"Disponible","No disponible")</f>
        <v/>
      </c>
      <c r="T217">
        <f>IF(AND(ISNUMBER(I217),I217&gt;0),ROUND(F217/I217,2),"Sin volumen")</f>
        <v/>
      </c>
      <c r="U217">
        <f>IF(F217&lt;5000,"Bajo",IF(F217&lt;15000,"Medio","Alto"))</f>
        <v/>
      </c>
    </row>
    <row r="218">
      <c r="A218" s="6" t="inlineStr">
        <is>
          <t>Farmacity</t>
        </is>
      </c>
      <c r="B218" s="6" t="n">
        <v>143575</v>
      </c>
      <c r="C218" s="6" t="n">
        <v>143575</v>
      </c>
      <c r="D218" s="6" t="inlineStr">
        <is>
          <t>Shampoo Revitalizante Biferdil Extracto de Oliva x 300 ml</t>
        </is>
      </c>
      <c r="E218" s="6" t="inlineStr">
        <is>
          <t>Biferdil</t>
        </is>
      </c>
      <c r="F218" s="6" t="n">
        <v>13176</v>
      </c>
      <c r="G218" s="6" t="n">
        <v>13176</v>
      </c>
      <c r="H218" s="6" t="b">
        <v>1</v>
      </c>
      <c r="I218" s="6" t="n">
        <v>300</v>
      </c>
      <c r="J218" s="6" t="n">
        <v>43.92</v>
      </c>
      <c r="K218" s="6" t="inlineStr">
        <is>
          <t>&gt; Cuidado Capilar &gt; Shampoo Y Acondicionador &gt;</t>
        </is>
      </c>
      <c r="L218" s="6" t="inlineStr">
        <is>
          <t>shampoo</t>
        </is>
      </c>
      <c r="M218" s="6" t="inlineStr">
        <is>
          <t>estandar</t>
        </is>
      </c>
      <c r="N218" s="6" t="inlineStr">
        <is>
          <t>general</t>
        </is>
      </c>
      <c r="O218" s="6" t="inlineStr">
        <is>
          <t>https://www.farmacity.com/shampoo-revitalizante-biferdil-con-extracto-de-oliva-x-300-ml/p</t>
        </is>
      </c>
      <c r="P218" s="8">
        <f>TRIM(CLEAN(PROPER(D218)))</f>
        <v/>
      </c>
      <c r="Q218" s="8">
        <f>PROPER(TRIM(SUBSTITUTE(SUBSTITUTE(SUBSTITUTE(SUBSTITUTE(E218,"TRESEMME","Tresemme"),"HEAD &amp; SHOULDERS","Head &amp; Shoulders"),"ELVIVE","Elvive"),"FRUCTIS","Fructis")))</f>
        <v/>
      </c>
      <c r="R218" s="8">
        <f>COUNTIF($D$2:$D$10000,D218)&gt;1</f>
        <v/>
      </c>
      <c r="S218" s="8">
        <f>IF(H218=TRUE,"Disponible","No disponible")</f>
        <v/>
      </c>
      <c r="T218" s="8">
        <f>IF(AND(ISNUMBER(I218),I218&gt;0),ROUND(F218/I218,2),"Sin volumen")</f>
        <v/>
      </c>
      <c r="U218" s="8">
        <f>IF(F218&lt;5000,"Bajo",IF(F218&lt;15000,"Medio","Alto"))</f>
        <v/>
      </c>
    </row>
    <row r="219">
      <c r="A219" t="inlineStr">
        <is>
          <t>Farmacity</t>
        </is>
      </c>
      <c r="B219" t="n">
        <v>8851</v>
      </c>
      <c r="C219" t="n">
        <v>156282</v>
      </c>
      <c r="D219" t="inlineStr">
        <is>
          <t>Shampoo Sedal Crema Balance Toque Seda x 190 ml</t>
        </is>
      </c>
      <c r="E219" t="inlineStr">
        <is>
          <t>Sedal</t>
        </is>
      </c>
      <c r="F219" t="n">
        <v>3907</v>
      </c>
      <c r="G219" t="n">
        <v>3907</v>
      </c>
      <c r="H219" t="b">
        <v>1</v>
      </c>
      <c r="I219" t="n">
        <v>190</v>
      </c>
      <c r="J219" t="n">
        <v>20.5632</v>
      </c>
      <c r="K219" t="inlineStr">
        <is>
          <t>&gt; Cuidado Capilar &gt; Shampoo Y Acondicionador &gt;</t>
        </is>
      </c>
      <c r="L219" t="inlineStr">
        <is>
          <t>shampoo</t>
        </is>
      </c>
      <c r="M219" t="inlineStr">
        <is>
          <t>estandar</t>
        </is>
      </c>
      <c r="N219" t="inlineStr">
        <is>
          <t>general</t>
        </is>
      </c>
      <c r="O219" t="inlineStr">
        <is>
          <t>https://www.farmacity.com/shampoo-crema-balance-x-190-ml/p</t>
        </is>
      </c>
      <c r="P219">
        <f>TRIM(CLEAN(PROPER(D219)))</f>
        <v/>
      </c>
      <c r="Q219">
        <f>PROPER(TRIM(SUBSTITUTE(SUBSTITUTE(SUBSTITUTE(SUBSTITUTE(E219,"TRESEMME","Tresemme"),"HEAD &amp; SHOULDERS","Head &amp; Shoulders"),"ELVIVE","Elvive"),"FRUCTIS","Fructis")))</f>
        <v/>
      </c>
      <c r="R219">
        <f>COUNTIF($D$2:$D$10000,D219)&gt;1</f>
        <v/>
      </c>
      <c r="S219">
        <f>IF(H219=TRUE,"Disponible","No disponible")</f>
        <v/>
      </c>
      <c r="T219">
        <f>IF(AND(ISNUMBER(I219),I219&gt;0),ROUND(F219/I219,2),"Sin volumen")</f>
        <v/>
      </c>
      <c r="U219">
        <f>IF(F219&lt;5000,"Bajo",IF(F219&lt;15000,"Medio","Alto"))</f>
        <v/>
      </c>
    </row>
    <row r="220">
      <c r="A220" s="6" t="inlineStr">
        <is>
          <t>Farmacity</t>
        </is>
      </c>
      <c r="B220" s="6" t="n">
        <v>3922</v>
      </c>
      <c r="C220" s="6" t="n">
        <v>137316</v>
      </c>
      <c r="D220" s="6" t="inlineStr">
        <is>
          <t>Shampoo Nutrición Profunda x 350 ml</t>
        </is>
      </c>
      <c r="E220" s="6" t="inlineStr">
        <is>
          <t>Capilatis</t>
        </is>
      </c>
      <c r="F220" s="6" t="n">
        <v>9900</v>
      </c>
      <c r="G220" s="6" t="n">
        <v>9900</v>
      </c>
      <c r="H220" s="6" t="b">
        <v>1</v>
      </c>
      <c r="I220" s="6" t="n">
        <v>350</v>
      </c>
      <c r="J220" s="6" t="n">
        <v>28.2857</v>
      </c>
      <c r="K220" s="6" t="inlineStr">
        <is>
          <t>&gt; Cuidado Capilar &gt; Shampoo Y Acondicionador &gt;</t>
        </is>
      </c>
      <c r="L220" s="6" t="inlineStr">
        <is>
          <t>shampoo</t>
        </is>
      </c>
      <c r="M220" s="6" t="inlineStr">
        <is>
          <t>estandar</t>
        </is>
      </c>
      <c r="N220" s="6" t="inlineStr">
        <is>
          <t>general</t>
        </is>
      </c>
      <c r="O220" s="6" t="inlineStr">
        <is>
          <t>https://www.farmacity.com/shampoo-nutricion-profunda-x-350-ml/p</t>
        </is>
      </c>
      <c r="P220" s="8">
        <f>TRIM(CLEAN(PROPER(D220)))</f>
        <v/>
      </c>
      <c r="Q220" s="8">
        <f>PROPER(TRIM(SUBSTITUTE(SUBSTITUTE(SUBSTITUTE(SUBSTITUTE(E220,"TRESEMME","Tresemme"),"HEAD &amp; SHOULDERS","Head &amp; Shoulders"),"ELVIVE","Elvive"),"FRUCTIS","Fructis")))</f>
        <v/>
      </c>
      <c r="R220" s="8">
        <f>COUNTIF($D$2:$D$10000,D220)&gt;1</f>
        <v/>
      </c>
      <c r="S220" s="8">
        <f>IF(H220=TRUE,"Disponible","No disponible")</f>
        <v/>
      </c>
      <c r="T220" s="8">
        <f>IF(AND(ISNUMBER(I220),I220&gt;0),ROUND(F220/I220,2),"Sin volumen")</f>
        <v/>
      </c>
      <c r="U220" s="8">
        <f>IF(F220&lt;5000,"Bajo",IF(F220&lt;15000,"Medio","Alto"))</f>
        <v/>
      </c>
    </row>
    <row r="221">
      <c r="A221" t="inlineStr">
        <is>
          <t>Farmacity</t>
        </is>
      </c>
      <c r="B221" t="n">
        <v>250350</v>
      </c>
      <c r="C221" t="n">
        <v>250350</v>
      </c>
      <c r="D221" t="inlineStr">
        <is>
          <t>Shampoo Elvive Collagen Lifter x 400 ml</t>
        </is>
      </c>
      <c r="E221" t="inlineStr">
        <is>
          <t>Elvive</t>
        </is>
      </c>
      <c r="F221" t="n">
        <v>12490</v>
      </c>
      <c r="G221" t="n">
        <v>12490</v>
      </c>
      <c r="H221" t="b">
        <v>1</v>
      </c>
      <c r="I221" t="n">
        <v>400</v>
      </c>
      <c r="J221" t="n">
        <v>31.225</v>
      </c>
      <c r="K221" t="inlineStr">
        <is>
          <t>&gt; Cuidado Capilar &gt; Shampoo Y Acondicionador &gt;</t>
        </is>
      </c>
      <c r="L221" t="inlineStr">
        <is>
          <t>shampoo</t>
        </is>
      </c>
      <c r="M221" t="inlineStr">
        <is>
          <t>profesional</t>
        </is>
      </c>
      <c r="N221" t="inlineStr">
        <is>
          <t>general</t>
        </is>
      </c>
      <c r="O221" t="inlineStr">
        <is>
          <t>https://www.farmacity.com/shampoo-elvive-colageno-lifter-x-400-ml/p</t>
        </is>
      </c>
      <c r="P221">
        <f>TRIM(CLEAN(PROPER(D221)))</f>
        <v/>
      </c>
      <c r="Q221">
        <f>PROPER(TRIM(SUBSTITUTE(SUBSTITUTE(SUBSTITUTE(SUBSTITUTE(E221,"TRESEMME","Tresemme"),"HEAD &amp; SHOULDERS","Head &amp; Shoulders"),"ELVIVE","Elvive"),"FRUCTIS","Fructis")))</f>
        <v/>
      </c>
      <c r="R221">
        <f>COUNTIF($D$2:$D$10000,D221)&gt;1</f>
        <v/>
      </c>
      <c r="S221">
        <f>IF(H221=TRUE,"Disponible","No disponible")</f>
        <v/>
      </c>
      <c r="T221">
        <f>IF(AND(ISNUMBER(I221),I221&gt;0),ROUND(F221/I221,2),"Sin volumen")</f>
        <v/>
      </c>
      <c r="U221">
        <f>IF(F221&lt;5000,"Bajo",IF(F221&lt;15000,"Medio","Alto"))</f>
        <v/>
      </c>
    </row>
    <row r="222">
      <c r="A222" s="6" t="inlineStr">
        <is>
          <t>Farmacity</t>
        </is>
      </c>
      <c r="B222" s="6" t="n">
        <v>250312</v>
      </c>
      <c r="C222" s="6" t="n">
        <v>250312</v>
      </c>
      <c r="D222" s="6" t="inlineStr">
        <is>
          <t>Shampoo Kerasys Oriental Premium x 200 ml</t>
        </is>
      </c>
      <c r="E222" s="6" t="inlineStr">
        <is>
          <t>Kerasys</t>
        </is>
      </c>
      <c r="F222" s="6" t="n">
        <v>34900</v>
      </c>
      <c r="G222" s="6" t="n">
        <v>34900</v>
      </c>
      <c r="H222" s="6" t="b">
        <v>1</v>
      </c>
      <c r="I222" s="6" t="n">
        <v>200</v>
      </c>
      <c r="J222" s="6" t="n">
        <v>174.5</v>
      </c>
      <c r="K222" s="6" t="inlineStr">
        <is>
          <t>&gt; Cuidado Capilar &gt; Shampoo Y Acondicionador &gt;</t>
        </is>
      </c>
      <c r="L222" s="6" t="inlineStr">
        <is>
          <t>shampoo</t>
        </is>
      </c>
      <c r="M222" s="6" t="inlineStr">
        <is>
          <t>estandar</t>
        </is>
      </c>
      <c r="N222" s="6" t="inlineStr">
        <is>
          <t>general</t>
        </is>
      </c>
      <c r="O222" s="6" t="inlineStr">
        <is>
          <t>https://www.farmacity.com/shampoo-kerasys-oriental-premium-x-200-ml/p</t>
        </is>
      </c>
      <c r="P222" s="8">
        <f>TRIM(CLEAN(PROPER(D222)))</f>
        <v/>
      </c>
      <c r="Q222" s="8">
        <f>PROPER(TRIM(SUBSTITUTE(SUBSTITUTE(SUBSTITUTE(SUBSTITUTE(E222,"TRESEMME","Tresemme"),"HEAD &amp; SHOULDERS","Head &amp; Shoulders"),"ELVIVE","Elvive"),"FRUCTIS","Fructis")))</f>
        <v/>
      </c>
      <c r="R222" s="8">
        <f>COUNTIF($D$2:$D$10000,D222)&gt;1</f>
        <v/>
      </c>
      <c r="S222" s="8">
        <f>IF(H222=TRUE,"Disponible","No disponible")</f>
        <v/>
      </c>
      <c r="T222" s="8">
        <f>IF(AND(ISNUMBER(I222),I222&gt;0),ROUND(F222/I222,2),"Sin volumen")</f>
        <v/>
      </c>
      <c r="U222" s="8">
        <f>IF(F222&lt;5000,"Bajo",IF(F222&lt;15000,"Medio","Alto"))</f>
        <v/>
      </c>
    </row>
    <row r="223">
      <c r="A223" t="inlineStr">
        <is>
          <t>Farmacity</t>
        </is>
      </c>
      <c r="B223" t="n">
        <v>250307</v>
      </c>
      <c r="C223" t="n">
        <v>250307</v>
      </c>
      <c r="D223" t="inlineStr">
        <is>
          <t>Shampoo Kerasys Propolis Energy Plus x 180 ml</t>
        </is>
      </c>
      <c r="E223" t="inlineStr">
        <is>
          <t>Kerasys</t>
        </is>
      </c>
      <c r="F223" t="n">
        <v>37700</v>
      </c>
      <c r="G223" t="n">
        <v>37700</v>
      </c>
      <c r="H223" t="b">
        <v>1</v>
      </c>
      <c r="I223" t="n">
        <v>180</v>
      </c>
      <c r="J223" t="n">
        <v>209.4444</v>
      </c>
      <c r="K223" t="inlineStr">
        <is>
          <t>&gt; Cuidado Capilar &gt; Shampoo Y Acondicionador &gt;</t>
        </is>
      </c>
      <c r="L223" t="inlineStr">
        <is>
          <t>shampoo</t>
        </is>
      </c>
      <c r="M223" t="inlineStr">
        <is>
          <t>estandar</t>
        </is>
      </c>
      <c r="N223" t="inlineStr">
        <is>
          <t>general</t>
        </is>
      </c>
      <c r="O223" t="inlineStr">
        <is>
          <t>https://www.farmacity.com/shampoo-kerasys-propolis-energy-plus-x-180-ml/p</t>
        </is>
      </c>
      <c r="P223">
        <f>TRIM(CLEAN(PROPER(D223)))</f>
        <v/>
      </c>
      <c r="Q223">
        <f>PROPER(TRIM(SUBSTITUTE(SUBSTITUTE(SUBSTITUTE(SUBSTITUTE(E223,"TRESEMME","Tresemme"),"HEAD &amp; SHOULDERS","Head &amp; Shoulders"),"ELVIVE","Elvive"),"FRUCTIS","Fructis")))</f>
        <v/>
      </c>
      <c r="R223">
        <f>COUNTIF($D$2:$D$10000,D223)&gt;1</f>
        <v/>
      </c>
      <c r="S223">
        <f>IF(H223=TRUE,"Disponible","No disponible")</f>
        <v/>
      </c>
      <c r="T223">
        <f>IF(AND(ISNUMBER(I223),I223&gt;0),ROUND(F223/I223,2),"Sin volumen")</f>
        <v/>
      </c>
      <c r="U223">
        <f>IF(F223&lt;5000,"Bajo",IF(F223&lt;15000,"Medio","Alto"))</f>
        <v/>
      </c>
    </row>
    <row r="224">
      <c r="A224" s="6" t="inlineStr">
        <is>
          <t>Farmacity</t>
        </is>
      </c>
      <c r="B224" s="6" t="n">
        <v>250185</v>
      </c>
      <c r="C224" s="6" t="n">
        <v>250185</v>
      </c>
      <c r="D224" s="6" t="inlineStr">
        <is>
          <t>Shampoo La Puissance Keratine x 300 ml</t>
        </is>
      </c>
      <c r="E224" s="6" t="inlineStr">
        <is>
          <t>La Puissance</t>
        </is>
      </c>
      <c r="F224" s="6" t="n">
        <v>16600</v>
      </c>
      <c r="G224" s="6" t="n">
        <v>16600</v>
      </c>
      <c r="H224" s="6" t="b">
        <v>1</v>
      </c>
      <c r="I224" s="6" t="n">
        <v>300</v>
      </c>
      <c r="J224" s="6" t="n">
        <v>55.3333</v>
      </c>
      <c r="K224" s="6" t="inlineStr">
        <is>
          <t>&gt; Cuidado Capilar &gt; Shampoo Y Acondicionador &gt;</t>
        </is>
      </c>
      <c r="L224" s="6" t="inlineStr">
        <is>
          <t>shampoo</t>
        </is>
      </c>
      <c r="M224" s="6" t="inlineStr">
        <is>
          <t>estandar</t>
        </is>
      </c>
      <c r="N224" s="6" t="inlineStr">
        <is>
          <t>general</t>
        </is>
      </c>
      <c r="O224" s="6" t="inlineStr">
        <is>
          <t>https://www.farmacity.com/shampoo-la-puissance-keratine-x-300-ml/p</t>
        </is>
      </c>
      <c r="P224" s="8">
        <f>TRIM(CLEAN(PROPER(D224)))</f>
        <v/>
      </c>
      <c r="Q224" s="8">
        <f>PROPER(TRIM(SUBSTITUTE(SUBSTITUTE(SUBSTITUTE(SUBSTITUTE(E224,"TRESEMME","Tresemme"),"HEAD &amp; SHOULDERS","Head &amp; Shoulders"),"ELVIVE","Elvive"),"FRUCTIS","Fructis")))</f>
        <v/>
      </c>
      <c r="R224" s="8">
        <f>COUNTIF($D$2:$D$10000,D224)&gt;1</f>
        <v/>
      </c>
      <c r="S224" s="8">
        <f>IF(H224=TRUE,"Disponible","No disponible")</f>
        <v/>
      </c>
      <c r="T224" s="8">
        <f>IF(AND(ISNUMBER(I224),I224&gt;0),ROUND(F224/I224,2),"Sin volumen")</f>
        <v/>
      </c>
      <c r="U224" s="8">
        <f>IF(F224&lt;5000,"Bajo",IF(F224&lt;15000,"Medio","Alto"))</f>
        <v/>
      </c>
    </row>
    <row r="225">
      <c r="A225" t="inlineStr">
        <is>
          <t>Farmacity</t>
        </is>
      </c>
      <c r="B225" t="n">
        <v>250130</v>
      </c>
      <c r="C225" t="n">
        <v>250130</v>
      </c>
      <c r="D225" t="inlineStr">
        <is>
          <t>Shampoo Dove Reconstrucción + Aminoácido x 650 ml</t>
        </is>
      </c>
      <c r="E225" t="inlineStr">
        <is>
          <t>Dove</t>
        </is>
      </c>
      <c r="F225" t="n">
        <v>16218</v>
      </c>
      <c r="G225" t="n">
        <v>16218</v>
      </c>
      <c r="H225" t="b">
        <v>1</v>
      </c>
      <c r="I225" t="n">
        <v>650</v>
      </c>
      <c r="J225" t="n">
        <v>24.9508</v>
      </c>
      <c r="K225" t="inlineStr">
        <is>
          <t>&gt; Cuidado Capilar &gt; Shampoo Y Acondicionador &gt;</t>
        </is>
      </c>
      <c r="L225" t="inlineStr">
        <is>
          <t>shampoo</t>
        </is>
      </c>
      <c r="M225" t="inlineStr">
        <is>
          <t>estandar</t>
        </is>
      </c>
      <c r="N225" t="inlineStr">
        <is>
          <t>general</t>
        </is>
      </c>
      <c r="O225" t="inlineStr">
        <is>
          <t>https://www.farmacity.com/shampoo-dove-reconstruccion-aminoacido-x-650-ml/p</t>
        </is>
      </c>
      <c r="P225">
        <f>TRIM(CLEAN(PROPER(D225)))</f>
        <v/>
      </c>
      <c r="Q225">
        <f>PROPER(TRIM(SUBSTITUTE(SUBSTITUTE(SUBSTITUTE(SUBSTITUTE(E225,"TRESEMME","Tresemme"),"HEAD &amp; SHOULDERS","Head &amp; Shoulders"),"ELVIVE","Elvive"),"FRUCTIS","Fructis")))</f>
        <v/>
      </c>
      <c r="R225">
        <f>COUNTIF($D$2:$D$10000,D225)&gt;1</f>
        <v/>
      </c>
      <c r="S225">
        <f>IF(H225=TRUE,"Disponible","No disponible")</f>
        <v/>
      </c>
      <c r="T225">
        <f>IF(AND(ISNUMBER(I225),I225&gt;0),ROUND(F225/I225,2),"Sin volumen")</f>
        <v/>
      </c>
      <c r="U225">
        <f>IF(F225&lt;5000,"Bajo",IF(F225&lt;15000,"Medio","Alto"))</f>
        <v/>
      </c>
    </row>
    <row r="226">
      <c r="A226" s="6" t="inlineStr">
        <is>
          <t>Farmacity</t>
        </is>
      </c>
      <c r="B226" s="6" t="n">
        <v>41110</v>
      </c>
      <c r="C226" s="6" t="n">
        <v>41110</v>
      </c>
      <c r="D226" s="6" t="inlineStr">
        <is>
          <t>Galenic Shampoo x 100 g</t>
        </is>
      </c>
      <c r="E226" s="6" t="inlineStr">
        <is>
          <t>Neo Dermos</t>
        </is>
      </c>
      <c r="F226" s="6" t="n">
        <v>18655</v>
      </c>
      <c r="G226" s="6" t="n">
        <v>18655</v>
      </c>
      <c r="H226" s="6" t="b">
        <v>1</v>
      </c>
      <c r="I226" s="6" t="n">
        <v>100</v>
      </c>
      <c r="J226" s="6" t="n">
        <v>186.55</v>
      </c>
      <c r="K226" s="6" t="inlineStr">
        <is>
          <t>&gt; Venta Bajo Receta &gt; Dermatológico &gt;</t>
        </is>
      </c>
      <c r="L226" s="6" t="inlineStr">
        <is>
          <t>shampoo</t>
        </is>
      </c>
      <c r="M226" s="6" t="inlineStr">
        <is>
          <t>estandar</t>
        </is>
      </c>
      <c r="N226" s="6" t="inlineStr">
        <is>
          <t>general</t>
        </is>
      </c>
      <c r="O226" s="6" t="inlineStr">
        <is>
          <t>https://www.farmacity.com/galenic-shampoo-x-100-g/p</t>
        </is>
      </c>
      <c r="P226" s="8">
        <f>TRIM(CLEAN(PROPER(D226)))</f>
        <v/>
      </c>
      <c r="Q226" s="8">
        <f>PROPER(TRIM(SUBSTITUTE(SUBSTITUTE(SUBSTITUTE(SUBSTITUTE(E226,"TRESEMME","Tresemme"),"HEAD &amp; SHOULDERS","Head &amp; Shoulders"),"ELVIVE","Elvive"),"FRUCTIS","Fructis")))</f>
        <v/>
      </c>
      <c r="R226" s="8">
        <f>COUNTIF($D$2:$D$10000,D226)&gt;1</f>
        <v/>
      </c>
      <c r="S226" s="8">
        <f>IF(H226=TRUE,"Disponible","No disponible")</f>
        <v/>
      </c>
      <c r="T226" s="8">
        <f>IF(AND(ISNUMBER(I226),I226&gt;0),ROUND(F226/I226,2),"Sin volumen")</f>
        <v/>
      </c>
      <c r="U226" s="8">
        <f>IF(F226&lt;5000,"Bajo",IF(F226&lt;15000,"Medio","Alto"))</f>
        <v/>
      </c>
    </row>
    <row r="227">
      <c r="A227" t="inlineStr">
        <is>
          <t>Farmacity</t>
        </is>
      </c>
      <c r="B227" t="n">
        <v>142198</v>
      </c>
      <c r="C227" t="n">
        <v>142198</v>
      </c>
      <c r="D227" t="inlineStr">
        <is>
          <t>Oilsor Shampoo x  100 ml</t>
        </is>
      </c>
      <c r="E227" t="inlineStr">
        <is>
          <t>Tuteur</t>
        </is>
      </c>
      <c r="F227" t="n">
        <v>20150</v>
      </c>
      <c r="G227" t="n">
        <v>20150</v>
      </c>
      <c r="H227" t="b">
        <v>1</v>
      </c>
      <c r="I227" t="n">
        <v>100</v>
      </c>
      <c r="J227" t="n">
        <v>201.5</v>
      </c>
      <c r="K227" t="inlineStr">
        <is>
          <t>&gt; Venta Bajo Receta &gt; Dermatológico &gt;</t>
        </is>
      </c>
      <c r="L227" t="inlineStr">
        <is>
          <t>shampoo</t>
        </is>
      </c>
      <c r="M227" t="inlineStr">
        <is>
          <t>estandar</t>
        </is>
      </c>
      <c r="N227" t="inlineStr">
        <is>
          <t>general</t>
        </is>
      </c>
      <c r="O227" t="inlineStr">
        <is>
          <t>https://www.farmacity.com/oilsor-shamp--x-100-ml/p</t>
        </is>
      </c>
      <c r="P227">
        <f>TRIM(CLEAN(PROPER(D227)))</f>
        <v/>
      </c>
      <c r="Q227">
        <f>PROPER(TRIM(SUBSTITUTE(SUBSTITUTE(SUBSTITUTE(SUBSTITUTE(E227,"TRESEMME","Tresemme"),"HEAD &amp; SHOULDERS","Head &amp; Shoulders"),"ELVIVE","Elvive"),"FRUCTIS","Fructis")))</f>
        <v/>
      </c>
      <c r="R227">
        <f>COUNTIF($D$2:$D$10000,D227)&gt;1</f>
        <v/>
      </c>
      <c r="S227">
        <f>IF(H227=TRUE,"Disponible","No disponible")</f>
        <v/>
      </c>
      <c r="T227">
        <f>IF(AND(ISNUMBER(I227),I227&gt;0),ROUND(F227/I227,2),"Sin volumen")</f>
        <v/>
      </c>
      <c r="U227">
        <f>IF(F227&lt;5000,"Bajo",IF(F227&lt;15000,"Medio","Alto"))</f>
        <v/>
      </c>
    </row>
    <row r="228">
      <c r="A228" s="6" t="inlineStr">
        <is>
          <t>Farmacity</t>
        </is>
      </c>
      <c r="B228" s="6" t="n">
        <v>123813</v>
      </c>
      <c r="C228" s="6" t="n">
        <v>123813</v>
      </c>
      <c r="D228" s="6" t="inlineStr">
        <is>
          <t>Salac Clobetasol Shampoo x 140 ml</t>
        </is>
      </c>
      <c r="E228" s="6" t="inlineStr">
        <is>
          <t>Andromaco</t>
        </is>
      </c>
      <c r="F228" s="6" t="n">
        <v>54571</v>
      </c>
      <c r="G228" s="6" t="n">
        <v>54571</v>
      </c>
      <c r="H228" s="6" t="b">
        <v>1</v>
      </c>
      <c r="I228" s="6" t="n">
        <v>140</v>
      </c>
      <c r="J228" s="6" t="n">
        <v>389.7929</v>
      </c>
      <c r="K228" s="6" t="inlineStr">
        <is>
          <t>&gt; Venta Bajo Receta &gt; Dermatológico &gt;</t>
        </is>
      </c>
      <c r="L228" s="6" t="inlineStr">
        <is>
          <t>shampoo</t>
        </is>
      </c>
      <c r="M228" s="6" t="inlineStr">
        <is>
          <t>estandar</t>
        </is>
      </c>
      <c r="N228" s="6" t="inlineStr">
        <is>
          <t>general</t>
        </is>
      </c>
      <c r="O228" s="6" t="inlineStr">
        <is>
          <t>https://www.farmacity.com/salac-clobetasol-shampoo-x-140-ml/p</t>
        </is>
      </c>
      <c r="P228" s="8">
        <f>TRIM(CLEAN(PROPER(D228)))</f>
        <v/>
      </c>
      <c r="Q228" s="8">
        <f>PROPER(TRIM(SUBSTITUTE(SUBSTITUTE(SUBSTITUTE(SUBSTITUTE(E228,"TRESEMME","Tresemme"),"HEAD &amp; SHOULDERS","Head &amp; Shoulders"),"ELVIVE","Elvive"),"FRUCTIS","Fructis")))</f>
        <v/>
      </c>
      <c r="R228" s="8">
        <f>COUNTIF($D$2:$D$10000,D228)&gt;1</f>
        <v/>
      </c>
      <c r="S228" s="8">
        <f>IF(H228=TRUE,"Disponible","No disponible")</f>
        <v/>
      </c>
      <c r="T228" s="8">
        <f>IF(AND(ISNUMBER(I228),I228&gt;0),ROUND(F228/I228,2),"Sin volumen")</f>
        <v/>
      </c>
      <c r="U228" s="8">
        <f>IF(F228&lt;5000,"Bajo",IF(F228&lt;15000,"Medio","Alto"))</f>
        <v/>
      </c>
    </row>
    <row r="229">
      <c r="A229" t="inlineStr">
        <is>
          <t>Farmacity</t>
        </is>
      </c>
      <c r="B229" t="n">
        <v>40999</v>
      </c>
      <c r="C229" t="n">
        <v>40999</v>
      </c>
      <c r="D229" t="inlineStr">
        <is>
          <t>Ketoconazol C-86 Shampoo x 120 ml</t>
        </is>
      </c>
      <c r="E229" t="inlineStr">
        <is>
          <t>Valuge</t>
        </is>
      </c>
      <c r="F229" t="n">
        <v>29285</v>
      </c>
      <c r="G229" t="n">
        <v>29285</v>
      </c>
      <c r="H229" t="b">
        <v>1</v>
      </c>
      <c r="I229" t="n">
        <v>120</v>
      </c>
      <c r="J229" t="n">
        <v>244.0417</v>
      </c>
      <c r="K229" t="inlineStr">
        <is>
          <t>&gt; Venta Bajo Receta &gt; Dermatológico &gt;</t>
        </is>
      </c>
      <c r="L229" t="inlineStr">
        <is>
          <t>shampoo</t>
        </is>
      </c>
      <c r="M229" t="inlineStr">
        <is>
          <t>estandar</t>
        </is>
      </c>
      <c r="N229" t="inlineStr">
        <is>
          <t>general</t>
        </is>
      </c>
      <c r="O229" t="inlineStr">
        <is>
          <t>https://www.farmacity.com/ketoconazol-c-86-shampoo-x-120-ml/p</t>
        </is>
      </c>
      <c r="P229">
        <f>TRIM(CLEAN(PROPER(D229)))</f>
        <v/>
      </c>
      <c r="Q229">
        <f>PROPER(TRIM(SUBSTITUTE(SUBSTITUTE(SUBSTITUTE(SUBSTITUTE(E229,"TRESEMME","Tresemme"),"HEAD &amp; SHOULDERS","Head &amp; Shoulders"),"ELVIVE","Elvive"),"FRUCTIS","Fructis")))</f>
        <v/>
      </c>
      <c r="R229">
        <f>COUNTIF($D$2:$D$10000,D229)&gt;1</f>
        <v/>
      </c>
      <c r="S229">
        <f>IF(H229=TRUE,"Disponible","No disponible")</f>
        <v/>
      </c>
      <c r="T229">
        <f>IF(AND(ISNUMBER(I229),I229&gt;0),ROUND(F229/I229,2),"Sin volumen")</f>
        <v/>
      </c>
      <c r="U229">
        <f>IF(F229&lt;5000,"Bajo",IF(F229&lt;15000,"Medio","Alto"))</f>
        <v/>
      </c>
    </row>
    <row r="230">
      <c r="A230" s="6" t="inlineStr">
        <is>
          <t>Farmacity</t>
        </is>
      </c>
      <c r="B230" s="6" t="n">
        <v>27051</v>
      </c>
      <c r="C230" s="6" t="n">
        <v>27051</v>
      </c>
      <c r="D230" s="6" t="inlineStr">
        <is>
          <t>Quadion Ketoconazol Shampoo x 250 g</t>
        </is>
      </c>
      <c r="E230" s="6" t="inlineStr">
        <is>
          <t>Fortbenton</t>
        </is>
      </c>
      <c r="F230" s="6" t="n">
        <v>19209</v>
      </c>
      <c r="G230" s="6" t="n">
        <v>19209</v>
      </c>
      <c r="H230" s="6" t="b">
        <v>1</v>
      </c>
      <c r="I230" s="6" t="n">
        <v>250</v>
      </c>
      <c r="J230" s="6" t="n">
        <v>76.836</v>
      </c>
      <c r="K230" s="6" t="inlineStr">
        <is>
          <t>&gt; Venta Bajo Receta &gt; Dermatológico &gt;</t>
        </is>
      </c>
      <c r="L230" s="6" t="inlineStr">
        <is>
          <t>shampoo</t>
        </is>
      </c>
      <c r="M230" s="6" t="inlineStr">
        <is>
          <t>estandar</t>
        </is>
      </c>
      <c r="N230" s="6" t="inlineStr">
        <is>
          <t>general</t>
        </is>
      </c>
      <c r="O230" s="6" t="inlineStr">
        <is>
          <t>https://www.farmacity.com/quadion-ketoconazol-shampoo-x-250-g/p</t>
        </is>
      </c>
      <c r="P230" s="8">
        <f>TRIM(CLEAN(PROPER(D230)))</f>
        <v/>
      </c>
      <c r="Q230" s="8">
        <f>PROPER(TRIM(SUBSTITUTE(SUBSTITUTE(SUBSTITUTE(SUBSTITUTE(E230,"TRESEMME","Tresemme"),"HEAD &amp; SHOULDERS","Head &amp; Shoulders"),"ELVIVE","Elvive"),"FRUCTIS","Fructis")))</f>
        <v/>
      </c>
      <c r="R230" s="8">
        <f>COUNTIF($D$2:$D$10000,D230)&gt;1</f>
        <v/>
      </c>
      <c r="S230" s="8">
        <f>IF(H230=TRUE,"Disponible","No disponible")</f>
        <v/>
      </c>
      <c r="T230" s="8">
        <f>IF(AND(ISNUMBER(I230),I230&gt;0),ROUND(F230/I230,2),"Sin volumen")</f>
        <v/>
      </c>
      <c r="U230" s="8">
        <f>IF(F230&lt;5000,"Bajo",IF(F230&lt;15000,"Medio","Alto"))</f>
        <v/>
      </c>
    </row>
    <row r="231">
      <c r="A231" t="inlineStr">
        <is>
          <t>Farmacity</t>
        </is>
      </c>
      <c r="B231" t="n">
        <v>18210</v>
      </c>
      <c r="C231" t="n">
        <v>12030</v>
      </c>
      <c r="D231" t="inlineStr">
        <is>
          <t>Kit Coloración en Shampoo Para Hombre</t>
        </is>
      </c>
      <c r="E231" t="inlineStr">
        <is>
          <t>Just For Men</t>
        </is>
      </c>
      <c r="F231" t="n">
        <v>18346</v>
      </c>
      <c r="G231" t="n">
        <v>18346</v>
      </c>
      <c r="H231" t="b">
        <v>1</v>
      </c>
      <c r="I231" t="inlineStr"/>
      <c r="J231" t="inlineStr"/>
      <c r="K231" t="inlineStr">
        <is>
          <t>&gt; Cuidado Capilar &gt; Coloración Y Oxidantes &gt;</t>
        </is>
      </c>
      <c r="L231" t="inlineStr">
        <is>
          <t>tratamiento</t>
        </is>
      </c>
      <c r="M231" t="inlineStr">
        <is>
          <t>estandar</t>
        </is>
      </c>
      <c r="N231" t="inlineStr">
        <is>
          <t>tratado</t>
        </is>
      </c>
      <c r="O231" t="inlineStr">
        <is>
          <t>https://www.farmacity.com/kit-coloracion-en-shampoo-para-hombre/p</t>
        </is>
      </c>
      <c r="P231">
        <f>TRIM(CLEAN(PROPER(D231)))</f>
        <v/>
      </c>
      <c r="Q231">
        <f>PROPER(TRIM(SUBSTITUTE(SUBSTITUTE(SUBSTITUTE(SUBSTITUTE(E231,"TRESEMME","Tresemme"),"HEAD &amp; SHOULDERS","Head &amp; Shoulders"),"ELVIVE","Elvive"),"FRUCTIS","Fructis")))</f>
        <v/>
      </c>
      <c r="R231">
        <f>COUNTIF($D$2:$D$10000,D231)&gt;1</f>
        <v/>
      </c>
      <c r="S231">
        <f>IF(H231=TRUE,"Disponible","No disponible")</f>
        <v/>
      </c>
      <c r="T231">
        <f>IF(AND(ISNUMBER(I231),I231&gt;0),ROUND(F231/I231,2),"Sin volumen")</f>
        <v/>
      </c>
      <c r="U231">
        <f>IF(F231&lt;5000,"Bajo",IF(F231&lt;15000,"Medio","Alto"))</f>
        <v/>
      </c>
    </row>
    <row r="232">
      <c r="A232" s="6" t="inlineStr">
        <is>
          <t>Farmacity</t>
        </is>
      </c>
      <c r="B232" s="6" t="n">
        <v>18210</v>
      </c>
      <c r="C232" s="6" t="n">
        <v>12031</v>
      </c>
      <c r="D232" s="6" t="inlineStr">
        <is>
          <t>Kit Coloración en Shampoo Para Hombre</t>
        </is>
      </c>
      <c r="E232" s="6" t="inlineStr">
        <is>
          <t>Just For Men</t>
        </is>
      </c>
      <c r="F232" s="6" t="n">
        <v>18346</v>
      </c>
      <c r="G232" s="6" t="n">
        <v>18346</v>
      </c>
      <c r="H232" s="6" t="b">
        <v>1</v>
      </c>
      <c r="I232" s="6" t="inlineStr"/>
      <c r="J232" s="6" t="inlineStr"/>
      <c r="K232" s="6" t="inlineStr">
        <is>
          <t>&gt; Cuidado Capilar &gt; Coloración Y Oxidantes &gt;</t>
        </is>
      </c>
      <c r="L232" s="6" t="inlineStr">
        <is>
          <t>tratamiento</t>
        </is>
      </c>
      <c r="M232" s="6" t="inlineStr">
        <is>
          <t>estandar</t>
        </is>
      </c>
      <c r="N232" s="6" t="inlineStr">
        <is>
          <t>tratado</t>
        </is>
      </c>
      <c r="O232" s="6" t="inlineStr">
        <is>
          <t>https://www.farmacity.com/kit-coloracion-en-shampoo-para-hombre/p</t>
        </is>
      </c>
      <c r="P232" s="8">
        <f>TRIM(CLEAN(PROPER(D232)))</f>
        <v/>
      </c>
      <c r="Q232" s="8">
        <f>PROPER(TRIM(SUBSTITUTE(SUBSTITUTE(SUBSTITUTE(SUBSTITUTE(E232,"TRESEMME","Tresemme"),"HEAD &amp; SHOULDERS","Head &amp; Shoulders"),"ELVIVE","Elvive"),"FRUCTIS","Fructis")))</f>
        <v/>
      </c>
      <c r="R232" s="8">
        <f>COUNTIF($D$2:$D$10000,D232)&gt;1</f>
        <v/>
      </c>
      <c r="S232" s="8">
        <f>IF(H232=TRUE,"Disponible","No disponible")</f>
        <v/>
      </c>
      <c r="T232" s="8">
        <f>IF(AND(ISNUMBER(I232),I232&gt;0),ROUND(F232/I232,2),"Sin volumen")</f>
        <v/>
      </c>
      <c r="U232" s="8">
        <f>IF(F232&lt;5000,"Bajo",IF(F232&lt;15000,"Medio","Alto"))</f>
        <v/>
      </c>
    </row>
    <row r="233">
      <c r="A233" t="inlineStr">
        <is>
          <t>Farmacity</t>
        </is>
      </c>
      <c r="B233" t="n">
        <v>18210</v>
      </c>
      <c r="C233" t="n">
        <v>12032</v>
      </c>
      <c r="D233" t="inlineStr">
        <is>
          <t>Kit Coloración en Shampoo Para Hombre</t>
        </is>
      </c>
      <c r="E233" t="inlineStr">
        <is>
          <t>Just For Men</t>
        </is>
      </c>
      <c r="F233" t="n">
        <v>18346</v>
      </c>
      <c r="G233" t="n">
        <v>18346</v>
      </c>
      <c r="H233" t="b">
        <v>1</v>
      </c>
      <c r="I233" t="inlineStr"/>
      <c r="J233" t="inlineStr"/>
      <c r="K233" t="inlineStr">
        <is>
          <t>&gt; Cuidado Capilar &gt; Coloración Y Oxidantes &gt;</t>
        </is>
      </c>
      <c r="L233" t="inlineStr">
        <is>
          <t>tratamiento</t>
        </is>
      </c>
      <c r="M233" t="inlineStr">
        <is>
          <t>estandar</t>
        </is>
      </c>
      <c r="N233" t="inlineStr">
        <is>
          <t>tratado</t>
        </is>
      </c>
      <c r="O233" t="inlineStr">
        <is>
          <t>https://www.farmacity.com/kit-coloracion-en-shampoo-para-hombre/p</t>
        </is>
      </c>
      <c r="P233">
        <f>TRIM(CLEAN(PROPER(D233)))</f>
        <v/>
      </c>
      <c r="Q233">
        <f>PROPER(TRIM(SUBSTITUTE(SUBSTITUTE(SUBSTITUTE(SUBSTITUTE(E233,"TRESEMME","Tresemme"),"HEAD &amp; SHOULDERS","Head &amp; Shoulders"),"ELVIVE","Elvive"),"FRUCTIS","Fructis")))</f>
        <v/>
      </c>
      <c r="R233">
        <f>COUNTIF($D$2:$D$10000,D233)&gt;1</f>
        <v/>
      </c>
      <c r="S233">
        <f>IF(H233=TRUE,"Disponible","No disponible")</f>
        <v/>
      </c>
      <c r="T233">
        <f>IF(AND(ISNUMBER(I233),I233&gt;0),ROUND(F233/I233,2),"Sin volumen")</f>
        <v/>
      </c>
      <c r="U233">
        <f>IF(F233&lt;5000,"Bajo",IF(F233&lt;15000,"Medio","Alto"))</f>
        <v/>
      </c>
    </row>
    <row r="234">
      <c r="A234" s="6" t="inlineStr">
        <is>
          <t>Farmacity</t>
        </is>
      </c>
      <c r="B234" s="6" t="n">
        <v>18210</v>
      </c>
      <c r="C234" s="6" t="n">
        <v>12033</v>
      </c>
      <c r="D234" s="6" t="inlineStr">
        <is>
          <t>Kit Coloración en Shampoo Para Hombre</t>
        </is>
      </c>
      <c r="E234" s="6" t="inlineStr">
        <is>
          <t>Just For Men</t>
        </is>
      </c>
      <c r="F234" s="6" t="n">
        <v>18346</v>
      </c>
      <c r="G234" s="6" t="n">
        <v>18346</v>
      </c>
      <c r="H234" s="6" t="b">
        <v>1</v>
      </c>
      <c r="I234" s="6" t="inlineStr"/>
      <c r="J234" s="6" t="inlineStr"/>
      <c r="K234" s="6" t="inlineStr">
        <is>
          <t>&gt; Cuidado Capilar &gt; Coloración Y Oxidantes &gt;</t>
        </is>
      </c>
      <c r="L234" s="6" t="inlineStr">
        <is>
          <t>tratamiento</t>
        </is>
      </c>
      <c r="M234" s="6" t="inlineStr">
        <is>
          <t>estandar</t>
        </is>
      </c>
      <c r="N234" s="6" t="inlineStr">
        <is>
          <t>tratado</t>
        </is>
      </c>
      <c r="O234" s="6" t="inlineStr">
        <is>
          <t>https://www.farmacity.com/kit-coloracion-en-shampoo-para-hombre/p</t>
        </is>
      </c>
      <c r="P234" s="8">
        <f>TRIM(CLEAN(PROPER(D234)))</f>
        <v/>
      </c>
      <c r="Q234" s="8">
        <f>PROPER(TRIM(SUBSTITUTE(SUBSTITUTE(SUBSTITUTE(SUBSTITUTE(E234,"TRESEMME","Tresemme"),"HEAD &amp; SHOULDERS","Head &amp; Shoulders"),"ELVIVE","Elvive"),"FRUCTIS","Fructis")))</f>
        <v/>
      </c>
      <c r="R234" s="8">
        <f>COUNTIF($D$2:$D$10000,D234)&gt;1</f>
        <v/>
      </c>
      <c r="S234" s="8">
        <f>IF(H234=TRUE,"Disponible","No disponible")</f>
        <v/>
      </c>
      <c r="T234" s="8">
        <f>IF(AND(ISNUMBER(I234),I234&gt;0),ROUND(F234/I234,2),"Sin volumen")</f>
        <v/>
      </c>
      <c r="U234" s="8">
        <f>IF(F234&lt;5000,"Bajo",IF(F234&lt;15000,"Medio","Alto"))</f>
        <v/>
      </c>
    </row>
    <row r="235">
      <c r="A235" t="inlineStr">
        <is>
          <t>Farmacity</t>
        </is>
      </c>
      <c r="B235" t="n">
        <v>40533</v>
      </c>
      <c r="C235" t="n">
        <v>40533</v>
      </c>
      <c r="D235" t="inlineStr">
        <is>
          <t>Targel Coaltar Shampoo x 155 ml</t>
        </is>
      </c>
      <c r="E235" t="inlineStr">
        <is>
          <t>Lagos</t>
        </is>
      </c>
      <c r="F235" t="n">
        <v>40316</v>
      </c>
      <c r="G235" t="n">
        <v>40316</v>
      </c>
      <c r="H235" t="b">
        <v>1</v>
      </c>
      <c r="I235" t="n">
        <v>155</v>
      </c>
      <c r="J235" t="n">
        <v>260.1032</v>
      </c>
      <c r="K235" t="inlineStr">
        <is>
          <t>&gt; Venta Bajo Receta &gt; Dermatológico &gt;</t>
        </is>
      </c>
      <c r="L235" t="inlineStr">
        <is>
          <t>shampoo</t>
        </is>
      </c>
      <c r="M235" t="inlineStr">
        <is>
          <t>estandar</t>
        </is>
      </c>
      <c r="N235" t="inlineStr">
        <is>
          <t>general</t>
        </is>
      </c>
      <c r="O235" t="inlineStr">
        <is>
          <t>https://www.farmacity.com/targel-coaltar-shampoo-x-155-ml/p</t>
        </is>
      </c>
      <c r="P235">
        <f>TRIM(CLEAN(PROPER(D235)))</f>
        <v/>
      </c>
      <c r="Q235">
        <f>PROPER(TRIM(SUBSTITUTE(SUBSTITUTE(SUBSTITUTE(SUBSTITUTE(E235,"TRESEMME","Tresemme"),"HEAD &amp; SHOULDERS","Head &amp; Shoulders"),"ELVIVE","Elvive"),"FRUCTIS","Fructis")))</f>
        <v/>
      </c>
      <c r="R235">
        <f>COUNTIF($D$2:$D$10000,D235)&gt;1</f>
        <v/>
      </c>
      <c r="S235">
        <f>IF(H235=TRUE,"Disponible","No disponible")</f>
        <v/>
      </c>
      <c r="T235">
        <f>IF(AND(ISNUMBER(I235),I235&gt;0),ROUND(F235/I235,2),"Sin volumen")</f>
        <v/>
      </c>
      <c r="U235">
        <f>IF(F235&lt;5000,"Bajo",IF(F235&lt;15000,"Medio","Alto"))</f>
        <v/>
      </c>
    </row>
    <row r="236">
      <c r="A236" s="6" t="inlineStr">
        <is>
          <t>Farmacity</t>
        </is>
      </c>
      <c r="B236" s="6" t="n">
        <v>39192</v>
      </c>
      <c r="C236" s="6" t="n">
        <v>39192</v>
      </c>
      <c r="D236" s="6" t="inlineStr">
        <is>
          <t>Micoral Ketoconazol Shampoo x 100 ml</t>
        </is>
      </c>
      <c r="E236" s="6" t="inlineStr">
        <is>
          <t>Siegfried</t>
        </is>
      </c>
      <c r="F236" s="6" t="n">
        <v>17614</v>
      </c>
      <c r="G236" s="6" t="n">
        <v>17614</v>
      </c>
      <c r="H236" s="6" t="b">
        <v>1</v>
      </c>
      <c r="I236" s="6" t="n">
        <v>100</v>
      </c>
      <c r="J236" s="6" t="n">
        <v>176.14</v>
      </c>
      <c r="K236" s="6" t="inlineStr">
        <is>
          <t>&gt; Venta Bajo Receta &gt; Dermatológico &gt;</t>
        </is>
      </c>
      <c r="L236" s="6" t="inlineStr">
        <is>
          <t>shampoo</t>
        </is>
      </c>
      <c r="M236" s="6" t="inlineStr">
        <is>
          <t>estandar</t>
        </is>
      </c>
      <c r="N236" s="6" t="inlineStr">
        <is>
          <t>general</t>
        </is>
      </c>
      <c r="O236" s="6" t="inlineStr">
        <is>
          <t>https://www.farmacity.com/micoral-ketoconazol-shampoo-x-100-ml/p</t>
        </is>
      </c>
      <c r="P236" s="8">
        <f>TRIM(CLEAN(PROPER(D236)))</f>
        <v/>
      </c>
      <c r="Q236" s="8">
        <f>PROPER(TRIM(SUBSTITUTE(SUBSTITUTE(SUBSTITUTE(SUBSTITUTE(E236,"TRESEMME","Tresemme"),"HEAD &amp; SHOULDERS","Head &amp; Shoulders"),"ELVIVE","Elvive"),"FRUCTIS","Fructis")))</f>
        <v/>
      </c>
      <c r="R236" s="8">
        <f>COUNTIF($D$2:$D$10000,D236)&gt;1</f>
        <v/>
      </c>
      <c r="S236" s="8">
        <f>IF(H236=TRUE,"Disponible","No disponible")</f>
        <v/>
      </c>
      <c r="T236" s="8">
        <f>IF(AND(ISNUMBER(I236),I236&gt;0),ROUND(F236/I236,2),"Sin volumen")</f>
        <v/>
      </c>
      <c r="U236" s="8">
        <f>IF(F236&lt;5000,"Bajo",IF(F236&lt;15000,"Medio","Alto"))</f>
        <v/>
      </c>
    </row>
    <row r="237">
      <c r="A237" t="inlineStr">
        <is>
          <t>Farmacity</t>
        </is>
      </c>
      <c r="B237" t="n">
        <v>152351</v>
      </c>
      <c r="C237" t="n">
        <v>152351</v>
      </c>
      <c r="D237" t="inlineStr">
        <is>
          <t>Megacistin Shampoo Cistina+Asoc. x 200 ml</t>
        </is>
      </c>
      <c r="E237" t="inlineStr">
        <is>
          <t>Laboratorio Gra</t>
        </is>
      </c>
      <c r="F237" t="n">
        <v>21385</v>
      </c>
      <c r="G237" t="n">
        <v>21385</v>
      </c>
      <c r="H237" t="b">
        <v>1</v>
      </c>
      <c r="I237" t="n">
        <v>200</v>
      </c>
      <c r="J237" t="n">
        <v>106.925</v>
      </c>
      <c r="K237" t="inlineStr">
        <is>
          <t>&gt; Venta Bajo Receta &gt; Dermatológico &gt;</t>
        </is>
      </c>
      <c r="L237" t="inlineStr">
        <is>
          <t>shampoo</t>
        </is>
      </c>
      <c r="M237" t="inlineStr">
        <is>
          <t>estandar</t>
        </is>
      </c>
      <c r="N237" t="inlineStr">
        <is>
          <t>general</t>
        </is>
      </c>
      <c r="O237" t="inlineStr">
        <is>
          <t>https://www.farmacity.com/megacistin-shampoo-cistina-asoc-x-200-ml/p</t>
        </is>
      </c>
      <c r="P237">
        <f>TRIM(CLEAN(PROPER(D237)))</f>
        <v/>
      </c>
      <c r="Q237">
        <f>PROPER(TRIM(SUBSTITUTE(SUBSTITUTE(SUBSTITUTE(SUBSTITUTE(E237,"TRESEMME","Tresemme"),"HEAD &amp; SHOULDERS","Head &amp; Shoulders"),"ELVIVE","Elvive"),"FRUCTIS","Fructis")))</f>
        <v/>
      </c>
      <c r="R237">
        <f>COUNTIF($D$2:$D$10000,D237)&gt;1</f>
        <v/>
      </c>
      <c r="S237">
        <f>IF(H237=TRUE,"Disponible","No disponible")</f>
        <v/>
      </c>
      <c r="T237">
        <f>IF(AND(ISNUMBER(I237),I237&gt;0),ROUND(F237/I237,2),"Sin volumen")</f>
        <v/>
      </c>
      <c r="U237">
        <f>IF(F237&lt;5000,"Bajo",IF(F237&lt;15000,"Medio","Alto"))</f>
        <v/>
      </c>
    </row>
    <row r="238">
      <c r="A238" s="6" t="inlineStr">
        <is>
          <t>Farmacity</t>
        </is>
      </c>
      <c r="B238" s="6" t="n">
        <v>238686</v>
      </c>
      <c r="C238" s="6" t="n">
        <v>238686</v>
      </c>
      <c r="D238" s="6" t="inlineStr">
        <is>
          <t>Kit Biferdil Anti Amarillo Shampoo + Máscara</t>
        </is>
      </c>
      <c r="E238" s="6" t="inlineStr">
        <is>
          <t>Biferdil</t>
        </is>
      </c>
      <c r="F238" s="6" t="n">
        <v>20088</v>
      </c>
      <c r="G238" s="6" t="n">
        <v>26784</v>
      </c>
      <c r="H238" s="6" t="b">
        <v>1</v>
      </c>
      <c r="I238" s="6" t="inlineStr"/>
      <c r="J238" s="6" t="inlineStr"/>
      <c r="K238" s="6" t="inlineStr">
        <is>
          <t>&gt; Cuidado Capilar &gt; Shampoo Y Acondicionador &gt;</t>
        </is>
      </c>
      <c r="L238" s="6" t="inlineStr">
        <is>
          <t>tratamiento</t>
        </is>
      </c>
      <c r="M238" s="6" t="inlineStr">
        <is>
          <t>estandar</t>
        </is>
      </c>
      <c r="N238" s="6" t="inlineStr">
        <is>
          <t>general</t>
        </is>
      </c>
      <c r="O238" s="6" t="inlineStr">
        <is>
          <t>https://www.farmacity.com/kit-biferdil-anti-amarillo-shampoo-mascara/p</t>
        </is>
      </c>
      <c r="P238" s="8">
        <f>TRIM(CLEAN(PROPER(D238)))</f>
        <v/>
      </c>
      <c r="Q238" s="8">
        <f>PROPER(TRIM(SUBSTITUTE(SUBSTITUTE(SUBSTITUTE(SUBSTITUTE(E238,"TRESEMME","Tresemme"),"HEAD &amp; SHOULDERS","Head &amp; Shoulders"),"ELVIVE","Elvive"),"FRUCTIS","Fructis")))</f>
        <v/>
      </c>
      <c r="R238" s="8">
        <f>COUNTIF($D$2:$D$10000,D238)&gt;1</f>
        <v/>
      </c>
      <c r="S238" s="8">
        <f>IF(H238=TRUE,"Disponible","No disponible")</f>
        <v/>
      </c>
      <c r="T238" s="8">
        <f>IF(AND(ISNUMBER(I238),I238&gt;0),ROUND(F238/I238,2),"Sin volumen")</f>
        <v/>
      </c>
      <c r="U238" s="8">
        <f>IF(F238&lt;5000,"Bajo",IF(F238&lt;15000,"Medio","Alto"))</f>
        <v/>
      </c>
    </row>
    <row r="239">
      <c r="A239" t="inlineStr">
        <is>
          <t>Farmacity</t>
        </is>
      </c>
      <c r="B239" t="n">
        <v>237029</v>
      </c>
      <c r="C239" t="n">
        <v>237029</v>
      </c>
      <c r="D239" t="inlineStr">
        <is>
          <t>Infantil Aveno Crema + Shampoo + Acondicionador</t>
        </is>
      </c>
      <c r="E239" t="inlineStr">
        <is>
          <t>Aveno</t>
        </is>
      </c>
      <c r="F239" t="n">
        <v>55217</v>
      </c>
      <c r="G239" t="n">
        <v>73623</v>
      </c>
      <c r="H239" t="b">
        <v>1</v>
      </c>
      <c r="I239" t="inlineStr"/>
      <c r="J239" t="inlineStr"/>
      <c r="K239" t="inlineStr">
        <is>
          <t>&gt; Bebés &gt; Higiene del Bebé &gt; Baño Del Bebé &gt;</t>
        </is>
      </c>
      <c r="L239" t="inlineStr">
        <is>
          <t>acondicionador</t>
        </is>
      </c>
      <c r="M239" t="inlineStr">
        <is>
          <t>estandar</t>
        </is>
      </c>
      <c r="N239" t="inlineStr">
        <is>
          <t>bebe</t>
        </is>
      </c>
      <c r="O239" t="inlineStr">
        <is>
          <t>https://www.farmacity.com/infantil-aveno-crema-shampoo-acondicionador/p</t>
        </is>
      </c>
      <c r="P239">
        <f>TRIM(CLEAN(PROPER(D239)))</f>
        <v/>
      </c>
      <c r="Q239">
        <f>PROPER(TRIM(SUBSTITUTE(SUBSTITUTE(SUBSTITUTE(SUBSTITUTE(E239,"TRESEMME","Tresemme"),"HEAD &amp; SHOULDERS","Head &amp; Shoulders"),"ELVIVE","Elvive"),"FRUCTIS","Fructis")))</f>
        <v/>
      </c>
      <c r="R239">
        <f>COUNTIF($D$2:$D$10000,D239)&gt;1</f>
        <v/>
      </c>
      <c r="S239">
        <f>IF(H239=TRUE,"Disponible","No disponible")</f>
        <v/>
      </c>
      <c r="T239">
        <f>IF(AND(ISNUMBER(I239),I239&gt;0),ROUND(F239/I239,2),"Sin volumen")</f>
        <v/>
      </c>
      <c r="U239">
        <f>IF(F239&lt;5000,"Bajo",IF(F239&lt;15000,"Medio","Alto"))</f>
        <v/>
      </c>
    </row>
    <row r="240">
      <c r="A240" s="6" t="inlineStr">
        <is>
          <t>Farmacity</t>
        </is>
      </c>
      <c r="B240" s="6" t="n">
        <v>225102</v>
      </c>
      <c r="C240" s="6" t="n">
        <v>225102</v>
      </c>
      <c r="D240" s="6" t="inlineStr">
        <is>
          <t>Valcatil Max Shampoo Pomo x 150 ml</t>
        </is>
      </c>
      <c r="E240" s="6" t="inlineStr">
        <is>
          <t>Panalab</t>
        </is>
      </c>
      <c r="F240" s="6" t="n">
        <v>28696</v>
      </c>
      <c r="G240" s="6" t="n">
        <v>28696</v>
      </c>
      <c r="H240" s="6" t="b">
        <v>1</v>
      </c>
      <c r="I240" s="6" t="n">
        <v>150</v>
      </c>
      <c r="J240" s="6" t="n">
        <v>191.3067</v>
      </c>
      <c r="K240" s="6" t="inlineStr">
        <is>
          <t>&gt; Venta Bajo Receta &gt; Dermatológico &gt;</t>
        </is>
      </c>
      <c r="L240" s="6" t="inlineStr">
        <is>
          <t>shampoo</t>
        </is>
      </c>
      <c r="M240" s="6" t="inlineStr">
        <is>
          <t>estandar</t>
        </is>
      </c>
      <c r="N240" s="6" t="inlineStr">
        <is>
          <t>general</t>
        </is>
      </c>
      <c r="O240" s="6" t="inlineStr">
        <is>
          <t>https://www.farmacity.com/valcatil-max-shampoo-pomo-x-150-ml/p</t>
        </is>
      </c>
      <c r="P240" s="8">
        <f>TRIM(CLEAN(PROPER(D240)))</f>
        <v/>
      </c>
      <c r="Q240" s="8">
        <f>PROPER(TRIM(SUBSTITUTE(SUBSTITUTE(SUBSTITUTE(SUBSTITUTE(E240,"TRESEMME","Tresemme"),"HEAD &amp; SHOULDERS","Head &amp; Shoulders"),"ELVIVE","Elvive"),"FRUCTIS","Fructis")))</f>
        <v/>
      </c>
      <c r="R240" s="8">
        <f>COUNTIF($D$2:$D$10000,D240)&gt;1</f>
        <v/>
      </c>
      <c r="S240" s="8">
        <f>IF(H240=TRUE,"Disponible","No disponible")</f>
        <v/>
      </c>
      <c r="T240" s="8">
        <f>IF(AND(ISNUMBER(I240),I240&gt;0),ROUND(F240/I240,2),"Sin volumen")</f>
        <v/>
      </c>
      <c r="U240" s="8">
        <f>IF(F240&lt;5000,"Bajo",IF(F240&lt;15000,"Medio","Alto"))</f>
        <v/>
      </c>
    </row>
    <row r="241">
      <c r="A241" t="inlineStr">
        <is>
          <t>Farmacity</t>
        </is>
      </c>
      <c r="B241" t="n">
        <v>238660</v>
      </c>
      <c r="C241" t="n">
        <v>236793</v>
      </c>
      <c r="D241" t="inlineStr">
        <is>
          <t>Tintura en Shampoo Issue Express 5 Min</t>
        </is>
      </c>
      <c r="E241" t="inlineStr">
        <is>
          <t>Issue</t>
        </is>
      </c>
      <c r="F241" t="n">
        <v>4737</v>
      </c>
      <c r="G241" t="n">
        <v>4737</v>
      </c>
      <c r="H241" t="b">
        <v>1</v>
      </c>
      <c r="I241" t="inlineStr"/>
      <c r="J241" t="inlineStr"/>
      <c r="K241" t="inlineStr">
        <is>
          <t>&gt; Cuidado Capilar &gt; Coloración Y Oxidantes &gt;</t>
        </is>
      </c>
      <c r="L241" t="inlineStr">
        <is>
          <t>shampoo</t>
        </is>
      </c>
      <c r="M241" t="inlineStr">
        <is>
          <t>estandar</t>
        </is>
      </c>
      <c r="N241" t="inlineStr">
        <is>
          <t>tratado</t>
        </is>
      </c>
      <c r="O241" t="inlineStr">
        <is>
          <t>https://www.farmacity.com/tintura-en-shampoo-issue-express-5-min/p</t>
        </is>
      </c>
      <c r="P241">
        <f>TRIM(CLEAN(PROPER(D241)))</f>
        <v/>
      </c>
      <c r="Q241">
        <f>PROPER(TRIM(SUBSTITUTE(SUBSTITUTE(SUBSTITUTE(SUBSTITUTE(E241,"TRESEMME","Tresemme"),"HEAD &amp; SHOULDERS","Head &amp; Shoulders"),"ELVIVE","Elvive"),"FRUCTIS","Fructis")))</f>
        <v/>
      </c>
      <c r="R241">
        <f>COUNTIF($D$2:$D$10000,D241)&gt;1</f>
        <v/>
      </c>
      <c r="S241">
        <f>IF(H241=TRUE,"Disponible","No disponible")</f>
        <v/>
      </c>
      <c r="T241">
        <f>IF(AND(ISNUMBER(I241),I241&gt;0),ROUND(F241/I241,2),"Sin volumen")</f>
        <v/>
      </c>
      <c r="U241">
        <f>IF(F241&lt;5000,"Bajo",IF(F241&lt;15000,"Medio","Alto"))</f>
        <v/>
      </c>
    </row>
    <row r="242">
      <c r="A242" s="6" t="inlineStr">
        <is>
          <t>Farmacity</t>
        </is>
      </c>
      <c r="B242" s="6" t="n">
        <v>238660</v>
      </c>
      <c r="C242" s="6" t="n">
        <v>236794</v>
      </c>
      <c r="D242" s="6" t="inlineStr">
        <is>
          <t>Tintura en Shampoo Issue Express 5 Min</t>
        </is>
      </c>
      <c r="E242" s="6" t="inlineStr">
        <is>
          <t>Issue</t>
        </is>
      </c>
      <c r="F242" s="6" t="n">
        <v>4737</v>
      </c>
      <c r="G242" s="6" t="n">
        <v>4737</v>
      </c>
      <c r="H242" s="6" t="b">
        <v>1</v>
      </c>
      <c r="I242" s="6" t="inlineStr"/>
      <c r="J242" s="6" t="inlineStr"/>
      <c r="K242" s="6" t="inlineStr">
        <is>
          <t>&gt; Cuidado Capilar &gt; Coloración Y Oxidantes &gt;</t>
        </is>
      </c>
      <c r="L242" s="6" t="inlineStr">
        <is>
          <t>shampoo</t>
        </is>
      </c>
      <c r="M242" s="6" t="inlineStr">
        <is>
          <t>estandar</t>
        </is>
      </c>
      <c r="N242" s="6" t="inlineStr">
        <is>
          <t>tratado</t>
        </is>
      </c>
      <c r="O242" s="6" t="inlineStr">
        <is>
          <t>https://www.farmacity.com/tintura-en-shampoo-issue-express-5-min/p</t>
        </is>
      </c>
      <c r="P242" s="8">
        <f>TRIM(CLEAN(PROPER(D242)))</f>
        <v/>
      </c>
      <c r="Q242" s="8">
        <f>PROPER(TRIM(SUBSTITUTE(SUBSTITUTE(SUBSTITUTE(SUBSTITUTE(E242,"TRESEMME","Tresemme"),"HEAD &amp; SHOULDERS","Head &amp; Shoulders"),"ELVIVE","Elvive"),"FRUCTIS","Fructis")))</f>
        <v/>
      </c>
      <c r="R242" s="8">
        <f>COUNTIF($D$2:$D$10000,D242)&gt;1</f>
        <v/>
      </c>
      <c r="S242" s="8">
        <f>IF(H242=TRUE,"Disponible","No disponible")</f>
        <v/>
      </c>
      <c r="T242" s="8">
        <f>IF(AND(ISNUMBER(I242),I242&gt;0),ROUND(F242/I242,2),"Sin volumen")</f>
        <v/>
      </c>
      <c r="U242" s="8">
        <f>IF(F242&lt;5000,"Bajo",IF(F242&lt;15000,"Medio","Alto"))</f>
        <v/>
      </c>
    </row>
    <row r="243">
      <c r="A243" t="inlineStr">
        <is>
          <t>Farmacity</t>
        </is>
      </c>
      <c r="B243" t="n">
        <v>238660</v>
      </c>
      <c r="C243" t="n">
        <v>236795</v>
      </c>
      <c r="D243" t="inlineStr">
        <is>
          <t>Tintura en Shampoo Issue Express 5 Min</t>
        </is>
      </c>
      <c r="E243" t="inlineStr">
        <is>
          <t>Issue</t>
        </is>
      </c>
      <c r="F243" t="n">
        <v>4737</v>
      </c>
      <c r="G243" t="n">
        <v>4737</v>
      </c>
      <c r="H243" t="b">
        <v>1</v>
      </c>
      <c r="I243" t="inlineStr"/>
      <c r="J243" t="inlineStr"/>
      <c r="K243" t="inlineStr">
        <is>
          <t>&gt; Cuidado Capilar &gt; Coloración Y Oxidantes &gt;</t>
        </is>
      </c>
      <c r="L243" t="inlineStr">
        <is>
          <t>shampoo</t>
        </is>
      </c>
      <c r="M243" t="inlineStr">
        <is>
          <t>estandar</t>
        </is>
      </c>
      <c r="N243" t="inlineStr">
        <is>
          <t>tratado</t>
        </is>
      </c>
      <c r="O243" t="inlineStr">
        <is>
          <t>https://www.farmacity.com/tintura-en-shampoo-issue-express-5-min/p</t>
        </is>
      </c>
      <c r="P243">
        <f>TRIM(CLEAN(PROPER(D243)))</f>
        <v/>
      </c>
      <c r="Q243">
        <f>PROPER(TRIM(SUBSTITUTE(SUBSTITUTE(SUBSTITUTE(SUBSTITUTE(E243,"TRESEMME","Tresemme"),"HEAD &amp; SHOULDERS","Head &amp; Shoulders"),"ELVIVE","Elvive"),"FRUCTIS","Fructis")))</f>
        <v/>
      </c>
      <c r="R243">
        <f>COUNTIF($D$2:$D$10000,D243)&gt;1</f>
        <v/>
      </c>
      <c r="S243">
        <f>IF(H243=TRUE,"Disponible","No disponible")</f>
        <v/>
      </c>
      <c r="T243">
        <f>IF(AND(ISNUMBER(I243),I243&gt;0),ROUND(F243/I243,2),"Sin volumen")</f>
        <v/>
      </c>
      <c r="U243">
        <f>IF(F243&lt;5000,"Bajo",IF(F243&lt;15000,"Medio","Alto"))</f>
        <v/>
      </c>
    </row>
    <row r="244">
      <c r="A244" s="6" t="inlineStr">
        <is>
          <t>Farmacity</t>
        </is>
      </c>
      <c r="B244" s="6" t="n">
        <v>238660</v>
      </c>
      <c r="C244" s="6" t="n">
        <v>243616</v>
      </c>
      <c r="D244" s="6" t="inlineStr">
        <is>
          <t>Tintura en Shampoo Issue Express 5 Min</t>
        </is>
      </c>
      <c r="E244" s="6" t="inlineStr">
        <is>
          <t>Issue</t>
        </is>
      </c>
      <c r="F244" s="6" t="n">
        <v>4737</v>
      </c>
      <c r="G244" s="6" t="n">
        <v>4737</v>
      </c>
      <c r="H244" s="6" t="b">
        <v>1</v>
      </c>
      <c r="I244" s="6" t="inlineStr"/>
      <c r="J244" s="6" t="inlineStr"/>
      <c r="K244" s="6" t="inlineStr">
        <is>
          <t>&gt; Cuidado Capilar &gt; Coloración Y Oxidantes &gt;</t>
        </is>
      </c>
      <c r="L244" s="6" t="inlineStr">
        <is>
          <t>shampoo</t>
        </is>
      </c>
      <c r="M244" s="6" t="inlineStr">
        <is>
          <t>estandar</t>
        </is>
      </c>
      <c r="N244" s="6" t="inlineStr">
        <is>
          <t>tratado</t>
        </is>
      </c>
      <c r="O244" s="6" t="inlineStr">
        <is>
          <t>https://www.farmacity.com/tintura-en-shampoo-issue-express-5-min/p</t>
        </is>
      </c>
      <c r="P244" s="8">
        <f>TRIM(CLEAN(PROPER(D244)))</f>
        <v/>
      </c>
      <c r="Q244" s="8">
        <f>PROPER(TRIM(SUBSTITUTE(SUBSTITUTE(SUBSTITUTE(SUBSTITUTE(E244,"TRESEMME","Tresemme"),"HEAD &amp; SHOULDERS","Head &amp; Shoulders"),"ELVIVE","Elvive"),"FRUCTIS","Fructis")))</f>
        <v/>
      </c>
      <c r="R244" s="8">
        <f>COUNTIF($D$2:$D$10000,D244)&gt;1</f>
        <v/>
      </c>
      <c r="S244" s="8">
        <f>IF(H244=TRUE,"Disponible","No disponible")</f>
        <v/>
      </c>
      <c r="T244" s="8">
        <f>IF(AND(ISNUMBER(I244),I244&gt;0),ROUND(F244/I244,2),"Sin volumen")</f>
        <v/>
      </c>
      <c r="U244" s="8">
        <f>IF(F244&lt;5000,"Bajo",IF(F244&lt;15000,"Medio","Alto"))</f>
        <v/>
      </c>
    </row>
    <row r="245">
      <c r="A245" t="inlineStr">
        <is>
          <t>Farmacity</t>
        </is>
      </c>
      <c r="B245" t="n">
        <v>35801</v>
      </c>
      <c r="C245" t="n">
        <v>35801</v>
      </c>
      <c r="D245" t="inlineStr">
        <is>
          <t>Eumicel 2% Ketoconazol Shampoo x 100 ml</t>
        </is>
      </c>
      <c r="E245" t="inlineStr">
        <is>
          <t>Medisol</t>
        </is>
      </c>
      <c r="F245" t="n">
        <v>12400</v>
      </c>
      <c r="G245" t="n">
        <v>12400</v>
      </c>
      <c r="H245" t="b">
        <v>1</v>
      </c>
      <c r="I245" t="n">
        <v>100</v>
      </c>
      <c r="J245" t="n">
        <v>124</v>
      </c>
      <c r="K245" t="inlineStr">
        <is>
          <t>&gt; Venta Bajo Receta &gt; Dermatológico &gt;</t>
        </is>
      </c>
      <c r="L245" t="inlineStr">
        <is>
          <t>shampoo</t>
        </is>
      </c>
      <c r="M245" t="inlineStr">
        <is>
          <t>estandar</t>
        </is>
      </c>
      <c r="N245" t="inlineStr">
        <is>
          <t>general</t>
        </is>
      </c>
      <c r="O245" t="inlineStr">
        <is>
          <t>https://www.farmacity.com/eumicel-2-ketoconazol-shampoo-x-100-ml/p</t>
        </is>
      </c>
      <c r="P245">
        <f>TRIM(CLEAN(PROPER(D245)))</f>
        <v/>
      </c>
      <c r="Q245">
        <f>PROPER(TRIM(SUBSTITUTE(SUBSTITUTE(SUBSTITUTE(SUBSTITUTE(E245,"TRESEMME","Tresemme"),"HEAD &amp; SHOULDERS","Head &amp; Shoulders"),"ELVIVE","Elvive"),"FRUCTIS","Fructis")))</f>
        <v/>
      </c>
      <c r="R245">
        <f>COUNTIF($D$2:$D$10000,D245)&gt;1</f>
        <v/>
      </c>
      <c r="S245">
        <f>IF(H245=TRUE,"Disponible","No disponible")</f>
        <v/>
      </c>
      <c r="T245">
        <f>IF(AND(ISNUMBER(I245),I245&gt;0),ROUND(F245/I245,2),"Sin volumen")</f>
        <v/>
      </c>
      <c r="U245">
        <f>IF(F245&lt;5000,"Bajo",IF(F245&lt;15000,"Medio","Alto"))</f>
        <v/>
      </c>
    </row>
    <row r="246">
      <c r="A246" s="6" t="inlineStr">
        <is>
          <t>Farmacity</t>
        </is>
      </c>
      <c r="B246" s="6" t="n">
        <v>238687</v>
      </c>
      <c r="C246" s="6" t="n">
        <v>238687</v>
      </c>
      <c r="D246" s="6" t="inlineStr">
        <is>
          <t>Combo Biferdil Anti-Naranja Shampoo + Máscara</t>
        </is>
      </c>
      <c r="E246" s="6" t="inlineStr">
        <is>
          <t>Biferdil</t>
        </is>
      </c>
      <c r="F246" s="6" t="n">
        <v>20088</v>
      </c>
      <c r="G246" s="6" t="n">
        <v>26784</v>
      </c>
      <c r="H246" s="6" t="b">
        <v>1</v>
      </c>
      <c r="I246" s="6" t="inlineStr"/>
      <c r="J246" s="6" t="inlineStr"/>
      <c r="K246" s="6" t="inlineStr">
        <is>
          <t>&gt; Cuidado Capilar &gt; Shampoo Y Acondicionador &gt;</t>
        </is>
      </c>
      <c r="L246" s="6" t="inlineStr">
        <is>
          <t>shampoo</t>
        </is>
      </c>
      <c r="M246" s="6" t="inlineStr">
        <is>
          <t>estandar</t>
        </is>
      </c>
      <c r="N246" s="6" t="inlineStr">
        <is>
          <t>general</t>
        </is>
      </c>
      <c r="O246" s="6" t="inlineStr">
        <is>
          <t>https://www.farmacity.com/kit-biferdil-anti-naranja-shampoo-mascara/p</t>
        </is>
      </c>
      <c r="P246" s="8">
        <f>TRIM(CLEAN(PROPER(D246)))</f>
        <v/>
      </c>
      <c r="Q246" s="8">
        <f>PROPER(TRIM(SUBSTITUTE(SUBSTITUTE(SUBSTITUTE(SUBSTITUTE(E246,"TRESEMME","Tresemme"),"HEAD &amp; SHOULDERS","Head &amp; Shoulders"),"ELVIVE","Elvive"),"FRUCTIS","Fructis")))</f>
        <v/>
      </c>
      <c r="R246" s="8">
        <f>COUNTIF($D$2:$D$10000,D246)&gt;1</f>
        <v/>
      </c>
      <c r="S246" s="8">
        <f>IF(H246=TRUE,"Disponible","No disponible")</f>
        <v/>
      </c>
      <c r="T246" s="8">
        <f>IF(AND(ISNUMBER(I246),I246&gt;0),ROUND(F246/I246,2),"Sin volumen")</f>
        <v/>
      </c>
      <c r="U246" s="8">
        <f>IF(F246&lt;5000,"Bajo",IF(F246&lt;15000,"Medio","Alto"))</f>
        <v/>
      </c>
    </row>
    <row r="247">
      <c r="A247" t="inlineStr">
        <is>
          <t>Farmacity</t>
        </is>
      </c>
      <c r="B247" t="n">
        <v>238688</v>
      </c>
      <c r="C247" t="n">
        <v>238688</v>
      </c>
      <c r="D247" t="inlineStr">
        <is>
          <t>Combo Biferdil Reflejante Plata Shampoo + Máscara</t>
        </is>
      </c>
      <c r="E247" t="inlineStr">
        <is>
          <t>Biferdil</t>
        </is>
      </c>
      <c r="F247" t="n">
        <v>25839</v>
      </c>
      <c r="G247" t="n">
        <v>34452</v>
      </c>
      <c r="H247" t="b">
        <v>1</v>
      </c>
      <c r="I247" t="inlineStr"/>
      <c r="J247" t="inlineStr"/>
      <c r="K247" t="inlineStr">
        <is>
          <t>&gt; Cuidado Capilar &gt; Shampoo Y Acondicionador &gt;</t>
        </is>
      </c>
      <c r="L247" t="inlineStr">
        <is>
          <t>shampoo</t>
        </is>
      </c>
      <c r="M247" t="inlineStr">
        <is>
          <t>estandar</t>
        </is>
      </c>
      <c r="N247" t="inlineStr">
        <is>
          <t>general</t>
        </is>
      </c>
      <c r="O247" t="inlineStr">
        <is>
          <t>https://www.farmacity.com/kit-biferdil-reflejante-plata-shampoo-mascara/p</t>
        </is>
      </c>
      <c r="P247">
        <f>TRIM(CLEAN(PROPER(D247)))</f>
        <v/>
      </c>
      <c r="Q247">
        <f>PROPER(TRIM(SUBSTITUTE(SUBSTITUTE(SUBSTITUTE(SUBSTITUTE(E247,"TRESEMME","Tresemme"),"HEAD &amp; SHOULDERS","Head &amp; Shoulders"),"ELVIVE","Elvive"),"FRUCTIS","Fructis")))</f>
        <v/>
      </c>
      <c r="R247">
        <f>COUNTIF($D$2:$D$10000,D247)&gt;1</f>
        <v/>
      </c>
      <c r="S247">
        <f>IF(H247=TRUE,"Disponible","No disponible")</f>
        <v/>
      </c>
      <c r="T247">
        <f>IF(AND(ISNUMBER(I247),I247&gt;0),ROUND(F247/I247,2),"Sin volumen")</f>
        <v/>
      </c>
      <c r="U247">
        <f>IF(F247&lt;5000,"Bajo",IF(F247&lt;15000,"Medio","Alto"))</f>
        <v/>
      </c>
    </row>
    <row r="248">
      <c r="A248" s="6" t="inlineStr">
        <is>
          <t>Farmacity</t>
        </is>
      </c>
      <c r="B248" s="6" t="n">
        <v>155192</v>
      </c>
      <c r="C248" s="6" t="n">
        <v>155192</v>
      </c>
      <c r="D248" s="6" t="inlineStr">
        <is>
          <t>Kinderval 1% Permetrina Shampoo x 120 ml</t>
        </is>
      </c>
      <c r="E248" s="6" t="inlineStr">
        <is>
          <t>Omicron</t>
        </is>
      </c>
      <c r="F248" s="6" t="n">
        <v>13500</v>
      </c>
      <c r="G248" s="6" t="n">
        <v>13500</v>
      </c>
      <c r="H248" s="6" t="b">
        <v>1</v>
      </c>
      <c r="I248" s="6" t="n">
        <v>120</v>
      </c>
      <c r="J248" s="6" t="n">
        <v>112.5</v>
      </c>
      <c r="K248" s="6" t="inlineStr">
        <is>
          <t>&gt; Venta Bajo Receta &gt; Antiparasitarios, Insecticidas y Repelentes &gt;</t>
        </is>
      </c>
      <c r="L248" s="6" t="inlineStr">
        <is>
          <t>shampoo</t>
        </is>
      </c>
      <c r="M248" s="6" t="inlineStr">
        <is>
          <t>estandar</t>
        </is>
      </c>
      <c r="N248" s="6" t="inlineStr">
        <is>
          <t>general</t>
        </is>
      </c>
      <c r="O248" s="6" t="inlineStr">
        <is>
          <t>https://www.farmacity.com/kinderval-1-permetrina-shampoo-x-120-ml/p</t>
        </is>
      </c>
      <c r="P248" s="8">
        <f>TRIM(CLEAN(PROPER(D248)))</f>
        <v/>
      </c>
      <c r="Q248" s="8">
        <f>PROPER(TRIM(SUBSTITUTE(SUBSTITUTE(SUBSTITUTE(SUBSTITUTE(E248,"TRESEMME","Tresemme"),"HEAD &amp; SHOULDERS","Head &amp; Shoulders"),"ELVIVE","Elvive"),"FRUCTIS","Fructis")))</f>
        <v/>
      </c>
      <c r="R248" s="8">
        <f>COUNTIF($D$2:$D$10000,D248)&gt;1</f>
        <v/>
      </c>
      <c r="S248" s="8">
        <f>IF(H248=TRUE,"Disponible","No disponible")</f>
        <v/>
      </c>
      <c r="T248" s="8">
        <f>IF(AND(ISNUMBER(I248),I248&gt;0),ROUND(F248/I248,2),"Sin volumen")</f>
        <v/>
      </c>
      <c r="U248" s="8">
        <f>IF(F248&lt;5000,"Bajo",IF(F248&lt;15000,"Medio","Alto"))</f>
        <v/>
      </c>
    </row>
    <row r="249">
      <c r="A249" t="inlineStr">
        <is>
          <t>Farmacity</t>
        </is>
      </c>
      <c r="B249" t="n">
        <v>145041</v>
      </c>
      <c r="C249" t="n">
        <v>145041</v>
      </c>
      <c r="D249" t="inlineStr">
        <is>
          <t>Ribatra Clobetasol 0.05% Shampoo x 150 ml</t>
        </is>
      </c>
      <c r="E249" t="inlineStr">
        <is>
          <t>Panalab</t>
        </is>
      </c>
      <c r="F249" t="n">
        <v>76591</v>
      </c>
      <c r="G249" t="n">
        <v>76591</v>
      </c>
      <c r="H249" t="b">
        <v>1</v>
      </c>
      <c r="I249" t="n">
        <v>150</v>
      </c>
      <c r="J249" t="n">
        <v>510.6067</v>
      </c>
      <c r="K249" t="inlineStr">
        <is>
          <t>&gt; Venta Bajo Receta &gt; Dermatológico &gt;</t>
        </is>
      </c>
      <c r="L249" t="inlineStr">
        <is>
          <t>shampoo</t>
        </is>
      </c>
      <c r="M249" t="inlineStr">
        <is>
          <t>estandar</t>
        </is>
      </c>
      <c r="N249" t="inlineStr">
        <is>
          <t>general</t>
        </is>
      </c>
      <c r="O249" t="inlineStr">
        <is>
          <t>https://www.farmacity.com/ribatra-clobetasol-0-05-shampoo-x-150-ml/p</t>
        </is>
      </c>
      <c r="P249">
        <f>TRIM(CLEAN(PROPER(D249)))</f>
        <v/>
      </c>
      <c r="Q249">
        <f>PROPER(TRIM(SUBSTITUTE(SUBSTITUTE(SUBSTITUTE(SUBSTITUTE(E249,"TRESEMME","Tresemme"),"HEAD &amp; SHOULDERS","Head &amp; Shoulders"),"ELVIVE","Elvive"),"FRUCTIS","Fructis")))</f>
        <v/>
      </c>
      <c r="R249">
        <f>COUNTIF($D$2:$D$10000,D249)&gt;1</f>
        <v/>
      </c>
      <c r="S249">
        <f>IF(H249=TRUE,"Disponible","No disponible")</f>
        <v/>
      </c>
      <c r="T249">
        <f>IF(AND(ISNUMBER(I249),I249&gt;0),ROUND(F249/I249,2),"Sin volumen")</f>
        <v/>
      </c>
      <c r="U249">
        <f>IF(F249&lt;5000,"Bajo",IF(F249&lt;15000,"Medio","Alto"))</f>
        <v/>
      </c>
    </row>
    <row r="250">
      <c r="A250" s="6" t="inlineStr">
        <is>
          <t>Farmacity</t>
        </is>
      </c>
      <c r="B250" s="6" t="n">
        <v>131436</v>
      </c>
      <c r="C250" s="6" t="n">
        <v>131436</v>
      </c>
      <c r="D250" s="6" t="inlineStr">
        <is>
          <t>Proavenal Avena+Asoc. Shampoo x 300 ml</t>
        </is>
      </c>
      <c r="E250" s="6" t="inlineStr">
        <is>
          <t>Panalab</t>
        </is>
      </c>
      <c r="F250" s="6" t="n">
        <v>36637</v>
      </c>
      <c r="G250" s="6" t="n">
        <v>36637</v>
      </c>
      <c r="H250" s="6" t="b">
        <v>1</v>
      </c>
      <c r="I250" s="6" t="n">
        <v>300</v>
      </c>
      <c r="J250" s="6" t="n">
        <v>122.1233</v>
      </c>
      <c r="K250" s="6" t="inlineStr">
        <is>
          <t>&gt; Venta Bajo Receta &gt; Dermatológico &gt;</t>
        </is>
      </c>
      <c r="L250" s="6" t="inlineStr">
        <is>
          <t>shampoo</t>
        </is>
      </c>
      <c r="M250" s="6" t="inlineStr">
        <is>
          <t>estandar</t>
        </is>
      </c>
      <c r="N250" s="6" t="inlineStr">
        <is>
          <t>general</t>
        </is>
      </c>
      <c r="O250" s="6" t="inlineStr">
        <is>
          <t>https://www.farmacity.com/proavenal-avena-asoc-shampoo-x-300-ml/p</t>
        </is>
      </c>
      <c r="P250" s="8">
        <f>TRIM(CLEAN(PROPER(D250)))</f>
        <v/>
      </c>
      <c r="Q250" s="8">
        <f>PROPER(TRIM(SUBSTITUTE(SUBSTITUTE(SUBSTITUTE(SUBSTITUTE(E250,"TRESEMME","Tresemme"),"HEAD &amp; SHOULDERS","Head &amp; Shoulders"),"ELVIVE","Elvive"),"FRUCTIS","Fructis")))</f>
        <v/>
      </c>
      <c r="R250" s="8">
        <f>COUNTIF($D$2:$D$10000,D250)&gt;1</f>
        <v/>
      </c>
      <c r="S250" s="8">
        <f>IF(H250=TRUE,"Disponible","No disponible")</f>
        <v/>
      </c>
      <c r="T250" s="8">
        <f>IF(AND(ISNUMBER(I250),I250&gt;0),ROUND(F250/I250,2),"Sin volumen")</f>
        <v/>
      </c>
      <c r="U250" s="8">
        <f>IF(F250&lt;5000,"Bajo",IF(F250&lt;15000,"Medio","Alto"))</f>
        <v/>
      </c>
    </row>
    <row r="251">
      <c r="A251" t="inlineStr">
        <is>
          <t>Farmacity</t>
        </is>
      </c>
      <c r="B251" t="n">
        <v>215769</v>
      </c>
      <c r="C251" t="n">
        <v>215769</v>
      </c>
      <c r="D251" t="inlineStr">
        <is>
          <t>Combo Capilatis Keratina Hair Therapy Shampoo + Acondicionador</t>
        </is>
      </c>
      <c r="E251" t="inlineStr">
        <is>
          <t>Capilatis</t>
        </is>
      </c>
      <c r="F251" t="n">
        <v>15840</v>
      </c>
      <c r="G251" t="n">
        <v>19800</v>
      </c>
      <c r="H251" t="b">
        <v>1</v>
      </c>
      <c r="I251" t="inlineStr"/>
      <c r="J251" t="inlineStr"/>
      <c r="K251" t="inlineStr">
        <is>
          <t>&gt; Cuidado Capilar &gt; Shampoo Y Acondicionador &gt;</t>
        </is>
      </c>
      <c r="L251" t="inlineStr">
        <is>
          <t>acondicionador</t>
        </is>
      </c>
      <c r="M251" t="inlineStr">
        <is>
          <t>estandar</t>
        </is>
      </c>
      <c r="N251" t="inlineStr">
        <is>
          <t>tratado</t>
        </is>
      </c>
      <c r="O251" t="inlineStr">
        <is>
          <t>https://www.farmacity.com/combo-capilatis-kerattina-hair-herapy/p</t>
        </is>
      </c>
      <c r="P251">
        <f>TRIM(CLEAN(PROPER(D251)))</f>
        <v/>
      </c>
      <c r="Q251">
        <f>PROPER(TRIM(SUBSTITUTE(SUBSTITUTE(SUBSTITUTE(SUBSTITUTE(E251,"TRESEMME","Tresemme"),"HEAD &amp; SHOULDERS","Head &amp; Shoulders"),"ELVIVE","Elvive"),"FRUCTIS","Fructis")))</f>
        <v/>
      </c>
      <c r="R251">
        <f>COUNTIF($D$2:$D$10000,D251)&gt;1</f>
        <v/>
      </c>
      <c r="S251">
        <f>IF(H251=TRUE,"Disponible","No disponible")</f>
        <v/>
      </c>
      <c r="T251">
        <f>IF(AND(ISNUMBER(I251),I251&gt;0),ROUND(F251/I251,2),"Sin volumen")</f>
        <v/>
      </c>
      <c r="U251">
        <f>IF(F251&lt;5000,"Bajo",IF(F251&lt;15000,"Medio","Alto"))</f>
        <v/>
      </c>
    </row>
    <row r="252">
      <c r="A252" s="6" t="inlineStr">
        <is>
          <t>Farmacity</t>
        </is>
      </c>
      <c r="B252" s="6" t="n">
        <v>149054</v>
      </c>
      <c r="C252" s="6" t="n">
        <v>149054</v>
      </c>
      <c r="D252" s="6" t="inlineStr">
        <is>
          <t>Eumicel Colageno 2% Ketoconazol Shampoo x 120 ml</t>
        </is>
      </c>
      <c r="E252" s="6" t="inlineStr">
        <is>
          <t>Cassara</t>
        </is>
      </c>
      <c r="F252" s="6" t="n">
        <v>22150</v>
      </c>
      <c r="G252" s="6" t="n">
        <v>22150</v>
      </c>
      <c r="H252" s="6" t="b">
        <v>1</v>
      </c>
      <c r="I252" s="6" t="n">
        <v>120</v>
      </c>
      <c r="J252" s="6" t="n">
        <v>184.5833</v>
      </c>
      <c r="K252" s="6" t="inlineStr">
        <is>
          <t>&gt; Venta Bajo Receta &gt; Dermatológico &gt;</t>
        </is>
      </c>
      <c r="L252" s="6" t="inlineStr">
        <is>
          <t>shampoo</t>
        </is>
      </c>
      <c r="M252" s="6" t="inlineStr">
        <is>
          <t>estandar</t>
        </is>
      </c>
      <c r="N252" s="6" t="inlineStr">
        <is>
          <t>general</t>
        </is>
      </c>
      <c r="O252" s="6" t="inlineStr">
        <is>
          <t>https://www.farmacity.com/eumicel-colageno-2-ketoconazol-shampoo-x-120-ml/p</t>
        </is>
      </c>
      <c r="P252" s="8">
        <f>TRIM(CLEAN(PROPER(D252)))</f>
        <v/>
      </c>
      <c r="Q252" s="8">
        <f>PROPER(TRIM(SUBSTITUTE(SUBSTITUTE(SUBSTITUTE(SUBSTITUTE(E252,"TRESEMME","Tresemme"),"HEAD &amp; SHOULDERS","Head &amp; Shoulders"),"ELVIVE","Elvive"),"FRUCTIS","Fructis")))</f>
        <v/>
      </c>
      <c r="R252" s="8">
        <f>COUNTIF($D$2:$D$10000,D252)&gt;1</f>
        <v/>
      </c>
      <c r="S252" s="8">
        <f>IF(H252=TRUE,"Disponible","No disponible")</f>
        <v/>
      </c>
      <c r="T252" s="8">
        <f>IF(AND(ISNUMBER(I252),I252&gt;0),ROUND(F252/I252,2),"Sin volumen")</f>
        <v/>
      </c>
      <c r="U252" s="8">
        <f>IF(F252&lt;5000,"Bajo",IF(F252&lt;15000,"Medio","Alto"))</f>
        <v/>
      </c>
    </row>
    <row r="253">
      <c r="A253" t="inlineStr">
        <is>
          <t>Farmacity</t>
        </is>
      </c>
      <c r="B253" t="n">
        <v>129522</v>
      </c>
      <c r="C253" t="n">
        <v>129522</v>
      </c>
      <c r="D253" t="inlineStr">
        <is>
          <t>Octopirox + Asoc Shampoo Anticaspa x 140 ml</t>
        </is>
      </c>
      <c r="E253" t="inlineStr">
        <is>
          <t>L.D.A.</t>
        </is>
      </c>
      <c r="F253" t="n">
        <v>33790</v>
      </c>
      <c r="G253" t="n">
        <v>33790</v>
      </c>
      <c r="H253" t="b">
        <v>1</v>
      </c>
      <c r="I253" t="n">
        <v>140</v>
      </c>
      <c r="J253" t="n">
        <v>241.3571</v>
      </c>
      <c r="K253" t="inlineStr">
        <is>
          <t>&gt; Venta Bajo Receta &gt; Dermatológico &gt;</t>
        </is>
      </c>
      <c r="L253" t="inlineStr">
        <is>
          <t>shampoo</t>
        </is>
      </c>
      <c r="M253" t="inlineStr">
        <is>
          <t>estandar</t>
        </is>
      </c>
      <c r="N253" t="inlineStr">
        <is>
          <t>anticaspa</t>
        </is>
      </c>
      <c r="O253" t="inlineStr">
        <is>
          <t>https://www.farmacity.com/octopirox-asoc-shampoo-anticaspa-x-140-ml/p</t>
        </is>
      </c>
      <c r="P253">
        <f>TRIM(CLEAN(PROPER(D253)))</f>
        <v/>
      </c>
      <c r="Q253">
        <f>PROPER(TRIM(SUBSTITUTE(SUBSTITUTE(SUBSTITUTE(SUBSTITUTE(E253,"TRESEMME","Tresemme"),"HEAD &amp; SHOULDERS","Head &amp; Shoulders"),"ELVIVE","Elvive"),"FRUCTIS","Fructis")))</f>
        <v/>
      </c>
      <c r="R253">
        <f>COUNTIF($D$2:$D$10000,D253)&gt;1</f>
        <v/>
      </c>
      <c r="S253">
        <f>IF(H253=TRUE,"Disponible","No disponible")</f>
        <v/>
      </c>
      <c r="T253">
        <f>IF(AND(ISNUMBER(I253),I253&gt;0),ROUND(F253/I253,2),"Sin volumen")</f>
        <v/>
      </c>
      <c r="U253">
        <f>IF(F253&lt;5000,"Bajo",IF(F253&lt;15000,"Medio","Alto"))</f>
        <v/>
      </c>
    </row>
    <row r="254">
      <c r="A254" s="6" t="inlineStr">
        <is>
          <t>Farmacity</t>
        </is>
      </c>
      <c r="B254" s="6" t="n">
        <v>241694</v>
      </c>
      <c r="C254" s="6" t="n">
        <v>241694</v>
      </c>
      <c r="D254" s="6" t="inlineStr">
        <is>
          <t>Kit Dove Bond Intense Repair Shampoo + Acondicionador</t>
        </is>
      </c>
      <c r="E254" s="6" t="inlineStr">
        <is>
          <t>Dove</t>
        </is>
      </c>
      <c r="F254" s="6" t="n">
        <v>10869</v>
      </c>
      <c r="G254" s="6" t="n">
        <v>19761</v>
      </c>
      <c r="H254" s="6" t="b">
        <v>1</v>
      </c>
      <c r="I254" s="6" t="inlineStr"/>
      <c r="J254" s="6" t="inlineStr"/>
      <c r="K254" s="6" t="inlineStr">
        <is>
          <t>&gt; Cuidado Capilar &gt; Shampoo Y Acondicionador &gt;</t>
        </is>
      </c>
      <c r="L254" s="6" t="inlineStr">
        <is>
          <t>acondicionador</t>
        </is>
      </c>
      <c r="M254" s="6" t="inlineStr">
        <is>
          <t>profesional</t>
        </is>
      </c>
      <c r="N254" s="6" t="inlineStr">
        <is>
          <t>general</t>
        </is>
      </c>
      <c r="O254" s="6" t="inlineStr">
        <is>
          <t>https://www.farmacity.com/combo-dove-bond-intense-repair-shampoo-x-400-ml-acondicionador-x-250-ml/p</t>
        </is>
      </c>
      <c r="P254" s="8">
        <f>TRIM(CLEAN(PROPER(D254)))</f>
        <v/>
      </c>
      <c r="Q254" s="8">
        <f>PROPER(TRIM(SUBSTITUTE(SUBSTITUTE(SUBSTITUTE(SUBSTITUTE(E254,"TRESEMME","Tresemme"),"HEAD &amp; SHOULDERS","Head &amp; Shoulders"),"ELVIVE","Elvive"),"FRUCTIS","Fructis")))</f>
        <v/>
      </c>
      <c r="R254" s="8">
        <f>COUNTIF($D$2:$D$10000,D254)&gt;1</f>
        <v/>
      </c>
      <c r="S254" s="8">
        <f>IF(H254=TRUE,"Disponible","No disponible")</f>
        <v/>
      </c>
      <c r="T254" s="8">
        <f>IF(AND(ISNUMBER(I254),I254&gt;0),ROUND(F254/I254,2),"Sin volumen")</f>
        <v/>
      </c>
      <c r="U254" s="8">
        <f>IF(F254&lt;5000,"Bajo",IF(F254&lt;15000,"Medio","Alto"))</f>
        <v/>
      </c>
    </row>
    <row r="255">
      <c r="A255" t="inlineStr">
        <is>
          <t>Farmacity</t>
        </is>
      </c>
      <c r="B255" t="n">
        <v>31693</v>
      </c>
      <c r="C255" t="n">
        <v>31693</v>
      </c>
      <c r="D255" t="inlineStr">
        <is>
          <t>Champu Anticaspa Tikl Ketoconazol Shampoo x 240 ml</t>
        </is>
      </c>
      <c r="E255" t="inlineStr">
        <is>
          <t>Monserrat</t>
        </is>
      </c>
      <c r="F255" t="n">
        <v>24550</v>
      </c>
      <c r="G255" t="n">
        <v>24550</v>
      </c>
      <c r="H255" t="b">
        <v>1</v>
      </c>
      <c r="I255" t="n">
        <v>240</v>
      </c>
      <c r="J255" t="n">
        <v>102.2917</v>
      </c>
      <c r="K255" t="inlineStr">
        <is>
          <t>&gt; Venta Bajo Receta &gt; Dermatológico &gt;</t>
        </is>
      </c>
      <c r="L255" t="inlineStr">
        <is>
          <t>shampoo</t>
        </is>
      </c>
      <c r="M255" t="inlineStr">
        <is>
          <t>estandar</t>
        </is>
      </c>
      <c r="N255" t="inlineStr">
        <is>
          <t>anticaspa</t>
        </is>
      </c>
      <c r="O255" t="inlineStr">
        <is>
          <t>https://www.farmacity.com/champu-anticaspa-tikl-ketoconazol-shampoo-x-240-ml/p</t>
        </is>
      </c>
      <c r="P255">
        <f>TRIM(CLEAN(PROPER(D255)))</f>
        <v/>
      </c>
      <c r="Q255">
        <f>PROPER(TRIM(SUBSTITUTE(SUBSTITUTE(SUBSTITUTE(SUBSTITUTE(E255,"TRESEMME","Tresemme"),"HEAD &amp; SHOULDERS","Head &amp; Shoulders"),"ELVIVE","Elvive"),"FRUCTIS","Fructis")))</f>
        <v/>
      </c>
      <c r="R255">
        <f>COUNTIF($D$2:$D$10000,D255)&gt;1</f>
        <v/>
      </c>
      <c r="S255">
        <f>IF(H255=TRUE,"Disponible","No disponible")</f>
        <v/>
      </c>
      <c r="T255">
        <f>IF(AND(ISNUMBER(I255),I255&gt;0),ROUND(F255/I255,2),"Sin volumen")</f>
        <v/>
      </c>
      <c r="U255">
        <f>IF(F255&lt;5000,"Bajo",IF(F255&lt;15000,"Medio","Alto"))</f>
        <v/>
      </c>
    </row>
    <row r="256">
      <c r="A256" s="6" t="inlineStr">
        <is>
          <t>Farmacity</t>
        </is>
      </c>
      <c r="B256" s="6" t="n">
        <v>237187</v>
      </c>
      <c r="C256" s="6" t="n">
        <v>237187</v>
      </c>
      <c r="D256" s="6" t="inlineStr">
        <is>
          <t>Shampoo Vichy Dercos Energizante Anticaída x 2 un x 200 ml c/u</t>
        </is>
      </c>
      <c r="E256" s="6" t="inlineStr">
        <is>
          <t>Vichy</t>
        </is>
      </c>
      <c r="F256" s="6" t="n">
        <v>74883</v>
      </c>
      <c r="G256" s="6" t="n">
        <v>106976</v>
      </c>
      <c r="H256" s="6" t="b">
        <v>1</v>
      </c>
      <c r="I256" s="6" t="n">
        <v>200</v>
      </c>
      <c r="J256" s="6" t="n">
        <v>374.415</v>
      </c>
      <c r="K256" s="6" t="inlineStr">
        <is>
          <t>&gt; Dermocosmética &gt; Pelo &gt; Shampoos y Acondicionadores &gt;</t>
        </is>
      </c>
      <c r="L256" s="6" t="inlineStr">
        <is>
          <t>shampoo</t>
        </is>
      </c>
      <c r="M256" s="6" t="inlineStr">
        <is>
          <t>estandar</t>
        </is>
      </c>
      <c r="N256" s="6" t="inlineStr">
        <is>
          <t>general</t>
        </is>
      </c>
      <c r="O256" s="6" t="inlineStr">
        <is>
          <t>https://www.farmacity.com/shampoo-vichy-dercos-energizante-anticaida-x-2-un-x-200-ml-c-u/p</t>
        </is>
      </c>
      <c r="P256" s="8">
        <f>TRIM(CLEAN(PROPER(D256)))</f>
        <v/>
      </c>
      <c r="Q256" s="8">
        <f>PROPER(TRIM(SUBSTITUTE(SUBSTITUTE(SUBSTITUTE(SUBSTITUTE(E256,"TRESEMME","Tresemme"),"HEAD &amp; SHOULDERS","Head &amp; Shoulders"),"ELVIVE","Elvive"),"FRUCTIS","Fructis")))</f>
        <v/>
      </c>
      <c r="R256" s="8">
        <f>COUNTIF($D$2:$D$10000,D256)&gt;1</f>
        <v/>
      </c>
      <c r="S256" s="8">
        <f>IF(H256=TRUE,"Disponible","No disponible")</f>
        <v/>
      </c>
      <c r="T256" s="8">
        <f>IF(AND(ISNUMBER(I256),I256&gt;0),ROUND(F256/I256,2),"Sin volumen")</f>
        <v/>
      </c>
      <c r="U256" s="8">
        <f>IF(F256&lt;5000,"Bajo",IF(F256&lt;15000,"Medio","Alto"))</f>
        <v/>
      </c>
    </row>
    <row r="257">
      <c r="A257" t="inlineStr">
        <is>
          <t>Farmacity</t>
        </is>
      </c>
      <c r="B257" t="n">
        <v>238809</v>
      </c>
      <c r="C257" t="n">
        <v>238809</v>
      </c>
      <c r="D257" t="inlineStr">
        <is>
          <t>Combo Shampoo Dercos Anti Caspa x 2 un</t>
        </is>
      </c>
      <c r="E257" t="inlineStr">
        <is>
          <t>Vichy</t>
        </is>
      </c>
      <c r="F257" t="n">
        <v>106976</v>
      </c>
      <c r="G257" t="n">
        <v>106976</v>
      </c>
      <c r="H257" t="b">
        <v>1</v>
      </c>
      <c r="I257" t="inlineStr"/>
      <c r="J257" t="inlineStr"/>
      <c r="K257" t="inlineStr">
        <is>
          <t>&gt; Dermocosmética &gt; Rostro &gt;</t>
        </is>
      </c>
      <c r="L257" t="inlineStr">
        <is>
          <t>shampoo</t>
        </is>
      </c>
      <c r="M257" t="inlineStr">
        <is>
          <t>estandar</t>
        </is>
      </c>
      <c r="N257" t="inlineStr">
        <is>
          <t>anticaspa</t>
        </is>
      </c>
      <c r="O257" t="inlineStr">
        <is>
          <t>https://www.farmacity.com/combo-shampoo-dercos-anti-caspa-x-2-u/p</t>
        </is>
      </c>
      <c r="P257">
        <f>TRIM(CLEAN(PROPER(D257)))</f>
        <v/>
      </c>
      <c r="Q257">
        <f>PROPER(TRIM(SUBSTITUTE(SUBSTITUTE(SUBSTITUTE(SUBSTITUTE(E257,"TRESEMME","Tresemme"),"HEAD &amp; SHOULDERS","Head &amp; Shoulders"),"ELVIVE","Elvive"),"FRUCTIS","Fructis")))</f>
        <v/>
      </c>
      <c r="R257">
        <f>COUNTIF($D$2:$D$10000,D257)&gt;1</f>
        <v/>
      </c>
      <c r="S257">
        <f>IF(H257=TRUE,"Disponible","No disponible")</f>
        <v/>
      </c>
      <c r="T257">
        <f>IF(AND(ISNUMBER(I257),I257&gt;0),ROUND(F257/I257,2),"Sin volumen")</f>
        <v/>
      </c>
      <c r="U257">
        <f>IF(F257&lt;5000,"Bajo",IF(F257&lt;15000,"Medio","Alto"))</f>
        <v/>
      </c>
    </row>
    <row r="258">
      <c r="A258" s="6" t="inlineStr">
        <is>
          <t>Farmacity</t>
        </is>
      </c>
      <c r="B258" s="6" t="n">
        <v>132582</v>
      </c>
      <c r="C258" s="6" t="n">
        <v>132582</v>
      </c>
      <c r="D258" s="6" t="inlineStr">
        <is>
          <t>L D A Cistina+Asoc. Shampoo x 140 ml</t>
        </is>
      </c>
      <c r="E258" s="6" t="inlineStr">
        <is>
          <t>L.D.A.</t>
        </is>
      </c>
      <c r="F258" s="6" t="n">
        <v>29566</v>
      </c>
      <c r="G258" s="6" t="n">
        <v>29566</v>
      </c>
      <c r="H258" s="6" t="b">
        <v>1</v>
      </c>
      <c r="I258" s="6" t="n">
        <v>140</v>
      </c>
      <c r="J258" s="6" t="n">
        <v>211.1857</v>
      </c>
      <c r="K258" s="6" t="inlineStr">
        <is>
          <t>&gt; Venta Bajo Receta &gt; Dermatológico &gt;</t>
        </is>
      </c>
      <c r="L258" s="6" t="inlineStr">
        <is>
          <t>shampoo</t>
        </is>
      </c>
      <c r="M258" s="6" t="inlineStr">
        <is>
          <t>estandar</t>
        </is>
      </c>
      <c r="N258" s="6" t="inlineStr">
        <is>
          <t>general</t>
        </is>
      </c>
      <c r="O258" s="6" t="inlineStr">
        <is>
          <t>https://www.farmacity.com/l-d-a-cistina-asoc-shampoo-x-140-ml/p</t>
        </is>
      </c>
      <c r="P258" s="8">
        <f>TRIM(CLEAN(PROPER(D258)))</f>
        <v/>
      </c>
      <c r="Q258" s="8">
        <f>PROPER(TRIM(SUBSTITUTE(SUBSTITUTE(SUBSTITUTE(SUBSTITUTE(E258,"TRESEMME","Tresemme"),"HEAD &amp; SHOULDERS","Head &amp; Shoulders"),"ELVIVE","Elvive"),"FRUCTIS","Fructis")))</f>
        <v/>
      </c>
      <c r="R258" s="8">
        <f>COUNTIF($D$2:$D$10000,D258)&gt;1</f>
        <v/>
      </c>
      <c r="S258" s="8">
        <f>IF(H258=TRUE,"Disponible","No disponible")</f>
        <v/>
      </c>
      <c r="T258" s="8">
        <f>IF(AND(ISNUMBER(I258),I258&gt;0),ROUND(F258/I258,2),"Sin volumen")</f>
        <v/>
      </c>
      <c r="U258" s="8">
        <f>IF(F258&lt;5000,"Bajo",IF(F258&lt;15000,"Medio","Alto"))</f>
        <v/>
      </c>
    </row>
    <row r="259">
      <c r="A259" t="inlineStr">
        <is>
          <t>Farmacity</t>
        </is>
      </c>
      <c r="B259" t="n">
        <v>27078</v>
      </c>
      <c r="C259" t="n">
        <v>27078</v>
      </c>
      <c r="D259" t="inlineStr">
        <is>
          <t>Sorsis Coaltar + Asoc. Shampoo x 200 ml</t>
        </is>
      </c>
      <c r="E259" t="inlineStr">
        <is>
          <t>Fortbenton</t>
        </is>
      </c>
      <c r="F259" t="n">
        <v>25830</v>
      </c>
      <c r="G259" t="n">
        <v>25830</v>
      </c>
      <c r="H259" t="b">
        <v>1</v>
      </c>
      <c r="I259" t="n">
        <v>200</v>
      </c>
      <c r="J259" t="n">
        <v>129.15</v>
      </c>
      <c r="K259" t="inlineStr">
        <is>
          <t>&gt; Venta Bajo Receta &gt; Dermatológico &gt;</t>
        </is>
      </c>
      <c r="L259" t="inlineStr">
        <is>
          <t>shampoo</t>
        </is>
      </c>
      <c r="M259" t="inlineStr">
        <is>
          <t>estandar</t>
        </is>
      </c>
      <c r="N259" t="inlineStr">
        <is>
          <t>general</t>
        </is>
      </c>
      <c r="O259" t="inlineStr">
        <is>
          <t>https://www.farmacity.com/sorsis-coaltar-asoc-shampoo-x-200-ml/p</t>
        </is>
      </c>
      <c r="P259">
        <f>TRIM(CLEAN(PROPER(D259)))</f>
        <v/>
      </c>
      <c r="Q259">
        <f>PROPER(TRIM(SUBSTITUTE(SUBSTITUTE(SUBSTITUTE(SUBSTITUTE(E259,"TRESEMME","Tresemme"),"HEAD &amp; SHOULDERS","Head &amp; Shoulders"),"ELVIVE","Elvive"),"FRUCTIS","Fructis")))</f>
        <v/>
      </c>
      <c r="R259">
        <f>COUNTIF($D$2:$D$10000,D259)&gt;1</f>
        <v/>
      </c>
      <c r="S259">
        <f>IF(H259=TRUE,"Disponible","No disponible")</f>
        <v/>
      </c>
      <c r="T259">
        <f>IF(AND(ISNUMBER(I259),I259&gt;0),ROUND(F259/I259,2),"Sin volumen")</f>
        <v/>
      </c>
      <c r="U259">
        <f>IF(F259&lt;5000,"Bajo",IF(F259&lt;15000,"Medio","Alto"))</f>
        <v/>
      </c>
    </row>
    <row r="260">
      <c r="A260" s="6" t="inlineStr">
        <is>
          <t>Farmacity</t>
        </is>
      </c>
      <c r="B260" s="6" t="n">
        <v>27075</v>
      </c>
      <c r="C260" s="6" t="n">
        <v>27075</v>
      </c>
      <c r="D260" s="6" t="inlineStr">
        <is>
          <t>Sorsis Coaltar + Asoc. Shampoo x 120 ml</t>
        </is>
      </c>
      <c r="E260" s="6" t="inlineStr">
        <is>
          <t>Fortbenton</t>
        </is>
      </c>
      <c r="F260" s="6" t="n">
        <v>18189</v>
      </c>
      <c r="G260" s="6" t="n">
        <v>18189</v>
      </c>
      <c r="H260" s="6" t="b">
        <v>1</v>
      </c>
      <c r="I260" s="6" t="n">
        <v>120</v>
      </c>
      <c r="J260" s="6" t="n">
        <v>151.575</v>
      </c>
      <c r="K260" s="6" t="inlineStr">
        <is>
          <t>&gt; Venta Bajo Receta &gt; Dermatológico &gt;</t>
        </is>
      </c>
      <c r="L260" s="6" t="inlineStr">
        <is>
          <t>shampoo</t>
        </is>
      </c>
      <c r="M260" s="6" t="inlineStr">
        <is>
          <t>estandar</t>
        </is>
      </c>
      <c r="N260" s="6" t="inlineStr">
        <is>
          <t>general</t>
        </is>
      </c>
      <c r="O260" s="6" t="inlineStr">
        <is>
          <t>https://www.farmacity.com/sorsis-coaltar-asoc-shampoo-x-120-ml/p</t>
        </is>
      </c>
      <c r="P260" s="8">
        <f>TRIM(CLEAN(PROPER(D260)))</f>
        <v/>
      </c>
      <c r="Q260" s="8">
        <f>PROPER(TRIM(SUBSTITUTE(SUBSTITUTE(SUBSTITUTE(SUBSTITUTE(E260,"TRESEMME","Tresemme"),"HEAD &amp; SHOULDERS","Head &amp; Shoulders"),"ELVIVE","Elvive"),"FRUCTIS","Fructis")))</f>
        <v/>
      </c>
      <c r="R260" s="8">
        <f>COUNTIF($D$2:$D$10000,D260)&gt;1</f>
        <v/>
      </c>
      <c r="S260" s="8">
        <f>IF(H260=TRUE,"Disponible","No disponible")</f>
        <v/>
      </c>
      <c r="T260" s="8">
        <f>IF(AND(ISNUMBER(I260),I260&gt;0),ROUND(F260/I260,2),"Sin volumen")</f>
        <v/>
      </c>
      <c r="U260" s="8">
        <f>IF(F260&lt;5000,"Bajo",IF(F260&lt;15000,"Medio","Alto"))</f>
        <v/>
      </c>
    </row>
    <row r="261">
      <c r="A261" t="inlineStr">
        <is>
          <t>Farmacity</t>
        </is>
      </c>
      <c r="B261" t="n">
        <v>226202</v>
      </c>
      <c r="C261" t="n">
        <v>226202</v>
      </c>
      <c r="D261" t="inlineStr">
        <is>
          <t>Kit Capilar Bebes y Niños Aveno Shampoo y Acondicionador</t>
        </is>
      </c>
      <c r="E261" t="inlineStr">
        <is>
          <t>Aveno</t>
        </is>
      </c>
      <c r="F261" t="n">
        <v>42220</v>
      </c>
      <c r="G261" t="n">
        <v>60314</v>
      </c>
      <c r="H261" t="b">
        <v>1</v>
      </c>
      <c r="I261" t="inlineStr"/>
      <c r="J261" t="inlineStr"/>
      <c r="K261" t="inlineStr">
        <is>
          <t>&gt; Cuidado Capilar &gt; Shampoo Y Acondicionador &gt;</t>
        </is>
      </c>
      <c r="L261" t="inlineStr">
        <is>
          <t>acondicionador</t>
        </is>
      </c>
      <c r="M261" t="inlineStr">
        <is>
          <t>estandar</t>
        </is>
      </c>
      <c r="N261" t="inlineStr">
        <is>
          <t>bebe</t>
        </is>
      </c>
      <c r="O261" t="inlineStr">
        <is>
          <t>https://www.farmacity.com/combo-aveno-shampoo-infantil-x-250-ml-acondicionador-infantil-x-250-ml/p</t>
        </is>
      </c>
      <c r="P261">
        <f>TRIM(CLEAN(PROPER(D261)))</f>
        <v/>
      </c>
      <c r="Q261">
        <f>PROPER(TRIM(SUBSTITUTE(SUBSTITUTE(SUBSTITUTE(SUBSTITUTE(E261,"TRESEMME","Tresemme"),"HEAD &amp; SHOULDERS","Head &amp; Shoulders"),"ELVIVE","Elvive"),"FRUCTIS","Fructis")))</f>
        <v/>
      </c>
      <c r="R261">
        <f>COUNTIF($D$2:$D$10000,D261)&gt;1</f>
        <v/>
      </c>
      <c r="S261">
        <f>IF(H261=TRUE,"Disponible","No disponible")</f>
        <v/>
      </c>
      <c r="T261">
        <f>IF(AND(ISNUMBER(I261),I261&gt;0),ROUND(F261/I261,2),"Sin volumen")</f>
        <v/>
      </c>
      <c r="U261">
        <f>IF(F261&lt;5000,"Bajo",IF(F261&lt;15000,"Medio","Alto"))</f>
        <v/>
      </c>
    </row>
    <row r="262">
      <c r="A262" s="6" t="inlineStr">
        <is>
          <t>Farmacity</t>
        </is>
      </c>
      <c r="B262" s="6" t="n">
        <v>237554</v>
      </c>
      <c r="C262" s="6" t="n">
        <v>237554</v>
      </c>
      <c r="D262" s="6" t="inlineStr">
        <is>
          <t>Kit Biferdil Ultra Brillo Bálsamo + Shampoo + Máscara</t>
        </is>
      </c>
      <c r="E262" s="6" t="inlineStr">
        <is>
          <t>Biferdil</t>
        </is>
      </c>
      <c r="F262" s="6" t="n">
        <v>32967</v>
      </c>
      <c r="G262" s="6" t="n">
        <v>43956</v>
      </c>
      <c r="H262" s="6" t="b">
        <v>1</v>
      </c>
      <c r="I262" s="6" t="inlineStr"/>
      <c r="J262" s="6" t="inlineStr"/>
      <c r="K262" s="6" t="inlineStr">
        <is>
          <t>&gt; Cuidado Capilar &gt; Shampoo Y Acondicionador &gt;</t>
        </is>
      </c>
      <c r="L262" s="6" t="inlineStr">
        <is>
          <t>tratamiento</t>
        </is>
      </c>
      <c r="M262" s="6" t="inlineStr">
        <is>
          <t>estandar</t>
        </is>
      </c>
      <c r="N262" s="6" t="inlineStr">
        <is>
          <t>general</t>
        </is>
      </c>
      <c r="O262" s="6" t="inlineStr">
        <is>
          <t>https://www.farmacity.com/kit-biferdil-ultra-brillo-balsamo-x-255-ml-shampoo-x-255-ml-mascara-x-150-ml/p</t>
        </is>
      </c>
      <c r="P262" s="8">
        <f>TRIM(CLEAN(PROPER(D262)))</f>
        <v/>
      </c>
      <c r="Q262" s="8">
        <f>PROPER(TRIM(SUBSTITUTE(SUBSTITUTE(SUBSTITUTE(SUBSTITUTE(E262,"TRESEMME","Tresemme"),"HEAD &amp; SHOULDERS","Head &amp; Shoulders"),"ELVIVE","Elvive"),"FRUCTIS","Fructis")))</f>
        <v/>
      </c>
      <c r="R262" s="8">
        <f>COUNTIF($D$2:$D$10000,D262)&gt;1</f>
        <v/>
      </c>
      <c r="S262" s="8">
        <f>IF(H262=TRUE,"Disponible","No disponible")</f>
        <v/>
      </c>
      <c r="T262" s="8">
        <f>IF(AND(ISNUMBER(I262),I262&gt;0),ROUND(F262/I262,2),"Sin volumen")</f>
        <v/>
      </c>
      <c r="U262" s="8">
        <f>IF(F262&lt;5000,"Bajo",IF(F262&lt;15000,"Medio","Alto"))</f>
        <v/>
      </c>
    </row>
    <row r="263">
      <c r="A263" t="inlineStr">
        <is>
          <t>Farmacity</t>
        </is>
      </c>
      <c r="B263" t="n">
        <v>240624</v>
      </c>
      <c r="C263" t="n">
        <v>240624</v>
      </c>
      <c r="D263" t="inlineStr">
        <is>
          <t>Kit Bagóvit Capilar Reparación Shampoo + Acondicionador + Mascarilla</t>
        </is>
      </c>
      <c r="E263" t="inlineStr">
        <is>
          <t>Bagóvit</t>
        </is>
      </c>
      <c r="F263" t="n">
        <v>29917</v>
      </c>
      <c r="G263" t="n">
        <v>29917</v>
      </c>
      <c r="H263" t="b">
        <v>1</v>
      </c>
      <c r="I263" t="inlineStr"/>
      <c r="J263" t="inlineStr"/>
      <c r="K263" t="inlineStr">
        <is>
          <t>&gt; Cuidado Capilar &gt; Shampoo Y Acondicionador &gt;</t>
        </is>
      </c>
      <c r="L263" t="inlineStr">
        <is>
          <t>acondicionador</t>
        </is>
      </c>
      <c r="M263" t="inlineStr">
        <is>
          <t>estandar</t>
        </is>
      </c>
      <c r="N263" t="inlineStr">
        <is>
          <t>general</t>
        </is>
      </c>
      <c r="O263" t="inlineStr">
        <is>
          <t>https://www.farmacity.com/kit-bagovit-capilar-reparacion-shampoo-acondicionador-mascarilla/p</t>
        </is>
      </c>
      <c r="P263">
        <f>TRIM(CLEAN(PROPER(D263)))</f>
        <v/>
      </c>
      <c r="Q263">
        <f>PROPER(TRIM(SUBSTITUTE(SUBSTITUTE(SUBSTITUTE(SUBSTITUTE(E263,"TRESEMME","Tresemme"),"HEAD &amp; SHOULDERS","Head &amp; Shoulders"),"ELVIVE","Elvive"),"FRUCTIS","Fructis")))</f>
        <v/>
      </c>
      <c r="R263">
        <f>COUNTIF($D$2:$D$10000,D263)&gt;1</f>
        <v/>
      </c>
      <c r="S263">
        <f>IF(H263=TRUE,"Disponible","No disponible")</f>
        <v/>
      </c>
      <c r="T263">
        <f>IF(AND(ISNUMBER(I263),I263&gt;0),ROUND(F263/I263,2),"Sin volumen")</f>
        <v/>
      </c>
      <c r="U263">
        <f>IF(F263&lt;5000,"Bajo",IF(F263&lt;15000,"Medio","Alto"))</f>
        <v/>
      </c>
    </row>
    <row r="264">
      <c r="A264" s="6" t="inlineStr">
        <is>
          <t>Farmacity</t>
        </is>
      </c>
      <c r="B264" s="6" t="n">
        <v>237564</v>
      </c>
      <c r="C264" s="6" t="n">
        <v>237564</v>
      </c>
      <c r="D264" s="6" t="inlineStr">
        <is>
          <t>Valcatil Complex Aminoacidos + Asoc Shampoo x 300 ml</t>
        </is>
      </c>
      <c r="E264" s="6" t="inlineStr">
        <is>
          <t>Panalab</t>
        </is>
      </c>
      <c r="F264" s="6" t="n">
        <v>60185</v>
      </c>
      <c r="G264" s="6" t="n">
        <v>60185</v>
      </c>
      <c r="H264" s="6" t="b">
        <v>1</v>
      </c>
      <c r="I264" s="6" t="n">
        <v>300</v>
      </c>
      <c r="J264" s="6" t="n">
        <v>200.6167</v>
      </c>
      <c r="K264" s="6" t="inlineStr">
        <is>
          <t>&gt; Venta Bajo Receta &gt; Sistema Digestivo y Metabolismo &gt;</t>
        </is>
      </c>
      <c r="L264" s="6" t="inlineStr">
        <is>
          <t>shampoo</t>
        </is>
      </c>
      <c r="M264" s="6" t="inlineStr">
        <is>
          <t>estandar</t>
        </is>
      </c>
      <c r="N264" s="6" t="inlineStr">
        <is>
          <t>general</t>
        </is>
      </c>
      <c r="O264" s="6" t="inlineStr">
        <is>
          <t>https://www.farmacity.com/valcatil-complex-aminoacidos-asoc-shampoo-x-300-ml/p</t>
        </is>
      </c>
      <c r="P264" s="8">
        <f>TRIM(CLEAN(PROPER(D264)))</f>
        <v/>
      </c>
      <c r="Q264" s="8">
        <f>PROPER(TRIM(SUBSTITUTE(SUBSTITUTE(SUBSTITUTE(SUBSTITUTE(E264,"TRESEMME","Tresemme"),"HEAD &amp; SHOULDERS","Head &amp; Shoulders"),"ELVIVE","Elvive"),"FRUCTIS","Fructis")))</f>
        <v/>
      </c>
      <c r="R264" s="8">
        <f>COUNTIF($D$2:$D$10000,D264)&gt;1</f>
        <v/>
      </c>
      <c r="S264" s="8">
        <f>IF(H264=TRUE,"Disponible","No disponible")</f>
        <v/>
      </c>
      <c r="T264" s="8">
        <f>IF(AND(ISNUMBER(I264),I264&gt;0),ROUND(F264/I264,2),"Sin volumen")</f>
        <v/>
      </c>
      <c r="U264" s="8">
        <f>IF(F264&lt;5000,"Bajo",IF(F264&lt;15000,"Medio","Alto"))</f>
        <v/>
      </c>
    </row>
    <row r="265">
      <c r="A265" t="inlineStr">
        <is>
          <t>Farmacity</t>
        </is>
      </c>
      <c r="B265" t="n">
        <v>237037</v>
      </c>
      <c r="C265" t="n">
        <v>237037</v>
      </c>
      <c r="D265" t="inlineStr">
        <is>
          <t>Infantil Aveno Crema + Shampoo + Gel + Solar</t>
        </is>
      </c>
      <c r="E265" t="inlineStr">
        <is>
          <t>Aveno</t>
        </is>
      </c>
      <c r="F265" t="n">
        <v>75019</v>
      </c>
      <c r="G265" t="n">
        <v>100025</v>
      </c>
      <c r="H265" t="b">
        <v>1</v>
      </c>
      <c r="I265" t="inlineStr"/>
      <c r="J265" t="inlineStr"/>
      <c r="K265" t="inlineStr">
        <is>
          <t>&gt; Bebés &gt; Higiene del Bebé &gt; Baño Del Bebé &gt;</t>
        </is>
      </c>
      <c r="L265" t="inlineStr">
        <is>
          <t>shampoo</t>
        </is>
      </c>
      <c r="M265" t="inlineStr">
        <is>
          <t>estandar</t>
        </is>
      </c>
      <c r="N265" t="inlineStr">
        <is>
          <t>bebe</t>
        </is>
      </c>
      <c r="O265" t="inlineStr">
        <is>
          <t>https://www.farmacity.com/infantil-aveno-crema-shampoo-gel-solar/p</t>
        </is>
      </c>
      <c r="P265">
        <f>TRIM(CLEAN(PROPER(D265)))</f>
        <v/>
      </c>
      <c r="Q265">
        <f>PROPER(TRIM(SUBSTITUTE(SUBSTITUTE(SUBSTITUTE(SUBSTITUTE(E265,"TRESEMME","Tresemme"),"HEAD &amp; SHOULDERS","Head &amp; Shoulders"),"ELVIVE","Elvive"),"FRUCTIS","Fructis")))</f>
        <v/>
      </c>
      <c r="R265">
        <f>COUNTIF($D$2:$D$10000,D265)&gt;1</f>
        <v/>
      </c>
      <c r="S265">
        <f>IF(H265=TRUE,"Disponible","No disponible")</f>
        <v/>
      </c>
      <c r="T265">
        <f>IF(AND(ISNUMBER(I265),I265&gt;0),ROUND(F265/I265,2),"Sin volumen")</f>
        <v/>
      </c>
      <c r="U265">
        <f>IF(F265&lt;5000,"Bajo",IF(F265&lt;15000,"Medio","Alto"))</f>
        <v/>
      </c>
    </row>
    <row r="266">
      <c r="A266" s="6" t="inlineStr">
        <is>
          <t>Farmacity</t>
        </is>
      </c>
      <c r="B266" s="6" t="n">
        <v>226197</v>
      </c>
      <c r="C266" s="6" t="n">
        <v>226197</v>
      </c>
      <c r="D266" s="6" t="inlineStr">
        <is>
          <t>Kit Cuidado Capilar Aveno Shampoo y Acondicionador 250 ml</t>
        </is>
      </c>
      <c r="E266" s="6" t="inlineStr">
        <is>
          <t>Aveno</t>
        </is>
      </c>
      <c r="F266" s="6" t="n">
        <v>41818</v>
      </c>
      <c r="G266" s="6" t="n">
        <v>59740</v>
      </c>
      <c r="H266" s="6" t="b">
        <v>1</v>
      </c>
      <c r="I266" s="6" t="n">
        <v>250</v>
      </c>
      <c r="J266" s="6" t="n">
        <v>167.272</v>
      </c>
      <c r="K266" s="6" t="inlineStr">
        <is>
          <t>&gt; Cuidado Capilar &gt; Shampoo Y Acondicionador &gt;</t>
        </is>
      </c>
      <c r="L266" s="6" t="inlineStr">
        <is>
          <t>acondicionador</t>
        </is>
      </c>
      <c r="M266" s="6" t="inlineStr">
        <is>
          <t>estandar</t>
        </is>
      </c>
      <c r="N266" s="6" t="inlineStr">
        <is>
          <t>general</t>
        </is>
      </c>
      <c r="O266" s="6" t="inlineStr">
        <is>
          <t>https://www.farmacity.com/combo-aveno-acondicionador-restaurador-capilar-x-250-ml-shampoo-hidratante-y-emoliente-para-cuero-cabelludo-reactivo-x-250-ml/p</t>
        </is>
      </c>
      <c r="P266" s="8">
        <f>TRIM(CLEAN(PROPER(D266)))</f>
        <v/>
      </c>
      <c r="Q266" s="8">
        <f>PROPER(TRIM(SUBSTITUTE(SUBSTITUTE(SUBSTITUTE(SUBSTITUTE(E266,"TRESEMME","Tresemme"),"HEAD &amp; SHOULDERS","Head &amp; Shoulders"),"ELVIVE","Elvive"),"FRUCTIS","Fructis")))</f>
        <v/>
      </c>
      <c r="R266" s="8">
        <f>COUNTIF($D$2:$D$10000,D266)&gt;1</f>
        <v/>
      </c>
      <c r="S266" s="8">
        <f>IF(H266=TRUE,"Disponible","No disponible")</f>
        <v/>
      </c>
      <c r="T266" s="8">
        <f>IF(AND(ISNUMBER(I266),I266&gt;0),ROUND(F266/I266,2),"Sin volumen")</f>
        <v/>
      </c>
      <c r="U266" s="8">
        <f>IF(F266&lt;5000,"Bajo",IF(F266&lt;15000,"Medio","Alto"))</f>
        <v/>
      </c>
    </row>
    <row r="267">
      <c r="A267" t="inlineStr">
        <is>
          <t>Farmacity</t>
        </is>
      </c>
      <c r="B267" t="n">
        <v>250538</v>
      </c>
      <c r="C267" t="n">
        <v>250538</v>
      </c>
      <c r="D267" t="inlineStr">
        <is>
          <t>Combo Dove Men Desodorante Antitranspirante + Shampoo Protección Anticaspa</t>
        </is>
      </c>
      <c r="E267" t="inlineStr">
        <is>
          <t>Dove</t>
        </is>
      </c>
      <c r="F267" t="n">
        <v>15211</v>
      </c>
      <c r="G267" t="n">
        <v>15211</v>
      </c>
      <c r="H267" t="b">
        <v>1</v>
      </c>
      <c r="I267" t="inlineStr"/>
      <c r="J267" t="inlineStr"/>
      <c r="K267" t="inlineStr">
        <is>
          <t>&gt; Cuidado Capilar &gt; Shampoo Y Acondicionador &gt;</t>
        </is>
      </c>
      <c r="L267" t="inlineStr">
        <is>
          <t>shampoo</t>
        </is>
      </c>
      <c r="M267" t="inlineStr">
        <is>
          <t>estandar</t>
        </is>
      </c>
      <c r="N267" t="inlineStr">
        <is>
          <t>anticaspa</t>
        </is>
      </c>
      <c r="O267" t="inlineStr">
        <is>
          <t>https://www.farmacity.com/combo-dove-men-desodorante-antitranspirante-shampoo-proteccion-anticaspa/p</t>
        </is>
      </c>
      <c r="P267">
        <f>TRIM(CLEAN(PROPER(D267)))</f>
        <v/>
      </c>
      <c r="Q267">
        <f>PROPER(TRIM(SUBSTITUTE(SUBSTITUTE(SUBSTITUTE(SUBSTITUTE(E267,"TRESEMME","Tresemme"),"HEAD &amp; SHOULDERS","Head &amp; Shoulders"),"ELVIVE","Elvive"),"FRUCTIS","Fructis")))</f>
        <v/>
      </c>
      <c r="R267">
        <f>COUNTIF($D$2:$D$10000,D267)&gt;1</f>
        <v/>
      </c>
      <c r="S267">
        <f>IF(H267=TRUE,"Disponible","No disponible")</f>
        <v/>
      </c>
      <c r="T267">
        <f>IF(AND(ISNUMBER(I267),I267&gt;0),ROUND(F267/I267,2),"Sin volumen")</f>
        <v/>
      </c>
      <c r="U267">
        <f>IF(F267&lt;5000,"Bajo",IF(F267&lt;15000,"Medio","Alto"))</f>
        <v/>
      </c>
    </row>
    <row r="268">
      <c r="A268" s="6" t="inlineStr">
        <is>
          <t>Farmacity</t>
        </is>
      </c>
      <c r="B268" s="6" t="n">
        <v>239183</v>
      </c>
      <c r="C268" s="6" t="n">
        <v>239183</v>
      </c>
      <c r="D268" s="6" t="inlineStr">
        <is>
          <t>Aminoterapia Advanced Vitaminas + Aminoácidos Shampoo x 200 ml</t>
        </is>
      </c>
      <c r="E268" s="6" t="inlineStr">
        <is>
          <t>Megalabs</t>
        </is>
      </c>
      <c r="F268" s="6" t="n">
        <v>39995</v>
      </c>
      <c r="G268" s="6" t="n">
        <v>39995</v>
      </c>
      <c r="H268" s="6" t="b">
        <v>1</v>
      </c>
      <c r="I268" s="6" t="n">
        <v>200</v>
      </c>
      <c r="J268" s="6" t="n">
        <v>199.975</v>
      </c>
      <c r="K268" s="6" t="inlineStr">
        <is>
          <t>&gt; Venta Bajo Receta &gt; Dermatológico &gt;</t>
        </is>
      </c>
      <c r="L268" s="6" t="inlineStr">
        <is>
          <t>shampoo</t>
        </is>
      </c>
      <c r="M268" s="6" t="inlineStr">
        <is>
          <t>estandar</t>
        </is>
      </c>
      <c r="N268" s="6" t="inlineStr">
        <is>
          <t>general</t>
        </is>
      </c>
      <c r="O268" s="6" t="inlineStr">
        <is>
          <t>https://www.farmacity.com/aminoterapia-advanced-vitaminas-aminoacidos-shampoo-x-200-ml/p</t>
        </is>
      </c>
      <c r="P268" s="8">
        <f>TRIM(CLEAN(PROPER(D268)))</f>
        <v/>
      </c>
      <c r="Q268" s="8">
        <f>PROPER(TRIM(SUBSTITUTE(SUBSTITUTE(SUBSTITUTE(SUBSTITUTE(E268,"TRESEMME","Tresemme"),"HEAD &amp; SHOULDERS","Head &amp; Shoulders"),"ELVIVE","Elvive"),"FRUCTIS","Fructis")))</f>
        <v/>
      </c>
      <c r="R268" s="8">
        <f>COUNTIF($D$2:$D$10000,D268)&gt;1</f>
        <v/>
      </c>
      <c r="S268" s="8">
        <f>IF(H268=TRUE,"Disponible","No disponible")</f>
        <v/>
      </c>
      <c r="T268" s="8">
        <f>IF(AND(ISNUMBER(I268),I268&gt;0),ROUND(F268/I268,2),"Sin volumen")</f>
        <v/>
      </c>
      <c r="U268" s="8">
        <f>IF(F268&lt;5000,"Bajo",IF(F268&lt;15000,"Medio","Alto"))</f>
        <v/>
      </c>
    </row>
    <row r="269">
      <c r="A269" t="inlineStr">
        <is>
          <t>Farmacity</t>
        </is>
      </c>
      <c r="B269" t="n">
        <v>224363</v>
      </c>
      <c r="C269" t="n">
        <v>224363</v>
      </c>
      <c r="D269" t="inlineStr">
        <is>
          <t>Targel Plus Irgasan + Asoc. Shampoo x 155 ml</t>
        </is>
      </c>
      <c r="E269" t="inlineStr">
        <is>
          <t>Lagos</t>
        </is>
      </c>
      <c r="F269" t="n">
        <v>32945</v>
      </c>
      <c r="G269" t="n">
        <v>32945</v>
      </c>
      <c r="H269" t="b">
        <v>1</v>
      </c>
      <c r="I269" t="n">
        <v>155</v>
      </c>
      <c r="J269" t="n">
        <v>212.5484</v>
      </c>
      <c r="K269" t="inlineStr">
        <is>
          <t>&gt; Venta Bajo Receta &gt; Dermatológico &gt;</t>
        </is>
      </c>
      <c r="L269" t="inlineStr">
        <is>
          <t>shampoo</t>
        </is>
      </c>
      <c r="M269" t="inlineStr">
        <is>
          <t>estandar</t>
        </is>
      </c>
      <c r="N269" t="inlineStr">
        <is>
          <t>general</t>
        </is>
      </c>
      <c r="O269" t="inlineStr">
        <is>
          <t>https://www.farmacity.com/targel-plus-irgasan-asoc-shampoo-x-155-ml/p</t>
        </is>
      </c>
      <c r="P269">
        <f>TRIM(CLEAN(PROPER(D269)))</f>
        <v/>
      </c>
      <c r="Q269">
        <f>PROPER(TRIM(SUBSTITUTE(SUBSTITUTE(SUBSTITUTE(SUBSTITUTE(E269,"TRESEMME","Tresemme"),"HEAD &amp; SHOULDERS","Head &amp; Shoulders"),"ELVIVE","Elvive"),"FRUCTIS","Fructis")))</f>
        <v/>
      </c>
      <c r="R269">
        <f>COUNTIF($D$2:$D$10000,D269)&gt;1</f>
        <v/>
      </c>
      <c r="S269">
        <f>IF(H269=TRUE,"Disponible","No disponible")</f>
        <v/>
      </c>
      <c r="T269">
        <f>IF(AND(ISNUMBER(I269),I269&gt;0),ROUND(F269/I269,2),"Sin volumen")</f>
        <v/>
      </c>
      <c r="U269">
        <f>IF(F269&lt;5000,"Bajo",IF(F269&lt;15000,"Medio","Alto"))</f>
        <v/>
      </c>
    </row>
    <row r="270">
      <c r="A270" s="6" t="inlineStr">
        <is>
          <t>Farmacity</t>
        </is>
      </c>
      <c r="B270" s="6" t="n">
        <v>223693</v>
      </c>
      <c r="C270" s="6" t="n">
        <v>223693</v>
      </c>
      <c r="D270" s="6" t="inlineStr">
        <is>
          <t>By Derm Capilar Vt Pantenol+Asoc Shampoo x 250ml</t>
        </is>
      </c>
      <c r="E270" s="6" t="inlineStr">
        <is>
          <t>Lesag</t>
        </is>
      </c>
      <c r="F270" s="6" t="n">
        <v>28780</v>
      </c>
      <c r="G270" s="6" t="n">
        <v>28780</v>
      </c>
      <c r="H270" s="6" t="b">
        <v>1</v>
      </c>
      <c r="I270" s="6" t="n">
        <v>250</v>
      </c>
      <c r="J270" s="6" t="n">
        <v>115.12</v>
      </c>
      <c r="K270" s="6" t="inlineStr">
        <is>
          <t>&gt; Venta Bajo Receta &gt; Dermatológico &gt;</t>
        </is>
      </c>
      <c r="L270" s="6" t="inlineStr">
        <is>
          <t>shampoo</t>
        </is>
      </c>
      <c r="M270" s="6" t="inlineStr">
        <is>
          <t>estandar</t>
        </is>
      </c>
      <c r="N270" s="6" t="inlineStr">
        <is>
          <t>general</t>
        </is>
      </c>
      <c r="O270" s="6" t="inlineStr">
        <is>
          <t>https://www.farmacity.com/by-derm-capilar-vt-pantenol-asoc-shampoo-x-250ml/p</t>
        </is>
      </c>
      <c r="P270" s="8">
        <f>TRIM(CLEAN(PROPER(D270)))</f>
        <v/>
      </c>
      <c r="Q270" s="8">
        <f>PROPER(TRIM(SUBSTITUTE(SUBSTITUTE(SUBSTITUTE(SUBSTITUTE(E270,"TRESEMME","Tresemme"),"HEAD &amp; SHOULDERS","Head &amp; Shoulders"),"ELVIVE","Elvive"),"FRUCTIS","Fructis")))</f>
        <v/>
      </c>
      <c r="R270" s="8">
        <f>COUNTIF($D$2:$D$10000,D270)&gt;1</f>
        <v/>
      </c>
      <c r="S270" s="8">
        <f>IF(H270=TRUE,"Disponible","No disponible")</f>
        <v/>
      </c>
      <c r="T270" s="8">
        <f>IF(AND(ISNUMBER(I270),I270&gt;0),ROUND(F270/I270,2),"Sin volumen")</f>
        <v/>
      </c>
      <c r="U270" s="8">
        <f>IF(F270&lt;5000,"Bajo",IF(F270&lt;15000,"Medio","Alto"))</f>
        <v/>
      </c>
    </row>
    <row r="271">
      <c r="A271" t="inlineStr">
        <is>
          <t>Farmacity</t>
        </is>
      </c>
      <c r="B271" t="n">
        <v>35868</v>
      </c>
      <c r="C271" t="n">
        <v>35868</v>
      </c>
      <c r="D271" t="inlineStr">
        <is>
          <t>Pitiriax Shampoo Salicílico, C. + Asoc. x 100 ml</t>
        </is>
      </c>
      <c r="E271" t="inlineStr">
        <is>
          <t>Medisol</t>
        </is>
      </c>
      <c r="F271" t="n">
        <v>12400</v>
      </c>
      <c r="G271" t="n">
        <v>12400</v>
      </c>
      <c r="H271" t="b">
        <v>1</v>
      </c>
      <c r="I271" t="n">
        <v>100</v>
      </c>
      <c r="J271" t="n">
        <v>124</v>
      </c>
      <c r="K271" t="inlineStr">
        <is>
          <t>&gt; Venta Bajo Receta &gt; Dermatológico &gt;</t>
        </is>
      </c>
      <c r="L271" t="inlineStr">
        <is>
          <t>shampoo</t>
        </is>
      </c>
      <c r="M271" t="inlineStr">
        <is>
          <t>estandar</t>
        </is>
      </c>
      <c r="N271" t="inlineStr">
        <is>
          <t>general</t>
        </is>
      </c>
      <c r="O271" t="inlineStr">
        <is>
          <t>https://www.farmacity.com/pitiriax-shampoo-salicilico-c-asoc-x-100-ml/p</t>
        </is>
      </c>
      <c r="P271">
        <f>TRIM(CLEAN(PROPER(D271)))</f>
        <v/>
      </c>
      <c r="Q271">
        <f>PROPER(TRIM(SUBSTITUTE(SUBSTITUTE(SUBSTITUTE(SUBSTITUTE(E271,"TRESEMME","Tresemme"),"HEAD &amp; SHOULDERS","Head &amp; Shoulders"),"ELVIVE","Elvive"),"FRUCTIS","Fructis")))</f>
        <v/>
      </c>
      <c r="R271">
        <f>COUNTIF($D$2:$D$10000,D271)&gt;1</f>
        <v/>
      </c>
      <c r="S271">
        <f>IF(H271=TRUE,"Disponible","No disponible")</f>
        <v/>
      </c>
      <c r="T271">
        <f>IF(AND(ISNUMBER(I271),I271&gt;0),ROUND(F271/I271,2),"Sin volumen")</f>
        <v/>
      </c>
      <c r="U271">
        <f>IF(F271&lt;5000,"Bajo",IF(F271&lt;15000,"Medio","Alto"))</f>
        <v/>
      </c>
    </row>
    <row r="272">
      <c r="A272" s="6" t="inlineStr">
        <is>
          <t>Farmacity</t>
        </is>
      </c>
      <c r="B272" s="6" t="n">
        <v>248676</v>
      </c>
      <c r="C272" s="6" t="n">
        <v>248676</v>
      </c>
      <c r="D272" s="6" t="inlineStr">
        <is>
          <t>Combo Dove Uv Repair Shampoo + Acondicionador + Oleo</t>
        </is>
      </c>
      <c r="E272" s="6" t="inlineStr">
        <is>
          <t>Dove</t>
        </is>
      </c>
      <c r="F272" s="6" t="n">
        <v>18782</v>
      </c>
      <c r="G272" s="6" t="n">
        <v>37564</v>
      </c>
      <c r="H272" s="6" t="b">
        <v>1</v>
      </c>
      <c r="I272" s="6" t="inlineStr"/>
      <c r="J272" s="6" t="inlineStr"/>
      <c r="K272" s="6" t="inlineStr">
        <is>
          <t>&gt; Cuidado Capilar &gt; Reparación Y Tratamiento &gt;</t>
        </is>
      </c>
      <c r="L272" s="6" t="inlineStr">
        <is>
          <t>acondicionador</t>
        </is>
      </c>
      <c r="M272" s="6" t="inlineStr">
        <is>
          <t>profesional</t>
        </is>
      </c>
      <c r="N272" s="6" t="inlineStr">
        <is>
          <t>general</t>
        </is>
      </c>
      <c r="O272" s="6" t="inlineStr">
        <is>
          <t>https://www.farmacity.com/combo-dove-uv-repair-shampoo-acondicionador-oleo/p</t>
        </is>
      </c>
      <c r="P272" s="8">
        <f>TRIM(CLEAN(PROPER(D272)))</f>
        <v/>
      </c>
      <c r="Q272" s="8">
        <f>PROPER(TRIM(SUBSTITUTE(SUBSTITUTE(SUBSTITUTE(SUBSTITUTE(E272,"TRESEMME","Tresemme"),"HEAD &amp; SHOULDERS","Head &amp; Shoulders"),"ELVIVE","Elvive"),"FRUCTIS","Fructis")))</f>
        <v/>
      </c>
      <c r="R272" s="8">
        <f>COUNTIF($D$2:$D$10000,D272)&gt;1</f>
        <v/>
      </c>
      <c r="S272" s="8">
        <f>IF(H272=TRUE,"Disponible","No disponible")</f>
        <v/>
      </c>
      <c r="T272" s="8">
        <f>IF(AND(ISNUMBER(I272),I272&gt;0),ROUND(F272/I272,2),"Sin volumen")</f>
        <v/>
      </c>
      <c r="U272" s="8">
        <f>IF(F272&lt;5000,"Bajo",IF(F272&lt;15000,"Medio","Alto"))</f>
        <v/>
      </c>
    </row>
    <row r="273">
      <c r="A273" t="inlineStr">
        <is>
          <t>Farmacity</t>
        </is>
      </c>
      <c r="B273" t="n">
        <v>236967</v>
      </c>
      <c r="C273" t="n">
        <v>236967</v>
      </c>
      <c r="D273" t="inlineStr">
        <is>
          <t>Kit Aveno Restaurador Capilar Acondicionador + Shampoo + Jabón</t>
        </is>
      </c>
      <c r="E273" t="inlineStr">
        <is>
          <t>Aveno</t>
        </is>
      </c>
      <c r="F273" t="n">
        <v>55337</v>
      </c>
      <c r="G273" t="n">
        <v>79053</v>
      </c>
      <c r="H273" t="b">
        <v>1</v>
      </c>
      <c r="I273" t="inlineStr"/>
      <c r="J273" t="inlineStr"/>
      <c r="K273" t="inlineStr">
        <is>
          <t>&gt; Cuidado Capilar &gt; Shampoo Y Acondicionador &gt;</t>
        </is>
      </c>
      <c r="L273" t="inlineStr">
        <is>
          <t>acondicionador</t>
        </is>
      </c>
      <c r="M273" t="inlineStr">
        <is>
          <t>estandar</t>
        </is>
      </c>
      <c r="N273" t="inlineStr">
        <is>
          <t>general</t>
        </is>
      </c>
      <c r="O273" t="inlineStr">
        <is>
          <t>https://www.farmacity.com/acondicionador-aveno-restaurador-capilar-x-250-ml-shampoo-250-ml-jabon-120-g/p</t>
        </is>
      </c>
      <c r="P273">
        <f>TRIM(CLEAN(PROPER(D273)))</f>
        <v/>
      </c>
      <c r="Q273">
        <f>PROPER(TRIM(SUBSTITUTE(SUBSTITUTE(SUBSTITUTE(SUBSTITUTE(E273,"TRESEMME","Tresemme"),"HEAD &amp; SHOULDERS","Head &amp; Shoulders"),"ELVIVE","Elvive"),"FRUCTIS","Fructis")))</f>
        <v/>
      </c>
      <c r="R273">
        <f>COUNTIF($D$2:$D$10000,D273)&gt;1</f>
        <v/>
      </c>
      <c r="S273">
        <f>IF(H273=TRUE,"Disponible","No disponible")</f>
        <v/>
      </c>
      <c r="T273">
        <f>IF(AND(ISNUMBER(I273),I273&gt;0),ROUND(F273/I273,2),"Sin volumen")</f>
        <v/>
      </c>
      <c r="U273">
        <f>IF(F273&lt;5000,"Bajo",IF(F273&lt;15000,"Medio","Alto"))</f>
        <v/>
      </c>
    </row>
    <row r="274">
      <c r="A274" s="6" t="inlineStr">
        <is>
          <t>Farmacity</t>
        </is>
      </c>
      <c r="B274" s="6" t="n">
        <v>248852</v>
      </c>
      <c r="C274" s="6" t="n">
        <v>248852</v>
      </c>
      <c r="D274" s="6" t="inlineStr">
        <is>
          <t>Combo Shampoo Dercos Energizante Anti-Caída  x 2 un</t>
        </is>
      </c>
      <c r="E274" s="6" t="inlineStr">
        <is>
          <t>Vichy</t>
        </is>
      </c>
      <c r="F274" s="6" t="n">
        <v>74883</v>
      </c>
      <c r="G274" s="6" t="n">
        <v>106976</v>
      </c>
      <c r="H274" s="6" t="b">
        <v>1</v>
      </c>
      <c r="I274" s="6" t="inlineStr"/>
      <c r="J274" s="6" t="inlineStr"/>
      <c r="K274" s="6" t="inlineStr">
        <is>
          <t>&gt; Dermocosmética &gt; Pelo &gt; Shampoos y Acondicionadores &gt;</t>
        </is>
      </c>
      <c r="L274" s="6" t="inlineStr">
        <is>
          <t>shampoo</t>
        </is>
      </c>
      <c r="M274" s="6" t="inlineStr">
        <is>
          <t>estandar</t>
        </is>
      </c>
      <c r="N274" s="6" t="inlineStr">
        <is>
          <t>general</t>
        </is>
      </c>
      <c r="O274" s="6" t="inlineStr">
        <is>
          <t>https://www.farmacity.com/combo-shampoo-dercos-energizante-anti-caida--x-2-un/p</t>
        </is>
      </c>
      <c r="P274" s="8">
        <f>TRIM(CLEAN(PROPER(D274)))</f>
        <v/>
      </c>
      <c r="Q274" s="8">
        <f>PROPER(TRIM(SUBSTITUTE(SUBSTITUTE(SUBSTITUTE(SUBSTITUTE(E274,"TRESEMME","Tresemme"),"HEAD &amp; SHOULDERS","Head &amp; Shoulders"),"ELVIVE","Elvive"),"FRUCTIS","Fructis")))</f>
        <v/>
      </c>
      <c r="R274" s="8">
        <f>COUNTIF($D$2:$D$10000,D274)&gt;1</f>
        <v/>
      </c>
      <c r="S274" s="8">
        <f>IF(H274=TRUE,"Disponible","No disponible")</f>
        <v/>
      </c>
      <c r="T274" s="8">
        <f>IF(AND(ISNUMBER(I274),I274&gt;0),ROUND(F274/I274,2),"Sin volumen")</f>
        <v/>
      </c>
      <c r="U274" s="8">
        <f>IF(F274&lt;5000,"Bajo",IF(F274&lt;15000,"Medio","Alto"))</f>
        <v/>
      </c>
    </row>
    <row r="275">
      <c r="A275" t="inlineStr">
        <is>
          <t>Farmacity</t>
        </is>
      </c>
      <c r="B275" t="n">
        <v>248857</v>
      </c>
      <c r="C275" t="n">
        <v>248857</v>
      </c>
      <c r="D275" t="inlineStr">
        <is>
          <t>Combo Dercos Ultra Reparación Shampoo + Acondicionador + Tratamiento</t>
        </is>
      </c>
      <c r="E275" t="inlineStr">
        <is>
          <t>Vichy</t>
        </is>
      </c>
      <c r="F275" t="n">
        <v>195532</v>
      </c>
      <c r="G275" t="n">
        <v>195532</v>
      </c>
      <c r="H275" t="b">
        <v>1</v>
      </c>
      <c r="I275" t="inlineStr"/>
      <c r="J275" t="inlineStr"/>
      <c r="K275" t="inlineStr">
        <is>
          <t>&gt; Dermocosmética &gt; Pelo &gt; Shampoos y Acondicionadores &gt;</t>
        </is>
      </c>
      <c r="L275" t="inlineStr">
        <is>
          <t>acondicionador</t>
        </is>
      </c>
      <c r="M275" t="inlineStr">
        <is>
          <t>estandar</t>
        </is>
      </c>
      <c r="N275" t="inlineStr">
        <is>
          <t>general</t>
        </is>
      </c>
      <c r="O275" t="inlineStr">
        <is>
          <t>https://www.farmacity.com/combo-dercos-ultra-reparacion-shampoo-acondicionador-tratamiento/p</t>
        </is>
      </c>
      <c r="P275">
        <f>TRIM(CLEAN(PROPER(D275)))</f>
        <v/>
      </c>
      <c r="Q275">
        <f>PROPER(TRIM(SUBSTITUTE(SUBSTITUTE(SUBSTITUTE(SUBSTITUTE(E275,"TRESEMME","Tresemme"),"HEAD &amp; SHOULDERS","Head &amp; Shoulders"),"ELVIVE","Elvive"),"FRUCTIS","Fructis")))</f>
        <v/>
      </c>
      <c r="R275">
        <f>COUNTIF($D$2:$D$10000,D275)&gt;1</f>
        <v/>
      </c>
      <c r="S275">
        <f>IF(H275=TRUE,"Disponible","No disponible")</f>
        <v/>
      </c>
      <c r="T275">
        <f>IF(AND(ISNUMBER(I275),I275&gt;0),ROUND(F275/I275,2),"Sin volumen")</f>
        <v/>
      </c>
      <c r="U275">
        <f>IF(F275&lt;5000,"Bajo",IF(F275&lt;15000,"Medio","Alto"))</f>
        <v/>
      </c>
    </row>
    <row r="276">
      <c r="A276" s="6" t="inlineStr">
        <is>
          <t>Farmacity</t>
        </is>
      </c>
      <c r="B276" s="6" t="n">
        <v>228358</v>
      </c>
      <c r="C276" s="6" t="n">
        <v>228358</v>
      </c>
      <c r="D276" s="6" t="inlineStr">
        <is>
          <t>Capillaire Producto Cosmético Shampoo Caspa Envase x 190 ml</t>
        </is>
      </c>
      <c r="E276" s="6" t="inlineStr">
        <is>
          <t>Cepage</t>
        </is>
      </c>
      <c r="F276" s="6" t="n">
        <v>29000</v>
      </c>
      <c r="G276" s="6" t="n">
        <v>29000</v>
      </c>
      <c r="H276" s="6" t="b">
        <v>1</v>
      </c>
      <c r="I276" s="6" t="n">
        <v>190</v>
      </c>
      <c r="J276" s="6" t="n">
        <v>152.6316</v>
      </c>
      <c r="K276" s="6" t="inlineStr">
        <is>
          <t>&gt; Venta Bajo Receta &gt; Dermatológico &gt;</t>
        </is>
      </c>
      <c r="L276" s="6" t="inlineStr">
        <is>
          <t>shampoo</t>
        </is>
      </c>
      <c r="M276" s="6" t="inlineStr">
        <is>
          <t>estandar</t>
        </is>
      </c>
      <c r="N276" s="6" t="inlineStr">
        <is>
          <t>anticaspa</t>
        </is>
      </c>
      <c r="O276" s="6" t="inlineStr">
        <is>
          <t>https://www.farmacity.com/capillaire-producto-cosmetico-shampoo-caspa-envase-x-190-ml/p</t>
        </is>
      </c>
      <c r="P276" s="8">
        <f>TRIM(CLEAN(PROPER(D276)))</f>
        <v/>
      </c>
      <c r="Q276" s="8">
        <f>PROPER(TRIM(SUBSTITUTE(SUBSTITUTE(SUBSTITUTE(SUBSTITUTE(E276,"TRESEMME","Tresemme"),"HEAD &amp; SHOULDERS","Head &amp; Shoulders"),"ELVIVE","Elvive"),"FRUCTIS","Fructis")))</f>
        <v/>
      </c>
      <c r="R276" s="8">
        <f>COUNTIF($D$2:$D$10000,D276)&gt;1</f>
        <v/>
      </c>
      <c r="S276" s="8">
        <f>IF(H276=TRUE,"Disponible","No disponible")</f>
        <v/>
      </c>
      <c r="T276" s="8">
        <f>IF(AND(ISNUMBER(I276),I276&gt;0),ROUND(F276/I276,2),"Sin volumen")</f>
        <v/>
      </c>
      <c r="U276" s="8">
        <f>IF(F276&lt;5000,"Bajo",IF(F276&lt;15000,"Medio","Alto"))</f>
        <v/>
      </c>
    </row>
    <row r="277">
      <c r="A277" t="inlineStr">
        <is>
          <t>Farmacity</t>
        </is>
      </c>
      <c r="B277" t="n">
        <v>226374</v>
      </c>
      <c r="C277" t="n">
        <v>226374</v>
      </c>
      <c r="D277" t="inlineStr">
        <is>
          <t>Combo Vichy Dercos Caida del Cabello Shampoo + Acondicionador</t>
        </is>
      </c>
      <c r="E277" t="inlineStr">
        <is>
          <t>Vichy</t>
        </is>
      </c>
      <c r="F277" t="n">
        <v>112351</v>
      </c>
      <c r="G277" t="n">
        <v>112351</v>
      </c>
      <c r="H277" t="b">
        <v>1</v>
      </c>
      <c r="I277" t="inlineStr"/>
      <c r="J277" t="inlineStr"/>
      <c r="K277" t="inlineStr">
        <is>
          <t>&gt; Dermocosmética &gt; Pelo &gt; Shampoos y Acondicionadores &gt;</t>
        </is>
      </c>
      <c r="L277" t="inlineStr">
        <is>
          <t>acondicionador</t>
        </is>
      </c>
      <c r="M277" t="inlineStr">
        <is>
          <t>estandar</t>
        </is>
      </c>
      <c r="N277" t="inlineStr">
        <is>
          <t>general</t>
        </is>
      </c>
      <c r="O277" t="inlineStr">
        <is>
          <t>https://www.farmacity.com/combo-vichy-dercos-caida-del-cabello-shampoo-acondicionador/p</t>
        </is>
      </c>
      <c r="P277">
        <f>TRIM(CLEAN(PROPER(D277)))</f>
        <v/>
      </c>
      <c r="Q277">
        <f>PROPER(TRIM(SUBSTITUTE(SUBSTITUTE(SUBSTITUTE(SUBSTITUTE(E277,"TRESEMME","Tresemme"),"HEAD &amp; SHOULDERS","Head &amp; Shoulders"),"ELVIVE","Elvive"),"FRUCTIS","Fructis")))</f>
        <v/>
      </c>
      <c r="R277">
        <f>COUNTIF($D$2:$D$10000,D277)&gt;1</f>
        <v/>
      </c>
      <c r="S277">
        <f>IF(H277=TRUE,"Disponible","No disponible")</f>
        <v/>
      </c>
      <c r="T277">
        <f>IF(AND(ISNUMBER(I277),I277&gt;0),ROUND(F277/I277,2),"Sin volumen")</f>
        <v/>
      </c>
      <c r="U277">
        <f>IF(F277&lt;5000,"Bajo",IF(F277&lt;15000,"Medio","Alto"))</f>
        <v/>
      </c>
    </row>
    <row r="278">
      <c r="A278" s="6" t="inlineStr">
        <is>
          <t>Farmacity</t>
        </is>
      </c>
      <c r="B278" s="6" t="n">
        <v>241607</v>
      </c>
      <c r="C278" s="6" t="n">
        <v>241607</v>
      </c>
      <c r="D278" s="6" t="inlineStr">
        <is>
          <t>Kit Shampoo y Acondicionador Tío Nacho Engrosador x 415 ml</t>
        </is>
      </c>
      <c r="E278" s="6" t="inlineStr">
        <is>
          <t>Tío Nacho</t>
        </is>
      </c>
      <c r="F278" s="6" t="n">
        <v>11750</v>
      </c>
      <c r="G278" s="6" t="n">
        <v>23500</v>
      </c>
      <c r="H278" s="6" t="b">
        <v>1</v>
      </c>
      <c r="I278" s="6" t="n">
        <v>415</v>
      </c>
      <c r="J278" s="6" t="n">
        <v>28.3133</v>
      </c>
      <c r="K278" s="6" t="inlineStr">
        <is>
          <t>&gt; Cuidado Capilar &gt; Shampoo Y Acondicionador &gt;</t>
        </is>
      </c>
      <c r="L278" s="6" t="inlineStr">
        <is>
          <t>acondicionador</t>
        </is>
      </c>
      <c r="M278" s="6" t="inlineStr">
        <is>
          <t>estandar</t>
        </is>
      </c>
      <c r="N278" s="6" t="inlineStr">
        <is>
          <t>general</t>
        </is>
      </c>
      <c r="O278" s="6" t="inlineStr">
        <is>
          <t>https://www.farmacity.com/combo-shampoo-y-acondicionador-tio-nacho-engrosador-x-415-ml/p</t>
        </is>
      </c>
      <c r="P278" s="8">
        <f>TRIM(CLEAN(PROPER(D278)))</f>
        <v/>
      </c>
      <c r="Q278" s="8">
        <f>PROPER(TRIM(SUBSTITUTE(SUBSTITUTE(SUBSTITUTE(SUBSTITUTE(E278,"TRESEMME","Tresemme"),"HEAD &amp; SHOULDERS","Head &amp; Shoulders"),"ELVIVE","Elvive"),"FRUCTIS","Fructis")))</f>
        <v/>
      </c>
      <c r="R278" s="8">
        <f>COUNTIF($D$2:$D$10000,D278)&gt;1</f>
        <v/>
      </c>
      <c r="S278" s="8">
        <f>IF(H278=TRUE,"Disponible","No disponible")</f>
        <v/>
      </c>
      <c r="T278" s="8">
        <f>IF(AND(ISNUMBER(I278),I278&gt;0),ROUND(F278/I278,2),"Sin volumen")</f>
        <v/>
      </c>
      <c r="U278" s="8">
        <f>IF(F278&lt;5000,"Bajo",IF(F278&lt;15000,"Medio","Alto"))</f>
        <v/>
      </c>
    </row>
    <row r="279">
      <c r="A279" t="inlineStr">
        <is>
          <t>Farmacity</t>
        </is>
      </c>
      <c r="B279" t="n">
        <v>245993</v>
      </c>
      <c r="C279" t="n">
        <v>245993</v>
      </c>
      <c r="D279" t="inlineStr">
        <is>
          <t>Combo Pantene Keratina Shampoo + Acondicionador + Crema para Peinar</t>
        </is>
      </c>
      <c r="E279" t="inlineStr">
        <is>
          <t>Pantene</t>
        </is>
      </c>
      <c r="F279" t="n">
        <v>29131</v>
      </c>
      <c r="G279" t="n">
        <v>29131</v>
      </c>
      <c r="H279" t="b">
        <v>1</v>
      </c>
      <c r="I279" t="inlineStr"/>
      <c r="J279" t="inlineStr"/>
      <c r="K279" t="inlineStr">
        <is>
          <t>&gt; Cuidado Capilar &gt; Shampoo Y Acondicionador &gt;</t>
        </is>
      </c>
      <c r="L279" t="inlineStr">
        <is>
          <t>acondicionador</t>
        </is>
      </c>
      <c r="M279" t="inlineStr">
        <is>
          <t>estandar</t>
        </is>
      </c>
      <c r="N279" t="inlineStr">
        <is>
          <t>tratado</t>
        </is>
      </c>
      <c r="O279" t="inlineStr">
        <is>
          <t>https://www.farmacity.com/combo-pantene-keratina-shampoo-acondicionador-crema-para-peinar/p</t>
        </is>
      </c>
      <c r="P279">
        <f>TRIM(CLEAN(PROPER(D279)))</f>
        <v/>
      </c>
      <c r="Q279">
        <f>PROPER(TRIM(SUBSTITUTE(SUBSTITUTE(SUBSTITUTE(SUBSTITUTE(E279,"TRESEMME","Tresemme"),"HEAD &amp; SHOULDERS","Head &amp; Shoulders"),"ELVIVE","Elvive"),"FRUCTIS","Fructis")))</f>
        <v/>
      </c>
      <c r="R279">
        <f>COUNTIF($D$2:$D$10000,D279)&gt;1</f>
        <v/>
      </c>
      <c r="S279">
        <f>IF(H279=TRUE,"Disponible","No disponible")</f>
        <v/>
      </c>
      <c r="T279">
        <f>IF(AND(ISNUMBER(I279),I279&gt;0),ROUND(F279/I279,2),"Sin volumen")</f>
        <v/>
      </c>
      <c r="U279">
        <f>IF(F279&lt;5000,"Bajo",IF(F279&lt;15000,"Medio","Alto"))</f>
        <v/>
      </c>
    </row>
    <row r="280">
      <c r="A280" s="6" t="inlineStr">
        <is>
          <t>Farmacity</t>
        </is>
      </c>
      <c r="B280" s="6" t="n">
        <v>237038</v>
      </c>
      <c r="C280" s="6" t="n">
        <v>237038</v>
      </c>
      <c r="D280" s="6" t="inlineStr">
        <is>
          <t>Infantil Aveno Crema + Shampoo + Gel + Protector Solar</t>
        </is>
      </c>
      <c r="E280" s="6" t="inlineStr">
        <is>
          <t>Aveno</t>
        </is>
      </c>
      <c r="F280" s="6" t="n">
        <v>82342</v>
      </c>
      <c r="G280" s="6" t="n">
        <v>109789</v>
      </c>
      <c r="H280" s="6" t="b">
        <v>1</v>
      </c>
      <c r="I280" s="6" t="inlineStr"/>
      <c r="J280" s="6" t="inlineStr"/>
      <c r="K280" s="6" t="inlineStr">
        <is>
          <t>&gt; Bebés &gt; Higiene del Bebé &gt; Baño Del Bebé &gt;</t>
        </is>
      </c>
      <c r="L280" s="6" t="inlineStr">
        <is>
          <t>shampoo</t>
        </is>
      </c>
      <c r="M280" s="6" t="inlineStr">
        <is>
          <t>estandar</t>
        </is>
      </c>
      <c r="N280" s="6" t="inlineStr">
        <is>
          <t>bebe</t>
        </is>
      </c>
      <c r="O280" s="6" t="inlineStr">
        <is>
          <t>https://www.farmacity.com/infantil-aveno-crema-shampoo-gel-protector-solar/p</t>
        </is>
      </c>
      <c r="P280" s="8">
        <f>TRIM(CLEAN(PROPER(D280)))</f>
        <v/>
      </c>
      <c r="Q280" s="8">
        <f>PROPER(TRIM(SUBSTITUTE(SUBSTITUTE(SUBSTITUTE(SUBSTITUTE(E280,"TRESEMME","Tresemme"),"HEAD &amp; SHOULDERS","Head &amp; Shoulders"),"ELVIVE","Elvive"),"FRUCTIS","Fructis")))</f>
        <v/>
      </c>
      <c r="R280" s="8">
        <f>COUNTIF($D$2:$D$10000,D280)&gt;1</f>
        <v/>
      </c>
      <c r="S280" s="8">
        <f>IF(H280=TRUE,"Disponible","No disponible")</f>
        <v/>
      </c>
      <c r="T280" s="8">
        <f>IF(AND(ISNUMBER(I280),I280&gt;0),ROUND(F280/I280,2),"Sin volumen")</f>
        <v/>
      </c>
      <c r="U280" s="8">
        <f>IF(F280&lt;5000,"Bajo",IF(F280&lt;15000,"Medio","Alto"))</f>
        <v/>
      </c>
    </row>
    <row r="281">
      <c r="A281" t="inlineStr">
        <is>
          <t>Farmacity</t>
        </is>
      </c>
      <c r="B281" t="n">
        <v>228690</v>
      </c>
      <c r="C281" t="n">
        <v>228690</v>
      </c>
      <c r="D281" t="inlineStr">
        <is>
          <t>Capillaire Max Aminexil + Asoc Shampoo Anticaida x 190 ml</t>
        </is>
      </c>
      <c r="E281" t="inlineStr">
        <is>
          <t>Cepage</t>
        </is>
      </c>
      <c r="F281" t="n">
        <v>29000</v>
      </c>
      <c r="G281" t="n">
        <v>29000</v>
      </c>
      <c r="H281" t="b">
        <v>1</v>
      </c>
      <c r="I281" t="n">
        <v>190</v>
      </c>
      <c r="J281" t="n">
        <v>152.6316</v>
      </c>
      <c r="K281" t="inlineStr">
        <is>
          <t>&gt; Venta Bajo Receta &gt; Dermatológico &gt;</t>
        </is>
      </c>
      <c r="L281" t="inlineStr">
        <is>
          <t>shampoo</t>
        </is>
      </c>
      <c r="M281" t="inlineStr">
        <is>
          <t>estandar</t>
        </is>
      </c>
      <c r="N281" t="inlineStr">
        <is>
          <t>general</t>
        </is>
      </c>
      <c r="O281" t="inlineStr">
        <is>
          <t>https://www.farmacity.com/capillaire-max-aminexil-asoc-shampoo-anticaida-x-190-ml/p</t>
        </is>
      </c>
      <c r="P281">
        <f>TRIM(CLEAN(PROPER(D281)))</f>
        <v/>
      </c>
      <c r="Q281">
        <f>PROPER(TRIM(SUBSTITUTE(SUBSTITUTE(SUBSTITUTE(SUBSTITUTE(E281,"TRESEMME","Tresemme"),"HEAD &amp; SHOULDERS","Head &amp; Shoulders"),"ELVIVE","Elvive"),"FRUCTIS","Fructis")))</f>
        <v/>
      </c>
      <c r="R281">
        <f>COUNTIF($D$2:$D$10000,D281)&gt;1</f>
        <v/>
      </c>
      <c r="S281">
        <f>IF(H281=TRUE,"Disponible","No disponible")</f>
        <v/>
      </c>
      <c r="T281">
        <f>IF(AND(ISNUMBER(I281),I281&gt;0),ROUND(F281/I281,2),"Sin volumen")</f>
        <v/>
      </c>
      <c r="U281">
        <f>IF(F281&lt;5000,"Bajo",IF(F281&lt;15000,"Medio","Alto"))</f>
        <v/>
      </c>
    </row>
    <row r="282">
      <c r="A282" s="6" t="inlineStr">
        <is>
          <t>Farmacity</t>
        </is>
      </c>
      <c r="B282" s="6" t="n">
        <v>248785</v>
      </c>
      <c r="C282" s="6" t="n">
        <v>248785</v>
      </c>
      <c r="D282" s="6" t="inlineStr">
        <is>
          <t>Tratamiento Pre-Shampoo Vichy Dercos Collagen 17 x 150 ml</t>
        </is>
      </c>
      <c r="E282" s="6" t="inlineStr">
        <is>
          <t>Vichy</t>
        </is>
      </c>
      <c r="F282" s="6" t="n">
        <v>71307</v>
      </c>
      <c r="G282" s="6" t="n">
        <v>71307</v>
      </c>
      <c r="H282" s="6" t="b">
        <v>1</v>
      </c>
      <c r="I282" s="6" t="n">
        <v>150</v>
      </c>
      <c r="J282" s="6" t="n">
        <v>475.38</v>
      </c>
      <c r="K282" s="6" t="inlineStr">
        <is>
          <t>&gt; Dermocosmética &gt; Pelo &gt; Shampoos y Acondicionadores &gt;</t>
        </is>
      </c>
      <c r="L282" s="6" t="inlineStr">
        <is>
          <t>tratamiento</t>
        </is>
      </c>
      <c r="M282" s="6" t="inlineStr">
        <is>
          <t>estandar</t>
        </is>
      </c>
      <c r="N282" s="6" t="inlineStr">
        <is>
          <t>general</t>
        </is>
      </c>
      <c r="O282" s="6" t="inlineStr">
        <is>
          <t>https://www.farmacity.com/shampoo-dercos-ultra-reparacion-con-colageno-x-150-ml/p</t>
        </is>
      </c>
      <c r="P282" s="8">
        <f>TRIM(CLEAN(PROPER(D282)))</f>
        <v/>
      </c>
      <c r="Q282" s="8">
        <f>PROPER(TRIM(SUBSTITUTE(SUBSTITUTE(SUBSTITUTE(SUBSTITUTE(E282,"TRESEMME","Tresemme"),"HEAD &amp; SHOULDERS","Head &amp; Shoulders"),"ELVIVE","Elvive"),"FRUCTIS","Fructis")))</f>
        <v/>
      </c>
      <c r="R282" s="8">
        <f>COUNTIF($D$2:$D$10000,D282)&gt;1</f>
        <v/>
      </c>
      <c r="S282" s="8">
        <f>IF(H282=TRUE,"Disponible","No disponible")</f>
        <v/>
      </c>
      <c r="T282" s="8">
        <f>IF(AND(ISNUMBER(I282),I282&gt;0),ROUND(F282/I282,2),"Sin volumen")</f>
        <v/>
      </c>
      <c r="U282" s="8">
        <f>IF(F282&lt;5000,"Bajo",IF(F282&lt;15000,"Medio","Alto"))</f>
        <v/>
      </c>
    </row>
    <row r="283">
      <c r="A283" t="inlineStr">
        <is>
          <t>Farmacity</t>
        </is>
      </c>
      <c r="B283" t="n">
        <v>226203</v>
      </c>
      <c r="C283" t="n">
        <v>226203</v>
      </c>
      <c r="D283" t="inlineStr">
        <is>
          <t>Kit Cuidado Infantil Aveno Gel de Baño + Shampoo + Acondicionador</t>
        </is>
      </c>
      <c r="E283" t="inlineStr">
        <is>
          <t>Aveno</t>
        </is>
      </c>
      <c r="F283" t="n">
        <v>67022</v>
      </c>
      <c r="G283" t="n">
        <v>89363</v>
      </c>
      <c r="H283" t="b">
        <v>1</v>
      </c>
      <c r="I283" t="inlineStr"/>
      <c r="J283" t="inlineStr"/>
      <c r="K283" t="inlineStr">
        <is>
          <t>&gt; Bebés &gt; Higiene del Bebé &gt; Baño Del Bebé &gt;</t>
        </is>
      </c>
      <c r="L283" t="inlineStr">
        <is>
          <t>acondicionador</t>
        </is>
      </c>
      <c r="M283" t="inlineStr">
        <is>
          <t>estandar</t>
        </is>
      </c>
      <c r="N283" t="inlineStr">
        <is>
          <t>bebe</t>
        </is>
      </c>
      <c r="O283" t="inlineStr">
        <is>
          <t>https://www.farmacity.com/combo-aveno-gel-de-bano-infantil-shampoo-infantil-x-250-ml-acondicionador-infantil-x-250-ml/p</t>
        </is>
      </c>
      <c r="P283">
        <f>TRIM(CLEAN(PROPER(D283)))</f>
        <v/>
      </c>
      <c r="Q283">
        <f>PROPER(TRIM(SUBSTITUTE(SUBSTITUTE(SUBSTITUTE(SUBSTITUTE(E283,"TRESEMME","Tresemme"),"HEAD &amp; SHOULDERS","Head &amp; Shoulders"),"ELVIVE","Elvive"),"FRUCTIS","Fructis")))</f>
        <v/>
      </c>
      <c r="R283">
        <f>COUNTIF($D$2:$D$10000,D283)&gt;1</f>
        <v/>
      </c>
      <c r="S283">
        <f>IF(H283=TRUE,"Disponible","No disponible")</f>
        <v/>
      </c>
      <c r="T283">
        <f>IF(AND(ISNUMBER(I283),I283&gt;0),ROUND(F283/I283,2),"Sin volumen")</f>
        <v/>
      </c>
      <c r="U283">
        <f>IF(F283&lt;5000,"Bajo",IF(F283&lt;15000,"Medio","Alto"))</f>
        <v/>
      </c>
    </row>
    <row r="284">
      <c r="A284" s="6" t="inlineStr">
        <is>
          <t>Farmacity</t>
        </is>
      </c>
      <c r="B284" s="6" t="n">
        <v>248677</v>
      </c>
      <c r="C284" s="6" t="n">
        <v>248677</v>
      </c>
      <c r="D284" s="6" t="inlineStr">
        <is>
          <t>Combo Dove Uv Repair Shampoo + Acondicionador + Crema Tratamiento</t>
        </is>
      </c>
      <c r="E284" s="6" t="inlineStr">
        <is>
          <t>Dove</t>
        </is>
      </c>
      <c r="F284" s="6" t="n">
        <v>18120</v>
      </c>
      <c r="G284" s="6" t="n">
        <v>36240</v>
      </c>
      <c r="H284" s="6" t="b">
        <v>1</v>
      </c>
      <c r="I284" s="6" t="inlineStr"/>
      <c r="J284" s="6" t="inlineStr"/>
      <c r="K284" s="6" t="inlineStr">
        <is>
          <t>&gt; Cuidado Capilar &gt; Reparación Y Tratamiento &gt;</t>
        </is>
      </c>
      <c r="L284" s="6" t="inlineStr">
        <is>
          <t>acondicionador</t>
        </is>
      </c>
      <c r="M284" s="6" t="inlineStr">
        <is>
          <t>profesional</t>
        </is>
      </c>
      <c r="N284" s="6" t="inlineStr">
        <is>
          <t>general</t>
        </is>
      </c>
      <c r="O284" s="6" t="inlineStr">
        <is>
          <t>https://www.farmacity.com/combo-dove-uv-repair-shampoo-acondicionador-crema-tratamiento/p</t>
        </is>
      </c>
      <c r="P284" s="8">
        <f>TRIM(CLEAN(PROPER(D284)))</f>
        <v/>
      </c>
      <c r="Q284" s="8">
        <f>PROPER(TRIM(SUBSTITUTE(SUBSTITUTE(SUBSTITUTE(SUBSTITUTE(E284,"TRESEMME","Tresemme"),"HEAD &amp; SHOULDERS","Head &amp; Shoulders"),"ELVIVE","Elvive"),"FRUCTIS","Fructis")))</f>
        <v/>
      </c>
      <c r="R284" s="8">
        <f>COUNTIF($D$2:$D$10000,D284)&gt;1</f>
        <v/>
      </c>
      <c r="S284" s="8">
        <f>IF(H284=TRUE,"Disponible","No disponible")</f>
        <v/>
      </c>
      <c r="T284" s="8">
        <f>IF(AND(ISNUMBER(I284),I284&gt;0),ROUND(F284/I284,2),"Sin volumen")</f>
        <v/>
      </c>
      <c r="U284" s="8">
        <f>IF(F284&lt;5000,"Bajo",IF(F284&lt;15000,"Medio","Alto"))</f>
        <v/>
      </c>
    </row>
    <row r="285">
      <c r="A285" t="inlineStr">
        <is>
          <t>Farmacity</t>
        </is>
      </c>
      <c r="B285" t="n">
        <v>235788</v>
      </c>
      <c r="C285" t="n">
        <v>235788</v>
      </c>
      <c r="D285" t="inlineStr">
        <is>
          <t>Kit Tío NachoShampoo y Acondicionador Aclarante x 415 ml</t>
        </is>
      </c>
      <c r="E285" t="inlineStr">
        <is>
          <t>Tío Nacho</t>
        </is>
      </c>
      <c r="F285" t="n">
        <v>11750</v>
      </c>
      <c r="G285" t="n">
        <v>23500</v>
      </c>
      <c r="H285" t="b">
        <v>1</v>
      </c>
      <c r="I285" t="n">
        <v>415</v>
      </c>
      <c r="J285" t="n">
        <v>28.3133</v>
      </c>
      <c r="K285" t="inlineStr">
        <is>
          <t>&gt; Cuidado Capilar &gt; Shampoo Y Acondicionador &gt;</t>
        </is>
      </c>
      <c r="L285" t="inlineStr">
        <is>
          <t>acondicionador</t>
        </is>
      </c>
      <c r="M285" t="inlineStr">
        <is>
          <t>estandar</t>
        </is>
      </c>
      <c r="N285" t="inlineStr">
        <is>
          <t>general</t>
        </is>
      </c>
      <c r="O285" t="inlineStr">
        <is>
          <t>https://www.farmacity.com/kit-shampoo-y-acondicionador-tio-nacho-aclarante-x-415-ml/p</t>
        </is>
      </c>
      <c r="P285">
        <f>TRIM(CLEAN(PROPER(D285)))</f>
        <v/>
      </c>
      <c r="Q285">
        <f>PROPER(TRIM(SUBSTITUTE(SUBSTITUTE(SUBSTITUTE(SUBSTITUTE(E285,"TRESEMME","Tresemme"),"HEAD &amp; SHOULDERS","Head &amp; Shoulders"),"ELVIVE","Elvive"),"FRUCTIS","Fructis")))</f>
        <v/>
      </c>
      <c r="R285">
        <f>COUNTIF($D$2:$D$10000,D285)&gt;1</f>
        <v/>
      </c>
      <c r="S285">
        <f>IF(H285=TRUE,"Disponible","No disponible")</f>
        <v/>
      </c>
      <c r="T285">
        <f>IF(AND(ISNUMBER(I285),I285&gt;0),ROUND(F285/I285,2),"Sin volumen")</f>
        <v/>
      </c>
      <c r="U285">
        <f>IF(F285&lt;5000,"Bajo",IF(F285&lt;15000,"Medio","Alto"))</f>
        <v/>
      </c>
    </row>
    <row r="286">
      <c r="A286" s="6" t="inlineStr">
        <is>
          <t>Farmacity</t>
        </is>
      </c>
      <c r="B286" s="6" t="n">
        <v>242446</v>
      </c>
      <c r="C286" s="6" t="n">
        <v>242446</v>
      </c>
      <c r="D286" s="6" t="inlineStr">
        <is>
          <t>Kit Biferdil Óleo de Argán Shampoo + Bálsamo + Máscara Capilar</t>
        </is>
      </c>
      <c r="E286" s="6" t="inlineStr">
        <is>
          <t>Biferdil</t>
        </is>
      </c>
      <c r="F286" s="6" t="n">
        <v>32481</v>
      </c>
      <c r="G286" s="6" t="n">
        <v>43308</v>
      </c>
      <c r="H286" s="6" t="b">
        <v>1</v>
      </c>
      <c r="I286" s="6" t="inlineStr"/>
      <c r="J286" s="6" t="inlineStr"/>
      <c r="K286" s="6" t="inlineStr">
        <is>
          <t>&gt; Cuidado Capilar &gt; Shampoo Y Acondicionador &gt;</t>
        </is>
      </c>
      <c r="L286" s="6" t="inlineStr">
        <is>
          <t>tratamiento</t>
        </is>
      </c>
      <c r="M286" s="6" t="inlineStr">
        <is>
          <t>estandar</t>
        </is>
      </c>
      <c r="N286" s="6" t="inlineStr">
        <is>
          <t>general</t>
        </is>
      </c>
      <c r="O286" s="6" t="inlineStr">
        <is>
          <t>https://www.farmacity.com/combo-biferdil-oleo-de-argan-shampoo-x-200-ml-balsamo-x-200-ml-mascara-capilar-x-150-ml/p</t>
        </is>
      </c>
      <c r="P286" s="8">
        <f>TRIM(CLEAN(PROPER(D286)))</f>
        <v/>
      </c>
      <c r="Q286" s="8">
        <f>PROPER(TRIM(SUBSTITUTE(SUBSTITUTE(SUBSTITUTE(SUBSTITUTE(E286,"TRESEMME","Tresemme"),"HEAD &amp; SHOULDERS","Head &amp; Shoulders"),"ELVIVE","Elvive"),"FRUCTIS","Fructis")))</f>
        <v/>
      </c>
      <c r="R286" s="8">
        <f>COUNTIF($D$2:$D$10000,D286)&gt;1</f>
        <v/>
      </c>
      <c r="S286" s="8">
        <f>IF(H286=TRUE,"Disponible","No disponible")</f>
        <v/>
      </c>
      <c r="T286" s="8">
        <f>IF(AND(ISNUMBER(I286),I286&gt;0),ROUND(F286/I286,2),"Sin volumen")</f>
        <v/>
      </c>
      <c r="U286" s="8">
        <f>IF(F286&lt;5000,"Bajo",IF(F286&lt;15000,"Medio","Alto"))</f>
        <v/>
      </c>
    </row>
    <row r="287">
      <c r="A287" t="inlineStr">
        <is>
          <t>Farmacity</t>
        </is>
      </c>
      <c r="B287" t="n">
        <v>232727</v>
      </c>
      <c r="C287" t="n">
        <v>232727</v>
      </c>
      <c r="D287" t="inlineStr">
        <is>
          <t>Pack Tio Nacho Herbolaria Shampoo + Acondicionador x 415 ml</t>
        </is>
      </c>
      <c r="E287" t="inlineStr">
        <is>
          <t>Tío Nacho</t>
        </is>
      </c>
      <c r="F287" t="n">
        <v>12743</v>
      </c>
      <c r="G287" t="n">
        <v>16991</v>
      </c>
      <c r="H287" t="b">
        <v>1</v>
      </c>
      <c r="I287" t="n">
        <v>415</v>
      </c>
      <c r="J287" t="n">
        <v>30.706</v>
      </c>
      <c r="K287" t="inlineStr">
        <is>
          <t>&gt; Cuidado Capilar &gt; Shampoo Y Acondicionador &gt;</t>
        </is>
      </c>
      <c r="L287" t="inlineStr">
        <is>
          <t>acondicionador</t>
        </is>
      </c>
      <c r="M287" t="inlineStr">
        <is>
          <t>estandar</t>
        </is>
      </c>
      <c r="N287" t="inlineStr">
        <is>
          <t>general</t>
        </is>
      </c>
      <c r="O287" t="inlineStr">
        <is>
          <t>https://www.farmacity.com/pack-tio-nacho-herbolaria-shampoo-acondicionador-x-415-ml/p</t>
        </is>
      </c>
      <c r="P287">
        <f>TRIM(CLEAN(PROPER(D287)))</f>
        <v/>
      </c>
      <c r="Q287">
        <f>PROPER(TRIM(SUBSTITUTE(SUBSTITUTE(SUBSTITUTE(SUBSTITUTE(E287,"TRESEMME","Tresemme"),"HEAD &amp; SHOULDERS","Head &amp; Shoulders"),"ELVIVE","Elvive"),"FRUCTIS","Fructis")))</f>
        <v/>
      </c>
      <c r="R287">
        <f>COUNTIF($D$2:$D$10000,D287)&gt;1</f>
        <v/>
      </c>
      <c r="S287">
        <f>IF(H287=TRUE,"Disponible","No disponible")</f>
        <v/>
      </c>
      <c r="T287">
        <f>IF(AND(ISNUMBER(I287),I287&gt;0),ROUND(F287/I287,2),"Sin volumen")</f>
        <v/>
      </c>
      <c r="U287">
        <f>IF(F287&lt;5000,"Bajo",IF(F287&lt;15000,"Medio","Alto"))</f>
        <v/>
      </c>
    </row>
    <row r="288">
      <c r="A288" s="6" t="inlineStr">
        <is>
          <t>Farmacity</t>
        </is>
      </c>
      <c r="B288" s="6" t="n">
        <v>121820</v>
      </c>
      <c r="C288" s="6" t="n">
        <v>121820</v>
      </c>
      <c r="D288" s="6" t="inlineStr">
        <is>
          <t>Salpad T Salicílico, C. + Asoc. Shampoo x 150 ml</t>
        </is>
      </c>
      <c r="E288" s="6" t="inlineStr">
        <is>
          <t>Pharmatrix</t>
        </is>
      </c>
      <c r="F288" s="6" t="n">
        <v>22399</v>
      </c>
      <c r="G288" s="6" t="n">
        <v>22399</v>
      </c>
      <c r="H288" s="6" t="b">
        <v>1</v>
      </c>
      <c r="I288" s="6" t="n">
        <v>150</v>
      </c>
      <c r="J288" s="6" t="n">
        <v>149.3267</v>
      </c>
      <c r="K288" s="6" t="inlineStr">
        <is>
          <t>&gt; Venta Bajo Receta &gt; Dermatológico &gt;</t>
        </is>
      </c>
      <c r="L288" s="6" t="inlineStr">
        <is>
          <t>shampoo</t>
        </is>
      </c>
      <c r="M288" s="6" t="inlineStr">
        <is>
          <t>estandar</t>
        </is>
      </c>
      <c r="N288" s="6" t="inlineStr">
        <is>
          <t>general</t>
        </is>
      </c>
      <c r="O288" s="6" t="inlineStr">
        <is>
          <t>https://www.farmacity.com/salpad-t-salicilico-c-asoc-shampoo-x-150-ml/p</t>
        </is>
      </c>
      <c r="P288" s="8">
        <f>TRIM(CLEAN(PROPER(D288)))</f>
        <v/>
      </c>
      <c r="Q288" s="8">
        <f>PROPER(TRIM(SUBSTITUTE(SUBSTITUTE(SUBSTITUTE(SUBSTITUTE(E288,"TRESEMME","Tresemme"),"HEAD &amp; SHOULDERS","Head &amp; Shoulders"),"ELVIVE","Elvive"),"FRUCTIS","Fructis")))</f>
        <v/>
      </c>
      <c r="R288" s="8">
        <f>COUNTIF($D$2:$D$10000,D288)&gt;1</f>
        <v/>
      </c>
      <c r="S288" s="8">
        <f>IF(H288=TRUE,"Disponible","No disponible")</f>
        <v/>
      </c>
      <c r="T288" s="8">
        <f>IF(AND(ISNUMBER(I288),I288&gt;0),ROUND(F288/I288,2),"Sin volumen")</f>
        <v/>
      </c>
      <c r="U288" s="8">
        <f>IF(F288&lt;5000,"Bajo",IF(F288&lt;15000,"Medio","Alto"))</f>
        <v/>
      </c>
    </row>
    <row r="289">
      <c r="A289" t="inlineStr">
        <is>
          <t>Farmacity</t>
        </is>
      </c>
      <c r="B289" t="n">
        <v>239338</v>
      </c>
      <c r="C289" t="n">
        <v>239338</v>
      </c>
      <c r="D289" t="inlineStr">
        <is>
          <t>Kit Rutina Fructis Hair Food Nutricion Palta: Shampoo, Acondicionador y Mascarilla</t>
        </is>
      </c>
      <c r="E289" t="inlineStr">
        <is>
          <t>Fructis</t>
        </is>
      </c>
      <c r="F289" t="n">
        <v>23640</v>
      </c>
      <c r="G289" t="n">
        <v>36370</v>
      </c>
      <c r="H289" t="b">
        <v>1</v>
      </c>
      <c r="I289" t="inlineStr"/>
      <c r="J289" t="inlineStr"/>
      <c r="K289" t="inlineStr">
        <is>
          <t>&gt; Cuidado Capilar &gt; Shampoo Y Acondicionador &gt;</t>
        </is>
      </c>
      <c r="L289" t="inlineStr">
        <is>
          <t>acondicionador</t>
        </is>
      </c>
      <c r="M289" t="inlineStr">
        <is>
          <t>estandar</t>
        </is>
      </c>
      <c r="N289" t="inlineStr">
        <is>
          <t>general</t>
        </is>
      </c>
      <c r="O289" t="inlineStr">
        <is>
          <t>https://www.farmacity.com/kit-fructis-hair-food-nutricion-palta-shampoo-acondicionador-y-mascarilla/p</t>
        </is>
      </c>
      <c r="P289">
        <f>TRIM(CLEAN(PROPER(D289)))</f>
        <v/>
      </c>
      <c r="Q289">
        <f>PROPER(TRIM(SUBSTITUTE(SUBSTITUTE(SUBSTITUTE(SUBSTITUTE(E289,"TRESEMME","Tresemme"),"HEAD &amp; SHOULDERS","Head &amp; Shoulders"),"ELVIVE","Elvive"),"FRUCTIS","Fructis")))</f>
        <v/>
      </c>
      <c r="R289">
        <f>COUNTIF($D$2:$D$10000,D289)&gt;1</f>
        <v/>
      </c>
      <c r="S289">
        <f>IF(H289=TRUE,"Disponible","No disponible")</f>
        <v/>
      </c>
      <c r="T289">
        <f>IF(AND(ISNUMBER(I289),I289&gt;0),ROUND(F289/I289,2),"Sin volumen")</f>
        <v/>
      </c>
      <c r="U289">
        <f>IF(F289&lt;5000,"Bajo",IF(F289&lt;15000,"Medio","Alto"))</f>
        <v/>
      </c>
    </row>
    <row r="290">
      <c r="A290" s="6" t="inlineStr">
        <is>
          <t>Farmacity</t>
        </is>
      </c>
      <c r="B290" s="6" t="n">
        <v>241695</v>
      </c>
      <c r="C290" s="6" t="n">
        <v>241695</v>
      </c>
      <c r="D290" s="6" t="inlineStr">
        <is>
          <t>Kit Dove Bond Intense Repair Shampoo + Acondicionador + Sérum Capilar</t>
        </is>
      </c>
      <c r="E290" s="6" t="inlineStr">
        <is>
          <t>Dove</t>
        </is>
      </c>
      <c r="F290" s="6" t="n">
        <v>18782</v>
      </c>
      <c r="G290" s="6" t="n">
        <v>37564</v>
      </c>
      <c r="H290" s="6" t="b">
        <v>1</v>
      </c>
      <c r="I290" s="6" t="inlineStr"/>
      <c r="J290" s="6" t="inlineStr"/>
      <c r="K290" s="6" t="inlineStr">
        <is>
          <t>&gt; Cuidado Capilar &gt; Shampoo Y Acondicionador &gt;</t>
        </is>
      </c>
      <c r="L290" s="6" t="inlineStr">
        <is>
          <t>acondicionador</t>
        </is>
      </c>
      <c r="M290" s="6" t="inlineStr">
        <is>
          <t>profesional</t>
        </is>
      </c>
      <c r="N290" s="6" t="inlineStr">
        <is>
          <t>general</t>
        </is>
      </c>
      <c r="O290" s="6" t="inlineStr">
        <is>
          <t>https://www.farmacity.com/combo-dove-bond-intense-repair-shampoo-x-400-ml-acondicionador-x-250-ml-serum-capilar-x-110-ml/p</t>
        </is>
      </c>
      <c r="P290" s="8">
        <f>TRIM(CLEAN(PROPER(D290)))</f>
        <v/>
      </c>
      <c r="Q290" s="8">
        <f>PROPER(TRIM(SUBSTITUTE(SUBSTITUTE(SUBSTITUTE(SUBSTITUTE(E290,"TRESEMME","Tresemme"),"HEAD &amp; SHOULDERS","Head &amp; Shoulders"),"ELVIVE","Elvive"),"FRUCTIS","Fructis")))</f>
        <v/>
      </c>
      <c r="R290" s="8">
        <f>COUNTIF($D$2:$D$10000,D290)&gt;1</f>
        <v/>
      </c>
      <c r="S290" s="8">
        <f>IF(H290=TRUE,"Disponible","No disponible")</f>
        <v/>
      </c>
      <c r="T290" s="8">
        <f>IF(AND(ISNUMBER(I290),I290&gt;0),ROUND(F290/I290,2),"Sin volumen")</f>
        <v/>
      </c>
      <c r="U290" s="8">
        <f>IF(F290&lt;5000,"Bajo",IF(F290&lt;15000,"Medio","Alto"))</f>
        <v/>
      </c>
    </row>
    <row r="291">
      <c r="A291" t="inlineStr">
        <is>
          <t>Farmacity</t>
        </is>
      </c>
      <c r="B291" t="n">
        <v>241608</v>
      </c>
      <c r="C291" t="n">
        <v>241608</v>
      </c>
      <c r="D291" t="inlineStr">
        <is>
          <t>Kit Shampoo y Acondicionador Tío Nacho Herbolaria Milenaria x 415 ml</t>
        </is>
      </c>
      <c r="E291" t="inlineStr">
        <is>
          <t>Tío Nacho</t>
        </is>
      </c>
      <c r="F291" t="n">
        <v>11750</v>
      </c>
      <c r="G291" t="n">
        <v>23500</v>
      </c>
      <c r="H291" t="b">
        <v>1</v>
      </c>
      <c r="I291" t="n">
        <v>415</v>
      </c>
      <c r="J291" t="n">
        <v>28.3133</v>
      </c>
      <c r="K291" t="inlineStr">
        <is>
          <t>&gt; Cuidado Capilar &gt; Shampoo Y Acondicionador &gt;</t>
        </is>
      </c>
      <c r="L291" t="inlineStr">
        <is>
          <t>acondicionador</t>
        </is>
      </c>
      <c r="M291" t="inlineStr">
        <is>
          <t>estandar</t>
        </is>
      </c>
      <c r="N291" t="inlineStr">
        <is>
          <t>general</t>
        </is>
      </c>
      <c r="O291" t="inlineStr">
        <is>
          <t>https://www.farmacity.com/combo-shampoo-y-acondicionador-tio-nacho-herbolaria-milenaria-x-415-ml/p</t>
        </is>
      </c>
      <c r="P291">
        <f>TRIM(CLEAN(PROPER(D291)))</f>
        <v/>
      </c>
      <c r="Q291">
        <f>PROPER(TRIM(SUBSTITUTE(SUBSTITUTE(SUBSTITUTE(SUBSTITUTE(E291,"TRESEMME","Tresemme"),"HEAD &amp; SHOULDERS","Head &amp; Shoulders"),"ELVIVE","Elvive"),"FRUCTIS","Fructis")))</f>
        <v/>
      </c>
      <c r="R291">
        <f>COUNTIF($D$2:$D$10000,D291)&gt;1</f>
        <v/>
      </c>
      <c r="S291">
        <f>IF(H291=TRUE,"Disponible","No disponible")</f>
        <v/>
      </c>
      <c r="T291">
        <f>IF(AND(ISNUMBER(I291),I291&gt;0),ROUND(F291/I291,2),"Sin volumen")</f>
        <v/>
      </c>
      <c r="U291">
        <f>IF(F291&lt;5000,"Bajo",IF(F291&lt;15000,"Medio","Alto"))</f>
        <v/>
      </c>
    </row>
    <row r="292">
      <c r="A292" s="6" t="inlineStr">
        <is>
          <t>Farmacity</t>
        </is>
      </c>
      <c r="B292" s="6" t="n">
        <v>239339</v>
      </c>
      <c r="C292" s="6" t="n">
        <v>239339</v>
      </c>
      <c r="D292" s="6" t="inlineStr">
        <is>
          <t>Kit Rutina Fructis Hair Food Reparación Coco: Shampoo, Acondicionador y Mascarilla</t>
        </is>
      </c>
      <c r="E292" s="6" t="inlineStr">
        <is>
          <t>Fructis</t>
        </is>
      </c>
      <c r="F292" s="6" t="n">
        <v>23640</v>
      </c>
      <c r="G292" s="6" t="n">
        <v>36370</v>
      </c>
      <c r="H292" s="6" t="b">
        <v>1</v>
      </c>
      <c r="I292" s="6" t="inlineStr"/>
      <c r="J292" s="6" t="inlineStr"/>
      <c r="K292" s="6" t="inlineStr">
        <is>
          <t>&gt; Cuidado Capilar &gt; Shampoo Y Acondicionador &gt;</t>
        </is>
      </c>
      <c r="L292" s="6" t="inlineStr">
        <is>
          <t>acondicionador</t>
        </is>
      </c>
      <c r="M292" s="6" t="inlineStr">
        <is>
          <t>estandar</t>
        </is>
      </c>
      <c r="N292" s="6" t="inlineStr">
        <is>
          <t>general</t>
        </is>
      </c>
      <c r="O292" s="6" t="inlineStr">
        <is>
          <t>https://www.farmacity.com/kit-rutina-fructis-hair-food-reparacion-coco-shampoo-acondicionador-y-mascarilla/p</t>
        </is>
      </c>
      <c r="P292" s="8">
        <f>TRIM(CLEAN(PROPER(D292)))</f>
        <v/>
      </c>
      <c r="Q292" s="8">
        <f>PROPER(TRIM(SUBSTITUTE(SUBSTITUTE(SUBSTITUTE(SUBSTITUTE(E292,"TRESEMME","Tresemme"),"HEAD &amp; SHOULDERS","Head &amp; Shoulders"),"ELVIVE","Elvive"),"FRUCTIS","Fructis")))</f>
        <v/>
      </c>
      <c r="R292" s="8">
        <f>COUNTIF($D$2:$D$10000,D292)&gt;1</f>
        <v/>
      </c>
      <c r="S292" s="8">
        <f>IF(H292=TRUE,"Disponible","No disponible")</f>
        <v/>
      </c>
      <c r="T292" s="8">
        <f>IF(AND(ISNUMBER(I292),I292&gt;0),ROUND(F292/I292,2),"Sin volumen")</f>
        <v/>
      </c>
      <c r="U292" s="8">
        <f>IF(F292&lt;5000,"Bajo",IF(F292&lt;15000,"Medio","Alto"))</f>
        <v/>
      </c>
    </row>
    <row r="293">
      <c r="A293" t="inlineStr">
        <is>
          <t>Farmacity</t>
        </is>
      </c>
      <c r="B293" t="n">
        <v>237039</v>
      </c>
      <c r="C293" t="n">
        <v>237039</v>
      </c>
      <c r="D293" t="inlineStr">
        <is>
          <t>Kit Cuidado Capilar Biferdil Shampoo + Bálsamo + Máscara 100% Vegano</t>
        </is>
      </c>
      <c r="E293" t="inlineStr">
        <is>
          <t>Biferdil</t>
        </is>
      </c>
      <c r="F293" t="n">
        <v>25110</v>
      </c>
      <c r="G293" t="n">
        <v>33480</v>
      </c>
      <c r="H293" t="b">
        <v>1</v>
      </c>
      <c r="I293" t="inlineStr"/>
      <c r="J293" t="inlineStr"/>
      <c r="K293" t="inlineStr">
        <is>
          <t>&gt; Cuidado Capilar &gt; Shampoo Y Acondicionador &gt;</t>
        </is>
      </c>
      <c r="L293" t="inlineStr">
        <is>
          <t>tratamiento</t>
        </is>
      </c>
      <c r="M293" t="inlineStr">
        <is>
          <t>estandar</t>
        </is>
      </c>
      <c r="N293" t="inlineStr">
        <is>
          <t>general</t>
        </is>
      </c>
      <c r="O293" t="inlineStr">
        <is>
          <t>https://www.farmacity.com/kit-cuidado-capilar-biferdil-shampoo-balsamo-mascara-100-vegano/p</t>
        </is>
      </c>
      <c r="P293">
        <f>TRIM(CLEAN(PROPER(D293)))</f>
        <v/>
      </c>
      <c r="Q293">
        <f>PROPER(TRIM(SUBSTITUTE(SUBSTITUTE(SUBSTITUTE(SUBSTITUTE(E293,"TRESEMME","Tresemme"),"HEAD &amp; SHOULDERS","Head &amp; Shoulders"),"ELVIVE","Elvive"),"FRUCTIS","Fructis")))</f>
        <v/>
      </c>
      <c r="R293">
        <f>COUNTIF($D$2:$D$10000,D293)&gt;1</f>
        <v/>
      </c>
      <c r="S293">
        <f>IF(H293=TRUE,"Disponible","No disponible")</f>
        <v/>
      </c>
      <c r="T293">
        <f>IF(AND(ISNUMBER(I293),I293&gt;0),ROUND(F293/I293,2),"Sin volumen")</f>
        <v/>
      </c>
      <c r="U293">
        <f>IF(F293&lt;5000,"Bajo",IF(F293&lt;15000,"Medio","Alto"))</f>
        <v/>
      </c>
    </row>
    <row r="294">
      <c r="A294" s="6" t="inlineStr">
        <is>
          <t>Farmacity</t>
        </is>
      </c>
      <c r="B294" s="6" t="n">
        <v>249167</v>
      </c>
      <c r="C294" s="6" t="n">
        <v>249167</v>
      </c>
      <c r="D294" s="6" t="inlineStr">
        <is>
          <t>Combo Farmacity Bebé: Shampoo Avena + Baño Líquido + Colonia +Toalla</t>
        </is>
      </c>
      <c r="E294" s="6" t="inlineStr">
        <is>
          <t>Farmacity</t>
        </is>
      </c>
      <c r="F294" s="6" t="n">
        <v>39600</v>
      </c>
      <c r="G294" s="6" t="n">
        <v>39600</v>
      </c>
      <c r="H294" s="6" t="b">
        <v>1</v>
      </c>
      <c r="I294" s="6" t="inlineStr"/>
      <c r="J294" s="6" t="inlineStr"/>
      <c r="K294" s="6" t="inlineStr">
        <is>
          <t>&gt; Bebés &gt; Higiene del Bebé &gt; Baño Del Bebé &gt;</t>
        </is>
      </c>
      <c r="L294" s="6" t="inlineStr">
        <is>
          <t>shampoo</t>
        </is>
      </c>
      <c r="M294" s="6" t="inlineStr">
        <is>
          <t>estandar</t>
        </is>
      </c>
      <c r="N294" s="6" t="inlineStr">
        <is>
          <t>bebe</t>
        </is>
      </c>
      <c r="O294" s="6" t="inlineStr">
        <is>
          <t>https://www.farmacity.com/combo-farmacity-bebe-shampoo-avena-bano-liquido-colonia-toalla/p</t>
        </is>
      </c>
      <c r="P294" s="8">
        <f>TRIM(CLEAN(PROPER(D294)))</f>
        <v/>
      </c>
      <c r="Q294" s="8">
        <f>PROPER(TRIM(SUBSTITUTE(SUBSTITUTE(SUBSTITUTE(SUBSTITUTE(E294,"TRESEMME","Tresemme"),"HEAD &amp; SHOULDERS","Head &amp; Shoulders"),"ELVIVE","Elvive"),"FRUCTIS","Fructis")))</f>
        <v/>
      </c>
      <c r="R294" s="8">
        <f>COUNTIF($D$2:$D$10000,D294)&gt;1</f>
        <v/>
      </c>
      <c r="S294" s="8">
        <f>IF(H294=TRUE,"Disponible","No disponible")</f>
        <v/>
      </c>
      <c r="T294" s="8">
        <f>IF(AND(ISNUMBER(I294),I294&gt;0),ROUND(F294/I294,2),"Sin volumen")</f>
        <v/>
      </c>
      <c r="U294" s="8">
        <f>IF(F294&lt;5000,"Bajo",IF(F294&lt;15000,"Medio","Alto"))</f>
        <v/>
      </c>
    </row>
    <row r="295">
      <c r="A295" t="inlineStr">
        <is>
          <t>Farmacity</t>
        </is>
      </c>
      <c r="B295" t="n">
        <v>248851</v>
      </c>
      <c r="C295" t="n">
        <v>248851</v>
      </c>
      <c r="D295" t="inlineStr">
        <is>
          <t>Combo Shampoo Dercos Anti Caspa x 200 ml x 2 un</t>
        </is>
      </c>
      <c r="E295" t="inlineStr">
        <is>
          <t>Vichy</t>
        </is>
      </c>
      <c r="F295" t="n">
        <v>106976</v>
      </c>
      <c r="G295" t="n">
        <v>106976</v>
      </c>
      <c r="H295" t="b">
        <v>1</v>
      </c>
      <c r="I295" t="n">
        <v>200</v>
      </c>
      <c r="J295" t="n">
        <v>534.88</v>
      </c>
      <c r="K295" t="inlineStr">
        <is>
          <t>&gt; Dermocosmética &gt; Pelo &gt; Shampoos y Acondicionadores &gt;</t>
        </is>
      </c>
      <c r="L295" t="inlineStr">
        <is>
          <t>shampoo</t>
        </is>
      </c>
      <c r="M295" t="inlineStr">
        <is>
          <t>estandar</t>
        </is>
      </c>
      <c r="N295" t="inlineStr">
        <is>
          <t>anticaspa</t>
        </is>
      </c>
      <c r="O295" t="inlineStr">
        <is>
          <t>https://www.farmacity.com/combo-shampoo-dercos-anti-caspa-x-200-ml-x-2-un/p</t>
        </is>
      </c>
      <c r="P295">
        <f>TRIM(CLEAN(PROPER(D295)))</f>
        <v/>
      </c>
      <c r="Q295">
        <f>PROPER(TRIM(SUBSTITUTE(SUBSTITUTE(SUBSTITUTE(SUBSTITUTE(E295,"TRESEMME","Tresemme"),"HEAD &amp; SHOULDERS","Head &amp; Shoulders"),"ELVIVE","Elvive"),"FRUCTIS","Fructis")))</f>
        <v/>
      </c>
      <c r="R295">
        <f>COUNTIF($D$2:$D$10000,D295)&gt;1</f>
        <v/>
      </c>
      <c r="S295">
        <f>IF(H295=TRUE,"Disponible","No disponible")</f>
        <v/>
      </c>
      <c r="T295">
        <f>IF(AND(ISNUMBER(I295),I295&gt;0),ROUND(F295/I295,2),"Sin volumen")</f>
        <v/>
      </c>
      <c r="U295">
        <f>IF(F295&lt;5000,"Bajo",IF(F295&lt;15000,"Medio","Alto"))</f>
        <v/>
      </c>
    </row>
    <row r="296">
      <c r="A296" s="6" t="inlineStr">
        <is>
          <t>Farmacity</t>
        </is>
      </c>
      <c r="B296" s="6" t="n">
        <v>240625</v>
      </c>
      <c r="C296" s="6" t="n">
        <v>240625</v>
      </c>
      <c r="D296" s="6" t="inlineStr">
        <is>
          <t>Kit Bagóvit Capilar Pelo Largo Shampoo + Acondicionador + Crema para Peinar</t>
        </is>
      </c>
      <c r="E296" s="6" t="inlineStr">
        <is>
          <t>Bagóvit</t>
        </is>
      </c>
      <c r="F296" s="6" t="n">
        <v>29916</v>
      </c>
      <c r="G296" s="6" t="n">
        <v>29916</v>
      </c>
      <c r="H296" s="6" t="b">
        <v>1</v>
      </c>
      <c r="I296" s="6" t="inlineStr"/>
      <c r="J296" s="6" t="inlineStr"/>
      <c r="K296" s="6" t="inlineStr">
        <is>
          <t>&gt; Cuidado Capilar &gt; Shampoo Y Acondicionador &gt;</t>
        </is>
      </c>
      <c r="L296" s="6" t="inlineStr">
        <is>
          <t>acondicionador</t>
        </is>
      </c>
      <c r="M296" s="6" t="inlineStr">
        <is>
          <t>estandar</t>
        </is>
      </c>
      <c r="N296" s="6" t="inlineStr">
        <is>
          <t>general</t>
        </is>
      </c>
      <c r="O296" s="6" t="inlineStr">
        <is>
          <t>https://www.farmacity.com/kit-bagovit-capilar-pelo-largo-shampoo-acondicionador-crema-para-peinar/p</t>
        </is>
      </c>
      <c r="P296" s="8">
        <f>TRIM(CLEAN(PROPER(D296)))</f>
        <v/>
      </c>
      <c r="Q296" s="8">
        <f>PROPER(TRIM(SUBSTITUTE(SUBSTITUTE(SUBSTITUTE(SUBSTITUTE(E296,"TRESEMME","Tresemme"),"HEAD &amp; SHOULDERS","Head &amp; Shoulders"),"ELVIVE","Elvive"),"FRUCTIS","Fructis")))</f>
        <v/>
      </c>
      <c r="R296" s="8">
        <f>COUNTIF($D$2:$D$10000,D296)&gt;1</f>
        <v/>
      </c>
      <c r="S296" s="8">
        <f>IF(H296=TRUE,"Disponible","No disponible")</f>
        <v/>
      </c>
      <c r="T296" s="8">
        <f>IF(AND(ISNUMBER(I296),I296&gt;0),ROUND(F296/I296,2),"Sin volumen")</f>
        <v/>
      </c>
      <c r="U296" s="8">
        <f>IF(F296&lt;5000,"Bajo",IF(F296&lt;15000,"Medio","Alto"))</f>
        <v/>
      </c>
    </row>
    <row r="297">
      <c r="A297" t="inlineStr">
        <is>
          <t>Farmacity</t>
        </is>
      </c>
      <c r="B297" t="n">
        <v>223446</v>
      </c>
      <c r="C297" t="n">
        <v>223446</v>
      </c>
      <c r="D297" t="inlineStr">
        <is>
          <t>Valcatil Max Biotina + Metionina + Asoc. Shampoo x 300 ml</t>
        </is>
      </c>
      <c r="E297" t="inlineStr">
        <is>
          <t>Panalab</t>
        </is>
      </c>
      <c r="F297" t="n">
        <v>51430</v>
      </c>
      <c r="G297" t="n">
        <v>51430</v>
      </c>
      <c r="H297" t="b">
        <v>1</v>
      </c>
      <c r="I297" t="n">
        <v>300</v>
      </c>
      <c r="J297" t="n">
        <v>171.4333</v>
      </c>
      <c r="K297" t="inlineStr">
        <is>
          <t>&gt; Venta Bajo Receta &gt; Dermatológico &gt;</t>
        </is>
      </c>
      <c r="L297" t="inlineStr">
        <is>
          <t>shampoo</t>
        </is>
      </c>
      <c r="M297" t="inlineStr">
        <is>
          <t>estandar</t>
        </is>
      </c>
      <c r="N297" t="inlineStr">
        <is>
          <t>general</t>
        </is>
      </c>
      <c r="O297" t="inlineStr">
        <is>
          <t>https://www.farmacity.com/valcatil-max-biotina-metionina-asoc-shampoo-x-300-ml/p</t>
        </is>
      </c>
      <c r="P297">
        <f>TRIM(CLEAN(PROPER(D297)))</f>
        <v/>
      </c>
      <c r="Q297">
        <f>PROPER(TRIM(SUBSTITUTE(SUBSTITUTE(SUBSTITUTE(SUBSTITUTE(E297,"TRESEMME","Tresemme"),"HEAD &amp; SHOULDERS","Head &amp; Shoulders"),"ELVIVE","Elvive"),"FRUCTIS","Fructis")))</f>
        <v/>
      </c>
      <c r="R297">
        <f>COUNTIF($D$2:$D$10000,D297)&gt;1</f>
        <v/>
      </c>
      <c r="S297">
        <f>IF(H297=TRUE,"Disponible","No disponible")</f>
        <v/>
      </c>
      <c r="T297">
        <f>IF(AND(ISNUMBER(I297),I297&gt;0),ROUND(F297/I297,2),"Sin volumen")</f>
        <v/>
      </c>
      <c r="U297">
        <f>IF(F297&lt;5000,"Bajo",IF(F297&lt;15000,"Medio","Alto"))</f>
        <v/>
      </c>
    </row>
    <row r="298">
      <c r="A298" s="6" t="inlineStr">
        <is>
          <t>Farmacity</t>
        </is>
      </c>
      <c r="B298" s="6" t="n">
        <v>248678</v>
      </c>
      <c r="C298" s="6" t="n">
        <v>248678</v>
      </c>
      <c r="D298" s="6" t="inlineStr">
        <is>
          <t>Combo Dove Uv Repair Shampoo + Acondicionador + Oleo + Crema</t>
        </is>
      </c>
      <c r="E298" s="6" t="inlineStr">
        <is>
          <t>Dove</t>
        </is>
      </c>
      <c r="F298" s="6" t="n">
        <v>27021</v>
      </c>
      <c r="G298" s="6" t="n">
        <v>54043</v>
      </c>
      <c r="H298" s="6" t="b">
        <v>1</v>
      </c>
      <c r="I298" s="6" t="inlineStr"/>
      <c r="J298" s="6" t="inlineStr"/>
      <c r="K298" s="6" t="inlineStr">
        <is>
          <t>&gt; Cuidado Capilar &gt; Reparación Y Tratamiento &gt;</t>
        </is>
      </c>
      <c r="L298" s="6" t="inlineStr">
        <is>
          <t>acondicionador</t>
        </is>
      </c>
      <c r="M298" s="6" t="inlineStr">
        <is>
          <t>profesional</t>
        </is>
      </c>
      <c r="N298" s="6" t="inlineStr">
        <is>
          <t>general</t>
        </is>
      </c>
      <c r="O298" s="6" t="inlineStr">
        <is>
          <t>https://www.farmacity.com/combo-dove-uv-repair-shampoo-acondicionador-oleo-crema/p</t>
        </is>
      </c>
      <c r="P298" s="8">
        <f>TRIM(CLEAN(PROPER(D298)))</f>
        <v/>
      </c>
      <c r="Q298" s="8">
        <f>PROPER(TRIM(SUBSTITUTE(SUBSTITUTE(SUBSTITUTE(SUBSTITUTE(E298,"TRESEMME","Tresemme"),"HEAD &amp; SHOULDERS","Head &amp; Shoulders"),"ELVIVE","Elvive"),"FRUCTIS","Fructis")))</f>
        <v/>
      </c>
      <c r="R298" s="8">
        <f>COUNTIF($D$2:$D$10000,D298)&gt;1</f>
        <v/>
      </c>
      <c r="S298" s="8">
        <f>IF(H298=TRUE,"Disponible","No disponible")</f>
        <v/>
      </c>
      <c r="T298" s="8">
        <f>IF(AND(ISNUMBER(I298),I298&gt;0),ROUND(F298/I298,2),"Sin volumen")</f>
        <v/>
      </c>
      <c r="U298" s="8">
        <f>IF(F298&lt;5000,"Bajo",IF(F298&lt;15000,"Medio","Alto"))</f>
        <v/>
      </c>
    </row>
    <row r="299">
      <c r="A299" t="inlineStr">
        <is>
          <t>Farmacity</t>
        </is>
      </c>
      <c r="B299" t="n">
        <v>237041</v>
      </c>
      <c r="C299" t="n">
        <v>237041</v>
      </c>
      <c r="D299" t="inlineStr">
        <is>
          <t>Combo Capilar Biferdil Shampoo + Bálsamo + Máscara Nutrición con Vitamina E</t>
        </is>
      </c>
      <c r="E299" t="inlineStr">
        <is>
          <t>Biferdil</t>
        </is>
      </c>
      <c r="F299" t="n">
        <v>27378</v>
      </c>
      <c r="G299" t="n">
        <v>36504</v>
      </c>
      <c r="H299" t="b">
        <v>1</v>
      </c>
      <c r="I299" t="inlineStr"/>
      <c r="J299" t="inlineStr"/>
      <c r="K299" t="inlineStr">
        <is>
          <t>&gt; Cuidado Capilar &gt; Shampoo Y Acondicionador &gt;</t>
        </is>
      </c>
      <c r="L299" t="inlineStr">
        <is>
          <t>shampoo</t>
        </is>
      </c>
      <c r="M299" t="inlineStr">
        <is>
          <t>estandar</t>
        </is>
      </c>
      <c r="N299" t="inlineStr">
        <is>
          <t>general</t>
        </is>
      </c>
      <c r="O299" t="inlineStr">
        <is>
          <t>https://www.farmacity.com/kit-capilar-biferdil-shampoo-balsamo-mascara-nutricion-con-vitamina-e/p</t>
        </is>
      </c>
      <c r="P299">
        <f>TRIM(CLEAN(PROPER(D299)))</f>
        <v/>
      </c>
      <c r="Q299">
        <f>PROPER(TRIM(SUBSTITUTE(SUBSTITUTE(SUBSTITUTE(SUBSTITUTE(E299,"TRESEMME","Tresemme"),"HEAD &amp; SHOULDERS","Head &amp; Shoulders"),"ELVIVE","Elvive"),"FRUCTIS","Fructis")))</f>
        <v/>
      </c>
      <c r="R299">
        <f>COUNTIF($D$2:$D$10000,D299)&gt;1</f>
        <v/>
      </c>
      <c r="S299">
        <f>IF(H299=TRUE,"Disponible","No disponible")</f>
        <v/>
      </c>
      <c r="T299">
        <f>IF(AND(ISNUMBER(I299),I299&gt;0),ROUND(F299/I299,2),"Sin volumen")</f>
        <v/>
      </c>
      <c r="U299">
        <f>IF(F299&lt;5000,"Bajo",IF(F299&lt;15000,"Medio","Alto"))</f>
        <v/>
      </c>
    </row>
    <row r="300">
      <c r="A300" s="6" t="inlineStr">
        <is>
          <t>Farmacity</t>
        </is>
      </c>
      <c r="B300" s="6" t="n">
        <v>242444</v>
      </c>
      <c r="C300" s="6" t="n">
        <v>242444</v>
      </c>
      <c r="D300" s="6" t="inlineStr">
        <is>
          <t>Kit Biferdil Shampoo + Máscara Ultra Brillo + Tratamiento Protector Térmico</t>
        </is>
      </c>
      <c r="E300" s="6" t="inlineStr">
        <is>
          <t>Biferdil</t>
        </is>
      </c>
      <c r="F300" s="6" t="n">
        <v>33210</v>
      </c>
      <c r="G300" s="6" t="n">
        <v>44280</v>
      </c>
      <c r="H300" s="6" t="b">
        <v>1</v>
      </c>
      <c r="I300" s="6" t="inlineStr"/>
      <c r="J300" s="6" t="inlineStr"/>
      <c r="K300" s="6" t="inlineStr">
        <is>
          <t>&gt; Cuidado Capilar &gt; Shampoo Y Acondicionador &gt;</t>
        </is>
      </c>
      <c r="L300" s="6" t="inlineStr">
        <is>
          <t>tratamiento</t>
        </is>
      </c>
      <c r="M300" s="6" t="inlineStr">
        <is>
          <t>estandar</t>
        </is>
      </c>
      <c r="N300" s="6" t="inlineStr">
        <is>
          <t>general</t>
        </is>
      </c>
      <c r="O300" s="6" t="inlineStr">
        <is>
          <t>https://www.farmacity.com/combo-biferdil-shampoo-x-255-ml-mascara-ultra-brillo-x-150-ml-tratamiento-protector-termico-x-250-ml/p</t>
        </is>
      </c>
      <c r="P300" s="8">
        <f>TRIM(CLEAN(PROPER(D300)))</f>
        <v/>
      </c>
      <c r="Q300" s="8">
        <f>PROPER(TRIM(SUBSTITUTE(SUBSTITUTE(SUBSTITUTE(SUBSTITUTE(E300,"TRESEMME","Tresemme"),"HEAD &amp; SHOULDERS","Head &amp; Shoulders"),"ELVIVE","Elvive"),"FRUCTIS","Fructis")))</f>
        <v/>
      </c>
      <c r="R300" s="8">
        <f>COUNTIF($D$2:$D$10000,D300)&gt;1</f>
        <v/>
      </c>
      <c r="S300" s="8">
        <f>IF(H300=TRUE,"Disponible","No disponible")</f>
        <v/>
      </c>
      <c r="T300" s="8">
        <f>IF(AND(ISNUMBER(I300),I300&gt;0),ROUND(F300/I300,2),"Sin volumen")</f>
        <v/>
      </c>
      <c r="U300" s="8">
        <f>IF(F300&lt;5000,"Bajo",IF(F300&lt;15000,"Medio","Alto"))</f>
        <v/>
      </c>
    </row>
    <row r="301">
      <c r="A301" t="inlineStr">
        <is>
          <t>Farmacity</t>
        </is>
      </c>
      <c r="B301" t="n">
        <v>222761</v>
      </c>
      <c r="C301" t="n">
        <v>222761</v>
      </c>
      <c r="D301" t="inlineStr">
        <is>
          <t>Eumicel S Ketoconazol + Salicílico, C. 2% Shampoo x 120 ml</t>
        </is>
      </c>
      <c r="E301" t="inlineStr">
        <is>
          <t>Cassar</t>
        </is>
      </c>
      <c r="F301" t="n">
        <v>25470</v>
      </c>
      <c r="G301" t="n">
        <v>25470</v>
      </c>
      <c r="H301" t="b">
        <v>1</v>
      </c>
      <c r="I301" t="n">
        <v>120</v>
      </c>
      <c r="J301" t="n">
        <v>212.25</v>
      </c>
      <c r="K301" t="inlineStr">
        <is>
          <t>&gt; Venta Bajo Receta &gt; Dermatológico &gt;</t>
        </is>
      </c>
      <c r="L301" t="inlineStr">
        <is>
          <t>shampoo</t>
        </is>
      </c>
      <c r="M301" t="inlineStr">
        <is>
          <t>estandar</t>
        </is>
      </c>
      <c r="N301" t="inlineStr">
        <is>
          <t>general</t>
        </is>
      </c>
      <c r="O301" t="inlineStr">
        <is>
          <t>https://www.farmacity.com/eumicel-s-ketoconazol-salicilico-c-2-shampoo-x-120-ml/p</t>
        </is>
      </c>
      <c r="P301">
        <f>TRIM(CLEAN(PROPER(D301)))</f>
        <v/>
      </c>
      <c r="Q301">
        <f>PROPER(TRIM(SUBSTITUTE(SUBSTITUTE(SUBSTITUTE(SUBSTITUTE(E301,"TRESEMME","Tresemme"),"HEAD &amp; SHOULDERS","Head &amp; Shoulders"),"ELVIVE","Elvive"),"FRUCTIS","Fructis")))</f>
        <v/>
      </c>
      <c r="R301">
        <f>COUNTIF($D$2:$D$10000,D301)&gt;1</f>
        <v/>
      </c>
      <c r="S301">
        <f>IF(H301=TRUE,"Disponible","No disponible")</f>
        <v/>
      </c>
      <c r="T301">
        <f>IF(AND(ISNUMBER(I301),I301&gt;0),ROUND(F301/I301,2),"Sin volumen")</f>
        <v/>
      </c>
      <c r="U301">
        <f>IF(F301&lt;5000,"Bajo",IF(F301&lt;15000,"Medio","Alto"))</f>
        <v/>
      </c>
    </row>
    <row r="302">
      <c r="A302" s="6" t="inlineStr">
        <is>
          <t>Farmacity</t>
        </is>
      </c>
      <c r="B302" s="6" t="n">
        <v>246471</v>
      </c>
      <c r="C302" s="6" t="n">
        <v>246471</v>
      </c>
      <c r="D302" s="6" t="inlineStr">
        <is>
          <t>Kit Rutina Fructis Hair Food Anti-Quiebre Ananá: Shampoo, Acondicionador y Mascarilla</t>
        </is>
      </c>
      <c r="E302" s="6" t="inlineStr">
        <is>
          <t>Fructis</t>
        </is>
      </c>
      <c r="F302" s="6" t="n">
        <v>23640</v>
      </c>
      <c r="G302" s="6" t="n">
        <v>36370</v>
      </c>
      <c r="H302" s="6" t="b">
        <v>1</v>
      </c>
      <c r="I302" s="6" t="inlineStr"/>
      <c r="J302" s="6" t="inlineStr"/>
      <c r="K302" s="6" t="inlineStr">
        <is>
          <t>&gt; Cuidado Capilar &gt; Shampoo Y Acondicionador &gt;</t>
        </is>
      </c>
      <c r="L302" s="6" t="inlineStr">
        <is>
          <t>acondicionador</t>
        </is>
      </c>
      <c r="M302" s="6" t="inlineStr">
        <is>
          <t>estandar</t>
        </is>
      </c>
      <c r="N302" s="6" t="inlineStr">
        <is>
          <t>general</t>
        </is>
      </c>
      <c r="O302" s="6" t="inlineStr">
        <is>
          <t>https://www.farmacity.com/kit-rutina-fructis-hair-food-anti-quiebre-anana-shampoo-acondicionador-mascarilla/p</t>
        </is>
      </c>
      <c r="P302" s="8">
        <f>TRIM(CLEAN(PROPER(D302)))</f>
        <v/>
      </c>
      <c r="Q302" s="8">
        <f>PROPER(TRIM(SUBSTITUTE(SUBSTITUTE(SUBSTITUTE(SUBSTITUTE(E302,"TRESEMME","Tresemme"),"HEAD &amp; SHOULDERS","Head &amp; Shoulders"),"ELVIVE","Elvive"),"FRUCTIS","Fructis")))</f>
        <v/>
      </c>
      <c r="R302" s="8">
        <f>COUNTIF($D$2:$D$10000,D302)&gt;1</f>
        <v/>
      </c>
      <c r="S302" s="8">
        <f>IF(H302=TRUE,"Disponible","No disponible")</f>
        <v/>
      </c>
      <c r="T302" s="8">
        <f>IF(AND(ISNUMBER(I302),I302&gt;0),ROUND(F302/I302,2),"Sin volumen")</f>
        <v/>
      </c>
      <c r="U302" s="8">
        <f>IF(F302&lt;5000,"Bajo",IF(F302&lt;15000,"Medio","Alto"))</f>
        <v/>
      </c>
    </row>
    <row r="303">
      <c r="A303" t="inlineStr">
        <is>
          <t>Farmacity</t>
        </is>
      </c>
      <c r="B303" t="n">
        <v>250539</v>
      </c>
      <c r="C303" t="n">
        <v>250539</v>
      </c>
      <c r="D303" t="inlineStr">
        <is>
          <t>Combo Dove Men Desodorante Antitranspirante en Aerosol + Shampoo 2 en 1</t>
        </is>
      </c>
      <c r="E303" t="inlineStr">
        <is>
          <t>Dove</t>
        </is>
      </c>
      <c r="F303" t="n">
        <v>15211</v>
      </c>
      <c r="G303" t="n">
        <v>15211</v>
      </c>
      <c r="H303" t="b">
        <v>1</v>
      </c>
      <c r="I303" t="inlineStr"/>
      <c r="J303" t="inlineStr"/>
      <c r="K303" t="inlineStr">
        <is>
          <t>&gt; Cuidado Capilar &gt; Shampoo Y Acondicionador &gt;</t>
        </is>
      </c>
      <c r="L303" t="inlineStr">
        <is>
          <t>shampoo</t>
        </is>
      </c>
      <c r="M303" t="inlineStr">
        <is>
          <t>estandar</t>
        </is>
      </c>
      <c r="N303" t="inlineStr">
        <is>
          <t>general</t>
        </is>
      </c>
      <c r="O303" t="inlineStr">
        <is>
          <t>https://www.farmacity.com/combo-dove-men-desodorante-antitranspirante-en-aerosol-shampoo-2-en-1/p</t>
        </is>
      </c>
      <c r="P303">
        <f>TRIM(CLEAN(PROPER(D303)))</f>
        <v/>
      </c>
      <c r="Q303">
        <f>PROPER(TRIM(SUBSTITUTE(SUBSTITUTE(SUBSTITUTE(SUBSTITUTE(E303,"TRESEMME","Tresemme"),"HEAD &amp; SHOULDERS","Head &amp; Shoulders"),"ELVIVE","Elvive"),"FRUCTIS","Fructis")))</f>
        <v/>
      </c>
      <c r="R303">
        <f>COUNTIF($D$2:$D$10000,D303)&gt;1</f>
        <v/>
      </c>
      <c r="S303">
        <f>IF(H303=TRUE,"Disponible","No disponible")</f>
        <v/>
      </c>
      <c r="T303">
        <f>IF(AND(ISNUMBER(I303),I303&gt;0),ROUND(F303/I303,2),"Sin volumen")</f>
        <v/>
      </c>
      <c r="U303">
        <f>IF(F303&lt;5000,"Bajo",IF(F303&lt;15000,"Medio","Alto"))</f>
        <v/>
      </c>
    </row>
    <row r="304">
      <c r="A304" s="6" t="inlineStr">
        <is>
          <t>Farmacity</t>
        </is>
      </c>
      <c r="B304" s="6" t="n">
        <v>248666</v>
      </c>
      <c r="C304" s="6" t="n">
        <v>248666</v>
      </c>
      <c r="D304" s="6" t="inlineStr">
        <is>
          <t>Combo Dove Shampoo + Acondicionador + Oleo + Crema + Serum Corporal</t>
        </is>
      </c>
      <c r="E304" s="6" t="inlineStr">
        <is>
          <t>Dove</t>
        </is>
      </c>
      <c r="F304" s="6" t="n">
        <v>63228</v>
      </c>
      <c r="G304" s="6" t="n">
        <v>114960</v>
      </c>
      <c r="H304" s="6" t="b">
        <v>1</v>
      </c>
      <c r="I304" s="6" t="inlineStr"/>
      <c r="J304" s="6" t="inlineStr"/>
      <c r="K304" s="6" t="inlineStr">
        <is>
          <t>&gt; Cuidado de la Piel &gt; Cuidado Facial &gt;</t>
        </is>
      </c>
      <c r="L304" s="6" t="inlineStr">
        <is>
          <t>acondicionador</t>
        </is>
      </c>
      <c r="M304" s="6" t="inlineStr">
        <is>
          <t>estandar</t>
        </is>
      </c>
      <c r="N304" s="6" t="inlineStr">
        <is>
          <t>general</t>
        </is>
      </c>
      <c r="O304" s="6" t="inlineStr">
        <is>
          <t>https://www.farmacity.com/combo-dove-shampoo-acondicionador-oleo-crema-serum-corporal/p</t>
        </is>
      </c>
      <c r="P304" s="8">
        <f>TRIM(CLEAN(PROPER(D304)))</f>
        <v/>
      </c>
      <c r="Q304" s="8">
        <f>PROPER(TRIM(SUBSTITUTE(SUBSTITUTE(SUBSTITUTE(SUBSTITUTE(E304,"TRESEMME","Tresemme"),"HEAD &amp; SHOULDERS","Head &amp; Shoulders"),"ELVIVE","Elvive"),"FRUCTIS","Fructis")))</f>
        <v/>
      </c>
      <c r="R304" s="8">
        <f>COUNTIF($D$2:$D$10000,D304)&gt;1</f>
        <v/>
      </c>
      <c r="S304" s="8">
        <f>IF(H304=TRUE,"Disponible","No disponible")</f>
        <v/>
      </c>
      <c r="T304" s="8">
        <f>IF(AND(ISNUMBER(I304),I304&gt;0),ROUND(F304/I304,2),"Sin volumen")</f>
        <v/>
      </c>
      <c r="U304" s="8">
        <f>IF(F304&lt;5000,"Bajo",IF(F304&lt;15000,"Medio","Alto"))</f>
        <v/>
      </c>
    </row>
    <row r="305">
      <c r="A305" t="inlineStr">
        <is>
          <t>Farmacity</t>
        </is>
      </c>
      <c r="B305" t="n">
        <v>248812</v>
      </c>
      <c r="C305" t="n">
        <v>248812</v>
      </c>
      <c r="D305" t="inlineStr">
        <is>
          <t>Combo Pantene Anti Caída Shampoo + Acondicionador + Crema de Peinar + Óleo</t>
        </is>
      </c>
      <c r="E305" t="inlineStr">
        <is>
          <t>Pantene</t>
        </is>
      </c>
      <c r="F305" t="n">
        <v>49309</v>
      </c>
      <c r="G305" t="n">
        <v>49309</v>
      </c>
      <c r="H305" t="b">
        <v>1</v>
      </c>
      <c r="I305" t="inlineStr"/>
      <c r="J305" t="inlineStr"/>
      <c r="K305" t="inlineStr">
        <is>
          <t>&gt; Cuidado Capilar &gt; Shampoo Y Acondicionador &gt;</t>
        </is>
      </c>
      <c r="L305" t="inlineStr">
        <is>
          <t>acondicionador</t>
        </is>
      </c>
      <c r="M305" t="inlineStr">
        <is>
          <t>estandar</t>
        </is>
      </c>
      <c r="N305" t="inlineStr">
        <is>
          <t>general</t>
        </is>
      </c>
      <c r="O305" t="inlineStr">
        <is>
          <t>https://www.farmacity.com/combo-pantene-anti-caida-shampoo-acondicionador-crema-de-peinar-oleo/p</t>
        </is>
      </c>
      <c r="P305">
        <f>TRIM(CLEAN(PROPER(D305)))</f>
        <v/>
      </c>
      <c r="Q305">
        <f>PROPER(TRIM(SUBSTITUTE(SUBSTITUTE(SUBSTITUTE(SUBSTITUTE(E305,"TRESEMME","Tresemme"),"HEAD &amp; SHOULDERS","Head &amp; Shoulders"),"ELVIVE","Elvive"),"FRUCTIS","Fructis")))</f>
        <v/>
      </c>
      <c r="R305">
        <f>COUNTIF($D$2:$D$10000,D305)&gt;1</f>
        <v/>
      </c>
      <c r="S305">
        <f>IF(H305=TRUE,"Disponible","No disponible")</f>
        <v/>
      </c>
      <c r="T305">
        <f>IF(AND(ISNUMBER(I305),I305&gt;0),ROUND(F305/I305,2),"Sin volumen")</f>
        <v/>
      </c>
      <c r="U305">
        <f>IF(F305&lt;5000,"Bajo",IF(F305&lt;15000,"Medio","Alto"))</f>
        <v/>
      </c>
    </row>
    <row r="306">
      <c r="A306" s="6" t="inlineStr">
        <is>
          <t>Farmacity</t>
        </is>
      </c>
      <c r="B306" s="6" t="n">
        <v>242445</v>
      </c>
      <c r="C306" s="6" t="n">
        <v>242445</v>
      </c>
      <c r="D306" s="6" t="inlineStr">
        <is>
          <t>Kit Biferdil Shampoo Óleo de Argán + Bálsamo Óleo de Argán + Spray Bifásico</t>
        </is>
      </c>
      <c r="E306" s="6" t="inlineStr">
        <is>
          <t>Biferdil</t>
        </is>
      </c>
      <c r="F306" s="6" t="n">
        <v>38718</v>
      </c>
      <c r="G306" s="6" t="n">
        <v>51624</v>
      </c>
      <c r="H306" s="6" t="b">
        <v>1</v>
      </c>
      <c r="I306" s="6" t="inlineStr"/>
      <c r="J306" s="6" t="inlineStr"/>
      <c r="K306" s="6" t="inlineStr">
        <is>
          <t>&gt; Cuidado Capilar &gt; Shampoo Y Acondicionador &gt;</t>
        </is>
      </c>
      <c r="L306" s="6" t="inlineStr">
        <is>
          <t>tratamiento</t>
        </is>
      </c>
      <c r="M306" s="6" t="inlineStr">
        <is>
          <t>estandar</t>
        </is>
      </c>
      <c r="N306" s="6" t="inlineStr">
        <is>
          <t>general</t>
        </is>
      </c>
      <c r="O306" s="6" t="inlineStr">
        <is>
          <t>https://www.farmacity.com/combo-biferdil-shampoo-oleo-de-argan-x-200-ml-balsamo-oleo-de-argan-x-200-ml-spray-bifasico-oleo-de-argan-x-150-ml/p</t>
        </is>
      </c>
      <c r="P306" s="8">
        <f>TRIM(CLEAN(PROPER(D306)))</f>
        <v/>
      </c>
      <c r="Q306" s="8">
        <f>PROPER(TRIM(SUBSTITUTE(SUBSTITUTE(SUBSTITUTE(SUBSTITUTE(E306,"TRESEMME","Tresemme"),"HEAD &amp; SHOULDERS","Head &amp; Shoulders"),"ELVIVE","Elvive"),"FRUCTIS","Fructis")))</f>
        <v/>
      </c>
      <c r="R306" s="8">
        <f>COUNTIF($D$2:$D$10000,D306)&gt;1</f>
        <v/>
      </c>
      <c r="S306" s="8">
        <f>IF(H306=TRUE,"Disponible","No disponible")</f>
        <v/>
      </c>
      <c r="T306" s="8">
        <f>IF(AND(ISNUMBER(I306),I306&gt;0),ROUND(F306/I306,2),"Sin volumen")</f>
        <v/>
      </c>
      <c r="U306" s="8">
        <f>IF(F306&lt;5000,"Bajo",IF(F306&lt;15000,"Medio","Alto"))</f>
        <v/>
      </c>
    </row>
    <row r="307">
      <c r="A307" t="inlineStr">
        <is>
          <t>Farmacity</t>
        </is>
      </c>
      <c r="B307" t="n">
        <v>246148</v>
      </c>
      <c r="C307" t="n">
        <v>246148</v>
      </c>
      <c r="D307" t="inlineStr">
        <is>
          <t>Kit Rutina Completa Elvive Dream Liso: Shampoo, Acondicionador, Crema para Peinar y Sérum</t>
        </is>
      </c>
      <c r="E307" t="inlineStr">
        <is>
          <t>Elvive</t>
        </is>
      </c>
      <c r="F307" t="n">
        <v>32976</v>
      </c>
      <c r="G307" t="n">
        <v>54960</v>
      </c>
      <c r="H307" t="b">
        <v>1</v>
      </c>
      <c r="I307" t="inlineStr"/>
      <c r="J307" t="inlineStr"/>
      <c r="K307" t="inlineStr">
        <is>
          <t>&gt; Cuidado Capilar &gt; Shampoo Y Acondicionador &gt;</t>
        </is>
      </c>
      <c r="L307" t="inlineStr">
        <is>
          <t>acondicionador</t>
        </is>
      </c>
      <c r="M307" t="inlineStr">
        <is>
          <t>profesional</t>
        </is>
      </c>
      <c r="N307" t="inlineStr">
        <is>
          <t>general</t>
        </is>
      </c>
      <c r="O307" t="inlineStr">
        <is>
          <t>https://www.farmacity.com/kit-rutina-completa-elvive-dream-liso-shampoo-acondicionador-crema-para-peinar-y-serum/p</t>
        </is>
      </c>
      <c r="P307">
        <f>TRIM(CLEAN(PROPER(D307)))</f>
        <v/>
      </c>
      <c r="Q307">
        <f>PROPER(TRIM(SUBSTITUTE(SUBSTITUTE(SUBSTITUTE(SUBSTITUTE(E307,"TRESEMME","Tresemme"),"HEAD &amp; SHOULDERS","Head &amp; Shoulders"),"ELVIVE","Elvive"),"FRUCTIS","Fructis")))</f>
        <v/>
      </c>
      <c r="R307">
        <f>COUNTIF($D$2:$D$10000,D307)&gt;1</f>
        <v/>
      </c>
      <c r="S307">
        <f>IF(H307=TRUE,"Disponible","No disponible")</f>
        <v/>
      </c>
      <c r="T307">
        <f>IF(AND(ISNUMBER(I307),I307&gt;0),ROUND(F307/I307,2),"Sin volumen")</f>
        <v/>
      </c>
      <c r="U307">
        <f>IF(F307&lt;5000,"Bajo",IF(F307&lt;15000,"Medio","Alto"))</f>
        <v/>
      </c>
    </row>
    <row r="308">
      <c r="A308" s="6" t="inlineStr">
        <is>
          <t>Farmacity</t>
        </is>
      </c>
      <c r="B308" s="6" t="n">
        <v>245996</v>
      </c>
      <c r="C308" s="6" t="n">
        <v>245996</v>
      </c>
      <c r="D308" s="6" t="inlineStr">
        <is>
          <t>Combo Head &amp; Shoulders Shampoo x 375 ml + Acondicionador x 300 ml</t>
        </is>
      </c>
      <c r="E308" s="6" t="inlineStr">
        <is>
          <t>Head and Shoulders</t>
        </is>
      </c>
      <c r="F308" s="6" t="n">
        <v>12827</v>
      </c>
      <c r="G308" s="6" t="n">
        <v>23321</v>
      </c>
      <c r="H308" s="6" t="b">
        <v>1</v>
      </c>
      <c r="I308" s="6" t="n">
        <v>375</v>
      </c>
      <c r="J308" s="6" t="n">
        <v>34.2053</v>
      </c>
      <c r="K308" s="6" t="inlineStr">
        <is>
          <t>&gt; Cuidado Capilar &gt; Shampoo Y Acondicionador &gt;</t>
        </is>
      </c>
      <c r="L308" s="6" t="inlineStr">
        <is>
          <t>acondicionador</t>
        </is>
      </c>
      <c r="M308" s="6" t="inlineStr">
        <is>
          <t>estandar</t>
        </is>
      </c>
      <c r="N308" s="6" t="inlineStr">
        <is>
          <t>general</t>
        </is>
      </c>
      <c r="O308" s="6" t="inlineStr">
        <is>
          <t>https://www.farmacity.com/combo-head-shoulders-shampoo-x-375-ml-acondicionador-x-300-ml/p</t>
        </is>
      </c>
      <c r="P308" s="8">
        <f>TRIM(CLEAN(PROPER(D308)))</f>
        <v/>
      </c>
      <c r="Q308" s="8">
        <f>PROPER(TRIM(SUBSTITUTE(SUBSTITUTE(SUBSTITUTE(SUBSTITUTE(E308,"TRESEMME","Tresemme"),"HEAD &amp; SHOULDERS","Head &amp; Shoulders"),"ELVIVE","Elvive"),"FRUCTIS","Fructis")))</f>
        <v/>
      </c>
      <c r="R308" s="8">
        <f>COUNTIF($D$2:$D$10000,D308)&gt;1</f>
        <v/>
      </c>
      <c r="S308" s="8">
        <f>IF(H308=TRUE,"Disponible","No disponible")</f>
        <v/>
      </c>
      <c r="T308" s="8">
        <f>IF(AND(ISNUMBER(I308),I308&gt;0),ROUND(F308/I308,2),"Sin volumen")</f>
        <v/>
      </c>
      <c r="U308" s="8">
        <f>IF(F308&lt;5000,"Bajo",IF(F308&lt;15000,"Medio","Alto"))</f>
        <v/>
      </c>
    </row>
    <row r="309">
      <c r="A309" t="inlineStr">
        <is>
          <t>Farmacity</t>
        </is>
      </c>
      <c r="B309" t="n">
        <v>241957</v>
      </c>
      <c r="C309" t="n">
        <v>241957</v>
      </c>
      <c r="D309" t="inlineStr">
        <is>
          <t>Kit Tio Nacho Anticanas Shampoo x 415 ml + Acondicionador x 415 ml</t>
        </is>
      </c>
      <c r="E309" t="inlineStr">
        <is>
          <t>Tío Nacho</t>
        </is>
      </c>
      <c r="F309" t="n">
        <v>11750</v>
      </c>
      <c r="G309" t="n">
        <v>23500</v>
      </c>
      <c r="H309" t="b">
        <v>1</v>
      </c>
      <c r="I309" t="n">
        <v>415</v>
      </c>
      <c r="J309" t="n">
        <v>28.3133</v>
      </c>
      <c r="K309" t="inlineStr">
        <is>
          <t>&gt; Cuidado Capilar &gt; Shampoo Y Acondicionador &gt;</t>
        </is>
      </c>
      <c r="L309" t="inlineStr">
        <is>
          <t>acondicionador</t>
        </is>
      </c>
      <c r="M309" t="inlineStr">
        <is>
          <t>estandar</t>
        </is>
      </c>
      <c r="N309" t="inlineStr">
        <is>
          <t>general</t>
        </is>
      </c>
      <c r="O309" t="inlineStr">
        <is>
          <t>https://www.farmacity.com/combo-tio-nacho-anticanas-shampoo-x-415-ml-acondicionador-x-415-ml/p</t>
        </is>
      </c>
      <c r="P309">
        <f>TRIM(CLEAN(PROPER(D309)))</f>
        <v/>
      </c>
      <c r="Q309">
        <f>PROPER(TRIM(SUBSTITUTE(SUBSTITUTE(SUBSTITUTE(SUBSTITUTE(E309,"TRESEMME","Tresemme"),"HEAD &amp; SHOULDERS","Head &amp; Shoulders"),"ELVIVE","Elvive"),"FRUCTIS","Fructis")))</f>
        <v/>
      </c>
      <c r="R309">
        <f>COUNTIF($D$2:$D$10000,D309)&gt;1</f>
        <v/>
      </c>
      <c r="S309">
        <f>IF(H309=TRUE,"Disponible","No disponible")</f>
        <v/>
      </c>
      <c r="T309">
        <f>IF(AND(ISNUMBER(I309),I309&gt;0),ROUND(F309/I309,2),"Sin volumen")</f>
        <v/>
      </c>
      <c r="U309">
        <f>IF(F309&lt;5000,"Bajo",IF(F309&lt;15000,"Medio","Alto"))</f>
        <v/>
      </c>
    </row>
    <row r="310">
      <c r="A310" s="6" t="inlineStr">
        <is>
          <t>Farmacity</t>
        </is>
      </c>
      <c r="B310" s="6" t="n">
        <v>247391</v>
      </c>
      <c r="C310" s="6" t="n">
        <v>247391</v>
      </c>
      <c r="D310" s="6" t="inlineStr">
        <is>
          <t>Combo Bagóvit Capilar Largo y Sin Frizz Shampoo + Acondicionador + Crema de Peinar</t>
        </is>
      </c>
      <c r="E310" s="6" t="inlineStr">
        <is>
          <t>Bagóvit</t>
        </is>
      </c>
      <c r="F310" s="6" t="n">
        <v>29916</v>
      </c>
      <c r="G310" s="6" t="n">
        <v>29916</v>
      </c>
      <c r="H310" s="6" t="b">
        <v>1</v>
      </c>
      <c r="I310" s="6" t="inlineStr"/>
      <c r="J310" s="6" t="inlineStr"/>
      <c r="K310" s="6" t="inlineStr">
        <is>
          <t>&gt; Cuidado Capilar &gt; Shampoo Y Acondicionador &gt;</t>
        </is>
      </c>
      <c r="L310" s="6" t="inlineStr">
        <is>
          <t>acondicionador</t>
        </is>
      </c>
      <c r="M310" s="6" t="inlineStr">
        <is>
          <t>estandar</t>
        </is>
      </c>
      <c r="N310" s="6" t="inlineStr">
        <is>
          <t>general</t>
        </is>
      </c>
      <c r="O310" s="6" t="inlineStr">
        <is>
          <t>https://www.farmacity.com/combo-bagovit-capilar-largo-y-sin-frizz-shampoo-x-350-ml-acondicionador-x-350-ml-crema-de-peinar-x-200-ml/p</t>
        </is>
      </c>
      <c r="P310" s="8">
        <f>TRIM(CLEAN(PROPER(D310)))</f>
        <v/>
      </c>
      <c r="Q310" s="8">
        <f>PROPER(TRIM(SUBSTITUTE(SUBSTITUTE(SUBSTITUTE(SUBSTITUTE(E310,"TRESEMME","Tresemme"),"HEAD &amp; SHOULDERS","Head &amp; Shoulders"),"ELVIVE","Elvive"),"FRUCTIS","Fructis")))</f>
        <v/>
      </c>
      <c r="R310" s="8">
        <f>COUNTIF($D$2:$D$10000,D310)&gt;1</f>
        <v/>
      </c>
      <c r="S310" s="8">
        <f>IF(H310=TRUE,"Disponible","No disponible")</f>
        <v/>
      </c>
      <c r="T310" s="8">
        <f>IF(AND(ISNUMBER(I310),I310&gt;0),ROUND(F310/I310,2),"Sin volumen")</f>
        <v/>
      </c>
      <c r="U310" s="8">
        <f>IF(F310&lt;5000,"Bajo",IF(F310&lt;15000,"Medio","Alto"))</f>
        <v/>
      </c>
    </row>
    <row r="311">
      <c r="A311" t="inlineStr">
        <is>
          <t>Farmacity</t>
        </is>
      </c>
      <c r="B311" t="n">
        <v>219271</v>
      </c>
      <c r="C311" t="n">
        <v>219271</v>
      </c>
      <c r="D311" t="inlineStr">
        <is>
          <t>Set Sally Unicornio Body Splash x 125 ml + Shampoo x 200 ml</t>
        </is>
      </c>
      <c r="E311" t="inlineStr">
        <is>
          <t>Algabo</t>
        </is>
      </c>
      <c r="F311" t="n">
        <v>11526</v>
      </c>
      <c r="G311" t="n">
        <v>11526</v>
      </c>
      <c r="H311" t="b">
        <v>1</v>
      </c>
      <c r="I311" t="n">
        <v>125</v>
      </c>
      <c r="J311" t="n">
        <v>92.208</v>
      </c>
      <c r="K311" t="inlineStr">
        <is>
          <t>&gt; Perfumes Y Fragancias &gt; Bebés Y Niños &gt;</t>
        </is>
      </c>
      <c r="L311" t="inlineStr">
        <is>
          <t>shampoo</t>
        </is>
      </c>
      <c r="M311" t="inlineStr">
        <is>
          <t>estandar</t>
        </is>
      </c>
      <c r="N311" t="inlineStr">
        <is>
          <t>general</t>
        </is>
      </c>
      <c r="O311" t="inlineStr">
        <is>
          <t>https://www.farmacity.com/set-de-regalo-algabo-sally-unicornio-fragancia-corporal-x-125-ml-shampoo-x-200-ml/p</t>
        </is>
      </c>
      <c r="P311">
        <f>TRIM(CLEAN(PROPER(D311)))</f>
        <v/>
      </c>
      <c r="Q311">
        <f>PROPER(TRIM(SUBSTITUTE(SUBSTITUTE(SUBSTITUTE(SUBSTITUTE(E311,"TRESEMME","Tresemme"),"HEAD &amp; SHOULDERS","Head &amp; Shoulders"),"ELVIVE","Elvive"),"FRUCTIS","Fructis")))</f>
        <v/>
      </c>
      <c r="R311">
        <f>COUNTIF($D$2:$D$10000,D311)&gt;1</f>
        <v/>
      </c>
      <c r="S311">
        <f>IF(H311=TRUE,"Disponible","No disponible")</f>
        <v/>
      </c>
      <c r="T311">
        <f>IF(AND(ISNUMBER(I311),I311&gt;0),ROUND(F311/I311,2),"Sin volumen")</f>
        <v/>
      </c>
      <c r="U311">
        <f>IF(F311&lt;5000,"Bajo",IF(F311&lt;15000,"Medio","Alto"))</f>
        <v/>
      </c>
    </row>
    <row r="312">
      <c r="A312" s="6" t="inlineStr">
        <is>
          <t>Farmacity</t>
        </is>
      </c>
      <c r="B312" s="6" t="n">
        <v>241722</v>
      </c>
      <c r="C312" s="6" t="n">
        <v>241722</v>
      </c>
      <c r="D312" s="6" t="inlineStr">
        <is>
          <t>Kit Capilar Tresemmé Brillo Lamelar P Shampoo + Acondicionador + Protector Térmico Spray</t>
        </is>
      </c>
      <c r="E312" s="6" t="inlineStr">
        <is>
          <t>Tresemmé</t>
        </is>
      </c>
      <c r="F312" s="6" t="n">
        <v>18047</v>
      </c>
      <c r="G312" s="6" t="n">
        <v>30078</v>
      </c>
      <c r="H312" s="6" t="b">
        <v>1</v>
      </c>
      <c r="I312" s="6" t="inlineStr"/>
      <c r="J312" s="6" t="inlineStr"/>
      <c r="K312" s="6" t="inlineStr">
        <is>
          <t>&gt; Cuidado Capilar &gt; Shampoo Y Acondicionador &gt;</t>
        </is>
      </c>
      <c r="L312" s="6" t="inlineStr">
        <is>
          <t>acondicionador</t>
        </is>
      </c>
      <c r="M312" s="6" t="inlineStr">
        <is>
          <t>estandar</t>
        </is>
      </c>
      <c r="N312" s="6" t="inlineStr">
        <is>
          <t>general</t>
        </is>
      </c>
      <c r="O312" s="6" t="inlineStr">
        <is>
          <t>https://www.farmacity.com/combo-capilar-tresemme-brillo-lamelar-p-shampoo-x-500-ml-acondicionador-x-500-ml-protector-termico-spray-x-120-ml/p</t>
        </is>
      </c>
      <c r="P312" s="8">
        <f>TRIM(CLEAN(PROPER(D312)))</f>
        <v/>
      </c>
      <c r="Q312" s="8">
        <f>PROPER(TRIM(SUBSTITUTE(SUBSTITUTE(SUBSTITUTE(SUBSTITUTE(E312,"TRESEMME","Tresemme"),"HEAD &amp; SHOULDERS","Head &amp; Shoulders"),"ELVIVE","Elvive"),"FRUCTIS","Fructis")))</f>
        <v/>
      </c>
      <c r="R312" s="8">
        <f>COUNTIF($D$2:$D$10000,D312)&gt;1</f>
        <v/>
      </c>
      <c r="S312" s="8">
        <f>IF(H312=TRUE,"Disponible","No disponible")</f>
        <v/>
      </c>
      <c r="T312" s="8">
        <f>IF(AND(ISNUMBER(I312),I312&gt;0),ROUND(F312/I312,2),"Sin volumen")</f>
        <v/>
      </c>
      <c r="U312" s="8">
        <f>IF(F312&lt;5000,"Bajo",IF(F312&lt;15000,"Medio","Alto"))</f>
        <v/>
      </c>
    </row>
    <row r="313">
      <c r="A313" t="inlineStr">
        <is>
          <t>Farmacity</t>
        </is>
      </c>
      <c r="B313" t="n">
        <v>245992</v>
      </c>
      <c r="C313" t="n">
        <v>245992</v>
      </c>
      <c r="D313" t="inlineStr">
        <is>
          <t>Combo Pantene Colageno Shampoo +  Acondicionador + Crema para Peinar + Sérum Concentrado</t>
        </is>
      </c>
      <c r="E313" t="inlineStr">
        <is>
          <t>Pantene</t>
        </is>
      </c>
      <c r="F313" t="n">
        <v>37538</v>
      </c>
      <c r="G313" t="n">
        <v>37538</v>
      </c>
      <c r="H313" t="b">
        <v>1</v>
      </c>
      <c r="I313" t="inlineStr"/>
      <c r="J313" t="inlineStr"/>
      <c r="K313" t="inlineStr">
        <is>
          <t>&gt; Cuidado Capilar &gt; Shampoo Y Acondicionador &gt;</t>
        </is>
      </c>
      <c r="L313" t="inlineStr">
        <is>
          <t>acondicionador</t>
        </is>
      </c>
      <c r="M313" t="inlineStr">
        <is>
          <t>estandar</t>
        </is>
      </c>
      <c r="N313" t="inlineStr">
        <is>
          <t>general</t>
        </is>
      </c>
      <c r="O313" t="inlineStr">
        <is>
          <t>https://www.farmacity.com/combo-pantene-colageno-shampoo--acondicionador-crema-para-peinar-serum-concentrado/p</t>
        </is>
      </c>
      <c r="P313">
        <f>TRIM(CLEAN(PROPER(D313)))</f>
        <v/>
      </c>
      <c r="Q313">
        <f>PROPER(TRIM(SUBSTITUTE(SUBSTITUTE(SUBSTITUTE(SUBSTITUTE(E313,"TRESEMME","Tresemme"),"HEAD &amp; SHOULDERS","Head &amp; Shoulders"),"ELVIVE","Elvive"),"FRUCTIS","Fructis")))</f>
        <v/>
      </c>
      <c r="R313">
        <f>COUNTIF($D$2:$D$10000,D313)&gt;1</f>
        <v/>
      </c>
      <c r="S313">
        <f>IF(H313=TRUE,"Disponible","No disponible")</f>
        <v/>
      </c>
      <c r="T313">
        <f>IF(AND(ISNUMBER(I313),I313&gt;0),ROUND(F313/I313,2),"Sin volumen")</f>
        <v/>
      </c>
      <c r="U313">
        <f>IF(F313&lt;5000,"Bajo",IF(F313&lt;15000,"Medio","Alto"))</f>
        <v/>
      </c>
    </row>
    <row r="314">
      <c r="A314" s="6" t="inlineStr">
        <is>
          <t>Farmacity</t>
        </is>
      </c>
      <c r="B314" s="6" t="n">
        <v>243766</v>
      </c>
      <c r="C314" s="6" t="n">
        <v>243766</v>
      </c>
      <c r="D314" s="6" t="inlineStr">
        <is>
          <t>Combo Capilatis Plex Shampoo x 350 ml + Crema Tratamiento x 170 ml</t>
        </is>
      </c>
      <c r="E314" s="6" t="inlineStr">
        <is>
          <t>Capilatis</t>
        </is>
      </c>
      <c r="F314" s="6" t="n">
        <v>22400</v>
      </c>
      <c r="G314" s="6" t="n">
        <v>22400</v>
      </c>
      <c r="H314" s="6" t="b">
        <v>1</v>
      </c>
      <c r="I314" s="6" t="n">
        <v>350</v>
      </c>
      <c r="J314" s="6" t="n">
        <v>64</v>
      </c>
      <c r="K314" s="6" t="inlineStr">
        <is>
          <t>&gt; Cuidado Capilar &gt; Shampoo Y Acondicionador &gt;</t>
        </is>
      </c>
      <c r="L314" s="6" t="inlineStr">
        <is>
          <t>tratamiento</t>
        </is>
      </c>
      <c r="M314" s="6" t="inlineStr">
        <is>
          <t>estandar</t>
        </is>
      </c>
      <c r="N314" s="6" t="inlineStr">
        <is>
          <t>general</t>
        </is>
      </c>
      <c r="O314" s="6" t="inlineStr">
        <is>
          <t>https://www.farmacity.com/combo-capilatis-plex-shampoo-x-350-ml-crema-tratamiento-x-170-ml/p</t>
        </is>
      </c>
      <c r="P314" s="8">
        <f>TRIM(CLEAN(PROPER(D314)))</f>
        <v/>
      </c>
      <c r="Q314" s="8">
        <f>PROPER(TRIM(SUBSTITUTE(SUBSTITUTE(SUBSTITUTE(SUBSTITUTE(E314,"TRESEMME","Tresemme"),"HEAD &amp; SHOULDERS","Head &amp; Shoulders"),"ELVIVE","Elvive"),"FRUCTIS","Fructis")))</f>
        <v/>
      </c>
      <c r="R314" s="8">
        <f>COUNTIF($D$2:$D$10000,D314)&gt;1</f>
        <v/>
      </c>
      <c r="S314" s="8">
        <f>IF(H314=TRUE,"Disponible","No disponible")</f>
        <v/>
      </c>
      <c r="T314" s="8">
        <f>IF(AND(ISNUMBER(I314),I314&gt;0),ROUND(F314/I314,2),"Sin volumen")</f>
        <v/>
      </c>
      <c r="U314" s="8">
        <f>IF(F314&lt;5000,"Bajo",IF(F314&lt;15000,"Medio","Alto"))</f>
        <v/>
      </c>
    </row>
    <row r="315">
      <c r="A315" t="inlineStr">
        <is>
          <t>Farmacity</t>
        </is>
      </c>
      <c r="B315" t="n">
        <v>234693</v>
      </c>
      <c r="C315" t="n">
        <v>234693</v>
      </c>
      <c r="D315" t="inlineStr">
        <is>
          <t>Kit Elvive Hialurónico Pure Acondicionador + Shampoo + Mascarilla + Oleo L'Oréal París</t>
        </is>
      </c>
      <c r="E315" t="inlineStr">
        <is>
          <t>Elvive</t>
        </is>
      </c>
      <c r="F315" t="n">
        <v>32136</v>
      </c>
      <c r="G315" t="n">
        <v>53560</v>
      </c>
      <c r="H315" t="b">
        <v>1</v>
      </c>
      <c r="I315" t="inlineStr"/>
      <c r="J315" t="inlineStr"/>
      <c r="K315" t="inlineStr">
        <is>
          <t>&gt; Cuidado Capilar &gt; Shampoo Y Acondicionador &gt;</t>
        </is>
      </c>
      <c r="L315" t="inlineStr">
        <is>
          <t>acondicionador</t>
        </is>
      </c>
      <c r="M315" t="inlineStr">
        <is>
          <t>profesional</t>
        </is>
      </c>
      <c r="N315" t="inlineStr">
        <is>
          <t>general</t>
        </is>
      </c>
      <c r="O315" t="inlineStr">
        <is>
          <t>https://www.farmacity.com/combo-loreal-paris-elvive-hialuronico-pure-acondicionador-x-400-ml-shampoo-x-400-ml-mascarilla-capilar-x-300-g/p</t>
        </is>
      </c>
      <c r="P315">
        <f>TRIM(CLEAN(PROPER(D315)))</f>
        <v/>
      </c>
      <c r="Q315">
        <f>PROPER(TRIM(SUBSTITUTE(SUBSTITUTE(SUBSTITUTE(SUBSTITUTE(E315,"TRESEMME","Tresemme"),"HEAD &amp; SHOULDERS","Head &amp; Shoulders"),"ELVIVE","Elvive"),"FRUCTIS","Fructis")))</f>
        <v/>
      </c>
      <c r="R315">
        <f>COUNTIF($D$2:$D$10000,D315)&gt;1</f>
        <v/>
      </c>
      <c r="S315">
        <f>IF(H315=TRUE,"Disponible","No disponible")</f>
        <v/>
      </c>
      <c r="T315">
        <f>IF(AND(ISNUMBER(I315),I315&gt;0),ROUND(F315/I315,2),"Sin volumen")</f>
        <v/>
      </c>
      <c r="U315">
        <f>IF(F315&lt;5000,"Bajo",IF(F315&lt;15000,"Medio","Alto"))</f>
        <v/>
      </c>
    </row>
    <row r="316">
      <c r="A316" s="6" t="inlineStr">
        <is>
          <t>Farmacity</t>
        </is>
      </c>
      <c r="B316" s="6" t="n">
        <v>241719</v>
      </c>
      <c r="C316" s="6" t="n">
        <v>241719</v>
      </c>
      <c r="D316" s="6" t="inlineStr">
        <is>
          <t>Kit Capilar Tresemmé Brillo Lamelar P Shampoo + Acondicionador + Óleo Finisher Textura Liviana</t>
        </is>
      </c>
      <c r="E316" s="6" t="inlineStr">
        <is>
          <t>Tresemmé</t>
        </is>
      </c>
      <c r="F316" s="6" t="n">
        <v>19360</v>
      </c>
      <c r="G316" s="6" t="n">
        <v>32267</v>
      </c>
      <c r="H316" s="6" t="b">
        <v>1</v>
      </c>
      <c r="I316" s="6" t="inlineStr"/>
      <c r="J316" s="6" t="inlineStr"/>
      <c r="K316" s="6" t="inlineStr">
        <is>
          <t>&gt; Cuidado Capilar &gt; Shampoo Y Acondicionador &gt;</t>
        </is>
      </c>
      <c r="L316" s="6" t="inlineStr">
        <is>
          <t>acondicionador</t>
        </is>
      </c>
      <c r="M316" s="6" t="inlineStr">
        <is>
          <t>estandar</t>
        </is>
      </c>
      <c r="N316" s="6" t="inlineStr">
        <is>
          <t>general</t>
        </is>
      </c>
      <c r="O316" s="6" t="inlineStr">
        <is>
          <t>https://www.farmacity.com/combo-capilar-tresemme-brillo-lamelar-p-shampoo-x-500-ml-acondicionador-x-500-ml-oleo-finisher-textura-liviana-x-60-ml/p</t>
        </is>
      </c>
      <c r="P316" s="8">
        <f>TRIM(CLEAN(PROPER(D316)))</f>
        <v/>
      </c>
      <c r="Q316" s="8">
        <f>PROPER(TRIM(SUBSTITUTE(SUBSTITUTE(SUBSTITUTE(SUBSTITUTE(E316,"TRESEMME","Tresemme"),"HEAD &amp; SHOULDERS","Head &amp; Shoulders"),"ELVIVE","Elvive"),"FRUCTIS","Fructis")))</f>
        <v/>
      </c>
      <c r="R316" s="8">
        <f>COUNTIF($D$2:$D$10000,D316)&gt;1</f>
        <v/>
      </c>
      <c r="S316" s="8">
        <f>IF(H316=TRUE,"Disponible","No disponible")</f>
        <v/>
      </c>
      <c r="T316" s="8">
        <f>IF(AND(ISNUMBER(I316),I316&gt;0),ROUND(F316/I316,2),"Sin volumen")</f>
        <v/>
      </c>
      <c r="U316" s="8">
        <f>IF(F316&lt;5000,"Bajo",IF(F316&lt;15000,"Medio","Alto"))</f>
        <v/>
      </c>
    </row>
    <row r="317">
      <c r="A317" t="inlineStr">
        <is>
          <t>Farmacity</t>
        </is>
      </c>
      <c r="B317" t="n">
        <v>241698</v>
      </c>
      <c r="C317" t="n">
        <v>241698</v>
      </c>
      <c r="D317" t="inlineStr">
        <is>
          <t>Kit Dove Bond Intense Repair Shampoo + Acondicionador + Sérum Capilar + Máscara de Tratamiento</t>
        </is>
      </c>
      <c r="E317" t="inlineStr">
        <is>
          <t>Dove</t>
        </is>
      </c>
      <c r="F317" t="n">
        <v>27021</v>
      </c>
      <c r="G317" t="n">
        <v>54043</v>
      </c>
      <c r="H317" t="b">
        <v>1</v>
      </c>
      <c r="I317" t="inlineStr"/>
      <c r="J317" t="inlineStr"/>
      <c r="K317" t="inlineStr">
        <is>
          <t>&gt; Cuidado Capilar &gt; Shampoo Y Acondicionador &gt;</t>
        </is>
      </c>
      <c r="L317" t="inlineStr">
        <is>
          <t>acondicionador</t>
        </is>
      </c>
      <c r="M317" t="inlineStr">
        <is>
          <t>profesional</t>
        </is>
      </c>
      <c r="N317" t="inlineStr">
        <is>
          <t>general</t>
        </is>
      </c>
      <c r="O317" t="inlineStr">
        <is>
          <t>https://www.farmacity.com/combo-dove-bond-intense-repair-shampoo-x-400-ml-acondicionador-x-250-ml-serum-capilar-x-110-ml-mascara-de-tratamiento-x-250-g/p</t>
        </is>
      </c>
      <c r="P317">
        <f>TRIM(CLEAN(PROPER(D317)))</f>
        <v/>
      </c>
      <c r="Q317">
        <f>PROPER(TRIM(SUBSTITUTE(SUBSTITUTE(SUBSTITUTE(SUBSTITUTE(E317,"TRESEMME","Tresemme"),"HEAD &amp; SHOULDERS","Head &amp; Shoulders"),"ELVIVE","Elvive"),"FRUCTIS","Fructis")))</f>
        <v/>
      </c>
      <c r="R317">
        <f>COUNTIF($D$2:$D$10000,D317)&gt;1</f>
        <v/>
      </c>
      <c r="S317">
        <f>IF(H317=TRUE,"Disponible","No disponible")</f>
        <v/>
      </c>
      <c r="T317">
        <f>IF(AND(ISNUMBER(I317),I317&gt;0),ROUND(F317/I317,2),"Sin volumen")</f>
        <v/>
      </c>
      <c r="U317">
        <f>IF(F317&lt;5000,"Bajo",IF(F317&lt;15000,"Medio","Alto"))</f>
        <v/>
      </c>
    </row>
    <row r="318">
      <c r="A318" s="6" t="inlineStr">
        <is>
          <t>Farmacity</t>
        </is>
      </c>
      <c r="B318" s="6" t="n">
        <v>239792</v>
      </c>
      <c r="C318" s="6" t="n">
        <v>239792</v>
      </c>
      <c r="D318" s="6" t="inlineStr">
        <is>
          <t>Kit Rutina Fructis Hair Food Restauracion Rulos Cacao: Shampoo, Crema Para Peinar y Mascarilla</t>
        </is>
      </c>
      <c r="E318" s="6" t="inlineStr">
        <is>
          <t>Fructis</t>
        </is>
      </c>
      <c r="F318" s="6" t="n">
        <v>22210</v>
      </c>
      <c r="G318" s="6" t="n">
        <v>34170</v>
      </c>
      <c r="H318" s="6" t="b">
        <v>1</v>
      </c>
      <c r="I318" s="6" t="inlineStr"/>
      <c r="J318" s="6" t="inlineStr"/>
      <c r="K318" s="6" t="inlineStr">
        <is>
          <t>&gt; Cuidado Capilar &gt; Shampoo Y Acondicionador &gt;</t>
        </is>
      </c>
      <c r="L318" s="6" t="inlineStr">
        <is>
          <t>tratamiento</t>
        </is>
      </c>
      <c r="M318" s="6" t="inlineStr">
        <is>
          <t>estandar</t>
        </is>
      </c>
      <c r="N318" s="6" t="inlineStr">
        <is>
          <t>rizado</t>
        </is>
      </c>
      <c r="O318" s="6" t="inlineStr">
        <is>
          <t>https://www.farmacity.com/kit-rutina-fructis-hair-food-restauracion-rulos-cacao-shampoo-crema-para-peinar-acondicionador/p</t>
        </is>
      </c>
      <c r="P318" s="8">
        <f>TRIM(CLEAN(PROPER(D318)))</f>
        <v/>
      </c>
      <c r="Q318" s="8">
        <f>PROPER(TRIM(SUBSTITUTE(SUBSTITUTE(SUBSTITUTE(SUBSTITUTE(E318,"TRESEMME","Tresemme"),"HEAD &amp; SHOULDERS","Head &amp; Shoulders"),"ELVIVE","Elvive"),"FRUCTIS","Fructis")))</f>
        <v/>
      </c>
      <c r="R318" s="8">
        <f>COUNTIF($D$2:$D$10000,D318)&gt;1</f>
        <v/>
      </c>
      <c r="S318" s="8">
        <f>IF(H318=TRUE,"Disponible","No disponible")</f>
        <v/>
      </c>
      <c r="T318" s="8">
        <f>IF(AND(ISNUMBER(I318),I318&gt;0),ROUND(F318/I318,2),"Sin volumen")</f>
        <v/>
      </c>
      <c r="U318" s="8">
        <f>IF(F318&lt;5000,"Bajo",IF(F318&lt;15000,"Medio","Alto"))</f>
        <v/>
      </c>
    </row>
    <row r="319">
      <c r="A319" t="inlineStr">
        <is>
          <t>Farmacity</t>
        </is>
      </c>
      <c r="B319" t="n">
        <v>244318</v>
      </c>
      <c r="C319" t="n">
        <v>244318</v>
      </c>
      <c r="D319" t="inlineStr">
        <is>
          <t>Combo Tío Nacho Reno Aclarante Acondicionador x 415 ml + Shampoo x 415 ml</t>
        </is>
      </c>
      <c r="E319" t="inlineStr">
        <is>
          <t>Tío Nacho</t>
        </is>
      </c>
      <c r="F319" t="n">
        <v>23500</v>
      </c>
      <c r="G319" t="n">
        <v>23500</v>
      </c>
      <c r="H319" t="b">
        <v>1</v>
      </c>
      <c r="I319" t="n">
        <v>415</v>
      </c>
      <c r="J319" t="n">
        <v>56.6265</v>
      </c>
      <c r="K319" t="inlineStr">
        <is>
          <t>&gt; Cuidado Capilar &gt; Shampoo Y Acondicionador &gt;</t>
        </is>
      </c>
      <c r="L319" t="inlineStr">
        <is>
          <t>acondicionador</t>
        </is>
      </c>
      <c r="M319" t="inlineStr">
        <is>
          <t>estandar</t>
        </is>
      </c>
      <c r="N319" t="inlineStr">
        <is>
          <t>general</t>
        </is>
      </c>
      <c r="O319" t="inlineStr">
        <is>
          <t>https://www.farmacity.com/combo-tio-nacho-reno-aclarante-acondicionador-x-415-ml-shampoo-x-415-ml/p</t>
        </is>
      </c>
      <c r="P319">
        <f>TRIM(CLEAN(PROPER(D319)))</f>
        <v/>
      </c>
      <c r="Q319">
        <f>PROPER(TRIM(SUBSTITUTE(SUBSTITUTE(SUBSTITUTE(SUBSTITUTE(E319,"TRESEMME","Tresemme"),"HEAD &amp; SHOULDERS","Head &amp; Shoulders"),"ELVIVE","Elvive"),"FRUCTIS","Fructis")))</f>
        <v/>
      </c>
      <c r="R319">
        <f>COUNTIF($D$2:$D$10000,D319)&gt;1</f>
        <v/>
      </c>
      <c r="S319">
        <f>IF(H319=TRUE,"Disponible","No disponible")</f>
        <v/>
      </c>
      <c r="T319">
        <f>IF(AND(ISNUMBER(I319),I319&gt;0),ROUND(F319/I319,2),"Sin volumen")</f>
        <v/>
      </c>
      <c r="U319">
        <f>IF(F319&lt;5000,"Bajo",IF(F319&lt;15000,"Medio","Alto"))</f>
        <v/>
      </c>
    </row>
    <row r="320">
      <c r="A320" s="6" t="inlineStr">
        <is>
          <t>Farmacity</t>
        </is>
      </c>
      <c r="B320" s="6" t="n">
        <v>219269</v>
      </c>
      <c r="C320" s="6" t="n">
        <v>219269</v>
      </c>
      <c r="D320" s="6" t="inlineStr">
        <is>
          <t>Set Valija Algabo Baby Body Splash x 125 ml + Shampoo x 200 ml</t>
        </is>
      </c>
      <c r="E320" s="6" t="inlineStr">
        <is>
          <t>Algabo</t>
        </is>
      </c>
      <c r="F320" s="6" t="n">
        <v>11190</v>
      </c>
      <c r="G320" s="6" t="n">
        <v>11190</v>
      </c>
      <c r="H320" s="6" t="b">
        <v>1</v>
      </c>
      <c r="I320" s="6" t="n">
        <v>125</v>
      </c>
      <c r="J320" s="6" t="n">
        <v>89.52</v>
      </c>
      <c r="K320" s="6" t="inlineStr">
        <is>
          <t>&gt; Perfumes Y Fragancias &gt; Bebés Y Niños &gt;</t>
        </is>
      </c>
      <c r="L320" s="6" t="inlineStr">
        <is>
          <t>shampoo</t>
        </is>
      </c>
      <c r="M320" s="6" t="inlineStr">
        <is>
          <t>estandar</t>
        </is>
      </c>
      <c r="N320" s="6" t="inlineStr">
        <is>
          <t>general</t>
        </is>
      </c>
      <c r="O320" s="6" t="inlineStr">
        <is>
          <t>https://www.farmacity.com/set-de-regalo-algabo-baby-colonia-dulces-mimos-x-200-ml-polvo-de-fecula-extra-suave-x-200-g/p</t>
        </is>
      </c>
      <c r="P320" s="8">
        <f>TRIM(CLEAN(PROPER(D320)))</f>
        <v/>
      </c>
      <c r="Q320" s="8">
        <f>PROPER(TRIM(SUBSTITUTE(SUBSTITUTE(SUBSTITUTE(SUBSTITUTE(E320,"TRESEMME","Tresemme"),"HEAD &amp; SHOULDERS","Head &amp; Shoulders"),"ELVIVE","Elvive"),"FRUCTIS","Fructis")))</f>
        <v/>
      </c>
      <c r="R320" s="8">
        <f>COUNTIF($D$2:$D$10000,D320)&gt;1</f>
        <v/>
      </c>
      <c r="S320" s="8">
        <f>IF(H320=TRUE,"Disponible","No disponible")</f>
        <v/>
      </c>
      <c r="T320" s="8">
        <f>IF(AND(ISNUMBER(I320),I320&gt;0),ROUND(F320/I320,2),"Sin volumen")</f>
        <v/>
      </c>
      <c r="U320" s="8">
        <f>IF(F320&lt;5000,"Bajo",IF(F320&lt;15000,"Medio","Alto"))</f>
        <v/>
      </c>
    </row>
    <row r="321">
      <c r="A321" t="inlineStr">
        <is>
          <t>Farmacity</t>
        </is>
      </c>
      <c r="B321" t="n">
        <v>249605</v>
      </c>
      <c r="C321" t="n">
        <v>249605</v>
      </c>
      <c r="D321" t="inlineStr">
        <is>
          <t>Combo Fructis Probióticos Fuerza Shampoo + Acondicionador + Protector Solar Anti-Manchas Fps 50+</t>
        </is>
      </c>
      <c r="E321" t="inlineStr">
        <is>
          <t>Garnier</t>
        </is>
      </c>
      <c r="F321" t="n">
        <v>27582</v>
      </c>
      <c r="G321" t="n">
        <v>45970</v>
      </c>
      <c r="H321" t="b">
        <v>1</v>
      </c>
      <c r="I321" t="inlineStr"/>
      <c r="J321" t="inlineStr"/>
      <c r="K321" t="inlineStr">
        <is>
          <t>&gt; Cuidado Capilar &gt; Shampoo Y Acondicionador &gt;</t>
        </is>
      </c>
      <c r="L321" t="inlineStr">
        <is>
          <t>acondicionador</t>
        </is>
      </c>
      <c r="M321" t="inlineStr">
        <is>
          <t>profesional</t>
        </is>
      </c>
      <c r="N321" t="inlineStr">
        <is>
          <t>general</t>
        </is>
      </c>
      <c r="O321" t="inlineStr">
        <is>
          <t>https://www.farmacity.com/combo-fructis-probioticos-fuerza-shampoo-acondicionador-protector-solar-anti-manchas-fps-50/p</t>
        </is>
      </c>
      <c r="P321">
        <f>TRIM(CLEAN(PROPER(D321)))</f>
        <v/>
      </c>
      <c r="Q321">
        <f>PROPER(TRIM(SUBSTITUTE(SUBSTITUTE(SUBSTITUTE(SUBSTITUTE(E321,"TRESEMME","Tresemme"),"HEAD &amp; SHOULDERS","Head &amp; Shoulders"),"ELVIVE","Elvive"),"FRUCTIS","Fructis")))</f>
        <v/>
      </c>
      <c r="R321">
        <f>COUNTIF($D$2:$D$10000,D321)&gt;1</f>
        <v/>
      </c>
      <c r="S321">
        <f>IF(H321=TRUE,"Disponible","No disponible")</f>
        <v/>
      </c>
      <c r="T321">
        <f>IF(AND(ISNUMBER(I321),I321&gt;0),ROUND(F321/I321,2),"Sin volumen")</f>
        <v/>
      </c>
      <c r="U321">
        <f>IF(F321&lt;5000,"Bajo",IF(F321&lt;15000,"Medio","Alto"))</f>
        <v/>
      </c>
    </row>
    <row r="322">
      <c r="A322" s="6" t="inlineStr">
        <is>
          <t>Farmacity</t>
        </is>
      </c>
      <c r="B322" s="6" t="n">
        <v>236964</v>
      </c>
      <c r="C322" s="6" t="n">
        <v>236964</v>
      </c>
      <c r="D322" s="6" t="inlineStr">
        <is>
          <t>Kit Aveno Restaurador Capilar Acondicionador + Shampoo + Emulsión + Jabón + Gel de Limpieza</t>
        </is>
      </c>
      <c r="E322" s="6" t="inlineStr">
        <is>
          <t>Aveno</t>
        </is>
      </c>
      <c r="F322" s="6" t="n">
        <v>120078</v>
      </c>
      <c r="G322" s="6" t="n">
        <v>171540</v>
      </c>
      <c r="H322" s="6" t="b">
        <v>1</v>
      </c>
      <c r="I322" s="6" t="inlineStr"/>
      <c r="J322" s="6" t="inlineStr"/>
      <c r="K322" s="6" t="inlineStr">
        <is>
          <t>&gt; Cuidado Capilar &gt; Shampoo Y Acondicionador &gt;</t>
        </is>
      </c>
      <c r="L322" s="6" t="inlineStr">
        <is>
          <t>acondicionador</t>
        </is>
      </c>
      <c r="M322" s="6" t="inlineStr">
        <is>
          <t>estandar</t>
        </is>
      </c>
      <c r="N322" s="6" t="inlineStr">
        <is>
          <t>general</t>
        </is>
      </c>
      <c r="O322" s="6" t="inlineStr">
        <is>
          <t>https://www.farmacity.com/acondicionador-aveno-restaurador-capilar-x-250-ml-shampoo-x-250-ml-emulsion-x-400-ml-jabon-x-120-g-gel-de-limpieza-x-250-g/p</t>
        </is>
      </c>
      <c r="P322" s="8">
        <f>TRIM(CLEAN(PROPER(D322)))</f>
        <v/>
      </c>
      <c r="Q322" s="8">
        <f>PROPER(TRIM(SUBSTITUTE(SUBSTITUTE(SUBSTITUTE(SUBSTITUTE(E322,"TRESEMME","Tresemme"),"HEAD &amp; SHOULDERS","Head &amp; Shoulders"),"ELVIVE","Elvive"),"FRUCTIS","Fructis")))</f>
        <v/>
      </c>
      <c r="R322" s="8">
        <f>COUNTIF($D$2:$D$10000,D322)&gt;1</f>
        <v/>
      </c>
      <c r="S322" s="8">
        <f>IF(H322=TRUE,"Disponible","No disponible")</f>
        <v/>
      </c>
      <c r="T322" s="8">
        <f>IF(AND(ISNUMBER(I322),I322&gt;0),ROUND(F322/I322,2),"Sin volumen")</f>
        <v/>
      </c>
      <c r="U322" s="8">
        <f>IF(F322&lt;5000,"Bajo",IF(F322&lt;15000,"Medio","Alto"))</f>
        <v/>
      </c>
    </row>
    <row r="323">
      <c r="A323" t="inlineStr">
        <is>
          <t>Farmacity</t>
        </is>
      </c>
      <c r="B323" t="n">
        <v>239334</v>
      </c>
      <c r="C323" t="n">
        <v>239334</v>
      </c>
      <c r="D323" t="inlineStr">
        <is>
          <t>Kit Rutina Básica L'Oreal Paris Elvive Reparación Total 5: Shampoo y Acondicionador 400 ml</t>
        </is>
      </c>
      <c r="E323" t="inlineStr">
        <is>
          <t>Elvive</t>
        </is>
      </c>
      <c r="F323" t="n">
        <v>13428</v>
      </c>
      <c r="G323" t="n">
        <v>22380</v>
      </c>
      <c r="H323" t="b">
        <v>1</v>
      </c>
      <c r="I323" t="n">
        <v>400</v>
      </c>
      <c r="J323" t="n">
        <v>33.57</v>
      </c>
      <c r="K323" t="inlineStr">
        <is>
          <t>&gt; Cuidado Capilar &gt; Shampoo Y Acondicionador &gt;</t>
        </is>
      </c>
      <c r="L323" t="inlineStr">
        <is>
          <t>acondicionador</t>
        </is>
      </c>
      <c r="M323" t="inlineStr">
        <is>
          <t>profesional</t>
        </is>
      </c>
      <c r="N323" t="inlineStr">
        <is>
          <t>general</t>
        </is>
      </c>
      <c r="O323" t="inlineStr">
        <is>
          <t>https://www.farmacity.com/kit-elvive-reparacion-total-5-rutina-basica-400ml-shampoo-y-acondicionador/p</t>
        </is>
      </c>
      <c r="P323">
        <f>TRIM(CLEAN(PROPER(D323)))</f>
        <v/>
      </c>
      <c r="Q323">
        <f>PROPER(TRIM(SUBSTITUTE(SUBSTITUTE(SUBSTITUTE(SUBSTITUTE(E323,"TRESEMME","Tresemme"),"HEAD &amp; SHOULDERS","Head &amp; Shoulders"),"ELVIVE","Elvive"),"FRUCTIS","Fructis")))</f>
        <v/>
      </c>
      <c r="R323">
        <f>COUNTIF($D$2:$D$10000,D323)&gt;1</f>
        <v/>
      </c>
      <c r="S323">
        <f>IF(H323=TRUE,"Disponible","No disponible")</f>
        <v/>
      </c>
      <c r="T323">
        <f>IF(AND(ISNUMBER(I323),I323&gt;0),ROUND(F323/I323,2),"Sin volumen")</f>
        <v/>
      </c>
      <c r="U323">
        <f>IF(F323&lt;5000,"Bajo",IF(F323&lt;15000,"Medio","Alto"))</f>
        <v/>
      </c>
    </row>
    <row r="324">
      <c r="A324" s="6" t="inlineStr">
        <is>
          <t>Farmacity</t>
        </is>
      </c>
      <c r="B324" s="6" t="n">
        <v>240581</v>
      </c>
      <c r="C324" s="6" t="n">
        <v>240581</v>
      </c>
      <c r="D324" s="6" t="inlineStr">
        <is>
          <t>Combo Baño Farmacity Bebé Jabón de Glicerina x 120 g + Shampoo de Avena x 200 ml</t>
        </is>
      </c>
      <c r="E324" s="6" t="inlineStr">
        <is>
          <t>Farmacity Bebé</t>
        </is>
      </c>
      <c r="F324" s="6" t="n">
        <v>3523</v>
      </c>
      <c r="G324" s="6" t="n">
        <v>7830</v>
      </c>
      <c r="H324" s="6" t="b">
        <v>1</v>
      </c>
      <c r="I324" s="6" t="n">
        <v>120</v>
      </c>
      <c r="J324" s="6" t="n">
        <v>29.3583</v>
      </c>
      <c r="K324" s="6" t="inlineStr">
        <is>
          <t>&gt; Bebés &gt; Higiene del Bebé &gt;</t>
        </is>
      </c>
      <c r="L324" s="6" t="inlineStr">
        <is>
          <t>shampoo</t>
        </is>
      </c>
      <c r="M324" s="6" t="inlineStr">
        <is>
          <t>estandar</t>
        </is>
      </c>
      <c r="N324" s="6" t="inlineStr">
        <is>
          <t>bebe</t>
        </is>
      </c>
      <c r="O324" s="6" t="inlineStr">
        <is>
          <t>https://www.farmacity.com/combo-bano-farmacity-bebe-jabon-de-glicerina-x-120-g-bano-liquido-x-200-ml-shampoo-de-avena-x-200-ml/p</t>
        </is>
      </c>
      <c r="P324" s="8">
        <f>TRIM(CLEAN(PROPER(D324)))</f>
        <v/>
      </c>
      <c r="Q324" s="8">
        <f>PROPER(TRIM(SUBSTITUTE(SUBSTITUTE(SUBSTITUTE(SUBSTITUTE(E324,"TRESEMME","Tresemme"),"HEAD &amp; SHOULDERS","Head &amp; Shoulders"),"ELVIVE","Elvive"),"FRUCTIS","Fructis")))</f>
        <v/>
      </c>
      <c r="R324" s="8">
        <f>COUNTIF($D$2:$D$10000,D324)&gt;1</f>
        <v/>
      </c>
      <c r="S324" s="8">
        <f>IF(H324=TRUE,"Disponible","No disponible")</f>
        <v/>
      </c>
      <c r="T324" s="8">
        <f>IF(AND(ISNUMBER(I324),I324&gt;0),ROUND(F324/I324,2),"Sin volumen")</f>
        <v/>
      </c>
      <c r="U324" s="8">
        <f>IF(F324&lt;5000,"Bajo",IF(F324&lt;15000,"Medio","Alto"))</f>
        <v/>
      </c>
    </row>
    <row r="325">
      <c r="A325" t="inlineStr">
        <is>
          <t>Farmacity</t>
        </is>
      </c>
      <c r="B325" t="n">
        <v>245999</v>
      </c>
      <c r="C325" t="n">
        <v>245999</v>
      </c>
      <c r="D325" t="inlineStr">
        <is>
          <t>Combo Head &amp; Shoulders Shampoo Antifall x 375 ml + Acondicionador Antifall x 300 ml</t>
        </is>
      </c>
      <c r="E325" t="inlineStr">
        <is>
          <t>Head and Shoulders</t>
        </is>
      </c>
      <c r="F325" t="n">
        <v>12827</v>
      </c>
      <c r="G325" t="n">
        <v>23321</v>
      </c>
      <c r="H325" t="b">
        <v>1</v>
      </c>
      <c r="I325" t="n">
        <v>375</v>
      </c>
      <c r="J325" t="n">
        <v>34.2053</v>
      </c>
      <c r="K325" t="inlineStr">
        <is>
          <t>&gt; Cuidado Capilar &gt; Shampoo Y Acondicionador &gt;</t>
        </is>
      </c>
      <c r="L325" t="inlineStr">
        <is>
          <t>acondicionador</t>
        </is>
      </c>
      <c r="M325" t="inlineStr">
        <is>
          <t>estandar</t>
        </is>
      </c>
      <c r="N325" t="inlineStr">
        <is>
          <t>general</t>
        </is>
      </c>
      <c r="O325" t="inlineStr">
        <is>
          <t>https://www.farmacity.com/combo-head-shoulders-shampoo-antifall-x-375-ml-acondicionador-antifall-x-300-ml/p</t>
        </is>
      </c>
      <c r="P325">
        <f>TRIM(CLEAN(PROPER(D325)))</f>
        <v/>
      </c>
      <c r="Q325">
        <f>PROPER(TRIM(SUBSTITUTE(SUBSTITUTE(SUBSTITUTE(SUBSTITUTE(E325,"TRESEMME","Tresemme"),"HEAD &amp; SHOULDERS","Head &amp; Shoulders"),"ELVIVE","Elvive"),"FRUCTIS","Fructis")))</f>
        <v/>
      </c>
      <c r="R325">
        <f>COUNTIF($D$2:$D$10000,D325)&gt;1</f>
        <v/>
      </c>
      <c r="S325">
        <f>IF(H325=TRUE,"Disponible","No disponible")</f>
        <v/>
      </c>
      <c r="T325">
        <f>IF(AND(ISNUMBER(I325),I325&gt;0),ROUND(F325/I325,2),"Sin volumen")</f>
        <v/>
      </c>
      <c r="U325">
        <f>IF(F325&lt;5000,"Bajo",IF(F325&lt;15000,"Medio","Alto"))</f>
        <v/>
      </c>
    </row>
    <row r="326">
      <c r="A326" s="6" t="inlineStr">
        <is>
          <t>Farmacity</t>
        </is>
      </c>
      <c r="B326" s="6" t="n">
        <v>249165</v>
      </c>
      <c r="C326" s="6" t="n">
        <v>249165</v>
      </c>
      <c r="D326" s="6" t="inlineStr">
        <is>
          <t>Combo  Farmacity Bebé: Repuesto Oléo + Toallitas Húmedas + Shampoo + Baño Líquido + Jabón</t>
        </is>
      </c>
      <c r="E326" s="6" t="inlineStr">
        <is>
          <t>Farmacity</t>
        </is>
      </c>
      <c r="F326" s="6" t="n">
        <v>25620</v>
      </c>
      <c r="G326" s="6" t="n">
        <v>25620</v>
      </c>
      <c r="H326" s="6" t="b">
        <v>1</v>
      </c>
      <c r="I326" s="6" t="inlineStr"/>
      <c r="J326" s="6" t="inlineStr"/>
      <c r="K326" s="6" t="inlineStr">
        <is>
          <t>&gt; Bebés &gt; Higiene del Bebé &gt; Baño Del Bebé &gt;</t>
        </is>
      </c>
      <c r="L326" s="6" t="inlineStr">
        <is>
          <t>shampoo</t>
        </is>
      </c>
      <c r="M326" s="6" t="inlineStr">
        <is>
          <t>estandar</t>
        </is>
      </c>
      <c r="N326" s="6" t="inlineStr">
        <is>
          <t>bebe</t>
        </is>
      </c>
      <c r="O326" s="6" t="inlineStr">
        <is>
          <t>https://www.farmacity.com/combo-farmacity-bebe-repuesto-oleo-toallitas-humedas-shampoo-bano-liquido-jabon/p</t>
        </is>
      </c>
      <c r="P326" s="8">
        <f>TRIM(CLEAN(PROPER(D326)))</f>
        <v/>
      </c>
      <c r="Q326" s="8">
        <f>PROPER(TRIM(SUBSTITUTE(SUBSTITUTE(SUBSTITUTE(SUBSTITUTE(E326,"TRESEMME","Tresemme"),"HEAD &amp; SHOULDERS","Head &amp; Shoulders"),"ELVIVE","Elvive"),"FRUCTIS","Fructis")))</f>
        <v/>
      </c>
      <c r="R326" s="8">
        <f>COUNTIF($D$2:$D$10000,D326)&gt;1</f>
        <v/>
      </c>
      <c r="S326" s="8">
        <f>IF(H326=TRUE,"Disponible","No disponible")</f>
        <v/>
      </c>
      <c r="T326" s="8">
        <f>IF(AND(ISNUMBER(I326),I326&gt;0),ROUND(F326/I326,2),"Sin volumen")</f>
        <v/>
      </c>
      <c r="U326" s="8">
        <f>IF(F326&lt;5000,"Bajo",IF(F326&lt;15000,"Medio","Alto"))</f>
        <v/>
      </c>
    </row>
    <row r="327">
      <c r="A327" t="inlineStr">
        <is>
          <t>Farmacity</t>
        </is>
      </c>
      <c r="B327" t="n">
        <v>249635</v>
      </c>
      <c r="C327" t="n">
        <v>249635</v>
      </c>
      <c r="D327" t="inlineStr">
        <is>
          <t>Kit Vichy Concentrado Minéral 89 x 50 ml + Shampoo Dercos Anti-Caspa x 200 ml</t>
        </is>
      </c>
      <c r="E327" t="inlineStr">
        <is>
          <t>Vichy</t>
        </is>
      </c>
      <c r="F327" t="n">
        <v>146993</v>
      </c>
      <c r="G327" t="n">
        <v>146993</v>
      </c>
      <c r="H327" t="b">
        <v>1</v>
      </c>
      <c r="I327" t="n">
        <v>50</v>
      </c>
      <c r="J327" t="n">
        <v>2939.86</v>
      </c>
      <c r="K327" t="inlineStr">
        <is>
          <t>&gt; Dermocosmética &gt; Rostro &gt; Hidratación &gt;</t>
        </is>
      </c>
      <c r="L327" t="inlineStr">
        <is>
          <t>tratamiento</t>
        </is>
      </c>
      <c r="M327" t="inlineStr">
        <is>
          <t>estandar</t>
        </is>
      </c>
      <c r="N327" t="inlineStr">
        <is>
          <t>anticaspa</t>
        </is>
      </c>
      <c r="O327" t="inlineStr">
        <is>
          <t>https://www.farmacity.com/kit-vichy-concentrado-mineral-89-x-50-ml-shampoo-dercos-anti-caspa-x-200-ml/p</t>
        </is>
      </c>
      <c r="P327">
        <f>TRIM(CLEAN(PROPER(D327)))</f>
        <v/>
      </c>
      <c r="Q327">
        <f>PROPER(TRIM(SUBSTITUTE(SUBSTITUTE(SUBSTITUTE(SUBSTITUTE(E327,"TRESEMME","Tresemme"),"HEAD &amp; SHOULDERS","Head &amp; Shoulders"),"ELVIVE","Elvive"),"FRUCTIS","Fructis")))</f>
        <v/>
      </c>
      <c r="R327">
        <f>COUNTIF($D$2:$D$10000,D327)&gt;1</f>
        <v/>
      </c>
      <c r="S327">
        <f>IF(H327=TRUE,"Disponible","No disponible")</f>
        <v/>
      </c>
      <c r="T327">
        <f>IF(AND(ISNUMBER(I327),I327&gt;0),ROUND(F327/I327,2),"Sin volumen")</f>
        <v/>
      </c>
      <c r="U327">
        <f>IF(F327&lt;5000,"Bajo",IF(F327&lt;15000,"Medio","Alto"))</f>
        <v/>
      </c>
    </row>
    <row r="328">
      <c r="A328" s="6" t="inlineStr">
        <is>
          <t>Farmacity</t>
        </is>
      </c>
      <c r="B328" s="6" t="n">
        <v>237997</v>
      </c>
      <c r="C328" s="6" t="n">
        <v>237997</v>
      </c>
      <c r="D328" s="6" t="inlineStr">
        <is>
          <t>Combo Ruh Shampoo Sólido Cabello Gaso Silver x 65 g + Acondicionador Sólido x 45 g</t>
        </is>
      </c>
      <c r="E328" s="6" t="inlineStr">
        <is>
          <t>Ruh Natural</t>
        </is>
      </c>
      <c r="F328" s="6" t="n">
        <v>27015</v>
      </c>
      <c r="G328" s="6" t="n">
        <v>27015</v>
      </c>
      <c r="H328" s="6" t="b">
        <v>1</v>
      </c>
      <c r="I328" s="6" t="n">
        <v>65</v>
      </c>
      <c r="J328" s="6" t="n">
        <v>415.6154</v>
      </c>
      <c r="K328" s="6" t="inlineStr">
        <is>
          <t>&gt; Cuidado Capilar &gt; Shampoo Y Acondicionador &gt;</t>
        </is>
      </c>
      <c r="L328" s="6" t="inlineStr">
        <is>
          <t>acondicionador</t>
        </is>
      </c>
      <c r="M328" s="6" t="inlineStr">
        <is>
          <t>estandar</t>
        </is>
      </c>
      <c r="N328" s="6" t="inlineStr">
        <is>
          <t>general</t>
        </is>
      </c>
      <c r="O328" s="6" t="inlineStr">
        <is>
          <t>https://www.farmacity.com/combo-ruh-shampoo-cabello-gaso-silver-x-65-g-acondicionador-ruh-x-45-g/p</t>
        </is>
      </c>
      <c r="P328" s="8">
        <f>TRIM(CLEAN(PROPER(D328)))</f>
        <v/>
      </c>
      <c r="Q328" s="8">
        <f>PROPER(TRIM(SUBSTITUTE(SUBSTITUTE(SUBSTITUTE(SUBSTITUTE(E328,"TRESEMME","Tresemme"),"HEAD &amp; SHOULDERS","Head &amp; Shoulders"),"ELVIVE","Elvive"),"FRUCTIS","Fructis")))</f>
        <v/>
      </c>
      <c r="R328" s="8">
        <f>COUNTIF($D$2:$D$10000,D328)&gt;1</f>
        <v/>
      </c>
      <c r="S328" s="8">
        <f>IF(H328=TRUE,"Disponible","No disponible")</f>
        <v/>
      </c>
      <c r="T328" s="8">
        <f>IF(AND(ISNUMBER(I328),I328&gt;0),ROUND(F328/I328,2),"Sin volumen")</f>
        <v/>
      </c>
      <c r="U328" s="8">
        <f>IF(F328&lt;5000,"Bajo",IF(F328&lt;15000,"Medio","Alto"))</f>
        <v/>
      </c>
    </row>
    <row r="329">
      <c r="A329" t="inlineStr">
        <is>
          <t>Farmacity</t>
        </is>
      </c>
      <c r="B329" t="n">
        <v>245997</v>
      </c>
      <c r="C329" t="n">
        <v>245997</v>
      </c>
      <c r="D329" t="inlineStr">
        <is>
          <t>Combo Head &amp; Shoulders Shampoo Manzana Fresh x 375 ml + Acondicionador Manzana Fresh x 300 ml</t>
        </is>
      </c>
      <c r="E329" t="inlineStr">
        <is>
          <t>Head and Shoulders</t>
        </is>
      </c>
      <c r="F329" t="n">
        <v>12827</v>
      </c>
      <c r="G329" t="n">
        <v>23321</v>
      </c>
      <c r="H329" t="b">
        <v>1</v>
      </c>
      <c r="I329" t="n">
        <v>375</v>
      </c>
      <c r="J329" t="n">
        <v>34.2053</v>
      </c>
      <c r="K329" t="inlineStr">
        <is>
          <t>&gt; Cuidado Capilar &gt; Shampoo Y Acondicionador &gt;</t>
        </is>
      </c>
      <c r="L329" t="inlineStr">
        <is>
          <t>acondicionador</t>
        </is>
      </c>
      <c r="M329" t="inlineStr">
        <is>
          <t>estandar</t>
        </is>
      </c>
      <c r="N329" t="inlineStr">
        <is>
          <t>general</t>
        </is>
      </c>
      <c r="O329" t="inlineStr">
        <is>
          <t>https://www.farmacity.com/combo-head-shoulders-shampoo-manzana-fresh-x-375-ml-acondicionador-manzana-fresh-x-300-ml/p</t>
        </is>
      </c>
      <c r="P329">
        <f>TRIM(CLEAN(PROPER(D329)))</f>
        <v/>
      </c>
      <c r="Q329">
        <f>PROPER(TRIM(SUBSTITUTE(SUBSTITUTE(SUBSTITUTE(SUBSTITUTE(E329,"TRESEMME","Tresemme"),"HEAD &amp; SHOULDERS","Head &amp; Shoulders"),"ELVIVE","Elvive"),"FRUCTIS","Fructis")))</f>
        <v/>
      </c>
      <c r="R329">
        <f>COUNTIF($D$2:$D$10000,D329)&gt;1</f>
        <v/>
      </c>
      <c r="S329">
        <f>IF(H329=TRUE,"Disponible","No disponible")</f>
        <v/>
      </c>
      <c r="T329">
        <f>IF(AND(ISNUMBER(I329),I329&gt;0),ROUND(F329/I329,2),"Sin volumen")</f>
        <v/>
      </c>
      <c r="U329">
        <f>IF(F329&lt;5000,"Bajo",IF(F329&lt;15000,"Medio","Alto"))</f>
        <v/>
      </c>
    </row>
    <row r="330">
      <c r="A330" s="6" t="inlineStr">
        <is>
          <t>Farmacity</t>
        </is>
      </c>
      <c r="B330" s="6" t="n">
        <v>237998</v>
      </c>
      <c r="C330" s="6" t="n">
        <v>237998</v>
      </c>
      <c r="D330" s="6" t="inlineStr">
        <is>
          <t>Combo Ruh Shampoo Sólido Cabello Normal Off White x 65 g + Acondicionador Sólido x 45 g</t>
        </is>
      </c>
      <c r="E330" s="6" t="inlineStr">
        <is>
          <t>Ruh Natural</t>
        </is>
      </c>
      <c r="F330" s="6" t="n">
        <v>27015</v>
      </c>
      <c r="G330" s="6" t="n">
        <v>27015</v>
      </c>
      <c r="H330" s="6" t="b">
        <v>1</v>
      </c>
      <c r="I330" s="6" t="n">
        <v>65</v>
      </c>
      <c r="J330" s="6" t="n">
        <v>415.6154</v>
      </c>
      <c r="K330" s="6" t="inlineStr">
        <is>
          <t>&gt; Cuidado Capilar &gt; Shampoo Y Acondicionador &gt;</t>
        </is>
      </c>
      <c r="L330" s="6" t="inlineStr">
        <is>
          <t>acondicionador</t>
        </is>
      </c>
      <c r="M330" s="6" t="inlineStr">
        <is>
          <t>estandar</t>
        </is>
      </c>
      <c r="N330" s="6" t="inlineStr">
        <is>
          <t>general</t>
        </is>
      </c>
      <c r="O330" s="6" t="inlineStr">
        <is>
          <t>https://www.farmacity.com/combo-ruh-cabello-normal-off-white-x-65-g-acondicionador-ruh-x-45-g/p</t>
        </is>
      </c>
      <c r="P330" s="8">
        <f>TRIM(CLEAN(PROPER(D330)))</f>
        <v/>
      </c>
      <c r="Q330" s="8">
        <f>PROPER(TRIM(SUBSTITUTE(SUBSTITUTE(SUBSTITUTE(SUBSTITUTE(E330,"TRESEMME","Tresemme"),"HEAD &amp; SHOULDERS","Head &amp; Shoulders"),"ELVIVE","Elvive"),"FRUCTIS","Fructis")))</f>
        <v/>
      </c>
      <c r="R330" s="8">
        <f>COUNTIF($D$2:$D$10000,D330)&gt;1</f>
        <v/>
      </c>
      <c r="S330" s="8">
        <f>IF(H330=TRUE,"Disponible","No disponible")</f>
        <v/>
      </c>
      <c r="T330" s="8">
        <f>IF(AND(ISNUMBER(I330),I330&gt;0),ROUND(F330/I330,2),"Sin volumen")</f>
        <v/>
      </c>
      <c r="U330" s="8">
        <f>IF(F330&lt;5000,"Bajo",IF(F330&lt;15000,"Medio","Alto"))</f>
        <v/>
      </c>
    </row>
    <row r="331">
      <c r="A331" t="inlineStr">
        <is>
          <t>Farmacity</t>
        </is>
      </c>
      <c r="B331" t="n">
        <v>237996</v>
      </c>
      <c r="C331" t="n">
        <v>237996</v>
      </c>
      <c r="D331" t="inlineStr">
        <is>
          <t>Combo Ruh Shampoo Sólido Cabello Dañado Yeloow Submarine x 65 g + Acondicionador Sólido x 45 g</t>
        </is>
      </c>
      <c r="E331" t="inlineStr">
        <is>
          <t>Ruh Natural</t>
        </is>
      </c>
      <c r="F331" t="n">
        <v>27015</v>
      </c>
      <c r="G331" t="n">
        <v>27015</v>
      </c>
      <c r="H331" t="b">
        <v>1</v>
      </c>
      <c r="I331" t="n">
        <v>65</v>
      </c>
      <c r="J331" t="n">
        <v>415.6154</v>
      </c>
      <c r="K331" t="inlineStr">
        <is>
          <t>&gt; Cuidado Capilar &gt; Shampoo Y Acondicionador &gt;</t>
        </is>
      </c>
      <c r="L331" t="inlineStr">
        <is>
          <t>acondicionador</t>
        </is>
      </c>
      <c r="M331" t="inlineStr">
        <is>
          <t>estandar</t>
        </is>
      </c>
      <c r="N331" t="inlineStr">
        <is>
          <t>seco_danado</t>
        </is>
      </c>
      <c r="O331" t="inlineStr">
        <is>
          <t>https://www.farmacity.com/combo-ruh-shampoo-cabello-danado-yeloow-submarine-x-65-g-acondicionador-ruh-x-45-g/p</t>
        </is>
      </c>
      <c r="P331">
        <f>TRIM(CLEAN(PROPER(D331)))</f>
        <v/>
      </c>
      <c r="Q331">
        <f>PROPER(TRIM(SUBSTITUTE(SUBSTITUTE(SUBSTITUTE(SUBSTITUTE(E331,"TRESEMME","Tresemme"),"HEAD &amp; SHOULDERS","Head &amp; Shoulders"),"ELVIVE","Elvive"),"FRUCTIS","Fructis")))</f>
        <v/>
      </c>
      <c r="R331">
        <f>COUNTIF($D$2:$D$10000,D331)&gt;1</f>
        <v/>
      </c>
      <c r="S331">
        <f>IF(H331=TRUE,"Disponible","No disponible")</f>
        <v/>
      </c>
      <c r="T331">
        <f>IF(AND(ISNUMBER(I331),I331&gt;0),ROUND(F331/I331,2),"Sin volumen")</f>
        <v/>
      </c>
      <c r="U331">
        <f>IF(F331&lt;5000,"Bajo",IF(F331&lt;15000,"Medio","Alto"))</f>
        <v/>
      </c>
    </row>
    <row r="332">
      <c r="A332" s="6" t="inlineStr">
        <is>
          <t>Farmacity</t>
        </is>
      </c>
      <c r="B332" s="6" t="n">
        <v>246000</v>
      </c>
      <c r="C332" s="6" t="n">
        <v>246000</v>
      </c>
      <c r="D332" s="6" t="inlineStr">
        <is>
          <t>Combo Head &amp; Shoulders Shampoo Aceite de Coco x 375 ml + Acondicionador Aceite de Coco x 300 ml</t>
        </is>
      </c>
      <c r="E332" s="6" t="inlineStr">
        <is>
          <t>Head and Shoulders</t>
        </is>
      </c>
      <c r="F332" s="6" t="n">
        <v>12827</v>
      </c>
      <c r="G332" s="6" t="n">
        <v>23321</v>
      </c>
      <c r="H332" s="6" t="b">
        <v>1</v>
      </c>
      <c r="I332" s="6" t="n">
        <v>375</v>
      </c>
      <c r="J332" s="6" t="n">
        <v>34.2053</v>
      </c>
      <c r="K332" s="6" t="inlineStr">
        <is>
          <t>&gt; Cuidado Capilar &gt; Shampoo Y Acondicionador &gt;</t>
        </is>
      </c>
      <c r="L332" s="6" t="inlineStr">
        <is>
          <t>acondicionador</t>
        </is>
      </c>
      <c r="M332" s="6" t="inlineStr">
        <is>
          <t>estandar</t>
        </is>
      </c>
      <c r="N332" s="6" t="inlineStr">
        <is>
          <t>general</t>
        </is>
      </c>
      <c r="O332" s="6" t="inlineStr">
        <is>
          <t>https://www.farmacity.com/combo-head-shoulders-shampoo-aceite-de-coco-x-375-ml-acondicionador-aceite-de-coco-x-300-ml/p</t>
        </is>
      </c>
      <c r="P332" s="8">
        <f>TRIM(CLEAN(PROPER(D332)))</f>
        <v/>
      </c>
      <c r="Q332" s="8">
        <f>PROPER(TRIM(SUBSTITUTE(SUBSTITUTE(SUBSTITUTE(SUBSTITUTE(E332,"TRESEMME","Tresemme"),"HEAD &amp; SHOULDERS","Head &amp; Shoulders"),"ELVIVE","Elvive"),"FRUCTIS","Fructis")))</f>
        <v/>
      </c>
      <c r="R332" s="8">
        <f>COUNTIF($D$2:$D$10000,D332)&gt;1</f>
        <v/>
      </c>
      <c r="S332" s="8">
        <f>IF(H332=TRUE,"Disponible","No disponible")</f>
        <v/>
      </c>
      <c r="T332" s="8">
        <f>IF(AND(ISNUMBER(I332),I332&gt;0),ROUND(F332/I332,2),"Sin volumen")</f>
        <v/>
      </c>
      <c r="U332" s="8">
        <f>IF(F332&lt;5000,"Bajo",IF(F332&lt;15000,"Medio","Alto"))</f>
        <v/>
      </c>
    </row>
    <row r="333">
      <c r="A333" t="inlineStr">
        <is>
          <t>Farmacity</t>
        </is>
      </c>
      <c r="B333" t="n">
        <v>245998</v>
      </c>
      <c r="C333" t="n">
        <v>245998</v>
      </c>
      <c r="D333" t="inlineStr">
        <is>
          <t>Combo Head &amp; Shoulders Shampoo Fuerza de Raíz x 375 ml + Acondicionador Fuerza de Raíz x 300 ml</t>
        </is>
      </c>
      <c r="E333" t="inlineStr">
        <is>
          <t>Head and Shoulders</t>
        </is>
      </c>
      <c r="F333" t="n">
        <v>12827</v>
      </c>
      <c r="G333" t="n">
        <v>23321</v>
      </c>
      <c r="H333" t="b">
        <v>1</v>
      </c>
      <c r="I333" t="n">
        <v>375</v>
      </c>
      <c r="J333" t="n">
        <v>34.2053</v>
      </c>
      <c r="K333" t="inlineStr">
        <is>
          <t>&gt; Cuidado Capilar &gt; Shampoo Y Acondicionador &gt;</t>
        </is>
      </c>
      <c r="L333" t="inlineStr">
        <is>
          <t>acondicionador</t>
        </is>
      </c>
      <c r="M333" t="inlineStr">
        <is>
          <t>estandar</t>
        </is>
      </c>
      <c r="N333" t="inlineStr">
        <is>
          <t>general</t>
        </is>
      </c>
      <c r="O333" t="inlineStr">
        <is>
          <t>https://www.farmacity.com/combo-head-shoulders-shampoo-fuerza-de-raiz-x-375-ml-acondicionador-fuerza-de-raiz-x-300-ml/p</t>
        </is>
      </c>
      <c r="P333">
        <f>TRIM(CLEAN(PROPER(D333)))</f>
        <v/>
      </c>
      <c r="Q333">
        <f>PROPER(TRIM(SUBSTITUTE(SUBSTITUTE(SUBSTITUTE(SUBSTITUTE(E333,"TRESEMME","Tresemme"),"HEAD &amp; SHOULDERS","Head &amp; Shoulders"),"ELVIVE","Elvive"),"FRUCTIS","Fructis")))</f>
        <v/>
      </c>
      <c r="R333">
        <f>COUNTIF($D$2:$D$10000,D333)&gt;1</f>
        <v/>
      </c>
      <c r="S333">
        <f>IF(H333=TRUE,"Disponible","No disponible")</f>
        <v/>
      </c>
      <c r="T333">
        <f>IF(AND(ISNUMBER(I333),I333&gt;0),ROUND(F333/I333,2),"Sin volumen")</f>
        <v/>
      </c>
      <c r="U333">
        <f>IF(F333&lt;5000,"Bajo",IF(F333&lt;15000,"Medio","Alto"))</f>
        <v/>
      </c>
    </row>
    <row r="334">
      <c r="A334" s="6" t="inlineStr">
        <is>
          <t>Farmacity</t>
        </is>
      </c>
      <c r="B334" s="6" t="n">
        <v>238000</v>
      </c>
      <c r="C334" s="6" t="n">
        <v>238000</v>
      </c>
      <c r="D334" s="6" t="inlineStr">
        <is>
          <t>Combo Ruh Shampoo Sólido Cabello Teñido Natural Lavender x 65 g + Acondicionador Sólido x 45 g</t>
        </is>
      </c>
      <c r="E334" s="6" t="inlineStr">
        <is>
          <t>Ruh Natural</t>
        </is>
      </c>
      <c r="F334" s="6" t="n">
        <v>27015</v>
      </c>
      <c r="G334" s="6" t="n">
        <v>27015</v>
      </c>
      <c r="H334" s="6" t="b">
        <v>1</v>
      </c>
      <c r="I334" s="6" t="n">
        <v>65</v>
      </c>
      <c r="J334" s="6" t="n">
        <v>415.6154</v>
      </c>
      <c r="K334" s="6" t="inlineStr">
        <is>
          <t>&gt; Cuidado Capilar &gt; Shampoo Y Acondicionador &gt;</t>
        </is>
      </c>
      <c r="L334" s="6" t="inlineStr">
        <is>
          <t>acondicionador</t>
        </is>
      </c>
      <c r="M334" s="6" t="inlineStr">
        <is>
          <t>estandar</t>
        </is>
      </c>
      <c r="N334" s="6" t="inlineStr">
        <is>
          <t>tratado</t>
        </is>
      </c>
      <c r="O334" s="6" t="inlineStr">
        <is>
          <t>https://www.farmacity.com/combo-ruh-shampoo-solido-natural-lavender-x-65-g-acondicionador-ruh-x-45-g/p</t>
        </is>
      </c>
      <c r="P334" s="8">
        <f>TRIM(CLEAN(PROPER(D334)))</f>
        <v/>
      </c>
      <c r="Q334" s="8">
        <f>PROPER(TRIM(SUBSTITUTE(SUBSTITUTE(SUBSTITUTE(SUBSTITUTE(E334,"TRESEMME","Tresemme"),"HEAD &amp; SHOULDERS","Head &amp; Shoulders"),"ELVIVE","Elvive"),"FRUCTIS","Fructis")))</f>
        <v/>
      </c>
      <c r="R334" s="8">
        <f>COUNTIF($D$2:$D$10000,D334)&gt;1</f>
        <v/>
      </c>
      <c r="S334" s="8">
        <f>IF(H334=TRUE,"Disponible","No disponible")</f>
        <v/>
      </c>
      <c r="T334" s="8">
        <f>IF(AND(ISNUMBER(I334),I334&gt;0),ROUND(F334/I334,2),"Sin volumen")</f>
        <v/>
      </c>
      <c r="U334" s="8">
        <f>IF(F334&lt;5000,"Bajo",IF(F334&lt;15000,"Medio","Alto"))</f>
        <v/>
      </c>
    </row>
    <row r="335">
      <c r="A335" t="inlineStr">
        <is>
          <t>Farmacity</t>
        </is>
      </c>
      <c r="B335" t="n">
        <v>237999</v>
      </c>
      <c r="C335" t="n">
        <v>237999</v>
      </c>
      <c r="D335" t="inlineStr">
        <is>
          <t>Combo Ruh Shampoo Sólido Cabello Seco Mechanic Orange x 65 g + Acondicionador Sólido x 45 g</t>
        </is>
      </c>
      <c r="E335" t="inlineStr">
        <is>
          <t>Ruh Natural</t>
        </is>
      </c>
      <c r="F335" t="n">
        <v>27015</v>
      </c>
      <c r="G335" t="n">
        <v>27015</v>
      </c>
      <c r="H335" t="b">
        <v>1</v>
      </c>
      <c r="I335" t="n">
        <v>65</v>
      </c>
      <c r="J335" t="n">
        <v>415.6154</v>
      </c>
      <c r="K335" t="inlineStr">
        <is>
          <t>&gt; Cuidado Capilar &gt; Shampoo Y Acondicionador &gt;</t>
        </is>
      </c>
      <c r="L335" t="inlineStr">
        <is>
          <t>acondicionador</t>
        </is>
      </c>
      <c r="M335" t="inlineStr">
        <is>
          <t>estandar</t>
        </is>
      </c>
      <c r="N335" t="inlineStr">
        <is>
          <t>seco_danado</t>
        </is>
      </c>
      <c r="O335" t="inlineStr">
        <is>
          <t>https://www.farmacity.com/combo-ruh-shampoo-solido-cabello-seco-mechanic-orange-x-65-g-acondicionador-ruh-x-45-g/p</t>
        </is>
      </c>
      <c r="P335">
        <f>TRIM(CLEAN(PROPER(D335)))</f>
        <v/>
      </c>
      <c r="Q335">
        <f>PROPER(TRIM(SUBSTITUTE(SUBSTITUTE(SUBSTITUTE(SUBSTITUTE(E335,"TRESEMME","Tresemme"),"HEAD &amp; SHOULDERS","Head &amp; Shoulders"),"ELVIVE","Elvive"),"FRUCTIS","Fructis")))</f>
        <v/>
      </c>
      <c r="R335">
        <f>COUNTIF($D$2:$D$10000,D335)&gt;1</f>
        <v/>
      </c>
      <c r="S335">
        <f>IF(H335=TRUE,"Disponible","No disponible")</f>
        <v/>
      </c>
      <c r="T335">
        <f>IF(AND(ISNUMBER(I335),I335&gt;0),ROUND(F335/I335,2),"Sin volumen")</f>
        <v/>
      </c>
      <c r="U335">
        <f>IF(F335&lt;5000,"Bajo",IF(F335&lt;15000,"Medio","Alto"))</f>
        <v/>
      </c>
    </row>
    <row r="336">
      <c r="A336" s="6" t="inlineStr">
        <is>
          <t>Farmacity</t>
        </is>
      </c>
      <c r="B336" s="6" t="n">
        <v>247392</v>
      </c>
      <c r="C336" s="6" t="n">
        <v>247392</v>
      </c>
      <c r="D336" s="6" t="inlineStr">
        <is>
          <t>Combo Bagóvit Capilar Plasma Vegetal Shampoo x 350 ml + Acondicionador x 350 ml + Mascarilla x 300 ml</t>
        </is>
      </c>
      <c r="E336" s="6" t="inlineStr">
        <is>
          <t>Bagóvit</t>
        </is>
      </c>
      <c r="F336" s="6" t="n">
        <v>31332</v>
      </c>
      <c r="G336" s="6" t="n">
        <v>31332</v>
      </c>
      <c r="H336" s="6" t="b">
        <v>1</v>
      </c>
      <c r="I336" s="6" t="n">
        <v>350</v>
      </c>
      <c r="J336" s="6" t="n">
        <v>89.52</v>
      </c>
      <c r="K336" s="6" t="inlineStr">
        <is>
          <t>&gt; Cuidado Capilar &gt; Shampoo Y Acondicionador &gt;</t>
        </is>
      </c>
      <c r="L336" s="6" t="inlineStr">
        <is>
          <t>acondicionador</t>
        </is>
      </c>
      <c r="M336" s="6" t="inlineStr">
        <is>
          <t>estandar</t>
        </is>
      </c>
      <c r="N336" s="6" t="inlineStr">
        <is>
          <t>general</t>
        </is>
      </c>
      <c r="O336" s="6" t="inlineStr">
        <is>
          <t>https://www.farmacity.com/combo-bagovit-capilar-plasma-vegetal-shampoo-x-350-ml-acondicionador-x-350-ml-mascarilla-x-300-ml/p</t>
        </is>
      </c>
      <c r="P336" s="8">
        <f>TRIM(CLEAN(PROPER(D336)))</f>
        <v/>
      </c>
      <c r="Q336" s="8">
        <f>PROPER(TRIM(SUBSTITUTE(SUBSTITUTE(SUBSTITUTE(SUBSTITUTE(E336,"TRESEMME","Tresemme"),"HEAD &amp; SHOULDERS","Head &amp; Shoulders"),"ELVIVE","Elvive"),"FRUCTIS","Fructis")))</f>
        <v/>
      </c>
      <c r="R336" s="8">
        <f>COUNTIF($D$2:$D$10000,D336)&gt;1</f>
        <v/>
      </c>
      <c r="S336" s="8">
        <f>IF(H336=TRUE,"Disponible","No disponible")</f>
        <v/>
      </c>
      <c r="T336" s="8">
        <f>IF(AND(ISNUMBER(I336),I336&gt;0),ROUND(F336/I336,2),"Sin volumen")</f>
        <v/>
      </c>
      <c r="U336" s="8">
        <f>IF(F336&lt;5000,"Bajo",IF(F336&lt;15000,"Medio","Alto"))</f>
        <v/>
      </c>
    </row>
    <row r="337">
      <c r="A337" t="inlineStr">
        <is>
          <t>Farmacity</t>
        </is>
      </c>
      <c r="B337" t="n">
        <v>237556</v>
      </c>
      <c r="C337" t="n">
        <v>237556</v>
      </c>
      <c r="D337" t="inlineStr">
        <is>
          <t>Kit Capilar Biferdi Nutrición y Reparación Shampoo x 400 ml + Bálsamo x 400 ml + Máscara x 150 ml</t>
        </is>
      </c>
      <c r="E337" t="inlineStr">
        <is>
          <t>Biferdil</t>
        </is>
      </c>
      <c r="F337" t="n">
        <v>27378</v>
      </c>
      <c r="G337" t="n">
        <v>36504</v>
      </c>
      <c r="H337" t="b">
        <v>1</v>
      </c>
      <c r="I337" t="n">
        <v>400</v>
      </c>
      <c r="J337" t="n">
        <v>68.44499999999999</v>
      </c>
      <c r="K337" t="inlineStr">
        <is>
          <t>&gt; Cuidado Capilar &gt; Shampoo Y Acondicionador &gt;</t>
        </is>
      </c>
      <c r="L337" t="inlineStr">
        <is>
          <t>tratamiento</t>
        </is>
      </c>
      <c r="M337" t="inlineStr">
        <is>
          <t>estandar</t>
        </is>
      </c>
      <c r="N337" t="inlineStr">
        <is>
          <t>general</t>
        </is>
      </c>
      <c r="O337" t="inlineStr">
        <is>
          <t>https://www.farmacity.com/kit-capilar-biferdi-nutricion-y-reparacion-shampoo-x-400-ml-balsamo-x-400-ml-mascara-x-150-ml/p</t>
        </is>
      </c>
      <c r="P337">
        <f>TRIM(CLEAN(PROPER(D337)))</f>
        <v/>
      </c>
      <c r="Q337">
        <f>PROPER(TRIM(SUBSTITUTE(SUBSTITUTE(SUBSTITUTE(SUBSTITUTE(E337,"TRESEMME","Tresemme"),"HEAD &amp; SHOULDERS","Head &amp; Shoulders"),"ELVIVE","Elvive"),"FRUCTIS","Fructis")))</f>
        <v/>
      </c>
      <c r="R337">
        <f>COUNTIF($D$2:$D$10000,D337)&gt;1</f>
        <v/>
      </c>
      <c r="S337">
        <f>IF(H337=TRUE,"Disponible","No disponible")</f>
        <v/>
      </c>
      <c r="T337">
        <f>IF(AND(ISNUMBER(I337),I337&gt;0),ROUND(F337/I337,2),"Sin volumen")</f>
        <v/>
      </c>
      <c r="U337">
        <f>IF(F337&lt;5000,"Bajo",IF(F337&lt;15000,"Medio","Alto"))</f>
        <v/>
      </c>
    </row>
    <row r="338">
      <c r="A338" s="6" t="inlineStr">
        <is>
          <t>Farmacity</t>
        </is>
      </c>
      <c r="B338" s="6" t="n">
        <v>240580</v>
      </c>
      <c r="C338" s="6" t="n">
        <v>240580</v>
      </c>
      <c r="D338" s="6" t="inlineStr">
        <is>
          <t>Combo Baño Farmacity Bebé Jabón de Glicerina x 120 g + Baño Liquido x 200 ml + Shampoo de Avena x 200 ml</t>
        </is>
      </c>
      <c r="E338" s="6" t="inlineStr">
        <is>
          <t>Farmacity Bebé</t>
        </is>
      </c>
      <c r="F338" s="6" t="n">
        <v>5863</v>
      </c>
      <c r="G338" s="6" t="n">
        <v>13030</v>
      </c>
      <c r="H338" s="6" t="b">
        <v>1</v>
      </c>
      <c r="I338" s="6" t="n">
        <v>120</v>
      </c>
      <c r="J338" s="6" t="n">
        <v>48.8583</v>
      </c>
      <c r="K338" s="6" t="inlineStr">
        <is>
          <t>&gt; Bebés &gt; Higiene del Bebé &gt;</t>
        </is>
      </c>
      <c r="L338" s="6" t="inlineStr">
        <is>
          <t>shampoo</t>
        </is>
      </c>
      <c r="M338" s="6" t="inlineStr">
        <is>
          <t>estandar</t>
        </is>
      </c>
      <c r="N338" s="6" t="inlineStr">
        <is>
          <t>bebe</t>
        </is>
      </c>
      <c r="O338" s="6" t="inlineStr">
        <is>
          <t>https://www.farmacity.com/combo-bano-farmacity-bebe-jabon-de-glicerina-x-120-g-shampoo-de-avena-x-200-ml/p</t>
        </is>
      </c>
      <c r="P338" s="8">
        <f>TRIM(CLEAN(PROPER(D338)))</f>
        <v/>
      </c>
      <c r="Q338" s="8">
        <f>PROPER(TRIM(SUBSTITUTE(SUBSTITUTE(SUBSTITUTE(SUBSTITUTE(E338,"TRESEMME","Tresemme"),"HEAD &amp; SHOULDERS","Head &amp; Shoulders"),"ELVIVE","Elvive"),"FRUCTIS","Fructis")))</f>
        <v/>
      </c>
      <c r="R338" s="8">
        <f>COUNTIF($D$2:$D$10000,D338)&gt;1</f>
        <v/>
      </c>
      <c r="S338" s="8">
        <f>IF(H338=TRUE,"Disponible","No disponible")</f>
        <v/>
      </c>
      <c r="T338" s="8">
        <f>IF(AND(ISNUMBER(I338),I338&gt;0),ROUND(F338/I338,2),"Sin volumen")</f>
        <v/>
      </c>
      <c r="U338" s="8">
        <f>IF(F338&lt;5000,"Bajo",IF(F338&lt;15000,"Medio","Alto"))</f>
        <v/>
      </c>
    </row>
    <row r="339">
      <c r="A339" t="inlineStr">
        <is>
          <t>Farmacity</t>
        </is>
      </c>
      <c r="B339" t="n">
        <v>241721</v>
      </c>
      <c r="C339" t="n">
        <v>241721</v>
      </c>
      <c r="D339" t="inlineStr">
        <is>
          <t>Kit Capilar Tresemmé Dosificador Cauterización Reparadora Shampoo x 500 ml + Acondicionador x 500 ml + Óleo Finisher Textura Liviana x 60 ml</t>
        </is>
      </c>
      <c r="E339" t="inlineStr">
        <is>
          <t>Tresemmé</t>
        </is>
      </c>
      <c r="F339" t="n">
        <v>19360</v>
      </c>
      <c r="G339" t="n">
        <v>32267</v>
      </c>
      <c r="H339" t="b">
        <v>1</v>
      </c>
      <c r="I339" t="n">
        <v>500</v>
      </c>
      <c r="J339" t="n">
        <v>38.72</v>
      </c>
      <c r="K339" t="inlineStr">
        <is>
          <t>&gt; Cuidado Capilar &gt; Shampoo Y Acondicionador &gt;</t>
        </is>
      </c>
      <c r="L339" t="inlineStr">
        <is>
          <t>acondicionador</t>
        </is>
      </c>
      <c r="M339" t="inlineStr">
        <is>
          <t>estandar</t>
        </is>
      </c>
      <c r="N339" t="inlineStr">
        <is>
          <t>general</t>
        </is>
      </c>
      <c r="O339" t="inlineStr">
        <is>
          <t>https://www.farmacity.com/combo-capilar-tresemme-dosificador-cauterizacion-reparadora-shampoo-x-500-ml-acondicionador-x-500-ml-oleo-finisher-textura-liviana-x-60-ml/p</t>
        </is>
      </c>
      <c r="P339">
        <f>TRIM(CLEAN(PROPER(D339)))</f>
        <v/>
      </c>
      <c r="Q339">
        <f>PROPER(TRIM(SUBSTITUTE(SUBSTITUTE(SUBSTITUTE(SUBSTITUTE(E339,"TRESEMME","Tresemme"),"HEAD &amp; SHOULDERS","Head &amp; Shoulders"),"ELVIVE","Elvive"),"FRUCTIS","Fructis")))</f>
        <v/>
      </c>
      <c r="R339">
        <f>COUNTIF($D$2:$D$10000,D339)&gt;1</f>
        <v/>
      </c>
      <c r="S339">
        <f>IF(H339=TRUE,"Disponible","No disponible")</f>
        <v/>
      </c>
      <c r="T339">
        <f>IF(AND(ISNUMBER(I339),I339&gt;0),ROUND(F339/I339,2),"Sin volumen")</f>
        <v/>
      </c>
      <c r="U339">
        <f>IF(F339&lt;5000,"Bajo",IF(F339&lt;15000,"Medio","Alto"))</f>
        <v/>
      </c>
    </row>
    <row r="340">
      <c r="A340" s="6" t="inlineStr">
        <is>
          <t>Farmacity</t>
        </is>
      </c>
      <c r="B340" s="6" t="n">
        <v>241724</v>
      </c>
      <c r="C340" s="6" t="n">
        <v>241724</v>
      </c>
      <c r="D340" s="6" t="inlineStr">
        <is>
          <t>Kit Capilar Tresemmé Dosificador Ondas Boho Shampoo x 500 ml + Acondicionador x 500 ml + Protector Térmico Spray x 120 ml</t>
        </is>
      </c>
      <c r="E340" s="6" t="inlineStr">
        <is>
          <t>Tresemmé</t>
        </is>
      </c>
      <c r="F340" s="6" t="n">
        <v>18047</v>
      </c>
      <c r="G340" s="6" t="n">
        <v>30078</v>
      </c>
      <c r="H340" s="6" t="b">
        <v>1</v>
      </c>
      <c r="I340" s="6" t="n">
        <v>500</v>
      </c>
      <c r="J340" s="6" t="n">
        <v>36.094</v>
      </c>
      <c r="K340" s="6" t="inlineStr">
        <is>
          <t>&gt; Cuidado Capilar &gt; Shampoo Y Acondicionador &gt;</t>
        </is>
      </c>
      <c r="L340" s="6" t="inlineStr">
        <is>
          <t>acondicionador</t>
        </is>
      </c>
      <c r="M340" s="6" t="inlineStr">
        <is>
          <t>estandar</t>
        </is>
      </c>
      <c r="N340" s="6" t="inlineStr">
        <is>
          <t>general</t>
        </is>
      </c>
      <c r="O340" s="6" t="inlineStr">
        <is>
          <t>https://www.farmacity.com/combo-capilar-tresemme-dosificador-ondas-boho-shampoo-x-500-ml-acondicionador-x-500-ml-protector-termico-spray-x-120-ml/p</t>
        </is>
      </c>
      <c r="P340" s="8">
        <f>TRIM(CLEAN(PROPER(D340)))</f>
        <v/>
      </c>
      <c r="Q340" s="8">
        <f>PROPER(TRIM(SUBSTITUTE(SUBSTITUTE(SUBSTITUTE(SUBSTITUTE(E340,"TRESEMME","Tresemme"),"HEAD &amp; SHOULDERS","Head &amp; Shoulders"),"ELVIVE","Elvive"),"FRUCTIS","Fructis")))</f>
        <v/>
      </c>
      <c r="R340" s="8">
        <f>COUNTIF($D$2:$D$10000,D340)&gt;1</f>
        <v/>
      </c>
      <c r="S340" s="8">
        <f>IF(H340=TRUE,"Disponible","No disponible")</f>
        <v/>
      </c>
      <c r="T340" s="8">
        <f>IF(AND(ISNUMBER(I340),I340&gt;0),ROUND(F340/I340,2),"Sin volumen")</f>
        <v/>
      </c>
      <c r="U340" s="8">
        <f>IF(F340&lt;5000,"Bajo",IF(F340&lt;15000,"Medio","Alto"))</f>
        <v/>
      </c>
    </row>
    <row r="341">
      <c r="A341" t="inlineStr">
        <is>
          <t>Farmacity</t>
        </is>
      </c>
      <c r="B341" t="n">
        <v>246516</v>
      </c>
      <c r="C341" t="n">
        <v>246516</v>
      </c>
      <c r="D341" t="inlineStr">
        <is>
          <t>Combo Huggies Natural Care Pañales Talle RN + Toallitas Húmedas Triple Protección con Óleo Calcáreo + Jabon Liquido + Shampoo Hora de Soñar</t>
        </is>
      </c>
      <c r="E341" t="inlineStr">
        <is>
          <t>Huggies</t>
        </is>
      </c>
      <c r="F341" t="n">
        <v>30437</v>
      </c>
      <c r="G341" t="n">
        <v>43481</v>
      </c>
      <c r="H341" t="b">
        <v>1</v>
      </c>
      <c r="I341" t="inlineStr"/>
      <c r="J341" t="inlineStr"/>
      <c r="K341" t="inlineStr">
        <is>
          <t>&gt; Bebés &gt; Pañales &gt; Pañales Descartables &gt;</t>
        </is>
      </c>
      <c r="L341" t="inlineStr">
        <is>
          <t>shampoo</t>
        </is>
      </c>
      <c r="M341" t="inlineStr">
        <is>
          <t>estandar</t>
        </is>
      </c>
      <c r="N341" t="inlineStr">
        <is>
          <t>general</t>
        </is>
      </c>
      <c r="O341" t="inlineStr">
        <is>
          <t>https://www.farmacity.com/combo-huggies-natural-care-panales-talle-rn-toallitas-humedas-triple-proteccion-con-oleo-calcareo-jabon-liquido-shampoo-hora-de-sonar/p</t>
        </is>
      </c>
      <c r="P341">
        <f>TRIM(CLEAN(PROPER(D341)))</f>
        <v/>
      </c>
      <c r="Q341">
        <f>PROPER(TRIM(SUBSTITUTE(SUBSTITUTE(SUBSTITUTE(SUBSTITUTE(E341,"TRESEMME","Tresemme"),"HEAD &amp; SHOULDERS","Head &amp; Shoulders"),"ELVIVE","Elvive"),"FRUCTIS","Fructis")))</f>
        <v/>
      </c>
      <c r="R341">
        <f>COUNTIF($D$2:$D$10000,D341)&gt;1</f>
        <v/>
      </c>
      <c r="S341">
        <f>IF(H341=TRUE,"Disponible","No disponible")</f>
        <v/>
      </c>
      <c r="T341">
        <f>IF(AND(ISNUMBER(I341),I341&gt;0),ROUND(F341/I341,2),"Sin volumen")</f>
        <v/>
      </c>
      <c r="U341">
        <f>IF(F341&lt;5000,"Bajo",IF(F341&lt;15000,"Medio","Alto"))</f>
        <v/>
      </c>
    </row>
    <row r="342">
      <c r="A342" s="6" t="inlineStr">
        <is>
          <t>Farmacity</t>
        </is>
      </c>
      <c r="B342" s="6" t="n">
        <v>240579</v>
      </c>
      <c r="C342" s="6" t="n">
        <v>240579</v>
      </c>
      <c r="D342" s="6" t="inlineStr">
        <is>
          <t>Combo Baño Farmacity Bebé Jabón de Glicerina x 120 g + Repuesto de Baño Liquido x 180 ml + Shampoo de Avena x 200 ml</t>
        </is>
      </c>
      <c r="E342" s="6" t="inlineStr">
        <is>
          <t>Farmacity Bebé</t>
        </is>
      </c>
      <c r="F342" s="6" t="n">
        <v>5368</v>
      </c>
      <c r="G342" s="6" t="n">
        <v>11930</v>
      </c>
      <c r="H342" s="6" t="b">
        <v>1</v>
      </c>
      <c r="I342" s="6" t="n">
        <v>120</v>
      </c>
      <c r="J342" s="6" t="n">
        <v>44.7333</v>
      </c>
      <c r="K342" s="6" t="inlineStr">
        <is>
          <t>&gt; Bebés &gt; Higiene del Bebé &gt;</t>
        </is>
      </c>
      <c r="L342" s="6" t="inlineStr">
        <is>
          <t>shampoo</t>
        </is>
      </c>
      <c r="M342" s="6" t="inlineStr">
        <is>
          <t>estandar</t>
        </is>
      </c>
      <c r="N342" s="6" t="inlineStr">
        <is>
          <t>bebe</t>
        </is>
      </c>
      <c r="O342" s="6" t="inlineStr">
        <is>
          <t>https://www.farmacity.com/combo-bano-farmacity-bebe-jabon-de-glicerina-x-120-g-repuesto-de-bano-liquido-x-180-ml-shampoo-de-avena-x-200-ml/p</t>
        </is>
      </c>
      <c r="P342" s="8">
        <f>TRIM(CLEAN(PROPER(D342)))</f>
        <v/>
      </c>
      <c r="Q342" s="8">
        <f>PROPER(TRIM(SUBSTITUTE(SUBSTITUTE(SUBSTITUTE(SUBSTITUTE(E342,"TRESEMME","Tresemme"),"HEAD &amp; SHOULDERS","Head &amp; Shoulders"),"ELVIVE","Elvive"),"FRUCTIS","Fructis")))</f>
        <v/>
      </c>
      <c r="R342" s="8">
        <f>COUNTIF($D$2:$D$10000,D342)&gt;1</f>
        <v/>
      </c>
      <c r="S342" s="8">
        <f>IF(H342=TRUE,"Disponible","No disponible")</f>
        <v/>
      </c>
      <c r="T342" s="8">
        <f>IF(AND(ISNUMBER(I342),I342&gt;0),ROUND(F342/I342,2),"Sin volumen")</f>
        <v/>
      </c>
      <c r="U342" s="8">
        <f>IF(F342&lt;5000,"Bajo",IF(F342&lt;15000,"Medio","Alto"))</f>
        <v/>
      </c>
    </row>
    <row r="343">
      <c r="A343" t="inlineStr">
        <is>
          <t>Farmacity</t>
        </is>
      </c>
      <c r="B343" t="n">
        <v>241725</v>
      </c>
      <c r="C343" t="n">
        <v>241725</v>
      </c>
      <c r="D343" t="inlineStr">
        <is>
          <t>Kit Capilar Tresemmé Brillo Lamelar Shampoo x 500 ml + Acondicionador x 500 ml + Óleo x 60 ml + Sérum x 170 ml</t>
        </is>
      </c>
      <c r="E343" t="inlineStr">
        <is>
          <t>Tresemmé</t>
        </is>
      </c>
      <c r="F343" t="n">
        <v>26571</v>
      </c>
      <c r="G343" t="n">
        <v>44285</v>
      </c>
      <c r="H343" t="b">
        <v>1</v>
      </c>
      <c r="I343" t="n">
        <v>500</v>
      </c>
      <c r="J343" t="n">
        <v>53.142</v>
      </c>
      <c r="K343" t="inlineStr">
        <is>
          <t>&gt; Cuidado Capilar &gt; Shampoo Y Acondicionador &gt;</t>
        </is>
      </c>
      <c r="L343" t="inlineStr">
        <is>
          <t>acondicionador</t>
        </is>
      </c>
      <c r="M343" t="inlineStr">
        <is>
          <t>estandar</t>
        </is>
      </c>
      <c r="N343" t="inlineStr">
        <is>
          <t>general</t>
        </is>
      </c>
      <c r="O343" t="inlineStr">
        <is>
          <t>https://www.farmacity.com/combo-capilar-tresemme-brillo-lamelar-shampoo-x-500-ml-acondicionador-x-500-ml-oleo-x-60-ml-serum-x-170-ml/p</t>
        </is>
      </c>
      <c r="P343">
        <f>TRIM(CLEAN(PROPER(D343)))</f>
        <v/>
      </c>
      <c r="Q343">
        <f>PROPER(TRIM(SUBSTITUTE(SUBSTITUTE(SUBSTITUTE(SUBSTITUTE(E343,"TRESEMME","Tresemme"),"HEAD &amp; SHOULDERS","Head &amp; Shoulders"),"ELVIVE","Elvive"),"FRUCTIS","Fructis")))</f>
        <v/>
      </c>
      <c r="R343">
        <f>COUNTIF($D$2:$D$10000,D343)&gt;1</f>
        <v/>
      </c>
      <c r="S343">
        <f>IF(H343=TRUE,"Disponible","No disponible")</f>
        <v/>
      </c>
      <c r="T343">
        <f>IF(AND(ISNUMBER(I343),I343&gt;0),ROUND(F343/I343,2),"Sin volumen")</f>
        <v/>
      </c>
      <c r="U343">
        <f>IF(F343&lt;5000,"Bajo",IF(F343&lt;15000,"Medio","Alto"))</f>
        <v/>
      </c>
    </row>
    <row r="344">
      <c r="A344" s="6" t="inlineStr">
        <is>
          <t>Farmacity</t>
        </is>
      </c>
      <c r="B344" s="6" t="n">
        <v>241720</v>
      </c>
      <c r="C344" s="6" t="n">
        <v>241720</v>
      </c>
      <c r="D344" s="6" t="inlineStr">
        <is>
          <t>Kit Capilar Tresemmé Dosificador Keratina AntiFrizz Shampoo x 500 ml + Acondicionador x 500 ml + Óleo Finisher Textura Liviana x 60 ml</t>
        </is>
      </c>
      <c r="E344" s="6" t="inlineStr">
        <is>
          <t>Tresemmé</t>
        </is>
      </c>
      <c r="F344" s="6" t="n">
        <v>19360</v>
      </c>
      <c r="G344" s="6" t="n">
        <v>32267</v>
      </c>
      <c r="H344" s="6" t="b">
        <v>1</v>
      </c>
      <c r="I344" s="6" t="n">
        <v>500</v>
      </c>
      <c r="J344" s="6" t="n">
        <v>38.72</v>
      </c>
      <c r="K344" s="6" t="inlineStr">
        <is>
          <t>&gt; Cuidado Capilar &gt; Shampoo Y Acondicionador &gt;</t>
        </is>
      </c>
      <c r="L344" s="6" t="inlineStr">
        <is>
          <t>acondicionador</t>
        </is>
      </c>
      <c r="M344" s="6" t="inlineStr">
        <is>
          <t>estandar</t>
        </is>
      </c>
      <c r="N344" s="6" t="inlineStr">
        <is>
          <t>tratado</t>
        </is>
      </c>
      <c r="O344" s="6" t="inlineStr">
        <is>
          <t>https://www.farmacity.com/combo-capilar-tresemme-dosificador-keratina-antifrizz-shampoo-x-500-ml-acondicionador-x-500-ml-oleo-finisher-textura-liviana-x-60-ml/p</t>
        </is>
      </c>
      <c r="P344" s="8">
        <f>TRIM(CLEAN(PROPER(D344)))</f>
        <v/>
      </c>
      <c r="Q344" s="8">
        <f>PROPER(TRIM(SUBSTITUTE(SUBSTITUTE(SUBSTITUTE(SUBSTITUTE(E344,"TRESEMME","Tresemme"),"HEAD &amp; SHOULDERS","Head &amp; Shoulders"),"ELVIVE","Elvive"),"FRUCTIS","Fructis")))</f>
        <v/>
      </c>
      <c r="R344" s="8">
        <f>COUNTIF($D$2:$D$10000,D344)&gt;1</f>
        <v/>
      </c>
      <c r="S344" s="8">
        <f>IF(H344=TRUE,"Disponible","No disponible")</f>
        <v/>
      </c>
      <c r="T344" s="8">
        <f>IF(AND(ISNUMBER(I344),I344&gt;0),ROUND(F344/I344,2),"Sin volumen")</f>
        <v/>
      </c>
      <c r="U344" s="8">
        <f>IF(F344&lt;5000,"Bajo",IF(F344&lt;15000,"Medio","Alto"))</f>
        <v/>
      </c>
    </row>
    <row r="345">
      <c r="A345" t="inlineStr">
        <is>
          <t>Farmacity</t>
        </is>
      </c>
      <c r="B345" t="n">
        <v>242449</v>
      </c>
      <c r="C345" t="n">
        <v>242449</v>
      </c>
      <c r="D345" t="inlineStr">
        <is>
          <t>Kit Biferdil Control Caída Loción Bioxidil x 100 ml + Ampolla Capilar con Bioxidil x 10 ml + Shampoo Fortalecedor y Engrosador x 250 ml</t>
        </is>
      </c>
      <c r="E345" t="inlineStr">
        <is>
          <t>Biferdil</t>
        </is>
      </c>
      <c r="F345" t="n">
        <v>60384</v>
      </c>
      <c r="G345" t="n">
        <v>60384</v>
      </c>
      <c r="H345" t="b">
        <v>1</v>
      </c>
      <c r="I345" t="n">
        <v>100</v>
      </c>
      <c r="J345" t="n">
        <v>603.84</v>
      </c>
      <c r="K345" t="inlineStr">
        <is>
          <t>&gt; Cuidado Capilar &gt; Shampoo Y Acondicionador &gt;</t>
        </is>
      </c>
      <c r="L345" t="inlineStr">
        <is>
          <t>tratamiento</t>
        </is>
      </c>
      <c r="M345" t="inlineStr">
        <is>
          <t>estandar</t>
        </is>
      </c>
      <c r="N345" t="inlineStr">
        <is>
          <t>general</t>
        </is>
      </c>
      <c r="O345" t="inlineStr">
        <is>
          <t>https://www.farmacity.com/combo-biferdil-control-caida-locion-bioxidil-x-100-ml-ampolla-capilar-con-bioxidil-x-10-ml-shampoo-fortalecedor-y-engrosador-x-250-ml/p</t>
        </is>
      </c>
      <c r="P345">
        <f>TRIM(CLEAN(PROPER(D345)))</f>
        <v/>
      </c>
      <c r="Q345">
        <f>PROPER(TRIM(SUBSTITUTE(SUBSTITUTE(SUBSTITUTE(SUBSTITUTE(E345,"TRESEMME","Tresemme"),"HEAD &amp; SHOULDERS","Head &amp; Shoulders"),"ELVIVE","Elvive"),"FRUCTIS","Fructis")))</f>
        <v/>
      </c>
      <c r="R345">
        <f>COUNTIF($D$2:$D$10000,D345)&gt;1</f>
        <v/>
      </c>
      <c r="S345">
        <f>IF(H345=TRUE,"Disponible","No disponible")</f>
        <v/>
      </c>
      <c r="T345">
        <f>IF(AND(ISNUMBER(I345),I345&gt;0),ROUND(F345/I345,2),"Sin volumen")</f>
        <v/>
      </c>
      <c r="U345">
        <f>IF(F345&lt;5000,"Bajo",IF(F345&lt;15000,"Medio","Alto"))</f>
        <v/>
      </c>
    </row>
    <row r="346">
      <c r="A346" s="6" t="inlineStr">
        <is>
          <t>Farmacity</t>
        </is>
      </c>
      <c r="B346" s="6" t="n">
        <v>7760</v>
      </c>
      <c r="C346" s="6" t="n">
        <v>152465</v>
      </c>
      <c r="D346" s="6" t="inlineStr">
        <is>
          <t>Spray para Peinar para Niños Johnson's Baby Gotas de Brillo x 200 ml</t>
        </is>
      </c>
      <c r="E346" s="6" t="inlineStr">
        <is>
          <t>Johnson's</t>
        </is>
      </c>
      <c r="F346" s="6" t="n">
        <v>5017</v>
      </c>
      <c r="G346" s="6" t="n">
        <v>7167</v>
      </c>
      <c r="H346" s="6" t="b">
        <v>1</v>
      </c>
      <c r="I346" s="6" t="n">
        <v>200</v>
      </c>
      <c r="J346" s="6" t="n">
        <v>25.085</v>
      </c>
      <c r="K346" s="6" t="inlineStr">
        <is>
          <t>&gt; Bebés &gt; Higiene del Bebé &gt; Baño Del Bebé &gt;</t>
        </is>
      </c>
      <c r="L346" s="6" t="inlineStr">
        <is>
          <t>shampoo</t>
        </is>
      </c>
      <c r="M346" s="6" t="inlineStr">
        <is>
          <t>estandar</t>
        </is>
      </c>
      <c r="N346" s="6" t="inlineStr">
        <is>
          <t>bebe</t>
        </is>
      </c>
      <c r="O346" s="6" t="inlineStr">
        <is>
          <t>https://www.farmacity.com/spray-para-peinar-gotas-de-brillo-x-200-ml/p</t>
        </is>
      </c>
      <c r="P346" s="8">
        <f>TRIM(CLEAN(PROPER(D346)))</f>
        <v/>
      </c>
      <c r="Q346" s="8">
        <f>PROPER(TRIM(SUBSTITUTE(SUBSTITUTE(SUBSTITUTE(SUBSTITUTE(E346,"TRESEMME","Tresemme"),"HEAD &amp; SHOULDERS","Head &amp; Shoulders"),"ELVIVE","Elvive"),"FRUCTIS","Fructis")))</f>
        <v/>
      </c>
      <c r="R346" s="8">
        <f>COUNTIF($D$2:$D$10000,D346)&gt;1</f>
        <v/>
      </c>
      <c r="S346" s="8">
        <f>IF(H346=TRUE,"Disponible","No disponible")</f>
        <v/>
      </c>
      <c r="T346" s="8">
        <f>IF(AND(ISNUMBER(I346),I346&gt;0),ROUND(F346/I346,2),"Sin volumen")</f>
        <v/>
      </c>
      <c r="U346" s="8">
        <f>IF(F346&lt;5000,"Bajo",IF(F346&lt;15000,"Medio","Alto"))</f>
        <v/>
      </c>
    </row>
    <row r="347">
      <c r="A347" t="inlineStr">
        <is>
          <t>Farmacity</t>
        </is>
      </c>
      <c r="B347" t="n">
        <v>7801</v>
      </c>
      <c r="C347" t="n">
        <v>150809</v>
      </c>
      <c r="D347" t="inlineStr">
        <is>
          <t>Jabón Líquido para Bebé Johnson's Recién Nacido x 200 ml</t>
        </is>
      </c>
      <c r="E347" t="inlineStr">
        <is>
          <t>Johnson's</t>
        </is>
      </c>
      <c r="F347" t="n">
        <v>4058</v>
      </c>
      <c r="G347" t="n">
        <v>5797</v>
      </c>
      <c r="H347" t="b">
        <v>1</v>
      </c>
      <c r="I347" t="n">
        <v>200</v>
      </c>
      <c r="J347" t="n">
        <v>20.29</v>
      </c>
      <c r="K347" t="inlineStr">
        <is>
          <t>&gt; Bebés &gt; Higiene del Bebé &gt; Baño Del Bebé &gt;</t>
        </is>
      </c>
      <c r="L347" t="inlineStr">
        <is>
          <t>shampoo</t>
        </is>
      </c>
      <c r="M347" t="inlineStr">
        <is>
          <t>estandar</t>
        </is>
      </c>
      <c r="N347" t="inlineStr">
        <is>
          <t>bebe</t>
        </is>
      </c>
      <c r="O347" t="inlineStr">
        <is>
          <t>https://www.farmacity.com/jabon-liquido-recien-nacido-x-200-ml/p</t>
        </is>
      </c>
      <c r="P347">
        <f>TRIM(CLEAN(PROPER(D347)))</f>
        <v/>
      </c>
      <c r="Q347">
        <f>PROPER(TRIM(SUBSTITUTE(SUBSTITUTE(SUBSTITUTE(SUBSTITUTE(E347,"TRESEMME","Tresemme"),"HEAD &amp; SHOULDERS","Head &amp; Shoulders"),"ELVIVE","Elvive"),"FRUCTIS","Fructis")))</f>
        <v/>
      </c>
      <c r="R347">
        <f>COUNTIF($D$2:$D$10000,D347)&gt;1</f>
        <v/>
      </c>
      <c r="S347">
        <f>IF(H347=TRUE,"Disponible","No disponible")</f>
        <v/>
      </c>
      <c r="T347">
        <f>IF(AND(ISNUMBER(I347),I347&gt;0),ROUND(F347/I347,2),"Sin volumen")</f>
        <v/>
      </c>
      <c r="U347">
        <f>IF(F347&lt;5000,"Bajo",IF(F347&lt;15000,"Medio","Alto"))</f>
        <v/>
      </c>
    </row>
    <row r="348">
      <c r="A348" s="6" t="inlineStr">
        <is>
          <t>Farmacity</t>
        </is>
      </c>
      <c r="B348" s="6" t="n">
        <v>7695</v>
      </c>
      <c r="C348" s="6" t="n">
        <v>150810</v>
      </c>
      <c r="D348" s="6" t="inlineStr">
        <is>
          <t>Crema Hidratante para Bebé Johnson's Recién Nacido x 200 ml</t>
        </is>
      </c>
      <c r="E348" s="6" t="inlineStr">
        <is>
          <t>Johnson's</t>
        </is>
      </c>
      <c r="F348" s="6" t="n">
        <v>3989</v>
      </c>
      <c r="G348" s="6" t="n">
        <v>5698</v>
      </c>
      <c r="H348" s="6" t="b">
        <v>1</v>
      </c>
      <c r="I348" s="6" t="n">
        <v>200</v>
      </c>
      <c r="J348" s="6" t="n">
        <v>19.945</v>
      </c>
      <c r="K348" s="6" t="inlineStr">
        <is>
          <t>&gt; Bebés &gt; Higiene del Bebé &gt; Óleos y Algodón &gt;</t>
        </is>
      </c>
      <c r="L348" s="6" t="inlineStr">
        <is>
          <t>shampoo</t>
        </is>
      </c>
      <c r="M348" s="6" t="inlineStr">
        <is>
          <t>estandar</t>
        </is>
      </c>
      <c r="N348" s="6" t="inlineStr">
        <is>
          <t>seco_danado</t>
        </is>
      </c>
      <c r="O348" s="6" t="inlineStr">
        <is>
          <t>https://www.farmacity.com/crema-hidratante-recien-nacido-x-200-ml/p</t>
        </is>
      </c>
      <c r="P348" s="8">
        <f>TRIM(CLEAN(PROPER(D348)))</f>
        <v/>
      </c>
      <c r="Q348" s="8">
        <f>PROPER(TRIM(SUBSTITUTE(SUBSTITUTE(SUBSTITUTE(SUBSTITUTE(E348,"TRESEMME","Tresemme"),"HEAD &amp; SHOULDERS","Head &amp; Shoulders"),"ELVIVE","Elvive"),"FRUCTIS","Fructis")))</f>
        <v/>
      </c>
      <c r="R348" s="8">
        <f>COUNTIF($D$2:$D$10000,D348)&gt;1</f>
        <v/>
      </c>
      <c r="S348" s="8">
        <f>IF(H348=TRUE,"Disponible","No disponible")</f>
        <v/>
      </c>
      <c r="T348" s="8">
        <f>IF(AND(ISNUMBER(I348),I348&gt;0),ROUND(F348/I348,2),"Sin volumen")</f>
        <v/>
      </c>
      <c r="U348" s="8">
        <f>IF(F348&lt;5000,"Bajo",IF(F348&lt;15000,"Medio","Alto"))</f>
        <v/>
      </c>
    </row>
    <row r="349">
      <c r="A349" t="inlineStr">
        <is>
          <t>Farmacity</t>
        </is>
      </c>
      <c r="B349" t="n">
        <v>195</v>
      </c>
      <c r="C349" t="n">
        <v>12706</v>
      </c>
      <c r="D349" t="inlineStr">
        <is>
          <t>Aceite para Bebé Johnson's Puro x 100 ml</t>
        </is>
      </c>
      <c r="E349" t="inlineStr">
        <is>
          <t>Johnson's</t>
        </is>
      </c>
      <c r="F349" t="n">
        <v>4270</v>
      </c>
      <c r="G349" t="n">
        <v>6100</v>
      </c>
      <c r="H349" t="b">
        <v>1</v>
      </c>
      <c r="I349" t="n">
        <v>100</v>
      </c>
      <c r="J349" t="n">
        <v>42.7</v>
      </c>
      <c r="K349" t="inlineStr">
        <is>
          <t>&gt; Bebés &gt; Higiene del Bebé &gt; Óleos y Algodón &gt;</t>
        </is>
      </c>
      <c r="L349" t="inlineStr">
        <is>
          <t>shampoo</t>
        </is>
      </c>
      <c r="M349" t="inlineStr">
        <is>
          <t>estandar</t>
        </is>
      </c>
      <c r="N349" t="inlineStr">
        <is>
          <t>bebe</t>
        </is>
      </c>
      <c r="O349" t="inlineStr">
        <is>
          <t>https://www.farmacity.com/aceite-humecta-y-suaviza-puro-x-100-ml/p</t>
        </is>
      </c>
      <c r="P349">
        <f>TRIM(CLEAN(PROPER(D349)))</f>
        <v/>
      </c>
      <c r="Q349">
        <f>PROPER(TRIM(SUBSTITUTE(SUBSTITUTE(SUBSTITUTE(SUBSTITUTE(E349,"TRESEMME","Tresemme"),"HEAD &amp; SHOULDERS","Head &amp; Shoulders"),"ELVIVE","Elvive"),"FRUCTIS","Fructis")))</f>
        <v/>
      </c>
      <c r="R349">
        <f>COUNTIF($D$2:$D$10000,D349)&gt;1</f>
        <v/>
      </c>
      <c r="S349">
        <f>IF(H349=TRUE,"Disponible","No disponible")</f>
        <v/>
      </c>
      <c r="T349">
        <f>IF(AND(ISNUMBER(I349),I349&gt;0),ROUND(F349/I349,2),"Sin volumen")</f>
        <v/>
      </c>
      <c r="U349">
        <f>IF(F349&lt;5000,"Bajo",IF(F349&lt;15000,"Medio","Alto"))</f>
        <v/>
      </c>
    </row>
    <row r="350">
      <c r="A350" s="6" t="inlineStr">
        <is>
          <t>Farmacity</t>
        </is>
      </c>
      <c r="B350" s="6" t="n">
        <v>14973</v>
      </c>
      <c r="C350" s="6" t="n">
        <v>139289</v>
      </c>
      <c r="D350" s="6" t="inlineStr">
        <is>
          <t>Colonia Fresca Johnson's Caricia x 100 ml</t>
        </is>
      </c>
      <c r="E350" s="6" t="inlineStr">
        <is>
          <t>Johnson's</t>
        </is>
      </c>
      <c r="F350" s="6" t="n">
        <v>3233</v>
      </c>
      <c r="G350" s="6" t="n">
        <v>4618</v>
      </c>
      <c r="H350" s="6" t="b">
        <v>1</v>
      </c>
      <c r="I350" s="6" t="n">
        <v>100</v>
      </c>
      <c r="J350" s="6" t="n">
        <v>32.33</v>
      </c>
      <c r="K350" s="6" t="inlineStr">
        <is>
          <t>&gt; Bebés &gt; Higiene del Bebé &gt; Fragancias de Bebés y Niños &gt;</t>
        </is>
      </c>
      <c r="L350" s="6" t="inlineStr">
        <is>
          <t>shampoo</t>
        </is>
      </c>
      <c r="M350" s="6" t="inlineStr">
        <is>
          <t>estandar</t>
        </is>
      </c>
      <c r="N350" s="6" t="inlineStr">
        <is>
          <t>general</t>
        </is>
      </c>
      <c r="O350" s="6" t="inlineStr">
        <is>
          <t>https://www.farmacity.com/colonia-fresca-caricia-suave-para-la-piel-x-100-ml/p</t>
        </is>
      </c>
      <c r="P350" s="8">
        <f>TRIM(CLEAN(PROPER(D350)))</f>
        <v/>
      </c>
      <c r="Q350" s="8">
        <f>PROPER(TRIM(SUBSTITUTE(SUBSTITUTE(SUBSTITUTE(SUBSTITUTE(E350,"TRESEMME","Tresemme"),"HEAD &amp; SHOULDERS","Head &amp; Shoulders"),"ELVIVE","Elvive"),"FRUCTIS","Fructis")))</f>
        <v/>
      </c>
      <c r="R350" s="8">
        <f>COUNTIF($D$2:$D$10000,D350)&gt;1</f>
        <v/>
      </c>
      <c r="S350" s="8">
        <f>IF(H350=TRUE,"Disponible","No disponible")</f>
        <v/>
      </c>
      <c r="T350" s="8">
        <f>IF(AND(ISNUMBER(I350),I350&gt;0),ROUND(F350/I350,2),"Sin volumen")</f>
        <v/>
      </c>
      <c r="U350" s="8">
        <f>IF(F350&lt;5000,"Bajo",IF(F350&lt;15000,"Medio","Alto"))</f>
        <v/>
      </c>
    </row>
    <row r="351">
      <c r="A351" t="inlineStr">
        <is>
          <t>Farmacity</t>
        </is>
      </c>
      <c r="B351" t="n">
        <v>513</v>
      </c>
      <c r="C351" t="n">
        <v>12707</v>
      </c>
      <c r="D351" t="inlineStr">
        <is>
          <t>Aceite para Bebé Johnson's Puro x 200 ml</t>
        </is>
      </c>
      <c r="E351" t="inlineStr">
        <is>
          <t>Johnson's</t>
        </is>
      </c>
      <c r="F351" t="n">
        <v>5816</v>
      </c>
      <c r="G351" t="n">
        <v>8309</v>
      </c>
      <c r="H351" t="b">
        <v>1</v>
      </c>
      <c r="I351" t="n">
        <v>200</v>
      </c>
      <c r="J351" t="n">
        <v>29.08</v>
      </c>
      <c r="K351" t="inlineStr">
        <is>
          <t>&gt; Bebés &gt; Higiene del Bebé &gt; Óleos y Algodón &gt;</t>
        </is>
      </c>
      <c r="L351" t="inlineStr">
        <is>
          <t>shampoo</t>
        </is>
      </c>
      <c r="M351" t="inlineStr">
        <is>
          <t>estandar</t>
        </is>
      </c>
      <c r="N351" t="inlineStr">
        <is>
          <t>bebe</t>
        </is>
      </c>
      <c r="O351" t="inlineStr">
        <is>
          <t>https://www.farmacity.com/aceite-puro-humecta-y-suaviza-x-200-ml/p</t>
        </is>
      </c>
      <c r="P351">
        <f>TRIM(CLEAN(PROPER(D351)))</f>
        <v/>
      </c>
      <c r="Q351">
        <f>PROPER(TRIM(SUBSTITUTE(SUBSTITUTE(SUBSTITUTE(SUBSTITUTE(E351,"TRESEMME","Tresemme"),"HEAD &amp; SHOULDERS","Head &amp; Shoulders"),"ELVIVE","Elvive"),"FRUCTIS","Fructis")))</f>
        <v/>
      </c>
      <c r="R351">
        <f>COUNTIF($D$2:$D$10000,D351)&gt;1</f>
        <v/>
      </c>
      <c r="S351">
        <f>IF(H351=TRUE,"Disponible","No disponible")</f>
        <v/>
      </c>
      <c r="T351">
        <f>IF(AND(ISNUMBER(I351),I351&gt;0),ROUND(F351/I351,2),"Sin volumen")</f>
        <v/>
      </c>
      <c r="U351">
        <f>IF(F351&lt;5000,"Bajo",IF(F351&lt;15000,"Medio","Alto"))</f>
        <v/>
      </c>
    </row>
    <row r="352">
      <c r="A352" s="6" t="inlineStr">
        <is>
          <t>Farmacity</t>
        </is>
      </c>
      <c r="B352" s="6" t="n">
        <v>422</v>
      </c>
      <c r="C352" s="6" t="n">
        <v>45346</v>
      </c>
      <c r="D352" s="6" t="inlineStr">
        <is>
          <t>Jabón Líquido Johnson's Baby Glicerina x 200 ml</t>
        </is>
      </c>
      <c r="E352" s="6" t="inlineStr">
        <is>
          <t>Johnson's</t>
        </is>
      </c>
      <c r="F352" s="6" t="n">
        <v>3779</v>
      </c>
      <c r="G352" s="6" t="n">
        <v>5399</v>
      </c>
      <c r="H352" s="6" t="b">
        <v>1</v>
      </c>
      <c r="I352" s="6" t="n">
        <v>200</v>
      </c>
      <c r="J352" s="6" t="n">
        <v>18.895</v>
      </c>
      <c r="K352" s="6" t="inlineStr">
        <is>
          <t>&gt; Bebés &gt; Higiene del Bebé &gt; Baño Del Bebé &gt;</t>
        </is>
      </c>
      <c r="L352" s="6" t="inlineStr">
        <is>
          <t>shampoo</t>
        </is>
      </c>
      <c r="M352" s="6" t="inlineStr">
        <is>
          <t>estandar</t>
        </is>
      </c>
      <c r="N352" s="6" t="inlineStr">
        <is>
          <t>general</t>
        </is>
      </c>
      <c r="O352" s="6" t="inlineStr">
        <is>
          <t>https://www.farmacity.com/jabon-liquido-de-glicerina-con-vitamina-e-x-200-ml/p</t>
        </is>
      </c>
      <c r="P352" s="8">
        <f>TRIM(CLEAN(PROPER(D352)))</f>
        <v/>
      </c>
      <c r="Q352" s="8">
        <f>PROPER(TRIM(SUBSTITUTE(SUBSTITUTE(SUBSTITUTE(SUBSTITUTE(E352,"TRESEMME","Tresemme"),"HEAD &amp; SHOULDERS","Head &amp; Shoulders"),"ELVIVE","Elvive"),"FRUCTIS","Fructis")))</f>
        <v/>
      </c>
      <c r="R352" s="8">
        <f>COUNTIF($D$2:$D$10000,D352)&gt;1</f>
        <v/>
      </c>
      <c r="S352" s="8">
        <f>IF(H352=TRUE,"Disponible","No disponible")</f>
        <v/>
      </c>
      <c r="T352" s="8">
        <f>IF(AND(ISNUMBER(I352),I352&gt;0),ROUND(F352/I352,2),"Sin volumen")</f>
        <v/>
      </c>
      <c r="U352" s="8">
        <f>IF(F352&lt;5000,"Bajo",IF(F352&lt;15000,"Medio","Alto"))</f>
        <v/>
      </c>
    </row>
    <row r="353">
      <c r="A353" t="inlineStr">
        <is>
          <t>Farmacity</t>
        </is>
      </c>
      <c r="B353" t="n">
        <v>14976</v>
      </c>
      <c r="C353" t="n">
        <v>139290</v>
      </c>
      <c r="D353" t="inlineStr">
        <is>
          <t>Colonia Fresca Johnson’s Caricia x 200 ml</t>
        </is>
      </c>
      <c r="E353" t="inlineStr">
        <is>
          <t>Johnson's</t>
        </is>
      </c>
      <c r="F353" t="n">
        <v>5484</v>
      </c>
      <c r="G353" t="n">
        <v>7835</v>
      </c>
      <c r="H353" t="b">
        <v>1</v>
      </c>
      <c r="I353" t="n">
        <v>200</v>
      </c>
      <c r="J353" t="n">
        <v>27.42</v>
      </c>
      <c r="K353" t="inlineStr">
        <is>
          <t>&gt; Bebés &gt; Higiene del Bebé &gt; Fragancias de Bebés y Niños &gt;</t>
        </is>
      </c>
      <c r="L353" t="inlineStr">
        <is>
          <t>shampoo</t>
        </is>
      </c>
      <c r="M353" t="inlineStr">
        <is>
          <t>estandar</t>
        </is>
      </c>
      <c r="N353" t="inlineStr">
        <is>
          <t>general</t>
        </is>
      </c>
      <c r="O353" t="inlineStr">
        <is>
          <t>https://www.farmacity.com/colonia-fresca-caricia-suave-para-la-piel-x-200-ml/p</t>
        </is>
      </c>
      <c r="P353">
        <f>TRIM(CLEAN(PROPER(D353)))</f>
        <v/>
      </c>
      <c r="Q353">
        <f>PROPER(TRIM(SUBSTITUTE(SUBSTITUTE(SUBSTITUTE(SUBSTITUTE(E353,"TRESEMME","Tresemme"),"HEAD &amp; SHOULDERS","Head &amp; Shoulders"),"ELVIVE","Elvive"),"FRUCTIS","Fructis")))</f>
        <v/>
      </c>
      <c r="R353">
        <f>COUNTIF($D$2:$D$10000,D353)&gt;1</f>
        <v/>
      </c>
      <c r="S353">
        <f>IF(H353=TRUE,"Disponible","No disponible")</f>
        <v/>
      </c>
      <c r="T353">
        <f>IF(AND(ISNUMBER(I353),I353&gt;0),ROUND(F353/I353,2),"Sin volumen")</f>
        <v/>
      </c>
      <c r="U353">
        <f>IF(F353&lt;5000,"Bajo",IF(F353&lt;15000,"Medio","Alto"))</f>
        <v/>
      </c>
    </row>
    <row r="354">
      <c r="A354" s="6" t="inlineStr">
        <is>
          <t>Farmacity</t>
        </is>
      </c>
      <c r="B354" s="6" t="n">
        <v>214579</v>
      </c>
      <c r="C354" s="6" t="n">
        <v>214579</v>
      </c>
      <c r="D354" s="6" t="inlineStr">
        <is>
          <t>Jabón en Barra Johnson's Glicerina x 80 g</t>
        </is>
      </c>
      <c r="E354" s="6" t="inlineStr">
        <is>
          <t>Johnson's</t>
        </is>
      </c>
      <c r="F354" s="6" t="n">
        <v>1438</v>
      </c>
      <c r="G354" s="6" t="n">
        <v>2054</v>
      </c>
      <c r="H354" s="6" t="b">
        <v>1</v>
      </c>
      <c r="I354" s="6" t="n">
        <v>80</v>
      </c>
      <c r="J354" s="6" t="n">
        <v>17.975</v>
      </c>
      <c r="K354" s="6" t="inlineStr">
        <is>
          <t>&gt; Bebés &gt; Higiene del Bebé &gt; Baño Del Bebé &gt;</t>
        </is>
      </c>
      <c r="L354" s="6" t="inlineStr">
        <is>
          <t>shampoo</t>
        </is>
      </c>
      <c r="M354" s="6" t="inlineStr">
        <is>
          <t>estandar</t>
        </is>
      </c>
      <c r="N354" s="6" t="inlineStr">
        <is>
          <t>general</t>
        </is>
      </c>
      <c r="O354" s="6" t="inlineStr">
        <is>
          <t>https://www.farmacity.com/jabon-en-barra-johnsons-glicerina-x-80-g/p</t>
        </is>
      </c>
      <c r="P354" s="8">
        <f>TRIM(CLEAN(PROPER(D354)))</f>
        <v/>
      </c>
      <c r="Q354" s="8">
        <f>PROPER(TRIM(SUBSTITUTE(SUBSTITUTE(SUBSTITUTE(SUBSTITUTE(E354,"TRESEMME","Tresemme"),"HEAD &amp; SHOULDERS","Head &amp; Shoulders"),"ELVIVE","Elvive"),"FRUCTIS","Fructis")))</f>
        <v/>
      </c>
      <c r="R354" s="8">
        <f>COUNTIF($D$2:$D$10000,D354)&gt;1</f>
        <v/>
      </c>
      <c r="S354" s="8">
        <f>IF(H354=TRUE,"Disponible","No disponible")</f>
        <v/>
      </c>
      <c r="T354" s="8">
        <f>IF(AND(ISNUMBER(I354),I354&gt;0),ROUND(F354/I354,2),"Sin volumen")</f>
        <v/>
      </c>
      <c r="U354" s="8">
        <f>IF(F354&lt;5000,"Bajo",IF(F354&lt;15000,"Medio","Alto"))</f>
        <v/>
      </c>
    </row>
    <row r="355">
      <c r="A355" t="inlineStr">
        <is>
          <t>Farmacity</t>
        </is>
      </c>
      <c r="B355" t="n">
        <v>228240</v>
      </c>
      <c r="C355" t="n">
        <v>228240</v>
      </c>
      <c r="D355" t="inlineStr">
        <is>
          <t>Crema Hidratante para Bebé Johnson's x 200 ml</t>
        </is>
      </c>
      <c r="E355" t="inlineStr">
        <is>
          <t>Johnson's</t>
        </is>
      </c>
      <c r="F355" t="n">
        <v>3847</v>
      </c>
      <c r="G355" t="n">
        <v>5496</v>
      </c>
      <c r="H355" t="b">
        <v>1</v>
      </c>
      <c r="I355" t="n">
        <v>200</v>
      </c>
      <c r="J355" t="n">
        <v>19.235</v>
      </c>
      <c r="K355" t="inlineStr">
        <is>
          <t>&gt; Bebés &gt; Higiene del Bebé &gt; Óleos y Algodón &gt;</t>
        </is>
      </c>
      <c r="L355" t="inlineStr">
        <is>
          <t>shampoo</t>
        </is>
      </c>
      <c r="M355" t="inlineStr">
        <is>
          <t>estandar</t>
        </is>
      </c>
      <c r="N355" t="inlineStr">
        <is>
          <t>seco_danado</t>
        </is>
      </c>
      <c r="O355" t="inlineStr">
        <is>
          <t>https://www.farmacity.com/crema-corporal-johnsons-baby-rosa-x-200-ml/p</t>
        </is>
      </c>
      <c r="P355">
        <f>TRIM(CLEAN(PROPER(D355)))</f>
        <v/>
      </c>
      <c r="Q355">
        <f>PROPER(TRIM(SUBSTITUTE(SUBSTITUTE(SUBSTITUTE(SUBSTITUTE(E355,"TRESEMME","Tresemme"),"HEAD &amp; SHOULDERS","Head &amp; Shoulders"),"ELVIVE","Elvive"),"FRUCTIS","Fructis")))</f>
        <v/>
      </c>
      <c r="R355">
        <f>COUNTIF($D$2:$D$10000,D355)&gt;1</f>
        <v/>
      </c>
      <c r="S355">
        <f>IF(H355=TRUE,"Disponible","No disponible")</f>
        <v/>
      </c>
      <c r="T355">
        <f>IF(AND(ISNUMBER(I355),I355&gt;0),ROUND(F355/I355,2),"Sin volumen")</f>
        <v/>
      </c>
      <c r="U355">
        <f>IF(F355&lt;5000,"Bajo",IF(F355&lt;15000,"Medio","Alto"))</f>
        <v/>
      </c>
    </row>
    <row r="356">
      <c r="A356" s="6" t="inlineStr">
        <is>
          <t>Farmacity</t>
        </is>
      </c>
      <c r="B356" s="6" t="n">
        <v>227717</v>
      </c>
      <c r="C356" s="6" t="n">
        <v>227717</v>
      </c>
      <c r="D356" s="6" t="inlineStr">
        <is>
          <t>Pila para Audífonos Duracel Tamaño 10 Blister x 6 u</t>
        </is>
      </c>
      <c r="E356" s="6" t="inlineStr">
        <is>
          <t>Duracell</t>
        </is>
      </c>
      <c r="F356" s="6" t="n">
        <v>12520</v>
      </c>
      <c r="G356" s="6" t="n">
        <v>12520</v>
      </c>
      <c r="H356" s="6" t="b">
        <v>1</v>
      </c>
      <c r="I356" s="6" t="inlineStr"/>
      <c r="J356" s="6" t="inlineStr"/>
      <c r="K356" s="6" t="inlineStr">
        <is>
          <t>&gt; Hogar y Alimentos &gt; Electrónica y Pilas &gt; Pilas &gt;</t>
        </is>
      </c>
      <c r="L356" s="6" t="inlineStr">
        <is>
          <t>shampoo</t>
        </is>
      </c>
      <c r="M356" s="6" t="inlineStr">
        <is>
          <t>estandar</t>
        </is>
      </c>
      <c r="N356" s="6" t="inlineStr">
        <is>
          <t>general</t>
        </is>
      </c>
      <c r="O356" s="6" t="inlineStr">
        <is>
          <t>https://www.farmacity.com/pila-duracell-auditiva-10-x-6-un/p</t>
        </is>
      </c>
      <c r="P356" s="8">
        <f>TRIM(CLEAN(PROPER(D356)))</f>
        <v/>
      </c>
      <c r="Q356" s="8">
        <f>PROPER(TRIM(SUBSTITUTE(SUBSTITUTE(SUBSTITUTE(SUBSTITUTE(E356,"TRESEMME","Tresemme"),"HEAD &amp; SHOULDERS","Head &amp; Shoulders"),"ELVIVE","Elvive"),"FRUCTIS","Fructis")))</f>
        <v/>
      </c>
      <c r="R356" s="8">
        <f>COUNTIF($D$2:$D$10000,D356)&gt;1</f>
        <v/>
      </c>
      <c r="S356" s="8">
        <f>IF(H356=TRUE,"Disponible","No disponible")</f>
        <v/>
      </c>
      <c r="T356" s="8">
        <f>IF(AND(ISNUMBER(I356),I356&gt;0),ROUND(F356/I356,2),"Sin volumen")</f>
        <v/>
      </c>
      <c r="U356" s="8">
        <f>IF(F356&lt;5000,"Bajo",IF(F356&lt;15000,"Medio","Alto"))</f>
        <v/>
      </c>
    </row>
    <row r="357">
      <c r="A357" t="inlineStr">
        <is>
          <t>Farmacity</t>
        </is>
      </c>
      <c r="B357" t="n">
        <v>215763</v>
      </c>
      <c r="C357" t="n">
        <v>215763</v>
      </c>
      <c r="D357" t="inlineStr">
        <is>
          <t>Combo Capilatis Argán Natural Oil</t>
        </is>
      </c>
      <c r="E357" t="inlineStr">
        <is>
          <t>Capilatis</t>
        </is>
      </c>
      <c r="F357" t="n">
        <v>17600</v>
      </c>
      <c r="G357" t="n">
        <v>22000</v>
      </c>
      <c r="H357" t="b">
        <v>1</v>
      </c>
      <c r="I357" t="inlineStr"/>
      <c r="J357" t="inlineStr"/>
      <c r="K357" t="inlineStr">
        <is>
          <t>&gt; Cuidado Capilar &gt; Shampoo Y Acondicionador &gt;</t>
        </is>
      </c>
      <c r="L357" t="inlineStr">
        <is>
          <t>shampoo</t>
        </is>
      </c>
      <c r="M357" t="inlineStr">
        <is>
          <t>estandar</t>
        </is>
      </c>
      <c r="N357" t="inlineStr">
        <is>
          <t>general</t>
        </is>
      </c>
      <c r="O357" t="inlineStr">
        <is>
          <t>https://www.farmacity.com/combo-capilatis-argan-natural-oil/p</t>
        </is>
      </c>
      <c r="P357">
        <f>TRIM(CLEAN(PROPER(D357)))</f>
        <v/>
      </c>
      <c r="Q357">
        <f>PROPER(TRIM(SUBSTITUTE(SUBSTITUTE(SUBSTITUTE(SUBSTITUTE(E357,"TRESEMME","Tresemme"),"HEAD &amp; SHOULDERS","Head &amp; Shoulders"),"ELVIVE","Elvive"),"FRUCTIS","Fructis")))</f>
        <v/>
      </c>
      <c r="R357">
        <f>COUNTIF($D$2:$D$10000,D357)&gt;1</f>
        <v/>
      </c>
      <c r="S357">
        <f>IF(H357=TRUE,"Disponible","No disponible")</f>
        <v/>
      </c>
      <c r="T357">
        <f>IF(AND(ISNUMBER(I357),I357&gt;0),ROUND(F357/I357,2),"Sin volumen")</f>
        <v/>
      </c>
      <c r="U357">
        <f>IF(F357&lt;5000,"Bajo",IF(F357&lt;15000,"Medio","Alto"))</f>
        <v/>
      </c>
    </row>
    <row r="358">
      <c r="A358" s="6" t="inlineStr">
        <is>
          <t>Farmacity</t>
        </is>
      </c>
      <c r="B358" s="6" t="n">
        <v>215758</v>
      </c>
      <c r="C358" s="6" t="n">
        <v>215758</v>
      </c>
      <c r="D358" s="6" t="inlineStr">
        <is>
          <t>Combo Capilatis Iluminador Puro Rubio</t>
        </is>
      </c>
      <c r="E358" s="6" t="inlineStr">
        <is>
          <t>Capilatis</t>
        </is>
      </c>
      <c r="F358" s="6" t="n">
        <v>15520</v>
      </c>
      <c r="G358" s="6" t="n">
        <v>19400</v>
      </c>
      <c r="H358" s="6" t="b">
        <v>1</v>
      </c>
      <c r="I358" s="6" t="inlineStr"/>
      <c r="J358" s="6" t="inlineStr"/>
      <c r="K358" s="6" t="inlineStr">
        <is>
          <t>&gt; Cuidado Capilar &gt; Shampoo Y Acondicionador &gt;</t>
        </is>
      </c>
      <c r="L358" s="6" t="inlineStr">
        <is>
          <t>shampoo</t>
        </is>
      </c>
      <c r="M358" s="6" t="inlineStr">
        <is>
          <t>estandar</t>
        </is>
      </c>
      <c r="N358" s="6" t="inlineStr">
        <is>
          <t>general</t>
        </is>
      </c>
      <c r="O358" s="6" t="inlineStr">
        <is>
          <t>https://www.farmacity.com/combo-capilatis-iluminador-puro-rubio/p</t>
        </is>
      </c>
      <c r="P358" s="8">
        <f>TRIM(CLEAN(PROPER(D358)))</f>
        <v/>
      </c>
      <c r="Q358" s="8">
        <f>PROPER(TRIM(SUBSTITUTE(SUBSTITUTE(SUBSTITUTE(SUBSTITUTE(E358,"TRESEMME","Tresemme"),"HEAD &amp; SHOULDERS","Head &amp; Shoulders"),"ELVIVE","Elvive"),"FRUCTIS","Fructis")))</f>
        <v/>
      </c>
      <c r="R358" s="8">
        <f>COUNTIF($D$2:$D$10000,D358)&gt;1</f>
        <v/>
      </c>
      <c r="S358" s="8">
        <f>IF(H358=TRUE,"Disponible","No disponible")</f>
        <v/>
      </c>
      <c r="T358" s="8">
        <f>IF(AND(ISNUMBER(I358),I358&gt;0),ROUND(F358/I358,2),"Sin volumen")</f>
        <v/>
      </c>
      <c r="U358" s="8">
        <f>IF(F358&lt;5000,"Bajo",IF(F358&lt;15000,"Medio","Alto"))</f>
        <v/>
      </c>
    </row>
    <row r="359">
      <c r="A359" t="inlineStr">
        <is>
          <t>Farmacity</t>
        </is>
      </c>
      <c r="B359" t="n">
        <v>10028</v>
      </c>
      <c r="C359" t="n">
        <v>157548</v>
      </c>
      <c r="D359" t="inlineStr">
        <is>
          <t>Champú Sellador del Color Biferdil Quinoa x 400 ml</t>
        </is>
      </c>
      <c r="E359" t="inlineStr">
        <is>
          <t>Biferdil</t>
        </is>
      </c>
      <c r="F359" t="n">
        <v>17928</v>
      </c>
      <c r="G359" t="n">
        <v>17928</v>
      </c>
      <c r="H359" t="b">
        <v>1</v>
      </c>
      <c r="I359" t="n">
        <v>400</v>
      </c>
      <c r="J359" t="n">
        <v>44.82</v>
      </c>
      <c r="K359" t="inlineStr">
        <is>
          <t>&gt; Cuidado Capilar &gt; Shampoo Y Acondicionador &gt;</t>
        </is>
      </c>
      <c r="L359" t="inlineStr">
        <is>
          <t>shampoo</t>
        </is>
      </c>
      <c r="M359" t="inlineStr">
        <is>
          <t>estandar</t>
        </is>
      </c>
      <c r="N359" t="inlineStr">
        <is>
          <t>tratado</t>
        </is>
      </c>
      <c r="O359" t="inlineStr">
        <is>
          <t>https://www.farmacity.com/champu-sellador-del-color-quinoa-y-filtro-solar-uv-x-400-ml/p</t>
        </is>
      </c>
      <c r="P359">
        <f>TRIM(CLEAN(PROPER(D359)))</f>
        <v/>
      </c>
      <c r="Q359">
        <f>PROPER(TRIM(SUBSTITUTE(SUBSTITUTE(SUBSTITUTE(SUBSTITUTE(E359,"TRESEMME","Tresemme"),"HEAD &amp; SHOULDERS","Head &amp; Shoulders"),"ELVIVE","Elvive"),"FRUCTIS","Fructis")))</f>
        <v/>
      </c>
      <c r="R359">
        <f>COUNTIF($D$2:$D$10000,D359)&gt;1</f>
        <v/>
      </c>
      <c r="S359">
        <f>IF(H359=TRUE,"Disponible","No disponible")</f>
        <v/>
      </c>
      <c r="T359">
        <f>IF(AND(ISNUMBER(I359),I359&gt;0),ROUND(F359/I359,2),"Sin volumen")</f>
        <v/>
      </c>
      <c r="U359">
        <f>IF(F359&lt;5000,"Bajo",IF(F359&lt;15000,"Medio","Alto"))</f>
        <v/>
      </c>
    </row>
    <row r="360">
      <c r="A360" s="6" t="inlineStr">
        <is>
          <t>Farmacity</t>
        </is>
      </c>
      <c r="B360" s="6" t="n">
        <v>2220338</v>
      </c>
      <c r="C360" s="6" t="n">
        <v>240274</v>
      </c>
      <c r="D360" s="6" t="inlineStr">
        <is>
          <t>Kit Rutina Completa L'Oreal Paris Elvive Glycolic Gloss Brillo Intenso</t>
        </is>
      </c>
      <c r="E360" s="6" t="inlineStr">
        <is>
          <t>Elvive</t>
        </is>
      </c>
      <c r="F360" s="6" t="n">
        <v>34296</v>
      </c>
      <c r="G360" s="6" t="n">
        <v>57160</v>
      </c>
      <c r="H360" s="6" t="b">
        <v>1</v>
      </c>
      <c r="I360" s="6" t="inlineStr"/>
      <c r="J360" s="6" t="inlineStr"/>
      <c r="K360" s="6" t="inlineStr">
        <is>
          <t>&gt; Cuidado Capilar &gt; Shampoo Y Acondicionador &gt;</t>
        </is>
      </c>
      <c r="L360" s="6" t="inlineStr">
        <is>
          <t>tratamiento</t>
        </is>
      </c>
      <c r="M360" s="6" t="inlineStr">
        <is>
          <t>profesional</t>
        </is>
      </c>
      <c r="N360" s="6" t="inlineStr">
        <is>
          <t>general</t>
        </is>
      </c>
      <c r="O360" s="6" t="inlineStr">
        <is>
          <t>https://www.farmacity.com/combo-elvive-glyco-gloss-shampoo-400-ml-acondicionador-400-ml-mascarilla-reconstructora-400-ml-serum-100-ml/p</t>
        </is>
      </c>
      <c r="P360" s="8">
        <f>TRIM(CLEAN(PROPER(D360)))</f>
        <v/>
      </c>
      <c r="Q360" s="8">
        <f>PROPER(TRIM(SUBSTITUTE(SUBSTITUTE(SUBSTITUTE(SUBSTITUTE(E360,"TRESEMME","Tresemme"),"HEAD &amp; SHOULDERS","Head &amp; Shoulders"),"ELVIVE","Elvive"),"FRUCTIS","Fructis")))</f>
        <v/>
      </c>
      <c r="R360" s="8">
        <f>COUNTIF($D$2:$D$10000,D360)&gt;1</f>
        <v/>
      </c>
      <c r="S360" s="8">
        <f>IF(H360=TRUE,"Disponible","No disponible")</f>
        <v/>
      </c>
      <c r="T360" s="8">
        <f>IF(AND(ISNUMBER(I360),I360&gt;0),ROUND(F360/I360,2),"Sin volumen")</f>
        <v/>
      </c>
      <c r="U360" s="8">
        <f>IF(F360&lt;5000,"Bajo",IF(F360&lt;15000,"Medio","Alto"))</f>
        <v/>
      </c>
    </row>
    <row r="361">
      <c r="A361" t="inlineStr">
        <is>
          <t>Farmacity</t>
        </is>
      </c>
      <c r="B361" t="n">
        <v>237370</v>
      </c>
      <c r="C361" t="n">
        <v>237370</v>
      </c>
      <c r="D361" t="inlineStr">
        <is>
          <t>Crema Hidratante para Bebé Johnson's para Antes de Dormir x 200 ml</t>
        </is>
      </c>
      <c r="E361" t="inlineStr">
        <is>
          <t>Johnson's</t>
        </is>
      </c>
      <c r="F361" t="n">
        <v>3851</v>
      </c>
      <c r="G361" t="n">
        <v>5501</v>
      </c>
      <c r="H361" t="b">
        <v>1</v>
      </c>
      <c r="I361" t="n">
        <v>200</v>
      </c>
      <c r="J361" t="n">
        <v>19.255</v>
      </c>
      <c r="K361" t="inlineStr">
        <is>
          <t>&gt; Bebés &gt; Higiene del Bebé &gt; Óleos y Algodón &gt;</t>
        </is>
      </c>
      <c r="L361" t="inlineStr">
        <is>
          <t>shampoo</t>
        </is>
      </c>
      <c r="M361" t="inlineStr">
        <is>
          <t>estandar</t>
        </is>
      </c>
      <c r="N361" t="inlineStr">
        <is>
          <t>seco_danado</t>
        </is>
      </c>
      <c r="O361" t="inlineStr">
        <is>
          <t>https://www.farmacity.com/crema-johnson-baby-antes-de-dormir-x-200-ml/p</t>
        </is>
      </c>
      <c r="P361">
        <f>TRIM(CLEAN(PROPER(D361)))</f>
        <v/>
      </c>
      <c r="Q361">
        <f>PROPER(TRIM(SUBSTITUTE(SUBSTITUTE(SUBSTITUTE(SUBSTITUTE(E361,"TRESEMME","Tresemme"),"HEAD &amp; SHOULDERS","Head &amp; Shoulders"),"ELVIVE","Elvive"),"FRUCTIS","Fructis")))</f>
        <v/>
      </c>
      <c r="R361">
        <f>COUNTIF($D$2:$D$10000,D361)&gt;1</f>
        <v/>
      </c>
      <c r="S361">
        <f>IF(H361=TRUE,"Disponible","No disponible")</f>
        <v/>
      </c>
      <c r="T361">
        <f>IF(AND(ISNUMBER(I361),I361&gt;0),ROUND(F361/I361,2),"Sin volumen")</f>
        <v/>
      </c>
      <c r="U361">
        <f>IF(F361&lt;5000,"Bajo",IF(F361&lt;15000,"Medio","Alto"))</f>
        <v/>
      </c>
    </row>
    <row r="362">
      <c r="A362" s="6" t="inlineStr">
        <is>
          <t>Farmacity</t>
        </is>
      </c>
      <c r="B362" s="6" t="n">
        <v>215762</v>
      </c>
      <c r="C362" s="6" t="n">
        <v>215762</v>
      </c>
      <c r="D362" s="6" t="inlineStr">
        <is>
          <t>Combo Capilatis Anticaída Ortiga Tratante</t>
        </is>
      </c>
      <c r="E362" s="6" t="inlineStr">
        <is>
          <t>Capilatis</t>
        </is>
      </c>
      <c r="F362" s="6" t="n">
        <v>15520</v>
      </c>
      <c r="G362" s="6" t="n">
        <v>19400</v>
      </c>
      <c r="H362" s="6" t="b">
        <v>1</v>
      </c>
      <c r="I362" s="6" t="inlineStr"/>
      <c r="J362" s="6" t="inlineStr"/>
      <c r="K362" s="6" t="inlineStr">
        <is>
          <t>&gt; Cuidado Capilar &gt; Shampoo Y Acondicionador &gt;</t>
        </is>
      </c>
      <c r="L362" s="6" t="inlineStr">
        <is>
          <t>shampoo</t>
        </is>
      </c>
      <c r="M362" s="6" t="inlineStr">
        <is>
          <t>estandar</t>
        </is>
      </c>
      <c r="N362" s="6" t="inlineStr">
        <is>
          <t>general</t>
        </is>
      </c>
      <c r="O362" s="6" t="inlineStr">
        <is>
          <t>https://www.farmacity.com/combo-capilatis-anticaida-ortiga-tratante/p</t>
        </is>
      </c>
      <c r="P362" s="8">
        <f>TRIM(CLEAN(PROPER(D362)))</f>
        <v/>
      </c>
      <c r="Q362" s="8">
        <f>PROPER(TRIM(SUBSTITUTE(SUBSTITUTE(SUBSTITUTE(SUBSTITUTE(E362,"TRESEMME","Tresemme"),"HEAD &amp; SHOULDERS","Head &amp; Shoulders"),"ELVIVE","Elvive"),"FRUCTIS","Fructis")))</f>
        <v/>
      </c>
      <c r="R362" s="8">
        <f>COUNTIF($D$2:$D$10000,D362)&gt;1</f>
        <v/>
      </c>
      <c r="S362" s="8">
        <f>IF(H362=TRUE,"Disponible","No disponible")</f>
        <v/>
      </c>
      <c r="T362" s="8">
        <f>IF(AND(ISNUMBER(I362),I362&gt;0),ROUND(F362/I362,2),"Sin volumen")</f>
        <v/>
      </c>
      <c r="U362" s="8">
        <f>IF(F362&lt;5000,"Bajo",IF(F362&lt;15000,"Medio","Alto"))</f>
        <v/>
      </c>
    </row>
    <row r="363">
      <c r="A363" t="inlineStr">
        <is>
          <t>Farmacity</t>
        </is>
      </c>
      <c r="B363" t="n">
        <v>215761</v>
      </c>
      <c r="C363" t="n">
        <v>215761</v>
      </c>
      <c r="D363" t="inlineStr">
        <is>
          <t>Combo Capilatis Anticaída Ortiga Graso</t>
        </is>
      </c>
      <c r="E363" t="inlineStr">
        <is>
          <t>Capilatis</t>
        </is>
      </c>
      <c r="F363" t="n">
        <v>15520</v>
      </c>
      <c r="G363" t="n">
        <v>19400</v>
      </c>
      <c r="H363" t="b">
        <v>1</v>
      </c>
      <c r="I363" t="inlineStr"/>
      <c r="J363" t="inlineStr"/>
      <c r="K363" t="inlineStr">
        <is>
          <t>&gt; Cuidado Capilar &gt; Shampoo Y Acondicionador &gt;</t>
        </is>
      </c>
      <c r="L363" t="inlineStr">
        <is>
          <t>shampoo</t>
        </is>
      </c>
      <c r="M363" t="inlineStr">
        <is>
          <t>estandar</t>
        </is>
      </c>
      <c r="N363" t="inlineStr">
        <is>
          <t>graso</t>
        </is>
      </c>
      <c r="O363" t="inlineStr">
        <is>
          <t>https://www.farmacity.com/combo-capilatis-anticaida-ortiga-graso/p</t>
        </is>
      </c>
      <c r="P363">
        <f>TRIM(CLEAN(PROPER(D363)))</f>
        <v/>
      </c>
      <c r="Q363">
        <f>PROPER(TRIM(SUBSTITUTE(SUBSTITUTE(SUBSTITUTE(SUBSTITUTE(E363,"TRESEMME","Tresemme"),"HEAD &amp; SHOULDERS","Head &amp; Shoulders"),"ELVIVE","Elvive"),"FRUCTIS","Fructis")))</f>
        <v/>
      </c>
      <c r="R363">
        <f>COUNTIF($D$2:$D$10000,D363)&gt;1</f>
        <v/>
      </c>
      <c r="S363">
        <f>IF(H363=TRUE,"Disponible","No disponible")</f>
        <v/>
      </c>
      <c r="T363">
        <f>IF(AND(ISNUMBER(I363),I363&gt;0),ROUND(F363/I363,2),"Sin volumen")</f>
        <v/>
      </c>
      <c r="U363">
        <f>IF(F363&lt;5000,"Bajo",IF(F363&lt;15000,"Medio","Alto"))</f>
        <v/>
      </c>
    </row>
    <row r="364">
      <c r="A364" s="6" t="inlineStr">
        <is>
          <t>Farmacity</t>
        </is>
      </c>
      <c r="B364" s="6" t="n">
        <v>244698</v>
      </c>
      <c r="C364" s="6" t="n">
        <v>244698</v>
      </c>
      <c r="D364" s="6" t="inlineStr">
        <is>
          <t>Crema Tratamiento Elvive Dream Liso x 300 g</t>
        </is>
      </c>
      <c r="E364" s="6" t="inlineStr">
        <is>
          <t>Elvive</t>
        </is>
      </c>
      <c r="F364" s="6" t="n">
        <v>12190</v>
      </c>
      <c r="G364" s="6" t="n">
        <v>12190</v>
      </c>
      <c r="H364" s="6" t="b">
        <v>1</v>
      </c>
      <c r="I364" s="6" t="n">
        <v>300</v>
      </c>
      <c r="J364" s="6" t="n">
        <v>40.6333</v>
      </c>
      <c r="K364" s="6" t="inlineStr">
        <is>
          <t>&gt; Cuidado Capilar &gt; Reparación Y Tratamiento &gt;</t>
        </is>
      </c>
      <c r="L364" s="6" t="inlineStr">
        <is>
          <t>tratamiento</t>
        </is>
      </c>
      <c r="M364" s="6" t="inlineStr">
        <is>
          <t>profesional</t>
        </is>
      </c>
      <c r="N364" s="6" t="inlineStr">
        <is>
          <t>general</t>
        </is>
      </c>
      <c r="O364" s="6" t="inlineStr">
        <is>
          <t>https://www.farmacity.com/crema-tratamiento-elvive-dream-liso-x-300-g/p</t>
        </is>
      </c>
      <c r="P364" s="8">
        <f>TRIM(CLEAN(PROPER(D364)))</f>
        <v/>
      </c>
      <c r="Q364" s="8">
        <f>PROPER(TRIM(SUBSTITUTE(SUBSTITUTE(SUBSTITUTE(SUBSTITUTE(E364,"TRESEMME","Tresemme"),"HEAD &amp; SHOULDERS","Head &amp; Shoulders"),"ELVIVE","Elvive"),"FRUCTIS","Fructis")))</f>
        <v/>
      </c>
      <c r="R364" s="8">
        <f>COUNTIF($D$2:$D$10000,D364)&gt;1</f>
        <v/>
      </c>
      <c r="S364" s="8">
        <f>IF(H364=TRUE,"Disponible","No disponible")</f>
        <v/>
      </c>
      <c r="T364" s="8">
        <f>IF(AND(ISNUMBER(I364),I364&gt;0),ROUND(F364/I364,2),"Sin volumen")</f>
        <v/>
      </c>
      <c r="U364" s="8">
        <f>IF(F364&lt;5000,"Bajo",IF(F364&lt;15000,"Medio","Alto"))</f>
        <v/>
      </c>
    </row>
    <row r="365">
      <c r="A365" t="inlineStr">
        <is>
          <t>Farmacity</t>
        </is>
      </c>
      <c r="B365" t="n">
        <v>245995</v>
      </c>
      <c r="C365" t="n">
        <v>245995</v>
      </c>
      <c r="D365" t="inlineStr">
        <is>
          <t>Combo Pantene 3 MM Acondicionador Nutrición + Acondicionador Hidratación</t>
        </is>
      </c>
      <c r="E365" t="inlineStr">
        <is>
          <t>Pantene</t>
        </is>
      </c>
      <c r="F365" t="n">
        <v>19294</v>
      </c>
      <c r="G365" t="n">
        <v>19294</v>
      </c>
      <c r="H365" t="b">
        <v>1</v>
      </c>
      <c r="I365" t="inlineStr"/>
      <c r="J365" t="inlineStr"/>
      <c r="K365" t="inlineStr">
        <is>
          <t>&gt; Cuidado Capilar &gt; Shampoo Y Acondicionador &gt;</t>
        </is>
      </c>
      <c r="L365" t="inlineStr">
        <is>
          <t>acondicionador</t>
        </is>
      </c>
      <c r="M365" t="inlineStr">
        <is>
          <t>estandar</t>
        </is>
      </c>
      <c r="N365" t="inlineStr">
        <is>
          <t>seco_danado</t>
        </is>
      </c>
      <c r="O365" t="inlineStr">
        <is>
          <t>https://www.farmacity.com/combo-pantene-3-mm-acondicionador-nutricion-acondicionador-hidratacion/p</t>
        </is>
      </c>
      <c r="P365">
        <f>TRIM(CLEAN(PROPER(D365)))</f>
        <v/>
      </c>
      <c r="Q365">
        <f>PROPER(TRIM(SUBSTITUTE(SUBSTITUTE(SUBSTITUTE(SUBSTITUTE(E365,"TRESEMME","Tresemme"),"HEAD &amp; SHOULDERS","Head &amp; Shoulders"),"ELVIVE","Elvive"),"FRUCTIS","Fructis")))</f>
        <v/>
      </c>
      <c r="R365">
        <f>COUNTIF($D$2:$D$10000,D365)&gt;1</f>
        <v/>
      </c>
      <c r="S365">
        <f>IF(H365=TRUE,"Disponible","No disponible")</f>
        <v/>
      </c>
      <c r="T365">
        <f>IF(AND(ISNUMBER(I365),I365&gt;0),ROUND(F365/I365,2),"Sin volumen")</f>
        <v/>
      </c>
      <c r="U365">
        <f>IF(F365&lt;5000,"Bajo",IF(F365&lt;15000,"Medio","Alto"))</f>
        <v/>
      </c>
    </row>
    <row r="366">
      <c r="A366" s="6" t="inlineStr">
        <is>
          <t>Farmacity</t>
        </is>
      </c>
      <c r="B366" s="6" t="n">
        <v>247954</v>
      </c>
      <c r="C366" s="6" t="n">
        <v>247954</v>
      </c>
      <c r="D366" s="6" t="inlineStr">
        <is>
          <t>Combo Pantene Colágeno x 510 ml</t>
        </is>
      </c>
      <c r="E366" s="6" t="inlineStr">
        <is>
          <t>Pantene</t>
        </is>
      </c>
      <c r="F366" s="6" t="n">
        <v>62870</v>
      </c>
      <c r="G366" s="6" t="n">
        <v>62870</v>
      </c>
      <c r="H366" s="6" t="b">
        <v>1</v>
      </c>
      <c r="I366" s="6" t="n">
        <v>510</v>
      </c>
      <c r="J366" s="6" t="n">
        <v>123.2745</v>
      </c>
      <c r="K366" s="6" t="inlineStr">
        <is>
          <t>&gt; Cuidado Capilar &gt; Shampoo Y Acondicionador &gt;</t>
        </is>
      </c>
      <c r="L366" s="6" t="inlineStr">
        <is>
          <t>shampoo</t>
        </is>
      </c>
      <c r="M366" s="6" t="inlineStr">
        <is>
          <t>estandar</t>
        </is>
      </c>
      <c r="N366" s="6" t="inlineStr">
        <is>
          <t>general</t>
        </is>
      </c>
      <c r="O366" s="6" t="inlineStr">
        <is>
          <t>https://www.farmacity.com/combo-pantene-colageno-x-510-ml-1/p</t>
        </is>
      </c>
      <c r="P366" s="8">
        <f>TRIM(CLEAN(PROPER(D366)))</f>
        <v/>
      </c>
      <c r="Q366" s="8">
        <f>PROPER(TRIM(SUBSTITUTE(SUBSTITUTE(SUBSTITUTE(SUBSTITUTE(E366,"TRESEMME","Tresemme"),"HEAD &amp; SHOULDERS","Head &amp; Shoulders"),"ELVIVE","Elvive"),"FRUCTIS","Fructis")))</f>
        <v/>
      </c>
      <c r="R366" s="8">
        <f>COUNTIF($D$2:$D$10000,D366)&gt;1</f>
        <v/>
      </c>
      <c r="S366" s="8">
        <f>IF(H366=TRUE,"Disponible","No disponible")</f>
        <v/>
      </c>
      <c r="T366" s="8">
        <f>IF(AND(ISNUMBER(I366),I366&gt;0),ROUND(F366/I366,2),"Sin volumen")</f>
        <v/>
      </c>
      <c r="U366" s="8">
        <f>IF(F366&lt;5000,"Bajo",IF(F366&lt;15000,"Medio","Alto"))</f>
        <v/>
      </c>
    </row>
    <row r="367">
      <c r="A367" t="inlineStr">
        <is>
          <t>Farmacity</t>
        </is>
      </c>
      <c r="B367" t="n">
        <v>215760</v>
      </c>
      <c r="C367" t="n">
        <v>215760</v>
      </c>
      <c r="D367" t="inlineStr">
        <is>
          <t>Combo Capilatis Aloe Vera Puro</t>
        </is>
      </c>
      <c r="E367" t="inlineStr">
        <is>
          <t>Capilatis</t>
        </is>
      </c>
      <c r="F367" t="n">
        <v>17600</v>
      </c>
      <c r="G367" t="n">
        <v>22000</v>
      </c>
      <c r="H367" t="b">
        <v>1</v>
      </c>
      <c r="I367" t="inlineStr"/>
      <c r="J367" t="inlineStr"/>
      <c r="K367" t="inlineStr">
        <is>
          <t>&gt; Cuidado Capilar &gt; Shampoo Y Acondicionador &gt;</t>
        </is>
      </c>
      <c r="L367" t="inlineStr">
        <is>
          <t>shampoo</t>
        </is>
      </c>
      <c r="M367" t="inlineStr">
        <is>
          <t>estandar</t>
        </is>
      </c>
      <c r="N367" t="inlineStr">
        <is>
          <t>general</t>
        </is>
      </c>
      <c r="O367" t="inlineStr">
        <is>
          <t>https://www.farmacity.com/combo-capilatis-aloe-vera-puro/p</t>
        </is>
      </c>
      <c r="P367">
        <f>TRIM(CLEAN(PROPER(D367)))</f>
        <v/>
      </c>
      <c r="Q367">
        <f>PROPER(TRIM(SUBSTITUTE(SUBSTITUTE(SUBSTITUTE(SUBSTITUTE(E367,"TRESEMME","Tresemme"),"HEAD &amp; SHOULDERS","Head &amp; Shoulders"),"ELVIVE","Elvive"),"FRUCTIS","Fructis")))</f>
        <v/>
      </c>
      <c r="R367">
        <f>COUNTIF($D$2:$D$10000,D367)&gt;1</f>
        <v/>
      </c>
      <c r="S367">
        <f>IF(H367=TRUE,"Disponible","No disponible")</f>
        <v/>
      </c>
      <c r="T367">
        <f>IF(AND(ISNUMBER(I367),I367&gt;0),ROUND(F367/I367,2),"Sin volumen")</f>
        <v/>
      </c>
      <c r="U367">
        <f>IF(F367&lt;5000,"Bajo",IF(F367&lt;15000,"Medio","Alto"))</f>
        <v/>
      </c>
    </row>
    <row r="368">
      <c r="A368" s="6" t="inlineStr">
        <is>
          <t>Farmacity</t>
        </is>
      </c>
      <c r="B368" s="6" t="n">
        <v>247952</v>
      </c>
      <c r="C368" s="6" t="n">
        <v>247952</v>
      </c>
      <c r="D368" s="6" t="inlineStr">
        <is>
          <t>Combo Pantene Keratina x 510 ml</t>
        </is>
      </c>
      <c r="E368" s="6" t="inlineStr">
        <is>
          <t>Pantene</t>
        </is>
      </c>
      <c r="F368" s="6" t="n">
        <v>54463</v>
      </c>
      <c r="G368" s="6" t="n">
        <v>54463</v>
      </c>
      <c r="H368" s="6" t="b">
        <v>1</v>
      </c>
      <c r="I368" s="6" t="n">
        <v>510</v>
      </c>
      <c r="J368" s="6" t="n">
        <v>106.7902</v>
      </c>
      <c r="K368" s="6" t="inlineStr">
        <is>
          <t>&gt; Cuidado Capilar &gt; Shampoo Y Acondicionador &gt;</t>
        </is>
      </c>
      <c r="L368" s="6" t="inlineStr">
        <is>
          <t>shampoo</t>
        </is>
      </c>
      <c r="M368" s="6" t="inlineStr">
        <is>
          <t>estandar</t>
        </is>
      </c>
      <c r="N368" s="6" t="inlineStr">
        <is>
          <t>tratado</t>
        </is>
      </c>
      <c r="O368" s="6" t="inlineStr">
        <is>
          <t>https://www.farmacity.com/combo-pantene-keratina-x-510-ml/p</t>
        </is>
      </c>
      <c r="P368" s="8">
        <f>TRIM(CLEAN(PROPER(D368)))</f>
        <v/>
      </c>
      <c r="Q368" s="8">
        <f>PROPER(TRIM(SUBSTITUTE(SUBSTITUTE(SUBSTITUTE(SUBSTITUTE(E368,"TRESEMME","Tresemme"),"HEAD &amp; SHOULDERS","Head &amp; Shoulders"),"ELVIVE","Elvive"),"FRUCTIS","Fructis")))</f>
        <v/>
      </c>
      <c r="R368" s="8">
        <f>COUNTIF($D$2:$D$10000,D368)&gt;1</f>
        <v/>
      </c>
      <c r="S368" s="8">
        <f>IF(H368=TRUE,"Disponible","No disponible")</f>
        <v/>
      </c>
      <c r="T368" s="8">
        <f>IF(AND(ISNUMBER(I368),I368&gt;0),ROUND(F368/I368,2),"Sin volumen")</f>
        <v/>
      </c>
      <c r="U368" s="8">
        <f>IF(F368&lt;5000,"Bajo",IF(F368&lt;15000,"Medio","Alto"))</f>
        <v/>
      </c>
    </row>
    <row r="369">
      <c r="A369" t="inlineStr">
        <is>
          <t>Farmacity</t>
        </is>
      </c>
      <c r="B369" t="n">
        <v>244697</v>
      </c>
      <c r="C369" t="n">
        <v>244697</v>
      </c>
      <c r="D369" t="inlineStr">
        <is>
          <t>Crema para Peinar Elvive Dream Liso x 250 ml</t>
        </is>
      </c>
      <c r="E369" t="inlineStr">
        <is>
          <t>Elvive</t>
        </is>
      </c>
      <c r="F369" t="n">
        <v>9990</v>
      </c>
      <c r="G369" t="n">
        <v>9990</v>
      </c>
      <c r="H369" t="b">
        <v>1</v>
      </c>
      <c r="I369" t="n">
        <v>250</v>
      </c>
      <c r="J369" t="n">
        <v>39.96</v>
      </c>
      <c r="K369" t="inlineStr">
        <is>
          <t>&gt; Cuidado Capilar &gt; Modelado Y Peinado &gt;</t>
        </is>
      </c>
      <c r="L369" t="inlineStr">
        <is>
          <t>shampoo</t>
        </is>
      </c>
      <c r="M369" t="inlineStr">
        <is>
          <t>profesional</t>
        </is>
      </c>
      <c r="N369" t="inlineStr">
        <is>
          <t>general</t>
        </is>
      </c>
      <c r="O369" t="inlineStr">
        <is>
          <t>https://www.farmacity.com/crema-para-peinar-elvive-dream-liso-x-250-ml/p</t>
        </is>
      </c>
      <c r="P369">
        <f>TRIM(CLEAN(PROPER(D369)))</f>
        <v/>
      </c>
      <c r="Q369">
        <f>PROPER(TRIM(SUBSTITUTE(SUBSTITUTE(SUBSTITUTE(SUBSTITUTE(E369,"TRESEMME","Tresemme"),"HEAD &amp; SHOULDERS","Head &amp; Shoulders"),"ELVIVE","Elvive"),"FRUCTIS","Fructis")))</f>
        <v/>
      </c>
      <c r="R369">
        <f>COUNTIF($D$2:$D$10000,D369)&gt;1</f>
        <v/>
      </c>
      <c r="S369">
        <f>IF(H369=TRUE,"Disponible","No disponible")</f>
        <v/>
      </c>
      <c r="T369">
        <f>IF(AND(ISNUMBER(I369),I369&gt;0),ROUND(F369/I369,2),"Sin volumen")</f>
        <v/>
      </c>
      <c r="U369">
        <f>IF(F369&lt;5000,"Bajo",IF(F369&lt;15000,"Medio","Alto"))</f>
        <v/>
      </c>
    </row>
    <row r="370">
      <c r="A370" s="6" t="inlineStr">
        <is>
          <t>Farmacity</t>
        </is>
      </c>
      <c r="B370" s="6" t="n">
        <v>236058</v>
      </c>
      <c r="C370" s="6" t="n">
        <v>236058</v>
      </c>
      <c r="D370" s="6" t="inlineStr">
        <is>
          <t>Bálsamo Biferdil Óleo de Argán x 200 ml</t>
        </is>
      </c>
      <c r="E370" s="6" t="inlineStr">
        <is>
          <t>Biferdil</t>
        </is>
      </c>
      <c r="F370" s="6" t="n">
        <v>14256</v>
      </c>
      <c r="G370" s="6" t="n">
        <v>14256</v>
      </c>
      <c r="H370" s="6" t="b">
        <v>1</v>
      </c>
      <c r="I370" s="6" t="n">
        <v>200</v>
      </c>
      <c r="J370" s="6" t="n">
        <v>71.28</v>
      </c>
      <c r="K370" s="6" t="inlineStr">
        <is>
          <t>&gt; Cuidado Capilar &gt; Reparación Y Tratamiento &gt;</t>
        </is>
      </c>
      <c r="L370" s="6" t="inlineStr">
        <is>
          <t>shampoo</t>
        </is>
      </c>
      <c r="M370" s="6" t="inlineStr">
        <is>
          <t>estandar</t>
        </is>
      </c>
      <c r="N370" s="6" t="inlineStr">
        <is>
          <t>general</t>
        </is>
      </c>
      <c r="O370" s="6" t="inlineStr">
        <is>
          <t>https://www.farmacity.com/balsam-biferdil-oleo-de-argan-x-200-ml/p</t>
        </is>
      </c>
      <c r="P370" s="8">
        <f>TRIM(CLEAN(PROPER(D370)))</f>
        <v/>
      </c>
      <c r="Q370" s="8">
        <f>PROPER(TRIM(SUBSTITUTE(SUBSTITUTE(SUBSTITUTE(SUBSTITUTE(E370,"TRESEMME","Tresemme"),"HEAD &amp; SHOULDERS","Head &amp; Shoulders"),"ELVIVE","Elvive"),"FRUCTIS","Fructis")))</f>
        <v/>
      </c>
      <c r="R370" s="8">
        <f>COUNTIF($D$2:$D$10000,D370)&gt;1</f>
        <v/>
      </c>
      <c r="S370" s="8">
        <f>IF(H370=TRUE,"Disponible","No disponible")</f>
        <v/>
      </c>
      <c r="T370" s="8">
        <f>IF(AND(ISNUMBER(I370),I370&gt;0),ROUND(F370/I370,2),"Sin volumen")</f>
        <v/>
      </c>
      <c r="U370" s="8">
        <f>IF(F370&lt;5000,"Bajo",IF(F370&lt;15000,"Medio","Alto"))</f>
        <v/>
      </c>
    </row>
    <row r="371">
      <c r="A371" t="inlineStr">
        <is>
          <t>Farmacity</t>
        </is>
      </c>
      <c r="B371" t="n">
        <v>215759</v>
      </c>
      <c r="C371" t="n">
        <v>215759</v>
      </c>
      <c r="D371" t="inlineStr">
        <is>
          <t>Combo Capilatis Anticaída Concentrado Ortiga</t>
        </is>
      </c>
      <c r="E371" t="inlineStr">
        <is>
          <t>Capilatis</t>
        </is>
      </c>
      <c r="F371" t="n">
        <v>16800</v>
      </c>
      <c r="G371" t="n">
        <v>21000</v>
      </c>
      <c r="H371" t="b">
        <v>1</v>
      </c>
      <c r="I371" t="inlineStr"/>
      <c r="J371" t="inlineStr"/>
      <c r="K371" t="inlineStr">
        <is>
          <t>&gt; Cuidado Capilar &gt; Shampoo Y Acondicionador &gt;</t>
        </is>
      </c>
      <c r="L371" t="inlineStr">
        <is>
          <t>shampoo</t>
        </is>
      </c>
      <c r="M371" t="inlineStr">
        <is>
          <t>estandar</t>
        </is>
      </c>
      <c r="N371" t="inlineStr">
        <is>
          <t>general</t>
        </is>
      </c>
      <c r="O371" t="inlineStr">
        <is>
          <t>https://www.farmacity.com/combo-capilatis-anticaida-concentrado-ortiga/p</t>
        </is>
      </c>
      <c r="P371">
        <f>TRIM(CLEAN(PROPER(D371)))</f>
        <v/>
      </c>
      <c r="Q371">
        <f>PROPER(TRIM(SUBSTITUTE(SUBSTITUTE(SUBSTITUTE(SUBSTITUTE(E371,"TRESEMME","Tresemme"),"HEAD &amp; SHOULDERS","Head &amp; Shoulders"),"ELVIVE","Elvive"),"FRUCTIS","Fructis")))</f>
        <v/>
      </c>
      <c r="R371">
        <f>COUNTIF($D$2:$D$10000,D371)&gt;1</f>
        <v/>
      </c>
      <c r="S371">
        <f>IF(H371=TRUE,"Disponible","No disponible")</f>
        <v/>
      </c>
      <c r="T371">
        <f>IF(AND(ISNUMBER(I371),I371&gt;0),ROUND(F371/I371,2),"Sin volumen")</f>
        <v/>
      </c>
      <c r="U371">
        <f>IF(F371&lt;5000,"Bajo",IF(F371&lt;15000,"Medio","Alto"))</f>
        <v/>
      </c>
    </row>
    <row r="372">
      <c r="A372" s="6" t="inlineStr">
        <is>
          <t>Farmacity</t>
        </is>
      </c>
      <c r="B372" s="6" t="n">
        <v>212380</v>
      </c>
      <c r="C372" s="6" t="n">
        <v>212380</v>
      </c>
      <c r="D372" s="6" t="inlineStr">
        <is>
          <t>Bálsamo Biferdil Proteínas de Soja x 400 ml</t>
        </is>
      </c>
      <c r="E372" s="6" t="inlineStr">
        <is>
          <t>Biferdil</t>
        </is>
      </c>
      <c r="F372" s="6" t="n">
        <v>13608</v>
      </c>
      <c r="G372" s="6" t="n">
        <v>13608</v>
      </c>
      <c r="H372" s="6" t="b">
        <v>1</v>
      </c>
      <c r="I372" s="6" t="n">
        <v>400</v>
      </c>
      <c r="J372" s="6" t="n">
        <v>34.02</v>
      </c>
      <c r="K372" s="6" t="inlineStr">
        <is>
          <t>&gt; Cuidado Capilar &gt; Reparación Y Tratamiento &gt;</t>
        </is>
      </c>
      <c r="L372" s="6" t="inlineStr">
        <is>
          <t>shampoo</t>
        </is>
      </c>
      <c r="M372" s="6" t="inlineStr">
        <is>
          <t>estandar</t>
        </is>
      </c>
      <c r="N372" s="6" t="inlineStr">
        <is>
          <t>general</t>
        </is>
      </c>
      <c r="O372" s="6" t="inlineStr">
        <is>
          <t>https://www.farmacity.com/balsamo-biferdil-proteinas-de-soja-x-400-ml/p</t>
        </is>
      </c>
      <c r="P372" s="8">
        <f>TRIM(CLEAN(PROPER(D372)))</f>
        <v/>
      </c>
      <c r="Q372" s="8">
        <f>PROPER(TRIM(SUBSTITUTE(SUBSTITUTE(SUBSTITUTE(SUBSTITUTE(E372,"TRESEMME","Tresemme"),"HEAD &amp; SHOULDERS","Head &amp; Shoulders"),"ELVIVE","Elvive"),"FRUCTIS","Fructis")))</f>
        <v/>
      </c>
      <c r="R372" s="8">
        <f>COUNTIF($D$2:$D$10000,D372)&gt;1</f>
        <v/>
      </c>
      <c r="S372" s="8">
        <f>IF(H372=TRUE,"Disponible","No disponible")</f>
        <v/>
      </c>
      <c r="T372" s="8">
        <f>IF(AND(ISNUMBER(I372),I372&gt;0),ROUND(F372/I372,2),"Sin volumen")</f>
        <v/>
      </c>
      <c r="U372" s="8">
        <f>IF(F372&lt;5000,"Bajo",IF(F372&lt;15000,"Medio","Alto"))</f>
        <v/>
      </c>
    </row>
    <row r="373">
      <c r="A373" t="inlineStr">
        <is>
          <t>Farmacity</t>
        </is>
      </c>
      <c r="B373" t="n">
        <v>245656</v>
      </c>
      <c r="C373" t="n">
        <v>245656</v>
      </c>
      <c r="D373" t="inlineStr">
        <is>
          <t>Combo Óleo Extraordinario Elvive x 100 ml x 2 un</t>
        </is>
      </c>
      <c r="E373" t="inlineStr">
        <is>
          <t>Elvive</t>
        </is>
      </c>
      <c r="F373" t="n">
        <v>39980</v>
      </c>
      <c r="G373" t="n">
        <v>39980</v>
      </c>
      <c r="H373" t="b">
        <v>1</v>
      </c>
      <c r="I373" t="n">
        <v>100</v>
      </c>
      <c r="J373" t="n">
        <v>399.8</v>
      </c>
      <c r="K373" t="inlineStr">
        <is>
          <t>&gt; Cuidado Capilar &gt; Reparación Y Tratamiento &gt;</t>
        </is>
      </c>
      <c r="L373" t="inlineStr">
        <is>
          <t>shampoo</t>
        </is>
      </c>
      <c r="M373" t="inlineStr">
        <is>
          <t>profesional</t>
        </is>
      </c>
      <c r="N373" t="inlineStr">
        <is>
          <t>general</t>
        </is>
      </c>
      <c r="O373" t="inlineStr">
        <is>
          <t>https://www.farmacity.com/combo-oleo-extraordinario-elvive-x-100-ml-x-2-un/p</t>
        </is>
      </c>
      <c r="P373">
        <f>TRIM(CLEAN(PROPER(D373)))</f>
        <v/>
      </c>
      <c r="Q373">
        <f>PROPER(TRIM(SUBSTITUTE(SUBSTITUTE(SUBSTITUTE(SUBSTITUTE(E373,"TRESEMME","Tresemme"),"HEAD &amp; SHOULDERS","Head &amp; Shoulders"),"ELVIVE","Elvive"),"FRUCTIS","Fructis")))</f>
        <v/>
      </c>
      <c r="R373">
        <f>COUNTIF($D$2:$D$10000,D373)&gt;1</f>
        <v/>
      </c>
      <c r="S373">
        <f>IF(H373=TRUE,"Disponible","No disponible")</f>
        <v/>
      </c>
      <c r="T373">
        <f>IF(AND(ISNUMBER(I373),I373&gt;0),ROUND(F373/I373,2),"Sin volumen")</f>
        <v/>
      </c>
      <c r="U373">
        <f>IF(F373&lt;5000,"Bajo",IF(F373&lt;15000,"Medio","Alto"))</f>
        <v/>
      </c>
    </row>
    <row r="374">
      <c r="A374" s="6" t="inlineStr">
        <is>
          <t>Farmacity</t>
        </is>
      </c>
      <c r="B374" s="6" t="n">
        <v>248554</v>
      </c>
      <c r="C374" s="6" t="n">
        <v>248554</v>
      </c>
      <c r="D374" s="6" t="inlineStr">
        <is>
          <t>Acondicionador Elvive Glycolic Cristal x 400 ml</t>
        </is>
      </c>
      <c r="E374" s="6" t="inlineStr">
        <is>
          <t>Elvive</t>
        </is>
      </c>
      <c r="F374" s="6" t="n">
        <v>7494</v>
      </c>
      <c r="G374" s="6" t="n">
        <v>12490</v>
      </c>
      <c r="H374" s="6" t="b">
        <v>1</v>
      </c>
      <c r="I374" s="6" t="n">
        <v>400</v>
      </c>
      <c r="J374" s="6" t="n">
        <v>18.735</v>
      </c>
      <c r="K374" s="6" t="inlineStr">
        <is>
          <t>&gt; Cuidado Capilar &gt; Shampoo Y Acondicionador &gt;</t>
        </is>
      </c>
      <c r="L374" s="6" t="inlineStr">
        <is>
          <t>acondicionador</t>
        </is>
      </c>
      <c r="M374" s="6" t="inlineStr">
        <is>
          <t>profesional</t>
        </is>
      </c>
      <c r="N374" s="6" t="inlineStr">
        <is>
          <t>general</t>
        </is>
      </c>
      <c r="O374" s="6" t="inlineStr">
        <is>
          <t>https://www.farmacity.com/acondicionador--glycolic-cristal-x-400-ml/p</t>
        </is>
      </c>
      <c r="P374" s="8">
        <f>TRIM(CLEAN(PROPER(D374)))</f>
        <v/>
      </c>
      <c r="Q374" s="8">
        <f>PROPER(TRIM(SUBSTITUTE(SUBSTITUTE(SUBSTITUTE(SUBSTITUTE(E374,"TRESEMME","Tresemme"),"HEAD &amp; SHOULDERS","Head &amp; Shoulders"),"ELVIVE","Elvive"),"FRUCTIS","Fructis")))</f>
        <v/>
      </c>
      <c r="R374" s="8">
        <f>COUNTIF($D$2:$D$10000,D374)&gt;1</f>
        <v/>
      </c>
      <c r="S374" s="8">
        <f>IF(H374=TRUE,"Disponible","No disponible")</f>
        <v/>
      </c>
      <c r="T374" s="8">
        <f>IF(AND(ISNUMBER(I374),I374&gt;0),ROUND(F374/I374,2),"Sin volumen")</f>
        <v/>
      </c>
      <c r="U374" s="8">
        <f>IF(F374&lt;5000,"Bajo",IF(F374&lt;15000,"Medio","Alto"))</f>
        <v/>
      </c>
    </row>
    <row r="375">
      <c r="A375" t="inlineStr">
        <is>
          <t>Farmacity</t>
        </is>
      </c>
      <c r="B375" t="n">
        <v>241717</v>
      </c>
      <c r="C375" t="n">
        <v>241717</v>
      </c>
      <c r="D375" t="inlineStr">
        <is>
          <t>Kit Capilar Dove Óleo Nutrición</t>
        </is>
      </c>
      <c r="E375" t="inlineStr">
        <is>
          <t>Dove</t>
        </is>
      </c>
      <c r="F375" t="n">
        <v>15984</v>
      </c>
      <c r="G375" t="n">
        <v>29062</v>
      </c>
      <c r="H375" t="b">
        <v>1</v>
      </c>
      <c r="I375" t="inlineStr"/>
      <c r="J375" t="inlineStr"/>
      <c r="K375" t="inlineStr">
        <is>
          <t>&gt; Cuidado Capilar &gt; Shampoo Y Acondicionador &gt;</t>
        </is>
      </c>
      <c r="L375" t="inlineStr">
        <is>
          <t>tratamiento</t>
        </is>
      </c>
      <c r="M375" t="inlineStr">
        <is>
          <t>estandar</t>
        </is>
      </c>
      <c r="N375" t="inlineStr">
        <is>
          <t>general</t>
        </is>
      </c>
      <c r="O375" t="inlineStr">
        <is>
          <t>https://www.farmacity.com/combo-capilar-dove-oleo-nutricion/p</t>
        </is>
      </c>
      <c r="P375">
        <f>TRIM(CLEAN(PROPER(D375)))</f>
        <v/>
      </c>
      <c r="Q375">
        <f>PROPER(TRIM(SUBSTITUTE(SUBSTITUTE(SUBSTITUTE(SUBSTITUTE(E375,"TRESEMME","Tresemme"),"HEAD &amp; SHOULDERS","Head &amp; Shoulders"),"ELVIVE","Elvive"),"FRUCTIS","Fructis")))</f>
        <v/>
      </c>
      <c r="R375">
        <f>COUNTIF($D$2:$D$10000,D375)&gt;1</f>
        <v/>
      </c>
      <c r="S375">
        <f>IF(H375=TRUE,"Disponible","No disponible")</f>
        <v/>
      </c>
      <c r="T375">
        <f>IF(AND(ISNUMBER(I375),I375&gt;0),ROUND(F375/I375,2),"Sin volumen")</f>
        <v/>
      </c>
      <c r="U375">
        <f>IF(F375&lt;5000,"Bajo",IF(F375&lt;15000,"Medio","Alto"))</f>
        <v/>
      </c>
    </row>
    <row r="376">
      <c r="A376" s="6" t="inlineStr">
        <is>
          <t>Farmacity</t>
        </is>
      </c>
      <c r="B376" s="6" t="n">
        <v>215768</v>
      </c>
      <c r="C376" s="6" t="n">
        <v>215768</v>
      </c>
      <c r="D376" s="6" t="inlineStr">
        <is>
          <t>Combo Capilatis Brillo Extremo</t>
        </is>
      </c>
      <c r="E376" s="6" t="inlineStr">
        <is>
          <t>Capilatis</t>
        </is>
      </c>
      <c r="F376" s="6" t="n">
        <v>15520</v>
      </c>
      <c r="G376" s="6" t="n">
        <v>19400</v>
      </c>
      <c r="H376" s="6" t="b">
        <v>1</v>
      </c>
      <c r="I376" s="6" t="inlineStr"/>
      <c r="J376" s="6" t="inlineStr"/>
      <c r="K376" s="6" t="inlineStr">
        <is>
          <t>&gt; Cuidado Capilar &gt; Shampoo Y Acondicionador &gt;</t>
        </is>
      </c>
      <c r="L376" s="6" t="inlineStr">
        <is>
          <t>shampoo</t>
        </is>
      </c>
      <c r="M376" s="6" t="inlineStr">
        <is>
          <t>estandar</t>
        </is>
      </c>
      <c r="N376" s="6" t="inlineStr">
        <is>
          <t>general</t>
        </is>
      </c>
      <c r="O376" s="6" t="inlineStr">
        <is>
          <t>https://www.farmacity.com/combo-capilatis-brillo-extremo/p</t>
        </is>
      </c>
      <c r="P376" s="8">
        <f>TRIM(CLEAN(PROPER(D376)))</f>
        <v/>
      </c>
      <c r="Q376" s="8">
        <f>PROPER(TRIM(SUBSTITUTE(SUBSTITUTE(SUBSTITUTE(SUBSTITUTE(E376,"TRESEMME","Tresemme"),"HEAD &amp; SHOULDERS","Head &amp; Shoulders"),"ELVIVE","Elvive"),"FRUCTIS","Fructis")))</f>
        <v/>
      </c>
      <c r="R376" s="8">
        <f>COUNTIF($D$2:$D$10000,D376)&gt;1</f>
        <v/>
      </c>
      <c r="S376" s="8">
        <f>IF(H376=TRUE,"Disponible","No disponible")</f>
        <v/>
      </c>
      <c r="T376" s="8">
        <f>IF(AND(ISNUMBER(I376),I376&gt;0),ROUND(F376/I376,2),"Sin volumen")</f>
        <v/>
      </c>
      <c r="U376" s="8">
        <f>IF(F376&lt;5000,"Bajo",IF(F376&lt;15000,"Medio","Alto"))</f>
        <v/>
      </c>
    </row>
    <row r="377">
      <c r="A377" t="inlineStr">
        <is>
          <t>Farmacity</t>
        </is>
      </c>
      <c r="B377" t="n">
        <v>246647</v>
      </c>
      <c r="C377" t="n">
        <v>246647</v>
      </c>
      <c r="D377" t="inlineStr">
        <is>
          <t>Acondicionador Pantene Bamboo x 250 ml</t>
        </is>
      </c>
      <c r="E377" t="inlineStr">
        <is>
          <t>Pantene</t>
        </is>
      </c>
      <c r="F377" t="n">
        <v>6137</v>
      </c>
      <c r="G377" t="n">
        <v>10228</v>
      </c>
      <c r="H377" t="b">
        <v>1</v>
      </c>
      <c r="I377" t="n">
        <v>250</v>
      </c>
      <c r="J377" t="n">
        <v>24.548</v>
      </c>
      <c r="K377" t="inlineStr">
        <is>
          <t>&gt; Cuidado Capilar &gt; Shampoo Y Acondicionador &gt;</t>
        </is>
      </c>
      <c r="L377" t="inlineStr">
        <is>
          <t>acondicionador</t>
        </is>
      </c>
      <c r="M377" t="inlineStr">
        <is>
          <t>estandar</t>
        </is>
      </c>
      <c r="N377" t="inlineStr">
        <is>
          <t>general</t>
        </is>
      </c>
      <c r="O377" t="inlineStr">
        <is>
          <t>https://www.farmacity.com/acondicionador-pantene-bamboo-x-250-ml/p</t>
        </is>
      </c>
      <c r="P377">
        <f>TRIM(CLEAN(PROPER(D377)))</f>
        <v/>
      </c>
      <c r="Q377">
        <f>PROPER(TRIM(SUBSTITUTE(SUBSTITUTE(SUBSTITUTE(SUBSTITUTE(E377,"TRESEMME","Tresemme"),"HEAD &amp; SHOULDERS","Head &amp; Shoulders"),"ELVIVE","Elvive"),"FRUCTIS","Fructis")))</f>
        <v/>
      </c>
      <c r="R377">
        <f>COUNTIF($D$2:$D$10000,D377)&gt;1</f>
        <v/>
      </c>
      <c r="S377">
        <f>IF(H377=TRUE,"Disponible","No disponible")</f>
        <v/>
      </c>
      <c r="T377">
        <f>IF(AND(ISNUMBER(I377),I377&gt;0),ROUND(F377/I377,2),"Sin volumen")</f>
        <v/>
      </c>
      <c r="U377">
        <f>IF(F377&lt;5000,"Bajo",IF(F377&lt;15000,"Medio","Alto"))</f>
        <v/>
      </c>
    </row>
    <row r="378">
      <c r="A378" s="6" t="inlineStr">
        <is>
          <t>Farmacity</t>
        </is>
      </c>
      <c r="B378" s="6" t="n">
        <v>215770</v>
      </c>
      <c r="C378" s="6" t="n">
        <v>215770</v>
      </c>
      <c r="D378" s="6" t="inlineStr">
        <is>
          <t>Combo Capilatis Lifting Capilar</t>
        </is>
      </c>
      <c r="E378" s="6" t="inlineStr">
        <is>
          <t>Capilatis</t>
        </is>
      </c>
      <c r="F378" s="6" t="n">
        <v>20800</v>
      </c>
      <c r="G378" s="6" t="n">
        <v>26000</v>
      </c>
      <c r="H378" s="6" t="b">
        <v>1</v>
      </c>
      <c r="I378" s="6" t="inlineStr"/>
      <c r="J378" s="6" t="inlineStr"/>
      <c r="K378" s="6" t="inlineStr">
        <is>
          <t>&gt; Cuidado Capilar &gt; Shampoo Y Acondicionador &gt;</t>
        </is>
      </c>
      <c r="L378" s="6" t="inlineStr">
        <is>
          <t>shampoo</t>
        </is>
      </c>
      <c r="M378" s="6" t="inlineStr">
        <is>
          <t>estandar</t>
        </is>
      </c>
      <c r="N378" s="6" t="inlineStr">
        <is>
          <t>general</t>
        </is>
      </c>
      <c r="O378" s="6" t="inlineStr">
        <is>
          <t>https://www.farmacity.com/combo-capilatis-lifting-capilar/p</t>
        </is>
      </c>
      <c r="P378" s="8">
        <f>TRIM(CLEAN(PROPER(D378)))</f>
        <v/>
      </c>
      <c r="Q378" s="8">
        <f>PROPER(TRIM(SUBSTITUTE(SUBSTITUTE(SUBSTITUTE(SUBSTITUTE(E378,"TRESEMME","Tresemme"),"HEAD &amp; SHOULDERS","Head &amp; Shoulders"),"ELVIVE","Elvive"),"FRUCTIS","Fructis")))</f>
        <v/>
      </c>
      <c r="R378" s="8">
        <f>COUNTIF($D$2:$D$10000,D378)&gt;1</f>
        <v/>
      </c>
      <c r="S378" s="8">
        <f>IF(H378=TRUE,"Disponible","No disponible")</f>
        <v/>
      </c>
      <c r="T378" s="8">
        <f>IF(AND(ISNUMBER(I378),I378&gt;0),ROUND(F378/I378,2),"Sin volumen")</f>
        <v/>
      </c>
      <c r="U378" s="8">
        <f>IF(F378&lt;5000,"Bajo",IF(F378&lt;15000,"Medio","Alto"))</f>
        <v/>
      </c>
    </row>
    <row r="379">
      <c r="A379" t="inlineStr">
        <is>
          <t>Farmacity</t>
        </is>
      </c>
      <c r="B379" t="n">
        <v>228552</v>
      </c>
      <c r="C379" t="n">
        <v>228552</v>
      </c>
      <c r="D379" t="inlineStr">
        <is>
          <t>Ampolla Biferdil 1007 Caída Severa x 20 ml</t>
        </is>
      </c>
      <c r="E379" t="inlineStr">
        <is>
          <t>Biferdil</t>
        </is>
      </c>
      <c r="F379" t="n">
        <v>7700</v>
      </c>
      <c r="G379" t="n">
        <v>7700</v>
      </c>
      <c r="H379" t="b">
        <v>1</v>
      </c>
      <c r="I379" t="n">
        <v>20</v>
      </c>
      <c r="J379" t="n">
        <v>385</v>
      </c>
      <c r="K379" t="inlineStr">
        <is>
          <t>&gt; Cuidado Capilar &gt; Reparación Y Tratamiento &gt;</t>
        </is>
      </c>
      <c r="L379" t="inlineStr">
        <is>
          <t>shampoo</t>
        </is>
      </c>
      <c r="M379" t="inlineStr">
        <is>
          <t>estandar</t>
        </is>
      </c>
      <c r="N379" t="inlineStr">
        <is>
          <t>general</t>
        </is>
      </c>
      <c r="O379" t="inlineStr">
        <is>
          <t>https://www.farmacity.com/ampolla-biferdil-1007-caida-severa-x-20-ml/p</t>
        </is>
      </c>
      <c r="P379">
        <f>TRIM(CLEAN(PROPER(D379)))</f>
        <v/>
      </c>
      <c r="Q379">
        <f>PROPER(TRIM(SUBSTITUTE(SUBSTITUTE(SUBSTITUTE(SUBSTITUTE(E379,"TRESEMME","Tresemme"),"HEAD &amp; SHOULDERS","Head &amp; Shoulders"),"ELVIVE","Elvive"),"FRUCTIS","Fructis")))</f>
        <v/>
      </c>
      <c r="R379">
        <f>COUNTIF($D$2:$D$10000,D379)&gt;1</f>
        <v/>
      </c>
      <c r="S379">
        <f>IF(H379=TRUE,"Disponible","No disponible")</f>
        <v/>
      </c>
      <c r="T379">
        <f>IF(AND(ISNUMBER(I379),I379&gt;0),ROUND(F379/I379,2),"Sin volumen")</f>
        <v/>
      </c>
      <c r="U379">
        <f>IF(F379&lt;5000,"Bajo",IF(F379&lt;15000,"Medio","Alto"))</f>
        <v/>
      </c>
    </row>
    <row r="380">
      <c r="A380" s="6" t="inlineStr">
        <is>
          <t>Farmacity</t>
        </is>
      </c>
      <c r="B380" s="6" t="n">
        <v>4763</v>
      </c>
      <c r="C380" s="6" t="n">
        <v>137831</v>
      </c>
      <c r="D380" s="6" t="inlineStr">
        <is>
          <t>Óleo Extraordinario Elvive x 100 ml</t>
        </is>
      </c>
      <c r="E380" s="6" t="inlineStr">
        <is>
          <t>Elvive</t>
        </is>
      </c>
      <c r="F380" s="6" t="n">
        <v>19990</v>
      </c>
      <c r="G380" s="6" t="n">
        <v>19990</v>
      </c>
      <c r="H380" s="6" t="b">
        <v>1</v>
      </c>
      <c r="I380" s="6" t="n">
        <v>100</v>
      </c>
      <c r="J380" s="6" t="n">
        <v>199.9</v>
      </c>
      <c r="K380" s="6" t="inlineStr">
        <is>
          <t>&gt; Cuidado Capilar &gt; Reparación Y Tratamiento &gt;</t>
        </is>
      </c>
      <c r="L380" s="6" t="inlineStr">
        <is>
          <t>shampoo</t>
        </is>
      </c>
      <c r="M380" s="6" t="inlineStr">
        <is>
          <t>profesional</t>
        </is>
      </c>
      <c r="N380" s="6" t="inlineStr">
        <is>
          <t>general</t>
        </is>
      </c>
      <c r="O380" s="6" t="inlineStr">
        <is>
          <t>https://www.farmacity.com/oleo-extraordinario-x-100-ml/p</t>
        </is>
      </c>
      <c r="P380" s="8">
        <f>TRIM(CLEAN(PROPER(D380)))</f>
        <v/>
      </c>
      <c r="Q380" s="8">
        <f>PROPER(TRIM(SUBSTITUTE(SUBSTITUTE(SUBSTITUTE(SUBSTITUTE(E380,"TRESEMME","Tresemme"),"HEAD &amp; SHOULDERS","Head &amp; Shoulders"),"ELVIVE","Elvive"),"FRUCTIS","Fructis")))</f>
        <v/>
      </c>
      <c r="R380" s="8">
        <f>COUNTIF($D$2:$D$10000,D380)&gt;1</f>
        <v/>
      </c>
      <c r="S380" s="8">
        <f>IF(H380=TRUE,"Disponible","No disponible")</f>
        <v/>
      </c>
      <c r="T380" s="8">
        <f>IF(AND(ISNUMBER(I380),I380&gt;0),ROUND(F380/I380,2),"Sin volumen")</f>
        <v/>
      </c>
      <c r="U380" s="8">
        <f>IF(F380&lt;5000,"Bajo",IF(F380&lt;15000,"Medio","Alto"))</f>
        <v/>
      </c>
    </row>
    <row r="381">
      <c r="A381" t="inlineStr">
        <is>
          <t>Farmacity</t>
        </is>
      </c>
      <c r="B381" t="n">
        <v>241715</v>
      </c>
      <c r="C381" t="n">
        <v>241715</v>
      </c>
      <c r="D381" t="inlineStr">
        <is>
          <t>Kit Capilar Dove Reconstrucción Completa</t>
        </is>
      </c>
      <c r="E381" t="inlineStr">
        <is>
          <t>Dove</t>
        </is>
      </c>
      <c r="F381" t="n">
        <v>15984</v>
      </c>
      <c r="G381" t="n">
        <v>29062</v>
      </c>
      <c r="H381" t="b">
        <v>1</v>
      </c>
      <c r="I381" t="inlineStr"/>
      <c r="J381" t="inlineStr"/>
      <c r="K381" t="inlineStr">
        <is>
          <t>&gt; Cuidado Capilar &gt; Shampoo Y Acondicionador &gt;</t>
        </is>
      </c>
      <c r="L381" t="inlineStr">
        <is>
          <t>tratamiento</t>
        </is>
      </c>
      <c r="M381" t="inlineStr">
        <is>
          <t>estandar</t>
        </is>
      </c>
      <c r="N381" t="inlineStr">
        <is>
          <t>general</t>
        </is>
      </c>
      <c r="O381" t="inlineStr">
        <is>
          <t>https://www.farmacity.com/combo-capilar-dove-reconstruccion-completa/p</t>
        </is>
      </c>
      <c r="P381">
        <f>TRIM(CLEAN(PROPER(D381)))</f>
        <v/>
      </c>
      <c r="Q381">
        <f>PROPER(TRIM(SUBSTITUTE(SUBSTITUTE(SUBSTITUTE(SUBSTITUTE(E381,"TRESEMME","Tresemme"),"HEAD &amp; SHOULDERS","Head &amp; Shoulders"),"ELVIVE","Elvive"),"FRUCTIS","Fructis")))</f>
        <v/>
      </c>
      <c r="R381">
        <f>COUNTIF($D$2:$D$10000,D381)&gt;1</f>
        <v/>
      </c>
      <c r="S381">
        <f>IF(H381=TRUE,"Disponible","No disponible")</f>
        <v/>
      </c>
      <c r="T381">
        <f>IF(AND(ISNUMBER(I381),I381&gt;0),ROUND(F381/I381,2),"Sin volumen")</f>
        <v/>
      </c>
      <c r="U381">
        <f>IF(F381&lt;5000,"Bajo",IF(F381&lt;15000,"Medio","Alto"))</f>
        <v/>
      </c>
    </row>
    <row r="382">
      <c r="A382" s="6" t="inlineStr">
        <is>
          <t>Farmacity</t>
        </is>
      </c>
      <c r="B382" s="6" t="n">
        <v>246648</v>
      </c>
      <c r="C382" s="6" t="n">
        <v>246648</v>
      </c>
      <c r="D382" s="6" t="inlineStr">
        <is>
          <t>Acondicionador Pantene Bamboo x 150 ml</t>
        </is>
      </c>
      <c r="E382" s="6" t="inlineStr">
        <is>
          <t>Pantene</t>
        </is>
      </c>
      <c r="F382" s="6" t="n">
        <v>3797</v>
      </c>
      <c r="G382" s="6" t="n">
        <v>6329</v>
      </c>
      <c r="H382" s="6" t="b">
        <v>1</v>
      </c>
      <c r="I382" s="6" t="n">
        <v>150</v>
      </c>
      <c r="J382" s="6" t="n">
        <v>25.3133</v>
      </c>
      <c r="K382" s="6" t="inlineStr">
        <is>
          <t>&gt; Cuidado Capilar &gt; Shampoo Y Acondicionador &gt;</t>
        </is>
      </c>
      <c r="L382" s="6" t="inlineStr">
        <is>
          <t>acondicionador</t>
        </is>
      </c>
      <c r="M382" s="6" t="inlineStr">
        <is>
          <t>estandar</t>
        </is>
      </c>
      <c r="N382" s="6" t="inlineStr">
        <is>
          <t>general</t>
        </is>
      </c>
      <c r="O382" s="6" t="inlineStr">
        <is>
          <t>https://www.farmacity.com/acondicionador-pantene-bamboo-x-150-ml/p</t>
        </is>
      </c>
      <c r="P382" s="8">
        <f>TRIM(CLEAN(PROPER(D382)))</f>
        <v/>
      </c>
      <c r="Q382" s="8">
        <f>PROPER(TRIM(SUBSTITUTE(SUBSTITUTE(SUBSTITUTE(SUBSTITUTE(E382,"TRESEMME","Tresemme"),"HEAD &amp; SHOULDERS","Head &amp; Shoulders"),"ELVIVE","Elvive"),"FRUCTIS","Fructis")))</f>
        <v/>
      </c>
      <c r="R382" s="8">
        <f>COUNTIF($D$2:$D$10000,D382)&gt;1</f>
        <v/>
      </c>
      <c r="S382" s="8">
        <f>IF(H382=TRUE,"Disponible","No disponible")</f>
        <v/>
      </c>
      <c r="T382" s="8">
        <f>IF(AND(ISNUMBER(I382),I382&gt;0),ROUND(F382/I382,2),"Sin volumen")</f>
        <v/>
      </c>
      <c r="U382" s="8">
        <f>IF(F382&lt;5000,"Bajo",IF(F382&lt;15000,"Medio","Alto"))</f>
        <v/>
      </c>
    </row>
    <row r="383">
      <c r="A383" t="inlineStr">
        <is>
          <t>Farmacity</t>
        </is>
      </c>
      <c r="B383" t="n">
        <v>249147</v>
      </c>
      <c r="C383" t="n">
        <v>249147</v>
      </c>
      <c r="D383" t="inlineStr">
        <is>
          <t>Combo Capilar Alta Moda Hydra Save</t>
        </is>
      </c>
      <c r="E383" t="inlineStr">
        <is>
          <t>Alta Moda</t>
        </is>
      </c>
      <c r="F383" t="n">
        <v>12202</v>
      </c>
      <c r="G383" t="n">
        <v>20337</v>
      </c>
      <c r="H383" t="b">
        <v>1</v>
      </c>
      <c r="I383" t="inlineStr"/>
      <c r="J383" t="inlineStr"/>
      <c r="K383" t="inlineStr">
        <is>
          <t>&gt; Cuidado Capilar &gt; Shampoo Y Acondicionador &gt;</t>
        </is>
      </c>
      <c r="L383" t="inlineStr">
        <is>
          <t>shampoo</t>
        </is>
      </c>
      <c r="M383" t="inlineStr">
        <is>
          <t>estandar</t>
        </is>
      </c>
      <c r="N383" t="inlineStr">
        <is>
          <t>general</t>
        </is>
      </c>
      <c r="O383" t="inlineStr">
        <is>
          <t>https://www.farmacity.com/combo-alta-moda-hydra-save/p</t>
        </is>
      </c>
      <c r="P383">
        <f>TRIM(CLEAN(PROPER(D383)))</f>
        <v/>
      </c>
      <c r="Q383">
        <f>PROPER(TRIM(SUBSTITUTE(SUBSTITUTE(SUBSTITUTE(SUBSTITUTE(E383,"TRESEMME","Tresemme"),"HEAD &amp; SHOULDERS","Head &amp; Shoulders"),"ELVIVE","Elvive"),"FRUCTIS","Fructis")))</f>
        <v/>
      </c>
      <c r="R383">
        <f>COUNTIF($D$2:$D$10000,D383)&gt;1</f>
        <v/>
      </c>
      <c r="S383">
        <f>IF(H383=TRUE,"Disponible","No disponible")</f>
        <v/>
      </c>
      <c r="T383">
        <f>IF(AND(ISNUMBER(I383),I383&gt;0),ROUND(F383/I383,2),"Sin volumen")</f>
        <v/>
      </c>
      <c r="U383">
        <f>IF(F383&lt;5000,"Bajo",IF(F383&lt;15000,"Medio","Alto"))</f>
        <v/>
      </c>
    </row>
    <row r="384">
      <c r="A384" s="6" t="inlineStr">
        <is>
          <t>Farmacity</t>
        </is>
      </c>
      <c r="B384" s="6" t="n">
        <v>241718</v>
      </c>
      <c r="C384" s="6" t="n">
        <v>241718</v>
      </c>
      <c r="D384" s="6" t="inlineStr">
        <is>
          <t>Kit Capilar Dove Hidratación</t>
        </is>
      </c>
      <c r="E384" s="6" t="inlineStr">
        <is>
          <t>Dove</t>
        </is>
      </c>
      <c r="F384" s="6" t="n">
        <v>15984</v>
      </c>
      <c r="G384" s="6" t="n">
        <v>29062</v>
      </c>
      <c r="H384" s="6" t="b">
        <v>1</v>
      </c>
      <c r="I384" s="6" t="inlineStr"/>
      <c r="J384" s="6" t="inlineStr"/>
      <c r="K384" s="6" t="inlineStr">
        <is>
          <t>&gt; Cuidado Capilar &gt; Shampoo Y Acondicionador &gt;</t>
        </is>
      </c>
      <c r="L384" s="6" t="inlineStr">
        <is>
          <t>tratamiento</t>
        </is>
      </c>
      <c r="M384" s="6" t="inlineStr">
        <is>
          <t>estandar</t>
        </is>
      </c>
      <c r="N384" s="6" t="inlineStr">
        <is>
          <t>seco_danado</t>
        </is>
      </c>
      <c r="O384" s="6" t="inlineStr">
        <is>
          <t>https://www.farmacity.com/combo-capilar-dove-hidratacion/p</t>
        </is>
      </c>
      <c r="P384" s="8">
        <f>TRIM(CLEAN(PROPER(D384)))</f>
        <v/>
      </c>
      <c r="Q384" s="8">
        <f>PROPER(TRIM(SUBSTITUTE(SUBSTITUTE(SUBSTITUTE(SUBSTITUTE(E384,"TRESEMME","Tresemme"),"HEAD &amp; SHOULDERS","Head &amp; Shoulders"),"ELVIVE","Elvive"),"FRUCTIS","Fructis")))</f>
        <v/>
      </c>
      <c r="R384" s="8">
        <f>COUNTIF($D$2:$D$10000,D384)&gt;1</f>
        <v/>
      </c>
      <c r="S384" s="8">
        <f>IF(H384=TRUE,"Disponible","No disponible")</f>
        <v/>
      </c>
      <c r="T384" s="8">
        <f>IF(AND(ISNUMBER(I384),I384&gt;0),ROUND(F384/I384,2),"Sin volumen")</f>
        <v/>
      </c>
      <c r="U384" s="8">
        <f>IF(F384&lt;5000,"Bajo",IF(F384&lt;15000,"Medio","Alto"))</f>
        <v/>
      </c>
    </row>
    <row r="385">
      <c r="A385" t="inlineStr">
        <is>
          <t>Farmacity</t>
        </is>
      </c>
      <c r="B385" t="n">
        <v>248556</v>
      </c>
      <c r="C385" t="n">
        <v>248556</v>
      </c>
      <c r="D385" t="inlineStr">
        <is>
          <t>Mascarilla Elvive Glycolic Cristal x 300 g</t>
        </is>
      </c>
      <c r="E385" t="inlineStr">
        <is>
          <t>Elvive</t>
        </is>
      </c>
      <c r="F385" t="n">
        <v>12190</v>
      </c>
      <c r="G385" t="n">
        <v>12190</v>
      </c>
      <c r="H385" t="b">
        <v>1</v>
      </c>
      <c r="I385" t="n">
        <v>300</v>
      </c>
      <c r="J385" t="n">
        <v>40.6333</v>
      </c>
      <c r="K385" t="inlineStr">
        <is>
          <t>&gt; Cuidado Capilar &gt; Reparación Y Tratamiento &gt;</t>
        </is>
      </c>
      <c r="L385" t="inlineStr">
        <is>
          <t>tratamiento</t>
        </is>
      </c>
      <c r="M385" t="inlineStr">
        <is>
          <t>profesional</t>
        </is>
      </c>
      <c r="N385" t="inlineStr">
        <is>
          <t>general</t>
        </is>
      </c>
      <c r="O385" t="inlineStr">
        <is>
          <t>https://www.farmacity.com/mascarilla-elvive-glycolic-cristal-x-300-g/p</t>
        </is>
      </c>
      <c r="P385">
        <f>TRIM(CLEAN(PROPER(D385)))</f>
        <v/>
      </c>
      <c r="Q385">
        <f>PROPER(TRIM(SUBSTITUTE(SUBSTITUTE(SUBSTITUTE(SUBSTITUTE(E385,"TRESEMME","Tresemme"),"HEAD &amp; SHOULDERS","Head &amp; Shoulders"),"ELVIVE","Elvive"),"FRUCTIS","Fructis")))</f>
        <v/>
      </c>
      <c r="R385">
        <f>COUNTIF($D$2:$D$10000,D385)&gt;1</f>
        <v/>
      </c>
      <c r="S385">
        <f>IF(H385=TRUE,"Disponible","No disponible")</f>
        <v/>
      </c>
      <c r="T385">
        <f>IF(AND(ISNUMBER(I385),I385&gt;0),ROUND(F385/I385,2),"Sin volumen")</f>
        <v/>
      </c>
      <c r="U385">
        <f>IF(F385&lt;5000,"Bajo",IF(F385&lt;15000,"Medio","Alto"))</f>
        <v/>
      </c>
    </row>
    <row r="386">
      <c r="A386" s="6" t="inlineStr">
        <is>
          <t>Farmacity</t>
        </is>
      </c>
      <c r="B386" s="6" t="n">
        <v>249149</v>
      </c>
      <c r="C386" s="6" t="n">
        <v>249149</v>
      </c>
      <c r="D386" s="6" t="inlineStr">
        <is>
          <t>Combo Capilar Alta Moda Intense Blond</t>
        </is>
      </c>
      <c r="E386" s="6" t="inlineStr">
        <is>
          <t>Alta Moda</t>
        </is>
      </c>
      <c r="F386" s="6" t="n">
        <v>11874</v>
      </c>
      <c r="G386" s="6" t="n">
        <v>19790</v>
      </c>
      <c r="H386" s="6" t="b">
        <v>1</v>
      </c>
      <c r="I386" s="6" t="inlineStr"/>
      <c r="J386" s="6" t="inlineStr"/>
      <c r="K386" s="6" t="inlineStr">
        <is>
          <t>&gt; Cuidado Capilar &gt; Shampoo Y Acondicionador &gt;</t>
        </is>
      </c>
      <c r="L386" s="6" t="inlineStr">
        <is>
          <t>shampoo</t>
        </is>
      </c>
      <c r="M386" s="6" t="inlineStr">
        <is>
          <t>estandar</t>
        </is>
      </c>
      <c r="N386" s="6" t="inlineStr">
        <is>
          <t>general</t>
        </is>
      </c>
      <c r="O386" s="6" t="inlineStr">
        <is>
          <t>https://www.farmacity.com/combo-alta-moda-intense-blond/p</t>
        </is>
      </c>
      <c r="P386" s="8">
        <f>TRIM(CLEAN(PROPER(D386)))</f>
        <v/>
      </c>
      <c r="Q386" s="8">
        <f>PROPER(TRIM(SUBSTITUTE(SUBSTITUTE(SUBSTITUTE(SUBSTITUTE(E386,"TRESEMME","Tresemme"),"HEAD &amp; SHOULDERS","Head &amp; Shoulders"),"ELVIVE","Elvive"),"FRUCTIS","Fructis")))</f>
        <v/>
      </c>
      <c r="R386" s="8">
        <f>COUNTIF($D$2:$D$10000,D386)&gt;1</f>
        <v/>
      </c>
      <c r="S386" s="8">
        <f>IF(H386=TRUE,"Disponible","No disponible")</f>
        <v/>
      </c>
      <c r="T386" s="8">
        <f>IF(AND(ISNUMBER(I386),I386&gt;0),ROUND(F386/I386,2),"Sin volumen")</f>
        <v/>
      </c>
      <c r="U386" s="8">
        <f>IF(F386&lt;5000,"Bajo",IF(F386&lt;15000,"Medio","Alto"))</f>
        <v/>
      </c>
    </row>
    <row r="387">
      <c r="A387" t="inlineStr">
        <is>
          <t>Farmacity</t>
        </is>
      </c>
      <c r="B387" t="n">
        <v>247955</v>
      </c>
      <c r="C387" t="n">
        <v>247955</v>
      </c>
      <c r="D387" t="inlineStr">
        <is>
          <t>Combo Pantene Colágeno x 300 ml</t>
        </is>
      </c>
      <c r="E387" t="inlineStr">
        <is>
          <t>Pantene</t>
        </is>
      </c>
      <c r="F387" t="n">
        <v>48693</v>
      </c>
      <c r="G387" t="n">
        <v>48693</v>
      </c>
      <c r="H387" t="b">
        <v>1</v>
      </c>
      <c r="I387" t="n">
        <v>300</v>
      </c>
      <c r="J387" t="n">
        <v>162.31</v>
      </c>
      <c r="K387" t="inlineStr">
        <is>
          <t>&gt; Cuidado Capilar &gt; Shampoo Y Acondicionador &gt;</t>
        </is>
      </c>
      <c r="L387" t="inlineStr">
        <is>
          <t>shampoo</t>
        </is>
      </c>
      <c r="M387" t="inlineStr">
        <is>
          <t>estandar</t>
        </is>
      </c>
      <c r="N387" t="inlineStr">
        <is>
          <t>general</t>
        </is>
      </c>
      <c r="O387" t="inlineStr">
        <is>
          <t>https://www.farmacity.com/combo-pantene-colageno-x-510-ml/p</t>
        </is>
      </c>
      <c r="P387">
        <f>TRIM(CLEAN(PROPER(D387)))</f>
        <v/>
      </c>
      <c r="Q387">
        <f>PROPER(TRIM(SUBSTITUTE(SUBSTITUTE(SUBSTITUTE(SUBSTITUTE(E387,"TRESEMME","Tresemme"),"HEAD &amp; SHOULDERS","Head &amp; Shoulders"),"ELVIVE","Elvive"),"FRUCTIS","Fructis")))</f>
        <v/>
      </c>
      <c r="R387">
        <f>COUNTIF($D$2:$D$10000,D387)&gt;1</f>
        <v/>
      </c>
      <c r="S387">
        <f>IF(H387=TRUE,"Disponible","No disponible")</f>
        <v/>
      </c>
      <c r="T387">
        <f>IF(AND(ISNUMBER(I387),I387&gt;0),ROUND(F387/I387,2),"Sin volumen")</f>
        <v/>
      </c>
      <c r="U387">
        <f>IF(F387&lt;5000,"Bajo",IF(F387&lt;15000,"Medio","Alto"))</f>
        <v/>
      </c>
    </row>
    <row r="388">
      <c r="A388" s="6" t="inlineStr">
        <is>
          <t>Farmacity</t>
        </is>
      </c>
      <c r="B388" s="6" t="n">
        <v>247953</v>
      </c>
      <c r="C388" s="6" t="n">
        <v>247953</v>
      </c>
      <c r="D388" s="6" t="inlineStr">
        <is>
          <t>Combo Pantene Keratina</t>
        </is>
      </c>
      <c r="E388" s="6" t="inlineStr">
        <is>
          <t>Pantene</t>
        </is>
      </c>
      <c r="F388" s="6" t="n">
        <v>41892</v>
      </c>
      <c r="G388" s="6" t="n">
        <v>41892</v>
      </c>
      <c r="H388" s="6" t="b">
        <v>1</v>
      </c>
      <c r="I388" s="6" t="inlineStr"/>
      <c r="J388" s="6" t="inlineStr"/>
      <c r="K388" s="6" t="inlineStr">
        <is>
          <t>&gt; Cuidado Capilar &gt; Shampoo Y Acondicionador &gt;</t>
        </is>
      </c>
      <c r="L388" s="6" t="inlineStr">
        <is>
          <t>shampoo</t>
        </is>
      </c>
      <c r="M388" s="6" t="inlineStr">
        <is>
          <t>estandar</t>
        </is>
      </c>
      <c r="N388" s="6" t="inlineStr">
        <is>
          <t>tratado</t>
        </is>
      </c>
      <c r="O388" s="6" t="inlineStr">
        <is>
          <t>https://www.farmacity.com/combo-pantene-keratina/p</t>
        </is>
      </c>
      <c r="P388" s="8">
        <f>TRIM(CLEAN(PROPER(D388)))</f>
        <v/>
      </c>
      <c r="Q388" s="8">
        <f>PROPER(TRIM(SUBSTITUTE(SUBSTITUTE(SUBSTITUTE(SUBSTITUTE(E388,"TRESEMME","Tresemme"),"HEAD &amp; SHOULDERS","Head &amp; Shoulders"),"ELVIVE","Elvive"),"FRUCTIS","Fructis")))</f>
        <v/>
      </c>
      <c r="R388" s="8">
        <f>COUNTIF($D$2:$D$10000,D388)&gt;1</f>
        <v/>
      </c>
      <c r="S388" s="8">
        <f>IF(H388=TRUE,"Disponible","No disponible")</f>
        <v/>
      </c>
      <c r="T388" s="8">
        <f>IF(AND(ISNUMBER(I388),I388&gt;0),ROUND(F388/I388,2),"Sin volumen")</f>
        <v/>
      </c>
      <c r="U388" s="8">
        <f>IF(F388&lt;5000,"Bajo",IF(F388&lt;15000,"Medio","Alto"))</f>
        <v/>
      </c>
    </row>
    <row r="389">
      <c r="A389" t="inlineStr">
        <is>
          <t>Farmacity</t>
        </is>
      </c>
      <c r="B389" t="n">
        <v>221682</v>
      </c>
      <c r="C389" t="n">
        <v>221682</v>
      </c>
      <c r="D389" t="inlineStr">
        <is>
          <t>Acondicionador Elvive Hidra Hialurónico x 400 ml</t>
        </is>
      </c>
      <c r="E389" t="inlineStr">
        <is>
          <t>Elvive</t>
        </is>
      </c>
      <c r="F389" t="n">
        <v>6714</v>
      </c>
      <c r="G389" t="n">
        <v>11190</v>
      </c>
      <c r="H389" t="b">
        <v>1</v>
      </c>
      <c r="I389" t="n">
        <v>400</v>
      </c>
      <c r="J389" t="n">
        <v>16.785</v>
      </c>
      <c r="K389" t="inlineStr">
        <is>
          <t>&gt; Cuidado Capilar &gt; Shampoo Y Acondicionador &gt;</t>
        </is>
      </c>
      <c r="L389" t="inlineStr">
        <is>
          <t>acondicionador</t>
        </is>
      </c>
      <c r="M389" t="inlineStr">
        <is>
          <t>profesional</t>
        </is>
      </c>
      <c r="N389" t="inlineStr">
        <is>
          <t>general</t>
        </is>
      </c>
      <c r="O389" t="inlineStr">
        <is>
          <t>https://www.farmacity.com/acondicionador-elvive-hidra-hialuronico-x-400-ml/p</t>
        </is>
      </c>
      <c r="P389">
        <f>TRIM(CLEAN(PROPER(D389)))</f>
        <v/>
      </c>
      <c r="Q389">
        <f>PROPER(TRIM(SUBSTITUTE(SUBSTITUTE(SUBSTITUTE(SUBSTITUTE(E389,"TRESEMME","Tresemme"),"HEAD &amp; SHOULDERS","Head &amp; Shoulders"),"ELVIVE","Elvive"),"FRUCTIS","Fructis")))</f>
        <v/>
      </c>
      <c r="R389">
        <f>COUNTIF($D$2:$D$10000,D389)&gt;1</f>
        <v/>
      </c>
      <c r="S389">
        <f>IF(H389=TRUE,"Disponible","No disponible")</f>
        <v/>
      </c>
      <c r="T389">
        <f>IF(AND(ISNUMBER(I389),I389&gt;0),ROUND(F389/I389,2),"Sin volumen")</f>
        <v/>
      </c>
      <c r="U389">
        <f>IF(F389&lt;5000,"Bajo",IF(F389&lt;15000,"Medio","Alto"))</f>
        <v/>
      </c>
    </row>
    <row r="390">
      <c r="A390" s="6" t="inlineStr">
        <is>
          <t>Farmacity</t>
        </is>
      </c>
      <c r="B390" s="6" t="n">
        <v>248553</v>
      </c>
      <c r="C390" s="6" t="n">
        <v>248553</v>
      </c>
      <c r="D390" s="6" t="inlineStr">
        <is>
          <t>Acondicionador Elvive Glycolic Cristal x 200 ml</t>
        </is>
      </c>
      <c r="E390" s="6" t="inlineStr">
        <is>
          <t>Elvive</t>
        </is>
      </c>
      <c r="F390" s="6" t="n">
        <v>7490</v>
      </c>
      <c r="G390" s="6" t="n">
        <v>7490</v>
      </c>
      <c r="H390" s="6" t="b">
        <v>1</v>
      </c>
      <c r="I390" s="6" t="n">
        <v>200</v>
      </c>
      <c r="J390" s="6" t="n">
        <v>37.45</v>
      </c>
      <c r="K390" s="6" t="inlineStr">
        <is>
          <t>&gt; Cuidado Capilar &gt; Shampoo Y Acondicionador &gt;</t>
        </is>
      </c>
      <c r="L390" s="6" t="inlineStr">
        <is>
          <t>acondicionador</t>
        </is>
      </c>
      <c r="M390" s="6" t="inlineStr">
        <is>
          <t>profesional</t>
        </is>
      </c>
      <c r="N390" s="6" t="inlineStr">
        <is>
          <t>general</t>
        </is>
      </c>
      <c r="O390" s="6" t="inlineStr">
        <is>
          <t>https://www.farmacity.com/acondicionador-elvive-glycolic-cristal-x-200-ml/p</t>
        </is>
      </c>
      <c r="P390" s="8">
        <f>TRIM(CLEAN(PROPER(D390)))</f>
        <v/>
      </c>
      <c r="Q390" s="8">
        <f>PROPER(TRIM(SUBSTITUTE(SUBSTITUTE(SUBSTITUTE(SUBSTITUTE(E390,"TRESEMME","Tresemme"),"HEAD &amp; SHOULDERS","Head &amp; Shoulders"),"ELVIVE","Elvive"),"FRUCTIS","Fructis")))</f>
        <v/>
      </c>
      <c r="R390" s="8">
        <f>COUNTIF($D$2:$D$10000,D390)&gt;1</f>
        <v/>
      </c>
      <c r="S390" s="8">
        <f>IF(H390=TRUE,"Disponible","No disponible")</f>
        <v/>
      </c>
      <c r="T390" s="8">
        <f>IF(AND(ISNUMBER(I390),I390&gt;0),ROUND(F390/I390,2),"Sin volumen")</f>
        <v/>
      </c>
      <c r="U390" s="8">
        <f>IF(F390&lt;5000,"Bajo",IF(F390&lt;15000,"Medio","Alto"))</f>
        <v/>
      </c>
    </row>
    <row r="391">
      <c r="A391" t="inlineStr">
        <is>
          <t>Farmacity</t>
        </is>
      </c>
      <c r="B391" t="n">
        <v>247951</v>
      </c>
      <c r="C391" t="n">
        <v>247951</v>
      </c>
      <c r="D391" t="inlineStr">
        <is>
          <t>Combo Pantene Biotinamina x 510 ml</t>
        </is>
      </c>
      <c r="E391" t="inlineStr">
        <is>
          <t>Pantene</t>
        </is>
      </c>
      <c r="F391" t="n">
        <v>54463</v>
      </c>
      <c r="G391" t="n">
        <v>54463</v>
      </c>
      <c r="H391" t="b">
        <v>1</v>
      </c>
      <c r="I391" t="n">
        <v>510</v>
      </c>
      <c r="J391" t="n">
        <v>106.7902</v>
      </c>
      <c r="K391" t="inlineStr">
        <is>
          <t>&gt; Cuidado Capilar &gt; Shampoo Y Acondicionador &gt;</t>
        </is>
      </c>
      <c r="L391" t="inlineStr">
        <is>
          <t>shampoo</t>
        </is>
      </c>
      <c r="M391" t="inlineStr">
        <is>
          <t>estandar</t>
        </is>
      </c>
      <c r="N391" t="inlineStr">
        <is>
          <t>general</t>
        </is>
      </c>
      <c r="O391" t="inlineStr">
        <is>
          <t>https://www.farmacity.com/combo-pantene-biotinamina-x-510-ml/p</t>
        </is>
      </c>
      <c r="P391">
        <f>TRIM(CLEAN(PROPER(D391)))</f>
        <v/>
      </c>
      <c r="Q391">
        <f>PROPER(TRIM(SUBSTITUTE(SUBSTITUTE(SUBSTITUTE(SUBSTITUTE(E391,"TRESEMME","Tresemme"),"HEAD &amp; SHOULDERS","Head &amp; Shoulders"),"ELVIVE","Elvive"),"FRUCTIS","Fructis")))</f>
        <v/>
      </c>
      <c r="R391">
        <f>COUNTIF($D$2:$D$10000,D391)&gt;1</f>
        <v/>
      </c>
      <c r="S391">
        <f>IF(H391=TRUE,"Disponible","No disponible")</f>
        <v/>
      </c>
      <c r="T391">
        <f>IF(AND(ISNUMBER(I391),I391&gt;0),ROUND(F391/I391,2),"Sin volumen")</f>
        <v/>
      </c>
      <c r="U391">
        <f>IF(F391&lt;5000,"Bajo",IF(F391&lt;15000,"Medio","Alto"))</f>
        <v/>
      </c>
    </row>
    <row r="392">
      <c r="A392" s="6" t="inlineStr">
        <is>
          <t>Farmacity</t>
        </is>
      </c>
      <c r="B392" s="6" t="n">
        <v>249148</v>
      </c>
      <c r="C392" s="6" t="n">
        <v>249148</v>
      </c>
      <c r="D392" s="6" t="inlineStr">
        <is>
          <t>Combo Capilar Alta Moda Super Oils</t>
        </is>
      </c>
      <c r="E392" s="6" t="inlineStr">
        <is>
          <t>Alta Moda</t>
        </is>
      </c>
      <c r="F392" s="6" t="n">
        <v>19214</v>
      </c>
      <c r="G392" s="6" t="n">
        <v>32023</v>
      </c>
      <c r="H392" s="6" t="b">
        <v>1</v>
      </c>
      <c r="I392" s="6" t="inlineStr"/>
      <c r="J392" s="6" t="inlineStr"/>
      <c r="K392" s="6" t="inlineStr">
        <is>
          <t>&gt; Cuidado Capilar &gt; Shampoo Y Acondicionador &gt;</t>
        </is>
      </c>
      <c r="L392" s="6" t="inlineStr">
        <is>
          <t>shampoo</t>
        </is>
      </c>
      <c r="M392" s="6" t="inlineStr">
        <is>
          <t>estandar</t>
        </is>
      </c>
      <c r="N392" s="6" t="inlineStr">
        <is>
          <t>general</t>
        </is>
      </c>
      <c r="O392" s="6" t="inlineStr">
        <is>
          <t>https://www.farmacity.com/combo-alta-moda-super-oils/p</t>
        </is>
      </c>
      <c r="P392" s="8">
        <f>TRIM(CLEAN(PROPER(D392)))</f>
        <v/>
      </c>
      <c r="Q392" s="8">
        <f>PROPER(TRIM(SUBSTITUTE(SUBSTITUTE(SUBSTITUTE(SUBSTITUTE(E392,"TRESEMME","Tresemme"),"HEAD &amp; SHOULDERS","Head &amp; Shoulders"),"ELVIVE","Elvive"),"FRUCTIS","Fructis")))</f>
        <v/>
      </c>
      <c r="R392" s="8">
        <f>COUNTIF($D$2:$D$10000,D392)&gt;1</f>
        <v/>
      </c>
      <c r="S392" s="8">
        <f>IF(H392=TRUE,"Disponible","No disponible")</f>
        <v/>
      </c>
      <c r="T392" s="8">
        <f>IF(AND(ISNUMBER(I392),I392&gt;0),ROUND(F392/I392,2),"Sin volumen")</f>
        <v/>
      </c>
      <c r="U392" s="8">
        <f>IF(F392&lt;5000,"Bajo",IF(F392&lt;15000,"Medio","Alto"))</f>
        <v/>
      </c>
    </row>
    <row r="393">
      <c r="A393" t="inlineStr">
        <is>
          <t>Farmacity</t>
        </is>
      </c>
      <c r="B393" t="n">
        <v>246855</v>
      </c>
      <c r="C393" t="n">
        <v>246855</v>
      </c>
      <c r="D393" t="inlineStr">
        <is>
          <t>Acondicionador Ogx Rosemary Mint x 385 ml</t>
        </is>
      </c>
      <c r="E393" t="inlineStr">
        <is>
          <t>OGX</t>
        </is>
      </c>
      <c r="F393" t="n">
        <v>27154</v>
      </c>
      <c r="G393" t="n">
        <v>27154</v>
      </c>
      <c r="H393" t="b">
        <v>1</v>
      </c>
      <c r="I393" t="n">
        <v>385</v>
      </c>
      <c r="J393" t="n">
        <v>70.5299</v>
      </c>
      <c r="K393" t="inlineStr">
        <is>
          <t>&gt; Cuidado Capilar &gt; Shampoo Y Acondicionador &gt;</t>
        </is>
      </c>
      <c r="L393" t="inlineStr">
        <is>
          <t>acondicionador</t>
        </is>
      </c>
      <c r="M393" t="inlineStr">
        <is>
          <t>estandar</t>
        </is>
      </c>
      <c r="N393" t="inlineStr">
        <is>
          <t>general</t>
        </is>
      </c>
      <c r="O393" t="inlineStr">
        <is>
          <t>https://www.farmacity.com/acondicionador-ogx-rosemary-mint-x-385-ml/p</t>
        </is>
      </c>
      <c r="P393">
        <f>TRIM(CLEAN(PROPER(D393)))</f>
        <v/>
      </c>
      <c r="Q393">
        <f>PROPER(TRIM(SUBSTITUTE(SUBSTITUTE(SUBSTITUTE(SUBSTITUTE(E393,"TRESEMME","Tresemme"),"HEAD &amp; SHOULDERS","Head &amp; Shoulders"),"ELVIVE","Elvive"),"FRUCTIS","Fructis")))</f>
        <v/>
      </c>
      <c r="R393">
        <f>COUNTIF($D$2:$D$10000,D393)&gt;1</f>
        <v/>
      </c>
      <c r="S393">
        <f>IF(H393=TRUE,"Disponible","No disponible")</f>
        <v/>
      </c>
      <c r="T393">
        <f>IF(AND(ISNUMBER(I393),I393&gt;0),ROUND(F393/I393,2),"Sin volumen")</f>
        <v/>
      </c>
      <c r="U393">
        <f>IF(F393&lt;5000,"Bajo",IF(F393&lt;15000,"Medio","Alto"))</f>
        <v/>
      </c>
    </row>
    <row r="394">
      <c r="A394" s="6" t="inlineStr">
        <is>
          <t>Farmacity</t>
        </is>
      </c>
      <c r="B394" s="6" t="n">
        <v>243743</v>
      </c>
      <c r="C394" s="6" t="n">
        <v>243743</v>
      </c>
      <c r="D394" s="6" t="inlineStr">
        <is>
          <t>Combo Capilatis Keratina Hair Therapy</t>
        </is>
      </c>
      <c r="E394" s="6" t="inlineStr">
        <is>
          <t>Capilatis</t>
        </is>
      </c>
      <c r="F394" s="6" t="n">
        <v>22000</v>
      </c>
      <c r="G394" s="6" t="n">
        <v>27500</v>
      </c>
      <c r="H394" s="6" t="b">
        <v>1</v>
      </c>
      <c r="I394" s="6" t="inlineStr"/>
      <c r="J394" s="6" t="inlineStr"/>
      <c r="K394" s="6" t="inlineStr">
        <is>
          <t>&gt; Cuidado Capilar &gt; Shampoo Y Acondicionador &gt;</t>
        </is>
      </c>
      <c r="L394" s="6" t="inlineStr">
        <is>
          <t>shampoo</t>
        </is>
      </c>
      <c r="M394" s="6" t="inlineStr">
        <is>
          <t>estandar</t>
        </is>
      </c>
      <c r="N394" s="6" t="inlineStr">
        <is>
          <t>tratado</t>
        </is>
      </c>
      <c r="O394" s="6" t="inlineStr">
        <is>
          <t>https://www.farmacity.com/combo-capilatis-kerattina-hair-herapy-243743/p</t>
        </is>
      </c>
      <c r="P394" s="8">
        <f>TRIM(CLEAN(PROPER(D394)))</f>
        <v/>
      </c>
      <c r="Q394" s="8">
        <f>PROPER(TRIM(SUBSTITUTE(SUBSTITUTE(SUBSTITUTE(SUBSTITUTE(E394,"TRESEMME","Tresemme"),"HEAD &amp; SHOULDERS","Head &amp; Shoulders"),"ELVIVE","Elvive"),"FRUCTIS","Fructis")))</f>
        <v/>
      </c>
      <c r="R394" s="8">
        <f>COUNTIF($D$2:$D$10000,D394)&gt;1</f>
        <v/>
      </c>
      <c r="S394" s="8">
        <f>IF(H394=TRUE,"Disponible","No disponible")</f>
        <v/>
      </c>
      <c r="T394" s="8">
        <f>IF(AND(ISNUMBER(I394),I394&gt;0),ROUND(F394/I394,2),"Sin volumen")</f>
        <v/>
      </c>
      <c r="U394" s="8">
        <f>IF(F394&lt;5000,"Bajo",IF(F394&lt;15000,"Medio","Alto"))</f>
        <v/>
      </c>
    </row>
    <row r="395">
      <c r="A395" t="inlineStr">
        <is>
          <t>Farmacity</t>
        </is>
      </c>
      <c r="B395" t="n">
        <v>248755</v>
      </c>
      <c r="C395" t="n">
        <v>248755</v>
      </c>
      <c r="D395" t="inlineStr">
        <is>
          <t>Bálsamo Biferdil Óleo de Argan Nutrición Intensa x 100 ml</t>
        </is>
      </c>
      <c r="E395" t="inlineStr">
        <is>
          <t>Biferdil</t>
        </is>
      </c>
      <c r="F395" t="n">
        <v>9612</v>
      </c>
      <c r="G395" t="n">
        <v>9612</v>
      </c>
      <c r="H395" t="b">
        <v>1</v>
      </c>
      <c r="I395" t="n">
        <v>100</v>
      </c>
      <c r="J395" t="n">
        <v>96.12</v>
      </c>
      <c r="K395" t="inlineStr">
        <is>
          <t>&gt; Cuidado Capilar &gt; Reparación Y Tratamiento &gt;</t>
        </is>
      </c>
      <c r="L395" t="inlineStr">
        <is>
          <t>shampoo</t>
        </is>
      </c>
      <c r="M395" t="inlineStr">
        <is>
          <t>estandar</t>
        </is>
      </c>
      <c r="N395" t="inlineStr">
        <is>
          <t>general</t>
        </is>
      </c>
      <c r="O395" t="inlineStr">
        <is>
          <t>https://www.farmacity.com/balsamo-biferdil-oleo-de-argan-minitalla-x-100-ml/p</t>
        </is>
      </c>
      <c r="P395">
        <f>TRIM(CLEAN(PROPER(D395)))</f>
        <v/>
      </c>
      <c r="Q395">
        <f>PROPER(TRIM(SUBSTITUTE(SUBSTITUTE(SUBSTITUTE(SUBSTITUTE(E395,"TRESEMME","Tresemme"),"HEAD &amp; SHOULDERS","Head &amp; Shoulders"),"ELVIVE","Elvive"),"FRUCTIS","Fructis")))</f>
        <v/>
      </c>
      <c r="R395">
        <f>COUNTIF($D$2:$D$10000,D395)&gt;1</f>
        <v/>
      </c>
      <c r="S395">
        <f>IF(H395=TRUE,"Disponible","No disponible")</f>
        <v/>
      </c>
      <c r="T395">
        <f>IF(AND(ISNUMBER(I395),I395&gt;0),ROUND(F395/I395,2),"Sin volumen")</f>
        <v/>
      </c>
      <c r="U395">
        <f>IF(F395&lt;5000,"Bajo",IF(F395&lt;15000,"Medio","Alto"))</f>
        <v/>
      </c>
    </row>
    <row r="396">
      <c r="A396" s="6" t="inlineStr">
        <is>
          <t>Farmacity</t>
        </is>
      </c>
      <c r="B396" s="6" t="n">
        <v>250352</v>
      </c>
      <c r="C396" s="6" t="n">
        <v>250352</v>
      </c>
      <c r="D396" s="6" t="inlineStr">
        <is>
          <t>Acondicionador Elvive Collagen Lifter x 200 ml</t>
        </is>
      </c>
      <c r="E396" s="6" t="inlineStr">
        <is>
          <t>Elvive</t>
        </is>
      </c>
      <c r="F396" s="6" t="n">
        <v>7490</v>
      </c>
      <c r="G396" s="6" t="n">
        <v>7490</v>
      </c>
      <c r="H396" s="6" t="b">
        <v>1</v>
      </c>
      <c r="I396" s="6" t="n">
        <v>200</v>
      </c>
      <c r="J396" s="6" t="n">
        <v>37.45</v>
      </c>
      <c r="K396" s="6" t="inlineStr">
        <is>
          <t>&gt; Cuidado Capilar &gt; Shampoo Y Acondicionador &gt;</t>
        </is>
      </c>
      <c r="L396" s="6" t="inlineStr">
        <is>
          <t>acondicionador</t>
        </is>
      </c>
      <c r="M396" s="6" t="inlineStr">
        <is>
          <t>profesional</t>
        </is>
      </c>
      <c r="N396" s="6" t="inlineStr">
        <is>
          <t>general</t>
        </is>
      </c>
      <c r="O396" s="6" t="inlineStr">
        <is>
          <t>https://www.farmacity.com/acondicionador-elvive-colageno-lifter-x-200-ml/p</t>
        </is>
      </c>
      <c r="P396" s="8">
        <f>TRIM(CLEAN(PROPER(D396)))</f>
        <v/>
      </c>
      <c r="Q396" s="8">
        <f>PROPER(TRIM(SUBSTITUTE(SUBSTITUTE(SUBSTITUTE(SUBSTITUTE(E396,"TRESEMME","Tresemme"),"HEAD &amp; SHOULDERS","Head &amp; Shoulders"),"ELVIVE","Elvive"),"FRUCTIS","Fructis")))</f>
        <v/>
      </c>
      <c r="R396" s="8">
        <f>COUNTIF($D$2:$D$10000,D396)&gt;1</f>
        <v/>
      </c>
      <c r="S396" s="8">
        <f>IF(H396=TRUE,"Disponible","No disponible")</f>
        <v/>
      </c>
      <c r="T396" s="8">
        <f>IF(AND(ISNUMBER(I396),I396&gt;0),ROUND(F396/I396,2),"Sin volumen")</f>
        <v/>
      </c>
      <c r="U396" s="8">
        <f>IF(F396&lt;5000,"Bajo",IF(F396&lt;15000,"Medio","Alto"))</f>
        <v/>
      </c>
    </row>
    <row r="397">
      <c r="A397" t="inlineStr">
        <is>
          <t>Farmacity</t>
        </is>
      </c>
      <c r="B397" t="n">
        <v>250313</v>
      </c>
      <c r="C397" t="n">
        <v>250313</v>
      </c>
      <c r="D397" t="inlineStr">
        <is>
          <t>Acondicionador Kerasys Oriental Premium x 200 ml</t>
        </is>
      </c>
      <c r="E397" t="inlineStr">
        <is>
          <t>Kerasys</t>
        </is>
      </c>
      <c r="F397" t="n">
        <v>34900</v>
      </c>
      <c r="G397" t="n">
        <v>34900</v>
      </c>
      <c r="H397" t="b">
        <v>1</v>
      </c>
      <c r="I397" t="n">
        <v>200</v>
      </c>
      <c r="J397" t="n">
        <v>174.5</v>
      </c>
      <c r="K397" t="inlineStr">
        <is>
          <t>&gt; Cuidado Capilar &gt; Shampoo Y Acondicionador &gt;</t>
        </is>
      </c>
      <c r="L397" t="inlineStr">
        <is>
          <t>acondicionador</t>
        </is>
      </c>
      <c r="M397" t="inlineStr">
        <is>
          <t>estandar</t>
        </is>
      </c>
      <c r="N397" t="inlineStr">
        <is>
          <t>general</t>
        </is>
      </c>
      <c r="O397" t="inlineStr">
        <is>
          <t>https://www.farmacity.com/acondicionador-kerasys-oriental-premium-x-200-ml/p</t>
        </is>
      </c>
      <c r="P397">
        <f>TRIM(CLEAN(PROPER(D397)))</f>
        <v/>
      </c>
      <c r="Q397">
        <f>PROPER(TRIM(SUBSTITUTE(SUBSTITUTE(SUBSTITUTE(SUBSTITUTE(E397,"TRESEMME","Tresemme"),"HEAD &amp; SHOULDERS","Head &amp; Shoulders"),"ELVIVE","Elvive"),"FRUCTIS","Fructis")))</f>
        <v/>
      </c>
      <c r="R397">
        <f>COUNTIF($D$2:$D$10000,D397)&gt;1</f>
        <v/>
      </c>
      <c r="S397">
        <f>IF(H397=TRUE,"Disponible","No disponible")</f>
        <v/>
      </c>
      <c r="T397">
        <f>IF(AND(ISNUMBER(I397),I397&gt;0),ROUND(F397/I397,2),"Sin volumen")</f>
        <v/>
      </c>
      <c r="U397">
        <f>IF(F397&lt;5000,"Bajo",IF(F397&lt;15000,"Medio","Alto"))</f>
        <v/>
      </c>
    </row>
    <row r="398">
      <c r="A398" s="6" t="inlineStr">
        <is>
          <t>Farmacity</t>
        </is>
      </c>
      <c r="B398" s="6" t="n">
        <v>248555</v>
      </c>
      <c r="C398" s="6" t="n">
        <v>248555</v>
      </c>
      <c r="D398" s="6" t="inlineStr">
        <is>
          <t>Acondicionador Elvive Glycolic Cristal x 750 ml</t>
        </is>
      </c>
      <c r="E398" s="6" t="inlineStr">
        <is>
          <t>Elvive</t>
        </is>
      </c>
      <c r="F398" s="6" t="n">
        <v>19990</v>
      </c>
      <c r="G398" s="6" t="n">
        <v>19990</v>
      </c>
      <c r="H398" s="6" t="b">
        <v>1</v>
      </c>
      <c r="I398" s="6" t="n">
        <v>750</v>
      </c>
      <c r="J398" s="6" t="n">
        <v>26.6533</v>
      </c>
      <c r="K398" s="6" t="inlineStr">
        <is>
          <t>&gt; Cuidado Capilar &gt; Shampoo Y Acondicionador &gt;</t>
        </is>
      </c>
      <c r="L398" s="6" t="inlineStr">
        <is>
          <t>acondicionador</t>
        </is>
      </c>
      <c r="M398" s="6" t="inlineStr">
        <is>
          <t>profesional</t>
        </is>
      </c>
      <c r="N398" s="6" t="inlineStr">
        <is>
          <t>general</t>
        </is>
      </c>
      <c r="O398" s="6" t="inlineStr">
        <is>
          <t>https://www.farmacity.com/acondicionador-elvive-glycolic-cristal-x-750-ml/p</t>
        </is>
      </c>
      <c r="P398" s="8">
        <f>TRIM(CLEAN(PROPER(D398)))</f>
        <v/>
      </c>
      <c r="Q398" s="8">
        <f>PROPER(TRIM(SUBSTITUTE(SUBSTITUTE(SUBSTITUTE(SUBSTITUTE(E398,"TRESEMME","Tresemme"),"HEAD &amp; SHOULDERS","Head &amp; Shoulders"),"ELVIVE","Elvive"),"FRUCTIS","Fructis")))</f>
        <v/>
      </c>
      <c r="R398" s="8">
        <f>COUNTIF($D$2:$D$10000,D398)&gt;1</f>
        <v/>
      </c>
      <c r="S398" s="8">
        <f>IF(H398=TRUE,"Disponible","No disponible")</f>
        <v/>
      </c>
      <c r="T398" s="8">
        <f>IF(AND(ISNUMBER(I398),I398&gt;0),ROUND(F398/I398,2),"Sin volumen")</f>
        <v/>
      </c>
      <c r="U398" s="8">
        <f>IF(F398&lt;5000,"Bajo",IF(F398&lt;15000,"Medio","Alto"))</f>
        <v/>
      </c>
    </row>
    <row r="399">
      <c r="A399" t="inlineStr">
        <is>
          <t>Farmacity</t>
        </is>
      </c>
      <c r="B399" t="n">
        <v>249372</v>
      </c>
      <c r="C399" t="n">
        <v>249372</v>
      </c>
      <c r="D399" t="inlineStr">
        <is>
          <t>Acondicionador Alta Moda Keratin Impact x 300 ml</t>
        </is>
      </c>
      <c r="E399" t="inlineStr">
        <is>
          <t>Alta Moda</t>
        </is>
      </c>
      <c r="F399" t="n">
        <v>5692</v>
      </c>
      <c r="G399" t="n">
        <v>5692</v>
      </c>
      <c r="H399" t="b">
        <v>1</v>
      </c>
      <c r="I399" t="n">
        <v>300</v>
      </c>
      <c r="J399" t="n">
        <v>18.9733</v>
      </c>
      <c r="K399" t="inlineStr">
        <is>
          <t>&gt; Cuidado Capilar &gt; Shampoo Y Acondicionador &gt;</t>
        </is>
      </c>
      <c r="L399" t="inlineStr">
        <is>
          <t>acondicionador</t>
        </is>
      </c>
      <c r="M399" t="inlineStr">
        <is>
          <t>estandar</t>
        </is>
      </c>
      <c r="N399" t="inlineStr">
        <is>
          <t>general</t>
        </is>
      </c>
      <c r="O399" t="inlineStr">
        <is>
          <t>https://www.farmacity.com/acondicionador-alta-moda-keratin-impact-x-300-ml/p</t>
        </is>
      </c>
      <c r="P399">
        <f>TRIM(CLEAN(PROPER(D399)))</f>
        <v/>
      </c>
      <c r="Q399">
        <f>PROPER(TRIM(SUBSTITUTE(SUBSTITUTE(SUBSTITUTE(SUBSTITUTE(E399,"TRESEMME","Tresemme"),"HEAD &amp; SHOULDERS","Head &amp; Shoulders"),"ELVIVE","Elvive"),"FRUCTIS","Fructis")))</f>
        <v/>
      </c>
      <c r="R399">
        <f>COUNTIF($D$2:$D$10000,D399)&gt;1</f>
        <v/>
      </c>
      <c r="S399">
        <f>IF(H399=TRUE,"Disponible","No disponible")</f>
        <v/>
      </c>
      <c r="T399">
        <f>IF(AND(ISNUMBER(I399),I399&gt;0),ROUND(F399/I399,2),"Sin volumen")</f>
        <v/>
      </c>
      <c r="U399">
        <f>IF(F399&lt;5000,"Bajo",IF(F399&lt;15000,"Medio","Alto"))</f>
        <v/>
      </c>
    </row>
    <row r="400">
      <c r="A400" s="6" t="inlineStr">
        <is>
          <t>Farmacity</t>
        </is>
      </c>
      <c r="B400" s="6" t="n">
        <v>250354</v>
      </c>
      <c r="C400" s="6" t="n">
        <v>250354</v>
      </c>
      <c r="D400" s="6" t="inlineStr">
        <is>
          <t>Acondicionador Elvive Collagen Lifter x 750 ml</t>
        </is>
      </c>
      <c r="E400" s="6" t="inlineStr">
        <is>
          <t>Elvive</t>
        </is>
      </c>
      <c r="F400" s="6" t="n">
        <v>19990</v>
      </c>
      <c r="G400" s="6" t="n">
        <v>19990</v>
      </c>
      <c r="H400" s="6" t="b">
        <v>1</v>
      </c>
      <c r="I400" s="6" t="n">
        <v>750</v>
      </c>
      <c r="J400" s="6" t="n">
        <v>26.6533</v>
      </c>
      <c r="K400" s="6" t="inlineStr">
        <is>
          <t>&gt; Cuidado Capilar &gt; Shampoo Y Acondicionador &gt;</t>
        </is>
      </c>
      <c r="L400" s="6" t="inlineStr">
        <is>
          <t>acondicionador</t>
        </is>
      </c>
      <c r="M400" s="6" t="inlineStr">
        <is>
          <t>profesional</t>
        </is>
      </c>
      <c r="N400" s="6" t="inlineStr">
        <is>
          <t>general</t>
        </is>
      </c>
      <c r="O400" s="6" t="inlineStr">
        <is>
          <t>https://www.farmacity.com/acondicionador-elvive-colageno-lifter-x-750-ml/p</t>
        </is>
      </c>
      <c r="P400" s="8">
        <f>TRIM(CLEAN(PROPER(D400)))</f>
        <v/>
      </c>
      <c r="Q400" s="8">
        <f>PROPER(TRIM(SUBSTITUTE(SUBSTITUTE(SUBSTITUTE(SUBSTITUTE(E400,"TRESEMME","Tresemme"),"HEAD &amp; SHOULDERS","Head &amp; Shoulders"),"ELVIVE","Elvive"),"FRUCTIS","Fructis")))</f>
        <v/>
      </c>
      <c r="R400" s="8">
        <f>COUNTIF($D$2:$D$10000,D400)&gt;1</f>
        <v/>
      </c>
      <c r="S400" s="8">
        <f>IF(H400=TRUE,"Disponible","No disponible")</f>
        <v/>
      </c>
      <c r="T400" s="8">
        <f>IF(AND(ISNUMBER(I400),I400&gt;0),ROUND(F400/I400,2),"Sin volumen")</f>
        <v/>
      </c>
      <c r="U400" s="8">
        <f>IF(F400&lt;5000,"Bajo",IF(F400&lt;15000,"Medio","Alto"))</f>
        <v/>
      </c>
    </row>
    <row r="401">
      <c r="A401" t="inlineStr">
        <is>
          <t>Farmacity</t>
        </is>
      </c>
      <c r="B401" t="n">
        <v>250353</v>
      </c>
      <c r="C401" t="n">
        <v>250353</v>
      </c>
      <c r="D401" t="inlineStr">
        <is>
          <t>Acondicionador Elvive Collagen Lifter x 400 ml</t>
        </is>
      </c>
      <c r="E401" t="inlineStr">
        <is>
          <t>Elvive</t>
        </is>
      </c>
      <c r="F401" t="n">
        <v>12490</v>
      </c>
      <c r="G401" t="n">
        <v>12490</v>
      </c>
      <c r="H401" t="b">
        <v>1</v>
      </c>
      <c r="I401" t="n">
        <v>400</v>
      </c>
      <c r="J401" t="n">
        <v>31.225</v>
      </c>
      <c r="K401" t="inlineStr">
        <is>
          <t>&gt; Cuidado Capilar &gt; Shampoo Y Acondicionador &gt;</t>
        </is>
      </c>
      <c r="L401" t="inlineStr">
        <is>
          <t>acondicionador</t>
        </is>
      </c>
      <c r="M401" t="inlineStr">
        <is>
          <t>profesional</t>
        </is>
      </c>
      <c r="N401" t="inlineStr">
        <is>
          <t>general</t>
        </is>
      </c>
      <c r="O401" t="inlineStr">
        <is>
          <t>https://www.farmacity.com/acondicionador-elvive-colageno-lifter-x-400-ml/p</t>
        </is>
      </c>
      <c r="P401">
        <f>TRIM(CLEAN(PROPER(D401)))</f>
        <v/>
      </c>
      <c r="Q401">
        <f>PROPER(TRIM(SUBSTITUTE(SUBSTITUTE(SUBSTITUTE(SUBSTITUTE(E401,"TRESEMME","Tresemme"),"HEAD &amp; SHOULDERS","Head &amp; Shoulders"),"ELVIVE","Elvive"),"FRUCTIS","Fructis")))</f>
        <v/>
      </c>
      <c r="R401">
        <f>COUNTIF($D$2:$D$10000,D401)&gt;1</f>
        <v/>
      </c>
      <c r="S401">
        <f>IF(H401=TRUE,"Disponible","No disponible")</f>
        <v/>
      </c>
      <c r="T401">
        <f>IF(AND(ISNUMBER(I401),I401&gt;0),ROUND(F401/I401,2),"Sin volumen")</f>
        <v/>
      </c>
      <c r="U401">
        <f>IF(F401&lt;5000,"Bajo",IF(F401&lt;15000,"Medio","Alto"))</f>
        <v/>
      </c>
    </row>
    <row r="402">
      <c r="A402" s="6" t="inlineStr">
        <is>
          <t>Farmacity</t>
        </is>
      </c>
      <c r="B402" s="6" t="n">
        <v>249371</v>
      </c>
      <c r="C402" s="6" t="n">
        <v>249371</v>
      </c>
      <c r="D402" s="6" t="inlineStr">
        <is>
          <t>Crema Tratamiento Alta Moda Keratin Impact x 300 g</t>
        </is>
      </c>
      <c r="E402" s="6" t="inlineStr">
        <is>
          <t>Alta Moda</t>
        </is>
      </c>
      <c r="F402" s="6" t="n">
        <v>7273</v>
      </c>
      <c r="G402" s="6" t="n">
        <v>7273</v>
      </c>
      <c r="H402" s="6" t="b">
        <v>1</v>
      </c>
      <c r="I402" s="6" t="n">
        <v>300</v>
      </c>
      <c r="J402" s="6" t="n">
        <v>24.2433</v>
      </c>
      <c r="K402" s="6" t="inlineStr">
        <is>
          <t>&gt; Cuidado Capilar &gt; Reparación Y Tratamiento &gt;</t>
        </is>
      </c>
      <c r="L402" s="6" t="inlineStr">
        <is>
          <t>tratamiento</t>
        </is>
      </c>
      <c r="M402" s="6" t="inlineStr">
        <is>
          <t>estandar</t>
        </is>
      </c>
      <c r="N402" s="6" t="inlineStr">
        <is>
          <t>general</t>
        </is>
      </c>
      <c r="O402" s="6" t="inlineStr">
        <is>
          <t>https://www.farmacity.com/crema-tratamiento-alta-moda-keratin-impact-x-300-g/p</t>
        </is>
      </c>
      <c r="P402" s="8">
        <f>TRIM(CLEAN(PROPER(D402)))</f>
        <v/>
      </c>
      <c r="Q402" s="8">
        <f>PROPER(TRIM(SUBSTITUTE(SUBSTITUTE(SUBSTITUTE(SUBSTITUTE(E402,"TRESEMME","Tresemme"),"HEAD &amp; SHOULDERS","Head &amp; Shoulders"),"ELVIVE","Elvive"),"FRUCTIS","Fructis")))</f>
        <v/>
      </c>
      <c r="R402" s="8">
        <f>COUNTIF($D$2:$D$10000,D402)&gt;1</f>
        <v/>
      </c>
      <c r="S402" s="8">
        <f>IF(H402=TRUE,"Disponible","No disponible")</f>
        <v/>
      </c>
      <c r="T402" s="8">
        <f>IF(AND(ISNUMBER(I402),I402&gt;0),ROUND(F402/I402,2),"Sin volumen")</f>
        <v/>
      </c>
      <c r="U402" s="8">
        <f>IF(F402&lt;5000,"Bajo",IF(F402&lt;15000,"Medio","Alto"))</f>
        <v/>
      </c>
    </row>
    <row r="403">
      <c r="A403" t="inlineStr">
        <is>
          <t>Farmacity</t>
        </is>
      </c>
      <c r="B403" t="n">
        <v>247126</v>
      </c>
      <c r="C403" t="n">
        <v>247126</v>
      </c>
      <c r="D403" t="inlineStr">
        <is>
          <t>Acondicionador Pantene Pro-V Restauración x 200 ml</t>
        </is>
      </c>
      <c r="E403" t="inlineStr">
        <is>
          <t>Pantene</t>
        </is>
      </c>
      <c r="F403" t="n">
        <v>4124</v>
      </c>
      <c r="G403" t="n">
        <v>6345</v>
      </c>
      <c r="H403" t="b">
        <v>1</v>
      </c>
      <c r="I403" t="n">
        <v>200</v>
      </c>
      <c r="J403" t="n">
        <v>20.62</v>
      </c>
      <c r="K403" t="inlineStr">
        <is>
          <t>&gt; Cuidado Capilar &gt; Shampoo Y Acondicionador &gt;</t>
        </is>
      </c>
      <c r="L403" t="inlineStr">
        <is>
          <t>acondicionador</t>
        </is>
      </c>
      <c r="M403" t="inlineStr">
        <is>
          <t>profesional</t>
        </is>
      </c>
      <c r="N403" t="inlineStr">
        <is>
          <t>general</t>
        </is>
      </c>
      <c r="O403" t="inlineStr">
        <is>
          <t>https://www.farmacity.com/acondicionador-pantene-pro-v-restauracion-x-200-ml/p</t>
        </is>
      </c>
      <c r="P403">
        <f>TRIM(CLEAN(PROPER(D403)))</f>
        <v/>
      </c>
      <c r="Q403">
        <f>PROPER(TRIM(SUBSTITUTE(SUBSTITUTE(SUBSTITUTE(SUBSTITUTE(E403,"TRESEMME","Tresemme"),"HEAD &amp; SHOULDERS","Head &amp; Shoulders"),"ELVIVE","Elvive"),"FRUCTIS","Fructis")))</f>
        <v/>
      </c>
      <c r="R403">
        <f>COUNTIF($D$2:$D$10000,D403)&gt;1</f>
        <v/>
      </c>
      <c r="S403">
        <f>IF(H403=TRUE,"Disponible","No disponible")</f>
        <v/>
      </c>
      <c r="T403">
        <f>IF(AND(ISNUMBER(I403),I403&gt;0),ROUND(F403/I403,2),"Sin volumen")</f>
        <v/>
      </c>
      <c r="U403">
        <f>IF(F403&lt;5000,"Bajo",IF(F403&lt;15000,"Medio","Alto"))</f>
        <v/>
      </c>
    </row>
    <row r="404">
      <c r="A404" s="6" t="inlineStr">
        <is>
          <t>Farmacity</t>
        </is>
      </c>
      <c r="B404" s="6" t="n">
        <v>246663</v>
      </c>
      <c r="C404" s="6" t="n">
        <v>246663</v>
      </c>
      <c r="D404" s="6" t="inlineStr">
        <is>
          <t>Acondicionador Herbal Essences Rosemary x 400 ml</t>
        </is>
      </c>
      <c r="E404" s="6" t="inlineStr">
        <is>
          <t>Herbal Essences</t>
        </is>
      </c>
      <c r="F404" s="6" t="n">
        <v>10574</v>
      </c>
      <c r="G404" s="6" t="n">
        <v>16267</v>
      </c>
      <c r="H404" s="6" t="b">
        <v>1</v>
      </c>
      <c r="I404" s="6" t="n">
        <v>400</v>
      </c>
      <c r="J404" s="6" t="n">
        <v>26.435</v>
      </c>
      <c r="K404" s="6" t="inlineStr">
        <is>
          <t>&gt; Cuidado Capilar &gt; Shampoo Y Acondicionador &gt;</t>
        </is>
      </c>
      <c r="L404" s="6" t="inlineStr">
        <is>
          <t>acondicionador</t>
        </is>
      </c>
      <c r="M404" s="6" t="inlineStr">
        <is>
          <t>estandar</t>
        </is>
      </c>
      <c r="N404" s="6" t="inlineStr">
        <is>
          <t>general</t>
        </is>
      </c>
      <c r="O404" s="6" t="inlineStr">
        <is>
          <t>https://www.farmacity.com/acondicionador-herbal-essences-rosemary-x-400-ml/p</t>
        </is>
      </c>
      <c r="P404" s="8">
        <f>TRIM(CLEAN(PROPER(D404)))</f>
        <v/>
      </c>
      <c r="Q404" s="8">
        <f>PROPER(TRIM(SUBSTITUTE(SUBSTITUTE(SUBSTITUTE(SUBSTITUTE(E404,"TRESEMME","Tresemme"),"HEAD &amp; SHOULDERS","Head &amp; Shoulders"),"ELVIVE","Elvive"),"FRUCTIS","Fructis")))</f>
        <v/>
      </c>
      <c r="R404" s="8">
        <f>COUNTIF($D$2:$D$10000,D404)&gt;1</f>
        <v/>
      </c>
      <c r="S404" s="8">
        <f>IF(H404=TRUE,"Disponible","No disponible")</f>
        <v/>
      </c>
      <c r="T404" s="8">
        <f>IF(AND(ISNUMBER(I404),I404&gt;0),ROUND(F404/I404,2),"Sin volumen")</f>
        <v/>
      </c>
      <c r="U404" s="8">
        <f>IF(F404&lt;5000,"Bajo",IF(F404&lt;15000,"Medio","Alto"))</f>
        <v/>
      </c>
    </row>
    <row r="405">
      <c r="A405" t="inlineStr">
        <is>
          <t>Farmacity</t>
        </is>
      </c>
      <c r="B405" t="n">
        <v>246639</v>
      </c>
      <c r="C405" t="n">
        <v>246639</v>
      </c>
      <c r="D405" t="inlineStr">
        <is>
          <t>Acondicionador Herbal Essences Shine x 400 ml</t>
        </is>
      </c>
      <c r="E405" t="inlineStr">
        <is>
          <t>Herbal Essences</t>
        </is>
      </c>
      <c r="F405" t="n">
        <v>10574</v>
      </c>
      <c r="G405" t="n">
        <v>16267</v>
      </c>
      <c r="H405" t="b">
        <v>1</v>
      </c>
      <c r="I405" t="n">
        <v>400</v>
      </c>
      <c r="J405" t="n">
        <v>26.435</v>
      </c>
      <c r="K405" t="inlineStr">
        <is>
          <t>&gt; Cuidado Capilar &gt; Shampoo Y Acondicionador &gt;</t>
        </is>
      </c>
      <c r="L405" t="inlineStr">
        <is>
          <t>acondicionador</t>
        </is>
      </c>
      <c r="M405" t="inlineStr">
        <is>
          <t>estandar</t>
        </is>
      </c>
      <c r="N405" t="inlineStr">
        <is>
          <t>general</t>
        </is>
      </c>
      <c r="O405" t="inlineStr">
        <is>
          <t>https://www.farmacity.com/acondicionador-herbal-essences-shine-x-400-ml/p</t>
        </is>
      </c>
      <c r="P405">
        <f>TRIM(CLEAN(PROPER(D405)))</f>
        <v/>
      </c>
      <c r="Q405">
        <f>PROPER(TRIM(SUBSTITUTE(SUBSTITUTE(SUBSTITUTE(SUBSTITUTE(E405,"TRESEMME","Tresemme"),"HEAD &amp; SHOULDERS","Head &amp; Shoulders"),"ELVIVE","Elvive"),"FRUCTIS","Fructis")))</f>
        <v/>
      </c>
      <c r="R405">
        <f>COUNTIF($D$2:$D$10000,D405)&gt;1</f>
        <v/>
      </c>
      <c r="S405">
        <f>IF(H405=TRUE,"Disponible","No disponible")</f>
        <v/>
      </c>
      <c r="T405">
        <f>IF(AND(ISNUMBER(I405),I405&gt;0),ROUND(F405/I405,2),"Sin volumen")</f>
        <v/>
      </c>
      <c r="U405">
        <f>IF(F405&lt;5000,"Bajo",IF(F405&lt;15000,"Medio","Alto"))</f>
        <v/>
      </c>
    </row>
    <row r="406">
      <c r="A406" s="6" t="inlineStr">
        <is>
          <t>Farmacity</t>
        </is>
      </c>
      <c r="B406" s="6" t="n">
        <v>246637</v>
      </c>
      <c r="C406" s="6" t="n">
        <v>246637</v>
      </c>
      <c r="D406" s="6" t="inlineStr">
        <is>
          <t>Acondicionador Herbal Essences Pomelo x 400 ml</t>
        </is>
      </c>
      <c r="E406" s="6" t="inlineStr">
        <is>
          <t>Herbal Essences</t>
        </is>
      </c>
      <c r="F406" s="6" t="n">
        <v>10574</v>
      </c>
      <c r="G406" s="6" t="n">
        <v>16267</v>
      </c>
      <c r="H406" s="6" t="b">
        <v>1</v>
      </c>
      <c r="I406" s="6" t="n">
        <v>400</v>
      </c>
      <c r="J406" s="6" t="n">
        <v>26.435</v>
      </c>
      <c r="K406" s="6" t="inlineStr">
        <is>
          <t>&gt; Cuidado Capilar &gt; Shampoo Y Acondicionador &gt;</t>
        </is>
      </c>
      <c r="L406" s="6" t="inlineStr">
        <is>
          <t>acondicionador</t>
        </is>
      </c>
      <c r="M406" s="6" t="inlineStr">
        <is>
          <t>estandar</t>
        </is>
      </c>
      <c r="N406" s="6" t="inlineStr">
        <is>
          <t>general</t>
        </is>
      </c>
      <c r="O406" s="6" t="inlineStr">
        <is>
          <t>https://www.farmacity.com/acondicionador-herbal-essences-pomelo-x-400-ml/p</t>
        </is>
      </c>
      <c r="P406" s="8">
        <f>TRIM(CLEAN(PROPER(D406)))</f>
        <v/>
      </c>
      <c r="Q406" s="8">
        <f>PROPER(TRIM(SUBSTITUTE(SUBSTITUTE(SUBSTITUTE(SUBSTITUTE(E406,"TRESEMME","Tresemme"),"HEAD &amp; SHOULDERS","Head &amp; Shoulders"),"ELVIVE","Elvive"),"FRUCTIS","Fructis")))</f>
        <v/>
      </c>
      <c r="R406" s="8">
        <f>COUNTIF($D$2:$D$10000,D406)&gt;1</f>
        <v/>
      </c>
      <c r="S406" s="8">
        <f>IF(H406=TRUE,"Disponible","No disponible")</f>
        <v/>
      </c>
      <c r="T406" s="8">
        <f>IF(AND(ISNUMBER(I406),I406&gt;0),ROUND(F406/I406,2),"Sin volumen")</f>
        <v/>
      </c>
      <c r="U406" s="8">
        <f>IF(F406&lt;5000,"Bajo",IF(F406&lt;15000,"Medio","Alto"))</f>
        <v/>
      </c>
    </row>
    <row r="407">
      <c r="A407" t="inlineStr">
        <is>
          <t>Farmacity</t>
        </is>
      </c>
      <c r="B407" t="n">
        <v>248877</v>
      </c>
      <c r="C407" t="n">
        <v>248877</v>
      </c>
      <c r="D407" t="inlineStr">
        <is>
          <t>Acondicionador Tio Nacho Keratina Vegetal x 415 ml</t>
        </is>
      </c>
      <c r="E407" t="inlineStr">
        <is>
          <t>Tío Nacho</t>
        </is>
      </c>
      <c r="F407" t="n">
        <v>11750</v>
      </c>
      <c r="G407" t="n">
        <v>11750</v>
      </c>
      <c r="H407" t="b">
        <v>1</v>
      </c>
      <c r="I407" t="n">
        <v>415</v>
      </c>
      <c r="J407" t="n">
        <v>28.3133</v>
      </c>
      <c r="K407" t="inlineStr">
        <is>
          <t>&gt; Cuidado Capilar &gt; Shampoo Y Acondicionador &gt;</t>
        </is>
      </c>
      <c r="L407" t="inlineStr">
        <is>
          <t>acondicionador</t>
        </is>
      </c>
      <c r="M407" t="inlineStr">
        <is>
          <t>estandar</t>
        </is>
      </c>
      <c r="N407" t="inlineStr">
        <is>
          <t>tratado</t>
        </is>
      </c>
      <c r="O407" t="inlineStr">
        <is>
          <t>https://www.farmacity.com/acondicionador-tio-nacho-keratina-vegetal-x-415-ml/p</t>
        </is>
      </c>
      <c r="P407">
        <f>TRIM(CLEAN(PROPER(D407)))</f>
        <v/>
      </c>
      <c r="Q407">
        <f>PROPER(TRIM(SUBSTITUTE(SUBSTITUTE(SUBSTITUTE(SUBSTITUTE(E407,"TRESEMME","Tresemme"),"HEAD &amp; SHOULDERS","Head &amp; Shoulders"),"ELVIVE","Elvive"),"FRUCTIS","Fructis")))</f>
        <v/>
      </c>
      <c r="R407">
        <f>COUNTIF($D$2:$D$10000,D407)&gt;1</f>
        <v/>
      </c>
      <c r="S407">
        <f>IF(H407=TRUE,"Disponible","No disponible")</f>
        <v/>
      </c>
      <c r="T407">
        <f>IF(AND(ISNUMBER(I407),I407&gt;0),ROUND(F407/I407,2),"Sin volumen")</f>
        <v/>
      </c>
      <c r="U407">
        <f>IF(F407&lt;5000,"Bajo",IF(F407&lt;15000,"Medio","Alto"))</f>
        <v/>
      </c>
    </row>
    <row r="408">
      <c r="A408" s="6" t="inlineStr">
        <is>
          <t>Farmacity</t>
        </is>
      </c>
      <c r="B408" s="6" t="n">
        <v>246642</v>
      </c>
      <c r="C408" s="6" t="n">
        <v>246642</v>
      </c>
      <c r="D408" s="6" t="inlineStr">
        <is>
          <t>Acondicionador Herbal Essences Rosa Mosqueta x 400 ml</t>
        </is>
      </c>
      <c r="E408" s="6" t="inlineStr">
        <is>
          <t>Herbal Essences</t>
        </is>
      </c>
      <c r="F408" s="6" t="n">
        <v>10574</v>
      </c>
      <c r="G408" s="6" t="n">
        <v>16267</v>
      </c>
      <c r="H408" s="6" t="b">
        <v>1</v>
      </c>
      <c r="I408" s="6" t="n">
        <v>400</v>
      </c>
      <c r="J408" s="6" t="n">
        <v>26.435</v>
      </c>
      <c r="K408" s="6" t="inlineStr">
        <is>
          <t>&gt; Cuidado Capilar &gt; Shampoo Y Acondicionador &gt;</t>
        </is>
      </c>
      <c r="L408" s="6" t="inlineStr">
        <is>
          <t>acondicionador</t>
        </is>
      </c>
      <c r="M408" s="6" t="inlineStr">
        <is>
          <t>estandar</t>
        </is>
      </c>
      <c r="N408" s="6" t="inlineStr">
        <is>
          <t>general</t>
        </is>
      </c>
      <c r="O408" s="6" t="inlineStr">
        <is>
          <t>https://www.farmacity.com/acondicionador-herbal-essences-rosa-mosqueta-x-400-ml/p</t>
        </is>
      </c>
      <c r="P408" s="8">
        <f>TRIM(CLEAN(PROPER(D408)))</f>
        <v/>
      </c>
      <c r="Q408" s="8">
        <f>PROPER(TRIM(SUBSTITUTE(SUBSTITUTE(SUBSTITUTE(SUBSTITUTE(E408,"TRESEMME","Tresemme"),"HEAD &amp; SHOULDERS","Head &amp; Shoulders"),"ELVIVE","Elvive"),"FRUCTIS","Fructis")))</f>
        <v/>
      </c>
      <c r="R408" s="8">
        <f>COUNTIF($D$2:$D$10000,D408)&gt;1</f>
        <v/>
      </c>
      <c r="S408" s="8">
        <f>IF(H408=TRUE,"Disponible","No disponible")</f>
        <v/>
      </c>
      <c r="T408" s="8">
        <f>IF(AND(ISNUMBER(I408),I408&gt;0),ROUND(F408/I408,2),"Sin volumen")</f>
        <v/>
      </c>
      <c r="U408" s="8">
        <f>IF(F408&lt;5000,"Bajo",IF(F408&lt;15000,"Medio","Alto"))</f>
        <v/>
      </c>
    </row>
    <row r="409">
      <c r="A409" t="inlineStr">
        <is>
          <t>Farmacity</t>
        </is>
      </c>
      <c r="B409" t="n">
        <v>246644</v>
      </c>
      <c r="C409" t="n">
        <v>246644</v>
      </c>
      <c r="D409" t="inlineStr">
        <is>
          <t>Acondicionador Herbal Essences Rosa Mosqueta x 240 ml</t>
        </is>
      </c>
      <c r="E409" t="inlineStr">
        <is>
          <t>Herbal Essences</t>
        </is>
      </c>
      <c r="F409" t="n">
        <v>8262</v>
      </c>
      <c r="G409" t="n">
        <v>12711</v>
      </c>
      <c r="H409" t="b">
        <v>1</v>
      </c>
      <c r="I409" t="n">
        <v>240</v>
      </c>
      <c r="J409" t="n">
        <v>34.425</v>
      </c>
      <c r="K409" t="inlineStr">
        <is>
          <t>&gt; Cuidado Capilar &gt; Shampoo Y Acondicionador &gt;</t>
        </is>
      </c>
      <c r="L409" t="inlineStr">
        <is>
          <t>acondicionador</t>
        </is>
      </c>
      <c r="M409" t="inlineStr">
        <is>
          <t>estandar</t>
        </is>
      </c>
      <c r="N409" t="inlineStr">
        <is>
          <t>general</t>
        </is>
      </c>
      <c r="O409" t="inlineStr">
        <is>
          <t>https://www.farmacity.com/acondicionador-herbal-essences-rosa-mosqueta-x-240-ml/p</t>
        </is>
      </c>
      <c r="P409">
        <f>TRIM(CLEAN(PROPER(D409)))</f>
        <v/>
      </c>
      <c r="Q409">
        <f>PROPER(TRIM(SUBSTITUTE(SUBSTITUTE(SUBSTITUTE(SUBSTITUTE(E409,"TRESEMME","Tresemme"),"HEAD &amp; SHOULDERS","Head &amp; Shoulders"),"ELVIVE","Elvive"),"FRUCTIS","Fructis")))</f>
        <v/>
      </c>
      <c r="R409">
        <f>COUNTIF($D$2:$D$10000,D409)&gt;1</f>
        <v/>
      </c>
      <c r="S409">
        <f>IF(H409=TRUE,"Disponible","No disponible")</f>
        <v/>
      </c>
      <c r="T409">
        <f>IF(AND(ISNUMBER(I409),I409&gt;0),ROUND(F409/I409,2),"Sin volumen")</f>
        <v/>
      </c>
      <c r="U409">
        <f>IF(F409&lt;5000,"Bajo",IF(F409&lt;15000,"Medio","Alto"))</f>
        <v/>
      </c>
    </row>
    <row r="410">
      <c r="A410" s="6" t="inlineStr">
        <is>
          <t>Farmacity</t>
        </is>
      </c>
      <c r="B410" s="6" t="n">
        <v>241728</v>
      </c>
      <c r="C410" s="6" t="n">
        <v>241728</v>
      </c>
      <c r="D410" s="6" t="inlineStr">
        <is>
          <t>Kit Capilar Tresemmé Cauterización Reparadora + Hidratación</t>
        </is>
      </c>
      <c r="E410" s="6" t="inlineStr">
        <is>
          <t>Tresemmé</t>
        </is>
      </c>
      <c r="F410" s="6" t="n">
        <v>25282</v>
      </c>
      <c r="G410" s="6" t="n">
        <v>42137</v>
      </c>
      <c r="H410" s="6" t="b">
        <v>1</v>
      </c>
      <c r="I410" s="6" t="inlineStr"/>
      <c r="J410" s="6" t="inlineStr"/>
      <c r="K410" s="6" t="inlineStr">
        <is>
          <t>&gt; Cuidado Capilar &gt; Shampoo Y Acondicionador &gt;</t>
        </is>
      </c>
      <c r="L410" s="6" t="inlineStr">
        <is>
          <t>tratamiento</t>
        </is>
      </c>
      <c r="M410" s="6" t="inlineStr">
        <is>
          <t>estandar</t>
        </is>
      </c>
      <c r="N410" s="6" t="inlineStr">
        <is>
          <t>seco_danado</t>
        </is>
      </c>
      <c r="O410" s="6" t="inlineStr">
        <is>
          <t>https://www.farmacity.com/combo-capilar-tresemme-cauterizacion-reparadora-hidratacion/p</t>
        </is>
      </c>
      <c r="P410" s="8">
        <f>TRIM(CLEAN(PROPER(D410)))</f>
        <v/>
      </c>
      <c r="Q410" s="8">
        <f>PROPER(TRIM(SUBSTITUTE(SUBSTITUTE(SUBSTITUTE(SUBSTITUTE(E410,"TRESEMME","Tresemme"),"HEAD &amp; SHOULDERS","Head &amp; Shoulders"),"ELVIVE","Elvive"),"FRUCTIS","Fructis")))</f>
        <v/>
      </c>
      <c r="R410" s="8">
        <f>COUNTIF($D$2:$D$10000,D410)&gt;1</f>
        <v/>
      </c>
      <c r="S410" s="8">
        <f>IF(H410=TRUE,"Disponible","No disponible")</f>
        <v/>
      </c>
      <c r="T410" s="8">
        <f>IF(AND(ISNUMBER(I410),I410&gt;0),ROUND(F410/I410,2),"Sin volumen")</f>
        <v/>
      </c>
      <c r="U410" s="8">
        <f>IF(F410&lt;5000,"Bajo",IF(F410&lt;15000,"Medio","Alto"))</f>
        <v/>
      </c>
    </row>
    <row r="411">
      <c r="A411" t="inlineStr">
        <is>
          <t>Farmacity</t>
        </is>
      </c>
      <c r="B411" t="n">
        <v>229152</v>
      </c>
      <c r="C411" t="n">
        <v>229152</v>
      </c>
      <c r="D411" t="inlineStr">
        <is>
          <t>Kit Cuidado Corporal Completo Aveno Piel Sensible</t>
        </is>
      </c>
      <c r="E411" t="inlineStr">
        <is>
          <t>Aveno</t>
        </is>
      </c>
      <c r="F411" t="n">
        <v>93754</v>
      </c>
      <c r="G411" t="n">
        <v>133935</v>
      </c>
      <c r="H411" t="b">
        <v>1</v>
      </c>
      <c r="I411" t="inlineStr"/>
      <c r="J411" t="inlineStr"/>
      <c r="K411" t="inlineStr">
        <is>
          <t>&gt; Cuidado de la Piel &gt; Cuidado Corporal &gt;</t>
        </is>
      </c>
      <c r="L411" t="inlineStr">
        <is>
          <t>tratamiento</t>
        </is>
      </c>
      <c r="M411" t="inlineStr">
        <is>
          <t>estandar</t>
        </is>
      </c>
      <c r="N411" t="inlineStr">
        <is>
          <t>general</t>
        </is>
      </c>
      <c r="O411" t="inlineStr">
        <is>
          <t>https://www.farmacity.com/kit-cuidado-corporal-aveno/p</t>
        </is>
      </c>
      <c r="P411">
        <f>TRIM(CLEAN(PROPER(D411)))</f>
        <v/>
      </c>
      <c r="Q411">
        <f>PROPER(TRIM(SUBSTITUTE(SUBSTITUTE(SUBSTITUTE(SUBSTITUTE(E411,"TRESEMME","Tresemme"),"HEAD &amp; SHOULDERS","Head &amp; Shoulders"),"ELVIVE","Elvive"),"FRUCTIS","Fructis")))</f>
        <v/>
      </c>
      <c r="R411">
        <f>COUNTIF($D$2:$D$10000,D411)&gt;1</f>
        <v/>
      </c>
      <c r="S411">
        <f>IF(H411=TRUE,"Disponible","No disponible")</f>
        <v/>
      </c>
      <c r="T411">
        <f>IF(AND(ISNUMBER(I411),I411&gt;0),ROUND(F411/I411,2),"Sin volumen")</f>
        <v/>
      </c>
      <c r="U411">
        <f>IF(F411&lt;5000,"Bajo",IF(F411&lt;15000,"Medio","Alto"))</f>
        <v/>
      </c>
    </row>
    <row r="412">
      <c r="A412" s="6" t="inlineStr">
        <is>
          <t>Farmacity</t>
        </is>
      </c>
      <c r="B412" s="6" t="n">
        <v>5313</v>
      </c>
      <c r="C412" s="6" t="n">
        <v>143512</v>
      </c>
      <c r="D412" s="6" t="inlineStr">
        <is>
          <t>Mascarilla Elvive RT Extreme x 300 g</t>
        </is>
      </c>
      <c r="E412" s="6" t="inlineStr">
        <is>
          <t>Elvive</t>
        </is>
      </c>
      <c r="F412" s="6" t="n">
        <v>11190</v>
      </c>
      <c r="G412" s="6" t="n">
        <v>11190</v>
      </c>
      <c r="H412" s="6" t="b">
        <v>1</v>
      </c>
      <c r="I412" s="6" t="n">
        <v>300</v>
      </c>
      <c r="J412" s="6" t="n">
        <v>37.3</v>
      </c>
      <c r="K412" s="6" t="inlineStr">
        <is>
          <t>&gt; Cuidado Capilar &gt; Reparación Y Tratamiento &gt;</t>
        </is>
      </c>
      <c r="L412" s="6" t="inlineStr">
        <is>
          <t>tratamiento</t>
        </is>
      </c>
      <c r="M412" s="6" t="inlineStr">
        <is>
          <t>profesional</t>
        </is>
      </c>
      <c r="N412" s="6" t="inlineStr">
        <is>
          <t>general</t>
        </is>
      </c>
      <c r="O412" s="6" t="inlineStr">
        <is>
          <t>https://www.farmacity.com/crema-de-tratamiento-reparacion-total-extreme-x-300-ml/p</t>
        </is>
      </c>
      <c r="P412" s="8">
        <f>TRIM(CLEAN(PROPER(D412)))</f>
        <v/>
      </c>
      <c r="Q412" s="8">
        <f>PROPER(TRIM(SUBSTITUTE(SUBSTITUTE(SUBSTITUTE(SUBSTITUTE(E412,"TRESEMME","Tresemme"),"HEAD &amp; SHOULDERS","Head &amp; Shoulders"),"ELVIVE","Elvive"),"FRUCTIS","Fructis")))</f>
        <v/>
      </c>
      <c r="R412" s="8">
        <f>COUNTIF($D$2:$D$10000,D412)&gt;1</f>
        <v/>
      </c>
      <c r="S412" s="8">
        <f>IF(H412=TRUE,"Disponible","No disponible")</f>
        <v/>
      </c>
      <c r="T412" s="8">
        <f>IF(AND(ISNUMBER(I412),I412&gt;0),ROUND(F412/I412,2),"Sin volumen")</f>
        <v/>
      </c>
      <c r="U412" s="8">
        <f>IF(F412&lt;5000,"Bajo",IF(F412&lt;15000,"Medio","Alto"))</f>
        <v/>
      </c>
    </row>
    <row r="413">
      <c r="A413" t="inlineStr">
        <is>
          <t>Farmacity</t>
        </is>
      </c>
      <c r="B413" t="n">
        <v>250195</v>
      </c>
      <c r="C413" t="n">
        <v>250195</v>
      </c>
      <c r="D413" t="inlineStr">
        <is>
          <t>Bálsamo La Puissance Extra Cell Plex Paso 2 x 300 ml</t>
        </is>
      </c>
      <c r="E413" t="inlineStr">
        <is>
          <t>La Puissance</t>
        </is>
      </c>
      <c r="F413" t="n">
        <v>41400</v>
      </c>
      <c r="G413" t="n">
        <v>41400</v>
      </c>
      <c r="H413" t="b">
        <v>1</v>
      </c>
      <c r="I413" t="n">
        <v>300</v>
      </c>
      <c r="J413" t="n">
        <v>138</v>
      </c>
      <c r="K413" t="inlineStr">
        <is>
          <t>&gt; Cuidado Capilar &gt; Shampoo Y Acondicionador &gt;</t>
        </is>
      </c>
      <c r="L413" t="inlineStr">
        <is>
          <t>shampoo</t>
        </is>
      </c>
      <c r="M413" t="inlineStr">
        <is>
          <t>estandar</t>
        </is>
      </c>
      <c r="N413" t="inlineStr">
        <is>
          <t>general</t>
        </is>
      </c>
      <c r="O413" t="inlineStr">
        <is>
          <t>https://www.farmacity.com/balsamo-la-puissance-extra-cell-plex-paso-2-x-300-ml/p</t>
        </is>
      </c>
      <c r="P413">
        <f>TRIM(CLEAN(PROPER(D413)))</f>
        <v/>
      </c>
      <c r="Q413">
        <f>PROPER(TRIM(SUBSTITUTE(SUBSTITUTE(SUBSTITUTE(SUBSTITUTE(E413,"TRESEMME","Tresemme"),"HEAD &amp; SHOULDERS","Head &amp; Shoulders"),"ELVIVE","Elvive"),"FRUCTIS","Fructis")))</f>
        <v/>
      </c>
      <c r="R413">
        <f>COUNTIF($D$2:$D$10000,D413)&gt;1</f>
        <v/>
      </c>
      <c r="S413">
        <f>IF(H413=TRUE,"Disponible","No disponible")</f>
        <v/>
      </c>
      <c r="T413">
        <f>IF(AND(ISNUMBER(I413),I413&gt;0),ROUND(F413/I413,2),"Sin volumen")</f>
        <v/>
      </c>
      <c r="U413">
        <f>IF(F413&lt;5000,"Bajo",IF(F413&lt;15000,"Medio","Alto"))</f>
        <v/>
      </c>
    </row>
    <row r="414">
      <c r="A414" s="6" t="inlineStr">
        <is>
          <t>Farmacity</t>
        </is>
      </c>
      <c r="B414" s="6" t="n">
        <v>241723</v>
      </c>
      <c r="C414" s="6" t="n">
        <v>241723</v>
      </c>
      <c r="D414" s="6" t="inlineStr">
        <is>
          <t>Kit Capilar Tresemmé Dosificador Liso Efecto Botox + Protección</t>
        </is>
      </c>
      <c r="E414" s="6" t="inlineStr">
        <is>
          <t>Tresemmé</t>
        </is>
      </c>
      <c r="F414" s="6" t="n">
        <v>18047</v>
      </c>
      <c r="G414" s="6" t="n">
        <v>30078</v>
      </c>
      <c r="H414" s="6" t="b">
        <v>1</v>
      </c>
      <c r="I414" s="6" t="inlineStr"/>
      <c r="J414" s="6" t="inlineStr"/>
      <c r="K414" s="6" t="inlineStr">
        <is>
          <t>&gt; Cuidado Capilar &gt; Shampoo Y Acondicionador &gt;</t>
        </is>
      </c>
      <c r="L414" s="6" t="inlineStr">
        <is>
          <t>tratamiento</t>
        </is>
      </c>
      <c r="M414" s="6" t="inlineStr">
        <is>
          <t>estandar</t>
        </is>
      </c>
      <c r="N414" s="6" t="inlineStr">
        <is>
          <t>general</t>
        </is>
      </c>
      <c r="O414" s="6" t="inlineStr">
        <is>
          <t>https://www.farmacity.com/combo-capilar-tresemme-dosificador-liso-efecto-botox-proteccion/p</t>
        </is>
      </c>
      <c r="P414" s="8">
        <f>TRIM(CLEAN(PROPER(D414)))</f>
        <v/>
      </c>
      <c r="Q414" s="8">
        <f>PROPER(TRIM(SUBSTITUTE(SUBSTITUTE(SUBSTITUTE(SUBSTITUTE(E414,"TRESEMME","Tresemme"),"HEAD &amp; SHOULDERS","Head &amp; Shoulders"),"ELVIVE","Elvive"),"FRUCTIS","Fructis")))</f>
        <v/>
      </c>
      <c r="R414" s="8">
        <f>COUNTIF($D$2:$D$10000,D414)&gt;1</f>
        <v/>
      </c>
      <c r="S414" s="8">
        <f>IF(H414=TRUE,"Disponible","No disponible")</f>
        <v/>
      </c>
      <c r="T414" s="8">
        <f>IF(AND(ISNUMBER(I414),I414&gt;0),ROUND(F414/I414,2),"Sin volumen")</f>
        <v/>
      </c>
      <c r="U414" s="8">
        <f>IF(F414&lt;5000,"Bajo",IF(F414&lt;15000,"Medio","Alto"))</f>
        <v/>
      </c>
    </row>
    <row r="415">
      <c r="A415" t="inlineStr">
        <is>
          <t>Farmacity</t>
        </is>
      </c>
      <c r="B415" t="n">
        <v>243765</v>
      </c>
      <c r="C415" t="n">
        <v>243765</v>
      </c>
      <c r="D415" t="inlineStr">
        <is>
          <t>Combo Capilatis Plex Sérum Sellador de Puntas + Protector Térmico</t>
        </is>
      </c>
      <c r="E415" t="inlineStr">
        <is>
          <t>Capilatis</t>
        </is>
      </c>
      <c r="F415" t="n">
        <v>24320</v>
      </c>
      <c r="G415" t="n">
        <v>30400</v>
      </c>
      <c r="H415" t="b">
        <v>1</v>
      </c>
      <c r="I415" t="inlineStr"/>
      <c r="J415" t="inlineStr"/>
      <c r="K415" t="inlineStr">
        <is>
          <t>&gt; Cuidado Capilar &gt; Reparación Y Tratamiento &gt;</t>
        </is>
      </c>
      <c r="L415" t="inlineStr">
        <is>
          <t>shampoo</t>
        </is>
      </c>
      <c r="M415" t="inlineStr">
        <is>
          <t>estandar</t>
        </is>
      </c>
      <c r="N415" t="inlineStr">
        <is>
          <t>general</t>
        </is>
      </c>
      <c r="O415" t="inlineStr">
        <is>
          <t>https://www.farmacity.com/combo-capilatis-plex-serum-sellador-de-puntas-x-60-ml-protector-termico-x-190-ml/p</t>
        </is>
      </c>
      <c r="P415">
        <f>TRIM(CLEAN(PROPER(D415)))</f>
        <v/>
      </c>
      <c r="Q415">
        <f>PROPER(TRIM(SUBSTITUTE(SUBSTITUTE(SUBSTITUTE(SUBSTITUTE(E415,"TRESEMME","Tresemme"),"HEAD &amp; SHOULDERS","Head &amp; Shoulders"),"ELVIVE","Elvive"),"FRUCTIS","Fructis")))</f>
        <v/>
      </c>
      <c r="R415">
        <f>COUNTIF($D$2:$D$10000,D415)&gt;1</f>
        <v/>
      </c>
      <c r="S415">
        <f>IF(H415=TRUE,"Disponible","No disponible")</f>
        <v/>
      </c>
      <c r="T415">
        <f>IF(AND(ISNUMBER(I415),I415&gt;0),ROUND(F415/I415,2),"Sin volumen")</f>
        <v/>
      </c>
      <c r="U415">
        <f>IF(F415&lt;5000,"Bajo",IF(F415&lt;15000,"Medio","Alto"))</f>
        <v/>
      </c>
    </row>
    <row r="416">
      <c r="A416" s="6" t="inlineStr">
        <is>
          <t>Farmacity</t>
        </is>
      </c>
      <c r="B416" s="6" t="n">
        <v>228677</v>
      </c>
      <c r="C416" s="6" t="n">
        <v>228677</v>
      </c>
      <c r="D416" s="6" t="inlineStr">
        <is>
          <t>Espuma Intima Lomecan V Therapy x 150 ml</t>
        </is>
      </c>
      <c r="E416" s="6" t="inlineStr">
        <is>
          <t>Lomecan</t>
        </is>
      </c>
      <c r="F416" s="6" t="n">
        <v>9251</v>
      </c>
      <c r="G416" s="6" t="n">
        <v>9251</v>
      </c>
      <c r="H416" s="6" t="b">
        <v>1</v>
      </c>
      <c r="I416" s="6" t="n">
        <v>150</v>
      </c>
      <c r="J416" s="6" t="n">
        <v>61.6733</v>
      </c>
      <c r="K416" s="6" t="inlineStr">
        <is>
          <t>&gt; Cuidado Personal &gt; Higiene Personal &gt; Protección Femenina &gt;</t>
        </is>
      </c>
      <c r="L416" s="6" t="inlineStr">
        <is>
          <t>shampoo</t>
        </is>
      </c>
      <c r="M416" s="6" t="inlineStr">
        <is>
          <t>estandar</t>
        </is>
      </c>
      <c r="N416" s="6" t="inlineStr">
        <is>
          <t>general</t>
        </is>
      </c>
      <c r="O416" s="6" t="inlineStr">
        <is>
          <t>https://www.farmacity.com/espuma-intimo-lomecan-v-therapy-x-150-ml/p</t>
        </is>
      </c>
      <c r="P416" s="8">
        <f>TRIM(CLEAN(PROPER(D416)))</f>
        <v/>
      </c>
      <c r="Q416" s="8">
        <f>PROPER(TRIM(SUBSTITUTE(SUBSTITUTE(SUBSTITUTE(SUBSTITUTE(E416,"TRESEMME","Tresemme"),"HEAD &amp; SHOULDERS","Head &amp; Shoulders"),"ELVIVE","Elvive"),"FRUCTIS","Fructis")))</f>
        <v/>
      </c>
      <c r="R416" s="8">
        <f>COUNTIF($D$2:$D$10000,D416)&gt;1</f>
        <v/>
      </c>
      <c r="S416" s="8">
        <f>IF(H416=TRUE,"Disponible","No disponible")</f>
        <v/>
      </c>
      <c r="T416" s="8">
        <f>IF(AND(ISNUMBER(I416),I416&gt;0),ROUND(F416/I416,2),"Sin volumen")</f>
        <v/>
      </c>
      <c r="U416" s="8">
        <f>IF(F416&lt;5000,"Bajo",IF(F416&lt;15000,"Medio","Alto"))</f>
        <v/>
      </c>
    </row>
    <row r="417">
      <c r="A417" t="inlineStr">
        <is>
          <t>Farmacity</t>
        </is>
      </c>
      <c r="B417" t="n">
        <v>229153</v>
      </c>
      <c r="C417" t="n">
        <v>229153</v>
      </c>
      <c r="D417" t="inlineStr">
        <is>
          <t>Kit de Baño Bebes y Niños Aveno + Hipoglós Cuidado Diario</t>
        </is>
      </c>
      <c r="E417" t="inlineStr">
        <is>
          <t>Aveno</t>
        </is>
      </c>
      <c r="F417" t="n">
        <v>77004</v>
      </c>
      <c r="G417" t="n">
        <v>102672</v>
      </c>
      <c r="H417" t="b">
        <v>1</v>
      </c>
      <c r="I417" t="inlineStr"/>
      <c r="J417" t="inlineStr"/>
      <c r="K417" t="inlineStr">
        <is>
          <t>&gt; Bebés &gt; Higiene del Bebé &gt; Baño Del Bebé &gt;</t>
        </is>
      </c>
      <c r="L417" t="inlineStr">
        <is>
          <t>tratamiento</t>
        </is>
      </c>
      <c r="M417" t="inlineStr">
        <is>
          <t>estandar</t>
        </is>
      </c>
      <c r="N417" t="inlineStr">
        <is>
          <t>bebe</t>
        </is>
      </c>
      <c r="O417" t="inlineStr">
        <is>
          <t>https://www.farmacity.com/kit-basico-de-cuidado-infantil/p</t>
        </is>
      </c>
      <c r="P417">
        <f>TRIM(CLEAN(PROPER(D417)))</f>
        <v/>
      </c>
      <c r="Q417">
        <f>PROPER(TRIM(SUBSTITUTE(SUBSTITUTE(SUBSTITUTE(SUBSTITUTE(E417,"TRESEMME","Tresemme"),"HEAD &amp; SHOULDERS","Head &amp; Shoulders"),"ELVIVE","Elvive"),"FRUCTIS","Fructis")))</f>
        <v/>
      </c>
      <c r="R417">
        <f>COUNTIF($D$2:$D$10000,D417)&gt;1</f>
        <v/>
      </c>
      <c r="S417">
        <f>IF(H417=TRUE,"Disponible","No disponible")</f>
        <v/>
      </c>
      <c r="T417">
        <f>IF(AND(ISNUMBER(I417),I417&gt;0),ROUND(F417/I417,2),"Sin volumen")</f>
        <v/>
      </c>
      <c r="U417">
        <f>IF(F417&lt;5000,"Bajo",IF(F417&lt;15000,"Medio","Alto"))</f>
        <v/>
      </c>
    </row>
    <row r="418">
      <c r="A418" s="6" t="inlineStr">
        <is>
          <t>Farmacity</t>
        </is>
      </c>
      <c r="B418" s="6" t="n">
        <v>237036</v>
      </c>
      <c r="C418" s="6" t="n">
        <v>237036</v>
      </c>
      <c r="D418" s="6" t="inlineStr">
        <is>
          <t>Combo Infantil Aveno</t>
        </is>
      </c>
      <c r="E418" s="6" t="inlineStr">
        <is>
          <t>Aveno</t>
        </is>
      </c>
      <c r="F418" s="6" t="n">
        <v>104959</v>
      </c>
      <c r="G418" s="6" t="n">
        <v>139946</v>
      </c>
      <c r="H418" s="6" t="b">
        <v>1</v>
      </c>
      <c r="I418" s="6" t="inlineStr"/>
      <c r="J418" s="6" t="inlineStr"/>
      <c r="K418" s="6" t="inlineStr">
        <is>
          <t>&gt; Bebés &gt; Higiene del Bebé &gt; Óleos y Algodón &gt;</t>
        </is>
      </c>
      <c r="L418" s="6" t="inlineStr">
        <is>
          <t>shampoo</t>
        </is>
      </c>
      <c r="M418" s="6" t="inlineStr">
        <is>
          <t>estandar</t>
        </is>
      </c>
      <c r="N418" s="6" t="inlineStr">
        <is>
          <t>bebe</t>
        </is>
      </c>
      <c r="O418" s="6" t="inlineStr">
        <is>
          <t>https://www.farmacity.com/infantil-aveno-crema-shampoo-acondicionador-gel-protector-solar/p</t>
        </is>
      </c>
      <c r="P418" s="8">
        <f>TRIM(CLEAN(PROPER(D418)))</f>
        <v/>
      </c>
      <c r="Q418" s="8">
        <f>PROPER(TRIM(SUBSTITUTE(SUBSTITUTE(SUBSTITUTE(SUBSTITUTE(E418,"TRESEMME","Tresemme"),"HEAD &amp; SHOULDERS","Head &amp; Shoulders"),"ELVIVE","Elvive"),"FRUCTIS","Fructis")))</f>
        <v/>
      </c>
      <c r="R418" s="8">
        <f>COUNTIF($D$2:$D$10000,D418)&gt;1</f>
        <v/>
      </c>
      <c r="S418" s="8">
        <f>IF(H418=TRUE,"Disponible","No disponible")</f>
        <v/>
      </c>
      <c r="T418" s="8">
        <f>IF(AND(ISNUMBER(I418),I418&gt;0),ROUND(F418/I418,2),"Sin volumen")</f>
        <v/>
      </c>
      <c r="U418" s="8">
        <f>IF(F418&lt;5000,"Bajo",IF(F418&lt;15000,"Medio","Alto"))</f>
        <v/>
      </c>
    </row>
    <row r="419">
      <c r="A419" t="inlineStr">
        <is>
          <t>Farmacity</t>
        </is>
      </c>
      <c r="B419" t="n">
        <v>234311</v>
      </c>
      <c r="C419" t="n">
        <v>234311</v>
      </c>
      <c r="D419" t="inlineStr">
        <is>
          <t>Cuidado Corporal y Facial Aveno Piel Sensible</t>
        </is>
      </c>
      <c r="E419" t="inlineStr">
        <is>
          <t>Aveno</t>
        </is>
      </c>
      <c r="F419" t="n">
        <v>123203</v>
      </c>
      <c r="G419" t="n">
        <v>176005</v>
      </c>
      <c r="H419" t="b">
        <v>1</v>
      </c>
      <c r="I419" t="inlineStr"/>
      <c r="J419" t="inlineStr"/>
      <c r="K419" t="inlineStr">
        <is>
          <t>&gt; Cuidado de la Piel &gt; Cuidado Corporal &gt;</t>
        </is>
      </c>
      <c r="L419" t="inlineStr">
        <is>
          <t>shampoo</t>
        </is>
      </c>
      <c r="M419" t="inlineStr">
        <is>
          <t>estandar</t>
        </is>
      </c>
      <c r="N419" t="inlineStr">
        <is>
          <t>general</t>
        </is>
      </c>
      <c r="O419" t="inlineStr">
        <is>
          <t>https://www.farmacity.com/cuidado-corporal-y-facial-aveno-piel-sensible/p</t>
        </is>
      </c>
      <c r="P419">
        <f>TRIM(CLEAN(PROPER(D419)))</f>
        <v/>
      </c>
      <c r="Q419">
        <f>PROPER(TRIM(SUBSTITUTE(SUBSTITUTE(SUBSTITUTE(SUBSTITUTE(E419,"TRESEMME","Tresemme"),"HEAD &amp; SHOULDERS","Head &amp; Shoulders"),"ELVIVE","Elvive"),"FRUCTIS","Fructis")))</f>
        <v/>
      </c>
      <c r="R419">
        <f>COUNTIF($D$2:$D$10000,D419)&gt;1</f>
        <v/>
      </c>
      <c r="S419">
        <f>IF(H419=TRUE,"Disponible","No disponible")</f>
        <v/>
      </c>
      <c r="T419">
        <f>IF(AND(ISNUMBER(I419),I419&gt;0),ROUND(F419/I419,2),"Sin volumen")</f>
        <v/>
      </c>
      <c r="U419">
        <f>IF(F419&lt;5000,"Bajo",IF(F419&lt;15000,"Medio","Alto"))</f>
        <v/>
      </c>
    </row>
    <row r="420">
      <c r="A420" s="6" t="inlineStr">
        <is>
          <t>Farmacity</t>
        </is>
      </c>
      <c r="B420" s="6" t="n">
        <v>228563</v>
      </c>
      <c r="C420" s="6" t="n">
        <v>228563</v>
      </c>
      <c r="D420" s="6" t="inlineStr">
        <is>
          <t>Spray Capilatis Stop Frizz C-Style</t>
        </is>
      </c>
      <c r="E420" s="6" t="inlineStr">
        <is>
          <t>Capilatis</t>
        </is>
      </c>
      <c r="F420" s="6" t="n">
        <v>5100</v>
      </c>
      <c r="G420" s="6" t="n">
        <v>10200</v>
      </c>
      <c r="H420" s="6" t="b">
        <v>1</v>
      </c>
      <c r="I420" s="6" t="inlineStr"/>
      <c r="J420" s="6" t="inlineStr"/>
      <c r="K420" s="6" t="inlineStr">
        <is>
          <t>&gt; Cuidado Capilar &gt; Reparación Y Tratamiento &gt;</t>
        </is>
      </c>
      <c r="L420" s="6" t="inlineStr">
        <is>
          <t>shampoo</t>
        </is>
      </c>
      <c r="M420" s="6" t="inlineStr">
        <is>
          <t>estandar</t>
        </is>
      </c>
      <c r="N420" s="6" t="inlineStr">
        <is>
          <t>general</t>
        </is>
      </c>
      <c r="O420" s="6" t="inlineStr">
        <is>
          <t>https://www.farmacity.com/spray-capilatis-stop-frizz-c-style/p</t>
        </is>
      </c>
      <c r="P420" s="8">
        <f>TRIM(CLEAN(PROPER(D420)))</f>
        <v/>
      </c>
      <c r="Q420" s="8">
        <f>PROPER(TRIM(SUBSTITUTE(SUBSTITUTE(SUBSTITUTE(SUBSTITUTE(E420,"TRESEMME","Tresemme"),"HEAD &amp; SHOULDERS","Head &amp; Shoulders"),"ELVIVE","Elvive"),"FRUCTIS","Fructis")))</f>
        <v/>
      </c>
      <c r="R420" s="8">
        <f>COUNTIF($D$2:$D$10000,D420)&gt;1</f>
        <v/>
      </c>
      <c r="S420" s="8">
        <f>IF(H420=TRUE,"Disponible","No disponible")</f>
        <v/>
      </c>
      <c r="T420" s="8">
        <f>IF(AND(ISNUMBER(I420),I420&gt;0),ROUND(F420/I420,2),"Sin volumen")</f>
        <v/>
      </c>
      <c r="U420" s="8">
        <f>IF(F420&lt;5000,"Bajo",IF(F420&lt;15000,"Medio","Alto"))</f>
        <v/>
      </c>
    </row>
    <row r="421">
      <c r="A421" t="inlineStr">
        <is>
          <t>Farmacity</t>
        </is>
      </c>
      <c r="B421" t="n">
        <v>237035</v>
      </c>
      <c r="C421" t="n">
        <v>237035</v>
      </c>
      <c r="D421" t="inlineStr">
        <is>
          <t>Combo Infantil Aveno 2 Infantil Aveno Crema + Shampoo + Acondicionador + Gel + Solar</t>
        </is>
      </c>
      <c r="E421" t="inlineStr">
        <is>
          <t>Aveno</t>
        </is>
      </c>
      <c r="F421" t="n">
        <v>97636</v>
      </c>
      <c r="G421" t="n">
        <v>130182</v>
      </c>
      <c r="H421" t="b">
        <v>1</v>
      </c>
      <c r="I421" t="inlineStr"/>
      <c r="J421" t="inlineStr"/>
      <c r="K421" t="inlineStr">
        <is>
          <t>&gt; Bebés &gt; Higiene del Bebé &gt; Óleos y Algodón &gt;</t>
        </is>
      </c>
      <c r="L421" t="inlineStr">
        <is>
          <t>acondicionador</t>
        </is>
      </c>
      <c r="M421" t="inlineStr">
        <is>
          <t>estandar</t>
        </is>
      </c>
      <c r="N421" t="inlineStr">
        <is>
          <t>bebe</t>
        </is>
      </c>
      <c r="O421" t="inlineStr">
        <is>
          <t>https://www.farmacity.com/infantil-aveno-crema-shampoo-acondicionador-gel-solar/p</t>
        </is>
      </c>
      <c r="P421">
        <f>TRIM(CLEAN(PROPER(D421)))</f>
        <v/>
      </c>
      <c r="Q421">
        <f>PROPER(TRIM(SUBSTITUTE(SUBSTITUTE(SUBSTITUTE(SUBSTITUTE(E421,"TRESEMME","Tresemme"),"HEAD &amp; SHOULDERS","Head &amp; Shoulders"),"ELVIVE","Elvive"),"FRUCTIS","Fructis")))</f>
        <v/>
      </c>
      <c r="R421">
        <f>COUNTIF($D$2:$D$10000,D421)&gt;1</f>
        <v/>
      </c>
      <c r="S421">
        <f>IF(H421=TRUE,"Disponible","No disponible")</f>
        <v/>
      </c>
      <c r="T421">
        <f>IF(AND(ISNUMBER(I421),I421&gt;0),ROUND(F421/I421,2),"Sin volumen")</f>
        <v/>
      </c>
      <c r="U421">
        <f>IF(F421&lt;5000,"Bajo",IF(F421&lt;15000,"Medio","Alto"))</f>
        <v/>
      </c>
    </row>
    <row r="422">
      <c r="A422" s="6" t="inlineStr">
        <is>
          <t>Farmacity</t>
        </is>
      </c>
      <c r="B422" s="6" t="n">
        <v>239333</v>
      </c>
      <c r="C422" s="6" t="n">
        <v>239333</v>
      </c>
      <c r="D422" s="6" t="inlineStr">
        <is>
          <t>Kit Rutina Completa L'Oreal Paris Elvive Hidra Hialurónico + Oleo Extraordinario</t>
        </is>
      </c>
      <c r="E422" s="6" t="inlineStr">
        <is>
          <t>Elvive</t>
        </is>
      </c>
      <c r="F422" s="6" t="n">
        <v>32136</v>
      </c>
      <c r="G422" s="6" t="n">
        <v>53560</v>
      </c>
      <c r="H422" s="6" t="b">
        <v>1</v>
      </c>
      <c r="I422" s="6" t="inlineStr"/>
      <c r="J422" s="6" t="inlineStr"/>
      <c r="K422" s="6" t="inlineStr">
        <is>
          <t>&gt; Cuidado Capilar &gt; Shampoo Y Acondicionador &gt;</t>
        </is>
      </c>
      <c r="L422" s="6" t="inlineStr">
        <is>
          <t>tratamiento</t>
        </is>
      </c>
      <c r="M422" s="6" t="inlineStr">
        <is>
          <t>profesional</t>
        </is>
      </c>
      <c r="N422" s="6" t="inlineStr">
        <is>
          <t>general</t>
        </is>
      </c>
      <c r="O422" s="6" t="inlineStr">
        <is>
          <t>https://www.farmacity.com/kit-elvive-hidra-hialuronico-rutina-completa-oleo-extraordinario/p</t>
        </is>
      </c>
      <c r="P422" s="8">
        <f>TRIM(CLEAN(PROPER(D422)))</f>
        <v/>
      </c>
      <c r="Q422" s="8">
        <f>PROPER(TRIM(SUBSTITUTE(SUBSTITUTE(SUBSTITUTE(SUBSTITUTE(E422,"TRESEMME","Tresemme"),"HEAD &amp; SHOULDERS","Head &amp; Shoulders"),"ELVIVE","Elvive"),"FRUCTIS","Fructis")))</f>
        <v/>
      </c>
      <c r="R422" s="8">
        <f>COUNTIF($D$2:$D$10000,D422)&gt;1</f>
        <v/>
      </c>
      <c r="S422" s="8">
        <f>IF(H422=TRUE,"Disponible","No disponible")</f>
        <v/>
      </c>
      <c r="T422" s="8">
        <f>IF(AND(ISNUMBER(I422),I422&gt;0),ROUND(F422/I422,2),"Sin volumen")</f>
        <v/>
      </c>
      <c r="U422" s="8">
        <f>IF(F422&lt;5000,"Bajo",IF(F422&lt;15000,"Medio","Alto"))</f>
        <v/>
      </c>
    </row>
    <row r="423">
      <c r="A423" t="inlineStr">
        <is>
          <t>Farmacity</t>
        </is>
      </c>
      <c r="B423" t="n">
        <v>250125</v>
      </c>
      <c r="C423" t="n">
        <v>250125</v>
      </c>
      <c r="D423" t="inlineStr">
        <is>
          <t>Crema para Peinar Goodbye Daños Oil Control x 300 ml</t>
        </is>
      </c>
      <c r="E423" t="inlineStr">
        <is>
          <t>Fructis</t>
        </is>
      </c>
      <c r="F423" t="n">
        <v>12990</v>
      </c>
      <c r="G423" t="n">
        <v>12990</v>
      </c>
      <c r="H423" t="b">
        <v>1</v>
      </c>
      <c r="I423" t="n">
        <v>300</v>
      </c>
      <c r="J423" t="n">
        <v>43.3</v>
      </c>
      <c r="K423" t="inlineStr">
        <is>
          <t>&gt; Cuidado Capilar &gt; Modelado Y Peinado &gt;</t>
        </is>
      </c>
      <c r="L423" t="inlineStr">
        <is>
          <t>shampoo</t>
        </is>
      </c>
      <c r="M423" t="inlineStr">
        <is>
          <t>estandar</t>
        </is>
      </c>
      <c r="N423" t="inlineStr">
        <is>
          <t>general</t>
        </is>
      </c>
      <c r="O423" t="inlineStr">
        <is>
          <t>https://www.farmacity.com/crema-para-peinar-good-bye-danos-oil-control-x-300-ml/p</t>
        </is>
      </c>
      <c r="P423">
        <f>TRIM(CLEAN(PROPER(D423)))</f>
        <v/>
      </c>
      <c r="Q423">
        <f>PROPER(TRIM(SUBSTITUTE(SUBSTITUTE(SUBSTITUTE(SUBSTITUTE(E423,"TRESEMME","Tresemme"),"HEAD &amp; SHOULDERS","Head &amp; Shoulders"),"ELVIVE","Elvive"),"FRUCTIS","Fructis")))</f>
        <v/>
      </c>
      <c r="R423">
        <f>COUNTIF($D$2:$D$10000,D423)&gt;1</f>
        <v/>
      </c>
      <c r="S423">
        <f>IF(H423=TRUE,"Disponible","No disponible")</f>
        <v/>
      </c>
      <c r="T423">
        <f>IF(AND(ISNUMBER(I423),I423&gt;0),ROUND(F423/I423,2),"Sin volumen")</f>
        <v/>
      </c>
      <c r="U423">
        <f>IF(F423&lt;5000,"Bajo",IF(F423&lt;15000,"Medio","Alto"))</f>
        <v/>
      </c>
    </row>
    <row r="424">
      <c r="A424" s="6" t="inlineStr">
        <is>
          <t>Farmacity</t>
        </is>
      </c>
      <c r="B424" s="6" t="n">
        <v>250124</v>
      </c>
      <c r="C424" s="6" t="n">
        <v>250124</v>
      </c>
      <c r="D424" s="6" t="inlineStr">
        <is>
          <t>Acondicionador Fructis Good Bye Daños Oil Control x 350 ml</t>
        </is>
      </c>
      <c r="E424" s="6" t="inlineStr">
        <is>
          <t>Fructis</t>
        </is>
      </c>
      <c r="F424" s="6" t="n">
        <v>7990</v>
      </c>
      <c r="G424" s="6" t="n">
        <v>7990</v>
      </c>
      <c r="H424" s="6" t="b">
        <v>1</v>
      </c>
      <c r="I424" s="6" t="n">
        <v>350</v>
      </c>
      <c r="J424" s="6" t="n">
        <v>22.8286</v>
      </c>
      <c r="K424" s="6" t="inlineStr">
        <is>
          <t>&gt; Cuidado Capilar &gt; Shampoo Y Acondicionador &gt;</t>
        </is>
      </c>
      <c r="L424" s="6" t="inlineStr">
        <is>
          <t>acondicionador</t>
        </is>
      </c>
      <c r="M424" s="6" t="inlineStr">
        <is>
          <t>estandar</t>
        </is>
      </c>
      <c r="N424" s="6" t="inlineStr">
        <is>
          <t>general</t>
        </is>
      </c>
      <c r="O424" s="6" t="inlineStr">
        <is>
          <t>https://www.farmacity.com/acondicionador-fructis-good-bye-danos-oil-control-x-350-ml/p</t>
        </is>
      </c>
      <c r="P424" s="8">
        <f>TRIM(CLEAN(PROPER(D424)))</f>
        <v/>
      </c>
      <c r="Q424" s="8">
        <f>PROPER(TRIM(SUBSTITUTE(SUBSTITUTE(SUBSTITUTE(SUBSTITUTE(E424,"TRESEMME","Tresemme"),"HEAD &amp; SHOULDERS","Head &amp; Shoulders"),"ELVIVE","Elvive"),"FRUCTIS","Fructis")))</f>
        <v/>
      </c>
      <c r="R424" s="8">
        <f>COUNTIF($D$2:$D$10000,D424)&gt;1</f>
        <v/>
      </c>
      <c r="S424" s="8">
        <f>IF(H424=TRUE,"Disponible","No disponible")</f>
        <v/>
      </c>
      <c r="T424" s="8">
        <f>IF(AND(ISNUMBER(I424),I424&gt;0),ROUND(F424/I424,2),"Sin volumen")</f>
        <v/>
      </c>
      <c r="U424" s="8">
        <f>IF(F424&lt;5000,"Bajo",IF(F424&lt;15000,"Medio","Alto"))</f>
        <v/>
      </c>
    </row>
    <row r="425">
      <c r="A425" t="inlineStr">
        <is>
          <t>Farmacity</t>
        </is>
      </c>
      <c r="B425" t="n">
        <v>242447</v>
      </c>
      <c r="C425" t="n">
        <v>242447</v>
      </c>
      <c r="D425" t="inlineStr">
        <is>
          <t>Kit Biferdil Champú Sellador del Color Quinoa + Tratamiento Protector Térmico + Pantalla Capilar</t>
        </is>
      </c>
      <c r="E425" t="inlineStr">
        <is>
          <t>Biferdil</t>
        </is>
      </c>
      <c r="F425" t="n">
        <v>44280</v>
      </c>
      <c r="G425" t="n">
        <v>44280</v>
      </c>
      <c r="H425" t="b">
        <v>1</v>
      </c>
      <c r="I425" t="inlineStr"/>
      <c r="J425" t="inlineStr"/>
      <c r="K425" t="inlineStr">
        <is>
          <t>&gt; Cuidado Capilar &gt; Shampoo Y Acondicionador &gt;</t>
        </is>
      </c>
      <c r="L425" t="inlineStr">
        <is>
          <t>tratamiento</t>
        </is>
      </c>
      <c r="M425" t="inlineStr">
        <is>
          <t>estandar</t>
        </is>
      </c>
      <c r="N425" t="inlineStr">
        <is>
          <t>tratado</t>
        </is>
      </c>
      <c r="O425" t="inlineStr">
        <is>
          <t>https://www.farmacity.com/combo-biferdil-champu-sellador-del-color-quinoa-x-400-ml-tratamiento-protector-termico-x-250-ml-pantalla-capilar-x-155-ml/p</t>
        </is>
      </c>
      <c r="P425">
        <f>TRIM(CLEAN(PROPER(D425)))</f>
        <v/>
      </c>
      <c r="Q425">
        <f>PROPER(TRIM(SUBSTITUTE(SUBSTITUTE(SUBSTITUTE(SUBSTITUTE(E425,"TRESEMME","Tresemme"),"HEAD &amp; SHOULDERS","Head &amp; Shoulders"),"ELVIVE","Elvive"),"FRUCTIS","Fructis")))</f>
        <v/>
      </c>
      <c r="R425">
        <f>COUNTIF($D$2:$D$10000,D425)&gt;1</f>
        <v/>
      </c>
      <c r="S425">
        <f>IF(H425=TRUE,"Disponible","No disponible")</f>
        <v/>
      </c>
      <c r="T425">
        <f>IF(AND(ISNUMBER(I425),I425&gt;0),ROUND(F425/I425,2),"Sin volumen")</f>
        <v/>
      </c>
      <c r="U425">
        <f>IF(F425&lt;5000,"Bajo",IF(F425&lt;15000,"Medio","Alto"))</f>
        <v/>
      </c>
    </row>
    <row r="426">
      <c r="A426" s="6" t="inlineStr">
        <is>
          <t>Farmacity</t>
        </is>
      </c>
      <c r="B426" s="6" t="n">
        <v>232308</v>
      </c>
      <c r="C426" s="6" t="n">
        <v>232308</v>
      </c>
      <c r="D426" s="6" t="inlineStr">
        <is>
          <t>Kit Ducha Johnson Baby</t>
        </is>
      </c>
      <c r="E426" s="6" t="inlineStr">
        <is>
          <t>Johnson's</t>
        </is>
      </c>
      <c r="F426" s="6" t="n">
        <v>17301</v>
      </c>
      <c r="G426" s="6" t="n">
        <v>17301</v>
      </c>
      <c r="H426" s="6" t="b">
        <v>1</v>
      </c>
      <c r="I426" s="6" t="inlineStr"/>
      <c r="J426" s="6" t="inlineStr"/>
      <c r="K426" s="6" t="inlineStr">
        <is>
          <t>&gt; Bebés &gt; Higiene del Bebé &gt; Baño Del Bebé &gt;</t>
        </is>
      </c>
      <c r="L426" s="6" t="inlineStr">
        <is>
          <t>tratamiento</t>
        </is>
      </c>
      <c r="M426" s="6" t="inlineStr">
        <is>
          <t>estandar</t>
        </is>
      </c>
      <c r="N426" s="6" t="inlineStr">
        <is>
          <t>general</t>
        </is>
      </c>
      <c r="O426" s="6" t="inlineStr">
        <is>
          <t>https://www.farmacity.com/kit-ducha-johnson-baby/p</t>
        </is>
      </c>
      <c r="P426" s="8">
        <f>TRIM(CLEAN(PROPER(D426)))</f>
        <v/>
      </c>
      <c r="Q426" s="8">
        <f>PROPER(TRIM(SUBSTITUTE(SUBSTITUTE(SUBSTITUTE(SUBSTITUTE(E426,"TRESEMME","Tresemme"),"HEAD &amp; SHOULDERS","Head &amp; Shoulders"),"ELVIVE","Elvive"),"FRUCTIS","Fructis")))</f>
        <v/>
      </c>
      <c r="R426" s="8">
        <f>COUNTIF($D$2:$D$10000,D426)&gt;1</f>
        <v/>
      </c>
      <c r="S426" s="8">
        <f>IF(H426=TRUE,"Disponible","No disponible")</f>
        <v/>
      </c>
      <c r="T426" s="8">
        <f>IF(AND(ISNUMBER(I426),I426&gt;0),ROUND(F426/I426,2),"Sin volumen")</f>
        <v/>
      </c>
      <c r="U426" s="8">
        <f>IF(F426&lt;5000,"Bajo",IF(F426&lt;15000,"Medio","Alto"))</f>
        <v/>
      </c>
    </row>
    <row r="427">
      <c r="A427" t="inlineStr">
        <is>
          <t>Farmacity</t>
        </is>
      </c>
      <c r="B427" t="n">
        <v>242448</v>
      </c>
      <c r="C427" t="n">
        <v>242448</v>
      </c>
      <c r="D427" t="inlineStr">
        <is>
          <t>Kit Biferdil Champú Sellador del Color Quinoa + Máscara Ácida Biocolor + Tratamiento Óleo de Argán it Biferdil Champú Sellador del Color Quinoa + Máscara Ácida Biocolor + Tratamiento Óleo de Argán</t>
        </is>
      </c>
      <c r="E427" t="inlineStr">
        <is>
          <t>Biferdil</t>
        </is>
      </c>
      <c r="F427" t="n">
        <v>62748</v>
      </c>
      <c r="G427" t="n">
        <v>62748</v>
      </c>
      <c r="H427" t="b">
        <v>1</v>
      </c>
      <c r="I427" t="inlineStr"/>
      <c r="J427" t="inlineStr"/>
      <c r="K427" t="inlineStr">
        <is>
          <t>&gt; Cuidado Capilar &gt; Shampoo Y Acondicionador &gt;</t>
        </is>
      </c>
      <c r="L427" t="inlineStr">
        <is>
          <t>tratamiento</t>
        </is>
      </c>
      <c r="M427" t="inlineStr">
        <is>
          <t>estandar</t>
        </is>
      </c>
      <c r="N427" t="inlineStr">
        <is>
          <t>tratado</t>
        </is>
      </c>
      <c r="O427" t="inlineStr">
        <is>
          <t>https://www.farmacity.com/combo-biferdil-champu-sellador-del-color-quinoa-x-400-ml-mascara-acida-biocolor-0-x-150-ml-tratamiento-oleo-de-argan-x-58-ml/p</t>
        </is>
      </c>
      <c r="P427">
        <f>TRIM(CLEAN(PROPER(D427)))</f>
        <v/>
      </c>
      <c r="Q427">
        <f>PROPER(TRIM(SUBSTITUTE(SUBSTITUTE(SUBSTITUTE(SUBSTITUTE(E427,"TRESEMME","Tresemme"),"HEAD &amp; SHOULDERS","Head &amp; Shoulders"),"ELVIVE","Elvive"),"FRUCTIS","Fructis")))</f>
        <v/>
      </c>
      <c r="R427">
        <f>COUNTIF($D$2:$D$10000,D427)&gt;1</f>
        <v/>
      </c>
      <c r="S427">
        <f>IF(H427=TRUE,"Disponible","No disponible")</f>
        <v/>
      </c>
      <c r="T427">
        <f>IF(AND(ISNUMBER(I427),I427&gt;0),ROUND(F427/I427,2),"Sin volumen")</f>
        <v/>
      </c>
      <c r="U427">
        <f>IF(F427&lt;5000,"Bajo",IF(F427&lt;15000,"Medio","Alto"))</f>
        <v/>
      </c>
    </row>
    <row r="428">
      <c r="A428" s="6" t="inlineStr">
        <is>
          <t>Farmacity</t>
        </is>
      </c>
      <c r="B428" s="6" t="n">
        <v>237019</v>
      </c>
      <c r="C428" s="6" t="n">
        <v>237019</v>
      </c>
      <c r="D428" s="6" t="inlineStr">
        <is>
          <t>Kit Excellence Creme Tono 5 Castaño Claro + Elvive Colorvive Crema Tratamiento 300 ml</t>
        </is>
      </c>
      <c r="E428" s="6" t="inlineStr">
        <is>
          <t>L'Oreal París</t>
        </is>
      </c>
      <c r="F428" s="6" t="n">
        <v>22217</v>
      </c>
      <c r="G428" s="6" t="n">
        <v>34180</v>
      </c>
      <c r="H428" s="6" t="b">
        <v>1</v>
      </c>
      <c r="I428" s="6" t="n">
        <v>300</v>
      </c>
      <c r="J428" s="6" t="n">
        <v>74.05670000000001</v>
      </c>
      <c r="K428" s="6" t="inlineStr">
        <is>
          <t>&gt; Cuidado Capilar &gt; Coloración Y Oxidantes &gt;</t>
        </is>
      </c>
      <c r="L428" s="6" t="inlineStr">
        <is>
          <t>tratamiento</t>
        </is>
      </c>
      <c r="M428" s="6" t="inlineStr">
        <is>
          <t>profesional</t>
        </is>
      </c>
      <c r="N428" s="6" t="inlineStr">
        <is>
          <t>tratado</t>
        </is>
      </c>
      <c r="O428" s="6" t="inlineStr">
        <is>
          <t>https://www.farmacity.com/kit-excellence-creme-tono-5-castano-claro-elvive-colorvive-crema-tratamiento-300-ml-/p</t>
        </is>
      </c>
      <c r="P428" s="8">
        <f>TRIM(CLEAN(PROPER(D428)))</f>
        <v/>
      </c>
      <c r="Q428" s="8">
        <f>PROPER(TRIM(SUBSTITUTE(SUBSTITUTE(SUBSTITUTE(SUBSTITUTE(E428,"TRESEMME","Tresemme"),"HEAD &amp; SHOULDERS","Head &amp; Shoulders"),"ELVIVE","Elvive"),"FRUCTIS","Fructis")))</f>
        <v/>
      </c>
      <c r="R428" s="8">
        <f>COUNTIF($D$2:$D$10000,D428)&gt;1</f>
        <v/>
      </c>
      <c r="S428" s="8">
        <f>IF(H428=TRUE,"Disponible","No disponible")</f>
        <v/>
      </c>
      <c r="T428" s="8">
        <f>IF(AND(ISNUMBER(I428),I428&gt;0),ROUND(F428/I428,2),"Sin volumen")</f>
        <v/>
      </c>
      <c r="U428" s="8">
        <f>IF(F428&lt;5000,"Bajo",IF(F428&lt;15000,"Medio","Alto"))</f>
        <v/>
      </c>
    </row>
    <row r="429">
      <c r="A429" t="inlineStr">
        <is>
          <t>Farmacity</t>
        </is>
      </c>
      <c r="B429" t="n">
        <v>237022</v>
      </c>
      <c r="C429" t="n">
        <v>237022</v>
      </c>
      <c r="D429" t="inlineStr">
        <is>
          <t>Kit Excellence Creme Tono 8 Rubio Claro + Elvive Colorvive Crema Tratamiento 300 ml</t>
        </is>
      </c>
      <c r="E429" t="inlineStr">
        <is>
          <t>L'Oreal París</t>
        </is>
      </c>
      <c r="F429" t="n">
        <v>22217</v>
      </c>
      <c r="G429" t="n">
        <v>34180</v>
      </c>
      <c r="H429" t="b">
        <v>1</v>
      </c>
      <c r="I429" t="n">
        <v>300</v>
      </c>
      <c r="J429" t="n">
        <v>74.05670000000001</v>
      </c>
      <c r="K429" t="inlineStr">
        <is>
          <t>&gt; Cuidado Capilar &gt; Coloración Y Oxidantes &gt;</t>
        </is>
      </c>
      <c r="L429" t="inlineStr">
        <is>
          <t>tratamiento</t>
        </is>
      </c>
      <c r="M429" t="inlineStr">
        <is>
          <t>profesional</t>
        </is>
      </c>
      <c r="N429" t="inlineStr">
        <is>
          <t>tratado</t>
        </is>
      </c>
      <c r="O429" t="inlineStr">
        <is>
          <t>https://www.farmacity.com/kit-excellence-creme-tono-8-rubio-claro-elvive-colorvive-crema-tratamiento-300-ml-/p</t>
        </is>
      </c>
      <c r="P429">
        <f>TRIM(CLEAN(PROPER(D429)))</f>
        <v/>
      </c>
      <c r="Q429">
        <f>PROPER(TRIM(SUBSTITUTE(SUBSTITUTE(SUBSTITUTE(SUBSTITUTE(E429,"TRESEMME","Tresemme"),"HEAD &amp; SHOULDERS","Head &amp; Shoulders"),"ELVIVE","Elvive"),"FRUCTIS","Fructis")))</f>
        <v/>
      </c>
      <c r="R429">
        <f>COUNTIF($D$2:$D$10000,D429)&gt;1</f>
        <v/>
      </c>
      <c r="S429">
        <f>IF(H429=TRUE,"Disponible","No disponible")</f>
        <v/>
      </c>
      <c r="T429">
        <f>IF(AND(ISNUMBER(I429),I429&gt;0),ROUND(F429/I429,2),"Sin volumen")</f>
        <v/>
      </c>
      <c r="U429">
        <f>IF(F429&lt;5000,"Bajo",IF(F429&lt;15000,"Medio","Alto"))</f>
        <v/>
      </c>
    </row>
    <row r="430">
      <c r="A430" s="6" t="inlineStr">
        <is>
          <t>Farmacity</t>
        </is>
      </c>
      <c r="B430" s="6" t="n">
        <v>208219</v>
      </c>
      <c r="C430" s="6" t="n">
        <v>208219</v>
      </c>
      <c r="D430" s="6" t="inlineStr">
        <is>
          <t>Kit Ahorro Nopucid Loción x 65 ml + Spray Repelente</t>
        </is>
      </c>
      <c r="E430" s="6" t="inlineStr">
        <is>
          <t>Nopucid</t>
        </is>
      </c>
      <c r="F430" s="6" t="n">
        <v>25238</v>
      </c>
      <c r="G430" s="6" t="n">
        <v>25238</v>
      </c>
      <c r="H430" s="6" t="b">
        <v>1</v>
      </c>
      <c r="I430" s="6" t="n">
        <v>65</v>
      </c>
      <c r="J430" s="6" t="n">
        <v>388.2769</v>
      </c>
      <c r="K430" s="6" t="inlineStr">
        <is>
          <t>&gt; Farmacia &gt; Pediculosis &gt; Lociones, Enjuagues Y Emulsiones &gt;</t>
        </is>
      </c>
      <c r="L430" s="6" t="inlineStr">
        <is>
          <t>tratamiento</t>
        </is>
      </c>
      <c r="M430" s="6" t="inlineStr">
        <is>
          <t>estandar</t>
        </is>
      </c>
      <c r="N430" s="6" t="inlineStr">
        <is>
          <t>general</t>
        </is>
      </c>
      <c r="O430" s="6" t="inlineStr">
        <is>
          <t>https://www.farmacity.com/kit-ahorro-nopucid-locion-x-15-gr-spray-repelente-x-70-ml/p</t>
        </is>
      </c>
      <c r="P430" s="8">
        <f>TRIM(CLEAN(PROPER(D430)))</f>
        <v/>
      </c>
      <c r="Q430" s="8">
        <f>PROPER(TRIM(SUBSTITUTE(SUBSTITUTE(SUBSTITUTE(SUBSTITUTE(E430,"TRESEMME","Tresemme"),"HEAD &amp; SHOULDERS","Head &amp; Shoulders"),"ELVIVE","Elvive"),"FRUCTIS","Fructis")))</f>
        <v/>
      </c>
      <c r="R430" s="8">
        <f>COUNTIF($D$2:$D$10000,D430)&gt;1</f>
        <v/>
      </c>
      <c r="S430" s="8">
        <f>IF(H430=TRUE,"Disponible","No disponible")</f>
        <v/>
      </c>
      <c r="T430" s="8">
        <f>IF(AND(ISNUMBER(I430),I430&gt;0),ROUND(F430/I430,2),"Sin volumen")</f>
        <v/>
      </c>
      <c r="U430" s="8">
        <f>IF(F430&lt;5000,"Bajo",IF(F430&lt;15000,"Medio","Alto"))</f>
        <v/>
      </c>
    </row>
    <row r="431">
      <c r="A431" t="inlineStr">
        <is>
          <t>Farmacity</t>
        </is>
      </c>
      <c r="B431" t="n">
        <v>230637</v>
      </c>
      <c r="C431" t="n">
        <v>230637</v>
      </c>
      <c r="D431" t="inlineStr">
        <is>
          <t>Máscara Capilar Tresemmé Intensivo x 300 g</t>
        </is>
      </c>
      <c r="E431" t="inlineStr">
        <is>
          <t>Tresemmé</t>
        </is>
      </c>
      <c r="F431" t="n">
        <v>9870</v>
      </c>
      <c r="G431" t="n">
        <v>9870</v>
      </c>
      <c r="H431" t="b">
        <v>1</v>
      </c>
      <c r="I431" t="n">
        <v>300</v>
      </c>
      <c r="J431" t="n">
        <v>32.9</v>
      </c>
      <c r="K431" t="inlineStr">
        <is>
          <t>&gt; Cuidado Capilar &gt; Reparación Y Tratamiento &gt;</t>
        </is>
      </c>
      <c r="L431" t="inlineStr">
        <is>
          <t>shampoo</t>
        </is>
      </c>
      <c r="M431" t="inlineStr">
        <is>
          <t>estandar</t>
        </is>
      </c>
      <c r="N431" t="inlineStr">
        <is>
          <t>general</t>
        </is>
      </c>
      <c r="O431" t="inlineStr">
        <is>
          <t>https://www.farmacity.com/mascara-capilar-tresemme-intensivo-x-300-g/p</t>
        </is>
      </c>
      <c r="P431">
        <f>TRIM(CLEAN(PROPER(D431)))</f>
        <v/>
      </c>
      <c r="Q431">
        <f>PROPER(TRIM(SUBSTITUTE(SUBSTITUTE(SUBSTITUTE(SUBSTITUTE(E431,"TRESEMME","Tresemme"),"HEAD &amp; SHOULDERS","Head &amp; Shoulders"),"ELVIVE","Elvive"),"FRUCTIS","Fructis")))</f>
        <v/>
      </c>
      <c r="R431">
        <f>COUNTIF($D$2:$D$10000,D431)&gt;1</f>
        <v/>
      </c>
      <c r="S431">
        <f>IF(H431=TRUE,"Disponible","No disponible")</f>
        <v/>
      </c>
      <c r="T431">
        <f>IF(AND(ISNUMBER(I431),I431&gt;0),ROUND(F431/I431,2),"Sin volumen")</f>
        <v/>
      </c>
      <c r="U431">
        <f>IF(F431&lt;5000,"Bajo",IF(F431&lt;15000,"Medio","Alto"))</f>
        <v/>
      </c>
    </row>
    <row r="432">
      <c r="A432" s="6" t="inlineStr">
        <is>
          <t>Farmacity</t>
        </is>
      </c>
      <c r="B432" s="6" t="n">
        <v>225833</v>
      </c>
      <c r="C432" s="6" t="n">
        <v>225833</v>
      </c>
      <c r="D432" s="6" t="inlineStr">
        <is>
          <t>Loción Nopucid Touch en Aerosol x 145 ml</t>
        </is>
      </c>
      <c r="E432" s="6" t="inlineStr">
        <is>
          <t>Nopucid</t>
        </is>
      </c>
      <c r="F432" s="6" t="n">
        <v>21304</v>
      </c>
      <c r="G432" s="6" t="n">
        <v>21304</v>
      </c>
      <c r="H432" s="6" t="b">
        <v>1</v>
      </c>
      <c r="I432" s="6" t="n">
        <v>145</v>
      </c>
      <c r="J432" s="6" t="n">
        <v>146.9241</v>
      </c>
      <c r="K432" s="6" t="inlineStr">
        <is>
          <t>&gt; Farmacia &gt; Pediculosis &gt; Lociones, Enjuagues Y Emulsiones &gt;</t>
        </is>
      </c>
      <c r="L432" s="6" t="inlineStr">
        <is>
          <t>shampoo</t>
        </is>
      </c>
      <c r="M432" s="6" t="inlineStr">
        <is>
          <t>estandar</t>
        </is>
      </c>
      <c r="N432" s="6" t="inlineStr">
        <is>
          <t>general</t>
        </is>
      </c>
      <c r="O432" s="6" t="inlineStr">
        <is>
          <t>https://www.farmacity.com/locion-nopucid-touch-en-spray-x-145-ml/p</t>
        </is>
      </c>
      <c r="P432" s="8">
        <f>TRIM(CLEAN(PROPER(D432)))</f>
        <v/>
      </c>
      <c r="Q432" s="8">
        <f>PROPER(TRIM(SUBSTITUTE(SUBSTITUTE(SUBSTITUTE(SUBSTITUTE(E432,"TRESEMME","Tresemme"),"HEAD &amp; SHOULDERS","Head &amp; Shoulders"),"ELVIVE","Elvive"),"FRUCTIS","Fructis")))</f>
        <v/>
      </c>
      <c r="R432" s="8">
        <f>COUNTIF($D$2:$D$10000,D432)&gt;1</f>
        <v/>
      </c>
      <c r="S432" s="8">
        <f>IF(H432=TRUE,"Disponible","No disponible")</f>
        <v/>
      </c>
      <c r="T432" s="8">
        <f>IF(AND(ISNUMBER(I432),I432&gt;0),ROUND(F432/I432,2),"Sin volumen")</f>
        <v/>
      </c>
      <c r="U432" s="8">
        <f>IF(F432&lt;5000,"Bajo",IF(F432&lt;15000,"Medio","Alto"))</f>
        <v/>
      </c>
    </row>
    <row r="433">
      <c r="A433" t="inlineStr">
        <is>
          <t>Farmacity</t>
        </is>
      </c>
      <c r="B433" t="n">
        <v>230636</v>
      </c>
      <c r="C433" t="n">
        <v>230636</v>
      </c>
      <c r="D433" t="inlineStr">
        <is>
          <t>Máscara de Tratamiento Tresemmé Hidratación Pro Activa x 300 g</t>
        </is>
      </c>
      <c r="E433" t="inlineStr">
        <is>
          <t>Tresemmé</t>
        </is>
      </c>
      <c r="F433" t="n">
        <v>9870</v>
      </c>
      <c r="G433" t="n">
        <v>9870</v>
      </c>
      <c r="H433" t="b">
        <v>1</v>
      </c>
      <c r="I433" t="n">
        <v>300</v>
      </c>
      <c r="J433" t="n">
        <v>32.9</v>
      </c>
      <c r="K433" t="inlineStr">
        <is>
          <t>&gt; Cuidado Capilar &gt; Reparación Y Tratamiento &gt;</t>
        </is>
      </c>
      <c r="L433" t="inlineStr">
        <is>
          <t>tratamiento</t>
        </is>
      </c>
      <c r="M433" t="inlineStr">
        <is>
          <t>estandar</t>
        </is>
      </c>
      <c r="N433" t="inlineStr">
        <is>
          <t>seco_danado</t>
        </is>
      </c>
      <c r="O433" t="inlineStr">
        <is>
          <t>https://www.farmacity.com/mascara-capilar-tresemme-hidratacion-activa-x-300-g/p</t>
        </is>
      </c>
      <c r="P433">
        <f>TRIM(CLEAN(PROPER(D433)))</f>
        <v/>
      </c>
      <c r="Q433">
        <f>PROPER(TRIM(SUBSTITUTE(SUBSTITUTE(SUBSTITUTE(SUBSTITUTE(E433,"TRESEMME","Tresemme"),"HEAD &amp; SHOULDERS","Head &amp; Shoulders"),"ELVIVE","Elvive"),"FRUCTIS","Fructis")))</f>
        <v/>
      </c>
      <c r="R433">
        <f>COUNTIF($D$2:$D$10000,D433)&gt;1</f>
        <v/>
      </c>
      <c r="S433">
        <f>IF(H433=TRUE,"Disponible","No disponible")</f>
        <v/>
      </c>
      <c r="T433">
        <f>IF(AND(ISNUMBER(I433),I433&gt;0),ROUND(F433/I433,2),"Sin volumen")</f>
        <v/>
      </c>
      <c r="U433">
        <f>IF(F433&lt;5000,"Bajo",IF(F433&lt;15000,"Medio","Alto"))</f>
        <v/>
      </c>
    </row>
    <row r="434">
      <c r="A434" s="6" t="inlineStr">
        <is>
          <t>Farmacity</t>
        </is>
      </c>
      <c r="B434" s="6" t="n">
        <v>586</v>
      </c>
      <c r="C434" s="6" t="n">
        <v>23645</v>
      </c>
      <c r="D434" s="6" t="inlineStr">
        <is>
          <t>Acondicionador iluminador x 420 ml</t>
        </is>
      </c>
      <c r="E434" s="6" t="inlineStr">
        <is>
          <t>Capilatis</t>
        </is>
      </c>
      <c r="F434" s="6" t="n">
        <v>9700</v>
      </c>
      <c r="G434" s="6" t="n">
        <v>9700</v>
      </c>
      <c r="H434" s="6" t="b">
        <v>1</v>
      </c>
      <c r="I434" s="6" t="n">
        <v>420</v>
      </c>
      <c r="J434" s="6" t="n">
        <v>23.0952</v>
      </c>
      <c r="K434" s="6" t="inlineStr">
        <is>
          <t>&gt; Cuidado Capilar &gt; Shampoo Y Acondicionador &gt;</t>
        </is>
      </c>
      <c r="L434" s="6" t="inlineStr">
        <is>
          <t>acondicionador</t>
        </is>
      </c>
      <c r="M434" s="6" t="inlineStr">
        <is>
          <t>estandar</t>
        </is>
      </c>
      <c r="N434" s="6" t="inlineStr">
        <is>
          <t>general</t>
        </is>
      </c>
      <c r="O434" s="6" t="inlineStr">
        <is>
          <t>https://www.farmacity.com/acondicionador-iluminador-x-420-ml/p</t>
        </is>
      </c>
      <c r="P434" s="8">
        <f>TRIM(CLEAN(PROPER(D434)))</f>
        <v/>
      </c>
      <c r="Q434" s="8">
        <f>PROPER(TRIM(SUBSTITUTE(SUBSTITUTE(SUBSTITUTE(SUBSTITUTE(E434,"TRESEMME","Tresemme"),"HEAD &amp; SHOULDERS","Head &amp; Shoulders"),"ELVIVE","Elvive"),"FRUCTIS","Fructis")))</f>
        <v/>
      </c>
      <c r="R434" s="8">
        <f>COUNTIF($D$2:$D$10000,D434)&gt;1</f>
        <v/>
      </c>
      <c r="S434" s="8">
        <f>IF(H434=TRUE,"Disponible","No disponible")</f>
        <v/>
      </c>
      <c r="T434" s="8">
        <f>IF(AND(ISNUMBER(I434),I434&gt;0),ROUND(F434/I434,2),"Sin volumen")</f>
        <v/>
      </c>
      <c r="U434" s="8">
        <f>IF(F434&lt;5000,"Bajo",IF(F434&lt;15000,"Medio","Alto"))</f>
        <v/>
      </c>
    </row>
    <row r="435">
      <c r="A435" t="inlineStr">
        <is>
          <t>Farmacity</t>
        </is>
      </c>
      <c r="B435" t="n">
        <v>240015</v>
      </c>
      <c r="C435" t="n">
        <v>240015</v>
      </c>
      <c r="D435" t="inlineStr">
        <is>
          <t>Acondicionador Elvive Glycolic Gloss x 400 ml</t>
        </is>
      </c>
      <c r="E435" t="inlineStr">
        <is>
          <t>Elvive</t>
        </is>
      </c>
      <c r="F435" t="n">
        <v>7494</v>
      </c>
      <c r="G435" t="n">
        <v>12490</v>
      </c>
      <c r="H435" t="b">
        <v>1</v>
      </c>
      <c r="I435" t="n">
        <v>400</v>
      </c>
      <c r="J435" t="n">
        <v>18.735</v>
      </c>
      <c r="K435" t="inlineStr">
        <is>
          <t>&gt; Cuidado Capilar &gt; Shampoo Y Acondicionador &gt;</t>
        </is>
      </c>
      <c r="L435" t="inlineStr">
        <is>
          <t>acondicionador</t>
        </is>
      </c>
      <c r="M435" t="inlineStr">
        <is>
          <t>profesional</t>
        </is>
      </c>
      <c r="N435" t="inlineStr">
        <is>
          <t>general</t>
        </is>
      </c>
      <c r="O435" t="inlineStr">
        <is>
          <t>https://www.farmacity.com/acondicionador-elvive-glyco-gloss-x-400-ml/p</t>
        </is>
      </c>
      <c r="P435">
        <f>TRIM(CLEAN(PROPER(D435)))</f>
        <v/>
      </c>
      <c r="Q435">
        <f>PROPER(TRIM(SUBSTITUTE(SUBSTITUTE(SUBSTITUTE(SUBSTITUTE(E435,"TRESEMME","Tresemme"),"HEAD &amp; SHOULDERS","Head &amp; Shoulders"),"ELVIVE","Elvive"),"FRUCTIS","Fructis")))</f>
        <v/>
      </c>
      <c r="R435">
        <f>COUNTIF($D$2:$D$10000,D435)&gt;1</f>
        <v/>
      </c>
      <c r="S435">
        <f>IF(H435=TRUE,"Disponible","No disponible")</f>
        <v/>
      </c>
      <c r="T435">
        <f>IF(AND(ISNUMBER(I435),I435&gt;0),ROUND(F435/I435,2),"Sin volumen")</f>
        <v/>
      </c>
      <c r="U435">
        <f>IF(F435&lt;5000,"Bajo",IF(F435&lt;15000,"Medio","Alto"))</f>
        <v/>
      </c>
    </row>
    <row r="436">
      <c r="A436" s="6" t="inlineStr">
        <is>
          <t>Farmacity</t>
        </is>
      </c>
      <c r="B436" s="6" t="n">
        <v>234285</v>
      </c>
      <c r="C436" s="6" t="n">
        <v>234285</v>
      </c>
      <c r="D436" s="6" t="inlineStr">
        <is>
          <t>Acondicionador Pantene Pro-V Miracles Hidrata y Fortalece x 400 ml</t>
        </is>
      </c>
      <c r="E436" s="6" t="inlineStr">
        <is>
          <t>Pantene</t>
        </is>
      </c>
      <c r="F436" s="6" t="n">
        <v>6137</v>
      </c>
      <c r="G436" s="6" t="n">
        <v>10228</v>
      </c>
      <c r="H436" s="6" t="b">
        <v>1</v>
      </c>
      <c r="I436" s="6" t="n">
        <v>400</v>
      </c>
      <c r="J436" s="6" t="n">
        <v>15.3425</v>
      </c>
      <c r="K436" s="6" t="inlineStr">
        <is>
          <t>&gt; Cuidado Capilar &gt; Shampoo Y Acondicionador &gt;</t>
        </is>
      </c>
      <c r="L436" s="6" t="inlineStr">
        <is>
          <t>acondicionador</t>
        </is>
      </c>
      <c r="M436" s="6" t="inlineStr">
        <is>
          <t>profesional</t>
        </is>
      </c>
      <c r="N436" s="6" t="inlineStr">
        <is>
          <t>seco_danado</t>
        </is>
      </c>
      <c r="O436" s="6" t="inlineStr">
        <is>
          <t>https://www.farmacity.com/acondicionador-pantene-pro-v-miracles-hidrata-y-fortalece-x-400-ml/p</t>
        </is>
      </c>
      <c r="P436" s="8">
        <f>TRIM(CLEAN(PROPER(D436)))</f>
        <v/>
      </c>
      <c r="Q436" s="8">
        <f>PROPER(TRIM(SUBSTITUTE(SUBSTITUTE(SUBSTITUTE(SUBSTITUTE(E436,"TRESEMME","Tresemme"),"HEAD &amp; SHOULDERS","Head &amp; Shoulders"),"ELVIVE","Elvive"),"FRUCTIS","Fructis")))</f>
        <v/>
      </c>
      <c r="R436" s="8">
        <f>COUNTIF($D$2:$D$10000,D436)&gt;1</f>
        <v/>
      </c>
      <c r="S436" s="8">
        <f>IF(H436=TRUE,"Disponible","No disponible")</f>
        <v/>
      </c>
      <c r="T436" s="8">
        <f>IF(AND(ISNUMBER(I436),I436&gt;0),ROUND(F436/I436,2),"Sin volumen")</f>
        <v/>
      </c>
      <c r="U436" s="8">
        <f>IF(F436&lt;5000,"Bajo",IF(F436&lt;15000,"Medio","Alto"))</f>
        <v/>
      </c>
    </row>
    <row r="437">
      <c r="A437" t="inlineStr">
        <is>
          <t>Farmacity</t>
        </is>
      </c>
      <c r="B437" t="n">
        <v>225536</v>
      </c>
      <c r="C437" t="n">
        <v>225536</v>
      </c>
      <c r="D437" t="inlineStr">
        <is>
          <t>Acondicionador Bagóvit Capilar Reparación Intensiva x 350 ml</t>
        </is>
      </c>
      <c r="E437" t="inlineStr">
        <is>
          <t>Bagóvit</t>
        </is>
      </c>
      <c r="F437" t="n">
        <v>8984</v>
      </c>
      <c r="G437" t="n">
        <v>8984</v>
      </c>
      <c r="H437" t="b">
        <v>1</v>
      </c>
      <c r="I437" t="n">
        <v>350</v>
      </c>
      <c r="J437" t="n">
        <v>25.6686</v>
      </c>
      <c r="K437" t="inlineStr">
        <is>
          <t>&gt; Cuidado Capilar &gt; Shampoo Y Acondicionador &gt;</t>
        </is>
      </c>
      <c r="L437" t="inlineStr">
        <is>
          <t>acondicionador</t>
        </is>
      </c>
      <c r="M437" t="inlineStr">
        <is>
          <t>estandar</t>
        </is>
      </c>
      <c r="N437" t="inlineStr">
        <is>
          <t>general</t>
        </is>
      </c>
      <c r="O437" t="inlineStr">
        <is>
          <t>https://www.farmacity.com/acondicionador-bagovit-capilar-reparacion-intensiva-x-350-ml/p</t>
        </is>
      </c>
      <c r="P437">
        <f>TRIM(CLEAN(PROPER(D437)))</f>
        <v/>
      </c>
      <c r="Q437">
        <f>PROPER(TRIM(SUBSTITUTE(SUBSTITUTE(SUBSTITUTE(SUBSTITUTE(E437,"TRESEMME","Tresemme"),"HEAD &amp; SHOULDERS","Head &amp; Shoulders"),"ELVIVE","Elvive"),"FRUCTIS","Fructis")))</f>
        <v/>
      </c>
      <c r="R437">
        <f>COUNTIF($D$2:$D$10000,D437)&gt;1</f>
        <v/>
      </c>
      <c r="S437">
        <f>IF(H437=TRUE,"Disponible","No disponible")</f>
        <v/>
      </c>
      <c r="T437">
        <f>IF(AND(ISNUMBER(I437),I437&gt;0),ROUND(F437/I437,2),"Sin volumen")</f>
        <v/>
      </c>
      <c r="U437">
        <f>IF(F437&lt;5000,"Bajo",IF(F437&lt;15000,"Medio","Alto"))</f>
        <v/>
      </c>
    </row>
    <row r="438">
      <c r="A438" s="6" t="inlineStr">
        <is>
          <t>Farmacity</t>
        </is>
      </c>
      <c r="B438" s="6" t="n">
        <v>9589</v>
      </c>
      <c r="C438" s="6" t="n">
        <v>158663</v>
      </c>
      <c r="D438" s="6" t="inlineStr">
        <is>
          <t>Acondicionador Elvive Óleo Extraordinario Rizos x 400 ml</t>
        </is>
      </c>
      <c r="E438" s="6" t="inlineStr">
        <is>
          <t>Elvive</t>
        </is>
      </c>
      <c r="F438" s="6" t="n">
        <v>6714</v>
      </c>
      <c r="G438" s="6" t="n">
        <v>11190</v>
      </c>
      <c r="H438" s="6" t="b">
        <v>1</v>
      </c>
      <c r="I438" s="6" t="n">
        <v>400</v>
      </c>
      <c r="J438" s="6" t="n">
        <v>16.785</v>
      </c>
      <c r="K438" s="6" t="inlineStr">
        <is>
          <t>&gt; Cuidado Capilar &gt; Shampoo Y Acondicionador &gt;</t>
        </is>
      </c>
      <c r="L438" s="6" t="inlineStr">
        <is>
          <t>acondicionador</t>
        </is>
      </c>
      <c r="M438" s="6" t="inlineStr">
        <is>
          <t>profesional</t>
        </is>
      </c>
      <c r="N438" s="6" t="inlineStr">
        <is>
          <t>rizado</t>
        </is>
      </c>
      <c r="O438" s="6" t="inlineStr">
        <is>
          <t>https://www.farmacity.com/acondicionador-oleo-extraordinario-rizos-definidos-x-400-ml/p</t>
        </is>
      </c>
      <c r="P438" s="8">
        <f>TRIM(CLEAN(PROPER(D438)))</f>
        <v/>
      </c>
      <c r="Q438" s="8">
        <f>PROPER(TRIM(SUBSTITUTE(SUBSTITUTE(SUBSTITUTE(SUBSTITUTE(E438,"TRESEMME","Tresemme"),"HEAD &amp; SHOULDERS","Head &amp; Shoulders"),"ELVIVE","Elvive"),"FRUCTIS","Fructis")))</f>
        <v/>
      </c>
      <c r="R438" s="8">
        <f>COUNTIF($D$2:$D$10000,D438)&gt;1</f>
        <v/>
      </c>
      <c r="S438" s="8">
        <f>IF(H438=TRUE,"Disponible","No disponible")</f>
        <v/>
      </c>
      <c r="T438" s="8">
        <f>IF(AND(ISNUMBER(I438),I438&gt;0),ROUND(F438/I438,2),"Sin volumen")</f>
        <v/>
      </c>
      <c r="U438" s="8">
        <f>IF(F438&lt;5000,"Bajo",IF(F438&lt;15000,"Medio","Alto"))</f>
        <v/>
      </c>
    </row>
    <row r="439">
      <c r="A439" t="inlineStr">
        <is>
          <t>Farmacity</t>
        </is>
      </c>
      <c r="B439" t="n">
        <v>5344</v>
      </c>
      <c r="C439" t="n">
        <v>143509</v>
      </c>
      <c r="D439" t="inlineStr">
        <is>
          <t>Acondicionador Elvive Reparación Total Extreme x 400 ml</t>
        </is>
      </c>
      <c r="E439" t="inlineStr">
        <is>
          <t>Elvive</t>
        </is>
      </c>
      <c r="F439" t="n">
        <v>6714</v>
      </c>
      <c r="G439" t="n">
        <v>11190</v>
      </c>
      <c r="H439" t="b">
        <v>1</v>
      </c>
      <c r="I439" t="n">
        <v>400</v>
      </c>
      <c r="J439" t="n">
        <v>16.785</v>
      </c>
      <c r="K439" t="inlineStr">
        <is>
          <t>&gt; Cuidado Capilar &gt; Shampoo Y Acondicionador &gt;</t>
        </is>
      </c>
      <c r="L439" t="inlineStr">
        <is>
          <t>acondicionador</t>
        </is>
      </c>
      <c r="M439" t="inlineStr">
        <is>
          <t>profesional</t>
        </is>
      </c>
      <c r="N439" t="inlineStr">
        <is>
          <t>general</t>
        </is>
      </c>
      <c r="O439" t="inlineStr">
        <is>
          <t>https://www.farmacity.com/acondicionador-reparacion-total-extreme-x-400-ml/p</t>
        </is>
      </c>
      <c r="P439">
        <f>TRIM(CLEAN(PROPER(D439)))</f>
        <v/>
      </c>
      <c r="Q439">
        <f>PROPER(TRIM(SUBSTITUTE(SUBSTITUTE(SUBSTITUTE(SUBSTITUTE(E439,"TRESEMME","Tresemme"),"HEAD &amp; SHOULDERS","Head &amp; Shoulders"),"ELVIVE","Elvive"),"FRUCTIS","Fructis")))</f>
        <v/>
      </c>
      <c r="R439">
        <f>COUNTIF($D$2:$D$10000,D439)&gt;1</f>
        <v/>
      </c>
      <c r="S439">
        <f>IF(H439=TRUE,"Disponible","No disponible")</f>
        <v/>
      </c>
      <c r="T439">
        <f>IF(AND(ISNUMBER(I439),I439&gt;0),ROUND(F439/I439,2),"Sin volumen")</f>
        <v/>
      </c>
      <c r="U439">
        <f>IF(F439&lt;5000,"Bajo",IF(F439&lt;15000,"Medio","Alto"))</f>
        <v/>
      </c>
    </row>
    <row r="440">
      <c r="A440" s="6" t="inlineStr">
        <is>
          <t>Farmacity</t>
        </is>
      </c>
      <c r="B440" s="6" t="n">
        <v>4379</v>
      </c>
      <c r="C440" s="6" t="n">
        <v>139247</v>
      </c>
      <c r="D440" s="6" t="inlineStr">
        <is>
          <t>Acondicionador Elvive Colorvive x 400 ml</t>
        </is>
      </c>
      <c r="E440" s="6" t="inlineStr">
        <is>
          <t>Elvive</t>
        </is>
      </c>
      <c r="F440" s="6" t="n">
        <v>6714</v>
      </c>
      <c r="G440" s="6" t="n">
        <v>11190</v>
      </c>
      <c r="H440" s="6" t="b">
        <v>1</v>
      </c>
      <c r="I440" s="6" t="n">
        <v>400</v>
      </c>
      <c r="J440" s="6" t="n">
        <v>16.785</v>
      </c>
      <c r="K440" s="6" t="inlineStr">
        <is>
          <t>&gt; Cuidado Capilar &gt; Shampoo Y Acondicionador &gt;</t>
        </is>
      </c>
      <c r="L440" s="6" t="inlineStr">
        <is>
          <t>acondicionador</t>
        </is>
      </c>
      <c r="M440" s="6" t="inlineStr">
        <is>
          <t>profesional</t>
        </is>
      </c>
      <c r="N440" s="6" t="inlineStr">
        <is>
          <t>tratado</t>
        </is>
      </c>
      <c r="O440" s="6" t="inlineStr">
        <is>
          <t>https://www.farmacity.com/acondicionador-colorvive-x-400-ml/p</t>
        </is>
      </c>
      <c r="P440" s="8">
        <f>TRIM(CLEAN(PROPER(D440)))</f>
        <v/>
      </c>
      <c r="Q440" s="8">
        <f>PROPER(TRIM(SUBSTITUTE(SUBSTITUTE(SUBSTITUTE(SUBSTITUTE(E440,"TRESEMME","Tresemme"),"HEAD &amp; SHOULDERS","Head &amp; Shoulders"),"ELVIVE","Elvive"),"FRUCTIS","Fructis")))</f>
        <v/>
      </c>
      <c r="R440" s="8">
        <f>COUNTIF($D$2:$D$10000,D440)&gt;1</f>
        <v/>
      </c>
      <c r="S440" s="8">
        <f>IF(H440=TRUE,"Disponible","No disponible")</f>
        <v/>
      </c>
      <c r="T440" s="8">
        <f>IF(AND(ISNUMBER(I440),I440&gt;0),ROUND(F440/I440,2),"Sin volumen")</f>
        <v/>
      </c>
      <c r="U440" s="8">
        <f>IF(F440&lt;5000,"Bajo",IF(F440&lt;15000,"Medio","Alto"))</f>
        <v/>
      </c>
    </row>
    <row r="441">
      <c r="A441" t="inlineStr">
        <is>
          <t>Farmacity</t>
        </is>
      </c>
      <c r="B441" t="n">
        <v>484</v>
      </c>
      <c r="C441" t="n">
        <v>132368</v>
      </c>
      <c r="D441" t="inlineStr">
        <is>
          <t>Acondicionador Dove Óleo Nutrición x 400 ml</t>
        </is>
      </c>
      <c r="E441" t="inlineStr">
        <is>
          <t>Dove</t>
        </is>
      </c>
      <c r="F441" t="n">
        <v>5812</v>
      </c>
      <c r="G441" t="n">
        <v>9687</v>
      </c>
      <c r="H441" t="b">
        <v>1</v>
      </c>
      <c r="I441" t="n">
        <v>400</v>
      </c>
      <c r="J441" t="n">
        <v>14.53</v>
      </c>
      <c r="K441" t="inlineStr">
        <is>
          <t>&gt; Cuidado Capilar &gt; Shampoo Y Acondicionador &gt;</t>
        </is>
      </c>
      <c r="L441" t="inlineStr">
        <is>
          <t>acondicionador</t>
        </is>
      </c>
      <c r="M441" t="inlineStr">
        <is>
          <t>estandar</t>
        </is>
      </c>
      <c r="N441" t="inlineStr">
        <is>
          <t>general</t>
        </is>
      </c>
      <c r="O441" t="inlineStr">
        <is>
          <t>https://www.farmacity.com/acondicionador-dove-oleo-nutricion-botella-x-400-ml/p</t>
        </is>
      </c>
      <c r="P441">
        <f>TRIM(CLEAN(PROPER(D441)))</f>
        <v/>
      </c>
      <c r="Q441">
        <f>PROPER(TRIM(SUBSTITUTE(SUBSTITUTE(SUBSTITUTE(SUBSTITUTE(E441,"TRESEMME","Tresemme"),"HEAD &amp; SHOULDERS","Head &amp; Shoulders"),"ELVIVE","Elvive"),"FRUCTIS","Fructis")))</f>
        <v/>
      </c>
      <c r="R441">
        <f>COUNTIF($D$2:$D$10000,D441)&gt;1</f>
        <v/>
      </c>
      <c r="S441">
        <f>IF(H441=TRUE,"Disponible","No disponible")</f>
        <v/>
      </c>
      <c r="T441">
        <f>IF(AND(ISNUMBER(I441),I441&gt;0),ROUND(F441/I441,2),"Sin volumen")</f>
        <v/>
      </c>
      <c r="U441">
        <f>IF(F441&lt;5000,"Bajo",IF(F441&lt;15000,"Medio","Alto"))</f>
        <v/>
      </c>
    </row>
    <row r="442">
      <c r="A442" s="6" t="inlineStr">
        <is>
          <t>Farmacity</t>
        </is>
      </c>
      <c r="B442" s="6" t="n">
        <v>245462</v>
      </c>
      <c r="C442" s="6" t="n">
        <v>245462</v>
      </c>
      <c r="D442" s="6" t="inlineStr">
        <is>
          <t>Acondicionador Garnier Fructis Hair Food Ananá x 300 ml</t>
        </is>
      </c>
      <c r="E442" s="6" t="inlineStr">
        <is>
          <t>Fructis</t>
        </is>
      </c>
      <c r="F442" s="6" t="n">
        <v>7273</v>
      </c>
      <c r="G442" s="6" t="n">
        <v>11190</v>
      </c>
      <c r="H442" s="6" t="b">
        <v>1</v>
      </c>
      <c r="I442" s="6" t="n">
        <v>300</v>
      </c>
      <c r="J442" s="6" t="n">
        <v>24.2433</v>
      </c>
      <c r="K442" s="6" t="inlineStr">
        <is>
          <t>&gt; Cuidado Capilar &gt; Shampoo Y Acondicionador &gt;</t>
        </is>
      </c>
      <c r="L442" s="6" t="inlineStr">
        <is>
          <t>acondicionador</t>
        </is>
      </c>
      <c r="M442" s="6" t="inlineStr">
        <is>
          <t>estandar</t>
        </is>
      </c>
      <c r="N442" s="6" t="inlineStr">
        <is>
          <t>general</t>
        </is>
      </c>
      <c r="O442" s="6" t="inlineStr">
        <is>
          <t>https://www.farmacity.com/acondicionador-garnier-fructis-hair-food-anana-x-300-ml/p</t>
        </is>
      </c>
      <c r="P442" s="8">
        <f>TRIM(CLEAN(PROPER(D442)))</f>
        <v/>
      </c>
      <c r="Q442" s="8">
        <f>PROPER(TRIM(SUBSTITUTE(SUBSTITUTE(SUBSTITUTE(SUBSTITUTE(E442,"TRESEMME","Tresemme"),"HEAD &amp; SHOULDERS","Head &amp; Shoulders"),"ELVIVE","Elvive"),"FRUCTIS","Fructis")))</f>
        <v/>
      </c>
      <c r="R442" s="8">
        <f>COUNTIF($D$2:$D$10000,D442)&gt;1</f>
        <v/>
      </c>
      <c r="S442" s="8">
        <f>IF(H442=TRUE,"Disponible","No disponible")</f>
        <v/>
      </c>
      <c r="T442" s="8">
        <f>IF(AND(ISNUMBER(I442),I442&gt;0),ROUND(F442/I442,2),"Sin volumen")</f>
        <v/>
      </c>
      <c r="U442" s="8">
        <f>IF(F442&lt;5000,"Bajo",IF(F442&lt;15000,"Medio","Alto"))</f>
        <v/>
      </c>
    </row>
    <row r="443">
      <c r="A443" t="inlineStr">
        <is>
          <t>Farmacity</t>
        </is>
      </c>
      <c r="B443" t="n">
        <v>238879</v>
      </c>
      <c r="C443" t="n">
        <v>238879</v>
      </c>
      <c r="D443" t="inlineStr">
        <is>
          <t>Acondicionador Pantene Liso Infinito Pro-V Miracles x 400 ml</t>
        </is>
      </c>
      <c r="E443" t="inlineStr">
        <is>
          <t>Pantene</t>
        </is>
      </c>
      <c r="F443" t="n">
        <v>6137</v>
      </c>
      <c r="G443" t="n">
        <v>10228</v>
      </c>
      <c r="H443" t="b">
        <v>1</v>
      </c>
      <c r="I443" t="n">
        <v>400</v>
      </c>
      <c r="J443" t="n">
        <v>15.3425</v>
      </c>
      <c r="K443" t="inlineStr">
        <is>
          <t>&gt; Cuidado Capilar &gt; Shampoo Y Acondicionador &gt;</t>
        </is>
      </c>
      <c r="L443" t="inlineStr">
        <is>
          <t>acondicionador</t>
        </is>
      </c>
      <c r="M443" t="inlineStr">
        <is>
          <t>profesional</t>
        </is>
      </c>
      <c r="N443" t="inlineStr">
        <is>
          <t>general</t>
        </is>
      </c>
      <c r="O443" t="inlineStr">
        <is>
          <t>https://www.farmacity.com/acondicionador-pantene-pro-v-miracles-liso-infinito-x-400-ml/p</t>
        </is>
      </c>
      <c r="P443">
        <f>TRIM(CLEAN(PROPER(D443)))</f>
        <v/>
      </c>
      <c r="Q443">
        <f>PROPER(TRIM(SUBSTITUTE(SUBSTITUTE(SUBSTITUTE(SUBSTITUTE(E443,"TRESEMME","Tresemme"),"HEAD &amp; SHOULDERS","Head &amp; Shoulders"),"ELVIVE","Elvive"),"FRUCTIS","Fructis")))</f>
        <v/>
      </c>
      <c r="R443">
        <f>COUNTIF($D$2:$D$10000,D443)&gt;1</f>
        <v/>
      </c>
      <c r="S443">
        <f>IF(H443=TRUE,"Disponible","No disponible")</f>
        <v/>
      </c>
      <c r="T443">
        <f>IF(AND(ISNUMBER(I443),I443&gt;0),ROUND(F443/I443,2),"Sin volumen")</f>
        <v/>
      </c>
      <c r="U443">
        <f>IF(F443&lt;5000,"Bajo",IF(F443&lt;15000,"Medio","Alto"))</f>
        <v/>
      </c>
    </row>
    <row r="444">
      <c r="A444" s="6" t="inlineStr">
        <is>
          <t>Farmacity</t>
        </is>
      </c>
      <c r="B444" s="6" t="n">
        <v>234286</v>
      </c>
      <c r="C444" s="6" t="n">
        <v>234286</v>
      </c>
      <c r="D444" s="6" t="inlineStr">
        <is>
          <t>Acondicionador Pantene Pro-V Miracles Hidrata y Fortalece 750 ml</t>
        </is>
      </c>
      <c r="E444" s="6" t="inlineStr">
        <is>
          <t>Pantene</t>
        </is>
      </c>
      <c r="F444" s="6" t="n">
        <v>10040</v>
      </c>
      <c r="G444" s="6" t="n">
        <v>16733</v>
      </c>
      <c r="H444" s="6" t="b">
        <v>1</v>
      </c>
      <c r="I444" s="6" t="n">
        <v>750</v>
      </c>
      <c r="J444" s="6" t="n">
        <v>13.3867</v>
      </c>
      <c r="K444" s="6" t="inlineStr">
        <is>
          <t>&gt; Cuidado Capilar &gt; Shampoo Y Acondicionador &gt;</t>
        </is>
      </c>
      <c r="L444" s="6" t="inlineStr">
        <is>
          <t>acondicionador</t>
        </is>
      </c>
      <c r="M444" s="6" t="inlineStr">
        <is>
          <t>profesional</t>
        </is>
      </c>
      <c r="N444" s="6" t="inlineStr">
        <is>
          <t>seco_danado</t>
        </is>
      </c>
      <c r="O444" s="6" t="inlineStr">
        <is>
          <t>https://www.farmacity.com/acondicionador-pantene-pro-v-miracles-hidrata-y-fortalece-x-750-ml/p</t>
        </is>
      </c>
      <c r="P444" s="8">
        <f>TRIM(CLEAN(PROPER(D444)))</f>
        <v/>
      </c>
      <c r="Q444" s="8">
        <f>PROPER(TRIM(SUBSTITUTE(SUBSTITUTE(SUBSTITUTE(SUBSTITUTE(E444,"TRESEMME","Tresemme"),"HEAD &amp; SHOULDERS","Head &amp; Shoulders"),"ELVIVE","Elvive"),"FRUCTIS","Fructis")))</f>
        <v/>
      </c>
      <c r="R444" s="8">
        <f>COUNTIF($D$2:$D$10000,D444)&gt;1</f>
        <v/>
      </c>
      <c r="S444" s="8">
        <f>IF(H444=TRUE,"Disponible","No disponible")</f>
        <v/>
      </c>
      <c r="T444" s="8">
        <f>IF(AND(ISNUMBER(I444),I444&gt;0),ROUND(F444/I444,2),"Sin volumen")</f>
        <v/>
      </c>
      <c r="U444" s="8">
        <f>IF(F444&lt;5000,"Bajo",IF(F444&lt;15000,"Medio","Alto"))</f>
        <v/>
      </c>
    </row>
    <row r="445">
      <c r="A445" t="inlineStr">
        <is>
          <t>Farmacity</t>
        </is>
      </c>
      <c r="B445" t="n">
        <v>230617</v>
      </c>
      <c r="C445" t="n">
        <v>230617</v>
      </c>
      <c r="D445" t="inlineStr">
        <is>
          <t>Acondicionador Tresemmé Ondas Boho x 500 ml</t>
        </is>
      </c>
      <c r="E445" t="inlineStr">
        <is>
          <t>Tresemmé</t>
        </is>
      </c>
      <c r="F445" t="n">
        <v>6574</v>
      </c>
      <c r="G445" t="n">
        <v>10114</v>
      </c>
      <c r="H445" t="b">
        <v>1</v>
      </c>
      <c r="I445" t="n">
        <v>500</v>
      </c>
      <c r="J445" t="n">
        <v>13.148</v>
      </c>
      <c r="K445" t="inlineStr">
        <is>
          <t>&gt; Cuidado Capilar &gt; Shampoo Y Acondicionador &gt;</t>
        </is>
      </c>
      <c r="L445" t="inlineStr">
        <is>
          <t>acondicionador</t>
        </is>
      </c>
      <c r="M445" t="inlineStr">
        <is>
          <t>estandar</t>
        </is>
      </c>
      <c r="N445" t="inlineStr">
        <is>
          <t>general</t>
        </is>
      </c>
      <c r="O445" t="inlineStr">
        <is>
          <t>https://www.farmacity.com/acondiconado-tresemme-ondas-boho-x-500-ml/p</t>
        </is>
      </c>
      <c r="P445">
        <f>TRIM(CLEAN(PROPER(D445)))</f>
        <v/>
      </c>
      <c r="Q445">
        <f>PROPER(TRIM(SUBSTITUTE(SUBSTITUTE(SUBSTITUTE(SUBSTITUTE(E445,"TRESEMME","Tresemme"),"HEAD &amp; SHOULDERS","Head &amp; Shoulders"),"ELVIVE","Elvive"),"FRUCTIS","Fructis")))</f>
        <v/>
      </c>
      <c r="R445">
        <f>COUNTIF($D$2:$D$10000,D445)&gt;1</f>
        <v/>
      </c>
      <c r="S445">
        <f>IF(H445=TRUE,"Disponible","No disponible")</f>
        <v/>
      </c>
      <c r="T445">
        <f>IF(AND(ISNUMBER(I445),I445&gt;0),ROUND(F445/I445,2),"Sin volumen")</f>
        <v/>
      </c>
      <c r="U445">
        <f>IF(F445&lt;5000,"Bajo",IF(F445&lt;15000,"Medio","Alto"))</f>
        <v/>
      </c>
    </row>
    <row r="446">
      <c r="A446" s="6" t="inlineStr">
        <is>
          <t>Farmacity</t>
        </is>
      </c>
      <c r="B446" s="6" t="n">
        <v>221681</v>
      </c>
      <c r="C446" s="6" t="n">
        <v>221681</v>
      </c>
      <c r="D446" s="6" t="inlineStr">
        <is>
          <t>Acondicionador Elvive Hidra Hialuronico x 200 ml</t>
        </is>
      </c>
      <c r="E446" s="6" t="inlineStr">
        <is>
          <t>Elvive</t>
        </is>
      </c>
      <c r="F446" s="6" t="n">
        <v>4194</v>
      </c>
      <c r="G446" s="6" t="n">
        <v>6990</v>
      </c>
      <c r="H446" s="6" t="b">
        <v>1</v>
      </c>
      <c r="I446" s="6" t="n">
        <v>200</v>
      </c>
      <c r="J446" s="6" t="n">
        <v>20.97</v>
      </c>
      <c r="K446" s="6" t="inlineStr">
        <is>
          <t>&gt; Cuidado Capilar &gt; Shampoo Y Acondicionador &gt;</t>
        </is>
      </c>
      <c r="L446" s="6" t="inlineStr">
        <is>
          <t>acondicionador</t>
        </is>
      </c>
      <c r="M446" s="6" t="inlineStr">
        <is>
          <t>profesional</t>
        </is>
      </c>
      <c r="N446" s="6" t="inlineStr">
        <is>
          <t>general</t>
        </is>
      </c>
      <c r="O446" s="6" t="inlineStr">
        <is>
          <t>https://www.farmacity.com/acondicionador-elvive-hidra-hialuronico-x-200-ml/p</t>
        </is>
      </c>
      <c r="P446" s="8">
        <f>TRIM(CLEAN(PROPER(D446)))</f>
        <v/>
      </c>
      <c r="Q446" s="8">
        <f>PROPER(TRIM(SUBSTITUTE(SUBSTITUTE(SUBSTITUTE(SUBSTITUTE(E446,"TRESEMME","Tresemme"),"HEAD &amp; SHOULDERS","Head &amp; Shoulders"),"ELVIVE","Elvive"),"FRUCTIS","Fructis")))</f>
        <v/>
      </c>
      <c r="R446" s="8">
        <f>COUNTIF($D$2:$D$10000,D446)&gt;1</f>
        <v/>
      </c>
      <c r="S446" s="8">
        <f>IF(H446=TRUE,"Disponible","No disponible")</f>
        <v/>
      </c>
      <c r="T446" s="8">
        <f>IF(AND(ISNUMBER(I446),I446&gt;0),ROUND(F446/I446,2),"Sin volumen")</f>
        <v/>
      </c>
      <c r="U446" s="8">
        <f>IF(F446&lt;5000,"Bajo",IF(F446&lt;15000,"Medio","Alto"))</f>
        <v/>
      </c>
    </row>
    <row r="447">
      <c r="A447" t="inlineStr">
        <is>
          <t>Farmacity</t>
        </is>
      </c>
      <c r="B447" t="n">
        <v>208136</v>
      </c>
      <c r="C447" t="n">
        <v>208136</v>
      </c>
      <c r="D447" t="inlineStr">
        <is>
          <t>Acondicionador Elvive Dream Long x 400 ml</t>
        </is>
      </c>
      <c r="E447" t="inlineStr">
        <is>
          <t>Elvive</t>
        </is>
      </c>
      <c r="F447" t="n">
        <v>6714</v>
      </c>
      <c r="G447" t="n">
        <v>11190</v>
      </c>
      <c r="H447" t="b">
        <v>1</v>
      </c>
      <c r="I447" t="n">
        <v>400</v>
      </c>
      <c r="J447" t="n">
        <v>16.785</v>
      </c>
      <c r="K447" t="inlineStr">
        <is>
          <t>&gt; Cuidado Capilar &gt; Shampoo Y Acondicionador &gt;</t>
        </is>
      </c>
      <c r="L447" t="inlineStr">
        <is>
          <t>acondicionador</t>
        </is>
      </c>
      <c r="M447" t="inlineStr">
        <is>
          <t>profesional</t>
        </is>
      </c>
      <c r="N447" t="inlineStr">
        <is>
          <t>general</t>
        </is>
      </c>
      <c r="O447" t="inlineStr">
        <is>
          <t>https://www.farmacity.com/acondicionador-dream-long-elvive-loreal-paris-x-400-ml/p</t>
        </is>
      </c>
      <c r="P447">
        <f>TRIM(CLEAN(PROPER(D447)))</f>
        <v/>
      </c>
      <c r="Q447">
        <f>PROPER(TRIM(SUBSTITUTE(SUBSTITUTE(SUBSTITUTE(SUBSTITUTE(E447,"TRESEMME","Tresemme"),"HEAD &amp; SHOULDERS","Head &amp; Shoulders"),"ELVIVE","Elvive"),"FRUCTIS","Fructis")))</f>
        <v/>
      </c>
      <c r="R447">
        <f>COUNTIF($D$2:$D$10000,D447)&gt;1</f>
        <v/>
      </c>
      <c r="S447">
        <f>IF(H447=TRUE,"Disponible","No disponible")</f>
        <v/>
      </c>
      <c r="T447">
        <f>IF(AND(ISNUMBER(I447),I447&gt;0),ROUND(F447/I447,2),"Sin volumen")</f>
        <v/>
      </c>
      <c r="U447">
        <f>IF(F447&lt;5000,"Bajo",IF(F447&lt;15000,"Medio","Alto"))</f>
        <v/>
      </c>
    </row>
    <row r="448">
      <c r="A448" s="6" t="inlineStr">
        <is>
          <t>Farmacity</t>
        </is>
      </c>
      <c r="B448" s="6" t="n">
        <v>4181</v>
      </c>
      <c r="C448" s="6" t="n">
        <v>139238</v>
      </c>
      <c r="D448" s="6" t="inlineStr">
        <is>
          <t>Acondicionador Elvive Reparación Total 5 x 400 ml</t>
        </is>
      </c>
      <c r="E448" s="6" t="inlineStr">
        <is>
          <t>Elvive</t>
        </is>
      </c>
      <c r="F448" s="6" t="n">
        <v>6714</v>
      </c>
      <c r="G448" s="6" t="n">
        <v>11190</v>
      </c>
      <c r="H448" s="6" t="b">
        <v>1</v>
      </c>
      <c r="I448" s="6" t="n">
        <v>400</v>
      </c>
      <c r="J448" s="6" t="n">
        <v>16.785</v>
      </c>
      <c r="K448" s="6" t="inlineStr">
        <is>
          <t>&gt; Cuidado Capilar &gt; Shampoo Y Acondicionador &gt;</t>
        </is>
      </c>
      <c r="L448" s="6" t="inlineStr">
        <is>
          <t>acondicionador</t>
        </is>
      </c>
      <c r="M448" s="6" t="inlineStr">
        <is>
          <t>profesional</t>
        </is>
      </c>
      <c r="N448" s="6" t="inlineStr">
        <is>
          <t>general</t>
        </is>
      </c>
      <c r="O448" s="6" t="inlineStr">
        <is>
          <t>https://www.farmacity.com/acondicionador-reparacion-total-5-x-400-ml-139238/p</t>
        </is>
      </c>
      <c r="P448" s="8">
        <f>TRIM(CLEAN(PROPER(D448)))</f>
        <v/>
      </c>
      <c r="Q448" s="8">
        <f>PROPER(TRIM(SUBSTITUTE(SUBSTITUTE(SUBSTITUTE(SUBSTITUTE(E448,"TRESEMME","Tresemme"),"HEAD &amp; SHOULDERS","Head &amp; Shoulders"),"ELVIVE","Elvive"),"FRUCTIS","Fructis")))</f>
        <v/>
      </c>
      <c r="R448" s="8">
        <f>COUNTIF($D$2:$D$10000,D448)&gt;1</f>
        <v/>
      </c>
      <c r="S448" s="8">
        <f>IF(H448=TRUE,"Disponible","No disponible")</f>
        <v/>
      </c>
      <c r="T448" s="8">
        <f>IF(AND(ISNUMBER(I448),I448&gt;0),ROUND(F448/I448,2),"Sin volumen")</f>
        <v/>
      </c>
      <c r="U448" s="8">
        <f>IF(F448&lt;5000,"Bajo",IF(F448&lt;15000,"Medio","Alto"))</f>
        <v/>
      </c>
    </row>
    <row r="449">
      <c r="A449" t="inlineStr">
        <is>
          <t>Farmacity</t>
        </is>
      </c>
      <c r="B449" t="n">
        <v>244696</v>
      </c>
      <c r="C449" t="n">
        <v>244696</v>
      </c>
      <c r="D449" t="inlineStr">
        <is>
          <t>Acondicionador Elvive Dream Liso x 750 ml</t>
        </is>
      </c>
      <c r="E449" t="inlineStr">
        <is>
          <t>Elvive</t>
        </is>
      </c>
      <c r="F449" t="n">
        <v>19990</v>
      </c>
      <c r="G449" t="n">
        <v>19990</v>
      </c>
      <c r="H449" t="b">
        <v>1</v>
      </c>
      <c r="I449" t="n">
        <v>750</v>
      </c>
      <c r="J449" t="n">
        <v>26.6533</v>
      </c>
      <c r="K449" t="inlineStr">
        <is>
          <t>&gt; Cuidado Capilar &gt; Shampoo Y Acondicionador &gt;</t>
        </is>
      </c>
      <c r="L449" t="inlineStr">
        <is>
          <t>acondicionador</t>
        </is>
      </c>
      <c r="M449" t="inlineStr">
        <is>
          <t>profesional</t>
        </is>
      </c>
      <c r="N449" t="inlineStr">
        <is>
          <t>general</t>
        </is>
      </c>
      <c r="O449" t="inlineStr">
        <is>
          <t>https://www.farmacity.com/acondicionador-elvive-dream-liso-x-750-ml/p</t>
        </is>
      </c>
      <c r="P449">
        <f>TRIM(CLEAN(PROPER(D449)))</f>
        <v/>
      </c>
      <c r="Q449">
        <f>PROPER(TRIM(SUBSTITUTE(SUBSTITUTE(SUBSTITUTE(SUBSTITUTE(E449,"TRESEMME","Tresemme"),"HEAD &amp; SHOULDERS","Head &amp; Shoulders"),"ELVIVE","Elvive"),"FRUCTIS","Fructis")))</f>
        <v/>
      </c>
      <c r="R449">
        <f>COUNTIF($D$2:$D$10000,D449)&gt;1</f>
        <v/>
      </c>
      <c r="S449">
        <f>IF(H449=TRUE,"Disponible","No disponible")</f>
        <v/>
      </c>
      <c r="T449">
        <f>IF(AND(ISNUMBER(I449),I449&gt;0),ROUND(F449/I449,2),"Sin volumen")</f>
        <v/>
      </c>
      <c r="U449">
        <f>IF(F449&lt;5000,"Bajo",IF(F449&lt;15000,"Medio","Alto"))</f>
        <v/>
      </c>
    </row>
    <row r="450">
      <c r="A450" s="6" t="inlineStr">
        <is>
          <t>Farmacity</t>
        </is>
      </c>
      <c r="B450" s="6" t="n">
        <v>243704</v>
      </c>
      <c r="C450" s="6" t="n">
        <v>243704</v>
      </c>
      <c r="D450" s="6" t="inlineStr">
        <is>
          <t>Acondicionador Antiquiebre Pantene Biotinamina B3 para Cabello Frágil y Quebradizo x 510 ml</t>
        </is>
      </c>
      <c r="E450" s="6" t="inlineStr">
        <is>
          <t>Pantene</t>
        </is>
      </c>
      <c r="F450" s="6" t="n">
        <v>10285</v>
      </c>
      <c r="G450" s="6" t="n">
        <v>17142</v>
      </c>
      <c r="H450" s="6" t="b">
        <v>1</v>
      </c>
      <c r="I450" s="6" t="n">
        <v>510</v>
      </c>
      <c r="J450" s="6" t="n">
        <v>20.1667</v>
      </c>
      <c r="K450" s="6" t="inlineStr">
        <is>
          <t>&gt; Cuidado Capilar &gt; Shampoo Y Acondicionador &gt;</t>
        </is>
      </c>
      <c r="L450" s="6" t="inlineStr">
        <is>
          <t>acondicionador</t>
        </is>
      </c>
      <c r="M450" s="6" t="inlineStr">
        <is>
          <t>estandar</t>
        </is>
      </c>
      <c r="N450" s="6" t="inlineStr">
        <is>
          <t>seco_danado</t>
        </is>
      </c>
      <c r="O450" s="6" t="inlineStr">
        <is>
          <t>https://www.farmacity.com/acondicionador-pantene-anti-caida-x-510-ml/p</t>
        </is>
      </c>
      <c r="P450" s="8">
        <f>TRIM(CLEAN(PROPER(D450)))</f>
        <v/>
      </c>
      <c r="Q450" s="8">
        <f>PROPER(TRIM(SUBSTITUTE(SUBSTITUTE(SUBSTITUTE(SUBSTITUTE(E450,"TRESEMME","Tresemme"),"HEAD &amp; SHOULDERS","Head &amp; Shoulders"),"ELVIVE","Elvive"),"FRUCTIS","Fructis")))</f>
        <v/>
      </c>
      <c r="R450" s="8">
        <f>COUNTIF($D$2:$D$10000,D450)&gt;1</f>
        <v/>
      </c>
      <c r="S450" s="8">
        <f>IF(H450=TRUE,"Disponible","No disponible")</f>
        <v/>
      </c>
      <c r="T450" s="8">
        <f>IF(AND(ISNUMBER(I450),I450&gt;0),ROUND(F450/I450,2),"Sin volumen")</f>
        <v/>
      </c>
      <c r="U450" s="8">
        <f>IF(F450&lt;5000,"Bajo",IF(F450&lt;15000,"Medio","Alto"))</f>
        <v/>
      </c>
    </row>
    <row r="451">
      <c r="A451" t="inlineStr">
        <is>
          <t>Farmacity</t>
        </is>
      </c>
      <c r="B451" t="n">
        <v>240014</v>
      </c>
      <c r="C451" t="n">
        <v>240014</v>
      </c>
      <c r="D451" t="inlineStr">
        <is>
          <t>Acondicionador Elvive Glycolic Gloss x 200 ml</t>
        </is>
      </c>
      <c r="E451" t="inlineStr">
        <is>
          <t>Elvive</t>
        </is>
      </c>
      <c r="F451" t="n">
        <v>7490</v>
      </c>
      <c r="G451" t="n">
        <v>7490</v>
      </c>
      <c r="H451" t="b">
        <v>1</v>
      </c>
      <c r="I451" t="n">
        <v>200</v>
      </c>
      <c r="J451" t="n">
        <v>37.45</v>
      </c>
      <c r="K451" t="inlineStr">
        <is>
          <t>&gt; Cuidado Capilar &gt; Shampoo Y Acondicionador &gt;</t>
        </is>
      </c>
      <c r="L451" t="inlineStr">
        <is>
          <t>acondicionador</t>
        </is>
      </c>
      <c r="M451" t="inlineStr">
        <is>
          <t>profesional</t>
        </is>
      </c>
      <c r="N451" t="inlineStr">
        <is>
          <t>general</t>
        </is>
      </c>
      <c r="O451" t="inlineStr">
        <is>
          <t>https://www.farmacity.com/acondicionador-elvive-glyco-gloss-x-200-ml/p</t>
        </is>
      </c>
      <c r="P451">
        <f>TRIM(CLEAN(PROPER(D451)))</f>
        <v/>
      </c>
      <c r="Q451">
        <f>PROPER(TRIM(SUBSTITUTE(SUBSTITUTE(SUBSTITUTE(SUBSTITUTE(E451,"TRESEMME","Tresemme"),"HEAD &amp; SHOULDERS","Head &amp; Shoulders"),"ELVIVE","Elvive"),"FRUCTIS","Fructis")))</f>
        <v/>
      </c>
      <c r="R451">
        <f>COUNTIF($D$2:$D$10000,D451)&gt;1</f>
        <v/>
      </c>
      <c r="S451">
        <f>IF(H451=TRUE,"Disponible","No disponible")</f>
        <v/>
      </c>
      <c r="T451">
        <f>IF(AND(ISNUMBER(I451),I451&gt;0),ROUND(F451/I451,2),"Sin volumen")</f>
        <v/>
      </c>
      <c r="U451">
        <f>IF(F451&lt;5000,"Bajo",IF(F451&lt;15000,"Medio","Alto"))</f>
        <v/>
      </c>
    </row>
    <row r="452">
      <c r="A452" s="6" t="inlineStr">
        <is>
          <t>Farmacity</t>
        </is>
      </c>
      <c r="B452" s="6" t="n">
        <v>237878</v>
      </c>
      <c r="C452" s="6" t="n">
        <v>237878</v>
      </c>
      <c r="D452" s="6" t="inlineStr">
        <is>
          <t>Acondicionador Capilatis Ortiga Concentrado x 420 ml</t>
        </is>
      </c>
      <c r="E452" s="6" t="inlineStr">
        <is>
          <t>Capilatis</t>
        </is>
      </c>
      <c r="F452" s="6" t="n">
        <v>7575</v>
      </c>
      <c r="G452" s="6" t="n">
        <v>10100</v>
      </c>
      <c r="H452" s="6" t="b">
        <v>1</v>
      </c>
      <c r="I452" s="6" t="n">
        <v>420</v>
      </c>
      <c r="J452" s="6" t="n">
        <v>18.0357</v>
      </c>
      <c r="K452" s="6" t="inlineStr">
        <is>
          <t>&gt; Cuidado Capilar &gt; Shampoo Y Acondicionador &gt;</t>
        </is>
      </c>
      <c r="L452" s="6" t="inlineStr">
        <is>
          <t>acondicionador</t>
        </is>
      </c>
      <c r="M452" s="6" t="inlineStr">
        <is>
          <t>estandar</t>
        </is>
      </c>
      <c r="N452" s="6" t="inlineStr">
        <is>
          <t>general</t>
        </is>
      </c>
      <c r="O452" s="6" t="inlineStr">
        <is>
          <t>https://www.farmacity.com/acondicionador-capilatis-ortiga-concentrado-x-420-ml/p</t>
        </is>
      </c>
      <c r="P452" s="8">
        <f>TRIM(CLEAN(PROPER(D452)))</f>
        <v/>
      </c>
      <c r="Q452" s="8">
        <f>PROPER(TRIM(SUBSTITUTE(SUBSTITUTE(SUBSTITUTE(SUBSTITUTE(E452,"TRESEMME","Tresemme"),"HEAD &amp; SHOULDERS","Head &amp; Shoulders"),"ELVIVE","Elvive"),"FRUCTIS","Fructis")))</f>
        <v/>
      </c>
      <c r="R452" s="8">
        <f>COUNTIF($D$2:$D$10000,D452)&gt;1</f>
        <v/>
      </c>
      <c r="S452" s="8">
        <f>IF(H452=TRUE,"Disponible","No disponible")</f>
        <v/>
      </c>
      <c r="T452" s="8">
        <f>IF(AND(ISNUMBER(I452),I452&gt;0),ROUND(F452/I452,2),"Sin volumen")</f>
        <v/>
      </c>
      <c r="U452" s="8">
        <f>IF(F452&lt;5000,"Bajo",IF(F452&lt;15000,"Medio","Alto"))</f>
        <v/>
      </c>
    </row>
    <row r="453">
      <c r="A453" t="inlineStr">
        <is>
          <t>Farmacity</t>
        </is>
      </c>
      <c r="B453" t="n">
        <v>230627</v>
      </c>
      <c r="C453" t="n">
        <v>230627</v>
      </c>
      <c r="D453" t="inlineStr">
        <is>
          <t>Acondicionador Dosificador Tresemmé Cauterización Reparadora x 500 ml</t>
        </is>
      </c>
      <c r="E453" t="inlineStr">
        <is>
          <t>Tresemmé</t>
        </is>
      </c>
      <c r="F453" t="n">
        <v>6574</v>
      </c>
      <c r="G453" t="n">
        <v>10114</v>
      </c>
      <c r="H453" t="b">
        <v>1</v>
      </c>
      <c r="I453" t="n">
        <v>500</v>
      </c>
      <c r="J453" t="n">
        <v>13.148</v>
      </c>
      <c r="K453" t="inlineStr">
        <is>
          <t>&gt; Cuidado Capilar &gt; Shampoo Y Acondicionador &gt;</t>
        </is>
      </c>
      <c r="L453" t="inlineStr">
        <is>
          <t>acondicionador</t>
        </is>
      </c>
      <c r="M453" t="inlineStr">
        <is>
          <t>estandar</t>
        </is>
      </c>
      <c r="N453" t="inlineStr">
        <is>
          <t>general</t>
        </is>
      </c>
      <c r="O453" t="inlineStr">
        <is>
          <t>https://www.farmacity.com/acondicionador-dosificador-tresemme-cauterizacion-reparadora-x-500-ml/p</t>
        </is>
      </c>
      <c r="P453">
        <f>TRIM(CLEAN(PROPER(D453)))</f>
        <v/>
      </c>
      <c r="Q453">
        <f>PROPER(TRIM(SUBSTITUTE(SUBSTITUTE(SUBSTITUTE(SUBSTITUTE(E453,"TRESEMME","Tresemme"),"HEAD &amp; SHOULDERS","Head &amp; Shoulders"),"ELVIVE","Elvive"),"FRUCTIS","Fructis")))</f>
        <v/>
      </c>
      <c r="R453">
        <f>COUNTIF($D$2:$D$10000,D453)&gt;1</f>
        <v/>
      </c>
      <c r="S453">
        <f>IF(H453=TRUE,"Disponible","No disponible")</f>
        <v/>
      </c>
      <c r="T453">
        <f>IF(AND(ISNUMBER(I453),I453&gt;0),ROUND(F453/I453,2),"Sin volumen")</f>
        <v/>
      </c>
      <c r="U453">
        <f>IF(F453&lt;5000,"Bajo",IF(F453&lt;15000,"Medio","Alto"))</f>
        <v/>
      </c>
    </row>
    <row r="454">
      <c r="A454" s="6" t="inlineStr">
        <is>
          <t>Farmacity</t>
        </is>
      </c>
      <c r="B454" s="6" t="n">
        <v>229981</v>
      </c>
      <c r="C454" s="6" t="n">
        <v>229981</v>
      </c>
      <c r="D454" s="6" t="inlineStr">
        <is>
          <t>Acondicionador Tío Nacho Engrosador x 415 ml</t>
        </is>
      </c>
      <c r="E454" s="6" t="inlineStr">
        <is>
          <t>Tío Nacho</t>
        </is>
      </c>
      <c r="F454" s="6" t="n">
        <v>11750</v>
      </c>
      <c r="G454" s="6" t="n">
        <v>11750</v>
      </c>
      <c r="H454" s="6" t="b">
        <v>1</v>
      </c>
      <c r="I454" s="6" t="n">
        <v>415</v>
      </c>
      <c r="J454" s="6" t="n">
        <v>28.3133</v>
      </c>
      <c r="K454" s="6" t="inlineStr">
        <is>
          <t>&gt; Cuidado Capilar &gt; Shampoo Y Acondicionador &gt;</t>
        </is>
      </c>
      <c r="L454" s="6" t="inlineStr">
        <is>
          <t>acondicionador</t>
        </is>
      </c>
      <c r="M454" s="6" t="inlineStr">
        <is>
          <t>estandar</t>
        </is>
      </c>
      <c r="N454" s="6" t="inlineStr">
        <is>
          <t>general</t>
        </is>
      </c>
      <c r="O454" s="6" t="inlineStr">
        <is>
          <t>https://www.farmacity.com/acondicionador-tio-nacho-engrosador-x-415-ml/p</t>
        </is>
      </c>
      <c r="P454" s="8">
        <f>TRIM(CLEAN(PROPER(D454)))</f>
        <v/>
      </c>
      <c r="Q454" s="8">
        <f>PROPER(TRIM(SUBSTITUTE(SUBSTITUTE(SUBSTITUTE(SUBSTITUTE(E454,"TRESEMME","Tresemme"),"HEAD &amp; SHOULDERS","Head &amp; Shoulders"),"ELVIVE","Elvive"),"FRUCTIS","Fructis")))</f>
        <v/>
      </c>
      <c r="R454" s="8">
        <f>COUNTIF($D$2:$D$10000,D454)&gt;1</f>
        <v/>
      </c>
      <c r="S454" s="8">
        <f>IF(H454=TRUE,"Disponible","No disponible")</f>
        <v/>
      </c>
      <c r="T454" s="8">
        <f>IF(AND(ISNUMBER(I454),I454&gt;0),ROUND(F454/I454,2),"Sin volumen")</f>
        <v/>
      </c>
      <c r="U454" s="8">
        <f>IF(F454&lt;5000,"Bajo",IF(F454&lt;15000,"Medio","Alto"))</f>
        <v/>
      </c>
    </row>
    <row r="455">
      <c r="A455" t="inlineStr">
        <is>
          <t>Farmacity</t>
        </is>
      </c>
      <c r="B455" t="n">
        <v>226014</v>
      </c>
      <c r="C455" t="n">
        <v>226014</v>
      </c>
      <c r="D455" t="inlineStr">
        <is>
          <t>Acondicionador Alta Moda Repair &amp; Defense x 300 ml</t>
        </is>
      </c>
      <c r="E455" t="inlineStr">
        <is>
          <t>Alta Moda</t>
        </is>
      </c>
      <c r="F455" t="n">
        <v>5692</v>
      </c>
      <c r="G455" t="n">
        <v>5692</v>
      </c>
      <c r="H455" t="b">
        <v>1</v>
      </c>
      <c r="I455" t="n">
        <v>300</v>
      </c>
      <c r="J455" t="n">
        <v>18.9733</v>
      </c>
      <c r="K455" t="inlineStr">
        <is>
          <t>&gt; Cuidado Capilar &gt; Shampoo Y Acondicionador &gt;</t>
        </is>
      </c>
      <c r="L455" t="inlineStr">
        <is>
          <t>acondicionador</t>
        </is>
      </c>
      <c r="M455" t="inlineStr">
        <is>
          <t>profesional</t>
        </is>
      </c>
      <c r="N455" t="inlineStr">
        <is>
          <t>general</t>
        </is>
      </c>
      <c r="O455" t="inlineStr">
        <is>
          <t>https://www.farmacity.com/acondicionador-alta-moda-e-repair-y-defense-x-300-ml/p</t>
        </is>
      </c>
      <c r="P455">
        <f>TRIM(CLEAN(PROPER(D455)))</f>
        <v/>
      </c>
      <c r="Q455">
        <f>PROPER(TRIM(SUBSTITUTE(SUBSTITUTE(SUBSTITUTE(SUBSTITUTE(E455,"TRESEMME","Tresemme"),"HEAD &amp; SHOULDERS","Head &amp; Shoulders"),"ELVIVE","Elvive"),"FRUCTIS","Fructis")))</f>
        <v/>
      </c>
      <c r="R455">
        <f>COUNTIF($D$2:$D$10000,D455)&gt;1</f>
        <v/>
      </c>
      <c r="S455">
        <f>IF(H455=TRUE,"Disponible","No disponible")</f>
        <v/>
      </c>
      <c r="T455">
        <f>IF(AND(ISNUMBER(I455),I455&gt;0),ROUND(F455/I455,2),"Sin volumen")</f>
        <v/>
      </c>
      <c r="U455">
        <f>IF(F455&lt;5000,"Bajo",IF(F455&lt;15000,"Medio","Alto"))</f>
        <v/>
      </c>
    </row>
    <row r="456">
      <c r="A456" s="6" t="inlineStr">
        <is>
          <t>Farmacity</t>
        </is>
      </c>
      <c r="B456" s="6" t="n">
        <v>224346</v>
      </c>
      <c r="C456" s="6" t="n">
        <v>224346</v>
      </c>
      <c r="D456" s="6" t="inlineStr">
        <is>
          <t>Acondicionador Garnier Fructis Hair Food Sandia x 300 ml</t>
        </is>
      </c>
      <c r="E456" s="6" t="inlineStr">
        <is>
          <t>Fructis</t>
        </is>
      </c>
      <c r="F456" s="6" t="n">
        <v>7273</v>
      </c>
      <c r="G456" s="6" t="n">
        <v>11190</v>
      </c>
      <c r="H456" s="6" t="b">
        <v>1</v>
      </c>
      <c r="I456" s="6" t="n">
        <v>300</v>
      </c>
      <c r="J456" s="6" t="n">
        <v>24.2433</v>
      </c>
      <c r="K456" s="6" t="inlineStr">
        <is>
          <t>&gt; Cuidado Capilar &gt; Shampoo Y Acondicionador &gt;</t>
        </is>
      </c>
      <c r="L456" s="6" t="inlineStr">
        <is>
          <t>acondicionador</t>
        </is>
      </c>
      <c r="M456" s="6" t="inlineStr">
        <is>
          <t>estandar</t>
        </is>
      </c>
      <c r="N456" s="6" t="inlineStr">
        <is>
          <t>general</t>
        </is>
      </c>
      <c r="O456" s="6" t="inlineStr">
        <is>
          <t>https://www.farmacity.com/acondicionador-garnier-fructis-hair-food-sandia-revitalizante-x-300-ml/p</t>
        </is>
      </c>
      <c r="P456" s="8">
        <f>TRIM(CLEAN(PROPER(D456)))</f>
        <v/>
      </c>
      <c r="Q456" s="8">
        <f>PROPER(TRIM(SUBSTITUTE(SUBSTITUTE(SUBSTITUTE(SUBSTITUTE(E456,"TRESEMME","Tresemme"),"HEAD &amp; SHOULDERS","Head &amp; Shoulders"),"ELVIVE","Elvive"),"FRUCTIS","Fructis")))</f>
        <v/>
      </c>
      <c r="R456" s="8">
        <f>COUNTIF($D$2:$D$10000,D456)&gt;1</f>
        <v/>
      </c>
      <c r="S456" s="8">
        <f>IF(H456=TRUE,"Disponible","No disponible")</f>
        <v/>
      </c>
      <c r="T456" s="8">
        <f>IF(AND(ISNUMBER(I456),I456&gt;0),ROUND(F456/I456,2),"Sin volumen")</f>
        <v/>
      </c>
      <c r="U456" s="8">
        <f>IF(F456&lt;5000,"Bajo",IF(F456&lt;15000,"Medio","Alto"))</f>
        <v/>
      </c>
    </row>
    <row r="457">
      <c r="A457" t="inlineStr">
        <is>
          <t>Farmacity</t>
        </is>
      </c>
      <c r="B457" t="n">
        <v>220449</v>
      </c>
      <c r="C457" t="n">
        <v>220449</v>
      </c>
      <c r="D457" t="inlineStr">
        <is>
          <t>Acondicionador Desenredante Capilar Nic Desenready x 210 ml</t>
        </is>
      </c>
      <c r="E457" t="inlineStr">
        <is>
          <t>Nic</t>
        </is>
      </c>
      <c r="F457" t="n">
        <v>10392</v>
      </c>
      <c r="G457" t="n">
        <v>12990</v>
      </c>
      <c r="H457" t="b">
        <v>1</v>
      </c>
      <c r="I457" t="n">
        <v>210</v>
      </c>
      <c r="J457" t="n">
        <v>49.4857</v>
      </c>
      <c r="K457" t="inlineStr">
        <is>
          <t>&gt; Cuidado Capilar &gt; Shampoo Y Acondicionador &gt;</t>
        </is>
      </c>
      <c r="L457" t="inlineStr">
        <is>
          <t>acondicionador</t>
        </is>
      </c>
      <c r="M457" t="inlineStr">
        <is>
          <t>estandar</t>
        </is>
      </c>
      <c r="N457" t="inlineStr">
        <is>
          <t>general</t>
        </is>
      </c>
      <c r="O457" t="inlineStr">
        <is>
          <t>https://www.farmacity.com/tratamiento-capilar-nic-desenready-x-210-ml/p</t>
        </is>
      </c>
      <c r="P457">
        <f>TRIM(CLEAN(PROPER(D457)))</f>
        <v/>
      </c>
      <c r="Q457">
        <f>PROPER(TRIM(SUBSTITUTE(SUBSTITUTE(SUBSTITUTE(SUBSTITUTE(E457,"TRESEMME","Tresemme"),"HEAD &amp; SHOULDERS","Head &amp; Shoulders"),"ELVIVE","Elvive"),"FRUCTIS","Fructis")))</f>
        <v/>
      </c>
      <c r="R457">
        <f>COUNTIF($D$2:$D$10000,D457)&gt;1</f>
        <v/>
      </c>
      <c r="S457">
        <f>IF(H457=TRUE,"Disponible","No disponible")</f>
        <v/>
      </c>
      <c r="T457">
        <f>IF(AND(ISNUMBER(I457),I457&gt;0),ROUND(F457/I457,2),"Sin volumen")</f>
        <v/>
      </c>
      <c r="U457">
        <f>IF(F457&lt;5000,"Bajo",IF(F457&lt;15000,"Medio","Alto"))</f>
        <v/>
      </c>
    </row>
    <row r="458">
      <c r="A458" s="6" t="inlineStr">
        <is>
          <t>Farmacity</t>
        </is>
      </c>
      <c r="B458" s="6" t="n">
        <v>217208</v>
      </c>
      <c r="C458" s="6" t="n">
        <v>217208</v>
      </c>
      <c r="D458" s="6" t="inlineStr">
        <is>
          <t>Acondicionador Fructis Hair Food Coco x 300 ml</t>
        </is>
      </c>
      <c r="E458" s="6" t="inlineStr">
        <is>
          <t>Fructis</t>
        </is>
      </c>
      <c r="F458" s="6" t="n">
        <v>7273</v>
      </c>
      <c r="G458" s="6" t="n">
        <v>11190</v>
      </c>
      <c r="H458" s="6" t="b">
        <v>1</v>
      </c>
      <c r="I458" s="6" t="n">
        <v>300</v>
      </c>
      <c r="J458" s="6" t="n">
        <v>24.2433</v>
      </c>
      <c r="K458" s="6" t="inlineStr">
        <is>
          <t>&gt; Cuidado Capilar &gt; Shampoo Y Acondicionador &gt;</t>
        </is>
      </c>
      <c r="L458" s="6" t="inlineStr">
        <is>
          <t>acondicionador</t>
        </is>
      </c>
      <c r="M458" s="6" t="inlineStr">
        <is>
          <t>estandar</t>
        </is>
      </c>
      <c r="N458" s="6" t="inlineStr">
        <is>
          <t>general</t>
        </is>
      </c>
      <c r="O458" s="6" t="inlineStr">
        <is>
          <t>https://www.farmacity.com/acondicionador-fructis-hair-food-coco-x-300-ml/p</t>
        </is>
      </c>
      <c r="P458" s="8">
        <f>TRIM(CLEAN(PROPER(D458)))</f>
        <v/>
      </c>
      <c r="Q458" s="8">
        <f>PROPER(TRIM(SUBSTITUTE(SUBSTITUTE(SUBSTITUTE(SUBSTITUTE(E458,"TRESEMME","Tresemme"),"HEAD &amp; SHOULDERS","Head &amp; Shoulders"),"ELVIVE","Elvive"),"FRUCTIS","Fructis")))</f>
        <v/>
      </c>
      <c r="R458" s="8">
        <f>COUNTIF($D$2:$D$10000,D458)&gt;1</f>
        <v/>
      </c>
      <c r="S458" s="8">
        <f>IF(H458=TRUE,"Disponible","No disponible")</f>
        <v/>
      </c>
      <c r="T458" s="8">
        <f>IF(AND(ISNUMBER(I458),I458&gt;0),ROUND(F458/I458,2),"Sin volumen")</f>
        <v/>
      </c>
      <c r="U458" s="8">
        <f>IF(F458&lt;5000,"Bajo",IF(F458&lt;15000,"Medio","Alto"))</f>
        <v/>
      </c>
    </row>
    <row r="459">
      <c r="A459" t="inlineStr">
        <is>
          <t>Farmacity</t>
        </is>
      </c>
      <c r="B459" t="n">
        <v>217206</v>
      </c>
      <c r="C459" t="n">
        <v>217206</v>
      </c>
      <c r="D459" t="inlineStr">
        <is>
          <t>Acondicionador Garnier Fructis Hair Food Aloe x 300 ml</t>
        </is>
      </c>
      <c r="E459" t="inlineStr">
        <is>
          <t>Fructis</t>
        </is>
      </c>
      <c r="F459" t="n">
        <v>7273</v>
      </c>
      <c r="G459" t="n">
        <v>11190</v>
      </c>
      <c r="H459" t="b">
        <v>1</v>
      </c>
      <c r="I459" t="n">
        <v>300</v>
      </c>
      <c r="J459" t="n">
        <v>24.2433</v>
      </c>
      <c r="K459" t="inlineStr">
        <is>
          <t>&gt; Cuidado Capilar &gt; Shampoo Y Acondicionador &gt;</t>
        </is>
      </c>
      <c r="L459" t="inlineStr">
        <is>
          <t>acondicionador</t>
        </is>
      </c>
      <c r="M459" t="inlineStr">
        <is>
          <t>estandar</t>
        </is>
      </c>
      <c r="N459" t="inlineStr">
        <is>
          <t>general</t>
        </is>
      </c>
      <c r="O459" t="inlineStr">
        <is>
          <t>https://www.farmacity.com/acondicionador-fructis-hair-food-aloe-vera-x-300-ml/p</t>
        </is>
      </c>
      <c r="P459">
        <f>TRIM(CLEAN(PROPER(D459)))</f>
        <v/>
      </c>
      <c r="Q459">
        <f>PROPER(TRIM(SUBSTITUTE(SUBSTITUTE(SUBSTITUTE(SUBSTITUTE(E459,"TRESEMME","Tresemme"),"HEAD &amp; SHOULDERS","Head &amp; Shoulders"),"ELVIVE","Elvive"),"FRUCTIS","Fructis")))</f>
        <v/>
      </c>
      <c r="R459">
        <f>COUNTIF($D$2:$D$10000,D459)&gt;1</f>
        <v/>
      </c>
      <c r="S459">
        <f>IF(H459=TRUE,"Disponible","No disponible")</f>
        <v/>
      </c>
      <c r="T459">
        <f>IF(AND(ISNUMBER(I459),I459&gt;0),ROUND(F459/I459,2),"Sin volumen")</f>
        <v/>
      </c>
      <c r="U459">
        <f>IF(F459&lt;5000,"Bajo",IF(F459&lt;15000,"Medio","Alto"))</f>
        <v/>
      </c>
    </row>
    <row r="460">
      <c r="A460" s="6" t="inlineStr">
        <is>
          <t>Farmacity</t>
        </is>
      </c>
      <c r="B460" s="6" t="n">
        <v>204166</v>
      </c>
      <c r="C460" s="6" t="n">
        <v>200364</v>
      </c>
      <c r="D460" s="6" t="inlineStr">
        <is>
          <t>Acondicionador Herbal Essences Coconut Milk x 400 ml</t>
        </is>
      </c>
      <c r="E460" s="6" t="inlineStr">
        <is>
          <t>Herbal Essences</t>
        </is>
      </c>
      <c r="F460" s="6" t="n">
        <v>10574</v>
      </c>
      <c r="G460" s="6" t="n">
        <v>16267</v>
      </c>
      <c r="H460" s="6" t="b">
        <v>1</v>
      </c>
      <c r="I460" s="6" t="n">
        <v>400</v>
      </c>
      <c r="J460" s="6" t="n">
        <v>26.435</v>
      </c>
      <c r="K460" s="6" t="inlineStr">
        <is>
          <t>&gt; Cuidado Capilar &gt; Shampoo Y Acondicionador &gt;</t>
        </is>
      </c>
      <c r="L460" s="6" t="inlineStr">
        <is>
          <t>acondicionador</t>
        </is>
      </c>
      <c r="M460" s="6" t="inlineStr">
        <is>
          <t>estandar</t>
        </is>
      </c>
      <c r="N460" s="6" t="inlineStr">
        <is>
          <t>general</t>
        </is>
      </c>
      <c r="O460" s="6" t="inlineStr">
        <is>
          <t>https://www.farmacity.com/acond-herbal-renew-coconut-milk-x-400ml/p</t>
        </is>
      </c>
      <c r="P460" s="8">
        <f>TRIM(CLEAN(PROPER(D460)))</f>
        <v/>
      </c>
      <c r="Q460" s="8">
        <f>PROPER(TRIM(SUBSTITUTE(SUBSTITUTE(SUBSTITUTE(SUBSTITUTE(E460,"TRESEMME","Tresemme"),"HEAD &amp; SHOULDERS","Head &amp; Shoulders"),"ELVIVE","Elvive"),"FRUCTIS","Fructis")))</f>
        <v/>
      </c>
      <c r="R460" s="8">
        <f>COUNTIF($D$2:$D$10000,D460)&gt;1</f>
        <v/>
      </c>
      <c r="S460" s="8">
        <f>IF(H460=TRUE,"Disponible","No disponible")</f>
        <v/>
      </c>
      <c r="T460" s="8">
        <f>IF(AND(ISNUMBER(I460),I460&gt;0),ROUND(F460/I460,2),"Sin volumen")</f>
        <v/>
      </c>
      <c r="U460" s="8">
        <f>IF(F460&lt;5000,"Bajo",IF(F460&lt;15000,"Medio","Alto"))</f>
        <v/>
      </c>
    </row>
    <row r="461">
      <c r="A461" t="inlineStr">
        <is>
          <t>Farmacity</t>
        </is>
      </c>
      <c r="B461" t="n">
        <v>204162</v>
      </c>
      <c r="C461" t="n">
        <v>200360</v>
      </c>
      <c r="D461" t="inlineStr">
        <is>
          <t>Acondicionador Herbal Essences Bio Argan Oil x 400 ml</t>
        </is>
      </c>
      <c r="E461" t="inlineStr">
        <is>
          <t>Herbal Essences</t>
        </is>
      </c>
      <c r="F461" t="n">
        <v>10574</v>
      </c>
      <c r="G461" t="n">
        <v>16267</v>
      </c>
      <c r="H461" t="b">
        <v>1</v>
      </c>
      <c r="I461" t="n">
        <v>400</v>
      </c>
      <c r="J461" t="n">
        <v>26.435</v>
      </c>
      <c r="K461" t="inlineStr">
        <is>
          <t>&gt; Cuidado Capilar &gt; Shampoo Y Acondicionador &gt;</t>
        </is>
      </c>
      <c r="L461" t="inlineStr">
        <is>
          <t>acondicionador</t>
        </is>
      </c>
      <c r="M461" t="inlineStr">
        <is>
          <t>estandar</t>
        </is>
      </c>
      <c r="N461" t="inlineStr">
        <is>
          <t>general</t>
        </is>
      </c>
      <c r="O461" t="inlineStr">
        <is>
          <t>https://www.farmacity.com/acond-herbal-renew-reparacion-argan-oil-x-400ml/p</t>
        </is>
      </c>
      <c r="P461">
        <f>TRIM(CLEAN(PROPER(D461)))</f>
        <v/>
      </c>
      <c r="Q461">
        <f>PROPER(TRIM(SUBSTITUTE(SUBSTITUTE(SUBSTITUTE(SUBSTITUTE(E461,"TRESEMME","Tresemme"),"HEAD &amp; SHOULDERS","Head &amp; Shoulders"),"ELVIVE","Elvive"),"FRUCTIS","Fructis")))</f>
        <v/>
      </c>
      <c r="R461">
        <f>COUNTIF($D$2:$D$10000,D461)&gt;1</f>
        <v/>
      </c>
      <c r="S461">
        <f>IF(H461=TRUE,"Disponible","No disponible")</f>
        <v/>
      </c>
      <c r="T461">
        <f>IF(AND(ISNUMBER(I461),I461&gt;0),ROUND(F461/I461,2),"Sin volumen")</f>
        <v/>
      </c>
      <c r="U461">
        <f>IF(F461&lt;5000,"Bajo",IF(F461&lt;15000,"Medio","Alto"))</f>
        <v/>
      </c>
    </row>
    <row r="462">
      <c r="A462" s="6" t="inlineStr">
        <is>
          <t>Farmacity</t>
        </is>
      </c>
      <c r="B462" s="6" t="n">
        <v>235938</v>
      </c>
      <c r="C462" s="6" t="n">
        <v>235938</v>
      </c>
      <c r="D462" s="6" t="inlineStr">
        <is>
          <t>Acondicionador Fructis Hydra Liss x 350 ml</t>
        </is>
      </c>
      <c r="E462" s="6" t="inlineStr">
        <is>
          <t>Fructis</t>
        </is>
      </c>
      <c r="F462" s="6" t="n">
        <v>7990</v>
      </c>
      <c r="G462" s="6" t="n">
        <v>7990</v>
      </c>
      <c r="H462" s="6" t="b">
        <v>1</v>
      </c>
      <c r="I462" s="6" t="n">
        <v>350</v>
      </c>
      <c r="J462" s="6" t="n">
        <v>22.8286</v>
      </c>
      <c r="K462" s="6" t="inlineStr">
        <is>
          <t>&gt; Cuidado Capilar &gt; Shampoo Y Acondicionador &gt;</t>
        </is>
      </c>
      <c r="L462" s="6" t="inlineStr">
        <is>
          <t>acondicionador</t>
        </is>
      </c>
      <c r="M462" s="6" t="inlineStr">
        <is>
          <t>estandar</t>
        </is>
      </c>
      <c r="N462" s="6" t="inlineStr">
        <is>
          <t>general</t>
        </is>
      </c>
      <c r="O462" s="6" t="inlineStr">
        <is>
          <t>https://www.farmacity.com/acondicionador-fructis-hydra-liss-x-350-ml/p</t>
        </is>
      </c>
      <c r="P462" s="8">
        <f>TRIM(CLEAN(PROPER(D462)))</f>
        <v/>
      </c>
      <c r="Q462" s="8">
        <f>PROPER(TRIM(SUBSTITUTE(SUBSTITUTE(SUBSTITUTE(SUBSTITUTE(E462,"TRESEMME","Tresemme"),"HEAD &amp; SHOULDERS","Head &amp; Shoulders"),"ELVIVE","Elvive"),"FRUCTIS","Fructis")))</f>
        <v/>
      </c>
      <c r="R462" s="8">
        <f>COUNTIF($D$2:$D$10000,D462)&gt;1</f>
        <v/>
      </c>
      <c r="S462" s="8">
        <f>IF(H462=TRUE,"Disponible","No disponible")</f>
        <v/>
      </c>
      <c r="T462" s="8">
        <f>IF(AND(ISNUMBER(I462),I462&gt;0),ROUND(F462/I462,2),"Sin volumen")</f>
        <v/>
      </c>
      <c r="U462" s="8">
        <f>IF(F462&lt;5000,"Bajo",IF(F462&lt;15000,"Medio","Alto"))</f>
        <v/>
      </c>
    </row>
    <row r="463">
      <c r="A463" t="inlineStr">
        <is>
          <t>Farmacity</t>
        </is>
      </c>
      <c r="B463" t="n">
        <v>235656</v>
      </c>
      <c r="C463" t="n">
        <v>235656</v>
      </c>
      <c r="D463" t="inlineStr">
        <is>
          <t>Acondicionador Pantene Pro-V Miracles Detox 700 ml</t>
        </is>
      </c>
      <c r="E463" t="inlineStr">
        <is>
          <t>Pantene</t>
        </is>
      </c>
      <c r="F463" t="n">
        <v>10040</v>
      </c>
      <c r="G463" t="n">
        <v>16733</v>
      </c>
      <c r="H463" t="b">
        <v>1</v>
      </c>
      <c r="I463" t="n">
        <v>700</v>
      </c>
      <c r="J463" t="n">
        <v>14.3429</v>
      </c>
      <c r="K463" t="inlineStr">
        <is>
          <t>&gt; Cuidado Capilar &gt; Shampoo Y Acondicionador &gt;</t>
        </is>
      </c>
      <c r="L463" t="inlineStr">
        <is>
          <t>acondicionador</t>
        </is>
      </c>
      <c r="M463" t="inlineStr">
        <is>
          <t>profesional</t>
        </is>
      </c>
      <c r="N463" t="inlineStr">
        <is>
          <t>general</t>
        </is>
      </c>
      <c r="O463" t="inlineStr">
        <is>
          <t>https://www.farmacity.com/acondicionador-pantene-pro-v-miracles-detox-x-700-ml/p</t>
        </is>
      </c>
      <c r="P463">
        <f>TRIM(CLEAN(PROPER(D463)))</f>
        <v/>
      </c>
      <c r="Q463">
        <f>PROPER(TRIM(SUBSTITUTE(SUBSTITUTE(SUBSTITUTE(SUBSTITUTE(E463,"TRESEMME","Tresemme"),"HEAD &amp; SHOULDERS","Head &amp; Shoulders"),"ELVIVE","Elvive"),"FRUCTIS","Fructis")))</f>
        <v/>
      </c>
      <c r="R463">
        <f>COUNTIF($D$2:$D$10000,D463)&gt;1</f>
        <v/>
      </c>
      <c r="S463">
        <f>IF(H463=TRUE,"Disponible","No disponible")</f>
        <v/>
      </c>
      <c r="T463">
        <f>IF(AND(ISNUMBER(I463),I463&gt;0),ROUND(F463/I463,2),"Sin volumen")</f>
        <v/>
      </c>
      <c r="U463">
        <f>IF(F463&lt;5000,"Bajo",IF(F463&lt;15000,"Medio","Alto"))</f>
        <v/>
      </c>
    </row>
    <row r="464">
      <c r="A464" s="6" t="inlineStr">
        <is>
          <t>Farmacity</t>
        </is>
      </c>
      <c r="B464" s="6" t="n">
        <v>233318</v>
      </c>
      <c r="C464" s="6" t="n">
        <v>233318</v>
      </c>
      <c r="D464" s="6" t="inlineStr">
        <is>
          <t>Acondicionador Alta Moda Detox Purify x 300 ml</t>
        </is>
      </c>
      <c r="E464" s="6" t="inlineStr">
        <is>
          <t>Alta Moda</t>
        </is>
      </c>
      <c r="F464" s="6" t="n">
        <v>5692</v>
      </c>
      <c r="G464" s="6" t="n">
        <v>5692</v>
      </c>
      <c r="H464" s="6" t="b">
        <v>1</v>
      </c>
      <c r="I464" s="6" t="n">
        <v>300</v>
      </c>
      <c r="J464" s="6" t="n">
        <v>18.9733</v>
      </c>
      <c r="K464" s="6" t="inlineStr">
        <is>
          <t>&gt; Cuidado Capilar &gt; Shampoo Y Acondicionador &gt;</t>
        </is>
      </c>
      <c r="L464" s="6" t="inlineStr">
        <is>
          <t>acondicionador</t>
        </is>
      </c>
      <c r="M464" s="6" t="inlineStr">
        <is>
          <t>estandar</t>
        </is>
      </c>
      <c r="N464" s="6" t="inlineStr">
        <is>
          <t>general</t>
        </is>
      </c>
      <c r="O464" s="6" t="inlineStr">
        <is>
          <t>https://www.farmacity.com/balsamo-suavizante-moda-e-detox-x-300-ml/p</t>
        </is>
      </c>
      <c r="P464" s="8">
        <f>TRIM(CLEAN(PROPER(D464)))</f>
        <v/>
      </c>
      <c r="Q464" s="8">
        <f>PROPER(TRIM(SUBSTITUTE(SUBSTITUTE(SUBSTITUTE(SUBSTITUTE(E464,"TRESEMME","Tresemme"),"HEAD &amp; SHOULDERS","Head &amp; Shoulders"),"ELVIVE","Elvive"),"FRUCTIS","Fructis")))</f>
        <v/>
      </c>
      <c r="R464" s="8">
        <f>COUNTIF($D$2:$D$10000,D464)&gt;1</f>
        <v/>
      </c>
      <c r="S464" s="8">
        <f>IF(H464=TRUE,"Disponible","No disponible")</f>
        <v/>
      </c>
      <c r="T464" s="8">
        <f>IF(AND(ISNUMBER(I464),I464&gt;0),ROUND(F464/I464,2),"Sin volumen")</f>
        <v/>
      </c>
      <c r="U464" s="8">
        <f>IF(F464&lt;5000,"Bajo",IF(F464&lt;15000,"Medio","Alto"))</f>
        <v/>
      </c>
    </row>
    <row r="465">
      <c r="A465" t="inlineStr">
        <is>
          <t>Farmacity</t>
        </is>
      </c>
      <c r="B465" t="n">
        <v>225993</v>
      </c>
      <c r="C465" t="n">
        <v>225993</v>
      </c>
      <c r="D465" t="inlineStr">
        <is>
          <t>Acondicionador Alta Moda Hydra Save x 300 ml</t>
        </is>
      </c>
      <c r="E465" t="inlineStr">
        <is>
          <t>Alta Moda</t>
        </is>
      </c>
      <c r="F465" t="n">
        <v>5692</v>
      </c>
      <c r="G465" t="n">
        <v>5692</v>
      </c>
      <c r="H465" t="b">
        <v>1</v>
      </c>
      <c r="I465" t="n">
        <v>300</v>
      </c>
      <c r="J465" t="n">
        <v>18.9733</v>
      </c>
      <c r="K465" t="inlineStr">
        <is>
          <t>&gt; Cuidado Capilar &gt; Shampoo Y Acondicionador &gt;</t>
        </is>
      </c>
      <c r="L465" t="inlineStr">
        <is>
          <t>acondicionador</t>
        </is>
      </c>
      <c r="M465" t="inlineStr">
        <is>
          <t>estandar</t>
        </is>
      </c>
      <c r="N465" t="inlineStr">
        <is>
          <t>general</t>
        </is>
      </c>
      <c r="O465" t="inlineStr">
        <is>
          <t>https://www.farmacity.com/acondicionador-alta-moda-e-hydra-nutri-x-300-g/p</t>
        </is>
      </c>
      <c r="P465">
        <f>TRIM(CLEAN(PROPER(D465)))</f>
        <v/>
      </c>
      <c r="Q465">
        <f>PROPER(TRIM(SUBSTITUTE(SUBSTITUTE(SUBSTITUTE(SUBSTITUTE(E465,"TRESEMME","Tresemme"),"HEAD &amp; SHOULDERS","Head &amp; Shoulders"),"ELVIVE","Elvive"),"FRUCTIS","Fructis")))</f>
        <v/>
      </c>
      <c r="R465">
        <f>COUNTIF($D$2:$D$10000,D465)&gt;1</f>
        <v/>
      </c>
      <c r="S465">
        <f>IF(H465=TRUE,"Disponible","No disponible")</f>
        <v/>
      </c>
      <c r="T465">
        <f>IF(AND(ISNUMBER(I465),I465&gt;0),ROUND(F465/I465,2),"Sin volumen")</f>
        <v/>
      </c>
      <c r="U465">
        <f>IF(F465&lt;5000,"Bajo",IF(F465&lt;15000,"Medio","Alto"))</f>
        <v/>
      </c>
    </row>
    <row r="466">
      <c r="A466" s="6" t="inlineStr">
        <is>
          <t>Farmacity</t>
        </is>
      </c>
      <c r="B466" s="6" t="n">
        <v>215470</v>
      </c>
      <c r="C466" s="6" t="n">
        <v>215470</v>
      </c>
      <c r="D466" s="6" t="inlineStr">
        <is>
          <t>Acondicionador Head &amp; Shoulders Aceite de Coco x 300 ml</t>
        </is>
      </c>
      <c r="E466" s="6" t="inlineStr">
        <is>
          <t>Head and Shoulders</t>
        </is>
      </c>
      <c r="F466" s="6" t="n">
        <v>7264</v>
      </c>
      <c r="G466" s="6" t="n">
        <v>11175</v>
      </c>
      <c r="H466" s="6" t="b">
        <v>1</v>
      </c>
      <c r="I466" s="6" t="n">
        <v>300</v>
      </c>
      <c r="J466" s="6" t="n">
        <v>24.2133</v>
      </c>
      <c r="K466" s="6" t="inlineStr">
        <is>
          <t>&gt; Cuidado Capilar &gt; Shampoo Y Acondicionador &gt;</t>
        </is>
      </c>
      <c r="L466" s="6" t="inlineStr">
        <is>
          <t>acondicionador</t>
        </is>
      </c>
      <c r="M466" s="6" t="inlineStr">
        <is>
          <t>estandar</t>
        </is>
      </c>
      <c r="N466" s="6" t="inlineStr">
        <is>
          <t>general</t>
        </is>
      </c>
      <c r="O466" s="6" t="inlineStr">
        <is>
          <t>https://www.farmacity.com/acondicionador-head-shouders-hidratacion-con-aceite-de-coco-x-300-ml/p</t>
        </is>
      </c>
      <c r="P466" s="8">
        <f>TRIM(CLEAN(PROPER(D466)))</f>
        <v/>
      </c>
      <c r="Q466" s="8">
        <f>PROPER(TRIM(SUBSTITUTE(SUBSTITUTE(SUBSTITUTE(SUBSTITUTE(E466,"TRESEMME","Tresemme"),"HEAD &amp; SHOULDERS","Head &amp; Shoulders"),"ELVIVE","Elvive"),"FRUCTIS","Fructis")))</f>
        <v/>
      </c>
      <c r="R466" s="8">
        <f>COUNTIF($D$2:$D$10000,D466)&gt;1</f>
        <v/>
      </c>
      <c r="S466" s="8">
        <f>IF(H466=TRUE,"Disponible","No disponible")</f>
        <v/>
      </c>
      <c r="T466" s="8">
        <f>IF(AND(ISNUMBER(I466),I466&gt;0),ROUND(F466/I466,2),"Sin volumen")</f>
        <v/>
      </c>
      <c r="U466" s="8">
        <f>IF(F466&lt;5000,"Bajo",IF(F466&lt;15000,"Medio","Alto"))</f>
        <v/>
      </c>
    </row>
    <row r="467">
      <c r="A467" t="inlineStr">
        <is>
          <t>Farmacity</t>
        </is>
      </c>
      <c r="B467" t="n">
        <v>208135</v>
      </c>
      <c r="C467" t="n">
        <v>208135</v>
      </c>
      <c r="D467" t="inlineStr">
        <is>
          <t>Acondicionador Elvive Dream Long x 200 ml</t>
        </is>
      </c>
      <c r="E467" t="inlineStr">
        <is>
          <t>Elvive</t>
        </is>
      </c>
      <c r="F467" t="n">
        <v>4194</v>
      </c>
      <c r="G467" t="n">
        <v>6990</v>
      </c>
      <c r="H467" t="b">
        <v>1</v>
      </c>
      <c r="I467" t="n">
        <v>200</v>
      </c>
      <c r="J467" t="n">
        <v>20.97</v>
      </c>
      <c r="K467" t="inlineStr">
        <is>
          <t>&gt; Cuidado Capilar &gt; Shampoo Y Acondicionador &gt;</t>
        </is>
      </c>
      <c r="L467" t="inlineStr">
        <is>
          <t>acondicionador</t>
        </is>
      </c>
      <c r="M467" t="inlineStr">
        <is>
          <t>profesional</t>
        </is>
      </c>
      <c r="N467" t="inlineStr">
        <is>
          <t>general</t>
        </is>
      </c>
      <c r="O467" t="inlineStr">
        <is>
          <t>https://www.farmacity.com/acondicionador-dream-long-elvive-loreal-paris-x-200-ml/p</t>
        </is>
      </c>
      <c r="P467">
        <f>TRIM(CLEAN(PROPER(D467)))</f>
        <v/>
      </c>
      <c r="Q467">
        <f>PROPER(TRIM(SUBSTITUTE(SUBSTITUTE(SUBSTITUTE(SUBSTITUTE(E467,"TRESEMME","Tresemme"),"HEAD &amp; SHOULDERS","Head &amp; Shoulders"),"ELVIVE","Elvive"),"FRUCTIS","Fructis")))</f>
        <v/>
      </c>
      <c r="R467">
        <f>COUNTIF($D$2:$D$10000,D467)&gt;1</f>
        <v/>
      </c>
      <c r="S467">
        <f>IF(H467=TRUE,"Disponible","No disponible")</f>
        <v/>
      </c>
      <c r="T467">
        <f>IF(AND(ISNUMBER(I467),I467&gt;0),ROUND(F467/I467,2),"Sin volumen")</f>
        <v/>
      </c>
      <c r="U467">
        <f>IF(F467&lt;5000,"Bajo",IF(F467&lt;15000,"Medio","Alto"))</f>
        <v/>
      </c>
    </row>
    <row r="468">
      <c r="A468" s="6" t="inlineStr">
        <is>
          <t>Farmacity</t>
        </is>
      </c>
      <c r="B468" s="6" t="n">
        <v>207430</v>
      </c>
      <c r="C468" s="6" t="n">
        <v>207430</v>
      </c>
      <c r="D468" s="6" t="inlineStr">
        <is>
          <t>Acondicionador Ogx Argan Oil Morrocco x 385 ml</t>
        </is>
      </c>
      <c r="E468" s="6" t="inlineStr">
        <is>
          <t>OGX</t>
        </is>
      </c>
      <c r="F468" s="6" t="n">
        <v>27154</v>
      </c>
      <c r="G468" s="6" t="n">
        <v>27154</v>
      </c>
      <c r="H468" s="6" t="b">
        <v>1</v>
      </c>
      <c r="I468" s="6" t="n">
        <v>385</v>
      </c>
      <c r="J468" s="6" t="n">
        <v>70.5299</v>
      </c>
      <c r="K468" s="6" t="inlineStr">
        <is>
          <t>&gt; Cuidado Capilar &gt; Shampoo Y Acondicionador &gt;</t>
        </is>
      </c>
      <c r="L468" s="6" t="inlineStr">
        <is>
          <t>acondicionador</t>
        </is>
      </c>
      <c r="M468" s="6" t="inlineStr">
        <is>
          <t>estandar</t>
        </is>
      </c>
      <c r="N468" s="6" t="inlineStr">
        <is>
          <t>general</t>
        </is>
      </c>
      <c r="O468" s="6" t="inlineStr">
        <is>
          <t>https://www.farmacity.com/acondicionador-ogx-argan-oil-morrocco-x-385-ml/p</t>
        </is>
      </c>
      <c r="P468" s="8">
        <f>TRIM(CLEAN(PROPER(D468)))</f>
        <v/>
      </c>
      <c r="Q468" s="8">
        <f>PROPER(TRIM(SUBSTITUTE(SUBSTITUTE(SUBSTITUTE(SUBSTITUTE(E468,"TRESEMME","Tresemme"),"HEAD &amp; SHOULDERS","Head &amp; Shoulders"),"ELVIVE","Elvive"),"FRUCTIS","Fructis")))</f>
        <v/>
      </c>
      <c r="R468" s="8">
        <f>COUNTIF($D$2:$D$10000,D468)&gt;1</f>
        <v/>
      </c>
      <c r="S468" s="8">
        <f>IF(H468=TRUE,"Disponible","No disponible")</f>
        <v/>
      </c>
      <c r="T468" s="8">
        <f>IF(AND(ISNUMBER(I468),I468&gt;0),ROUND(F468/I468,2),"Sin volumen")</f>
        <v/>
      </c>
      <c r="U468" s="8">
        <f>IF(F468&lt;5000,"Bajo",IF(F468&lt;15000,"Medio","Alto"))</f>
        <v/>
      </c>
    </row>
    <row r="469">
      <c r="A469" t="inlineStr">
        <is>
          <t>Farmacity</t>
        </is>
      </c>
      <c r="B469" t="n">
        <v>201967</v>
      </c>
      <c r="C469" t="n">
        <v>201967</v>
      </c>
      <c r="D469" t="inlineStr">
        <is>
          <t>Acondicionador para Niños Johnson's Baby Rulos de Ensueño x 200 ml</t>
        </is>
      </c>
      <c r="E469" t="inlineStr">
        <is>
          <t>Johnson's</t>
        </is>
      </c>
      <c r="F469" t="n">
        <v>4540</v>
      </c>
      <c r="G469" t="n">
        <v>6486</v>
      </c>
      <c r="H469" t="b">
        <v>1</v>
      </c>
      <c r="I469" t="n">
        <v>200</v>
      </c>
      <c r="J469" t="n">
        <v>22.7</v>
      </c>
      <c r="K469" t="inlineStr">
        <is>
          <t>&gt; Bebés &gt; Higiene del Bebé &gt; Baño Del Bebé &gt;</t>
        </is>
      </c>
      <c r="L469" t="inlineStr">
        <is>
          <t>acondicionador</t>
        </is>
      </c>
      <c r="M469" t="inlineStr">
        <is>
          <t>estandar</t>
        </is>
      </c>
      <c r="N469" t="inlineStr">
        <is>
          <t>rizado</t>
        </is>
      </c>
      <c r="O469" t="inlineStr">
        <is>
          <t>https://www.farmacity.com/acondicionador-para-niños-johnsons-baby-rulos-de-ensueño-x-200-ml/p</t>
        </is>
      </c>
      <c r="P469">
        <f>TRIM(CLEAN(PROPER(D469)))</f>
        <v/>
      </c>
      <c r="Q469">
        <f>PROPER(TRIM(SUBSTITUTE(SUBSTITUTE(SUBSTITUTE(SUBSTITUTE(E469,"TRESEMME","Tresemme"),"HEAD &amp; SHOULDERS","Head &amp; Shoulders"),"ELVIVE","Elvive"),"FRUCTIS","Fructis")))</f>
        <v/>
      </c>
      <c r="R469">
        <f>COUNTIF($D$2:$D$10000,D469)&gt;1</f>
        <v/>
      </c>
      <c r="S469">
        <f>IF(H469=TRUE,"Disponible","No disponible")</f>
        <v/>
      </c>
      <c r="T469">
        <f>IF(AND(ISNUMBER(I469),I469&gt;0),ROUND(F469/I469,2),"Sin volumen")</f>
        <v/>
      </c>
      <c r="U469">
        <f>IF(F469&lt;5000,"Bajo",IF(F469&lt;15000,"Medio","Alto"))</f>
        <v/>
      </c>
    </row>
    <row r="470">
      <c r="A470" s="6" t="inlineStr">
        <is>
          <t>Farmacity</t>
        </is>
      </c>
      <c r="B470" s="6" t="n">
        <v>248786</v>
      </c>
      <c r="C470" s="6" t="n">
        <v>248786</v>
      </c>
      <c r="D470" s="6" t="inlineStr">
        <is>
          <t>Acondicionador Dercos Collagen 17 x 200 ml</t>
        </is>
      </c>
      <c r="E470" s="6" t="inlineStr">
        <is>
          <t>Vichy</t>
        </is>
      </c>
      <c r="F470" s="6" t="n">
        <v>64802</v>
      </c>
      <c r="G470" s="6" t="n">
        <v>64802</v>
      </c>
      <c r="H470" s="6" t="b">
        <v>1</v>
      </c>
      <c r="I470" s="6" t="n">
        <v>200</v>
      </c>
      <c r="J470" s="6" t="n">
        <v>324.01</v>
      </c>
      <c r="K470" s="6" t="inlineStr">
        <is>
          <t>&gt; Dermocosmética &gt; Pelo &gt; Shampoos y Acondicionadores &gt;</t>
        </is>
      </c>
      <c r="L470" s="6" t="inlineStr">
        <is>
          <t>acondicionador</t>
        </is>
      </c>
      <c r="M470" s="6" t="inlineStr">
        <is>
          <t>estandar</t>
        </is>
      </c>
      <c r="N470" s="6" t="inlineStr">
        <is>
          <t>general</t>
        </is>
      </c>
      <c r="O470" s="6" t="inlineStr">
        <is>
          <t>https://www.farmacity.com/acondicionador-dercos-ultra-reparacion-x-200-ml/p</t>
        </is>
      </c>
      <c r="P470" s="8">
        <f>TRIM(CLEAN(PROPER(D470)))</f>
        <v/>
      </c>
      <c r="Q470" s="8">
        <f>PROPER(TRIM(SUBSTITUTE(SUBSTITUTE(SUBSTITUTE(SUBSTITUTE(E470,"TRESEMME","Tresemme"),"HEAD &amp; SHOULDERS","Head &amp; Shoulders"),"ELVIVE","Elvive"),"FRUCTIS","Fructis")))</f>
        <v/>
      </c>
      <c r="R470" s="8">
        <f>COUNTIF($D$2:$D$10000,D470)&gt;1</f>
        <v/>
      </c>
      <c r="S470" s="8">
        <f>IF(H470=TRUE,"Disponible","No disponible")</f>
        <v/>
      </c>
      <c r="T470" s="8">
        <f>IF(AND(ISNUMBER(I470),I470&gt;0),ROUND(F470/I470,2),"Sin volumen")</f>
        <v/>
      </c>
      <c r="U470" s="8">
        <f>IF(F470&lt;5000,"Bajo",IF(F470&lt;15000,"Medio","Alto"))</f>
        <v/>
      </c>
    </row>
    <row r="471">
      <c r="A471" t="inlineStr">
        <is>
          <t>Farmacity</t>
        </is>
      </c>
      <c r="B471" t="n">
        <v>243912</v>
      </c>
      <c r="C471" t="n">
        <v>243912</v>
      </c>
      <c r="D471" t="inlineStr">
        <is>
          <t>Acondicionador Fructis Probióticos Fuerza x 200 ml</t>
        </is>
      </c>
      <c r="E471" t="inlineStr">
        <is>
          <t>Fructis</t>
        </is>
      </c>
      <c r="F471" t="n">
        <v>5490</v>
      </c>
      <c r="G471" t="n">
        <v>5490</v>
      </c>
      <c r="H471" t="b">
        <v>1</v>
      </c>
      <c r="I471" t="n">
        <v>200</v>
      </c>
      <c r="J471" t="n">
        <v>27.45</v>
      </c>
      <c r="K471" t="inlineStr">
        <is>
          <t>&gt; Cuidado Capilar &gt; Shampoo Y Acondicionador &gt;</t>
        </is>
      </c>
      <c r="L471" t="inlineStr">
        <is>
          <t>acondicionador</t>
        </is>
      </c>
      <c r="M471" t="inlineStr">
        <is>
          <t>profesional</t>
        </is>
      </c>
      <c r="N471" t="inlineStr">
        <is>
          <t>general</t>
        </is>
      </c>
      <c r="O471" t="inlineStr">
        <is>
          <t>https://www.farmacity.com/acondicionador-fructis-probioticos-fuerza-x-200-ml/p</t>
        </is>
      </c>
      <c r="P471">
        <f>TRIM(CLEAN(PROPER(D471)))</f>
        <v/>
      </c>
      <c r="Q471">
        <f>PROPER(TRIM(SUBSTITUTE(SUBSTITUTE(SUBSTITUTE(SUBSTITUTE(E471,"TRESEMME","Tresemme"),"HEAD &amp; SHOULDERS","Head &amp; Shoulders"),"ELVIVE","Elvive"),"FRUCTIS","Fructis")))</f>
        <v/>
      </c>
      <c r="R471">
        <f>COUNTIF($D$2:$D$10000,D471)&gt;1</f>
        <v/>
      </c>
      <c r="S471">
        <f>IF(H471=TRUE,"Disponible","No disponible")</f>
        <v/>
      </c>
      <c r="T471">
        <f>IF(AND(ISNUMBER(I471),I471&gt;0),ROUND(F471/I471,2),"Sin volumen")</f>
        <v/>
      </c>
      <c r="U471">
        <f>IF(F471&lt;5000,"Bajo",IF(F471&lt;15000,"Medio","Alto"))</f>
        <v/>
      </c>
    </row>
    <row r="472">
      <c r="A472" s="6" t="inlineStr">
        <is>
          <t>Farmacity</t>
        </is>
      </c>
      <c r="B472" s="6" t="n">
        <v>241571</v>
      </c>
      <c r="C472" s="6" t="n">
        <v>241571</v>
      </c>
      <c r="D472" s="6" t="inlineStr">
        <is>
          <t>Acondicionador Bagóvit Capilar Plasma Vegetal x 350 ml</t>
        </is>
      </c>
      <c r="E472" s="6" t="inlineStr">
        <is>
          <t>Bagóvit</t>
        </is>
      </c>
      <c r="F472" s="6" t="n">
        <v>10470</v>
      </c>
      <c r="G472" s="6" t="n">
        <v>10470</v>
      </c>
      <c r="H472" s="6" t="b">
        <v>1</v>
      </c>
      <c r="I472" s="6" t="n">
        <v>350</v>
      </c>
      <c r="J472" s="6" t="n">
        <v>29.9143</v>
      </c>
      <c r="K472" s="6" t="inlineStr">
        <is>
          <t>&gt; Cuidado Capilar &gt; Shampoo Y Acondicionador &gt;</t>
        </is>
      </c>
      <c r="L472" s="6" t="inlineStr">
        <is>
          <t>acondicionador</t>
        </is>
      </c>
      <c r="M472" s="6" t="inlineStr">
        <is>
          <t>estandar</t>
        </is>
      </c>
      <c r="N472" s="6" t="inlineStr">
        <is>
          <t>general</t>
        </is>
      </c>
      <c r="O472" s="6" t="inlineStr">
        <is>
          <t>https://www.farmacity.com/acondicionador-bagovit-capilar-plasma-vegetal-x-350-ml-1/p</t>
        </is>
      </c>
      <c r="P472" s="8">
        <f>TRIM(CLEAN(PROPER(D472)))</f>
        <v/>
      </c>
      <c r="Q472" s="8">
        <f>PROPER(TRIM(SUBSTITUTE(SUBSTITUTE(SUBSTITUTE(SUBSTITUTE(E472,"TRESEMME","Tresemme"),"HEAD &amp; SHOULDERS","Head &amp; Shoulders"),"ELVIVE","Elvive"),"FRUCTIS","Fructis")))</f>
        <v/>
      </c>
      <c r="R472" s="8">
        <f>COUNTIF($D$2:$D$10000,D472)&gt;1</f>
        <v/>
      </c>
      <c r="S472" s="8">
        <f>IF(H472=TRUE,"Disponible","No disponible")</f>
        <v/>
      </c>
      <c r="T472" s="8">
        <f>IF(AND(ISNUMBER(I472),I472&gt;0),ROUND(F472/I472,2),"Sin volumen")</f>
        <v/>
      </c>
      <c r="U472" s="8">
        <f>IF(F472&lt;5000,"Bajo",IF(F472&lt;15000,"Medio","Alto"))</f>
        <v/>
      </c>
    </row>
    <row r="473">
      <c r="A473" t="inlineStr">
        <is>
          <t>Farmacity</t>
        </is>
      </c>
      <c r="B473" t="n">
        <v>240910</v>
      </c>
      <c r="C473" t="n">
        <v>240910</v>
      </c>
      <c r="D473" t="inlineStr">
        <is>
          <t>Acondicionador Baby Dove Humectación Enriquecida x 200 ml</t>
        </is>
      </c>
      <c r="E473" t="inlineStr">
        <is>
          <t>Dove</t>
        </is>
      </c>
      <c r="F473" t="n">
        <v>7011</v>
      </c>
      <c r="G473" t="n">
        <v>7011</v>
      </c>
      <c r="H473" t="b">
        <v>1</v>
      </c>
      <c r="I473" t="n">
        <v>200</v>
      </c>
      <c r="J473" t="n">
        <v>35.055</v>
      </c>
      <c r="K473" t="inlineStr">
        <is>
          <t>&gt; Bebés &gt; Higiene del Bebé &gt; Baño Del Bebé &gt;</t>
        </is>
      </c>
      <c r="L473" t="inlineStr">
        <is>
          <t>acondicionador</t>
        </is>
      </c>
      <c r="M473" t="inlineStr">
        <is>
          <t>estandar</t>
        </is>
      </c>
      <c r="N473" t="inlineStr">
        <is>
          <t>general</t>
        </is>
      </c>
      <c r="O473" t="inlineStr">
        <is>
          <t>https://www.farmacity.com/acondicionador-dove-baby-humectacion-enriquecida-x-200-ml/p</t>
        </is>
      </c>
      <c r="P473">
        <f>TRIM(CLEAN(PROPER(D473)))</f>
        <v/>
      </c>
      <c r="Q473">
        <f>PROPER(TRIM(SUBSTITUTE(SUBSTITUTE(SUBSTITUTE(SUBSTITUTE(E473,"TRESEMME","Tresemme"),"HEAD &amp; SHOULDERS","Head &amp; Shoulders"),"ELVIVE","Elvive"),"FRUCTIS","Fructis")))</f>
        <v/>
      </c>
      <c r="R473">
        <f>COUNTIF($D$2:$D$10000,D473)&gt;1</f>
        <v/>
      </c>
      <c r="S473">
        <f>IF(H473=TRUE,"Disponible","No disponible")</f>
        <v/>
      </c>
      <c r="T473">
        <f>IF(AND(ISNUMBER(I473),I473&gt;0),ROUND(F473/I473,2),"Sin volumen")</f>
        <v/>
      </c>
      <c r="U473">
        <f>IF(F473&lt;5000,"Bajo",IF(F473&lt;15000,"Medio","Alto"))</f>
        <v/>
      </c>
    </row>
    <row r="474">
      <c r="A474" s="6" t="inlineStr">
        <is>
          <t>Farmacity</t>
        </is>
      </c>
      <c r="B474" s="6" t="n">
        <v>239938</v>
      </c>
      <c r="C474" s="6" t="n">
        <v>239938</v>
      </c>
      <c r="D474" s="6" t="inlineStr">
        <is>
          <t>Acondicionador Pantene Keratina x 700 ml</t>
        </is>
      </c>
      <c r="E474" s="6" t="inlineStr">
        <is>
          <t>Pantene</t>
        </is>
      </c>
      <c r="F474" s="6" t="n">
        <v>15128</v>
      </c>
      <c r="G474" s="6" t="n">
        <v>15128</v>
      </c>
      <c r="H474" s="6" t="b">
        <v>1</v>
      </c>
      <c r="I474" s="6" t="n">
        <v>700</v>
      </c>
      <c r="J474" s="6" t="n">
        <v>21.6114</v>
      </c>
      <c r="K474" s="6" t="inlineStr">
        <is>
          <t>&gt; Cuidado Capilar &gt; Shampoo Y Acondicionador &gt;</t>
        </is>
      </c>
      <c r="L474" s="6" t="inlineStr">
        <is>
          <t>acondicionador</t>
        </is>
      </c>
      <c r="M474" s="6" t="inlineStr">
        <is>
          <t>estandar</t>
        </is>
      </c>
      <c r="N474" s="6" t="inlineStr">
        <is>
          <t>tratado</t>
        </is>
      </c>
      <c r="O474" s="6" t="inlineStr">
        <is>
          <t>https://www.farmacity.com/acondicionador-pantene-keratina-x-700-ml/p</t>
        </is>
      </c>
      <c r="P474" s="8">
        <f>TRIM(CLEAN(PROPER(D474)))</f>
        <v/>
      </c>
      <c r="Q474" s="8">
        <f>PROPER(TRIM(SUBSTITUTE(SUBSTITUTE(SUBSTITUTE(SUBSTITUTE(E474,"TRESEMME","Tresemme"),"HEAD &amp; SHOULDERS","Head &amp; Shoulders"),"ELVIVE","Elvive"),"FRUCTIS","Fructis")))</f>
        <v/>
      </c>
      <c r="R474" s="8">
        <f>COUNTIF($D$2:$D$10000,D474)&gt;1</f>
        <v/>
      </c>
      <c r="S474" s="8">
        <f>IF(H474=TRUE,"Disponible","No disponible")</f>
        <v/>
      </c>
      <c r="T474" s="8">
        <f>IF(AND(ISNUMBER(I474),I474&gt;0),ROUND(F474/I474,2),"Sin volumen")</f>
        <v/>
      </c>
      <c r="U474" s="8">
        <f>IF(F474&lt;5000,"Bajo",IF(F474&lt;15000,"Medio","Alto"))</f>
        <v/>
      </c>
    </row>
    <row r="475">
      <c r="A475" t="inlineStr">
        <is>
          <t>Farmacity</t>
        </is>
      </c>
      <c r="B475" t="n">
        <v>235663</v>
      </c>
      <c r="C475" t="n">
        <v>235663</v>
      </c>
      <c r="D475" t="inlineStr">
        <is>
          <t>Acondicionador Pantene Pro-V Miracles Equilibrio Hidratante 200 ml</t>
        </is>
      </c>
      <c r="E475" t="inlineStr">
        <is>
          <t>Pantene</t>
        </is>
      </c>
      <c r="F475" t="n">
        <v>3807</v>
      </c>
      <c r="G475" t="n">
        <v>6345</v>
      </c>
      <c r="H475" t="b">
        <v>1</v>
      </c>
      <c r="I475" t="n">
        <v>200</v>
      </c>
      <c r="J475" t="n">
        <v>19.035</v>
      </c>
      <c r="K475" t="inlineStr">
        <is>
          <t>&gt; Cuidado Capilar &gt; Shampoo Y Acondicionador &gt;</t>
        </is>
      </c>
      <c r="L475" t="inlineStr">
        <is>
          <t>acondicionador</t>
        </is>
      </c>
      <c r="M475" t="inlineStr">
        <is>
          <t>profesional</t>
        </is>
      </c>
      <c r="N475" t="inlineStr">
        <is>
          <t>seco_danado</t>
        </is>
      </c>
      <c r="O475" t="inlineStr">
        <is>
          <t>https://www.farmacity.com/acondicionador-pantene-pro-v-miracles-equilibrio-x-200-ml/p</t>
        </is>
      </c>
      <c r="P475">
        <f>TRIM(CLEAN(PROPER(D475)))</f>
        <v/>
      </c>
      <c r="Q475">
        <f>PROPER(TRIM(SUBSTITUTE(SUBSTITUTE(SUBSTITUTE(SUBSTITUTE(E475,"TRESEMME","Tresemme"),"HEAD &amp; SHOULDERS","Head &amp; Shoulders"),"ELVIVE","Elvive"),"FRUCTIS","Fructis")))</f>
        <v/>
      </c>
      <c r="R475">
        <f>COUNTIF($D$2:$D$10000,D475)&gt;1</f>
        <v/>
      </c>
      <c r="S475">
        <f>IF(H475=TRUE,"Disponible","No disponible")</f>
        <v/>
      </c>
      <c r="T475">
        <f>IF(AND(ISNUMBER(I475),I475&gt;0),ROUND(F475/I475,2),"Sin volumen")</f>
        <v/>
      </c>
      <c r="U475">
        <f>IF(F475&lt;5000,"Bajo",IF(F475&lt;15000,"Medio","Alto"))</f>
        <v/>
      </c>
    </row>
    <row r="476">
      <c r="A476" s="6" t="inlineStr">
        <is>
          <t>Farmacity</t>
        </is>
      </c>
      <c r="B476" s="6" t="n">
        <v>214538</v>
      </c>
      <c r="C476" s="6" t="n">
        <v>214538</v>
      </c>
      <c r="D476" s="6" t="inlineStr">
        <is>
          <t>Acondicionador Head &amp; Shoulders Apple Fresh x 300 ml</t>
        </is>
      </c>
      <c r="E476" s="6" t="inlineStr">
        <is>
          <t>Head and Shoulders</t>
        </is>
      </c>
      <c r="F476" s="6" t="n">
        <v>7264</v>
      </c>
      <c r="G476" s="6" t="n">
        <v>11175</v>
      </c>
      <c r="H476" s="6" t="b">
        <v>1</v>
      </c>
      <c r="I476" s="6" t="n">
        <v>300</v>
      </c>
      <c r="J476" s="6" t="n">
        <v>24.2133</v>
      </c>
      <c r="K476" s="6" t="inlineStr">
        <is>
          <t>&gt; Cuidado Capilar &gt; Shampoo Y Acondicionador &gt;</t>
        </is>
      </c>
      <c r="L476" s="6" t="inlineStr">
        <is>
          <t>acondicionador</t>
        </is>
      </c>
      <c r="M476" s="6" t="inlineStr">
        <is>
          <t>estandar</t>
        </is>
      </c>
      <c r="N476" s="6" t="inlineStr">
        <is>
          <t>general</t>
        </is>
      </c>
      <c r="O476" s="6" t="inlineStr">
        <is>
          <t>https://www.farmacity.com/acondicionador-head-and-shoulders-apple-fresh-x-300-ml/p</t>
        </is>
      </c>
      <c r="P476" s="8">
        <f>TRIM(CLEAN(PROPER(D476)))</f>
        <v/>
      </c>
      <c r="Q476" s="8">
        <f>PROPER(TRIM(SUBSTITUTE(SUBSTITUTE(SUBSTITUTE(SUBSTITUTE(E476,"TRESEMME","Tresemme"),"HEAD &amp; SHOULDERS","Head &amp; Shoulders"),"ELVIVE","Elvive"),"FRUCTIS","Fructis")))</f>
        <v/>
      </c>
      <c r="R476" s="8">
        <f>COUNTIF($D$2:$D$10000,D476)&gt;1</f>
        <v/>
      </c>
      <c r="S476" s="8">
        <f>IF(H476=TRUE,"Disponible","No disponible")</f>
        <v/>
      </c>
      <c r="T476" s="8">
        <f>IF(AND(ISNUMBER(I476),I476&gt;0),ROUND(F476/I476,2),"Sin volumen")</f>
        <v/>
      </c>
      <c r="U476" s="8">
        <f>IF(F476&lt;5000,"Bajo",IF(F476&lt;15000,"Medio","Alto"))</f>
        <v/>
      </c>
    </row>
    <row r="477">
      <c r="A477" t="inlineStr">
        <is>
          <t>Farmacity</t>
        </is>
      </c>
      <c r="B477" t="n">
        <v>207432</v>
      </c>
      <c r="C477" t="n">
        <v>207432</v>
      </c>
      <c r="D477" t="inlineStr">
        <is>
          <t>Acondicionador Ogx Biotin Collagen x 385 Ml</t>
        </is>
      </c>
      <c r="E477" t="inlineStr">
        <is>
          <t>OGX</t>
        </is>
      </c>
      <c r="F477" t="n">
        <v>13577</v>
      </c>
      <c r="G477" t="n">
        <v>27154</v>
      </c>
      <c r="H477" t="b">
        <v>1</v>
      </c>
      <c r="I477" t="n">
        <v>385</v>
      </c>
      <c r="J477" t="n">
        <v>35.2649</v>
      </c>
      <c r="K477" t="inlineStr">
        <is>
          <t>&gt; Cuidado Capilar &gt; Shampoo Y Acondicionador &gt;</t>
        </is>
      </c>
      <c r="L477" t="inlineStr">
        <is>
          <t>acondicionador</t>
        </is>
      </c>
      <c r="M477" t="inlineStr">
        <is>
          <t>estandar</t>
        </is>
      </c>
      <c r="N477" t="inlineStr">
        <is>
          <t>general</t>
        </is>
      </c>
      <c r="O477" t="inlineStr">
        <is>
          <t>https://www.farmacity.com/acondicionador-ogx-biotin-collagen-x-385-ml/p</t>
        </is>
      </c>
      <c r="P477">
        <f>TRIM(CLEAN(PROPER(D477)))</f>
        <v/>
      </c>
      <c r="Q477">
        <f>PROPER(TRIM(SUBSTITUTE(SUBSTITUTE(SUBSTITUTE(SUBSTITUTE(E477,"TRESEMME","Tresemme"),"HEAD &amp; SHOULDERS","Head &amp; Shoulders"),"ELVIVE","Elvive"),"FRUCTIS","Fructis")))</f>
        <v/>
      </c>
      <c r="R477">
        <f>COUNTIF($D$2:$D$10000,D477)&gt;1</f>
        <v/>
      </c>
      <c r="S477">
        <f>IF(H477=TRUE,"Disponible","No disponible")</f>
        <v/>
      </c>
      <c r="T477">
        <f>IF(AND(ISNUMBER(I477),I477&gt;0),ROUND(F477/I477,2),"Sin volumen")</f>
        <v/>
      </c>
      <c r="U477">
        <f>IF(F477&lt;5000,"Bajo",IF(F477&lt;15000,"Medio","Alto"))</f>
        <v/>
      </c>
    </row>
    <row r="478">
      <c r="A478" s="6" t="inlineStr">
        <is>
          <t>Farmacity</t>
        </is>
      </c>
      <c r="B478" s="6" t="n">
        <v>161059</v>
      </c>
      <c r="C478" s="6" t="n">
        <v>161059</v>
      </c>
      <c r="D478" s="6" t="inlineStr">
        <is>
          <t>Acondicionador Aveno Bebes y Niños x 250 ml</t>
        </is>
      </c>
      <c r="E478" s="6" t="inlineStr">
        <is>
          <t>Aveno</t>
        </is>
      </c>
      <c r="F478" s="6" t="n">
        <v>22618</v>
      </c>
      <c r="G478" s="6" t="n">
        <v>30157</v>
      </c>
      <c r="H478" s="6" t="b">
        <v>1</v>
      </c>
      <c r="I478" s="6" t="n">
        <v>250</v>
      </c>
      <c r="J478" s="6" t="n">
        <v>90.47199999999999</v>
      </c>
      <c r="K478" s="6" t="inlineStr">
        <is>
          <t>&gt; Bebés &gt; Higiene del Bebé &gt; Baño Del Bebé &gt;</t>
        </is>
      </c>
      <c r="L478" s="6" t="inlineStr">
        <is>
          <t>acondicionador</t>
        </is>
      </c>
      <c r="M478" s="6" t="inlineStr">
        <is>
          <t>estandar</t>
        </is>
      </c>
      <c r="N478" s="6" t="inlineStr">
        <is>
          <t>bebe</t>
        </is>
      </c>
      <c r="O478" s="6" t="inlineStr">
        <is>
          <t>https://www.farmacity.com/aveno-infantil-acondicionador-x-250-ml/p</t>
        </is>
      </c>
      <c r="P478" s="8">
        <f>TRIM(CLEAN(PROPER(D478)))</f>
        <v/>
      </c>
      <c r="Q478" s="8">
        <f>PROPER(TRIM(SUBSTITUTE(SUBSTITUTE(SUBSTITUTE(SUBSTITUTE(E478,"TRESEMME","Tresemme"),"HEAD &amp; SHOULDERS","Head &amp; Shoulders"),"ELVIVE","Elvive"),"FRUCTIS","Fructis")))</f>
        <v/>
      </c>
      <c r="R478" s="8">
        <f>COUNTIF($D$2:$D$10000,D478)&gt;1</f>
        <v/>
      </c>
      <c r="S478" s="8">
        <f>IF(H478=TRUE,"Disponible","No disponible")</f>
        <v/>
      </c>
      <c r="T478" s="8">
        <f>IF(AND(ISNUMBER(I478),I478&gt;0),ROUND(F478/I478,2),"Sin volumen")</f>
        <v/>
      </c>
      <c r="U478" s="8">
        <f>IF(F478&lt;5000,"Bajo",IF(F478&lt;15000,"Medio","Alto"))</f>
        <v/>
      </c>
    </row>
    <row r="479">
      <c r="A479" t="inlineStr">
        <is>
          <t>Farmacity</t>
        </is>
      </c>
      <c r="B479" t="n">
        <v>243911</v>
      </c>
      <c r="C479" t="n">
        <v>243911</v>
      </c>
      <c r="D479" t="inlineStr">
        <is>
          <t>Acondicionador Fructis Probióticos Fuerza x 350 ml</t>
        </is>
      </c>
      <c r="E479" t="inlineStr">
        <is>
          <t>Fructis</t>
        </is>
      </c>
      <c r="F479" t="n">
        <v>7990</v>
      </c>
      <c r="G479" t="n">
        <v>7990</v>
      </c>
      <c r="H479" t="b">
        <v>1</v>
      </c>
      <c r="I479" t="n">
        <v>350</v>
      </c>
      <c r="J479" t="n">
        <v>22.8286</v>
      </c>
      <c r="K479" t="inlineStr">
        <is>
          <t>&gt; Cuidado Capilar &gt; Shampoo Y Acondicionador &gt;</t>
        </is>
      </c>
      <c r="L479" t="inlineStr">
        <is>
          <t>acondicionador</t>
        </is>
      </c>
      <c r="M479" t="inlineStr">
        <is>
          <t>profesional</t>
        </is>
      </c>
      <c r="N479" t="inlineStr">
        <is>
          <t>general</t>
        </is>
      </c>
      <c r="O479" t="inlineStr">
        <is>
          <t>https://www.farmacity.com/acondicionador-fructis-probioticos-fuerza-x-350-ml/p</t>
        </is>
      </c>
      <c r="P479">
        <f>TRIM(CLEAN(PROPER(D479)))</f>
        <v/>
      </c>
      <c r="Q479">
        <f>PROPER(TRIM(SUBSTITUTE(SUBSTITUTE(SUBSTITUTE(SUBSTITUTE(E479,"TRESEMME","Tresemme"),"HEAD &amp; SHOULDERS","Head &amp; Shoulders"),"ELVIVE","Elvive"),"FRUCTIS","Fructis")))</f>
        <v/>
      </c>
      <c r="R479">
        <f>COUNTIF($D$2:$D$10000,D479)&gt;1</f>
        <v/>
      </c>
      <c r="S479">
        <f>IF(H479=TRUE,"Disponible","No disponible")</f>
        <v/>
      </c>
      <c r="T479">
        <f>IF(AND(ISNUMBER(I479),I479&gt;0),ROUND(F479/I479,2),"Sin volumen")</f>
        <v/>
      </c>
      <c r="U479">
        <f>IF(F479&lt;5000,"Bajo",IF(F479&lt;15000,"Medio","Alto"))</f>
        <v/>
      </c>
    </row>
    <row r="480">
      <c r="A480" s="6" t="inlineStr">
        <is>
          <t>Farmacity</t>
        </is>
      </c>
      <c r="B480" s="6" t="n">
        <v>238886</v>
      </c>
      <c r="C480" s="6" t="n">
        <v>238886</v>
      </c>
      <c r="D480" s="6" t="inlineStr">
        <is>
          <t>Acondicionador Pantene Pro-V Miracles Revitalizacion x 200 ml</t>
        </is>
      </c>
      <c r="E480" s="6" t="inlineStr">
        <is>
          <t>Pantene</t>
        </is>
      </c>
      <c r="F480" s="6" t="n">
        <v>3807</v>
      </c>
      <c r="G480" s="6" t="n">
        <v>6345</v>
      </c>
      <c r="H480" s="6" t="b">
        <v>1</v>
      </c>
      <c r="I480" s="6" t="n">
        <v>200</v>
      </c>
      <c r="J480" s="6" t="n">
        <v>19.035</v>
      </c>
      <c r="K480" s="6" t="inlineStr">
        <is>
          <t>&gt; Cuidado Capilar &gt; Shampoo Y Acondicionador &gt;</t>
        </is>
      </c>
      <c r="L480" s="6" t="inlineStr">
        <is>
          <t>acondicionador</t>
        </is>
      </c>
      <c r="M480" s="6" t="inlineStr">
        <is>
          <t>profesional</t>
        </is>
      </c>
      <c r="N480" s="6" t="inlineStr">
        <is>
          <t>general</t>
        </is>
      </c>
      <c r="O480" s="6" t="inlineStr">
        <is>
          <t>https://www.farmacity.com/acondicionador-pantene-pro-v-miracles-revitalizacion-x-200-ml/p</t>
        </is>
      </c>
      <c r="P480" s="8">
        <f>TRIM(CLEAN(PROPER(D480)))</f>
        <v/>
      </c>
      <c r="Q480" s="8">
        <f>PROPER(TRIM(SUBSTITUTE(SUBSTITUTE(SUBSTITUTE(SUBSTITUTE(E480,"TRESEMME","Tresemme"),"HEAD &amp; SHOULDERS","Head &amp; Shoulders"),"ELVIVE","Elvive"),"FRUCTIS","Fructis")))</f>
        <v/>
      </c>
      <c r="R480" s="8">
        <f>COUNTIF($D$2:$D$10000,D480)&gt;1</f>
        <v/>
      </c>
      <c r="S480" s="8">
        <f>IF(H480=TRUE,"Disponible","No disponible")</f>
        <v/>
      </c>
      <c r="T480" s="8">
        <f>IF(AND(ISNUMBER(I480),I480&gt;0),ROUND(F480/I480,2),"Sin volumen")</f>
        <v/>
      </c>
      <c r="U480" s="8">
        <f>IF(F480&lt;5000,"Bajo",IF(F480&lt;15000,"Medio","Alto"))</f>
        <v/>
      </c>
    </row>
    <row r="481">
      <c r="A481" t="inlineStr">
        <is>
          <t>Farmacity</t>
        </is>
      </c>
      <c r="B481" t="n">
        <v>238880</v>
      </c>
      <c r="C481" t="n">
        <v>238880</v>
      </c>
      <c r="D481" t="inlineStr">
        <is>
          <t>Acondicionador Pantene Pro-V Miracles Liso Infinito x 200 ml</t>
        </is>
      </c>
      <c r="E481" t="inlineStr">
        <is>
          <t>Pantene</t>
        </is>
      </c>
      <c r="F481" t="n">
        <v>3807</v>
      </c>
      <c r="G481" t="n">
        <v>6345</v>
      </c>
      <c r="H481" t="b">
        <v>1</v>
      </c>
      <c r="I481" t="n">
        <v>200</v>
      </c>
      <c r="J481" t="n">
        <v>19.035</v>
      </c>
      <c r="K481" t="inlineStr">
        <is>
          <t>&gt; Cuidado Capilar &gt; Shampoo Y Acondicionador &gt;</t>
        </is>
      </c>
      <c r="L481" t="inlineStr">
        <is>
          <t>acondicionador</t>
        </is>
      </c>
      <c r="M481" t="inlineStr">
        <is>
          <t>profesional</t>
        </is>
      </c>
      <c r="N481" t="inlineStr">
        <is>
          <t>general</t>
        </is>
      </c>
      <c r="O481" t="inlineStr">
        <is>
          <t>https://www.farmacity.com/acondicionador-pantene-pro-v-miracles-liso-infinito-x-200-ml/p</t>
        </is>
      </c>
      <c r="P481">
        <f>TRIM(CLEAN(PROPER(D481)))</f>
        <v/>
      </c>
      <c r="Q481">
        <f>PROPER(TRIM(SUBSTITUTE(SUBSTITUTE(SUBSTITUTE(SUBSTITUTE(E481,"TRESEMME","Tresemme"),"HEAD &amp; SHOULDERS","Head &amp; Shoulders"),"ELVIVE","Elvive"),"FRUCTIS","Fructis")))</f>
        <v/>
      </c>
      <c r="R481">
        <f>COUNTIF($D$2:$D$10000,D481)&gt;1</f>
        <v/>
      </c>
      <c r="S481">
        <f>IF(H481=TRUE,"Disponible","No disponible")</f>
        <v/>
      </c>
      <c r="T481">
        <f>IF(AND(ISNUMBER(I481),I481&gt;0),ROUND(F481/I481,2),"Sin volumen")</f>
        <v/>
      </c>
      <c r="U481">
        <f>IF(F481&lt;5000,"Bajo",IF(F481&lt;15000,"Medio","Alto"))</f>
        <v/>
      </c>
    </row>
    <row r="482">
      <c r="A482" s="6" t="inlineStr">
        <is>
          <t>Farmacity</t>
        </is>
      </c>
      <c r="B482" s="6" t="n">
        <v>236808</v>
      </c>
      <c r="C482" s="6" t="n">
        <v>236808</v>
      </c>
      <c r="D482" s="6" t="inlineStr">
        <is>
          <t>Acondicionador Sedal Prebióticos+Biotina x 340 ml</t>
        </is>
      </c>
      <c r="E482" s="6" t="inlineStr">
        <is>
          <t>Sedal</t>
        </is>
      </c>
      <c r="F482" s="6" t="n">
        <v>5837</v>
      </c>
      <c r="G482" s="6" t="n">
        <v>5837</v>
      </c>
      <c r="H482" s="6" t="b">
        <v>1</v>
      </c>
      <c r="I482" s="6" t="n">
        <v>340</v>
      </c>
      <c r="J482" s="6" t="n">
        <v>17.1676</v>
      </c>
      <c r="K482" s="6" t="inlineStr">
        <is>
          <t>&gt; Cuidado Capilar &gt; Shampoo Y Acondicionador &gt;</t>
        </is>
      </c>
      <c r="L482" s="6" t="inlineStr">
        <is>
          <t>acondicionador</t>
        </is>
      </c>
      <c r="M482" s="6" t="inlineStr">
        <is>
          <t>estandar</t>
        </is>
      </c>
      <c r="N482" s="6" t="inlineStr">
        <is>
          <t>general</t>
        </is>
      </c>
      <c r="O482" s="6" t="inlineStr">
        <is>
          <t>https://www.farmacity.com/acondicionador-sedal-prebioticos-biotina-x-340-ml/p</t>
        </is>
      </c>
      <c r="P482" s="8">
        <f>TRIM(CLEAN(PROPER(D482)))</f>
        <v/>
      </c>
      <c r="Q482" s="8">
        <f>PROPER(TRIM(SUBSTITUTE(SUBSTITUTE(SUBSTITUTE(SUBSTITUTE(E482,"TRESEMME","Tresemme"),"HEAD &amp; SHOULDERS","Head &amp; Shoulders"),"ELVIVE","Elvive"),"FRUCTIS","Fructis")))</f>
        <v/>
      </c>
      <c r="R482" s="8">
        <f>COUNTIF($D$2:$D$10000,D482)&gt;1</f>
        <v/>
      </c>
      <c r="S482" s="8">
        <f>IF(H482=TRUE,"Disponible","No disponible")</f>
        <v/>
      </c>
      <c r="T482" s="8">
        <f>IF(AND(ISNUMBER(I482),I482&gt;0),ROUND(F482/I482,2),"Sin volumen")</f>
        <v/>
      </c>
      <c r="U482" s="8">
        <f>IF(F482&lt;5000,"Bajo",IF(F482&lt;15000,"Medio","Alto"))</f>
        <v/>
      </c>
    </row>
    <row r="483">
      <c r="A483" t="inlineStr">
        <is>
          <t>Farmacity</t>
        </is>
      </c>
      <c r="B483" t="n">
        <v>230624</v>
      </c>
      <c r="C483" t="n">
        <v>230624</v>
      </c>
      <c r="D483" t="inlineStr">
        <is>
          <t>Acondicionador Tresemmé Cauterización Reparadora x 250 ml</t>
        </is>
      </c>
      <c r="E483" t="inlineStr">
        <is>
          <t>Tresemmé</t>
        </is>
      </c>
      <c r="F483" t="n">
        <v>6091</v>
      </c>
      <c r="G483" t="n">
        <v>6091</v>
      </c>
      <c r="H483" t="b">
        <v>1</v>
      </c>
      <c r="I483" t="n">
        <v>250</v>
      </c>
      <c r="J483" t="n">
        <v>24.364</v>
      </c>
      <c r="K483" t="inlineStr">
        <is>
          <t>&gt; Cuidado Capilar &gt; Shampoo Y Acondicionador &gt;</t>
        </is>
      </c>
      <c r="L483" t="inlineStr">
        <is>
          <t>acondicionador</t>
        </is>
      </c>
      <c r="M483" t="inlineStr">
        <is>
          <t>estandar</t>
        </is>
      </c>
      <c r="N483" t="inlineStr">
        <is>
          <t>general</t>
        </is>
      </c>
      <c r="O483" t="inlineStr">
        <is>
          <t>https://www.farmacity.com/acondicionador-tresemme-cauterizacion-reparadora-x-250-ml/p</t>
        </is>
      </c>
      <c r="P483">
        <f>TRIM(CLEAN(PROPER(D483)))</f>
        <v/>
      </c>
      <c r="Q483">
        <f>PROPER(TRIM(SUBSTITUTE(SUBSTITUTE(SUBSTITUTE(SUBSTITUTE(E483,"TRESEMME","Tresemme"),"HEAD &amp; SHOULDERS","Head &amp; Shoulders"),"ELVIVE","Elvive"),"FRUCTIS","Fructis")))</f>
        <v/>
      </c>
      <c r="R483">
        <f>COUNTIF($D$2:$D$10000,D483)&gt;1</f>
        <v/>
      </c>
      <c r="S483">
        <f>IF(H483=TRUE,"Disponible","No disponible")</f>
        <v/>
      </c>
      <c r="T483">
        <f>IF(AND(ISNUMBER(I483),I483&gt;0),ROUND(F483/I483,2),"Sin volumen")</f>
        <v/>
      </c>
      <c r="U483">
        <f>IF(F483&lt;5000,"Bajo",IF(F483&lt;15000,"Medio","Alto"))</f>
        <v/>
      </c>
    </row>
    <row r="484">
      <c r="A484" s="6" t="inlineStr">
        <is>
          <t>Farmacity</t>
        </is>
      </c>
      <c r="B484" s="6" t="n">
        <v>230623</v>
      </c>
      <c r="C484" s="6" t="n">
        <v>230623</v>
      </c>
      <c r="D484" s="6" t="inlineStr">
        <is>
          <t>Acondicionador Tresemmé Keratina AntiFrizz x 250 ml</t>
        </is>
      </c>
      <c r="E484" s="6" t="inlineStr">
        <is>
          <t>Tresemmé</t>
        </is>
      </c>
      <c r="F484" s="6" t="n">
        <v>6091</v>
      </c>
      <c r="G484" s="6" t="n">
        <v>6091</v>
      </c>
      <c r="H484" s="6" t="b">
        <v>1</v>
      </c>
      <c r="I484" s="6" t="n">
        <v>250</v>
      </c>
      <c r="J484" s="6" t="n">
        <v>24.364</v>
      </c>
      <c r="K484" s="6" t="inlineStr">
        <is>
          <t>&gt; Cuidado Capilar &gt; Shampoo Y Acondicionador &gt;</t>
        </is>
      </c>
      <c r="L484" s="6" t="inlineStr">
        <is>
          <t>acondicionador</t>
        </is>
      </c>
      <c r="M484" s="6" t="inlineStr">
        <is>
          <t>estandar</t>
        </is>
      </c>
      <c r="N484" s="6" t="inlineStr">
        <is>
          <t>tratado</t>
        </is>
      </c>
      <c r="O484" s="6" t="inlineStr">
        <is>
          <t>https://www.farmacity.com/acondicionador-tresemme-keratina-antifrizz-x-250-ml/p</t>
        </is>
      </c>
      <c r="P484" s="8">
        <f>TRIM(CLEAN(PROPER(D484)))</f>
        <v/>
      </c>
      <c r="Q484" s="8">
        <f>PROPER(TRIM(SUBSTITUTE(SUBSTITUTE(SUBSTITUTE(SUBSTITUTE(E484,"TRESEMME","Tresemme"),"HEAD &amp; SHOULDERS","Head &amp; Shoulders"),"ELVIVE","Elvive"),"FRUCTIS","Fructis")))</f>
        <v/>
      </c>
      <c r="R484" s="8">
        <f>COUNTIF($D$2:$D$10000,D484)&gt;1</f>
        <v/>
      </c>
      <c r="S484" s="8">
        <f>IF(H484=TRUE,"Disponible","No disponible")</f>
        <v/>
      </c>
      <c r="T484" s="8">
        <f>IF(AND(ISNUMBER(I484),I484&gt;0),ROUND(F484/I484,2),"Sin volumen")</f>
        <v/>
      </c>
      <c r="U484" s="8">
        <f>IF(F484&lt;5000,"Bajo",IF(F484&lt;15000,"Medio","Alto"))</f>
        <v/>
      </c>
    </row>
    <row r="485">
      <c r="A485" t="inlineStr">
        <is>
          <t>Farmacity</t>
        </is>
      </c>
      <c r="B485" t="n">
        <v>208716</v>
      </c>
      <c r="C485" t="n">
        <v>208716</v>
      </c>
      <c r="D485" t="inlineStr">
        <is>
          <t>Acondicionador Capilatis con Aloe Vera Puro x 420 ml</t>
        </is>
      </c>
      <c r="E485" t="inlineStr">
        <is>
          <t>Capilatis</t>
        </is>
      </c>
      <c r="F485" t="n">
        <v>11000</v>
      </c>
      <c r="G485" t="n">
        <v>11000</v>
      </c>
      <c r="H485" t="b">
        <v>1</v>
      </c>
      <c r="I485" t="n">
        <v>420</v>
      </c>
      <c r="J485" t="n">
        <v>26.1905</v>
      </c>
      <c r="K485" t="inlineStr">
        <is>
          <t>&gt; Cuidado Capilar &gt; Reparación Y Tratamiento &gt;</t>
        </is>
      </c>
      <c r="L485" t="inlineStr">
        <is>
          <t>acondicionador</t>
        </is>
      </c>
      <c r="M485" t="inlineStr">
        <is>
          <t>estandar</t>
        </is>
      </c>
      <c r="N485" t="inlineStr">
        <is>
          <t>general</t>
        </is>
      </c>
      <c r="O485" t="inlineStr">
        <is>
          <t>https://www.farmacity.com/acondicionador-capilatis-con-aloe-vera-puro-x-420-ml/p</t>
        </is>
      </c>
      <c r="P485">
        <f>TRIM(CLEAN(PROPER(D485)))</f>
        <v/>
      </c>
      <c r="Q485">
        <f>PROPER(TRIM(SUBSTITUTE(SUBSTITUTE(SUBSTITUTE(SUBSTITUTE(E485,"TRESEMME","Tresemme"),"HEAD &amp; SHOULDERS","Head &amp; Shoulders"),"ELVIVE","Elvive"),"FRUCTIS","Fructis")))</f>
        <v/>
      </c>
      <c r="R485">
        <f>COUNTIF($D$2:$D$10000,D485)&gt;1</f>
        <v/>
      </c>
      <c r="S485">
        <f>IF(H485=TRUE,"Disponible","No disponible")</f>
        <v/>
      </c>
      <c r="T485">
        <f>IF(AND(ISNUMBER(I485),I485&gt;0),ROUND(F485/I485,2),"Sin volumen")</f>
        <v/>
      </c>
      <c r="U485">
        <f>IF(F485&lt;5000,"Bajo",IF(F485&lt;15000,"Medio","Alto"))</f>
        <v/>
      </c>
    </row>
    <row r="486">
      <c r="A486" s="6" t="inlineStr">
        <is>
          <t>Farmacity</t>
        </is>
      </c>
      <c r="B486" s="6" t="n">
        <v>200785</v>
      </c>
      <c r="C486" s="6" t="n">
        <v>200785</v>
      </c>
      <c r="D486" s="6" t="inlineStr">
        <is>
          <t>Acondicionador Fructis Liso Coco x 200 ml</t>
        </is>
      </c>
      <c r="E486" s="6" t="inlineStr">
        <is>
          <t>Fructis</t>
        </is>
      </c>
      <c r="F486" s="6" t="n">
        <v>5490</v>
      </c>
      <c r="G486" s="6" t="n">
        <v>5490</v>
      </c>
      <c r="H486" s="6" t="b">
        <v>1</v>
      </c>
      <c r="I486" s="6" t="n">
        <v>200</v>
      </c>
      <c r="J486" s="6" t="n">
        <v>27.45</v>
      </c>
      <c r="K486" s="6" t="inlineStr">
        <is>
          <t>&gt; Cuidado Capilar &gt; Shampoo Y Acondicionador &gt;</t>
        </is>
      </c>
      <c r="L486" s="6" t="inlineStr">
        <is>
          <t>acondicionador</t>
        </is>
      </c>
      <c r="M486" s="6" t="inlineStr">
        <is>
          <t>estandar</t>
        </is>
      </c>
      <c r="N486" s="6" t="inlineStr">
        <is>
          <t>general</t>
        </is>
      </c>
      <c r="O486" s="6" t="inlineStr">
        <is>
          <t>https://www.farmacity.com/acondicionador-fructis-liso-coco-x-200-ml/p</t>
        </is>
      </c>
      <c r="P486" s="8">
        <f>TRIM(CLEAN(PROPER(D486)))</f>
        <v/>
      </c>
      <c r="Q486" s="8">
        <f>PROPER(TRIM(SUBSTITUTE(SUBSTITUTE(SUBSTITUTE(SUBSTITUTE(E486,"TRESEMME","Tresemme"),"HEAD &amp; SHOULDERS","Head &amp; Shoulders"),"ELVIVE","Elvive"),"FRUCTIS","Fructis")))</f>
        <v/>
      </c>
      <c r="R486" s="8">
        <f>COUNTIF($D$2:$D$10000,D486)&gt;1</f>
        <v/>
      </c>
      <c r="S486" s="8">
        <f>IF(H486=TRUE,"Disponible","No disponible")</f>
        <v/>
      </c>
      <c r="T486" s="8">
        <f>IF(AND(ISNUMBER(I486),I486&gt;0),ROUND(F486/I486,2),"Sin volumen")</f>
        <v/>
      </c>
      <c r="U486" s="8">
        <f>IF(F486&lt;5000,"Bajo",IF(F486&lt;15000,"Medio","Alto"))</f>
        <v/>
      </c>
    </row>
    <row r="487">
      <c r="A487" t="inlineStr">
        <is>
          <t>Farmacity</t>
        </is>
      </c>
      <c r="B487" t="n">
        <v>163842</v>
      </c>
      <c r="C487" t="n">
        <v>163842</v>
      </c>
      <c r="D487" t="inlineStr">
        <is>
          <t>Acondicionador Fructis Recarga Nutritiva x 350 ml</t>
        </is>
      </c>
      <c r="E487" t="inlineStr">
        <is>
          <t>Fructis</t>
        </is>
      </c>
      <c r="F487" t="n">
        <v>7990</v>
      </c>
      <c r="G487" t="n">
        <v>7990</v>
      </c>
      <c r="H487" t="b">
        <v>1</v>
      </c>
      <c r="I487" t="n">
        <v>350</v>
      </c>
      <c r="J487" t="n">
        <v>22.8286</v>
      </c>
      <c r="K487" t="inlineStr">
        <is>
          <t>&gt; Cuidado Capilar &gt; Shampoo Y Acondicionador &gt;</t>
        </is>
      </c>
      <c r="L487" t="inlineStr">
        <is>
          <t>acondicionador</t>
        </is>
      </c>
      <c r="M487" t="inlineStr">
        <is>
          <t>estandar</t>
        </is>
      </c>
      <c r="N487" t="inlineStr">
        <is>
          <t>general</t>
        </is>
      </c>
      <c r="O487" t="inlineStr">
        <is>
          <t>https://www.farmacity.com/acondicionador-fructis-recarga-nutritiva-x-350-ml/p</t>
        </is>
      </c>
      <c r="P487">
        <f>TRIM(CLEAN(PROPER(D487)))</f>
        <v/>
      </c>
      <c r="Q487">
        <f>PROPER(TRIM(SUBSTITUTE(SUBSTITUTE(SUBSTITUTE(SUBSTITUTE(E487,"TRESEMME","Tresemme"),"HEAD &amp; SHOULDERS","Head &amp; Shoulders"),"ELVIVE","Elvive"),"FRUCTIS","Fructis")))</f>
        <v/>
      </c>
      <c r="R487">
        <f>COUNTIF($D$2:$D$10000,D487)&gt;1</f>
        <v/>
      </c>
      <c r="S487">
        <f>IF(H487=TRUE,"Disponible","No disponible")</f>
        <v/>
      </c>
      <c r="T487">
        <f>IF(AND(ISNUMBER(I487),I487&gt;0),ROUND(F487/I487,2),"Sin volumen")</f>
        <v/>
      </c>
      <c r="U487">
        <f>IF(F487&lt;5000,"Bajo",IF(F487&lt;15000,"Medio","Alto"))</f>
        <v/>
      </c>
    </row>
    <row r="488">
      <c r="A488" s="6" t="inlineStr">
        <is>
          <t>Farmacity</t>
        </is>
      </c>
      <c r="B488" s="6" t="n">
        <v>16821</v>
      </c>
      <c r="C488" s="6" t="n">
        <v>163825</v>
      </c>
      <c r="D488" s="6" t="inlineStr">
        <is>
          <t>Acondicionador Fructis Recarga Nutritiva x 200 ml</t>
        </is>
      </c>
      <c r="E488" s="6" t="inlineStr">
        <is>
          <t>Fructis</t>
        </is>
      </c>
      <c r="F488" s="6" t="n">
        <v>5490</v>
      </c>
      <c r="G488" s="6" t="n">
        <v>5490</v>
      </c>
      <c r="H488" s="6" t="b">
        <v>1</v>
      </c>
      <c r="I488" s="6" t="n">
        <v>200</v>
      </c>
      <c r="J488" s="6" t="n">
        <v>27.45</v>
      </c>
      <c r="K488" s="6" t="inlineStr">
        <is>
          <t>&gt; Cuidado Capilar &gt; Shampoo Y Acondicionador &gt;</t>
        </is>
      </c>
      <c r="L488" s="6" t="inlineStr">
        <is>
          <t>acondicionador</t>
        </is>
      </c>
      <c r="M488" s="6" t="inlineStr">
        <is>
          <t>estandar</t>
        </is>
      </c>
      <c r="N488" s="6" t="inlineStr">
        <is>
          <t>general</t>
        </is>
      </c>
      <c r="O488" s="6" t="inlineStr">
        <is>
          <t>https://www.farmacity.com/acondicionador-fructis-recarga-nutritiva-x-200-ml/p</t>
        </is>
      </c>
      <c r="P488" s="8">
        <f>TRIM(CLEAN(PROPER(D488)))</f>
        <v/>
      </c>
      <c r="Q488" s="8">
        <f>PROPER(TRIM(SUBSTITUTE(SUBSTITUTE(SUBSTITUTE(SUBSTITUTE(E488,"TRESEMME","Tresemme"),"HEAD &amp; SHOULDERS","Head &amp; Shoulders"),"ELVIVE","Elvive"),"FRUCTIS","Fructis")))</f>
        <v/>
      </c>
      <c r="R488" s="8">
        <f>COUNTIF($D$2:$D$10000,D488)&gt;1</f>
        <v/>
      </c>
      <c r="S488" s="8">
        <f>IF(H488=TRUE,"Disponible","No disponible")</f>
        <v/>
      </c>
      <c r="T488" s="8">
        <f>IF(AND(ISNUMBER(I488),I488&gt;0),ROUND(F488/I488,2),"Sin volumen")</f>
        <v/>
      </c>
      <c r="U488" s="8">
        <f>IF(F488&lt;5000,"Bajo",IF(F488&lt;15000,"Medio","Alto"))</f>
        <v/>
      </c>
    </row>
    <row r="489">
      <c r="A489" t="inlineStr">
        <is>
          <t>Farmacity</t>
        </is>
      </c>
      <c r="B489" t="n">
        <v>9174</v>
      </c>
      <c r="C489" t="n">
        <v>157030</v>
      </c>
      <c r="D489" t="inlineStr">
        <is>
          <t>Acondicionador Fortalecedor Diario Restauración Pantene Pro-V 3 Minute Miracle 170 ml</t>
        </is>
      </c>
      <c r="E489" t="inlineStr">
        <is>
          <t>Pantene</t>
        </is>
      </c>
      <c r="F489" t="n">
        <v>9647</v>
      </c>
      <c r="G489" t="n">
        <v>9647</v>
      </c>
      <c r="H489" t="b">
        <v>1</v>
      </c>
      <c r="I489" t="n">
        <v>170</v>
      </c>
      <c r="J489" t="n">
        <v>56.7471</v>
      </c>
      <c r="K489" t="inlineStr">
        <is>
          <t>&gt; Cuidado Capilar &gt; Shampoo Y Acondicionador &gt;</t>
        </is>
      </c>
      <c r="L489" t="inlineStr">
        <is>
          <t>acondicionador</t>
        </is>
      </c>
      <c r="M489" t="inlineStr">
        <is>
          <t>profesional</t>
        </is>
      </c>
      <c r="N489" t="inlineStr">
        <is>
          <t>general</t>
        </is>
      </c>
      <c r="O489" t="inlineStr">
        <is>
          <t>https://www.farmacity.com/acondicionador-pantene-pro-v-3-minute-miracle-restauracion-x-170-ml/p</t>
        </is>
      </c>
      <c r="P489">
        <f>TRIM(CLEAN(PROPER(D489)))</f>
        <v/>
      </c>
      <c r="Q489">
        <f>PROPER(TRIM(SUBSTITUTE(SUBSTITUTE(SUBSTITUTE(SUBSTITUTE(E489,"TRESEMME","Tresemme"),"HEAD &amp; SHOULDERS","Head &amp; Shoulders"),"ELVIVE","Elvive"),"FRUCTIS","Fructis")))</f>
        <v/>
      </c>
      <c r="R489">
        <f>COUNTIF($D$2:$D$10000,D489)&gt;1</f>
        <v/>
      </c>
      <c r="S489">
        <f>IF(H489=TRUE,"Disponible","No disponible")</f>
        <v/>
      </c>
      <c r="T489">
        <f>IF(AND(ISNUMBER(I489),I489&gt;0),ROUND(F489/I489,2),"Sin volumen")</f>
        <v/>
      </c>
      <c r="U489">
        <f>IF(F489&lt;5000,"Bajo",IF(F489&lt;15000,"Medio","Alto"))</f>
        <v/>
      </c>
    </row>
    <row r="490">
      <c r="A490" s="6" t="inlineStr">
        <is>
          <t>Farmacity</t>
        </is>
      </c>
      <c r="B490" s="6" t="n">
        <v>5353</v>
      </c>
      <c r="C490" s="6" t="n">
        <v>143510</v>
      </c>
      <c r="D490" s="6" t="inlineStr">
        <is>
          <t>Acondicionador Elvive Reparación Total Extreme x 750 ml</t>
        </is>
      </c>
      <c r="E490" s="6" t="inlineStr">
        <is>
          <t>Elvive</t>
        </is>
      </c>
      <c r="F490" s="6" t="n">
        <v>17990</v>
      </c>
      <c r="G490" s="6" t="n">
        <v>17990</v>
      </c>
      <c r="H490" s="6" t="b">
        <v>1</v>
      </c>
      <c r="I490" s="6" t="n">
        <v>750</v>
      </c>
      <c r="J490" s="6" t="n">
        <v>23.9867</v>
      </c>
      <c r="K490" s="6" t="inlineStr">
        <is>
          <t>&gt; Cuidado Capilar &gt; Shampoo Y Acondicionador &gt;</t>
        </is>
      </c>
      <c r="L490" s="6" t="inlineStr">
        <is>
          <t>acondicionador</t>
        </is>
      </c>
      <c r="M490" s="6" t="inlineStr">
        <is>
          <t>profesional</t>
        </is>
      </c>
      <c r="N490" s="6" t="inlineStr">
        <is>
          <t>general</t>
        </is>
      </c>
      <c r="O490" s="6" t="inlineStr">
        <is>
          <t>https://www.farmacity.com/acondicionador-reparacion-total-extreme-x-750-ml/p</t>
        </is>
      </c>
      <c r="P490" s="8">
        <f>TRIM(CLEAN(PROPER(D490)))</f>
        <v/>
      </c>
      <c r="Q490" s="8">
        <f>PROPER(TRIM(SUBSTITUTE(SUBSTITUTE(SUBSTITUTE(SUBSTITUTE(E490,"TRESEMME","Tresemme"),"HEAD &amp; SHOULDERS","Head &amp; Shoulders"),"ELVIVE","Elvive"),"FRUCTIS","Fructis")))</f>
        <v/>
      </c>
      <c r="R490" s="8">
        <f>COUNTIF($D$2:$D$10000,D490)&gt;1</f>
        <v/>
      </c>
      <c r="S490" s="8">
        <f>IF(H490=TRUE,"Disponible","No disponible")</f>
        <v/>
      </c>
      <c r="T490" s="8">
        <f>IF(AND(ISNUMBER(I490),I490&gt;0),ROUND(F490/I490,2),"Sin volumen")</f>
        <v/>
      </c>
      <c r="U490" s="8">
        <f>IF(F490&lt;5000,"Bajo",IF(F490&lt;15000,"Medio","Alto"))</f>
        <v/>
      </c>
    </row>
    <row r="491">
      <c r="A491" t="inlineStr">
        <is>
          <t>Farmacity</t>
        </is>
      </c>
      <c r="B491" t="n">
        <v>301</v>
      </c>
      <c r="C491" t="n">
        <v>112805</v>
      </c>
      <c r="D491" t="inlineStr">
        <is>
          <t>Acondicionador Capilatis Restaurador x 420 ml</t>
        </is>
      </c>
      <c r="E491" t="inlineStr">
        <is>
          <t>Capilatis</t>
        </is>
      </c>
      <c r="F491" t="n">
        <v>9700</v>
      </c>
      <c r="G491" t="n">
        <v>9700</v>
      </c>
      <c r="H491" t="b">
        <v>1</v>
      </c>
      <c r="I491" t="n">
        <v>420</v>
      </c>
      <c r="J491" t="n">
        <v>23.0952</v>
      </c>
      <c r="K491" t="inlineStr">
        <is>
          <t>&gt; Cuidado Capilar &gt; Shampoo Y Acondicionador &gt;</t>
        </is>
      </c>
      <c r="L491" t="inlineStr">
        <is>
          <t>acondicionador</t>
        </is>
      </c>
      <c r="M491" t="inlineStr">
        <is>
          <t>estandar</t>
        </is>
      </c>
      <c r="N491" t="inlineStr">
        <is>
          <t>general</t>
        </is>
      </c>
      <c r="O491" t="inlineStr">
        <is>
          <t>https://www.farmacity.com/acondicionador-restaurador-x-420-ml/p</t>
        </is>
      </c>
      <c r="P491">
        <f>TRIM(CLEAN(PROPER(D491)))</f>
        <v/>
      </c>
      <c r="Q491">
        <f>PROPER(TRIM(SUBSTITUTE(SUBSTITUTE(SUBSTITUTE(SUBSTITUTE(E491,"TRESEMME","Tresemme"),"HEAD &amp; SHOULDERS","Head &amp; Shoulders"),"ELVIVE","Elvive"),"FRUCTIS","Fructis")))</f>
        <v/>
      </c>
      <c r="R491">
        <f>COUNTIF($D$2:$D$10000,D491)&gt;1</f>
        <v/>
      </c>
      <c r="S491">
        <f>IF(H491=TRUE,"Disponible","No disponible")</f>
        <v/>
      </c>
      <c r="T491">
        <f>IF(AND(ISNUMBER(I491),I491&gt;0),ROUND(F491/I491,2),"Sin volumen")</f>
        <v/>
      </c>
      <c r="U491">
        <f>IF(F491&lt;5000,"Bajo",IF(F491&lt;15000,"Medio","Alto"))</f>
        <v/>
      </c>
    </row>
    <row r="492">
      <c r="A492" s="6" t="inlineStr">
        <is>
          <t>Farmacity</t>
        </is>
      </c>
      <c r="B492" s="6" t="n">
        <v>246</v>
      </c>
      <c r="C492" s="6" t="n">
        <v>45399</v>
      </c>
      <c r="D492" s="6" t="inlineStr">
        <is>
          <t>Acondicionador para Bebé Johnson's Original x 400 ml</t>
        </is>
      </c>
      <c r="E492" s="6" t="inlineStr">
        <is>
          <t>Johnson's</t>
        </is>
      </c>
      <c r="F492" s="6" t="n">
        <v>8331</v>
      </c>
      <c r="G492" s="6" t="n">
        <v>11902</v>
      </c>
      <c r="H492" s="6" t="b">
        <v>1</v>
      </c>
      <c r="I492" s="6" t="n">
        <v>400</v>
      </c>
      <c r="J492" s="6" t="n">
        <v>20.8275</v>
      </c>
      <c r="K492" s="6" t="inlineStr">
        <is>
          <t>&gt; Bebés &gt; Higiene del Bebé &gt; Baño Del Bebé &gt;</t>
        </is>
      </c>
      <c r="L492" s="6" t="inlineStr">
        <is>
          <t>acondicionador</t>
        </is>
      </c>
      <c r="M492" s="6" t="inlineStr">
        <is>
          <t>estandar</t>
        </is>
      </c>
      <c r="N492" s="6" t="inlineStr">
        <is>
          <t>bebe</t>
        </is>
      </c>
      <c r="O492" s="6" t="inlineStr">
        <is>
          <t>https://www.farmacity.com/acondicionardor-para-bebe-johnsons-original-x-400-ml/p</t>
        </is>
      </c>
      <c r="P492" s="8">
        <f>TRIM(CLEAN(PROPER(D492)))</f>
        <v/>
      </c>
      <c r="Q492" s="8">
        <f>PROPER(TRIM(SUBSTITUTE(SUBSTITUTE(SUBSTITUTE(SUBSTITUTE(E492,"TRESEMME","Tresemme"),"HEAD &amp; SHOULDERS","Head &amp; Shoulders"),"ELVIVE","Elvive"),"FRUCTIS","Fructis")))</f>
        <v/>
      </c>
      <c r="R492" s="8">
        <f>COUNTIF($D$2:$D$10000,D492)&gt;1</f>
        <v/>
      </c>
      <c r="S492" s="8">
        <f>IF(H492=TRUE,"Disponible","No disponible")</f>
        <v/>
      </c>
      <c r="T492" s="8">
        <f>IF(AND(ISNUMBER(I492),I492&gt;0),ROUND(F492/I492,2),"Sin volumen")</f>
        <v/>
      </c>
      <c r="U492" s="8">
        <f>IF(F492&lt;5000,"Bajo",IF(F492&lt;15000,"Medio","Alto"))</f>
        <v/>
      </c>
    </row>
    <row r="493">
      <c r="A493" t="inlineStr">
        <is>
          <t>Farmacity</t>
        </is>
      </c>
      <c r="B493" t="n">
        <v>248327</v>
      </c>
      <c r="C493" t="n">
        <v>248327</v>
      </c>
      <c r="D493" t="inlineStr">
        <is>
          <t>Acondicionador Ice Professional Repair My Hair x 250 ml</t>
        </is>
      </c>
      <c r="E493" t="inlineStr">
        <is>
          <t>Ice</t>
        </is>
      </c>
      <c r="F493" t="n">
        <v>17500</v>
      </c>
      <c r="G493" t="n">
        <v>25000</v>
      </c>
      <c r="H493" t="b">
        <v>1</v>
      </c>
      <c r="I493" t="n">
        <v>250</v>
      </c>
      <c r="J493" t="n">
        <v>70</v>
      </c>
      <c r="K493" t="inlineStr">
        <is>
          <t>&gt; Cuidado Capilar &gt; Shampoo Y Acondicionador &gt;</t>
        </is>
      </c>
      <c r="L493" t="inlineStr">
        <is>
          <t>acondicionador</t>
        </is>
      </c>
      <c r="M493" t="inlineStr">
        <is>
          <t>profesional</t>
        </is>
      </c>
      <c r="N493" t="inlineStr">
        <is>
          <t>general</t>
        </is>
      </c>
      <c r="O493" t="inlineStr">
        <is>
          <t>https://www.farmacity.com/acondicionador-ice-professional-repair-my-hair-x-250-ml/p</t>
        </is>
      </c>
      <c r="P493">
        <f>TRIM(CLEAN(PROPER(D493)))</f>
        <v/>
      </c>
      <c r="Q493">
        <f>PROPER(TRIM(SUBSTITUTE(SUBSTITUTE(SUBSTITUTE(SUBSTITUTE(E493,"TRESEMME","Tresemme"),"HEAD &amp; SHOULDERS","Head &amp; Shoulders"),"ELVIVE","Elvive"),"FRUCTIS","Fructis")))</f>
        <v/>
      </c>
      <c r="R493">
        <f>COUNTIF($D$2:$D$10000,D493)&gt;1</f>
        <v/>
      </c>
      <c r="S493">
        <f>IF(H493=TRUE,"Disponible","No disponible")</f>
        <v/>
      </c>
      <c r="T493">
        <f>IF(AND(ISNUMBER(I493),I493&gt;0),ROUND(F493/I493,2),"Sin volumen")</f>
        <v/>
      </c>
      <c r="U493">
        <f>IF(F493&lt;5000,"Bajo",IF(F493&lt;15000,"Medio","Alto"))</f>
        <v/>
      </c>
    </row>
    <row r="494">
      <c r="A494" s="6" t="inlineStr">
        <is>
          <t>Farmacity</t>
        </is>
      </c>
      <c r="B494" s="6" t="n">
        <v>239945</v>
      </c>
      <c r="C494" s="6" t="n">
        <v>239945</v>
      </c>
      <c r="D494" s="6" t="inlineStr">
        <is>
          <t>Acondicionador Fortalecedor Diario Pantene Pro-V 3 Minutos Milagrosos Nutrición x 170 ml</t>
        </is>
      </c>
      <c r="E494" s="6" t="inlineStr">
        <is>
          <t>Pantene</t>
        </is>
      </c>
      <c r="F494" s="6" t="n">
        <v>9647</v>
      </c>
      <c r="G494" s="6" t="n">
        <v>9647</v>
      </c>
      <c r="H494" s="6" t="b">
        <v>1</v>
      </c>
      <c r="I494" s="6" t="n">
        <v>170</v>
      </c>
      <c r="J494" s="6" t="n">
        <v>56.7471</v>
      </c>
      <c r="K494" s="6" t="inlineStr">
        <is>
          <t>&gt; Cuidado Capilar &gt; Shampoo Y Acondicionador &gt;</t>
        </is>
      </c>
      <c r="L494" s="6" t="inlineStr">
        <is>
          <t>acondicionador</t>
        </is>
      </c>
      <c r="M494" s="6" t="inlineStr">
        <is>
          <t>profesional</t>
        </is>
      </c>
      <c r="N494" s="6" t="inlineStr">
        <is>
          <t>general</t>
        </is>
      </c>
      <c r="O494" s="6" t="inlineStr">
        <is>
          <t>https://www.farmacity.com/acondicionador-pantene-pro-v-3-minute-miracle-nutri-perlas-x-170-ml/p</t>
        </is>
      </c>
      <c r="P494" s="8">
        <f>TRIM(CLEAN(PROPER(D494)))</f>
        <v/>
      </c>
      <c r="Q494" s="8">
        <f>PROPER(TRIM(SUBSTITUTE(SUBSTITUTE(SUBSTITUTE(SUBSTITUTE(E494,"TRESEMME","Tresemme"),"HEAD &amp; SHOULDERS","Head &amp; Shoulders"),"ELVIVE","Elvive"),"FRUCTIS","Fructis")))</f>
        <v/>
      </c>
      <c r="R494" s="8">
        <f>COUNTIF($D$2:$D$10000,D494)&gt;1</f>
        <v/>
      </c>
      <c r="S494" s="8">
        <f>IF(H494=TRUE,"Disponible","No disponible")</f>
        <v/>
      </c>
      <c r="T494" s="8">
        <f>IF(AND(ISNUMBER(I494),I494&gt;0),ROUND(F494/I494,2),"Sin volumen")</f>
        <v/>
      </c>
      <c r="U494" s="8">
        <f>IF(F494&lt;5000,"Bajo",IF(F494&lt;15000,"Medio","Alto"))</f>
        <v/>
      </c>
    </row>
    <row r="495">
      <c r="A495" t="inlineStr">
        <is>
          <t>Farmacity</t>
        </is>
      </c>
      <c r="B495" t="n">
        <v>147269</v>
      </c>
      <c r="C495" t="n">
        <v>147269</v>
      </c>
      <c r="D495" t="inlineStr">
        <is>
          <t>Acondicionador Elvive Oleo Extraordinario Coco x 400 ml</t>
        </is>
      </c>
      <c r="E495" t="inlineStr">
        <is>
          <t>Elvive</t>
        </is>
      </c>
      <c r="F495" t="n">
        <v>5595</v>
      </c>
      <c r="G495" t="n">
        <v>11190</v>
      </c>
      <c r="H495" t="b">
        <v>1</v>
      </c>
      <c r="I495" t="n">
        <v>400</v>
      </c>
      <c r="J495" t="n">
        <v>13.9875</v>
      </c>
      <c r="K495" t="inlineStr">
        <is>
          <t>&gt; Cuidado Capilar &gt; Shampoo Y Acondicionador &gt;</t>
        </is>
      </c>
      <c r="L495" t="inlineStr">
        <is>
          <t>acondicionador</t>
        </is>
      </c>
      <c r="M495" t="inlineStr">
        <is>
          <t>profesional</t>
        </is>
      </c>
      <c r="N495" t="inlineStr">
        <is>
          <t>general</t>
        </is>
      </c>
      <c r="O495" t="inlineStr">
        <is>
          <t>https://www.farmacity.com/acondicionador-elvive-oleo-coco-x-400-ml/p</t>
        </is>
      </c>
      <c r="P495">
        <f>TRIM(CLEAN(PROPER(D495)))</f>
        <v/>
      </c>
      <c r="Q495">
        <f>PROPER(TRIM(SUBSTITUTE(SUBSTITUTE(SUBSTITUTE(SUBSTITUTE(E495,"TRESEMME","Tresemme"),"HEAD &amp; SHOULDERS","Head &amp; Shoulders"),"ELVIVE","Elvive"),"FRUCTIS","Fructis")))</f>
        <v/>
      </c>
      <c r="R495">
        <f>COUNTIF($D$2:$D$10000,D495)&gt;1</f>
        <v/>
      </c>
      <c r="S495">
        <f>IF(H495=TRUE,"Disponible","No disponible")</f>
        <v/>
      </c>
      <c r="T495">
        <f>IF(AND(ISNUMBER(I495),I495&gt;0),ROUND(F495/I495,2),"Sin volumen")</f>
        <v/>
      </c>
      <c r="U495">
        <f>IF(F495&lt;5000,"Bajo",IF(F495&lt;15000,"Medio","Alto"))</f>
        <v/>
      </c>
    </row>
    <row r="496">
      <c r="A496" s="6" t="inlineStr">
        <is>
          <t>Farmacity</t>
        </is>
      </c>
      <c r="B496" s="6" t="n">
        <v>249900</v>
      </c>
      <c r="C496" s="6" t="n">
        <v>249900</v>
      </c>
      <c r="D496" s="6" t="inlineStr">
        <is>
          <t>Acondicionador Primont Queration x 400 ml</t>
        </is>
      </c>
      <c r="E496" s="6" t="inlineStr">
        <is>
          <t>Primont</t>
        </is>
      </c>
      <c r="F496" s="6" t="n">
        <v>10596</v>
      </c>
      <c r="G496" s="6" t="n">
        <v>10596</v>
      </c>
      <c r="H496" s="6" t="b">
        <v>1</v>
      </c>
      <c r="I496" s="6" t="n">
        <v>400</v>
      </c>
      <c r="J496" s="6" t="n">
        <v>26.49</v>
      </c>
      <c r="K496" s="6" t="inlineStr">
        <is>
          <t>&gt; Cuidado Capilar &gt; Shampoo Y Acondicionador &gt;</t>
        </is>
      </c>
      <c r="L496" s="6" t="inlineStr">
        <is>
          <t>acondicionador</t>
        </is>
      </c>
      <c r="M496" s="6" t="inlineStr">
        <is>
          <t>estandar</t>
        </is>
      </c>
      <c r="N496" s="6" t="inlineStr">
        <is>
          <t>general</t>
        </is>
      </c>
      <c r="O496" s="6" t="inlineStr">
        <is>
          <t>https://www.farmacity.com/acondicionador-primont-queration-x-400-ml/p</t>
        </is>
      </c>
      <c r="P496" s="8">
        <f>TRIM(CLEAN(PROPER(D496)))</f>
        <v/>
      </c>
      <c r="Q496" s="8">
        <f>PROPER(TRIM(SUBSTITUTE(SUBSTITUTE(SUBSTITUTE(SUBSTITUTE(E496,"TRESEMME","Tresemme"),"HEAD &amp; SHOULDERS","Head &amp; Shoulders"),"ELVIVE","Elvive"),"FRUCTIS","Fructis")))</f>
        <v/>
      </c>
      <c r="R496" s="8">
        <f>COUNTIF($D$2:$D$10000,D496)&gt;1</f>
        <v/>
      </c>
      <c r="S496" s="8">
        <f>IF(H496=TRUE,"Disponible","No disponible")</f>
        <v/>
      </c>
      <c r="T496" s="8">
        <f>IF(AND(ISNUMBER(I496),I496&gt;0),ROUND(F496/I496,2),"Sin volumen")</f>
        <v/>
      </c>
      <c r="U496" s="8">
        <f>IF(F496&lt;5000,"Bajo",IF(F496&lt;15000,"Medio","Alto"))</f>
        <v/>
      </c>
    </row>
    <row r="497">
      <c r="A497" t="inlineStr">
        <is>
          <t>Farmacity</t>
        </is>
      </c>
      <c r="B497" t="n">
        <v>244707</v>
      </c>
      <c r="C497" t="n">
        <v>244707</v>
      </c>
      <c r="D497" t="inlineStr">
        <is>
          <t>Acondicionador Ecohair Sensitive Producto Cosmético x 200 ml</t>
        </is>
      </c>
      <c r="E497" t="inlineStr">
        <is>
          <t>Garre Guevara</t>
        </is>
      </c>
      <c r="F497" t="n">
        <v>26000</v>
      </c>
      <c r="G497" t="n">
        <v>26000</v>
      </c>
      <c r="H497" t="b">
        <v>1</v>
      </c>
      <c r="I497" t="n">
        <v>200</v>
      </c>
      <c r="J497" t="n">
        <v>130</v>
      </c>
      <c r="K497" t="inlineStr">
        <is>
          <t>&gt; Venta Bajo Receta &gt; Dermatológico &gt;</t>
        </is>
      </c>
      <c r="L497" t="inlineStr">
        <is>
          <t>acondicionador</t>
        </is>
      </c>
      <c r="M497" t="inlineStr">
        <is>
          <t>estandar</t>
        </is>
      </c>
      <c r="N497" t="inlineStr">
        <is>
          <t>general</t>
        </is>
      </c>
      <c r="O497" t="inlineStr">
        <is>
          <t>https://www.farmacity.com/acondicionador-ecohair-sensitive-producto-cosmetico-x-200-ml/p</t>
        </is>
      </c>
      <c r="P497">
        <f>TRIM(CLEAN(PROPER(D497)))</f>
        <v/>
      </c>
      <c r="Q497">
        <f>PROPER(TRIM(SUBSTITUTE(SUBSTITUTE(SUBSTITUTE(SUBSTITUTE(E497,"TRESEMME","Tresemme"),"HEAD &amp; SHOULDERS","Head &amp; Shoulders"),"ELVIVE","Elvive"),"FRUCTIS","Fructis")))</f>
        <v/>
      </c>
      <c r="R497">
        <f>COUNTIF($D$2:$D$10000,D497)&gt;1</f>
        <v/>
      </c>
      <c r="S497">
        <f>IF(H497=TRUE,"Disponible","No disponible")</f>
        <v/>
      </c>
      <c r="T497">
        <f>IF(AND(ISNUMBER(I497),I497&gt;0),ROUND(F497/I497,2),"Sin volumen")</f>
        <v/>
      </c>
      <c r="U497">
        <f>IF(F497&lt;5000,"Bajo",IF(F497&lt;15000,"Medio","Alto"))</f>
        <v/>
      </c>
    </row>
    <row r="498">
      <c r="A498" s="6" t="inlineStr">
        <is>
          <t>Farmacity</t>
        </is>
      </c>
      <c r="B498" s="6" t="n">
        <v>237266</v>
      </c>
      <c r="C498" s="6" t="n">
        <v>237266</v>
      </c>
      <c r="D498" s="6" t="inlineStr">
        <is>
          <t>Acondicionador Capilatis Manzanilla x 420 ml</t>
        </is>
      </c>
      <c r="E498" s="6" t="inlineStr">
        <is>
          <t>Capilatis</t>
        </is>
      </c>
      <c r="F498" s="6" t="n">
        <v>9700</v>
      </c>
      <c r="G498" s="6" t="n">
        <v>9700</v>
      </c>
      <c r="H498" s="6" t="b">
        <v>1</v>
      </c>
      <c r="I498" s="6" t="n">
        <v>420</v>
      </c>
      <c r="J498" s="6" t="n">
        <v>23.0952</v>
      </c>
      <c r="K498" s="6" t="inlineStr">
        <is>
          <t>&gt; Cuidado Capilar &gt; Shampoo Y Acondicionador &gt;</t>
        </is>
      </c>
      <c r="L498" s="6" t="inlineStr">
        <is>
          <t>acondicionador</t>
        </is>
      </c>
      <c r="M498" s="6" t="inlineStr">
        <is>
          <t>estandar</t>
        </is>
      </c>
      <c r="N498" s="6" t="inlineStr">
        <is>
          <t>general</t>
        </is>
      </c>
      <c r="O498" s="6" t="inlineStr">
        <is>
          <t>https://www.farmacity.com/acondicionador-capilatis-manzanilla-x-420-ml/p</t>
        </is>
      </c>
      <c r="P498" s="8">
        <f>TRIM(CLEAN(PROPER(D498)))</f>
        <v/>
      </c>
      <c r="Q498" s="8">
        <f>PROPER(TRIM(SUBSTITUTE(SUBSTITUTE(SUBSTITUTE(SUBSTITUTE(E498,"TRESEMME","Tresemme"),"HEAD &amp; SHOULDERS","Head &amp; Shoulders"),"ELVIVE","Elvive"),"FRUCTIS","Fructis")))</f>
        <v/>
      </c>
      <c r="R498" s="8">
        <f>COUNTIF($D$2:$D$10000,D498)&gt;1</f>
        <v/>
      </c>
      <c r="S498" s="8">
        <f>IF(H498=TRUE,"Disponible","No disponible")</f>
        <v/>
      </c>
      <c r="T498" s="8">
        <f>IF(AND(ISNUMBER(I498),I498&gt;0),ROUND(F498/I498,2),"Sin volumen")</f>
        <v/>
      </c>
      <c r="U498" s="8">
        <f>IF(F498&lt;5000,"Bajo",IF(F498&lt;15000,"Medio","Alto"))</f>
        <v/>
      </c>
    </row>
    <row r="499">
      <c r="A499" t="inlineStr">
        <is>
          <t>Farmacity</t>
        </is>
      </c>
      <c r="B499" t="n">
        <v>229989</v>
      </c>
      <c r="C499" t="n">
        <v>229989</v>
      </c>
      <c r="D499" t="inlineStr">
        <is>
          <t>Acondicionador Tio Nacho Aclarante x 200 ml</t>
        </is>
      </c>
      <c r="E499" t="inlineStr">
        <is>
          <t>Tío Nacho</t>
        </is>
      </c>
      <c r="F499" t="n">
        <v>8057</v>
      </c>
      <c r="G499" t="n">
        <v>8057</v>
      </c>
      <c r="H499" t="b">
        <v>1</v>
      </c>
      <c r="I499" t="n">
        <v>200</v>
      </c>
      <c r="J499" t="n">
        <v>40.285</v>
      </c>
      <c r="K499" t="inlineStr">
        <is>
          <t>&gt; Cuidado Capilar &gt; Shampoo Y Acondicionador &gt;</t>
        </is>
      </c>
      <c r="L499" t="inlineStr">
        <is>
          <t>acondicionador</t>
        </is>
      </c>
      <c r="M499" t="inlineStr">
        <is>
          <t>estandar</t>
        </is>
      </c>
      <c r="N499" t="inlineStr">
        <is>
          <t>general</t>
        </is>
      </c>
      <c r="O499" t="inlineStr">
        <is>
          <t>https://www.farmacity.com/acondicionador-tio-nacho-aclarante-x-200-ml/p</t>
        </is>
      </c>
      <c r="P499">
        <f>TRIM(CLEAN(PROPER(D499)))</f>
        <v/>
      </c>
      <c r="Q499">
        <f>PROPER(TRIM(SUBSTITUTE(SUBSTITUTE(SUBSTITUTE(SUBSTITUTE(E499,"TRESEMME","Tresemme"),"HEAD &amp; SHOULDERS","Head &amp; Shoulders"),"ELVIVE","Elvive"),"FRUCTIS","Fructis")))</f>
        <v/>
      </c>
      <c r="R499">
        <f>COUNTIF($D$2:$D$10000,D499)&gt;1</f>
        <v/>
      </c>
      <c r="S499">
        <f>IF(H499=TRUE,"Disponible","No disponible")</f>
        <v/>
      </c>
      <c r="T499">
        <f>IF(AND(ISNUMBER(I499),I499&gt;0),ROUND(F499/I499,2),"Sin volumen")</f>
        <v/>
      </c>
      <c r="U499">
        <f>IF(F499&lt;5000,"Bajo",IF(F499&lt;15000,"Medio","Alto"))</f>
        <v/>
      </c>
    </row>
    <row r="500">
      <c r="A500" s="6" t="inlineStr">
        <is>
          <t>Farmacity</t>
        </is>
      </c>
      <c r="B500" s="6" t="n">
        <v>229987</v>
      </c>
      <c r="C500" s="6" t="n">
        <v>229987</v>
      </c>
      <c r="D500" s="6" t="inlineStr">
        <is>
          <t>Acondicionador Tío Nacho Engrosador x 200 ml</t>
        </is>
      </c>
      <c r="E500" s="6" t="inlineStr">
        <is>
          <t>Tío Nacho</t>
        </is>
      </c>
      <c r="F500" s="6" t="n">
        <v>8250</v>
      </c>
      <c r="G500" s="6" t="n">
        <v>8250</v>
      </c>
      <c r="H500" s="6" t="b">
        <v>1</v>
      </c>
      <c r="I500" s="6" t="n">
        <v>200</v>
      </c>
      <c r="J500" s="6" t="n">
        <v>41.25</v>
      </c>
      <c r="K500" s="6" t="inlineStr">
        <is>
          <t>&gt; Cuidado Capilar &gt; Shampoo Y Acondicionador &gt;</t>
        </is>
      </c>
      <c r="L500" s="6" t="inlineStr">
        <is>
          <t>acondicionador</t>
        </is>
      </c>
      <c r="M500" s="6" t="inlineStr">
        <is>
          <t>estandar</t>
        </is>
      </c>
      <c r="N500" s="6" t="inlineStr">
        <is>
          <t>general</t>
        </is>
      </c>
      <c r="O500" s="6" t="inlineStr">
        <is>
          <t>https://www.farmacity.com/acondicionador-tio-nacho-engrosador-x-200-ml/p</t>
        </is>
      </c>
      <c r="P500" s="8">
        <f>TRIM(CLEAN(PROPER(D500)))</f>
        <v/>
      </c>
      <c r="Q500" s="8">
        <f>PROPER(TRIM(SUBSTITUTE(SUBSTITUTE(SUBSTITUTE(SUBSTITUTE(E500,"TRESEMME","Tresemme"),"HEAD &amp; SHOULDERS","Head &amp; Shoulders"),"ELVIVE","Elvive"),"FRUCTIS","Fructis")))</f>
        <v/>
      </c>
      <c r="R500" s="8">
        <f>COUNTIF($D$2:$D$10000,D500)&gt;1</f>
        <v/>
      </c>
      <c r="S500" s="8">
        <f>IF(H500=TRUE,"Disponible","No disponible")</f>
        <v/>
      </c>
      <c r="T500" s="8">
        <f>IF(AND(ISNUMBER(I500),I500&gt;0),ROUND(F500/I500,2),"Sin volumen")</f>
        <v/>
      </c>
      <c r="U500" s="8">
        <f>IF(F500&lt;5000,"Bajo",IF(F500&lt;15000,"Medio","Alto"))</f>
        <v/>
      </c>
    </row>
    <row r="501">
      <c r="A501" t="inlineStr">
        <is>
          <t>Farmacity</t>
        </is>
      </c>
      <c r="B501" t="n">
        <v>244693</v>
      </c>
      <c r="C501" t="n">
        <v>244693</v>
      </c>
      <c r="D501" t="inlineStr">
        <is>
          <t>Acondicionador Elvive Dream Liso x 400 ml</t>
        </is>
      </c>
      <c r="E501" t="inlineStr">
        <is>
          <t>Elvive</t>
        </is>
      </c>
      <c r="F501" t="n">
        <v>7494</v>
      </c>
      <c r="G501" t="n">
        <v>12490</v>
      </c>
      <c r="H501" t="b">
        <v>1</v>
      </c>
      <c r="I501" t="n">
        <v>400</v>
      </c>
      <c r="J501" t="n">
        <v>18.735</v>
      </c>
      <c r="K501" t="inlineStr">
        <is>
          <t>&gt; Cuidado Capilar &gt; Shampoo Y Acondicionador &gt;</t>
        </is>
      </c>
      <c r="L501" t="inlineStr">
        <is>
          <t>acondicionador</t>
        </is>
      </c>
      <c r="M501" t="inlineStr">
        <is>
          <t>profesional</t>
        </is>
      </c>
      <c r="N501" t="inlineStr">
        <is>
          <t>general</t>
        </is>
      </c>
      <c r="O501" t="inlineStr">
        <is>
          <t>https://www.farmacity.com/acondicionador-elvive-dream-liso-x-400-ml/p</t>
        </is>
      </c>
      <c r="P501">
        <f>TRIM(CLEAN(PROPER(D501)))</f>
        <v/>
      </c>
      <c r="Q501">
        <f>PROPER(TRIM(SUBSTITUTE(SUBSTITUTE(SUBSTITUTE(SUBSTITUTE(E501,"TRESEMME","Tresemme"),"HEAD &amp; SHOULDERS","Head &amp; Shoulders"),"ELVIVE","Elvive"),"FRUCTIS","Fructis")))</f>
        <v/>
      </c>
      <c r="R501">
        <f>COUNTIF($D$2:$D$10000,D501)&gt;1</f>
        <v/>
      </c>
      <c r="S501">
        <f>IF(H501=TRUE,"Disponible","No disponible")</f>
        <v/>
      </c>
      <c r="T501">
        <f>IF(AND(ISNUMBER(I501),I501&gt;0),ROUND(F501/I501,2),"Sin volumen")</f>
        <v/>
      </c>
      <c r="U501">
        <f>IF(F501&lt;5000,"Bajo",IF(F501&lt;15000,"Medio","Alto"))</f>
        <v/>
      </c>
    </row>
    <row r="502">
      <c r="A502" s="6" t="inlineStr">
        <is>
          <t>Farmacity</t>
        </is>
      </c>
      <c r="B502" s="6" t="n">
        <v>295</v>
      </c>
      <c r="C502" s="6" t="n">
        <v>109080</v>
      </c>
      <c r="D502" s="6" t="inlineStr">
        <is>
          <t>Acondicionador Dove Reconstrucción + Aminoácido x 400 ml</t>
        </is>
      </c>
      <c r="E502" s="6" t="inlineStr">
        <is>
          <t>Dove</t>
        </is>
      </c>
      <c r="F502" s="6" t="n">
        <v>5812</v>
      </c>
      <c r="G502" s="6" t="n">
        <v>9687</v>
      </c>
      <c r="H502" s="6" t="b">
        <v>1</v>
      </c>
      <c r="I502" s="6" t="n">
        <v>400</v>
      </c>
      <c r="J502" s="6" t="n">
        <v>14.53</v>
      </c>
      <c r="K502" s="6" t="inlineStr">
        <is>
          <t>&gt; Cuidado Capilar &gt; Shampoo Y Acondicionador &gt;</t>
        </is>
      </c>
      <c r="L502" s="6" t="inlineStr">
        <is>
          <t>acondicionador</t>
        </is>
      </c>
      <c r="M502" s="6" t="inlineStr">
        <is>
          <t>estandar</t>
        </is>
      </c>
      <c r="N502" s="6" t="inlineStr">
        <is>
          <t>general</t>
        </is>
      </c>
      <c r="O502" s="6" t="inlineStr">
        <is>
          <t>https://www.farmacity.com/acondicionador-dove-reconstruccion-completa-botella-x-400-ml/p</t>
        </is>
      </c>
      <c r="P502" s="8">
        <f>TRIM(CLEAN(PROPER(D502)))</f>
        <v/>
      </c>
      <c r="Q502" s="8">
        <f>PROPER(TRIM(SUBSTITUTE(SUBSTITUTE(SUBSTITUTE(SUBSTITUTE(E502,"TRESEMME","Tresemme"),"HEAD &amp; SHOULDERS","Head &amp; Shoulders"),"ELVIVE","Elvive"),"FRUCTIS","Fructis")))</f>
        <v/>
      </c>
      <c r="R502" s="8">
        <f>COUNTIF($D$2:$D$10000,D502)&gt;1</f>
        <v/>
      </c>
      <c r="S502" s="8">
        <f>IF(H502=TRUE,"Disponible","No disponible")</f>
        <v/>
      </c>
      <c r="T502" s="8">
        <f>IF(AND(ISNUMBER(I502),I502&gt;0),ROUND(F502/I502,2),"Sin volumen")</f>
        <v/>
      </c>
      <c r="U502" s="8">
        <f>IF(F502&lt;5000,"Bajo",IF(F502&lt;15000,"Medio","Alto"))</f>
        <v/>
      </c>
    </row>
    <row r="503">
      <c r="A503" t="inlineStr">
        <is>
          <t>Farmacity</t>
        </is>
      </c>
      <c r="B503" t="n">
        <v>230626</v>
      </c>
      <c r="C503" t="n">
        <v>230626</v>
      </c>
      <c r="D503" t="inlineStr">
        <is>
          <t>Acondicionador Dosificador Tresemmé Keratina AntiFrizz x 500 ml</t>
        </is>
      </c>
      <c r="E503" t="inlineStr">
        <is>
          <t>Tresemmé</t>
        </is>
      </c>
      <c r="F503" t="n">
        <v>6574</v>
      </c>
      <c r="G503" t="n">
        <v>10114</v>
      </c>
      <c r="H503" t="b">
        <v>1</v>
      </c>
      <c r="I503" t="n">
        <v>500</v>
      </c>
      <c r="J503" t="n">
        <v>13.148</v>
      </c>
      <c r="K503" t="inlineStr">
        <is>
          <t>&gt; Cuidado Capilar &gt; Shampoo Y Acondicionador &gt;</t>
        </is>
      </c>
      <c r="L503" t="inlineStr">
        <is>
          <t>acondicionador</t>
        </is>
      </c>
      <c r="M503" t="inlineStr">
        <is>
          <t>estandar</t>
        </is>
      </c>
      <c r="N503" t="inlineStr">
        <is>
          <t>tratado</t>
        </is>
      </c>
      <c r="O503" t="inlineStr">
        <is>
          <t>https://www.farmacity.com/acondicionador-dosificador-tresemme-keratina-antifrizz-x-500-ml/p</t>
        </is>
      </c>
      <c r="P503">
        <f>TRIM(CLEAN(PROPER(D503)))</f>
        <v/>
      </c>
      <c r="Q503">
        <f>PROPER(TRIM(SUBSTITUTE(SUBSTITUTE(SUBSTITUTE(SUBSTITUTE(E503,"TRESEMME","Tresemme"),"HEAD &amp; SHOULDERS","Head &amp; Shoulders"),"ELVIVE","Elvive"),"FRUCTIS","Fructis")))</f>
        <v/>
      </c>
      <c r="R503">
        <f>COUNTIF($D$2:$D$10000,D503)&gt;1</f>
        <v/>
      </c>
      <c r="S503">
        <f>IF(H503=TRUE,"Disponible","No disponible")</f>
        <v/>
      </c>
      <c r="T503">
        <f>IF(AND(ISNUMBER(I503),I503&gt;0),ROUND(F503/I503,2),"Sin volumen")</f>
        <v/>
      </c>
      <c r="U503">
        <f>IF(F503&lt;5000,"Bajo",IF(F503&lt;15000,"Medio","Alto"))</f>
        <v/>
      </c>
    </row>
    <row r="504">
      <c r="A504" s="6" t="inlineStr">
        <is>
          <t>Farmacity</t>
        </is>
      </c>
      <c r="B504" s="6" t="n">
        <v>239709</v>
      </c>
      <c r="C504" s="6" t="n">
        <v>239709</v>
      </c>
      <c r="D504" s="6" t="inlineStr">
        <is>
          <t>Acondicionador Fructis Hair Food Cacao x 300 ml</t>
        </is>
      </c>
      <c r="E504" s="6" t="inlineStr">
        <is>
          <t>Fructis</t>
        </is>
      </c>
      <c r="F504" s="6" t="n">
        <v>7273</v>
      </c>
      <c r="G504" s="6" t="n">
        <v>11190</v>
      </c>
      <c r="H504" s="6" t="b">
        <v>1</v>
      </c>
      <c r="I504" s="6" t="n">
        <v>300</v>
      </c>
      <c r="J504" s="6" t="n">
        <v>24.2433</v>
      </c>
      <c r="K504" s="6" t="inlineStr">
        <is>
          <t>&gt; Cuidado Capilar &gt; Shampoo Y Acondicionador &gt;</t>
        </is>
      </c>
      <c r="L504" s="6" t="inlineStr">
        <is>
          <t>acondicionador</t>
        </is>
      </c>
      <c r="M504" s="6" t="inlineStr">
        <is>
          <t>estandar</t>
        </is>
      </c>
      <c r="N504" s="6" t="inlineStr">
        <is>
          <t>general</t>
        </is>
      </c>
      <c r="O504" s="6" t="inlineStr">
        <is>
          <t>https://www.farmacity.com/acondicionador-garnier-fructis-hair-food-manteca-de-cacao-x-300-ml/p</t>
        </is>
      </c>
      <c r="P504" s="8">
        <f>TRIM(CLEAN(PROPER(D504)))</f>
        <v/>
      </c>
      <c r="Q504" s="8">
        <f>PROPER(TRIM(SUBSTITUTE(SUBSTITUTE(SUBSTITUTE(SUBSTITUTE(E504,"TRESEMME","Tresemme"),"HEAD &amp; SHOULDERS","Head &amp; Shoulders"),"ELVIVE","Elvive"),"FRUCTIS","Fructis")))</f>
        <v/>
      </c>
      <c r="R504" s="8">
        <f>COUNTIF($D$2:$D$10000,D504)&gt;1</f>
        <v/>
      </c>
      <c r="S504" s="8">
        <f>IF(H504=TRUE,"Disponible","No disponible")</f>
        <v/>
      </c>
      <c r="T504" s="8">
        <f>IF(AND(ISNUMBER(I504),I504&gt;0),ROUND(F504/I504,2),"Sin volumen")</f>
        <v/>
      </c>
      <c r="U504" s="8">
        <f>IF(F504&lt;5000,"Bajo",IF(F504&lt;15000,"Medio","Alto"))</f>
        <v/>
      </c>
    </row>
    <row r="505">
      <c r="A505" t="inlineStr">
        <is>
          <t>Farmacity</t>
        </is>
      </c>
      <c r="B505" t="n">
        <v>230628</v>
      </c>
      <c r="C505" t="n">
        <v>230628</v>
      </c>
      <c r="D505" t="inlineStr">
        <is>
          <t>Acondicionador Dosificador Tresemmé Liso Efecto Botox x 500 ml</t>
        </is>
      </c>
      <c r="E505" t="inlineStr">
        <is>
          <t>Tresemmé</t>
        </is>
      </c>
      <c r="F505" t="n">
        <v>6574</v>
      </c>
      <c r="G505" t="n">
        <v>10114</v>
      </c>
      <c r="H505" t="b">
        <v>1</v>
      </c>
      <c r="I505" t="n">
        <v>500</v>
      </c>
      <c r="J505" t="n">
        <v>13.148</v>
      </c>
      <c r="K505" t="inlineStr">
        <is>
          <t>&gt; Cuidado Capilar &gt; Shampoo Y Acondicionador &gt;</t>
        </is>
      </c>
      <c r="L505" t="inlineStr">
        <is>
          <t>acondicionador</t>
        </is>
      </c>
      <c r="M505" t="inlineStr">
        <is>
          <t>estandar</t>
        </is>
      </c>
      <c r="N505" t="inlineStr">
        <is>
          <t>general</t>
        </is>
      </c>
      <c r="O505" t="inlineStr">
        <is>
          <t>https://www.farmacity.com/acondicionador-dosificador-tresemme-liso-efecto-botox-x-500-ml/p</t>
        </is>
      </c>
      <c r="P505">
        <f>TRIM(CLEAN(PROPER(D505)))</f>
        <v/>
      </c>
      <c r="Q505">
        <f>PROPER(TRIM(SUBSTITUTE(SUBSTITUTE(SUBSTITUTE(SUBSTITUTE(E505,"TRESEMME","Tresemme"),"HEAD &amp; SHOULDERS","Head &amp; Shoulders"),"ELVIVE","Elvive"),"FRUCTIS","Fructis")))</f>
        <v/>
      </c>
      <c r="R505">
        <f>COUNTIF($D$2:$D$10000,D505)&gt;1</f>
        <v/>
      </c>
      <c r="S505">
        <f>IF(H505=TRUE,"Disponible","No disponible")</f>
        <v/>
      </c>
      <c r="T505">
        <f>IF(AND(ISNUMBER(I505),I505&gt;0),ROUND(F505/I505,2),"Sin volumen")</f>
        <v/>
      </c>
      <c r="U505">
        <f>IF(F505&lt;5000,"Bajo",IF(F505&lt;15000,"Medio","Alto"))</f>
        <v/>
      </c>
    </row>
    <row r="506">
      <c r="A506" s="6" t="inlineStr">
        <is>
          <t>Farmacity</t>
        </is>
      </c>
      <c r="B506" s="6" t="n">
        <v>215074</v>
      </c>
      <c r="C506" s="6" t="n">
        <v>215074</v>
      </c>
      <c r="D506" s="6" t="inlineStr">
        <is>
          <t>Acondicionador Dove Regeneración + Retinol x 400 ml</t>
        </is>
      </c>
      <c r="E506" s="6" t="inlineStr">
        <is>
          <t>Dove</t>
        </is>
      </c>
      <c r="F506" s="6" t="n">
        <v>5812</v>
      </c>
      <c r="G506" s="6" t="n">
        <v>9687</v>
      </c>
      <c r="H506" s="6" t="b">
        <v>1</v>
      </c>
      <c r="I506" s="6" t="n">
        <v>400</v>
      </c>
      <c r="J506" s="6" t="n">
        <v>14.53</v>
      </c>
      <c r="K506" s="6" t="inlineStr">
        <is>
          <t>&gt; Cuidado Capilar &gt; Shampoo Y Acondicionador &gt;</t>
        </is>
      </c>
      <c r="L506" s="6" t="inlineStr">
        <is>
          <t>acondicionador</t>
        </is>
      </c>
      <c r="M506" s="6" t="inlineStr">
        <is>
          <t>estandar</t>
        </is>
      </c>
      <c r="N506" s="6" t="inlineStr">
        <is>
          <t>general</t>
        </is>
      </c>
      <c r="O506" s="6" t="inlineStr">
        <is>
          <t>https://www.farmacity.com/acondicionador-dove-regeneracion-extrema-x-400-ml/p</t>
        </is>
      </c>
      <c r="P506" s="8">
        <f>TRIM(CLEAN(PROPER(D506)))</f>
        <v/>
      </c>
      <c r="Q506" s="8">
        <f>PROPER(TRIM(SUBSTITUTE(SUBSTITUTE(SUBSTITUTE(SUBSTITUTE(E506,"TRESEMME","Tresemme"),"HEAD &amp; SHOULDERS","Head &amp; Shoulders"),"ELVIVE","Elvive"),"FRUCTIS","Fructis")))</f>
        <v/>
      </c>
      <c r="R506" s="8">
        <f>COUNTIF($D$2:$D$10000,D506)&gt;1</f>
        <v/>
      </c>
      <c r="S506" s="8">
        <f>IF(H506=TRUE,"Disponible","No disponible")</f>
        <v/>
      </c>
      <c r="T506" s="8">
        <f>IF(AND(ISNUMBER(I506),I506&gt;0),ROUND(F506/I506,2),"Sin volumen")</f>
        <v/>
      </c>
      <c r="U506" s="8">
        <f>IF(F506&lt;5000,"Bajo",IF(F506&lt;15000,"Medio","Alto"))</f>
        <v/>
      </c>
    </row>
    <row r="507">
      <c r="A507" t="inlineStr">
        <is>
          <t>Farmacity</t>
        </is>
      </c>
      <c r="B507" t="n">
        <v>244542</v>
      </c>
      <c r="C507" t="n">
        <v>244542</v>
      </c>
      <c r="D507" t="inlineStr">
        <is>
          <t>Acondicionador Reparador Pantene Pro-V Miracles Keratina Repara y Protege x 510 ml</t>
        </is>
      </c>
      <c r="E507" t="inlineStr">
        <is>
          <t>Pantene</t>
        </is>
      </c>
      <c r="F507" t="n">
        <v>10285</v>
      </c>
      <c r="G507" t="n">
        <v>17142</v>
      </c>
      <c r="H507" t="b">
        <v>1</v>
      </c>
      <c r="I507" t="n">
        <v>510</v>
      </c>
      <c r="J507" t="n">
        <v>20.1667</v>
      </c>
      <c r="K507" t="inlineStr">
        <is>
          <t>&gt; Cuidado Capilar &gt; Shampoo Y Acondicionador &gt;</t>
        </is>
      </c>
      <c r="L507" t="inlineStr">
        <is>
          <t>acondicionador</t>
        </is>
      </c>
      <c r="M507" t="inlineStr">
        <is>
          <t>profesional</t>
        </is>
      </c>
      <c r="N507" t="inlineStr">
        <is>
          <t>tratado</t>
        </is>
      </c>
      <c r="O507" t="inlineStr">
        <is>
          <t>https://www.farmacity.com/acondicionador-pantene-keratina-x-510-ml/p</t>
        </is>
      </c>
      <c r="P507">
        <f>TRIM(CLEAN(PROPER(D507)))</f>
        <v/>
      </c>
      <c r="Q507">
        <f>PROPER(TRIM(SUBSTITUTE(SUBSTITUTE(SUBSTITUTE(SUBSTITUTE(E507,"TRESEMME","Tresemme"),"HEAD &amp; SHOULDERS","Head &amp; Shoulders"),"ELVIVE","Elvive"),"FRUCTIS","Fructis")))</f>
        <v/>
      </c>
      <c r="R507">
        <f>COUNTIF($D$2:$D$10000,D507)&gt;1</f>
        <v/>
      </c>
      <c r="S507">
        <f>IF(H507=TRUE,"Disponible","No disponible")</f>
        <v/>
      </c>
      <c r="T507">
        <f>IF(AND(ISNUMBER(I507),I507&gt;0),ROUND(F507/I507,2),"Sin volumen")</f>
        <v/>
      </c>
      <c r="U507">
        <f>IF(F507&lt;5000,"Bajo",IF(F507&lt;15000,"Medio","Alto"))</f>
        <v/>
      </c>
    </row>
    <row r="508">
      <c r="A508" s="6" t="inlineStr">
        <is>
          <t>Farmacity</t>
        </is>
      </c>
      <c r="B508" s="6" t="n">
        <v>235660</v>
      </c>
      <c r="C508" s="6" t="n">
        <v>235660</v>
      </c>
      <c r="D508" s="6" t="inlineStr">
        <is>
          <t>Acondicionador Pantene Pro-V Miracles Equilibrio Hidratante x 400 ml</t>
        </is>
      </c>
      <c r="E508" s="6" t="inlineStr">
        <is>
          <t>Pantene</t>
        </is>
      </c>
      <c r="F508" s="6" t="n">
        <v>6137</v>
      </c>
      <c r="G508" s="6" t="n">
        <v>10228</v>
      </c>
      <c r="H508" s="6" t="b">
        <v>1</v>
      </c>
      <c r="I508" s="6" t="n">
        <v>400</v>
      </c>
      <c r="J508" s="6" t="n">
        <v>15.3425</v>
      </c>
      <c r="K508" s="6" t="inlineStr">
        <is>
          <t>&gt; Cuidado Capilar &gt; Shampoo Y Acondicionador &gt;</t>
        </is>
      </c>
      <c r="L508" s="6" t="inlineStr">
        <is>
          <t>acondicionador</t>
        </is>
      </c>
      <c r="M508" s="6" t="inlineStr">
        <is>
          <t>profesional</t>
        </is>
      </c>
      <c r="N508" s="6" t="inlineStr">
        <is>
          <t>seco_danado</t>
        </is>
      </c>
      <c r="O508" s="6" t="inlineStr">
        <is>
          <t>https://www.farmacity.com/acondicionador-pantene-pro-v-miracles-equilibrio-x-400-ml/p</t>
        </is>
      </c>
      <c r="P508" s="8">
        <f>TRIM(CLEAN(PROPER(D508)))</f>
        <v/>
      </c>
      <c r="Q508" s="8">
        <f>PROPER(TRIM(SUBSTITUTE(SUBSTITUTE(SUBSTITUTE(SUBSTITUTE(E508,"TRESEMME","Tresemme"),"HEAD &amp; SHOULDERS","Head &amp; Shoulders"),"ELVIVE","Elvive"),"FRUCTIS","Fructis")))</f>
        <v/>
      </c>
      <c r="R508" s="8">
        <f>COUNTIF($D$2:$D$10000,D508)&gt;1</f>
        <v/>
      </c>
      <c r="S508" s="8">
        <f>IF(H508=TRUE,"Disponible","No disponible")</f>
        <v/>
      </c>
      <c r="T508" s="8">
        <f>IF(AND(ISNUMBER(I508),I508&gt;0),ROUND(F508/I508,2),"Sin volumen")</f>
        <v/>
      </c>
      <c r="U508" s="8">
        <f>IF(F508&lt;5000,"Bajo",IF(F508&lt;15000,"Medio","Alto"))</f>
        <v/>
      </c>
    </row>
    <row r="509">
      <c r="A509" t="inlineStr">
        <is>
          <t>Farmacity</t>
        </is>
      </c>
      <c r="B509" t="n">
        <v>235653</v>
      </c>
      <c r="C509" t="n">
        <v>235653</v>
      </c>
      <c r="D509" t="inlineStr">
        <is>
          <t>Acondicionador Pantene Pro-V Miracles Detox Hidratante 200 ml</t>
        </is>
      </c>
      <c r="E509" t="inlineStr">
        <is>
          <t>Pantene</t>
        </is>
      </c>
      <c r="F509" t="n">
        <v>3807</v>
      </c>
      <c r="G509" t="n">
        <v>6345</v>
      </c>
      <c r="H509" t="b">
        <v>1</v>
      </c>
      <c r="I509" t="n">
        <v>200</v>
      </c>
      <c r="J509" t="n">
        <v>19.035</v>
      </c>
      <c r="K509" t="inlineStr">
        <is>
          <t>&gt; Cuidado Capilar &gt; Shampoo Y Acondicionador &gt;</t>
        </is>
      </c>
      <c r="L509" t="inlineStr">
        <is>
          <t>acondicionador</t>
        </is>
      </c>
      <c r="M509" t="inlineStr">
        <is>
          <t>profesional</t>
        </is>
      </c>
      <c r="N509" t="inlineStr">
        <is>
          <t>seco_danado</t>
        </is>
      </c>
      <c r="O509" t="inlineStr">
        <is>
          <t>https://www.farmacity.com/acondicionador-pantene-pro-v-miracles-detox-x-200-ml/p</t>
        </is>
      </c>
      <c r="P509">
        <f>TRIM(CLEAN(PROPER(D509)))</f>
        <v/>
      </c>
      <c r="Q509">
        <f>PROPER(TRIM(SUBSTITUTE(SUBSTITUTE(SUBSTITUTE(SUBSTITUTE(E509,"TRESEMME","Tresemme"),"HEAD &amp; SHOULDERS","Head &amp; Shoulders"),"ELVIVE","Elvive"),"FRUCTIS","Fructis")))</f>
        <v/>
      </c>
      <c r="R509">
        <f>COUNTIF($D$2:$D$10000,D509)&gt;1</f>
        <v/>
      </c>
      <c r="S509">
        <f>IF(H509=TRUE,"Disponible","No disponible")</f>
        <v/>
      </c>
      <c r="T509">
        <f>IF(AND(ISNUMBER(I509),I509&gt;0),ROUND(F509/I509,2),"Sin volumen")</f>
        <v/>
      </c>
      <c r="U509">
        <f>IF(F509&lt;5000,"Bajo",IF(F509&lt;15000,"Medio","Alto"))</f>
        <v/>
      </c>
    </row>
    <row r="510">
      <c r="A510" s="6" t="inlineStr">
        <is>
          <t>Farmacity</t>
        </is>
      </c>
      <c r="B510" s="6" t="n">
        <v>229991</v>
      </c>
      <c r="C510" s="6" t="n">
        <v>229991</v>
      </c>
      <c r="D510" s="6" t="inlineStr">
        <is>
          <t>Acondicionador Elvive Colorvive x 200 ml</t>
        </is>
      </c>
      <c r="E510" s="6" t="inlineStr">
        <is>
          <t>Elvive</t>
        </is>
      </c>
      <c r="F510" s="6" t="n">
        <v>4494</v>
      </c>
      <c r="G510" s="6" t="n">
        <v>7490</v>
      </c>
      <c r="H510" s="6" t="b">
        <v>1</v>
      </c>
      <c r="I510" s="6" t="n">
        <v>200</v>
      </c>
      <c r="J510" s="6" t="n">
        <v>22.47</v>
      </c>
      <c r="K510" s="6" t="inlineStr">
        <is>
          <t>&gt; Cuidado Capilar &gt; Shampoo Y Acondicionador &gt;</t>
        </is>
      </c>
      <c r="L510" s="6" t="inlineStr">
        <is>
          <t>acondicionador</t>
        </is>
      </c>
      <c r="M510" s="6" t="inlineStr">
        <is>
          <t>profesional</t>
        </is>
      </c>
      <c r="N510" s="6" t="inlineStr">
        <is>
          <t>tratado</t>
        </is>
      </c>
      <c r="O510" s="6" t="inlineStr">
        <is>
          <t>https://www.farmacity.com/acondicionador-elvive-matizador-violeta-x-200-ml/p</t>
        </is>
      </c>
      <c r="P510" s="8">
        <f>TRIM(CLEAN(PROPER(D510)))</f>
        <v/>
      </c>
      <c r="Q510" s="8">
        <f>PROPER(TRIM(SUBSTITUTE(SUBSTITUTE(SUBSTITUTE(SUBSTITUTE(E510,"TRESEMME","Tresemme"),"HEAD &amp; SHOULDERS","Head &amp; Shoulders"),"ELVIVE","Elvive"),"FRUCTIS","Fructis")))</f>
        <v/>
      </c>
      <c r="R510" s="8">
        <f>COUNTIF($D$2:$D$10000,D510)&gt;1</f>
        <v/>
      </c>
      <c r="S510" s="8">
        <f>IF(H510=TRUE,"Disponible","No disponible")</f>
        <v/>
      </c>
      <c r="T510" s="8">
        <f>IF(AND(ISNUMBER(I510),I510&gt;0),ROUND(F510/I510,2),"Sin volumen")</f>
        <v/>
      </c>
      <c r="U510" s="8">
        <f>IF(F510&lt;5000,"Bajo",IF(F510&lt;15000,"Medio","Alto"))</f>
        <v/>
      </c>
    </row>
    <row r="511">
      <c r="A511" t="inlineStr">
        <is>
          <t>Farmacity</t>
        </is>
      </c>
      <c r="B511" t="n">
        <v>229979</v>
      </c>
      <c r="C511" t="n">
        <v>229979</v>
      </c>
      <c r="D511" t="inlineStr">
        <is>
          <t>Acondicionador Tío Nacho Herbolaria Milenaria x 415 ml</t>
        </is>
      </c>
      <c r="E511" t="inlineStr">
        <is>
          <t>Tío Nacho</t>
        </is>
      </c>
      <c r="F511" t="n">
        <v>11750</v>
      </c>
      <c r="G511" t="n">
        <v>11750</v>
      </c>
      <c r="H511" t="b">
        <v>1</v>
      </c>
      <c r="I511" t="n">
        <v>415</v>
      </c>
      <c r="J511" t="n">
        <v>28.3133</v>
      </c>
      <c r="K511" t="inlineStr">
        <is>
          <t>&gt; Cuidado Capilar &gt; Shampoo Y Acondicionador &gt;</t>
        </is>
      </c>
      <c r="L511" t="inlineStr">
        <is>
          <t>acondicionador</t>
        </is>
      </c>
      <c r="M511" t="inlineStr">
        <is>
          <t>estandar</t>
        </is>
      </c>
      <c r="N511" t="inlineStr">
        <is>
          <t>general</t>
        </is>
      </c>
      <c r="O511" t="inlineStr">
        <is>
          <t>https://www.farmacity.com/acondicionador-tio-nacho-herbolaria-milenaria-x-415-ml/p</t>
        </is>
      </c>
      <c r="P511">
        <f>TRIM(CLEAN(PROPER(D511)))</f>
        <v/>
      </c>
      <c r="Q511">
        <f>PROPER(TRIM(SUBSTITUTE(SUBSTITUTE(SUBSTITUTE(SUBSTITUTE(E511,"TRESEMME","Tresemme"),"HEAD &amp; SHOULDERS","Head &amp; Shoulders"),"ELVIVE","Elvive"),"FRUCTIS","Fructis")))</f>
        <v/>
      </c>
      <c r="R511">
        <f>COUNTIF($D$2:$D$10000,D511)&gt;1</f>
        <v/>
      </c>
      <c r="S511">
        <f>IF(H511=TRUE,"Disponible","No disponible")</f>
        <v/>
      </c>
      <c r="T511">
        <f>IF(AND(ISNUMBER(I511),I511&gt;0),ROUND(F511/I511,2),"Sin volumen")</f>
        <v/>
      </c>
      <c r="U511">
        <f>IF(F511&lt;5000,"Bajo",IF(F511&lt;15000,"Medio","Alto"))</f>
        <v/>
      </c>
    </row>
    <row r="512">
      <c r="A512" s="6" t="inlineStr">
        <is>
          <t>Farmacity</t>
        </is>
      </c>
      <c r="B512" s="6" t="n">
        <v>223268</v>
      </c>
      <c r="C512" s="6" t="n">
        <v>223268</v>
      </c>
      <c r="D512" s="6" t="inlineStr">
        <is>
          <t>Acondicionador para Niños Johnson’s Baby Gotas de Brillo x 400 ml</t>
        </is>
      </c>
      <c r="E512" s="6" t="inlineStr">
        <is>
          <t>Johnson's</t>
        </is>
      </c>
      <c r="F512" s="6" t="n">
        <v>7169</v>
      </c>
      <c r="G512" s="6" t="n">
        <v>10241</v>
      </c>
      <c r="H512" s="6" t="b">
        <v>1</v>
      </c>
      <c r="I512" s="6" t="n">
        <v>400</v>
      </c>
      <c r="J512" s="6" t="n">
        <v>17.9225</v>
      </c>
      <c r="K512" s="6" t="inlineStr">
        <is>
          <t>&gt; Bebés &gt; Higiene del Bebé &gt; Baño Del Bebé &gt;</t>
        </is>
      </c>
      <c r="L512" s="6" t="inlineStr">
        <is>
          <t>acondicionador</t>
        </is>
      </c>
      <c r="M512" s="6" t="inlineStr">
        <is>
          <t>estandar</t>
        </is>
      </c>
      <c r="N512" s="6" t="inlineStr">
        <is>
          <t>bebe</t>
        </is>
      </c>
      <c r="O512" s="6" t="inlineStr">
        <is>
          <t>https://www.farmacity.com/acondicionador-johnsons-baby-gotas-de-brillo-x-40-ml/p</t>
        </is>
      </c>
      <c r="P512" s="8">
        <f>TRIM(CLEAN(PROPER(D512)))</f>
        <v/>
      </c>
      <c r="Q512" s="8">
        <f>PROPER(TRIM(SUBSTITUTE(SUBSTITUTE(SUBSTITUTE(SUBSTITUTE(E512,"TRESEMME","Tresemme"),"HEAD &amp; SHOULDERS","Head &amp; Shoulders"),"ELVIVE","Elvive"),"FRUCTIS","Fructis")))</f>
        <v/>
      </c>
      <c r="R512" s="8">
        <f>COUNTIF($D$2:$D$10000,D512)&gt;1</f>
        <v/>
      </c>
      <c r="S512" s="8">
        <f>IF(H512=TRUE,"Disponible","No disponible")</f>
        <v/>
      </c>
      <c r="T512" s="8">
        <f>IF(AND(ISNUMBER(I512),I512&gt;0),ROUND(F512/I512,2),"Sin volumen")</f>
        <v/>
      </c>
      <c r="U512" s="8">
        <f>IF(F512&lt;5000,"Bajo",IF(F512&lt;15000,"Medio","Alto"))</f>
        <v/>
      </c>
    </row>
    <row r="513">
      <c r="A513" t="inlineStr">
        <is>
          <t>Farmacity</t>
        </is>
      </c>
      <c r="B513" t="n">
        <v>220331</v>
      </c>
      <c r="C513" t="n">
        <v>220331</v>
      </c>
      <c r="D513" t="inlineStr">
        <is>
          <t>Acondicionador Pantene Pro-V Solutions Restauración x 400 ml</t>
        </is>
      </c>
      <c r="E513" t="inlineStr">
        <is>
          <t>Pantene</t>
        </is>
      </c>
      <c r="F513" t="n">
        <v>6137</v>
      </c>
      <c r="G513" t="n">
        <v>10228</v>
      </c>
      <c r="H513" t="b">
        <v>1</v>
      </c>
      <c r="I513" t="n">
        <v>400</v>
      </c>
      <c r="J513" t="n">
        <v>15.3425</v>
      </c>
      <c r="K513" t="inlineStr">
        <is>
          <t>&gt; Cuidado Capilar &gt; Shampoo Y Acondicionador &gt;</t>
        </is>
      </c>
      <c r="L513" t="inlineStr">
        <is>
          <t>acondicionador</t>
        </is>
      </c>
      <c r="M513" t="inlineStr">
        <is>
          <t>profesional</t>
        </is>
      </c>
      <c r="N513" t="inlineStr">
        <is>
          <t>general</t>
        </is>
      </c>
      <c r="O513" t="inlineStr">
        <is>
          <t>https://www.farmacity.com/acondicionador-pantene-miracle-restauracion-x-400-ml/p</t>
        </is>
      </c>
      <c r="P513">
        <f>TRIM(CLEAN(PROPER(D513)))</f>
        <v/>
      </c>
      <c r="Q513">
        <f>PROPER(TRIM(SUBSTITUTE(SUBSTITUTE(SUBSTITUTE(SUBSTITUTE(E513,"TRESEMME","Tresemme"),"HEAD &amp; SHOULDERS","Head &amp; Shoulders"),"ELVIVE","Elvive"),"FRUCTIS","Fructis")))</f>
        <v/>
      </c>
      <c r="R513">
        <f>COUNTIF($D$2:$D$10000,D513)&gt;1</f>
        <v/>
      </c>
      <c r="S513">
        <f>IF(H513=TRUE,"Disponible","No disponible")</f>
        <v/>
      </c>
      <c r="T513">
        <f>IF(AND(ISNUMBER(I513),I513&gt;0),ROUND(F513/I513,2),"Sin volumen")</f>
        <v/>
      </c>
      <c r="U513">
        <f>IF(F513&lt;5000,"Bajo",IF(F513&lt;15000,"Medio","Alto"))</f>
        <v/>
      </c>
    </row>
    <row r="514">
      <c r="A514" s="6" t="inlineStr">
        <is>
          <t>Farmacity</t>
        </is>
      </c>
      <c r="B514" s="6" t="n">
        <v>7842</v>
      </c>
      <c r="C514" s="6" t="n">
        <v>152463</v>
      </c>
      <c r="D514" s="6" t="inlineStr">
        <is>
          <t>Acondicionador para Niños Johnson's Baby Gotas de Brillo x 200 ml</t>
        </is>
      </c>
      <c r="E514" s="6" t="inlineStr">
        <is>
          <t>Johnson's</t>
        </is>
      </c>
      <c r="F514" s="6" t="n">
        <v>4619</v>
      </c>
      <c r="G514" s="6" t="n">
        <v>6599</v>
      </c>
      <c r="H514" s="6" t="b">
        <v>1</v>
      </c>
      <c r="I514" s="6" t="n">
        <v>200</v>
      </c>
      <c r="J514" s="6" t="n">
        <v>23.095</v>
      </c>
      <c r="K514" s="6" t="inlineStr">
        <is>
          <t>&gt; Bebés &gt; Higiene del Bebé &gt; Baño Del Bebé &gt;</t>
        </is>
      </c>
      <c r="L514" s="6" t="inlineStr">
        <is>
          <t>acondicionador</t>
        </is>
      </c>
      <c r="M514" s="6" t="inlineStr">
        <is>
          <t>estandar</t>
        </is>
      </c>
      <c r="N514" s="6" t="inlineStr">
        <is>
          <t>bebe</t>
        </is>
      </c>
      <c r="O514" s="6" t="inlineStr">
        <is>
          <t>https://www.farmacity.com/acondicionador-gotas-de-brillo-x-200-ml/p</t>
        </is>
      </c>
      <c r="P514" s="8">
        <f>TRIM(CLEAN(PROPER(D514)))</f>
        <v/>
      </c>
      <c r="Q514" s="8">
        <f>PROPER(TRIM(SUBSTITUTE(SUBSTITUTE(SUBSTITUTE(SUBSTITUTE(E514,"TRESEMME","Tresemme"),"HEAD &amp; SHOULDERS","Head &amp; Shoulders"),"ELVIVE","Elvive"),"FRUCTIS","Fructis")))</f>
        <v/>
      </c>
      <c r="R514" s="8">
        <f>COUNTIF($D$2:$D$10000,D514)&gt;1</f>
        <v/>
      </c>
      <c r="S514" s="8">
        <f>IF(H514=TRUE,"Disponible","No disponible")</f>
        <v/>
      </c>
      <c r="T514" s="8">
        <f>IF(AND(ISNUMBER(I514),I514&gt;0),ROUND(F514/I514,2),"Sin volumen")</f>
        <v/>
      </c>
      <c r="U514" s="8">
        <f>IF(F514&lt;5000,"Bajo",IF(F514&lt;15000,"Medio","Alto"))</f>
        <v/>
      </c>
    </row>
    <row r="515">
      <c r="A515" t="inlineStr">
        <is>
          <t>Farmacity</t>
        </is>
      </c>
      <c r="B515" t="n">
        <v>6187</v>
      </c>
      <c r="C515" t="n">
        <v>147255</v>
      </c>
      <c r="D515" t="inlineStr">
        <is>
          <t>Acondicionador Elvive Óleo Extraordinario x 200 ml</t>
        </is>
      </c>
      <c r="E515" t="inlineStr">
        <is>
          <t>Elvive</t>
        </is>
      </c>
      <c r="F515" t="n">
        <v>4194</v>
      </c>
      <c r="G515" t="n">
        <v>6990</v>
      </c>
      <c r="H515" t="b">
        <v>1</v>
      </c>
      <c r="I515" t="n">
        <v>200</v>
      </c>
      <c r="J515" t="n">
        <v>20.97</v>
      </c>
      <c r="K515" t="inlineStr">
        <is>
          <t>&gt; Cuidado Capilar &gt; Shampoo Y Acondicionador &gt;</t>
        </is>
      </c>
      <c r="L515" t="inlineStr">
        <is>
          <t>acondicionador</t>
        </is>
      </c>
      <c r="M515" t="inlineStr">
        <is>
          <t>profesional</t>
        </is>
      </c>
      <c r="N515" t="inlineStr">
        <is>
          <t>general</t>
        </is>
      </c>
      <c r="O515" t="inlineStr">
        <is>
          <t>https://www.farmacity.com/acondicionador-oleo-extraordinario-nutricion-universal-x-200-ml/p</t>
        </is>
      </c>
      <c r="P515">
        <f>TRIM(CLEAN(PROPER(D515)))</f>
        <v/>
      </c>
      <c r="Q515">
        <f>PROPER(TRIM(SUBSTITUTE(SUBSTITUTE(SUBSTITUTE(SUBSTITUTE(E515,"TRESEMME","Tresemme"),"HEAD &amp; SHOULDERS","Head &amp; Shoulders"),"ELVIVE","Elvive"),"FRUCTIS","Fructis")))</f>
        <v/>
      </c>
      <c r="R515">
        <f>COUNTIF($D$2:$D$10000,D515)&gt;1</f>
        <v/>
      </c>
      <c r="S515">
        <f>IF(H515=TRUE,"Disponible","No disponible")</f>
        <v/>
      </c>
      <c r="T515">
        <f>IF(AND(ISNUMBER(I515),I515&gt;0),ROUND(F515/I515,2),"Sin volumen")</f>
        <v/>
      </c>
      <c r="U515">
        <f>IF(F515&lt;5000,"Bajo",IF(F515&lt;15000,"Medio","Alto"))</f>
        <v/>
      </c>
    </row>
    <row r="516">
      <c r="A516" s="6" t="inlineStr">
        <is>
          <t>Farmacity</t>
        </is>
      </c>
      <c r="B516" s="6" t="n">
        <v>243701</v>
      </c>
      <c r="C516" s="6" t="n">
        <v>243701</v>
      </c>
      <c r="D516" s="6" t="inlineStr">
        <is>
          <t>Acondicionador Pantene Anti Caida x 250 ml</t>
        </is>
      </c>
      <c r="E516" s="6" t="inlineStr">
        <is>
          <t>Pantene</t>
        </is>
      </c>
      <c r="F516" s="6" t="n">
        <v>6032</v>
      </c>
      <c r="G516" s="6" t="n">
        <v>10054</v>
      </c>
      <c r="H516" s="6" t="b">
        <v>1</v>
      </c>
      <c r="I516" s="6" t="n">
        <v>250</v>
      </c>
      <c r="J516" s="6" t="n">
        <v>24.128</v>
      </c>
      <c r="K516" s="6" t="inlineStr">
        <is>
          <t>&gt; Cuidado Capilar &gt; Shampoo Y Acondicionador &gt;</t>
        </is>
      </c>
      <c r="L516" s="6" t="inlineStr">
        <is>
          <t>acondicionador</t>
        </is>
      </c>
      <c r="M516" s="6" t="inlineStr">
        <is>
          <t>estandar</t>
        </is>
      </c>
      <c r="N516" s="6" t="inlineStr">
        <is>
          <t>general</t>
        </is>
      </c>
      <c r="O516" s="6" t="inlineStr">
        <is>
          <t>https://www.farmacity.com/acondicionador-pantene-anti-caida-x-250-ml/p</t>
        </is>
      </c>
      <c r="P516" s="8">
        <f>TRIM(CLEAN(PROPER(D516)))</f>
        <v/>
      </c>
      <c r="Q516" s="8">
        <f>PROPER(TRIM(SUBSTITUTE(SUBSTITUTE(SUBSTITUTE(SUBSTITUTE(E516,"TRESEMME","Tresemme"),"HEAD &amp; SHOULDERS","Head &amp; Shoulders"),"ELVIVE","Elvive"),"FRUCTIS","Fructis")))</f>
        <v/>
      </c>
      <c r="R516" s="8">
        <f>COUNTIF($D$2:$D$10000,D516)&gt;1</f>
        <v/>
      </c>
      <c r="S516" s="8">
        <f>IF(H516=TRUE,"Disponible","No disponible")</f>
        <v/>
      </c>
      <c r="T516" s="8">
        <f>IF(AND(ISNUMBER(I516),I516&gt;0),ROUND(F516/I516,2),"Sin volumen")</f>
        <v/>
      </c>
      <c r="U516" s="8">
        <f>IF(F516&lt;5000,"Bajo",IF(F516&lt;15000,"Medio","Alto"))</f>
        <v/>
      </c>
    </row>
    <row r="517">
      <c r="A517" t="inlineStr">
        <is>
          <t>Farmacity</t>
        </is>
      </c>
      <c r="B517" t="n">
        <v>240016</v>
      </c>
      <c r="C517" t="n">
        <v>240016</v>
      </c>
      <c r="D517" t="inlineStr">
        <is>
          <t>Acondicionador Elvive Glycolic Gloss x 750 ml</t>
        </is>
      </c>
      <c r="E517" t="inlineStr">
        <is>
          <t>Elvive</t>
        </is>
      </c>
      <c r="F517" t="n">
        <v>19990</v>
      </c>
      <c r="G517" t="n">
        <v>19990</v>
      </c>
      <c r="H517" t="b">
        <v>1</v>
      </c>
      <c r="I517" t="n">
        <v>750</v>
      </c>
      <c r="J517" t="n">
        <v>26.6533</v>
      </c>
      <c r="K517" t="inlineStr">
        <is>
          <t>&gt; Cuidado Capilar &gt; Shampoo Y Acondicionador &gt;</t>
        </is>
      </c>
      <c r="L517" t="inlineStr">
        <is>
          <t>acondicionador</t>
        </is>
      </c>
      <c r="M517" t="inlineStr">
        <is>
          <t>profesional</t>
        </is>
      </c>
      <c r="N517" t="inlineStr">
        <is>
          <t>general</t>
        </is>
      </c>
      <c r="O517" t="inlineStr">
        <is>
          <t>https://www.farmacity.com/acondicionador-elvive-glyco-gloss-x-750-ml/p</t>
        </is>
      </c>
      <c r="P517">
        <f>TRIM(CLEAN(PROPER(D517)))</f>
        <v/>
      </c>
      <c r="Q517">
        <f>PROPER(TRIM(SUBSTITUTE(SUBSTITUTE(SUBSTITUTE(SUBSTITUTE(E517,"TRESEMME","Tresemme"),"HEAD &amp; SHOULDERS","Head &amp; Shoulders"),"ELVIVE","Elvive"),"FRUCTIS","Fructis")))</f>
        <v/>
      </c>
      <c r="R517">
        <f>COUNTIF($D$2:$D$10000,D517)&gt;1</f>
        <v/>
      </c>
      <c r="S517">
        <f>IF(H517=TRUE,"Disponible","No disponible")</f>
        <v/>
      </c>
      <c r="T517">
        <f>IF(AND(ISNUMBER(I517),I517&gt;0),ROUND(F517/I517,2),"Sin volumen")</f>
        <v/>
      </c>
      <c r="U517">
        <f>IF(F517&lt;5000,"Bajo",IF(F517&lt;15000,"Medio","Alto"))</f>
        <v/>
      </c>
    </row>
    <row r="518">
      <c r="A518" s="6" t="inlineStr">
        <is>
          <t>Farmacity</t>
        </is>
      </c>
      <c r="B518" s="6" t="n">
        <v>239944</v>
      </c>
      <c r="C518" s="6" t="n">
        <v>239944</v>
      </c>
      <c r="D518" s="6" t="inlineStr">
        <is>
          <t>Acondicionador Pantene Keratina x 200 ml</t>
        </is>
      </c>
      <c r="E518" s="6" t="inlineStr">
        <is>
          <t>Pantene</t>
        </is>
      </c>
      <c r="F518" s="6" t="n">
        <v>3807</v>
      </c>
      <c r="G518" s="6" t="n">
        <v>6345</v>
      </c>
      <c r="H518" s="6" t="b">
        <v>1</v>
      </c>
      <c r="I518" s="6" t="n">
        <v>200</v>
      </c>
      <c r="J518" s="6" t="n">
        <v>19.035</v>
      </c>
      <c r="K518" s="6" t="inlineStr">
        <is>
          <t>&gt; Cuidado Capilar &gt; Shampoo Y Acondicionador &gt;</t>
        </is>
      </c>
      <c r="L518" s="6" t="inlineStr">
        <is>
          <t>acondicionador</t>
        </is>
      </c>
      <c r="M518" s="6" t="inlineStr">
        <is>
          <t>estandar</t>
        </is>
      </c>
      <c r="N518" s="6" t="inlineStr">
        <is>
          <t>tratado</t>
        </is>
      </c>
      <c r="O518" s="6" t="inlineStr">
        <is>
          <t>https://www.farmacity.com/acondicionador-pantene-keratina-x-200-ml/p</t>
        </is>
      </c>
      <c r="P518" s="8">
        <f>TRIM(CLEAN(PROPER(D518)))</f>
        <v/>
      </c>
      <c r="Q518" s="8">
        <f>PROPER(TRIM(SUBSTITUTE(SUBSTITUTE(SUBSTITUTE(SUBSTITUTE(E518,"TRESEMME","Tresemme"),"HEAD &amp; SHOULDERS","Head &amp; Shoulders"),"ELVIVE","Elvive"),"FRUCTIS","Fructis")))</f>
        <v/>
      </c>
      <c r="R518" s="8">
        <f>COUNTIF($D$2:$D$10000,D518)&gt;1</f>
        <v/>
      </c>
      <c r="S518" s="8">
        <f>IF(H518=TRUE,"Disponible","No disponible")</f>
        <v/>
      </c>
      <c r="T518" s="8">
        <f>IF(AND(ISNUMBER(I518),I518&gt;0),ROUND(F518/I518,2),"Sin volumen")</f>
        <v/>
      </c>
      <c r="U518" s="8">
        <f>IF(F518&lt;5000,"Bajo",IF(F518&lt;15000,"Medio","Alto"))</f>
        <v/>
      </c>
    </row>
    <row r="519">
      <c r="A519" t="inlineStr">
        <is>
          <t>Farmacity</t>
        </is>
      </c>
      <c r="B519" t="n">
        <v>238884</v>
      </c>
      <c r="C519" t="n">
        <v>238884</v>
      </c>
      <c r="D519" t="inlineStr">
        <is>
          <t>Acondicionador Pantene Pro-V Miracles Revitalizacion x 750 ml</t>
        </is>
      </c>
      <c r="E519" t="inlineStr">
        <is>
          <t>Pantene</t>
        </is>
      </c>
      <c r="F519" t="n">
        <v>16733</v>
      </c>
      <c r="G519" t="n">
        <v>16733</v>
      </c>
      <c r="H519" t="b">
        <v>1</v>
      </c>
      <c r="I519" t="n">
        <v>750</v>
      </c>
      <c r="J519" t="n">
        <v>22.3107</v>
      </c>
      <c r="K519" t="inlineStr">
        <is>
          <t>&gt; Cuidado Capilar &gt; Shampoo Y Acondicionador &gt;</t>
        </is>
      </c>
      <c r="L519" t="inlineStr">
        <is>
          <t>acondicionador</t>
        </is>
      </c>
      <c r="M519" t="inlineStr">
        <is>
          <t>profesional</t>
        </is>
      </c>
      <c r="N519" t="inlineStr">
        <is>
          <t>general</t>
        </is>
      </c>
      <c r="O519" t="inlineStr">
        <is>
          <t>https://www.farmacity.com/acondicionador-pantene-pro-v-miracles-revitalizacion-x-750-ml/p</t>
        </is>
      </c>
      <c r="P519">
        <f>TRIM(CLEAN(PROPER(D519)))</f>
        <v/>
      </c>
      <c r="Q519">
        <f>PROPER(TRIM(SUBSTITUTE(SUBSTITUTE(SUBSTITUTE(SUBSTITUTE(E519,"TRESEMME","Tresemme"),"HEAD &amp; SHOULDERS","Head &amp; Shoulders"),"ELVIVE","Elvive"),"FRUCTIS","Fructis")))</f>
        <v/>
      </c>
      <c r="R519">
        <f>COUNTIF($D$2:$D$10000,D519)&gt;1</f>
        <v/>
      </c>
      <c r="S519">
        <f>IF(H519=TRUE,"Disponible","No disponible")</f>
        <v/>
      </c>
      <c r="T519">
        <f>IF(AND(ISNUMBER(I519),I519&gt;0),ROUND(F519/I519,2),"Sin volumen")</f>
        <v/>
      </c>
      <c r="U519">
        <f>IF(F519&lt;5000,"Bajo",IF(F519&lt;15000,"Medio","Alto"))</f>
        <v/>
      </c>
    </row>
    <row r="520">
      <c r="A520" s="6" t="inlineStr">
        <is>
          <t>Farmacity</t>
        </is>
      </c>
      <c r="B520" s="6" t="n">
        <v>237263</v>
      </c>
      <c r="C520" s="6" t="n">
        <v>237263</v>
      </c>
      <c r="D520" s="6" t="inlineStr">
        <is>
          <t>Acondicionador Capilatis Plex Reparación Absoluta x 350 ml</t>
        </is>
      </c>
      <c r="E520" s="6" t="inlineStr">
        <is>
          <t>Capilatis</t>
        </is>
      </c>
      <c r="F520" s="6" t="n">
        <v>13000</v>
      </c>
      <c r="G520" s="6" t="n">
        <v>13000</v>
      </c>
      <c r="H520" s="6" t="b">
        <v>1</v>
      </c>
      <c r="I520" s="6" t="n">
        <v>350</v>
      </c>
      <c r="J520" s="6" t="n">
        <v>37.1429</v>
      </c>
      <c r="K520" s="6" t="inlineStr">
        <is>
          <t>&gt; Cuidado Capilar &gt; Shampoo Y Acondicionador &gt;</t>
        </is>
      </c>
      <c r="L520" s="6" t="inlineStr">
        <is>
          <t>acondicionador</t>
        </is>
      </c>
      <c r="M520" s="6" t="inlineStr">
        <is>
          <t>estandar</t>
        </is>
      </c>
      <c r="N520" s="6" t="inlineStr">
        <is>
          <t>general</t>
        </is>
      </c>
      <c r="O520" s="6" t="inlineStr">
        <is>
          <t>https://www.farmacity.com/acondicionador-capilatis-plex-reparacion-absoluta-x-350-ml/p</t>
        </is>
      </c>
      <c r="P520" s="8">
        <f>TRIM(CLEAN(PROPER(D520)))</f>
        <v/>
      </c>
      <c r="Q520" s="8">
        <f>PROPER(TRIM(SUBSTITUTE(SUBSTITUTE(SUBSTITUTE(SUBSTITUTE(E520,"TRESEMME","Tresemme"),"HEAD &amp; SHOULDERS","Head &amp; Shoulders"),"ELVIVE","Elvive"),"FRUCTIS","Fructis")))</f>
        <v/>
      </c>
      <c r="R520" s="8">
        <f>COUNTIF($D$2:$D$10000,D520)&gt;1</f>
        <v/>
      </c>
      <c r="S520" s="8">
        <f>IF(H520=TRUE,"Disponible","No disponible")</f>
        <v/>
      </c>
      <c r="T520" s="8">
        <f>IF(AND(ISNUMBER(I520),I520&gt;0),ROUND(F520/I520,2),"Sin volumen")</f>
        <v/>
      </c>
      <c r="U520" s="8">
        <f>IF(F520&lt;5000,"Bajo",IF(F520&lt;15000,"Medio","Alto"))</f>
        <v/>
      </c>
    </row>
    <row r="521">
      <c r="A521" t="inlineStr">
        <is>
          <t>Farmacity</t>
        </is>
      </c>
      <c r="B521" t="n">
        <v>235658</v>
      </c>
      <c r="C521" t="n">
        <v>235658</v>
      </c>
      <c r="D521" t="inlineStr">
        <is>
          <t>Acondicionador Pantene Pro-V Miracles Detox x 400 ml</t>
        </is>
      </c>
      <c r="E521" t="inlineStr">
        <is>
          <t>Pantene</t>
        </is>
      </c>
      <c r="F521" t="n">
        <v>6137</v>
      </c>
      <c r="G521" t="n">
        <v>10228</v>
      </c>
      <c r="H521" t="b">
        <v>1</v>
      </c>
      <c r="I521" t="n">
        <v>400</v>
      </c>
      <c r="J521" t="n">
        <v>15.3425</v>
      </c>
      <c r="K521" t="inlineStr">
        <is>
          <t>&gt; Cuidado Capilar &gt; Shampoo Y Acondicionador &gt;</t>
        </is>
      </c>
      <c r="L521" t="inlineStr">
        <is>
          <t>acondicionador</t>
        </is>
      </c>
      <c r="M521" t="inlineStr">
        <is>
          <t>profesional</t>
        </is>
      </c>
      <c r="N521" t="inlineStr">
        <is>
          <t>general</t>
        </is>
      </c>
      <c r="O521" t="inlineStr">
        <is>
          <t>https://www.farmacity.com/acondicionador-pantene-pro-v-miracles-detox-x-400-ml/p</t>
        </is>
      </c>
      <c r="P521">
        <f>TRIM(CLEAN(PROPER(D521)))</f>
        <v/>
      </c>
      <c r="Q521">
        <f>PROPER(TRIM(SUBSTITUTE(SUBSTITUTE(SUBSTITUTE(SUBSTITUTE(E521,"TRESEMME","Tresemme"),"HEAD &amp; SHOULDERS","Head &amp; Shoulders"),"ELVIVE","Elvive"),"FRUCTIS","Fructis")))</f>
        <v/>
      </c>
      <c r="R521">
        <f>COUNTIF($D$2:$D$10000,D521)&gt;1</f>
        <v/>
      </c>
      <c r="S521">
        <f>IF(H521=TRUE,"Disponible","No disponible")</f>
        <v/>
      </c>
      <c r="T521">
        <f>IF(AND(ISNUMBER(I521),I521&gt;0),ROUND(F521/I521,2),"Sin volumen")</f>
        <v/>
      </c>
      <c r="U521">
        <f>IF(F521&lt;5000,"Bajo",IF(F521&lt;15000,"Medio","Alto"))</f>
        <v/>
      </c>
    </row>
    <row r="522">
      <c r="A522" s="6" t="inlineStr">
        <is>
          <t>Farmacity</t>
        </is>
      </c>
      <c r="B522" s="6" t="n">
        <v>230629</v>
      </c>
      <c r="C522" s="6" t="n">
        <v>230629</v>
      </c>
      <c r="D522" s="6" t="inlineStr">
        <is>
          <t>Acondicionador Dosificador Tresemmé Detox Capilar x 500 ml</t>
        </is>
      </c>
      <c r="E522" s="6" t="inlineStr">
        <is>
          <t>Tresemmé</t>
        </is>
      </c>
      <c r="F522" s="6" t="n">
        <v>6574</v>
      </c>
      <c r="G522" s="6" t="n">
        <v>10114</v>
      </c>
      <c r="H522" s="6" t="b">
        <v>1</v>
      </c>
      <c r="I522" s="6" t="n">
        <v>500</v>
      </c>
      <c r="J522" s="6" t="n">
        <v>13.148</v>
      </c>
      <c r="K522" s="6" t="inlineStr">
        <is>
          <t>&gt; Cuidado Capilar &gt; Shampoo Y Acondicionador &gt;</t>
        </is>
      </c>
      <c r="L522" s="6" t="inlineStr">
        <is>
          <t>acondicionador</t>
        </is>
      </c>
      <c r="M522" s="6" t="inlineStr">
        <is>
          <t>estandar</t>
        </is>
      </c>
      <c r="N522" s="6" t="inlineStr">
        <is>
          <t>general</t>
        </is>
      </c>
      <c r="O522" s="6" t="inlineStr">
        <is>
          <t>https://www.farmacity.com/acondicionador-dosificador-tresemme-detox-capilar-x-500-ml/p</t>
        </is>
      </c>
      <c r="P522" s="8">
        <f>TRIM(CLEAN(PROPER(D522)))</f>
        <v/>
      </c>
      <c r="Q522" s="8">
        <f>PROPER(TRIM(SUBSTITUTE(SUBSTITUTE(SUBSTITUTE(SUBSTITUTE(E522,"TRESEMME","Tresemme"),"HEAD &amp; SHOULDERS","Head &amp; Shoulders"),"ELVIVE","Elvive"),"FRUCTIS","Fructis")))</f>
        <v/>
      </c>
      <c r="R522" s="8">
        <f>COUNTIF($D$2:$D$10000,D522)&gt;1</f>
        <v/>
      </c>
      <c r="S522" s="8">
        <f>IF(H522=TRUE,"Disponible","No disponible")</f>
        <v/>
      </c>
      <c r="T522" s="8">
        <f>IF(AND(ISNUMBER(I522),I522&gt;0),ROUND(F522/I522,2),"Sin volumen")</f>
        <v/>
      </c>
      <c r="U522" s="8">
        <f>IF(F522&lt;5000,"Bajo",IF(F522&lt;15000,"Medio","Alto"))</f>
        <v/>
      </c>
    </row>
    <row r="523">
      <c r="A523" t="inlineStr">
        <is>
          <t>Farmacity</t>
        </is>
      </c>
      <c r="B523" t="n">
        <v>219376</v>
      </c>
      <c r="C523" t="n">
        <v>219376</v>
      </c>
      <c r="D523" t="inlineStr">
        <is>
          <t>Acondicionador Alta Moda Super Oils x 300 ml</t>
        </is>
      </c>
      <c r="E523" t="inlineStr">
        <is>
          <t>Alta Moda</t>
        </is>
      </c>
      <c r="F523" t="n">
        <v>5692</v>
      </c>
      <c r="G523" t="n">
        <v>5692</v>
      </c>
      <c r="H523" t="b">
        <v>1</v>
      </c>
      <c r="I523" t="n">
        <v>300</v>
      </c>
      <c r="J523" t="n">
        <v>18.9733</v>
      </c>
      <c r="K523" t="inlineStr">
        <is>
          <t>&gt; Cuidado Capilar &gt; Shampoo Y Acondicionador &gt;</t>
        </is>
      </c>
      <c r="L523" t="inlineStr">
        <is>
          <t>acondicionador</t>
        </is>
      </c>
      <c r="M523" t="inlineStr">
        <is>
          <t>estandar</t>
        </is>
      </c>
      <c r="N523" t="inlineStr">
        <is>
          <t>general</t>
        </is>
      </c>
      <c r="O523" t="inlineStr">
        <is>
          <t>https://www.farmacity.com/acondicionador-alta-moda-e-argan-therapy-x-300-ml/p</t>
        </is>
      </c>
      <c r="P523">
        <f>TRIM(CLEAN(PROPER(D523)))</f>
        <v/>
      </c>
      <c r="Q523">
        <f>PROPER(TRIM(SUBSTITUTE(SUBSTITUTE(SUBSTITUTE(SUBSTITUTE(E523,"TRESEMME","Tresemme"),"HEAD &amp; SHOULDERS","Head &amp; Shoulders"),"ELVIVE","Elvive"),"FRUCTIS","Fructis")))</f>
        <v/>
      </c>
      <c r="R523">
        <f>COUNTIF($D$2:$D$10000,D523)&gt;1</f>
        <v/>
      </c>
      <c r="S523">
        <f>IF(H523=TRUE,"Disponible","No disponible")</f>
        <v/>
      </c>
      <c r="T523">
        <f>IF(AND(ISNUMBER(I523),I523&gt;0),ROUND(F523/I523,2),"Sin volumen")</f>
        <v/>
      </c>
      <c r="U523">
        <f>IF(F523&lt;5000,"Bajo",IF(F523&lt;15000,"Medio","Alto"))</f>
        <v/>
      </c>
    </row>
    <row r="524">
      <c r="A524" s="6" t="inlineStr">
        <is>
          <t>Farmacity</t>
        </is>
      </c>
      <c r="B524" s="6" t="n">
        <v>214534</v>
      </c>
      <c r="C524" s="6" t="n">
        <v>214534</v>
      </c>
      <c r="D524" s="6" t="inlineStr">
        <is>
          <t>Acondicionador Head &amp; Shoulders Protección Caída x 300 ml</t>
        </is>
      </c>
      <c r="E524" s="6" t="inlineStr">
        <is>
          <t>Head and Shoulders</t>
        </is>
      </c>
      <c r="F524" s="6" t="n">
        <v>7264</v>
      </c>
      <c r="G524" s="6" t="n">
        <v>11175</v>
      </c>
      <c r="H524" s="6" t="b">
        <v>1</v>
      </c>
      <c r="I524" s="6" t="n">
        <v>300</v>
      </c>
      <c r="J524" s="6" t="n">
        <v>24.2133</v>
      </c>
      <c r="K524" s="6" t="inlineStr">
        <is>
          <t>&gt; Cuidado Capilar &gt; Shampoo Y Acondicionador &gt;</t>
        </is>
      </c>
      <c r="L524" s="6" t="inlineStr">
        <is>
          <t>acondicionador</t>
        </is>
      </c>
      <c r="M524" s="6" t="inlineStr">
        <is>
          <t>estandar</t>
        </is>
      </c>
      <c r="N524" s="6" t="inlineStr">
        <is>
          <t>general</t>
        </is>
      </c>
      <c r="O524" s="6" t="inlineStr">
        <is>
          <t>https://www.farmacity.com/acondicionador-head-and-shoulders-anti-fall-x-300-ml/p</t>
        </is>
      </c>
      <c r="P524" s="8">
        <f>TRIM(CLEAN(PROPER(D524)))</f>
        <v/>
      </c>
      <c r="Q524" s="8">
        <f>PROPER(TRIM(SUBSTITUTE(SUBSTITUTE(SUBSTITUTE(SUBSTITUTE(E524,"TRESEMME","Tresemme"),"HEAD &amp; SHOULDERS","Head &amp; Shoulders"),"ELVIVE","Elvive"),"FRUCTIS","Fructis")))</f>
        <v/>
      </c>
      <c r="R524" s="8">
        <f>COUNTIF($D$2:$D$10000,D524)&gt;1</f>
        <v/>
      </c>
      <c r="S524" s="8">
        <f>IF(H524=TRUE,"Disponible","No disponible")</f>
        <v/>
      </c>
      <c r="T524" s="8">
        <f>IF(AND(ISNUMBER(I524),I524&gt;0),ROUND(F524/I524,2),"Sin volumen")</f>
        <v/>
      </c>
      <c r="U524" s="8">
        <f>IF(F524&lt;5000,"Bajo",IF(F524&lt;15000,"Medio","Alto"))</f>
        <v/>
      </c>
    </row>
    <row r="525">
      <c r="A525" t="inlineStr">
        <is>
          <t>Farmacity</t>
        </is>
      </c>
      <c r="B525" t="n">
        <v>207428</v>
      </c>
      <c r="C525" t="n">
        <v>207428</v>
      </c>
      <c r="D525" t="inlineStr">
        <is>
          <t>Acondicionador Ogx Brazilian Keratin Smooth x 385 ml</t>
        </is>
      </c>
      <c r="E525" t="inlineStr">
        <is>
          <t>OGX</t>
        </is>
      </c>
      <c r="F525" t="n">
        <v>27154</v>
      </c>
      <c r="G525" t="n">
        <v>27154</v>
      </c>
      <c r="H525" t="b">
        <v>1</v>
      </c>
      <c r="I525" t="n">
        <v>385</v>
      </c>
      <c r="J525" t="n">
        <v>70.5299</v>
      </c>
      <c r="K525" t="inlineStr">
        <is>
          <t>&gt; Cuidado Capilar &gt; Shampoo Y Acondicionador &gt;</t>
        </is>
      </c>
      <c r="L525" t="inlineStr">
        <is>
          <t>acondicionador</t>
        </is>
      </c>
      <c r="M525" t="inlineStr">
        <is>
          <t>estandar</t>
        </is>
      </c>
      <c r="N525" t="inlineStr">
        <is>
          <t>general</t>
        </is>
      </c>
      <c r="O525" t="inlineStr">
        <is>
          <t>https://www.farmacity.com/acondicionador-ogx-brazilian-keratin-smooth-x-385-ml/p</t>
        </is>
      </c>
      <c r="P525">
        <f>TRIM(CLEAN(PROPER(D525)))</f>
        <v/>
      </c>
      <c r="Q525">
        <f>PROPER(TRIM(SUBSTITUTE(SUBSTITUTE(SUBSTITUTE(SUBSTITUTE(E525,"TRESEMME","Tresemme"),"HEAD &amp; SHOULDERS","Head &amp; Shoulders"),"ELVIVE","Elvive"),"FRUCTIS","Fructis")))</f>
        <v/>
      </c>
      <c r="R525">
        <f>COUNTIF($D$2:$D$10000,D525)&gt;1</f>
        <v/>
      </c>
      <c r="S525">
        <f>IF(H525=TRUE,"Disponible","No disponible")</f>
        <v/>
      </c>
      <c r="T525">
        <f>IF(AND(ISNUMBER(I525),I525&gt;0),ROUND(F525/I525,2),"Sin volumen")</f>
        <v/>
      </c>
      <c r="U525">
        <f>IF(F525&lt;5000,"Bajo",IF(F525&lt;15000,"Medio","Alto"))</f>
        <v/>
      </c>
    </row>
    <row r="526">
      <c r="A526" s="6" t="inlineStr">
        <is>
          <t>Farmacity</t>
        </is>
      </c>
      <c r="B526" s="6" t="n">
        <v>221687</v>
      </c>
      <c r="C526" s="6" t="n">
        <v>221687</v>
      </c>
      <c r="D526" s="6" t="inlineStr">
        <is>
          <t>Acondicionador Head &amp; Shoulders Crece Fuerte Desde la Raíz x 300 ml</t>
        </is>
      </c>
      <c r="E526" s="6" t="inlineStr">
        <is>
          <t>Head and Shoulders</t>
        </is>
      </c>
      <c r="F526" s="6" t="n">
        <v>7264</v>
      </c>
      <c r="G526" s="6" t="n">
        <v>11175</v>
      </c>
      <c r="H526" s="6" t="b">
        <v>1</v>
      </c>
      <c r="I526" s="6" t="n">
        <v>300</v>
      </c>
      <c r="J526" s="6" t="n">
        <v>24.2133</v>
      </c>
      <c r="K526" s="6" t="inlineStr">
        <is>
          <t>&gt; Cuidado Capilar &gt; Shampoo Y Acondicionador &gt;</t>
        </is>
      </c>
      <c r="L526" s="6" t="inlineStr">
        <is>
          <t>acondicionador</t>
        </is>
      </c>
      <c r="M526" s="6" t="inlineStr">
        <is>
          <t>estandar</t>
        </is>
      </c>
      <c r="N526" s="6" t="inlineStr">
        <is>
          <t>general</t>
        </is>
      </c>
      <c r="O526" s="6" t="inlineStr">
        <is>
          <t>https://www.farmacity.com/acondicionador-head-y-shoulders-crece-fuerte-desde-la-raiz-x-300-ml/p</t>
        </is>
      </c>
      <c r="P526" s="8">
        <f>TRIM(CLEAN(PROPER(D526)))</f>
        <v/>
      </c>
      <c r="Q526" s="8">
        <f>PROPER(TRIM(SUBSTITUTE(SUBSTITUTE(SUBSTITUTE(SUBSTITUTE(E526,"TRESEMME","Tresemme"),"HEAD &amp; SHOULDERS","Head &amp; Shoulders"),"ELVIVE","Elvive"),"FRUCTIS","Fructis")))</f>
        <v/>
      </c>
      <c r="R526" s="8">
        <f>COUNTIF($D$2:$D$10000,D526)&gt;1</f>
        <v/>
      </c>
      <c r="S526" s="8">
        <f>IF(H526=TRUE,"Disponible","No disponible")</f>
        <v/>
      </c>
      <c r="T526" s="8">
        <f>IF(AND(ISNUMBER(I526),I526&gt;0),ROUND(F526/I526,2),"Sin volumen")</f>
        <v/>
      </c>
      <c r="U526" s="8">
        <f>IF(F526&lt;5000,"Bajo",IF(F526&lt;15000,"Medio","Alto"))</f>
        <v/>
      </c>
    </row>
    <row r="527">
      <c r="A527" t="inlineStr">
        <is>
          <t>Farmacity</t>
        </is>
      </c>
      <c r="B527" t="n">
        <v>221683</v>
      </c>
      <c r="C527" t="n">
        <v>221683</v>
      </c>
      <c r="D527" t="inlineStr">
        <is>
          <t>Acondicionador Elvive Hidra Hialuronico x 750 ml</t>
        </is>
      </c>
      <c r="E527" t="inlineStr">
        <is>
          <t>Elvive</t>
        </is>
      </c>
      <c r="F527" t="n">
        <v>17990</v>
      </c>
      <c r="G527" t="n">
        <v>17990</v>
      </c>
      <c r="H527" t="b">
        <v>1</v>
      </c>
      <c r="I527" t="n">
        <v>750</v>
      </c>
      <c r="J527" t="n">
        <v>23.9867</v>
      </c>
      <c r="K527" t="inlineStr">
        <is>
          <t>&gt; Cuidado Capilar &gt; Shampoo Y Acondicionador &gt;</t>
        </is>
      </c>
      <c r="L527" t="inlineStr">
        <is>
          <t>acondicionador</t>
        </is>
      </c>
      <c r="M527" t="inlineStr">
        <is>
          <t>profesional</t>
        </is>
      </c>
      <c r="N527" t="inlineStr">
        <is>
          <t>general</t>
        </is>
      </c>
      <c r="O527" t="inlineStr">
        <is>
          <t>https://www.farmacity.com/acondicionador-elvive-hidra-hialuronico-x-750-ml/p</t>
        </is>
      </c>
      <c r="P527">
        <f>TRIM(CLEAN(PROPER(D527)))</f>
        <v/>
      </c>
      <c r="Q527">
        <f>PROPER(TRIM(SUBSTITUTE(SUBSTITUTE(SUBSTITUTE(SUBSTITUTE(E527,"TRESEMME","Tresemme"),"HEAD &amp; SHOULDERS","Head &amp; Shoulders"),"ELVIVE","Elvive"),"FRUCTIS","Fructis")))</f>
        <v/>
      </c>
      <c r="R527">
        <f>COUNTIF($D$2:$D$10000,D527)&gt;1</f>
        <v/>
      </c>
      <c r="S527">
        <f>IF(H527=TRUE,"Disponible","No disponible")</f>
        <v/>
      </c>
      <c r="T527">
        <f>IF(AND(ISNUMBER(I527),I527&gt;0),ROUND(F527/I527,2),"Sin volumen")</f>
        <v/>
      </c>
      <c r="U527">
        <f>IF(F527&lt;5000,"Bajo",IF(F527&lt;15000,"Medio","Alto"))</f>
        <v/>
      </c>
    </row>
    <row r="528">
      <c r="A528" s="6" t="inlineStr">
        <is>
          <t>Farmacity</t>
        </is>
      </c>
      <c r="B528" s="6" t="n">
        <v>9588</v>
      </c>
      <c r="C528" s="6" t="n">
        <v>158661</v>
      </c>
      <c r="D528" s="6" t="inlineStr">
        <is>
          <t>Acondicionador Elvive Óleo Extraordinario Rizos x 200 ml</t>
        </is>
      </c>
      <c r="E528" s="6" t="inlineStr">
        <is>
          <t>Elvive</t>
        </is>
      </c>
      <c r="F528" s="6" t="n">
        <v>6990</v>
      </c>
      <c r="G528" s="6" t="n">
        <v>6990</v>
      </c>
      <c r="H528" s="6" t="b">
        <v>1</v>
      </c>
      <c r="I528" s="6" t="n">
        <v>200</v>
      </c>
      <c r="J528" s="6" t="n">
        <v>34.95</v>
      </c>
      <c r="K528" s="6" t="inlineStr">
        <is>
          <t>&gt; Cuidado Capilar &gt; Shampoo Y Acondicionador &gt;</t>
        </is>
      </c>
      <c r="L528" s="6" t="inlineStr">
        <is>
          <t>acondicionador</t>
        </is>
      </c>
      <c r="M528" s="6" t="inlineStr">
        <is>
          <t>profesional</t>
        </is>
      </c>
      <c r="N528" s="6" t="inlineStr">
        <is>
          <t>rizado</t>
        </is>
      </c>
      <c r="O528" s="6" t="inlineStr">
        <is>
          <t>https://www.farmacity.com/acondicionador-oleo-extraordinario-rizos-definidos-x-200-ml/p</t>
        </is>
      </c>
      <c r="P528" s="8">
        <f>TRIM(CLEAN(PROPER(D528)))</f>
        <v/>
      </c>
      <c r="Q528" s="8">
        <f>PROPER(TRIM(SUBSTITUTE(SUBSTITUTE(SUBSTITUTE(SUBSTITUTE(E528,"TRESEMME","Tresemme"),"HEAD &amp; SHOULDERS","Head &amp; Shoulders"),"ELVIVE","Elvive"),"FRUCTIS","Fructis")))</f>
        <v/>
      </c>
      <c r="R528" s="8">
        <f>COUNTIF($D$2:$D$10000,D528)&gt;1</f>
        <v/>
      </c>
      <c r="S528" s="8">
        <f>IF(H528=TRUE,"Disponible","No disponible")</f>
        <v/>
      </c>
      <c r="T528" s="8">
        <f>IF(AND(ISNUMBER(I528),I528&gt;0),ROUND(F528/I528,2),"Sin volumen")</f>
        <v/>
      </c>
      <c r="U528" s="8">
        <f>IF(F528&lt;5000,"Bajo",IF(F528&lt;15000,"Medio","Alto"))</f>
        <v/>
      </c>
    </row>
    <row r="529">
      <c r="A529" t="inlineStr">
        <is>
          <t>Farmacity</t>
        </is>
      </c>
      <c r="B529" t="n">
        <v>371</v>
      </c>
      <c r="C529" t="n">
        <v>23604</v>
      </c>
      <c r="D529" t="inlineStr">
        <is>
          <t>Acondicionador Capilatis Ortiga con Extracto Vegetal para Caída x 410 ml</t>
        </is>
      </c>
      <c r="E529" t="inlineStr">
        <is>
          <t>Capilatis</t>
        </is>
      </c>
      <c r="F529" t="n">
        <v>9700</v>
      </c>
      <c r="G529" t="n">
        <v>9700</v>
      </c>
      <c r="H529" t="b">
        <v>1</v>
      </c>
      <c r="I529" t="n">
        <v>410</v>
      </c>
      <c r="J529" t="n">
        <v>23.6585</v>
      </c>
      <c r="K529" t="inlineStr">
        <is>
          <t>&gt; Cuidado Capilar &gt; Shampoo Y Acondicionador &gt;</t>
        </is>
      </c>
      <c r="L529" t="inlineStr">
        <is>
          <t>acondicionador</t>
        </is>
      </c>
      <c r="M529" t="inlineStr">
        <is>
          <t>estandar</t>
        </is>
      </c>
      <c r="N529" t="inlineStr">
        <is>
          <t>general</t>
        </is>
      </c>
      <c r="O529" t="inlineStr">
        <is>
          <t>https://www.farmacity.com/enjuague-control-caida-x-410-ml/p</t>
        </is>
      </c>
      <c r="P529">
        <f>TRIM(CLEAN(PROPER(D529)))</f>
        <v/>
      </c>
      <c r="Q529">
        <f>PROPER(TRIM(SUBSTITUTE(SUBSTITUTE(SUBSTITUTE(SUBSTITUTE(E529,"TRESEMME","Tresemme"),"HEAD &amp; SHOULDERS","Head &amp; Shoulders"),"ELVIVE","Elvive"),"FRUCTIS","Fructis")))</f>
        <v/>
      </c>
      <c r="R529">
        <f>COUNTIF($D$2:$D$10000,D529)&gt;1</f>
        <v/>
      </c>
      <c r="S529">
        <f>IF(H529=TRUE,"Disponible","No disponible")</f>
        <v/>
      </c>
      <c r="T529">
        <f>IF(AND(ISNUMBER(I529),I529&gt;0),ROUND(F529/I529,2),"Sin volumen")</f>
        <v/>
      </c>
      <c r="U529">
        <f>IF(F529&lt;5000,"Bajo",IF(F529&lt;15000,"Medio","Alto"))</f>
        <v/>
      </c>
    </row>
    <row r="530">
      <c r="A530" s="6" t="inlineStr">
        <is>
          <t>Farmacity</t>
        </is>
      </c>
      <c r="B530" s="6" t="n">
        <v>229983</v>
      </c>
      <c r="C530" s="6" t="n">
        <v>229983</v>
      </c>
      <c r="D530" s="6" t="inlineStr">
        <is>
          <t>Acondicionador Tío Nacho Aclarante x 415 ml</t>
        </is>
      </c>
      <c r="E530" s="6" t="inlineStr">
        <is>
          <t>Tío Nacho</t>
        </is>
      </c>
      <c r="F530" s="6" t="n">
        <v>8225</v>
      </c>
      <c r="G530" s="6" t="n">
        <v>11750</v>
      </c>
      <c r="H530" s="6" t="b">
        <v>1</v>
      </c>
      <c r="I530" s="6" t="n">
        <v>415</v>
      </c>
      <c r="J530" s="6" t="n">
        <v>19.8193</v>
      </c>
      <c r="K530" s="6" t="inlineStr">
        <is>
          <t>&gt; Cuidado Capilar &gt; Shampoo Y Acondicionador &gt;</t>
        </is>
      </c>
      <c r="L530" s="6" t="inlineStr">
        <is>
          <t>acondicionador</t>
        </is>
      </c>
      <c r="M530" s="6" t="inlineStr">
        <is>
          <t>estandar</t>
        </is>
      </c>
      <c r="N530" s="6" t="inlineStr">
        <is>
          <t>general</t>
        </is>
      </c>
      <c r="O530" s="6" t="inlineStr">
        <is>
          <t>https://www.farmacity.com/acondicionador-tio-nacho-aclarante-x-415-ml/p</t>
        </is>
      </c>
      <c r="P530" s="8">
        <f>TRIM(CLEAN(PROPER(D530)))</f>
        <v/>
      </c>
      <c r="Q530" s="8">
        <f>PROPER(TRIM(SUBSTITUTE(SUBSTITUTE(SUBSTITUTE(SUBSTITUTE(E530,"TRESEMME","Tresemme"),"HEAD &amp; SHOULDERS","Head &amp; Shoulders"),"ELVIVE","Elvive"),"FRUCTIS","Fructis")))</f>
        <v/>
      </c>
      <c r="R530" s="8">
        <f>COUNTIF($D$2:$D$10000,D530)&gt;1</f>
        <v/>
      </c>
      <c r="S530" s="8">
        <f>IF(H530=TRUE,"Disponible","No disponible")</f>
        <v/>
      </c>
      <c r="T530" s="8">
        <f>IF(AND(ISNUMBER(I530),I530&gt;0),ROUND(F530/I530,2),"Sin volumen")</f>
        <v/>
      </c>
      <c r="U530" s="8">
        <f>IF(F530&lt;5000,"Bajo",IF(F530&lt;15000,"Medio","Alto"))</f>
        <v/>
      </c>
    </row>
    <row r="531">
      <c r="A531" t="inlineStr">
        <is>
          <t>Farmacity</t>
        </is>
      </c>
      <c r="B531" t="n">
        <v>225535</v>
      </c>
      <c r="C531" t="n">
        <v>225535</v>
      </c>
      <c r="D531" t="inlineStr">
        <is>
          <t>Acondicionador Bagóvit Capilar Nutrición x 350 ml</t>
        </is>
      </c>
      <c r="E531" t="inlineStr">
        <is>
          <t>Bagóvit</t>
        </is>
      </c>
      <c r="F531" t="n">
        <v>9973</v>
      </c>
      <c r="G531" t="n">
        <v>9973</v>
      </c>
      <c r="H531" t="b">
        <v>1</v>
      </c>
      <c r="I531" t="n">
        <v>350</v>
      </c>
      <c r="J531" t="n">
        <v>28.4943</v>
      </c>
      <c r="K531" t="inlineStr">
        <is>
          <t>&gt; Cuidado Capilar &gt; Shampoo Y Acondicionador &gt;</t>
        </is>
      </c>
      <c r="L531" t="inlineStr">
        <is>
          <t>acondicionador</t>
        </is>
      </c>
      <c r="M531" t="inlineStr">
        <is>
          <t>estandar</t>
        </is>
      </c>
      <c r="N531" t="inlineStr">
        <is>
          <t>general</t>
        </is>
      </c>
      <c r="O531" t="inlineStr">
        <is>
          <t>https://www.farmacity.com/acondicionador-bagovit-capilar-nutricion-profunda-x-350-ml/p</t>
        </is>
      </c>
      <c r="P531">
        <f>TRIM(CLEAN(PROPER(D531)))</f>
        <v/>
      </c>
      <c r="Q531">
        <f>PROPER(TRIM(SUBSTITUTE(SUBSTITUTE(SUBSTITUTE(SUBSTITUTE(E531,"TRESEMME","Tresemme"),"HEAD &amp; SHOULDERS","Head &amp; Shoulders"),"ELVIVE","Elvive"),"FRUCTIS","Fructis")))</f>
        <v/>
      </c>
      <c r="R531">
        <f>COUNTIF($D$2:$D$10000,D531)&gt;1</f>
        <v/>
      </c>
      <c r="S531">
        <f>IF(H531=TRUE,"Disponible","No disponible")</f>
        <v/>
      </c>
      <c r="T531">
        <f>IF(AND(ISNUMBER(I531),I531&gt;0),ROUND(F531/I531,2),"Sin volumen")</f>
        <v/>
      </c>
      <c r="U531">
        <f>IF(F531&lt;5000,"Bajo",IF(F531&lt;15000,"Medio","Alto"))</f>
        <v/>
      </c>
    </row>
    <row r="532">
      <c r="A532" s="6" t="inlineStr">
        <is>
          <t>Farmacity</t>
        </is>
      </c>
      <c r="B532" s="6" t="n">
        <v>200788</v>
      </c>
      <c r="C532" s="6" t="n">
        <v>200788</v>
      </c>
      <c r="D532" s="6" t="inlineStr">
        <is>
          <t>Acondicionador Fructis Liso Coco x 350 ml</t>
        </is>
      </c>
      <c r="E532" s="6" t="inlineStr">
        <is>
          <t>Fructis</t>
        </is>
      </c>
      <c r="F532" s="6" t="n">
        <v>7990</v>
      </c>
      <c r="G532" s="6" t="n">
        <v>7990</v>
      </c>
      <c r="H532" s="6" t="b">
        <v>1</v>
      </c>
      <c r="I532" s="6" t="n">
        <v>350</v>
      </c>
      <c r="J532" s="6" t="n">
        <v>22.8286</v>
      </c>
      <c r="K532" s="6" t="inlineStr">
        <is>
          <t>&gt; Cuidado Capilar &gt; Shampoo Y Acondicionador &gt;</t>
        </is>
      </c>
      <c r="L532" s="6" t="inlineStr">
        <is>
          <t>acondicionador</t>
        </is>
      </c>
      <c r="M532" s="6" t="inlineStr">
        <is>
          <t>estandar</t>
        </is>
      </c>
      <c r="N532" s="6" t="inlineStr">
        <is>
          <t>general</t>
        </is>
      </c>
      <c r="O532" s="6" t="inlineStr">
        <is>
          <t>https://www.farmacity.com/acondicionador-fructis-liso-coco-x-350-ml/p</t>
        </is>
      </c>
      <c r="P532" s="8">
        <f>TRIM(CLEAN(PROPER(D532)))</f>
        <v/>
      </c>
      <c r="Q532" s="8">
        <f>PROPER(TRIM(SUBSTITUTE(SUBSTITUTE(SUBSTITUTE(SUBSTITUTE(E532,"TRESEMME","Tresemme"),"HEAD &amp; SHOULDERS","Head &amp; Shoulders"),"ELVIVE","Elvive"),"FRUCTIS","Fructis")))</f>
        <v/>
      </c>
      <c r="R532" s="8">
        <f>COUNTIF($D$2:$D$10000,D532)&gt;1</f>
        <v/>
      </c>
      <c r="S532" s="8">
        <f>IF(H532=TRUE,"Disponible","No disponible")</f>
        <v/>
      </c>
      <c r="T532" s="8">
        <f>IF(AND(ISNUMBER(I532),I532&gt;0),ROUND(F532/I532,2),"Sin volumen")</f>
        <v/>
      </c>
      <c r="U532" s="8">
        <f>IF(F532&lt;5000,"Bajo",IF(F532&lt;15000,"Medio","Alto"))</f>
        <v/>
      </c>
    </row>
    <row r="533">
      <c r="A533" t="inlineStr">
        <is>
          <t>Farmacity</t>
        </is>
      </c>
      <c r="B533" t="n">
        <v>15062</v>
      </c>
      <c r="C533" t="n">
        <v>34403</v>
      </c>
      <c r="D533" t="inlineStr">
        <is>
          <t>Acondicionador Aveno Restaurador Capilar x 250 ml</t>
        </is>
      </c>
      <c r="E533" t="inlineStr">
        <is>
          <t>Aveno</t>
        </is>
      </c>
      <c r="F533" t="n">
        <v>22398</v>
      </c>
      <c r="G533" t="n">
        <v>29864</v>
      </c>
      <c r="H533" t="b">
        <v>1</v>
      </c>
      <c r="I533" t="n">
        <v>250</v>
      </c>
      <c r="J533" t="n">
        <v>89.592</v>
      </c>
      <c r="K533" t="inlineStr">
        <is>
          <t>&gt; Cuidado Capilar &gt; Shampoo Y Acondicionador &gt;</t>
        </is>
      </c>
      <c r="L533" t="inlineStr">
        <is>
          <t>acondicionador</t>
        </is>
      </c>
      <c r="M533" t="inlineStr">
        <is>
          <t>estandar</t>
        </is>
      </c>
      <c r="N533" t="inlineStr">
        <is>
          <t>general</t>
        </is>
      </c>
      <c r="O533" t="inlineStr">
        <is>
          <t>https://www.farmacity.com/acondicionador-reactivo-hidratante-y-emoliente-x-250-ml/p</t>
        </is>
      </c>
      <c r="P533">
        <f>TRIM(CLEAN(PROPER(D533)))</f>
        <v/>
      </c>
      <c r="Q533">
        <f>PROPER(TRIM(SUBSTITUTE(SUBSTITUTE(SUBSTITUTE(SUBSTITUTE(E533,"TRESEMME","Tresemme"),"HEAD &amp; SHOULDERS","Head &amp; Shoulders"),"ELVIVE","Elvive"),"FRUCTIS","Fructis")))</f>
        <v/>
      </c>
      <c r="R533">
        <f>COUNTIF($D$2:$D$10000,D533)&gt;1</f>
        <v/>
      </c>
      <c r="S533">
        <f>IF(H533=TRUE,"Disponible","No disponible")</f>
        <v/>
      </c>
      <c r="T533">
        <f>IF(AND(ISNUMBER(I533),I533&gt;0),ROUND(F533/I533,2),"Sin volumen")</f>
        <v/>
      </c>
      <c r="U533">
        <f>IF(F533&lt;5000,"Bajo",IF(F533&lt;15000,"Medio","Alto"))</f>
        <v/>
      </c>
    </row>
    <row r="534">
      <c r="A534" s="6" t="inlineStr">
        <is>
          <t>Farmacity</t>
        </is>
      </c>
      <c r="B534" s="6" t="n">
        <v>8876</v>
      </c>
      <c r="C534" s="6" t="n">
        <v>156328</v>
      </c>
      <c r="D534" s="6" t="inlineStr">
        <is>
          <t>Acondicionador Sedal Rizos Definidos x 340 ml</t>
        </is>
      </c>
      <c r="E534" s="6" t="inlineStr">
        <is>
          <t>Sedal</t>
        </is>
      </c>
      <c r="F534" s="6" t="n">
        <v>5836</v>
      </c>
      <c r="G534" s="6" t="n">
        <v>5836</v>
      </c>
      <c r="H534" s="6" t="b">
        <v>1</v>
      </c>
      <c r="I534" s="6" t="n">
        <v>340</v>
      </c>
      <c r="J534" s="6" t="n">
        <v>17.1647</v>
      </c>
      <c r="K534" s="6" t="inlineStr">
        <is>
          <t>&gt; Cuidado Capilar &gt; Shampoo Y Acondicionador &gt;</t>
        </is>
      </c>
      <c r="L534" s="6" t="inlineStr">
        <is>
          <t>acondicionador</t>
        </is>
      </c>
      <c r="M534" s="6" t="inlineStr">
        <is>
          <t>estandar</t>
        </is>
      </c>
      <c r="N534" s="6" t="inlineStr">
        <is>
          <t>rizado</t>
        </is>
      </c>
      <c r="O534" s="6" t="inlineStr">
        <is>
          <t>https://www.farmacity.com/acondicionador-rizos-definidos-botella-x-340-ml/p</t>
        </is>
      </c>
      <c r="P534" s="8">
        <f>TRIM(CLEAN(PROPER(D534)))</f>
        <v/>
      </c>
      <c r="Q534" s="8">
        <f>PROPER(TRIM(SUBSTITUTE(SUBSTITUTE(SUBSTITUTE(SUBSTITUTE(E534,"TRESEMME","Tresemme"),"HEAD &amp; SHOULDERS","Head &amp; Shoulders"),"ELVIVE","Elvive"),"FRUCTIS","Fructis")))</f>
        <v/>
      </c>
      <c r="R534" s="8">
        <f>COUNTIF($D$2:$D$10000,D534)&gt;1</f>
        <v/>
      </c>
      <c r="S534" s="8">
        <f>IF(H534=TRUE,"Disponible","No disponible")</f>
        <v/>
      </c>
      <c r="T534" s="8">
        <f>IF(AND(ISNUMBER(I534),I534&gt;0),ROUND(F534/I534,2),"Sin volumen")</f>
        <v/>
      </c>
      <c r="U534" s="8">
        <f>IF(F534&lt;5000,"Bajo",IF(F534&lt;15000,"Medio","Alto"))</f>
        <v/>
      </c>
    </row>
    <row r="535">
      <c r="A535" t="inlineStr">
        <is>
          <t>Farmacity</t>
        </is>
      </c>
      <c r="B535" t="n">
        <v>701</v>
      </c>
      <c r="C535" t="n">
        <v>132367</v>
      </c>
      <c r="D535" t="inlineStr">
        <is>
          <t>Acondicionador Dove Nutrición + Tri-Óleos x 200 ml</t>
        </is>
      </c>
      <c r="E535" t="inlineStr">
        <is>
          <t>Dove</t>
        </is>
      </c>
      <c r="F535" t="n">
        <v>5788</v>
      </c>
      <c r="G535" t="n">
        <v>5788</v>
      </c>
      <c r="H535" t="b">
        <v>1</v>
      </c>
      <c r="I535" t="n">
        <v>200</v>
      </c>
      <c r="J535" t="n">
        <v>28.94</v>
      </c>
      <c r="K535" t="inlineStr">
        <is>
          <t>&gt; Cuidado Capilar &gt; Shampoo Y Acondicionador &gt;</t>
        </is>
      </c>
      <c r="L535" t="inlineStr">
        <is>
          <t>acondicionador</t>
        </is>
      </c>
      <c r="M535" t="inlineStr">
        <is>
          <t>estandar</t>
        </is>
      </c>
      <c r="N535" t="inlineStr">
        <is>
          <t>general</t>
        </is>
      </c>
      <c r="O535" t="inlineStr">
        <is>
          <t>https://www.farmacity.com/acondicionador-dove-oleo-nutricion-botella-x-200-ml/p</t>
        </is>
      </c>
      <c r="P535">
        <f>TRIM(CLEAN(PROPER(D535)))</f>
        <v/>
      </c>
      <c r="Q535">
        <f>PROPER(TRIM(SUBSTITUTE(SUBSTITUTE(SUBSTITUTE(SUBSTITUTE(E535,"TRESEMME","Tresemme"),"HEAD &amp; SHOULDERS","Head &amp; Shoulders"),"ELVIVE","Elvive"),"FRUCTIS","Fructis")))</f>
        <v/>
      </c>
      <c r="R535">
        <f>COUNTIF($D$2:$D$10000,D535)&gt;1</f>
        <v/>
      </c>
      <c r="S535">
        <f>IF(H535=TRUE,"Disponible","No disponible")</f>
        <v/>
      </c>
      <c r="T535">
        <f>IF(AND(ISNUMBER(I535),I535&gt;0),ROUND(F535/I535,2),"Sin volumen")</f>
        <v/>
      </c>
      <c r="U535">
        <f>IF(F535&lt;5000,"Bajo",IF(F535&lt;15000,"Medio","Alto"))</f>
        <v/>
      </c>
    </row>
    <row r="536">
      <c r="A536" s="6" t="inlineStr">
        <is>
          <t>Farmacity</t>
        </is>
      </c>
      <c r="B536" s="6" t="n">
        <v>398</v>
      </c>
      <c r="C536" s="6" t="n">
        <v>45397</v>
      </c>
      <c r="D536" s="6" t="inlineStr">
        <is>
          <t>Acondicionador para Bebé Johnson's Cabello Claro x 200 ml</t>
        </is>
      </c>
      <c r="E536" s="6" t="inlineStr">
        <is>
          <t>Johnson's</t>
        </is>
      </c>
      <c r="F536" s="6" t="n">
        <v>5018</v>
      </c>
      <c r="G536" s="6" t="n">
        <v>7168</v>
      </c>
      <c r="H536" s="6" t="b">
        <v>1</v>
      </c>
      <c r="I536" s="6" t="n">
        <v>200</v>
      </c>
      <c r="J536" s="6" t="n">
        <v>25.09</v>
      </c>
      <c r="K536" s="6" t="inlineStr">
        <is>
          <t>&gt; Bebés &gt; Higiene del Bebé &gt; Baño Del Bebé &gt;</t>
        </is>
      </c>
      <c r="L536" s="6" t="inlineStr">
        <is>
          <t>acondicionador</t>
        </is>
      </c>
      <c r="M536" s="6" t="inlineStr">
        <is>
          <t>estandar</t>
        </is>
      </c>
      <c r="N536" s="6" t="inlineStr">
        <is>
          <t>bebe</t>
        </is>
      </c>
      <c r="O536" s="6" t="inlineStr">
        <is>
          <t>https://www.farmacity.com/acondicionador-para-bebe-cabello-claro-x-200-ml/p</t>
        </is>
      </c>
      <c r="P536" s="8">
        <f>TRIM(CLEAN(PROPER(D536)))</f>
        <v/>
      </c>
      <c r="Q536" s="8">
        <f>PROPER(TRIM(SUBSTITUTE(SUBSTITUTE(SUBSTITUTE(SUBSTITUTE(E536,"TRESEMME","Tresemme"),"HEAD &amp; SHOULDERS","Head &amp; Shoulders"),"ELVIVE","Elvive"),"FRUCTIS","Fructis")))</f>
        <v/>
      </c>
      <c r="R536" s="8">
        <f>COUNTIF($D$2:$D$10000,D536)&gt;1</f>
        <v/>
      </c>
      <c r="S536" s="8">
        <f>IF(H536=TRUE,"Disponible","No disponible")</f>
        <v/>
      </c>
      <c r="T536" s="8">
        <f>IF(AND(ISNUMBER(I536),I536&gt;0),ROUND(F536/I536,2),"Sin volumen")</f>
        <v/>
      </c>
      <c r="U536" s="8">
        <f>IF(F536&lt;5000,"Bajo",IF(F536&lt;15000,"Medio","Alto"))</f>
        <v/>
      </c>
    </row>
    <row r="537">
      <c r="A537" t="inlineStr">
        <is>
          <t>Farmacity</t>
        </is>
      </c>
      <c r="B537" t="n">
        <v>244</v>
      </c>
      <c r="C537" t="n">
        <v>126742</v>
      </c>
      <c r="D537" t="inlineStr">
        <is>
          <t>Acondicionador para Bebé Johnson's Original x 200 ml</t>
        </is>
      </c>
      <c r="E537" t="inlineStr">
        <is>
          <t>Johnson's</t>
        </is>
      </c>
      <c r="F537" t="n">
        <v>5018</v>
      </c>
      <c r="G537" t="n">
        <v>7168</v>
      </c>
      <c r="H537" t="b">
        <v>1</v>
      </c>
      <c r="I537" t="n">
        <v>200</v>
      </c>
      <c r="J537" t="n">
        <v>25.09</v>
      </c>
      <c r="K537" t="inlineStr">
        <is>
          <t>&gt; Bebés &gt; Higiene del Bebé &gt; Baño Del Bebé &gt;</t>
        </is>
      </c>
      <c r="L537" t="inlineStr">
        <is>
          <t>acondicionador</t>
        </is>
      </c>
      <c r="M537" t="inlineStr">
        <is>
          <t>estandar</t>
        </is>
      </c>
      <c r="N537" t="inlineStr">
        <is>
          <t>bebe</t>
        </is>
      </c>
      <c r="O537" t="inlineStr">
        <is>
          <t>https://www.farmacity.com/acondicionardor-para-bebe-johnsons-original-x-200-ml/p</t>
        </is>
      </c>
      <c r="P537">
        <f>TRIM(CLEAN(PROPER(D537)))</f>
        <v/>
      </c>
      <c r="Q537">
        <f>PROPER(TRIM(SUBSTITUTE(SUBSTITUTE(SUBSTITUTE(SUBSTITUTE(E537,"TRESEMME","Tresemme"),"HEAD &amp; SHOULDERS","Head &amp; Shoulders"),"ELVIVE","Elvive"),"FRUCTIS","Fructis")))</f>
        <v/>
      </c>
      <c r="R537">
        <f>COUNTIF($D$2:$D$10000,D537)&gt;1</f>
        <v/>
      </c>
      <c r="S537">
        <f>IF(H537=TRUE,"Disponible","No disponible")</f>
        <v/>
      </c>
      <c r="T537">
        <f>IF(AND(ISNUMBER(I537),I537&gt;0),ROUND(F537/I537,2),"Sin volumen")</f>
        <v/>
      </c>
      <c r="U537">
        <f>IF(F537&lt;5000,"Bajo",IF(F537&lt;15000,"Medio","Alto"))</f>
        <v/>
      </c>
    </row>
    <row r="538">
      <c r="A538" s="6" t="inlineStr">
        <is>
          <t>Farmacity</t>
        </is>
      </c>
      <c r="B538" s="6" t="n">
        <v>243573</v>
      </c>
      <c r="C538" s="6" t="n">
        <v>243573</v>
      </c>
      <c r="D538" s="6" t="inlineStr">
        <is>
          <t>Acondicionador Sedal Luminous UV x 340 ml</t>
        </is>
      </c>
      <c r="E538" s="6" t="inlineStr">
        <is>
          <t>Sedal</t>
        </is>
      </c>
      <c r="F538" s="6" t="n">
        <v>5837</v>
      </c>
      <c r="G538" s="6" t="n">
        <v>5837</v>
      </c>
      <c r="H538" s="6" t="b">
        <v>1</v>
      </c>
      <c r="I538" s="6" t="n">
        <v>340</v>
      </c>
      <c r="J538" s="6" t="n">
        <v>17.1676</v>
      </c>
      <c r="K538" s="6" t="inlineStr">
        <is>
          <t>&gt; Cuidado Capilar &gt; Shampoo Y Acondicionador &gt;</t>
        </is>
      </c>
      <c r="L538" s="6" t="inlineStr">
        <is>
          <t>acondicionador</t>
        </is>
      </c>
      <c r="M538" s="6" t="inlineStr">
        <is>
          <t>estandar</t>
        </is>
      </c>
      <c r="N538" s="6" t="inlineStr">
        <is>
          <t>general</t>
        </is>
      </c>
      <c r="O538" s="6" t="inlineStr">
        <is>
          <t>https://www.farmacity.com/acondicionador-sedal-luminous-uv-x-340-ml/p</t>
        </is>
      </c>
      <c r="P538" s="8">
        <f>TRIM(CLEAN(PROPER(D538)))</f>
        <v/>
      </c>
      <c r="Q538" s="8">
        <f>PROPER(TRIM(SUBSTITUTE(SUBSTITUTE(SUBSTITUTE(SUBSTITUTE(E538,"TRESEMME","Tresemme"),"HEAD &amp; SHOULDERS","Head &amp; Shoulders"),"ELVIVE","Elvive"),"FRUCTIS","Fructis")))</f>
        <v/>
      </c>
      <c r="R538" s="8">
        <f>COUNTIF($D$2:$D$10000,D538)&gt;1</f>
        <v/>
      </c>
      <c r="S538" s="8">
        <f>IF(H538=TRUE,"Disponible","No disponible")</f>
        <v/>
      </c>
      <c r="T538" s="8">
        <f>IF(AND(ISNUMBER(I538),I538&gt;0),ROUND(F538/I538,2),"Sin volumen")</f>
        <v/>
      </c>
      <c r="U538" s="8">
        <f>IF(F538&lt;5000,"Bajo",IF(F538&lt;15000,"Medio","Alto"))</f>
        <v/>
      </c>
    </row>
    <row r="539">
      <c r="A539" t="inlineStr">
        <is>
          <t>Farmacity</t>
        </is>
      </c>
      <c r="B539" t="n">
        <v>239424</v>
      </c>
      <c r="C539" t="n">
        <v>239424</v>
      </c>
      <c r="D539" t="inlineStr">
        <is>
          <t>Acondicionador Tío Nacho Henna Egipcia Efecto Anti Canas x 415 ml</t>
        </is>
      </c>
      <c r="E539" t="inlineStr">
        <is>
          <t>Tío Nacho</t>
        </is>
      </c>
      <c r="F539" t="n">
        <v>8225</v>
      </c>
      <c r="G539" t="n">
        <v>11750</v>
      </c>
      <c r="H539" t="b">
        <v>1</v>
      </c>
      <c r="I539" t="n">
        <v>415</v>
      </c>
      <c r="J539" t="n">
        <v>19.8193</v>
      </c>
      <c r="K539" t="inlineStr">
        <is>
          <t>&gt; Cuidado Capilar &gt; Shampoo Y Acondicionador &gt;</t>
        </is>
      </c>
      <c r="L539" t="inlineStr">
        <is>
          <t>acondicionador</t>
        </is>
      </c>
      <c r="M539" t="inlineStr">
        <is>
          <t>estandar</t>
        </is>
      </c>
      <c r="N539" t="inlineStr">
        <is>
          <t>general</t>
        </is>
      </c>
      <c r="O539" t="inlineStr">
        <is>
          <t>https://www.farmacity.com/acondicionador-tio-nacho-anticanas-x-415-ml/p</t>
        </is>
      </c>
      <c r="P539">
        <f>TRIM(CLEAN(PROPER(D539)))</f>
        <v/>
      </c>
      <c r="Q539">
        <f>PROPER(TRIM(SUBSTITUTE(SUBSTITUTE(SUBSTITUTE(SUBSTITUTE(E539,"TRESEMME","Tresemme"),"HEAD &amp; SHOULDERS","Head &amp; Shoulders"),"ELVIVE","Elvive"),"FRUCTIS","Fructis")))</f>
        <v/>
      </c>
      <c r="R539">
        <f>COUNTIF($D$2:$D$10000,D539)&gt;1</f>
        <v/>
      </c>
      <c r="S539">
        <f>IF(H539=TRUE,"Disponible","No disponible")</f>
        <v/>
      </c>
      <c r="T539">
        <f>IF(AND(ISNUMBER(I539),I539&gt;0),ROUND(F539/I539,2),"Sin volumen")</f>
        <v/>
      </c>
      <c r="U539">
        <f>IF(F539&lt;5000,"Bajo",IF(F539&lt;15000,"Medio","Alto"))</f>
        <v/>
      </c>
    </row>
    <row r="540">
      <c r="A540" s="6" t="inlineStr">
        <is>
          <t>Farmacity</t>
        </is>
      </c>
      <c r="B540" s="6" t="n">
        <v>238876</v>
      </c>
      <c r="C540" s="6" t="n">
        <v>238876</v>
      </c>
      <c r="D540" s="6" t="inlineStr">
        <is>
          <t>Acondicionador Pantene Pro-V Miracles Volumen x 750 ml</t>
        </is>
      </c>
      <c r="E540" s="6" t="inlineStr">
        <is>
          <t>Pantene</t>
        </is>
      </c>
      <c r="F540" s="6" t="n">
        <v>16733</v>
      </c>
      <c r="G540" s="6" t="n">
        <v>16733</v>
      </c>
      <c r="H540" s="6" t="b">
        <v>1</v>
      </c>
      <c r="I540" s="6" t="n">
        <v>750</v>
      </c>
      <c r="J540" s="6" t="n">
        <v>22.3107</v>
      </c>
      <c r="K540" s="6" t="inlineStr">
        <is>
          <t>&gt; Cuidado Capilar &gt; Shampoo Y Acondicionador &gt;</t>
        </is>
      </c>
      <c r="L540" s="6" t="inlineStr">
        <is>
          <t>acondicionador</t>
        </is>
      </c>
      <c r="M540" s="6" t="inlineStr">
        <is>
          <t>profesional</t>
        </is>
      </c>
      <c r="N540" s="6" t="inlineStr">
        <is>
          <t>general</t>
        </is>
      </c>
      <c r="O540" s="6" t="inlineStr">
        <is>
          <t>https://www.farmacity.com/acondicionador-pantene-pro-v-miracles-volumen-x-750-ml/p</t>
        </is>
      </c>
      <c r="P540" s="8">
        <f>TRIM(CLEAN(PROPER(D540)))</f>
        <v/>
      </c>
      <c r="Q540" s="8">
        <f>PROPER(TRIM(SUBSTITUTE(SUBSTITUTE(SUBSTITUTE(SUBSTITUTE(E540,"TRESEMME","Tresemme"),"HEAD &amp; SHOULDERS","Head &amp; Shoulders"),"ELVIVE","Elvive"),"FRUCTIS","Fructis")))</f>
        <v/>
      </c>
      <c r="R540" s="8">
        <f>COUNTIF($D$2:$D$10000,D540)&gt;1</f>
        <v/>
      </c>
      <c r="S540" s="8">
        <f>IF(H540=TRUE,"Disponible","No disponible")</f>
        <v/>
      </c>
      <c r="T540" s="8">
        <f>IF(AND(ISNUMBER(I540),I540&gt;0),ROUND(F540/I540,2),"Sin volumen")</f>
        <v/>
      </c>
      <c r="U540" s="8">
        <f>IF(F540&lt;5000,"Bajo",IF(F540&lt;15000,"Medio","Alto"))</f>
        <v/>
      </c>
    </row>
    <row r="541">
      <c r="A541" t="inlineStr">
        <is>
          <t>Farmacity</t>
        </is>
      </c>
      <c r="B541" t="n">
        <v>234284</v>
      </c>
      <c r="C541" t="n">
        <v>234284</v>
      </c>
      <c r="D541" t="inlineStr">
        <is>
          <t>Acondicionador Pantene Pro-V Miracles Hidratante 200 ml</t>
        </is>
      </c>
      <c r="E541" t="inlineStr">
        <is>
          <t>Pantene</t>
        </is>
      </c>
      <c r="F541" t="n">
        <v>3807</v>
      </c>
      <c r="G541" t="n">
        <v>6345</v>
      </c>
      <c r="H541" t="b">
        <v>1</v>
      </c>
      <c r="I541" t="n">
        <v>200</v>
      </c>
      <c r="J541" t="n">
        <v>19.035</v>
      </c>
      <c r="K541" t="inlineStr">
        <is>
          <t>&gt; Cuidado Capilar &gt; Shampoo Y Acondicionador &gt;</t>
        </is>
      </c>
      <c r="L541" t="inlineStr">
        <is>
          <t>acondicionador</t>
        </is>
      </c>
      <c r="M541" t="inlineStr">
        <is>
          <t>profesional</t>
        </is>
      </c>
      <c r="N541" t="inlineStr">
        <is>
          <t>seco_danado</t>
        </is>
      </c>
      <c r="O541" t="inlineStr">
        <is>
          <t>https://www.farmacity.com/acondicionador-pantene-pro-v-miracles-hidrata-y-fortalece-x-200-ml/p</t>
        </is>
      </c>
      <c r="P541">
        <f>TRIM(CLEAN(PROPER(D541)))</f>
        <v/>
      </c>
      <c r="Q541">
        <f>PROPER(TRIM(SUBSTITUTE(SUBSTITUTE(SUBSTITUTE(SUBSTITUTE(E541,"TRESEMME","Tresemme"),"HEAD &amp; SHOULDERS","Head &amp; Shoulders"),"ELVIVE","Elvive"),"FRUCTIS","Fructis")))</f>
        <v/>
      </c>
      <c r="R541">
        <f>COUNTIF($D$2:$D$10000,D541)&gt;1</f>
        <v/>
      </c>
      <c r="S541">
        <f>IF(H541=TRUE,"Disponible","No disponible")</f>
        <v/>
      </c>
      <c r="T541">
        <f>IF(AND(ISNUMBER(I541),I541&gt;0),ROUND(F541/I541,2),"Sin volumen")</f>
        <v/>
      </c>
      <c r="U541">
        <f>IF(F541&lt;5000,"Bajo",IF(F541&lt;15000,"Medio","Alto"))</f>
        <v/>
      </c>
    </row>
    <row r="542">
      <c r="A542" s="6" t="inlineStr">
        <is>
          <t>Farmacity</t>
        </is>
      </c>
      <c r="B542" s="6" t="n">
        <v>8873</v>
      </c>
      <c r="C542" s="6" t="n">
        <v>156290</v>
      </c>
      <c r="D542" s="6" t="inlineStr">
        <is>
          <t>Acondicionador Sedal Ceramidas x 190 ml</t>
        </is>
      </c>
      <c r="E542" s="6" t="inlineStr">
        <is>
          <t>Sedal</t>
        </is>
      </c>
      <c r="F542" s="6" t="n">
        <v>3907</v>
      </c>
      <c r="G542" s="6" t="n">
        <v>3907</v>
      </c>
      <c r="H542" s="6" t="b">
        <v>1</v>
      </c>
      <c r="I542" s="6" t="n">
        <v>190</v>
      </c>
      <c r="J542" s="6" t="n">
        <v>20.5632</v>
      </c>
      <c r="K542" s="6" t="inlineStr">
        <is>
          <t>&gt; Cuidado Capilar &gt; Shampoo Y Acondicionador &gt;</t>
        </is>
      </c>
      <c r="L542" s="6" t="inlineStr">
        <is>
          <t>acondicionador</t>
        </is>
      </c>
      <c r="M542" s="6" t="inlineStr">
        <is>
          <t>estandar</t>
        </is>
      </c>
      <c r="N542" s="6" t="inlineStr">
        <is>
          <t>general</t>
        </is>
      </c>
      <c r="O542" s="6" t="inlineStr">
        <is>
          <t>https://www.farmacity.com/acondicionador-ceramidas-x-190-ml/p</t>
        </is>
      </c>
      <c r="P542" s="8">
        <f>TRIM(CLEAN(PROPER(D542)))</f>
        <v/>
      </c>
      <c r="Q542" s="8">
        <f>PROPER(TRIM(SUBSTITUTE(SUBSTITUTE(SUBSTITUTE(SUBSTITUTE(E542,"TRESEMME","Tresemme"),"HEAD &amp; SHOULDERS","Head &amp; Shoulders"),"ELVIVE","Elvive"),"FRUCTIS","Fructis")))</f>
        <v/>
      </c>
      <c r="R542" s="8">
        <f>COUNTIF($D$2:$D$10000,D542)&gt;1</f>
        <v/>
      </c>
      <c r="S542" s="8">
        <f>IF(H542=TRUE,"Disponible","No disponible")</f>
        <v/>
      </c>
      <c r="T542" s="8">
        <f>IF(AND(ISNUMBER(I542),I542&gt;0),ROUND(F542/I542,2),"Sin volumen")</f>
        <v/>
      </c>
      <c r="U542" s="8">
        <f>IF(F542&lt;5000,"Bajo",IF(F542&lt;15000,"Medio","Alto"))</f>
        <v/>
      </c>
    </row>
    <row r="543">
      <c r="A543" t="inlineStr">
        <is>
          <t>Farmacity</t>
        </is>
      </c>
      <c r="B543" t="n">
        <v>3842</v>
      </c>
      <c r="C543" t="n">
        <v>137317</v>
      </c>
      <c r="D543" t="inlineStr">
        <is>
          <t>Acondicionador con Keratina x 350 ml</t>
        </is>
      </c>
      <c r="E543" t="inlineStr">
        <is>
          <t>Capilatis</t>
        </is>
      </c>
      <c r="F543" t="n">
        <v>9900</v>
      </c>
      <c r="G543" t="n">
        <v>9900</v>
      </c>
      <c r="H543" t="b">
        <v>1</v>
      </c>
      <c r="I543" t="n">
        <v>350</v>
      </c>
      <c r="J543" t="n">
        <v>28.2857</v>
      </c>
      <c r="K543" t="inlineStr">
        <is>
          <t>&gt; Cuidado Capilar &gt; Shampoo Y Acondicionador &gt;</t>
        </is>
      </c>
      <c r="L543" t="inlineStr">
        <is>
          <t>acondicionador</t>
        </is>
      </c>
      <c r="M543" t="inlineStr">
        <is>
          <t>estandar</t>
        </is>
      </c>
      <c r="N543" t="inlineStr">
        <is>
          <t>tratado</t>
        </is>
      </c>
      <c r="O543" t="inlineStr">
        <is>
          <t>https://www.farmacity.com/acondicionador-con-keratina-x-350-ml/p</t>
        </is>
      </c>
      <c r="P543">
        <f>TRIM(CLEAN(PROPER(D543)))</f>
        <v/>
      </c>
      <c r="Q543">
        <f>PROPER(TRIM(SUBSTITUTE(SUBSTITUTE(SUBSTITUTE(SUBSTITUTE(E543,"TRESEMME","Tresemme"),"HEAD &amp; SHOULDERS","Head &amp; Shoulders"),"ELVIVE","Elvive"),"FRUCTIS","Fructis")))</f>
        <v/>
      </c>
      <c r="R543">
        <f>COUNTIF($D$2:$D$10000,D543)&gt;1</f>
        <v/>
      </c>
      <c r="S543">
        <f>IF(H543=TRUE,"Disponible","No disponible")</f>
        <v/>
      </c>
      <c r="T543">
        <f>IF(AND(ISNUMBER(I543),I543&gt;0),ROUND(F543/I543,2),"Sin volumen")</f>
        <v/>
      </c>
      <c r="U543">
        <f>IF(F543&lt;5000,"Bajo",IF(F543&lt;15000,"Medio","Alto"))</f>
        <v/>
      </c>
    </row>
    <row r="544">
      <c r="A544" s="6" t="inlineStr">
        <is>
          <t>Farmacity</t>
        </is>
      </c>
      <c r="B544" s="6" t="n">
        <v>232723</v>
      </c>
      <c r="C544" s="6" t="n">
        <v>232723</v>
      </c>
      <c r="D544" s="6" t="inlineStr">
        <is>
          <t>Acondicionador Capilatis Natural Nutritivo x 420 ml</t>
        </is>
      </c>
      <c r="E544" s="6" t="inlineStr">
        <is>
          <t>Capilatis</t>
        </is>
      </c>
      <c r="F544" s="6" t="n">
        <v>9700</v>
      </c>
      <c r="G544" s="6" t="n">
        <v>9700</v>
      </c>
      <c r="H544" s="6" t="b">
        <v>1</v>
      </c>
      <c r="I544" s="6" t="n">
        <v>420</v>
      </c>
      <c r="J544" s="6" t="n">
        <v>23.0952</v>
      </c>
      <c r="K544" s="6" t="inlineStr">
        <is>
          <t>&gt; Cuidado Capilar &gt; Shampoo Y Acondicionador &gt;</t>
        </is>
      </c>
      <c r="L544" s="6" t="inlineStr">
        <is>
          <t>acondicionador</t>
        </is>
      </c>
      <c r="M544" s="6" t="inlineStr">
        <is>
          <t>estandar</t>
        </is>
      </c>
      <c r="N544" s="6" t="inlineStr">
        <is>
          <t>general</t>
        </is>
      </c>
      <c r="O544" s="6" t="inlineStr">
        <is>
          <t>https://www.farmacity.com/acondicionador-capilatis-natural-nutritivo-x-420-ml/p</t>
        </is>
      </c>
      <c r="P544" s="8">
        <f>TRIM(CLEAN(PROPER(D544)))</f>
        <v/>
      </c>
      <c r="Q544" s="8">
        <f>PROPER(TRIM(SUBSTITUTE(SUBSTITUTE(SUBSTITUTE(SUBSTITUTE(E544,"TRESEMME","Tresemme"),"HEAD &amp; SHOULDERS","Head &amp; Shoulders"),"ELVIVE","Elvive"),"FRUCTIS","Fructis")))</f>
        <v/>
      </c>
      <c r="R544" s="8">
        <f>COUNTIF($D$2:$D$10000,D544)&gt;1</f>
        <v/>
      </c>
      <c r="S544" s="8">
        <f>IF(H544=TRUE,"Disponible","No disponible")</f>
        <v/>
      </c>
      <c r="T544" s="8">
        <f>IF(AND(ISNUMBER(I544),I544&gt;0),ROUND(F544/I544,2),"Sin volumen")</f>
        <v/>
      </c>
      <c r="U544" s="8">
        <f>IF(F544&lt;5000,"Bajo",IF(F544&lt;15000,"Medio","Alto"))</f>
        <v/>
      </c>
    </row>
    <row r="545">
      <c r="A545" t="inlineStr">
        <is>
          <t>Farmacity</t>
        </is>
      </c>
      <c r="B545" t="n">
        <v>220327</v>
      </c>
      <c r="C545" t="n">
        <v>220327</v>
      </c>
      <c r="D545" t="inlineStr">
        <is>
          <t>Acondicionador Pantene Brillo Extremo x 200 ml</t>
        </is>
      </c>
      <c r="E545" t="inlineStr">
        <is>
          <t>Pantene</t>
        </is>
      </c>
      <c r="F545" t="n">
        <v>4697</v>
      </c>
      <c r="G545" t="n">
        <v>4697</v>
      </c>
      <c r="H545" t="b">
        <v>1</v>
      </c>
      <c r="I545" t="n">
        <v>200</v>
      </c>
      <c r="J545" t="n">
        <v>23.485</v>
      </c>
      <c r="K545" t="inlineStr">
        <is>
          <t>&gt; Cuidado Capilar &gt; Shampoo Y Acondicionador &gt;</t>
        </is>
      </c>
      <c r="L545" t="inlineStr">
        <is>
          <t>acondicionador</t>
        </is>
      </c>
      <c r="M545" t="inlineStr">
        <is>
          <t>estandar</t>
        </is>
      </c>
      <c r="N545" t="inlineStr">
        <is>
          <t>general</t>
        </is>
      </c>
      <c r="O545" t="inlineStr">
        <is>
          <t>https://www.farmacity.com/acondicionador-pantene-miracle-brillo-extremo-x-200-ml/p</t>
        </is>
      </c>
      <c r="P545">
        <f>TRIM(CLEAN(PROPER(D545)))</f>
        <v/>
      </c>
      <c r="Q545">
        <f>PROPER(TRIM(SUBSTITUTE(SUBSTITUTE(SUBSTITUTE(SUBSTITUTE(E545,"TRESEMME","Tresemme"),"HEAD &amp; SHOULDERS","Head &amp; Shoulders"),"ELVIVE","Elvive"),"FRUCTIS","Fructis")))</f>
        <v/>
      </c>
      <c r="R545">
        <f>COUNTIF($D$2:$D$10000,D545)&gt;1</f>
        <v/>
      </c>
      <c r="S545">
        <f>IF(H545=TRUE,"Disponible","No disponible")</f>
        <v/>
      </c>
      <c r="T545">
        <f>IF(AND(ISNUMBER(I545),I545&gt;0),ROUND(F545/I545,2),"Sin volumen")</f>
        <v/>
      </c>
      <c r="U545">
        <f>IF(F545&lt;5000,"Bajo",IF(F545&lt;15000,"Medio","Alto"))</f>
        <v/>
      </c>
    </row>
    <row r="546">
      <c r="A546" s="6" t="inlineStr">
        <is>
          <t>Farmacity</t>
        </is>
      </c>
      <c r="B546" s="6" t="n">
        <v>215073</v>
      </c>
      <c r="C546" s="6" t="n">
        <v>215073</v>
      </c>
      <c r="D546" s="6" t="inlineStr">
        <is>
          <t>Acondicionador Dove Regeneración + Retinol x 200 ml</t>
        </is>
      </c>
      <c r="E546" s="6" t="inlineStr">
        <is>
          <t>Dove</t>
        </is>
      </c>
      <c r="F546" s="6" t="n">
        <v>5788</v>
      </c>
      <c r="G546" s="6" t="n">
        <v>5788</v>
      </c>
      <c r="H546" s="6" t="b">
        <v>1</v>
      </c>
      <c r="I546" s="6" t="n">
        <v>200</v>
      </c>
      <c r="J546" s="6" t="n">
        <v>28.94</v>
      </c>
      <c r="K546" s="6" t="inlineStr">
        <is>
          <t>&gt; Cuidado Capilar &gt; Shampoo Y Acondicionador &gt;</t>
        </is>
      </c>
      <c r="L546" s="6" t="inlineStr">
        <is>
          <t>acondicionador</t>
        </is>
      </c>
      <c r="M546" s="6" t="inlineStr">
        <is>
          <t>estandar</t>
        </is>
      </c>
      <c r="N546" s="6" t="inlineStr">
        <is>
          <t>general</t>
        </is>
      </c>
      <c r="O546" s="6" t="inlineStr">
        <is>
          <t>https://www.farmacity.com/acondicionador-dove-regeneracion-extrema-x-200-ml/p</t>
        </is>
      </c>
      <c r="P546" s="8">
        <f>TRIM(CLEAN(PROPER(D546)))</f>
        <v/>
      </c>
      <c r="Q546" s="8">
        <f>PROPER(TRIM(SUBSTITUTE(SUBSTITUTE(SUBSTITUTE(SUBSTITUTE(E546,"TRESEMME","Tresemme"),"HEAD &amp; SHOULDERS","Head &amp; Shoulders"),"ELVIVE","Elvive"),"FRUCTIS","Fructis")))</f>
        <v/>
      </c>
      <c r="R546" s="8">
        <f>COUNTIF($D$2:$D$10000,D546)&gt;1</f>
        <v/>
      </c>
      <c r="S546" s="8">
        <f>IF(H546=TRUE,"Disponible","No disponible")</f>
        <v/>
      </c>
      <c r="T546" s="8">
        <f>IF(AND(ISNUMBER(I546),I546&gt;0),ROUND(F546/I546,2),"Sin volumen")</f>
        <v/>
      </c>
      <c r="U546" s="8">
        <f>IF(F546&lt;5000,"Bajo",IF(F546&lt;15000,"Medio","Alto"))</f>
        <v/>
      </c>
    </row>
    <row r="547">
      <c r="A547" t="inlineStr">
        <is>
          <t>Farmacity</t>
        </is>
      </c>
      <c r="B547" t="n">
        <v>8849</v>
      </c>
      <c r="C547" t="n">
        <v>156327</v>
      </c>
      <c r="D547" t="inlineStr">
        <is>
          <t>Acondicionador Sedal Restauración Instantánea x 340 ml</t>
        </is>
      </c>
      <c r="E547" t="inlineStr">
        <is>
          <t>Sedal</t>
        </is>
      </c>
      <c r="F547" t="n">
        <v>5836</v>
      </c>
      <c r="G547" t="n">
        <v>5836</v>
      </c>
      <c r="H547" t="b">
        <v>1</v>
      </c>
      <c r="I547" t="n">
        <v>340</v>
      </c>
      <c r="J547" t="n">
        <v>17.1647</v>
      </c>
      <c r="K547" t="inlineStr">
        <is>
          <t>&gt; Cuidado Capilar &gt; Shampoo Y Acondicionador &gt;</t>
        </is>
      </c>
      <c r="L547" t="inlineStr">
        <is>
          <t>acondicionador</t>
        </is>
      </c>
      <c r="M547" t="inlineStr">
        <is>
          <t>estandar</t>
        </is>
      </c>
      <c r="N547" t="inlineStr">
        <is>
          <t>general</t>
        </is>
      </c>
      <c r="O547" t="inlineStr">
        <is>
          <t>https://www.farmacity.com/acondicionador-sedal-restauracion-instantanea-botella-x-340-ml/p</t>
        </is>
      </c>
      <c r="P547">
        <f>TRIM(CLEAN(PROPER(D547)))</f>
        <v/>
      </c>
      <c r="Q547">
        <f>PROPER(TRIM(SUBSTITUTE(SUBSTITUTE(SUBSTITUTE(SUBSTITUTE(E547,"TRESEMME","Tresemme"),"HEAD &amp; SHOULDERS","Head &amp; Shoulders"),"ELVIVE","Elvive"),"FRUCTIS","Fructis")))</f>
        <v/>
      </c>
      <c r="R547">
        <f>COUNTIF($D$2:$D$10000,D547)&gt;1</f>
        <v/>
      </c>
      <c r="S547">
        <f>IF(H547=TRUE,"Disponible","No disponible")</f>
        <v/>
      </c>
      <c r="T547">
        <f>IF(AND(ISNUMBER(I547),I547&gt;0),ROUND(F547/I547,2),"Sin volumen")</f>
        <v/>
      </c>
      <c r="U547">
        <f>IF(F547&lt;5000,"Bajo",IF(F547&lt;15000,"Medio","Alto"))</f>
        <v/>
      </c>
    </row>
    <row r="548">
      <c r="A548" s="6" t="inlineStr">
        <is>
          <t>Farmacity</t>
        </is>
      </c>
      <c r="B548" s="6" t="n">
        <v>250129</v>
      </c>
      <c r="C548" s="6" t="n">
        <v>250129</v>
      </c>
      <c r="D548" s="6" t="inlineStr">
        <is>
          <t>Acondicionador Dove Regeneración + Retinol x 650 ml</t>
        </is>
      </c>
      <c r="E548" s="6" t="inlineStr">
        <is>
          <t>Dove</t>
        </is>
      </c>
      <c r="F548" s="6" t="n">
        <v>16218</v>
      </c>
      <c r="G548" s="6" t="n">
        <v>16218</v>
      </c>
      <c r="H548" s="6" t="b">
        <v>1</v>
      </c>
      <c r="I548" s="6" t="n">
        <v>650</v>
      </c>
      <c r="J548" s="6" t="n">
        <v>24.9508</v>
      </c>
      <c r="K548" s="6" t="inlineStr">
        <is>
          <t>&gt; Cuidado Capilar &gt; Shampoo Y Acondicionador &gt;</t>
        </is>
      </c>
      <c r="L548" s="6" t="inlineStr">
        <is>
          <t>acondicionador</t>
        </is>
      </c>
      <c r="M548" s="6" t="inlineStr">
        <is>
          <t>estandar</t>
        </is>
      </c>
      <c r="N548" s="6" t="inlineStr">
        <is>
          <t>general</t>
        </is>
      </c>
      <c r="O548" s="6" t="inlineStr">
        <is>
          <t>https://www.farmacity.com/acondicionador-dove-regeneracion-retinol-x-650-ml/p</t>
        </is>
      </c>
      <c r="P548" s="8">
        <f>TRIM(CLEAN(PROPER(D548)))</f>
        <v/>
      </c>
      <c r="Q548" s="8">
        <f>PROPER(TRIM(SUBSTITUTE(SUBSTITUTE(SUBSTITUTE(SUBSTITUTE(E548,"TRESEMME","Tresemme"),"HEAD &amp; SHOULDERS","Head &amp; Shoulders"),"ELVIVE","Elvive"),"FRUCTIS","Fructis")))</f>
        <v/>
      </c>
      <c r="R548" s="8">
        <f>COUNTIF($D$2:$D$10000,D548)&gt;1</f>
        <v/>
      </c>
      <c r="S548" s="8">
        <f>IF(H548=TRUE,"Disponible","No disponible")</f>
        <v/>
      </c>
      <c r="T548" s="8">
        <f>IF(AND(ISNUMBER(I548),I548&gt;0),ROUND(F548/I548,2),"Sin volumen")</f>
        <v/>
      </c>
      <c r="U548" s="8">
        <f>IF(F548&lt;5000,"Bajo",IF(F548&lt;15000,"Medio","Alto"))</f>
        <v/>
      </c>
    </row>
    <row r="549">
      <c r="A549" t="inlineStr">
        <is>
          <t>Farmacity</t>
        </is>
      </c>
      <c r="B549" t="n">
        <v>249903</v>
      </c>
      <c r="C549" t="n">
        <v>249903</v>
      </c>
      <c r="D549" t="inlineStr">
        <is>
          <t>Acondicionador Primont Signature con Trufa Negra x 300 ml</t>
        </is>
      </c>
      <c r="E549" t="inlineStr">
        <is>
          <t>Primont</t>
        </is>
      </c>
      <c r="F549" t="n">
        <v>24783</v>
      </c>
      <c r="G549" t="n">
        <v>24783</v>
      </c>
      <c r="H549" t="b">
        <v>1</v>
      </c>
      <c r="I549" t="n">
        <v>300</v>
      </c>
      <c r="J549" t="n">
        <v>82.61</v>
      </c>
      <c r="K549" t="inlineStr">
        <is>
          <t>&gt; Cuidado Capilar &gt; Shampoo Y Acondicionador &gt;</t>
        </is>
      </c>
      <c r="L549" t="inlineStr">
        <is>
          <t>acondicionador</t>
        </is>
      </c>
      <c r="M549" t="inlineStr">
        <is>
          <t>estandar</t>
        </is>
      </c>
      <c r="N549" t="inlineStr">
        <is>
          <t>general</t>
        </is>
      </c>
      <c r="O549" t="inlineStr">
        <is>
          <t>https://www.farmacity.com/acondicionador-primont-signature-con-trufa-negra-x-300-ml/p</t>
        </is>
      </c>
      <c r="P549">
        <f>TRIM(CLEAN(PROPER(D549)))</f>
        <v/>
      </c>
      <c r="Q549">
        <f>PROPER(TRIM(SUBSTITUTE(SUBSTITUTE(SUBSTITUTE(SUBSTITUTE(E549,"TRESEMME","Tresemme"),"HEAD &amp; SHOULDERS","Head &amp; Shoulders"),"ELVIVE","Elvive"),"FRUCTIS","Fructis")))</f>
        <v/>
      </c>
      <c r="R549">
        <f>COUNTIF($D$2:$D$10000,D549)&gt;1</f>
        <v/>
      </c>
      <c r="S549">
        <f>IF(H549=TRUE,"Disponible","No disponible")</f>
        <v/>
      </c>
      <c r="T549">
        <f>IF(AND(ISNUMBER(I549),I549&gt;0),ROUND(F549/I549,2),"Sin volumen")</f>
        <v/>
      </c>
      <c r="U549">
        <f>IF(F549&lt;5000,"Bajo",IF(F549&lt;15000,"Medio","Alto"))</f>
        <v/>
      </c>
    </row>
    <row r="550">
      <c r="A550" s="6" t="inlineStr">
        <is>
          <t>Farmacity</t>
        </is>
      </c>
      <c r="B550" s="6" t="n">
        <v>248331</v>
      </c>
      <c r="C550" s="6" t="n">
        <v>248331</v>
      </c>
      <c r="D550" s="6" t="inlineStr">
        <is>
          <t>Acondicionador Ice Professional Keep My Blonde x 250 ml</t>
        </is>
      </c>
      <c r="E550" s="6" t="inlineStr">
        <is>
          <t>Ice</t>
        </is>
      </c>
      <c r="F550" s="6" t="n">
        <v>17500</v>
      </c>
      <c r="G550" s="6" t="n">
        <v>25000</v>
      </c>
      <c r="H550" s="6" t="b">
        <v>1</v>
      </c>
      <c r="I550" s="6" t="n">
        <v>250</v>
      </c>
      <c r="J550" s="6" t="n">
        <v>70</v>
      </c>
      <c r="K550" s="6" t="inlineStr">
        <is>
          <t>&gt; Cuidado Capilar &gt; Shampoo Y Acondicionador &gt;</t>
        </is>
      </c>
      <c r="L550" s="6" t="inlineStr">
        <is>
          <t>acondicionador</t>
        </is>
      </c>
      <c r="M550" s="6" t="inlineStr">
        <is>
          <t>profesional</t>
        </is>
      </c>
      <c r="N550" s="6" t="inlineStr">
        <is>
          <t>general</t>
        </is>
      </c>
      <c r="O550" s="6" t="inlineStr">
        <is>
          <t>https://www.farmacity.com/acondicionador-ice-professional-keep-my-blonde-x-250-ml/p</t>
        </is>
      </c>
      <c r="P550" s="8">
        <f>TRIM(CLEAN(PROPER(D550)))</f>
        <v/>
      </c>
      <c r="Q550" s="8">
        <f>PROPER(TRIM(SUBSTITUTE(SUBSTITUTE(SUBSTITUTE(SUBSTITUTE(E550,"TRESEMME","Tresemme"),"HEAD &amp; SHOULDERS","Head &amp; Shoulders"),"ELVIVE","Elvive"),"FRUCTIS","Fructis")))</f>
        <v/>
      </c>
      <c r="R550" s="8">
        <f>COUNTIF($D$2:$D$10000,D550)&gt;1</f>
        <v/>
      </c>
      <c r="S550" s="8">
        <f>IF(H550=TRUE,"Disponible","No disponible")</f>
        <v/>
      </c>
      <c r="T550" s="8">
        <f>IF(AND(ISNUMBER(I550),I550&gt;0),ROUND(F550/I550,2),"Sin volumen")</f>
        <v/>
      </c>
      <c r="U550" s="8">
        <f>IF(F550&lt;5000,"Bajo",IF(F550&lt;15000,"Medio","Alto"))</f>
        <v/>
      </c>
    </row>
    <row r="551">
      <c r="A551" t="inlineStr">
        <is>
          <t>Farmacity</t>
        </is>
      </c>
      <c r="B551" t="n">
        <v>244971</v>
      </c>
      <c r="C551" t="n">
        <v>244971</v>
      </c>
      <c r="D551" t="inlineStr">
        <is>
          <t>Acondicionador Capilatis Ortiga Mujer x 350 ml</t>
        </is>
      </c>
      <c r="E551" t="inlineStr">
        <is>
          <t>Capilatis</t>
        </is>
      </c>
      <c r="F551" t="n">
        <v>13000</v>
      </c>
      <c r="G551" t="n">
        <v>13000</v>
      </c>
      <c r="H551" t="b">
        <v>1</v>
      </c>
      <c r="I551" t="n">
        <v>350</v>
      </c>
      <c r="J551" t="n">
        <v>37.1429</v>
      </c>
      <c r="K551" t="inlineStr">
        <is>
          <t>&gt; Cuidado Capilar &gt; Shampoo Y Acondicionador &gt;</t>
        </is>
      </c>
      <c r="L551" t="inlineStr">
        <is>
          <t>acondicionador</t>
        </is>
      </c>
      <c r="M551" t="inlineStr">
        <is>
          <t>estandar</t>
        </is>
      </c>
      <c r="N551" t="inlineStr">
        <is>
          <t>general</t>
        </is>
      </c>
      <c r="O551" t="inlineStr">
        <is>
          <t>https://www.farmacity.com/acondicionador-ortiga-capilatis-mujer-x-350-ml/p</t>
        </is>
      </c>
      <c r="P551">
        <f>TRIM(CLEAN(PROPER(D551)))</f>
        <v/>
      </c>
      <c r="Q551">
        <f>PROPER(TRIM(SUBSTITUTE(SUBSTITUTE(SUBSTITUTE(SUBSTITUTE(E551,"TRESEMME","Tresemme"),"HEAD &amp; SHOULDERS","Head &amp; Shoulders"),"ELVIVE","Elvive"),"FRUCTIS","Fructis")))</f>
        <v/>
      </c>
      <c r="R551">
        <f>COUNTIF($D$2:$D$10000,D551)&gt;1</f>
        <v/>
      </c>
      <c r="S551">
        <f>IF(H551=TRUE,"Disponible","No disponible")</f>
        <v/>
      </c>
      <c r="T551">
        <f>IF(AND(ISNUMBER(I551),I551&gt;0),ROUND(F551/I551,2),"Sin volumen")</f>
        <v/>
      </c>
      <c r="U551">
        <f>IF(F551&lt;5000,"Bajo",IF(F551&lt;15000,"Medio","Alto"))</f>
        <v/>
      </c>
    </row>
    <row r="552">
      <c r="A552" s="6" t="inlineStr">
        <is>
          <t>Farmacity</t>
        </is>
      </c>
      <c r="B552" s="6" t="n">
        <v>238877</v>
      </c>
      <c r="C552" s="6" t="n">
        <v>238877</v>
      </c>
      <c r="D552" s="6" t="inlineStr">
        <is>
          <t>Acondicionador Pantene Pro-V Miracles Volumen x 200 ml</t>
        </is>
      </c>
      <c r="E552" s="6" t="inlineStr">
        <is>
          <t>Pantene</t>
        </is>
      </c>
      <c r="F552" s="6" t="n">
        <v>3807</v>
      </c>
      <c r="G552" s="6" t="n">
        <v>6345</v>
      </c>
      <c r="H552" s="6" t="b">
        <v>1</v>
      </c>
      <c r="I552" s="6" t="n">
        <v>200</v>
      </c>
      <c r="J552" s="6" t="n">
        <v>19.035</v>
      </c>
      <c r="K552" s="6" t="inlineStr">
        <is>
          <t>&gt; Cuidado Capilar &gt; Shampoo Y Acondicionador &gt;</t>
        </is>
      </c>
      <c r="L552" s="6" t="inlineStr">
        <is>
          <t>acondicionador</t>
        </is>
      </c>
      <c r="M552" s="6" t="inlineStr">
        <is>
          <t>profesional</t>
        </is>
      </c>
      <c r="N552" s="6" t="inlineStr">
        <is>
          <t>general</t>
        </is>
      </c>
      <c r="O552" s="6" t="inlineStr">
        <is>
          <t>https://www.farmacity.com/acondicionador-pantene-pro-v-miracles-volumen-x-200-ml/p</t>
        </is>
      </c>
      <c r="P552" s="8">
        <f>TRIM(CLEAN(PROPER(D552)))</f>
        <v/>
      </c>
      <c r="Q552" s="8">
        <f>PROPER(TRIM(SUBSTITUTE(SUBSTITUTE(SUBSTITUTE(SUBSTITUTE(E552,"TRESEMME","Tresemme"),"HEAD &amp; SHOULDERS","Head &amp; Shoulders"),"ELVIVE","Elvive"),"FRUCTIS","Fructis")))</f>
        <v/>
      </c>
      <c r="R552" s="8">
        <f>COUNTIF($D$2:$D$10000,D552)&gt;1</f>
        <v/>
      </c>
      <c r="S552" s="8">
        <f>IF(H552=TRUE,"Disponible","No disponible")</f>
        <v/>
      </c>
      <c r="T552" s="8">
        <f>IF(AND(ISNUMBER(I552),I552&gt;0),ROUND(F552/I552,2),"Sin volumen")</f>
        <v/>
      </c>
      <c r="U552" s="8">
        <f>IF(F552&lt;5000,"Bajo",IF(F552&lt;15000,"Medio","Alto"))</f>
        <v/>
      </c>
    </row>
    <row r="553">
      <c r="A553" t="inlineStr">
        <is>
          <t>Farmacity</t>
        </is>
      </c>
      <c r="B553" t="n">
        <v>230668</v>
      </c>
      <c r="C553" t="n">
        <v>230668</v>
      </c>
      <c r="D553" t="inlineStr">
        <is>
          <t>Acondicionador Veganis Double Trouble Ácido Hialurónico x 400 ml</t>
        </is>
      </c>
      <c r="E553" t="inlineStr">
        <is>
          <t>Veganis</t>
        </is>
      </c>
      <c r="F553" t="n">
        <v>14616</v>
      </c>
      <c r="G553" t="n">
        <v>14616</v>
      </c>
      <c r="H553" t="b">
        <v>1</v>
      </c>
      <c r="I553" t="n">
        <v>400</v>
      </c>
      <c r="J553" t="n">
        <v>36.54</v>
      </c>
      <c r="K553" t="inlineStr">
        <is>
          <t>&gt; Cuidado Capilar &gt; Shampoo Y Acondicionador &gt;</t>
        </is>
      </c>
      <c r="L553" t="inlineStr">
        <is>
          <t>acondicionador</t>
        </is>
      </c>
      <c r="M553" t="inlineStr">
        <is>
          <t>estandar</t>
        </is>
      </c>
      <c r="N553" t="inlineStr">
        <is>
          <t>general</t>
        </is>
      </c>
      <c r="O553" t="inlineStr">
        <is>
          <t>https://www.farmacity.com/acondicionador-veganis-double-troublea-acido-hialuronico-x-400-ml/p</t>
        </is>
      </c>
      <c r="P553">
        <f>TRIM(CLEAN(PROPER(D553)))</f>
        <v/>
      </c>
      <c r="Q553">
        <f>PROPER(TRIM(SUBSTITUTE(SUBSTITUTE(SUBSTITUTE(SUBSTITUTE(E553,"TRESEMME","Tresemme"),"HEAD &amp; SHOULDERS","Head &amp; Shoulders"),"ELVIVE","Elvive"),"FRUCTIS","Fructis")))</f>
        <v/>
      </c>
      <c r="R553">
        <f>COUNTIF($D$2:$D$10000,D553)&gt;1</f>
        <v/>
      </c>
      <c r="S553">
        <f>IF(H553=TRUE,"Disponible","No disponible")</f>
        <v/>
      </c>
      <c r="T553">
        <f>IF(AND(ISNUMBER(I553),I553&gt;0),ROUND(F553/I553,2),"Sin volumen")</f>
        <v/>
      </c>
      <c r="U553">
        <f>IF(F553&lt;5000,"Bajo",IF(F553&lt;15000,"Medio","Alto"))</f>
        <v/>
      </c>
    </row>
    <row r="554">
      <c r="A554" s="6" t="inlineStr">
        <is>
          <t>Farmacity</t>
        </is>
      </c>
      <c r="B554" s="6" t="n">
        <v>228965</v>
      </c>
      <c r="C554" s="6" t="n">
        <v>228965</v>
      </c>
      <c r="D554" s="6" t="inlineStr">
        <is>
          <t>Acondicionador Solido Ruh Natural x 45 g</t>
        </is>
      </c>
      <c r="E554" s="6" t="inlineStr">
        <is>
          <t>Ruh Natural</t>
        </is>
      </c>
      <c r="F554" s="6" t="n">
        <v>13508</v>
      </c>
      <c r="G554" s="6" t="n">
        <v>13508</v>
      </c>
      <c r="H554" s="6" t="b">
        <v>1</v>
      </c>
      <c r="I554" s="6" t="n">
        <v>45</v>
      </c>
      <c r="J554" s="6" t="n">
        <v>300.1778</v>
      </c>
      <c r="K554" s="6" t="inlineStr">
        <is>
          <t>&gt; Cuidado Capilar &gt; Shampoo Y Acondicionador &gt;</t>
        </is>
      </c>
      <c r="L554" s="6" t="inlineStr">
        <is>
          <t>acondicionador</t>
        </is>
      </c>
      <c r="M554" s="6" t="inlineStr">
        <is>
          <t>estandar</t>
        </is>
      </c>
      <c r="N554" s="6" t="inlineStr">
        <is>
          <t>general</t>
        </is>
      </c>
      <c r="O554" s="6" t="inlineStr">
        <is>
          <t>https://www.farmacity.com/acondicionador-solido-ruh-cabello-x-65-g/p</t>
        </is>
      </c>
      <c r="P554" s="8">
        <f>TRIM(CLEAN(PROPER(D554)))</f>
        <v/>
      </c>
      <c r="Q554" s="8">
        <f>PROPER(TRIM(SUBSTITUTE(SUBSTITUTE(SUBSTITUTE(SUBSTITUTE(E554,"TRESEMME","Tresemme"),"HEAD &amp; SHOULDERS","Head &amp; Shoulders"),"ELVIVE","Elvive"),"FRUCTIS","Fructis")))</f>
        <v/>
      </c>
      <c r="R554" s="8">
        <f>COUNTIF($D$2:$D$10000,D554)&gt;1</f>
        <v/>
      </c>
      <c r="S554" s="8">
        <f>IF(H554=TRUE,"Disponible","No disponible")</f>
        <v/>
      </c>
      <c r="T554" s="8">
        <f>IF(AND(ISNUMBER(I554),I554&gt;0),ROUND(F554/I554,2),"Sin volumen")</f>
        <v/>
      </c>
      <c r="U554" s="8">
        <f>IF(F554&lt;5000,"Bajo",IF(F554&lt;15000,"Medio","Alto"))</f>
        <v/>
      </c>
    </row>
    <row r="555">
      <c r="A555" t="inlineStr">
        <is>
          <t>Farmacity</t>
        </is>
      </c>
      <c r="B555" t="n">
        <v>224527</v>
      </c>
      <c r="C555" t="n">
        <v>224527</v>
      </c>
      <c r="D555" t="inlineStr">
        <is>
          <t>Acondicionador Anticaida Klorane x 200 ml</t>
        </is>
      </c>
      <c r="E555" t="inlineStr">
        <is>
          <t>Klorane</t>
        </is>
      </c>
      <c r="F555" t="n">
        <v>28700</v>
      </c>
      <c r="G555" t="n">
        <v>41000</v>
      </c>
      <c r="H555" t="b">
        <v>1</v>
      </c>
      <c r="I555" t="n">
        <v>200</v>
      </c>
      <c r="J555" t="n">
        <v>143.5</v>
      </c>
      <c r="K555" t="inlineStr">
        <is>
          <t>&gt; Dermocosmética &gt; Pelo &gt; Shampoos y Acondicionadores &gt;</t>
        </is>
      </c>
      <c r="L555" t="inlineStr">
        <is>
          <t>acondicionador</t>
        </is>
      </c>
      <c r="M555" t="inlineStr">
        <is>
          <t>estandar</t>
        </is>
      </c>
      <c r="N555" t="inlineStr">
        <is>
          <t>general</t>
        </is>
      </c>
      <c r="O555" t="inlineStr">
        <is>
          <t>https://www.farmacity.com/balsamos-capilar-klorane-quinina-x-200-ml/p</t>
        </is>
      </c>
      <c r="P555">
        <f>TRIM(CLEAN(PROPER(D555)))</f>
        <v/>
      </c>
      <c r="Q555">
        <f>PROPER(TRIM(SUBSTITUTE(SUBSTITUTE(SUBSTITUTE(SUBSTITUTE(E555,"TRESEMME","Tresemme"),"HEAD &amp; SHOULDERS","Head &amp; Shoulders"),"ELVIVE","Elvive"),"FRUCTIS","Fructis")))</f>
        <v/>
      </c>
      <c r="R555">
        <f>COUNTIF($D$2:$D$10000,D555)&gt;1</f>
        <v/>
      </c>
      <c r="S555">
        <f>IF(H555=TRUE,"Disponible","No disponible")</f>
        <v/>
      </c>
      <c r="T555">
        <f>IF(AND(ISNUMBER(I555),I555&gt;0),ROUND(F555/I555,2),"Sin volumen")</f>
        <v/>
      </c>
      <c r="U555">
        <f>IF(F555&lt;5000,"Bajo",IF(F555&lt;15000,"Medio","Alto"))</f>
        <v/>
      </c>
    </row>
    <row r="556">
      <c r="A556" s="6" t="inlineStr">
        <is>
          <t>Farmacity</t>
        </is>
      </c>
      <c r="B556" s="6" t="n">
        <v>221810</v>
      </c>
      <c r="C556" s="6" t="n">
        <v>221810</v>
      </c>
      <c r="D556" s="6" t="inlineStr">
        <is>
          <t>Acondicionador Sedal Hialurónico + Vitamina A x 340 ml</t>
        </is>
      </c>
      <c r="E556" s="6" t="inlineStr">
        <is>
          <t>Sedal</t>
        </is>
      </c>
      <c r="F556" s="6" t="n">
        <v>5841</v>
      </c>
      <c r="G556" s="6" t="n">
        <v>5841</v>
      </c>
      <c r="H556" s="6" t="b">
        <v>1</v>
      </c>
      <c r="I556" s="6" t="n">
        <v>340</v>
      </c>
      <c r="J556" s="6" t="n">
        <v>17.1794</v>
      </c>
      <c r="K556" s="6" t="inlineStr">
        <is>
          <t>&gt; Cuidado Capilar &gt; Shampoo Y Acondicionador &gt;</t>
        </is>
      </c>
      <c r="L556" s="6" t="inlineStr">
        <is>
          <t>acondicionador</t>
        </is>
      </c>
      <c r="M556" s="6" t="inlineStr">
        <is>
          <t>estandar</t>
        </is>
      </c>
      <c r="N556" s="6" t="inlineStr">
        <is>
          <t>general</t>
        </is>
      </c>
      <c r="O556" s="6" t="inlineStr">
        <is>
          <t>https://www.farmacity.com/acondicionador-sedal-acido-hialuronico-vitamina-a-x-340-ml/p</t>
        </is>
      </c>
      <c r="P556" s="8">
        <f>TRIM(CLEAN(PROPER(D556)))</f>
        <v/>
      </c>
      <c r="Q556" s="8">
        <f>PROPER(TRIM(SUBSTITUTE(SUBSTITUTE(SUBSTITUTE(SUBSTITUTE(E556,"TRESEMME","Tresemme"),"HEAD &amp; SHOULDERS","Head &amp; Shoulders"),"ELVIVE","Elvive"),"FRUCTIS","Fructis")))</f>
        <v/>
      </c>
      <c r="R556" s="8">
        <f>COUNTIF($D$2:$D$10000,D556)&gt;1</f>
        <v/>
      </c>
      <c r="S556" s="8">
        <f>IF(H556=TRUE,"Disponible","No disponible")</f>
        <v/>
      </c>
      <c r="T556" s="8">
        <f>IF(AND(ISNUMBER(I556),I556&gt;0),ROUND(F556/I556,2),"Sin volumen")</f>
        <v/>
      </c>
      <c r="U556" s="8">
        <f>IF(F556&lt;5000,"Bajo",IF(F556&lt;15000,"Medio","Alto"))</f>
        <v/>
      </c>
    </row>
    <row r="557">
      <c r="A557" t="inlineStr">
        <is>
          <t>Farmacity</t>
        </is>
      </c>
      <c r="B557" t="n">
        <v>219383</v>
      </c>
      <c r="C557" t="n">
        <v>219383</v>
      </c>
      <c r="D557" t="inlineStr">
        <is>
          <t>Acondicionador Alta Moda Acqua Shine x 300 ml</t>
        </is>
      </c>
      <c r="E557" t="inlineStr">
        <is>
          <t>Alta Moda</t>
        </is>
      </c>
      <c r="F557" t="n">
        <v>4301</v>
      </c>
      <c r="G557" t="n">
        <v>8602</v>
      </c>
      <c r="H557" t="b">
        <v>1</v>
      </c>
      <c r="I557" t="n">
        <v>300</v>
      </c>
      <c r="J557" t="n">
        <v>14.3367</v>
      </c>
      <c r="K557" t="inlineStr">
        <is>
          <t>&gt; Cuidado Capilar &gt; Shampoo Y Acondicionador &gt;</t>
        </is>
      </c>
      <c r="L557" t="inlineStr">
        <is>
          <t>acondicionador</t>
        </is>
      </c>
      <c r="M557" t="inlineStr">
        <is>
          <t>estandar</t>
        </is>
      </c>
      <c r="N557" t="inlineStr">
        <is>
          <t>general</t>
        </is>
      </c>
      <c r="O557" t="inlineStr">
        <is>
          <t>https://www.farmacity.com/acondicionador-alta-moda-e-vegano-x-300-ml/p</t>
        </is>
      </c>
      <c r="P557">
        <f>TRIM(CLEAN(PROPER(D557)))</f>
        <v/>
      </c>
      <c r="Q557">
        <f>PROPER(TRIM(SUBSTITUTE(SUBSTITUTE(SUBSTITUTE(SUBSTITUTE(E557,"TRESEMME","Tresemme"),"HEAD &amp; SHOULDERS","Head &amp; Shoulders"),"ELVIVE","Elvive"),"FRUCTIS","Fructis")))</f>
        <v/>
      </c>
      <c r="R557">
        <f>COUNTIF($D$2:$D$10000,D557)&gt;1</f>
        <v/>
      </c>
      <c r="S557">
        <f>IF(H557=TRUE,"Disponible","No disponible")</f>
        <v/>
      </c>
      <c r="T557">
        <f>IF(AND(ISNUMBER(I557),I557&gt;0),ROUND(F557/I557,2),"Sin volumen")</f>
        <v/>
      </c>
      <c r="U557">
        <f>IF(F557&lt;5000,"Bajo",IF(F557&lt;15000,"Medio","Alto"))</f>
        <v/>
      </c>
    </row>
    <row r="558">
      <c r="A558" s="6" t="inlineStr">
        <is>
          <t>Farmacity</t>
        </is>
      </c>
      <c r="B558" s="6" t="n">
        <v>217204</v>
      </c>
      <c r="C558" s="6" t="n">
        <v>217204</v>
      </c>
      <c r="D558" s="6" t="inlineStr">
        <is>
          <t>Acondicionador Fructis Hair Food Banana x 300 ml</t>
        </is>
      </c>
      <c r="E558" s="6" t="inlineStr">
        <is>
          <t>Fructis</t>
        </is>
      </c>
      <c r="F558" s="6" t="n">
        <v>4214</v>
      </c>
      <c r="G558" s="6" t="n">
        <v>8428</v>
      </c>
      <c r="H558" s="6" t="b">
        <v>1</v>
      </c>
      <c r="I558" s="6" t="n">
        <v>300</v>
      </c>
      <c r="J558" s="6" t="n">
        <v>14.0467</v>
      </c>
      <c r="K558" s="6" t="inlineStr">
        <is>
          <t>&gt; Cuidado Capilar &gt; Shampoo Y Acondicionador &gt;</t>
        </is>
      </c>
      <c r="L558" s="6" t="inlineStr">
        <is>
          <t>acondicionador</t>
        </is>
      </c>
      <c r="M558" s="6" t="inlineStr">
        <is>
          <t>estandar</t>
        </is>
      </c>
      <c r="N558" s="6" t="inlineStr">
        <is>
          <t>general</t>
        </is>
      </c>
      <c r="O558" s="6" t="inlineStr">
        <is>
          <t>https://www.farmacity.com/acondicionador-fructis-hair-food-banana-x-300-ml/p</t>
        </is>
      </c>
      <c r="P558" s="8">
        <f>TRIM(CLEAN(PROPER(D558)))</f>
        <v/>
      </c>
      <c r="Q558" s="8">
        <f>PROPER(TRIM(SUBSTITUTE(SUBSTITUTE(SUBSTITUTE(SUBSTITUTE(E558,"TRESEMME","Tresemme"),"HEAD &amp; SHOULDERS","Head &amp; Shoulders"),"ELVIVE","Elvive"),"FRUCTIS","Fructis")))</f>
        <v/>
      </c>
      <c r="R558" s="8">
        <f>COUNTIF($D$2:$D$10000,D558)&gt;1</f>
        <v/>
      </c>
      <c r="S558" s="8">
        <f>IF(H558=TRUE,"Disponible","No disponible")</f>
        <v/>
      </c>
      <c r="T558" s="8">
        <f>IF(AND(ISNUMBER(I558),I558&gt;0),ROUND(F558/I558,2),"Sin volumen")</f>
        <v/>
      </c>
      <c r="U558" s="8">
        <f>IF(F558&lt;5000,"Bajo",IF(F558&lt;15000,"Medio","Alto"))</f>
        <v/>
      </c>
    </row>
    <row r="559">
      <c r="A559" t="inlineStr">
        <is>
          <t>Farmacity</t>
        </is>
      </c>
      <c r="B559" t="n">
        <v>204195</v>
      </c>
      <c r="C559" t="n">
        <v>204195</v>
      </c>
      <c r="D559" t="inlineStr">
        <is>
          <t>Acondicionador Ayurvédico Sri Sri Tattva Coco x 100 g</t>
        </is>
      </c>
      <c r="E559" t="inlineStr">
        <is>
          <t>Sri Sri Tattva</t>
        </is>
      </c>
      <c r="F559" t="n">
        <v>11799</v>
      </c>
      <c r="G559" t="n">
        <v>11799</v>
      </c>
      <c r="H559" t="b">
        <v>1</v>
      </c>
      <c r="I559" t="n">
        <v>100</v>
      </c>
      <c r="J559" t="n">
        <v>117.99</v>
      </c>
      <c r="K559" t="inlineStr">
        <is>
          <t>&gt; Cuidado Capilar &gt; Shampoo Y Acondicionador &gt;</t>
        </is>
      </c>
      <c r="L559" t="inlineStr">
        <is>
          <t>acondicionador</t>
        </is>
      </c>
      <c r="M559" t="inlineStr">
        <is>
          <t>estandar</t>
        </is>
      </c>
      <c r="N559" t="inlineStr">
        <is>
          <t>general</t>
        </is>
      </c>
      <c r="O559" t="inlineStr">
        <is>
          <t>https://www.farmacity.com/acondicionador-ayurvedico-hidratante-sri-sri-tattva-coco-y-almendras-x-100-g/p</t>
        </is>
      </c>
      <c r="P559">
        <f>TRIM(CLEAN(PROPER(D559)))</f>
        <v/>
      </c>
      <c r="Q559">
        <f>PROPER(TRIM(SUBSTITUTE(SUBSTITUTE(SUBSTITUTE(SUBSTITUTE(E559,"TRESEMME","Tresemme"),"HEAD &amp; SHOULDERS","Head &amp; Shoulders"),"ELVIVE","Elvive"),"FRUCTIS","Fructis")))</f>
        <v/>
      </c>
      <c r="R559">
        <f>COUNTIF($D$2:$D$10000,D559)&gt;1</f>
        <v/>
      </c>
      <c r="S559">
        <f>IF(H559=TRUE,"Disponible","No disponible")</f>
        <v/>
      </c>
      <c r="T559">
        <f>IF(AND(ISNUMBER(I559),I559&gt;0),ROUND(F559/I559,2),"Sin volumen")</f>
        <v/>
      </c>
      <c r="U559">
        <f>IF(F559&lt;5000,"Bajo",IF(F559&lt;15000,"Medio","Alto"))</f>
        <v/>
      </c>
    </row>
    <row r="560">
      <c r="A560" s="6" t="inlineStr">
        <is>
          <t>Farmacity</t>
        </is>
      </c>
      <c r="B560" s="6" t="n">
        <v>156320</v>
      </c>
      <c r="C560" s="6" t="n">
        <v>156320</v>
      </c>
      <c r="D560" s="6" t="inlineStr">
        <is>
          <t>Acondicionador Sedal Crema Balance Toque Seda x 340 ml</t>
        </is>
      </c>
      <c r="E560" s="6" t="inlineStr">
        <is>
          <t>Sedal</t>
        </is>
      </c>
      <c r="F560" s="6" t="n">
        <v>5836</v>
      </c>
      <c r="G560" s="6" t="n">
        <v>5836</v>
      </c>
      <c r="H560" s="6" t="b">
        <v>1</v>
      </c>
      <c r="I560" s="6" t="n">
        <v>340</v>
      </c>
      <c r="J560" s="6" t="n">
        <v>17.1647</v>
      </c>
      <c r="K560" s="6" t="inlineStr">
        <is>
          <t>&gt; Cuidado Capilar &gt; Shampoo Y Acondicionador &gt;</t>
        </is>
      </c>
      <c r="L560" s="6" t="inlineStr">
        <is>
          <t>acondicionador</t>
        </is>
      </c>
      <c r="M560" s="6" t="inlineStr">
        <is>
          <t>estandar</t>
        </is>
      </c>
      <c r="N560" s="6" t="inlineStr">
        <is>
          <t>general</t>
        </is>
      </c>
      <c r="O560" s="6" t="inlineStr">
        <is>
          <t>https://www.farmacity.com/acondicionador-sedal-crema-balance-x-340-ml/p</t>
        </is>
      </c>
      <c r="P560" s="8">
        <f>TRIM(CLEAN(PROPER(D560)))</f>
        <v/>
      </c>
      <c r="Q560" s="8">
        <f>PROPER(TRIM(SUBSTITUTE(SUBSTITUTE(SUBSTITUTE(SUBSTITUTE(E560,"TRESEMME","Tresemme"),"HEAD &amp; SHOULDERS","Head &amp; Shoulders"),"ELVIVE","Elvive"),"FRUCTIS","Fructis")))</f>
        <v/>
      </c>
      <c r="R560" s="8">
        <f>COUNTIF($D$2:$D$10000,D560)&gt;1</f>
        <v/>
      </c>
      <c r="S560" s="8">
        <f>IF(H560=TRUE,"Disponible","No disponible")</f>
        <v/>
      </c>
      <c r="T560" s="8">
        <f>IF(AND(ISNUMBER(I560),I560&gt;0),ROUND(F560/I560,2),"Sin volumen")</f>
        <v/>
      </c>
      <c r="U560" s="8">
        <f>IF(F560&lt;5000,"Bajo",IF(F560&lt;15000,"Medio","Alto"))</f>
        <v/>
      </c>
    </row>
    <row r="561">
      <c r="A561" t="inlineStr">
        <is>
          <t>Farmacity</t>
        </is>
      </c>
      <c r="B561" t="n">
        <v>8867</v>
      </c>
      <c r="C561" t="n">
        <v>156325</v>
      </c>
      <c r="D561" t="inlineStr">
        <is>
          <t>Acondicionador Sedal Liso Perfecto x 340 ml</t>
        </is>
      </c>
      <c r="E561" t="inlineStr">
        <is>
          <t>Sedal</t>
        </is>
      </c>
      <c r="F561" t="n">
        <v>5836</v>
      </c>
      <c r="G561" t="n">
        <v>5836</v>
      </c>
      <c r="H561" t="b">
        <v>1</v>
      </c>
      <c r="I561" t="n">
        <v>340</v>
      </c>
      <c r="J561" t="n">
        <v>17.1647</v>
      </c>
      <c r="K561" t="inlineStr">
        <is>
          <t>&gt; Cuidado Capilar &gt; Shampoo Y Acondicionador &gt;</t>
        </is>
      </c>
      <c r="L561" t="inlineStr">
        <is>
          <t>acondicionador</t>
        </is>
      </c>
      <c r="M561" t="inlineStr">
        <is>
          <t>estandar</t>
        </is>
      </c>
      <c r="N561" t="inlineStr">
        <is>
          <t>general</t>
        </is>
      </c>
      <c r="O561" t="inlineStr">
        <is>
          <t>https://www.farmacity.com/acondiciondor-liso-perfecto-x-340-ml/p</t>
        </is>
      </c>
      <c r="P561">
        <f>TRIM(CLEAN(PROPER(D561)))</f>
        <v/>
      </c>
      <c r="Q561">
        <f>PROPER(TRIM(SUBSTITUTE(SUBSTITUTE(SUBSTITUTE(SUBSTITUTE(E561,"TRESEMME","Tresemme"),"HEAD &amp; SHOULDERS","Head &amp; Shoulders"),"ELVIVE","Elvive"),"FRUCTIS","Fructis")))</f>
        <v/>
      </c>
      <c r="R561">
        <f>COUNTIF($D$2:$D$10000,D561)&gt;1</f>
        <v/>
      </c>
      <c r="S561">
        <f>IF(H561=TRUE,"Disponible","No disponible")</f>
        <v/>
      </c>
      <c r="T561">
        <f>IF(AND(ISNUMBER(I561),I561&gt;0),ROUND(F561/I561,2),"Sin volumen")</f>
        <v/>
      </c>
      <c r="U561">
        <f>IF(F561&lt;5000,"Bajo",IF(F561&lt;15000,"Medio","Alto"))</f>
        <v/>
      </c>
    </row>
    <row r="562">
      <c r="A562" s="6" t="inlineStr">
        <is>
          <t>Farmacity</t>
        </is>
      </c>
      <c r="B562" s="6" t="n">
        <v>244692</v>
      </c>
      <c r="C562" s="6" t="n">
        <v>244692</v>
      </c>
      <c r="D562" s="6" t="inlineStr">
        <is>
          <t>Acondicionador Elvive Dream Liso x 200 ml</t>
        </is>
      </c>
      <c r="E562" s="6" t="inlineStr">
        <is>
          <t>Elvive</t>
        </is>
      </c>
      <c r="F562" s="6" t="n">
        <v>7490</v>
      </c>
      <c r="G562" s="6" t="n">
        <v>7490</v>
      </c>
      <c r="H562" s="6" t="b">
        <v>1</v>
      </c>
      <c r="I562" s="6" t="n">
        <v>200</v>
      </c>
      <c r="J562" s="6" t="n">
        <v>37.45</v>
      </c>
      <c r="K562" s="6" t="inlineStr">
        <is>
          <t>&gt; Cuidado Capilar &gt; Shampoo Y Acondicionador &gt;</t>
        </is>
      </c>
      <c r="L562" s="6" t="inlineStr">
        <is>
          <t>acondicionador</t>
        </is>
      </c>
      <c r="M562" s="6" t="inlineStr">
        <is>
          <t>profesional</t>
        </is>
      </c>
      <c r="N562" s="6" t="inlineStr">
        <is>
          <t>general</t>
        </is>
      </c>
      <c r="O562" s="6" t="inlineStr">
        <is>
          <t>https://www.farmacity.com/acondicionador-elvive-dream-liso-x-200-ml/p</t>
        </is>
      </c>
      <c r="P562" s="8">
        <f>TRIM(CLEAN(PROPER(D562)))</f>
        <v/>
      </c>
      <c r="Q562" s="8">
        <f>PROPER(TRIM(SUBSTITUTE(SUBSTITUTE(SUBSTITUTE(SUBSTITUTE(E562,"TRESEMME","Tresemme"),"HEAD &amp; SHOULDERS","Head &amp; Shoulders"),"ELVIVE","Elvive"),"FRUCTIS","Fructis")))</f>
        <v/>
      </c>
      <c r="R562" s="8">
        <f>COUNTIF($D$2:$D$10000,D562)&gt;1</f>
        <v/>
      </c>
      <c r="S562" s="8">
        <f>IF(H562=TRUE,"Disponible","No disponible")</f>
        <v/>
      </c>
      <c r="T562" s="8">
        <f>IF(AND(ISNUMBER(I562),I562&gt;0),ROUND(F562/I562,2),"Sin volumen")</f>
        <v/>
      </c>
      <c r="U562" s="8">
        <f>IF(F562&lt;5000,"Bajo",IF(F562&lt;15000,"Medio","Alto"))</f>
        <v/>
      </c>
    </row>
    <row r="563">
      <c r="A563" t="inlineStr">
        <is>
          <t>Farmacity</t>
        </is>
      </c>
      <c r="B563" t="n">
        <v>238885</v>
      </c>
      <c r="C563" t="n">
        <v>238885</v>
      </c>
      <c r="D563" t="inlineStr">
        <is>
          <t>Acondicionador Revitalización Pro-V Miracles x 400 ml</t>
        </is>
      </c>
      <c r="E563" t="inlineStr">
        <is>
          <t>Pantene</t>
        </is>
      </c>
      <c r="F563" t="n">
        <v>6137</v>
      </c>
      <c r="G563" t="n">
        <v>10228</v>
      </c>
      <c r="H563" t="b">
        <v>1</v>
      </c>
      <c r="I563" t="n">
        <v>400</v>
      </c>
      <c r="J563" t="n">
        <v>15.3425</v>
      </c>
      <c r="K563" t="inlineStr">
        <is>
          <t>&gt; Cuidado Capilar &gt; Shampoo Y Acondicionador &gt;</t>
        </is>
      </c>
      <c r="L563" t="inlineStr">
        <is>
          <t>acondicionador</t>
        </is>
      </c>
      <c r="M563" t="inlineStr">
        <is>
          <t>profesional</t>
        </is>
      </c>
      <c r="N563" t="inlineStr">
        <is>
          <t>general</t>
        </is>
      </c>
      <c r="O563" t="inlineStr">
        <is>
          <t>https://www.farmacity.com/acondicionador-pantene-pro-v-miracles-revitalizacion-x-400-ml/p</t>
        </is>
      </c>
      <c r="P563">
        <f>TRIM(CLEAN(PROPER(D563)))</f>
        <v/>
      </c>
      <c r="Q563">
        <f>PROPER(TRIM(SUBSTITUTE(SUBSTITUTE(SUBSTITUTE(SUBSTITUTE(E563,"TRESEMME","Tresemme"),"HEAD &amp; SHOULDERS","Head &amp; Shoulders"),"ELVIVE","Elvive"),"FRUCTIS","Fructis")))</f>
        <v/>
      </c>
      <c r="R563">
        <f>COUNTIF($D$2:$D$10000,D563)&gt;1</f>
        <v/>
      </c>
      <c r="S563">
        <f>IF(H563=TRUE,"Disponible","No disponible")</f>
        <v/>
      </c>
      <c r="T563">
        <f>IF(AND(ISNUMBER(I563),I563&gt;0),ROUND(F563/I563,2),"Sin volumen")</f>
        <v/>
      </c>
      <c r="U563">
        <f>IF(F563&lt;5000,"Bajo",IF(F563&lt;15000,"Medio","Alto"))</f>
        <v/>
      </c>
    </row>
    <row r="564">
      <c r="A564" s="6" t="inlineStr">
        <is>
          <t>Farmacity</t>
        </is>
      </c>
      <c r="B564" s="6" t="n">
        <v>238878</v>
      </c>
      <c r="C564" s="6" t="n">
        <v>238878</v>
      </c>
      <c r="D564" s="6" t="inlineStr">
        <is>
          <t>Acondicionador Pantene Pro-V Miracles Liso Infinito x 750 ml</t>
        </is>
      </c>
      <c r="E564" s="6" t="inlineStr">
        <is>
          <t>Pantene</t>
        </is>
      </c>
      <c r="F564" s="6" t="n">
        <v>16733</v>
      </c>
      <c r="G564" s="6" t="n">
        <v>16733</v>
      </c>
      <c r="H564" s="6" t="b">
        <v>1</v>
      </c>
      <c r="I564" s="6" t="n">
        <v>750</v>
      </c>
      <c r="J564" s="6" t="n">
        <v>22.3107</v>
      </c>
      <c r="K564" s="6" t="inlineStr">
        <is>
          <t>&gt; Cuidado Capilar &gt; Shampoo Y Acondicionador &gt;</t>
        </is>
      </c>
      <c r="L564" s="6" t="inlineStr">
        <is>
          <t>acondicionador</t>
        </is>
      </c>
      <c r="M564" s="6" t="inlineStr">
        <is>
          <t>profesional</t>
        </is>
      </c>
      <c r="N564" s="6" t="inlineStr">
        <is>
          <t>general</t>
        </is>
      </c>
      <c r="O564" s="6" t="inlineStr">
        <is>
          <t>https://www.farmacity.com/acondicionador-pantene-pro-v-miracles-liso-infinito-x-750-ml/p</t>
        </is>
      </c>
      <c r="P564" s="8">
        <f>TRIM(CLEAN(PROPER(D564)))</f>
        <v/>
      </c>
      <c r="Q564" s="8">
        <f>PROPER(TRIM(SUBSTITUTE(SUBSTITUTE(SUBSTITUTE(SUBSTITUTE(E564,"TRESEMME","Tresemme"),"HEAD &amp; SHOULDERS","Head &amp; Shoulders"),"ELVIVE","Elvive"),"FRUCTIS","Fructis")))</f>
        <v/>
      </c>
      <c r="R564" s="8">
        <f>COUNTIF($D$2:$D$10000,D564)&gt;1</f>
        <v/>
      </c>
      <c r="S564" s="8">
        <f>IF(H564=TRUE,"Disponible","No disponible")</f>
        <v/>
      </c>
      <c r="T564" s="8">
        <f>IF(AND(ISNUMBER(I564),I564&gt;0),ROUND(F564/I564,2),"Sin volumen")</f>
        <v/>
      </c>
      <c r="U564" s="8">
        <f>IF(F564&lt;5000,"Bajo",IF(F564&lt;15000,"Medio","Alto"))</f>
        <v/>
      </c>
    </row>
    <row r="565">
      <c r="A565" t="inlineStr">
        <is>
          <t>Farmacity</t>
        </is>
      </c>
      <c r="B565" t="n">
        <v>235659</v>
      </c>
      <c r="C565" t="n">
        <v>235659</v>
      </c>
      <c r="D565" t="inlineStr">
        <is>
          <t>Acondicionador Pantene Pro-V Miracles Equilibrio Hidratante 700 ml</t>
        </is>
      </c>
      <c r="E565" t="inlineStr">
        <is>
          <t>Pantene</t>
        </is>
      </c>
      <c r="F565" t="n">
        <v>10040</v>
      </c>
      <c r="G565" t="n">
        <v>16733</v>
      </c>
      <c r="H565" t="b">
        <v>1</v>
      </c>
      <c r="I565" t="n">
        <v>700</v>
      </c>
      <c r="J565" t="n">
        <v>14.3429</v>
      </c>
      <c r="K565" t="inlineStr">
        <is>
          <t>&gt; Cuidado Capilar &gt; Shampoo Y Acondicionador &gt;</t>
        </is>
      </c>
      <c r="L565" t="inlineStr">
        <is>
          <t>acondicionador</t>
        </is>
      </c>
      <c r="M565" t="inlineStr">
        <is>
          <t>profesional</t>
        </is>
      </c>
      <c r="N565" t="inlineStr">
        <is>
          <t>seco_danado</t>
        </is>
      </c>
      <c r="O565" t="inlineStr">
        <is>
          <t>https://www.farmacity.com/acondicionador-pantene-pro-v-miracles-equilibrio-x-700-ml/p</t>
        </is>
      </c>
      <c r="P565">
        <f>TRIM(CLEAN(PROPER(D565)))</f>
        <v/>
      </c>
      <c r="Q565">
        <f>PROPER(TRIM(SUBSTITUTE(SUBSTITUTE(SUBSTITUTE(SUBSTITUTE(E565,"TRESEMME","Tresemme"),"HEAD &amp; SHOULDERS","Head &amp; Shoulders"),"ELVIVE","Elvive"),"FRUCTIS","Fructis")))</f>
        <v/>
      </c>
      <c r="R565">
        <f>COUNTIF($D$2:$D$10000,D565)&gt;1</f>
        <v/>
      </c>
      <c r="S565">
        <f>IF(H565=TRUE,"Disponible","No disponible")</f>
        <v/>
      </c>
      <c r="T565">
        <f>IF(AND(ISNUMBER(I565),I565&gt;0),ROUND(F565/I565,2),"Sin volumen")</f>
        <v/>
      </c>
      <c r="U565">
        <f>IF(F565&lt;5000,"Bajo",IF(F565&lt;15000,"Medio","Alto"))</f>
        <v/>
      </c>
    </row>
    <row r="566">
      <c r="A566" s="6" t="inlineStr">
        <is>
          <t>Farmacity</t>
        </is>
      </c>
      <c r="B566" s="6" t="n">
        <v>234382</v>
      </c>
      <c r="C566" s="6" t="n">
        <v>234382</v>
      </c>
      <c r="D566" s="6" t="inlineStr">
        <is>
          <t>Acondicionador Elvive Hialurónico Pure x 750 ml</t>
        </is>
      </c>
      <c r="E566" s="6" t="inlineStr">
        <is>
          <t>Elvive</t>
        </is>
      </c>
      <c r="F566" s="6" t="n">
        <v>17990</v>
      </c>
      <c r="G566" s="6" t="n">
        <v>17990</v>
      </c>
      <c r="H566" s="6" t="b">
        <v>1</v>
      </c>
      <c r="I566" s="6" t="n">
        <v>750</v>
      </c>
      <c r="J566" s="6" t="n">
        <v>23.9867</v>
      </c>
      <c r="K566" s="6" t="inlineStr">
        <is>
          <t>&gt; Cuidado Capilar &gt; Shampoo Y Acondicionador &gt;</t>
        </is>
      </c>
      <c r="L566" s="6" t="inlineStr">
        <is>
          <t>acondicionador</t>
        </is>
      </c>
      <c r="M566" s="6" t="inlineStr">
        <is>
          <t>profesional</t>
        </is>
      </c>
      <c r="N566" s="6" t="inlineStr">
        <is>
          <t>general</t>
        </is>
      </c>
      <c r="O566" s="6" t="inlineStr">
        <is>
          <t>https://www.farmacity.com/acondicionador-elvive-hialuronico-pure-x-750-ml/p</t>
        </is>
      </c>
      <c r="P566" s="8">
        <f>TRIM(CLEAN(PROPER(D566)))</f>
        <v/>
      </c>
      <c r="Q566" s="8">
        <f>PROPER(TRIM(SUBSTITUTE(SUBSTITUTE(SUBSTITUTE(SUBSTITUTE(E566,"TRESEMME","Tresemme"),"HEAD &amp; SHOULDERS","Head &amp; Shoulders"),"ELVIVE","Elvive"),"FRUCTIS","Fructis")))</f>
        <v/>
      </c>
      <c r="R566" s="8">
        <f>COUNTIF($D$2:$D$10000,D566)&gt;1</f>
        <v/>
      </c>
      <c r="S566" s="8">
        <f>IF(H566=TRUE,"Disponible","No disponible")</f>
        <v/>
      </c>
      <c r="T566" s="8">
        <f>IF(AND(ISNUMBER(I566),I566&gt;0),ROUND(F566/I566,2),"Sin volumen")</f>
        <v/>
      </c>
      <c r="U566" s="8">
        <f>IF(F566&lt;5000,"Bajo",IF(F566&lt;15000,"Medio","Alto"))</f>
        <v/>
      </c>
    </row>
    <row r="567">
      <c r="A567" t="inlineStr">
        <is>
          <t>Farmacity</t>
        </is>
      </c>
      <c r="B567" t="n">
        <v>230618</v>
      </c>
      <c r="C567" t="n">
        <v>230618</v>
      </c>
      <c r="D567" t="inlineStr">
        <is>
          <t>Acondicionador Tresemmé Matrizador Ultravioleta x 500 ml</t>
        </is>
      </c>
      <c r="E567" t="inlineStr">
        <is>
          <t>Tresemmé</t>
        </is>
      </c>
      <c r="F567" t="n">
        <v>6574</v>
      </c>
      <c r="G567" t="n">
        <v>10114</v>
      </c>
      <c r="H567" t="b">
        <v>1</v>
      </c>
      <c r="I567" t="n">
        <v>500</v>
      </c>
      <c r="J567" t="n">
        <v>13.148</v>
      </c>
      <c r="K567" t="inlineStr">
        <is>
          <t>&gt; Cuidado Capilar &gt; Shampoo Y Acondicionador &gt;</t>
        </is>
      </c>
      <c r="L567" t="inlineStr">
        <is>
          <t>acondicionador</t>
        </is>
      </c>
      <c r="M567" t="inlineStr">
        <is>
          <t>estandar</t>
        </is>
      </c>
      <c r="N567" t="inlineStr">
        <is>
          <t>rizado</t>
        </is>
      </c>
      <c r="O567" t="inlineStr">
        <is>
          <t>https://www.farmacity.com/acondicionador-tresemme-matrizador-ultravioleta-x-500-ml/p</t>
        </is>
      </c>
      <c r="P567">
        <f>TRIM(CLEAN(PROPER(D567)))</f>
        <v/>
      </c>
      <c r="Q567">
        <f>PROPER(TRIM(SUBSTITUTE(SUBSTITUTE(SUBSTITUTE(SUBSTITUTE(E567,"TRESEMME","Tresemme"),"HEAD &amp; SHOULDERS","Head &amp; Shoulders"),"ELVIVE","Elvive"),"FRUCTIS","Fructis")))</f>
        <v/>
      </c>
      <c r="R567">
        <f>COUNTIF($D$2:$D$10000,D567)&gt;1</f>
        <v/>
      </c>
      <c r="S567">
        <f>IF(H567=TRUE,"Disponible","No disponible")</f>
        <v/>
      </c>
      <c r="T567">
        <f>IF(AND(ISNUMBER(I567),I567&gt;0),ROUND(F567/I567,2),"Sin volumen")</f>
        <v/>
      </c>
      <c r="U567">
        <f>IF(F567&lt;5000,"Bajo",IF(F567&lt;15000,"Medio","Alto"))</f>
        <v/>
      </c>
    </row>
    <row r="568">
      <c r="A568" s="6" t="inlineStr">
        <is>
          <t>Farmacity</t>
        </is>
      </c>
      <c r="B568" s="6" t="n">
        <v>133691</v>
      </c>
      <c r="C568" s="6" t="n">
        <v>133691</v>
      </c>
      <c r="D568" s="6" t="inlineStr">
        <is>
          <t>Proavenal Avena+Asoc. Acondicionador x 300 ml</t>
        </is>
      </c>
      <c r="E568" s="6" t="inlineStr">
        <is>
          <t>Panalab</t>
        </is>
      </c>
      <c r="F568" s="6" t="n">
        <v>36644</v>
      </c>
      <c r="G568" s="6" t="n">
        <v>36644</v>
      </c>
      <c r="H568" s="6" t="b">
        <v>1</v>
      </c>
      <c r="I568" s="6" t="n">
        <v>300</v>
      </c>
      <c r="J568" s="6" t="n">
        <v>122.1467</v>
      </c>
      <c r="K568" s="6" t="inlineStr">
        <is>
          <t>&gt; Venta Bajo Receta &gt; Dermatológico &gt;</t>
        </is>
      </c>
      <c r="L568" s="6" t="inlineStr">
        <is>
          <t>acondicionador</t>
        </is>
      </c>
      <c r="M568" s="6" t="inlineStr">
        <is>
          <t>estandar</t>
        </is>
      </c>
      <c r="N568" s="6" t="inlineStr">
        <is>
          <t>general</t>
        </is>
      </c>
      <c r="O568" s="6" t="inlineStr">
        <is>
          <t>https://www.farmacity.com/proavenal-avena-asoc-acondicionador-x-300-ml/p</t>
        </is>
      </c>
      <c r="P568" s="8">
        <f>TRIM(CLEAN(PROPER(D568)))</f>
        <v/>
      </c>
      <c r="Q568" s="8">
        <f>PROPER(TRIM(SUBSTITUTE(SUBSTITUTE(SUBSTITUTE(SUBSTITUTE(E568,"TRESEMME","Tresemme"),"HEAD &amp; SHOULDERS","Head &amp; Shoulders"),"ELVIVE","Elvive"),"FRUCTIS","Fructis")))</f>
        <v/>
      </c>
      <c r="R568" s="8">
        <f>COUNTIF($D$2:$D$10000,D568)&gt;1</f>
        <v/>
      </c>
      <c r="S568" s="8">
        <f>IF(H568=TRUE,"Disponible","No disponible")</f>
        <v/>
      </c>
      <c r="T568" s="8">
        <f>IF(AND(ISNUMBER(I568),I568&gt;0),ROUND(F568/I568,2),"Sin volumen")</f>
        <v/>
      </c>
      <c r="U568" s="8">
        <f>IF(F568&lt;5000,"Bajo",IF(F568&lt;15000,"Medio","Alto"))</f>
        <v/>
      </c>
    </row>
    <row r="569">
      <c r="A569" t="inlineStr">
        <is>
          <t>Farmacity</t>
        </is>
      </c>
      <c r="B569" t="n">
        <v>6717</v>
      </c>
      <c r="C569" t="n">
        <v>147618</v>
      </c>
      <c r="D569" t="inlineStr">
        <is>
          <t>Spray Acondicionador Biferdil Vitaminado x 200 ml</t>
        </is>
      </c>
      <c r="E569" t="inlineStr">
        <is>
          <t>Biferdil</t>
        </is>
      </c>
      <c r="F569" t="n">
        <v>13176</v>
      </c>
      <c r="G569" t="n">
        <v>13176</v>
      </c>
      <c r="H569" t="b">
        <v>1</v>
      </c>
      <c r="I569" t="n">
        <v>200</v>
      </c>
      <c r="J569" t="n">
        <v>65.88</v>
      </c>
      <c r="K569" t="inlineStr">
        <is>
          <t>&gt; Cuidado Capilar &gt; Shampoo Y Acondicionador &gt;</t>
        </is>
      </c>
      <c r="L569" t="inlineStr">
        <is>
          <t>acondicionador</t>
        </is>
      </c>
      <c r="M569" t="inlineStr">
        <is>
          <t>estandar</t>
        </is>
      </c>
      <c r="N569" t="inlineStr">
        <is>
          <t>general</t>
        </is>
      </c>
      <c r="O569" t="inlineStr">
        <is>
          <t>https://www.farmacity.com/spray-acondicionador-vitaminado-s-enjuague-x-200ml/p</t>
        </is>
      </c>
      <c r="P569">
        <f>TRIM(CLEAN(PROPER(D569)))</f>
        <v/>
      </c>
      <c r="Q569">
        <f>PROPER(TRIM(SUBSTITUTE(SUBSTITUTE(SUBSTITUTE(SUBSTITUTE(E569,"TRESEMME","Tresemme"),"HEAD &amp; SHOULDERS","Head &amp; Shoulders"),"ELVIVE","Elvive"),"FRUCTIS","Fructis")))</f>
        <v/>
      </c>
      <c r="R569">
        <f>COUNTIF($D$2:$D$10000,D569)&gt;1</f>
        <v/>
      </c>
      <c r="S569">
        <f>IF(H569=TRUE,"Disponible","No disponible")</f>
        <v/>
      </c>
      <c r="T569">
        <f>IF(AND(ISNUMBER(I569),I569&gt;0),ROUND(F569/I569,2),"Sin volumen")</f>
        <v/>
      </c>
      <c r="U569">
        <f>IF(F569&lt;5000,"Bajo",IF(F569&lt;15000,"Medio","Alto"))</f>
        <v/>
      </c>
    </row>
    <row r="570">
      <c r="A570" s="6" t="inlineStr">
        <is>
          <t>Farmacity</t>
        </is>
      </c>
      <c r="B570" s="6" t="n">
        <v>237565</v>
      </c>
      <c r="C570" s="6" t="n">
        <v>237565</v>
      </c>
      <c r="D570" s="6" t="inlineStr">
        <is>
          <t>Valcatil Complex Aminoacidos + Asoc Acondicionador x 300 ml</t>
        </is>
      </c>
      <c r="E570" s="6" t="inlineStr">
        <is>
          <t>Panalab</t>
        </is>
      </c>
      <c r="F570" s="6" t="n">
        <v>58812</v>
      </c>
      <c r="G570" s="6" t="n">
        <v>58812</v>
      </c>
      <c r="H570" s="6" t="b">
        <v>1</v>
      </c>
      <c r="I570" s="6" t="n">
        <v>300</v>
      </c>
      <c r="J570" s="6" t="n">
        <v>196.04</v>
      </c>
      <c r="K570" s="6" t="inlineStr">
        <is>
          <t>&gt; Venta Bajo Receta &gt; Sistema Digestivo y Metabolismo &gt;</t>
        </is>
      </c>
      <c r="L570" s="6" t="inlineStr">
        <is>
          <t>acondicionador</t>
        </is>
      </c>
      <c r="M570" s="6" t="inlineStr">
        <is>
          <t>estandar</t>
        </is>
      </c>
      <c r="N570" s="6" t="inlineStr">
        <is>
          <t>general</t>
        </is>
      </c>
      <c r="O570" s="6" t="inlineStr">
        <is>
          <t>https://www.farmacity.com/valcatil-complex-aminoacidos-asoc-acondicionador-x-300-ml/p</t>
        </is>
      </c>
      <c r="P570" s="8">
        <f>TRIM(CLEAN(PROPER(D570)))</f>
        <v/>
      </c>
      <c r="Q570" s="8">
        <f>PROPER(TRIM(SUBSTITUTE(SUBSTITUTE(SUBSTITUTE(SUBSTITUTE(E570,"TRESEMME","Tresemme"),"HEAD &amp; SHOULDERS","Head &amp; Shoulders"),"ELVIVE","Elvive"),"FRUCTIS","Fructis")))</f>
        <v/>
      </c>
      <c r="R570" s="8">
        <f>COUNTIF($D$2:$D$10000,D570)&gt;1</f>
        <v/>
      </c>
      <c r="S570" s="8">
        <f>IF(H570=TRUE,"Disponible","No disponible")</f>
        <v/>
      </c>
      <c r="T570" s="8">
        <f>IF(AND(ISNUMBER(I570),I570&gt;0),ROUND(F570/I570,2),"Sin volumen")</f>
        <v/>
      </c>
      <c r="U570" s="8">
        <f>IF(F570&lt;5000,"Bajo",IF(F570&lt;15000,"Medio","Alto"))</f>
        <v/>
      </c>
    </row>
    <row r="571">
      <c r="A571" t="inlineStr">
        <is>
          <t>Farmacity</t>
        </is>
      </c>
      <c r="B571" t="n">
        <v>232898</v>
      </c>
      <c r="C571" t="n">
        <v>232898</v>
      </c>
      <c r="D571" t="inlineStr">
        <is>
          <t>Dermo Acondicionador Head &amp; Shoulders Revitalización x 300 ml</t>
        </is>
      </c>
      <c r="E571" t="inlineStr">
        <is>
          <t>Head and Shoulders</t>
        </is>
      </c>
      <c r="F571" t="n">
        <v>7264</v>
      </c>
      <c r="G571" t="n">
        <v>11175</v>
      </c>
      <c r="H571" t="b">
        <v>1</v>
      </c>
      <c r="I571" t="n">
        <v>300</v>
      </c>
      <c r="J571" t="n">
        <v>24.2133</v>
      </c>
      <c r="K571" t="inlineStr">
        <is>
          <t>&gt; Cuidado Capilar &gt; Shampoo Y Acondicionador &gt;</t>
        </is>
      </c>
      <c r="L571" t="inlineStr">
        <is>
          <t>acondicionador</t>
        </is>
      </c>
      <c r="M571" t="inlineStr">
        <is>
          <t>estandar</t>
        </is>
      </c>
      <c r="N571" t="inlineStr">
        <is>
          <t>general</t>
        </is>
      </c>
      <c r="O571" t="inlineStr">
        <is>
          <t>https://www.farmacity.com/acondicionador-head-shoulders-argan-x-300-ml/p</t>
        </is>
      </c>
      <c r="P571">
        <f>TRIM(CLEAN(PROPER(D571)))</f>
        <v/>
      </c>
      <c r="Q571">
        <f>PROPER(TRIM(SUBSTITUTE(SUBSTITUTE(SUBSTITUTE(SUBSTITUTE(E571,"TRESEMME","Tresemme"),"HEAD &amp; SHOULDERS","Head &amp; Shoulders"),"ELVIVE","Elvive"),"FRUCTIS","Fructis")))</f>
        <v/>
      </c>
      <c r="R571">
        <f>COUNTIF($D$2:$D$10000,D571)&gt;1</f>
        <v/>
      </c>
      <c r="S571">
        <f>IF(H571=TRUE,"Disponible","No disponible")</f>
        <v/>
      </c>
      <c r="T571">
        <f>IF(AND(ISNUMBER(I571),I571&gt;0),ROUND(F571/I571,2),"Sin volumen")</f>
        <v/>
      </c>
      <c r="U571">
        <f>IF(F571&lt;5000,"Bajo",IF(F571&lt;15000,"Medio","Alto"))</f>
        <v/>
      </c>
    </row>
    <row r="572">
      <c r="A572" s="6" t="inlineStr">
        <is>
          <t>Farmacity</t>
        </is>
      </c>
      <c r="B572" s="6" t="n">
        <v>249634</v>
      </c>
      <c r="C572" s="6" t="n">
        <v>249634</v>
      </c>
      <c r="D572" s="6" t="inlineStr">
        <is>
          <t>Combo Vichy Dercos Acondicionador Anti-Caída Apres Energy x 2 un</t>
        </is>
      </c>
      <c r="E572" s="6" t="inlineStr">
        <is>
          <t>Vichy</t>
        </is>
      </c>
      <c r="F572" s="6" t="n">
        <v>117726</v>
      </c>
      <c r="G572" s="6" t="n">
        <v>117726</v>
      </c>
      <c r="H572" s="6" t="b">
        <v>1</v>
      </c>
      <c r="I572" s="6" t="inlineStr"/>
      <c r="J572" s="6" t="inlineStr"/>
      <c r="K572" s="6" t="inlineStr">
        <is>
          <t>&gt; Dermocosmética &gt; Pelo &gt; Shampoos y Acondicionadores &gt;</t>
        </is>
      </c>
      <c r="L572" s="6" t="inlineStr">
        <is>
          <t>acondicionador</t>
        </is>
      </c>
      <c r="M572" s="6" t="inlineStr">
        <is>
          <t>estandar</t>
        </is>
      </c>
      <c r="N572" s="6" t="inlineStr">
        <is>
          <t>general</t>
        </is>
      </c>
      <c r="O572" s="6" t="inlineStr">
        <is>
          <t>https://www.farmacity.com/combo-vichy-dercos-acondicionador-anti-caida-apres-energy-x-2-un/p</t>
        </is>
      </c>
      <c r="P572" s="8">
        <f>TRIM(CLEAN(PROPER(D572)))</f>
        <v/>
      </c>
      <c r="Q572" s="8">
        <f>PROPER(TRIM(SUBSTITUTE(SUBSTITUTE(SUBSTITUTE(SUBSTITUTE(E572,"TRESEMME","Tresemme"),"HEAD &amp; SHOULDERS","Head &amp; Shoulders"),"ELVIVE","Elvive"),"FRUCTIS","Fructis")))</f>
        <v/>
      </c>
      <c r="R572" s="8">
        <f>COUNTIF($D$2:$D$10000,D572)&gt;1</f>
        <v/>
      </c>
      <c r="S572" s="8">
        <f>IF(H572=TRUE,"Disponible","No disponible")</f>
        <v/>
      </c>
      <c r="T572" s="8">
        <f>IF(AND(ISNUMBER(I572),I572&gt;0),ROUND(F572/I572,2),"Sin volumen")</f>
        <v/>
      </c>
      <c r="U572" s="8">
        <f>IF(F572&lt;5000,"Bajo",IF(F572&lt;15000,"Medio","Alto"))</f>
        <v/>
      </c>
    </row>
    <row r="573">
      <c r="A573" t="inlineStr">
        <is>
          <t>Farmacity</t>
        </is>
      </c>
      <c r="B573" t="n">
        <v>244681</v>
      </c>
      <c r="C573" t="n">
        <v>244681</v>
      </c>
      <c r="D573" t="inlineStr">
        <is>
          <t>Kit Rutina Fructis Probióticos Fuerza: Shampoo, Acondicionador y Crema Para Peinar</t>
        </is>
      </c>
      <c r="E573" t="inlineStr">
        <is>
          <t>Fructis</t>
        </is>
      </c>
      <c r="F573" t="n">
        <v>16429</v>
      </c>
      <c r="G573" t="n">
        <v>23470</v>
      </c>
      <c r="H573" t="b">
        <v>1</v>
      </c>
      <c r="I573" t="inlineStr"/>
      <c r="J573" t="inlineStr"/>
      <c r="K573" t="inlineStr">
        <is>
          <t>&gt; Cuidado Capilar &gt; Shampoo Y Acondicionador &gt;</t>
        </is>
      </c>
      <c r="L573" t="inlineStr">
        <is>
          <t>acondicionador</t>
        </is>
      </c>
      <c r="M573" t="inlineStr">
        <is>
          <t>profesional</t>
        </is>
      </c>
      <c r="N573" t="inlineStr">
        <is>
          <t>general</t>
        </is>
      </c>
      <c r="O573" t="inlineStr">
        <is>
          <t>https://www.farmacity.com/kit-rutina-fructis-probioticos-fuerza-shampoo-acondicionador-y-crema-para-peinar/p</t>
        </is>
      </c>
      <c r="P573">
        <f>TRIM(CLEAN(PROPER(D573)))</f>
        <v/>
      </c>
      <c r="Q573">
        <f>PROPER(TRIM(SUBSTITUTE(SUBSTITUTE(SUBSTITUTE(SUBSTITUTE(E573,"TRESEMME","Tresemme"),"HEAD &amp; SHOULDERS","Head &amp; Shoulders"),"ELVIVE","Elvive"),"FRUCTIS","Fructis")))</f>
        <v/>
      </c>
      <c r="R573">
        <f>COUNTIF($D$2:$D$10000,D573)&gt;1</f>
        <v/>
      </c>
      <c r="S573">
        <f>IF(H573=TRUE,"Disponible","No disponible")</f>
        <v/>
      </c>
      <c r="T573">
        <f>IF(AND(ISNUMBER(I573),I573&gt;0),ROUND(F573/I573,2),"Sin volumen")</f>
        <v/>
      </c>
      <c r="U573">
        <f>IF(F573&lt;5000,"Bajo",IF(F573&lt;15000,"Medio","Alto"))</f>
        <v/>
      </c>
    </row>
    <row r="574">
      <c r="A574" s="6" t="inlineStr">
        <is>
          <t>Farmacity</t>
        </is>
      </c>
      <c r="B574" s="6" t="n">
        <v>241696</v>
      </c>
      <c r="C574" s="6" t="n">
        <v>241696</v>
      </c>
      <c r="D574" s="6" t="inlineStr">
        <is>
          <t>Kit Dove Bond Intense Repair Shampoo + Acondicionador + Máscara de Tratamiento</t>
        </is>
      </c>
      <c r="E574" s="6" t="inlineStr">
        <is>
          <t>Dove</t>
        </is>
      </c>
      <c r="F574" s="6" t="n">
        <v>18120</v>
      </c>
      <c r="G574" s="6" t="n">
        <v>36240</v>
      </c>
      <c r="H574" s="6" t="b">
        <v>1</v>
      </c>
      <c r="I574" s="6" t="inlineStr"/>
      <c r="J574" s="6" t="inlineStr"/>
      <c r="K574" s="6" t="inlineStr">
        <is>
          <t>&gt; Cuidado Capilar &gt; Shampoo Y Acondicionador &gt;</t>
        </is>
      </c>
      <c r="L574" s="6" t="inlineStr">
        <is>
          <t>acondicionador</t>
        </is>
      </c>
      <c r="M574" s="6" t="inlineStr">
        <is>
          <t>profesional</t>
        </is>
      </c>
      <c r="N574" s="6" t="inlineStr">
        <is>
          <t>general</t>
        </is>
      </c>
      <c r="O574" s="6" t="inlineStr">
        <is>
          <t>https://www.farmacity.com/combo-dove-bond-intense-repair-shampoo-x-400-ml-acondicionador-x-250-ml-mascara-de-tratamiento-x-250-g/p</t>
        </is>
      </c>
      <c r="P574" s="8">
        <f>TRIM(CLEAN(PROPER(D574)))</f>
        <v/>
      </c>
      <c r="Q574" s="8">
        <f>PROPER(TRIM(SUBSTITUTE(SUBSTITUTE(SUBSTITUTE(SUBSTITUTE(E574,"TRESEMME","Tresemme"),"HEAD &amp; SHOULDERS","Head &amp; Shoulders"),"ELVIVE","Elvive"),"FRUCTIS","Fructis")))</f>
        <v/>
      </c>
      <c r="R574" s="8">
        <f>COUNTIF($D$2:$D$10000,D574)&gt;1</f>
        <v/>
      </c>
      <c r="S574" s="8">
        <f>IF(H574=TRUE,"Disponible","No disponible")</f>
        <v/>
      </c>
      <c r="T574" s="8">
        <f>IF(AND(ISNUMBER(I574),I574&gt;0),ROUND(F574/I574,2),"Sin volumen")</f>
        <v/>
      </c>
      <c r="U574" s="8">
        <f>IF(F574&lt;5000,"Bajo",IF(F574&lt;15000,"Medio","Alto"))</f>
        <v/>
      </c>
    </row>
    <row r="575">
      <c r="A575" t="inlineStr">
        <is>
          <t>Farmacity</t>
        </is>
      </c>
      <c r="B575" t="n">
        <v>234282</v>
      </c>
      <c r="C575" t="n">
        <v>234282</v>
      </c>
      <c r="D575" t="inlineStr">
        <is>
          <t>Shampoo Pantene Pro-V Miracles Hidrata y Fortalece x 400 ml</t>
        </is>
      </c>
      <c r="E575" t="inlineStr">
        <is>
          <t>Pantene</t>
        </is>
      </c>
      <c r="F575" t="n">
        <v>6137</v>
      </c>
      <c r="G575" t="n">
        <v>10228</v>
      </c>
      <c r="H575" t="b">
        <v>1</v>
      </c>
      <c r="I575" t="n">
        <v>400</v>
      </c>
      <c r="J575" t="n">
        <v>15.3425</v>
      </c>
      <c r="K575" t="inlineStr">
        <is>
          <t>&gt; Cuidado Capilar &gt; Shampoo Y Acondicionador &gt;</t>
        </is>
      </c>
      <c r="L575" t="inlineStr">
        <is>
          <t>shampoo</t>
        </is>
      </c>
      <c r="M575" t="inlineStr">
        <is>
          <t>profesional</t>
        </is>
      </c>
      <c r="N575" t="inlineStr">
        <is>
          <t>seco_danado</t>
        </is>
      </c>
      <c r="O575" t="inlineStr">
        <is>
          <t>https://www.farmacity.com/shampoo-pantene-pro-v-miracles-hidrata-y-fortalece-x-400-ml/p</t>
        </is>
      </c>
      <c r="P575">
        <f>TRIM(CLEAN(PROPER(D575)))</f>
        <v/>
      </c>
      <c r="Q575">
        <f>PROPER(TRIM(SUBSTITUTE(SUBSTITUTE(SUBSTITUTE(SUBSTITUTE(E575,"TRESEMME","Tresemme"),"HEAD &amp; SHOULDERS","Head &amp; Shoulders"),"ELVIVE","Elvive"),"FRUCTIS","Fructis")))</f>
        <v/>
      </c>
      <c r="R575">
        <f>COUNTIF($D$2:$D$10000,D575)&gt;1</f>
        <v/>
      </c>
      <c r="S575">
        <f>IF(H575=TRUE,"Disponible","No disponible")</f>
        <v/>
      </c>
      <c r="T575">
        <f>IF(AND(ISNUMBER(I575),I575&gt;0),ROUND(F575/I575,2),"Sin volumen")</f>
        <v/>
      </c>
      <c r="U575">
        <f>IF(F575&lt;5000,"Bajo",IF(F575&lt;15000,"Medio","Alto"))</f>
        <v/>
      </c>
    </row>
    <row r="576">
      <c r="A576" s="6" t="inlineStr">
        <is>
          <t>Farmacity</t>
        </is>
      </c>
      <c r="B576" s="6" t="n">
        <v>214555</v>
      </c>
      <c r="C576" s="6" t="n">
        <v>214555</v>
      </c>
      <c r="D576" s="6" t="inlineStr">
        <is>
          <t>Máscara Vichy Dercos Kera Solutions x 200 ml</t>
        </is>
      </c>
      <c r="E576" s="6" t="inlineStr">
        <is>
          <t>Vichy</t>
        </is>
      </c>
      <c r="F576" s="6" t="n">
        <v>66477</v>
      </c>
      <c r="G576" s="6" t="n">
        <v>66477</v>
      </c>
      <c r="H576" s="6" t="b">
        <v>1</v>
      </c>
      <c r="I576" s="6" t="n">
        <v>200</v>
      </c>
      <c r="J576" s="6" t="n">
        <v>332.385</v>
      </c>
      <c r="K576" s="6" t="inlineStr">
        <is>
          <t>&gt; Dermocosmética &gt; Pelo &gt; Bálsamos y Tratamientos &gt;</t>
        </is>
      </c>
      <c r="L576" s="6" t="inlineStr">
        <is>
          <t>shampoo</t>
        </is>
      </c>
      <c r="M576" s="6" t="inlineStr">
        <is>
          <t>estandar</t>
        </is>
      </c>
      <c r="N576" s="6" t="inlineStr">
        <is>
          <t>general</t>
        </is>
      </c>
      <c r="O576" s="6" t="inlineStr">
        <is>
          <t>https://www.farmacity.com/mascara-vichy-dercos-kera-solutions-x-250-ml/p</t>
        </is>
      </c>
      <c r="P576" s="8">
        <f>TRIM(CLEAN(PROPER(D576)))</f>
        <v/>
      </c>
      <c r="Q576" s="8">
        <f>PROPER(TRIM(SUBSTITUTE(SUBSTITUTE(SUBSTITUTE(SUBSTITUTE(E576,"TRESEMME","Tresemme"),"HEAD &amp; SHOULDERS","Head &amp; Shoulders"),"ELVIVE","Elvive"),"FRUCTIS","Fructis")))</f>
        <v/>
      </c>
      <c r="R576" s="8">
        <f>COUNTIF($D$2:$D$10000,D576)&gt;1</f>
        <v/>
      </c>
      <c r="S576" s="8">
        <f>IF(H576=TRUE,"Disponible","No disponible")</f>
        <v/>
      </c>
      <c r="T576" s="8">
        <f>IF(AND(ISNUMBER(I576),I576&gt;0),ROUND(F576/I576,2),"Sin volumen")</f>
        <v/>
      </c>
      <c r="U576" s="8">
        <f>IF(F576&lt;5000,"Bajo",IF(F576&lt;15000,"Medio","Alto"))</f>
        <v/>
      </c>
    </row>
    <row r="577">
      <c r="A577" t="inlineStr">
        <is>
          <t>Farmacity</t>
        </is>
      </c>
      <c r="B577" t="n">
        <v>204156</v>
      </c>
      <c r="C577" t="n">
        <v>200273</v>
      </c>
      <c r="D577" t="inlineStr">
        <is>
          <t>Bálsamo Reconstituyente Vichy Dercos Densi Solutions x 150 ml</t>
        </is>
      </c>
      <c r="E577" t="inlineStr">
        <is>
          <t>Vichy</t>
        </is>
      </c>
      <c r="F577" t="n">
        <v>64802</v>
      </c>
      <c r="G577" t="n">
        <v>64802</v>
      </c>
      <c r="H577" t="b">
        <v>1</v>
      </c>
      <c r="I577" t="n">
        <v>150</v>
      </c>
      <c r="J577" t="n">
        <v>432.0133</v>
      </c>
      <c r="K577" t="inlineStr">
        <is>
          <t>&gt; Dermocosmética &gt; Pelo &gt; Bálsamos y Tratamientos &gt;</t>
        </is>
      </c>
      <c r="L577" t="inlineStr">
        <is>
          <t>shampoo</t>
        </is>
      </c>
      <c r="M577" t="inlineStr">
        <is>
          <t>estandar</t>
        </is>
      </c>
      <c r="N577" t="inlineStr">
        <is>
          <t>general</t>
        </is>
      </c>
      <c r="O577" t="inlineStr">
        <is>
          <t>https://www.farmacity.com/dercos-densi-solutions-balsamo-densificador-reconstituyent/p</t>
        </is>
      </c>
      <c r="P577">
        <f>TRIM(CLEAN(PROPER(D577)))</f>
        <v/>
      </c>
      <c r="Q577">
        <f>PROPER(TRIM(SUBSTITUTE(SUBSTITUTE(SUBSTITUTE(SUBSTITUTE(E577,"TRESEMME","Tresemme"),"HEAD &amp; SHOULDERS","Head &amp; Shoulders"),"ELVIVE","Elvive"),"FRUCTIS","Fructis")))</f>
        <v/>
      </c>
      <c r="R577">
        <f>COUNTIF($D$2:$D$10000,D577)&gt;1</f>
        <v/>
      </c>
      <c r="S577">
        <f>IF(H577=TRUE,"Disponible","No disponible")</f>
        <v/>
      </c>
      <c r="T577">
        <f>IF(AND(ISNUMBER(I577),I577&gt;0),ROUND(F577/I577,2),"Sin volumen")</f>
        <v/>
      </c>
      <c r="U577">
        <f>IF(F577&lt;5000,"Bajo",IF(F577&lt;15000,"Medio","Alto"))</f>
        <v/>
      </c>
    </row>
    <row r="578">
      <c r="A578" s="6" t="inlineStr">
        <is>
          <t>Farmacity</t>
        </is>
      </c>
      <c r="B578" s="6" t="n">
        <v>9587</v>
      </c>
      <c r="C578" s="6" t="n">
        <v>158662</v>
      </c>
      <c r="D578" s="6" t="inlineStr">
        <is>
          <t>Shampoo Elvive Óleo Extraordinario Rizos x 400 ml</t>
        </is>
      </c>
      <c r="E578" s="6" t="inlineStr">
        <is>
          <t>Elvive</t>
        </is>
      </c>
      <c r="F578" s="6" t="n">
        <v>6714</v>
      </c>
      <c r="G578" s="6" t="n">
        <v>11190</v>
      </c>
      <c r="H578" s="6" t="b">
        <v>1</v>
      </c>
      <c r="I578" s="6" t="n">
        <v>400</v>
      </c>
      <c r="J578" s="6" t="n">
        <v>16.785</v>
      </c>
      <c r="K578" s="6" t="inlineStr">
        <is>
          <t>&gt; Cuidado Capilar &gt; Shampoo Y Acondicionador &gt;</t>
        </is>
      </c>
      <c r="L578" s="6" t="inlineStr">
        <is>
          <t>shampoo</t>
        </is>
      </c>
      <c r="M578" s="6" t="inlineStr">
        <is>
          <t>profesional</t>
        </is>
      </c>
      <c r="N578" s="6" t="inlineStr">
        <is>
          <t>rizado</t>
        </is>
      </c>
      <c r="O578" s="6" t="inlineStr">
        <is>
          <t>https://www.farmacity.com/shampoo-oleo-extraordinario-rizos-x-400-ml/p</t>
        </is>
      </c>
      <c r="P578" s="8">
        <f>TRIM(CLEAN(PROPER(D578)))</f>
        <v/>
      </c>
      <c r="Q578" s="8">
        <f>PROPER(TRIM(SUBSTITUTE(SUBSTITUTE(SUBSTITUTE(SUBSTITUTE(E578,"TRESEMME","Tresemme"),"HEAD &amp; SHOULDERS","Head &amp; Shoulders"),"ELVIVE","Elvive"),"FRUCTIS","Fructis")))</f>
        <v/>
      </c>
      <c r="R578" s="8">
        <f>COUNTIF($D$2:$D$10000,D578)&gt;1</f>
        <v/>
      </c>
      <c r="S578" s="8">
        <f>IF(H578=TRUE,"Disponible","No disponible")</f>
        <v/>
      </c>
      <c r="T578" s="8">
        <f>IF(AND(ISNUMBER(I578),I578&gt;0),ROUND(F578/I578,2),"Sin volumen")</f>
        <v/>
      </c>
      <c r="U578" s="8">
        <f>IF(F578&lt;5000,"Bajo",IF(F578&lt;15000,"Medio","Alto"))</f>
        <v/>
      </c>
    </row>
    <row r="579">
      <c r="A579" t="inlineStr">
        <is>
          <t>Farmacity</t>
        </is>
      </c>
      <c r="B579" t="n">
        <v>230003</v>
      </c>
      <c r="C579" t="n">
        <v>230003</v>
      </c>
      <c r="D579" t="inlineStr">
        <is>
          <t>Shampoo Biferdil Anti Naranja x 295 ml</t>
        </is>
      </c>
      <c r="E579" t="inlineStr">
        <is>
          <t>Biferdil</t>
        </is>
      </c>
      <c r="F579" t="n">
        <v>13068</v>
      </c>
      <c r="G579" t="n">
        <v>13068</v>
      </c>
      <c r="H579" t="b">
        <v>1</v>
      </c>
      <c r="I579" t="n">
        <v>295</v>
      </c>
      <c r="J579" t="n">
        <v>44.2983</v>
      </c>
      <c r="K579" t="inlineStr">
        <is>
          <t>&gt; Cuidado Capilar &gt; Shampoo Y Acondicionador &gt;</t>
        </is>
      </c>
      <c r="L579" t="inlineStr">
        <is>
          <t>shampoo</t>
        </is>
      </c>
      <c r="M579" t="inlineStr">
        <is>
          <t>estandar</t>
        </is>
      </c>
      <c r="N579" t="inlineStr">
        <is>
          <t>general</t>
        </is>
      </c>
      <c r="O579" t="inlineStr">
        <is>
          <t>https://www.farmacity.com/shampoo-biferdil-anti-naranja-x-295-ml/p</t>
        </is>
      </c>
      <c r="P579">
        <f>TRIM(CLEAN(PROPER(D579)))</f>
        <v/>
      </c>
      <c r="Q579">
        <f>PROPER(TRIM(SUBSTITUTE(SUBSTITUTE(SUBSTITUTE(SUBSTITUTE(E579,"TRESEMME","Tresemme"),"HEAD &amp; SHOULDERS","Head &amp; Shoulders"),"ELVIVE","Elvive"),"FRUCTIS","Fructis")))</f>
        <v/>
      </c>
      <c r="R579">
        <f>COUNTIF($D$2:$D$10000,D579)&gt;1</f>
        <v/>
      </c>
      <c r="S579">
        <f>IF(H579=TRUE,"Disponible","No disponible")</f>
        <v/>
      </c>
      <c r="T579">
        <f>IF(AND(ISNUMBER(I579),I579&gt;0),ROUND(F579/I579,2),"Sin volumen")</f>
        <v/>
      </c>
      <c r="U579">
        <f>IF(F579&lt;5000,"Bajo",IF(F579&lt;15000,"Medio","Alto"))</f>
        <v/>
      </c>
    </row>
    <row r="580">
      <c r="A580" s="6" t="inlineStr">
        <is>
          <t>Farmacity</t>
        </is>
      </c>
      <c r="B580" s="6" t="n">
        <v>236057</v>
      </c>
      <c r="C580" s="6" t="n">
        <v>236057</v>
      </c>
      <c r="D580" s="6" t="inlineStr">
        <is>
          <t>Shampoo Biferdil Óleo de Argán x 200 ml</t>
        </is>
      </c>
      <c r="E580" s="6" t="inlineStr">
        <is>
          <t>Biferdil</t>
        </is>
      </c>
      <c r="F580" s="6" t="n">
        <v>14256</v>
      </c>
      <c r="G580" s="6" t="n">
        <v>14256</v>
      </c>
      <c r="H580" s="6" t="b">
        <v>1</v>
      </c>
      <c r="I580" s="6" t="n">
        <v>200</v>
      </c>
      <c r="J580" s="6" t="n">
        <v>71.28</v>
      </c>
      <c r="K580" s="6" t="inlineStr">
        <is>
          <t>&gt; Cuidado Capilar &gt; Shampoo Y Acondicionador &gt;</t>
        </is>
      </c>
      <c r="L580" s="6" t="inlineStr">
        <is>
          <t>shampoo</t>
        </is>
      </c>
      <c r="M580" s="6" t="inlineStr">
        <is>
          <t>estandar</t>
        </is>
      </c>
      <c r="N580" s="6" t="inlineStr">
        <is>
          <t>general</t>
        </is>
      </c>
      <c r="O580" s="6" t="inlineStr">
        <is>
          <t>https://www.farmacity.com/shampoo-biferdil-oleo-de-argan-x-200-ml/p</t>
        </is>
      </c>
      <c r="P580" s="8">
        <f>TRIM(CLEAN(PROPER(D580)))</f>
        <v/>
      </c>
      <c r="Q580" s="8">
        <f>PROPER(TRIM(SUBSTITUTE(SUBSTITUTE(SUBSTITUTE(SUBSTITUTE(E580,"TRESEMME","Tresemme"),"HEAD &amp; SHOULDERS","Head &amp; Shoulders"),"ELVIVE","Elvive"),"FRUCTIS","Fructis")))</f>
        <v/>
      </c>
      <c r="R580" s="8">
        <f>COUNTIF($D$2:$D$10000,D580)&gt;1</f>
        <v/>
      </c>
      <c r="S580" s="8">
        <f>IF(H580=TRUE,"Disponible","No disponible")</f>
        <v/>
      </c>
      <c r="T580" s="8">
        <f>IF(AND(ISNUMBER(I580),I580&gt;0),ROUND(F580/I580,2),"Sin volumen")</f>
        <v/>
      </c>
      <c r="U580" s="8">
        <f>IF(F580&lt;5000,"Bajo",IF(F580&lt;15000,"Medio","Alto"))</f>
        <v/>
      </c>
    </row>
    <row r="581">
      <c r="A581" t="inlineStr">
        <is>
          <t>Farmacity</t>
        </is>
      </c>
      <c r="B581" t="n">
        <v>225992</v>
      </c>
      <c r="C581" t="n">
        <v>225992</v>
      </c>
      <c r="D581" t="inlineStr">
        <is>
          <t>Shampoo Alta Moda Hydra Save x 300 ml</t>
        </is>
      </c>
      <c r="E581" t="inlineStr">
        <is>
          <t>Alta Moda</t>
        </is>
      </c>
      <c r="F581" t="n">
        <v>5692</v>
      </c>
      <c r="G581" t="n">
        <v>5692</v>
      </c>
      <c r="H581" t="b">
        <v>1</v>
      </c>
      <c r="I581" t="n">
        <v>300</v>
      </c>
      <c r="J581" t="n">
        <v>18.9733</v>
      </c>
      <c r="K581" t="inlineStr">
        <is>
          <t>&gt; Cuidado Capilar &gt; Shampoo Y Acondicionador &gt;</t>
        </is>
      </c>
      <c r="L581" t="inlineStr">
        <is>
          <t>shampoo</t>
        </is>
      </c>
      <c r="M581" t="inlineStr">
        <is>
          <t>estandar</t>
        </is>
      </c>
      <c r="N581" t="inlineStr">
        <is>
          <t>general</t>
        </is>
      </c>
      <c r="O581" t="inlineStr">
        <is>
          <t>https://www.farmacity.com/shampoo-alta-moda-e-hydra-nutri-x-300-g/p</t>
        </is>
      </c>
      <c r="P581">
        <f>TRIM(CLEAN(PROPER(D581)))</f>
        <v/>
      </c>
      <c r="Q581">
        <f>PROPER(TRIM(SUBSTITUTE(SUBSTITUTE(SUBSTITUTE(SUBSTITUTE(E581,"TRESEMME","Tresemme"),"HEAD &amp; SHOULDERS","Head &amp; Shoulders"),"ELVIVE","Elvive"),"FRUCTIS","Fructis")))</f>
        <v/>
      </c>
      <c r="R581">
        <f>COUNTIF($D$2:$D$10000,D581)&gt;1</f>
        <v/>
      </c>
      <c r="S581">
        <f>IF(H581=TRUE,"Disponible","No disponible")</f>
        <v/>
      </c>
      <c r="T581">
        <f>IF(AND(ISNUMBER(I581),I581&gt;0),ROUND(F581/I581,2),"Sin volumen")</f>
        <v/>
      </c>
      <c r="U581">
        <f>IF(F581&lt;5000,"Bajo",IF(F581&lt;15000,"Medio","Alto"))</f>
        <v/>
      </c>
    </row>
    <row r="582">
      <c r="A582" s="6" t="inlineStr">
        <is>
          <t>Farmacity</t>
        </is>
      </c>
      <c r="B582" s="6" t="n">
        <v>239940</v>
      </c>
      <c r="C582" s="6" t="n">
        <v>239940</v>
      </c>
      <c r="D582" s="6" t="inlineStr">
        <is>
          <t>Shampoo Pantene Keratina x 700 ml</t>
        </is>
      </c>
      <c r="E582" s="6" t="inlineStr">
        <is>
          <t>Pantene</t>
        </is>
      </c>
      <c r="F582" s="6" t="n">
        <v>15128</v>
      </c>
      <c r="G582" s="6" t="n">
        <v>15128</v>
      </c>
      <c r="H582" s="6" t="b">
        <v>1</v>
      </c>
      <c r="I582" s="6" t="n">
        <v>700</v>
      </c>
      <c r="J582" s="6" t="n">
        <v>21.6114</v>
      </c>
      <c r="K582" s="6" t="inlineStr">
        <is>
          <t>&gt; Cuidado Capilar &gt; Shampoo Y Acondicionador &gt;</t>
        </is>
      </c>
      <c r="L582" s="6" t="inlineStr">
        <is>
          <t>shampoo</t>
        </is>
      </c>
      <c r="M582" s="6" t="inlineStr">
        <is>
          <t>estandar</t>
        </is>
      </c>
      <c r="N582" s="6" t="inlineStr">
        <is>
          <t>tratado</t>
        </is>
      </c>
      <c r="O582" s="6" t="inlineStr">
        <is>
          <t>https://www.farmacity.com/shampoo-pantene-keratina-x-700-ml/p</t>
        </is>
      </c>
      <c r="P582" s="8">
        <f>TRIM(CLEAN(PROPER(D582)))</f>
        <v/>
      </c>
      <c r="Q582" s="8">
        <f>PROPER(TRIM(SUBSTITUTE(SUBSTITUTE(SUBSTITUTE(SUBSTITUTE(E582,"TRESEMME","Tresemme"),"HEAD &amp; SHOULDERS","Head &amp; Shoulders"),"ELVIVE","Elvive"),"FRUCTIS","Fructis")))</f>
        <v/>
      </c>
      <c r="R582" s="8">
        <f>COUNTIF($D$2:$D$10000,D582)&gt;1</f>
        <v/>
      </c>
      <c r="S582" s="8">
        <f>IF(H582=TRUE,"Disponible","No disponible")</f>
        <v/>
      </c>
      <c r="T582" s="8">
        <f>IF(AND(ISNUMBER(I582),I582&gt;0),ROUND(F582/I582,2),"Sin volumen")</f>
        <v/>
      </c>
      <c r="U582" s="8">
        <f>IF(F582&lt;5000,"Bajo",IF(F582&lt;15000,"Medio","Alto"))</f>
        <v/>
      </c>
    </row>
    <row r="583">
      <c r="A583" t="inlineStr">
        <is>
          <t>Farmacity</t>
        </is>
      </c>
      <c r="B583" t="n">
        <v>241716</v>
      </c>
      <c r="C583" t="n">
        <v>241716</v>
      </c>
      <c r="D583" t="inlineStr">
        <is>
          <t>Kit Capilar Dove Regeneración Extrema</t>
        </is>
      </c>
      <c r="E583" t="inlineStr">
        <is>
          <t>Dove</t>
        </is>
      </c>
      <c r="F583" t="n">
        <v>15984</v>
      </c>
      <c r="G583" t="n">
        <v>29062</v>
      </c>
      <c r="H583" t="b">
        <v>1</v>
      </c>
      <c r="I583" t="inlineStr"/>
      <c r="J583" t="inlineStr"/>
      <c r="K583" t="inlineStr">
        <is>
          <t>&gt; Cuidado Capilar &gt; Shampoo Y Acondicionador &gt;</t>
        </is>
      </c>
      <c r="L583" t="inlineStr">
        <is>
          <t>tratamiento</t>
        </is>
      </c>
      <c r="M583" t="inlineStr">
        <is>
          <t>estandar</t>
        </is>
      </c>
      <c r="N583" t="inlineStr">
        <is>
          <t>general</t>
        </is>
      </c>
      <c r="O583" t="inlineStr">
        <is>
          <t>https://www.farmacity.com/combo-capilar-dove-regeneracion-extrema/p</t>
        </is>
      </c>
      <c r="P583">
        <f>TRIM(CLEAN(PROPER(D583)))</f>
        <v/>
      </c>
      <c r="Q583">
        <f>PROPER(TRIM(SUBSTITUTE(SUBSTITUTE(SUBSTITUTE(SUBSTITUTE(E583,"TRESEMME","Tresemme"),"HEAD &amp; SHOULDERS","Head &amp; Shoulders"),"ELVIVE","Elvive"),"FRUCTIS","Fructis")))</f>
        <v/>
      </c>
      <c r="R583">
        <f>COUNTIF($D$2:$D$10000,D583)&gt;1</f>
        <v/>
      </c>
      <c r="S583">
        <f>IF(H583=TRUE,"Disponible","No disponible")</f>
        <v/>
      </c>
      <c r="T583">
        <f>IF(AND(ISNUMBER(I583),I583&gt;0),ROUND(F583/I583,2),"Sin volumen")</f>
        <v/>
      </c>
      <c r="U583">
        <f>IF(F583&lt;5000,"Bajo",IF(F583&lt;15000,"Medio","Alto"))</f>
        <v/>
      </c>
    </row>
    <row r="584">
      <c r="A584" s="6" t="inlineStr">
        <is>
          <t>Farmacity</t>
        </is>
      </c>
      <c r="B584" s="6" t="n">
        <v>246664</v>
      </c>
      <c r="C584" s="6" t="n">
        <v>246664</v>
      </c>
      <c r="D584" s="6" t="inlineStr">
        <is>
          <t>Shampoo Pantene Bamboo x 200 ml</t>
        </is>
      </c>
      <c r="E584" s="6" t="inlineStr">
        <is>
          <t>Pantene</t>
        </is>
      </c>
      <c r="F584" s="6" t="n">
        <v>3808</v>
      </c>
      <c r="G584" s="6" t="n">
        <v>6347</v>
      </c>
      <c r="H584" s="6" t="b">
        <v>1</v>
      </c>
      <c r="I584" s="6" t="n">
        <v>200</v>
      </c>
      <c r="J584" s="6" t="n">
        <v>19.04</v>
      </c>
      <c r="K584" s="6" t="inlineStr">
        <is>
          <t>&gt; Cuidado Capilar &gt; Shampoo Y Acondicionador &gt;</t>
        </is>
      </c>
      <c r="L584" s="6" t="inlineStr">
        <is>
          <t>shampoo</t>
        </is>
      </c>
      <c r="M584" s="6" t="inlineStr">
        <is>
          <t>estandar</t>
        </is>
      </c>
      <c r="N584" s="6" t="inlineStr">
        <is>
          <t>general</t>
        </is>
      </c>
      <c r="O584" s="6" t="inlineStr">
        <is>
          <t>https://www.farmacity.com/shampoo-pantene-bamboo-x-200-ml/p</t>
        </is>
      </c>
      <c r="P584" s="8">
        <f>TRIM(CLEAN(PROPER(D584)))</f>
        <v/>
      </c>
      <c r="Q584" s="8">
        <f>PROPER(TRIM(SUBSTITUTE(SUBSTITUTE(SUBSTITUTE(SUBSTITUTE(E584,"TRESEMME","Tresemme"),"HEAD &amp; SHOULDERS","Head &amp; Shoulders"),"ELVIVE","Elvive"),"FRUCTIS","Fructis")))</f>
        <v/>
      </c>
      <c r="R584" s="8">
        <f>COUNTIF($D$2:$D$10000,D584)&gt;1</f>
        <v/>
      </c>
      <c r="S584" s="8">
        <f>IF(H584=TRUE,"Disponible","No disponible")</f>
        <v/>
      </c>
      <c r="T584" s="8">
        <f>IF(AND(ISNUMBER(I584),I584&gt;0),ROUND(F584/I584,2),"Sin volumen")</f>
        <v/>
      </c>
      <c r="U584" s="8">
        <f>IF(F584&lt;5000,"Bajo",IF(F584&lt;15000,"Medio","Alto"))</f>
        <v/>
      </c>
    </row>
    <row r="585">
      <c r="A585" t="inlineStr">
        <is>
          <t>Farmacity</t>
        </is>
      </c>
      <c r="B585" t="n">
        <v>244544</v>
      </c>
      <c r="C585" t="n">
        <v>244544</v>
      </c>
      <c r="D585" t="inlineStr">
        <is>
          <t>Shampoo Pantene Keratina x 300 ml</t>
        </is>
      </c>
      <c r="E585" t="inlineStr">
        <is>
          <t>Pantene</t>
        </is>
      </c>
      <c r="F585" t="n">
        <v>6032</v>
      </c>
      <c r="G585" t="n">
        <v>10054</v>
      </c>
      <c r="H585" t="b">
        <v>1</v>
      </c>
      <c r="I585" t="n">
        <v>300</v>
      </c>
      <c r="J585" t="n">
        <v>20.1067</v>
      </c>
      <c r="K585" t="inlineStr">
        <is>
          <t>&gt; Cuidado Capilar &gt; Shampoo Y Acondicionador &gt;</t>
        </is>
      </c>
      <c r="L585" t="inlineStr">
        <is>
          <t>shampoo</t>
        </is>
      </c>
      <c r="M585" t="inlineStr">
        <is>
          <t>estandar</t>
        </is>
      </c>
      <c r="N585" t="inlineStr">
        <is>
          <t>tratado</t>
        </is>
      </c>
      <c r="O585" t="inlineStr">
        <is>
          <t>https://www.farmacity.com/shampoo-pantene-keratina-x-300-ml/p</t>
        </is>
      </c>
      <c r="P585">
        <f>TRIM(CLEAN(PROPER(D585)))</f>
        <v/>
      </c>
      <c r="Q585">
        <f>PROPER(TRIM(SUBSTITUTE(SUBSTITUTE(SUBSTITUTE(SUBSTITUTE(E585,"TRESEMME","Tresemme"),"HEAD &amp; SHOULDERS","Head &amp; Shoulders"),"ELVIVE","Elvive"),"FRUCTIS","Fructis")))</f>
        <v/>
      </c>
      <c r="R585">
        <f>COUNTIF($D$2:$D$10000,D585)&gt;1</f>
        <v/>
      </c>
      <c r="S585">
        <f>IF(H585=TRUE,"Disponible","No disponible")</f>
        <v/>
      </c>
      <c r="T585">
        <f>IF(AND(ISNUMBER(I585),I585&gt;0),ROUND(F585/I585,2),"Sin volumen")</f>
        <v/>
      </c>
      <c r="U585">
        <f>IF(F585&lt;5000,"Bajo",IF(F585&lt;15000,"Medio","Alto"))</f>
        <v/>
      </c>
    </row>
    <row r="586">
      <c r="A586" s="6" t="inlineStr">
        <is>
          <t>Farmacity</t>
        </is>
      </c>
      <c r="B586" s="6" t="n">
        <v>230217</v>
      </c>
      <c r="C586" s="6" t="n">
        <v>230217</v>
      </c>
      <c r="D586" s="6" t="inlineStr">
        <is>
          <t>Crema para Peinar Pantene Colágeno Nutre &amp; Revitaliza x 300 ml</t>
        </is>
      </c>
      <c r="E586" s="6" t="inlineStr">
        <is>
          <t>Pantene</t>
        </is>
      </c>
      <c r="F586" s="6" t="n">
        <v>9024</v>
      </c>
      <c r="G586" s="6" t="n">
        <v>9024</v>
      </c>
      <c r="H586" s="6" t="b">
        <v>1</v>
      </c>
      <c r="I586" s="6" t="n">
        <v>300</v>
      </c>
      <c r="J586" s="6" t="n">
        <v>30.08</v>
      </c>
      <c r="K586" s="6" t="inlineStr">
        <is>
          <t>&gt; Cuidado Capilar &gt; Modelado Y Peinado &gt;</t>
        </is>
      </c>
      <c r="L586" s="6" t="inlineStr">
        <is>
          <t>shampoo</t>
        </is>
      </c>
      <c r="M586" s="6" t="inlineStr">
        <is>
          <t>estandar</t>
        </is>
      </c>
      <c r="N586" s="6" t="inlineStr">
        <is>
          <t>general</t>
        </is>
      </c>
      <c r="O586" s="6" t="inlineStr">
        <is>
          <t>https://www.farmacity.com/crema-para-peinar-pantene-colageno-x-300-ml/p</t>
        </is>
      </c>
      <c r="P586" s="8">
        <f>TRIM(CLEAN(PROPER(D586)))</f>
        <v/>
      </c>
      <c r="Q586" s="8">
        <f>PROPER(TRIM(SUBSTITUTE(SUBSTITUTE(SUBSTITUTE(SUBSTITUTE(E586,"TRESEMME","Tresemme"),"HEAD &amp; SHOULDERS","Head &amp; Shoulders"),"ELVIVE","Elvive"),"FRUCTIS","Fructis")))</f>
        <v/>
      </c>
      <c r="R586" s="8">
        <f>COUNTIF($D$2:$D$10000,D586)&gt;1</f>
        <v/>
      </c>
      <c r="S586" s="8">
        <f>IF(H586=TRUE,"Disponible","No disponible")</f>
        <v/>
      </c>
      <c r="T586" s="8">
        <f>IF(AND(ISNUMBER(I586),I586&gt;0),ROUND(F586/I586,2),"Sin volumen")</f>
        <v/>
      </c>
      <c r="U586" s="8">
        <f>IF(F586&lt;5000,"Bajo",IF(F586&lt;15000,"Medio","Alto"))</f>
        <v/>
      </c>
    </row>
    <row r="587">
      <c r="A587" t="inlineStr">
        <is>
          <t>Farmacity</t>
        </is>
      </c>
      <c r="B587" t="n">
        <v>238887</v>
      </c>
      <c r="C587" t="n">
        <v>238887</v>
      </c>
      <c r="D587" t="inlineStr">
        <is>
          <t>Shampoo Pantene Pro-V Miracles Revitalizacion x 750 ml</t>
        </is>
      </c>
      <c r="E587" t="inlineStr">
        <is>
          <t>Pantene</t>
        </is>
      </c>
      <c r="F587" t="n">
        <v>16733</v>
      </c>
      <c r="G587" t="n">
        <v>16733</v>
      </c>
      <c r="H587" t="b">
        <v>1</v>
      </c>
      <c r="I587" t="n">
        <v>750</v>
      </c>
      <c r="J587" t="n">
        <v>22.3107</v>
      </c>
      <c r="K587" t="inlineStr">
        <is>
          <t>&gt; Cuidado Capilar &gt; Shampoo Y Acondicionador &gt;</t>
        </is>
      </c>
      <c r="L587" t="inlineStr">
        <is>
          <t>shampoo</t>
        </is>
      </c>
      <c r="M587" t="inlineStr">
        <is>
          <t>profesional</t>
        </is>
      </c>
      <c r="N587" t="inlineStr">
        <is>
          <t>general</t>
        </is>
      </c>
      <c r="O587" t="inlineStr">
        <is>
          <t>https://www.farmacity.com/shampoo-pantene-pro-v-miracles-revitalizacion-x-750-ml/p</t>
        </is>
      </c>
      <c r="P587">
        <f>TRIM(CLEAN(PROPER(D587)))</f>
        <v/>
      </c>
      <c r="Q587">
        <f>PROPER(TRIM(SUBSTITUTE(SUBSTITUTE(SUBSTITUTE(SUBSTITUTE(E587,"TRESEMME","Tresemme"),"HEAD &amp; SHOULDERS","Head &amp; Shoulders"),"ELVIVE","Elvive"),"FRUCTIS","Fructis")))</f>
        <v/>
      </c>
      <c r="R587">
        <f>COUNTIF($D$2:$D$10000,D587)&gt;1</f>
        <v/>
      </c>
      <c r="S587">
        <f>IF(H587=TRUE,"Disponible","No disponible")</f>
        <v/>
      </c>
      <c r="T587">
        <f>IF(AND(ISNUMBER(I587),I587&gt;0),ROUND(F587/I587,2),"Sin volumen")</f>
        <v/>
      </c>
      <c r="U587">
        <f>IF(F587&lt;5000,"Bajo",IF(F587&lt;15000,"Medio","Alto"))</f>
        <v/>
      </c>
    </row>
    <row r="588">
      <c r="A588" s="6" t="inlineStr">
        <is>
          <t>Farmacity</t>
        </is>
      </c>
      <c r="B588" s="6" t="n">
        <v>242679</v>
      </c>
      <c r="C588" s="6" t="n">
        <v>242679</v>
      </c>
      <c r="D588" s="6" t="inlineStr">
        <is>
          <t>Shampoo Fructis Goodbye Daños x 350 ml</t>
        </is>
      </c>
      <c r="E588" s="6" t="inlineStr">
        <is>
          <t>Fructis</t>
        </is>
      </c>
      <c r="F588" s="6" t="n">
        <v>7990</v>
      </c>
      <c r="G588" s="6" t="n">
        <v>7990</v>
      </c>
      <c r="H588" s="6" t="b">
        <v>1</v>
      </c>
      <c r="I588" s="6" t="n">
        <v>350</v>
      </c>
      <c r="J588" s="6" t="n">
        <v>22.8286</v>
      </c>
      <c r="K588" s="6" t="inlineStr">
        <is>
          <t>&gt; Cuidado Capilar &gt; Shampoo Y Acondicionador &gt;</t>
        </is>
      </c>
      <c r="L588" s="6" t="inlineStr">
        <is>
          <t>shampoo</t>
        </is>
      </c>
      <c r="M588" s="6" t="inlineStr">
        <is>
          <t>estandar</t>
        </is>
      </c>
      <c r="N588" s="6" t="inlineStr">
        <is>
          <t>general</t>
        </is>
      </c>
      <c r="O588" s="6" t="inlineStr">
        <is>
          <t>https://www.farmacity.com/shampoo-fructis-goodbye-danos-x-350-ml/p</t>
        </is>
      </c>
      <c r="P588" s="8">
        <f>TRIM(CLEAN(PROPER(D588)))</f>
        <v/>
      </c>
      <c r="Q588" s="8">
        <f>PROPER(TRIM(SUBSTITUTE(SUBSTITUTE(SUBSTITUTE(SUBSTITUTE(E588,"TRESEMME","Tresemme"),"HEAD &amp; SHOULDERS","Head &amp; Shoulders"),"ELVIVE","Elvive"),"FRUCTIS","Fructis")))</f>
        <v/>
      </c>
      <c r="R588" s="8">
        <f>COUNTIF($D$2:$D$10000,D588)&gt;1</f>
        <v/>
      </c>
      <c r="S588" s="8">
        <f>IF(H588=TRUE,"Disponible","No disponible")</f>
        <v/>
      </c>
      <c r="T588" s="8">
        <f>IF(AND(ISNUMBER(I588),I588&gt;0),ROUND(F588/I588,2),"Sin volumen")</f>
        <v/>
      </c>
      <c r="U588" s="8">
        <f>IF(F588&lt;5000,"Bajo",IF(F588&lt;15000,"Medio","Alto"))</f>
        <v/>
      </c>
    </row>
    <row r="589">
      <c r="A589" t="inlineStr">
        <is>
          <t>Farmacity</t>
        </is>
      </c>
      <c r="B589" t="n">
        <v>234032</v>
      </c>
      <c r="C589" t="n">
        <v>234032</v>
      </c>
      <c r="D589" t="inlineStr">
        <is>
          <t>Mousse Capilar Roby x 190 ml</t>
        </is>
      </c>
      <c r="E589" t="inlineStr">
        <is>
          <t>Roby</t>
        </is>
      </c>
      <c r="F589" t="n">
        <v>8108</v>
      </c>
      <c r="G589" t="n">
        <v>10135</v>
      </c>
      <c r="H589" t="b">
        <v>1</v>
      </c>
      <c r="I589" t="n">
        <v>190</v>
      </c>
      <c r="J589" t="n">
        <v>42.6737</v>
      </c>
      <c r="K589" t="inlineStr">
        <is>
          <t>&gt; Cuidado Capilar &gt; Modelado Y Peinado &gt;</t>
        </is>
      </c>
      <c r="L589" t="inlineStr">
        <is>
          <t>shampoo</t>
        </is>
      </c>
      <c r="M589" t="inlineStr">
        <is>
          <t>estandar</t>
        </is>
      </c>
      <c r="N589" t="inlineStr">
        <is>
          <t>general</t>
        </is>
      </c>
      <c r="O589" t="inlineStr">
        <is>
          <t>https://www.farmacity.com/mousse-capilar-roby-x-190-ml/p</t>
        </is>
      </c>
      <c r="P589">
        <f>TRIM(CLEAN(PROPER(D589)))</f>
        <v/>
      </c>
      <c r="Q589">
        <f>PROPER(TRIM(SUBSTITUTE(SUBSTITUTE(SUBSTITUTE(SUBSTITUTE(E589,"TRESEMME","Tresemme"),"HEAD &amp; SHOULDERS","Head &amp; Shoulders"),"ELVIVE","Elvive"),"FRUCTIS","Fructis")))</f>
        <v/>
      </c>
      <c r="R589">
        <f>COUNTIF($D$2:$D$10000,D589)&gt;1</f>
        <v/>
      </c>
      <c r="S589">
        <f>IF(H589=TRUE,"Disponible","No disponible")</f>
        <v/>
      </c>
      <c r="T589">
        <f>IF(AND(ISNUMBER(I589),I589&gt;0),ROUND(F589/I589,2),"Sin volumen")</f>
        <v/>
      </c>
      <c r="U589">
        <f>IF(F589&lt;5000,"Bajo",IF(F589&lt;15000,"Medio","Alto"))</f>
        <v/>
      </c>
    </row>
    <row r="590">
      <c r="A590" s="6" t="inlineStr">
        <is>
          <t>Farmacity</t>
        </is>
      </c>
      <c r="B590" s="6" t="n">
        <v>250351</v>
      </c>
      <c r="C590" s="6" t="n">
        <v>250351</v>
      </c>
      <c r="D590" s="6" t="inlineStr">
        <is>
          <t>Shampoo Elvive Collagen Lifter x 750 ml</t>
        </is>
      </c>
      <c r="E590" s="6" t="inlineStr">
        <is>
          <t>Elvive</t>
        </is>
      </c>
      <c r="F590" s="6" t="n">
        <v>19990</v>
      </c>
      <c r="G590" s="6" t="n">
        <v>19990</v>
      </c>
      <c r="H590" s="6" t="b">
        <v>1</v>
      </c>
      <c r="I590" s="6" t="n">
        <v>750</v>
      </c>
      <c r="J590" s="6" t="n">
        <v>26.6533</v>
      </c>
      <c r="K590" s="6" t="inlineStr">
        <is>
          <t>&gt; Cuidado Capilar &gt; Shampoo Y Acondicionador &gt;</t>
        </is>
      </c>
      <c r="L590" s="6" t="inlineStr">
        <is>
          <t>shampoo</t>
        </is>
      </c>
      <c r="M590" s="6" t="inlineStr">
        <is>
          <t>profesional</t>
        </is>
      </c>
      <c r="N590" s="6" t="inlineStr">
        <is>
          <t>general</t>
        </is>
      </c>
      <c r="O590" s="6" t="inlineStr">
        <is>
          <t>https://www.farmacity.com/shampoo-elvive-colageno-lifter-x-750-ml/p</t>
        </is>
      </c>
      <c r="P590" s="8">
        <f>TRIM(CLEAN(PROPER(D590)))</f>
        <v/>
      </c>
      <c r="Q590" s="8">
        <f>PROPER(TRIM(SUBSTITUTE(SUBSTITUTE(SUBSTITUTE(SUBSTITUTE(E590,"TRESEMME","Tresemme"),"HEAD &amp; SHOULDERS","Head &amp; Shoulders"),"ELVIVE","Elvive"),"FRUCTIS","Fructis")))</f>
        <v/>
      </c>
      <c r="R590" s="8">
        <f>COUNTIF($D$2:$D$10000,D590)&gt;1</f>
        <v/>
      </c>
      <c r="S590" s="8">
        <f>IF(H590=TRUE,"Disponible","No disponible")</f>
        <v/>
      </c>
      <c r="T590" s="8">
        <f>IF(AND(ISNUMBER(I590),I590&gt;0),ROUND(F590/I590,2),"Sin volumen")</f>
        <v/>
      </c>
      <c r="U590" s="8">
        <f>IF(F590&lt;5000,"Bajo",IF(F590&lt;15000,"Medio","Alto"))</f>
        <v/>
      </c>
    </row>
    <row r="591">
      <c r="A591" t="inlineStr">
        <is>
          <t>Farmacity</t>
        </is>
      </c>
      <c r="B591" t="n">
        <v>246636</v>
      </c>
      <c r="C591" t="n">
        <v>246636</v>
      </c>
      <c r="D591" t="inlineStr">
        <is>
          <t>Shampoo Herbal Essences Rosemary x 400 ml</t>
        </is>
      </c>
      <c r="E591" t="inlineStr">
        <is>
          <t>Herbal Essences</t>
        </is>
      </c>
      <c r="F591" t="n">
        <v>10574</v>
      </c>
      <c r="G591" t="n">
        <v>16267</v>
      </c>
      <c r="H591" t="b">
        <v>1</v>
      </c>
      <c r="I591" t="n">
        <v>400</v>
      </c>
      <c r="J591" t="n">
        <v>26.435</v>
      </c>
      <c r="K591" t="inlineStr">
        <is>
          <t>&gt; Cuidado Capilar &gt; Shampoo Y Acondicionador &gt;</t>
        </is>
      </c>
      <c r="L591" t="inlineStr">
        <is>
          <t>shampoo</t>
        </is>
      </c>
      <c r="M591" t="inlineStr">
        <is>
          <t>estandar</t>
        </is>
      </c>
      <c r="N591" t="inlineStr">
        <is>
          <t>general</t>
        </is>
      </c>
      <c r="O591" t="inlineStr">
        <is>
          <t>https://www.farmacity.com/shampoo-herbal-essences-rosemary-x-400-ml/p</t>
        </is>
      </c>
      <c r="P591">
        <f>TRIM(CLEAN(PROPER(D591)))</f>
        <v/>
      </c>
      <c r="Q591">
        <f>PROPER(TRIM(SUBSTITUTE(SUBSTITUTE(SUBSTITUTE(SUBSTITUTE(E591,"TRESEMME","Tresemme"),"HEAD &amp; SHOULDERS","Head &amp; Shoulders"),"ELVIVE","Elvive"),"FRUCTIS","Fructis")))</f>
        <v/>
      </c>
      <c r="R591">
        <f>COUNTIF($D$2:$D$10000,D591)&gt;1</f>
        <v/>
      </c>
      <c r="S591">
        <f>IF(H591=TRUE,"Disponible","No disponible")</f>
        <v/>
      </c>
      <c r="T591">
        <f>IF(AND(ISNUMBER(I591),I591&gt;0),ROUND(F591/I591,2),"Sin volumen")</f>
        <v/>
      </c>
      <c r="U591">
        <f>IF(F591&lt;5000,"Bajo",IF(F591&lt;15000,"Medio","Alto"))</f>
        <v/>
      </c>
    </row>
    <row r="592">
      <c r="A592" s="6" t="inlineStr">
        <is>
          <t>Farmacity</t>
        </is>
      </c>
      <c r="B592" s="6" t="n">
        <v>246853</v>
      </c>
      <c r="C592" s="6" t="n">
        <v>246853</v>
      </c>
      <c r="D592" s="6" t="inlineStr">
        <is>
          <t>Shampoo Capilatis Matizador Pure Silver x 350 ml</t>
        </is>
      </c>
      <c r="E592" s="6" t="inlineStr">
        <is>
          <t>Capilatis</t>
        </is>
      </c>
      <c r="F592" s="6" t="n">
        <v>15700</v>
      </c>
      <c r="G592" s="6" t="n">
        <v>15700</v>
      </c>
      <c r="H592" s="6" t="b">
        <v>1</v>
      </c>
      <c r="I592" s="6" t="n">
        <v>350</v>
      </c>
      <c r="J592" s="6" t="n">
        <v>44.8571</v>
      </c>
      <c r="K592" s="6" t="inlineStr">
        <is>
          <t>&gt; Cuidado Capilar &gt; Shampoo Y Acondicionador &gt;</t>
        </is>
      </c>
      <c r="L592" s="6" t="inlineStr">
        <is>
          <t>shampoo</t>
        </is>
      </c>
      <c r="M592" s="6" t="inlineStr">
        <is>
          <t>estandar</t>
        </is>
      </c>
      <c r="N592" s="6" t="inlineStr">
        <is>
          <t>general</t>
        </is>
      </c>
      <c r="O592" s="6" t="inlineStr">
        <is>
          <t>https://www.farmacity.com/shampoo-capilatis-matizador-pure-silver-x-350-ml/p</t>
        </is>
      </c>
      <c r="P592" s="8">
        <f>TRIM(CLEAN(PROPER(D592)))</f>
        <v/>
      </c>
      <c r="Q592" s="8">
        <f>PROPER(TRIM(SUBSTITUTE(SUBSTITUTE(SUBSTITUTE(SUBSTITUTE(E592,"TRESEMME","Tresemme"),"HEAD &amp; SHOULDERS","Head &amp; Shoulders"),"ELVIVE","Elvive"),"FRUCTIS","Fructis")))</f>
        <v/>
      </c>
      <c r="R592" s="8">
        <f>COUNTIF($D$2:$D$10000,D592)&gt;1</f>
        <v/>
      </c>
      <c r="S592" s="8">
        <f>IF(H592=TRUE,"Disponible","No disponible")</f>
        <v/>
      </c>
      <c r="T592" s="8">
        <f>IF(AND(ISNUMBER(I592),I592&gt;0),ROUND(F592/I592,2),"Sin volumen")</f>
        <v/>
      </c>
      <c r="U592" s="8">
        <f>IF(F592&lt;5000,"Bajo",IF(F592&lt;15000,"Medio","Alto"))</f>
        <v/>
      </c>
    </row>
    <row r="593">
      <c r="A593" t="inlineStr">
        <is>
          <t>Farmacity</t>
        </is>
      </c>
      <c r="B593" t="n">
        <v>250188</v>
      </c>
      <c r="C593" t="n">
        <v>250188</v>
      </c>
      <c r="D593" t="inlineStr">
        <is>
          <t>Shampoo La Puissance Nutrition x 300 ml</t>
        </is>
      </c>
      <c r="E593" t="inlineStr">
        <is>
          <t>La Puissance</t>
        </is>
      </c>
      <c r="F593" t="n">
        <v>20300</v>
      </c>
      <c r="G593" t="n">
        <v>20300</v>
      </c>
      <c r="H593" t="b">
        <v>1</v>
      </c>
      <c r="I593" t="n">
        <v>300</v>
      </c>
      <c r="J593" t="n">
        <v>67.66670000000001</v>
      </c>
      <c r="K593" t="inlineStr">
        <is>
          <t>&gt; Cuidado Capilar &gt; Shampoo Y Acondicionador &gt;</t>
        </is>
      </c>
      <c r="L593" t="inlineStr">
        <is>
          <t>shampoo</t>
        </is>
      </c>
      <c r="M593" t="inlineStr">
        <is>
          <t>estandar</t>
        </is>
      </c>
      <c r="N593" t="inlineStr">
        <is>
          <t>general</t>
        </is>
      </c>
      <c r="O593" t="inlineStr">
        <is>
          <t>https://www.farmacity.com/shampoo-la-puissance-nutrition-x-300-ml/p</t>
        </is>
      </c>
      <c r="P593">
        <f>TRIM(CLEAN(PROPER(D593)))</f>
        <v/>
      </c>
      <c r="Q593">
        <f>PROPER(TRIM(SUBSTITUTE(SUBSTITUTE(SUBSTITUTE(SUBSTITUTE(E593,"TRESEMME","Tresemme"),"HEAD &amp; SHOULDERS","Head &amp; Shoulders"),"ELVIVE","Elvive"),"FRUCTIS","Fructis")))</f>
        <v/>
      </c>
      <c r="R593">
        <f>COUNTIF($D$2:$D$10000,D593)&gt;1</f>
        <v/>
      </c>
      <c r="S593">
        <f>IF(H593=TRUE,"Disponible","No disponible")</f>
        <v/>
      </c>
      <c r="T593">
        <f>IF(AND(ISNUMBER(I593),I593&gt;0),ROUND(F593/I593,2),"Sin volumen")</f>
        <v/>
      </c>
      <c r="U593">
        <f>IF(F593&lt;5000,"Bajo",IF(F593&lt;15000,"Medio","Alto"))</f>
        <v/>
      </c>
    </row>
    <row r="594">
      <c r="A594" s="6" t="inlineStr">
        <is>
          <t>Farmacity</t>
        </is>
      </c>
      <c r="B594" s="6" t="n">
        <v>239941</v>
      </c>
      <c r="C594" s="6" t="n">
        <v>239941</v>
      </c>
      <c r="D594" s="6" t="inlineStr">
        <is>
          <t>Shampoo Pantene Keratina x 400 ml</t>
        </is>
      </c>
      <c r="E594" s="6" t="inlineStr">
        <is>
          <t>Pantene</t>
        </is>
      </c>
      <c r="F594" s="6" t="n">
        <v>9247</v>
      </c>
      <c r="G594" s="6" t="n">
        <v>9247</v>
      </c>
      <c r="H594" s="6" t="b">
        <v>1</v>
      </c>
      <c r="I594" s="6" t="n">
        <v>400</v>
      </c>
      <c r="J594" s="6" t="n">
        <v>23.1175</v>
      </c>
      <c r="K594" s="6" t="inlineStr">
        <is>
          <t>&gt; Cuidado Capilar &gt; Shampoo Y Acondicionador &gt;</t>
        </is>
      </c>
      <c r="L594" s="6" t="inlineStr">
        <is>
          <t>shampoo</t>
        </is>
      </c>
      <c r="M594" s="6" t="inlineStr">
        <is>
          <t>estandar</t>
        </is>
      </c>
      <c r="N594" s="6" t="inlineStr">
        <is>
          <t>tratado</t>
        </is>
      </c>
      <c r="O594" s="6" t="inlineStr">
        <is>
          <t>https://www.farmacity.com/shampoo-pantene-keratina-x-400-ml/p</t>
        </is>
      </c>
      <c r="P594" s="8">
        <f>TRIM(CLEAN(PROPER(D594)))</f>
        <v/>
      </c>
      <c r="Q594" s="8">
        <f>PROPER(TRIM(SUBSTITUTE(SUBSTITUTE(SUBSTITUTE(SUBSTITUTE(E594,"TRESEMME","Tresemme"),"HEAD &amp; SHOULDERS","Head &amp; Shoulders"),"ELVIVE","Elvive"),"FRUCTIS","Fructis")))</f>
        <v/>
      </c>
      <c r="R594" s="8">
        <f>COUNTIF($D$2:$D$10000,D594)&gt;1</f>
        <v/>
      </c>
      <c r="S594" s="8">
        <f>IF(H594=TRUE,"Disponible","No disponible")</f>
        <v/>
      </c>
      <c r="T594" s="8">
        <f>IF(AND(ISNUMBER(I594),I594&gt;0),ROUND(F594/I594,2),"Sin volumen")</f>
        <v/>
      </c>
      <c r="U594" s="8">
        <f>IF(F594&lt;5000,"Bajo",IF(F594&lt;15000,"Medio","Alto"))</f>
        <v/>
      </c>
    </row>
    <row r="595">
      <c r="A595" t="inlineStr">
        <is>
          <t>Farmacity</t>
        </is>
      </c>
      <c r="B595" t="n">
        <v>204408</v>
      </c>
      <c r="C595" t="n">
        <v>204408</v>
      </c>
      <c r="D595" t="inlineStr">
        <is>
          <t>Shampoo para Niños Johnson's Hidratación Intensa x 400 ml</t>
        </is>
      </c>
      <c r="E595" t="inlineStr">
        <is>
          <t>Johnson's</t>
        </is>
      </c>
      <c r="F595" t="n">
        <v>7169</v>
      </c>
      <c r="G595" t="n">
        <v>10242</v>
      </c>
      <c r="H595" t="b">
        <v>1</v>
      </c>
      <c r="I595" t="n">
        <v>400</v>
      </c>
      <c r="J595" t="n">
        <v>17.9225</v>
      </c>
      <c r="K595" t="inlineStr">
        <is>
          <t>&gt; Bebés &gt; Higiene del Bebé &gt; Baño Del Bebé &gt;</t>
        </is>
      </c>
      <c r="L595" t="inlineStr">
        <is>
          <t>shampoo</t>
        </is>
      </c>
      <c r="M595" t="inlineStr">
        <is>
          <t>estandar</t>
        </is>
      </c>
      <c r="N595" t="inlineStr">
        <is>
          <t>seco_danado</t>
        </is>
      </c>
      <c r="O595" t="inlineStr">
        <is>
          <t>https://www.farmacity.com/shampoo-johnsons-baby-hidratacion-intensa-x-400-ml/p</t>
        </is>
      </c>
      <c r="P595">
        <f>TRIM(CLEAN(PROPER(D595)))</f>
        <v/>
      </c>
      <c r="Q595">
        <f>PROPER(TRIM(SUBSTITUTE(SUBSTITUTE(SUBSTITUTE(SUBSTITUTE(E595,"TRESEMME","Tresemme"),"HEAD &amp; SHOULDERS","Head &amp; Shoulders"),"ELVIVE","Elvive"),"FRUCTIS","Fructis")))</f>
        <v/>
      </c>
      <c r="R595">
        <f>COUNTIF($D$2:$D$10000,D595)&gt;1</f>
        <v/>
      </c>
      <c r="S595">
        <f>IF(H595=TRUE,"Disponible","No disponible")</f>
        <v/>
      </c>
      <c r="T595">
        <f>IF(AND(ISNUMBER(I595),I595&gt;0),ROUND(F595/I595,2),"Sin volumen")</f>
        <v/>
      </c>
      <c r="U595">
        <f>IF(F595&lt;5000,"Bajo",IF(F595&lt;15000,"Medio","Alto"))</f>
        <v/>
      </c>
    </row>
    <row r="596">
      <c r="A596" s="6" t="inlineStr">
        <is>
          <t>Farmacity</t>
        </is>
      </c>
      <c r="B596" s="6" t="n">
        <v>246643</v>
      </c>
      <c r="C596" s="6" t="n">
        <v>246643</v>
      </c>
      <c r="D596" s="6" t="inlineStr">
        <is>
          <t>Shampoo Herbal Essences Rosa Mosqueta x 240 ml</t>
        </is>
      </c>
      <c r="E596" s="6" t="inlineStr">
        <is>
          <t>Herbal Essences</t>
        </is>
      </c>
      <c r="F596" s="6" t="n">
        <v>8262</v>
      </c>
      <c r="G596" s="6" t="n">
        <v>12711</v>
      </c>
      <c r="H596" s="6" t="b">
        <v>1</v>
      </c>
      <c r="I596" s="6" t="n">
        <v>240</v>
      </c>
      <c r="J596" s="6" t="n">
        <v>34.425</v>
      </c>
      <c r="K596" s="6" t="inlineStr">
        <is>
          <t>&gt; Cuidado Capilar &gt; Shampoo Y Acondicionador &gt;</t>
        </is>
      </c>
      <c r="L596" s="6" t="inlineStr">
        <is>
          <t>shampoo</t>
        </is>
      </c>
      <c r="M596" s="6" t="inlineStr">
        <is>
          <t>estandar</t>
        </is>
      </c>
      <c r="N596" s="6" t="inlineStr">
        <is>
          <t>general</t>
        </is>
      </c>
      <c r="O596" s="6" t="inlineStr">
        <is>
          <t>https://www.farmacity.com/shampoo-herbal-essences-rosa-mosqueta-x-240-ml/p</t>
        </is>
      </c>
      <c r="P596" s="8">
        <f>TRIM(CLEAN(PROPER(D596)))</f>
        <v/>
      </c>
      <c r="Q596" s="8">
        <f>PROPER(TRIM(SUBSTITUTE(SUBSTITUTE(SUBSTITUTE(SUBSTITUTE(E596,"TRESEMME","Tresemme"),"HEAD &amp; SHOULDERS","Head &amp; Shoulders"),"ELVIVE","Elvive"),"FRUCTIS","Fructis")))</f>
        <v/>
      </c>
      <c r="R596" s="8">
        <f>COUNTIF($D$2:$D$10000,D596)&gt;1</f>
        <v/>
      </c>
      <c r="S596" s="8">
        <f>IF(H596=TRUE,"Disponible","No disponible")</f>
        <v/>
      </c>
      <c r="T596" s="8">
        <f>IF(AND(ISNUMBER(I596),I596&gt;0),ROUND(F596/I596,2),"Sin volumen")</f>
        <v/>
      </c>
      <c r="U596" s="8">
        <f>IF(F596&lt;5000,"Bajo",IF(F596&lt;15000,"Medio","Alto"))</f>
        <v/>
      </c>
    </row>
    <row r="597">
      <c r="A597" t="inlineStr">
        <is>
          <t>Farmacity</t>
        </is>
      </c>
      <c r="B597" t="n">
        <v>7844</v>
      </c>
      <c r="C597" t="n">
        <v>152461</v>
      </c>
      <c r="D597" t="inlineStr">
        <is>
          <t>Shampoo para Niños Johnson's Gotas de Brillo x 200 ml</t>
        </is>
      </c>
      <c r="E597" t="inlineStr">
        <is>
          <t>Johnson's</t>
        </is>
      </c>
      <c r="F597" t="n">
        <v>4619</v>
      </c>
      <c r="G597" t="n">
        <v>6599</v>
      </c>
      <c r="H597" t="b">
        <v>1</v>
      </c>
      <c r="I597" t="n">
        <v>200</v>
      </c>
      <c r="J597" t="n">
        <v>23.095</v>
      </c>
      <c r="K597" t="inlineStr">
        <is>
          <t>&gt; Bebés &gt; Higiene del Bebé &gt; Baño Del Bebé &gt;</t>
        </is>
      </c>
      <c r="L597" t="inlineStr">
        <is>
          <t>shampoo</t>
        </is>
      </c>
      <c r="M597" t="inlineStr">
        <is>
          <t>estandar</t>
        </is>
      </c>
      <c r="N597" t="inlineStr">
        <is>
          <t>bebe</t>
        </is>
      </c>
      <c r="O597" t="inlineStr">
        <is>
          <t>https://www.farmacity.com/shampoo-gotas-de-brillo-x-200-ml/p</t>
        </is>
      </c>
      <c r="P597">
        <f>TRIM(CLEAN(PROPER(D597)))</f>
        <v/>
      </c>
      <c r="Q597">
        <f>PROPER(TRIM(SUBSTITUTE(SUBSTITUTE(SUBSTITUTE(SUBSTITUTE(E597,"TRESEMME","Tresemme"),"HEAD &amp; SHOULDERS","Head &amp; Shoulders"),"ELVIVE","Elvive"),"FRUCTIS","Fructis")))</f>
        <v/>
      </c>
      <c r="R597">
        <f>COUNTIF($D$2:$D$10000,D597)&gt;1</f>
        <v/>
      </c>
      <c r="S597">
        <f>IF(H597=TRUE,"Disponible","No disponible")</f>
        <v/>
      </c>
      <c r="T597">
        <f>IF(AND(ISNUMBER(I597),I597&gt;0),ROUND(F597/I597,2),"Sin volumen")</f>
        <v/>
      </c>
      <c r="U597">
        <f>IF(F597&lt;5000,"Bajo",IF(F597&lt;15000,"Medio","Alto"))</f>
        <v/>
      </c>
    </row>
    <row r="598">
      <c r="A598" s="6" t="inlineStr">
        <is>
          <t>Farmacity</t>
        </is>
      </c>
      <c r="B598" s="6" t="n">
        <v>7826</v>
      </c>
      <c r="C598" s="6" t="n">
        <v>152462</v>
      </c>
      <c r="D598" s="6" t="inlineStr">
        <is>
          <t>Shampoo para Niños Johnson's Gotas de Brillo x 400 ml</t>
        </is>
      </c>
      <c r="E598" s="6" t="inlineStr">
        <is>
          <t>Johnson's</t>
        </is>
      </c>
      <c r="F598" s="6" t="n">
        <v>7169</v>
      </c>
      <c r="G598" s="6" t="n">
        <v>10242</v>
      </c>
      <c r="H598" s="6" t="b">
        <v>1</v>
      </c>
      <c r="I598" s="6" t="n">
        <v>400</v>
      </c>
      <c r="J598" s="6" t="n">
        <v>17.9225</v>
      </c>
      <c r="K598" s="6" t="inlineStr">
        <is>
          <t>&gt; Bebés &gt; Higiene del Bebé &gt; Baño Del Bebé &gt;</t>
        </is>
      </c>
      <c r="L598" s="6" t="inlineStr">
        <is>
          <t>shampoo</t>
        </is>
      </c>
      <c r="M598" s="6" t="inlineStr">
        <is>
          <t>estandar</t>
        </is>
      </c>
      <c r="N598" s="6" t="inlineStr">
        <is>
          <t>bebe</t>
        </is>
      </c>
      <c r="O598" s="6" t="inlineStr">
        <is>
          <t>https://www.farmacity.com/shampoo-gotas-de-brillo-x-400-ml/p</t>
        </is>
      </c>
      <c r="P598" s="8">
        <f>TRIM(CLEAN(PROPER(D598)))</f>
        <v/>
      </c>
      <c r="Q598" s="8">
        <f>PROPER(TRIM(SUBSTITUTE(SUBSTITUTE(SUBSTITUTE(SUBSTITUTE(E598,"TRESEMME","Tresemme"),"HEAD &amp; SHOULDERS","Head &amp; Shoulders"),"ELVIVE","Elvive"),"FRUCTIS","Fructis")))</f>
        <v/>
      </c>
      <c r="R598" s="8">
        <f>COUNTIF($D$2:$D$10000,D598)&gt;1</f>
        <v/>
      </c>
      <c r="S598" s="8">
        <f>IF(H598=TRUE,"Disponible","No disponible")</f>
        <v/>
      </c>
      <c r="T598" s="8">
        <f>IF(AND(ISNUMBER(I598),I598&gt;0),ROUND(F598/I598,2),"Sin volumen")</f>
        <v/>
      </c>
      <c r="U598" s="8">
        <f>IF(F598&lt;5000,"Bajo",IF(F598&lt;15000,"Medio","Alto"))</f>
        <v/>
      </c>
    </row>
    <row r="599">
      <c r="A599" t="inlineStr">
        <is>
          <t>Farmacity</t>
        </is>
      </c>
      <c r="B599" t="n">
        <v>560</v>
      </c>
      <c r="C599" t="n">
        <v>45401</v>
      </c>
      <c r="D599" t="inlineStr">
        <is>
          <t>Shampoo para Bebé Johnson's Original x 400 ml</t>
        </is>
      </c>
      <c r="E599" t="inlineStr">
        <is>
          <t>Johnson's</t>
        </is>
      </c>
      <c r="F599" t="n">
        <v>8331</v>
      </c>
      <c r="G599" t="n">
        <v>11902</v>
      </c>
      <c r="H599" t="b">
        <v>1</v>
      </c>
      <c r="I599" t="n">
        <v>400</v>
      </c>
      <c r="J599" t="n">
        <v>20.8275</v>
      </c>
      <c r="K599" t="inlineStr">
        <is>
          <t>&gt; Bebés &gt; Higiene del Bebé &gt; Baño Del Bebé &gt;</t>
        </is>
      </c>
      <c r="L599" t="inlineStr">
        <is>
          <t>shampoo</t>
        </is>
      </c>
      <c r="M599" t="inlineStr">
        <is>
          <t>estandar</t>
        </is>
      </c>
      <c r="N599" t="inlineStr">
        <is>
          <t>bebe</t>
        </is>
      </c>
      <c r="O599" t="inlineStr">
        <is>
          <t>https://www.farmacity.com/shampoo-con-ph-balanceado-suave-para-ojos-y-cabello-x-400-ml/p</t>
        </is>
      </c>
      <c r="P599">
        <f>TRIM(CLEAN(PROPER(D599)))</f>
        <v/>
      </c>
      <c r="Q599">
        <f>PROPER(TRIM(SUBSTITUTE(SUBSTITUTE(SUBSTITUTE(SUBSTITUTE(E599,"TRESEMME","Tresemme"),"HEAD &amp; SHOULDERS","Head &amp; Shoulders"),"ELVIVE","Elvive"),"FRUCTIS","Fructis")))</f>
        <v/>
      </c>
      <c r="R599">
        <f>COUNTIF($D$2:$D$10000,D599)&gt;1</f>
        <v/>
      </c>
      <c r="S599">
        <f>IF(H599=TRUE,"Disponible","No disponible")</f>
        <v/>
      </c>
      <c r="T599">
        <f>IF(AND(ISNUMBER(I599),I599&gt;0),ROUND(F599/I599,2),"Sin volumen")</f>
        <v/>
      </c>
      <c r="U599">
        <f>IF(F599&lt;5000,"Bajo",IF(F599&lt;15000,"Medio","Alto"))</f>
        <v/>
      </c>
    </row>
    <row r="600">
      <c r="A600" s="6" t="inlineStr">
        <is>
          <t>Farmacity</t>
        </is>
      </c>
      <c r="B600" s="6" t="n">
        <v>241</v>
      </c>
      <c r="C600" s="6" t="n">
        <v>12715</v>
      </c>
      <c r="D600" s="6" t="inlineStr">
        <is>
          <t>Shampoo para Bebé Johnson's Original x 200 ml</t>
        </is>
      </c>
      <c r="E600" s="6" t="inlineStr">
        <is>
          <t>Johnson's</t>
        </is>
      </c>
      <c r="F600" s="6" t="n">
        <v>5018</v>
      </c>
      <c r="G600" s="6" t="n">
        <v>7168</v>
      </c>
      <c r="H600" s="6" t="b">
        <v>1</v>
      </c>
      <c r="I600" s="6" t="n">
        <v>200</v>
      </c>
      <c r="J600" s="6" t="n">
        <v>25.09</v>
      </c>
      <c r="K600" s="6" t="inlineStr">
        <is>
          <t>&gt; Bebés &gt; Higiene del Bebé &gt; Baño Del Bebé &gt;</t>
        </is>
      </c>
      <c r="L600" s="6" t="inlineStr">
        <is>
          <t>shampoo</t>
        </is>
      </c>
      <c r="M600" s="6" t="inlineStr">
        <is>
          <t>estandar</t>
        </is>
      </c>
      <c r="N600" s="6" t="inlineStr">
        <is>
          <t>bebe</t>
        </is>
      </c>
      <c r="O600" s="6" t="inlineStr">
        <is>
          <t>https://www.farmacity.com/shampoo-con-ph-balanceado-suave-para-ojos-y-cabello-x-200-ml/p</t>
        </is>
      </c>
      <c r="P600" s="8">
        <f>TRIM(CLEAN(PROPER(D600)))</f>
        <v/>
      </c>
      <c r="Q600" s="8">
        <f>PROPER(TRIM(SUBSTITUTE(SUBSTITUTE(SUBSTITUTE(SUBSTITUTE(E600,"TRESEMME","Tresemme"),"HEAD &amp; SHOULDERS","Head &amp; Shoulders"),"ELVIVE","Elvive"),"FRUCTIS","Fructis")))</f>
        <v/>
      </c>
      <c r="R600" s="8">
        <f>COUNTIF($D$2:$D$10000,D600)&gt;1</f>
        <v/>
      </c>
      <c r="S600" s="8">
        <f>IF(H600=TRUE,"Disponible","No disponible")</f>
        <v/>
      </c>
      <c r="T600" s="8">
        <f>IF(AND(ISNUMBER(I600),I600&gt;0),ROUND(F600/I600,2),"Sin volumen")</f>
        <v/>
      </c>
      <c r="U600" s="8">
        <f>IF(F600&lt;5000,"Bajo",IF(F600&lt;15000,"Medio","Alto"))</f>
        <v/>
      </c>
    </row>
    <row r="601">
      <c r="A601" t="inlineStr">
        <is>
          <t>Farmacity</t>
        </is>
      </c>
      <c r="B601" t="n">
        <v>223269</v>
      </c>
      <c r="C601" t="n">
        <v>223269</v>
      </c>
      <c r="D601" t="inlineStr">
        <is>
          <t>Shampoo para Niños Johnson’s Baby Rulos de Ensueños x 200 ml</t>
        </is>
      </c>
      <c r="E601" t="inlineStr">
        <is>
          <t>Johnson's</t>
        </is>
      </c>
      <c r="F601" t="n">
        <v>4540</v>
      </c>
      <c r="G601" t="n">
        <v>6486</v>
      </c>
      <c r="H601" t="b">
        <v>1</v>
      </c>
      <c r="I601" t="n">
        <v>200</v>
      </c>
      <c r="J601" t="n">
        <v>22.7</v>
      </c>
      <c r="K601" t="inlineStr">
        <is>
          <t>&gt; Bebés &gt; Higiene del Bebé &gt; Baño Del Bebé &gt;</t>
        </is>
      </c>
      <c r="L601" t="inlineStr">
        <is>
          <t>shampoo</t>
        </is>
      </c>
      <c r="M601" t="inlineStr">
        <is>
          <t>estandar</t>
        </is>
      </c>
      <c r="N601" t="inlineStr">
        <is>
          <t>rizado</t>
        </is>
      </c>
      <c r="O601" t="inlineStr">
        <is>
          <t>https://www.farmacity.com/shampoo-johnsons-baby-rulos-de-ensuenos-x-200-ml/p</t>
        </is>
      </c>
      <c r="P601">
        <f>TRIM(CLEAN(PROPER(D601)))</f>
        <v/>
      </c>
      <c r="Q601">
        <f>PROPER(TRIM(SUBSTITUTE(SUBSTITUTE(SUBSTITUTE(SUBSTITUTE(E601,"TRESEMME","Tresemme"),"HEAD &amp; SHOULDERS","Head &amp; Shoulders"),"ELVIVE","Elvive"),"FRUCTIS","Fructis")))</f>
        <v/>
      </c>
      <c r="R601">
        <f>COUNTIF($D$2:$D$10000,D601)&gt;1</f>
        <v/>
      </c>
      <c r="S601">
        <f>IF(H601=TRUE,"Disponible","No disponible")</f>
        <v/>
      </c>
      <c r="T601">
        <f>IF(AND(ISNUMBER(I601),I601&gt;0),ROUND(F601/I601,2),"Sin volumen")</f>
        <v/>
      </c>
      <c r="U601">
        <f>IF(F601&lt;5000,"Bajo",IF(F601&lt;15000,"Medio","Alto"))</f>
        <v/>
      </c>
    </row>
    <row r="602">
      <c r="A602" s="6" t="inlineStr">
        <is>
          <t>Farmacity</t>
        </is>
      </c>
      <c r="B602" s="6" t="n">
        <v>237262</v>
      </c>
      <c r="C602" s="6" t="n">
        <v>237262</v>
      </c>
      <c r="D602" s="6" t="inlineStr">
        <is>
          <t>Shampoo Capilatis Plex Reparación Absoluta x 350 ml</t>
        </is>
      </c>
      <c r="E602" s="6" t="inlineStr">
        <is>
          <t>Capilatis</t>
        </is>
      </c>
      <c r="F602" s="6" t="n">
        <v>13000</v>
      </c>
      <c r="G602" s="6" t="n">
        <v>13000</v>
      </c>
      <c r="H602" s="6" t="b">
        <v>1</v>
      </c>
      <c r="I602" s="6" t="n">
        <v>350</v>
      </c>
      <c r="J602" s="6" t="n">
        <v>37.1429</v>
      </c>
      <c r="K602" s="6" t="inlineStr">
        <is>
          <t>&gt; Cuidado Capilar &gt; Shampoo Y Acondicionador &gt;</t>
        </is>
      </c>
      <c r="L602" s="6" t="inlineStr">
        <is>
          <t>shampoo</t>
        </is>
      </c>
      <c r="M602" s="6" t="inlineStr">
        <is>
          <t>estandar</t>
        </is>
      </c>
      <c r="N602" s="6" t="inlineStr">
        <is>
          <t>general</t>
        </is>
      </c>
      <c r="O602" s="6" t="inlineStr">
        <is>
          <t>https://www.farmacity.com/shampoo-capilatis-plex-reparacion-absoluta-x-350-ml/p</t>
        </is>
      </c>
      <c r="P602" s="8">
        <f>TRIM(CLEAN(PROPER(D602)))</f>
        <v/>
      </c>
      <c r="Q602" s="8">
        <f>PROPER(TRIM(SUBSTITUTE(SUBSTITUTE(SUBSTITUTE(SUBSTITUTE(E602,"TRESEMME","Tresemme"),"HEAD &amp; SHOULDERS","Head &amp; Shoulders"),"ELVIVE","Elvive"),"FRUCTIS","Fructis")))</f>
        <v/>
      </c>
      <c r="R602" s="8">
        <f>COUNTIF($D$2:$D$10000,D602)&gt;1</f>
        <v/>
      </c>
      <c r="S602" s="8">
        <f>IF(H602=TRUE,"Disponible","No disponible")</f>
        <v/>
      </c>
      <c r="T602" s="8">
        <f>IF(AND(ISNUMBER(I602),I602&gt;0),ROUND(F602/I602,2),"Sin volumen")</f>
        <v/>
      </c>
      <c r="U602" s="8">
        <f>IF(F602&lt;5000,"Bajo",IF(F602&lt;15000,"Medio","Alto"))</f>
        <v/>
      </c>
    </row>
    <row r="603">
      <c r="A603" t="inlineStr">
        <is>
          <t>Farmacity</t>
        </is>
      </c>
      <c r="B603" t="n">
        <v>229631</v>
      </c>
      <c r="C603" t="n">
        <v>229631</v>
      </c>
      <c r="D603" t="inlineStr">
        <is>
          <t>Acondiconador Dove Real Fuerza + Bambú x 300 ml</t>
        </is>
      </c>
      <c r="E603" t="inlineStr">
        <is>
          <t>Dove</t>
        </is>
      </c>
      <c r="F603" t="n">
        <v>3437</v>
      </c>
      <c r="G603" t="n">
        <v>6874</v>
      </c>
      <c r="H603" t="b">
        <v>1</v>
      </c>
      <c r="I603" t="n">
        <v>300</v>
      </c>
      <c r="J603" t="n">
        <v>11.4567</v>
      </c>
      <c r="K603" t="inlineStr">
        <is>
          <t>&gt; Cuidado Capilar &gt; Shampoo Y Acondicionador &gt;</t>
        </is>
      </c>
      <c r="L603" t="inlineStr">
        <is>
          <t>shampoo</t>
        </is>
      </c>
      <c r="M603" t="inlineStr">
        <is>
          <t>estandar</t>
        </is>
      </c>
      <c r="N603" t="inlineStr">
        <is>
          <t>general</t>
        </is>
      </c>
      <c r="O603" t="inlineStr">
        <is>
          <t>https://www.farmacity.com/acondiconador-dove-poder-de-las-plantas-fuerza-bambu-6-un-x-300-ml/p</t>
        </is>
      </c>
      <c r="P603">
        <f>TRIM(CLEAN(PROPER(D603)))</f>
        <v/>
      </c>
      <c r="Q603">
        <f>PROPER(TRIM(SUBSTITUTE(SUBSTITUTE(SUBSTITUTE(SUBSTITUTE(E603,"TRESEMME","Tresemme"),"HEAD &amp; SHOULDERS","Head &amp; Shoulders"),"ELVIVE","Elvive"),"FRUCTIS","Fructis")))</f>
        <v/>
      </c>
      <c r="R603">
        <f>COUNTIF($D$2:$D$10000,D603)&gt;1</f>
        <v/>
      </c>
      <c r="S603">
        <f>IF(H603=TRUE,"Disponible","No disponible")</f>
        <v/>
      </c>
      <c r="T603">
        <f>IF(AND(ISNUMBER(I603),I603&gt;0),ROUND(F603/I603,2),"Sin volumen")</f>
        <v/>
      </c>
      <c r="U603">
        <f>IF(F603&lt;5000,"Bajo",IF(F603&lt;15000,"Medio","Alto"))</f>
        <v/>
      </c>
    </row>
    <row r="604">
      <c r="A604" s="6" t="inlineStr">
        <is>
          <t>Farmacity</t>
        </is>
      </c>
      <c r="B604" s="6" t="n">
        <v>228960</v>
      </c>
      <c r="C604" s="6" t="n">
        <v>228960</v>
      </c>
      <c r="D604" s="6" t="inlineStr">
        <is>
          <t>Shampoo Solido Ruh Natural Yellow Submarine x 65 g</t>
        </is>
      </c>
      <c r="E604" s="6" t="inlineStr">
        <is>
          <t>Ruh Natural</t>
        </is>
      </c>
      <c r="F604" s="6" t="n">
        <v>13508</v>
      </c>
      <c r="G604" s="6" t="n">
        <v>13508</v>
      </c>
      <c r="H604" s="6" t="b">
        <v>1</v>
      </c>
      <c r="I604" s="6" t="n">
        <v>65</v>
      </c>
      <c r="J604" s="6" t="n">
        <v>207.8154</v>
      </c>
      <c r="K604" s="6" t="inlineStr">
        <is>
          <t>&gt; Cuidado Capilar &gt; Shampoo Y Acondicionador &gt;</t>
        </is>
      </c>
      <c r="L604" s="6" t="inlineStr">
        <is>
          <t>shampoo</t>
        </is>
      </c>
      <c r="M604" s="6" t="inlineStr">
        <is>
          <t>estandar</t>
        </is>
      </c>
      <c r="N604" s="6" t="inlineStr">
        <is>
          <t>general</t>
        </is>
      </c>
      <c r="O604" s="6" t="inlineStr">
        <is>
          <t>https://www.farmacity.com/shampoo-solido-ruh-yellow-submarine-cabello-danado-x-65-g/p</t>
        </is>
      </c>
      <c r="P604" s="8">
        <f>TRIM(CLEAN(PROPER(D604)))</f>
        <v/>
      </c>
      <c r="Q604" s="8">
        <f>PROPER(TRIM(SUBSTITUTE(SUBSTITUTE(SUBSTITUTE(SUBSTITUTE(E604,"TRESEMME","Tresemme"),"HEAD &amp; SHOULDERS","Head &amp; Shoulders"),"ELVIVE","Elvive"),"FRUCTIS","Fructis")))</f>
        <v/>
      </c>
      <c r="R604" s="8">
        <f>COUNTIF($D$2:$D$10000,D604)&gt;1</f>
        <v/>
      </c>
      <c r="S604" s="8">
        <f>IF(H604=TRUE,"Disponible","No disponible")</f>
        <v/>
      </c>
      <c r="T604" s="8">
        <f>IF(AND(ISNUMBER(I604),I604&gt;0),ROUND(F604/I604,2),"Sin volumen")</f>
        <v/>
      </c>
      <c r="U604" s="8">
        <f>IF(F604&lt;5000,"Bajo",IF(F604&lt;15000,"Medio","Alto"))</f>
        <v/>
      </c>
    </row>
    <row r="605">
      <c r="A605" t="inlineStr">
        <is>
          <t>Farmacity</t>
        </is>
      </c>
      <c r="B605" t="n">
        <v>4486</v>
      </c>
      <c r="C605" t="n">
        <v>139286</v>
      </c>
      <c r="D605" t="inlineStr">
        <is>
          <t>Shampoo para Bebé Johnson's Cabello Claro x 200 ml</t>
        </is>
      </c>
      <c r="E605" t="inlineStr">
        <is>
          <t>Johnson's</t>
        </is>
      </c>
      <c r="F605" t="n">
        <v>5018</v>
      </c>
      <c r="G605" t="n">
        <v>7169</v>
      </c>
      <c r="H605" t="b">
        <v>1</v>
      </c>
      <c r="I605" t="n">
        <v>200</v>
      </c>
      <c r="J605" t="n">
        <v>25.09</v>
      </c>
      <c r="K605" t="inlineStr">
        <is>
          <t>&gt; Bebés &gt; Higiene del Bebé &gt; Baño Del Bebé &gt;</t>
        </is>
      </c>
      <c r="L605" t="inlineStr">
        <is>
          <t>shampoo</t>
        </is>
      </c>
      <c r="M605" t="inlineStr">
        <is>
          <t>estandar</t>
        </is>
      </c>
      <c r="N605" t="inlineStr">
        <is>
          <t>bebe</t>
        </is>
      </c>
      <c r="O605" t="inlineStr">
        <is>
          <t>https://www.farmacity.com/shampoo-con-manzanilla-cabello-claro-x-200-ml/p</t>
        </is>
      </c>
      <c r="P605">
        <f>TRIM(CLEAN(PROPER(D605)))</f>
        <v/>
      </c>
      <c r="Q605">
        <f>PROPER(TRIM(SUBSTITUTE(SUBSTITUTE(SUBSTITUTE(SUBSTITUTE(E605,"TRESEMME","Tresemme"),"HEAD &amp; SHOULDERS","Head &amp; Shoulders"),"ELVIVE","Elvive"),"FRUCTIS","Fructis")))</f>
        <v/>
      </c>
      <c r="R605">
        <f>COUNTIF($D$2:$D$10000,D605)&gt;1</f>
        <v/>
      </c>
      <c r="S605">
        <f>IF(H605=TRUE,"Disponible","No disponible")</f>
        <v/>
      </c>
      <c r="T605">
        <f>IF(AND(ISNUMBER(I605),I605&gt;0),ROUND(F605/I605,2),"Sin volumen")</f>
        <v/>
      </c>
      <c r="U605">
        <f>IF(F605&lt;5000,"Bajo",IF(F605&lt;15000,"Medio","Alto"))</f>
        <v/>
      </c>
    </row>
    <row r="606">
      <c r="A606" s="6" t="inlineStr">
        <is>
          <t>Farmacity</t>
        </is>
      </c>
      <c r="B606" s="6" t="n">
        <v>249574</v>
      </c>
      <c r="C606" s="6" t="n">
        <v>249574</v>
      </c>
      <c r="D606" s="6" t="inlineStr">
        <is>
          <t>Shampoo Head &amp; Shoulders Romero Anti Caida x 375 ml</t>
        </is>
      </c>
      <c r="E606" s="6" t="inlineStr">
        <is>
          <t>Head and Shoulders</t>
        </is>
      </c>
      <c r="F606" s="6" t="n">
        <v>7895</v>
      </c>
      <c r="G606" s="6" t="n">
        <v>12146</v>
      </c>
      <c r="H606" s="6" t="b">
        <v>1</v>
      </c>
      <c r="I606" s="6" t="n">
        <v>375</v>
      </c>
      <c r="J606" s="6" t="n">
        <v>21.0533</v>
      </c>
      <c r="K606" s="6" t="inlineStr">
        <is>
          <t>&gt; Cuidado Capilar &gt; Shampoo Y Acondicionador &gt;</t>
        </is>
      </c>
      <c r="L606" s="6" t="inlineStr">
        <is>
          <t>shampoo</t>
        </is>
      </c>
      <c r="M606" s="6" t="inlineStr">
        <is>
          <t>estandar</t>
        </is>
      </c>
      <c r="N606" s="6" t="inlineStr">
        <is>
          <t>general</t>
        </is>
      </c>
      <c r="O606" s="6" t="inlineStr">
        <is>
          <t>https://www.farmacity.com/shampoo-head---shoulders-romero-anti-caida-x-375-ml/p</t>
        </is>
      </c>
      <c r="P606" s="8">
        <f>TRIM(CLEAN(PROPER(D606)))</f>
        <v/>
      </c>
      <c r="Q606" s="8">
        <f>PROPER(TRIM(SUBSTITUTE(SUBSTITUTE(SUBSTITUTE(SUBSTITUTE(E606,"TRESEMME","Tresemme"),"HEAD &amp; SHOULDERS","Head &amp; Shoulders"),"ELVIVE","Elvive"),"FRUCTIS","Fructis")))</f>
        <v/>
      </c>
      <c r="R606" s="8">
        <f>COUNTIF($D$2:$D$10000,D606)&gt;1</f>
        <v/>
      </c>
      <c r="S606" s="8">
        <f>IF(H606=TRUE,"Disponible","No disponible")</f>
        <v/>
      </c>
      <c r="T606" s="8">
        <f>IF(AND(ISNUMBER(I606),I606&gt;0),ROUND(F606/I606,2),"Sin volumen")</f>
        <v/>
      </c>
      <c r="U606" s="8">
        <f>IF(F606&lt;5000,"Bajo",IF(F606&lt;15000,"Medio","Alto"))</f>
        <v/>
      </c>
    </row>
    <row r="607">
      <c r="A607" t="inlineStr">
        <is>
          <t>Farmacity</t>
        </is>
      </c>
      <c r="B607" t="n">
        <v>245508</v>
      </c>
      <c r="C607" t="n">
        <v>245508</v>
      </c>
      <c r="D607" t="inlineStr">
        <is>
          <t>Shampoo Tio Nacho Control Caspa 2 en 1 x 415 ml</t>
        </is>
      </c>
      <c r="E607" t="inlineStr">
        <is>
          <t>Tío Nacho</t>
        </is>
      </c>
      <c r="F607" t="n">
        <v>11750</v>
      </c>
      <c r="G607" t="n">
        <v>11750</v>
      </c>
      <c r="H607" t="b">
        <v>1</v>
      </c>
      <c r="I607" t="n">
        <v>415</v>
      </c>
      <c r="J607" t="n">
        <v>28.3133</v>
      </c>
      <c r="K607" t="inlineStr">
        <is>
          <t>&gt; Cuidado Capilar &gt; Shampoo Y Acondicionador &gt;</t>
        </is>
      </c>
      <c r="L607" t="inlineStr">
        <is>
          <t>shampoo</t>
        </is>
      </c>
      <c r="M607" t="inlineStr">
        <is>
          <t>estandar</t>
        </is>
      </c>
      <c r="N607" t="inlineStr">
        <is>
          <t>anticaspa</t>
        </is>
      </c>
      <c r="O607" t="inlineStr">
        <is>
          <t>https://www.farmacity.com/shampoo-tio-nacho-control-caspa-2-en-1-x-415-ml/p</t>
        </is>
      </c>
      <c r="P607">
        <f>TRIM(CLEAN(PROPER(D607)))</f>
        <v/>
      </c>
      <c r="Q607">
        <f>PROPER(TRIM(SUBSTITUTE(SUBSTITUTE(SUBSTITUTE(SUBSTITUTE(E607,"TRESEMME","Tresemme"),"HEAD &amp; SHOULDERS","Head &amp; Shoulders"),"ELVIVE","Elvive"),"FRUCTIS","Fructis")))</f>
        <v/>
      </c>
      <c r="R607">
        <f>COUNTIF($D$2:$D$10000,D607)&gt;1</f>
        <v/>
      </c>
      <c r="S607">
        <f>IF(H607=TRUE,"Disponible","No disponible")</f>
        <v/>
      </c>
      <c r="T607">
        <f>IF(AND(ISNUMBER(I607),I607&gt;0),ROUND(F607/I607,2),"Sin volumen")</f>
        <v/>
      </c>
      <c r="U607">
        <f>IF(F607&lt;5000,"Bajo",IF(F607&lt;15000,"Medio","Alto"))</f>
        <v/>
      </c>
    </row>
    <row r="608">
      <c r="A608" s="6" t="inlineStr">
        <is>
          <t>Farmacity</t>
        </is>
      </c>
      <c r="B608" s="6" t="n">
        <v>221685</v>
      </c>
      <c r="C608" s="6" t="n">
        <v>221685</v>
      </c>
      <c r="D608" s="6" t="inlineStr">
        <is>
          <t>Mascarilla Elvive Hidra Hialuronico x 300 g</t>
        </is>
      </c>
      <c r="E608" s="6" t="inlineStr">
        <is>
          <t>Elvive</t>
        </is>
      </c>
      <c r="F608" s="6" t="n">
        <v>11190</v>
      </c>
      <c r="G608" s="6" t="n">
        <v>11190</v>
      </c>
      <c r="H608" s="6" t="b">
        <v>1</v>
      </c>
      <c r="I608" s="6" t="n">
        <v>300</v>
      </c>
      <c r="J608" s="6" t="n">
        <v>37.3</v>
      </c>
      <c r="K608" s="6" t="inlineStr">
        <is>
          <t>&gt; Cuidado Capilar &gt; Reparación Y Tratamiento &gt;</t>
        </is>
      </c>
      <c r="L608" s="6" t="inlineStr">
        <is>
          <t>tratamiento</t>
        </is>
      </c>
      <c r="M608" s="6" t="inlineStr">
        <is>
          <t>profesional</t>
        </is>
      </c>
      <c r="N608" s="6" t="inlineStr">
        <is>
          <t>general</t>
        </is>
      </c>
      <c r="O608" s="6" t="inlineStr">
        <is>
          <t>https://www.farmacity.com/tratamiento-capilar-elvive-hidra-hialuronico-x-300-ml/p</t>
        </is>
      </c>
      <c r="P608" s="8">
        <f>TRIM(CLEAN(PROPER(D608)))</f>
        <v/>
      </c>
      <c r="Q608" s="8">
        <f>PROPER(TRIM(SUBSTITUTE(SUBSTITUTE(SUBSTITUTE(SUBSTITUTE(E608,"TRESEMME","Tresemme"),"HEAD &amp; SHOULDERS","Head &amp; Shoulders"),"ELVIVE","Elvive"),"FRUCTIS","Fructis")))</f>
        <v/>
      </c>
      <c r="R608" s="8">
        <f>COUNTIF($D$2:$D$10000,D608)&gt;1</f>
        <v/>
      </c>
      <c r="S608" s="8">
        <f>IF(H608=TRUE,"Disponible","No disponible")</f>
        <v/>
      </c>
      <c r="T608" s="8">
        <f>IF(AND(ISNUMBER(I608),I608&gt;0),ROUND(F608/I608,2),"Sin volumen")</f>
        <v/>
      </c>
      <c r="U608" s="8">
        <f>IF(F608&lt;5000,"Bajo",IF(F608&lt;15000,"Medio","Alto"))</f>
        <v/>
      </c>
    </row>
    <row r="609">
      <c r="A609" t="inlineStr">
        <is>
          <t>Farmacity</t>
        </is>
      </c>
      <c r="B609" t="n">
        <v>6111</v>
      </c>
      <c r="C609" t="n">
        <v>147253</v>
      </c>
      <c r="D609" t="inlineStr">
        <is>
          <t>Shampoo Elvive Óleo Extraordinario Nutrición x 400 ml</t>
        </is>
      </c>
      <c r="E609" t="inlineStr">
        <is>
          <t>Elvive</t>
        </is>
      </c>
      <c r="F609" t="n">
        <v>6714</v>
      </c>
      <c r="G609" t="n">
        <v>11190</v>
      </c>
      <c r="H609" t="b">
        <v>1</v>
      </c>
      <c r="I609" t="n">
        <v>400</v>
      </c>
      <c r="J609" t="n">
        <v>16.785</v>
      </c>
      <c r="K609" t="inlineStr">
        <is>
          <t>&gt; Cuidado Capilar &gt; Shampoo Y Acondicionador &gt;</t>
        </is>
      </c>
      <c r="L609" t="inlineStr">
        <is>
          <t>shampoo</t>
        </is>
      </c>
      <c r="M609" t="inlineStr">
        <is>
          <t>profesional</t>
        </is>
      </c>
      <c r="N609" t="inlineStr">
        <is>
          <t>general</t>
        </is>
      </c>
      <c r="O609" t="inlineStr">
        <is>
          <t>https://www.farmacity.com/shampoo-oleo-extraordinario-nutricion-universal-x-400-ml/p</t>
        </is>
      </c>
      <c r="P609">
        <f>TRIM(CLEAN(PROPER(D609)))</f>
        <v/>
      </c>
      <c r="Q609">
        <f>PROPER(TRIM(SUBSTITUTE(SUBSTITUTE(SUBSTITUTE(SUBSTITUTE(E609,"TRESEMME","Tresemme"),"HEAD &amp; SHOULDERS","Head &amp; Shoulders"),"ELVIVE","Elvive"),"FRUCTIS","Fructis")))</f>
        <v/>
      </c>
      <c r="R609">
        <f>COUNTIF($D$2:$D$10000,D609)&gt;1</f>
        <v/>
      </c>
      <c r="S609">
        <f>IF(H609=TRUE,"Disponible","No disponible")</f>
        <v/>
      </c>
      <c r="T609">
        <f>IF(AND(ISNUMBER(I609),I609&gt;0),ROUND(F609/I609,2),"Sin volumen")</f>
        <v/>
      </c>
      <c r="U609">
        <f>IF(F609&lt;5000,"Bajo",IF(F609&lt;15000,"Medio","Alto"))</f>
        <v/>
      </c>
    </row>
    <row r="610">
      <c r="A610" s="6" t="inlineStr">
        <is>
          <t>Farmacity</t>
        </is>
      </c>
      <c r="B610" s="6" t="n">
        <v>231819</v>
      </c>
      <c r="C610" s="6" t="n">
        <v>231819</v>
      </c>
      <c r="D610" s="6" t="inlineStr">
        <is>
          <t>Shampoo Elvive 2 en 1 Reparación Total 5 x 400 ml</t>
        </is>
      </c>
      <c r="E610" s="6" t="inlineStr">
        <is>
          <t>Elvive</t>
        </is>
      </c>
      <c r="F610" s="6" t="n">
        <v>6714</v>
      </c>
      <c r="G610" s="6" t="n">
        <v>11190</v>
      </c>
      <c r="H610" s="6" t="b">
        <v>1</v>
      </c>
      <c r="I610" s="6" t="n">
        <v>400</v>
      </c>
      <c r="J610" s="6" t="n">
        <v>16.785</v>
      </c>
      <c r="K610" s="6" t="inlineStr">
        <is>
          <t>&gt; Cuidado Capilar &gt; Shampoo Y Acondicionador &gt;</t>
        </is>
      </c>
      <c r="L610" s="6" t="inlineStr">
        <is>
          <t>shampoo</t>
        </is>
      </c>
      <c r="M610" s="6" t="inlineStr">
        <is>
          <t>profesional</t>
        </is>
      </c>
      <c r="N610" s="6" t="inlineStr">
        <is>
          <t>general</t>
        </is>
      </c>
      <c r="O610" s="6" t="inlineStr">
        <is>
          <t>https://www.farmacity.com/shampoo-elvive-reparacion-total-5-2-en-1-x-400-ml/p</t>
        </is>
      </c>
      <c r="P610" s="8">
        <f>TRIM(CLEAN(PROPER(D610)))</f>
        <v/>
      </c>
      <c r="Q610" s="8">
        <f>PROPER(TRIM(SUBSTITUTE(SUBSTITUTE(SUBSTITUTE(SUBSTITUTE(E610,"TRESEMME","Tresemme"),"HEAD &amp; SHOULDERS","Head &amp; Shoulders"),"ELVIVE","Elvive"),"FRUCTIS","Fructis")))</f>
        <v/>
      </c>
      <c r="R610" s="8">
        <f>COUNTIF($D$2:$D$10000,D610)&gt;1</f>
        <v/>
      </c>
      <c r="S610" s="8">
        <f>IF(H610=TRUE,"Disponible","No disponible")</f>
        <v/>
      </c>
      <c r="T610" s="8">
        <f>IF(AND(ISNUMBER(I610),I610&gt;0),ROUND(F610/I610,2),"Sin volumen")</f>
        <v/>
      </c>
      <c r="U610" s="8">
        <f>IF(F610&lt;5000,"Bajo",IF(F610&lt;15000,"Medio","Alto"))</f>
        <v/>
      </c>
    </row>
    <row r="611">
      <c r="A611" t="inlineStr">
        <is>
          <t>Farmacity</t>
        </is>
      </c>
      <c r="B611" t="n">
        <v>244694</v>
      </c>
      <c r="C611" t="n">
        <v>244694</v>
      </c>
      <c r="D611" t="inlineStr">
        <is>
          <t>Shampoo Elvive Dream Liso x 400 ml</t>
        </is>
      </c>
      <c r="E611" t="inlineStr">
        <is>
          <t>Elvive</t>
        </is>
      </c>
      <c r="F611" t="n">
        <v>7494</v>
      </c>
      <c r="G611" t="n">
        <v>12490</v>
      </c>
      <c r="H611" t="b">
        <v>1</v>
      </c>
      <c r="I611" t="n">
        <v>400</v>
      </c>
      <c r="J611" t="n">
        <v>18.735</v>
      </c>
      <c r="K611" t="inlineStr">
        <is>
          <t>&gt; Cuidado Capilar &gt; Shampoo Y Acondicionador &gt;</t>
        </is>
      </c>
      <c r="L611" t="inlineStr">
        <is>
          <t>shampoo</t>
        </is>
      </c>
      <c r="M611" t="inlineStr">
        <is>
          <t>profesional</t>
        </is>
      </c>
      <c r="N611" t="inlineStr">
        <is>
          <t>general</t>
        </is>
      </c>
      <c r="O611" t="inlineStr">
        <is>
          <t>https://www.farmacity.com/shampoo-elvive-dream-liso-x-400-ml/p</t>
        </is>
      </c>
      <c r="P611">
        <f>TRIM(CLEAN(PROPER(D611)))</f>
        <v/>
      </c>
      <c r="Q611">
        <f>PROPER(TRIM(SUBSTITUTE(SUBSTITUTE(SUBSTITUTE(SUBSTITUTE(E611,"TRESEMME","Tresemme"),"HEAD &amp; SHOULDERS","Head &amp; Shoulders"),"ELVIVE","Elvive"),"FRUCTIS","Fructis")))</f>
        <v/>
      </c>
      <c r="R611">
        <f>COUNTIF($D$2:$D$10000,D611)&gt;1</f>
        <v/>
      </c>
      <c r="S611">
        <f>IF(H611=TRUE,"Disponible","No disponible")</f>
        <v/>
      </c>
      <c r="T611">
        <f>IF(AND(ISNUMBER(I611),I611&gt;0),ROUND(F611/I611,2),"Sin volumen")</f>
        <v/>
      </c>
      <c r="U611">
        <f>IF(F611&lt;5000,"Bajo",IF(F611&lt;15000,"Medio","Alto"))</f>
        <v/>
      </c>
    </row>
    <row r="612">
      <c r="A612" s="6" t="inlineStr">
        <is>
          <t>Farmacity</t>
        </is>
      </c>
      <c r="B612" s="6" t="n">
        <v>147271</v>
      </c>
      <c r="C612" s="6" t="n">
        <v>147271</v>
      </c>
      <c r="D612" s="6" t="inlineStr">
        <is>
          <t>Mascarilla  Elvive Óleo Extraordinario Coco x 300 g</t>
        </is>
      </c>
      <c r="E612" s="6" t="inlineStr">
        <is>
          <t>Elvive</t>
        </is>
      </c>
      <c r="F612" s="6" t="n">
        <v>5595</v>
      </c>
      <c r="G612" s="6" t="n">
        <v>11190</v>
      </c>
      <c r="H612" s="6" t="b">
        <v>1</v>
      </c>
      <c r="I612" s="6" t="n">
        <v>300</v>
      </c>
      <c r="J612" s="6" t="n">
        <v>18.65</v>
      </c>
      <c r="K612" s="6" t="inlineStr">
        <is>
          <t>&gt; Cuidado Capilar &gt; Reparación Y Tratamiento &gt;</t>
        </is>
      </c>
      <c r="L612" s="6" t="inlineStr">
        <is>
          <t>tratamiento</t>
        </is>
      </c>
      <c r="M612" s="6" t="inlineStr">
        <is>
          <t>profesional</t>
        </is>
      </c>
      <c r="N612" s="6" t="inlineStr">
        <is>
          <t>general</t>
        </is>
      </c>
      <c r="O612" s="6" t="inlineStr">
        <is>
          <t>https://www.farmacity.com/mascarilla--elvive-oleo-extraordinario-coco-x-300-g/p</t>
        </is>
      </c>
      <c r="P612" s="8">
        <f>TRIM(CLEAN(PROPER(D612)))</f>
        <v/>
      </c>
      <c r="Q612" s="8">
        <f>PROPER(TRIM(SUBSTITUTE(SUBSTITUTE(SUBSTITUTE(SUBSTITUTE(E612,"TRESEMME","Tresemme"),"HEAD &amp; SHOULDERS","Head &amp; Shoulders"),"ELVIVE","Elvive"),"FRUCTIS","Fructis")))</f>
        <v/>
      </c>
      <c r="R612" s="8">
        <f>COUNTIF($D$2:$D$10000,D612)&gt;1</f>
        <v/>
      </c>
      <c r="S612" s="8">
        <f>IF(H612=TRUE,"Disponible","No disponible")</f>
        <v/>
      </c>
      <c r="T612" s="8">
        <f>IF(AND(ISNUMBER(I612),I612&gt;0),ROUND(F612/I612,2),"Sin volumen")</f>
        <v/>
      </c>
      <c r="U612" s="8">
        <f>IF(F612&lt;5000,"Bajo",IF(F612&lt;15000,"Medio","Alto"))</f>
        <v/>
      </c>
    </row>
    <row r="613">
      <c r="A613" t="inlineStr">
        <is>
          <t>Farmacity</t>
        </is>
      </c>
      <c r="B613" t="n">
        <v>245460</v>
      </c>
      <c r="C613" t="n">
        <v>245460</v>
      </c>
      <c r="D613" t="inlineStr">
        <is>
          <t>Tratamiento Garnier Fructis Hair Food Máscara Ananá x 350 ml</t>
        </is>
      </c>
      <c r="E613" t="inlineStr">
        <is>
          <t>Fructis</t>
        </is>
      </c>
      <c r="F613" t="n">
        <v>13990</v>
      </c>
      <c r="G613" t="n">
        <v>13990</v>
      </c>
      <c r="H613" t="b">
        <v>1</v>
      </c>
      <c r="I613" t="n">
        <v>350</v>
      </c>
      <c r="J613" t="n">
        <v>39.9714</v>
      </c>
      <c r="K613" t="inlineStr">
        <is>
          <t>&gt; Cuidado Capilar &gt; Reparación Y Tratamiento &gt;</t>
        </is>
      </c>
      <c r="L613" t="inlineStr">
        <is>
          <t>tratamiento</t>
        </is>
      </c>
      <c r="M613" t="inlineStr">
        <is>
          <t>estandar</t>
        </is>
      </c>
      <c r="N613" t="inlineStr">
        <is>
          <t>general</t>
        </is>
      </c>
      <c r="O613" t="inlineStr">
        <is>
          <t>https://www.farmacity.com/tratamiento-garnier-fructis-hair-food-mascara-anana-x-350-ml/p</t>
        </is>
      </c>
      <c r="P613">
        <f>TRIM(CLEAN(PROPER(D613)))</f>
        <v/>
      </c>
      <c r="Q613">
        <f>PROPER(TRIM(SUBSTITUTE(SUBSTITUTE(SUBSTITUTE(SUBSTITUTE(E613,"TRESEMME","Tresemme"),"HEAD &amp; SHOULDERS","Head &amp; Shoulders"),"ELVIVE","Elvive"),"FRUCTIS","Fructis")))</f>
        <v/>
      </c>
      <c r="R613">
        <f>COUNTIF($D$2:$D$10000,D613)&gt;1</f>
        <v/>
      </c>
      <c r="S613">
        <f>IF(H613=TRUE,"Disponible","No disponible")</f>
        <v/>
      </c>
      <c r="T613">
        <f>IF(AND(ISNUMBER(I613),I613&gt;0),ROUND(F613/I613,2),"Sin volumen")</f>
        <v/>
      </c>
      <c r="U613">
        <f>IF(F613&lt;5000,"Bajo",IF(F613&lt;15000,"Medio","Alto"))</f>
        <v/>
      </c>
    </row>
    <row r="614">
      <c r="A614" s="6" t="inlineStr">
        <is>
          <t>Farmacity</t>
        </is>
      </c>
      <c r="B614" s="6" t="n">
        <v>232292</v>
      </c>
      <c r="C614" s="6" t="n">
        <v>232292</v>
      </c>
      <c r="D614" s="6" t="inlineStr">
        <is>
          <t>Kit Rutina Completa L'Oreal Paris Elvive Óleo Extraordinario</t>
        </is>
      </c>
      <c r="E614" s="6" t="inlineStr">
        <is>
          <t>Elvive</t>
        </is>
      </c>
      <c r="F614" s="6" t="n">
        <v>32136</v>
      </c>
      <c r="G614" s="6" t="n">
        <v>53560</v>
      </c>
      <c r="H614" s="6" t="b">
        <v>1</v>
      </c>
      <c r="I614" s="6" t="inlineStr"/>
      <c r="J614" s="6" t="inlineStr"/>
      <c r="K614" s="6" t="inlineStr">
        <is>
          <t>&gt; Cuidado Capilar &gt; Shampoo Y Acondicionador &gt;</t>
        </is>
      </c>
      <c r="L614" s="6" t="inlineStr">
        <is>
          <t>tratamiento</t>
        </is>
      </c>
      <c r="M614" s="6" t="inlineStr">
        <is>
          <t>profesional</t>
        </is>
      </c>
      <c r="N614" s="6" t="inlineStr">
        <is>
          <t>general</t>
        </is>
      </c>
      <c r="O614" s="6" t="inlineStr">
        <is>
          <t>https://www.farmacity.com/kit-elvive-oleo-extraordinario/p</t>
        </is>
      </c>
      <c r="P614" s="8">
        <f>TRIM(CLEAN(PROPER(D614)))</f>
        <v/>
      </c>
      <c r="Q614" s="8">
        <f>PROPER(TRIM(SUBSTITUTE(SUBSTITUTE(SUBSTITUTE(SUBSTITUTE(E614,"TRESEMME","Tresemme"),"HEAD &amp; SHOULDERS","Head &amp; Shoulders"),"ELVIVE","Elvive"),"FRUCTIS","Fructis")))</f>
        <v/>
      </c>
      <c r="R614" s="8">
        <f>COUNTIF($D$2:$D$10000,D614)&gt;1</f>
        <v/>
      </c>
      <c r="S614" s="8">
        <f>IF(H614=TRUE,"Disponible","No disponible")</f>
        <v/>
      </c>
      <c r="T614" s="8">
        <f>IF(AND(ISNUMBER(I614),I614&gt;0),ROUND(F614/I614,2),"Sin volumen")</f>
        <v/>
      </c>
      <c r="U614" s="8">
        <f>IF(F614&lt;5000,"Bajo",IF(F614&lt;15000,"Medio","Alto"))</f>
        <v/>
      </c>
    </row>
    <row r="615">
      <c r="A615" t="inlineStr">
        <is>
          <t>Farmacity</t>
        </is>
      </c>
      <c r="B615" t="n">
        <v>246478</v>
      </c>
      <c r="C615" t="n">
        <v>246478</v>
      </c>
      <c r="D615" t="inlineStr">
        <is>
          <t>Crema Tratamiento Elvive Dream Liso 3-1 x 300 ml</t>
        </is>
      </c>
      <c r="E615" t="inlineStr">
        <is>
          <t>Elvive</t>
        </is>
      </c>
      <c r="F615" t="n">
        <v>18990</v>
      </c>
      <c r="G615" t="n">
        <v>18990</v>
      </c>
      <c r="H615" t="b">
        <v>1</v>
      </c>
      <c r="I615" t="n">
        <v>300</v>
      </c>
      <c r="J615" t="n">
        <v>63.3</v>
      </c>
      <c r="K615" t="inlineStr">
        <is>
          <t>&gt; Cuidado Capilar &gt; Reparación Y Tratamiento &gt;</t>
        </is>
      </c>
      <c r="L615" t="inlineStr">
        <is>
          <t>tratamiento</t>
        </is>
      </c>
      <c r="M615" t="inlineStr">
        <is>
          <t>profesional</t>
        </is>
      </c>
      <c r="N615" t="inlineStr">
        <is>
          <t>general</t>
        </is>
      </c>
      <c r="O615" t="inlineStr">
        <is>
          <t>https://www.farmacity.com/crema-tratamiento-elvive-dream-liso-3-1-x-300-ml/p</t>
        </is>
      </c>
      <c r="P615">
        <f>TRIM(CLEAN(PROPER(D615)))</f>
        <v/>
      </c>
      <c r="Q615">
        <f>PROPER(TRIM(SUBSTITUTE(SUBSTITUTE(SUBSTITUTE(SUBSTITUTE(E615,"TRESEMME","Tresemme"),"HEAD &amp; SHOULDERS","Head &amp; Shoulders"),"ELVIVE","Elvive"),"FRUCTIS","Fructis")))</f>
        <v/>
      </c>
      <c r="R615">
        <f>COUNTIF($D$2:$D$10000,D615)&gt;1</f>
        <v/>
      </c>
      <c r="S615">
        <f>IF(H615=TRUE,"Disponible","No disponible")</f>
        <v/>
      </c>
      <c r="T615">
        <f>IF(AND(ISNUMBER(I615),I615&gt;0),ROUND(F615/I615,2),"Sin volumen")</f>
        <v/>
      </c>
      <c r="U615">
        <f>IF(F615&lt;5000,"Bajo",IF(F615&lt;15000,"Medio","Alto"))</f>
        <v/>
      </c>
    </row>
    <row r="616">
      <c r="A616" s="6" t="inlineStr">
        <is>
          <t>Farmacity</t>
        </is>
      </c>
      <c r="B616" s="6" t="n">
        <v>143404</v>
      </c>
      <c r="C616" s="6" t="n">
        <v>143404</v>
      </c>
      <c r="D616" s="6" t="inlineStr">
        <is>
          <t>Shampoo Ecohair Anticaspa Producto Cosm‚Tico x 200 ml</t>
        </is>
      </c>
      <c r="E616" s="6" t="inlineStr">
        <is>
          <t>Garre Guevara</t>
        </is>
      </c>
      <c r="F616" s="6" t="n">
        <v>21000</v>
      </c>
      <c r="G616" s="6" t="n">
        <v>21000</v>
      </c>
      <c r="H616" s="6" t="b">
        <v>1</v>
      </c>
      <c r="I616" s="6" t="n">
        <v>200</v>
      </c>
      <c r="J616" s="6" t="n">
        <v>105</v>
      </c>
      <c r="K616" s="6" t="inlineStr">
        <is>
          <t>&gt; Venta Bajo Receta &gt; Dermatológico &gt;</t>
        </is>
      </c>
      <c r="L616" s="6" t="inlineStr">
        <is>
          <t>shampoo</t>
        </is>
      </c>
      <c r="M616" s="6" t="inlineStr">
        <is>
          <t>estandar</t>
        </is>
      </c>
      <c r="N616" s="6" t="inlineStr">
        <is>
          <t>anticaspa</t>
        </is>
      </c>
      <c r="O616" s="6" t="inlineStr">
        <is>
          <t>https://www.farmacity.com/shampoo-ecohair-anticaspa-x-200-ml/p</t>
        </is>
      </c>
      <c r="P616" s="8">
        <f>TRIM(CLEAN(PROPER(D616)))</f>
        <v/>
      </c>
      <c r="Q616" s="8">
        <f>PROPER(TRIM(SUBSTITUTE(SUBSTITUTE(SUBSTITUTE(SUBSTITUTE(E616,"TRESEMME","Tresemme"),"HEAD &amp; SHOULDERS","Head &amp; Shoulders"),"ELVIVE","Elvive"),"FRUCTIS","Fructis")))</f>
        <v/>
      </c>
      <c r="R616" s="8">
        <f>COUNTIF($D$2:$D$10000,D616)&gt;1</f>
        <v/>
      </c>
      <c r="S616" s="8">
        <f>IF(H616=TRUE,"Disponible","No disponible")</f>
        <v/>
      </c>
      <c r="T616" s="8">
        <f>IF(AND(ISNUMBER(I616),I616&gt;0),ROUND(F616/I616,2),"Sin volumen")</f>
        <v/>
      </c>
      <c r="U616" s="8">
        <f>IF(F616&lt;5000,"Bajo",IF(F616&lt;15000,"Medio","Alto"))</f>
        <v/>
      </c>
    </row>
    <row r="617">
      <c r="A617" t="inlineStr">
        <is>
          <t>Farmacity</t>
        </is>
      </c>
      <c r="B617" t="n">
        <v>1122</v>
      </c>
      <c r="C617" t="n">
        <v>23602</v>
      </c>
      <c r="D617" t="inlineStr">
        <is>
          <t>Shampoo Capilatis Anticaspa y Control Caída x 410 ml</t>
        </is>
      </c>
      <c r="E617" t="inlineStr">
        <is>
          <t>Capilatis</t>
        </is>
      </c>
      <c r="F617" t="n">
        <v>9700</v>
      </c>
      <c r="G617" t="n">
        <v>9700</v>
      </c>
      <c r="H617" t="b">
        <v>1</v>
      </c>
      <c r="I617" t="n">
        <v>410</v>
      </c>
      <c r="J617" t="n">
        <v>23.6585</v>
      </c>
      <c r="K617" t="inlineStr">
        <is>
          <t>&gt; Cuidado Capilar &gt; Shampoo Y Acondicionador &gt;</t>
        </is>
      </c>
      <c r="L617" t="inlineStr">
        <is>
          <t>shampoo</t>
        </is>
      </c>
      <c r="M617" t="inlineStr">
        <is>
          <t>estandar</t>
        </is>
      </c>
      <c r="N617" t="inlineStr">
        <is>
          <t>anticaspa</t>
        </is>
      </c>
      <c r="O617" t="inlineStr">
        <is>
          <t>https://www.farmacity.com/shampoo-anticaspa-y-control-caida-x-410-ml/p</t>
        </is>
      </c>
      <c r="P617">
        <f>TRIM(CLEAN(PROPER(D617)))</f>
        <v/>
      </c>
      <c r="Q617">
        <f>PROPER(TRIM(SUBSTITUTE(SUBSTITUTE(SUBSTITUTE(SUBSTITUTE(E617,"TRESEMME","Tresemme"),"HEAD &amp; SHOULDERS","Head &amp; Shoulders"),"ELVIVE","Elvive"),"FRUCTIS","Fructis")))</f>
        <v/>
      </c>
      <c r="R617">
        <f>COUNTIF($D$2:$D$10000,D617)&gt;1</f>
        <v/>
      </c>
      <c r="S617">
        <f>IF(H617=TRUE,"Disponible","No disponible")</f>
        <v/>
      </c>
      <c r="T617">
        <f>IF(AND(ISNUMBER(I617),I617&gt;0),ROUND(F617/I617,2),"Sin volumen")</f>
        <v/>
      </c>
      <c r="U617">
        <f>IF(F617&lt;5000,"Bajo",IF(F617&lt;15000,"Medio","Alto"))</f>
        <v/>
      </c>
    </row>
    <row r="618">
      <c r="A618" s="6" t="inlineStr">
        <is>
          <t>Farmacity</t>
        </is>
      </c>
      <c r="B618" s="6" t="n">
        <v>240154</v>
      </c>
      <c r="C618" s="6" t="n">
        <v>240154</v>
      </c>
      <c r="D618" s="6" t="inlineStr">
        <is>
          <t>Shampoo Dove Protección Anticaspa x 400 ml</t>
        </is>
      </c>
      <c r="E618" s="6" t="inlineStr">
        <is>
          <t>Dove</t>
        </is>
      </c>
      <c r="F618" s="6" t="n">
        <v>7266</v>
      </c>
      <c r="G618" s="6" t="n">
        <v>9688</v>
      </c>
      <c r="H618" s="6" t="b">
        <v>1</v>
      </c>
      <c r="I618" s="6" t="n">
        <v>400</v>
      </c>
      <c r="J618" s="6" t="n">
        <v>18.165</v>
      </c>
      <c r="K618" s="6" t="inlineStr">
        <is>
          <t>&gt; Cuidado Capilar &gt; Shampoo Y Acondicionador &gt;</t>
        </is>
      </c>
      <c r="L618" s="6" t="inlineStr">
        <is>
          <t>shampoo</t>
        </is>
      </c>
      <c r="M618" s="6" t="inlineStr">
        <is>
          <t>estandar</t>
        </is>
      </c>
      <c r="N618" s="6" t="inlineStr">
        <is>
          <t>anticaspa</t>
        </is>
      </c>
      <c r="O618" s="6" t="inlineStr">
        <is>
          <t>https://www.farmacity.com/shampoo-dove-men-caspa-control-x-400-ml/p</t>
        </is>
      </c>
      <c r="P618" s="8">
        <f>TRIM(CLEAN(PROPER(D618)))</f>
        <v/>
      </c>
      <c r="Q618" s="8">
        <f>PROPER(TRIM(SUBSTITUTE(SUBSTITUTE(SUBSTITUTE(SUBSTITUTE(E618,"TRESEMME","Tresemme"),"HEAD &amp; SHOULDERS","Head &amp; Shoulders"),"ELVIVE","Elvive"),"FRUCTIS","Fructis")))</f>
        <v/>
      </c>
      <c r="R618" s="8">
        <f>COUNTIF($D$2:$D$10000,D618)&gt;1</f>
        <v/>
      </c>
      <c r="S618" s="8">
        <f>IF(H618=TRUE,"Disponible","No disponible")</f>
        <v/>
      </c>
      <c r="T618" s="8">
        <f>IF(AND(ISNUMBER(I618),I618&gt;0),ROUND(F618/I618,2),"Sin volumen")</f>
        <v/>
      </c>
      <c r="U618" s="8">
        <f>IF(F618&lt;5000,"Bajo",IF(F618&lt;15000,"Medio","Alto"))</f>
        <v/>
      </c>
    </row>
    <row r="619">
      <c r="A619" t="inlineStr">
        <is>
          <t>Farmacity</t>
        </is>
      </c>
      <c r="B619" t="n">
        <v>7651</v>
      </c>
      <c r="C619" t="n">
        <v>151685</v>
      </c>
      <c r="D619" t="inlineStr">
        <is>
          <t>Shampoo Vichy Dercos Anti-Caspa Cabello Normal a Graso x 200 ml</t>
        </is>
      </c>
      <c r="E619" t="inlineStr">
        <is>
          <t>Vichy</t>
        </is>
      </c>
      <c r="F619" t="n">
        <v>53488</v>
      </c>
      <c r="G619" t="n">
        <v>53488</v>
      </c>
      <c r="H619" t="b">
        <v>1</v>
      </c>
      <c r="I619" t="n">
        <v>200</v>
      </c>
      <c r="J619" t="n">
        <v>267.44</v>
      </c>
      <c r="K619" t="inlineStr">
        <is>
          <t>&gt; Dermocosmética &gt; Pelo &gt; Shampoos y Acondicionadores &gt;</t>
        </is>
      </c>
      <c r="L619" t="inlineStr">
        <is>
          <t>shampoo</t>
        </is>
      </c>
      <c r="M619" t="inlineStr">
        <is>
          <t>estandar</t>
        </is>
      </c>
      <c r="N619" t="inlineStr">
        <is>
          <t>anticaspa</t>
        </is>
      </c>
      <c r="O619" t="inlineStr">
        <is>
          <t>https://www.farmacity.com/shampoo-anticaspa-para-cabello-normal-a-graso-dercos-x-200-ml/p</t>
        </is>
      </c>
      <c r="P619">
        <f>TRIM(CLEAN(PROPER(D619)))</f>
        <v/>
      </c>
      <c r="Q619">
        <f>PROPER(TRIM(SUBSTITUTE(SUBSTITUTE(SUBSTITUTE(SUBSTITUTE(E619,"TRESEMME","Tresemme"),"HEAD &amp; SHOULDERS","Head &amp; Shoulders"),"ELVIVE","Elvive"),"FRUCTIS","Fructis")))</f>
        <v/>
      </c>
      <c r="R619">
        <f>COUNTIF($D$2:$D$10000,D619)&gt;1</f>
        <v/>
      </c>
      <c r="S619">
        <f>IF(H619=TRUE,"Disponible","No disponible")</f>
        <v/>
      </c>
      <c r="T619">
        <f>IF(AND(ISNUMBER(I619),I619&gt;0),ROUND(F619/I619,2),"Sin volumen")</f>
        <v/>
      </c>
      <c r="U619">
        <f>IF(F619&lt;5000,"Bajo",IF(F619&lt;15000,"Medio","Alto"))</f>
        <v/>
      </c>
    </row>
    <row r="620">
      <c r="A620" s="6" t="inlineStr">
        <is>
          <t>Farmacity</t>
        </is>
      </c>
      <c r="B620" s="6" t="n">
        <v>224951</v>
      </c>
      <c r="C620" s="6" t="n">
        <v>224951</v>
      </c>
      <c r="D620" s="6" t="inlineStr">
        <is>
          <t>Shampoo Head &amp; Shoulders Dermo Sensitive Control Caspa x 375 ml</t>
        </is>
      </c>
      <c r="E620" s="6" t="inlineStr">
        <is>
          <t>Head and Shoulders</t>
        </is>
      </c>
      <c r="F620" s="6" t="n">
        <v>7895</v>
      </c>
      <c r="G620" s="6" t="n">
        <v>12146</v>
      </c>
      <c r="H620" s="6" t="b">
        <v>1</v>
      </c>
      <c r="I620" s="6" t="n">
        <v>375</v>
      </c>
      <c r="J620" s="6" t="n">
        <v>21.0533</v>
      </c>
      <c r="K620" s="6" t="inlineStr">
        <is>
          <t>&gt; Cuidado Capilar &gt; Shampoo Y Acondicionador &gt;</t>
        </is>
      </c>
      <c r="L620" s="6" t="inlineStr">
        <is>
          <t>shampoo</t>
        </is>
      </c>
      <c r="M620" s="6" t="inlineStr">
        <is>
          <t>estandar</t>
        </is>
      </c>
      <c r="N620" s="6" t="inlineStr">
        <is>
          <t>anticaspa</t>
        </is>
      </c>
      <c r="O620" s="6" t="inlineStr">
        <is>
          <t>https://www.farmacity.com/shampoo-head-shoulders-dermo-sensitive-x-375-ml/p</t>
        </is>
      </c>
      <c r="P620" s="8">
        <f>TRIM(CLEAN(PROPER(D620)))</f>
        <v/>
      </c>
      <c r="Q620" s="8">
        <f>PROPER(TRIM(SUBSTITUTE(SUBSTITUTE(SUBSTITUTE(SUBSTITUTE(E620,"TRESEMME","Tresemme"),"HEAD &amp; SHOULDERS","Head &amp; Shoulders"),"ELVIVE","Elvive"),"FRUCTIS","Fructis")))</f>
        <v/>
      </c>
      <c r="R620" s="8">
        <f>COUNTIF($D$2:$D$10000,D620)&gt;1</f>
        <v/>
      </c>
      <c r="S620" s="8">
        <f>IF(H620=TRUE,"Disponible","No disponible")</f>
        <v/>
      </c>
      <c r="T620" s="8">
        <f>IF(AND(ISNUMBER(I620),I620&gt;0),ROUND(F620/I620,2),"Sin volumen")</f>
        <v/>
      </c>
      <c r="U620" s="8">
        <f>IF(F620&lt;5000,"Bajo",IF(F620&lt;15000,"Medio","Alto"))</f>
        <v/>
      </c>
    </row>
    <row r="621">
      <c r="A621" t="inlineStr">
        <is>
          <t>Farmacity</t>
        </is>
      </c>
      <c r="B621" t="n">
        <v>224950</v>
      </c>
      <c r="C621" t="n">
        <v>224950</v>
      </c>
      <c r="D621" t="inlineStr">
        <is>
          <t>Shampoo Head &amp; Shoulders Dermo Sensitive Control Caspa x 180 ml</t>
        </is>
      </c>
      <c r="E621" t="inlineStr">
        <is>
          <t>Head and Shoulders</t>
        </is>
      </c>
      <c r="F621" t="n">
        <v>4701</v>
      </c>
      <c r="G621" t="n">
        <v>7233</v>
      </c>
      <c r="H621" t="b">
        <v>1</v>
      </c>
      <c r="I621" t="n">
        <v>180</v>
      </c>
      <c r="J621" t="n">
        <v>26.1167</v>
      </c>
      <c r="K621" t="inlineStr">
        <is>
          <t>&gt; Cuidado Capilar &gt; Shampoo Y Acondicionador &gt;</t>
        </is>
      </c>
      <c r="L621" t="inlineStr">
        <is>
          <t>shampoo</t>
        </is>
      </c>
      <c r="M621" t="inlineStr">
        <is>
          <t>estandar</t>
        </is>
      </c>
      <c r="N621" t="inlineStr">
        <is>
          <t>anticaspa</t>
        </is>
      </c>
      <c r="O621" t="inlineStr">
        <is>
          <t>https://www.farmacity.com/shampoo-head-shoulders-dermo-sensitive-x-180-ml/p</t>
        </is>
      </c>
      <c r="P621">
        <f>TRIM(CLEAN(PROPER(D621)))</f>
        <v/>
      </c>
      <c r="Q621">
        <f>PROPER(TRIM(SUBSTITUTE(SUBSTITUTE(SUBSTITUTE(SUBSTITUTE(E621,"TRESEMME","Tresemme"),"HEAD &amp; SHOULDERS","Head &amp; Shoulders"),"ELVIVE","Elvive"),"FRUCTIS","Fructis")))</f>
        <v/>
      </c>
      <c r="R621">
        <f>COUNTIF($D$2:$D$10000,D621)&gt;1</f>
        <v/>
      </c>
      <c r="S621">
        <f>IF(H621=TRUE,"Disponible","No disponible")</f>
        <v/>
      </c>
      <c r="T621">
        <f>IF(AND(ISNUMBER(I621),I621&gt;0),ROUND(F621/I621,2),"Sin volumen")</f>
        <v/>
      </c>
      <c r="U621">
        <f>IF(F621&lt;5000,"Bajo",IF(F621&lt;15000,"Medio","Alto"))</f>
        <v/>
      </c>
    </row>
    <row r="622">
      <c r="A622" s="6" t="inlineStr">
        <is>
          <t>Farmacity</t>
        </is>
      </c>
      <c r="B622" s="6" t="n">
        <v>209966</v>
      </c>
      <c r="C622" s="6" t="n">
        <v>209966</v>
      </c>
      <c r="D622" s="6" t="inlineStr">
        <is>
          <t>Shampoo Head &amp; Shoulders Purificación Capilar x 375 ml</t>
        </is>
      </c>
      <c r="E622" s="6" t="inlineStr">
        <is>
          <t>Head and Shoulders</t>
        </is>
      </c>
      <c r="F622" s="6" t="n">
        <v>7895</v>
      </c>
      <c r="G622" s="6" t="n">
        <v>12146</v>
      </c>
      <c r="H622" s="6" t="b">
        <v>1</v>
      </c>
      <c r="I622" s="6" t="n">
        <v>375</v>
      </c>
      <c r="J622" s="6" t="n">
        <v>21.0533</v>
      </c>
      <c r="K622" s="6" t="inlineStr">
        <is>
          <t>&gt; Cuidado Capilar &gt; Shampoo Y Acondicionador &gt;</t>
        </is>
      </c>
      <c r="L622" s="6" t="inlineStr">
        <is>
          <t>shampoo</t>
        </is>
      </c>
      <c r="M622" s="6" t="inlineStr">
        <is>
          <t>estandar</t>
        </is>
      </c>
      <c r="N622" s="6" t="inlineStr">
        <is>
          <t>general</t>
        </is>
      </c>
      <c r="O622" s="6" t="inlineStr">
        <is>
          <t>https://www.farmacity.com/shampoo-head-shoulders-purificacion-capilar-375-ml/p</t>
        </is>
      </c>
      <c r="P622" s="8">
        <f>TRIM(CLEAN(PROPER(D622)))</f>
        <v/>
      </c>
      <c r="Q622" s="8">
        <f>PROPER(TRIM(SUBSTITUTE(SUBSTITUTE(SUBSTITUTE(SUBSTITUTE(E622,"TRESEMME","Tresemme"),"HEAD &amp; SHOULDERS","Head &amp; Shoulders"),"ELVIVE","Elvive"),"FRUCTIS","Fructis")))</f>
        <v/>
      </c>
      <c r="R622" s="8">
        <f>COUNTIF($D$2:$D$10000,D622)&gt;1</f>
        <v/>
      </c>
      <c r="S622" s="8">
        <f>IF(H622=TRUE,"Disponible","No disponible")</f>
        <v/>
      </c>
      <c r="T622" s="8">
        <f>IF(AND(ISNUMBER(I622),I622&gt;0),ROUND(F622/I622,2),"Sin volumen")</f>
        <v/>
      </c>
      <c r="U622" s="8">
        <f>IF(F622&lt;5000,"Bajo",IF(F622&lt;15000,"Medio","Alto"))</f>
        <v/>
      </c>
    </row>
    <row r="623">
      <c r="A623" t="inlineStr">
        <is>
          <t>Farmacity</t>
        </is>
      </c>
      <c r="B623" t="n">
        <v>206050</v>
      </c>
      <c r="C623" t="n">
        <v>206050</v>
      </c>
      <c r="D623" t="inlineStr">
        <is>
          <t>Shampoo Control Caspa Head &amp; Shoulders Anti Caída x 180 ml</t>
        </is>
      </c>
      <c r="E623" t="inlineStr">
        <is>
          <t>Head and Shoulders</t>
        </is>
      </c>
      <c r="F623" t="n">
        <v>4701</v>
      </c>
      <c r="G623" t="n">
        <v>7233</v>
      </c>
      <c r="H623" t="b">
        <v>1</v>
      </c>
      <c r="I623" t="n">
        <v>180</v>
      </c>
      <c r="J623" t="n">
        <v>26.1167</v>
      </c>
      <c r="K623" t="inlineStr">
        <is>
          <t>&gt; Cuidado Capilar &gt; Shampoo Y Acondicionador &gt;</t>
        </is>
      </c>
      <c r="L623" t="inlineStr">
        <is>
          <t>shampoo</t>
        </is>
      </c>
      <c r="M623" t="inlineStr">
        <is>
          <t>estandar</t>
        </is>
      </c>
      <c r="N623" t="inlineStr">
        <is>
          <t>anticaspa</t>
        </is>
      </c>
      <c r="O623" t="inlineStr">
        <is>
          <t>https://www.farmacity.com/shampoo-head-shoulders-antifall-proteccion-caida-con-cafeina-180-ml/p</t>
        </is>
      </c>
      <c r="P623">
        <f>TRIM(CLEAN(PROPER(D623)))</f>
        <v/>
      </c>
      <c r="Q623">
        <f>PROPER(TRIM(SUBSTITUTE(SUBSTITUTE(SUBSTITUTE(SUBSTITUTE(E623,"TRESEMME","Tresemme"),"HEAD &amp; SHOULDERS","Head &amp; Shoulders"),"ELVIVE","Elvive"),"FRUCTIS","Fructis")))</f>
        <v/>
      </c>
      <c r="R623">
        <f>COUNTIF($D$2:$D$10000,D623)&gt;1</f>
        <v/>
      </c>
      <c r="S623">
        <f>IF(H623=TRUE,"Disponible","No disponible")</f>
        <v/>
      </c>
      <c r="T623">
        <f>IF(AND(ISNUMBER(I623),I623&gt;0),ROUND(F623/I623,2),"Sin volumen")</f>
        <v/>
      </c>
      <c r="U623">
        <f>IF(F623&lt;5000,"Bajo",IF(F623&lt;15000,"Medio","Alto"))</f>
        <v/>
      </c>
    </row>
    <row r="624">
      <c r="A624" s="6" t="inlineStr">
        <is>
          <t>Farmacity</t>
        </is>
      </c>
      <c r="B624" s="6" t="n">
        <v>9006</v>
      </c>
      <c r="C624" s="6" t="n">
        <v>156760</v>
      </c>
      <c r="D624" s="6" t="inlineStr">
        <is>
          <t>Shampoo Vichy Dercos Ultracalmante para Cabello Seco x 200 ml</t>
        </is>
      </c>
      <c r="E624" s="6" t="inlineStr">
        <is>
          <t>Vichy</t>
        </is>
      </c>
      <c r="F624" s="6" t="n">
        <v>53488</v>
      </c>
      <c r="G624" s="6" t="n">
        <v>53488</v>
      </c>
      <c r="H624" s="6" t="b">
        <v>1</v>
      </c>
      <c r="I624" s="6" t="n">
        <v>200</v>
      </c>
      <c r="J624" s="6" t="n">
        <v>267.44</v>
      </c>
      <c r="K624" s="6" t="inlineStr">
        <is>
          <t>&gt; Dermocosmética &gt; Pelo &gt; Shampoos y Acondicionadores &gt;</t>
        </is>
      </c>
      <c r="L624" s="6" t="inlineStr">
        <is>
          <t>shampoo</t>
        </is>
      </c>
      <c r="M624" s="6" t="inlineStr">
        <is>
          <t>estandar</t>
        </is>
      </c>
      <c r="N624" s="6" t="inlineStr">
        <is>
          <t>seco_danado</t>
        </is>
      </c>
      <c r="O624" s="6" t="inlineStr">
        <is>
          <t>https://www.farmacity.com/shampoo-dercos-ultracalmante-para-cabello-seco-x-200-ml/p</t>
        </is>
      </c>
      <c r="P624" s="8">
        <f>TRIM(CLEAN(PROPER(D624)))</f>
        <v/>
      </c>
      <c r="Q624" s="8">
        <f>PROPER(TRIM(SUBSTITUTE(SUBSTITUTE(SUBSTITUTE(SUBSTITUTE(E624,"TRESEMME","Tresemme"),"HEAD &amp; SHOULDERS","Head &amp; Shoulders"),"ELVIVE","Elvive"),"FRUCTIS","Fructis")))</f>
        <v/>
      </c>
      <c r="R624" s="8">
        <f>COUNTIF($D$2:$D$10000,D624)&gt;1</f>
        <v/>
      </c>
      <c r="S624" s="8">
        <f>IF(H624=TRUE,"Disponible","No disponible")</f>
        <v/>
      </c>
      <c r="T624" s="8">
        <f>IF(AND(ISNUMBER(I624),I624&gt;0),ROUND(F624/I624,2),"Sin volumen")</f>
        <v/>
      </c>
      <c r="U624" s="8">
        <f>IF(F624&lt;5000,"Bajo",IF(F624&lt;15000,"Medio","Alto"))</f>
        <v/>
      </c>
    </row>
    <row r="625">
      <c r="A625" t="inlineStr">
        <is>
          <t>Farmacity</t>
        </is>
      </c>
      <c r="B625" t="n">
        <v>1114</v>
      </c>
      <c r="C625" t="n">
        <v>23601</v>
      </c>
      <c r="D625" t="inlineStr">
        <is>
          <t>Shampoo Capilatis Control Caída Pelo Seco Aloe x 410 ml</t>
        </is>
      </c>
      <c r="E625" t="inlineStr">
        <is>
          <t>Capilatis</t>
        </is>
      </c>
      <c r="F625" t="n">
        <v>9700</v>
      </c>
      <c r="G625" t="n">
        <v>9700</v>
      </c>
      <c r="H625" t="b">
        <v>1</v>
      </c>
      <c r="I625" t="n">
        <v>410</v>
      </c>
      <c r="J625" t="n">
        <v>23.6585</v>
      </c>
      <c r="K625" t="inlineStr">
        <is>
          <t>&gt; Cuidado Capilar &gt; Shampoo Y Acondicionador &gt;</t>
        </is>
      </c>
      <c r="L625" t="inlineStr">
        <is>
          <t>shampoo</t>
        </is>
      </c>
      <c r="M625" t="inlineStr">
        <is>
          <t>estandar</t>
        </is>
      </c>
      <c r="N625" t="inlineStr">
        <is>
          <t>seco_danado</t>
        </is>
      </c>
      <c r="O625" t="inlineStr">
        <is>
          <t>https://www.farmacity.com/shampoo-control-caida-pelo-seco-con-aloe-vera-x-410-ml/p</t>
        </is>
      </c>
      <c r="P625">
        <f>TRIM(CLEAN(PROPER(D625)))</f>
        <v/>
      </c>
      <c r="Q625">
        <f>PROPER(TRIM(SUBSTITUTE(SUBSTITUTE(SUBSTITUTE(SUBSTITUTE(E625,"TRESEMME","Tresemme"),"HEAD &amp; SHOULDERS","Head &amp; Shoulders"),"ELVIVE","Elvive"),"FRUCTIS","Fructis")))</f>
        <v/>
      </c>
      <c r="R625">
        <f>COUNTIF($D$2:$D$10000,D625)&gt;1</f>
        <v/>
      </c>
      <c r="S625">
        <f>IF(H625=TRUE,"Disponible","No disponible")</f>
        <v/>
      </c>
      <c r="T625">
        <f>IF(AND(ISNUMBER(I625),I625&gt;0),ROUND(F625/I625,2),"Sin volumen")</f>
        <v/>
      </c>
      <c r="U625">
        <f>IF(F625&lt;5000,"Bajo",IF(F625&lt;15000,"Medio","Alto"))</f>
        <v/>
      </c>
    </row>
    <row r="626">
      <c r="A626" s="6" t="inlineStr">
        <is>
          <t>Farmacity</t>
        </is>
      </c>
      <c r="B626" s="6" t="n">
        <v>8903</v>
      </c>
      <c r="C626" s="6" t="n">
        <v>156311</v>
      </c>
      <c r="D626" s="6" t="inlineStr">
        <is>
          <t>Shampoo Sedal Ceramidas x 340 ml</t>
        </is>
      </c>
      <c r="E626" s="6" t="inlineStr">
        <is>
          <t>Sedal</t>
        </is>
      </c>
      <c r="F626" s="6" t="n">
        <v>5836</v>
      </c>
      <c r="G626" s="6" t="n">
        <v>5836</v>
      </c>
      <c r="H626" s="6" t="b">
        <v>1</v>
      </c>
      <c r="I626" s="6" t="n">
        <v>340</v>
      </c>
      <c r="J626" s="6" t="n">
        <v>17.1647</v>
      </c>
      <c r="K626" s="6" t="inlineStr">
        <is>
          <t>&gt; Cuidado Capilar &gt; Shampoo Y Acondicionador &gt;</t>
        </is>
      </c>
      <c r="L626" s="6" t="inlineStr">
        <is>
          <t>shampoo</t>
        </is>
      </c>
      <c r="M626" s="6" t="inlineStr">
        <is>
          <t>estandar</t>
        </is>
      </c>
      <c r="N626" s="6" t="inlineStr">
        <is>
          <t>general</t>
        </is>
      </c>
      <c r="O626" s="6" t="inlineStr">
        <is>
          <t>https://www.farmacity.com/shampoo-ceramidas-x-340-ml/p</t>
        </is>
      </c>
      <c r="P626" s="8">
        <f>TRIM(CLEAN(PROPER(D626)))</f>
        <v/>
      </c>
      <c r="Q626" s="8">
        <f>PROPER(TRIM(SUBSTITUTE(SUBSTITUTE(SUBSTITUTE(SUBSTITUTE(E626,"TRESEMME","Tresemme"),"HEAD &amp; SHOULDERS","Head &amp; Shoulders"),"ELVIVE","Elvive"),"FRUCTIS","Fructis")))</f>
        <v/>
      </c>
      <c r="R626" s="8">
        <f>COUNTIF($D$2:$D$10000,D626)&gt;1</f>
        <v/>
      </c>
      <c r="S626" s="8">
        <f>IF(H626=TRUE,"Disponible","No disponible")</f>
        <v/>
      </c>
      <c r="T626" s="8">
        <f>IF(AND(ISNUMBER(I626),I626&gt;0),ROUND(F626/I626,2),"Sin volumen")</f>
        <v/>
      </c>
      <c r="U626" s="8">
        <f>IF(F626&lt;5000,"Bajo",IF(F626&lt;15000,"Medio","Alto"))</f>
        <v/>
      </c>
    </row>
    <row r="627">
      <c r="A627" t="inlineStr">
        <is>
          <t>Farmacity</t>
        </is>
      </c>
      <c r="B627" t="n">
        <v>221809</v>
      </c>
      <c r="C627" t="n">
        <v>221809</v>
      </c>
      <c r="D627" t="inlineStr">
        <is>
          <t>Shampoo Sedal Ácido Hialurónico + Vitamina A x 340 ml</t>
        </is>
      </c>
      <c r="E627" t="inlineStr">
        <is>
          <t>Sedal</t>
        </is>
      </c>
      <c r="F627" t="n">
        <v>5841</v>
      </c>
      <c r="G627" t="n">
        <v>5841</v>
      </c>
      <c r="H627" t="b">
        <v>1</v>
      </c>
      <c r="I627" t="n">
        <v>340</v>
      </c>
      <c r="J627" t="n">
        <v>17.1794</v>
      </c>
      <c r="K627" t="inlineStr">
        <is>
          <t>&gt; Cuidado Capilar &gt; Shampoo Y Acondicionador &gt;</t>
        </is>
      </c>
      <c r="L627" t="inlineStr">
        <is>
          <t>shampoo</t>
        </is>
      </c>
      <c r="M627" t="inlineStr">
        <is>
          <t>estandar</t>
        </is>
      </c>
      <c r="N627" t="inlineStr">
        <is>
          <t>general</t>
        </is>
      </c>
      <c r="O627" t="inlineStr">
        <is>
          <t>https://www.farmacity.com/shampoo-sedal-acido-hialuronico-vitamina-a-x-340-ml/p</t>
        </is>
      </c>
      <c r="P627">
        <f>TRIM(CLEAN(PROPER(D627)))</f>
        <v/>
      </c>
      <c r="Q627">
        <f>PROPER(TRIM(SUBSTITUTE(SUBSTITUTE(SUBSTITUTE(SUBSTITUTE(E627,"TRESEMME","Tresemme"),"HEAD &amp; SHOULDERS","Head &amp; Shoulders"),"ELVIVE","Elvive"),"FRUCTIS","Fructis")))</f>
        <v/>
      </c>
      <c r="R627">
        <f>COUNTIF($D$2:$D$10000,D627)&gt;1</f>
        <v/>
      </c>
      <c r="S627">
        <f>IF(H627=TRUE,"Disponible","No disponible")</f>
        <v/>
      </c>
      <c r="T627">
        <f>IF(AND(ISNUMBER(I627),I627&gt;0),ROUND(F627/I627,2),"Sin volumen")</f>
        <v/>
      </c>
      <c r="U627">
        <f>IF(F627&lt;5000,"Bajo",IF(F627&lt;15000,"Medio","Alto"))</f>
        <v/>
      </c>
    </row>
    <row r="628">
      <c r="A628" s="6" t="inlineStr">
        <is>
          <t>Farmacity</t>
        </is>
      </c>
      <c r="B628" s="6" t="n">
        <v>8864</v>
      </c>
      <c r="C628" s="6" t="n">
        <v>156281</v>
      </c>
      <c r="D628" s="6" t="inlineStr">
        <is>
          <t>Shampoo Sedal Ceramidas x 190 ml</t>
        </is>
      </c>
      <c r="E628" s="6" t="inlineStr">
        <is>
          <t>Sedal</t>
        </is>
      </c>
      <c r="F628" s="6" t="n">
        <v>3907</v>
      </c>
      <c r="G628" s="6" t="n">
        <v>3907</v>
      </c>
      <c r="H628" s="6" t="b">
        <v>1</v>
      </c>
      <c r="I628" s="6" t="n">
        <v>190</v>
      </c>
      <c r="J628" s="6" t="n">
        <v>20.5632</v>
      </c>
      <c r="K628" s="6" t="inlineStr">
        <is>
          <t>&gt; Cuidado Capilar &gt; Shampoo Y Acondicionador &gt;</t>
        </is>
      </c>
      <c r="L628" s="6" t="inlineStr">
        <is>
          <t>shampoo</t>
        </is>
      </c>
      <c r="M628" s="6" t="inlineStr">
        <is>
          <t>estandar</t>
        </is>
      </c>
      <c r="N628" s="6" t="inlineStr">
        <is>
          <t>general</t>
        </is>
      </c>
      <c r="O628" s="6" t="inlineStr">
        <is>
          <t>https://www.farmacity.com/shampoo-ceramidas-x-190-ml/p</t>
        </is>
      </c>
      <c r="P628" s="8">
        <f>TRIM(CLEAN(PROPER(D628)))</f>
        <v/>
      </c>
      <c r="Q628" s="8">
        <f>PROPER(TRIM(SUBSTITUTE(SUBSTITUTE(SUBSTITUTE(SUBSTITUTE(E628,"TRESEMME","Tresemme"),"HEAD &amp; SHOULDERS","Head &amp; Shoulders"),"ELVIVE","Elvive"),"FRUCTIS","Fructis")))</f>
        <v/>
      </c>
      <c r="R628" s="8">
        <f>COUNTIF($D$2:$D$10000,D628)&gt;1</f>
        <v/>
      </c>
      <c r="S628" s="8">
        <f>IF(H628=TRUE,"Disponible","No disponible")</f>
        <v/>
      </c>
      <c r="T628" s="8">
        <f>IF(AND(ISNUMBER(I628),I628&gt;0),ROUND(F628/I628,2),"Sin volumen")</f>
        <v/>
      </c>
      <c r="U628" s="8">
        <f>IF(F628&lt;5000,"Bajo",IF(F628&lt;15000,"Medio","Alto"))</f>
        <v/>
      </c>
    </row>
    <row r="629">
      <c r="A629" t="inlineStr">
        <is>
          <t>Farmacity</t>
        </is>
      </c>
      <c r="B629" t="n">
        <v>1022</v>
      </c>
      <c r="C629" t="n">
        <v>109083</v>
      </c>
      <c r="D629" t="inlineStr">
        <is>
          <t>Shampoo Dove Hidratación + Hialuron Vit x 400 ml</t>
        </is>
      </c>
      <c r="E629" t="inlineStr">
        <is>
          <t>Dove</t>
        </is>
      </c>
      <c r="F629" t="n">
        <v>5812</v>
      </c>
      <c r="G629" t="n">
        <v>9687</v>
      </c>
      <c r="H629" t="b">
        <v>1</v>
      </c>
      <c r="I629" t="n">
        <v>400</v>
      </c>
      <c r="J629" t="n">
        <v>14.53</v>
      </c>
      <c r="K629" t="inlineStr">
        <is>
          <t>&gt; Cuidado Capilar &gt; Shampoo Y Acondicionador &gt;</t>
        </is>
      </c>
      <c r="L629" t="inlineStr">
        <is>
          <t>shampoo</t>
        </is>
      </c>
      <c r="M629" t="inlineStr">
        <is>
          <t>estandar</t>
        </is>
      </c>
      <c r="N629" t="inlineStr">
        <is>
          <t>seco_danado</t>
        </is>
      </c>
      <c r="O629" t="inlineStr">
        <is>
          <t>https://www.farmacity.com/shampoo-dove-hidratacion-intensa-botella-x-400-ml/p</t>
        </is>
      </c>
      <c r="P629">
        <f>TRIM(CLEAN(PROPER(D629)))</f>
        <v/>
      </c>
      <c r="Q629">
        <f>PROPER(TRIM(SUBSTITUTE(SUBSTITUTE(SUBSTITUTE(SUBSTITUTE(E629,"TRESEMME","Tresemme"),"HEAD &amp; SHOULDERS","Head &amp; Shoulders"),"ELVIVE","Elvive"),"FRUCTIS","Fructis")))</f>
        <v/>
      </c>
      <c r="R629">
        <f>COUNTIF($D$2:$D$10000,D629)&gt;1</f>
        <v/>
      </c>
      <c r="S629">
        <f>IF(H629=TRUE,"Disponible","No disponible")</f>
        <v/>
      </c>
      <c r="T629">
        <f>IF(AND(ISNUMBER(I629),I629&gt;0),ROUND(F629/I629,2),"Sin volumen")</f>
        <v/>
      </c>
      <c r="U629">
        <f>IF(F629&lt;5000,"Bajo",IF(F629&lt;15000,"Medio","Alto"))</f>
        <v/>
      </c>
    </row>
    <row r="630">
      <c r="A630" s="6" t="inlineStr">
        <is>
          <t>Farmacity</t>
        </is>
      </c>
      <c r="B630" s="6" t="n">
        <v>223338</v>
      </c>
      <c r="C630" s="6" t="n">
        <v>223338</v>
      </c>
      <c r="D630" s="6" t="inlineStr">
        <is>
          <t>Shampoo Dove Nutrición + Tri-Óleos x 400 ml</t>
        </is>
      </c>
      <c r="E630" s="6" t="inlineStr">
        <is>
          <t>Dove</t>
        </is>
      </c>
      <c r="F630" s="6" t="n">
        <v>5812</v>
      </c>
      <c r="G630" s="6" t="n">
        <v>9687</v>
      </c>
      <c r="H630" s="6" t="b">
        <v>1</v>
      </c>
      <c r="I630" s="6" t="n">
        <v>400</v>
      </c>
      <c r="J630" s="6" t="n">
        <v>14.53</v>
      </c>
      <c r="K630" s="6" t="inlineStr">
        <is>
          <t>&gt; Cuidado Capilar &gt; Shampoo Y Acondicionador &gt;</t>
        </is>
      </c>
      <c r="L630" s="6" t="inlineStr">
        <is>
          <t>shampoo</t>
        </is>
      </c>
      <c r="M630" s="6" t="inlineStr">
        <is>
          <t>estandar</t>
        </is>
      </c>
      <c r="N630" s="6" t="inlineStr">
        <is>
          <t>general</t>
        </is>
      </c>
      <c r="O630" s="6" t="inlineStr">
        <is>
          <t>https://www.farmacity.com/shampoo-dove-oleo-nutricion-superior-x-400-ml/p</t>
        </is>
      </c>
      <c r="P630" s="8">
        <f>TRIM(CLEAN(PROPER(D630)))</f>
        <v/>
      </c>
      <c r="Q630" s="8">
        <f>PROPER(TRIM(SUBSTITUTE(SUBSTITUTE(SUBSTITUTE(SUBSTITUTE(E630,"TRESEMME","Tresemme"),"HEAD &amp; SHOULDERS","Head &amp; Shoulders"),"ELVIVE","Elvive"),"FRUCTIS","Fructis")))</f>
        <v/>
      </c>
      <c r="R630" s="8">
        <f>COUNTIF($D$2:$D$10000,D630)&gt;1</f>
        <v/>
      </c>
      <c r="S630" s="8">
        <f>IF(H630=TRUE,"Disponible","No disponible")</f>
        <v/>
      </c>
      <c r="T630" s="8">
        <f>IF(AND(ISNUMBER(I630),I630&gt;0),ROUND(F630/I630,2),"Sin volumen")</f>
        <v/>
      </c>
      <c r="U630" s="8">
        <f>IF(F630&lt;5000,"Bajo",IF(F630&lt;15000,"Medio","Alto"))</f>
        <v/>
      </c>
    </row>
    <row r="631">
      <c r="A631" t="inlineStr">
        <is>
          <t>Farmacity</t>
        </is>
      </c>
      <c r="B631" t="n">
        <v>16483</v>
      </c>
      <c r="C631" t="n">
        <v>162823</v>
      </c>
      <c r="D631" t="inlineStr">
        <is>
          <t>Shampoo Dove Humectación + Coco Antioxi x 400 ml</t>
        </is>
      </c>
      <c r="E631" t="inlineStr">
        <is>
          <t>Dove</t>
        </is>
      </c>
      <c r="F631" t="n">
        <v>5812</v>
      </c>
      <c r="G631" t="n">
        <v>9687</v>
      </c>
      <c r="H631" t="b">
        <v>1</v>
      </c>
      <c r="I631" t="n">
        <v>400</v>
      </c>
      <c r="J631" t="n">
        <v>14.53</v>
      </c>
      <c r="K631" t="inlineStr">
        <is>
          <t>&gt; Cuidado Capilar &gt; Shampoo Y Acondicionador &gt;</t>
        </is>
      </c>
      <c r="L631" t="inlineStr">
        <is>
          <t>shampoo</t>
        </is>
      </c>
      <c r="M631" t="inlineStr">
        <is>
          <t>estandar</t>
        </is>
      </c>
      <c r="N631" t="inlineStr">
        <is>
          <t>general</t>
        </is>
      </c>
      <c r="O631" t="inlineStr">
        <is>
          <t>https://www.farmacity.com/sha-dove-ritual-de-reparacion-x-400ml/p</t>
        </is>
      </c>
      <c r="P631">
        <f>TRIM(CLEAN(PROPER(D631)))</f>
        <v/>
      </c>
      <c r="Q631">
        <f>PROPER(TRIM(SUBSTITUTE(SUBSTITUTE(SUBSTITUTE(SUBSTITUTE(E631,"TRESEMME","Tresemme"),"HEAD &amp; SHOULDERS","Head &amp; Shoulders"),"ELVIVE","Elvive"),"FRUCTIS","Fructis")))</f>
        <v/>
      </c>
      <c r="R631">
        <f>COUNTIF($D$2:$D$10000,D631)&gt;1</f>
        <v/>
      </c>
      <c r="S631">
        <f>IF(H631=TRUE,"Disponible","No disponible")</f>
        <v/>
      </c>
      <c r="T631">
        <f>IF(AND(ISNUMBER(I631),I631&gt;0),ROUND(F631/I631,2),"Sin volumen")</f>
        <v/>
      </c>
      <c r="U631">
        <f>IF(F631&lt;5000,"Bajo",IF(F631&lt;15000,"Medio","Alto"))</f>
        <v/>
      </c>
    </row>
    <row r="632">
      <c r="A632" s="6" t="inlineStr">
        <is>
          <t>Farmacity</t>
        </is>
      </c>
      <c r="B632" s="6" t="n">
        <v>1227</v>
      </c>
      <c r="C632" s="6" t="n">
        <v>132365</v>
      </c>
      <c r="D632" s="6" t="inlineStr">
        <is>
          <t>Shampoo Dove Nutrición + Tri-Óleos x 200 ml</t>
        </is>
      </c>
      <c r="E632" s="6" t="inlineStr">
        <is>
          <t>Dove</t>
        </is>
      </c>
      <c r="F632" s="6" t="n">
        <v>5788</v>
      </c>
      <c r="G632" s="6" t="n">
        <v>5788</v>
      </c>
      <c r="H632" s="6" t="b">
        <v>1</v>
      </c>
      <c r="I632" s="6" t="n">
        <v>200</v>
      </c>
      <c r="J632" s="6" t="n">
        <v>28.94</v>
      </c>
      <c r="K632" s="6" t="inlineStr">
        <is>
          <t>&gt; Cuidado Capilar &gt; Shampoo Y Acondicionador &gt;</t>
        </is>
      </c>
      <c r="L632" s="6" t="inlineStr">
        <is>
          <t>shampoo</t>
        </is>
      </c>
      <c r="M632" s="6" t="inlineStr">
        <is>
          <t>estandar</t>
        </is>
      </c>
      <c r="N632" s="6" t="inlineStr">
        <is>
          <t>general</t>
        </is>
      </c>
      <c r="O632" s="6" t="inlineStr">
        <is>
          <t>https://www.farmacity.com/shampoo-dove-oleo-nutricion-botella-x-200-ml/p</t>
        </is>
      </c>
      <c r="P632" s="8">
        <f>TRIM(CLEAN(PROPER(D632)))</f>
        <v/>
      </c>
      <c r="Q632" s="8">
        <f>PROPER(TRIM(SUBSTITUTE(SUBSTITUTE(SUBSTITUTE(SUBSTITUTE(E632,"TRESEMME","Tresemme"),"HEAD &amp; SHOULDERS","Head &amp; Shoulders"),"ELVIVE","Elvive"),"FRUCTIS","Fructis")))</f>
        <v/>
      </c>
      <c r="R632" s="8">
        <f>COUNTIF($D$2:$D$10000,D632)&gt;1</f>
        <v/>
      </c>
      <c r="S632" s="8">
        <f>IF(H632=TRUE,"Disponible","No disponible")</f>
        <v/>
      </c>
      <c r="T632" s="8">
        <f>IF(AND(ISNUMBER(I632),I632&gt;0),ROUND(F632/I632,2),"Sin volumen")</f>
        <v/>
      </c>
      <c r="U632" s="8">
        <f>IF(F632&lt;5000,"Bajo",IF(F632&lt;15000,"Medio","Alto"))</f>
        <v/>
      </c>
    </row>
    <row r="633">
      <c r="A633" t="inlineStr">
        <is>
          <t>Farmacity</t>
        </is>
      </c>
      <c r="B633" t="n">
        <v>221811</v>
      </c>
      <c r="C633" t="n">
        <v>221811</v>
      </c>
      <c r="D633" t="inlineStr">
        <is>
          <t>Shampoo Sedal Colágeno + Vitamina C x 340 ml</t>
        </is>
      </c>
      <c r="E633" t="inlineStr">
        <is>
          <t>Sedal</t>
        </is>
      </c>
      <c r="F633" t="n">
        <v>5841</v>
      </c>
      <c r="G633" t="n">
        <v>5841</v>
      </c>
      <c r="H633" t="b">
        <v>1</v>
      </c>
      <c r="I633" t="n">
        <v>340</v>
      </c>
      <c r="J633" t="n">
        <v>17.1794</v>
      </c>
      <c r="K633" t="inlineStr">
        <is>
          <t>&gt; Cuidado Capilar &gt; Shampoo Y Acondicionador &gt;</t>
        </is>
      </c>
      <c r="L633" t="inlineStr">
        <is>
          <t>shampoo</t>
        </is>
      </c>
      <c r="M633" t="inlineStr">
        <is>
          <t>estandar</t>
        </is>
      </c>
      <c r="N633" t="inlineStr">
        <is>
          <t>general</t>
        </is>
      </c>
      <c r="O633" t="inlineStr">
        <is>
          <t>https://www.farmacity.com/shampoo-sedal-colageno-vitamina-c-x-340-ml/p</t>
        </is>
      </c>
      <c r="P633">
        <f>TRIM(CLEAN(PROPER(D633)))</f>
        <v/>
      </c>
      <c r="Q633">
        <f>PROPER(TRIM(SUBSTITUTE(SUBSTITUTE(SUBSTITUTE(SUBSTITUTE(E633,"TRESEMME","Tresemme"),"HEAD &amp; SHOULDERS","Head &amp; Shoulders"),"ELVIVE","Elvive"),"FRUCTIS","Fructis")))</f>
        <v/>
      </c>
      <c r="R633">
        <f>COUNTIF($D$2:$D$10000,D633)&gt;1</f>
        <v/>
      </c>
      <c r="S633">
        <f>IF(H633=TRUE,"Disponible","No disponible")</f>
        <v/>
      </c>
      <c r="T633">
        <f>IF(AND(ISNUMBER(I633),I633&gt;0),ROUND(F633/I633,2),"Sin volumen")</f>
        <v/>
      </c>
      <c r="U633">
        <f>IF(F633&lt;5000,"Bajo",IF(F633&lt;15000,"Medio","Alto"))</f>
        <v/>
      </c>
    </row>
    <row r="634">
      <c r="A634" s="6" t="inlineStr">
        <is>
          <t>Farmacity</t>
        </is>
      </c>
      <c r="B634" s="6" t="n">
        <v>206036</v>
      </c>
      <c r="C634" s="6" t="n">
        <v>206036</v>
      </c>
      <c r="D634" s="6" t="inlineStr">
        <is>
          <t>Shampoo Head &amp; Shoulders Men 3 en 1 x 375 ml</t>
        </is>
      </c>
      <c r="E634" s="6" t="inlineStr">
        <is>
          <t>Head and Shoulders</t>
        </is>
      </c>
      <c r="F634" s="6" t="n">
        <v>7895</v>
      </c>
      <c r="G634" s="6" t="n">
        <v>12146</v>
      </c>
      <c r="H634" s="6" t="b">
        <v>1</v>
      </c>
      <c r="I634" s="6" t="n">
        <v>375</v>
      </c>
      <c r="J634" s="6" t="n">
        <v>21.0533</v>
      </c>
      <c r="K634" s="6" t="inlineStr">
        <is>
          <t>&gt; Cuidado Capilar &gt; Shampoo Y Acondicionador &gt;</t>
        </is>
      </c>
      <c r="L634" s="6" t="inlineStr">
        <is>
          <t>shampoo</t>
        </is>
      </c>
      <c r="M634" s="6" t="inlineStr">
        <is>
          <t>estandar</t>
        </is>
      </c>
      <c r="N634" s="6" t="inlineStr">
        <is>
          <t>general</t>
        </is>
      </c>
      <c r="O634" s="6" t="inlineStr">
        <is>
          <t>https://www.farmacity.com/shampoo-head-shoulders-3en1-para-hombres-375ml/p</t>
        </is>
      </c>
      <c r="P634" s="8">
        <f>TRIM(CLEAN(PROPER(D634)))</f>
        <v/>
      </c>
      <c r="Q634" s="8">
        <f>PROPER(TRIM(SUBSTITUTE(SUBSTITUTE(SUBSTITUTE(SUBSTITUTE(E634,"TRESEMME","Tresemme"),"HEAD &amp; SHOULDERS","Head &amp; Shoulders"),"ELVIVE","Elvive"),"FRUCTIS","Fructis")))</f>
        <v/>
      </c>
      <c r="R634" s="8">
        <f>COUNTIF($D$2:$D$10000,D634)&gt;1</f>
        <v/>
      </c>
      <c r="S634" s="8">
        <f>IF(H634=TRUE,"Disponible","No disponible")</f>
        <v/>
      </c>
      <c r="T634" s="8">
        <f>IF(AND(ISNUMBER(I634),I634&gt;0),ROUND(F634/I634,2),"Sin volumen")</f>
        <v/>
      </c>
      <c r="U634" s="8">
        <f>IF(F634&lt;5000,"Bajo",IF(F634&lt;15000,"Medio","Alto"))</f>
        <v/>
      </c>
    </row>
    <row r="635">
      <c r="A635" t="inlineStr">
        <is>
          <t>Farmacity</t>
        </is>
      </c>
      <c r="B635" t="n">
        <v>239706</v>
      </c>
      <c r="C635" t="n">
        <v>239706</v>
      </c>
      <c r="D635" t="inlineStr">
        <is>
          <t>Shampoo Fructis Hair Food Cacao x 300 ml</t>
        </is>
      </c>
      <c r="E635" t="inlineStr">
        <is>
          <t>Fructis</t>
        </is>
      </c>
      <c r="F635" t="n">
        <v>7273</v>
      </c>
      <c r="G635" t="n">
        <v>11190</v>
      </c>
      <c r="H635" t="b">
        <v>1</v>
      </c>
      <c r="I635" t="n">
        <v>300</v>
      </c>
      <c r="J635" t="n">
        <v>24.2433</v>
      </c>
      <c r="K635" t="inlineStr">
        <is>
          <t>&gt; Cuidado Capilar &gt; Shampoo Y Acondicionador &gt;</t>
        </is>
      </c>
      <c r="L635" t="inlineStr">
        <is>
          <t>shampoo</t>
        </is>
      </c>
      <c r="M635" t="inlineStr">
        <is>
          <t>estandar</t>
        </is>
      </c>
      <c r="N635" t="inlineStr">
        <is>
          <t>general</t>
        </is>
      </c>
      <c r="O635" t="inlineStr">
        <is>
          <t>https://www.farmacity.com/shampoo-garnier-fructis-hair-food-manteca-de-cacao-x-300-ml/p</t>
        </is>
      </c>
      <c r="P635">
        <f>TRIM(CLEAN(PROPER(D635)))</f>
        <v/>
      </c>
      <c r="Q635">
        <f>PROPER(TRIM(SUBSTITUTE(SUBSTITUTE(SUBSTITUTE(SUBSTITUTE(E635,"TRESEMME","Tresemme"),"HEAD &amp; SHOULDERS","Head &amp; Shoulders"),"ELVIVE","Elvive"),"FRUCTIS","Fructis")))</f>
        <v/>
      </c>
      <c r="R635">
        <f>COUNTIF($D$2:$D$10000,D635)&gt;1</f>
        <v/>
      </c>
      <c r="S635">
        <f>IF(H635=TRUE,"Disponible","No disponible")</f>
        <v/>
      </c>
      <c r="T635">
        <f>IF(AND(ISNUMBER(I635),I635&gt;0),ROUND(F635/I635,2),"Sin volumen")</f>
        <v/>
      </c>
      <c r="U635">
        <f>IF(F635&lt;5000,"Bajo",IF(F635&lt;15000,"Medio","Alto"))</f>
        <v/>
      </c>
    </row>
    <row r="636">
      <c r="A636" s="6" t="inlineStr">
        <is>
          <t>Farmacity</t>
        </is>
      </c>
      <c r="B636" s="6" t="n">
        <v>696</v>
      </c>
      <c r="C636" s="6" t="n">
        <v>109079</v>
      </c>
      <c r="D636" s="6" t="inlineStr">
        <is>
          <t>Acondicionador Dove Hidratación + Hialuron Vit x 400 ml</t>
        </is>
      </c>
      <c r="E636" s="6" t="inlineStr">
        <is>
          <t>Dove</t>
        </is>
      </c>
      <c r="F636" s="6" t="n">
        <v>5812</v>
      </c>
      <c r="G636" s="6" t="n">
        <v>9687</v>
      </c>
      <c r="H636" s="6" t="b">
        <v>1</v>
      </c>
      <c r="I636" s="6" t="n">
        <v>400</v>
      </c>
      <c r="J636" s="6" t="n">
        <v>14.53</v>
      </c>
      <c r="K636" s="6" t="inlineStr">
        <is>
          <t>&gt; Cuidado Capilar &gt; Shampoo Y Acondicionador &gt;</t>
        </is>
      </c>
      <c r="L636" s="6" t="inlineStr">
        <is>
          <t>acondicionador</t>
        </is>
      </c>
      <c r="M636" s="6" t="inlineStr">
        <is>
          <t>estandar</t>
        </is>
      </c>
      <c r="N636" s="6" t="inlineStr">
        <is>
          <t>seco_danado</t>
        </is>
      </c>
      <c r="O636" s="6" t="inlineStr">
        <is>
          <t>https://www.farmacity.com/acondicionador-dove-hidratacion-intensa-botella-x-400-ml/p</t>
        </is>
      </c>
      <c r="P636" s="8">
        <f>TRIM(CLEAN(PROPER(D636)))</f>
        <v/>
      </c>
      <c r="Q636" s="8">
        <f>PROPER(TRIM(SUBSTITUTE(SUBSTITUTE(SUBSTITUTE(SUBSTITUTE(E636,"TRESEMME","Tresemme"),"HEAD &amp; SHOULDERS","Head &amp; Shoulders"),"ELVIVE","Elvive"),"FRUCTIS","Fructis")))</f>
        <v/>
      </c>
      <c r="R636" s="8">
        <f>COUNTIF($D$2:$D$10000,D636)&gt;1</f>
        <v/>
      </c>
      <c r="S636" s="8">
        <f>IF(H636=TRUE,"Disponible","No disponible")</f>
        <v/>
      </c>
      <c r="T636" s="8">
        <f>IF(AND(ISNUMBER(I636),I636&gt;0),ROUND(F636/I636,2),"Sin volumen")</f>
        <v/>
      </c>
      <c r="U636" s="8">
        <f>IF(F636&lt;5000,"Bajo",IF(F636&lt;15000,"Medio","Alto"))</f>
        <v/>
      </c>
    </row>
    <row r="637">
      <c r="A637" t="inlineStr">
        <is>
          <t>Farmacity</t>
        </is>
      </c>
      <c r="B637" t="n">
        <v>8895</v>
      </c>
      <c r="C637" t="n">
        <v>156322</v>
      </c>
      <c r="D637" t="inlineStr">
        <is>
          <t>Acondicionador Sedal Ceramidas x 340 ml</t>
        </is>
      </c>
      <c r="E637" t="inlineStr">
        <is>
          <t>Sedal</t>
        </is>
      </c>
      <c r="F637" t="n">
        <v>5836</v>
      </c>
      <c r="G637" t="n">
        <v>5836</v>
      </c>
      <c r="H637" t="b">
        <v>1</v>
      </c>
      <c r="I637" t="n">
        <v>340</v>
      </c>
      <c r="J637" t="n">
        <v>17.1647</v>
      </c>
      <c r="K637" t="inlineStr">
        <is>
          <t>&gt; Cuidado Capilar &gt; Shampoo Y Acondicionador &gt;</t>
        </is>
      </c>
      <c r="L637" t="inlineStr">
        <is>
          <t>acondicionador</t>
        </is>
      </c>
      <c r="M637" t="inlineStr">
        <is>
          <t>estandar</t>
        </is>
      </c>
      <c r="N637" t="inlineStr">
        <is>
          <t>general</t>
        </is>
      </c>
      <c r="O637" t="inlineStr">
        <is>
          <t>https://www.farmacity.com/acondicionador-ceramidas-x-340-ml/p</t>
        </is>
      </c>
      <c r="P637">
        <f>TRIM(CLEAN(PROPER(D637)))</f>
        <v/>
      </c>
      <c r="Q637">
        <f>PROPER(TRIM(SUBSTITUTE(SUBSTITUTE(SUBSTITUTE(SUBSTITUTE(E637,"TRESEMME","Tresemme"),"HEAD &amp; SHOULDERS","Head &amp; Shoulders"),"ELVIVE","Elvive"),"FRUCTIS","Fructis")))</f>
        <v/>
      </c>
      <c r="R637">
        <f>COUNTIF($D$2:$D$10000,D637)&gt;1</f>
        <v/>
      </c>
      <c r="S637">
        <f>IF(H637=TRUE,"Disponible","No disponible")</f>
        <v/>
      </c>
      <c r="T637">
        <f>IF(AND(ISNUMBER(I637),I637&gt;0),ROUND(F637/I637,2),"Sin volumen")</f>
        <v/>
      </c>
      <c r="U637">
        <f>IF(F637&lt;5000,"Bajo",IF(F637&lt;15000,"Medio","Alto"))</f>
        <v/>
      </c>
    </row>
    <row r="638">
      <c r="A638" s="6" t="inlineStr">
        <is>
          <t>Farmacity</t>
        </is>
      </c>
      <c r="B638" s="6" t="n">
        <v>8852</v>
      </c>
      <c r="C638" s="6" t="n">
        <v>156291</v>
      </c>
      <c r="D638" s="6" t="inlineStr">
        <is>
          <t>Acondicionador Sedal Crema Balance Toque Seda x 190 ml</t>
        </is>
      </c>
      <c r="E638" s="6" t="inlineStr">
        <is>
          <t>Sedal</t>
        </is>
      </c>
      <c r="F638" s="6" t="n">
        <v>3907</v>
      </c>
      <c r="G638" s="6" t="n">
        <v>3907</v>
      </c>
      <c r="H638" s="6" t="b">
        <v>1</v>
      </c>
      <c r="I638" s="6" t="n">
        <v>190</v>
      </c>
      <c r="J638" s="6" t="n">
        <v>20.5632</v>
      </c>
      <c r="K638" s="6" t="inlineStr">
        <is>
          <t>&gt; Cuidado Capilar &gt; Shampoo Y Acondicionador &gt;</t>
        </is>
      </c>
      <c r="L638" s="6" t="inlineStr">
        <is>
          <t>acondicionador</t>
        </is>
      </c>
      <c r="M638" s="6" t="inlineStr">
        <is>
          <t>estandar</t>
        </is>
      </c>
      <c r="N638" s="6" t="inlineStr">
        <is>
          <t>general</t>
        </is>
      </c>
      <c r="O638" s="6" t="inlineStr">
        <is>
          <t>https://www.farmacity.com/acondicionador-crema-balance-x-190-ml/p</t>
        </is>
      </c>
      <c r="P638" s="8">
        <f>TRIM(CLEAN(PROPER(D638)))</f>
        <v/>
      </c>
      <c r="Q638" s="8">
        <f>PROPER(TRIM(SUBSTITUTE(SUBSTITUTE(SUBSTITUTE(SUBSTITUTE(E638,"TRESEMME","Tresemme"),"HEAD &amp; SHOULDERS","Head &amp; Shoulders"),"ELVIVE","Elvive"),"FRUCTIS","Fructis")))</f>
        <v/>
      </c>
      <c r="R638" s="8">
        <f>COUNTIF($D$2:$D$10000,D638)&gt;1</f>
        <v/>
      </c>
      <c r="S638" s="8">
        <f>IF(H638=TRUE,"Disponible","No disponible")</f>
        <v/>
      </c>
      <c r="T638" s="8">
        <f>IF(AND(ISNUMBER(I638),I638&gt;0),ROUND(F638/I638,2),"Sin volumen")</f>
        <v/>
      </c>
      <c r="U638" s="8">
        <f>IF(F638&lt;5000,"Bajo",IF(F638&lt;15000,"Medio","Alto"))</f>
        <v/>
      </c>
    </row>
    <row r="639">
      <c r="A639" t="inlineStr">
        <is>
          <t>Farmacity</t>
        </is>
      </c>
      <c r="B639" t="n">
        <v>573</v>
      </c>
      <c r="C639" t="n">
        <v>128787</v>
      </c>
      <c r="D639" t="inlineStr">
        <is>
          <t>Acondicionador Dove Regeneración + Retinol x 200 ml</t>
        </is>
      </c>
      <c r="E639" t="inlineStr">
        <is>
          <t>Dove</t>
        </is>
      </c>
      <c r="F639" t="n">
        <v>5788</v>
      </c>
      <c r="G639" t="n">
        <v>5788</v>
      </c>
      <c r="H639" t="b">
        <v>1</v>
      </c>
      <c r="I639" t="n">
        <v>200</v>
      </c>
      <c r="J639" t="n">
        <v>28.94</v>
      </c>
      <c r="K639" t="inlineStr">
        <is>
          <t>&gt; Cuidado Capilar &gt; Shampoo Y Acondicionador &gt;</t>
        </is>
      </c>
      <c r="L639" t="inlineStr">
        <is>
          <t>acondicionador</t>
        </is>
      </c>
      <c r="M639" t="inlineStr">
        <is>
          <t>estandar</t>
        </is>
      </c>
      <c r="N639" t="inlineStr">
        <is>
          <t>general</t>
        </is>
      </c>
      <c r="O639" t="inlineStr">
        <is>
          <t>https://www.farmacity.com/acondicionador-dove-reconstruccion-completa-botella-x-200-ml/p</t>
        </is>
      </c>
      <c r="P639">
        <f>TRIM(CLEAN(PROPER(D639)))</f>
        <v/>
      </c>
      <c r="Q639">
        <f>PROPER(TRIM(SUBSTITUTE(SUBSTITUTE(SUBSTITUTE(SUBSTITUTE(E639,"TRESEMME","Tresemme"),"HEAD &amp; SHOULDERS","Head &amp; Shoulders"),"ELVIVE","Elvive"),"FRUCTIS","Fructis")))</f>
        <v/>
      </c>
      <c r="R639">
        <f>COUNTIF($D$2:$D$10000,D639)&gt;1</f>
        <v/>
      </c>
      <c r="S639">
        <f>IF(H639=TRUE,"Disponible","No disponible")</f>
        <v/>
      </c>
      <c r="T639">
        <f>IF(AND(ISNUMBER(I639),I639&gt;0),ROUND(F639/I639,2),"Sin volumen")</f>
        <v/>
      </c>
      <c r="U639">
        <f>IF(F639&lt;5000,"Bajo",IF(F639&lt;15000,"Medio","Alto"))</f>
        <v/>
      </c>
    </row>
    <row r="640">
      <c r="A640" s="6" t="inlineStr">
        <is>
          <t>Farmacity</t>
        </is>
      </c>
      <c r="B640" s="6" t="n">
        <v>16489</v>
      </c>
      <c r="C640" s="6" t="n">
        <v>162824</v>
      </c>
      <c r="D640" s="6" t="inlineStr">
        <is>
          <t>Acondicionador Dove Humectación + Coco Antioxi x 200 ml</t>
        </is>
      </c>
      <c r="E640" s="6" t="inlineStr">
        <is>
          <t>Dove</t>
        </is>
      </c>
      <c r="F640" s="6" t="n">
        <v>5788</v>
      </c>
      <c r="G640" s="6" t="n">
        <v>5788</v>
      </c>
      <c r="H640" s="6" t="b">
        <v>1</v>
      </c>
      <c r="I640" s="6" t="n">
        <v>200</v>
      </c>
      <c r="J640" s="6" t="n">
        <v>28.94</v>
      </c>
      <c r="K640" s="6" t="inlineStr">
        <is>
          <t>&gt; Cuidado Capilar &gt; Shampoo Y Acondicionador &gt;</t>
        </is>
      </c>
      <c r="L640" s="6" t="inlineStr">
        <is>
          <t>acondicionador</t>
        </is>
      </c>
      <c r="M640" s="6" t="inlineStr">
        <is>
          <t>estandar</t>
        </is>
      </c>
      <c r="N640" s="6" t="inlineStr">
        <is>
          <t>general</t>
        </is>
      </c>
      <c r="O640" s="6" t="inlineStr">
        <is>
          <t>https://www.farmacity.com/acond-dove-ritual-de-reparacion-x-200ml/p</t>
        </is>
      </c>
      <c r="P640" s="8">
        <f>TRIM(CLEAN(PROPER(D640)))</f>
        <v/>
      </c>
      <c r="Q640" s="8">
        <f>PROPER(TRIM(SUBSTITUTE(SUBSTITUTE(SUBSTITUTE(SUBSTITUTE(E640,"TRESEMME","Tresemme"),"HEAD &amp; SHOULDERS","Head &amp; Shoulders"),"ELVIVE","Elvive"),"FRUCTIS","Fructis")))</f>
        <v/>
      </c>
      <c r="R640" s="8">
        <f>COUNTIF($D$2:$D$10000,D640)&gt;1</f>
        <v/>
      </c>
      <c r="S640" s="8">
        <f>IF(H640=TRUE,"Disponible","No disponible")</f>
        <v/>
      </c>
      <c r="T640" s="8">
        <f>IF(AND(ISNUMBER(I640),I640&gt;0),ROUND(F640/I640,2),"Sin volumen")</f>
        <v/>
      </c>
      <c r="U640" s="8">
        <f>IF(F640&lt;5000,"Bajo",IF(F640&lt;15000,"Medio","Alto"))</f>
        <v/>
      </c>
    </row>
    <row r="641">
      <c r="A641" t="inlineStr">
        <is>
          <t>Farmacity</t>
        </is>
      </c>
      <c r="B641" t="n">
        <v>221812</v>
      </c>
      <c r="C641" t="n">
        <v>221812</v>
      </c>
      <c r="D641" t="inlineStr">
        <is>
          <t>Acondicionador Sedal Colágeno + Vitamina C x 340 ml</t>
        </is>
      </c>
      <c r="E641" t="inlineStr">
        <is>
          <t>Sedal</t>
        </is>
      </c>
      <c r="F641" t="n">
        <v>5841</v>
      </c>
      <c r="G641" t="n">
        <v>5841</v>
      </c>
      <c r="H641" t="b">
        <v>1</v>
      </c>
      <c r="I641" t="n">
        <v>340</v>
      </c>
      <c r="J641" t="n">
        <v>17.1794</v>
      </c>
      <c r="K641" t="inlineStr">
        <is>
          <t>&gt; Cuidado Capilar &gt; Shampoo Y Acondicionador &gt;</t>
        </is>
      </c>
      <c r="L641" t="inlineStr">
        <is>
          <t>acondicionador</t>
        </is>
      </c>
      <c r="M641" t="inlineStr">
        <is>
          <t>estandar</t>
        </is>
      </c>
      <c r="N641" t="inlineStr">
        <is>
          <t>general</t>
        </is>
      </c>
      <c r="O641" t="inlineStr">
        <is>
          <t>https://www.farmacity.com/acondicionador-sedal-colageno-vitamina-c-x-340-ml/p</t>
        </is>
      </c>
      <c r="P641">
        <f>TRIM(CLEAN(PROPER(D641)))</f>
        <v/>
      </c>
      <c r="Q641">
        <f>PROPER(TRIM(SUBSTITUTE(SUBSTITUTE(SUBSTITUTE(SUBSTITUTE(E641,"TRESEMME","Tresemme"),"HEAD &amp; SHOULDERS","Head &amp; Shoulders"),"ELVIVE","Elvive"),"FRUCTIS","Fructis")))</f>
        <v/>
      </c>
      <c r="R641">
        <f>COUNTIF($D$2:$D$10000,D641)&gt;1</f>
        <v/>
      </c>
      <c r="S641">
        <f>IF(H641=TRUE,"Disponible","No disponible")</f>
        <v/>
      </c>
      <c r="T641">
        <f>IF(AND(ISNUMBER(I641),I641&gt;0),ROUND(F641/I641,2),"Sin volumen")</f>
        <v/>
      </c>
      <c r="U641">
        <f>IF(F641&lt;5000,"Bajo",IF(F641&lt;15000,"Medio","Alto"))</f>
        <v/>
      </c>
    </row>
    <row r="642">
      <c r="A642" s="6" t="inlineStr">
        <is>
          <t>Farmacity</t>
        </is>
      </c>
      <c r="B642" s="6" t="n">
        <v>241004</v>
      </c>
      <c r="C642" s="6" t="n">
        <v>241004</v>
      </c>
      <c r="D642" s="6" t="inlineStr">
        <is>
          <t>Acondicionador Dove Bond Intense Repair x 250 ml</t>
        </is>
      </c>
      <c r="E642" s="6" t="inlineStr">
        <is>
          <t>Dove</t>
        </is>
      </c>
      <c r="F642" s="6" t="n">
        <v>5404</v>
      </c>
      <c r="G642" s="6" t="n">
        <v>9006</v>
      </c>
      <c r="H642" s="6" t="b">
        <v>1</v>
      </c>
      <c r="I642" s="6" t="n">
        <v>250</v>
      </c>
      <c r="J642" s="6" t="n">
        <v>21.616</v>
      </c>
      <c r="K642" s="6" t="inlineStr">
        <is>
          <t>&gt; Cuidado Capilar &gt; Shampoo Y Acondicionador &gt;</t>
        </is>
      </c>
      <c r="L642" s="6" t="inlineStr">
        <is>
          <t>acondicionador</t>
        </is>
      </c>
      <c r="M642" s="6" t="inlineStr">
        <is>
          <t>profesional</t>
        </is>
      </c>
      <c r="N642" s="6" t="inlineStr">
        <is>
          <t>general</t>
        </is>
      </c>
      <c r="O642" s="6" t="inlineStr">
        <is>
          <t>https://www.farmacity.com/acondicionador-dove-bond-intense-repair-x-250-ml/p</t>
        </is>
      </c>
      <c r="P642" s="8">
        <f>TRIM(CLEAN(PROPER(D642)))</f>
        <v/>
      </c>
      <c r="Q642" s="8">
        <f>PROPER(TRIM(SUBSTITUTE(SUBSTITUTE(SUBSTITUTE(SUBSTITUTE(E642,"TRESEMME","Tresemme"),"HEAD &amp; SHOULDERS","Head &amp; Shoulders"),"ELVIVE","Elvive"),"FRUCTIS","Fructis")))</f>
        <v/>
      </c>
      <c r="R642" s="8">
        <f>COUNTIF($D$2:$D$10000,D642)&gt;1</f>
        <v/>
      </c>
      <c r="S642" s="8">
        <f>IF(H642=TRUE,"Disponible","No disponible")</f>
        <v/>
      </c>
      <c r="T642" s="8">
        <f>IF(AND(ISNUMBER(I642),I642&gt;0),ROUND(F642/I642,2),"Sin volumen")</f>
        <v/>
      </c>
      <c r="U642" s="8">
        <f>IF(F642&lt;5000,"Bajo",IF(F642&lt;15000,"Medio","Alto"))</f>
        <v/>
      </c>
    </row>
    <row r="643">
      <c r="A643" t="inlineStr">
        <is>
          <t>Farmacity</t>
        </is>
      </c>
      <c r="B643" t="n">
        <v>16486</v>
      </c>
      <c r="C643" t="n">
        <v>162825</v>
      </c>
      <c r="D643" t="inlineStr">
        <is>
          <t>Acondicionador Dove Humectación + Coco Antioxi  x 400 ml</t>
        </is>
      </c>
      <c r="E643" t="inlineStr">
        <is>
          <t>Dove</t>
        </is>
      </c>
      <c r="F643" t="n">
        <v>5812</v>
      </c>
      <c r="G643" t="n">
        <v>9687</v>
      </c>
      <c r="H643" t="b">
        <v>1</v>
      </c>
      <c r="I643" t="n">
        <v>400</v>
      </c>
      <c r="J643" t="n">
        <v>14.53</v>
      </c>
      <c r="K643" t="inlineStr">
        <is>
          <t>&gt; Cuidado Capilar &gt; Shampoo Y Acondicionador &gt;</t>
        </is>
      </c>
      <c r="L643" t="inlineStr">
        <is>
          <t>acondicionador</t>
        </is>
      </c>
      <c r="M643" t="inlineStr">
        <is>
          <t>estandar</t>
        </is>
      </c>
      <c r="N643" t="inlineStr">
        <is>
          <t>general</t>
        </is>
      </c>
      <c r="O643" t="inlineStr">
        <is>
          <t>https://www.farmacity.com/acond-dove-ritual-de-reparacion-x-400ml/p</t>
        </is>
      </c>
      <c r="P643">
        <f>TRIM(CLEAN(PROPER(D643)))</f>
        <v/>
      </c>
      <c r="Q643">
        <f>PROPER(TRIM(SUBSTITUTE(SUBSTITUTE(SUBSTITUTE(SUBSTITUTE(E643,"TRESEMME","Tresemme"),"HEAD &amp; SHOULDERS","Head &amp; Shoulders"),"ELVIVE","Elvive"),"FRUCTIS","Fructis")))</f>
        <v/>
      </c>
      <c r="R643">
        <f>COUNTIF($D$2:$D$10000,D643)&gt;1</f>
        <v/>
      </c>
      <c r="S643">
        <f>IF(H643=TRUE,"Disponible","No disponible")</f>
        <v/>
      </c>
      <c r="T643">
        <f>IF(AND(ISNUMBER(I643),I643&gt;0),ROUND(F643/I643,2),"Sin volumen")</f>
        <v/>
      </c>
      <c r="U643">
        <f>IF(F643&lt;5000,"Bajo",IF(F643&lt;15000,"Medio","Alto"))</f>
        <v/>
      </c>
    </row>
    <row r="644">
      <c r="A644" s="6" t="inlineStr">
        <is>
          <t>Farmacity</t>
        </is>
      </c>
      <c r="B644" s="6" t="n">
        <v>231816</v>
      </c>
      <c r="C644" s="6" t="n">
        <v>231816</v>
      </c>
      <c r="D644" s="6" t="inlineStr">
        <is>
          <t>Crema para Peinar Fructis Liso Coco x 250 ml</t>
        </is>
      </c>
      <c r="E644" s="6" t="inlineStr">
        <is>
          <t>Fructis</t>
        </is>
      </c>
      <c r="F644" s="6" t="n">
        <v>7490</v>
      </c>
      <c r="G644" s="6" t="n">
        <v>7490</v>
      </c>
      <c r="H644" s="6" t="b">
        <v>1</v>
      </c>
      <c r="I644" s="6" t="n">
        <v>250</v>
      </c>
      <c r="J644" s="6" t="n">
        <v>29.96</v>
      </c>
      <c r="K644" s="6" t="inlineStr">
        <is>
          <t>&gt; Cuidado Capilar &gt; Modelado Y Peinado &gt;</t>
        </is>
      </c>
      <c r="L644" s="6" t="inlineStr">
        <is>
          <t>shampoo</t>
        </is>
      </c>
      <c r="M644" s="6" t="inlineStr">
        <is>
          <t>estandar</t>
        </is>
      </c>
      <c r="N644" s="6" t="inlineStr">
        <is>
          <t>general</t>
        </is>
      </c>
      <c r="O644" s="6" t="inlineStr">
        <is>
          <t>https://www.farmacity.com/crema-para-peinar-fructis-coco-x-250-ml/p</t>
        </is>
      </c>
      <c r="P644" s="8">
        <f>TRIM(CLEAN(PROPER(D644)))</f>
        <v/>
      </c>
      <c r="Q644" s="8">
        <f>PROPER(TRIM(SUBSTITUTE(SUBSTITUTE(SUBSTITUTE(SUBSTITUTE(E644,"TRESEMME","Tresemme"),"HEAD &amp; SHOULDERS","Head &amp; Shoulders"),"ELVIVE","Elvive"),"FRUCTIS","Fructis")))</f>
        <v/>
      </c>
      <c r="R644" s="8">
        <f>COUNTIF($D$2:$D$10000,D644)&gt;1</f>
        <v/>
      </c>
      <c r="S644" s="8">
        <f>IF(H644=TRUE,"Disponible","No disponible")</f>
        <v/>
      </c>
      <c r="T644" s="8">
        <f>IF(AND(ISNUMBER(I644),I644&gt;0),ROUND(F644/I644,2),"Sin volumen")</f>
        <v/>
      </c>
      <c r="U644" s="8">
        <f>IF(F644&lt;5000,"Bajo",IF(F644&lt;15000,"Medio","Alto"))</f>
        <v/>
      </c>
    </row>
    <row r="645">
      <c r="A645" t="inlineStr">
        <is>
          <t>Farmacity</t>
        </is>
      </c>
      <c r="B645" t="n">
        <v>230625</v>
      </c>
      <c r="C645" t="n">
        <v>230625</v>
      </c>
      <c r="D645" t="inlineStr">
        <is>
          <t>Acondicionador Tresemmé Liso Efecto Botox x 250 ml</t>
        </is>
      </c>
      <c r="E645" t="inlineStr">
        <is>
          <t>Tresemmé</t>
        </is>
      </c>
      <c r="F645" t="n">
        <v>6091</v>
      </c>
      <c r="G645" t="n">
        <v>6091</v>
      </c>
      <c r="H645" t="b">
        <v>1</v>
      </c>
      <c r="I645" t="n">
        <v>250</v>
      </c>
      <c r="J645" t="n">
        <v>24.364</v>
      </c>
      <c r="K645" t="inlineStr">
        <is>
          <t>&gt; Cuidado Capilar &gt; Shampoo Y Acondicionador &gt;</t>
        </is>
      </c>
      <c r="L645" t="inlineStr">
        <is>
          <t>acondicionador</t>
        </is>
      </c>
      <c r="M645" t="inlineStr">
        <is>
          <t>estandar</t>
        </is>
      </c>
      <c r="N645" t="inlineStr">
        <is>
          <t>general</t>
        </is>
      </c>
      <c r="O645" t="inlineStr">
        <is>
          <t>https://www.farmacity.com/acondicionador-tresemme-liso-efecto-botox-x-250-ml/p</t>
        </is>
      </c>
      <c r="P645">
        <f>TRIM(CLEAN(PROPER(D645)))</f>
        <v/>
      </c>
      <c r="Q645">
        <f>PROPER(TRIM(SUBSTITUTE(SUBSTITUTE(SUBSTITUTE(SUBSTITUTE(E645,"TRESEMME","Tresemme"),"HEAD &amp; SHOULDERS","Head &amp; Shoulders"),"ELVIVE","Elvive"),"FRUCTIS","Fructis")))</f>
        <v/>
      </c>
      <c r="R645">
        <f>COUNTIF($D$2:$D$10000,D645)&gt;1</f>
        <v/>
      </c>
      <c r="S645">
        <f>IF(H645=TRUE,"Disponible","No disponible")</f>
        <v/>
      </c>
      <c r="T645">
        <f>IF(AND(ISNUMBER(I645),I645&gt;0),ROUND(F645/I645,2),"Sin volumen")</f>
        <v/>
      </c>
      <c r="U645">
        <f>IF(F645&lt;5000,"Bajo",IF(F645&lt;15000,"Medio","Alto"))</f>
        <v/>
      </c>
    </row>
    <row r="646">
      <c r="A646" s="6" t="inlineStr">
        <is>
          <t>Farmacity</t>
        </is>
      </c>
      <c r="B646" s="6" t="n">
        <v>245065</v>
      </c>
      <c r="C646" s="6" t="n">
        <v>245065</v>
      </c>
      <c r="D646" s="6" t="inlineStr">
        <is>
          <t>Combo Gel Fijador + Tratamiento Capilar</t>
        </is>
      </c>
      <c r="E646" s="6" t="inlineStr">
        <is>
          <t>Issue</t>
        </is>
      </c>
      <c r="F646" s="6" t="n">
        <v>7936</v>
      </c>
      <c r="G646" s="6" t="n">
        <v>7936</v>
      </c>
      <c r="H646" s="6" t="b">
        <v>1</v>
      </c>
      <c r="I646" s="6" t="inlineStr"/>
      <c r="J646" s="6" t="inlineStr"/>
      <c r="K646" s="6" t="inlineStr">
        <is>
          <t>&gt; Cuidado Capilar &gt; Modelado Y Peinado &gt;</t>
        </is>
      </c>
      <c r="L646" s="6" t="inlineStr">
        <is>
          <t>tratamiento</t>
        </is>
      </c>
      <c r="M646" s="6" t="inlineStr">
        <is>
          <t>estandar</t>
        </is>
      </c>
      <c r="N646" s="6" t="inlineStr">
        <is>
          <t>general</t>
        </is>
      </c>
      <c r="O646" s="6" t="inlineStr">
        <is>
          <t>https://www.farmacity.com/combo-gel-fijador-tratamiento-capilar/p</t>
        </is>
      </c>
      <c r="P646" s="8">
        <f>TRIM(CLEAN(PROPER(D646)))</f>
        <v/>
      </c>
      <c r="Q646" s="8">
        <f>PROPER(TRIM(SUBSTITUTE(SUBSTITUTE(SUBSTITUTE(SUBSTITUTE(E646,"TRESEMME","Tresemme"),"HEAD &amp; SHOULDERS","Head &amp; Shoulders"),"ELVIVE","Elvive"),"FRUCTIS","Fructis")))</f>
        <v/>
      </c>
      <c r="R646" s="8">
        <f>COUNTIF($D$2:$D$10000,D646)&gt;1</f>
        <v/>
      </c>
      <c r="S646" s="8">
        <f>IF(H646=TRUE,"Disponible","No disponible")</f>
        <v/>
      </c>
      <c r="T646" s="8">
        <f>IF(AND(ISNUMBER(I646),I646&gt;0),ROUND(F646/I646,2),"Sin volumen")</f>
        <v/>
      </c>
      <c r="U646" s="8">
        <f>IF(F646&lt;5000,"Bajo",IF(F646&lt;15000,"Medio","Alto"))</f>
        <v/>
      </c>
    </row>
    <row r="647">
      <c r="A647" t="inlineStr">
        <is>
          <t>Farmacity</t>
        </is>
      </c>
      <c r="B647" t="n">
        <v>235834</v>
      </c>
      <c r="C647" t="n">
        <v>235834</v>
      </c>
      <c r="D647" t="inlineStr">
        <is>
          <t>Tratamiento Capilar Farmacity Banana x 20 g</t>
        </is>
      </c>
      <c r="E647" t="inlineStr">
        <is>
          <t>Farmacity</t>
        </is>
      </c>
      <c r="F647" t="n">
        <v>1020</v>
      </c>
      <c r="G647" t="n">
        <v>1020</v>
      </c>
      <c r="H647" t="b">
        <v>1</v>
      </c>
      <c r="I647" t="n">
        <v>20</v>
      </c>
      <c r="J647" t="n">
        <v>51</v>
      </c>
      <c r="K647" t="inlineStr">
        <is>
          <t>&gt; Cuidado Capilar &gt; Reparación Y Tratamiento &gt;</t>
        </is>
      </c>
      <c r="L647" t="inlineStr">
        <is>
          <t>tratamiento</t>
        </is>
      </c>
      <c r="M647" t="inlineStr">
        <is>
          <t>estandar</t>
        </is>
      </c>
      <c r="N647" t="inlineStr">
        <is>
          <t>general</t>
        </is>
      </c>
      <c r="O647" t="inlineStr">
        <is>
          <t>https://www.farmacity.com/tratamiento-capilar-farmacity-banana-x-20-g/p</t>
        </is>
      </c>
      <c r="P647">
        <f>TRIM(CLEAN(PROPER(D647)))</f>
        <v/>
      </c>
      <c r="Q647">
        <f>PROPER(TRIM(SUBSTITUTE(SUBSTITUTE(SUBSTITUTE(SUBSTITUTE(E647,"TRESEMME","Tresemme"),"HEAD &amp; SHOULDERS","Head &amp; Shoulders"),"ELVIVE","Elvive"),"FRUCTIS","Fructis")))</f>
        <v/>
      </c>
      <c r="R647">
        <f>COUNTIF($D$2:$D$10000,D647)&gt;1</f>
        <v/>
      </c>
      <c r="S647">
        <f>IF(H647=TRUE,"Disponible","No disponible")</f>
        <v/>
      </c>
      <c r="T647">
        <f>IF(AND(ISNUMBER(I647),I647&gt;0),ROUND(F647/I647,2),"Sin volumen")</f>
        <v/>
      </c>
      <c r="U647">
        <f>IF(F647&lt;5000,"Bajo",IF(F647&lt;15000,"Medio","Alto"))</f>
        <v/>
      </c>
    </row>
    <row r="648">
      <c r="A648" s="6" t="inlineStr">
        <is>
          <t>Farmacity</t>
        </is>
      </c>
      <c r="B648" s="6" t="n">
        <v>249901</v>
      </c>
      <c r="C648" s="6" t="n">
        <v>249901</v>
      </c>
      <c r="D648" s="6" t="inlineStr">
        <is>
          <t>Tratamiento Capilar Primont Queration x 220 g</t>
        </is>
      </c>
      <c r="E648" s="6" t="inlineStr">
        <is>
          <t>Primont</t>
        </is>
      </c>
      <c r="F648" s="6" t="n">
        <v>8294</v>
      </c>
      <c r="G648" s="6" t="n">
        <v>8294</v>
      </c>
      <c r="H648" s="6" t="b">
        <v>1</v>
      </c>
      <c r="I648" s="6" t="n">
        <v>220</v>
      </c>
      <c r="J648" s="6" t="n">
        <v>37.7</v>
      </c>
      <c r="K648" s="6" t="inlineStr">
        <is>
          <t>&gt; Cuidado Capilar &gt; Reparación Y Tratamiento &gt;</t>
        </is>
      </c>
      <c r="L648" s="6" t="inlineStr">
        <is>
          <t>tratamiento</t>
        </is>
      </c>
      <c r="M648" s="6" t="inlineStr">
        <is>
          <t>estandar</t>
        </is>
      </c>
      <c r="N648" s="6" t="inlineStr">
        <is>
          <t>general</t>
        </is>
      </c>
      <c r="O648" s="6" t="inlineStr">
        <is>
          <t>https://www.farmacity.com/tratamiento-capilar-primont-queration-x-220-g/p</t>
        </is>
      </c>
      <c r="P648" s="8">
        <f>TRIM(CLEAN(PROPER(D648)))</f>
        <v/>
      </c>
      <c r="Q648" s="8">
        <f>PROPER(TRIM(SUBSTITUTE(SUBSTITUTE(SUBSTITUTE(SUBSTITUTE(E648,"TRESEMME","Tresemme"),"HEAD &amp; SHOULDERS","Head &amp; Shoulders"),"ELVIVE","Elvive"),"FRUCTIS","Fructis")))</f>
        <v/>
      </c>
      <c r="R648" s="8">
        <f>COUNTIF($D$2:$D$10000,D648)&gt;1</f>
        <v/>
      </c>
      <c r="S648" s="8">
        <f>IF(H648=TRUE,"Disponible","No disponible")</f>
        <v/>
      </c>
      <c r="T648" s="8">
        <f>IF(AND(ISNUMBER(I648),I648&gt;0),ROUND(F648/I648,2),"Sin volumen")</f>
        <v/>
      </c>
      <c r="U648" s="8">
        <f>IF(F648&lt;5000,"Bajo",IF(F648&lt;15000,"Medio","Alto"))</f>
        <v/>
      </c>
    </row>
    <row r="649">
      <c r="A649" t="inlineStr">
        <is>
          <t>Farmacity</t>
        </is>
      </c>
      <c r="B649" t="n">
        <v>1040</v>
      </c>
      <c r="C649" t="n">
        <v>17645</v>
      </c>
      <c r="D649" t="inlineStr">
        <is>
          <t>Tratamiento Capilar Biferdil Térmico x 245 ml</t>
        </is>
      </c>
      <c r="E649" t="inlineStr">
        <is>
          <t>Biferdil</t>
        </is>
      </c>
      <c r="F649" t="n">
        <v>14904</v>
      </c>
      <c r="G649" t="n">
        <v>14904</v>
      </c>
      <c r="H649" t="b">
        <v>1</v>
      </c>
      <c r="I649" t="n">
        <v>245</v>
      </c>
      <c r="J649" t="n">
        <v>60.8327</v>
      </c>
      <c r="K649" t="inlineStr">
        <is>
          <t>&gt; Cuidado Capilar &gt; Reparación Y Tratamiento &gt;</t>
        </is>
      </c>
      <c r="L649" t="inlineStr">
        <is>
          <t>tratamiento</t>
        </is>
      </c>
      <c r="M649" t="inlineStr">
        <is>
          <t>estandar</t>
        </is>
      </c>
      <c r="N649" t="inlineStr">
        <is>
          <t>general</t>
        </is>
      </c>
      <c r="O649" t="inlineStr">
        <is>
          <t>https://www.farmacity.com/tratamiento-protector-termico-x-250-ml/p</t>
        </is>
      </c>
      <c r="P649">
        <f>TRIM(CLEAN(PROPER(D649)))</f>
        <v/>
      </c>
      <c r="Q649">
        <f>PROPER(TRIM(SUBSTITUTE(SUBSTITUTE(SUBSTITUTE(SUBSTITUTE(E649,"TRESEMME","Tresemme"),"HEAD &amp; SHOULDERS","Head &amp; Shoulders"),"ELVIVE","Elvive"),"FRUCTIS","Fructis")))</f>
        <v/>
      </c>
      <c r="R649">
        <f>COUNTIF($D$2:$D$10000,D649)&gt;1</f>
        <v/>
      </c>
      <c r="S649">
        <f>IF(H649=TRUE,"Disponible","No disponible")</f>
        <v/>
      </c>
      <c r="T649">
        <f>IF(AND(ISNUMBER(I649),I649&gt;0),ROUND(F649/I649,2),"Sin volumen")</f>
        <v/>
      </c>
      <c r="U649">
        <f>IF(F649&lt;5000,"Bajo",IF(F649&lt;15000,"Medio","Alto"))</f>
        <v/>
      </c>
    </row>
    <row r="650">
      <c r="A650" s="6" t="inlineStr">
        <is>
          <t>Farmacity</t>
        </is>
      </c>
      <c r="B650" s="6" t="n">
        <v>249888</v>
      </c>
      <c r="C650" s="6" t="n">
        <v>249888</v>
      </c>
      <c r="D650" s="6" t="inlineStr">
        <is>
          <t>Tratamiento Capilar Natucapil Nl x 30 Caps</t>
        </is>
      </c>
      <c r="E650" s="6" t="inlineStr">
        <is>
          <t>Natural Life</t>
        </is>
      </c>
      <c r="F650" s="6" t="n">
        <v>26700</v>
      </c>
      <c r="G650" s="6" t="n">
        <v>26700</v>
      </c>
      <c r="H650" s="6" t="b">
        <v>1</v>
      </c>
      <c r="I650" s="6" t="inlineStr"/>
      <c r="J650" s="6" t="inlineStr"/>
      <c r="K650" s="6" t="inlineStr">
        <is>
          <t>&gt; Nutrición Y Deportes &gt; Suplementos Dietarios &gt; Piel, Uñas Y Cabello &gt;</t>
        </is>
      </c>
      <c r="L650" s="6" t="inlineStr">
        <is>
          <t>tratamiento</t>
        </is>
      </c>
      <c r="M650" s="6" t="inlineStr">
        <is>
          <t>estandar</t>
        </is>
      </c>
      <c r="N650" s="6" t="inlineStr">
        <is>
          <t>general</t>
        </is>
      </c>
      <c r="O650" s="6" t="inlineStr">
        <is>
          <t>https://www.farmacity.com/tratamiento-capilar-natucapil-nl-x-30-caps/p</t>
        </is>
      </c>
      <c r="P650" s="8">
        <f>TRIM(CLEAN(PROPER(D650)))</f>
        <v/>
      </c>
      <c r="Q650" s="8">
        <f>PROPER(TRIM(SUBSTITUTE(SUBSTITUTE(SUBSTITUTE(SUBSTITUTE(E650,"TRESEMME","Tresemme"),"HEAD &amp; SHOULDERS","Head &amp; Shoulders"),"ELVIVE","Elvive"),"FRUCTIS","Fructis")))</f>
        <v/>
      </c>
      <c r="R650" s="8">
        <f>COUNTIF($D$2:$D$10000,D650)&gt;1</f>
        <v/>
      </c>
      <c r="S650" s="8">
        <f>IF(H650=TRUE,"Disponible","No disponible")</f>
        <v/>
      </c>
      <c r="T650" s="8">
        <f>IF(AND(ISNUMBER(I650),I650&gt;0),ROUND(F650/I650,2),"Sin volumen")</f>
        <v/>
      </c>
      <c r="U650" s="8">
        <f>IF(F650&lt;5000,"Bajo",IF(F650&lt;15000,"Medio","Alto"))</f>
        <v/>
      </c>
    </row>
    <row r="651">
      <c r="A651" t="inlineStr">
        <is>
          <t>Farmacity</t>
        </is>
      </c>
      <c r="B651" t="n">
        <v>238112</v>
      </c>
      <c r="C651" t="n">
        <v>238112</v>
      </c>
      <c r="D651" t="inlineStr">
        <is>
          <t>Gorra para Tratamiento Capilar Studio 9 Aluminio</t>
        </is>
      </c>
      <c r="E651" t="inlineStr">
        <is>
          <t>Studio 9</t>
        </is>
      </c>
      <c r="F651" t="n">
        <v>5166</v>
      </c>
      <c r="G651" t="n">
        <v>8610</v>
      </c>
      <c r="H651" t="b">
        <v>1</v>
      </c>
      <c r="I651" t="inlineStr"/>
      <c r="J651" t="inlineStr"/>
      <c r="K651" t="inlineStr">
        <is>
          <t>&gt; Cuidado Personal &gt; Higiene Personal &gt; Jabones Y Ducha &gt;</t>
        </is>
      </c>
      <c r="L651" t="inlineStr">
        <is>
          <t>tratamiento</t>
        </is>
      </c>
      <c r="M651" t="inlineStr">
        <is>
          <t>estandar</t>
        </is>
      </c>
      <c r="N651" t="inlineStr">
        <is>
          <t>general</t>
        </is>
      </c>
      <c r="O651" t="inlineStr">
        <is>
          <t>https://www.farmacity.com/gorra-para-tratamiento-capilar-studio-9-aluminio/p</t>
        </is>
      </c>
      <c r="P651">
        <f>TRIM(CLEAN(PROPER(D651)))</f>
        <v/>
      </c>
      <c r="Q651">
        <f>PROPER(TRIM(SUBSTITUTE(SUBSTITUTE(SUBSTITUTE(SUBSTITUTE(E651,"TRESEMME","Tresemme"),"HEAD &amp; SHOULDERS","Head &amp; Shoulders"),"ELVIVE","Elvive"),"FRUCTIS","Fructis")))</f>
        <v/>
      </c>
      <c r="R651">
        <f>COUNTIF($D$2:$D$10000,D651)&gt;1</f>
        <v/>
      </c>
      <c r="S651">
        <f>IF(H651=TRUE,"Disponible","No disponible")</f>
        <v/>
      </c>
      <c r="T651">
        <f>IF(AND(ISNUMBER(I651),I651&gt;0),ROUND(F651/I651,2),"Sin volumen")</f>
        <v/>
      </c>
      <c r="U651">
        <f>IF(F651&lt;5000,"Bajo",IF(F651&lt;15000,"Medio","Alto"))</f>
        <v/>
      </c>
    </row>
    <row r="652">
      <c r="A652" s="6" t="inlineStr">
        <is>
          <t>Farmacity</t>
        </is>
      </c>
      <c r="B652" s="6" t="n">
        <v>212303</v>
      </c>
      <c r="C652" s="6" t="n">
        <v>212303</v>
      </c>
      <c r="D652" s="6" t="inlineStr">
        <is>
          <t>Tratamiento Capilar Farmacity Shock Reparador x 20 g</t>
        </is>
      </c>
      <c r="E652" s="6" t="inlineStr">
        <is>
          <t>Farmacity</t>
        </is>
      </c>
      <c r="F652" s="6" t="n">
        <v>1020</v>
      </c>
      <c r="G652" s="6" t="n">
        <v>1020</v>
      </c>
      <c r="H652" s="6" t="b">
        <v>1</v>
      </c>
      <c r="I652" s="6" t="n">
        <v>20</v>
      </c>
      <c r="J652" s="6" t="n">
        <v>51</v>
      </c>
      <c r="K652" s="6" t="inlineStr">
        <is>
          <t>&gt; Cuidado Capilar &gt; Reparación Y Tratamiento &gt;</t>
        </is>
      </c>
      <c r="L652" s="6" t="inlineStr">
        <is>
          <t>tratamiento</t>
        </is>
      </c>
      <c r="M652" s="6" t="inlineStr">
        <is>
          <t>estandar</t>
        </is>
      </c>
      <c r="N652" s="6" t="inlineStr">
        <is>
          <t>general</t>
        </is>
      </c>
      <c r="O652" s="6" t="inlineStr">
        <is>
          <t>https://www.farmacity.com/tratamiento-capilar-farmacity-shock-reparador-x-20-g/p</t>
        </is>
      </c>
      <c r="P652" s="8">
        <f>TRIM(CLEAN(PROPER(D652)))</f>
        <v/>
      </c>
      <c r="Q652" s="8">
        <f>PROPER(TRIM(SUBSTITUTE(SUBSTITUTE(SUBSTITUTE(SUBSTITUTE(E652,"TRESEMME","Tresemme"),"HEAD &amp; SHOULDERS","Head &amp; Shoulders"),"ELVIVE","Elvive"),"FRUCTIS","Fructis")))</f>
        <v/>
      </c>
      <c r="R652" s="8">
        <f>COUNTIF($D$2:$D$10000,D652)&gt;1</f>
        <v/>
      </c>
      <c r="S652" s="8">
        <f>IF(H652=TRUE,"Disponible","No disponible")</f>
        <v/>
      </c>
      <c r="T652" s="8">
        <f>IF(AND(ISNUMBER(I652),I652&gt;0),ROUND(F652/I652,2),"Sin volumen")</f>
        <v/>
      </c>
      <c r="U652" s="8">
        <f>IF(F652&lt;5000,"Bajo",IF(F652&lt;15000,"Medio","Alto"))</f>
        <v/>
      </c>
    </row>
    <row r="653">
      <c r="A653" t="inlineStr">
        <is>
          <t>Farmacity</t>
        </is>
      </c>
      <c r="B653" t="n">
        <v>235833</v>
      </c>
      <c r="C653" t="n">
        <v>235833</v>
      </c>
      <c r="D653" t="inlineStr">
        <is>
          <t>Tratamiento Capilar Farmacity Aloe Vera x 20 g</t>
        </is>
      </c>
      <c r="E653" t="inlineStr">
        <is>
          <t>Farmacity</t>
        </is>
      </c>
      <c r="F653" t="n">
        <v>1020</v>
      </c>
      <c r="G653" t="n">
        <v>1020</v>
      </c>
      <c r="H653" t="b">
        <v>1</v>
      </c>
      <c r="I653" t="n">
        <v>20</v>
      </c>
      <c r="J653" t="n">
        <v>51</v>
      </c>
      <c r="K653" t="inlineStr">
        <is>
          <t>&gt; Cuidado Capilar &gt; Reparación Y Tratamiento &gt;</t>
        </is>
      </c>
      <c r="L653" t="inlineStr">
        <is>
          <t>tratamiento</t>
        </is>
      </c>
      <c r="M653" t="inlineStr">
        <is>
          <t>estandar</t>
        </is>
      </c>
      <c r="N653" t="inlineStr">
        <is>
          <t>general</t>
        </is>
      </c>
      <c r="O653" t="inlineStr">
        <is>
          <t>https://www.farmacity.com/tratamiento-capilar-farmacity-aloe-vera-x-20-g/p</t>
        </is>
      </c>
      <c r="P653">
        <f>TRIM(CLEAN(PROPER(D653)))</f>
        <v/>
      </c>
      <c r="Q653">
        <f>PROPER(TRIM(SUBSTITUTE(SUBSTITUTE(SUBSTITUTE(SUBSTITUTE(E653,"TRESEMME","Tresemme"),"HEAD &amp; SHOULDERS","Head &amp; Shoulders"),"ELVIVE","Elvive"),"FRUCTIS","Fructis")))</f>
        <v/>
      </c>
      <c r="R653">
        <f>COUNTIF($D$2:$D$10000,D653)&gt;1</f>
        <v/>
      </c>
      <c r="S653">
        <f>IF(H653=TRUE,"Disponible","No disponible")</f>
        <v/>
      </c>
      <c r="T653">
        <f>IF(AND(ISNUMBER(I653),I653&gt;0),ROUND(F653/I653,2),"Sin volumen")</f>
        <v/>
      </c>
      <c r="U653">
        <f>IF(F653&lt;5000,"Bajo",IF(F653&lt;15000,"Medio","Alto"))</f>
        <v/>
      </c>
    </row>
    <row r="654">
      <c r="A654" s="6" t="inlineStr">
        <is>
          <t>Farmacity</t>
        </is>
      </c>
      <c r="B654" s="6" t="n">
        <v>227032</v>
      </c>
      <c r="C654" s="6" t="n">
        <v>227032</v>
      </c>
      <c r="D654" s="6" t="inlineStr">
        <is>
          <t>Tratamiento Capilar Farmacity Protección Total x 20 g</t>
        </is>
      </c>
      <c r="E654" s="6" t="inlineStr">
        <is>
          <t>Farmacity</t>
        </is>
      </c>
      <c r="F654" s="6" t="n">
        <v>1020</v>
      </c>
      <c r="G654" s="6" t="n">
        <v>1020</v>
      </c>
      <c r="H654" s="6" t="b">
        <v>1</v>
      </c>
      <c r="I654" s="6" t="n">
        <v>20</v>
      </c>
      <c r="J654" s="6" t="n">
        <v>51</v>
      </c>
      <c r="K654" s="6" t="inlineStr">
        <is>
          <t>&gt; Cuidado Capilar &gt; Reparación Y Tratamiento &gt;</t>
        </is>
      </c>
      <c r="L654" s="6" t="inlineStr">
        <is>
          <t>tratamiento</t>
        </is>
      </c>
      <c r="M654" s="6" t="inlineStr">
        <is>
          <t>estandar</t>
        </is>
      </c>
      <c r="N654" s="6" t="inlineStr">
        <is>
          <t>general</t>
        </is>
      </c>
      <c r="O654" s="6" t="inlineStr">
        <is>
          <t>https://www.farmacity.com/tratamiento-capilar-farmacity-proteccion-total-x-20-g/p</t>
        </is>
      </c>
      <c r="P654" s="8">
        <f>TRIM(CLEAN(PROPER(D654)))</f>
        <v/>
      </c>
      <c r="Q654" s="8">
        <f>PROPER(TRIM(SUBSTITUTE(SUBSTITUTE(SUBSTITUTE(SUBSTITUTE(E654,"TRESEMME","Tresemme"),"HEAD &amp; SHOULDERS","Head &amp; Shoulders"),"ELVIVE","Elvive"),"FRUCTIS","Fructis")))</f>
        <v/>
      </c>
      <c r="R654" s="8">
        <f>COUNTIF($D$2:$D$10000,D654)&gt;1</f>
        <v/>
      </c>
      <c r="S654" s="8">
        <f>IF(H654=TRUE,"Disponible","No disponible")</f>
        <v/>
      </c>
      <c r="T654" s="8">
        <f>IF(AND(ISNUMBER(I654),I654&gt;0),ROUND(F654/I654,2),"Sin volumen")</f>
        <v/>
      </c>
      <c r="U654" s="8">
        <f>IF(F654&lt;5000,"Bajo",IF(F654&lt;15000,"Medio","Alto"))</f>
        <v/>
      </c>
    </row>
    <row r="655">
      <c r="A655" t="inlineStr">
        <is>
          <t>Farmacity</t>
        </is>
      </c>
      <c r="B655" t="n">
        <v>219220</v>
      </c>
      <c r="C655" t="n">
        <v>219220</v>
      </c>
      <c r="D655" t="inlineStr">
        <is>
          <t>Tratamiento Capilar Issue Reparación Profunda x 150 g</t>
        </is>
      </c>
      <c r="E655" t="inlineStr">
        <is>
          <t>Issue</t>
        </is>
      </c>
      <c r="F655" t="n">
        <v>4300</v>
      </c>
      <c r="G655" t="n">
        <v>4300</v>
      </c>
      <c r="H655" t="b">
        <v>1</v>
      </c>
      <c r="I655" t="n">
        <v>150</v>
      </c>
      <c r="J655" t="n">
        <v>28.6667</v>
      </c>
      <c r="K655" t="inlineStr">
        <is>
          <t>&gt; Cuidado Capilar &gt; Reparación Y Tratamiento &gt;</t>
        </is>
      </c>
      <c r="L655" t="inlineStr">
        <is>
          <t>tratamiento</t>
        </is>
      </c>
      <c r="M655" t="inlineStr">
        <is>
          <t>estandar</t>
        </is>
      </c>
      <c r="N655" t="inlineStr">
        <is>
          <t>general</t>
        </is>
      </c>
      <c r="O655" t="inlineStr">
        <is>
          <t>https://www.farmacity.com/tratamiento-capilar-issue-reparacion-con-eco-keratina-x-150-g/p</t>
        </is>
      </c>
      <c r="P655">
        <f>TRIM(CLEAN(PROPER(D655)))</f>
        <v/>
      </c>
      <c r="Q655">
        <f>PROPER(TRIM(SUBSTITUTE(SUBSTITUTE(SUBSTITUTE(SUBSTITUTE(E655,"TRESEMME","Tresemme"),"HEAD &amp; SHOULDERS","Head &amp; Shoulders"),"ELVIVE","Elvive"),"FRUCTIS","Fructis")))</f>
        <v/>
      </c>
      <c r="R655">
        <f>COUNTIF($D$2:$D$10000,D655)&gt;1</f>
        <v/>
      </c>
      <c r="S655">
        <f>IF(H655=TRUE,"Disponible","No disponible")</f>
        <v/>
      </c>
      <c r="T655">
        <f>IF(AND(ISNUMBER(I655),I655&gt;0),ROUND(F655/I655,2),"Sin volumen")</f>
        <v/>
      </c>
      <c r="U655">
        <f>IF(F655&lt;5000,"Bajo",IF(F655&lt;15000,"Medio","Alto"))</f>
        <v/>
      </c>
    </row>
    <row r="656">
      <c r="A656" s="6" t="inlineStr">
        <is>
          <t>Farmacity</t>
        </is>
      </c>
      <c r="B656" s="6" t="n">
        <v>230630</v>
      </c>
      <c r="C656" s="6" t="n">
        <v>230630</v>
      </c>
      <c r="D656" s="6" t="inlineStr">
        <is>
          <t>Tratamiento Capilar Tresemmé Oil Spray x 120 ml</t>
        </is>
      </c>
      <c r="E656" s="6" t="inlineStr">
        <is>
          <t>Tresemmé</t>
        </is>
      </c>
      <c r="F656" s="6" t="n">
        <v>12381</v>
      </c>
      <c r="G656" s="6" t="n">
        <v>12381</v>
      </c>
      <c r="H656" s="6" t="b">
        <v>1</v>
      </c>
      <c r="I656" s="6" t="n">
        <v>120</v>
      </c>
      <c r="J656" s="6" t="n">
        <v>103.175</v>
      </c>
      <c r="K656" s="6" t="inlineStr">
        <is>
          <t>&gt; Cuidado Capilar &gt; Reparación Y Tratamiento &gt;</t>
        </is>
      </c>
      <c r="L656" s="6" t="inlineStr">
        <is>
          <t>tratamiento</t>
        </is>
      </c>
      <c r="M656" s="6" t="inlineStr">
        <is>
          <t>estandar</t>
        </is>
      </c>
      <c r="N656" s="6" t="inlineStr">
        <is>
          <t>general</t>
        </is>
      </c>
      <c r="O656" s="6" t="inlineStr">
        <is>
          <t>https://www.farmacity.com/tratamiento-capilar-tresemme-oil-spray-x-120-ml/p</t>
        </is>
      </c>
      <c r="P656" s="8">
        <f>TRIM(CLEAN(PROPER(D656)))</f>
        <v/>
      </c>
      <c r="Q656" s="8">
        <f>PROPER(TRIM(SUBSTITUTE(SUBSTITUTE(SUBSTITUTE(SUBSTITUTE(E656,"TRESEMME","Tresemme"),"HEAD &amp; SHOULDERS","Head &amp; Shoulders"),"ELVIVE","Elvive"),"FRUCTIS","Fructis")))</f>
        <v/>
      </c>
      <c r="R656" s="8">
        <f>COUNTIF($D$2:$D$10000,D656)&gt;1</f>
        <v/>
      </c>
      <c r="S656" s="8">
        <f>IF(H656=TRUE,"Disponible","No disponible")</f>
        <v/>
      </c>
      <c r="T656" s="8">
        <f>IF(AND(ISNUMBER(I656),I656&gt;0),ROUND(F656/I656,2),"Sin volumen")</f>
        <v/>
      </c>
      <c r="U656" s="8">
        <f>IF(F656&lt;5000,"Bajo",IF(F656&lt;15000,"Medio","Alto"))</f>
        <v/>
      </c>
    </row>
    <row r="657">
      <c r="A657" t="inlineStr">
        <is>
          <t>Farmacity</t>
        </is>
      </c>
      <c r="B657" t="n">
        <v>248894</v>
      </c>
      <c r="C657" t="n">
        <v>248894</v>
      </c>
      <c r="D657" t="inlineStr">
        <is>
          <t>Tratamiento Capilar Antifrizz Nic Frizzmineitor x 215 ml</t>
        </is>
      </c>
      <c r="E657" t="inlineStr">
        <is>
          <t>Nic</t>
        </is>
      </c>
      <c r="F657" t="n">
        <v>14290</v>
      </c>
      <c r="G657" t="n">
        <v>14290</v>
      </c>
      <c r="H657" t="b">
        <v>1</v>
      </c>
      <c r="I657" t="n">
        <v>215</v>
      </c>
      <c r="J657" t="n">
        <v>66.46510000000001</v>
      </c>
      <c r="K657" t="inlineStr">
        <is>
          <t>&gt; Cuidado Capilar &gt; Reparación Y Tratamiento &gt;</t>
        </is>
      </c>
      <c r="L657" t="inlineStr">
        <is>
          <t>tratamiento</t>
        </is>
      </c>
      <c r="M657" t="inlineStr">
        <is>
          <t>estandar</t>
        </is>
      </c>
      <c r="N657" t="inlineStr">
        <is>
          <t>general</t>
        </is>
      </c>
      <c r="O657" t="inlineStr">
        <is>
          <t>https://www.farmacity.com/tratamiento-capilar-antifrizz-nic-frizzmineitor-x-215-ml/p</t>
        </is>
      </c>
      <c r="P657">
        <f>TRIM(CLEAN(PROPER(D657)))</f>
        <v/>
      </c>
      <c r="Q657">
        <f>PROPER(TRIM(SUBSTITUTE(SUBSTITUTE(SUBSTITUTE(SUBSTITUTE(E657,"TRESEMME","Tresemme"),"HEAD &amp; SHOULDERS","Head &amp; Shoulders"),"ELVIVE","Elvive"),"FRUCTIS","Fructis")))</f>
        <v/>
      </c>
      <c r="R657">
        <f>COUNTIF($D$2:$D$10000,D657)&gt;1</f>
        <v/>
      </c>
      <c r="S657">
        <f>IF(H657=TRUE,"Disponible","No disponible")</f>
        <v/>
      </c>
      <c r="T657">
        <f>IF(AND(ISNUMBER(I657),I657&gt;0),ROUND(F657/I657,2),"Sin volumen")</f>
        <v/>
      </c>
      <c r="U657">
        <f>IF(F657&lt;5000,"Bajo",IF(F657&lt;15000,"Medio","Alto"))</f>
        <v/>
      </c>
    </row>
    <row r="658">
      <c r="A658" s="6" t="inlineStr">
        <is>
          <t>Farmacity</t>
        </is>
      </c>
      <c r="B658" s="6" t="n">
        <v>203240</v>
      </c>
      <c r="C658" s="6" t="n">
        <v>203240</v>
      </c>
      <c r="D658" s="6" t="inlineStr">
        <is>
          <t>Tratamiento Capilar Biferdil Beauty Box  x 20 ml</t>
        </is>
      </c>
      <c r="E658" s="6" t="inlineStr">
        <is>
          <t>Biferdil</t>
        </is>
      </c>
      <c r="F658" s="6" t="n">
        <v>900</v>
      </c>
      <c r="G658" s="6" t="n">
        <v>1800</v>
      </c>
      <c r="H658" s="6" t="b">
        <v>1</v>
      </c>
      <c r="I658" s="6" t="n">
        <v>20</v>
      </c>
      <c r="J658" s="6" t="n">
        <v>45</v>
      </c>
      <c r="K658" s="6" t="inlineStr">
        <is>
          <t>&gt; Cuidado Capilar &gt; Reparación Y Tratamiento &gt;</t>
        </is>
      </c>
      <c r="L658" s="6" t="inlineStr">
        <is>
          <t>tratamiento</t>
        </is>
      </c>
      <c r="M658" s="6" t="inlineStr">
        <is>
          <t>estandar</t>
        </is>
      </c>
      <c r="N658" s="6" t="inlineStr">
        <is>
          <t>general</t>
        </is>
      </c>
      <c r="O658" s="6" t="inlineStr">
        <is>
          <t>https://www.farmacity.com/tratamiento-capilar-biferdil-beauty-box-con-aceite-de-palta-x-20-ml/p</t>
        </is>
      </c>
      <c r="P658" s="8">
        <f>TRIM(CLEAN(PROPER(D658)))</f>
        <v/>
      </c>
      <c r="Q658" s="8">
        <f>PROPER(TRIM(SUBSTITUTE(SUBSTITUTE(SUBSTITUTE(SUBSTITUTE(E658,"TRESEMME","Tresemme"),"HEAD &amp; SHOULDERS","Head &amp; Shoulders"),"ELVIVE","Elvive"),"FRUCTIS","Fructis")))</f>
        <v/>
      </c>
      <c r="R658" s="8">
        <f>COUNTIF($D$2:$D$10000,D658)&gt;1</f>
        <v/>
      </c>
      <c r="S658" s="8">
        <f>IF(H658=TRUE,"Disponible","No disponible")</f>
        <v/>
      </c>
      <c r="T658" s="8">
        <f>IF(AND(ISNUMBER(I658),I658&gt;0),ROUND(F658/I658,2),"Sin volumen")</f>
        <v/>
      </c>
      <c r="U658" s="8">
        <f>IF(F658&lt;5000,"Bajo",IF(F658&lt;15000,"Medio","Alto"))</f>
        <v/>
      </c>
    </row>
    <row r="659">
      <c r="A659" t="inlineStr">
        <is>
          <t>Farmacity</t>
        </is>
      </c>
      <c r="B659" t="n">
        <v>212304</v>
      </c>
      <c r="C659" t="n">
        <v>212304</v>
      </c>
      <c r="D659" t="inlineStr">
        <is>
          <t>Tratamiento Capilar Farmacity Hidratación Extrema x 20 g</t>
        </is>
      </c>
      <c r="E659" t="inlineStr">
        <is>
          <t>Farmacity</t>
        </is>
      </c>
      <c r="F659" t="n">
        <v>1020</v>
      </c>
      <c r="G659" t="n">
        <v>1020</v>
      </c>
      <c r="H659" t="b">
        <v>1</v>
      </c>
      <c r="I659" t="n">
        <v>20</v>
      </c>
      <c r="J659" t="n">
        <v>51</v>
      </c>
      <c r="K659" t="inlineStr">
        <is>
          <t>&gt; Cuidado Capilar &gt; Reparación Y Tratamiento &gt;</t>
        </is>
      </c>
      <c r="L659" t="inlineStr">
        <is>
          <t>tratamiento</t>
        </is>
      </c>
      <c r="M659" t="inlineStr">
        <is>
          <t>estandar</t>
        </is>
      </c>
      <c r="N659" t="inlineStr">
        <is>
          <t>seco_danado</t>
        </is>
      </c>
      <c r="O659" t="inlineStr">
        <is>
          <t>https://www.farmacity.com/tratamiento-capilar-farmacity-hidratacion-extrema-x-20-g/p</t>
        </is>
      </c>
      <c r="P659">
        <f>TRIM(CLEAN(PROPER(D659)))</f>
        <v/>
      </c>
      <c r="Q659">
        <f>PROPER(TRIM(SUBSTITUTE(SUBSTITUTE(SUBSTITUTE(SUBSTITUTE(E659,"TRESEMME","Tresemme"),"HEAD &amp; SHOULDERS","Head &amp; Shoulders"),"ELVIVE","Elvive"),"FRUCTIS","Fructis")))</f>
        <v/>
      </c>
      <c r="R659">
        <f>COUNTIF($D$2:$D$10000,D659)&gt;1</f>
        <v/>
      </c>
      <c r="S659">
        <f>IF(H659=TRUE,"Disponible","No disponible")</f>
        <v/>
      </c>
      <c r="T659">
        <f>IF(AND(ISNUMBER(I659),I659&gt;0),ROUND(F659/I659,2),"Sin volumen")</f>
        <v/>
      </c>
      <c r="U659">
        <f>IF(F659&lt;5000,"Bajo",IF(F659&lt;15000,"Medio","Alto"))</f>
        <v/>
      </c>
    </row>
    <row r="660">
      <c r="A660" s="6" t="inlineStr">
        <is>
          <t>Farmacity</t>
        </is>
      </c>
      <c r="B660" s="6" t="n">
        <v>212302</v>
      </c>
      <c r="C660" s="6" t="n">
        <v>212302</v>
      </c>
      <c r="D660" s="6" t="inlineStr">
        <is>
          <t>Tratamiento Capilar Farmacity Brillo Total x 20 g</t>
        </is>
      </c>
      <c r="E660" s="6" t="inlineStr">
        <is>
          <t>Farmacity</t>
        </is>
      </c>
      <c r="F660" s="6" t="n">
        <v>1020</v>
      </c>
      <c r="G660" s="6" t="n">
        <v>1020</v>
      </c>
      <c r="H660" s="6" t="b">
        <v>1</v>
      </c>
      <c r="I660" s="6" t="n">
        <v>20</v>
      </c>
      <c r="J660" s="6" t="n">
        <v>51</v>
      </c>
      <c r="K660" s="6" t="inlineStr">
        <is>
          <t>&gt; Cuidado Capilar &gt; Reparación Y Tratamiento &gt;</t>
        </is>
      </c>
      <c r="L660" s="6" t="inlineStr">
        <is>
          <t>tratamiento</t>
        </is>
      </c>
      <c r="M660" s="6" t="inlineStr">
        <is>
          <t>estandar</t>
        </is>
      </c>
      <c r="N660" s="6" t="inlineStr">
        <is>
          <t>general</t>
        </is>
      </c>
      <c r="O660" s="6" t="inlineStr">
        <is>
          <t>https://www.farmacity.com/tratamiento-capilar-farmacity-brillo-total-x-20-g/p</t>
        </is>
      </c>
      <c r="P660" s="8">
        <f>TRIM(CLEAN(PROPER(D660)))</f>
        <v/>
      </c>
      <c r="Q660" s="8">
        <f>PROPER(TRIM(SUBSTITUTE(SUBSTITUTE(SUBSTITUTE(SUBSTITUTE(E660,"TRESEMME","Tresemme"),"HEAD &amp; SHOULDERS","Head &amp; Shoulders"),"ELVIVE","Elvive"),"FRUCTIS","Fructis")))</f>
        <v/>
      </c>
      <c r="R660" s="8">
        <f>COUNTIF($D$2:$D$10000,D660)&gt;1</f>
        <v/>
      </c>
      <c r="S660" s="8">
        <f>IF(H660=TRUE,"Disponible","No disponible")</f>
        <v/>
      </c>
      <c r="T660" s="8">
        <f>IF(AND(ISNUMBER(I660),I660&gt;0),ROUND(F660/I660,2),"Sin volumen")</f>
        <v/>
      </c>
      <c r="U660" s="8">
        <f>IF(F660&lt;5000,"Bajo",IF(F660&lt;15000,"Medio","Alto"))</f>
        <v/>
      </c>
    </row>
    <row r="661">
      <c r="A661" t="inlineStr">
        <is>
          <t>Farmacity</t>
        </is>
      </c>
      <c r="B661" t="n">
        <v>14826</v>
      </c>
      <c r="C661" t="n">
        <v>161133</v>
      </c>
      <c r="D661" t="inlineStr">
        <is>
          <t>Tratamiento Capilar Issue Brillo Extremo x 150 g</t>
        </is>
      </c>
      <c r="E661" t="inlineStr">
        <is>
          <t>Issue</t>
        </is>
      </c>
      <c r="F661" t="n">
        <v>4300</v>
      </c>
      <c r="G661" t="n">
        <v>4300</v>
      </c>
      <c r="H661" t="b">
        <v>1</v>
      </c>
      <c r="I661" t="n">
        <v>150</v>
      </c>
      <c r="J661" t="n">
        <v>28.6667</v>
      </c>
      <c r="K661" t="inlineStr">
        <is>
          <t>&gt; Cuidado Capilar &gt; Reparación Y Tratamiento &gt;</t>
        </is>
      </c>
      <c r="L661" t="inlineStr">
        <is>
          <t>tratamiento</t>
        </is>
      </c>
      <c r="M661" t="inlineStr">
        <is>
          <t>estandar</t>
        </is>
      </c>
      <c r="N661" t="inlineStr">
        <is>
          <t>general</t>
        </is>
      </c>
      <c r="O661" t="inlineStr">
        <is>
          <t>https://www.farmacity.com/tratamiento-capilar-issue-brillo-extremo-x-150-grs/p</t>
        </is>
      </c>
      <c r="P661">
        <f>TRIM(CLEAN(PROPER(D661)))</f>
        <v/>
      </c>
      <c r="Q661">
        <f>PROPER(TRIM(SUBSTITUTE(SUBSTITUTE(SUBSTITUTE(SUBSTITUTE(E661,"TRESEMME","Tresemme"),"HEAD &amp; SHOULDERS","Head &amp; Shoulders"),"ELVIVE","Elvive"),"FRUCTIS","Fructis")))</f>
        <v/>
      </c>
      <c r="R661">
        <f>COUNTIF($D$2:$D$10000,D661)&gt;1</f>
        <v/>
      </c>
      <c r="S661">
        <f>IF(H661=TRUE,"Disponible","No disponible")</f>
        <v/>
      </c>
      <c r="T661">
        <f>IF(AND(ISNUMBER(I661),I661&gt;0),ROUND(F661/I661,2),"Sin volumen")</f>
        <v/>
      </c>
      <c r="U661">
        <f>IF(F661&lt;5000,"Bajo",IF(F661&lt;15000,"Medio","Alto"))</f>
        <v/>
      </c>
    </row>
    <row r="662">
      <c r="A662" s="6" t="inlineStr">
        <is>
          <t>Farmacity</t>
        </is>
      </c>
      <c r="B662" s="6" t="n">
        <v>232580</v>
      </c>
      <c r="C662" s="6" t="n">
        <v>232580</v>
      </c>
      <c r="D662" s="6" t="inlineStr">
        <is>
          <t>Tratamiento Capilar Estereocolor Hair Food Palta x 50 ml</t>
        </is>
      </c>
      <c r="E662" s="6" t="inlineStr">
        <is>
          <t>Estereocolor</t>
        </is>
      </c>
      <c r="F662" s="6" t="n">
        <v>2250</v>
      </c>
      <c r="G662" s="6" t="n">
        <v>2250</v>
      </c>
      <c r="H662" s="6" t="b">
        <v>1</v>
      </c>
      <c r="I662" s="6" t="n">
        <v>50</v>
      </c>
      <c r="J662" s="6" t="n">
        <v>45</v>
      </c>
      <c r="K662" s="6" t="inlineStr">
        <is>
          <t>&gt; Cuidado Capilar &gt; Reparación Y Tratamiento &gt;</t>
        </is>
      </c>
      <c r="L662" s="6" t="inlineStr">
        <is>
          <t>tratamiento</t>
        </is>
      </c>
      <c r="M662" s="6" t="inlineStr">
        <is>
          <t>estandar</t>
        </is>
      </c>
      <c r="N662" s="6" t="inlineStr">
        <is>
          <t>tratado</t>
        </is>
      </c>
      <c r="O662" s="6" t="inlineStr">
        <is>
          <t>https://www.farmacity.com/tratamiento-capilar-estereo-color-hair-food-palta-x-50-ml/p</t>
        </is>
      </c>
      <c r="P662" s="8">
        <f>TRIM(CLEAN(PROPER(D662)))</f>
        <v/>
      </c>
      <c r="Q662" s="8">
        <f>PROPER(TRIM(SUBSTITUTE(SUBSTITUTE(SUBSTITUTE(SUBSTITUTE(E662,"TRESEMME","Tresemme"),"HEAD &amp; SHOULDERS","Head &amp; Shoulders"),"ELVIVE","Elvive"),"FRUCTIS","Fructis")))</f>
        <v/>
      </c>
      <c r="R662" s="8">
        <f>COUNTIF($D$2:$D$10000,D662)&gt;1</f>
        <v/>
      </c>
      <c r="S662" s="8">
        <f>IF(H662=TRUE,"Disponible","No disponible")</f>
        <v/>
      </c>
      <c r="T662" s="8">
        <f>IF(AND(ISNUMBER(I662),I662&gt;0),ROUND(F662/I662,2),"Sin volumen")</f>
        <v/>
      </c>
      <c r="U662" s="8">
        <f>IF(F662&lt;5000,"Bajo",IF(F662&lt;15000,"Medio","Alto"))</f>
        <v/>
      </c>
    </row>
    <row r="663">
      <c r="A663" t="inlineStr">
        <is>
          <t>Farmacity</t>
        </is>
      </c>
      <c r="B663" t="n">
        <v>227030</v>
      </c>
      <c r="C663" t="n">
        <v>227030</v>
      </c>
      <c r="D663" t="inlineStr">
        <is>
          <t>Tratamiento Capilar Farmacity Liso Total Antifrizz x 20 g</t>
        </is>
      </c>
      <c r="E663" t="inlineStr">
        <is>
          <t>Farmacity</t>
        </is>
      </c>
      <c r="F663" t="n">
        <v>1020</v>
      </c>
      <c r="G663" t="n">
        <v>1020</v>
      </c>
      <c r="H663" t="b">
        <v>1</v>
      </c>
      <c r="I663" t="n">
        <v>20</v>
      </c>
      <c r="J663" t="n">
        <v>51</v>
      </c>
      <c r="K663" t="inlineStr">
        <is>
          <t>&gt; Cuidado Capilar &gt; Reparación Y Tratamiento &gt;</t>
        </is>
      </c>
      <c r="L663" t="inlineStr">
        <is>
          <t>tratamiento</t>
        </is>
      </c>
      <c r="M663" t="inlineStr">
        <is>
          <t>profesional</t>
        </is>
      </c>
      <c r="N663" t="inlineStr">
        <is>
          <t>general</t>
        </is>
      </c>
      <c r="O663" t="inlineStr">
        <is>
          <t>https://www.farmacity.com/tratamiento-capilar-farmacity-liso-total-antifrizz-x-20-g/p</t>
        </is>
      </c>
      <c r="P663">
        <f>TRIM(CLEAN(PROPER(D663)))</f>
        <v/>
      </c>
      <c r="Q663">
        <f>PROPER(TRIM(SUBSTITUTE(SUBSTITUTE(SUBSTITUTE(SUBSTITUTE(E663,"TRESEMME","Tresemme"),"HEAD &amp; SHOULDERS","Head &amp; Shoulders"),"ELVIVE","Elvive"),"FRUCTIS","Fructis")))</f>
        <v/>
      </c>
      <c r="R663">
        <f>COUNTIF($D$2:$D$10000,D663)&gt;1</f>
        <v/>
      </c>
      <c r="S663">
        <f>IF(H663=TRUE,"Disponible","No disponible")</f>
        <v/>
      </c>
      <c r="T663">
        <f>IF(AND(ISNUMBER(I663),I663&gt;0),ROUND(F663/I663,2),"Sin volumen")</f>
        <v/>
      </c>
      <c r="U663">
        <f>IF(F663&lt;5000,"Bajo",IF(F663&lt;15000,"Medio","Alto"))</f>
        <v/>
      </c>
    </row>
    <row r="664">
      <c r="A664" s="6" t="inlineStr">
        <is>
          <t>Farmacity</t>
        </is>
      </c>
      <c r="B664" s="6" t="n">
        <v>232725</v>
      </c>
      <c r="C664" s="6" t="n">
        <v>232725</v>
      </c>
      <c r="D664" s="6" t="inlineStr">
        <is>
          <t>Tratamiento Capilar Capilatis Natural Anti-Daño x 200 ml</t>
        </is>
      </c>
      <c r="E664" s="6" t="inlineStr">
        <is>
          <t>Capilatis</t>
        </is>
      </c>
      <c r="F664" s="6" t="n">
        <v>6210</v>
      </c>
      <c r="G664" s="6" t="n">
        <v>6900</v>
      </c>
      <c r="H664" s="6" t="b">
        <v>1</v>
      </c>
      <c r="I664" s="6" t="n">
        <v>200</v>
      </c>
      <c r="J664" s="6" t="n">
        <v>31.05</v>
      </c>
      <c r="K664" s="6" t="inlineStr">
        <is>
          <t>&gt; Cuidado Capilar &gt; Reparación Y Tratamiento &gt;</t>
        </is>
      </c>
      <c r="L664" s="6" t="inlineStr">
        <is>
          <t>tratamiento</t>
        </is>
      </c>
      <c r="M664" s="6" t="inlineStr">
        <is>
          <t>estandar</t>
        </is>
      </c>
      <c r="N664" s="6" t="inlineStr">
        <is>
          <t>general</t>
        </is>
      </c>
      <c r="O664" s="6" t="inlineStr">
        <is>
          <t>https://www.farmacity.com/tratamiento-capilar-capilatis-natural-anti-dano-x-200-ml/p</t>
        </is>
      </c>
      <c r="P664" s="8">
        <f>TRIM(CLEAN(PROPER(D664)))</f>
        <v/>
      </c>
      <c r="Q664" s="8">
        <f>PROPER(TRIM(SUBSTITUTE(SUBSTITUTE(SUBSTITUTE(SUBSTITUTE(E664,"TRESEMME","Tresemme"),"HEAD &amp; SHOULDERS","Head &amp; Shoulders"),"ELVIVE","Elvive"),"FRUCTIS","Fructis")))</f>
        <v/>
      </c>
      <c r="R664" s="8">
        <f>COUNTIF($D$2:$D$10000,D664)&gt;1</f>
        <v/>
      </c>
      <c r="S664" s="8">
        <f>IF(H664=TRUE,"Disponible","No disponible")</f>
        <v/>
      </c>
      <c r="T664" s="8">
        <f>IF(AND(ISNUMBER(I664),I664&gt;0),ROUND(F664/I664,2),"Sin volumen")</f>
        <v/>
      </c>
      <c r="U664" s="8">
        <f>IF(F664&lt;5000,"Bajo",IF(F664&lt;15000,"Medio","Alto"))</f>
        <v/>
      </c>
    </row>
    <row r="665">
      <c r="A665" t="inlineStr">
        <is>
          <t>Farmacity</t>
        </is>
      </c>
      <c r="B665" t="n">
        <v>246061</v>
      </c>
      <c r="C665" t="n">
        <v>246061</v>
      </c>
      <c r="D665" t="inlineStr">
        <is>
          <t>Tratamiento Capilar Biferdil Protector Térmico Minitalla x 100 ml</t>
        </is>
      </c>
      <c r="E665" t="inlineStr">
        <is>
          <t>Biferdil</t>
        </is>
      </c>
      <c r="F665" t="n">
        <v>8316</v>
      </c>
      <c r="G665" t="n">
        <v>8316</v>
      </c>
      <c r="H665" t="b">
        <v>1</v>
      </c>
      <c r="I665" t="n">
        <v>100</v>
      </c>
      <c r="J665" t="n">
        <v>83.16</v>
      </c>
      <c r="K665" t="inlineStr">
        <is>
          <t>&gt; Cuidado Capilar &gt; Reparación Y Tratamiento &gt;</t>
        </is>
      </c>
      <c r="L665" t="inlineStr">
        <is>
          <t>tratamiento</t>
        </is>
      </c>
      <c r="M665" t="inlineStr">
        <is>
          <t>estandar</t>
        </is>
      </c>
      <c r="N665" t="inlineStr">
        <is>
          <t>general</t>
        </is>
      </c>
      <c r="O665" t="inlineStr">
        <is>
          <t>https://www.farmacity.com/tratamiento-capilar-biferdil-protector-termico-minitalla-x-100-ml/p</t>
        </is>
      </c>
      <c r="P665">
        <f>TRIM(CLEAN(PROPER(D665)))</f>
        <v/>
      </c>
      <c r="Q665">
        <f>PROPER(TRIM(SUBSTITUTE(SUBSTITUTE(SUBSTITUTE(SUBSTITUTE(E665,"TRESEMME","Tresemme"),"HEAD &amp; SHOULDERS","Head &amp; Shoulders"),"ELVIVE","Elvive"),"FRUCTIS","Fructis")))</f>
        <v/>
      </c>
      <c r="R665">
        <f>COUNTIF($D$2:$D$10000,D665)&gt;1</f>
        <v/>
      </c>
      <c r="S665">
        <f>IF(H665=TRUE,"Disponible","No disponible")</f>
        <v/>
      </c>
      <c r="T665">
        <f>IF(AND(ISNUMBER(I665),I665&gt;0),ROUND(F665/I665,2),"Sin volumen")</f>
        <v/>
      </c>
      <c r="U665">
        <f>IF(F665&lt;5000,"Bajo",IF(F665&lt;15000,"Medio","Alto"))</f>
        <v/>
      </c>
    </row>
    <row r="666">
      <c r="A666" s="6" t="inlineStr">
        <is>
          <t>Farmacity</t>
        </is>
      </c>
      <c r="B666" s="6" t="n">
        <v>232579</v>
      </c>
      <c r="C666" s="6" t="n">
        <v>232579</v>
      </c>
      <c r="D666" s="6" t="inlineStr">
        <is>
          <t>Tratamiento Capilar Estereocolor Hair Food Banana x 50 ml</t>
        </is>
      </c>
      <c r="E666" s="6" t="inlineStr">
        <is>
          <t>Estereocolor</t>
        </is>
      </c>
      <c r="F666" s="6" t="n">
        <v>2250</v>
      </c>
      <c r="G666" s="6" t="n">
        <v>2250</v>
      </c>
      <c r="H666" s="6" t="b">
        <v>1</v>
      </c>
      <c r="I666" s="6" t="n">
        <v>50</v>
      </c>
      <c r="J666" s="6" t="n">
        <v>45</v>
      </c>
      <c r="K666" s="6" t="inlineStr">
        <is>
          <t>&gt; Cuidado Capilar &gt; Reparación Y Tratamiento &gt;</t>
        </is>
      </c>
      <c r="L666" s="6" t="inlineStr">
        <is>
          <t>tratamiento</t>
        </is>
      </c>
      <c r="M666" s="6" t="inlineStr">
        <is>
          <t>estandar</t>
        </is>
      </c>
      <c r="N666" s="6" t="inlineStr">
        <is>
          <t>tratado</t>
        </is>
      </c>
      <c r="O666" s="6" t="inlineStr">
        <is>
          <t>https://www.farmacity.com/tratamiento-capilar-estereo-color-hair-food-banana-x-50-ml/p</t>
        </is>
      </c>
      <c r="P666" s="8">
        <f>TRIM(CLEAN(PROPER(D666)))</f>
        <v/>
      </c>
      <c r="Q666" s="8">
        <f>PROPER(TRIM(SUBSTITUTE(SUBSTITUTE(SUBSTITUTE(SUBSTITUTE(E666,"TRESEMME","Tresemme"),"HEAD &amp; SHOULDERS","Head &amp; Shoulders"),"ELVIVE","Elvive"),"FRUCTIS","Fructis")))</f>
        <v/>
      </c>
      <c r="R666" s="8">
        <f>COUNTIF($D$2:$D$10000,D666)&gt;1</f>
        <v/>
      </c>
      <c r="S666" s="8">
        <f>IF(H666=TRUE,"Disponible","No disponible")</f>
        <v/>
      </c>
      <c r="T666" s="8">
        <f>IF(AND(ISNUMBER(I666),I666&gt;0),ROUND(F666/I666,2),"Sin volumen")</f>
        <v/>
      </c>
      <c r="U666" s="8">
        <f>IF(F666&lt;5000,"Bajo",IF(F666&lt;15000,"Medio","Alto"))</f>
        <v/>
      </c>
    </row>
    <row r="667">
      <c r="A667" t="inlineStr">
        <is>
          <t>Farmacity</t>
        </is>
      </c>
      <c r="B667" t="n">
        <v>227031</v>
      </c>
      <c r="C667" t="n">
        <v>227031</v>
      </c>
      <c r="D667" t="inlineStr">
        <is>
          <t>Tratamiento Capilar Farmacity Intensivo 10 en 1 x 20 g</t>
        </is>
      </c>
      <c r="E667" t="inlineStr">
        <is>
          <t>Farmacity</t>
        </is>
      </c>
      <c r="F667" t="n">
        <v>1020</v>
      </c>
      <c r="G667" t="n">
        <v>1020</v>
      </c>
      <c r="H667" t="b">
        <v>1</v>
      </c>
      <c r="I667" t="n">
        <v>20</v>
      </c>
      <c r="J667" t="n">
        <v>51</v>
      </c>
      <c r="K667" t="inlineStr">
        <is>
          <t>&gt; Cuidado Capilar &gt; Reparación Y Tratamiento &gt;</t>
        </is>
      </c>
      <c r="L667" t="inlineStr">
        <is>
          <t>tratamiento</t>
        </is>
      </c>
      <c r="M667" t="inlineStr">
        <is>
          <t>estandar</t>
        </is>
      </c>
      <c r="N667" t="inlineStr">
        <is>
          <t>general</t>
        </is>
      </c>
      <c r="O667" t="inlineStr">
        <is>
          <t>https://www.farmacity.com/tratamiento-capilar-farmacity-intensivo-10-en-1-x-20-g/p</t>
        </is>
      </c>
      <c r="P667">
        <f>TRIM(CLEAN(PROPER(D667)))</f>
        <v/>
      </c>
      <c r="Q667">
        <f>PROPER(TRIM(SUBSTITUTE(SUBSTITUTE(SUBSTITUTE(SUBSTITUTE(E667,"TRESEMME","Tresemme"),"HEAD &amp; SHOULDERS","Head &amp; Shoulders"),"ELVIVE","Elvive"),"FRUCTIS","Fructis")))</f>
        <v/>
      </c>
      <c r="R667">
        <f>COUNTIF($D$2:$D$10000,D667)&gt;1</f>
        <v/>
      </c>
      <c r="S667">
        <f>IF(H667=TRUE,"Disponible","No disponible")</f>
        <v/>
      </c>
      <c r="T667">
        <f>IF(AND(ISNUMBER(I667),I667&gt;0),ROUND(F667/I667,2),"Sin volumen")</f>
        <v/>
      </c>
      <c r="U667">
        <f>IF(F667&lt;5000,"Bajo",IF(F667&lt;15000,"Medio","Alto"))</f>
        <v/>
      </c>
    </row>
    <row r="668">
      <c r="A668" s="6" t="inlineStr">
        <is>
          <t>Farmacity</t>
        </is>
      </c>
      <c r="B668" s="6" t="n">
        <v>246864</v>
      </c>
      <c r="C668" s="6" t="n">
        <v>246864</v>
      </c>
      <c r="D668" s="6" t="inlineStr">
        <is>
          <t>Tratamiento Capilar Estereocolor Shock Hair Food Cacao x 50 g</t>
        </is>
      </c>
      <c r="E668" s="6" t="inlineStr">
        <is>
          <t>Estereocolor</t>
        </is>
      </c>
      <c r="F668" s="6" t="n">
        <v>2318</v>
      </c>
      <c r="G668" s="6" t="n">
        <v>2318</v>
      </c>
      <c r="H668" s="6" t="b">
        <v>1</v>
      </c>
      <c r="I668" s="6" t="n">
        <v>50</v>
      </c>
      <c r="J668" s="6" t="n">
        <v>46.36</v>
      </c>
      <c r="K668" s="6" t="inlineStr">
        <is>
          <t>&gt; Cuidado Capilar &gt; Reparación Y Tratamiento &gt;</t>
        </is>
      </c>
      <c r="L668" s="6" t="inlineStr">
        <is>
          <t>tratamiento</t>
        </is>
      </c>
      <c r="M668" s="6" t="inlineStr">
        <is>
          <t>estandar</t>
        </is>
      </c>
      <c r="N668" s="6" t="inlineStr">
        <is>
          <t>tratado</t>
        </is>
      </c>
      <c r="O668" s="6" t="inlineStr">
        <is>
          <t>https://www.farmacity.com/tratamiento-capilar-estereocolor-shock-hair-food-cacao-x-50-g/p</t>
        </is>
      </c>
      <c r="P668" s="8">
        <f>TRIM(CLEAN(PROPER(D668)))</f>
        <v/>
      </c>
      <c r="Q668" s="8">
        <f>PROPER(TRIM(SUBSTITUTE(SUBSTITUTE(SUBSTITUTE(SUBSTITUTE(E668,"TRESEMME","Tresemme"),"HEAD &amp; SHOULDERS","Head &amp; Shoulders"),"ELVIVE","Elvive"),"FRUCTIS","Fructis")))</f>
        <v/>
      </c>
      <c r="R668" s="8">
        <f>COUNTIF($D$2:$D$10000,D668)&gt;1</f>
        <v/>
      </c>
      <c r="S668" s="8">
        <f>IF(H668=TRUE,"Disponible","No disponible")</f>
        <v/>
      </c>
      <c r="T668" s="8">
        <f>IF(AND(ISNUMBER(I668),I668&gt;0),ROUND(F668/I668,2),"Sin volumen")</f>
        <v/>
      </c>
      <c r="U668" s="8">
        <f>IF(F668&lt;5000,"Bajo",IF(F668&lt;15000,"Medio","Alto"))</f>
        <v/>
      </c>
    </row>
    <row r="669">
      <c r="A669" t="inlineStr">
        <is>
          <t>Farmacity</t>
        </is>
      </c>
      <c r="B669" t="n">
        <v>208727</v>
      </c>
      <c r="C669" t="n">
        <v>208727</v>
      </c>
      <c r="D669" t="inlineStr">
        <is>
          <t>Tratamiento Capilar Capilatis con Aloe Vera Puro x 170 ml</t>
        </is>
      </c>
      <c r="E669" t="inlineStr">
        <is>
          <t>Capilatis</t>
        </is>
      </c>
      <c r="F669" t="n">
        <v>3400</v>
      </c>
      <c r="G669" t="n">
        <v>6800</v>
      </c>
      <c r="H669" t="b">
        <v>1</v>
      </c>
      <c r="I669" t="n">
        <v>170</v>
      </c>
      <c r="J669" t="n">
        <v>20</v>
      </c>
      <c r="K669" t="inlineStr">
        <is>
          <t>&gt; Cuidado Capilar &gt; Reparación Y Tratamiento &gt;</t>
        </is>
      </c>
      <c r="L669" t="inlineStr">
        <is>
          <t>tratamiento</t>
        </is>
      </c>
      <c r="M669" t="inlineStr">
        <is>
          <t>estandar</t>
        </is>
      </c>
      <c r="N669" t="inlineStr">
        <is>
          <t>general</t>
        </is>
      </c>
      <c r="O669" t="inlineStr">
        <is>
          <t>https://www.farmacity.com/tratamiento-capilar-capilatis-con-aloe-vera-puro-x-170-ml/p</t>
        </is>
      </c>
      <c r="P669">
        <f>TRIM(CLEAN(PROPER(D669)))</f>
        <v/>
      </c>
      <c r="Q669">
        <f>PROPER(TRIM(SUBSTITUTE(SUBSTITUTE(SUBSTITUTE(SUBSTITUTE(E669,"TRESEMME","Tresemme"),"HEAD &amp; SHOULDERS","Head &amp; Shoulders"),"ELVIVE","Elvive"),"FRUCTIS","Fructis")))</f>
        <v/>
      </c>
      <c r="R669">
        <f>COUNTIF($D$2:$D$10000,D669)&gt;1</f>
        <v/>
      </c>
      <c r="S669">
        <f>IF(H669=TRUE,"Disponible","No disponible")</f>
        <v/>
      </c>
      <c r="T669">
        <f>IF(AND(ISNUMBER(I669),I669&gt;0),ROUND(F669/I669,2),"Sin volumen")</f>
        <v/>
      </c>
      <c r="U669">
        <f>IF(F669&lt;5000,"Bajo",IF(F669&lt;15000,"Medio","Alto"))</f>
        <v/>
      </c>
    </row>
    <row r="670">
      <c r="A670" s="6" t="inlineStr">
        <is>
          <t>Farmacity</t>
        </is>
      </c>
      <c r="B670" s="6" t="n">
        <v>249904</v>
      </c>
      <c r="C670" s="6" t="n">
        <v>249904</v>
      </c>
      <c r="D670" s="6" t="inlineStr">
        <is>
          <t>Tratamiento Capilar Primont Signature con Trufa Negra x 250 ml</t>
        </is>
      </c>
      <c r="E670" s="6" t="inlineStr">
        <is>
          <t>Primont</t>
        </is>
      </c>
      <c r="F670" s="6" t="n">
        <v>27678</v>
      </c>
      <c r="G670" s="6" t="n">
        <v>27678</v>
      </c>
      <c r="H670" s="6" t="b">
        <v>1</v>
      </c>
      <c r="I670" s="6" t="n">
        <v>250</v>
      </c>
      <c r="J670" s="6" t="n">
        <v>110.712</v>
      </c>
      <c r="K670" s="6" t="inlineStr">
        <is>
          <t>&gt; Cuidado Capilar &gt; Reparación Y Tratamiento &gt;</t>
        </is>
      </c>
      <c r="L670" s="6" t="inlineStr">
        <is>
          <t>tratamiento</t>
        </is>
      </c>
      <c r="M670" s="6" t="inlineStr">
        <is>
          <t>estandar</t>
        </is>
      </c>
      <c r="N670" s="6" t="inlineStr">
        <is>
          <t>general</t>
        </is>
      </c>
      <c r="O670" s="6" t="inlineStr">
        <is>
          <t>https://www.farmacity.com/tratamiento-capilar-primont-signature-con-trufa-negra-x-250-ml/p</t>
        </is>
      </c>
      <c r="P670" s="8">
        <f>TRIM(CLEAN(PROPER(D670)))</f>
        <v/>
      </c>
      <c r="Q670" s="8">
        <f>PROPER(TRIM(SUBSTITUTE(SUBSTITUTE(SUBSTITUTE(SUBSTITUTE(E670,"TRESEMME","Tresemme"),"HEAD &amp; SHOULDERS","Head &amp; Shoulders"),"ELVIVE","Elvive"),"FRUCTIS","Fructis")))</f>
        <v/>
      </c>
      <c r="R670" s="8">
        <f>COUNTIF($D$2:$D$10000,D670)&gt;1</f>
        <v/>
      </c>
      <c r="S670" s="8">
        <f>IF(H670=TRUE,"Disponible","No disponible")</f>
        <v/>
      </c>
      <c r="T670" s="8">
        <f>IF(AND(ISNUMBER(I670),I670&gt;0),ROUND(F670/I670,2),"Sin volumen")</f>
        <v/>
      </c>
      <c r="U670" s="8">
        <f>IF(F670&lt;5000,"Bajo",IF(F670&lt;15000,"Medio","Alto"))</f>
        <v/>
      </c>
    </row>
    <row r="671">
      <c r="A671" t="inlineStr">
        <is>
          <t>Farmacity</t>
        </is>
      </c>
      <c r="B671" t="n">
        <v>246862</v>
      </c>
      <c r="C671" t="n">
        <v>246862</v>
      </c>
      <c r="D671" t="inlineStr">
        <is>
          <t>Tratamiento Capilar Estereocolor Shock Hair Food Pistacho x 50 g</t>
        </is>
      </c>
      <c r="E671" t="inlineStr">
        <is>
          <t>Estereocolor</t>
        </is>
      </c>
      <c r="F671" t="n">
        <v>2318</v>
      </c>
      <c r="G671" t="n">
        <v>2318</v>
      </c>
      <c r="H671" t="b">
        <v>1</v>
      </c>
      <c r="I671" t="n">
        <v>50</v>
      </c>
      <c r="J671" t="n">
        <v>46.36</v>
      </c>
      <c r="K671" t="inlineStr">
        <is>
          <t>&gt; Cuidado Capilar &gt; Reparación Y Tratamiento &gt;</t>
        </is>
      </c>
      <c r="L671" t="inlineStr">
        <is>
          <t>tratamiento</t>
        </is>
      </c>
      <c r="M671" t="inlineStr">
        <is>
          <t>estandar</t>
        </is>
      </c>
      <c r="N671" t="inlineStr">
        <is>
          <t>tratado</t>
        </is>
      </c>
      <c r="O671" t="inlineStr">
        <is>
          <t>https://www.farmacity.com/tratamiento-capilar-estereocolor-shock-hair-food-pistacho-x-50-g/p</t>
        </is>
      </c>
      <c r="P671">
        <f>TRIM(CLEAN(PROPER(D671)))</f>
        <v/>
      </c>
      <c r="Q671">
        <f>PROPER(TRIM(SUBSTITUTE(SUBSTITUTE(SUBSTITUTE(SUBSTITUTE(E671,"TRESEMME","Tresemme"),"HEAD &amp; SHOULDERS","Head &amp; Shoulders"),"ELVIVE","Elvive"),"FRUCTIS","Fructis")))</f>
        <v/>
      </c>
      <c r="R671">
        <f>COUNTIF($D$2:$D$10000,D671)&gt;1</f>
        <v/>
      </c>
      <c r="S671">
        <f>IF(H671=TRUE,"Disponible","No disponible")</f>
        <v/>
      </c>
      <c r="T671">
        <f>IF(AND(ISNUMBER(I671),I671&gt;0),ROUND(F671/I671,2),"Sin volumen")</f>
        <v/>
      </c>
      <c r="U671">
        <f>IF(F671&lt;5000,"Bajo",IF(F671&lt;15000,"Medio","Alto"))</f>
        <v/>
      </c>
    </row>
    <row r="672">
      <c r="A672" s="6" t="inlineStr">
        <is>
          <t>Farmacity</t>
        </is>
      </c>
      <c r="B672" s="6" t="n">
        <v>232581</v>
      </c>
      <c r="C672" s="6" t="n">
        <v>232581</v>
      </c>
      <c r="D672" s="6" t="inlineStr">
        <is>
          <t>Tratamiento Capilar Estereocolor Crema de Lavado Co-wash x 50 ml</t>
        </is>
      </c>
      <c r="E672" s="6" t="inlineStr">
        <is>
          <t>Estereocolor</t>
        </is>
      </c>
      <c r="F672" s="6" t="n">
        <v>1125</v>
      </c>
      <c r="G672" s="6" t="n">
        <v>2250</v>
      </c>
      <c r="H672" s="6" t="b">
        <v>1</v>
      </c>
      <c r="I672" s="6" t="n">
        <v>50</v>
      </c>
      <c r="J672" s="6" t="n">
        <v>22.5</v>
      </c>
      <c r="K672" s="6" t="inlineStr">
        <is>
          <t>&gt; Cuidado Capilar &gt; Reparación Y Tratamiento &gt;</t>
        </is>
      </c>
      <c r="L672" s="6" t="inlineStr">
        <is>
          <t>tratamiento</t>
        </is>
      </c>
      <c r="M672" s="6" t="inlineStr">
        <is>
          <t>estandar</t>
        </is>
      </c>
      <c r="N672" s="6" t="inlineStr">
        <is>
          <t>tratado</t>
        </is>
      </c>
      <c r="O672" s="6" t="inlineStr">
        <is>
          <t>https://www.farmacity.com/tratamiento-capilar-estereo-color-crema-de-lavado-co-wash-x-50-ml/p</t>
        </is>
      </c>
      <c r="P672" s="8">
        <f>TRIM(CLEAN(PROPER(D672)))</f>
        <v/>
      </c>
      <c r="Q672" s="8">
        <f>PROPER(TRIM(SUBSTITUTE(SUBSTITUTE(SUBSTITUTE(SUBSTITUTE(E672,"TRESEMME","Tresemme"),"HEAD &amp; SHOULDERS","Head &amp; Shoulders"),"ELVIVE","Elvive"),"FRUCTIS","Fructis")))</f>
        <v/>
      </c>
      <c r="R672" s="8">
        <f>COUNTIF($D$2:$D$10000,D672)&gt;1</f>
        <v/>
      </c>
      <c r="S672" s="8">
        <f>IF(H672=TRUE,"Disponible","No disponible")</f>
        <v/>
      </c>
      <c r="T672" s="8">
        <f>IF(AND(ISNUMBER(I672),I672&gt;0),ROUND(F672/I672,2),"Sin volumen")</f>
        <v/>
      </c>
      <c r="U672" s="8">
        <f>IF(F672&lt;5000,"Bajo",IF(F672&lt;15000,"Medio","Alto"))</f>
        <v/>
      </c>
    </row>
    <row r="673">
      <c r="A673" t="inlineStr">
        <is>
          <t>Farmacity</t>
        </is>
      </c>
      <c r="B673" t="n">
        <v>246863</v>
      </c>
      <c r="C673" t="n">
        <v>246863</v>
      </c>
      <c r="D673" t="inlineStr">
        <is>
          <t>Tratamiento Capilar Estereocolor Shock Hair Food Cacao Caja x 10 un</t>
        </is>
      </c>
      <c r="E673" t="inlineStr">
        <is>
          <t>Estereocolor</t>
        </is>
      </c>
      <c r="F673" t="n">
        <v>23175</v>
      </c>
      <c r="G673" t="n">
        <v>23175</v>
      </c>
      <c r="H673" t="b">
        <v>1</v>
      </c>
      <c r="I673" t="inlineStr"/>
      <c r="J673" t="inlineStr"/>
      <c r="K673" t="inlineStr">
        <is>
          <t>&gt; Cuidado Capilar &gt; Reparación Y Tratamiento &gt;</t>
        </is>
      </c>
      <c r="L673" t="inlineStr">
        <is>
          <t>tratamiento</t>
        </is>
      </c>
      <c r="M673" t="inlineStr">
        <is>
          <t>estandar</t>
        </is>
      </c>
      <c r="N673" t="inlineStr">
        <is>
          <t>tratado</t>
        </is>
      </c>
      <c r="O673" t="inlineStr">
        <is>
          <t>https://www.farmacity.com/tratamiento-capilar-estereocolor-shock-hair-food-cacao-caja-x-10-un/p</t>
        </is>
      </c>
      <c r="P673">
        <f>TRIM(CLEAN(PROPER(D673)))</f>
        <v/>
      </c>
      <c r="Q673">
        <f>PROPER(TRIM(SUBSTITUTE(SUBSTITUTE(SUBSTITUTE(SUBSTITUTE(E673,"TRESEMME","Tresemme"),"HEAD &amp; SHOULDERS","Head &amp; Shoulders"),"ELVIVE","Elvive"),"FRUCTIS","Fructis")))</f>
        <v/>
      </c>
      <c r="R673">
        <f>COUNTIF($D$2:$D$10000,D673)&gt;1</f>
        <v/>
      </c>
      <c r="S673">
        <f>IF(H673=TRUE,"Disponible","No disponible")</f>
        <v/>
      </c>
      <c r="T673">
        <f>IF(AND(ISNUMBER(I673),I673&gt;0),ROUND(F673/I673,2),"Sin volumen")</f>
        <v/>
      </c>
      <c r="U673">
        <f>IF(F673&lt;5000,"Bajo",IF(F673&lt;15000,"Medio","Alto"))</f>
        <v/>
      </c>
    </row>
    <row r="674">
      <c r="A674" s="6" t="inlineStr">
        <is>
          <t>Farmacity</t>
        </is>
      </c>
      <c r="B674" s="6" t="n">
        <v>246861</v>
      </c>
      <c r="C674" s="6" t="n">
        <v>246861</v>
      </c>
      <c r="D674" s="6" t="inlineStr">
        <is>
          <t>Tratamiento Capilar Estereocolor Shock Hair Food Pistacho Caja x 10 un</t>
        </is>
      </c>
      <c r="E674" s="6" t="inlineStr">
        <is>
          <t>Estereocolor</t>
        </is>
      </c>
      <c r="F674" s="6" t="n">
        <v>23175</v>
      </c>
      <c r="G674" s="6" t="n">
        <v>23175</v>
      </c>
      <c r="H674" s="6" t="b">
        <v>1</v>
      </c>
      <c r="I674" s="6" t="inlineStr"/>
      <c r="J674" s="6" t="inlineStr"/>
      <c r="K674" s="6" t="inlineStr">
        <is>
          <t>&gt; Cuidado Capilar &gt; Reparación Y Tratamiento &gt;</t>
        </is>
      </c>
      <c r="L674" s="6" t="inlineStr">
        <is>
          <t>tratamiento</t>
        </is>
      </c>
      <c r="M674" s="6" t="inlineStr">
        <is>
          <t>estandar</t>
        </is>
      </c>
      <c r="N674" s="6" t="inlineStr">
        <is>
          <t>tratado</t>
        </is>
      </c>
      <c r="O674" s="6" t="inlineStr">
        <is>
          <t>https://www.farmacity.com/tratamiento-capilar-estereocolor-shock-hair-food-pistacho-caja-x-10-un/p</t>
        </is>
      </c>
      <c r="P674" s="8">
        <f>TRIM(CLEAN(PROPER(D674)))</f>
        <v/>
      </c>
      <c r="Q674" s="8">
        <f>PROPER(TRIM(SUBSTITUTE(SUBSTITUTE(SUBSTITUTE(SUBSTITUTE(E674,"TRESEMME","Tresemme"),"HEAD &amp; SHOULDERS","Head &amp; Shoulders"),"ELVIVE","Elvive"),"FRUCTIS","Fructis")))</f>
        <v/>
      </c>
      <c r="R674" s="8">
        <f>COUNTIF($D$2:$D$10000,D674)&gt;1</f>
        <v/>
      </c>
      <c r="S674" s="8">
        <f>IF(H674=TRUE,"Disponible","No disponible")</f>
        <v/>
      </c>
      <c r="T674" s="8">
        <f>IF(AND(ISNUMBER(I674),I674&gt;0),ROUND(F674/I674,2),"Sin volumen")</f>
        <v/>
      </c>
      <c r="U674" s="8">
        <f>IF(F674&lt;5000,"Bajo",IF(F674&lt;15000,"Medio","Alto"))</f>
        <v/>
      </c>
    </row>
    <row r="675">
      <c r="A675" t="inlineStr">
        <is>
          <t>Farmacity</t>
        </is>
      </c>
      <c r="B675" t="n">
        <v>248329</v>
      </c>
      <c r="C675" t="n">
        <v>248329</v>
      </c>
      <c r="D675" t="inlineStr">
        <is>
          <t>Tratamiento Capilar Ice Professional Repair My Hair Keratina x 100 ml</t>
        </is>
      </c>
      <c r="E675" t="inlineStr">
        <is>
          <t>Ice</t>
        </is>
      </c>
      <c r="F675" t="n">
        <v>15400</v>
      </c>
      <c r="G675" t="n">
        <v>22000</v>
      </c>
      <c r="H675" t="b">
        <v>1</v>
      </c>
      <c r="I675" t="n">
        <v>100</v>
      </c>
      <c r="J675" t="n">
        <v>154</v>
      </c>
      <c r="K675" t="inlineStr">
        <is>
          <t>&gt; Cuidado Capilar &gt; Reparación Y Tratamiento &gt;</t>
        </is>
      </c>
      <c r="L675" t="inlineStr">
        <is>
          <t>tratamiento</t>
        </is>
      </c>
      <c r="M675" t="inlineStr">
        <is>
          <t>profesional</t>
        </is>
      </c>
      <c r="N675" t="inlineStr">
        <is>
          <t>tratado</t>
        </is>
      </c>
      <c r="O675" t="inlineStr">
        <is>
          <t>https://www.farmacity.com/tratamiento-capilar-ice-professional-repair-my-hair-keratina-x-100-ml/p</t>
        </is>
      </c>
      <c r="P675">
        <f>TRIM(CLEAN(PROPER(D675)))</f>
        <v/>
      </c>
      <c r="Q675">
        <f>PROPER(TRIM(SUBSTITUTE(SUBSTITUTE(SUBSTITUTE(SUBSTITUTE(E675,"TRESEMME","Tresemme"),"HEAD &amp; SHOULDERS","Head &amp; Shoulders"),"ELVIVE","Elvive"),"FRUCTIS","Fructis")))</f>
        <v/>
      </c>
      <c r="R675">
        <f>COUNTIF($D$2:$D$10000,D675)&gt;1</f>
        <v/>
      </c>
      <c r="S675">
        <f>IF(H675=TRUE,"Disponible","No disponible")</f>
        <v/>
      </c>
      <c r="T675">
        <f>IF(AND(ISNUMBER(I675),I675&gt;0),ROUND(F675/I675,2),"Sin volumen")</f>
        <v/>
      </c>
      <c r="U675">
        <f>IF(F675&lt;5000,"Bajo",IF(F675&lt;15000,"Medio","Alto"))</f>
        <v/>
      </c>
    </row>
    <row r="676">
      <c r="A676" s="6" t="inlineStr">
        <is>
          <t>Farmacity</t>
        </is>
      </c>
      <c r="B676" s="6" t="n">
        <v>228281</v>
      </c>
      <c r="C676" s="6" t="n">
        <v>228281</v>
      </c>
      <c r="D676" s="6" t="inlineStr">
        <is>
          <t>Tratamiento Capilar en Spray Multibeneficios Nic 10 en 1 x 215 ml</t>
        </is>
      </c>
      <c r="E676" s="6" t="inlineStr">
        <is>
          <t>Nic</t>
        </is>
      </c>
      <c r="F676" s="6" t="n">
        <v>13352</v>
      </c>
      <c r="G676" s="6" t="n">
        <v>16690</v>
      </c>
      <c r="H676" s="6" t="b">
        <v>1</v>
      </c>
      <c r="I676" s="6" t="n">
        <v>215</v>
      </c>
      <c r="J676" s="6" t="n">
        <v>62.1023</v>
      </c>
      <c r="K676" s="6" t="inlineStr">
        <is>
          <t>&gt; Cuidado Capilar &gt; Reparación Y Tratamiento &gt;</t>
        </is>
      </c>
      <c r="L676" s="6" t="inlineStr">
        <is>
          <t>tratamiento</t>
        </is>
      </c>
      <c r="M676" s="6" t="inlineStr">
        <is>
          <t>estandar</t>
        </is>
      </c>
      <c r="N676" s="6" t="inlineStr">
        <is>
          <t>general</t>
        </is>
      </c>
      <c r="O676" s="6" t="inlineStr">
        <is>
          <t>https://www.farmacity.com/tratamiento-capilar-nic-all-you-need-is-shine-x-215-ml/p</t>
        </is>
      </c>
      <c r="P676" s="8">
        <f>TRIM(CLEAN(PROPER(D676)))</f>
        <v/>
      </c>
      <c r="Q676" s="8">
        <f>PROPER(TRIM(SUBSTITUTE(SUBSTITUTE(SUBSTITUTE(SUBSTITUTE(E676,"TRESEMME","Tresemme"),"HEAD &amp; SHOULDERS","Head &amp; Shoulders"),"ELVIVE","Elvive"),"FRUCTIS","Fructis")))</f>
        <v/>
      </c>
      <c r="R676" s="8">
        <f>COUNTIF($D$2:$D$10000,D676)&gt;1</f>
        <v/>
      </c>
      <c r="S676" s="8">
        <f>IF(H676=TRUE,"Disponible","No disponible")</f>
        <v/>
      </c>
      <c r="T676" s="8">
        <f>IF(AND(ISNUMBER(I676),I676&gt;0),ROUND(F676/I676,2),"Sin volumen")</f>
        <v/>
      </c>
      <c r="U676" s="8">
        <f>IF(F676&lt;5000,"Bajo",IF(F676&lt;15000,"Medio","Alto"))</f>
        <v/>
      </c>
    </row>
    <row r="677">
      <c r="A677" t="inlineStr">
        <is>
          <t>Farmacity</t>
        </is>
      </c>
      <c r="B677" t="n">
        <v>865</v>
      </c>
      <c r="C677" t="n">
        <v>133756</v>
      </c>
      <c r="D677" t="inlineStr">
        <is>
          <t>Tratamiento Capilar Vichy Dercos Aminexil Pro Homme x 12 un x 6 ml</t>
        </is>
      </c>
      <c r="E677" t="inlineStr">
        <is>
          <t>Vichy</t>
        </is>
      </c>
      <c r="F677" t="n">
        <v>143134</v>
      </c>
      <c r="G677" t="n">
        <v>143134</v>
      </c>
      <c r="H677" t="b">
        <v>1</v>
      </c>
      <c r="I677" t="n">
        <v>6</v>
      </c>
      <c r="J677" t="n">
        <v>23855.6667</v>
      </c>
      <c r="K677" t="inlineStr">
        <is>
          <t>&gt; Dermocosmética &gt; Pelo &gt; Bálsamos y Tratamientos &gt;</t>
        </is>
      </c>
      <c r="L677" t="inlineStr">
        <is>
          <t>tratamiento</t>
        </is>
      </c>
      <c r="M677" t="inlineStr">
        <is>
          <t>estandar</t>
        </is>
      </c>
      <c r="N677" t="inlineStr">
        <is>
          <t>general</t>
        </is>
      </c>
      <c r="O677" t="inlineStr">
        <is>
          <t>https://www.farmacity.com/tratamiento-capilar-anticaida-dercos-aminexil-pro-para-hombres-12-un-x-6ml-c-u/p</t>
        </is>
      </c>
      <c r="P677">
        <f>TRIM(CLEAN(PROPER(D677)))</f>
        <v/>
      </c>
      <c r="Q677">
        <f>PROPER(TRIM(SUBSTITUTE(SUBSTITUTE(SUBSTITUTE(SUBSTITUTE(E677,"TRESEMME","Tresemme"),"HEAD &amp; SHOULDERS","Head &amp; Shoulders"),"ELVIVE","Elvive"),"FRUCTIS","Fructis")))</f>
        <v/>
      </c>
      <c r="R677">
        <f>COUNTIF($D$2:$D$10000,D677)&gt;1</f>
        <v/>
      </c>
      <c r="S677">
        <f>IF(H677=TRUE,"Disponible","No disponible")</f>
        <v/>
      </c>
      <c r="T677">
        <f>IF(AND(ISNUMBER(I677),I677&gt;0),ROUND(F677/I677,2),"Sin volumen")</f>
        <v/>
      </c>
      <c r="U677">
        <f>IF(F677&lt;5000,"Bajo",IF(F677&lt;15000,"Medio","Alto"))</f>
        <v/>
      </c>
    </row>
    <row r="678">
      <c r="A678" s="6" t="inlineStr">
        <is>
          <t>Farmacity</t>
        </is>
      </c>
      <c r="B678" s="6" t="n">
        <v>245032</v>
      </c>
      <c r="C678" s="6" t="n">
        <v>245032</v>
      </c>
      <c r="D678" s="6" t="inlineStr">
        <is>
          <t>Ampolla Tratamiento Capilar Get The Look Hidratación Profunda x 15 ml</t>
        </is>
      </c>
      <c r="E678" s="6" t="inlineStr">
        <is>
          <t>Get the Look</t>
        </is>
      </c>
      <c r="F678" s="6" t="n">
        <v>4830</v>
      </c>
      <c r="G678" s="6" t="n">
        <v>4830</v>
      </c>
      <c r="H678" s="6" t="b">
        <v>1</v>
      </c>
      <c r="I678" s="6" t="n">
        <v>15</v>
      </c>
      <c r="J678" s="6" t="n">
        <v>322</v>
      </c>
      <c r="K678" s="6" t="inlineStr">
        <is>
          <t>&gt; Cuidado Capilar &gt; Reparación Y Tratamiento &gt;</t>
        </is>
      </c>
      <c r="L678" s="6" t="inlineStr">
        <is>
          <t>tratamiento</t>
        </is>
      </c>
      <c r="M678" s="6" t="inlineStr">
        <is>
          <t>estandar</t>
        </is>
      </c>
      <c r="N678" s="6" t="inlineStr">
        <is>
          <t>seco_danado</t>
        </is>
      </c>
      <c r="O678" s="6" t="inlineStr">
        <is>
          <t>https://www.farmacity.com/ampolla-tratamiento-capilar-get-the-look-hidratacion-profunda-acido-hialuronico-y-vitamina-c-x-15-ml/p</t>
        </is>
      </c>
      <c r="P678" s="8">
        <f>TRIM(CLEAN(PROPER(D678)))</f>
        <v/>
      </c>
      <c r="Q678" s="8">
        <f>PROPER(TRIM(SUBSTITUTE(SUBSTITUTE(SUBSTITUTE(SUBSTITUTE(E678,"TRESEMME","Tresemme"),"HEAD &amp; SHOULDERS","Head &amp; Shoulders"),"ELVIVE","Elvive"),"FRUCTIS","Fructis")))</f>
        <v/>
      </c>
      <c r="R678" s="8">
        <f>COUNTIF($D$2:$D$10000,D678)&gt;1</f>
        <v/>
      </c>
      <c r="S678" s="8">
        <f>IF(H678=TRUE,"Disponible","No disponible")</f>
        <v/>
      </c>
      <c r="T678" s="8">
        <f>IF(AND(ISNUMBER(I678),I678&gt;0),ROUND(F678/I678,2),"Sin volumen")</f>
        <v/>
      </c>
      <c r="U678" s="8">
        <f>IF(F678&lt;5000,"Bajo",IF(F678&lt;15000,"Medio","Alto"))</f>
        <v/>
      </c>
    </row>
    <row r="679">
      <c r="A679" t="inlineStr">
        <is>
          <t>Farmacity</t>
        </is>
      </c>
      <c r="B679" t="n">
        <v>245031</v>
      </c>
      <c r="C679" t="n">
        <v>245031</v>
      </c>
      <c r="D679" t="inlineStr">
        <is>
          <t>Ampolla Tratamiento Capilar Get The Look Nutrición Profunda Palta x 15 ml</t>
        </is>
      </c>
      <c r="E679" t="inlineStr">
        <is>
          <t>Get the Look</t>
        </is>
      </c>
      <c r="F679" t="n">
        <v>4830</v>
      </c>
      <c r="G679" t="n">
        <v>4830</v>
      </c>
      <c r="H679" t="b">
        <v>1</v>
      </c>
      <c r="I679" t="n">
        <v>15</v>
      </c>
      <c r="J679" t="n">
        <v>322</v>
      </c>
      <c r="K679" t="inlineStr">
        <is>
          <t>&gt; Cuidado Capilar &gt; Reparación Y Tratamiento &gt;</t>
        </is>
      </c>
      <c r="L679" t="inlineStr">
        <is>
          <t>tratamiento</t>
        </is>
      </c>
      <c r="M679" t="inlineStr">
        <is>
          <t>estandar</t>
        </is>
      </c>
      <c r="N679" t="inlineStr">
        <is>
          <t>general</t>
        </is>
      </c>
      <c r="O679" t="inlineStr">
        <is>
          <t>https://www.farmacity.com/ampolla-tratamiento-capilar-get-the-look-nutricion-profunda-palta-x-15-ml/p</t>
        </is>
      </c>
      <c r="P679">
        <f>TRIM(CLEAN(PROPER(D679)))</f>
        <v/>
      </c>
      <c r="Q679">
        <f>PROPER(TRIM(SUBSTITUTE(SUBSTITUTE(SUBSTITUTE(SUBSTITUTE(E679,"TRESEMME","Tresemme"),"HEAD &amp; SHOULDERS","Head &amp; Shoulders"),"ELVIVE","Elvive"),"FRUCTIS","Fructis")))</f>
        <v/>
      </c>
      <c r="R679">
        <f>COUNTIF($D$2:$D$10000,D679)&gt;1</f>
        <v/>
      </c>
      <c r="S679">
        <f>IF(H679=TRUE,"Disponible","No disponible")</f>
        <v/>
      </c>
      <c r="T679">
        <f>IF(AND(ISNUMBER(I679),I679&gt;0),ROUND(F679/I679,2),"Sin volumen")</f>
        <v/>
      </c>
      <c r="U679">
        <f>IF(F679&lt;5000,"Bajo",IF(F679&lt;15000,"Medio","Alto"))</f>
        <v/>
      </c>
    </row>
    <row r="680">
      <c r="A680" s="6" t="inlineStr">
        <is>
          <t>Farmacity</t>
        </is>
      </c>
      <c r="B680" s="6" t="n">
        <v>245029</v>
      </c>
      <c r="C680" s="6" t="n">
        <v>245029</v>
      </c>
      <c r="D680" s="6" t="inlineStr">
        <is>
          <t>Ampolla Tratamiento Capilar Get The Look Anti Caída Niacinamida x 15 ml</t>
        </is>
      </c>
      <c r="E680" s="6" t="inlineStr">
        <is>
          <t>Get the Look</t>
        </is>
      </c>
      <c r="F680" s="6" t="n">
        <v>4830</v>
      </c>
      <c r="G680" s="6" t="n">
        <v>4830</v>
      </c>
      <c r="H680" s="6" t="b">
        <v>1</v>
      </c>
      <c r="I680" s="6" t="n">
        <v>15</v>
      </c>
      <c r="J680" s="6" t="n">
        <v>322</v>
      </c>
      <c r="K680" s="6" t="inlineStr">
        <is>
          <t>&gt; Cuidado Capilar &gt; Reparación Y Tratamiento &gt;</t>
        </is>
      </c>
      <c r="L680" s="6" t="inlineStr">
        <is>
          <t>tratamiento</t>
        </is>
      </c>
      <c r="M680" s="6" t="inlineStr">
        <is>
          <t>estandar</t>
        </is>
      </c>
      <c r="N680" s="6" t="inlineStr">
        <is>
          <t>general</t>
        </is>
      </c>
      <c r="O680" s="6" t="inlineStr">
        <is>
          <t>https://www.farmacity.com/ampolla-tratamiento-capilar-get-the-look-anti-caida-niacinamida-x-15-ml/p</t>
        </is>
      </c>
      <c r="P680" s="8">
        <f>TRIM(CLEAN(PROPER(D680)))</f>
        <v/>
      </c>
      <c r="Q680" s="8">
        <f>PROPER(TRIM(SUBSTITUTE(SUBSTITUTE(SUBSTITUTE(SUBSTITUTE(E680,"TRESEMME","Tresemme"),"HEAD &amp; SHOULDERS","Head &amp; Shoulders"),"ELVIVE","Elvive"),"FRUCTIS","Fructis")))</f>
        <v/>
      </c>
      <c r="R680" s="8">
        <f>COUNTIF($D$2:$D$10000,D680)&gt;1</f>
        <v/>
      </c>
      <c r="S680" s="8">
        <f>IF(H680=TRUE,"Disponible","No disponible")</f>
        <v/>
      </c>
      <c r="T680" s="8">
        <f>IF(AND(ISNUMBER(I680),I680&gt;0),ROUND(F680/I680,2),"Sin volumen")</f>
        <v/>
      </c>
      <c r="U680" s="8">
        <f>IF(F680&lt;5000,"Bajo",IF(F680&lt;15000,"Medio","Alto"))</f>
        <v/>
      </c>
    </row>
    <row r="681">
      <c r="A681" t="inlineStr">
        <is>
          <t>Farmacity</t>
        </is>
      </c>
      <c r="B681" t="n">
        <v>245030</v>
      </c>
      <c r="C681" t="n">
        <v>245030</v>
      </c>
      <c r="D681" t="inlineStr">
        <is>
          <t>Ampolla Tratamiento Capilar Get The Look Silsoft y Keratina Hidrolizada x 15 ml</t>
        </is>
      </c>
      <c r="E681" t="inlineStr">
        <is>
          <t>Get the Look</t>
        </is>
      </c>
      <c r="F681" t="n">
        <v>4830</v>
      </c>
      <c r="G681" t="n">
        <v>4830</v>
      </c>
      <c r="H681" t="b">
        <v>1</v>
      </c>
      <c r="I681" t="n">
        <v>15</v>
      </c>
      <c r="J681" t="n">
        <v>322</v>
      </c>
      <c r="K681" t="inlineStr">
        <is>
          <t>&gt; Cuidado Capilar &gt; Reparación Y Tratamiento &gt;</t>
        </is>
      </c>
      <c r="L681" t="inlineStr">
        <is>
          <t>tratamiento</t>
        </is>
      </c>
      <c r="M681" t="inlineStr">
        <is>
          <t>estandar</t>
        </is>
      </c>
      <c r="N681" t="inlineStr">
        <is>
          <t>tratado</t>
        </is>
      </c>
      <c r="O681" t="inlineStr">
        <is>
          <t>https://www.farmacity.com/ampolla-tratamiento-capilar-get-the-look-reparacion-profunda-silfoft-y-keratina-hidrolizada-x-15-ml/p</t>
        </is>
      </c>
      <c r="P681">
        <f>TRIM(CLEAN(PROPER(D681)))</f>
        <v/>
      </c>
      <c r="Q681">
        <f>PROPER(TRIM(SUBSTITUTE(SUBSTITUTE(SUBSTITUTE(SUBSTITUTE(E681,"TRESEMME","Tresemme"),"HEAD &amp; SHOULDERS","Head &amp; Shoulders"),"ELVIVE","Elvive"),"FRUCTIS","Fructis")))</f>
        <v/>
      </c>
      <c r="R681">
        <f>COUNTIF($D$2:$D$10000,D681)&gt;1</f>
        <v/>
      </c>
      <c r="S681">
        <f>IF(H681=TRUE,"Disponible","No disponible")</f>
        <v/>
      </c>
      <c r="T681">
        <f>IF(AND(ISNUMBER(I681),I681&gt;0),ROUND(F681/I681,2),"Sin volumen")</f>
        <v/>
      </c>
      <c r="U681">
        <f>IF(F681&lt;5000,"Bajo",IF(F681&lt;15000,"Medio","Alto"))</f>
        <v/>
      </c>
    </row>
    <row r="682">
      <c r="A682" s="6" t="inlineStr">
        <is>
          <t>Farmacity</t>
        </is>
      </c>
      <c r="B682" s="6" t="n">
        <v>209164</v>
      </c>
      <c r="C682" s="6" t="n">
        <v>209164</v>
      </c>
      <c r="D682" s="6" t="inlineStr">
        <is>
          <t>Tratamiento Estereocolor Shock Humectación x 50 ml</t>
        </is>
      </c>
      <c r="E682" s="6" t="inlineStr">
        <is>
          <t>Estereocolor</t>
        </is>
      </c>
      <c r="F682" s="6" t="n">
        <v>2250</v>
      </c>
      <c r="G682" s="6" t="n">
        <v>2250</v>
      </c>
      <c r="H682" s="6" t="b">
        <v>1</v>
      </c>
      <c r="I682" s="6" t="n">
        <v>50</v>
      </c>
      <c r="J682" s="6" t="n">
        <v>45</v>
      </c>
      <c r="K682" s="6" t="inlineStr">
        <is>
          <t>&gt; Cuidado Capilar &gt; Reparación Y Tratamiento &gt;</t>
        </is>
      </c>
      <c r="L682" s="6" t="inlineStr">
        <is>
          <t>tratamiento</t>
        </is>
      </c>
      <c r="M682" s="6" t="inlineStr">
        <is>
          <t>estandar</t>
        </is>
      </c>
      <c r="N682" s="6" t="inlineStr">
        <is>
          <t>tratado</t>
        </is>
      </c>
      <c r="O682" s="6" t="inlineStr">
        <is>
          <t>https://www.farmacity.com/tratamiento-estereo-color-shock-humectacion-intensiva-con-aceite-de-coco-x-50-ml/p</t>
        </is>
      </c>
      <c r="P682" s="8">
        <f>TRIM(CLEAN(PROPER(D682)))</f>
        <v/>
      </c>
      <c r="Q682" s="8">
        <f>PROPER(TRIM(SUBSTITUTE(SUBSTITUTE(SUBSTITUTE(SUBSTITUTE(E682,"TRESEMME","Tresemme"),"HEAD &amp; SHOULDERS","Head &amp; Shoulders"),"ELVIVE","Elvive"),"FRUCTIS","Fructis")))</f>
        <v/>
      </c>
      <c r="R682" s="8">
        <f>COUNTIF($D$2:$D$10000,D682)&gt;1</f>
        <v/>
      </c>
      <c r="S682" s="8">
        <f>IF(H682=TRUE,"Disponible","No disponible")</f>
        <v/>
      </c>
      <c r="T682" s="8">
        <f>IF(AND(ISNUMBER(I682),I682&gt;0),ROUND(F682/I682,2),"Sin volumen")</f>
        <v/>
      </c>
      <c r="U682" s="8">
        <f>IF(F682&lt;5000,"Bajo",IF(F682&lt;15000,"Medio","Alto"))</f>
        <v/>
      </c>
    </row>
    <row r="683">
      <c r="A683" t="inlineStr">
        <is>
          <t>Farmacity</t>
        </is>
      </c>
      <c r="B683" t="n">
        <v>209165</v>
      </c>
      <c r="C683" t="n">
        <v>209165</v>
      </c>
      <c r="D683" t="inlineStr">
        <is>
          <t>Tratamiento Estereocolor Shock Concentrado x 50 ml</t>
        </is>
      </c>
      <c r="E683" t="inlineStr">
        <is>
          <t>Estereocolor</t>
        </is>
      </c>
      <c r="F683" t="n">
        <v>2250</v>
      </c>
      <c r="G683" t="n">
        <v>2250</v>
      </c>
      <c r="H683" t="b">
        <v>1</v>
      </c>
      <c r="I683" t="n">
        <v>50</v>
      </c>
      <c r="J683" t="n">
        <v>45</v>
      </c>
      <c r="K683" t="inlineStr">
        <is>
          <t>&gt; Cuidado Capilar &gt; Reparación Y Tratamiento &gt;</t>
        </is>
      </c>
      <c r="L683" t="inlineStr">
        <is>
          <t>tratamiento</t>
        </is>
      </c>
      <c r="M683" t="inlineStr">
        <is>
          <t>estandar</t>
        </is>
      </c>
      <c r="N683" t="inlineStr">
        <is>
          <t>tratado</t>
        </is>
      </c>
      <c r="O683" t="inlineStr">
        <is>
          <t>https://www.farmacity.com/tratamiento-estereo-color-shock-concentrado-reparador-x-50-ml/p</t>
        </is>
      </c>
      <c r="P683">
        <f>TRIM(CLEAN(PROPER(D683)))</f>
        <v/>
      </c>
      <c r="Q683">
        <f>PROPER(TRIM(SUBSTITUTE(SUBSTITUTE(SUBSTITUTE(SUBSTITUTE(E683,"TRESEMME","Tresemme"),"HEAD &amp; SHOULDERS","Head &amp; Shoulders"),"ELVIVE","Elvive"),"FRUCTIS","Fructis")))</f>
        <v/>
      </c>
      <c r="R683">
        <f>COUNTIF($D$2:$D$10000,D683)&gt;1</f>
        <v/>
      </c>
      <c r="S683">
        <f>IF(H683=TRUE,"Disponible","No disponible")</f>
        <v/>
      </c>
      <c r="T683">
        <f>IF(AND(ISNUMBER(I683),I683&gt;0),ROUND(F683/I683,2),"Sin volumen")</f>
        <v/>
      </c>
      <c r="U683">
        <f>IF(F683&lt;5000,"Bajo",IF(F683&lt;15000,"Medio","Alto"))</f>
        <v/>
      </c>
    </row>
    <row r="684">
      <c r="A684" s="6" t="inlineStr">
        <is>
          <t>Farmacity</t>
        </is>
      </c>
      <c r="B684" s="6" t="n">
        <v>220314</v>
      </c>
      <c r="C684" s="6" t="n">
        <v>220314</v>
      </c>
      <c r="D684" s="6" t="inlineStr">
        <is>
          <t>Tratamiento Estereocolor Shock Oro 24k x 50 g</t>
        </is>
      </c>
      <c r="E684" s="6" t="inlineStr">
        <is>
          <t>Estereocolor</t>
        </is>
      </c>
      <c r="F684" s="6" t="n">
        <v>2250</v>
      </c>
      <c r="G684" s="6" t="n">
        <v>2250</v>
      </c>
      <c r="H684" s="6" t="b">
        <v>1</v>
      </c>
      <c r="I684" s="6" t="n">
        <v>50</v>
      </c>
      <c r="J684" s="6" t="n">
        <v>45</v>
      </c>
      <c r="K684" s="6" t="inlineStr">
        <is>
          <t>&gt; Cuidado Capilar &gt; Reparación Y Tratamiento &gt;</t>
        </is>
      </c>
      <c r="L684" s="6" t="inlineStr">
        <is>
          <t>tratamiento</t>
        </is>
      </c>
      <c r="M684" s="6" t="inlineStr">
        <is>
          <t>estandar</t>
        </is>
      </c>
      <c r="N684" s="6" t="inlineStr">
        <is>
          <t>tratado</t>
        </is>
      </c>
      <c r="O684" s="6" t="inlineStr">
        <is>
          <t>https://www.farmacity.com/tratamiento-estereo-color-shock-oro-24-k-x-50-g/p</t>
        </is>
      </c>
      <c r="P684" s="8">
        <f>TRIM(CLEAN(PROPER(D684)))</f>
        <v/>
      </c>
      <c r="Q684" s="8">
        <f>PROPER(TRIM(SUBSTITUTE(SUBSTITUTE(SUBSTITUTE(SUBSTITUTE(E684,"TRESEMME","Tresemme"),"HEAD &amp; SHOULDERS","Head &amp; Shoulders"),"ELVIVE","Elvive"),"FRUCTIS","Fructis")))</f>
        <v/>
      </c>
      <c r="R684" s="8">
        <f>COUNTIF($D$2:$D$10000,D684)&gt;1</f>
        <v/>
      </c>
      <c r="S684" s="8">
        <f>IF(H684=TRUE,"Disponible","No disponible")</f>
        <v/>
      </c>
      <c r="T684" s="8">
        <f>IF(AND(ISNUMBER(I684),I684&gt;0),ROUND(F684/I684,2),"Sin volumen")</f>
        <v/>
      </c>
      <c r="U684" s="8">
        <f>IF(F684&lt;5000,"Bajo",IF(F684&lt;15000,"Medio","Alto"))</f>
        <v/>
      </c>
    </row>
    <row r="685">
      <c r="A685" t="inlineStr">
        <is>
          <t>Farmacity</t>
        </is>
      </c>
      <c r="B685" t="n">
        <v>220315</v>
      </c>
      <c r="C685" t="n">
        <v>220315</v>
      </c>
      <c r="D685" t="inlineStr">
        <is>
          <t>Tratamiento Estereocolor Carbón Detox Activado x 50 g</t>
        </is>
      </c>
      <c r="E685" t="inlineStr">
        <is>
          <t>Estereocolor</t>
        </is>
      </c>
      <c r="F685" t="n">
        <v>1125</v>
      </c>
      <c r="G685" t="n">
        <v>2250</v>
      </c>
      <c r="H685" t="b">
        <v>1</v>
      </c>
      <c r="I685" t="n">
        <v>50</v>
      </c>
      <c r="J685" t="n">
        <v>22.5</v>
      </c>
      <c r="K685" t="inlineStr">
        <is>
          <t>&gt; Cuidado Capilar &gt; Reparación Y Tratamiento &gt;</t>
        </is>
      </c>
      <c r="L685" t="inlineStr">
        <is>
          <t>tratamiento</t>
        </is>
      </c>
      <c r="M685" t="inlineStr">
        <is>
          <t>estandar</t>
        </is>
      </c>
      <c r="N685" t="inlineStr">
        <is>
          <t>tratado</t>
        </is>
      </c>
      <c r="O685" t="inlineStr">
        <is>
          <t>https://www.farmacity.com/tratamiento-estereo-color-carbon-detox-activado-x-50-g/p</t>
        </is>
      </c>
      <c r="P685">
        <f>TRIM(CLEAN(PROPER(D685)))</f>
        <v/>
      </c>
      <c r="Q685">
        <f>PROPER(TRIM(SUBSTITUTE(SUBSTITUTE(SUBSTITUTE(SUBSTITUTE(E685,"TRESEMME","Tresemme"),"HEAD &amp; SHOULDERS","Head &amp; Shoulders"),"ELVIVE","Elvive"),"FRUCTIS","Fructis")))</f>
        <v/>
      </c>
      <c r="R685">
        <f>COUNTIF($D$2:$D$10000,D685)&gt;1</f>
        <v/>
      </c>
      <c r="S685">
        <f>IF(H685=TRUE,"Disponible","No disponible")</f>
        <v/>
      </c>
      <c r="T685">
        <f>IF(AND(ISNUMBER(I685),I685&gt;0),ROUND(F685/I685,2),"Sin volumen")</f>
        <v/>
      </c>
      <c r="U685">
        <f>IF(F685&lt;5000,"Bajo",IF(F685&lt;15000,"Medio","Alto"))</f>
        <v/>
      </c>
    </row>
    <row r="686">
      <c r="A686" s="6" t="inlineStr">
        <is>
          <t>Farmacity</t>
        </is>
      </c>
      <c r="B686" s="6" t="n">
        <v>224948</v>
      </c>
      <c r="C686" s="6" t="n">
        <v>224948</v>
      </c>
      <c r="D686" s="6" t="inlineStr">
        <is>
          <t>Tratamiento Estereocolor Shock Intensivo Silver x 50 g</t>
        </is>
      </c>
      <c r="E686" s="6" t="inlineStr">
        <is>
          <t>Estereocolor</t>
        </is>
      </c>
      <c r="F686" s="6" t="n">
        <v>2250</v>
      </c>
      <c r="G686" s="6" t="n">
        <v>2250</v>
      </c>
      <c r="H686" s="6" t="b">
        <v>1</v>
      </c>
      <c r="I686" s="6" t="n">
        <v>50</v>
      </c>
      <c r="J686" s="6" t="n">
        <v>45</v>
      </c>
      <c r="K686" s="6" t="inlineStr">
        <is>
          <t>&gt; Cuidado Capilar &gt; Reparación Y Tratamiento &gt;</t>
        </is>
      </c>
      <c r="L686" s="6" t="inlineStr">
        <is>
          <t>tratamiento</t>
        </is>
      </c>
      <c r="M686" s="6" t="inlineStr">
        <is>
          <t>estandar</t>
        </is>
      </c>
      <c r="N686" s="6" t="inlineStr">
        <is>
          <t>tratado</t>
        </is>
      </c>
      <c r="O686" s="6" t="inlineStr">
        <is>
          <t>https://www.farmacity.com/tratamiento-estereo-color-shock-intensivo-silver-x-50-g/p</t>
        </is>
      </c>
      <c r="P686" s="8">
        <f>TRIM(CLEAN(PROPER(D686)))</f>
        <v/>
      </c>
      <c r="Q686" s="8">
        <f>PROPER(TRIM(SUBSTITUTE(SUBSTITUTE(SUBSTITUTE(SUBSTITUTE(E686,"TRESEMME","Tresemme"),"HEAD &amp; SHOULDERS","Head &amp; Shoulders"),"ELVIVE","Elvive"),"FRUCTIS","Fructis")))</f>
        <v/>
      </c>
      <c r="R686" s="8">
        <f>COUNTIF($D$2:$D$10000,D686)&gt;1</f>
        <v/>
      </c>
      <c r="S686" s="8">
        <f>IF(H686=TRUE,"Disponible","No disponible")</f>
        <v/>
      </c>
      <c r="T686" s="8">
        <f>IF(AND(ISNUMBER(I686),I686&gt;0),ROUND(F686/I686,2),"Sin volumen")</f>
        <v/>
      </c>
      <c r="U686" s="8">
        <f>IF(F686&lt;5000,"Bajo",IF(F686&lt;15000,"Medio","Alto"))</f>
        <v/>
      </c>
    </row>
    <row r="687">
      <c r="A687" t="inlineStr">
        <is>
          <t>Farmacity</t>
        </is>
      </c>
      <c r="B687" t="n">
        <v>249158</v>
      </c>
      <c r="C687" t="n">
        <v>249158</v>
      </c>
      <c r="D687" t="inlineStr">
        <is>
          <t>Combo Get The Look Capilar Desenredante + Óleo + Ampolla Tratamiento</t>
        </is>
      </c>
      <c r="E687" t="inlineStr">
        <is>
          <t>Get the Look</t>
        </is>
      </c>
      <c r="F687" t="n">
        <v>12184</v>
      </c>
      <c r="G687" t="n">
        <v>24369</v>
      </c>
      <c r="H687" t="b">
        <v>1</v>
      </c>
      <c r="I687" t="inlineStr"/>
      <c r="J687" t="inlineStr"/>
      <c r="K687" t="inlineStr">
        <is>
          <t>&gt; Cuidado Capilar &gt; Reparación Y Tratamiento &gt;</t>
        </is>
      </c>
      <c r="L687" t="inlineStr">
        <is>
          <t>tratamiento</t>
        </is>
      </c>
      <c r="M687" t="inlineStr">
        <is>
          <t>estandar</t>
        </is>
      </c>
      <c r="N687" t="inlineStr">
        <is>
          <t>general</t>
        </is>
      </c>
      <c r="O687" t="inlineStr">
        <is>
          <t>https://www.farmacity.com/combo-get-the-look-capilar-desenredante-oleo-ampolla-tratamiento/p</t>
        </is>
      </c>
      <c r="P687">
        <f>TRIM(CLEAN(PROPER(D687)))</f>
        <v/>
      </c>
      <c r="Q687">
        <f>PROPER(TRIM(SUBSTITUTE(SUBSTITUTE(SUBSTITUTE(SUBSTITUTE(E687,"TRESEMME","Tresemme"),"HEAD &amp; SHOULDERS","Head &amp; Shoulders"),"ELVIVE","Elvive"),"FRUCTIS","Fructis")))</f>
        <v/>
      </c>
      <c r="R687">
        <f>COUNTIF($D$2:$D$10000,D687)&gt;1</f>
        <v/>
      </c>
      <c r="S687">
        <f>IF(H687=TRUE,"Disponible","No disponible")</f>
        <v/>
      </c>
      <c r="T687">
        <f>IF(AND(ISNUMBER(I687),I687&gt;0),ROUND(F687/I687,2),"Sin volumen")</f>
        <v/>
      </c>
      <c r="U687">
        <f>IF(F687&lt;5000,"Bajo",IF(F687&lt;15000,"Medio","Alto"))</f>
        <v/>
      </c>
    </row>
    <row r="688">
      <c r="A688" s="6" t="inlineStr">
        <is>
          <t>Farmacity</t>
        </is>
      </c>
      <c r="B688" s="6" t="n">
        <v>241697</v>
      </c>
      <c r="C688" s="6" t="n">
        <v>241697</v>
      </c>
      <c r="D688" s="6" t="inlineStr">
        <is>
          <t>Kit Dove Bond Intense Repair Óleo + Sérum Capilar + Máscara de Tratamiento</t>
        </is>
      </c>
      <c r="E688" s="6" t="inlineStr">
        <is>
          <t>Dove</t>
        </is>
      </c>
      <c r="F688" s="6" t="n">
        <v>17141</v>
      </c>
      <c r="G688" s="6" t="n">
        <v>34282</v>
      </c>
      <c r="H688" s="6" t="b">
        <v>1</v>
      </c>
      <c r="I688" s="6" t="inlineStr"/>
      <c r="J688" s="6" t="inlineStr"/>
      <c r="K688" s="6" t="inlineStr">
        <is>
          <t>&gt; Cuidado Capilar &gt; Reparación Y Tratamiento &gt;</t>
        </is>
      </c>
      <c r="L688" s="6" t="inlineStr">
        <is>
          <t>tratamiento</t>
        </is>
      </c>
      <c r="M688" s="6" t="inlineStr">
        <is>
          <t>profesional</t>
        </is>
      </c>
      <c r="N688" s="6" t="inlineStr">
        <is>
          <t>general</t>
        </is>
      </c>
      <c r="O688" s="6" t="inlineStr">
        <is>
          <t>https://www.farmacity.com/combo-dove-bond-intense-repair-oleo-serum-capilar-x-110-ml-mascara-de-tratamiento-x-250-g/p</t>
        </is>
      </c>
      <c r="P688" s="8">
        <f>TRIM(CLEAN(PROPER(D688)))</f>
        <v/>
      </c>
      <c r="Q688" s="8">
        <f>PROPER(TRIM(SUBSTITUTE(SUBSTITUTE(SUBSTITUTE(SUBSTITUTE(E688,"TRESEMME","Tresemme"),"HEAD &amp; SHOULDERS","Head &amp; Shoulders"),"ELVIVE","Elvive"),"FRUCTIS","Fructis")))</f>
        <v/>
      </c>
      <c r="R688" s="8">
        <f>COUNTIF($D$2:$D$10000,D688)&gt;1</f>
        <v/>
      </c>
      <c r="S688" s="8">
        <f>IF(H688=TRUE,"Disponible","No disponible")</f>
        <v/>
      </c>
      <c r="T688" s="8">
        <f>IF(AND(ISNUMBER(I688),I688&gt;0),ROUND(F688/I688,2),"Sin volumen")</f>
        <v/>
      </c>
      <c r="U688" s="8">
        <f>IF(F688&lt;5000,"Bajo",IF(F688&lt;15000,"Medio","Alto"))</f>
        <v/>
      </c>
    </row>
    <row r="689">
      <c r="A689" t="inlineStr">
        <is>
          <t>Farmacity</t>
        </is>
      </c>
      <c r="B689" t="n">
        <v>214141</v>
      </c>
      <c r="C689" t="n">
        <v>214141</v>
      </c>
      <c r="D689" t="inlineStr">
        <is>
          <t>Tratamiento Estereocolor Oleo de Argán</t>
        </is>
      </c>
      <c r="E689" t="inlineStr">
        <is>
          <t>Estereocolor</t>
        </is>
      </c>
      <c r="F689" t="n">
        <v>1040</v>
      </c>
      <c r="G689" t="n">
        <v>1040</v>
      </c>
      <c r="H689" t="b">
        <v>1</v>
      </c>
      <c r="I689" t="inlineStr"/>
      <c r="J689" t="inlineStr"/>
      <c r="K689" t="inlineStr">
        <is>
          <t>&gt; Cuidado Capilar &gt; Reparación Y Tratamiento &gt;</t>
        </is>
      </c>
      <c r="L689" t="inlineStr">
        <is>
          <t>tratamiento</t>
        </is>
      </c>
      <c r="M689" t="inlineStr">
        <is>
          <t>estandar</t>
        </is>
      </c>
      <c r="N689" t="inlineStr">
        <is>
          <t>tratado</t>
        </is>
      </c>
      <c r="O689" t="inlineStr">
        <is>
          <t>https://www.farmacity.com/tratamiento-estereo-color-oleo-de-argan-x-1-un/p</t>
        </is>
      </c>
      <c r="P689">
        <f>TRIM(CLEAN(PROPER(D689)))</f>
        <v/>
      </c>
      <c r="Q689">
        <f>PROPER(TRIM(SUBSTITUTE(SUBSTITUTE(SUBSTITUTE(SUBSTITUTE(E689,"TRESEMME","Tresemme"),"HEAD &amp; SHOULDERS","Head &amp; Shoulders"),"ELVIVE","Elvive"),"FRUCTIS","Fructis")))</f>
        <v/>
      </c>
      <c r="R689">
        <f>COUNTIF($D$2:$D$10000,D689)&gt;1</f>
        <v/>
      </c>
      <c r="S689">
        <f>IF(H689=TRUE,"Disponible","No disponible")</f>
        <v/>
      </c>
      <c r="T689">
        <f>IF(AND(ISNUMBER(I689),I689&gt;0),ROUND(F689/I689,2),"Sin volumen")</f>
        <v/>
      </c>
      <c r="U689">
        <f>IF(F689&lt;5000,"Bajo",IF(F689&lt;15000,"Medio","Alto"))</f>
        <v/>
      </c>
    </row>
    <row r="690">
      <c r="A690" s="6" t="inlineStr">
        <is>
          <t>Farmacity</t>
        </is>
      </c>
      <c r="B690" s="6" t="n">
        <v>214142</v>
      </c>
      <c r="C690" s="6" t="n">
        <v>214142</v>
      </c>
      <c r="D690" s="6" t="inlineStr">
        <is>
          <t>Tratamiento Estereocolor Aceite de Almendras</t>
        </is>
      </c>
      <c r="E690" s="6" t="inlineStr">
        <is>
          <t>Estereocolor</t>
        </is>
      </c>
      <c r="F690" s="6" t="n">
        <v>1040</v>
      </c>
      <c r="G690" s="6" t="n">
        <v>1040</v>
      </c>
      <c r="H690" s="6" t="b">
        <v>1</v>
      </c>
      <c r="I690" s="6" t="inlineStr"/>
      <c r="J690" s="6" t="inlineStr"/>
      <c r="K690" s="6" t="inlineStr">
        <is>
          <t>&gt; Cuidado Capilar &gt; Reparación Y Tratamiento &gt;</t>
        </is>
      </c>
      <c r="L690" s="6" t="inlineStr">
        <is>
          <t>tratamiento</t>
        </is>
      </c>
      <c r="M690" s="6" t="inlineStr">
        <is>
          <t>estandar</t>
        </is>
      </c>
      <c r="N690" s="6" t="inlineStr">
        <is>
          <t>tratado</t>
        </is>
      </c>
      <c r="O690" s="6" t="inlineStr">
        <is>
          <t>https://www.farmacity.com/tratamiento-estereo-color-aceite-de-almendras-x-40-un/p</t>
        </is>
      </c>
      <c r="P690" s="8">
        <f>TRIM(CLEAN(PROPER(D690)))</f>
        <v/>
      </c>
      <c r="Q690" s="8">
        <f>PROPER(TRIM(SUBSTITUTE(SUBSTITUTE(SUBSTITUTE(SUBSTITUTE(E690,"TRESEMME","Tresemme"),"HEAD &amp; SHOULDERS","Head &amp; Shoulders"),"ELVIVE","Elvive"),"FRUCTIS","Fructis")))</f>
        <v/>
      </c>
      <c r="R690" s="8">
        <f>COUNTIF($D$2:$D$10000,D690)&gt;1</f>
        <v/>
      </c>
      <c r="S690" s="8">
        <f>IF(H690=TRUE,"Disponible","No disponible")</f>
        <v/>
      </c>
      <c r="T690" s="8">
        <f>IF(AND(ISNUMBER(I690),I690&gt;0),ROUND(F690/I690,2),"Sin volumen")</f>
        <v/>
      </c>
      <c r="U690" s="8">
        <f>IF(F690&lt;5000,"Bajo",IF(F690&lt;15000,"Medio","Alto"))</f>
        <v/>
      </c>
    </row>
    <row r="691">
      <c r="A691" t="inlineStr">
        <is>
          <t>Farmacity</t>
        </is>
      </c>
      <c r="B691" t="n">
        <v>244370</v>
      </c>
      <c r="C691" t="n">
        <v>244370</v>
      </c>
      <c r="D691" t="inlineStr">
        <is>
          <t>Máscara de Tratamiento Tresemmé Keratina Antifrizz x 300 g</t>
        </is>
      </c>
      <c r="E691" t="inlineStr">
        <is>
          <t>Tresemmé</t>
        </is>
      </c>
      <c r="F691" t="n">
        <v>9871</v>
      </c>
      <c r="G691" t="n">
        <v>9871</v>
      </c>
      <c r="H691" t="b">
        <v>1</v>
      </c>
      <c r="I691" t="n">
        <v>300</v>
      </c>
      <c r="J691" t="n">
        <v>32.9033</v>
      </c>
      <c r="K691" t="inlineStr">
        <is>
          <t>&gt; Cuidado Capilar &gt; Reparación Y Tratamiento &gt;</t>
        </is>
      </c>
      <c r="L691" t="inlineStr">
        <is>
          <t>tratamiento</t>
        </is>
      </c>
      <c r="M691" t="inlineStr">
        <is>
          <t>estandar</t>
        </is>
      </c>
      <c r="N691" t="inlineStr">
        <is>
          <t>tratado</t>
        </is>
      </c>
      <c r="O691" t="inlineStr">
        <is>
          <t>https://www.farmacity.com/mascarilla-capilar-tresemme-keratina-blind-antifrizz-x-300-g/p</t>
        </is>
      </c>
      <c r="P691">
        <f>TRIM(CLEAN(PROPER(D691)))</f>
        <v/>
      </c>
      <c r="Q691">
        <f>PROPER(TRIM(SUBSTITUTE(SUBSTITUTE(SUBSTITUTE(SUBSTITUTE(E691,"TRESEMME","Tresemme"),"HEAD &amp; SHOULDERS","Head &amp; Shoulders"),"ELVIVE","Elvive"),"FRUCTIS","Fructis")))</f>
        <v/>
      </c>
      <c r="R691">
        <f>COUNTIF($D$2:$D$10000,D691)&gt;1</f>
        <v/>
      </c>
      <c r="S691">
        <f>IF(H691=TRUE,"Disponible","No disponible")</f>
        <v/>
      </c>
      <c r="T691">
        <f>IF(AND(ISNUMBER(I691),I691&gt;0),ROUND(F691/I691,2),"Sin volumen")</f>
        <v/>
      </c>
      <c r="U691">
        <f>IF(F691&lt;5000,"Bajo",IF(F691&lt;15000,"Medio","Alto"))</f>
        <v/>
      </c>
    </row>
    <row r="692">
      <c r="A692" s="6" t="inlineStr">
        <is>
          <t>Farmacity</t>
        </is>
      </c>
      <c r="B692" s="6" t="n">
        <v>250127</v>
      </c>
      <c r="C692" s="6" t="n">
        <v>250127</v>
      </c>
      <c r="D692" s="6" t="inlineStr">
        <is>
          <t>Tratamiento Leave In Dove Reconstrucción x 110 ml</t>
        </is>
      </c>
      <c r="E692" s="6" t="inlineStr">
        <is>
          <t>Dove</t>
        </is>
      </c>
      <c r="F692" s="6" t="n">
        <v>9810</v>
      </c>
      <c r="G692" s="6" t="n">
        <v>17837</v>
      </c>
      <c r="H692" s="6" t="b">
        <v>1</v>
      </c>
      <c r="I692" s="6" t="n">
        <v>110</v>
      </c>
      <c r="J692" s="6" t="n">
        <v>89.1818</v>
      </c>
      <c r="K692" s="6" t="inlineStr">
        <is>
          <t>&gt; Cuidado Capilar &gt; Reparación Y Tratamiento &gt;</t>
        </is>
      </c>
      <c r="L692" s="6" t="inlineStr">
        <is>
          <t>tratamiento</t>
        </is>
      </c>
      <c r="M692" s="6" t="inlineStr">
        <is>
          <t>estandar</t>
        </is>
      </c>
      <c r="N692" s="6" t="inlineStr">
        <is>
          <t>general</t>
        </is>
      </c>
      <c r="O692" s="6" t="inlineStr">
        <is>
          <t>https://www.farmacity.com/tratamiento-leave-in-dove-reconstruccion-x-110-ml/p</t>
        </is>
      </c>
      <c r="P692" s="8">
        <f>TRIM(CLEAN(PROPER(D692)))</f>
        <v/>
      </c>
      <c r="Q692" s="8">
        <f>PROPER(TRIM(SUBSTITUTE(SUBSTITUTE(SUBSTITUTE(SUBSTITUTE(E692,"TRESEMME","Tresemme"),"HEAD &amp; SHOULDERS","Head &amp; Shoulders"),"ELVIVE","Elvive"),"FRUCTIS","Fructis")))</f>
        <v/>
      </c>
      <c r="R692" s="8">
        <f>COUNTIF($D$2:$D$10000,D692)&gt;1</f>
        <v/>
      </c>
      <c r="S692" s="8">
        <f>IF(H692=TRUE,"Disponible","No disponible")</f>
        <v/>
      </c>
      <c r="T692" s="8">
        <f>IF(AND(ISNUMBER(I692),I692&gt;0),ROUND(F692/I692,2),"Sin volumen")</f>
        <v/>
      </c>
      <c r="U692" s="8">
        <f>IF(F692&lt;5000,"Bajo",IF(F692&lt;15000,"Medio","Alto"))</f>
        <v/>
      </c>
    </row>
    <row r="693">
      <c r="A693" t="inlineStr">
        <is>
          <t>Farmacity</t>
        </is>
      </c>
      <c r="B693" t="n">
        <v>250126</v>
      </c>
      <c r="C693" t="n">
        <v>250126</v>
      </c>
      <c r="D693" t="inlineStr">
        <is>
          <t>Tratamiento Leave In Dove Nutrición x 110 ml</t>
        </is>
      </c>
      <c r="E693" t="inlineStr">
        <is>
          <t>Dove</t>
        </is>
      </c>
      <c r="F693" t="n">
        <v>9810</v>
      </c>
      <c r="G693" t="n">
        <v>17837</v>
      </c>
      <c r="H693" t="b">
        <v>1</v>
      </c>
      <c r="I693" t="n">
        <v>110</v>
      </c>
      <c r="J693" t="n">
        <v>89.1818</v>
      </c>
      <c r="K693" t="inlineStr">
        <is>
          <t>&gt; Cuidado Capilar &gt; Reparación Y Tratamiento &gt;</t>
        </is>
      </c>
      <c r="L693" t="inlineStr">
        <is>
          <t>tratamiento</t>
        </is>
      </c>
      <c r="M693" t="inlineStr">
        <is>
          <t>estandar</t>
        </is>
      </c>
      <c r="N693" t="inlineStr">
        <is>
          <t>general</t>
        </is>
      </c>
      <c r="O693" t="inlineStr">
        <is>
          <t>https://www.farmacity.com/tratamiento-leave-in-dove-nutricion-x-110-ml/p</t>
        </is>
      </c>
      <c r="P693">
        <f>TRIM(CLEAN(PROPER(D693)))</f>
        <v/>
      </c>
      <c r="Q693">
        <f>PROPER(TRIM(SUBSTITUTE(SUBSTITUTE(SUBSTITUTE(SUBSTITUTE(E693,"TRESEMME","Tresemme"),"HEAD &amp; SHOULDERS","Head &amp; Shoulders"),"ELVIVE","Elvive"),"FRUCTIS","Fructis")))</f>
        <v/>
      </c>
      <c r="R693">
        <f>COUNTIF($D$2:$D$10000,D693)&gt;1</f>
        <v/>
      </c>
      <c r="S693">
        <f>IF(H693=TRUE,"Disponible","No disponible")</f>
        <v/>
      </c>
      <c r="T693">
        <f>IF(AND(ISNUMBER(I693),I693&gt;0),ROUND(F693/I693,2),"Sin volumen")</f>
        <v/>
      </c>
      <c r="U693">
        <f>IF(F693&lt;5000,"Bajo",IF(F693&lt;15000,"Medio","Alto"))</f>
        <v/>
      </c>
    </row>
    <row r="694">
      <c r="A694" s="6" t="inlineStr">
        <is>
          <t>Farmacity</t>
        </is>
      </c>
      <c r="B694" s="6" t="n">
        <v>239872</v>
      </c>
      <c r="C694" s="6" t="n">
        <v>239872</v>
      </c>
      <c r="D694" s="6" t="inlineStr">
        <is>
          <t>Máscara de Tratamiento Dove Hidratación + Hialuron x 300 g</t>
        </is>
      </c>
      <c r="E694" s="6" t="inlineStr">
        <is>
          <t>Dove</t>
        </is>
      </c>
      <c r="F694" s="6" t="n">
        <v>9688</v>
      </c>
      <c r="G694" s="6" t="n">
        <v>9688</v>
      </c>
      <c r="H694" s="6" t="b">
        <v>1</v>
      </c>
      <c r="I694" s="6" t="n">
        <v>300</v>
      </c>
      <c r="J694" s="6" t="n">
        <v>32.2933</v>
      </c>
      <c r="K694" s="6" t="inlineStr">
        <is>
          <t>&gt; Cuidado Capilar &gt; Reparación Y Tratamiento &gt;</t>
        </is>
      </c>
      <c r="L694" s="6" t="inlineStr">
        <is>
          <t>tratamiento</t>
        </is>
      </c>
      <c r="M694" s="6" t="inlineStr">
        <is>
          <t>estandar</t>
        </is>
      </c>
      <c r="N694" s="6" t="inlineStr">
        <is>
          <t>seco_danado</t>
        </is>
      </c>
      <c r="O694" s="6" t="inlineStr">
        <is>
          <t>https://www.farmacity.com/crema-tratamiento-dove-hidratacion-x-300-g/p</t>
        </is>
      </c>
      <c r="P694" s="8">
        <f>TRIM(CLEAN(PROPER(D694)))</f>
        <v/>
      </c>
      <c r="Q694" s="8">
        <f>PROPER(TRIM(SUBSTITUTE(SUBSTITUTE(SUBSTITUTE(SUBSTITUTE(E694,"TRESEMME","Tresemme"),"HEAD &amp; SHOULDERS","Head &amp; Shoulders"),"ELVIVE","Elvive"),"FRUCTIS","Fructis")))</f>
        <v/>
      </c>
      <c r="R694" s="8">
        <f>COUNTIF($D$2:$D$10000,D694)&gt;1</f>
        <v/>
      </c>
      <c r="S694" s="8">
        <f>IF(H694=TRUE,"Disponible","No disponible")</f>
        <v/>
      </c>
      <c r="T694" s="8">
        <f>IF(AND(ISNUMBER(I694),I694&gt;0),ROUND(F694/I694,2),"Sin volumen")</f>
        <v/>
      </c>
      <c r="U694" s="8">
        <f>IF(F694&lt;5000,"Bajo",IF(F694&lt;15000,"Medio","Alto"))</f>
        <v/>
      </c>
    </row>
    <row r="695">
      <c r="A695" t="inlineStr">
        <is>
          <t>Farmacity</t>
        </is>
      </c>
      <c r="B695" t="n">
        <v>215079</v>
      </c>
      <c r="C695" t="n">
        <v>215079</v>
      </c>
      <c r="D695" t="inlineStr">
        <is>
          <t>Máscara de Tratamiento Dove Regeneración + Retinol x 300 g</t>
        </is>
      </c>
      <c r="E695" t="inlineStr">
        <is>
          <t>Dove</t>
        </is>
      </c>
      <c r="F695" t="n">
        <v>9688</v>
      </c>
      <c r="G695" t="n">
        <v>9688</v>
      </c>
      <c r="H695" t="b">
        <v>1</v>
      </c>
      <c r="I695" t="n">
        <v>300</v>
      </c>
      <c r="J695" t="n">
        <v>32.2933</v>
      </c>
      <c r="K695" t="inlineStr">
        <is>
          <t>&gt; Cuidado Capilar &gt; Reparación Y Tratamiento &gt;</t>
        </is>
      </c>
      <c r="L695" t="inlineStr">
        <is>
          <t>tratamiento</t>
        </is>
      </c>
      <c r="M695" t="inlineStr">
        <is>
          <t>estandar</t>
        </is>
      </c>
      <c r="N695" t="inlineStr">
        <is>
          <t>general</t>
        </is>
      </c>
      <c r="O695" t="inlineStr">
        <is>
          <t>https://www.farmacity.com/mascara-de-tratamiento-dove-regeneracion-extrema-ultra-cuidado-x-300-g/p</t>
        </is>
      </c>
      <c r="P695">
        <f>TRIM(CLEAN(PROPER(D695)))</f>
        <v/>
      </c>
      <c r="Q695">
        <f>PROPER(TRIM(SUBSTITUTE(SUBSTITUTE(SUBSTITUTE(SUBSTITUTE(E695,"TRESEMME","Tresemme"),"HEAD &amp; SHOULDERS","Head &amp; Shoulders"),"ELVIVE","Elvive"),"FRUCTIS","Fructis")))</f>
        <v/>
      </c>
      <c r="R695">
        <f>COUNTIF($D$2:$D$10000,D695)&gt;1</f>
        <v/>
      </c>
      <c r="S695">
        <f>IF(H695=TRUE,"Disponible","No disponible")</f>
        <v/>
      </c>
      <c r="T695">
        <f>IF(AND(ISNUMBER(I695),I695&gt;0),ROUND(F695/I695,2),"Sin volumen")</f>
        <v/>
      </c>
      <c r="U695">
        <f>IF(F695&lt;5000,"Bajo",IF(F695&lt;15000,"Medio","Alto"))</f>
        <v/>
      </c>
    </row>
    <row r="696">
      <c r="A696" s="6" t="inlineStr">
        <is>
          <t>Farmacity</t>
        </is>
      </c>
      <c r="B696" s="6" t="n">
        <v>211772</v>
      </c>
      <c r="C696" s="6" t="n">
        <v>211772</v>
      </c>
      <c r="D696" s="6" t="inlineStr">
        <is>
          <t>Máscara de Tratamiento Dove Reconstrucción + Aminoácido x 300 g Máscara de Tratamiento Dove Reconstrucción Completa x 300 g</t>
        </is>
      </c>
      <c r="E696" s="6" t="inlineStr">
        <is>
          <t>Dove</t>
        </is>
      </c>
      <c r="F696" s="6" t="n">
        <v>9688</v>
      </c>
      <c r="G696" s="6" t="n">
        <v>9688</v>
      </c>
      <c r="H696" s="6" t="b">
        <v>1</v>
      </c>
      <c r="I696" s="6" t="n">
        <v>300</v>
      </c>
      <c r="J696" s="6" t="n">
        <v>32.2933</v>
      </c>
      <c r="K696" s="6" t="inlineStr">
        <is>
          <t>&gt; Cuidado Capilar &gt; Reparación Y Tratamiento &gt;</t>
        </is>
      </c>
      <c r="L696" s="6" t="inlineStr">
        <is>
          <t>tratamiento</t>
        </is>
      </c>
      <c r="M696" s="6" t="inlineStr">
        <is>
          <t>estandar</t>
        </is>
      </c>
      <c r="N696" s="6" t="inlineStr">
        <is>
          <t>general</t>
        </is>
      </c>
      <c r="O696" s="6" t="inlineStr">
        <is>
          <t>https://www.farmacity.com/crema-tratamiento-dove-1-minuto-reconstruccion-completa-x-300-g/p</t>
        </is>
      </c>
      <c r="P696" s="8">
        <f>TRIM(CLEAN(PROPER(D696)))</f>
        <v/>
      </c>
      <c r="Q696" s="8">
        <f>PROPER(TRIM(SUBSTITUTE(SUBSTITUTE(SUBSTITUTE(SUBSTITUTE(E696,"TRESEMME","Tresemme"),"HEAD &amp; SHOULDERS","Head &amp; Shoulders"),"ELVIVE","Elvive"),"FRUCTIS","Fructis")))</f>
        <v/>
      </c>
      <c r="R696" s="8">
        <f>COUNTIF($D$2:$D$10000,D696)&gt;1</f>
        <v/>
      </c>
      <c r="S696" s="8">
        <f>IF(H696=TRUE,"Disponible","No disponible")</f>
        <v/>
      </c>
      <c r="T696" s="8">
        <f>IF(AND(ISNUMBER(I696),I696&gt;0),ROUND(F696/I696,2),"Sin volumen")</f>
        <v/>
      </c>
      <c r="U696" s="8">
        <f>IF(F696&lt;5000,"Bajo",IF(F696&lt;15000,"Medio","Alto"))</f>
        <v/>
      </c>
    </row>
    <row r="697">
      <c r="A697" t="inlineStr">
        <is>
          <t>Farmacity</t>
        </is>
      </c>
      <c r="B697" t="n">
        <v>228360</v>
      </c>
      <c r="C697" t="n">
        <v>228360</v>
      </c>
      <c r="D697" t="inlineStr">
        <is>
          <t>Máscara de Tratamiento Dove Humectación + Coco Antioxi x 300 g</t>
        </is>
      </c>
      <c r="E697" t="inlineStr">
        <is>
          <t>Dove</t>
        </is>
      </c>
      <c r="F697" t="n">
        <v>9688</v>
      </c>
      <c r="G697" t="n">
        <v>9688</v>
      </c>
      <c r="H697" t="b">
        <v>1</v>
      </c>
      <c r="I697" t="n">
        <v>300</v>
      </c>
      <c r="J697" t="n">
        <v>32.2933</v>
      </c>
      <c r="K697" t="inlineStr">
        <is>
          <t>&gt; Cuidado Capilar &gt; Reparación Y Tratamiento &gt;</t>
        </is>
      </c>
      <c r="L697" t="inlineStr">
        <is>
          <t>tratamiento</t>
        </is>
      </c>
      <c r="M697" t="inlineStr">
        <is>
          <t>estandar</t>
        </is>
      </c>
      <c r="N697" t="inlineStr">
        <is>
          <t>general</t>
        </is>
      </c>
      <c r="O697" t="inlineStr">
        <is>
          <t>https://www.farmacity.com/crema-tratamiento-dove-1-minuto-ritual-de-reparacion-x-300-g/p</t>
        </is>
      </c>
      <c r="P697">
        <f>TRIM(CLEAN(PROPER(D697)))</f>
        <v/>
      </c>
      <c r="Q697">
        <f>PROPER(TRIM(SUBSTITUTE(SUBSTITUTE(SUBSTITUTE(SUBSTITUTE(E697,"TRESEMME","Tresemme"),"HEAD &amp; SHOULDERS","Head &amp; Shoulders"),"ELVIVE","Elvive"),"FRUCTIS","Fructis")))</f>
        <v/>
      </c>
      <c r="R697">
        <f>COUNTIF($D$2:$D$10000,D697)&gt;1</f>
        <v/>
      </c>
      <c r="S697">
        <f>IF(H697=TRUE,"Disponible","No disponible")</f>
        <v/>
      </c>
      <c r="T697">
        <f>IF(AND(ISNUMBER(I697),I697&gt;0),ROUND(F697/I697,2),"Sin volumen")</f>
        <v/>
      </c>
      <c r="U697">
        <f>IF(F697&lt;5000,"Bajo",IF(F697&lt;15000,"Medio","Alto"))</f>
        <v/>
      </c>
    </row>
    <row r="698">
      <c r="A698" s="6" t="inlineStr">
        <is>
          <t>Farmacity</t>
        </is>
      </c>
      <c r="B698" s="6" t="n">
        <v>211773</v>
      </c>
      <c r="C698" s="6" t="n">
        <v>211773</v>
      </c>
      <c r="D698" s="6" t="inlineStr">
        <is>
          <t>Máscara de Tratamiento Dove Nutrición + Tri-Óleos x 300 g</t>
        </is>
      </c>
      <c r="E698" s="6" t="inlineStr">
        <is>
          <t>Dove</t>
        </is>
      </c>
      <c r="F698" s="6" t="n">
        <v>9688</v>
      </c>
      <c r="G698" s="6" t="n">
        <v>9688</v>
      </c>
      <c r="H698" s="6" t="b">
        <v>1</v>
      </c>
      <c r="I698" s="6" t="n">
        <v>300</v>
      </c>
      <c r="J698" s="6" t="n">
        <v>32.2933</v>
      </c>
      <c r="K698" s="6" t="inlineStr">
        <is>
          <t>&gt; Cuidado Capilar &gt; Reparación Y Tratamiento &gt;</t>
        </is>
      </c>
      <c r="L698" s="6" t="inlineStr">
        <is>
          <t>tratamiento</t>
        </is>
      </c>
      <c r="M698" s="6" t="inlineStr">
        <is>
          <t>estandar</t>
        </is>
      </c>
      <c r="N698" s="6" t="inlineStr">
        <is>
          <t>general</t>
        </is>
      </c>
      <c r="O698" s="6" t="inlineStr">
        <is>
          <t>https://www.farmacity.com/crema-tratamiento-dove-1-minuto-oleo-nutricion-x-300-g/p</t>
        </is>
      </c>
      <c r="P698" s="8">
        <f>TRIM(CLEAN(PROPER(D698)))</f>
        <v/>
      </c>
      <c r="Q698" s="8">
        <f>PROPER(TRIM(SUBSTITUTE(SUBSTITUTE(SUBSTITUTE(SUBSTITUTE(E698,"TRESEMME","Tresemme"),"HEAD &amp; SHOULDERS","Head &amp; Shoulders"),"ELVIVE","Elvive"),"FRUCTIS","Fructis")))</f>
        <v/>
      </c>
      <c r="R698" s="8">
        <f>COUNTIF($D$2:$D$10000,D698)&gt;1</f>
        <v/>
      </c>
      <c r="S698" s="8">
        <f>IF(H698=TRUE,"Disponible","No disponible")</f>
        <v/>
      </c>
      <c r="T698" s="8">
        <f>IF(AND(ISNUMBER(I698),I698&gt;0),ROUND(F698/I698,2),"Sin volumen")</f>
        <v/>
      </c>
      <c r="U698" s="8">
        <f>IF(F698&lt;5000,"Bajo",IF(F698&lt;15000,"Medio","Alto"))</f>
        <v/>
      </c>
    </row>
    <row r="699">
      <c r="A699" t="inlineStr">
        <is>
          <t>Farmacity</t>
        </is>
      </c>
      <c r="B699" t="n">
        <v>4165</v>
      </c>
      <c r="C699" t="n">
        <v>139205</v>
      </c>
      <c r="D699" t="inlineStr">
        <is>
          <t>Crema Tratamiento Elvive Keraliso Brillo x 300 g</t>
        </is>
      </c>
      <c r="E699" t="inlineStr">
        <is>
          <t>Elvive</t>
        </is>
      </c>
      <c r="F699" t="n">
        <v>3500</v>
      </c>
      <c r="G699" t="n">
        <v>7000</v>
      </c>
      <c r="H699" t="b">
        <v>1</v>
      </c>
      <c r="I699" t="n">
        <v>300</v>
      </c>
      <c r="J699" t="n">
        <v>11.6667</v>
      </c>
      <c r="K699" t="inlineStr">
        <is>
          <t>&gt; Cuidado Capilar &gt; Reparación Y Tratamiento &gt;</t>
        </is>
      </c>
      <c r="L699" t="inlineStr">
        <is>
          <t>tratamiento</t>
        </is>
      </c>
      <c r="M699" t="inlineStr">
        <is>
          <t>profesional</t>
        </is>
      </c>
      <c r="N699" t="inlineStr">
        <is>
          <t>general</t>
        </is>
      </c>
      <c r="O699" t="inlineStr">
        <is>
          <t>https://www.farmacity.com/crema-de-tratamiento-kera-liso-x-300-ml/p</t>
        </is>
      </c>
      <c r="P699">
        <f>TRIM(CLEAN(PROPER(D699)))</f>
        <v/>
      </c>
      <c r="Q699">
        <f>PROPER(TRIM(SUBSTITUTE(SUBSTITUTE(SUBSTITUTE(SUBSTITUTE(E699,"TRESEMME","Tresemme"),"HEAD &amp; SHOULDERS","Head &amp; Shoulders"),"ELVIVE","Elvive"),"FRUCTIS","Fructis")))</f>
        <v/>
      </c>
      <c r="R699">
        <f>COUNTIF($D$2:$D$10000,D699)&gt;1</f>
        <v/>
      </c>
      <c r="S699">
        <f>IF(H699=TRUE,"Disponible","No disponible")</f>
        <v/>
      </c>
      <c r="T699">
        <f>IF(AND(ISNUMBER(I699),I699&gt;0),ROUND(F699/I699,2),"Sin volumen")</f>
        <v/>
      </c>
      <c r="U699">
        <f>IF(F699&lt;5000,"Bajo",IF(F699&lt;15000,"Medio","Alto"))</f>
        <v/>
      </c>
    </row>
    <row r="700">
      <c r="A700" s="6" t="inlineStr">
        <is>
          <t>Farmacity</t>
        </is>
      </c>
      <c r="B700" s="6" t="n">
        <v>249154</v>
      </c>
      <c r="C700" s="6" t="n">
        <v>249154</v>
      </c>
      <c r="D700" s="6" t="inlineStr">
        <is>
          <t>Combo Fuerza Reparación Capilar</t>
        </is>
      </c>
      <c r="E700" s="6" t="inlineStr">
        <is>
          <t>Get the Look</t>
        </is>
      </c>
      <c r="F700" s="6" t="n">
        <v>19405</v>
      </c>
      <c r="G700" s="6" t="n">
        <v>38810</v>
      </c>
      <c r="H700" s="6" t="b">
        <v>1</v>
      </c>
      <c r="I700" s="6" t="inlineStr"/>
      <c r="J700" s="6" t="inlineStr"/>
      <c r="K700" s="6" t="inlineStr">
        <is>
          <t>&gt; Cuidado Capilar &gt; Reparación Y Tratamiento &gt;</t>
        </is>
      </c>
      <c r="L700" s="6" t="inlineStr">
        <is>
          <t>shampoo</t>
        </is>
      </c>
      <c r="M700" s="6" t="inlineStr">
        <is>
          <t>estandar</t>
        </is>
      </c>
      <c r="N700" s="6" t="inlineStr">
        <is>
          <t>general</t>
        </is>
      </c>
      <c r="O700" s="6" t="inlineStr">
        <is>
          <t>https://www.farmacity.com/combo-fuerza-reparacion-capilar/p</t>
        </is>
      </c>
      <c r="P700" s="8">
        <f>TRIM(CLEAN(PROPER(D700)))</f>
        <v/>
      </c>
      <c r="Q700" s="8">
        <f>PROPER(TRIM(SUBSTITUTE(SUBSTITUTE(SUBSTITUTE(SUBSTITUTE(E700,"TRESEMME","Tresemme"),"HEAD &amp; SHOULDERS","Head &amp; Shoulders"),"ELVIVE","Elvive"),"FRUCTIS","Fructis")))</f>
        <v/>
      </c>
      <c r="R700" s="8">
        <f>COUNTIF($D$2:$D$10000,D700)&gt;1</f>
        <v/>
      </c>
      <c r="S700" s="8">
        <f>IF(H700=TRUE,"Disponible","No disponible")</f>
        <v/>
      </c>
      <c r="T700" s="8">
        <f>IF(AND(ISNUMBER(I700),I700&gt;0),ROUND(F700/I700,2),"Sin volumen")</f>
        <v/>
      </c>
      <c r="U700" s="8">
        <f>IF(F700&lt;5000,"Bajo",IF(F700&lt;15000,"Medio","Alto"))</f>
        <v/>
      </c>
    </row>
    <row r="701">
      <c r="A701" t="inlineStr">
        <is>
          <t>Farmacity</t>
        </is>
      </c>
      <c r="B701" t="n">
        <v>246479</v>
      </c>
      <c r="C701" t="n">
        <v>246479</v>
      </c>
      <c r="D701" t="inlineStr">
        <is>
          <t>Máscara de Tratamiento Dove UV Repair &amp; Glow 250 g</t>
        </is>
      </c>
      <c r="E701" t="inlineStr">
        <is>
          <t>Dove</t>
        </is>
      </c>
      <c r="F701" t="n">
        <v>16479</v>
      </c>
      <c r="G701" t="n">
        <v>16479</v>
      </c>
      <c r="H701" t="b">
        <v>1</v>
      </c>
      <c r="I701" t="n">
        <v>250</v>
      </c>
      <c r="J701" t="n">
        <v>65.916</v>
      </c>
      <c r="K701" t="inlineStr">
        <is>
          <t>&gt; Cuidado Capilar &gt; Reparación Y Tratamiento &gt;</t>
        </is>
      </c>
      <c r="L701" t="inlineStr">
        <is>
          <t>tratamiento</t>
        </is>
      </c>
      <c r="M701" t="inlineStr">
        <is>
          <t>profesional</t>
        </is>
      </c>
      <c r="N701" t="inlineStr">
        <is>
          <t>general</t>
        </is>
      </c>
      <c r="O701" t="inlineStr">
        <is>
          <t>https://www.farmacity.com/mascara-capilar-dove-uv-repair-x-250-g/p</t>
        </is>
      </c>
      <c r="P701">
        <f>TRIM(CLEAN(PROPER(D701)))</f>
        <v/>
      </c>
      <c r="Q701">
        <f>PROPER(TRIM(SUBSTITUTE(SUBSTITUTE(SUBSTITUTE(SUBSTITUTE(E701,"TRESEMME","Tresemme"),"HEAD &amp; SHOULDERS","Head &amp; Shoulders"),"ELVIVE","Elvive"),"FRUCTIS","Fructis")))</f>
        <v/>
      </c>
      <c r="R701">
        <f>COUNTIF($D$2:$D$10000,D701)&gt;1</f>
        <v/>
      </c>
      <c r="S701">
        <f>IF(H701=TRUE,"Disponible","No disponible")</f>
        <v/>
      </c>
      <c r="T701">
        <f>IF(AND(ISNUMBER(I701),I701&gt;0),ROUND(F701/I701,2),"Sin volumen")</f>
        <v/>
      </c>
      <c r="U701">
        <f>IF(F701&lt;5000,"Bajo",IF(F701&lt;15000,"Medio","Alto"))</f>
        <v/>
      </c>
    </row>
    <row r="702">
      <c r="A702" s="6" t="inlineStr">
        <is>
          <t>Farmacity</t>
        </is>
      </c>
      <c r="B702" s="6" t="n">
        <v>250356</v>
      </c>
      <c r="C702" s="6" t="n">
        <v>250356</v>
      </c>
      <c r="D702" s="6" t="inlineStr">
        <is>
          <t>Crema Tratamiento Elvive Collagen Lifter x 300 ml</t>
        </is>
      </c>
      <c r="E702" s="6" t="inlineStr">
        <is>
          <t>Elvive</t>
        </is>
      </c>
      <c r="F702" s="6" t="n">
        <v>13490</v>
      </c>
      <c r="G702" s="6" t="n">
        <v>13490</v>
      </c>
      <c r="H702" s="6" t="b">
        <v>1</v>
      </c>
      <c r="I702" s="6" t="n">
        <v>300</v>
      </c>
      <c r="J702" s="6" t="n">
        <v>44.9667</v>
      </c>
      <c r="K702" s="6" t="inlineStr">
        <is>
          <t>&gt; Cuidado Capilar &gt; Reparación Y Tratamiento &gt;</t>
        </is>
      </c>
      <c r="L702" s="6" t="inlineStr">
        <is>
          <t>tratamiento</t>
        </is>
      </c>
      <c r="M702" s="6" t="inlineStr">
        <is>
          <t>profesional</t>
        </is>
      </c>
      <c r="N702" s="6" t="inlineStr">
        <is>
          <t>general</t>
        </is>
      </c>
      <c r="O702" s="6" t="inlineStr">
        <is>
          <t>https://www.farmacity.com/crema-tratamiento-elvive-colageno-lifter-x-300-ml/p</t>
        </is>
      </c>
      <c r="P702" s="8">
        <f>TRIM(CLEAN(PROPER(D702)))</f>
        <v/>
      </c>
      <c r="Q702" s="8">
        <f>PROPER(TRIM(SUBSTITUTE(SUBSTITUTE(SUBSTITUTE(SUBSTITUTE(E702,"TRESEMME","Tresemme"),"HEAD &amp; SHOULDERS","Head &amp; Shoulders"),"ELVIVE","Elvive"),"FRUCTIS","Fructis")))</f>
        <v/>
      </c>
      <c r="R702" s="8">
        <f>COUNTIF($D$2:$D$10000,D702)&gt;1</f>
        <v/>
      </c>
      <c r="S702" s="8">
        <f>IF(H702=TRUE,"Disponible","No disponible")</f>
        <v/>
      </c>
      <c r="T702" s="8">
        <f>IF(AND(ISNUMBER(I702),I702&gt;0),ROUND(F702/I702,2),"Sin volumen")</f>
        <v/>
      </c>
      <c r="U702" s="8">
        <f>IF(F702&lt;5000,"Bajo",IF(F702&lt;15000,"Medio","Alto"))</f>
        <v/>
      </c>
    </row>
    <row r="703">
      <c r="A703" t="inlineStr">
        <is>
          <t>Farmacity</t>
        </is>
      </c>
      <c r="B703" t="n">
        <v>246062</v>
      </c>
      <c r="C703" t="n">
        <v>246062</v>
      </c>
      <c r="D703" t="inlineStr">
        <is>
          <t>Crema Tratamiento Sedal Toque de Seda x 300 g</t>
        </is>
      </c>
      <c r="E703" t="inlineStr">
        <is>
          <t>Sedal</t>
        </is>
      </c>
      <c r="F703" t="n">
        <v>5127</v>
      </c>
      <c r="G703" t="n">
        <v>6409</v>
      </c>
      <c r="H703" t="b">
        <v>1</v>
      </c>
      <c r="I703" t="n">
        <v>300</v>
      </c>
      <c r="J703" t="n">
        <v>17.09</v>
      </c>
      <c r="K703" t="inlineStr">
        <is>
          <t>&gt; Cuidado Capilar &gt; Reparación Y Tratamiento &gt;</t>
        </is>
      </c>
      <c r="L703" t="inlineStr">
        <is>
          <t>tratamiento</t>
        </is>
      </c>
      <c r="M703" t="inlineStr">
        <is>
          <t>estandar</t>
        </is>
      </c>
      <c r="N703" t="inlineStr">
        <is>
          <t>general</t>
        </is>
      </c>
      <c r="O703" t="inlineStr">
        <is>
          <t>https://www.farmacity.com/crema-tratamiento-sedal-toque-de-seda-x-300-g/p</t>
        </is>
      </c>
      <c r="P703">
        <f>TRIM(CLEAN(PROPER(D703)))</f>
        <v/>
      </c>
      <c r="Q703">
        <f>PROPER(TRIM(SUBSTITUTE(SUBSTITUTE(SUBSTITUTE(SUBSTITUTE(E703,"TRESEMME","Tresemme"),"HEAD &amp; SHOULDERS","Head &amp; Shoulders"),"ELVIVE","Elvive"),"FRUCTIS","Fructis")))</f>
        <v/>
      </c>
      <c r="R703">
        <f>COUNTIF($D$2:$D$10000,D703)&gt;1</f>
        <v/>
      </c>
      <c r="S703">
        <f>IF(H703=TRUE,"Disponible","No disponible")</f>
        <v/>
      </c>
      <c r="T703">
        <f>IF(AND(ISNUMBER(I703),I703&gt;0),ROUND(F703/I703,2),"Sin volumen")</f>
        <v/>
      </c>
      <c r="U703">
        <f>IF(F703&lt;5000,"Bajo",IF(F703&lt;15000,"Medio","Alto"))</f>
        <v/>
      </c>
    </row>
    <row r="704">
      <c r="A704" s="6" t="inlineStr">
        <is>
          <t>Farmacity</t>
        </is>
      </c>
      <c r="B704" s="6" t="n">
        <v>248890</v>
      </c>
      <c r="C704" s="6" t="n">
        <v>248890</v>
      </c>
      <c r="D704" s="6" t="inlineStr">
        <is>
          <t>Crema Tratamiento Capilatis Natural Oil x 300 ml</t>
        </is>
      </c>
      <c r="E704" s="6" t="inlineStr">
        <is>
          <t>Capilatis</t>
        </is>
      </c>
      <c r="F704" s="6" t="n">
        <v>11000</v>
      </c>
      <c r="G704" s="6" t="n">
        <v>11000</v>
      </c>
      <c r="H704" s="6" t="b">
        <v>1</v>
      </c>
      <c r="I704" s="6" t="n">
        <v>300</v>
      </c>
      <c r="J704" s="6" t="n">
        <v>36.6667</v>
      </c>
      <c r="K704" s="6" t="inlineStr">
        <is>
          <t>&gt; Cuidado Capilar &gt; Reparación Y Tratamiento &gt;</t>
        </is>
      </c>
      <c r="L704" s="6" t="inlineStr">
        <is>
          <t>tratamiento</t>
        </is>
      </c>
      <c r="M704" s="6" t="inlineStr">
        <is>
          <t>estandar</t>
        </is>
      </c>
      <c r="N704" s="6" t="inlineStr">
        <is>
          <t>general</t>
        </is>
      </c>
      <c r="O704" s="6" t="inlineStr">
        <is>
          <t>https://www.farmacity.com/crema-tratamiento-capilatis-natural-oil-x-300-ml/p</t>
        </is>
      </c>
      <c r="P704" s="8">
        <f>TRIM(CLEAN(PROPER(D704)))</f>
        <v/>
      </c>
      <c r="Q704" s="8">
        <f>PROPER(TRIM(SUBSTITUTE(SUBSTITUTE(SUBSTITUTE(SUBSTITUTE(E704,"TRESEMME","Tresemme"),"HEAD &amp; SHOULDERS","Head &amp; Shoulders"),"ELVIVE","Elvive"),"FRUCTIS","Fructis")))</f>
        <v/>
      </c>
      <c r="R704" s="8">
        <f>COUNTIF($D$2:$D$10000,D704)&gt;1</f>
        <v/>
      </c>
      <c r="S704" s="8">
        <f>IF(H704=TRUE,"Disponible","No disponible")</f>
        <v/>
      </c>
      <c r="T704" s="8">
        <f>IF(AND(ISNUMBER(I704),I704&gt;0),ROUND(F704/I704,2),"Sin volumen")</f>
        <v/>
      </c>
      <c r="U704" s="8">
        <f>IF(F704&lt;5000,"Bajo",IF(F704&lt;15000,"Medio","Alto"))</f>
        <v/>
      </c>
    </row>
    <row r="705">
      <c r="A705" t="inlineStr">
        <is>
          <t>Farmacity</t>
        </is>
      </c>
      <c r="B705" t="n">
        <v>248891</v>
      </c>
      <c r="C705" t="n">
        <v>248891</v>
      </c>
      <c r="D705" t="inlineStr">
        <is>
          <t>Crema Tratamiento Capilatis Aloe Vera x 300 ml</t>
        </is>
      </c>
      <c r="E705" t="inlineStr">
        <is>
          <t>Capilatis</t>
        </is>
      </c>
      <c r="F705" t="n">
        <v>11000</v>
      </c>
      <c r="G705" t="n">
        <v>11000</v>
      </c>
      <c r="H705" t="b">
        <v>1</v>
      </c>
      <c r="I705" t="n">
        <v>300</v>
      </c>
      <c r="J705" t="n">
        <v>36.6667</v>
      </c>
      <c r="K705" t="inlineStr">
        <is>
          <t>&gt; Cuidado Capilar &gt; Reparación Y Tratamiento &gt;</t>
        </is>
      </c>
      <c r="L705" t="inlineStr">
        <is>
          <t>tratamiento</t>
        </is>
      </c>
      <c r="M705" t="inlineStr">
        <is>
          <t>estandar</t>
        </is>
      </c>
      <c r="N705" t="inlineStr">
        <is>
          <t>general</t>
        </is>
      </c>
      <c r="O705" t="inlineStr">
        <is>
          <t>https://www.farmacity.com/crema-tratamiento-capilatis-aloe-vera-x-300-ml/p</t>
        </is>
      </c>
      <c r="P705">
        <f>TRIM(CLEAN(PROPER(D705)))</f>
        <v/>
      </c>
      <c r="Q705">
        <f>PROPER(TRIM(SUBSTITUTE(SUBSTITUTE(SUBSTITUTE(SUBSTITUTE(E705,"TRESEMME","Tresemme"),"HEAD &amp; SHOULDERS","Head &amp; Shoulders"),"ELVIVE","Elvive"),"FRUCTIS","Fructis")))</f>
        <v/>
      </c>
      <c r="R705">
        <f>COUNTIF($D$2:$D$10000,D705)&gt;1</f>
        <v/>
      </c>
      <c r="S705">
        <f>IF(H705=TRUE,"Disponible","No disponible")</f>
        <v/>
      </c>
      <c r="T705">
        <f>IF(AND(ISNUMBER(I705),I705&gt;0),ROUND(F705/I705,2),"Sin volumen")</f>
        <v/>
      </c>
      <c r="U705">
        <f>IF(F705&lt;5000,"Bajo",IF(F705&lt;15000,"Medio","Alto"))</f>
        <v/>
      </c>
    </row>
    <row r="706">
      <c r="A706" s="6" t="inlineStr">
        <is>
          <t>Farmacity</t>
        </is>
      </c>
      <c r="B706" s="6" t="n">
        <v>250189</v>
      </c>
      <c r="C706" s="6" t="n">
        <v>250189</v>
      </c>
      <c r="D706" s="6" t="inlineStr">
        <is>
          <t>Crema Tratamiento La Puissance Nutrition x 300 ml</t>
        </is>
      </c>
      <c r="E706" s="6" t="inlineStr">
        <is>
          <t>La Puissance</t>
        </is>
      </c>
      <c r="F706" s="6" t="n">
        <v>17600</v>
      </c>
      <c r="G706" s="6" t="n">
        <v>17600</v>
      </c>
      <c r="H706" s="6" t="b">
        <v>1</v>
      </c>
      <c r="I706" s="6" t="n">
        <v>300</v>
      </c>
      <c r="J706" s="6" t="n">
        <v>58.6667</v>
      </c>
      <c r="K706" s="6" t="inlineStr">
        <is>
          <t>&gt; Cuidado Capilar &gt; Reparación Y Tratamiento &gt;</t>
        </is>
      </c>
      <c r="L706" s="6" t="inlineStr">
        <is>
          <t>tratamiento</t>
        </is>
      </c>
      <c r="M706" s="6" t="inlineStr">
        <is>
          <t>estandar</t>
        </is>
      </c>
      <c r="N706" s="6" t="inlineStr">
        <is>
          <t>general</t>
        </is>
      </c>
      <c r="O706" s="6" t="inlineStr">
        <is>
          <t>https://www.farmacity.com/crema-tratamiento-la-puissance-nutrition-x-300-ml/p</t>
        </is>
      </c>
      <c r="P706" s="8">
        <f>TRIM(CLEAN(PROPER(D706)))</f>
        <v/>
      </c>
      <c r="Q706" s="8">
        <f>PROPER(TRIM(SUBSTITUTE(SUBSTITUTE(SUBSTITUTE(SUBSTITUTE(E706,"TRESEMME","Tresemme"),"HEAD &amp; SHOULDERS","Head &amp; Shoulders"),"ELVIVE","Elvive"),"FRUCTIS","Fructis")))</f>
        <v/>
      </c>
      <c r="R706" s="8">
        <f>COUNTIF($D$2:$D$10000,D706)&gt;1</f>
        <v/>
      </c>
      <c r="S706" s="8">
        <f>IF(H706=TRUE,"Disponible","No disponible")</f>
        <v/>
      </c>
      <c r="T706" s="8">
        <f>IF(AND(ISNUMBER(I706),I706&gt;0),ROUND(F706/I706,2),"Sin volumen")</f>
        <v/>
      </c>
      <c r="U706" s="8">
        <f>IF(F706&lt;5000,"Bajo",IF(F706&lt;15000,"Medio","Alto"))</f>
        <v/>
      </c>
    </row>
    <row r="707">
      <c r="A707" t="inlineStr">
        <is>
          <t>Farmacity</t>
        </is>
      </c>
      <c r="B707" t="n">
        <v>250186</v>
      </c>
      <c r="C707" t="n">
        <v>250186</v>
      </c>
      <c r="D707" t="inlineStr">
        <is>
          <t>Crema Tratamiento La Puissance Keratine x 300 ml</t>
        </is>
      </c>
      <c r="E707" t="inlineStr">
        <is>
          <t>La Puissance</t>
        </is>
      </c>
      <c r="F707" t="n">
        <v>16600</v>
      </c>
      <c r="G707" t="n">
        <v>16600</v>
      </c>
      <c r="H707" t="b">
        <v>1</v>
      </c>
      <c r="I707" t="n">
        <v>300</v>
      </c>
      <c r="J707" t="n">
        <v>55.3333</v>
      </c>
      <c r="K707" t="inlineStr">
        <is>
          <t>&gt; Cuidado Capilar &gt; Reparación Y Tratamiento &gt;</t>
        </is>
      </c>
      <c r="L707" t="inlineStr">
        <is>
          <t>tratamiento</t>
        </is>
      </c>
      <c r="M707" t="inlineStr">
        <is>
          <t>estandar</t>
        </is>
      </c>
      <c r="N707" t="inlineStr">
        <is>
          <t>general</t>
        </is>
      </c>
      <c r="O707" t="inlineStr">
        <is>
          <t>https://www.farmacity.com/crema-tratamiento-la-puissance-keratine-x-300-ml/p</t>
        </is>
      </c>
      <c r="P707">
        <f>TRIM(CLEAN(PROPER(D707)))</f>
        <v/>
      </c>
      <c r="Q707">
        <f>PROPER(TRIM(SUBSTITUTE(SUBSTITUTE(SUBSTITUTE(SUBSTITUTE(E707,"TRESEMME","Tresemme"),"HEAD &amp; SHOULDERS","Head &amp; Shoulders"),"ELVIVE","Elvive"),"FRUCTIS","Fructis")))</f>
        <v/>
      </c>
      <c r="R707">
        <f>COUNTIF($D$2:$D$10000,D707)&gt;1</f>
        <v/>
      </c>
      <c r="S707">
        <f>IF(H707=TRUE,"Disponible","No disponible")</f>
        <v/>
      </c>
      <c r="T707">
        <f>IF(AND(ISNUMBER(I707),I707&gt;0),ROUND(F707/I707,2),"Sin volumen")</f>
        <v/>
      </c>
      <c r="U707">
        <f>IF(F707&lt;5000,"Bajo",IF(F707&lt;15000,"Medio","Alto"))</f>
        <v/>
      </c>
    </row>
    <row r="708">
      <c r="A708" s="6" t="inlineStr">
        <is>
          <t>Farmacity</t>
        </is>
      </c>
      <c r="B708" s="6" t="n">
        <v>238114</v>
      </c>
      <c r="C708" s="6" t="n">
        <v>238114</v>
      </c>
      <c r="D708" s="6" t="inlineStr">
        <is>
          <t>Caja Tratamiento Estereocolor Aceite de Coco x 40 un</t>
        </is>
      </c>
      <c r="E708" s="6" t="inlineStr">
        <is>
          <t>Estereocolor</t>
        </is>
      </c>
      <c r="F708" s="6" t="n">
        <v>20800</v>
      </c>
      <c r="G708" s="6" t="n">
        <v>41600</v>
      </c>
      <c r="H708" s="6" t="b">
        <v>1</v>
      </c>
      <c r="I708" s="6" t="inlineStr"/>
      <c r="J708" s="6" t="inlineStr"/>
      <c r="K708" s="6" t="inlineStr">
        <is>
          <t>&gt; Cuidado Capilar &gt; Reparación Y Tratamiento &gt;</t>
        </is>
      </c>
      <c r="L708" s="6" t="inlineStr">
        <is>
          <t>tratamiento</t>
        </is>
      </c>
      <c r="M708" s="6" t="inlineStr">
        <is>
          <t>estandar</t>
        </is>
      </c>
      <c r="N708" s="6" t="inlineStr">
        <is>
          <t>tratado</t>
        </is>
      </c>
      <c r="O708" s="6" t="inlineStr">
        <is>
          <t>https://www.farmacity.com/caja-tratamiento-estereocolor-aceite-de-coco-x-40-un/p</t>
        </is>
      </c>
      <c r="P708" s="8">
        <f>TRIM(CLEAN(PROPER(D708)))</f>
        <v/>
      </c>
      <c r="Q708" s="8">
        <f>PROPER(TRIM(SUBSTITUTE(SUBSTITUTE(SUBSTITUTE(SUBSTITUTE(E708,"TRESEMME","Tresemme"),"HEAD &amp; SHOULDERS","Head &amp; Shoulders"),"ELVIVE","Elvive"),"FRUCTIS","Fructis")))</f>
        <v/>
      </c>
      <c r="R708" s="8">
        <f>COUNTIF($D$2:$D$10000,D708)&gt;1</f>
        <v/>
      </c>
      <c r="S708" s="8">
        <f>IF(H708=TRUE,"Disponible","No disponible")</f>
        <v/>
      </c>
      <c r="T708" s="8">
        <f>IF(AND(ISNUMBER(I708),I708&gt;0),ROUND(F708/I708,2),"Sin volumen")</f>
        <v/>
      </c>
      <c r="U708" s="8">
        <f>IF(F708&lt;5000,"Bajo",IF(F708&lt;15000,"Medio","Alto"))</f>
        <v/>
      </c>
    </row>
    <row r="709">
      <c r="A709" t="inlineStr">
        <is>
          <t>Farmacity</t>
        </is>
      </c>
      <c r="B709" t="n">
        <v>250310</v>
      </c>
      <c r="C709" t="n">
        <v>250310</v>
      </c>
      <c r="D709" t="inlineStr">
        <is>
          <t>Crema Tratamiento Kerasys Advanced Moisture Ampoule x 300 ml</t>
        </is>
      </c>
      <c r="E709" t="inlineStr">
        <is>
          <t>Kerasys</t>
        </is>
      </c>
      <c r="F709" t="n">
        <v>59000</v>
      </c>
      <c r="G709" t="n">
        <v>59000</v>
      </c>
      <c r="H709" t="b">
        <v>1</v>
      </c>
      <c r="I709" t="n">
        <v>300</v>
      </c>
      <c r="J709" t="n">
        <v>196.6667</v>
      </c>
      <c r="K709" t="inlineStr">
        <is>
          <t>&gt; Cuidado Capilar &gt; Reparación Y Tratamiento &gt;</t>
        </is>
      </c>
      <c r="L709" t="inlineStr">
        <is>
          <t>tratamiento</t>
        </is>
      </c>
      <c r="M709" t="inlineStr">
        <is>
          <t>estandar</t>
        </is>
      </c>
      <c r="N709" t="inlineStr">
        <is>
          <t>general</t>
        </is>
      </c>
      <c r="O709" t="inlineStr">
        <is>
          <t>https://www.farmacity.com/crema-tratamiento-kerasys-advanced-moisture-ampoule-x-300-ml/p</t>
        </is>
      </c>
      <c r="P709">
        <f>TRIM(CLEAN(PROPER(D709)))</f>
        <v/>
      </c>
      <c r="Q709">
        <f>PROPER(TRIM(SUBSTITUTE(SUBSTITUTE(SUBSTITUTE(SUBSTITUTE(E709,"TRESEMME","Tresemme"),"HEAD &amp; SHOULDERS","Head &amp; Shoulders"),"ELVIVE","Elvive"),"FRUCTIS","Fructis")))</f>
        <v/>
      </c>
      <c r="R709">
        <f>COUNTIF($D$2:$D$10000,D709)&gt;1</f>
        <v/>
      </c>
      <c r="S709">
        <f>IF(H709=TRUE,"Disponible","No disponible")</f>
        <v/>
      </c>
      <c r="T709">
        <f>IF(AND(ISNUMBER(I709),I709&gt;0),ROUND(F709/I709,2),"Sin volumen")</f>
        <v/>
      </c>
      <c r="U709">
        <f>IF(F709&lt;5000,"Bajo",IF(F709&lt;15000,"Medio","Alto"))</f>
        <v/>
      </c>
    </row>
    <row r="710">
      <c r="A710" s="6" t="inlineStr">
        <is>
          <t>Farmacity</t>
        </is>
      </c>
      <c r="B710" s="6" t="n">
        <v>250309</v>
      </c>
      <c r="C710" s="6" t="n">
        <v>250309</v>
      </c>
      <c r="D710" s="6" t="inlineStr">
        <is>
          <t>Crema Tratamiento Kerasys Advance Repair Ampoule x 300 ml</t>
        </is>
      </c>
      <c r="E710" s="6" t="inlineStr">
        <is>
          <t>Kerasys</t>
        </is>
      </c>
      <c r="F710" s="6" t="n">
        <v>59000</v>
      </c>
      <c r="G710" s="6" t="n">
        <v>59000</v>
      </c>
      <c r="H710" s="6" t="b">
        <v>1</v>
      </c>
      <c r="I710" s="6" t="n">
        <v>300</v>
      </c>
      <c r="J710" s="6" t="n">
        <v>196.6667</v>
      </c>
      <c r="K710" s="6" t="inlineStr">
        <is>
          <t>&gt; Cuidado Capilar &gt; Reparación Y Tratamiento &gt;</t>
        </is>
      </c>
      <c r="L710" s="6" t="inlineStr">
        <is>
          <t>tratamiento</t>
        </is>
      </c>
      <c r="M710" s="6" t="inlineStr">
        <is>
          <t>profesional</t>
        </is>
      </c>
      <c r="N710" s="6" t="inlineStr">
        <is>
          <t>general</t>
        </is>
      </c>
      <c r="O710" s="6" t="inlineStr">
        <is>
          <t>https://www.farmacity.com/crema-tratamiento-kerasys-advance-repair-ampoule-x-300-ml/p</t>
        </is>
      </c>
      <c r="P710" s="8">
        <f>TRIM(CLEAN(PROPER(D710)))</f>
        <v/>
      </c>
      <c r="Q710" s="8">
        <f>PROPER(TRIM(SUBSTITUTE(SUBSTITUTE(SUBSTITUTE(SUBSTITUTE(E710,"TRESEMME","Tresemme"),"HEAD &amp; SHOULDERS","Head &amp; Shoulders"),"ELVIVE","Elvive"),"FRUCTIS","Fructis")))</f>
        <v/>
      </c>
      <c r="R710" s="8">
        <f>COUNTIF($D$2:$D$10000,D710)&gt;1</f>
        <v/>
      </c>
      <c r="S710" s="8">
        <f>IF(H710=TRUE,"Disponible","No disponible")</f>
        <v/>
      </c>
      <c r="T710" s="8">
        <f>IF(AND(ISNUMBER(I710),I710&gt;0),ROUND(F710/I710,2),"Sin volumen")</f>
        <v/>
      </c>
      <c r="U710" s="8">
        <f>IF(F710&lt;5000,"Bajo",IF(F710&lt;15000,"Medio","Alto"))</f>
        <v/>
      </c>
    </row>
    <row r="711">
      <c r="A711" t="inlineStr">
        <is>
          <t>Farmacity</t>
        </is>
      </c>
      <c r="B711" t="n">
        <v>241005</v>
      </c>
      <c r="C711" t="n">
        <v>241005</v>
      </c>
      <c r="D711" t="inlineStr">
        <is>
          <t>Máscara de Tratamiento Dove Bond Repair + Péptido x 250 g</t>
        </is>
      </c>
      <c r="E711" t="inlineStr">
        <is>
          <t>Dove</t>
        </is>
      </c>
      <c r="F711" t="n">
        <v>16479</v>
      </c>
      <c r="G711" t="n">
        <v>16479</v>
      </c>
      <c r="H711" t="b">
        <v>1</v>
      </c>
      <c r="I711" t="n">
        <v>250</v>
      </c>
      <c r="J711" t="n">
        <v>65.916</v>
      </c>
      <c r="K711" t="inlineStr">
        <is>
          <t>&gt; Cuidado Capilar &gt; Reparación Y Tratamiento &gt;</t>
        </is>
      </c>
      <c r="L711" t="inlineStr">
        <is>
          <t>tratamiento</t>
        </is>
      </c>
      <c r="M711" t="inlineStr">
        <is>
          <t>profesional</t>
        </is>
      </c>
      <c r="N711" t="inlineStr">
        <is>
          <t>general</t>
        </is>
      </c>
      <c r="O711" t="inlineStr">
        <is>
          <t>https://www.farmacity.com/mascara-de-tratamiento-dove-bond-intense-repair-x-250-g/p</t>
        </is>
      </c>
      <c r="P711">
        <f>TRIM(CLEAN(PROPER(D711)))</f>
        <v/>
      </c>
      <c r="Q711">
        <f>PROPER(TRIM(SUBSTITUTE(SUBSTITUTE(SUBSTITUTE(SUBSTITUTE(E711,"TRESEMME","Tresemme"),"HEAD &amp; SHOULDERS","Head &amp; Shoulders"),"ELVIVE","Elvive"),"FRUCTIS","Fructis")))</f>
        <v/>
      </c>
      <c r="R711">
        <f>COUNTIF($D$2:$D$10000,D711)&gt;1</f>
        <v/>
      </c>
      <c r="S711">
        <f>IF(H711=TRUE,"Disponible","No disponible")</f>
        <v/>
      </c>
      <c r="T711">
        <f>IF(AND(ISNUMBER(I711),I711&gt;0),ROUND(F711/I711,2),"Sin volumen")</f>
        <v/>
      </c>
      <c r="U711">
        <f>IF(F711&lt;5000,"Bajo",IF(F711&lt;15000,"Medio","Alto"))</f>
        <v/>
      </c>
    </row>
    <row r="712">
      <c r="A712" s="6" t="inlineStr">
        <is>
          <t>Farmacity</t>
        </is>
      </c>
      <c r="B712" s="6" t="n">
        <v>239631</v>
      </c>
      <c r="C712" s="6" t="n">
        <v>239631</v>
      </c>
      <c r="D712" s="6" t="inlineStr">
        <is>
          <t>Combo Capilar Tintura Permanente Excellence Triple cuidado  Tono 5U Castaño Claro + Tratamiento Elvive Óleo Extraordinario x 100 ml Combo Capilar Tintura Permanente Excellence Triple cuidado Tono 5U Castaño Claro + Tratamiento Elvive Óleo Extraordinario x 100 ml</t>
        </is>
      </c>
      <c r="E712" s="6" t="inlineStr">
        <is>
          <t>Elvive</t>
        </is>
      </c>
      <c r="F712" s="6" t="n">
        <v>44980</v>
      </c>
      <c r="G712" s="6" t="n">
        <v>44980</v>
      </c>
      <c r="H712" s="6" t="b">
        <v>1</v>
      </c>
      <c r="I712" s="6" t="n">
        <v>100</v>
      </c>
      <c r="J712" s="6" t="n">
        <v>449.8</v>
      </c>
      <c r="K712" s="6" t="inlineStr">
        <is>
          <t>&gt; Cuidado Capilar &gt; Coloración Y Oxidantes &gt;</t>
        </is>
      </c>
      <c r="L712" s="6" t="inlineStr">
        <is>
          <t>tratamiento</t>
        </is>
      </c>
      <c r="M712" s="6" t="inlineStr">
        <is>
          <t>profesional</t>
        </is>
      </c>
      <c r="N712" s="6" t="inlineStr">
        <is>
          <t>tratado</t>
        </is>
      </c>
      <c r="O712" s="6" t="inlineStr">
        <is>
          <t>https://www.farmacity.com/combo-capilar-tintura-permanente-excellence-triple-cuidado-sin-amoniaco-tono-5u-castano-claro-tratamiento-intensivo-elvive-oleo-extraordinario/p</t>
        </is>
      </c>
      <c r="P712" s="8">
        <f>TRIM(CLEAN(PROPER(D712)))</f>
        <v/>
      </c>
      <c r="Q712" s="8">
        <f>PROPER(TRIM(SUBSTITUTE(SUBSTITUTE(SUBSTITUTE(SUBSTITUTE(E712,"TRESEMME","Tresemme"),"HEAD &amp; SHOULDERS","Head &amp; Shoulders"),"ELVIVE","Elvive"),"FRUCTIS","Fructis")))</f>
        <v/>
      </c>
      <c r="R712" s="8">
        <f>COUNTIF($D$2:$D$10000,D712)&gt;1</f>
        <v/>
      </c>
      <c r="S712" s="8">
        <f>IF(H712=TRUE,"Disponible","No disponible")</f>
        <v/>
      </c>
      <c r="T712" s="8">
        <f>IF(AND(ISNUMBER(I712),I712&gt;0),ROUND(F712/I712,2),"Sin volumen")</f>
        <v/>
      </c>
      <c r="U712" s="8">
        <f>IF(F712&lt;5000,"Bajo",IF(F712&lt;15000,"Medio","Alto"))</f>
        <v/>
      </c>
    </row>
    <row r="713">
      <c r="A713" t="inlineStr">
        <is>
          <t>Farmacity</t>
        </is>
      </c>
      <c r="B713" t="n">
        <v>239632</v>
      </c>
      <c r="C713" t="n">
        <v>239632</v>
      </c>
      <c r="D713" t="inlineStr">
        <is>
          <t>Combo Capilar Tintura Permanente Excellence Triple cuidado  Tono 6U Rubio Oscuro + Tratamiento Elvive Óleo Extraordinario x 100 ml</t>
        </is>
      </c>
      <c r="E713" t="inlineStr">
        <is>
          <t>Elvive</t>
        </is>
      </c>
      <c r="F713" t="n">
        <v>44980</v>
      </c>
      <c r="G713" t="n">
        <v>44980</v>
      </c>
      <c r="H713" t="b">
        <v>1</v>
      </c>
      <c r="I713" t="n">
        <v>100</v>
      </c>
      <c r="J713" t="n">
        <v>449.8</v>
      </c>
      <c r="K713" t="inlineStr">
        <is>
          <t>&gt; Cuidado Capilar &gt; Coloración Y Oxidantes &gt;</t>
        </is>
      </c>
      <c r="L713" t="inlineStr">
        <is>
          <t>tratamiento</t>
        </is>
      </c>
      <c r="M713" t="inlineStr">
        <is>
          <t>profesional</t>
        </is>
      </c>
      <c r="N713" t="inlineStr">
        <is>
          <t>tratado</t>
        </is>
      </c>
      <c r="O713" t="inlineStr">
        <is>
          <t>https://www.farmacity.com/combo-capilar-tintura-permanente-excellence-triple-cuidado-sin-amoniaco-tono-6u-rubio-oscuro-tratamiento-intensivo-elvive-oleo-extraordinario/p</t>
        </is>
      </c>
      <c r="P713">
        <f>TRIM(CLEAN(PROPER(D713)))</f>
        <v/>
      </c>
      <c r="Q713">
        <f>PROPER(TRIM(SUBSTITUTE(SUBSTITUTE(SUBSTITUTE(SUBSTITUTE(E713,"TRESEMME","Tresemme"),"HEAD &amp; SHOULDERS","Head &amp; Shoulders"),"ELVIVE","Elvive"),"FRUCTIS","Fructis")))</f>
        <v/>
      </c>
      <c r="R713">
        <f>COUNTIF($D$2:$D$10000,D713)&gt;1</f>
        <v/>
      </c>
      <c r="S713">
        <f>IF(H713=TRUE,"Disponible","No disponible")</f>
        <v/>
      </c>
      <c r="T713">
        <f>IF(AND(ISNUMBER(I713),I713&gt;0),ROUND(F713/I713,2),"Sin volumen")</f>
        <v/>
      </c>
      <c r="U713">
        <f>IF(F713&lt;5000,"Bajo",IF(F713&lt;15000,"Medio","Alto"))</f>
        <v/>
      </c>
    </row>
    <row r="714">
      <c r="A714" s="6" t="inlineStr">
        <is>
          <t>Farmacity</t>
        </is>
      </c>
      <c r="B714" s="6" t="n">
        <v>239630</v>
      </c>
      <c r="C714" s="6" t="n">
        <v>239630</v>
      </c>
      <c r="D714" s="6" t="inlineStr">
        <is>
          <t>Combo Capilar Tintura Permanente Excellence Triple cuidado  Tono 4U Castaño + Tratamiento Elvive Óleo Extraordinario Nutrición x 100 ml</t>
        </is>
      </c>
      <c r="E714" s="6" t="inlineStr">
        <is>
          <t>Elvive</t>
        </is>
      </c>
      <c r="F714" s="6" t="n">
        <v>44980</v>
      </c>
      <c r="G714" s="6" t="n">
        <v>44980</v>
      </c>
      <c r="H714" s="6" t="b">
        <v>1</v>
      </c>
      <c r="I714" s="6" t="n">
        <v>100</v>
      </c>
      <c r="J714" s="6" t="n">
        <v>449.8</v>
      </c>
      <c r="K714" s="6" t="inlineStr">
        <is>
          <t>&gt; Cuidado Capilar &gt; Coloración Y Oxidantes &gt;</t>
        </is>
      </c>
      <c r="L714" s="6" t="inlineStr">
        <is>
          <t>tratamiento</t>
        </is>
      </c>
      <c r="M714" s="6" t="inlineStr">
        <is>
          <t>profesional</t>
        </is>
      </c>
      <c r="N714" s="6" t="inlineStr">
        <is>
          <t>tratado</t>
        </is>
      </c>
      <c r="O714" s="6" t="inlineStr">
        <is>
          <t>https://www.farmacity.com/combo-capilar-tintura-permanente-excellence-triple-cuidado-sin-amoniaco-tono-4u-castano-tratamiento-intensivo-elvive-oleo-extraordinario/p</t>
        </is>
      </c>
      <c r="P714" s="8">
        <f>TRIM(CLEAN(PROPER(D714)))</f>
        <v/>
      </c>
      <c r="Q714" s="8">
        <f>PROPER(TRIM(SUBSTITUTE(SUBSTITUTE(SUBSTITUTE(SUBSTITUTE(E714,"TRESEMME","Tresemme"),"HEAD &amp; SHOULDERS","Head &amp; Shoulders"),"ELVIVE","Elvive"),"FRUCTIS","Fructis")))</f>
        <v/>
      </c>
      <c r="R714" s="8">
        <f>COUNTIF($D$2:$D$10000,D714)&gt;1</f>
        <v/>
      </c>
      <c r="S714" s="8">
        <f>IF(H714=TRUE,"Disponible","No disponible")</f>
        <v/>
      </c>
      <c r="T714" s="8">
        <f>IF(AND(ISNUMBER(I714),I714&gt;0),ROUND(F714/I714,2),"Sin volumen")</f>
        <v/>
      </c>
      <c r="U714" s="8">
        <f>IF(F714&lt;5000,"Bajo",IF(F714&lt;15000,"Medio","Alto"))</f>
        <v/>
      </c>
    </row>
    <row r="715">
      <c r="A715" t="inlineStr">
        <is>
          <t>Farmacity</t>
        </is>
      </c>
      <c r="B715" t="n">
        <v>229633</v>
      </c>
      <c r="C715" t="n">
        <v>229633</v>
      </c>
      <c r="D715" t="inlineStr">
        <is>
          <t>Crema Tratamiento Dove Real Fuerza + Bambú x 190 g</t>
        </is>
      </c>
      <c r="E715" t="inlineStr">
        <is>
          <t>Dove</t>
        </is>
      </c>
      <c r="F715" t="n">
        <v>2636</v>
      </c>
      <c r="G715" t="n">
        <v>5273</v>
      </c>
      <c r="H715" t="b">
        <v>1</v>
      </c>
      <c r="I715" t="n">
        <v>190</v>
      </c>
      <c r="J715" t="n">
        <v>13.8737</v>
      </c>
      <c r="K715" t="inlineStr">
        <is>
          <t>&gt; Cuidado Capilar &gt; Reparación Y Tratamiento &gt;</t>
        </is>
      </c>
      <c r="L715" t="inlineStr">
        <is>
          <t>tratamiento</t>
        </is>
      </c>
      <c r="M715" t="inlineStr">
        <is>
          <t>estandar</t>
        </is>
      </c>
      <c r="N715" t="inlineStr">
        <is>
          <t>general</t>
        </is>
      </c>
      <c r="O715" t="inlineStr">
        <is>
          <t>https://www.farmacity.com/crema-tratamiento-dove-real-poder-de-las-plantas-fuerza-bambu-x-190-g/p</t>
        </is>
      </c>
      <c r="P715">
        <f>TRIM(CLEAN(PROPER(D715)))</f>
        <v/>
      </c>
      <c r="Q715">
        <f>PROPER(TRIM(SUBSTITUTE(SUBSTITUTE(SUBSTITUTE(SUBSTITUTE(E715,"TRESEMME","Tresemme"),"HEAD &amp; SHOULDERS","Head &amp; Shoulders"),"ELVIVE","Elvive"),"FRUCTIS","Fructis")))</f>
        <v/>
      </c>
      <c r="R715">
        <f>COUNTIF($D$2:$D$10000,D715)&gt;1</f>
        <v/>
      </c>
      <c r="S715">
        <f>IF(H715=TRUE,"Disponible","No disponible")</f>
        <v/>
      </c>
      <c r="T715">
        <f>IF(AND(ISNUMBER(I715),I715&gt;0),ROUND(F715/I715,2),"Sin volumen")</f>
        <v/>
      </c>
      <c r="U715">
        <f>IF(F715&lt;5000,"Bajo",IF(F715&lt;15000,"Medio","Alto"))</f>
        <v/>
      </c>
    </row>
    <row r="716">
      <c r="A716" s="6" t="inlineStr">
        <is>
          <t>Farmacity</t>
        </is>
      </c>
      <c r="B716" s="6" t="n">
        <v>248883</v>
      </c>
      <c r="C716" s="6" t="n">
        <v>248883</v>
      </c>
      <c r="D716" s="6" t="inlineStr">
        <is>
          <t>Crema Tratamiento Ogx Bond Protein Repair 1-Minuto x 200 ml</t>
        </is>
      </c>
      <c r="E716" s="6" t="inlineStr">
        <is>
          <t>OGX</t>
        </is>
      </c>
      <c r="F716" s="6" t="n">
        <v>31641</v>
      </c>
      <c r="G716" s="6" t="n">
        <v>31641</v>
      </c>
      <c r="H716" s="6" t="b">
        <v>1</v>
      </c>
      <c r="I716" s="6" t="n">
        <v>200</v>
      </c>
      <c r="J716" s="6" t="n">
        <v>158.205</v>
      </c>
      <c r="K716" s="6" t="inlineStr">
        <is>
          <t>&gt; Cuidado Capilar &gt; Reparación Y Tratamiento &gt;</t>
        </is>
      </c>
      <c r="L716" s="6" t="inlineStr">
        <is>
          <t>tratamiento</t>
        </is>
      </c>
      <c r="M716" s="6" t="inlineStr">
        <is>
          <t>profesional</t>
        </is>
      </c>
      <c r="N716" s="6" t="inlineStr">
        <is>
          <t>general</t>
        </is>
      </c>
      <c r="O716" s="6" t="inlineStr">
        <is>
          <t>https://www.farmacity.com/crema-tratamiento-ogx-bond-protein-repair-1-minuto-x-200-ml/p</t>
        </is>
      </c>
      <c r="P716" s="8">
        <f>TRIM(CLEAN(PROPER(D716)))</f>
        <v/>
      </c>
      <c r="Q716" s="8">
        <f>PROPER(TRIM(SUBSTITUTE(SUBSTITUTE(SUBSTITUTE(SUBSTITUTE(E716,"TRESEMME","Tresemme"),"HEAD &amp; SHOULDERS","Head &amp; Shoulders"),"ELVIVE","Elvive"),"FRUCTIS","Fructis")))</f>
        <v/>
      </c>
      <c r="R716" s="8">
        <f>COUNTIF($D$2:$D$10000,D716)&gt;1</f>
        <v/>
      </c>
      <c r="S716" s="8">
        <f>IF(H716=TRUE,"Disponible","No disponible")</f>
        <v/>
      </c>
      <c r="T716" s="8">
        <f>IF(AND(ISNUMBER(I716),I716&gt;0),ROUND(F716/I716,2),"Sin volumen")</f>
        <v/>
      </c>
      <c r="U716" s="8">
        <f>IF(F716&lt;5000,"Bajo",IF(F716&lt;15000,"Medio","Alto"))</f>
        <v/>
      </c>
    </row>
    <row r="717">
      <c r="A717" t="inlineStr">
        <is>
          <t>Farmacity</t>
        </is>
      </c>
      <c r="B717" t="n">
        <v>250311</v>
      </c>
      <c r="C717" t="n">
        <v>250311</v>
      </c>
      <c r="D717" t="inlineStr">
        <is>
          <t>Crema Tratamiento Kerasys Hair Clinic Heat Active x 200 ml</t>
        </is>
      </c>
      <c r="E717" t="inlineStr">
        <is>
          <t>Kerasys</t>
        </is>
      </c>
      <c r="F717" t="n">
        <v>59000</v>
      </c>
      <c r="G717" t="n">
        <v>59000</v>
      </c>
      <c r="H717" t="b">
        <v>1</v>
      </c>
      <c r="I717" t="n">
        <v>200</v>
      </c>
      <c r="J717" t="n">
        <v>295</v>
      </c>
      <c r="K717" t="inlineStr">
        <is>
          <t>&gt; Cuidado Capilar &gt; Reparación Y Tratamiento &gt;</t>
        </is>
      </c>
      <c r="L717" t="inlineStr">
        <is>
          <t>tratamiento</t>
        </is>
      </c>
      <c r="M717" t="inlineStr">
        <is>
          <t>estandar</t>
        </is>
      </c>
      <c r="N717" t="inlineStr">
        <is>
          <t>general</t>
        </is>
      </c>
      <c r="O717" t="inlineStr">
        <is>
          <t>https://www.farmacity.com/crema-tratamiento-kerasys-hair-clinic-heat-active-x-200-ml/p</t>
        </is>
      </c>
      <c r="P717">
        <f>TRIM(CLEAN(PROPER(D717)))</f>
        <v/>
      </c>
      <c r="Q717">
        <f>PROPER(TRIM(SUBSTITUTE(SUBSTITUTE(SUBSTITUTE(SUBSTITUTE(E717,"TRESEMME","Tresemme"),"HEAD &amp; SHOULDERS","Head &amp; Shoulders"),"ELVIVE","Elvive"),"FRUCTIS","Fructis")))</f>
        <v/>
      </c>
      <c r="R717">
        <f>COUNTIF($D$2:$D$10000,D717)&gt;1</f>
        <v/>
      </c>
      <c r="S717">
        <f>IF(H717=TRUE,"Disponible","No disponible")</f>
        <v/>
      </c>
      <c r="T717">
        <f>IF(AND(ISNUMBER(I717),I717&gt;0),ROUND(F717/I717,2),"Sin volumen")</f>
        <v/>
      </c>
      <c r="U717">
        <f>IF(F717&lt;5000,"Bajo",IF(F717&lt;15000,"Medio","Alto"))</f>
        <v/>
      </c>
    </row>
    <row r="718">
      <c r="A718" s="6" t="inlineStr">
        <is>
          <t>Farmacity</t>
        </is>
      </c>
      <c r="B718" s="6" t="n">
        <v>236810</v>
      </c>
      <c r="C718" s="6" t="n">
        <v>236810</v>
      </c>
      <c r="D718" s="6" t="inlineStr">
        <is>
          <t>Crema de Tratamiento Sedal Colágeno y Vitamina C x 300 g</t>
        </is>
      </c>
      <c r="E718" s="6" t="inlineStr">
        <is>
          <t>Sedal</t>
        </is>
      </c>
      <c r="F718" s="6" t="n">
        <v>5127</v>
      </c>
      <c r="G718" s="6" t="n">
        <v>6409</v>
      </c>
      <c r="H718" s="6" t="b">
        <v>1</v>
      </c>
      <c r="I718" s="6" t="n">
        <v>300</v>
      </c>
      <c r="J718" s="6" t="n">
        <v>17.09</v>
      </c>
      <c r="K718" s="6" t="inlineStr">
        <is>
          <t>&gt; Cuidado Capilar &gt; Reparación Y Tratamiento &gt;</t>
        </is>
      </c>
      <c r="L718" s="6" t="inlineStr">
        <is>
          <t>tratamiento</t>
        </is>
      </c>
      <c r="M718" s="6" t="inlineStr">
        <is>
          <t>estandar</t>
        </is>
      </c>
      <c r="N718" s="6" t="inlineStr">
        <is>
          <t>general</t>
        </is>
      </c>
      <c r="O718" s="6" t="inlineStr">
        <is>
          <t>https://www.farmacity.com/crema-de-tratamiento-sedal-colageno-y-vitamina-c-x-300-g/p</t>
        </is>
      </c>
      <c r="P718" s="8">
        <f>TRIM(CLEAN(PROPER(D718)))</f>
        <v/>
      </c>
      <c r="Q718" s="8">
        <f>PROPER(TRIM(SUBSTITUTE(SUBSTITUTE(SUBSTITUTE(SUBSTITUTE(E718,"TRESEMME","Tresemme"),"HEAD &amp; SHOULDERS","Head &amp; Shoulders"),"ELVIVE","Elvive"),"FRUCTIS","Fructis")))</f>
        <v/>
      </c>
      <c r="R718" s="8">
        <f>COUNTIF($D$2:$D$10000,D718)&gt;1</f>
        <v/>
      </c>
      <c r="S718" s="8">
        <f>IF(H718=TRUE,"Disponible","No disponible")</f>
        <v/>
      </c>
      <c r="T718" s="8">
        <f>IF(AND(ISNUMBER(I718),I718&gt;0),ROUND(F718/I718,2),"Sin volumen")</f>
        <v/>
      </c>
      <c r="U718" s="8">
        <f>IF(F718&lt;5000,"Bajo",IF(F718&lt;15000,"Medio","Alto"))</f>
        <v/>
      </c>
    </row>
    <row r="719">
      <c r="A719" t="inlineStr">
        <is>
          <t>Farmacity</t>
        </is>
      </c>
      <c r="B719" t="n">
        <v>236811</v>
      </c>
      <c r="C719" t="n">
        <v>236811</v>
      </c>
      <c r="D719" t="inlineStr">
        <is>
          <t>Crema de Tratamiento Sedal Ácido Hialurónico y Vitamina A x 300 g</t>
        </is>
      </c>
      <c r="E719" t="inlineStr">
        <is>
          <t>Sedal</t>
        </is>
      </c>
      <c r="F719" t="n">
        <v>5127</v>
      </c>
      <c r="G719" t="n">
        <v>6409</v>
      </c>
      <c r="H719" t="b">
        <v>1</v>
      </c>
      <c r="I719" t="n">
        <v>300</v>
      </c>
      <c r="J719" t="n">
        <v>17.09</v>
      </c>
      <c r="K719" t="inlineStr">
        <is>
          <t>&gt; Cuidado Capilar &gt; Reparación Y Tratamiento &gt;</t>
        </is>
      </c>
      <c r="L719" t="inlineStr">
        <is>
          <t>tratamiento</t>
        </is>
      </c>
      <c r="M719" t="inlineStr">
        <is>
          <t>estandar</t>
        </is>
      </c>
      <c r="N719" t="inlineStr">
        <is>
          <t>general</t>
        </is>
      </c>
      <c r="O719" t="inlineStr">
        <is>
          <t>https://www.farmacity.com/crema-de-tratamiento-sedal-acido-hialuronico-y-vitamina-a-x-300-g/p</t>
        </is>
      </c>
      <c r="P719">
        <f>TRIM(CLEAN(PROPER(D719)))</f>
        <v/>
      </c>
      <c r="Q719">
        <f>PROPER(TRIM(SUBSTITUTE(SUBSTITUTE(SUBSTITUTE(SUBSTITUTE(E719,"TRESEMME","Tresemme"),"HEAD &amp; SHOULDERS","Head &amp; Shoulders"),"ELVIVE","Elvive"),"FRUCTIS","Fructis")))</f>
        <v/>
      </c>
      <c r="R719">
        <f>COUNTIF($D$2:$D$10000,D719)&gt;1</f>
        <v/>
      </c>
      <c r="S719">
        <f>IF(H719=TRUE,"Disponible","No disponible")</f>
        <v/>
      </c>
      <c r="T719">
        <f>IF(AND(ISNUMBER(I719),I719&gt;0),ROUND(F719/I719,2),"Sin volumen")</f>
        <v/>
      </c>
      <c r="U719">
        <f>IF(F719&lt;5000,"Bajo",IF(F719&lt;15000,"Medio","Alto"))</f>
        <v/>
      </c>
    </row>
    <row r="720">
      <c r="A720" s="6" t="inlineStr">
        <is>
          <t>Farmacity</t>
        </is>
      </c>
      <c r="B720" s="6" t="n">
        <v>8576</v>
      </c>
      <c r="C720" s="6" t="n">
        <v>155200</v>
      </c>
      <c r="D720" s="6" t="inlineStr">
        <is>
          <t>Leche Capilar Argan Shock x 125 ml</t>
        </is>
      </c>
      <c r="E720" s="6" t="inlineStr">
        <is>
          <t>Iyosei</t>
        </is>
      </c>
      <c r="F720" s="6" t="n">
        <v>7836</v>
      </c>
      <c r="G720" s="6" t="n">
        <v>7836</v>
      </c>
      <c r="H720" s="6" t="b">
        <v>1</v>
      </c>
      <c r="I720" s="6" t="n">
        <v>125</v>
      </c>
      <c r="J720" s="6" t="n">
        <v>62.688</v>
      </c>
      <c r="K720" s="6" t="inlineStr">
        <is>
          <t>&gt; Cuidado Capilar &gt; Reparación Y Tratamiento &gt;</t>
        </is>
      </c>
      <c r="L720" s="6" t="inlineStr">
        <is>
          <t>shampoo</t>
        </is>
      </c>
      <c r="M720" s="6" t="inlineStr">
        <is>
          <t>estandar</t>
        </is>
      </c>
      <c r="N720" s="6" t="inlineStr">
        <is>
          <t>general</t>
        </is>
      </c>
      <c r="O720" s="6" t="inlineStr">
        <is>
          <t>https://www.farmacity.com/leche-capilar-argan-shock-x-125-ml/p</t>
        </is>
      </c>
      <c r="P720" s="8">
        <f>TRIM(CLEAN(PROPER(D720)))</f>
        <v/>
      </c>
      <c r="Q720" s="8">
        <f>PROPER(TRIM(SUBSTITUTE(SUBSTITUTE(SUBSTITUTE(SUBSTITUTE(E720,"TRESEMME","Tresemme"),"HEAD &amp; SHOULDERS","Head &amp; Shoulders"),"ELVIVE","Elvive"),"FRUCTIS","Fructis")))</f>
        <v/>
      </c>
      <c r="R720" s="8">
        <f>COUNTIF($D$2:$D$10000,D720)&gt;1</f>
        <v/>
      </c>
      <c r="S720" s="8">
        <f>IF(H720=TRUE,"Disponible","No disponible")</f>
        <v/>
      </c>
      <c r="T720" s="8">
        <f>IF(AND(ISNUMBER(I720),I720&gt;0),ROUND(F720/I720,2),"Sin volumen")</f>
        <v/>
      </c>
      <c r="U720" s="8">
        <f>IF(F720&lt;5000,"Bajo",IF(F720&lt;15000,"Medio","Alto"))</f>
        <v/>
      </c>
    </row>
    <row r="721">
      <c r="A721" t="inlineStr">
        <is>
          <t>Farmacity</t>
        </is>
      </c>
      <c r="B721" t="n">
        <v>217255</v>
      </c>
      <c r="C721" t="n">
        <v>217255</v>
      </c>
      <c r="D721" t="inlineStr">
        <is>
          <t>Sérum Capilar Ogx Coconut Milk x 118 ml</t>
        </is>
      </c>
      <c r="E721" t="inlineStr">
        <is>
          <t>OGX</t>
        </is>
      </c>
      <c r="F721" t="n">
        <v>31640</v>
      </c>
      <c r="G721" t="n">
        <v>31640</v>
      </c>
      <c r="H721" t="b">
        <v>1</v>
      </c>
      <c r="I721" t="n">
        <v>118</v>
      </c>
      <c r="J721" t="n">
        <v>268.1356</v>
      </c>
      <c r="K721" t="inlineStr">
        <is>
          <t>&gt; Cuidado Capilar &gt; Reparación Y Tratamiento &gt;</t>
        </is>
      </c>
      <c r="L721" t="inlineStr">
        <is>
          <t>shampoo</t>
        </is>
      </c>
      <c r="M721" t="inlineStr">
        <is>
          <t>estandar</t>
        </is>
      </c>
      <c r="N721" t="inlineStr">
        <is>
          <t>general</t>
        </is>
      </c>
      <c r="O721" t="inlineStr">
        <is>
          <t>https://www.farmacity.com/serum-capilar-ogx-coconut-milk-x-118-ml/p</t>
        </is>
      </c>
      <c r="P721">
        <f>TRIM(CLEAN(PROPER(D721)))</f>
        <v/>
      </c>
      <c r="Q721">
        <f>PROPER(TRIM(SUBSTITUTE(SUBSTITUTE(SUBSTITUTE(SUBSTITUTE(E721,"TRESEMME","Tresemme"),"HEAD &amp; SHOULDERS","Head &amp; Shoulders"),"ELVIVE","Elvive"),"FRUCTIS","Fructis")))</f>
        <v/>
      </c>
      <c r="R721">
        <f>COUNTIF($D$2:$D$10000,D721)&gt;1</f>
        <v/>
      </c>
      <c r="S721">
        <f>IF(H721=TRUE,"Disponible","No disponible")</f>
        <v/>
      </c>
      <c r="T721">
        <f>IF(AND(ISNUMBER(I721),I721&gt;0),ROUND(F721/I721,2),"Sin volumen")</f>
        <v/>
      </c>
      <c r="U721">
        <f>IF(F721&lt;5000,"Bajo",IF(F721&lt;15000,"Medio","Alto"))</f>
        <v/>
      </c>
    </row>
    <row r="722">
      <c r="A722" s="6" t="inlineStr">
        <is>
          <t>Farmacity</t>
        </is>
      </c>
      <c r="B722" s="6" t="n">
        <v>9890</v>
      </c>
      <c r="C722" s="6" t="n">
        <v>157175</v>
      </c>
      <c r="D722" s="6" t="inlineStr">
        <is>
          <t>Sachet de Mascarilla Capilar con Keratina x 15 Gr</t>
        </is>
      </c>
      <c r="E722" s="6" t="inlineStr">
        <is>
          <t>Capilatis</t>
        </is>
      </c>
      <c r="F722" s="6" t="n">
        <v>1800</v>
      </c>
      <c r="G722" s="6" t="n">
        <v>1800</v>
      </c>
      <c r="H722" s="6" t="b">
        <v>1</v>
      </c>
      <c r="I722" s="6" t="n">
        <v>15</v>
      </c>
      <c r="J722" s="6" t="n">
        <v>120</v>
      </c>
      <c r="K722" s="6" t="inlineStr">
        <is>
          <t>&gt; Cuidado Capilar &gt; Reparación Y Tratamiento &gt;</t>
        </is>
      </c>
      <c r="L722" s="6" t="inlineStr">
        <is>
          <t>tratamiento</t>
        </is>
      </c>
      <c r="M722" s="6" t="inlineStr">
        <is>
          <t>estandar</t>
        </is>
      </c>
      <c r="N722" s="6" t="inlineStr">
        <is>
          <t>tratado</t>
        </is>
      </c>
      <c r="O722" s="6" t="inlineStr">
        <is>
          <t>https://www.farmacity.com/sachet-de-mascarilla-capilar-con-keratina-x-15-gr/p</t>
        </is>
      </c>
      <c r="P722" s="8">
        <f>TRIM(CLEAN(PROPER(D722)))</f>
        <v/>
      </c>
      <c r="Q722" s="8">
        <f>PROPER(TRIM(SUBSTITUTE(SUBSTITUTE(SUBSTITUTE(SUBSTITUTE(E722,"TRESEMME","Tresemme"),"HEAD &amp; SHOULDERS","Head &amp; Shoulders"),"ELVIVE","Elvive"),"FRUCTIS","Fructis")))</f>
        <v/>
      </c>
      <c r="R722" s="8">
        <f>COUNTIF($D$2:$D$10000,D722)&gt;1</f>
        <v/>
      </c>
      <c r="S722" s="8">
        <f>IF(H722=TRUE,"Disponible","No disponible")</f>
        <v/>
      </c>
      <c r="T722" s="8">
        <f>IF(AND(ISNUMBER(I722),I722&gt;0),ROUND(F722/I722,2),"Sin volumen")</f>
        <v/>
      </c>
      <c r="U722" s="8">
        <f>IF(F722&lt;5000,"Bajo",IF(F722&lt;15000,"Medio","Alto"))</f>
        <v/>
      </c>
    </row>
    <row r="723">
      <c r="A723" t="inlineStr">
        <is>
          <t>Farmacity</t>
        </is>
      </c>
      <c r="B723" t="n">
        <v>245147</v>
      </c>
      <c r="C723" t="n">
        <v>245147</v>
      </c>
      <c r="D723" t="inlineStr">
        <is>
          <t>Óleo Capilar Get The Look x 95 ml</t>
        </is>
      </c>
      <c r="E723" t="inlineStr">
        <is>
          <t>Get the Look</t>
        </is>
      </c>
      <c r="F723" t="n">
        <v>14400</v>
      </c>
      <c r="G723" t="n">
        <v>14400</v>
      </c>
      <c r="H723" t="b">
        <v>1</v>
      </c>
      <c r="I723" t="n">
        <v>95</v>
      </c>
      <c r="J723" t="n">
        <v>151.5789</v>
      </c>
      <c r="K723" t="inlineStr">
        <is>
          <t>&gt; Cuidado Capilar &gt; Reparación Y Tratamiento &gt;</t>
        </is>
      </c>
      <c r="L723" t="inlineStr">
        <is>
          <t>shampoo</t>
        </is>
      </c>
      <c r="M723" t="inlineStr">
        <is>
          <t>estandar</t>
        </is>
      </c>
      <c r="N723" t="inlineStr">
        <is>
          <t>general</t>
        </is>
      </c>
      <c r="O723" t="inlineStr">
        <is>
          <t>https://www.farmacity.com/oleo-capilar-get-the-look-x-95-ml/p</t>
        </is>
      </c>
      <c r="P723">
        <f>TRIM(CLEAN(PROPER(D723)))</f>
        <v/>
      </c>
      <c r="Q723">
        <f>PROPER(TRIM(SUBSTITUTE(SUBSTITUTE(SUBSTITUTE(SUBSTITUTE(E723,"TRESEMME","Tresemme"),"HEAD &amp; SHOULDERS","Head &amp; Shoulders"),"ELVIVE","Elvive"),"FRUCTIS","Fructis")))</f>
        <v/>
      </c>
      <c r="R723">
        <f>COUNTIF($D$2:$D$10000,D723)&gt;1</f>
        <v/>
      </c>
      <c r="S723">
        <f>IF(H723=TRUE,"Disponible","No disponible")</f>
        <v/>
      </c>
      <c r="T723">
        <f>IF(AND(ISNUMBER(I723),I723&gt;0),ROUND(F723/I723,2),"Sin volumen")</f>
        <v/>
      </c>
      <c r="U723">
        <f>IF(F723&lt;5000,"Bajo",IF(F723&lt;15000,"Medio","Alto"))</f>
        <v/>
      </c>
    </row>
    <row r="724">
      <c r="A724" s="6" t="inlineStr">
        <is>
          <t>Farmacity</t>
        </is>
      </c>
      <c r="B724" s="6" t="n">
        <v>249575</v>
      </c>
      <c r="C724" s="6" t="n">
        <v>249575</v>
      </c>
      <c r="D724" s="6" t="inlineStr">
        <is>
          <t>Perfume Capilar Herbal Essences x 90 ml</t>
        </is>
      </c>
      <c r="E724" s="6" t="inlineStr">
        <is>
          <t>Herbal Essences</t>
        </is>
      </c>
      <c r="F724" s="6" t="n">
        <v>14609</v>
      </c>
      <c r="G724" s="6" t="n">
        <v>22475</v>
      </c>
      <c r="H724" s="6" t="b">
        <v>1</v>
      </c>
      <c r="I724" s="6" t="n">
        <v>90</v>
      </c>
      <c r="J724" s="6" t="n">
        <v>162.3222</v>
      </c>
      <c r="K724" s="6" t="inlineStr">
        <is>
          <t>&gt; Cuidado Capilar &gt; Reparación Y Tratamiento &gt;</t>
        </is>
      </c>
      <c r="L724" s="6" t="inlineStr">
        <is>
          <t>shampoo</t>
        </is>
      </c>
      <c r="M724" s="6" t="inlineStr">
        <is>
          <t>estandar</t>
        </is>
      </c>
      <c r="N724" s="6" t="inlineStr">
        <is>
          <t>general</t>
        </is>
      </c>
      <c r="O724" s="6" t="inlineStr">
        <is>
          <t>https://www.farmacity.com/perfume-capilar-herbal-essences-x-90-ml/p</t>
        </is>
      </c>
      <c r="P724" s="8">
        <f>TRIM(CLEAN(PROPER(D724)))</f>
        <v/>
      </c>
      <c r="Q724" s="8">
        <f>PROPER(TRIM(SUBSTITUTE(SUBSTITUTE(SUBSTITUTE(SUBSTITUTE(E724,"TRESEMME","Tresemme"),"HEAD &amp; SHOULDERS","Head &amp; Shoulders"),"ELVIVE","Elvive"),"FRUCTIS","Fructis")))</f>
        <v/>
      </c>
      <c r="R724" s="8">
        <f>COUNTIF($D$2:$D$10000,D724)&gt;1</f>
        <v/>
      </c>
      <c r="S724" s="8">
        <f>IF(H724=TRUE,"Disponible","No disponible")</f>
        <v/>
      </c>
      <c r="T724" s="8">
        <f>IF(AND(ISNUMBER(I724),I724&gt;0),ROUND(F724/I724,2),"Sin volumen")</f>
        <v/>
      </c>
      <c r="U724" s="8">
        <f>IF(F724&lt;5000,"Bajo",IF(F724&lt;15000,"Medio","Alto"))</f>
        <v/>
      </c>
    </row>
    <row r="725">
      <c r="A725" t="inlineStr">
        <is>
          <t>Farmacity</t>
        </is>
      </c>
      <c r="B725" t="n">
        <v>236056</v>
      </c>
      <c r="C725" t="n">
        <v>236056</v>
      </c>
      <c r="D725" t="inlineStr">
        <is>
          <t>Máscara Capilar Biferdil Óleo de Argán x 150 ml</t>
        </is>
      </c>
      <c r="E725" t="inlineStr">
        <is>
          <t>Biferdil</t>
        </is>
      </c>
      <c r="F725" t="n">
        <v>14796</v>
      </c>
      <c r="G725" t="n">
        <v>14796</v>
      </c>
      <c r="H725" t="b">
        <v>1</v>
      </c>
      <c r="I725" t="n">
        <v>150</v>
      </c>
      <c r="J725" t="n">
        <v>98.64</v>
      </c>
      <c r="K725" t="inlineStr">
        <is>
          <t>&gt; Cuidado Capilar &gt; Reparación Y Tratamiento &gt;</t>
        </is>
      </c>
      <c r="L725" t="inlineStr">
        <is>
          <t>shampoo</t>
        </is>
      </c>
      <c r="M725" t="inlineStr">
        <is>
          <t>estandar</t>
        </is>
      </c>
      <c r="N725" t="inlineStr">
        <is>
          <t>general</t>
        </is>
      </c>
      <c r="O725" t="inlineStr">
        <is>
          <t>https://www.farmacity.com/mascara-capilar-biferdil-oleo-de-argan-x-150-ml/p</t>
        </is>
      </c>
      <c r="P725">
        <f>TRIM(CLEAN(PROPER(D725)))</f>
        <v/>
      </c>
      <c r="Q725">
        <f>PROPER(TRIM(SUBSTITUTE(SUBSTITUTE(SUBSTITUTE(SUBSTITUTE(E725,"TRESEMME","Tresemme"),"HEAD &amp; SHOULDERS","Head &amp; Shoulders"),"ELVIVE","Elvive"),"FRUCTIS","Fructis")))</f>
        <v/>
      </c>
      <c r="R725">
        <f>COUNTIF($D$2:$D$10000,D725)&gt;1</f>
        <v/>
      </c>
      <c r="S725">
        <f>IF(H725=TRUE,"Disponible","No disponible")</f>
        <v/>
      </c>
      <c r="T725">
        <f>IF(AND(ISNUMBER(I725),I725&gt;0),ROUND(F725/I725,2),"Sin volumen")</f>
        <v/>
      </c>
      <c r="U725">
        <f>IF(F725&lt;5000,"Bajo",IF(F725&lt;15000,"Medio","Alto"))</f>
        <v/>
      </c>
    </row>
    <row r="726">
      <c r="A726" s="6" t="inlineStr">
        <is>
          <t>Farmacity</t>
        </is>
      </c>
      <c r="B726" s="6" t="n">
        <v>15259</v>
      </c>
      <c r="C726" s="6" t="n">
        <v>160431</v>
      </c>
      <c r="D726" s="6" t="inlineStr">
        <is>
          <t>Máscara Capilar Capilatis Ácido Hialurónico x 170 g</t>
        </is>
      </c>
      <c r="E726" s="6" t="inlineStr">
        <is>
          <t>Capilatis</t>
        </is>
      </c>
      <c r="F726" s="6" t="n">
        <v>9400</v>
      </c>
      <c r="G726" s="6" t="n">
        <v>9400</v>
      </c>
      <c r="H726" s="6" t="b">
        <v>1</v>
      </c>
      <c r="I726" s="6" t="n">
        <v>170</v>
      </c>
      <c r="J726" s="6" t="n">
        <v>55.2941</v>
      </c>
      <c r="K726" s="6" t="inlineStr">
        <is>
          <t>&gt; Cuidado Capilar &gt; Reparación Y Tratamiento &gt;</t>
        </is>
      </c>
      <c r="L726" s="6" t="inlineStr">
        <is>
          <t>shampoo</t>
        </is>
      </c>
      <c r="M726" s="6" t="inlineStr">
        <is>
          <t>estandar</t>
        </is>
      </c>
      <c r="N726" s="6" t="inlineStr">
        <is>
          <t>general</t>
        </is>
      </c>
      <c r="O726" s="6" t="inlineStr">
        <is>
          <t>https://www.farmacity.com/mascara-capilar-acido-hialuronico-x-170-gr/p</t>
        </is>
      </c>
      <c r="P726" s="8">
        <f>TRIM(CLEAN(PROPER(D726)))</f>
        <v/>
      </c>
      <c r="Q726" s="8">
        <f>PROPER(TRIM(SUBSTITUTE(SUBSTITUTE(SUBSTITUTE(SUBSTITUTE(E726,"TRESEMME","Tresemme"),"HEAD &amp; SHOULDERS","Head &amp; Shoulders"),"ELVIVE","Elvive"),"FRUCTIS","Fructis")))</f>
        <v/>
      </c>
      <c r="R726" s="8">
        <f>COUNTIF($D$2:$D$10000,D726)&gt;1</f>
        <v/>
      </c>
      <c r="S726" s="8">
        <f>IF(H726=TRUE,"Disponible","No disponible")</f>
        <v/>
      </c>
      <c r="T726" s="8">
        <f>IF(AND(ISNUMBER(I726),I726&gt;0),ROUND(F726/I726,2),"Sin volumen")</f>
        <v/>
      </c>
      <c r="U726" s="8">
        <f>IF(F726&lt;5000,"Bajo",IF(F726&lt;15000,"Medio","Alto"))</f>
        <v/>
      </c>
    </row>
    <row r="727">
      <c r="A727" t="inlineStr">
        <is>
          <t>Farmacity</t>
        </is>
      </c>
      <c r="B727" t="n">
        <v>228547</v>
      </c>
      <c r="C727" t="n">
        <v>228547</v>
      </c>
      <c r="D727" t="inlineStr">
        <is>
          <t>Máscara Capilar Biferdil Nutri Cream x 150 ml</t>
        </is>
      </c>
      <c r="E727" t="inlineStr">
        <is>
          <t>Biferdil</t>
        </is>
      </c>
      <c r="F727" t="n">
        <v>10152</v>
      </c>
      <c r="G727" t="n">
        <v>10152</v>
      </c>
      <c r="H727" t="b">
        <v>1</v>
      </c>
      <c r="I727" t="n">
        <v>150</v>
      </c>
      <c r="J727" t="n">
        <v>67.68000000000001</v>
      </c>
      <c r="K727" t="inlineStr">
        <is>
          <t>&gt; Cuidado Capilar &gt; Reparación Y Tratamiento &gt;</t>
        </is>
      </c>
      <c r="L727" t="inlineStr">
        <is>
          <t>shampoo</t>
        </is>
      </c>
      <c r="M727" t="inlineStr">
        <is>
          <t>estandar</t>
        </is>
      </c>
      <c r="N727" t="inlineStr">
        <is>
          <t>general</t>
        </is>
      </c>
      <c r="O727" t="inlineStr">
        <is>
          <t>https://www.farmacity.com/mascara-capilar-biferdil-nutri-cream-x-150-ml/p</t>
        </is>
      </c>
      <c r="P727">
        <f>TRIM(CLEAN(PROPER(D727)))</f>
        <v/>
      </c>
      <c r="Q727">
        <f>PROPER(TRIM(SUBSTITUTE(SUBSTITUTE(SUBSTITUTE(SUBSTITUTE(E727,"TRESEMME","Tresemme"),"HEAD &amp; SHOULDERS","Head &amp; Shoulders"),"ELVIVE","Elvive"),"FRUCTIS","Fructis")))</f>
        <v/>
      </c>
      <c r="R727">
        <f>COUNTIF($D$2:$D$10000,D727)&gt;1</f>
        <v/>
      </c>
      <c r="S727">
        <f>IF(H727=TRUE,"Disponible","No disponible")</f>
        <v/>
      </c>
      <c r="T727">
        <f>IF(AND(ISNUMBER(I727),I727&gt;0),ROUND(F727/I727,2),"Sin volumen")</f>
        <v/>
      </c>
      <c r="U727">
        <f>IF(F727&lt;5000,"Bajo",IF(F727&lt;15000,"Medio","Alto"))</f>
        <v/>
      </c>
    </row>
    <row r="728">
      <c r="A728" s="6" t="inlineStr">
        <is>
          <t>Farmacity</t>
        </is>
      </c>
      <c r="B728" s="6" t="n">
        <v>249892</v>
      </c>
      <c r="C728" s="6" t="n">
        <v>249892</v>
      </c>
      <c r="D728" s="6" t="inlineStr">
        <is>
          <t>Óleo Capilar Karseell  Essence x 50 ml Óleo Capilar Karseell Maca Essence x 50 ml</t>
        </is>
      </c>
      <c r="E728" s="6" t="inlineStr">
        <is>
          <t>Karseell</t>
        </is>
      </c>
      <c r="F728" s="6" t="n">
        <v>29000</v>
      </c>
      <c r="G728" s="6" t="n">
        <v>29000</v>
      </c>
      <c r="H728" s="6" t="b">
        <v>1</v>
      </c>
      <c r="I728" s="6" t="n">
        <v>50</v>
      </c>
      <c r="J728" s="6" t="n">
        <v>580</v>
      </c>
      <c r="K728" s="6" t="inlineStr">
        <is>
          <t>&gt; Cuidado Capilar &gt; Reparación Y Tratamiento &gt;</t>
        </is>
      </c>
      <c r="L728" s="6" t="inlineStr">
        <is>
          <t>shampoo</t>
        </is>
      </c>
      <c r="M728" s="6" t="inlineStr">
        <is>
          <t>estandar</t>
        </is>
      </c>
      <c r="N728" s="6" t="inlineStr">
        <is>
          <t>general</t>
        </is>
      </c>
      <c r="O728" s="6" t="inlineStr">
        <is>
          <t>https://www.farmacity.com/oleo-capilar-karseell-maca-essence-x-50-ml/p</t>
        </is>
      </c>
      <c r="P728" s="8">
        <f>TRIM(CLEAN(PROPER(D728)))</f>
        <v/>
      </c>
      <c r="Q728" s="8">
        <f>PROPER(TRIM(SUBSTITUTE(SUBSTITUTE(SUBSTITUTE(SUBSTITUTE(E728,"TRESEMME","Tresemme"),"HEAD &amp; SHOULDERS","Head &amp; Shoulders"),"ELVIVE","Elvive"),"FRUCTIS","Fructis")))</f>
        <v/>
      </c>
      <c r="R728" s="8">
        <f>COUNTIF($D$2:$D$10000,D728)&gt;1</f>
        <v/>
      </c>
      <c r="S728" s="8">
        <f>IF(H728=TRUE,"Disponible","No disponible")</f>
        <v/>
      </c>
      <c r="T728" s="8">
        <f>IF(AND(ISNUMBER(I728),I728&gt;0),ROUND(F728/I728,2),"Sin volumen")</f>
        <v/>
      </c>
      <c r="U728" s="8">
        <f>IF(F728&lt;5000,"Bajo",IF(F728&lt;15000,"Medio","Alto"))</f>
        <v/>
      </c>
    </row>
    <row r="729">
      <c r="A729" t="inlineStr">
        <is>
          <t>Farmacity</t>
        </is>
      </c>
      <c r="B729" t="n">
        <v>243567</v>
      </c>
      <c r="C729" t="n">
        <v>243567</v>
      </c>
      <c r="D729" t="inlineStr">
        <is>
          <t>Mascarilla Capilar Sedal Luminous UV x 300 g</t>
        </is>
      </c>
      <c r="E729" t="inlineStr">
        <is>
          <t>Sedal</t>
        </is>
      </c>
      <c r="F729" t="n">
        <v>5127</v>
      </c>
      <c r="G729" t="n">
        <v>6409</v>
      </c>
      <c r="H729" t="b">
        <v>1</v>
      </c>
      <c r="I729" t="n">
        <v>300</v>
      </c>
      <c r="J729" t="n">
        <v>17.09</v>
      </c>
      <c r="K729" t="inlineStr">
        <is>
          <t>&gt; Cuidado Capilar &gt; Reparación Y Tratamiento &gt;</t>
        </is>
      </c>
      <c r="L729" t="inlineStr">
        <is>
          <t>tratamiento</t>
        </is>
      </c>
      <c r="M729" t="inlineStr">
        <is>
          <t>estandar</t>
        </is>
      </c>
      <c r="N729" t="inlineStr">
        <is>
          <t>general</t>
        </is>
      </c>
      <c r="O729" t="inlineStr">
        <is>
          <t>https://www.farmacity.com/mascarilla-capilar-sedal-luminous-uv-x-300-g/p</t>
        </is>
      </c>
      <c r="P729">
        <f>TRIM(CLEAN(PROPER(D729)))</f>
        <v/>
      </c>
      <c r="Q729">
        <f>PROPER(TRIM(SUBSTITUTE(SUBSTITUTE(SUBSTITUTE(SUBSTITUTE(E729,"TRESEMME","Tresemme"),"HEAD &amp; SHOULDERS","Head &amp; Shoulders"),"ELVIVE","Elvive"),"FRUCTIS","Fructis")))</f>
        <v/>
      </c>
      <c r="R729">
        <f>COUNTIF($D$2:$D$10000,D729)&gt;1</f>
        <v/>
      </c>
      <c r="S729">
        <f>IF(H729=TRUE,"Disponible","No disponible")</f>
        <v/>
      </c>
      <c r="T729">
        <f>IF(AND(ISNUMBER(I729),I729&gt;0),ROUND(F729/I729,2),"Sin volumen")</f>
        <v/>
      </c>
      <c r="U729">
        <f>IF(F729&lt;5000,"Bajo",IF(F729&lt;15000,"Medio","Alto"))</f>
        <v/>
      </c>
    </row>
    <row r="730">
      <c r="A730" s="6" t="inlineStr">
        <is>
          <t>Farmacity</t>
        </is>
      </c>
      <c r="B730" s="6" t="n">
        <v>250308</v>
      </c>
      <c r="C730" s="6" t="n">
        <v>250308</v>
      </c>
      <c r="D730" s="6" t="inlineStr">
        <is>
          <t>Mascarilla Capilar Kerasys Propolis Shine x 180 ml</t>
        </is>
      </c>
      <c r="E730" s="6" t="inlineStr">
        <is>
          <t>Kerasys</t>
        </is>
      </c>
      <c r="F730" s="6" t="n">
        <v>39000</v>
      </c>
      <c r="G730" s="6" t="n">
        <v>39000</v>
      </c>
      <c r="H730" s="6" t="b">
        <v>1</v>
      </c>
      <c r="I730" s="6" t="n">
        <v>180</v>
      </c>
      <c r="J730" s="6" t="n">
        <v>216.6667</v>
      </c>
      <c r="K730" s="6" t="inlineStr">
        <is>
          <t>&gt; Cuidado Capilar &gt; Reparación Y Tratamiento &gt;</t>
        </is>
      </c>
      <c r="L730" s="6" t="inlineStr">
        <is>
          <t>tratamiento</t>
        </is>
      </c>
      <c r="M730" s="6" t="inlineStr">
        <is>
          <t>estandar</t>
        </is>
      </c>
      <c r="N730" s="6" t="inlineStr">
        <is>
          <t>general</t>
        </is>
      </c>
      <c r="O730" s="6" t="inlineStr">
        <is>
          <t>https://www.farmacity.com/mascarilla-capilar-kerasys-propolis-shine-x-180-ml/p</t>
        </is>
      </c>
      <c r="P730" s="8">
        <f>TRIM(CLEAN(PROPER(D730)))</f>
        <v/>
      </c>
      <c r="Q730" s="8">
        <f>PROPER(TRIM(SUBSTITUTE(SUBSTITUTE(SUBSTITUTE(SUBSTITUTE(E730,"TRESEMME","Tresemme"),"HEAD &amp; SHOULDERS","Head &amp; Shoulders"),"ELVIVE","Elvive"),"FRUCTIS","Fructis")))</f>
        <v/>
      </c>
      <c r="R730" s="8">
        <f>COUNTIF($D$2:$D$10000,D730)&gt;1</f>
        <v/>
      </c>
      <c r="S730" s="8">
        <f>IF(H730=TRUE,"Disponible","No disponible")</f>
        <v/>
      </c>
      <c r="T730" s="8">
        <f>IF(AND(ISNUMBER(I730),I730&gt;0),ROUND(F730/I730,2),"Sin volumen")</f>
        <v/>
      </c>
      <c r="U730" s="8">
        <f>IF(F730&lt;5000,"Bajo",IF(F730&lt;15000,"Medio","Alto"))</f>
        <v/>
      </c>
    </row>
    <row r="731">
      <c r="A731" t="inlineStr">
        <is>
          <t>Farmacity</t>
        </is>
      </c>
      <c r="B731" t="n">
        <v>225544</v>
      </c>
      <c r="C731" t="n">
        <v>225544</v>
      </c>
      <c r="D731" t="inlineStr">
        <is>
          <t>Máscara Bagóvit Capilar Reparación Intensiva x 300 ml</t>
        </is>
      </c>
      <c r="E731" t="inlineStr">
        <is>
          <t>Bagóvit</t>
        </is>
      </c>
      <c r="F731" t="n">
        <v>8983</v>
      </c>
      <c r="G731" t="n">
        <v>8983</v>
      </c>
      <c r="H731" t="b">
        <v>1</v>
      </c>
      <c r="I731" t="n">
        <v>300</v>
      </c>
      <c r="J731" t="n">
        <v>29.9433</v>
      </c>
      <c r="K731" t="inlineStr">
        <is>
          <t>&gt; Cuidado Capilar &gt; Reparación Y Tratamiento &gt;</t>
        </is>
      </c>
      <c r="L731" t="inlineStr">
        <is>
          <t>shampoo</t>
        </is>
      </c>
      <c r="M731" t="inlineStr">
        <is>
          <t>estandar</t>
        </is>
      </c>
      <c r="N731" t="inlineStr">
        <is>
          <t>general</t>
        </is>
      </c>
      <c r="O731" t="inlineStr">
        <is>
          <t>https://www.farmacity.com/mascara-bagovit-capilar-r-reparacion-intensiva-x-300-ml/p</t>
        </is>
      </c>
      <c r="P731">
        <f>TRIM(CLEAN(PROPER(D731)))</f>
        <v/>
      </c>
      <c r="Q731">
        <f>PROPER(TRIM(SUBSTITUTE(SUBSTITUTE(SUBSTITUTE(SUBSTITUTE(E731,"TRESEMME","Tresemme"),"HEAD &amp; SHOULDERS","Head &amp; Shoulders"),"ELVIVE","Elvive"),"FRUCTIS","Fructis")))</f>
        <v/>
      </c>
      <c r="R731">
        <f>COUNTIF($D$2:$D$10000,D731)&gt;1</f>
        <v/>
      </c>
      <c r="S731">
        <f>IF(H731=TRUE,"Disponible","No disponible")</f>
        <v/>
      </c>
      <c r="T731">
        <f>IF(AND(ISNUMBER(I731),I731&gt;0),ROUND(F731/I731,2),"Sin volumen")</f>
        <v/>
      </c>
      <c r="U731">
        <f>IF(F731&lt;5000,"Bajo",IF(F731&lt;15000,"Medio","Alto"))</f>
        <v/>
      </c>
    </row>
    <row r="732">
      <c r="A732" s="6" t="inlineStr">
        <is>
          <t>Farmacity</t>
        </is>
      </c>
      <c r="B732" s="6" t="n">
        <v>217100</v>
      </c>
      <c r="C732" s="6" t="n">
        <v>217100</v>
      </c>
      <c r="D732" s="6" t="inlineStr">
        <is>
          <t>Máscara Capilar Alfaparf Milano Diamond x 200 ml</t>
        </is>
      </c>
      <c r="E732" s="6" t="inlineStr">
        <is>
          <t>Alfaparf Milano</t>
        </is>
      </c>
      <c r="F732" s="6" t="n">
        <v>62477</v>
      </c>
      <c r="G732" s="6" t="n">
        <v>62477</v>
      </c>
      <c r="H732" s="6" t="b">
        <v>1</v>
      </c>
      <c r="I732" s="6" t="n">
        <v>200</v>
      </c>
      <c r="J732" s="6" t="n">
        <v>312.385</v>
      </c>
      <c r="K732" s="6" t="inlineStr">
        <is>
          <t>&gt; Cuidado Capilar &gt; Reparación Y Tratamiento &gt;</t>
        </is>
      </c>
      <c r="L732" s="6" t="inlineStr">
        <is>
          <t>shampoo</t>
        </is>
      </c>
      <c r="M732" s="6" t="inlineStr">
        <is>
          <t>estandar</t>
        </is>
      </c>
      <c r="N732" s="6" t="inlineStr">
        <is>
          <t>general</t>
        </is>
      </c>
      <c r="O732" s="6" t="inlineStr">
        <is>
          <t>https://www.farmacity.com/mascara-capilar-alfaparf-milano-semi-di-lino-diamond-illuminating-x-200-ml/p</t>
        </is>
      </c>
      <c r="P732" s="8">
        <f>TRIM(CLEAN(PROPER(D732)))</f>
        <v/>
      </c>
      <c r="Q732" s="8">
        <f>PROPER(TRIM(SUBSTITUTE(SUBSTITUTE(SUBSTITUTE(SUBSTITUTE(E732,"TRESEMME","Tresemme"),"HEAD &amp; SHOULDERS","Head &amp; Shoulders"),"ELVIVE","Elvive"),"FRUCTIS","Fructis")))</f>
        <v/>
      </c>
      <c r="R732" s="8">
        <f>COUNTIF($D$2:$D$10000,D732)&gt;1</f>
        <v/>
      </c>
      <c r="S732" s="8">
        <f>IF(H732=TRUE,"Disponible","No disponible")</f>
        <v/>
      </c>
      <c r="T732" s="8">
        <f>IF(AND(ISNUMBER(I732),I732&gt;0),ROUND(F732/I732,2),"Sin volumen")</f>
        <v/>
      </c>
      <c r="U732" s="8">
        <f>IF(F732&lt;5000,"Bajo",IF(F732&lt;15000,"Medio","Alto"))</f>
        <v/>
      </c>
    </row>
    <row r="733">
      <c r="A733" t="inlineStr">
        <is>
          <t>Farmacity</t>
        </is>
      </c>
      <c r="B733" t="n">
        <v>234386</v>
      </c>
      <c r="C733" t="n">
        <v>234386</v>
      </c>
      <c r="D733" t="inlineStr">
        <is>
          <t>Mascarilla Capilar Elvive Hialurónico Pure x 300 g</t>
        </is>
      </c>
      <c r="E733" t="inlineStr">
        <is>
          <t>Elvive</t>
        </is>
      </c>
      <c r="F733" t="n">
        <v>11190</v>
      </c>
      <c r="G733" t="n">
        <v>11190</v>
      </c>
      <c r="H733" t="b">
        <v>1</v>
      </c>
      <c r="I733" t="n">
        <v>300</v>
      </c>
      <c r="J733" t="n">
        <v>37.3</v>
      </c>
      <c r="K733" t="inlineStr">
        <is>
          <t>&gt; Cuidado Capilar &gt; Reparación Y Tratamiento &gt;</t>
        </is>
      </c>
      <c r="L733" t="inlineStr">
        <is>
          <t>tratamiento</t>
        </is>
      </c>
      <c r="M733" t="inlineStr">
        <is>
          <t>profesional</t>
        </is>
      </c>
      <c r="N733" t="inlineStr">
        <is>
          <t>general</t>
        </is>
      </c>
      <c r="O733" t="inlineStr">
        <is>
          <t>https://www.farmacity.com/mascarilla-capilar-elvive-hialuronico-pure-x-300-g/p</t>
        </is>
      </c>
      <c r="P733">
        <f>TRIM(CLEAN(PROPER(D733)))</f>
        <v/>
      </c>
      <c r="Q733">
        <f>PROPER(TRIM(SUBSTITUTE(SUBSTITUTE(SUBSTITUTE(SUBSTITUTE(E733,"TRESEMME","Tresemme"),"HEAD &amp; SHOULDERS","Head &amp; Shoulders"),"ELVIVE","Elvive"),"FRUCTIS","Fructis")))</f>
        <v/>
      </c>
      <c r="R733">
        <f>COUNTIF($D$2:$D$10000,D733)&gt;1</f>
        <v/>
      </c>
      <c r="S733">
        <f>IF(H733=TRUE,"Disponible","No disponible")</f>
        <v/>
      </c>
      <c r="T733">
        <f>IF(AND(ISNUMBER(I733),I733&gt;0),ROUND(F733/I733,2),"Sin volumen")</f>
        <v/>
      </c>
      <c r="U733">
        <f>IF(F733&lt;5000,"Bajo",IF(F733&lt;15000,"Medio","Alto"))</f>
        <v/>
      </c>
    </row>
    <row r="734">
      <c r="A734" s="6" t="inlineStr">
        <is>
          <t>Farmacity</t>
        </is>
      </c>
      <c r="B734" s="6" t="n">
        <v>228545</v>
      </c>
      <c r="C734" s="6" t="n">
        <v>228545</v>
      </c>
      <c r="D734" s="6" t="inlineStr">
        <is>
          <t>Máscara Capilar Biferdil Rosa Mosqueta Orgánica x 150 ml</t>
        </is>
      </c>
      <c r="E734" s="6" t="inlineStr">
        <is>
          <t>Biferdil</t>
        </is>
      </c>
      <c r="F734" s="6" t="n">
        <v>11988</v>
      </c>
      <c r="G734" s="6" t="n">
        <v>11988</v>
      </c>
      <c r="H734" s="6" t="b">
        <v>1</v>
      </c>
      <c r="I734" s="6" t="n">
        <v>150</v>
      </c>
      <c r="J734" s="6" t="n">
        <v>79.92</v>
      </c>
      <c r="K734" s="6" t="inlineStr">
        <is>
          <t>&gt; Cuidado Capilar &gt; Reparación Y Tratamiento &gt;</t>
        </is>
      </c>
      <c r="L734" s="6" t="inlineStr">
        <is>
          <t>shampoo</t>
        </is>
      </c>
      <c r="M734" s="6" t="inlineStr">
        <is>
          <t>estandar</t>
        </is>
      </c>
      <c r="N734" s="6" t="inlineStr">
        <is>
          <t>general</t>
        </is>
      </c>
      <c r="O734" s="6" t="inlineStr">
        <is>
          <t>https://www.farmacity.com/mascara-capilar-biferdil-rosa-mosqueta-organica-x-150-ml/p</t>
        </is>
      </c>
      <c r="P734" s="8">
        <f>TRIM(CLEAN(PROPER(D734)))</f>
        <v/>
      </c>
      <c r="Q734" s="8">
        <f>PROPER(TRIM(SUBSTITUTE(SUBSTITUTE(SUBSTITUTE(SUBSTITUTE(E734,"TRESEMME","Tresemme"),"HEAD &amp; SHOULDERS","Head &amp; Shoulders"),"ELVIVE","Elvive"),"FRUCTIS","Fructis")))</f>
        <v/>
      </c>
      <c r="R734" s="8">
        <f>COUNTIF($D$2:$D$10000,D734)&gt;1</f>
        <v/>
      </c>
      <c r="S734" s="8">
        <f>IF(H734=TRUE,"Disponible","No disponible")</f>
        <v/>
      </c>
      <c r="T734" s="8">
        <f>IF(AND(ISNUMBER(I734),I734&gt;0),ROUND(F734/I734,2),"Sin volumen")</f>
        <v/>
      </c>
      <c r="U734" s="8">
        <f>IF(F734&lt;5000,"Bajo",IF(F734&lt;15000,"Medio","Alto"))</f>
        <v/>
      </c>
    </row>
    <row r="735">
      <c r="A735" t="inlineStr">
        <is>
          <t>Farmacity</t>
        </is>
      </c>
      <c r="B735" t="n">
        <v>243566</v>
      </c>
      <c r="C735" t="n">
        <v>243566</v>
      </c>
      <c r="D735" t="inlineStr">
        <is>
          <t>Sérum Capilar Sedal Luminous UV x 110 ml</t>
        </is>
      </c>
      <c r="E735" t="inlineStr">
        <is>
          <t>Sedal</t>
        </is>
      </c>
      <c r="F735" t="n">
        <v>8464</v>
      </c>
      <c r="G735" t="n">
        <v>10580</v>
      </c>
      <c r="H735" t="b">
        <v>1</v>
      </c>
      <c r="I735" t="n">
        <v>110</v>
      </c>
      <c r="J735" t="n">
        <v>76.9455</v>
      </c>
      <c r="K735" t="inlineStr">
        <is>
          <t>&gt; Cuidado Capilar &gt; Reparación Y Tratamiento &gt;</t>
        </is>
      </c>
      <c r="L735" t="inlineStr">
        <is>
          <t>shampoo</t>
        </is>
      </c>
      <c r="M735" t="inlineStr">
        <is>
          <t>estandar</t>
        </is>
      </c>
      <c r="N735" t="inlineStr">
        <is>
          <t>general</t>
        </is>
      </c>
      <c r="O735" t="inlineStr">
        <is>
          <t>https://www.farmacity.com/serum-capilar-sedal-luminous-uv-x-110-ml/p</t>
        </is>
      </c>
      <c r="P735">
        <f>TRIM(CLEAN(PROPER(D735)))</f>
        <v/>
      </c>
      <c r="Q735">
        <f>PROPER(TRIM(SUBSTITUTE(SUBSTITUTE(SUBSTITUTE(SUBSTITUTE(E735,"TRESEMME","Tresemme"),"HEAD &amp; SHOULDERS","Head &amp; Shoulders"),"ELVIVE","Elvive"),"FRUCTIS","Fructis")))</f>
        <v/>
      </c>
      <c r="R735">
        <f>COUNTIF($D$2:$D$10000,D735)&gt;1</f>
        <v/>
      </c>
      <c r="S735">
        <f>IF(H735=TRUE,"Disponible","No disponible")</f>
        <v/>
      </c>
      <c r="T735">
        <f>IF(AND(ISNUMBER(I735),I735&gt;0),ROUND(F735/I735,2),"Sin volumen")</f>
        <v/>
      </c>
      <c r="U735">
        <f>IF(F735&lt;5000,"Bajo",IF(F735&lt;15000,"Medio","Alto"))</f>
        <v/>
      </c>
    </row>
    <row r="736">
      <c r="A736" s="6" t="inlineStr">
        <is>
          <t>Farmacity</t>
        </is>
      </c>
      <c r="B736" s="6" t="n">
        <v>249891</v>
      </c>
      <c r="C736" s="6" t="n">
        <v>249891</v>
      </c>
      <c r="D736" s="6" t="inlineStr">
        <is>
          <t>Mascarilla Capilar Karseell con Colágeno x 500 ml</t>
        </is>
      </c>
      <c r="E736" s="6" t="inlineStr">
        <is>
          <t>Karseell</t>
        </is>
      </c>
      <c r="F736" s="6" t="n">
        <v>33000</v>
      </c>
      <c r="G736" s="6" t="n">
        <v>33000</v>
      </c>
      <c r="H736" s="6" t="b">
        <v>1</v>
      </c>
      <c r="I736" s="6" t="n">
        <v>500</v>
      </c>
      <c r="J736" s="6" t="n">
        <v>66</v>
      </c>
      <c r="K736" s="6" t="inlineStr">
        <is>
          <t>&gt; Cuidado Capilar &gt; Reparación Y Tratamiento &gt;</t>
        </is>
      </c>
      <c r="L736" s="6" t="inlineStr">
        <is>
          <t>tratamiento</t>
        </is>
      </c>
      <c r="M736" s="6" t="inlineStr">
        <is>
          <t>estandar</t>
        </is>
      </c>
      <c r="N736" s="6" t="inlineStr">
        <is>
          <t>general</t>
        </is>
      </c>
      <c r="O736" s="6" t="inlineStr">
        <is>
          <t>https://www.farmacity.com/mascarilla-capilar-karseell-con-colageno-x-500-ml/p</t>
        </is>
      </c>
      <c r="P736" s="8">
        <f>TRIM(CLEAN(PROPER(D736)))</f>
        <v/>
      </c>
      <c r="Q736" s="8">
        <f>PROPER(TRIM(SUBSTITUTE(SUBSTITUTE(SUBSTITUTE(SUBSTITUTE(E736,"TRESEMME","Tresemme"),"HEAD &amp; SHOULDERS","Head &amp; Shoulders"),"ELVIVE","Elvive"),"FRUCTIS","Fructis")))</f>
        <v/>
      </c>
      <c r="R736" s="8">
        <f>COUNTIF($D$2:$D$10000,D736)&gt;1</f>
        <v/>
      </c>
      <c r="S736" s="8">
        <f>IF(H736=TRUE,"Disponible","No disponible")</f>
        <v/>
      </c>
      <c r="T736" s="8">
        <f>IF(AND(ISNUMBER(I736),I736&gt;0),ROUND(F736/I736,2),"Sin volumen")</f>
        <v/>
      </c>
      <c r="U736" s="8">
        <f>IF(F736&lt;5000,"Bajo",IF(F736&lt;15000,"Medio","Alto"))</f>
        <v/>
      </c>
    </row>
    <row r="737">
      <c r="A737" t="inlineStr">
        <is>
          <t>Farmacity</t>
        </is>
      </c>
      <c r="B737" t="n">
        <v>244546</v>
      </c>
      <c r="C737" t="n">
        <v>244546</v>
      </c>
      <c r="D737" t="inlineStr">
        <is>
          <t>Tónico Capilar Pantene Anti Caída x 52 ml</t>
        </is>
      </c>
      <c r="E737" t="inlineStr">
        <is>
          <t>Pantene</t>
        </is>
      </c>
      <c r="F737" t="n">
        <v>25541</v>
      </c>
      <c r="G737" t="n">
        <v>25541</v>
      </c>
      <c r="H737" t="b">
        <v>1</v>
      </c>
      <c r="I737" t="n">
        <v>52</v>
      </c>
      <c r="J737" t="n">
        <v>491.1731</v>
      </c>
      <c r="K737" t="inlineStr">
        <is>
          <t>&gt; Cuidado Capilar &gt; Reparación Y Tratamiento &gt;</t>
        </is>
      </c>
      <c r="L737" t="inlineStr">
        <is>
          <t>shampoo</t>
        </is>
      </c>
      <c r="M737" t="inlineStr">
        <is>
          <t>estandar</t>
        </is>
      </c>
      <c r="N737" t="inlineStr">
        <is>
          <t>general</t>
        </is>
      </c>
      <c r="O737" t="inlineStr">
        <is>
          <t>https://www.farmacity.com/tonico-capilar-pantene-anti-caida-x-52-ml/p</t>
        </is>
      </c>
      <c r="P737">
        <f>TRIM(CLEAN(PROPER(D737)))</f>
        <v/>
      </c>
      <c r="Q737">
        <f>PROPER(TRIM(SUBSTITUTE(SUBSTITUTE(SUBSTITUTE(SUBSTITUTE(E737,"TRESEMME","Tresemme"),"HEAD &amp; SHOULDERS","Head &amp; Shoulders"),"ELVIVE","Elvive"),"FRUCTIS","Fructis")))</f>
        <v/>
      </c>
      <c r="R737">
        <f>COUNTIF($D$2:$D$10000,D737)&gt;1</f>
        <v/>
      </c>
      <c r="S737">
        <f>IF(H737=TRUE,"Disponible","No disponible")</f>
        <v/>
      </c>
      <c r="T737">
        <f>IF(AND(ISNUMBER(I737),I737&gt;0),ROUND(F737/I737,2),"Sin volumen")</f>
        <v/>
      </c>
      <c r="U737">
        <f>IF(F737&lt;5000,"Bajo",IF(F737&lt;15000,"Medio","Alto"))</f>
        <v/>
      </c>
    </row>
    <row r="738">
      <c r="A738" s="6" t="inlineStr">
        <is>
          <t>Farmacity</t>
        </is>
      </c>
      <c r="B738" s="6" t="n">
        <v>243572</v>
      </c>
      <c r="C738" s="6" t="n">
        <v>243572</v>
      </c>
      <c r="D738" s="6" t="inlineStr">
        <is>
          <t>Mascarilla Capilar Capilatis Ácido Glicólico x 170 g</t>
        </is>
      </c>
      <c r="E738" s="6" t="inlineStr">
        <is>
          <t>Capilatis</t>
        </is>
      </c>
      <c r="F738" s="6" t="n">
        <v>9400</v>
      </c>
      <c r="G738" s="6" t="n">
        <v>9400</v>
      </c>
      <c r="H738" s="6" t="b">
        <v>1</v>
      </c>
      <c r="I738" s="6" t="n">
        <v>170</v>
      </c>
      <c r="J738" s="6" t="n">
        <v>55.2941</v>
      </c>
      <c r="K738" s="6" t="inlineStr">
        <is>
          <t>&gt; Cuidado Capilar &gt; Reparación Y Tratamiento &gt;</t>
        </is>
      </c>
      <c r="L738" s="6" t="inlineStr">
        <is>
          <t>tratamiento</t>
        </is>
      </c>
      <c r="M738" s="6" t="inlineStr">
        <is>
          <t>estandar</t>
        </is>
      </c>
      <c r="N738" s="6" t="inlineStr">
        <is>
          <t>general</t>
        </is>
      </c>
      <c r="O738" s="6" t="inlineStr">
        <is>
          <t>https://www.farmacity.com/mascarilla-capilar-capilatis-acido-glicolico-x-170-g/p</t>
        </is>
      </c>
      <c r="P738" s="8">
        <f>TRIM(CLEAN(PROPER(D738)))</f>
        <v/>
      </c>
      <c r="Q738" s="8">
        <f>PROPER(TRIM(SUBSTITUTE(SUBSTITUTE(SUBSTITUTE(SUBSTITUTE(E738,"TRESEMME","Tresemme"),"HEAD &amp; SHOULDERS","Head &amp; Shoulders"),"ELVIVE","Elvive"),"FRUCTIS","Fructis")))</f>
        <v/>
      </c>
      <c r="R738" s="8">
        <f>COUNTIF($D$2:$D$10000,D738)&gt;1</f>
        <v/>
      </c>
      <c r="S738" s="8">
        <f>IF(H738=TRUE,"Disponible","No disponible")</f>
        <v/>
      </c>
      <c r="T738" s="8">
        <f>IF(AND(ISNUMBER(I738),I738&gt;0),ROUND(F738/I738,2),"Sin volumen")</f>
        <v/>
      </c>
      <c r="U738" s="8">
        <f>IF(F738&lt;5000,"Bajo",IF(F738&lt;15000,"Medio","Alto"))</f>
        <v/>
      </c>
    </row>
    <row r="739">
      <c r="A739" t="inlineStr">
        <is>
          <t>Farmacity</t>
        </is>
      </c>
      <c r="B739" t="n">
        <v>241572</v>
      </c>
      <c r="C739" t="n">
        <v>241572</v>
      </c>
      <c r="D739" t="inlineStr">
        <is>
          <t>Mascarilla Bagóvit Capilar Plasma Vegetal x 300 ml</t>
        </is>
      </c>
      <c r="E739" t="inlineStr">
        <is>
          <t>Bagóvit</t>
        </is>
      </c>
      <c r="F739" t="n">
        <v>10392</v>
      </c>
      <c r="G739" t="n">
        <v>10392</v>
      </c>
      <c r="H739" t="b">
        <v>1</v>
      </c>
      <c r="I739" t="n">
        <v>300</v>
      </c>
      <c r="J739" t="n">
        <v>34.64</v>
      </c>
      <c r="K739" t="inlineStr">
        <is>
          <t>&gt; Cuidado Capilar &gt; Reparación Y Tratamiento &gt;</t>
        </is>
      </c>
      <c r="L739" t="inlineStr">
        <is>
          <t>tratamiento</t>
        </is>
      </c>
      <c r="M739" t="inlineStr">
        <is>
          <t>estandar</t>
        </is>
      </c>
      <c r="N739" t="inlineStr">
        <is>
          <t>general</t>
        </is>
      </c>
      <c r="O739" t="inlineStr">
        <is>
          <t>https://www.farmacity.com/mascarilla-bagovit-capilar-plasma-vegetal-x-300-ml/p</t>
        </is>
      </c>
      <c r="P739">
        <f>TRIM(CLEAN(PROPER(D739)))</f>
        <v/>
      </c>
      <c r="Q739">
        <f>PROPER(TRIM(SUBSTITUTE(SUBSTITUTE(SUBSTITUTE(SUBSTITUTE(E739,"TRESEMME","Tresemme"),"HEAD &amp; SHOULDERS","Head &amp; Shoulders"),"ELVIVE","Elvive"),"FRUCTIS","Fructis")))</f>
        <v/>
      </c>
      <c r="R739">
        <f>COUNTIF($D$2:$D$10000,D739)&gt;1</f>
        <v/>
      </c>
      <c r="S739">
        <f>IF(H739=TRUE,"Disponible","No disponible")</f>
        <v/>
      </c>
      <c r="T739">
        <f>IF(AND(ISNUMBER(I739),I739&gt;0),ROUND(F739/I739,2),"Sin volumen")</f>
        <v/>
      </c>
      <c r="U739">
        <f>IF(F739&lt;5000,"Bajo",IF(F739&lt;15000,"Medio","Alto"))</f>
        <v/>
      </c>
    </row>
    <row r="740">
      <c r="A740" s="6" t="inlineStr">
        <is>
          <t>Farmacity</t>
        </is>
      </c>
      <c r="B740" s="6" t="n">
        <v>250191</v>
      </c>
      <c r="C740" s="6" t="n">
        <v>250191</v>
      </c>
      <c r="D740" s="6" t="inlineStr">
        <is>
          <t>Óleo Capilar La Puissance Nutrition x 30 ml</t>
        </is>
      </c>
      <c r="E740" s="6" t="inlineStr">
        <is>
          <t>La Puissance</t>
        </is>
      </c>
      <c r="F740" s="6" t="n">
        <v>18000</v>
      </c>
      <c r="G740" s="6" t="n">
        <v>18000</v>
      </c>
      <c r="H740" s="6" t="b">
        <v>1</v>
      </c>
      <c r="I740" s="6" t="n">
        <v>30</v>
      </c>
      <c r="J740" s="6" t="n">
        <v>600</v>
      </c>
      <c r="K740" s="6" t="inlineStr">
        <is>
          <t>&gt; Cuidado Capilar &gt; Reparación Y Tratamiento &gt;</t>
        </is>
      </c>
      <c r="L740" s="6" t="inlineStr">
        <is>
          <t>shampoo</t>
        </is>
      </c>
      <c r="M740" s="6" t="inlineStr">
        <is>
          <t>estandar</t>
        </is>
      </c>
      <c r="N740" s="6" t="inlineStr">
        <is>
          <t>general</t>
        </is>
      </c>
      <c r="O740" s="6" t="inlineStr">
        <is>
          <t>https://www.farmacity.com/oleo-capilar-la-puissance-nutrition-x-30-ml/p</t>
        </is>
      </c>
      <c r="P740" s="8">
        <f>TRIM(CLEAN(PROPER(D740)))</f>
        <v/>
      </c>
      <c r="Q740" s="8">
        <f>PROPER(TRIM(SUBSTITUTE(SUBSTITUTE(SUBSTITUTE(SUBSTITUTE(E740,"TRESEMME","Tresemme"),"HEAD &amp; SHOULDERS","Head &amp; Shoulders"),"ELVIVE","Elvive"),"FRUCTIS","Fructis")))</f>
        <v/>
      </c>
      <c r="R740" s="8">
        <f>COUNTIF($D$2:$D$10000,D740)&gt;1</f>
        <v/>
      </c>
      <c r="S740" s="8">
        <f>IF(H740=TRUE,"Disponible","No disponible")</f>
        <v/>
      </c>
      <c r="T740" s="8">
        <f>IF(AND(ISNUMBER(I740),I740&gt;0),ROUND(F740/I740,2),"Sin volumen")</f>
        <v/>
      </c>
      <c r="U740" s="8">
        <f>IF(F740&lt;5000,"Bajo",IF(F740&lt;15000,"Medio","Alto"))</f>
        <v/>
      </c>
    </row>
    <row r="741">
      <c r="A741" t="inlineStr">
        <is>
          <t>Farmacity</t>
        </is>
      </c>
      <c r="B741" t="n">
        <v>250190</v>
      </c>
      <c r="C741" t="n">
        <v>250190</v>
      </c>
      <c r="D741" t="inlineStr">
        <is>
          <t>Mascarilla Capilar La Puissance Nutrition x 250 ml</t>
        </is>
      </c>
      <c r="E741" t="inlineStr">
        <is>
          <t>La Puissance</t>
        </is>
      </c>
      <c r="F741" t="n">
        <v>17600</v>
      </c>
      <c r="G741" t="n">
        <v>17600</v>
      </c>
      <c r="H741" t="b">
        <v>1</v>
      </c>
      <c r="I741" t="n">
        <v>250</v>
      </c>
      <c r="J741" t="n">
        <v>70.40000000000001</v>
      </c>
      <c r="K741" t="inlineStr">
        <is>
          <t>&gt; Cuidado Capilar &gt; Reparación Y Tratamiento &gt;</t>
        </is>
      </c>
      <c r="L741" t="inlineStr">
        <is>
          <t>tratamiento</t>
        </is>
      </c>
      <c r="M741" t="inlineStr">
        <is>
          <t>estandar</t>
        </is>
      </c>
      <c r="N741" t="inlineStr">
        <is>
          <t>general</t>
        </is>
      </c>
      <c r="O741" t="inlineStr">
        <is>
          <t>https://www.farmacity.com/mascarilla-capilar-la-puissance-nutrition-x-250-ml/p</t>
        </is>
      </c>
      <c r="P741">
        <f>TRIM(CLEAN(PROPER(D741)))</f>
        <v/>
      </c>
      <c r="Q741">
        <f>PROPER(TRIM(SUBSTITUTE(SUBSTITUTE(SUBSTITUTE(SUBSTITUTE(E741,"TRESEMME","Tresemme"),"HEAD &amp; SHOULDERS","Head &amp; Shoulders"),"ELVIVE","Elvive"),"FRUCTIS","Fructis")))</f>
        <v/>
      </c>
      <c r="R741">
        <f>COUNTIF($D$2:$D$10000,D741)&gt;1</f>
        <v/>
      </c>
      <c r="S741">
        <f>IF(H741=TRUE,"Disponible","No disponible")</f>
        <v/>
      </c>
      <c r="T741">
        <f>IF(AND(ISNUMBER(I741),I741&gt;0),ROUND(F741/I741,2),"Sin volumen")</f>
        <v/>
      </c>
      <c r="U741">
        <f>IF(F741&lt;5000,"Bajo",IF(F741&lt;15000,"Medio","Alto"))</f>
        <v/>
      </c>
    </row>
    <row r="742">
      <c r="A742" s="6" t="inlineStr">
        <is>
          <t>Farmacity</t>
        </is>
      </c>
      <c r="B742" s="6" t="n">
        <v>249155</v>
      </c>
      <c r="C742" s="6" t="n">
        <v>249155</v>
      </c>
      <c r="D742" s="6" t="inlineStr">
        <is>
          <t>Combo Get The Look Brillo y Fuerza Capilar</t>
        </is>
      </c>
      <c r="E742" s="6" t="inlineStr">
        <is>
          <t>Get the Look</t>
        </is>
      </c>
      <c r="F742" s="6" t="n">
        <v>20275</v>
      </c>
      <c r="G742" s="6" t="n">
        <v>40550</v>
      </c>
      <c r="H742" s="6" t="b">
        <v>1</v>
      </c>
      <c r="I742" s="6" t="inlineStr"/>
      <c r="J742" s="6" t="inlineStr"/>
      <c r="K742" s="6" t="inlineStr">
        <is>
          <t>&gt; Cuidado Capilar &gt; Reparación Y Tratamiento &gt;</t>
        </is>
      </c>
      <c r="L742" s="6" t="inlineStr">
        <is>
          <t>shampoo</t>
        </is>
      </c>
      <c r="M742" s="6" t="inlineStr">
        <is>
          <t>estandar</t>
        </is>
      </c>
      <c r="N742" s="6" t="inlineStr">
        <is>
          <t>general</t>
        </is>
      </c>
      <c r="O742" s="6" t="inlineStr">
        <is>
          <t>https://www.farmacity.com/combo-get-the-look-brillo-y-fuerza-capilar/p</t>
        </is>
      </c>
      <c r="P742" s="8">
        <f>TRIM(CLEAN(PROPER(D742)))</f>
        <v/>
      </c>
      <c r="Q742" s="8">
        <f>PROPER(TRIM(SUBSTITUTE(SUBSTITUTE(SUBSTITUTE(SUBSTITUTE(E742,"TRESEMME","Tresemme"),"HEAD &amp; SHOULDERS","Head &amp; Shoulders"),"ELVIVE","Elvive"),"FRUCTIS","Fructis")))</f>
        <v/>
      </c>
      <c r="R742" s="8">
        <f>COUNTIF($D$2:$D$10000,D742)&gt;1</f>
        <v/>
      </c>
      <c r="S742" s="8">
        <f>IF(H742=TRUE,"Disponible","No disponible")</f>
        <v/>
      </c>
      <c r="T742" s="8">
        <f>IF(AND(ISNUMBER(I742),I742&gt;0),ROUND(F742/I742,2),"Sin volumen")</f>
        <v/>
      </c>
      <c r="U742" s="8">
        <f>IF(F742&lt;5000,"Bajo",IF(F742&lt;15000,"Medio","Alto"))</f>
        <v/>
      </c>
    </row>
    <row r="743">
      <c r="A743" t="inlineStr">
        <is>
          <t>Farmacity</t>
        </is>
      </c>
      <c r="B743" t="n">
        <v>212301</v>
      </c>
      <c r="C743" t="n">
        <v>212301</v>
      </c>
      <c r="D743" t="inlineStr">
        <is>
          <t>Ampolla Capilar Farmacity Nutrición Intensa x 10 ml</t>
        </is>
      </c>
      <c r="E743" t="inlineStr">
        <is>
          <t>Farmacity</t>
        </is>
      </c>
      <c r="F743" t="n">
        <v>3150</v>
      </c>
      <c r="G743" t="n">
        <v>3150</v>
      </c>
      <c r="H743" t="b">
        <v>1</v>
      </c>
      <c r="I743" t="n">
        <v>10</v>
      </c>
      <c r="J743" t="n">
        <v>315</v>
      </c>
      <c r="K743" t="inlineStr">
        <is>
          <t>&gt; Cuidado Capilar &gt; Reparación Y Tratamiento &gt;</t>
        </is>
      </c>
      <c r="L743" t="inlineStr">
        <is>
          <t>shampoo</t>
        </is>
      </c>
      <c r="M743" t="inlineStr">
        <is>
          <t>estandar</t>
        </is>
      </c>
      <c r="N743" t="inlineStr">
        <is>
          <t>general</t>
        </is>
      </c>
      <c r="O743" t="inlineStr">
        <is>
          <t>https://www.farmacity.com/ampolla-capilar-farmacity-nutricion-intensa-x-10-ml/p</t>
        </is>
      </c>
      <c r="P743">
        <f>TRIM(CLEAN(PROPER(D743)))</f>
        <v/>
      </c>
      <c r="Q743">
        <f>PROPER(TRIM(SUBSTITUTE(SUBSTITUTE(SUBSTITUTE(SUBSTITUTE(E743,"TRESEMME","Tresemme"),"HEAD &amp; SHOULDERS","Head &amp; Shoulders"),"ELVIVE","Elvive"),"FRUCTIS","Fructis")))</f>
        <v/>
      </c>
      <c r="R743">
        <f>COUNTIF($D$2:$D$10000,D743)&gt;1</f>
        <v/>
      </c>
      <c r="S743">
        <f>IF(H743=TRUE,"Disponible","No disponible")</f>
        <v/>
      </c>
      <c r="T743">
        <f>IF(AND(ISNUMBER(I743),I743&gt;0),ROUND(F743/I743,2),"Sin volumen")</f>
        <v/>
      </c>
      <c r="U743">
        <f>IF(F743&lt;5000,"Bajo",IF(F743&lt;15000,"Medio","Alto"))</f>
        <v/>
      </c>
    </row>
    <row r="744">
      <c r="A744" s="6" t="inlineStr">
        <is>
          <t>Farmacity</t>
        </is>
      </c>
      <c r="B744" s="6" t="n">
        <v>212300</v>
      </c>
      <c r="C744" s="6" t="n">
        <v>212300</v>
      </c>
      <c r="D744" s="6" t="inlineStr">
        <is>
          <t>Ampolla Capilar Farmacity Reparación Profunda x 10 ml</t>
        </is>
      </c>
      <c r="E744" s="6" t="inlineStr">
        <is>
          <t>Farmacity</t>
        </is>
      </c>
      <c r="F744" s="6" t="n">
        <v>3150</v>
      </c>
      <c r="G744" s="6" t="n">
        <v>3150</v>
      </c>
      <c r="H744" s="6" t="b">
        <v>1</v>
      </c>
      <c r="I744" s="6" t="n">
        <v>10</v>
      </c>
      <c r="J744" s="6" t="n">
        <v>315</v>
      </c>
      <c r="K744" s="6" t="inlineStr">
        <is>
          <t>&gt; Cuidado Capilar &gt; Reparación Y Tratamiento &gt;</t>
        </is>
      </c>
      <c r="L744" s="6" t="inlineStr">
        <is>
          <t>shampoo</t>
        </is>
      </c>
      <c r="M744" s="6" t="inlineStr">
        <is>
          <t>estandar</t>
        </is>
      </c>
      <c r="N744" s="6" t="inlineStr">
        <is>
          <t>general</t>
        </is>
      </c>
      <c r="O744" s="6" t="inlineStr">
        <is>
          <t>https://www.farmacity.com/ampolla-capilar-farmacity-reparacion-profunda-x-10-ml/p</t>
        </is>
      </c>
      <c r="P744" s="8">
        <f>TRIM(CLEAN(PROPER(D744)))</f>
        <v/>
      </c>
      <c r="Q744" s="8">
        <f>PROPER(TRIM(SUBSTITUTE(SUBSTITUTE(SUBSTITUTE(SUBSTITUTE(E744,"TRESEMME","Tresemme"),"HEAD &amp; SHOULDERS","Head &amp; Shoulders"),"ELVIVE","Elvive"),"FRUCTIS","Fructis")))</f>
        <v/>
      </c>
      <c r="R744" s="8">
        <f>COUNTIF($D$2:$D$10000,D744)&gt;1</f>
        <v/>
      </c>
      <c r="S744" s="8">
        <f>IF(H744=TRUE,"Disponible","No disponible")</f>
        <v/>
      </c>
      <c r="T744" s="8">
        <f>IF(AND(ISNUMBER(I744),I744&gt;0),ROUND(F744/I744,2),"Sin volumen")</f>
        <v/>
      </c>
      <c r="U744" s="8">
        <f>IF(F744&lt;5000,"Bajo",IF(F744&lt;15000,"Medio","Alto"))</f>
        <v/>
      </c>
    </row>
    <row r="745">
      <c r="A745" t="inlineStr">
        <is>
          <t>Farmacity</t>
        </is>
      </c>
      <c r="B745" t="n">
        <v>248878</v>
      </c>
      <c r="C745" t="n">
        <v>248878</v>
      </c>
      <c r="D745" t="inlineStr">
        <is>
          <t>Cera Capilar Iyosei con Filtro UV x 50 g</t>
        </is>
      </c>
      <c r="E745" t="inlineStr">
        <is>
          <t>Iyosei</t>
        </is>
      </c>
      <c r="F745" t="n">
        <v>9400</v>
      </c>
      <c r="G745" t="n">
        <v>9400</v>
      </c>
      <c r="H745" t="b">
        <v>1</v>
      </c>
      <c r="I745" t="n">
        <v>50</v>
      </c>
      <c r="J745" t="n">
        <v>188</v>
      </c>
      <c r="K745" t="inlineStr">
        <is>
          <t>&gt; Cuidado Capilar &gt; Reparación Y Tratamiento &gt;</t>
        </is>
      </c>
      <c r="L745" t="inlineStr">
        <is>
          <t>shampoo</t>
        </is>
      </c>
      <c r="M745" t="inlineStr">
        <is>
          <t>estandar</t>
        </is>
      </c>
      <c r="N745" t="inlineStr">
        <is>
          <t>general</t>
        </is>
      </c>
      <c r="O745" t="inlineStr">
        <is>
          <t>https://www.farmacity.com/cera-capilar-iyosei-con-filtro-uv-x-50-g/p</t>
        </is>
      </c>
      <c r="P745">
        <f>TRIM(CLEAN(PROPER(D745)))</f>
        <v/>
      </c>
      <c r="Q745">
        <f>PROPER(TRIM(SUBSTITUTE(SUBSTITUTE(SUBSTITUTE(SUBSTITUTE(E745,"TRESEMME","Tresemme"),"HEAD &amp; SHOULDERS","Head &amp; Shoulders"),"ELVIVE","Elvive"),"FRUCTIS","Fructis")))</f>
        <v/>
      </c>
      <c r="R745">
        <f>COUNTIF($D$2:$D$10000,D745)&gt;1</f>
        <v/>
      </c>
      <c r="S745">
        <f>IF(H745=TRUE,"Disponible","No disponible")</f>
        <v/>
      </c>
      <c r="T745">
        <f>IF(AND(ISNUMBER(I745),I745&gt;0),ROUND(F745/I745,2),"Sin volumen")</f>
        <v/>
      </c>
      <c r="U745">
        <f>IF(F745&lt;5000,"Bajo",IF(F745&lt;15000,"Medio","Alto"))</f>
        <v/>
      </c>
    </row>
    <row r="746">
      <c r="A746" s="6" t="inlineStr">
        <is>
          <t>Farmacity</t>
        </is>
      </c>
      <c r="B746" s="6" t="n">
        <v>245148</v>
      </c>
      <c r="C746" s="6" t="n">
        <v>245148</v>
      </c>
      <c r="D746" s="6" t="inlineStr">
        <is>
          <t>Cera Capilar Get The Look x 75 g</t>
        </is>
      </c>
      <c r="E746" s="6" t="inlineStr">
        <is>
          <t>Get the Look</t>
        </is>
      </c>
      <c r="F746" s="6" t="n">
        <v>7623</v>
      </c>
      <c r="G746" s="6" t="n">
        <v>10890</v>
      </c>
      <c r="H746" s="6" t="b">
        <v>1</v>
      </c>
      <c r="I746" s="6" t="n">
        <v>75</v>
      </c>
      <c r="J746" s="6" t="n">
        <v>101.64</v>
      </c>
      <c r="K746" s="6" t="inlineStr">
        <is>
          <t>&gt; Cuidado Capilar &gt; Modelado Y Peinado &gt;</t>
        </is>
      </c>
      <c r="L746" s="6" t="inlineStr">
        <is>
          <t>shampoo</t>
        </is>
      </c>
      <c r="M746" s="6" t="inlineStr">
        <is>
          <t>estandar</t>
        </is>
      </c>
      <c r="N746" s="6" t="inlineStr">
        <is>
          <t>general</t>
        </is>
      </c>
      <c r="O746" s="6" t="inlineStr">
        <is>
          <t>https://www.farmacity.com/cera-capilar-get-the-look-x-75-g/p</t>
        </is>
      </c>
      <c r="P746" s="8">
        <f>TRIM(CLEAN(PROPER(D746)))</f>
        <v/>
      </c>
      <c r="Q746" s="8">
        <f>PROPER(TRIM(SUBSTITUTE(SUBSTITUTE(SUBSTITUTE(SUBSTITUTE(E746,"TRESEMME","Tresemme"),"HEAD &amp; SHOULDERS","Head &amp; Shoulders"),"ELVIVE","Elvive"),"FRUCTIS","Fructis")))</f>
        <v/>
      </c>
      <c r="R746" s="8">
        <f>COUNTIF($D$2:$D$10000,D746)&gt;1</f>
        <v/>
      </c>
      <c r="S746" s="8">
        <f>IF(H746=TRUE,"Disponible","No disponible")</f>
        <v/>
      </c>
      <c r="T746" s="8">
        <f>IF(AND(ISNUMBER(I746),I746&gt;0),ROUND(F746/I746,2),"Sin volumen")</f>
        <v/>
      </c>
      <c r="U746" s="8">
        <f>IF(F746&lt;5000,"Bajo",IF(F746&lt;15000,"Medio","Alto"))</f>
        <v/>
      </c>
    </row>
    <row r="747">
      <c r="A747" t="inlineStr">
        <is>
          <t>Farmacity</t>
        </is>
      </c>
      <c r="B747" t="n">
        <v>250314</v>
      </c>
      <c r="C747" t="n">
        <v>250314</v>
      </c>
      <c r="D747" t="inlineStr">
        <is>
          <t>Sérum Capilar Kerasys Keramide Extrame Damage x 70 ml</t>
        </is>
      </c>
      <c r="E747" t="inlineStr">
        <is>
          <t>Kerasys</t>
        </is>
      </c>
      <c r="F747" t="n">
        <v>65000</v>
      </c>
      <c r="G747" t="n">
        <v>65000</v>
      </c>
      <c r="H747" t="b">
        <v>1</v>
      </c>
      <c r="I747" t="n">
        <v>70</v>
      </c>
      <c r="J747" t="n">
        <v>928.5714</v>
      </c>
      <c r="K747" t="inlineStr">
        <is>
          <t>&gt; Cuidado Capilar &gt; Reparación Y Tratamiento &gt;</t>
        </is>
      </c>
      <c r="L747" t="inlineStr">
        <is>
          <t>shampoo</t>
        </is>
      </c>
      <c r="M747" t="inlineStr">
        <is>
          <t>estandar</t>
        </is>
      </c>
      <c r="N747" t="inlineStr">
        <is>
          <t>general</t>
        </is>
      </c>
      <c r="O747" t="inlineStr">
        <is>
          <t>https://www.farmacity.com/serum-capilar-kerasys-keramide-extrame-damage-x-70-ml/p</t>
        </is>
      </c>
      <c r="P747">
        <f>TRIM(CLEAN(PROPER(D747)))</f>
        <v/>
      </c>
      <c r="Q747">
        <f>PROPER(TRIM(SUBSTITUTE(SUBSTITUTE(SUBSTITUTE(SUBSTITUTE(E747,"TRESEMME","Tresemme"),"HEAD &amp; SHOULDERS","Head &amp; Shoulders"),"ELVIVE","Elvive"),"FRUCTIS","Fructis")))</f>
        <v/>
      </c>
      <c r="R747">
        <f>COUNTIF($D$2:$D$10000,D747)&gt;1</f>
        <v/>
      </c>
      <c r="S747">
        <f>IF(H747=TRUE,"Disponible","No disponible")</f>
        <v/>
      </c>
      <c r="T747">
        <f>IF(AND(ISNUMBER(I747),I747&gt;0),ROUND(F747/I747,2),"Sin volumen")</f>
        <v/>
      </c>
      <c r="U747">
        <f>IF(F747&lt;5000,"Bajo",IF(F747&lt;15000,"Medio","Alto"))</f>
        <v/>
      </c>
    </row>
    <row r="748">
      <c r="A748" s="6" t="inlineStr">
        <is>
          <t>Farmacity</t>
        </is>
      </c>
      <c r="B748" s="6" t="n">
        <v>219379</v>
      </c>
      <c r="C748" s="6" t="n">
        <v>219379</v>
      </c>
      <c r="D748" s="6" t="inlineStr">
        <is>
          <t>Máscara Capilar Alta Moda é Desamarillador Intense Blonde x 300 g</t>
        </is>
      </c>
      <c r="E748" s="6" t="inlineStr">
        <is>
          <t>Alta Moda</t>
        </is>
      </c>
      <c r="F748" s="6" t="n">
        <v>10783</v>
      </c>
      <c r="G748" s="6" t="n">
        <v>10783</v>
      </c>
      <c r="H748" s="6" t="b">
        <v>1</v>
      </c>
      <c r="I748" s="6" t="n">
        <v>300</v>
      </c>
      <c r="J748" s="6" t="n">
        <v>35.9433</v>
      </c>
      <c r="K748" s="6" t="inlineStr">
        <is>
          <t>&gt; Cuidado Capilar &gt; Reparación Y Tratamiento &gt;</t>
        </is>
      </c>
      <c r="L748" s="6" t="inlineStr">
        <is>
          <t>shampoo</t>
        </is>
      </c>
      <c r="M748" s="6" t="inlineStr">
        <is>
          <t>estandar</t>
        </is>
      </c>
      <c r="N748" s="6" t="inlineStr">
        <is>
          <t>general</t>
        </is>
      </c>
      <c r="O748" s="6" t="inlineStr">
        <is>
          <t>https://www.farmacity.com/mascara-alta-moda-e-desamarillador-x-300-g/p</t>
        </is>
      </c>
      <c r="P748" s="8">
        <f>TRIM(CLEAN(PROPER(D748)))</f>
        <v/>
      </c>
      <c r="Q748" s="8">
        <f>PROPER(TRIM(SUBSTITUTE(SUBSTITUTE(SUBSTITUTE(SUBSTITUTE(E748,"TRESEMME","Tresemme"),"HEAD &amp; SHOULDERS","Head &amp; Shoulders"),"ELVIVE","Elvive"),"FRUCTIS","Fructis")))</f>
        <v/>
      </c>
      <c r="R748" s="8">
        <f>COUNTIF($D$2:$D$10000,D748)&gt;1</f>
        <v/>
      </c>
      <c r="S748" s="8">
        <f>IF(H748=TRUE,"Disponible","No disponible")</f>
        <v/>
      </c>
      <c r="T748" s="8">
        <f>IF(AND(ISNUMBER(I748),I748&gt;0),ROUND(F748/I748,2),"Sin volumen")</f>
        <v/>
      </c>
      <c r="U748" s="8">
        <f>IF(F748&lt;5000,"Bajo",IF(F748&lt;15000,"Medio","Alto"))</f>
        <v/>
      </c>
    </row>
    <row r="749">
      <c r="A749" t="inlineStr">
        <is>
          <t>Farmacity</t>
        </is>
      </c>
      <c r="B749" t="n">
        <v>241726</v>
      </c>
      <c r="C749" t="n">
        <v>241726</v>
      </c>
      <c r="D749" t="inlineStr">
        <is>
          <t>Kit Capilar Tresemmé Liso Efecto Botox + Hidratación + Protección</t>
        </is>
      </c>
      <c r="E749" t="inlineStr">
        <is>
          <t>Tresemmé</t>
        </is>
      </c>
      <c r="F749" t="n">
        <v>31192</v>
      </c>
      <c r="G749" t="n">
        <v>51986</v>
      </c>
      <c r="H749" t="b">
        <v>1</v>
      </c>
      <c r="I749" t="inlineStr"/>
      <c r="J749" t="inlineStr"/>
      <c r="K749" t="inlineStr">
        <is>
          <t>&gt; Cuidado Capilar &gt; Reparación Y Tratamiento &gt;</t>
        </is>
      </c>
      <c r="L749" t="inlineStr">
        <is>
          <t>tratamiento</t>
        </is>
      </c>
      <c r="M749" t="inlineStr">
        <is>
          <t>estandar</t>
        </is>
      </c>
      <c r="N749" t="inlineStr">
        <is>
          <t>seco_danado</t>
        </is>
      </c>
      <c r="O749" t="inlineStr">
        <is>
          <t>https://www.farmacity.com/combo-capilar-tresemme-liso-efecto-botox-hidratacion-proteccion/p</t>
        </is>
      </c>
      <c r="P749">
        <f>TRIM(CLEAN(PROPER(D749)))</f>
        <v/>
      </c>
      <c r="Q749">
        <f>PROPER(TRIM(SUBSTITUTE(SUBSTITUTE(SUBSTITUTE(SUBSTITUTE(E749,"TRESEMME","Tresemme"),"HEAD &amp; SHOULDERS","Head &amp; Shoulders"),"ELVIVE","Elvive"),"FRUCTIS","Fructis")))</f>
        <v/>
      </c>
      <c r="R749">
        <f>COUNTIF($D$2:$D$10000,D749)&gt;1</f>
        <v/>
      </c>
      <c r="S749">
        <f>IF(H749=TRUE,"Disponible","No disponible")</f>
        <v/>
      </c>
      <c r="T749">
        <f>IF(AND(ISNUMBER(I749),I749&gt;0),ROUND(F749/I749,2),"Sin volumen")</f>
        <v/>
      </c>
      <c r="U749">
        <f>IF(F749&lt;5000,"Bajo",IF(F749&lt;15000,"Medio","Alto"))</f>
        <v/>
      </c>
    </row>
    <row r="750">
      <c r="A750" s="6" t="inlineStr">
        <is>
          <t>Farmacity</t>
        </is>
      </c>
      <c r="B750" s="6" t="n">
        <v>219378</v>
      </c>
      <c r="C750" s="6" t="n">
        <v>219378</v>
      </c>
      <c r="D750" s="6" t="inlineStr">
        <is>
          <t>Máscara Capilar Alta Moda é Argan Super Oils x 300 g</t>
        </is>
      </c>
      <c r="E750" s="6" t="inlineStr">
        <is>
          <t>Alta Moda</t>
        </is>
      </c>
      <c r="F750" s="6" t="n">
        <v>7273</v>
      </c>
      <c r="G750" s="6" t="n">
        <v>7273</v>
      </c>
      <c r="H750" s="6" t="b">
        <v>1</v>
      </c>
      <c r="I750" s="6" t="n">
        <v>300</v>
      </c>
      <c r="J750" s="6" t="n">
        <v>24.2433</v>
      </c>
      <c r="K750" s="6" t="inlineStr">
        <is>
          <t>&gt; Cuidado Capilar &gt; Reparación Y Tratamiento &gt;</t>
        </is>
      </c>
      <c r="L750" s="6" t="inlineStr">
        <is>
          <t>shampoo</t>
        </is>
      </c>
      <c r="M750" s="6" t="inlineStr">
        <is>
          <t>estandar</t>
        </is>
      </c>
      <c r="N750" s="6" t="inlineStr">
        <is>
          <t>general</t>
        </is>
      </c>
      <c r="O750" s="6" t="inlineStr">
        <is>
          <t>https://www.farmacity.com/mascara-alta-moda-e-argan-therapy-x-300-g/p</t>
        </is>
      </c>
      <c r="P750" s="8">
        <f>TRIM(CLEAN(PROPER(D750)))</f>
        <v/>
      </c>
      <c r="Q750" s="8">
        <f>PROPER(TRIM(SUBSTITUTE(SUBSTITUTE(SUBSTITUTE(SUBSTITUTE(E750,"TRESEMME","Tresemme"),"HEAD &amp; SHOULDERS","Head &amp; Shoulders"),"ELVIVE","Elvive"),"FRUCTIS","Fructis")))</f>
        <v/>
      </c>
      <c r="R750" s="8">
        <f>COUNTIF($D$2:$D$10000,D750)&gt;1</f>
        <v/>
      </c>
      <c r="S750" s="8">
        <f>IF(H750=TRUE,"Disponible","No disponible")</f>
        <v/>
      </c>
      <c r="T750" s="8">
        <f>IF(AND(ISNUMBER(I750),I750&gt;0),ROUND(F750/I750,2),"Sin volumen")</f>
        <v/>
      </c>
      <c r="U750" s="8">
        <f>IF(F750&lt;5000,"Bajo",IF(F750&lt;15000,"Medio","Alto"))</f>
        <v/>
      </c>
    </row>
    <row r="751">
      <c r="A751" t="inlineStr">
        <is>
          <t>Farmacity</t>
        </is>
      </c>
      <c r="B751" t="n">
        <v>226015</v>
      </c>
      <c r="C751" t="n">
        <v>226015</v>
      </c>
      <c r="D751" t="inlineStr">
        <is>
          <t>Máscara Capilar Alta Moda é Repair &amp; Defense x 300 g</t>
        </is>
      </c>
      <c r="E751" t="inlineStr">
        <is>
          <t>Alta Moda</t>
        </is>
      </c>
      <c r="F751" t="n">
        <v>7273</v>
      </c>
      <c r="G751" t="n">
        <v>7273</v>
      </c>
      <c r="H751" t="b">
        <v>1</v>
      </c>
      <c r="I751" t="n">
        <v>300</v>
      </c>
      <c r="J751" t="n">
        <v>24.2433</v>
      </c>
      <c r="K751" t="inlineStr">
        <is>
          <t>&gt; Cuidado Capilar &gt; Reparación Y Tratamiento &gt;</t>
        </is>
      </c>
      <c r="L751" t="inlineStr">
        <is>
          <t>shampoo</t>
        </is>
      </c>
      <c r="M751" t="inlineStr">
        <is>
          <t>profesional</t>
        </is>
      </c>
      <c r="N751" t="inlineStr">
        <is>
          <t>general</t>
        </is>
      </c>
      <c r="O751" t="inlineStr">
        <is>
          <t>https://www.farmacity.com/mascara-capilar-alta-moda-e-repair-y-defense-x-300-g/p</t>
        </is>
      </c>
      <c r="P751">
        <f>TRIM(CLEAN(PROPER(D751)))</f>
        <v/>
      </c>
      <c r="Q751">
        <f>PROPER(TRIM(SUBSTITUTE(SUBSTITUTE(SUBSTITUTE(SUBSTITUTE(E751,"TRESEMME","Tresemme"),"HEAD &amp; SHOULDERS","Head &amp; Shoulders"),"ELVIVE","Elvive"),"FRUCTIS","Fructis")))</f>
        <v/>
      </c>
      <c r="R751">
        <f>COUNTIF($D$2:$D$10000,D751)&gt;1</f>
        <v/>
      </c>
      <c r="S751">
        <f>IF(H751=TRUE,"Disponible","No disponible")</f>
        <v/>
      </c>
      <c r="T751">
        <f>IF(AND(ISNUMBER(I751),I751&gt;0),ROUND(F751/I751,2),"Sin volumen")</f>
        <v/>
      </c>
      <c r="U751">
        <f>IF(F751&lt;5000,"Bajo",IF(F751&lt;15000,"Medio","Alto"))</f>
        <v/>
      </c>
    </row>
    <row r="752">
      <c r="A752" s="6" t="inlineStr">
        <is>
          <t>Farmacity</t>
        </is>
      </c>
      <c r="B752" s="6" t="n">
        <v>245033</v>
      </c>
      <c r="C752" s="6" t="n">
        <v>245033</v>
      </c>
      <c r="D752" s="6" t="inlineStr">
        <is>
          <t>Sérum Capilar Get The Look Ácido Hialurónico x 30 ml</t>
        </is>
      </c>
      <c r="E752" s="6" t="inlineStr">
        <is>
          <t>Get the Look</t>
        </is>
      </c>
      <c r="F752" s="6" t="n">
        <v>8078</v>
      </c>
      <c r="G752" s="6" t="n">
        <v>11540</v>
      </c>
      <c r="H752" s="6" t="b">
        <v>1</v>
      </c>
      <c r="I752" s="6" t="n">
        <v>30</v>
      </c>
      <c r="J752" s="6" t="n">
        <v>269.2667</v>
      </c>
      <c r="K752" s="6" t="inlineStr">
        <is>
          <t>&gt; Cuidado Capilar &gt; Reparación Y Tratamiento &gt;</t>
        </is>
      </c>
      <c r="L752" s="6" t="inlineStr">
        <is>
          <t>shampoo</t>
        </is>
      </c>
      <c r="M752" s="6" t="inlineStr">
        <is>
          <t>estandar</t>
        </is>
      </c>
      <c r="N752" s="6" t="inlineStr">
        <is>
          <t>general</t>
        </is>
      </c>
      <c r="O752" s="6" t="inlineStr">
        <is>
          <t>https://www.farmacity.com/serum-capilar-get-the-look-acido-hialuronico-x-30-ml/p</t>
        </is>
      </c>
      <c r="P752" s="8">
        <f>TRIM(CLEAN(PROPER(D752)))</f>
        <v/>
      </c>
      <c r="Q752" s="8">
        <f>PROPER(TRIM(SUBSTITUTE(SUBSTITUTE(SUBSTITUTE(SUBSTITUTE(E752,"TRESEMME","Tresemme"),"HEAD &amp; SHOULDERS","Head &amp; Shoulders"),"ELVIVE","Elvive"),"FRUCTIS","Fructis")))</f>
        <v/>
      </c>
      <c r="R752" s="8">
        <f>COUNTIF($D$2:$D$10000,D752)&gt;1</f>
        <v/>
      </c>
      <c r="S752" s="8">
        <f>IF(H752=TRUE,"Disponible","No disponible")</f>
        <v/>
      </c>
      <c r="T752" s="8">
        <f>IF(AND(ISNUMBER(I752),I752&gt;0),ROUND(F752/I752,2),"Sin volumen")</f>
        <v/>
      </c>
      <c r="U752" s="8">
        <f>IF(F752&lt;5000,"Bajo",IF(F752&lt;15000,"Medio","Alto"))</f>
        <v/>
      </c>
    </row>
    <row r="753">
      <c r="A753" t="inlineStr">
        <is>
          <t>Farmacity</t>
        </is>
      </c>
      <c r="B753" t="n">
        <v>228733</v>
      </c>
      <c r="C753" t="n">
        <v>228733</v>
      </c>
      <c r="D753" t="inlineStr">
        <is>
          <t>Ampolla Capilar Biferdil Caída del Cabello con Bioxidil x 10 ml</t>
        </is>
      </c>
      <c r="E753" t="inlineStr">
        <is>
          <t>Biferdil</t>
        </is>
      </c>
      <c r="F753" t="n">
        <v>8800</v>
      </c>
      <c r="G753" t="n">
        <v>8800</v>
      </c>
      <c r="H753" t="b">
        <v>1</v>
      </c>
      <c r="I753" t="n">
        <v>10</v>
      </c>
      <c r="J753" t="n">
        <v>880</v>
      </c>
      <c r="K753" t="inlineStr">
        <is>
          <t>&gt; Cuidado Capilar &gt; Reparación Y Tratamiento &gt;</t>
        </is>
      </c>
      <c r="L753" t="inlineStr">
        <is>
          <t>shampoo</t>
        </is>
      </c>
      <c r="M753" t="inlineStr">
        <is>
          <t>estandar</t>
        </is>
      </c>
      <c r="N753" t="inlineStr">
        <is>
          <t>general</t>
        </is>
      </c>
      <c r="O753" t="inlineStr">
        <is>
          <t>https://www.farmacity.com/ampolla-capilar-biferdil-caida-del-cabello-con-bioxidil-x-10-ml/p</t>
        </is>
      </c>
      <c r="P753">
        <f>TRIM(CLEAN(PROPER(D753)))</f>
        <v/>
      </c>
      <c r="Q753">
        <f>PROPER(TRIM(SUBSTITUTE(SUBSTITUTE(SUBSTITUTE(SUBSTITUTE(E753,"TRESEMME","Tresemme"),"HEAD &amp; SHOULDERS","Head &amp; Shoulders"),"ELVIVE","Elvive"),"FRUCTIS","Fructis")))</f>
        <v/>
      </c>
      <c r="R753">
        <f>COUNTIF($D$2:$D$10000,D753)&gt;1</f>
        <v/>
      </c>
      <c r="S753">
        <f>IF(H753=TRUE,"Disponible","No disponible")</f>
        <v/>
      </c>
      <c r="T753">
        <f>IF(AND(ISNUMBER(I753),I753&gt;0),ROUND(F753/I753,2),"Sin volumen")</f>
        <v/>
      </c>
      <c r="U753">
        <f>IF(F753&lt;5000,"Bajo",IF(F753&lt;15000,"Medio","Alto"))</f>
        <v/>
      </c>
    </row>
    <row r="754">
      <c r="A754" s="6" t="inlineStr">
        <is>
          <t>Farmacity</t>
        </is>
      </c>
      <c r="B754" s="6" t="n">
        <v>245035</v>
      </c>
      <c r="C754" s="6" t="n">
        <v>245035</v>
      </c>
      <c r="D754" s="6" t="inlineStr">
        <is>
          <t>Desenredante Capilar Get The Look Hidratación y Suavidad x 125 ml</t>
        </is>
      </c>
      <c r="E754" s="6" t="inlineStr">
        <is>
          <t>Get the Look</t>
        </is>
      </c>
      <c r="F754" s="6" t="n">
        <v>5599</v>
      </c>
      <c r="G754" s="6" t="n">
        <v>7999</v>
      </c>
      <c r="H754" s="6" t="b">
        <v>1</v>
      </c>
      <c r="I754" s="6" t="n">
        <v>125</v>
      </c>
      <c r="J754" s="6" t="n">
        <v>44.792</v>
      </c>
      <c r="K754" s="6" t="inlineStr">
        <is>
          <t>&gt; Cuidado Capilar &gt; Reparación Y Tratamiento &gt;</t>
        </is>
      </c>
      <c r="L754" s="6" t="inlineStr">
        <is>
          <t>shampoo</t>
        </is>
      </c>
      <c r="M754" s="6" t="inlineStr">
        <is>
          <t>estandar</t>
        </is>
      </c>
      <c r="N754" s="6" t="inlineStr">
        <is>
          <t>seco_danado</t>
        </is>
      </c>
      <c r="O754" s="6" t="inlineStr">
        <is>
          <t>https://www.farmacity.com/desenredante-capilar-get-the-look-hidratacion-y-suavidad-x-125-ml/p</t>
        </is>
      </c>
      <c r="P754" s="8">
        <f>TRIM(CLEAN(PROPER(D754)))</f>
        <v/>
      </c>
      <c r="Q754" s="8">
        <f>PROPER(TRIM(SUBSTITUTE(SUBSTITUTE(SUBSTITUTE(SUBSTITUTE(E754,"TRESEMME","Tresemme"),"HEAD &amp; SHOULDERS","Head &amp; Shoulders"),"ELVIVE","Elvive"),"FRUCTIS","Fructis")))</f>
        <v/>
      </c>
      <c r="R754" s="8">
        <f>COUNTIF($D$2:$D$10000,D754)&gt;1</f>
        <v/>
      </c>
      <c r="S754" s="8">
        <f>IF(H754=TRUE,"Disponible","No disponible")</f>
        <v/>
      </c>
      <c r="T754" s="8">
        <f>IF(AND(ISNUMBER(I754),I754&gt;0),ROUND(F754/I754,2),"Sin volumen")</f>
        <v/>
      </c>
      <c r="U754" s="8">
        <f>IF(F754&lt;5000,"Bajo",IF(F754&lt;15000,"Medio","Alto"))</f>
        <v/>
      </c>
    </row>
    <row r="755">
      <c r="A755" t="inlineStr">
        <is>
          <t>Farmacity</t>
        </is>
      </c>
      <c r="B755" t="n">
        <v>245034</v>
      </c>
      <c r="C755" t="n">
        <v>245034</v>
      </c>
      <c r="D755" t="inlineStr">
        <is>
          <t>Óleo Capilar Get The Look Argán y Palta x 50 ml</t>
        </is>
      </c>
      <c r="E755" t="inlineStr">
        <is>
          <t>Get the Look</t>
        </is>
      </c>
      <c r="F755" t="n">
        <v>5495</v>
      </c>
      <c r="G755" t="n">
        <v>10990</v>
      </c>
      <c r="H755" t="b">
        <v>1</v>
      </c>
      <c r="I755" t="n">
        <v>50</v>
      </c>
      <c r="J755" t="n">
        <v>109.9</v>
      </c>
      <c r="K755" t="inlineStr">
        <is>
          <t>&gt; Cuidado Capilar &gt; Reparación Y Tratamiento &gt;</t>
        </is>
      </c>
      <c r="L755" t="inlineStr">
        <is>
          <t>shampoo</t>
        </is>
      </c>
      <c r="M755" t="inlineStr">
        <is>
          <t>estandar</t>
        </is>
      </c>
      <c r="N755" t="inlineStr">
        <is>
          <t>general</t>
        </is>
      </c>
      <c r="O755" t="inlineStr">
        <is>
          <t>https://www.farmacity.com/oleo-capilar-get-the-look-argan-y-palta-x-50-ml/p</t>
        </is>
      </c>
      <c r="P755">
        <f>TRIM(CLEAN(PROPER(D755)))</f>
        <v/>
      </c>
      <c r="Q755">
        <f>PROPER(TRIM(SUBSTITUTE(SUBSTITUTE(SUBSTITUTE(SUBSTITUTE(E755,"TRESEMME","Tresemme"),"HEAD &amp; SHOULDERS","Head &amp; Shoulders"),"ELVIVE","Elvive"),"FRUCTIS","Fructis")))</f>
        <v/>
      </c>
      <c r="R755">
        <f>COUNTIF($D$2:$D$10000,D755)&gt;1</f>
        <v/>
      </c>
      <c r="S755">
        <f>IF(H755=TRUE,"Disponible","No disponible")</f>
        <v/>
      </c>
      <c r="T755">
        <f>IF(AND(ISNUMBER(I755),I755&gt;0),ROUND(F755/I755,2),"Sin volumen")</f>
        <v/>
      </c>
      <c r="U755">
        <f>IF(F755&lt;5000,"Bajo",IF(F755&lt;15000,"Medio","Alto"))</f>
        <v/>
      </c>
    </row>
    <row r="756">
      <c r="A756" s="6" t="inlineStr">
        <is>
          <t>Farmacity</t>
        </is>
      </c>
      <c r="B756" s="6" t="n">
        <v>247380</v>
      </c>
      <c r="C756" s="6" t="n">
        <v>247380</v>
      </c>
      <c r="D756" s="6" t="inlineStr">
        <is>
          <t>Sellador Capilar Get The Look Antifrizz en Spray x 210 ml</t>
        </is>
      </c>
      <c r="E756" s="6" t="inlineStr">
        <is>
          <t>Get the Look</t>
        </is>
      </c>
      <c r="F756" s="6" t="n">
        <v>5395</v>
      </c>
      <c r="G756" s="6" t="n">
        <v>10790</v>
      </c>
      <c r="H756" s="6" t="b">
        <v>1</v>
      </c>
      <c r="I756" s="6" t="n">
        <v>210</v>
      </c>
      <c r="J756" s="6" t="n">
        <v>25.6905</v>
      </c>
      <c r="K756" s="6" t="inlineStr">
        <is>
          <t>&gt; Cuidado Capilar &gt; Reparación Y Tratamiento &gt;</t>
        </is>
      </c>
      <c r="L756" s="6" t="inlineStr">
        <is>
          <t>shampoo</t>
        </is>
      </c>
      <c r="M756" s="6" t="inlineStr">
        <is>
          <t>estandar</t>
        </is>
      </c>
      <c r="N756" s="6" t="inlineStr">
        <is>
          <t>general</t>
        </is>
      </c>
      <c r="O756" s="6" t="inlineStr">
        <is>
          <t>https://www.farmacity.com/spray-sellador-antifrizz-get-the-look-x-210-ml/p</t>
        </is>
      </c>
      <c r="P756" s="8">
        <f>TRIM(CLEAN(PROPER(D756)))</f>
        <v/>
      </c>
      <c r="Q756" s="8">
        <f>PROPER(TRIM(SUBSTITUTE(SUBSTITUTE(SUBSTITUTE(SUBSTITUTE(E756,"TRESEMME","Tresemme"),"HEAD &amp; SHOULDERS","Head &amp; Shoulders"),"ELVIVE","Elvive"),"FRUCTIS","Fructis")))</f>
        <v/>
      </c>
      <c r="R756" s="8">
        <f>COUNTIF($D$2:$D$10000,D756)&gt;1</f>
        <v/>
      </c>
      <c r="S756" s="8">
        <f>IF(H756=TRUE,"Disponible","No disponible")</f>
        <v/>
      </c>
      <c r="T756" s="8">
        <f>IF(AND(ISNUMBER(I756),I756&gt;0),ROUND(F756/I756,2),"Sin volumen")</f>
        <v/>
      </c>
      <c r="U756" s="8">
        <f>IF(F756&lt;5000,"Bajo",IF(F756&lt;15000,"Medio","Alto"))</f>
        <v/>
      </c>
    </row>
    <row r="757">
      <c r="A757" t="inlineStr">
        <is>
          <t>Farmacity</t>
        </is>
      </c>
      <c r="B757" t="n">
        <v>250198</v>
      </c>
      <c r="C757" t="n">
        <v>250198</v>
      </c>
      <c r="D757" t="inlineStr">
        <is>
          <t>Sérum Capilar La Puissance Extra Cell Plex Paso 6 x 55 ml</t>
        </is>
      </c>
      <c r="E757" t="inlineStr">
        <is>
          <t>La Puissance</t>
        </is>
      </c>
      <c r="F757" t="n">
        <v>33900</v>
      </c>
      <c r="G757" t="n">
        <v>33900</v>
      </c>
      <c r="H757" t="b">
        <v>1</v>
      </c>
      <c r="I757" t="n">
        <v>55</v>
      </c>
      <c r="J757" t="n">
        <v>616.3636</v>
      </c>
      <c r="K757" t="inlineStr">
        <is>
          <t>&gt; Cuidado Capilar &gt; Reparación Y Tratamiento &gt;</t>
        </is>
      </c>
      <c r="L757" t="inlineStr">
        <is>
          <t>shampoo</t>
        </is>
      </c>
      <c r="M757" t="inlineStr">
        <is>
          <t>estandar</t>
        </is>
      </c>
      <c r="N757" t="inlineStr">
        <is>
          <t>general</t>
        </is>
      </c>
      <c r="O757" t="inlineStr">
        <is>
          <t>https://www.farmacity.com/serum-capilar-la-puissance-extra-cell-plex-paso-6-x-55-ml/p</t>
        </is>
      </c>
      <c r="P757">
        <f>TRIM(CLEAN(PROPER(D757)))</f>
        <v/>
      </c>
      <c r="Q757">
        <f>PROPER(TRIM(SUBSTITUTE(SUBSTITUTE(SUBSTITUTE(SUBSTITUTE(E757,"TRESEMME","Tresemme"),"HEAD &amp; SHOULDERS","Head &amp; Shoulders"),"ELVIVE","Elvive"),"FRUCTIS","Fructis")))</f>
        <v/>
      </c>
      <c r="R757">
        <f>COUNTIF($D$2:$D$10000,D757)&gt;1</f>
        <v/>
      </c>
      <c r="S757">
        <f>IF(H757=TRUE,"Disponible","No disponible")</f>
        <v/>
      </c>
      <c r="T757">
        <f>IF(AND(ISNUMBER(I757),I757&gt;0),ROUND(F757/I757,2),"Sin volumen")</f>
        <v/>
      </c>
      <c r="U757">
        <f>IF(F757&lt;5000,"Bajo",IF(F757&lt;15000,"Medio","Alto"))</f>
        <v/>
      </c>
    </row>
    <row r="758">
      <c r="A758" s="6" t="inlineStr">
        <is>
          <t>Farmacity</t>
        </is>
      </c>
      <c r="B758" s="6" t="n">
        <v>250196</v>
      </c>
      <c r="C758" s="6" t="n">
        <v>250196</v>
      </c>
      <c r="D758" s="6" t="inlineStr">
        <is>
          <t>Mascarilla Capilar La Puissance Extra Cell Plex Paso 3 x 250 ml</t>
        </is>
      </c>
      <c r="E758" s="6" t="inlineStr">
        <is>
          <t>La Puissance</t>
        </is>
      </c>
      <c r="F758" s="6" t="n">
        <v>42600</v>
      </c>
      <c r="G758" s="6" t="n">
        <v>42600</v>
      </c>
      <c r="H758" s="6" t="b">
        <v>1</v>
      </c>
      <c r="I758" s="6" t="n">
        <v>250</v>
      </c>
      <c r="J758" s="6" t="n">
        <v>170.4</v>
      </c>
      <c r="K758" s="6" t="inlineStr">
        <is>
          <t>&gt; Cuidado Capilar &gt; Reparación Y Tratamiento &gt;</t>
        </is>
      </c>
      <c r="L758" s="6" t="inlineStr">
        <is>
          <t>tratamiento</t>
        </is>
      </c>
      <c r="M758" s="6" t="inlineStr">
        <is>
          <t>estandar</t>
        </is>
      </c>
      <c r="N758" s="6" t="inlineStr">
        <is>
          <t>general</t>
        </is>
      </c>
      <c r="O758" s="6" t="inlineStr">
        <is>
          <t>https://www.farmacity.com/mascarilla-capilar-la-puissance-extra-cell-plex-paso-3-x-250-ml/p</t>
        </is>
      </c>
      <c r="P758" s="8">
        <f>TRIM(CLEAN(PROPER(D758)))</f>
        <v/>
      </c>
      <c r="Q758" s="8">
        <f>PROPER(TRIM(SUBSTITUTE(SUBSTITUTE(SUBSTITUTE(SUBSTITUTE(E758,"TRESEMME","Tresemme"),"HEAD &amp; SHOULDERS","Head &amp; Shoulders"),"ELVIVE","Elvive"),"FRUCTIS","Fructis")))</f>
        <v/>
      </c>
      <c r="R758" s="8">
        <f>COUNTIF($D$2:$D$10000,D758)&gt;1</f>
        <v/>
      </c>
      <c r="S758" s="8">
        <f>IF(H758=TRUE,"Disponible","No disponible")</f>
        <v/>
      </c>
      <c r="T758" s="8">
        <f>IF(AND(ISNUMBER(I758),I758&gt;0),ROUND(F758/I758,2),"Sin volumen")</f>
        <v/>
      </c>
      <c r="U758" s="8">
        <f>IF(F758&lt;5000,"Bajo",IF(F758&lt;15000,"Medio","Alto"))</f>
        <v/>
      </c>
    </row>
    <row r="759">
      <c r="A759" t="inlineStr">
        <is>
          <t>Farmacity</t>
        </is>
      </c>
      <c r="B759" t="n">
        <v>246481</v>
      </c>
      <c r="C759" t="n">
        <v>246481</v>
      </c>
      <c r="D759" t="inlineStr">
        <is>
          <t>Shampoo Dove Uv Repair &amp; Glow x 200 ml</t>
        </is>
      </c>
      <c r="E759" t="inlineStr">
        <is>
          <t>Dove</t>
        </is>
      </c>
      <c r="F759" t="n">
        <v>6418</v>
      </c>
      <c r="G759" t="n">
        <v>6418</v>
      </c>
      <c r="H759" t="b">
        <v>1</v>
      </c>
      <c r="I759" t="n">
        <v>200</v>
      </c>
      <c r="J759" t="n">
        <v>32.09</v>
      </c>
      <c r="K759" t="inlineStr">
        <is>
          <t>&gt; Cuidado Capilar &gt; Shampoo Y Acondicionador &gt;</t>
        </is>
      </c>
      <c r="L759" t="inlineStr">
        <is>
          <t>shampoo</t>
        </is>
      </c>
      <c r="M759" t="inlineStr">
        <is>
          <t>profesional</t>
        </is>
      </c>
      <c r="N759" t="inlineStr">
        <is>
          <t>general</t>
        </is>
      </c>
      <c r="O759" t="inlineStr">
        <is>
          <t>https://www.farmacity.com/shampoo-dove-uv-repair-x-200-ml/p</t>
        </is>
      </c>
      <c r="P759">
        <f>TRIM(CLEAN(PROPER(D759)))</f>
        <v/>
      </c>
      <c r="Q759">
        <f>PROPER(TRIM(SUBSTITUTE(SUBSTITUTE(SUBSTITUTE(SUBSTITUTE(E759,"TRESEMME","Tresemme"),"HEAD &amp; SHOULDERS","Head &amp; Shoulders"),"ELVIVE","Elvive"),"FRUCTIS","Fructis")))</f>
        <v/>
      </c>
      <c r="R759">
        <f>COUNTIF($D$2:$D$10000,D759)&gt;1</f>
        <v/>
      </c>
      <c r="S759">
        <f>IF(H759=TRUE,"Disponible","No disponible")</f>
        <v/>
      </c>
      <c r="T759">
        <f>IF(AND(ISNUMBER(I759),I759&gt;0),ROUND(F759/I759,2),"Sin volumen")</f>
        <v/>
      </c>
      <c r="U759">
        <f>IF(F759&lt;5000,"Bajo",IF(F759&lt;15000,"Medio","Alto"))</f>
        <v/>
      </c>
    </row>
    <row r="760">
      <c r="A760" s="6" t="inlineStr">
        <is>
          <t>Farmacity</t>
        </is>
      </c>
      <c r="B760" s="6" t="n">
        <v>215075</v>
      </c>
      <c r="C760" s="6" t="n">
        <v>215075</v>
      </c>
      <c r="D760" s="6" t="inlineStr">
        <is>
          <t>Shampoo Dove Regeneración + Retinol x 200 ml</t>
        </is>
      </c>
      <c r="E760" s="6" t="inlineStr">
        <is>
          <t>Dove</t>
        </is>
      </c>
      <c r="F760" s="6" t="n">
        <v>5788</v>
      </c>
      <c r="G760" s="6" t="n">
        <v>5788</v>
      </c>
      <c r="H760" s="6" t="b">
        <v>1</v>
      </c>
      <c r="I760" s="6" t="n">
        <v>200</v>
      </c>
      <c r="J760" s="6" t="n">
        <v>28.94</v>
      </c>
      <c r="K760" s="6" t="inlineStr">
        <is>
          <t>&gt; Cuidado Capilar &gt; Shampoo Y Acondicionador &gt;</t>
        </is>
      </c>
      <c r="L760" s="6" t="inlineStr">
        <is>
          <t>shampoo</t>
        </is>
      </c>
      <c r="M760" s="6" t="inlineStr">
        <is>
          <t>estandar</t>
        </is>
      </c>
      <c r="N760" s="6" t="inlineStr">
        <is>
          <t>general</t>
        </is>
      </c>
      <c r="O760" s="6" t="inlineStr">
        <is>
          <t>https://www.farmacity.com/shampoo-dove-regeneracion-extrema-x-200-ml/p</t>
        </is>
      </c>
      <c r="P760" s="8">
        <f>TRIM(CLEAN(PROPER(D760)))</f>
        <v/>
      </c>
      <c r="Q760" s="8">
        <f>PROPER(TRIM(SUBSTITUTE(SUBSTITUTE(SUBSTITUTE(SUBSTITUTE(E760,"TRESEMME","Tresemme"),"HEAD &amp; SHOULDERS","Head &amp; Shoulders"),"ELVIVE","Elvive"),"FRUCTIS","Fructis")))</f>
        <v/>
      </c>
      <c r="R760" s="8">
        <f>COUNTIF($D$2:$D$10000,D760)&gt;1</f>
        <v/>
      </c>
      <c r="S760" s="8">
        <f>IF(H760=TRUE,"Disponible","No disponible")</f>
        <v/>
      </c>
      <c r="T760" s="8">
        <f>IF(AND(ISNUMBER(I760),I760&gt;0),ROUND(F760/I760,2),"Sin volumen")</f>
        <v/>
      </c>
      <c r="U760" s="8">
        <f>IF(F760&lt;5000,"Bajo",IF(F760&lt;15000,"Medio","Alto"))</f>
        <v/>
      </c>
    </row>
    <row r="761">
      <c r="A761" t="inlineStr">
        <is>
          <t>Farmacity</t>
        </is>
      </c>
      <c r="B761" t="n">
        <v>230610</v>
      </c>
      <c r="C761" t="n">
        <v>230610</v>
      </c>
      <c r="D761" t="inlineStr">
        <is>
          <t>Shampoo Tresemmé Liso Efecto Botox x 250 ml</t>
        </is>
      </c>
      <c r="E761" t="inlineStr">
        <is>
          <t>Tresemmé</t>
        </is>
      </c>
      <c r="F761" t="n">
        <v>6091</v>
      </c>
      <c r="G761" t="n">
        <v>6091</v>
      </c>
      <c r="H761" t="b">
        <v>1</v>
      </c>
      <c r="I761" t="n">
        <v>250</v>
      </c>
      <c r="J761" t="n">
        <v>24.364</v>
      </c>
      <c r="K761" t="inlineStr">
        <is>
          <t>&gt; Cuidado Capilar &gt; Shampoo Y Acondicionador &gt;</t>
        </is>
      </c>
      <c r="L761" t="inlineStr">
        <is>
          <t>shampoo</t>
        </is>
      </c>
      <c r="M761" t="inlineStr">
        <is>
          <t>estandar</t>
        </is>
      </c>
      <c r="N761" t="inlineStr">
        <is>
          <t>general</t>
        </is>
      </c>
      <c r="O761" t="inlineStr">
        <is>
          <t>https://www.farmacity.com/shampoo-tresemme-liso-efecto-botox-x-250-ml/p</t>
        </is>
      </c>
      <c r="P761">
        <f>TRIM(CLEAN(PROPER(D761)))</f>
        <v/>
      </c>
      <c r="Q761">
        <f>PROPER(TRIM(SUBSTITUTE(SUBSTITUTE(SUBSTITUTE(SUBSTITUTE(E761,"TRESEMME","Tresemme"),"HEAD &amp; SHOULDERS","Head &amp; Shoulders"),"ELVIVE","Elvive"),"FRUCTIS","Fructis")))</f>
        <v/>
      </c>
      <c r="R761">
        <f>COUNTIF($D$2:$D$10000,D761)&gt;1</f>
        <v/>
      </c>
      <c r="S761">
        <f>IF(H761=TRUE,"Disponible","No disponible")</f>
        <v/>
      </c>
      <c r="T761">
        <f>IF(AND(ISNUMBER(I761),I761&gt;0),ROUND(F761/I761,2),"Sin volumen")</f>
        <v/>
      </c>
      <c r="U761">
        <f>IF(F761&lt;5000,"Bajo",IF(F761&lt;15000,"Medio","Alto"))</f>
        <v/>
      </c>
    </row>
    <row r="762">
      <c r="A762" s="6" t="inlineStr">
        <is>
          <t>Farmacity</t>
        </is>
      </c>
      <c r="B762" s="6" t="n">
        <v>247379</v>
      </c>
      <c r="C762" s="6" t="n">
        <v>247379</v>
      </c>
      <c r="D762" s="6" t="inlineStr">
        <is>
          <t>Serum Capilar de Brillo Get The Look con Acido Glicolico y Filtro UV x 95 ml</t>
        </is>
      </c>
      <c r="E762" s="6" t="inlineStr">
        <is>
          <t>Get the Look</t>
        </is>
      </c>
      <c r="F762" s="6" t="n">
        <v>7200</v>
      </c>
      <c r="G762" s="6" t="n">
        <v>14400</v>
      </c>
      <c r="H762" s="6" t="b">
        <v>1</v>
      </c>
      <c r="I762" s="6" t="n">
        <v>95</v>
      </c>
      <c r="J762" s="6" t="n">
        <v>75.7895</v>
      </c>
      <c r="K762" s="6" t="inlineStr">
        <is>
          <t>&gt; Cuidado Capilar &gt; Reparación Y Tratamiento &gt;</t>
        </is>
      </c>
      <c r="L762" s="6" t="inlineStr">
        <is>
          <t>shampoo</t>
        </is>
      </c>
      <c r="M762" s="6" t="inlineStr">
        <is>
          <t>estandar</t>
        </is>
      </c>
      <c r="N762" s="6" t="inlineStr">
        <is>
          <t>general</t>
        </is>
      </c>
      <c r="O762" s="6" t="inlineStr">
        <is>
          <t>https://www.farmacity.com/serum-de-brillo-get-the-look-con-acido-glicolico-y-filtro-uv-x-95-ml/p</t>
        </is>
      </c>
      <c r="P762" s="8">
        <f>TRIM(CLEAN(PROPER(D762)))</f>
        <v/>
      </c>
      <c r="Q762" s="8">
        <f>PROPER(TRIM(SUBSTITUTE(SUBSTITUTE(SUBSTITUTE(SUBSTITUTE(E762,"TRESEMME","Tresemme"),"HEAD &amp; SHOULDERS","Head &amp; Shoulders"),"ELVIVE","Elvive"),"FRUCTIS","Fructis")))</f>
        <v/>
      </c>
      <c r="R762" s="8">
        <f>COUNTIF($D$2:$D$10000,D762)&gt;1</f>
        <v/>
      </c>
      <c r="S762" s="8">
        <f>IF(H762=TRUE,"Disponible","No disponible")</f>
        <v/>
      </c>
      <c r="T762" s="8">
        <f>IF(AND(ISNUMBER(I762),I762&gt;0),ROUND(F762/I762,2),"Sin volumen")</f>
        <v/>
      </c>
      <c r="U762" s="8">
        <f>IF(F762&lt;5000,"Bajo",IF(F762&lt;15000,"Medio","Alto"))</f>
        <v/>
      </c>
    </row>
    <row r="763">
      <c r="A763" t="inlineStr">
        <is>
          <t>Farmacity</t>
        </is>
      </c>
      <c r="B763" t="n">
        <v>237879</v>
      </c>
      <c r="C763" t="n">
        <v>237879</v>
      </c>
      <c r="D763" t="inlineStr">
        <is>
          <t>Shampoo Capilatis Ortiga Concentrado Graso x 420 ml</t>
        </is>
      </c>
      <c r="E763" t="inlineStr">
        <is>
          <t>Capilatis</t>
        </is>
      </c>
      <c r="F763" t="n">
        <v>7575</v>
      </c>
      <c r="G763" t="n">
        <v>10100</v>
      </c>
      <c r="H763" t="b">
        <v>1</v>
      </c>
      <c r="I763" t="n">
        <v>420</v>
      </c>
      <c r="J763" t="n">
        <v>18.0357</v>
      </c>
      <c r="K763" t="inlineStr">
        <is>
          <t>&gt; Cuidado Capilar &gt; Shampoo Y Acondicionador &gt;</t>
        </is>
      </c>
      <c r="L763" t="inlineStr">
        <is>
          <t>shampoo</t>
        </is>
      </c>
      <c r="M763" t="inlineStr">
        <is>
          <t>estandar</t>
        </is>
      </c>
      <c r="N763" t="inlineStr">
        <is>
          <t>graso</t>
        </is>
      </c>
      <c r="O763" t="inlineStr">
        <is>
          <t>https://www.farmacity.com/shampoo-capilatis-ortiga-concentrado-graso-x-420-ml/p</t>
        </is>
      </c>
      <c r="P763">
        <f>TRIM(CLEAN(PROPER(D763)))</f>
        <v/>
      </c>
      <c r="Q763">
        <f>PROPER(TRIM(SUBSTITUTE(SUBSTITUTE(SUBSTITUTE(SUBSTITUTE(E763,"TRESEMME","Tresemme"),"HEAD &amp; SHOULDERS","Head &amp; Shoulders"),"ELVIVE","Elvive"),"FRUCTIS","Fructis")))</f>
        <v/>
      </c>
      <c r="R763">
        <f>COUNTIF($D$2:$D$10000,D763)&gt;1</f>
        <v/>
      </c>
      <c r="S763">
        <f>IF(H763=TRUE,"Disponible","No disponible")</f>
        <v/>
      </c>
      <c r="T763">
        <f>IF(AND(ISNUMBER(I763),I763&gt;0),ROUND(F763/I763,2),"Sin volumen")</f>
        <v/>
      </c>
      <c r="U763">
        <f>IF(F763&lt;5000,"Bajo",IF(F763&lt;15000,"Medio","Alto"))</f>
        <v/>
      </c>
    </row>
    <row r="764">
      <c r="A764" s="6" t="inlineStr">
        <is>
          <t>Farmacity</t>
        </is>
      </c>
      <c r="B764" s="6" t="n">
        <v>237881</v>
      </c>
      <c r="C764" s="6" t="n">
        <v>237881</v>
      </c>
      <c r="D764" s="6" t="inlineStr">
        <is>
          <t>Shampoo Capilatis Ortiga Concentrado Caspa x 420 ml</t>
        </is>
      </c>
      <c r="E764" s="6" t="inlineStr">
        <is>
          <t>Capilatis</t>
        </is>
      </c>
      <c r="F764" s="6" t="n">
        <v>10800</v>
      </c>
      <c r="G764" s="6" t="n">
        <v>10800</v>
      </c>
      <c r="H764" s="6" t="b">
        <v>1</v>
      </c>
      <c r="I764" s="6" t="n">
        <v>420</v>
      </c>
      <c r="J764" s="6" t="n">
        <v>25.7143</v>
      </c>
      <c r="K764" s="6" t="inlineStr">
        <is>
          <t>&gt; Cuidado Capilar &gt; Shampoo Y Acondicionador &gt;</t>
        </is>
      </c>
      <c r="L764" s="6" t="inlineStr">
        <is>
          <t>shampoo</t>
        </is>
      </c>
      <c r="M764" s="6" t="inlineStr">
        <is>
          <t>estandar</t>
        </is>
      </c>
      <c r="N764" s="6" t="inlineStr">
        <is>
          <t>anticaspa</t>
        </is>
      </c>
      <c r="O764" s="6" t="inlineStr">
        <is>
          <t>https://www.farmacity.com/shampoo-capilatis-ortiga-concentrado-caspa-x-420-ml/p</t>
        </is>
      </c>
      <c r="P764" s="8">
        <f>TRIM(CLEAN(PROPER(D764)))</f>
        <v/>
      </c>
      <c r="Q764" s="8">
        <f>PROPER(TRIM(SUBSTITUTE(SUBSTITUTE(SUBSTITUTE(SUBSTITUTE(E764,"TRESEMME","Tresemme"),"HEAD &amp; SHOULDERS","Head &amp; Shoulders"),"ELVIVE","Elvive"),"FRUCTIS","Fructis")))</f>
        <v/>
      </c>
      <c r="R764" s="8">
        <f>COUNTIF($D$2:$D$10000,D764)&gt;1</f>
        <v/>
      </c>
      <c r="S764" s="8">
        <f>IF(H764=TRUE,"Disponible","No disponible")</f>
        <v/>
      </c>
      <c r="T764" s="8">
        <f>IF(AND(ISNUMBER(I764),I764&gt;0),ROUND(F764/I764,2),"Sin volumen")</f>
        <v/>
      </c>
      <c r="U764" s="8">
        <f>IF(F764&lt;5000,"Bajo",IF(F764&lt;15000,"Medio","Alto"))</f>
        <v/>
      </c>
    </row>
    <row r="765">
      <c r="A765" t="inlineStr">
        <is>
          <t>Farmacity</t>
        </is>
      </c>
      <c r="B765" t="n">
        <v>241008</v>
      </c>
      <c r="C765" t="n">
        <v>241008</v>
      </c>
      <c r="D765" t="inlineStr">
        <is>
          <t>Shampoo Dove Bond Repair + Péptido x 400 ml</t>
        </is>
      </c>
      <c r="E765" t="inlineStr">
        <is>
          <t>Dove</t>
        </is>
      </c>
      <c r="F765" t="n">
        <v>6453</v>
      </c>
      <c r="G765" t="n">
        <v>10755</v>
      </c>
      <c r="H765" t="b">
        <v>1</v>
      </c>
      <c r="I765" t="n">
        <v>400</v>
      </c>
      <c r="J765" t="n">
        <v>16.1325</v>
      </c>
      <c r="K765" t="inlineStr">
        <is>
          <t>&gt; Cuidado Capilar &gt; Shampoo Y Acondicionador &gt;</t>
        </is>
      </c>
      <c r="L765" t="inlineStr">
        <is>
          <t>shampoo</t>
        </is>
      </c>
      <c r="M765" t="inlineStr">
        <is>
          <t>profesional</t>
        </is>
      </c>
      <c r="N765" t="inlineStr">
        <is>
          <t>general</t>
        </is>
      </c>
      <c r="O765" t="inlineStr">
        <is>
          <t>https://www.farmacity.com/shampo-dove-bond-intense-repair-x-400-ml/p</t>
        </is>
      </c>
      <c r="P765">
        <f>TRIM(CLEAN(PROPER(D765)))</f>
        <v/>
      </c>
      <c r="Q765">
        <f>PROPER(TRIM(SUBSTITUTE(SUBSTITUTE(SUBSTITUTE(SUBSTITUTE(E765,"TRESEMME","Tresemme"),"HEAD &amp; SHOULDERS","Head &amp; Shoulders"),"ELVIVE","Elvive"),"FRUCTIS","Fructis")))</f>
        <v/>
      </c>
      <c r="R765">
        <f>COUNTIF($D$2:$D$10000,D765)&gt;1</f>
        <v/>
      </c>
      <c r="S765">
        <f>IF(H765=TRUE,"Disponible","No disponible")</f>
        <v/>
      </c>
      <c r="T765">
        <f>IF(AND(ISNUMBER(I765),I765&gt;0),ROUND(F765/I765,2),"Sin volumen")</f>
        <v/>
      </c>
      <c r="U765">
        <f>IF(F765&lt;5000,"Bajo",IF(F765&lt;15000,"Medio","Alto"))</f>
        <v/>
      </c>
    </row>
    <row r="766">
      <c r="A766" s="6" t="inlineStr">
        <is>
          <t>Farmacity</t>
        </is>
      </c>
      <c r="B766" s="6" t="n">
        <v>215076</v>
      </c>
      <c r="C766" s="6" t="n">
        <v>215076</v>
      </c>
      <c r="D766" s="6" t="inlineStr">
        <is>
          <t>Shampoo Dove Regeneración + Retinol x 400 ml</t>
        </is>
      </c>
      <c r="E766" s="6" t="inlineStr">
        <is>
          <t>Dove</t>
        </is>
      </c>
      <c r="F766" s="6" t="n">
        <v>5812</v>
      </c>
      <c r="G766" s="6" t="n">
        <v>9687</v>
      </c>
      <c r="H766" s="6" t="b">
        <v>1</v>
      </c>
      <c r="I766" s="6" t="n">
        <v>400</v>
      </c>
      <c r="J766" s="6" t="n">
        <v>14.53</v>
      </c>
      <c r="K766" s="6" t="inlineStr">
        <is>
          <t>&gt; Cuidado Capilar &gt; Shampoo Y Acondicionador &gt;</t>
        </is>
      </c>
      <c r="L766" s="6" t="inlineStr">
        <is>
          <t>shampoo</t>
        </is>
      </c>
      <c r="M766" s="6" t="inlineStr">
        <is>
          <t>estandar</t>
        </is>
      </c>
      <c r="N766" s="6" t="inlineStr">
        <is>
          <t>general</t>
        </is>
      </c>
      <c r="O766" s="6" t="inlineStr">
        <is>
          <t>https://www.farmacity.com/shampoo-dove-regeneracion-extrema-x-400-ml/p</t>
        </is>
      </c>
      <c r="P766" s="8">
        <f>TRIM(CLEAN(PROPER(D766)))</f>
        <v/>
      </c>
      <c r="Q766" s="8">
        <f>PROPER(TRIM(SUBSTITUTE(SUBSTITUTE(SUBSTITUTE(SUBSTITUTE(E766,"TRESEMME","Tresemme"),"HEAD &amp; SHOULDERS","Head &amp; Shoulders"),"ELVIVE","Elvive"),"FRUCTIS","Fructis")))</f>
        <v/>
      </c>
      <c r="R766" s="8">
        <f>COUNTIF($D$2:$D$10000,D766)&gt;1</f>
        <v/>
      </c>
      <c r="S766" s="8">
        <f>IF(H766=TRUE,"Disponible","No disponible")</f>
        <v/>
      </c>
      <c r="T766" s="8">
        <f>IF(AND(ISNUMBER(I766),I766&gt;0),ROUND(F766/I766,2),"Sin volumen")</f>
        <v/>
      </c>
      <c r="U766" s="8">
        <f>IF(F766&lt;5000,"Bajo",IF(F766&lt;15000,"Medio","Alto"))</f>
        <v/>
      </c>
    </row>
    <row r="767">
      <c r="A767" t="inlineStr">
        <is>
          <t>Farmacity</t>
        </is>
      </c>
      <c r="B767" t="n">
        <v>953</v>
      </c>
      <c r="C767" t="n">
        <v>128825</v>
      </c>
      <c r="D767" t="inlineStr">
        <is>
          <t>Shampoo Dove Reconstrucción + Aminoácido x 200 ml</t>
        </is>
      </c>
      <c r="E767" t="inlineStr">
        <is>
          <t>Dove</t>
        </is>
      </c>
      <c r="F767" t="n">
        <v>5788</v>
      </c>
      <c r="G767" t="n">
        <v>5788</v>
      </c>
      <c r="H767" t="b">
        <v>1</v>
      </c>
      <c r="I767" t="n">
        <v>200</v>
      </c>
      <c r="J767" t="n">
        <v>28.94</v>
      </c>
      <c r="K767" t="inlineStr">
        <is>
          <t>&gt; Cuidado Capilar &gt; Shampoo Y Acondicionador &gt;</t>
        </is>
      </c>
      <c r="L767" t="inlineStr">
        <is>
          <t>shampoo</t>
        </is>
      </c>
      <c r="M767" t="inlineStr">
        <is>
          <t>estandar</t>
        </is>
      </c>
      <c r="N767" t="inlineStr">
        <is>
          <t>general</t>
        </is>
      </c>
      <c r="O767" t="inlineStr">
        <is>
          <t>https://www.farmacity.com/shampoo-dove-reconstruccion-completa-botella-x-200-ml/p</t>
        </is>
      </c>
      <c r="P767">
        <f>TRIM(CLEAN(PROPER(D767)))</f>
        <v/>
      </c>
      <c r="Q767">
        <f>PROPER(TRIM(SUBSTITUTE(SUBSTITUTE(SUBSTITUTE(SUBSTITUTE(E767,"TRESEMME","Tresemme"),"HEAD &amp; SHOULDERS","Head &amp; Shoulders"),"ELVIVE","Elvive"),"FRUCTIS","Fructis")))</f>
        <v/>
      </c>
      <c r="R767">
        <f>COUNTIF($D$2:$D$10000,D767)&gt;1</f>
        <v/>
      </c>
      <c r="S767">
        <f>IF(H767=TRUE,"Disponible","No disponible")</f>
        <v/>
      </c>
      <c r="T767">
        <f>IF(AND(ISNUMBER(I767),I767&gt;0),ROUND(F767/I767,2),"Sin volumen")</f>
        <v/>
      </c>
      <c r="U767">
        <f>IF(F767&lt;5000,"Bajo",IF(F767&lt;15000,"Medio","Alto"))</f>
        <v/>
      </c>
    </row>
    <row r="768">
      <c r="A768" s="6" t="inlineStr">
        <is>
          <t>Farmacity</t>
        </is>
      </c>
      <c r="B768" s="6" t="n">
        <v>224347</v>
      </c>
      <c r="C768" s="6" t="n">
        <v>224347</v>
      </c>
      <c r="D768" s="6" t="inlineStr">
        <is>
          <t>Mascarilla Fructis Hair Food Sandia x 350 ml</t>
        </is>
      </c>
      <c r="E768" s="6" t="inlineStr">
        <is>
          <t>Fructis</t>
        </is>
      </c>
      <c r="F768" s="6" t="n">
        <v>13990</v>
      </c>
      <c r="G768" s="6" t="n">
        <v>13990</v>
      </c>
      <c r="H768" s="6" t="b">
        <v>1</v>
      </c>
      <c r="I768" s="6" t="n">
        <v>350</v>
      </c>
      <c r="J768" s="6" t="n">
        <v>39.9714</v>
      </c>
      <c r="K768" s="6" t="inlineStr">
        <is>
          <t>&gt; Cuidado Capilar &gt; Reparación Y Tratamiento &gt;</t>
        </is>
      </c>
      <c r="L768" s="6" t="inlineStr">
        <is>
          <t>tratamiento</t>
        </is>
      </c>
      <c r="M768" s="6" t="inlineStr">
        <is>
          <t>estandar</t>
        </is>
      </c>
      <c r="N768" s="6" t="inlineStr">
        <is>
          <t>general</t>
        </is>
      </c>
      <c r="O768" s="6" t="inlineStr">
        <is>
          <t>https://www.farmacity.com/tratamiento-capilar-garnier-fructis-hair-food-sandia-revitalizante-x-300-ml/p</t>
        </is>
      </c>
      <c r="P768" s="8">
        <f>TRIM(CLEAN(PROPER(D768)))</f>
        <v/>
      </c>
      <c r="Q768" s="8">
        <f>PROPER(TRIM(SUBSTITUTE(SUBSTITUTE(SUBSTITUTE(SUBSTITUTE(E768,"TRESEMME","Tresemme"),"HEAD &amp; SHOULDERS","Head &amp; Shoulders"),"ELVIVE","Elvive"),"FRUCTIS","Fructis")))</f>
        <v/>
      </c>
      <c r="R768" s="8">
        <f>COUNTIF($D$2:$D$10000,D768)&gt;1</f>
        <v/>
      </c>
      <c r="S768" s="8">
        <f>IF(H768=TRUE,"Disponible","No disponible")</f>
        <v/>
      </c>
      <c r="T768" s="8">
        <f>IF(AND(ISNUMBER(I768),I768&gt;0),ROUND(F768/I768,2),"Sin volumen")</f>
        <v/>
      </c>
      <c r="U768" s="8">
        <f>IF(F768&lt;5000,"Bajo",IF(F768&lt;15000,"Medio","Alto"))</f>
        <v/>
      </c>
    </row>
    <row r="769">
      <c r="A769" t="inlineStr">
        <is>
          <t>Farmacity</t>
        </is>
      </c>
      <c r="B769" t="n">
        <v>1013</v>
      </c>
      <c r="C769" t="n">
        <v>101809</v>
      </c>
      <c r="D769" t="inlineStr">
        <is>
          <t>Mascarilla Elvive Colorvive x 300 g</t>
        </is>
      </c>
      <c r="E769" t="inlineStr">
        <is>
          <t>Elvive</t>
        </is>
      </c>
      <c r="F769" t="n">
        <v>11190</v>
      </c>
      <c r="G769" t="n">
        <v>11190</v>
      </c>
      <c r="H769" t="b">
        <v>1</v>
      </c>
      <c r="I769" t="n">
        <v>300</v>
      </c>
      <c r="J769" t="n">
        <v>37.3</v>
      </c>
      <c r="K769" t="inlineStr">
        <is>
          <t>&gt; Cuidado Capilar &gt; Reparación Y Tratamiento &gt;</t>
        </is>
      </c>
      <c r="L769" t="inlineStr">
        <is>
          <t>tratamiento</t>
        </is>
      </c>
      <c r="M769" t="inlineStr">
        <is>
          <t>profesional</t>
        </is>
      </c>
      <c r="N769" t="inlineStr">
        <is>
          <t>tratado</t>
        </is>
      </c>
      <c r="O769" t="inlineStr">
        <is>
          <t>https://www.farmacity.com/colorvive-crema-de-tratamiento-x-300-ml/p</t>
        </is>
      </c>
      <c r="P769">
        <f>TRIM(CLEAN(PROPER(D769)))</f>
        <v/>
      </c>
      <c r="Q769">
        <f>PROPER(TRIM(SUBSTITUTE(SUBSTITUTE(SUBSTITUTE(SUBSTITUTE(E769,"TRESEMME","Tresemme"),"HEAD &amp; SHOULDERS","Head &amp; Shoulders"),"ELVIVE","Elvive"),"FRUCTIS","Fructis")))</f>
        <v/>
      </c>
      <c r="R769">
        <f>COUNTIF($D$2:$D$10000,D769)&gt;1</f>
        <v/>
      </c>
      <c r="S769">
        <f>IF(H769=TRUE,"Disponible","No disponible")</f>
        <v/>
      </c>
      <c r="T769">
        <f>IF(AND(ISNUMBER(I769),I769&gt;0),ROUND(F769/I769,2),"Sin volumen")</f>
        <v/>
      </c>
      <c r="U769">
        <f>IF(F769&lt;5000,"Bajo",IF(F769&lt;15000,"Medio","Alto"))</f>
        <v/>
      </c>
    </row>
    <row r="770">
      <c r="A770" s="6" t="inlineStr">
        <is>
          <t>Farmacity</t>
        </is>
      </c>
      <c r="B770" s="6" t="n">
        <v>246400</v>
      </c>
      <c r="C770" s="6" t="n">
        <v>246400</v>
      </c>
      <c r="D770" s="6" t="inlineStr">
        <is>
          <t>Óleo Pantene Nutritivo x 95 ml</t>
        </is>
      </c>
      <c r="E770" s="6" t="inlineStr">
        <is>
          <t>Pantene</t>
        </is>
      </c>
      <c r="F770" s="6" t="n">
        <v>20179</v>
      </c>
      <c r="G770" s="6" t="n">
        <v>20179</v>
      </c>
      <c r="H770" s="6" t="b">
        <v>1</v>
      </c>
      <c r="I770" s="6" t="n">
        <v>95</v>
      </c>
      <c r="J770" s="6" t="n">
        <v>212.4105</v>
      </c>
      <c r="K770" s="6" t="inlineStr">
        <is>
          <t>&gt; Cuidado Capilar &gt; Reparación Y Tratamiento &gt;</t>
        </is>
      </c>
      <c r="L770" s="6" t="inlineStr">
        <is>
          <t>shampoo</t>
        </is>
      </c>
      <c r="M770" s="6" t="inlineStr">
        <is>
          <t>estandar</t>
        </is>
      </c>
      <c r="N770" s="6" t="inlineStr">
        <is>
          <t>general</t>
        </is>
      </c>
      <c r="O770" s="6" t="inlineStr">
        <is>
          <t>https://www.farmacity.com/oleo-pantene-nutritivo-x-95-ml/p</t>
        </is>
      </c>
      <c r="P770" s="8">
        <f>TRIM(CLEAN(PROPER(D770)))</f>
        <v/>
      </c>
      <c r="Q770" s="8">
        <f>PROPER(TRIM(SUBSTITUTE(SUBSTITUTE(SUBSTITUTE(SUBSTITUTE(E770,"TRESEMME","Tresemme"),"HEAD &amp; SHOULDERS","Head &amp; Shoulders"),"ELVIVE","Elvive"),"FRUCTIS","Fructis")))</f>
        <v/>
      </c>
      <c r="R770" s="8">
        <f>COUNTIF($D$2:$D$10000,D770)&gt;1</f>
        <v/>
      </c>
      <c r="S770" s="8">
        <f>IF(H770=TRUE,"Disponible","No disponible")</f>
        <v/>
      </c>
      <c r="T770" s="8">
        <f>IF(AND(ISNUMBER(I770),I770&gt;0),ROUND(F770/I770,2),"Sin volumen")</f>
        <v/>
      </c>
      <c r="U770" s="8">
        <f>IF(F770&lt;5000,"Bajo",IF(F770&lt;15000,"Medio","Alto"))</f>
        <v/>
      </c>
    </row>
    <row r="771">
      <c r="A771" t="inlineStr">
        <is>
          <t>Farmacity</t>
        </is>
      </c>
      <c r="B771" t="n">
        <v>250357</v>
      </c>
      <c r="C771" t="n">
        <v>250357</v>
      </c>
      <c r="D771" t="inlineStr">
        <is>
          <t>Sérum Elvive Collagen Lifter x 100 ml</t>
        </is>
      </c>
      <c r="E771" t="inlineStr">
        <is>
          <t>Elvive</t>
        </is>
      </c>
      <c r="F771" t="n">
        <v>19990</v>
      </c>
      <c r="G771" t="n">
        <v>19990</v>
      </c>
      <c r="H771" t="b">
        <v>1</v>
      </c>
      <c r="I771" t="n">
        <v>100</v>
      </c>
      <c r="J771" t="n">
        <v>199.9</v>
      </c>
      <c r="K771" t="inlineStr">
        <is>
          <t>&gt; Cuidado Capilar &gt; Reparación Y Tratamiento &gt;</t>
        </is>
      </c>
      <c r="L771" t="inlineStr">
        <is>
          <t>shampoo</t>
        </is>
      </c>
      <c r="M771" t="inlineStr">
        <is>
          <t>profesional</t>
        </is>
      </c>
      <c r="N771" t="inlineStr">
        <is>
          <t>general</t>
        </is>
      </c>
      <c r="O771" t="inlineStr">
        <is>
          <t>https://www.farmacity.com/serum-elvive-colageno-lifter-x-100-ml/p</t>
        </is>
      </c>
      <c r="P771">
        <f>TRIM(CLEAN(PROPER(D771)))</f>
        <v/>
      </c>
      <c r="Q771">
        <f>PROPER(TRIM(SUBSTITUTE(SUBSTITUTE(SUBSTITUTE(SUBSTITUTE(E771,"TRESEMME","Tresemme"),"HEAD &amp; SHOULDERS","Head &amp; Shoulders"),"ELVIVE","Elvive"),"FRUCTIS","Fructis")))</f>
        <v/>
      </c>
      <c r="R771">
        <f>COUNTIF($D$2:$D$10000,D771)&gt;1</f>
        <v/>
      </c>
      <c r="S771">
        <f>IF(H771=TRUE,"Disponible","No disponible")</f>
        <v/>
      </c>
      <c r="T771">
        <f>IF(AND(ISNUMBER(I771),I771&gt;0),ROUND(F771/I771,2),"Sin volumen")</f>
        <v/>
      </c>
      <c r="U771">
        <f>IF(F771&lt;5000,"Bajo",IF(F771&lt;15000,"Medio","Alto"))</f>
        <v/>
      </c>
    </row>
    <row r="772">
      <c r="A772" s="6" t="inlineStr">
        <is>
          <t>Farmacity</t>
        </is>
      </c>
      <c r="B772" s="6" t="n">
        <v>4747</v>
      </c>
      <c r="C772" s="6" t="n">
        <v>138021</v>
      </c>
      <c r="D772" s="6" t="inlineStr">
        <is>
          <t>Crema para Peinar Sedal Ceramidas x 300 ml</t>
        </is>
      </c>
      <c r="E772" s="6" t="inlineStr">
        <is>
          <t>Sedal</t>
        </is>
      </c>
      <c r="F772" s="6" t="n">
        <v>5684</v>
      </c>
      <c r="G772" s="6" t="n">
        <v>5684</v>
      </c>
      <c r="H772" s="6" t="b">
        <v>1</v>
      </c>
      <c r="I772" s="6" t="n">
        <v>300</v>
      </c>
      <c r="J772" s="6" t="n">
        <v>18.9467</v>
      </c>
      <c r="K772" s="6" t="inlineStr">
        <is>
          <t>&gt; Cuidado Capilar &gt; Modelado Y Peinado &gt;</t>
        </is>
      </c>
      <c r="L772" s="6" t="inlineStr">
        <is>
          <t>shampoo</t>
        </is>
      </c>
      <c r="M772" s="6" t="inlineStr">
        <is>
          <t>estandar</t>
        </is>
      </c>
      <c r="N772" s="6" t="inlineStr">
        <is>
          <t>general</t>
        </is>
      </c>
      <c r="O772" s="6" t="inlineStr">
        <is>
          <t>https://www.farmacity.com/crema-para-peinar-sedal-ceramidas-pote-x-300-ml/p</t>
        </is>
      </c>
      <c r="P772" s="8">
        <f>TRIM(CLEAN(PROPER(D772)))</f>
        <v/>
      </c>
      <c r="Q772" s="8">
        <f>PROPER(TRIM(SUBSTITUTE(SUBSTITUTE(SUBSTITUTE(SUBSTITUTE(E772,"TRESEMME","Tresemme"),"HEAD &amp; SHOULDERS","Head &amp; Shoulders"),"ELVIVE","Elvive"),"FRUCTIS","Fructis")))</f>
        <v/>
      </c>
      <c r="R772" s="8">
        <f>COUNTIF($D$2:$D$10000,D772)&gt;1</f>
        <v/>
      </c>
      <c r="S772" s="8">
        <f>IF(H772=TRUE,"Disponible","No disponible")</f>
        <v/>
      </c>
      <c r="T772" s="8">
        <f>IF(AND(ISNUMBER(I772),I772&gt;0),ROUND(F772/I772,2),"Sin volumen")</f>
        <v/>
      </c>
      <c r="U772" s="8">
        <f>IF(F772&lt;5000,"Bajo",IF(F772&lt;15000,"Medio","Alto"))</f>
        <v/>
      </c>
    </row>
    <row r="773">
      <c r="A773" t="inlineStr">
        <is>
          <t>Farmacity</t>
        </is>
      </c>
      <c r="B773" t="n">
        <v>230612</v>
      </c>
      <c r="C773" t="n">
        <v>230612</v>
      </c>
      <c r="D773" t="inlineStr">
        <is>
          <t>Shampoo Dosificador Tresemmé Cauterización Reparadora x 500 ml</t>
        </is>
      </c>
      <c r="E773" t="inlineStr">
        <is>
          <t>Tresemmé</t>
        </is>
      </c>
      <c r="F773" t="n">
        <v>6574</v>
      </c>
      <c r="G773" t="n">
        <v>10114</v>
      </c>
      <c r="H773" t="b">
        <v>1</v>
      </c>
      <c r="I773" t="n">
        <v>500</v>
      </c>
      <c r="J773" t="n">
        <v>13.148</v>
      </c>
      <c r="K773" t="inlineStr">
        <is>
          <t>&gt; Cuidado Capilar &gt; Shampoo Y Acondicionador &gt;</t>
        </is>
      </c>
      <c r="L773" t="inlineStr">
        <is>
          <t>shampoo</t>
        </is>
      </c>
      <c r="M773" t="inlineStr">
        <is>
          <t>estandar</t>
        </is>
      </c>
      <c r="N773" t="inlineStr">
        <is>
          <t>general</t>
        </is>
      </c>
      <c r="O773" t="inlineStr">
        <is>
          <t>https://www.farmacity.com/shampoo-dosificador-tresemme-cauterizacion-reparadora-x-500-ml/p</t>
        </is>
      </c>
      <c r="P773">
        <f>TRIM(CLEAN(PROPER(D773)))</f>
        <v/>
      </c>
      <c r="Q773">
        <f>PROPER(TRIM(SUBSTITUTE(SUBSTITUTE(SUBSTITUTE(SUBSTITUTE(E773,"TRESEMME","Tresemme"),"HEAD &amp; SHOULDERS","Head &amp; Shoulders"),"ELVIVE","Elvive"),"FRUCTIS","Fructis")))</f>
        <v/>
      </c>
      <c r="R773">
        <f>COUNTIF($D$2:$D$10000,D773)&gt;1</f>
        <v/>
      </c>
      <c r="S773">
        <f>IF(H773=TRUE,"Disponible","No disponible")</f>
        <v/>
      </c>
      <c r="T773">
        <f>IF(AND(ISNUMBER(I773),I773&gt;0),ROUND(F773/I773,2),"Sin volumen")</f>
        <v/>
      </c>
      <c r="U773">
        <f>IF(F773&lt;5000,"Bajo",IF(F773&lt;15000,"Medio","Alto"))</f>
        <v/>
      </c>
    </row>
    <row r="774">
      <c r="A774" s="6" t="inlineStr">
        <is>
          <t>Farmacity</t>
        </is>
      </c>
      <c r="B774" s="6" t="n">
        <v>246063</v>
      </c>
      <c r="C774" s="6" t="n">
        <v>246063</v>
      </c>
      <c r="D774" s="6" t="inlineStr">
        <is>
          <t>Óleo Sedal Toque de Seda x 60 ml</t>
        </is>
      </c>
      <c r="E774" s="6" t="inlineStr">
        <is>
          <t>Sedal</t>
        </is>
      </c>
      <c r="F774" s="6" t="n">
        <v>7914</v>
      </c>
      <c r="G774" s="6" t="n">
        <v>9892</v>
      </c>
      <c r="H774" s="6" t="b">
        <v>1</v>
      </c>
      <c r="I774" s="6" t="n">
        <v>60</v>
      </c>
      <c r="J774" s="6" t="n">
        <v>131.9</v>
      </c>
      <c r="K774" s="6" t="inlineStr">
        <is>
          <t>&gt; Cuidado Capilar &gt; Reparación Y Tratamiento &gt;</t>
        </is>
      </c>
      <c r="L774" s="6" t="inlineStr">
        <is>
          <t>shampoo</t>
        </is>
      </c>
      <c r="M774" s="6" t="inlineStr">
        <is>
          <t>estandar</t>
        </is>
      </c>
      <c r="N774" s="6" t="inlineStr">
        <is>
          <t>general</t>
        </is>
      </c>
      <c r="O774" s="6" t="inlineStr">
        <is>
          <t>https://www.farmacity.com/oleo-sedal-toque-de-seda-x-60-ml/p</t>
        </is>
      </c>
      <c r="P774" s="8">
        <f>TRIM(CLEAN(PROPER(D774)))</f>
        <v/>
      </c>
      <c r="Q774" s="8">
        <f>PROPER(TRIM(SUBSTITUTE(SUBSTITUTE(SUBSTITUTE(SUBSTITUTE(E774,"TRESEMME","Tresemme"),"HEAD &amp; SHOULDERS","Head &amp; Shoulders"),"ELVIVE","Elvive"),"FRUCTIS","Fructis")))</f>
        <v/>
      </c>
      <c r="R774" s="8">
        <f>COUNTIF($D$2:$D$10000,D774)&gt;1</f>
        <v/>
      </c>
      <c r="S774" s="8">
        <f>IF(H774=TRUE,"Disponible","No disponible")</f>
        <v/>
      </c>
      <c r="T774" s="8">
        <f>IF(AND(ISNUMBER(I774),I774&gt;0),ROUND(F774/I774,2),"Sin volumen")</f>
        <v/>
      </c>
      <c r="U774" s="8">
        <f>IF(F774&lt;5000,"Bajo",IF(F774&lt;15000,"Medio","Alto"))</f>
        <v/>
      </c>
    </row>
    <row r="775">
      <c r="A775" t="inlineStr">
        <is>
          <t>Farmacity</t>
        </is>
      </c>
      <c r="B775" t="n">
        <v>246064</v>
      </c>
      <c r="C775" t="n">
        <v>246064</v>
      </c>
      <c r="D775" t="inlineStr">
        <is>
          <t>Sérum Sedal Toque de Seda x 100 ml</t>
        </is>
      </c>
      <c r="E775" t="inlineStr">
        <is>
          <t>Sedal</t>
        </is>
      </c>
      <c r="F775" t="n">
        <v>8464</v>
      </c>
      <c r="G775" t="n">
        <v>10580</v>
      </c>
      <c r="H775" t="b">
        <v>1</v>
      </c>
      <c r="I775" t="n">
        <v>100</v>
      </c>
      <c r="J775" t="n">
        <v>84.64</v>
      </c>
      <c r="K775" t="inlineStr">
        <is>
          <t>&gt; Cuidado Capilar &gt; Reparación Y Tratamiento &gt;</t>
        </is>
      </c>
      <c r="L775" t="inlineStr">
        <is>
          <t>shampoo</t>
        </is>
      </c>
      <c r="M775" t="inlineStr">
        <is>
          <t>estandar</t>
        </is>
      </c>
      <c r="N775" t="inlineStr">
        <is>
          <t>general</t>
        </is>
      </c>
      <c r="O775" t="inlineStr">
        <is>
          <t>https://www.farmacity.com/serum-sedal-toque-de-seda-x-100-ml/p</t>
        </is>
      </c>
      <c r="P775">
        <f>TRIM(CLEAN(PROPER(D775)))</f>
        <v/>
      </c>
      <c r="Q775">
        <f>PROPER(TRIM(SUBSTITUTE(SUBSTITUTE(SUBSTITUTE(SUBSTITUTE(E775,"TRESEMME","Tresemme"),"HEAD &amp; SHOULDERS","Head &amp; Shoulders"),"ELVIVE","Elvive"),"FRUCTIS","Fructis")))</f>
        <v/>
      </c>
      <c r="R775">
        <f>COUNTIF($D$2:$D$10000,D775)&gt;1</f>
        <v/>
      </c>
      <c r="S775">
        <f>IF(H775=TRUE,"Disponible","No disponible")</f>
        <v/>
      </c>
      <c r="T775">
        <f>IF(AND(ISNUMBER(I775),I775&gt;0),ROUND(F775/I775,2),"Sin volumen")</f>
        <v/>
      </c>
      <c r="U775">
        <f>IF(F775&lt;5000,"Bajo",IF(F775&lt;15000,"Medio","Alto"))</f>
        <v/>
      </c>
    </row>
    <row r="776">
      <c r="A776" s="6" t="inlineStr">
        <is>
          <t>Farmacity</t>
        </is>
      </c>
      <c r="B776" s="6" t="n">
        <v>245027</v>
      </c>
      <c r="C776" s="6" t="n">
        <v>245027</v>
      </c>
      <c r="D776" s="6" t="inlineStr">
        <is>
          <t>Sérum Elvive Dream Liso x 100 ml</t>
        </is>
      </c>
      <c r="E776" s="6" t="inlineStr">
        <is>
          <t>Elvive</t>
        </is>
      </c>
      <c r="F776" s="6" t="n">
        <v>19990</v>
      </c>
      <c r="G776" s="6" t="n">
        <v>19990</v>
      </c>
      <c r="H776" s="6" t="b">
        <v>1</v>
      </c>
      <c r="I776" s="6" t="n">
        <v>100</v>
      </c>
      <c r="J776" s="6" t="n">
        <v>199.9</v>
      </c>
      <c r="K776" s="6" t="inlineStr">
        <is>
          <t>&gt; Cuidado Capilar &gt; Reparación Y Tratamiento &gt;</t>
        </is>
      </c>
      <c r="L776" s="6" t="inlineStr">
        <is>
          <t>shampoo</t>
        </is>
      </c>
      <c r="M776" s="6" t="inlineStr">
        <is>
          <t>profesional</t>
        </is>
      </c>
      <c r="N776" s="6" t="inlineStr">
        <is>
          <t>general</t>
        </is>
      </c>
      <c r="O776" s="6" t="inlineStr">
        <is>
          <t>https://www.farmacity.com/serum-elvive-dream-liso-x-100-ml/p</t>
        </is>
      </c>
      <c r="P776" s="8">
        <f>TRIM(CLEAN(PROPER(D776)))</f>
        <v/>
      </c>
      <c r="Q776" s="8">
        <f>PROPER(TRIM(SUBSTITUTE(SUBSTITUTE(SUBSTITUTE(SUBSTITUTE(E776,"TRESEMME","Tresemme"),"HEAD &amp; SHOULDERS","Head &amp; Shoulders"),"ELVIVE","Elvive"),"FRUCTIS","Fructis")))</f>
        <v/>
      </c>
      <c r="R776" s="8">
        <f>COUNTIF($D$2:$D$10000,D776)&gt;1</f>
        <v/>
      </c>
      <c r="S776" s="8">
        <f>IF(H776=TRUE,"Disponible","No disponible")</f>
        <v/>
      </c>
      <c r="T776" s="8">
        <f>IF(AND(ISNUMBER(I776),I776&gt;0),ROUND(F776/I776,2),"Sin volumen")</f>
        <v/>
      </c>
      <c r="U776" s="8">
        <f>IF(F776&lt;5000,"Bajo",IF(F776&lt;15000,"Medio","Alto"))</f>
        <v/>
      </c>
    </row>
    <row r="777">
      <c r="A777" t="inlineStr">
        <is>
          <t>Farmacity</t>
        </is>
      </c>
      <c r="B777" t="n">
        <v>216503</v>
      </c>
      <c r="C777" t="n">
        <v>216503</v>
      </c>
      <c r="D777" t="inlineStr">
        <is>
          <t>Mascarilla Herbal Essences Argan Oil Of Morocco x 300 ml</t>
        </is>
      </c>
      <c r="E777" t="inlineStr">
        <is>
          <t>Herbal Essences</t>
        </is>
      </c>
      <c r="F777" t="n">
        <v>10631</v>
      </c>
      <c r="G777" t="n">
        <v>16356</v>
      </c>
      <c r="H777" t="b">
        <v>1</v>
      </c>
      <c r="I777" t="n">
        <v>300</v>
      </c>
      <c r="J777" t="n">
        <v>35.4367</v>
      </c>
      <c r="K777" t="inlineStr">
        <is>
          <t>&gt; Cuidado Capilar &gt; Reparación Y Tratamiento &gt;</t>
        </is>
      </c>
      <c r="L777" t="inlineStr">
        <is>
          <t>tratamiento</t>
        </is>
      </c>
      <c r="M777" t="inlineStr">
        <is>
          <t>estandar</t>
        </is>
      </c>
      <c r="N777" t="inlineStr">
        <is>
          <t>general</t>
        </is>
      </c>
      <c r="O777" t="inlineStr">
        <is>
          <t>https://www.farmacity.com/mascarilla-intensiva-herbal-essences-bio-renew-argan-oil-of-morocco-x-300-ml/p</t>
        </is>
      </c>
      <c r="P777">
        <f>TRIM(CLEAN(PROPER(D777)))</f>
        <v/>
      </c>
      <c r="Q777">
        <f>PROPER(TRIM(SUBSTITUTE(SUBSTITUTE(SUBSTITUTE(SUBSTITUTE(E777,"TRESEMME","Tresemme"),"HEAD &amp; SHOULDERS","Head &amp; Shoulders"),"ELVIVE","Elvive"),"FRUCTIS","Fructis")))</f>
        <v/>
      </c>
      <c r="R777">
        <f>COUNTIF($D$2:$D$10000,D777)&gt;1</f>
        <v/>
      </c>
      <c r="S777">
        <f>IF(H777=TRUE,"Disponible","No disponible")</f>
        <v/>
      </c>
      <c r="T777">
        <f>IF(AND(ISNUMBER(I777),I777&gt;0),ROUND(F777/I777,2),"Sin volumen")</f>
        <v/>
      </c>
      <c r="U777">
        <f>IF(F777&lt;5000,"Bajo",IF(F777&lt;15000,"Medio","Alto"))</f>
        <v/>
      </c>
    </row>
    <row r="778">
      <c r="A778" s="6" t="inlineStr">
        <is>
          <t>Farmacity</t>
        </is>
      </c>
      <c r="B778" s="6" t="n">
        <v>216504</v>
      </c>
      <c r="C778" s="6" t="n">
        <v>216504</v>
      </c>
      <c r="D778" s="6" t="inlineStr">
        <is>
          <t>Mascarilla Herbal Essences Bio Coconut Milk x 300 ml</t>
        </is>
      </c>
      <c r="E778" s="6" t="inlineStr">
        <is>
          <t>Herbal Essences</t>
        </is>
      </c>
      <c r="F778" s="6" t="n">
        <v>16356</v>
      </c>
      <c r="G778" s="6" t="n">
        <v>16356</v>
      </c>
      <c r="H778" s="6" t="b">
        <v>1</v>
      </c>
      <c r="I778" s="6" t="n">
        <v>300</v>
      </c>
      <c r="J778" s="6" t="n">
        <v>54.52</v>
      </c>
      <c r="K778" s="6" t="inlineStr">
        <is>
          <t>&gt; Cuidado Capilar &gt; Reparación Y Tratamiento &gt;</t>
        </is>
      </c>
      <c r="L778" s="6" t="inlineStr">
        <is>
          <t>tratamiento</t>
        </is>
      </c>
      <c r="M778" s="6" t="inlineStr">
        <is>
          <t>estandar</t>
        </is>
      </c>
      <c r="N778" s="6" t="inlineStr">
        <is>
          <t>general</t>
        </is>
      </c>
      <c r="O778" s="6" t="inlineStr">
        <is>
          <t>https://www.farmacity.com/mascarilla-intensiva-herbal-essences-bio-renew-coconut-milk-x-300-ml/p</t>
        </is>
      </c>
      <c r="P778" s="8">
        <f>TRIM(CLEAN(PROPER(D778)))</f>
        <v/>
      </c>
      <c r="Q778" s="8">
        <f>PROPER(TRIM(SUBSTITUTE(SUBSTITUTE(SUBSTITUTE(SUBSTITUTE(E778,"TRESEMME","Tresemme"),"HEAD &amp; SHOULDERS","Head &amp; Shoulders"),"ELVIVE","Elvive"),"FRUCTIS","Fructis")))</f>
        <v/>
      </c>
      <c r="R778" s="8">
        <f>COUNTIF($D$2:$D$10000,D778)&gt;1</f>
        <v/>
      </c>
      <c r="S778" s="8">
        <f>IF(H778=TRUE,"Disponible","No disponible")</f>
        <v/>
      </c>
      <c r="T778" s="8">
        <f>IF(AND(ISNUMBER(I778),I778&gt;0),ROUND(F778/I778,2),"Sin volumen")</f>
        <v/>
      </c>
      <c r="U778" s="8">
        <f>IF(F778&lt;5000,"Bajo",IF(F778&lt;15000,"Medio","Alto"))</f>
        <v/>
      </c>
    </row>
    <row r="779">
      <c r="A779" t="inlineStr">
        <is>
          <t>Farmacity</t>
        </is>
      </c>
      <c r="B779" t="n">
        <v>246482</v>
      </c>
      <c r="C779" t="n">
        <v>246482</v>
      </c>
      <c r="D779" t="inlineStr">
        <is>
          <t>Óleo + Sérum Bifásico Dove UV Repair &amp; Glow 110 ml</t>
        </is>
      </c>
      <c r="E779" t="inlineStr">
        <is>
          <t>Dove</t>
        </is>
      </c>
      <c r="F779" t="n">
        <v>17803</v>
      </c>
      <c r="G779" t="n">
        <v>17803</v>
      </c>
      <c r="H779" t="b">
        <v>1</v>
      </c>
      <c r="I779" t="n">
        <v>110</v>
      </c>
      <c r="J779" t="n">
        <v>161.8455</v>
      </c>
      <c r="K779" t="inlineStr">
        <is>
          <t>&gt; Cuidado Capilar &gt; Reparación Y Tratamiento &gt;</t>
        </is>
      </c>
      <c r="L779" t="inlineStr">
        <is>
          <t>shampoo</t>
        </is>
      </c>
      <c r="M779" t="inlineStr">
        <is>
          <t>profesional</t>
        </is>
      </c>
      <c r="N779" t="inlineStr">
        <is>
          <t>general</t>
        </is>
      </c>
      <c r="O779" t="inlineStr">
        <is>
          <t>https://www.farmacity.com/oleo-dove-uv-repair-x-110-ml/p</t>
        </is>
      </c>
      <c r="P779">
        <f>TRIM(CLEAN(PROPER(D779)))</f>
        <v/>
      </c>
      <c r="Q779">
        <f>PROPER(TRIM(SUBSTITUTE(SUBSTITUTE(SUBSTITUTE(SUBSTITUTE(E779,"TRESEMME","Tresemme"),"HEAD &amp; SHOULDERS","Head &amp; Shoulders"),"ELVIVE","Elvive"),"FRUCTIS","Fructis")))</f>
        <v/>
      </c>
      <c r="R779">
        <f>COUNTIF($D$2:$D$10000,D779)&gt;1</f>
        <v/>
      </c>
      <c r="S779">
        <f>IF(H779=TRUE,"Disponible","No disponible")</f>
        <v/>
      </c>
      <c r="T779">
        <f>IF(AND(ISNUMBER(I779),I779&gt;0),ROUND(F779/I779,2),"Sin volumen")</f>
        <v/>
      </c>
      <c r="U779">
        <f>IF(F779&lt;5000,"Bajo",IF(F779&lt;15000,"Medio","Alto"))</f>
        <v/>
      </c>
    </row>
    <row r="780">
      <c r="A780" s="6" t="inlineStr">
        <is>
          <t>Farmacity</t>
        </is>
      </c>
      <c r="B780" s="6" t="n">
        <v>250192</v>
      </c>
      <c r="C780" s="6" t="n">
        <v>250192</v>
      </c>
      <c r="D780" s="6" t="inlineStr">
        <is>
          <t>Ampolla La Puissance Nutrition x 15 ml</t>
        </is>
      </c>
      <c r="E780" s="6" t="inlineStr">
        <is>
          <t>La Puissance</t>
        </is>
      </c>
      <c r="F780" s="6" t="n">
        <v>7900</v>
      </c>
      <c r="G780" s="6" t="n">
        <v>7900</v>
      </c>
      <c r="H780" s="6" t="b">
        <v>1</v>
      </c>
      <c r="I780" s="6" t="n">
        <v>15</v>
      </c>
      <c r="J780" s="6" t="n">
        <v>526.6667</v>
      </c>
      <c r="K780" s="6" t="inlineStr">
        <is>
          <t>&gt; Cuidado Capilar &gt; Reparación Y Tratamiento &gt;</t>
        </is>
      </c>
      <c r="L780" s="6" t="inlineStr">
        <is>
          <t>shampoo</t>
        </is>
      </c>
      <c r="M780" s="6" t="inlineStr">
        <is>
          <t>estandar</t>
        </is>
      </c>
      <c r="N780" s="6" t="inlineStr">
        <is>
          <t>general</t>
        </is>
      </c>
      <c r="O780" s="6" t="inlineStr">
        <is>
          <t>https://www.farmacity.com/ampolla-la-puissance-nutrition-x-15-ml/p</t>
        </is>
      </c>
      <c r="P780" s="8">
        <f>TRIM(CLEAN(PROPER(D780)))</f>
        <v/>
      </c>
      <c r="Q780" s="8">
        <f>PROPER(TRIM(SUBSTITUTE(SUBSTITUTE(SUBSTITUTE(SUBSTITUTE(E780,"TRESEMME","Tresemme"),"HEAD &amp; SHOULDERS","Head &amp; Shoulders"),"ELVIVE","Elvive"),"FRUCTIS","Fructis")))</f>
        <v/>
      </c>
      <c r="R780" s="8">
        <f>COUNTIF($D$2:$D$10000,D780)&gt;1</f>
        <v/>
      </c>
      <c r="S780" s="8">
        <f>IF(H780=TRUE,"Disponible","No disponible")</f>
        <v/>
      </c>
      <c r="T780" s="8">
        <f>IF(AND(ISNUMBER(I780),I780&gt;0),ROUND(F780/I780,2),"Sin volumen")</f>
        <v/>
      </c>
      <c r="U780" s="8">
        <f>IF(F780&lt;5000,"Bajo",IF(F780&lt;15000,"Medio","Alto"))</f>
        <v/>
      </c>
    </row>
    <row r="781">
      <c r="A781" t="inlineStr">
        <is>
          <t>Farmacity</t>
        </is>
      </c>
      <c r="B781" t="n">
        <v>230609</v>
      </c>
      <c r="C781" t="n">
        <v>230609</v>
      </c>
      <c r="D781" t="inlineStr">
        <is>
          <t>Shampoo Tresemmé Cauterización Reparadora x 250 ml</t>
        </is>
      </c>
      <c r="E781" t="inlineStr">
        <is>
          <t>Tresemmé</t>
        </is>
      </c>
      <c r="F781" t="n">
        <v>6091</v>
      </c>
      <c r="G781" t="n">
        <v>6091</v>
      </c>
      <c r="H781" t="b">
        <v>1</v>
      </c>
      <c r="I781" t="n">
        <v>250</v>
      </c>
      <c r="J781" t="n">
        <v>24.364</v>
      </c>
      <c r="K781" t="inlineStr">
        <is>
          <t>&gt; Cuidado Capilar &gt; Shampoo Y Acondicionador &gt;</t>
        </is>
      </c>
      <c r="L781" t="inlineStr">
        <is>
          <t>shampoo</t>
        </is>
      </c>
      <c r="M781" t="inlineStr">
        <is>
          <t>estandar</t>
        </is>
      </c>
      <c r="N781" t="inlineStr">
        <is>
          <t>general</t>
        </is>
      </c>
      <c r="O781" t="inlineStr">
        <is>
          <t>https://www.farmacity.com/shampoo-tresemme-cauterizacion-reparadora-x-250-ml/p</t>
        </is>
      </c>
      <c r="P781">
        <f>TRIM(CLEAN(PROPER(D781)))</f>
        <v/>
      </c>
      <c r="Q781">
        <f>PROPER(TRIM(SUBSTITUTE(SUBSTITUTE(SUBSTITUTE(SUBSTITUTE(E781,"TRESEMME","Tresemme"),"HEAD &amp; SHOULDERS","Head &amp; Shoulders"),"ELVIVE","Elvive"),"FRUCTIS","Fructis")))</f>
        <v/>
      </c>
      <c r="R781">
        <f>COUNTIF($D$2:$D$10000,D781)&gt;1</f>
        <v/>
      </c>
      <c r="S781">
        <f>IF(H781=TRUE,"Disponible","No disponible")</f>
        <v/>
      </c>
      <c r="T781">
        <f>IF(AND(ISNUMBER(I781),I781&gt;0),ROUND(F781/I781,2),"Sin volumen")</f>
        <v/>
      </c>
      <c r="U781">
        <f>IF(F781&lt;5000,"Bajo",IF(F781&lt;15000,"Medio","Alto"))</f>
        <v/>
      </c>
    </row>
    <row r="782">
      <c r="A782" s="6" t="inlineStr">
        <is>
          <t>Farmacity</t>
        </is>
      </c>
      <c r="B782" s="6" t="n">
        <v>248882</v>
      </c>
      <c r="C782" s="6" t="n">
        <v>248882</v>
      </c>
      <c r="D782" s="6" t="inlineStr">
        <is>
          <t>Protector Térmico Ogx Bond Protein Repair x 385 ml</t>
        </is>
      </c>
      <c r="E782" s="6" t="inlineStr">
        <is>
          <t>OGX</t>
        </is>
      </c>
      <c r="F782" s="6" t="n">
        <v>31641</v>
      </c>
      <c r="G782" s="6" t="n">
        <v>31641</v>
      </c>
      <c r="H782" s="6" t="b">
        <v>1</v>
      </c>
      <c r="I782" s="6" t="n">
        <v>385</v>
      </c>
      <c r="J782" s="6" t="n">
        <v>82.1844</v>
      </c>
      <c r="K782" s="6" t="inlineStr">
        <is>
          <t>&gt; Cuidado Capilar &gt; Reparación Y Tratamiento &gt;</t>
        </is>
      </c>
      <c r="L782" s="6" t="inlineStr">
        <is>
          <t>shampoo</t>
        </is>
      </c>
      <c r="M782" s="6" t="inlineStr">
        <is>
          <t>profesional</t>
        </is>
      </c>
      <c r="N782" s="6" t="inlineStr">
        <is>
          <t>general</t>
        </is>
      </c>
      <c r="O782" s="6" t="inlineStr">
        <is>
          <t>https://www.farmacity.com/protector-termico-ogx-bond-protein-repair-x-385-ml/p</t>
        </is>
      </c>
      <c r="P782" s="8">
        <f>TRIM(CLEAN(PROPER(D782)))</f>
        <v/>
      </c>
      <c r="Q782" s="8">
        <f>PROPER(TRIM(SUBSTITUTE(SUBSTITUTE(SUBSTITUTE(SUBSTITUTE(E782,"TRESEMME","Tresemme"),"HEAD &amp; SHOULDERS","Head &amp; Shoulders"),"ELVIVE","Elvive"),"FRUCTIS","Fructis")))</f>
        <v/>
      </c>
      <c r="R782" s="8">
        <f>COUNTIF($D$2:$D$10000,D782)&gt;1</f>
        <v/>
      </c>
      <c r="S782" s="8">
        <f>IF(H782=TRUE,"Disponible","No disponible")</f>
        <v/>
      </c>
      <c r="T782" s="8">
        <f>IF(AND(ISNUMBER(I782),I782&gt;0),ROUND(F782/I782,2),"Sin volumen")</f>
        <v/>
      </c>
      <c r="U782" s="8">
        <f>IF(F782&lt;5000,"Bajo",IF(F782&lt;15000,"Medio","Alto"))</f>
        <v/>
      </c>
    </row>
    <row r="783">
      <c r="A783" t="inlineStr">
        <is>
          <t>Farmacity</t>
        </is>
      </c>
      <c r="B783" t="n">
        <v>242988</v>
      </c>
      <c r="C783" t="n">
        <v>242988</v>
      </c>
      <c r="D783" t="inlineStr">
        <is>
          <t>Protector Térmico Capilatis Spray x 190 ml</t>
        </is>
      </c>
      <c r="E783" t="inlineStr">
        <is>
          <t>Capilatis</t>
        </is>
      </c>
      <c r="F783" t="n">
        <v>14200</v>
      </c>
      <c r="G783" t="n">
        <v>14200</v>
      </c>
      <c r="H783" t="b">
        <v>1</v>
      </c>
      <c r="I783" t="n">
        <v>190</v>
      </c>
      <c r="J783" t="n">
        <v>74.7368</v>
      </c>
      <c r="K783" t="inlineStr">
        <is>
          <t>&gt; Cuidado Capilar &gt; Reparación Y Tratamiento &gt;</t>
        </is>
      </c>
      <c r="L783" t="inlineStr">
        <is>
          <t>shampoo</t>
        </is>
      </c>
      <c r="M783" t="inlineStr">
        <is>
          <t>estandar</t>
        </is>
      </c>
      <c r="N783" t="inlineStr">
        <is>
          <t>general</t>
        </is>
      </c>
      <c r="O783" t="inlineStr">
        <is>
          <t>https://www.farmacity.com/protector-termico-capilatis--spray-x-190-ml/p</t>
        </is>
      </c>
      <c r="P783">
        <f>TRIM(CLEAN(PROPER(D783)))</f>
        <v/>
      </c>
      <c r="Q783">
        <f>PROPER(TRIM(SUBSTITUTE(SUBSTITUTE(SUBSTITUTE(SUBSTITUTE(E783,"TRESEMME","Tresemme"),"HEAD &amp; SHOULDERS","Head &amp; Shoulders"),"ELVIVE","Elvive"),"FRUCTIS","Fructis")))</f>
        <v/>
      </c>
      <c r="R783">
        <f>COUNTIF($D$2:$D$10000,D783)&gt;1</f>
        <v/>
      </c>
      <c r="S783">
        <f>IF(H783=TRUE,"Disponible","No disponible")</f>
        <v/>
      </c>
      <c r="T783">
        <f>IF(AND(ISNUMBER(I783),I783&gt;0),ROUND(F783/I783,2),"Sin volumen")</f>
        <v/>
      </c>
      <c r="U783">
        <f>IF(F783&lt;5000,"Bajo",IF(F783&lt;15000,"Medio","Alto"))</f>
        <v/>
      </c>
    </row>
    <row r="784">
      <c r="A784" s="6" t="inlineStr">
        <is>
          <t>Farmacity</t>
        </is>
      </c>
      <c r="B784" s="6" t="n">
        <v>234031</v>
      </c>
      <c r="C784" s="6" t="n">
        <v>234031</v>
      </c>
      <c r="D784" s="6" t="inlineStr">
        <is>
          <t>Protector Térmico Roby x 200 ml</t>
        </is>
      </c>
      <c r="E784" s="6" t="inlineStr">
        <is>
          <t>Roby</t>
        </is>
      </c>
      <c r="F784" s="6" t="n">
        <v>10269</v>
      </c>
      <c r="G784" s="6" t="n">
        <v>12836</v>
      </c>
      <c r="H784" s="6" t="b">
        <v>1</v>
      </c>
      <c r="I784" s="6" t="n">
        <v>200</v>
      </c>
      <c r="J784" s="6" t="n">
        <v>51.345</v>
      </c>
      <c r="K784" s="6" t="inlineStr">
        <is>
          <t>&gt; Cuidado Capilar &gt; Reparación Y Tratamiento &gt;</t>
        </is>
      </c>
      <c r="L784" s="6" t="inlineStr">
        <is>
          <t>shampoo</t>
        </is>
      </c>
      <c r="M784" s="6" t="inlineStr">
        <is>
          <t>estandar</t>
        </is>
      </c>
      <c r="N784" s="6" t="inlineStr">
        <is>
          <t>general</t>
        </is>
      </c>
      <c r="O784" s="6" t="inlineStr">
        <is>
          <t>https://www.farmacity.com/protector-termicospray-roby--x-200-ml/p</t>
        </is>
      </c>
      <c r="P784" s="8">
        <f>TRIM(CLEAN(PROPER(D784)))</f>
        <v/>
      </c>
      <c r="Q784" s="8">
        <f>PROPER(TRIM(SUBSTITUTE(SUBSTITUTE(SUBSTITUTE(SUBSTITUTE(E784,"TRESEMME","Tresemme"),"HEAD &amp; SHOULDERS","Head &amp; Shoulders"),"ELVIVE","Elvive"),"FRUCTIS","Fructis")))</f>
        <v/>
      </c>
      <c r="R784" s="8">
        <f>COUNTIF($D$2:$D$10000,D784)&gt;1</f>
        <v/>
      </c>
      <c r="S784" s="8">
        <f>IF(H784=TRUE,"Disponible","No disponible")</f>
        <v/>
      </c>
      <c r="T784" s="8">
        <f>IF(AND(ISNUMBER(I784),I784&gt;0),ROUND(F784/I784,2),"Sin volumen")</f>
        <v/>
      </c>
      <c r="U784" s="8">
        <f>IF(F784&lt;5000,"Bajo",IF(F784&lt;15000,"Medio","Alto"))</f>
        <v/>
      </c>
    </row>
    <row r="785">
      <c r="A785" t="inlineStr">
        <is>
          <t>Farmacity</t>
        </is>
      </c>
      <c r="B785" t="n">
        <v>242989</v>
      </c>
      <c r="C785" t="n">
        <v>242989</v>
      </c>
      <c r="D785" t="inlineStr">
        <is>
          <t>Sérum Capilatis Sellador de Puntas Plex x 60 ml</t>
        </is>
      </c>
      <c r="E785" t="inlineStr">
        <is>
          <t>Capilatis</t>
        </is>
      </c>
      <c r="F785" t="n">
        <v>16200</v>
      </c>
      <c r="G785" t="n">
        <v>16200</v>
      </c>
      <c r="H785" t="b">
        <v>1</v>
      </c>
      <c r="I785" t="n">
        <v>60</v>
      </c>
      <c r="J785" t="n">
        <v>270</v>
      </c>
      <c r="K785" t="inlineStr">
        <is>
          <t>&gt; Cuidado Capilar &gt; Reparación Y Tratamiento &gt;</t>
        </is>
      </c>
      <c r="L785" t="inlineStr">
        <is>
          <t>shampoo</t>
        </is>
      </c>
      <c r="M785" t="inlineStr">
        <is>
          <t>estandar</t>
        </is>
      </c>
      <c r="N785" t="inlineStr">
        <is>
          <t>general</t>
        </is>
      </c>
      <c r="O785" t="inlineStr">
        <is>
          <t>https://www.farmacity.com/serum-capilatis-sellador-de-puntas-plex-x-60-ml/p</t>
        </is>
      </c>
      <c r="P785">
        <f>TRIM(CLEAN(PROPER(D785)))</f>
        <v/>
      </c>
      <c r="Q785">
        <f>PROPER(TRIM(SUBSTITUTE(SUBSTITUTE(SUBSTITUTE(SUBSTITUTE(E785,"TRESEMME","Tresemme"),"HEAD &amp; SHOULDERS","Head &amp; Shoulders"),"ELVIVE","Elvive"),"FRUCTIS","Fructis")))</f>
        <v/>
      </c>
      <c r="R785">
        <f>COUNTIF($D$2:$D$10000,D785)&gt;1</f>
        <v/>
      </c>
      <c r="S785">
        <f>IF(H785=TRUE,"Disponible","No disponible")</f>
        <v/>
      </c>
      <c r="T785">
        <f>IF(AND(ISNUMBER(I785),I785&gt;0),ROUND(F785/I785,2),"Sin volumen")</f>
        <v/>
      </c>
      <c r="U785">
        <f>IF(F785&lt;5000,"Bajo",IF(F785&lt;15000,"Medio","Alto"))</f>
        <v/>
      </c>
    </row>
    <row r="786">
      <c r="A786" s="6" t="inlineStr">
        <is>
          <t>Farmacity</t>
        </is>
      </c>
      <c r="B786" s="6" t="n">
        <v>250303</v>
      </c>
      <c r="C786" s="6" t="n">
        <v>250303</v>
      </c>
      <c r="D786" s="6" t="inlineStr">
        <is>
          <t>Bruma Capilatis Ácido Hialurónico y Colágeno x 190 ml</t>
        </is>
      </c>
      <c r="E786" s="6" t="inlineStr">
        <is>
          <t>Capilatis</t>
        </is>
      </c>
      <c r="F786" s="6" t="n">
        <v>14200</v>
      </c>
      <c r="G786" s="6" t="n">
        <v>14200</v>
      </c>
      <c r="H786" s="6" t="b">
        <v>1</v>
      </c>
      <c r="I786" s="6" t="n">
        <v>190</v>
      </c>
      <c r="J786" s="6" t="n">
        <v>74.7368</v>
      </c>
      <c r="K786" s="6" t="inlineStr">
        <is>
          <t>&gt; Cuidado Capilar &gt; Reparación Y Tratamiento &gt;</t>
        </is>
      </c>
      <c r="L786" s="6" t="inlineStr">
        <is>
          <t>shampoo</t>
        </is>
      </c>
      <c r="M786" s="6" t="inlineStr">
        <is>
          <t>estandar</t>
        </is>
      </c>
      <c r="N786" s="6" t="inlineStr">
        <is>
          <t>general</t>
        </is>
      </c>
      <c r="O786" s="6" t="inlineStr">
        <is>
          <t>https://www.farmacity.com/bruma-capilatis-acido-hialuronico-y-colageno-x-190-ml/p</t>
        </is>
      </c>
      <c r="P786" s="8">
        <f>TRIM(CLEAN(PROPER(D786)))</f>
        <v/>
      </c>
      <c r="Q786" s="8">
        <f>PROPER(TRIM(SUBSTITUTE(SUBSTITUTE(SUBSTITUTE(SUBSTITUTE(E786,"TRESEMME","Tresemme"),"HEAD &amp; SHOULDERS","Head &amp; Shoulders"),"ELVIVE","Elvive"),"FRUCTIS","Fructis")))</f>
        <v/>
      </c>
      <c r="R786" s="8">
        <f>COUNTIF($D$2:$D$10000,D786)&gt;1</f>
        <v/>
      </c>
      <c r="S786" s="8">
        <f>IF(H786=TRUE,"Disponible","No disponible")</f>
        <v/>
      </c>
      <c r="T786" s="8">
        <f>IF(AND(ISNUMBER(I786),I786&gt;0),ROUND(F786/I786,2),"Sin volumen")</f>
        <v/>
      </c>
      <c r="U786" s="8">
        <f>IF(F786&lt;5000,"Bajo",IF(F786&lt;15000,"Medio","Alto"))</f>
        <v/>
      </c>
    </row>
    <row r="787">
      <c r="A787" t="inlineStr">
        <is>
          <t>Farmacity</t>
        </is>
      </c>
      <c r="B787" t="n">
        <v>245036</v>
      </c>
      <c r="C787" t="n">
        <v>245036</v>
      </c>
      <c r="D787" t="inlineStr">
        <is>
          <t>Protector Térmico Get The Look x 125 ml</t>
        </is>
      </c>
      <c r="E787" t="inlineStr">
        <is>
          <t>Get the Look</t>
        </is>
      </c>
      <c r="F787" t="n">
        <v>4823</v>
      </c>
      <c r="G787" t="n">
        <v>6890</v>
      </c>
      <c r="H787" t="b">
        <v>1</v>
      </c>
      <c r="I787" t="n">
        <v>125</v>
      </c>
      <c r="J787" t="n">
        <v>38.584</v>
      </c>
      <c r="K787" t="inlineStr">
        <is>
          <t>&gt; Cuidado Capilar &gt; Reparación Y Tratamiento &gt;</t>
        </is>
      </c>
      <c r="L787" t="inlineStr">
        <is>
          <t>shampoo</t>
        </is>
      </c>
      <c r="M787" t="inlineStr">
        <is>
          <t>estandar</t>
        </is>
      </c>
      <c r="N787" t="inlineStr">
        <is>
          <t>general</t>
        </is>
      </c>
      <c r="O787" t="inlineStr">
        <is>
          <t>https://www.farmacity.com/protector-termico-get-the-look-x-125-ml/p</t>
        </is>
      </c>
      <c r="P787">
        <f>TRIM(CLEAN(PROPER(D787)))</f>
        <v/>
      </c>
      <c r="Q787">
        <f>PROPER(TRIM(SUBSTITUTE(SUBSTITUTE(SUBSTITUTE(SUBSTITUTE(E787,"TRESEMME","Tresemme"),"HEAD &amp; SHOULDERS","Head &amp; Shoulders"),"ELVIVE","Elvive"),"FRUCTIS","Fructis")))</f>
        <v/>
      </c>
      <c r="R787">
        <f>COUNTIF($D$2:$D$10000,D787)&gt;1</f>
        <v/>
      </c>
      <c r="S787">
        <f>IF(H787=TRUE,"Disponible","No disponible")</f>
        <v/>
      </c>
      <c r="T787">
        <f>IF(AND(ISNUMBER(I787),I787&gt;0),ROUND(F787/I787,2),"Sin volumen")</f>
        <v/>
      </c>
      <c r="U787">
        <f>IF(F787&lt;5000,"Bajo",IF(F787&lt;15000,"Medio","Alto"))</f>
        <v/>
      </c>
    </row>
    <row r="788">
      <c r="A788" s="6" t="inlineStr">
        <is>
          <t>Farmacity</t>
        </is>
      </c>
      <c r="B788" s="6" t="n">
        <v>249156</v>
      </c>
      <c r="C788" s="6" t="n">
        <v>249156</v>
      </c>
      <c r="D788" s="6" t="inlineStr">
        <is>
          <t>Combo Get The Look Control Frizz y Brillo</t>
        </is>
      </c>
      <c r="E788" s="6" t="inlineStr">
        <is>
          <t>Get the Look</t>
        </is>
      </c>
      <c r="F788" s="6" t="n">
        <v>16040</v>
      </c>
      <c r="G788" s="6" t="n">
        <v>32080</v>
      </c>
      <c r="H788" s="6" t="b">
        <v>1</v>
      </c>
      <c r="I788" s="6" t="inlineStr"/>
      <c r="J788" s="6" t="inlineStr"/>
      <c r="K788" s="6" t="inlineStr">
        <is>
          <t>&gt; Cuidado Capilar &gt; Reparación Y Tratamiento &gt;</t>
        </is>
      </c>
      <c r="L788" s="6" t="inlineStr">
        <is>
          <t>shampoo</t>
        </is>
      </c>
      <c r="M788" s="6" t="inlineStr">
        <is>
          <t>estandar</t>
        </is>
      </c>
      <c r="N788" s="6" t="inlineStr">
        <is>
          <t>general</t>
        </is>
      </c>
      <c r="O788" s="6" t="inlineStr">
        <is>
          <t>https://www.farmacity.com/combo-get-the-look-control-frizz-y-brillo/p</t>
        </is>
      </c>
      <c r="P788" s="8">
        <f>TRIM(CLEAN(PROPER(D788)))</f>
        <v/>
      </c>
      <c r="Q788" s="8">
        <f>PROPER(TRIM(SUBSTITUTE(SUBSTITUTE(SUBSTITUTE(SUBSTITUTE(E788,"TRESEMME","Tresemme"),"HEAD &amp; SHOULDERS","Head &amp; Shoulders"),"ELVIVE","Elvive"),"FRUCTIS","Fructis")))</f>
        <v/>
      </c>
      <c r="R788" s="8">
        <f>COUNTIF($D$2:$D$10000,D788)&gt;1</f>
        <v/>
      </c>
      <c r="S788" s="8">
        <f>IF(H788=TRUE,"Disponible","No disponible")</f>
        <v/>
      </c>
      <c r="T788" s="8">
        <f>IF(AND(ISNUMBER(I788),I788&gt;0),ROUND(F788/I788,2),"Sin volumen")</f>
        <v/>
      </c>
      <c r="U788" s="8">
        <f>IF(F788&lt;5000,"Bajo",IF(F788&lt;15000,"Medio","Alto"))</f>
        <v/>
      </c>
    </row>
    <row r="789">
      <c r="A789" t="inlineStr">
        <is>
          <t>Farmacity</t>
        </is>
      </c>
      <c r="B789" t="n">
        <v>246635</v>
      </c>
      <c r="C789" t="n">
        <v>246635</v>
      </c>
      <c r="D789" t="inlineStr">
        <is>
          <t>Óleo Herbal Essences Argan y Aloe x 100 ml</t>
        </is>
      </c>
      <c r="E789" t="inlineStr">
        <is>
          <t>Herbal Essences</t>
        </is>
      </c>
      <c r="F789" t="n">
        <v>16581</v>
      </c>
      <c r="G789" t="n">
        <v>25509</v>
      </c>
      <c r="H789" t="b">
        <v>1</v>
      </c>
      <c r="I789" t="n">
        <v>100</v>
      </c>
      <c r="J789" t="n">
        <v>165.81</v>
      </c>
      <c r="K789" t="inlineStr">
        <is>
          <t>&gt; Cuidado Capilar &gt; Reparación Y Tratamiento &gt;</t>
        </is>
      </c>
      <c r="L789" t="inlineStr">
        <is>
          <t>shampoo</t>
        </is>
      </c>
      <c r="M789" t="inlineStr">
        <is>
          <t>estandar</t>
        </is>
      </c>
      <c r="N789" t="inlineStr">
        <is>
          <t>general</t>
        </is>
      </c>
      <c r="O789" t="inlineStr">
        <is>
          <t>https://www.farmacity.com/oleo-herbal-essences-argan-y-aloe-x-100-ml/p</t>
        </is>
      </c>
      <c r="P789">
        <f>TRIM(CLEAN(PROPER(D789)))</f>
        <v/>
      </c>
      <c r="Q789">
        <f>PROPER(TRIM(SUBSTITUTE(SUBSTITUTE(SUBSTITUTE(SUBSTITUTE(E789,"TRESEMME","Tresemme"),"HEAD &amp; SHOULDERS","Head &amp; Shoulders"),"ELVIVE","Elvive"),"FRUCTIS","Fructis")))</f>
        <v/>
      </c>
      <c r="R789">
        <f>COUNTIF($D$2:$D$10000,D789)&gt;1</f>
        <v/>
      </c>
      <c r="S789">
        <f>IF(H789=TRUE,"Disponible","No disponible")</f>
        <v/>
      </c>
      <c r="T789">
        <f>IF(AND(ISNUMBER(I789),I789&gt;0),ROUND(F789/I789,2),"Sin volumen")</f>
        <v/>
      </c>
      <c r="U789">
        <f>IF(F789&lt;5000,"Bajo",IF(F789&lt;15000,"Medio","Alto"))</f>
        <v/>
      </c>
    </row>
    <row r="790">
      <c r="A790" s="6" t="inlineStr">
        <is>
          <t>Farmacity</t>
        </is>
      </c>
      <c r="B790" s="6" t="n">
        <v>239875</v>
      </c>
      <c r="C790" s="6" t="n">
        <v>239875</v>
      </c>
      <c r="D790" s="6" t="inlineStr">
        <is>
          <t>Sérum Revitalizador Pantene Pro-V Miracles Equilibrio Raíz y Puntas x 95 ml</t>
        </is>
      </c>
      <c r="E790" s="6" t="inlineStr">
        <is>
          <t>Pantene</t>
        </is>
      </c>
      <c r="F790" s="6" t="n">
        <v>23485</v>
      </c>
      <c r="G790" s="6" t="n">
        <v>23485</v>
      </c>
      <c r="H790" s="6" t="b">
        <v>1</v>
      </c>
      <c r="I790" s="6" t="n">
        <v>95</v>
      </c>
      <c r="J790" s="6" t="n">
        <v>247.2105</v>
      </c>
      <c r="K790" s="6" t="inlineStr">
        <is>
          <t>&gt; Cuidado Capilar &gt; Reparación Y Tratamiento &gt;</t>
        </is>
      </c>
      <c r="L790" s="6" t="inlineStr">
        <is>
          <t>shampoo</t>
        </is>
      </c>
      <c r="M790" s="6" t="inlineStr">
        <is>
          <t>profesional</t>
        </is>
      </c>
      <c r="N790" s="6" t="inlineStr">
        <is>
          <t>general</t>
        </is>
      </c>
      <c r="O790" s="6" t="inlineStr">
        <is>
          <t>https://www.farmacity.com/serum-pantene-equilibrio-x-95-ml/p</t>
        </is>
      </c>
      <c r="P790" s="8">
        <f>TRIM(CLEAN(PROPER(D790)))</f>
        <v/>
      </c>
      <c r="Q790" s="8">
        <f>PROPER(TRIM(SUBSTITUTE(SUBSTITUTE(SUBSTITUTE(SUBSTITUTE(E790,"TRESEMME","Tresemme"),"HEAD &amp; SHOULDERS","Head &amp; Shoulders"),"ELVIVE","Elvive"),"FRUCTIS","Fructis")))</f>
        <v/>
      </c>
      <c r="R790" s="8">
        <f>COUNTIF($D$2:$D$10000,D790)&gt;1</f>
        <v/>
      </c>
      <c r="S790" s="8">
        <f>IF(H790=TRUE,"Disponible","No disponible")</f>
        <v/>
      </c>
      <c r="T790" s="8">
        <f>IF(AND(ISNUMBER(I790),I790&gt;0),ROUND(F790/I790,2),"Sin volumen")</f>
        <v/>
      </c>
      <c r="U790" s="8">
        <f>IF(F790&lt;5000,"Bajo",IF(F790&lt;15000,"Medio","Alto"))</f>
        <v/>
      </c>
    </row>
    <row r="791">
      <c r="A791" t="inlineStr">
        <is>
          <t>Farmacity</t>
        </is>
      </c>
      <c r="B791" t="n">
        <v>250199</v>
      </c>
      <c r="C791" t="n">
        <v>250199</v>
      </c>
      <c r="D791" t="inlineStr">
        <is>
          <t>Ampolla La Puissance Paso 5 Extra Cell Plex x 15 ml</t>
        </is>
      </c>
      <c r="E791" t="inlineStr">
        <is>
          <t>La Puissance</t>
        </is>
      </c>
      <c r="F791" t="n">
        <v>9900</v>
      </c>
      <c r="G791" t="n">
        <v>9900</v>
      </c>
      <c r="H791" t="b">
        <v>1</v>
      </c>
      <c r="I791" t="n">
        <v>15</v>
      </c>
      <c r="J791" t="n">
        <v>660</v>
      </c>
      <c r="K791" t="inlineStr">
        <is>
          <t>&gt; Cuidado Capilar &gt; Reparación Y Tratamiento &gt;</t>
        </is>
      </c>
      <c r="L791" t="inlineStr">
        <is>
          <t>shampoo</t>
        </is>
      </c>
      <c r="M791" t="inlineStr">
        <is>
          <t>estandar</t>
        </is>
      </c>
      <c r="N791" t="inlineStr">
        <is>
          <t>general</t>
        </is>
      </c>
      <c r="O791" t="inlineStr">
        <is>
          <t>https://www.farmacity.com/ampolla-la-puissance-paso-5-extra-cell-plex-x-15-ml/p</t>
        </is>
      </c>
      <c r="P791">
        <f>TRIM(CLEAN(PROPER(D791)))</f>
        <v/>
      </c>
      <c r="Q791">
        <f>PROPER(TRIM(SUBSTITUTE(SUBSTITUTE(SUBSTITUTE(SUBSTITUTE(E791,"TRESEMME","Tresemme"),"HEAD &amp; SHOULDERS","Head &amp; Shoulders"),"ELVIVE","Elvive"),"FRUCTIS","Fructis")))</f>
        <v/>
      </c>
      <c r="R791">
        <f>COUNTIF($D$2:$D$10000,D791)&gt;1</f>
        <v/>
      </c>
      <c r="S791">
        <f>IF(H791=TRUE,"Disponible","No disponible")</f>
        <v/>
      </c>
      <c r="T791">
        <f>IF(AND(ISNUMBER(I791),I791&gt;0),ROUND(F791/I791,2),"Sin volumen")</f>
        <v/>
      </c>
      <c r="U791">
        <f>IF(F791&lt;5000,"Bajo",IF(F791&lt;15000,"Medio","Alto"))</f>
        <v/>
      </c>
    </row>
    <row r="792">
      <c r="A792" s="6" t="inlineStr">
        <is>
          <t>Farmacity</t>
        </is>
      </c>
      <c r="B792" s="6" t="n">
        <v>250197</v>
      </c>
      <c r="C792" s="6" t="n">
        <v>250197</v>
      </c>
      <c r="D792" s="6" t="inlineStr">
        <is>
          <t>Spray La Puissance Extra Cell Plex Paso 4 x 100 ml</t>
        </is>
      </c>
      <c r="E792" s="6" t="inlineStr">
        <is>
          <t>La Puissance</t>
        </is>
      </c>
      <c r="F792" s="6" t="n">
        <v>13900</v>
      </c>
      <c r="G792" s="6" t="n">
        <v>13900</v>
      </c>
      <c r="H792" s="6" t="b">
        <v>1</v>
      </c>
      <c r="I792" s="6" t="n">
        <v>100</v>
      </c>
      <c r="J792" s="6" t="n">
        <v>139</v>
      </c>
      <c r="K792" s="6" t="inlineStr">
        <is>
          <t>&gt; Cuidado Capilar &gt; Reparación Y Tratamiento &gt;</t>
        </is>
      </c>
      <c r="L792" s="6" t="inlineStr">
        <is>
          <t>shampoo</t>
        </is>
      </c>
      <c r="M792" s="6" t="inlineStr">
        <is>
          <t>estandar</t>
        </is>
      </c>
      <c r="N792" s="6" t="inlineStr">
        <is>
          <t>general</t>
        </is>
      </c>
      <c r="O792" s="6" t="inlineStr">
        <is>
          <t>https://www.farmacity.com/spray-la-puissance-extra-cell-plex-paso-4-x-100-ml/p</t>
        </is>
      </c>
      <c r="P792" s="8">
        <f>TRIM(CLEAN(PROPER(D792)))</f>
        <v/>
      </c>
      <c r="Q792" s="8">
        <f>PROPER(TRIM(SUBSTITUTE(SUBSTITUTE(SUBSTITUTE(SUBSTITUTE(E792,"TRESEMME","Tresemme"),"HEAD &amp; SHOULDERS","Head &amp; Shoulders"),"ELVIVE","Elvive"),"FRUCTIS","Fructis")))</f>
        <v/>
      </c>
      <c r="R792" s="8">
        <f>COUNTIF($D$2:$D$10000,D792)&gt;1</f>
        <v/>
      </c>
      <c r="S792" s="8">
        <f>IF(H792=TRUE,"Disponible","No disponible")</f>
        <v/>
      </c>
      <c r="T792" s="8">
        <f>IF(AND(ISNUMBER(I792),I792&gt;0),ROUND(F792/I792,2),"Sin volumen")</f>
        <v/>
      </c>
      <c r="U792" s="8">
        <f>IF(F792&lt;5000,"Bajo",IF(F792&lt;15000,"Medio","Alto"))</f>
        <v/>
      </c>
    </row>
    <row r="793">
      <c r="A793" t="inlineStr">
        <is>
          <t>Farmacity</t>
        </is>
      </c>
      <c r="B793" t="n">
        <v>208220</v>
      </c>
      <c r="C793" t="n">
        <v>208220</v>
      </c>
      <c r="D793" t="inlineStr">
        <is>
          <t>Shampoo Nopucid Uso Diario x 200 ml</t>
        </is>
      </c>
      <c r="E793" t="inlineStr">
        <is>
          <t>Nopucid</t>
        </is>
      </c>
      <c r="F793" t="n">
        <v>14880</v>
      </c>
      <c r="G793" t="n">
        <v>14880</v>
      </c>
      <c r="H793" t="b">
        <v>1</v>
      </c>
      <c r="I793" t="n">
        <v>200</v>
      </c>
      <c r="J793" t="n">
        <v>74.40000000000001</v>
      </c>
      <c r="K793" t="inlineStr">
        <is>
          <t>&gt; Farmacia &gt; Pediculosis &gt; Shampoo Y Acondicionador &gt;</t>
        </is>
      </c>
      <c r="L793" t="inlineStr">
        <is>
          <t>shampoo</t>
        </is>
      </c>
      <c r="M793" t="inlineStr">
        <is>
          <t>estandar</t>
        </is>
      </c>
      <c r="N793" t="inlineStr">
        <is>
          <t>general</t>
        </is>
      </c>
      <c r="O793" t="inlineStr">
        <is>
          <t>https://www.farmacity.com/shampoo-uso-diario-nopucid-x-200-ml/p</t>
        </is>
      </c>
      <c r="P793">
        <f>TRIM(CLEAN(PROPER(D793)))</f>
        <v/>
      </c>
      <c r="Q793">
        <f>PROPER(TRIM(SUBSTITUTE(SUBSTITUTE(SUBSTITUTE(SUBSTITUTE(E793,"TRESEMME","Tresemme"),"HEAD &amp; SHOULDERS","Head &amp; Shoulders"),"ELVIVE","Elvive"),"FRUCTIS","Fructis")))</f>
        <v/>
      </c>
      <c r="R793">
        <f>COUNTIF($D$2:$D$10000,D793)&gt;1</f>
        <v/>
      </c>
      <c r="S793">
        <f>IF(H793=TRUE,"Disponible","No disponible")</f>
        <v/>
      </c>
      <c r="T793">
        <f>IF(AND(ISNUMBER(I793),I793&gt;0),ROUND(F793/I793,2),"Sin volumen")</f>
        <v/>
      </c>
      <c r="U793">
        <f>IF(F793&lt;5000,"Bajo",IF(F793&lt;15000,"Medio","Alto"))</f>
        <v/>
      </c>
    </row>
    <row r="794">
      <c r="A794" s="6" t="inlineStr">
        <is>
          <t>Farmacity</t>
        </is>
      </c>
      <c r="B794" s="6" t="n">
        <v>8856</v>
      </c>
      <c r="C794" s="6" t="n">
        <v>156279</v>
      </c>
      <c r="D794" s="6" t="inlineStr">
        <is>
          <t>Crema para Peinar Sedal Rizos Definidos x 300 ml</t>
        </is>
      </c>
      <c r="E794" s="6" t="inlineStr">
        <is>
          <t>Sedal</t>
        </is>
      </c>
      <c r="F794" s="6" t="n">
        <v>5684</v>
      </c>
      <c r="G794" s="6" t="n">
        <v>5684</v>
      </c>
      <c r="H794" s="6" t="b">
        <v>1</v>
      </c>
      <c r="I794" s="6" t="n">
        <v>300</v>
      </c>
      <c r="J794" s="6" t="n">
        <v>18.9467</v>
      </c>
      <c r="K794" s="6" t="inlineStr">
        <is>
          <t>&gt; Cuidado Capilar &gt; Modelado Y Peinado &gt;</t>
        </is>
      </c>
      <c r="L794" s="6" t="inlineStr">
        <is>
          <t>shampoo</t>
        </is>
      </c>
      <c r="M794" s="6" t="inlineStr">
        <is>
          <t>estandar</t>
        </is>
      </c>
      <c r="N794" s="6" t="inlineStr">
        <is>
          <t>rizado</t>
        </is>
      </c>
      <c r="O794" s="6" t="inlineStr">
        <is>
          <t>https://www.farmacity.com/crema-p-peinar-sedal-rizos-definidos-x-300-ml/p</t>
        </is>
      </c>
      <c r="P794" s="8">
        <f>TRIM(CLEAN(PROPER(D794)))</f>
        <v/>
      </c>
      <c r="Q794" s="8">
        <f>PROPER(TRIM(SUBSTITUTE(SUBSTITUTE(SUBSTITUTE(SUBSTITUTE(E794,"TRESEMME","Tresemme"),"HEAD &amp; SHOULDERS","Head &amp; Shoulders"),"ELVIVE","Elvive"),"FRUCTIS","Fructis")))</f>
        <v/>
      </c>
      <c r="R794" s="8">
        <f>COUNTIF($D$2:$D$10000,D794)&gt;1</f>
        <v/>
      </c>
      <c r="S794" s="8">
        <f>IF(H794=TRUE,"Disponible","No disponible")</f>
        <v/>
      </c>
      <c r="T794" s="8">
        <f>IF(AND(ISNUMBER(I794),I794&gt;0),ROUND(F794/I794,2),"Sin volumen")</f>
        <v/>
      </c>
      <c r="U794" s="8">
        <f>IF(F794&lt;5000,"Bajo",IF(F794&lt;15000,"Medio","Alto"))</f>
        <v/>
      </c>
    </row>
    <row r="795">
      <c r="A795" t="inlineStr">
        <is>
          <t>Farmacity</t>
        </is>
      </c>
      <c r="B795" t="n">
        <v>214145</v>
      </c>
      <c r="C795" t="n">
        <v>214145</v>
      </c>
      <c r="D795" t="inlineStr">
        <is>
          <t>Crema de Peinar Estereocolor Macadamia</t>
        </is>
      </c>
      <c r="E795" t="inlineStr">
        <is>
          <t>Estereocolor</t>
        </is>
      </c>
      <c r="F795" t="n">
        <v>1040</v>
      </c>
      <c r="G795" t="n">
        <v>1040</v>
      </c>
      <c r="H795" t="b">
        <v>1</v>
      </c>
      <c r="I795" t="inlineStr"/>
      <c r="J795" t="inlineStr"/>
      <c r="K795" t="inlineStr">
        <is>
          <t>&gt; Cuidado Capilar &gt; Reparación Y Tratamiento &gt;</t>
        </is>
      </c>
      <c r="L795" t="inlineStr">
        <is>
          <t>shampoo</t>
        </is>
      </c>
      <c r="M795" t="inlineStr">
        <is>
          <t>estandar</t>
        </is>
      </c>
      <c r="N795" t="inlineStr">
        <is>
          <t>tratado</t>
        </is>
      </c>
      <c r="O795" t="inlineStr">
        <is>
          <t>https://www.farmacity.com/crema-de-peinar-estereo-color-macadamia-x-1-un/p</t>
        </is>
      </c>
      <c r="P795">
        <f>TRIM(CLEAN(PROPER(D795)))</f>
        <v/>
      </c>
      <c r="Q795">
        <f>PROPER(TRIM(SUBSTITUTE(SUBSTITUTE(SUBSTITUTE(SUBSTITUTE(E795,"TRESEMME","Tresemme"),"HEAD &amp; SHOULDERS","Head &amp; Shoulders"),"ELVIVE","Elvive"),"FRUCTIS","Fructis")))</f>
        <v/>
      </c>
      <c r="R795">
        <f>COUNTIF($D$2:$D$10000,D795)&gt;1</f>
        <v/>
      </c>
      <c r="S795">
        <f>IF(H795=TRUE,"Disponible","No disponible")</f>
        <v/>
      </c>
      <c r="T795">
        <f>IF(AND(ISNUMBER(I795),I795&gt;0),ROUND(F795/I795,2),"Sin volumen")</f>
        <v/>
      </c>
      <c r="U795">
        <f>IF(F795&lt;5000,"Bajo",IF(F795&lt;15000,"Medio","Alto"))</f>
        <v/>
      </c>
    </row>
    <row r="796">
      <c r="A796" s="6" t="inlineStr">
        <is>
          <t>Farmacity</t>
        </is>
      </c>
      <c r="B796" s="6" t="n">
        <v>208217</v>
      </c>
      <c r="C796" s="6" t="n">
        <v>208217</v>
      </c>
      <c r="D796" s="6" t="inlineStr">
        <is>
          <t>Loción con Shampoo Nopucid x 65 ml</t>
        </is>
      </c>
      <c r="E796" s="6" t="inlineStr">
        <is>
          <t>Nopucid</t>
        </is>
      </c>
      <c r="F796" s="6" t="n">
        <v>19409</v>
      </c>
      <c r="G796" s="6" t="n">
        <v>19409</v>
      </c>
      <c r="H796" s="6" t="b">
        <v>1</v>
      </c>
      <c r="I796" s="6" t="n">
        <v>65</v>
      </c>
      <c r="J796" s="6" t="n">
        <v>298.6</v>
      </c>
      <c r="K796" s="6" t="inlineStr">
        <is>
          <t>&gt; Farmacia &gt; Pediculosis &gt; Lociones, Enjuagues Y Emulsiones &gt;</t>
        </is>
      </c>
      <c r="L796" s="6" t="inlineStr">
        <is>
          <t>shampoo</t>
        </is>
      </c>
      <c r="M796" s="6" t="inlineStr">
        <is>
          <t>estandar</t>
        </is>
      </c>
      <c r="N796" s="6" t="inlineStr">
        <is>
          <t>general</t>
        </is>
      </c>
      <c r="O796" s="6" t="inlineStr">
        <is>
          <t>https://www.farmacity.com/locion-con-shampoo-nopucid-x-65-ml/p</t>
        </is>
      </c>
      <c r="P796" s="8">
        <f>TRIM(CLEAN(PROPER(D796)))</f>
        <v/>
      </c>
      <c r="Q796" s="8">
        <f>PROPER(TRIM(SUBSTITUTE(SUBSTITUTE(SUBSTITUTE(SUBSTITUTE(E796,"TRESEMME","Tresemme"),"HEAD &amp; SHOULDERS","Head &amp; Shoulders"),"ELVIVE","Elvive"),"FRUCTIS","Fructis")))</f>
        <v/>
      </c>
      <c r="R796" s="8">
        <f>COUNTIF($D$2:$D$10000,D796)&gt;1</f>
        <v/>
      </c>
      <c r="S796" s="8">
        <f>IF(H796=TRUE,"Disponible","No disponible")</f>
        <v/>
      </c>
      <c r="T796" s="8">
        <f>IF(AND(ISNUMBER(I796),I796&gt;0),ROUND(F796/I796,2),"Sin volumen")</f>
        <v/>
      </c>
      <c r="U796" s="8">
        <f>IF(F796&lt;5000,"Bajo",IF(F796&lt;15000,"Medio","Alto"))</f>
        <v/>
      </c>
    </row>
    <row r="797">
      <c r="A797" t="inlineStr">
        <is>
          <t>Farmacity</t>
        </is>
      </c>
      <c r="B797" t="n">
        <v>825</v>
      </c>
      <c r="C797" t="n">
        <v>131898</v>
      </c>
      <c r="D797" t="inlineStr">
        <is>
          <t>Ampollas Pantene Shot de Reconstrucción Perlas Pro-Vitaminas x 15 ml x 3 un</t>
        </is>
      </c>
      <c r="E797" t="inlineStr">
        <is>
          <t>Pantene</t>
        </is>
      </c>
      <c r="F797" t="n">
        <v>7482</v>
      </c>
      <c r="G797" t="n">
        <v>7482</v>
      </c>
      <c r="H797" t="b">
        <v>1</v>
      </c>
      <c r="I797" t="n">
        <v>15</v>
      </c>
      <c r="J797" t="n">
        <v>498.8</v>
      </c>
      <c r="K797" t="inlineStr">
        <is>
          <t>&gt; Cuidado Capilar &gt; Reparación Y Tratamiento &gt;</t>
        </is>
      </c>
      <c r="L797" t="inlineStr">
        <is>
          <t>shampoo</t>
        </is>
      </c>
      <c r="M797" t="inlineStr">
        <is>
          <t>profesional</t>
        </is>
      </c>
      <c r="N797" t="inlineStr">
        <is>
          <t>general</t>
        </is>
      </c>
      <c r="O797" t="inlineStr">
        <is>
          <t>https://www.farmacity.com/tratamiento-capilar-pantene-pro-v-restauracion-45-ml/p</t>
        </is>
      </c>
      <c r="P797">
        <f>TRIM(CLEAN(PROPER(D797)))</f>
        <v/>
      </c>
      <c r="Q797">
        <f>PROPER(TRIM(SUBSTITUTE(SUBSTITUTE(SUBSTITUTE(SUBSTITUTE(E797,"TRESEMME","Tresemme"),"HEAD &amp; SHOULDERS","Head &amp; Shoulders"),"ELVIVE","Elvive"),"FRUCTIS","Fructis")))</f>
        <v/>
      </c>
      <c r="R797">
        <f>COUNTIF($D$2:$D$10000,D797)&gt;1</f>
        <v/>
      </c>
      <c r="S797">
        <f>IF(H797=TRUE,"Disponible","No disponible")</f>
        <v/>
      </c>
      <c r="T797">
        <f>IF(AND(ISNUMBER(I797),I797&gt;0),ROUND(F797/I797,2),"Sin volumen")</f>
        <v/>
      </c>
      <c r="U797">
        <f>IF(F797&lt;5000,"Bajo",IF(F797&lt;15000,"Medio","Alto"))</f>
        <v/>
      </c>
    </row>
    <row r="798">
      <c r="A798" s="6" t="inlineStr">
        <is>
          <t>Farmacity</t>
        </is>
      </c>
      <c r="B798" s="6" t="n">
        <v>221813</v>
      </c>
      <c r="C798" s="6" t="n">
        <v>221813</v>
      </c>
      <c r="D798" s="6" t="inlineStr">
        <is>
          <t>Crema para Peinar Sedal Hialurónico y Vitamina A x 300 ml</t>
        </is>
      </c>
      <c r="E798" s="6" t="inlineStr">
        <is>
          <t>Sedal</t>
        </is>
      </c>
      <c r="F798" s="6" t="n">
        <v>5684</v>
      </c>
      <c r="G798" s="6" t="n">
        <v>5684</v>
      </c>
      <c r="H798" s="6" t="b">
        <v>1</v>
      </c>
      <c r="I798" s="6" t="n">
        <v>300</v>
      </c>
      <c r="J798" s="6" t="n">
        <v>18.9467</v>
      </c>
      <c r="K798" s="6" t="inlineStr">
        <is>
          <t>&gt; Cuidado Capilar &gt; Modelado Y Peinado &gt;</t>
        </is>
      </c>
      <c r="L798" s="6" t="inlineStr">
        <is>
          <t>shampoo</t>
        </is>
      </c>
      <c r="M798" s="6" t="inlineStr">
        <is>
          <t>estandar</t>
        </is>
      </c>
      <c r="N798" s="6" t="inlineStr">
        <is>
          <t>general</t>
        </is>
      </c>
      <c r="O798" s="6" t="inlineStr">
        <is>
          <t>https://www.farmacity.com/crema-para-peinar-sedal-acido-hialuronico-vitamina-a-x-300-ml/p</t>
        </is>
      </c>
      <c r="P798" s="8">
        <f>TRIM(CLEAN(PROPER(D798)))</f>
        <v/>
      </c>
      <c r="Q798" s="8">
        <f>PROPER(TRIM(SUBSTITUTE(SUBSTITUTE(SUBSTITUTE(SUBSTITUTE(E798,"TRESEMME","Tresemme"),"HEAD &amp; SHOULDERS","Head &amp; Shoulders"),"ELVIVE","Elvive"),"FRUCTIS","Fructis")))</f>
        <v/>
      </c>
      <c r="R798" s="8">
        <f>COUNTIF($D$2:$D$10000,D798)&gt;1</f>
        <v/>
      </c>
      <c r="S798" s="8">
        <f>IF(H798=TRUE,"Disponible","No disponible")</f>
        <v/>
      </c>
      <c r="T798" s="8">
        <f>IF(AND(ISNUMBER(I798),I798&gt;0),ROUND(F798/I798,2),"Sin volumen")</f>
        <v/>
      </c>
      <c r="U798" s="8">
        <f>IF(F798&lt;5000,"Bajo",IF(F798&lt;15000,"Medio","Alto"))</f>
        <v/>
      </c>
    </row>
    <row r="799">
      <c r="A799" t="inlineStr">
        <is>
          <t>Farmacity</t>
        </is>
      </c>
      <c r="B799" t="n">
        <v>226252</v>
      </c>
      <c r="C799" t="n">
        <v>226252</v>
      </c>
      <c r="D799" t="inlineStr">
        <is>
          <t>Shampoo Nutritivo Klorane Mango x 200 ml</t>
        </is>
      </c>
      <c r="E799" t="inlineStr">
        <is>
          <t>Klorane</t>
        </is>
      </c>
      <c r="F799" t="n">
        <v>29000</v>
      </c>
      <c r="G799" t="n">
        <v>29000</v>
      </c>
      <c r="H799" t="b">
        <v>1</v>
      </c>
      <c r="I799" t="n">
        <v>200</v>
      </c>
      <c r="J799" t="n">
        <v>145</v>
      </c>
      <c r="K799" t="inlineStr">
        <is>
          <t>&gt; Dermocosmética &gt; Pelo &gt; Shampoos y Acondicionadores &gt;</t>
        </is>
      </c>
      <c r="L799" t="inlineStr">
        <is>
          <t>shampoo</t>
        </is>
      </c>
      <c r="M799" t="inlineStr">
        <is>
          <t>estandar</t>
        </is>
      </c>
      <c r="N799" t="inlineStr">
        <is>
          <t>general</t>
        </is>
      </c>
      <c r="O799" t="inlineStr">
        <is>
          <t>https://www.farmacity.com/shampoo-klorane-mango-x-200-ml/p</t>
        </is>
      </c>
      <c r="P799">
        <f>TRIM(CLEAN(PROPER(D799)))</f>
        <v/>
      </c>
      <c r="Q799">
        <f>PROPER(TRIM(SUBSTITUTE(SUBSTITUTE(SUBSTITUTE(SUBSTITUTE(E799,"TRESEMME","Tresemme"),"HEAD &amp; SHOULDERS","Head &amp; Shoulders"),"ELVIVE","Elvive"),"FRUCTIS","Fructis")))</f>
        <v/>
      </c>
      <c r="R799">
        <f>COUNTIF($D$2:$D$10000,D799)&gt;1</f>
        <v/>
      </c>
      <c r="S799">
        <f>IF(H799=TRUE,"Disponible","No disponible")</f>
        <v/>
      </c>
      <c r="T799">
        <f>IF(AND(ISNUMBER(I799),I799&gt;0),ROUND(F799/I799,2),"Sin volumen")</f>
        <v/>
      </c>
      <c r="U799">
        <f>IF(F799&lt;5000,"Bajo",IF(F799&lt;15000,"Medio","Alto"))</f>
        <v/>
      </c>
    </row>
    <row r="800">
      <c r="A800" s="6" t="inlineStr">
        <is>
          <t>Farmacity</t>
        </is>
      </c>
      <c r="B800" s="6" t="n">
        <v>224730</v>
      </c>
      <c r="C800" s="6" t="n">
        <v>224730</v>
      </c>
      <c r="D800" s="6" t="inlineStr">
        <is>
          <t>Mascarilla Intensiva Pantene Pro-V Nutrición x 270 ml</t>
        </is>
      </c>
      <c r="E800" s="6" t="inlineStr">
        <is>
          <t>Pantene</t>
        </is>
      </c>
      <c r="F800" s="6" t="n">
        <v>10225</v>
      </c>
      <c r="G800" s="6" t="n">
        <v>10225</v>
      </c>
      <c r="H800" s="6" t="b">
        <v>1</v>
      </c>
      <c r="I800" s="6" t="n">
        <v>270</v>
      </c>
      <c r="J800" s="6" t="n">
        <v>37.8704</v>
      </c>
      <c r="K800" s="6" t="inlineStr">
        <is>
          <t>&gt; Cuidado Capilar &gt; Reparación Y Tratamiento &gt;</t>
        </is>
      </c>
      <c r="L800" s="6" t="inlineStr">
        <is>
          <t>tratamiento</t>
        </is>
      </c>
      <c r="M800" s="6" t="inlineStr">
        <is>
          <t>profesional</t>
        </is>
      </c>
      <c r="N800" s="6" t="inlineStr">
        <is>
          <t>general</t>
        </is>
      </c>
      <c r="O800" s="6" t="inlineStr">
        <is>
          <t>https://www.farmacity.com/mascarilla-intesiva-pantene-pro-v-nutricion-x-270-ml/p</t>
        </is>
      </c>
      <c r="P800" s="8">
        <f>TRIM(CLEAN(PROPER(D800)))</f>
        <v/>
      </c>
      <c r="Q800" s="8">
        <f>PROPER(TRIM(SUBSTITUTE(SUBSTITUTE(SUBSTITUTE(SUBSTITUTE(E800,"TRESEMME","Tresemme"),"HEAD &amp; SHOULDERS","Head &amp; Shoulders"),"ELVIVE","Elvive"),"FRUCTIS","Fructis")))</f>
        <v/>
      </c>
      <c r="R800" s="8">
        <f>COUNTIF($D$2:$D$10000,D800)&gt;1</f>
        <v/>
      </c>
      <c r="S800" s="8">
        <f>IF(H800=TRUE,"Disponible","No disponible")</f>
        <v/>
      </c>
      <c r="T800" s="8">
        <f>IF(AND(ISNUMBER(I800),I800&gt;0),ROUND(F800/I800,2),"Sin volumen")</f>
        <v/>
      </c>
      <c r="U800" s="8">
        <f>IF(F800&lt;5000,"Bajo",IF(F800&lt;15000,"Medio","Alto"))</f>
        <v/>
      </c>
    </row>
    <row r="801">
      <c r="A801" t="inlineStr">
        <is>
          <t>Farmacity</t>
        </is>
      </c>
      <c r="B801" t="n">
        <v>244369</v>
      </c>
      <c r="C801" t="n">
        <v>244369</v>
      </c>
      <c r="D801" t="inlineStr">
        <is>
          <t>Coat Spray Tresemmé Sellado Antifrizz x 190 ml</t>
        </is>
      </c>
      <c r="E801" t="inlineStr">
        <is>
          <t>Tresemmé</t>
        </is>
      </c>
      <c r="F801" t="n">
        <v>8088</v>
      </c>
      <c r="G801" t="n">
        <v>14705</v>
      </c>
      <c r="H801" t="b">
        <v>1</v>
      </c>
      <c r="I801" t="n">
        <v>190</v>
      </c>
      <c r="J801" t="n">
        <v>42.5684</v>
      </c>
      <c r="K801" t="inlineStr">
        <is>
          <t>&gt; Cuidado Capilar &gt; Reparación Y Tratamiento &gt;</t>
        </is>
      </c>
      <c r="L801" t="inlineStr">
        <is>
          <t>shampoo</t>
        </is>
      </c>
      <c r="M801" t="inlineStr">
        <is>
          <t>estandar</t>
        </is>
      </c>
      <c r="N801" t="inlineStr">
        <is>
          <t>general</t>
        </is>
      </c>
      <c r="O801" t="inlineStr">
        <is>
          <t>https://www.farmacity.com/spray-tresemme-blind-antifrizz-x-190-ml/p</t>
        </is>
      </c>
      <c r="P801">
        <f>TRIM(CLEAN(PROPER(D801)))</f>
        <v/>
      </c>
      <c r="Q801">
        <f>PROPER(TRIM(SUBSTITUTE(SUBSTITUTE(SUBSTITUTE(SUBSTITUTE(E801,"TRESEMME","Tresemme"),"HEAD &amp; SHOULDERS","Head &amp; Shoulders"),"ELVIVE","Elvive"),"FRUCTIS","Fructis")))</f>
        <v/>
      </c>
      <c r="R801">
        <f>COUNTIF($D$2:$D$10000,D801)&gt;1</f>
        <v/>
      </c>
      <c r="S801">
        <f>IF(H801=TRUE,"Disponible","No disponible")</f>
        <v/>
      </c>
      <c r="T801">
        <f>IF(AND(ISNUMBER(I801),I801&gt;0),ROUND(F801/I801,2),"Sin volumen")</f>
        <v/>
      </c>
      <c r="U801">
        <f>IF(F801&lt;5000,"Bajo",IF(F801&lt;15000,"Medio","Alto"))</f>
        <v/>
      </c>
    </row>
    <row r="802">
      <c r="A802" s="6" t="inlineStr">
        <is>
          <t>Farmacity</t>
        </is>
      </c>
      <c r="B802" s="6" t="n">
        <v>238890</v>
      </c>
      <c r="C802" s="6" t="n">
        <v>238890</v>
      </c>
      <c r="D802" s="6" t="inlineStr">
        <is>
          <t>Acondicionador Pantene Pro-V Miracles Volumen x 400 ml</t>
        </is>
      </c>
      <c r="E802" s="6" t="inlineStr">
        <is>
          <t>Pantene</t>
        </is>
      </c>
      <c r="F802" s="6" t="n">
        <v>6137</v>
      </c>
      <c r="G802" s="6" t="n">
        <v>10228</v>
      </c>
      <c r="H802" s="6" t="b">
        <v>1</v>
      </c>
      <c r="I802" s="6" t="n">
        <v>400</v>
      </c>
      <c r="J802" s="6" t="n">
        <v>15.3425</v>
      </c>
      <c r="K802" s="6" t="inlineStr">
        <is>
          <t>&gt; Cuidado Capilar &gt; Shampoo Y Acondicionador &gt;</t>
        </is>
      </c>
      <c r="L802" s="6" t="inlineStr">
        <is>
          <t>acondicionador</t>
        </is>
      </c>
      <c r="M802" s="6" t="inlineStr">
        <is>
          <t>profesional</t>
        </is>
      </c>
      <c r="N802" s="6" t="inlineStr">
        <is>
          <t>general</t>
        </is>
      </c>
      <c r="O802" s="6" t="inlineStr">
        <is>
          <t>https://www.farmacity.com/acondicionador-pantene-pro-v-miracles-volumen-x-400-ml/p</t>
        </is>
      </c>
      <c r="P802" s="8">
        <f>TRIM(CLEAN(PROPER(D802)))</f>
        <v/>
      </c>
      <c r="Q802" s="8">
        <f>PROPER(TRIM(SUBSTITUTE(SUBSTITUTE(SUBSTITUTE(SUBSTITUTE(E802,"TRESEMME","Tresemme"),"HEAD &amp; SHOULDERS","Head &amp; Shoulders"),"ELVIVE","Elvive"),"FRUCTIS","Fructis")))</f>
        <v/>
      </c>
      <c r="R802" s="8">
        <f>COUNTIF($D$2:$D$10000,D802)&gt;1</f>
        <v/>
      </c>
      <c r="S802" s="8">
        <f>IF(H802=TRUE,"Disponible","No disponible")</f>
        <v/>
      </c>
      <c r="T802" s="8">
        <f>IF(AND(ISNUMBER(I802),I802&gt;0),ROUND(F802/I802,2),"Sin volumen")</f>
        <v/>
      </c>
      <c r="U802" s="8">
        <f>IF(F802&lt;5000,"Bajo",IF(F802&lt;15000,"Medio","Alto"))</f>
        <v/>
      </c>
    </row>
    <row r="803">
      <c r="A803" t="inlineStr">
        <is>
          <t>Farmacity</t>
        </is>
      </c>
      <c r="B803" t="n">
        <v>238676</v>
      </c>
      <c r="C803" t="n">
        <v>238676</v>
      </c>
      <c r="D803" t="inlineStr">
        <is>
          <t>Shampoo Biferdil Kids 3 en 1 x 250 ml</t>
        </is>
      </c>
      <c r="E803" t="inlineStr">
        <is>
          <t>Biferdil</t>
        </is>
      </c>
      <c r="F803" t="n">
        <v>12312</v>
      </c>
      <c r="G803" t="n">
        <v>12312</v>
      </c>
      <c r="H803" t="b">
        <v>1</v>
      </c>
      <c r="I803" t="n">
        <v>250</v>
      </c>
      <c r="J803" t="n">
        <v>49.248</v>
      </c>
      <c r="K803" t="inlineStr">
        <is>
          <t>&gt; Bebés &gt; Higiene del Bebé &gt; Baño Del Bebé &gt;</t>
        </is>
      </c>
      <c r="L803" t="inlineStr">
        <is>
          <t>shampoo</t>
        </is>
      </c>
      <c r="M803" t="inlineStr">
        <is>
          <t>estandar</t>
        </is>
      </c>
      <c r="N803" t="inlineStr">
        <is>
          <t>bebe</t>
        </is>
      </c>
      <c r="O803" t="inlineStr">
        <is>
          <t>https://www.farmacity.com/shampoo-biferdil-kids-3-en-1-x-250-ml/p</t>
        </is>
      </c>
      <c r="P803">
        <f>TRIM(CLEAN(PROPER(D803)))</f>
        <v/>
      </c>
      <c r="Q803">
        <f>PROPER(TRIM(SUBSTITUTE(SUBSTITUTE(SUBSTITUTE(SUBSTITUTE(E803,"TRESEMME","Tresemme"),"HEAD &amp; SHOULDERS","Head &amp; Shoulders"),"ELVIVE","Elvive"),"FRUCTIS","Fructis")))</f>
        <v/>
      </c>
      <c r="R803">
        <f>COUNTIF($D$2:$D$10000,D803)&gt;1</f>
        <v/>
      </c>
      <c r="S803">
        <f>IF(H803=TRUE,"Disponible","No disponible")</f>
        <v/>
      </c>
      <c r="T803">
        <f>IF(AND(ISNUMBER(I803),I803&gt;0),ROUND(F803/I803,2),"Sin volumen")</f>
        <v/>
      </c>
      <c r="U803">
        <f>IF(F803&lt;5000,"Bajo",IF(F803&lt;15000,"Medio","Alto"))</f>
        <v/>
      </c>
    </row>
    <row r="804">
      <c r="A804" s="6" t="inlineStr">
        <is>
          <t>Farmacity</t>
        </is>
      </c>
      <c r="B804" s="6" t="n">
        <v>230608</v>
      </c>
      <c r="C804" s="6" t="n">
        <v>230608</v>
      </c>
      <c r="D804" s="6" t="inlineStr">
        <is>
          <t>Shampoo Tresemmé Keratina AntiFrizz x 250 ml</t>
        </is>
      </c>
      <c r="E804" s="6" t="inlineStr">
        <is>
          <t>Tresemmé</t>
        </is>
      </c>
      <c r="F804" s="6" t="n">
        <v>6091</v>
      </c>
      <c r="G804" s="6" t="n">
        <v>6091</v>
      </c>
      <c r="H804" s="6" t="b">
        <v>1</v>
      </c>
      <c r="I804" s="6" t="n">
        <v>250</v>
      </c>
      <c r="J804" s="6" t="n">
        <v>24.364</v>
      </c>
      <c r="K804" s="6" t="inlineStr">
        <is>
          <t>&gt; Cuidado Capilar &gt; Shampoo Y Acondicionador &gt;</t>
        </is>
      </c>
      <c r="L804" s="6" t="inlineStr">
        <is>
          <t>shampoo</t>
        </is>
      </c>
      <c r="M804" s="6" t="inlineStr">
        <is>
          <t>estandar</t>
        </is>
      </c>
      <c r="N804" s="6" t="inlineStr">
        <is>
          <t>tratado</t>
        </is>
      </c>
      <c r="O804" s="6" t="inlineStr">
        <is>
          <t>https://www.farmacity.com/shampoo-tresemme-keratina-antifrizz-x-250-ml/p</t>
        </is>
      </c>
      <c r="P804" s="8">
        <f>TRIM(CLEAN(PROPER(D804)))</f>
        <v/>
      </c>
      <c r="Q804" s="8">
        <f>PROPER(TRIM(SUBSTITUTE(SUBSTITUTE(SUBSTITUTE(SUBSTITUTE(E804,"TRESEMME","Tresemme"),"HEAD &amp; SHOULDERS","Head &amp; Shoulders"),"ELVIVE","Elvive"),"FRUCTIS","Fructis")))</f>
        <v/>
      </c>
      <c r="R804" s="8">
        <f>COUNTIF($D$2:$D$10000,D804)&gt;1</f>
        <v/>
      </c>
      <c r="S804" s="8">
        <f>IF(H804=TRUE,"Disponible","No disponible")</f>
        <v/>
      </c>
      <c r="T804" s="8">
        <f>IF(AND(ISNUMBER(I804),I804&gt;0),ROUND(F804/I804,2),"Sin volumen")</f>
        <v/>
      </c>
      <c r="U804" s="8">
        <f>IF(F804&lt;5000,"Bajo",IF(F804&lt;15000,"Medio","Alto"))</f>
        <v/>
      </c>
    </row>
    <row r="805">
      <c r="A805" t="inlineStr">
        <is>
          <t>Farmacity</t>
        </is>
      </c>
      <c r="B805" t="n">
        <v>230611</v>
      </c>
      <c r="C805" t="n">
        <v>230611</v>
      </c>
      <c r="D805" t="inlineStr">
        <is>
          <t>Shampoo Dosificador Tresemmé Keratina AntiFrizz x 500 ml</t>
        </is>
      </c>
      <c r="E805" t="inlineStr">
        <is>
          <t>Tresemmé</t>
        </is>
      </c>
      <c r="F805" t="n">
        <v>6574</v>
      </c>
      <c r="G805" t="n">
        <v>10114</v>
      </c>
      <c r="H805" t="b">
        <v>1</v>
      </c>
      <c r="I805" t="n">
        <v>500</v>
      </c>
      <c r="J805" t="n">
        <v>13.148</v>
      </c>
      <c r="K805" t="inlineStr">
        <is>
          <t>&gt; Cuidado Capilar &gt; Shampoo Y Acondicionador &gt;</t>
        </is>
      </c>
      <c r="L805" t="inlineStr">
        <is>
          <t>shampoo</t>
        </is>
      </c>
      <c r="M805" t="inlineStr">
        <is>
          <t>estandar</t>
        </is>
      </c>
      <c r="N805" t="inlineStr">
        <is>
          <t>tratado</t>
        </is>
      </c>
      <c r="O805" t="inlineStr">
        <is>
          <t>https://www.farmacity.com/shampoo-dosificador-tresemme-keratina-antifrizz-x-500-ml/p</t>
        </is>
      </c>
      <c r="P805">
        <f>TRIM(CLEAN(PROPER(D805)))</f>
        <v/>
      </c>
      <c r="Q805">
        <f>PROPER(TRIM(SUBSTITUTE(SUBSTITUTE(SUBSTITUTE(SUBSTITUTE(E805,"TRESEMME","Tresemme"),"HEAD &amp; SHOULDERS","Head &amp; Shoulders"),"ELVIVE","Elvive"),"FRUCTIS","Fructis")))</f>
        <v/>
      </c>
      <c r="R805">
        <f>COUNTIF($D$2:$D$10000,D805)&gt;1</f>
        <v/>
      </c>
      <c r="S805">
        <f>IF(H805=TRUE,"Disponible","No disponible")</f>
        <v/>
      </c>
      <c r="T805">
        <f>IF(AND(ISNUMBER(I805),I805&gt;0),ROUND(F805/I805,2),"Sin volumen")</f>
        <v/>
      </c>
      <c r="U805">
        <f>IF(F805&lt;5000,"Bajo",IF(F805&lt;15000,"Medio","Alto"))</f>
        <v/>
      </c>
    </row>
    <row r="806">
      <c r="A806" s="6" t="inlineStr">
        <is>
          <t>Farmacity</t>
        </is>
      </c>
      <c r="B806" s="6" t="n">
        <v>215038</v>
      </c>
      <c r="C806" s="6" t="n">
        <v>215038</v>
      </c>
      <c r="D806" s="6" t="inlineStr">
        <is>
          <t>Shampoo Elvive Dream Long Liss x 400 ml</t>
        </is>
      </c>
      <c r="E806" s="6" t="inlineStr">
        <is>
          <t>Elvive</t>
        </is>
      </c>
      <c r="F806" s="6" t="n">
        <v>4399</v>
      </c>
      <c r="G806" s="6" t="n">
        <v>8799</v>
      </c>
      <c r="H806" s="6" t="b">
        <v>1</v>
      </c>
      <c r="I806" s="6" t="n">
        <v>400</v>
      </c>
      <c r="J806" s="6" t="n">
        <v>10.9975</v>
      </c>
      <c r="K806" s="6" t="inlineStr">
        <is>
          <t>&gt; Cuidado Capilar &gt; Shampoo Y Acondicionador &gt;</t>
        </is>
      </c>
      <c r="L806" s="6" t="inlineStr">
        <is>
          <t>shampoo</t>
        </is>
      </c>
      <c r="M806" s="6" t="inlineStr">
        <is>
          <t>profesional</t>
        </is>
      </c>
      <c r="N806" s="6" t="inlineStr">
        <is>
          <t>general</t>
        </is>
      </c>
      <c r="O806" s="6" t="inlineStr">
        <is>
          <t>https://www.farmacity.com/shampoo-elvive-dream-long-liss-x-400-ml/p</t>
        </is>
      </c>
      <c r="P806" s="8">
        <f>TRIM(CLEAN(PROPER(D806)))</f>
        <v/>
      </c>
      <c r="Q806" s="8">
        <f>PROPER(TRIM(SUBSTITUTE(SUBSTITUTE(SUBSTITUTE(SUBSTITUTE(E806,"TRESEMME","Tresemme"),"HEAD &amp; SHOULDERS","Head &amp; Shoulders"),"ELVIVE","Elvive"),"FRUCTIS","Fructis")))</f>
        <v/>
      </c>
      <c r="R806" s="8">
        <f>COUNTIF($D$2:$D$10000,D806)&gt;1</f>
        <v/>
      </c>
      <c r="S806" s="8">
        <f>IF(H806=TRUE,"Disponible","No disponible")</f>
        <v/>
      </c>
      <c r="T806" s="8">
        <f>IF(AND(ISNUMBER(I806),I806&gt;0),ROUND(F806/I806,2),"Sin volumen")</f>
        <v/>
      </c>
      <c r="U806" s="8">
        <f>IF(F806&lt;5000,"Bajo",IF(F806&lt;15000,"Medio","Alto"))</f>
        <v/>
      </c>
    </row>
    <row r="807">
      <c r="A807" t="inlineStr">
        <is>
          <t>Farmacity</t>
        </is>
      </c>
      <c r="B807" t="n">
        <v>230216</v>
      </c>
      <c r="C807" t="n">
        <v>230216</v>
      </c>
      <c r="D807" t="inlineStr">
        <is>
          <t>Sérum Concentrado Pantene Pro-V Miracles Colágeno Nutre &amp; Revitaliza Sellador de Puntas x 90 ml Sérum Concentrado Pantene Pro-V Miracles Colágeno Nutre &amp; Revitaliza Sellador de Puntas 90 ml</t>
        </is>
      </c>
      <c r="E807" t="inlineStr">
        <is>
          <t>Pantene</t>
        </is>
      </c>
      <c r="F807" t="n">
        <v>8408</v>
      </c>
      <c r="G807" t="n">
        <v>8408</v>
      </c>
      <c r="H807" t="b">
        <v>1</v>
      </c>
      <c r="I807" t="n">
        <v>90</v>
      </c>
      <c r="J807" t="n">
        <v>93.4222</v>
      </c>
      <c r="K807" t="inlineStr">
        <is>
          <t>&gt; Cuidado Capilar &gt; Reparación Y Tratamiento &gt;</t>
        </is>
      </c>
      <c r="L807" t="inlineStr">
        <is>
          <t>shampoo</t>
        </is>
      </c>
      <c r="M807" t="inlineStr">
        <is>
          <t>profesional</t>
        </is>
      </c>
      <c r="N807" t="inlineStr">
        <is>
          <t>general</t>
        </is>
      </c>
      <c r="O807" t="inlineStr">
        <is>
          <t>https://www.farmacity.com/serum-pantene-con-colageno-x-90-ml/p</t>
        </is>
      </c>
      <c r="P807">
        <f>TRIM(CLEAN(PROPER(D807)))</f>
        <v/>
      </c>
      <c r="Q807">
        <f>PROPER(TRIM(SUBSTITUTE(SUBSTITUTE(SUBSTITUTE(SUBSTITUTE(E807,"TRESEMME","Tresemme"),"HEAD &amp; SHOULDERS","Head &amp; Shoulders"),"ELVIVE","Elvive"),"FRUCTIS","Fructis")))</f>
        <v/>
      </c>
      <c r="R807">
        <f>COUNTIF($D$2:$D$10000,D807)&gt;1</f>
        <v/>
      </c>
      <c r="S807">
        <f>IF(H807=TRUE,"Disponible","No disponible")</f>
        <v/>
      </c>
      <c r="T807">
        <f>IF(AND(ISNUMBER(I807),I807&gt;0),ROUND(F807/I807,2),"Sin volumen")</f>
        <v/>
      </c>
      <c r="U807">
        <f>IF(F807&lt;5000,"Bajo",IF(F807&lt;15000,"Medio","Alto"))</f>
        <v/>
      </c>
    </row>
    <row r="808">
      <c r="A808" s="6" t="inlineStr">
        <is>
          <t>Farmacity</t>
        </is>
      </c>
      <c r="B808" s="6" t="n">
        <v>235654</v>
      </c>
      <c r="C808" s="6" t="n">
        <v>235654</v>
      </c>
      <c r="D808" s="6" t="inlineStr">
        <is>
          <t>Shampoo Pantene Pro-V Miracles Detox Limpia - Purifica x 400 ml</t>
        </is>
      </c>
      <c r="E808" s="6" t="inlineStr">
        <is>
          <t>Pantene</t>
        </is>
      </c>
      <c r="F808" s="6" t="n">
        <v>6137</v>
      </c>
      <c r="G808" s="6" t="n">
        <v>10228</v>
      </c>
      <c r="H808" s="6" t="b">
        <v>1</v>
      </c>
      <c r="I808" s="6" t="n">
        <v>400</v>
      </c>
      <c r="J808" s="6" t="n">
        <v>15.3425</v>
      </c>
      <c r="K808" s="6" t="inlineStr">
        <is>
          <t>&gt; Cuidado Capilar &gt; Shampoo Y Acondicionador &gt;</t>
        </is>
      </c>
      <c r="L808" s="6" t="inlineStr">
        <is>
          <t>shampoo</t>
        </is>
      </c>
      <c r="M808" s="6" t="inlineStr">
        <is>
          <t>profesional</t>
        </is>
      </c>
      <c r="N808" s="6" t="inlineStr">
        <is>
          <t>general</t>
        </is>
      </c>
      <c r="O808" s="6" t="inlineStr">
        <is>
          <t>https://www.farmacity.com/shampoo-pantene-pro-v-miracles-detox-x-400-ml/p</t>
        </is>
      </c>
      <c r="P808" s="8">
        <f>TRIM(CLEAN(PROPER(D808)))</f>
        <v/>
      </c>
      <c r="Q808" s="8">
        <f>PROPER(TRIM(SUBSTITUTE(SUBSTITUTE(SUBSTITUTE(SUBSTITUTE(E808,"TRESEMME","Tresemme"),"HEAD &amp; SHOULDERS","Head &amp; Shoulders"),"ELVIVE","Elvive"),"FRUCTIS","Fructis")))</f>
        <v/>
      </c>
      <c r="R808" s="8">
        <f>COUNTIF($D$2:$D$10000,D808)&gt;1</f>
        <v/>
      </c>
      <c r="S808" s="8">
        <f>IF(H808=TRUE,"Disponible","No disponible")</f>
        <v/>
      </c>
      <c r="T808" s="8">
        <f>IF(AND(ISNUMBER(I808),I808&gt;0),ROUND(F808/I808,2),"Sin volumen")</f>
        <v/>
      </c>
      <c r="U808" s="8">
        <f>IF(F808&lt;5000,"Bajo",IF(F808&lt;15000,"Medio","Alto"))</f>
        <v/>
      </c>
    </row>
    <row r="809">
      <c r="A809" t="inlineStr">
        <is>
          <t>Farmacity</t>
        </is>
      </c>
      <c r="B809" t="n">
        <v>244547</v>
      </c>
      <c r="C809" t="n">
        <v>244547</v>
      </c>
      <c r="D809" t="inlineStr">
        <is>
          <t>Crema para Peinar fortalecedora Pantene Biotinamina B3 para Cabello Quebradizo x 300 ml</t>
        </is>
      </c>
      <c r="E809" t="inlineStr">
        <is>
          <t>Pantene</t>
        </is>
      </c>
      <c r="F809" t="n">
        <v>9024</v>
      </c>
      <c r="G809" t="n">
        <v>9024</v>
      </c>
      <c r="H809" t="b">
        <v>1</v>
      </c>
      <c r="I809" t="n">
        <v>300</v>
      </c>
      <c r="J809" t="n">
        <v>30.08</v>
      </c>
      <c r="K809" t="inlineStr">
        <is>
          <t>&gt; Cuidado Capilar &gt; Modelado Y Peinado &gt;</t>
        </is>
      </c>
      <c r="L809" t="inlineStr">
        <is>
          <t>shampoo</t>
        </is>
      </c>
      <c r="M809" t="inlineStr">
        <is>
          <t>estandar</t>
        </is>
      </c>
      <c r="N809" t="inlineStr">
        <is>
          <t>seco_danado</t>
        </is>
      </c>
      <c r="O809" t="inlineStr">
        <is>
          <t>https://www.farmacity.com/crema-para-peinar-pantene-anti-caida-x-300-ml/p</t>
        </is>
      </c>
      <c r="P809">
        <f>TRIM(CLEAN(PROPER(D809)))</f>
        <v/>
      </c>
      <c r="Q809">
        <f>PROPER(TRIM(SUBSTITUTE(SUBSTITUTE(SUBSTITUTE(SUBSTITUTE(E809,"TRESEMME","Tresemme"),"HEAD &amp; SHOULDERS","Head &amp; Shoulders"),"ELVIVE","Elvive"),"FRUCTIS","Fructis")))</f>
        <v/>
      </c>
      <c r="R809">
        <f>COUNTIF($D$2:$D$10000,D809)&gt;1</f>
        <v/>
      </c>
      <c r="S809">
        <f>IF(H809=TRUE,"Disponible","No disponible")</f>
        <v/>
      </c>
      <c r="T809">
        <f>IF(AND(ISNUMBER(I809),I809&gt;0),ROUND(F809/I809,2),"Sin volumen")</f>
        <v/>
      </c>
      <c r="U809">
        <f>IF(F809&lt;5000,"Bajo",IF(F809&lt;15000,"Medio","Alto"))</f>
        <v/>
      </c>
    </row>
    <row r="810">
      <c r="A810" s="6" t="inlineStr">
        <is>
          <t>Farmacity</t>
        </is>
      </c>
      <c r="B810" s="6" t="n">
        <v>243702</v>
      </c>
      <c r="C810" s="6" t="n">
        <v>243702</v>
      </c>
      <c r="D810" s="6" t="inlineStr">
        <is>
          <t>Shampoo Anticaída+Pantene Biotinamina B3 para Cabello Débil x 510 ml</t>
        </is>
      </c>
      <c r="E810" s="6" t="inlineStr">
        <is>
          <t>Pantene</t>
        </is>
      </c>
      <c r="F810" s="6" t="n">
        <v>10285</v>
      </c>
      <c r="G810" s="6" t="n">
        <v>17142</v>
      </c>
      <c r="H810" s="6" t="b">
        <v>1</v>
      </c>
      <c r="I810" s="6" t="n">
        <v>510</v>
      </c>
      <c r="J810" s="6" t="n">
        <v>20.1667</v>
      </c>
      <c r="K810" s="6" t="inlineStr">
        <is>
          <t>&gt; Cuidado Capilar &gt; Shampoo Y Acondicionador &gt;</t>
        </is>
      </c>
      <c r="L810" s="6" t="inlineStr">
        <is>
          <t>shampoo</t>
        </is>
      </c>
      <c r="M810" s="6" t="inlineStr">
        <is>
          <t>estandar</t>
        </is>
      </c>
      <c r="N810" s="6" t="inlineStr">
        <is>
          <t>general</t>
        </is>
      </c>
      <c r="O810" s="6" t="inlineStr">
        <is>
          <t>https://www.farmacity.com/shampoo-anticaida-pantene-biotinamina-b3-para-cabello-debil-x-510-ml/p</t>
        </is>
      </c>
      <c r="P810" s="8">
        <f>TRIM(CLEAN(PROPER(D810)))</f>
        <v/>
      </c>
      <c r="Q810" s="8">
        <f>PROPER(TRIM(SUBSTITUTE(SUBSTITUTE(SUBSTITUTE(SUBSTITUTE(E810,"TRESEMME","Tresemme"),"HEAD &amp; SHOULDERS","Head &amp; Shoulders"),"ELVIVE","Elvive"),"FRUCTIS","Fructis")))</f>
        <v/>
      </c>
      <c r="R810" s="8">
        <f>COUNTIF($D$2:$D$10000,D810)&gt;1</f>
        <v/>
      </c>
      <c r="S810" s="8">
        <f>IF(H810=TRUE,"Disponible","No disponible")</f>
        <v/>
      </c>
      <c r="T810" s="8">
        <f>IF(AND(ISNUMBER(I810),I810&gt;0),ROUND(F810/I810,2),"Sin volumen")</f>
        <v/>
      </c>
      <c r="U810" s="8">
        <f>IF(F810&lt;5000,"Bajo",IF(F810&lt;15000,"Medio","Alto"))</f>
        <v/>
      </c>
    </row>
    <row r="811">
      <c r="A811" t="inlineStr">
        <is>
          <t>Farmacity</t>
        </is>
      </c>
      <c r="B811" t="n">
        <v>974</v>
      </c>
      <c r="C811" t="n">
        <v>125487</v>
      </c>
      <c r="D811" t="inlineStr">
        <is>
          <t>Mascarilla Intensiva Pantene Pro-V Restauración x 270 ml</t>
        </is>
      </c>
      <c r="E811" t="inlineStr">
        <is>
          <t>Pantene</t>
        </is>
      </c>
      <c r="F811" t="n">
        <v>10225</v>
      </c>
      <c r="G811" t="n">
        <v>10225</v>
      </c>
      <c r="H811" t="b">
        <v>1</v>
      </c>
      <c r="I811" t="n">
        <v>270</v>
      </c>
      <c r="J811" t="n">
        <v>37.8704</v>
      </c>
      <c r="K811" t="inlineStr">
        <is>
          <t>&gt; Cuidado Capilar &gt; Reparación Y Tratamiento &gt;</t>
        </is>
      </c>
      <c r="L811" t="inlineStr">
        <is>
          <t>tratamiento</t>
        </is>
      </c>
      <c r="M811" t="inlineStr">
        <is>
          <t>profesional</t>
        </is>
      </c>
      <c r="N811" t="inlineStr">
        <is>
          <t>general</t>
        </is>
      </c>
      <c r="O811" t="inlineStr">
        <is>
          <t>https://www.farmacity.com/tratamiento-capilar-pantene-pro-v-restauracion-x-300ml/p</t>
        </is>
      </c>
      <c r="P811">
        <f>TRIM(CLEAN(PROPER(D811)))</f>
        <v/>
      </c>
      <c r="Q811">
        <f>PROPER(TRIM(SUBSTITUTE(SUBSTITUTE(SUBSTITUTE(SUBSTITUTE(E811,"TRESEMME","Tresemme"),"HEAD &amp; SHOULDERS","Head &amp; Shoulders"),"ELVIVE","Elvive"),"FRUCTIS","Fructis")))</f>
        <v/>
      </c>
      <c r="R811">
        <f>COUNTIF($D$2:$D$10000,D811)&gt;1</f>
        <v/>
      </c>
      <c r="S811">
        <f>IF(H811=TRUE,"Disponible","No disponible")</f>
        <v/>
      </c>
      <c r="T811">
        <f>IF(AND(ISNUMBER(I811),I811&gt;0),ROUND(F811/I811,2),"Sin volumen")</f>
        <v/>
      </c>
      <c r="U811">
        <f>IF(F811&lt;5000,"Bajo",IF(F811&lt;15000,"Medio","Alto"))</f>
        <v/>
      </c>
    </row>
    <row r="812">
      <c r="A812" s="6" t="inlineStr">
        <is>
          <t>Farmacity</t>
        </is>
      </c>
      <c r="B812" s="6" t="n">
        <v>945</v>
      </c>
      <c r="C812" s="6" t="n">
        <v>125486</v>
      </c>
      <c r="D812" s="6" t="inlineStr">
        <is>
          <t>Mascarilla Intensiva Pantene Pro-V Hidratación x 270 ml</t>
        </is>
      </c>
      <c r="E812" s="6" t="inlineStr">
        <is>
          <t>Pantene</t>
        </is>
      </c>
      <c r="F812" s="6" t="n">
        <v>10225</v>
      </c>
      <c r="G812" s="6" t="n">
        <v>10225</v>
      </c>
      <c r="H812" s="6" t="b">
        <v>1</v>
      </c>
      <c r="I812" s="6" t="n">
        <v>270</v>
      </c>
      <c r="J812" s="6" t="n">
        <v>37.8704</v>
      </c>
      <c r="K812" s="6" t="inlineStr">
        <is>
          <t>&gt; Cuidado Capilar &gt; Reparación Y Tratamiento &gt;</t>
        </is>
      </c>
      <c r="L812" s="6" t="inlineStr">
        <is>
          <t>tratamiento</t>
        </is>
      </c>
      <c r="M812" s="6" t="inlineStr">
        <is>
          <t>profesional</t>
        </is>
      </c>
      <c r="N812" s="6" t="inlineStr">
        <is>
          <t>seco_danado</t>
        </is>
      </c>
      <c r="O812" s="6" t="inlineStr">
        <is>
          <t>https://www.farmacity.com/mascara-de-hidratacion-intensiva-pantene-pro-v-x-300ml/p</t>
        </is>
      </c>
      <c r="P812" s="8">
        <f>TRIM(CLEAN(PROPER(D812)))</f>
        <v/>
      </c>
      <c r="Q812" s="8">
        <f>PROPER(TRIM(SUBSTITUTE(SUBSTITUTE(SUBSTITUTE(SUBSTITUTE(E812,"TRESEMME","Tresemme"),"HEAD &amp; SHOULDERS","Head &amp; Shoulders"),"ELVIVE","Elvive"),"FRUCTIS","Fructis")))</f>
        <v/>
      </c>
      <c r="R812" s="8">
        <f>COUNTIF($D$2:$D$10000,D812)&gt;1</f>
        <v/>
      </c>
      <c r="S812" s="8">
        <f>IF(H812=TRUE,"Disponible","No disponible")</f>
        <v/>
      </c>
      <c r="T812" s="8">
        <f>IF(AND(ISNUMBER(I812),I812&gt;0),ROUND(F812/I812,2),"Sin volumen")</f>
        <v/>
      </c>
      <c r="U812" s="8">
        <f>IF(F812&lt;5000,"Bajo",IF(F812&lt;15000,"Medio","Alto"))</f>
        <v/>
      </c>
    </row>
    <row r="813">
      <c r="A813" t="inlineStr">
        <is>
          <t>Farmacity</t>
        </is>
      </c>
      <c r="B813" t="n">
        <v>245994</v>
      </c>
      <c r="C813" t="n">
        <v>245994</v>
      </c>
      <c r="D813" t="inlineStr">
        <is>
          <t>Combo Pantene Mascarilla Intensiva Nutrición + Mascarilla Intensiva Restauración</t>
        </is>
      </c>
      <c r="E813" t="inlineStr">
        <is>
          <t>Pantene</t>
        </is>
      </c>
      <c r="F813" t="n">
        <v>20450</v>
      </c>
      <c r="G813" t="n">
        <v>20450</v>
      </c>
      <c r="H813" t="b">
        <v>1</v>
      </c>
      <c r="I813" t="inlineStr"/>
      <c r="J813" t="inlineStr"/>
      <c r="K813" t="inlineStr">
        <is>
          <t>&gt; Cuidado Capilar &gt; Reparación Y Tratamiento &gt;</t>
        </is>
      </c>
      <c r="L813" t="inlineStr">
        <is>
          <t>tratamiento</t>
        </is>
      </c>
      <c r="M813" t="inlineStr">
        <is>
          <t>estandar</t>
        </is>
      </c>
      <c r="N813" t="inlineStr">
        <is>
          <t>general</t>
        </is>
      </c>
      <c r="O813" t="inlineStr">
        <is>
          <t>https://www.farmacity.com/combo-pantene-mascarilla-intensiva-nutricion-mascarilla-intensiva-restauracion/p</t>
        </is>
      </c>
      <c r="P813">
        <f>TRIM(CLEAN(PROPER(D813)))</f>
        <v/>
      </c>
      <c r="Q813">
        <f>PROPER(TRIM(SUBSTITUTE(SUBSTITUTE(SUBSTITUTE(SUBSTITUTE(E813,"TRESEMME","Tresemme"),"HEAD &amp; SHOULDERS","Head &amp; Shoulders"),"ELVIVE","Elvive"),"FRUCTIS","Fructis")))</f>
        <v/>
      </c>
      <c r="R813">
        <f>COUNTIF($D$2:$D$10000,D813)&gt;1</f>
        <v/>
      </c>
      <c r="S813">
        <f>IF(H813=TRUE,"Disponible","No disponible")</f>
        <v/>
      </c>
      <c r="T813">
        <f>IF(AND(ISNUMBER(I813),I813&gt;0),ROUND(F813/I813,2),"Sin volumen")</f>
        <v/>
      </c>
      <c r="U813">
        <f>IF(F813&lt;5000,"Bajo",IF(F813&lt;15000,"Medio","Alto"))</f>
        <v/>
      </c>
    </row>
    <row r="814">
      <c r="A814" s="6" t="inlineStr">
        <is>
          <t>Farmacity</t>
        </is>
      </c>
      <c r="B814" s="6" t="n">
        <v>244540</v>
      </c>
      <c r="C814" s="6" t="n">
        <v>244540</v>
      </c>
      <c r="D814" s="6" t="inlineStr">
        <is>
          <t>Acondicionador Pantene Colageno x 510 ml</t>
        </is>
      </c>
      <c r="E814" s="6" t="inlineStr">
        <is>
          <t>Pantene</t>
        </is>
      </c>
      <c r="F814" s="6" t="n">
        <v>10285</v>
      </c>
      <c r="G814" s="6" t="n">
        <v>17142</v>
      </c>
      <c r="H814" s="6" t="b">
        <v>1</v>
      </c>
      <c r="I814" s="6" t="n">
        <v>510</v>
      </c>
      <c r="J814" s="6" t="n">
        <v>20.1667</v>
      </c>
      <c r="K814" s="6" t="inlineStr">
        <is>
          <t>&gt; Cuidado Capilar &gt; Shampoo Y Acondicionador &gt;</t>
        </is>
      </c>
      <c r="L814" s="6" t="inlineStr">
        <is>
          <t>acondicionador</t>
        </is>
      </c>
      <c r="M814" s="6" t="inlineStr">
        <is>
          <t>estandar</t>
        </is>
      </c>
      <c r="N814" s="6" t="inlineStr">
        <is>
          <t>general</t>
        </is>
      </c>
      <c r="O814" s="6" t="inlineStr">
        <is>
          <t>https://www.farmacity.com/acondicionador-pantene-colageno-x-510-ml/p</t>
        </is>
      </c>
      <c r="P814" s="8">
        <f>TRIM(CLEAN(PROPER(D814)))</f>
        <v/>
      </c>
      <c r="Q814" s="8">
        <f>PROPER(TRIM(SUBSTITUTE(SUBSTITUTE(SUBSTITUTE(SUBSTITUTE(E814,"TRESEMME","Tresemme"),"HEAD &amp; SHOULDERS","Head &amp; Shoulders"),"ELVIVE","Elvive"),"FRUCTIS","Fructis")))</f>
        <v/>
      </c>
      <c r="R814" s="8">
        <f>COUNTIF($D$2:$D$10000,D814)&gt;1</f>
        <v/>
      </c>
      <c r="S814" s="8">
        <f>IF(H814=TRUE,"Disponible","No disponible")</f>
        <v/>
      </c>
      <c r="T814" s="8">
        <f>IF(AND(ISNUMBER(I814),I814&gt;0),ROUND(F814/I814,2),"Sin volumen")</f>
        <v/>
      </c>
      <c r="U814" s="8">
        <f>IF(F814&lt;5000,"Bajo",IF(F814&lt;15000,"Medio","Alto"))</f>
        <v/>
      </c>
    </row>
    <row r="815">
      <c r="A815" t="inlineStr">
        <is>
          <t>Farmacity</t>
        </is>
      </c>
      <c r="B815" t="n">
        <v>239943</v>
      </c>
      <c r="C815" t="n">
        <v>239943</v>
      </c>
      <c r="D815" t="inlineStr">
        <is>
          <t>Crema para Peinar Termoprotectora Pantene Pro-V Miracles Keratina Repara y Protege x 300 ml</t>
        </is>
      </c>
      <c r="E815" t="inlineStr">
        <is>
          <t>Pantene</t>
        </is>
      </c>
      <c r="F815" t="n">
        <v>9024</v>
      </c>
      <c r="G815" t="n">
        <v>9024</v>
      </c>
      <c r="H815" t="b">
        <v>1</v>
      </c>
      <c r="I815" t="n">
        <v>300</v>
      </c>
      <c r="J815" t="n">
        <v>30.08</v>
      </c>
      <c r="K815" t="inlineStr">
        <is>
          <t>&gt; Cuidado Capilar &gt; Modelado Y Peinado &gt;</t>
        </is>
      </c>
      <c r="L815" t="inlineStr">
        <is>
          <t>shampoo</t>
        </is>
      </c>
      <c r="M815" t="inlineStr">
        <is>
          <t>profesional</t>
        </is>
      </c>
      <c r="N815" t="inlineStr">
        <is>
          <t>tratado</t>
        </is>
      </c>
      <c r="O815" t="inlineStr">
        <is>
          <t>https://www.farmacity.com/crema-para-peinar-pantene-keratina-x-300-ml/p</t>
        </is>
      </c>
      <c r="P815">
        <f>TRIM(CLEAN(PROPER(D815)))</f>
        <v/>
      </c>
      <c r="Q815">
        <f>PROPER(TRIM(SUBSTITUTE(SUBSTITUTE(SUBSTITUTE(SUBSTITUTE(E815,"TRESEMME","Tresemme"),"HEAD &amp; SHOULDERS","Head &amp; Shoulders"),"ELVIVE","Elvive"),"FRUCTIS","Fructis")))</f>
        <v/>
      </c>
      <c r="R815">
        <f>COUNTIF($D$2:$D$10000,D815)&gt;1</f>
        <v/>
      </c>
      <c r="S815">
        <f>IF(H815=TRUE,"Disponible","No disponible")</f>
        <v/>
      </c>
      <c r="T815">
        <f>IF(AND(ISNUMBER(I815),I815&gt;0),ROUND(F815/I815,2),"Sin volumen")</f>
        <v/>
      </c>
      <c r="U815">
        <f>IF(F815&lt;5000,"Bajo",IF(F815&lt;15000,"Medio","Alto"))</f>
        <v/>
      </c>
    </row>
    <row r="816">
      <c r="A816" s="6" t="inlineStr">
        <is>
          <t>Farmacity</t>
        </is>
      </c>
      <c r="B816" s="6" t="n">
        <v>235661</v>
      </c>
      <c r="C816" s="6" t="n">
        <v>235661</v>
      </c>
      <c r="D816" s="6" t="inlineStr">
        <is>
          <t>Shampoo Pantene Pro-V Miracles Equilibrio Raíz &amp; Puntas x 400 ml</t>
        </is>
      </c>
      <c r="E816" s="6" t="inlineStr">
        <is>
          <t>Pantene</t>
        </is>
      </c>
      <c r="F816" s="6" t="n">
        <v>6137</v>
      </c>
      <c r="G816" s="6" t="n">
        <v>10228</v>
      </c>
      <c r="H816" s="6" t="b">
        <v>1</v>
      </c>
      <c r="I816" s="6" t="n">
        <v>400</v>
      </c>
      <c r="J816" s="6" t="n">
        <v>15.3425</v>
      </c>
      <c r="K816" s="6" t="inlineStr">
        <is>
          <t>&gt; Cuidado Capilar &gt; Shampoo Y Acondicionador &gt;</t>
        </is>
      </c>
      <c r="L816" s="6" t="inlineStr">
        <is>
          <t>shampoo</t>
        </is>
      </c>
      <c r="M816" s="6" t="inlineStr">
        <is>
          <t>profesional</t>
        </is>
      </c>
      <c r="N816" s="6" t="inlineStr">
        <is>
          <t>general</t>
        </is>
      </c>
      <c r="O816" s="6" t="inlineStr">
        <is>
          <t>https://www.farmacity.com/shampoo-pantene-pro-v-miracles-equilibrio-x-400-ml/p</t>
        </is>
      </c>
      <c r="P816" s="8">
        <f>TRIM(CLEAN(PROPER(D816)))</f>
        <v/>
      </c>
      <c r="Q816" s="8">
        <f>PROPER(TRIM(SUBSTITUTE(SUBSTITUTE(SUBSTITUTE(SUBSTITUTE(E816,"TRESEMME","Tresemme"),"HEAD &amp; SHOULDERS","Head &amp; Shoulders"),"ELVIVE","Elvive"),"FRUCTIS","Fructis")))</f>
        <v/>
      </c>
      <c r="R816" s="8">
        <f>COUNTIF($D$2:$D$10000,D816)&gt;1</f>
        <v/>
      </c>
      <c r="S816" s="8">
        <f>IF(H816=TRUE,"Disponible","No disponible")</f>
        <v/>
      </c>
      <c r="T816" s="8">
        <f>IF(AND(ISNUMBER(I816),I816&gt;0),ROUND(F816/I816,2),"Sin volumen")</f>
        <v/>
      </c>
      <c r="U816" s="8">
        <f>IF(F816&lt;5000,"Bajo",IF(F816&lt;15000,"Medio","Alto"))</f>
        <v/>
      </c>
    </row>
    <row r="817">
      <c r="A817" t="inlineStr">
        <is>
          <t>Farmacity</t>
        </is>
      </c>
      <c r="B817" t="n">
        <v>230220</v>
      </c>
      <c r="C817" t="n">
        <v>230220</v>
      </c>
      <c r="D817" t="inlineStr">
        <is>
          <t>Acondicionador Pantene Pro-V Miracles Colágeno Nutritivo 200 ml</t>
        </is>
      </c>
      <c r="E817" t="inlineStr">
        <is>
          <t>Pantene</t>
        </is>
      </c>
      <c r="F817" t="n">
        <v>3807</v>
      </c>
      <c r="G817" t="n">
        <v>6345</v>
      </c>
      <c r="H817" t="b">
        <v>1</v>
      </c>
      <c r="I817" t="n">
        <v>200</v>
      </c>
      <c r="J817" t="n">
        <v>19.035</v>
      </c>
      <c r="K817" t="inlineStr">
        <is>
          <t>&gt; Cuidado Capilar &gt; Shampoo Y Acondicionador &gt;</t>
        </is>
      </c>
      <c r="L817" t="inlineStr">
        <is>
          <t>acondicionador</t>
        </is>
      </c>
      <c r="M817" t="inlineStr">
        <is>
          <t>profesional</t>
        </is>
      </c>
      <c r="N817" t="inlineStr">
        <is>
          <t>general</t>
        </is>
      </c>
      <c r="O817" t="inlineStr">
        <is>
          <t>https://www.farmacity.com/acondicionador-pantene-colageno-x-200-ml/p</t>
        </is>
      </c>
      <c r="P817">
        <f>TRIM(CLEAN(PROPER(D817)))</f>
        <v/>
      </c>
      <c r="Q817">
        <f>PROPER(TRIM(SUBSTITUTE(SUBSTITUTE(SUBSTITUTE(SUBSTITUTE(E817,"TRESEMME","Tresemme"),"HEAD &amp; SHOULDERS","Head &amp; Shoulders"),"ELVIVE","Elvive"),"FRUCTIS","Fructis")))</f>
        <v/>
      </c>
      <c r="R817">
        <f>COUNTIF($D$2:$D$10000,D817)&gt;1</f>
        <v/>
      </c>
      <c r="S817">
        <f>IF(H817=TRUE,"Disponible","No disponible")</f>
        <v/>
      </c>
      <c r="T817">
        <f>IF(AND(ISNUMBER(I817),I817&gt;0),ROUND(F817/I817,2),"Sin volumen")</f>
        <v/>
      </c>
      <c r="U817">
        <f>IF(F817&lt;5000,"Bajo",IF(F817&lt;15000,"Medio","Alto"))</f>
        <v/>
      </c>
    </row>
    <row r="818">
      <c r="A818" s="6" t="inlineStr">
        <is>
          <t>Farmacity</t>
        </is>
      </c>
      <c r="B818" s="6" t="n">
        <v>220338</v>
      </c>
      <c r="C818" s="6" t="n">
        <v>220338</v>
      </c>
      <c r="D818" s="6" t="inlineStr">
        <is>
          <t>Shampoo Pantene Pro-V Solutions Restauración x 400 ml</t>
        </is>
      </c>
      <c r="E818" s="6" t="inlineStr">
        <is>
          <t>Pantene</t>
        </is>
      </c>
      <c r="F818" s="6" t="n">
        <v>6137</v>
      </c>
      <c r="G818" s="6" t="n">
        <v>10228</v>
      </c>
      <c r="H818" s="6" t="b">
        <v>1</v>
      </c>
      <c r="I818" s="6" t="n">
        <v>400</v>
      </c>
      <c r="J818" s="6" t="n">
        <v>15.3425</v>
      </c>
      <c r="K818" s="6" t="inlineStr">
        <is>
          <t>&gt; Cuidado Capilar &gt; Shampoo Y Acondicionador &gt;</t>
        </is>
      </c>
      <c r="L818" s="6" t="inlineStr">
        <is>
          <t>shampoo</t>
        </is>
      </c>
      <c r="M818" s="6" t="inlineStr">
        <is>
          <t>profesional</t>
        </is>
      </c>
      <c r="N818" s="6" t="inlineStr">
        <is>
          <t>general</t>
        </is>
      </c>
      <c r="O818" s="6" t="inlineStr">
        <is>
          <t>https://www.farmacity.com/shampoo-pantene-restauracion-x-400-ml/p</t>
        </is>
      </c>
      <c r="P818" s="8">
        <f>TRIM(CLEAN(PROPER(D818)))</f>
        <v/>
      </c>
      <c r="Q818" s="8">
        <f>PROPER(TRIM(SUBSTITUTE(SUBSTITUTE(SUBSTITUTE(SUBSTITUTE(E818,"TRESEMME","Tresemme"),"HEAD &amp; SHOULDERS","Head &amp; Shoulders"),"ELVIVE","Elvive"),"FRUCTIS","Fructis")))</f>
        <v/>
      </c>
      <c r="R818" s="8">
        <f>COUNTIF($D$2:$D$10000,D818)&gt;1</f>
        <v/>
      </c>
      <c r="S818" s="8">
        <f>IF(H818=TRUE,"Disponible","No disponible")</f>
        <v/>
      </c>
      <c r="T818" s="8">
        <f>IF(AND(ISNUMBER(I818),I818&gt;0),ROUND(F818/I818,2),"Sin volumen")</f>
        <v/>
      </c>
      <c r="U818" s="8">
        <f>IF(F818&lt;5000,"Bajo",IF(F818&lt;15000,"Medio","Alto"))</f>
        <v/>
      </c>
    </row>
    <row r="819">
      <c r="A819" t="inlineStr">
        <is>
          <t>Farmacity</t>
        </is>
      </c>
      <c r="B819" t="n">
        <v>243703</v>
      </c>
      <c r="C819" t="n">
        <v>243703</v>
      </c>
      <c r="D819" t="inlineStr">
        <is>
          <t>Shampoo Pantene Anti Caida x 300 ml</t>
        </is>
      </c>
      <c r="E819" t="inlineStr">
        <is>
          <t>Pantene</t>
        </is>
      </c>
      <c r="F819" t="n">
        <v>6032</v>
      </c>
      <c r="G819" t="n">
        <v>10054</v>
      </c>
      <c r="H819" t="b">
        <v>1</v>
      </c>
      <c r="I819" t="n">
        <v>300</v>
      </c>
      <c r="J819" t="n">
        <v>20.1067</v>
      </c>
      <c r="K819" t="inlineStr">
        <is>
          <t>&gt; Cuidado Capilar &gt; Shampoo Y Acondicionador &gt;</t>
        </is>
      </c>
      <c r="L819" t="inlineStr">
        <is>
          <t>shampoo</t>
        </is>
      </c>
      <c r="M819" t="inlineStr">
        <is>
          <t>estandar</t>
        </is>
      </c>
      <c r="N819" t="inlineStr">
        <is>
          <t>general</t>
        </is>
      </c>
      <c r="O819" t="inlineStr">
        <is>
          <t>https://www.farmacity.com/shampoo-pantene-anti-caida-x-300-ml/p</t>
        </is>
      </c>
      <c r="P819">
        <f>TRIM(CLEAN(PROPER(D819)))</f>
        <v/>
      </c>
      <c r="Q819">
        <f>PROPER(TRIM(SUBSTITUTE(SUBSTITUTE(SUBSTITUTE(SUBSTITUTE(E819,"TRESEMME","Tresemme"),"HEAD &amp; SHOULDERS","Head &amp; Shoulders"),"ELVIVE","Elvive"),"FRUCTIS","Fructis")))</f>
        <v/>
      </c>
      <c r="R819">
        <f>COUNTIF($D$2:$D$10000,D819)&gt;1</f>
        <v/>
      </c>
      <c r="S819">
        <f>IF(H819=TRUE,"Disponible","No disponible")</f>
        <v/>
      </c>
      <c r="T819">
        <f>IF(AND(ISNUMBER(I819),I819&gt;0),ROUND(F819/I819,2),"Sin volumen")</f>
        <v/>
      </c>
      <c r="U819">
        <f>IF(F819&lt;5000,"Bajo",IF(F819&lt;15000,"Medio","Alto"))</f>
        <v/>
      </c>
    </row>
    <row r="820">
      <c r="A820" s="6" t="inlineStr">
        <is>
          <t>Farmacity</t>
        </is>
      </c>
      <c r="B820" s="6" t="n">
        <v>235664</v>
      </c>
      <c r="C820" s="6" t="n">
        <v>235664</v>
      </c>
      <c r="D820" s="6" t="inlineStr">
        <is>
          <t>Shampoo Pantene Pro-V Miracles Equilibrio Raíz &amp; Puntas 700 ml</t>
        </is>
      </c>
      <c r="E820" s="6" t="inlineStr">
        <is>
          <t>Pantene</t>
        </is>
      </c>
      <c r="F820" s="6" t="n">
        <v>10040</v>
      </c>
      <c r="G820" s="6" t="n">
        <v>16733</v>
      </c>
      <c r="H820" s="6" t="b">
        <v>1</v>
      </c>
      <c r="I820" s="6" t="n">
        <v>700</v>
      </c>
      <c r="J820" s="6" t="n">
        <v>14.3429</v>
      </c>
      <c r="K820" s="6" t="inlineStr">
        <is>
          <t>&gt; Cuidado Capilar &gt; Shampoo Y Acondicionador &gt;</t>
        </is>
      </c>
      <c r="L820" s="6" t="inlineStr">
        <is>
          <t>shampoo</t>
        </is>
      </c>
      <c r="M820" s="6" t="inlineStr">
        <is>
          <t>profesional</t>
        </is>
      </c>
      <c r="N820" s="6" t="inlineStr">
        <is>
          <t>general</t>
        </is>
      </c>
      <c r="O820" s="6" t="inlineStr">
        <is>
          <t>https://www.farmacity.com/shampoo-pantene-pro-v-miracles-equilibrio-x-700-ml/p</t>
        </is>
      </c>
      <c r="P820" s="8">
        <f>TRIM(CLEAN(PROPER(D820)))</f>
        <v/>
      </c>
      <c r="Q820" s="8">
        <f>PROPER(TRIM(SUBSTITUTE(SUBSTITUTE(SUBSTITUTE(SUBSTITUTE(E820,"TRESEMME","Tresemme"),"HEAD &amp; SHOULDERS","Head &amp; Shoulders"),"ELVIVE","Elvive"),"FRUCTIS","Fructis")))</f>
        <v/>
      </c>
      <c r="R820" s="8">
        <f>COUNTIF($D$2:$D$10000,D820)&gt;1</f>
        <v/>
      </c>
      <c r="S820" s="8">
        <f>IF(H820=TRUE,"Disponible","No disponible")</f>
        <v/>
      </c>
      <c r="T820" s="8">
        <f>IF(AND(ISNUMBER(I820),I820&gt;0),ROUND(F820/I820,2),"Sin volumen")</f>
        <v/>
      </c>
      <c r="U820" s="8">
        <f>IF(F820&lt;5000,"Bajo",IF(F820&lt;15000,"Medio","Alto"))</f>
        <v/>
      </c>
    </row>
    <row r="821">
      <c r="A821" t="inlineStr">
        <is>
          <t>Farmacity</t>
        </is>
      </c>
      <c r="B821" t="n">
        <v>244545</v>
      </c>
      <c r="C821" t="n">
        <v>244545</v>
      </c>
      <c r="D821" t="inlineStr">
        <is>
          <t>Acondicionador Pantene Keratina x 250 ml</t>
        </is>
      </c>
      <c r="E821" t="inlineStr">
        <is>
          <t>Pantene</t>
        </is>
      </c>
      <c r="F821" t="n">
        <v>6032</v>
      </c>
      <c r="G821" t="n">
        <v>10054</v>
      </c>
      <c r="H821" t="b">
        <v>1</v>
      </c>
      <c r="I821" t="n">
        <v>250</v>
      </c>
      <c r="J821" t="n">
        <v>24.128</v>
      </c>
      <c r="K821" t="inlineStr">
        <is>
          <t>&gt; Cuidado Capilar &gt; Shampoo Y Acondicionador &gt;</t>
        </is>
      </c>
      <c r="L821" t="inlineStr">
        <is>
          <t>acondicionador</t>
        </is>
      </c>
      <c r="M821" t="inlineStr">
        <is>
          <t>estandar</t>
        </is>
      </c>
      <c r="N821" t="inlineStr">
        <is>
          <t>tratado</t>
        </is>
      </c>
      <c r="O821" t="inlineStr">
        <is>
          <t>https://www.farmacity.com/acondicionador-pantene-keratina-x-250-ml/p</t>
        </is>
      </c>
      <c r="P821">
        <f>TRIM(CLEAN(PROPER(D821)))</f>
        <v/>
      </c>
      <c r="Q821">
        <f>PROPER(TRIM(SUBSTITUTE(SUBSTITUTE(SUBSTITUTE(SUBSTITUTE(E821,"TRESEMME","Tresemme"),"HEAD &amp; SHOULDERS","Head &amp; Shoulders"),"ELVIVE","Elvive"),"FRUCTIS","Fructis")))</f>
        <v/>
      </c>
      <c r="R821">
        <f>COUNTIF($D$2:$D$10000,D821)&gt;1</f>
        <v/>
      </c>
      <c r="S821">
        <f>IF(H821=TRUE,"Disponible","No disponible")</f>
        <v/>
      </c>
      <c r="T821">
        <f>IF(AND(ISNUMBER(I821),I821&gt;0),ROUND(F821/I821,2),"Sin volumen")</f>
        <v/>
      </c>
      <c r="U821">
        <f>IF(F821&lt;5000,"Bajo",IF(F821&lt;15000,"Medio","Alto"))</f>
        <v/>
      </c>
    </row>
    <row r="822">
      <c r="A822" s="6" t="inlineStr">
        <is>
          <t>Farmacity</t>
        </is>
      </c>
      <c r="B822" s="6" t="n">
        <v>244541</v>
      </c>
      <c r="C822" s="6" t="n">
        <v>244541</v>
      </c>
      <c r="D822" s="6" t="inlineStr">
        <is>
          <t>Acondicionador Pantene Colageno x 250 ml</t>
        </is>
      </c>
      <c r="E822" s="6" t="inlineStr">
        <is>
          <t>Pantene</t>
        </is>
      </c>
      <c r="F822" s="6" t="n">
        <v>6032</v>
      </c>
      <c r="G822" s="6" t="n">
        <v>10054</v>
      </c>
      <c r="H822" s="6" t="b">
        <v>1</v>
      </c>
      <c r="I822" s="6" t="n">
        <v>250</v>
      </c>
      <c r="J822" s="6" t="n">
        <v>24.128</v>
      </c>
      <c r="K822" s="6" t="inlineStr">
        <is>
          <t>&gt; Cuidado Capilar &gt; Shampoo Y Acondicionador &gt;</t>
        </is>
      </c>
      <c r="L822" s="6" t="inlineStr">
        <is>
          <t>acondicionador</t>
        </is>
      </c>
      <c r="M822" s="6" t="inlineStr">
        <is>
          <t>estandar</t>
        </is>
      </c>
      <c r="N822" s="6" t="inlineStr">
        <is>
          <t>general</t>
        </is>
      </c>
      <c r="O822" s="6" t="inlineStr">
        <is>
          <t>https://www.farmacity.com/acondicionador-pantene-colageno-x-250-ml/p</t>
        </is>
      </c>
      <c r="P822" s="8">
        <f>TRIM(CLEAN(PROPER(D822)))</f>
        <v/>
      </c>
      <c r="Q822" s="8">
        <f>PROPER(TRIM(SUBSTITUTE(SUBSTITUTE(SUBSTITUTE(SUBSTITUTE(E822,"TRESEMME","Tresemme"),"HEAD &amp; SHOULDERS","Head &amp; Shoulders"),"ELVIVE","Elvive"),"FRUCTIS","Fructis")))</f>
        <v/>
      </c>
      <c r="R822" s="8">
        <f>COUNTIF($D$2:$D$10000,D822)&gt;1</f>
        <v/>
      </c>
      <c r="S822" s="8">
        <f>IF(H822=TRUE,"Disponible","No disponible")</f>
        <v/>
      </c>
      <c r="T822" s="8">
        <f>IF(AND(ISNUMBER(I822),I822&gt;0),ROUND(F822/I822,2),"Sin volumen")</f>
        <v/>
      </c>
      <c r="U822" s="8">
        <f>IF(F822&lt;5000,"Bajo",IF(F822&lt;15000,"Medio","Alto"))</f>
        <v/>
      </c>
    </row>
    <row r="823">
      <c r="A823" t="inlineStr">
        <is>
          <t>Farmacity</t>
        </is>
      </c>
      <c r="B823" t="n">
        <v>238873</v>
      </c>
      <c r="C823" t="n">
        <v>238873</v>
      </c>
      <c r="D823" t="inlineStr">
        <is>
          <t>Shampoo Pantene Pro-V Miracles Volumen x 400 ml</t>
        </is>
      </c>
      <c r="E823" t="inlineStr">
        <is>
          <t>Pantene</t>
        </is>
      </c>
      <c r="F823" t="n">
        <v>6137</v>
      </c>
      <c r="G823" t="n">
        <v>10228</v>
      </c>
      <c r="H823" t="b">
        <v>1</v>
      </c>
      <c r="I823" t="n">
        <v>400</v>
      </c>
      <c r="J823" t="n">
        <v>15.3425</v>
      </c>
      <c r="K823" t="inlineStr">
        <is>
          <t>&gt; Cuidado Capilar &gt; Shampoo Y Acondicionador &gt;</t>
        </is>
      </c>
      <c r="L823" t="inlineStr">
        <is>
          <t>shampoo</t>
        </is>
      </c>
      <c r="M823" t="inlineStr">
        <is>
          <t>profesional</t>
        </is>
      </c>
      <c r="N823" t="inlineStr">
        <is>
          <t>general</t>
        </is>
      </c>
      <c r="O823" t="inlineStr">
        <is>
          <t>https://www.farmacity.com/shampoo-pantene-pro-v-miracles-volumen-x-400-ml/p</t>
        </is>
      </c>
      <c r="P823">
        <f>TRIM(CLEAN(PROPER(D823)))</f>
        <v/>
      </c>
      <c r="Q823">
        <f>PROPER(TRIM(SUBSTITUTE(SUBSTITUTE(SUBSTITUTE(SUBSTITUTE(E823,"TRESEMME","Tresemme"),"HEAD &amp; SHOULDERS","Head &amp; Shoulders"),"ELVIVE","Elvive"),"FRUCTIS","Fructis")))</f>
        <v/>
      </c>
      <c r="R823">
        <f>COUNTIF($D$2:$D$10000,D823)&gt;1</f>
        <v/>
      </c>
      <c r="S823">
        <f>IF(H823=TRUE,"Disponible","No disponible")</f>
        <v/>
      </c>
      <c r="T823">
        <f>IF(AND(ISNUMBER(I823),I823&gt;0),ROUND(F823/I823,2),"Sin volumen")</f>
        <v/>
      </c>
      <c r="U823">
        <f>IF(F823&lt;5000,"Bajo",IF(F823&lt;15000,"Medio","Alto"))</f>
        <v/>
      </c>
    </row>
    <row r="824">
      <c r="A824" s="6" t="inlineStr">
        <is>
          <t>Farmacity</t>
        </is>
      </c>
      <c r="B824" s="6" t="n">
        <v>9162</v>
      </c>
      <c r="C824" s="6" t="n">
        <v>157033</v>
      </c>
      <c r="D824" s="6" t="inlineStr">
        <is>
          <t>Acondicionador Pantene 3 Minute Miracle x 170 ml</t>
        </is>
      </c>
      <c r="E824" s="6" t="inlineStr">
        <is>
          <t>Pantene</t>
        </is>
      </c>
      <c r="F824" s="6" t="n">
        <v>9647</v>
      </c>
      <c r="G824" s="6" t="n">
        <v>9647</v>
      </c>
      <c r="H824" s="6" t="b">
        <v>1</v>
      </c>
      <c r="I824" s="6" t="n">
        <v>170</v>
      </c>
      <c r="J824" s="6" t="n">
        <v>56.7471</v>
      </c>
      <c r="K824" s="6" t="inlineStr">
        <is>
          <t>&gt; Cuidado Capilar &gt; Shampoo Y Acondicionador &gt;</t>
        </is>
      </c>
      <c r="L824" s="6" t="inlineStr">
        <is>
          <t>acondicionador</t>
        </is>
      </c>
      <c r="M824" s="6" t="inlineStr">
        <is>
          <t>estandar</t>
        </is>
      </c>
      <c r="N824" s="6" t="inlineStr">
        <is>
          <t>general</t>
        </is>
      </c>
      <c r="O824" s="6" t="inlineStr">
        <is>
          <t>https://www.farmacity.com/acondicionador-pantene-3mm-hidratacion-extrema-x-170-ml/p</t>
        </is>
      </c>
      <c r="P824" s="8">
        <f>TRIM(CLEAN(PROPER(D824)))</f>
        <v/>
      </c>
      <c r="Q824" s="8">
        <f>PROPER(TRIM(SUBSTITUTE(SUBSTITUTE(SUBSTITUTE(SUBSTITUTE(E824,"TRESEMME","Tresemme"),"HEAD &amp; SHOULDERS","Head &amp; Shoulders"),"ELVIVE","Elvive"),"FRUCTIS","Fructis")))</f>
        <v/>
      </c>
      <c r="R824" s="8">
        <f>COUNTIF($D$2:$D$10000,D824)&gt;1</f>
        <v/>
      </c>
      <c r="S824" s="8">
        <f>IF(H824=TRUE,"Disponible","No disponible")</f>
        <v/>
      </c>
      <c r="T824" s="8">
        <f>IF(AND(ISNUMBER(I824),I824&gt;0),ROUND(F824/I824,2),"Sin volumen")</f>
        <v/>
      </c>
      <c r="U824" s="8">
        <f>IF(F824&lt;5000,"Bajo",IF(F824&lt;15000,"Medio","Alto"))</f>
        <v/>
      </c>
    </row>
    <row r="825">
      <c r="A825" t="inlineStr">
        <is>
          <t>Farmacity</t>
        </is>
      </c>
      <c r="B825" t="n">
        <v>247956</v>
      </c>
      <c r="C825" t="n">
        <v>247956</v>
      </c>
      <c r="D825" t="inlineStr">
        <is>
          <t>Combo Óleo Pantene Nutritivo x 95 ml</t>
        </is>
      </c>
      <c r="E825" t="inlineStr">
        <is>
          <t>Pantene</t>
        </is>
      </c>
      <c r="F825" t="n">
        <v>40357</v>
      </c>
      <c r="G825" t="n">
        <v>40357</v>
      </c>
      <c r="H825" t="b">
        <v>1</v>
      </c>
      <c r="I825" t="n">
        <v>95</v>
      </c>
      <c r="J825" t="n">
        <v>424.8105</v>
      </c>
      <c r="K825" t="inlineStr">
        <is>
          <t>&gt; Cuidado Capilar &gt; Reparación Y Tratamiento &gt;</t>
        </is>
      </c>
      <c r="L825" t="inlineStr">
        <is>
          <t>shampoo</t>
        </is>
      </c>
      <c r="M825" t="inlineStr">
        <is>
          <t>estandar</t>
        </is>
      </c>
      <c r="N825" t="inlineStr">
        <is>
          <t>general</t>
        </is>
      </c>
      <c r="O825" t="inlineStr">
        <is>
          <t>https://www.farmacity.com/combo-oleo-pantene-nutritivo-x-95-ml/p</t>
        </is>
      </c>
      <c r="P825">
        <f>TRIM(CLEAN(PROPER(D825)))</f>
        <v/>
      </c>
      <c r="Q825">
        <f>PROPER(TRIM(SUBSTITUTE(SUBSTITUTE(SUBSTITUTE(SUBSTITUTE(E825,"TRESEMME","Tresemme"),"HEAD &amp; SHOULDERS","Head &amp; Shoulders"),"ELVIVE","Elvive"),"FRUCTIS","Fructis")))</f>
        <v/>
      </c>
      <c r="R825">
        <f>COUNTIF($D$2:$D$10000,D825)&gt;1</f>
        <v/>
      </c>
      <c r="S825">
        <f>IF(H825=TRUE,"Disponible","No disponible")</f>
        <v/>
      </c>
      <c r="T825">
        <f>IF(AND(ISNUMBER(I825),I825&gt;0),ROUND(F825/I825,2),"Sin volumen")</f>
        <v/>
      </c>
      <c r="U825">
        <f>IF(F825&lt;5000,"Bajo",IF(F825&lt;15000,"Medio","Alto"))</f>
        <v/>
      </c>
    </row>
    <row r="826">
      <c r="A826" s="6" t="inlineStr">
        <is>
          <t>Farmacity</t>
        </is>
      </c>
      <c r="B826" s="6" t="n">
        <v>238874</v>
      </c>
      <c r="C826" s="6" t="n">
        <v>238874</v>
      </c>
      <c r="D826" s="6" t="inlineStr">
        <is>
          <t>Shampoo Pantene Pro-V Miracles Volumen x 750 ml</t>
        </is>
      </c>
      <c r="E826" s="6" t="inlineStr">
        <is>
          <t>Pantene</t>
        </is>
      </c>
      <c r="F826" s="6" t="n">
        <v>16733</v>
      </c>
      <c r="G826" s="6" t="n">
        <v>16733</v>
      </c>
      <c r="H826" s="6" t="b">
        <v>1</v>
      </c>
      <c r="I826" s="6" t="n">
        <v>750</v>
      </c>
      <c r="J826" s="6" t="n">
        <v>22.3107</v>
      </c>
      <c r="K826" s="6" t="inlineStr">
        <is>
          <t>&gt; Cuidado Capilar &gt; Shampoo Y Acondicionador &gt;</t>
        </is>
      </c>
      <c r="L826" s="6" t="inlineStr">
        <is>
          <t>shampoo</t>
        </is>
      </c>
      <c r="M826" s="6" t="inlineStr">
        <is>
          <t>profesional</t>
        </is>
      </c>
      <c r="N826" s="6" t="inlineStr">
        <is>
          <t>general</t>
        </is>
      </c>
      <c r="O826" s="6" t="inlineStr">
        <is>
          <t>https://www.farmacity.com/shampoo-pantene-pro-v-miracles-volumen-x-750-ml/p</t>
        </is>
      </c>
      <c r="P826" s="8">
        <f>TRIM(CLEAN(PROPER(D826)))</f>
        <v/>
      </c>
      <c r="Q826" s="8">
        <f>PROPER(TRIM(SUBSTITUTE(SUBSTITUTE(SUBSTITUTE(SUBSTITUTE(E826,"TRESEMME","Tresemme"),"HEAD &amp; SHOULDERS","Head &amp; Shoulders"),"ELVIVE","Elvive"),"FRUCTIS","Fructis")))</f>
        <v/>
      </c>
      <c r="R826" s="8">
        <f>COUNTIF($D$2:$D$10000,D826)&gt;1</f>
        <v/>
      </c>
      <c r="S826" s="8">
        <f>IF(H826=TRUE,"Disponible","No disponible")</f>
        <v/>
      </c>
      <c r="T826" s="8">
        <f>IF(AND(ISNUMBER(I826),I826&gt;0),ROUND(F826/I826,2),"Sin volumen")</f>
        <v/>
      </c>
      <c r="U826" s="8">
        <f>IF(F826&lt;5000,"Bajo",IF(F826&lt;15000,"Medio","Alto"))</f>
        <v/>
      </c>
    </row>
    <row r="827">
      <c r="A827" t="inlineStr">
        <is>
          <t>Farmacity</t>
        </is>
      </c>
      <c r="B827" t="n">
        <v>236814</v>
      </c>
      <c r="C827" t="n">
        <v>236814</v>
      </c>
      <c r="D827" t="inlineStr">
        <is>
          <t>Shampoo Sedal Prebióticos+Biotina x 340 ml</t>
        </is>
      </c>
      <c r="E827" t="inlineStr">
        <is>
          <t>Sedal</t>
        </is>
      </c>
      <c r="F827" t="n">
        <v>5837</v>
      </c>
      <c r="G827" t="n">
        <v>5837</v>
      </c>
      <c r="H827" t="b">
        <v>1</v>
      </c>
      <c r="I827" t="n">
        <v>340</v>
      </c>
      <c r="J827" t="n">
        <v>17.1676</v>
      </c>
      <c r="K827" t="inlineStr">
        <is>
          <t>&gt; Cuidado Capilar &gt; Shampoo Y Acondicionador &gt;</t>
        </is>
      </c>
      <c r="L827" t="inlineStr">
        <is>
          <t>shampoo</t>
        </is>
      </c>
      <c r="M827" t="inlineStr">
        <is>
          <t>estandar</t>
        </is>
      </c>
      <c r="N827" t="inlineStr">
        <is>
          <t>general</t>
        </is>
      </c>
      <c r="O827" t="inlineStr">
        <is>
          <t>https://www.farmacity.com/shampoo-sedal-prebioticos-biotina-x-340-ml/p</t>
        </is>
      </c>
      <c r="P827">
        <f>TRIM(CLEAN(PROPER(D827)))</f>
        <v/>
      </c>
      <c r="Q827">
        <f>PROPER(TRIM(SUBSTITUTE(SUBSTITUTE(SUBSTITUTE(SUBSTITUTE(E827,"TRESEMME","Tresemme"),"HEAD &amp; SHOULDERS","Head &amp; Shoulders"),"ELVIVE","Elvive"),"FRUCTIS","Fructis")))</f>
        <v/>
      </c>
      <c r="R827">
        <f>COUNTIF($D$2:$D$10000,D827)&gt;1</f>
        <v/>
      </c>
      <c r="S827">
        <f>IF(H827=TRUE,"Disponible","No disponible")</f>
        <v/>
      </c>
      <c r="T827">
        <f>IF(AND(ISNUMBER(I827),I827&gt;0),ROUND(F827/I827,2),"Sin volumen")</f>
        <v/>
      </c>
      <c r="U827">
        <f>IF(F827&lt;5000,"Bajo",IF(F827&lt;15000,"Medio","Alto"))</f>
        <v/>
      </c>
    </row>
    <row r="828">
      <c r="A828" s="6" t="inlineStr">
        <is>
          <t>Farmacity</t>
        </is>
      </c>
      <c r="B828" s="6" t="n">
        <v>243569</v>
      </c>
      <c r="C828" s="6" t="n">
        <v>243569</v>
      </c>
      <c r="D828" s="6" t="inlineStr">
        <is>
          <t>Crema para Peinar Sedal Luminous UV x 300 ml</t>
        </is>
      </c>
      <c r="E828" s="6" t="inlineStr">
        <is>
          <t>Sedal</t>
        </is>
      </c>
      <c r="F828" s="6" t="n">
        <v>5684</v>
      </c>
      <c r="G828" s="6" t="n">
        <v>5684</v>
      </c>
      <c r="H828" s="6" t="b">
        <v>1</v>
      </c>
      <c r="I828" s="6" t="n">
        <v>300</v>
      </c>
      <c r="J828" s="6" t="n">
        <v>18.9467</v>
      </c>
      <c r="K828" s="6" t="inlineStr">
        <is>
          <t>&gt; Cuidado Capilar &gt; Modelado Y Peinado &gt;</t>
        </is>
      </c>
      <c r="L828" s="6" t="inlineStr">
        <is>
          <t>shampoo</t>
        </is>
      </c>
      <c r="M828" s="6" t="inlineStr">
        <is>
          <t>estandar</t>
        </is>
      </c>
      <c r="N828" s="6" t="inlineStr">
        <is>
          <t>general</t>
        </is>
      </c>
      <c r="O828" s="6" t="inlineStr">
        <is>
          <t>https://www.farmacity.com/crema-para-peinar-sedal-luminous-uv-x-300-ml/p</t>
        </is>
      </c>
      <c r="P828" s="8">
        <f>TRIM(CLEAN(PROPER(D828)))</f>
        <v/>
      </c>
      <c r="Q828" s="8">
        <f>PROPER(TRIM(SUBSTITUTE(SUBSTITUTE(SUBSTITUTE(SUBSTITUTE(E828,"TRESEMME","Tresemme"),"HEAD &amp; SHOULDERS","Head &amp; Shoulders"),"ELVIVE","Elvive"),"FRUCTIS","Fructis")))</f>
        <v/>
      </c>
      <c r="R828" s="8">
        <f>COUNTIF($D$2:$D$10000,D828)&gt;1</f>
        <v/>
      </c>
      <c r="S828" s="8">
        <f>IF(H828=TRUE,"Disponible","No disponible")</f>
        <v/>
      </c>
      <c r="T828" s="8">
        <f>IF(AND(ISNUMBER(I828),I828&gt;0),ROUND(F828/I828,2),"Sin volumen")</f>
        <v/>
      </c>
      <c r="U828" s="8">
        <f>IF(F828&lt;5000,"Bajo",IF(F828&lt;15000,"Medio","Alto"))</f>
        <v/>
      </c>
    </row>
    <row r="829">
      <c r="A829" t="inlineStr">
        <is>
          <t>Farmacity</t>
        </is>
      </c>
      <c r="B829" t="n">
        <v>239705</v>
      </c>
      <c r="C829" t="n">
        <v>239705</v>
      </c>
      <c r="D829" t="inlineStr">
        <is>
          <t>Crema de Peinar Sedal Liso Perfecto x 300 ml</t>
        </is>
      </c>
      <c r="E829" t="inlineStr">
        <is>
          <t>Sedal</t>
        </is>
      </c>
      <c r="F829" t="n">
        <v>5684</v>
      </c>
      <c r="G829" t="n">
        <v>5684</v>
      </c>
      <c r="H829" t="b">
        <v>1</v>
      </c>
      <c r="I829" t="n">
        <v>300</v>
      </c>
      <c r="J829" t="n">
        <v>18.9467</v>
      </c>
      <c r="K829" t="inlineStr">
        <is>
          <t>&gt; Cuidado Capilar &gt; Modelado Y Peinado &gt;</t>
        </is>
      </c>
      <c r="L829" t="inlineStr">
        <is>
          <t>shampoo</t>
        </is>
      </c>
      <c r="M829" t="inlineStr">
        <is>
          <t>estandar</t>
        </is>
      </c>
      <c r="N829" t="inlineStr">
        <is>
          <t>general</t>
        </is>
      </c>
      <c r="O829" t="inlineStr">
        <is>
          <t>https://www.farmacity.com/crema-de-peinar-sedal-liso-perfecto-x-300-ml/p</t>
        </is>
      </c>
      <c r="P829">
        <f>TRIM(CLEAN(PROPER(D829)))</f>
        <v/>
      </c>
      <c r="Q829">
        <f>PROPER(TRIM(SUBSTITUTE(SUBSTITUTE(SUBSTITUTE(SUBSTITUTE(E829,"TRESEMME","Tresemme"),"HEAD &amp; SHOULDERS","Head &amp; Shoulders"),"ELVIVE","Elvive"),"FRUCTIS","Fructis")))</f>
        <v/>
      </c>
      <c r="R829">
        <f>COUNTIF($D$2:$D$10000,D829)&gt;1</f>
        <v/>
      </c>
      <c r="S829">
        <f>IF(H829=TRUE,"Disponible","No disponible")</f>
        <v/>
      </c>
      <c r="T829">
        <f>IF(AND(ISNUMBER(I829),I829&gt;0),ROUND(F829/I829,2),"Sin volumen")</f>
        <v/>
      </c>
      <c r="U829">
        <f>IF(F829&lt;5000,"Bajo",IF(F829&lt;15000,"Medio","Alto"))</f>
        <v/>
      </c>
    </row>
    <row r="830">
      <c r="A830" s="6" t="inlineStr">
        <is>
          <t>Farmacity</t>
        </is>
      </c>
      <c r="B830" s="6" t="n">
        <v>236813</v>
      </c>
      <c r="C830" s="6" t="n">
        <v>236813</v>
      </c>
      <c r="D830" s="6" t="inlineStr">
        <is>
          <t>Shampoo Sedal Prebióticos+Biotina x 190 ml</t>
        </is>
      </c>
      <c r="E830" s="6" t="inlineStr">
        <is>
          <t>Sedal</t>
        </is>
      </c>
      <c r="F830" s="6" t="n">
        <v>1739</v>
      </c>
      <c r="G830" s="6" t="n">
        <v>3478</v>
      </c>
      <c r="H830" s="6" t="b">
        <v>1</v>
      </c>
      <c r="I830" s="6" t="n">
        <v>190</v>
      </c>
      <c r="J830" s="6" t="n">
        <v>9.1526</v>
      </c>
      <c r="K830" s="6" t="inlineStr">
        <is>
          <t>&gt; Cuidado Capilar &gt; Shampoo Y Acondicionador &gt;</t>
        </is>
      </c>
      <c r="L830" s="6" t="inlineStr">
        <is>
          <t>shampoo</t>
        </is>
      </c>
      <c r="M830" s="6" t="inlineStr">
        <is>
          <t>estandar</t>
        </is>
      </c>
      <c r="N830" s="6" t="inlineStr">
        <is>
          <t>general</t>
        </is>
      </c>
      <c r="O830" s="6" t="inlineStr">
        <is>
          <t>https://www.farmacity.com/shampoo-sedal-prebioticos-biotina-x-190-ml/p</t>
        </is>
      </c>
      <c r="P830" s="8">
        <f>TRIM(CLEAN(PROPER(D830)))</f>
        <v/>
      </c>
      <c r="Q830" s="8">
        <f>PROPER(TRIM(SUBSTITUTE(SUBSTITUTE(SUBSTITUTE(SUBSTITUTE(E830,"TRESEMME","Tresemme"),"HEAD &amp; SHOULDERS","Head &amp; Shoulders"),"ELVIVE","Elvive"),"FRUCTIS","Fructis")))</f>
        <v/>
      </c>
      <c r="R830" s="8">
        <f>COUNTIF($D$2:$D$10000,D830)&gt;1</f>
        <v/>
      </c>
      <c r="S830" s="8">
        <f>IF(H830=TRUE,"Disponible","No disponible")</f>
        <v/>
      </c>
      <c r="T830" s="8">
        <f>IF(AND(ISNUMBER(I830),I830&gt;0),ROUND(F830/I830,2),"Sin volumen")</f>
        <v/>
      </c>
      <c r="U830" s="8">
        <f>IF(F830&lt;5000,"Bajo",IF(F830&lt;15000,"Medio","Alto"))</f>
        <v/>
      </c>
    </row>
    <row r="831">
      <c r="A831" t="inlineStr">
        <is>
          <t>Farmacity</t>
        </is>
      </c>
      <c r="B831" t="n">
        <v>215467</v>
      </c>
      <c r="C831" t="n">
        <v>215467</v>
      </c>
      <c r="D831" t="inlineStr">
        <is>
          <t>Shampoo Head &amp; Shoulders Aceite de Coco x 180 ml</t>
        </is>
      </c>
      <c r="E831" t="inlineStr">
        <is>
          <t>Head and Shoulders</t>
        </is>
      </c>
      <c r="F831" t="n">
        <v>4701</v>
      </c>
      <c r="G831" t="n">
        <v>7233</v>
      </c>
      <c r="H831" t="b">
        <v>1</v>
      </c>
      <c r="I831" t="n">
        <v>180</v>
      </c>
      <c r="J831" t="n">
        <v>26.1167</v>
      </c>
      <c r="K831" t="inlineStr">
        <is>
          <t>&gt; Cuidado Capilar &gt; Shampoo Y Acondicionador &gt;</t>
        </is>
      </c>
      <c r="L831" t="inlineStr">
        <is>
          <t>shampoo</t>
        </is>
      </c>
      <c r="M831" t="inlineStr">
        <is>
          <t>estandar</t>
        </is>
      </c>
      <c r="N831" t="inlineStr">
        <is>
          <t>general</t>
        </is>
      </c>
      <c r="O831" t="inlineStr">
        <is>
          <t>https://www.farmacity.com/shampoo-head-shouders-hidratacion-con-aceite-de-coco-x-180-ml/p</t>
        </is>
      </c>
      <c r="P831">
        <f>TRIM(CLEAN(PROPER(D831)))</f>
        <v/>
      </c>
      <c r="Q831">
        <f>PROPER(TRIM(SUBSTITUTE(SUBSTITUTE(SUBSTITUTE(SUBSTITUTE(E831,"TRESEMME","Tresemme"),"HEAD &amp; SHOULDERS","Head &amp; Shoulders"),"ELVIVE","Elvive"),"FRUCTIS","Fructis")))</f>
        <v/>
      </c>
      <c r="R831">
        <f>COUNTIF($D$2:$D$10000,D831)&gt;1</f>
        <v/>
      </c>
      <c r="S831">
        <f>IF(H831=TRUE,"Disponible","No disponible")</f>
        <v/>
      </c>
      <c r="T831">
        <f>IF(AND(ISNUMBER(I831),I831&gt;0),ROUND(F831/I831,2),"Sin volumen")</f>
        <v/>
      </c>
      <c r="U831">
        <f>IF(F831&lt;5000,"Bajo",IF(F831&lt;15000,"Medio","Alto"))</f>
        <v/>
      </c>
    </row>
    <row r="832">
      <c r="A832" s="6" t="inlineStr">
        <is>
          <t>Farmacity</t>
        </is>
      </c>
      <c r="B832" s="6" t="n">
        <v>219597</v>
      </c>
      <c r="C832" s="6" t="n">
        <v>219597</v>
      </c>
      <c r="D832" s="6" t="inlineStr">
        <is>
          <t>Shampoo Head &amp; Shoulders Manzana Fresh x 180 ml</t>
        </is>
      </c>
      <c r="E832" s="6" t="inlineStr">
        <is>
          <t>Head and Shoulders</t>
        </is>
      </c>
      <c r="F832" s="6" t="n">
        <v>4701</v>
      </c>
      <c r="G832" s="6" t="n">
        <v>7233</v>
      </c>
      <c r="H832" s="6" t="b">
        <v>1</v>
      </c>
      <c r="I832" s="6" t="n">
        <v>180</v>
      </c>
      <c r="J832" s="6" t="n">
        <v>26.1167</v>
      </c>
      <c r="K832" s="6" t="inlineStr">
        <is>
          <t>&gt; Cuidado Capilar &gt; Shampoo Y Acondicionador &gt;</t>
        </is>
      </c>
      <c r="L832" s="6" t="inlineStr">
        <is>
          <t>shampoo</t>
        </is>
      </c>
      <c r="M832" s="6" t="inlineStr">
        <is>
          <t>estandar</t>
        </is>
      </c>
      <c r="N832" s="6" t="inlineStr">
        <is>
          <t>general</t>
        </is>
      </c>
      <c r="O832" s="6" t="inlineStr">
        <is>
          <t>https://www.farmacity.com/shampoo-head-shoulders-manzana-fresh-x-180-ml/p</t>
        </is>
      </c>
      <c r="P832" s="8">
        <f>TRIM(CLEAN(PROPER(D832)))</f>
        <v/>
      </c>
      <c r="Q832" s="8">
        <f>PROPER(TRIM(SUBSTITUTE(SUBSTITUTE(SUBSTITUTE(SUBSTITUTE(E832,"TRESEMME","Tresemme"),"HEAD &amp; SHOULDERS","Head &amp; Shoulders"),"ELVIVE","Elvive"),"FRUCTIS","Fructis")))</f>
        <v/>
      </c>
      <c r="R832" s="8">
        <f>COUNTIF($D$2:$D$10000,D832)&gt;1</f>
        <v/>
      </c>
      <c r="S832" s="8">
        <f>IF(H832=TRUE,"Disponible","No disponible")</f>
        <v/>
      </c>
      <c r="T832" s="8">
        <f>IF(AND(ISNUMBER(I832),I832&gt;0),ROUND(F832/I832,2),"Sin volumen")</f>
        <v/>
      </c>
      <c r="U832" s="8">
        <f>IF(F832&lt;5000,"Bajo",IF(F832&lt;15000,"Medio","Alto"))</f>
        <v/>
      </c>
    </row>
    <row r="833">
      <c r="A833" t="inlineStr">
        <is>
          <t>Farmacity</t>
        </is>
      </c>
      <c r="B833" t="n">
        <v>221688</v>
      </c>
      <c r="C833" t="n">
        <v>221688</v>
      </c>
      <c r="D833" t="inlineStr">
        <is>
          <t>Shampoo Head &amp; Shoulders Crece Fuerte desde la Raíz x 180 ml</t>
        </is>
      </c>
      <c r="E833" t="inlineStr">
        <is>
          <t>Head and Shoulders</t>
        </is>
      </c>
      <c r="F833" t="n">
        <v>4701</v>
      </c>
      <c r="G833" t="n">
        <v>7233</v>
      </c>
      <c r="H833" t="b">
        <v>1</v>
      </c>
      <c r="I833" t="n">
        <v>180</v>
      </c>
      <c r="J833" t="n">
        <v>26.1167</v>
      </c>
      <c r="K833" t="inlineStr">
        <is>
          <t>&gt; Cuidado Capilar &gt; Shampoo Y Acondicionador &gt;</t>
        </is>
      </c>
      <c r="L833" t="inlineStr">
        <is>
          <t>shampoo</t>
        </is>
      </c>
      <c r="M833" t="inlineStr">
        <is>
          <t>estandar</t>
        </is>
      </c>
      <c r="N833" t="inlineStr">
        <is>
          <t>general</t>
        </is>
      </c>
      <c r="O833" t="inlineStr">
        <is>
          <t>https://www.farmacity.com/shampoo-head-y-shoulders-crece-fuerte-desde-la-raiz-x-180-ml/p</t>
        </is>
      </c>
      <c r="P833">
        <f>TRIM(CLEAN(PROPER(D833)))</f>
        <v/>
      </c>
      <c r="Q833">
        <f>PROPER(TRIM(SUBSTITUTE(SUBSTITUTE(SUBSTITUTE(SUBSTITUTE(E833,"TRESEMME","Tresemme"),"HEAD &amp; SHOULDERS","Head &amp; Shoulders"),"ELVIVE","Elvive"),"FRUCTIS","Fructis")))</f>
        <v/>
      </c>
      <c r="R833">
        <f>COUNTIF($D$2:$D$10000,D833)&gt;1</f>
        <v/>
      </c>
      <c r="S833">
        <f>IF(H833=TRUE,"Disponible","No disponible")</f>
        <v/>
      </c>
      <c r="T833">
        <f>IF(AND(ISNUMBER(I833),I833&gt;0),ROUND(F833/I833,2),"Sin volumen")</f>
        <v/>
      </c>
      <c r="U833">
        <f>IF(F833&lt;5000,"Bajo",IF(F833&lt;15000,"Medio","Alto"))</f>
        <v/>
      </c>
    </row>
    <row r="834">
      <c r="A834" s="6" t="inlineStr">
        <is>
          <t>Farmacity</t>
        </is>
      </c>
      <c r="B834" s="6" t="n">
        <v>239710</v>
      </c>
      <c r="C834" s="6" t="n">
        <v>239710</v>
      </c>
      <c r="D834" s="6" t="inlineStr">
        <is>
          <t>Crema para Peinar Fructis Hair Food Manteca de Cacao x 250 ml</t>
        </is>
      </c>
      <c r="E834" s="6" t="inlineStr">
        <is>
          <t>Fructis</t>
        </is>
      </c>
      <c r="F834" s="6" t="n">
        <v>8990</v>
      </c>
      <c r="G834" s="6" t="n">
        <v>8990</v>
      </c>
      <c r="H834" s="6" t="b">
        <v>1</v>
      </c>
      <c r="I834" s="6" t="n">
        <v>250</v>
      </c>
      <c r="J834" s="6" t="n">
        <v>35.96</v>
      </c>
      <c r="K834" s="6" t="inlineStr">
        <is>
          <t>&gt; Cuidado Capilar &gt; Modelado Y Peinado &gt;</t>
        </is>
      </c>
      <c r="L834" s="6" t="inlineStr">
        <is>
          <t>shampoo</t>
        </is>
      </c>
      <c r="M834" s="6" t="inlineStr">
        <is>
          <t>estandar</t>
        </is>
      </c>
      <c r="N834" s="6" t="inlineStr">
        <is>
          <t>general</t>
        </is>
      </c>
      <c r="O834" s="6" t="inlineStr">
        <is>
          <t>https://www.farmacity.com/crema-para-peinar-garnier-fructis-hair-food-manteca-de-cacao-x-250-ml/p</t>
        </is>
      </c>
      <c r="P834" s="8">
        <f>TRIM(CLEAN(PROPER(D834)))</f>
        <v/>
      </c>
      <c r="Q834" s="8">
        <f>PROPER(TRIM(SUBSTITUTE(SUBSTITUTE(SUBSTITUTE(SUBSTITUTE(E834,"TRESEMME","Tresemme"),"HEAD &amp; SHOULDERS","Head &amp; Shoulders"),"ELVIVE","Elvive"),"FRUCTIS","Fructis")))</f>
        <v/>
      </c>
      <c r="R834" s="8">
        <f>COUNTIF($D$2:$D$10000,D834)&gt;1</f>
        <v/>
      </c>
      <c r="S834" s="8">
        <f>IF(H834=TRUE,"Disponible","No disponible")</f>
        <v/>
      </c>
      <c r="T834" s="8">
        <f>IF(AND(ISNUMBER(I834),I834&gt;0),ROUND(F834/I834,2),"Sin volumen")</f>
        <v/>
      </c>
      <c r="U834" s="8">
        <f>IF(F834&lt;5000,"Bajo",IF(F834&lt;15000,"Medio","Alto"))</f>
        <v/>
      </c>
    </row>
    <row r="835">
      <c r="A835" t="inlineStr">
        <is>
          <t>Farmacity</t>
        </is>
      </c>
      <c r="B835" t="n">
        <v>243910</v>
      </c>
      <c r="C835" t="n">
        <v>243910</v>
      </c>
      <c r="D835" t="inlineStr">
        <is>
          <t>Crema para Peinar Fructis Probióticos Fuerza x 250 ml</t>
        </is>
      </c>
      <c r="E835" t="inlineStr">
        <is>
          <t>Fructis</t>
        </is>
      </c>
      <c r="F835" t="n">
        <v>7490</v>
      </c>
      <c r="G835" t="n">
        <v>7490</v>
      </c>
      <c r="H835" t="b">
        <v>1</v>
      </c>
      <c r="I835" t="n">
        <v>250</v>
      </c>
      <c r="J835" t="n">
        <v>29.96</v>
      </c>
      <c r="K835" t="inlineStr">
        <is>
          <t>&gt; Cuidado Capilar &gt; Modelado Y Peinado &gt;</t>
        </is>
      </c>
      <c r="L835" t="inlineStr">
        <is>
          <t>shampoo</t>
        </is>
      </c>
      <c r="M835" t="inlineStr">
        <is>
          <t>profesional</t>
        </is>
      </c>
      <c r="N835" t="inlineStr">
        <is>
          <t>general</t>
        </is>
      </c>
      <c r="O835" t="inlineStr">
        <is>
          <t>https://www.farmacity.com/crema-para-peinar-fructis-probioticos-fuerza-x-250-ml/p</t>
        </is>
      </c>
      <c r="P835">
        <f>TRIM(CLEAN(PROPER(D835)))</f>
        <v/>
      </c>
      <c r="Q835">
        <f>PROPER(TRIM(SUBSTITUTE(SUBSTITUTE(SUBSTITUTE(SUBSTITUTE(E835,"TRESEMME","Tresemme"),"HEAD &amp; SHOULDERS","Head &amp; Shoulders"),"ELVIVE","Elvive"),"FRUCTIS","Fructis")))</f>
        <v/>
      </c>
      <c r="R835">
        <f>COUNTIF($D$2:$D$10000,D835)&gt;1</f>
        <v/>
      </c>
      <c r="S835">
        <f>IF(H835=TRUE,"Disponible","No disponible")</f>
        <v/>
      </c>
      <c r="T835">
        <f>IF(AND(ISNUMBER(I835),I835&gt;0),ROUND(F835/I835,2),"Sin volumen")</f>
        <v/>
      </c>
      <c r="U835">
        <f>IF(F835&lt;5000,"Bajo",IF(F835&lt;15000,"Medio","Alto"))</f>
        <v/>
      </c>
    </row>
    <row r="836">
      <c r="A836" s="6" t="inlineStr">
        <is>
          <t>Farmacity</t>
        </is>
      </c>
      <c r="B836" s="6" t="n">
        <v>231817</v>
      </c>
      <c r="C836" s="6" t="n">
        <v>231817</v>
      </c>
      <c r="D836" s="6" t="inlineStr">
        <is>
          <t>Crema para Peinar Fructis Aloe Hidra Bomb x 250 ml</t>
        </is>
      </c>
      <c r="E836" s="6" t="inlineStr">
        <is>
          <t>Fructis</t>
        </is>
      </c>
      <c r="F836" s="6" t="n">
        <v>3745</v>
      </c>
      <c r="G836" s="6" t="n">
        <v>7490</v>
      </c>
      <c r="H836" s="6" t="b">
        <v>1</v>
      </c>
      <c r="I836" s="6" t="n">
        <v>250</v>
      </c>
      <c r="J836" s="6" t="n">
        <v>14.98</v>
      </c>
      <c r="K836" s="6" t="inlineStr">
        <is>
          <t>&gt; Cuidado Capilar &gt; Modelado Y Peinado &gt;</t>
        </is>
      </c>
      <c r="L836" s="6" t="inlineStr">
        <is>
          <t>shampoo</t>
        </is>
      </c>
      <c r="M836" s="6" t="inlineStr">
        <is>
          <t>estandar</t>
        </is>
      </c>
      <c r="N836" s="6" t="inlineStr">
        <is>
          <t>general</t>
        </is>
      </c>
      <c r="O836" s="6" t="inlineStr">
        <is>
          <t>https://www.farmacity.com/crema-para-peinar-garnier-aloe-hidra-liso-bond-x-250-ml/p</t>
        </is>
      </c>
      <c r="P836" s="8">
        <f>TRIM(CLEAN(PROPER(D836)))</f>
        <v/>
      </c>
      <c r="Q836" s="8">
        <f>PROPER(TRIM(SUBSTITUTE(SUBSTITUTE(SUBSTITUTE(SUBSTITUTE(E836,"TRESEMME","Tresemme"),"HEAD &amp; SHOULDERS","Head &amp; Shoulders"),"ELVIVE","Elvive"),"FRUCTIS","Fructis")))</f>
        <v/>
      </c>
      <c r="R836" s="8">
        <f>COUNTIF($D$2:$D$10000,D836)&gt;1</f>
        <v/>
      </c>
      <c r="S836" s="8">
        <f>IF(H836=TRUE,"Disponible","No disponible")</f>
        <v/>
      </c>
      <c r="T836" s="8">
        <f>IF(AND(ISNUMBER(I836),I836&gt;0),ROUND(F836/I836,2),"Sin volumen")</f>
        <v/>
      </c>
      <c r="U836" s="8">
        <f>IF(F836&lt;5000,"Bajo",IF(F836&lt;15000,"Medio","Alto"))</f>
        <v/>
      </c>
    </row>
    <row r="837">
      <c r="A837" t="inlineStr">
        <is>
          <t>Farmacity</t>
        </is>
      </c>
      <c r="B837" t="n">
        <v>217205</v>
      </c>
      <c r="C837" t="n">
        <v>217205</v>
      </c>
      <c r="D837" t="inlineStr">
        <is>
          <t>Shampoo Garnier Fructis Hair Food Aloe x 300 ml</t>
        </is>
      </c>
      <c r="E837" t="inlineStr">
        <is>
          <t>Fructis</t>
        </is>
      </c>
      <c r="F837" t="n">
        <v>7273</v>
      </c>
      <c r="G837" t="n">
        <v>11190</v>
      </c>
      <c r="H837" t="b">
        <v>1</v>
      </c>
      <c r="I837" t="n">
        <v>300</v>
      </c>
      <c r="J837" t="n">
        <v>24.2433</v>
      </c>
      <c r="K837" t="inlineStr">
        <is>
          <t>&gt; Cuidado Capilar &gt; Shampoo Y Acondicionador &gt;</t>
        </is>
      </c>
      <c r="L837" t="inlineStr">
        <is>
          <t>shampoo</t>
        </is>
      </c>
      <c r="M837" t="inlineStr">
        <is>
          <t>estandar</t>
        </is>
      </c>
      <c r="N837" t="inlineStr">
        <is>
          <t>general</t>
        </is>
      </c>
      <c r="O837" t="inlineStr">
        <is>
          <t>https://www.farmacity.com/shampoo-fructis-hair-food-aloe-vera-x-300-ml/p</t>
        </is>
      </c>
      <c r="P837">
        <f>TRIM(CLEAN(PROPER(D837)))</f>
        <v/>
      </c>
      <c r="Q837">
        <f>PROPER(TRIM(SUBSTITUTE(SUBSTITUTE(SUBSTITUTE(SUBSTITUTE(E837,"TRESEMME","Tresemme"),"HEAD &amp; SHOULDERS","Head &amp; Shoulders"),"ELVIVE","Elvive"),"FRUCTIS","Fructis")))</f>
        <v/>
      </c>
      <c r="R837">
        <f>COUNTIF($D$2:$D$10000,D837)&gt;1</f>
        <v/>
      </c>
      <c r="S837">
        <f>IF(H837=TRUE,"Disponible","No disponible")</f>
        <v/>
      </c>
      <c r="T837">
        <f>IF(AND(ISNUMBER(I837),I837&gt;0),ROUND(F837/I837,2),"Sin volumen")</f>
        <v/>
      </c>
      <c r="U837">
        <f>IF(F837&lt;5000,"Bajo",IF(F837&lt;15000,"Medio","Alto"))</f>
        <v/>
      </c>
    </row>
    <row r="838">
      <c r="A838" s="6" t="inlineStr">
        <is>
          <t>Farmacity</t>
        </is>
      </c>
      <c r="B838" s="6" t="n">
        <v>209539</v>
      </c>
      <c r="C838" s="6" t="n">
        <v>209539</v>
      </c>
      <c r="D838" s="6" t="inlineStr">
        <is>
          <t>Acondicionador Garnier Fructis Aloe Hidra Bomb x 200 ml</t>
        </is>
      </c>
      <c r="E838" s="6" t="inlineStr">
        <is>
          <t>Fructis</t>
        </is>
      </c>
      <c r="F838" s="6" t="n">
        <v>2745</v>
      </c>
      <c r="G838" s="6" t="n">
        <v>5490</v>
      </c>
      <c r="H838" s="6" t="b">
        <v>1</v>
      </c>
      <c r="I838" s="6" t="n">
        <v>200</v>
      </c>
      <c r="J838" s="6" t="n">
        <v>13.725</v>
      </c>
      <c r="K838" s="6" t="inlineStr">
        <is>
          <t>&gt; Cuidado Capilar &gt; Shampoo Y Acondicionador &gt;</t>
        </is>
      </c>
      <c r="L838" s="6" t="inlineStr">
        <is>
          <t>acondicionador</t>
        </is>
      </c>
      <c r="M838" s="6" t="inlineStr">
        <is>
          <t>estandar</t>
        </is>
      </c>
      <c r="N838" s="6" t="inlineStr">
        <is>
          <t>general</t>
        </is>
      </c>
      <c r="O838" s="6" t="inlineStr">
        <is>
          <t>https://www.farmacity.com/acondicionador-fructis-aloe-hidra-bomb-x-200-ml/p</t>
        </is>
      </c>
      <c r="P838" s="8">
        <f>TRIM(CLEAN(PROPER(D838)))</f>
        <v/>
      </c>
      <c r="Q838" s="8">
        <f>PROPER(TRIM(SUBSTITUTE(SUBSTITUTE(SUBSTITUTE(SUBSTITUTE(E838,"TRESEMME","Tresemme"),"HEAD &amp; SHOULDERS","Head &amp; Shoulders"),"ELVIVE","Elvive"),"FRUCTIS","Fructis")))</f>
        <v/>
      </c>
      <c r="R838" s="8">
        <f>COUNTIF($D$2:$D$10000,D838)&gt;1</f>
        <v/>
      </c>
      <c r="S838" s="8">
        <f>IF(H838=TRUE,"Disponible","No disponible")</f>
        <v/>
      </c>
      <c r="T838" s="8">
        <f>IF(AND(ISNUMBER(I838),I838&gt;0),ROUND(F838/I838,2),"Sin volumen")</f>
        <v/>
      </c>
      <c r="U838" s="8">
        <f>IF(F838&lt;5000,"Bajo",IF(F838&lt;15000,"Medio","Alto"))</f>
        <v/>
      </c>
    </row>
    <row r="839">
      <c r="A839" t="inlineStr">
        <is>
          <t>Farmacity</t>
        </is>
      </c>
      <c r="B839" t="n">
        <v>231815</v>
      </c>
      <c r="C839" t="n">
        <v>231815</v>
      </c>
      <c r="D839" t="inlineStr">
        <is>
          <t>Crema para Peinar Fructis Recarga Nutritiva x 250 ml</t>
        </is>
      </c>
      <c r="E839" t="inlineStr">
        <is>
          <t>Fructis</t>
        </is>
      </c>
      <c r="F839" t="n">
        <v>7490</v>
      </c>
      <c r="G839" t="n">
        <v>7490</v>
      </c>
      <c r="H839" t="b">
        <v>1</v>
      </c>
      <c r="I839" t="n">
        <v>250</v>
      </c>
      <c r="J839" t="n">
        <v>29.96</v>
      </c>
      <c r="K839" t="inlineStr">
        <is>
          <t>&gt; Cuidado Capilar &gt; Modelado Y Peinado &gt;</t>
        </is>
      </c>
      <c r="L839" t="inlineStr">
        <is>
          <t>shampoo</t>
        </is>
      </c>
      <c r="M839" t="inlineStr">
        <is>
          <t>estandar</t>
        </is>
      </c>
      <c r="N839" t="inlineStr">
        <is>
          <t>general</t>
        </is>
      </c>
      <c r="O839" t="inlineStr">
        <is>
          <t>https://www.farmacity.com/crema-para-peinar-fructis-recarga-nutritiva-x-250-ml/p</t>
        </is>
      </c>
      <c r="P839">
        <f>TRIM(CLEAN(PROPER(D839)))</f>
        <v/>
      </c>
      <c r="Q839">
        <f>PROPER(TRIM(SUBSTITUTE(SUBSTITUTE(SUBSTITUTE(SUBSTITUTE(E839,"TRESEMME","Tresemme"),"HEAD &amp; SHOULDERS","Head &amp; Shoulders"),"ELVIVE","Elvive"),"FRUCTIS","Fructis")))</f>
        <v/>
      </c>
      <c r="R839">
        <f>COUNTIF($D$2:$D$10000,D839)&gt;1</f>
        <v/>
      </c>
      <c r="S839">
        <f>IF(H839=TRUE,"Disponible","No disponible")</f>
        <v/>
      </c>
      <c r="T839">
        <f>IF(AND(ISNUMBER(I839),I839&gt;0),ROUND(F839/I839,2),"Sin volumen")</f>
        <v/>
      </c>
      <c r="U839">
        <f>IF(F839&lt;5000,"Bajo",IF(F839&lt;15000,"Medio","Alto"))</f>
        <v/>
      </c>
    </row>
    <row r="840">
      <c r="A840" s="6" t="inlineStr">
        <is>
          <t>Farmacity</t>
        </is>
      </c>
      <c r="B840" s="6" t="n">
        <v>221257</v>
      </c>
      <c r="C840" s="6" t="n">
        <v>221257</v>
      </c>
      <c r="D840" s="6" t="inlineStr">
        <is>
          <t>Crema para Peinar Fructis Goodbye Daños x 250 ml</t>
        </is>
      </c>
      <c r="E840" s="6" t="inlineStr">
        <is>
          <t>Fructis</t>
        </is>
      </c>
      <c r="F840" s="6" t="n">
        <v>7490</v>
      </c>
      <c r="G840" s="6" t="n">
        <v>7490</v>
      </c>
      <c r="H840" s="6" t="b">
        <v>1</v>
      </c>
      <c r="I840" s="6" t="n">
        <v>250</v>
      </c>
      <c r="J840" s="6" t="n">
        <v>29.96</v>
      </c>
      <c r="K840" s="6" t="inlineStr">
        <is>
          <t>&gt; Cuidado Capilar &gt; Modelado Y Peinado &gt;</t>
        </is>
      </c>
      <c r="L840" s="6" t="inlineStr">
        <is>
          <t>shampoo</t>
        </is>
      </c>
      <c r="M840" s="6" t="inlineStr">
        <is>
          <t>estandar</t>
        </is>
      </c>
      <c r="N840" s="6" t="inlineStr">
        <is>
          <t>general</t>
        </is>
      </c>
      <c r="O840" s="6" t="inlineStr">
        <is>
          <t>https://www.farmacity.com/crema-de-peinar-fructis-good-bye-dano-x-300-ml/p</t>
        </is>
      </c>
      <c r="P840" s="8">
        <f>TRIM(CLEAN(PROPER(D840)))</f>
        <v/>
      </c>
      <c r="Q840" s="8">
        <f>PROPER(TRIM(SUBSTITUTE(SUBSTITUTE(SUBSTITUTE(SUBSTITUTE(E840,"TRESEMME","Tresemme"),"HEAD &amp; SHOULDERS","Head &amp; Shoulders"),"ELVIVE","Elvive"),"FRUCTIS","Fructis")))</f>
        <v/>
      </c>
      <c r="R840" s="8">
        <f>COUNTIF($D$2:$D$10000,D840)&gt;1</f>
        <v/>
      </c>
      <c r="S840" s="8">
        <f>IF(H840=TRUE,"Disponible","No disponible")</f>
        <v/>
      </c>
      <c r="T840" s="8">
        <f>IF(AND(ISNUMBER(I840),I840&gt;0),ROUND(F840/I840,2),"Sin volumen")</f>
        <v/>
      </c>
      <c r="U840" s="8">
        <f>IF(F840&lt;5000,"Bajo",IF(F840&lt;15000,"Medio","Alto"))</f>
        <v/>
      </c>
    </row>
    <row r="841">
      <c r="A841" t="inlineStr">
        <is>
          <t>Farmacity</t>
        </is>
      </c>
      <c r="B841" t="n">
        <v>217210</v>
      </c>
      <c r="C841" t="n">
        <v>217210</v>
      </c>
      <c r="D841" t="inlineStr">
        <is>
          <t>Acondicionador Garnier Fructis Hair Food Palta x 300 ml</t>
        </is>
      </c>
      <c r="E841" t="inlineStr">
        <is>
          <t>Fructis</t>
        </is>
      </c>
      <c r="F841" t="n">
        <v>7273</v>
      </c>
      <c r="G841" t="n">
        <v>11190</v>
      </c>
      <c r="H841" t="b">
        <v>1</v>
      </c>
      <c r="I841" t="n">
        <v>300</v>
      </c>
      <c r="J841" t="n">
        <v>24.2433</v>
      </c>
      <c r="K841" t="inlineStr">
        <is>
          <t>&gt; Cuidado Capilar &gt; Shampoo Y Acondicionador &gt;</t>
        </is>
      </c>
      <c r="L841" t="inlineStr">
        <is>
          <t>acondicionador</t>
        </is>
      </c>
      <c r="M841" t="inlineStr">
        <is>
          <t>estandar</t>
        </is>
      </c>
      <c r="N841" t="inlineStr">
        <is>
          <t>general</t>
        </is>
      </c>
      <c r="O841" t="inlineStr">
        <is>
          <t>https://www.farmacity.com/acondicionador-fructis-hair-food-aguacate-x-300-ml/p</t>
        </is>
      </c>
      <c r="P841">
        <f>TRIM(CLEAN(PROPER(D841)))</f>
        <v/>
      </c>
      <c r="Q841">
        <f>PROPER(TRIM(SUBSTITUTE(SUBSTITUTE(SUBSTITUTE(SUBSTITUTE(E841,"TRESEMME","Tresemme"),"HEAD &amp; SHOULDERS","Head &amp; Shoulders"),"ELVIVE","Elvive"),"FRUCTIS","Fructis")))</f>
        <v/>
      </c>
      <c r="R841">
        <f>COUNTIF($D$2:$D$10000,D841)&gt;1</f>
        <v/>
      </c>
      <c r="S841">
        <f>IF(H841=TRUE,"Disponible","No disponible")</f>
        <v/>
      </c>
      <c r="T841">
        <f>IF(AND(ISNUMBER(I841),I841&gt;0),ROUND(F841/I841,2),"Sin volumen")</f>
        <v/>
      </c>
      <c r="U841">
        <f>IF(F841&lt;5000,"Bajo",IF(F841&lt;15000,"Medio","Alto"))</f>
        <v/>
      </c>
    </row>
    <row r="842">
      <c r="A842" s="6" t="inlineStr">
        <is>
          <t>Farmacity</t>
        </is>
      </c>
      <c r="B842" s="6" t="n">
        <v>206404</v>
      </c>
      <c r="C842" s="6" t="n">
        <v>206404</v>
      </c>
      <c r="D842" s="6" t="inlineStr">
        <is>
          <t>Mascarilla Fructis Hair Food Palta x 350 ml</t>
        </is>
      </c>
      <c r="E842" s="6" t="inlineStr">
        <is>
          <t>Fructis</t>
        </is>
      </c>
      <c r="F842" s="6" t="n">
        <v>13990</v>
      </c>
      <c r="G842" s="6" t="n">
        <v>13990</v>
      </c>
      <c r="H842" s="6" t="b">
        <v>1</v>
      </c>
      <c r="I842" s="6" t="n">
        <v>350</v>
      </c>
      <c r="J842" s="6" t="n">
        <v>39.9714</v>
      </c>
      <c r="K842" s="6" t="inlineStr">
        <is>
          <t>&gt; Cuidado Capilar &gt; Reparación Y Tratamiento &gt;</t>
        </is>
      </c>
      <c r="L842" s="6" t="inlineStr">
        <is>
          <t>tratamiento</t>
        </is>
      </c>
      <c r="M842" s="6" t="inlineStr">
        <is>
          <t>estandar</t>
        </is>
      </c>
      <c r="N842" s="6" t="inlineStr">
        <is>
          <t>general</t>
        </is>
      </c>
      <c r="O842" s="6" t="inlineStr">
        <is>
          <t>https://www.farmacity.com/mascara-capilar-fructis-nutricion-hairfood-aguacate-x-350-ml/p</t>
        </is>
      </c>
      <c r="P842" s="8">
        <f>TRIM(CLEAN(PROPER(D842)))</f>
        <v/>
      </c>
      <c r="Q842" s="8">
        <f>PROPER(TRIM(SUBSTITUTE(SUBSTITUTE(SUBSTITUTE(SUBSTITUTE(E842,"TRESEMME","Tresemme"),"HEAD &amp; SHOULDERS","Head &amp; Shoulders"),"ELVIVE","Elvive"),"FRUCTIS","Fructis")))</f>
        <v/>
      </c>
      <c r="R842" s="8">
        <f>COUNTIF($D$2:$D$10000,D842)&gt;1</f>
        <v/>
      </c>
      <c r="S842" s="8">
        <f>IF(H842=TRUE,"Disponible","No disponible")</f>
        <v/>
      </c>
      <c r="T842" s="8">
        <f>IF(AND(ISNUMBER(I842),I842&gt;0),ROUND(F842/I842,2),"Sin volumen")</f>
        <v/>
      </c>
      <c r="U842" s="8">
        <f>IF(F842&lt;5000,"Bajo",IF(F842&lt;15000,"Medio","Alto"))</f>
        <v/>
      </c>
    </row>
    <row r="843">
      <c r="A843" t="inlineStr">
        <is>
          <t>Farmacity</t>
        </is>
      </c>
      <c r="B843" t="n">
        <v>206401</v>
      </c>
      <c r="C843" t="n">
        <v>206401</v>
      </c>
      <c r="D843" t="inlineStr">
        <is>
          <t>Mascarilla Fructis Hair Food Coco x 350ml</t>
        </is>
      </c>
      <c r="E843" t="inlineStr">
        <is>
          <t>Fructis</t>
        </is>
      </c>
      <c r="F843" t="n">
        <v>13990</v>
      </c>
      <c r="G843" t="n">
        <v>13990</v>
      </c>
      <c r="H843" t="b">
        <v>1</v>
      </c>
      <c r="I843" t="n">
        <v>350</v>
      </c>
      <c r="J843" t="n">
        <v>39.9714</v>
      </c>
      <c r="K843" t="inlineStr">
        <is>
          <t>&gt; Cuidado Capilar &gt; Reparación Y Tratamiento &gt;</t>
        </is>
      </c>
      <c r="L843" t="inlineStr">
        <is>
          <t>tratamiento</t>
        </is>
      </c>
      <c r="M843" t="inlineStr">
        <is>
          <t>estandar</t>
        </is>
      </c>
      <c r="N843" t="inlineStr">
        <is>
          <t>general</t>
        </is>
      </c>
      <c r="O843" t="inlineStr">
        <is>
          <t>https://www.farmacity.com/mascara-capilar-fructis-nutricion-hairfood-coco-x-350-ml/p</t>
        </is>
      </c>
      <c r="P843">
        <f>TRIM(CLEAN(PROPER(D843)))</f>
        <v/>
      </c>
      <c r="Q843">
        <f>PROPER(TRIM(SUBSTITUTE(SUBSTITUTE(SUBSTITUTE(SUBSTITUTE(E843,"TRESEMME","Tresemme"),"HEAD &amp; SHOULDERS","Head &amp; Shoulders"),"ELVIVE","Elvive"),"FRUCTIS","Fructis")))</f>
        <v/>
      </c>
      <c r="R843">
        <f>COUNTIF($D$2:$D$10000,D843)&gt;1</f>
        <v/>
      </c>
      <c r="S843">
        <f>IF(H843=TRUE,"Disponible","No disponible")</f>
        <v/>
      </c>
      <c r="T843">
        <f>IF(AND(ISNUMBER(I843),I843&gt;0),ROUND(F843/I843,2),"Sin volumen")</f>
        <v/>
      </c>
      <c r="U843">
        <f>IF(F843&lt;5000,"Bajo",IF(F843&lt;15000,"Medio","Alto"))</f>
        <v/>
      </c>
    </row>
    <row r="844">
      <c r="A844" s="6" t="inlineStr">
        <is>
          <t>Farmacity</t>
        </is>
      </c>
      <c r="B844" s="6" t="n">
        <v>246328</v>
      </c>
      <c r="C844" s="6" t="n">
        <v>246328</v>
      </c>
      <c r="D844" s="6" t="inlineStr">
        <is>
          <t>Kit Fructis Hair Food Alimenta tu Pelo x 5 Mascarillas</t>
        </is>
      </c>
      <c r="E844" s="6" t="inlineStr">
        <is>
          <t>Fructis</t>
        </is>
      </c>
      <c r="F844" s="6" t="n">
        <v>45467</v>
      </c>
      <c r="G844" s="6" t="n">
        <v>69950</v>
      </c>
      <c r="H844" s="6" t="b">
        <v>1</v>
      </c>
      <c r="I844" s="6" t="inlineStr"/>
      <c r="J844" s="6" t="inlineStr"/>
      <c r="K844" s="6" t="inlineStr">
        <is>
          <t>&gt; Cuidado Capilar &gt; Reparación Y Tratamiento &gt;</t>
        </is>
      </c>
      <c r="L844" s="6" t="inlineStr">
        <is>
          <t>tratamiento</t>
        </is>
      </c>
      <c r="M844" s="6" t="inlineStr">
        <is>
          <t>estandar</t>
        </is>
      </c>
      <c r="N844" s="6" t="inlineStr">
        <is>
          <t>general</t>
        </is>
      </c>
      <c r="O844" s="6" t="inlineStr">
        <is>
          <t>https://www.farmacity.com/246328_kit-fructis-hair-food-5-mascarillas/p</t>
        </is>
      </c>
      <c r="P844" s="8">
        <f>TRIM(CLEAN(PROPER(D844)))</f>
        <v/>
      </c>
      <c r="Q844" s="8">
        <f>PROPER(TRIM(SUBSTITUTE(SUBSTITUTE(SUBSTITUTE(SUBSTITUTE(E844,"TRESEMME","Tresemme"),"HEAD &amp; SHOULDERS","Head &amp; Shoulders"),"ELVIVE","Elvive"),"FRUCTIS","Fructis")))</f>
        <v/>
      </c>
      <c r="R844" s="8">
        <f>COUNTIF($D$2:$D$10000,D844)&gt;1</f>
        <v/>
      </c>
      <c r="S844" s="8">
        <f>IF(H844=TRUE,"Disponible","No disponible")</f>
        <v/>
      </c>
      <c r="T844" s="8">
        <f>IF(AND(ISNUMBER(I844),I844&gt;0),ROUND(F844/I844,2),"Sin volumen")</f>
        <v/>
      </c>
      <c r="U844" s="8">
        <f>IF(F844&lt;5000,"Bajo",IF(F844&lt;15000,"Medio","Alto"))</f>
        <v/>
      </c>
    </row>
    <row r="845">
      <c r="A845" t="inlineStr">
        <is>
          <t>Farmacity</t>
        </is>
      </c>
      <c r="B845" t="n">
        <v>239708</v>
      </c>
      <c r="C845" t="n">
        <v>239708</v>
      </c>
      <c r="D845" t="inlineStr">
        <is>
          <t>Mascarilla Fructis Hair Food Cacao x 350 ml</t>
        </is>
      </c>
      <c r="E845" t="inlineStr">
        <is>
          <t>Fructis</t>
        </is>
      </c>
      <c r="F845" t="n">
        <v>13990</v>
      </c>
      <c r="G845" t="n">
        <v>13990</v>
      </c>
      <c r="H845" t="b">
        <v>1</v>
      </c>
      <c r="I845" t="n">
        <v>350</v>
      </c>
      <c r="J845" t="n">
        <v>39.9714</v>
      </c>
      <c r="K845" t="inlineStr">
        <is>
          <t>&gt; Cuidado Capilar &gt; Reparación Y Tratamiento &gt;</t>
        </is>
      </c>
      <c r="L845" t="inlineStr">
        <is>
          <t>tratamiento</t>
        </is>
      </c>
      <c r="M845" t="inlineStr">
        <is>
          <t>estandar</t>
        </is>
      </c>
      <c r="N845" t="inlineStr">
        <is>
          <t>general</t>
        </is>
      </c>
      <c r="O845" t="inlineStr">
        <is>
          <t>https://www.farmacity.com/tratamiento-garnier-fructis-hair-food-mascara-de-restauracion-manteca-de-cacao-x-350-ml/p</t>
        </is>
      </c>
      <c r="P845">
        <f>TRIM(CLEAN(PROPER(D845)))</f>
        <v/>
      </c>
      <c r="Q845">
        <f>PROPER(TRIM(SUBSTITUTE(SUBSTITUTE(SUBSTITUTE(SUBSTITUTE(E845,"TRESEMME","Tresemme"),"HEAD &amp; SHOULDERS","Head &amp; Shoulders"),"ELVIVE","Elvive"),"FRUCTIS","Fructis")))</f>
        <v/>
      </c>
      <c r="R845">
        <f>COUNTIF($D$2:$D$10000,D845)&gt;1</f>
        <v/>
      </c>
      <c r="S845">
        <f>IF(H845=TRUE,"Disponible","No disponible")</f>
        <v/>
      </c>
      <c r="T845">
        <f>IF(AND(ISNUMBER(I845),I845&gt;0),ROUND(F845/I845,2),"Sin volumen")</f>
        <v/>
      </c>
      <c r="U845">
        <f>IF(F845&lt;5000,"Bajo",IF(F845&lt;15000,"Medio","Alto"))</f>
        <v/>
      </c>
    </row>
    <row r="846">
      <c r="A846" s="6" t="inlineStr">
        <is>
          <t>Farmacity</t>
        </is>
      </c>
      <c r="B846" s="6" t="n">
        <v>215036</v>
      </c>
      <c r="C846" s="6" t="n">
        <v>215036</v>
      </c>
      <c r="D846" s="6" t="inlineStr">
        <is>
          <t>Mascarilla Fructis Hair Food Aloe x 350ml</t>
        </is>
      </c>
      <c r="E846" s="6" t="inlineStr">
        <is>
          <t>Fructis</t>
        </is>
      </c>
      <c r="F846" s="6" t="n">
        <v>13990</v>
      </c>
      <c r="G846" s="6" t="n">
        <v>13990</v>
      </c>
      <c r="H846" s="6" t="b">
        <v>1</v>
      </c>
      <c r="I846" s="6" t="n">
        <v>350</v>
      </c>
      <c r="J846" s="6" t="n">
        <v>39.9714</v>
      </c>
      <c r="K846" s="6" t="inlineStr">
        <is>
          <t>&gt; Cuidado Capilar &gt; Reparación Y Tratamiento &gt;</t>
        </is>
      </c>
      <c r="L846" s="6" t="inlineStr">
        <is>
          <t>tratamiento</t>
        </is>
      </c>
      <c r="M846" s="6" t="inlineStr">
        <is>
          <t>estandar</t>
        </is>
      </c>
      <c r="N846" s="6" t="inlineStr">
        <is>
          <t>general</t>
        </is>
      </c>
      <c r="O846" s="6" t="inlineStr">
        <is>
          <t>https://www.farmacity.com/mascara-capilar-garnier-fructis-hair-food-aloe-x-350-ml/p</t>
        </is>
      </c>
      <c r="P846" s="8">
        <f>TRIM(CLEAN(PROPER(D846)))</f>
        <v/>
      </c>
      <c r="Q846" s="8">
        <f>PROPER(TRIM(SUBSTITUTE(SUBSTITUTE(SUBSTITUTE(SUBSTITUTE(E846,"TRESEMME","Tresemme"),"HEAD &amp; SHOULDERS","Head &amp; Shoulders"),"ELVIVE","Elvive"),"FRUCTIS","Fructis")))</f>
        <v/>
      </c>
      <c r="R846" s="8">
        <f>COUNTIF($D$2:$D$10000,D846)&gt;1</f>
        <v/>
      </c>
      <c r="S846" s="8">
        <f>IF(H846=TRUE,"Disponible","No disponible")</f>
        <v/>
      </c>
      <c r="T846" s="8">
        <f>IF(AND(ISNUMBER(I846),I846&gt;0),ROUND(F846/I846,2),"Sin volumen")</f>
        <v/>
      </c>
      <c r="U846" s="8">
        <f>IF(F846&lt;5000,"Bajo",IF(F846&lt;15000,"Medio","Alto"))</f>
        <v/>
      </c>
    </row>
    <row r="847">
      <c r="A847" t="inlineStr">
        <is>
          <t>Farmacity</t>
        </is>
      </c>
      <c r="B847" t="n">
        <v>250123</v>
      </c>
      <c r="C847" t="n">
        <v>250123</v>
      </c>
      <c r="D847" t="inlineStr">
        <is>
          <t>Acondicionador Fructis Good Bye Daños Oil Control x 200 ml</t>
        </is>
      </c>
      <c r="E847" t="inlineStr">
        <is>
          <t>Fructis</t>
        </is>
      </c>
      <c r="F847" t="n">
        <v>5490</v>
      </c>
      <c r="G847" t="n">
        <v>5490</v>
      </c>
      <c r="H847" t="b">
        <v>1</v>
      </c>
      <c r="I847" t="n">
        <v>200</v>
      </c>
      <c r="J847" t="n">
        <v>27.45</v>
      </c>
      <c r="K847" t="inlineStr">
        <is>
          <t>&gt; Cuidado Capilar &gt; Shampoo Y Acondicionador &gt;</t>
        </is>
      </c>
      <c r="L847" t="inlineStr">
        <is>
          <t>acondicionador</t>
        </is>
      </c>
      <c r="M847" t="inlineStr">
        <is>
          <t>estandar</t>
        </is>
      </c>
      <c r="N847" t="inlineStr">
        <is>
          <t>general</t>
        </is>
      </c>
      <c r="O847" t="inlineStr">
        <is>
          <t>https://www.farmacity.com/acondicionador-fructis-good-bye-danos-oil-control-x-200-ml/p</t>
        </is>
      </c>
      <c r="P847">
        <f>TRIM(CLEAN(PROPER(D847)))</f>
        <v/>
      </c>
      <c r="Q847">
        <f>PROPER(TRIM(SUBSTITUTE(SUBSTITUTE(SUBSTITUTE(SUBSTITUTE(E847,"TRESEMME","Tresemme"),"HEAD &amp; SHOULDERS","Head &amp; Shoulders"),"ELVIVE","Elvive"),"FRUCTIS","Fructis")))</f>
        <v/>
      </c>
      <c r="R847">
        <f>COUNTIF($D$2:$D$10000,D847)&gt;1</f>
        <v/>
      </c>
      <c r="S847">
        <f>IF(H847=TRUE,"Disponible","No disponible")</f>
        <v/>
      </c>
      <c r="T847">
        <f>IF(AND(ISNUMBER(I847),I847&gt;0),ROUND(F847/I847,2),"Sin volumen")</f>
        <v/>
      </c>
      <c r="U847">
        <f>IF(F847&lt;5000,"Bajo",IF(F847&lt;15000,"Medio","Alto"))</f>
        <v/>
      </c>
    </row>
    <row r="848">
      <c r="A848" s="6" t="inlineStr">
        <is>
          <t>Farmacity</t>
        </is>
      </c>
      <c r="B848" s="6" t="n">
        <v>249638</v>
      </c>
      <c r="C848" s="6" t="n">
        <v>249638</v>
      </c>
      <c r="D848" s="6" t="inlineStr">
        <is>
          <t>Combo Garnier Fructis Mascarillas Hair Food Cacao + Palta + Ananá</t>
        </is>
      </c>
      <c r="E848" s="6" t="inlineStr">
        <is>
          <t>Fructis</t>
        </is>
      </c>
      <c r="F848" s="6" t="n">
        <v>29379</v>
      </c>
      <c r="G848" s="6" t="n">
        <v>41970</v>
      </c>
      <c r="H848" s="6" t="b">
        <v>1</v>
      </c>
      <c r="I848" s="6" t="inlineStr"/>
      <c r="J848" s="6" t="inlineStr"/>
      <c r="K848" s="6" t="inlineStr">
        <is>
          <t>&gt; Cuidado Capilar &gt; Reparación Y Tratamiento &gt;</t>
        </is>
      </c>
      <c r="L848" s="6" t="inlineStr">
        <is>
          <t>tratamiento</t>
        </is>
      </c>
      <c r="M848" s="6" t="inlineStr">
        <is>
          <t>estandar</t>
        </is>
      </c>
      <c r="N848" s="6" t="inlineStr">
        <is>
          <t>general</t>
        </is>
      </c>
      <c r="O848" s="6" t="inlineStr">
        <is>
          <t>https://www.farmacity.com/combo-garnier-fructis-mascarillas-hair-food-cacao-palta-anana/p</t>
        </is>
      </c>
      <c r="P848" s="8">
        <f>TRIM(CLEAN(PROPER(D848)))</f>
        <v/>
      </c>
      <c r="Q848" s="8">
        <f>PROPER(TRIM(SUBSTITUTE(SUBSTITUTE(SUBSTITUTE(SUBSTITUTE(E848,"TRESEMME","Tresemme"),"HEAD &amp; SHOULDERS","Head &amp; Shoulders"),"ELVIVE","Elvive"),"FRUCTIS","Fructis")))</f>
        <v/>
      </c>
      <c r="R848" s="8">
        <f>COUNTIF($D$2:$D$10000,D848)&gt;1</f>
        <v/>
      </c>
      <c r="S848" s="8">
        <f>IF(H848=TRUE,"Disponible","No disponible")</f>
        <v/>
      </c>
      <c r="T848" s="8">
        <f>IF(AND(ISNUMBER(I848),I848&gt;0),ROUND(F848/I848,2),"Sin volumen")</f>
        <v/>
      </c>
      <c r="U848" s="8">
        <f>IF(F848&lt;5000,"Bajo",IF(F848&lt;15000,"Medio","Alto"))</f>
        <v/>
      </c>
    </row>
    <row r="849">
      <c r="A849" t="inlineStr">
        <is>
          <t>Farmacity</t>
        </is>
      </c>
      <c r="B849" t="n">
        <v>206403</v>
      </c>
      <c r="C849" t="n">
        <v>206403</v>
      </c>
      <c r="D849" t="inlineStr">
        <is>
          <t>Mascarilla Fructis Hair Food Banana x 350ml</t>
        </is>
      </c>
      <c r="E849" t="inlineStr">
        <is>
          <t>Fructis</t>
        </is>
      </c>
      <c r="F849" t="n">
        <v>4945</v>
      </c>
      <c r="G849" t="n">
        <v>9890</v>
      </c>
      <c r="H849" t="b">
        <v>1</v>
      </c>
      <c r="I849" t="n">
        <v>350</v>
      </c>
      <c r="J849" t="n">
        <v>14.1286</v>
      </c>
      <c r="K849" t="inlineStr">
        <is>
          <t>&gt; Cuidado Capilar &gt; Reparación Y Tratamiento &gt;</t>
        </is>
      </c>
      <c r="L849" t="inlineStr">
        <is>
          <t>tratamiento</t>
        </is>
      </c>
      <c r="M849" t="inlineStr">
        <is>
          <t>estandar</t>
        </is>
      </c>
      <c r="N849" t="inlineStr">
        <is>
          <t>general</t>
        </is>
      </c>
      <c r="O849" t="inlineStr">
        <is>
          <t>https://www.farmacity.com/mascara-capilar-fructis-nutricion-hairfood-banana-x-350-ml/p</t>
        </is>
      </c>
      <c r="P849">
        <f>TRIM(CLEAN(PROPER(D849)))</f>
        <v/>
      </c>
      <c r="Q849">
        <f>PROPER(TRIM(SUBSTITUTE(SUBSTITUTE(SUBSTITUTE(SUBSTITUTE(E849,"TRESEMME","Tresemme"),"HEAD &amp; SHOULDERS","Head &amp; Shoulders"),"ELVIVE","Elvive"),"FRUCTIS","Fructis")))</f>
        <v/>
      </c>
      <c r="R849">
        <f>COUNTIF($D$2:$D$10000,D849)&gt;1</f>
        <v/>
      </c>
      <c r="S849">
        <f>IF(H849=TRUE,"Disponible","No disponible")</f>
        <v/>
      </c>
      <c r="T849">
        <f>IF(AND(ISNUMBER(I849),I849&gt;0),ROUND(F849/I849,2),"Sin volumen")</f>
        <v/>
      </c>
      <c r="U849">
        <f>IF(F849&lt;5000,"Bajo",IF(F849&lt;15000,"Medio","Alto"))</f>
        <v/>
      </c>
    </row>
    <row r="850">
      <c r="A850" s="6" t="inlineStr">
        <is>
          <t>Farmacity</t>
        </is>
      </c>
      <c r="B850" s="6" t="n">
        <v>230631</v>
      </c>
      <c r="C850" s="6" t="n">
        <v>230631</v>
      </c>
      <c r="D850" s="6" t="inlineStr">
        <is>
          <t>Protector Térmico Tresemmé Spray x 120 ml</t>
        </is>
      </c>
      <c r="E850" s="6" t="inlineStr">
        <is>
          <t>Tresemmé</t>
        </is>
      </c>
      <c r="F850" s="6" t="n">
        <v>7880</v>
      </c>
      <c r="G850" s="6" t="n">
        <v>9850</v>
      </c>
      <c r="H850" s="6" t="b">
        <v>1</v>
      </c>
      <c r="I850" s="6" t="n">
        <v>120</v>
      </c>
      <c r="J850" s="6" t="n">
        <v>65.66670000000001</v>
      </c>
      <c r="K850" s="6" t="inlineStr">
        <is>
          <t>&gt; Cuidado Capilar &gt; Reparación Y Tratamiento &gt;</t>
        </is>
      </c>
      <c r="L850" s="6" t="inlineStr">
        <is>
          <t>shampoo</t>
        </is>
      </c>
      <c r="M850" s="6" t="inlineStr">
        <is>
          <t>estandar</t>
        </is>
      </c>
      <c r="N850" s="6" t="inlineStr">
        <is>
          <t>general</t>
        </is>
      </c>
      <c r="O850" s="6" t="inlineStr">
        <is>
          <t>https://www.farmacity.com/protector-termico-tresemme-spray-x-120-ml/p</t>
        </is>
      </c>
      <c r="P850" s="8">
        <f>TRIM(CLEAN(PROPER(D850)))</f>
        <v/>
      </c>
      <c r="Q850" s="8">
        <f>PROPER(TRIM(SUBSTITUTE(SUBSTITUTE(SUBSTITUTE(SUBSTITUTE(E850,"TRESEMME","Tresemme"),"HEAD &amp; SHOULDERS","Head &amp; Shoulders"),"ELVIVE","Elvive"),"FRUCTIS","Fructis")))</f>
        <v/>
      </c>
      <c r="R850" s="8">
        <f>COUNTIF($D$2:$D$10000,D850)&gt;1</f>
        <v/>
      </c>
      <c r="S850" s="8">
        <f>IF(H850=TRUE,"Disponible","No disponible")</f>
        <v/>
      </c>
      <c r="T850" s="8">
        <f>IF(AND(ISNUMBER(I850),I850&gt;0),ROUND(F850/I850,2),"Sin volumen")</f>
        <v/>
      </c>
      <c r="U850" s="8">
        <f>IF(F850&lt;5000,"Bajo",IF(F850&lt;15000,"Medio","Alto"))</f>
        <v/>
      </c>
    </row>
    <row r="851">
      <c r="A851" t="inlineStr">
        <is>
          <t>Farmacity</t>
        </is>
      </c>
      <c r="B851" t="n">
        <v>246593</v>
      </c>
      <c r="C851" t="n">
        <v>246593</v>
      </c>
      <c r="D851" t="inlineStr">
        <is>
          <t>Combo Tresemmé Óleo + Protector Térmico</t>
        </is>
      </c>
      <c r="E851" t="inlineStr">
        <is>
          <t>Tresemmé</t>
        </is>
      </c>
      <c r="F851" t="n">
        <v>13133</v>
      </c>
      <c r="G851" t="n">
        <v>21888</v>
      </c>
      <c r="H851" t="b">
        <v>1</v>
      </c>
      <c r="I851" t="inlineStr"/>
      <c r="J851" t="inlineStr"/>
      <c r="K851" t="inlineStr">
        <is>
          <t>&gt; Cuidado Capilar &gt; Reparación Y Tratamiento &gt;</t>
        </is>
      </c>
      <c r="L851" t="inlineStr">
        <is>
          <t>shampoo</t>
        </is>
      </c>
      <c r="M851" t="inlineStr">
        <is>
          <t>estandar</t>
        </is>
      </c>
      <c r="N851" t="inlineStr">
        <is>
          <t>general</t>
        </is>
      </c>
      <c r="O851" t="inlineStr">
        <is>
          <t>https://www.farmacity.com/combo-tresemme-oleo-protector-termico/p</t>
        </is>
      </c>
      <c r="P851">
        <f>TRIM(CLEAN(PROPER(D851)))</f>
        <v/>
      </c>
      <c r="Q851">
        <f>PROPER(TRIM(SUBSTITUTE(SUBSTITUTE(SUBSTITUTE(SUBSTITUTE(E851,"TRESEMME","Tresemme"),"HEAD &amp; SHOULDERS","Head &amp; Shoulders"),"ELVIVE","Elvive"),"FRUCTIS","Fructis")))</f>
        <v/>
      </c>
      <c r="R851">
        <f>COUNTIF($D$2:$D$10000,D851)&gt;1</f>
        <v/>
      </c>
      <c r="S851">
        <f>IF(H851=TRUE,"Disponible","No disponible")</f>
        <v/>
      </c>
      <c r="T851">
        <f>IF(AND(ISNUMBER(I851),I851&gt;0),ROUND(F851/I851,2),"Sin volumen")</f>
        <v/>
      </c>
      <c r="U851">
        <f>IF(F851&lt;5000,"Bajo",IF(F851&lt;15000,"Medio","Alto"))</f>
        <v/>
      </c>
    </row>
    <row r="852">
      <c r="A852" s="6" t="inlineStr">
        <is>
          <t>Farmacity</t>
        </is>
      </c>
      <c r="B852" s="6" t="n">
        <v>244704</v>
      </c>
      <c r="C852" s="6" t="n">
        <v>244704</v>
      </c>
      <c r="D852" s="6" t="inlineStr">
        <is>
          <t>Combo Tresemmé Keratina AntiFrizz: Limpia, Nutre y Repara</t>
        </is>
      </c>
      <c r="E852" s="6" t="inlineStr">
        <is>
          <t>Tresemmé</t>
        </is>
      </c>
      <c r="F852" s="6" t="n">
        <v>18059</v>
      </c>
      <c r="G852" s="6" t="n">
        <v>30099</v>
      </c>
      <c r="H852" s="6" t="b">
        <v>1</v>
      </c>
      <c r="I852" s="6" t="inlineStr"/>
      <c r="J852" s="6" t="inlineStr"/>
      <c r="K852" s="6" t="inlineStr">
        <is>
          <t>&gt; Cuidado Capilar &gt; Shampoo Y Acondicionador &gt;</t>
        </is>
      </c>
      <c r="L852" s="6" t="inlineStr">
        <is>
          <t>shampoo</t>
        </is>
      </c>
      <c r="M852" s="6" t="inlineStr">
        <is>
          <t>estandar</t>
        </is>
      </c>
      <c r="N852" s="6" t="inlineStr">
        <is>
          <t>tratado</t>
        </is>
      </c>
      <c r="O852" s="6" t="inlineStr">
        <is>
          <t>https://www.farmacity.com/combo-tresemme-keratina-antifrizz-limpia-nutre-y-repara/p</t>
        </is>
      </c>
      <c r="P852" s="8">
        <f>TRIM(CLEAN(PROPER(D852)))</f>
        <v/>
      </c>
      <c r="Q852" s="8">
        <f>PROPER(TRIM(SUBSTITUTE(SUBSTITUTE(SUBSTITUTE(SUBSTITUTE(E852,"TRESEMME","Tresemme"),"HEAD &amp; SHOULDERS","Head &amp; Shoulders"),"ELVIVE","Elvive"),"FRUCTIS","Fructis")))</f>
        <v/>
      </c>
      <c r="R852" s="8">
        <f>COUNTIF($D$2:$D$10000,D852)&gt;1</f>
        <v/>
      </c>
      <c r="S852" s="8">
        <f>IF(H852=TRUE,"Disponible","No disponible")</f>
        <v/>
      </c>
      <c r="T852" s="8">
        <f>IF(AND(ISNUMBER(I852),I852&gt;0),ROUND(F852/I852,2),"Sin volumen")</f>
        <v/>
      </c>
      <c r="U852" s="8">
        <f>IF(F852&lt;5000,"Bajo",IF(F852&lt;15000,"Medio","Alto"))</f>
        <v/>
      </c>
    </row>
    <row r="853">
      <c r="A853" t="inlineStr">
        <is>
          <t>Farmacity</t>
        </is>
      </c>
      <c r="B853" t="n">
        <v>240155</v>
      </c>
      <c r="C853" t="n">
        <v>240155</v>
      </c>
      <c r="D853" t="inlineStr">
        <is>
          <t>Crema para Peinar Tresemme Antifrizz x 300 ml</t>
        </is>
      </c>
      <c r="E853" t="inlineStr">
        <is>
          <t>Tresemmé</t>
        </is>
      </c>
      <c r="F853" t="n">
        <v>7568</v>
      </c>
      <c r="G853" t="n">
        <v>7568</v>
      </c>
      <c r="H853" t="b">
        <v>1</v>
      </c>
      <c r="I853" t="n">
        <v>300</v>
      </c>
      <c r="J853" t="n">
        <v>25.2267</v>
      </c>
      <c r="K853" t="inlineStr">
        <is>
          <t>&gt; Cuidado Capilar &gt; Modelado Y Peinado &gt;</t>
        </is>
      </c>
      <c r="L853" t="inlineStr">
        <is>
          <t>shampoo</t>
        </is>
      </c>
      <c r="M853" t="inlineStr">
        <is>
          <t>estandar</t>
        </is>
      </c>
      <c r="N853" t="inlineStr">
        <is>
          <t>general</t>
        </is>
      </c>
      <c r="O853" t="inlineStr">
        <is>
          <t>https://www.farmacity.com/crema-para-peinar-tresemme-antifrizz-x-300-ml/p</t>
        </is>
      </c>
      <c r="P853">
        <f>TRIM(CLEAN(PROPER(D853)))</f>
        <v/>
      </c>
      <c r="Q853">
        <f>PROPER(TRIM(SUBSTITUTE(SUBSTITUTE(SUBSTITUTE(SUBSTITUTE(E853,"TRESEMME","Tresemme"),"HEAD &amp; SHOULDERS","Head &amp; Shoulders"),"ELVIVE","Elvive"),"FRUCTIS","Fructis")))</f>
        <v/>
      </c>
      <c r="R853">
        <f>COUNTIF($D$2:$D$10000,D853)&gt;1</f>
        <v/>
      </c>
      <c r="S853">
        <f>IF(H853=TRUE,"Disponible","No disponible")</f>
        <v/>
      </c>
      <c r="T853">
        <f>IF(AND(ISNUMBER(I853),I853&gt;0),ROUND(F853/I853,2),"Sin volumen")</f>
        <v/>
      </c>
      <c r="U853">
        <f>IF(F853&lt;5000,"Bajo",IF(F853&lt;15000,"Medio","Alto"))</f>
        <v/>
      </c>
    </row>
    <row r="854">
      <c r="A854" s="6" t="inlineStr">
        <is>
          <t>Farmacity</t>
        </is>
      </c>
      <c r="B854" s="6" t="n">
        <v>237325</v>
      </c>
      <c r="C854" s="6" t="n">
        <v>237325</v>
      </c>
      <c r="D854" s="6" t="inlineStr">
        <is>
          <t>Óleo Tresemmé Finisher Textura Liviana x 60 ml</t>
        </is>
      </c>
      <c r="E854" s="6" t="inlineStr">
        <is>
          <t>Tresemmé</t>
        </is>
      </c>
      <c r="F854" s="6" t="n">
        <v>6621</v>
      </c>
      <c r="G854" s="6" t="n">
        <v>12039</v>
      </c>
      <c r="H854" s="6" t="b">
        <v>1</v>
      </c>
      <c r="I854" s="6" t="n">
        <v>60</v>
      </c>
      <c r="J854" s="6" t="n">
        <v>110.35</v>
      </c>
      <c r="K854" s="6" t="inlineStr">
        <is>
          <t>&gt; Cuidado Capilar &gt; Reparación Y Tratamiento &gt;</t>
        </is>
      </c>
      <c r="L854" s="6" t="inlineStr">
        <is>
          <t>shampoo</t>
        </is>
      </c>
      <c r="M854" s="6" t="inlineStr">
        <is>
          <t>estandar</t>
        </is>
      </c>
      <c r="N854" s="6" t="inlineStr">
        <is>
          <t>general</t>
        </is>
      </c>
      <c r="O854" s="6" t="inlineStr">
        <is>
          <t>https://www.farmacity.com/oleo-tresemme-finisher-textura-liviana-x-60-ml/p</t>
        </is>
      </c>
      <c r="P854" s="8">
        <f>TRIM(CLEAN(PROPER(D854)))</f>
        <v/>
      </c>
      <c r="Q854" s="8">
        <f>PROPER(TRIM(SUBSTITUTE(SUBSTITUTE(SUBSTITUTE(SUBSTITUTE(E854,"TRESEMME","Tresemme"),"HEAD &amp; SHOULDERS","Head &amp; Shoulders"),"ELVIVE","Elvive"),"FRUCTIS","Fructis")))</f>
        <v/>
      </c>
      <c r="R854" s="8">
        <f>COUNTIF($D$2:$D$10000,D854)&gt;1</f>
        <v/>
      </c>
      <c r="S854" s="8">
        <f>IF(H854=TRUE,"Disponible","No disponible")</f>
        <v/>
      </c>
      <c r="T854" s="8">
        <f>IF(AND(ISNUMBER(I854),I854&gt;0),ROUND(F854/I854,2),"Sin volumen")</f>
        <v/>
      </c>
      <c r="U854" s="8">
        <f>IF(F854&lt;5000,"Bajo",IF(F854&lt;15000,"Medio","Alto"))</f>
        <v/>
      </c>
    </row>
    <row r="855">
      <c r="A855" t="inlineStr">
        <is>
          <t>Farmacity</t>
        </is>
      </c>
      <c r="B855" t="n">
        <v>230632</v>
      </c>
      <c r="C855" t="n">
        <v>230632</v>
      </c>
      <c r="D855" t="inlineStr">
        <is>
          <t>Mousse Tresemmé Ondas y Rizos x 200 ml</t>
        </is>
      </c>
      <c r="E855" t="inlineStr">
        <is>
          <t>Tresemmé</t>
        </is>
      </c>
      <c r="F855" t="n">
        <v>12516</v>
      </c>
      <c r="G855" t="n">
        <v>12516</v>
      </c>
      <c r="H855" t="b">
        <v>1</v>
      </c>
      <c r="I855" t="n">
        <v>200</v>
      </c>
      <c r="J855" t="n">
        <v>62.58</v>
      </c>
      <c r="K855" t="inlineStr">
        <is>
          <t>&gt; Cuidado Capilar &gt; Modelado Y Peinado &gt;</t>
        </is>
      </c>
      <c r="L855" t="inlineStr">
        <is>
          <t>shampoo</t>
        </is>
      </c>
      <c r="M855" t="inlineStr">
        <is>
          <t>estandar</t>
        </is>
      </c>
      <c r="N855" t="inlineStr">
        <is>
          <t>rizado</t>
        </is>
      </c>
      <c r="O855" t="inlineStr">
        <is>
          <t>https://www.farmacity.com/mousse-tresemme-ondas-y-rizos-x-200-ml/p</t>
        </is>
      </c>
      <c r="P855">
        <f>TRIM(CLEAN(PROPER(D855)))</f>
        <v/>
      </c>
      <c r="Q855">
        <f>PROPER(TRIM(SUBSTITUTE(SUBSTITUTE(SUBSTITUTE(SUBSTITUTE(E855,"TRESEMME","Tresemme"),"HEAD &amp; SHOULDERS","Head &amp; Shoulders"),"ELVIVE","Elvive"),"FRUCTIS","Fructis")))</f>
        <v/>
      </c>
      <c r="R855">
        <f>COUNTIF($D$2:$D$10000,D855)&gt;1</f>
        <v/>
      </c>
      <c r="S855">
        <f>IF(H855=TRUE,"Disponible","No disponible")</f>
        <v/>
      </c>
      <c r="T855">
        <f>IF(AND(ISNUMBER(I855),I855&gt;0),ROUND(F855/I855,2),"Sin volumen")</f>
        <v/>
      </c>
      <c r="U855">
        <f>IF(F855&lt;5000,"Bajo",IF(F855&lt;15000,"Medio","Alto"))</f>
        <v/>
      </c>
    </row>
    <row r="856">
      <c r="A856" s="6" t="inlineStr">
        <is>
          <t>Farmacity</t>
        </is>
      </c>
      <c r="B856" s="6" t="n">
        <v>244703</v>
      </c>
      <c r="C856" s="6" t="n">
        <v>244703</v>
      </c>
      <c r="D856" s="6" t="inlineStr">
        <is>
          <t>Combo Completo Tresemmé Keratina Blind Antifrizz</t>
        </is>
      </c>
      <c r="E856" s="6" t="inlineStr">
        <is>
          <t>Tresemmé</t>
        </is>
      </c>
      <c r="F856" s="6" t="n">
        <v>26882</v>
      </c>
      <c r="G856" s="6" t="n">
        <v>44803</v>
      </c>
      <c r="H856" s="6" t="b">
        <v>1</v>
      </c>
      <c r="I856" s="6" t="inlineStr"/>
      <c r="J856" s="6" t="inlineStr"/>
      <c r="K856" s="6" t="inlineStr">
        <is>
          <t>&gt; Cuidado Capilar &gt; Shampoo Y Acondicionador &gt;</t>
        </is>
      </c>
      <c r="L856" s="6" t="inlineStr">
        <is>
          <t>shampoo</t>
        </is>
      </c>
      <c r="M856" s="6" t="inlineStr">
        <is>
          <t>estandar</t>
        </is>
      </c>
      <c r="N856" s="6" t="inlineStr">
        <is>
          <t>tratado</t>
        </is>
      </c>
      <c r="O856" s="6" t="inlineStr">
        <is>
          <t>https://www.farmacity.com/combo-completo-tresemme-keratina-blind-antifrizz/p</t>
        </is>
      </c>
      <c r="P856" s="8">
        <f>TRIM(CLEAN(PROPER(D856)))</f>
        <v/>
      </c>
      <c r="Q856" s="8">
        <f>PROPER(TRIM(SUBSTITUTE(SUBSTITUTE(SUBSTITUTE(SUBSTITUTE(E856,"TRESEMME","Tresemme"),"HEAD &amp; SHOULDERS","Head &amp; Shoulders"),"ELVIVE","Elvive"),"FRUCTIS","Fructis")))</f>
        <v/>
      </c>
      <c r="R856" s="8">
        <f>COUNTIF($D$2:$D$10000,D856)&gt;1</f>
        <v/>
      </c>
      <c r="S856" s="8">
        <f>IF(H856=TRUE,"Disponible","No disponible")</f>
        <v/>
      </c>
      <c r="T856" s="8">
        <f>IF(AND(ISNUMBER(I856),I856&gt;0),ROUND(F856/I856,2),"Sin volumen")</f>
        <v/>
      </c>
      <c r="U856" s="8">
        <f>IF(F856&lt;5000,"Bajo",IF(F856&lt;15000,"Medio","Alto"))</f>
        <v/>
      </c>
    </row>
    <row r="857">
      <c r="A857" t="inlineStr">
        <is>
          <t>Farmacity</t>
        </is>
      </c>
      <c r="B857" t="n">
        <v>237322</v>
      </c>
      <c r="C857" t="n">
        <v>237322</v>
      </c>
      <c r="D857" t="inlineStr">
        <is>
          <t>Acondicionador Tresemmé Brillo Lamelar P x 500 ml</t>
        </is>
      </c>
      <c r="E857" t="inlineStr">
        <is>
          <t>Tresemmé</t>
        </is>
      </c>
      <c r="F857" t="n">
        <v>6574</v>
      </c>
      <c r="G857" t="n">
        <v>10114</v>
      </c>
      <c r="H857" t="b">
        <v>1</v>
      </c>
      <c r="I857" t="n">
        <v>500</v>
      </c>
      <c r="J857" t="n">
        <v>13.148</v>
      </c>
      <c r="K857" t="inlineStr">
        <is>
          <t>&gt; Cuidado Capilar &gt; Shampoo Y Acondicionador &gt;</t>
        </is>
      </c>
      <c r="L857" t="inlineStr">
        <is>
          <t>acondicionador</t>
        </is>
      </c>
      <c r="M857" t="inlineStr">
        <is>
          <t>estandar</t>
        </is>
      </c>
      <c r="N857" t="inlineStr">
        <is>
          <t>general</t>
        </is>
      </c>
      <c r="O857" t="inlineStr">
        <is>
          <t>https://www.farmacity.com/acondicionador-tresemme-brillo-lamelar-p-x-500-ml/p</t>
        </is>
      </c>
      <c r="P857">
        <f>TRIM(CLEAN(PROPER(D857)))</f>
        <v/>
      </c>
      <c r="Q857">
        <f>PROPER(TRIM(SUBSTITUTE(SUBSTITUTE(SUBSTITUTE(SUBSTITUTE(E857,"TRESEMME","Tresemme"),"HEAD &amp; SHOULDERS","Head &amp; Shoulders"),"ELVIVE","Elvive"),"FRUCTIS","Fructis")))</f>
        <v/>
      </c>
      <c r="R857">
        <f>COUNTIF($D$2:$D$10000,D857)&gt;1</f>
        <v/>
      </c>
      <c r="S857">
        <f>IF(H857=TRUE,"Disponible","No disponible")</f>
        <v/>
      </c>
      <c r="T857">
        <f>IF(AND(ISNUMBER(I857),I857&gt;0),ROUND(F857/I857,2),"Sin volumen")</f>
        <v/>
      </c>
      <c r="U857">
        <f>IF(F857&lt;5000,"Bajo",IF(F857&lt;15000,"Medio","Alto"))</f>
        <v/>
      </c>
    </row>
    <row r="858">
      <c r="A858" s="6" t="inlineStr">
        <is>
          <t>Farmacity</t>
        </is>
      </c>
      <c r="B858" s="6" t="n">
        <v>246592</v>
      </c>
      <c r="C858" s="6" t="n">
        <v>246592</v>
      </c>
      <c r="D858" s="6" t="inlineStr">
        <is>
          <t>Kit Capilar Tresemmé Mousse + Óleo + Protector Térmico</t>
        </is>
      </c>
      <c r="E858" s="6" t="inlineStr">
        <is>
          <t>Tresemmé</t>
        </is>
      </c>
      <c r="F858" s="6" t="n">
        <v>20642</v>
      </c>
      <c r="G858" s="6" t="n">
        <v>34404</v>
      </c>
      <c r="H858" s="6" t="b">
        <v>1</v>
      </c>
      <c r="I858" s="6" t="inlineStr"/>
      <c r="J858" s="6" t="inlineStr"/>
      <c r="K858" s="6" t="inlineStr">
        <is>
          <t>&gt; Cuidado Capilar &gt; Reparación Y Tratamiento &gt;</t>
        </is>
      </c>
      <c r="L858" s="6" t="inlineStr">
        <is>
          <t>tratamiento</t>
        </is>
      </c>
      <c r="M858" s="6" t="inlineStr">
        <is>
          <t>estandar</t>
        </is>
      </c>
      <c r="N858" s="6" t="inlineStr">
        <is>
          <t>general</t>
        </is>
      </c>
      <c r="O858" s="6" t="inlineStr">
        <is>
          <t>https://www.farmacity.com/kit-capilar-tresemme-mousse-oleo-protector-termico/p</t>
        </is>
      </c>
      <c r="P858" s="8">
        <f>TRIM(CLEAN(PROPER(D858)))</f>
        <v/>
      </c>
      <c r="Q858" s="8">
        <f>PROPER(TRIM(SUBSTITUTE(SUBSTITUTE(SUBSTITUTE(SUBSTITUTE(E858,"TRESEMME","Tresemme"),"HEAD &amp; SHOULDERS","Head &amp; Shoulders"),"ELVIVE","Elvive"),"FRUCTIS","Fructis")))</f>
        <v/>
      </c>
      <c r="R858" s="8">
        <f>COUNTIF($D$2:$D$10000,D858)&gt;1</f>
        <v/>
      </c>
      <c r="S858" s="8">
        <f>IF(H858=TRUE,"Disponible","No disponible")</f>
        <v/>
      </c>
      <c r="T858" s="8">
        <f>IF(AND(ISNUMBER(I858),I858&gt;0),ROUND(F858/I858,2),"Sin volumen")</f>
        <v/>
      </c>
      <c r="U858" s="8">
        <f>IF(F858&lt;5000,"Bajo",IF(F858&lt;15000,"Medio","Alto"))</f>
        <v/>
      </c>
    </row>
    <row r="859">
      <c r="A859" t="inlineStr">
        <is>
          <t>Farmacity</t>
        </is>
      </c>
      <c r="B859" t="n">
        <v>240156</v>
      </c>
      <c r="C859" t="n">
        <v>240156</v>
      </c>
      <c r="D859" t="inlineStr">
        <is>
          <t>Gel Tresemme Texturizador Define x 300 g</t>
        </is>
      </c>
      <c r="E859" t="inlineStr">
        <is>
          <t>Tresemmé</t>
        </is>
      </c>
      <c r="F859" t="n">
        <v>7568</v>
      </c>
      <c r="G859" t="n">
        <v>7568</v>
      </c>
      <c r="H859" t="b">
        <v>1</v>
      </c>
      <c r="I859" t="n">
        <v>300</v>
      </c>
      <c r="J859" t="n">
        <v>25.2267</v>
      </c>
      <c r="K859" t="inlineStr">
        <is>
          <t>&gt; Cuidado Capilar &gt; Modelado Y Peinado &gt;</t>
        </is>
      </c>
      <c r="L859" t="inlineStr">
        <is>
          <t>shampoo</t>
        </is>
      </c>
      <c r="M859" t="inlineStr">
        <is>
          <t>estandar</t>
        </is>
      </c>
      <c r="N859" t="inlineStr">
        <is>
          <t>rizado</t>
        </is>
      </c>
      <c r="O859" t="inlineStr">
        <is>
          <t>https://www.farmacity.com/gel-tresemme-texturizador-define-x-300-g/p</t>
        </is>
      </c>
      <c r="P859">
        <f>TRIM(CLEAN(PROPER(D859)))</f>
        <v/>
      </c>
      <c r="Q859">
        <f>PROPER(TRIM(SUBSTITUTE(SUBSTITUTE(SUBSTITUTE(SUBSTITUTE(E859,"TRESEMME","Tresemme"),"HEAD &amp; SHOULDERS","Head &amp; Shoulders"),"ELVIVE","Elvive"),"FRUCTIS","Fructis")))</f>
        <v/>
      </c>
      <c r="R859">
        <f>COUNTIF($D$2:$D$10000,D859)&gt;1</f>
        <v/>
      </c>
      <c r="S859">
        <f>IF(H859=TRUE,"Disponible","No disponible")</f>
        <v/>
      </c>
      <c r="T859">
        <f>IF(AND(ISNUMBER(I859),I859&gt;0),ROUND(F859/I859,2),"Sin volumen")</f>
        <v/>
      </c>
      <c r="U859">
        <f>IF(F859&lt;5000,"Bajo",IF(F859&lt;15000,"Medio","Alto"))</f>
        <v/>
      </c>
    </row>
    <row r="860">
      <c r="A860" s="6" t="inlineStr">
        <is>
          <t>Farmacity</t>
        </is>
      </c>
      <c r="B860" s="6" t="n">
        <v>237324</v>
      </c>
      <c r="C860" s="6" t="n">
        <v>237324</v>
      </c>
      <c r="D860" s="6" t="inlineStr">
        <is>
          <t>Sérum TRESemmé Brillo Lamelar x 170 ml</t>
        </is>
      </c>
      <c r="E860" s="6" t="inlineStr">
        <is>
          <t>Tresemmé</t>
        </is>
      </c>
      <c r="F860" s="6" t="n">
        <v>12019</v>
      </c>
      <c r="G860" s="6" t="n">
        <v>12019</v>
      </c>
      <c r="H860" s="6" t="b">
        <v>1</v>
      </c>
      <c r="I860" s="6" t="n">
        <v>170</v>
      </c>
      <c r="J860" s="6" t="n">
        <v>70.7</v>
      </c>
      <c r="K860" s="6" t="inlineStr">
        <is>
          <t>&gt; Cuidado Capilar &gt; Reparación Y Tratamiento &gt;</t>
        </is>
      </c>
      <c r="L860" s="6" t="inlineStr">
        <is>
          <t>shampoo</t>
        </is>
      </c>
      <c r="M860" s="6" t="inlineStr">
        <is>
          <t>estandar</t>
        </is>
      </c>
      <c r="N860" s="6" t="inlineStr">
        <is>
          <t>general</t>
        </is>
      </c>
      <c r="O860" s="6" t="inlineStr">
        <is>
          <t>https://www.farmacity.com/serum-tresemme-brillo-lamelar-x-170-ml/p</t>
        </is>
      </c>
      <c r="P860" s="8">
        <f>TRIM(CLEAN(PROPER(D860)))</f>
        <v/>
      </c>
      <c r="Q860" s="8">
        <f>PROPER(TRIM(SUBSTITUTE(SUBSTITUTE(SUBSTITUTE(SUBSTITUTE(E860,"TRESEMME","Tresemme"),"HEAD &amp; SHOULDERS","Head &amp; Shoulders"),"ELVIVE","Elvive"),"FRUCTIS","Fructis")))</f>
        <v/>
      </c>
      <c r="R860" s="8">
        <f>COUNTIF($D$2:$D$10000,D860)&gt;1</f>
        <v/>
      </c>
      <c r="S860" s="8">
        <f>IF(H860=TRUE,"Disponible","No disponible")</f>
        <v/>
      </c>
      <c r="T860" s="8">
        <f>IF(AND(ISNUMBER(I860),I860&gt;0),ROUND(F860/I860,2),"Sin volumen")</f>
        <v/>
      </c>
      <c r="U860" s="8">
        <f>IF(F860&lt;5000,"Bajo",IF(F860&lt;15000,"Medio","Alto"))</f>
        <v/>
      </c>
    </row>
    <row r="861">
      <c r="A861" t="inlineStr">
        <is>
          <t>Farmacity</t>
        </is>
      </c>
      <c r="B861" t="n">
        <v>230603</v>
      </c>
      <c r="C861" t="n">
        <v>230603</v>
      </c>
      <c r="D861" t="inlineStr">
        <is>
          <t>Shampoo Dosificador Tresemmé Matizador Ultravioleta x 500 ml</t>
        </is>
      </c>
      <c r="E861" t="inlineStr">
        <is>
          <t>Tresemmé</t>
        </is>
      </c>
      <c r="F861" t="n">
        <v>6574</v>
      </c>
      <c r="G861" t="n">
        <v>10114</v>
      </c>
      <c r="H861" t="b">
        <v>1</v>
      </c>
      <c r="I861" t="n">
        <v>500</v>
      </c>
      <c r="J861" t="n">
        <v>13.148</v>
      </c>
      <c r="K861" t="inlineStr">
        <is>
          <t>&gt; Cuidado Capilar &gt; Shampoo Y Acondicionador &gt;</t>
        </is>
      </c>
      <c r="L861" t="inlineStr">
        <is>
          <t>shampoo</t>
        </is>
      </c>
      <c r="M861" t="inlineStr">
        <is>
          <t>estandar</t>
        </is>
      </c>
      <c r="N861" t="inlineStr">
        <is>
          <t>general</t>
        </is>
      </c>
      <c r="O861" t="inlineStr">
        <is>
          <t>https://www.farmacity.com/shampoo-dosificador-tresemme-matrizador-ultravioleta-x-500-ml/p</t>
        </is>
      </c>
      <c r="P861">
        <f>TRIM(CLEAN(PROPER(D861)))</f>
        <v/>
      </c>
      <c r="Q861">
        <f>PROPER(TRIM(SUBSTITUTE(SUBSTITUTE(SUBSTITUTE(SUBSTITUTE(E861,"TRESEMME","Tresemme"),"HEAD &amp; SHOULDERS","Head &amp; Shoulders"),"ELVIVE","Elvive"),"FRUCTIS","Fructis")))</f>
        <v/>
      </c>
      <c r="R861">
        <f>COUNTIF($D$2:$D$10000,D861)&gt;1</f>
        <v/>
      </c>
      <c r="S861">
        <f>IF(H861=TRUE,"Disponible","No disponible")</f>
        <v/>
      </c>
      <c r="T861">
        <f>IF(AND(ISNUMBER(I861),I861&gt;0),ROUND(F861/I861,2),"Sin volumen")</f>
        <v/>
      </c>
      <c r="U861">
        <f>IF(F861&lt;5000,"Bajo",IF(F861&lt;15000,"Medio","Alto"))</f>
        <v/>
      </c>
    </row>
    <row r="862">
      <c r="A862" s="6" t="inlineStr">
        <is>
          <t>Farmacity</t>
        </is>
      </c>
      <c r="B862" s="6" t="n">
        <v>244705</v>
      </c>
      <c r="C862" s="6" t="n">
        <v>244705</v>
      </c>
      <c r="D862" s="6" t="inlineStr">
        <is>
          <t>Combo Tresemmé Keratina AntiFrizz: Limpieza, Suavidad y Protección</t>
        </is>
      </c>
      <c r="E862" s="6" t="inlineStr">
        <is>
          <t>Tresemmé</t>
        </is>
      </c>
      <c r="F862" s="6" t="n">
        <v>20960</v>
      </c>
      <c r="G862" s="6" t="n">
        <v>34933</v>
      </c>
      <c r="H862" s="6" t="b">
        <v>1</v>
      </c>
      <c r="I862" s="6" t="inlineStr"/>
      <c r="J862" s="6" t="inlineStr"/>
      <c r="K862" s="6" t="inlineStr">
        <is>
          <t>&gt; Cuidado Capilar &gt; Shampoo Y Acondicionador &gt;</t>
        </is>
      </c>
      <c r="L862" s="6" t="inlineStr">
        <is>
          <t>shampoo</t>
        </is>
      </c>
      <c r="M862" s="6" t="inlineStr">
        <is>
          <t>estandar</t>
        </is>
      </c>
      <c r="N862" s="6" t="inlineStr">
        <is>
          <t>tratado</t>
        </is>
      </c>
      <c r="O862" s="6" t="inlineStr">
        <is>
          <t>https://www.farmacity.com/combo-tresemme-keratina-antifrizz-limpieza-suavidad-y-proteccion/p</t>
        </is>
      </c>
      <c r="P862" s="8">
        <f>TRIM(CLEAN(PROPER(D862)))</f>
        <v/>
      </c>
      <c r="Q862" s="8">
        <f>PROPER(TRIM(SUBSTITUTE(SUBSTITUTE(SUBSTITUTE(SUBSTITUTE(E862,"TRESEMME","Tresemme"),"HEAD &amp; SHOULDERS","Head &amp; Shoulders"),"ELVIVE","Elvive"),"FRUCTIS","Fructis")))</f>
        <v/>
      </c>
      <c r="R862" s="8">
        <f>COUNTIF($D$2:$D$10000,D862)&gt;1</f>
        <v/>
      </c>
      <c r="S862" s="8">
        <f>IF(H862=TRUE,"Disponible","No disponible")</f>
        <v/>
      </c>
      <c r="T862" s="8">
        <f>IF(AND(ISNUMBER(I862),I862&gt;0),ROUND(F862/I862,2),"Sin volumen")</f>
        <v/>
      </c>
      <c r="U862" s="8">
        <f>IF(F862&lt;5000,"Bajo",IF(F862&lt;15000,"Medio","Alto"))</f>
        <v/>
      </c>
    </row>
    <row r="863">
      <c r="A863" t="inlineStr">
        <is>
          <t>Farmacity</t>
        </is>
      </c>
      <c r="B863" t="n">
        <v>230633</v>
      </c>
      <c r="C863" t="n">
        <v>230633</v>
      </c>
      <c r="D863" t="inlineStr">
        <is>
          <t>Spray Tresemmé Ultra-Fine Hold x 367 ml</t>
        </is>
      </c>
      <c r="E863" t="inlineStr">
        <is>
          <t>Tresemmé</t>
        </is>
      </c>
      <c r="F863" t="n">
        <v>12805</v>
      </c>
      <c r="G863" t="n">
        <v>12805</v>
      </c>
      <c r="H863" t="b">
        <v>1</v>
      </c>
      <c r="I863" t="n">
        <v>367</v>
      </c>
      <c r="J863" t="n">
        <v>34.891</v>
      </c>
      <c r="K863" t="inlineStr">
        <is>
          <t>&gt; Cuidado Capilar &gt; Modelado Y Peinado &gt;</t>
        </is>
      </c>
      <c r="L863" t="inlineStr">
        <is>
          <t>shampoo</t>
        </is>
      </c>
      <c r="M863" t="inlineStr">
        <is>
          <t>estandar</t>
        </is>
      </c>
      <c r="N863" t="inlineStr">
        <is>
          <t>general</t>
        </is>
      </c>
      <c r="O863" t="inlineStr">
        <is>
          <t>https://www.farmacity.com/spray-tresemme-ultra-fine-hold-x-367-ml/p</t>
        </is>
      </c>
      <c r="P863">
        <f>TRIM(CLEAN(PROPER(D863)))</f>
        <v/>
      </c>
      <c r="Q863">
        <f>PROPER(TRIM(SUBSTITUTE(SUBSTITUTE(SUBSTITUTE(SUBSTITUTE(E863,"TRESEMME","Tresemme"),"HEAD &amp; SHOULDERS","Head &amp; Shoulders"),"ELVIVE","Elvive"),"FRUCTIS","Fructis")))</f>
        <v/>
      </c>
      <c r="R863">
        <f>COUNTIF($D$2:$D$10000,D863)&gt;1</f>
        <v/>
      </c>
      <c r="S863">
        <f>IF(H863=TRUE,"Disponible","No disponible")</f>
        <v/>
      </c>
      <c r="T863">
        <f>IF(AND(ISNUMBER(I863),I863&gt;0),ROUND(F863/I863,2),"Sin volumen")</f>
        <v/>
      </c>
      <c r="U863">
        <f>IF(F863&lt;5000,"Bajo",IF(F863&lt;15000,"Medio","Alto"))</f>
        <v/>
      </c>
    </row>
    <row r="864">
      <c r="A864" s="6" t="inlineStr">
        <is>
          <t>Farmacity</t>
        </is>
      </c>
      <c r="B864" s="6" t="n">
        <v>248675</v>
      </c>
      <c r="C864" s="6" t="n">
        <v>248675</v>
      </c>
      <c r="D864" s="6" t="inlineStr">
        <is>
          <t>Combo Tresemme Oleo + Crema Tratamiento</t>
        </is>
      </c>
      <c r="E864" s="6" t="inlineStr">
        <is>
          <t>Tresemmé</t>
        </is>
      </c>
      <c r="F864" s="6" t="n">
        <v>13145</v>
      </c>
      <c r="G864" s="6" t="n">
        <v>21909</v>
      </c>
      <c r="H864" s="6" t="b">
        <v>1</v>
      </c>
      <c r="I864" s="6" t="inlineStr"/>
      <c r="J864" s="6" t="inlineStr"/>
      <c r="K864" s="6" t="inlineStr">
        <is>
          <t>&gt; Cuidado Capilar &gt; Reparación Y Tratamiento &gt;</t>
        </is>
      </c>
      <c r="L864" s="6" t="inlineStr">
        <is>
          <t>tratamiento</t>
        </is>
      </c>
      <c r="M864" s="6" t="inlineStr">
        <is>
          <t>estandar</t>
        </is>
      </c>
      <c r="N864" s="6" t="inlineStr">
        <is>
          <t>general</t>
        </is>
      </c>
      <c r="O864" s="6" t="inlineStr">
        <is>
          <t>https://www.farmacity.com/combo-tresemme-oleo-crema-tratamiento/p</t>
        </is>
      </c>
      <c r="P864" s="8">
        <f>TRIM(CLEAN(PROPER(D864)))</f>
        <v/>
      </c>
      <c r="Q864" s="8">
        <f>PROPER(TRIM(SUBSTITUTE(SUBSTITUTE(SUBSTITUTE(SUBSTITUTE(E864,"TRESEMME","Tresemme"),"HEAD &amp; SHOULDERS","Head &amp; Shoulders"),"ELVIVE","Elvive"),"FRUCTIS","Fructis")))</f>
        <v/>
      </c>
      <c r="R864" s="8">
        <f>COUNTIF($D$2:$D$10000,D864)&gt;1</f>
        <v/>
      </c>
      <c r="S864" s="8">
        <f>IF(H864=TRUE,"Disponible","No disponible")</f>
        <v/>
      </c>
      <c r="T864" s="8">
        <f>IF(AND(ISNUMBER(I864),I864&gt;0),ROUND(F864/I864,2),"Sin volumen")</f>
        <v/>
      </c>
      <c r="U864" s="8">
        <f>IF(F864&lt;5000,"Bajo",IF(F864&lt;15000,"Medio","Alto"))</f>
        <v/>
      </c>
    </row>
    <row r="865">
      <c r="A865" t="inlineStr">
        <is>
          <t>Farmacity</t>
        </is>
      </c>
      <c r="B865" t="n">
        <v>237323</v>
      </c>
      <c r="C865" t="n">
        <v>237323</v>
      </c>
      <c r="D865" t="inlineStr">
        <is>
          <t>Acondicionador TRESemmé Brillo Lamelar x 250 ml</t>
        </is>
      </c>
      <c r="E865" t="inlineStr">
        <is>
          <t>Tresemmé</t>
        </is>
      </c>
      <c r="F865" t="n">
        <v>6091</v>
      </c>
      <c r="G865" t="n">
        <v>6091</v>
      </c>
      <c r="H865" t="b">
        <v>1</v>
      </c>
      <c r="I865" t="n">
        <v>250</v>
      </c>
      <c r="J865" t="n">
        <v>24.364</v>
      </c>
      <c r="K865" t="inlineStr">
        <is>
          <t>&gt; Cuidado Capilar &gt; Shampoo Y Acondicionador &gt;</t>
        </is>
      </c>
      <c r="L865" t="inlineStr">
        <is>
          <t>acondicionador</t>
        </is>
      </c>
      <c r="M865" t="inlineStr">
        <is>
          <t>estandar</t>
        </is>
      </c>
      <c r="N865" t="inlineStr">
        <is>
          <t>general</t>
        </is>
      </c>
      <c r="O865" t="inlineStr">
        <is>
          <t>https://www.farmacity.com/acondicionador-tresemme-brillo-lamelar-x-250-ml/p</t>
        </is>
      </c>
      <c r="P865">
        <f>TRIM(CLEAN(PROPER(D865)))</f>
        <v/>
      </c>
      <c r="Q865">
        <f>PROPER(TRIM(SUBSTITUTE(SUBSTITUTE(SUBSTITUTE(SUBSTITUTE(E865,"TRESEMME","Tresemme"),"HEAD &amp; SHOULDERS","Head &amp; Shoulders"),"ELVIVE","Elvive"),"FRUCTIS","Fructis")))</f>
        <v/>
      </c>
      <c r="R865">
        <f>COUNTIF($D$2:$D$10000,D865)&gt;1</f>
        <v/>
      </c>
      <c r="S865">
        <f>IF(H865=TRUE,"Disponible","No disponible")</f>
        <v/>
      </c>
      <c r="T865">
        <f>IF(AND(ISNUMBER(I865),I865&gt;0),ROUND(F865/I865,2),"Sin volumen")</f>
        <v/>
      </c>
      <c r="U865">
        <f>IF(F865&lt;5000,"Bajo",IF(F865&lt;15000,"Medio","Alto"))</f>
        <v/>
      </c>
    </row>
    <row r="866">
      <c r="A866" s="6" t="inlineStr">
        <is>
          <t>Farmacity</t>
        </is>
      </c>
      <c r="B866" s="6" t="n">
        <v>249576</v>
      </c>
      <c r="C866" s="6" t="n">
        <v>249576</v>
      </c>
      <c r="D866" s="6" t="inlineStr">
        <is>
          <t>Crema para Peinar Herbal Essences Rosa Mosqueta x 150 ml</t>
        </is>
      </c>
      <c r="E866" s="6" t="inlineStr">
        <is>
          <t>Herbal Essences</t>
        </is>
      </c>
      <c r="F866" s="6" t="n">
        <v>4512</v>
      </c>
      <c r="G866" s="6" t="n">
        <v>6941</v>
      </c>
      <c r="H866" s="6" t="b">
        <v>1</v>
      </c>
      <c r="I866" s="6" t="n">
        <v>150</v>
      </c>
      <c r="J866" s="6" t="n">
        <v>30.08</v>
      </c>
      <c r="K866" s="6" t="inlineStr">
        <is>
          <t>&gt; Cuidado Capilar &gt; Modelado Y Peinado &gt;</t>
        </is>
      </c>
      <c r="L866" s="6" t="inlineStr">
        <is>
          <t>shampoo</t>
        </is>
      </c>
      <c r="M866" s="6" t="inlineStr">
        <is>
          <t>estandar</t>
        </is>
      </c>
      <c r="N866" s="6" t="inlineStr">
        <is>
          <t>general</t>
        </is>
      </c>
      <c r="O866" s="6" t="inlineStr">
        <is>
          <t>https://www.farmacity.com/crema-para-peinar-herbal-essences-rosa-mosqueta-x-150-ml/p</t>
        </is>
      </c>
      <c r="P866" s="8">
        <f>TRIM(CLEAN(PROPER(D866)))</f>
        <v/>
      </c>
      <c r="Q866" s="8">
        <f>PROPER(TRIM(SUBSTITUTE(SUBSTITUTE(SUBSTITUTE(SUBSTITUTE(E866,"TRESEMME","Tresemme"),"HEAD &amp; SHOULDERS","Head &amp; Shoulders"),"ELVIVE","Elvive"),"FRUCTIS","Fructis")))</f>
        <v/>
      </c>
      <c r="R866" s="8">
        <f>COUNTIF($D$2:$D$10000,D866)&gt;1</f>
        <v/>
      </c>
      <c r="S866" s="8">
        <f>IF(H866=TRUE,"Disponible","No disponible")</f>
        <v/>
      </c>
      <c r="T866" s="8">
        <f>IF(AND(ISNUMBER(I866),I866&gt;0),ROUND(F866/I866,2),"Sin volumen")</f>
        <v/>
      </c>
      <c r="U866" s="8">
        <f>IF(F866&lt;5000,"Bajo",IF(F866&lt;15000,"Medio","Alto"))</f>
        <v/>
      </c>
    </row>
    <row r="867">
      <c r="A867" t="inlineStr">
        <is>
          <t>Farmacity</t>
        </is>
      </c>
      <c r="B867" t="n">
        <v>246646</v>
      </c>
      <c r="C867" t="n">
        <v>246646</v>
      </c>
      <c r="D867" t="inlineStr">
        <is>
          <t>Crema para Peinar Herbal Essences Rosa Mosqueta x 300 ml</t>
        </is>
      </c>
      <c r="E867" t="inlineStr">
        <is>
          <t>Herbal Essences</t>
        </is>
      </c>
      <c r="F867" t="n">
        <v>7315</v>
      </c>
      <c r="G867" t="n">
        <v>11254</v>
      </c>
      <c r="H867" t="b">
        <v>1</v>
      </c>
      <c r="I867" t="n">
        <v>300</v>
      </c>
      <c r="J867" t="n">
        <v>24.3833</v>
      </c>
      <c r="K867" t="inlineStr">
        <is>
          <t>&gt; Cuidado Capilar &gt; Modelado Y Peinado &gt;</t>
        </is>
      </c>
      <c r="L867" t="inlineStr">
        <is>
          <t>shampoo</t>
        </is>
      </c>
      <c r="M867" t="inlineStr">
        <is>
          <t>estandar</t>
        </is>
      </c>
      <c r="N867" t="inlineStr">
        <is>
          <t>general</t>
        </is>
      </c>
      <c r="O867" t="inlineStr">
        <is>
          <t>https://www.farmacity.com/crema-para-peinar-herbal-essences-rosa-mosqueta-x-300-ml/p</t>
        </is>
      </c>
      <c r="P867">
        <f>TRIM(CLEAN(PROPER(D867)))</f>
        <v/>
      </c>
      <c r="Q867">
        <f>PROPER(TRIM(SUBSTITUTE(SUBSTITUTE(SUBSTITUTE(SUBSTITUTE(E867,"TRESEMME","Tresemme"),"HEAD &amp; SHOULDERS","Head &amp; Shoulders"),"ELVIVE","Elvive"),"FRUCTIS","Fructis")))</f>
        <v/>
      </c>
      <c r="R867">
        <f>COUNTIF($D$2:$D$10000,D867)&gt;1</f>
        <v/>
      </c>
      <c r="S867">
        <f>IF(H867=TRUE,"Disponible","No disponible")</f>
        <v/>
      </c>
      <c r="T867">
        <f>IF(AND(ISNUMBER(I867),I867&gt;0),ROUND(F867/I867,2),"Sin volumen")</f>
        <v/>
      </c>
      <c r="U867">
        <f>IF(F867&lt;5000,"Bajo",IF(F867&lt;15000,"Medio","Alto"))</f>
        <v/>
      </c>
    </row>
    <row r="868">
      <c r="A868" s="6" t="inlineStr">
        <is>
          <t>Farmacity</t>
        </is>
      </c>
      <c r="B868" s="6" t="n">
        <v>234381</v>
      </c>
      <c r="C868" s="6" t="n">
        <v>234381</v>
      </c>
      <c r="D868" s="6" t="inlineStr">
        <is>
          <t>Acondicionador Elvive Hialurónico Pure x 400 ml</t>
        </is>
      </c>
      <c r="E868" s="6" t="inlineStr">
        <is>
          <t>Elvive</t>
        </is>
      </c>
      <c r="F868" s="6" t="n">
        <v>6714</v>
      </c>
      <c r="G868" s="6" t="n">
        <v>11190</v>
      </c>
      <c r="H868" s="6" t="b">
        <v>1</v>
      </c>
      <c r="I868" s="6" t="n">
        <v>400</v>
      </c>
      <c r="J868" s="6" t="n">
        <v>16.785</v>
      </c>
      <c r="K868" s="6" t="inlineStr">
        <is>
          <t>&gt; Cuidado Capilar &gt; Shampoo Y Acondicionador &gt;</t>
        </is>
      </c>
      <c r="L868" s="6" t="inlineStr">
        <is>
          <t>acondicionador</t>
        </is>
      </c>
      <c r="M868" s="6" t="inlineStr">
        <is>
          <t>profesional</t>
        </is>
      </c>
      <c r="N868" s="6" t="inlineStr">
        <is>
          <t>general</t>
        </is>
      </c>
      <c r="O868" s="6" t="inlineStr">
        <is>
          <t>https://www.farmacity.com/acondicionador-elvive-hialuronico-pure-x-400-ml/p</t>
        </is>
      </c>
      <c r="P868" s="8">
        <f>TRIM(CLEAN(PROPER(D868)))</f>
        <v/>
      </c>
      <c r="Q868" s="8">
        <f>PROPER(TRIM(SUBSTITUTE(SUBSTITUTE(SUBSTITUTE(SUBSTITUTE(E868,"TRESEMME","Tresemme"),"HEAD &amp; SHOULDERS","Head &amp; Shoulders"),"ELVIVE","Elvive"),"FRUCTIS","Fructis")))</f>
        <v/>
      </c>
      <c r="R868" s="8">
        <f>COUNTIF($D$2:$D$10000,D868)&gt;1</f>
        <v/>
      </c>
      <c r="S868" s="8">
        <f>IF(H868=TRUE,"Disponible","No disponible")</f>
        <v/>
      </c>
      <c r="T868" s="8">
        <f>IF(AND(ISNUMBER(I868),I868&gt;0),ROUND(F868/I868,2),"Sin volumen")</f>
        <v/>
      </c>
      <c r="U868" s="8">
        <f>IF(F868&lt;5000,"Bajo",IF(F868&lt;15000,"Medio","Alto"))</f>
        <v/>
      </c>
    </row>
    <row r="869">
      <c r="A869" t="inlineStr">
        <is>
          <t>Farmacity</t>
        </is>
      </c>
      <c r="B869" t="n">
        <v>232262</v>
      </c>
      <c r="C869" t="n">
        <v>232262</v>
      </c>
      <c r="D869" t="inlineStr">
        <is>
          <t>Mascarilla Elvive Oleo Extraordinario Nutrición Universal x 300 g</t>
        </is>
      </c>
      <c r="E869" t="inlineStr">
        <is>
          <t>Elvive</t>
        </is>
      </c>
      <c r="F869" t="n">
        <v>11190</v>
      </c>
      <c r="G869" t="n">
        <v>11190</v>
      </c>
      <c r="H869" t="b">
        <v>1</v>
      </c>
      <c r="I869" t="n">
        <v>300</v>
      </c>
      <c r="J869" t="n">
        <v>37.3</v>
      </c>
      <c r="K869" t="inlineStr">
        <is>
          <t>&gt; Cuidado Capilar &gt; Reparación Y Tratamiento &gt;</t>
        </is>
      </c>
      <c r="L869" t="inlineStr">
        <is>
          <t>tratamiento</t>
        </is>
      </c>
      <c r="M869" t="inlineStr">
        <is>
          <t>profesional</t>
        </is>
      </c>
      <c r="N869" t="inlineStr">
        <is>
          <t>general</t>
        </is>
      </c>
      <c r="O869" t="inlineStr">
        <is>
          <t>https://www.farmacity.com/mascarilla-elvive-oleo-extraordinario-nutricion-universal-x-300-g/p</t>
        </is>
      </c>
      <c r="P869">
        <f>TRIM(CLEAN(PROPER(D869)))</f>
        <v/>
      </c>
      <c r="Q869">
        <f>PROPER(TRIM(SUBSTITUTE(SUBSTITUTE(SUBSTITUTE(SUBSTITUTE(E869,"TRESEMME","Tresemme"),"HEAD &amp; SHOULDERS","Head &amp; Shoulders"),"ELVIVE","Elvive"),"FRUCTIS","Fructis")))</f>
        <v/>
      </c>
      <c r="R869">
        <f>COUNTIF($D$2:$D$10000,D869)&gt;1</f>
        <v/>
      </c>
      <c r="S869">
        <f>IF(H869=TRUE,"Disponible","No disponible")</f>
        <v/>
      </c>
      <c r="T869">
        <f>IF(AND(ISNUMBER(I869),I869&gt;0),ROUND(F869/I869,2),"Sin volumen")</f>
        <v/>
      </c>
      <c r="U869">
        <f>IF(F869&lt;5000,"Bajo",IF(F869&lt;15000,"Medio","Alto"))</f>
        <v/>
      </c>
    </row>
    <row r="870">
      <c r="A870" s="6" t="inlineStr">
        <is>
          <t>Farmacity</t>
        </is>
      </c>
      <c r="B870" s="6" t="n">
        <v>6071</v>
      </c>
      <c r="C870" s="6" t="n">
        <v>147256</v>
      </c>
      <c r="D870" s="6" t="inlineStr">
        <is>
          <t>Acondicionador Elvive Óleo Extraordinario x 400 ml</t>
        </is>
      </c>
      <c r="E870" s="6" t="inlineStr">
        <is>
          <t>Elvive</t>
        </is>
      </c>
      <c r="F870" s="6" t="n">
        <v>6714</v>
      </c>
      <c r="G870" s="6" t="n">
        <v>11190</v>
      </c>
      <c r="H870" s="6" t="b">
        <v>1</v>
      </c>
      <c r="I870" s="6" t="n">
        <v>400</v>
      </c>
      <c r="J870" s="6" t="n">
        <v>16.785</v>
      </c>
      <c r="K870" s="6" t="inlineStr">
        <is>
          <t>&gt; Cuidado Capilar &gt; Shampoo Y Acondicionador &gt;</t>
        </is>
      </c>
      <c r="L870" s="6" t="inlineStr">
        <is>
          <t>acondicionador</t>
        </is>
      </c>
      <c r="M870" s="6" t="inlineStr">
        <is>
          <t>profesional</t>
        </is>
      </c>
      <c r="N870" s="6" t="inlineStr">
        <is>
          <t>general</t>
        </is>
      </c>
      <c r="O870" s="6" t="inlineStr">
        <is>
          <t>https://www.farmacity.com/acondicionador-oleo-extraordinario-nutricion-universal-x-400-ml/p</t>
        </is>
      </c>
      <c r="P870" s="8">
        <f>TRIM(CLEAN(PROPER(D870)))</f>
        <v/>
      </c>
      <c r="Q870" s="8">
        <f>PROPER(TRIM(SUBSTITUTE(SUBSTITUTE(SUBSTITUTE(SUBSTITUTE(E870,"TRESEMME","Tresemme"),"HEAD &amp; SHOULDERS","Head &amp; Shoulders"),"ELVIVE","Elvive"),"FRUCTIS","Fructis")))</f>
        <v/>
      </c>
      <c r="R870" s="8">
        <f>COUNTIF($D$2:$D$10000,D870)&gt;1</f>
        <v/>
      </c>
      <c r="S870" s="8">
        <f>IF(H870=TRUE,"Disponible","No disponible")</f>
        <v/>
      </c>
      <c r="T870" s="8">
        <f>IF(AND(ISNUMBER(I870),I870&gt;0),ROUND(F870/I870,2),"Sin volumen")</f>
        <v/>
      </c>
      <c r="U870" s="8">
        <f>IF(F870&lt;5000,"Bajo",IF(F870&lt;15000,"Medio","Alto"))</f>
        <v/>
      </c>
    </row>
    <row r="871">
      <c r="A871" t="inlineStr">
        <is>
          <t>Farmacity</t>
        </is>
      </c>
      <c r="B871" t="n">
        <v>240019</v>
      </c>
      <c r="C871" t="n">
        <v>240019</v>
      </c>
      <c r="D871" t="inlineStr">
        <is>
          <t>Sérum Elvive Glycolic Gloss x 100 ml</t>
        </is>
      </c>
      <c r="E871" t="inlineStr">
        <is>
          <t>Elvive</t>
        </is>
      </c>
      <c r="F871" t="n">
        <v>19990</v>
      </c>
      <c r="G871" t="n">
        <v>19990</v>
      </c>
      <c r="H871" t="b">
        <v>1</v>
      </c>
      <c r="I871" t="n">
        <v>100</v>
      </c>
      <c r="J871" t="n">
        <v>199.9</v>
      </c>
      <c r="K871" t="inlineStr">
        <is>
          <t>&gt; Cuidado Capilar &gt; Reparación Y Tratamiento &gt;</t>
        </is>
      </c>
      <c r="L871" t="inlineStr">
        <is>
          <t>shampoo</t>
        </is>
      </c>
      <c r="M871" t="inlineStr">
        <is>
          <t>profesional</t>
        </is>
      </c>
      <c r="N871" t="inlineStr">
        <is>
          <t>general</t>
        </is>
      </c>
      <c r="O871" t="inlineStr">
        <is>
          <t>https://www.farmacity.com/serum-elvive-glyco-gloss-x-100-ml/p</t>
        </is>
      </c>
      <c r="P871">
        <f>TRIM(CLEAN(PROPER(D871)))</f>
        <v/>
      </c>
      <c r="Q871">
        <f>PROPER(TRIM(SUBSTITUTE(SUBSTITUTE(SUBSTITUTE(SUBSTITUTE(E871,"TRESEMME","Tresemme"),"HEAD &amp; SHOULDERS","Head &amp; Shoulders"),"ELVIVE","Elvive"),"FRUCTIS","Fructis")))</f>
        <v/>
      </c>
      <c r="R871">
        <f>COUNTIF($D$2:$D$10000,D871)&gt;1</f>
        <v/>
      </c>
      <c r="S871">
        <f>IF(H871=TRUE,"Disponible","No disponible")</f>
        <v/>
      </c>
      <c r="T871">
        <f>IF(AND(ISNUMBER(I871),I871&gt;0),ROUND(F871/I871,2),"Sin volumen")</f>
        <v/>
      </c>
      <c r="U871">
        <f>IF(F871&lt;5000,"Bajo",IF(F871&lt;15000,"Medio","Alto"))</f>
        <v/>
      </c>
    </row>
    <row r="872">
      <c r="A872" s="6" t="inlineStr">
        <is>
          <t>Farmacity</t>
        </is>
      </c>
      <c r="B872" s="6" t="n">
        <v>240017</v>
      </c>
      <c r="C872" s="6" t="n">
        <v>240017</v>
      </c>
      <c r="D872" s="6" t="inlineStr">
        <is>
          <t>Mascarilla Elvive Glycolic Gloss x 300 g</t>
        </is>
      </c>
      <c r="E872" s="6" t="inlineStr">
        <is>
          <t>Elvive</t>
        </is>
      </c>
      <c r="F872" s="6" t="n">
        <v>12190</v>
      </c>
      <c r="G872" s="6" t="n">
        <v>12190</v>
      </c>
      <c r="H872" s="6" t="b">
        <v>1</v>
      </c>
      <c r="I872" s="6" t="n">
        <v>300</v>
      </c>
      <c r="J872" s="6" t="n">
        <v>40.6333</v>
      </c>
      <c r="K872" s="6" t="inlineStr">
        <is>
          <t>&gt; Cuidado Capilar &gt; Reparación Y Tratamiento &gt;</t>
        </is>
      </c>
      <c r="L872" s="6" t="inlineStr">
        <is>
          <t>tratamiento</t>
        </is>
      </c>
      <c r="M872" s="6" t="inlineStr">
        <is>
          <t>profesional</t>
        </is>
      </c>
      <c r="N872" s="6" t="inlineStr">
        <is>
          <t>general</t>
        </is>
      </c>
      <c r="O872" s="6" t="inlineStr">
        <is>
          <t>https://www.farmacity.com/mascarilla-elvive-glycolic-gloss-x-300-g/p</t>
        </is>
      </c>
      <c r="P872" s="8">
        <f>TRIM(CLEAN(PROPER(D872)))</f>
        <v/>
      </c>
      <c r="Q872" s="8">
        <f>PROPER(TRIM(SUBSTITUTE(SUBSTITUTE(SUBSTITUTE(SUBSTITUTE(E872,"TRESEMME","Tresemme"),"HEAD &amp; SHOULDERS","Head &amp; Shoulders"),"ELVIVE","Elvive"),"FRUCTIS","Fructis")))</f>
        <v/>
      </c>
      <c r="R872" s="8">
        <f>COUNTIF($D$2:$D$10000,D872)&gt;1</f>
        <v/>
      </c>
      <c r="S872" s="8">
        <f>IF(H872=TRUE,"Disponible","No disponible")</f>
        <v/>
      </c>
      <c r="T872" s="8">
        <f>IF(AND(ISNUMBER(I872),I872&gt;0),ROUND(F872/I872,2),"Sin volumen")</f>
        <v/>
      </c>
      <c r="U872" s="8">
        <f>IF(F872&lt;5000,"Bajo",IF(F872&lt;15000,"Medio","Alto"))</f>
        <v/>
      </c>
    </row>
    <row r="873">
      <c r="A873" t="inlineStr">
        <is>
          <t>Farmacity</t>
        </is>
      </c>
      <c r="B873" t="n">
        <v>221678</v>
      </c>
      <c r="C873" t="n">
        <v>221678</v>
      </c>
      <c r="D873" t="inlineStr">
        <is>
          <t>Shampoo Elvive Hidra Hialuronico x 200 ml</t>
        </is>
      </c>
      <c r="E873" t="inlineStr">
        <is>
          <t>Elvive</t>
        </is>
      </c>
      <c r="F873" t="n">
        <v>4194</v>
      </c>
      <c r="G873" t="n">
        <v>6990</v>
      </c>
      <c r="H873" t="b">
        <v>1</v>
      </c>
      <c r="I873" t="n">
        <v>200</v>
      </c>
      <c r="J873" t="n">
        <v>20.97</v>
      </c>
      <c r="K873" t="inlineStr">
        <is>
          <t>&gt; Cuidado Capilar &gt; Shampoo Y Acondicionador &gt;</t>
        </is>
      </c>
      <c r="L873" t="inlineStr">
        <is>
          <t>shampoo</t>
        </is>
      </c>
      <c r="M873" t="inlineStr">
        <is>
          <t>profesional</t>
        </is>
      </c>
      <c r="N873" t="inlineStr">
        <is>
          <t>general</t>
        </is>
      </c>
      <c r="O873" t="inlineStr">
        <is>
          <t>https://www.farmacity.com/shampoo-elvive-hidra-hialuronico-x-200-ml/p</t>
        </is>
      </c>
      <c r="P873">
        <f>TRIM(CLEAN(PROPER(D873)))</f>
        <v/>
      </c>
      <c r="Q873">
        <f>PROPER(TRIM(SUBSTITUTE(SUBSTITUTE(SUBSTITUTE(SUBSTITUTE(E873,"TRESEMME","Tresemme"),"HEAD &amp; SHOULDERS","Head &amp; Shoulders"),"ELVIVE","Elvive"),"FRUCTIS","Fructis")))</f>
        <v/>
      </c>
      <c r="R873">
        <f>COUNTIF($D$2:$D$10000,D873)&gt;1</f>
        <v/>
      </c>
      <c r="S873">
        <f>IF(H873=TRUE,"Disponible","No disponible")</f>
        <v/>
      </c>
      <c r="T873">
        <f>IF(AND(ISNUMBER(I873),I873&gt;0),ROUND(F873/I873,2),"Sin volumen")</f>
        <v/>
      </c>
      <c r="U873">
        <f>IF(F873&lt;5000,"Bajo",IF(F873&lt;15000,"Medio","Alto"))</f>
        <v/>
      </c>
    </row>
    <row r="874">
      <c r="A874" s="6" t="inlineStr">
        <is>
          <t>Farmacity</t>
        </is>
      </c>
      <c r="B874" s="6" t="n">
        <v>5317</v>
      </c>
      <c r="C874" s="6" t="n">
        <v>143506</v>
      </c>
      <c r="D874" s="6" t="inlineStr">
        <is>
          <t>Shampoo Elvive Reparación Total Extreme x 400 ml</t>
        </is>
      </c>
      <c r="E874" s="6" t="inlineStr">
        <is>
          <t>Elvive</t>
        </is>
      </c>
      <c r="F874" s="6" t="n">
        <v>6714</v>
      </c>
      <c r="G874" s="6" t="n">
        <v>11190</v>
      </c>
      <c r="H874" s="6" t="b">
        <v>1</v>
      </c>
      <c r="I874" s="6" t="n">
        <v>400</v>
      </c>
      <c r="J874" s="6" t="n">
        <v>16.785</v>
      </c>
      <c r="K874" s="6" t="inlineStr">
        <is>
          <t>&gt; Cuidado Capilar &gt; Shampoo Y Acondicionador &gt;</t>
        </is>
      </c>
      <c r="L874" s="6" t="inlineStr">
        <is>
          <t>shampoo</t>
        </is>
      </c>
      <c r="M874" s="6" t="inlineStr">
        <is>
          <t>profesional</t>
        </is>
      </c>
      <c r="N874" s="6" t="inlineStr">
        <is>
          <t>general</t>
        </is>
      </c>
      <c r="O874" s="6" t="inlineStr">
        <is>
          <t>https://www.farmacity.com/shampoo-reparacion-total-extreme-x-400-ml/p</t>
        </is>
      </c>
      <c r="P874" s="8">
        <f>TRIM(CLEAN(PROPER(D874)))</f>
        <v/>
      </c>
      <c r="Q874" s="8">
        <f>PROPER(TRIM(SUBSTITUTE(SUBSTITUTE(SUBSTITUTE(SUBSTITUTE(E874,"TRESEMME","Tresemme"),"HEAD &amp; SHOULDERS","Head &amp; Shoulders"),"ELVIVE","Elvive"),"FRUCTIS","Fructis")))</f>
        <v/>
      </c>
      <c r="R874" s="8">
        <f>COUNTIF($D$2:$D$10000,D874)&gt;1</f>
        <v/>
      </c>
      <c r="S874" s="8">
        <f>IF(H874=TRUE,"Disponible","No disponible")</f>
        <v/>
      </c>
      <c r="T874" s="8">
        <f>IF(AND(ISNUMBER(I874),I874&gt;0),ROUND(F874/I874,2),"Sin volumen")</f>
        <v/>
      </c>
      <c r="U874" s="8">
        <f>IF(F874&lt;5000,"Bajo",IF(F874&lt;15000,"Medio","Alto"))</f>
        <v/>
      </c>
    </row>
    <row r="875">
      <c r="A875" t="inlineStr">
        <is>
          <t>Farmacity</t>
        </is>
      </c>
      <c r="B875" t="n">
        <v>4772</v>
      </c>
      <c r="C875" t="n">
        <v>140576</v>
      </c>
      <c r="D875" t="inlineStr">
        <is>
          <t>Mascarilla Elvive RT 5 Keratin x 300 g</t>
        </is>
      </c>
      <c r="E875" t="inlineStr">
        <is>
          <t>Elvive</t>
        </is>
      </c>
      <c r="F875" t="n">
        <v>11190</v>
      </c>
      <c r="G875" t="n">
        <v>11190</v>
      </c>
      <c r="H875" t="b">
        <v>1</v>
      </c>
      <c r="I875" t="n">
        <v>300</v>
      </c>
      <c r="J875" t="n">
        <v>37.3</v>
      </c>
      <c r="K875" t="inlineStr">
        <is>
          <t>&gt; Cuidado Capilar &gt; Reparación Y Tratamiento &gt;</t>
        </is>
      </c>
      <c r="L875" t="inlineStr">
        <is>
          <t>tratamiento</t>
        </is>
      </c>
      <c r="M875" t="inlineStr">
        <is>
          <t>profesional</t>
        </is>
      </c>
      <c r="N875" t="inlineStr">
        <is>
          <t>general</t>
        </is>
      </c>
      <c r="O875" t="inlineStr">
        <is>
          <t>https://www.farmacity.com/mascarilla-elvive-rt-5-keratin-x-300-g/p</t>
        </is>
      </c>
      <c r="P875">
        <f>TRIM(CLEAN(PROPER(D875)))</f>
        <v/>
      </c>
      <c r="Q875">
        <f>PROPER(TRIM(SUBSTITUTE(SUBSTITUTE(SUBSTITUTE(SUBSTITUTE(E875,"TRESEMME","Tresemme"),"HEAD &amp; SHOULDERS","Head &amp; Shoulders"),"ELVIVE","Elvive"),"FRUCTIS","Fructis")))</f>
        <v/>
      </c>
      <c r="R875">
        <f>COUNTIF($D$2:$D$10000,D875)&gt;1</f>
        <v/>
      </c>
      <c r="S875">
        <f>IF(H875=TRUE,"Disponible","No disponible")</f>
        <v/>
      </c>
      <c r="T875">
        <f>IF(AND(ISNUMBER(I875),I875&gt;0),ROUND(F875/I875,2),"Sin volumen")</f>
        <v/>
      </c>
      <c r="U875">
        <f>IF(F875&lt;5000,"Bajo",IF(F875&lt;15000,"Medio","Alto"))</f>
        <v/>
      </c>
    </row>
    <row r="876">
      <c r="A876" s="6" t="inlineStr">
        <is>
          <t>Farmacity</t>
        </is>
      </c>
      <c r="B876" s="6" t="n">
        <v>4118</v>
      </c>
      <c r="C876" s="6" t="n">
        <v>139246</v>
      </c>
      <c r="D876" s="6" t="inlineStr">
        <is>
          <t>Shampoo Elvive Colorvive x 400 ml</t>
        </is>
      </c>
      <c r="E876" s="6" t="inlineStr">
        <is>
          <t>Elvive</t>
        </is>
      </c>
      <c r="F876" s="6" t="n">
        <v>6714</v>
      </c>
      <c r="G876" s="6" t="n">
        <v>11190</v>
      </c>
      <c r="H876" s="6" t="b">
        <v>1</v>
      </c>
      <c r="I876" s="6" t="n">
        <v>400</v>
      </c>
      <c r="J876" s="6" t="n">
        <v>16.785</v>
      </c>
      <c r="K876" s="6" t="inlineStr">
        <is>
          <t>&gt; Cuidado Capilar &gt; Shampoo Y Acondicionador &gt;</t>
        </is>
      </c>
      <c r="L876" s="6" t="inlineStr">
        <is>
          <t>shampoo</t>
        </is>
      </c>
      <c r="M876" s="6" t="inlineStr">
        <is>
          <t>profesional</t>
        </is>
      </c>
      <c r="N876" s="6" t="inlineStr">
        <is>
          <t>tratado</t>
        </is>
      </c>
      <c r="O876" s="6" t="inlineStr">
        <is>
          <t>https://www.farmacity.com/shampoo-color-vive-x-400-ml/p</t>
        </is>
      </c>
      <c r="P876" s="8">
        <f>TRIM(CLEAN(PROPER(D876)))</f>
        <v/>
      </c>
      <c r="Q876" s="8">
        <f>PROPER(TRIM(SUBSTITUTE(SUBSTITUTE(SUBSTITUTE(SUBSTITUTE(E876,"TRESEMME","Tresemme"),"HEAD &amp; SHOULDERS","Head &amp; Shoulders"),"ELVIVE","Elvive"),"FRUCTIS","Fructis")))</f>
        <v/>
      </c>
      <c r="R876" s="8">
        <f>COUNTIF($D$2:$D$10000,D876)&gt;1</f>
        <v/>
      </c>
      <c r="S876" s="8">
        <f>IF(H876=TRUE,"Disponible","No disponible")</f>
        <v/>
      </c>
      <c r="T876" s="8">
        <f>IF(AND(ISNUMBER(I876),I876&gt;0),ROUND(F876/I876,2),"Sin volumen")</f>
        <v/>
      </c>
      <c r="U876" s="8">
        <f>IF(F876&lt;5000,"Bajo",IF(F876&lt;15000,"Medio","Alto"))</f>
        <v/>
      </c>
    </row>
    <row r="877">
      <c r="A877" t="inlineStr">
        <is>
          <t>Farmacity</t>
        </is>
      </c>
      <c r="B877" t="n">
        <v>4224</v>
      </c>
      <c r="C877" t="n">
        <v>139237</v>
      </c>
      <c r="D877" t="inlineStr">
        <is>
          <t>Acondicionador Elvive Reparación Total 5 x 200 ml</t>
        </is>
      </c>
      <c r="E877" t="inlineStr">
        <is>
          <t>Elvive</t>
        </is>
      </c>
      <c r="F877" t="n">
        <v>6990</v>
      </c>
      <c r="G877" t="n">
        <v>6990</v>
      </c>
      <c r="H877" t="b">
        <v>1</v>
      </c>
      <c r="I877" t="n">
        <v>200</v>
      </c>
      <c r="J877" t="n">
        <v>34.95</v>
      </c>
      <c r="K877" t="inlineStr">
        <is>
          <t>&gt; Cuidado Capilar &gt; Shampoo Y Acondicionador &gt;</t>
        </is>
      </c>
      <c r="L877" t="inlineStr">
        <is>
          <t>acondicionador</t>
        </is>
      </c>
      <c r="M877" t="inlineStr">
        <is>
          <t>profesional</t>
        </is>
      </c>
      <c r="N877" t="inlineStr">
        <is>
          <t>general</t>
        </is>
      </c>
      <c r="O877" t="inlineStr">
        <is>
          <t>https://www.farmacity.com/acondicionador-reparacion-total-5-x-200-ml-139237/p</t>
        </is>
      </c>
      <c r="P877">
        <f>TRIM(CLEAN(PROPER(D877)))</f>
        <v/>
      </c>
      <c r="Q877">
        <f>PROPER(TRIM(SUBSTITUTE(SUBSTITUTE(SUBSTITUTE(SUBSTITUTE(E877,"TRESEMME","Tresemme"),"HEAD &amp; SHOULDERS","Head &amp; Shoulders"),"ELVIVE","Elvive"),"FRUCTIS","Fructis")))</f>
        <v/>
      </c>
      <c r="R877">
        <f>COUNTIF($D$2:$D$10000,D877)&gt;1</f>
        <v/>
      </c>
      <c r="S877">
        <f>IF(H877=TRUE,"Disponible","No disponible")</f>
        <v/>
      </c>
      <c r="T877">
        <f>IF(AND(ISNUMBER(I877),I877&gt;0),ROUND(F877/I877,2),"Sin volumen")</f>
        <v/>
      </c>
      <c r="U877">
        <f>IF(F877&lt;5000,"Bajo",IF(F877&lt;15000,"Medio","Alto"))</f>
        <v/>
      </c>
    </row>
    <row r="878">
      <c r="A878" s="6" t="inlineStr">
        <is>
          <t>Farmacity</t>
        </is>
      </c>
      <c r="B878" s="6" t="n">
        <v>234385</v>
      </c>
      <c r="C878" s="6" t="n">
        <v>234385</v>
      </c>
      <c r="D878" s="6" t="inlineStr">
        <is>
          <t>Shampoo Elvive Hialurónico Pure x 750 ml</t>
        </is>
      </c>
      <c r="E878" s="6" t="inlineStr">
        <is>
          <t>Elvive</t>
        </is>
      </c>
      <c r="F878" s="6" t="n">
        <v>17990</v>
      </c>
      <c r="G878" s="6" t="n">
        <v>17990</v>
      </c>
      <c r="H878" s="6" t="b">
        <v>1</v>
      </c>
      <c r="I878" s="6" t="n">
        <v>750</v>
      </c>
      <c r="J878" s="6" t="n">
        <v>23.9867</v>
      </c>
      <c r="K878" s="6" t="inlineStr">
        <is>
          <t>&gt; Cuidado Capilar &gt; Shampoo Y Acondicionador &gt;</t>
        </is>
      </c>
      <c r="L878" s="6" t="inlineStr">
        <is>
          <t>shampoo</t>
        </is>
      </c>
      <c r="M878" s="6" t="inlineStr">
        <is>
          <t>profesional</t>
        </is>
      </c>
      <c r="N878" s="6" t="inlineStr">
        <is>
          <t>general</t>
        </is>
      </c>
      <c r="O878" s="6" t="inlineStr">
        <is>
          <t>https://www.farmacity.com/shampoo-elvive-hialuronico-pure-x-750-ml/p</t>
        </is>
      </c>
      <c r="P878" s="8">
        <f>TRIM(CLEAN(PROPER(D878)))</f>
        <v/>
      </c>
      <c r="Q878" s="8">
        <f>PROPER(TRIM(SUBSTITUTE(SUBSTITUTE(SUBSTITUTE(SUBSTITUTE(E878,"TRESEMME","Tresemme"),"HEAD &amp; SHOULDERS","Head &amp; Shoulders"),"ELVIVE","Elvive"),"FRUCTIS","Fructis")))</f>
        <v/>
      </c>
      <c r="R878" s="8">
        <f>COUNTIF($D$2:$D$10000,D878)&gt;1</f>
        <v/>
      </c>
      <c r="S878" s="8">
        <f>IF(H878=TRUE,"Disponible","No disponible")</f>
        <v/>
      </c>
      <c r="T878" s="8">
        <f>IF(AND(ISNUMBER(I878),I878&gt;0),ROUND(F878/I878,2),"Sin volumen")</f>
        <v/>
      </c>
      <c r="U878" s="8">
        <f>IF(F878&lt;5000,"Bajo",IF(F878&lt;15000,"Medio","Alto"))</f>
        <v/>
      </c>
    </row>
    <row r="879">
      <c r="A879" t="inlineStr">
        <is>
          <t>Farmacity</t>
        </is>
      </c>
      <c r="B879" t="n">
        <v>234380</v>
      </c>
      <c r="C879" t="n">
        <v>234380</v>
      </c>
      <c r="D879" t="inlineStr">
        <is>
          <t>Acondicionador Elvive Hialurónico Pure x 200 ml</t>
        </is>
      </c>
      <c r="E879" t="inlineStr">
        <is>
          <t>Elvive</t>
        </is>
      </c>
      <c r="F879" t="n">
        <v>4194</v>
      </c>
      <c r="G879" t="n">
        <v>6990</v>
      </c>
      <c r="H879" t="b">
        <v>1</v>
      </c>
      <c r="I879" t="n">
        <v>200</v>
      </c>
      <c r="J879" t="n">
        <v>20.97</v>
      </c>
      <c r="K879" t="inlineStr">
        <is>
          <t>&gt; Cuidado Capilar &gt; Shampoo Y Acondicionador &gt;</t>
        </is>
      </c>
      <c r="L879" t="inlineStr">
        <is>
          <t>acondicionador</t>
        </is>
      </c>
      <c r="M879" t="inlineStr">
        <is>
          <t>profesional</t>
        </is>
      </c>
      <c r="N879" t="inlineStr">
        <is>
          <t>general</t>
        </is>
      </c>
      <c r="O879" t="inlineStr">
        <is>
          <t>https://www.farmacity.com/acondicionador-elvive-hialuronico-pure-x-200-ml/p</t>
        </is>
      </c>
      <c r="P879">
        <f>TRIM(CLEAN(PROPER(D879)))</f>
        <v/>
      </c>
      <c r="Q879">
        <f>PROPER(TRIM(SUBSTITUTE(SUBSTITUTE(SUBSTITUTE(SUBSTITUTE(E879,"TRESEMME","Tresemme"),"HEAD &amp; SHOULDERS","Head &amp; Shoulders"),"ELVIVE","Elvive"),"FRUCTIS","Fructis")))</f>
        <v/>
      </c>
      <c r="R879">
        <f>COUNTIF($D$2:$D$10000,D879)&gt;1</f>
        <v/>
      </c>
      <c r="S879">
        <f>IF(H879=TRUE,"Disponible","No disponible")</f>
        <v/>
      </c>
      <c r="T879">
        <f>IF(AND(ISNUMBER(I879),I879&gt;0),ROUND(F879/I879,2),"Sin volumen")</f>
        <v/>
      </c>
      <c r="U879">
        <f>IF(F879&lt;5000,"Bajo",IF(F879&lt;15000,"Medio","Alto"))</f>
        <v/>
      </c>
    </row>
    <row r="880">
      <c r="A880" s="6" t="inlineStr">
        <is>
          <t>Farmacity</t>
        </is>
      </c>
      <c r="B880" s="6" t="n">
        <v>249637</v>
      </c>
      <c r="C880" s="6" t="n">
        <v>249637</v>
      </c>
      <c r="D880" s="6" t="inlineStr">
        <is>
          <t>Combo Elvive Oleo Extraordinario + Sérum Glycolic Gloss</t>
        </is>
      </c>
      <c r="E880" s="6" t="inlineStr">
        <is>
          <t>Elvive</t>
        </is>
      </c>
      <c r="F880" s="6" t="n">
        <v>19990</v>
      </c>
      <c r="G880" s="6" t="n">
        <v>39980</v>
      </c>
      <c r="H880" s="6" t="b">
        <v>1</v>
      </c>
      <c r="I880" s="6" t="inlineStr"/>
      <c r="J880" s="6" t="inlineStr"/>
      <c r="K880" s="6" t="inlineStr">
        <is>
          <t>&gt; Cuidado Capilar &gt; Reparación Y Tratamiento &gt;</t>
        </is>
      </c>
      <c r="L880" s="6" t="inlineStr">
        <is>
          <t>shampoo</t>
        </is>
      </c>
      <c r="M880" s="6" t="inlineStr">
        <is>
          <t>profesional</t>
        </is>
      </c>
      <c r="N880" s="6" t="inlineStr">
        <is>
          <t>general</t>
        </is>
      </c>
      <c r="O880" s="6" t="inlineStr">
        <is>
          <t>https://www.farmacity.com/combo-elvive-oleo-extraordinario-serum-glycolic-gloss/p</t>
        </is>
      </c>
      <c r="P880" s="8">
        <f>TRIM(CLEAN(PROPER(D880)))</f>
        <v/>
      </c>
      <c r="Q880" s="8">
        <f>PROPER(TRIM(SUBSTITUTE(SUBSTITUTE(SUBSTITUTE(SUBSTITUTE(E880,"TRESEMME","Tresemme"),"HEAD &amp; SHOULDERS","Head &amp; Shoulders"),"ELVIVE","Elvive"),"FRUCTIS","Fructis")))</f>
        <v/>
      </c>
      <c r="R880" s="8">
        <f>COUNTIF($D$2:$D$10000,D880)&gt;1</f>
        <v/>
      </c>
      <c r="S880" s="8">
        <f>IF(H880=TRUE,"Disponible","No disponible")</f>
        <v/>
      </c>
      <c r="T880" s="8">
        <f>IF(AND(ISNUMBER(I880),I880&gt;0),ROUND(F880/I880,2),"Sin volumen")</f>
        <v/>
      </c>
      <c r="U880" s="8">
        <f>IF(F880&lt;5000,"Bajo",IF(F880&lt;15000,"Medio","Alto"))</f>
        <v/>
      </c>
    </row>
    <row r="881">
      <c r="A881" t="inlineStr">
        <is>
          <t>Farmacity</t>
        </is>
      </c>
      <c r="B881" t="n">
        <v>249636</v>
      </c>
      <c r="C881" t="n">
        <v>249636</v>
      </c>
      <c r="D881" t="inlineStr">
        <is>
          <t>Combo Elvive Oleo Extraordinario + Sérum Dream Liso</t>
        </is>
      </c>
      <c r="E881" t="inlineStr">
        <is>
          <t>Elvive</t>
        </is>
      </c>
      <c r="F881" t="n">
        <v>23988</v>
      </c>
      <c r="G881" t="n">
        <v>39980</v>
      </c>
      <c r="H881" t="b">
        <v>1</v>
      </c>
      <c r="I881" t="inlineStr"/>
      <c r="J881" t="inlineStr"/>
      <c r="K881" t="inlineStr">
        <is>
          <t>&gt; Cuidado Capilar &gt; Reparación Y Tratamiento &gt;</t>
        </is>
      </c>
      <c r="L881" t="inlineStr">
        <is>
          <t>shampoo</t>
        </is>
      </c>
      <c r="M881" t="inlineStr">
        <is>
          <t>profesional</t>
        </is>
      </c>
      <c r="N881" t="inlineStr">
        <is>
          <t>general</t>
        </is>
      </c>
      <c r="O881" t="inlineStr">
        <is>
          <t>https://www.farmacity.com/combo-elvive-oleo-extraordinario-serum-dream-liso/p</t>
        </is>
      </c>
      <c r="P881">
        <f>TRIM(CLEAN(PROPER(D881)))</f>
        <v/>
      </c>
      <c r="Q881">
        <f>PROPER(TRIM(SUBSTITUTE(SUBSTITUTE(SUBSTITUTE(SUBSTITUTE(E881,"TRESEMME","Tresemme"),"HEAD &amp; SHOULDERS","Head &amp; Shoulders"),"ELVIVE","Elvive"),"FRUCTIS","Fructis")))</f>
        <v/>
      </c>
      <c r="R881">
        <f>COUNTIF($D$2:$D$10000,D881)&gt;1</f>
        <v/>
      </c>
      <c r="S881">
        <f>IF(H881=TRUE,"Disponible","No disponible")</f>
        <v/>
      </c>
      <c r="T881">
        <f>IF(AND(ISNUMBER(I881),I881&gt;0),ROUND(F881/I881,2),"Sin volumen")</f>
        <v/>
      </c>
      <c r="U881">
        <f>IF(F881&lt;5000,"Bajo",IF(F881&lt;15000,"Medio","Alto"))</f>
        <v/>
      </c>
    </row>
    <row r="882">
      <c r="A882" s="6" t="inlineStr">
        <is>
          <t>Farmacity</t>
        </is>
      </c>
      <c r="B882" s="6" t="n">
        <v>221684</v>
      </c>
      <c r="C882" s="6" t="n">
        <v>221684</v>
      </c>
      <c r="D882" s="6" t="inlineStr">
        <is>
          <t>Crema para Peinar Elvive Hidra Hialuronico x 250 ml</t>
        </is>
      </c>
      <c r="E882" s="6" t="inlineStr">
        <is>
          <t>Elvive</t>
        </is>
      </c>
      <c r="F882" s="6" t="n">
        <v>8990</v>
      </c>
      <c r="G882" s="6" t="n">
        <v>8990</v>
      </c>
      <c r="H882" s="6" t="b">
        <v>1</v>
      </c>
      <c r="I882" s="6" t="n">
        <v>250</v>
      </c>
      <c r="J882" s="6" t="n">
        <v>35.96</v>
      </c>
      <c r="K882" s="6" t="inlineStr">
        <is>
          <t>&gt; Cuidado Capilar &gt; Modelado Y Peinado &gt;</t>
        </is>
      </c>
      <c r="L882" s="6" t="inlineStr">
        <is>
          <t>shampoo</t>
        </is>
      </c>
      <c r="M882" s="6" t="inlineStr">
        <is>
          <t>profesional</t>
        </is>
      </c>
      <c r="N882" s="6" t="inlineStr">
        <is>
          <t>general</t>
        </is>
      </c>
      <c r="O882" s="6" t="inlineStr">
        <is>
          <t>https://www.farmacity.com/crema-para-peinar-elvive-hidra-hialuronico-x-250-ml/p</t>
        </is>
      </c>
      <c r="P882" s="8">
        <f>TRIM(CLEAN(PROPER(D882)))</f>
        <v/>
      </c>
      <c r="Q882" s="8">
        <f>PROPER(TRIM(SUBSTITUTE(SUBSTITUTE(SUBSTITUTE(SUBSTITUTE(E882,"TRESEMME","Tresemme"),"HEAD &amp; SHOULDERS","Head &amp; Shoulders"),"ELVIVE","Elvive"),"FRUCTIS","Fructis")))</f>
        <v/>
      </c>
      <c r="R882" s="8">
        <f>COUNTIF($D$2:$D$10000,D882)&gt;1</f>
        <v/>
      </c>
      <c r="S882" s="8">
        <f>IF(H882=TRUE,"Disponible","No disponible")</f>
        <v/>
      </c>
      <c r="T882" s="8">
        <f>IF(AND(ISNUMBER(I882),I882&gt;0),ROUND(F882/I882,2),"Sin volumen")</f>
        <v/>
      </c>
      <c r="U882" s="8">
        <f>IF(F882&lt;5000,"Bajo",IF(F882&lt;15000,"Medio","Alto"))</f>
        <v/>
      </c>
    </row>
    <row r="883">
      <c r="A883" t="inlineStr">
        <is>
          <t>Farmacity</t>
        </is>
      </c>
      <c r="B883" t="n">
        <v>6098</v>
      </c>
      <c r="C883" t="n">
        <v>147254</v>
      </c>
      <c r="D883" t="inlineStr">
        <is>
          <t>Shampoo Oleo Extraordinario Elvive Nutrición Universal x 750 ml</t>
        </is>
      </c>
      <c r="E883" t="inlineStr">
        <is>
          <t>Elvive</t>
        </is>
      </c>
      <c r="F883" t="n">
        <v>17990</v>
      </c>
      <c r="G883" t="n">
        <v>17990</v>
      </c>
      <c r="H883" t="b">
        <v>1</v>
      </c>
      <c r="I883" t="n">
        <v>750</v>
      </c>
      <c r="J883" t="n">
        <v>23.9867</v>
      </c>
      <c r="K883" t="inlineStr">
        <is>
          <t>&gt; Cuidado Capilar &gt; Shampoo Y Acondicionador &gt;</t>
        </is>
      </c>
      <c r="L883" t="inlineStr">
        <is>
          <t>shampoo</t>
        </is>
      </c>
      <c r="M883" t="inlineStr">
        <is>
          <t>profesional</t>
        </is>
      </c>
      <c r="N883" t="inlineStr">
        <is>
          <t>general</t>
        </is>
      </c>
      <c r="O883" t="inlineStr">
        <is>
          <t>https://www.farmacity.com/shampoo-oleo-extraordinario-nutricion-universal-x-750-ml/p</t>
        </is>
      </c>
      <c r="P883">
        <f>TRIM(CLEAN(PROPER(D883)))</f>
        <v/>
      </c>
      <c r="Q883">
        <f>PROPER(TRIM(SUBSTITUTE(SUBSTITUTE(SUBSTITUTE(SUBSTITUTE(E883,"TRESEMME","Tresemme"),"HEAD &amp; SHOULDERS","Head &amp; Shoulders"),"ELVIVE","Elvive"),"FRUCTIS","Fructis")))</f>
        <v/>
      </c>
      <c r="R883">
        <f>COUNTIF($D$2:$D$10000,D883)&gt;1</f>
        <v/>
      </c>
      <c r="S883">
        <f>IF(H883=TRUE,"Disponible","No disponible")</f>
        <v/>
      </c>
      <c r="T883">
        <f>IF(AND(ISNUMBER(I883),I883&gt;0),ROUND(F883/I883,2),"Sin volumen")</f>
        <v/>
      </c>
      <c r="U883">
        <f>IF(F883&lt;5000,"Bajo",IF(F883&lt;15000,"Medio","Alto"))</f>
        <v/>
      </c>
    </row>
    <row r="884">
      <c r="A884" s="6" t="inlineStr">
        <is>
          <t>Farmacity</t>
        </is>
      </c>
      <c r="B884" s="6" t="n">
        <v>6070</v>
      </c>
      <c r="C884" s="6" t="n">
        <v>147257</v>
      </c>
      <c r="D884" s="6" t="inlineStr">
        <is>
          <t>Acondicionador Elvive Oleo Extraordinario x 750 ml</t>
        </is>
      </c>
      <c r="E884" s="6" t="inlineStr">
        <is>
          <t>Elvive</t>
        </is>
      </c>
      <c r="F884" s="6" t="n">
        <v>17990</v>
      </c>
      <c r="G884" s="6" t="n">
        <v>17990</v>
      </c>
      <c r="H884" s="6" t="b">
        <v>1</v>
      </c>
      <c r="I884" s="6" t="n">
        <v>750</v>
      </c>
      <c r="J884" s="6" t="n">
        <v>23.9867</v>
      </c>
      <c r="K884" s="6" t="inlineStr">
        <is>
          <t>&gt; Cuidado Capilar &gt; Shampoo Y Acondicionador &gt;</t>
        </is>
      </c>
      <c r="L884" s="6" t="inlineStr">
        <is>
          <t>acondicionador</t>
        </is>
      </c>
      <c r="M884" s="6" t="inlineStr">
        <is>
          <t>profesional</t>
        </is>
      </c>
      <c r="N884" s="6" t="inlineStr">
        <is>
          <t>general</t>
        </is>
      </c>
      <c r="O884" s="6" t="inlineStr">
        <is>
          <t>https://www.farmacity.com/acondicionador-oleo-extraordinario-nutricion-universal-x-750-ml/p</t>
        </is>
      </c>
      <c r="P884" s="8">
        <f>TRIM(CLEAN(PROPER(D884)))</f>
        <v/>
      </c>
      <c r="Q884" s="8">
        <f>PROPER(TRIM(SUBSTITUTE(SUBSTITUTE(SUBSTITUTE(SUBSTITUTE(E884,"TRESEMME","Tresemme"),"HEAD &amp; SHOULDERS","Head &amp; Shoulders"),"ELVIVE","Elvive"),"FRUCTIS","Fructis")))</f>
        <v/>
      </c>
      <c r="R884" s="8">
        <f>COUNTIF($D$2:$D$10000,D884)&gt;1</f>
        <v/>
      </c>
      <c r="S884" s="8">
        <f>IF(H884=TRUE,"Disponible","No disponible")</f>
        <v/>
      </c>
      <c r="T884" s="8">
        <f>IF(AND(ISNUMBER(I884),I884&gt;0),ROUND(F884/I884,2),"Sin volumen")</f>
        <v/>
      </c>
      <c r="U884" s="8">
        <f>IF(F884&lt;5000,"Bajo",IF(F884&lt;15000,"Medio","Alto"))</f>
        <v/>
      </c>
    </row>
    <row r="885">
      <c r="A885" t="inlineStr">
        <is>
          <t>Farmacity</t>
        </is>
      </c>
      <c r="B885" t="n">
        <v>4112</v>
      </c>
      <c r="C885" t="n">
        <v>139248</v>
      </c>
      <c r="D885" t="inlineStr">
        <is>
          <t>Shampoo Elvive Colorvive x 200 ml</t>
        </is>
      </c>
      <c r="E885" t="inlineStr">
        <is>
          <t>Elvive</t>
        </is>
      </c>
      <c r="F885" t="n">
        <v>6990</v>
      </c>
      <c r="G885" t="n">
        <v>6990</v>
      </c>
      <c r="H885" t="b">
        <v>1</v>
      </c>
      <c r="I885" t="n">
        <v>200</v>
      </c>
      <c r="J885" t="n">
        <v>34.95</v>
      </c>
      <c r="K885" t="inlineStr">
        <is>
          <t>&gt; Cuidado Capilar &gt; Shampoo Y Acondicionador &gt;</t>
        </is>
      </c>
      <c r="L885" t="inlineStr">
        <is>
          <t>shampoo</t>
        </is>
      </c>
      <c r="M885" t="inlineStr">
        <is>
          <t>profesional</t>
        </is>
      </c>
      <c r="N885" t="inlineStr">
        <is>
          <t>tratado</t>
        </is>
      </c>
      <c r="O885" t="inlineStr">
        <is>
          <t>https://www.farmacity.com/shampoo-colorvive-x-200-ml/p</t>
        </is>
      </c>
      <c r="P885">
        <f>TRIM(CLEAN(PROPER(D885)))</f>
        <v/>
      </c>
      <c r="Q885">
        <f>PROPER(TRIM(SUBSTITUTE(SUBSTITUTE(SUBSTITUTE(SUBSTITUTE(E885,"TRESEMME","Tresemme"),"HEAD &amp; SHOULDERS","Head &amp; Shoulders"),"ELVIVE","Elvive"),"FRUCTIS","Fructis")))</f>
        <v/>
      </c>
      <c r="R885">
        <f>COUNTIF($D$2:$D$10000,D885)&gt;1</f>
        <v/>
      </c>
      <c r="S885">
        <f>IF(H885=TRUE,"Disponible","No disponible")</f>
        <v/>
      </c>
      <c r="T885">
        <f>IF(AND(ISNUMBER(I885),I885&gt;0),ROUND(F885/I885,2),"Sin volumen")</f>
        <v/>
      </c>
      <c r="U885">
        <f>IF(F885&lt;5000,"Bajo",IF(F885&lt;15000,"Medio","Alto"))</f>
        <v/>
      </c>
    </row>
    <row r="886">
      <c r="A886" s="6" t="inlineStr">
        <is>
          <t>Farmacity</t>
        </is>
      </c>
      <c r="B886" s="6" t="n">
        <v>240018</v>
      </c>
      <c r="C886" s="6" t="n">
        <v>240018</v>
      </c>
      <c r="D886" s="6" t="inlineStr">
        <is>
          <t>Crema para Peinar Elvive Glycolic Gloss x 250 ml</t>
        </is>
      </c>
      <c r="E886" s="6" t="inlineStr">
        <is>
          <t>Elvive</t>
        </is>
      </c>
      <c r="F886" s="6" t="n">
        <v>9990</v>
      </c>
      <c r="G886" s="6" t="n">
        <v>9990</v>
      </c>
      <c r="H886" s="6" t="b">
        <v>1</v>
      </c>
      <c r="I886" s="6" t="n">
        <v>250</v>
      </c>
      <c r="J886" s="6" t="n">
        <v>39.96</v>
      </c>
      <c r="K886" s="6" t="inlineStr">
        <is>
          <t>&gt; Cuidado Capilar &gt; Modelado Y Peinado &gt;</t>
        </is>
      </c>
      <c r="L886" s="6" t="inlineStr">
        <is>
          <t>shampoo</t>
        </is>
      </c>
      <c r="M886" s="6" t="inlineStr">
        <is>
          <t>profesional</t>
        </is>
      </c>
      <c r="N886" s="6" t="inlineStr">
        <is>
          <t>general</t>
        </is>
      </c>
      <c r="O886" s="6" t="inlineStr">
        <is>
          <t>https://www.farmacity.com/crema-para-peinar-elvive-glyco-gloss-x-250-ml/p</t>
        </is>
      </c>
      <c r="P886" s="8">
        <f>TRIM(CLEAN(PROPER(D886)))</f>
        <v/>
      </c>
      <c r="Q886" s="8">
        <f>PROPER(TRIM(SUBSTITUTE(SUBSTITUTE(SUBSTITUTE(SUBSTITUTE(E886,"TRESEMME","Tresemme"),"HEAD &amp; SHOULDERS","Head &amp; Shoulders"),"ELVIVE","Elvive"),"FRUCTIS","Fructis")))</f>
        <v/>
      </c>
      <c r="R886" s="8">
        <f>COUNTIF($D$2:$D$10000,D886)&gt;1</f>
        <v/>
      </c>
      <c r="S886" s="8">
        <f>IF(H886=TRUE,"Disponible","No disponible")</f>
        <v/>
      </c>
      <c r="T886" s="8">
        <f>IF(AND(ISNUMBER(I886),I886&gt;0),ROUND(F886/I886,2),"Sin volumen")</f>
        <v/>
      </c>
      <c r="U886" s="8">
        <f>IF(F886&lt;5000,"Bajo",IF(F886&lt;15000,"Medio","Alto"))</f>
        <v/>
      </c>
    </row>
    <row r="887">
      <c r="A887" t="inlineStr">
        <is>
          <t>Farmacity</t>
        </is>
      </c>
      <c r="B887" t="n">
        <v>5342</v>
      </c>
      <c r="C887" t="n">
        <v>143508</v>
      </c>
      <c r="D887" t="inlineStr">
        <is>
          <t>Acondicionador Elvive Reparación Total Extreme x 200 ml</t>
        </is>
      </c>
      <c r="E887" t="inlineStr">
        <is>
          <t>Elvive</t>
        </is>
      </c>
      <c r="F887" t="n">
        <v>6990</v>
      </c>
      <c r="G887" t="n">
        <v>6990</v>
      </c>
      <c r="H887" t="b">
        <v>1</v>
      </c>
      <c r="I887" t="n">
        <v>200</v>
      </c>
      <c r="J887" t="n">
        <v>34.95</v>
      </c>
      <c r="K887" t="inlineStr">
        <is>
          <t>&gt; Cuidado Capilar &gt; Shampoo Y Acondicionador &gt;</t>
        </is>
      </c>
      <c r="L887" t="inlineStr">
        <is>
          <t>acondicionador</t>
        </is>
      </c>
      <c r="M887" t="inlineStr">
        <is>
          <t>profesional</t>
        </is>
      </c>
      <c r="N887" t="inlineStr">
        <is>
          <t>general</t>
        </is>
      </c>
      <c r="O887" t="inlineStr">
        <is>
          <t>https://www.farmacity.com/acondicionador-reparacion-total-extreme-x-200-ml/p</t>
        </is>
      </c>
      <c r="P887">
        <f>TRIM(CLEAN(PROPER(D887)))</f>
        <v/>
      </c>
      <c r="Q887">
        <f>PROPER(TRIM(SUBSTITUTE(SUBSTITUTE(SUBSTITUTE(SUBSTITUTE(E887,"TRESEMME","Tresemme"),"HEAD &amp; SHOULDERS","Head &amp; Shoulders"),"ELVIVE","Elvive"),"FRUCTIS","Fructis")))</f>
        <v/>
      </c>
      <c r="R887">
        <f>COUNTIF($D$2:$D$10000,D887)&gt;1</f>
        <v/>
      </c>
      <c r="S887">
        <f>IF(H887=TRUE,"Disponible","No disponible")</f>
        <v/>
      </c>
      <c r="T887">
        <f>IF(AND(ISNUMBER(I887),I887&gt;0),ROUND(F887/I887,2),"Sin volumen")</f>
        <v/>
      </c>
      <c r="U887">
        <f>IF(F887&lt;5000,"Bajo",IF(F887&lt;15000,"Medio","Alto"))</f>
        <v/>
      </c>
    </row>
    <row r="888">
      <c r="A888" s="6" t="inlineStr">
        <is>
          <t>Farmacity</t>
        </is>
      </c>
      <c r="B888" s="6" t="n">
        <v>4387</v>
      </c>
      <c r="C888" s="6" t="n">
        <v>140572</v>
      </c>
      <c r="D888" s="6" t="inlineStr">
        <is>
          <t>Acondicionador Elvive Reparación Total 5 x 750 ml</t>
        </is>
      </c>
      <c r="E888" s="6" t="inlineStr">
        <is>
          <t>Elvive</t>
        </is>
      </c>
      <c r="F888" s="6" t="n">
        <v>17990</v>
      </c>
      <c r="G888" s="6" t="n">
        <v>17990</v>
      </c>
      <c r="H888" s="6" t="b">
        <v>1</v>
      </c>
      <c r="I888" s="6" t="n">
        <v>750</v>
      </c>
      <c r="J888" s="6" t="n">
        <v>23.9867</v>
      </c>
      <c r="K888" s="6" t="inlineStr">
        <is>
          <t>&gt; Cuidado Capilar &gt; Shampoo Y Acondicionador &gt;</t>
        </is>
      </c>
      <c r="L888" s="6" t="inlineStr">
        <is>
          <t>acondicionador</t>
        </is>
      </c>
      <c r="M888" s="6" t="inlineStr">
        <is>
          <t>profesional</t>
        </is>
      </c>
      <c r="N888" s="6" t="inlineStr">
        <is>
          <t>general</t>
        </is>
      </c>
      <c r="O888" s="6" t="inlineStr">
        <is>
          <t>https://www.farmacity.com/acondicionador-reparacion-total-5-x-750-ml-140572/p</t>
        </is>
      </c>
      <c r="P888" s="8">
        <f>TRIM(CLEAN(PROPER(D888)))</f>
        <v/>
      </c>
      <c r="Q888" s="8">
        <f>PROPER(TRIM(SUBSTITUTE(SUBSTITUTE(SUBSTITUTE(SUBSTITUTE(E888,"TRESEMME","Tresemme"),"HEAD &amp; SHOULDERS","Head &amp; Shoulders"),"ELVIVE","Elvive"),"FRUCTIS","Fructis")))</f>
        <v/>
      </c>
      <c r="R888" s="8">
        <f>COUNTIF($D$2:$D$10000,D888)&gt;1</f>
        <v/>
      </c>
      <c r="S888" s="8">
        <f>IF(H888=TRUE,"Disponible","No disponible")</f>
        <v/>
      </c>
      <c r="T888" s="8">
        <f>IF(AND(ISNUMBER(I888),I888&gt;0),ROUND(F888/I888,2),"Sin volumen")</f>
        <v/>
      </c>
      <c r="U888" s="8">
        <f>IF(F888&lt;5000,"Bajo",IF(F888&lt;15000,"Medio","Alto"))</f>
        <v/>
      </c>
    </row>
    <row r="889">
      <c r="A889" t="inlineStr">
        <is>
          <t>Farmacity</t>
        </is>
      </c>
      <c r="B889" t="n">
        <v>4293</v>
      </c>
      <c r="C889" t="n">
        <v>140574</v>
      </c>
      <c r="D889" t="inlineStr">
        <is>
          <t>Shampoo Elvive Reparación Total 5 Keratin x 750 ml</t>
        </is>
      </c>
      <c r="E889" t="inlineStr">
        <is>
          <t>Elvive</t>
        </is>
      </c>
      <c r="F889" t="n">
        <v>17990</v>
      </c>
      <c r="G889" t="n">
        <v>17990</v>
      </c>
      <c r="H889" t="b">
        <v>1</v>
      </c>
      <c r="I889" t="n">
        <v>750</v>
      </c>
      <c r="J889" t="n">
        <v>23.9867</v>
      </c>
      <c r="K889" t="inlineStr">
        <is>
          <t>&gt; Cuidado Capilar &gt; Shampoo Y Acondicionador &gt;</t>
        </is>
      </c>
      <c r="L889" t="inlineStr">
        <is>
          <t>shampoo</t>
        </is>
      </c>
      <c r="M889" t="inlineStr">
        <is>
          <t>profesional</t>
        </is>
      </c>
      <c r="N889" t="inlineStr">
        <is>
          <t>general</t>
        </is>
      </c>
      <c r="O889" t="inlineStr">
        <is>
          <t>https://www.farmacity.com/shampoo-reparacion-total-5-x-750-ml-140574/p</t>
        </is>
      </c>
      <c r="P889">
        <f>TRIM(CLEAN(PROPER(D889)))</f>
        <v/>
      </c>
      <c r="Q889">
        <f>PROPER(TRIM(SUBSTITUTE(SUBSTITUTE(SUBSTITUTE(SUBSTITUTE(E889,"TRESEMME","Tresemme"),"HEAD &amp; SHOULDERS","Head &amp; Shoulders"),"ELVIVE","Elvive"),"FRUCTIS","Fructis")))</f>
        <v/>
      </c>
      <c r="R889">
        <f>COUNTIF($D$2:$D$10000,D889)&gt;1</f>
        <v/>
      </c>
      <c r="S889">
        <f>IF(H889=TRUE,"Disponible","No disponible")</f>
        <v/>
      </c>
      <c r="T889">
        <f>IF(AND(ISNUMBER(I889),I889&gt;0),ROUND(F889/I889,2),"Sin volumen")</f>
        <v/>
      </c>
      <c r="U889">
        <f>IF(F889&lt;5000,"Bajo",IF(F889&lt;15000,"Medio","Alto"))</f>
        <v/>
      </c>
    </row>
    <row r="890">
      <c r="A890" s="6" t="inlineStr">
        <is>
          <t>Farmacity</t>
        </is>
      </c>
      <c r="B890" s="6" t="n">
        <v>4163</v>
      </c>
      <c r="C890" s="6" t="n">
        <v>139479</v>
      </c>
      <c r="D890" s="6" t="inlineStr">
        <is>
          <t>Acondicionador Elvive Colorvive x 200 ml</t>
        </is>
      </c>
      <c r="E890" s="6" t="inlineStr">
        <is>
          <t>Elvive</t>
        </is>
      </c>
      <c r="F890" s="6" t="n">
        <v>6990</v>
      </c>
      <c r="G890" s="6" t="n">
        <v>6990</v>
      </c>
      <c r="H890" s="6" t="b">
        <v>1</v>
      </c>
      <c r="I890" s="6" t="n">
        <v>200</v>
      </c>
      <c r="J890" s="6" t="n">
        <v>34.95</v>
      </c>
      <c r="K890" s="6" t="inlineStr">
        <is>
          <t>&gt; Cuidado Capilar &gt; Shampoo Y Acondicionador &gt;</t>
        </is>
      </c>
      <c r="L890" s="6" t="inlineStr">
        <is>
          <t>acondicionador</t>
        </is>
      </c>
      <c r="M890" s="6" t="inlineStr">
        <is>
          <t>profesional</t>
        </is>
      </c>
      <c r="N890" s="6" t="inlineStr">
        <is>
          <t>tratado</t>
        </is>
      </c>
      <c r="O890" s="6" t="inlineStr">
        <is>
          <t>https://www.farmacity.com/acondicionador-colorvive-x-200-ml/p</t>
        </is>
      </c>
      <c r="P890" s="8">
        <f>TRIM(CLEAN(PROPER(D890)))</f>
        <v/>
      </c>
      <c r="Q890" s="8">
        <f>PROPER(TRIM(SUBSTITUTE(SUBSTITUTE(SUBSTITUTE(SUBSTITUTE(E890,"TRESEMME","Tresemme"),"HEAD &amp; SHOULDERS","Head &amp; Shoulders"),"ELVIVE","Elvive"),"FRUCTIS","Fructis")))</f>
        <v/>
      </c>
      <c r="R890" s="8">
        <f>COUNTIF($D$2:$D$10000,D890)&gt;1</f>
        <v/>
      </c>
      <c r="S890" s="8">
        <f>IF(H890=TRUE,"Disponible","No disponible")</f>
        <v/>
      </c>
      <c r="T890" s="8">
        <f>IF(AND(ISNUMBER(I890),I890&gt;0),ROUND(F890/I890,2),"Sin volumen")</f>
        <v/>
      </c>
      <c r="U890" s="8">
        <f>IF(F890&lt;5000,"Bajo",IF(F890&lt;15000,"Medio","Alto"))</f>
        <v/>
      </c>
    </row>
    <row r="891">
      <c r="A891" t="inlineStr">
        <is>
          <t>Farmacity</t>
        </is>
      </c>
      <c r="B891" t="n">
        <v>970</v>
      </c>
      <c r="C891" t="n">
        <v>122408</v>
      </c>
      <c r="D891" t="inlineStr">
        <is>
          <t>Crema para Peinar Elvive Reparación Total 5 Keratin x 250 ml</t>
        </is>
      </c>
      <c r="E891" t="inlineStr">
        <is>
          <t>Elvive</t>
        </is>
      </c>
      <c r="F891" t="n">
        <v>8990</v>
      </c>
      <c r="G891" t="n">
        <v>8990</v>
      </c>
      <c r="H891" t="b">
        <v>1</v>
      </c>
      <c r="I891" t="n">
        <v>250</v>
      </c>
      <c r="J891" t="n">
        <v>35.96</v>
      </c>
      <c r="K891" t="inlineStr">
        <is>
          <t>&gt; Cuidado Capilar &gt; Modelado Y Peinado &gt;</t>
        </is>
      </c>
      <c r="L891" t="inlineStr">
        <is>
          <t>shampoo</t>
        </is>
      </c>
      <c r="M891" t="inlineStr">
        <is>
          <t>profesional</t>
        </is>
      </c>
      <c r="N891" t="inlineStr">
        <is>
          <t>general</t>
        </is>
      </c>
      <c r="O891" t="inlineStr">
        <is>
          <t>https://www.farmacity.com/crema-de-tratamiento-reparacion-total-5-x-300-ml/p</t>
        </is>
      </c>
      <c r="P891">
        <f>TRIM(CLEAN(PROPER(D891)))</f>
        <v/>
      </c>
      <c r="Q891">
        <f>PROPER(TRIM(SUBSTITUTE(SUBSTITUTE(SUBSTITUTE(SUBSTITUTE(E891,"TRESEMME","Tresemme"),"HEAD &amp; SHOULDERS","Head &amp; Shoulders"),"ELVIVE","Elvive"),"FRUCTIS","Fructis")))</f>
        <v/>
      </c>
      <c r="R891">
        <f>COUNTIF($D$2:$D$10000,D891)&gt;1</f>
        <v/>
      </c>
      <c r="S891">
        <f>IF(H891=TRUE,"Disponible","No disponible")</f>
        <v/>
      </c>
      <c r="T891">
        <f>IF(AND(ISNUMBER(I891),I891&gt;0),ROUND(F891/I891,2),"Sin volumen")</f>
        <v/>
      </c>
      <c r="U891">
        <f>IF(F891&lt;5000,"Bajo",IF(F891&lt;15000,"Medio","Alto"))</f>
        <v/>
      </c>
    </row>
    <row r="892">
      <c r="A892" s="6" t="inlineStr">
        <is>
          <t>Farmacity</t>
        </is>
      </c>
      <c r="B892" s="6" t="n">
        <v>147259</v>
      </c>
      <c r="C892" s="6" t="n">
        <v>147259</v>
      </c>
      <c r="D892" s="6" t="inlineStr">
        <is>
          <t>Shampoo Elvive Oleo Extraordinario Coco x 400 ml</t>
        </is>
      </c>
      <c r="E892" s="6" t="inlineStr">
        <is>
          <t>Elvive</t>
        </is>
      </c>
      <c r="F892" s="6" t="n">
        <v>5595</v>
      </c>
      <c r="G892" s="6" t="n">
        <v>11190</v>
      </c>
      <c r="H892" s="6" t="b">
        <v>1</v>
      </c>
      <c r="I892" s="6" t="n">
        <v>400</v>
      </c>
      <c r="J892" s="6" t="n">
        <v>13.9875</v>
      </c>
      <c r="K892" s="6" t="inlineStr">
        <is>
          <t>&gt; Cuidado Capilar &gt; Shampoo Y Acondicionador &gt;</t>
        </is>
      </c>
      <c r="L892" s="6" t="inlineStr">
        <is>
          <t>shampoo</t>
        </is>
      </c>
      <c r="M892" s="6" t="inlineStr">
        <is>
          <t>profesional</t>
        </is>
      </c>
      <c r="N892" s="6" t="inlineStr">
        <is>
          <t>general</t>
        </is>
      </c>
      <c r="O892" s="6" t="inlineStr">
        <is>
          <t>https://www.farmacity.com/shampoo-elvive-oleo-coco-x-400-ml/p</t>
        </is>
      </c>
      <c r="P892" s="8">
        <f>TRIM(CLEAN(PROPER(D892)))</f>
        <v/>
      </c>
      <c r="Q892" s="8">
        <f>PROPER(TRIM(SUBSTITUTE(SUBSTITUTE(SUBSTITUTE(SUBSTITUTE(E892,"TRESEMME","Tresemme"),"HEAD &amp; SHOULDERS","Head &amp; Shoulders"),"ELVIVE","Elvive"),"FRUCTIS","Fructis")))</f>
        <v/>
      </c>
      <c r="R892" s="8">
        <f>COUNTIF($D$2:$D$10000,D892)&gt;1</f>
        <v/>
      </c>
      <c r="S892" s="8">
        <f>IF(H892=TRUE,"Disponible","No disponible")</f>
        <v/>
      </c>
      <c r="T892" s="8">
        <f>IF(AND(ISNUMBER(I892),I892&gt;0),ROUND(F892/I892,2),"Sin volumen")</f>
        <v/>
      </c>
      <c r="U892" s="8">
        <f>IF(F892&lt;5000,"Bajo",IF(F892&lt;15000,"Medio","Alto"))</f>
        <v/>
      </c>
    </row>
    <row r="893">
      <c r="A893" t="inlineStr">
        <is>
          <t>Farmacity</t>
        </is>
      </c>
      <c r="B893" t="n">
        <v>250355</v>
      </c>
      <c r="C893" t="n">
        <v>250355</v>
      </c>
      <c r="D893" t="inlineStr">
        <is>
          <t>Crema para Peinar Elvive Collagen Lifter x 250 ml</t>
        </is>
      </c>
      <c r="E893" t="inlineStr">
        <is>
          <t>Elvive</t>
        </is>
      </c>
      <c r="F893" t="n">
        <v>9990</v>
      </c>
      <c r="G893" t="n">
        <v>9990</v>
      </c>
      <c r="H893" t="b">
        <v>1</v>
      </c>
      <c r="I893" t="n">
        <v>250</v>
      </c>
      <c r="J893" t="n">
        <v>39.96</v>
      </c>
      <c r="K893" t="inlineStr">
        <is>
          <t>&gt; Cuidado Capilar &gt; Modelado Y Peinado &gt;</t>
        </is>
      </c>
      <c r="L893" t="inlineStr">
        <is>
          <t>shampoo</t>
        </is>
      </c>
      <c r="M893" t="inlineStr">
        <is>
          <t>profesional</t>
        </is>
      </c>
      <c r="N893" t="inlineStr">
        <is>
          <t>general</t>
        </is>
      </c>
      <c r="O893" t="inlineStr">
        <is>
          <t>https://www.farmacity.com/crema-para-peinar-elvive-colageno-lifter-x-250-ml/p</t>
        </is>
      </c>
      <c r="P893">
        <f>TRIM(CLEAN(PROPER(D893)))</f>
        <v/>
      </c>
      <c r="Q893">
        <f>PROPER(TRIM(SUBSTITUTE(SUBSTITUTE(SUBSTITUTE(SUBSTITUTE(E893,"TRESEMME","Tresemme"),"HEAD &amp; SHOULDERS","Head &amp; Shoulders"),"ELVIVE","Elvive"),"FRUCTIS","Fructis")))</f>
        <v/>
      </c>
      <c r="R893">
        <f>COUNTIF($D$2:$D$10000,D893)&gt;1</f>
        <v/>
      </c>
      <c r="S893">
        <f>IF(H893=TRUE,"Disponible","No disponible")</f>
        <v/>
      </c>
      <c r="T893">
        <f>IF(AND(ISNUMBER(I893),I893&gt;0),ROUND(F893/I893,2),"Sin volumen")</f>
        <v/>
      </c>
      <c r="U893">
        <f>IF(F893&lt;5000,"Bajo",IF(F893&lt;15000,"Medio","Alto"))</f>
        <v/>
      </c>
    </row>
    <row r="894">
      <c r="A894" s="6" t="inlineStr">
        <is>
          <t>Farmacity</t>
        </is>
      </c>
      <c r="B894" s="6" t="n">
        <v>239625</v>
      </c>
      <c r="C894" s="6" t="n">
        <v>239625</v>
      </c>
      <c r="D894" s="6" t="inlineStr">
        <is>
          <t>Kit Excellence Color Creme Tono 6 Rubio Oscuro + Elvive Oleo Extraordinario x 100 ml</t>
        </is>
      </c>
      <c r="E894" s="6" t="inlineStr">
        <is>
          <t>Elvive</t>
        </is>
      </c>
      <c r="F894" s="6" t="n">
        <v>42980</v>
      </c>
      <c r="G894" s="6" t="n">
        <v>42980</v>
      </c>
      <c r="H894" s="6" t="b">
        <v>1</v>
      </c>
      <c r="I894" s="6" t="n">
        <v>100</v>
      </c>
      <c r="J894" s="6" t="n">
        <v>429.8</v>
      </c>
      <c r="K894" s="6" t="inlineStr">
        <is>
          <t>&gt; Cuidado Capilar &gt; Coloración Y Oxidantes &gt;</t>
        </is>
      </c>
      <c r="L894" s="6" t="inlineStr">
        <is>
          <t>tratamiento</t>
        </is>
      </c>
      <c r="M894" s="6" t="inlineStr">
        <is>
          <t>profesional</t>
        </is>
      </c>
      <c r="N894" s="6" t="inlineStr">
        <is>
          <t>tratado</t>
        </is>
      </c>
      <c r="O894" s="6" t="inlineStr">
        <is>
          <t>https://www.farmacity.com/kit-excellence-color-creme-tono-6-rubio-oscuro-elvive-oleo-extraordinario/p</t>
        </is>
      </c>
      <c r="P894" s="8">
        <f>TRIM(CLEAN(PROPER(D894)))</f>
        <v/>
      </c>
      <c r="Q894" s="8">
        <f>PROPER(TRIM(SUBSTITUTE(SUBSTITUTE(SUBSTITUTE(SUBSTITUTE(E894,"TRESEMME","Tresemme"),"HEAD &amp; SHOULDERS","Head &amp; Shoulders"),"ELVIVE","Elvive"),"FRUCTIS","Fructis")))</f>
        <v/>
      </c>
      <c r="R894" s="8">
        <f>COUNTIF($D$2:$D$10000,D894)&gt;1</f>
        <v/>
      </c>
      <c r="S894" s="8">
        <f>IF(H894=TRUE,"Disponible","No disponible")</f>
        <v/>
      </c>
      <c r="T894" s="8">
        <f>IF(AND(ISNUMBER(I894),I894&gt;0),ROUND(F894/I894,2),"Sin volumen")</f>
        <v/>
      </c>
      <c r="U894" s="8">
        <f>IF(F894&lt;5000,"Bajo",IF(F894&lt;15000,"Medio","Alto"))</f>
        <v/>
      </c>
    </row>
    <row r="895">
      <c r="A895" t="inlineStr">
        <is>
          <t>Farmacity</t>
        </is>
      </c>
      <c r="B895" t="n">
        <v>147268</v>
      </c>
      <c r="C895" t="n">
        <v>147268</v>
      </c>
      <c r="D895" t="inlineStr">
        <is>
          <t>Acondicionador Elvive Oleo Extraordinario Coco x 200 ml</t>
        </is>
      </c>
      <c r="E895" t="inlineStr">
        <is>
          <t>Elvive</t>
        </is>
      </c>
      <c r="F895" t="n">
        <v>3495</v>
      </c>
      <c r="G895" t="n">
        <v>6990</v>
      </c>
      <c r="H895" t="b">
        <v>1</v>
      </c>
      <c r="I895" t="n">
        <v>200</v>
      </c>
      <c r="J895" t="n">
        <v>17.475</v>
      </c>
      <c r="K895" t="inlineStr">
        <is>
          <t>&gt; Cuidado Capilar &gt; Shampoo Y Acondicionador &gt;</t>
        </is>
      </c>
      <c r="L895" t="inlineStr">
        <is>
          <t>acondicionador</t>
        </is>
      </c>
      <c r="M895" t="inlineStr">
        <is>
          <t>profesional</t>
        </is>
      </c>
      <c r="N895" t="inlineStr">
        <is>
          <t>general</t>
        </is>
      </c>
      <c r="O895" t="inlineStr">
        <is>
          <t>https://www.farmacity.com/acondicionador-elvive-oleo-coco-x-200-ml/p</t>
        </is>
      </c>
      <c r="P895">
        <f>TRIM(CLEAN(PROPER(D895)))</f>
        <v/>
      </c>
      <c r="Q895">
        <f>PROPER(TRIM(SUBSTITUTE(SUBSTITUTE(SUBSTITUTE(SUBSTITUTE(E895,"TRESEMME","Tresemme"),"HEAD &amp; SHOULDERS","Head &amp; Shoulders"),"ELVIVE","Elvive"),"FRUCTIS","Fructis")))</f>
        <v/>
      </c>
      <c r="R895">
        <f>COUNTIF($D$2:$D$10000,D895)&gt;1</f>
        <v/>
      </c>
      <c r="S895">
        <f>IF(H895=TRUE,"Disponible","No disponible")</f>
        <v/>
      </c>
      <c r="T895">
        <f>IF(AND(ISNUMBER(I895),I895&gt;0),ROUND(F895/I895,2),"Sin volumen")</f>
        <v/>
      </c>
      <c r="U895">
        <f>IF(F895&lt;5000,"Bajo",IF(F895&lt;15000,"Medio","Alto"))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0" customWidth="1" min="3" max="3"/>
    <col width="55" customWidth="1" min="4" max="4"/>
    <col width="22" customWidth="1" min="5" max="5"/>
    <col width="13" customWidth="1" min="6" max="6"/>
    <col width="15" customWidth="1" min="7" max="7"/>
    <col width="13" customWidth="1" min="8" max="8"/>
    <col width="13" customWidth="1" min="9" max="9"/>
    <col width="16" customWidth="1" min="10" max="10"/>
    <col width="55" customWidth="1" min="11" max="11"/>
    <col width="17" customWidth="1" min="12" max="12"/>
    <col width="14" customWidth="1" min="13" max="13"/>
    <col width="15" customWidth="1" min="14" max="14"/>
    <col width="55" customWidth="1" min="15" max="15"/>
  </cols>
  <sheetData>
    <row r="1" ht="26" customHeight="1">
      <c r="A1" s="9" t="inlineStr">
        <is>
          <t>fuente</t>
        </is>
      </c>
      <c r="B1" s="9" t="inlineStr">
        <is>
          <t>producto_id</t>
        </is>
      </c>
      <c r="C1" s="9" t="inlineStr">
        <is>
          <t>sku_id</t>
        </is>
      </c>
      <c r="D1" s="9" t="inlineStr">
        <is>
          <t>nombre</t>
        </is>
      </c>
      <c r="E1" s="9" t="inlineStr">
        <is>
          <t>marca</t>
        </is>
      </c>
      <c r="F1" s="9" t="inlineStr">
        <is>
          <t>precio_ars</t>
        </is>
      </c>
      <c r="G1" s="9" t="inlineStr">
        <is>
          <t>precio_lista</t>
        </is>
      </c>
      <c r="H1" s="9" t="inlineStr">
        <is>
          <t>disponible</t>
        </is>
      </c>
      <c r="I1" s="9" t="inlineStr">
        <is>
          <t>volumen_ml</t>
        </is>
      </c>
      <c r="J1" s="9" t="inlineStr">
        <is>
          <t>precio_por_ml</t>
        </is>
      </c>
      <c r="K1" s="9" t="inlineStr">
        <is>
          <t>categoria_raw</t>
        </is>
      </c>
      <c r="L1" s="9" t="inlineStr">
        <is>
          <t>tipo_producto</t>
        </is>
      </c>
      <c r="M1" s="9" t="inlineStr">
        <is>
          <t>linea_tipo</t>
        </is>
      </c>
      <c r="N1" s="9" t="inlineStr">
        <is>
          <t>tipo_cabello</t>
        </is>
      </c>
      <c r="O1" s="9" t="inlineStr">
        <is>
          <t>url</t>
        </is>
      </c>
    </row>
    <row r="2">
      <c r="A2" s="10" t="inlineStr">
        <is>
          <t>Disco</t>
        </is>
      </c>
      <c r="B2" s="10" t="n">
        <v>400585</v>
      </c>
      <c r="C2" s="10" t="n">
        <v>397923</v>
      </c>
      <c r="D2" s="10" t="inlineStr">
        <is>
          <t>Shampoo Elvive Colorvive 400ml</t>
        </is>
      </c>
      <c r="E2" s="10" t="inlineStr">
        <is>
          <t>ELVIVE</t>
        </is>
      </c>
      <c r="F2" s="10" t="n">
        <v>11199</v>
      </c>
      <c r="G2" s="10" t="n">
        <v>925537</v>
      </c>
      <c r="H2" s="10" t="b">
        <v>1</v>
      </c>
      <c r="I2" s="10" t="n">
        <v>400</v>
      </c>
      <c r="J2" s="10" t="n">
        <v>27.9975</v>
      </c>
      <c r="K2" s="10" t="inlineStr">
        <is>
          <t>&gt; Perfumería &gt; Cuidado Capilar &gt; Shampoo &gt;</t>
        </is>
      </c>
      <c r="L2" s="10" t="inlineStr">
        <is>
          <t>shampoo</t>
        </is>
      </c>
      <c r="M2" s="10" t="inlineStr">
        <is>
          <t>profesional</t>
        </is>
      </c>
      <c r="N2" s="10" t="inlineStr">
        <is>
          <t>tratado</t>
        </is>
      </c>
      <c r="O2" s="10" t="inlineStr">
        <is>
          <t>https://www.disco.com.ar/shampoo-elvive-colorvive-400ml/p</t>
        </is>
      </c>
    </row>
    <row r="3">
      <c r="A3" t="inlineStr">
        <is>
          <t>Disco</t>
        </is>
      </c>
      <c r="B3" t="n">
        <v>405288</v>
      </c>
      <c r="C3" t="n">
        <v>402223</v>
      </c>
      <c r="D3" t="inlineStr">
        <is>
          <t>Shampoo Fructis Hydraliss 350ml</t>
        </is>
      </c>
      <c r="E3" t="inlineStr">
        <is>
          <t>FRUCTIS</t>
        </is>
      </c>
      <c r="F3" t="n">
        <v>8750</v>
      </c>
      <c r="G3" t="n">
        <v>723141</v>
      </c>
      <c r="H3" t="b">
        <v>1</v>
      </c>
      <c r="I3" t="n">
        <v>350</v>
      </c>
      <c r="J3" t="n">
        <v>25</v>
      </c>
      <c r="K3" t="inlineStr">
        <is>
          <t>&gt; Perfumería &gt; Cuidado Capilar &gt; Shampoo &gt;</t>
        </is>
      </c>
      <c r="L3" t="inlineStr">
        <is>
          <t>shampoo</t>
        </is>
      </c>
      <c r="M3" t="inlineStr">
        <is>
          <t>estandar</t>
        </is>
      </c>
      <c r="N3" t="inlineStr">
        <is>
          <t>general</t>
        </is>
      </c>
      <c r="O3" t="inlineStr">
        <is>
          <t>https://www.disco.com.ar/shampoo-fructis-hydraliss-350ml/p</t>
        </is>
      </c>
    </row>
    <row r="4">
      <c r="A4" s="10" t="inlineStr">
        <is>
          <t>Disco</t>
        </is>
      </c>
      <c r="B4" s="10" t="n">
        <v>3087465</v>
      </c>
      <c r="C4" s="10" t="n">
        <v>3086687</v>
      </c>
      <c r="D4" s="10" t="inlineStr">
        <is>
          <t>Shampoo Dove Reconstaminoacido 650ml</t>
        </is>
      </c>
      <c r="E4" s="10" t="inlineStr">
        <is>
          <t>DOVE</t>
        </is>
      </c>
      <c r="F4" s="10" t="n">
        <v>17200</v>
      </c>
      <c r="G4" s="10" t="n">
        <v>1421488</v>
      </c>
      <c r="H4" s="10" t="b">
        <v>1</v>
      </c>
      <c r="I4" s="10" t="n">
        <v>650</v>
      </c>
      <c r="J4" s="10" t="n">
        <v>26.4615</v>
      </c>
      <c r="K4" s="10" t="inlineStr">
        <is>
          <t>&gt; Perfumería &gt; Cuidado Capilar &gt; Shampoo &gt;</t>
        </is>
      </c>
      <c r="L4" s="10" t="inlineStr">
        <is>
          <t>shampoo</t>
        </is>
      </c>
      <c r="M4" s="10" t="inlineStr">
        <is>
          <t>estandar</t>
        </is>
      </c>
      <c r="N4" s="10" t="inlineStr">
        <is>
          <t>general</t>
        </is>
      </c>
      <c r="O4" s="10" t="inlineStr">
        <is>
          <t>https://www.disco.com.ar/shampoo-dove-reconstaminoacido-650ml/p</t>
        </is>
      </c>
    </row>
    <row r="5">
      <c r="A5" t="inlineStr">
        <is>
          <t>Disco</t>
        </is>
      </c>
      <c r="B5" t="n">
        <v>3087378</v>
      </c>
      <c r="C5" t="n">
        <v>3086599</v>
      </c>
      <c r="D5" t="inlineStr">
        <is>
          <t>Shampoo Dove Regeneracionretinol 650ml</t>
        </is>
      </c>
      <c r="E5" t="inlineStr">
        <is>
          <t>DOVE</t>
        </is>
      </c>
      <c r="F5" t="n">
        <v>17200</v>
      </c>
      <c r="G5" t="n">
        <v>1421488</v>
      </c>
      <c r="H5" t="b">
        <v>1</v>
      </c>
      <c r="I5" t="n">
        <v>650</v>
      </c>
      <c r="J5" t="n">
        <v>26.4615</v>
      </c>
      <c r="K5" t="inlineStr">
        <is>
          <t>&gt; Perfumería &gt; Cuidado Capilar &gt; Shampoo &gt;</t>
        </is>
      </c>
      <c r="L5" t="inlineStr">
        <is>
          <t>shampoo</t>
        </is>
      </c>
      <c r="M5" t="inlineStr">
        <is>
          <t>estandar</t>
        </is>
      </c>
      <c r="N5" t="inlineStr">
        <is>
          <t>general</t>
        </is>
      </c>
      <c r="O5" t="inlineStr">
        <is>
          <t>https://www.disco.com.ar/shampoo-dove-regeneracionretinol-650ml/p</t>
        </is>
      </c>
    </row>
    <row r="6">
      <c r="A6" s="10" t="inlineStr">
        <is>
          <t>Disco</t>
        </is>
      </c>
      <c r="B6" s="10" t="n">
        <v>411249</v>
      </c>
      <c r="C6" s="10" t="n">
        <v>407089</v>
      </c>
      <c r="D6" s="10" t="inlineStr">
        <is>
          <t>Shampoo Dove Hidratacion X400ml</t>
        </is>
      </c>
      <c r="E6" s="10" t="inlineStr">
        <is>
          <t>DOVE</t>
        </is>
      </c>
      <c r="F6" s="10" t="n">
        <v>9150</v>
      </c>
      <c r="G6" s="10" t="n">
        <v>756198</v>
      </c>
      <c r="H6" s="10" t="b">
        <v>1</v>
      </c>
      <c r="I6" s="10" t="n">
        <v>400</v>
      </c>
      <c r="J6" s="10" t="n">
        <v>22.875</v>
      </c>
      <c r="K6" s="10" t="inlineStr">
        <is>
          <t>&gt; Perfumería &gt; Cuidado Capilar &gt; Shampoo &gt;</t>
        </is>
      </c>
      <c r="L6" s="10" t="inlineStr">
        <is>
          <t>shampoo</t>
        </is>
      </c>
      <c r="M6" s="10" t="inlineStr">
        <is>
          <t>estandar</t>
        </is>
      </c>
      <c r="N6" s="10" t="inlineStr">
        <is>
          <t>seco_danado</t>
        </is>
      </c>
      <c r="O6" s="10" t="inlineStr">
        <is>
          <t>https://www.disco.com.ar/shampoo-dove-hidratacion-x400ml/p</t>
        </is>
      </c>
    </row>
    <row r="7">
      <c r="A7" t="inlineStr">
        <is>
          <t>Disco</t>
        </is>
      </c>
      <c r="B7" t="n">
        <v>404462</v>
      </c>
      <c r="C7" t="n">
        <v>401464</v>
      </c>
      <c r="D7" t="inlineStr">
        <is>
          <t>Shampoo Nutritivo 420 Ml Capilatis</t>
        </is>
      </c>
      <c r="E7" t="inlineStr">
        <is>
          <t>CAPILATIS</t>
        </is>
      </c>
      <c r="F7" t="n">
        <v>9750</v>
      </c>
      <c r="G7" t="n">
        <v>805785</v>
      </c>
      <c r="H7" t="b">
        <v>1</v>
      </c>
      <c r="I7" t="n">
        <v>420</v>
      </c>
      <c r="J7" t="n">
        <v>23.2143</v>
      </c>
      <c r="K7" t="inlineStr">
        <is>
          <t>&gt; Perfumería &gt; Cuidado Capilar &gt; Shampoo &gt;</t>
        </is>
      </c>
      <c r="L7" t="inlineStr">
        <is>
          <t>shampoo</t>
        </is>
      </c>
      <c r="M7" t="inlineStr">
        <is>
          <t>estandar</t>
        </is>
      </c>
      <c r="N7" t="inlineStr">
        <is>
          <t>general</t>
        </is>
      </c>
      <c r="O7" t="inlineStr">
        <is>
          <t>https://www.disco.com.ar/shampoo-nutritivo-420-ml-capilatis/p</t>
        </is>
      </c>
    </row>
    <row r="8">
      <c r="A8" s="10" t="inlineStr">
        <is>
          <t>Disco</t>
        </is>
      </c>
      <c r="B8" s="10" t="n">
        <v>251369</v>
      </c>
      <c r="C8" s="10" t="n">
        <v>250670</v>
      </c>
      <c r="D8" s="10" t="inlineStr">
        <is>
          <t>Shampoo Herbal Essences Rosemary 400ml</t>
        </is>
      </c>
      <c r="E8" s="10" t="inlineStr">
        <is>
          <t>HERBAL ESSENCES</t>
        </is>
      </c>
      <c r="F8" s="10" t="n">
        <v>17500</v>
      </c>
      <c r="G8" s="10" t="n">
        <v>1446281</v>
      </c>
      <c r="H8" s="10" t="b">
        <v>1</v>
      </c>
      <c r="I8" s="10" t="n">
        <v>400</v>
      </c>
      <c r="J8" s="10" t="n">
        <v>43.75</v>
      </c>
      <c r="K8" s="10" t="inlineStr">
        <is>
          <t>&gt; Perfumería &gt; Cuidado Capilar &gt; Shampoo &gt;</t>
        </is>
      </c>
      <c r="L8" s="10" t="inlineStr">
        <is>
          <t>shampoo</t>
        </is>
      </c>
      <c r="M8" s="10" t="inlineStr">
        <is>
          <t>estandar</t>
        </is>
      </c>
      <c r="N8" s="10" t="inlineStr">
        <is>
          <t>general</t>
        </is>
      </c>
      <c r="O8" s="10" t="inlineStr">
        <is>
          <t>https://www.disco.com.ar/shampoo-herbal-essences-rosemary-400ml/p</t>
        </is>
      </c>
    </row>
    <row r="9">
      <c r="A9" t="inlineStr">
        <is>
          <t>Disco</t>
        </is>
      </c>
      <c r="B9" t="n">
        <v>5941</v>
      </c>
      <c r="C9" t="n">
        <v>3330</v>
      </c>
      <c r="D9" t="inlineStr">
        <is>
          <t>Shampoo Engrosador 410 Ml Capilatis</t>
        </is>
      </c>
      <c r="E9" t="inlineStr">
        <is>
          <t>CAPILATIS</t>
        </is>
      </c>
      <c r="F9" t="n">
        <v>9750</v>
      </c>
      <c r="G9" t="n">
        <v>805785</v>
      </c>
      <c r="H9" t="b">
        <v>1</v>
      </c>
      <c r="I9" t="n">
        <v>410</v>
      </c>
      <c r="J9" t="n">
        <v>23.7805</v>
      </c>
      <c r="K9" t="inlineStr">
        <is>
          <t>&gt; Perfumería &gt; Cuidado Capilar &gt; Shampoo &gt;</t>
        </is>
      </c>
      <c r="L9" t="inlineStr">
        <is>
          <t>shampoo</t>
        </is>
      </c>
      <c r="M9" t="inlineStr">
        <is>
          <t>estandar</t>
        </is>
      </c>
      <c r="N9" t="inlineStr">
        <is>
          <t>general</t>
        </is>
      </c>
      <c r="O9" t="inlineStr">
        <is>
          <t>https://www.disco.com.ar/shampoo-capilatis-engrosador-410-ml/p</t>
        </is>
      </c>
    </row>
    <row r="10">
      <c r="A10" s="10" t="inlineStr">
        <is>
          <t>Disco</t>
        </is>
      </c>
      <c r="B10" s="10" t="n">
        <v>412488</v>
      </c>
      <c r="C10" s="10" t="n">
        <v>408096</v>
      </c>
      <c r="D10" s="10" t="inlineStr">
        <is>
          <t>Shampoo Fructis Regarga Nutritiva 350ml</t>
        </is>
      </c>
      <c r="E10" s="10" t="inlineStr">
        <is>
          <t>FRUCTIS</t>
        </is>
      </c>
      <c r="F10" s="10" t="n">
        <v>8750</v>
      </c>
      <c r="G10" s="10" t="n">
        <v>723141</v>
      </c>
      <c r="H10" s="10" t="b">
        <v>1</v>
      </c>
      <c r="I10" s="10" t="n">
        <v>350</v>
      </c>
      <c r="J10" s="10" t="n">
        <v>25</v>
      </c>
      <c r="K10" s="10" t="inlineStr">
        <is>
          <t>&gt; Perfumería &gt; Cuidado Capilar &gt; Shampoo &gt;</t>
        </is>
      </c>
      <c r="L10" s="10" t="inlineStr">
        <is>
          <t>shampoo</t>
        </is>
      </c>
      <c r="M10" s="10" t="inlineStr">
        <is>
          <t>estandar</t>
        </is>
      </c>
      <c r="N10" s="10" t="inlineStr">
        <is>
          <t>general</t>
        </is>
      </c>
      <c r="O10" s="10" t="inlineStr">
        <is>
          <t>https://www.disco.com.ar/shampoo-fructis-regarga-nutritiva-350ml/p</t>
        </is>
      </c>
    </row>
    <row r="11">
      <c r="A11" t="inlineStr">
        <is>
          <t>Disco</t>
        </is>
      </c>
      <c r="B11" t="n">
        <v>3087383</v>
      </c>
      <c r="C11" t="n">
        <v>3086604</v>
      </c>
      <c r="D11" t="inlineStr">
        <is>
          <t>Shampoo Dove Nutritri Oleos 650ml</t>
        </is>
      </c>
      <c r="E11" t="inlineStr">
        <is>
          <t>DOVE</t>
        </is>
      </c>
      <c r="F11" t="n">
        <v>17200</v>
      </c>
      <c r="G11" t="n">
        <v>1421488</v>
      </c>
      <c r="H11" t="b">
        <v>1</v>
      </c>
      <c r="I11" t="n">
        <v>650</v>
      </c>
      <c r="J11" t="n">
        <v>26.4615</v>
      </c>
      <c r="K11" t="inlineStr">
        <is>
          <t>&gt; Perfumería &gt; Cuidado Capilar &gt; Shampoo &gt;</t>
        </is>
      </c>
      <c r="L11" t="inlineStr">
        <is>
          <t>shampoo</t>
        </is>
      </c>
      <c r="M11" t="inlineStr">
        <is>
          <t>estandar</t>
        </is>
      </c>
      <c r="N11" t="inlineStr">
        <is>
          <t>general</t>
        </is>
      </c>
      <c r="O11" t="inlineStr">
        <is>
          <t>https://www.disco.com.ar/shampoo-dove-nutritri-oleos-650ml/p</t>
        </is>
      </c>
    </row>
    <row r="12">
      <c r="A12" s="10" t="inlineStr">
        <is>
          <t>Disco</t>
        </is>
      </c>
      <c r="B12" s="10" t="n">
        <v>411252</v>
      </c>
      <c r="C12" s="10" t="n">
        <v>407092</v>
      </c>
      <c r="D12" s="10" t="inlineStr">
        <is>
          <t>Shampoo Sedal Preboticos 340 Ml</t>
        </is>
      </c>
      <c r="E12" s="10" t="inlineStr">
        <is>
          <t>DOVE</t>
        </is>
      </c>
      <c r="F12" s="10" t="n">
        <v>5950</v>
      </c>
      <c r="G12" s="10" t="n">
        <v>491736</v>
      </c>
      <c r="H12" s="10" t="b">
        <v>1</v>
      </c>
      <c r="I12" s="10" t="n">
        <v>340</v>
      </c>
      <c r="J12" s="10" t="n">
        <v>17.5</v>
      </c>
      <c r="K12" s="10" t="inlineStr">
        <is>
          <t>&gt; Perfumería &gt; Cuidado Capilar &gt; Shampoo &gt;</t>
        </is>
      </c>
      <c r="L12" s="10" t="inlineStr">
        <is>
          <t>shampoo</t>
        </is>
      </c>
      <c r="M12" s="10" t="inlineStr">
        <is>
          <t>estandar</t>
        </is>
      </c>
      <c r="N12" s="10" t="inlineStr">
        <is>
          <t>general</t>
        </is>
      </c>
      <c r="O12" s="10" t="inlineStr">
        <is>
          <t>https://www.disco.com.ar/shampoo-sedal-preboticos-340-ml/p</t>
        </is>
      </c>
    </row>
    <row r="13">
      <c r="A13" t="inlineStr">
        <is>
          <t>Disco</t>
        </is>
      </c>
      <c r="B13" t="n">
        <v>251381</v>
      </c>
      <c r="C13" t="n">
        <v>250684</v>
      </c>
      <c r="D13" t="inlineStr">
        <is>
          <t>Shampoo Herbal Essences Argan 400ml</t>
        </is>
      </c>
      <c r="E13" t="inlineStr">
        <is>
          <t>HERBAL ESSENCES</t>
        </is>
      </c>
      <c r="F13" t="n">
        <v>17550</v>
      </c>
      <c r="G13" t="n">
        <v>1450413</v>
      </c>
      <c r="H13" t="b">
        <v>1</v>
      </c>
      <c r="I13" t="n">
        <v>400</v>
      </c>
      <c r="J13" t="n">
        <v>43.875</v>
      </c>
      <c r="K13" t="inlineStr">
        <is>
          <t>&gt; Perfumería &gt; Cuidado Capilar &gt; Shampoo &gt;</t>
        </is>
      </c>
      <c r="L13" t="inlineStr">
        <is>
          <t>shampoo</t>
        </is>
      </c>
      <c r="M13" t="inlineStr">
        <is>
          <t>estandar</t>
        </is>
      </c>
      <c r="N13" t="inlineStr">
        <is>
          <t>general</t>
        </is>
      </c>
      <c r="O13" t="inlineStr">
        <is>
          <t>https://www.disco.com.ar/shampoo-herbal-essences-argan-400ml/p</t>
        </is>
      </c>
    </row>
    <row r="14">
      <c r="A14" s="10" t="inlineStr">
        <is>
          <t>Disco</t>
        </is>
      </c>
      <c r="B14" s="10" t="n">
        <v>249732</v>
      </c>
      <c r="C14" s="10" t="n">
        <v>246723</v>
      </c>
      <c r="D14" s="10" t="inlineStr">
        <is>
          <t>Shampoo Capilatis Limpieza Prof 420ml</t>
        </is>
      </c>
      <c r="E14" s="10" t="inlineStr">
        <is>
          <t>CAPILATIS</t>
        </is>
      </c>
      <c r="F14" s="10" t="n">
        <v>9750</v>
      </c>
      <c r="G14" s="10" t="n">
        <v>805785</v>
      </c>
      <c r="H14" s="10" t="b">
        <v>1</v>
      </c>
      <c r="I14" s="10" t="n">
        <v>420</v>
      </c>
      <c r="J14" s="10" t="n">
        <v>23.2143</v>
      </c>
      <c r="K14" s="10" t="inlineStr">
        <is>
          <t>&gt; Perfumería &gt; Cuidado Capilar &gt; Shampoo &gt;</t>
        </is>
      </c>
      <c r="L14" s="10" t="inlineStr">
        <is>
          <t>shampoo</t>
        </is>
      </c>
      <c r="M14" s="10" t="inlineStr">
        <is>
          <t>estandar</t>
        </is>
      </c>
      <c r="N14" s="10" t="inlineStr">
        <is>
          <t>general</t>
        </is>
      </c>
      <c r="O14" s="10" t="inlineStr">
        <is>
          <t>https://www.disco.com.ar/shampoo-capilatis-limpieza-prof-420ml/p</t>
        </is>
      </c>
    </row>
    <row r="15">
      <c r="A15" t="inlineStr">
        <is>
          <t>Disco</t>
        </is>
      </c>
      <c r="B15" t="n">
        <v>389289</v>
      </c>
      <c r="C15" t="n">
        <v>387395</v>
      </c>
      <c r="D15" t="inlineStr">
        <is>
          <t>Shampoo Ceramidas 190 Ml Sedal</t>
        </is>
      </c>
      <c r="E15" t="inlineStr">
        <is>
          <t>SEDAL</t>
        </is>
      </c>
      <c r="F15" t="n">
        <v>4050</v>
      </c>
      <c r="G15" t="n">
        <v>334711</v>
      </c>
      <c r="H15" t="b">
        <v>1</v>
      </c>
      <c r="I15" t="n">
        <v>190</v>
      </c>
      <c r="J15" t="n">
        <v>21.3158</v>
      </c>
      <c r="K15" t="inlineStr">
        <is>
          <t>&gt; Perfumería &gt; Cuidado Capilar &gt; Shampoo &gt;</t>
        </is>
      </c>
      <c r="L15" t="inlineStr">
        <is>
          <t>shampoo</t>
        </is>
      </c>
      <c r="M15" t="inlineStr">
        <is>
          <t>estandar</t>
        </is>
      </c>
      <c r="N15" t="inlineStr">
        <is>
          <t>general</t>
        </is>
      </c>
      <c r="O15" t="inlineStr">
        <is>
          <t>https://www.disco.com.ar/shampoo-ceramidas-190-ml-sedal/p</t>
        </is>
      </c>
    </row>
    <row r="16">
      <c r="A16" s="10" t="inlineStr">
        <is>
          <t>Disco</t>
        </is>
      </c>
      <c r="B16" s="10" t="n">
        <v>3087384</v>
      </c>
      <c r="C16" s="10" t="n">
        <v>3086605</v>
      </c>
      <c r="D16" s="10" t="inlineStr">
        <is>
          <t>Shampoo Dove Humectcoco Antioxi 650ml</t>
        </is>
      </c>
      <c r="E16" s="10" t="inlineStr">
        <is>
          <t>DOVE</t>
        </is>
      </c>
      <c r="F16" s="10" t="n">
        <v>17200</v>
      </c>
      <c r="G16" s="10" t="n">
        <v>1421488</v>
      </c>
      <c r="H16" s="10" t="b">
        <v>1</v>
      </c>
      <c r="I16" s="10" t="n">
        <v>650</v>
      </c>
      <c r="J16" s="10" t="n">
        <v>26.4615</v>
      </c>
      <c r="K16" s="10" t="inlineStr">
        <is>
          <t>&gt; Perfumería &gt; Cuidado Capilar &gt; Shampoo &gt;</t>
        </is>
      </c>
      <c r="L16" s="10" t="inlineStr">
        <is>
          <t>shampoo</t>
        </is>
      </c>
      <c r="M16" s="10" t="inlineStr">
        <is>
          <t>estandar</t>
        </is>
      </c>
      <c r="N16" s="10" t="inlineStr">
        <is>
          <t>general</t>
        </is>
      </c>
      <c r="O16" s="10" t="inlineStr">
        <is>
          <t>https://www.disco.com.ar/shampoo-dove-humectcoco-antioxi-650ml/p</t>
        </is>
      </c>
    </row>
    <row r="17">
      <c r="A17" t="inlineStr">
        <is>
          <t>Disco</t>
        </is>
      </c>
      <c r="B17" t="n">
        <v>3079021</v>
      </c>
      <c r="C17" t="n">
        <v>3078345</v>
      </c>
      <c r="D17" t="inlineStr">
        <is>
          <t>Shampoo Herbal Essences Manzanilla 400ml</t>
        </is>
      </c>
      <c r="E17" t="inlineStr">
        <is>
          <t>HERBAL ESSENCES</t>
        </is>
      </c>
      <c r="F17" t="n">
        <v>17550</v>
      </c>
      <c r="G17" t="n">
        <v>1450413</v>
      </c>
      <c r="H17" t="b">
        <v>1</v>
      </c>
      <c r="I17" t="n">
        <v>400</v>
      </c>
      <c r="J17" t="n">
        <v>43.875</v>
      </c>
      <c r="K17" t="inlineStr">
        <is>
          <t>&gt; Perfumería &gt; Cuidado Capilar &gt; Shampoo &gt;</t>
        </is>
      </c>
      <c r="L17" t="inlineStr">
        <is>
          <t>shampoo</t>
        </is>
      </c>
      <c r="M17" t="inlineStr">
        <is>
          <t>estandar</t>
        </is>
      </c>
      <c r="N17" t="inlineStr">
        <is>
          <t>general</t>
        </is>
      </c>
      <c r="O17" t="inlineStr">
        <is>
          <t>https://www.disco.com.ar/shampoo-herbal-essences-manzanilla-400ml/p</t>
        </is>
      </c>
    </row>
    <row r="18">
      <c r="A18" s="10" t="inlineStr">
        <is>
          <t>Disco</t>
        </is>
      </c>
      <c r="B18" s="10" t="n">
        <v>251368</v>
      </c>
      <c r="C18" s="10" t="n">
        <v>250669</v>
      </c>
      <c r="D18" s="10" t="inlineStr">
        <is>
          <t>Shampoo Herbal Essences Coconut 400ml</t>
        </is>
      </c>
      <c r="E18" s="10" t="inlineStr">
        <is>
          <t>HERBAL ESSENCES</t>
        </is>
      </c>
      <c r="F18" s="10" t="n">
        <v>17550</v>
      </c>
      <c r="G18" s="10" t="n">
        <v>1450413</v>
      </c>
      <c r="H18" s="10" t="b">
        <v>1</v>
      </c>
      <c r="I18" s="10" t="n">
        <v>400</v>
      </c>
      <c r="J18" s="10" t="n">
        <v>43.875</v>
      </c>
      <c r="K18" s="10" t="inlineStr">
        <is>
          <t>&gt; Perfumería &gt; Cuidado Capilar &gt; Shampoo &gt;</t>
        </is>
      </c>
      <c r="L18" s="10" t="inlineStr">
        <is>
          <t>shampoo</t>
        </is>
      </c>
      <c r="M18" s="10" t="inlineStr">
        <is>
          <t>estandar</t>
        </is>
      </c>
      <c r="N18" s="10" t="inlineStr">
        <is>
          <t>general</t>
        </is>
      </c>
      <c r="O18" s="10" t="inlineStr">
        <is>
          <t>https://www.disco.com.ar/shampoo-herbal-essences-coconut-400ml/p</t>
        </is>
      </c>
    </row>
    <row r="19">
      <c r="A19" t="inlineStr">
        <is>
          <t>Disco</t>
        </is>
      </c>
      <c r="B19" t="n">
        <v>396886</v>
      </c>
      <c r="C19" t="n">
        <v>394642</v>
      </c>
      <c r="D19" t="inlineStr">
        <is>
          <t>Shampoo Dove Reconstrucción Completa 400 Ml</t>
        </is>
      </c>
      <c r="E19" t="inlineStr">
        <is>
          <t>DOVE</t>
        </is>
      </c>
      <c r="F19" t="n">
        <v>9150</v>
      </c>
      <c r="G19" t="n">
        <v>756198</v>
      </c>
      <c r="H19" t="b">
        <v>1</v>
      </c>
      <c r="I19" t="n">
        <v>400</v>
      </c>
      <c r="J19" t="n">
        <v>22.875</v>
      </c>
      <c r="K19" t="inlineStr">
        <is>
          <t>&gt; Perfumería &gt; Cuidado Capilar &gt; Shampoo &gt;</t>
        </is>
      </c>
      <c r="L19" t="inlineStr">
        <is>
          <t>shampoo</t>
        </is>
      </c>
      <c r="M19" t="inlineStr">
        <is>
          <t>estandar</t>
        </is>
      </c>
      <c r="N19" t="inlineStr">
        <is>
          <t>general</t>
        </is>
      </c>
      <c r="O19" t="inlineStr">
        <is>
          <t>https://www.disco.com.ar/shampoo-dove-reconstruccion-completa-400-ml-4/p</t>
        </is>
      </c>
    </row>
    <row r="20">
      <c r="A20" s="10" t="inlineStr">
        <is>
          <t>Disco</t>
        </is>
      </c>
      <c r="B20" s="10" t="n">
        <v>393556</v>
      </c>
      <c r="C20" s="10" t="n">
        <v>391584</v>
      </c>
      <c r="D20" s="10" t="inlineStr">
        <is>
          <t>Shampoo Dove Regeneración Extrema 400 Ml</t>
        </is>
      </c>
      <c r="E20" s="10" t="inlineStr">
        <is>
          <t>DOVE</t>
        </is>
      </c>
      <c r="F20" s="10" t="n">
        <v>9150</v>
      </c>
      <c r="G20" s="10" t="n">
        <v>756198</v>
      </c>
      <c r="H20" s="10" t="b">
        <v>1</v>
      </c>
      <c r="I20" s="10" t="n">
        <v>400</v>
      </c>
      <c r="J20" s="10" t="n">
        <v>22.875</v>
      </c>
      <c r="K20" s="10" t="inlineStr">
        <is>
          <t>&gt; Perfumería &gt; Cuidado Capilar &gt; Shampoo &gt;</t>
        </is>
      </c>
      <c r="L20" s="10" t="inlineStr">
        <is>
          <t>shampoo</t>
        </is>
      </c>
      <c r="M20" s="10" t="inlineStr">
        <is>
          <t>estandar</t>
        </is>
      </c>
      <c r="N20" s="10" t="inlineStr">
        <is>
          <t>general</t>
        </is>
      </c>
      <c r="O20" s="10" t="inlineStr">
        <is>
          <t>https://www.disco.com.ar/shampoo-dove-regeneracion-extrema-400-ml-3/p</t>
        </is>
      </c>
    </row>
    <row r="21">
      <c r="A21" t="inlineStr">
        <is>
          <t>Disco</t>
        </is>
      </c>
      <c r="B21" t="n">
        <v>3070279</v>
      </c>
      <c r="C21" t="n">
        <v>3069872</v>
      </c>
      <c r="D21" t="inlineStr">
        <is>
          <t>Shampoo Keratina Antifrizz 500 Ml Tresemmé</t>
        </is>
      </c>
      <c r="E21" t="inlineStr">
        <is>
          <t>TRESEMMÉ</t>
        </is>
      </c>
      <c r="F21" t="n">
        <v>10750</v>
      </c>
      <c r="G21" t="n">
        <v>888430</v>
      </c>
      <c r="H21" t="b">
        <v>1</v>
      </c>
      <c r="I21" t="n">
        <v>500</v>
      </c>
      <c r="J21" t="n">
        <v>21.5</v>
      </c>
      <c r="K21" t="inlineStr">
        <is>
          <t>&gt; Perfumería &gt; Cuidado Capilar &gt; Shampoo &gt;</t>
        </is>
      </c>
      <c r="L21" t="inlineStr">
        <is>
          <t>shampoo</t>
        </is>
      </c>
      <c r="M21" t="inlineStr">
        <is>
          <t>estandar</t>
        </is>
      </c>
      <c r="N21" t="inlineStr">
        <is>
          <t>tratado</t>
        </is>
      </c>
      <c r="O21" t="inlineStr">
        <is>
          <t>https://www.disco.com.ar/shampoo-keratina-antifrizz-x-500-ml-tresemme/p</t>
        </is>
      </c>
    </row>
    <row r="22">
      <c r="A22" s="10" t="inlineStr">
        <is>
          <t>Disco</t>
        </is>
      </c>
      <c r="B22" s="10" t="n">
        <v>394212</v>
      </c>
      <c r="C22" s="10" t="n">
        <v>392218</v>
      </c>
      <c r="D22" s="10" t="inlineStr">
        <is>
          <t>Shampoo Dove óleo Nutrición 400 Ml</t>
        </is>
      </c>
      <c r="E22" s="10" t="inlineStr">
        <is>
          <t>DOVE</t>
        </is>
      </c>
      <c r="F22" s="10" t="n">
        <v>9150</v>
      </c>
      <c r="G22" s="10" t="n">
        <v>756198</v>
      </c>
      <c r="H22" s="10" t="b">
        <v>1</v>
      </c>
      <c r="I22" s="10" t="n">
        <v>400</v>
      </c>
      <c r="J22" s="10" t="n">
        <v>22.875</v>
      </c>
      <c r="K22" s="10" t="inlineStr">
        <is>
          <t>&gt; Perfumería &gt; Cuidado Capilar &gt; Shampoo &gt;</t>
        </is>
      </c>
      <c r="L22" s="10" t="inlineStr">
        <is>
          <t>shampoo</t>
        </is>
      </c>
      <c r="M22" s="10" t="inlineStr">
        <is>
          <t>estandar</t>
        </is>
      </c>
      <c r="N22" s="10" t="inlineStr">
        <is>
          <t>general</t>
        </is>
      </c>
      <c r="O22" s="10" t="inlineStr">
        <is>
          <t>https://www.disco.com.ar/shampoo-dove-oleo-nutricion-400-ml-3/p</t>
        </is>
      </c>
    </row>
    <row r="23">
      <c r="A23" t="inlineStr">
        <is>
          <t>Disco</t>
        </is>
      </c>
      <c r="B23" t="n">
        <v>3067580</v>
      </c>
      <c r="C23" t="n">
        <v>3067444</v>
      </c>
      <c r="D23" t="inlineStr">
        <is>
          <t>Shampoo Luminous UV 340 Ml Sedal</t>
        </is>
      </c>
      <c r="E23" t="inlineStr">
        <is>
          <t>SEDAL</t>
        </is>
      </c>
      <c r="F23" t="n">
        <v>5469</v>
      </c>
      <c r="G23" t="n">
        <v>451983</v>
      </c>
      <c r="H23" t="b">
        <v>1</v>
      </c>
      <c r="I23" t="n">
        <v>340</v>
      </c>
      <c r="J23" t="n">
        <v>16.0853</v>
      </c>
      <c r="K23" t="inlineStr">
        <is>
          <t>&gt; Perfumería &gt; Cuidado Capilar &gt; Shampoo &gt;</t>
        </is>
      </c>
      <c r="L23" t="inlineStr">
        <is>
          <t>shampoo</t>
        </is>
      </c>
      <c r="M23" t="inlineStr">
        <is>
          <t>estandar</t>
        </is>
      </c>
      <c r="N23" t="inlineStr">
        <is>
          <t>general</t>
        </is>
      </c>
      <c r="O23" t="inlineStr">
        <is>
          <t>https://www.disco.com.ar/shampoo-luminous-uv-x-340-ml-sedal-2/p</t>
        </is>
      </c>
    </row>
    <row r="24">
      <c r="A24" s="10" t="inlineStr">
        <is>
          <t>Disco</t>
        </is>
      </c>
      <c r="B24" s="10" t="n">
        <v>384331</v>
      </c>
      <c r="C24" s="10" t="n">
        <v>383820</v>
      </c>
      <c r="D24" s="10" t="inlineStr">
        <is>
          <t>Shampoo Largo Saludable 970 Ml Plusbelle</t>
        </is>
      </c>
      <c r="E24" s="10" t="inlineStr">
        <is>
          <t>PLUSBELLE</t>
        </is>
      </c>
      <c r="F24" s="10" t="n">
        <v>6500</v>
      </c>
      <c r="G24" s="10" t="n">
        <v>537190</v>
      </c>
      <c r="H24" s="10" t="b">
        <v>1</v>
      </c>
      <c r="I24" s="10" t="n">
        <v>970</v>
      </c>
      <c r="J24" s="10" t="n">
        <v>6.701</v>
      </c>
      <c r="K24" s="10" t="inlineStr">
        <is>
          <t>&gt; Perfumería &gt; Cuidado Capilar &gt; Shampoo &gt;</t>
        </is>
      </c>
      <c r="L24" s="10" t="inlineStr">
        <is>
          <t>shampoo</t>
        </is>
      </c>
      <c r="M24" s="10" t="inlineStr">
        <is>
          <t>estandar</t>
        </is>
      </c>
      <c r="N24" s="10" t="inlineStr">
        <is>
          <t>general</t>
        </is>
      </c>
      <c r="O24" s="10" t="inlineStr">
        <is>
          <t>https://www.disco.com.ar/shampoo-esencia-largo-salud-970-ml-plusbelle/p</t>
        </is>
      </c>
    </row>
    <row r="25">
      <c r="A25" t="inlineStr">
        <is>
          <t>Disco</t>
        </is>
      </c>
      <c r="B25" t="n">
        <v>119620</v>
      </c>
      <c r="C25" t="n">
        <v>118648</v>
      </c>
      <c r="D25" t="inlineStr">
        <is>
          <t>Shampoo Bebé Original 750 Ml Johnson's</t>
        </is>
      </c>
      <c r="E25" t="inlineStr">
        <is>
          <t>JOHNSON BABY</t>
        </is>
      </c>
      <c r="F25" t="n">
        <v>20900</v>
      </c>
      <c r="G25" t="n">
        <v>1727273</v>
      </c>
      <c r="H25" t="b">
        <v>1</v>
      </c>
      <c r="I25" t="n">
        <v>750</v>
      </c>
      <c r="J25" t="n">
        <v>27.8667</v>
      </c>
      <c r="K25" t="inlineStr">
        <is>
          <t>&gt; Mundo Bebe &gt; Higiene para el Bebe &gt; Higiene del Bebé &gt;</t>
        </is>
      </c>
      <c r="L25" t="inlineStr">
        <is>
          <t>shampoo</t>
        </is>
      </c>
      <c r="M25" t="inlineStr">
        <is>
          <t>estandar</t>
        </is>
      </c>
      <c r="N25" t="inlineStr">
        <is>
          <t>bebe</t>
        </is>
      </c>
      <c r="O25" t="inlineStr">
        <is>
          <t>https://www.disco.com.ar/toallas-femeninas-con-alas-siempre-libre-especial-x-16-un/p</t>
        </is>
      </c>
    </row>
    <row r="26">
      <c r="A26" s="10" t="inlineStr">
        <is>
          <t>Disco</t>
        </is>
      </c>
      <c r="B26" s="10" t="n">
        <v>389290</v>
      </c>
      <c r="C26" s="10" t="n">
        <v>387396</v>
      </c>
      <c r="D26" s="10" t="inlineStr">
        <is>
          <t>Shampoo Sedal Ceramidas Botella 340 Ml</t>
        </is>
      </c>
      <c r="E26" s="10" t="inlineStr">
        <is>
          <t>SEDAL</t>
        </is>
      </c>
      <c r="F26" s="10" t="n">
        <v>5466</v>
      </c>
      <c r="G26" s="10" t="n">
        <v>451736</v>
      </c>
      <c r="H26" s="10" t="b">
        <v>1</v>
      </c>
      <c r="I26" s="10" t="n">
        <v>340</v>
      </c>
      <c r="J26" s="10" t="n">
        <v>16.0765</v>
      </c>
      <c r="K26" s="10" t="inlineStr">
        <is>
          <t>&gt; Perfumería &gt; Cuidado Capilar &gt; Shampoo &gt;</t>
        </is>
      </c>
      <c r="L26" s="10" t="inlineStr">
        <is>
          <t>shampoo</t>
        </is>
      </c>
      <c r="M26" s="10" t="inlineStr">
        <is>
          <t>estandar</t>
        </is>
      </c>
      <c r="N26" s="10" t="inlineStr">
        <is>
          <t>general</t>
        </is>
      </c>
      <c r="O26" s="10" t="inlineStr">
        <is>
          <t>https://www.disco.com.ar/shampoo-sedal-ceramidas-botella-340-ml-2/p</t>
        </is>
      </c>
    </row>
    <row r="27">
      <c r="A27" t="inlineStr">
        <is>
          <t>Disco</t>
        </is>
      </c>
      <c r="B27" t="n">
        <v>396882</v>
      </c>
      <c r="C27" t="n">
        <v>394638</v>
      </c>
      <c r="D27" t="inlineStr">
        <is>
          <t>Shampoo Crema Balance 340 Ml Sedal</t>
        </is>
      </c>
      <c r="E27" t="inlineStr">
        <is>
          <t>SEDAL</t>
        </is>
      </c>
      <c r="F27" t="n">
        <v>5466</v>
      </c>
      <c r="G27" t="n">
        <v>451736</v>
      </c>
      <c r="H27" t="b">
        <v>1</v>
      </c>
      <c r="I27" t="n">
        <v>340</v>
      </c>
      <c r="J27" t="n">
        <v>16.0765</v>
      </c>
      <c r="K27" t="inlineStr">
        <is>
          <t>&gt; Perfumería &gt; Cuidado Capilar &gt; Shampoo &gt;</t>
        </is>
      </c>
      <c r="L27" t="inlineStr">
        <is>
          <t>shampoo</t>
        </is>
      </c>
      <c r="M27" t="inlineStr">
        <is>
          <t>estandar</t>
        </is>
      </c>
      <c r="N27" t="inlineStr">
        <is>
          <t>general</t>
        </is>
      </c>
      <c r="O27" t="inlineStr">
        <is>
          <t>https://www.disco.com.ar/shampoo-crema-balance-340-ml-sedal/p</t>
        </is>
      </c>
    </row>
    <row r="28">
      <c r="A28" s="10" t="inlineStr">
        <is>
          <t>Disco</t>
        </is>
      </c>
      <c r="B28" s="10" t="n">
        <v>3070283</v>
      </c>
      <c r="C28" s="10" t="n">
        <v>3069876</v>
      </c>
      <c r="D28" s="10" t="inlineStr">
        <is>
          <t>Shampoo Ondas Boho 500 Ml Tresemmé</t>
        </is>
      </c>
      <c r="E28" s="10" t="inlineStr">
        <is>
          <t>TRESEMMÉ</t>
        </is>
      </c>
      <c r="F28" s="10" t="n">
        <v>10750</v>
      </c>
      <c r="G28" s="10" t="n">
        <v>888430</v>
      </c>
      <c r="H28" s="10" t="b">
        <v>1</v>
      </c>
      <c r="I28" s="10" t="n">
        <v>500</v>
      </c>
      <c r="J28" s="10" t="n">
        <v>21.5</v>
      </c>
      <c r="K28" s="10" t="inlineStr">
        <is>
          <t>&gt; Perfumería &gt; Cuidado Capilar &gt; Shampoo &gt;</t>
        </is>
      </c>
      <c r="L28" s="10" t="inlineStr">
        <is>
          <t>shampoo</t>
        </is>
      </c>
      <c r="M28" s="10" t="inlineStr">
        <is>
          <t>estandar</t>
        </is>
      </c>
      <c r="N28" s="10" t="inlineStr">
        <is>
          <t>general</t>
        </is>
      </c>
      <c r="O28" s="10" t="inlineStr">
        <is>
          <t>https://www.disco.com.ar/shampoo-ondas-boho-x-500-ml-tresemme/p</t>
        </is>
      </c>
    </row>
    <row r="29">
      <c r="A29" t="inlineStr">
        <is>
          <t>Disco</t>
        </is>
      </c>
      <c r="B29" t="n">
        <v>397624</v>
      </c>
      <c r="C29" t="n">
        <v>395357</v>
      </c>
      <c r="D29" t="inlineStr">
        <is>
          <t>Shampoo Hialurónico Pure 200 Ml Elvive</t>
        </is>
      </c>
      <c r="E29" t="inlineStr">
        <is>
          <t>ELVIVE</t>
        </is>
      </c>
      <c r="F29" t="n">
        <v>7650</v>
      </c>
      <c r="G29" t="n">
        <v>632231</v>
      </c>
      <c r="H29" t="b">
        <v>1</v>
      </c>
      <c r="I29" t="n">
        <v>200</v>
      </c>
      <c r="J29" t="n">
        <v>38.25</v>
      </c>
      <c r="K29" t="inlineStr">
        <is>
          <t>&gt; Perfumería &gt; Cuidado Capilar &gt; Shampoo &gt;</t>
        </is>
      </c>
      <c r="L29" t="inlineStr">
        <is>
          <t>shampoo</t>
        </is>
      </c>
      <c r="M29" t="inlineStr">
        <is>
          <t>profesional</t>
        </is>
      </c>
      <c r="N29" t="inlineStr">
        <is>
          <t>general</t>
        </is>
      </c>
      <c r="O29" t="inlineStr">
        <is>
          <t>https://www.disco.com.ar/shampoo-elvive-hialuronico-pure-200ml/p</t>
        </is>
      </c>
    </row>
    <row r="30">
      <c r="A30" s="10" t="inlineStr">
        <is>
          <t>Disco</t>
        </is>
      </c>
      <c r="B30" s="10" t="n">
        <v>393563</v>
      </c>
      <c r="C30" s="10" t="n">
        <v>391591</v>
      </c>
      <c r="D30" s="10" t="inlineStr">
        <is>
          <t>Shampoo Reconstrucción Completa 200 Cc Dove</t>
        </is>
      </c>
      <c r="E30" s="10" t="inlineStr">
        <is>
          <t>DOVE</t>
        </is>
      </c>
      <c r="F30" s="10" t="n">
        <v>6150</v>
      </c>
      <c r="G30" s="10" t="n">
        <v>508264</v>
      </c>
      <c r="H30" s="10" t="b">
        <v>1</v>
      </c>
      <c r="I30" s="10" t="inlineStr"/>
      <c r="J30" s="10" t="inlineStr"/>
      <c r="K30" s="10" t="inlineStr">
        <is>
          <t>&gt; Perfumería &gt; Cuidado Capilar &gt; Shampoo &gt;</t>
        </is>
      </c>
      <c r="L30" s="10" t="inlineStr">
        <is>
          <t>shampoo</t>
        </is>
      </c>
      <c r="M30" s="10" t="inlineStr">
        <is>
          <t>estandar</t>
        </is>
      </c>
      <c r="N30" s="10" t="inlineStr">
        <is>
          <t>general</t>
        </is>
      </c>
      <c r="O30" s="10" t="inlineStr">
        <is>
          <t>https://www.disco.com.ar/shampoo-dove-reconstruccion-completa-200cc/p</t>
        </is>
      </c>
    </row>
    <row r="31">
      <c r="A31" t="inlineStr">
        <is>
          <t>Disco</t>
        </is>
      </c>
      <c r="B31" t="n">
        <v>384328</v>
      </c>
      <c r="C31" t="n">
        <v>383817</v>
      </c>
      <c r="D31" t="inlineStr">
        <is>
          <t>Shampoo Esencia Restauración 970 Ml Plusbelle</t>
        </is>
      </c>
      <c r="E31" t="inlineStr">
        <is>
          <t>PLUSBELLE</t>
        </is>
      </c>
      <c r="F31" t="n">
        <v>6500</v>
      </c>
      <c r="G31" t="n">
        <v>537190</v>
      </c>
      <c r="H31" t="b">
        <v>1</v>
      </c>
      <c r="I31" t="n">
        <v>970</v>
      </c>
      <c r="J31" t="n">
        <v>6.701</v>
      </c>
      <c r="K31" t="inlineStr">
        <is>
          <t>&gt; Perfumería &gt; Cuidado Capilar &gt; Shampoo &gt;</t>
        </is>
      </c>
      <c r="L31" t="inlineStr">
        <is>
          <t>shampoo</t>
        </is>
      </c>
      <c r="M31" t="inlineStr">
        <is>
          <t>estandar</t>
        </is>
      </c>
      <c r="N31" t="inlineStr">
        <is>
          <t>general</t>
        </is>
      </c>
      <c r="O31" t="inlineStr">
        <is>
          <t>https://www.disco.com.ar/shampoo-esencia-restauracion-970-ml-plusbelle/p</t>
        </is>
      </c>
    </row>
    <row r="32">
      <c r="A32" s="10" t="inlineStr">
        <is>
          <t>Disco</t>
        </is>
      </c>
      <c r="B32" s="10" t="n">
        <v>3067578</v>
      </c>
      <c r="C32" s="10" t="n">
        <v>3067442</v>
      </c>
      <c r="D32" s="10" t="inlineStr">
        <is>
          <t>Shampoo Luminous UV 650 Ml Sedal</t>
        </is>
      </c>
      <c r="E32" s="10" t="inlineStr">
        <is>
          <t>SEDAL</t>
        </is>
      </c>
      <c r="F32" s="10" t="n">
        <v>9250</v>
      </c>
      <c r="G32" s="10" t="n">
        <v>764463</v>
      </c>
      <c r="H32" s="10" t="b">
        <v>1</v>
      </c>
      <c r="I32" s="10" t="n">
        <v>650</v>
      </c>
      <c r="J32" s="10" t="n">
        <v>14.2308</v>
      </c>
      <c r="K32" s="10" t="inlineStr">
        <is>
          <t>&gt; Perfumería &gt; Cuidado Capilar &gt; Shampoo &gt;</t>
        </is>
      </c>
      <c r="L32" s="10" t="inlineStr">
        <is>
          <t>shampoo</t>
        </is>
      </c>
      <c r="M32" s="10" t="inlineStr">
        <is>
          <t>estandar</t>
        </is>
      </c>
      <c r="N32" s="10" t="inlineStr">
        <is>
          <t>general</t>
        </is>
      </c>
      <c r="O32" s="10" t="inlineStr">
        <is>
          <t>https://www.disco.com.ar/shampoo-luminous-uv-x-650-ml-sedal/p</t>
        </is>
      </c>
    </row>
    <row r="33">
      <c r="A33" t="inlineStr">
        <is>
          <t>Disco</t>
        </is>
      </c>
      <c r="B33" t="n">
        <v>400516</v>
      </c>
      <c r="C33" t="n">
        <v>397854</v>
      </c>
      <c r="D33" t="inlineStr">
        <is>
          <t>Shampoo Hidra Hialurónico 750 Ml Elvive</t>
        </is>
      </c>
      <c r="E33" t="inlineStr">
        <is>
          <t>ELVIVE</t>
        </is>
      </c>
      <c r="F33" t="n">
        <v>19700</v>
      </c>
      <c r="G33" t="n">
        <v>1628099</v>
      </c>
      <c r="H33" t="b">
        <v>1</v>
      </c>
      <c r="I33" t="n">
        <v>750</v>
      </c>
      <c r="J33" t="n">
        <v>26.2667</v>
      </c>
      <c r="K33" t="inlineStr">
        <is>
          <t>&gt; Perfumería &gt; Cuidado Capilar &gt; Shampoo &gt;</t>
        </is>
      </c>
      <c r="L33" t="inlineStr">
        <is>
          <t>shampoo</t>
        </is>
      </c>
      <c r="M33" t="inlineStr">
        <is>
          <t>profesional</t>
        </is>
      </c>
      <c r="N33" t="inlineStr">
        <is>
          <t>general</t>
        </is>
      </c>
      <c r="O33" t="inlineStr">
        <is>
          <t>https://www.disco.com.ar/shampoo-elvive-hidra-hialuronico-750-ml/p</t>
        </is>
      </c>
    </row>
    <row r="34">
      <c r="A34" s="10" t="inlineStr">
        <is>
          <t>Disco</t>
        </is>
      </c>
      <c r="B34" s="10" t="n">
        <v>389300</v>
      </c>
      <c r="C34" s="10" t="n">
        <v>387406</v>
      </c>
      <c r="D34" s="10" t="inlineStr">
        <is>
          <t>Shampoo Restauración Instantánea 340 Ml Sedal</t>
        </is>
      </c>
      <c r="E34" s="10" t="inlineStr">
        <is>
          <t>SEDAL</t>
        </is>
      </c>
      <c r="F34" s="10" t="n">
        <v>5950</v>
      </c>
      <c r="G34" s="10" t="n">
        <v>491736</v>
      </c>
      <c r="H34" s="10" t="b">
        <v>1</v>
      </c>
      <c r="I34" s="10" t="n">
        <v>340</v>
      </c>
      <c r="J34" s="10" t="n">
        <v>17.5</v>
      </c>
      <c r="K34" s="10" t="inlineStr">
        <is>
          <t>&gt; Perfumería &gt; Cuidado Capilar &gt; Shampoo &gt;</t>
        </is>
      </c>
      <c r="L34" s="10" t="inlineStr">
        <is>
          <t>shampoo</t>
        </is>
      </c>
      <c r="M34" s="10" t="inlineStr">
        <is>
          <t>estandar</t>
        </is>
      </c>
      <c r="N34" s="10" t="inlineStr">
        <is>
          <t>general</t>
        </is>
      </c>
      <c r="O34" s="10" t="inlineStr">
        <is>
          <t>https://www.disco.com.ar/shampoo-restauracion-instantanea-340-ml-sedal/p</t>
        </is>
      </c>
    </row>
    <row r="35">
      <c r="A35" t="inlineStr">
        <is>
          <t>Disco</t>
        </is>
      </c>
      <c r="B35" t="n">
        <v>413347</v>
      </c>
      <c r="C35" t="n">
        <v>409228</v>
      </c>
      <c r="D35" t="inlineStr">
        <is>
          <t>Shampoo Keratina Antifrizz 250 Ml Tresemmé</t>
        </is>
      </c>
      <c r="E35" t="inlineStr">
        <is>
          <t>TRESEMMÉ</t>
        </is>
      </c>
      <c r="F35" t="n">
        <v>6450</v>
      </c>
      <c r="G35" t="n">
        <v>533058</v>
      </c>
      <c r="H35" t="b">
        <v>1</v>
      </c>
      <c r="I35" t="n">
        <v>250</v>
      </c>
      <c r="J35" t="n">
        <v>25.8</v>
      </c>
      <c r="K35" t="inlineStr">
        <is>
          <t>&gt; Perfumería &gt; Cuidado Capilar &gt; Shampoo &gt;</t>
        </is>
      </c>
      <c r="L35" t="inlineStr">
        <is>
          <t>shampoo</t>
        </is>
      </c>
      <c r="M35" t="inlineStr">
        <is>
          <t>estandar</t>
        </is>
      </c>
      <c r="N35" t="inlineStr">
        <is>
          <t>tratado</t>
        </is>
      </c>
      <c r="O35" t="inlineStr">
        <is>
          <t>https://www.disco.com.ar/shampoo-tresemme-keratina-antifrizz-250-ml/p</t>
        </is>
      </c>
    </row>
    <row r="36">
      <c r="A36" s="10" t="inlineStr">
        <is>
          <t>Disco</t>
        </is>
      </c>
      <c r="B36" s="10" t="n">
        <v>413348</v>
      </c>
      <c r="C36" s="10" t="n">
        <v>409229</v>
      </c>
      <c r="D36" s="10" t="inlineStr">
        <is>
          <t>Shampoo Tresemme Cauterización Reparadora 250 Ml</t>
        </is>
      </c>
      <c r="E36" s="10" t="inlineStr">
        <is>
          <t>TRESEMMÉ</t>
        </is>
      </c>
      <c r="F36" s="10" t="n">
        <v>6450</v>
      </c>
      <c r="G36" s="10" t="n">
        <v>533058</v>
      </c>
      <c r="H36" s="10" t="b">
        <v>1</v>
      </c>
      <c r="I36" s="10" t="n">
        <v>250</v>
      </c>
      <c r="J36" s="10" t="n">
        <v>25.8</v>
      </c>
      <c r="K36" s="10" t="inlineStr">
        <is>
          <t>&gt; Perfumería &gt; Cuidado Capilar &gt; Shampoo &gt;</t>
        </is>
      </c>
      <c r="L36" s="10" t="inlineStr">
        <is>
          <t>shampoo</t>
        </is>
      </c>
      <c r="M36" s="10" t="inlineStr">
        <is>
          <t>estandar</t>
        </is>
      </c>
      <c r="N36" s="10" t="inlineStr">
        <is>
          <t>general</t>
        </is>
      </c>
      <c r="O36" s="10" t="inlineStr">
        <is>
          <t>https://www.disco.com.ar/shampoo-tresemme-cauterizacion-reparadora-250-ml/p</t>
        </is>
      </c>
    </row>
    <row r="37">
      <c r="A37" t="inlineStr">
        <is>
          <t>Disco</t>
        </is>
      </c>
      <c r="B37" t="n">
        <v>3070277</v>
      </c>
      <c r="C37" t="n">
        <v>3069870</v>
      </c>
      <c r="D37" t="inlineStr">
        <is>
          <t>Shampoo Cauterización Reparadora 500 Ml Tresemmé</t>
        </is>
      </c>
      <c r="E37" t="inlineStr">
        <is>
          <t>TRESEMMÉ</t>
        </is>
      </c>
      <c r="F37" t="n">
        <v>10750</v>
      </c>
      <c r="G37" t="n">
        <v>888430</v>
      </c>
      <c r="H37" t="b">
        <v>1</v>
      </c>
      <c r="I37" t="n">
        <v>500</v>
      </c>
      <c r="J37" t="n">
        <v>21.5</v>
      </c>
      <c r="K37" t="inlineStr">
        <is>
          <t>&gt; Perfumería &gt; Cuidado Capilar &gt; Shampoo &gt;</t>
        </is>
      </c>
      <c r="L37" t="inlineStr">
        <is>
          <t>shampoo</t>
        </is>
      </c>
      <c r="M37" t="inlineStr">
        <is>
          <t>estandar</t>
        </is>
      </c>
      <c r="N37" t="inlineStr">
        <is>
          <t>general</t>
        </is>
      </c>
      <c r="O37" t="inlineStr">
        <is>
          <t>https://www.disco.com.ar/shampoo-cauterizacion-reparadora-x-500-ml-tresemme/p</t>
        </is>
      </c>
    </row>
    <row r="38">
      <c r="A38" s="10" t="inlineStr">
        <is>
          <t>Disco</t>
        </is>
      </c>
      <c r="B38" s="10" t="n">
        <v>415572</v>
      </c>
      <c r="C38" s="10" t="n">
        <v>411156</v>
      </c>
      <c r="D38" s="10" t="inlineStr">
        <is>
          <t>Shampoo Liso Infinito 400 Ml Pantene</t>
        </is>
      </c>
      <c r="E38" s="10" t="inlineStr">
        <is>
          <t>PANTENE</t>
        </is>
      </c>
      <c r="F38" s="10" t="n">
        <v>11000</v>
      </c>
      <c r="G38" s="10" t="n">
        <v>909091</v>
      </c>
      <c r="H38" s="10" t="b">
        <v>1</v>
      </c>
      <c r="I38" s="10" t="n">
        <v>400</v>
      </c>
      <c r="J38" s="10" t="n">
        <v>27.5</v>
      </c>
      <c r="K38" s="10" t="inlineStr">
        <is>
          <t>&gt; Perfumería &gt; Cuidado Capilar &gt; Shampoo &gt;</t>
        </is>
      </c>
      <c r="L38" s="10" t="inlineStr">
        <is>
          <t>shampoo</t>
        </is>
      </c>
      <c r="M38" s="10" t="inlineStr">
        <is>
          <t>estandar</t>
        </is>
      </c>
      <c r="N38" s="10" t="inlineStr">
        <is>
          <t>general</t>
        </is>
      </c>
      <c r="O38" s="10" t="inlineStr">
        <is>
          <t>https://www.disco.com.ar/shampoo-pantene-provmir-liso-infinito-400-ml/p</t>
        </is>
      </c>
    </row>
    <row r="39">
      <c r="A39" t="inlineStr">
        <is>
          <t>Disco</t>
        </is>
      </c>
      <c r="B39" t="n">
        <v>389301</v>
      </c>
      <c r="C39" t="n">
        <v>387407</v>
      </c>
      <c r="D39" t="inlineStr">
        <is>
          <t>Shampoo Rizos Definidos 340 Ml Sedal</t>
        </is>
      </c>
      <c r="E39" t="inlineStr">
        <is>
          <t>SEDAL</t>
        </is>
      </c>
      <c r="F39" t="n">
        <v>5950</v>
      </c>
      <c r="G39" t="n">
        <v>491736</v>
      </c>
      <c r="H39" t="b">
        <v>1</v>
      </c>
      <c r="I39" t="n">
        <v>340</v>
      </c>
      <c r="J39" t="n">
        <v>17.5</v>
      </c>
      <c r="K39" t="inlineStr">
        <is>
          <t>&gt; Perfumería &gt; Cuidado Capilar &gt; Shampoo &gt;</t>
        </is>
      </c>
      <c r="L39" t="inlineStr">
        <is>
          <t>shampoo</t>
        </is>
      </c>
      <c r="M39" t="inlineStr">
        <is>
          <t>estandar</t>
        </is>
      </c>
      <c r="N39" t="inlineStr">
        <is>
          <t>rizado</t>
        </is>
      </c>
      <c r="O39" t="inlineStr">
        <is>
          <t>https://www.disco.com.ar/shampoo-rizos-definidos-340-ml-sedal/p</t>
        </is>
      </c>
    </row>
    <row r="40">
      <c r="A40" s="10" t="inlineStr">
        <is>
          <t>Disco</t>
        </is>
      </c>
      <c r="B40" s="10" t="n">
        <v>415143</v>
      </c>
      <c r="C40" s="10" t="n">
        <v>410803</v>
      </c>
      <c r="D40" s="10" t="inlineStr">
        <is>
          <t>Shampoo Liso Perfecto 340 Ml Sedal</t>
        </is>
      </c>
      <c r="E40" s="10" t="inlineStr">
        <is>
          <t>SEDAL</t>
        </is>
      </c>
      <c r="F40" s="10" t="n">
        <v>5950</v>
      </c>
      <c r="G40" s="10" t="n">
        <v>491736</v>
      </c>
      <c r="H40" s="10" t="b">
        <v>1</v>
      </c>
      <c r="I40" s="10" t="n">
        <v>340</v>
      </c>
      <c r="J40" s="10" t="n">
        <v>17.5</v>
      </c>
      <c r="K40" s="10" t="inlineStr">
        <is>
          <t>&gt; Perfumería &gt; Cuidado Capilar &gt; Shampoo &gt;</t>
        </is>
      </c>
      <c r="L40" s="10" t="inlineStr">
        <is>
          <t>shampoo</t>
        </is>
      </c>
      <c r="M40" s="10" t="inlineStr">
        <is>
          <t>estandar</t>
        </is>
      </c>
      <c r="N40" s="10" t="inlineStr">
        <is>
          <t>general</t>
        </is>
      </c>
      <c r="O40" s="10" t="inlineStr">
        <is>
          <t>https://www.disco.com.ar/shampoo-liso-perfecto-340-ml-sedal/p</t>
        </is>
      </c>
    </row>
    <row r="41">
      <c r="A41" t="inlineStr">
        <is>
          <t>Disco</t>
        </is>
      </c>
      <c r="B41" t="n">
        <v>396887</v>
      </c>
      <c r="C41" t="n">
        <v>394643</v>
      </c>
      <c r="D41" t="inlineStr">
        <is>
          <t>Shampoo Dove Regeneración Extrema 200 Ml</t>
        </is>
      </c>
      <c r="E41" t="inlineStr">
        <is>
          <t>DOVE</t>
        </is>
      </c>
      <c r="F41" t="n">
        <v>6150</v>
      </c>
      <c r="G41" t="n">
        <v>508264</v>
      </c>
      <c r="H41" t="b">
        <v>1</v>
      </c>
      <c r="I41" t="n">
        <v>200</v>
      </c>
      <c r="J41" t="n">
        <v>30.75</v>
      </c>
      <c r="K41" t="inlineStr">
        <is>
          <t>&gt; Perfumería &gt; Cuidado Capilar &gt; Shampoo &gt;</t>
        </is>
      </c>
      <c r="L41" t="inlineStr">
        <is>
          <t>shampoo</t>
        </is>
      </c>
      <c r="M41" t="inlineStr">
        <is>
          <t>estandar</t>
        </is>
      </c>
      <c r="N41" t="inlineStr">
        <is>
          <t>general</t>
        </is>
      </c>
      <c r="O41" t="inlineStr">
        <is>
          <t>https://www.disco.com.ar/shampoo-dove-regeneracion-extrema-200-ml-2/p</t>
        </is>
      </c>
    </row>
    <row r="42">
      <c r="A42" s="10" t="inlineStr">
        <is>
          <t>Disco</t>
        </is>
      </c>
      <c r="B42" s="10" t="n">
        <v>389291</v>
      </c>
      <c r="C42" s="10" t="n">
        <v>387397</v>
      </c>
      <c r="D42" s="10" t="inlineStr">
        <is>
          <t>Shampoo Brillo Ceramidas 650 Ml Sedal</t>
        </is>
      </c>
      <c r="E42" s="10" t="inlineStr">
        <is>
          <t>SEDAL</t>
        </is>
      </c>
      <c r="F42" s="10" t="n">
        <v>9550</v>
      </c>
      <c r="G42" s="10" t="n">
        <v>789256</v>
      </c>
      <c r="H42" s="10" t="b">
        <v>1</v>
      </c>
      <c r="I42" s="10" t="n">
        <v>650</v>
      </c>
      <c r="J42" s="10" t="n">
        <v>14.6923</v>
      </c>
      <c r="K42" s="10" t="inlineStr">
        <is>
          <t>&gt; Perfumería &gt; Cuidado Capilar &gt; Shampoo &gt;</t>
        </is>
      </c>
      <c r="L42" s="10" t="inlineStr">
        <is>
          <t>shampoo</t>
        </is>
      </c>
      <c r="M42" s="10" t="inlineStr">
        <is>
          <t>estandar</t>
        </is>
      </c>
      <c r="N42" s="10" t="inlineStr">
        <is>
          <t>general</t>
        </is>
      </c>
      <c r="O42" s="10" t="inlineStr">
        <is>
          <t>https://www.disco.com.ar/shampoo-sedal-ceramidas-botella-650-ml-2/p</t>
        </is>
      </c>
    </row>
    <row r="43">
      <c r="A43" t="inlineStr">
        <is>
          <t>Disco</t>
        </is>
      </c>
      <c r="B43" t="n">
        <v>413343</v>
      </c>
      <c r="C43" t="n">
        <v>409224</v>
      </c>
      <c r="D43" t="inlineStr">
        <is>
          <t>Shampoo Tresemme Cauterización Reparadora 880 Ml</t>
        </is>
      </c>
      <c r="E43" t="inlineStr">
        <is>
          <t>TRESEMMÉ</t>
        </is>
      </c>
      <c r="F43" t="n">
        <v>17050</v>
      </c>
      <c r="G43" t="n">
        <v>1409091</v>
      </c>
      <c r="H43" t="b">
        <v>1</v>
      </c>
      <c r="I43" t="n">
        <v>880</v>
      </c>
      <c r="J43" t="n">
        <v>19.375</v>
      </c>
      <c r="K43" t="inlineStr">
        <is>
          <t>&gt; Perfumería &gt; Cuidado Capilar &gt; Shampoo &gt;</t>
        </is>
      </c>
      <c r="L43" t="inlineStr">
        <is>
          <t>shampoo</t>
        </is>
      </c>
      <c r="M43" t="inlineStr">
        <is>
          <t>estandar</t>
        </is>
      </c>
      <c r="N43" t="inlineStr">
        <is>
          <t>general</t>
        </is>
      </c>
      <c r="O43" t="inlineStr">
        <is>
          <t>https://www.disco.com.ar/shampoo-tresemme-cauterizacion-reparadora-880-ml/p</t>
        </is>
      </c>
    </row>
    <row r="44">
      <c r="A44" s="10" t="inlineStr">
        <is>
          <t>Disco</t>
        </is>
      </c>
      <c r="B44" s="10" t="n">
        <v>21999</v>
      </c>
      <c r="C44" s="10" t="n">
        <v>19162</v>
      </c>
      <c r="D44" s="10" t="inlineStr">
        <is>
          <t>Shampoo Brillo Extremo 410 Ml Capilatis</t>
        </is>
      </c>
      <c r="E44" s="10" t="inlineStr">
        <is>
          <t>CAPILATIS</t>
        </is>
      </c>
      <c r="F44" s="10" t="n">
        <v>9750</v>
      </c>
      <c r="G44" s="10" t="n">
        <v>805785</v>
      </c>
      <c r="H44" s="10" t="b">
        <v>1</v>
      </c>
      <c r="I44" s="10" t="n">
        <v>410</v>
      </c>
      <c r="J44" s="10" t="n">
        <v>23.7805</v>
      </c>
      <c r="K44" s="10" t="inlineStr">
        <is>
          <t>&gt; Perfumería &gt; Cuidado Capilar &gt; Shampoo &gt;</t>
        </is>
      </c>
      <c r="L44" s="10" t="inlineStr">
        <is>
          <t>shampoo</t>
        </is>
      </c>
      <c r="M44" s="10" t="inlineStr">
        <is>
          <t>estandar</t>
        </is>
      </c>
      <c r="N44" s="10" t="inlineStr">
        <is>
          <t>general</t>
        </is>
      </c>
      <c r="O44" s="10" t="inlineStr">
        <is>
          <t>https://www.disco.com.ar/shampoo-capilatis-brillo-extremo-410-ml/p</t>
        </is>
      </c>
    </row>
    <row r="45">
      <c r="A45" t="inlineStr">
        <is>
          <t>Disco</t>
        </is>
      </c>
      <c r="B45" t="n">
        <v>407570</v>
      </c>
      <c r="C45" t="n">
        <v>403759</v>
      </c>
      <c r="D45" t="inlineStr">
        <is>
          <t>Shampoo Elvive Reparacion Extreme 200 Ml</t>
        </is>
      </c>
      <c r="E45" t="inlineStr">
        <is>
          <t>ELVIVE</t>
        </is>
      </c>
      <c r="F45" t="n">
        <v>7600</v>
      </c>
      <c r="G45" t="n">
        <v>628099</v>
      </c>
      <c r="H45" t="b">
        <v>1</v>
      </c>
      <c r="I45" t="n">
        <v>200</v>
      </c>
      <c r="J45" t="n">
        <v>38</v>
      </c>
      <c r="K45" t="inlineStr">
        <is>
          <t>&gt; Perfumería &gt; Cuidado Capilar &gt; Shampoo &gt;</t>
        </is>
      </c>
      <c r="L45" t="inlineStr">
        <is>
          <t>shampoo</t>
        </is>
      </c>
      <c r="M45" t="inlineStr">
        <is>
          <t>profesional</t>
        </is>
      </c>
      <c r="N45" t="inlineStr">
        <is>
          <t>general</t>
        </is>
      </c>
      <c r="O45" t="inlineStr">
        <is>
          <t>https://www.disco.com.ar/shampoo-elvive-reparacion-extreme-200-ml/p</t>
        </is>
      </c>
    </row>
    <row r="46">
      <c r="A46" s="10" t="inlineStr">
        <is>
          <t>Disco</t>
        </is>
      </c>
      <c r="B46" s="10" t="n">
        <v>316330</v>
      </c>
      <c r="C46" s="10" t="n">
        <v>315564</v>
      </c>
      <c r="D46" s="10" t="inlineStr">
        <is>
          <t>Shampoo Pantene Pro-v Bambú 400 Ml</t>
        </is>
      </c>
      <c r="E46" s="10" t="inlineStr">
        <is>
          <t>PANTENE</t>
        </is>
      </c>
      <c r="F46" s="10" t="n">
        <v>11000</v>
      </c>
      <c r="G46" s="10" t="n">
        <v>909091</v>
      </c>
      <c r="H46" s="10" t="b">
        <v>1</v>
      </c>
      <c r="I46" s="10" t="n">
        <v>400</v>
      </c>
      <c r="J46" s="10" t="n">
        <v>27.5</v>
      </c>
      <c r="K46" s="10" t="inlineStr">
        <is>
          <t>&gt; Perfumería &gt; Cuidado Capilar &gt; Shampoo &gt;</t>
        </is>
      </c>
      <c r="L46" s="10" t="inlineStr">
        <is>
          <t>shampoo</t>
        </is>
      </c>
      <c r="M46" s="10" t="inlineStr">
        <is>
          <t>profesional</t>
        </is>
      </c>
      <c r="N46" s="10" t="inlineStr">
        <is>
          <t>general</t>
        </is>
      </c>
      <c r="O46" s="10" t="inlineStr">
        <is>
          <t>https://www.disco.com.ar/shampoo-pantene-pro-v-bambu-400-ml/p</t>
        </is>
      </c>
    </row>
    <row r="47">
      <c r="A47" t="inlineStr">
        <is>
          <t>Disco</t>
        </is>
      </c>
      <c r="B47" t="n">
        <v>1365009</v>
      </c>
      <c r="C47" t="n">
        <v>1363957</v>
      </c>
      <c r="D47" t="inlineStr">
        <is>
          <t>Shampoo Anticomezón 375 Ml Head y Shoulders</t>
        </is>
      </c>
      <c r="E47" t="inlineStr">
        <is>
          <t>HEAD &amp; SHOULDERS</t>
        </is>
      </c>
      <c r="F47" t="n">
        <v>13100</v>
      </c>
      <c r="G47" t="n">
        <v>1082645</v>
      </c>
      <c r="H47" t="b">
        <v>1</v>
      </c>
      <c r="I47" t="n">
        <v>375</v>
      </c>
      <c r="J47" t="n">
        <v>34.9333</v>
      </c>
      <c r="K47" t="inlineStr">
        <is>
          <t>&gt; Perfumería &gt; Cuidado Capilar &gt; Shampoo &gt;</t>
        </is>
      </c>
      <c r="L47" t="inlineStr">
        <is>
          <t>shampoo</t>
        </is>
      </c>
      <c r="M47" t="inlineStr">
        <is>
          <t>estandar</t>
        </is>
      </c>
      <c r="N47" t="inlineStr">
        <is>
          <t>general</t>
        </is>
      </c>
      <c r="O47" t="inlineStr">
        <is>
          <t>https://www.disco.com.ar/shampoo-anticomezon-375-ml-head-shoulders-2/p</t>
        </is>
      </c>
    </row>
    <row r="48">
      <c r="A48" s="10" t="inlineStr">
        <is>
          <t>Disco</t>
        </is>
      </c>
      <c r="B48" s="10" t="n">
        <v>413366</v>
      </c>
      <c r="C48" s="10" t="n">
        <v>409243</v>
      </c>
      <c r="D48" s="10" t="inlineStr">
        <is>
          <t>Shampoo Vitaminas Bomba Jazmín 930 Ml Suave</t>
        </is>
      </c>
      <c r="E48" s="10" t="inlineStr">
        <is>
          <t>SUAVE</t>
        </is>
      </c>
      <c r="F48" s="10" t="n">
        <v>4600</v>
      </c>
      <c r="G48" s="10" t="n">
        <v>380165</v>
      </c>
      <c r="H48" s="10" t="b">
        <v>1</v>
      </c>
      <c r="I48" s="10" t="n">
        <v>930</v>
      </c>
      <c r="J48" s="10" t="n">
        <v>4.9462</v>
      </c>
      <c r="K48" s="10" t="inlineStr">
        <is>
          <t>&gt; Perfumería &gt; Cuidado Capilar &gt; Shampoo &gt;</t>
        </is>
      </c>
      <c r="L48" s="10" t="inlineStr">
        <is>
          <t>shampoo</t>
        </is>
      </c>
      <c r="M48" s="10" t="inlineStr">
        <is>
          <t>estandar</t>
        </is>
      </c>
      <c r="N48" s="10" t="inlineStr">
        <is>
          <t>bebe</t>
        </is>
      </c>
      <c r="O48" s="10" t="inlineStr">
        <is>
          <t>https://www.disco.com.ar/shampoo-suave-vitaminas-bomba-jazmin-930-ml-3/p</t>
        </is>
      </c>
    </row>
    <row r="49">
      <c r="A49" t="inlineStr">
        <is>
          <t>Disco</t>
        </is>
      </c>
      <c r="B49" t="n">
        <v>3067727</v>
      </c>
      <c r="C49" t="n">
        <v>3067587</v>
      </c>
      <c r="D49" t="inlineStr">
        <is>
          <t>Shampoo Nuhoney 180 Ml Head &amp; Shoulders</t>
        </is>
      </c>
      <c r="E49" t="inlineStr">
        <is>
          <t>HEAD &amp; SHOULDERS</t>
        </is>
      </c>
      <c r="F49" t="n">
        <v>7900</v>
      </c>
      <c r="G49" t="n">
        <v>652893</v>
      </c>
      <c r="H49" t="b">
        <v>1</v>
      </c>
      <c r="I49" t="n">
        <v>180</v>
      </c>
      <c r="J49" t="n">
        <v>43.8889</v>
      </c>
      <c r="K49" t="inlineStr">
        <is>
          <t>&gt; Perfumería &gt; Cuidado Capilar &gt; Shampoo &gt;</t>
        </is>
      </c>
      <c r="L49" t="inlineStr">
        <is>
          <t>shampoo</t>
        </is>
      </c>
      <c r="M49" t="inlineStr">
        <is>
          <t>estandar</t>
        </is>
      </c>
      <c r="N49" t="inlineStr">
        <is>
          <t>general</t>
        </is>
      </c>
      <c r="O49" t="inlineStr">
        <is>
          <t>https://www.disco.com.ar/shampoo-nuhoney-180-ml-head-shoulders/p</t>
        </is>
      </c>
    </row>
    <row r="50">
      <c r="A50" s="10" t="inlineStr">
        <is>
          <t>Disco</t>
        </is>
      </c>
      <c r="B50" s="10" t="n">
        <v>397216</v>
      </c>
      <c r="C50" s="10" t="n">
        <v>394957</v>
      </c>
      <c r="D50" s="10" t="inlineStr">
        <is>
          <t>Shampoo Reparador Goodbye Daños 350 Ml Fructis</t>
        </is>
      </c>
      <c r="E50" s="10" t="inlineStr">
        <is>
          <t>FRUCTIS</t>
        </is>
      </c>
      <c r="F50" s="10" t="n">
        <v>8750</v>
      </c>
      <c r="G50" s="10" t="n">
        <v>723141</v>
      </c>
      <c r="H50" s="10" t="b">
        <v>1</v>
      </c>
      <c r="I50" s="10" t="n">
        <v>350</v>
      </c>
      <c r="J50" s="10" t="n">
        <v>25</v>
      </c>
      <c r="K50" s="10" t="inlineStr">
        <is>
          <t>&gt; Perfumería &gt; Cuidado Capilar &gt; Shampoo &gt;</t>
        </is>
      </c>
      <c r="L50" s="10" t="inlineStr">
        <is>
          <t>shampoo</t>
        </is>
      </c>
      <c r="M50" s="10" t="inlineStr">
        <is>
          <t>estandar</t>
        </is>
      </c>
      <c r="N50" s="10" t="inlineStr">
        <is>
          <t>general</t>
        </is>
      </c>
      <c r="O50" s="10" t="inlineStr">
        <is>
          <t>https://www.disco.com.ar/shampoo-garnier-fructis-cabellos-danados-goodbye-danos-350-ml/p</t>
        </is>
      </c>
    </row>
    <row r="51">
      <c r="A51" t="inlineStr">
        <is>
          <t>Disco</t>
        </is>
      </c>
      <c r="B51" t="n">
        <v>29577</v>
      </c>
      <c r="C51" t="n">
        <v>26739</v>
      </c>
      <c r="D51" t="inlineStr">
        <is>
          <t>Shampoo Keratina Hair Therapy 350 Ml Capilatis</t>
        </is>
      </c>
      <c r="E51" t="inlineStr">
        <is>
          <t>CAPILATIS</t>
        </is>
      </c>
      <c r="F51" t="n">
        <v>9750</v>
      </c>
      <c r="G51" t="n">
        <v>805785</v>
      </c>
      <c r="H51" t="b">
        <v>1</v>
      </c>
      <c r="I51" t="n">
        <v>350</v>
      </c>
      <c r="J51" t="n">
        <v>27.8571</v>
      </c>
      <c r="K51" t="inlineStr">
        <is>
          <t>&gt; Perfumería &gt; Cuidado Capilar &gt; Shampoo &gt;</t>
        </is>
      </c>
      <c r="L51" t="inlineStr">
        <is>
          <t>shampoo</t>
        </is>
      </c>
      <c r="M51" t="inlineStr">
        <is>
          <t>estandar</t>
        </is>
      </c>
      <c r="N51" t="inlineStr">
        <is>
          <t>tratado</t>
        </is>
      </c>
      <c r="O51" t="inlineStr">
        <is>
          <t>https://www.disco.com.ar/shampoo-keratina-hair-therapy-350-ml-capilatis/p</t>
        </is>
      </c>
    </row>
    <row r="52">
      <c r="A52" s="10" t="inlineStr">
        <is>
          <t>Disco</t>
        </is>
      </c>
      <c r="B52" s="10" t="n">
        <v>276976</v>
      </c>
      <c r="C52" s="10" t="n">
        <v>276262</v>
      </c>
      <c r="D52" s="10" t="inlineStr">
        <is>
          <t>Shampoo Nutrición Natural Oil 420 Ml Capilatis</t>
        </is>
      </c>
      <c r="E52" s="10" t="inlineStr">
        <is>
          <t>CAPILATIS</t>
        </is>
      </c>
      <c r="F52" s="10" t="n">
        <v>10950</v>
      </c>
      <c r="G52" s="10" t="n">
        <v>904959</v>
      </c>
      <c r="H52" s="10" t="b">
        <v>1</v>
      </c>
      <c r="I52" s="10" t="n">
        <v>420</v>
      </c>
      <c r="J52" s="10" t="n">
        <v>26.0714</v>
      </c>
      <c r="K52" s="10" t="inlineStr">
        <is>
          <t>&gt; Perfumería &gt; Cuidado Capilar &gt; Shampoo &gt;</t>
        </is>
      </c>
      <c r="L52" s="10" t="inlineStr">
        <is>
          <t>shampoo</t>
        </is>
      </c>
      <c r="M52" s="10" t="inlineStr">
        <is>
          <t>estandar</t>
        </is>
      </c>
      <c r="N52" s="10" t="inlineStr">
        <is>
          <t>general</t>
        </is>
      </c>
      <c r="O52" s="10" t="inlineStr">
        <is>
          <t>https://www.disco.com.ar/shampoo-capilatis-oil-420-ml-natural/p</t>
        </is>
      </c>
    </row>
    <row r="53">
      <c r="A53" t="inlineStr">
        <is>
          <t>Disco</t>
        </is>
      </c>
      <c r="B53" t="n">
        <v>3067684</v>
      </c>
      <c r="C53" t="n">
        <v>3067546</v>
      </c>
      <c r="D53" t="inlineStr">
        <is>
          <t>Shampoo Nuhoney 375 Ml Head &amp; Shoulders</t>
        </is>
      </c>
      <c r="E53" t="inlineStr">
        <is>
          <t>HEAD &amp; SHOULDERS</t>
        </is>
      </c>
      <c r="F53" t="n">
        <v>13100</v>
      </c>
      <c r="G53" t="n">
        <v>1082645</v>
      </c>
      <c r="H53" t="b">
        <v>1</v>
      </c>
      <c r="I53" t="n">
        <v>375</v>
      </c>
      <c r="J53" t="n">
        <v>34.9333</v>
      </c>
      <c r="K53" t="inlineStr">
        <is>
          <t>&gt; Perfumería &gt; Cuidado Capilar &gt; Shampoo &gt;</t>
        </is>
      </c>
      <c r="L53" t="inlineStr">
        <is>
          <t>shampoo</t>
        </is>
      </c>
      <c r="M53" t="inlineStr">
        <is>
          <t>estandar</t>
        </is>
      </c>
      <c r="N53" t="inlineStr">
        <is>
          <t>general</t>
        </is>
      </c>
      <c r="O53" t="inlineStr">
        <is>
          <t>https://www.disco.com.ar/shampoo-nuhoney-375-ml-head-shoulders/p</t>
        </is>
      </c>
    </row>
    <row r="54">
      <c r="A54" s="10" t="inlineStr">
        <is>
          <t>Disco</t>
        </is>
      </c>
      <c r="B54" s="10" t="n">
        <v>3067581</v>
      </c>
      <c r="C54" s="10" t="n">
        <v>3067445</v>
      </c>
      <c r="D54" s="10" t="inlineStr">
        <is>
          <t>Shampoo Luminous Uv X 190 Ml Sedal</t>
        </is>
      </c>
      <c r="E54" s="10" t="inlineStr">
        <is>
          <t>SEDAL</t>
        </is>
      </c>
      <c r="F54" s="10" t="n">
        <v>3950</v>
      </c>
      <c r="G54" s="10" t="n">
        <v>326446</v>
      </c>
      <c r="H54" s="10" t="b">
        <v>1</v>
      </c>
      <c r="I54" s="10" t="n">
        <v>190</v>
      </c>
      <c r="J54" s="10" t="n">
        <v>20.7895</v>
      </c>
      <c r="K54" s="10" t="inlineStr">
        <is>
          <t>&gt; Perfumería &gt; Cuidado Capilar &gt; Shampoo &gt;</t>
        </is>
      </c>
      <c r="L54" s="10" t="inlineStr">
        <is>
          <t>shampoo</t>
        </is>
      </c>
      <c r="M54" s="10" t="inlineStr">
        <is>
          <t>estandar</t>
        </is>
      </c>
      <c r="N54" s="10" t="inlineStr">
        <is>
          <t>general</t>
        </is>
      </c>
      <c r="O54" s="10" t="inlineStr">
        <is>
          <t>https://www.disco.com.ar/shampoo-luminous-uv-x-190-ml-sedal-2/p</t>
        </is>
      </c>
    </row>
    <row r="55">
      <c r="A55" t="inlineStr">
        <is>
          <t>Disco</t>
        </is>
      </c>
      <c r="B55" t="n">
        <v>424110</v>
      </c>
      <c r="C55" t="n">
        <v>417111</v>
      </c>
      <c r="D55" t="inlineStr">
        <is>
          <t>Shampoo Argan 650 Ml Head &amp; Shoulders</t>
        </is>
      </c>
      <c r="E55" t="inlineStr">
        <is>
          <t>HEAD &amp; SHOULDERS</t>
        </is>
      </c>
      <c r="F55" t="n">
        <v>19950</v>
      </c>
      <c r="G55" t="n">
        <v>1648760</v>
      </c>
      <c r="H55" t="b">
        <v>1</v>
      </c>
      <c r="I55" t="n">
        <v>650</v>
      </c>
      <c r="J55" t="n">
        <v>30.6923</v>
      </c>
      <c r="K55" t="inlineStr">
        <is>
          <t>&gt; Perfumería &gt; Cuidado Capilar &gt; Shampoo &gt;</t>
        </is>
      </c>
      <c r="L55" t="inlineStr">
        <is>
          <t>shampoo</t>
        </is>
      </c>
      <c r="M55" t="inlineStr">
        <is>
          <t>estandar</t>
        </is>
      </c>
      <c r="N55" t="inlineStr">
        <is>
          <t>general</t>
        </is>
      </c>
      <c r="O55" t="inlineStr">
        <is>
          <t>https://www.disco.com.ar/shampoo-argan-650-ml-head-shoulders-2/p</t>
        </is>
      </c>
    </row>
    <row r="56">
      <c r="A56" s="10" t="inlineStr">
        <is>
          <t>Disco</t>
        </is>
      </c>
      <c r="B56" s="10" t="n">
        <v>414722</v>
      </c>
      <c r="C56" s="10" t="n">
        <v>410423</v>
      </c>
      <c r="D56" s="10" t="inlineStr">
        <is>
          <t>Shampoo Kids Fragancia Prolongada 400 Ml Johnson's</t>
        </is>
      </c>
      <c r="E56" s="10" t="inlineStr">
        <is>
          <t>JOHNSON BABY</t>
        </is>
      </c>
      <c r="F56" s="10" t="n">
        <v>10450</v>
      </c>
      <c r="G56" s="10" t="n">
        <v>863636</v>
      </c>
      <c r="H56" s="10" t="b">
        <v>1</v>
      </c>
      <c r="I56" s="10" t="n">
        <v>400</v>
      </c>
      <c r="J56" s="10" t="n">
        <v>26.125</v>
      </c>
      <c r="K56" s="10" t="inlineStr">
        <is>
          <t>&gt; Mundo Bebe &gt; Higiene para el Bebe &gt; Higiene del Bebé &gt;</t>
        </is>
      </c>
      <c r="L56" s="10" t="inlineStr">
        <is>
          <t>shampoo</t>
        </is>
      </c>
      <c r="M56" s="10" t="inlineStr">
        <is>
          <t>estandar</t>
        </is>
      </c>
      <c r="N56" s="10" t="inlineStr">
        <is>
          <t>bebe</t>
        </is>
      </c>
      <c r="O56" s="10" t="inlineStr">
        <is>
          <t>https://www.disco.com.ar/shampoo-baby-fragancia-prolongada-400-ml-johnson-s/p</t>
        </is>
      </c>
    </row>
    <row r="57">
      <c r="A57" t="inlineStr">
        <is>
          <t>Disco</t>
        </is>
      </c>
      <c r="B57" t="n">
        <v>413344</v>
      </c>
      <c r="C57" t="n">
        <v>409225</v>
      </c>
      <c r="D57" t="inlineStr">
        <is>
          <t>Shampoo Tresemme Liso Efecto Botox 880 Ml</t>
        </is>
      </c>
      <c r="E57" t="inlineStr">
        <is>
          <t>TRESEMMÉ</t>
        </is>
      </c>
      <c r="F57" t="n">
        <v>17050</v>
      </c>
      <c r="G57" t="n">
        <v>1409091</v>
      </c>
      <c r="H57" t="b">
        <v>1</v>
      </c>
      <c r="I57" t="n">
        <v>880</v>
      </c>
      <c r="J57" t="n">
        <v>19.375</v>
      </c>
      <c r="K57" t="inlineStr">
        <is>
          <t>&gt; Perfumería &gt; Cuidado Capilar &gt; Shampoo &gt;</t>
        </is>
      </c>
      <c r="L57" t="inlineStr">
        <is>
          <t>shampoo</t>
        </is>
      </c>
      <c r="M57" t="inlineStr">
        <is>
          <t>estandar</t>
        </is>
      </c>
      <c r="N57" t="inlineStr">
        <is>
          <t>general</t>
        </is>
      </c>
      <c r="O57" t="inlineStr">
        <is>
          <t>https://www.disco.com.ar/shampoo-tresemme-liso-efecto-botox-880-ml/p</t>
        </is>
      </c>
    </row>
    <row r="58">
      <c r="A58" s="10" t="inlineStr">
        <is>
          <t>Disco</t>
        </is>
      </c>
      <c r="B58" s="10" t="n">
        <v>3070280</v>
      </c>
      <c r="C58" s="10" t="n">
        <v>3069873</v>
      </c>
      <c r="D58" s="10" t="inlineStr">
        <is>
          <t>Shampoo Liso Efecto Profesional 500 Ml Tresemmé</t>
        </is>
      </c>
      <c r="E58" s="10" t="inlineStr">
        <is>
          <t>TRESEMMÉ</t>
        </is>
      </c>
      <c r="F58" s="10" t="n">
        <v>10750</v>
      </c>
      <c r="G58" s="10" t="n">
        <v>888430</v>
      </c>
      <c r="H58" s="10" t="b">
        <v>1</v>
      </c>
      <c r="I58" s="10" t="n">
        <v>500</v>
      </c>
      <c r="J58" s="10" t="n">
        <v>21.5</v>
      </c>
      <c r="K58" s="10" t="inlineStr">
        <is>
          <t>&gt; Perfumería &gt; Cuidado Capilar &gt; Shampoo &gt;</t>
        </is>
      </c>
      <c r="L58" s="10" t="inlineStr">
        <is>
          <t>shampoo</t>
        </is>
      </c>
      <c r="M58" s="10" t="inlineStr">
        <is>
          <t>profesional</t>
        </is>
      </c>
      <c r="N58" s="10" t="inlineStr">
        <is>
          <t>general</t>
        </is>
      </c>
      <c r="O58" s="10" t="inlineStr">
        <is>
          <t>https://www.disco.com.ar/shampoo-liso-perfecto-profesional-x-500-ml-tresemme-2/p</t>
        </is>
      </c>
    </row>
    <row r="59">
      <c r="A59" t="inlineStr">
        <is>
          <t>Disco</t>
        </is>
      </c>
      <c r="B59" t="n">
        <v>119611</v>
      </c>
      <c r="C59" t="n">
        <v>118639</v>
      </c>
      <c r="D59" t="inlineStr">
        <is>
          <t>Shampoo para Bebé Original 400 Ml Johnson's</t>
        </is>
      </c>
      <c r="E59" t="inlineStr">
        <is>
          <t>JOHNSON BABY</t>
        </is>
      </c>
      <c r="F59" t="n">
        <v>12350</v>
      </c>
      <c r="G59" t="n">
        <v>1020661</v>
      </c>
      <c r="H59" t="b">
        <v>1</v>
      </c>
      <c r="I59" t="n">
        <v>400</v>
      </c>
      <c r="J59" t="n">
        <v>30.875</v>
      </c>
      <c r="K59" t="inlineStr">
        <is>
          <t>&gt; Mundo Bebe &gt; Higiene para el Bebe &gt; Higiene del Bebé &gt;</t>
        </is>
      </c>
      <c r="L59" t="inlineStr">
        <is>
          <t>shampoo</t>
        </is>
      </c>
      <c r="M59" t="inlineStr">
        <is>
          <t>estandar</t>
        </is>
      </c>
      <c r="N59" t="inlineStr">
        <is>
          <t>bebe</t>
        </is>
      </c>
      <c r="O59" t="inlineStr">
        <is>
          <t>https://www.disco.com.ar/toallas-femeninas-con-alas-siempre-libre-especial-8-un/p</t>
        </is>
      </c>
    </row>
    <row r="60">
      <c r="A60" s="10" t="inlineStr">
        <is>
          <t>Disco</t>
        </is>
      </c>
      <c r="B60" s="10" t="n">
        <v>1361444</v>
      </c>
      <c r="C60" s="10" t="n">
        <v>1360832</v>
      </c>
      <c r="D60" s="10" t="inlineStr">
        <is>
          <t>Shampoo Nutrición Esencia Revitalizante 700 Ml Plusbelle</t>
        </is>
      </c>
      <c r="E60" s="10" t="inlineStr">
        <is>
          <t>PLUSBELLE</t>
        </is>
      </c>
      <c r="F60" s="10" t="n">
        <v>5650</v>
      </c>
      <c r="G60" s="10" t="n">
        <v>466942</v>
      </c>
      <c r="H60" s="10" t="b">
        <v>1</v>
      </c>
      <c r="I60" s="10" t="n">
        <v>700</v>
      </c>
      <c r="J60" s="10" t="n">
        <v>8.071400000000001</v>
      </c>
      <c r="K60" s="10" t="inlineStr">
        <is>
          <t>&gt; Perfumería &gt; Cuidado Capilar &gt; Shampoo &gt;</t>
        </is>
      </c>
      <c r="L60" s="10" t="inlineStr">
        <is>
          <t>shampoo</t>
        </is>
      </c>
      <c r="M60" s="10" t="inlineStr">
        <is>
          <t>estandar</t>
        </is>
      </c>
      <c r="N60" s="10" t="inlineStr">
        <is>
          <t>general</t>
        </is>
      </c>
      <c r="O60" s="10" t="inlineStr">
        <is>
          <t>https://www.disco.com.ar/shampoo-plusbelle-esencia-revitalizante-700ml-2/p</t>
        </is>
      </c>
    </row>
    <row r="61">
      <c r="A61" t="inlineStr">
        <is>
          <t>Disco</t>
        </is>
      </c>
      <c r="B61" t="n">
        <v>388708</v>
      </c>
      <c r="C61" t="n">
        <v>386820</v>
      </c>
      <c r="D61" t="inlineStr">
        <is>
          <t>Shampoo Nutrición Oleo Extraordinario 200 Ml Elvive</t>
        </is>
      </c>
      <c r="E61" t="inlineStr">
        <is>
          <t>ELVIVE</t>
        </is>
      </c>
      <c r="F61" t="n">
        <v>7650</v>
      </c>
      <c r="G61" t="n">
        <v>632231</v>
      </c>
      <c r="H61" t="b">
        <v>1</v>
      </c>
      <c r="I61" t="n">
        <v>200</v>
      </c>
      <c r="J61" t="n">
        <v>38.25</v>
      </c>
      <c r="K61" t="inlineStr">
        <is>
          <t>&gt; Perfumería &gt; Cuidado Capilar &gt; Shampoo &gt;</t>
        </is>
      </c>
      <c r="L61" t="inlineStr">
        <is>
          <t>shampoo</t>
        </is>
      </c>
      <c r="M61" t="inlineStr">
        <is>
          <t>profesional</t>
        </is>
      </c>
      <c r="N61" t="inlineStr">
        <is>
          <t>general</t>
        </is>
      </c>
      <c r="O61" t="inlineStr">
        <is>
          <t>https://www.disco.com.ar/shampoo-elvive-oleo-extraordinario-nutricion-universal-200-ml/p</t>
        </is>
      </c>
    </row>
    <row r="62">
      <c r="A62" s="10" t="inlineStr">
        <is>
          <t>Disco</t>
        </is>
      </c>
      <c r="B62" s="10" t="n">
        <v>275447</v>
      </c>
      <c r="C62" s="10" t="n">
        <v>274743</v>
      </c>
      <c r="D62" s="10" t="inlineStr">
        <is>
          <t>Shampoo Antifall 180 Ml Head &amp; Shoulders</t>
        </is>
      </c>
      <c r="E62" s="10" t="inlineStr">
        <is>
          <t>HEAD &amp; SHOULDERS</t>
        </is>
      </c>
      <c r="F62" s="10" t="n">
        <v>7900</v>
      </c>
      <c r="G62" s="10" t="n">
        <v>652893</v>
      </c>
      <c r="H62" s="10" t="b">
        <v>1</v>
      </c>
      <c r="I62" s="10" t="n">
        <v>180</v>
      </c>
      <c r="J62" s="10" t="n">
        <v>43.8889</v>
      </c>
      <c r="K62" s="10" t="inlineStr">
        <is>
          <t>&gt; Perfumería &gt; Cuidado Capilar &gt; Shampoo &gt;</t>
        </is>
      </c>
      <c r="L62" s="10" t="inlineStr">
        <is>
          <t>shampoo</t>
        </is>
      </c>
      <c r="M62" s="10" t="inlineStr">
        <is>
          <t>estandar</t>
        </is>
      </c>
      <c r="N62" s="10" t="inlineStr">
        <is>
          <t>general</t>
        </is>
      </c>
      <c r="O62" s="10" t="inlineStr">
        <is>
          <t>https://www.disco.com.ar/shampoo-antifall-180-ml-head-shoulders-2/p</t>
        </is>
      </c>
    </row>
    <row r="63">
      <c r="A63" t="inlineStr">
        <is>
          <t>Disco</t>
        </is>
      </c>
      <c r="B63" t="n">
        <v>5996</v>
      </c>
      <c r="C63" t="n">
        <v>3384</v>
      </c>
      <c r="D63" t="inlineStr">
        <is>
          <t>Shampoo Iluminador Puro Rubio 420 Ml Capilatis</t>
        </is>
      </c>
      <c r="E63" t="inlineStr">
        <is>
          <t>CAPILATIS</t>
        </is>
      </c>
      <c r="F63" t="n">
        <v>9750</v>
      </c>
      <c r="G63" t="n">
        <v>805785</v>
      </c>
      <c r="H63" t="b">
        <v>1</v>
      </c>
      <c r="I63" t="n">
        <v>420</v>
      </c>
      <c r="J63" t="n">
        <v>23.2143</v>
      </c>
      <c r="K63" t="inlineStr">
        <is>
          <t>&gt; Perfumería &gt; Cuidado Capilar &gt; Shampoo &gt;</t>
        </is>
      </c>
      <c r="L63" t="inlineStr">
        <is>
          <t>shampoo</t>
        </is>
      </c>
      <c r="M63" t="inlineStr">
        <is>
          <t>estandar</t>
        </is>
      </c>
      <c r="N63" t="inlineStr">
        <is>
          <t>general</t>
        </is>
      </c>
      <c r="O63" t="inlineStr">
        <is>
          <t>https://www.disco.com.ar/shampoo-capilatis-iluminador-420-ml/p</t>
        </is>
      </c>
    </row>
    <row r="64">
      <c r="A64" s="10" t="inlineStr">
        <is>
          <t>Disco</t>
        </is>
      </c>
      <c r="B64" s="10" t="n">
        <v>3086634</v>
      </c>
      <c r="C64" s="10" t="n">
        <v>3085858</v>
      </c>
      <c r="D64" s="10" t="inlineStr">
        <is>
          <t>Shampoo Purificante Oil Control 200 Ml Fructis Shampoo Oil Control X 200 Ml Fructis</t>
        </is>
      </c>
      <c r="E64" s="10" t="inlineStr">
        <is>
          <t>FRUCTIS</t>
        </is>
      </c>
      <c r="F64" s="10" t="n">
        <v>5950</v>
      </c>
      <c r="G64" s="10" t="n">
        <v>491736</v>
      </c>
      <c r="H64" s="10" t="b">
        <v>1</v>
      </c>
      <c r="I64" s="10" t="n">
        <v>200</v>
      </c>
      <c r="J64" s="10" t="n">
        <v>29.75</v>
      </c>
      <c r="K64" s="10" t="inlineStr">
        <is>
          <t>&gt; Perfumería &gt; Cuidado Capilar &gt; Shampoo &gt;</t>
        </is>
      </c>
      <c r="L64" s="10" t="inlineStr">
        <is>
          <t>shampoo</t>
        </is>
      </c>
      <c r="M64" s="10" t="inlineStr">
        <is>
          <t>estandar</t>
        </is>
      </c>
      <c r="N64" s="10" t="inlineStr">
        <is>
          <t>general</t>
        </is>
      </c>
      <c r="O64" s="10" t="inlineStr">
        <is>
          <t>https://www.disco.com.ar/shampoo-oil-control-x-200-ml-fructis/p</t>
        </is>
      </c>
    </row>
    <row r="65">
      <c r="A65" t="inlineStr">
        <is>
          <t>Disco</t>
        </is>
      </c>
      <c r="B65" t="n">
        <v>1365007</v>
      </c>
      <c r="C65" t="n">
        <v>1363955</v>
      </c>
      <c r="D65" t="inlineStr">
        <is>
          <t>Shampoo Anticomezón 180 Ml Head y Shoulders</t>
        </is>
      </c>
      <c r="E65" t="inlineStr">
        <is>
          <t>HEAD &amp; SHOULDERS</t>
        </is>
      </c>
      <c r="F65" t="n">
        <v>8000</v>
      </c>
      <c r="G65" t="n">
        <v>661157</v>
      </c>
      <c r="H65" t="b">
        <v>1</v>
      </c>
      <c r="I65" t="n">
        <v>180</v>
      </c>
      <c r="J65" t="n">
        <v>44.4444</v>
      </c>
      <c r="K65" t="inlineStr">
        <is>
          <t>&gt; Perfumería &gt; Cuidado Capilar &gt; Shampoo &gt;</t>
        </is>
      </c>
      <c r="L65" t="inlineStr">
        <is>
          <t>shampoo</t>
        </is>
      </c>
      <c r="M65" t="inlineStr">
        <is>
          <t>estandar</t>
        </is>
      </c>
      <c r="N65" t="inlineStr">
        <is>
          <t>general</t>
        </is>
      </c>
      <c r="O65" t="inlineStr">
        <is>
          <t>https://www.disco.com.ar/shampoo-anticomezon-180-ml-head-shoulders-2/p</t>
        </is>
      </c>
    </row>
    <row r="66">
      <c r="A66" s="10" t="inlineStr">
        <is>
          <t>Disco</t>
        </is>
      </c>
      <c r="B66" s="10" t="n">
        <v>1362366</v>
      </c>
      <c r="C66" s="10" t="n">
        <v>1361614</v>
      </c>
      <c r="D66" s="10" t="inlineStr">
        <is>
          <t>Shampoo Bond Intense Repair 200 Ml Dove</t>
        </is>
      </c>
      <c r="E66" s="10" t="inlineStr">
        <is>
          <t>DOVE</t>
        </is>
      </c>
      <c r="F66" s="10" t="n">
        <v>6900</v>
      </c>
      <c r="G66" s="10" t="n">
        <v>570248</v>
      </c>
      <c r="H66" s="10" t="b">
        <v>1</v>
      </c>
      <c r="I66" s="10" t="n">
        <v>200</v>
      </c>
      <c r="J66" s="10" t="n">
        <v>34.5</v>
      </c>
      <c r="K66" s="10" t="inlineStr">
        <is>
          <t>&gt; Perfumería &gt; Cuidado Capilar &gt; Shampoo &gt;</t>
        </is>
      </c>
      <c r="L66" s="10" t="inlineStr">
        <is>
          <t>shampoo</t>
        </is>
      </c>
      <c r="M66" s="10" t="inlineStr">
        <is>
          <t>profesional</t>
        </is>
      </c>
      <c r="N66" s="10" t="inlineStr">
        <is>
          <t>general</t>
        </is>
      </c>
      <c r="O66" s="10" t="inlineStr">
        <is>
          <t>https://www.disco.com.ar/shampoo-dove-bond-intense-repair-200-ml-2/p</t>
        </is>
      </c>
    </row>
    <row r="67">
      <c r="A67" t="inlineStr">
        <is>
          <t>Disco</t>
        </is>
      </c>
      <c r="B67" t="n">
        <v>424003</v>
      </c>
      <c r="C67" t="n">
        <v>417080</v>
      </c>
      <c r="D67" t="inlineStr">
        <is>
          <t>Shampoo Fuerza 650 Ml Head &amp; Shoulders</t>
        </is>
      </c>
      <c r="E67" t="inlineStr">
        <is>
          <t>HEAD &amp; SHOULDERS</t>
        </is>
      </c>
      <c r="F67" t="n">
        <v>20250</v>
      </c>
      <c r="G67" t="n">
        <v>1673554</v>
      </c>
      <c r="H67" t="b">
        <v>1</v>
      </c>
      <c r="I67" t="n">
        <v>650</v>
      </c>
      <c r="J67" t="n">
        <v>31.1538</v>
      </c>
      <c r="K67" t="inlineStr">
        <is>
          <t>&gt; Perfumería &gt; Cuidado Capilar &gt; Shampoo &gt;</t>
        </is>
      </c>
      <c r="L67" t="inlineStr">
        <is>
          <t>shampoo</t>
        </is>
      </c>
      <c r="M67" t="inlineStr">
        <is>
          <t>estandar</t>
        </is>
      </c>
      <c r="N67" t="inlineStr">
        <is>
          <t>general</t>
        </is>
      </c>
      <c r="O67" t="inlineStr">
        <is>
          <t>https://www.disco.com.ar/shampoo-fuerza-650-ml-head-shoulders-2/p</t>
        </is>
      </c>
    </row>
    <row r="68">
      <c r="A68" s="10" t="inlineStr">
        <is>
          <t>Disco</t>
        </is>
      </c>
      <c r="B68" s="10" t="n">
        <v>424002</v>
      </c>
      <c r="C68" s="10" t="n">
        <v>417079</v>
      </c>
      <c r="D68" s="10" t="inlineStr">
        <is>
          <t>Shampoo Charcoal 650 Ml Head &amp; Shoulders</t>
        </is>
      </c>
      <c r="E68" s="10" t="inlineStr">
        <is>
          <t>HEAD &amp; SHOULDERS</t>
        </is>
      </c>
      <c r="F68" s="10" t="n">
        <v>20250</v>
      </c>
      <c r="G68" s="10" t="n">
        <v>1673554</v>
      </c>
      <c r="H68" s="10" t="b">
        <v>1</v>
      </c>
      <c r="I68" s="10" t="n">
        <v>650</v>
      </c>
      <c r="J68" s="10" t="n">
        <v>31.1538</v>
      </c>
      <c r="K68" s="10" t="inlineStr">
        <is>
          <t>&gt; Perfumería &gt; Cuidado Capilar &gt; Shampoo &gt;</t>
        </is>
      </c>
      <c r="L68" s="10" t="inlineStr">
        <is>
          <t>shampoo</t>
        </is>
      </c>
      <c r="M68" s="10" t="inlineStr">
        <is>
          <t>estandar</t>
        </is>
      </c>
      <c r="N68" s="10" t="inlineStr">
        <is>
          <t>general</t>
        </is>
      </c>
      <c r="O68" s="10" t="inlineStr">
        <is>
          <t>https://www.disco.com.ar/shampoo-charcoal-650-ml-head-shoulders-2/p</t>
        </is>
      </c>
    </row>
    <row r="69">
      <c r="A69" t="inlineStr">
        <is>
          <t>Disco</t>
        </is>
      </c>
      <c r="B69" t="n">
        <v>80238</v>
      </c>
      <c r="C69" t="n">
        <v>77362</v>
      </c>
      <c r="D69" t="inlineStr">
        <is>
          <t>Shampoo Sandia Dulce 350 Ml Kids Algabo</t>
        </is>
      </c>
      <c r="E69" t="inlineStr">
        <is>
          <t>ALGABO</t>
        </is>
      </c>
      <c r="F69" t="n">
        <v>3850</v>
      </c>
      <c r="G69" t="n">
        <v>318182</v>
      </c>
      <c r="H69" t="b">
        <v>1</v>
      </c>
      <c r="I69" t="n">
        <v>350</v>
      </c>
      <c r="J69" t="n">
        <v>11</v>
      </c>
      <c r="K69" t="inlineStr">
        <is>
          <t>&gt; Mundo Bebe &gt; Higiene para el Bebe &gt; Higiene del Bebé &gt;</t>
        </is>
      </c>
      <c r="L69" t="inlineStr">
        <is>
          <t>shampoo</t>
        </is>
      </c>
      <c r="M69" t="inlineStr">
        <is>
          <t>estandar</t>
        </is>
      </c>
      <c r="N69" t="inlineStr">
        <is>
          <t>bebe</t>
        </is>
      </c>
      <c r="O69" t="inlineStr">
        <is>
          <t>https://www.disco.com.ar/shampoo-sandia-dulce-350-ml-kids-algabo/p</t>
        </is>
      </c>
    </row>
    <row r="70">
      <c r="A70" s="10" t="inlineStr">
        <is>
          <t>Disco</t>
        </is>
      </c>
      <c r="B70" s="10" t="n">
        <v>393553</v>
      </c>
      <c r="C70" s="10" t="n">
        <v>391581</v>
      </c>
      <c r="D70" s="10" t="inlineStr">
        <is>
          <t>Shampoo Dove Ritual De Reparacion De Coco 400 Ml</t>
        </is>
      </c>
      <c r="E70" s="10" t="inlineStr">
        <is>
          <t>DOVE</t>
        </is>
      </c>
      <c r="F70" s="10" t="n">
        <v>9220</v>
      </c>
      <c r="G70" s="10" t="n">
        <v>761983</v>
      </c>
      <c r="H70" s="10" t="b">
        <v>1</v>
      </c>
      <c r="I70" s="10" t="n">
        <v>400</v>
      </c>
      <c r="J70" s="10" t="n">
        <v>23.05</v>
      </c>
      <c r="K70" s="10" t="inlineStr">
        <is>
          <t>&gt; Perfumería &gt; Cuidado Capilar &gt; Shampoo &gt;</t>
        </is>
      </c>
      <c r="L70" s="10" t="inlineStr">
        <is>
          <t>shampoo</t>
        </is>
      </c>
      <c r="M70" s="10" t="inlineStr">
        <is>
          <t>estandar</t>
        </is>
      </c>
      <c r="N70" s="10" t="inlineStr">
        <is>
          <t>general</t>
        </is>
      </c>
      <c r="O70" s="10" t="inlineStr">
        <is>
          <t>https://www.disco.com.ar/shampoo-dove-ritual-de-reparacion-de-coco-400-ml/p</t>
        </is>
      </c>
    </row>
    <row r="71">
      <c r="A71" t="inlineStr">
        <is>
          <t>Disco</t>
        </is>
      </c>
      <c r="B71" t="n">
        <v>389288</v>
      </c>
      <c r="C71" t="n">
        <v>387394</v>
      </c>
      <c r="D71" t="inlineStr">
        <is>
          <t>Shampoo Sedal Hialurónico Y Vitamina A 340 Ml</t>
        </is>
      </c>
      <c r="E71" t="inlineStr">
        <is>
          <t>SEDAL</t>
        </is>
      </c>
      <c r="F71" t="n">
        <v>5469</v>
      </c>
      <c r="G71" t="n">
        <v>451983</v>
      </c>
      <c r="H71" t="b">
        <v>1</v>
      </c>
      <c r="I71" t="n">
        <v>340</v>
      </c>
      <c r="J71" t="n">
        <v>16.0853</v>
      </c>
      <c r="K71" t="inlineStr">
        <is>
          <t>&gt; Perfumería &gt; Cuidado Capilar &gt; Shampoo &gt;</t>
        </is>
      </c>
      <c r="L71" t="inlineStr">
        <is>
          <t>shampoo</t>
        </is>
      </c>
      <c r="M71" t="inlineStr">
        <is>
          <t>estandar</t>
        </is>
      </c>
      <c r="N71" t="inlineStr">
        <is>
          <t>general</t>
        </is>
      </c>
      <c r="O71" t="inlineStr">
        <is>
          <t>https://www.disco.com.ar/shampoo-sedal-hialuronico-y-vitamina-a-340-ml-2/p</t>
        </is>
      </c>
    </row>
    <row r="72">
      <c r="A72" s="10" t="inlineStr">
        <is>
          <t>Disco</t>
        </is>
      </c>
      <c r="B72" s="10" t="n">
        <v>409862</v>
      </c>
      <c r="C72" s="10" t="n">
        <v>405948</v>
      </c>
      <c r="D72" s="10" t="inlineStr">
        <is>
          <t>Shampoo Hidratación Intensa Esencia 970 Ml Plusbelle</t>
        </is>
      </c>
      <c r="E72" s="10" t="inlineStr">
        <is>
          <t>PLUSBELLE</t>
        </is>
      </c>
      <c r="F72" s="10" t="n">
        <v>6032</v>
      </c>
      <c r="G72" s="10" t="n">
        <v>498512</v>
      </c>
      <c r="H72" s="10" t="b">
        <v>1</v>
      </c>
      <c r="I72" s="10" t="n">
        <v>970</v>
      </c>
      <c r="J72" s="10" t="n">
        <v>6.2186</v>
      </c>
      <c r="K72" s="10" t="inlineStr">
        <is>
          <t>&gt; Perfumería &gt; Cuidado Capilar &gt; Shampoo &gt;</t>
        </is>
      </c>
      <c r="L72" s="10" t="inlineStr">
        <is>
          <t>shampoo</t>
        </is>
      </c>
      <c r="M72" s="10" t="inlineStr">
        <is>
          <t>estandar</t>
        </is>
      </c>
      <c r="N72" s="10" t="inlineStr">
        <is>
          <t>seco_danado</t>
        </is>
      </c>
      <c r="O72" s="10" t="inlineStr">
        <is>
          <t>https://www.disco.com.ar/shampoo-esencia-970-ml-plusbelle/p</t>
        </is>
      </c>
    </row>
    <row r="73">
      <c r="A73" t="inlineStr">
        <is>
          <t>Disco</t>
        </is>
      </c>
      <c r="B73" t="n">
        <v>3067725</v>
      </c>
      <c r="C73" t="n">
        <v>3067585</v>
      </c>
      <c r="D73" t="inlineStr">
        <is>
          <t>Shampoo Anticaída Biotinamina B3 300 Ml Pantene</t>
        </is>
      </c>
      <c r="E73" t="inlineStr">
        <is>
          <t>PANTENE</t>
        </is>
      </c>
      <c r="F73" t="n">
        <v>10550</v>
      </c>
      <c r="G73" t="n">
        <v>871901</v>
      </c>
      <c r="H73" t="b">
        <v>1</v>
      </c>
      <c r="I73" t="n">
        <v>300</v>
      </c>
      <c r="J73" t="n">
        <v>35.1667</v>
      </c>
      <c r="K73" t="inlineStr">
        <is>
          <t>&gt; Perfumería &gt; Cuidado Capilar &gt; Shampoo &gt;</t>
        </is>
      </c>
      <c r="L73" t="inlineStr">
        <is>
          <t>shampoo</t>
        </is>
      </c>
      <c r="M73" t="inlineStr">
        <is>
          <t>estandar</t>
        </is>
      </c>
      <c r="N73" t="inlineStr">
        <is>
          <t>general</t>
        </is>
      </c>
      <c r="O73" t="inlineStr">
        <is>
          <t>https://www.disco.com.ar/shampoo-anti-caida-300-ml-pantene/p</t>
        </is>
      </c>
    </row>
    <row r="74">
      <c r="A74" s="10" t="inlineStr">
        <is>
          <t>Disco</t>
        </is>
      </c>
      <c r="B74" s="10" t="n">
        <v>414718</v>
      </c>
      <c r="C74" s="10" t="n">
        <v>410419</v>
      </c>
      <c r="D74" s="10" t="inlineStr">
        <is>
          <t>Shampoo Baby Hidratación Intensa 400 Ml Johnson's</t>
        </is>
      </c>
      <c r="E74" s="10" t="inlineStr">
        <is>
          <t>JOHNSON BABY</t>
        </is>
      </c>
      <c r="F74" s="10" t="n">
        <v>10650</v>
      </c>
      <c r="G74" s="10" t="n">
        <v>880165</v>
      </c>
      <c r="H74" s="10" t="b">
        <v>1</v>
      </c>
      <c r="I74" s="10" t="n">
        <v>400</v>
      </c>
      <c r="J74" s="10" t="n">
        <v>26.625</v>
      </c>
      <c r="K74" s="10" t="inlineStr">
        <is>
          <t>&gt; Mundo Bebe &gt; Higiene para el Bebe &gt; Higiene del Bebé &gt;</t>
        </is>
      </c>
      <c r="L74" s="10" t="inlineStr">
        <is>
          <t>shampoo</t>
        </is>
      </c>
      <c r="M74" s="10" t="inlineStr">
        <is>
          <t>estandar</t>
        </is>
      </c>
      <c r="N74" s="10" t="inlineStr">
        <is>
          <t>seco_danado</t>
        </is>
      </c>
      <c r="O74" s="10" t="inlineStr">
        <is>
          <t>https://www.disco.com.ar/shampoo-baby-hidratacion-intensa-400-ml-johnson-s/p</t>
        </is>
      </c>
    </row>
    <row r="75">
      <c r="A75" t="inlineStr">
        <is>
          <t>Disco</t>
        </is>
      </c>
      <c r="B75" t="n">
        <v>397181</v>
      </c>
      <c r="C75" t="n">
        <v>394922</v>
      </c>
      <c r="D75" t="inlineStr">
        <is>
          <t>Shampoo Dove Ritual De Reparación Coco 200 Ml</t>
        </is>
      </c>
      <c r="E75" t="inlineStr">
        <is>
          <t>DOVE</t>
        </is>
      </c>
      <c r="F75" t="n">
        <v>6150</v>
      </c>
      <c r="G75" t="n">
        <v>508264</v>
      </c>
      <c r="H75" t="b">
        <v>1</v>
      </c>
      <c r="I75" t="n">
        <v>200</v>
      </c>
      <c r="J75" t="n">
        <v>30.75</v>
      </c>
      <c r="K75" t="inlineStr">
        <is>
          <t>&gt; Perfumería &gt; Cuidado Capilar &gt; Shampoo &gt;</t>
        </is>
      </c>
      <c r="L75" t="inlineStr">
        <is>
          <t>shampoo</t>
        </is>
      </c>
      <c r="M75" t="inlineStr">
        <is>
          <t>estandar</t>
        </is>
      </c>
      <c r="N75" t="inlineStr">
        <is>
          <t>general</t>
        </is>
      </c>
      <c r="O75" t="inlineStr">
        <is>
          <t>https://www.disco.com.ar/shampoo-dove-ritual-de-reparacion-coco-200-ml/p</t>
        </is>
      </c>
    </row>
    <row r="76">
      <c r="A76" s="10" t="inlineStr">
        <is>
          <t>Disco</t>
        </is>
      </c>
      <c r="B76" s="10" t="n">
        <v>316338</v>
      </c>
      <c r="C76" s="10" t="n">
        <v>315572</v>
      </c>
      <c r="D76" s="10" t="inlineStr">
        <is>
          <t>Shampoo Pantene Pro-v Bambú 200 Ml</t>
        </is>
      </c>
      <c r="E76" s="10" t="inlineStr">
        <is>
          <t>PANTENE</t>
        </is>
      </c>
      <c r="F76" s="10" t="n">
        <v>6800</v>
      </c>
      <c r="G76" s="10" t="n">
        <v>561983</v>
      </c>
      <c r="H76" s="10" t="b">
        <v>1</v>
      </c>
      <c r="I76" s="10" t="n">
        <v>200</v>
      </c>
      <c r="J76" s="10" t="n">
        <v>34</v>
      </c>
      <c r="K76" s="10" t="inlineStr">
        <is>
          <t>&gt; Perfumería &gt; Cuidado Capilar &gt; Shampoo &gt;</t>
        </is>
      </c>
      <c r="L76" s="10" t="inlineStr">
        <is>
          <t>shampoo</t>
        </is>
      </c>
      <c r="M76" s="10" t="inlineStr">
        <is>
          <t>profesional</t>
        </is>
      </c>
      <c r="N76" s="10" t="inlineStr">
        <is>
          <t>general</t>
        </is>
      </c>
      <c r="O76" s="10" t="inlineStr">
        <is>
          <t>https://www.disco.com.ar/shampoo-pantene-pro-v-bambu-200-ml/p</t>
        </is>
      </c>
    </row>
    <row r="77">
      <c r="A77" t="inlineStr">
        <is>
          <t>Disco</t>
        </is>
      </c>
      <c r="B77" t="n">
        <v>3067730</v>
      </c>
      <c r="C77" t="n">
        <v>3067590</v>
      </c>
      <c r="D77" t="inlineStr">
        <is>
          <t>Shampoo Nuhoney 650 Ml Head &amp; Shoulders</t>
        </is>
      </c>
      <c r="E77" t="inlineStr">
        <is>
          <t>HEAD &amp; SHOULDERS</t>
        </is>
      </c>
      <c r="F77" t="n">
        <v>19950</v>
      </c>
      <c r="G77" t="n">
        <v>1648760</v>
      </c>
      <c r="H77" t="b">
        <v>1</v>
      </c>
      <c r="I77" t="n">
        <v>650</v>
      </c>
      <c r="J77" t="n">
        <v>30.6923</v>
      </c>
      <c r="K77" t="inlineStr">
        <is>
          <t>&gt; Perfumería &gt; Cuidado Capilar &gt; Shampoo &gt;</t>
        </is>
      </c>
      <c r="L77" t="inlineStr">
        <is>
          <t>shampoo</t>
        </is>
      </c>
      <c r="M77" t="inlineStr">
        <is>
          <t>estandar</t>
        </is>
      </c>
      <c r="N77" t="inlineStr">
        <is>
          <t>general</t>
        </is>
      </c>
      <c r="O77" t="inlineStr">
        <is>
          <t>https://www.disco.com.ar/shampoo-nuhoney-650-ml-head-shoulders/p</t>
        </is>
      </c>
    </row>
    <row r="78">
      <c r="A78" s="10" t="inlineStr">
        <is>
          <t>Disco</t>
        </is>
      </c>
      <c r="B78" s="10" t="n">
        <v>424000</v>
      </c>
      <c r="C78" s="10" t="n">
        <v>417077</v>
      </c>
      <c r="D78" s="10" t="inlineStr">
        <is>
          <t>Shampoo Antifall 650 Ml Head &amp; Shoulders</t>
        </is>
      </c>
      <c r="E78" s="10" t="inlineStr">
        <is>
          <t>HEAD &amp; SHOULDERS</t>
        </is>
      </c>
      <c r="F78" s="10" t="n">
        <v>20450</v>
      </c>
      <c r="G78" s="10" t="n">
        <v>1690083</v>
      </c>
      <c r="H78" s="10" t="b">
        <v>1</v>
      </c>
      <c r="I78" s="10" t="n">
        <v>650</v>
      </c>
      <c r="J78" s="10" t="n">
        <v>31.4615</v>
      </c>
      <c r="K78" s="10" t="inlineStr">
        <is>
          <t>&gt; Perfumería &gt; Cuidado Capilar &gt; Shampoo &gt;</t>
        </is>
      </c>
      <c r="L78" s="10" t="inlineStr">
        <is>
          <t>shampoo</t>
        </is>
      </c>
      <c r="M78" s="10" t="inlineStr">
        <is>
          <t>estandar</t>
        </is>
      </c>
      <c r="N78" s="10" t="inlineStr">
        <is>
          <t>general</t>
        </is>
      </c>
      <c r="O78" s="10" t="inlineStr">
        <is>
          <t>https://www.disco.com.ar/shampoo-antifall-650-ml-head-shoulders-2/p</t>
        </is>
      </c>
    </row>
    <row r="79">
      <c r="A79" t="inlineStr">
        <is>
          <t>Disco</t>
        </is>
      </c>
      <c r="B79" t="n">
        <v>413365</v>
      </c>
      <c r="C79" t="n">
        <v>409242</v>
      </c>
      <c r="D79" t="inlineStr">
        <is>
          <t>Shampoo Liso Efecto Botox 250 Ml Tresemmé</t>
        </is>
      </c>
      <c r="E79" t="inlineStr">
        <is>
          <t>TRESEMMÉ</t>
        </is>
      </c>
      <c r="F79" t="n">
        <v>6450</v>
      </c>
      <c r="G79" t="n">
        <v>533058</v>
      </c>
      <c r="H79" t="b">
        <v>1</v>
      </c>
      <c r="I79" t="n">
        <v>250</v>
      </c>
      <c r="J79" t="n">
        <v>25.8</v>
      </c>
      <c r="K79" t="inlineStr">
        <is>
          <t>&gt; Perfumería &gt; Cuidado Capilar &gt; Shampoo &gt;</t>
        </is>
      </c>
      <c r="L79" t="inlineStr">
        <is>
          <t>shampoo</t>
        </is>
      </c>
      <c r="M79" t="inlineStr">
        <is>
          <t>estandar</t>
        </is>
      </c>
      <c r="N79" t="inlineStr">
        <is>
          <t>general</t>
        </is>
      </c>
      <c r="O79" t="inlineStr">
        <is>
          <t>https://www.disco.com.ar/shampoo-tresemme-liso-efecto-botox-250-ml/p</t>
        </is>
      </c>
    </row>
    <row r="80">
      <c r="A80" s="10" t="inlineStr">
        <is>
          <t>Disco</t>
        </is>
      </c>
      <c r="B80" s="10" t="n">
        <v>3070156</v>
      </c>
      <c r="C80" s="10" t="n">
        <v>3069762</v>
      </c>
      <c r="D80" s="10" t="inlineStr">
        <is>
          <t>Shampoo Colágeno Nutre y Revitaliza 300 Ml Pantene</t>
        </is>
      </c>
      <c r="E80" s="10" t="inlineStr">
        <is>
          <t>PANTENE</t>
        </is>
      </c>
      <c r="F80" s="10" t="n">
        <v>10550</v>
      </c>
      <c r="G80" s="10" t="n">
        <v>871901</v>
      </c>
      <c r="H80" s="10" t="b">
        <v>1</v>
      </c>
      <c r="I80" s="10" t="n">
        <v>300</v>
      </c>
      <c r="J80" s="10" t="n">
        <v>35.1667</v>
      </c>
      <c r="K80" s="10" t="inlineStr">
        <is>
          <t>&gt; Perfumería &gt; Cuidado Capilar &gt; Shampoo &gt;</t>
        </is>
      </c>
      <c r="L80" s="10" t="inlineStr">
        <is>
          <t>shampoo</t>
        </is>
      </c>
      <c r="M80" s="10" t="inlineStr">
        <is>
          <t>estandar</t>
        </is>
      </c>
      <c r="N80" s="10" t="inlineStr">
        <is>
          <t>general</t>
        </is>
      </c>
      <c r="O80" s="10" t="inlineStr">
        <is>
          <t>https://www.disco.com.ar/shampoo-colageno-x-300-ml-pantene-2/p</t>
        </is>
      </c>
    </row>
    <row r="81">
      <c r="A81" t="inlineStr">
        <is>
          <t>Disco</t>
        </is>
      </c>
      <c r="B81" t="n">
        <v>407562</v>
      </c>
      <c r="C81" t="n">
        <v>403751</v>
      </c>
      <c r="D81" t="inlineStr">
        <is>
          <t>Shampoo Reparación Total 5 Keratin 400 Ml Elvive</t>
        </is>
      </c>
      <c r="E81" t="inlineStr">
        <is>
          <t>ELVIVE</t>
        </is>
      </c>
      <c r="F81" t="n">
        <v>11199</v>
      </c>
      <c r="G81" t="n">
        <v>925537</v>
      </c>
      <c r="H81" t="b">
        <v>1</v>
      </c>
      <c r="I81" t="n">
        <v>400</v>
      </c>
      <c r="J81" t="n">
        <v>27.9975</v>
      </c>
      <c r="K81" t="inlineStr">
        <is>
          <t>&gt; Perfumería &gt; Cuidado Capilar &gt; Shampoo &gt;</t>
        </is>
      </c>
      <c r="L81" t="inlineStr">
        <is>
          <t>shampoo</t>
        </is>
      </c>
      <c r="M81" t="inlineStr">
        <is>
          <t>profesional</t>
        </is>
      </c>
      <c r="N81" t="inlineStr">
        <is>
          <t>general</t>
        </is>
      </c>
      <c r="O81" t="inlineStr">
        <is>
          <t>https://www.disco.com.ar/shampoo-rt5-keratin-400-ml-elvive/p</t>
        </is>
      </c>
    </row>
    <row r="82">
      <c r="A82" s="10" t="inlineStr">
        <is>
          <t>Disco</t>
        </is>
      </c>
      <c r="B82" s="10" t="n">
        <v>3084843</v>
      </c>
      <c r="C82" s="10" t="n">
        <v>3084075</v>
      </c>
      <c r="D82" s="10" t="inlineStr">
        <is>
          <t>Shampoo Hidratación Profunda Ácido Hialurónico 700 Ml Plusbelle</t>
        </is>
      </c>
      <c r="E82" s="10" t="inlineStr">
        <is>
          <t>PLUSBELLE</t>
        </is>
      </c>
      <c r="F82" s="10" t="n">
        <v>5550</v>
      </c>
      <c r="G82" s="10" t="n">
        <v>458678</v>
      </c>
      <c r="H82" s="10" t="b">
        <v>1</v>
      </c>
      <c r="I82" s="10" t="n">
        <v>700</v>
      </c>
      <c r="J82" s="10" t="n">
        <v>7.9286</v>
      </c>
      <c r="K82" s="10" t="inlineStr">
        <is>
          <t>&gt; Perfumería &gt; Cuidado Capilar &gt; Shampoo &gt;</t>
        </is>
      </c>
      <c r="L82" s="10" t="inlineStr">
        <is>
          <t>shampoo</t>
        </is>
      </c>
      <c r="M82" s="10" t="inlineStr">
        <is>
          <t>estandar</t>
        </is>
      </c>
      <c r="N82" s="10" t="inlineStr">
        <is>
          <t>seco_danado</t>
        </is>
      </c>
      <c r="O82" s="10" t="inlineStr">
        <is>
          <t>https://www.disco.com.ar/shampoo-esencia-hidratacion-profunda-x-700-ml-plusbelle/p</t>
        </is>
      </c>
    </row>
    <row r="83">
      <c r="A83" t="inlineStr">
        <is>
          <t>Disco</t>
        </is>
      </c>
      <c r="B83" t="n">
        <v>3071026</v>
      </c>
      <c r="C83" t="n">
        <v>3070599</v>
      </c>
      <c r="D83" t="inlineStr">
        <is>
          <t>Shampoo Dream Liso Anti Frizz 200 Ml Elvive</t>
        </is>
      </c>
      <c r="E83" t="inlineStr">
        <is>
          <t>ELVIVE</t>
        </is>
      </c>
      <c r="F83" t="n">
        <v>8200</v>
      </c>
      <c r="G83" t="n">
        <v>677686</v>
      </c>
      <c r="H83" t="b">
        <v>1</v>
      </c>
      <c r="I83" t="n">
        <v>200</v>
      </c>
      <c r="J83" t="n">
        <v>41</v>
      </c>
      <c r="K83" t="inlineStr">
        <is>
          <t>&gt; Perfumería &gt; Cuidado Capilar &gt; Shampoo &gt;</t>
        </is>
      </c>
      <c r="L83" t="inlineStr">
        <is>
          <t>shampoo</t>
        </is>
      </c>
      <c r="M83" t="inlineStr">
        <is>
          <t>profesional</t>
        </is>
      </c>
      <c r="N83" t="inlineStr">
        <is>
          <t>general</t>
        </is>
      </c>
      <c r="O83" t="inlineStr">
        <is>
          <t>https://www.disco.com.ar/shampoo-dream-liso-x-200-ml-elvive/p</t>
        </is>
      </c>
    </row>
    <row r="84">
      <c r="A84" s="10" t="inlineStr">
        <is>
          <t>Disco</t>
        </is>
      </c>
      <c r="B84" s="10" t="n">
        <v>1360447</v>
      </c>
      <c r="C84" s="10" t="n">
        <v>1360030</v>
      </c>
      <c r="D84" s="10" t="inlineStr">
        <is>
          <t>Shampoo Glycolic Gloss Brillo 72H 750 Ml Elvive</t>
        </is>
      </c>
      <c r="E84" s="10" t="inlineStr">
        <is>
          <t>ELVIVE</t>
        </is>
      </c>
      <c r="F84" s="10" t="n">
        <v>21250</v>
      </c>
      <c r="G84" s="10" t="n">
        <v>1756198</v>
      </c>
      <c r="H84" s="10" t="b">
        <v>1</v>
      </c>
      <c r="I84" s="10" t="n">
        <v>750</v>
      </c>
      <c r="J84" s="10" t="n">
        <v>28.3333</v>
      </c>
      <c r="K84" s="10" t="inlineStr">
        <is>
          <t>&gt; Perfumería &gt; Cuidado Capilar &gt; Shampoo &gt;</t>
        </is>
      </c>
      <c r="L84" s="10" t="inlineStr">
        <is>
          <t>shampoo</t>
        </is>
      </c>
      <c r="M84" s="10" t="inlineStr">
        <is>
          <t>profesional</t>
        </is>
      </c>
      <c r="N84" s="10" t="inlineStr">
        <is>
          <t>general</t>
        </is>
      </c>
      <c r="O84" s="10" t="inlineStr">
        <is>
          <t>https://www.disco.com.ar/shampoo-elvive-glyco-gloss-x-750-ml/p</t>
        </is>
      </c>
    </row>
    <row r="85">
      <c r="A85" t="inlineStr">
        <is>
          <t>Disco</t>
        </is>
      </c>
      <c r="B85" t="n">
        <v>3070160</v>
      </c>
      <c r="C85" t="n">
        <v>3069767</v>
      </c>
      <c r="D85" t="inlineStr">
        <is>
          <t>Shampoo Keratina Repara y Protege 510 Ml Pantene</t>
        </is>
      </c>
      <c r="E85" t="inlineStr">
        <is>
          <t>PANTENE</t>
        </is>
      </c>
      <c r="F85" t="n">
        <v>16900</v>
      </c>
      <c r="G85" t="n">
        <v>1396694</v>
      </c>
      <c r="H85" t="b">
        <v>1</v>
      </c>
      <c r="I85" t="n">
        <v>510</v>
      </c>
      <c r="J85" t="n">
        <v>33.1373</v>
      </c>
      <c r="K85" t="inlineStr">
        <is>
          <t>&gt; Perfumería &gt; Cuidado Capilar &gt; Shampoo &gt;</t>
        </is>
      </c>
      <c r="L85" t="inlineStr">
        <is>
          <t>shampoo</t>
        </is>
      </c>
      <c r="M85" t="inlineStr">
        <is>
          <t>estandar</t>
        </is>
      </c>
      <c r="N85" t="inlineStr">
        <is>
          <t>tratado</t>
        </is>
      </c>
      <c r="O85" t="inlineStr">
        <is>
          <t>https://www.disco.com.ar/shampoo-keratina-x-510-ml-pantene-2/p</t>
        </is>
      </c>
    </row>
    <row r="86">
      <c r="A86" s="10" t="inlineStr">
        <is>
          <t>Disco</t>
        </is>
      </c>
      <c r="B86" s="10" t="n">
        <v>407563</v>
      </c>
      <c r="C86" s="10" t="n">
        <v>403752</v>
      </c>
      <c r="D86" s="10" t="inlineStr">
        <is>
          <t>Shampoo Reparación Total 5 Keratin 750 Ml Elvive</t>
        </is>
      </c>
      <c r="E86" s="10" t="inlineStr">
        <is>
          <t>ELVIVE</t>
        </is>
      </c>
      <c r="F86" s="10" t="n">
        <v>19700</v>
      </c>
      <c r="G86" s="10" t="n">
        <v>1628099</v>
      </c>
      <c r="H86" s="10" t="b">
        <v>1</v>
      </c>
      <c r="I86" s="10" t="n">
        <v>750</v>
      </c>
      <c r="J86" s="10" t="n">
        <v>26.2667</v>
      </c>
      <c r="K86" s="10" t="inlineStr">
        <is>
          <t>&gt; Perfumería &gt; Cuidado Capilar &gt; Shampoo &gt;</t>
        </is>
      </c>
      <c r="L86" s="10" t="inlineStr">
        <is>
          <t>shampoo</t>
        </is>
      </c>
      <c r="M86" s="10" t="inlineStr">
        <is>
          <t>profesional</t>
        </is>
      </c>
      <c r="N86" s="10" t="inlineStr">
        <is>
          <t>general</t>
        </is>
      </c>
      <c r="O86" s="10" t="inlineStr">
        <is>
          <t>https://www.disco.com.ar/shampoo-elvive-reparacion-total-5-keratin-750-ml/p</t>
        </is>
      </c>
    </row>
    <row r="87">
      <c r="A87" t="inlineStr">
        <is>
          <t>Disco</t>
        </is>
      </c>
      <c r="B87" t="n">
        <v>275423</v>
      </c>
      <c r="C87" t="n">
        <v>274719</v>
      </c>
      <c r="D87" t="inlineStr">
        <is>
          <t>Shampoo Old Spice 375 Ml Head &amp; Shoulders</t>
        </is>
      </c>
      <c r="E87" t="inlineStr">
        <is>
          <t>HEAD &amp; SHOULDERS</t>
        </is>
      </c>
      <c r="F87" t="n">
        <v>13100</v>
      </c>
      <c r="G87" t="n">
        <v>1082645</v>
      </c>
      <c r="H87" t="b">
        <v>1</v>
      </c>
      <c r="I87" t="n">
        <v>375</v>
      </c>
      <c r="J87" t="n">
        <v>34.9333</v>
      </c>
      <c r="K87" t="inlineStr">
        <is>
          <t>&gt; Perfumería &gt; Cuidado Capilar &gt; Shampoo &gt;</t>
        </is>
      </c>
      <c r="L87" t="inlineStr">
        <is>
          <t>shampoo</t>
        </is>
      </c>
      <c r="M87" t="inlineStr">
        <is>
          <t>estandar</t>
        </is>
      </c>
      <c r="N87" t="inlineStr">
        <is>
          <t>general</t>
        </is>
      </c>
      <c r="O87" t="inlineStr">
        <is>
          <t>https://www.disco.com.ar/shampoo-old-spice-375-ml-head-shoulders-2/p</t>
        </is>
      </c>
    </row>
    <row r="88">
      <c r="A88" s="10" t="inlineStr">
        <is>
          <t>Disco</t>
        </is>
      </c>
      <c r="B88" s="10" t="n">
        <v>1360449</v>
      </c>
      <c r="C88" s="10" t="n">
        <v>1360032</v>
      </c>
      <c r="D88" s="10" t="inlineStr">
        <is>
          <t>Shampoo Glyco Gloss Brillo 72h 200 Ml Elvive</t>
        </is>
      </c>
      <c r="E88" s="10" t="inlineStr">
        <is>
          <t>ELVIVE</t>
        </is>
      </c>
      <c r="F88" s="10" t="n">
        <v>8200</v>
      </c>
      <c r="G88" s="10" t="n">
        <v>677686</v>
      </c>
      <c r="H88" s="10" t="b">
        <v>1</v>
      </c>
      <c r="I88" s="10" t="n">
        <v>200</v>
      </c>
      <c r="J88" s="10" t="n">
        <v>41</v>
      </c>
      <c r="K88" s="10" t="inlineStr">
        <is>
          <t>&gt; Perfumería &gt; Cuidado Capilar &gt; Shampoo &gt;</t>
        </is>
      </c>
      <c r="L88" s="10" t="inlineStr">
        <is>
          <t>shampoo</t>
        </is>
      </c>
      <c r="M88" s="10" t="inlineStr">
        <is>
          <t>profesional</t>
        </is>
      </c>
      <c r="N88" s="10" t="inlineStr">
        <is>
          <t>general</t>
        </is>
      </c>
      <c r="O88" s="10" t="inlineStr">
        <is>
          <t>https://www.disco.com.ar/shampoo-elvive-glyco-gloss-200-ml/p</t>
        </is>
      </c>
    </row>
    <row r="89">
      <c r="A89" t="inlineStr">
        <is>
          <t>Disco</t>
        </is>
      </c>
      <c r="B89" t="n">
        <v>3071027</v>
      </c>
      <c r="C89" t="n">
        <v>3070597</v>
      </c>
      <c r="D89" t="inlineStr">
        <is>
          <t>Shampoo Dream Liso Efecto Keratina 400 Ml Elvive</t>
        </is>
      </c>
      <c r="E89" t="inlineStr">
        <is>
          <t>ELVIVE</t>
        </is>
      </c>
      <c r="F89" t="n">
        <v>13150</v>
      </c>
      <c r="G89" t="n">
        <v>1086777</v>
      </c>
      <c r="H89" t="b">
        <v>1</v>
      </c>
      <c r="I89" t="n">
        <v>400</v>
      </c>
      <c r="J89" t="n">
        <v>32.875</v>
      </c>
      <c r="K89" t="inlineStr">
        <is>
          <t>&gt; Perfumería &gt; Cuidado Capilar &gt; Shampoo &gt;</t>
        </is>
      </c>
      <c r="L89" t="inlineStr">
        <is>
          <t>shampoo</t>
        </is>
      </c>
      <c r="M89" t="inlineStr">
        <is>
          <t>profesional</t>
        </is>
      </c>
      <c r="N89" t="inlineStr">
        <is>
          <t>tratado</t>
        </is>
      </c>
      <c r="O89" t="inlineStr">
        <is>
          <t>https://www.disco.com.ar/shampoo-dream-liso-x-400-ml-elvive/p</t>
        </is>
      </c>
    </row>
    <row r="90">
      <c r="A90" s="10" t="inlineStr">
        <is>
          <t>Disco</t>
        </is>
      </c>
      <c r="B90" s="10" t="n">
        <v>1360446</v>
      </c>
      <c r="C90" s="10" t="n">
        <v>1360029</v>
      </c>
      <c r="D90" s="10" t="inlineStr">
        <is>
          <t>Shampoo Glycolic Gloss Brillo 72H 400 Ml Elvive</t>
        </is>
      </c>
      <c r="E90" s="10" t="inlineStr">
        <is>
          <t>ELVIVE</t>
        </is>
      </c>
      <c r="F90" s="10" t="n">
        <v>13150</v>
      </c>
      <c r="G90" s="10" t="n">
        <v>1086777</v>
      </c>
      <c r="H90" s="10" t="b">
        <v>1</v>
      </c>
      <c r="I90" s="10" t="n">
        <v>400</v>
      </c>
      <c r="J90" s="10" t="n">
        <v>32.875</v>
      </c>
      <c r="K90" s="10" t="inlineStr">
        <is>
          <t>&gt; Perfumería &gt; Cuidado Capilar &gt; Shampoo &gt;</t>
        </is>
      </c>
      <c r="L90" s="10" t="inlineStr">
        <is>
          <t>shampoo</t>
        </is>
      </c>
      <c r="M90" s="10" t="inlineStr">
        <is>
          <t>profesional</t>
        </is>
      </c>
      <c r="N90" s="10" t="inlineStr">
        <is>
          <t>general</t>
        </is>
      </c>
      <c r="O90" s="10" t="inlineStr">
        <is>
          <t>https://www.disco.com.ar/shampoo-elvive-glyco-gloss-x-400-ml/p</t>
        </is>
      </c>
    </row>
    <row r="91">
      <c r="A91" t="inlineStr">
        <is>
          <t>Disco</t>
        </is>
      </c>
      <c r="B91" t="n">
        <v>401192</v>
      </c>
      <c r="C91" t="n">
        <v>398530</v>
      </c>
      <c r="D91" t="inlineStr">
        <is>
          <t>Shampoo Detox Limpia y Purifica 200 Ml Pantene</t>
        </is>
      </c>
      <c r="E91" t="inlineStr">
        <is>
          <t>PANTENE</t>
        </is>
      </c>
      <c r="F91" t="n">
        <v>6800</v>
      </c>
      <c r="G91" t="n">
        <v>561983</v>
      </c>
      <c r="H91" t="b">
        <v>1</v>
      </c>
      <c r="I91" t="n">
        <v>200</v>
      </c>
      <c r="J91" t="n">
        <v>34</v>
      </c>
      <c r="K91" t="inlineStr">
        <is>
          <t>&gt; Perfumería &gt; Cuidado Capilar &gt; Shampoo &gt;</t>
        </is>
      </c>
      <c r="L91" t="inlineStr">
        <is>
          <t>shampoo</t>
        </is>
      </c>
      <c r="M91" t="inlineStr">
        <is>
          <t>estandar</t>
        </is>
      </c>
      <c r="N91" t="inlineStr">
        <is>
          <t>general</t>
        </is>
      </c>
      <c r="O91" t="inlineStr">
        <is>
          <t>https://www.disco.com.ar/shampoo-detox-limpia-y-purifica-200-ml-pantene-2/p</t>
        </is>
      </c>
    </row>
    <row r="92">
      <c r="A92" s="10" t="inlineStr">
        <is>
          <t>Disco</t>
        </is>
      </c>
      <c r="B92" s="10" t="n">
        <v>3078386</v>
      </c>
      <c r="C92" s="10" t="n">
        <v>3077730</v>
      </c>
      <c r="D92" s="10" t="inlineStr">
        <is>
          <t>Shampoo UV Repair y Glow 200 Ml Dove</t>
        </is>
      </c>
      <c r="E92" s="10" t="inlineStr">
        <is>
          <t>DOVE</t>
        </is>
      </c>
      <c r="F92" s="10" t="n">
        <v>6800</v>
      </c>
      <c r="G92" s="10" t="n">
        <v>561983</v>
      </c>
      <c r="H92" s="10" t="b">
        <v>1</v>
      </c>
      <c r="I92" s="10" t="n">
        <v>200</v>
      </c>
      <c r="J92" s="10" t="n">
        <v>34</v>
      </c>
      <c r="K92" s="10" t="inlineStr">
        <is>
          <t>&gt; Perfumería &gt; Cuidado Capilar &gt; Shampoo &gt;</t>
        </is>
      </c>
      <c r="L92" s="10" t="inlineStr">
        <is>
          <t>shampoo</t>
        </is>
      </c>
      <c r="M92" s="10" t="inlineStr">
        <is>
          <t>profesional</t>
        </is>
      </c>
      <c r="N92" s="10" t="inlineStr">
        <is>
          <t>general</t>
        </is>
      </c>
      <c r="O92" s="10" t="inlineStr">
        <is>
          <t>https://www.disco.com.ar/shampoo-dove-bond-uv-repair-200ml/p</t>
        </is>
      </c>
    </row>
    <row r="93">
      <c r="A93" t="inlineStr">
        <is>
          <t>Disco</t>
        </is>
      </c>
      <c r="B93" t="n">
        <v>1362514</v>
      </c>
      <c r="C93" t="n">
        <v>1361762</v>
      </c>
      <c r="D93" t="inlineStr">
        <is>
          <t>Shampoo Elvive Reparación Total 5 Keratin 200 Ml</t>
        </is>
      </c>
      <c r="E93" t="inlineStr">
        <is>
          <t>ELVIVE</t>
        </is>
      </c>
      <c r="F93" t="n">
        <v>7650</v>
      </c>
      <c r="G93" t="n">
        <v>632231</v>
      </c>
      <c r="H93" t="b">
        <v>1</v>
      </c>
      <c r="I93" t="n">
        <v>200</v>
      </c>
      <c r="J93" t="n">
        <v>38.25</v>
      </c>
      <c r="K93" t="inlineStr">
        <is>
          <t>&gt; Perfumería &gt; Cuidado Capilar &gt; Shampoo &gt;</t>
        </is>
      </c>
      <c r="L93" t="inlineStr">
        <is>
          <t>shampoo</t>
        </is>
      </c>
      <c r="M93" t="inlineStr">
        <is>
          <t>profesional</t>
        </is>
      </c>
      <c r="N93" t="inlineStr">
        <is>
          <t>general</t>
        </is>
      </c>
      <c r="O93" t="inlineStr">
        <is>
          <t>https://www.disco.com.ar/shampoo-elvive-reparacion-total-5-keratin-200-ml/p</t>
        </is>
      </c>
    </row>
    <row r="94">
      <c r="A94" s="10" t="inlineStr">
        <is>
          <t>Disco</t>
        </is>
      </c>
      <c r="B94" s="10" t="n">
        <v>3086635</v>
      </c>
      <c r="C94" s="10" t="n">
        <v>3085859</v>
      </c>
      <c r="D94" s="10" t="inlineStr">
        <is>
          <t>Shampoo Goodbye Daños Oil Control 350 Ml Fructis Shampoo Fructis Oil Control 350ml</t>
        </is>
      </c>
      <c r="E94" s="10" t="inlineStr">
        <is>
          <t>FRUCTIS</t>
        </is>
      </c>
      <c r="F94" s="10" t="n">
        <v>8650</v>
      </c>
      <c r="G94" s="10" t="n">
        <v>714876</v>
      </c>
      <c r="H94" s="10" t="b">
        <v>1</v>
      </c>
      <c r="I94" s="10" t="n">
        <v>350</v>
      </c>
      <c r="J94" s="10" t="n">
        <v>24.7143</v>
      </c>
      <c r="K94" s="10" t="inlineStr">
        <is>
          <t>&gt; Perfumería &gt; Cuidado Capilar &gt; Shampoo &gt;</t>
        </is>
      </c>
      <c r="L94" s="10" t="inlineStr">
        <is>
          <t>shampoo</t>
        </is>
      </c>
      <c r="M94" s="10" t="inlineStr">
        <is>
          <t>estandar</t>
        </is>
      </c>
      <c r="N94" s="10" t="inlineStr">
        <is>
          <t>general</t>
        </is>
      </c>
      <c r="O94" s="10" t="inlineStr">
        <is>
          <t>https://www.disco.com.ar/shampoo-fructis-oil-control-350ml/p</t>
        </is>
      </c>
    </row>
    <row r="95">
      <c r="A95" t="inlineStr">
        <is>
          <t>Disco</t>
        </is>
      </c>
      <c r="B95" t="n">
        <v>3071025</v>
      </c>
      <c r="C95" t="n">
        <v>3070596</v>
      </c>
      <c r="D95" t="inlineStr">
        <is>
          <t>Shampoo Dream Liso Efecto Keratina 750 Ml Elvive</t>
        </is>
      </c>
      <c r="E95" t="inlineStr">
        <is>
          <t>ELVIVE</t>
        </is>
      </c>
      <c r="F95" t="n">
        <v>21250</v>
      </c>
      <c r="G95" t="n">
        <v>1756198</v>
      </c>
      <c r="H95" t="b">
        <v>1</v>
      </c>
      <c r="I95" t="n">
        <v>750</v>
      </c>
      <c r="J95" t="n">
        <v>28.3333</v>
      </c>
      <c r="K95" t="inlineStr">
        <is>
          <t>&gt; Perfumería &gt; Cuidado Capilar &gt; Shampoo &gt;</t>
        </is>
      </c>
      <c r="L95" t="inlineStr">
        <is>
          <t>shampoo</t>
        </is>
      </c>
      <c r="M95" t="inlineStr">
        <is>
          <t>profesional</t>
        </is>
      </c>
      <c r="N95" t="inlineStr">
        <is>
          <t>tratado</t>
        </is>
      </c>
      <c r="O95" t="inlineStr">
        <is>
          <t>https://www.disco.com.ar/shampoo-dream-liso-x-750-ml-elvive/p</t>
        </is>
      </c>
    </row>
    <row r="96">
      <c r="A96" s="10" t="inlineStr">
        <is>
          <t>Disco</t>
        </is>
      </c>
      <c r="B96" s="10" t="n">
        <v>3069754</v>
      </c>
      <c r="C96" s="10" t="n">
        <v>3069359</v>
      </c>
      <c r="D96" s="10" t="inlineStr">
        <is>
          <t>Shampoo Colágeno Nutre y Revitaliza 510 Ml Pantene</t>
        </is>
      </c>
      <c r="E96" s="10" t="inlineStr">
        <is>
          <t>PANTENE</t>
        </is>
      </c>
      <c r="F96" s="10" t="n">
        <v>16900</v>
      </c>
      <c r="G96" s="10" t="n">
        <v>1396694</v>
      </c>
      <c r="H96" s="10" t="b">
        <v>1</v>
      </c>
      <c r="I96" s="10" t="n">
        <v>510</v>
      </c>
      <c r="J96" s="10" t="n">
        <v>33.1373</v>
      </c>
      <c r="K96" s="10" t="inlineStr">
        <is>
          <t>&gt; Perfumería &gt; Cuidado Capilar &gt; Shampoo &gt;</t>
        </is>
      </c>
      <c r="L96" s="10" t="inlineStr">
        <is>
          <t>shampoo</t>
        </is>
      </c>
      <c r="M96" s="10" t="inlineStr">
        <is>
          <t>estandar</t>
        </is>
      </c>
      <c r="N96" s="10" t="inlineStr">
        <is>
          <t>general</t>
        </is>
      </c>
      <c r="O96" s="10" t="inlineStr">
        <is>
          <t>https://www.disco.com.ar/shampoo-colageno-x-510-ml-pantene-2/p</t>
        </is>
      </c>
    </row>
    <row r="97">
      <c r="A97" t="inlineStr">
        <is>
          <t>Disco</t>
        </is>
      </c>
      <c r="B97" t="n">
        <v>424298</v>
      </c>
      <c r="C97" t="n">
        <v>417178</v>
      </c>
      <c r="D97" t="inlineStr">
        <is>
          <t>Shampoo Nutrición Intensa Óleo de Argán 700 Ml Plusbelle</t>
        </is>
      </c>
      <c r="E97" t="inlineStr">
        <is>
          <t>PLUSBELLE</t>
        </is>
      </c>
      <c r="F97" t="n">
        <v>5650</v>
      </c>
      <c r="G97" t="n">
        <v>466942</v>
      </c>
      <c r="H97" t="b">
        <v>1</v>
      </c>
      <c r="I97" t="n">
        <v>700</v>
      </c>
      <c r="J97" t="n">
        <v>8.071400000000001</v>
      </c>
      <c r="K97" t="inlineStr">
        <is>
          <t>&gt; Perfumería &gt; Cuidado Capilar &gt; Shampoo &gt;</t>
        </is>
      </c>
      <c r="L97" t="inlineStr">
        <is>
          <t>shampoo</t>
        </is>
      </c>
      <c r="M97" t="inlineStr">
        <is>
          <t>estandar</t>
        </is>
      </c>
      <c r="N97" t="inlineStr">
        <is>
          <t>general</t>
        </is>
      </c>
      <c r="O97" t="inlineStr">
        <is>
          <t>https://www.disco.com.ar/shampoo-plusbelle-esen-oleo-nut-argan-700-ml/p</t>
        </is>
      </c>
    </row>
    <row r="98">
      <c r="A98" s="10" t="inlineStr">
        <is>
          <t>Disco</t>
        </is>
      </c>
      <c r="B98" s="10" t="n">
        <v>410401</v>
      </c>
      <c r="C98" s="10" t="n">
        <v>406407</v>
      </c>
      <c r="D98" s="10" t="inlineStr">
        <is>
          <t>Shampoo Engrosador Anti-caída 400 Ml Tio Nacho</t>
        </is>
      </c>
      <c r="E98" s="10" t="inlineStr">
        <is>
          <t>Tio Nacho</t>
        </is>
      </c>
      <c r="F98" s="10" t="n">
        <v>8250</v>
      </c>
      <c r="G98" s="10" t="n">
        <v>681818</v>
      </c>
      <c r="H98" s="10" t="b">
        <v>1</v>
      </c>
      <c r="I98" s="10" t="n">
        <v>400</v>
      </c>
      <c r="J98" s="10" t="n">
        <v>20.625</v>
      </c>
      <c r="K98" s="10" t="inlineStr">
        <is>
          <t>&gt; Perfumería &gt; Cuidado Capilar &gt; Shampoo &gt;</t>
        </is>
      </c>
      <c r="L98" s="10" t="inlineStr">
        <is>
          <t>shampoo</t>
        </is>
      </c>
      <c r="M98" s="10" t="inlineStr">
        <is>
          <t>estandar</t>
        </is>
      </c>
      <c r="N98" s="10" t="inlineStr">
        <is>
          <t>general</t>
        </is>
      </c>
      <c r="O98" s="10" t="inlineStr">
        <is>
          <t>https://www.disco.com.ar/shampoo-engrosador-doypack-400-ml-tio-nacho/p</t>
        </is>
      </c>
    </row>
    <row r="99">
      <c r="A99" t="inlineStr">
        <is>
          <t>Disco</t>
        </is>
      </c>
      <c r="B99" t="n">
        <v>3070176</v>
      </c>
      <c r="C99" t="n">
        <v>3069776</v>
      </c>
      <c r="D99" t="inlineStr">
        <is>
          <t>Shampoo Keratina Repara y Protege 300 Ml Pantene</t>
        </is>
      </c>
      <c r="E99" t="inlineStr">
        <is>
          <t>PANTENE</t>
        </is>
      </c>
      <c r="F99" t="n">
        <v>10550</v>
      </c>
      <c r="G99" t="n">
        <v>871901</v>
      </c>
      <c r="H99" t="b">
        <v>1</v>
      </c>
      <c r="I99" t="n">
        <v>300</v>
      </c>
      <c r="J99" t="n">
        <v>35.1667</v>
      </c>
      <c r="K99" t="inlineStr">
        <is>
          <t>&gt; Perfumería &gt; Cuidado Capilar &gt; Shampoo &gt;</t>
        </is>
      </c>
      <c r="L99" t="inlineStr">
        <is>
          <t>shampoo</t>
        </is>
      </c>
      <c r="M99" t="inlineStr">
        <is>
          <t>estandar</t>
        </is>
      </c>
      <c r="N99" t="inlineStr">
        <is>
          <t>tratado</t>
        </is>
      </c>
      <c r="O99" t="inlineStr">
        <is>
          <t>https://www.disco.com.ar/shampoo-keratina-x-300-ml-pantene-2/p</t>
        </is>
      </c>
    </row>
    <row r="100">
      <c r="A100" s="10" t="inlineStr">
        <is>
          <t>Disco</t>
        </is>
      </c>
      <c r="B100" s="10" t="n">
        <v>3070168</v>
      </c>
      <c r="C100" s="10" t="n">
        <v>3069761</v>
      </c>
      <c r="D100" s="10" t="inlineStr">
        <is>
          <t>Shampoo Pro-V Miracles Revitalización 700 Ml Pantene</t>
        </is>
      </c>
      <c r="E100" s="10" t="inlineStr">
        <is>
          <t>PANTENE</t>
        </is>
      </c>
      <c r="F100" s="10" t="n">
        <v>18050</v>
      </c>
      <c r="G100" s="10" t="n">
        <v>1491736</v>
      </c>
      <c r="H100" s="10" t="b">
        <v>1</v>
      </c>
      <c r="I100" s="10" t="n">
        <v>700</v>
      </c>
      <c r="J100" s="10" t="n">
        <v>25.7857</v>
      </c>
      <c r="K100" s="10" t="inlineStr">
        <is>
          <t>&gt; Perfumería &gt; Cuidado Capilar &gt; Shampoo &gt;</t>
        </is>
      </c>
      <c r="L100" s="10" t="inlineStr">
        <is>
          <t>shampoo</t>
        </is>
      </c>
      <c r="M100" s="10" t="inlineStr">
        <is>
          <t>profesional</t>
        </is>
      </c>
      <c r="N100" s="10" t="inlineStr">
        <is>
          <t>general</t>
        </is>
      </c>
      <c r="O100" s="10" t="inlineStr">
        <is>
          <t>https://www.disco.com.ar/shampoo-pro-v-miracles-revitalizacion-x-700-ml-pantene/p</t>
        </is>
      </c>
    </row>
    <row r="101">
      <c r="A101" t="inlineStr">
        <is>
          <t>Disco</t>
        </is>
      </c>
      <c r="B101" t="n">
        <v>407567</v>
      </c>
      <c r="C101" t="n">
        <v>403756</v>
      </c>
      <c r="D101" t="inlineStr">
        <is>
          <t>Shampoo Reparación Total 5 Extreme 750 Ml Elvive</t>
        </is>
      </c>
      <c r="E101" t="inlineStr">
        <is>
          <t>ELVIVE</t>
        </is>
      </c>
      <c r="F101" t="n">
        <v>19700</v>
      </c>
      <c r="G101" t="n">
        <v>1628099</v>
      </c>
      <c r="H101" t="b">
        <v>1</v>
      </c>
      <c r="I101" t="n">
        <v>750</v>
      </c>
      <c r="J101" t="n">
        <v>26.2667</v>
      </c>
      <c r="K101" t="inlineStr">
        <is>
          <t>&gt; Perfumería &gt; Cuidado Capilar &gt; Shampoo &gt;</t>
        </is>
      </c>
      <c r="L101" t="inlineStr">
        <is>
          <t>shampoo</t>
        </is>
      </c>
      <c r="M101" t="inlineStr">
        <is>
          <t>profesional</t>
        </is>
      </c>
      <c r="N101" t="inlineStr">
        <is>
          <t>general</t>
        </is>
      </c>
      <c r="O101" t="inlineStr">
        <is>
          <t>https://www.disco.com.ar/shampoo-elvive-reparacion-total-5-extreme-750-ml/p</t>
        </is>
      </c>
    </row>
    <row r="102">
      <c r="A102" s="10" t="inlineStr">
        <is>
          <t>Disco</t>
        </is>
      </c>
      <c r="B102" s="10" t="n">
        <v>400519</v>
      </c>
      <c r="C102" s="10" t="n">
        <v>397857</v>
      </c>
      <c r="D102" s="10" t="inlineStr">
        <is>
          <t>Shampoo Colorvive para Cabello Teñido 750 Ml Elvive</t>
        </is>
      </c>
      <c r="E102" s="10" t="inlineStr">
        <is>
          <t>ELVIVE</t>
        </is>
      </c>
      <c r="F102" s="10" t="n">
        <v>19700</v>
      </c>
      <c r="G102" s="10" t="n">
        <v>1628099</v>
      </c>
      <c r="H102" s="10" t="b">
        <v>1</v>
      </c>
      <c r="I102" s="10" t="n">
        <v>750</v>
      </c>
      <c r="J102" s="10" t="n">
        <v>26.2667</v>
      </c>
      <c r="K102" s="10" t="inlineStr">
        <is>
          <t>&gt; Perfumería &gt; Cuidado Capilar &gt; Shampoo &gt;</t>
        </is>
      </c>
      <c r="L102" s="10" t="inlineStr">
        <is>
          <t>shampoo</t>
        </is>
      </c>
      <c r="M102" s="10" t="inlineStr">
        <is>
          <t>profesional</t>
        </is>
      </c>
      <c r="N102" s="10" t="inlineStr">
        <is>
          <t>tratado</t>
        </is>
      </c>
      <c r="O102" s="10" t="inlineStr">
        <is>
          <t>https://www.disco.com.ar/shampoo-elvive-colorvive-750-ml/p</t>
        </is>
      </c>
    </row>
    <row r="103">
      <c r="A103" t="inlineStr">
        <is>
          <t>Disco</t>
        </is>
      </c>
      <c r="B103" t="n">
        <v>400530</v>
      </c>
      <c r="C103" t="n">
        <v>397868</v>
      </c>
      <c r="D103" t="inlineStr">
        <is>
          <t>Shampoo Elvive Lóréal Paris Hidra Hialurónico 400 Ml</t>
        </is>
      </c>
      <c r="E103" t="inlineStr">
        <is>
          <t>ELVIVE</t>
        </is>
      </c>
      <c r="F103" t="n">
        <v>11199</v>
      </c>
      <c r="G103" t="n">
        <v>925537</v>
      </c>
      <c r="H103" t="b">
        <v>1</v>
      </c>
      <c r="I103" t="n">
        <v>400</v>
      </c>
      <c r="J103" t="n">
        <v>27.9975</v>
      </c>
      <c r="K103" t="inlineStr">
        <is>
          <t>&gt; Perfumería &gt; Cuidado Capilar &gt; Shampoo &gt;</t>
        </is>
      </c>
      <c r="L103" t="inlineStr">
        <is>
          <t>shampoo</t>
        </is>
      </c>
      <c r="M103" t="inlineStr">
        <is>
          <t>profesional</t>
        </is>
      </c>
      <c r="N103" t="inlineStr">
        <is>
          <t>general</t>
        </is>
      </c>
      <c r="O103" t="inlineStr">
        <is>
          <t>https://www.disco.com.ar/shampoo-elvive-loreal-paris-hidra-hialuronico-400-ml/p</t>
        </is>
      </c>
    </row>
    <row r="104">
      <c r="A104" s="10" t="inlineStr">
        <is>
          <t>Disco</t>
        </is>
      </c>
      <c r="B104" s="10" t="n">
        <v>397628</v>
      </c>
      <c r="C104" s="10" t="n">
        <v>395361</v>
      </c>
      <c r="D104" s="10" t="inlineStr">
        <is>
          <t>Shampoo Hidra Purificante Hialuronico Pure 750 Ml Elvive</t>
        </is>
      </c>
      <c r="E104" s="10" t="inlineStr">
        <is>
          <t>ELVIVE</t>
        </is>
      </c>
      <c r="F104" s="10" t="n">
        <v>19700</v>
      </c>
      <c r="G104" s="10" t="n">
        <v>1628099</v>
      </c>
      <c r="H104" s="10" t="b">
        <v>1</v>
      </c>
      <c r="I104" s="10" t="n">
        <v>750</v>
      </c>
      <c r="J104" s="10" t="n">
        <v>26.2667</v>
      </c>
      <c r="K104" s="10" t="inlineStr">
        <is>
          <t>&gt; Perfumería &gt; Cuidado Capilar &gt; Shampoo &gt;</t>
        </is>
      </c>
      <c r="L104" s="10" t="inlineStr">
        <is>
          <t>shampoo</t>
        </is>
      </c>
      <c r="M104" s="10" t="inlineStr">
        <is>
          <t>profesional</t>
        </is>
      </c>
      <c r="N104" s="10" t="inlineStr">
        <is>
          <t>general</t>
        </is>
      </c>
      <c r="O104" s="10" t="inlineStr">
        <is>
          <t>https://www.disco.com.ar/shampoo-elvive-hialuronico-pure-750-ml/p</t>
        </is>
      </c>
    </row>
    <row r="105">
      <c r="A105" t="inlineStr">
        <is>
          <t>Disco</t>
        </is>
      </c>
      <c r="B105" t="n">
        <v>407568</v>
      </c>
      <c r="C105" t="n">
        <v>403757</v>
      </c>
      <c r="D105" t="inlineStr">
        <is>
          <t>Shampoo Reparación Total 5 Extreme 400 Ml Elvive</t>
        </is>
      </c>
      <c r="E105" t="inlineStr">
        <is>
          <t>ELVIVE</t>
        </is>
      </c>
      <c r="F105" t="n">
        <v>11199</v>
      </c>
      <c r="G105" t="n">
        <v>925537</v>
      </c>
      <c r="H105" t="b">
        <v>1</v>
      </c>
      <c r="I105" t="n">
        <v>400</v>
      </c>
      <c r="J105" t="n">
        <v>27.9975</v>
      </c>
      <c r="K105" t="inlineStr">
        <is>
          <t>&gt; Perfumería &gt; Cuidado Capilar &gt; Shampoo &gt;</t>
        </is>
      </c>
      <c r="L105" t="inlineStr">
        <is>
          <t>shampoo</t>
        </is>
      </c>
      <c r="M105" t="inlineStr">
        <is>
          <t>profesional</t>
        </is>
      </c>
      <c r="N105" t="inlineStr">
        <is>
          <t>general</t>
        </is>
      </c>
      <c r="O105" t="inlineStr">
        <is>
          <t>https://www.disco.com.ar/shampoo-elvive-reparacion-total-5-extreme-400-ml/p</t>
        </is>
      </c>
    </row>
    <row r="106">
      <c r="A106" s="10" t="inlineStr">
        <is>
          <t>Disco</t>
        </is>
      </c>
      <c r="B106" s="10" t="n">
        <v>401198</v>
      </c>
      <c r="C106" s="10" t="n">
        <v>398536</v>
      </c>
      <c r="D106" s="10" t="inlineStr">
        <is>
          <t>Shampoo Equilibrio Raíz y Puntas 700 Ml Pantene</t>
        </is>
      </c>
      <c r="E106" s="10" t="inlineStr">
        <is>
          <t>PANTENE</t>
        </is>
      </c>
      <c r="F106" s="10" t="n">
        <v>18050</v>
      </c>
      <c r="G106" s="10" t="n">
        <v>1491736</v>
      </c>
      <c r="H106" s="10" t="b">
        <v>1</v>
      </c>
      <c r="I106" s="10" t="n">
        <v>700</v>
      </c>
      <c r="J106" s="10" t="n">
        <v>25.7857</v>
      </c>
      <c r="K106" s="10" t="inlineStr">
        <is>
          <t>&gt; Perfumería &gt; Cuidado Capilar &gt; Shampoo &gt;</t>
        </is>
      </c>
      <c r="L106" s="10" t="inlineStr">
        <is>
          <t>shampoo</t>
        </is>
      </c>
      <c r="M106" s="10" t="inlineStr">
        <is>
          <t>estandar</t>
        </is>
      </c>
      <c r="N106" s="10" t="inlineStr">
        <is>
          <t>general</t>
        </is>
      </c>
      <c r="O106" s="10" t="inlineStr">
        <is>
          <t>https://www.disco.com.ar/shampoo-equilibrante-equilibrio-raiz-y-puntas-700-ml-pantene/p</t>
        </is>
      </c>
    </row>
    <row r="107">
      <c r="A107" t="inlineStr">
        <is>
          <t>Disco</t>
        </is>
      </c>
      <c r="B107" t="n">
        <v>389286</v>
      </c>
      <c r="C107" t="n">
        <v>387392</v>
      </c>
      <c r="D107" t="inlineStr">
        <is>
          <t>Shampoo Colageno Y Vitamina C 340 Ml Sedal</t>
        </is>
      </c>
      <c r="E107" t="inlineStr">
        <is>
          <t>SEDAL</t>
        </is>
      </c>
      <c r="F107" t="n">
        <v>5950</v>
      </c>
      <c r="G107" t="n">
        <v>491736</v>
      </c>
      <c r="H107" t="b">
        <v>1</v>
      </c>
      <c r="I107" t="n">
        <v>340</v>
      </c>
      <c r="J107" t="n">
        <v>17.5</v>
      </c>
      <c r="K107" t="inlineStr">
        <is>
          <t>&gt; Perfumería &gt; Cuidado Capilar &gt; Shampoo &gt;</t>
        </is>
      </c>
      <c r="L107" t="inlineStr">
        <is>
          <t>shampoo</t>
        </is>
      </c>
      <c r="M107" t="inlineStr">
        <is>
          <t>estandar</t>
        </is>
      </c>
      <c r="N107" t="inlineStr">
        <is>
          <t>general</t>
        </is>
      </c>
      <c r="O107" t="inlineStr">
        <is>
          <t>https://www.disco.com.ar/shampoo-colageno-y-vitamina-c-340-ml-sedal/p</t>
        </is>
      </c>
    </row>
    <row r="108">
      <c r="A108" s="10" t="inlineStr">
        <is>
          <t>Disco</t>
        </is>
      </c>
      <c r="B108" s="10" t="n">
        <v>416914</v>
      </c>
      <c r="C108" s="10" t="n">
        <v>412458</v>
      </c>
      <c r="D108" s="10" t="inlineStr">
        <is>
          <t>Shampoo Rizos Definidos Óleo Extraordinario 400 Ml Elvive</t>
        </is>
      </c>
      <c r="E108" s="10" t="inlineStr">
        <is>
          <t>ELVIVE</t>
        </is>
      </c>
      <c r="F108" s="10" t="n">
        <v>12300</v>
      </c>
      <c r="G108" s="10" t="n">
        <v>1016529</v>
      </c>
      <c r="H108" s="10" t="b">
        <v>1</v>
      </c>
      <c r="I108" s="10" t="n">
        <v>400</v>
      </c>
      <c r="J108" s="10" t="n">
        <v>30.75</v>
      </c>
      <c r="K108" s="10" t="inlineStr">
        <is>
          <t>&gt; Perfumería &gt; Cuidado Capilar &gt; Shampoo &gt;</t>
        </is>
      </c>
      <c r="L108" s="10" t="inlineStr">
        <is>
          <t>shampoo</t>
        </is>
      </c>
      <c r="M108" s="10" t="inlineStr">
        <is>
          <t>profesional</t>
        </is>
      </c>
      <c r="N108" s="10" t="inlineStr">
        <is>
          <t>rizado</t>
        </is>
      </c>
      <c r="O108" s="10" t="inlineStr">
        <is>
          <t>https://www.disco.com.ar/shampoo-elvive-extraordinario-riso-400-ml/p</t>
        </is>
      </c>
    </row>
    <row r="109">
      <c r="A109" t="inlineStr">
        <is>
          <t>Disco</t>
        </is>
      </c>
      <c r="B109" t="n">
        <v>384041</v>
      </c>
      <c r="C109" t="n">
        <v>382754</v>
      </c>
      <c r="D109" t="inlineStr">
        <is>
          <t>Shampoo Garnier Fructis Hair Food Coco 300 Ml</t>
        </is>
      </c>
      <c r="E109" t="inlineStr">
        <is>
          <t>FRUCTIS</t>
        </is>
      </c>
      <c r="F109" t="n">
        <v>12300</v>
      </c>
      <c r="G109" t="n">
        <v>1016529</v>
      </c>
      <c r="H109" t="b">
        <v>1</v>
      </c>
      <c r="I109" t="n">
        <v>300</v>
      </c>
      <c r="J109" t="n">
        <v>41</v>
      </c>
      <c r="K109" t="inlineStr">
        <is>
          <t>&gt; Perfumería &gt; Cuidado Capilar &gt; Shampoo &gt;</t>
        </is>
      </c>
      <c r="L109" t="inlineStr">
        <is>
          <t>shampoo</t>
        </is>
      </c>
      <c r="M109" t="inlineStr">
        <is>
          <t>estandar</t>
        </is>
      </c>
      <c r="N109" t="inlineStr">
        <is>
          <t>general</t>
        </is>
      </c>
      <c r="O109" t="inlineStr">
        <is>
          <t>https://www.disco.com.ar/shampoo-garnier-fructis-hair-food-coco-300-ml/p</t>
        </is>
      </c>
    </row>
    <row r="110">
      <c r="A110" s="10" t="inlineStr">
        <is>
          <t>Disco</t>
        </is>
      </c>
      <c r="B110" s="10" t="n">
        <v>375297</v>
      </c>
      <c r="C110" s="10" t="n">
        <v>374015</v>
      </c>
      <c r="D110" s="10" t="inlineStr">
        <is>
          <t>Shampoo Matizador Color Vive Violeta 200 Ml Elvive</t>
        </is>
      </c>
      <c r="E110" s="10" t="inlineStr">
        <is>
          <t>ELVIVE</t>
        </is>
      </c>
      <c r="F110" s="10" t="n">
        <v>8200</v>
      </c>
      <c r="G110" s="10" t="n">
        <v>677686</v>
      </c>
      <c r="H110" s="10" t="b">
        <v>1</v>
      </c>
      <c r="I110" s="10" t="n">
        <v>200</v>
      </c>
      <c r="J110" s="10" t="n">
        <v>41</v>
      </c>
      <c r="K110" s="10" t="inlineStr">
        <is>
          <t>&gt; Perfumería &gt; Cuidado Capilar &gt; Shampoo &gt;</t>
        </is>
      </c>
      <c r="L110" s="10" t="inlineStr">
        <is>
          <t>shampoo</t>
        </is>
      </c>
      <c r="M110" s="10" t="inlineStr">
        <is>
          <t>profesional</t>
        </is>
      </c>
      <c r="N110" s="10" t="inlineStr">
        <is>
          <t>tratado</t>
        </is>
      </c>
      <c r="O110" s="10" t="inlineStr">
        <is>
          <t>https://www.disco.com.ar/shampoo-elvive-colorvive-200-ml/p</t>
        </is>
      </c>
    </row>
    <row r="111">
      <c r="A111" t="inlineStr">
        <is>
          <t>Disco</t>
        </is>
      </c>
      <c r="B111" t="n">
        <v>411921</v>
      </c>
      <c r="C111" t="n">
        <v>407642</v>
      </c>
      <c r="D111" t="inlineStr">
        <is>
          <t>Tintura en Shampoo Express Rubio 25 Ml Issue</t>
        </is>
      </c>
      <c r="E111" t="inlineStr">
        <is>
          <t>ISSUE</t>
        </is>
      </c>
      <c r="F111" t="n">
        <v>5050</v>
      </c>
      <c r="G111" t="n">
        <v>417355</v>
      </c>
      <c r="H111" t="b">
        <v>1</v>
      </c>
      <c r="I111" t="n">
        <v>25</v>
      </c>
      <c r="J111" t="n">
        <v>202</v>
      </c>
      <c r="K111" t="inlineStr">
        <is>
          <t>&gt; Perfumería &gt; Cuidado Capilar &gt; Coloración &gt;</t>
        </is>
      </c>
      <c r="L111" t="inlineStr">
        <is>
          <t>shampoo</t>
        </is>
      </c>
      <c r="M111" t="inlineStr">
        <is>
          <t>estandar</t>
        </is>
      </c>
      <c r="N111" t="inlineStr">
        <is>
          <t>tratado</t>
        </is>
      </c>
      <c r="O111" t="inlineStr">
        <is>
          <t>https://www.disco.com.ar/shampoo-issue-express-color-rubio-25-ml/p</t>
        </is>
      </c>
    </row>
    <row r="112">
      <c r="A112" s="10" t="inlineStr">
        <is>
          <t>Disco</t>
        </is>
      </c>
      <c r="B112" s="10" t="n">
        <v>3085237</v>
      </c>
      <c r="C112" s="10" t="n">
        <v>3084470</v>
      </c>
      <c r="D112" s="10" t="inlineStr">
        <is>
          <t>Shampoo Rizos Definidos Oleo Extraordinario 200 Ml Elvive</t>
        </is>
      </c>
      <c r="E112" s="10" t="inlineStr">
        <is>
          <t>ELVIVE</t>
        </is>
      </c>
      <c r="F112" s="10" t="n">
        <v>7450</v>
      </c>
      <c r="G112" s="10" t="n">
        <v>615702</v>
      </c>
      <c r="H112" s="10" t="b">
        <v>1</v>
      </c>
      <c r="I112" s="10" t="n">
        <v>200</v>
      </c>
      <c r="J112" s="10" t="n">
        <v>37.25</v>
      </c>
      <c r="K112" s="10" t="inlineStr">
        <is>
          <t>&gt; Perfumería &gt; Cuidado Capilar &gt; Shampoo &gt;</t>
        </is>
      </c>
      <c r="L112" s="10" t="inlineStr">
        <is>
          <t>shampoo</t>
        </is>
      </c>
      <c r="M112" s="10" t="inlineStr">
        <is>
          <t>profesional</t>
        </is>
      </c>
      <c r="N112" s="10" t="inlineStr">
        <is>
          <t>rizado</t>
        </is>
      </c>
      <c r="O112" s="10" t="inlineStr">
        <is>
          <t>https://www.disco.com.ar/shampoo-elvive-oleo-extraordinario-x-200-ml-2/p</t>
        </is>
      </c>
    </row>
    <row r="113">
      <c r="A113" t="inlineStr">
        <is>
          <t>Disco</t>
        </is>
      </c>
      <c r="B113" t="n">
        <v>1360921</v>
      </c>
      <c r="C113" t="n">
        <v>1360329</v>
      </c>
      <c r="D113" t="inlineStr">
        <is>
          <t>Shampoo Men+Care Control Fortificante Anti-Caspa 400 Ml Dove</t>
        </is>
      </c>
      <c r="E113" t="inlineStr">
        <is>
          <t>DOVE</t>
        </is>
      </c>
      <c r="F113" t="n">
        <v>10300</v>
      </c>
      <c r="G113" t="n">
        <v>851240</v>
      </c>
      <c r="H113" t="b">
        <v>1</v>
      </c>
      <c r="I113" t="n">
        <v>400</v>
      </c>
      <c r="J113" t="n">
        <v>25.75</v>
      </c>
      <c r="K113" t="inlineStr">
        <is>
          <t>&gt; Perfumería &gt; Cuidado Capilar &gt; Shampoo &gt;</t>
        </is>
      </c>
      <c r="L113" t="inlineStr">
        <is>
          <t>shampoo</t>
        </is>
      </c>
      <c r="M113" t="inlineStr">
        <is>
          <t>estandar</t>
        </is>
      </c>
      <c r="N113" t="inlineStr">
        <is>
          <t>anticaspa</t>
        </is>
      </c>
      <c r="O113" t="inlineStr">
        <is>
          <t>https://www.disco.com.ar/shampoo-dove-control-fortificante-400-ml-2/p</t>
        </is>
      </c>
    </row>
    <row r="114">
      <c r="A114" s="10" t="inlineStr">
        <is>
          <t>Disco</t>
        </is>
      </c>
      <c r="B114" s="10" t="n">
        <v>400535</v>
      </c>
      <c r="C114" s="10" t="n">
        <v>397873</v>
      </c>
      <c r="D114" s="10" t="inlineStr">
        <is>
          <t>Shampoo Hidra Hialurónico para Cabello Deshidratado 200 Ml Elvive</t>
        </is>
      </c>
      <c r="E114" s="10" t="inlineStr">
        <is>
          <t>ELVIVE</t>
        </is>
      </c>
      <c r="F114" s="10" t="n">
        <v>7650</v>
      </c>
      <c r="G114" s="10" t="n">
        <v>632231</v>
      </c>
      <c r="H114" s="10" t="b">
        <v>1</v>
      </c>
      <c r="I114" s="10" t="n">
        <v>200</v>
      </c>
      <c r="J114" s="10" t="n">
        <v>38.25</v>
      </c>
      <c r="K114" s="10" t="inlineStr">
        <is>
          <t>&gt; Perfumería &gt; Cuidado Capilar &gt; Shampoo &gt;</t>
        </is>
      </c>
      <c r="L114" s="10" t="inlineStr">
        <is>
          <t>shampoo</t>
        </is>
      </c>
      <c r="M114" s="10" t="inlineStr">
        <is>
          <t>profesional</t>
        </is>
      </c>
      <c r="N114" s="10" t="inlineStr">
        <is>
          <t>seco_danado</t>
        </is>
      </c>
      <c r="O114" s="10" t="inlineStr">
        <is>
          <t>https://www.disco.com.ar/shampoo-elvive-hidra-hialuronico-200-ml/p</t>
        </is>
      </c>
    </row>
    <row r="115">
      <c r="A115" t="inlineStr">
        <is>
          <t>Disco</t>
        </is>
      </c>
      <c r="B115" t="n">
        <v>346770</v>
      </c>
      <c r="C115" t="n">
        <v>345445</v>
      </c>
      <c r="D115" t="inlineStr">
        <is>
          <t>Shampoo Oleo Extraordinario Nutrición Intensa Coco 400 Ml Elvive</t>
        </is>
      </c>
      <c r="E115" t="inlineStr">
        <is>
          <t>ELVIVE</t>
        </is>
      </c>
      <c r="F115" t="n">
        <v>11199</v>
      </c>
      <c r="G115" t="n">
        <v>925537</v>
      </c>
      <c r="H115" t="b">
        <v>1</v>
      </c>
      <c r="I115" t="n">
        <v>400</v>
      </c>
      <c r="J115" t="n">
        <v>27.9975</v>
      </c>
      <c r="K115" t="inlineStr">
        <is>
          <t>&gt; Perfumería &gt; Cuidado Capilar &gt; Shampoo &gt;</t>
        </is>
      </c>
      <c r="L115" t="inlineStr">
        <is>
          <t>shampoo</t>
        </is>
      </c>
      <c r="M115" t="inlineStr">
        <is>
          <t>profesional</t>
        </is>
      </c>
      <c r="N115" t="inlineStr">
        <is>
          <t>general</t>
        </is>
      </c>
      <c r="O115" t="inlineStr">
        <is>
          <t>https://www.disco.com.ar/shampoo-elvive-oleo-extraordinario-coco-400-ml/p</t>
        </is>
      </c>
    </row>
    <row r="116">
      <c r="A116" s="10" t="inlineStr">
        <is>
          <t>Disco</t>
        </is>
      </c>
      <c r="B116" s="10" t="n">
        <v>275406</v>
      </c>
      <c r="C116" s="10" t="n">
        <v>274702</v>
      </c>
      <c r="D116" s="10" t="inlineStr">
        <is>
          <t>Shampoo Anti Caspa Apple 375 Ml Head y Shoulders</t>
        </is>
      </c>
      <c r="E116" s="10" t="inlineStr">
        <is>
          <t>HEAD &amp; SHOULDERS</t>
        </is>
      </c>
      <c r="F116" s="10" t="n">
        <v>13100</v>
      </c>
      <c r="G116" s="10" t="n">
        <v>1082645</v>
      </c>
      <c r="H116" s="10" t="b">
        <v>1</v>
      </c>
      <c r="I116" s="10" t="n">
        <v>375</v>
      </c>
      <c r="J116" s="10" t="n">
        <v>34.9333</v>
      </c>
      <c r="K116" s="10" t="inlineStr">
        <is>
          <t>&gt; Perfumería &gt; Cuidado Capilar &gt; Shampoo &gt;</t>
        </is>
      </c>
      <c r="L116" s="10" t="inlineStr">
        <is>
          <t>shampoo</t>
        </is>
      </c>
      <c r="M116" s="10" t="inlineStr">
        <is>
          <t>estandar</t>
        </is>
      </c>
      <c r="N116" s="10" t="inlineStr">
        <is>
          <t>anticaspa</t>
        </is>
      </c>
      <c r="O116" s="10" t="inlineStr">
        <is>
          <t>https://www.disco.com.ar/shampoo-apple-375-ml-head-shoulders-2/p</t>
        </is>
      </c>
    </row>
    <row r="117">
      <c r="A117" t="inlineStr">
        <is>
          <t>Disco</t>
        </is>
      </c>
      <c r="B117" t="n">
        <v>3083500</v>
      </c>
      <c r="C117" t="n">
        <v>3082775</v>
      </c>
      <c r="D117" t="inlineStr">
        <is>
          <t>Shampoo Brillo Anti-residuos Glycolic Cristal 400 Ml Elvive</t>
        </is>
      </c>
      <c r="E117" t="inlineStr">
        <is>
          <t>ELVIVE</t>
        </is>
      </c>
      <c r="F117" t="n">
        <v>11650</v>
      </c>
      <c r="G117" t="n">
        <v>962810</v>
      </c>
      <c r="H117" t="b">
        <v>1</v>
      </c>
      <c r="I117" t="n">
        <v>400</v>
      </c>
      <c r="J117" t="n">
        <v>29.125</v>
      </c>
      <c r="K117" t="inlineStr">
        <is>
          <t>&gt; Perfumería &gt; Cuidado Capilar &gt; Shampoo &gt;</t>
        </is>
      </c>
      <c r="L117" t="inlineStr">
        <is>
          <t>shampoo</t>
        </is>
      </c>
      <c r="M117" t="inlineStr">
        <is>
          <t>profesional</t>
        </is>
      </c>
      <c r="N117" t="inlineStr">
        <is>
          <t>general</t>
        </is>
      </c>
      <c r="O117" t="inlineStr">
        <is>
          <t>https://www.disco.com.ar/shampoo-brillo-anti-residuos-glycolic-cristal-x-400-ml-elvive/p</t>
        </is>
      </c>
    </row>
    <row r="118">
      <c r="A118" s="10" t="inlineStr">
        <is>
          <t>Disco</t>
        </is>
      </c>
      <c r="B118" s="10" t="n">
        <v>310204</v>
      </c>
      <c r="C118" s="10" t="n">
        <v>309442</v>
      </c>
      <c r="D118" s="10" t="inlineStr">
        <is>
          <t>Shampoo Anti Caspa Hidratación Aceite de Coco 180 Ml Head y Shoulders</t>
        </is>
      </c>
      <c r="E118" s="10" t="inlineStr">
        <is>
          <t>HEAD &amp; SHOULDERS</t>
        </is>
      </c>
      <c r="F118" s="10" t="n">
        <v>8000</v>
      </c>
      <c r="G118" s="10" t="n">
        <v>661157</v>
      </c>
      <c r="H118" s="10" t="b">
        <v>1</v>
      </c>
      <c r="I118" s="10" t="n">
        <v>180</v>
      </c>
      <c r="J118" s="10" t="n">
        <v>44.4444</v>
      </c>
      <c r="K118" s="10" t="inlineStr">
        <is>
          <t>&gt; Perfumería &gt; Cuidado Capilar &gt; Shampoo &gt;</t>
        </is>
      </c>
      <c r="L118" s="10" t="inlineStr">
        <is>
          <t>shampoo</t>
        </is>
      </c>
      <c r="M118" s="10" t="inlineStr">
        <is>
          <t>estandar</t>
        </is>
      </c>
      <c r="N118" s="10" t="inlineStr">
        <is>
          <t>anticaspa</t>
        </is>
      </c>
      <c r="O118" s="10" t="inlineStr">
        <is>
          <t>https://www.disco.com.ar/shampoo-coconut-180-ml-head-shoulders-2/p</t>
        </is>
      </c>
    </row>
    <row r="119">
      <c r="A119" t="inlineStr">
        <is>
          <t>Disco</t>
        </is>
      </c>
      <c r="B119" t="n">
        <v>411923</v>
      </c>
      <c r="C119" t="n">
        <v>407644</v>
      </c>
      <c r="D119" t="inlineStr">
        <is>
          <t>Shampoo Color Express Cobertura de Canas Castaño 25 Ml Issue</t>
        </is>
      </c>
      <c r="E119" t="inlineStr">
        <is>
          <t>ISSUE</t>
        </is>
      </c>
      <c r="F119" t="n">
        <v>5050</v>
      </c>
      <c r="G119" t="n">
        <v>417355</v>
      </c>
      <c r="H119" t="b">
        <v>1</v>
      </c>
      <c r="I119" t="n">
        <v>25</v>
      </c>
      <c r="J119" t="n">
        <v>202</v>
      </c>
      <c r="K119" t="inlineStr">
        <is>
          <t>&gt; Perfumería &gt; Cuidado Capilar &gt; Coloración &gt;</t>
        </is>
      </c>
      <c r="L119" t="inlineStr">
        <is>
          <t>shampoo</t>
        </is>
      </c>
      <c r="M119" t="inlineStr">
        <is>
          <t>estandar</t>
        </is>
      </c>
      <c r="N119" t="inlineStr">
        <is>
          <t>tratado</t>
        </is>
      </c>
      <c r="O119" t="inlineStr">
        <is>
          <t>https://www.disco.com.ar/shampoo-color-express-castano-25-ml-issue/p</t>
        </is>
      </c>
    </row>
    <row r="120">
      <c r="A120" s="10" t="inlineStr">
        <is>
          <t>Disco</t>
        </is>
      </c>
      <c r="B120" s="10" t="n">
        <v>3085747</v>
      </c>
      <c r="C120" s="10" t="n">
        <v>3084975</v>
      </c>
      <c r="D120" s="10" t="inlineStr">
        <is>
          <t>Shampoo Anticaida Renovación Capilar X 180 Ml Head &amp; Shoulders</t>
        </is>
      </c>
      <c r="E120" s="10" t="inlineStr">
        <is>
          <t>HEAD &amp; SHOULDERS</t>
        </is>
      </c>
      <c r="F120" s="10" t="n">
        <v>7750</v>
      </c>
      <c r="G120" s="10" t="n">
        <v>640496</v>
      </c>
      <c r="H120" s="10" t="b">
        <v>1</v>
      </c>
      <c r="I120" s="10" t="n">
        <v>180</v>
      </c>
      <c r="J120" s="10" t="n">
        <v>43.0556</v>
      </c>
      <c r="K120" s="10" t="inlineStr">
        <is>
          <t>&gt; Perfumería &gt; Cuidado Capilar &gt; Shampoo &gt;</t>
        </is>
      </c>
      <c r="L120" s="10" t="inlineStr">
        <is>
          <t>shampoo</t>
        </is>
      </c>
      <c r="M120" s="10" t="inlineStr">
        <is>
          <t>estandar</t>
        </is>
      </c>
      <c r="N120" s="10" t="inlineStr">
        <is>
          <t>general</t>
        </is>
      </c>
      <c r="O120" s="10" t="inlineStr">
        <is>
          <t>https://www.disco.com.ar/shampoo-anticaida-renovacion-capilar-x-180-ml-head-shoulders/p</t>
        </is>
      </c>
    </row>
    <row r="121">
      <c r="A121" t="inlineStr">
        <is>
          <t>Disco</t>
        </is>
      </c>
      <c r="B121" t="n">
        <v>3083499</v>
      </c>
      <c r="C121" t="n">
        <v>3082774</v>
      </c>
      <c r="D121" t="inlineStr">
        <is>
          <t>Shampoo Brillo Anti-residuos Glycolic Cristal 200 Ml Elvive</t>
        </is>
      </c>
      <c r="E121" t="inlineStr">
        <is>
          <t>ELVIVE</t>
        </is>
      </c>
      <c r="F121" t="n">
        <v>7950</v>
      </c>
      <c r="G121" t="n">
        <v>657025</v>
      </c>
      <c r="H121" t="b">
        <v>1</v>
      </c>
      <c r="I121" t="n">
        <v>200</v>
      </c>
      <c r="J121" t="n">
        <v>39.75</v>
      </c>
      <c r="K121" t="inlineStr">
        <is>
          <t>&gt; Perfumería &gt; Cuidado Capilar &gt; Shampoo &gt;</t>
        </is>
      </c>
      <c r="L121" t="inlineStr">
        <is>
          <t>shampoo</t>
        </is>
      </c>
      <c r="M121" t="inlineStr">
        <is>
          <t>profesional</t>
        </is>
      </c>
      <c r="N121" t="inlineStr">
        <is>
          <t>general</t>
        </is>
      </c>
      <c r="O121" t="inlineStr">
        <is>
          <t>https://www.disco.com.ar/shampoo-brillo-anti-residuos-glycolic-cristal-x-200-ml-elvive/p</t>
        </is>
      </c>
    </row>
    <row r="122">
      <c r="A122" s="10" t="inlineStr">
        <is>
          <t>Disco</t>
        </is>
      </c>
      <c r="B122" s="10" t="n">
        <v>3068523</v>
      </c>
      <c r="C122" s="10" t="n">
        <v>3068262</v>
      </c>
      <c r="D122" s="10" t="inlineStr">
        <is>
          <t>Shampoo Ácido Glicólico Brillo y Color 350 Ml Capilatis</t>
        </is>
      </c>
      <c r="E122" s="10" t="inlineStr">
        <is>
          <t>CAPILATIS</t>
        </is>
      </c>
      <c r="F122" s="10" t="n">
        <v>12750</v>
      </c>
      <c r="G122" s="10" t="n">
        <v>1053719</v>
      </c>
      <c r="H122" s="10" t="b">
        <v>1</v>
      </c>
      <c r="I122" s="10" t="n">
        <v>350</v>
      </c>
      <c r="J122" s="10" t="n">
        <v>36.4286</v>
      </c>
      <c r="K122" s="10" t="inlineStr">
        <is>
          <t>&gt; Perfumería &gt; Cuidado Capilar &gt; Shampoo &gt;</t>
        </is>
      </c>
      <c r="L122" s="10" t="inlineStr">
        <is>
          <t>shampoo</t>
        </is>
      </c>
      <c r="M122" s="10" t="inlineStr">
        <is>
          <t>estandar</t>
        </is>
      </c>
      <c r="N122" s="10" t="inlineStr">
        <is>
          <t>tratado</t>
        </is>
      </c>
      <c r="O122" s="10" t="inlineStr">
        <is>
          <t>https://www.disco.com.ar/shampoo-con-acido-glicolico-capilatis/p</t>
        </is>
      </c>
    </row>
    <row r="123">
      <c r="A123" t="inlineStr">
        <is>
          <t>Disco</t>
        </is>
      </c>
      <c r="B123" t="n">
        <v>424109</v>
      </c>
      <c r="C123" t="n">
        <v>417110</v>
      </c>
      <c r="D123" t="inlineStr">
        <is>
          <t>Shampoo Anti Caspa Manzana Fresh 650 Ml Head y Shoulders</t>
        </is>
      </c>
      <c r="E123" t="inlineStr">
        <is>
          <t>HEAD &amp; SHOULDERS</t>
        </is>
      </c>
      <c r="F123" t="n">
        <v>20450</v>
      </c>
      <c r="G123" t="n">
        <v>1690083</v>
      </c>
      <c r="H123" t="b">
        <v>1</v>
      </c>
      <c r="I123" t="n">
        <v>650</v>
      </c>
      <c r="J123" t="n">
        <v>31.4615</v>
      </c>
      <c r="K123" t="inlineStr">
        <is>
          <t>&gt; Perfumería &gt; Cuidado Capilar &gt; Shampoo &gt;</t>
        </is>
      </c>
      <c r="L123" t="inlineStr">
        <is>
          <t>shampoo</t>
        </is>
      </c>
      <c r="M123" t="inlineStr">
        <is>
          <t>estandar</t>
        </is>
      </c>
      <c r="N123" t="inlineStr">
        <is>
          <t>anticaspa</t>
        </is>
      </c>
      <c r="O123" t="inlineStr">
        <is>
          <t>https://www.disco.com.ar/shampoo-apple-650-ml-head-shoulders-2/p</t>
        </is>
      </c>
    </row>
    <row r="124">
      <c r="A124" s="10" t="inlineStr">
        <is>
          <t>Disco</t>
        </is>
      </c>
      <c r="B124" s="10" t="n">
        <v>391923</v>
      </c>
      <c r="C124" s="10" t="n">
        <v>389975</v>
      </c>
      <c r="D124" s="10" t="inlineStr">
        <is>
          <t>Shampoo Anti-Caspa Limpieza y Revitalización 375 Ml Head y Shoulders</t>
        </is>
      </c>
      <c r="E124" s="10" t="inlineStr">
        <is>
          <t>HEAD &amp; SHOULDERS</t>
        </is>
      </c>
      <c r="F124" s="10" t="n">
        <v>13100</v>
      </c>
      <c r="G124" s="10" t="n">
        <v>1082645</v>
      </c>
      <c r="H124" s="10" t="b">
        <v>1</v>
      </c>
      <c r="I124" s="10" t="n">
        <v>375</v>
      </c>
      <c r="J124" s="10" t="n">
        <v>34.9333</v>
      </c>
      <c r="K124" s="10" t="inlineStr">
        <is>
          <t>&gt; Perfumería &gt; Cuidado Capilar &gt; Shampoo &gt;</t>
        </is>
      </c>
      <c r="L124" s="10" t="inlineStr">
        <is>
          <t>shampoo</t>
        </is>
      </c>
      <c r="M124" s="10" t="inlineStr">
        <is>
          <t>estandar</t>
        </is>
      </c>
      <c r="N124" s="10" t="inlineStr">
        <is>
          <t>anticaspa</t>
        </is>
      </c>
      <c r="O124" s="10" t="inlineStr">
        <is>
          <t>https://www.disco.com.ar/shampoo-limpieza-y-revitalizacion-375-ml-head-shoulders/p</t>
        </is>
      </c>
    </row>
    <row r="125">
      <c r="A125" t="inlineStr">
        <is>
          <t>Disco</t>
        </is>
      </c>
      <c r="B125" t="n">
        <v>391857</v>
      </c>
      <c r="C125" t="n">
        <v>389909</v>
      </c>
      <c r="D125" t="inlineStr">
        <is>
          <t>Shampoo Anti-Caspa Aceite de Argán 180 Ml Head y Shoulders</t>
        </is>
      </c>
      <c r="E125" t="inlineStr">
        <is>
          <t>HEAD &amp; SHOULDERS</t>
        </is>
      </c>
      <c r="F125" t="n">
        <v>7900</v>
      </c>
      <c r="G125" t="n">
        <v>652893</v>
      </c>
      <c r="H125" t="b">
        <v>1</v>
      </c>
      <c r="I125" t="n">
        <v>180</v>
      </c>
      <c r="J125" t="n">
        <v>43.8889</v>
      </c>
      <c r="K125" t="inlineStr">
        <is>
          <t>&gt; Perfumería &gt; Cuidado Capilar &gt; Shampoo &gt;</t>
        </is>
      </c>
      <c r="L125" t="inlineStr">
        <is>
          <t>shampoo</t>
        </is>
      </c>
      <c r="M125" t="inlineStr">
        <is>
          <t>estandar</t>
        </is>
      </c>
      <c r="N125" t="inlineStr">
        <is>
          <t>anticaspa</t>
        </is>
      </c>
      <c r="O125" t="inlineStr">
        <is>
          <t>https://www.disco.com.ar/shampoo-aceite-de-argan-shampoo-180-ml-head-shoulders-2/p</t>
        </is>
      </c>
    </row>
    <row r="126">
      <c r="A126" s="10" t="inlineStr">
        <is>
          <t>Disco</t>
        </is>
      </c>
      <c r="B126" s="10" t="n">
        <v>295011</v>
      </c>
      <c r="C126" s="10" t="n">
        <v>294243</v>
      </c>
      <c r="D126" s="10" t="inlineStr">
        <is>
          <t>Shampoo Anti-Caspa Charcoal 375 Ml Head y Shoulders</t>
        </is>
      </c>
      <c r="E126" s="10" t="inlineStr">
        <is>
          <t>HEAD &amp; SHOULDERS</t>
        </is>
      </c>
      <c r="F126" s="10" t="n">
        <v>13100</v>
      </c>
      <c r="G126" s="10" t="n">
        <v>1082645</v>
      </c>
      <c r="H126" s="10" t="b">
        <v>1</v>
      </c>
      <c r="I126" s="10" t="n">
        <v>375</v>
      </c>
      <c r="J126" s="10" t="n">
        <v>34.9333</v>
      </c>
      <c r="K126" s="10" t="inlineStr">
        <is>
          <t>&gt; Perfumería &gt; Cuidado Capilar &gt; Shampoo &gt;</t>
        </is>
      </c>
      <c r="L126" s="10" t="inlineStr">
        <is>
          <t>shampoo</t>
        </is>
      </c>
      <c r="M126" s="10" t="inlineStr">
        <is>
          <t>estandar</t>
        </is>
      </c>
      <c r="N126" s="10" t="inlineStr">
        <is>
          <t>anticaspa</t>
        </is>
      </c>
      <c r="O126" s="10" t="inlineStr">
        <is>
          <t>https://www.disco.com.ar/shampoo-charcoal-375-ml-head-shoulders-2/p</t>
        </is>
      </c>
    </row>
    <row r="127">
      <c r="A127" t="inlineStr">
        <is>
          <t>Disco</t>
        </is>
      </c>
      <c r="B127" t="n">
        <v>349088</v>
      </c>
      <c r="C127" t="n">
        <v>347751</v>
      </c>
      <c r="D127" t="inlineStr">
        <is>
          <t>Shampoo 3 en 1 Active Fresh 400 Ml Dove</t>
        </is>
      </c>
      <c r="E127" t="inlineStr">
        <is>
          <t>DOVE</t>
        </is>
      </c>
      <c r="F127" t="n">
        <v>9505</v>
      </c>
      <c r="G127" t="n">
        <v>785537</v>
      </c>
      <c r="H127" t="b">
        <v>1</v>
      </c>
      <c r="I127" t="n">
        <v>400</v>
      </c>
      <c r="J127" t="n">
        <v>23.7625</v>
      </c>
      <c r="K127" t="inlineStr">
        <is>
          <t>&gt; Perfumería &gt; Cuidado Capilar &gt; Shampoo &gt;</t>
        </is>
      </c>
      <c r="L127" t="inlineStr">
        <is>
          <t>shampoo</t>
        </is>
      </c>
      <c r="M127" t="inlineStr">
        <is>
          <t>estandar</t>
        </is>
      </c>
      <c r="N127" t="inlineStr">
        <is>
          <t>general</t>
        </is>
      </c>
      <c r="O127" t="inlineStr">
        <is>
          <t>https://www.disco.com.ar/shampoo-para-hombre-dove-active-fresh-3-en-1-400-ml/p</t>
        </is>
      </c>
    </row>
    <row r="128">
      <c r="A128" s="10" t="inlineStr">
        <is>
          <t>Disco</t>
        </is>
      </c>
      <c r="B128" s="10" t="n">
        <v>424302</v>
      </c>
      <c r="C128" s="10" t="n">
        <v>417182</v>
      </c>
      <c r="D128" s="10" t="inlineStr">
        <is>
          <t>Shampoo Nutrición Cabello Seco Óleo de Coco 700 Ml Plusbelle</t>
        </is>
      </c>
      <c r="E128" s="10" t="inlineStr">
        <is>
          <t>PLUSBELLE</t>
        </is>
      </c>
      <c r="F128" s="10" t="n">
        <v>5650</v>
      </c>
      <c r="G128" s="10" t="n">
        <v>466942</v>
      </c>
      <c r="H128" s="10" t="b">
        <v>1</v>
      </c>
      <c r="I128" s="10" t="n">
        <v>700</v>
      </c>
      <c r="J128" s="10" t="n">
        <v>8.071400000000001</v>
      </c>
      <c r="K128" s="10" t="inlineStr">
        <is>
          <t>&gt; Perfumería &gt; Cuidado Capilar &gt; Shampoo &gt;</t>
        </is>
      </c>
      <c r="L128" s="10" t="inlineStr">
        <is>
          <t>shampoo</t>
        </is>
      </c>
      <c r="M128" s="10" t="inlineStr">
        <is>
          <t>estandar</t>
        </is>
      </c>
      <c r="N128" s="10" t="inlineStr">
        <is>
          <t>seco_danado</t>
        </is>
      </c>
      <c r="O128" s="10" t="inlineStr">
        <is>
          <t>https://www.disco.com.ar/shampoo-plusbelle-esen-oleo-nut-coco-700-ml/p</t>
        </is>
      </c>
    </row>
    <row r="129">
      <c r="A129" t="inlineStr">
        <is>
          <t>Disco</t>
        </is>
      </c>
      <c r="B129" t="n">
        <v>411484</v>
      </c>
      <c r="C129" t="n">
        <v>407302</v>
      </c>
      <c r="D129" t="inlineStr">
        <is>
          <t>Shampoo Tratante Anti-Caída Ortiga Concentrado 420 Ml Capilatis</t>
        </is>
      </c>
      <c r="E129" t="inlineStr">
        <is>
          <t>CAPILATIS</t>
        </is>
      </c>
      <c r="F129" t="n">
        <v>10900</v>
      </c>
      <c r="G129" t="n">
        <v>900826</v>
      </c>
      <c r="H129" t="b">
        <v>1</v>
      </c>
      <c r="I129" t="n">
        <v>420</v>
      </c>
      <c r="J129" t="n">
        <v>25.9524</v>
      </c>
      <c r="K129" t="inlineStr">
        <is>
          <t>&gt; Perfumería &gt; Cuidado Capilar &gt; Shampoo &gt;</t>
        </is>
      </c>
      <c r="L129" t="inlineStr">
        <is>
          <t>shampoo</t>
        </is>
      </c>
      <c r="M129" t="inlineStr">
        <is>
          <t>estandar</t>
        </is>
      </c>
      <c r="N129" t="inlineStr">
        <is>
          <t>general</t>
        </is>
      </c>
      <c r="O129" t="inlineStr">
        <is>
          <t>https://www.disco.com.ar/shampoo-ortiga-concentrado-420-ml-capilatis/p</t>
        </is>
      </c>
    </row>
    <row r="130">
      <c r="A130" s="10" t="inlineStr">
        <is>
          <t>Disco</t>
        </is>
      </c>
      <c r="B130" s="10" t="n">
        <v>411475</v>
      </c>
      <c r="C130" s="10" t="n">
        <v>407293</v>
      </c>
      <c r="D130" s="10" t="inlineStr">
        <is>
          <t>Shampoo Tratante Anti-Caída para Cabello Graso Ortiga y Salvia 420 Ml Capilatis</t>
        </is>
      </c>
      <c r="E130" s="10" t="inlineStr">
        <is>
          <t>CAPILATIS</t>
        </is>
      </c>
      <c r="F130" s="10" t="n">
        <v>10900</v>
      </c>
      <c r="G130" s="10" t="n">
        <v>900826</v>
      </c>
      <c r="H130" s="10" t="b">
        <v>1</v>
      </c>
      <c r="I130" s="10" t="n">
        <v>420</v>
      </c>
      <c r="J130" s="10" t="n">
        <v>25.9524</v>
      </c>
      <c r="K130" s="10" t="inlineStr">
        <is>
          <t>&gt; Perfumería &gt; Cuidado Capilar &gt; Shampoo &gt;</t>
        </is>
      </c>
      <c r="L130" s="10" t="inlineStr">
        <is>
          <t>shampoo</t>
        </is>
      </c>
      <c r="M130" s="10" t="inlineStr">
        <is>
          <t>estandar</t>
        </is>
      </c>
      <c r="N130" s="10" t="inlineStr">
        <is>
          <t>graso</t>
        </is>
      </c>
      <c r="O130" s="10" t="inlineStr">
        <is>
          <t>https://www.disco.com.ar/shampoo-ortiga-graso-concentrado-420-ml-capilatis/p</t>
        </is>
      </c>
    </row>
    <row r="131">
      <c r="A131" t="inlineStr">
        <is>
          <t>Disco</t>
        </is>
      </c>
      <c r="B131" t="n">
        <v>404463</v>
      </c>
      <c r="C131" t="n">
        <v>401465</v>
      </c>
      <c r="D131" t="inlineStr">
        <is>
          <t>Shampoo Cabellos Grasos Menta y Lima 420 Ml Capilatis</t>
        </is>
      </c>
      <c r="E131" t="inlineStr">
        <is>
          <t>CAPILATIS</t>
        </is>
      </c>
      <c r="F131" t="n">
        <v>9750</v>
      </c>
      <c r="G131" t="n">
        <v>805785</v>
      </c>
      <c r="H131" t="b">
        <v>1</v>
      </c>
      <c r="I131" t="n">
        <v>420</v>
      </c>
      <c r="J131" t="n">
        <v>23.2143</v>
      </c>
      <c r="K131" t="inlineStr">
        <is>
          <t>&gt; Perfumería &gt; Cuidado Capilar &gt; Shampoo &gt;</t>
        </is>
      </c>
      <c r="L131" t="inlineStr">
        <is>
          <t>shampoo</t>
        </is>
      </c>
      <c r="M131" t="inlineStr">
        <is>
          <t>estandar</t>
        </is>
      </c>
      <c r="N131" t="inlineStr">
        <is>
          <t>graso</t>
        </is>
      </c>
      <c r="O131" t="inlineStr">
        <is>
          <t>https://www.disco.com.ar/shampoo-cabellos-grasos-420-ml-capilatis/p</t>
        </is>
      </c>
    </row>
    <row r="132">
      <c r="A132" s="10" t="inlineStr">
        <is>
          <t>Disco</t>
        </is>
      </c>
      <c r="B132" s="10" t="n">
        <v>349085</v>
      </c>
      <c r="C132" s="10" t="n">
        <v>347748</v>
      </c>
      <c r="D132" s="10" t="inlineStr">
        <is>
          <t>Shampoo 2 en 1 Fuerza Extrema 400 Ml Dove</t>
        </is>
      </c>
      <c r="E132" s="10" t="inlineStr">
        <is>
          <t>DOVE</t>
        </is>
      </c>
      <c r="F132" s="10" t="n">
        <v>9505</v>
      </c>
      <c r="G132" s="10" t="n">
        <v>785537</v>
      </c>
      <c r="H132" s="10" t="b">
        <v>1</v>
      </c>
      <c r="I132" s="10" t="n">
        <v>400</v>
      </c>
      <c r="J132" s="10" t="n">
        <v>23.7625</v>
      </c>
      <c r="K132" s="10" t="inlineStr">
        <is>
          <t>&gt; Perfumería &gt; Cuidado Capilar &gt; Shampoo &gt;</t>
        </is>
      </c>
      <c r="L132" s="10" t="inlineStr">
        <is>
          <t>shampoo</t>
        </is>
      </c>
      <c r="M132" s="10" t="inlineStr">
        <is>
          <t>estandar</t>
        </is>
      </c>
      <c r="N132" s="10" t="inlineStr">
        <is>
          <t>general</t>
        </is>
      </c>
      <c r="O132" s="10" t="inlineStr">
        <is>
          <t>https://www.disco.com.ar/shampoo-dove-men-2en1-fuerza-extrema-400-ml/p</t>
        </is>
      </c>
    </row>
    <row r="133">
      <c r="A133" t="inlineStr">
        <is>
          <t>Disco</t>
        </is>
      </c>
      <c r="B133" t="n">
        <v>275435</v>
      </c>
      <c r="C133" t="n">
        <v>274731</v>
      </c>
      <c r="D133" t="inlineStr">
        <is>
          <t>Shampoo 3 en 1 Anti-Caspa 375 Ml Head y Shoulders</t>
        </is>
      </c>
      <c r="E133" t="inlineStr">
        <is>
          <t>HEAD &amp; SHOULDERS</t>
        </is>
      </c>
      <c r="F133" t="n">
        <v>13100</v>
      </c>
      <c r="G133" t="n">
        <v>1082645</v>
      </c>
      <c r="H133" t="b">
        <v>1</v>
      </c>
      <c r="I133" t="n">
        <v>375</v>
      </c>
      <c r="J133" t="n">
        <v>34.9333</v>
      </c>
      <c r="K133" t="inlineStr">
        <is>
          <t>&gt; Perfumería &gt; Cuidado Capilar &gt; Shampoo &gt;</t>
        </is>
      </c>
      <c r="L133" t="inlineStr">
        <is>
          <t>shampoo</t>
        </is>
      </c>
      <c r="M133" t="inlineStr">
        <is>
          <t>estandar</t>
        </is>
      </c>
      <c r="N133" t="inlineStr">
        <is>
          <t>anticaspa</t>
        </is>
      </c>
      <c r="O133" t="inlineStr">
        <is>
          <t>https://www.disco.com.ar/shampoo-3-en-1-375-ml-head-shoulders-2/p</t>
        </is>
      </c>
    </row>
    <row r="134">
      <c r="A134" s="10" t="inlineStr">
        <is>
          <t>Disco</t>
        </is>
      </c>
      <c r="B134" s="10" t="n">
        <v>275414</v>
      </c>
      <c r="C134" s="10" t="n">
        <v>274710</v>
      </c>
      <c r="D134" s="10" t="inlineStr">
        <is>
          <t>Shampoo Anti-Caspa Manzana 180 Ml Head y Shoulders</t>
        </is>
      </c>
      <c r="E134" s="10" t="inlineStr">
        <is>
          <t>HEAD &amp; SHOULDERS</t>
        </is>
      </c>
      <c r="F134" s="10" t="n">
        <v>7900</v>
      </c>
      <c r="G134" s="10" t="n">
        <v>652893</v>
      </c>
      <c r="H134" s="10" t="b">
        <v>1</v>
      </c>
      <c r="I134" s="10" t="n">
        <v>180</v>
      </c>
      <c r="J134" s="10" t="n">
        <v>43.8889</v>
      </c>
      <c r="K134" s="10" t="inlineStr">
        <is>
          <t>&gt; Perfumería &gt; Cuidado Capilar &gt; Shampoo &gt;</t>
        </is>
      </c>
      <c r="L134" s="10" t="inlineStr">
        <is>
          <t>shampoo</t>
        </is>
      </c>
      <c r="M134" s="10" t="inlineStr">
        <is>
          <t>estandar</t>
        </is>
      </c>
      <c r="N134" s="10" t="inlineStr">
        <is>
          <t>anticaspa</t>
        </is>
      </c>
      <c r="O134" s="10" t="inlineStr">
        <is>
          <t>https://www.disco.com.ar/shampoo-apple-180-ml-head-shoulders-2/p</t>
        </is>
      </c>
    </row>
    <row r="135">
      <c r="A135" t="inlineStr">
        <is>
          <t>Disco</t>
        </is>
      </c>
      <c r="B135" t="n">
        <v>3083503</v>
      </c>
      <c r="C135" t="n">
        <v>3082778</v>
      </c>
      <c r="D135" t="inlineStr">
        <is>
          <t>Shampoo Brillo Anti-residuos Glycolic Cristal 750 Ml Elvive</t>
        </is>
      </c>
      <c r="E135" t="inlineStr">
        <is>
          <t>ELVIVE</t>
        </is>
      </c>
      <c r="F135" t="n">
        <v>19350</v>
      </c>
      <c r="G135" t="n">
        <v>1599174</v>
      </c>
      <c r="H135" t="b">
        <v>1</v>
      </c>
      <c r="I135" t="n">
        <v>750</v>
      </c>
      <c r="J135" t="n">
        <v>25.8</v>
      </c>
      <c r="K135" t="inlineStr">
        <is>
          <t>&gt; Perfumería &gt; Cuidado Capilar &gt; Shampoo &gt;</t>
        </is>
      </c>
      <c r="L135" t="inlineStr">
        <is>
          <t>shampoo</t>
        </is>
      </c>
      <c r="M135" t="inlineStr">
        <is>
          <t>profesional</t>
        </is>
      </c>
      <c r="N135" t="inlineStr">
        <is>
          <t>general</t>
        </is>
      </c>
      <c r="O135" t="inlineStr">
        <is>
          <t>https://www.disco.com.ar/shampoo-brillo-anti-residuos-glycolic-cristal-x-750-ml-elvive/p</t>
        </is>
      </c>
    </row>
    <row r="136">
      <c r="A136" s="10" t="inlineStr">
        <is>
          <t>Disco</t>
        </is>
      </c>
      <c r="B136" s="10" t="n">
        <v>414717</v>
      </c>
      <c r="C136" s="10" t="n">
        <v>410418</v>
      </c>
      <c r="D136" s="10" t="inlineStr">
        <is>
          <t>Shampoo Para Niños Hidratación Intensa X 200 Ml Johnson's</t>
        </is>
      </c>
      <c r="E136" s="10" t="inlineStr">
        <is>
          <t>JOHNSON BABY</t>
        </is>
      </c>
      <c r="F136" s="10" t="n">
        <v>6650</v>
      </c>
      <c r="G136" s="10" t="n">
        <v>549587</v>
      </c>
      <c r="H136" s="10" t="b">
        <v>1</v>
      </c>
      <c r="I136" s="10" t="n">
        <v>200</v>
      </c>
      <c r="J136" s="10" t="n">
        <v>33.25</v>
      </c>
      <c r="K136" s="10" t="inlineStr">
        <is>
          <t>&gt; Mundo Bebe &gt; Higiene para el Bebe &gt; Higiene del Bebé &gt;</t>
        </is>
      </c>
      <c r="L136" s="10" t="inlineStr">
        <is>
          <t>shampoo</t>
        </is>
      </c>
      <c r="M136" s="10" t="inlineStr">
        <is>
          <t>estandar</t>
        </is>
      </c>
      <c r="N136" s="10" t="inlineStr">
        <is>
          <t>seco_danado</t>
        </is>
      </c>
      <c r="O136" s="10" t="inlineStr">
        <is>
          <t>https://www.disco.com.ar/shampoo-para-ninos-hidratacion-intensa-x-200-ml-johnson-s/p</t>
        </is>
      </c>
    </row>
    <row r="137">
      <c r="A137" t="inlineStr">
        <is>
          <t>Disco</t>
        </is>
      </c>
      <c r="B137" t="n">
        <v>275438</v>
      </c>
      <c r="C137" t="n">
        <v>274734</v>
      </c>
      <c r="D137" t="inlineStr">
        <is>
          <t>Shampoo Anti-Caspa Anticaída 375 Ml Head y Shoulders</t>
        </is>
      </c>
      <c r="E137" t="inlineStr">
        <is>
          <t>HEAD &amp; SHOULDERS</t>
        </is>
      </c>
      <c r="F137" t="n">
        <v>13050</v>
      </c>
      <c r="G137" t="n">
        <v>1078512</v>
      </c>
      <c r="H137" t="b">
        <v>1</v>
      </c>
      <c r="I137" t="n">
        <v>375</v>
      </c>
      <c r="J137" t="n">
        <v>34.8</v>
      </c>
      <c r="K137" t="inlineStr">
        <is>
          <t>&gt; Perfumería &gt; Cuidado Capilar &gt; Shampoo &gt;</t>
        </is>
      </c>
      <c r="L137" t="inlineStr">
        <is>
          <t>shampoo</t>
        </is>
      </c>
      <c r="M137" t="inlineStr">
        <is>
          <t>estandar</t>
        </is>
      </c>
      <c r="N137" t="inlineStr">
        <is>
          <t>anticaspa</t>
        </is>
      </c>
      <c r="O137" t="inlineStr">
        <is>
          <t>https://www.disco.com.ar/shampoo-antifall-375-ml-head-shoulders-2/p</t>
        </is>
      </c>
    </row>
    <row r="138">
      <c r="A138" s="10" t="inlineStr">
        <is>
          <t>Disco</t>
        </is>
      </c>
      <c r="B138" s="10" t="n">
        <v>3067728</v>
      </c>
      <c r="C138" s="10" t="n">
        <v>3067588</v>
      </c>
      <c r="D138" s="10" t="inlineStr">
        <is>
          <t>Shampoo Anticaída y Nutrición Biotinamina B3 510 Ml Pantene</t>
        </is>
      </c>
      <c r="E138" s="10" t="inlineStr">
        <is>
          <t>PANTENE</t>
        </is>
      </c>
      <c r="F138" s="10" t="n">
        <v>16900</v>
      </c>
      <c r="G138" s="10" t="n">
        <v>1396694</v>
      </c>
      <c r="H138" s="10" t="b">
        <v>1</v>
      </c>
      <c r="I138" s="10" t="n">
        <v>510</v>
      </c>
      <c r="J138" s="10" t="n">
        <v>33.1373</v>
      </c>
      <c r="K138" s="10" t="inlineStr">
        <is>
          <t>&gt; Perfumería &gt; Cuidado Capilar &gt; Shampoo &gt;</t>
        </is>
      </c>
      <c r="L138" s="10" t="inlineStr">
        <is>
          <t>shampoo</t>
        </is>
      </c>
      <c r="M138" s="10" t="inlineStr">
        <is>
          <t>estandar</t>
        </is>
      </c>
      <c r="N138" s="10" t="inlineStr">
        <is>
          <t>general</t>
        </is>
      </c>
      <c r="O138" s="10" t="inlineStr">
        <is>
          <t>https://www.disco.com.ar/shampoo-anti-caida-510-ml-pantene-2/p</t>
        </is>
      </c>
    </row>
    <row r="139">
      <c r="A139" t="inlineStr">
        <is>
          <t>Disco</t>
        </is>
      </c>
      <c r="B139" t="n">
        <v>414723</v>
      </c>
      <c r="C139" t="n">
        <v>410424</v>
      </c>
      <c r="D139" t="inlineStr">
        <is>
          <t>Shampoo Para Niños Fragancia Prolongada 200 Ml Johnson Baby</t>
        </is>
      </c>
      <c r="E139" t="inlineStr">
        <is>
          <t>JOHNSON BABY</t>
        </is>
      </c>
      <c r="F139" t="n">
        <v>6750</v>
      </c>
      <c r="G139" t="n">
        <v>557851</v>
      </c>
      <c r="H139" t="b">
        <v>1</v>
      </c>
      <c r="I139" t="n">
        <v>200</v>
      </c>
      <c r="J139" t="n">
        <v>33.75</v>
      </c>
      <c r="K139" t="inlineStr">
        <is>
          <t>&gt; Mundo Bebe &gt; Higiene para el Bebe &gt; Higiene del Bebé &gt;</t>
        </is>
      </c>
      <c r="L139" t="inlineStr">
        <is>
          <t>shampoo</t>
        </is>
      </c>
      <c r="M139" t="inlineStr">
        <is>
          <t>estandar</t>
        </is>
      </c>
      <c r="N139" t="inlineStr">
        <is>
          <t>bebe</t>
        </is>
      </c>
      <c r="O139" t="inlineStr">
        <is>
          <t>https://www.disco.com.ar/shampoo-para-ninos-fragancia-prolongada-200-ml-johnson-baby/p</t>
        </is>
      </c>
    </row>
    <row r="140">
      <c r="A140" s="10" t="inlineStr">
        <is>
          <t>Disco</t>
        </is>
      </c>
      <c r="B140" s="10" t="n">
        <v>298524</v>
      </c>
      <c r="C140" s="10" t="n">
        <v>297753</v>
      </c>
      <c r="D140" s="10" t="inlineStr">
        <is>
          <t>Shampoo para Perros y Gatos Pulguicida/Garrapaticida 500 Ml Pet' S Class</t>
        </is>
      </c>
      <c r="E140" s="10" t="inlineStr">
        <is>
          <t>PET' S CLASS</t>
        </is>
      </c>
      <c r="F140" s="10" t="n">
        <v>9800</v>
      </c>
      <c r="G140" s="10" t="n">
        <v>809917</v>
      </c>
      <c r="H140" s="10" t="b">
        <v>1</v>
      </c>
      <c r="I140" s="10" t="n">
        <v>500</v>
      </c>
      <c r="J140" s="10" t="n">
        <v>19.6</v>
      </c>
      <c r="K140" s="10" t="inlineStr">
        <is>
          <t>&gt; Mascotas &gt; Accesorios para Mascotas &gt;</t>
        </is>
      </c>
      <c r="L140" s="10" t="inlineStr">
        <is>
          <t>shampoo</t>
        </is>
      </c>
      <c r="M140" s="10" t="inlineStr">
        <is>
          <t>estandar</t>
        </is>
      </c>
      <c r="N140" s="10" t="inlineStr">
        <is>
          <t>general</t>
        </is>
      </c>
      <c r="O140" s="10" t="inlineStr">
        <is>
          <t>https://www.disco.com.ar/shampoo-para-perro-pets-class-pulguicida-garrapata/p</t>
        </is>
      </c>
    </row>
    <row r="141">
      <c r="A141" t="inlineStr">
        <is>
          <t>Disco</t>
        </is>
      </c>
      <c r="B141" t="n">
        <v>3086505</v>
      </c>
      <c r="C141" t="n">
        <v>3085727</v>
      </c>
      <c r="D141" t="inlineStr">
        <is>
          <t>Shampoo Reparación Profunda Keratina Vegetal 415 Ml Tio Nacho Shampoo Keratina Vegetal  X 415 Ml Tio Nacho</t>
        </is>
      </c>
      <c r="E141" t="inlineStr">
        <is>
          <t>Tio Nacho</t>
        </is>
      </c>
      <c r="F141" t="n">
        <v>11100</v>
      </c>
      <c r="G141" t="n">
        <v>917355</v>
      </c>
      <c r="H141" t="b">
        <v>1</v>
      </c>
      <c r="I141" t="n">
        <v>415</v>
      </c>
      <c r="J141" t="n">
        <v>26.747</v>
      </c>
      <c r="K141" t="inlineStr">
        <is>
          <t>&gt; Perfumería &gt; Cuidado Capilar &gt; Shampoo &gt;</t>
        </is>
      </c>
      <c r="L141" t="inlineStr">
        <is>
          <t>shampoo</t>
        </is>
      </c>
      <c r="M141" t="inlineStr">
        <is>
          <t>estandar</t>
        </is>
      </c>
      <c r="N141" t="inlineStr">
        <is>
          <t>tratado</t>
        </is>
      </c>
      <c r="O141" t="inlineStr">
        <is>
          <t>https://www.disco.com.ar/shampoo-keratina-vegetal-x-415-ml-tio-nacho/p</t>
        </is>
      </c>
    </row>
    <row r="142">
      <c r="A142" s="10" t="inlineStr">
        <is>
          <t>Disco</t>
        </is>
      </c>
      <c r="B142" s="10" t="n">
        <v>3085748</v>
      </c>
      <c r="C142" s="10" t="n">
        <v>3084976</v>
      </c>
      <c r="D142" s="10" t="inlineStr">
        <is>
          <t>Shampoo Anticaida Renovación Capilar X 375 Ml Head &amp; Shoulders</t>
        </is>
      </c>
      <c r="E142" s="10" t="inlineStr">
        <is>
          <t>HEAD &amp; SHOULDERS</t>
        </is>
      </c>
      <c r="F142" s="10" t="n">
        <v>13000</v>
      </c>
      <c r="G142" s="10" t="n">
        <v>1074380</v>
      </c>
      <c r="H142" s="10" t="b">
        <v>1</v>
      </c>
      <c r="I142" s="10" t="n">
        <v>375</v>
      </c>
      <c r="J142" s="10" t="n">
        <v>34.6667</v>
      </c>
      <c r="K142" s="10" t="inlineStr">
        <is>
          <t>&gt; Perfumería &gt; Cuidado Capilar &gt; Shampoo &gt;</t>
        </is>
      </c>
      <c r="L142" s="10" t="inlineStr">
        <is>
          <t>shampoo</t>
        </is>
      </c>
      <c r="M142" s="10" t="inlineStr">
        <is>
          <t>estandar</t>
        </is>
      </c>
      <c r="N142" s="10" t="inlineStr">
        <is>
          <t>general</t>
        </is>
      </c>
      <c r="O142" s="10" t="inlineStr">
        <is>
          <t>https://www.disco.com.ar/shampoo-anticaida-renovacion-capilar-x-375-ml-head-shoulders/p</t>
        </is>
      </c>
    </row>
    <row r="143">
      <c r="A143" t="inlineStr">
        <is>
          <t>Disco</t>
        </is>
      </c>
      <c r="B143" t="n">
        <v>3085746</v>
      </c>
      <c r="C143" t="n">
        <v>3084974</v>
      </c>
      <c r="D143" t="inlineStr">
        <is>
          <t>Shampoo Anticaida Renovación Capilar X 650 Ml Head &amp; Shoulders</t>
        </is>
      </c>
      <c r="E143" t="inlineStr">
        <is>
          <t>HEAD &amp; SHOULDERS</t>
        </is>
      </c>
      <c r="F143" t="n">
        <v>20000</v>
      </c>
      <c r="G143" t="n">
        <v>1652893</v>
      </c>
      <c r="H143" t="b">
        <v>1</v>
      </c>
      <c r="I143" t="n">
        <v>650</v>
      </c>
      <c r="J143" t="n">
        <v>30.7692</v>
      </c>
      <c r="K143" t="inlineStr">
        <is>
          <t>&gt; Perfumería &gt; Cuidado Capilar &gt; Shampoo &gt;</t>
        </is>
      </c>
      <c r="L143" t="inlineStr">
        <is>
          <t>shampoo</t>
        </is>
      </c>
      <c r="M143" t="inlineStr">
        <is>
          <t>estandar</t>
        </is>
      </c>
      <c r="N143" t="inlineStr">
        <is>
          <t>general</t>
        </is>
      </c>
      <c r="O143" t="inlineStr">
        <is>
          <t>https://www.disco.com.ar/shampoo-anticaida-renovacion-capilar-x-650-ml-head-shoulders/p</t>
        </is>
      </c>
    </row>
    <row r="144">
      <c r="A144" s="10" t="inlineStr">
        <is>
          <t>Disco</t>
        </is>
      </c>
      <c r="B144" s="10" t="n">
        <v>3083784</v>
      </c>
      <c r="C144" s="10" t="n">
        <v>3083042</v>
      </c>
      <c r="D144" s="10" t="inlineStr">
        <is>
          <t>Shampoo 2 en 1 Control Caspa 415 Ml Tio Nacho</t>
        </is>
      </c>
      <c r="E144" s="10" t="inlineStr">
        <is>
          <t>Tio Nacho</t>
        </is>
      </c>
      <c r="F144" s="10" t="n">
        <v>12200</v>
      </c>
      <c r="G144" s="10" t="n">
        <v>1008264</v>
      </c>
      <c r="H144" s="10" t="b">
        <v>1</v>
      </c>
      <c r="I144" s="10" t="n">
        <v>415</v>
      </c>
      <c r="J144" s="10" t="n">
        <v>29.3976</v>
      </c>
      <c r="K144" s="10" t="inlineStr">
        <is>
          <t>&gt; Perfumería &gt; Cuidado Capilar &gt; Shampoo &gt;</t>
        </is>
      </c>
      <c r="L144" s="10" t="inlineStr">
        <is>
          <t>shampoo</t>
        </is>
      </c>
      <c r="M144" s="10" t="inlineStr">
        <is>
          <t>estandar</t>
        </is>
      </c>
      <c r="N144" s="10" t="inlineStr">
        <is>
          <t>anticaspa</t>
        </is>
      </c>
      <c r="O144" s="10" t="inlineStr">
        <is>
          <t>https://www.disco.com.ar/shampoo-acondicionador-2-en-1-control-caspa-415-ml-tio-nacho/p</t>
        </is>
      </c>
    </row>
    <row r="145">
      <c r="A145" t="inlineStr">
        <is>
          <t>Disco</t>
        </is>
      </c>
      <c r="B145" t="n">
        <v>388717</v>
      </c>
      <c r="C145" t="n">
        <v>386829</v>
      </c>
      <c r="D145" t="inlineStr">
        <is>
          <t>Shampoo Óleo Extraordinario Nutrición Cabello Seco 750 Ml Elvive</t>
        </is>
      </c>
      <c r="E145" t="inlineStr">
        <is>
          <t>ELVIVE</t>
        </is>
      </c>
      <c r="F145" t="n">
        <v>19700</v>
      </c>
      <c r="G145" t="n">
        <v>1628099</v>
      </c>
      <c r="H145" t="b">
        <v>1</v>
      </c>
      <c r="I145" t="n">
        <v>750</v>
      </c>
      <c r="J145" t="n">
        <v>26.2667</v>
      </c>
      <c r="K145" t="inlineStr">
        <is>
          <t>&gt; Perfumería &gt; Cuidado Capilar &gt; Shampoo &gt;</t>
        </is>
      </c>
      <c r="L145" t="inlineStr">
        <is>
          <t>shampoo</t>
        </is>
      </c>
      <c r="M145" t="inlineStr">
        <is>
          <t>profesional</t>
        </is>
      </c>
      <c r="N145" t="inlineStr">
        <is>
          <t>seco_danado</t>
        </is>
      </c>
      <c r="O145" t="inlineStr">
        <is>
          <t>https://www.disco.com.ar/shampoo-elvive-oleo-extraordinario-nutricion-universal-750-ml/p</t>
        </is>
      </c>
    </row>
    <row r="146">
      <c r="A146" s="10" t="inlineStr">
        <is>
          <t>Disco</t>
        </is>
      </c>
      <c r="B146" s="10" t="n">
        <v>332647</v>
      </c>
      <c r="C146" s="10" t="n">
        <v>331802</v>
      </c>
      <c r="D146" s="10" t="inlineStr">
        <is>
          <t>Shampoo Anti Caspa Fuerza 180 Ml Head y Shoulders</t>
        </is>
      </c>
      <c r="E146" s="10" t="inlineStr">
        <is>
          <t>HEAD &amp; SHOULDERS</t>
        </is>
      </c>
      <c r="F146" s="10" t="n">
        <v>7800</v>
      </c>
      <c r="G146" s="10" t="n">
        <v>644628</v>
      </c>
      <c r="H146" s="10" t="b">
        <v>1</v>
      </c>
      <c r="I146" s="10" t="n">
        <v>180</v>
      </c>
      <c r="J146" s="10" t="n">
        <v>43.3333</v>
      </c>
      <c r="K146" s="10" t="inlineStr">
        <is>
          <t>&gt; Perfumería &gt; Cuidado Capilar &gt; Shampoo &gt;</t>
        </is>
      </c>
      <c r="L146" s="10" t="inlineStr">
        <is>
          <t>shampoo</t>
        </is>
      </c>
      <c r="M146" s="10" t="inlineStr">
        <is>
          <t>estandar</t>
        </is>
      </c>
      <c r="N146" s="10" t="inlineStr">
        <is>
          <t>anticaspa</t>
        </is>
      </c>
      <c r="O146" s="10" t="inlineStr">
        <is>
          <t>https://www.disco.com.ar/shampoo-fuerza-180-ml-head-shoulders-2/p</t>
        </is>
      </c>
    </row>
    <row r="147">
      <c r="A147" t="inlineStr">
        <is>
          <t>Disco</t>
        </is>
      </c>
      <c r="B147" t="n">
        <v>298540</v>
      </c>
      <c r="C147" t="n">
        <v>297769</v>
      </c>
      <c r="D147" t="inlineStr">
        <is>
          <t>Shampoo para Perros y Gatos Sabor Frutilla 500 Ml Pet's Class Shampoo Para Perro Pets Class Frutilla X500cm3</t>
        </is>
      </c>
      <c r="E147" t="inlineStr">
        <is>
          <t>PET' S CLASS</t>
        </is>
      </c>
      <c r="F147" t="n">
        <v>8500</v>
      </c>
      <c r="G147" t="n">
        <v>702479</v>
      </c>
      <c r="H147" t="b">
        <v>1</v>
      </c>
      <c r="I147" t="n">
        <v>500</v>
      </c>
      <c r="J147" t="n">
        <v>17</v>
      </c>
      <c r="K147" t="inlineStr">
        <is>
          <t>&gt; Mascotas &gt; Accesorios para Mascotas &gt;</t>
        </is>
      </c>
      <c r="L147" t="inlineStr">
        <is>
          <t>shampoo</t>
        </is>
      </c>
      <c r="M147" t="inlineStr">
        <is>
          <t>estandar</t>
        </is>
      </c>
      <c r="N147" t="inlineStr">
        <is>
          <t>general</t>
        </is>
      </c>
      <c r="O147" t="inlineStr">
        <is>
          <t>https://www.disco.com.ar/shampoo-para-perro-pets-class-frutilla-x500cm3/p</t>
        </is>
      </c>
    </row>
    <row r="148">
      <c r="A148" s="10" t="inlineStr">
        <is>
          <t>Disco</t>
        </is>
      </c>
      <c r="B148" s="10" t="n">
        <v>401186</v>
      </c>
      <c r="C148" s="10" t="n">
        <v>398524</v>
      </c>
      <c r="D148" s="10" t="inlineStr">
        <is>
          <t>Shampoo Pro-v Miracles Equilibrio Raíz y Puntas 400 Ml Pantene</t>
        </is>
      </c>
      <c r="E148" s="10" t="inlineStr">
        <is>
          <t>PANTENE</t>
        </is>
      </c>
      <c r="F148" s="10" t="n">
        <v>11000</v>
      </c>
      <c r="G148" s="10" t="n">
        <v>909091</v>
      </c>
      <c r="H148" s="10" t="b">
        <v>1</v>
      </c>
      <c r="I148" s="10" t="n">
        <v>400</v>
      </c>
      <c r="J148" s="10" t="n">
        <v>27.5</v>
      </c>
      <c r="K148" s="10" t="inlineStr">
        <is>
          <t>&gt; Perfumería &gt; Cuidado Capilar &gt; Shampoo &gt;</t>
        </is>
      </c>
      <c r="L148" s="10" t="inlineStr">
        <is>
          <t>shampoo</t>
        </is>
      </c>
      <c r="M148" s="10" t="inlineStr">
        <is>
          <t>profesional</t>
        </is>
      </c>
      <c r="N148" s="10" t="inlineStr">
        <is>
          <t>general</t>
        </is>
      </c>
      <c r="O148" s="10" t="inlineStr">
        <is>
          <t>https://www.disco.com.ar/shampoo-pro-v-miracles-detox-equilibrio-400-ml-pantene/p</t>
        </is>
      </c>
    </row>
    <row r="149">
      <c r="A149" t="inlineStr">
        <is>
          <t>Disco</t>
        </is>
      </c>
      <c r="B149" t="n">
        <v>397686</v>
      </c>
      <c r="C149" t="n">
        <v>395420</v>
      </c>
      <c r="D149" t="inlineStr">
        <is>
          <t>Shampoo Hialurónico Pure Raíz Grasa y Puntas Deshidratadas 400 Ml Elvive</t>
        </is>
      </c>
      <c r="E149" t="inlineStr">
        <is>
          <t>ELVIVE</t>
        </is>
      </c>
      <c r="F149" t="n">
        <v>11199</v>
      </c>
      <c r="G149" t="n">
        <v>925537</v>
      </c>
      <c r="H149" t="b">
        <v>1</v>
      </c>
      <c r="I149" t="n">
        <v>400</v>
      </c>
      <c r="J149" t="n">
        <v>27.9975</v>
      </c>
      <c r="K149" t="inlineStr">
        <is>
          <t>&gt; Perfumería &gt; Cuidado Capilar &gt; Shampoo &gt;</t>
        </is>
      </c>
      <c r="L149" t="inlineStr">
        <is>
          <t>shampoo</t>
        </is>
      </c>
      <c r="M149" t="inlineStr">
        <is>
          <t>profesional</t>
        </is>
      </c>
      <c r="N149" t="inlineStr">
        <is>
          <t>seco_danado</t>
        </is>
      </c>
      <c r="O149" t="inlineStr">
        <is>
          <t>https://www.disco.com.ar/shampoo-elvive-hialuronico-pure-400-ml/p</t>
        </is>
      </c>
    </row>
    <row r="150">
      <c r="A150" s="10" t="inlineStr">
        <is>
          <t>Disco</t>
        </is>
      </c>
      <c r="B150" s="10" t="n">
        <v>401190</v>
      </c>
      <c r="C150" s="10" t="n">
        <v>398528</v>
      </c>
      <c r="D150" s="10" t="inlineStr">
        <is>
          <t>Shampoo Pro-v Miracles Detox Limpia y Purifica 750 Ml Pantene</t>
        </is>
      </c>
      <c r="E150" s="10" t="inlineStr">
        <is>
          <t>PANTENE</t>
        </is>
      </c>
      <c r="F150" s="10" t="n">
        <v>18050</v>
      </c>
      <c r="G150" s="10" t="n">
        <v>1491736</v>
      </c>
      <c r="H150" s="10" t="b">
        <v>1</v>
      </c>
      <c r="I150" s="10" t="n">
        <v>750</v>
      </c>
      <c r="J150" s="10" t="n">
        <v>24.0667</v>
      </c>
      <c r="K150" s="10" t="inlineStr">
        <is>
          <t>&gt; Perfumería &gt; Cuidado Capilar &gt; Shampoo &gt;</t>
        </is>
      </c>
      <c r="L150" s="10" t="inlineStr">
        <is>
          <t>shampoo</t>
        </is>
      </c>
      <c r="M150" s="10" t="inlineStr">
        <is>
          <t>profesional</t>
        </is>
      </c>
      <c r="N150" s="10" t="inlineStr">
        <is>
          <t>general</t>
        </is>
      </c>
      <c r="O150" s="10" t="inlineStr">
        <is>
          <t>https://www.disco.com.ar/shampoo-pro-v-miracles-detox-limpia-purifica-750-ml-pantene/p</t>
        </is>
      </c>
    </row>
    <row r="151">
      <c r="A151" t="inlineStr">
        <is>
          <t>Disco</t>
        </is>
      </c>
      <c r="B151" t="n">
        <v>334661</v>
      </c>
      <c r="C151" t="n">
        <v>333783</v>
      </c>
      <c r="D151" t="inlineStr">
        <is>
          <t>Shampoo Anti Caspa Crece Fuerte desde la Raíz 375 Ml Head y Shoulders</t>
        </is>
      </c>
      <c r="E151" t="inlineStr">
        <is>
          <t>HEAD &amp; SHOULDERS</t>
        </is>
      </c>
      <c r="F151" t="n">
        <v>13100</v>
      </c>
      <c r="G151" t="n">
        <v>1082645</v>
      </c>
      <c r="H151" t="b">
        <v>1</v>
      </c>
      <c r="I151" t="n">
        <v>375</v>
      </c>
      <c r="J151" t="n">
        <v>34.9333</v>
      </c>
      <c r="K151" t="inlineStr">
        <is>
          <t>&gt; Perfumería &gt; Cuidado Capilar &gt; Shampoo &gt;</t>
        </is>
      </c>
      <c r="L151" t="inlineStr">
        <is>
          <t>shampoo</t>
        </is>
      </c>
      <c r="M151" t="inlineStr">
        <is>
          <t>estandar</t>
        </is>
      </c>
      <c r="N151" t="inlineStr">
        <is>
          <t>anticaspa</t>
        </is>
      </c>
      <c r="O151" t="inlineStr">
        <is>
          <t>https://www.disco.com.ar/shampoo-crece-fuerte-desde-la-raiz-375-ml-head-shoulders/p</t>
        </is>
      </c>
    </row>
    <row r="152">
      <c r="A152" s="10" t="inlineStr">
        <is>
          <t>Disco</t>
        </is>
      </c>
      <c r="B152" s="10" t="n">
        <v>310203</v>
      </c>
      <c r="C152" s="10" t="n">
        <v>309441</v>
      </c>
      <c r="D152" s="10" t="inlineStr">
        <is>
          <t>Shampoo Anti-Caspa Hidratación Aceite de Coco 375 Ml Head y Shoulders</t>
        </is>
      </c>
      <c r="E152" s="10" t="inlineStr">
        <is>
          <t>HEAD &amp; SHOULDERS</t>
        </is>
      </c>
      <c r="F152" s="10" t="n">
        <v>13100</v>
      </c>
      <c r="G152" s="10" t="n">
        <v>1082645</v>
      </c>
      <c r="H152" s="10" t="b">
        <v>1</v>
      </c>
      <c r="I152" s="10" t="n">
        <v>375</v>
      </c>
      <c r="J152" s="10" t="n">
        <v>34.9333</v>
      </c>
      <c r="K152" s="10" t="inlineStr">
        <is>
          <t>&gt; Perfumería &gt; Cuidado Capilar &gt; Shampoo &gt;</t>
        </is>
      </c>
      <c r="L152" s="10" t="inlineStr">
        <is>
          <t>shampoo</t>
        </is>
      </c>
      <c r="M152" s="10" t="inlineStr">
        <is>
          <t>estandar</t>
        </is>
      </c>
      <c r="N152" s="10" t="inlineStr">
        <is>
          <t>anticaspa</t>
        </is>
      </c>
      <c r="O152" s="10" t="inlineStr">
        <is>
          <t>https://www.disco.com.ar/shampoo-coconut-375-ml-head-shoulders-2/p</t>
        </is>
      </c>
    </row>
    <row r="153">
      <c r="A153" t="inlineStr">
        <is>
          <t>Disco</t>
        </is>
      </c>
      <c r="B153" t="n">
        <v>407561</v>
      </c>
      <c r="C153" t="n">
        <v>403750</v>
      </c>
      <c r="D153" t="inlineStr">
        <is>
          <t>Shampoo Elvive 2 En 1 Reparación Total 5 Keratin 400 Ml</t>
        </is>
      </c>
      <c r="E153" t="inlineStr">
        <is>
          <t>ELVIVE</t>
        </is>
      </c>
      <c r="F153" t="n">
        <v>11199</v>
      </c>
      <c r="G153" t="n">
        <v>925537</v>
      </c>
      <c r="H153" t="b">
        <v>1</v>
      </c>
      <c r="I153" t="n">
        <v>400</v>
      </c>
      <c r="J153" t="n">
        <v>27.9975</v>
      </c>
      <c r="K153" t="inlineStr">
        <is>
          <t>&gt; Perfumería &gt; Cuidado Capilar &gt; Shampoo &gt;</t>
        </is>
      </c>
      <c r="L153" t="inlineStr">
        <is>
          <t>shampoo</t>
        </is>
      </c>
      <c r="M153" t="inlineStr">
        <is>
          <t>profesional</t>
        </is>
      </c>
      <c r="N153" t="inlineStr">
        <is>
          <t>general</t>
        </is>
      </c>
      <c r="O153" t="inlineStr">
        <is>
          <t>https://www.disco.com.ar/shampoo-elvive-2-en-1-reparacion-total-5-keratin-400-ml/p</t>
        </is>
      </c>
    </row>
    <row r="154">
      <c r="A154" s="10" t="inlineStr">
        <is>
          <t>Disco</t>
        </is>
      </c>
      <c r="B154" s="10" t="n">
        <v>401196</v>
      </c>
      <c r="C154" s="10" t="n">
        <v>398534</v>
      </c>
      <c r="D154" s="10" t="inlineStr">
        <is>
          <t>Shampoo Pro-v Miracles Detox Equilibrio 200 Ml Pantene</t>
        </is>
      </c>
      <c r="E154" s="10" t="inlineStr">
        <is>
          <t>PANTENE</t>
        </is>
      </c>
      <c r="F154" s="10" t="n">
        <v>6650</v>
      </c>
      <c r="G154" s="10" t="n">
        <v>549587</v>
      </c>
      <c r="H154" s="10" t="b">
        <v>1</v>
      </c>
      <c r="I154" s="10" t="n">
        <v>200</v>
      </c>
      <c r="J154" s="10" t="n">
        <v>33.25</v>
      </c>
      <c r="K154" s="10" t="inlineStr">
        <is>
          <t>&gt; Perfumería &gt; Cuidado Capilar &gt; Shampoo &gt;</t>
        </is>
      </c>
      <c r="L154" s="10" t="inlineStr">
        <is>
          <t>shampoo</t>
        </is>
      </c>
      <c r="M154" s="10" t="inlineStr">
        <is>
          <t>profesional</t>
        </is>
      </c>
      <c r="N154" s="10" t="inlineStr">
        <is>
          <t>general</t>
        </is>
      </c>
      <c r="O154" s="10" t="inlineStr">
        <is>
          <t>https://www.disco.com.ar/shampoo-pro-v-miracles-detox-equilibrio-200-ml-pantene-2/p</t>
        </is>
      </c>
    </row>
    <row r="155">
      <c r="A155" t="inlineStr">
        <is>
          <t>Disco</t>
        </is>
      </c>
      <c r="B155" t="n">
        <v>401195</v>
      </c>
      <c r="C155" t="n">
        <v>398533</v>
      </c>
      <c r="D155" t="inlineStr">
        <is>
          <t>Shampoo Pro-v Miracles Detox Limpia-purifica 400 Ml Pantene</t>
        </is>
      </c>
      <c r="E155" t="inlineStr">
        <is>
          <t>PANTENE</t>
        </is>
      </c>
      <c r="F155" t="n">
        <v>11000</v>
      </c>
      <c r="G155" t="n">
        <v>909091</v>
      </c>
      <c r="H155" t="b">
        <v>1</v>
      </c>
      <c r="I155" t="n">
        <v>400</v>
      </c>
      <c r="J155" t="n">
        <v>27.5</v>
      </c>
      <c r="K155" t="inlineStr">
        <is>
          <t>&gt; Perfumería &gt; Cuidado Capilar &gt; Shampoo &gt;</t>
        </is>
      </c>
      <c r="L155" t="inlineStr">
        <is>
          <t>shampoo</t>
        </is>
      </c>
      <c r="M155" t="inlineStr">
        <is>
          <t>profesional</t>
        </is>
      </c>
      <c r="N155" t="inlineStr">
        <is>
          <t>general</t>
        </is>
      </c>
      <c r="O155" t="inlineStr">
        <is>
          <t>https://www.disco.com.ar/shampoo-pro-v-miracles-detox-limpia-purifica-400-ml-pantene/p</t>
        </is>
      </c>
    </row>
    <row r="156">
      <c r="A156" s="10" t="inlineStr">
        <is>
          <t>Disco</t>
        </is>
      </c>
      <c r="B156" s="10" t="n">
        <v>394821</v>
      </c>
      <c r="C156" s="10" t="n">
        <v>392820</v>
      </c>
      <c r="D156" s="10" t="inlineStr">
        <is>
          <t>Shampoo Pantene Pro-v Miracles Hidrata Y Fortalece 400 Ml</t>
        </is>
      </c>
      <c r="E156" s="10" t="inlineStr">
        <is>
          <t>PANTENE</t>
        </is>
      </c>
      <c r="F156" s="10" t="n">
        <v>11000</v>
      </c>
      <c r="G156" s="10" t="n">
        <v>909091</v>
      </c>
      <c r="H156" s="10" t="b">
        <v>1</v>
      </c>
      <c r="I156" s="10" t="n">
        <v>400</v>
      </c>
      <c r="J156" s="10" t="n">
        <v>27.5</v>
      </c>
      <c r="K156" s="10" t="inlineStr">
        <is>
          <t>&gt; Perfumería &gt; Cuidado Capilar &gt; Shampoo &gt;</t>
        </is>
      </c>
      <c r="L156" s="10" t="inlineStr">
        <is>
          <t>shampoo</t>
        </is>
      </c>
      <c r="M156" s="10" t="inlineStr">
        <is>
          <t>profesional</t>
        </is>
      </c>
      <c r="N156" s="10" t="inlineStr">
        <is>
          <t>seco_danado</t>
        </is>
      </c>
      <c r="O156" s="10" t="inlineStr">
        <is>
          <t>https://www.disco.com.ar/shampoo-pantene-pro-v-miracles-hidrata-y-fortalece-400-ml/p</t>
        </is>
      </c>
    </row>
    <row r="157">
      <c r="A157" t="inlineStr">
        <is>
          <t>Disco</t>
        </is>
      </c>
      <c r="B157" t="n">
        <v>341816</v>
      </c>
      <c r="C157" t="n">
        <v>340503</v>
      </c>
      <c r="D157" t="inlineStr">
        <is>
          <t>Shampoo Anti Caspa Dermo Sensitive 375 Ml Head y Shoulders</t>
        </is>
      </c>
      <c r="E157" t="inlineStr">
        <is>
          <t>HEAD &amp; SHOULDERS</t>
        </is>
      </c>
      <c r="F157" t="n">
        <v>13100</v>
      </c>
      <c r="G157" t="n">
        <v>1082645</v>
      </c>
      <c r="H157" t="b">
        <v>1</v>
      </c>
      <c r="I157" t="n">
        <v>375</v>
      </c>
      <c r="J157" t="n">
        <v>34.9333</v>
      </c>
      <c r="K157" t="inlineStr">
        <is>
          <t>&gt; Perfumería &gt; Cuidado Capilar &gt; Shampoo &gt;</t>
        </is>
      </c>
      <c r="L157" t="inlineStr">
        <is>
          <t>shampoo</t>
        </is>
      </c>
      <c r="M157" t="inlineStr">
        <is>
          <t>estandar</t>
        </is>
      </c>
      <c r="N157" t="inlineStr">
        <is>
          <t>anticaspa</t>
        </is>
      </c>
      <c r="O157" t="inlineStr">
        <is>
          <t>https://www.disco.com.ar/shampoo-sensitive-375-ml-head-shoulders/p</t>
        </is>
      </c>
    </row>
    <row r="158">
      <c r="A158" s="10" t="inlineStr">
        <is>
          <t>Disco</t>
        </is>
      </c>
      <c r="B158" s="10" t="n">
        <v>275420</v>
      </c>
      <c r="C158" s="10" t="n">
        <v>274716</v>
      </c>
      <c r="D158" s="10" t="inlineStr">
        <is>
          <t>Shampoo Anti-Caspa Old Spice 180 Ml Head y Shoulders</t>
        </is>
      </c>
      <c r="E158" s="10" t="inlineStr">
        <is>
          <t>HEAD &amp; SHOULDERS</t>
        </is>
      </c>
      <c r="F158" s="10" t="n">
        <v>8000</v>
      </c>
      <c r="G158" s="10" t="n">
        <v>661157</v>
      </c>
      <c r="H158" s="10" t="b">
        <v>1</v>
      </c>
      <c r="I158" s="10" t="n">
        <v>180</v>
      </c>
      <c r="J158" s="10" t="n">
        <v>44.4444</v>
      </c>
      <c r="K158" s="10" t="inlineStr">
        <is>
          <t>&gt; Perfumería &gt; Cuidado Capilar &gt; Shampoo &gt;</t>
        </is>
      </c>
      <c r="L158" s="10" t="inlineStr">
        <is>
          <t>shampoo</t>
        </is>
      </c>
      <c r="M158" s="10" t="inlineStr">
        <is>
          <t>estandar</t>
        </is>
      </c>
      <c r="N158" s="10" t="inlineStr">
        <is>
          <t>anticaspa</t>
        </is>
      </c>
      <c r="O158" s="10" t="inlineStr">
        <is>
          <t>https://www.disco.com.ar/shampoo-old-spice-180-ml-head-shoulders-2/p</t>
        </is>
      </c>
    </row>
    <row r="159">
      <c r="A159" t="inlineStr">
        <is>
          <t>Disco</t>
        </is>
      </c>
      <c r="B159" t="n">
        <v>414731</v>
      </c>
      <c r="C159" t="n">
        <v>410432</v>
      </c>
      <c r="D159" t="inlineStr">
        <is>
          <t>Shampoo Para Bebé Cabello Claro 750 Ml Johnson Baby</t>
        </is>
      </c>
      <c r="E159" t="inlineStr">
        <is>
          <t>JOHNSON BABY</t>
        </is>
      </c>
      <c r="F159" t="n">
        <v>21250</v>
      </c>
      <c r="G159" t="n">
        <v>1756198</v>
      </c>
      <c r="H159" t="b">
        <v>1</v>
      </c>
      <c r="I159" t="n">
        <v>750</v>
      </c>
      <c r="J159" t="n">
        <v>28.3333</v>
      </c>
      <c r="K159" t="inlineStr">
        <is>
          <t>&gt; Mundo Bebe &gt; Higiene para el Bebe &gt; Higiene del Bebé &gt;</t>
        </is>
      </c>
      <c r="L159" t="inlineStr">
        <is>
          <t>shampoo</t>
        </is>
      </c>
      <c r="M159" t="inlineStr">
        <is>
          <t>estandar</t>
        </is>
      </c>
      <c r="N159" t="inlineStr">
        <is>
          <t>bebe</t>
        </is>
      </c>
      <c r="O159" t="inlineStr">
        <is>
          <t>https://www.disco.com.ar/shampoo-para-bebe-cabello-claro-750-ml-johnson-baby/p</t>
        </is>
      </c>
    </row>
    <row r="160">
      <c r="A160" s="10" t="inlineStr">
        <is>
          <t>Disco</t>
        </is>
      </c>
      <c r="B160" s="10" t="n">
        <v>346825</v>
      </c>
      <c r="C160" s="10" t="n">
        <v>345500</v>
      </c>
      <c r="D160" s="10" t="inlineStr">
        <is>
          <t>Shampoo Nutrición Intensa Oleo Extraordinario Coco 750 Ml Elvive</t>
        </is>
      </c>
      <c r="E160" s="10" t="inlineStr">
        <is>
          <t>ELVIVE</t>
        </is>
      </c>
      <c r="F160" s="10" t="n">
        <v>19700</v>
      </c>
      <c r="G160" s="10" t="n">
        <v>1628099</v>
      </c>
      <c r="H160" s="10" t="b">
        <v>1</v>
      </c>
      <c r="I160" s="10" t="n">
        <v>750</v>
      </c>
      <c r="J160" s="10" t="n">
        <v>26.2667</v>
      </c>
      <c r="K160" s="10" t="inlineStr">
        <is>
          <t>&gt; Perfumería &gt; Cuidado Capilar &gt; Shampoo &gt;</t>
        </is>
      </c>
      <c r="L160" s="10" t="inlineStr">
        <is>
          <t>shampoo</t>
        </is>
      </c>
      <c r="M160" s="10" t="inlineStr">
        <is>
          <t>profesional</t>
        </is>
      </c>
      <c r="N160" s="10" t="inlineStr">
        <is>
          <t>general</t>
        </is>
      </c>
      <c r="O160" s="10" t="inlineStr">
        <is>
          <t>https://www.disco.com.ar/shampoo-elvive-oleo-extraordinario-coco-750-ml/p</t>
        </is>
      </c>
    </row>
    <row r="161">
      <c r="A161" t="inlineStr">
        <is>
          <t>Disco</t>
        </is>
      </c>
      <c r="B161" t="n">
        <v>414725</v>
      </c>
      <c r="C161" t="n">
        <v>410426</v>
      </c>
      <c r="D161" t="inlineStr">
        <is>
          <t>Acondicionador Baby Hidratacion Intensa 200 Ml Johnson's</t>
        </is>
      </c>
      <c r="E161" t="inlineStr">
        <is>
          <t>JOHNSON´S</t>
        </is>
      </c>
      <c r="F161" t="n">
        <v>6750</v>
      </c>
      <c r="G161" t="n">
        <v>557851</v>
      </c>
      <c r="H161" t="b">
        <v>1</v>
      </c>
      <c r="I161" t="n">
        <v>200</v>
      </c>
      <c r="J161" t="n">
        <v>33.75</v>
      </c>
      <c r="K161" t="inlineStr">
        <is>
          <t>&gt; Mundo Bebe &gt; Higiene para el Bebe &gt; Higiene del Bebé &gt;</t>
        </is>
      </c>
      <c r="L161" t="inlineStr">
        <is>
          <t>acondicionador</t>
        </is>
      </c>
      <c r="M161" t="inlineStr">
        <is>
          <t>estandar</t>
        </is>
      </c>
      <c r="N161" t="inlineStr">
        <is>
          <t>seco_danado</t>
        </is>
      </c>
      <c r="O161" t="inlineStr">
        <is>
          <t>https://www.disco.com.ar/acondicionador-baby-hidratacion-intensa-200-ml-johnson-s/p</t>
        </is>
      </c>
    </row>
    <row r="162">
      <c r="A162" s="10" t="inlineStr">
        <is>
          <t>Disco</t>
        </is>
      </c>
      <c r="B162" s="10" t="n">
        <v>414728</v>
      </c>
      <c r="C162" s="10" t="n">
        <v>410429</v>
      </c>
      <c r="D162" s="10" t="inlineStr">
        <is>
          <t>Acondicionador Para Bebé Original 400 Ml Johnson´s</t>
        </is>
      </c>
      <c r="E162" s="10" t="inlineStr">
        <is>
          <t>JOHNSON´S</t>
        </is>
      </c>
      <c r="F162" s="10" t="n">
        <v>12550</v>
      </c>
      <c r="G162" s="10" t="n">
        <v>1037190</v>
      </c>
      <c r="H162" s="10" t="b">
        <v>1</v>
      </c>
      <c r="I162" s="10" t="n">
        <v>400</v>
      </c>
      <c r="J162" s="10" t="n">
        <v>31.375</v>
      </c>
      <c r="K162" s="10" t="inlineStr">
        <is>
          <t>&gt; Mundo Bebe &gt; Higiene para el Bebe &gt; Higiene del Bebé &gt;</t>
        </is>
      </c>
      <c r="L162" s="10" t="inlineStr">
        <is>
          <t>acondicionador</t>
        </is>
      </c>
      <c r="M162" s="10" t="inlineStr">
        <is>
          <t>estandar</t>
        </is>
      </c>
      <c r="N162" s="10" t="inlineStr">
        <is>
          <t>bebe</t>
        </is>
      </c>
      <c r="O162" s="10" t="inlineStr">
        <is>
          <t>https://www.disco.com.ar/acondicionador-para-bebe-original-400-ml-johnson-s/p</t>
        </is>
      </c>
    </row>
    <row r="163">
      <c r="A163" t="inlineStr">
        <is>
          <t>Disco</t>
        </is>
      </c>
      <c r="B163" t="n">
        <v>415583</v>
      </c>
      <c r="C163" t="n">
        <v>411167</v>
      </c>
      <c r="D163" t="inlineStr">
        <is>
          <t>Sahmpoo Pro-v Miracles Volumen 400 Ml Pantene</t>
        </is>
      </c>
      <c r="E163" t="inlineStr">
        <is>
          <t>PANTENE</t>
        </is>
      </c>
      <c r="F163" t="n">
        <v>11000</v>
      </c>
      <c r="G163" t="n">
        <v>909091</v>
      </c>
      <c r="H163" t="b">
        <v>1</v>
      </c>
      <c r="I163" t="n">
        <v>400</v>
      </c>
      <c r="J163" t="n">
        <v>27.5</v>
      </c>
      <c r="K163" t="inlineStr">
        <is>
          <t>&gt; Perfumería &gt; Cuidado Capilar &gt; Shampoo &gt;</t>
        </is>
      </c>
      <c r="L163" t="inlineStr">
        <is>
          <t>shampoo</t>
        </is>
      </c>
      <c r="M163" t="inlineStr">
        <is>
          <t>profesional</t>
        </is>
      </c>
      <c r="N163" t="inlineStr">
        <is>
          <t>general</t>
        </is>
      </c>
      <c r="O163" t="inlineStr">
        <is>
          <t>https://www.disco.com.ar/sahmpoo-pro-v-miracles-volumen-400-ml-pantene-2/p</t>
        </is>
      </c>
    </row>
    <row r="164">
      <c r="A164" s="10" t="inlineStr">
        <is>
          <t>Disco</t>
        </is>
      </c>
      <c r="B164" s="10" t="n">
        <v>392748</v>
      </c>
      <c r="C164" s="10" t="n">
        <v>390800</v>
      </c>
      <c r="D164" s="10" t="inlineStr">
        <is>
          <t>Set Juguete Perro Hueso Colores Pets Fun Hueso De Juguete Pets Para Perro Rosa 1 U</t>
        </is>
      </c>
      <c r="E164" s="10" t="inlineStr">
        <is>
          <t>PET'S FUN</t>
        </is>
      </c>
      <c r="F164" s="10" t="n">
        <v>6100</v>
      </c>
      <c r="G164" s="10" t="n">
        <v>504132</v>
      </c>
      <c r="H164" s="10" t="b">
        <v>1</v>
      </c>
      <c r="I164" s="10" t="inlineStr"/>
      <c r="J164" s="10" t="inlineStr"/>
      <c r="K164" s="10" t="inlineStr">
        <is>
          <t>&gt; Mascotas &gt; Accesorios para Mascotas &gt;</t>
        </is>
      </c>
      <c r="L164" s="10" t="inlineStr">
        <is>
          <t>shampoo</t>
        </is>
      </c>
      <c r="M164" s="10" t="inlineStr">
        <is>
          <t>estandar</t>
        </is>
      </c>
      <c r="N164" s="10" t="inlineStr">
        <is>
          <t>tratado</t>
        </is>
      </c>
      <c r="O164" s="10" t="inlineStr">
        <is>
          <t>https://www.disco.com.ar/set-juguete-perro-hueso-colores-pets-fun/p</t>
        </is>
      </c>
    </row>
    <row r="165">
      <c r="A165" t="inlineStr">
        <is>
          <t>Disco</t>
        </is>
      </c>
      <c r="B165" t="n">
        <v>392748</v>
      </c>
      <c r="C165" t="n">
        <v>390821</v>
      </c>
      <c r="D165" t="inlineStr">
        <is>
          <t>Set Juguete Perro Hueso Colores Pets Fun Hueso De Juguete Pets Para Perro Amarillo 1 U</t>
        </is>
      </c>
      <c r="E165" t="inlineStr">
        <is>
          <t>PET'S FUN</t>
        </is>
      </c>
      <c r="F165" t="n">
        <v>6730</v>
      </c>
      <c r="G165" t="n">
        <v>556198</v>
      </c>
      <c r="H165" t="b">
        <v>1</v>
      </c>
      <c r="I165" t="inlineStr"/>
      <c r="J165" t="inlineStr"/>
      <c r="K165" t="inlineStr">
        <is>
          <t>&gt; Mascotas &gt; Accesorios para Mascotas &gt;</t>
        </is>
      </c>
      <c r="L165" t="inlineStr">
        <is>
          <t>shampoo</t>
        </is>
      </c>
      <c r="M165" t="inlineStr">
        <is>
          <t>estandar</t>
        </is>
      </c>
      <c r="N165" t="inlineStr">
        <is>
          <t>tratado</t>
        </is>
      </c>
      <c r="O165" t="inlineStr">
        <is>
          <t>https://www.disco.com.ar/set-juguete-perro-hueso-colores-pets-fun/p</t>
        </is>
      </c>
    </row>
    <row r="166">
      <c r="A166" s="10" t="inlineStr">
        <is>
          <t>Disco</t>
        </is>
      </c>
      <c r="B166" s="10" t="n">
        <v>392748</v>
      </c>
      <c r="C166" s="10" t="n">
        <v>390832</v>
      </c>
      <c r="D166" s="10" t="inlineStr">
        <is>
          <t>Set Juguete Perro Hueso Colores Pets Fun Hueso De Juguete Pets Para Perro Azul 1 U</t>
        </is>
      </c>
      <c r="E166" s="10" t="inlineStr">
        <is>
          <t>PET'S FUN</t>
        </is>
      </c>
      <c r="F166" s="10" t="n">
        <v>6140</v>
      </c>
      <c r="G166" s="10" t="n">
        <v>507438</v>
      </c>
      <c r="H166" s="10" t="b">
        <v>1</v>
      </c>
      <c r="I166" s="10" t="inlineStr"/>
      <c r="J166" s="10" t="inlineStr"/>
      <c r="K166" s="10" t="inlineStr">
        <is>
          <t>&gt; Mascotas &gt; Accesorios para Mascotas &gt;</t>
        </is>
      </c>
      <c r="L166" s="10" t="inlineStr">
        <is>
          <t>shampoo</t>
        </is>
      </c>
      <c r="M166" s="10" t="inlineStr">
        <is>
          <t>estandar</t>
        </is>
      </c>
      <c r="N166" s="10" t="inlineStr">
        <is>
          <t>tratado</t>
        </is>
      </c>
      <c r="O166" s="10" t="inlineStr">
        <is>
          <t>https://www.disco.com.ar/set-juguete-perro-hueso-colores-pets-fun/p</t>
        </is>
      </c>
    </row>
    <row r="167">
      <c r="A167" t="inlineStr">
        <is>
          <t>Disco</t>
        </is>
      </c>
      <c r="B167" t="n">
        <v>353408</v>
      </c>
      <c r="C167" t="n">
        <v>352040</v>
      </c>
      <c r="D167" t="inlineStr">
        <is>
          <t>Shampoo Dove Real Poder De Las Plantas Fuerza + Bambú 300 Ml</t>
        </is>
      </c>
      <c r="E167" t="inlineStr">
        <is>
          <t>DOVE</t>
        </is>
      </c>
      <c r="F167" t="n">
        <v>6600</v>
      </c>
      <c r="G167" t="n">
        <v>545455</v>
      </c>
      <c r="H167" t="b">
        <v>0</v>
      </c>
      <c r="I167" t="n">
        <v>300</v>
      </c>
      <c r="J167" t="n">
        <v>22</v>
      </c>
      <c r="K167" t="inlineStr">
        <is>
          <t>&gt; Perfumería &gt; Cuidado Capilar &gt; Shampoo &gt;</t>
        </is>
      </c>
      <c r="L167" t="inlineStr">
        <is>
          <t>shampoo</t>
        </is>
      </c>
      <c r="M167" t="inlineStr">
        <is>
          <t>estandar</t>
        </is>
      </c>
      <c r="N167" t="inlineStr">
        <is>
          <t>general</t>
        </is>
      </c>
      <c r="O167" t="inlineStr">
        <is>
          <t>https://www.disco.com.ar/shampoo-dove-real-poder-de-las-plantas-fuerza-bambu-300-ml/p</t>
        </is>
      </c>
    </row>
    <row r="168">
      <c r="A168" s="10" t="inlineStr">
        <is>
          <t>Disco</t>
        </is>
      </c>
      <c r="B168" s="10" t="n">
        <v>353404</v>
      </c>
      <c r="C168" s="10" t="n">
        <v>352036</v>
      </c>
      <c r="D168" s="10" t="inlineStr">
        <is>
          <t>Acondicionador Dove Purificación  Jengibre 300 Ml</t>
        </is>
      </c>
      <c r="E168" s="10" t="inlineStr">
        <is>
          <t>DOVE</t>
        </is>
      </c>
      <c r="F168" s="10" t="n">
        <v>7150</v>
      </c>
      <c r="G168" s="10" t="n">
        <v>590909</v>
      </c>
      <c r="H168" s="10" t="b">
        <v>0</v>
      </c>
      <c r="I168" s="10" t="n">
        <v>300</v>
      </c>
      <c r="J168" s="10" t="n">
        <v>23.8333</v>
      </c>
      <c r="K168" s="10" t="inlineStr">
        <is>
          <t>&gt; Perfumería &gt; Cuidado Capilar &gt; Acondicionador &gt;</t>
        </is>
      </c>
      <c r="L168" s="10" t="inlineStr">
        <is>
          <t>acondicionador</t>
        </is>
      </c>
      <c r="M168" s="10" t="inlineStr">
        <is>
          <t>estandar</t>
        </is>
      </c>
      <c r="N168" s="10" t="inlineStr">
        <is>
          <t>general</t>
        </is>
      </c>
      <c r="O168" s="10" t="inlineStr">
        <is>
          <t>https://www.disco.com.ar/acondicionador-dove-purificacion-jengibre-300-ml/p</t>
        </is>
      </c>
    </row>
    <row r="169">
      <c r="A169" t="inlineStr">
        <is>
          <t>Disco</t>
        </is>
      </c>
      <c r="B169" t="n">
        <v>353405</v>
      </c>
      <c r="C169" t="n">
        <v>352037</v>
      </c>
      <c r="D169" t="inlineStr">
        <is>
          <t>Acondicionador Dove Real Poder De Las Plantas Fuerza + Bambú 300 Ml</t>
        </is>
      </c>
      <c r="E169" t="inlineStr">
        <is>
          <t>DOVE</t>
        </is>
      </c>
      <c r="F169" t="n">
        <v>7150</v>
      </c>
      <c r="G169" t="n">
        <v>590909</v>
      </c>
      <c r="H169" t="b">
        <v>0</v>
      </c>
      <c r="I169" t="n">
        <v>300</v>
      </c>
      <c r="J169" t="n">
        <v>23.8333</v>
      </c>
      <c r="K169" t="inlineStr">
        <is>
          <t>&gt; Perfumería &gt; Cuidado Capilar &gt; Acondicionador &gt;</t>
        </is>
      </c>
      <c r="L169" t="inlineStr">
        <is>
          <t>acondicionador</t>
        </is>
      </c>
      <c r="M169" t="inlineStr">
        <is>
          <t>estandar</t>
        </is>
      </c>
      <c r="N169" t="inlineStr">
        <is>
          <t>general</t>
        </is>
      </c>
      <c r="O169" t="inlineStr">
        <is>
          <t>https://www.disco.com.ar/acondicionador-dove-real-poder-de-las-plantas-fuerza-bambu-300-ml/p</t>
        </is>
      </c>
    </row>
    <row r="170">
      <c r="A170" s="10" t="inlineStr">
        <is>
          <t>Disco</t>
        </is>
      </c>
      <c r="B170" s="10" t="n">
        <v>353407</v>
      </c>
      <c r="C170" s="10" t="n">
        <v>352039</v>
      </c>
      <c r="D170" s="10" t="inlineStr">
        <is>
          <t>Máscara De Tratamiento Dove Nutrición  Geranio 190 Ml</t>
        </is>
      </c>
      <c r="E170" s="10" t="inlineStr">
        <is>
          <t>DOVE</t>
        </is>
      </c>
      <c r="F170" s="10" t="n">
        <v>5050</v>
      </c>
      <c r="G170" s="10" t="n">
        <v>417355</v>
      </c>
      <c r="H170" s="10" t="b">
        <v>0</v>
      </c>
      <c r="I170" s="10" t="n">
        <v>190</v>
      </c>
      <c r="J170" s="10" t="n">
        <v>26.5789</v>
      </c>
      <c r="K170" s="10" t="inlineStr">
        <is>
          <t>&gt; Perfumería &gt; Cuidado Capilar &gt; Reparación y Tratamientos &gt;</t>
        </is>
      </c>
      <c r="L170" s="10" t="inlineStr">
        <is>
          <t>tratamiento</t>
        </is>
      </c>
      <c r="M170" s="10" t="inlineStr">
        <is>
          <t>estandar</t>
        </is>
      </c>
      <c r="N170" s="10" t="inlineStr">
        <is>
          <t>general</t>
        </is>
      </c>
      <c r="O170" s="10" t="inlineStr">
        <is>
          <t>https://www.disco.com.ar/mascara-de-tratamiento-dove-nutricion-geranio-190-ml/p</t>
        </is>
      </c>
    </row>
    <row r="171">
      <c r="A171" t="inlineStr">
        <is>
          <t>Disco</t>
        </is>
      </c>
      <c r="B171" t="n">
        <v>353397</v>
      </c>
      <c r="C171" t="n">
        <v>352029</v>
      </c>
      <c r="D171" t="inlineStr">
        <is>
          <t>Shampoo Nutrición y Geranio Real Poder de las Plantas 300 Ml Dove Shampoo Dove Real Poder De Las Plantas Nutrición + Geranio 300 Ml</t>
        </is>
      </c>
      <c r="E171" t="inlineStr">
        <is>
          <t>DOVE</t>
        </is>
      </c>
      <c r="F171" t="n">
        <v>6600</v>
      </c>
      <c r="G171" t="n">
        <v>545455</v>
      </c>
      <c r="H171" t="b">
        <v>0</v>
      </c>
      <c r="I171" t="n">
        <v>300</v>
      </c>
      <c r="J171" t="n">
        <v>22</v>
      </c>
      <c r="K171" t="inlineStr">
        <is>
          <t>&gt; Perfumería &gt; Cuidado Capilar &gt; Shampoo &gt;</t>
        </is>
      </c>
      <c r="L171" t="inlineStr">
        <is>
          <t>shampoo</t>
        </is>
      </c>
      <c r="M171" t="inlineStr">
        <is>
          <t>estandar</t>
        </is>
      </c>
      <c r="N171" t="inlineStr">
        <is>
          <t>general</t>
        </is>
      </c>
      <c r="O171" t="inlineStr">
        <is>
          <t>https://www.disco.com.ar/shampoo-dove-real-poder-de-las-plantas-nutricion-geranio-300-ml/p</t>
        </is>
      </c>
    </row>
    <row r="172">
      <c r="A172" s="10" t="inlineStr">
        <is>
          <t>Disco</t>
        </is>
      </c>
      <c r="B172" s="10" t="n">
        <v>353395</v>
      </c>
      <c r="C172" s="10" t="n">
        <v>352027</v>
      </c>
      <c r="D172" s="10" t="inlineStr">
        <is>
          <t>Shampoo Dove Purificación  Jengibre 300 Ml</t>
        </is>
      </c>
      <c r="E172" s="10" t="inlineStr">
        <is>
          <t>DOVE</t>
        </is>
      </c>
      <c r="F172" s="10" t="n">
        <v>6600</v>
      </c>
      <c r="G172" s="10" t="n">
        <v>545455</v>
      </c>
      <c r="H172" s="10" t="b">
        <v>0</v>
      </c>
      <c r="I172" s="10" t="n">
        <v>300</v>
      </c>
      <c r="J172" s="10" t="n">
        <v>22</v>
      </c>
      <c r="K172" s="10" t="inlineStr">
        <is>
          <t>&gt; Perfumería &gt; Cuidado Capilar &gt; Shampoo &gt;</t>
        </is>
      </c>
      <c r="L172" s="10" t="inlineStr">
        <is>
          <t>shampoo</t>
        </is>
      </c>
      <c r="M172" s="10" t="inlineStr">
        <is>
          <t>estandar</t>
        </is>
      </c>
      <c r="N172" s="10" t="inlineStr">
        <is>
          <t>general</t>
        </is>
      </c>
      <c r="O172" s="10" t="inlineStr">
        <is>
          <t>https://www.disco.com.ar/shampoo-dove-purificacion-jengibre-300-ml/p</t>
        </is>
      </c>
    </row>
    <row r="173">
      <c r="A173" t="inlineStr">
        <is>
          <t>Disco</t>
        </is>
      </c>
      <c r="B173" t="n">
        <v>353399</v>
      </c>
      <c r="C173" t="n">
        <v>352031</v>
      </c>
      <c r="D173" t="inlineStr">
        <is>
          <t>Acondicionador Dove Nutrición  Geranio 300 Ml</t>
        </is>
      </c>
      <c r="E173" t="inlineStr">
        <is>
          <t>DOVE</t>
        </is>
      </c>
      <c r="F173" t="n">
        <v>6950</v>
      </c>
      <c r="G173" t="n">
        <v>574380</v>
      </c>
      <c r="H173" t="b">
        <v>0</v>
      </c>
      <c r="I173" t="n">
        <v>300</v>
      </c>
      <c r="J173" t="n">
        <v>23.1667</v>
      </c>
      <c r="K173" t="inlineStr">
        <is>
          <t>&gt; Perfumería &gt; Cuidado Capilar &gt; Acondicionador &gt;</t>
        </is>
      </c>
      <c r="L173" t="inlineStr">
        <is>
          <t>acondicionador</t>
        </is>
      </c>
      <c r="M173" t="inlineStr">
        <is>
          <t>estandar</t>
        </is>
      </c>
      <c r="N173" t="inlineStr">
        <is>
          <t>general</t>
        </is>
      </c>
      <c r="O173" t="inlineStr">
        <is>
          <t>https://www.disco.com.ar/acondicionador-dove-nutricion-geranio-300-ml/p</t>
        </is>
      </c>
    </row>
    <row r="174">
      <c r="A174" s="10" t="inlineStr">
        <is>
          <t>Disco</t>
        </is>
      </c>
      <c r="B174" s="10" t="n">
        <v>353392</v>
      </c>
      <c r="C174" s="10" t="n">
        <v>352024</v>
      </c>
      <c r="D174" s="10" t="inlineStr">
        <is>
          <t>Máscara De Tratamiento Dove Fuerza  Bambú 190 Ml</t>
        </is>
      </c>
      <c r="E174" s="10" t="inlineStr">
        <is>
          <t>DOVE</t>
        </is>
      </c>
      <c r="F174" s="10" t="n">
        <v>5300</v>
      </c>
      <c r="G174" s="10" t="n">
        <v>438017</v>
      </c>
      <c r="H174" s="10" t="b">
        <v>0</v>
      </c>
      <c r="I174" s="10" t="n">
        <v>190</v>
      </c>
      <c r="J174" s="10" t="n">
        <v>27.8947</v>
      </c>
      <c r="K174" s="10" t="inlineStr">
        <is>
          <t>&gt; Perfumería &gt; Cuidado Capilar &gt; Reparación y Tratamientos &gt;</t>
        </is>
      </c>
      <c r="L174" s="10" t="inlineStr">
        <is>
          <t>tratamiento</t>
        </is>
      </c>
      <c r="M174" s="10" t="inlineStr">
        <is>
          <t>estandar</t>
        </is>
      </c>
      <c r="N174" s="10" t="inlineStr">
        <is>
          <t>general</t>
        </is>
      </c>
      <c r="O174" s="10" t="inlineStr">
        <is>
          <t>https://www.disco.com.ar/mascara-de-tratamiento-dove-fuerza-bambu-190-ml/p</t>
        </is>
      </c>
    </row>
    <row r="175">
      <c r="A175" t="inlineStr">
        <is>
          <t>Disco</t>
        </is>
      </c>
      <c r="B175" t="n">
        <v>345131</v>
      </c>
      <c r="C175" t="n">
        <v>343816</v>
      </c>
      <c r="D175" t="inlineStr">
        <is>
          <t>Shampoo Pantene Prov Essentials Restauración 400ml</t>
        </is>
      </c>
      <c r="E175" t="inlineStr">
        <is>
          <t>PANTENE</t>
        </is>
      </c>
      <c r="F175" t="n">
        <v>1400</v>
      </c>
      <c r="G175" t="n">
        <v>115702</v>
      </c>
      <c r="H175" t="b">
        <v>0</v>
      </c>
      <c r="I175" t="n">
        <v>400</v>
      </c>
      <c r="J175" t="n">
        <v>3.5</v>
      </c>
      <c r="K175" t="inlineStr">
        <is>
          <t>&gt; Perfumería &gt; Cuidado Capilar &gt; Shampoo &gt;</t>
        </is>
      </c>
      <c r="L175" t="inlineStr">
        <is>
          <t>shampoo</t>
        </is>
      </c>
      <c r="M175" t="inlineStr">
        <is>
          <t>profesional</t>
        </is>
      </c>
      <c r="N175" t="inlineStr">
        <is>
          <t>general</t>
        </is>
      </c>
      <c r="O175" t="inlineStr">
        <is>
          <t>https://www.disco.com.ar/shampoo-pantene-prov-essentials-restauracion-400ml/p</t>
        </is>
      </c>
    </row>
    <row r="176">
      <c r="A176" s="10" t="inlineStr">
        <is>
          <t>Disco</t>
        </is>
      </c>
      <c r="B176" s="10" t="n">
        <v>345292</v>
      </c>
      <c r="C176" s="10" t="n">
        <v>343977</v>
      </c>
      <c r="D176" s="10" t="inlineStr">
        <is>
          <t>Shampoo Pantene Prov Essentials Bambu 400ml</t>
        </is>
      </c>
      <c r="E176" s="10" t="inlineStr">
        <is>
          <t>PANTENE</t>
        </is>
      </c>
      <c r="F176" s="10" t="n">
        <v>858.79</v>
      </c>
      <c r="G176" s="10" t="n">
        <v>70974</v>
      </c>
      <c r="H176" s="10" t="b">
        <v>0</v>
      </c>
      <c r="I176" s="10" t="n">
        <v>400</v>
      </c>
      <c r="J176" s="10" t="n">
        <v>2.147</v>
      </c>
      <c r="K176" s="10" t="inlineStr">
        <is>
          <t>&gt; Perfumería &gt; Cuidado Capilar &gt; Shampoo &gt;</t>
        </is>
      </c>
      <c r="L176" s="10" t="inlineStr">
        <is>
          <t>shampoo</t>
        </is>
      </c>
      <c r="M176" s="10" t="inlineStr">
        <is>
          <t>profesional</t>
        </is>
      </c>
      <c r="N176" s="10" t="inlineStr">
        <is>
          <t>general</t>
        </is>
      </c>
      <c r="O176" s="10" t="inlineStr">
        <is>
          <t>https://www.disco.com.ar/shampoo-pantene-prov-essentials-bambu-400ml-2/p</t>
        </is>
      </c>
    </row>
    <row r="177">
      <c r="A177" t="inlineStr">
        <is>
          <t>Disco</t>
        </is>
      </c>
      <c r="B177" t="n">
        <v>345283</v>
      </c>
      <c r="C177" t="n">
        <v>343968</v>
      </c>
      <c r="D177" t="inlineStr">
        <is>
          <t>Shampoo Pantene Prov Essentials Hidratación Extrema 400ml</t>
        </is>
      </c>
      <c r="E177" t="inlineStr">
        <is>
          <t>PANTENE</t>
        </is>
      </c>
      <c r="F177" t="n">
        <v>806.35</v>
      </c>
      <c r="G177" t="n">
        <v>66641</v>
      </c>
      <c r="H177" t="b">
        <v>0</v>
      </c>
      <c r="I177" t="n">
        <v>400</v>
      </c>
      <c r="J177" t="n">
        <v>2.0159</v>
      </c>
      <c r="K177" t="inlineStr">
        <is>
          <t>&gt; Perfumería &gt; Cuidado Capilar &gt; Shampoo &gt;</t>
        </is>
      </c>
      <c r="L177" t="inlineStr">
        <is>
          <t>shampoo</t>
        </is>
      </c>
      <c r="M177" t="inlineStr">
        <is>
          <t>profesional</t>
        </is>
      </c>
      <c r="N177" t="inlineStr">
        <is>
          <t>seco_danado</t>
        </is>
      </c>
      <c r="O177" t="inlineStr">
        <is>
          <t>https://www.disco.com.ar/shampoo-pantene-prov-essentials-hidratacion-extrema-400ml/p</t>
        </is>
      </c>
    </row>
    <row r="178">
      <c r="A178" s="10" t="inlineStr">
        <is>
          <t>Disco</t>
        </is>
      </c>
      <c r="B178" s="10" t="n">
        <v>345133</v>
      </c>
      <c r="C178" s="10" t="n">
        <v>343818</v>
      </c>
      <c r="D178" s="10" t="inlineStr">
        <is>
          <t>Shampoo Pantene Prov Essentials Restauración 750ml</t>
        </is>
      </c>
      <c r="E178" s="10" t="inlineStr">
        <is>
          <t>PANTENE</t>
        </is>
      </c>
      <c r="F178" s="10" t="n">
        <v>1544.85</v>
      </c>
      <c r="G178" s="10" t="n">
        <v>127674</v>
      </c>
      <c r="H178" s="10" t="b">
        <v>0</v>
      </c>
      <c r="I178" s="10" t="n">
        <v>750</v>
      </c>
      <c r="J178" s="10" t="n">
        <v>2.0598</v>
      </c>
      <c r="K178" s="10" t="inlineStr">
        <is>
          <t>&gt; Perfumería &gt; Cuidado Capilar &gt; Shampoo &gt;</t>
        </is>
      </c>
      <c r="L178" s="10" t="inlineStr">
        <is>
          <t>shampoo</t>
        </is>
      </c>
      <c r="M178" s="10" t="inlineStr">
        <is>
          <t>profesional</t>
        </is>
      </c>
      <c r="N178" s="10" t="inlineStr">
        <is>
          <t>general</t>
        </is>
      </c>
      <c r="O178" s="10" t="inlineStr">
        <is>
          <t>https://www.disco.com.ar/shampoo-pantene-prov-essentials-restauracion-750ml/p</t>
        </is>
      </c>
    </row>
    <row r="179">
      <c r="A179" t="inlineStr">
        <is>
          <t>Disco</t>
        </is>
      </c>
      <c r="B179" t="n">
        <v>46962</v>
      </c>
      <c r="C179" t="n">
        <v>44126</v>
      </c>
      <c r="D179" t="inlineStr">
        <is>
          <t>Shampoo Pantene Pro-v Brillo Extremo 400 Ml</t>
        </is>
      </c>
      <c r="E179" t="inlineStr">
        <is>
          <t>PANTENE</t>
        </is>
      </c>
      <c r="F179" t="n">
        <v>189.89</v>
      </c>
      <c r="G179" t="n">
        <v>15693</v>
      </c>
      <c r="H179" t="b">
        <v>0</v>
      </c>
      <c r="I179" t="n">
        <v>400</v>
      </c>
      <c r="J179" t="n">
        <v>0.4747</v>
      </c>
      <c r="K179" t="inlineStr">
        <is>
          <t>&gt; Perfumería &gt; Cuidado Capilar &gt; Shampoo &gt;</t>
        </is>
      </c>
      <c r="L179" t="inlineStr">
        <is>
          <t>shampoo</t>
        </is>
      </c>
      <c r="M179" t="inlineStr">
        <is>
          <t>profesional</t>
        </is>
      </c>
      <c r="N179" t="inlineStr">
        <is>
          <t>general</t>
        </is>
      </c>
      <c r="O179" t="inlineStr">
        <is>
          <t>https://www.disco.com.ar/shampoo-pantene-pro-v-brillo-extremo-400-ml/p</t>
        </is>
      </c>
    </row>
    <row r="180">
      <c r="A180" s="10" t="inlineStr">
        <is>
          <t>Disco</t>
        </is>
      </c>
      <c r="B180" s="10" t="n">
        <v>31622</v>
      </c>
      <c r="C180" s="10" t="n">
        <v>28781</v>
      </c>
      <c r="D180" s="10" t="inlineStr">
        <is>
          <t>Shampoo Elvive Reparacion Total 5 400ml</t>
        </is>
      </c>
      <c r="E180" s="10" t="inlineStr">
        <is>
          <t>ELVIVE</t>
        </is>
      </c>
      <c r="F180" s="10" t="n">
        <v>533.79</v>
      </c>
      <c r="G180" s="10" t="n">
        <v>44115</v>
      </c>
      <c r="H180" s="10" t="b">
        <v>0</v>
      </c>
      <c r="I180" s="10" t="n">
        <v>400</v>
      </c>
      <c r="J180" s="10" t="n">
        <v>1.3345</v>
      </c>
      <c r="K180" s="10" t="inlineStr">
        <is>
          <t>&gt; Perfumería &gt; Cuidado Capilar &gt; Shampoo &gt;</t>
        </is>
      </c>
      <c r="L180" s="10" t="inlineStr">
        <is>
          <t>shampoo</t>
        </is>
      </c>
      <c r="M180" s="10" t="inlineStr">
        <is>
          <t>profesional</t>
        </is>
      </c>
      <c r="N180" s="10" t="inlineStr">
        <is>
          <t>general</t>
        </is>
      </c>
      <c r="O180" s="10" t="inlineStr">
        <is>
          <t>https://www.disco.com.ar/shampoo-elvive-reparacion-total-5-400ml/p</t>
        </is>
      </c>
    </row>
    <row r="181">
      <c r="A181" t="inlineStr">
        <is>
          <t>Disco</t>
        </is>
      </c>
      <c r="B181" t="n">
        <v>262650</v>
      </c>
      <c r="C181" t="n">
        <v>261939</v>
      </c>
      <c r="D181" t="inlineStr">
        <is>
          <t>Shampoo Pantene Pro-v Micelar 400 Ml</t>
        </is>
      </c>
      <c r="E181" t="inlineStr">
        <is>
          <t>PANTENE</t>
        </is>
      </c>
      <c r="F181" t="n">
        <v>189.89</v>
      </c>
      <c r="G181" t="n">
        <v>15693</v>
      </c>
      <c r="H181" t="b">
        <v>0</v>
      </c>
      <c r="I181" t="n">
        <v>400</v>
      </c>
      <c r="J181" t="n">
        <v>0.4747</v>
      </c>
      <c r="K181" t="inlineStr">
        <is>
          <t>&gt; Perfumería &gt; Cuidado Capilar &gt; Shampoo &gt;</t>
        </is>
      </c>
      <c r="L181" t="inlineStr">
        <is>
          <t>shampoo</t>
        </is>
      </c>
      <c r="M181" t="inlineStr">
        <is>
          <t>profesional</t>
        </is>
      </c>
      <c r="N181" t="inlineStr">
        <is>
          <t>general</t>
        </is>
      </c>
      <c r="O181" t="inlineStr">
        <is>
          <t>https://www.disco.com.ar/shampoo-pantene-pro-v-micelar-400-ml/p</t>
        </is>
      </c>
    </row>
    <row r="182">
      <c r="A182" s="10" t="inlineStr">
        <is>
          <t>Disco</t>
        </is>
      </c>
      <c r="B182" s="10" t="n">
        <v>47599</v>
      </c>
      <c r="C182" s="10" t="n">
        <v>44764</v>
      </c>
      <c r="D182" s="10" t="inlineStr">
        <is>
          <t>Shampoo Pantene Pro-v Restauración 400 Ml</t>
        </is>
      </c>
      <c r="E182" s="10" t="inlineStr">
        <is>
          <t>PANTENE</t>
        </is>
      </c>
      <c r="F182" s="10" t="n">
        <v>189.89</v>
      </c>
      <c r="G182" s="10" t="n">
        <v>15693</v>
      </c>
      <c r="H182" s="10" t="b">
        <v>0</v>
      </c>
      <c r="I182" s="10" t="n">
        <v>400</v>
      </c>
      <c r="J182" s="10" t="n">
        <v>0.4747</v>
      </c>
      <c r="K182" s="10" t="inlineStr">
        <is>
          <t>&gt; Perfumería &gt; Cuidado Capilar &gt; Shampoo &gt;</t>
        </is>
      </c>
      <c r="L182" s="10" t="inlineStr">
        <is>
          <t>shampoo</t>
        </is>
      </c>
      <c r="M182" s="10" t="inlineStr">
        <is>
          <t>profesional</t>
        </is>
      </c>
      <c r="N182" s="10" t="inlineStr">
        <is>
          <t>general</t>
        </is>
      </c>
      <c r="O182" s="10" t="inlineStr">
        <is>
          <t>https://www.disco.com.ar/shampoo-pantene-pro-v-restauracion-400-ml/p</t>
        </is>
      </c>
    </row>
    <row r="183">
      <c r="A183" t="inlineStr">
        <is>
          <t>Disco</t>
        </is>
      </c>
      <c r="B183" t="n">
        <v>47348</v>
      </c>
      <c r="C183" t="n">
        <v>44513</v>
      </c>
      <c r="D183" t="inlineStr">
        <is>
          <t>Shampoo Pantene Pro-v Liso Extremo 400 Ml</t>
        </is>
      </c>
      <c r="E183" t="inlineStr">
        <is>
          <t>PANTENE</t>
        </is>
      </c>
      <c r="F183" t="n">
        <v>189.89</v>
      </c>
      <c r="G183" t="n">
        <v>15693</v>
      </c>
      <c r="H183" t="b">
        <v>0</v>
      </c>
      <c r="I183" t="n">
        <v>400</v>
      </c>
      <c r="J183" t="n">
        <v>0.4747</v>
      </c>
      <c r="K183" t="inlineStr">
        <is>
          <t>&gt; Perfumería &gt; Cuidado Capilar &gt; Shampoo &gt;</t>
        </is>
      </c>
      <c r="L183" t="inlineStr">
        <is>
          <t>shampoo</t>
        </is>
      </c>
      <c r="M183" t="inlineStr">
        <is>
          <t>profesional</t>
        </is>
      </c>
      <c r="N183" t="inlineStr">
        <is>
          <t>general</t>
        </is>
      </c>
      <c r="O183" t="inlineStr">
        <is>
          <t>https://www.disco.com.ar/shampoo-pantene-pro-v-liso-extremo-400-ml/p</t>
        </is>
      </c>
    </row>
    <row r="184">
      <c r="A184" s="10" t="inlineStr">
        <is>
          <t>Disco</t>
        </is>
      </c>
      <c r="B184" s="10" t="n">
        <v>308600</v>
      </c>
      <c r="C184" s="10" t="n">
        <v>307837</v>
      </c>
      <c r="D184" s="10" t="inlineStr">
        <is>
          <t>Shampoo Elvive Dream Long Liss 400ml</t>
        </is>
      </c>
      <c r="E184" s="10" t="inlineStr">
        <is>
          <t>ELVIVE</t>
        </is>
      </c>
      <c r="F184" s="10" t="n">
        <v>8800</v>
      </c>
      <c r="G184" s="10" t="n">
        <v>727273</v>
      </c>
      <c r="H184" s="10" t="b">
        <v>0</v>
      </c>
      <c r="I184" s="10" t="n">
        <v>400</v>
      </c>
      <c r="J184" s="10" t="n">
        <v>22</v>
      </c>
      <c r="K184" s="10" t="inlineStr">
        <is>
          <t>&gt; Perfumería &gt; Cuidado Capilar &gt; Shampoo &gt;</t>
        </is>
      </c>
      <c r="L184" s="10" t="inlineStr">
        <is>
          <t>shampoo</t>
        </is>
      </c>
      <c r="M184" s="10" t="inlineStr">
        <is>
          <t>profesional</t>
        </is>
      </c>
      <c r="N184" s="10" t="inlineStr">
        <is>
          <t>general</t>
        </is>
      </c>
      <c r="O184" s="10" t="inlineStr">
        <is>
          <t>https://www.disco.com.ar/shampoo-elvive-dream-long-liss-400ml/p</t>
        </is>
      </c>
    </row>
    <row r="185">
      <c r="A185" t="inlineStr">
        <is>
          <t>Disco</t>
        </is>
      </c>
      <c r="B185" t="n">
        <v>20043</v>
      </c>
      <c r="C185" t="n">
        <v>17214</v>
      </c>
      <c r="D185" t="inlineStr">
        <is>
          <t>Shampoo Dove Ritual De Fortalecimiento Palta 400 Ml</t>
        </is>
      </c>
      <c r="E185" t="inlineStr">
        <is>
          <t>DOVE</t>
        </is>
      </c>
      <c r="F185" t="n">
        <v>244.89</v>
      </c>
      <c r="G185" t="n">
        <v>20239</v>
      </c>
      <c r="H185" t="b">
        <v>0</v>
      </c>
      <c r="I185" t="n">
        <v>400</v>
      </c>
      <c r="J185" t="n">
        <v>0.6122</v>
      </c>
      <c r="K185" t="inlineStr">
        <is>
          <t>&gt; Perfumería &gt; Cuidado Capilar &gt; Shampoo &gt;</t>
        </is>
      </c>
      <c r="L185" t="inlineStr">
        <is>
          <t>shampoo</t>
        </is>
      </c>
      <c r="M185" t="inlineStr">
        <is>
          <t>estandar</t>
        </is>
      </c>
      <c r="N185" t="inlineStr">
        <is>
          <t>general</t>
        </is>
      </c>
      <c r="O185" t="inlineStr">
        <is>
          <t>https://www.disco.com.ar/shampoo-dove-ritual-de-fortalecimiento-palta-400-ml/p</t>
        </is>
      </c>
    </row>
    <row r="186">
      <c r="A186" s="10" t="inlineStr">
        <is>
          <t>Disco</t>
        </is>
      </c>
      <c r="B186" s="10" t="n">
        <v>20041</v>
      </c>
      <c r="C186" s="10" t="n">
        <v>17212</v>
      </c>
      <c r="D186" s="10" t="inlineStr">
        <is>
          <t>Shampoo Dove Ritual De Reparación Coco Y Cúrcuma 400 Ml</t>
        </is>
      </c>
      <c r="E186" s="10" t="inlineStr">
        <is>
          <t>DOVE</t>
        </is>
      </c>
      <c r="F186" s="10" t="n">
        <v>244.89</v>
      </c>
      <c r="G186" s="10" t="n">
        <v>20239</v>
      </c>
      <c r="H186" s="10" t="b">
        <v>0</v>
      </c>
      <c r="I186" s="10" t="n">
        <v>400</v>
      </c>
      <c r="J186" s="10" t="n">
        <v>0.6122</v>
      </c>
      <c r="K186" s="10" t="inlineStr">
        <is>
          <t>&gt; Perfumería &gt; Cuidado Capilar &gt; Shampoo &gt;</t>
        </is>
      </c>
      <c r="L186" s="10" t="inlineStr">
        <is>
          <t>shampoo</t>
        </is>
      </c>
      <c r="M186" s="10" t="inlineStr">
        <is>
          <t>estandar</t>
        </is>
      </c>
      <c r="N186" s="10" t="inlineStr">
        <is>
          <t>general</t>
        </is>
      </c>
      <c r="O186" s="10" t="inlineStr">
        <is>
          <t>https://www.disco.com.ar/shampoo-dove-ritual-de-reparacion-coco-y-curcuma-400-ml/p</t>
        </is>
      </c>
    </row>
    <row r="187">
      <c r="A187" t="inlineStr">
        <is>
          <t>Disco</t>
        </is>
      </c>
      <c r="B187" t="n">
        <v>236136</v>
      </c>
      <c r="C187" t="n">
        <v>204962</v>
      </c>
      <c r="D187" t="inlineStr">
        <is>
          <t>Shampoo Hidroherbal</t>
        </is>
      </c>
      <c r="E187" t="inlineStr">
        <is>
          <t>HIDROHERBAL</t>
        </is>
      </c>
      <c r="F187" t="n">
        <v>2.19</v>
      </c>
      <c r="G187" t="n">
        <v>2.19</v>
      </c>
      <c r="H187" t="b">
        <v>0</v>
      </c>
      <c r="I187" t="inlineStr"/>
      <c r="J187" t="inlineStr"/>
      <c r="K187" t="inlineStr">
        <is>
          <t>&gt; Perfumería &gt; Cuidado Capilar &gt; Shampoo &gt;</t>
        </is>
      </c>
      <c r="L187" t="inlineStr">
        <is>
          <t>shampoo</t>
        </is>
      </c>
      <c r="M187" t="inlineStr">
        <is>
          <t>estandar</t>
        </is>
      </c>
      <c r="N187" t="inlineStr">
        <is>
          <t>general</t>
        </is>
      </c>
      <c r="O187" t="inlineStr">
        <is>
          <t>https://www.disco.com.ar/shampoo-hidroherbal-271540/p</t>
        </is>
      </c>
    </row>
    <row r="188">
      <c r="A188" s="10" t="inlineStr">
        <is>
          <t>Disco</t>
        </is>
      </c>
      <c r="B188" s="10" t="n">
        <v>212300</v>
      </c>
      <c r="C188" s="10" t="n">
        <v>236957</v>
      </c>
      <c r="D188" s="10" t="inlineStr">
        <is>
          <t>Shampoo Sedal</t>
        </is>
      </c>
      <c r="E188" s="10" t="inlineStr">
        <is>
          <t>SEDAL</t>
        </is>
      </c>
      <c r="F188" s="10" t="n">
        <v>6.09</v>
      </c>
      <c r="G188" s="10" t="n">
        <v>6.09</v>
      </c>
      <c r="H188" s="10" t="b">
        <v>0</v>
      </c>
      <c r="I188" s="10" t="inlineStr"/>
      <c r="J188" s="10" t="inlineStr"/>
      <c r="K188" s="10" t="inlineStr">
        <is>
          <t>&gt; Perfumería &gt; Cuidado Capilar &gt; Shampoo &gt;</t>
        </is>
      </c>
      <c r="L188" s="10" t="inlineStr">
        <is>
          <t>shampoo</t>
        </is>
      </c>
      <c r="M188" s="10" t="inlineStr">
        <is>
          <t>estandar</t>
        </is>
      </c>
      <c r="N188" s="10" t="inlineStr">
        <is>
          <t>general</t>
        </is>
      </c>
      <c r="O188" s="10" t="inlineStr">
        <is>
          <t>https://www.disco.com.ar/shampoo-sedal-41/p</t>
        </is>
      </c>
    </row>
    <row r="189">
      <c r="A189" t="inlineStr">
        <is>
          <t>Disco</t>
        </is>
      </c>
      <c r="B189" t="n">
        <v>184395</v>
      </c>
      <c r="C189" t="n">
        <v>208659</v>
      </c>
      <c r="D189" t="inlineStr">
        <is>
          <t>Shampoo Sedal</t>
        </is>
      </c>
      <c r="E189" t="inlineStr">
        <is>
          <t>SEDAL</t>
        </is>
      </c>
      <c r="F189" t="n">
        <v>21.85</v>
      </c>
      <c r="G189" t="n">
        <v>21.85</v>
      </c>
      <c r="H189" t="b">
        <v>0</v>
      </c>
      <c r="I189" t="inlineStr"/>
      <c r="J189" t="inlineStr"/>
      <c r="K189" t="inlineStr">
        <is>
          <t>&gt; Perfumería &gt; Cuidado Capilar &gt; Shampoo &gt;</t>
        </is>
      </c>
      <c r="L189" t="inlineStr">
        <is>
          <t>shampoo</t>
        </is>
      </c>
      <c r="M189" t="inlineStr">
        <is>
          <t>estandar</t>
        </is>
      </c>
      <c r="N189" t="inlineStr">
        <is>
          <t>general</t>
        </is>
      </c>
      <c r="O189" t="inlineStr">
        <is>
          <t>https://www.disco.com.ar/shampoo-sedal-59-288661/p</t>
        </is>
      </c>
    </row>
    <row r="190">
      <c r="A190" s="10" t="inlineStr">
        <is>
          <t>Disco</t>
        </is>
      </c>
      <c r="B190" s="10" t="n">
        <v>142649</v>
      </c>
      <c r="C190" s="10" t="n">
        <v>139561</v>
      </c>
      <c r="D190" s="10" t="inlineStr">
        <is>
          <t>Shampoo Capilatis Protector Presentacion Protector Sin Atributo Sin Atributo</t>
        </is>
      </c>
      <c r="E190" s="10" t="inlineStr">
        <is>
          <t>CAPILATIS</t>
        </is>
      </c>
      <c r="F190" s="10" t="n">
        <v>381.67</v>
      </c>
      <c r="G190" s="10" t="n">
        <v>31543</v>
      </c>
      <c r="H190" s="10" t="b">
        <v>0</v>
      </c>
      <c r="I190" s="10" t="inlineStr"/>
      <c r="J190" s="10" t="inlineStr"/>
      <c r="K190" s="10" t="inlineStr">
        <is>
          <t>&gt; Perfumería &gt; Cuidado Capilar &gt; Shampoo &gt;</t>
        </is>
      </c>
      <c r="L190" s="10" t="inlineStr">
        <is>
          <t>shampoo</t>
        </is>
      </c>
      <c r="M190" s="10" t="inlineStr">
        <is>
          <t>estandar</t>
        </is>
      </c>
      <c r="N190" s="10" t="inlineStr">
        <is>
          <t>general</t>
        </is>
      </c>
      <c r="O190" s="10" t="inlineStr">
        <is>
          <t>https://www.disco.com.ar/shampoo-capilatis-5-2/p</t>
        </is>
      </c>
    </row>
    <row r="191">
      <c r="A191" t="inlineStr">
        <is>
          <t>Disco</t>
        </is>
      </c>
      <c r="B191" t="n">
        <v>137341</v>
      </c>
      <c r="C191" t="n">
        <v>134254</v>
      </c>
      <c r="D191" t="inlineStr">
        <is>
          <t>Shampoo Suave-caspa Control-control-pvc-ml.-750</t>
        </is>
      </c>
      <c r="E191" t="inlineStr">
        <is>
          <t>SUAVE</t>
        </is>
      </c>
      <c r="F191" t="n">
        <v>10.55</v>
      </c>
      <c r="G191" t="n">
        <v>872</v>
      </c>
      <c r="H191" t="b">
        <v>0</v>
      </c>
      <c r="I191" t="inlineStr"/>
      <c r="J191" t="inlineStr"/>
      <c r="K191" t="inlineStr">
        <is>
          <t>&gt; Perfumería &gt; Cuidado Capilar &gt; Shampoo &gt;</t>
        </is>
      </c>
      <c r="L191" t="inlineStr">
        <is>
          <t>shampoo</t>
        </is>
      </c>
      <c r="M191" t="inlineStr">
        <is>
          <t>estandar</t>
        </is>
      </c>
      <c r="N191" t="inlineStr">
        <is>
          <t>anticaspa</t>
        </is>
      </c>
      <c r="O191" t="inlineStr">
        <is>
          <t>https://www.disco.com.ar/shampoo-suave-3/p</t>
        </is>
      </c>
    </row>
    <row r="192">
      <c r="A192" s="10" t="inlineStr">
        <is>
          <t>Disco</t>
        </is>
      </c>
      <c r="B192" s="10" t="n">
        <v>130770</v>
      </c>
      <c r="C192" s="10" t="n">
        <v>127699</v>
      </c>
      <c r="D192" s="10" t="inlineStr">
        <is>
          <t>Shampoo Dove Reconstrucción Completa 200 Ml</t>
        </is>
      </c>
      <c r="E192" s="10" t="inlineStr">
        <is>
          <t>DOVE</t>
        </is>
      </c>
      <c r="F192" s="10" t="n">
        <v>135.75</v>
      </c>
      <c r="G192" s="10" t="n">
        <v>11219</v>
      </c>
      <c r="H192" s="10" t="b">
        <v>0</v>
      </c>
      <c r="I192" s="10" t="n">
        <v>200</v>
      </c>
      <c r="J192" s="10" t="n">
        <v>0.6787</v>
      </c>
      <c r="K192" s="10" t="inlineStr">
        <is>
          <t>&gt; Perfumería &gt; Cuidado Capilar &gt; Shampoo &gt;</t>
        </is>
      </c>
      <c r="L192" s="10" t="inlineStr">
        <is>
          <t>shampoo</t>
        </is>
      </c>
      <c r="M192" s="10" t="inlineStr">
        <is>
          <t>estandar</t>
        </is>
      </c>
      <c r="N192" s="10" t="inlineStr">
        <is>
          <t>general</t>
        </is>
      </c>
      <c r="O192" s="10" t="inlineStr">
        <is>
          <t>https://www.disco.com.ar/shampoo-dove-23/p</t>
        </is>
      </c>
    </row>
    <row r="193">
      <c r="A193" t="inlineStr">
        <is>
          <t>Disco</t>
        </is>
      </c>
      <c r="B193" t="n">
        <v>127207</v>
      </c>
      <c r="C193" t="n">
        <v>109996</v>
      </c>
      <c r="D193" t="inlineStr">
        <is>
          <t>Shampoo Pantene</t>
        </is>
      </c>
      <c r="E193" t="inlineStr">
        <is>
          <t>PANTENE</t>
        </is>
      </c>
      <c r="F193" t="n">
        <v>10.01</v>
      </c>
      <c r="G193" t="n">
        <v>10.01</v>
      </c>
      <c r="H193" t="b">
        <v>0</v>
      </c>
      <c r="I193" t="inlineStr"/>
      <c r="J193" t="inlineStr"/>
      <c r="K193" t="inlineStr">
        <is>
          <t>&gt; Perfumería &gt; Cuidado Capilar &gt; Shampoo &gt;</t>
        </is>
      </c>
      <c r="L193" t="inlineStr">
        <is>
          <t>shampoo</t>
        </is>
      </c>
      <c r="M193" t="inlineStr">
        <is>
          <t>estandar</t>
        </is>
      </c>
      <c r="N193" t="inlineStr">
        <is>
          <t>general</t>
        </is>
      </c>
      <c r="O193" t="inlineStr">
        <is>
          <t>https://www.disco.com.ar/shampoo-pantene-62/p</t>
        </is>
      </c>
    </row>
    <row r="194">
      <c r="A194" s="10" t="inlineStr">
        <is>
          <t>Disco</t>
        </is>
      </c>
      <c r="B194" s="10" t="n">
        <v>122346</v>
      </c>
      <c r="C194" s="10" t="n">
        <v>121365</v>
      </c>
      <c r="D194" s="10" t="inlineStr">
        <is>
          <t>Shampoo Capilatisx420ml Cabello Teñidos  Pvc 420 Ml.</t>
        </is>
      </c>
      <c r="E194" s="10" t="inlineStr">
        <is>
          <t>CAPILATIS</t>
        </is>
      </c>
      <c r="F194" s="10" t="n">
        <v>32.49</v>
      </c>
      <c r="G194" s="10" t="n">
        <v>2685</v>
      </c>
      <c r="H194" s="10" t="b">
        <v>0</v>
      </c>
      <c r="I194" s="10" t="n">
        <v>420</v>
      </c>
      <c r="J194" s="10" t="n">
        <v>0.0774</v>
      </c>
      <c r="K194" s="10" t="inlineStr">
        <is>
          <t>&gt; Perfumería &gt; Cuidado Capilar &gt; Shampoo &gt;</t>
        </is>
      </c>
      <c r="L194" s="10" t="inlineStr">
        <is>
          <t>shampoo</t>
        </is>
      </c>
      <c r="M194" s="10" t="inlineStr">
        <is>
          <t>estandar</t>
        </is>
      </c>
      <c r="N194" s="10" t="inlineStr">
        <is>
          <t>tratado</t>
        </is>
      </c>
      <c r="O194" s="10" t="inlineStr">
        <is>
          <t>https://www.disco.com.ar/shampoo-capilatis-7/p</t>
        </is>
      </c>
    </row>
    <row r="195">
      <c r="A195" t="inlineStr">
        <is>
          <t>Disco</t>
        </is>
      </c>
      <c r="B195" t="n">
        <v>116360</v>
      </c>
      <c r="C195" t="n">
        <v>115401</v>
      </c>
      <c r="D195" t="inlineStr">
        <is>
          <t>Shampoo Pantene Brillo Extremo 400 Ml</t>
        </is>
      </c>
      <c r="E195" t="inlineStr">
        <is>
          <t>PANTENE</t>
        </is>
      </c>
      <c r="F195" t="n">
        <v>48.79</v>
      </c>
      <c r="G195" t="n">
        <v>4032</v>
      </c>
      <c r="H195" t="b">
        <v>0</v>
      </c>
      <c r="I195" t="n">
        <v>400</v>
      </c>
      <c r="J195" t="n">
        <v>0.122</v>
      </c>
      <c r="K195" t="inlineStr">
        <is>
          <t>&gt; Perfumería &gt; Cuidado Capilar &gt; Shampoo &gt;</t>
        </is>
      </c>
      <c r="L195" t="inlineStr">
        <is>
          <t>shampoo</t>
        </is>
      </c>
      <c r="M195" t="inlineStr">
        <is>
          <t>estandar</t>
        </is>
      </c>
      <c r="N195" t="inlineStr">
        <is>
          <t>general</t>
        </is>
      </c>
      <c r="O195" t="inlineStr">
        <is>
          <t>https://www.disco.com.ar/shampoo-pantene-21/p</t>
        </is>
      </c>
    </row>
    <row r="196">
      <c r="A196" s="10" t="inlineStr">
        <is>
          <t>Disco</t>
        </is>
      </c>
      <c r="B196" s="10" t="n">
        <v>116129</v>
      </c>
      <c r="C196" s="10" t="n">
        <v>115173</v>
      </c>
      <c r="D196" s="10" t="inlineStr">
        <is>
          <t>Shampoo Capilatis Puro Castaño X 420ml Puro Castaño  Pvc 420 Ml.</t>
        </is>
      </c>
      <c r="E196" s="10" t="inlineStr">
        <is>
          <t>CAPILATIS</t>
        </is>
      </c>
      <c r="F196" s="10" t="n">
        <v>19.09</v>
      </c>
      <c r="G196" s="10" t="n">
        <v>1578</v>
      </c>
      <c r="H196" s="10" t="b">
        <v>0</v>
      </c>
      <c r="I196" s="10" t="n">
        <v>420</v>
      </c>
      <c r="J196" s="10" t="n">
        <v>0.0455</v>
      </c>
      <c r="K196" s="10" t="inlineStr">
        <is>
          <t>&gt; Perfumería &gt; Cuidado Capilar &gt; Shampoo &gt;</t>
        </is>
      </c>
      <c r="L196" s="10" t="inlineStr">
        <is>
          <t>shampoo</t>
        </is>
      </c>
      <c r="M196" s="10" t="inlineStr">
        <is>
          <t>estandar</t>
        </is>
      </c>
      <c r="N196" s="10" t="inlineStr">
        <is>
          <t>general</t>
        </is>
      </c>
      <c r="O196" s="10" t="inlineStr">
        <is>
          <t>https://www.disco.com.ar/shampoo-capilatis-9/p</t>
        </is>
      </c>
    </row>
    <row r="197">
      <c r="A197" t="inlineStr">
        <is>
          <t>Disco</t>
        </is>
      </c>
      <c r="B197" t="n">
        <v>115893</v>
      </c>
      <c r="C197" t="n">
        <v>114936</v>
      </c>
      <c r="D197" t="inlineStr">
        <is>
          <t>Shampoo Pantene Frizz Control X750ml</t>
        </is>
      </c>
      <c r="E197" t="inlineStr">
        <is>
          <t>PANTENE</t>
        </is>
      </c>
      <c r="F197" t="n">
        <v>51.07</v>
      </c>
      <c r="G197" t="n">
        <v>4221</v>
      </c>
      <c r="H197" t="b">
        <v>0</v>
      </c>
      <c r="I197" t="n">
        <v>750</v>
      </c>
      <c r="J197" t="n">
        <v>0.06809999999999999</v>
      </c>
      <c r="K197" t="inlineStr">
        <is>
          <t>&gt; Perfumería &gt; Cuidado Capilar &gt; Shampoo &gt;</t>
        </is>
      </c>
      <c r="L197" t="inlineStr">
        <is>
          <t>shampoo</t>
        </is>
      </c>
      <c r="M197" t="inlineStr">
        <is>
          <t>estandar</t>
        </is>
      </c>
      <c r="N197" t="inlineStr">
        <is>
          <t>general</t>
        </is>
      </c>
      <c r="O197" t="inlineStr">
        <is>
          <t>https://www.disco.com.ar/shampoo-pantene-19/p</t>
        </is>
      </c>
    </row>
    <row r="198">
      <c r="A198" s="10" t="inlineStr">
        <is>
          <t>Disco</t>
        </is>
      </c>
      <c r="B198" s="10" t="n">
        <v>107895</v>
      </c>
      <c r="C198" s="10" t="n">
        <v>105162</v>
      </c>
      <c r="D198" s="10" t="inlineStr">
        <is>
          <t>Shampoo Suave Miel Y Almendras X 930 Ml C/u</t>
        </is>
      </c>
      <c r="E198" s="10" t="inlineStr">
        <is>
          <t>SUAVE</t>
        </is>
      </c>
      <c r="F198" s="10" t="n">
        <v>15.19</v>
      </c>
      <c r="G198" s="10" t="n">
        <v>1255</v>
      </c>
      <c r="H198" s="10" t="b">
        <v>0</v>
      </c>
      <c r="I198" s="10" t="n">
        <v>930</v>
      </c>
      <c r="J198" s="10" t="n">
        <v>0.0163</v>
      </c>
      <c r="K198" s="10" t="inlineStr">
        <is>
          <t>&gt; Perfumería &gt; Cuidado Capilar &gt; Shampoo &gt;</t>
        </is>
      </c>
      <c r="L198" s="10" t="inlineStr">
        <is>
          <t>shampoo</t>
        </is>
      </c>
      <c r="M198" s="10" t="inlineStr">
        <is>
          <t>estandar</t>
        </is>
      </c>
      <c r="N198" s="10" t="inlineStr">
        <is>
          <t>bebe</t>
        </is>
      </c>
      <c r="O198" s="10" t="inlineStr">
        <is>
          <t>https://www.disco.com.ar/shampoo-suave-2-4/p</t>
        </is>
      </c>
    </row>
    <row r="199">
      <c r="A199" t="inlineStr">
        <is>
          <t>Disco</t>
        </is>
      </c>
      <c r="B199" t="n">
        <v>107878</v>
      </c>
      <c r="C199" t="n">
        <v>105148</v>
      </c>
      <c r="D199" t="inlineStr">
        <is>
          <t>Shampoo Suave Coco Y Leche X 930 Ml C/u</t>
        </is>
      </c>
      <c r="E199" t="inlineStr">
        <is>
          <t>SUAVE</t>
        </is>
      </c>
      <c r="F199" t="n">
        <v>15.19</v>
      </c>
      <c r="G199" t="n">
        <v>1255</v>
      </c>
      <c r="H199" t="b">
        <v>0</v>
      </c>
      <c r="I199" t="n">
        <v>930</v>
      </c>
      <c r="J199" t="n">
        <v>0.0163</v>
      </c>
      <c r="K199" t="inlineStr">
        <is>
          <t>&gt; Perfumería &gt; Cuidado Capilar &gt; Shampoo &gt;</t>
        </is>
      </c>
      <c r="L199" t="inlineStr">
        <is>
          <t>shampoo</t>
        </is>
      </c>
      <c r="M199" t="inlineStr">
        <is>
          <t>estandar</t>
        </is>
      </c>
      <c r="N199" t="inlineStr">
        <is>
          <t>bebe</t>
        </is>
      </c>
      <c r="O199" t="inlineStr">
        <is>
          <t>https://www.disco.com.ar/shampoo-suave-2-3/p</t>
        </is>
      </c>
    </row>
    <row r="200">
      <c r="A200" s="10" t="inlineStr">
        <is>
          <t>Disco</t>
        </is>
      </c>
      <c r="B200" s="10" t="n">
        <v>93418</v>
      </c>
      <c r="C200" s="10" t="n">
        <v>90746</v>
      </c>
      <c r="D200" s="10" t="inlineStr">
        <is>
          <t>Shampoo Capilatis-reactivador De Rulos-pvc-ml.-350</t>
        </is>
      </c>
      <c r="E200" s="10" t="inlineStr">
        <is>
          <t>CAPILATIS</t>
        </is>
      </c>
      <c r="F200" s="10" t="n">
        <v>35.99</v>
      </c>
      <c r="G200" s="10" t="n">
        <v>2974</v>
      </c>
      <c r="H200" s="10" t="b">
        <v>0</v>
      </c>
      <c r="I200" s="10" t="inlineStr"/>
      <c r="J200" s="10" t="inlineStr"/>
      <c r="K200" s="10" t="inlineStr">
        <is>
          <t>&gt; Perfumería &gt; Cuidado Capilar &gt; Shampoo &gt;</t>
        </is>
      </c>
      <c r="L200" s="10" t="inlineStr">
        <is>
          <t>shampoo</t>
        </is>
      </c>
      <c r="M200" s="10" t="inlineStr">
        <is>
          <t>estandar</t>
        </is>
      </c>
      <c r="N200" s="10" t="inlineStr">
        <is>
          <t>rizado</t>
        </is>
      </c>
      <c r="O200" s="10" t="inlineStr">
        <is>
          <t>https://www.disco.com.ar/shampoo-capilatis-12/p</t>
        </is>
      </c>
    </row>
    <row r="201">
      <c r="A201" t="inlineStr">
        <is>
          <t>Disco</t>
        </is>
      </c>
      <c r="B201" t="n">
        <v>90306</v>
      </c>
      <c r="C201" t="n">
        <v>87634</v>
      </c>
      <c r="D201" t="inlineStr">
        <is>
          <t>Shampoo Match Tipo Siliconado Sin Atributo Sin Atributo</t>
        </is>
      </c>
      <c r="E201" t="inlineStr">
        <is>
          <t>MATCH</t>
        </is>
      </c>
      <c r="F201" t="n">
        <v>2.95</v>
      </c>
      <c r="G201" t="n">
        <v>244</v>
      </c>
      <c r="H201" t="b">
        <v>0</v>
      </c>
      <c r="I201" t="inlineStr"/>
      <c r="J201" t="inlineStr"/>
      <c r="K201" t="inlineStr">
        <is>
          <t>&gt; Hogar y textil &gt; Automotor &gt; Limpieza &gt;</t>
        </is>
      </c>
      <c r="L201" t="inlineStr">
        <is>
          <t>shampoo</t>
        </is>
      </c>
      <c r="M201" t="inlineStr">
        <is>
          <t>estandar</t>
        </is>
      </c>
      <c r="N201" t="inlineStr">
        <is>
          <t>general</t>
        </is>
      </c>
      <c r="O201" t="inlineStr">
        <is>
          <t>https://www.disco.com.ar/shampoo-match/p</t>
        </is>
      </c>
    </row>
    <row r="202">
      <c r="A202" s="10" t="inlineStr">
        <is>
          <t>Disco</t>
        </is>
      </c>
      <c r="B202" s="10" t="n">
        <v>77289</v>
      </c>
      <c r="C202" s="10" t="n">
        <v>74416</v>
      </c>
      <c r="D202" s="10" t="inlineStr">
        <is>
          <t>Shampoo Pantene Pro V X 200 Ml Frizz Control  Pvc 200 Ml.</t>
        </is>
      </c>
      <c r="E202" s="10" t="inlineStr">
        <is>
          <t>PANTENE</t>
        </is>
      </c>
      <c r="F202" s="10" t="n">
        <v>173.39</v>
      </c>
      <c r="G202" s="10" t="n">
        <v>173.39</v>
      </c>
      <c r="H202" s="10" t="b">
        <v>0</v>
      </c>
      <c r="I202" s="10" t="n">
        <v>200</v>
      </c>
      <c r="J202" s="10" t="n">
        <v>0.8669</v>
      </c>
      <c r="K202" s="10" t="inlineStr">
        <is>
          <t>&gt; Perfumería &gt; Cuidado Capilar &gt; Shampoo &gt;</t>
        </is>
      </c>
      <c r="L202" s="10" t="inlineStr">
        <is>
          <t>shampoo</t>
        </is>
      </c>
      <c r="M202" s="10" t="inlineStr">
        <is>
          <t>profesional</t>
        </is>
      </c>
      <c r="N202" s="10" t="inlineStr">
        <is>
          <t>general</t>
        </is>
      </c>
      <c r="O202" s="10" t="inlineStr">
        <is>
          <t>https://www.disco.com.ar/shampoo-pantene-15-3/p</t>
        </is>
      </c>
    </row>
    <row r="203">
      <c r="A203" t="inlineStr">
        <is>
          <t>Disco</t>
        </is>
      </c>
      <c r="B203" t="n">
        <v>77277</v>
      </c>
      <c r="C203" t="n">
        <v>74404</v>
      </c>
      <c r="D203" t="inlineStr">
        <is>
          <t>Shampoo Pantene Liso Extremo 200 Ml</t>
        </is>
      </c>
      <c r="E203" t="inlineStr">
        <is>
          <t>PANTENE</t>
        </is>
      </c>
      <c r="F203" t="n">
        <v>21.33</v>
      </c>
      <c r="G203" t="n">
        <v>1763</v>
      </c>
      <c r="H203" t="b">
        <v>0</v>
      </c>
      <c r="I203" t="n">
        <v>200</v>
      </c>
      <c r="J203" t="n">
        <v>0.1066</v>
      </c>
      <c r="K203" t="inlineStr">
        <is>
          <t>&gt; Perfumería &gt; Cuidado Capilar &gt; Shampoo &gt;</t>
        </is>
      </c>
      <c r="L203" t="inlineStr">
        <is>
          <t>shampoo</t>
        </is>
      </c>
      <c r="M203" t="inlineStr">
        <is>
          <t>estandar</t>
        </is>
      </c>
      <c r="N203" t="inlineStr">
        <is>
          <t>general</t>
        </is>
      </c>
      <c r="O203" t="inlineStr">
        <is>
          <t>https://www.disco.com.ar/shampoo-pantene-15-4/p</t>
        </is>
      </c>
    </row>
    <row r="204">
      <c r="A204" s="10" t="inlineStr">
        <is>
          <t>Disco</t>
        </is>
      </c>
      <c r="B204" s="10" t="n">
        <v>77274</v>
      </c>
      <c r="C204" s="10" t="n">
        <v>74401</v>
      </c>
      <c r="D204" s="10" t="inlineStr">
        <is>
          <t>Shampoo Pantene Cuidado Clásico 200 Ml</t>
        </is>
      </c>
      <c r="E204" s="10" t="inlineStr">
        <is>
          <t>PANTENE</t>
        </is>
      </c>
      <c r="F204" s="10" t="n">
        <v>21.33</v>
      </c>
      <c r="G204" s="10" t="n">
        <v>1763</v>
      </c>
      <c r="H204" s="10" t="b">
        <v>0</v>
      </c>
      <c r="I204" s="10" t="n">
        <v>200</v>
      </c>
      <c r="J204" s="10" t="n">
        <v>0.1066</v>
      </c>
      <c r="K204" s="10" t="inlineStr">
        <is>
          <t>&gt; Perfumería &gt; Cuidado Capilar &gt; Shampoo &gt;</t>
        </is>
      </c>
      <c r="L204" s="10" t="inlineStr">
        <is>
          <t>shampoo</t>
        </is>
      </c>
      <c r="M204" s="10" t="inlineStr">
        <is>
          <t>estandar</t>
        </is>
      </c>
      <c r="N204" s="10" t="inlineStr">
        <is>
          <t>general</t>
        </is>
      </c>
      <c r="O204" s="10" t="inlineStr">
        <is>
          <t>https://www.disco.com.ar/shampoo-pantene-15-2/p</t>
        </is>
      </c>
    </row>
    <row r="205">
      <c r="A205" t="inlineStr">
        <is>
          <t>Disco</t>
        </is>
      </c>
      <c r="B205" t="n">
        <v>77249</v>
      </c>
      <c r="C205" t="n">
        <v>74377</v>
      </c>
      <c r="D205" t="inlineStr">
        <is>
          <t>Shampoo Pantene Hidratación 200 Ml</t>
        </is>
      </c>
      <c r="E205" t="inlineStr">
        <is>
          <t>PANTENE</t>
        </is>
      </c>
      <c r="F205" t="n">
        <v>21.33</v>
      </c>
      <c r="G205" t="n">
        <v>1763</v>
      </c>
      <c r="H205" t="b">
        <v>0</v>
      </c>
      <c r="I205" t="n">
        <v>200</v>
      </c>
      <c r="J205" t="n">
        <v>0.1066</v>
      </c>
      <c r="K205" t="inlineStr">
        <is>
          <t>&gt; Perfumería &gt; Cuidado Capilar &gt; Shampoo &gt;</t>
        </is>
      </c>
      <c r="L205" t="inlineStr">
        <is>
          <t>shampoo</t>
        </is>
      </c>
      <c r="M205" t="inlineStr">
        <is>
          <t>estandar</t>
        </is>
      </c>
      <c r="N205" t="inlineStr">
        <is>
          <t>seco_danado</t>
        </is>
      </c>
      <c r="O205" t="inlineStr">
        <is>
          <t>https://www.disco.com.ar/shampoo-pantene-15-6/p</t>
        </is>
      </c>
    </row>
    <row r="206">
      <c r="A206" s="10" t="inlineStr">
        <is>
          <t>Disco</t>
        </is>
      </c>
      <c r="B206" s="10" t="n">
        <v>77152</v>
      </c>
      <c r="C206" s="10" t="n">
        <v>74280</v>
      </c>
      <c r="D206" s="10" t="inlineStr">
        <is>
          <t>Shampoo Pantene Pro V X 200 Ml Volumen Y Cuerpo  Pvc 200 Ml.</t>
        </is>
      </c>
      <c r="E206" s="10" t="inlineStr">
        <is>
          <t>PANTENE</t>
        </is>
      </c>
      <c r="F206" s="10" t="n">
        <v>173.39</v>
      </c>
      <c r="G206" s="10" t="n">
        <v>173.39</v>
      </c>
      <c r="H206" s="10" t="b">
        <v>0</v>
      </c>
      <c r="I206" s="10" t="n">
        <v>200</v>
      </c>
      <c r="J206" s="10" t="n">
        <v>0.8669</v>
      </c>
      <c r="K206" s="10" t="inlineStr">
        <is>
          <t>&gt; Perfumería &gt; Cuidado Capilar &gt; Shampoo &gt;</t>
        </is>
      </c>
      <c r="L206" s="10" t="inlineStr">
        <is>
          <t>shampoo</t>
        </is>
      </c>
      <c r="M206" s="10" t="inlineStr">
        <is>
          <t>profesional</t>
        </is>
      </c>
      <c r="N206" s="10" t="inlineStr">
        <is>
          <t>general</t>
        </is>
      </c>
      <c r="O206" s="10" t="inlineStr">
        <is>
          <t>https://www.disco.com.ar/shampoo-pantene-14/p</t>
        </is>
      </c>
    </row>
    <row r="207">
      <c r="A207" t="inlineStr">
        <is>
          <t>Disco</t>
        </is>
      </c>
      <c r="B207" t="n">
        <v>72651</v>
      </c>
      <c r="C207" t="n">
        <v>69787</v>
      </c>
      <c r="D207" t="inlineStr">
        <is>
          <t>Shampoo Pantene Renovación Profunda X 200 Ml</t>
        </is>
      </c>
      <c r="E207" t="inlineStr">
        <is>
          <t>PANTENE</t>
        </is>
      </c>
      <c r="F207" t="n">
        <v>17.45</v>
      </c>
      <c r="G207" t="n">
        <v>1442</v>
      </c>
      <c r="H207" t="b">
        <v>0</v>
      </c>
      <c r="I207" t="n">
        <v>200</v>
      </c>
      <c r="J207" t="n">
        <v>0.0872</v>
      </c>
      <c r="K207" t="inlineStr">
        <is>
          <t>&gt; Perfumería &gt; Cuidado Capilar &gt; Shampoo &gt;</t>
        </is>
      </c>
      <c r="L207" t="inlineStr">
        <is>
          <t>shampoo</t>
        </is>
      </c>
      <c r="M207" t="inlineStr">
        <is>
          <t>estandar</t>
        </is>
      </c>
      <c r="N207" t="inlineStr">
        <is>
          <t>general</t>
        </is>
      </c>
      <c r="O207" t="inlineStr">
        <is>
          <t>https://www.disco.com.ar/shampoo-pantene-23-2/p</t>
        </is>
      </c>
    </row>
    <row r="208">
      <c r="A208" s="10" t="inlineStr">
        <is>
          <t>Disco</t>
        </is>
      </c>
      <c r="B208" s="10" t="n">
        <v>30162</v>
      </c>
      <c r="C208" s="10" t="n">
        <v>27323</v>
      </c>
      <c r="D208" s="10" t="inlineStr">
        <is>
          <t>Shampoo Pantene Pro-v Expert Collection Advanced Keratin Repair 300 Ml</t>
        </is>
      </c>
      <c r="E208" s="10" t="inlineStr">
        <is>
          <t>PANTENE</t>
        </is>
      </c>
      <c r="F208" s="10" t="n">
        <v>262.01</v>
      </c>
      <c r="G208" s="10" t="n">
        <v>21654</v>
      </c>
      <c r="H208" s="10" t="b">
        <v>0</v>
      </c>
      <c r="I208" s="10" t="n">
        <v>300</v>
      </c>
      <c r="J208" s="10" t="n">
        <v>0.8734</v>
      </c>
      <c r="K208" s="10" t="inlineStr">
        <is>
          <t>&gt; Perfumería &gt; Cuidado Capilar &gt; Shampoo &gt;</t>
        </is>
      </c>
      <c r="L208" s="10" t="inlineStr">
        <is>
          <t>shampoo</t>
        </is>
      </c>
      <c r="M208" s="10" t="inlineStr">
        <is>
          <t>profesional</t>
        </is>
      </c>
      <c r="N208" s="10" t="inlineStr">
        <is>
          <t>general</t>
        </is>
      </c>
      <c r="O208" s="10" t="inlineStr">
        <is>
          <t>https://www.disco.com.ar/shampoo-pantene-30/p</t>
        </is>
      </c>
    </row>
    <row r="209">
      <c r="A209" t="inlineStr">
        <is>
          <t>Disco</t>
        </is>
      </c>
      <c r="B209" t="n">
        <v>18730</v>
      </c>
      <c r="C209" t="n">
        <v>15809</v>
      </c>
      <c r="D209" t="inlineStr">
        <is>
          <t>Shampoo Porta Shampoo Desodorante Porta 500 Cc</t>
        </is>
      </c>
      <c r="E209" t="inlineStr">
        <is>
          <t>PORTA</t>
        </is>
      </c>
      <c r="F209" t="n">
        <v>97.48999999999999</v>
      </c>
      <c r="G209" t="n">
        <v>97.48999999999999</v>
      </c>
      <c r="H209" t="b">
        <v>0</v>
      </c>
      <c r="I209" t="inlineStr"/>
      <c r="J209" t="inlineStr"/>
      <c r="K209" t="inlineStr">
        <is>
          <t>&gt; Mascotas &gt; Accesorios para Mascotas &gt;</t>
        </is>
      </c>
      <c r="L209" t="inlineStr">
        <is>
          <t>shampoo</t>
        </is>
      </c>
      <c r="M209" t="inlineStr">
        <is>
          <t>estandar</t>
        </is>
      </c>
      <c r="N209" t="inlineStr">
        <is>
          <t>general</t>
        </is>
      </c>
      <c r="O209" t="inlineStr">
        <is>
          <t>https://www.disco.com.ar/shampoo-porta-4/p</t>
        </is>
      </c>
    </row>
    <row r="210">
      <c r="A210" s="10" t="inlineStr">
        <is>
          <t>Disco</t>
        </is>
      </c>
      <c r="B210" s="10" t="n">
        <v>18681</v>
      </c>
      <c r="C210" s="10" t="n">
        <v>15761</v>
      </c>
      <c r="D210" s="10" t="inlineStr">
        <is>
          <t>Shampoo Porta Shampoo Resaltador De Color Porta 500 Cc</t>
        </is>
      </c>
      <c r="E210" s="10" t="inlineStr">
        <is>
          <t>PORTA</t>
        </is>
      </c>
      <c r="F210" s="10" t="n">
        <v>59.85</v>
      </c>
      <c r="G210" s="10" t="n">
        <v>59.85</v>
      </c>
      <c r="H210" s="10" t="b">
        <v>0</v>
      </c>
      <c r="I210" s="10" t="inlineStr"/>
      <c r="J210" s="10" t="inlineStr"/>
      <c r="K210" s="10" t="inlineStr">
        <is>
          <t>&gt; Mascotas &gt; Accesorios para Mascotas &gt;</t>
        </is>
      </c>
      <c r="L210" s="10" t="inlineStr">
        <is>
          <t>shampoo</t>
        </is>
      </c>
      <c r="M210" s="10" t="inlineStr">
        <is>
          <t>estandar</t>
        </is>
      </c>
      <c r="N210" s="10" t="inlineStr">
        <is>
          <t>tratado</t>
        </is>
      </c>
      <c r="O210" s="10" t="inlineStr">
        <is>
          <t>https://www.disco.com.ar/shampoo-porta-5/p</t>
        </is>
      </c>
    </row>
    <row r="211">
      <c r="A211" t="inlineStr">
        <is>
          <t>Disco</t>
        </is>
      </c>
      <c r="B211" t="n">
        <v>220812</v>
      </c>
      <c r="C211" t="n">
        <v>223878</v>
      </c>
      <c r="D211" t="inlineStr">
        <is>
          <t>Shampoo Sedal</t>
        </is>
      </c>
      <c r="E211" t="inlineStr">
        <is>
          <t>SEDAL</t>
        </is>
      </c>
      <c r="F211" t="n">
        <v>15.99</v>
      </c>
      <c r="G211" t="n">
        <v>15.99</v>
      </c>
      <c r="H211" t="b">
        <v>0</v>
      </c>
      <c r="I211" t="inlineStr"/>
      <c r="J211" t="inlineStr"/>
      <c r="K211" t="inlineStr">
        <is>
          <t>&gt; Perfumería &gt; Cuidado Capilar &gt; Shampoo &gt;</t>
        </is>
      </c>
      <c r="L211" t="inlineStr">
        <is>
          <t>shampoo</t>
        </is>
      </c>
      <c r="M211" t="inlineStr">
        <is>
          <t>estandar</t>
        </is>
      </c>
      <c r="N211" t="inlineStr">
        <is>
          <t>general</t>
        </is>
      </c>
      <c r="O211" t="inlineStr">
        <is>
          <t>https://www.disco.com.ar/shampoo-sedal-95-319217/p</t>
        </is>
      </c>
    </row>
    <row r="212">
      <c r="A212" s="10" t="inlineStr">
        <is>
          <t>Disco</t>
        </is>
      </c>
      <c r="B212" s="10" t="n">
        <v>184357</v>
      </c>
      <c r="C212" s="10" t="n">
        <v>208546</v>
      </c>
      <c r="D212" s="10" t="inlineStr">
        <is>
          <t>Shampoo Sedal</t>
        </is>
      </c>
      <c r="E212" s="10" t="inlineStr">
        <is>
          <t>SEDAL</t>
        </is>
      </c>
      <c r="F212" s="10" t="n">
        <v>20.75</v>
      </c>
      <c r="G212" s="10" t="n">
        <v>20.75</v>
      </c>
      <c r="H212" s="10" t="b">
        <v>0</v>
      </c>
      <c r="I212" s="10" t="inlineStr"/>
      <c r="J212" s="10" t="inlineStr"/>
      <c r="K212" s="10" t="inlineStr">
        <is>
          <t>&gt; Perfumería &gt; Cuidado Capilar &gt; Shampoo &gt;</t>
        </is>
      </c>
      <c r="L212" s="10" t="inlineStr">
        <is>
          <t>shampoo</t>
        </is>
      </c>
      <c r="M212" s="10" t="inlineStr">
        <is>
          <t>estandar</t>
        </is>
      </c>
      <c r="N212" s="10" t="inlineStr">
        <is>
          <t>general</t>
        </is>
      </c>
      <c r="O212" s="10" t="inlineStr">
        <is>
          <t>https://www.disco.com.ar/shampoo-sedal-58-288667/p</t>
        </is>
      </c>
    </row>
    <row r="213">
      <c r="A213" t="inlineStr">
        <is>
          <t>Disco</t>
        </is>
      </c>
      <c r="B213" t="n">
        <v>182474</v>
      </c>
      <c r="C213" t="n">
        <v>203571</v>
      </c>
      <c r="D213" t="inlineStr">
        <is>
          <t>Shampoo Vo5</t>
        </is>
      </c>
      <c r="E213" t="inlineStr">
        <is>
          <t>ALBERTO VO5</t>
        </is>
      </c>
      <c r="F213" t="n">
        <v>5.73</v>
      </c>
      <c r="G213" t="n">
        <v>5.73</v>
      </c>
      <c r="H213" t="b">
        <v>0</v>
      </c>
      <c r="I213" t="inlineStr"/>
      <c r="J213" t="inlineStr"/>
      <c r="K213" t="inlineStr">
        <is>
          <t>&gt; Perfumería &gt; Cuidado Capilar &gt; Shampoo &gt;</t>
        </is>
      </c>
      <c r="L213" t="inlineStr">
        <is>
          <t>shampoo</t>
        </is>
      </c>
      <c r="M213" t="inlineStr">
        <is>
          <t>estandar</t>
        </is>
      </c>
      <c r="N213" t="inlineStr">
        <is>
          <t>general</t>
        </is>
      </c>
      <c r="O213" t="inlineStr">
        <is>
          <t>https://www.disco.com.ar/shampoo-vo5-6-283021/p</t>
        </is>
      </c>
    </row>
    <row r="214">
      <c r="A214" s="10" t="inlineStr">
        <is>
          <t>Disco</t>
        </is>
      </c>
      <c r="B214" s="10" t="n">
        <v>180981</v>
      </c>
      <c r="C214" s="10" t="n">
        <v>200504</v>
      </c>
      <c r="D214" s="10" t="inlineStr">
        <is>
          <t>Shampoo Tresemmé</t>
        </is>
      </c>
      <c r="E214" s="10" t="inlineStr">
        <is>
          <t>TRESEMMÉ</t>
        </is>
      </c>
      <c r="F214" s="10" t="n">
        <v>14.83</v>
      </c>
      <c r="G214" s="10" t="n">
        <v>14.83</v>
      </c>
      <c r="H214" s="10" t="b">
        <v>0</v>
      </c>
      <c r="I214" s="10" t="inlineStr"/>
      <c r="J214" s="10" t="inlineStr"/>
      <c r="K214" s="10" t="inlineStr">
        <is>
          <t>&gt; Perfumería &gt; Cuidado Capilar &gt; Shampoo &gt;</t>
        </is>
      </c>
      <c r="L214" s="10" t="inlineStr">
        <is>
          <t>shampoo</t>
        </is>
      </c>
      <c r="M214" s="10" t="inlineStr">
        <is>
          <t>estandar</t>
        </is>
      </c>
      <c r="N214" s="10" t="inlineStr">
        <is>
          <t>general</t>
        </is>
      </c>
      <c r="O214" s="10" t="inlineStr">
        <is>
          <t>https://www.disco.com.ar/shampoo-tresemme-23-330324/p</t>
        </is>
      </c>
    </row>
    <row r="215">
      <c r="A215" t="inlineStr">
        <is>
          <t>Disco</t>
        </is>
      </c>
      <c r="B215" t="n">
        <v>152501</v>
      </c>
      <c r="C215" t="n">
        <v>150073</v>
      </c>
      <c r="D215" t="inlineStr">
        <is>
          <t>Shampoo Dove óleo Nutrición 400 Ml</t>
        </is>
      </c>
      <c r="E215" t="inlineStr">
        <is>
          <t>DOVE</t>
        </is>
      </c>
      <c r="F215" t="n">
        <v>244.89</v>
      </c>
      <c r="G215" t="n">
        <v>20239</v>
      </c>
      <c r="H215" t="b">
        <v>0</v>
      </c>
      <c r="I215" t="n">
        <v>400</v>
      </c>
      <c r="J215" t="n">
        <v>0.6122</v>
      </c>
      <c r="K215" t="inlineStr">
        <is>
          <t>&gt; Perfumería &gt; Cuidado Capilar &gt; Shampoo &gt;</t>
        </is>
      </c>
      <c r="L215" t="inlineStr">
        <is>
          <t>shampoo</t>
        </is>
      </c>
      <c r="M215" t="inlineStr">
        <is>
          <t>estandar</t>
        </is>
      </c>
      <c r="N215" t="inlineStr">
        <is>
          <t>general</t>
        </is>
      </c>
      <c r="O215" t="inlineStr">
        <is>
          <t>https://www.disco.com.ar/shampoo-dove-24-2/p</t>
        </is>
      </c>
    </row>
    <row r="216">
      <c r="A216" s="10" t="inlineStr">
        <is>
          <t>Disco</t>
        </is>
      </c>
      <c r="B216" s="10" t="n">
        <v>122281</v>
      </c>
      <c r="C216" s="10" t="n">
        <v>121300</v>
      </c>
      <c r="D216" s="10" t="inlineStr">
        <is>
          <t>Shampoo Pantene Liso Extremo 750 Ml</t>
        </is>
      </c>
      <c r="E216" s="10" t="inlineStr">
        <is>
          <t>PANTENE</t>
        </is>
      </c>
      <c r="F216" s="10" t="n">
        <v>74.37</v>
      </c>
      <c r="G216" s="10" t="n">
        <v>6146</v>
      </c>
      <c r="H216" s="10" t="b">
        <v>0</v>
      </c>
      <c r="I216" s="10" t="n">
        <v>750</v>
      </c>
      <c r="J216" s="10" t="n">
        <v>0.0992</v>
      </c>
      <c r="K216" s="10" t="inlineStr">
        <is>
          <t>&gt; Perfumería &gt; Cuidado Capilar &gt; Shampoo &gt;</t>
        </is>
      </c>
      <c r="L216" s="10" t="inlineStr">
        <is>
          <t>shampoo</t>
        </is>
      </c>
      <c r="M216" s="10" t="inlineStr">
        <is>
          <t>estandar</t>
        </is>
      </c>
      <c r="N216" s="10" t="inlineStr">
        <is>
          <t>general</t>
        </is>
      </c>
      <c r="O216" s="10" t="inlineStr">
        <is>
          <t>https://www.disco.com.ar/shampoo-pantene-19-2/p</t>
        </is>
      </c>
    </row>
    <row r="217">
      <c r="A217" t="inlineStr">
        <is>
          <t>Disco</t>
        </is>
      </c>
      <c r="B217" t="n">
        <v>122152</v>
      </c>
      <c r="C217" t="n">
        <v>121171</v>
      </c>
      <c r="D217" t="inlineStr">
        <is>
          <t>Shampoo Capilatisx420ml</t>
        </is>
      </c>
      <c r="E217" t="inlineStr">
        <is>
          <t>CAPILATIS</t>
        </is>
      </c>
      <c r="F217" t="n">
        <v>33.79</v>
      </c>
      <c r="G217" t="n">
        <v>2793</v>
      </c>
      <c r="H217" t="b">
        <v>0</v>
      </c>
      <c r="I217" t="n">
        <v>420</v>
      </c>
      <c r="J217" t="n">
        <v>0.0805</v>
      </c>
      <c r="K217" t="inlineStr">
        <is>
          <t>&gt; Perfumería &gt; Cuidado Capilar &gt; Shampoo &gt;</t>
        </is>
      </c>
      <c r="L217" t="inlineStr">
        <is>
          <t>shampoo</t>
        </is>
      </c>
      <c r="M217" t="inlineStr">
        <is>
          <t>estandar</t>
        </is>
      </c>
      <c r="N217" t="inlineStr">
        <is>
          <t>general</t>
        </is>
      </c>
      <c r="O217" t="inlineStr">
        <is>
          <t>https://www.disco.com.ar/shampoo-capilatis-8/p</t>
        </is>
      </c>
    </row>
    <row r="218">
      <c r="A218" s="10" t="inlineStr">
        <is>
          <t>Disco</t>
        </is>
      </c>
      <c r="B218" s="10" t="n">
        <v>115983</v>
      </c>
      <c r="C218" s="10" t="n">
        <v>115027</v>
      </c>
      <c r="D218" s="10" t="inlineStr">
        <is>
          <t>Shampoo Pantene Hidratación 750 Ml</t>
        </is>
      </c>
      <c r="E218" s="10" t="inlineStr">
        <is>
          <t>PANTENE</t>
        </is>
      </c>
      <c r="F218" s="10" t="n">
        <v>74.37</v>
      </c>
      <c r="G218" s="10" t="n">
        <v>6146</v>
      </c>
      <c r="H218" s="10" t="b">
        <v>0</v>
      </c>
      <c r="I218" s="10" t="n">
        <v>750</v>
      </c>
      <c r="J218" s="10" t="n">
        <v>0.0992</v>
      </c>
      <c r="K218" s="10" t="inlineStr">
        <is>
          <t>&gt; Perfumería &gt; Cuidado Capilar &gt; Shampoo &gt;</t>
        </is>
      </c>
      <c r="L218" s="10" t="inlineStr">
        <is>
          <t>shampoo</t>
        </is>
      </c>
      <c r="M218" s="10" t="inlineStr">
        <is>
          <t>estandar</t>
        </is>
      </c>
      <c r="N218" s="10" t="inlineStr">
        <is>
          <t>seco_danado</t>
        </is>
      </c>
      <c r="O218" s="10" t="inlineStr">
        <is>
          <t>https://www.disco.com.ar/shampoo-pantene-20/p</t>
        </is>
      </c>
    </row>
    <row r="219">
      <c r="A219" t="inlineStr">
        <is>
          <t>Disco</t>
        </is>
      </c>
      <c r="B219" t="n">
        <v>115222</v>
      </c>
      <c r="C219" t="n">
        <v>114268</v>
      </c>
      <c r="D219" t="inlineStr">
        <is>
          <t>Shampoo Tresemmé Liso Y Sin Frizz X 900 Ml</t>
        </is>
      </c>
      <c r="E219" t="inlineStr">
        <is>
          <t>TRESEMMÉ</t>
        </is>
      </c>
      <c r="F219" t="n">
        <v>28.39</v>
      </c>
      <c r="G219" t="n">
        <v>2346</v>
      </c>
      <c r="H219" t="b">
        <v>0</v>
      </c>
      <c r="I219" t="n">
        <v>900</v>
      </c>
      <c r="J219" t="n">
        <v>0.0315</v>
      </c>
      <c r="K219" t="inlineStr">
        <is>
          <t>&gt; Perfumería &gt; Cuidado Capilar &gt; Shampoo &gt;</t>
        </is>
      </c>
      <c r="L219" t="inlineStr">
        <is>
          <t>shampoo</t>
        </is>
      </c>
      <c r="M219" t="inlineStr">
        <is>
          <t>estandar</t>
        </is>
      </c>
      <c r="N219" t="inlineStr">
        <is>
          <t>general</t>
        </is>
      </c>
      <c r="O219" t="inlineStr">
        <is>
          <t>https://www.disco.com.ar/shampoo-tresemme-10-2/p</t>
        </is>
      </c>
    </row>
    <row r="220">
      <c r="A220" s="10" t="inlineStr">
        <is>
          <t>Disco</t>
        </is>
      </c>
      <c r="B220" s="10" t="n">
        <v>115109</v>
      </c>
      <c r="C220" s="10" t="n">
        <v>114155</v>
      </c>
      <c r="D220" s="10" t="inlineStr">
        <is>
          <t>Shampoo Tresemmé Rizos Definidos X 900 Ml</t>
        </is>
      </c>
      <c r="E220" s="10" t="inlineStr">
        <is>
          <t>TRESEMMÉ</t>
        </is>
      </c>
      <c r="F220" s="10" t="n">
        <v>38.49</v>
      </c>
      <c r="G220" s="10" t="n">
        <v>3181</v>
      </c>
      <c r="H220" s="10" t="b">
        <v>0</v>
      </c>
      <c r="I220" s="10" t="n">
        <v>900</v>
      </c>
      <c r="J220" s="10" t="n">
        <v>0.0428</v>
      </c>
      <c r="K220" s="10" t="inlineStr">
        <is>
          <t>&gt; Perfumería &gt; Cuidado Capilar &gt; Shampoo &gt;</t>
        </is>
      </c>
      <c r="L220" s="10" t="inlineStr">
        <is>
          <t>shampoo</t>
        </is>
      </c>
      <c r="M220" s="10" t="inlineStr">
        <is>
          <t>estandar</t>
        </is>
      </c>
      <c r="N220" s="10" t="inlineStr">
        <is>
          <t>rizado</t>
        </is>
      </c>
      <c r="O220" s="10" t="inlineStr">
        <is>
          <t>https://www.disco.com.ar/shampoo-tresemme-10/p</t>
        </is>
      </c>
    </row>
    <row r="221">
      <c r="A221" t="inlineStr">
        <is>
          <t>Disco</t>
        </is>
      </c>
      <c r="B221" t="n">
        <v>114726</v>
      </c>
      <c r="C221" t="n">
        <v>113774</v>
      </c>
      <c r="D221" t="inlineStr">
        <is>
          <t>Shampoo Porta Shampoo Resaltador De Color Porta 500 Cc</t>
        </is>
      </c>
      <c r="E221" t="inlineStr">
        <is>
          <t>PORTA</t>
        </is>
      </c>
      <c r="F221" t="n">
        <v>59.85</v>
      </c>
      <c r="G221" t="n">
        <v>59.85</v>
      </c>
      <c r="H221" t="b">
        <v>0</v>
      </c>
      <c r="I221" t="inlineStr"/>
      <c r="J221" t="inlineStr"/>
      <c r="K221" t="inlineStr">
        <is>
          <t>&gt; Mascotas &gt; Accesorios para Mascotas &gt;</t>
        </is>
      </c>
      <c r="L221" t="inlineStr">
        <is>
          <t>shampoo</t>
        </is>
      </c>
      <c r="M221" t="inlineStr">
        <is>
          <t>estandar</t>
        </is>
      </c>
      <c r="N221" t="inlineStr">
        <is>
          <t>tratado</t>
        </is>
      </c>
      <c r="O221" t="inlineStr">
        <is>
          <t>https://www.disco.com.ar/shampoo-porta-6/p</t>
        </is>
      </c>
    </row>
    <row r="222">
      <c r="A222" s="10" t="inlineStr">
        <is>
          <t>Disco</t>
        </is>
      </c>
      <c r="B222" s="10" t="n">
        <v>107314</v>
      </c>
      <c r="C222" s="10" t="n">
        <v>104582</v>
      </c>
      <c r="D222" s="10" t="inlineStr">
        <is>
          <t>Shampoo Suave Palta Y Oliva Pvc 930 Ml</t>
        </is>
      </c>
      <c r="E222" s="10" t="inlineStr">
        <is>
          <t>SUAVE</t>
        </is>
      </c>
      <c r="F222" s="10" t="n">
        <v>7.39</v>
      </c>
      <c r="G222" s="10" t="n">
        <v>7.39</v>
      </c>
      <c r="H222" s="10" t="b">
        <v>0</v>
      </c>
      <c r="I222" s="10" t="n">
        <v>930</v>
      </c>
      <c r="J222" s="10" t="n">
        <v>0.007900000000000001</v>
      </c>
      <c r="K222" s="10" t="inlineStr">
        <is>
          <t>&gt; Perfumería &gt; Cuidado Capilar &gt; Shampoo &gt;</t>
        </is>
      </c>
      <c r="L222" s="10" t="inlineStr">
        <is>
          <t>shampoo</t>
        </is>
      </c>
      <c r="M222" s="10" t="inlineStr">
        <is>
          <t>estandar</t>
        </is>
      </c>
      <c r="N222" s="10" t="inlineStr">
        <is>
          <t>bebe</t>
        </is>
      </c>
      <c r="O222" s="10" t="inlineStr">
        <is>
          <t>https://www.disco.com.ar/shampoo-suave-2/p</t>
        </is>
      </c>
    </row>
    <row r="223">
      <c r="A223" t="inlineStr">
        <is>
          <t>Disco</t>
        </is>
      </c>
      <c r="B223" t="n">
        <v>90086</v>
      </c>
      <c r="C223" t="n">
        <v>87414</v>
      </c>
      <c r="D223" t="inlineStr">
        <is>
          <t>Shampoo Capilatis-anti-age Hair Therapy-uva Roja-pvc-ml.-350</t>
        </is>
      </c>
      <c r="E223" t="inlineStr">
        <is>
          <t>CAPILATIS</t>
        </is>
      </c>
      <c r="F223" t="n">
        <v>80.39</v>
      </c>
      <c r="G223" t="n">
        <v>6644</v>
      </c>
      <c r="H223" t="b">
        <v>0</v>
      </c>
      <c r="I223" t="inlineStr"/>
      <c r="J223" t="inlineStr"/>
      <c r="K223" t="inlineStr">
        <is>
          <t>&gt; Perfumería &gt; Cuidado Capilar &gt; Shampoo &gt;</t>
        </is>
      </c>
      <c r="L223" t="inlineStr">
        <is>
          <t>shampoo</t>
        </is>
      </c>
      <c r="M223" t="inlineStr">
        <is>
          <t>estandar</t>
        </is>
      </c>
      <c r="N223" t="inlineStr">
        <is>
          <t>general</t>
        </is>
      </c>
      <c r="O223" t="inlineStr">
        <is>
          <t>https://www.disco.com.ar/shampoo-capilatis-11/p</t>
        </is>
      </c>
    </row>
    <row r="224">
      <c r="A224" s="10" t="inlineStr">
        <is>
          <t>Disco</t>
        </is>
      </c>
      <c r="B224" s="10" t="n">
        <v>77313</v>
      </c>
      <c r="C224" s="10" t="n">
        <v>74440</v>
      </c>
      <c r="D224" s="10" t="inlineStr">
        <is>
          <t>Shampoo Pantene Liso Y Sedoso 200 Ml</t>
        </is>
      </c>
      <c r="E224" s="10" t="inlineStr">
        <is>
          <t>PANTENE</t>
        </is>
      </c>
      <c r="F224" s="10" t="n">
        <v>21.33</v>
      </c>
      <c r="G224" s="10" t="n">
        <v>1763</v>
      </c>
      <c r="H224" s="10" t="b">
        <v>0</v>
      </c>
      <c r="I224" s="10" t="n">
        <v>200</v>
      </c>
      <c r="J224" s="10" t="n">
        <v>0.1066</v>
      </c>
      <c r="K224" s="10" t="inlineStr">
        <is>
          <t>&gt; Perfumería &gt; Cuidado Capilar &gt; Shampoo &gt;</t>
        </is>
      </c>
      <c r="L224" s="10" t="inlineStr">
        <is>
          <t>shampoo</t>
        </is>
      </c>
      <c r="M224" s="10" t="inlineStr">
        <is>
          <t>estandar</t>
        </is>
      </c>
      <c r="N224" s="10" t="inlineStr">
        <is>
          <t>general</t>
        </is>
      </c>
      <c r="O224" s="10" t="inlineStr">
        <is>
          <t>https://www.disco.com.ar/shampoo-pantene-16/p</t>
        </is>
      </c>
    </row>
    <row r="225">
      <c r="A225" t="inlineStr">
        <is>
          <t>Disco</t>
        </is>
      </c>
      <c r="B225" t="n">
        <v>77288</v>
      </c>
      <c r="C225" t="n">
        <v>74415</v>
      </c>
      <c r="D225" t="inlineStr">
        <is>
          <t>Shampoo Pantene Rizos Definidos 200ml</t>
        </is>
      </c>
      <c r="E225" t="inlineStr">
        <is>
          <t>PANTENE</t>
        </is>
      </c>
      <c r="F225" t="n">
        <v>21.33</v>
      </c>
      <c r="G225" t="n">
        <v>1763</v>
      </c>
      <c r="H225" t="b">
        <v>0</v>
      </c>
      <c r="I225" t="n">
        <v>200</v>
      </c>
      <c r="J225" t="n">
        <v>0.1066</v>
      </c>
      <c r="K225" t="inlineStr">
        <is>
          <t>&gt; Perfumería &gt; Cuidado Capilar &gt; Shampoo &gt;</t>
        </is>
      </c>
      <c r="L225" t="inlineStr">
        <is>
          <t>shampoo</t>
        </is>
      </c>
      <c r="M225" t="inlineStr">
        <is>
          <t>estandar</t>
        </is>
      </c>
      <c r="N225" t="inlineStr">
        <is>
          <t>rizado</t>
        </is>
      </c>
      <c r="O225" t="inlineStr">
        <is>
          <t>https://www.disco.com.ar/shampoo-pantene-15-5/p</t>
        </is>
      </c>
    </row>
    <row r="226">
      <c r="A226" s="10" t="inlineStr">
        <is>
          <t>Disco</t>
        </is>
      </c>
      <c r="B226" s="10" t="n">
        <v>72262</v>
      </c>
      <c r="C226" s="10" t="n">
        <v>69397</v>
      </c>
      <c r="D226" s="10" t="inlineStr">
        <is>
          <t>Shampoo Pantene Renovación Profunda X 750 Ml</t>
        </is>
      </c>
      <c r="E226" s="10" t="inlineStr">
        <is>
          <t>PANTENE</t>
        </is>
      </c>
      <c r="F226" s="10" t="n">
        <v>427.67</v>
      </c>
      <c r="G226" s="10" t="n">
        <v>427.67</v>
      </c>
      <c r="H226" s="10" t="b">
        <v>0</v>
      </c>
      <c r="I226" s="10" t="n">
        <v>750</v>
      </c>
      <c r="J226" s="10" t="n">
        <v>0.5702</v>
      </c>
      <c r="K226" s="10" t="inlineStr">
        <is>
          <t>&gt; Perfumería &gt; Cuidado Capilar &gt; Shampoo &gt;</t>
        </is>
      </c>
      <c r="L226" s="10" t="inlineStr">
        <is>
          <t>shampoo</t>
        </is>
      </c>
      <c r="M226" s="10" t="inlineStr">
        <is>
          <t>estandar</t>
        </is>
      </c>
      <c r="N226" s="10" t="inlineStr">
        <is>
          <t>general</t>
        </is>
      </c>
      <c r="O226" s="10" t="inlineStr">
        <is>
          <t>https://www.disco.com.ar/shampoo-pantene-25/p</t>
        </is>
      </c>
    </row>
    <row r="227">
      <c r="A227" t="inlineStr">
        <is>
          <t>Disco</t>
        </is>
      </c>
      <c r="B227" t="n">
        <v>72120</v>
      </c>
      <c r="C227" t="n">
        <v>69255</v>
      </c>
      <c r="D227" t="inlineStr">
        <is>
          <t>Shampoo Dove Hidrotherapy + Spray Para Peinar 215 Ml</t>
        </is>
      </c>
      <c r="E227" t="inlineStr">
        <is>
          <t>DOVE</t>
        </is>
      </c>
      <c r="F227" t="n">
        <v>20.39</v>
      </c>
      <c r="G227" t="n">
        <v>20.39</v>
      </c>
      <c r="H227" t="b">
        <v>0</v>
      </c>
      <c r="I227" t="n">
        <v>215</v>
      </c>
      <c r="J227" t="n">
        <v>0.0948</v>
      </c>
      <c r="K227" t="inlineStr">
        <is>
          <t>&gt; Perfumería &gt; Cuidado Capilar &gt; Shampoo &gt;</t>
        </is>
      </c>
      <c r="L227" t="inlineStr">
        <is>
          <t>shampoo</t>
        </is>
      </c>
      <c r="M227" t="inlineStr">
        <is>
          <t>estandar</t>
        </is>
      </c>
      <c r="N227" t="inlineStr">
        <is>
          <t>general</t>
        </is>
      </c>
      <c r="O227" t="inlineStr">
        <is>
          <t>https://www.disco.com.ar/shampoo-dove-9/p</t>
        </is>
      </c>
    </row>
    <row r="228">
      <c r="A228" s="10" t="inlineStr">
        <is>
          <t>Disco</t>
        </is>
      </c>
      <c r="B228" s="10" t="n">
        <v>67613</v>
      </c>
      <c r="C228" s="10" t="n">
        <v>64753</v>
      </c>
      <c r="D228" s="10" t="inlineStr">
        <is>
          <t>Shampoo Vo5</t>
        </is>
      </c>
      <c r="E228" s="10" t="inlineStr">
        <is>
          <t>VO5</t>
        </is>
      </c>
      <c r="F228" s="10" t="n">
        <v>6.39</v>
      </c>
      <c r="G228" s="10" t="n">
        <v>528</v>
      </c>
      <c r="H228" s="10" t="b">
        <v>0</v>
      </c>
      <c r="I228" s="10" t="inlineStr"/>
      <c r="J228" s="10" t="inlineStr"/>
      <c r="K228" s="10" t="inlineStr">
        <is>
          <t>&gt; Perfumería &gt; Cuidado Capilar &gt; Shampoo &gt;</t>
        </is>
      </c>
      <c r="L228" s="10" t="inlineStr">
        <is>
          <t>shampoo</t>
        </is>
      </c>
      <c r="M228" s="10" t="inlineStr">
        <is>
          <t>estandar</t>
        </is>
      </c>
      <c r="N228" s="10" t="inlineStr">
        <is>
          <t>general</t>
        </is>
      </c>
      <c r="O228" s="10" t="inlineStr">
        <is>
          <t>https://www.disco.com.ar/shampoo-vo5-3/p</t>
        </is>
      </c>
    </row>
    <row r="229">
      <c r="A229" t="inlineStr">
        <is>
          <t>Disco</t>
        </is>
      </c>
      <c r="B229" t="n">
        <v>18735</v>
      </c>
      <c r="C229" t="n">
        <v>15817</v>
      </c>
      <c r="D229" t="inlineStr">
        <is>
          <t>Shampoo Porta Shampoo Pulguicida Porta 500 Cc</t>
        </is>
      </c>
      <c r="E229" t="inlineStr">
        <is>
          <t>PORTA</t>
        </is>
      </c>
      <c r="F229" t="n">
        <v>88.39</v>
      </c>
      <c r="G229" t="n">
        <v>88.39</v>
      </c>
      <c r="H229" t="b">
        <v>0</v>
      </c>
      <c r="I229" t="inlineStr"/>
      <c r="J229" t="inlineStr"/>
      <c r="K229" t="inlineStr">
        <is>
          <t>&gt; Mascotas &gt; Accesorios para Mascotas &gt;</t>
        </is>
      </c>
      <c r="L229" t="inlineStr">
        <is>
          <t>shampoo</t>
        </is>
      </c>
      <c r="M229" t="inlineStr">
        <is>
          <t>estandar</t>
        </is>
      </c>
      <c r="N229" t="inlineStr">
        <is>
          <t>general</t>
        </is>
      </c>
      <c r="O229" t="inlineStr">
        <is>
          <t>https://www.disco.com.ar/shampoo-porta-3/p</t>
        </is>
      </c>
    </row>
    <row r="230">
      <c r="A230" s="10" t="inlineStr">
        <is>
          <t>Disco</t>
        </is>
      </c>
      <c r="B230" s="10" t="n">
        <v>184158</v>
      </c>
      <c r="C230" s="10" t="n">
        <v>207283</v>
      </c>
      <c r="D230" s="10" t="inlineStr">
        <is>
          <t>Shampoo Sedal</t>
        </is>
      </c>
      <c r="E230" s="10" t="inlineStr">
        <is>
          <t>SEDAL</t>
        </is>
      </c>
      <c r="F230" s="10" t="n">
        <v>19.99</v>
      </c>
      <c r="G230" s="10" t="n">
        <v>19.99</v>
      </c>
      <c r="H230" s="10" t="b">
        <v>0</v>
      </c>
      <c r="I230" s="10" t="inlineStr"/>
      <c r="J230" s="10" t="inlineStr"/>
      <c r="K230" s="10" t="inlineStr">
        <is>
          <t>&gt; Perfumería &gt; Cuidado Capilar &gt; Shampoo &gt;</t>
        </is>
      </c>
      <c r="L230" s="10" t="inlineStr">
        <is>
          <t>shampoo</t>
        </is>
      </c>
      <c r="M230" s="10" t="inlineStr">
        <is>
          <t>estandar</t>
        </is>
      </c>
      <c r="N230" s="10" t="inlineStr">
        <is>
          <t>general</t>
        </is>
      </c>
      <c r="O230" s="10" t="inlineStr">
        <is>
          <t>https://www.disco.com.ar/shampoo-sedal-56-286118/p</t>
        </is>
      </c>
    </row>
    <row r="231">
      <c r="A231" t="inlineStr">
        <is>
          <t>Disco</t>
        </is>
      </c>
      <c r="B231" t="n">
        <v>180914</v>
      </c>
      <c r="C231" t="n">
        <v>200331</v>
      </c>
      <c r="D231" t="inlineStr">
        <is>
          <t>Shampoo Sedal</t>
        </is>
      </c>
      <c r="E231" t="inlineStr">
        <is>
          <t>SEDAL</t>
        </is>
      </c>
      <c r="F231" t="n">
        <v>17.99</v>
      </c>
      <c r="G231" t="n">
        <v>17.99</v>
      </c>
      <c r="H231" t="b">
        <v>0</v>
      </c>
      <c r="I231" t="inlineStr"/>
      <c r="J231" t="inlineStr"/>
      <c r="K231" t="inlineStr">
        <is>
          <t>&gt; Perfumería &gt; Cuidado Capilar &gt; Shampoo &gt;</t>
        </is>
      </c>
      <c r="L231" t="inlineStr">
        <is>
          <t>shampoo</t>
        </is>
      </c>
      <c r="M231" t="inlineStr">
        <is>
          <t>estandar</t>
        </is>
      </c>
      <c r="N231" t="inlineStr">
        <is>
          <t>general</t>
        </is>
      </c>
      <c r="O231" t="inlineStr">
        <is>
          <t>https://www.disco.com.ar/shampoo-sedal-9/p</t>
        </is>
      </c>
    </row>
    <row r="232">
      <c r="A232" s="10" t="inlineStr">
        <is>
          <t>Disco</t>
        </is>
      </c>
      <c r="B232" s="10" t="n">
        <v>152475</v>
      </c>
      <c r="C232" s="10" t="n">
        <v>150048</v>
      </c>
      <c r="D232" s="10" t="inlineStr">
        <is>
          <t>Shampoo Dove óleo Nutrición 200 Ml</t>
        </is>
      </c>
      <c r="E232" s="10" t="inlineStr">
        <is>
          <t>DOVE</t>
        </is>
      </c>
      <c r="F232" s="10" t="n">
        <v>135.75</v>
      </c>
      <c r="G232" s="10" t="n">
        <v>11219</v>
      </c>
      <c r="H232" s="10" t="b">
        <v>0</v>
      </c>
      <c r="I232" s="10" t="n">
        <v>200</v>
      </c>
      <c r="J232" s="10" t="n">
        <v>0.6787</v>
      </c>
      <c r="K232" s="10" t="inlineStr">
        <is>
          <t>&gt; Perfumería &gt; Cuidado Capilar &gt; Shampoo &gt;</t>
        </is>
      </c>
      <c r="L232" s="10" t="inlineStr">
        <is>
          <t>shampoo</t>
        </is>
      </c>
      <c r="M232" s="10" t="inlineStr">
        <is>
          <t>estandar</t>
        </is>
      </c>
      <c r="N232" s="10" t="inlineStr">
        <is>
          <t>general</t>
        </is>
      </c>
      <c r="O232" s="10" t="inlineStr">
        <is>
          <t>https://www.disco.com.ar/shampoo-dove-24/p</t>
        </is>
      </c>
    </row>
    <row r="233">
      <c r="A233" t="inlineStr">
        <is>
          <t>Disco</t>
        </is>
      </c>
      <c r="B233" t="n">
        <v>138948</v>
      </c>
      <c r="C233" t="n">
        <v>135859</v>
      </c>
      <c r="D233" t="inlineStr">
        <is>
          <t>Shampoo Dove-daño Acumulado Therapy-+ac Daño Acumulado X 400 Al 50%-pck-un.-2</t>
        </is>
      </c>
      <c r="E233" t="inlineStr">
        <is>
          <t>DOVE</t>
        </is>
      </c>
      <c r="F233" t="n">
        <v>23.57</v>
      </c>
      <c r="G233" t="n">
        <v>1948</v>
      </c>
      <c r="H233" t="b">
        <v>0</v>
      </c>
      <c r="I233" t="inlineStr"/>
      <c r="J233" t="inlineStr"/>
      <c r="K233" t="inlineStr">
        <is>
          <t>&gt; Perfumería &gt; Cuidado Capilar &gt; Shampoo &gt;</t>
        </is>
      </c>
      <c r="L233" t="inlineStr">
        <is>
          <t>shampoo</t>
        </is>
      </c>
      <c r="M233" t="inlineStr">
        <is>
          <t>estandar</t>
        </is>
      </c>
      <c r="N233" t="inlineStr">
        <is>
          <t>general</t>
        </is>
      </c>
      <c r="O233" t="inlineStr">
        <is>
          <t>https://www.disco.com.ar/shampoo-dove-10/p</t>
        </is>
      </c>
    </row>
    <row r="234">
      <c r="A234" s="10" t="inlineStr">
        <is>
          <t>Disco</t>
        </is>
      </c>
      <c r="B234" s="10" t="n">
        <v>124169</v>
      </c>
      <c r="C234" s="10" t="n">
        <v>123171</v>
      </c>
      <c r="D234" s="10" t="inlineStr">
        <is>
          <t>Shampoo Prunelle Familiar Agregados +acondic. Sin Atributo Sin Atributo</t>
        </is>
      </c>
      <c r="E234" s="10" t="inlineStr">
        <is>
          <t>PRUNELLE</t>
        </is>
      </c>
      <c r="F234" s="10" t="n">
        <v>26.35</v>
      </c>
      <c r="G234" s="10" t="n">
        <v>26.35</v>
      </c>
      <c r="H234" s="10" t="b">
        <v>0</v>
      </c>
      <c r="I234" s="10" t="inlineStr"/>
      <c r="J234" s="10" t="inlineStr"/>
      <c r="K234" s="10" t="inlineStr">
        <is>
          <t>&gt; Perfumería &gt; Cuidado Capilar &gt; Shampoo &gt;</t>
        </is>
      </c>
      <c r="L234" s="10" t="inlineStr">
        <is>
          <t>shampoo</t>
        </is>
      </c>
      <c r="M234" s="10" t="inlineStr">
        <is>
          <t>estandar</t>
        </is>
      </c>
      <c r="N234" s="10" t="inlineStr">
        <is>
          <t>general</t>
        </is>
      </c>
      <c r="O234" s="10" t="inlineStr">
        <is>
          <t>https://www.disco.com.ar/shampoo-prunelle-2/p</t>
        </is>
      </c>
    </row>
    <row r="235">
      <c r="A235" t="inlineStr">
        <is>
          <t>Disco</t>
        </is>
      </c>
      <c r="B235" t="n">
        <v>122202</v>
      </c>
      <c r="C235" t="n">
        <v>121220</v>
      </c>
      <c r="D235" t="inlineStr">
        <is>
          <t>Shampoo Pantene Control Caída 750ml</t>
        </is>
      </c>
      <c r="E235" t="inlineStr">
        <is>
          <t>PANTENE</t>
        </is>
      </c>
      <c r="F235" t="n">
        <v>74.37</v>
      </c>
      <c r="G235" t="n">
        <v>6146</v>
      </c>
      <c r="H235" t="b">
        <v>0</v>
      </c>
      <c r="I235" t="n">
        <v>750</v>
      </c>
      <c r="J235" t="n">
        <v>0.0992</v>
      </c>
      <c r="K235" t="inlineStr">
        <is>
          <t>&gt; Perfumería &gt; Cuidado Capilar &gt; Shampoo &gt;</t>
        </is>
      </c>
      <c r="L235" t="inlineStr">
        <is>
          <t>shampoo</t>
        </is>
      </c>
      <c r="M235" t="inlineStr">
        <is>
          <t>estandar</t>
        </is>
      </c>
      <c r="N235" t="inlineStr">
        <is>
          <t>general</t>
        </is>
      </c>
      <c r="O235" t="inlineStr">
        <is>
          <t>https://www.disco.com.ar/shampoo-pantene-17-2/p</t>
        </is>
      </c>
    </row>
    <row r="236">
      <c r="A236" s="10" t="inlineStr">
        <is>
          <t>Disco</t>
        </is>
      </c>
      <c r="B236" s="10" t="n">
        <v>122197</v>
      </c>
      <c r="C236" s="10" t="n">
        <v>121216</v>
      </c>
      <c r="D236" s="10" t="inlineStr">
        <is>
          <t>Shampoo Pantene Rizos Definidos 750 Ml</t>
        </is>
      </c>
      <c r="E236" s="10" t="inlineStr">
        <is>
          <t>PANTENE</t>
        </is>
      </c>
      <c r="F236" s="10" t="n">
        <v>64.34999999999999</v>
      </c>
      <c r="G236" s="10" t="n">
        <v>5318</v>
      </c>
      <c r="H236" s="10" t="b">
        <v>0</v>
      </c>
      <c r="I236" s="10" t="n">
        <v>750</v>
      </c>
      <c r="J236" s="10" t="n">
        <v>0.0858</v>
      </c>
      <c r="K236" s="10" t="inlineStr">
        <is>
          <t>&gt; Perfumería &gt; Cuidado Capilar &gt; Shampoo &gt;</t>
        </is>
      </c>
      <c r="L236" s="10" t="inlineStr">
        <is>
          <t>shampoo</t>
        </is>
      </c>
      <c r="M236" s="10" t="inlineStr">
        <is>
          <t>estandar</t>
        </is>
      </c>
      <c r="N236" s="10" t="inlineStr">
        <is>
          <t>rizado</t>
        </is>
      </c>
      <c r="O236" s="10" t="inlineStr">
        <is>
          <t>https://www.disco.com.ar/shampoo-pantene-18/p</t>
        </is>
      </c>
    </row>
    <row r="237">
      <c r="A237" t="inlineStr">
        <is>
          <t>Disco</t>
        </is>
      </c>
      <c r="B237" t="n">
        <v>122186</v>
      </c>
      <c r="C237" t="n">
        <v>121205</v>
      </c>
      <c r="D237" t="inlineStr">
        <is>
          <t>Shampoo Capilatis X500ml</t>
        </is>
      </c>
      <c r="E237" t="inlineStr">
        <is>
          <t>CAPILATIS</t>
        </is>
      </c>
      <c r="F237" t="n">
        <v>32.49</v>
      </c>
      <c r="G237" t="n">
        <v>2685</v>
      </c>
      <c r="H237" t="b">
        <v>0</v>
      </c>
      <c r="I237" t="n">
        <v>500</v>
      </c>
      <c r="J237" t="n">
        <v>0.065</v>
      </c>
      <c r="K237" t="inlineStr">
        <is>
          <t>&gt; Perfumería &gt; Cuidado Capilar &gt; Shampoo &gt;</t>
        </is>
      </c>
      <c r="L237" t="inlineStr">
        <is>
          <t>shampoo</t>
        </is>
      </c>
      <c r="M237" t="inlineStr">
        <is>
          <t>estandar</t>
        </is>
      </c>
      <c r="N237" t="inlineStr">
        <is>
          <t>general</t>
        </is>
      </c>
      <c r="O237" t="inlineStr">
        <is>
          <t>https://www.disco.com.ar/shampoo-capilatis-6/p</t>
        </is>
      </c>
    </row>
    <row r="238">
      <c r="A238" s="10" t="inlineStr">
        <is>
          <t>Disco</t>
        </is>
      </c>
      <c r="B238" s="10" t="n">
        <v>122012</v>
      </c>
      <c r="C238" s="10" t="n">
        <v>121031</v>
      </c>
      <c r="D238" s="10" t="inlineStr">
        <is>
          <t>Shampoo Pantene Liso Y Sedoso 750 Ml</t>
        </is>
      </c>
      <c r="E238" s="10" t="inlineStr">
        <is>
          <t>PANTENE</t>
        </is>
      </c>
      <c r="F238" s="10" t="n">
        <v>51.07</v>
      </c>
      <c r="G238" s="10" t="n">
        <v>4221</v>
      </c>
      <c r="H238" s="10" t="b">
        <v>0</v>
      </c>
      <c r="I238" s="10" t="n">
        <v>750</v>
      </c>
      <c r="J238" s="10" t="n">
        <v>0.06809999999999999</v>
      </c>
      <c r="K238" s="10" t="inlineStr">
        <is>
          <t>&gt; Perfumería &gt; Cuidado Capilar &gt; Shampoo &gt;</t>
        </is>
      </c>
      <c r="L238" s="10" t="inlineStr">
        <is>
          <t>shampoo</t>
        </is>
      </c>
      <c r="M238" s="10" t="inlineStr">
        <is>
          <t>estandar</t>
        </is>
      </c>
      <c r="N238" s="10" t="inlineStr">
        <is>
          <t>general</t>
        </is>
      </c>
      <c r="O238" s="10" t="inlineStr">
        <is>
          <t>https://www.disco.com.ar/shampoo-pantene-17/p</t>
        </is>
      </c>
    </row>
    <row r="239">
      <c r="A239" t="inlineStr">
        <is>
          <t>Disco</t>
        </is>
      </c>
      <c r="B239" t="n">
        <v>115058</v>
      </c>
      <c r="C239" t="n">
        <v>114104</v>
      </c>
      <c r="D239" t="inlineStr">
        <is>
          <t>Shampoo Suave Multivitamina E Y B X 930 Ml</t>
        </is>
      </c>
      <c r="E239" t="inlineStr">
        <is>
          <t>SUAVE</t>
        </is>
      </c>
      <c r="F239" t="n">
        <v>7.39</v>
      </c>
      <c r="G239" t="n">
        <v>7.39</v>
      </c>
      <c r="H239" t="b">
        <v>0</v>
      </c>
      <c r="I239" t="n">
        <v>930</v>
      </c>
      <c r="J239" t="n">
        <v>0.007900000000000001</v>
      </c>
      <c r="K239" t="inlineStr">
        <is>
          <t>&gt; Perfumería &gt; Cuidado Capilar &gt; Shampoo &gt;</t>
        </is>
      </c>
      <c r="L239" t="inlineStr">
        <is>
          <t>shampoo</t>
        </is>
      </c>
      <c r="M239" t="inlineStr">
        <is>
          <t>estandar</t>
        </is>
      </c>
      <c r="N239" t="inlineStr">
        <is>
          <t>bebe</t>
        </is>
      </c>
      <c r="O239" t="inlineStr">
        <is>
          <t>https://www.disco.com.ar/shampoo-suave-2-5/p</t>
        </is>
      </c>
    </row>
    <row r="240">
      <c r="A240" s="10" t="inlineStr">
        <is>
          <t>Disco</t>
        </is>
      </c>
      <c r="B240" s="10" t="n">
        <v>107856</v>
      </c>
      <c r="C240" s="10" t="n">
        <v>105123</v>
      </c>
      <c r="D240" s="10" t="inlineStr">
        <is>
          <t>Shampoo Suave Vainilla Y Canela Pvc 930 Ml</t>
        </is>
      </c>
      <c r="E240" s="10" t="inlineStr">
        <is>
          <t>SUAVE</t>
        </is>
      </c>
      <c r="F240" s="10" t="n">
        <v>8.69</v>
      </c>
      <c r="G240" s="10" t="n">
        <v>718</v>
      </c>
      <c r="H240" s="10" t="b">
        <v>0</v>
      </c>
      <c r="I240" s="10" t="n">
        <v>930</v>
      </c>
      <c r="J240" s="10" t="n">
        <v>0.009299999999999999</v>
      </c>
      <c r="K240" s="10" t="inlineStr">
        <is>
          <t>&gt; Perfumería &gt; Cuidado Capilar &gt; Shampoo &gt;</t>
        </is>
      </c>
      <c r="L240" s="10" t="inlineStr">
        <is>
          <t>shampoo</t>
        </is>
      </c>
      <c r="M240" s="10" t="inlineStr">
        <is>
          <t>estandar</t>
        </is>
      </c>
      <c r="N240" s="10" t="inlineStr">
        <is>
          <t>bebe</t>
        </is>
      </c>
      <c r="O240" s="10" t="inlineStr">
        <is>
          <t>https://www.disco.com.ar/shampoo-suave-2-2/p</t>
        </is>
      </c>
    </row>
    <row r="241">
      <c r="A241" t="inlineStr">
        <is>
          <t>Disco</t>
        </is>
      </c>
      <c r="B241" t="n">
        <v>77268</v>
      </c>
      <c r="C241" t="n">
        <v>74395</v>
      </c>
      <c r="D241" t="inlineStr">
        <is>
          <t>Shampoo Pantene Control Caída 200 Ml</t>
        </is>
      </c>
      <c r="E241" t="inlineStr">
        <is>
          <t>PANTENE</t>
        </is>
      </c>
      <c r="F241" t="n">
        <v>21.33</v>
      </c>
      <c r="G241" t="n">
        <v>1763</v>
      </c>
      <c r="H241" t="b">
        <v>0</v>
      </c>
      <c r="I241" t="n">
        <v>200</v>
      </c>
      <c r="J241" t="n">
        <v>0.1066</v>
      </c>
      <c r="K241" t="inlineStr">
        <is>
          <t>&gt; Perfumería &gt; Cuidado Capilar &gt; Shampoo &gt;</t>
        </is>
      </c>
      <c r="L241" t="inlineStr">
        <is>
          <t>shampoo</t>
        </is>
      </c>
      <c r="M241" t="inlineStr">
        <is>
          <t>estandar</t>
        </is>
      </c>
      <c r="N241" t="inlineStr">
        <is>
          <t>general</t>
        </is>
      </c>
      <c r="O241" t="inlineStr">
        <is>
          <t>https://www.disco.com.ar/shampoo-pantene-13/p</t>
        </is>
      </c>
    </row>
    <row r="242">
      <c r="A242" s="10" t="inlineStr">
        <is>
          <t>Disco</t>
        </is>
      </c>
      <c r="B242" s="10" t="n">
        <v>77239</v>
      </c>
      <c r="C242" s="10" t="n">
        <v>74367</v>
      </c>
      <c r="D242" s="10" t="inlineStr">
        <is>
          <t>Shampoo Pantene Color Radiante 200ml</t>
        </is>
      </c>
      <c r="E242" s="10" t="inlineStr">
        <is>
          <t>PANTENE</t>
        </is>
      </c>
      <c r="F242" s="10" t="n">
        <v>21.33</v>
      </c>
      <c r="G242" s="10" t="n">
        <v>1763</v>
      </c>
      <c r="H242" s="10" t="b">
        <v>0</v>
      </c>
      <c r="I242" s="10" t="n">
        <v>200</v>
      </c>
      <c r="J242" s="10" t="n">
        <v>0.1066</v>
      </c>
      <c r="K242" s="10" t="inlineStr">
        <is>
          <t>&gt; Perfumería &gt; Cuidado Capilar &gt; Shampoo &gt;</t>
        </is>
      </c>
      <c r="L242" s="10" t="inlineStr">
        <is>
          <t>shampoo</t>
        </is>
      </c>
      <c r="M242" s="10" t="inlineStr">
        <is>
          <t>estandar</t>
        </is>
      </c>
      <c r="N242" s="10" t="inlineStr">
        <is>
          <t>tratado</t>
        </is>
      </c>
      <c r="O242" s="10" t="inlineStr">
        <is>
          <t>https://www.disco.com.ar/shampoo-pantene-15/p</t>
        </is>
      </c>
    </row>
    <row r="243">
      <c r="A243" t="inlineStr">
        <is>
          <t>Disco</t>
        </is>
      </c>
      <c r="B243" t="n">
        <v>77023</v>
      </c>
      <c r="C243" t="n">
        <v>74151</v>
      </c>
      <c r="D243" t="inlineStr">
        <is>
          <t>Shampoo Tresemmé Anti-quiebre</t>
        </is>
      </c>
      <c r="E243" t="inlineStr">
        <is>
          <t>TRESEMMÉ</t>
        </is>
      </c>
      <c r="F243" t="n">
        <v>51.87</v>
      </c>
      <c r="G243" t="n">
        <v>4287</v>
      </c>
      <c r="H243" t="b">
        <v>0</v>
      </c>
      <c r="I243" t="inlineStr"/>
      <c r="J243" t="inlineStr"/>
      <c r="K243" t="inlineStr">
        <is>
          <t>&gt; Perfumería &gt; Cuidado Capilar &gt; Shampoo &gt;</t>
        </is>
      </c>
      <c r="L243" t="inlineStr">
        <is>
          <t>shampoo</t>
        </is>
      </c>
      <c r="M243" t="inlineStr">
        <is>
          <t>estandar</t>
        </is>
      </c>
      <c r="N243" t="inlineStr">
        <is>
          <t>general</t>
        </is>
      </c>
      <c r="O243" t="inlineStr">
        <is>
          <t>https://www.disco.com.ar/shampoo-tresemme-8/p</t>
        </is>
      </c>
    </row>
    <row r="244">
      <c r="A244" s="10" t="inlineStr">
        <is>
          <t>Disco</t>
        </is>
      </c>
      <c r="B244" s="10" t="n">
        <v>73429</v>
      </c>
      <c r="C244" s="10" t="n">
        <v>70560</v>
      </c>
      <c r="D244" s="10" t="inlineStr">
        <is>
          <t>Shampoo Dove Rizos Therapy X 250 Ml</t>
        </is>
      </c>
      <c r="E244" s="10" t="inlineStr">
        <is>
          <t>DOVE</t>
        </is>
      </c>
      <c r="F244" s="10" t="n">
        <v>9.5</v>
      </c>
      <c r="G244" s="10" t="n">
        <v>9.5</v>
      </c>
      <c r="H244" s="10" t="b">
        <v>0</v>
      </c>
      <c r="I244" s="10" t="n">
        <v>250</v>
      </c>
      <c r="J244" s="10" t="n">
        <v>0.038</v>
      </c>
      <c r="K244" s="10" t="inlineStr">
        <is>
          <t>&gt; Perfumería &gt; Cuidado Capilar &gt; Shampoo &gt;</t>
        </is>
      </c>
      <c r="L244" s="10" t="inlineStr">
        <is>
          <t>shampoo</t>
        </is>
      </c>
      <c r="M244" s="10" t="inlineStr">
        <is>
          <t>estandar</t>
        </is>
      </c>
      <c r="N244" s="10" t="inlineStr">
        <is>
          <t>rizado</t>
        </is>
      </c>
      <c r="O244" s="10" t="inlineStr">
        <is>
          <t>https://www.disco.com.ar/shampoo-dove-27/p</t>
        </is>
      </c>
    </row>
    <row r="245">
      <c r="A245" t="inlineStr">
        <is>
          <t>Disco</t>
        </is>
      </c>
      <c r="B245" t="n">
        <v>73393</v>
      </c>
      <c r="C245" t="n">
        <v>70524</v>
      </c>
      <c r="D245" t="inlineStr">
        <is>
          <t>Shampoo Dove Lisos Therapy X 250 Ml</t>
        </is>
      </c>
      <c r="E245" t="inlineStr">
        <is>
          <t>DOVE</t>
        </is>
      </c>
      <c r="F245" t="n">
        <v>9.19</v>
      </c>
      <c r="G245" t="n">
        <v>9.19</v>
      </c>
      <c r="H245" t="b">
        <v>0</v>
      </c>
      <c r="I245" t="n">
        <v>250</v>
      </c>
      <c r="J245" t="n">
        <v>0.0368</v>
      </c>
      <c r="K245" t="inlineStr">
        <is>
          <t>&gt; Perfumería &gt; Cuidado Capilar &gt; Shampoo &gt;</t>
        </is>
      </c>
      <c r="L245" t="inlineStr">
        <is>
          <t>shampoo</t>
        </is>
      </c>
      <c r="M245" t="inlineStr">
        <is>
          <t>estandar</t>
        </is>
      </c>
      <c r="N245" t="inlineStr">
        <is>
          <t>general</t>
        </is>
      </c>
      <c r="O245" t="inlineStr">
        <is>
          <t>https://www.disco.com.ar/shampoo-dove/p</t>
        </is>
      </c>
    </row>
    <row r="246">
      <c r="A246" s="10" t="inlineStr">
        <is>
          <t>Disco</t>
        </is>
      </c>
      <c r="B246" s="10" t="n">
        <v>73277</v>
      </c>
      <c r="C246" s="10" t="n">
        <v>70409</v>
      </c>
      <c r="D246" s="10" t="inlineStr">
        <is>
          <t>Shampoo Pantene Hidratación 400 Ml</t>
        </is>
      </c>
      <c r="E246" s="10" t="inlineStr">
        <is>
          <t>PANTENE</t>
        </is>
      </c>
      <c r="F246" s="10" t="n">
        <v>48.79</v>
      </c>
      <c r="G246" s="10" t="n">
        <v>4032</v>
      </c>
      <c r="H246" s="10" t="b">
        <v>0</v>
      </c>
      <c r="I246" s="10" t="n">
        <v>400</v>
      </c>
      <c r="J246" s="10" t="n">
        <v>0.122</v>
      </c>
      <c r="K246" s="10" t="inlineStr">
        <is>
          <t>&gt; Perfumería &gt; Cuidado Capilar &gt; Shampoo &gt;</t>
        </is>
      </c>
      <c r="L246" s="10" t="inlineStr">
        <is>
          <t>shampoo</t>
        </is>
      </c>
      <c r="M246" s="10" t="inlineStr">
        <is>
          <t>estandar</t>
        </is>
      </c>
      <c r="N246" s="10" t="inlineStr">
        <is>
          <t>seco_danado</t>
        </is>
      </c>
      <c r="O246" s="10" t="inlineStr">
        <is>
          <t>https://www.disco.com.ar/shampoo-pantene-12/p</t>
        </is>
      </c>
    </row>
    <row r="247">
      <c r="A247" t="inlineStr">
        <is>
          <t>Disco</t>
        </is>
      </c>
      <c r="B247" t="n">
        <v>72432</v>
      </c>
      <c r="C247" t="n">
        <v>69568</v>
      </c>
      <c r="D247" t="inlineStr">
        <is>
          <t>Shampoo Pantene Renovación Profunda X 400 Ml</t>
        </is>
      </c>
      <c r="E247" t="inlineStr">
        <is>
          <t>PANTENE</t>
        </is>
      </c>
      <c r="F247" t="n">
        <v>103.39</v>
      </c>
      <c r="G247" t="n">
        <v>103.39</v>
      </c>
      <c r="H247" t="b">
        <v>0</v>
      </c>
      <c r="I247" t="n">
        <v>400</v>
      </c>
      <c r="J247" t="n">
        <v>0.2585</v>
      </c>
      <c r="K247" t="inlineStr">
        <is>
          <t>&gt; Perfumería &gt; Cuidado Capilar &gt; Shampoo &gt;</t>
        </is>
      </c>
      <c r="L247" t="inlineStr">
        <is>
          <t>shampoo</t>
        </is>
      </c>
      <c r="M247" t="inlineStr">
        <is>
          <t>estandar</t>
        </is>
      </c>
      <c r="N247" t="inlineStr">
        <is>
          <t>general</t>
        </is>
      </c>
      <c r="O247" t="inlineStr">
        <is>
          <t>https://www.disco.com.ar/shampoo-pantene-23/p</t>
        </is>
      </c>
    </row>
    <row r="248">
      <c r="A248" s="10" t="inlineStr">
        <is>
          <t>Disco</t>
        </is>
      </c>
      <c r="B248" s="10" t="n">
        <v>70445</v>
      </c>
      <c r="C248" s="10" t="n">
        <v>67580</v>
      </c>
      <c r="D248" s="10" t="inlineStr">
        <is>
          <t>Shampoo Dove Control Caida + Tratamiento + Hebilla</t>
        </is>
      </c>
      <c r="E248" s="10" t="inlineStr">
        <is>
          <t>DOVE</t>
        </is>
      </c>
      <c r="F248" s="10" t="n">
        <v>31.79</v>
      </c>
      <c r="G248" s="10" t="n">
        <v>31.79</v>
      </c>
      <c r="H248" s="10" t="b">
        <v>0</v>
      </c>
      <c r="I248" s="10" t="inlineStr"/>
      <c r="J248" s="10" t="inlineStr"/>
      <c r="K248" s="10" t="inlineStr">
        <is>
          <t>&gt; Perfumería &gt; Cuidado Capilar &gt; Shampoo &gt;</t>
        </is>
      </c>
      <c r="L248" s="10" t="inlineStr">
        <is>
          <t>tratamiento</t>
        </is>
      </c>
      <c r="M248" s="10" t="inlineStr">
        <is>
          <t>estandar</t>
        </is>
      </c>
      <c r="N248" s="10" t="inlineStr">
        <is>
          <t>general</t>
        </is>
      </c>
      <c r="O248" s="10" t="inlineStr">
        <is>
          <t>https://www.disco.com.ar/shampoo-dove-6/p</t>
        </is>
      </c>
    </row>
    <row r="249">
      <c r="A249" t="inlineStr">
        <is>
          <t>Disco</t>
        </is>
      </c>
      <c r="B249" t="n">
        <v>70253</v>
      </c>
      <c r="C249" t="n">
        <v>67390</v>
      </c>
      <c r="D249" t="inlineStr">
        <is>
          <t>Shampoo Capilatis Cosm.anticaspa Presentacion Anti-caspa Sin Atributo Sin Atributo</t>
        </is>
      </c>
      <c r="E249" t="inlineStr">
        <is>
          <t>CAPILATIS</t>
        </is>
      </c>
      <c r="F249" t="n">
        <v>53.79</v>
      </c>
      <c r="G249" t="n">
        <v>4445</v>
      </c>
      <c r="H249" t="b">
        <v>0</v>
      </c>
      <c r="I249" t="inlineStr"/>
      <c r="J249" t="inlineStr"/>
      <c r="K249" t="inlineStr">
        <is>
          <t>&gt; Perfumería &gt; Cuidado Capilar &gt; Shampoo &gt;</t>
        </is>
      </c>
      <c r="L249" t="inlineStr">
        <is>
          <t>shampoo</t>
        </is>
      </c>
      <c r="M249" t="inlineStr">
        <is>
          <t>estandar</t>
        </is>
      </c>
      <c r="N249" t="inlineStr">
        <is>
          <t>anticaspa</t>
        </is>
      </c>
      <c r="O249" t="inlineStr">
        <is>
          <t>https://www.disco.com.ar/shampoo-capilatis-10-2/p</t>
        </is>
      </c>
    </row>
    <row r="250">
      <c r="A250" s="10" t="inlineStr">
        <is>
          <t>Disco</t>
        </is>
      </c>
      <c r="B250" s="10" t="n">
        <v>64176</v>
      </c>
      <c r="C250" s="10" t="n">
        <v>61325</v>
      </c>
      <c r="D250" s="10" t="inlineStr">
        <is>
          <t>Shampoo Tresemmé</t>
        </is>
      </c>
      <c r="E250" s="10" t="inlineStr">
        <is>
          <t>TRESEMMÉ</t>
        </is>
      </c>
      <c r="F250" s="10" t="n">
        <v>11.55</v>
      </c>
      <c r="G250" s="10" t="n">
        <v>11.55</v>
      </c>
      <c r="H250" s="10" t="b">
        <v>0</v>
      </c>
      <c r="I250" s="10" t="inlineStr"/>
      <c r="J250" s="10" t="inlineStr"/>
      <c r="K250" s="10" t="inlineStr">
        <is>
          <t>&gt; Perfumería &gt; Cuidado Capilar &gt; Shampoo &gt;</t>
        </is>
      </c>
      <c r="L250" s="10" t="inlineStr">
        <is>
          <t>shampoo</t>
        </is>
      </c>
      <c r="M250" s="10" t="inlineStr">
        <is>
          <t>estandar</t>
        </is>
      </c>
      <c r="N250" s="10" t="inlineStr">
        <is>
          <t>general</t>
        </is>
      </c>
      <c r="O250" s="10" t="inlineStr">
        <is>
          <t>https://www.disco.com.ar/shampoo-tresemme-5-2/p</t>
        </is>
      </c>
    </row>
    <row r="251">
      <c r="A251" t="inlineStr">
        <is>
          <t>Disco</t>
        </is>
      </c>
      <c r="B251" t="n">
        <v>63990</v>
      </c>
      <c r="C251" t="n">
        <v>61138</v>
      </c>
      <c r="D251" t="inlineStr">
        <is>
          <t>Shampoo Elvive</t>
        </is>
      </c>
      <c r="E251" t="inlineStr">
        <is>
          <t>ELVIVE</t>
        </is>
      </c>
      <c r="F251" t="n">
        <v>22.85</v>
      </c>
      <c r="G251" t="n">
        <v>22.85</v>
      </c>
      <c r="H251" t="b">
        <v>0</v>
      </c>
      <c r="I251" t="inlineStr"/>
      <c r="J251" t="inlineStr"/>
      <c r="K251" t="inlineStr">
        <is>
          <t>&gt; Perfumería &gt; Cuidado Capilar &gt; Shampoo &gt;</t>
        </is>
      </c>
      <c r="L251" t="inlineStr">
        <is>
          <t>shampoo</t>
        </is>
      </c>
      <c r="M251" t="inlineStr">
        <is>
          <t>profesional</t>
        </is>
      </c>
      <c r="N251" t="inlineStr">
        <is>
          <t>general</t>
        </is>
      </c>
      <c r="O251" t="inlineStr">
        <is>
          <t>https://www.disco.com.ar/shampoo-elvive-2/p</t>
        </is>
      </c>
    </row>
    <row r="252">
      <c r="A252" s="10" t="inlineStr">
        <is>
          <t>Disco</t>
        </is>
      </c>
      <c r="B252" s="10" t="n">
        <v>30161</v>
      </c>
      <c r="C252" s="10" t="n">
        <v>27322</v>
      </c>
      <c r="D252" s="10" t="inlineStr">
        <is>
          <t>Shampoo Pantene Pro-v Expert Collection Age Defy 300 Ml</t>
        </is>
      </c>
      <c r="E252" s="10" t="inlineStr">
        <is>
          <t>PANTENE</t>
        </is>
      </c>
      <c r="F252" s="10" t="n">
        <v>312.53</v>
      </c>
      <c r="G252" s="10" t="n">
        <v>25829</v>
      </c>
      <c r="H252" s="10" t="b">
        <v>0</v>
      </c>
      <c r="I252" s="10" t="n">
        <v>300</v>
      </c>
      <c r="J252" s="10" t="n">
        <v>1.0418</v>
      </c>
      <c r="K252" s="10" t="inlineStr">
        <is>
          <t>&gt; Perfumería &gt; Cuidado Capilar &gt; Shampoo &gt;</t>
        </is>
      </c>
      <c r="L252" s="10" t="inlineStr">
        <is>
          <t>shampoo</t>
        </is>
      </c>
      <c r="M252" s="10" t="inlineStr">
        <is>
          <t>profesional</t>
        </is>
      </c>
      <c r="N252" s="10" t="inlineStr">
        <is>
          <t>general</t>
        </is>
      </c>
      <c r="O252" s="10" t="inlineStr">
        <is>
          <t>https://www.disco.com.ar/shampoo-pantene-29/p</t>
        </is>
      </c>
    </row>
    <row r="253">
      <c r="A253" t="inlineStr">
        <is>
          <t>Disco</t>
        </is>
      </c>
      <c r="B253" t="n">
        <v>20239</v>
      </c>
      <c r="C253" t="n">
        <v>17411</v>
      </c>
      <c r="D253" t="inlineStr">
        <is>
          <t>Shampoo Capilatis Cosmetico Equilibrio Presentacion Equilibrio Tipo Cabello Normal</t>
        </is>
      </c>
      <c r="E253" t="inlineStr">
        <is>
          <t>CAPILATIS</t>
        </is>
      </c>
      <c r="F253" t="n">
        <v>77.39</v>
      </c>
      <c r="G253" t="n">
        <v>6396</v>
      </c>
      <c r="H253" t="b">
        <v>0</v>
      </c>
      <c r="I253" t="inlineStr"/>
      <c r="J253" t="inlineStr"/>
      <c r="K253" t="inlineStr">
        <is>
          <t>&gt; Perfumería &gt; Cuidado Capilar &gt; Shampoo &gt;</t>
        </is>
      </c>
      <c r="L253" t="inlineStr">
        <is>
          <t>shampoo</t>
        </is>
      </c>
      <c r="M253" t="inlineStr">
        <is>
          <t>estandar</t>
        </is>
      </c>
      <c r="N253" t="inlineStr">
        <is>
          <t>general</t>
        </is>
      </c>
      <c r="O253" t="inlineStr">
        <is>
          <t>https://www.disco.com.ar/shampoo-capilatis-10/p</t>
        </is>
      </c>
    </row>
    <row r="254">
      <c r="A254" s="10" t="inlineStr">
        <is>
          <t>Disco</t>
        </is>
      </c>
      <c r="B254" s="10" t="n">
        <v>183451</v>
      </c>
      <c r="C254" s="10" t="n">
        <v>206046</v>
      </c>
      <c r="D254" s="10" t="inlineStr">
        <is>
          <t>Shampoo Nenin Familiar</t>
        </is>
      </c>
      <c r="E254" s="10" t="inlineStr">
        <is>
          <t>NENNIN NATURESSENCE</t>
        </is>
      </c>
      <c r="F254" s="10" t="n">
        <v>5.35</v>
      </c>
      <c r="G254" s="10" t="n">
        <v>5.35</v>
      </c>
      <c r="H254" s="10" t="b">
        <v>0</v>
      </c>
      <c r="I254" s="10" t="inlineStr"/>
      <c r="J254" s="10" t="inlineStr"/>
      <c r="K254" s="10" t="inlineStr">
        <is>
          <t>&gt; Perfumería &gt; Cuidado Capilar &gt; Shampoo &gt;</t>
        </is>
      </c>
      <c r="L254" s="10" t="inlineStr">
        <is>
          <t>shampoo</t>
        </is>
      </c>
      <c r="M254" s="10" t="inlineStr">
        <is>
          <t>estandar</t>
        </is>
      </c>
      <c r="N254" s="10" t="inlineStr">
        <is>
          <t>general</t>
        </is>
      </c>
      <c r="O254" s="10" t="inlineStr">
        <is>
          <t>https://www.disco.com.ar/shampoo-nenin-familiar-3-285343/p</t>
        </is>
      </c>
    </row>
    <row r="255">
      <c r="A255" t="inlineStr">
        <is>
          <t>Disco</t>
        </is>
      </c>
      <c r="B255" t="n">
        <v>182398</v>
      </c>
      <c r="C255" t="n">
        <v>203452</v>
      </c>
      <c r="D255" t="inlineStr">
        <is>
          <t>Shampoo Plusbelle Evolution</t>
        </is>
      </c>
      <c r="E255" t="inlineStr">
        <is>
          <t>PLUSBELLE EVOLUTION</t>
        </is>
      </c>
      <c r="F255" t="n">
        <v>6.15</v>
      </c>
      <c r="G255" t="n">
        <v>6.15</v>
      </c>
      <c r="H255" t="b">
        <v>0</v>
      </c>
      <c r="I255" t="inlineStr"/>
      <c r="J255" t="inlineStr"/>
      <c r="K255" t="inlineStr">
        <is>
          <t>&gt; Perfumería &gt; Cuidado Capilar &gt; Shampoo &gt;</t>
        </is>
      </c>
      <c r="L255" t="inlineStr">
        <is>
          <t>shampoo</t>
        </is>
      </c>
      <c r="M255" t="inlineStr">
        <is>
          <t>estandar</t>
        </is>
      </c>
      <c r="N255" t="inlineStr">
        <is>
          <t>general</t>
        </is>
      </c>
      <c r="O255" t="inlineStr">
        <is>
          <t>https://www.disco.com.ar/shampoo-plusbelle-evolution-4-282045/p</t>
        </is>
      </c>
    </row>
    <row r="256">
      <c r="A256" s="10" t="inlineStr">
        <is>
          <t>Disco</t>
        </is>
      </c>
      <c r="B256" s="10" t="n">
        <v>127602</v>
      </c>
      <c r="C256" s="10" t="n">
        <v>110386</v>
      </c>
      <c r="D256" s="10" t="inlineStr">
        <is>
          <t>Shampoo Elvive Cosmetico</t>
        </is>
      </c>
      <c r="E256" s="10" t="inlineStr">
        <is>
          <t>ELVIVE</t>
        </is>
      </c>
      <c r="F256" s="10" t="n">
        <v>91.65000000000001</v>
      </c>
      <c r="G256" s="10" t="n">
        <v>7574</v>
      </c>
      <c r="H256" s="10" t="b">
        <v>0</v>
      </c>
      <c r="I256" s="10" t="inlineStr"/>
      <c r="J256" s="10" t="inlineStr"/>
      <c r="K256" s="10" t="inlineStr">
        <is>
          <t>&gt; Perfumería &gt; Cuidado Capilar &gt; Shampoo &gt;</t>
        </is>
      </c>
      <c r="L256" s="10" t="inlineStr">
        <is>
          <t>shampoo</t>
        </is>
      </c>
      <c r="M256" s="10" t="inlineStr">
        <is>
          <t>profesional</t>
        </is>
      </c>
      <c r="N256" s="10" t="inlineStr">
        <is>
          <t>general</t>
        </is>
      </c>
      <c r="O256" s="10" t="inlineStr">
        <is>
          <t>https://www.disco.com.ar/shampoo-elvive-cosmetico-97/p</t>
        </is>
      </c>
    </row>
    <row r="257">
      <c r="A257" t="inlineStr">
        <is>
          <t>Disco</t>
        </is>
      </c>
      <c r="B257" t="n">
        <v>122254</v>
      </c>
      <c r="C257" t="n">
        <v>121273</v>
      </c>
      <c r="D257" t="inlineStr">
        <is>
          <t>Shampoo Capilatisx300ml</t>
        </is>
      </c>
      <c r="E257" t="inlineStr">
        <is>
          <t>CAPILATIS</t>
        </is>
      </c>
      <c r="F257" t="n">
        <v>15</v>
      </c>
      <c r="G257" t="n">
        <v>15</v>
      </c>
      <c r="H257" t="b">
        <v>0</v>
      </c>
      <c r="I257" t="n">
        <v>300</v>
      </c>
      <c r="J257" t="n">
        <v>0.05</v>
      </c>
      <c r="K257" t="inlineStr">
        <is>
          <t>&gt; Perfumería &gt; Cuidado Capilar &gt; Shampoo &gt;</t>
        </is>
      </c>
      <c r="L257" t="inlineStr">
        <is>
          <t>shampoo</t>
        </is>
      </c>
      <c r="M257" t="inlineStr">
        <is>
          <t>estandar</t>
        </is>
      </c>
      <c r="N257" t="inlineStr">
        <is>
          <t>general</t>
        </is>
      </c>
      <c r="O257" t="inlineStr">
        <is>
          <t>https://www.disco.com.ar/shampoo-capilatisx300ml/p</t>
        </is>
      </c>
    </row>
    <row r="258">
      <c r="A258" s="10" t="inlineStr">
        <is>
          <t>Disco</t>
        </is>
      </c>
      <c r="B258" s="10" t="n">
        <v>114886</v>
      </c>
      <c r="C258" s="10" t="n">
        <v>113933</v>
      </c>
      <c r="D258" s="10" t="inlineStr">
        <is>
          <t>Shampoo Elvive Cosmetico 2 En 1 Anti Quiebre Pet 250 Ml</t>
        </is>
      </c>
      <c r="E258" s="10" t="inlineStr">
        <is>
          <t>ELVIVE</t>
        </is>
      </c>
      <c r="F258" s="10" t="n">
        <v>7.97</v>
      </c>
      <c r="G258" s="10" t="n">
        <v>7.97</v>
      </c>
      <c r="H258" s="10" t="b">
        <v>0</v>
      </c>
      <c r="I258" s="10" t="n">
        <v>250</v>
      </c>
      <c r="J258" s="10" t="n">
        <v>0.0319</v>
      </c>
      <c r="K258" s="10" t="inlineStr">
        <is>
          <t>&gt; Perfumería &gt; Cuidado Capilar &gt; Shampoo &gt;</t>
        </is>
      </c>
      <c r="L258" s="10" t="inlineStr">
        <is>
          <t>shampoo</t>
        </is>
      </c>
      <c r="M258" s="10" t="inlineStr">
        <is>
          <t>profesional</t>
        </is>
      </c>
      <c r="N258" s="10" t="inlineStr">
        <is>
          <t>general</t>
        </is>
      </c>
      <c r="O258" s="10" t="inlineStr">
        <is>
          <t>https://www.disco.com.ar/shampoo-elvive-cosmetico-5/p</t>
        </is>
      </c>
    </row>
    <row r="259">
      <c r="A259" t="inlineStr">
        <is>
          <t>Disco</t>
        </is>
      </c>
      <c r="B259" t="n">
        <v>111930</v>
      </c>
      <c r="C259" t="n">
        <v>78749</v>
      </c>
      <c r="D259" t="inlineStr">
        <is>
          <t>Shampoo Plusbelle Familiar Algas Marinas Hidro Pro Pvc 1 Lt.</t>
        </is>
      </c>
      <c r="E259" t="inlineStr">
        <is>
          <t>PLUSBELLE</t>
        </is>
      </c>
      <c r="F259" t="n">
        <v>16.23</v>
      </c>
      <c r="G259" t="n">
        <v>1341</v>
      </c>
      <c r="H259" t="b">
        <v>0</v>
      </c>
      <c r="I259" t="inlineStr"/>
      <c r="J259" t="inlineStr"/>
      <c r="K259" t="inlineStr">
        <is>
          <t>&gt; Perfumería &gt; Cuidado Capilar &gt; Shampoo &gt;</t>
        </is>
      </c>
      <c r="L259" t="inlineStr">
        <is>
          <t>shampoo</t>
        </is>
      </c>
      <c r="M259" t="inlineStr">
        <is>
          <t>estandar</t>
        </is>
      </c>
      <c r="N259" t="inlineStr">
        <is>
          <t>general</t>
        </is>
      </c>
      <c r="O259" t="inlineStr">
        <is>
          <t>https://www.disco.com.ar/shampoo-plusbelle-familiar-5/p</t>
        </is>
      </c>
    </row>
    <row r="260">
      <c r="A260" s="10" t="inlineStr">
        <is>
          <t>Disco</t>
        </is>
      </c>
      <c r="B260" s="10" t="n">
        <v>72557</v>
      </c>
      <c r="C260" s="10" t="n">
        <v>69693</v>
      </c>
      <c r="D260" s="10" t="inlineStr">
        <is>
          <t>Shampoo Plusbelle Familiar</t>
        </is>
      </c>
      <c r="E260" s="10" t="inlineStr">
        <is>
          <t>PLUSBELLE</t>
        </is>
      </c>
      <c r="F260" s="10" t="n">
        <v>11.59</v>
      </c>
      <c r="G260" s="10" t="n">
        <v>11.59</v>
      </c>
      <c r="H260" s="10" t="b">
        <v>0</v>
      </c>
      <c r="I260" s="10" t="inlineStr"/>
      <c r="J260" s="10" t="inlineStr"/>
      <c r="K260" s="10" t="inlineStr">
        <is>
          <t>&gt; Perfumería &gt; Cuidado Capilar &gt; Shampoo &gt;</t>
        </is>
      </c>
      <c r="L260" s="10" t="inlineStr">
        <is>
          <t>shampoo</t>
        </is>
      </c>
      <c r="M260" s="10" t="inlineStr">
        <is>
          <t>estandar</t>
        </is>
      </c>
      <c r="N260" s="10" t="inlineStr">
        <is>
          <t>general</t>
        </is>
      </c>
      <c r="O260" s="10" t="inlineStr">
        <is>
          <t>https://www.disco.com.ar/shampoo-plusbelle-familiar-6/p</t>
        </is>
      </c>
    </row>
    <row r="261">
      <c r="A261" t="inlineStr">
        <is>
          <t>Disco</t>
        </is>
      </c>
      <c r="B261" t="n">
        <v>71153</v>
      </c>
      <c r="C261" t="n">
        <v>68287</v>
      </c>
      <c r="D261" t="inlineStr">
        <is>
          <t>Shampoo Elvive Cosmetico</t>
        </is>
      </c>
      <c r="E261" t="inlineStr">
        <is>
          <t>ELVIVE</t>
        </is>
      </c>
      <c r="F261" t="n">
        <v>61.83</v>
      </c>
      <c r="G261" t="n">
        <v>61.83</v>
      </c>
      <c r="H261" t="b">
        <v>0</v>
      </c>
      <c r="I261" t="inlineStr"/>
      <c r="J261" t="inlineStr"/>
      <c r="K261" t="inlineStr">
        <is>
          <t>&gt; Perfumería &gt; Cuidado Capilar &gt; Shampoo &gt;</t>
        </is>
      </c>
      <c r="L261" t="inlineStr">
        <is>
          <t>shampoo</t>
        </is>
      </c>
      <c r="M261" t="inlineStr">
        <is>
          <t>profesional</t>
        </is>
      </c>
      <c r="N261" t="inlineStr">
        <is>
          <t>general</t>
        </is>
      </c>
      <c r="O261" t="inlineStr">
        <is>
          <t>https://www.disco.com.ar/shampoo-elvive-cosmetico/p</t>
        </is>
      </c>
    </row>
    <row r="262">
      <c r="A262" s="10" t="inlineStr">
        <is>
          <t>Disco</t>
        </is>
      </c>
      <c r="B262" s="10" t="n">
        <v>70103</v>
      </c>
      <c r="C262" s="10" t="n">
        <v>67240</v>
      </c>
      <c r="D262" s="10" t="inlineStr">
        <is>
          <t>Shampoo Elvive Cosmetico</t>
        </is>
      </c>
      <c r="E262" s="10" t="inlineStr">
        <is>
          <t>ELVIVE</t>
        </is>
      </c>
      <c r="F262" s="10" t="n">
        <v>10.45</v>
      </c>
      <c r="G262" s="10" t="n">
        <v>10.45</v>
      </c>
      <c r="H262" s="10" t="b">
        <v>0</v>
      </c>
      <c r="I262" s="10" t="inlineStr"/>
      <c r="J262" s="10" t="inlineStr"/>
      <c r="K262" s="10" t="inlineStr">
        <is>
          <t>&gt; Perfumería &gt; Cuidado Capilar &gt; Shampoo &gt;</t>
        </is>
      </c>
      <c r="L262" s="10" t="inlineStr">
        <is>
          <t>shampoo</t>
        </is>
      </c>
      <c r="M262" s="10" t="inlineStr">
        <is>
          <t>profesional</t>
        </is>
      </c>
      <c r="N262" s="10" t="inlineStr">
        <is>
          <t>general</t>
        </is>
      </c>
      <c r="O262" s="10" t="inlineStr">
        <is>
          <t>https://www.disco.com.ar/shampoo-elvive-cosmetico-31/p</t>
        </is>
      </c>
    </row>
    <row r="263">
      <c r="A263" t="inlineStr">
        <is>
          <t>Disco</t>
        </is>
      </c>
      <c r="B263" t="n">
        <v>69780</v>
      </c>
      <c r="C263" t="n">
        <v>66917</v>
      </c>
      <c r="D263" t="inlineStr">
        <is>
          <t>Shampoo Nenin Familiar</t>
        </is>
      </c>
      <c r="E263" t="inlineStr">
        <is>
          <t>NENNIN NATURESSENCE</t>
        </is>
      </c>
      <c r="F263" t="n">
        <v>5.35</v>
      </c>
      <c r="G263" t="n">
        <v>5.35</v>
      </c>
      <c r="H263" t="b">
        <v>0</v>
      </c>
      <c r="I263" t="inlineStr"/>
      <c r="J263" t="inlineStr"/>
      <c r="K263" t="inlineStr">
        <is>
          <t>&gt; Perfumería &gt; Cuidado Capilar &gt; Shampoo &gt;</t>
        </is>
      </c>
      <c r="L263" t="inlineStr">
        <is>
          <t>shampoo</t>
        </is>
      </c>
      <c r="M263" t="inlineStr">
        <is>
          <t>estandar</t>
        </is>
      </c>
      <c r="N263" t="inlineStr">
        <is>
          <t>general</t>
        </is>
      </c>
      <c r="O263" t="inlineStr">
        <is>
          <t>https://www.disco.com.ar/shampoo-nenin-familiar-2/p</t>
        </is>
      </c>
    </row>
    <row r="264">
      <c r="A264" s="10" t="inlineStr">
        <is>
          <t>Disco</t>
        </is>
      </c>
      <c r="B264" s="10" t="n">
        <v>69778</v>
      </c>
      <c r="C264" s="10" t="n">
        <v>66915</v>
      </c>
      <c r="D264" s="10" t="inlineStr">
        <is>
          <t>Shampoo Nenin Familiar</t>
        </is>
      </c>
      <c r="E264" s="10" t="inlineStr">
        <is>
          <t>NENNIN NATURESSENCE</t>
        </is>
      </c>
      <c r="F264" s="10" t="n">
        <v>5.35</v>
      </c>
      <c r="G264" s="10" t="n">
        <v>5.35</v>
      </c>
      <c r="H264" s="10" t="b">
        <v>0</v>
      </c>
      <c r="I264" s="10" t="inlineStr"/>
      <c r="J264" s="10" t="inlineStr"/>
      <c r="K264" s="10" t="inlineStr">
        <is>
          <t>&gt; Perfumería &gt; Cuidado Capilar &gt; Shampoo &gt;</t>
        </is>
      </c>
      <c r="L264" s="10" t="inlineStr">
        <is>
          <t>shampoo</t>
        </is>
      </c>
      <c r="M264" s="10" t="inlineStr">
        <is>
          <t>estandar</t>
        </is>
      </c>
      <c r="N264" s="10" t="inlineStr">
        <is>
          <t>general</t>
        </is>
      </c>
      <c r="O264" s="10" t="inlineStr">
        <is>
          <t>https://www.disco.com.ar/shampoo-nenin-familiar-4/p</t>
        </is>
      </c>
    </row>
    <row r="265">
      <c r="A265" t="inlineStr">
        <is>
          <t>Disco</t>
        </is>
      </c>
      <c r="B265" t="n">
        <v>68668</v>
      </c>
      <c r="C265" t="n">
        <v>65806</v>
      </c>
      <c r="D265" t="inlineStr">
        <is>
          <t>Shampoo Elvive Cosmetico Volumen Control  Pvc 400 Ml.</t>
        </is>
      </c>
      <c r="E265" t="inlineStr">
        <is>
          <t>ELVIVE</t>
        </is>
      </c>
      <c r="F265" t="n">
        <v>91.65000000000001</v>
      </c>
      <c r="G265" t="n">
        <v>7574</v>
      </c>
      <c r="H265" t="b">
        <v>0</v>
      </c>
      <c r="I265" t="n">
        <v>400</v>
      </c>
      <c r="J265" t="n">
        <v>0.2291</v>
      </c>
      <c r="K265" t="inlineStr">
        <is>
          <t>&gt; Perfumería &gt; Cuidado Capilar &gt; Shampoo &gt;</t>
        </is>
      </c>
      <c r="L265" t="inlineStr">
        <is>
          <t>shampoo</t>
        </is>
      </c>
      <c r="M265" t="inlineStr">
        <is>
          <t>profesional</t>
        </is>
      </c>
      <c r="N265" t="inlineStr">
        <is>
          <t>general</t>
        </is>
      </c>
      <c r="O265" t="inlineStr">
        <is>
          <t>https://www.disco.com.ar/shampoo-elvive-cosmetico-13/p</t>
        </is>
      </c>
    </row>
    <row r="266">
      <c r="A266" s="10" t="inlineStr">
        <is>
          <t>Disco</t>
        </is>
      </c>
      <c r="B266" s="10" t="n">
        <v>67961</v>
      </c>
      <c r="C266" s="10" t="n">
        <v>65099</v>
      </c>
      <c r="D266" s="10" t="inlineStr">
        <is>
          <t>Shampoo Elvive Cosmetico Shampoo Elvive Colorvive X 400 Ml</t>
        </is>
      </c>
      <c r="E266" s="10" t="inlineStr">
        <is>
          <t>ELVIVE</t>
        </is>
      </c>
      <c r="F266" s="10" t="n">
        <v>91.65000000000001</v>
      </c>
      <c r="G266" s="10" t="n">
        <v>7574</v>
      </c>
      <c r="H266" s="10" t="b">
        <v>0</v>
      </c>
      <c r="I266" s="10" t="n">
        <v>400</v>
      </c>
      <c r="J266" s="10" t="n">
        <v>0.2291</v>
      </c>
      <c r="K266" s="10" t="inlineStr">
        <is>
          <t>&gt; Perfumería &gt; Cuidado Capilar &gt; Shampoo &gt;</t>
        </is>
      </c>
      <c r="L266" s="10" t="inlineStr">
        <is>
          <t>shampoo</t>
        </is>
      </c>
      <c r="M266" s="10" t="inlineStr">
        <is>
          <t>profesional</t>
        </is>
      </c>
      <c r="N266" s="10" t="inlineStr">
        <is>
          <t>tratado</t>
        </is>
      </c>
      <c r="O266" s="10" t="inlineStr">
        <is>
          <t>https://www.disco.com.ar/shampoo-elvive-cosmetico-9-2/p</t>
        </is>
      </c>
    </row>
    <row r="267">
      <c r="A267" t="inlineStr">
        <is>
          <t>Disco</t>
        </is>
      </c>
      <c r="B267" t="n">
        <v>67948</v>
      </c>
      <c r="C267" t="n">
        <v>65086</v>
      </c>
      <c r="D267" t="inlineStr">
        <is>
          <t>Shampoo Elvive Cosmetico Shampoo Elvive Citrus X 400 Ml</t>
        </is>
      </c>
      <c r="E267" t="inlineStr">
        <is>
          <t>ELVIVE</t>
        </is>
      </c>
      <c r="F267" t="n">
        <v>61.83</v>
      </c>
      <c r="G267" t="n">
        <v>61.83</v>
      </c>
      <c r="H267" t="b">
        <v>0</v>
      </c>
      <c r="I267" t="n">
        <v>400</v>
      </c>
      <c r="J267" t="n">
        <v>0.1546</v>
      </c>
      <c r="K267" t="inlineStr">
        <is>
          <t>&gt; Perfumería &gt; Cuidado Capilar &gt; Shampoo &gt;</t>
        </is>
      </c>
      <c r="L267" t="inlineStr">
        <is>
          <t>shampoo</t>
        </is>
      </c>
      <c r="M267" t="inlineStr">
        <is>
          <t>profesional</t>
        </is>
      </c>
      <c r="N267" t="inlineStr">
        <is>
          <t>general</t>
        </is>
      </c>
      <c r="O267" t="inlineStr">
        <is>
          <t>https://www.disco.com.ar/shampoo-elvive-cosmetico-12/p</t>
        </is>
      </c>
    </row>
    <row r="268">
      <c r="A268" s="10" t="inlineStr">
        <is>
          <t>Disco</t>
        </is>
      </c>
      <c r="B268" s="10" t="n">
        <v>67351</v>
      </c>
      <c r="C268" s="10" t="n">
        <v>64489</v>
      </c>
      <c r="D268" s="10" t="inlineStr">
        <is>
          <t>Shampoo Plusbelle Evolution</t>
        </is>
      </c>
      <c r="E268" s="10" t="inlineStr">
        <is>
          <t>PLUSBELLE EVOLUTION</t>
        </is>
      </c>
      <c r="F268" s="10" t="n">
        <v>6.15</v>
      </c>
      <c r="G268" s="10" t="n">
        <v>6.15</v>
      </c>
      <c r="H268" s="10" t="b">
        <v>0</v>
      </c>
      <c r="I268" s="10" t="inlineStr"/>
      <c r="J268" s="10" t="inlineStr"/>
      <c r="K268" s="10" t="inlineStr">
        <is>
          <t>&gt; Perfumería &gt; Cuidado Capilar &gt; Shampoo &gt;</t>
        </is>
      </c>
      <c r="L268" s="10" t="inlineStr">
        <is>
          <t>shampoo</t>
        </is>
      </c>
      <c r="M268" s="10" t="inlineStr">
        <is>
          <t>estandar</t>
        </is>
      </c>
      <c r="N268" s="10" t="inlineStr">
        <is>
          <t>general</t>
        </is>
      </c>
      <c r="O268" s="10" t="inlineStr">
        <is>
          <t>https://www.disco.com.ar/shampoo-plusbelle-evolution-2/p</t>
        </is>
      </c>
    </row>
    <row r="269">
      <c r="A269" t="inlineStr">
        <is>
          <t>Disco</t>
        </is>
      </c>
      <c r="B269" t="n">
        <v>53664</v>
      </c>
      <c r="C269" t="n">
        <v>50826</v>
      </c>
      <c r="D269" t="inlineStr">
        <is>
          <t>Shampoo Elvive Cosmetico. Shampoo Elvive Cosmetico Volumen Control  Pvc 750 Ml.</t>
        </is>
      </c>
      <c r="E269" t="inlineStr">
        <is>
          <t>ELVIVE</t>
        </is>
      </c>
      <c r="F269" t="n">
        <v>146.95</v>
      </c>
      <c r="G269" t="n">
        <v>12145</v>
      </c>
      <c r="H269" t="b">
        <v>0</v>
      </c>
      <c r="I269" t="n">
        <v>750</v>
      </c>
      <c r="J269" t="n">
        <v>0.1959</v>
      </c>
      <c r="K269" t="inlineStr">
        <is>
          <t>&gt; Perfumería &gt; Cuidado Capilar &gt; Shampoo &gt;</t>
        </is>
      </c>
      <c r="L269" t="inlineStr">
        <is>
          <t>shampoo</t>
        </is>
      </c>
      <c r="M269" t="inlineStr">
        <is>
          <t>profesional</t>
        </is>
      </c>
      <c r="N269" t="inlineStr">
        <is>
          <t>general</t>
        </is>
      </c>
      <c r="O269" t="inlineStr">
        <is>
          <t>https://www.disco.com.ar/shampoo-elvive-cosmetico-14/p</t>
        </is>
      </c>
    </row>
    <row r="270">
      <c r="A270" s="10" t="inlineStr">
        <is>
          <t>Disco</t>
        </is>
      </c>
      <c r="B270" s="10" t="n">
        <v>38425</v>
      </c>
      <c r="C270" s="10" t="n">
        <v>35582</v>
      </c>
      <c r="D270" s="10" t="inlineStr">
        <is>
          <t>Shampoo Siliconado Autopolish</t>
        </is>
      </c>
      <c r="E270" s="10" t="inlineStr">
        <is>
          <t>AUTOPOLISH</t>
        </is>
      </c>
      <c r="F270" s="10" t="n">
        <v>400.69</v>
      </c>
      <c r="G270" s="10" t="n">
        <v>33115</v>
      </c>
      <c r="H270" s="10" t="b">
        <v>0</v>
      </c>
      <c r="I270" s="10" t="inlineStr"/>
      <c r="J270" s="10" t="inlineStr"/>
      <c r="K270" s="10" t="inlineStr">
        <is>
          <t>&gt; Hogar y textil &gt; Automotor &gt; Limpieza &gt;</t>
        </is>
      </c>
      <c r="L270" s="10" t="inlineStr">
        <is>
          <t>shampoo</t>
        </is>
      </c>
      <c r="M270" s="10" t="inlineStr">
        <is>
          <t>estandar</t>
        </is>
      </c>
      <c r="N270" s="10" t="inlineStr">
        <is>
          <t>general</t>
        </is>
      </c>
      <c r="O270" s="10" t="inlineStr">
        <is>
          <t>https://www.disco.com.ar/shampoo-siliconado-autopolish/p</t>
        </is>
      </c>
    </row>
    <row r="271">
      <c r="A271" t="inlineStr">
        <is>
          <t>Disco</t>
        </is>
      </c>
      <c r="B271" t="n">
        <v>30961</v>
      </c>
      <c r="C271" t="n">
        <v>28120</v>
      </c>
      <c r="D271" t="inlineStr">
        <is>
          <t>Shampoo Johnson Baby Shampoo Para Bebé Johnson's® Cabello Claro X 750 Ml</t>
        </is>
      </c>
      <c r="E271" t="inlineStr">
        <is>
          <t>JOHNSON BABY</t>
        </is>
      </c>
      <c r="F271" t="n">
        <v>492.99</v>
      </c>
      <c r="G271" t="n">
        <v>40743</v>
      </c>
      <c r="H271" t="b">
        <v>0</v>
      </c>
      <c r="I271" t="n">
        <v>750</v>
      </c>
      <c r="J271" t="n">
        <v>0.6573</v>
      </c>
      <c r="K271" t="inlineStr">
        <is>
          <t>&gt; Mundo Bebe &gt; Higiene para el Bebe &gt; Higiene del Bebé &gt;</t>
        </is>
      </c>
      <c r="L271" t="inlineStr">
        <is>
          <t>shampoo</t>
        </is>
      </c>
      <c r="M271" t="inlineStr">
        <is>
          <t>estandar</t>
        </is>
      </c>
      <c r="N271" t="inlineStr">
        <is>
          <t>bebe</t>
        </is>
      </c>
      <c r="O271" t="inlineStr">
        <is>
          <t>https://www.disco.com.ar/shampoo-johnson-baby-13-2/p</t>
        </is>
      </c>
    </row>
    <row r="272">
      <c r="A272" s="10" t="inlineStr">
        <is>
          <t>Disco</t>
        </is>
      </c>
      <c r="B272" s="10" t="n">
        <v>29696</v>
      </c>
      <c r="C272" s="10" t="n">
        <v>26858</v>
      </c>
      <c r="D272" s="10" t="inlineStr">
        <is>
          <t>Shampoo Johnson Baby Shampoo Para Niños Johnson's® Fragancia Prolongada X 200 Ml</t>
        </is>
      </c>
      <c r="E272" s="10" t="inlineStr">
        <is>
          <t>JOHNSON BABY</t>
        </is>
      </c>
      <c r="F272" s="10" t="n">
        <v>248.89</v>
      </c>
      <c r="G272" s="10" t="n">
        <v>20569</v>
      </c>
      <c r="H272" s="10" t="b">
        <v>0</v>
      </c>
      <c r="I272" s="10" t="n">
        <v>200</v>
      </c>
      <c r="J272" s="10" t="n">
        <v>1.2444</v>
      </c>
      <c r="K272" s="10" t="inlineStr">
        <is>
          <t>&gt; Mundo Bebe &gt; Higiene para el Bebe &gt; Higiene del Bebé &gt;</t>
        </is>
      </c>
      <c r="L272" s="10" t="inlineStr">
        <is>
          <t>shampoo</t>
        </is>
      </c>
      <c r="M272" s="10" t="inlineStr">
        <is>
          <t>estandar</t>
        </is>
      </c>
      <c r="N272" s="10" t="inlineStr">
        <is>
          <t>bebe</t>
        </is>
      </c>
      <c r="O272" s="10" t="inlineStr">
        <is>
          <t>https://www.disco.com.ar/shampoo-johnson-baby-12/p</t>
        </is>
      </c>
    </row>
    <row r="273">
      <c r="A273" t="inlineStr">
        <is>
          <t>Disco</t>
        </is>
      </c>
      <c r="B273" t="n">
        <v>3092</v>
      </c>
      <c r="C273" t="n">
        <v>247745</v>
      </c>
      <c r="D273" t="inlineStr">
        <is>
          <t>Shampoo Johnson Baby Shampoo Para Bebé Johnson's® Protección Uv X 200 Ml</t>
        </is>
      </c>
      <c r="E273" t="inlineStr">
        <is>
          <t>JOHNSON BABY</t>
        </is>
      </c>
      <c r="F273" t="n">
        <v>213.39</v>
      </c>
      <c r="G273" t="n">
        <v>17636</v>
      </c>
      <c r="H273" t="b">
        <v>0</v>
      </c>
      <c r="I273" t="n">
        <v>200</v>
      </c>
      <c r="J273" t="n">
        <v>1.0669</v>
      </c>
      <c r="K273" t="inlineStr">
        <is>
          <t>&gt; Mundo Bebe &gt; Higiene para el Bebe &gt; Higiene del Bebé &gt;</t>
        </is>
      </c>
      <c r="L273" t="inlineStr">
        <is>
          <t>shampoo</t>
        </is>
      </c>
      <c r="M273" t="inlineStr">
        <is>
          <t>estandar</t>
        </is>
      </c>
      <c r="N273" t="inlineStr">
        <is>
          <t>bebe</t>
        </is>
      </c>
      <c r="O273" t="inlineStr">
        <is>
          <t>https://www.disco.com.ar/shampoo-johnson-baby-9/p</t>
        </is>
      </c>
    </row>
    <row r="274">
      <c r="A274" s="10" t="inlineStr">
        <is>
          <t>Disco</t>
        </is>
      </c>
      <c r="B274" s="10" t="n">
        <v>179064</v>
      </c>
      <c r="C274" s="10" t="n">
        <v>197032</v>
      </c>
      <c r="D274" s="10" t="inlineStr">
        <is>
          <t>Shampoo Capilatis Ortiga-aloe Shampoo Más Loción Cja 2 Un.</t>
        </is>
      </c>
      <c r="E274" s="10" t="inlineStr">
        <is>
          <t>CAPILATIS</t>
        </is>
      </c>
      <c r="F274" s="10" t="n">
        <v>17.16</v>
      </c>
      <c r="G274" s="10" t="n">
        <v>17.16</v>
      </c>
      <c r="H274" s="10" t="b">
        <v>0</v>
      </c>
      <c r="I274" s="10" t="inlineStr"/>
      <c r="J274" s="10" t="inlineStr"/>
      <c r="K274" s="10" t="inlineStr">
        <is>
          <t>&gt; Perfumería &gt; Cuidado Capilar &gt; Shampoo &gt;</t>
        </is>
      </c>
      <c r="L274" s="10" t="inlineStr">
        <is>
          <t>shampoo</t>
        </is>
      </c>
      <c r="M274" s="10" t="inlineStr">
        <is>
          <t>estandar</t>
        </is>
      </c>
      <c r="N274" s="10" t="inlineStr">
        <is>
          <t>general</t>
        </is>
      </c>
      <c r="O274" s="10" t="inlineStr">
        <is>
          <t>https://www.disco.com.ar/shampoo-capilatis-34-169278/p</t>
        </is>
      </c>
    </row>
    <row r="275">
      <c r="A275" t="inlineStr">
        <is>
          <t>Disco</t>
        </is>
      </c>
      <c r="B275" t="n">
        <v>363112</v>
      </c>
      <c r="C275" t="n">
        <v>361855</v>
      </c>
      <c r="D275" t="inlineStr">
        <is>
          <t>Shampoo Alternativa Natural Pvc 500 Cc</t>
        </is>
      </c>
      <c r="E275" t="inlineStr">
        <is>
          <t>ALTERNATIVA NATURAL</t>
        </is>
      </c>
      <c r="F275" t="n">
        <v>12.89</v>
      </c>
      <c r="G275" t="n">
        <v>1065</v>
      </c>
      <c r="H275" t="b">
        <v>0</v>
      </c>
      <c r="I275" t="inlineStr"/>
      <c r="J275" t="inlineStr"/>
      <c r="K275" t="inlineStr">
        <is>
          <t>&gt; Mascotas &gt; Accesorios para Mascotas &gt;</t>
        </is>
      </c>
      <c r="L275" t="inlineStr">
        <is>
          <t>shampoo</t>
        </is>
      </c>
      <c r="M275" t="inlineStr">
        <is>
          <t>estandar</t>
        </is>
      </c>
      <c r="N275" t="inlineStr">
        <is>
          <t>general</t>
        </is>
      </c>
      <c r="O275" t="inlineStr">
        <is>
          <t>https://www.disco.com.ar/shampoo-alternativa-natural/p</t>
        </is>
      </c>
    </row>
    <row r="276">
      <c r="A276" s="10" t="inlineStr">
        <is>
          <t>Disco</t>
        </is>
      </c>
      <c r="B276" s="10" t="n">
        <v>339227</v>
      </c>
      <c r="C276" s="10" t="n">
        <v>337912</v>
      </c>
      <c r="D276" s="10" t="inlineStr">
        <is>
          <t>Shampoo Botikpuro Romero</t>
        </is>
      </c>
      <c r="E276" s="10" t="inlineStr">
        <is>
          <t>BOTIK PURO</t>
        </is>
      </c>
      <c r="F276" s="10" t="n">
        <v>983.25</v>
      </c>
      <c r="G276" s="10" t="n">
        <v>81260</v>
      </c>
      <c r="H276" s="10" t="b">
        <v>0</v>
      </c>
      <c r="I276" s="10" t="inlineStr"/>
      <c r="J276" s="10" t="inlineStr"/>
      <c r="K276" s="10" t="inlineStr">
        <is>
          <t>&gt; Perfumería &gt; Cuidado Capilar &gt; Shampoo &gt;</t>
        </is>
      </c>
      <c r="L276" s="10" t="inlineStr">
        <is>
          <t>shampoo</t>
        </is>
      </c>
      <c r="M276" s="10" t="inlineStr">
        <is>
          <t>estandar</t>
        </is>
      </c>
      <c r="N276" s="10" t="inlineStr">
        <is>
          <t>general</t>
        </is>
      </c>
      <c r="O276" s="10" t="inlineStr">
        <is>
          <t>https://www.disco.com.ar/shampoo-botikpuro-romero-2/p</t>
        </is>
      </c>
    </row>
    <row r="277">
      <c r="A277" t="inlineStr">
        <is>
          <t>Disco</t>
        </is>
      </c>
      <c r="B277" t="n">
        <v>263644</v>
      </c>
      <c r="C277" t="n">
        <v>263364</v>
      </c>
      <c r="D277" t="inlineStr">
        <is>
          <t>Shampoo Suave Manzanilla</t>
        </is>
      </c>
      <c r="E277" t="inlineStr">
        <is>
          <t>SUAVE</t>
        </is>
      </c>
      <c r="F277" t="n">
        <v>103.84</v>
      </c>
      <c r="G277" t="n">
        <v>8582</v>
      </c>
      <c r="H277" t="b">
        <v>0</v>
      </c>
      <c r="I277" t="inlineStr"/>
      <c r="J277" t="inlineStr"/>
      <c r="K277" t="inlineStr">
        <is>
          <t>&gt; Perfumería &gt; Cuidado Capilar &gt; Shampoo &gt;</t>
        </is>
      </c>
      <c r="L277" t="inlineStr">
        <is>
          <t>shampoo</t>
        </is>
      </c>
      <c r="M277" t="inlineStr">
        <is>
          <t>estandar</t>
        </is>
      </c>
      <c r="N277" t="inlineStr">
        <is>
          <t>bebe</t>
        </is>
      </c>
      <c r="O277" t="inlineStr">
        <is>
          <t>https://www.disco.com.ar/shampoo-suave-manzanilla/p</t>
        </is>
      </c>
    </row>
    <row r="278">
      <c r="A278" s="10" t="inlineStr">
        <is>
          <t>Disco</t>
        </is>
      </c>
      <c r="B278" s="10" t="n">
        <v>191693</v>
      </c>
      <c r="C278" s="10" t="n">
        <v>199825</v>
      </c>
      <c r="D278" s="10" t="inlineStr">
        <is>
          <t>Shampoo Bob Esponja</t>
        </is>
      </c>
      <c r="E278" s="10" t="inlineStr">
        <is>
          <t>BOB ESPONJA</t>
        </is>
      </c>
      <c r="F278" s="10" t="n">
        <v>7.93</v>
      </c>
      <c r="G278" s="10" t="n">
        <v>7.93</v>
      </c>
      <c r="H278" s="10" t="b">
        <v>0</v>
      </c>
      <c r="I278" s="10" t="inlineStr"/>
      <c r="J278" s="10" t="inlineStr"/>
      <c r="K278" s="10" t="inlineStr">
        <is>
          <t>&gt; Mundo Bebe &gt; Higiene para el Bebe &gt;</t>
        </is>
      </c>
      <c r="L278" s="10" t="inlineStr">
        <is>
          <t>shampoo</t>
        </is>
      </c>
      <c r="M278" s="10" t="inlineStr">
        <is>
          <t>estandar</t>
        </is>
      </c>
      <c r="N278" s="10" t="inlineStr">
        <is>
          <t>general</t>
        </is>
      </c>
      <c r="O278" s="10" t="inlineStr">
        <is>
          <t>https://www.disco.com.ar/shampoo-bob-esponja-266988/p</t>
        </is>
      </c>
    </row>
    <row r="279">
      <c r="A279" t="inlineStr">
        <is>
          <t>Disco</t>
        </is>
      </c>
      <c r="B279" t="n">
        <v>182399</v>
      </c>
      <c r="C279" t="n">
        <v>203453</v>
      </c>
      <c r="D279" t="inlineStr">
        <is>
          <t>Shampoo Plusbelle Evolution</t>
        </is>
      </c>
      <c r="E279" t="inlineStr">
        <is>
          <t>PLUSBELLE EVOLUTION</t>
        </is>
      </c>
      <c r="F279" t="n">
        <v>6.15</v>
      </c>
      <c r="G279" t="n">
        <v>6.15</v>
      </c>
      <c r="H279" t="b">
        <v>0</v>
      </c>
      <c r="I279" t="inlineStr"/>
      <c r="J279" t="inlineStr"/>
      <c r="K279" t="inlineStr">
        <is>
          <t>&gt; Perfumería &gt; Cuidado Capilar &gt; Shampoo &gt;</t>
        </is>
      </c>
      <c r="L279" t="inlineStr">
        <is>
          <t>shampoo</t>
        </is>
      </c>
      <c r="M279" t="inlineStr">
        <is>
          <t>estandar</t>
        </is>
      </c>
      <c r="N279" t="inlineStr">
        <is>
          <t>general</t>
        </is>
      </c>
      <c r="O279" t="inlineStr">
        <is>
          <t>https://www.disco.com.ar/shampoo-plusbelle-evolution-5-282048/p</t>
        </is>
      </c>
    </row>
    <row r="280">
      <c r="A280" s="10" t="inlineStr">
        <is>
          <t>Disco</t>
        </is>
      </c>
      <c r="B280" s="10" t="n">
        <v>182383</v>
      </c>
      <c r="C280" s="10" t="n">
        <v>203436</v>
      </c>
      <c r="D280" s="10" t="inlineStr">
        <is>
          <t>Shampoo Plusbelle Evolution</t>
        </is>
      </c>
      <c r="E280" s="10" t="inlineStr">
        <is>
          <t>PLUSBELLE EVOLUTION</t>
        </is>
      </c>
      <c r="F280" s="10" t="n">
        <v>6.15</v>
      </c>
      <c r="G280" s="10" t="n">
        <v>6.15</v>
      </c>
      <c r="H280" s="10" t="b">
        <v>0</v>
      </c>
      <c r="I280" s="10" t="inlineStr"/>
      <c r="J280" s="10" t="inlineStr"/>
      <c r="K280" s="10" t="inlineStr">
        <is>
          <t>&gt; Perfumería &gt; Cuidado Capilar &gt; Shampoo &gt;</t>
        </is>
      </c>
      <c r="L280" s="10" t="inlineStr">
        <is>
          <t>shampoo</t>
        </is>
      </c>
      <c r="M280" s="10" t="inlineStr">
        <is>
          <t>estandar</t>
        </is>
      </c>
      <c r="N280" s="10" t="inlineStr">
        <is>
          <t>general</t>
        </is>
      </c>
      <c r="O280" s="10" t="inlineStr">
        <is>
          <t>https://www.disco.com.ar/shampoo-plusbelle-evolution-3-282043/p</t>
        </is>
      </c>
    </row>
    <row r="281">
      <c r="A281" t="inlineStr">
        <is>
          <t>Disco</t>
        </is>
      </c>
      <c r="B281" t="n">
        <v>134492</v>
      </c>
      <c r="C281" t="n">
        <v>131402</v>
      </c>
      <c r="D281" t="inlineStr">
        <is>
          <t>Shampoo Sedal Sos-+ Aconcidionador X 200ml-reconstruccion Estructural X 350ml.-bli-un.-2</t>
        </is>
      </c>
      <c r="E281" t="inlineStr">
        <is>
          <t>SEDAL SOS</t>
        </is>
      </c>
      <c r="F281" t="n">
        <v>25.47</v>
      </c>
      <c r="G281" t="n">
        <v>2105</v>
      </c>
      <c r="H281" t="b">
        <v>0</v>
      </c>
      <c r="I281" t="n">
        <v>200</v>
      </c>
      <c r="J281" t="n">
        <v>0.1273</v>
      </c>
      <c r="K281" t="inlineStr">
        <is>
          <t>&gt; Perfumería &gt; Cuidado Capilar &gt; Shampoo &gt;</t>
        </is>
      </c>
      <c r="L281" t="inlineStr">
        <is>
          <t>shampoo</t>
        </is>
      </c>
      <c r="M281" t="inlineStr">
        <is>
          <t>estandar</t>
        </is>
      </c>
      <c r="N281" t="inlineStr">
        <is>
          <t>general</t>
        </is>
      </c>
      <c r="O281" t="inlineStr">
        <is>
          <t>https://www.disco.com.ar/shampoo-sedal-sos-13/p</t>
        </is>
      </c>
    </row>
    <row r="282">
      <c r="A282" s="10" t="inlineStr">
        <is>
          <t>Disco</t>
        </is>
      </c>
      <c r="B282" s="10" t="n">
        <v>128499</v>
      </c>
      <c r="C282" s="10" t="n">
        <v>111278</v>
      </c>
      <c r="D282" s="10" t="inlineStr">
        <is>
          <t>Shampoo Anticaspa Clear-+ Deo Dove X 175 Ml-bli-un.-2</t>
        </is>
      </c>
      <c r="E282" s="10" t="inlineStr">
        <is>
          <t>CLEAR</t>
        </is>
      </c>
      <c r="F282" s="10" t="n">
        <v>17.79</v>
      </c>
      <c r="G282" s="10" t="n">
        <v>1470</v>
      </c>
      <c r="H282" s="10" t="b">
        <v>0</v>
      </c>
      <c r="I282" s="10" t="n">
        <v>175</v>
      </c>
      <c r="J282" s="10" t="n">
        <v>0.1017</v>
      </c>
      <c r="K282" s="10" t="inlineStr">
        <is>
          <t>&gt; Perfumería &gt; Cuidado Capilar &gt; Shampoo &gt;</t>
        </is>
      </c>
      <c r="L282" s="10" t="inlineStr">
        <is>
          <t>shampoo</t>
        </is>
      </c>
      <c r="M282" s="10" t="inlineStr">
        <is>
          <t>estandar</t>
        </is>
      </c>
      <c r="N282" s="10" t="inlineStr">
        <is>
          <t>anticaspa</t>
        </is>
      </c>
      <c r="O282" s="10" t="inlineStr">
        <is>
          <t>https://www.disco.com.ar/shampoo-anticaspa-clear-2/p</t>
        </is>
      </c>
    </row>
    <row r="283">
      <c r="A283" t="inlineStr">
        <is>
          <t>Disco</t>
        </is>
      </c>
      <c r="B283" t="n">
        <v>127217</v>
      </c>
      <c r="C283" t="n">
        <v>110006</v>
      </c>
      <c r="D283" t="inlineStr">
        <is>
          <t>Shampoo Elvive Cosmetico</t>
        </is>
      </c>
      <c r="E283" t="inlineStr">
        <is>
          <t>ELVIVE</t>
        </is>
      </c>
      <c r="F283" t="n">
        <v>16.67</v>
      </c>
      <c r="G283" t="n">
        <v>16.67</v>
      </c>
      <c r="H283" t="b">
        <v>0</v>
      </c>
      <c r="I283" t="inlineStr"/>
      <c r="J283" t="inlineStr"/>
      <c r="K283" t="inlineStr">
        <is>
          <t>&gt; Perfumería &gt; Cuidado Capilar &gt; Shampoo &gt;</t>
        </is>
      </c>
      <c r="L283" t="inlineStr">
        <is>
          <t>shampoo</t>
        </is>
      </c>
      <c r="M283" t="inlineStr">
        <is>
          <t>profesional</t>
        </is>
      </c>
      <c r="N283" t="inlineStr">
        <is>
          <t>general</t>
        </is>
      </c>
      <c r="O283" t="inlineStr">
        <is>
          <t>https://www.disco.com.ar/shampoo-elvive-cosmetico-95/p</t>
        </is>
      </c>
    </row>
    <row r="284">
      <c r="A284" s="10" t="inlineStr">
        <is>
          <t>Disco</t>
        </is>
      </c>
      <c r="B284" s="10" t="n">
        <v>114810</v>
      </c>
      <c r="C284" s="10" t="n">
        <v>113858</v>
      </c>
      <c r="D284" s="10" t="inlineStr">
        <is>
          <t>Shampoo Plusbelle Familiar</t>
        </is>
      </c>
      <c r="E284" s="10" t="inlineStr">
        <is>
          <t>PLUSBELLE</t>
        </is>
      </c>
      <c r="F284" s="10" t="n">
        <v>6.05</v>
      </c>
      <c r="G284" s="10" t="n">
        <v>6.05</v>
      </c>
      <c r="H284" s="10" t="b">
        <v>0</v>
      </c>
      <c r="I284" s="10" t="inlineStr"/>
      <c r="J284" s="10" t="inlineStr"/>
      <c r="K284" s="10" t="inlineStr">
        <is>
          <t>&gt; Perfumería &gt; Cuidado Capilar &gt; Shampoo &gt;</t>
        </is>
      </c>
      <c r="L284" s="10" t="inlineStr">
        <is>
          <t>shampoo</t>
        </is>
      </c>
      <c r="M284" s="10" t="inlineStr">
        <is>
          <t>estandar</t>
        </is>
      </c>
      <c r="N284" s="10" t="inlineStr">
        <is>
          <t>general</t>
        </is>
      </c>
      <c r="O284" s="10" t="inlineStr">
        <is>
          <t>https://www.disco.com.ar/shampoo-plusbelle-familiar-14/p</t>
        </is>
      </c>
    </row>
    <row r="285">
      <c r="A285" t="inlineStr">
        <is>
          <t>Disco</t>
        </is>
      </c>
      <c r="B285" t="n">
        <v>107163</v>
      </c>
      <c r="C285" t="n">
        <v>104430</v>
      </c>
      <c r="D285" t="inlineStr">
        <is>
          <t>Shampoo Sedal Sos Reparación + Crema Tratamiento Reparación</t>
        </is>
      </c>
      <c r="E285" t="inlineStr">
        <is>
          <t>SEDAL SOS</t>
        </is>
      </c>
      <c r="F285" t="n">
        <v>12.39</v>
      </c>
      <c r="G285" t="n">
        <v>12.39</v>
      </c>
      <c r="H285" t="b">
        <v>0</v>
      </c>
      <c r="I285" t="inlineStr"/>
      <c r="J285" t="inlineStr"/>
      <c r="K285" t="inlineStr">
        <is>
          <t>&gt; Perfumería &gt; Cuidado Capilar &gt; Shampoo &gt;</t>
        </is>
      </c>
      <c r="L285" t="inlineStr">
        <is>
          <t>tratamiento</t>
        </is>
      </c>
      <c r="M285" t="inlineStr">
        <is>
          <t>estandar</t>
        </is>
      </c>
      <c r="N285" t="inlineStr">
        <is>
          <t>general</t>
        </is>
      </c>
      <c r="O285" t="inlineStr">
        <is>
          <t>https://www.disco.com.ar/shampoo-sedal-sos-9/p</t>
        </is>
      </c>
    </row>
    <row r="286">
      <c r="A286" s="10" t="inlineStr">
        <is>
          <t>Disco</t>
        </is>
      </c>
      <c r="B286" s="10" t="n">
        <v>102116</v>
      </c>
      <c r="C286" s="10" t="n">
        <v>99421</v>
      </c>
      <c r="D286" s="10" t="inlineStr">
        <is>
          <t>Shampoo Elvive  Cosmetico</t>
        </is>
      </c>
      <c r="E286" s="10" t="inlineStr">
        <is>
          <t>ELVIVE</t>
        </is>
      </c>
      <c r="F286" s="10" t="n">
        <v>12.65</v>
      </c>
      <c r="G286" s="10" t="n">
        <v>12.65</v>
      </c>
      <c r="H286" s="10" t="b">
        <v>0</v>
      </c>
      <c r="I286" s="10" t="inlineStr"/>
      <c r="J286" s="10" t="inlineStr"/>
      <c r="K286" s="10" t="inlineStr">
        <is>
          <t>&gt; Perfumería &gt; Cuidado Capilar &gt; Shampoo &gt;</t>
        </is>
      </c>
      <c r="L286" s="10" t="inlineStr">
        <is>
          <t>shampoo</t>
        </is>
      </c>
      <c r="M286" s="10" t="inlineStr">
        <is>
          <t>profesional</t>
        </is>
      </c>
      <c r="N286" s="10" t="inlineStr">
        <is>
          <t>general</t>
        </is>
      </c>
      <c r="O286" s="10" t="inlineStr">
        <is>
          <t>https://www.disco.com.ar/shampoo-elvive-cosmetico-29/p</t>
        </is>
      </c>
    </row>
    <row r="287">
      <c r="A287" t="inlineStr">
        <is>
          <t>Disco</t>
        </is>
      </c>
      <c r="B287" t="n">
        <v>72518</v>
      </c>
      <c r="C287" t="n">
        <v>69654</v>
      </c>
      <c r="D287" t="inlineStr">
        <is>
          <t>Shampoo Plusbelle Familiar Creme Hidro Pro Pvc 1 Lt.</t>
        </is>
      </c>
      <c r="E287" t="inlineStr">
        <is>
          <t>PLUSBELLE</t>
        </is>
      </c>
      <c r="F287" t="n">
        <v>16.23</v>
      </c>
      <c r="G287" t="n">
        <v>1341</v>
      </c>
      <c r="H287" t="b">
        <v>0</v>
      </c>
      <c r="I287" t="inlineStr"/>
      <c r="J287" t="inlineStr"/>
      <c r="K287" t="inlineStr">
        <is>
          <t>&gt; Perfumería &gt; Cuidado Capilar &gt; Shampoo &gt;</t>
        </is>
      </c>
      <c r="L287" t="inlineStr">
        <is>
          <t>shampoo</t>
        </is>
      </c>
      <c r="M287" t="inlineStr">
        <is>
          <t>estandar</t>
        </is>
      </c>
      <c r="N287" t="inlineStr">
        <is>
          <t>general</t>
        </is>
      </c>
      <c r="O287" t="inlineStr">
        <is>
          <t>https://www.disco.com.ar/shampoo-plusbelle-familiar/p</t>
        </is>
      </c>
    </row>
    <row r="288">
      <c r="A288" s="10" t="inlineStr">
        <is>
          <t>Disco</t>
        </is>
      </c>
      <c r="B288" s="10" t="n">
        <v>72516</v>
      </c>
      <c r="C288" s="10" t="n">
        <v>69652</v>
      </c>
      <c r="D288" s="10" t="inlineStr">
        <is>
          <t>Shampoo Plusbelle Familiar</t>
        </is>
      </c>
      <c r="E288" s="10" t="inlineStr">
        <is>
          <t>PLUSBELLE</t>
        </is>
      </c>
      <c r="F288" s="10" t="n">
        <v>10.13</v>
      </c>
      <c r="G288" s="10" t="n">
        <v>10.13</v>
      </c>
      <c r="H288" s="10" t="b">
        <v>0</v>
      </c>
      <c r="I288" s="10" t="inlineStr"/>
      <c r="J288" s="10" t="inlineStr"/>
      <c r="K288" s="10" t="inlineStr">
        <is>
          <t>&gt; Perfumería &gt; Cuidado Capilar &gt; Shampoo &gt;</t>
        </is>
      </c>
      <c r="L288" s="10" t="inlineStr">
        <is>
          <t>shampoo</t>
        </is>
      </c>
      <c r="M288" s="10" t="inlineStr">
        <is>
          <t>estandar</t>
        </is>
      </c>
      <c r="N288" s="10" t="inlineStr">
        <is>
          <t>general</t>
        </is>
      </c>
      <c r="O288" s="10" t="inlineStr">
        <is>
          <t>https://www.disco.com.ar/shampoo-plusbelle-familiar-2/p</t>
        </is>
      </c>
    </row>
    <row r="289">
      <c r="A289" t="inlineStr">
        <is>
          <t>Disco</t>
        </is>
      </c>
      <c r="B289" t="n">
        <v>68653</v>
      </c>
      <c r="C289" t="n">
        <v>65791</v>
      </c>
      <c r="D289" t="inlineStr">
        <is>
          <t>Shampoo Elvive Cosmetico</t>
        </is>
      </c>
      <c r="E289" t="inlineStr">
        <is>
          <t>ELVIVE</t>
        </is>
      </c>
      <c r="F289" t="n">
        <v>7.97</v>
      </c>
      <c r="G289" t="n">
        <v>7.97</v>
      </c>
      <c r="H289" t="b">
        <v>0</v>
      </c>
      <c r="I289" t="inlineStr"/>
      <c r="J289" t="inlineStr"/>
      <c r="K289" t="inlineStr">
        <is>
          <t>&gt; Perfumería &gt; Cuidado Capilar &gt; Shampoo &gt;</t>
        </is>
      </c>
      <c r="L289" t="inlineStr">
        <is>
          <t>shampoo</t>
        </is>
      </c>
      <c r="M289" t="inlineStr">
        <is>
          <t>profesional</t>
        </is>
      </c>
      <c r="N289" t="inlineStr">
        <is>
          <t>general</t>
        </is>
      </c>
      <c r="O289" t="inlineStr">
        <is>
          <t>https://www.disco.com.ar/shampoo-elvive-cosmetico-2/p</t>
        </is>
      </c>
    </row>
    <row r="290">
      <c r="A290" s="10" t="inlineStr">
        <is>
          <t>Disco</t>
        </is>
      </c>
      <c r="B290" s="10" t="n">
        <v>67967</v>
      </c>
      <c r="C290" s="10" t="n">
        <v>65105</v>
      </c>
      <c r="D290" s="10" t="inlineStr">
        <is>
          <t>Shampoo Elvive Cosmetico Shampoo Elvive Nutri Gloss X 400 Ml</t>
        </is>
      </c>
      <c r="E290" s="10" t="inlineStr">
        <is>
          <t>ELVIVE</t>
        </is>
      </c>
      <c r="F290" s="10" t="n">
        <v>91.65000000000001</v>
      </c>
      <c r="G290" s="10" t="n">
        <v>7574</v>
      </c>
      <c r="H290" s="10" t="b">
        <v>0</v>
      </c>
      <c r="I290" s="10" t="n">
        <v>400</v>
      </c>
      <c r="J290" s="10" t="n">
        <v>0.2291</v>
      </c>
      <c r="K290" s="10" t="inlineStr">
        <is>
          <t>&gt; Perfumería &gt; Cuidado Capilar &gt; Shampoo &gt;</t>
        </is>
      </c>
      <c r="L290" s="10" t="inlineStr">
        <is>
          <t>shampoo</t>
        </is>
      </c>
      <c r="M290" s="10" t="inlineStr">
        <is>
          <t>profesional</t>
        </is>
      </c>
      <c r="N290" s="10" t="inlineStr">
        <is>
          <t>general</t>
        </is>
      </c>
      <c r="O290" s="10" t="inlineStr">
        <is>
          <t>https://www.disco.com.ar/shampoo-elvive-cosmetico-10-2/p</t>
        </is>
      </c>
    </row>
    <row r="291">
      <c r="A291" t="inlineStr">
        <is>
          <t>Disco</t>
        </is>
      </c>
      <c r="B291" t="n">
        <v>67934</v>
      </c>
      <c r="C291" t="n">
        <v>65072</v>
      </c>
      <c r="D291" t="inlineStr">
        <is>
          <t>Shampoo Elvive Cosmetico Shampoo Elvive Anti Quiebre X 400 Ml</t>
        </is>
      </c>
      <c r="E291" t="inlineStr">
        <is>
          <t>ELVIVE</t>
        </is>
      </c>
      <c r="F291" t="n">
        <v>16.52</v>
      </c>
      <c r="G291" t="n">
        <v>16.52</v>
      </c>
      <c r="H291" t="b">
        <v>0</v>
      </c>
      <c r="I291" t="n">
        <v>400</v>
      </c>
      <c r="J291" t="n">
        <v>0.0413</v>
      </c>
      <c r="K291" t="inlineStr">
        <is>
          <t>&gt; Perfumería &gt; Cuidado Capilar &gt; Shampoo &gt;</t>
        </is>
      </c>
      <c r="L291" t="inlineStr">
        <is>
          <t>shampoo</t>
        </is>
      </c>
      <c r="M291" t="inlineStr">
        <is>
          <t>profesional</t>
        </is>
      </c>
      <c r="N291" t="inlineStr">
        <is>
          <t>general</t>
        </is>
      </c>
      <c r="O291" t="inlineStr">
        <is>
          <t>https://www.disco.com.ar/shampoo-elvive-cosmetico-10/p</t>
        </is>
      </c>
    </row>
    <row r="292">
      <c r="A292" s="10" t="inlineStr">
        <is>
          <t>Disco</t>
        </is>
      </c>
      <c r="B292" s="10" t="n">
        <v>64005</v>
      </c>
      <c r="C292" s="10" t="n">
        <v>61153</v>
      </c>
      <c r="D292" s="10" t="inlineStr">
        <is>
          <t>Shampoo Elvive Set</t>
        </is>
      </c>
      <c r="E292" s="10" t="inlineStr">
        <is>
          <t>ELVIVE</t>
        </is>
      </c>
      <c r="F292" s="10" t="n">
        <v>18.79</v>
      </c>
      <c r="G292" s="10" t="n">
        <v>18.79</v>
      </c>
      <c r="H292" s="10" t="b">
        <v>0</v>
      </c>
      <c r="I292" s="10" t="inlineStr"/>
      <c r="J292" s="10" t="inlineStr"/>
      <c r="K292" s="10" t="inlineStr">
        <is>
          <t>&gt; Perfumería &gt; Cuidado Capilar &gt; Shampoo &gt;</t>
        </is>
      </c>
      <c r="L292" s="10" t="inlineStr">
        <is>
          <t>shampoo</t>
        </is>
      </c>
      <c r="M292" s="10" t="inlineStr">
        <is>
          <t>profesional</t>
        </is>
      </c>
      <c r="N292" s="10" t="inlineStr">
        <is>
          <t>general</t>
        </is>
      </c>
      <c r="O292" s="10" t="inlineStr">
        <is>
          <t>https://www.disco.com.ar/shampoo-elvive-set-6/p</t>
        </is>
      </c>
    </row>
    <row r="293">
      <c r="A293" t="inlineStr">
        <is>
          <t>Disco</t>
        </is>
      </c>
      <c r="B293" t="n">
        <v>29621</v>
      </c>
      <c r="C293" t="n">
        <v>26783</v>
      </c>
      <c r="D293" t="inlineStr">
        <is>
          <t>Shampoo Herbal Essences Hidradisíaco 300 Ml</t>
        </is>
      </c>
      <c r="E293" t="inlineStr">
        <is>
          <t>HERBAL ESSENCES</t>
        </is>
      </c>
      <c r="F293" t="n">
        <v>162.43</v>
      </c>
      <c r="G293" t="n">
        <v>13424</v>
      </c>
      <c r="H293" t="b">
        <v>0</v>
      </c>
      <c r="I293" t="n">
        <v>300</v>
      </c>
      <c r="J293" t="n">
        <v>0.5414</v>
      </c>
      <c r="K293" t="inlineStr">
        <is>
          <t>&gt; Perfumería &gt; Cuidado Capilar &gt; Shampoo &gt;</t>
        </is>
      </c>
      <c r="L293" t="inlineStr">
        <is>
          <t>shampoo</t>
        </is>
      </c>
      <c r="M293" t="inlineStr">
        <is>
          <t>estandar</t>
        </is>
      </c>
      <c r="N293" t="inlineStr">
        <is>
          <t>general</t>
        </is>
      </c>
      <c r="O293" t="inlineStr">
        <is>
          <t>https://www.disco.com.ar/shampoo-herbal-essences-7/p</t>
        </is>
      </c>
    </row>
    <row r="294">
      <c r="A294" s="10" t="inlineStr">
        <is>
          <t>Disco</t>
        </is>
      </c>
      <c r="B294" s="10" t="n">
        <v>297871</v>
      </c>
      <c r="C294" s="10" t="n">
        <v>297101</v>
      </c>
      <c r="D294" s="10" t="inlineStr">
        <is>
          <t>Minions Shampoo 200ml</t>
        </is>
      </c>
      <c r="E294" s="10" t="inlineStr">
        <is>
          <t>ALGABO</t>
        </is>
      </c>
      <c r="F294" s="10" t="n">
        <v>133.52</v>
      </c>
      <c r="G294" s="10" t="n">
        <v>133.52</v>
      </c>
      <c r="H294" s="10" t="b">
        <v>0</v>
      </c>
      <c r="I294" s="10" t="n">
        <v>200</v>
      </c>
      <c r="J294" s="10" t="n">
        <v>0.6676</v>
      </c>
      <c r="K294" s="10" t="inlineStr">
        <is>
          <t>&gt; Mundo Bebe &gt; Higiene para el Bebe &gt; Higiene del Bebé &gt;</t>
        </is>
      </c>
      <c r="L294" s="10" t="inlineStr">
        <is>
          <t>shampoo</t>
        </is>
      </c>
      <c r="M294" s="10" t="inlineStr">
        <is>
          <t>estandar</t>
        </is>
      </c>
      <c r="N294" s="10" t="inlineStr">
        <is>
          <t>general</t>
        </is>
      </c>
      <c r="O294" s="10" t="inlineStr">
        <is>
          <t>https://www.disco.com.ar/minions-shampoo-200ml/p</t>
        </is>
      </c>
    </row>
    <row r="295">
      <c r="A295" t="inlineStr">
        <is>
          <t>Disco</t>
        </is>
      </c>
      <c r="B295" t="n">
        <v>297863</v>
      </c>
      <c r="C295" t="n">
        <v>297093</v>
      </c>
      <c r="D295" t="inlineStr">
        <is>
          <t>Frozen Shampoo 200ml</t>
        </is>
      </c>
      <c r="E295" t="inlineStr">
        <is>
          <t>ALGABO</t>
        </is>
      </c>
      <c r="F295" t="n">
        <v>129</v>
      </c>
      <c r="G295" t="n">
        <v>129</v>
      </c>
      <c r="H295" t="b">
        <v>0</v>
      </c>
      <c r="I295" t="n">
        <v>200</v>
      </c>
      <c r="J295" t="n">
        <v>0.645</v>
      </c>
      <c r="K295" t="inlineStr">
        <is>
          <t>&gt; Mundo Bebe &gt; Higiene para el Bebe &gt; Higiene del Bebé &gt;</t>
        </is>
      </c>
      <c r="L295" t="inlineStr">
        <is>
          <t>shampoo</t>
        </is>
      </c>
      <c r="M295" t="inlineStr">
        <is>
          <t>estandar</t>
        </is>
      </c>
      <c r="N295" t="inlineStr">
        <is>
          <t>general</t>
        </is>
      </c>
      <c r="O295" t="inlineStr">
        <is>
          <t>https://www.disco.com.ar/frozen-shampoo-200ml/p</t>
        </is>
      </c>
    </row>
    <row r="296">
      <c r="A296" s="10" t="inlineStr">
        <is>
          <t>Disco</t>
        </is>
      </c>
      <c r="B296" s="10" t="n">
        <v>232064</v>
      </c>
      <c r="C296" s="10" t="n">
        <v>207383</v>
      </c>
      <c r="D296" s="10" t="inlineStr">
        <is>
          <t>Shampoo Plusbelle Familiar</t>
        </is>
      </c>
      <c r="E296" s="10" t="inlineStr">
        <is>
          <t>PLUSBELLE</t>
        </is>
      </c>
      <c r="F296" s="10" t="n">
        <v>5.09</v>
      </c>
      <c r="G296" s="10" t="n">
        <v>5.09</v>
      </c>
      <c r="H296" s="10" t="b">
        <v>0</v>
      </c>
      <c r="I296" s="10" t="inlineStr"/>
      <c r="J296" s="10" t="inlineStr"/>
      <c r="K296" s="10" t="inlineStr">
        <is>
          <t>&gt; Perfumería &gt; Cuidado Capilar &gt; Shampoo &gt;</t>
        </is>
      </c>
      <c r="L296" s="10" t="inlineStr">
        <is>
          <t>shampoo</t>
        </is>
      </c>
      <c r="M296" s="10" t="inlineStr">
        <is>
          <t>estandar</t>
        </is>
      </c>
      <c r="N296" s="10" t="inlineStr">
        <is>
          <t>general</t>
        </is>
      </c>
      <c r="O296" s="10" t="inlineStr">
        <is>
          <t>https://www.disco.com.ar/shampoo-plusbelle-familiar-21/p</t>
        </is>
      </c>
    </row>
    <row r="297">
      <c r="A297" t="inlineStr">
        <is>
          <t>Disco</t>
        </is>
      </c>
      <c r="B297" t="n">
        <v>182413</v>
      </c>
      <c r="C297" t="n">
        <v>203472</v>
      </c>
      <c r="D297" t="inlineStr">
        <is>
          <t>Shampoo Plusbelle Evolution</t>
        </is>
      </c>
      <c r="E297" t="inlineStr">
        <is>
          <t>PLUSBELLE EVOLUTION</t>
        </is>
      </c>
      <c r="F297" t="n">
        <v>6.15</v>
      </c>
      <c r="G297" t="n">
        <v>6.15</v>
      </c>
      <c r="H297" t="b">
        <v>0</v>
      </c>
      <c r="I297" t="inlineStr"/>
      <c r="J297" t="inlineStr"/>
      <c r="K297" t="inlineStr">
        <is>
          <t>&gt; Perfumería &gt; Cuidado Capilar &gt; Shampoo &gt;</t>
        </is>
      </c>
      <c r="L297" t="inlineStr">
        <is>
          <t>shampoo</t>
        </is>
      </c>
      <c r="M297" t="inlineStr">
        <is>
          <t>estandar</t>
        </is>
      </c>
      <c r="N297" t="inlineStr">
        <is>
          <t>general</t>
        </is>
      </c>
      <c r="O297" t="inlineStr">
        <is>
          <t>https://www.disco.com.ar/shampoo-plusbelle-evolution-7-282050/p</t>
        </is>
      </c>
    </row>
    <row r="298">
      <c r="A298" s="10" t="inlineStr">
        <is>
          <t>Disco</t>
        </is>
      </c>
      <c r="B298" s="10" t="n">
        <v>182400</v>
      </c>
      <c r="C298" s="10" t="n">
        <v>203454</v>
      </c>
      <c r="D298" s="10" t="inlineStr">
        <is>
          <t>Shampoo Plusbelle Evolution</t>
        </is>
      </c>
      <c r="E298" s="10" t="inlineStr">
        <is>
          <t>PLUSBELLE EVOLUTION</t>
        </is>
      </c>
      <c r="F298" s="10" t="n">
        <v>6.15</v>
      </c>
      <c r="G298" s="10" t="n">
        <v>6.15</v>
      </c>
      <c r="H298" s="10" t="b">
        <v>0</v>
      </c>
      <c r="I298" s="10" t="inlineStr"/>
      <c r="J298" s="10" t="inlineStr"/>
      <c r="K298" s="10" t="inlineStr">
        <is>
          <t>&gt; Perfumería &gt; Cuidado Capilar &gt; Shampoo &gt;</t>
        </is>
      </c>
      <c r="L298" s="10" t="inlineStr">
        <is>
          <t>shampoo</t>
        </is>
      </c>
      <c r="M298" s="10" t="inlineStr">
        <is>
          <t>estandar</t>
        </is>
      </c>
      <c r="N298" s="10" t="inlineStr">
        <is>
          <t>general</t>
        </is>
      </c>
      <c r="O298" s="10" t="inlineStr">
        <is>
          <t>https://www.disco.com.ar/shampoo-plusbelle-evolution-6-282049/p</t>
        </is>
      </c>
    </row>
    <row r="299">
      <c r="A299" t="inlineStr">
        <is>
          <t>Disco</t>
        </is>
      </c>
      <c r="B299" t="n">
        <v>134500</v>
      </c>
      <c r="C299" t="n">
        <v>131412</v>
      </c>
      <c r="D299" t="inlineStr">
        <is>
          <t>Shampoo Sedal Sos-+ Acondicionador Sedal X 200 Ml-clima Resist-bli-un.-2</t>
        </is>
      </c>
      <c r="E299" t="inlineStr">
        <is>
          <t>SEDAL SOS</t>
        </is>
      </c>
      <c r="F299" t="n">
        <v>20.99</v>
      </c>
      <c r="G299" t="n">
        <v>1735</v>
      </c>
      <c r="H299" t="b">
        <v>0</v>
      </c>
      <c r="I299" t="n">
        <v>200</v>
      </c>
      <c r="J299" t="n">
        <v>0.1049</v>
      </c>
      <c r="K299" t="inlineStr">
        <is>
          <t>&gt; Perfumería &gt; Cuidado Capilar &gt; Shampoo &gt;</t>
        </is>
      </c>
      <c r="L299" t="inlineStr">
        <is>
          <t>acondicionador</t>
        </is>
      </c>
      <c r="M299" t="inlineStr">
        <is>
          <t>estandar</t>
        </is>
      </c>
      <c r="N299" t="inlineStr">
        <is>
          <t>general</t>
        </is>
      </c>
      <c r="O299" t="inlineStr">
        <is>
          <t>https://www.disco.com.ar/shampoo-sedal-sos-12/p</t>
        </is>
      </c>
    </row>
    <row r="300">
      <c r="A300" s="10" t="inlineStr">
        <is>
          <t>Disco</t>
        </is>
      </c>
      <c r="B300" s="10" t="n">
        <v>127969</v>
      </c>
      <c r="C300" s="10" t="n">
        <v>110748</v>
      </c>
      <c r="D300" s="10" t="inlineStr">
        <is>
          <t>Shampoo Anticaspa Clear-+ Deo Dove X 175 Ml-brillo-bli-un.-2</t>
        </is>
      </c>
      <c r="E300" s="10" t="inlineStr">
        <is>
          <t>CLEAR</t>
        </is>
      </c>
      <c r="F300" s="10" t="n">
        <v>19.83</v>
      </c>
      <c r="G300" s="10" t="n">
        <v>1639</v>
      </c>
      <c r="H300" s="10" t="b">
        <v>0</v>
      </c>
      <c r="I300" s="10" t="n">
        <v>175</v>
      </c>
      <c r="J300" s="10" t="n">
        <v>0.1133</v>
      </c>
      <c r="K300" s="10" t="inlineStr">
        <is>
          <t>&gt; Perfumería &gt; Cuidado Capilar &gt; Shampoo &gt;</t>
        </is>
      </c>
      <c r="L300" s="10" t="inlineStr">
        <is>
          <t>shampoo</t>
        </is>
      </c>
      <c r="M300" s="10" t="inlineStr">
        <is>
          <t>estandar</t>
        </is>
      </c>
      <c r="N300" s="10" t="inlineStr">
        <is>
          <t>anticaspa</t>
        </is>
      </c>
      <c r="O300" s="10" t="inlineStr">
        <is>
          <t>https://www.disco.com.ar/shampoo-anticaspa-clear/p</t>
        </is>
      </c>
    </row>
    <row r="301">
      <c r="A301" t="inlineStr">
        <is>
          <t>Disco</t>
        </is>
      </c>
      <c r="B301" t="n">
        <v>127334</v>
      </c>
      <c r="C301" t="n">
        <v>110123</v>
      </c>
      <c r="D301" t="inlineStr">
        <is>
          <t>Shampoo Elvive Cosmetico</t>
        </is>
      </c>
      <c r="E301" t="inlineStr">
        <is>
          <t>ELVIVE</t>
        </is>
      </c>
      <c r="F301" t="n">
        <v>13.57</v>
      </c>
      <c r="G301" t="n">
        <v>13.57</v>
      </c>
      <c r="H301" t="b">
        <v>0</v>
      </c>
      <c r="I301" t="inlineStr"/>
      <c r="J301" t="inlineStr"/>
      <c r="K301" t="inlineStr">
        <is>
          <t>&gt; Perfumería &gt; Cuidado Capilar &gt; Shampoo &gt;</t>
        </is>
      </c>
      <c r="L301" t="inlineStr">
        <is>
          <t>shampoo</t>
        </is>
      </c>
      <c r="M301" t="inlineStr">
        <is>
          <t>profesional</t>
        </is>
      </c>
      <c r="N301" t="inlineStr">
        <is>
          <t>general</t>
        </is>
      </c>
      <c r="O301" t="inlineStr">
        <is>
          <t>https://www.disco.com.ar/shampoo-elvive-cosmetico-96/p</t>
        </is>
      </c>
    </row>
    <row r="302">
      <c r="A302" s="10" t="inlineStr">
        <is>
          <t>Disco</t>
        </is>
      </c>
      <c r="B302" s="10" t="n">
        <v>116087</v>
      </c>
      <c r="C302" s="10" t="n">
        <v>115131</v>
      </c>
      <c r="D302" s="10" t="inlineStr">
        <is>
          <t>Shampoo Anticaspa Triatop Shampoo Triatop Tratamiento Intensivo X 240 Ml</t>
        </is>
      </c>
      <c r="E302" s="10" t="inlineStr">
        <is>
          <t>TRIATOP</t>
        </is>
      </c>
      <c r="F302" s="10" t="n">
        <v>23.07</v>
      </c>
      <c r="G302" s="10" t="n">
        <v>23.07</v>
      </c>
      <c r="H302" s="10" t="b">
        <v>0</v>
      </c>
      <c r="I302" s="10" t="n">
        <v>240</v>
      </c>
      <c r="J302" s="10" t="n">
        <v>0.0961</v>
      </c>
      <c r="K302" s="10" t="inlineStr">
        <is>
          <t>&gt; Perfumería &gt; Cuidado Capilar &gt; Shampoo &gt;</t>
        </is>
      </c>
      <c r="L302" s="10" t="inlineStr">
        <is>
          <t>tratamiento</t>
        </is>
      </c>
      <c r="M302" s="10" t="inlineStr">
        <is>
          <t>estandar</t>
        </is>
      </c>
      <c r="N302" s="10" t="inlineStr">
        <is>
          <t>anticaspa</t>
        </is>
      </c>
      <c r="O302" s="10" t="inlineStr">
        <is>
          <t>https://www.disco.com.ar/shampoo-anticaspa-triatop-2/p</t>
        </is>
      </c>
    </row>
    <row r="303">
      <c r="A303" t="inlineStr">
        <is>
          <t>Disco</t>
        </is>
      </c>
      <c r="B303" t="n">
        <v>72606</v>
      </c>
      <c r="C303" t="n">
        <v>69741</v>
      </c>
      <c r="D303" t="inlineStr">
        <is>
          <t>Shampoo Plusbelle Familiar</t>
        </is>
      </c>
      <c r="E303" t="inlineStr">
        <is>
          <t>PLUSBELLE</t>
        </is>
      </c>
      <c r="F303" t="n">
        <v>10.13</v>
      </c>
      <c r="G303" t="n">
        <v>10.13</v>
      </c>
      <c r="H303" t="b">
        <v>0</v>
      </c>
      <c r="I303" t="inlineStr"/>
      <c r="J303" t="inlineStr"/>
      <c r="K303" t="inlineStr">
        <is>
          <t>&gt; Perfumería &gt; Cuidado Capilar &gt; Shampoo &gt;</t>
        </is>
      </c>
      <c r="L303" t="inlineStr">
        <is>
          <t>shampoo</t>
        </is>
      </c>
      <c r="M303" t="inlineStr">
        <is>
          <t>estandar</t>
        </is>
      </c>
      <c r="N303" t="inlineStr">
        <is>
          <t>general</t>
        </is>
      </c>
      <c r="O303" t="inlineStr">
        <is>
          <t>https://www.disco.com.ar/shampoo-plusbelle-familiar-7/p</t>
        </is>
      </c>
    </row>
    <row r="304">
      <c r="A304" s="10" t="inlineStr">
        <is>
          <t>Disco</t>
        </is>
      </c>
      <c r="B304" s="10" t="n">
        <v>72523</v>
      </c>
      <c r="C304" s="10" t="n">
        <v>69659</v>
      </c>
      <c r="D304" s="10" t="inlineStr">
        <is>
          <t>Shampoo Plusbelle Familiar Extra  Brillo  Pvc 1 Lt</t>
        </is>
      </c>
      <c r="E304" s="10" t="inlineStr">
        <is>
          <t>PLUSBELLE</t>
        </is>
      </c>
      <c r="F304" s="10" t="n">
        <v>11.59</v>
      </c>
      <c r="G304" s="10" t="n">
        <v>11.59</v>
      </c>
      <c r="H304" s="10" t="b">
        <v>0</v>
      </c>
      <c r="I304" s="10" t="inlineStr"/>
      <c r="J304" s="10" t="inlineStr"/>
      <c r="K304" s="10" t="inlineStr">
        <is>
          <t>&gt; Perfumería &gt; Cuidado Capilar &gt; Shampoo &gt;</t>
        </is>
      </c>
      <c r="L304" s="10" t="inlineStr">
        <is>
          <t>shampoo</t>
        </is>
      </c>
      <c r="M304" s="10" t="inlineStr">
        <is>
          <t>estandar</t>
        </is>
      </c>
      <c r="N304" s="10" t="inlineStr">
        <is>
          <t>general</t>
        </is>
      </c>
      <c r="O304" s="10" t="inlineStr">
        <is>
          <t>https://www.disco.com.ar/shampoo-plusbelle-familiar-3/p</t>
        </is>
      </c>
    </row>
    <row r="305">
      <c r="A305" t="inlineStr">
        <is>
          <t>Disco</t>
        </is>
      </c>
      <c r="B305" t="n">
        <v>69783</v>
      </c>
      <c r="C305" t="n">
        <v>66920</v>
      </c>
      <c r="D305" t="inlineStr">
        <is>
          <t>Shampoo Nenin Familiar</t>
        </is>
      </c>
      <c r="E305" t="inlineStr">
        <is>
          <t>NENNIN NATURESSENCE</t>
        </is>
      </c>
      <c r="F305" t="n">
        <v>5.35</v>
      </c>
      <c r="G305" t="n">
        <v>5.35</v>
      </c>
      <c r="H305" t="b">
        <v>0</v>
      </c>
      <c r="I305" t="inlineStr"/>
      <c r="J305" t="inlineStr"/>
      <c r="K305" t="inlineStr">
        <is>
          <t>&gt; Perfumería &gt; Cuidado Capilar &gt; Shampoo &gt;</t>
        </is>
      </c>
      <c r="L305" t="inlineStr">
        <is>
          <t>shampoo</t>
        </is>
      </c>
      <c r="M305" t="inlineStr">
        <is>
          <t>estandar</t>
        </is>
      </c>
      <c r="N305" t="inlineStr">
        <is>
          <t>general</t>
        </is>
      </c>
      <c r="O305" t="inlineStr">
        <is>
          <t>https://www.disco.com.ar/shampoo-nenin-familiar/p</t>
        </is>
      </c>
    </row>
    <row r="306">
      <c r="A306" s="10" t="inlineStr">
        <is>
          <t>Disco</t>
        </is>
      </c>
      <c r="B306" s="10" t="n">
        <v>69199</v>
      </c>
      <c r="C306" s="10" t="n">
        <v>66334</v>
      </c>
      <c r="D306" s="10" t="inlineStr">
        <is>
          <t>Shampoo Anticaspa Elvive X 400 Ml</t>
        </is>
      </c>
      <c r="E306" s="10" t="inlineStr">
        <is>
          <t>ELVIVE</t>
        </is>
      </c>
      <c r="F306" s="10" t="n">
        <v>17.2</v>
      </c>
      <c r="G306" s="10" t="n">
        <v>17.2</v>
      </c>
      <c r="H306" s="10" t="b">
        <v>0</v>
      </c>
      <c r="I306" s="10" t="n">
        <v>400</v>
      </c>
      <c r="J306" s="10" t="n">
        <v>0.043</v>
      </c>
      <c r="K306" s="10" t="inlineStr">
        <is>
          <t>&gt; Perfumería &gt; Cuidado Capilar &gt; Shampoo &gt;</t>
        </is>
      </c>
      <c r="L306" s="10" t="inlineStr">
        <is>
          <t>shampoo</t>
        </is>
      </c>
      <c r="M306" s="10" t="inlineStr">
        <is>
          <t>profesional</t>
        </is>
      </c>
      <c r="N306" s="10" t="inlineStr">
        <is>
          <t>anticaspa</t>
        </is>
      </c>
      <c r="O306" s="10" t="inlineStr">
        <is>
          <t>https://www.disco.com.ar/shampoo-anticaspa-elvive-3/p</t>
        </is>
      </c>
    </row>
    <row r="307">
      <c r="A307" t="inlineStr">
        <is>
          <t>Disco</t>
        </is>
      </c>
      <c r="B307" t="n">
        <v>68903</v>
      </c>
      <c r="C307" t="n">
        <v>66040</v>
      </c>
      <c r="D307" t="inlineStr">
        <is>
          <t>Shampoo Anticaspa Elvive X 400 Ml</t>
        </is>
      </c>
      <c r="E307" t="inlineStr">
        <is>
          <t>ELVIVE</t>
        </is>
      </c>
      <c r="F307" t="n">
        <v>25.49</v>
      </c>
      <c r="G307" t="n">
        <v>2107</v>
      </c>
      <c r="H307" t="b">
        <v>0</v>
      </c>
      <c r="I307" t="n">
        <v>400</v>
      </c>
      <c r="J307" t="n">
        <v>0.06370000000000001</v>
      </c>
      <c r="K307" t="inlineStr">
        <is>
          <t>&gt; Perfumería &gt; Cuidado Capilar &gt; Shampoo &gt;</t>
        </is>
      </c>
      <c r="L307" t="inlineStr">
        <is>
          <t>shampoo</t>
        </is>
      </c>
      <c r="M307" t="inlineStr">
        <is>
          <t>profesional</t>
        </is>
      </c>
      <c r="N307" t="inlineStr">
        <is>
          <t>anticaspa</t>
        </is>
      </c>
      <c r="O307" t="inlineStr">
        <is>
          <t>https://www.disco.com.ar/shampoo-anticaspa-elvive/p</t>
        </is>
      </c>
    </row>
    <row r="308">
      <c r="A308" s="10" t="inlineStr">
        <is>
          <t>Disco</t>
        </is>
      </c>
      <c r="B308" s="10" t="n">
        <v>67981</v>
      </c>
      <c r="C308" s="10" t="n">
        <v>65119</v>
      </c>
      <c r="D308" s="10" t="inlineStr">
        <is>
          <t>Shampoo Elvive Cosmetico Shampoo Elvive Hydra Curl X 400 Ml</t>
        </is>
      </c>
      <c r="E308" s="10" t="inlineStr">
        <is>
          <t>ELVIVE</t>
        </is>
      </c>
      <c r="F308" s="10" t="n">
        <v>91.65000000000001</v>
      </c>
      <c r="G308" s="10" t="n">
        <v>7574</v>
      </c>
      <c r="H308" s="10" t="b">
        <v>0</v>
      </c>
      <c r="I308" s="10" t="n">
        <v>400</v>
      </c>
      <c r="J308" s="10" t="n">
        <v>0.2291</v>
      </c>
      <c r="K308" s="10" t="inlineStr">
        <is>
          <t>&gt; Perfumería &gt; Cuidado Capilar &gt; Shampoo &gt;</t>
        </is>
      </c>
      <c r="L308" s="10" t="inlineStr">
        <is>
          <t>shampoo</t>
        </is>
      </c>
      <c r="M308" s="10" t="inlineStr">
        <is>
          <t>profesional</t>
        </is>
      </c>
      <c r="N308" s="10" t="inlineStr">
        <is>
          <t>rizado</t>
        </is>
      </c>
      <c r="O308" s="10" t="inlineStr">
        <is>
          <t>https://www.disco.com.ar/shampoo-elvive-cosmetico-11-2/p</t>
        </is>
      </c>
    </row>
    <row r="309">
      <c r="A309" t="inlineStr">
        <is>
          <t>Disco</t>
        </is>
      </c>
      <c r="B309" t="n">
        <v>67949</v>
      </c>
      <c r="C309" t="n">
        <v>65087</v>
      </c>
      <c r="D309" t="inlineStr">
        <is>
          <t>Shampoo Elvive Cosmetico Shampoo Elvive Liss Intense X 400 Ml</t>
        </is>
      </c>
      <c r="E309" t="inlineStr">
        <is>
          <t>ELVIVE</t>
        </is>
      </c>
      <c r="F309" t="n">
        <v>91.65000000000001</v>
      </c>
      <c r="G309" t="n">
        <v>7574</v>
      </c>
      <c r="H309" t="b">
        <v>0</v>
      </c>
      <c r="I309" t="n">
        <v>400</v>
      </c>
      <c r="J309" t="n">
        <v>0.2291</v>
      </c>
      <c r="K309" t="inlineStr">
        <is>
          <t>&gt; Perfumería &gt; Cuidado Capilar &gt; Shampoo &gt;</t>
        </is>
      </c>
      <c r="L309" t="inlineStr">
        <is>
          <t>shampoo</t>
        </is>
      </c>
      <c r="M309" t="inlineStr">
        <is>
          <t>profesional</t>
        </is>
      </c>
      <c r="N309" t="inlineStr">
        <is>
          <t>general</t>
        </is>
      </c>
      <c r="O309" t="inlineStr">
        <is>
          <t>https://www.disco.com.ar/shampoo-elvive-cosmetico-9/p</t>
        </is>
      </c>
    </row>
    <row r="310">
      <c r="A310" s="10" t="inlineStr">
        <is>
          <t>Disco</t>
        </is>
      </c>
      <c r="B310" s="10" t="n">
        <v>52076</v>
      </c>
      <c r="C310" s="10" t="n">
        <v>49242</v>
      </c>
      <c r="D310" s="10" t="inlineStr">
        <is>
          <t>Shampoo Suave Kids</t>
        </is>
      </c>
      <c r="E310" s="10" t="inlineStr">
        <is>
          <t>SUAVE</t>
        </is>
      </c>
      <c r="F310" s="10" t="n">
        <v>682.5700000000001</v>
      </c>
      <c r="G310" s="10" t="n">
        <v>56411</v>
      </c>
      <c r="H310" s="10" t="b">
        <v>0</v>
      </c>
      <c r="I310" s="10" t="inlineStr"/>
      <c r="J310" s="10" t="inlineStr"/>
      <c r="K310" s="10" t="inlineStr">
        <is>
          <t>&gt; Mundo Bebe &gt; Higiene para el Bebe &gt; Higiene del Bebé &gt;</t>
        </is>
      </c>
      <c r="L310" s="10" t="inlineStr">
        <is>
          <t>shampoo</t>
        </is>
      </c>
      <c r="M310" s="10" t="inlineStr">
        <is>
          <t>estandar</t>
        </is>
      </c>
      <c r="N310" s="10" t="inlineStr">
        <is>
          <t>bebe</t>
        </is>
      </c>
      <c r="O310" s="10" t="inlineStr">
        <is>
          <t>https://www.disco.com.ar/shampoo-suave-kids-2/p</t>
        </is>
      </c>
    </row>
    <row r="311">
      <c r="A311" t="inlineStr">
        <is>
          <t>Disco</t>
        </is>
      </c>
      <c r="B311" t="n">
        <v>42166</v>
      </c>
      <c r="C311" t="n">
        <v>39336</v>
      </c>
      <c r="D311" t="inlineStr">
        <is>
          <t>Shampoo Herbal Essences Delirio De Control 300 Ml</t>
        </is>
      </c>
      <c r="E311" t="inlineStr">
        <is>
          <t>HERBAL ESSENCES</t>
        </is>
      </c>
      <c r="F311" t="n">
        <v>157.69</v>
      </c>
      <c r="G311" t="n">
        <v>13032</v>
      </c>
      <c r="H311" t="b">
        <v>0</v>
      </c>
      <c r="I311" t="n">
        <v>300</v>
      </c>
      <c r="J311" t="n">
        <v>0.5256</v>
      </c>
      <c r="K311" t="inlineStr">
        <is>
          <t>&gt; Perfumería &gt; Cuidado Capilar &gt; Shampoo &gt;</t>
        </is>
      </c>
      <c r="L311" t="inlineStr">
        <is>
          <t>shampoo</t>
        </is>
      </c>
      <c r="M311" t="inlineStr">
        <is>
          <t>estandar</t>
        </is>
      </c>
      <c r="N311" t="inlineStr">
        <is>
          <t>general</t>
        </is>
      </c>
      <c r="O311" t="inlineStr">
        <is>
          <t>https://www.disco.com.ar/shampoo-herbal-essences-2/p</t>
        </is>
      </c>
    </row>
    <row r="312">
      <c r="A312" s="10" t="inlineStr">
        <is>
          <t>Disco</t>
        </is>
      </c>
      <c r="B312" s="10" t="n">
        <v>30954</v>
      </c>
      <c r="C312" s="10" t="n">
        <v>28113</v>
      </c>
      <c r="D312" s="10" t="inlineStr">
        <is>
          <t>Shampoo Johnson Baby Shampoo Para Bebé Johnson's® Cabello Claro X 400 Ml</t>
        </is>
      </c>
      <c r="E312" s="10" t="inlineStr">
        <is>
          <t>JOHNSON BABY</t>
        </is>
      </c>
      <c r="F312" s="10" t="n">
        <v>274.97</v>
      </c>
      <c r="G312" s="10" t="n">
        <v>22725</v>
      </c>
      <c r="H312" s="10" t="b">
        <v>0</v>
      </c>
      <c r="I312" s="10" t="n">
        <v>400</v>
      </c>
      <c r="J312" s="10" t="n">
        <v>0.6874</v>
      </c>
      <c r="K312" s="10" t="inlineStr">
        <is>
          <t>&gt; Mundo Bebe &gt; Higiene para el Bebe &gt; Higiene del Bebé &gt;</t>
        </is>
      </c>
      <c r="L312" s="10" t="inlineStr">
        <is>
          <t>shampoo</t>
        </is>
      </c>
      <c r="M312" s="10" t="inlineStr">
        <is>
          <t>estandar</t>
        </is>
      </c>
      <c r="N312" s="10" t="inlineStr">
        <is>
          <t>bebe</t>
        </is>
      </c>
      <c r="O312" s="10" t="inlineStr">
        <is>
          <t>https://www.disco.com.ar/shampoo-johnson-baby-13/p</t>
        </is>
      </c>
    </row>
    <row r="313">
      <c r="A313" t="inlineStr">
        <is>
          <t>Disco</t>
        </is>
      </c>
      <c r="B313" t="n">
        <v>3087475</v>
      </c>
      <c r="C313" t="n">
        <v>3086698</v>
      </c>
      <c r="D313" t="inlineStr">
        <is>
          <t>Shampoo Pantene Restauracion 700ml</t>
        </is>
      </c>
      <c r="E313" t="inlineStr">
        <is>
          <t>PANTENE</t>
        </is>
      </c>
      <c r="F313" t="n">
        <v>17750</v>
      </c>
      <c r="G313" t="n">
        <v>1466942</v>
      </c>
      <c r="H313" t="b">
        <v>0</v>
      </c>
      <c r="I313" t="n">
        <v>700</v>
      </c>
      <c r="J313" t="n">
        <v>25.3571</v>
      </c>
      <c r="K313" t="inlineStr">
        <is>
          <t>&gt; Perfumería &gt; Cuidado Capilar &gt; Shampoo &gt;</t>
        </is>
      </c>
      <c r="L313" t="inlineStr">
        <is>
          <t>shampoo</t>
        </is>
      </c>
      <c r="M313" t="inlineStr">
        <is>
          <t>estandar</t>
        </is>
      </c>
      <c r="N313" t="inlineStr">
        <is>
          <t>general</t>
        </is>
      </c>
      <c r="O313" t="inlineStr">
        <is>
          <t>https://www.disco.com.ar/shampoo-pantene-restauracion-700ml/p</t>
        </is>
      </c>
    </row>
    <row r="314">
      <c r="A314" s="10" t="inlineStr">
        <is>
          <t>Disco</t>
        </is>
      </c>
      <c r="B314" s="10" t="n">
        <v>405294</v>
      </c>
      <c r="C314" s="10" t="n">
        <v>402229</v>
      </c>
      <c r="D314" s="10" t="inlineStr">
        <is>
          <t>Shampoo Fructis Hydraliss 200ml</t>
        </is>
      </c>
      <c r="E314" s="10" t="inlineStr">
        <is>
          <t>FRUCTIS</t>
        </is>
      </c>
      <c r="F314" s="10" t="n">
        <v>4850</v>
      </c>
      <c r="G314" s="10" t="n">
        <v>400826</v>
      </c>
      <c r="H314" s="10" t="b">
        <v>0</v>
      </c>
      <c r="I314" s="10" t="n">
        <v>200</v>
      </c>
      <c r="J314" s="10" t="n">
        <v>24.25</v>
      </c>
      <c r="K314" s="10" t="inlineStr">
        <is>
          <t>&gt; Perfumería &gt; Cuidado Capilar &gt; Shampoo &gt;</t>
        </is>
      </c>
      <c r="L314" s="10" t="inlineStr">
        <is>
          <t>shampoo</t>
        </is>
      </c>
      <c r="M314" s="10" t="inlineStr">
        <is>
          <t>estandar</t>
        </is>
      </c>
      <c r="N314" s="10" t="inlineStr">
        <is>
          <t>general</t>
        </is>
      </c>
      <c r="O314" s="10" t="inlineStr">
        <is>
          <t>https://www.disco.com.ar/shampoo-fructis-hydraliss-200ml/p</t>
        </is>
      </c>
    </row>
    <row r="315">
      <c r="A315" t="inlineStr">
        <is>
          <t>Disco</t>
        </is>
      </c>
      <c r="B315" t="n">
        <v>394678</v>
      </c>
      <c r="C315" t="n">
        <v>392677</v>
      </c>
      <c r="D315" t="inlineStr">
        <is>
          <t>Shampoo Ogx Argan 385ml</t>
        </is>
      </c>
      <c r="E315" t="inlineStr">
        <is>
          <t>OGX</t>
        </is>
      </c>
      <c r="F315" t="n">
        <v>9896.09</v>
      </c>
      <c r="G315" t="n">
        <v>817859</v>
      </c>
      <c r="H315" t="b">
        <v>0</v>
      </c>
      <c r="I315" t="n">
        <v>385</v>
      </c>
      <c r="J315" t="n">
        <v>25.7041</v>
      </c>
      <c r="K315" t="inlineStr">
        <is>
          <t>&gt; Perfumería &gt; Cuidado Capilar &gt; Shampoo &gt;</t>
        </is>
      </c>
      <c r="L315" t="inlineStr">
        <is>
          <t>shampoo</t>
        </is>
      </c>
      <c r="M315" t="inlineStr">
        <is>
          <t>estandar</t>
        </is>
      </c>
      <c r="N315" t="inlineStr">
        <is>
          <t>general</t>
        </is>
      </c>
      <c r="O315" t="inlineStr">
        <is>
          <t>https://www.disco.com.ar/shampoo-ogx-argan-385ml/p</t>
        </is>
      </c>
    </row>
    <row r="316">
      <c r="A316" s="10" t="inlineStr">
        <is>
          <t>Disco</t>
        </is>
      </c>
      <c r="B316" s="10" t="n">
        <v>350045</v>
      </c>
      <c r="C316" s="10" t="n">
        <v>348705</v>
      </c>
      <c r="D316" s="10" t="inlineStr">
        <is>
          <t>Shampoo Plusbelle Reconexion 1000ml</t>
        </is>
      </c>
      <c r="E316" s="10" t="inlineStr">
        <is>
          <t>PLUSBELLE</t>
        </is>
      </c>
      <c r="F316" s="10" t="n">
        <v>251.67</v>
      </c>
      <c r="G316" s="10" t="n">
        <v>20799</v>
      </c>
      <c r="H316" s="10" t="b">
        <v>0</v>
      </c>
      <c r="I316" s="10" t="n">
        <v>1000</v>
      </c>
      <c r="J316" s="10" t="n">
        <v>0.2517</v>
      </c>
      <c r="K316" s="10" t="inlineStr">
        <is>
          <t>&gt; Perfumería &gt; Cuidado Capilar &gt; Shampoo &gt;</t>
        </is>
      </c>
      <c r="L316" s="10" t="inlineStr">
        <is>
          <t>shampoo</t>
        </is>
      </c>
      <c r="M316" s="10" t="inlineStr">
        <is>
          <t>estandar</t>
        </is>
      </c>
      <c r="N316" s="10" t="inlineStr">
        <is>
          <t>general</t>
        </is>
      </c>
      <c r="O316" s="10" t="inlineStr">
        <is>
          <t>https://www.disco.com.ar/shampoo-plusbelle-reconexion-1000ml-2/p</t>
        </is>
      </c>
    </row>
    <row r="317">
      <c r="A317" t="inlineStr">
        <is>
          <t>Disco</t>
        </is>
      </c>
      <c r="B317" t="n">
        <v>336047</v>
      </c>
      <c r="C317" t="n">
        <v>335156</v>
      </c>
      <c r="D317" t="inlineStr">
        <is>
          <t>Shampoo Sedal Nutricion 650ml</t>
        </is>
      </c>
      <c r="E317" t="inlineStr">
        <is>
          <t>SEDAL</t>
        </is>
      </c>
      <c r="F317" t="n">
        <v>457.87</v>
      </c>
      <c r="G317" t="n">
        <v>37841</v>
      </c>
      <c r="H317" t="b">
        <v>0</v>
      </c>
      <c r="I317" t="n">
        <v>650</v>
      </c>
      <c r="J317" t="n">
        <v>0.7044</v>
      </c>
      <c r="K317" t="inlineStr">
        <is>
          <t>&gt; Perfumería &gt; Cuidado Capilar &gt; Shampoo &gt;</t>
        </is>
      </c>
      <c r="L317" t="inlineStr">
        <is>
          <t>shampoo</t>
        </is>
      </c>
      <c r="M317" t="inlineStr">
        <is>
          <t>estandar</t>
        </is>
      </c>
      <c r="N317" t="inlineStr">
        <is>
          <t>general</t>
        </is>
      </c>
      <c r="O317" t="inlineStr">
        <is>
          <t>https://www.disco.com.ar/shampoo-sedal-nutricion-650ml/p</t>
        </is>
      </c>
    </row>
    <row r="318">
      <c r="A318" s="10" t="inlineStr">
        <is>
          <t>Disco</t>
        </is>
      </c>
      <c r="B318" s="10" t="n">
        <v>336018</v>
      </c>
      <c r="C318" s="10" t="n">
        <v>335128</v>
      </c>
      <c r="D318" s="10" t="inlineStr">
        <is>
          <t>Shampoo Sedal Argan 650ml</t>
        </is>
      </c>
      <c r="E318" s="10" t="inlineStr">
        <is>
          <t>SEDAL</t>
        </is>
      </c>
      <c r="F318" s="10" t="n">
        <v>457.87</v>
      </c>
      <c r="G318" s="10" t="n">
        <v>37841</v>
      </c>
      <c r="H318" s="10" t="b">
        <v>0</v>
      </c>
      <c r="I318" s="10" t="n">
        <v>650</v>
      </c>
      <c r="J318" s="10" t="n">
        <v>0.7044</v>
      </c>
      <c r="K318" s="10" t="inlineStr">
        <is>
          <t>&gt; Perfumería &gt; Cuidado Capilar &gt; Shampoo &gt;</t>
        </is>
      </c>
      <c r="L318" s="10" t="inlineStr">
        <is>
          <t>shampoo</t>
        </is>
      </c>
      <c r="M318" s="10" t="inlineStr">
        <is>
          <t>estandar</t>
        </is>
      </c>
      <c r="N318" s="10" t="inlineStr">
        <is>
          <t>general</t>
        </is>
      </c>
      <c r="O318" s="10" t="inlineStr">
        <is>
          <t>https://www.disco.com.ar/shampoo-sedal-argan-650ml/p</t>
        </is>
      </c>
    </row>
    <row r="319">
      <c r="A319" t="inlineStr">
        <is>
          <t>Disco</t>
        </is>
      </c>
      <c r="B319" t="n">
        <v>332635</v>
      </c>
      <c r="C319" t="n">
        <v>331790</v>
      </c>
      <c r="D319" t="inlineStr">
        <is>
          <t>Shampoo Plusbelle Fuerza  970ml</t>
        </is>
      </c>
      <c r="E319" t="inlineStr">
        <is>
          <t>PLUSBELLE</t>
        </is>
      </c>
      <c r="F319" t="n">
        <v>545.45</v>
      </c>
      <c r="G319" t="n">
        <v>45079</v>
      </c>
      <c r="H319" t="b">
        <v>0</v>
      </c>
      <c r="I319" t="n">
        <v>970</v>
      </c>
      <c r="J319" t="n">
        <v>0.5623</v>
      </c>
      <c r="K319" t="inlineStr">
        <is>
          <t>&gt; Perfumería &gt; Cuidado Capilar &gt; Shampoo &gt;</t>
        </is>
      </c>
      <c r="L319" t="inlineStr">
        <is>
          <t>shampoo</t>
        </is>
      </c>
      <c r="M319" t="inlineStr">
        <is>
          <t>estandar</t>
        </is>
      </c>
      <c r="N319" t="inlineStr">
        <is>
          <t>general</t>
        </is>
      </c>
      <c r="O319" t="inlineStr">
        <is>
          <t>https://www.disco.com.ar/shampoo-plusbelle-fuerza-970ml/p</t>
        </is>
      </c>
    </row>
    <row r="320">
      <c r="A320" s="10" t="inlineStr">
        <is>
          <t>Disco</t>
        </is>
      </c>
      <c r="B320" s="10" t="n">
        <v>332175</v>
      </c>
      <c r="C320" s="10" t="n">
        <v>331333</v>
      </c>
      <c r="D320" s="10" t="inlineStr">
        <is>
          <t>Shampoo Plusbelle Proteccion 1lt</t>
        </is>
      </c>
      <c r="E320" s="10" t="inlineStr">
        <is>
          <t>PLUSBELLE</t>
        </is>
      </c>
      <c r="F320" s="10" t="n">
        <v>454.55</v>
      </c>
      <c r="G320" s="10" t="n">
        <v>37566</v>
      </c>
      <c r="H320" s="10" t="b">
        <v>0</v>
      </c>
      <c r="I320" s="10" t="inlineStr"/>
      <c r="J320" s="10" t="inlineStr"/>
      <c r="K320" s="10" t="inlineStr">
        <is>
          <t>&gt; Perfumería &gt; Cuidado Capilar &gt; Shampoo &gt;</t>
        </is>
      </c>
      <c r="L320" s="10" t="inlineStr">
        <is>
          <t>shampoo</t>
        </is>
      </c>
      <c r="M320" s="10" t="inlineStr">
        <is>
          <t>estandar</t>
        </is>
      </c>
      <c r="N320" s="10" t="inlineStr">
        <is>
          <t>general</t>
        </is>
      </c>
      <c r="O320" s="10" t="inlineStr">
        <is>
          <t>https://www.disco.com.ar/shampoo-plusbelle-proteccion-1lt/p</t>
        </is>
      </c>
    </row>
    <row r="321">
      <c r="A321" t="inlineStr">
        <is>
          <t>Disco</t>
        </is>
      </c>
      <c r="B321" t="n">
        <v>332171</v>
      </c>
      <c r="C321" t="n">
        <v>331329</v>
      </c>
      <c r="D321" t="inlineStr">
        <is>
          <t>Shampoo Plusbelle Docilidad 1lt</t>
        </is>
      </c>
      <c r="E321" t="inlineStr">
        <is>
          <t>PLUSBELLE</t>
        </is>
      </c>
      <c r="F321" t="n">
        <v>454.55</v>
      </c>
      <c r="G321" t="n">
        <v>37566</v>
      </c>
      <c r="H321" t="b">
        <v>0</v>
      </c>
      <c r="I321" t="inlineStr"/>
      <c r="J321" t="inlineStr"/>
      <c r="K321" t="inlineStr">
        <is>
          <t>&gt; Perfumería &gt; Cuidado Capilar &gt; Shampoo &gt;</t>
        </is>
      </c>
      <c r="L321" t="inlineStr">
        <is>
          <t>shampoo</t>
        </is>
      </c>
      <c r="M321" t="inlineStr">
        <is>
          <t>estandar</t>
        </is>
      </c>
      <c r="N321" t="inlineStr">
        <is>
          <t>general</t>
        </is>
      </c>
      <c r="O321" t="inlineStr">
        <is>
          <t>https://www.disco.com.ar/shampoo-plusbelle-docilidad-1lt/p</t>
        </is>
      </c>
    </row>
    <row r="322">
      <c r="A322" s="10" t="inlineStr">
        <is>
          <t>Disco</t>
        </is>
      </c>
      <c r="B322" s="10" t="n">
        <v>332164</v>
      </c>
      <c r="C322" s="10" t="n">
        <v>331322</v>
      </c>
      <c r="D322" s="10" t="inlineStr">
        <is>
          <t>Shampoo Plusbelle Brillo 1lt</t>
        </is>
      </c>
      <c r="E322" s="10" t="inlineStr">
        <is>
          <t>PLUSBELLE</t>
        </is>
      </c>
      <c r="F322" s="10" t="n">
        <v>454.55</v>
      </c>
      <c r="G322" s="10" t="n">
        <v>37566</v>
      </c>
      <c r="H322" s="10" t="b">
        <v>0</v>
      </c>
      <c r="I322" s="10" t="inlineStr"/>
      <c r="J322" s="10" t="inlineStr"/>
      <c r="K322" s="10" t="inlineStr">
        <is>
          <t>&gt; Perfumería &gt; Cuidado Capilar &gt; Shampoo &gt;</t>
        </is>
      </c>
      <c r="L322" s="10" t="inlineStr">
        <is>
          <t>shampoo</t>
        </is>
      </c>
      <c r="M322" s="10" t="inlineStr">
        <is>
          <t>estandar</t>
        </is>
      </c>
      <c r="N322" s="10" t="inlineStr">
        <is>
          <t>general</t>
        </is>
      </c>
      <c r="O322" s="10" t="inlineStr">
        <is>
          <t>https://www.disco.com.ar/shampoo-plusbelle-brillo-1lt/p</t>
        </is>
      </c>
    </row>
    <row r="323">
      <c r="A323" t="inlineStr">
        <is>
          <t>Disco</t>
        </is>
      </c>
      <c r="B323" t="n">
        <v>331676</v>
      </c>
      <c r="C323" t="n">
        <v>330834</v>
      </c>
      <c r="D323" t="inlineStr">
        <is>
          <t>Shampoo Plusbelle Nutricion 1lt</t>
        </is>
      </c>
      <c r="E323" t="inlineStr">
        <is>
          <t>PLUSBELLE</t>
        </is>
      </c>
      <c r="F323" t="n">
        <v>454.55</v>
      </c>
      <c r="G323" t="n">
        <v>37566</v>
      </c>
      <c r="H323" t="b">
        <v>0</v>
      </c>
      <c r="I323" t="inlineStr"/>
      <c r="J323" t="inlineStr"/>
      <c r="K323" t="inlineStr">
        <is>
          <t>&gt; Perfumería &gt; Cuidado Capilar &gt; Shampoo &gt;</t>
        </is>
      </c>
      <c r="L323" t="inlineStr">
        <is>
          <t>shampoo</t>
        </is>
      </c>
      <c r="M323" t="inlineStr">
        <is>
          <t>estandar</t>
        </is>
      </c>
      <c r="N323" t="inlineStr">
        <is>
          <t>general</t>
        </is>
      </c>
      <c r="O323" t="inlineStr">
        <is>
          <t>https://www.disco.com.ar/shampoo-plusbelle-nutricion-1lt/p</t>
        </is>
      </c>
    </row>
    <row r="324">
      <c r="A324" s="10" t="inlineStr">
        <is>
          <t>Disco</t>
        </is>
      </c>
      <c r="B324" s="10" t="n">
        <v>317284</v>
      </c>
      <c r="C324" s="10" t="n">
        <v>316530</v>
      </c>
      <c r="D324" s="10" t="inlineStr">
        <is>
          <t>Shampoo Sedal Carbon 650ml</t>
        </is>
      </c>
      <c r="E324" s="10" t="inlineStr">
        <is>
          <t>SEDAL</t>
        </is>
      </c>
      <c r="F324" s="10" t="n">
        <v>557.0700000000001</v>
      </c>
      <c r="G324" s="10" t="n">
        <v>46039</v>
      </c>
      <c r="H324" s="10" t="b">
        <v>0</v>
      </c>
      <c r="I324" s="10" t="n">
        <v>650</v>
      </c>
      <c r="J324" s="10" t="n">
        <v>0.857</v>
      </c>
      <c r="K324" s="10" t="inlineStr">
        <is>
          <t>&gt; Perfumería &gt; Cuidado Capilar &gt; Shampoo &gt;</t>
        </is>
      </c>
      <c r="L324" s="10" t="inlineStr">
        <is>
          <t>shampoo</t>
        </is>
      </c>
      <c r="M324" s="10" t="inlineStr">
        <is>
          <t>estandar</t>
        </is>
      </c>
      <c r="N324" s="10" t="inlineStr">
        <is>
          <t>general</t>
        </is>
      </c>
      <c r="O324" s="10" t="inlineStr">
        <is>
          <t>https://www.disco.com.ar/shampoo-sedal-carbon-650ml/p</t>
        </is>
      </c>
    </row>
    <row r="325">
      <c r="A325" t="inlineStr">
        <is>
          <t>Disco</t>
        </is>
      </c>
      <c r="B325" t="n">
        <v>312931</v>
      </c>
      <c r="C325" t="n">
        <v>312169</v>
      </c>
      <c r="D325" t="inlineStr">
        <is>
          <t>Shampoo Biferdil Perla 260ml</t>
        </is>
      </c>
      <c r="E325" t="inlineStr">
        <is>
          <t>BIFERDIL</t>
        </is>
      </c>
      <c r="F325" t="n">
        <v>722.29</v>
      </c>
      <c r="G325" t="n">
        <v>59693</v>
      </c>
      <c r="H325" t="b">
        <v>0</v>
      </c>
      <c r="I325" t="n">
        <v>260</v>
      </c>
      <c r="J325" t="n">
        <v>2.778</v>
      </c>
      <c r="K325" t="inlineStr">
        <is>
          <t>&gt; Perfumería &gt; Cuidado Capilar &gt; Shampoo &gt;</t>
        </is>
      </c>
      <c r="L325" t="inlineStr">
        <is>
          <t>shampoo</t>
        </is>
      </c>
      <c r="M325" t="inlineStr">
        <is>
          <t>estandar</t>
        </is>
      </c>
      <c r="N325" t="inlineStr">
        <is>
          <t>general</t>
        </is>
      </c>
      <c r="O325" t="inlineStr">
        <is>
          <t>https://www.disco.com.ar/shampoo-biferdil-perla-260ml/p</t>
        </is>
      </c>
    </row>
    <row r="326">
      <c r="A326" s="10" t="inlineStr">
        <is>
          <t>Disco</t>
        </is>
      </c>
      <c r="B326" s="10" t="n">
        <v>312925</v>
      </c>
      <c r="C326" s="10" t="n">
        <v>312163</v>
      </c>
      <c r="D326" s="10" t="inlineStr">
        <is>
          <t>Shampoo Biferdil Algas 400ml</t>
        </is>
      </c>
      <c r="E326" s="10" t="inlineStr">
        <is>
          <t>BIFERDIL</t>
        </is>
      </c>
      <c r="F326" s="10" t="n">
        <v>12050</v>
      </c>
      <c r="G326" s="10" t="n">
        <v>995868</v>
      </c>
      <c r="H326" s="10" t="b">
        <v>0</v>
      </c>
      <c r="I326" s="10" t="n">
        <v>400</v>
      </c>
      <c r="J326" s="10" t="n">
        <v>30.125</v>
      </c>
      <c r="K326" s="10" t="inlineStr">
        <is>
          <t>&gt; Perfumería &gt; Cuidado Capilar &gt; Shampoo &gt;</t>
        </is>
      </c>
      <c r="L326" s="10" t="inlineStr">
        <is>
          <t>shampoo</t>
        </is>
      </c>
      <c r="M326" s="10" t="inlineStr">
        <is>
          <t>estandar</t>
        </is>
      </c>
      <c r="N326" s="10" t="inlineStr">
        <is>
          <t>general</t>
        </is>
      </c>
      <c r="O326" s="10" t="inlineStr">
        <is>
          <t>https://www.disco.com.ar/shampoo-biferdil-algas-400ml/p</t>
        </is>
      </c>
    </row>
    <row r="327">
      <c r="A327" t="inlineStr">
        <is>
          <t>Disco</t>
        </is>
      </c>
      <c r="B327" t="n">
        <v>311252</v>
      </c>
      <c r="C327" t="n">
        <v>310487</v>
      </c>
      <c r="D327" t="inlineStr">
        <is>
          <t>Shampoo Balance 1 L</t>
        </is>
      </c>
      <c r="E327" t="inlineStr">
        <is>
          <t>PLUSBELLE</t>
        </is>
      </c>
      <c r="F327" t="n">
        <v>213.19</v>
      </c>
      <c r="G327" t="n">
        <v>17619</v>
      </c>
      <c r="H327" t="b">
        <v>0</v>
      </c>
      <c r="I327" t="n">
        <v>1000</v>
      </c>
      <c r="J327" t="n">
        <v>0.2132</v>
      </c>
      <c r="K327" t="inlineStr">
        <is>
          <t>&gt; Perfumería &gt; Cuidado Capilar &gt; Shampoo &gt;</t>
        </is>
      </c>
      <c r="L327" t="inlineStr">
        <is>
          <t>shampoo</t>
        </is>
      </c>
      <c r="M327" t="inlineStr">
        <is>
          <t>estandar</t>
        </is>
      </c>
      <c r="N327" t="inlineStr">
        <is>
          <t>general</t>
        </is>
      </c>
      <c r="O327" t="inlineStr">
        <is>
          <t>https://www.disco.com.ar/shampoo-balance-1-l/p</t>
        </is>
      </c>
    </row>
    <row r="328">
      <c r="A328" s="10" t="inlineStr">
        <is>
          <t>Disco</t>
        </is>
      </c>
      <c r="B328" s="10" t="n">
        <v>288719</v>
      </c>
      <c r="C328" s="10" t="n">
        <v>287966</v>
      </c>
      <c r="D328" s="10" t="inlineStr">
        <is>
          <t>Shampoo Elvive Reconstructor 750ml</t>
        </is>
      </c>
      <c r="E328" s="10" t="inlineStr">
        <is>
          <t>ELVIVE</t>
        </is>
      </c>
      <c r="F328" s="10" t="n">
        <v>745.65</v>
      </c>
      <c r="G328" s="10" t="n">
        <v>61624</v>
      </c>
      <c r="H328" s="10" t="b">
        <v>0</v>
      </c>
      <c r="I328" s="10" t="n">
        <v>750</v>
      </c>
      <c r="J328" s="10" t="n">
        <v>0.9942</v>
      </c>
      <c r="K328" s="10" t="inlineStr">
        <is>
          <t>&gt; Perfumería &gt; Cuidado Capilar &gt; Shampoo &gt;</t>
        </is>
      </c>
      <c r="L328" s="10" t="inlineStr">
        <is>
          <t>shampoo</t>
        </is>
      </c>
      <c r="M328" s="10" t="inlineStr">
        <is>
          <t>profesional</t>
        </is>
      </c>
      <c r="N328" s="10" t="inlineStr">
        <is>
          <t>general</t>
        </is>
      </c>
      <c r="O328" s="10" t="inlineStr">
        <is>
          <t>https://www.disco.com.ar/shampoo-elvive-reconstructor-750ml/p</t>
        </is>
      </c>
    </row>
    <row r="329">
      <c r="A329" t="inlineStr">
        <is>
          <t>Disco</t>
        </is>
      </c>
      <c r="B329" t="n">
        <v>238413</v>
      </c>
      <c r="C329" t="n">
        <v>202973</v>
      </c>
      <c r="D329" t="inlineStr">
        <is>
          <t>Shampoo Davor Secos Dañados</t>
        </is>
      </c>
      <c r="E329" t="inlineStr">
        <is>
          <t>DAVOR</t>
        </is>
      </c>
      <c r="F329" t="n">
        <v>13.24</v>
      </c>
      <c r="G329" t="n">
        <v>13.24</v>
      </c>
      <c r="H329" t="b">
        <v>0</v>
      </c>
      <c r="I329" t="inlineStr"/>
      <c r="J329" t="inlineStr"/>
      <c r="K329" t="inlineStr">
        <is>
          <t>&gt; Perfumería &gt; Cuidado Capilar &gt; Shampoo &gt;</t>
        </is>
      </c>
      <c r="L329" t="inlineStr">
        <is>
          <t>shampoo</t>
        </is>
      </c>
      <c r="M329" t="inlineStr">
        <is>
          <t>estandar</t>
        </is>
      </c>
      <c r="N329" t="inlineStr">
        <is>
          <t>seco_danado</t>
        </is>
      </c>
      <c r="O329" t="inlineStr">
        <is>
          <t>https://www.disco.com.ar/shampoo-davor-secos-danados-274801/p</t>
        </is>
      </c>
    </row>
    <row r="330">
      <c r="A330" s="10" t="inlineStr">
        <is>
          <t>Disco</t>
        </is>
      </c>
      <c r="B330" s="10" t="n">
        <v>233376</v>
      </c>
      <c r="C330" s="10" t="n">
        <v>206551</v>
      </c>
      <c r="D330" s="10" t="inlineStr">
        <is>
          <t>Shampoo Estrella Baby Clásico</t>
        </is>
      </c>
      <c r="E330" s="10" t="inlineStr">
        <is>
          <t>ESTRELLA</t>
        </is>
      </c>
      <c r="F330" s="10" t="n">
        <v>6.69</v>
      </c>
      <c r="G330" s="10" t="n">
        <v>6.69</v>
      </c>
      <c r="H330" s="10" t="b">
        <v>0</v>
      </c>
      <c r="I330" s="10" t="inlineStr"/>
      <c r="J330" s="10" t="inlineStr"/>
      <c r="K330" s="10" t="inlineStr">
        <is>
          <t>&gt; Mundo Bebe &gt; Higiene para el Bebe &gt;</t>
        </is>
      </c>
      <c r="L330" s="10" t="inlineStr">
        <is>
          <t>shampoo</t>
        </is>
      </c>
      <c r="M330" s="10" t="inlineStr">
        <is>
          <t>estandar</t>
        </is>
      </c>
      <c r="N330" s="10" t="inlineStr">
        <is>
          <t>general</t>
        </is>
      </c>
      <c r="O330" s="10" t="inlineStr">
        <is>
          <t>https://www.disco.com.ar/shampoo-estrella-baby-clasico-279413/p</t>
        </is>
      </c>
    </row>
    <row r="331">
      <c r="A331" t="inlineStr">
        <is>
          <t>Disco</t>
        </is>
      </c>
      <c r="B331" t="n">
        <v>233084</v>
      </c>
      <c r="C331" t="n">
        <v>206791</v>
      </c>
      <c r="D331" t="inlineStr">
        <is>
          <t>Shampoo Sedal Verano Block</t>
        </is>
      </c>
      <c r="E331" t="inlineStr">
        <is>
          <t>SEDAL</t>
        </is>
      </c>
      <c r="F331" t="n">
        <v>8.109999999999999</v>
      </c>
      <c r="G331" t="n">
        <v>8.109999999999999</v>
      </c>
      <c r="H331" t="b">
        <v>0</v>
      </c>
      <c r="I331" t="inlineStr"/>
      <c r="J331" t="inlineStr"/>
      <c r="K331" t="inlineStr">
        <is>
          <t>&gt; Perfumería &gt; Cuidado Capilar &gt; Shampoo &gt;</t>
        </is>
      </c>
      <c r="L331" t="inlineStr">
        <is>
          <t>shampoo</t>
        </is>
      </c>
      <c r="M331" t="inlineStr">
        <is>
          <t>estandar</t>
        </is>
      </c>
      <c r="N331" t="inlineStr">
        <is>
          <t>general</t>
        </is>
      </c>
      <c r="O331" t="inlineStr">
        <is>
          <t>https://www.disco.com.ar/shampoo-sedal-verano-block-2-278847/p</t>
        </is>
      </c>
    </row>
    <row r="332">
      <c r="A332" s="10" t="inlineStr">
        <is>
          <t>Disco</t>
        </is>
      </c>
      <c r="B332" s="10" t="n">
        <v>201121</v>
      </c>
      <c r="C332" s="10" t="n">
        <v>217660</v>
      </c>
      <c r="D332" s="10" t="inlineStr">
        <is>
          <t>Shampoo Para Niños Amici</t>
        </is>
      </c>
      <c r="E332" s="10" t="inlineStr">
        <is>
          <t>AMICI</t>
        </is>
      </c>
      <c r="F332" s="10" t="n">
        <v>6.15</v>
      </c>
      <c r="G332" s="10" t="n">
        <v>6.15</v>
      </c>
      <c r="H332" s="10" t="b">
        <v>0</v>
      </c>
      <c r="I332" s="10" t="inlineStr"/>
      <c r="J332" s="10" t="inlineStr"/>
      <c r="K332" s="10" t="inlineStr">
        <is>
          <t>&gt; Mundo Bebe &gt; Higiene para el Bebe &gt;</t>
        </is>
      </c>
      <c r="L332" s="10" t="inlineStr">
        <is>
          <t>shampoo</t>
        </is>
      </c>
      <c r="M332" s="10" t="inlineStr">
        <is>
          <t>estandar</t>
        </is>
      </c>
      <c r="N332" s="10" t="inlineStr">
        <is>
          <t>bebe</t>
        </is>
      </c>
      <c r="O332" s="10" t="inlineStr">
        <is>
          <t>https://www.disco.com.ar/shampoo-para-ninos-amici-x-250-ml-265244/p</t>
        </is>
      </c>
    </row>
    <row r="333">
      <c r="A333" t="inlineStr">
        <is>
          <t>Disco</t>
        </is>
      </c>
      <c r="B333" t="n">
        <v>182581</v>
      </c>
      <c r="C333" t="n">
        <v>203710</v>
      </c>
      <c r="D333" t="inlineStr">
        <is>
          <t>Shampoo Pantene Pro V</t>
        </is>
      </c>
      <c r="E333" t="inlineStr">
        <is>
          <t>PANTENE</t>
        </is>
      </c>
      <c r="F333" t="n">
        <v>16.75</v>
      </c>
      <c r="G333" t="n">
        <v>16.75</v>
      </c>
      <c r="H333" t="b">
        <v>0</v>
      </c>
      <c r="I333" t="inlineStr"/>
      <c r="J333" t="inlineStr"/>
      <c r="K333" t="inlineStr">
        <is>
          <t>&gt; Perfumería &gt; Cuidado Capilar &gt; Shampoo &gt;</t>
        </is>
      </c>
      <c r="L333" t="inlineStr">
        <is>
          <t>shampoo</t>
        </is>
      </c>
      <c r="M333" t="inlineStr">
        <is>
          <t>profesional</t>
        </is>
      </c>
      <c r="N333" t="inlineStr">
        <is>
          <t>general</t>
        </is>
      </c>
      <c r="O333" t="inlineStr">
        <is>
          <t>https://www.disco.com.ar/shampoo-pantene-26-282930/p</t>
        </is>
      </c>
    </row>
    <row r="334">
      <c r="A334" s="10" t="inlineStr">
        <is>
          <t>Disco</t>
        </is>
      </c>
      <c r="B334" s="10" t="n">
        <v>134791</v>
      </c>
      <c r="C334" s="10" t="n">
        <v>131703</v>
      </c>
      <c r="D334" s="10" t="inlineStr">
        <is>
          <t>Shampoo Anticaspa Clear Men-brillo-pvc-ml.-240</t>
        </is>
      </c>
      <c r="E334" s="10" t="inlineStr">
        <is>
          <t>CLEAR</t>
        </is>
      </c>
      <c r="F334" s="10" t="n">
        <v>11.15</v>
      </c>
      <c r="G334" s="10" t="n">
        <v>921</v>
      </c>
      <c r="H334" s="10" t="b">
        <v>0</v>
      </c>
      <c r="I334" s="10" t="inlineStr"/>
      <c r="J334" s="10" t="inlineStr"/>
      <c r="K334" s="10" t="inlineStr">
        <is>
          <t>&gt; Perfumería &gt; Cuidado Capilar &gt; Shampoo &gt;</t>
        </is>
      </c>
      <c r="L334" s="10" t="inlineStr">
        <is>
          <t>shampoo</t>
        </is>
      </c>
      <c r="M334" s="10" t="inlineStr">
        <is>
          <t>estandar</t>
        </is>
      </c>
      <c r="N334" s="10" t="inlineStr">
        <is>
          <t>anticaspa</t>
        </is>
      </c>
      <c r="O334" s="10" t="inlineStr">
        <is>
          <t>https://www.disco.com.ar/shampoo-anticaspa-clear-men-6/p</t>
        </is>
      </c>
    </row>
    <row r="335">
      <c r="A335" t="inlineStr">
        <is>
          <t>Disco</t>
        </is>
      </c>
      <c r="B335" t="n">
        <v>41798</v>
      </c>
      <c r="C335" t="n">
        <v>38962</v>
      </c>
      <c r="D335" t="inlineStr">
        <is>
          <t>Shampoo Fructis Control 350ml</t>
        </is>
      </c>
      <c r="E335" t="inlineStr">
        <is>
          <t>FRUCTIS</t>
        </is>
      </c>
      <c r="F335" t="n">
        <v>339.27</v>
      </c>
      <c r="G335" t="n">
        <v>28039</v>
      </c>
      <c r="H335" t="b">
        <v>0</v>
      </c>
      <c r="I335" t="n">
        <v>350</v>
      </c>
      <c r="J335" t="n">
        <v>0.9693000000000001</v>
      </c>
      <c r="K335" t="inlineStr">
        <is>
          <t>&gt; Perfumería &gt; Cuidado Capilar &gt; Shampoo &gt;</t>
        </is>
      </c>
      <c r="L335" t="inlineStr">
        <is>
          <t>shampoo</t>
        </is>
      </c>
      <c r="M335" t="inlineStr">
        <is>
          <t>estandar</t>
        </is>
      </c>
      <c r="N335" t="inlineStr">
        <is>
          <t>general</t>
        </is>
      </c>
      <c r="O335" t="inlineStr">
        <is>
          <t>https://www.disco.com.ar/shampoo-fructis-control-350ml-2/p</t>
        </is>
      </c>
    </row>
    <row r="336">
      <c r="A336" s="10" t="inlineStr">
        <is>
          <t>Disco</t>
        </is>
      </c>
      <c r="B336" s="10" t="n">
        <v>41654</v>
      </c>
      <c r="C336" s="10" t="n">
        <v>38819</v>
      </c>
      <c r="D336" s="10" t="inlineStr">
        <is>
          <t>Shampoo Fructis Brillo 650ml</t>
        </is>
      </c>
      <c r="E336" s="10" t="inlineStr">
        <is>
          <t>FRUCTIS</t>
        </is>
      </c>
      <c r="F336" s="10" t="n">
        <v>415.89</v>
      </c>
      <c r="G336" s="10" t="n">
        <v>34371</v>
      </c>
      <c r="H336" s="10" t="b">
        <v>0</v>
      </c>
      <c r="I336" s="10" t="n">
        <v>650</v>
      </c>
      <c r="J336" s="10" t="n">
        <v>0.6398</v>
      </c>
      <c r="K336" s="10" t="inlineStr">
        <is>
          <t>&gt; Perfumería &gt; Cuidado Capilar &gt; Shampoo &gt;</t>
        </is>
      </c>
      <c r="L336" s="10" t="inlineStr">
        <is>
          <t>shampoo</t>
        </is>
      </c>
      <c r="M336" s="10" t="inlineStr">
        <is>
          <t>estandar</t>
        </is>
      </c>
      <c r="N336" s="10" t="inlineStr">
        <is>
          <t>general</t>
        </is>
      </c>
      <c r="O336" s="10" t="inlineStr">
        <is>
          <t>https://www.disco.com.ar/shampoo-fructis-brillo-650ml-2/p</t>
        </is>
      </c>
    </row>
    <row r="337">
      <c r="A337" t="inlineStr">
        <is>
          <t>Disco</t>
        </is>
      </c>
      <c r="B337" t="n">
        <v>40755</v>
      </c>
      <c r="C337" t="n">
        <v>37920</v>
      </c>
      <c r="D337" t="inlineStr">
        <is>
          <t>Shampoo Triatop Clinical 120ml</t>
        </is>
      </c>
      <c r="E337" t="inlineStr">
        <is>
          <t>TRIATOP</t>
        </is>
      </c>
      <c r="F337" t="n">
        <v>352.67</v>
      </c>
      <c r="G337" t="n">
        <v>29146</v>
      </c>
      <c r="H337" t="b">
        <v>0</v>
      </c>
      <c r="I337" t="n">
        <v>120</v>
      </c>
      <c r="J337" t="n">
        <v>2.9389</v>
      </c>
      <c r="K337" t="inlineStr">
        <is>
          <t>&gt; Perfumería &gt; Cuidado Capilar &gt; Shampoo &gt;</t>
        </is>
      </c>
      <c r="L337" t="inlineStr">
        <is>
          <t>shampoo</t>
        </is>
      </c>
      <c r="M337" t="inlineStr">
        <is>
          <t>estandar</t>
        </is>
      </c>
      <c r="N337" t="inlineStr">
        <is>
          <t>general</t>
        </is>
      </c>
      <c r="O337" t="inlineStr">
        <is>
          <t>https://www.disco.com.ar/shampoo-triatop-clinical-120ml-2/p</t>
        </is>
      </c>
    </row>
    <row r="338">
      <c r="A338" s="10" t="inlineStr">
        <is>
          <t>Disco</t>
        </is>
      </c>
      <c r="B338" s="10" t="n">
        <v>39427</v>
      </c>
      <c r="C338" s="10" t="n">
        <v>36593</v>
      </c>
      <c r="D338" s="10" t="inlineStr">
        <is>
          <t>Shampoo Capilatis Lifting 350ml</t>
        </is>
      </c>
      <c r="E338" s="10" t="inlineStr">
        <is>
          <t>CAPILATIS</t>
        </is>
      </c>
      <c r="F338" s="10" t="n">
        <v>1868.39</v>
      </c>
      <c r="G338" s="10" t="n">
        <v>154412</v>
      </c>
      <c r="H338" s="10" t="b">
        <v>0</v>
      </c>
      <c r="I338" s="10" t="n">
        <v>350</v>
      </c>
      <c r="J338" s="10" t="n">
        <v>5.3383</v>
      </c>
      <c r="K338" s="10" t="inlineStr">
        <is>
          <t>&gt; Perfumería &gt; Cuidado Capilar &gt; Shampoo &gt;</t>
        </is>
      </c>
      <c r="L338" s="10" t="inlineStr">
        <is>
          <t>shampoo</t>
        </is>
      </c>
      <c r="M338" s="10" t="inlineStr">
        <is>
          <t>estandar</t>
        </is>
      </c>
      <c r="N338" s="10" t="inlineStr">
        <is>
          <t>general</t>
        </is>
      </c>
      <c r="O338" s="10" t="inlineStr">
        <is>
          <t>https://www.disco.com.ar/shampoo-capilatis-lifting-350ml/p</t>
        </is>
      </c>
    </row>
    <row r="339">
      <c r="A339" t="inlineStr">
        <is>
          <t>Disco</t>
        </is>
      </c>
      <c r="B339" t="n">
        <v>38479</v>
      </c>
      <c r="C339" t="n">
        <v>35636</v>
      </c>
      <c r="D339" t="inlineStr">
        <is>
          <t>Shampoo Limpieza Autopolish Ecológico</t>
        </is>
      </c>
      <c r="E339" t="inlineStr">
        <is>
          <t>AUTOPOLISH</t>
        </is>
      </c>
      <c r="F339" t="n">
        <v>120.99</v>
      </c>
      <c r="G339" t="n">
        <v>9999</v>
      </c>
      <c r="H339" t="b">
        <v>0</v>
      </c>
      <c r="I339" t="inlineStr"/>
      <c r="J339" t="inlineStr"/>
      <c r="K339" t="inlineStr">
        <is>
          <t>&gt; Hogar y textil &gt; Automotor &gt; Limpieza &gt;</t>
        </is>
      </c>
      <c r="L339" t="inlineStr">
        <is>
          <t>shampoo</t>
        </is>
      </c>
      <c r="M339" t="inlineStr">
        <is>
          <t>estandar</t>
        </is>
      </c>
      <c r="N339" t="inlineStr">
        <is>
          <t>general</t>
        </is>
      </c>
      <c r="O339" t="inlineStr">
        <is>
          <t>https://www.disco.com.ar/shampoo-limpieza-autopolish-ecologico/p</t>
        </is>
      </c>
    </row>
    <row r="340">
      <c r="A340" s="10" t="inlineStr">
        <is>
          <t>Disco</t>
        </is>
      </c>
      <c r="B340" s="10" t="n">
        <v>36625</v>
      </c>
      <c r="C340" s="10" t="n">
        <v>33786</v>
      </c>
      <c r="D340" s="10" t="inlineStr">
        <is>
          <t>Shampoo Minions 320 Ml</t>
        </is>
      </c>
      <c r="E340" s="10" t="inlineStr">
        <is>
          <t>MINIONS</t>
        </is>
      </c>
      <c r="F340" s="10" t="n">
        <v>78.33</v>
      </c>
      <c r="G340" s="10" t="n">
        <v>78.33</v>
      </c>
      <c r="H340" s="10" t="b">
        <v>0</v>
      </c>
      <c r="I340" s="10" t="n">
        <v>320</v>
      </c>
      <c r="J340" s="10" t="n">
        <v>0.2448</v>
      </c>
      <c r="K340" s="10" t="inlineStr">
        <is>
          <t>&gt; Mundo Bebe &gt; Higiene para el Bebe &gt; Higiene del Bebé &gt;</t>
        </is>
      </c>
      <c r="L340" s="10" t="inlineStr">
        <is>
          <t>shampoo</t>
        </is>
      </c>
      <c r="M340" s="10" t="inlineStr">
        <is>
          <t>estandar</t>
        </is>
      </c>
      <c r="N340" s="10" t="inlineStr">
        <is>
          <t>general</t>
        </is>
      </c>
      <c r="O340" s="10" t="inlineStr">
        <is>
          <t>https://www.disco.com.ar/shampoo-minions/p</t>
        </is>
      </c>
    </row>
    <row r="341">
      <c r="A341" t="inlineStr">
        <is>
          <t>Disco</t>
        </is>
      </c>
      <c r="B341" t="n">
        <v>27696</v>
      </c>
      <c r="C341" t="n">
        <v>24855</v>
      </c>
      <c r="D341" t="inlineStr">
        <is>
          <t>Shampoo Tresemmé Despeinado Perfecto Shampoo Tresemme Despeinado Perfecto 750 Ml</t>
        </is>
      </c>
      <c r="E341" t="inlineStr">
        <is>
          <t>TRESEMMÉ</t>
        </is>
      </c>
      <c r="F341" t="n">
        <v>447.75</v>
      </c>
      <c r="G341" t="n">
        <v>37004</v>
      </c>
      <c r="H341" t="b">
        <v>0</v>
      </c>
      <c r="I341" t="n">
        <v>750</v>
      </c>
      <c r="J341" t="n">
        <v>0.597</v>
      </c>
      <c r="K341" t="inlineStr">
        <is>
          <t>&gt; Perfumería &gt; Cuidado Capilar &gt; Shampoo &gt;</t>
        </is>
      </c>
      <c r="L341" t="inlineStr">
        <is>
          <t>shampoo</t>
        </is>
      </c>
      <c r="M341" t="inlineStr">
        <is>
          <t>estandar</t>
        </is>
      </c>
      <c r="N341" t="inlineStr">
        <is>
          <t>general</t>
        </is>
      </c>
      <c r="O341" t="inlineStr">
        <is>
          <t>https://www.disco.com.ar/shampoo-tresemme-despeinado-perfecto-2/p</t>
        </is>
      </c>
    </row>
    <row r="342">
      <c r="A342" s="10" t="inlineStr">
        <is>
          <t>Disco</t>
        </is>
      </c>
      <c r="B342" s="10" t="n">
        <v>25776</v>
      </c>
      <c r="C342" s="10" t="n">
        <v>22936</v>
      </c>
      <c r="D342" s="10" t="inlineStr">
        <is>
          <t>Shampoo Triatop Clinical 250ml</t>
        </is>
      </c>
      <c r="E342" s="10" t="inlineStr">
        <is>
          <t>TRIATOP</t>
        </is>
      </c>
      <c r="F342" s="10" t="n">
        <v>717.29</v>
      </c>
      <c r="G342" s="10" t="n">
        <v>59280</v>
      </c>
      <c r="H342" s="10" t="b">
        <v>0</v>
      </c>
      <c r="I342" s="10" t="n">
        <v>250</v>
      </c>
      <c r="J342" s="10" t="n">
        <v>2.8692</v>
      </c>
      <c r="K342" s="10" t="inlineStr">
        <is>
          <t>&gt; Perfumería &gt; Cuidado Capilar &gt; Shampoo &gt;</t>
        </is>
      </c>
      <c r="L342" s="10" t="inlineStr">
        <is>
          <t>shampoo</t>
        </is>
      </c>
      <c r="M342" s="10" t="inlineStr">
        <is>
          <t>estandar</t>
        </is>
      </c>
      <c r="N342" s="10" t="inlineStr">
        <is>
          <t>general</t>
        </is>
      </c>
      <c r="O342" s="10" t="inlineStr">
        <is>
          <t>https://www.disco.com.ar/shampoo-triatop-clinical-250ml/p</t>
        </is>
      </c>
    </row>
    <row r="343">
      <c r="A343" t="inlineStr">
        <is>
          <t>Disco</t>
        </is>
      </c>
      <c r="B343" t="n">
        <v>19668</v>
      </c>
      <c r="C343" t="n">
        <v>16833</v>
      </c>
      <c r="D343" t="inlineStr">
        <is>
          <t>Shampoo Sedal Rizos 650ml</t>
        </is>
      </c>
      <c r="E343" t="inlineStr">
        <is>
          <t>SEDAL</t>
        </is>
      </c>
      <c r="F343" t="n">
        <v>370.17</v>
      </c>
      <c r="G343" t="n">
        <v>30593</v>
      </c>
      <c r="H343" t="b">
        <v>0</v>
      </c>
      <c r="I343" t="n">
        <v>650</v>
      </c>
      <c r="J343" t="n">
        <v>0.5695</v>
      </c>
      <c r="K343" t="inlineStr">
        <is>
          <t>&gt; Perfumería &gt; Cuidado Capilar &gt; Shampoo &gt;</t>
        </is>
      </c>
      <c r="L343" t="inlineStr">
        <is>
          <t>shampoo</t>
        </is>
      </c>
      <c r="M343" t="inlineStr">
        <is>
          <t>estandar</t>
        </is>
      </c>
      <c r="N343" t="inlineStr">
        <is>
          <t>rizado</t>
        </is>
      </c>
      <c r="O343" t="inlineStr">
        <is>
          <t>https://www.disco.com.ar/shampoo-sedal-rizos-650ml/p</t>
        </is>
      </c>
    </row>
    <row r="344">
      <c r="A344" s="10" t="inlineStr">
        <is>
          <t>Disco</t>
        </is>
      </c>
      <c r="B344" s="10" t="n">
        <v>19667</v>
      </c>
      <c r="C344" s="10" t="n">
        <v>16832</v>
      </c>
      <c r="D344" s="10" t="inlineStr">
        <is>
          <t>Shampoo Sedal Ceramidas 650ml</t>
        </is>
      </c>
      <c r="E344" s="10" t="inlineStr">
        <is>
          <t>SEDAL</t>
        </is>
      </c>
      <c r="F344" s="10" t="n">
        <v>246.25</v>
      </c>
      <c r="G344" s="10" t="n">
        <v>20351</v>
      </c>
      <c r="H344" s="10" t="b">
        <v>0</v>
      </c>
      <c r="I344" s="10" t="n">
        <v>650</v>
      </c>
      <c r="J344" s="10" t="n">
        <v>0.3788</v>
      </c>
      <c r="K344" s="10" t="inlineStr">
        <is>
          <t>&gt; Perfumería &gt; Cuidado Capilar &gt; Shampoo &gt;</t>
        </is>
      </c>
      <c r="L344" s="10" t="inlineStr">
        <is>
          <t>shampoo</t>
        </is>
      </c>
      <c r="M344" s="10" t="inlineStr">
        <is>
          <t>estandar</t>
        </is>
      </c>
      <c r="N344" s="10" t="inlineStr">
        <is>
          <t>general</t>
        </is>
      </c>
      <c r="O344" s="10" t="inlineStr">
        <is>
          <t>https://www.disco.com.ar/shampoo-sedal-ceramidas-650ml/p</t>
        </is>
      </c>
    </row>
    <row r="345">
      <c r="A345" t="inlineStr">
        <is>
          <t>Disco</t>
        </is>
      </c>
      <c r="B345" t="n">
        <v>19651</v>
      </c>
      <c r="C345" t="n">
        <v>16813</v>
      </c>
      <c r="D345" t="inlineStr">
        <is>
          <t>Shampoo Sedal Ceramidas 340ml</t>
        </is>
      </c>
      <c r="E345" t="inlineStr">
        <is>
          <t>SEDAL SOS</t>
        </is>
      </c>
      <c r="F345" t="n">
        <v>500</v>
      </c>
      <c r="G345" t="n">
        <v>41322</v>
      </c>
      <c r="H345" t="b">
        <v>0</v>
      </c>
      <c r="I345" t="n">
        <v>340</v>
      </c>
      <c r="J345" t="n">
        <v>1.4706</v>
      </c>
      <c r="K345" t="inlineStr">
        <is>
          <t>&gt; Perfumería &gt; Cuidado Capilar &gt; Shampoo &gt;</t>
        </is>
      </c>
      <c r="L345" t="inlineStr">
        <is>
          <t>shampoo</t>
        </is>
      </c>
      <c r="M345" t="inlineStr">
        <is>
          <t>estandar</t>
        </is>
      </c>
      <c r="N345" t="inlineStr">
        <is>
          <t>general</t>
        </is>
      </c>
      <c r="O345" t="inlineStr">
        <is>
          <t>https://www.disco.com.ar/shampoo-sedal-ceramidas-340ml/p</t>
        </is>
      </c>
    </row>
    <row r="346">
      <c r="A346" s="10" t="inlineStr">
        <is>
          <t>Disco</t>
        </is>
      </c>
      <c r="B346" s="10" t="n">
        <v>19534</v>
      </c>
      <c r="C346" s="10" t="n">
        <v>16690</v>
      </c>
      <c r="D346" s="10" t="inlineStr">
        <is>
          <t>Shampoo Tresemmé 750 Ml</t>
        </is>
      </c>
      <c r="E346" s="10" t="inlineStr">
        <is>
          <t>TRESEMMÉ</t>
        </is>
      </c>
      <c r="F346" s="10" t="n">
        <v>447.75</v>
      </c>
      <c r="G346" s="10" t="n">
        <v>37004</v>
      </c>
      <c r="H346" s="10" t="b">
        <v>0</v>
      </c>
      <c r="I346" s="10" t="n">
        <v>750</v>
      </c>
      <c r="J346" s="10" t="n">
        <v>0.597</v>
      </c>
      <c r="K346" s="10" t="inlineStr">
        <is>
          <t>&gt; Perfumería &gt; Cuidado Capilar &gt; Shampoo &gt;</t>
        </is>
      </c>
      <c r="L346" s="10" t="inlineStr">
        <is>
          <t>shampoo</t>
        </is>
      </c>
      <c r="M346" s="10" t="inlineStr">
        <is>
          <t>estandar</t>
        </is>
      </c>
      <c r="N346" s="10" t="inlineStr">
        <is>
          <t>general</t>
        </is>
      </c>
      <c r="O346" s="10" t="inlineStr">
        <is>
          <t>https://www.disco.com.ar/shampoo-tresemme-750-ml/p</t>
        </is>
      </c>
    </row>
    <row r="347">
      <c r="A347" t="inlineStr">
        <is>
          <t>Disco</t>
        </is>
      </c>
      <c r="B347" t="n">
        <v>19521</v>
      </c>
      <c r="C347" t="n">
        <v>16671</v>
      </c>
      <c r="D347" t="inlineStr">
        <is>
          <t>Shampoo Tresemme Keratina 400ml Shampoo Tresemme Liso Keratina 400 Ml</t>
        </is>
      </c>
      <c r="E347" t="inlineStr">
        <is>
          <t>TRESEMMÉ</t>
        </is>
      </c>
      <c r="F347" t="n">
        <v>472.75</v>
      </c>
      <c r="G347" t="n">
        <v>39070</v>
      </c>
      <c r="H347" t="b">
        <v>0</v>
      </c>
      <c r="I347" t="n">
        <v>400</v>
      </c>
      <c r="J347" t="n">
        <v>1.1819</v>
      </c>
      <c r="K347" t="inlineStr">
        <is>
          <t>&gt; Perfumería &gt; Cuidado Capilar &gt; Shampoo &gt;</t>
        </is>
      </c>
      <c r="L347" t="inlineStr">
        <is>
          <t>shampoo</t>
        </is>
      </c>
      <c r="M347" t="inlineStr">
        <is>
          <t>estandar</t>
        </is>
      </c>
      <c r="N347" t="inlineStr">
        <is>
          <t>tratado</t>
        </is>
      </c>
      <c r="O347" t="inlineStr">
        <is>
          <t>https://www.disco.com.ar/shampoo-tresemme-keratina-400ml/p</t>
        </is>
      </c>
    </row>
    <row r="348">
      <c r="A348" s="10" t="inlineStr">
        <is>
          <t>Disco</t>
        </is>
      </c>
      <c r="B348" s="10" t="n">
        <v>7408</v>
      </c>
      <c r="C348" s="10" t="n">
        <v>4737</v>
      </c>
      <c r="D348" s="10" t="inlineStr">
        <is>
          <t>Shampoo Pantene Rizos 400ml</t>
        </is>
      </c>
      <c r="E348" s="10" t="inlineStr">
        <is>
          <t>PANTENE</t>
        </is>
      </c>
      <c r="F348" s="10" t="n">
        <v>201.27</v>
      </c>
      <c r="G348" s="10" t="n">
        <v>16634</v>
      </c>
      <c r="H348" s="10" t="b">
        <v>0</v>
      </c>
      <c r="I348" s="10" t="n">
        <v>400</v>
      </c>
      <c r="J348" s="10" t="n">
        <v>0.5032</v>
      </c>
      <c r="K348" s="10" t="inlineStr">
        <is>
          <t>&gt; Perfumería &gt; Cuidado Capilar &gt; Shampoo &gt;</t>
        </is>
      </c>
      <c r="L348" s="10" t="inlineStr">
        <is>
          <t>shampoo</t>
        </is>
      </c>
      <c r="M348" s="10" t="inlineStr">
        <is>
          <t>estandar</t>
        </is>
      </c>
      <c r="N348" s="10" t="inlineStr">
        <is>
          <t>rizado</t>
        </is>
      </c>
      <c r="O348" s="10" t="inlineStr">
        <is>
          <t>https://www.disco.com.ar/shampoo-pantene-rizos-400ml/p</t>
        </is>
      </c>
    </row>
    <row r="349">
      <c r="A349" t="inlineStr">
        <is>
          <t>Disco</t>
        </is>
      </c>
      <c r="B349" t="n">
        <v>5331</v>
      </c>
      <c r="C349" t="n">
        <v>2827</v>
      </c>
      <c r="D349" t="inlineStr">
        <is>
          <t>Shampoo Tresemmé-pvc-mi-400</t>
        </is>
      </c>
      <c r="E349" t="inlineStr">
        <is>
          <t>TRESEMMÉ</t>
        </is>
      </c>
      <c r="F349" t="n">
        <v>283.29</v>
      </c>
      <c r="G349" t="n">
        <v>23412</v>
      </c>
      <c r="H349" t="b">
        <v>0</v>
      </c>
      <c r="I349" t="inlineStr"/>
      <c r="J349" t="inlineStr"/>
      <c r="K349" t="inlineStr">
        <is>
          <t>&gt; Perfumería &gt; Cuidado Capilar &gt; Shampoo &gt;</t>
        </is>
      </c>
      <c r="L349" t="inlineStr">
        <is>
          <t>shampoo</t>
        </is>
      </c>
      <c r="M349" t="inlineStr">
        <is>
          <t>estandar</t>
        </is>
      </c>
      <c r="N349" t="inlineStr">
        <is>
          <t>general</t>
        </is>
      </c>
      <c r="O349" t="inlineStr">
        <is>
          <t>https://www.disco.com.ar/shampoo-tresemme-pvc-mi-400/p</t>
        </is>
      </c>
    </row>
    <row r="350">
      <c r="A350" s="10" t="inlineStr">
        <is>
          <t>Disco</t>
        </is>
      </c>
      <c r="B350" s="10" t="n">
        <v>3464</v>
      </c>
      <c r="C350" s="10" t="n">
        <v>248550</v>
      </c>
      <c r="D350" s="10" t="inlineStr">
        <is>
          <t>Shampoo Elvive Citrus 400ml</t>
        </is>
      </c>
      <c r="E350" s="10" t="inlineStr">
        <is>
          <t>ELVIVE</t>
        </is>
      </c>
      <c r="F350" s="10" t="n">
        <v>533.79</v>
      </c>
      <c r="G350" s="10" t="n">
        <v>44115</v>
      </c>
      <c r="H350" s="10" t="b">
        <v>0</v>
      </c>
      <c r="I350" s="10" t="n">
        <v>400</v>
      </c>
      <c r="J350" s="10" t="n">
        <v>1.3345</v>
      </c>
      <c r="K350" s="10" t="inlineStr">
        <is>
          <t>&gt; Perfumería &gt; Cuidado Capilar &gt; Shampoo &gt;</t>
        </is>
      </c>
      <c r="L350" s="10" t="inlineStr">
        <is>
          <t>shampoo</t>
        </is>
      </c>
      <c r="M350" s="10" t="inlineStr">
        <is>
          <t>profesional</t>
        </is>
      </c>
      <c r="N350" s="10" t="inlineStr">
        <is>
          <t>general</t>
        </is>
      </c>
      <c r="O350" s="10" t="inlineStr">
        <is>
          <t>https://www.disco.com.ar/shampoo-elvive-citrus-400ml/p</t>
        </is>
      </c>
    </row>
    <row r="351">
      <c r="A351" t="inlineStr">
        <is>
          <t>Disco</t>
        </is>
      </c>
      <c r="B351" t="n">
        <v>157946</v>
      </c>
      <c r="C351" t="n">
        <v>155505</v>
      </c>
      <c r="D351" t="inlineStr">
        <is>
          <t>Shampoo Johnson Baby Manzanilla Shampoo 400ml+acond 200ml Pck 2 Un.</t>
        </is>
      </c>
      <c r="E351" t="inlineStr">
        <is>
          <t>JOHNSON BABY</t>
        </is>
      </c>
      <c r="F351" t="n">
        <v>17.69</v>
      </c>
      <c r="G351" t="n">
        <v>17.69</v>
      </c>
      <c r="H351" t="b">
        <v>0</v>
      </c>
      <c r="I351" t="n">
        <v>400</v>
      </c>
      <c r="J351" t="n">
        <v>0.0442</v>
      </c>
      <c r="K351" t="inlineStr">
        <is>
          <t>&gt; Mundo Bebe &gt; Higiene para el Bebe &gt; Higiene del Bebé &gt;</t>
        </is>
      </c>
      <c r="L351" t="inlineStr">
        <is>
          <t>shampoo</t>
        </is>
      </c>
      <c r="M351" t="inlineStr">
        <is>
          <t>estandar</t>
        </is>
      </c>
      <c r="N351" t="inlineStr">
        <is>
          <t>general</t>
        </is>
      </c>
      <c r="O351" t="inlineStr">
        <is>
          <t>https://www.disco.com.ar/shampoo-johnson-baby-manzanilla-shampoo-400ml-acond-200ml-pck-2-un/p</t>
        </is>
      </c>
    </row>
    <row r="352">
      <c r="A352" s="10" t="inlineStr">
        <is>
          <t>Disco</t>
        </is>
      </c>
      <c r="B352" s="10" t="n">
        <v>1369603</v>
      </c>
      <c r="C352" s="10" t="n">
        <v>1367902</v>
      </c>
      <c r="D352" s="10" t="inlineStr">
        <is>
          <t>Shampoo Tio Nachito 400ml</t>
        </is>
      </c>
      <c r="E352" s="10" t="inlineStr">
        <is>
          <t>TIO NACHITO</t>
        </is>
      </c>
      <c r="F352" s="10" t="n">
        <v>10500</v>
      </c>
      <c r="G352" s="10" t="n">
        <v>867769</v>
      </c>
      <c r="H352" s="10" t="b">
        <v>0</v>
      </c>
      <c r="I352" s="10" t="n">
        <v>400</v>
      </c>
      <c r="J352" s="10" t="n">
        <v>26.25</v>
      </c>
      <c r="K352" s="10" t="inlineStr">
        <is>
          <t>&gt; Perfumería &gt; Cuidado Capilar &gt; Shampoo &gt;</t>
        </is>
      </c>
      <c r="L352" s="10" t="inlineStr">
        <is>
          <t>shampoo</t>
        </is>
      </c>
      <c r="M352" s="10" t="inlineStr">
        <is>
          <t>estandar</t>
        </is>
      </c>
      <c r="N352" s="10" t="inlineStr">
        <is>
          <t>general</t>
        </is>
      </c>
      <c r="O352" s="10" t="inlineStr">
        <is>
          <t>https://www.disco.com.ar/shampoo-tio-nachito-400ml/p</t>
        </is>
      </c>
    </row>
    <row r="353">
      <c r="A353" t="inlineStr">
        <is>
          <t>Disco</t>
        </is>
      </c>
      <c r="B353" t="n">
        <v>394684</v>
      </c>
      <c r="C353" t="n">
        <v>392683</v>
      </c>
      <c r="D353" t="inlineStr">
        <is>
          <t>Shampoo Ogx Biotin 385ml</t>
        </is>
      </c>
      <c r="E353" t="inlineStr">
        <is>
          <t>OGX</t>
        </is>
      </c>
      <c r="F353" t="n">
        <v>9896.09</v>
      </c>
      <c r="G353" t="n">
        <v>817859</v>
      </c>
      <c r="H353" t="b">
        <v>0</v>
      </c>
      <c r="I353" t="n">
        <v>385</v>
      </c>
      <c r="J353" t="n">
        <v>25.7041</v>
      </c>
      <c r="K353" t="inlineStr">
        <is>
          <t>&gt; Perfumería &gt; Cuidado Capilar &gt; Shampoo &gt;</t>
        </is>
      </c>
      <c r="L353" t="inlineStr">
        <is>
          <t>shampoo</t>
        </is>
      </c>
      <c r="M353" t="inlineStr">
        <is>
          <t>estandar</t>
        </is>
      </c>
      <c r="N353" t="inlineStr">
        <is>
          <t>general</t>
        </is>
      </c>
      <c r="O353" t="inlineStr">
        <is>
          <t>https://www.disco.com.ar/shampoo-ogx-biotin-385ml/p</t>
        </is>
      </c>
    </row>
    <row r="354">
      <c r="A354" s="10" t="inlineStr">
        <is>
          <t>Disco</t>
        </is>
      </c>
      <c r="B354" s="10" t="n">
        <v>375609</v>
      </c>
      <c r="C354" s="10" t="n">
        <v>374327</v>
      </c>
      <c r="D354" s="10" t="inlineStr">
        <is>
          <t>Shampoo Suave Antifrizz 930ml</t>
        </is>
      </c>
      <c r="E354" s="10" t="inlineStr">
        <is>
          <t>SUAVE</t>
        </is>
      </c>
      <c r="F354" s="10" t="n">
        <v>659.55</v>
      </c>
      <c r="G354" s="10" t="n">
        <v>54508</v>
      </c>
      <c r="H354" s="10" t="b">
        <v>0</v>
      </c>
      <c r="I354" s="10" t="n">
        <v>930</v>
      </c>
      <c r="J354" s="10" t="n">
        <v>0.7092000000000001</v>
      </c>
      <c r="K354" s="10" t="inlineStr">
        <is>
          <t>&gt; Perfumería &gt; Cuidado Capilar &gt; Shampoo &gt;</t>
        </is>
      </c>
      <c r="L354" s="10" t="inlineStr">
        <is>
          <t>shampoo</t>
        </is>
      </c>
      <c r="M354" s="10" t="inlineStr">
        <is>
          <t>estandar</t>
        </is>
      </c>
      <c r="N354" s="10" t="inlineStr">
        <is>
          <t>bebe</t>
        </is>
      </c>
      <c r="O354" s="10" t="inlineStr">
        <is>
          <t>https://www.disco.com.ar/shampoo-suave-antifrizz-930ml/p</t>
        </is>
      </c>
    </row>
    <row r="355">
      <c r="A355" t="inlineStr">
        <is>
          <t>Disco</t>
        </is>
      </c>
      <c r="B355" t="n">
        <v>375600</v>
      </c>
      <c r="C355" t="n">
        <v>374318</v>
      </c>
      <c r="D355" t="inlineStr">
        <is>
          <t>Shampoo Suave Manzana 930ml</t>
        </is>
      </c>
      <c r="E355" t="inlineStr">
        <is>
          <t>SUAVE</t>
        </is>
      </c>
      <c r="F355" t="n">
        <v>2181.29</v>
      </c>
      <c r="G355" t="n">
        <v>180272</v>
      </c>
      <c r="H355" t="b">
        <v>0</v>
      </c>
      <c r="I355" t="n">
        <v>930</v>
      </c>
      <c r="J355" t="n">
        <v>2.3455</v>
      </c>
      <c r="K355" t="inlineStr">
        <is>
          <t>&gt; Perfumería &gt; Cuidado Capilar &gt; Shampoo &gt;</t>
        </is>
      </c>
      <c r="L355" t="inlineStr">
        <is>
          <t>shampoo</t>
        </is>
      </c>
      <c r="M355" t="inlineStr">
        <is>
          <t>estandar</t>
        </is>
      </c>
      <c r="N355" t="inlineStr">
        <is>
          <t>bebe</t>
        </is>
      </c>
      <c r="O355" t="inlineStr">
        <is>
          <t>https://www.disco.com.ar/shampoo-suave-manzana-930ml/p</t>
        </is>
      </c>
    </row>
    <row r="356">
      <c r="A356" s="10" t="inlineStr">
        <is>
          <t>Disco</t>
        </is>
      </c>
      <c r="B356" s="10" t="n">
        <v>375599</v>
      </c>
      <c r="C356" s="10" t="n">
        <v>374317</v>
      </c>
      <c r="D356" s="10" t="inlineStr">
        <is>
          <t>Shampoo Suave Rubios 930ml</t>
        </is>
      </c>
      <c r="E356" s="10" t="inlineStr">
        <is>
          <t>SUAVE</t>
        </is>
      </c>
      <c r="F356" s="10" t="n">
        <v>569.6900000000001</v>
      </c>
      <c r="G356" s="10" t="n">
        <v>47082</v>
      </c>
      <c r="H356" s="10" t="b">
        <v>0</v>
      </c>
      <c r="I356" s="10" t="n">
        <v>930</v>
      </c>
      <c r="J356" s="10" t="n">
        <v>0.6126</v>
      </c>
      <c r="K356" s="10" t="inlineStr">
        <is>
          <t>&gt; Perfumería &gt; Cuidado Capilar &gt; Shampoo &gt;</t>
        </is>
      </c>
      <c r="L356" s="10" t="inlineStr">
        <is>
          <t>shampoo</t>
        </is>
      </c>
      <c r="M356" s="10" t="inlineStr">
        <is>
          <t>estandar</t>
        </is>
      </c>
      <c r="N356" s="10" t="inlineStr">
        <is>
          <t>bebe</t>
        </is>
      </c>
      <c r="O356" s="10" t="inlineStr">
        <is>
          <t>https://www.disco.com.ar/shampoo-suave-rubios-930ml/p</t>
        </is>
      </c>
    </row>
    <row r="357">
      <c r="A357" t="inlineStr">
        <is>
          <t>Disco</t>
        </is>
      </c>
      <c r="B357" t="n">
        <v>337423</v>
      </c>
      <c r="C357" t="n">
        <v>336526</v>
      </c>
      <c r="D357" t="inlineStr">
        <is>
          <t>Shampoo Dove Reconstruccion 400ml</t>
        </is>
      </c>
      <c r="E357" t="inlineStr">
        <is>
          <t>DOVE</t>
        </is>
      </c>
      <c r="F357" t="n">
        <v>603.09</v>
      </c>
      <c r="G357" t="n">
        <v>49842</v>
      </c>
      <c r="H357" t="b">
        <v>0</v>
      </c>
      <c r="I357" t="n">
        <v>400</v>
      </c>
      <c r="J357" t="n">
        <v>1.5077</v>
      </c>
      <c r="K357" t="inlineStr">
        <is>
          <t>&gt; Perfumería &gt; Cuidado Capilar &gt; Shampoo &gt;</t>
        </is>
      </c>
      <c r="L357" t="inlineStr">
        <is>
          <t>shampoo</t>
        </is>
      </c>
      <c r="M357" t="inlineStr">
        <is>
          <t>estandar</t>
        </is>
      </c>
      <c r="N357" t="inlineStr">
        <is>
          <t>general</t>
        </is>
      </c>
      <c r="O357" t="inlineStr">
        <is>
          <t>https://www.disco.com.ar/shampoo-dove-reconstruccion-400ml-2/p</t>
        </is>
      </c>
    </row>
    <row r="358">
      <c r="A358" s="10" t="inlineStr">
        <is>
          <t>Disco</t>
        </is>
      </c>
      <c r="B358" s="10" t="n">
        <v>336045</v>
      </c>
      <c r="C358" s="10" t="n">
        <v>335154</v>
      </c>
      <c r="D358" s="10" t="inlineStr">
        <is>
          <t>Shampoo Sedal Coco 650ml</t>
        </is>
      </c>
      <c r="E358" s="10" t="inlineStr">
        <is>
          <t>SEDAL</t>
        </is>
      </c>
      <c r="F358" s="10" t="n">
        <v>457.87</v>
      </c>
      <c r="G358" s="10" t="n">
        <v>37841</v>
      </c>
      <c r="H358" s="10" t="b">
        <v>0</v>
      </c>
      <c r="I358" s="10" t="n">
        <v>650</v>
      </c>
      <c r="J358" s="10" t="n">
        <v>0.7044</v>
      </c>
      <c r="K358" s="10" t="inlineStr">
        <is>
          <t>&gt; Perfumería &gt; Cuidado Capilar &gt; Shampoo &gt;</t>
        </is>
      </c>
      <c r="L358" s="10" t="inlineStr">
        <is>
          <t>shampoo</t>
        </is>
      </c>
      <c r="M358" s="10" t="inlineStr">
        <is>
          <t>estandar</t>
        </is>
      </c>
      <c r="N358" s="10" t="inlineStr">
        <is>
          <t>general</t>
        </is>
      </c>
      <c r="O358" s="10" t="inlineStr">
        <is>
          <t>https://www.disco.com.ar/shampoo-sedal-coco-650ml/p</t>
        </is>
      </c>
    </row>
    <row r="359">
      <c r="A359" t="inlineStr">
        <is>
          <t>Disco</t>
        </is>
      </c>
      <c r="B359" t="n">
        <v>332168</v>
      </c>
      <c r="C359" t="n">
        <v>331326</v>
      </c>
      <c r="D359" t="inlineStr">
        <is>
          <t>Shampoo Plusbelle Detox 1lt</t>
        </is>
      </c>
      <c r="E359" t="inlineStr">
        <is>
          <t>PLUSBELLE</t>
        </is>
      </c>
      <c r="F359" t="n">
        <v>454.55</v>
      </c>
      <c r="G359" t="n">
        <v>37566</v>
      </c>
      <c r="H359" t="b">
        <v>0</v>
      </c>
      <c r="I359" t="inlineStr"/>
      <c r="J359" t="inlineStr"/>
      <c r="K359" t="inlineStr">
        <is>
          <t>&gt; Perfumería &gt; Cuidado Capilar &gt; Shampoo &gt;</t>
        </is>
      </c>
      <c r="L359" t="inlineStr">
        <is>
          <t>shampoo</t>
        </is>
      </c>
      <c r="M359" t="inlineStr">
        <is>
          <t>estandar</t>
        </is>
      </c>
      <c r="N359" t="inlineStr">
        <is>
          <t>general</t>
        </is>
      </c>
      <c r="O359" t="inlineStr">
        <is>
          <t>https://www.disco.com.ar/shampoo-plusbelle-detox-1lt/p</t>
        </is>
      </c>
    </row>
    <row r="360">
      <c r="A360" s="10" t="inlineStr">
        <is>
          <t>Disco</t>
        </is>
      </c>
      <c r="B360" s="10" t="n">
        <v>332166</v>
      </c>
      <c r="C360" s="10" t="n">
        <v>331324</v>
      </c>
      <c r="D360" s="10" t="inlineStr">
        <is>
          <t>Shampoo Plusbelle Balance 1lt</t>
        </is>
      </c>
      <c r="E360" s="10" t="inlineStr">
        <is>
          <t>PLUSBELLE</t>
        </is>
      </c>
      <c r="F360" s="10" t="n">
        <v>454.55</v>
      </c>
      <c r="G360" s="10" t="n">
        <v>37566</v>
      </c>
      <c r="H360" s="10" t="b">
        <v>0</v>
      </c>
      <c r="I360" s="10" t="inlineStr"/>
      <c r="J360" s="10" t="inlineStr"/>
      <c r="K360" s="10" t="inlineStr">
        <is>
          <t>&gt; Perfumería &gt; Cuidado Capilar &gt; Shampoo &gt;</t>
        </is>
      </c>
      <c r="L360" s="10" t="inlineStr">
        <is>
          <t>shampoo</t>
        </is>
      </c>
      <c r="M360" s="10" t="inlineStr">
        <is>
          <t>estandar</t>
        </is>
      </c>
      <c r="N360" s="10" t="inlineStr">
        <is>
          <t>general</t>
        </is>
      </c>
      <c r="O360" s="10" t="inlineStr">
        <is>
          <t>https://www.disco.com.ar/shampoo-plusbelle-balance-1lt/p</t>
        </is>
      </c>
    </row>
    <row r="361">
      <c r="A361" t="inlineStr">
        <is>
          <t>Disco</t>
        </is>
      </c>
      <c r="B361" t="n">
        <v>332159</v>
      </c>
      <c r="C361" t="n">
        <v>331317</v>
      </c>
      <c r="D361" t="inlineStr">
        <is>
          <t>Shampoo Plusbelle Restructuracion 970ml</t>
        </is>
      </c>
      <c r="E361" t="inlineStr">
        <is>
          <t>PLUSBELLE</t>
        </is>
      </c>
      <c r="F361" t="n">
        <v>545.45</v>
      </c>
      <c r="G361" t="n">
        <v>45079</v>
      </c>
      <c r="H361" t="b">
        <v>0</v>
      </c>
      <c r="I361" t="n">
        <v>970</v>
      </c>
      <c r="J361" t="n">
        <v>0.5623</v>
      </c>
      <c r="K361" t="inlineStr">
        <is>
          <t>&gt; Perfumería &gt; Cuidado Capilar &gt; Shampoo &gt;</t>
        </is>
      </c>
      <c r="L361" t="inlineStr">
        <is>
          <t>shampoo</t>
        </is>
      </c>
      <c r="M361" t="inlineStr">
        <is>
          <t>estandar</t>
        </is>
      </c>
      <c r="N361" t="inlineStr">
        <is>
          <t>general</t>
        </is>
      </c>
      <c r="O361" t="inlineStr">
        <is>
          <t>https://www.disco.com.ar/shampoo-plusbelle-restructuracion-970ml/p</t>
        </is>
      </c>
    </row>
    <row r="362">
      <c r="A362" s="10" t="inlineStr">
        <is>
          <t>Disco</t>
        </is>
      </c>
      <c r="B362" s="10" t="n">
        <v>331677</v>
      </c>
      <c r="C362" s="10" t="n">
        <v>330835</v>
      </c>
      <c r="D362" s="10" t="inlineStr">
        <is>
          <t>Shampoo Plusbelle Antioxidante 1lt</t>
        </is>
      </c>
      <c r="E362" s="10" t="inlineStr">
        <is>
          <t>PLUSBELLE</t>
        </is>
      </c>
      <c r="F362" s="10" t="n">
        <v>454.55</v>
      </c>
      <c r="G362" s="10" t="n">
        <v>37566</v>
      </c>
      <c r="H362" s="10" t="b">
        <v>0</v>
      </c>
      <c r="I362" s="10" t="inlineStr"/>
      <c r="J362" s="10" t="inlineStr"/>
      <c r="K362" s="10" t="inlineStr">
        <is>
          <t>&gt; Perfumería &gt; Cuidado Capilar &gt; Shampoo &gt;</t>
        </is>
      </c>
      <c r="L362" s="10" t="inlineStr">
        <is>
          <t>shampoo</t>
        </is>
      </c>
      <c r="M362" s="10" t="inlineStr">
        <is>
          <t>estandar</t>
        </is>
      </c>
      <c r="N362" s="10" t="inlineStr">
        <is>
          <t>general</t>
        </is>
      </c>
      <c r="O362" s="10" t="inlineStr">
        <is>
          <t>https://www.disco.com.ar/shampoo-plusbelle-antioxidante-1lt/p</t>
        </is>
      </c>
    </row>
    <row r="363">
      <c r="A363" t="inlineStr">
        <is>
          <t>Disco</t>
        </is>
      </c>
      <c r="B363" t="n">
        <v>317286</v>
      </c>
      <c r="C363" t="n">
        <v>316532</v>
      </c>
      <c r="D363" t="inlineStr">
        <is>
          <t>Shampoo Sedal Carbon 190ml</t>
        </is>
      </c>
      <c r="E363" t="inlineStr">
        <is>
          <t>SEDAL</t>
        </is>
      </c>
      <c r="F363" t="n">
        <v>219.53</v>
      </c>
      <c r="G363" t="n">
        <v>18143</v>
      </c>
      <c r="H363" t="b">
        <v>0</v>
      </c>
      <c r="I363" t="n">
        <v>190</v>
      </c>
      <c r="J363" t="n">
        <v>1.1554</v>
      </c>
      <c r="K363" t="inlineStr">
        <is>
          <t>&gt; Perfumería &gt; Cuidado Capilar &gt; Shampoo &gt;</t>
        </is>
      </c>
      <c r="L363" t="inlineStr">
        <is>
          <t>shampoo</t>
        </is>
      </c>
      <c r="M363" t="inlineStr">
        <is>
          <t>estandar</t>
        </is>
      </c>
      <c r="N363" t="inlineStr">
        <is>
          <t>general</t>
        </is>
      </c>
      <c r="O363" t="inlineStr">
        <is>
          <t>https://www.disco.com.ar/shampoo-sedal-carbon-190ml/p</t>
        </is>
      </c>
    </row>
    <row r="364">
      <c r="A364" s="10" t="inlineStr">
        <is>
          <t>Disco</t>
        </is>
      </c>
      <c r="B364" s="10" t="n">
        <v>317280</v>
      </c>
      <c r="C364" s="10" t="n">
        <v>316526</v>
      </c>
      <c r="D364" s="10" t="inlineStr">
        <is>
          <t>Shampoo Sedal Carbon 340ml</t>
        </is>
      </c>
      <c r="E364" s="10" t="inlineStr">
        <is>
          <t>SEDAL</t>
        </is>
      </c>
      <c r="F364" s="10" t="n">
        <v>286.27</v>
      </c>
      <c r="G364" s="10" t="n">
        <v>23659</v>
      </c>
      <c r="H364" s="10" t="b">
        <v>0</v>
      </c>
      <c r="I364" s="10" t="n">
        <v>340</v>
      </c>
      <c r="J364" s="10" t="n">
        <v>0.842</v>
      </c>
      <c r="K364" s="10" t="inlineStr">
        <is>
          <t>&gt; Perfumería &gt; Cuidado Capilar &gt; Shampoo &gt;</t>
        </is>
      </c>
      <c r="L364" s="10" t="inlineStr">
        <is>
          <t>shampoo</t>
        </is>
      </c>
      <c r="M364" s="10" t="inlineStr">
        <is>
          <t>estandar</t>
        </is>
      </c>
      <c r="N364" s="10" t="inlineStr">
        <is>
          <t>general</t>
        </is>
      </c>
      <c r="O364" s="10" t="inlineStr">
        <is>
          <t>https://www.disco.com.ar/shampoo-sedal-carbon-340ml/p</t>
        </is>
      </c>
    </row>
    <row r="365">
      <c r="A365" t="inlineStr">
        <is>
          <t>Disco</t>
        </is>
      </c>
      <c r="B365" t="n">
        <v>312934</v>
      </c>
      <c r="C365" t="n">
        <v>312172</v>
      </c>
      <c r="D365" t="inlineStr">
        <is>
          <t>Shampoo Biferdil Keratina 400ml</t>
        </is>
      </c>
      <c r="E365" t="inlineStr">
        <is>
          <t>BIFERDIL</t>
        </is>
      </c>
      <c r="F365" t="n">
        <v>10413.85</v>
      </c>
      <c r="G365" t="n">
        <v>860649</v>
      </c>
      <c r="H365" t="b">
        <v>0</v>
      </c>
      <c r="I365" t="n">
        <v>400</v>
      </c>
      <c r="J365" t="n">
        <v>26.0346</v>
      </c>
      <c r="K365" t="inlineStr">
        <is>
          <t>&gt; Perfumería &gt; Cuidado Capilar &gt; Shampoo &gt;</t>
        </is>
      </c>
      <c r="L365" t="inlineStr">
        <is>
          <t>shampoo</t>
        </is>
      </c>
      <c r="M365" t="inlineStr">
        <is>
          <t>estandar</t>
        </is>
      </c>
      <c r="N365" t="inlineStr">
        <is>
          <t>tratado</t>
        </is>
      </c>
      <c r="O365" t="inlineStr">
        <is>
          <t>https://www.disco.com.ar/shampoo-biferdil-keratina-400ml/p</t>
        </is>
      </c>
    </row>
    <row r="366">
      <c r="A366" s="10" t="inlineStr">
        <is>
          <t>Disco</t>
        </is>
      </c>
      <c r="B366" s="10" t="n">
        <v>311249</v>
      </c>
      <c r="C366" s="10" t="n">
        <v>310484</v>
      </c>
      <c r="D366" s="10" t="inlineStr">
        <is>
          <t>Shampoo Docilidad 1 L</t>
        </is>
      </c>
      <c r="E366" s="10" t="inlineStr">
        <is>
          <t>PLUSBELLE</t>
        </is>
      </c>
      <c r="F366" s="10" t="n">
        <v>213.19</v>
      </c>
      <c r="G366" s="10" t="n">
        <v>17619</v>
      </c>
      <c r="H366" s="10" t="b">
        <v>0</v>
      </c>
      <c r="I366" s="10" t="n">
        <v>1000</v>
      </c>
      <c r="J366" s="10" t="n">
        <v>0.2132</v>
      </c>
      <c r="K366" s="10" t="inlineStr">
        <is>
          <t>&gt; Perfumería &gt; Cuidado Capilar &gt; Shampoo &gt;</t>
        </is>
      </c>
      <c r="L366" s="10" t="inlineStr">
        <is>
          <t>shampoo</t>
        </is>
      </c>
      <c r="M366" s="10" t="inlineStr">
        <is>
          <t>estandar</t>
        </is>
      </c>
      <c r="N366" s="10" t="inlineStr">
        <is>
          <t>general</t>
        </is>
      </c>
      <c r="O366" s="10" t="inlineStr">
        <is>
          <t>https://www.disco.com.ar/shampoo-docilidad-1-l/p</t>
        </is>
      </c>
    </row>
    <row r="367">
      <c r="A367" t="inlineStr">
        <is>
          <t>Disco</t>
        </is>
      </c>
      <c r="B367" t="n">
        <v>307900</v>
      </c>
      <c r="C367" t="n">
        <v>307138</v>
      </c>
      <c r="D367" t="inlineStr">
        <is>
          <t>Shampoo Polyana Nutricion 300ml</t>
        </is>
      </c>
      <c r="E367" t="inlineStr">
        <is>
          <t>POLYANA</t>
        </is>
      </c>
      <c r="F367" t="n">
        <v>300</v>
      </c>
      <c r="G367" t="n">
        <v>24793</v>
      </c>
      <c r="H367" t="b">
        <v>0</v>
      </c>
      <c r="I367" t="n">
        <v>300</v>
      </c>
      <c r="J367" t="n">
        <v>1</v>
      </c>
      <c r="K367" t="inlineStr">
        <is>
          <t>&gt; Perfumería &gt; Cuidado Capilar &gt; Shampoo &gt;</t>
        </is>
      </c>
      <c r="L367" t="inlineStr">
        <is>
          <t>shampoo</t>
        </is>
      </c>
      <c r="M367" t="inlineStr">
        <is>
          <t>estandar</t>
        </is>
      </c>
      <c r="N367" t="inlineStr">
        <is>
          <t>general</t>
        </is>
      </c>
      <c r="O367" t="inlineStr">
        <is>
          <t>https://www.disco.com.ar/shampoo-polyana-nutricion-300ml/p</t>
        </is>
      </c>
    </row>
    <row r="368">
      <c r="A368" s="10" t="inlineStr">
        <is>
          <t>Disco</t>
        </is>
      </c>
      <c r="B368" s="10" t="n">
        <v>288718</v>
      </c>
      <c r="C368" s="10" t="n">
        <v>287965</v>
      </c>
      <c r="D368" s="10" t="inlineStr">
        <is>
          <t>Shampoo Elvive Reconstructor 200ml</t>
        </is>
      </c>
      <c r="E368" s="10" t="inlineStr">
        <is>
          <t>ELVIVE</t>
        </is>
      </c>
      <c r="F368" s="10" t="n">
        <v>290.85</v>
      </c>
      <c r="G368" s="10" t="n">
        <v>24037</v>
      </c>
      <c r="H368" s="10" t="b">
        <v>0</v>
      </c>
      <c r="I368" s="10" t="n">
        <v>200</v>
      </c>
      <c r="J368" s="10" t="n">
        <v>1.4543</v>
      </c>
      <c r="K368" s="10" t="inlineStr">
        <is>
          <t>&gt; Perfumería &gt; Cuidado Capilar &gt; Shampoo &gt;</t>
        </is>
      </c>
      <c r="L368" s="10" t="inlineStr">
        <is>
          <t>shampoo</t>
        </is>
      </c>
      <c r="M368" s="10" t="inlineStr">
        <is>
          <t>profesional</t>
        </is>
      </c>
      <c r="N368" s="10" t="inlineStr">
        <is>
          <t>general</t>
        </is>
      </c>
      <c r="O368" s="10" t="inlineStr">
        <is>
          <t>https://www.disco.com.ar/shampoo-elvive-reconstructor-200ml/p</t>
        </is>
      </c>
    </row>
    <row r="369">
      <c r="A369" t="inlineStr">
        <is>
          <t>Disco</t>
        </is>
      </c>
      <c r="B369" t="n">
        <v>272972</v>
      </c>
      <c r="C369" t="n">
        <v>272233</v>
      </c>
      <c r="D369" t="inlineStr">
        <is>
          <t>Shampoo Roby Lacio Sedoso</t>
        </is>
      </c>
      <c r="E369" t="inlineStr">
        <is>
          <t>ROBY</t>
        </is>
      </c>
      <c r="F369" t="n">
        <v>58.99</v>
      </c>
      <c r="G369" t="n">
        <v>4875</v>
      </c>
      <c r="H369" t="b">
        <v>0</v>
      </c>
      <c r="I369" t="inlineStr"/>
      <c r="J369" t="inlineStr"/>
      <c r="K369" t="inlineStr">
        <is>
          <t>&gt; Perfumería &gt; Cuidado Capilar &gt; Shampoo &gt;</t>
        </is>
      </c>
      <c r="L369" t="inlineStr">
        <is>
          <t>shampoo</t>
        </is>
      </c>
      <c r="M369" t="inlineStr">
        <is>
          <t>estandar</t>
        </is>
      </c>
      <c r="N369" t="inlineStr">
        <is>
          <t>tratado</t>
        </is>
      </c>
      <c r="O369" t="inlineStr">
        <is>
          <t>https://www.disco.com.ar/shampoo-roby-lacio-sedoso/p</t>
        </is>
      </c>
    </row>
    <row r="370">
      <c r="A370" s="10" t="inlineStr">
        <is>
          <t>Disco</t>
        </is>
      </c>
      <c r="B370" s="10" t="n">
        <v>263624</v>
      </c>
      <c r="C370" s="10" t="n">
        <v>263344</v>
      </c>
      <c r="D370" s="10" t="inlineStr">
        <is>
          <t>Shampoo Dove Hidratacion 400ml</t>
        </is>
      </c>
      <c r="E370" s="10" t="inlineStr">
        <is>
          <t>DOVE</t>
        </is>
      </c>
      <c r="F370" s="10" t="n">
        <v>244.89</v>
      </c>
      <c r="G370" s="10" t="n">
        <v>20239</v>
      </c>
      <c r="H370" s="10" t="b">
        <v>0</v>
      </c>
      <c r="I370" s="10" t="n">
        <v>400</v>
      </c>
      <c r="J370" s="10" t="n">
        <v>0.6122</v>
      </c>
      <c r="K370" s="10" t="inlineStr">
        <is>
          <t>&gt; Perfumería &gt; Cuidado Capilar &gt; Shampoo &gt;</t>
        </is>
      </c>
      <c r="L370" s="10" t="inlineStr">
        <is>
          <t>shampoo</t>
        </is>
      </c>
      <c r="M370" s="10" t="inlineStr">
        <is>
          <t>estandar</t>
        </is>
      </c>
      <c r="N370" s="10" t="inlineStr">
        <is>
          <t>seco_danado</t>
        </is>
      </c>
      <c r="O370" s="10" t="inlineStr">
        <is>
          <t>https://www.disco.com.ar/shampoo-dove-hidratacion-400ml/p</t>
        </is>
      </c>
    </row>
    <row r="371">
      <c r="A371" t="inlineStr">
        <is>
          <t>Disco</t>
        </is>
      </c>
      <c r="B371" t="n">
        <v>238691</v>
      </c>
      <c r="C371" t="n">
        <v>202762</v>
      </c>
      <c r="D371" t="inlineStr">
        <is>
          <t>Shampoo Davor Cabellos Grasos</t>
        </is>
      </c>
      <c r="E371" t="inlineStr">
        <is>
          <t>DAVOR</t>
        </is>
      </c>
      <c r="F371" t="n">
        <v>13.24</v>
      </c>
      <c r="G371" t="n">
        <v>13.24</v>
      </c>
      <c r="H371" t="b">
        <v>0</v>
      </c>
      <c r="I371" t="inlineStr"/>
      <c r="J371" t="inlineStr"/>
      <c r="K371" t="inlineStr">
        <is>
          <t>&gt; Perfumería &gt; Cuidado Capilar &gt; Shampoo &gt;</t>
        </is>
      </c>
      <c r="L371" t="inlineStr">
        <is>
          <t>shampoo</t>
        </is>
      </c>
      <c r="M371" t="inlineStr">
        <is>
          <t>estandar</t>
        </is>
      </c>
      <c r="N371" t="inlineStr">
        <is>
          <t>graso</t>
        </is>
      </c>
      <c r="O371" t="inlineStr">
        <is>
          <t>https://www.disco.com.ar/shampoo-davor-cabellos-grasos-274806/p</t>
        </is>
      </c>
    </row>
    <row r="372">
      <c r="A372" s="10" t="inlineStr">
        <is>
          <t>Disco</t>
        </is>
      </c>
      <c r="B372" s="10" t="n">
        <v>238450</v>
      </c>
      <c r="C372" s="10" t="n">
        <v>199016</v>
      </c>
      <c r="D372" s="10" t="inlineStr">
        <is>
          <t>Shampoo Bob Esponja Verde</t>
        </is>
      </c>
      <c r="E372" s="10" t="inlineStr">
        <is>
          <t>BOB ESPONJA</t>
        </is>
      </c>
      <c r="F372" s="10" t="n">
        <v>7.93</v>
      </c>
      <c r="G372" s="10" t="n">
        <v>7.93</v>
      </c>
      <c r="H372" s="10" t="b">
        <v>0</v>
      </c>
      <c r="I372" s="10" t="inlineStr"/>
      <c r="J372" s="10" t="inlineStr"/>
      <c r="K372" s="10" t="inlineStr">
        <is>
          <t>&gt; Mundo Bebe &gt; Higiene para el Bebe &gt;</t>
        </is>
      </c>
      <c r="L372" s="10" t="inlineStr">
        <is>
          <t>shampoo</t>
        </is>
      </c>
      <c r="M372" s="10" t="inlineStr">
        <is>
          <t>estandar</t>
        </is>
      </c>
      <c r="N372" s="10" t="inlineStr">
        <is>
          <t>general</t>
        </is>
      </c>
      <c r="O372" s="10" t="inlineStr">
        <is>
          <t>https://www.disco.com.ar/shampoo-bob-esponja-verde-266986/p</t>
        </is>
      </c>
    </row>
    <row r="373">
      <c r="A373" t="inlineStr">
        <is>
          <t>Disco</t>
        </is>
      </c>
      <c r="B373" t="n">
        <v>233257</v>
      </c>
      <c r="C373" t="n">
        <v>206651</v>
      </c>
      <c r="D373" t="inlineStr">
        <is>
          <t>Shampoo Estrella Baby Floral</t>
        </is>
      </c>
      <c r="E373" t="inlineStr">
        <is>
          <t>ESTRELLA</t>
        </is>
      </c>
      <c r="F373" t="n">
        <v>12.07</v>
      </c>
      <c r="G373" t="n">
        <v>12.07</v>
      </c>
      <c r="H373" t="b">
        <v>0</v>
      </c>
      <c r="I373" t="inlineStr"/>
      <c r="J373" t="inlineStr"/>
      <c r="K373" t="inlineStr">
        <is>
          <t>&gt; Mundo Bebe &gt; Higiene para el Bebe &gt;</t>
        </is>
      </c>
      <c r="L373" t="inlineStr">
        <is>
          <t>shampoo</t>
        </is>
      </c>
      <c r="M373" t="inlineStr">
        <is>
          <t>estandar</t>
        </is>
      </c>
      <c r="N373" t="inlineStr">
        <is>
          <t>general</t>
        </is>
      </c>
      <c r="O373" t="inlineStr">
        <is>
          <t>https://www.disco.com.ar/shampoo-estrella-baby-floral-2-279416/p</t>
        </is>
      </c>
    </row>
    <row r="374">
      <c r="A374" s="10" t="inlineStr">
        <is>
          <t>Disco</t>
        </is>
      </c>
      <c r="B374" s="10" t="n">
        <v>182416</v>
      </c>
      <c r="C374" s="10" t="n">
        <v>203476</v>
      </c>
      <c r="D374" s="10" t="inlineStr">
        <is>
          <t>Shampoo Evolution Caspa Control</t>
        </is>
      </c>
      <c r="E374" s="10" t="inlineStr">
        <is>
          <t>PLUSBELLE EVOLUTION</t>
        </is>
      </c>
      <c r="F374" s="10" t="n">
        <v>6.29</v>
      </c>
      <c r="G374" s="10" t="n">
        <v>6.29</v>
      </c>
      <c r="H374" s="10" t="b">
        <v>0</v>
      </c>
      <c r="I374" s="10" t="inlineStr"/>
      <c r="J374" s="10" t="inlineStr"/>
      <c r="K374" s="10" t="inlineStr">
        <is>
          <t>&gt; Perfumería &gt; Cuidado Capilar &gt; Shampoo &gt;</t>
        </is>
      </c>
      <c r="L374" s="10" t="inlineStr">
        <is>
          <t>shampoo</t>
        </is>
      </c>
      <c r="M374" s="10" t="inlineStr">
        <is>
          <t>estandar</t>
        </is>
      </c>
      <c r="N374" s="10" t="inlineStr">
        <is>
          <t>anticaspa</t>
        </is>
      </c>
      <c r="O374" s="10" t="inlineStr">
        <is>
          <t>https://www.disco.com.ar/shampoo-anticaspa-plusbelle-evolution-282052/p</t>
        </is>
      </c>
    </row>
    <row r="375">
      <c r="A375" t="inlineStr">
        <is>
          <t>Disco</t>
        </is>
      </c>
      <c r="B375" t="n">
        <v>113221</v>
      </c>
      <c r="C375" t="n">
        <v>112270</v>
      </c>
      <c r="D375" t="inlineStr">
        <is>
          <t>Shampoo Elvive Cosmetico  250</t>
        </is>
      </c>
      <c r="E375" t="inlineStr">
        <is>
          <t>ELVIVE</t>
        </is>
      </c>
      <c r="F375" t="n">
        <v>7.97</v>
      </c>
      <c r="G375" t="n">
        <v>7.97</v>
      </c>
      <c r="H375" t="b">
        <v>0</v>
      </c>
      <c r="I375" t="inlineStr"/>
      <c r="J375" t="inlineStr"/>
      <c r="K375" t="inlineStr">
        <is>
          <t>&gt; Perfumería &gt; Cuidado Capilar &gt; Shampoo &gt;</t>
        </is>
      </c>
      <c r="L375" t="inlineStr">
        <is>
          <t>shampoo</t>
        </is>
      </c>
      <c r="M375" t="inlineStr">
        <is>
          <t>profesional</t>
        </is>
      </c>
      <c r="N375" t="inlineStr">
        <is>
          <t>general</t>
        </is>
      </c>
      <c r="O375" t="inlineStr">
        <is>
          <t>https://www.disco.com.ar/shampoo-elvive-cosmetico-250/p</t>
        </is>
      </c>
    </row>
    <row r="376">
      <c r="A376" s="10" t="inlineStr">
        <is>
          <t>Disco</t>
        </is>
      </c>
      <c r="B376" s="10" t="n">
        <v>92548</v>
      </c>
      <c r="C376" s="10" t="n">
        <v>89876</v>
      </c>
      <c r="D376" s="10" t="inlineStr">
        <is>
          <t>Shampoo Babelito-pvc-ml.-500</t>
        </is>
      </c>
      <c r="E376" s="10" t="inlineStr">
        <is>
          <t>BABELITO</t>
        </is>
      </c>
      <c r="F376" s="10" t="n">
        <v>31.99</v>
      </c>
      <c r="G376" s="10" t="n">
        <v>31.99</v>
      </c>
      <c r="H376" s="10" t="b">
        <v>0</v>
      </c>
      <c r="I376" s="10" t="inlineStr"/>
      <c r="J376" s="10" t="inlineStr"/>
      <c r="K376" s="10" t="inlineStr">
        <is>
          <t>&gt; Mundo Bebe &gt; Higiene para el Bebe &gt; Higiene del Bebé &gt;</t>
        </is>
      </c>
      <c r="L376" s="10" t="inlineStr">
        <is>
          <t>shampoo</t>
        </is>
      </c>
      <c r="M376" s="10" t="inlineStr">
        <is>
          <t>estandar</t>
        </is>
      </c>
      <c r="N376" s="10" t="inlineStr">
        <is>
          <t>general</t>
        </is>
      </c>
      <c r="O376" s="10" t="inlineStr">
        <is>
          <t>https://www.disco.com.ar/shampoo-babelito-pvc-ml-500/p</t>
        </is>
      </c>
    </row>
    <row r="377">
      <c r="A377" t="inlineStr">
        <is>
          <t>Disco</t>
        </is>
      </c>
      <c r="B377" t="n">
        <v>47311</v>
      </c>
      <c r="C377" t="n">
        <v>44476</v>
      </c>
      <c r="D377" t="inlineStr">
        <is>
          <t>Shampoo Pantene Restauracion 200ml</t>
        </is>
      </c>
      <c r="E377" t="inlineStr">
        <is>
          <t>PANTENE</t>
        </is>
      </c>
      <c r="F377" t="n">
        <v>173.39</v>
      </c>
      <c r="G377" t="n">
        <v>14330</v>
      </c>
      <c r="H377" t="b">
        <v>0</v>
      </c>
      <c r="I377" t="n">
        <v>200</v>
      </c>
      <c r="J377" t="n">
        <v>0.8669</v>
      </c>
      <c r="K377" t="inlineStr">
        <is>
          <t>&gt; Perfumería &gt; Cuidado Capilar &gt; Shampoo &gt;</t>
        </is>
      </c>
      <c r="L377" t="inlineStr">
        <is>
          <t>shampoo</t>
        </is>
      </c>
      <c r="M377" t="inlineStr">
        <is>
          <t>estandar</t>
        </is>
      </c>
      <c r="N377" t="inlineStr">
        <is>
          <t>general</t>
        </is>
      </c>
      <c r="O377" t="inlineStr">
        <is>
          <t>https://www.disco.com.ar/shampoo-pantene-restauracion-200ml/p</t>
        </is>
      </c>
    </row>
    <row r="378">
      <c r="A378" s="10" t="inlineStr">
        <is>
          <t>Disco</t>
        </is>
      </c>
      <c r="B378" s="10" t="n">
        <v>41536</v>
      </c>
      <c r="C378" s="10" t="n">
        <v>38701</v>
      </c>
      <c r="D378" s="10" t="inlineStr">
        <is>
          <t>Shampoo Fructis Brillo 350ml</t>
        </is>
      </c>
      <c r="E378" s="10" t="inlineStr">
        <is>
          <t>FRUCTIS</t>
        </is>
      </c>
      <c r="F378" s="10" t="n">
        <v>536.89</v>
      </c>
      <c r="G378" s="10" t="n">
        <v>44371</v>
      </c>
      <c r="H378" s="10" t="b">
        <v>0</v>
      </c>
      <c r="I378" s="10" t="n">
        <v>350</v>
      </c>
      <c r="J378" s="10" t="n">
        <v>1.534</v>
      </c>
      <c r="K378" s="10" t="inlineStr">
        <is>
          <t>&gt; Perfumería &gt; Cuidado Capilar &gt; Shampoo &gt;</t>
        </is>
      </c>
      <c r="L378" s="10" t="inlineStr">
        <is>
          <t>shampoo</t>
        </is>
      </c>
      <c r="M378" s="10" t="inlineStr">
        <is>
          <t>estandar</t>
        </is>
      </c>
      <c r="N378" s="10" t="inlineStr">
        <is>
          <t>general</t>
        </is>
      </c>
      <c r="O378" s="10" t="inlineStr">
        <is>
          <t>https://www.disco.com.ar/shampoo-fructis-brillo-350ml-2/p</t>
        </is>
      </c>
    </row>
    <row r="379">
      <c r="A379" t="inlineStr">
        <is>
          <t>Disco</t>
        </is>
      </c>
      <c r="B379" t="n">
        <v>36883</v>
      </c>
      <c r="C379" t="n">
        <v>34042</v>
      </c>
      <c r="D379" t="inlineStr">
        <is>
          <t>Shampoo Johnson Baby 400ml Shampoo Johnson Baby 400 Ml</t>
        </is>
      </c>
      <c r="E379" t="inlineStr">
        <is>
          <t>JOHNSON BABY</t>
        </is>
      </c>
      <c r="F379" t="n">
        <v>274.97</v>
      </c>
      <c r="G379" t="n">
        <v>22725</v>
      </c>
      <c r="H379" t="b">
        <v>0</v>
      </c>
      <c r="I379" t="n">
        <v>400</v>
      </c>
      <c r="J379" t="n">
        <v>0.6874</v>
      </c>
      <c r="K379" t="inlineStr">
        <is>
          <t>&gt; Mundo Bebe &gt; Higiene para el Bebe &gt; Higiene del Bebé &gt;</t>
        </is>
      </c>
      <c r="L379" t="inlineStr">
        <is>
          <t>shampoo</t>
        </is>
      </c>
      <c r="M379" t="inlineStr">
        <is>
          <t>estandar</t>
        </is>
      </c>
      <c r="N379" t="inlineStr">
        <is>
          <t>general</t>
        </is>
      </c>
      <c r="O379" t="inlineStr">
        <is>
          <t>https://www.disco.com.ar/shampoo-johnson-baby-400ml/p</t>
        </is>
      </c>
    </row>
    <row r="380">
      <c r="A380" s="10" t="inlineStr">
        <is>
          <t>Disco</t>
        </is>
      </c>
      <c r="B380" s="10" t="n">
        <v>36862</v>
      </c>
      <c r="C380" s="10" t="n">
        <v>34021</v>
      </c>
      <c r="D380" s="10" t="inlineStr">
        <is>
          <t>Shampoo Johnson Baby 200ml Shampoo Johnson Baby 200 Ml</t>
        </is>
      </c>
      <c r="E380" s="10" t="inlineStr">
        <is>
          <t>JOHNSON BABY</t>
        </is>
      </c>
      <c r="F380" s="10" t="n">
        <v>213.39</v>
      </c>
      <c r="G380" s="10" t="n">
        <v>17636</v>
      </c>
      <c r="H380" s="10" t="b">
        <v>0</v>
      </c>
      <c r="I380" s="10" t="n">
        <v>200</v>
      </c>
      <c r="J380" s="10" t="n">
        <v>1.0669</v>
      </c>
      <c r="K380" s="10" t="inlineStr">
        <is>
          <t>&gt; Mundo Bebe &gt; Higiene para el Bebe &gt; Higiene del Bebé &gt;</t>
        </is>
      </c>
      <c r="L380" s="10" t="inlineStr">
        <is>
          <t>shampoo</t>
        </is>
      </c>
      <c r="M380" s="10" t="inlineStr">
        <is>
          <t>estandar</t>
        </is>
      </c>
      <c r="N380" s="10" t="inlineStr">
        <is>
          <t>general</t>
        </is>
      </c>
      <c r="O380" s="10" t="inlineStr">
        <is>
          <t>https://www.disco.com.ar/shampoo-johnson-baby-200ml/p</t>
        </is>
      </c>
    </row>
    <row r="381">
      <c r="A381" t="inlineStr">
        <is>
          <t>Disco</t>
        </is>
      </c>
      <c r="B381" t="n">
        <v>19666</v>
      </c>
      <c r="C381" t="n">
        <v>16830</v>
      </c>
      <c r="D381" t="inlineStr">
        <is>
          <t>Shampoo Sedal Liso 650ml</t>
        </is>
      </c>
      <c r="E381" t="inlineStr">
        <is>
          <t>SEDAL</t>
        </is>
      </c>
      <c r="F381" t="n">
        <v>246.25</v>
      </c>
      <c r="G381" t="n">
        <v>20351</v>
      </c>
      <c r="H381" t="b">
        <v>0</v>
      </c>
      <c r="I381" t="n">
        <v>650</v>
      </c>
      <c r="J381" t="n">
        <v>0.3788</v>
      </c>
      <c r="K381" t="inlineStr">
        <is>
          <t>&gt; Perfumería &gt; Cuidado Capilar &gt; Shampoo &gt;</t>
        </is>
      </c>
      <c r="L381" t="inlineStr">
        <is>
          <t>shampoo</t>
        </is>
      </c>
      <c r="M381" t="inlineStr">
        <is>
          <t>estandar</t>
        </is>
      </c>
      <c r="N381" t="inlineStr">
        <is>
          <t>general</t>
        </is>
      </c>
      <c r="O381" t="inlineStr">
        <is>
          <t>https://www.disco.com.ar/shampoo-sedal-liso-650ml/p</t>
        </is>
      </c>
    </row>
    <row r="382">
      <c r="A382" s="10" t="inlineStr">
        <is>
          <t>Disco</t>
        </is>
      </c>
      <c r="B382" s="10" t="n">
        <v>19536</v>
      </c>
      <c r="C382" s="10" t="n">
        <v>16692</v>
      </c>
      <c r="D382" s="10" t="inlineStr">
        <is>
          <t>Shampoo Tresemme 750 Ml</t>
        </is>
      </c>
      <c r="E382" s="10" t="inlineStr">
        <is>
          <t>TRESEMMÉ</t>
        </is>
      </c>
      <c r="F382" s="10" t="n">
        <v>447.75</v>
      </c>
      <c r="G382" s="10" t="n">
        <v>37004</v>
      </c>
      <c r="H382" s="10" t="b">
        <v>0</v>
      </c>
      <c r="I382" s="10" t="n">
        <v>750</v>
      </c>
      <c r="J382" s="10" t="n">
        <v>0.597</v>
      </c>
      <c r="K382" s="10" t="inlineStr">
        <is>
          <t>&gt; Perfumería &gt; Cuidado Capilar &gt; Shampoo &gt;</t>
        </is>
      </c>
      <c r="L382" s="10" t="inlineStr">
        <is>
          <t>shampoo</t>
        </is>
      </c>
      <c r="M382" s="10" t="inlineStr">
        <is>
          <t>estandar</t>
        </is>
      </c>
      <c r="N382" s="10" t="inlineStr">
        <is>
          <t>general</t>
        </is>
      </c>
      <c r="O382" s="10" t="inlineStr">
        <is>
          <t>https://www.disco.com.ar/shampoo-tresemme-750-ml-2/p</t>
        </is>
      </c>
    </row>
    <row r="383">
      <c r="A383" t="inlineStr">
        <is>
          <t>Disco</t>
        </is>
      </c>
      <c r="B383" t="n">
        <v>19533</v>
      </c>
      <c r="C383" t="n">
        <v>16688</v>
      </c>
      <c r="D383" t="inlineStr">
        <is>
          <t>Shampoo Tresemme Keratina750ml Shampoo Tresemme Liso Keratina 750 Ml</t>
        </is>
      </c>
      <c r="E383" t="inlineStr">
        <is>
          <t>TRESEMMÉ</t>
        </is>
      </c>
      <c r="F383" t="n">
        <v>814.35</v>
      </c>
      <c r="G383" t="n">
        <v>67302</v>
      </c>
      <c r="H383" t="b">
        <v>0</v>
      </c>
      <c r="I383" t="n">
        <v>750</v>
      </c>
      <c r="J383" t="n">
        <v>1.0858</v>
      </c>
      <c r="K383" t="inlineStr">
        <is>
          <t>&gt; Perfumería &gt; Cuidado Capilar &gt; Shampoo &gt;</t>
        </is>
      </c>
      <c r="L383" t="inlineStr">
        <is>
          <t>shampoo</t>
        </is>
      </c>
      <c r="M383" t="inlineStr">
        <is>
          <t>estandar</t>
        </is>
      </c>
      <c r="N383" t="inlineStr">
        <is>
          <t>tratado</t>
        </is>
      </c>
      <c r="O383" t="inlineStr">
        <is>
          <t>https://www.disco.com.ar/shampoo-tresemme-keratina750ml/p</t>
        </is>
      </c>
    </row>
    <row r="384">
      <c r="A384" s="10" t="inlineStr">
        <is>
          <t>Disco</t>
        </is>
      </c>
      <c r="B384" s="10" t="n">
        <v>19523</v>
      </c>
      <c r="C384" s="10" t="n">
        <v>16677</v>
      </c>
      <c r="D384" s="10" t="inlineStr">
        <is>
          <t>Shampoo Tresemmé Despeinado Perfecto Shampoo Tresemme Despeinado Perfecto 400 Ml</t>
        </is>
      </c>
      <c r="E384" s="10" t="inlineStr">
        <is>
          <t>TRESEMMÉ</t>
        </is>
      </c>
      <c r="F384" s="10" t="n">
        <v>283.29</v>
      </c>
      <c r="G384" s="10" t="n">
        <v>23412</v>
      </c>
      <c r="H384" s="10" t="b">
        <v>0</v>
      </c>
      <c r="I384" s="10" t="n">
        <v>400</v>
      </c>
      <c r="J384" s="10" t="n">
        <v>0.7082000000000001</v>
      </c>
      <c r="K384" s="10" t="inlineStr">
        <is>
          <t>&gt; Perfumería &gt; Cuidado Capilar &gt; Shampoo &gt;</t>
        </is>
      </c>
      <c r="L384" s="10" t="inlineStr">
        <is>
          <t>shampoo</t>
        </is>
      </c>
      <c r="M384" s="10" t="inlineStr">
        <is>
          <t>estandar</t>
        </is>
      </c>
      <c r="N384" s="10" t="inlineStr">
        <is>
          <t>general</t>
        </is>
      </c>
      <c r="O384" s="10" t="inlineStr">
        <is>
          <t>https://www.disco.com.ar/shampoo-tresemme-despeinado-perfecto/p</t>
        </is>
      </c>
    </row>
    <row r="385">
      <c r="A385" t="inlineStr">
        <is>
          <t>Disco</t>
        </is>
      </c>
      <c r="B385" t="n">
        <v>19522</v>
      </c>
      <c r="C385" t="n">
        <v>16676</v>
      </c>
      <c r="D385" t="inlineStr">
        <is>
          <t>Shampoo Tresemme Hidratacion 400ml Shampoo Tresemme Hidratación Profunda 400 Ml</t>
        </is>
      </c>
      <c r="E385" t="inlineStr">
        <is>
          <t>TRESEMMÉ</t>
        </is>
      </c>
      <c r="F385" t="n">
        <v>472.75</v>
      </c>
      <c r="G385" t="n">
        <v>39070</v>
      </c>
      <c r="H385" t="b">
        <v>0</v>
      </c>
      <c r="I385" t="n">
        <v>400</v>
      </c>
      <c r="J385" t="n">
        <v>1.1819</v>
      </c>
      <c r="K385" t="inlineStr">
        <is>
          <t>&gt; Perfumería &gt; Cuidado Capilar &gt; Shampoo &gt;</t>
        </is>
      </c>
      <c r="L385" t="inlineStr">
        <is>
          <t>shampoo</t>
        </is>
      </c>
      <c r="M385" t="inlineStr">
        <is>
          <t>estandar</t>
        </is>
      </c>
      <c r="N385" t="inlineStr">
        <is>
          <t>seco_danado</t>
        </is>
      </c>
      <c r="O385" t="inlineStr">
        <is>
          <t>https://www.disco.com.ar/shampoo-tresemme-hidratacion-400ml/p</t>
        </is>
      </c>
    </row>
    <row r="386">
      <c r="A386" s="10" t="inlineStr">
        <is>
          <t>Disco</t>
        </is>
      </c>
      <c r="B386" s="10" t="n">
        <v>12037</v>
      </c>
      <c r="C386" s="10" t="n">
        <v>9297</v>
      </c>
      <c r="D386" s="10" t="inlineStr">
        <is>
          <t>Shampoo Elvive Fibralogy 400ml</t>
        </is>
      </c>
      <c r="E386" s="10" t="inlineStr">
        <is>
          <t>ELVIVE</t>
        </is>
      </c>
      <c r="F386" s="10" t="n">
        <v>430.95</v>
      </c>
      <c r="G386" s="10" t="n">
        <v>35616</v>
      </c>
      <c r="H386" s="10" t="b">
        <v>0</v>
      </c>
      <c r="I386" s="10" t="n">
        <v>400</v>
      </c>
      <c r="J386" s="10" t="n">
        <v>1.0774</v>
      </c>
      <c r="K386" s="10" t="inlineStr">
        <is>
          <t>&gt; Perfumería &gt; Cuidado Capilar &gt; Shampoo &gt;</t>
        </is>
      </c>
      <c r="L386" s="10" t="inlineStr">
        <is>
          <t>shampoo</t>
        </is>
      </c>
      <c r="M386" s="10" t="inlineStr">
        <is>
          <t>profesional</t>
        </is>
      </c>
      <c r="N386" s="10" t="inlineStr">
        <is>
          <t>general</t>
        </is>
      </c>
      <c r="O386" s="10" t="inlineStr">
        <is>
          <t>https://www.disco.com.ar/shampoo-elvive-fibralogy-400ml/p</t>
        </is>
      </c>
    </row>
    <row r="387">
      <c r="A387" t="inlineStr">
        <is>
          <t>Disco</t>
        </is>
      </c>
      <c r="B387" t="n">
        <v>7407</v>
      </c>
      <c r="C387" t="n">
        <v>4736</v>
      </c>
      <c r="D387" t="inlineStr">
        <is>
          <t>Shampoo Pantene Rizos 750ml</t>
        </is>
      </c>
      <c r="E387" t="inlineStr">
        <is>
          <t>PANTENE</t>
        </is>
      </c>
      <c r="F387" t="n">
        <v>494.89</v>
      </c>
      <c r="G387" t="n">
        <v>40900</v>
      </c>
      <c r="H387" t="b">
        <v>0</v>
      </c>
      <c r="I387" t="n">
        <v>750</v>
      </c>
      <c r="J387" t="n">
        <v>0.6599</v>
      </c>
      <c r="K387" t="inlineStr">
        <is>
          <t>&gt; Perfumería &gt; Cuidado Capilar &gt; Shampoo &gt;</t>
        </is>
      </c>
      <c r="L387" t="inlineStr">
        <is>
          <t>shampoo</t>
        </is>
      </c>
      <c r="M387" t="inlineStr">
        <is>
          <t>estandar</t>
        </is>
      </c>
      <c r="N387" t="inlineStr">
        <is>
          <t>rizado</t>
        </is>
      </c>
      <c r="O387" t="inlineStr">
        <is>
          <t>https://www.disco.com.ar/shampoo-pantene-rizos-750ml/p</t>
        </is>
      </c>
    </row>
    <row r="388">
      <c r="A388" s="10" t="inlineStr">
        <is>
          <t>Disco</t>
        </is>
      </c>
      <c r="B388" s="10" t="n">
        <v>3448</v>
      </c>
      <c r="C388" s="10" t="n">
        <v>248545</v>
      </c>
      <c r="D388" s="10" t="inlineStr">
        <is>
          <t>Shampoo Elvive Citrus 200ml</t>
        </is>
      </c>
      <c r="E388" s="10" t="inlineStr">
        <is>
          <t>ELVIVE</t>
        </is>
      </c>
      <c r="F388" s="10" t="n">
        <v>290.85</v>
      </c>
      <c r="G388" s="10" t="n">
        <v>24037</v>
      </c>
      <c r="H388" s="10" t="b">
        <v>0</v>
      </c>
      <c r="I388" s="10" t="n">
        <v>200</v>
      </c>
      <c r="J388" s="10" t="n">
        <v>1.4543</v>
      </c>
      <c r="K388" s="10" t="inlineStr">
        <is>
          <t>&gt; Perfumería &gt; Cuidado Capilar &gt; Shampoo &gt;</t>
        </is>
      </c>
      <c r="L388" s="10" t="inlineStr">
        <is>
          <t>shampoo</t>
        </is>
      </c>
      <c r="M388" s="10" t="inlineStr">
        <is>
          <t>profesional</t>
        </is>
      </c>
      <c r="N388" s="10" t="inlineStr">
        <is>
          <t>general</t>
        </is>
      </c>
      <c r="O388" s="10" t="inlineStr">
        <is>
          <t>https://www.disco.com.ar/shampoo-elvive-citrus-200ml/p</t>
        </is>
      </c>
    </row>
    <row r="389">
      <c r="A389" t="inlineStr">
        <is>
          <t>Disco</t>
        </is>
      </c>
      <c r="B389" t="n">
        <v>3427</v>
      </c>
      <c r="C389" t="n">
        <v>248527</v>
      </c>
      <c r="D389" t="inlineStr">
        <is>
          <t>Pantene Shampoo Hidrocauterizacion 750ml</t>
        </is>
      </c>
      <c r="E389" t="inlineStr">
        <is>
          <t>PANTENE</t>
        </is>
      </c>
      <c r="F389" t="n">
        <v>74.37</v>
      </c>
      <c r="G389" t="n">
        <v>6146</v>
      </c>
      <c r="H389" t="b">
        <v>0</v>
      </c>
      <c r="I389" t="n">
        <v>750</v>
      </c>
      <c r="J389" t="n">
        <v>0.0992</v>
      </c>
      <c r="K389" t="inlineStr">
        <is>
          <t>&gt; Perfumería &gt; Cuidado Capilar &gt; Shampoo &gt;</t>
        </is>
      </c>
      <c r="L389" t="inlineStr">
        <is>
          <t>shampoo</t>
        </is>
      </c>
      <c r="M389" t="inlineStr">
        <is>
          <t>estandar</t>
        </is>
      </c>
      <c r="N389" t="inlineStr">
        <is>
          <t>general</t>
        </is>
      </c>
      <c r="O389" t="inlineStr">
        <is>
          <t>https://www.disco.com.ar/shampoo-pantene-2/p</t>
        </is>
      </c>
    </row>
    <row r="390">
      <c r="A390" s="10" t="inlineStr">
        <is>
          <t>Disco</t>
        </is>
      </c>
      <c r="B390" s="10" t="n">
        <v>272456</v>
      </c>
      <c r="C390" s="10" t="n">
        <v>271757</v>
      </c>
      <c r="D390" s="10" t="inlineStr">
        <is>
          <t>Shampoo Para Niños Johnson's® Shampoo Fuerza Y Vitamina X 200 Ml</t>
        </is>
      </c>
      <c r="E390" s="10" t="inlineStr">
        <is>
          <t>JOHNSON BABY</t>
        </is>
      </c>
      <c r="F390" s="10" t="n">
        <v>88.48999999999999</v>
      </c>
      <c r="G390" s="10" t="n">
        <v>7313</v>
      </c>
      <c r="H390" s="10" t="b">
        <v>0</v>
      </c>
      <c r="I390" s="10" t="n">
        <v>200</v>
      </c>
      <c r="J390" s="10" t="n">
        <v>0.4424</v>
      </c>
      <c r="K390" s="10" t="inlineStr">
        <is>
          <t>&gt; Mundo Bebe &gt; Higiene para el Bebe &gt; Higiene del Bebé &gt;</t>
        </is>
      </c>
      <c r="L390" s="10" t="inlineStr">
        <is>
          <t>shampoo</t>
        </is>
      </c>
      <c r="M390" s="10" t="inlineStr">
        <is>
          <t>estandar</t>
        </is>
      </c>
      <c r="N390" s="10" t="inlineStr">
        <is>
          <t>bebe</t>
        </is>
      </c>
      <c r="O390" s="10" t="inlineStr">
        <is>
          <t>https://www.disco.com.ar/shampoo-para-ninos-johnson-s-shampoo-fuerza-y-vitamina-x-200-ml/p</t>
        </is>
      </c>
    </row>
    <row r="391">
      <c r="A391" t="inlineStr">
        <is>
          <t>Disco</t>
        </is>
      </c>
      <c r="B391" t="n">
        <v>272455</v>
      </c>
      <c r="C391" t="n">
        <v>271759</v>
      </c>
      <c r="D391" t="inlineStr">
        <is>
          <t>Shampoo Para Niños Johnson's® Shampoo Fuerza Y Vitamina X 400 Ml</t>
        </is>
      </c>
      <c r="E391" t="inlineStr">
        <is>
          <t>JOHNSON BABY</t>
        </is>
      </c>
      <c r="F391" t="n">
        <v>239.65</v>
      </c>
      <c r="G391" t="n">
        <v>19806</v>
      </c>
      <c r="H391" t="b">
        <v>0</v>
      </c>
      <c r="I391" t="n">
        <v>400</v>
      </c>
      <c r="J391" t="n">
        <v>0.5991</v>
      </c>
      <c r="K391" t="inlineStr">
        <is>
          <t>&gt; Mundo Bebe &gt; Higiene para el Bebe &gt; Higiene del Bebé &gt;</t>
        </is>
      </c>
      <c r="L391" t="inlineStr">
        <is>
          <t>shampoo</t>
        </is>
      </c>
      <c r="M391" t="inlineStr">
        <is>
          <t>estandar</t>
        </is>
      </c>
      <c r="N391" t="inlineStr">
        <is>
          <t>bebe</t>
        </is>
      </c>
      <c r="O391" t="inlineStr">
        <is>
          <t>https://www.disco.com.ar/shampoo-para-ninos-johnson-s-shampoo-fuerza-y-vitamina-x-400-ml/p</t>
        </is>
      </c>
    </row>
    <row r="392">
      <c r="A392" s="10" t="inlineStr">
        <is>
          <t>Disco</t>
        </is>
      </c>
      <c r="B392" s="10" t="n">
        <v>410229</v>
      </c>
      <c r="C392" s="10" t="n">
        <v>406235</v>
      </c>
      <c r="D392" s="10" t="inlineStr">
        <is>
          <t>Shampoo Polyana Hidratacion 900ml</t>
        </is>
      </c>
      <c r="E392" s="10" t="inlineStr">
        <is>
          <t>PLUSBELLE</t>
        </is>
      </c>
      <c r="F392" s="10" t="n">
        <v>607.99</v>
      </c>
      <c r="G392" s="10" t="n">
        <v>50247</v>
      </c>
      <c r="H392" s="10" t="b">
        <v>0</v>
      </c>
      <c r="I392" s="10" t="n">
        <v>900</v>
      </c>
      <c r="J392" s="10" t="n">
        <v>0.6755</v>
      </c>
      <c r="K392" s="10" t="inlineStr">
        <is>
          <t>&gt; Perfumería &gt; Cuidado Capilar &gt; Shampoo &gt;</t>
        </is>
      </c>
      <c r="L392" s="10" t="inlineStr">
        <is>
          <t>shampoo</t>
        </is>
      </c>
      <c r="M392" s="10" t="inlineStr">
        <is>
          <t>estandar</t>
        </is>
      </c>
      <c r="N392" s="10" t="inlineStr">
        <is>
          <t>seco_danado</t>
        </is>
      </c>
      <c r="O392" s="10" t="inlineStr">
        <is>
          <t>https://www.disco.com.ar/shampoo-polyana-hidratacion-900ml/p</t>
        </is>
      </c>
    </row>
    <row r="393">
      <c r="A393" t="inlineStr">
        <is>
          <t>Disco</t>
        </is>
      </c>
      <c r="B393" t="n">
        <v>375608</v>
      </c>
      <c r="C393" t="n">
        <v>374326</v>
      </c>
      <c r="D393" t="inlineStr">
        <is>
          <t>Shampoo Suave Coco 930ml</t>
        </is>
      </c>
      <c r="E393" t="inlineStr">
        <is>
          <t>SUAVE</t>
        </is>
      </c>
      <c r="F393" t="n">
        <v>2400</v>
      </c>
      <c r="G393" t="n">
        <v>198347</v>
      </c>
      <c r="H393" t="b">
        <v>0</v>
      </c>
      <c r="I393" t="n">
        <v>930</v>
      </c>
      <c r="J393" t="n">
        <v>2.5806</v>
      </c>
      <c r="K393" t="inlineStr">
        <is>
          <t>&gt; Perfumería &gt; Cuidado Capilar &gt; Shampoo &gt;</t>
        </is>
      </c>
      <c r="L393" t="inlineStr">
        <is>
          <t>shampoo</t>
        </is>
      </c>
      <c r="M393" t="inlineStr">
        <is>
          <t>estandar</t>
        </is>
      </c>
      <c r="N393" t="inlineStr">
        <is>
          <t>bebe</t>
        </is>
      </c>
      <c r="O393" t="inlineStr">
        <is>
          <t>https://www.disco.com.ar/shampoo-suave-coco-930ml/p</t>
        </is>
      </c>
    </row>
    <row r="394">
      <c r="A394" s="10" t="inlineStr">
        <is>
          <t>Disco</t>
        </is>
      </c>
      <c r="B394" s="10" t="n">
        <v>349497</v>
      </c>
      <c r="C394" s="10" t="n">
        <v>348157</v>
      </c>
      <c r="D394" s="10" t="inlineStr">
        <is>
          <t>Shampoo Plusbelle Reparacion 1000ml</t>
        </is>
      </c>
      <c r="E394" s="10" t="inlineStr">
        <is>
          <t>PLUSBELLE</t>
        </is>
      </c>
      <c r="F394" s="10" t="n">
        <v>1214.29</v>
      </c>
      <c r="G394" s="10" t="n">
        <v>100355</v>
      </c>
      <c r="H394" s="10" t="b">
        <v>0</v>
      </c>
      <c r="I394" s="10" t="n">
        <v>1000</v>
      </c>
      <c r="J394" s="10" t="n">
        <v>1.2143</v>
      </c>
      <c r="K394" s="10" t="inlineStr">
        <is>
          <t>&gt; Perfumería &gt; Cuidado Capilar &gt; Shampoo &gt;</t>
        </is>
      </c>
      <c r="L394" s="10" t="inlineStr">
        <is>
          <t>shampoo</t>
        </is>
      </c>
      <c r="M394" s="10" t="inlineStr">
        <is>
          <t>estandar</t>
        </is>
      </c>
      <c r="N394" s="10" t="inlineStr">
        <is>
          <t>general</t>
        </is>
      </c>
      <c r="O394" s="10" t="inlineStr">
        <is>
          <t>https://www.disco.com.ar/shampoo-plusbelle-reparacion-1000ml-2/p</t>
        </is>
      </c>
    </row>
    <row r="395">
      <c r="A395" t="inlineStr">
        <is>
          <t>Disco</t>
        </is>
      </c>
      <c r="B395" t="n">
        <v>349495</v>
      </c>
      <c r="C395" t="n">
        <v>348155</v>
      </c>
      <c r="D395" t="inlineStr">
        <is>
          <t>Shampoo Plusbelle Docilidad 1000ml</t>
        </is>
      </c>
      <c r="E395" t="inlineStr">
        <is>
          <t>PLUSBELLE</t>
        </is>
      </c>
      <c r="F395" t="n">
        <v>941.27</v>
      </c>
      <c r="G395" t="n">
        <v>77791</v>
      </c>
      <c r="H395" t="b">
        <v>0</v>
      </c>
      <c r="I395" t="n">
        <v>1000</v>
      </c>
      <c r="J395" t="n">
        <v>0.9413</v>
      </c>
      <c r="K395" t="inlineStr">
        <is>
          <t>&gt; Perfumería &gt; Cuidado Capilar &gt; Shampoo &gt;</t>
        </is>
      </c>
      <c r="L395" t="inlineStr">
        <is>
          <t>shampoo</t>
        </is>
      </c>
      <c r="M395" t="inlineStr">
        <is>
          <t>estandar</t>
        </is>
      </c>
      <c r="N395" t="inlineStr">
        <is>
          <t>general</t>
        </is>
      </c>
      <c r="O395" t="inlineStr">
        <is>
          <t>https://www.disco.com.ar/shampoo-plusbelle-docilidad-1000ml-2/p</t>
        </is>
      </c>
    </row>
    <row r="396">
      <c r="A396" s="10" t="inlineStr">
        <is>
          <t>Disco</t>
        </is>
      </c>
      <c r="B396" s="10" t="n">
        <v>349490</v>
      </c>
      <c r="C396" s="10" t="n">
        <v>348150</v>
      </c>
      <c r="D396" s="10" t="inlineStr">
        <is>
          <t>Shampoo Plusbelle Suavidad 1000ml</t>
        </is>
      </c>
      <c r="E396" s="10" t="inlineStr">
        <is>
          <t>PLUSBELLE</t>
        </is>
      </c>
      <c r="F396" s="10" t="n">
        <v>5100</v>
      </c>
      <c r="G396" s="10" t="n">
        <v>421488</v>
      </c>
      <c r="H396" s="10" t="b">
        <v>0</v>
      </c>
      <c r="I396" s="10" t="n">
        <v>1000</v>
      </c>
      <c r="J396" s="10" t="n">
        <v>5.1</v>
      </c>
      <c r="K396" s="10" t="inlineStr">
        <is>
          <t>&gt; Perfumería &gt; Cuidado Capilar &gt; Shampoo &gt;</t>
        </is>
      </c>
      <c r="L396" s="10" t="inlineStr">
        <is>
          <t>shampoo</t>
        </is>
      </c>
      <c r="M396" s="10" t="inlineStr">
        <is>
          <t>estandar</t>
        </is>
      </c>
      <c r="N396" s="10" t="inlineStr">
        <is>
          <t>general</t>
        </is>
      </c>
      <c r="O396" s="10" t="inlineStr">
        <is>
          <t>https://www.disco.com.ar/shampoo-plusbelle-suavidad-1000ml-2/p</t>
        </is>
      </c>
    </row>
    <row r="397">
      <c r="A397" t="inlineStr">
        <is>
          <t>Disco</t>
        </is>
      </c>
      <c r="B397" t="n">
        <v>339246</v>
      </c>
      <c r="C397" t="n">
        <v>337931</v>
      </c>
      <c r="D397" t="inlineStr">
        <is>
          <t>Shampoo Botikpuro Calendula Manzanilla</t>
        </is>
      </c>
      <c r="E397" t="inlineStr">
        <is>
          <t>BOTIK PURO</t>
        </is>
      </c>
      <c r="F397" t="n">
        <v>1202.89</v>
      </c>
      <c r="G397" t="n">
        <v>99412</v>
      </c>
      <c r="H397" t="b">
        <v>0</v>
      </c>
      <c r="I397" t="inlineStr"/>
      <c r="J397" t="inlineStr"/>
      <c r="K397" t="inlineStr">
        <is>
          <t>&gt; Perfumería &gt; Cuidado Capilar &gt; Shampoo &gt;</t>
        </is>
      </c>
      <c r="L397" t="inlineStr">
        <is>
          <t>shampoo</t>
        </is>
      </c>
      <c r="M397" t="inlineStr">
        <is>
          <t>estandar</t>
        </is>
      </c>
      <c r="N397" t="inlineStr">
        <is>
          <t>general</t>
        </is>
      </c>
      <c r="O397" t="inlineStr">
        <is>
          <t>https://www.disco.com.ar/shampoo-botikpuro-calendula-manzanilla-2/p</t>
        </is>
      </c>
    </row>
    <row r="398">
      <c r="A398" s="10" t="inlineStr">
        <is>
          <t>Disco</t>
        </is>
      </c>
      <c r="B398" s="10" t="n">
        <v>338990</v>
      </c>
      <c r="C398" s="10" t="n">
        <v>316523</v>
      </c>
      <c r="D398" s="10" t="inlineStr">
        <is>
          <t>Shampoo Suave Manzanilla 930ml Shampoo Suave Manzanilla Rubios 930 Ml</t>
        </is>
      </c>
      <c r="E398" s="10" t="inlineStr">
        <is>
          <t>SUAVE</t>
        </is>
      </c>
      <c r="F398" s="10" t="n">
        <v>339.05</v>
      </c>
      <c r="G398" s="10" t="n">
        <v>28021</v>
      </c>
      <c r="H398" s="10" t="b">
        <v>0</v>
      </c>
      <c r="I398" s="10" t="n">
        <v>930</v>
      </c>
      <c r="J398" s="10" t="n">
        <v>0.3646</v>
      </c>
      <c r="K398" s="10" t="inlineStr">
        <is>
          <t>&gt; Perfumería &gt; Cuidado Capilar &gt; Shampoo &gt;</t>
        </is>
      </c>
      <c r="L398" s="10" t="inlineStr">
        <is>
          <t>shampoo</t>
        </is>
      </c>
      <c r="M398" s="10" t="inlineStr">
        <is>
          <t>estandar</t>
        </is>
      </c>
      <c r="N398" s="10" t="inlineStr">
        <is>
          <t>bebe</t>
        </is>
      </c>
      <c r="O398" s="10" t="inlineStr">
        <is>
          <t>https://www.disco.com.ar/shampoo-suave-manzanilla-930ml/p</t>
        </is>
      </c>
    </row>
    <row r="399">
      <c r="A399" t="inlineStr">
        <is>
          <t>Disco</t>
        </is>
      </c>
      <c r="B399" t="n">
        <v>337418</v>
      </c>
      <c r="C399" t="n">
        <v>336521</v>
      </c>
      <c r="D399" t="inlineStr">
        <is>
          <t>Shampoo Dove Reconstruccion 200ml</t>
        </is>
      </c>
      <c r="E399" t="inlineStr">
        <is>
          <t>DOVE</t>
        </is>
      </c>
      <c r="F399" t="n">
        <v>450</v>
      </c>
      <c r="G399" t="n">
        <v>37190</v>
      </c>
      <c r="H399" t="b">
        <v>0</v>
      </c>
      <c r="I399" t="n">
        <v>200</v>
      </c>
      <c r="J399" t="n">
        <v>2.25</v>
      </c>
      <c r="K399" t="inlineStr">
        <is>
          <t>&gt; Perfumería &gt; Cuidado Capilar &gt; Shampoo &gt;</t>
        </is>
      </c>
      <c r="L399" t="inlineStr">
        <is>
          <t>shampoo</t>
        </is>
      </c>
      <c r="M399" t="inlineStr">
        <is>
          <t>estandar</t>
        </is>
      </c>
      <c r="N399" t="inlineStr">
        <is>
          <t>general</t>
        </is>
      </c>
      <c r="O399" t="inlineStr">
        <is>
          <t>https://www.disco.com.ar/shampoo-dove-reconstruccion-200ml-2/p</t>
        </is>
      </c>
    </row>
    <row r="400">
      <c r="A400" s="10" t="inlineStr">
        <is>
          <t>Disco</t>
        </is>
      </c>
      <c r="B400" s="10" t="n">
        <v>332177</v>
      </c>
      <c r="C400" s="10" t="n">
        <v>331335</v>
      </c>
      <c r="D400" s="10" t="inlineStr">
        <is>
          <t>Shampoo Plusbelle Suavidad 1lt</t>
        </is>
      </c>
      <c r="E400" s="10" t="inlineStr">
        <is>
          <t>PLUSBELLE</t>
        </is>
      </c>
      <c r="F400" s="10" t="n">
        <v>454.55</v>
      </c>
      <c r="G400" s="10" t="n">
        <v>37566</v>
      </c>
      <c r="H400" s="10" t="b">
        <v>0</v>
      </c>
      <c r="I400" s="10" t="inlineStr"/>
      <c r="J400" s="10" t="inlineStr"/>
      <c r="K400" s="10" t="inlineStr">
        <is>
          <t>&gt; Perfumería &gt; Cuidado Capilar &gt; Shampoo &gt;</t>
        </is>
      </c>
      <c r="L400" s="10" t="inlineStr">
        <is>
          <t>shampoo</t>
        </is>
      </c>
      <c r="M400" s="10" t="inlineStr">
        <is>
          <t>estandar</t>
        </is>
      </c>
      <c r="N400" s="10" t="inlineStr">
        <is>
          <t>general</t>
        </is>
      </c>
      <c r="O400" s="10" t="inlineStr">
        <is>
          <t>https://www.disco.com.ar/shampoo-plusbelle-suavidad-1lt/p</t>
        </is>
      </c>
    </row>
    <row r="401">
      <c r="A401" t="inlineStr">
        <is>
          <t>Disco</t>
        </is>
      </c>
      <c r="B401" t="n">
        <v>332165</v>
      </c>
      <c r="C401" t="n">
        <v>331323</v>
      </c>
      <c r="D401" t="inlineStr">
        <is>
          <t>Shampoo Plusbelle Frescura 1lt</t>
        </is>
      </c>
      <c r="E401" t="inlineStr">
        <is>
          <t>PLUSBELLE</t>
        </is>
      </c>
      <c r="F401" t="n">
        <v>454.55</v>
      </c>
      <c r="G401" t="n">
        <v>37566</v>
      </c>
      <c r="H401" t="b">
        <v>0</v>
      </c>
      <c r="I401" t="inlineStr"/>
      <c r="J401" t="inlineStr"/>
      <c r="K401" t="inlineStr">
        <is>
          <t>&gt; Perfumería &gt; Cuidado Capilar &gt; Shampoo &gt;</t>
        </is>
      </c>
      <c r="L401" t="inlineStr">
        <is>
          <t>shampoo</t>
        </is>
      </c>
      <c r="M401" t="inlineStr">
        <is>
          <t>estandar</t>
        </is>
      </c>
      <c r="N401" t="inlineStr">
        <is>
          <t>general</t>
        </is>
      </c>
      <c r="O401" t="inlineStr">
        <is>
          <t>https://www.disco.com.ar/shampoo-plusbelle-frescura-1lt/p</t>
        </is>
      </c>
    </row>
    <row r="402">
      <c r="A402" s="10" t="inlineStr">
        <is>
          <t>Disco</t>
        </is>
      </c>
      <c r="B402" s="10" t="n">
        <v>297874</v>
      </c>
      <c r="C402" s="10" t="n">
        <v>297104</v>
      </c>
      <c r="D402" s="10" t="inlineStr">
        <is>
          <t>Avengers Spiderman Shampoo 200ml</t>
        </is>
      </c>
      <c r="E402" s="10" t="inlineStr">
        <is>
          <t>ALGABO</t>
        </is>
      </c>
      <c r="F402" s="10" t="n">
        <v>129</v>
      </c>
      <c r="G402" s="10" t="n">
        <v>129</v>
      </c>
      <c r="H402" s="10" t="b">
        <v>0</v>
      </c>
      <c r="I402" s="10" t="n">
        <v>200</v>
      </c>
      <c r="J402" s="10" t="n">
        <v>0.645</v>
      </c>
      <c r="K402" s="10" t="inlineStr">
        <is>
          <t>&gt; Mundo Bebe &gt; Higiene para el Bebe &gt; Higiene del Bebé &gt;</t>
        </is>
      </c>
      <c r="L402" s="10" t="inlineStr">
        <is>
          <t>shampoo</t>
        </is>
      </c>
      <c r="M402" s="10" t="inlineStr">
        <is>
          <t>estandar</t>
        </is>
      </c>
      <c r="N402" s="10" t="inlineStr">
        <is>
          <t>general</t>
        </is>
      </c>
      <c r="O402" s="10" t="inlineStr">
        <is>
          <t>https://www.disco.com.ar/avengers-spiderman-shampoo-200ml/p</t>
        </is>
      </c>
    </row>
    <row r="403">
      <c r="A403" t="inlineStr">
        <is>
          <t>Disco</t>
        </is>
      </c>
      <c r="B403" t="n">
        <v>294912</v>
      </c>
      <c r="C403" t="n">
        <v>294143</v>
      </c>
      <c r="D403" t="inlineStr">
        <is>
          <t>Shampoo Plusbelle Proteccion Natural</t>
        </is>
      </c>
      <c r="E403" t="inlineStr">
        <is>
          <t>PLUSBELLE</t>
        </is>
      </c>
      <c r="F403" t="n">
        <v>155.65</v>
      </c>
      <c r="G403" t="n">
        <v>12864</v>
      </c>
      <c r="H403" t="b">
        <v>0</v>
      </c>
      <c r="I403" t="inlineStr"/>
      <c r="J403" t="inlineStr"/>
      <c r="K403" t="inlineStr">
        <is>
          <t>&gt; Perfumería &gt; Cuidado Capilar &gt; Shampoo &gt;</t>
        </is>
      </c>
      <c r="L403" t="inlineStr">
        <is>
          <t>shampoo</t>
        </is>
      </c>
      <c r="M403" t="inlineStr">
        <is>
          <t>estandar</t>
        </is>
      </c>
      <c r="N403" t="inlineStr">
        <is>
          <t>general</t>
        </is>
      </c>
      <c r="O403" t="inlineStr">
        <is>
          <t>https://www.disco.com.ar/shampoo-plusbelle-proteccion-natural/p</t>
        </is>
      </c>
    </row>
    <row r="404">
      <c r="A404" s="10" t="inlineStr">
        <is>
          <t>Disco</t>
        </is>
      </c>
      <c r="B404" s="10" t="n">
        <v>277404</v>
      </c>
      <c r="C404" s="10" t="n">
        <v>276690</v>
      </c>
      <c r="D404" s="10" t="inlineStr">
        <is>
          <t>Shampoo Capilatis Pure Silver</t>
        </is>
      </c>
      <c r="E404" s="10" t="inlineStr">
        <is>
          <t>CAPILATIS</t>
        </is>
      </c>
      <c r="F404" s="10" t="n">
        <v>808</v>
      </c>
      <c r="G404" s="10" t="n">
        <v>808</v>
      </c>
      <c r="H404" s="10" t="b">
        <v>0</v>
      </c>
      <c r="I404" s="10" t="inlineStr"/>
      <c r="J404" s="10" t="inlineStr"/>
      <c r="K404" s="10" t="inlineStr">
        <is>
          <t>&gt; Perfumería &gt; Cuidado Capilar &gt; Shampoo &gt;</t>
        </is>
      </c>
      <c r="L404" s="10" t="inlineStr">
        <is>
          <t>shampoo</t>
        </is>
      </c>
      <c r="M404" s="10" t="inlineStr">
        <is>
          <t>estandar</t>
        </is>
      </c>
      <c r="N404" s="10" t="inlineStr">
        <is>
          <t>general</t>
        </is>
      </c>
      <c r="O404" s="10" t="inlineStr">
        <is>
          <t>https://www.disco.com.ar/shampoo-capilatis-pure-silver/p</t>
        </is>
      </c>
    </row>
    <row r="405">
      <c r="A405" t="inlineStr">
        <is>
          <t>Disco</t>
        </is>
      </c>
      <c r="B405" t="n">
        <v>272969</v>
      </c>
      <c r="C405" t="n">
        <v>272236</v>
      </c>
      <c r="D405" t="inlineStr">
        <is>
          <t>Shampoo Roby Rulos Hidratados</t>
        </is>
      </c>
      <c r="E405" t="inlineStr">
        <is>
          <t>ROBY</t>
        </is>
      </c>
      <c r="F405" t="n">
        <v>58.99</v>
      </c>
      <c r="G405" t="n">
        <v>4875</v>
      </c>
      <c r="H405" t="b">
        <v>0</v>
      </c>
      <c r="I405" t="inlineStr"/>
      <c r="J405" t="inlineStr"/>
      <c r="K405" t="inlineStr">
        <is>
          <t>&gt; Perfumería &gt; Cuidado Capilar &gt; Shampoo &gt;</t>
        </is>
      </c>
      <c r="L405" t="inlineStr">
        <is>
          <t>shampoo</t>
        </is>
      </c>
      <c r="M405" t="inlineStr">
        <is>
          <t>estandar</t>
        </is>
      </c>
      <c r="N405" t="inlineStr">
        <is>
          <t>rizado</t>
        </is>
      </c>
      <c r="O405" t="inlineStr">
        <is>
          <t>https://www.disco.com.ar/shampoo-roby-rulos-hidratados/p</t>
        </is>
      </c>
    </row>
    <row r="406">
      <c r="A406" s="10" t="inlineStr">
        <is>
          <t>Disco</t>
        </is>
      </c>
      <c r="B406" s="10" t="n">
        <v>271706</v>
      </c>
      <c r="C406" s="10" t="n">
        <v>271185</v>
      </c>
      <c r="D406" s="10" t="inlineStr">
        <is>
          <t>Shampoo Sedal Restauracion 300ml</t>
        </is>
      </c>
      <c r="E406" s="10" t="inlineStr">
        <is>
          <t>SEDAL</t>
        </is>
      </c>
      <c r="F406" s="10" t="n">
        <v>196.89</v>
      </c>
      <c r="G406" s="10" t="n">
        <v>16272</v>
      </c>
      <c r="H406" s="10" t="b">
        <v>0</v>
      </c>
      <c r="I406" s="10" t="n">
        <v>300</v>
      </c>
      <c r="J406" s="10" t="n">
        <v>0.6563</v>
      </c>
      <c r="K406" s="10" t="inlineStr">
        <is>
          <t>&gt; Perfumería &gt; Cuidado Capilar &gt; Shampoo &gt;</t>
        </is>
      </c>
      <c r="L406" s="10" t="inlineStr">
        <is>
          <t>shampoo</t>
        </is>
      </c>
      <c r="M406" s="10" t="inlineStr">
        <is>
          <t>estandar</t>
        </is>
      </c>
      <c r="N406" s="10" t="inlineStr">
        <is>
          <t>general</t>
        </is>
      </c>
      <c r="O406" s="10" t="inlineStr">
        <is>
          <t>https://www.disco.com.ar/shampoo-sedal-restauracion-300ml/p</t>
        </is>
      </c>
    </row>
    <row r="407">
      <c r="A407" t="inlineStr">
        <is>
          <t>Disco</t>
        </is>
      </c>
      <c r="B407" t="n">
        <v>238314</v>
      </c>
      <c r="C407" t="n">
        <v>198676</v>
      </c>
      <c r="D407" t="inlineStr">
        <is>
          <t>Shampoo Flex X250ml</t>
        </is>
      </c>
      <c r="E407" t="inlineStr">
        <is>
          <t>FLEX</t>
        </is>
      </c>
      <c r="F407" t="n">
        <v>7.59</v>
      </c>
      <c r="G407" t="n">
        <v>7.59</v>
      </c>
      <c r="H407" t="b">
        <v>0</v>
      </c>
      <c r="I407" t="n">
        <v>250</v>
      </c>
      <c r="J407" t="n">
        <v>0.0304</v>
      </c>
      <c r="K407" t="inlineStr">
        <is>
          <t>&gt; Perfumería &gt; Cuidado Capilar &gt; Shampoo &gt;</t>
        </is>
      </c>
      <c r="L407" t="inlineStr">
        <is>
          <t>shampoo</t>
        </is>
      </c>
      <c r="M407" t="inlineStr">
        <is>
          <t>estandar</t>
        </is>
      </c>
      <c r="N407" t="inlineStr">
        <is>
          <t>general</t>
        </is>
      </c>
      <c r="O407" t="inlineStr">
        <is>
          <t>https://www.disco.com.ar/shampoo-flex-x250ml-269492/p</t>
        </is>
      </c>
    </row>
    <row r="408">
      <c r="A408" s="10" t="inlineStr">
        <is>
          <t>Disco</t>
        </is>
      </c>
      <c r="B408" s="10" t="n">
        <v>233251</v>
      </c>
      <c r="C408" s="10" t="n">
        <v>206656</v>
      </c>
      <c r="D408" s="10" t="inlineStr">
        <is>
          <t>Shampoo Estrella Baby Floral</t>
        </is>
      </c>
      <c r="E408" s="10" t="inlineStr">
        <is>
          <t>ESTRELLA</t>
        </is>
      </c>
      <c r="F408" s="10" t="n">
        <v>6.99</v>
      </c>
      <c r="G408" s="10" t="n">
        <v>6.99</v>
      </c>
      <c r="H408" s="10" t="b">
        <v>0</v>
      </c>
      <c r="I408" s="10" t="inlineStr"/>
      <c r="J408" s="10" t="inlineStr"/>
      <c r="K408" s="10" t="inlineStr">
        <is>
          <t>&gt; Mundo Bebe &gt; Higiene para el Bebe &gt;</t>
        </is>
      </c>
      <c r="L408" s="10" t="inlineStr">
        <is>
          <t>shampoo</t>
        </is>
      </c>
      <c r="M408" s="10" t="inlineStr">
        <is>
          <t>estandar</t>
        </is>
      </c>
      <c r="N408" s="10" t="inlineStr">
        <is>
          <t>general</t>
        </is>
      </c>
      <c r="O408" s="10" t="inlineStr">
        <is>
          <t>https://www.disco.com.ar/shampoo-estrella-baby-floral-279415/p</t>
        </is>
      </c>
    </row>
    <row r="409">
      <c r="A409" t="inlineStr">
        <is>
          <t>Disco</t>
        </is>
      </c>
      <c r="B409" t="n">
        <v>189729</v>
      </c>
      <c r="C409" t="n">
        <v>202937</v>
      </c>
      <c r="D409" t="inlineStr">
        <is>
          <t>Shampoo Davor Todo Tipo De Cabellos</t>
        </is>
      </c>
      <c r="E409" t="inlineStr">
        <is>
          <t>DAVOR</t>
        </is>
      </c>
      <c r="F409" t="n">
        <v>13.24</v>
      </c>
      <c r="G409" t="n">
        <v>13.24</v>
      </c>
      <c r="H409" t="b">
        <v>0</v>
      </c>
      <c r="I409" t="inlineStr"/>
      <c r="J409" t="inlineStr"/>
      <c r="K409" t="inlineStr">
        <is>
          <t>&gt; Perfumería &gt; Cuidado Capilar &gt; Shampoo &gt;</t>
        </is>
      </c>
      <c r="L409" t="inlineStr">
        <is>
          <t>shampoo</t>
        </is>
      </c>
      <c r="M409" t="inlineStr">
        <is>
          <t>estandar</t>
        </is>
      </c>
      <c r="N409" t="inlineStr">
        <is>
          <t>general</t>
        </is>
      </c>
      <c r="O409" t="inlineStr">
        <is>
          <t>https://www.disco.com.ar/shampoo-davor-todo-tipo-de-cabellos-274804/p</t>
        </is>
      </c>
    </row>
    <row r="410">
      <c r="A410" s="10" t="inlineStr">
        <is>
          <t>Disco</t>
        </is>
      </c>
      <c r="B410" s="10" t="n">
        <v>137977</v>
      </c>
      <c r="C410" s="10" t="n">
        <v>134888</v>
      </c>
      <c r="D410" s="10" t="inlineStr">
        <is>
          <t>Pantene Shampoo Summer 400ml</t>
        </is>
      </c>
      <c r="E410" s="10" t="inlineStr">
        <is>
          <t>PANTENE</t>
        </is>
      </c>
      <c r="F410" s="10" t="n">
        <v>48.79</v>
      </c>
      <c r="G410" s="10" t="n">
        <v>4032</v>
      </c>
      <c r="H410" s="10" t="b">
        <v>0</v>
      </c>
      <c r="I410" s="10" t="n">
        <v>400</v>
      </c>
      <c r="J410" s="10" t="n">
        <v>0.122</v>
      </c>
      <c r="K410" s="10" t="inlineStr">
        <is>
          <t>&gt; Perfumería &gt; Cuidado Capilar &gt; Shampoo &gt;</t>
        </is>
      </c>
      <c r="L410" s="10" t="inlineStr">
        <is>
          <t>shampoo</t>
        </is>
      </c>
      <c r="M410" s="10" t="inlineStr">
        <is>
          <t>estandar</t>
        </is>
      </c>
      <c r="N410" s="10" t="inlineStr">
        <is>
          <t>general</t>
        </is>
      </c>
      <c r="O410" s="10" t="inlineStr">
        <is>
          <t>https://www.disco.com.ar/pantene-shampoo-summer-400ml-2/p</t>
        </is>
      </c>
    </row>
    <row r="411">
      <c r="A411" t="inlineStr">
        <is>
          <t>Disco</t>
        </is>
      </c>
      <c r="B411" t="n">
        <v>132229</v>
      </c>
      <c r="C411" t="n">
        <v>129145</v>
      </c>
      <c r="D411" t="inlineStr">
        <is>
          <t>Pantene Shampoo Restauración 400ml</t>
        </is>
      </c>
      <c r="E411" t="inlineStr">
        <is>
          <t>PANTENE</t>
        </is>
      </c>
      <c r="F411" t="n">
        <v>48.79</v>
      </c>
      <c r="G411" t="n">
        <v>4032</v>
      </c>
      <c r="H411" t="b">
        <v>0</v>
      </c>
      <c r="I411" t="n">
        <v>400</v>
      </c>
      <c r="J411" t="n">
        <v>0.122</v>
      </c>
      <c r="K411" t="inlineStr">
        <is>
          <t>&gt; Perfumería &gt; Cuidado Capilar &gt; Shampoo &gt;</t>
        </is>
      </c>
      <c r="L411" t="inlineStr">
        <is>
          <t>shampoo</t>
        </is>
      </c>
      <c r="M411" t="inlineStr">
        <is>
          <t>estandar</t>
        </is>
      </c>
      <c r="N411" t="inlineStr">
        <is>
          <t>general</t>
        </is>
      </c>
      <c r="O411" t="inlineStr">
        <is>
          <t>https://www.disco.com.ar/pantene-shampoo-restauracion-400ml/p</t>
        </is>
      </c>
    </row>
    <row r="412">
      <c r="A412" s="10" t="inlineStr">
        <is>
          <t>Disco</t>
        </is>
      </c>
      <c r="B412" s="10" t="n">
        <v>116062</v>
      </c>
      <c r="C412" s="10" t="n">
        <v>115107</v>
      </c>
      <c r="D412" s="10" t="inlineStr">
        <is>
          <t>Shampoo Suave X350ml Protección Del Color  Pvc 350 Ml.</t>
        </is>
      </c>
      <c r="E412" s="10" t="inlineStr">
        <is>
          <t>SUAVE</t>
        </is>
      </c>
      <c r="F412" s="10" t="n">
        <v>3.25</v>
      </c>
      <c r="G412" s="10" t="n">
        <v>3.25</v>
      </c>
      <c r="H412" s="10" t="b">
        <v>0</v>
      </c>
      <c r="I412" s="10" t="n">
        <v>350</v>
      </c>
      <c r="J412" s="10" t="n">
        <v>0.009299999999999999</v>
      </c>
      <c r="K412" s="10" t="inlineStr">
        <is>
          <t>&gt; Perfumería &gt; Cuidado Capilar &gt; Shampoo &gt;</t>
        </is>
      </c>
      <c r="L412" s="10" t="inlineStr">
        <is>
          <t>shampoo</t>
        </is>
      </c>
      <c r="M412" s="10" t="inlineStr">
        <is>
          <t>estandar</t>
        </is>
      </c>
      <c r="N412" s="10" t="inlineStr">
        <is>
          <t>tratado</t>
        </is>
      </c>
      <c r="O412" s="10" t="inlineStr">
        <is>
          <t>https://www.disco.com.ar/shampoo-suave-x350ml/p</t>
        </is>
      </c>
    </row>
    <row r="413">
      <c r="A413" t="inlineStr">
        <is>
          <t>Disco</t>
        </is>
      </c>
      <c r="B413" t="n">
        <v>113691</v>
      </c>
      <c r="C413" t="n">
        <v>112741</v>
      </c>
      <c r="D413" t="inlineStr">
        <is>
          <t>Shampoo L´oreal Kids</t>
        </is>
      </c>
      <c r="E413" t="inlineStr">
        <is>
          <t>L´OREAL KIDS</t>
        </is>
      </c>
      <c r="F413" t="n">
        <v>11.23</v>
      </c>
      <c r="G413" t="n">
        <v>11.23</v>
      </c>
      <c r="H413" t="b">
        <v>0</v>
      </c>
      <c r="I413" t="inlineStr"/>
      <c r="J413" t="inlineStr"/>
      <c r="K413" t="inlineStr">
        <is>
          <t>&gt; Mundo Bebe &gt; Higiene para el Bebe &gt; Higiene del Bebé &gt;</t>
        </is>
      </c>
      <c r="L413" t="inlineStr">
        <is>
          <t>shampoo</t>
        </is>
      </c>
      <c r="M413" t="inlineStr">
        <is>
          <t>estandar</t>
        </is>
      </c>
      <c r="N413" t="inlineStr">
        <is>
          <t>bebe</t>
        </is>
      </c>
      <c r="O413" t="inlineStr">
        <is>
          <t>https://www.disco.com.ar/shampoo-l-oreal-kids-5/p</t>
        </is>
      </c>
    </row>
    <row r="414">
      <c r="A414" s="10" t="inlineStr">
        <is>
          <t>Disco</t>
        </is>
      </c>
      <c r="B414" s="10" t="n">
        <v>111862</v>
      </c>
      <c r="C414" s="10" t="n">
        <v>78683</v>
      </c>
      <c r="D414" s="10" t="inlineStr">
        <is>
          <t>Shampoo Plusbelle Hidratacion 1lt</t>
        </is>
      </c>
      <c r="E414" s="10" t="inlineStr">
        <is>
          <t>PLUSBELLE</t>
        </is>
      </c>
      <c r="F414" s="10" t="n">
        <v>203.69</v>
      </c>
      <c r="G414" s="10" t="n">
        <v>16834</v>
      </c>
      <c r="H414" s="10" t="b">
        <v>0</v>
      </c>
      <c r="I414" s="10" t="inlineStr"/>
      <c r="J414" s="10" t="inlineStr"/>
      <c r="K414" s="10" t="inlineStr">
        <is>
          <t>&gt; Perfumería &gt; Cuidado Capilar &gt; Shampoo &gt;</t>
        </is>
      </c>
      <c r="L414" s="10" t="inlineStr">
        <is>
          <t>shampoo</t>
        </is>
      </c>
      <c r="M414" s="10" t="inlineStr">
        <is>
          <t>estandar</t>
        </is>
      </c>
      <c r="N414" s="10" t="inlineStr">
        <is>
          <t>seco_danado</t>
        </is>
      </c>
      <c r="O414" s="10" t="inlineStr">
        <is>
          <t>https://www.disco.com.ar/shampoo-plusbelle-hidratacion-1lt-2/p</t>
        </is>
      </c>
    </row>
    <row r="415">
      <c r="A415" t="inlineStr">
        <is>
          <t>Disco</t>
        </is>
      </c>
      <c r="B415" t="n">
        <v>111841</v>
      </c>
      <c r="C415" t="n">
        <v>78662</v>
      </c>
      <c r="D415" t="inlineStr">
        <is>
          <t>Shampoo Elvive Renutricion 400ml</t>
        </is>
      </c>
      <c r="E415" t="inlineStr">
        <is>
          <t>ELVIVE</t>
        </is>
      </c>
      <c r="F415" t="n">
        <v>430.95</v>
      </c>
      <c r="G415" t="n">
        <v>35616</v>
      </c>
      <c r="H415" t="b">
        <v>0</v>
      </c>
      <c r="I415" t="n">
        <v>400</v>
      </c>
      <c r="J415" t="n">
        <v>1.0774</v>
      </c>
      <c r="K415" t="inlineStr">
        <is>
          <t>&gt; Perfumería &gt; Cuidado Capilar &gt; Shampoo &gt;</t>
        </is>
      </c>
      <c r="L415" t="inlineStr">
        <is>
          <t>shampoo</t>
        </is>
      </c>
      <c r="M415" t="inlineStr">
        <is>
          <t>profesional</t>
        </is>
      </c>
      <c r="N415" t="inlineStr">
        <is>
          <t>general</t>
        </is>
      </c>
      <c r="O415" t="inlineStr">
        <is>
          <t>https://www.disco.com.ar/shampoo-elvive-renutricion-400ml/p</t>
        </is>
      </c>
    </row>
    <row r="416">
      <c r="A416" s="10" t="inlineStr">
        <is>
          <t>Disco</t>
        </is>
      </c>
      <c r="B416" s="10" t="n">
        <v>42013</v>
      </c>
      <c r="C416" s="10" t="n">
        <v>39177</v>
      </c>
      <c r="D416" s="10" t="inlineStr">
        <is>
          <t>Shampoo Fructis Brillo 200ml</t>
        </is>
      </c>
      <c r="E416" s="10" t="inlineStr">
        <is>
          <t>FRUCTIS</t>
        </is>
      </c>
      <c r="F416" s="10" t="n">
        <v>233.45</v>
      </c>
      <c r="G416" s="10" t="n">
        <v>19293</v>
      </c>
      <c r="H416" s="10" t="b">
        <v>0</v>
      </c>
      <c r="I416" s="10" t="n">
        <v>200</v>
      </c>
      <c r="J416" s="10" t="n">
        <v>1.1672</v>
      </c>
      <c r="K416" s="10" t="inlineStr">
        <is>
          <t>&gt; Perfumería &gt; Cuidado Capilar &gt; Shampoo &gt;</t>
        </is>
      </c>
      <c r="L416" s="10" t="inlineStr">
        <is>
          <t>shampoo</t>
        </is>
      </c>
      <c r="M416" s="10" t="inlineStr">
        <is>
          <t>estandar</t>
        </is>
      </c>
      <c r="N416" s="10" t="inlineStr">
        <is>
          <t>general</t>
        </is>
      </c>
      <c r="O416" s="10" t="inlineStr">
        <is>
          <t>https://www.disco.com.ar/shampoo-fructis-brillo-200ml-2/p</t>
        </is>
      </c>
    </row>
    <row r="417">
      <c r="A417" t="inlineStr">
        <is>
          <t>Disco</t>
        </is>
      </c>
      <c r="B417" t="n">
        <v>41645</v>
      </c>
      <c r="C417" t="n">
        <v>38810</v>
      </c>
      <c r="D417" t="inlineStr">
        <is>
          <t>Shampoo Fructis Control 200ml</t>
        </is>
      </c>
      <c r="E417" t="inlineStr">
        <is>
          <t>FRUCTIS</t>
        </is>
      </c>
      <c r="F417" t="n">
        <v>213.99</v>
      </c>
      <c r="G417" t="n">
        <v>17685</v>
      </c>
      <c r="H417" t="b">
        <v>0</v>
      </c>
      <c r="I417" t="n">
        <v>200</v>
      </c>
      <c r="J417" t="n">
        <v>1.0699</v>
      </c>
      <c r="K417" t="inlineStr">
        <is>
          <t>&gt; Perfumería &gt; Cuidado Capilar &gt; Shampoo &gt;</t>
        </is>
      </c>
      <c r="L417" t="inlineStr">
        <is>
          <t>shampoo</t>
        </is>
      </c>
      <c r="M417" t="inlineStr">
        <is>
          <t>estandar</t>
        </is>
      </c>
      <c r="N417" t="inlineStr">
        <is>
          <t>general</t>
        </is>
      </c>
      <c r="O417" t="inlineStr">
        <is>
          <t>https://www.disco.com.ar/shampoo-fructis-control-200ml-2/p</t>
        </is>
      </c>
    </row>
    <row r="418">
      <c r="A418" s="10" t="inlineStr">
        <is>
          <t>Disco</t>
        </is>
      </c>
      <c r="B418" s="10" t="n">
        <v>19650</v>
      </c>
      <c r="C418" s="10" t="n">
        <v>16812</v>
      </c>
      <c r="D418" s="10" t="inlineStr">
        <is>
          <t>Shampoo Sedal Rizos 340ml</t>
        </is>
      </c>
      <c r="E418" s="10" t="inlineStr">
        <is>
          <t>SEDAL</t>
        </is>
      </c>
      <c r="F418" s="10" t="n">
        <v>155.69</v>
      </c>
      <c r="G418" s="10" t="n">
        <v>12867</v>
      </c>
      <c r="H418" s="10" t="b">
        <v>0</v>
      </c>
      <c r="I418" s="10" t="n">
        <v>340</v>
      </c>
      <c r="J418" s="10" t="n">
        <v>0.4579</v>
      </c>
      <c r="K418" s="10" t="inlineStr">
        <is>
          <t>&gt; Perfumería &gt; Cuidado Capilar &gt; Shampoo &gt;</t>
        </is>
      </c>
      <c r="L418" s="10" t="inlineStr">
        <is>
          <t>shampoo</t>
        </is>
      </c>
      <c r="M418" s="10" t="inlineStr">
        <is>
          <t>estandar</t>
        </is>
      </c>
      <c r="N418" s="10" t="inlineStr">
        <is>
          <t>rizado</t>
        </is>
      </c>
      <c r="O418" s="10" t="inlineStr">
        <is>
          <t>https://www.disco.com.ar/shampoo-sedal-rizos-340ml/p</t>
        </is>
      </c>
    </row>
    <row r="419">
      <c r="A419" t="inlineStr">
        <is>
          <t>Disco</t>
        </is>
      </c>
      <c r="B419" t="n">
        <v>19649</v>
      </c>
      <c r="C419" t="n">
        <v>16811</v>
      </c>
      <c r="D419" t="inlineStr">
        <is>
          <t>Shampoo Sedal Liso 340ml</t>
        </is>
      </c>
      <c r="E419" t="inlineStr">
        <is>
          <t>SEDAL</t>
        </is>
      </c>
      <c r="F419" t="n">
        <v>450</v>
      </c>
      <c r="G419" t="n">
        <v>37190</v>
      </c>
      <c r="H419" t="b">
        <v>0</v>
      </c>
      <c r="I419" t="n">
        <v>340</v>
      </c>
      <c r="J419" t="n">
        <v>1.3235</v>
      </c>
      <c r="K419" t="inlineStr">
        <is>
          <t>&gt; Perfumería &gt; Cuidado Capilar &gt; Shampoo &gt;</t>
        </is>
      </c>
      <c r="L419" t="inlineStr">
        <is>
          <t>shampoo</t>
        </is>
      </c>
      <c r="M419" t="inlineStr">
        <is>
          <t>estandar</t>
        </is>
      </c>
      <c r="N419" t="inlineStr">
        <is>
          <t>general</t>
        </is>
      </c>
      <c r="O419" t="inlineStr">
        <is>
          <t>https://www.disco.com.ar/shampoo-sedal-liso-340ml/p</t>
        </is>
      </c>
    </row>
    <row r="420">
      <c r="A420" s="10" t="inlineStr">
        <is>
          <t>Disco</t>
        </is>
      </c>
      <c r="B420" s="10" t="n">
        <v>19551</v>
      </c>
      <c r="C420" s="10" t="n">
        <v>16708</v>
      </c>
      <c r="D420" s="10" t="inlineStr">
        <is>
          <t>Shampoo Sedal Ceramidas 190ml</t>
        </is>
      </c>
      <c r="E420" s="10" t="inlineStr">
        <is>
          <t>SEDAL SOS</t>
        </is>
      </c>
      <c r="F420" s="10" t="n">
        <v>166.17</v>
      </c>
      <c r="G420" s="10" t="n">
        <v>13733</v>
      </c>
      <c r="H420" s="10" t="b">
        <v>0</v>
      </c>
      <c r="I420" s="10" t="n">
        <v>190</v>
      </c>
      <c r="J420" s="10" t="n">
        <v>0.8746</v>
      </c>
      <c r="K420" s="10" t="inlineStr">
        <is>
          <t>&gt; Perfumería &gt; Cuidado Capilar &gt; Shampoo &gt;</t>
        </is>
      </c>
      <c r="L420" s="10" t="inlineStr">
        <is>
          <t>shampoo</t>
        </is>
      </c>
      <c r="M420" s="10" t="inlineStr">
        <is>
          <t>estandar</t>
        </is>
      </c>
      <c r="N420" s="10" t="inlineStr">
        <is>
          <t>general</t>
        </is>
      </c>
      <c r="O420" s="10" t="inlineStr">
        <is>
          <t>https://www.disco.com.ar/shampoo-sedal-ceramidas-190ml/p</t>
        </is>
      </c>
    </row>
    <row r="421">
      <c r="A421" t="inlineStr">
        <is>
          <t>Disco</t>
        </is>
      </c>
      <c r="B421" t="n">
        <v>19535</v>
      </c>
      <c r="C421" t="n">
        <v>16691</v>
      </c>
      <c r="D421" t="inlineStr">
        <is>
          <t>Shampoo Tresemme Hidratacion 750ml</t>
        </is>
      </c>
      <c r="E421" t="inlineStr">
        <is>
          <t>TRESEMMÉ</t>
        </is>
      </c>
      <c r="F421" t="n">
        <v>814.35</v>
      </c>
      <c r="G421" t="n">
        <v>67302</v>
      </c>
      <c r="H421" t="b">
        <v>0</v>
      </c>
      <c r="I421" t="n">
        <v>750</v>
      </c>
      <c r="J421" t="n">
        <v>1.0858</v>
      </c>
      <c r="K421" t="inlineStr">
        <is>
          <t>&gt; Perfumería &gt; Cuidado Capilar &gt; Shampoo &gt;</t>
        </is>
      </c>
      <c r="L421" t="inlineStr">
        <is>
          <t>shampoo</t>
        </is>
      </c>
      <c r="M421" t="inlineStr">
        <is>
          <t>estandar</t>
        </is>
      </c>
      <c r="N421" t="inlineStr">
        <is>
          <t>seco_danado</t>
        </is>
      </c>
      <c r="O421" t="inlineStr">
        <is>
          <t>https://www.disco.com.ar/shampoo-tresemme-hidratacion-750ml/p</t>
        </is>
      </c>
    </row>
    <row r="422">
      <c r="A422" s="10" t="inlineStr">
        <is>
          <t>Disco</t>
        </is>
      </c>
      <c r="B422" s="10" t="n">
        <v>17781</v>
      </c>
      <c r="C422" s="10" t="n">
        <v>14900</v>
      </c>
      <c r="D422" s="10" t="inlineStr">
        <is>
          <t>Shampoo Triatop Intenso 400ml</t>
        </is>
      </c>
      <c r="E422" s="10" t="inlineStr">
        <is>
          <t>TRIATOP</t>
        </is>
      </c>
      <c r="F422" s="10" t="n">
        <v>603.37</v>
      </c>
      <c r="G422" s="10" t="n">
        <v>49865</v>
      </c>
      <c r="H422" s="10" t="b">
        <v>0</v>
      </c>
      <c r="I422" s="10" t="n">
        <v>400</v>
      </c>
      <c r="J422" s="10" t="n">
        <v>1.5084</v>
      </c>
      <c r="K422" s="10" t="inlineStr">
        <is>
          <t>&gt; Perfumería &gt; Cuidado Capilar &gt; Shampoo &gt;</t>
        </is>
      </c>
      <c r="L422" s="10" t="inlineStr">
        <is>
          <t>shampoo</t>
        </is>
      </c>
      <c r="M422" s="10" t="inlineStr">
        <is>
          <t>estandar</t>
        </is>
      </c>
      <c r="N422" s="10" t="inlineStr">
        <is>
          <t>general</t>
        </is>
      </c>
      <c r="O422" s="10" t="inlineStr">
        <is>
          <t>https://www.disco.com.ar/shampoo-triatop-intenso-400ml/p</t>
        </is>
      </c>
    </row>
    <row r="423">
      <c r="A423" t="inlineStr">
        <is>
          <t>Disco</t>
        </is>
      </c>
      <c r="B423" t="n">
        <v>14381</v>
      </c>
      <c r="C423" t="n">
        <v>11564</v>
      </c>
      <c r="D423" t="inlineStr">
        <is>
          <t>Shampoo Capilatis Caida 350ml</t>
        </is>
      </c>
      <c r="E423" t="inlineStr">
        <is>
          <t>CAPILATIS</t>
        </is>
      </c>
      <c r="F423" t="n">
        <v>1403.55</v>
      </c>
      <c r="G423" t="n">
        <v>115996</v>
      </c>
      <c r="H423" t="b">
        <v>0</v>
      </c>
      <c r="I423" t="n">
        <v>350</v>
      </c>
      <c r="J423" t="n">
        <v>4.0101</v>
      </c>
      <c r="K423" t="inlineStr">
        <is>
          <t>&gt; Perfumería &gt; Cuidado Capilar &gt; Shampoo &gt;</t>
        </is>
      </c>
      <c r="L423" t="inlineStr">
        <is>
          <t>shampoo</t>
        </is>
      </c>
      <c r="M423" t="inlineStr">
        <is>
          <t>estandar</t>
        </is>
      </c>
      <c r="N423" t="inlineStr">
        <is>
          <t>general</t>
        </is>
      </c>
      <c r="O423" t="inlineStr">
        <is>
          <t>https://www.disco.com.ar/shampoo-capilatis-caida-350ml/p</t>
        </is>
      </c>
    </row>
    <row r="424">
      <c r="A424" s="10" t="inlineStr">
        <is>
          <t>Disco</t>
        </is>
      </c>
      <c r="B424" s="10" t="n">
        <v>8108</v>
      </c>
      <c r="C424" s="10" t="n">
        <v>5434</v>
      </c>
      <c r="D424" s="10" t="inlineStr">
        <is>
          <t>Shampoo Plusbelle Hydro-reparacion Shampoo Plusbelle Hydro Reparación 650 Ml</t>
        </is>
      </c>
      <c r="E424" s="10" t="inlineStr">
        <is>
          <t>PLUSBELLE</t>
        </is>
      </c>
      <c r="F424" s="10" t="n">
        <v>71.67</v>
      </c>
      <c r="G424" s="10" t="n">
        <v>5923</v>
      </c>
      <c r="H424" s="10" t="b">
        <v>0</v>
      </c>
      <c r="I424" s="10" t="n">
        <v>650</v>
      </c>
      <c r="J424" s="10" t="n">
        <v>0.1103</v>
      </c>
      <c r="K424" s="10" t="inlineStr">
        <is>
          <t>&gt; Perfumería &gt; Cuidado Capilar &gt; Shampoo &gt;</t>
        </is>
      </c>
      <c r="L424" s="10" t="inlineStr">
        <is>
          <t>shampoo</t>
        </is>
      </c>
      <c r="M424" s="10" t="inlineStr">
        <is>
          <t>estandar</t>
        </is>
      </c>
      <c r="N424" s="10" t="inlineStr">
        <is>
          <t>general</t>
        </is>
      </c>
      <c r="O424" s="10" t="inlineStr">
        <is>
          <t>https://www.disco.com.ar/shampoo-plusbelle-hydro-reparacion/p</t>
        </is>
      </c>
    </row>
    <row r="425">
      <c r="A425" t="inlineStr">
        <is>
          <t>Disco</t>
        </is>
      </c>
      <c r="B425" t="n">
        <v>7346</v>
      </c>
      <c r="C425" t="n">
        <v>4678</v>
      </c>
      <c r="D425" t="inlineStr">
        <is>
          <t>Shampoo Pantene Rizos 200ml</t>
        </is>
      </c>
      <c r="E425" t="inlineStr">
        <is>
          <t>PANTENE</t>
        </is>
      </c>
      <c r="F425" t="n">
        <v>173.39</v>
      </c>
      <c r="G425" t="n">
        <v>14330</v>
      </c>
      <c r="H425" t="b">
        <v>0</v>
      </c>
      <c r="I425" t="n">
        <v>200</v>
      </c>
      <c r="J425" t="n">
        <v>0.8669</v>
      </c>
      <c r="K425" t="inlineStr">
        <is>
          <t>&gt; Perfumería &gt; Cuidado Capilar &gt; Shampoo &gt;</t>
        </is>
      </c>
      <c r="L425" t="inlineStr">
        <is>
          <t>shampoo</t>
        </is>
      </c>
      <c r="M425" t="inlineStr">
        <is>
          <t>estandar</t>
        </is>
      </c>
      <c r="N425" t="inlineStr">
        <is>
          <t>rizado</t>
        </is>
      </c>
      <c r="O425" t="inlineStr">
        <is>
          <t>https://www.disco.com.ar/shampoo-pantene-rizos-200ml/p</t>
        </is>
      </c>
    </row>
    <row r="426">
      <c r="A426" s="10" t="inlineStr">
        <is>
          <t>Disco</t>
        </is>
      </c>
      <c r="B426" s="10" t="n">
        <v>3068435</v>
      </c>
      <c r="C426" s="10" t="n">
        <v>3068185</v>
      </c>
      <c r="D426" s="10" t="inlineStr">
        <is>
          <t>Shampoo Con Palo Amargo Capilatis</t>
        </is>
      </c>
      <c r="E426" s="10" t="inlineStr">
        <is>
          <t>CAPILATIS</t>
        </is>
      </c>
      <c r="F426" s="10" t="n">
        <v>9250</v>
      </c>
      <c r="G426" s="10" t="n">
        <v>764463</v>
      </c>
      <c r="H426" s="10" t="b">
        <v>0</v>
      </c>
      <c r="I426" s="10" t="inlineStr"/>
      <c r="J426" s="10" t="inlineStr"/>
      <c r="K426" s="10" t="inlineStr">
        <is>
          <t>&gt; Perfumería &gt; Cuidado Capilar &gt; Shampoo &gt;</t>
        </is>
      </c>
      <c r="L426" s="10" t="inlineStr">
        <is>
          <t>shampoo</t>
        </is>
      </c>
      <c r="M426" s="10" t="inlineStr">
        <is>
          <t>estandar</t>
        </is>
      </c>
      <c r="N426" s="10" t="inlineStr">
        <is>
          <t>general</t>
        </is>
      </c>
      <c r="O426" s="10" t="inlineStr">
        <is>
          <t>https://www.disco.com.ar/shampoo-con-palo-amargo-capilatis/p</t>
        </is>
      </c>
    </row>
    <row r="427">
      <c r="A427" t="inlineStr">
        <is>
          <t>Disco</t>
        </is>
      </c>
      <c r="B427" t="n">
        <v>415575</v>
      </c>
      <c r="C427" t="n">
        <v>411159</v>
      </c>
      <c r="D427" t="inlineStr">
        <is>
          <t>Shampoo Revilitacion 400 Ml Pantene</t>
        </is>
      </c>
      <c r="E427" t="inlineStr">
        <is>
          <t>PANTENE</t>
        </is>
      </c>
      <c r="F427" t="n">
        <v>10000</v>
      </c>
      <c r="G427" t="n">
        <v>826446</v>
      </c>
      <c r="H427" t="b">
        <v>0</v>
      </c>
      <c r="I427" t="n">
        <v>400</v>
      </c>
      <c r="J427" t="n">
        <v>25</v>
      </c>
      <c r="K427" t="inlineStr">
        <is>
          <t>&gt; Perfumería &gt; Cuidado Capilar &gt; Shampoo &gt;</t>
        </is>
      </c>
      <c r="L427" t="inlineStr">
        <is>
          <t>shampoo</t>
        </is>
      </c>
      <c r="M427" t="inlineStr">
        <is>
          <t>estandar</t>
        </is>
      </c>
      <c r="N427" t="inlineStr">
        <is>
          <t>general</t>
        </is>
      </c>
      <c r="O427" t="inlineStr">
        <is>
          <t>https://www.disco.com.ar/shampoo-revilitacion-400-ml-pantene/p</t>
        </is>
      </c>
    </row>
    <row r="428">
      <c r="A428" s="10" t="inlineStr">
        <is>
          <t>Disco</t>
        </is>
      </c>
      <c r="B428" s="10" t="n">
        <v>415574</v>
      </c>
      <c r="C428" s="10" t="n">
        <v>411158</v>
      </c>
      <c r="D428" s="10" t="inlineStr">
        <is>
          <t>Shampoo Pantene  Revilitacion 750 Ml</t>
        </is>
      </c>
      <c r="E428" s="10" t="inlineStr">
        <is>
          <t>PANTENE</t>
        </is>
      </c>
      <c r="F428" s="10" t="n">
        <v>12550</v>
      </c>
      <c r="G428" s="10" t="n">
        <v>1037190</v>
      </c>
      <c r="H428" s="10" t="b">
        <v>0</v>
      </c>
      <c r="I428" s="10" t="n">
        <v>750</v>
      </c>
      <c r="J428" s="10" t="n">
        <v>16.7333</v>
      </c>
      <c r="K428" s="10" t="inlineStr">
        <is>
          <t>&gt; Perfumería &gt; Cuidado Capilar &gt; Shampoo &gt;</t>
        </is>
      </c>
      <c r="L428" s="10" t="inlineStr">
        <is>
          <t>shampoo</t>
        </is>
      </c>
      <c r="M428" s="10" t="inlineStr">
        <is>
          <t>estandar</t>
        </is>
      </c>
      <c r="N428" s="10" t="inlineStr">
        <is>
          <t>general</t>
        </is>
      </c>
      <c r="O428" s="10" t="inlineStr">
        <is>
          <t>https://www.disco.com.ar/shampoo-pantene-revilitacion-750-ml/p</t>
        </is>
      </c>
    </row>
    <row r="429">
      <c r="A429" t="inlineStr">
        <is>
          <t>Disco</t>
        </is>
      </c>
      <c r="B429" t="n">
        <v>412482</v>
      </c>
      <c r="C429" t="n">
        <v>408091</v>
      </c>
      <c r="D429" t="inlineStr">
        <is>
          <t>Shampoo Fructis Liso Coco 200ml</t>
        </is>
      </c>
      <c r="E429" t="inlineStr">
        <is>
          <t>FRUCTIS</t>
        </is>
      </c>
      <c r="F429" t="n">
        <v>4850</v>
      </c>
      <c r="G429" t="n">
        <v>400826</v>
      </c>
      <c r="H429" t="b">
        <v>0</v>
      </c>
      <c r="I429" t="n">
        <v>200</v>
      </c>
      <c r="J429" t="n">
        <v>24.25</v>
      </c>
      <c r="K429" t="inlineStr">
        <is>
          <t>&gt; Perfumería &gt; Cuidado Capilar &gt; Shampoo &gt;</t>
        </is>
      </c>
      <c r="L429" t="inlineStr">
        <is>
          <t>shampoo</t>
        </is>
      </c>
      <c r="M429" t="inlineStr">
        <is>
          <t>estandar</t>
        </is>
      </c>
      <c r="N429" t="inlineStr">
        <is>
          <t>general</t>
        </is>
      </c>
      <c r="O429" t="inlineStr">
        <is>
          <t>https://www.disco.com.ar/shampoo-fructis-liso-coco-200ml-3/p</t>
        </is>
      </c>
    </row>
    <row r="430">
      <c r="A430" s="10" t="inlineStr">
        <is>
          <t>Disco</t>
        </is>
      </c>
      <c r="B430" s="10" t="n">
        <v>410232</v>
      </c>
      <c r="C430" s="10" t="n">
        <v>406236</v>
      </c>
      <c r="D430" s="10" t="inlineStr">
        <is>
          <t>Shampoo Swing Hidratacion Prof 600ml</t>
        </is>
      </c>
      <c r="E430" s="10" t="inlineStr">
        <is>
          <t>SWING</t>
        </is>
      </c>
      <c r="F430" s="10" t="n">
        <v>916.89</v>
      </c>
      <c r="G430" s="10" t="n">
        <v>75776</v>
      </c>
      <c r="H430" s="10" t="b">
        <v>0</v>
      </c>
      <c r="I430" s="10" t="n">
        <v>600</v>
      </c>
      <c r="J430" s="10" t="n">
        <v>1.5281</v>
      </c>
      <c r="K430" s="10" t="inlineStr">
        <is>
          <t>&gt; Perfumería &gt; Cuidado Capilar &gt; Shampoo &gt;</t>
        </is>
      </c>
      <c r="L430" s="10" t="inlineStr">
        <is>
          <t>shampoo</t>
        </is>
      </c>
      <c r="M430" s="10" t="inlineStr">
        <is>
          <t>estandar</t>
        </is>
      </c>
      <c r="N430" s="10" t="inlineStr">
        <is>
          <t>seco_danado</t>
        </is>
      </c>
      <c r="O430" s="10" t="inlineStr">
        <is>
          <t>https://www.disco.com.ar/shampoo-swing-hidratacion-prof-600ml/p</t>
        </is>
      </c>
    </row>
    <row r="431">
      <c r="A431" t="inlineStr">
        <is>
          <t>Disco</t>
        </is>
      </c>
      <c r="B431" t="n">
        <v>397687</v>
      </c>
      <c r="C431" t="n">
        <v>395421</v>
      </c>
      <c r="D431" t="inlineStr">
        <is>
          <t>Shampoo Dove Cuidado Delicad 400ml</t>
        </is>
      </c>
      <c r="E431" t="inlineStr">
        <is>
          <t>DOVE</t>
        </is>
      </c>
      <c r="F431" t="n">
        <v>1211.79</v>
      </c>
      <c r="G431" t="n">
        <v>100148</v>
      </c>
      <c r="H431" t="b">
        <v>0</v>
      </c>
      <c r="I431" t="n">
        <v>400</v>
      </c>
      <c r="J431" t="n">
        <v>3.0295</v>
      </c>
      <c r="K431" t="inlineStr">
        <is>
          <t>&gt; Perfumería &gt; Cuidado Capilar &gt; Shampoo &gt;</t>
        </is>
      </c>
      <c r="L431" t="inlineStr">
        <is>
          <t>shampoo</t>
        </is>
      </c>
      <c r="M431" t="inlineStr">
        <is>
          <t>estandar</t>
        </is>
      </c>
      <c r="N431" t="inlineStr">
        <is>
          <t>general</t>
        </is>
      </c>
      <c r="O431" t="inlineStr">
        <is>
          <t>https://www.disco.com.ar/shampoo-dove-cuidado-delicad-400ml/p</t>
        </is>
      </c>
    </row>
    <row r="432">
      <c r="A432" s="10" t="inlineStr">
        <is>
          <t>Disco</t>
        </is>
      </c>
      <c r="B432" s="10" t="n">
        <v>394677</v>
      </c>
      <c r="C432" s="10" t="n">
        <v>392676</v>
      </c>
      <c r="D432" s="10" t="inlineStr">
        <is>
          <t>Shampoo Ogx Coconut Miracle 385ml</t>
        </is>
      </c>
      <c r="E432" s="10" t="inlineStr">
        <is>
          <t>OGX</t>
        </is>
      </c>
      <c r="F432" s="10" t="n">
        <v>9896.09</v>
      </c>
      <c r="G432" s="10" t="n">
        <v>817859</v>
      </c>
      <c r="H432" s="10" t="b">
        <v>0</v>
      </c>
      <c r="I432" s="10" t="n">
        <v>385</v>
      </c>
      <c r="J432" s="10" t="n">
        <v>25.7041</v>
      </c>
      <c r="K432" s="10" t="inlineStr">
        <is>
          <t>&gt; Perfumería &gt; Cuidado Capilar &gt; Shampoo &gt;</t>
        </is>
      </c>
      <c r="L432" s="10" t="inlineStr">
        <is>
          <t>shampoo</t>
        </is>
      </c>
      <c r="M432" s="10" t="inlineStr">
        <is>
          <t>estandar</t>
        </is>
      </c>
      <c r="N432" s="10" t="inlineStr">
        <is>
          <t>general</t>
        </is>
      </c>
      <c r="O432" s="10" t="inlineStr">
        <is>
          <t>https://www.disco.com.ar/shampoo-ogx-coconut-miracle-385ml/p</t>
        </is>
      </c>
    </row>
    <row r="433">
      <c r="A433" t="inlineStr">
        <is>
          <t>Disco</t>
        </is>
      </c>
      <c r="B433" t="n">
        <v>394354</v>
      </c>
      <c r="C433" t="n">
        <v>392360</v>
      </c>
      <c r="D433" t="inlineStr">
        <is>
          <t>Shampoo Dove Hidratacion Intensa 400ml</t>
        </is>
      </c>
      <c r="E433" t="inlineStr">
        <is>
          <t>DOVE</t>
        </is>
      </c>
      <c r="F433" t="n">
        <v>1211.79</v>
      </c>
      <c r="G433" t="n">
        <v>100148</v>
      </c>
      <c r="H433" t="b">
        <v>0</v>
      </c>
      <c r="I433" t="n">
        <v>400</v>
      </c>
      <c r="J433" t="n">
        <v>3.0295</v>
      </c>
      <c r="K433" t="inlineStr">
        <is>
          <t>&gt; Perfumería &gt; Cuidado Capilar &gt; Shampoo &gt;</t>
        </is>
      </c>
      <c r="L433" t="inlineStr">
        <is>
          <t>shampoo</t>
        </is>
      </c>
      <c r="M433" t="inlineStr">
        <is>
          <t>estandar</t>
        </is>
      </c>
      <c r="N433" t="inlineStr">
        <is>
          <t>seco_danado</t>
        </is>
      </c>
      <c r="O433" t="inlineStr">
        <is>
          <t>https://www.disco.com.ar/shampoo-dove-hidratacion-intensa-400ml/p</t>
        </is>
      </c>
    </row>
    <row r="434">
      <c r="A434" s="10" t="inlineStr">
        <is>
          <t>Disco</t>
        </is>
      </c>
      <c r="B434" s="10" t="n">
        <v>391974</v>
      </c>
      <c r="C434" s="10" t="n">
        <v>390026</v>
      </c>
      <c r="D434" s="10" t="inlineStr">
        <is>
          <t>Shampoo Plusbelle Restauracion Dp 300ml</t>
        </is>
      </c>
      <c r="E434" s="10" t="inlineStr">
        <is>
          <t>PLUSBELLE</t>
        </is>
      </c>
      <c r="F434" s="10" t="n">
        <v>1081.75</v>
      </c>
      <c r="G434" s="10" t="n">
        <v>89401</v>
      </c>
      <c r="H434" s="10" t="b">
        <v>0</v>
      </c>
      <c r="I434" s="10" t="n">
        <v>300</v>
      </c>
      <c r="J434" s="10" t="n">
        <v>3.6058</v>
      </c>
      <c r="K434" s="10" t="inlineStr">
        <is>
          <t>&gt; Perfumería &gt; Cuidado Capilar &gt; Shampoo &gt;</t>
        </is>
      </c>
      <c r="L434" s="10" t="inlineStr">
        <is>
          <t>shampoo</t>
        </is>
      </c>
      <c r="M434" s="10" t="inlineStr">
        <is>
          <t>estandar</t>
        </is>
      </c>
      <c r="N434" s="10" t="inlineStr">
        <is>
          <t>general</t>
        </is>
      </c>
      <c r="O434" s="10" t="inlineStr">
        <is>
          <t>https://www.disco.com.ar/shampoo-plusbelle-restauracion-dp-300ml/p</t>
        </is>
      </c>
    </row>
    <row r="435">
      <c r="A435" t="inlineStr">
        <is>
          <t>Disco</t>
        </is>
      </c>
      <c r="B435" t="n">
        <v>391512</v>
      </c>
      <c r="C435" t="n">
        <v>339969</v>
      </c>
      <c r="D435" t="inlineStr">
        <is>
          <t>Tío Nacho Shampoo Purificación 415ml</t>
        </is>
      </c>
      <c r="E435" t="inlineStr">
        <is>
          <t>Tio Nacho</t>
        </is>
      </c>
      <c r="F435" t="n">
        <v>785.29</v>
      </c>
      <c r="G435" t="n">
        <v>64900</v>
      </c>
      <c r="H435" t="b">
        <v>0</v>
      </c>
      <c r="I435" t="n">
        <v>415</v>
      </c>
      <c r="J435" t="n">
        <v>1.8923</v>
      </c>
      <c r="K435" t="inlineStr">
        <is>
          <t>&gt; Perfumería &gt; Cuidado Capilar &gt; Shampoo &gt;</t>
        </is>
      </c>
      <c r="L435" t="inlineStr">
        <is>
          <t>shampoo</t>
        </is>
      </c>
      <c r="M435" t="inlineStr">
        <is>
          <t>estandar</t>
        </is>
      </c>
      <c r="N435" t="inlineStr">
        <is>
          <t>general</t>
        </is>
      </c>
      <c r="O435" t="inlineStr">
        <is>
          <t>https://www.disco.com.ar/tio-nacho-shampoo-purificacion-415ml/p</t>
        </is>
      </c>
    </row>
    <row r="436">
      <c r="A436" s="10" t="inlineStr">
        <is>
          <t>Disco</t>
        </is>
      </c>
      <c r="B436" s="10" t="n">
        <v>390201</v>
      </c>
      <c r="C436" s="10" t="n">
        <v>388292</v>
      </c>
      <c r="D436" s="10" t="inlineStr">
        <is>
          <t>Shampoo Pantene Hidratación 400 Ml</t>
        </is>
      </c>
      <c r="E436" s="10" t="inlineStr">
        <is>
          <t>PANTENE</t>
        </is>
      </c>
      <c r="F436" s="10" t="n">
        <v>1292.77</v>
      </c>
      <c r="G436" s="10" t="n">
        <v>106841</v>
      </c>
      <c r="H436" s="10" t="b">
        <v>0</v>
      </c>
      <c r="I436" s="10" t="n">
        <v>400</v>
      </c>
      <c r="J436" s="10" t="n">
        <v>3.2319</v>
      </c>
      <c r="K436" s="10" t="inlineStr">
        <is>
          <t>&gt; Perfumería &gt; Cuidado Capilar &gt; Shampoo &gt;</t>
        </is>
      </c>
      <c r="L436" s="10" t="inlineStr">
        <is>
          <t>shampoo</t>
        </is>
      </c>
      <c r="M436" s="10" t="inlineStr">
        <is>
          <t>estandar</t>
        </is>
      </c>
      <c r="N436" s="10" t="inlineStr">
        <is>
          <t>seco_danado</t>
        </is>
      </c>
      <c r="O436" s="10" t="inlineStr">
        <is>
          <t>https://www.disco.com.ar/shampoo-pantene-hidratacion-400-ml-2/p</t>
        </is>
      </c>
    </row>
    <row r="437">
      <c r="A437" t="inlineStr">
        <is>
          <t>Disco</t>
        </is>
      </c>
      <c r="B437" t="n">
        <v>386637</v>
      </c>
      <c r="C437" t="n">
        <v>384916</v>
      </c>
      <c r="D437" t="inlineStr">
        <is>
          <t>Shampoo Head&amp;shoulders Fuerza 180ml</t>
        </is>
      </c>
      <c r="E437" t="inlineStr">
        <is>
          <t>HEAD &amp; SHOULDERS</t>
        </is>
      </c>
      <c r="F437" t="n">
        <v>742.87</v>
      </c>
      <c r="G437" t="n">
        <v>61394</v>
      </c>
      <c r="H437" t="b">
        <v>0</v>
      </c>
      <c r="I437" t="n">
        <v>180</v>
      </c>
      <c r="J437" t="n">
        <v>4.1271</v>
      </c>
      <c r="K437" t="inlineStr">
        <is>
          <t>&gt; Perfumería &gt; Cuidado Capilar &gt; Shampoo &gt;</t>
        </is>
      </c>
      <c r="L437" t="inlineStr">
        <is>
          <t>shampoo</t>
        </is>
      </c>
      <c r="M437" t="inlineStr">
        <is>
          <t>estandar</t>
        </is>
      </c>
      <c r="N437" t="inlineStr">
        <is>
          <t>general</t>
        </is>
      </c>
      <c r="O437" t="inlineStr">
        <is>
          <t>https://www.disco.com.ar/shampoo-head-shoulders-fuerza-180ml/p</t>
        </is>
      </c>
    </row>
    <row r="438">
      <c r="A438" s="10" t="inlineStr">
        <is>
          <t>Disco</t>
        </is>
      </c>
      <c r="B438" s="10" t="n">
        <v>386635</v>
      </c>
      <c r="C438" s="10" t="n">
        <v>384914</v>
      </c>
      <c r="D438" s="10" t="inlineStr">
        <is>
          <t>Shampoo Head&amp;shoulders Limpieza 375ml</t>
        </is>
      </c>
      <c r="E438" s="10" t="inlineStr">
        <is>
          <t>HEAD &amp; SHOULDERS</t>
        </is>
      </c>
      <c r="F438" s="10" t="n">
        <v>1199.29</v>
      </c>
      <c r="G438" s="10" t="n">
        <v>99115</v>
      </c>
      <c r="H438" s="10" t="b">
        <v>0</v>
      </c>
      <c r="I438" s="10" t="n">
        <v>375</v>
      </c>
      <c r="J438" s="10" t="n">
        <v>3.1981</v>
      </c>
      <c r="K438" s="10" t="inlineStr">
        <is>
          <t>&gt; Perfumería &gt; Cuidado Capilar &gt; Shampoo &gt;</t>
        </is>
      </c>
      <c r="L438" s="10" t="inlineStr">
        <is>
          <t>shampoo</t>
        </is>
      </c>
      <c r="M438" s="10" t="inlineStr">
        <is>
          <t>estandar</t>
        </is>
      </c>
      <c r="N438" s="10" t="inlineStr">
        <is>
          <t>general</t>
        </is>
      </c>
      <c r="O438" s="10" t="inlineStr">
        <is>
          <t>https://www.disco.com.ar/shampoo-head-shoulders-limpieza-375ml/p</t>
        </is>
      </c>
    </row>
    <row r="439">
      <c r="A439" t="inlineStr">
        <is>
          <t>Disco</t>
        </is>
      </c>
      <c r="B439" t="n">
        <v>386632</v>
      </c>
      <c r="C439" t="n">
        <v>384911</v>
      </c>
      <c r="D439" t="inlineStr">
        <is>
          <t>Shampoo Head&amp;shoulders Fuerza 375ml</t>
        </is>
      </c>
      <c r="E439" t="inlineStr">
        <is>
          <t>HEAD &amp; SHOULDERS</t>
        </is>
      </c>
      <c r="F439" t="n">
        <v>910.13</v>
      </c>
      <c r="G439" t="n">
        <v>75217</v>
      </c>
      <c r="H439" t="b">
        <v>0</v>
      </c>
      <c r="I439" t="n">
        <v>375</v>
      </c>
      <c r="J439" t="n">
        <v>2.427</v>
      </c>
      <c r="K439" t="inlineStr">
        <is>
          <t>&gt; Perfumería &gt; Cuidado Capilar &gt; Shampoo &gt;</t>
        </is>
      </c>
      <c r="L439" t="inlineStr">
        <is>
          <t>shampoo</t>
        </is>
      </c>
      <c r="M439" t="inlineStr">
        <is>
          <t>estandar</t>
        </is>
      </c>
      <c r="N439" t="inlineStr">
        <is>
          <t>general</t>
        </is>
      </c>
      <c r="O439" t="inlineStr">
        <is>
          <t>https://www.disco.com.ar/shampoo-head-shoulders-fuerza-375ml/p</t>
        </is>
      </c>
    </row>
    <row r="440">
      <c r="A440" s="10" t="inlineStr">
        <is>
          <t>Disco</t>
        </is>
      </c>
      <c r="B440" s="10" t="n">
        <v>386630</v>
      </c>
      <c r="C440" s="10" t="n">
        <v>384909</v>
      </c>
      <c r="D440" s="10" t="inlineStr">
        <is>
          <t>Shampoo Head And Shoulders Suave</t>
        </is>
      </c>
      <c r="E440" s="10" t="inlineStr">
        <is>
          <t>HEAD &amp; SHOULDERS</t>
        </is>
      </c>
      <c r="F440" s="10" t="n">
        <v>707.49</v>
      </c>
      <c r="G440" s="10" t="n">
        <v>58470</v>
      </c>
      <c r="H440" s="10" t="b">
        <v>0</v>
      </c>
      <c r="I440" s="10" t="inlineStr"/>
      <c r="J440" s="10" t="inlineStr"/>
      <c r="K440" s="10" t="inlineStr">
        <is>
          <t>&gt; Perfumería &gt; Cuidado Capilar &gt; Shampoo &gt;</t>
        </is>
      </c>
      <c r="L440" s="10" t="inlineStr">
        <is>
          <t>shampoo</t>
        </is>
      </c>
      <c r="M440" s="10" t="inlineStr">
        <is>
          <t>estandar</t>
        </is>
      </c>
      <c r="N440" s="10" t="inlineStr">
        <is>
          <t>bebe</t>
        </is>
      </c>
      <c r="O440" s="10" t="inlineStr">
        <is>
          <t>https://www.disco.com.ar/shampoo-head-and-shoulders-suave/p</t>
        </is>
      </c>
    </row>
    <row r="441">
      <c r="A441" t="inlineStr">
        <is>
          <t>Disco</t>
        </is>
      </c>
      <c r="B441" t="n">
        <v>386629</v>
      </c>
      <c r="C441" t="n">
        <v>384908</v>
      </c>
      <c r="D441" t="inlineStr">
        <is>
          <t>Shampoo Head&amp;shoulders Purificación 375ml</t>
        </is>
      </c>
      <c r="E441" t="inlineStr">
        <is>
          <t>HEAD &amp; SHOULDERS</t>
        </is>
      </c>
      <c r="F441" t="n">
        <v>1176.95</v>
      </c>
      <c r="G441" t="n">
        <v>97269</v>
      </c>
      <c r="H441" t="b">
        <v>0</v>
      </c>
      <c r="I441" t="n">
        <v>375</v>
      </c>
      <c r="J441" t="n">
        <v>3.1385</v>
      </c>
      <c r="K441" t="inlineStr">
        <is>
          <t>&gt; Perfumería &gt; Cuidado Capilar &gt; Shampoo &gt;</t>
        </is>
      </c>
      <c r="L441" t="inlineStr">
        <is>
          <t>shampoo</t>
        </is>
      </c>
      <c r="M441" t="inlineStr">
        <is>
          <t>estandar</t>
        </is>
      </c>
      <c r="N441" t="inlineStr">
        <is>
          <t>general</t>
        </is>
      </c>
      <c r="O441" t="inlineStr">
        <is>
          <t>https://www.disco.com.ar/shampoo-head-shoulders-purificacion-375ml/p</t>
        </is>
      </c>
    </row>
    <row r="442">
      <c r="A442" s="10" t="inlineStr">
        <is>
          <t>Disco</t>
        </is>
      </c>
      <c r="B442" s="10" t="n">
        <v>386611</v>
      </c>
      <c r="C442" s="10" t="n">
        <v>384890</v>
      </c>
      <c r="D442" s="10" t="inlineStr">
        <is>
          <t>Shampoo Head&amp;shoulders Humecta 375ml</t>
        </is>
      </c>
      <c r="E442" s="10" t="inlineStr">
        <is>
          <t>HEAD &amp; SHOULDERS</t>
        </is>
      </c>
      <c r="F442" s="10" t="n">
        <v>1280.39</v>
      </c>
      <c r="G442" s="10" t="n">
        <v>105817</v>
      </c>
      <c r="H442" s="10" t="b">
        <v>0</v>
      </c>
      <c r="I442" s="10" t="n">
        <v>375</v>
      </c>
      <c r="J442" s="10" t="n">
        <v>3.4144</v>
      </c>
      <c r="K442" s="10" t="inlineStr">
        <is>
          <t>&gt; Perfumería &gt; Cuidado Capilar &gt; Shampoo &gt;</t>
        </is>
      </c>
      <c r="L442" s="10" t="inlineStr">
        <is>
          <t>shampoo</t>
        </is>
      </c>
      <c r="M442" s="10" t="inlineStr">
        <is>
          <t>estandar</t>
        </is>
      </c>
      <c r="N442" s="10" t="inlineStr">
        <is>
          <t>general</t>
        </is>
      </c>
      <c r="O442" s="10" t="inlineStr">
        <is>
          <t>https://www.disco.com.ar/shampoo-head-shoulders-humecta-375ml/p</t>
        </is>
      </c>
    </row>
    <row r="443">
      <c r="A443" t="inlineStr">
        <is>
          <t>Disco</t>
        </is>
      </c>
      <c r="B443" t="n">
        <v>386606</v>
      </c>
      <c r="C443" t="n">
        <v>384885</v>
      </c>
      <c r="D443" t="inlineStr">
        <is>
          <t>Shampoo Head&amp;shoulders Detox 375ml</t>
        </is>
      </c>
      <c r="E443" t="inlineStr">
        <is>
          <t>HEAD &amp; SHOULDERS</t>
        </is>
      </c>
      <c r="F443" t="n">
        <v>1199.29</v>
      </c>
      <c r="G443" t="n">
        <v>99115</v>
      </c>
      <c r="H443" t="b">
        <v>0</v>
      </c>
      <c r="I443" t="n">
        <v>375</v>
      </c>
      <c r="J443" t="n">
        <v>3.1981</v>
      </c>
      <c r="K443" t="inlineStr">
        <is>
          <t>&gt; Perfumería &gt; Cuidado Capilar &gt; Shampoo &gt;</t>
        </is>
      </c>
      <c r="L443" t="inlineStr">
        <is>
          <t>shampoo</t>
        </is>
      </c>
      <c r="M443" t="inlineStr">
        <is>
          <t>estandar</t>
        </is>
      </c>
      <c r="N443" t="inlineStr">
        <is>
          <t>general</t>
        </is>
      </c>
      <c r="O443" t="inlineStr">
        <is>
          <t>https://www.disco.com.ar/shampoo-head-shoulders-detox-375ml/p</t>
        </is>
      </c>
    </row>
    <row r="444">
      <c r="A444" s="10" t="inlineStr">
        <is>
          <t>Disco</t>
        </is>
      </c>
      <c r="B444" s="10" t="n">
        <v>384232</v>
      </c>
      <c r="C444" s="10" t="n">
        <v>382917</v>
      </c>
      <c r="D444" s="10" t="inlineStr">
        <is>
          <t>Shampoo Tresemme Cauterización Reparación 500ml</t>
        </is>
      </c>
      <c r="E444" s="10" t="inlineStr">
        <is>
          <t>TRESEMMÉ</t>
        </is>
      </c>
      <c r="F444" s="10" t="n">
        <v>1650</v>
      </c>
      <c r="G444" s="10" t="n">
        <v>136364</v>
      </c>
      <c r="H444" s="10" t="b">
        <v>0</v>
      </c>
      <c r="I444" s="10" t="n">
        <v>500</v>
      </c>
      <c r="J444" s="10" t="n">
        <v>3.3</v>
      </c>
      <c r="K444" s="10" t="inlineStr">
        <is>
          <t>&gt; Perfumería &gt; Cuidado Capilar &gt; Shampoo &gt;</t>
        </is>
      </c>
      <c r="L444" s="10" t="inlineStr">
        <is>
          <t>shampoo</t>
        </is>
      </c>
      <c r="M444" s="10" t="inlineStr">
        <is>
          <t>estandar</t>
        </is>
      </c>
      <c r="N444" s="10" t="inlineStr">
        <is>
          <t>general</t>
        </is>
      </c>
      <c r="O444" s="10" t="inlineStr">
        <is>
          <t>https://www.disco.com.ar/shampoo-tresemme-cauterizacion-reparacion-500ml/p</t>
        </is>
      </c>
    </row>
    <row r="445">
      <c r="A445" t="inlineStr">
        <is>
          <t>Disco</t>
        </is>
      </c>
      <c r="B445" t="n">
        <v>375233</v>
      </c>
      <c r="C445" t="n">
        <v>373951</v>
      </c>
      <c r="D445" t="inlineStr">
        <is>
          <t>Shampoo Fructis Liso Coco 350ml</t>
        </is>
      </c>
      <c r="E445" t="inlineStr">
        <is>
          <t>FRUCTIS</t>
        </is>
      </c>
      <c r="F445" t="n">
        <v>1322.59</v>
      </c>
      <c r="G445" t="n">
        <v>109305</v>
      </c>
      <c r="H445" t="b">
        <v>0</v>
      </c>
      <c r="I445" t="n">
        <v>350</v>
      </c>
      <c r="J445" t="n">
        <v>3.7788</v>
      </c>
      <c r="K445" t="inlineStr">
        <is>
          <t>&gt; Perfumería &gt; Cuidado Capilar &gt; Shampoo &gt;</t>
        </is>
      </c>
      <c r="L445" t="inlineStr">
        <is>
          <t>shampoo</t>
        </is>
      </c>
      <c r="M445" t="inlineStr">
        <is>
          <t>estandar</t>
        </is>
      </c>
      <c r="N445" t="inlineStr">
        <is>
          <t>general</t>
        </is>
      </c>
      <c r="O445" t="inlineStr">
        <is>
          <t>https://www.disco.com.ar/shampoo-fructis-liso-coco-350ml-2/p</t>
        </is>
      </c>
    </row>
    <row r="446">
      <c r="A446" s="10" t="inlineStr">
        <is>
          <t>Disco</t>
        </is>
      </c>
      <c r="B446" s="10" t="n">
        <v>375232</v>
      </c>
      <c r="C446" s="10" t="n">
        <v>373950</v>
      </c>
      <c r="D446" s="10" t="inlineStr">
        <is>
          <t>Shampoo Fructis Liso Coco 200ml</t>
        </is>
      </c>
      <c r="E446" s="10" t="inlineStr">
        <is>
          <t>FRUCTIS</t>
        </is>
      </c>
      <c r="F446" s="10" t="n">
        <v>947.35</v>
      </c>
      <c r="G446" s="10" t="n">
        <v>78293</v>
      </c>
      <c r="H446" s="10" t="b">
        <v>0</v>
      </c>
      <c r="I446" s="10" t="n">
        <v>200</v>
      </c>
      <c r="J446" s="10" t="n">
        <v>4.7367</v>
      </c>
      <c r="K446" s="10" t="inlineStr">
        <is>
          <t>&gt; Perfumería &gt; Cuidado Capilar &gt; Shampoo &gt;</t>
        </is>
      </c>
      <c r="L446" s="10" t="inlineStr">
        <is>
          <t>shampoo</t>
        </is>
      </c>
      <c r="M446" s="10" t="inlineStr">
        <is>
          <t>estandar</t>
        </is>
      </c>
      <c r="N446" s="10" t="inlineStr">
        <is>
          <t>general</t>
        </is>
      </c>
      <c r="O446" s="10" t="inlineStr">
        <is>
          <t>https://www.disco.com.ar/shampoo-fructis-liso-coco-200ml-2/p</t>
        </is>
      </c>
    </row>
    <row r="447">
      <c r="A447" t="inlineStr">
        <is>
          <t>Disco</t>
        </is>
      </c>
      <c r="B447" t="n">
        <v>349501</v>
      </c>
      <c r="C447" t="n">
        <v>348161</v>
      </c>
      <c r="D447" t="inlineStr">
        <is>
          <t>Shampoo Plusbelle Reactivación Hidratante 1000</t>
        </is>
      </c>
      <c r="E447" t="inlineStr">
        <is>
          <t>PLUSBELLE</t>
        </is>
      </c>
      <c r="F447" t="n">
        <v>676.27</v>
      </c>
      <c r="G447" t="n">
        <v>55890</v>
      </c>
      <c r="H447" t="b">
        <v>0</v>
      </c>
      <c r="I447" t="inlineStr"/>
      <c r="J447" t="inlineStr"/>
      <c r="K447" t="inlineStr">
        <is>
          <t>&gt; Perfumería &gt; Cuidado Capilar &gt; Shampoo &gt;</t>
        </is>
      </c>
      <c r="L447" t="inlineStr">
        <is>
          <t>shampoo</t>
        </is>
      </c>
      <c r="M447" t="inlineStr">
        <is>
          <t>estandar</t>
        </is>
      </c>
      <c r="N447" t="inlineStr">
        <is>
          <t>seco_danado</t>
        </is>
      </c>
      <c r="O447" t="inlineStr">
        <is>
          <t>https://www.disco.com.ar/shampoo-plusbelle-reactivacion-hidratante-1000/p</t>
        </is>
      </c>
    </row>
    <row r="448">
      <c r="A448" s="10" t="inlineStr">
        <is>
          <t>Disco</t>
        </is>
      </c>
      <c r="B448" s="10" t="n">
        <v>349057</v>
      </c>
      <c r="C448" s="10" t="n">
        <v>347720</v>
      </c>
      <c r="D448" s="10" t="inlineStr">
        <is>
          <t>Shampoo Dove Regeneración Extrema 750ml.</t>
        </is>
      </c>
      <c r="E448" s="10" t="inlineStr">
        <is>
          <t>DOVE</t>
        </is>
      </c>
      <c r="F448" s="10" t="n">
        <v>2100</v>
      </c>
      <c r="G448" s="10" t="n">
        <v>173554</v>
      </c>
      <c r="H448" s="10" t="b">
        <v>0</v>
      </c>
      <c r="I448" s="10" t="n">
        <v>750</v>
      </c>
      <c r="J448" s="10" t="n">
        <v>2.8</v>
      </c>
      <c r="K448" s="10" t="inlineStr">
        <is>
          <t>&gt; Perfumería &gt; Cuidado Capilar &gt; Shampoo &gt;</t>
        </is>
      </c>
      <c r="L448" s="10" t="inlineStr">
        <is>
          <t>shampoo</t>
        </is>
      </c>
      <c r="M448" s="10" t="inlineStr">
        <is>
          <t>estandar</t>
        </is>
      </c>
      <c r="N448" s="10" t="inlineStr">
        <is>
          <t>general</t>
        </is>
      </c>
      <c r="O448" s="10" t="inlineStr">
        <is>
          <t>https://www.disco.com.ar/shampoo-dove-regeneracion-extrema-750ml/p</t>
        </is>
      </c>
    </row>
    <row r="449">
      <c r="A449" t="inlineStr">
        <is>
          <t>Disco</t>
        </is>
      </c>
      <c r="B449" t="n">
        <v>347671</v>
      </c>
      <c r="C449" t="n">
        <v>346344</v>
      </c>
      <c r="D449" t="inlineStr">
        <is>
          <t>Shampoo  Sedal  Ceramidas  340 Ml</t>
        </is>
      </c>
      <c r="E449" t="inlineStr">
        <is>
          <t>SEDAL</t>
        </is>
      </c>
      <c r="F449" t="n">
        <v>469.67</v>
      </c>
      <c r="G449" t="n">
        <v>38816</v>
      </c>
      <c r="H449" t="b">
        <v>0</v>
      </c>
      <c r="I449" t="n">
        <v>340</v>
      </c>
      <c r="J449" t="n">
        <v>1.3814</v>
      </c>
      <c r="K449" t="inlineStr">
        <is>
          <t>&gt; Perfumería &gt; Cuidado Capilar &gt; Shampoo &gt;</t>
        </is>
      </c>
      <c r="L449" t="inlineStr">
        <is>
          <t>shampoo</t>
        </is>
      </c>
      <c r="M449" t="inlineStr">
        <is>
          <t>estandar</t>
        </is>
      </c>
      <c r="N449" t="inlineStr">
        <is>
          <t>general</t>
        </is>
      </c>
      <c r="O449" t="inlineStr">
        <is>
          <t>https://www.disco.com.ar/shampoo-sedal-ceramidas-340-ml/p</t>
        </is>
      </c>
    </row>
    <row r="450">
      <c r="A450" s="10" t="inlineStr">
        <is>
          <t>Disco</t>
        </is>
      </c>
      <c r="B450" s="10" t="n">
        <v>346763</v>
      </c>
      <c r="C450" s="10" t="n">
        <v>345438</v>
      </c>
      <c r="D450" s="10" t="inlineStr">
        <is>
          <t>Shampoo Elvive Extreme Reconstructor 200ml</t>
        </is>
      </c>
      <c r="E450" s="10" t="inlineStr">
        <is>
          <t>ELVIVE</t>
        </is>
      </c>
      <c r="F450" s="10" t="n">
        <v>784.49</v>
      </c>
      <c r="G450" s="10" t="n">
        <v>64834</v>
      </c>
      <c r="H450" s="10" t="b">
        <v>0</v>
      </c>
      <c r="I450" s="10" t="n">
        <v>200</v>
      </c>
      <c r="J450" s="10" t="n">
        <v>3.9224</v>
      </c>
      <c r="K450" s="10" t="inlineStr">
        <is>
          <t>&gt; Perfumería &gt; Cuidado Capilar &gt; Shampoo &gt;</t>
        </is>
      </c>
      <c r="L450" s="10" t="inlineStr">
        <is>
          <t>shampoo</t>
        </is>
      </c>
      <c r="M450" s="10" t="inlineStr">
        <is>
          <t>profesional</t>
        </is>
      </c>
      <c r="N450" s="10" t="inlineStr">
        <is>
          <t>general</t>
        </is>
      </c>
      <c r="O450" s="10" t="inlineStr">
        <is>
          <t>https://www.disco.com.ar/shampoo-elvive-extreme-reconstructor-200ml-2/p</t>
        </is>
      </c>
    </row>
    <row r="451">
      <c r="A451" t="inlineStr">
        <is>
          <t>Disco</t>
        </is>
      </c>
      <c r="B451" t="n">
        <v>346761</v>
      </c>
      <c r="C451" t="n">
        <v>345436</v>
      </c>
      <c r="D451" t="inlineStr">
        <is>
          <t>Shampoo Elvive Arcilla Purificante 200ml</t>
        </is>
      </c>
      <c r="E451" t="inlineStr">
        <is>
          <t>ELVIVE</t>
        </is>
      </c>
      <c r="F451" t="n">
        <v>5750</v>
      </c>
      <c r="G451" t="n">
        <v>475207</v>
      </c>
      <c r="H451" t="b">
        <v>0</v>
      </c>
      <c r="I451" t="n">
        <v>200</v>
      </c>
      <c r="J451" t="n">
        <v>28.75</v>
      </c>
      <c r="K451" t="inlineStr">
        <is>
          <t>&gt; Perfumería &gt; Cuidado Capilar &gt; Shampoo &gt;</t>
        </is>
      </c>
      <c r="L451" t="inlineStr">
        <is>
          <t>shampoo</t>
        </is>
      </c>
      <c r="M451" t="inlineStr">
        <is>
          <t>profesional</t>
        </is>
      </c>
      <c r="N451" t="inlineStr">
        <is>
          <t>general</t>
        </is>
      </c>
      <c r="O451" t="inlineStr">
        <is>
          <t>https://www.disco.com.ar/shampoo-elvive-arcilla-purificante-200ml/p</t>
        </is>
      </c>
    </row>
    <row r="452">
      <c r="A452" s="10" t="inlineStr">
        <is>
          <t>Disco</t>
        </is>
      </c>
      <c r="B452" s="10" t="n">
        <v>343815</v>
      </c>
      <c r="C452" s="10" t="n">
        <v>342499</v>
      </c>
      <c r="D452" s="10" t="inlineStr">
        <is>
          <t>Shampoo Sedal Bomba Nutricion 650ml</t>
        </is>
      </c>
      <c r="E452" s="10" t="inlineStr">
        <is>
          <t>SEDAL</t>
        </is>
      </c>
      <c r="F452" s="10" t="n">
        <v>615.1900000000001</v>
      </c>
      <c r="G452" s="10" t="n">
        <v>50842</v>
      </c>
      <c r="H452" s="10" t="b">
        <v>0</v>
      </c>
      <c r="I452" s="10" t="n">
        <v>650</v>
      </c>
      <c r="J452" s="10" t="n">
        <v>0.9464</v>
      </c>
      <c r="K452" s="10" t="inlineStr">
        <is>
          <t>&gt; Perfumería &gt; Cuidado Capilar &gt; Shampoo &gt;</t>
        </is>
      </c>
      <c r="L452" s="10" t="inlineStr">
        <is>
          <t>shampoo</t>
        </is>
      </c>
      <c r="M452" s="10" t="inlineStr">
        <is>
          <t>estandar</t>
        </is>
      </c>
      <c r="N452" s="10" t="inlineStr">
        <is>
          <t>general</t>
        </is>
      </c>
      <c r="O452" s="10" t="inlineStr">
        <is>
          <t>https://www.disco.com.ar/shampoo-sedal-bomba-nutricion-650ml-2/p</t>
        </is>
      </c>
    </row>
    <row r="453">
      <c r="A453" t="inlineStr">
        <is>
          <t>Disco</t>
        </is>
      </c>
      <c r="B453" t="n">
        <v>342072</v>
      </c>
      <c r="C453" t="n">
        <v>340767</v>
      </c>
      <c r="D453" t="inlineStr">
        <is>
          <t>Shampoo Sedal Crema Balance 340ml</t>
        </is>
      </c>
      <c r="E453" t="inlineStr">
        <is>
          <t>SEDAL</t>
        </is>
      </c>
      <c r="F453" t="n">
        <v>231.46</v>
      </c>
      <c r="G453" t="n">
        <v>19129</v>
      </c>
      <c r="H453" t="b">
        <v>0</v>
      </c>
      <c r="I453" t="n">
        <v>340</v>
      </c>
      <c r="J453" t="n">
        <v>0.6808</v>
      </c>
      <c r="K453" t="inlineStr">
        <is>
          <t>&gt; Perfumería &gt; Cuidado Capilar &gt; Shampoo &gt;</t>
        </is>
      </c>
      <c r="L453" t="inlineStr">
        <is>
          <t>shampoo</t>
        </is>
      </c>
      <c r="M453" t="inlineStr">
        <is>
          <t>estandar</t>
        </is>
      </c>
      <c r="N453" t="inlineStr">
        <is>
          <t>general</t>
        </is>
      </c>
      <c r="O453" t="inlineStr">
        <is>
          <t>https://www.disco.com.ar/shampoo-sedal-crema-balance-340ml-2-2/p</t>
        </is>
      </c>
    </row>
    <row r="454">
      <c r="A454" s="10" t="inlineStr">
        <is>
          <t>Disco</t>
        </is>
      </c>
      <c r="B454" s="10" t="n">
        <v>341267</v>
      </c>
      <c r="C454" s="10" t="n">
        <v>339956</v>
      </c>
      <c r="D454" s="10" t="inlineStr">
        <is>
          <t>Tío Nacho Shampoo Purificación 200ml</t>
        </is>
      </c>
      <c r="E454" s="10" t="inlineStr">
        <is>
          <t>Tio Nacho</t>
        </is>
      </c>
      <c r="F454" s="10" t="n">
        <v>457.87</v>
      </c>
      <c r="G454" s="10" t="n">
        <v>37841</v>
      </c>
      <c r="H454" s="10" t="b">
        <v>0</v>
      </c>
      <c r="I454" s="10" t="n">
        <v>200</v>
      </c>
      <c r="J454" s="10" t="n">
        <v>2.2894</v>
      </c>
      <c r="K454" s="10" t="inlineStr">
        <is>
          <t>&gt; Perfumería &gt; Cuidado Capilar &gt; Shampoo &gt;</t>
        </is>
      </c>
      <c r="L454" s="10" t="inlineStr">
        <is>
          <t>shampoo</t>
        </is>
      </c>
      <c r="M454" s="10" t="inlineStr">
        <is>
          <t>estandar</t>
        </is>
      </c>
      <c r="N454" s="10" t="inlineStr">
        <is>
          <t>general</t>
        </is>
      </c>
      <c r="O454" s="10" t="inlineStr">
        <is>
          <t>https://www.disco.com.ar/tio-nacho-shampoo-purificacion-200ml-2/p</t>
        </is>
      </c>
    </row>
    <row r="455">
      <c r="A455" t="inlineStr">
        <is>
          <t>Disco</t>
        </is>
      </c>
      <c r="B455" t="n">
        <v>339396</v>
      </c>
      <c r="C455" t="n">
        <v>338087</v>
      </c>
      <c r="D455" t="inlineStr">
        <is>
          <t>Shampoo Fructis Recarga Nutritiva 350ml</t>
        </is>
      </c>
      <c r="E455" t="inlineStr">
        <is>
          <t>FRUCTIS</t>
        </is>
      </c>
      <c r="F455" t="n">
        <v>635.1900000000001</v>
      </c>
      <c r="G455" t="n">
        <v>52495</v>
      </c>
      <c r="H455" t="b">
        <v>0</v>
      </c>
      <c r="I455" t="n">
        <v>350</v>
      </c>
      <c r="J455" t="n">
        <v>1.8148</v>
      </c>
      <c r="K455" t="inlineStr">
        <is>
          <t>&gt; Perfumería &gt; Cuidado Capilar &gt; Shampoo &gt;</t>
        </is>
      </c>
      <c r="L455" t="inlineStr">
        <is>
          <t>shampoo</t>
        </is>
      </c>
      <c r="M455" t="inlineStr">
        <is>
          <t>estandar</t>
        </is>
      </c>
      <c r="N455" t="inlineStr">
        <is>
          <t>general</t>
        </is>
      </c>
      <c r="O455" t="inlineStr">
        <is>
          <t>https://www.disco.com.ar/shampoo-fructis-recarga-nutritiva-350ml-3/p</t>
        </is>
      </c>
    </row>
    <row r="456">
      <c r="A456" s="10" t="inlineStr">
        <is>
          <t>Disco</t>
        </is>
      </c>
      <c r="B456" s="10" t="n">
        <v>339394</v>
      </c>
      <c r="C456" s="10" t="n">
        <v>338085</v>
      </c>
      <c r="D456" s="10" t="inlineStr">
        <is>
          <t>Shampoo Fructis Recarga Nutritiva 200ml</t>
        </is>
      </c>
      <c r="E456" s="10" t="inlineStr">
        <is>
          <t>FRUCTIS</t>
        </is>
      </c>
      <c r="F456" s="10" t="n">
        <v>436.19</v>
      </c>
      <c r="G456" s="10" t="n">
        <v>36049</v>
      </c>
      <c r="H456" s="10" t="b">
        <v>0</v>
      </c>
      <c r="I456" s="10" t="n">
        <v>200</v>
      </c>
      <c r="J456" s="10" t="n">
        <v>2.181</v>
      </c>
      <c r="K456" s="10" t="inlineStr">
        <is>
          <t>&gt; Perfumería &gt; Cuidado Capilar &gt; Shampoo &gt;</t>
        </is>
      </c>
      <c r="L456" s="10" t="inlineStr">
        <is>
          <t>shampoo</t>
        </is>
      </c>
      <c r="M456" s="10" t="inlineStr">
        <is>
          <t>estandar</t>
        </is>
      </c>
      <c r="N456" s="10" t="inlineStr">
        <is>
          <t>general</t>
        </is>
      </c>
      <c r="O456" s="10" t="inlineStr">
        <is>
          <t>https://www.disco.com.ar/shampoo-fructis-recarga-nutritiva-200ml-2/p</t>
        </is>
      </c>
    </row>
    <row r="457">
      <c r="A457" t="inlineStr">
        <is>
          <t>Disco</t>
        </is>
      </c>
      <c r="B457" t="n">
        <v>338980</v>
      </c>
      <c r="C457" t="n">
        <v>316509</v>
      </c>
      <c r="D457" t="inlineStr">
        <is>
          <t>Shampoo Suave Lacio Antifrizz 930ml Shampoo Suave Lacio Antifrizz 930 Ml</t>
        </is>
      </c>
      <c r="E457" t="inlineStr">
        <is>
          <t>SUAVE</t>
        </is>
      </c>
      <c r="F457" t="n">
        <v>322.89</v>
      </c>
      <c r="G457" t="n">
        <v>26685</v>
      </c>
      <c r="H457" t="b">
        <v>0</v>
      </c>
      <c r="I457" t="n">
        <v>930</v>
      </c>
      <c r="J457" t="n">
        <v>0.3472</v>
      </c>
      <c r="K457" t="inlineStr">
        <is>
          <t>&gt; Perfumería &gt; Cuidado Capilar &gt; Shampoo &gt;</t>
        </is>
      </c>
      <c r="L457" t="inlineStr">
        <is>
          <t>shampoo</t>
        </is>
      </c>
      <c r="M457" t="inlineStr">
        <is>
          <t>estandar</t>
        </is>
      </c>
      <c r="N457" t="inlineStr">
        <is>
          <t>tratado</t>
        </is>
      </c>
      <c r="O457" t="inlineStr">
        <is>
          <t>https://www.disco.com.ar/shampoo-suave-lacio-antifrizz-930ml/p</t>
        </is>
      </c>
    </row>
    <row r="458">
      <c r="A458" s="10" t="inlineStr">
        <is>
          <t>Disco</t>
        </is>
      </c>
      <c r="B458" s="10" t="n">
        <v>337421</v>
      </c>
      <c r="C458" s="10" t="n">
        <v>336524</v>
      </c>
      <c r="D458" s="10" t="inlineStr">
        <is>
          <t>Shampoo Dove Oleo Nutricion 200ml</t>
        </is>
      </c>
      <c r="E458" s="10" t="inlineStr">
        <is>
          <t>DOVE</t>
        </is>
      </c>
      <c r="F458" s="10" t="n">
        <v>398.39</v>
      </c>
      <c r="G458" s="10" t="n">
        <v>32925</v>
      </c>
      <c r="H458" s="10" t="b">
        <v>0</v>
      </c>
      <c r="I458" s="10" t="n">
        <v>200</v>
      </c>
      <c r="J458" s="10" t="n">
        <v>1.9919</v>
      </c>
      <c r="K458" s="10" t="inlineStr">
        <is>
          <t>&gt; Perfumería &gt; Cuidado Capilar &gt; Shampoo &gt;</t>
        </is>
      </c>
      <c r="L458" s="10" t="inlineStr">
        <is>
          <t>shampoo</t>
        </is>
      </c>
      <c r="M458" s="10" t="inlineStr">
        <is>
          <t>estandar</t>
        </is>
      </c>
      <c r="N458" s="10" t="inlineStr">
        <is>
          <t>general</t>
        </is>
      </c>
      <c r="O458" s="10" t="inlineStr">
        <is>
          <t>https://www.disco.com.ar/shampoo-dove-oleo-nutricion-200ml-2/p</t>
        </is>
      </c>
    </row>
    <row r="459">
      <c r="A459" t="inlineStr">
        <is>
          <t>Disco</t>
        </is>
      </c>
      <c r="B459" t="n">
        <v>337420</v>
      </c>
      <c r="C459" t="n">
        <v>336523</v>
      </c>
      <c r="D459" t="inlineStr">
        <is>
          <t>Shampoo Dove Regeneracion Extrema 400ml</t>
        </is>
      </c>
      <c r="E459" t="inlineStr">
        <is>
          <t>DOVE</t>
        </is>
      </c>
      <c r="F459" t="n">
        <v>603.09</v>
      </c>
      <c r="G459" t="n">
        <v>49842</v>
      </c>
      <c r="H459" t="b">
        <v>0</v>
      </c>
      <c r="I459" t="n">
        <v>400</v>
      </c>
      <c r="J459" t="n">
        <v>1.5077</v>
      </c>
      <c r="K459" t="inlineStr">
        <is>
          <t>&gt; Perfumería &gt; Cuidado Capilar &gt; Shampoo &gt;</t>
        </is>
      </c>
      <c r="L459" t="inlineStr">
        <is>
          <t>shampoo</t>
        </is>
      </c>
      <c r="M459" t="inlineStr">
        <is>
          <t>estandar</t>
        </is>
      </c>
      <c r="N459" t="inlineStr">
        <is>
          <t>general</t>
        </is>
      </c>
      <c r="O459" t="inlineStr">
        <is>
          <t>https://www.disco.com.ar/shampoo-dove-regeneracion-extrema-400ml-2/p</t>
        </is>
      </c>
    </row>
    <row r="460">
      <c r="A460" s="10" t="inlineStr">
        <is>
          <t>Disco</t>
        </is>
      </c>
      <c r="B460" s="10" t="n">
        <v>336804</v>
      </c>
      <c r="C460" s="10" t="n">
        <v>335906</v>
      </c>
      <c r="D460" s="10" t="inlineStr">
        <is>
          <t>Shampoo Sedal Bomba Argan 340ml</t>
        </is>
      </c>
      <c r="E460" s="10" t="inlineStr">
        <is>
          <t>SEDAL</t>
        </is>
      </c>
      <c r="F460" s="10" t="n">
        <v>286.27</v>
      </c>
      <c r="G460" s="10" t="n">
        <v>23659</v>
      </c>
      <c r="H460" s="10" t="b">
        <v>0</v>
      </c>
      <c r="I460" s="10" t="n">
        <v>340</v>
      </c>
      <c r="J460" s="10" t="n">
        <v>0.842</v>
      </c>
      <c r="K460" s="10" t="inlineStr">
        <is>
          <t>&gt; Perfumería &gt; Cuidado Capilar &gt; Shampoo &gt;</t>
        </is>
      </c>
      <c r="L460" s="10" t="inlineStr">
        <is>
          <t>shampoo</t>
        </is>
      </c>
      <c r="M460" s="10" t="inlineStr">
        <is>
          <t>estandar</t>
        </is>
      </c>
      <c r="N460" s="10" t="inlineStr">
        <is>
          <t>general</t>
        </is>
      </c>
      <c r="O460" s="10" t="inlineStr">
        <is>
          <t>https://www.disco.com.ar/shampoo-sedal-bomba-argan-340ml/p</t>
        </is>
      </c>
    </row>
    <row r="461">
      <c r="A461" t="inlineStr">
        <is>
          <t>Disco</t>
        </is>
      </c>
      <c r="B461" t="n">
        <v>336802</v>
      </c>
      <c r="C461" t="n">
        <v>335904</v>
      </c>
      <c r="D461" t="inlineStr">
        <is>
          <t>Shampoo Sedal Bomba Nutricion 340ml</t>
        </is>
      </c>
      <c r="E461" t="inlineStr">
        <is>
          <t>SEDAL</t>
        </is>
      </c>
      <c r="F461" t="n">
        <v>286.27</v>
      </c>
      <c r="G461" t="n">
        <v>23659</v>
      </c>
      <c r="H461" t="b">
        <v>0</v>
      </c>
      <c r="I461" t="n">
        <v>340</v>
      </c>
      <c r="J461" t="n">
        <v>0.842</v>
      </c>
      <c r="K461" t="inlineStr">
        <is>
          <t>&gt; Perfumería &gt; Cuidado Capilar &gt; Shampoo &gt;</t>
        </is>
      </c>
      <c r="L461" t="inlineStr">
        <is>
          <t>shampoo</t>
        </is>
      </c>
      <c r="M461" t="inlineStr">
        <is>
          <t>estandar</t>
        </is>
      </c>
      <c r="N461" t="inlineStr">
        <is>
          <t>general</t>
        </is>
      </c>
      <c r="O461" t="inlineStr">
        <is>
          <t>https://www.disco.com.ar/shampoo-sedal-bomba-nutricion-340ml/p</t>
        </is>
      </c>
    </row>
    <row r="462">
      <c r="A462" s="10" t="inlineStr">
        <is>
          <t>Disco</t>
        </is>
      </c>
      <c r="B462" s="10" t="n">
        <v>336043</v>
      </c>
      <c r="C462" s="10" t="n">
        <v>335152</v>
      </c>
      <c r="D462" s="10" t="inlineStr">
        <is>
          <t>Shampoo Sedal Bomba Detox 340ml</t>
        </is>
      </c>
      <c r="E462" s="10" t="inlineStr">
        <is>
          <t>SEDAL</t>
        </is>
      </c>
      <c r="F462" s="10" t="n">
        <v>235.29</v>
      </c>
      <c r="G462" s="10" t="n">
        <v>19445</v>
      </c>
      <c r="H462" s="10" t="b">
        <v>0</v>
      </c>
      <c r="I462" s="10" t="n">
        <v>340</v>
      </c>
      <c r="J462" s="10" t="n">
        <v>0.6919999999999999</v>
      </c>
      <c r="K462" s="10" t="inlineStr">
        <is>
          <t>&gt; Perfumería &gt; Cuidado Capilar &gt; Shampoo &gt;</t>
        </is>
      </c>
      <c r="L462" s="10" t="inlineStr">
        <is>
          <t>shampoo</t>
        </is>
      </c>
      <c r="M462" s="10" t="inlineStr">
        <is>
          <t>estandar</t>
        </is>
      </c>
      <c r="N462" s="10" t="inlineStr">
        <is>
          <t>general</t>
        </is>
      </c>
      <c r="O462" s="10" t="inlineStr">
        <is>
          <t>https://www.disco.com.ar/shampoo-sedal-bomba-detox-340ml/p</t>
        </is>
      </c>
    </row>
    <row r="463">
      <c r="A463" t="inlineStr">
        <is>
          <t>Disco</t>
        </is>
      </c>
      <c r="B463" t="n">
        <v>336033</v>
      </c>
      <c r="C463" t="n">
        <v>335142</v>
      </c>
      <c r="D463" t="inlineStr">
        <is>
          <t>Shampoo Sedal Bomba Argan 190ml</t>
        </is>
      </c>
      <c r="E463" t="inlineStr">
        <is>
          <t>SEDAL</t>
        </is>
      </c>
      <c r="F463" t="n">
        <v>180.39</v>
      </c>
      <c r="G463" t="n">
        <v>14908</v>
      </c>
      <c r="H463" t="b">
        <v>0</v>
      </c>
      <c r="I463" t="n">
        <v>190</v>
      </c>
      <c r="J463" t="n">
        <v>0.9494</v>
      </c>
      <c r="K463" t="inlineStr">
        <is>
          <t>&gt; Perfumería &gt; Cuidado Capilar &gt; Shampoo &gt;</t>
        </is>
      </c>
      <c r="L463" t="inlineStr">
        <is>
          <t>shampoo</t>
        </is>
      </c>
      <c r="M463" t="inlineStr">
        <is>
          <t>estandar</t>
        </is>
      </c>
      <c r="N463" t="inlineStr">
        <is>
          <t>general</t>
        </is>
      </c>
      <c r="O463" t="inlineStr">
        <is>
          <t>https://www.disco.com.ar/shampoo-sedal-bomba-argan-190ml/p</t>
        </is>
      </c>
    </row>
    <row r="464">
      <c r="A464" s="10" t="inlineStr">
        <is>
          <t>Disco</t>
        </is>
      </c>
      <c r="B464" s="10" t="n">
        <v>336031</v>
      </c>
      <c r="C464" s="10" t="n">
        <v>335140</v>
      </c>
      <c r="D464" s="10" t="inlineStr">
        <is>
          <t>Shampoo Sedal Bomba Nutricion 190ml</t>
        </is>
      </c>
      <c r="E464" s="10" t="inlineStr">
        <is>
          <t>SEDAL</t>
        </is>
      </c>
      <c r="F464" s="10" t="n">
        <v>180.39</v>
      </c>
      <c r="G464" s="10" t="n">
        <v>14908</v>
      </c>
      <c r="H464" s="10" t="b">
        <v>0</v>
      </c>
      <c r="I464" s="10" t="n">
        <v>190</v>
      </c>
      <c r="J464" s="10" t="n">
        <v>0.9494</v>
      </c>
      <c r="K464" s="10" t="inlineStr">
        <is>
          <t>&gt; Perfumería &gt; Cuidado Capilar &gt; Shampoo &gt;</t>
        </is>
      </c>
      <c r="L464" s="10" t="inlineStr">
        <is>
          <t>shampoo</t>
        </is>
      </c>
      <c r="M464" s="10" t="inlineStr">
        <is>
          <t>estandar</t>
        </is>
      </c>
      <c r="N464" s="10" t="inlineStr">
        <is>
          <t>general</t>
        </is>
      </c>
      <c r="O464" s="10" t="inlineStr">
        <is>
          <t>https://www.disco.com.ar/shampoo-sedal-bomba-nutricion-190ml/p</t>
        </is>
      </c>
    </row>
    <row r="465">
      <c r="A465" t="inlineStr">
        <is>
          <t>Disco</t>
        </is>
      </c>
      <c r="B465" t="n">
        <v>332082</v>
      </c>
      <c r="C465" t="n">
        <v>331243</v>
      </c>
      <c r="D465" t="inlineStr">
        <is>
          <t>Shampoo Dove Reparacion Coco 200ml</t>
        </is>
      </c>
      <c r="E465" t="inlineStr">
        <is>
          <t>DOVE</t>
        </is>
      </c>
      <c r="F465" t="n">
        <v>306.47</v>
      </c>
      <c r="G465" t="n">
        <v>25328</v>
      </c>
      <c r="H465" t="b">
        <v>0</v>
      </c>
      <c r="I465" t="n">
        <v>200</v>
      </c>
      <c r="J465" t="n">
        <v>1.5324</v>
      </c>
      <c r="K465" t="inlineStr">
        <is>
          <t>&gt; Perfumería &gt; Cuidado Capilar &gt; Shampoo &gt;</t>
        </is>
      </c>
      <c r="L465" t="inlineStr">
        <is>
          <t>shampoo</t>
        </is>
      </c>
      <c r="M465" t="inlineStr">
        <is>
          <t>estandar</t>
        </is>
      </c>
      <c r="N465" t="inlineStr">
        <is>
          <t>general</t>
        </is>
      </c>
      <c r="O465" t="inlineStr">
        <is>
          <t>https://www.disco.com.ar/shampoo-dove-reparacion-coco-200ml/p</t>
        </is>
      </c>
    </row>
    <row r="466">
      <c r="A466" s="10" t="inlineStr">
        <is>
          <t>Disco</t>
        </is>
      </c>
      <c r="B466" s="10" t="n">
        <v>312935</v>
      </c>
      <c r="C466" s="10" t="n">
        <v>312173</v>
      </c>
      <c r="D466" s="10" t="inlineStr">
        <is>
          <t>Shampoo Biferdil 1007 400 Ml</t>
        </is>
      </c>
      <c r="E466" s="10" t="inlineStr">
        <is>
          <t>BIFERDIL</t>
        </is>
      </c>
      <c r="F466" s="10" t="n">
        <v>12500</v>
      </c>
      <c r="G466" s="10" t="n">
        <v>1033058</v>
      </c>
      <c r="H466" s="10" t="b">
        <v>0</v>
      </c>
      <c r="I466" s="10" t="n">
        <v>400</v>
      </c>
      <c r="J466" s="10" t="n">
        <v>31.25</v>
      </c>
      <c r="K466" s="10" t="inlineStr">
        <is>
          <t>&gt; Perfumería &gt; Cuidado Capilar &gt; Shampoo &gt;</t>
        </is>
      </c>
      <c r="L466" s="10" t="inlineStr">
        <is>
          <t>shampoo</t>
        </is>
      </c>
      <c r="M466" s="10" t="inlineStr">
        <is>
          <t>estandar</t>
        </is>
      </c>
      <c r="N466" s="10" t="inlineStr">
        <is>
          <t>general</t>
        </is>
      </c>
      <c r="O466" s="10" t="inlineStr">
        <is>
          <t>https://www.disco.com.ar/shampoo-biferdil-1007-400-ml/p</t>
        </is>
      </c>
    </row>
    <row r="467">
      <c r="A467" t="inlineStr">
        <is>
          <t>Disco</t>
        </is>
      </c>
      <c r="B467" t="n">
        <v>263343</v>
      </c>
      <c r="C467" t="n">
        <v>263128</v>
      </c>
      <c r="D467" t="inlineStr">
        <is>
          <t>Shampoo Capilatis Platinum X 370ml</t>
        </is>
      </c>
      <c r="E467" t="inlineStr">
        <is>
          <t>CAPILATIS</t>
        </is>
      </c>
      <c r="F467" t="n">
        <v>403.84</v>
      </c>
      <c r="G467" t="n">
        <v>33375</v>
      </c>
      <c r="H467" t="b">
        <v>0</v>
      </c>
      <c r="I467" t="n">
        <v>370</v>
      </c>
      <c r="J467" t="n">
        <v>1.0915</v>
      </c>
      <c r="K467" t="inlineStr">
        <is>
          <t>&gt; Perfumería &gt; Cuidado Capilar &gt; Shampoo &gt;</t>
        </is>
      </c>
      <c r="L467" t="inlineStr">
        <is>
          <t>shampoo</t>
        </is>
      </c>
      <c r="M467" t="inlineStr">
        <is>
          <t>estandar</t>
        </is>
      </c>
      <c r="N467" t="inlineStr">
        <is>
          <t>general</t>
        </is>
      </c>
      <c r="O467" t="inlineStr">
        <is>
          <t>https://www.disco.com.ar/shampoo-capilatis-platinum-x-370ml/p</t>
        </is>
      </c>
    </row>
    <row r="468">
      <c r="A468" s="10" t="inlineStr">
        <is>
          <t>Disco</t>
        </is>
      </c>
      <c r="B468" s="10" t="n">
        <v>262714</v>
      </c>
      <c r="C468" s="10" t="n">
        <v>262003</v>
      </c>
      <c r="D468" s="10" t="inlineStr">
        <is>
          <t>Shampoo Marc Anthony Argan 250ml</t>
        </is>
      </c>
      <c r="E468" s="10" t="inlineStr">
        <is>
          <t>MARC ANTHONY</t>
        </is>
      </c>
      <c r="F468" s="10" t="n">
        <v>822.6900000000001</v>
      </c>
      <c r="G468" s="10" t="n">
        <v>67991</v>
      </c>
      <c r="H468" s="10" t="b">
        <v>0</v>
      </c>
      <c r="I468" s="10" t="n">
        <v>250</v>
      </c>
      <c r="J468" s="10" t="n">
        <v>3.2908</v>
      </c>
      <c r="K468" s="10" t="inlineStr">
        <is>
          <t>&gt; Perfumería &gt; Cuidado Capilar &gt; Shampoo &gt;</t>
        </is>
      </c>
      <c r="L468" s="10" t="inlineStr">
        <is>
          <t>shampoo</t>
        </is>
      </c>
      <c r="M468" s="10" t="inlineStr">
        <is>
          <t>estandar</t>
        </is>
      </c>
      <c r="N468" s="10" t="inlineStr">
        <is>
          <t>general</t>
        </is>
      </c>
      <c r="O468" s="10" t="inlineStr">
        <is>
          <t>https://www.disco.com.ar/shampoo-marc-anthony-argan-250ml/p</t>
        </is>
      </c>
    </row>
    <row r="469">
      <c r="A469" t="inlineStr">
        <is>
          <t>Disco</t>
        </is>
      </c>
      <c r="B469" t="n">
        <v>256894</v>
      </c>
      <c r="C469" t="n">
        <v>256188</v>
      </c>
      <c r="D469" t="inlineStr">
        <is>
          <t>Shampoo Il Salone Mythic 500ml</t>
        </is>
      </c>
      <c r="E469" t="inlineStr">
        <is>
          <t>IL SALONE</t>
        </is>
      </c>
      <c r="F469" t="n">
        <v>799.99</v>
      </c>
      <c r="G469" t="n">
        <v>66115</v>
      </c>
      <c r="H469" t="b">
        <v>0</v>
      </c>
      <c r="I469" t="n">
        <v>500</v>
      </c>
      <c r="J469" t="n">
        <v>1.6</v>
      </c>
      <c r="K469" t="inlineStr">
        <is>
          <t>&gt; Perfumería &gt; Cuidado Capilar &gt; Shampoo &gt;</t>
        </is>
      </c>
      <c r="L469" t="inlineStr">
        <is>
          <t>shampoo</t>
        </is>
      </c>
      <c r="M469" t="inlineStr">
        <is>
          <t>estandar</t>
        </is>
      </c>
      <c r="N469" t="inlineStr">
        <is>
          <t>general</t>
        </is>
      </c>
      <c r="O469" t="inlineStr">
        <is>
          <t>https://www.disco.com.ar/shampoo-il-salone-mythic-500ml/p</t>
        </is>
      </c>
    </row>
    <row r="470">
      <c r="A470" s="10" t="inlineStr">
        <is>
          <t>Disco</t>
        </is>
      </c>
      <c r="B470" s="10" t="n">
        <v>216015</v>
      </c>
      <c r="C470" s="10" t="n">
        <v>231519</v>
      </c>
      <c r="D470" s="10" t="inlineStr">
        <is>
          <t>Shampoo Elvive Mulitivitaminas  350 Ml</t>
        </is>
      </c>
      <c r="E470" s="10" t="inlineStr">
        <is>
          <t>ELVIVE</t>
        </is>
      </c>
      <c r="F470" s="10" t="n">
        <v>12.65</v>
      </c>
      <c r="G470" s="10" t="n">
        <v>12.65</v>
      </c>
      <c r="H470" s="10" t="b">
        <v>0</v>
      </c>
      <c r="I470" s="10" t="n">
        <v>350</v>
      </c>
      <c r="J470" s="10" t="n">
        <v>0.0361</v>
      </c>
      <c r="K470" s="10" t="inlineStr">
        <is>
          <t>&gt; Perfumería &gt; Cuidado Capilar &gt; Shampoo &gt;</t>
        </is>
      </c>
      <c r="L470" s="10" t="inlineStr">
        <is>
          <t>shampoo</t>
        </is>
      </c>
      <c r="M470" s="10" t="inlineStr">
        <is>
          <t>profesional</t>
        </is>
      </c>
      <c r="N470" s="10" t="inlineStr">
        <is>
          <t>general</t>
        </is>
      </c>
      <c r="O470" s="10" t="inlineStr">
        <is>
          <t>https://www.disco.com.ar/shampoo-elvive-mulitivitaminas-350-ml-201654/p</t>
        </is>
      </c>
    </row>
    <row r="471">
      <c r="A471" t="inlineStr">
        <is>
          <t>Disco</t>
        </is>
      </c>
      <c r="B471" t="n">
        <v>215573</v>
      </c>
      <c r="C471" t="n">
        <v>232192</v>
      </c>
      <c r="D471" t="inlineStr">
        <is>
          <t>Shampoo Elvive Cosmetico  2 U</t>
        </is>
      </c>
      <c r="E471" t="inlineStr">
        <is>
          <t>ELVIVE</t>
        </is>
      </c>
      <c r="F471" t="n">
        <v>13.67</v>
      </c>
      <c r="G471" t="n">
        <v>13.67</v>
      </c>
      <c r="H471" t="b">
        <v>0</v>
      </c>
      <c r="I471" t="inlineStr"/>
      <c r="J471" t="inlineStr"/>
      <c r="K471" t="inlineStr">
        <is>
          <t>&gt; Perfumería &gt; Cuidado Capilar &gt; Shampoo &gt;</t>
        </is>
      </c>
      <c r="L471" t="inlineStr">
        <is>
          <t>shampoo</t>
        </is>
      </c>
      <c r="M471" t="inlineStr">
        <is>
          <t>profesional</t>
        </is>
      </c>
      <c r="N471" t="inlineStr">
        <is>
          <t>general</t>
        </is>
      </c>
      <c r="O471" t="inlineStr">
        <is>
          <t>https://www.disco.com.ar/shampoo-elvive-cosmetico-2-u-3-248138/p</t>
        </is>
      </c>
    </row>
    <row r="472">
      <c r="A472" s="10" t="inlineStr">
        <is>
          <t>Disco</t>
        </is>
      </c>
      <c r="B472" s="10" t="n">
        <v>182290</v>
      </c>
      <c r="C472" s="10" t="n">
        <v>203246</v>
      </c>
      <c r="D472" s="10" t="inlineStr">
        <is>
          <t>Shampoo Elvive X 2 Un</t>
        </is>
      </c>
      <c r="E472" s="10" t="inlineStr">
        <is>
          <t>ELVIVE</t>
        </is>
      </c>
      <c r="F472" s="10" t="n">
        <v>14.09</v>
      </c>
      <c r="G472" s="10" t="n">
        <v>14.09</v>
      </c>
      <c r="H472" s="10" t="b">
        <v>0</v>
      </c>
      <c r="I472" s="10" t="inlineStr"/>
      <c r="J472" s="10" t="inlineStr"/>
      <c r="K472" s="10" t="inlineStr">
        <is>
          <t>&gt; Perfumería &gt; Cuidado Capilar &gt; Shampoo &gt;</t>
        </is>
      </c>
      <c r="L472" s="10" t="inlineStr">
        <is>
          <t>shampoo</t>
        </is>
      </c>
      <c r="M472" s="10" t="inlineStr">
        <is>
          <t>profesional</t>
        </is>
      </c>
      <c r="N472" s="10" t="inlineStr">
        <is>
          <t>general</t>
        </is>
      </c>
      <c r="O472" s="10" t="inlineStr">
        <is>
          <t>https://www.disco.com.ar/shampoo-elvive-x-2-un-281714/p</t>
        </is>
      </c>
    </row>
    <row r="473">
      <c r="A473" t="inlineStr">
        <is>
          <t>Disco</t>
        </is>
      </c>
      <c r="B473" t="n">
        <v>179059</v>
      </c>
      <c r="C473" t="n">
        <v>197021</v>
      </c>
      <c r="D473" t="inlineStr">
        <is>
          <t>Shampoo Capilatis Cosmético + Loción</t>
        </is>
      </c>
      <c r="E473" t="inlineStr">
        <is>
          <t>CAPILATIS</t>
        </is>
      </c>
      <c r="F473" t="n">
        <v>18.09</v>
      </c>
      <c r="G473" t="n">
        <v>18.09</v>
      </c>
      <c r="H473" t="b">
        <v>0</v>
      </c>
      <c r="I473" t="inlineStr"/>
      <c r="J473" t="inlineStr"/>
      <c r="K473" t="inlineStr">
        <is>
          <t>&gt; Perfumería &gt; Cuidado Capilar &gt; Shampoo &gt;</t>
        </is>
      </c>
      <c r="L473" t="inlineStr">
        <is>
          <t>shampoo</t>
        </is>
      </c>
      <c r="M473" t="inlineStr">
        <is>
          <t>estandar</t>
        </is>
      </c>
      <c r="N473" t="inlineStr">
        <is>
          <t>general</t>
        </is>
      </c>
      <c r="O473" t="inlineStr">
        <is>
          <t>https://www.disco.com.ar/shampoo-capilatis-33-169275/p</t>
        </is>
      </c>
    </row>
    <row r="474">
      <c r="A474" s="10" t="inlineStr">
        <is>
          <t>Disco</t>
        </is>
      </c>
      <c r="B474" s="10" t="n">
        <v>178543</v>
      </c>
      <c r="C474" s="10" t="n">
        <v>196164</v>
      </c>
      <c r="D474" s="10" t="inlineStr">
        <is>
          <t>Shampoo Capilatis Cosmético + Loción</t>
        </is>
      </c>
      <c r="E474" s="10" t="inlineStr">
        <is>
          <t>CAPILATIS</t>
        </is>
      </c>
      <c r="F474" s="10" t="n">
        <v>17.15</v>
      </c>
      <c r="G474" s="10" t="n">
        <v>17.15</v>
      </c>
      <c r="H474" s="10" t="b">
        <v>0</v>
      </c>
      <c r="I474" s="10" t="inlineStr"/>
      <c r="J474" s="10" t="inlineStr"/>
      <c r="K474" s="10" t="inlineStr">
        <is>
          <t>&gt; Perfumería &gt; Cuidado Capilar &gt; Shampoo &gt;</t>
        </is>
      </c>
      <c r="L474" s="10" t="inlineStr">
        <is>
          <t>shampoo</t>
        </is>
      </c>
      <c r="M474" s="10" t="inlineStr">
        <is>
          <t>estandar</t>
        </is>
      </c>
      <c r="N474" s="10" t="inlineStr">
        <is>
          <t>general</t>
        </is>
      </c>
      <c r="O474" s="10" t="inlineStr">
        <is>
          <t>https://www.disco.com.ar/shampoo-capilatis-32-169281/p</t>
        </is>
      </c>
    </row>
    <row r="475">
      <c r="A475" t="inlineStr">
        <is>
          <t>Disco</t>
        </is>
      </c>
      <c r="B475" t="n">
        <v>146567</v>
      </c>
      <c r="C475" t="n">
        <v>143476</v>
      </c>
      <c r="D475" t="inlineStr">
        <is>
          <t>Shampoo Herbal Ess Hidrasiaco 700ml Shampoo Herbal Essences Hidradisíaco 700 Ml</t>
        </is>
      </c>
      <c r="E475" t="inlineStr">
        <is>
          <t>HERBAL ESSENCES</t>
        </is>
      </c>
      <c r="F475" t="n">
        <v>297.99</v>
      </c>
      <c r="G475" t="n">
        <v>24627</v>
      </c>
      <c r="H475" t="b">
        <v>0</v>
      </c>
      <c r="I475" t="n">
        <v>700</v>
      </c>
      <c r="J475" t="n">
        <v>0.4257</v>
      </c>
      <c r="K475" t="inlineStr">
        <is>
          <t>&gt; Perfumería &gt; Cuidado Capilar &gt; Shampoo &gt;</t>
        </is>
      </c>
      <c r="L475" t="inlineStr">
        <is>
          <t>shampoo</t>
        </is>
      </c>
      <c r="M475" t="inlineStr">
        <is>
          <t>estandar</t>
        </is>
      </c>
      <c r="N475" t="inlineStr">
        <is>
          <t>general</t>
        </is>
      </c>
      <c r="O475" t="inlineStr">
        <is>
          <t>https://www.disco.com.ar/shampoo-herbal-ess-hidrasiaco-700ml/p</t>
        </is>
      </c>
    </row>
    <row r="476">
      <c r="A476" s="10" t="inlineStr">
        <is>
          <t>Disco</t>
        </is>
      </c>
      <c r="B476" s="10" t="n">
        <v>119034</v>
      </c>
      <c r="C476" s="10" t="n">
        <v>118064</v>
      </c>
      <c r="D476" s="10" t="inlineStr">
        <is>
          <t>Shampoo Flex X 250 Ml</t>
        </is>
      </c>
      <c r="E476" s="10" t="inlineStr">
        <is>
          <t>FLEX</t>
        </is>
      </c>
      <c r="F476" s="10" t="n">
        <v>5.95</v>
      </c>
      <c r="G476" s="10" t="n">
        <v>5.95</v>
      </c>
      <c r="H476" s="10" t="b">
        <v>0</v>
      </c>
      <c r="I476" s="10" t="n">
        <v>250</v>
      </c>
      <c r="J476" s="10" t="n">
        <v>0.0238</v>
      </c>
      <c r="K476" s="10" t="inlineStr">
        <is>
          <t>&gt; Perfumería &gt; Cuidado Capilar &gt; Shampoo &gt;</t>
        </is>
      </c>
      <c r="L476" s="10" t="inlineStr">
        <is>
          <t>shampoo</t>
        </is>
      </c>
      <c r="M476" s="10" t="inlineStr">
        <is>
          <t>estandar</t>
        </is>
      </c>
      <c r="N476" s="10" t="inlineStr">
        <is>
          <t>general</t>
        </is>
      </c>
      <c r="O476" s="10" t="inlineStr">
        <is>
          <t>https://www.disco.com.ar/shampoo-flex-x-250-ml-4/p</t>
        </is>
      </c>
    </row>
    <row r="477">
      <c r="A477" t="inlineStr">
        <is>
          <t>Disco</t>
        </is>
      </c>
      <c r="B477" t="n">
        <v>115218</v>
      </c>
      <c r="C477" t="n">
        <v>114264</v>
      </c>
      <c r="D477" t="inlineStr">
        <is>
          <t>Shampoo Dove X 3 Un Shampoo Dove Lisos Therapy X 400 Ml + Acondicionador X 250 Ml + Hebilla</t>
        </is>
      </c>
      <c r="E477" t="inlineStr">
        <is>
          <t>DOVE</t>
        </is>
      </c>
      <c r="F477" t="n">
        <v>22.27</v>
      </c>
      <c r="G477" t="n">
        <v>22.27</v>
      </c>
      <c r="H477" t="b">
        <v>0</v>
      </c>
      <c r="I477" t="n">
        <v>400</v>
      </c>
      <c r="J477" t="n">
        <v>0.0557</v>
      </c>
      <c r="K477" t="inlineStr">
        <is>
          <t>&gt; Perfumería &gt; Cuidado Capilar &gt; Shampoo &gt;</t>
        </is>
      </c>
      <c r="L477" t="inlineStr">
        <is>
          <t>acondicionador</t>
        </is>
      </c>
      <c r="M477" t="inlineStr">
        <is>
          <t>estandar</t>
        </is>
      </c>
      <c r="N477" t="inlineStr">
        <is>
          <t>general</t>
        </is>
      </c>
      <c r="O477" t="inlineStr">
        <is>
          <t>https://www.disco.com.ar/shampoo-dove-x-3-un/p</t>
        </is>
      </c>
    </row>
    <row r="478">
      <c r="A478" s="10" t="inlineStr">
        <is>
          <t>Disco</t>
        </is>
      </c>
      <c r="B478" s="10" t="n">
        <v>111280</v>
      </c>
      <c r="C478" s="10" t="n">
        <v>108521</v>
      </c>
      <c r="D478" s="10" t="inlineStr">
        <is>
          <t>Shampoo Hidrolavado Autopolish-cja-un.-1</t>
        </is>
      </c>
      <c r="E478" s="10" t="inlineStr">
        <is>
          <t>AUTOPOLISH</t>
        </is>
      </c>
      <c r="F478" s="10" t="n">
        <v>73.95</v>
      </c>
      <c r="G478" s="10" t="n">
        <v>6112</v>
      </c>
      <c r="H478" s="10" t="b">
        <v>0</v>
      </c>
      <c r="I478" s="10" t="inlineStr"/>
      <c r="J478" s="10" t="inlineStr"/>
      <c r="K478" s="10" t="inlineStr">
        <is>
          <t>&gt; Hogar y textil &gt; Automotor &gt; Limpieza &gt;</t>
        </is>
      </c>
      <c r="L478" s="10" t="inlineStr">
        <is>
          <t>shampoo</t>
        </is>
      </c>
      <c r="M478" s="10" t="inlineStr">
        <is>
          <t>estandar</t>
        </is>
      </c>
      <c r="N478" s="10" t="inlineStr">
        <is>
          <t>general</t>
        </is>
      </c>
      <c r="O478" s="10" t="inlineStr">
        <is>
          <t>https://www.disco.com.ar/shampoo-hidrolavado-autopolish-cja-un-1/p</t>
        </is>
      </c>
    </row>
    <row r="479">
      <c r="A479" t="inlineStr">
        <is>
          <t>Disco</t>
        </is>
      </c>
      <c r="B479" t="n">
        <v>107118</v>
      </c>
      <c r="C479" t="n">
        <v>104385</v>
      </c>
      <c r="D479" t="inlineStr">
        <is>
          <t>Shampoo Nenin Familiar X 930ml Almendras Y Coco  Pvc 930 Ml.</t>
        </is>
      </c>
      <c r="E479" t="inlineStr">
        <is>
          <t>NENNIN NATURESSENCE</t>
        </is>
      </c>
      <c r="F479" t="n">
        <v>4.13</v>
      </c>
      <c r="G479" t="n">
        <v>4.13</v>
      </c>
      <c r="H479" t="b">
        <v>0</v>
      </c>
      <c r="I479" t="n">
        <v>930</v>
      </c>
      <c r="J479" t="n">
        <v>0.0044</v>
      </c>
      <c r="K479" t="inlineStr">
        <is>
          <t>&gt; Perfumería &gt; Cuidado Capilar &gt; Shampoo &gt;</t>
        </is>
      </c>
      <c r="L479" t="inlineStr">
        <is>
          <t>shampoo</t>
        </is>
      </c>
      <c r="M479" t="inlineStr">
        <is>
          <t>estandar</t>
        </is>
      </c>
      <c r="N479" t="inlineStr">
        <is>
          <t>general</t>
        </is>
      </c>
      <c r="O479" t="inlineStr">
        <is>
          <t>https://www.disco.com.ar/shampoo-nenin-familiar-x-930ml/p</t>
        </is>
      </c>
    </row>
    <row r="480">
      <c r="A480" s="10" t="inlineStr">
        <is>
          <t>Disco</t>
        </is>
      </c>
      <c r="B480" s="10" t="n">
        <v>96702</v>
      </c>
      <c r="C480" s="10" t="n">
        <v>94019</v>
      </c>
      <c r="D480" s="10" t="inlineStr">
        <is>
          <t>Shampoo Babelito-manzana-pvc-ml.-500</t>
        </is>
      </c>
      <c r="E480" s="10" t="inlineStr">
        <is>
          <t>BABELITO</t>
        </is>
      </c>
      <c r="F480" s="10" t="n">
        <v>33.13</v>
      </c>
      <c r="G480" s="10" t="n">
        <v>33.13</v>
      </c>
      <c r="H480" s="10" t="b">
        <v>0</v>
      </c>
      <c r="I480" s="10" t="inlineStr"/>
      <c r="J480" s="10" t="inlineStr"/>
      <c r="K480" s="10" t="inlineStr">
        <is>
          <t>&gt; Mundo Bebe &gt; Higiene para el Bebe &gt; Higiene del Bebé &gt;</t>
        </is>
      </c>
      <c r="L480" s="10" t="inlineStr">
        <is>
          <t>shampoo</t>
        </is>
      </c>
      <c r="M480" s="10" t="inlineStr">
        <is>
          <t>estandar</t>
        </is>
      </c>
      <c r="N480" s="10" t="inlineStr">
        <is>
          <t>general</t>
        </is>
      </c>
      <c r="O480" s="10" t="inlineStr">
        <is>
          <t>https://www.disco.com.ar/shampoo-babelito-manzana-pvc-ml-500/p</t>
        </is>
      </c>
    </row>
    <row r="481">
      <c r="A481" t="inlineStr">
        <is>
          <t>Disco</t>
        </is>
      </c>
      <c r="B481" t="n">
        <v>83576</v>
      </c>
      <c r="C481" t="n">
        <v>80914</v>
      </c>
      <c r="D481" t="inlineStr">
        <is>
          <t>Shampoo Flex X 250 Ml</t>
        </is>
      </c>
      <c r="E481" t="inlineStr">
        <is>
          <t>FLEX</t>
        </is>
      </c>
      <c r="F481" t="n">
        <v>6.59</v>
      </c>
      <c r="G481" t="n">
        <v>6.59</v>
      </c>
      <c r="H481" t="b">
        <v>0</v>
      </c>
      <c r="I481" t="n">
        <v>250</v>
      </c>
      <c r="J481" t="n">
        <v>0.0264</v>
      </c>
      <c r="K481" t="inlineStr">
        <is>
          <t>&gt; Perfumería &gt; Cuidado Capilar &gt; Shampoo &gt;</t>
        </is>
      </c>
      <c r="L481" t="inlineStr">
        <is>
          <t>shampoo</t>
        </is>
      </c>
      <c r="M481" t="inlineStr">
        <is>
          <t>estandar</t>
        </is>
      </c>
      <c r="N481" t="inlineStr">
        <is>
          <t>general</t>
        </is>
      </c>
      <c r="O481" t="inlineStr">
        <is>
          <t>https://www.disco.com.ar/shampoo-flex-x-250-ml-2/p</t>
        </is>
      </c>
    </row>
    <row r="482">
      <c r="A482" s="10" t="inlineStr">
        <is>
          <t>Disco</t>
        </is>
      </c>
      <c r="B482" s="10" t="n">
        <v>70802</v>
      </c>
      <c r="C482" s="10" t="n">
        <v>67936</v>
      </c>
      <c r="D482" s="10" t="inlineStr">
        <is>
          <t>Shampoo Anticaspa Head &amp; Shoulders</t>
        </is>
      </c>
      <c r="E482" s="10" t="inlineStr">
        <is>
          <t>HEAD &amp; SHOULDERS</t>
        </is>
      </c>
      <c r="F482" s="10" t="n">
        <v>24.05</v>
      </c>
      <c r="G482" s="10" t="n">
        <v>24.05</v>
      </c>
      <c r="H482" s="10" t="b">
        <v>0</v>
      </c>
      <c r="I482" s="10" t="inlineStr"/>
      <c r="J482" s="10" t="inlineStr"/>
      <c r="K482" s="10" t="inlineStr">
        <is>
          <t>&gt; Perfumería &gt; Cuidado Capilar &gt; Shampoo &gt;</t>
        </is>
      </c>
      <c r="L482" s="10" t="inlineStr">
        <is>
          <t>shampoo</t>
        </is>
      </c>
      <c r="M482" s="10" t="inlineStr">
        <is>
          <t>estandar</t>
        </is>
      </c>
      <c r="N482" s="10" t="inlineStr">
        <is>
          <t>anticaspa</t>
        </is>
      </c>
      <c r="O482" s="10" t="inlineStr">
        <is>
          <t>https://www.disco.com.ar/shampoo-anticaspa-head-shoulders-19/p</t>
        </is>
      </c>
    </row>
    <row r="483">
      <c r="A483" t="inlineStr">
        <is>
          <t>Disco</t>
        </is>
      </c>
      <c r="B483" t="n">
        <v>44459</v>
      </c>
      <c r="C483" t="n">
        <v>41630</v>
      </c>
      <c r="D483" t="inlineStr">
        <is>
          <t>Shampoo Elvive Oleo Extraordinario 750ml</t>
        </is>
      </c>
      <c r="E483" t="inlineStr">
        <is>
          <t>ELVIVE</t>
        </is>
      </c>
      <c r="F483" t="n">
        <v>745.65</v>
      </c>
      <c r="G483" t="n">
        <v>61624</v>
      </c>
      <c r="H483" t="b">
        <v>0</v>
      </c>
      <c r="I483" t="n">
        <v>750</v>
      </c>
      <c r="J483" t="n">
        <v>0.9942</v>
      </c>
      <c r="K483" t="inlineStr">
        <is>
          <t>&gt; Perfumería &gt; Cuidado Capilar &gt; Shampoo &gt;</t>
        </is>
      </c>
      <c r="L483" t="inlineStr">
        <is>
          <t>shampoo</t>
        </is>
      </c>
      <c r="M483" t="inlineStr">
        <is>
          <t>profesional</t>
        </is>
      </c>
      <c r="N483" t="inlineStr">
        <is>
          <t>general</t>
        </is>
      </c>
      <c r="O483" t="inlineStr">
        <is>
          <t>https://www.disco.com.ar/shampoo-elvive-oleo-extraordinario-750ml-2/p</t>
        </is>
      </c>
    </row>
    <row r="484">
      <c r="A484" s="10" t="inlineStr">
        <is>
          <t>Disco</t>
        </is>
      </c>
      <c r="B484" s="10" t="n">
        <v>41776</v>
      </c>
      <c r="C484" s="10" t="n">
        <v>38940</v>
      </c>
      <c r="D484" s="10" t="inlineStr">
        <is>
          <t>Shampoo Fructis Oil Repair 350ml</t>
        </is>
      </c>
      <c r="E484" s="10" t="inlineStr">
        <is>
          <t>FRUCTIS</t>
        </is>
      </c>
      <c r="F484" s="10" t="n">
        <v>262.17</v>
      </c>
      <c r="G484" s="10" t="n">
        <v>21667</v>
      </c>
      <c r="H484" s="10" t="b">
        <v>0</v>
      </c>
      <c r="I484" s="10" t="n">
        <v>350</v>
      </c>
      <c r="J484" s="10" t="n">
        <v>0.7491</v>
      </c>
      <c r="K484" s="10" t="inlineStr">
        <is>
          <t>&gt; Perfumería &gt; Cuidado Capilar &gt; Shampoo &gt;</t>
        </is>
      </c>
      <c r="L484" s="10" t="inlineStr">
        <is>
          <t>shampoo</t>
        </is>
      </c>
      <c r="M484" s="10" t="inlineStr">
        <is>
          <t>profesional</t>
        </is>
      </c>
      <c r="N484" s="10" t="inlineStr">
        <is>
          <t>general</t>
        </is>
      </c>
      <c r="O484" s="10" t="inlineStr">
        <is>
          <t>https://www.disco.com.ar/shampoo-fructis-oil-repair-350ml-2/p</t>
        </is>
      </c>
    </row>
    <row r="485">
      <c r="A485" t="inlineStr">
        <is>
          <t>Disco</t>
        </is>
      </c>
      <c r="B485" t="n">
        <v>41764</v>
      </c>
      <c r="C485" t="n">
        <v>38928</v>
      </c>
      <c r="D485" t="inlineStr">
        <is>
          <t>Shampoo Fructis Oil Repair 200ml</t>
        </is>
      </c>
      <c r="E485" t="inlineStr">
        <is>
          <t>FRUCTIS</t>
        </is>
      </c>
      <c r="F485" t="n">
        <v>213.99</v>
      </c>
      <c r="G485" t="n">
        <v>17685</v>
      </c>
      <c r="H485" t="b">
        <v>0</v>
      </c>
      <c r="I485" t="n">
        <v>200</v>
      </c>
      <c r="J485" t="n">
        <v>1.0699</v>
      </c>
      <c r="K485" t="inlineStr">
        <is>
          <t>&gt; Perfumería &gt; Cuidado Capilar &gt; Shampoo &gt;</t>
        </is>
      </c>
      <c r="L485" t="inlineStr">
        <is>
          <t>shampoo</t>
        </is>
      </c>
      <c r="M485" t="inlineStr">
        <is>
          <t>profesional</t>
        </is>
      </c>
      <c r="N485" t="inlineStr">
        <is>
          <t>general</t>
        </is>
      </c>
      <c r="O485" t="inlineStr">
        <is>
          <t>https://www.disco.com.ar/shampoo-fructis-oil-repair-200ml-2/p</t>
        </is>
      </c>
    </row>
    <row r="486">
      <c r="A486" s="10" t="inlineStr">
        <is>
          <t>Disco</t>
        </is>
      </c>
      <c r="B486" s="10" t="n">
        <v>40468</v>
      </c>
      <c r="C486" s="10" t="n">
        <v>37633</v>
      </c>
      <c r="D486" s="10" t="inlineStr">
        <is>
          <t>Shampoo Elvive Arcilla Extra 400ml</t>
        </is>
      </c>
      <c r="E486" s="10" t="inlineStr">
        <is>
          <t>ELVIVE</t>
        </is>
      </c>
      <c r="F486" s="10" t="n">
        <v>533.79</v>
      </c>
      <c r="G486" s="10" t="n">
        <v>44115</v>
      </c>
      <c r="H486" s="10" t="b">
        <v>0</v>
      </c>
      <c r="I486" s="10" t="n">
        <v>400</v>
      </c>
      <c r="J486" s="10" t="n">
        <v>1.3345</v>
      </c>
      <c r="K486" s="10" t="inlineStr">
        <is>
          <t>&gt; Perfumería &gt; Cuidado Capilar &gt; Shampoo &gt;</t>
        </is>
      </c>
      <c r="L486" s="10" t="inlineStr">
        <is>
          <t>shampoo</t>
        </is>
      </c>
      <c r="M486" s="10" t="inlineStr">
        <is>
          <t>profesional</t>
        </is>
      </c>
      <c r="N486" s="10" t="inlineStr">
        <is>
          <t>general</t>
        </is>
      </c>
      <c r="O486" s="10" t="inlineStr">
        <is>
          <t>https://www.disco.com.ar/shampoo-elvive-arcilla-extra-400ml-2/p</t>
        </is>
      </c>
    </row>
    <row r="487">
      <c r="A487" t="inlineStr">
        <is>
          <t>Disco</t>
        </is>
      </c>
      <c r="B487" t="n">
        <v>40237</v>
      </c>
      <c r="C487" t="n">
        <v>37403</v>
      </c>
      <c r="D487" t="inlineStr">
        <is>
          <t>Shampoo Elvive Arcilla Extra 200ml</t>
        </is>
      </c>
      <c r="E487" t="inlineStr">
        <is>
          <t>ELVIVE</t>
        </is>
      </c>
      <c r="F487" t="n">
        <v>290.85</v>
      </c>
      <c r="G487" t="n">
        <v>24037</v>
      </c>
      <c r="H487" t="b">
        <v>0</v>
      </c>
      <c r="I487" t="n">
        <v>200</v>
      </c>
      <c r="J487" t="n">
        <v>1.4543</v>
      </c>
      <c r="K487" t="inlineStr">
        <is>
          <t>&gt; Perfumería &gt; Cuidado Capilar &gt; Shampoo &gt;</t>
        </is>
      </c>
      <c r="L487" t="inlineStr">
        <is>
          <t>shampoo</t>
        </is>
      </c>
      <c r="M487" t="inlineStr">
        <is>
          <t>profesional</t>
        </is>
      </c>
      <c r="N487" t="inlineStr">
        <is>
          <t>general</t>
        </is>
      </c>
      <c r="O487" t="inlineStr">
        <is>
          <t>https://www.disco.com.ar/shampoo-elvive-arcilla-extra-200ml/p</t>
        </is>
      </c>
    </row>
    <row r="488">
      <c r="A488" s="10" t="inlineStr">
        <is>
          <t>Disco</t>
        </is>
      </c>
      <c r="B488" s="10" t="n">
        <v>40225</v>
      </c>
      <c r="C488" s="10" t="n">
        <v>37391</v>
      </c>
      <c r="D488" s="10" t="inlineStr">
        <is>
          <t>Shampoo Elvive Arcilla Extra 75400ml</t>
        </is>
      </c>
      <c r="E488" s="10" t="inlineStr">
        <is>
          <t>ELVIVE</t>
        </is>
      </c>
      <c r="F488" s="10" t="n">
        <v>745.65</v>
      </c>
      <c r="G488" s="10" t="n">
        <v>61624</v>
      </c>
      <c r="H488" s="10" t="b">
        <v>0</v>
      </c>
      <c r="I488" s="10" t="n">
        <v>75400</v>
      </c>
      <c r="J488" s="10" t="n">
        <v>0.009900000000000001</v>
      </c>
      <c r="K488" s="10" t="inlineStr">
        <is>
          <t>&gt; Perfumería &gt; Cuidado Capilar &gt; Shampoo &gt;</t>
        </is>
      </c>
      <c r="L488" s="10" t="inlineStr">
        <is>
          <t>shampoo</t>
        </is>
      </c>
      <c r="M488" s="10" t="inlineStr">
        <is>
          <t>profesional</t>
        </is>
      </c>
      <c r="N488" s="10" t="inlineStr">
        <is>
          <t>general</t>
        </is>
      </c>
      <c r="O488" s="10" t="inlineStr">
        <is>
          <t>https://www.disco.com.ar/shampoo-elvive-arcilla-extra-75400ml/p</t>
        </is>
      </c>
    </row>
    <row r="489">
      <c r="A489" t="inlineStr">
        <is>
          <t>Disco</t>
        </is>
      </c>
      <c r="B489" t="n">
        <v>35722</v>
      </c>
      <c r="C489" t="n">
        <v>32880</v>
      </c>
      <c r="D489" t="inlineStr">
        <is>
          <t>Shampoo Capilatis Nutritivo 420 Ml</t>
        </is>
      </c>
      <c r="E489" t="inlineStr">
        <is>
          <t>CAPILATIS</t>
        </is>
      </c>
      <c r="F489" t="n">
        <v>381.67</v>
      </c>
      <c r="G489" t="n">
        <v>31543</v>
      </c>
      <c r="H489" t="b">
        <v>0</v>
      </c>
      <c r="I489" t="n">
        <v>420</v>
      </c>
      <c r="J489" t="n">
        <v>0.9087</v>
      </c>
      <c r="K489" t="inlineStr">
        <is>
          <t>&gt; Perfumería &gt; Cuidado Capilar &gt; Shampoo &gt;</t>
        </is>
      </c>
      <c r="L489" t="inlineStr">
        <is>
          <t>shampoo</t>
        </is>
      </c>
      <c r="M489" t="inlineStr">
        <is>
          <t>estandar</t>
        </is>
      </c>
      <c r="N489" t="inlineStr">
        <is>
          <t>general</t>
        </is>
      </c>
      <c r="O489" t="inlineStr">
        <is>
          <t>https://www.disco.com.ar/shampoo-capilatis-nutritivo-420-ml/p</t>
        </is>
      </c>
    </row>
    <row r="490">
      <c r="A490" s="10" t="inlineStr">
        <is>
          <t>Disco</t>
        </is>
      </c>
      <c r="B490" s="10" t="n">
        <v>34311</v>
      </c>
      <c r="C490" s="10" t="n">
        <v>31469</v>
      </c>
      <c r="D490" s="10" t="inlineStr">
        <is>
          <t>Shampoo Aloe Vera 1 Lt</t>
        </is>
      </c>
      <c r="E490" s="10" t="inlineStr">
        <is>
          <t>SIN MARCA</t>
        </is>
      </c>
      <c r="F490" s="10" t="n">
        <v>123.15</v>
      </c>
      <c r="G490" s="10" t="n">
        <v>123.15</v>
      </c>
      <c r="H490" s="10" t="b">
        <v>0</v>
      </c>
      <c r="I490" s="10" t="inlineStr"/>
      <c r="J490" s="10" t="inlineStr"/>
      <c r="K490" s="10" t="inlineStr">
        <is>
          <t>&gt; Mascotas &gt; Accesorios para Mascotas &gt;</t>
        </is>
      </c>
      <c r="L490" s="10" t="inlineStr">
        <is>
          <t>shampoo</t>
        </is>
      </c>
      <c r="M490" s="10" t="inlineStr">
        <is>
          <t>estandar</t>
        </is>
      </c>
      <c r="N490" s="10" t="inlineStr">
        <is>
          <t>general</t>
        </is>
      </c>
      <c r="O490" s="10" t="inlineStr">
        <is>
          <t>https://www.disco.com.ar/shampoo-aloe-vera-1-lt/p</t>
        </is>
      </c>
    </row>
    <row r="491">
      <c r="A491" t="inlineStr">
        <is>
          <t>Disco</t>
        </is>
      </c>
      <c r="B491" t="n">
        <v>33886</v>
      </c>
      <c r="C491" t="n">
        <v>31044</v>
      </c>
      <c r="D491" t="inlineStr">
        <is>
          <t>Pediculicida Capilatis Shampoo 500 Ml</t>
        </is>
      </c>
      <c r="E491" t="inlineStr">
        <is>
          <t>CAPILATIS</t>
        </is>
      </c>
      <c r="F491" t="n">
        <v>1800</v>
      </c>
      <c r="G491" t="n">
        <v>148760</v>
      </c>
      <c r="H491" t="b">
        <v>0</v>
      </c>
      <c r="I491" t="n">
        <v>500</v>
      </c>
      <c r="J491" t="n">
        <v>3.6</v>
      </c>
      <c r="K491" t="inlineStr">
        <is>
          <t>&gt; Perfumería &gt; Cuidado Capilar &gt; Pediculosis &gt;</t>
        </is>
      </c>
      <c r="L491" t="inlineStr">
        <is>
          <t>shampoo</t>
        </is>
      </c>
      <c r="M491" t="inlineStr">
        <is>
          <t>estandar</t>
        </is>
      </c>
      <c r="N491" t="inlineStr">
        <is>
          <t>general</t>
        </is>
      </c>
      <c r="O491" t="inlineStr">
        <is>
          <t>https://www.disco.com.ar/pediculicida-capilatis-shampoo-500-ml/p</t>
        </is>
      </c>
    </row>
    <row r="492">
      <c r="A492" s="10" t="inlineStr">
        <is>
          <t>Disco</t>
        </is>
      </c>
      <c r="B492" s="10" t="n">
        <v>31684</v>
      </c>
      <c r="C492" s="10" t="n">
        <v>28843</v>
      </c>
      <c r="D492" s="10" t="inlineStr">
        <is>
          <t>Shampoo Elvive Color Vive 750ml</t>
        </is>
      </c>
      <c r="E492" s="10" t="inlineStr">
        <is>
          <t>ELVIVE</t>
        </is>
      </c>
      <c r="F492" s="10" t="n">
        <v>683.47</v>
      </c>
      <c r="G492" s="10" t="n">
        <v>56485</v>
      </c>
      <c r="H492" s="10" t="b">
        <v>0</v>
      </c>
      <c r="I492" s="10" t="n">
        <v>750</v>
      </c>
      <c r="J492" s="10" t="n">
        <v>0.9113</v>
      </c>
      <c r="K492" s="10" t="inlineStr">
        <is>
          <t>&gt; Perfumería &gt; Cuidado Capilar &gt; Shampoo &gt;</t>
        </is>
      </c>
      <c r="L492" s="10" t="inlineStr">
        <is>
          <t>shampoo</t>
        </is>
      </c>
      <c r="M492" s="10" t="inlineStr">
        <is>
          <t>profesional</t>
        </is>
      </c>
      <c r="N492" s="10" t="inlineStr">
        <is>
          <t>tratado</t>
        </is>
      </c>
      <c r="O492" s="10" t="inlineStr">
        <is>
          <t>https://www.disco.com.ar/shampoo-elvive-color-vive-750ml/p</t>
        </is>
      </c>
    </row>
    <row r="493">
      <c r="A493" t="inlineStr">
        <is>
          <t>Disco</t>
        </is>
      </c>
      <c r="B493" t="n">
        <v>31256</v>
      </c>
      <c r="C493" t="n">
        <v>28415</v>
      </c>
      <c r="D493" t="inlineStr">
        <is>
          <t>Shampoo Elvive Kera Liso 400ml</t>
        </is>
      </c>
      <c r="E493" t="inlineStr">
        <is>
          <t>ELVIVE</t>
        </is>
      </c>
      <c r="F493" t="n">
        <v>533.79</v>
      </c>
      <c r="G493" t="n">
        <v>44115</v>
      </c>
      <c r="H493" t="b">
        <v>0</v>
      </c>
      <c r="I493" t="n">
        <v>400</v>
      </c>
      <c r="J493" t="n">
        <v>1.3345</v>
      </c>
      <c r="K493" t="inlineStr">
        <is>
          <t>&gt; Perfumería &gt; Cuidado Capilar &gt; Shampoo &gt;</t>
        </is>
      </c>
      <c r="L493" t="inlineStr">
        <is>
          <t>shampoo</t>
        </is>
      </c>
      <c r="M493" t="inlineStr">
        <is>
          <t>profesional</t>
        </is>
      </c>
      <c r="N493" t="inlineStr">
        <is>
          <t>general</t>
        </is>
      </c>
      <c r="O493" t="inlineStr">
        <is>
          <t>https://www.disco.com.ar/shampoo-elvive-kera-liso-400ml/p</t>
        </is>
      </c>
    </row>
    <row r="494">
      <c r="A494" s="10" t="inlineStr">
        <is>
          <t>Disco</t>
        </is>
      </c>
      <c r="B494" s="10" t="n">
        <v>29625</v>
      </c>
      <c r="C494" s="10" t="n">
        <v>26787</v>
      </c>
      <c r="D494" s="10" t="inlineStr">
        <is>
          <t>Shampoo Herbal Essences 300 Ml</t>
        </is>
      </c>
      <c r="E494" s="10" t="inlineStr">
        <is>
          <t>HERBAL ESSENCES</t>
        </is>
      </c>
      <c r="F494" s="10" t="n">
        <v>157.69</v>
      </c>
      <c r="G494" s="10" t="n">
        <v>13032</v>
      </c>
      <c r="H494" s="10" t="b">
        <v>0</v>
      </c>
      <c r="I494" s="10" t="n">
        <v>300</v>
      </c>
      <c r="J494" s="10" t="n">
        <v>0.5256</v>
      </c>
      <c r="K494" s="10" t="inlineStr">
        <is>
          <t>&gt; Perfumería &gt; Cuidado Capilar &gt; Shampoo &gt;</t>
        </is>
      </c>
      <c r="L494" s="10" t="inlineStr">
        <is>
          <t>shampoo</t>
        </is>
      </c>
      <c r="M494" s="10" t="inlineStr">
        <is>
          <t>estandar</t>
        </is>
      </c>
      <c r="N494" s="10" t="inlineStr">
        <is>
          <t>general</t>
        </is>
      </c>
      <c r="O494" s="10" t="inlineStr">
        <is>
          <t>https://www.disco.com.ar/shampoo-herbal-essences-3/p</t>
        </is>
      </c>
    </row>
    <row r="495">
      <c r="A495" t="inlineStr">
        <is>
          <t>Disco</t>
        </is>
      </c>
      <c r="B495" t="n">
        <v>29434</v>
      </c>
      <c r="C495" t="n">
        <v>26597</v>
      </c>
      <c r="D495" t="inlineStr">
        <is>
          <t>Shampoo Familiar Ceramidas 1 L</t>
        </is>
      </c>
      <c r="E495" t="inlineStr">
        <is>
          <t>PLUSBELLE</t>
        </is>
      </c>
      <c r="F495" t="n">
        <v>61.39</v>
      </c>
      <c r="G495" t="n">
        <v>5074</v>
      </c>
      <c r="H495" t="b">
        <v>0</v>
      </c>
      <c r="I495" t="n">
        <v>1000</v>
      </c>
      <c r="J495" t="n">
        <v>0.0614</v>
      </c>
      <c r="K495" t="inlineStr">
        <is>
          <t>&gt; Perfumería &gt; Cuidado Capilar &gt; Shampoo &gt;</t>
        </is>
      </c>
      <c r="L495" t="inlineStr">
        <is>
          <t>shampoo</t>
        </is>
      </c>
      <c r="M495" t="inlineStr">
        <is>
          <t>estandar</t>
        </is>
      </c>
      <c r="N495" t="inlineStr">
        <is>
          <t>general</t>
        </is>
      </c>
      <c r="O495" t="inlineStr">
        <is>
          <t>https://www.disco.com.ar/shampoo-familiar/p</t>
        </is>
      </c>
    </row>
    <row r="496">
      <c r="A496" s="10" t="inlineStr">
        <is>
          <t>Disco</t>
        </is>
      </c>
      <c r="B496" s="10" t="n">
        <v>19672</v>
      </c>
      <c r="C496" s="10" t="n">
        <v>16837</v>
      </c>
      <c r="D496" s="10" t="inlineStr">
        <is>
          <t>Shampoo Sedal Pureza Detox 650ml</t>
        </is>
      </c>
      <c r="E496" s="10" t="inlineStr">
        <is>
          <t>SEDAL</t>
        </is>
      </c>
      <c r="F496" s="10" t="n">
        <v>246.25</v>
      </c>
      <c r="G496" s="10" t="n">
        <v>20351</v>
      </c>
      <c r="H496" s="10" t="b">
        <v>0</v>
      </c>
      <c r="I496" s="10" t="n">
        <v>650</v>
      </c>
      <c r="J496" s="10" t="n">
        <v>0.3788</v>
      </c>
      <c r="K496" s="10" t="inlineStr">
        <is>
          <t>&gt; Perfumería &gt; Cuidado Capilar &gt; Shampoo &gt;</t>
        </is>
      </c>
      <c r="L496" s="10" t="inlineStr">
        <is>
          <t>shampoo</t>
        </is>
      </c>
      <c r="M496" s="10" t="inlineStr">
        <is>
          <t>estandar</t>
        </is>
      </c>
      <c r="N496" s="10" t="inlineStr">
        <is>
          <t>general</t>
        </is>
      </c>
      <c r="O496" s="10" t="inlineStr">
        <is>
          <t>https://www.disco.com.ar/shampoo-sedal-pureza-detox-650ml/p</t>
        </is>
      </c>
    </row>
    <row r="497">
      <c r="A497" t="inlineStr">
        <is>
          <t>Disco</t>
        </is>
      </c>
      <c r="B497" t="n">
        <v>13523</v>
      </c>
      <c r="C497" t="n">
        <v>10720</v>
      </c>
      <c r="D497" t="inlineStr">
        <is>
          <t>Shampoo Capilatis-fortificado-pet-ml.-400</t>
        </is>
      </c>
      <c r="E497" t="inlineStr">
        <is>
          <t>CAPILATIS</t>
        </is>
      </c>
      <c r="F497" t="n">
        <v>488.77</v>
      </c>
      <c r="G497" t="n">
        <v>40394</v>
      </c>
      <c r="H497" t="b">
        <v>0</v>
      </c>
      <c r="I497" t="inlineStr"/>
      <c r="J497" t="inlineStr"/>
      <c r="K497" t="inlineStr">
        <is>
          <t>&gt; Perfumería &gt; Cuidado Capilar &gt; Shampoo &gt;</t>
        </is>
      </c>
      <c r="L497" t="inlineStr">
        <is>
          <t>shampoo</t>
        </is>
      </c>
      <c r="M497" t="inlineStr">
        <is>
          <t>estandar</t>
        </is>
      </c>
      <c r="N497" t="inlineStr">
        <is>
          <t>general</t>
        </is>
      </c>
      <c r="O497" t="inlineStr">
        <is>
          <t>https://www.disco.com.ar/shampoo-capilatis-14/p</t>
        </is>
      </c>
    </row>
    <row r="498">
      <c r="A498" s="10" t="inlineStr">
        <is>
          <t>Disco</t>
        </is>
      </c>
      <c r="B498" s="10" t="n">
        <v>8039</v>
      </c>
      <c r="C498" s="10" t="n">
        <v>5365</v>
      </c>
      <c r="D498" s="10" t="inlineStr">
        <is>
          <t>Shampoo Capilatis Manzanilla 500 Ml</t>
        </is>
      </c>
      <c r="E498" s="10" t="inlineStr">
        <is>
          <t>CAPILATIS</t>
        </is>
      </c>
      <c r="F498" s="10" t="n">
        <v>632.73</v>
      </c>
      <c r="G498" s="10" t="n">
        <v>52292</v>
      </c>
      <c r="H498" s="10" t="b">
        <v>0</v>
      </c>
      <c r="I498" s="10" t="n">
        <v>500</v>
      </c>
      <c r="J498" s="10" t="n">
        <v>1.2655</v>
      </c>
      <c r="K498" s="10" t="inlineStr">
        <is>
          <t>&gt; Perfumería &gt; Cuidado Capilar &gt; Shampoo &gt;</t>
        </is>
      </c>
      <c r="L498" s="10" t="inlineStr">
        <is>
          <t>shampoo</t>
        </is>
      </c>
      <c r="M498" s="10" t="inlineStr">
        <is>
          <t>estandar</t>
        </is>
      </c>
      <c r="N498" s="10" t="inlineStr">
        <is>
          <t>general</t>
        </is>
      </c>
      <c r="O498" s="10" t="inlineStr">
        <is>
          <t>https://www.disco.com.ar/shampoo-capilatis-manzanilla-500-ml/p</t>
        </is>
      </c>
    </row>
    <row r="499">
      <c r="A499" t="inlineStr">
        <is>
          <t>Disco</t>
        </is>
      </c>
      <c r="B499" t="n">
        <v>8033</v>
      </c>
      <c r="C499" t="n">
        <v>5359</v>
      </c>
      <c r="D499" t="inlineStr">
        <is>
          <t>Shampoo Capilatis Equilibrance 410 Cc</t>
        </is>
      </c>
      <c r="E499" t="inlineStr">
        <is>
          <t>CAPILATIS</t>
        </is>
      </c>
      <c r="F499" t="n">
        <v>1952.87</v>
      </c>
      <c r="G499" t="n">
        <v>161394</v>
      </c>
      <c r="H499" t="b">
        <v>0</v>
      </c>
      <c r="I499" t="inlineStr"/>
      <c r="J499" t="inlineStr"/>
      <c r="K499" t="inlineStr">
        <is>
          <t>&gt; Perfumería &gt; Cuidado Capilar &gt; Shampoo &gt;</t>
        </is>
      </c>
      <c r="L499" t="inlineStr">
        <is>
          <t>shampoo</t>
        </is>
      </c>
      <c r="M499" t="inlineStr">
        <is>
          <t>estandar</t>
        </is>
      </c>
      <c r="N499" t="inlineStr">
        <is>
          <t>general</t>
        </is>
      </c>
      <c r="O499" t="inlineStr">
        <is>
          <t>https://www.disco.com.ar/shampoo-capilatis-equilibrance-410-cc/p</t>
        </is>
      </c>
    </row>
    <row r="500">
      <c r="A500" s="10" t="inlineStr">
        <is>
          <t>Disco</t>
        </is>
      </c>
      <c r="B500" s="10" t="n">
        <v>7736</v>
      </c>
      <c r="C500" s="10" t="n">
        <v>5060</v>
      </c>
      <c r="D500" s="10" t="inlineStr">
        <is>
          <t>Pantene Shampoo Control Caida 750ml</t>
        </is>
      </c>
      <c r="E500" s="10" t="inlineStr">
        <is>
          <t>PANTENE</t>
        </is>
      </c>
      <c r="F500" s="10" t="n">
        <v>74.37</v>
      </c>
      <c r="G500" s="10" t="n">
        <v>6146</v>
      </c>
      <c r="H500" s="10" t="b">
        <v>0</v>
      </c>
      <c r="I500" s="10" t="n">
        <v>750</v>
      </c>
      <c r="J500" s="10" t="n">
        <v>0.0992</v>
      </c>
      <c r="K500" s="10" t="inlineStr">
        <is>
          <t>&gt; Perfumería &gt; Cuidado Capilar &gt; Shampoo &gt;</t>
        </is>
      </c>
      <c r="L500" s="10" t="inlineStr">
        <is>
          <t>shampoo</t>
        </is>
      </c>
      <c r="M500" s="10" t="inlineStr">
        <is>
          <t>estandar</t>
        </is>
      </c>
      <c r="N500" s="10" t="inlineStr">
        <is>
          <t>general</t>
        </is>
      </c>
      <c r="O500" s="10" t="inlineStr">
        <is>
          <t>https://www.disco.com.ar/shampoo-pantene-7/p</t>
        </is>
      </c>
    </row>
    <row r="501">
      <c r="A501" t="inlineStr">
        <is>
          <t>Disco</t>
        </is>
      </c>
      <c r="B501" t="n">
        <v>7689</v>
      </c>
      <c r="C501" t="n">
        <v>5015</v>
      </c>
      <c r="D501" t="inlineStr">
        <is>
          <t>Shampoo Elvive Rt Extreme 400ml</t>
        </is>
      </c>
      <c r="E501" t="inlineStr">
        <is>
          <t>ELVIVE</t>
        </is>
      </c>
      <c r="F501" t="n">
        <v>470.17</v>
      </c>
      <c r="G501" t="n">
        <v>38857</v>
      </c>
      <c r="H501" t="b">
        <v>0</v>
      </c>
      <c r="I501" t="n">
        <v>400</v>
      </c>
      <c r="J501" t="n">
        <v>1.1754</v>
      </c>
      <c r="K501" t="inlineStr">
        <is>
          <t>&gt; Perfumería &gt; Cuidado Capilar &gt; Shampoo &gt;</t>
        </is>
      </c>
      <c r="L501" t="inlineStr">
        <is>
          <t>shampoo</t>
        </is>
      </c>
      <c r="M501" t="inlineStr">
        <is>
          <t>profesional</t>
        </is>
      </c>
      <c r="N501" t="inlineStr">
        <is>
          <t>general</t>
        </is>
      </c>
      <c r="O501" t="inlineStr">
        <is>
          <t>https://www.disco.com.ar/shampoo-elvive-rt-extreme-400ml/p</t>
        </is>
      </c>
    </row>
    <row r="502">
      <c r="A502" s="10" t="inlineStr">
        <is>
          <t>Disco</t>
        </is>
      </c>
      <c r="B502" s="10" t="n">
        <v>150890</v>
      </c>
      <c r="C502" s="10" t="n">
        <v>147801</v>
      </c>
      <c r="D502" s="10" t="inlineStr">
        <is>
          <t>Shampoo Dove X 200 Ml-color Duradero-+ Aco 200 + Cream De Tratamiento Al 50%-bli-un.-3</t>
        </is>
      </c>
      <c r="E502" s="10" t="inlineStr">
        <is>
          <t>DOVE</t>
        </is>
      </c>
      <c r="F502" s="10" t="n">
        <v>32.53</v>
      </c>
      <c r="G502" s="10" t="n">
        <v>2688</v>
      </c>
      <c r="H502" s="10" t="b">
        <v>0</v>
      </c>
      <c r="I502" s="10" t="n">
        <v>200</v>
      </c>
      <c r="J502" s="10" t="n">
        <v>0.1627</v>
      </c>
      <c r="K502" s="10" t="inlineStr">
        <is>
          <t>&gt; Perfumería &gt; Cuidado Capilar &gt; Shampoo &gt;</t>
        </is>
      </c>
      <c r="L502" s="10" t="inlineStr">
        <is>
          <t>tratamiento</t>
        </is>
      </c>
      <c r="M502" s="10" t="inlineStr">
        <is>
          <t>estandar</t>
        </is>
      </c>
      <c r="N502" s="10" t="inlineStr">
        <is>
          <t>tratado</t>
        </is>
      </c>
      <c r="O502" s="10" t="inlineStr">
        <is>
          <t>https://www.disco.com.ar/shampoo-dove-x-200-ml-2/p</t>
        </is>
      </c>
    </row>
    <row r="503">
      <c r="A503" t="inlineStr">
        <is>
          <t>Disco</t>
        </is>
      </c>
      <c r="B503" t="n">
        <v>141010</v>
      </c>
      <c r="C503" t="n">
        <v>137921</v>
      </c>
      <c r="D503" t="inlineStr">
        <is>
          <t>Shampoo Vo5-manzanilla-pck-un.-2</t>
        </is>
      </c>
      <c r="E503" t="inlineStr">
        <is>
          <t>VO5</t>
        </is>
      </c>
      <c r="F503" t="n">
        <v>9.99</v>
      </c>
      <c r="G503" t="n">
        <v>9.99</v>
      </c>
      <c r="H503" t="b">
        <v>0</v>
      </c>
      <c r="I503" t="inlineStr"/>
      <c r="J503" t="inlineStr"/>
      <c r="K503" t="inlineStr">
        <is>
          <t>&gt; Perfumería &gt; Cuidado Capilar &gt; Shampoo &gt;</t>
        </is>
      </c>
      <c r="L503" t="inlineStr">
        <is>
          <t>shampoo</t>
        </is>
      </c>
      <c r="M503" t="inlineStr">
        <is>
          <t>estandar</t>
        </is>
      </c>
      <c r="N503" t="inlineStr">
        <is>
          <t>general</t>
        </is>
      </c>
      <c r="O503" t="inlineStr">
        <is>
          <t>https://www.disco.com.ar/shampoo-vo5-manzanilla-pck-un-2-2/p</t>
        </is>
      </c>
    </row>
    <row r="504">
      <c r="A504" s="10" t="inlineStr">
        <is>
          <t>Disco</t>
        </is>
      </c>
      <c r="B504" s="10" t="n">
        <v>132314</v>
      </c>
      <c r="C504" s="10" t="n">
        <v>129230</v>
      </c>
      <c r="D504" s="10" t="inlineStr">
        <is>
          <t>Pantene Shampoo Rizos Definidos 200ml</t>
        </is>
      </c>
      <c r="E504" s="10" t="inlineStr">
        <is>
          <t>PANTENE</t>
        </is>
      </c>
      <c r="F504" s="10" t="n">
        <v>24.67</v>
      </c>
      <c r="G504" s="10" t="n">
        <v>2039</v>
      </c>
      <c r="H504" s="10" t="b">
        <v>0</v>
      </c>
      <c r="I504" s="10" t="n">
        <v>200</v>
      </c>
      <c r="J504" s="10" t="n">
        <v>0.1234</v>
      </c>
      <c r="K504" s="10" t="inlineStr">
        <is>
          <t>&gt; Perfumería &gt; Cuidado Capilar &gt; Shampoo &gt;</t>
        </is>
      </c>
      <c r="L504" s="10" t="inlineStr">
        <is>
          <t>shampoo</t>
        </is>
      </c>
      <c r="M504" s="10" t="inlineStr">
        <is>
          <t>estandar</t>
        </is>
      </c>
      <c r="N504" s="10" t="inlineStr">
        <is>
          <t>rizado</t>
        </is>
      </c>
      <c r="O504" s="10" t="inlineStr">
        <is>
          <t>https://www.disco.com.ar/pantene-shampoo-rizos-definidos-200ml/p</t>
        </is>
      </c>
    </row>
    <row r="505">
      <c r="A505" t="inlineStr">
        <is>
          <t>Disco</t>
        </is>
      </c>
      <c r="B505" t="n">
        <v>132298</v>
      </c>
      <c r="C505" t="n">
        <v>129213</v>
      </c>
      <c r="D505" t="inlineStr">
        <is>
          <t>Shampoo Pantene Hidratación 400 Ml</t>
        </is>
      </c>
      <c r="E505" t="inlineStr">
        <is>
          <t>PANTENE</t>
        </is>
      </c>
      <c r="F505" t="n">
        <v>48.79</v>
      </c>
      <c r="G505" t="n">
        <v>4032</v>
      </c>
      <c r="H505" t="b">
        <v>0</v>
      </c>
      <c r="I505" t="n">
        <v>400</v>
      </c>
      <c r="J505" t="n">
        <v>0.122</v>
      </c>
      <c r="K505" t="inlineStr">
        <is>
          <t>&gt; Perfumería &gt; Cuidado Capilar &gt; Shampoo &gt;</t>
        </is>
      </c>
      <c r="L505" t="inlineStr">
        <is>
          <t>shampoo</t>
        </is>
      </c>
      <c r="M505" t="inlineStr">
        <is>
          <t>estandar</t>
        </is>
      </c>
      <c r="N505" t="inlineStr">
        <is>
          <t>seco_danado</t>
        </is>
      </c>
      <c r="O505" t="inlineStr">
        <is>
          <t>https://www.disco.com.ar/shampoo-pantene-hidratacion-400-ml/p</t>
        </is>
      </c>
    </row>
    <row r="506">
      <c r="A506" s="10" t="inlineStr">
        <is>
          <t>Disco</t>
        </is>
      </c>
      <c r="B506" s="10" t="n">
        <v>132291</v>
      </c>
      <c r="C506" s="10" t="n">
        <v>129207</v>
      </c>
      <c r="D506" s="10" t="inlineStr">
        <is>
          <t>Pantene Shampoo Cuidado Clásico 400ml</t>
        </is>
      </c>
      <c r="E506" s="10" t="inlineStr">
        <is>
          <t>PANTENE</t>
        </is>
      </c>
      <c r="F506" s="10" t="n">
        <v>48.79</v>
      </c>
      <c r="G506" s="10" t="n">
        <v>4032</v>
      </c>
      <c r="H506" s="10" t="b">
        <v>0</v>
      </c>
      <c r="I506" s="10" t="n">
        <v>400</v>
      </c>
      <c r="J506" s="10" t="n">
        <v>0.122</v>
      </c>
      <c r="K506" s="10" t="inlineStr">
        <is>
          <t>&gt; Perfumería &gt; Cuidado Capilar &gt; Shampoo &gt;</t>
        </is>
      </c>
      <c r="L506" s="10" t="inlineStr">
        <is>
          <t>shampoo</t>
        </is>
      </c>
      <c r="M506" s="10" t="inlineStr">
        <is>
          <t>estandar</t>
        </is>
      </c>
      <c r="N506" s="10" t="inlineStr">
        <is>
          <t>general</t>
        </is>
      </c>
      <c r="O506" s="10" t="inlineStr">
        <is>
          <t>https://www.disco.com.ar/pantene-shampoo-cuidado-clasico-400ml/p</t>
        </is>
      </c>
    </row>
    <row r="507">
      <c r="A507" t="inlineStr">
        <is>
          <t>Disco</t>
        </is>
      </c>
      <c r="B507" t="n">
        <v>119120</v>
      </c>
      <c r="C507" t="n">
        <v>118150</v>
      </c>
      <c r="D507" t="inlineStr">
        <is>
          <t>Shampoo Flex X 250 Ml</t>
        </is>
      </c>
      <c r="E507" t="inlineStr">
        <is>
          <t>FLEX</t>
        </is>
      </c>
      <c r="F507" t="n">
        <v>5.95</v>
      </c>
      <c r="G507" t="n">
        <v>5.95</v>
      </c>
      <c r="H507" t="b">
        <v>0</v>
      </c>
      <c r="I507" t="n">
        <v>250</v>
      </c>
      <c r="J507" t="n">
        <v>0.0238</v>
      </c>
      <c r="K507" t="inlineStr">
        <is>
          <t>&gt; Perfumería &gt; Cuidado Capilar &gt; Shampoo &gt;</t>
        </is>
      </c>
      <c r="L507" t="inlineStr">
        <is>
          <t>shampoo</t>
        </is>
      </c>
      <c r="M507" t="inlineStr">
        <is>
          <t>estandar</t>
        </is>
      </c>
      <c r="N507" t="inlineStr">
        <is>
          <t>general</t>
        </is>
      </c>
      <c r="O507" t="inlineStr">
        <is>
          <t>https://www.disco.com.ar/shampoo-flex-x-250-ml-5/p</t>
        </is>
      </c>
    </row>
    <row r="508">
      <c r="A508" s="10" t="inlineStr">
        <is>
          <t>Disco</t>
        </is>
      </c>
      <c r="B508" s="10" t="n">
        <v>113260</v>
      </c>
      <c r="C508" s="10" t="n">
        <v>112311</v>
      </c>
      <c r="D508" s="10" t="inlineStr">
        <is>
          <t>Shampoo Porta X 1 Un Shampoo Porta Bot 500 Cc. Seco (sin Agua)</t>
        </is>
      </c>
      <c r="E508" s="10" t="inlineStr">
        <is>
          <t>PORTA</t>
        </is>
      </c>
      <c r="F508" s="10" t="n">
        <v>10.37</v>
      </c>
      <c r="G508" s="10" t="n">
        <v>10.37</v>
      </c>
      <c r="H508" s="10" t="b">
        <v>0</v>
      </c>
      <c r="I508" s="10" t="inlineStr"/>
      <c r="J508" s="10" t="inlineStr"/>
      <c r="K508" s="10" t="inlineStr">
        <is>
          <t>&gt; Mascotas &gt; Accesorios para Mascotas &gt;</t>
        </is>
      </c>
      <c r="L508" s="10" t="inlineStr">
        <is>
          <t>shampoo</t>
        </is>
      </c>
      <c r="M508" s="10" t="inlineStr">
        <is>
          <t>estandar</t>
        </is>
      </c>
      <c r="N508" s="10" t="inlineStr">
        <is>
          <t>seco_danado</t>
        </is>
      </c>
      <c r="O508" s="10" t="inlineStr">
        <is>
          <t>https://www.disco.com.ar/shampoo-porta-x-1-un-2/p</t>
        </is>
      </c>
    </row>
    <row r="509">
      <c r="A509" t="inlineStr">
        <is>
          <t>Disco</t>
        </is>
      </c>
      <c r="B509" t="n">
        <v>98031</v>
      </c>
      <c r="C509" t="n">
        <v>95346</v>
      </c>
      <c r="D509" t="inlineStr">
        <is>
          <t>Shampoo Herbal Ess Prolongalo 300ml Shampoo Herbal Essences Prolóngalos 300 Ml</t>
        </is>
      </c>
      <c r="E509" t="inlineStr">
        <is>
          <t>HERBAL ESSENCES</t>
        </is>
      </c>
      <c r="F509" t="n">
        <v>162.43</v>
      </c>
      <c r="G509" t="n">
        <v>13424</v>
      </c>
      <c r="H509" t="b">
        <v>0</v>
      </c>
      <c r="I509" t="n">
        <v>300</v>
      </c>
      <c r="J509" t="n">
        <v>0.5414</v>
      </c>
      <c r="K509" t="inlineStr">
        <is>
          <t>&gt; Perfumería &gt; Cuidado Capilar &gt; Shampoo &gt;</t>
        </is>
      </c>
      <c r="L509" t="inlineStr">
        <is>
          <t>shampoo</t>
        </is>
      </c>
      <c r="M509" t="inlineStr">
        <is>
          <t>estandar</t>
        </is>
      </c>
      <c r="N509" t="inlineStr">
        <is>
          <t>general</t>
        </is>
      </c>
      <c r="O509" t="inlineStr">
        <is>
          <t>https://www.disco.com.ar/shampoo-herbal-ess-prolongalo-300ml/p</t>
        </is>
      </c>
    </row>
    <row r="510">
      <c r="A510" s="10" t="inlineStr">
        <is>
          <t>Disco</t>
        </is>
      </c>
      <c r="B510" s="10" t="n">
        <v>49377</v>
      </c>
      <c r="C510" s="10" t="n">
        <v>46540</v>
      </c>
      <c r="D510" s="10" t="inlineStr">
        <is>
          <t>Shampoo Capilatis Ortiga Cardo 350ml</t>
        </is>
      </c>
      <c r="E510" s="10" t="inlineStr">
        <is>
          <t>CAPILATIS</t>
        </is>
      </c>
      <c r="F510" s="10" t="n">
        <v>1096.49</v>
      </c>
      <c r="G510" s="10" t="n">
        <v>90619</v>
      </c>
      <c r="H510" s="10" t="b">
        <v>0</v>
      </c>
      <c r="I510" s="10" t="n">
        <v>350</v>
      </c>
      <c r="J510" s="10" t="n">
        <v>3.1328</v>
      </c>
      <c r="K510" s="10" t="inlineStr">
        <is>
          <t>&gt; Perfumería &gt; Cuidado Capilar &gt; Shampoo &gt;</t>
        </is>
      </c>
      <c r="L510" s="10" t="inlineStr">
        <is>
          <t>shampoo</t>
        </is>
      </c>
      <c r="M510" s="10" t="inlineStr">
        <is>
          <t>estandar</t>
        </is>
      </c>
      <c r="N510" s="10" t="inlineStr">
        <is>
          <t>general</t>
        </is>
      </c>
      <c r="O510" s="10" t="inlineStr">
        <is>
          <t>https://www.disco.com.ar/shampoo-capilatis-ortiga-cardo-350ml-2/p</t>
        </is>
      </c>
    </row>
    <row r="511">
      <c r="A511" t="inlineStr">
        <is>
          <t>Disco</t>
        </is>
      </c>
      <c r="B511" t="n">
        <v>44614</v>
      </c>
      <c r="C511" t="n">
        <v>41785</v>
      </c>
      <c r="D511" t="inlineStr">
        <is>
          <t>Shampoo Elvive Oleo Extraordinario 200ml</t>
        </is>
      </c>
      <c r="E511" t="inlineStr">
        <is>
          <t>ELVIVE</t>
        </is>
      </c>
      <c r="F511" t="n">
        <v>550</v>
      </c>
      <c r="G511" t="n">
        <v>45455</v>
      </c>
      <c r="H511" t="b">
        <v>0</v>
      </c>
      <c r="I511" t="n">
        <v>200</v>
      </c>
      <c r="J511" t="n">
        <v>2.75</v>
      </c>
      <c r="K511" t="inlineStr">
        <is>
          <t>&gt; Perfumería &gt; Cuidado Capilar &gt; Shampoo &gt;</t>
        </is>
      </c>
      <c r="L511" t="inlineStr">
        <is>
          <t>shampoo</t>
        </is>
      </c>
      <c r="M511" t="inlineStr">
        <is>
          <t>profesional</t>
        </is>
      </c>
      <c r="N511" t="inlineStr">
        <is>
          <t>general</t>
        </is>
      </c>
      <c r="O511" t="inlineStr">
        <is>
          <t>https://www.disco.com.ar/shampoo-elvive-oleo-extraordinario-200ml-2/p</t>
        </is>
      </c>
    </row>
    <row r="512">
      <c r="A512" s="10" t="inlineStr">
        <is>
          <t>Disco</t>
        </is>
      </c>
      <c r="B512" s="10" t="n">
        <v>41755</v>
      </c>
      <c r="C512" s="10" t="n">
        <v>38919</v>
      </c>
      <c r="D512" s="10" t="inlineStr">
        <is>
          <t>Shampoo Fructis Oil Repair 650ml</t>
        </is>
      </c>
      <c r="E512" s="10" t="inlineStr">
        <is>
          <t>FRUCTIS</t>
        </is>
      </c>
      <c r="F512" s="10" t="n">
        <v>381.19</v>
      </c>
      <c r="G512" s="10" t="n">
        <v>31503</v>
      </c>
      <c r="H512" s="10" t="b">
        <v>0</v>
      </c>
      <c r="I512" s="10" t="n">
        <v>650</v>
      </c>
      <c r="J512" s="10" t="n">
        <v>0.5864</v>
      </c>
      <c r="K512" s="10" t="inlineStr">
        <is>
          <t>&gt; Perfumería &gt; Cuidado Capilar &gt; Shampoo &gt;</t>
        </is>
      </c>
      <c r="L512" s="10" t="inlineStr">
        <is>
          <t>shampoo</t>
        </is>
      </c>
      <c r="M512" s="10" t="inlineStr">
        <is>
          <t>profesional</t>
        </is>
      </c>
      <c r="N512" s="10" t="inlineStr">
        <is>
          <t>general</t>
        </is>
      </c>
      <c r="O512" s="10" t="inlineStr">
        <is>
          <t>https://www.disco.com.ar/shampoo-fructis-oil-repair-650ml-2/p</t>
        </is>
      </c>
    </row>
    <row r="513">
      <c r="A513" t="inlineStr">
        <is>
          <t>Disco</t>
        </is>
      </c>
      <c r="B513" t="n">
        <v>41365</v>
      </c>
      <c r="C513" t="n">
        <v>38530</v>
      </c>
      <c r="D513" t="inlineStr">
        <is>
          <t>Shampoo Fructis Goodbye Daños 350ml</t>
        </is>
      </c>
      <c r="E513" t="inlineStr">
        <is>
          <t>FRUCTIS</t>
        </is>
      </c>
      <c r="F513" t="n">
        <v>950</v>
      </c>
      <c r="G513" t="n">
        <v>78512</v>
      </c>
      <c r="H513" t="b">
        <v>0</v>
      </c>
      <c r="I513" t="n">
        <v>350</v>
      </c>
      <c r="J513" t="n">
        <v>2.7143</v>
      </c>
      <c r="K513" t="inlineStr">
        <is>
          <t>&gt; Perfumería &gt; Cuidado Capilar &gt; Shampoo &gt;</t>
        </is>
      </c>
      <c r="L513" t="inlineStr">
        <is>
          <t>shampoo</t>
        </is>
      </c>
      <c r="M513" t="inlineStr">
        <is>
          <t>estandar</t>
        </is>
      </c>
      <c r="N513" t="inlineStr">
        <is>
          <t>general</t>
        </is>
      </c>
      <c r="O513" t="inlineStr">
        <is>
          <t>https://www.disco.com.ar/shampoo-fructis-goodbye-danos-350ml/p</t>
        </is>
      </c>
    </row>
    <row r="514">
      <c r="A514" s="10" t="inlineStr">
        <is>
          <t>Disco</t>
        </is>
      </c>
      <c r="B514" s="10" t="n">
        <v>40762</v>
      </c>
      <c r="C514" s="10" t="n">
        <v>37927</v>
      </c>
      <c r="D514" s="10" t="inlineStr">
        <is>
          <t>Shampoo Triatop Clinical 120 Ml</t>
        </is>
      </c>
      <c r="E514" s="10" t="inlineStr">
        <is>
          <t>TRIATOP</t>
        </is>
      </c>
      <c r="F514" s="10" t="n">
        <v>241.5</v>
      </c>
      <c r="G514" s="10" t="n">
        <v>241.5</v>
      </c>
      <c r="H514" s="10" t="b">
        <v>0</v>
      </c>
      <c r="I514" s="10" t="n">
        <v>120</v>
      </c>
      <c r="J514" s="10" t="n">
        <v>2.0125</v>
      </c>
      <c r="K514" s="10" t="inlineStr">
        <is>
          <t>&gt; Perfumería &gt; Cuidado Capilar &gt; Shampoo &gt;</t>
        </is>
      </c>
      <c r="L514" s="10" t="inlineStr">
        <is>
          <t>shampoo</t>
        </is>
      </c>
      <c r="M514" s="10" t="inlineStr">
        <is>
          <t>estandar</t>
        </is>
      </c>
      <c r="N514" s="10" t="inlineStr">
        <is>
          <t>general</t>
        </is>
      </c>
      <c r="O514" s="10" t="inlineStr">
        <is>
          <t>https://www.disco.com.ar/shampoo-triatop-clinical-120-ml-2/p</t>
        </is>
      </c>
    </row>
    <row r="515">
      <c r="A515" t="inlineStr">
        <is>
          <t>Disco</t>
        </is>
      </c>
      <c r="B515" t="n">
        <v>39208</v>
      </c>
      <c r="C515" t="n">
        <v>36374</v>
      </c>
      <c r="D515" t="inlineStr">
        <is>
          <t>Shampoo Alta Moda Cream 300ml</t>
        </is>
      </c>
      <c r="E515" t="inlineStr">
        <is>
          <t>ALTA MODA</t>
        </is>
      </c>
      <c r="F515" t="n">
        <v>139.65</v>
      </c>
      <c r="G515" t="n">
        <v>11541</v>
      </c>
      <c r="H515" t="b">
        <v>0</v>
      </c>
      <c r="I515" t="n">
        <v>300</v>
      </c>
      <c r="J515" t="n">
        <v>0.4655</v>
      </c>
      <c r="K515" t="inlineStr">
        <is>
          <t>&gt; Perfumería &gt; Cuidado Capilar &gt; Shampoo &gt;</t>
        </is>
      </c>
      <c r="L515" t="inlineStr">
        <is>
          <t>shampoo</t>
        </is>
      </c>
      <c r="M515" t="inlineStr">
        <is>
          <t>estandar</t>
        </is>
      </c>
      <c r="N515" t="inlineStr">
        <is>
          <t>general</t>
        </is>
      </c>
      <c r="O515" t="inlineStr">
        <is>
          <t>https://www.disco.com.ar/shampoo-alta-moda-cream-300ml/p</t>
        </is>
      </c>
    </row>
    <row r="516">
      <c r="A516" s="10" t="inlineStr">
        <is>
          <t>Disco</t>
        </is>
      </c>
      <c r="B516" s="10" t="n">
        <v>31746</v>
      </c>
      <c r="C516" s="10" t="n">
        <v>28905</v>
      </c>
      <c r="D516" s="10" t="inlineStr">
        <is>
          <t>Shampoo Elvive 2 En 1 Shampoo 2 En 1 Reparación Total 5 Elvive L Oréal Paris 400 Ml</t>
        </is>
      </c>
      <c r="E516" s="10" t="inlineStr">
        <is>
          <t>ELVIVE</t>
        </is>
      </c>
      <c r="F516" s="10" t="n">
        <v>430.95</v>
      </c>
      <c r="G516" s="10" t="n">
        <v>35616</v>
      </c>
      <c r="H516" s="10" t="b">
        <v>0</v>
      </c>
      <c r="I516" s="10" t="n">
        <v>400</v>
      </c>
      <c r="J516" s="10" t="n">
        <v>1.0774</v>
      </c>
      <c r="K516" s="10" t="inlineStr">
        <is>
          <t>&gt; Perfumería &gt; Cuidado Capilar &gt; Shampoo &gt;</t>
        </is>
      </c>
      <c r="L516" s="10" t="inlineStr">
        <is>
          <t>shampoo</t>
        </is>
      </c>
      <c r="M516" s="10" t="inlineStr">
        <is>
          <t>profesional</t>
        </is>
      </c>
      <c r="N516" s="10" t="inlineStr">
        <is>
          <t>general</t>
        </is>
      </c>
      <c r="O516" s="10" t="inlineStr">
        <is>
          <t>https://www.disco.com.ar/shampoo-elvive-2-en-1/p</t>
        </is>
      </c>
    </row>
    <row r="517">
      <c r="A517" t="inlineStr">
        <is>
          <t>Disco</t>
        </is>
      </c>
      <c r="B517" t="n">
        <v>31696</v>
      </c>
      <c r="C517" t="n">
        <v>28855</v>
      </c>
      <c r="D517" t="inlineStr">
        <is>
          <t>Shampoo Elvive Rizos Hidratados 200ml</t>
        </is>
      </c>
      <c r="E517" t="inlineStr">
        <is>
          <t>ELVIVE</t>
        </is>
      </c>
      <c r="F517" t="n">
        <v>290.85</v>
      </c>
      <c r="G517" t="n">
        <v>24037</v>
      </c>
      <c r="H517" t="b">
        <v>0</v>
      </c>
      <c r="I517" t="n">
        <v>200</v>
      </c>
      <c r="J517" t="n">
        <v>1.4543</v>
      </c>
      <c r="K517" t="inlineStr">
        <is>
          <t>&gt; Perfumería &gt; Cuidado Capilar &gt; Shampoo &gt;</t>
        </is>
      </c>
      <c r="L517" t="inlineStr">
        <is>
          <t>shampoo</t>
        </is>
      </c>
      <c r="M517" t="inlineStr">
        <is>
          <t>profesional</t>
        </is>
      </c>
      <c r="N517" t="inlineStr">
        <is>
          <t>rizado</t>
        </is>
      </c>
      <c r="O517" t="inlineStr">
        <is>
          <t>https://www.disco.com.ar/shampoo-elvive-rizos-hidratados-200ml/p</t>
        </is>
      </c>
    </row>
    <row r="518">
      <c r="A518" s="10" t="inlineStr">
        <is>
          <t>Disco</t>
        </is>
      </c>
      <c r="B518" s="10" t="n">
        <v>31467</v>
      </c>
      <c r="C518" s="10" t="n">
        <v>28626</v>
      </c>
      <c r="D518" s="10" t="inlineStr">
        <is>
          <t>Shampoo Elvive Color Vive 400ml</t>
        </is>
      </c>
      <c r="E518" s="10" t="inlineStr">
        <is>
          <t>ELVIVE</t>
        </is>
      </c>
      <c r="F518" s="10" t="n">
        <v>533.79</v>
      </c>
      <c r="G518" s="10" t="n">
        <v>44115</v>
      </c>
      <c r="H518" s="10" t="b">
        <v>0</v>
      </c>
      <c r="I518" s="10" t="n">
        <v>400</v>
      </c>
      <c r="J518" s="10" t="n">
        <v>1.3345</v>
      </c>
      <c r="K518" s="10" t="inlineStr">
        <is>
          <t>&gt; Perfumería &gt; Cuidado Capilar &gt; Shampoo &gt;</t>
        </is>
      </c>
      <c r="L518" s="10" t="inlineStr">
        <is>
          <t>shampoo</t>
        </is>
      </c>
      <c r="M518" s="10" t="inlineStr">
        <is>
          <t>profesional</t>
        </is>
      </c>
      <c r="N518" s="10" t="inlineStr">
        <is>
          <t>tratado</t>
        </is>
      </c>
      <c r="O518" s="10" t="inlineStr">
        <is>
          <t>https://www.disco.com.ar/shampoo-elvive-color-vive-400ml/p</t>
        </is>
      </c>
    </row>
    <row r="519">
      <c r="A519" t="inlineStr">
        <is>
          <t>Disco</t>
        </is>
      </c>
      <c r="B519" t="n">
        <v>31250</v>
      </c>
      <c r="C519" t="n">
        <v>28409</v>
      </c>
      <c r="D519" t="inlineStr">
        <is>
          <t>Shampoo Elvive Kera Liso 200ml</t>
        </is>
      </c>
      <c r="E519" t="inlineStr">
        <is>
          <t>ELVIVE</t>
        </is>
      </c>
      <c r="F519" t="n">
        <v>330.19</v>
      </c>
      <c r="G519" t="n">
        <v>27288</v>
      </c>
      <c r="H519" t="b">
        <v>0</v>
      </c>
      <c r="I519" t="n">
        <v>200</v>
      </c>
      <c r="J519" t="n">
        <v>1.6509</v>
      </c>
      <c r="K519" t="inlineStr">
        <is>
          <t>&gt; Perfumería &gt; Cuidado Capilar &gt; Shampoo &gt;</t>
        </is>
      </c>
      <c r="L519" t="inlineStr">
        <is>
          <t>shampoo</t>
        </is>
      </c>
      <c r="M519" t="inlineStr">
        <is>
          <t>profesional</t>
        </is>
      </c>
      <c r="N519" t="inlineStr">
        <is>
          <t>general</t>
        </is>
      </c>
      <c r="O519" t="inlineStr">
        <is>
          <t>https://www.disco.com.ar/shampoo-elvive-kera-liso-200ml/p</t>
        </is>
      </c>
    </row>
    <row r="520">
      <c r="A520" s="10" t="inlineStr">
        <is>
          <t>Disco</t>
        </is>
      </c>
      <c r="B520" s="10" t="n">
        <v>27889</v>
      </c>
      <c r="C520" s="10" t="n">
        <v>25048</v>
      </c>
      <c r="D520" s="10" t="inlineStr">
        <is>
          <t>Shampoo Plusbelle Alisado X-tensivo</t>
        </is>
      </c>
      <c r="E520" s="10" t="inlineStr">
        <is>
          <t>PLUSBELLE</t>
        </is>
      </c>
      <c r="F520" s="10" t="n">
        <v>93.39</v>
      </c>
      <c r="G520" s="10" t="n">
        <v>7718</v>
      </c>
      <c r="H520" s="10" t="b">
        <v>0</v>
      </c>
      <c r="I520" s="10" t="inlineStr"/>
      <c r="J520" s="10" t="inlineStr"/>
      <c r="K520" s="10" t="inlineStr">
        <is>
          <t>&gt; Perfumería &gt; Cuidado Capilar &gt; Shampoo &gt;</t>
        </is>
      </c>
      <c r="L520" s="10" t="inlineStr">
        <is>
          <t>shampoo</t>
        </is>
      </c>
      <c r="M520" s="10" t="inlineStr">
        <is>
          <t>estandar</t>
        </is>
      </c>
      <c r="N520" s="10" t="inlineStr">
        <is>
          <t>tratado</t>
        </is>
      </c>
      <c r="O520" s="10" t="inlineStr">
        <is>
          <t>https://www.disco.com.ar/shampoo-plusbelle-alisado-x-tensivo/p</t>
        </is>
      </c>
    </row>
    <row r="521">
      <c r="A521" t="inlineStr">
        <is>
          <t>Disco</t>
        </is>
      </c>
      <c r="B521" t="n">
        <v>24714</v>
      </c>
      <c r="C521" t="n">
        <v>21878</v>
      </c>
      <c r="D521" t="inlineStr">
        <is>
          <t>Shampoo Anticaspa Head &amp; Shoulders Shampoo Head &amp; Shoulders Relax Control Comezón 200 Ml</t>
        </is>
      </c>
      <c r="E521" t="inlineStr">
        <is>
          <t>HEAD &amp; SHOULDERS</t>
        </is>
      </c>
      <c r="F521" t="n">
        <v>70.43000000000001</v>
      </c>
      <c r="G521" t="n">
        <v>5821</v>
      </c>
      <c r="H521" t="b">
        <v>0</v>
      </c>
      <c r="I521" t="n">
        <v>200</v>
      </c>
      <c r="J521" t="n">
        <v>0.3522</v>
      </c>
      <c r="K521" t="inlineStr">
        <is>
          <t>&gt; Perfumería &gt; Cuidado Capilar &gt; Shampoo &gt;</t>
        </is>
      </c>
      <c r="L521" t="inlineStr">
        <is>
          <t>shampoo</t>
        </is>
      </c>
      <c r="M521" t="inlineStr">
        <is>
          <t>estandar</t>
        </is>
      </c>
      <c r="N521" t="inlineStr">
        <is>
          <t>anticaspa</t>
        </is>
      </c>
      <c r="O521" t="inlineStr">
        <is>
          <t>https://www.disco.com.ar/shampoo-anticaspa-head-shoulders-42/p</t>
        </is>
      </c>
    </row>
    <row r="522">
      <c r="A522" s="10" t="inlineStr">
        <is>
          <t>Disco</t>
        </is>
      </c>
      <c r="B522" s="10" t="n">
        <v>24648</v>
      </c>
      <c r="C522" s="10" t="n">
        <v>21812</v>
      </c>
      <c r="D522" s="10" t="inlineStr">
        <is>
          <t>Shampoo Anticaspa Head &amp; Shoulders Relax 400 Ml</t>
        </is>
      </c>
      <c r="E522" s="10" t="inlineStr">
        <is>
          <t>HEAD &amp; SHOULDERS</t>
        </is>
      </c>
      <c r="F522" s="10" t="n">
        <v>168.19</v>
      </c>
      <c r="G522" s="10" t="n">
        <v>13900</v>
      </c>
      <c r="H522" s="10" t="b">
        <v>0</v>
      </c>
      <c r="I522" s="10" t="n">
        <v>400</v>
      </c>
      <c r="J522" s="10" t="n">
        <v>0.4205</v>
      </c>
      <c r="K522" s="10" t="inlineStr">
        <is>
          <t>&gt; Perfumería &gt; Cuidado Capilar &gt; Shampoo &gt;</t>
        </is>
      </c>
      <c r="L522" s="10" t="inlineStr">
        <is>
          <t>shampoo</t>
        </is>
      </c>
      <c r="M522" s="10" t="inlineStr">
        <is>
          <t>estandar</t>
        </is>
      </c>
      <c r="N522" s="10" t="inlineStr">
        <is>
          <t>anticaspa</t>
        </is>
      </c>
      <c r="O522" s="10" t="inlineStr">
        <is>
          <t>https://www.disco.com.ar/shampoo-anticaspa-head-shoulders-16/p</t>
        </is>
      </c>
    </row>
    <row r="523">
      <c r="A523" t="inlineStr">
        <is>
          <t>Disco</t>
        </is>
      </c>
      <c r="B523" t="n">
        <v>19671</v>
      </c>
      <c r="C523" t="n">
        <v>16836</v>
      </c>
      <c r="D523" t="inlineStr">
        <is>
          <t>Shampoo Sedal Bomba De Nutrición 650ml</t>
        </is>
      </c>
      <c r="E523" t="inlineStr">
        <is>
          <t>SEDAL</t>
        </is>
      </c>
      <c r="F523" t="n">
        <v>246.25</v>
      </c>
      <c r="G523" t="n">
        <v>20351</v>
      </c>
      <c r="H523" t="b">
        <v>0</v>
      </c>
      <c r="I523" t="n">
        <v>650</v>
      </c>
      <c r="J523" t="n">
        <v>0.3788</v>
      </c>
      <c r="K523" t="inlineStr">
        <is>
          <t>&gt; Perfumería &gt; Cuidado Capilar &gt; Shampoo &gt;</t>
        </is>
      </c>
      <c r="L523" t="inlineStr">
        <is>
          <t>shampoo</t>
        </is>
      </c>
      <c r="M523" t="inlineStr">
        <is>
          <t>estandar</t>
        </is>
      </c>
      <c r="N523" t="inlineStr">
        <is>
          <t>general</t>
        </is>
      </c>
      <c r="O523" t="inlineStr">
        <is>
          <t>https://www.disco.com.ar/shampoo-sedal-bomba-de-nutricion-650ml/p</t>
        </is>
      </c>
    </row>
    <row r="524">
      <c r="A524" s="10" t="inlineStr">
        <is>
          <t>Disco</t>
        </is>
      </c>
      <c r="B524" s="10" t="n">
        <v>19665</v>
      </c>
      <c r="C524" s="10" t="n">
        <v>16829</v>
      </c>
      <c r="D524" s="10" t="inlineStr">
        <is>
          <t>Shampoo Sedal Crema Balance 650ml</t>
        </is>
      </c>
      <c r="E524" s="10" t="inlineStr">
        <is>
          <t>SEDAL</t>
        </is>
      </c>
      <c r="F524" s="10" t="n">
        <v>227.37</v>
      </c>
      <c r="G524" s="10" t="n">
        <v>18791</v>
      </c>
      <c r="H524" s="10" t="b">
        <v>0</v>
      </c>
      <c r="I524" s="10" t="n">
        <v>650</v>
      </c>
      <c r="J524" s="10" t="n">
        <v>0.3498</v>
      </c>
      <c r="K524" s="10" t="inlineStr">
        <is>
          <t>&gt; Perfumería &gt; Cuidado Capilar &gt; Shampoo &gt;</t>
        </is>
      </c>
      <c r="L524" s="10" t="inlineStr">
        <is>
          <t>shampoo</t>
        </is>
      </c>
      <c r="M524" s="10" t="inlineStr">
        <is>
          <t>estandar</t>
        </is>
      </c>
      <c r="N524" s="10" t="inlineStr">
        <is>
          <t>general</t>
        </is>
      </c>
      <c r="O524" s="10" t="inlineStr">
        <is>
          <t>https://www.disco.com.ar/shampoo-sedal-crema-balance-650ml/p</t>
        </is>
      </c>
    </row>
    <row r="525">
      <c r="A525" t="inlineStr">
        <is>
          <t>Disco</t>
        </is>
      </c>
      <c r="B525" t="n">
        <v>19648</v>
      </c>
      <c r="C525" t="n">
        <v>16810</v>
      </c>
      <c r="D525" t="inlineStr">
        <is>
          <t>Shampoo Sedal Crema Balance 340ml</t>
        </is>
      </c>
      <c r="E525" t="inlineStr">
        <is>
          <t>SEDAL</t>
        </is>
      </c>
      <c r="F525" t="n">
        <v>500</v>
      </c>
      <c r="G525" t="n">
        <v>41322</v>
      </c>
      <c r="H525" t="b">
        <v>0</v>
      </c>
      <c r="I525" t="n">
        <v>340</v>
      </c>
      <c r="J525" t="n">
        <v>1.4706</v>
      </c>
      <c r="K525" t="inlineStr">
        <is>
          <t>&gt; Perfumería &gt; Cuidado Capilar &gt; Shampoo &gt;</t>
        </is>
      </c>
      <c r="L525" t="inlineStr">
        <is>
          <t>shampoo</t>
        </is>
      </c>
      <c r="M525" t="inlineStr">
        <is>
          <t>estandar</t>
        </is>
      </c>
      <c r="N525" t="inlineStr">
        <is>
          <t>general</t>
        </is>
      </c>
      <c r="O525" t="inlineStr">
        <is>
          <t>https://www.disco.com.ar/shampoo-sedal-crema-balance-340ml/p</t>
        </is>
      </c>
    </row>
    <row r="526">
      <c r="A526" s="10" t="inlineStr">
        <is>
          <t>Disco</t>
        </is>
      </c>
      <c r="B526" s="10" t="n">
        <v>18071</v>
      </c>
      <c r="C526" s="10" t="n">
        <v>15168</v>
      </c>
      <c r="D526" s="10" t="inlineStr">
        <is>
          <t>Shampoo Antiall Cosmetico-pvc-ml.-350</t>
        </is>
      </c>
      <c r="E526" s="10" t="inlineStr">
        <is>
          <t>ANTIALL</t>
        </is>
      </c>
      <c r="F526" s="10" t="n">
        <v>47.79</v>
      </c>
      <c r="G526" s="10" t="n">
        <v>3950</v>
      </c>
      <c r="H526" s="10" t="b">
        <v>0</v>
      </c>
      <c r="I526" s="10" t="inlineStr"/>
      <c r="J526" s="10" t="inlineStr"/>
      <c r="K526" s="10" t="inlineStr">
        <is>
          <t>&gt; Perfumería &gt; Cuidado Capilar &gt; Shampoo &gt;</t>
        </is>
      </c>
      <c r="L526" s="10" t="inlineStr">
        <is>
          <t>shampoo</t>
        </is>
      </c>
      <c r="M526" s="10" t="inlineStr">
        <is>
          <t>estandar</t>
        </is>
      </c>
      <c r="N526" s="10" t="inlineStr">
        <is>
          <t>general</t>
        </is>
      </c>
      <c r="O526" s="10" t="inlineStr">
        <is>
          <t>https://www.disco.com.ar/shampoo-antiall-cosmetico-pvc-ml-350/p</t>
        </is>
      </c>
    </row>
    <row r="527">
      <c r="A527" t="inlineStr">
        <is>
          <t>Disco</t>
        </is>
      </c>
      <c r="B527" t="n">
        <v>3512</v>
      </c>
      <c r="C527" t="n">
        <v>248531</v>
      </c>
      <c r="D527" t="inlineStr">
        <is>
          <t>Shampoo Elvive Rizos Hidratados 750ml</t>
        </is>
      </c>
      <c r="E527" t="inlineStr">
        <is>
          <t>ELVIVE</t>
        </is>
      </c>
      <c r="F527" t="n">
        <v>745.65</v>
      </c>
      <c r="G527" t="n">
        <v>61624</v>
      </c>
      <c r="H527" t="b">
        <v>0</v>
      </c>
      <c r="I527" t="n">
        <v>750</v>
      </c>
      <c r="J527" t="n">
        <v>0.9942</v>
      </c>
      <c r="K527" t="inlineStr">
        <is>
          <t>&gt; Perfumería &gt; Cuidado Capilar &gt; Shampoo &gt;</t>
        </is>
      </c>
      <c r="L527" t="inlineStr">
        <is>
          <t>shampoo</t>
        </is>
      </c>
      <c r="M527" t="inlineStr">
        <is>
          <t>profesional</t>
        </is>
      </c>
      <c r="N527" t="inlineStr">
        <is>
          <t>rizado</t>
        </is>
      </c>
      <c r="O527" t="inlineStr">
        <is>
          <t>https://www.disco.com.ar/shampoo-elvive-rizos-hidratados-750ml/p</t>
        </is>
      </c>
    </row>
    <row r="528">
      <c r="A528" s="10" t="inlineStr">
        <is>
          <t>Disco</t>
        </is>
      </c>
      <c r="B528" s="10" t="n">
        <v>154469</v>
      </c>
      <c r="C528" s="10" t="n">
        <v>152040</v>
      </c>
      <c r="D528" s="10" t="inlineStr">
        <is>
          <t>Shampoo Elvive Set-shampoo Liss Intense X400ml +leche Para Peinar-bli-un.-2</t>
        </is>
      </c>
      <c r="E528" s="10" t="inlineStr">
        <is>
          <t>ELVIVE</t>
        </is>
      </c>
      <c r="F528" s="10" t="n">
        <v>41.53</v>
      </c>
      <c r="G528" s="10" t="n">
        <v>3432</v>
      </c>
      <c r="H528" s="10" t="b">
        <v>0</v>
      </c>
      <c r="I528" s="10" t="n">
        <v>400</v>
      </c>
      <c r="J528" s="10" t="n">
        <v>0.1038</v>
      </c>
      <c r="K528" s="10" t="inlineStr">
        <is>
          <t>&gt; Perfumería &gt; Cuidado Capilar &gt; Shampoo &gt;</t>
        </is>
      </c>
      <c r="L528" s="10" t="inlineStr">
        <is>
          <t>shampoo</t>
        </is>
      </c>
      <c r="M528" s="10" t="inlineStr">
        <is>
          <t>profesional</t>
        </is>
      </c>
      <c r="N528" s="10" t="inlineStr">
        <is>
          <t>general</t>
        </is>
      </c>
      <c r="O528" s="10" t="inlineStr">
        <is>
          <t>https://www.disco.com.ar/shampoo-elvive-set-shampoo-liss-intense-x400ml-leche-para-peinar-bli-un-2-2/p</t>
        </is>
      </c>
    </row>
    <row r="529">
      <c r="A529" t="inlineStr">
        <is>
          <t>Disco</t>
        </is>
      </c>
      <c r="B529" t="n">
        <v>3087946</v>
      </c>
      <c r="C529" t="n">
        <v>3087174</v>
      </c>
      <c r="D529" t="inlineStr">
        <is>
          <t>Shampoo Elvive Lifter Colageno 400ml</t>
        </is>
      </c>
      <c r="E529" t="inlineStr">
        <is>
          <t>ELVIVE</t>
        </is>
      </c>
      <c r="F529" t="n">
        <v>13150</v>
      </c>
      <c r="G529" t="n">
        <v>1086777</v>
      </c>
      <c r="H529" t="b">
        <v>0</v>
      </c>
      <c r="I529" t="n">
        <v>400</v>
      </c>
      <c r="J529" t="n">
        <v>32.875</v>
      </c>
      <c r="K529" t="inlineStr">
        <is>
          <t>&gt; Perfumería &gt; Cuidado Capilar &gt; Shampoo &gt;</t>
        </is>
      </c>
      <c r="L529" t="inlineStr">
        <is>
          <t>shampoo</t>
        </is>
      </c>
      <c r="M529" t="inlineStr">
        <is>
          <t>profesional</t>
        </is>
      </c>
      <c r="N529" t="inlineStr">
        <is>
          <t>general</t>
        </is>
      </c>
      <c r="O529" t="inlineStr">
        <is>
          <t>https://www.disco.com.ar/shampoo-elvive-lifter-colageno-400ml/p</t>
        </is>
      </c>
    </row>
    <row r="530">
      <c r="A530" s="10" t="inlineStr">
        <is>
          <t>Disco</t>
        </is>
      </c>
      <c r="B530" s="10" t="n">
        <v>3085472</v>
      </c>
      <c r="C530" s="10" t="n">
        <v>308079</v>
      </c>
      <c r="D530" s="10" t="inlineStr">
        <is>
          <t>Shampoo Bic Flex 3 Hybrid</t>
        </is>
      </c>
      <c r="E530" s="10" t="inlineStr">
        <is>
          <t>BIC</t>
        </is>
      </c>
      <c r="F530" s="10" t="n">
        <v>11850</v>
      </c>
      <c r="G530" s="10" t="n">
        <v>979339</v>
      </c>
      <c r="H530" s="10" t="b">
        <v>0</v>
      </c>
      <c r="I530" s="10" t="inlineStr"/>
      <c r="J530" s="10" t="inlineStr"/>
      <c r="K530" s="10" t="inlineStr">
        <is>
          <t>&gt; Perfumería &gt; Cuidado Personal &gt; Productos Para Afeitarse &gt;</t>
        </is>
      </c>
      <c r="L530" s="10" t="inlineStr">
        <is>
          <t>shampoo</t>
        </is>
      </c>
      <c r="M530" s="10" t="inlineStr">
        <is>
          <t>estandar</t>
        </is>
      </c>
      <c r="N530" s="10" t="inlineStr">
        <is>
          <t>general</t>
        </is>
      </c>
      <c r="O530" s="10" t="inlineStr">
        <is>
          <t>https://www.disco.com.ar/shampoo-bic-flex-3-hybrid-3/p</t>
        </is>
      </c>
    </row>
    <row r="531">
      <c r="A531" t="inlineStr">
        <is>
          <t>Disco</t>
        </is>
      </c>
      <c r="B531" t="n">
        <v>404466</v>
      </c>
      <c r="C531" t="n">
        <v>401468</v>
      </c>
      <c r="D531" t="inlineStr">
        <is>
          <t>Shampoo Anticaspa 260 Ml Capilatis Shampoo Capilatis Anticaspa 260 Ml</t>
        </is>
      </c>
      <c r="E531" t="inlineStr">
        <is>
          <t>CAPILATIS</t>
        </is>
      </c>
      <c r="F531" t="n">
        <v>15250</v>
      </c>
      <c r="G531" t="n">
        <v>1260331</v>
      </c>
      <c r="H531" t="b">
        <v>0</v>
      </c>
      <c r="I531" t="n">
        <v>260</v>
      </c>
      <c r="J531" t="n">
        <v>58.6538</v>
      </c>
      <c r="K531" t="inlineStr">
        <is>
          <t>&gt; Perfumería &gt; Cuidado Capilar &gt; Shampoo &gt;</t>
        </is>
      </c>
      <c r="L531" t="inlineStr">
        <is>
          <t>shampoo</t>
        </is>
      </c>
      <c r="M531" t="inlineStr">
        <is>
          <t>estandar</t>
        </is>
      </c>
      <c r="N531" t="inlineStr">
        <is>
          <t>anticaspa</t>
        </is>
      </c>
      <c r="O531" t="inlineStr">
        <is>
          <t>https://www.disco.com.ar/shampoo-capilatis-anticaspa-260-ml/p</t>
        </is>
      </c>
    </row>
    <row r="532">
      <c r="A532" s="10" t="inlineStr">
        <is>
          <t>Disco</t>
        </is>
      </c>
      <c r="B532" s="10" t="n">
        <v>394679</v>
      </c>
      <c r="C532" s="10" t="n">
        <v>392678</v>
      </c>
      <c r="D532" s="10" t="inlineStr">
        <is>
          <t>Shampoo Ogx Anti-breakage 385ml</t>
        </is>
      </c>
      <c r="E532" s="10" t="inlineStr">
        <is>
          <t>OGX</t>
        </is>
      </c>
      <c r="F532" s="10" t="n">
        <v>9896.09</v>
      </c>
      <c r="G532" s="10" t="n">
        <v>817859</v>
      </c>
      <c r="H532" s="10" t="b">
        <v>0</v>
      </c>
      <c r="I532" s="10" t="n">
        <v>385</v>
      </c>
      <c r="J532" s="10" t="n">
        <v>25.7041</v>
      </c>
      <c r="K532" s="10" t="inlineStr">
        <is>
          <t>&gt; Perfumería &gt; Cuidado Capilar &gt; Shampoo &gt;</t>
        </is>
      </c>
      <c r="L532" s="10" t="inlineStr">
        <is>
          <t>shampoo</t>
        </is>
      </c>
      <c r="M532" s="10" t="inlineStr">
        <is>
          <t>estandar</t>
        </is>
      </c>
      <c r="N532" s="10" t="inlineStr">
        <is>
          <t>general</t>
        </is>
      </c>
      <c r="O532" s="10" t="inlineStr">
        <is>
          <t>https://www.disco.com.ar/shampoo-ogx-anti-breakage-385ml/p</t>
        </is>
      </c>
    </row>
    <row r="533">
      <c r="A533" t="inlineStr">
        <is>
          <t>Disco</t>
        </is>
      </c>
      <c r="B533" t="n">
        <v>390234</v>
      </c>
      <c r="C533" t="n">
        <v>388325</v>
      </c>
      <c r="D533" t="inlineStr">
        <is>
          <t>Shampoo Pantene Restauración 750 Ml</t>
        </is>
      </c>
      <c r="E533" t="inlineStr">
        <is>
          <t>PANTENE</t>
        </is>
      </c>
      <c r="F533" t="n">
        <v>8500</v>
      </c>
      <c r="G533" t="n">
        <v>702479</v>
      </c>
      <c r="H533" t="b">
        <v>0</v>
      </c>
      <c r="I533" t="n">
        <v>750</v>
      </c>
      <c r="J533" t="n">
        <v>11.3333</v>
      </c>
      <c r="K533" t="inlineStr">
        <is>
          <t>&gt; Perfumería &gt; Cuidado Capilar &gt; Shampoo &gt;</t>
        </is>
      </c>
      <c r="L533" t="inlineStr">
        <is>
          <t>shampoo</t>
        </is>
      </c>
      <c r="M533" t="inlineStr">
        <is>
          <t>estandar</t>
        </is>
      </c>
      <c r="N533" t="inlineStr">
        <is>
          <t>general</t>
        </is>
      </c>
      <c r="O533" t="inlineStr">
        <is>
          <t>https://www.disco.com.ar/shampoo-pantene-restauracion-750-ml/p</t>
        </is>
      </c>
    </row>
    <row r="534">
      <c r="A534" s="10" t="inlineStr">
        <is>
          <t>Disco</t>
        </is>
      </c>
      <c r="B534" s="10" t="n">
        <v>390229</v>
      </c>
      <c r="C534" s="10" t="n">
        <v>388320</v>
      </c>
      <c r="D534" s="10" t="inlineStr">
        <is>
          <t>Shampoo Pantene Prov Bambu 700ml</t>
        </is>
      </c>
      <c r="E534" s="10" t="inlineStr">
        <is>
          <t>PANTENE</t>
        </is>
      </c>
      <c r="F534" s="10" t="n">
        <v>2137.67</v>
      </c>
      <c r="G534" s="10" t="n">
        <v>176667</v>
      </c>
      <c r="H534" s="10" t="b">
        <v>0</v>
      </c>
      <c r="I534" s="10" t="n">
        <v>700</v>
      </c>
      <c r="J534" s="10" t="n">
        <v>3.0538</v>
      </c>
      <c r="K534" s="10" t="inlineStr">
        <is>
          <t>&gt; Perfumería &gt; Cuidado Capilar &gt; Shampoo &gt;</t>
        </is>
      </c>
      <c r="L534" s="10" t="inlineStr">
        <is>
          <t>shampoo</t>
        </is>
      </c>
      <c r="M534" s="10" t="inlineStr">
        <is>
          <t>profesional</t>
        </is>
      </c>
      <c r="N534" s="10" t="inlineStr">
        <is>
          <t>general</t>
        </is>
      </c>
      <c r="O534" s="10" t="inlineStr">
        <is>
          <t>https://www.disco.com.ar/shampoo-pantene-prov-bambu-700ml/p</t>
        </is>
      </c>
    </row>
    <row r="535">
      <c r="A535" t="inlineStr">
        <is>
          <t>Disco</t>
        </is>
      </c>
      <c r="B535" t="n">
        <v>386641</v>
      </c>
      <c r="C535" t="n">
        <v>384920</v>
      </c>
      <c r="D535" t="inlineStr">
        <is>
          <t>Shampoo Head&amp;shoulders Purificación 180ml</t>
        </is>
      </c>
      <c r="E535" t="inlineStr">
        <is>
          <t>HEAD &amp; SHOULDERS</t>
        </is>
      </c>
      <c r="F535" t="n">
        <v>694.29</v>
      </c>
      <c r="G535" t="n">
        <v>57379</v>
      </c>
      <c r="H535" t="b">
        <v>0</v>
      </c>
      <c r="I535" t="n">
        <v>180</v>
      </c>
      <c r="J535" t="n">
        <v>3.8572</v>
      </c>
      <c r="K535" t="inlineStr">
        <is>
          <t>&gt; Perfumería &gt; Cuidado Capilar &gt; Shampoo &gt;</t>
        </is>
      </c>
      <c r="L535" t="inlineStr">
        <is>
          <t>shampoo</t>
        </is>
      </c>
      <c r="M535" t="inlineStr">
        <is>
          <t>estandar</t>
        </is>
      </c>
      <c r="N535" t="inlineStr">
        <is>
          <t>general</t>
        </is>
      </c>
      <c r="O535" t="inlineStr">
        <is>
          <t>https://www.disco.com.ar/shampoo-head-shoulders-purificacion-180ml/p</t>
        </is>
      </c>
    </row>
    <row r="536">
      <c r="A536" s="10" t="inlineStr">
        <is>
          <t>Disco</t>
        </is>
      </c>
      <c r="B536" s="10" t="n">
        <v>386634</v>
      </c>
      <c r="C536" s="10" t="n">
        <v>384913</v>
      </c>
      <c r="D536" s="10" t="inlineStr">
        <is>
          <t>Shampoo Head&amp;shoulders Men 375ml</t>
        </is>
      </c>
      <c r="E536" s="10" t="inlineStr">
        <is>
          <t>HEAD &amp; SHOULDERS</t>
        </is>
      </c>
      <c r="F536" s="10" t="n">
        <v>1176.95</v>
      </c>
      <c r="G536" s="10" t="n">
        <v>97269</v>
      </c>
      <c r="H536" s="10" t="b">
        <v>0</v>
      </c>
      <c r="I536" s="10" t="n">
        <v>375</v>
      </c>
      <c r="J536" s="10" t="n">
        <v>3.1385</v>
      </c>
      <c r="K536" s="10" t="inlineStr">
        <is>
          <t>&gt; Perfumería &gt; Cuidado Capilar &gt; Shampoo &gt;</t>
        </is>
      </c>
      <c r="L536" s="10" t="inlineStr">
        <is>
          <t>shampoo</t>
        </is>
      </c>
      <c r="M536" s="10" t="inlineStr">
        <is>
          <t>estandar</t>
        </is>
      </c>
      <c r="N536" s="10" t="inlineStr">
        <is>
          <t>general</t>
        </is>
      </c>
      <c r="O536" s="10" t="inlineStr">
        <is>
          <t>https://www.disco.com.ar/shampoo-head-shoulders-men-375ml/p</t>
        </is>
      </c>
    </row>
    <row r="537">
      <c r="A537" t="inlineStr">
        <is>
          <t>Disco</t>
        </is>
      </c>
      <c r="B537" t="n">
        <v>386627</v>
      </c>
      <c r="C537" t="n">
        <v>384906</v>
      </c>
      <c r="D537" t="inlineStr">
        <is>
          <t>Shampoo Head&amp;shoulders Manzana 180ml</t>
        </is>
      </c>
      <c r="E537" t="inlineStr">
        <is>
          <t>HEAD &amp; SHOULDERS</t>
        </is>
      </c>
      <c r="F537" t="n">
        <v>5100</v>
      </c>
      <c r="G537" t="n">
        <v>421488</v>
      </c>
      <c r="H537" t="b">
        <v>0</v>
      </c>
      <c r="I537" t="n">
        <v>180</v>
      </c>
      <c r="J537" t="n">
        <v>28.3333</v>
      </c>
      <c r="K537" t="inlineStr">
        <is>
          <t>&gt; Perfumería &gt; Cuidado Capilar &gt; Shampoo &gt;</t>
        </is>
      </c>
      <c r="L537" t="inlineStr">
        <is>
          <t>shampoo</t>
        </is>
      </c>
      <c r="M537" t="inlineStr">
        <is>
          <t>estandar</t>
        </is>
      </c>
      <c r="N537" t="inlineStr">
        <is>
          <t>general</t>
        </is>
      </c>
      <c r="O537" t="inlineStr">
        <is>
          <t>https://www.disco.com.ar/shampoo-head-shoulders-manzana-180ml/p</t>
        </is>
      </c>
    </row>
    <row r="538">
      <c r="A538" s="10" t="inlineStr">
        <is>
          <t>Disco</t>
        </is>
      </c>
      <c r="B538" s="10" t="n">
        <v>386620</v>
      </c>
      <c r="C538" s="10" t="n">
        <v>384899</v>
      </c>
      <c r="D538" s="10" t="inlineStr">
        <is>
          <t>Shampoo Head&amp;shoulders Hidratación 700ml</t>
        </is>
      </c>
      <c r="E538" s="10" t="inlineStr">
        <is>
          <t>HEAD &amp; SHOULDERS</t>
        </is>
      </c>
      <c r="F538" s="10" t="n">
        <v>10540.85</v>
      </c>
      <c r="G538" s="10" t="n">
        <v>871145</v>
      </c>
      <c r="H538" s="10" t="b">
        <v>0</v>
      </c>
      <c r="I538" s="10" t="n">
        <v>700</v>
      </c>
      <c r="J538" s="10" t="n">
        <v>15.0584</v>
      </c>
      <c r="K538" s="10" t="inlineStr">
        <is>
          <t>&gt; Perfumería &gt; Cuidado Capilar &gt; Shampoo &gt;</t>
        </is>
      </c>
      <c r="L538" s="10" t="inlineStr">
        <is>
          <t>shampoo</t>
        </is>
      </c>
      <c r="M538" s="10" t="inlineStr">
        <is>
          <t>estandar</t>
        </is>
      </c>
      <c r="N538" s="10" t="inlineStr">
        <is>
          <t>seco_danado</t>
        </is>
      </c>
      <c r="O538" s="10" t="inlineStr">
        <is>
          <t>https://www.disco.com.ar/shampoo-head-shoulders-hidratacion-700ml/p</t>
        </is>
      </c>
    </row>
    <row r="539">
      <c r="A539" t="inlineStr">
        <is>
          <t>Disco</t>
        </is>
      </c>
      <c r="B539" t="n">
        <v>384235</v>
      </c>
      <c r="C539" t="n">
        <v>382919</v>
      </c>
      <c r="D539" t="inlineStr">
        <is>
          <t>Shampoo Tresemme Matiz Ultravioleta 250ml</t>
        </is>
      </c>
      <c r="E539" t="inlineStr">
        <is>
          <t>TRESEMMÉ</t>
        </is>
      </c>
      <c r="F539" t="n">
        <v>506.29</v>
      </c>
      <c r="G539" t="n">
        <v>41842</v>
      </c>
      <c r="H539" t="b">
        <v>0</v>
      </c>
      <c r="I539" t="n">
        <v>250</v>
      </c>
      <c r="J539" t="n">
        <v>2.0252</v>
      </c>
      <c r="K539" t="inlineStr">
        <is>
          <t>&gt; Perfumería &gt; Cuidado Capilar &gt; Shampoo &gt;</t>
        </is>
      </c>
      <c r="L539" t="inlineStr">
        <is>
          <t>shampoo</t>
        </is>
      </c>
      <c r="M539" t="inlineStr">
        <is>
          <t>estandar</t>
        </is>
      </c>
      <c r="N539" t="inlineStr">
        <is>
          <t>general</t>
        </is>
      </c>
      <c r="O539" t="inlineStr">
        <is>
          <t>https://www.disco.com.ar/shampoo-tresemme-matiz-ultravioleta-250ml/p</t>
        </is>
      </c>
    </row>
    <row r="540">
      <c r="A540" s="10" t="inlineStr">
        <is>
          <t>Disco</t>
        </is>
      </c>
      <c r="B540" s="10" t="n">
        <v>384222</v>
      </c>
      <c r="C540" s="10" t="n">
        <v>382911</v>
      </c>
      <c r="D540" s="10" t="inlineStr">
        <is>
          <t>Shampoo Tresemme Ondas Boho 500ml</t>
        </is>
      </c>
      <c r="E540" s="10" t="inlineStr">
        <is>
          <t>TRESEMMÉ</t>
        </is>
      </c>
      <c r="F540" s="10" t="n">
        <v>1463.69</v>
      </c>
      <c r="G540" s="10" t="n">
        <v>120966</v>
      </c>
      <c r="H540" s="10" t="b">
        <v>0</v>
      </c>
      <c r="I540" s="10" t="n">
        <v>500</v>
      </c>
      <c r="J540" s="10" t="n">
        <v>2.9274</v>
      </c>
      <c r="K540" s="10" t="inlineStr">
        <is>
          <t>&gt; Perfumería &gt; Cuidado Capilar &gt; Shampoo &gt;</t>
        </is>
      </c>
      <c r="L540" s="10" t="inlineStr">
        <is>
          <t>shampoo</t>
        </is>
      </c>
      <c r="M540" s="10" t="inlineStr">
        <is>
          <t>estandar</t>
        </is>
      </c>
      <c r="N540" s="10" t="inlineStr">
        <is>
          <t>general</t>
        </is>
      </c>
      <c r="O540" s="10" t="inlineStr">
        <is>
          <t>https://www.disco.com.ar/shampoo-tresemme-ondas-boho-500ml/p</t>
        </is>
      </c>
    </row>
    <row r="541">
      <c r="A541" t="inlineStr">
        <is>
          <t>Disco</t>
        </is>
      </c>
      <c r="B541" t="n">
        <v>384194</v>
      </c>
      <c r="C541" t="n">
        <v>382895</v>
      </c>
      <c r="D541" t="inlineStr">
        <is>
          <t>Shampoo Tresemme Kera Antifrizz 880ml</t>
        </is>
      </c>
      <c r="E541" t="inlineStr">
        <is>
          <t>TRESEMMÉ</t>
        </is>
      </c>
      <c r="F541" t="n">
        <v>2684.29</v>
      </c>
      <c r="G541" t="n">
        <v>221842</v>
      </c>
      <c r="H541" t="b">
        <v>0</v>
      </c>
      <c r="I541" t="n">
        <v>880</v>
      </c>
      <c r="J541" t="n">
        <v>3.0503</v>
      </c>
      <c r="K541" t="inlineStr">
        <is>
          <t>&gt; Perfumería &gt; Cuidado Capilar &gt; Shampoo &gt;</t>
        </is>
      </c>
      <c r="L541" t="inlineStr">
        <is>
          <t>shampoo</t>
        </is>
      </c>
      <c r="M541" t="inlineStr">
        <is>
          <t>estandar</t>
        </is>
      </c>
      <c r="N541" t="inlineStr">
        <is>
          <t>general</t>
        </is>
      </c>
      <c r="O541" t="inlineStr">
        <is>
          <t>https://www.disco.com.ar/shampoo-tresemme-kera-antifrizz-880ml/p</t>
        </is>
      </c>
    </row>
    <row r="542">
      <c r="A542" s="10" t="inlineStr">
        <is>
          <t>Disco</t>
        </is>
      </c>
      <c r="B542" s="10" t="n">
        <v>384190</v>
      </c>
      <c r="C542" s="10" t="n">
        <v>382891</v>
      </c>
      <c r="D542" s="10" t="inlineStr">
        <is>
          <t>Shampoo Tresemme Cauterización Reparación 880ml</t>
        </is>
      </c>
      <c r="E542" s="10" t="inlineStr">
        <is>
          <t>TRESEMMÉ</t>
        </is>
      </c>
      <c r="F542" s="10" t="n">
        <v>2556.45</v>
      </c>
      <c r="G542" s="10" t="n">
        <v>211277</v>
      </c>
      <c r="H542" s="10" t="b">
        <v>0</v>
      </c>
      <c r="I542" s="10" t="n">
        <v>880</v>
      </c>
      <c r="J542" s="10" t="n">
        <v>2.9051</v>
      </c>
      <c r="K542" s="10" t="inlineStr">
        <is>
          <t>&gt; Perfumería &gt; Cuidado Capilar &gt; Shampoo &gt;</t>
        </is>
      </c>
      <c r="L542" s="10" t="inlineStr">
        <is>
          <t>shampoo</t>
        </is>
      </c>
      <c r="M542" s="10" t="inlineStr">
        <is>
          <t>estandar</t>
        </is>
      </c>
      <c r="N542" s="10" t="inlineStr">
        <is>
          <t>general</t>
        </is>
      </c>
      <c r="O542" s="10" t="inlineStr">
        <is>
          <t>https://www.disco.com.ar/shampoo-tresemme-cauterizacion-reparacion-880ml/p</t>
        </is>
      </c>
    </row>
    <row r="543">
      <c r="A543" t="inlineStr">
        <is>
          <t>Disco</t>
        </is>
      </c>
      <c r="B543" t="n">
        <v>375248</v>
      </c>
      <c r="C543" t="n">
        <v>373966</v>
      </c>
      <c r="D543" t="inlineStr">
        <is>
          <t>Shampoo Fructis Recarga Nutritiva 350ml</t>
        </is>
      </c>
      <c r="E543" t="inlineStr">
        <is>
          <t>FRUCTIS</t>
        </is>
      </c>
      <c r="F543" t="n">
        <v>1259.63</v>
      </c>
      <c r="G543" t="n">
        <v>104102</v>
      </c>
      <c r="H543" t="b">
        <v>0</v>
      </c>
      <c r="I543" t="n">
        <v>350</v>
      </c>
      <c r="J543" t="n">
        <v>3.5989</v>
      </c>
      <c r="K543" t="inlineStr">
        <is>
          <t>&gt; Perfumería &gt; Cuidado Capilar &gt; Shampoo &gt;</t>
        </is>
      </c>
      <c r="L543" t="inlineStr">
        <is>
          <t>shampoo</t>
        </is>
      </c>
      <c r="M543" t="inlineStr">
        <is>
          <t>estandar</t>
        </is>
      </c>
      <c r="N543" t="inlineStr">
        <is>
          <t>general</t>
        </is>
      </c>
      <c r="O543" t="inlineStr">
        <is>
          <t>https://www.disco.com.ar/shampoo-fructis-recarga-nutritiva-350ml-2/p</t>
        </is>
      </c>
    </row>
    <row r="544">
      <c r="A544" s="10" t="inlineStr">
        <is>
          <t>Disco</t>
        </is>
      </c>
      <c r="B544" s="10" t="n">
        <v>375235</v>
      </c>
      <c r="C544" s="10" t="n">
        <v>373953</v>
      </c>
      <c r="D544" s="10" t="inlineStr">
        <is>
          <t>Shampoo Fructis Rizos Poderosos 350ml</t>
        </is>
      </c>
      <c r="E544" s="10" t="inlineStr">
        <is>
          <t>FRUCTIS</t>
        </is>
      </c>
      <c r="F544" s="10" t="n">
        <v>1388.75</v>
      </c>
      <c r="G544" s="10" t="n">
        <v>114773</v>
      </c>
      <c r="H544" s="10" t="b">
        <v>0</v>
      </c>
      <c r="I544" s="10" t="n">
        <v>350</v>
      </c>
      <c r="J544" s="10" t="n">
        <v>3.9679</v>
      </c>
      <c r="K544" s="10" t="inlineStr">
        <is>
          <t>&gt; Perfumería &gt; Cuidado Capilar &gt; Shampoo &gt;</t>
        </is>
      </c>
      <c r="L544" s="10" t="inlineStr">
        <is>
          <t>shampoo</t>
        </is>
      </c>
      <c r="M544" s="10" t="inlineStr">
        <is>
          <t>estandar</t>
        </is>
      </c>
      <c r="N544" s="10" t="inlineStr">
        <is>
          <t>rizado</t>
        </is>
      </c>
      <c r="O544" s="10" t="inlineStr">
        <is>
          <t>https://www.disco.com.ar/shampoo-fructis-rizos-poderosos-350ml-4/p</t>
        </is>
      </c>
    </row>
    <row r="545">
      <c r="A545" t="inlineStr">
        <is>
          <t>Disco</t>
        </is>
      </c>
      <c r="B545" t="n">
        <v>375231</v>
      </c>
      <c r="C545" t="n">
        <v>373949</v>
      </c>
      <c r="D545" t="inlineStr">
        <is>
          <t>Shampoo Fructis Rizo Manejable 200ml</t>
        </is>
      </c>
      <c r="E545" t="inlineStr">
        <is>
          <t>FRUCTIS</t>
        </is>
      </c>
      <c r="F545" t="n">
        <v>947.35</v>
      </c>
      <c r="G545" t="n">
        <v>78293</v>
      </c>
      <c r="H545" t="b">
        <v>0</v>
      </c>
      <c r="I545" t="n">
        <v>200</v>
      </c>
      <c r="J545" t="n">
        <v>4.7367</v>
      </c>
      <c r="K545" t="inlineStr">
        <is>
          <t>&gt; Perfumería &gt; Cuidado Capilar &gt; Shampoo &gt;</t>
        </is>
      </c>
      <c r="L545" t="inlineStr">
        <is>
          <t>shampoo</t>
        </is>
      </c>
      <c r="M545" t="inlineStr">
        <is>
          <t>estandar</t>
        </is>
      </c>
      <c r="N545" t="inlineStr">
        <is>
          <t>general</t>
        </is>
      </c>
      <c r="O545" t="inlineStr">
        <is>
          <t>https://www.disco.com.ar/shampoo-fructis-rizo-manejable-200ml/p</t>
        </is>
      </c>
    </row>
    <row r="546">
      <c r="A546" s="10" t="inlineStr">
        <is>
          <t>Disco</t>
        </is>
      </c>
      <c r="B546" s="10" t="n">
        <v>349047</v>
      </c>
      <c r="C546" s="10" t="n">
        <v>347710</v>
      </c>
      <c r="D546" s="10" t="inlineStr">
        <is>
          <t>Shampoo Dove Oleo Nutricion 750ml</t>
        </is>
      </c>
      <c r="E546" s="10" t="inlineStr">
        <is>
          <t>DOVE</t>
        </is>
      </c>
      <c r="F546" s="10" t="n">
        <v>1352.37</v>
      </c>
      <c r="G546" s="10" t="n">
        <v>111766</v>
      </c>
      <c r="H546" s="10" t="b">
        <v>0</v>
      </c>
      <c r="I546" s="10" t="n">
        <v>750</v>
      </c>
      <c r="J546" s="10" t="n">
        <v>1.8032</v>
      </c>
      <c r="K546" s="10" t="inlineStr">
        <is>
          <t>&gt; Perfumería &gt; Cuidado Capilar &gt; Shampoo &gt;</t>
        </is>
      </c>
      <c r="L546" s="10" t="inlineStr">
        <is>
          <t>shampoo</t>
        </is>
      </c>
      <c r="M546" s="10" t="inlineStr">
        <is>
          <t>estandar</t>
        </is>
      </c>
      <c r="N546" s="10" t="inlineStr">
        <is>
          <t>general</t>
        </is>
      </c>
      <c r="O546" s="10" t="inlineStr">
        <is>
          <t>https://www.disco.com.ar/shampoo-dove-oleo-nutricion-750ml-2/p</t>
        </is>
      </c>
    </row>
    <row r="547">
      <c r="A547" t="inlineStr">
        <is>
          <t>Disco</t>
        </is>
      </c>
      <c r="B547" t="n">
        <v>347699</v>
      </c>
      <c r="C547" t="n">
        <v>346374</v>
      </c>
      <c r="D547" t="inlineStr">
        <is>
          <t>Shampoo Sedal Restauracion Instantanea 300ml</t>
        </is>
      </c>
      <c r="E547" t="inlineStr">
        <is>
          <t>SEDAL</t>
        </is>
      </c>
      <c r="F547" t="n">
        <v>420.05</v>
      </c>
      <c r="G547" t="n">
        <v>34715</v>
      </c>
      <c r="H547" t="b">
        <v>0</v>
      </c>
      <c r="I547" t="n">
        <v>300</v>
      </c>
      <c r="J547" t="n">
        <v>1.4002</v>
      </c>
      <c r="K547" t="inlineStr">
        <is>
          <t>&gt; Perfumería &gt; Cuidado Capilar &gt; Shampoo &gt;</t>
        </is>
      </c>
      <c r="L547" t="inlineStr">
        <is>
          <t>shampoo</t>
        </is>
      </c>
      <c r="M547" t="inlineStr">
        <is>
          <t>estandar</t>
        </is>
      </c>
      <c r="N547" t="inlineStr">
        <is>
          <t>general</t>
        </is>
      </c>
      <c r="O547" t="inlineStr">
        <is>
          <t>https://www.disco.com.ar/shampoo-sedal-restauracion-instantanea-300ml-2/p</t>
        </is>
      </c>
    </row>
    <row r="548">
      <c r="A548" s="10" t="inlineStr">
        <is>
          <t>Disco</t>
        </is>
      </c>
      <c r="B548" s="10" t="n">
        <v>347678</v>
      </c>
      <c r="C548" s="10" t="n">
        <v>346351</v>
      </c>
      <c r="D548" s="10" t="inlineStr">
        <is>
          <t>Shampoo  Sedal  Ceramidas  650 Ml</t>
        </is>
      </c>
      <c r="E548" s="10" t="inlineStr">
        <is>
          <t>SEDAL</t>
        </is>
      </c>
      <c r="F548" s="10" t="n">
        <v>880.05</v>
      </c>
      <c r="G548" s="10" t="n">
        <v>72731</v>
      </c>
      <c r="H548" s="10" t="b">
        <v>0</v>
      </c>
      <c r="I548" s="10" t="n">
        <v>650</v>
      </c>
      <c r="J548" s="10" t="n">
        <v>1.3539</v>
      </c>
      <c r="K548" s="10" t="inlineStr">
        <is>
          <t>&gt; Perfumería &gt; Cuidado Capilar &gt; Shampoo &gt;</t>
        </is>
      </c>
      <c r="L548" s="10" t="inlineStr">
        <is>
          <t>shampoo</t>
        </is>
      </c>
      <c r="M548" s="10" t="inlineStr">
        <is>
          <t>estandar</t>
        </is>
      </c>
      <c r="N548" s="10" t="inlineStr">
        <is>
          <t>general</t>
        </is>
      </c>
      <c r="O548" s="10" t="inlineStr">
        <is>
          <t>https://www.disco.com.ar/shampoo-sedal-ceramidas-650-ml/p</t>
        </is>
      </c>
    </row>
    <row r="549">
      <c r="A549" t="inlineStr">
        <is>
          <t>Disco</t>
        </is>
      </c>
      <c r="B549" t="n">
        <v>346831</v>
      </c>
      <c r="C549" t="n">
        <v>345506</v>
      </c>
      <c r="D549" t="inlineStr">
        <is>
          <t>Shampoo Elvive Caida Resist 400ml</t>
        </is>
      </c>
      <c r="E549" t="inlineStr">
        <is>
          <t>ELVIVE</t>
        </is>
      </c>
      <c r="F549" t="n">
        <v>1077.33</v>
      </c>
      <c r="G549" t="n">
        <v>89036</v>
      </c>
      <c r="H549" t="b">
        <v>0</v>
      </c>
      <c r="I549" t="n">
        <v>400</v>
      </c>
      <c r="J549" t="n">
        <v>2.6933</v>
      </c>
      <c r="K549" t="inlineStr">
        <is>
          <t>&gt; Perfumería &gt; Cuidado Capilar &gt; Shampoo &gt;</t>
        </is>
      </c>
      <c r="L549" t="inlineStr">
        <is>
          <t>shampoo</t>
        </is>
      </c>
      <c r="M549" t="inlineStr">
        <is>
          <t>profesional</t>
        </is>
      </c>
      <c r="N549" t="inlineStr">
        <is>
          <t>general</t>
        </is>
      </c>
      <c r="O549" t="inlineStr">
        <is>
          <t>https://www.disco.com.ar/shampoo-elvive-caida-resist-400ml/p</t>
        </is>
      </c>
    </row>
    <row r="550">
      <c r="A550" s="10" t="inlineStr">
        <is>
          <t>Disco</t>
        </is>
      </c>
      <c r="B550" s="10" t="n">
        <v>346767</v>
      </c>
      <c r="C550" s="10" t="n">
        <v>345442</v>
      </c>
      <c r="D550" s="10" t="inlineStr">
        <is>
          <t>Shampoo Elvive Arcilla Purificante 750ml</t>
        </is>
      </c>
      <c r="E550" s="10" t="inlineStr">
        <is>
          <t>ELVIVE</t>
        </is>
      </c>
      <c r="F550" s="10" t="n">
        <v>1604.37</v>
      </c>
      <c r="G550" s="10" t="n">
        <v>132593</v>
      </c>
      <c r="H550" s="10" t="b">
        <v>0</v>
      </c>
      <c r="I550" s="10" t="n">
        <v>750</v>
      </c>
      <c r="J550" s="10" t="n">
        <v>2.1392</v>
      </c>
      <c r="K550" s="10" t="inlineStr">
        <is>
          <t>&gt; Perfumería &gt; Cuidado Capilar &gt; Shampoo &gt;</t>
        </is>
      </c>
      <c r="L550" s="10" t="inlineStr">
        <is>
          <t>shampoo</t>
        </is>
      </c>
      <c r="M550" s="10" t="inlineStr">
        <is>
          <t>profesional</t>
        </is>
      </c>
      <c r="N550" s="10" t="inlineStr">
        <is>
          <t>general</t>
        </is>
      </c>
      <c r="O550" s="10" t="inlineStr">
        <is>
          <t>https://www.disco.com.ar/shampoo-elvive-arcilla-purificante-750ml/p</t>
        </is>
      </c>
    </row>
    <row r="551">
      <c r="A551" t="inlineStr">
        <is>
          <t>Disco</t>
        </is>
      </c>
      <c r="B551" t="n">
        <v>344034</v>
      </c>
      <c r="C551" t="n">
        <v>342719</v>
      </c>
      <c r="D551" t="inlineStr">
        <is>
          <t>Shampoo Sedal Bomba Argan 190ml...</t>
        </is>
      </c>
      <c r="E551" t="inlineStr">
        <is>
          <t>SEDAL</t>
        </is>
      </c>
      <c r="F551" t="n">
        <v>359.35</v>
      </c>
      <c r="G551" t="n">
        <v>29698</v>
      </c>
      <c r="H551" t="b">
        <v>0</v>
      </c>
      <c r="I551" t="n">
        <v>190</v>
      </c>
      <c r="J551" t="n">
        <v>1.8913</v>
      </c>
      <c r="K551" t="inlineStr">
        <is>
          <t>&gt; Perfumería &gt; Cuidado Capilar &gt; Shampoo &gt;</t>
        </is>
      </c>
      <c r="L551" t="inlineStr">
        <is>
          <t>shampoo</t>
        </is>
      </c>
      <c r="M551" t="inlineStr">
        <is>
          <t>estandar</t>
        </is>
      </c>
      <c r="N551" t="inlineStr">
        <is>
          <t>general</t>
        </is>
      </c>
      <c r="O551" t="inlineStr">
        <is>
          <t>https://www.disco.com.ar/shampoo-sedal-bomba-argan-190ml-3/p</t>
        </is>
      </c>
    </row>
    <row r="552">
      <c r="A552" s="10" t="inlineStr">
        <is>
          <t>Disco</t>
        </is>
      </c>
      <c r="B552" s="10" t="n">
        <v>341810</v>
      </c>
      <c r="C552" s="10" t="n">
        <v>340497</v>
      </c>
      <c r="D552" s="10" t="inlineStr">
        <is>
          <t>Shampoo Head&amp;shoulders Sensitive 700ml</t>
        </is>
      </c>
      <c r="E552" s="10" t="inlineStr">
        <is>
          <t>HEAD &amp; SHOULDERS</t>
        </is>
      </c>
      <c r="F552" s="10" t="n">
        <v>1115.39</v>
      </c>
      <c r="G552" s="10" t="n">
        <v>92181</v>
      </c>
      <c r="H552" s="10" t="b">
        <v>0</v>
      </c>
      <c r="I552" s="10" t="n">
        <v>700</v>
      </c>
      <c r="J552" s="10" t="n">
        <v>1.5934</v>
      </c>
      <c r="K552" s="10" t="inlineStr">
        <is>
          <t>&gt; Perfumería &gt; Cuidado Capilar &gt; Shampoo &gt;</t>
        </is>
      </c>
      <c r="L552" s="10" t="inlineStr">
        <is>
          <t>shampoo</t>
        </is>
      </c>
      <c r="M552" s="10" t="inlineStr">
        <is>
          <t>estandar</t>
        </is>
      </c>
      <c r="N552" s="10" t="inlineStr">
        <is>
          <t>general</t>
        </is>
      </c>
      <c r="O552" s="10" t="inlineStr">
        <is>
          <t>https://www.disco.com.ar/shampoo-head-shoulders-sensitive-700ml-2/p</t>
        </is>
      </c>
    </row>
    <row r="553">
      <c r="A553" t="inlineStr">
        <is>
          <t>Disco</t>
        </is>
      </c>
      <c r="B553" t="n">
        <v>339248</v>
      </c>
      <c r="C553" t="n">
        <v>337933</v>
      </c>
      <c r="D553" t="inlineStr">
        <is>
          <t>Shampoo Botikpuro Extra Suave Eco</t>
        </is>
      </c>
      <c r="E553" t="inlineStr">
        <is>
          <t>BOTIK PURO</t>
        </is>
      </c>
      <c r="F553" t="n">
        <v>5376.67</v>
      </c>
      <c r="G553" t="n">
        <v>444353</v>
      </c>
      <c r="H553" t="b">
        <v>0</v>
      </c>
      <c r="I553" t="inlineStr"/>
      <c r="J553" t="inlineStr"/>
      <c r="K553" t="inlineStr">
        <is>
          <t>&gt; Perfumería &gt; Cuidado Capilar &gt; Shampoo &gt;</t>
        </is>
      </c>
      <c r="L553" t="inlineStr">
        <is>
          <t>shampoo</t>
        </is>
      </c>
      <c r="M553" t="inlineStr">
        <is>
          <t>estandar</t>
        </is>
      </c>
      <c r="N553" t="inlineStr">
        <is>
          <t>bebe</t>
        </is>
      </c>
      <c r="O553" t="inlineStr">
        <is>
          <t>https://www.disco.com.ar/shampoo-botikpuro-extra-suave-eco-2/p</t>
        </is>
      </c>
    </row>
    <row r="554">
      <c r="A554" s="10" t="inlineStr">
        <is>
          <t>Disco</t>
        </is>
      </c>
      <c r="B554" s="10" t="n">
        <v>338992</v>
      </c>
      <c r="C554" s="10" t="n">
        <v>316525</v>
      </c>
      <c r="D554" s="10" t="inlineStr">
        <is>
          <t>Shampoo Suave Aloe Detox 930ml Shampoo Suave Aloe Detox 930 Ml</t>
        </is>
      </c>
      <c r="E554" s="10" t="inlineStr">
        <is>
          <t>SUAVE</t>
        </is>
      </c>
      <c r="F554" s="10" t="n">
        <v>322.89</v>
      </c>
      <c r="G554" s="10" t="n">
        <v>26685</v>
      </c>
      <c r="H554" s="10" t="b">
        <v>0</v>
      </c>
      <c r="I554" s="10" t="n">
        <v>930</v>
      </c>
      <c r="J554" s="10" t="n">
        <v>0.3472</v>
      </c>
      <c r="K554" s="10" t="inlineStr">
        <is>
          <t>&gt; Perfumería &gt; Cuidado Capilar &gt; Shampoo &gt;</t>
        </is>
      </c>
      <c r="L554" s="10" t="inlineStr">
        <is>
          <t>shampoo</t>
        </is>
      </c>
      <c r="M554" s="10" t="inlineStr">
        <is>
          <t>estandar</t>
        </is>
      </c>
      <c r="N554" s="10" t="inlineStr">
        <is>
          <t>bebe</t>
        </is>
      </c>
      <c r="O554" s="10" t="inlineStr">
        <is>
          <t>https://www.disco.com.ar/shampoo-suave-aloe-detox-930ml/p</t>
        </is>
      </c>
    </row>
    <row r="555">
      <c r="A555" t="inlineStr">
        <is>
          <t>Disco</t>
        </is>
      </c>
      <c r="B555" t="n">
        <v>338987</v>
      </c>
      <c r="C555" t="n">
        <v>316520</v>
      </c>
      <c r="D555" t="inlineStr">
        <is>
          <t>Shampoo Suave Fuerza Nutritiva 930ml</t>
        </is>
      </c>
      <c r="E555" t="inlineStr">
        <is>
          <t>SUAVE</t>
        </is>
      </c>
      <c r="F555" t="n">
        <v>339.05</v>
      </c>
      <c r="G555" t="n">
        <v>28021</v>
      </c>
      <c r="H555" t="b">
        <v>0</v>
      </c>
      <c r="I555" t="n">
        <v>930</v>
      </c>
      <c r="J555" t="n">
        <v>0.3646</v>
      </c>
      <c r="K555" t="inlineStr">
        <is>
          <t>&gt; Perfumería &gt; Cuidado Capilar &gt; Shampoo &gt;</t>
        </is>
      </c>
      <c r="L555" t="inlineStr">
        <is>
          <t>shampoo</t>
        </is>
      </c>
      <c r="M555" t="inlineStr">
        <is>
          <t>estandar</t>
        </is>
      </c>
      <c r="N555" t="inlineStr">
        <is>
          <t>bebe</t>
        </is>
      </c>
      <c r="O555" t="inlineStr">
        <is>
          <t>https://www.disco.com.ar/shampoo-suave-fuerza-nutritiva-930ml/p</t>
        </is>
      </c>
    </row>
    <row r="556">
      <c r="A556" s="10" t="inlineStr">
        <is>
          <t>Disco</t>
        </is>
      </c>
      <c r="B556" s="10" t="n">
        <v>337419</v>
      </c>
      <c r="C556" s="10" t="n">
        <v>336522</v>
      </c>
      <c r="D556" s="10" t="inlineStr">
        <is>
          <t>Shampoo Dove Regeneracion Extrema 200ml</t>
        </is>
      </c>
      <c r="E556" s="10" t="inlineStr">
        <is>
          <t>DOVE</t>
        </is>
      </c>
      <c r="F556" s="10" t="n">
        <v>398.39</v>
      </c>
      <c r="G556" s="10" t="n">
        <v>32925</v>
      </c>
      <c r="H556" s="10" t="b">
        <v>0</v>
      </c>
      <c r="I556" s="10" t="n">
        <v>200</v>
      </c>
      <c r="J556" s="10" t="n">
        <v>1.9919</v>
      </c>
      <c r="K556" s="10" t="inlineStr">
        <is>
          <t>&gt; Perfumería &gt; Cuidado Capilar &gt; Shampoo &gt;</t>
        </is>
      </c>
      <c r="L556" s="10" t="inlineStr">
        <is>
          <t>shampoo</t>
        </is>
      </c>
      <c r="M556" s="10" t="inlineStr">
        <is>
          <t>estandar</t>
        </is>
      </c>
      <c r="N556" s="10" t="inlineStr">
        <is>
          <t>general</t>
        </is>
      </c>
      <c r="O556" s="10" t="inlineStr">
        <is>
          <t>https://www.disco.com.ar/shampoo-dove-regeneracion-extrema-200ml-2/p</t>
        </is>
      </c>
    </row>
    <row r="557">
      <c r="A557" t="inlineStr">
        <is>
          <t>Disco</t>
        </is>
      </c>
      <c r="B557" t="n">
        <v>331660</v>
      </c>
      <c r="C557" t="n">
        <v>330818</v>
      </c>
      <c r="D557" t="inlineStr">
        <is>
          <t>Elvive Shampoo Hidra Hialuronico 750ml</t>
        </is>
      </c>
      <c r="E557" t="inlineStr">
        <is>
          <t>ELVIVE</t>
        </is>
      </c>
      <c r="F557" t="n">
        <v>6900</v>
      </c>
      <c r="G557" t="n">
        <v>570248</v>
      </c>
      <c r="H557" t="b">
        <v>0</v>
      </c>
      <c r="I557" t="n">
        <v>750</v>
      </c>
      <c r="J557" t="n">
        <v>9.199999999999999</v>
      </c>
      <c r="K557" t="inlineStr">
        <is>
          <t>&gt; Perfumería &gt; Cuidado Capilar &gt; Shampoo &gt;</t>
        </is>
      </c>
      <c r="L557" t="inlineStr">
        <is>
          <t>shampoo</t>
        </is>
      </c>
      <c r="M557" t="inlineStr">
        <is>
          <t>profesional</t>
        </is>
      </c>
      <c r="N557" t="inlineStr">
        <is>
          <t>general</t>
        </is>
      </c>
      <c r="O557" t="inlineStr">
        <is>
          <t>https://www.disco.com.ar/elvive-shampoo-hidra-hialuronico-750ml/p</t>
        </is>
      </c>
    </row>
    <row r="558">
      <c r="A558" s="10" t="inlineStr">
        <is>
          <t>Disco</t>
        </is>
      </c>
      <c r="B558" s="10" t="n">
        <v>330753</v>
      </c>
      <c r="C558" s="10" t="n">
        <v>329501</v>
      </c>
      <c r="D558" s="10" t="inlineStr">
        <is>
          <t>Shampoo Johnson Baby Original 750</t>
        </is>
      </c>
      <c r="E558" s="10" t="inlineStr">
        <is>
          <t>JOHNSON BABY</t>
        </is>
      </c>
      <c r="F558" s="10" t="n">
        <v>1719.49</v>
      </c>
      <c r="G558" s="10" t="n">
        <v>142107</v>
      </c>
      <c r="H558" s="10" t="b">
        <v>0</v>
      </c>
      <c r="I558" s="10" t="inlineStr"/>
      <c r="J558" s="10" t="inlineStr"/>
      <c r="K558" s="10" t="inlineStr">
        <is>
          <t>&gt; Mundo Bebe &gt; Higiene para el Bebe &gt; Higiene del Bebé &gt;</t>
        </is>
      </c>
      <c r="L558" s="10" t="inlineStr">
        <is>
          <t>shampoo</t>
        </is>
      </c>
      <c r="M558" s="10" t="inlineStr">
        <is>
          <t>estandar</t>
        </is>
      </c>
      <c r="N558" s="10" t="inlineStr">
        <is>
          <t>general</t>
        </is>
      </c>
      <c r="O558" s="10" t="inlineStr">
        <is>
          <t>https://www.disco.com.ar/shampoo-johnson-baby-original-750/p</t>
        </is>
      </c>
    </row>
    <row r="559">
      <c r="A559" t="inlineStr">
        <is>
          <t>Disco</t>
        </is>
      </c>
      <c r="B559" t="n">
        <v>330726</v>
      </c>
      <c r="C559" t="n">
        <v>329474</v>
      </c>
      <c r="D559" t="inlineStr">
        <is>
          <t>Shampoo Johnson Baby Manzanilla 200</t>
        </is>
      </c>
      <c r="E559" t="inlineStr">
        <is>
          <t>JOHNSON BABY</t>
        </is>
      </c>
      <c r="F559" t="n">
        <v>593.1900000000001</v>
      </c>
      <c r="G559" t="n">
        <v>49024</v>
      </c>
      <c r="H559" t="b">
        <v>0</v>
      </c>
      <c r="I559" t="inlineStr"/>
      <c r="J559" t="inlineStr"/>
      <c r="K559" t="inlineStr">
        <is>
          <t>&gt; Mundo Bebe &gt; Higiene para el Bebe &gt; Higiene del Bebé &gt;</t>
        </is>
      </c>
      <c r="L559" t="inlineStr">
        <is>
          <t>shampoo</t>
        </is>
      </c>
      <c r="M559" t="inlineStr">
        <is>
          <t>estandar</t>
        </is>
      </c>
      <c r="N559" t="inlineStr">
        <is>
          <t>general</t>
        </is>
      </c>
      <c r="O559" t="inlineStr">
        <is>
          <t>https://www.disco.com.ar/shampoo-johnson-baby-manzanilla-200/p</t>
        </is>
      </c>
    </row>
    <row r="560">
      <c r="A560" s="10" t="inlineStr">
        <is>
          <t>Disco</t>
        </is>
      </c>
      <c r="B560" s="10" t="n">
        <v>330716</v>
      </c>
      <c r="C560" s="10" t="n">
        <v>329464</v>
      </c>
      <c r="D560" s="10" t="inlineStr">
        <is>
          <t>Shampoo Johnson Baby Manzanilla 750</t>
        </is>
      </c>
      <c r="E560" s="10" t="inlineStr">
        <is>
          <t>JOHNSON BABY</t>
        </is>
      </c>
      <c r="F560" s="10" t="n">
        <v>1658.49</v>
      </c>
      <c r="G560" s="10" t="n">
        <v>137065</v>
      </c>
      <c r="H560" s="10" t="b">
        <v>0</v>
      </c>
      <c r="I560" s="10" t="inlineStr"/>
      <c r="J560" s="10" t="inlineStr"/>
      <c r="K560" s="10" t="inlineStr">
        <is>
          <t>&gt; Mundo Bebe &gt; Higiene para el Bebe &gt; Higiene del Bebé &gt;</t>
        </is>
      </c>
      <c r="L560" s="10" t="inlineStr">
        <is>
          <t>shampoo</t>
        </is>
      </c>
      <c r="M560" s="10" t="inlineStr">
        <is>
          <t>estandar</t>
        </is>
      </c>
      <c r="N560" s="10" t="inlineStr">
        <is>
          <t>general</t>
        </is>
      </c>
      <c r="O560" s="10" t="inlineStr">
        <is>
          <t>https://www.disco.com.ar/shampoo-johnson-baby-manzanilla-750/p</t>
        </is>
      </c>
    </row>
    <row r="561">
      <c r="A561" t="inlineStr">
        <is>
          <t>Disco</t>
        </is>
      </c>
      <c r="B561" t="n">
        <v>313290</v>
      </c>
      <c r="C561" t="n">
        <v>312528</v>
      </c>
      <c r="D561" t="inlineStr">
        <is>
          <t>Shampoo Biferdil Alisado 300 Ml</t>
        </is>
      </c>
      <c r="E561" t="inlineStr">
        <is>
          <t>BIFERDIL</t>
        </is>
      </c>
      <c r="F561" t="n">
        <v>18550</v>
      </c>
      <c r="G561" t="n">
        <v>1533058</v>
      </c>
      <c r="H561" t="b">
        <v>0</v>
      </c>
      <c r="I561" t="n">
        <v>300</v>
      </c>
      <c r="J561" t="n">
        <v>61.8333</v>
      </c>
      <c r="K561" t="inlineStr">
        <is>
          <t>&gt; Perfumería &gt; Cuidado Capilar &gt; Shampoo &gt;</t>
        </is>
      </c>
      <c r="L561" t="inlineStr">
        <is>
          <t>shampoo</t>
        </is>
      </c>
      <c r="M561" t="inlineStr">
        <is>
          <t>estandar</t>
        </is>
      </c>
      <c r="N561" t="inlineStr">
        <is>
          <t>tratado</t>
        </is>
      </c>
      <c r="O561" t="inlineStr">
        <is>
          <t>https://www.disco.com.ar/shampoo-biferdil-alisado-300-ml/p</t>
        </is>
      </c>
    </row>
    <row r="562">
      <c r="A562" s="10" t="inlineStr">
        <is>
          <t>Disco</t>
        </is>
      </c>
      <c r="B562" s="10" t="n">
        <v>312933</v>
      </c>
      <c r="C562" s="10" t="n">
        <v>312171</v>
      </c>
      <c r="D562" s="10" t="inlineStr">
        <is>
          <t>Shampoo Biferdil Bioxidil 250 Ml</t>
        </is>
      </c>
      <c r="E562" s="10" t="inlineStr">
        <is>
          <t>BIFERDIL</t>
        </is>
      </c>
      <c r="F562" s="10" t="n">
        <v>23650</v>
      </c>
      <c r="G562" s="10" t="n">
        <v>1954545</v>
      </c>
      <c r="H562" s="10" t="b">
        <v>0</v>
      </c>
      <c r="I562" s="10" t="n">
        <v>250</v>
      </c>
      <c r="J562" s="10" t="n">
        <v>94.59999999999999</v>
      </c>
      <c r="K562" s="10" t="inlineStr">
        <is>
          <t>&gt; Perfumería &gt; Cuidado Capilar &gt; Shampoo &gt;</t>
        </is>
      </c>
      <c r="L562" s="10" t="inlineStr">
        <is>
          <t>shampoo</t>
        </is>
      </c>
      <c r="M562" s="10" t="inlineStr">
        <is>
          <t>estandar</t>
        </is>
      </c>
      <c r="N562" s="10" t="inlineStr">
        <is>
          <t>general</t>
        </is>
      </c>
      <c r="O562" s="10" t="inlineStr">
        <is>
          <t>https://www.disco.com.ar/shampoo-biferdil-bioxidil-250-ml/p</t>
        </is>
      </c>
    </row>
    <row r="563">
      <c r="A563" t="inlineStr">
        <is>
          <t>Disco</t>
        </is>
      </c>
      <c r="B563" t="n">
        <v>309884</v>
      </c>
      <c r="C563" t="n">
        <v>309121</v>
      </c>
      <c r="D563" t="inlineStr">
        <is>
          <t>Shampoo Swing Reparintens 200 Ml</t>
        </is>
      </c>
      <c r="E563" t="inlineStr">
        <is>
          <t>SWING</t>
        </is>
      </c>
      <c r="F563" t="n">
        <v>63.05</v>
      </c>
      <c r="G563" t="n">
        <v>5211</v>
      </c>
      <c r="H563" t="b">
        <v>0</v>
      </c>
      <c r="I563" t="n">
        <v>200</v>
      </c>
      <c r="J563" t="n">
        <v>0.3152</v>
      </c>
      <c r="K563" t="inlineStr">
        <is>
          <t>&gt; Perfumería &gt; Cuidado Capilar &gt; Shampoo &gt;</t>
        </is>
      </c>
      <c r="L563" t="inlineStr">
        <is>
          <t>shampoo</t>
        </is>
      </c>
      <c r="M563" t="inlineStr">
        <is>
          <t>estandar</t>
        </is>
      </c>
      <c r="N563" t="inlineStr">
        <is>
          <t>general</t>
        </is>
      </c>
      <c r="O563" t="inlineStr">
        <is>
          <t>https://www.disco.com.ar/shampoo-swing-reparintens-200-ml/p</t>
        </is>
      </c>
    </row>
    <row r="564">
      <c r="A564" s="10" t="inlineStr">
        <is>
          <t>Disco</t>
        </is>
      </c>
      <c r="B564" s="10" t="n">
        <v>300154</v>
      </c>
      <c r="C564" s="10" t="n">
        <v>299372</v>
      </c>
      <c r="D564" s="10" t="inlineStr">
        <is>
          <t>Shampoo Dove Fuerza Vital 400ml</t>
        </is>
      </c>
      <c r="E564" s="10" t="inlineStr">
        <is>
          <t>DOVE</t>
        </is>
      </c>
      <c r="F564" s="10" t="n">
        <v>244.89</v>
      </c>
      <c r="G564" s="10" t="n">
        <v>20239</v>
      </c>
      <c r="H564" s="10" t="b">
        <v>0</v>
      </c>
      <c r="I564" s="10" t="n">
        <v>400</v>
      </c>
      <c r="J564" s="10" t="n">
        <v>0.6122</v>
      </c>
      <c r="K564" s="10" t="inlineStr">
        <is>
          <t>&gt; Perfumería &gt; Cuidado Capilar &gt; Shampoo &gt;</t>
        </is>
      </c>
      <c r="L564" s="10" t="inlineStr">
        <is>
          <t>shampoo</t>
        </is>
      </c>
      <c r="M564" s="10" t="inlineStr">
        <is>
          <t>estandar</t>
        </is>
      </c>
      <c r="N564" s="10" t="inlineStr">
        <is>
          <t>general</t>
        </is>
      </c>
      <c r="O564" s="10" t="inlineStr">
        <is>
          <t>https://www.disco.com.ar/shampoo-dove-fuerza-vital-400ml/p</t>
        </is>
      </c>
    </row>
    <row r="565">
      <c r="A565" t="inlineStr">
        <is>
          <t>Disco</t>
        </is>
      </c>
      <c r="B565" t="n">
        <v>263631</v>
      </c>
      <c r="C565" t="n">
        <v>263351</v>
      </c>
      <c r="D565" t="inlineStr">
        <is>
          <t>Shampoo Dove Oleo Micelar 400ml</t>
        </is>
      </c>
      <c r="E565" t="inlineStr">
        <is>
          <t>DOVE</t>
        </is>
      </c>
      <c r="F565" t="n">
        <v>244.89</v>
      </c>
      <c r="G565" t="n">
        <v>20239</v>
      </c>
      <c r="H565" t="b">
        <v>0</v>
      </c>
      <c r="I565" t="n">
        <v>400</v>
      </c>
      <c r="J565" t="n">
        <v>0.6122</v>
      </c>
      <c r="K565" t="inlineStr">
        <is>
          <t>&gt; Perfumería &gt; Cuidado Capilar &gt; Shampoo &gt;</t>
        </is>
      </c>
      <c r="L565" t="inlineStr">
        <is>
          <t>shampoo</t>
        </is>
      </c>
      <c r="M565" t="inlineStr">
        <is>
          <t>estandar</t>
        </is>
      </c>
      <c r="N565" t="inlineStr">
        <is>
          <t>general</t>
        </is>
      </c>
      <c r="O565" t="inlineStr">
        <is>
          <t>https://www.disco.com.ar/shampoo-dove-oleo-micelar-400ml/p</t>
        </is>
      </c>
    </row>
    <row r="566">
      <c r="A566" s="10" t="inlineStr">
        <is>
          <t>Disco</t>
        </is>
      </c>
      <c r="B566" s="10" t="n">
        <v>254987</v>
      </c>
      <c r="C566" s="10" t="n">
        <v>254281</v>
      </c>
      <c r="D566" s="10" t="inlineStr">
        <is>
          <t>Shampoo Fructis Liso Coco 200ml</t>
        </is>
      </c>
      <c r="E566" s="10" t="inlineStr">
        <is>
          <t>FRUCTIS</t>
        </is>
      </c>
      <c r="F566" s="10" t="n">
        <v>261.69</v>
      </c>
      <c r="G566" s="10" t="n">
        <v>21627</v>
      </c>
      <c r="H566" s="10" t="b">
        <v>0</v>
      </c>
      <c r="I566" s="10" t="n">
        <v>200</v>
      </c>
      <c r="J566" s="10" t="n">
        <v>1.3084</v>
      </c>
      <c r="K566" s="10" t="inlineStr">
        <is>
          <t>&gt; Perfumería &gt; Cuidado Capilar &gt; Shampoo &gt;</t>
        </is>
      </c>
      <c r="L566" s="10" t="inlineStr">
        <is>
          <t>shampoo</t>
        </is>
      </c>
      <c r="M566" s="10" t="inlineStr">
        <is>
          <t>estandar</t>
        </is>
      </c>
      <c r="N566" s="10" t="inlineStr">
        <is>
          <t>general</t>
        </is>
      </c>
      <c r="O566" s="10" t="inlineStr">
        <is>
          <t>https://www.disco.com.ar/shampoo-fructis-liso-coco-200ml/p</t>
        </is>
      </c>
    </row>
    <row r="567">
      <c r="A567" t="inlineStr">
        <is>
          <t>Disco</t>
        </is>
      </c>
      <c r="B567" t="n">
        <v>247602</v>
      </c>
      <c r="C567" t="n">
        <v>244280</v>
      </c>
      <c r="D567" t="inlineStr">
        <is>
          <t>Shampoo Tresemme Bajo Poo 400ml</t>
        </is>
      </c>
      <c r="E567" t="inlineStr">
        <is>
          <t>TRESEMMÉ</t>
        </is>
      </c>
      <c r="F567" t="n">
        <v>283.29</v>
      </c>
      <c r="G567" t="n">
        <v>23412</v>
      </c>
      <c r="H567" t="b">
        <v>0</v>
      </c>
      <c r="I567" t="n">
        <v>400</v>
      </c>
      <c r="J567" t="n">
        <v>0.7082000000000001</v>
      </c>
      <c r="K567" t="inlineStr">
        <is>
          <t>&gt; Perfumería &gt; Cuidado Capilar &gt; Shampoo &gt;</t>
        </is>
      </c>
      <c r="L567" t="inlineStr">
        <is>
          <t>shampoo</t>
        </is>
      </c>
      <c r="M567" t="inlineStr">
        <is>
          <t>estandar</t>
        </is>
      </c>
      <c r="N567" t="inlineStr">
        <is>
          <t>general</t>
        </is>
      </c>
      <c r="O567" t="inlineStr">
        <is>
          <t>https://www.disco.com.ar/shampoo-tresemme-bajo-poo-400ml/p</t>
        </is>
      </c>
    </row>
    <row r="568">
      <c r="A568" s="10" t="inlineStr">
        <is>
          <t>Disco</t>
        </is>
      </c>
      <c r="B568" s="10" t="n">
        <v>236098</v>
      </c>
      <c r="C568" s="10" t="n">
        <v>204999</v>
      </c>
      <c r="D568" s="10" t="inlineStr">
        <is>
          <t>Shampoo Nenin Color  Pck 2u</t>
        </is>
      </c>
      <c r="E568" s="10" t="inlineStr">
        <is>
          <t>NENIN</t>
        </is>
      </c>
      <c r="F568" s="10" t="n">
        <v>5.89</v>
      </c>
      <c r="G568" s="10" t="n">
        <v>5.89</v>
      </c>
      <c r="H568" s="10" t="b">
        <v>0</v>
      </c>
      <c r="I568" s="10" t="inlineStr"/>
      <c r="J568" s="10" t="inlineStr"/>
      <c r="K568" s="10" t="inlineStr">
        <is>
          <t>&gt; Perfumería &gt; Cuidado Capilar &gt; Shampoo &gt;</t>
        </is>
      </c>
      <c r="L568" s="10" t="inlineStr">
        <is>
          <t>shampoo</t>
        </is>
      </c>
      <c r="M568" s="10" t="inlineStr">
        <is>
          <t>estandar</t>
        </is>
      </c>
      <c r="N568" s="10" t="inlineStr">
        <is>
          <t>tratado</t>
        </is>
      </c>
      <c r="O568" s="10" t="inlineStr">
        <is>
          <t>https://www.disco.com.ar/shampoo-nenin-color-pck-2u-271537/p</t>
        </is>
      </c>
    </row>
    <row r="569">
      <c r="A569" t="inlineStr">
        <is>
          <t>Disco</t>
        </is>
      </c>
      <c r="B569" t="n">
        <v>215565</v>
      </c>
      <c r="C569" t="n">
        <v>232203</v>
      </c>
      <c r="D569" t="inlineStr">
        <is>
          <t>Shampoo Elvive Cosmetico  2 U</t>
        </is>
      </c>
      <c r="E569" t="inlineStr">
        <is>
          <t>ELVIVE</t>
        </is>
      </c>
      <c r="F569" t="n">
        <v>15.05</v>
      </c>
      <c r="G569" t="n">
        <v>15.05</v>
      </c>
      <c r="H569" t="b">
        <v>0</v>
      </c>
      <c r="I569" t="inlineStr"/>
      <c r="J569" t="inlineStr"/>
      <c r="K569" t="inlineStr">
        <is>
          <t>&gt; Perfumería &gt; Cuidado Capilar &gt; Shampoo &gt;</t>
        </is>
      </c>
      <c r="L569" t="inlineStr">
        <is>
          <t>shampoo</t>
        </is>
      </c>
      <c r="M569" t="inlineStr">
        <is>
          <t>profesional</t>
        </is>
      </c>
      <c r="N569" t="inlineStr">
        <is>
          <t>general</t>
        </is>
      </c>
      <c r="O569" t="inlineStr">
        <is>
          <t>https://www.disco.com.ar/shampoo-elvive-cosmetico-2-u-2-248126/p</t>
        </is>
      </c>
    </row>
    <row r="570">
      <c r="A570" s="10" t="inlineStr">
        <is>
          <t>Disco</t>
        </is>
      </c>
      <c r="B570" s="10" t="n">
        <v>213665</v>
      </c>
      <c r="C570" s="10" t="n">
        <v>233939</v>
      </c>
      <c r="D570" s="10" t="inlineStr">
        <is>
          <t>Shampoo Pantene-restauración-pvc-ml.-500</t>
        </is>
      </c>
      <c r="E570" s="10" t="inlineStr">
        <is>
          <t>PANTENE</t>
        </is>
      </c>
      <c r="F570" s="10" t="n">
        <v>17.39</v>
      </c>
      <c r="G570" s="10" t="n">
        <v>17.39</v>
      </c>
      <c r="H570" s="10" t="b">
        <v>0</v>
      </c>
      <c r="I570" s="10" t="inlineStr"/>
      <c r="J570" s="10" t="inlineStr"/>
      <c r="K570" s="10" t="inlineStr">
        <is>
          <t>&gt; Perfumería &gt; Cuidado Capilar &gt; Shampoo &gt;</t>
        </is>
      </c>
      <c r="L570" s="10" t="inlineStr">
        <is>
          <t>shampoo</t>
        </is>
      </c>
      <c r="M570" s="10" t="inlineStr">
        <is>
          <t>estandar</t>
        </is>
      </c>
      <c r="N570" s="10" t="inlineStr">
        <is>
          <t>general</t>
        </is>
      </c>
      <c r="O570" s="10" t="inlineStr">
        <is>
          <t>https://www.disco.com.ar/shampoo-pantene-restauracion-pvc-ml-500-375625/p</t>
        </is>
      </c>
    </row>
    <row r="571">
      <c r="A571" t="inlineStr">
        <is>
          <t>Disco</t>
        </is>
      </c>
      <c r="B571" t="n">
        <v>184208</v>
      </c>
      <c r="C571" t="n">
        <v>207563</v>
      </c>
      <c r="D571" t="inlineStr">
        <is>
          <t>Shampoo Anticaspa Head &amp; Shoulders</t>
        </is>
      </c>
      <c r="E571" t="inlineStr">
        <is>
          <t>HEAD &amp; SHOULDERS</t>
        </is>
      </c>
      <c r="F571" t="n">
        <v>25.19</v>
      </c>
      <c r="G571" t="n">
        <v>25.19</v>
      </c>
      <c r="H571" t="b">
        <v>0</v>
      </c>
      <c r="I571" t="inlineStr"/>
      <c r="J571" t="inlineStr"/>
      <c r="K571" t="inlineStr">
        <is>
          <t>&gt; Perfumería &gt; Cuidado Capilar &gt; Shampoo &gt;</t>
        </is>
      </c>
      <c r="L571" t="inlineStr">
        <is>
          <t>shampoo</t>
        </is>
      </c>
      <c r="M571" t="inlineStr">
        <is>
          <t>estandar</t>
        </is>
      </c>
      <c r="N571" t="inlineStr">
        <is>
          <t>anticaspa</t>
        </is>
      </c>
      <c r="O571" t="inlineStr">
        <is>
          <t>https://www.disco.com.ar/shampoo-anticaspa-head-shoulders-51-287032/p</t>
        </is>
      </c>
    </row>
    <row r="572">
      <c r="A572" s="10" t="inlineStr">
        <is>
          <t>Disco</t>
        </is>
      </c>
      <c r="B572" s="10" t="n">
        <v>155217</v>
      </c>
      <c r="C572" s="10" t="n">
        <v>152787</v>
      </c>
      <c r="D572" s="10" t="inlineStr">
        <is>
          <t>Shampoo Plusbelle Familiar-pvc-ml.-200</t>
        </is>
      </c>
      <c r="E572" s="10" t="inlineStr">
        <is>
          <t>PLUSBELLE</t>
        </is>
      </c>
      <c r="F572" s="10" t="n">
        <v>8.529999999999999</v>
      </c>
      <c r="G572" s="10" t="n">
        <v>705</v>
      </c>
      <c r="H572" s="10" t="b">
        <v>0</v>
      </c>
      <c r="I572" s="10" t="inlineStr"/>
      <c r="J572" s="10" t="inlineStr"/>
      <c r="K572" s="10" t="inlineStr">
        <is>
          <t>&gt; Perfumería &gt; Cuidado Capilar &gt; Shampoo &gt;</t>
        </is>
      </c>
      <c r="L572" s="10" t="inlineStr">
        <is>
          <t>shampoo</t>
        </is>
      </c>
      <c r="M572" s="10" t="inlineStr">
        <is>
          <t>estandar</t>
        </is>
      </c>
      <c r="N572" s="10" t="inlineStr">
        <is>
          <t>general</t>
        </is>
      </c>
      <c r="O572" s="10" t="inlineStr">
        <is>
          <t>https://www.disco.com.ar/shampoo-plusbelle-familiar-pvc-ml-200-2/p</t>
        </is>
      </c>
    </row>
    <row r="573">
      <c r="A573" t="inlineStr">
        <is>
          <t>Disco</t>
        </is>
      </c>
      <c r="B573" t="n">
        <v>141000</v>
      </c>
      <c r="C573" t="n">
        <v>137910</v>
      </c>
      <c r="D573" t="inlineStr">
        <is>
          <t>Shampoo Vo5-equilibrante-paq-un.-2</t>
        </is>
      </c>
      <c r="E573" t="inlineStr">
        <is>
          <t>VO5</t>
        </is>
      </c>
      <c r="F573" t="n">
        <v>12.49</v>
      </c>
      <c r="G573" t="n">
        <v>12.49</v>
      </c>
      <c r="H573" t="b">
        <v>0</v>
      </c>
      <c r="I573" t="inlineStr"/>
      <c r="J573" t="inlineStr"/>
      <c r="K573" t="inlineStr">
        <is>
          <t>&gt; Perfumería &gt; Cuidado Capilar &gt; Shampoo &gt;</t>
        </is>
      </c>
      <c r="L573" t="inlineStr">
        <is>
          <t>shampoo</t>
        </is>
      </c>
      <c r="M573" t="inlineStr">
        <is>
          <t>estandar</t>
        </is>
      </c>
      <c r="N573" t="inlineStr">
        <is>
          <t>general</t>
        </is>
      </c>
      <c r="O573" t="inlineStr">
        <is>
          <t>https://www.disco.com.ar/shampoo-vo5-equilibrante-paq-un-2-2/p</t>
        </is>
      </c>
    </row>
    <row r="574">
      <c r="A574" s="10" t="inlineStr">
        <is>
          <t>Disco</t>
        </is>
      </c>
      <c r="B574" s="10" t="n">
        <v>132224</v>
      </c>
      <c r="C574" s="10" t="n">
        <v>129140</v>
      </c>
      <c r="D574" s="10" t="inlineStr">
        <is>
          <t>Pantene Shampoo Hidratacion Balanceada 200ml</t>
        </is>
      </c>
      <c r="E574" s="10" t="inlineStr">
        <is>
          <t>PANTENE</t>
        </is>
      </c>
      <c r="F574" s="10" t="n">
        <v>24.67</v>
      </c>
      <c r="G574" s="10" t="n">
        <v>2039</v>
      </c>
      <c r="H574" s="10" t="b">
        <v>0</v>
      </c>
      <c r="I574" s="10" t="n">
        <v>200</v>
      </c>
      <c r="J574" s="10" t="n">
        <v>0.1234</v>
      </c>
      <c r="K574" s="10" t="inlineStr">
        <is>
          <t>&gt; Perfumería &gt; Cuidado Capilar &gt; Shampoo &gt;</t>
        </is>
      </c>
      <c r="L574" s="10" t="inlineStr">
        <is>
          <t>shampoo</t>
        </is>
      </c>
      <c r="M574" s="10" t="inlineStr">
        <is>
          <t>estandar</t>
        </is>
      </c>
      <c r="N574" s="10" t="inlineStr">
        <is>
          <t>seco_danado</t>
        </is>
      </c>
      <c r="O574" s="10" t="inlineStr">
        <is>
          <t>https://www.disco.com.ar/pantene-shampoo-hidratacion-balanceada-200ml/p</t>
        </is>
      </c>
    </row>
    <row r="575">
      <c r="A575" t="inlineStr">
        <is>
          <t>Disco</t>
        </is>
      </c>
      <c r="B575" t="n">
        <v>130621</v>
      </c>
      <c r="C575" t="n">
        <v>127550</v>
      </c>
      <c r="D575" t="inlineStr">
        <is>
          <t>Shampoo Pantene Fusión Naturaleza 200 Ml</t>
        </is>
      </c>
      <c r="E575" t="inlineStr">
        <is>
          <t>PANTENE</t>
        </is>
      </c>
      <c r="F575" t="n">
        <v>24.67</v>
      </c>
      <c r="G575" t="n">
        <v>2039</v>
      </c>
      <c r="H575" t="b">
        <v>0</v>
      </c>
      <c r="I575" t="n">
        <v>200</v>
      </c>
      <c r="J575" t="n">
        <v>0.1234</v>
      </c>
      <c r="K575" t="inlineStr">
        <is>
          <t>&gt; Perfumería &gt; Cuidado Capilar &gt; Shampoo &gt;</t>
        </is>
      </c>
      <c r="L575" t="inlineStr">
        <is>
          <t>shampoo</t>
        </is>
      </c>
      <c r="M575" t="inlineStr">
        <is>
          <t>estandar</t>
        </is>
      </c>
      <c r="N575" t="inlineStr">
        <is>
          <t>general</t>
        </is>
      </c>
      <c r="O575" t="inlineStr">
        <is>
          <t>https://www.disco.com.ar/shampoo-pantene-fusion-naturaleza-200-ml-2/p</t>
        </is>
      </c>
    </row>
    <row r="576">
      <c r="A576" s="10" t="inlineStr">
        <is>
          <t>Disco</t>
        </is>
      </c>
      <c r="B576" s="10" t="n">
        <v>117746</v>
      </c>
      <c r="C576" s="10" t="n">
        <v>116784</v>
      </c>
      <c r="D576" s="10" t="inlineStr">
        <is>
          <t>Shampoo Dove X 200 Ml Shampoo Dove Advanced Therapy Control Quiebre X 200 Ml</t>
        </is>
      </c>
      <c r="E576" s="10" t="inlineStr">
        <is>
          <t>DOVE</t>
        </is>
      </c>
      <c r="F576" s="10" t="n">
        <v>15.09</v>
      </c>
      <c r="G576" s="10" t="n">
        <v>15.09</v>
      </c>
      <c r="H576" s="10" t="b">
        <v>0</v>
      </c>
      <c r="I576" s="10" t="n">
        <v>200</v>
      </c>
      <c r="J576" s="10" t="n">
        <v>0.0755</v>
      </c>
      <c r="K576" s="10" t="inlineStr">
        <is>
          <t>&gt; Perfumería &gt; Cuidado Capilar &gt; Shampoo &gt;</t>
        </is>
      </c>
      <c r="L576" s="10" t="inlineStr">
        <is>
          <t>shampoo</t>
        </is>
      </c>
      <c r="M576" s="10" t="inlineStr">
        <is>
          <t>estandar</t>
        </is>
      </c>
      <c r="N576" s="10" t="inlineStr">
        <is>
          <t>general</t>
        </is>
      </c>
      <c r="O576" s="10" t="inlineStr">
        <is>
          <t>https://www.disco.com.ar/shampoo-dove-x-200-ml/p</t>
        </is>
      </c>
    </row>
    <row r="577">
      <c r="A577" t="inlineStr">
        <is>
          <t>Disco</t>
        </is>
      </c>
      <c r="B577" t="n">
        <v>115906</v>
      </c>
      <c r="C577" t="n">
        <v>114950</v>
      </c>
      <c r="D577" t="inlineStr">
        <is>
          <t>Shampoo Anticaspa Head &amp; Shoulders Head &amp; Shoulders Shampoo Citrusfresh 700ml</t>
        </is>
      </c>
      <c r="E577" t="inlineStr">
        <is>
          <t>HEAD &amp; SHOULDERS</t>
        </is>
      </c>
      <c r="F577" t="n">
        <v>135.89</v>
      </c>
      <c r="G577" t="n">
        <v>11231</v>
      </c>
      <c r="H577" t="b">
        <v>0</v>
      </c>
      <c r="I577" t="n">
        <v>700</v>
      </c>
      <c r="J577" t="n">
        <v>0.1941</v>
      </c>
      <c r="K577" t="inlineStr">
        <is>
          <t>&gt; Perfumería &gt; Cuidado Capilar &gt; Shampoo &gt;</t>
        </is>
      </c>
      <c r="L577" t="inlineStr">
        <is>
          <t>shampoo</t>
        </is>
      </c>
      <c r="M577" t="inlineStr">
        <is>
          <t>estandar</t>
        </is>
      </c>
      <c r="N577" t="inlineStr">
        <is>
          <t>anticaspa</t>
        </is>
      </c>
      <c r="O577" t="inlineStr">
        <is>
          <t>https://www.disco.com.ar/shampoo-anticaspa-head-shoulders-3-2/p</t>
        </is>
      </c>
    </row>
    <row r="578">
      <c r="A578" s="10" t="inlineStr">
        <is>
          <t>Disco</t>
        </is>
      </c>
      <c r="B578" s="10" t="n">
        <v>62550</v>
      </c>
      <c r="C578" s="10" t="n">
        <v>59699</v>
      </c>
      <c r="D578" s="10" t="inlineStr">
        <is>
          <t>Shampoo Flex X 250 Ml</t>
        </is>
      </c>
      <c r="E578" s="10" t="inlineStr">
        <is>
          <t>FLEX</t>
        </is>
      </c>
      <c r="F578" s="10" t="n">
        <v>6.09</v>
      </c>
      <c r="G578" s="10" t="n">
        <v>6.09</v>
      </c>
      <c r="H578" s="10" t="b">
        <v>0</v>
      </c>
      <c r="I578" s="10" t="n">
        <v>250</v>
      </c>
      <c r="J578" s="10" t="n">
        <v>0.0244</v>
      </c>
      <c r="K578" s="10" t="inlineStr">
        <is>
          <t>&gt; Perfumería &gt; Cuidado Capilar &gt; Shampoo &gt;</t>
        </is>
      </c>
      <c r="L578" s="10" t="inlineStr">
        <is>
          <t>shampoo</t>
        </is>
      </c>
      <c r="M578" s="10" t="inlineStr">
        <is>
          <t>estandar</t>
        </is>
      </c>
      <c r="N578" s="10" t="inlineStr">
        <is>
          <t>general</t>
        </is>
      </c>
      <c r="O578" s="10" t="inlineStr">
        <is>
          <t>https://www.disco.com.ar/shampoo-flex-x-250-ml-3/p</t>
        </is>
      </c>
    </row>
    <row r="579">
      <c r="A579" t="inlineStr">
        <is>
          <t>Disco</t>
        </is>
      </c>
      <c r="B579" t="n">
        <v>57735</v>
      </c>
      <c r="C579" t="n">
        <v>54892</v>
      </c>
      <c r="D579" t="inlineStr">
        <is>
          <t>Shampoo Sedal Pvc 350 Ml</t>
        </is>
      </c>
      <c r="E579" t="inlineStr">
        <is>
          <t>SEDAL</t>
        </is>
      </c>
      <c r="F579" t="n">
        <v>8.390000000000001</v>
      </c>
      <c r="G579" t="n">
        <v>693</v>
      </c>
      <c r="H579" t="b">
        <v>0</v>
      </c>
      <c r="I579" t="n">
        <v>350</v>
      </c>
      <c r="J579" t="n">
        <v>0.024</v>
      </c>
      <c r="K579" t="inlineStr">
        <is>
          <t>&gt; Perfumería &gt; Cuidado Capilar &gt; Shampoo &gt;</t>
        </is>
      </c>
      <c r="L579" t="inlineStr">
        <is>
          <t>shampoo</t>
        </is>
      </c>
      <c r="M579" t="inlineStr">
        <is>
          <t>estandar</t>
        </is>
      </c>
      <c r="N579" t="inlineStr">
        <is>
          <t>general</t>
        </is>
      </c>
      <c r="O579" t="inlineStr">
        <is>
          <t>https://www.disco.com.ar/shampoo-sedal-pvc-350-ml/p</t>
        </is>
      </c>
    </row>
    <row r="580">
      <c r="A580" s="10" t="inlineStr">
        <is>
          <t>Disco</t>
        </is>
      </c>
      <c r="B580" s="10" t="n">
        <v>55312</v>
      </c>
      <c r="C580" s="10" t="n">
        <v>52472</v>
      </c>
      <c r="D580" s="10" t="inlineStr">
        <is>
          <t>Shampoo Suave Pvc 350 Ml</t>
        </is>
      </c>
      <c r="E580" s="10" t="inlineStr">
        <is>
          <t>SUAVE</t>
        </is>
      </c>
      <c r="F580" s="10" t="n">
        <v>3.25</v>
      </c>
      <c r="G580" s="10" t="n">
        <v>3.25</v>
      </c>
      <c r="H580" s="10" t="b">
        <v>0</v>
      </c>
      <c r="I580" s="10" t="n">
        <v>350</v>
      </c>
      <c r="J580" s="10" t="n">
        <v>0.009299999999999999</v>
      </c>
      <c r="K580" s="10" t="inlineStr">
        <is>
          <t>&gt; Perfumería &gt; Cuidado Capilar &gt; Shampoo &gt;</t>
        </is>
      </c>
      <c r="L580" s="10" t="inlineStr">
        <is>
          <t>shampoo</t>
        </is>
      </c>
      <c r="M580" s="10" t="inlineStr">
        <is>
          <t>estandar</t>
        </is>
      </c>
      <c r="N580" s="10" t="inlineStr">
        <is>
          <t>bebe</t>
        </is>
      </c>
      <c r="O580" s="10" t="inlineStr">
        <is>
          <t>https://www.disco.com.ar/shampoo-suave-pvc-350-ml-4/p</t>
        </is>
      </c>
    </row>
    <row r="581">
      <c r="A581" t="inlineStr">
        <is>
          <t>Disco</t>
        </is>
      </c>
      <c r="B581" t="n">
        <v>44248</v>
      </c>
      <c r="C581" t="n">
        <v>41421</v>
      </c>
      <c r="D581" t="inlineStr">
        <is>
          <t>Shampoo Elvive Oleo Extraordinario 400ml</t>
        </is>
      </c>
      <c r="E581" t="inlineStr">
        <is>
          <t>ELVIVE</t>
        </is>
      </c>
      <c r="F581" t="n">
        <v>470.17</v>
      </c>
      <c r="G581" t="n">
        <v>38857</v>
      </c>
      <c r="H581" t="b">
        <v>0</v>
      </c>
      <c r="I581" t="n">
        <v>400</v>
      </c>
      <c r="J581" t="n">
        <v>1.1754</v>
      </c>
      <c r="K581" t="inlineStr">
        <is>
          <t>&gt; Perfumería &gt; Cuidado Capilar &gt; Shampoo &gt;</t>
        </is>
      </c>
      <c r="L581" t="inlineStr">
        <is>
          <t>shampoo</t>
        </is>
      </c>
      <c r="M581" t="inlineStr">
        <is>
          <t>profesional</t>
        </is>
      </c>
      <c r="N581" t="inlineStr">
        <is>
          <t>general</t>
        </is>
      </c>
      <c r="O581" t="inlineStr">
        <is>
          <t>https://www.disco.com.ar/shampoo-elvive-oleo-extraordinario-400ml-2/p</t>
        </is>
      </c>
    </row>
    <row r="582">
      <c r="A582" s="10" t="inlineStr">
        <is>
          <t>Disco</t>
        </is>
      </c>
      <c r="B582" s="10" t="n">
        <v>43768</v>
      </c>
      <c r="C582" s="10" t="n">
        <v>40939</v>
      </c>
      <c r="D582" s="10" t="inlineStr">
        <is>
          <t>Shampoo Life Quality Algas 950ml</t>
        </is>
      </c>
      <c r="E582" s="10" t="inlineStr">
        <is>
          <t>LIFE QUALITY</t>
        </is>
      </c>
      <c r="F582" s="10" t="n">
        <v>1150</v>
      </c>
      <c r="G582" s="10" t="n">
        <v>95041</v>
      </c>
      <c r="H582" s="10" t="b">
        <v>0</v>
      </c>
      <c r="I582" s="10" t="n">
        <v>950</v>
      </c>
      <c r="J582" s="10" t="n">
        <v>1.2105</v>
      </c>
      <c r="K582" s="10" t="inlineStr">
        <is>
          <t>&gt; Perfumería &gt; Cuidado Capilar &gt; Shampoo &gt;</t>
        </is>
      </c>
      <c r="L582" s="10" t="inlineStr">
        <is>
          <t>shampoo</t>
        </is>
      </c>
      <c r="M582" s="10" t="inlineStr">
        <is>
          <t>estandar</t>
        </is>
      </c>
      <c r="N582" s="10" t="inlineStr">
        <is>
          <t>general</t>
        </is>
      </c>
      <c r="O582" s="10" t="inlineStr">
        <is>
          <t>https://www.disco.com.ar/shampoo-life-quality-algas-950ml/p</t>
        </is>
      </c>
    </row>
    <row r="583">
      <c r="A583" t="inlineStr">
        <is>
          <t>Disco</t>
        </is>
      </c>
      <c r="B583" t="n">
        <v>43263</v>
      </c>
      <c r="C583" t="n">
        <v>40434</v>
      </c>
      <c r="D583" t="inlineStr">
        <is>
          <t>Shampoo Suave Lavanda 930 Ml</t>
        </is>
      </c>
      <c r="E583" t="inlineStr">
        <is>
          <t>SUAVE</t>
        </is>
      </c>
      <c r="F583" t="n">
        <v>37.17</v>
      </c>
      <c r="G583" t="n">
        <v>3072</v>
      </c>
      <c r="H583" t="b">
        <v>0</v>
      </c>
      <c r="I583" t="n">
        <v>930</v>
      </c>
      <c r="J583" t="n">
        <v>0.04</v>
      </c>
      <c r="K583" t="inlineStr">
        <is>
          <t>&gt; Perfumería &gt; Cuidado Capilar &gt; Shampoo &gt;</t>
        </is>
      </c>
      <c r="L583" t="inlineStr">
        <is>
          <t>shampoo</t>
        </is>
      </c>
      <c r="M583" t="inlineStr">
        <is>
          <t>estandar</t>
        </is>
      </c>
      <c r="N583" t="inlineStr">
        <is>
          <t>bebe</t>
        </is>
      </c>
      <c r="O583" t="inlineStr">
        <is>
          <t>https://www.disco.com.ar/shampoo-suave-lavanda-930-ml/p</t>
        </is>
      </c>
    </row>
    <row r="584">
      <c r="A584" s="10" t="inlineStr">
        <is>
          <t>Disco</t>
        </is>
      </c>
      <c r="B584" s="10" t="n">
        <v>41561</v>
      </c>
      <c r="C584" s="10" t="n">
        <v>38726</v>
      </c>
      <c r="D584" s="10" t="inlineStr">
        <is>
          <t>Shampoo Fructis Goodbye Daños 200ml</t>
        </is>
      </c>
      <c r="E584" s="10" t="inlineStr">
        <is>
          <t>FRUCTIS</t>
        </is>
      </c>
      <c r="F584" s="10" t="n">
        <v>397.25</v>
      </c>
      <c r="G584" s="10" t="n">
        <v>32831</v>
      </c>
      <c r="H584" s="10" t="b">
        <v>0</v>
      </c>
      <c r="I584" s="10" t="n">
        <v>200</v>
      </c>
      <c r="J584" s="10" t="n">
        <v>1.9863</v>
      </c>
      <c r="K584" s="10" t="inlineStr">
        <is>
          <t>&gt; Perfumería &gt; Cuidado Capilar &gt; Shampoo &gt;</t>
        </is>
      </c>
      <c r="L584" s="10" t="inlineStr">
        <is>
          <t>shampoo</t>
        </is>
      </c>
      <c r="M584" s="10" t="inlineStr">
        <is>
          <t>estandar</t>
        </is>
      </c>
      <c r="N584" s="10" t="inlineStr">
        <is>
          <t>general</t>
        </is>
      </c>
      <c r="O584" s="10" t="inlineStr">
        <is>
          <t>https://www.disco.com.ar/shampoo-fructis-goodbye-danos-200ml/p</t>
        </is>
      </c>
    </row>
    <row r="585">
      <c r="A585" t="inlineStr">
        <is>
          <t>Disco</t>
        </is>
      </c>
      <c r="B585" t="n">
        <v>31471</v>
      </c>
      <c r="C585" t="n">
        <v>28630</v>
      </c>
      <c r="D585" t="inlineStr">
        <is>
          <t>Shampoo Elvive Color Vive 200ml</t>
        </is>
      </c>
      <c r="E585" t="inlineStr">
        <is>
          <t>ELVIVE</t>
        </is>
      </c>
      <c r="F585" t="n">
        <v>330.19</v>
      </c>
      <c r="G585" t="n">
        <v>27288</v>
      </c>
      <c r="H585" t="b">
        <v>0</v>
      </c>
      <c r="I585" t="n">
        <v>200</v>
      </c>
      <c r="J585" t="n">
        <v>1.6509</v>
      </c>
      <c r="K585" t="inlineStr">
        <is>
          <t>&gt; Perfumería &gt; Cuidado Capilar &gt; Shampoo &gt;</t>
        </is>
      </c>
      <c r="L585" t="inlineStr">
        <is>
          <t>shampoo</t>
        </is>
      </c>
      <c r="M585" t="inlineStr">
        <is>
          <t>profesional</t>
        </is>
      </c>
      <c r="N585" t="inlineStr">
        <is>
          <t>tratado</t>
        </is>
      </c>
      <c r="O585" t="inlineStr">
        <is>
          <t>https://www.disco.com.ar/shampoo-elvive-color-vive-200ml/p</t>
        </is>
      </c>
    </row>
    <row r="586">
      <c r="A586" s="10" t="inlineStr">
        <is>
          <t>Disco</t>
        </is>
      </c>
      <c r="B586" s="10" t="n">
        <v>31248</v>
      </c>
      <c r="C586" s="10" t="n">
        <v>28407</v>
      </c>
      <c r="D586" s="10" t="inlineStr">
        <is>
          <t>Shampoo Elvive Kera Liso750ml</t>
        </is>
      </c>
      <c r="E586" s="10" t="inlineStr">
        <is>
          <t>ELVIVE</t>
        </is>
      </c>
      <c r="F586" s="10" t="n">
        <v>683.47</v>
      </c>
      <c r="G586" s="10" t="n">
        <v>56485</v>
      </c>
      <c r="H586" s="10" t="b">
        <v>0</v>
      </c>
      <c r="I586" s="10" t="n">
        <v>750</v>
      </c>
      <c r="J586" s="10" t="n">
        <v>0.9113</v>
      </c>
      <c r="K586" s="10" t="inlineStr">
        <is>
          <t>&gt; Perfumería &gt; Cuidado Capilar &gt; Shampoo &gt;</t>
        </is>
      </c>
      <c r="L586" s="10" t="inlineStr">
        <is>
          <t>shampoo</t>
        </is>
      </c>
      <c r="M586" s="10" t="inlineStr">
        <is>
          <t>profesional</t>
        </is>
      </c>
      <c r="N586" s="10" t="inlineStr">
        <is>
          <t>general</t>
        </is>
      </c>
      <c r="O586" s="10" t="inlineStr">
        <is>
          <t>https://www.disco.com.ar/shampoo-elvive-kera-liso750ml/p</t>
        </is>
      </c>
    </row>
    <row r="587">
      <c r="A587" t="inlineStr">
        <is>
          <t>Disco</t>
        </is>
      </c>
      <c r="B587" t="n">
        <v>31007</v>
      </c>
      <c r="C587" t="n">
        <v>28166</v>
      </c>
      <c r="D587" t="inlineStr">
        <is>
          <t>Shampoo Elvive Caida Resist 200ml</t>
        </is>
      </c>
      <c r="E587" t="inlineStr">
        <is>
          <t>ELVIVE</t>
        </is>
      </c>
      <c r="F587" t="n">
        <v>266.59</v>
      </c>
      <c r="G587" t="n">
        <v>22032</v>
      </c>
      <c r="H587" t="b">
        <v>0</v>
      </c>
      <c r="I587" t="n">
        <v>200</v>
      </c>
      <c r="J587" t="n">
        <v>1.3329</v>
      </c>
      <c r="K587" t="inlineStr">
        <is>
          <t>&gt; Perfumería &gt; Cuidado Capilar &gt; Shampoo &gt;</t>
        </is>
      </c>
      <c r="L587" t="inlineStr">
        <is>
          <t>shampoo</t>
        </is>
      </c>
      <c r="M587" t="inlineStr">
        <is>
          <t>profesional</t>
        </is>
      </c>
      <c r="N587" t="inlineStr">
        <is>
          <t>general</t>
        </is>
      </c>
      <c r="O587" t="inlineStr">
        <is>
          <t>https://www.disco.com.ar/shampoo-elvive-caida-resist-200ml/p</t>
        </is>
      </c>
    </row>
    <row r="588">
      <c r="A588" s="10" t="inlineStr">
        <is>
          <t>Disco</t>
        </is>
      </c>
      <c r="B588" s="10" t="n">
        <v>29637</v>
      </c>
      <c r="C588" s="10" t="n">
        <v>26799</v>
      </c>
      <c r="D588" s="10" t="inlineStr">
        <is>
          <t>Shampoo Herbal Ess Alborotalo 300ml Shampoo Herbal Essences Alborótalos 300 Ml</t>
        </is>
      </c>
      <c r="E588" s="10" t="inlineStr">
        <is>
          <t>HERBAL ESSENCES</t>
        </is>
      </c>
      <c r="F588" s="10" t="n">
        <v>162.43</v>
      </c>
      <c r="G588" s="10" t="n">
        <v>13424</v>
      </c>
      <c r="H588" s="10" t="b">
        <v>0</v>
      </c>
      <c r="I588" s="10" t="n">
        <v>300</v>
      </c>
      <c r="J588" s="10" t="n">
        <v>0.5414</v>
      </c>
      <c r="K588" s="10" t="inlineStr">
        <is>
          <t>&gt; Perfumería &gt; Cuidado Capilar &gt; Shampoo &gt;</t>
        </is>
      </c>
      <c r="L588" s="10" t="inlineStr">
        <is>
          <t>shampoo</t>
        </is>
      </c>
      <c r="M588" s="10" t="inlineStr">
        <is>
          <t>estandar</t>
        </is>
      </c>
      <c r="N588" s="10" t="inlineStr">
        <is>
          <t>general</t>
        </is>
      </c>
      <c r="O588" s="10" t="inlineStr">
        <is>
          <t>https://www.disco.com.ar/shampoo-herbal-ess-alborotalo-300ml/p</t>
        </is>
      </c>
    </row>
    <row r="589">
      <c r="A589" t="inlineStr">
        <is>
          <t>Disco</t>
        </is>
      </c>
      <c r="B589" t="n">
        <v>22427</v>
      </c>
      <c r="C589" t="n">
        <v>19589</v>
      </c>
      <c r="D589" t="inlineStr">
        <is>
          <t>Shampoo Elvive Rizos Hidratados 400ml</t>
        </is>
      </c>
      <c r="E589" t="inlineStr">
        <is>
          <t>ELVIVE</t>
        </is>
      </c>
      <c r="F589" t="n">
        <v>470.17</v>
      </c>
      <c r="G589" t="n">
        <v>38857</v>
      </c>
      <c r="H589" t="b">
        <v>0</v>
      </c>
      <c r="I589" t="n">
        <v>400</v>
      </c>
      <c r="J589" t="n">
        <v>1.1754</v>
      </c>
      <c r="K589" t="inlineStr">
        <is>
          <t>&gt; Perfumería &gt; Cuidado Capilar &gt; Shampoo &gt;</t>
        </is>
      </c>
      <c r="L589" t="inlineStr">
        <is>
          <t>shampoo</t>
        </is>
      </c>
      <c r="M589" t="inlineStr">
        <is>
          <t>profesional</t>
        </is>
      </c>
      <c r="N589" t="inlineStr">
        <is>
          <t>rizado</t>
        </is>
      </c>
      <c r="O589" t="inlineStr">
        <is>
          <t>https://www.disco.com.ar/shampoo-elvive-rizos-hidratados-400ml/p</t>
        </is>
      </c>
    </row>
    <row r="590">
      <c r="A590" s="10" t="inlineStr">
        <is>
          <t>Disco</t>
        </is>
      </c>
      <c r="B590" s="10" t="n">
        <v>19654</v>
      </c>
      <c r="C590" s="10" t="n">
        <v>16817</v>
      </c>
      <c r="D590" s="10" t="inlineStr">
        <is>
          <t>Shampoo Sedal Bomba De Nutrición 340ml</t>
        </is>
      </c>
      <c r="E590" s="10" t="inlineStr">
        <is>
          <t>SEDAL</t>
        </is>
      </c>
      <c r="F590" s="10" t="n">
        <v>155.69</v>
      </c>
      <c r="G590" s="10" t="n">
        <v>12867</v>
      </c>
      <c r="H590" s="10" t="b">
        <v>0</v>
      </c>
      <c r="I590" s="10" t="n">
        <v>340</v>
      </c>
      <c r="J590" s="10" t="n">
        <v>0.4579</v>
      </c>
      <c r="K590" s="10" t="inlineStr">
        <is>
          <t>&gt; Perfumería &gt; Cuidado Capilar &gt; Shampoo &gt;</t>
        </is>
      </c>
      <c r="L590" s="10" t="inlineStr">
        <is>
          <t>shampoo</t>
        </is>
      </c>
      <c r="M590" s="10" t="inlineStr">
        <is>
          <t>estandar</t>
        </is>
      </c>
      <c r="N590" s="10" t="inlineStr">
        <is>
          <t>general</t>
        </is>
      </c>
      <c r="O590" s="10" t="inlineStr">
        <is>
          <t>https://www.disco.com.ar/shampoo-sedal-bomba-de-nutricion-340ml/p</t>
        </is>
      </c>
    </row>
    <row r="591">
      <c r="A591" t="inlineStr">
        <is>
          <t>Disco</t>
        </is>
      </c>
      <c r="B591" t="n">
        <v>15778</v>
      </c>
      <c r="C591" t="n">
        <v>12920</v>
      </c>
      <c r="D591" t="inlineStr">
        <is>
          <t>Shampoo Porta X 1 Un Shampoo Desodorante Porta 500 Cc</t>
        </is>
      </c>
      <c r="E591" t="inlineStr">
        <is>
          <t>PORTA</t>
        </is>
      </c>
      <c r="F591" t="n">
        <v>84.98999999999999</v>
      </c>
      <c r="G591" t="n">
        <v>84.98999999999999</v>
      </c>
      <c r="H591" t="b">
        <v>0</v>
      </c>
      <c r="I591" t="inlineStr"/>
      <c r="J591" t="inlineStr"/>
      <c r="K591" t="inlineStr">
        <is>
          <t>&gt; Mascotas &gt; Accesorios para Mascotas &gt;</t>
        </is>
      </c>
      <c r="L591" t="inlineStr">
        <is>
          <t>shampoo</t>
        </is>
      </c>
      <c r="M591" t="inlineStr">
        <is>
          <t>estandar</t>
        </is>
      </c>
      <c r="N591" t="inlineStr">
        <is>
          <t>general</t>
        </is>
      </c>
      <c r="O591" t="inlineStr">
        <is>
          <t>https://www.disco.com.ar/shampoo-porta-x-1-un/p</t>
        </is>
      </c>
    </row>
    <row r="592">
      <c r="A592" s="10" t="inlineStr">
        <is>
          <t>Disco</t>
        </is>
      </c>
      <c r="B592" s="10" t="n">
        <v>7679</v>
      </c>
      <c r="C592" s="10" t="n">
        <v>5005</v>
      </c>
      <c r="D592" s="10" t="inlineStr">
        <is>
          <t>Shampoo Elvive Rt Extreme 200ml</t>
        </is>
      </c>
      <c r="E592" s="10" t="inlineStr">
        <is>
          <t>ELVIVE</t>
        </is>
      </c>
      <c r="F592" s="10" t="n">
        <v>290.85</v>
      </c>
      <c r="G592" s="10" t="n">
        <v>24037</v>
      </c>
      <c r="H592" s="10" t="b">
        <v>0</v>
      </c>
      <c r="I592" s="10" t="n">
        <v>200</v>
      </c>
      <c r="J592" s="10" t="n">
        <v>1.4543</v>
      </c>
      <c r="K592" s="10" t="inlineStr">
        <is>
          <t>&gt; Perfumería &gt; Cuidado Capilar &gt; Shampoo &gt;</t>
        </is>
      </c>
      <c r="L592" s="10" t="inlineStr">
        <is>
          <t>shampoo</t>
        </is>
      </c>
      <c r="M592" s="10" t="inlineStr">
        <is>
          <t>profesional</t>
        </is>
      </c>
      <c r="N592" s="10" t="inlineStr">
        <is>
          <t>general</t>
        </is>
      </c>
      <c r="O592" s="10" t="inlineStr">
        <is>
          <t>https://www.disco.com.ar/shampoo-elvive-rt-extreme-200ml/p</t>
        </is>
      </c>
    </row>
    <row r="593">
      <c r="A593" t="inlineStr">
        <is>
          <t>Disco</t>
        </is>
      </c>
      <c r="B593" t="n">
        <v>7418</v>
      </c>
      <c r="C593" t="n">
        <v>4746</v>
      </c>
      <c r="D593" t="inlineStr">
        <is>
          <t>Shampoo Pantene Cuidado Clasico 400ml</t>
        </is>
      </c>
      <c r="E593" t="inlineStr">
        <is>
          <t>PANTENE</t>
        </is>
      </c>
      <c r="F593" t="n">
        <v>201.27</v>
      </c>
      <c r="G593" t="n">
        <v>16634</v>
      </c>
      <c r="H593" t="b">
        <v>0</v>
      </c>
      <c r="I593" t="n">
        <v>400</v>
      </c>
      <c r="J593" t="n">
        <v>0.5032</v>
      </c>
      <c r="K593" t="inlineStr">
        <is>
          <t>&gt; Perfumería &gt; Cuidado Capilar &gt; Shampoo &gt;</t>
        </is>
      </c>
      <c r="L593" t="inlineStr">
        <is>
          <t>shampoo</t>
        </is>
      </c>
      <c r="M593" t="inlineStr">
        <is>
          <t>estandar</t>
        </is>
      </c>
      <c r="N593" t="inlineStr">
        <is>
          <t>general</t>
        </is>
      </c>
      <c r="O593" t="inlineStr">
        <is>
          <t>https://www.disco.com.ar/shampoo-pantene-cuidado-clasico-400ml-3/p</t>
        </is>
      </c>
    </row>
    <row r="594">
      <c r="A594" s="10" t="inlineStr">
        <is>
          <t>Disco</t>
        </is>
      </c>
      <c r="B594" s="10" t="n">
        <v>7325</v>
      </c>
      <c r="C594" s="10" t="n">
        <v>4659</v>
      </c>
      <c r="D594" s="10" t="inlineStr">
        <is>
          <t>Shampoo Pantene Control Caida 400ml</t>
        </is>
      </c>
      <c r="E594" s="10" t="inlineStr">
        <is>
          <t>PANTENE</t>
        </is>
      </c>
      <c r="F594" s="10" t="n">
        <v>201.27</v>
      </c>
      <c r="G594" s="10" t="n">
        <v>16634</v>
      </c>
      <c r="H594" s="10" t="b">
        <v>0</v>
      </c>
      <c r="I594" s="10" t="n">
        <v>400</v>
      </c>
      <c r="J594" s="10" t="n">
        <v>0.5032</v>
      </c>
      <c r="K594" s="10" t="inlineStr">
        <is>
          <t>&gt; Perfumería &gt; Cuidado Capilar &gt; Shampoo &gt;</t>
        </is>
      </c>
      <c r="L594" s="10" t="inlineStr">
        <is>
          <t>shampoo</t>
        </is>
      </c>
      <c r="M594" s="10" t="inlineStr">
        <is>
          <t>estandar</t>
        </is>
      </c>
      <c r="N594" s="10" t="inlineStr">
        <is>
          <t>general</t>
        </is>
      </c>
      <c r="O594" s="10" t="inlineStr">
        <is>
          <t>https://www.disco.com.ar/shampoo-pantene-control-caida-400ml/p</t>
        </is>
      </c>
    </row>
    <row r="595">
      <c r="A595" t="inlineStr">
        <is>
          <t>Disco</t>
        </is>
      </c>
      <c r="B595" t="n">
        <v>3418</v>
      </c>
      <c r="C595" t="n">
        <v>248541</v>
      </c>
      <c r="D595" t="inlineStr">
        <is>
          <t>Shampoo Pantene Hidrocauterización 400 Ml</t>
        </is>
      </c>
      <c r="E595" t="inlineStr">
        <is>
          <t>PANTENE</t>
        </is>
      </c>
      <c r="F595" t="n">
        <v>48.79</v>
      </c>
      <c r="G595" t="n">
        <v>4032</v>
      </c>
      <c r="H595" t="b">
        <v>0</v>
      </c>
      <c r="I595" t="n">
        <v>400</v>
      </c>
      <c r="J595" t="n">
        <v>0.122</v>
      </c>
      <c r="K595" t="inlineStr">
        <is>
          <t>&gt; Perfumería &gt; Cuidado Capilar &gt; Shampoo &gt;</t>
        </is>
      </c>
      <c r="L595" t="inlineStr">
        <is>
          <t>shampoo</t>
        </is>
      </c>
      <c r="M595" t="inlineStr">
        <is>
          <t>estandar</t>
        </is>
      </c>
      <c r="N595" t="inlineStr">
        <is>
          <t>general</t>
        </is>
      </c>
      <c r="O595" t="inlineStr">
        <is>
          <t>https://www.disco.com.ar/shampoo-pantene/p</t>
        </is>
      </c>
    </row>
    <row r="596">
      <c r="A596" s="10" t="inlineStr">
        <is>
          <t>Disco</t>
        </is>
      </c>
      <c r="B596" s="10" t="n">
        <v>2853</v>
      </c>
      <c r="C596" s="10" t="n">
        <v>246021</v>
      </c>
      <c r="D596" s="10" t="inlineStr">
        <is>
          <t>Shampoo Capilatis Fuerza 420 Ml</t>
        </is>
      </c>
      <c r="E596" s="10" t="inlineStr">
        <is>
          <t>CAPILATIS</t>
        </is>
      </c>
      <c r="F596" s="10" t="n">
        <v>306.93</v>
      </c>
      <c r="G596" s="10" t="n">
        <v>25366</v>
      </c>
      <c r="H596" s="10" t="b">
        <v>0</v>
      </c>
      <c r="I596" s="10" t="n">
        <v>420</v>
      </c>
      <c r="J596" s="10" t="n">
        <v>0.7308</v>
      </c>
      <c r="K596" s="10" t="inlineStr">
        <is>
          <t>&gt; Perfumería &gt; Cuidado Capilar &gt; Shampoo &gt;</t>
        </is>
      </c>
      <c r="L596" s="10" t="inlineStr">
        <is>
          <t>shampoo</t>
        </is>
      </c>
      <c r="M596" s="10" t="inlineStr">
        <is>
          <t>estandar</t>
        </is>
      </c>
      <c r="N596" s="10" t="inlineStr">
        <is>
          <t>general</t>
        </is>
      </c>
      <c r="O596" s="10" t="inlineStr">
        <is>
          <t>https://www.disco.com.ar/shampoo-capilatis-fuerza-420-ml/p</t>
        </is>
      </c>
    </row>
    <row r="597">
      <c r="A597" t="inlineStr">
        <is>
          <t>Disco</t>
        </is>
      </c>
      <c r="B597" t="n">
        <v>3086927</v>
      </c>
      <c r="C597" t="n">
        <v>3086151</v>
      </c>
      <c r="D597" t="inlineStr">
        <is>
          <t>Shampoo Veganis Plant Powered Renovador Coco</t>
        </is>
      </c>
      <c r="E597" t="inlineStr">
        <is>
          <t>BAGOVIT</t>
        </is>
      </c>
      <c r="F597" t="n">
        <v>13800</v>
      </c>
      <c r="G597" t="n">
        <v>1140496</v>
      </c>
      <c r="H597" t="b">
        <v>0</v>
      </c>
      <c r="I597" t="inlineStr"/>
      <c r="J597" t="inlineStr"/>
      <c r="K597" t="inlineStr">
        <is>
          <t>&gt; Perfumería &gt; Cuidado Capilar &gt; Shampoo &gt;</t>
        </is>
      </c>
      <c r="L597" t="inlineStr">
        <is>
          <t>shampoo</t>
        </is>
      </c>
      <c r="M597" t="inlineStr">
        <is>
          <t>estandar</t>
        </is>
      </c>
      <c r="N597" t="inlineStr">
        <is>
          <t>general</t>
        </is>
      </c>
      <c r="O597" t="inlineStr">
        <is>
          <t>https://www.disco.com.ar/shampoo-veganis-plant-powered-renovador-coco-2/p</t>
        </is>
      </c>
    </row>
    <row r="598">
      <c r="A598" s="10" t="inlineStr">
        <is>
          <t>Disco</t>
        </is>
      </c>
      <c r="B598" s="10" t="n">
        <v>3078389</v>
      </c>
      <c r="C598" s="10" t="n">
        <v>3077733</v>
      </c>
      <c r="D598" s="10" t="inlineStr">
        <is>
          <t>Shampoo Ceramidas X 300 Ml Sedal</t>
        </is>
      </c>
      <c r="E598" s="10" t="inlineStr">
        <is>
          <t>SEDAL</t>
        </is>
      </c>
      <c r="F598" s="10" t="n">
        <v>3800</v>
      </c>
      <c r="G598" s="10" t="n">
        <v>314050</v>
      </c>
      <c r="H598" s="10" t="b">
        <v>0</v>
      </c>
      <c r="I598" s="10" t="n">
        <v>300</v>
      </c>
      <c r="J598" s="10" t="n">
        <v>12.6667</v>
      </c>
      <c r="K598" s="10" t="inlineStr">
        <is>
          <t>&gt; Perfumería &gt; Cuidado Capilar &gt; Shampoo &gt;</t>
        </is>
      </c>
      <c r="L598" s="10" t="inlineStr">
        <is>
          <t>shampoo</t>
        </is>
      </c>
      <c r="M598" s="10" t="inlineStr">
        <is>
          <t>estandar</t>
        </is>
      </c>
      <c r="N598" s="10" t="inlineStr">
        <is>
          <t>general</t>
        </is>
      </c>
      <c r="O598" s="10" t="inlineStr">
        <is>
          <t>https://www.disco.com.ar/shampoo-ceramidas-x-300-ml-sedal/p</t>
        </is>
      </c>
    </row>
    <row r="599">
      <c r="A599" t="inlineStr">
        <is>
          <t>Disco</t>
        </is>
      </c>
      <c r="B599" t="n">
        <v>3078387</v>
      </c>
      <c r="C599" t="n">
        <v>3077731</v>
      </c>
      <c r="D599" t="inlineStr">
        <is>
          <t>Shampoo Dove Bond Uv Repair 400ml</t>
        </is>
      </c>
      <c r="E599" t="inlineStr">
        <is>
          <t>DOVE</t>
        </is>
      </c>
      <c r="F599" t="n">
        <v>11250.67</v>
      </c>
      <c r="G599" t="n">
        <v>929807</v>
      </c>
      <c r="H599" t="b">
        <v>0</v>
      </c>
      <c r="I599" t="n">
        <v>400</v>
      </c>
      <c r="J599" t="n">
        <v>28.1267</v>
      </c>
      <c r="K599" t="inlineStr">
        <is>
          <t>&gt; Perfumería &gt; Cuidado Capilar &gt; Shampoo &gt;</t>
        </is>
      </c>
      <c r="L599" t="inlineStr">
        <is>
          <t>shampoo</t>
        </is>
      </c>
      <c r="M599" t="inlineStr">
        <is>
          <t>profesional</t>
        </is>
      </c>
      <c r="N599" t="inlineStr">
        <is>
          <t>general</t>
        </is>
      </c>
      <c r="O599" t="inlineStr">
        <is>
          <t>https://www.disco.com.ar/shampoo-dove-bond-uv-repair-400ml/p</t>
        </is>
      </c>
    </row>
    <row r="600">
      <c r="A600" s="10" t="inlineStr">
        <is>
          <t>Disco</t>
        </is>
      </c>
      <c r="B600" s="10" t="n">
        <v>3073294</v>
      </c>
      <c r="C600" s="10" t="n">
        <v>3072798</v>
      </c>
      <c r="D600" s="10" t="inlineStr">
        <is>
          <t>Shampoo Reparación Intensiva 350 Ml Bagovit</t>
        </is>
      </c>
      <c r="E600" s="10" t="inlineStr">
        <is>
          <t>BAGOVIT</t>
        </is>
      </c>
      <c r="F600" s="10" t="n">
        <v>9550</v>
      </c>
      <c r="G600" s="10" t="n">
        <v>789256</v>
      </c>
      <c r="H600" s="10" t="b">
        <v>0</v>
      </c>
      <c r="I600" s="10" t="n">
        <v>350</v>
      </c>
      <c r="J600" s="10" t="n">
        <v>27.2857</v>
      </c>
      <c r="K600" s="10" t="inlineStr">
        <is>
          <t>&gt; Perfumería &gt; Cuidado Capilar &gt; Shampoo &gt;</t>
        </is>
      </c>
      <c r="L600" s="10" t="inlineStr">
        <is>
          <t>shampoo</t>
        </is>
      </c>
      <c r="M600" s="10" t="inlineStr">
        <is>
          <t>estandar</t>
        </is>
      </c>
      <c r="N600" s="10" t="inlineStr">
        <is>
          <t>general</t>
        </is>
      </c>
      <c r="O600" s="10" t="inlineStr">
        <is>
          <t>https://www.disco.com.ar/shampoo-reparacion-intensiva-x-350-ml-bagovit/p</t>
        </is>
      </c>
    </row>
    <row r="601">
      <c r="A601" t="inlineStr">
        <is>
          <t>Disco</t>
        </is>
      </c>
      <c r="B601" t="n">
        <v>416916</v>
      </c>
      <c r="C601" t="n">
        <v>412460</v>
      </c>
      <c r="D601" t="inlineStr">
        <is>
          <t>Shampoo Rizos Poderosos 200 Ml Fructis</t>
        </is>
      </c>
      <c r="E601" t="inlineStr">
        <is>
          <t>FRUCTIS</t>
        </is>
      </c>
      <c r="F601" t="n">
        <v>4850</v>
      </c>
      <c r="G601" t="n">
        <v>400826</v>
      </c>
      <c r="H601" t="b">
        <v>0</v>
      </c>
      <c r="I601" t="n">
        <v>200</v>
      </c>
      <c r="J601" t="n">
        <v>24.25</v>
      </c>
      <c r="K601" t="inlineStr">
        <is>
          <t>&gt; Perfumería &gt; Cuidado Capilar &gt; Shampoo &gt;</t>
        </is>
      </c>
      <c r="L601" t="inlineStr">
        <is>
          <t>shampoo</t>
        </is>
      </c>
      <c r="M601" t="inlineStr">
        <is>
          <t>estandar</t>
        </is>
      </c>
      <c r="N601" t="inlineStr">
        <is>
          <t>rizado</t>
        </is>
      </c>
      <c r="O601" t="inlineStr">
        <is>
          <t>https://www.disco.com.ar/shampoo-fructis-rizos-poderosos-x-200-ml/p</t>
        </is>
      </c>
    </row>
    <row r="602">
      <c r="A602" s="10" t="inlineStr">
        <is>
          <t>Disco</t>
        </is>
      </c>
      <c r="B602" s="10" t="n">
        <v>415571</v>
      </c>
      <c r="C602" s="10" t="n">
        <v>411155</v>
      </c>
      <c r="D602" s="10" t="inlineStr">
        <is>
          <t>Shampoo Pantene  Liso Infinito 750 Ml</t>
        </is>
      </c>
      <c r="E602" s="10" t="inlineStr">
        <is>
          <t>PANTENE</t>
        </is>
      </c>
      <c r="F602" s="10" t="n">
        <v>14050</v>
      </c>
      <c r="G602" s="10" t="n">
        <v>1161157</v>
      </c>
      <c r="H602" s="10" t="b">
        <v>0</v>
      </c>
      <c r="I602" s="10" t="n">
        <v>750</v>
      </c>
      <c r="J602" s="10" t="n">
        <v>18.7333</v>
      </c>
      <c r="K602" s="10" t="inlineStr">
        <is>
          <t>&gt; Perfumería &gt; Cuidado Capilar &gt; Shampoo &gt;</t>
        </is>
      </c>
      <c r="L602" s="10" t="inlineStr">
        <is>
          <t>shampoo</t>
        </is>
      </c>
      <c r="M602" s="10" t="inlineStr">
        <is>
          <t>estandar</t>
        </is>
      </c>
      <c r="N602" s="10" t="inlineStr">
        <is>
          <t>general</t>
        </is>
      </c>
      <c r="O602" s="10" t="inlineStr">
        <is>
          <t>https://www.disco.com.ar/shampoo-pantene-liso-infinito-750-ml/p</t>
        </is>
      </c>
    </row>
    <row r="603">
      <c r="A603" t="inlineStr">
        <is>
          <t>Disco</t>
        </is>
      </c>
      <c r="B603" t="n">
        <v>415146</v>
      </c>
      <c r="C603" t="n">
        <v>410806</v>
      </c>
      <c r="D603" t="inlineStr">
        <is>
          <t>Shampoo Rizos Definidos 190 Ml Sedal</t>
        </is>
      </c>
      <c r="E603" t="inlineStr">
        <is>
          <t>SEDAL</t>
        </is>
      </c>
      <c r="F603" t="n">
        <v>3600</v>
      </c>
      <c r="G603" t="n">
        <v>297521</v>
      </c>
      <c r="H603" t="b">
        <v>0</v>
      </c>
      <c r="I603" t="n">
        <v>190</v>
      </c>
      <c r="J603" t="n">
        <v>18.9474</v>
      </c>
      <c r="K603" t="inlineStr">
        <is>
          <t>&gt; Perfumería &gt; Cuidado Capilar &gt; Shampoo &gt;</t>
        </is>
      </c>
      <c r="L603" t="inlineStr">
        <is>
          <t>shampoo</t>
        </is>
      </c>
      <c r="M603" t="inlineStr">
        <is>
          <t>estandar</t>
        </is>
      </c>
      <c r="N603" t="inlineStr">
        <is>
          <t>rizado</t>
        </is>
      </c>
      <c r="O603" t="inlineStr">
        <is>
          <t>https://www.disco.com.ar/shampoo-rizos-definidos-190-ml-sedal/p</t>
        </is>
      </c>
    </row>
    <row r="604">
      <c r="A604" s="10" t="inlineStr">
        <is>
          <t>Disco</t>
        </is>
      </c>
      <c r="B604" s="10" t="n">
        <v>415145</v>
      </c>
      <c r="C604" s="10" t="n">
        <v>410805</v>
      </c>
      <c r="D604" s="10" t="inlineStr">
        <is>
          <t>Shampoo Liso Perfecto 650 Ml Sedal</t>
        </is>
      </c>
      <c r="E604" s="10" t="inlineStr">
        <is>
          <t>SEDAL</t>
        </is>
      </c>
      <c r="F604" s="10" t="n">
        <v>8650</v>
      </c>
      <c r="G604" s="10" t="n">
        <v>714876</v>
      </c>
      <c r="H604" s="10" t="b">
        <v>0</v>
      </c>
      <c r="I604" s="10" t="n">
        <v>650</v>
      </c>
      <c r="J604" s="10" t="n">
        <v>13.3077</v>
      </c>
      <c r="K604" s="10" t="inlineStr">
        <is>
          <t>&gt; Perfumería &gt; Cuidado Capilar &gt; Shampoo &gt;</t>
        </is>
      </c>
      <c r="L604" s="10" t="inlineStr">
        <is>
          <t>shampoo</t>
        </is>
      </c>
      <c r="M604" s="10" t="inlineStr">
        <is>
          <t>estandar</t>
        </is>
      </c>
      <c r="N604" s="10" t="inlineStr">
        <is>
          <t>general</t>
        </is>
      </c>
      <c r="O604" s="10" t="inlineStr">
        <is>
          <t>https://www.disco.com.ar/shampoo-liso-perfecto-650-ml-sedal/p</t>
        </is>
      </c>
    </row>
    <row r="605">
      <c r="A605" t="inlineStr">
        <is>
          <t>Disco</t>
        </is>
      </c>
      <c r="B605" t="n">
        <v>415142</v>
      </c>
      <c r="C605" t="n">
        <v>410802</v>
      </c>
      <c r="D605" t="inlineStr">
        <is>
          <t>Shampoo Liso Perfecto 190 Ml Sedal</t>
        </is>
      </c>
      <c r="E605" t="inlineStr">
        <is>
          <t>SEDAL</t>
        </is>
      </c>
      <c r="F605" t="n">
        <v>3600</v>
      </c>
      <c r="G605" t="n">
        <v>297521</v>
      </c>
      <c r="H605" t="b">
        <v>0</v>
      </c>
      <c r="I605" t="n">
        <v>190</v>
      </c>
      <c r="J605" t="n">
        <v>18.9474</v>
      </c>
      <c r="K605" t="inlineStr">
        <is>
          <t>&gt; Perfumería &gt; Cuidado Capilar &gt; Shampoo &gt;</t>
        </is>
      </c>
      <c r="L605" t="inlineStr">
        <is>
          <t>shampoo</t>
        </is>
      </c>
      <c r="M605" t="inlineStr">
        <is>
          <t>estandar</t>
        </is>
      </c>
      <c r="N605" t="inlineStr">
        <is>
          <t>general</t>
        </is>
      </c>
      <c r="O605" t="inlineStr">
        <is>
          <t>https://www.disco.com.ar/shampoo-liso-perfecto-190-ml-sedal/p</t>
        </is>
      </c>
    </row>
    <row r="606">
      <c r="A606" s="10" t="inlineStr">
        <is>
          <t>Disco</t>
        </is>
      </c>
      <c r="B606" s="10" t="n">
        <v>413370</v>
      </c>
      <c r="C606" s="10" t="n">
        <v>409247</v>
      </c>
      <c r="D606" s="10" t="inlineStr">
        <is>
          <t>Shampoo Tresemme Cauterización Reparadora 500 Ml</t>
        </is>
      </c>
      <c r="E606" s="10" t="inlineStr">
        <is>
          <t>TRESEMMÉ</t>
        </is>
      </c>
      <c r="F606" s="10" t="n">
        <v>6550</v>
      </c>
      <c r="G606" s="10" t="n">
        <v>541322</v>
      </c>
      <c r="H606" s="10" t="b">
        <v>0</v>
      </c>
      <c r="I606" s="10" t="n">
        <v>500</v>
      </c>
      <c r="J606" s="10" t="n">
        <v>13.1</v>
      </c>
      <c r="K606" s="10" t="inlineStr">
        <is>
          <t>&gt; Perfumería &gt; Cuidado Capilar &gt; Shampoo &gt;</t>
        </is>
      </c>
      <c r="L606" s="10" t="inlineStr">
        <is>
          <t>shampoo</t>
        </is>
      </c>
      <c r="M606" s="10" t="inlineStr">
        <is>
          <t>estandar</t>
        </is>
      </c>
      <c r="N606" s="10" t="inlineStr">
        <is>
          <t>general</t>
        </is>
      </c>
      <c r="O606" s="10" t="inlineStr">
        <is>
          <t>https://www.disco.com.ar/shampoo-tresemme-cauterizacion-reparadora-500-ml/p</t>
        </is>
      </c>
    </row>
    <row r="607">
      <c r="A607" t="inlineStr">
        <is>
          <t>Disco</t>
        </is>
      </c>
      <c r="B607" t="n">
        <v>413369</v>
      </c>
      <c r="C607" t="n">
        <v>409246</v>
      </c>
      <c r="D607" t="inlineStr">
        <is>
          <t>Shampoo Keratina Antifrizz 500 Ml Tresemmé</t>
        </is>
      </c>
      <c r="E607" t="inlineStr">
        <is>
          <t>TRESEMMÉ</t>
        </is>
      </c>
      <c r="F607" t="n">
        <v>6550</v>
      </c>
      <c r="G607" t="n">
        <v>541322</v>
      </c>
      <c r="H607" t="b">
        <v>0</v>
      </c>
      <c r="I607" t="n">
        <v>500</v>
      </c>
      <c r="J607" t="n">
        <v>13.1</v>
      </c>
      <c r="K607" t="inlineStr">
        <is>
          <t>&gt; Perfumería &gt; Cuidado Capilar &gt; Shampoo &gt;</t>
        </is>
      </c>
      <c r="L607" t="inlineStr">
        <is>
          <t>shampoo</t>
        </is>
      </c>
      <c r="M607" t="inlineStr">
        <is>
          <t>estandar</t>
        </is>
      </c>
      <c r="N607" t="inlineStr">
        <is>
          <t>tratado</t>
        </is>
      </c>
      <c r="O607" t="inlineStr">
        <is>
          <t>https://www.disco.com.ar/shampoo-tresemme-keratina-antifrizz-500-ml/p</t>
        </is>
      </c>
    </row>
    <row r="608">
      <c r="A608" s="10" t="inlineStr">
        <is>
          <t>Disco</t>
        </is>
      </c>
      <c r="B608" s="10" t="n">
        <v>412667</v>
      </c>
      <c r="C608" s="10" t="n">
        <v>408256</v>
      </c>
      <c r="D608" s="10" t="inlineStr">
        <is>
          <t>Shampoo Just For Men Control 118ml</t>
        </is>
      </c>
      <c r="E608" s="10" t="inlineStr">
        <is>
          <t>JUST FOR MEN</t>
        </is>
      </c>
      <c r="F608" s="10" t="n">
        <v>8776.99</v>
      </c>
      <c r="G608" s="10" t="n">
        <v>725371</v>
      </c>
      <c r="H608" s="10" t="b">
        <v>0</v>
      </c>
      <c r="I608" s="10" t="n">
        <v>118</v>
      </c>
      <c r="J608" s="10" t="n">
        <v>74.3813</v>
      </c>
      <c r="K608" s="10" t="inlineStr">
        <is>
          <t>&gt; Perfumería &gt; Cuidado Capilar &gt; Coloración &gt;</t>
        </is>
      </c>
      <c r="L608" s="10" t="inlineStr">
        <is>
          <t>shampoo</t>
        </is>
      </c>
      <c r="M608" s="10" t="inlineStr">
        <is>
          <t>estandar</t>
        </is>
      </c>
      <c r="N608" s="10" t="inlineStr">
        <is>
          <t>general</t>
        </is>
      </c>
      <c r="O608" s="10" t="inlineStr">
        <is>
          <t>https://www.disco.com.ar/shampoo-just-for-men-control-118ml/p</t>
        </is>
      </c>
    </row>
    <row r="609">
      <c r="A609" t="inlineStr">
        <is>
          <t>Disco</t>
        </is>
      </c>
      <c r="B609" t="n">
        <v>393566</v>
      </c>
      <c r="C609" t="n">
        <v>391594</v>
      </c>
      <c r="D609" t="inlineStr">
        <is>
          <t>Shampoo Reconstrucción Completa 750 Ml Dove</t>
        </is>
      </c>
      <c r="E609" t="inlineStr">
        <is>
          <t>DOVE</t>
        </is>
      </c>
      <c r="F609" t="n">
        <v>14550</v>
      </c>
      <c r="G609" t="n">
        <v>1202479</v>
      </c>
      <c r="H609" t="b">
        <v>0</v>
      </c>
      <c r="I609" t="n">
        <v>750</v>
      </c>
      <c r="J609" t="n">
        <v>19.4</v>
      </c>
      <c r="K609" t="inlineStr">
        <is>
          <t>&gt; Perfumería &gt; Cuidado Capilar &gt; Shampoo &gt;</t>
        </is>
      </c>
      <c r="L609" t="inlineStr">
        <is>
          <t>shampoo</t>
        </is>
      </c>
      <c r="M609" t="inlineStr">
        <is>
          <t>estandar</t>
        </is>
      </c>
      <c r="N609" t="inlineStr">
        <is>
          <t>general</t>
        </is>
      </c>
      <c r="O609" t="inlineStr">
        <is>
          <t>https://www.disco.com.ar/shampoo-dove-reconstruccion-completa-750ml-2/p</t>
        </is>
      </c>
    </row>
    <row r="610">
      <c r="A610" s="10" t="inlineStr">
        <is>
          <t>Disco</t>
        </is>
      </c>
      <c r="B610" s="10" t="n">
        <v>391973</v>
      </c>
      <c r="C610" s="10" t="n">
        <v>390025</v>
      </c>
      <c r="D610" s="10" t="inlineStr">
        <is>
          <t>Shampoo Plusbelle Largo Saludable 300 Ml</t>
        </is>
      </c>
      <c r="E610" s="10" t="inlineStr">
        <is>
          <t>PLUSBELLE</t>
        </is>
      </c>
      <c r="F610" s="10" t="n">
        <v>1081.75</v>
      </c>
      <c r="G610" s="10" t="n">
        <v>89401</v>
      </c>
      <c r="H610" s="10" t="b">
        <v>0</v>
      </c>
      <c r="I610" s="10" t="n">
        <v>300</v>
      </c>
      <c r="J610" s="10" t="n">
        <v>3.6058</v>
      </c>
      <c r="K610" s="10" t="inlineStr">
        <is>
          <t>&gt; Perfumería &gt; Cuidado Capilar &gt; Shampoo &gt;</t>
        </is>
      </c>
      <c r="L610" s="10" t="inlineStr">
        <is>
          <t>shampoo</t>
        </is>
      </c>
      <c r="M610" s="10" t="inlineStr">
        <is>
          <t>estandar</t>
        </is>
      </c>
      <c r="N610" s="10" t="inlineStr">
        <is>
          <t>general</t>
        </is>
      </c>
      <c r="O610" s="10" t="inlineStr">
        <is>
          <t>https://www.disco.com.ar/shampoo-plusbelle-largo-saludable-300-ml/p</t>
        </is>
      </c>
    </row>
    <row r="611">
      <c r="A611" t="inlineStr">
        <is>
          <t>Disco</t>
        </is>
      </c>
      <c r="B611" t="n">
        <v>390227</v>
      </c>
      <c r="C611" t="n">
        <v>388318</v>
      </c>
      <c r="D611" t="inlineStr">
        <is>
          <t>Shampoo Pantene Hidratación Extrema 750 Ml</t>
        </is>
      </c>
      <c r="E611" t="inlineStr">
        <is>
          <t>PANTENE</t>
        </is>
      </c>
      <c r="F611" t="n">
        <v>3000</v>
      </c>
      <c r="G611" t="n">
        <v>247934</v>
      </c>
      <c r="H611" t="b">
        <v>0</v>
      </c>
      <c r="I611" t="n">
        <v>750</v>
      </c>
      <c r="J611" t="n">
        <v>4</v>
      </c>
      <c r="K611" t="inlineStr">
        <is>
          <t>&gt; Perfumería &gt; Cuidado Capilar &gt; Shampoo &gt;</t>
        </is>
      </c>
      <c r="L611" t="inlineStr">
        <is>
          <t>shampoo</t>
        </is>
      </c>
      <c r="M611" t="inlineStr">
        <is>
          <t>estandar</t>
        </is>
      </c>
      <c r="N611" t="inlineStr">
        <is>
          <t>seco_danado</t>
        </is>
      </c>
      <c r="O611" t="inlineStr">
        <is>
          <t>https://www.disco.com.ar/shampoo-pantene-hidratacion-extrema-750-ml/p</t>
        </is>
      </c>
    </row>
    <row r="612">
      <c r="A612" s="10" t="inlineStr">
        <is>
          <t>Disco</t>
        </is>
      </c>
      <c r="B612" s="10" t="n">
        <v>390194</v>
      </c>
      <c r="C612" s="10" t="n">
        <v>388285</v>
      </c>
      <c r="D612" s="10" t="inlineStr">
        <is>
          <t>Shampoo Pantene Prov Brillo Extremo 400ml</t>
        </is>
      </c>
      <c r="E612" s="10" t="inlineStr">
        <is>
          <t>PANTENE</t>
        </is>
      </c>
      <c r="F612" s="10" t="n">
        <v>1292.77</v>
      </c>
      <c r="G612" s="10" t="n">
        <v>106841</v>
      </c>
      <c r="H612" s="10" t="b">
        <v>0</v>
      </c>
      <c r="I612" s="10" t="n">
        <v>400</v>
      </c>
      <c r="J612" s="10" t="n">
        <v>3.2319</v>
      </c>
      <c r="K612" s="10" t="inlineStr">
        <is>
          <t>&gt; Perfumería &gt; Cuidado Capilar &gt; Shampoo &gt;</t>
        </is>
      </c>
      <c r="L612" s="10" t="inlineStr">
        <is>
          <t>shampoo</t>
        </is>
      </c>
      <c r="M612" s="10" t="inlineStr">
        <is>
          <t>profesional</t>
        </is>
      </c>
      <c r="N612" s="10" t="inlineStr">
        <is>
          <t>general</t>
        </is>
      </c>
      <c r="O612" s="10" t="inlineStr">
        <is>
          <t>https://www.disco.com.ar/shampoo-pantene-prov-brillo-extremo-400ml/p</t>
        </is>
      </c>
    </row>
    <row r="613">
      <c r="A613" t="inlineStr">
        <is>
          <t>Disco</t>
        </is>
      </c>
      <c r="B613" t="n">
        <v>389302</v>
      </c>
      <c r="C613" t="n">
        <v>387408</v>
      </c>
      <c r="D613" t="inlineStr">
        <is>
          <t>Shampoo Crema Balance 190 Ml Sedal</t>
        </is>
      </c>
      <c r="E613" t="inlineStr">
        <is>
          <t>SEDAL</t>
        </is>
      </c>
      <c r="F613" t="n">
        <v>3600</v>
      </c>
      <c r="G613" t="n">
        <v>297521</v>
      </c>
      <c r="H613" t="b">
        <v>0</v>
      </c>
      <c r="I613" t="n">
        <v>190</v>
      </c>
      <c r="J613" t="n">
        <v>18.9474</v>
      </c>
      <c r="K613" t="inlineStr">
        <is>
          <t>&gt; Perfumería &gt; Cuidado Capilar &gt; Shampoo &gt;</t>
        </is>
      </c>
      <c r="L613" t="inlineStr">
        <is>
          <t>shampoo</t>
        </is>
      </c>
      <c r="M613" t="inlineStr">
        <is>
          <t>estandar</t>
        </is>
      </c>
      <c r="N613" t="inlineStr">
        <is>
          <t>general</t>
        </is>
      </c>
      <c r="O613" t="inlineStr">
        <is>
          <t>https://www.disco.com.ar/shampoo-crema-balance-190-ml-sedal/p</t>
        </is>
      </c>
    </row>
    <row r="614">
      <c r="A614" s="10" t="inlineStr">
        <is>
          <t>Disco</t>
        </is>
      </c>
      <c r="B614" s="10" t="n">
        <v>389292</v>
      </c>
      <c r="C614" s="10" t="n">
        <v>387398</v>
      </c>
      <c r="D614" s="10" t="inlineStr">
        <is>
          <t>Shampoo Restauración Instantánea 650 Ml Sedal</t>
        </is>
      </c>
      <c r="E614" s="10" t="inlineStr">
        <is>
          <t>SEDAL</t>
        </is>
      </c>
      <c r="F614" s="10" t="n">
        <v>8650</v>
      </c>
      <c r="G614" s="10" t="n">
        <v>714876</v>
      </c>
      <c r="H614" s="10" t="b">
        <v>0</v>
      </c>
      <c r="I614" s="10" t="n">
        <v>650</v>
      </c>
      <c r="J614" s="10" t="n">
        <v>13.3077</v>
      </c>
      <c r="K614" s="10" t="inlineStr">
        <is>
          <t>&gt; Perfumería &gt; Cuidado Capilar &gt; Shampoo &gt;</t>
        </is>
      </c>
      <c r="L614" s="10" t="inlineStr">
        <is>
          <t>shampoo</t>
        </is>
      </c>
      <c r="M614" s="10" t="inlineStr">
        <is>
          <t>estandar</t>
        </is>
      </c>
      <c r="N614" s="10" t="inlineStr">
        <is>
          <t>general</t>
        </is>
      </c>
      <c r="O614" s="10" t="inlineStr">
        <is>
          <t>https://www.disco.com.ar/shampoo-restauracion-instantanea-650-ml-sedal/p</t>
        </is>
      </c>
    </row>
    <row r="615">
      <c r="A615" t="inlineStr">
        <is>
          <t>Disco</t>
        </is>
      </c>
      <c r="B615" t="n">
        <v>389283</v>
      </c>
      <c r="C615" t="n">
        <v>387389</v>
      </c>
      <c r="D615" t="inlineStr">
        <is>
          <t>Shampoo Sedal Bomba Argán 340 Ml</t>
        </is>
      </c>
      <c r="E615" t="inlineStr">
        <is>
          <t>SEDAL</t>
        </is>
      </c>
      <c r="F615" t="n">
        <v>4450</v>
      </c>
      <c r="G615" t="n">
        <v>367769</v>
      </c>
      <c r="H615" t="b">
        <v>0</v>
      </c>
      <c r="I615" t="n">
        <v>340</v>
      </c>
      <c r="J615" t="n">
        <v>13.0882</v>
      </c>
      <c r="K615" t="inlineStr">
        <is>
          <t>&gt; Perfumería &gt; Cuidado Capilar &gt; Shampoo &gt;</t>
        </is>
      </c>
      <c r="L615" t="inlineStr">
        <is>
          <t>shampoo</t>
        </is>
      </c>
      <c r="M615" t="inlineStr">
        <is>
          <t>estandar</t>
        </is>
      </c>
      <c r="N615" t="inlineStr">
        <is>
          <t>general</t>
        </is>
      </c>
      <c r="O615" t="inlineStr">
        <is>
          <t>https://www.disco.com.ar/shampoo-sedal-bomba-argan-340-ml/p</t>
        </is>
      </c>
    </row>
    <row r="616">
      <c r="A616" s="10" t="inlineStr">
        <is>
          <t>Disco</t>
        </is>
      </c>
      <c r="B616" s="10" t="n">
        <v>389278</v>
      </c>
      <c r="C616" s="10" t="n">
        <v>387384</v>
      </c>
      <c r="D616" s="10" t="inlineStr">
        <is>
          <t>Shampoo Sedal Bomba Argán 650 Ml</t>
        </is>
      </c>
      <c r="E616" s="10" t="inlineStr">
        <is>
          <t>SEDAL</t>
        </is>
      </c>
      <c r="F616" s="10" t="n">
        <v>5850</v>
      </c>
      <c r="G616" s="10" t="n">
        <v>483471</v>
      </c>
      <c r="H616" s="10" t="b">
        <v>0</v>
      </c>
      <c r="I616" s="10" t="n">
        <v>650</v>
      </c>
      <c r="J616" s="10" t="n">
        <v>9</v>
      </c>
      <c r="K616" s="10" t="inlineStr">
        <is>
          <t>&gt; Perfumería &gt; Cuidado Capilar &gt; Shampoo &gt;</t>
        </is>
      </c>
      <c r="L616" s="10" t="inlineStr">
        <is>
          <t>shampoo</t>
        </is>
      </c>
      <c r="M616" s="10" t="inlineStr">
        <is>
          <t>estandar</t>
        </is>
      </c>
      <c r="N616" s="10" t="inlineStr">
        <is>
          <t>general</t>
        </is>
      </c>
      <c r="O616" s="10" t="inlineStr">
        <is>
          <t>https://www.disco.com.ar/shampoo-sedal-bomba-argan-650-ml-2/p</t>
        </is>
      </c>
    </row>
    <row r="617">
      <c r="A617" t="inlineStr">
        <is>
          <t>Disco</t>
        </is>
      </c>
      <c r="B617" t="n">
        <v>386618</v>
      </c>
      <c r="C617" t="n">
        <v>384897</v>
      </c>
      <c r="D617" t="inlineStr">
        <is>
          <t>Shampoo Head&amp;shoulders Men 3en1 375ml</t>
        </is>
      </c>
      <c r="E617" t="inlineStr">
        <is>
          <t>HEAD &amp; SHOULDERS</t>
        </is>
      </c>
      <c r="F617" t="n">
        <v>7927.19</v>
      </c>
      <c r="G617" t="n">
        <v>655140</v>
      </c>
      <c r="H617" t="b">
        <v>0</v>
      </c>
      <c r="I617" t="n">
        <v>375</v>
      </c>
      <c r="J617" t="n">
        <v>21.1392</v>
      </c>
      <c r="K617" t="inlineStr">
        <is>
          <t>&gt; Perfumería &gt; Cuidado Capilar &gt; Shampoo &gt;</t>
        </is>
      </c>
      <c r="L617" t="inlineStr">
        <is>
          <t>shampoo</t>
        </is>
      </c>
      <c r="M617" t="inlineStr">
        <is>
          <t>estandar</t>
        </is>
      </c>
      <c r="N617" t="inlineStr">
        <is>
          <t>general</t>
        </is>
      </c>
      <c r="O617" t="inlineStr">
        <is>
          <t>https://www.disco.com.ar/shampoo-head-shoulders-men-3en1-375ml/p</t>
        </is>
      </c>
    </row>
    <row r="618">
      <c r="A618" s="10" t="inlineStr">
        <is>
          <t>Disco</t>
        </is>
      </c>
      <c r="B618" s="10" t="n">
        <v>386532</v>
      </c>
      <c r="C618" s="10" t="n">
        <v>384703</v>
      </c>
      <c r="D618" s="10" t="inlineStr">
        <is>
          <t>Shampoo Algabo Eco Pack Pepino 300ml</t>
        </is>
      </c>
      <c r="E618" s="10" t="inlineStr">
        <is>
          <t>ALGABO</t>
        </is>
      </c>
      <c r="F618" s="10" t="n">
        <v>216.93</v>
      </c>
      <c r="G618" s="10" t="n">
        <v>17928</v>
      </c>
      <c r="H618" s="10" t="b">
        <v>0</v>
      </c>
      <c r="I618" s="10" t="n">
        <v>300</v>
      </c>
      <c r="J618" s="10" t="n">
        <v>0.7231</v>
      </c>
      <c r="K618" s="10" t="inlineStr">
        <is>
          <t>&gt; Perfumería &gt; Cuidado Capilar &gt; Shampoo &gt;</t>
        </is>
      </c>
      <c r="L618" s="10" t="inlineStr">
        <is>
          <t>tratamiento</t>
        </is>
      </c>
      <c r="M618" s="10" t="inlineStr">
        <is>
          <t>estandar</t>
        </is>
      </c>
      <c r="N618" s="10" t="inlineStr">
        <is>
          <t>general</t>
        </is>
      </c>
      <c r="O618" s="10" t="inlineStr">
        <is>
          <t>https://www.disco.com.ar/shampoo-algabo-eco-pack-pepino-300ml/p</t>
        </is>
      </c>
    </row>
    <row r="619">
      <c r="A619" t="inlineStr">
        <is>
          <t>Disco</t>
        </is>
      </c>
      <c r="B619" t="n">
        <v>384188</v>
      </c>
      <c r="C619" t="n">
        <v>382889</v>
      </c>
      <c r="D619" t="inlineStr">
        <is>
          <t>Shampoo Tresemme Detox Capilar 500 Ml</t>
        </is>
      </c>
      <c r="E619" t="inlineStr">
        <is>
          <t>TRESEMMÉ</t>
        </is>
      </c>
      <c r="F619" t="n">
        <v>1500</v>
      </c>
      <c r="G619" t="n">
        <v>123967</v>
      </c>
      <c r="H619" t="b">
        <v>0</v>
      </c>
      <c r="I619" t="n">
        <v>500</v>
      </c>
      <c r="J619" t="n">
        <v>3</v>
      </c>
      <c r="K619" t="inlineStr">
        <is>
          <t>&gt; Perfumería &gt; Cuidado Capilar &gt; Shampoo &gt;</t>
        </is>
      </c>
      <c r="L619" t="inlineStr">
        <is>
          <t>shampoo</t>
        </is>
      </c>
      <c r="M619" t="inlineStr">
        <is>
          <t>estandar</t>
        </is>
      </c>
      <c r="N619" t="inlineStr">
        <is>
          <t>general</t>
        </is>
      </c>
      <c r="O619" t="inlineStr">
        <is>
          <t>https://www.disco.com.ar/shampoo-tresemme-detox-capilar-500-ml-2/p</t>
        </is>
      </c>
    </row>
    <row r="620">
      <c r="A620" s="10" t="inlineStr">
        <is>
          <t>Disco</t>
        </is>
      </c>
      <c r="B620" s="10" t="n">
        <v>384187</v>
      </c>
      <c r="C620" s="10" t="n">
        <v>382888</v>
      </c>
      <c r="D620" s="10" t="inlineStr">
        <is>
          <t>Shampoo Tresemme Ondas Boho 880 Ml</t>
        </is>
      </c>
      <c r="E620" s="10" t="inlineStr">
        <is>
          <t>TRESEMMÉ</t>
        </is>
      </c>
      <c r="F620" s="10" t="n">
        <v>2750</v>
      </c>
      <c r="G620" s="10" t="n">
        <v>227273</v>
      </c>
      <c r="H620" s="10" t="b">
        <v>0</v>
      </c>
      <c r="I620" s="10" t="n">
        <v>880</v>
      </c>
      <c r="J620" s="10" t="n">
        <v>3.125</v>
      </c>
      <c r="K620" s="10" t="inlineStr">
        <is>
          <t>&gt; Perfumería &gt; Cuidado Capilar &gt; Shampoo &gt;</t>
        </is>
      </c>
      <c r="L620" s="10" t="inlineStr">
        <is>
          <t>shampoo</t>
        </is>
      </c>
      <c r="M620" s="10" t="inlineStr">
        <is>
          <t>estandar</t>
        </is>
      </c>
      <c r="N620" s="10" t="inlineStr">
        <is>
          <t>general</t>
        </is>
      </c>
      <c r="O620" s="10" t="inlineStr">
        <is>
          <t>https://www.disco.com.ar/shampoo-tresemme-ondas-boho-880-ml-2/p</t>
        </is>
      </c>
    </row>
    <row r="621">
      <c r="A621" t="inlineStr">
        <is>
          <t>Disco</t>
        </is>
      </c>
      <c r="B621" t="n">
        <v>383098</v>
      </c>
      <c r="C621" t="n">
        <v>381813</v>
      </c>
      <c r="D621" t="inlineStr">
        <is>
          <t>Tio Nacho Shampoo Engrosador 200 Ml</t>
        </is>
      </c>
      <c r="E621" t="inlineStr">
        <is>
          <t>SUAVE</t>
        </is>
      </c>
      <c r="F621" t="n">
        <v>7100</v>
      </c>
      <c r="G621" t="n">
        <v>586777</v>
      </c>
      <c r="H621" t="b">
        <v>0</v>
      </c>
      <c r="I621" t="n">
        <v>200</v>
      </c>
      <c r="J621" t="n">
        <v>35.5</v>
      </c>
      <c r="K621" t="inlineStr">
        <is>
          <t>&gt; Perfumería &gt; Cuidado Capilar &gt; Shampoo &gt;</t>
        </is>
      </c>
      <c r="L621" t="inlineStr">
        <is>
          <t>shampoo</t>
        </is>
      </c>
      <c r="M621" t="inlineStr">
        <is>
          <t>estandar</t>
        </is>
      </c>
      <c r="N621" t="inlineStr">
        <is>
          <t>general</t>
        </is>
      </c>
      <c r="O621" t="inlineStr">
        <is>
          <t>https://www.disco.com.ar/tio-nacho-shampoo-engrosador-200-ml/p</t>
        </is>
      </c>
    </row>
    <row r="622">
      <c r="A622" s="10" t="inlineStr">
        <is>
          <t>Disco</t>
        </is>
      </c>
      <c r="B622" s="10" t="n">
        <v>354058</v>
      </c>
      <c r="C622" s="10" t="n">
        <v>352689</v>
      </c>
      <c r="D622" s="10" t="inlineStr">
        <is>
          <t>Shampoo Elvive Color Vive Protector 400ml</t>
        </is>
      </c>
      <c r="E622" s="10" t="inlineStr">
        <is>
          <t>ELVIVE</t>
        </is>
      </c>
      <c r="F622" s="10" t="n">
        <v>1301.07</v>
      </c>
      <c r="G622" s="10" t="n">
        <v>107526</v>
      </c>
      <c r="H622" s="10" t="b">
        <v>0</v>
      </c>
      <c r="I622" s="10" t="n">
        <v>400</v>
      </c>
      <c r="J622" s="10" t="n">
        <v>3.2527</v>
      </c>
      <c r="K622" s="10" t="inlineStr">
        <is>
          <t>&gt; Perfumería &gt; Cuidado Capilar &gt; Shampoo &gt;</t>
        </is>
      </c>
      <c r="L622" s="10" t="inlineStr">
        <is>
          <t>shampoo</t>
        </is>
      </c>
      <c r="M622" s="10" t="inlineStr">
        <is>
          <t>profesional</t>
        </is>
      </c>
      <c r="N622" s="10" t="inlineStr">
        <is>
          <t>tratado</t>
        </is>
      </c>
      <c r="O622" s="10" t="inlineStr">
        <is>
          <t>https://www.disco.com.ar/shampoo-elvive-color-vive-protector-400ml/p</t>
        </is>
      </c>
    </row>
    <row r="623">
      <c r="A623" t="inlineStr">
        <is>
          <t>Disco</t>
        </is>
      </c>
      <c r="B623" t="n">
        <v>25406</v>
      </c>
      <c r="C623" t="n">
        <v>22566</v>
      </c>
      <c r="D623" t="inlineStr">
        <is>
          <t>Acondicionador Diario Pro-v Hidratación Extrema 170 Ml Pantene</t>
        </is>
      </c>
      <c r="E623" t="inlineStr">
        <is>
          <t>PANTENE</t>
        </is>
      </c>
      <c r="F623" t="n">
        <v>10100</v>
      </c>
      <c r="G623" t="n">
        <v>834711</v>
      </c>
      <c r="H623" t="b">
        <v>1</v>
      </c>
      <c r="I623" t="n">
        <v>170</v>
      </c>
      <c r="J623" t="n">
        <v>59.4118</v>
      </c>
      <c r="K623" t="inlineStr">
        <is>
          <t>&gt; Perfumería &gt; Cuidado Capilar &gt; Acondicionador &gt;</t>
        </is>
      </c>
      <c r="L623" t="inlineStr">
        <is>
          <t>acondicionador</t>
        </is>
      </c>
      <c r="M623" t="inlineStr">
        <is>
          <t>profesional</t>
        </is>
      </c>
      <c r="N623" t="inlineStr">
        <is>
          <t>seco_danado</t>
        </is>
      </c>
      <c r="O623" t="inlineStr">
        <is>
          <t>https://www.disco.com.ar/acondicionador-diario-pro-v-hidratacion-extrema-170-ml-pantene/p</t>
        </is>
      </c>
    </row>
    <row r="624">
      <c r="A624" s="10" t="inlineStr">
        <is>
          <t>Disco</t>
        </is>
      </c>
      <c r="B624" s="10" t="n">
        <v>3087382</v>
      </c>
      <c r="C624" s="10" t="n">
        <v>3086603</v>
      </c>
      <c r="D624" s="10" t="inlineStr">
        <is>
          <t>Acondicionador Dove Regeneracionretinol 650ml</t>
        </is>
      </c>
      <c r="E624" s="10" t="inlineStr">
        <is>
          <t>DOVE</t>
        </is>
      </c>
      <c r="F624" s="10" t="n">
        <v>17200</v>
      </c>
      <c r="G624" s="10" t="n">
        <v>1421488</v>
      </c>
      <c r="H624" s="10" t="b">
        <v>1</v>
      </c>
      <c r="I624" s="10" t="n">
        <v>650</v>
      </c>
      <c r="J624" s="10" t="n">
        <v>26.4615</v>
      </c>
      <c r="K624" s="10" t="inlineStr">
        <is>
          <t>&gt; Perfumería &gt; Cuidado Capilar &gt; Acondicionador &gt;</t>
        </is>
      </c>
      <c r="L624" s="10" t="inlineStr">
        <is>
          <t>acondicionador</t>
        </is>
      </c>
      <c r="M624" s="10" t="inlineStr">
        <is>
          <t>estandar</t>
        </is>
      </c>
      <c r="N624" s="10" t="inlineStr">
        <is>
          <t>general</t>
        </is>
      </c>
      <c r="O624" s="10" t="inlineStr">
        <is>
          <t>https://www.disco.com.ar/acondicionador-dove-regeneracionretinol-650ml/p</t>
        </is>
      </c>
    </row>
    <row r="625">
      <c r="A625" t="inlineStr">
        <is>
          <t>Disco</t>
        </is>
      </c>
      <c r="B625" t="n">
        <v>3087374</v>
      </c>
      <c r="C625" t="n">
        <v>3086595</v>
      </c>
      <c r="D625" t="inlineStr">
        <is>
          <t>Acondicionador Dove Reconstaminoacido 650ml</t>
        </is>
      </c>
      <c r="E625" t="inlineStr">
        <is>
          <t>DOVE</t>
        </is>
      </c>
      <c r="F625" t="n">
        <v>17200</v>
      </c>
      <c r="G625" t="n">
        <v>1421488</v>
      </c>
      <c r="H625" t="b">
        <v>1</v>
      </c>
      <c r="I625" t="n">
        <v>650</v>
      </c>
      <c r="J625" t="n">
        <v>26.4615</v>
      </c>
      <c r="K625" t="inlineStr">
        <is>
          <t>&gt; Perfumería &gt; Cuidado Capilar &gt; Acondicionador &gt;</t>
        </is>
      </c>
      <c r="L625" t="inlineStr">
        <is>
          <t>acondicionador</t>
        </is>
      </c>
      <c r="M625" t="inlineStr">
        <is>
          <t>estandar</t>
        </is>
      </c>
      <c r="N625" t="inlineStr">
        <is>
          <t>general</t>
        </is>
      </c>
      <c r="O625" t="inlineStr">
        <is>
          <t>https://www.disco.com.ar/acondicionador-dove-reconstaminoacido-650ml/p</t>
        </is>
      </c>
    </row>
    <row r="626">
      <c r="A626" s="10" t="inlineStr">
        <is>
          <t>Disco</t>
        </is>
      </c>
      <c r="B626" s="10" t="n">
        <v>404479</v>
      </c>
      <c r="C626" s="10" t="n">
        <v>401481</v>
      </c>
      <c r="D626" s="10" t="inlineStr">
        <is>
          <t>Acondicionador Nutritivo 420 Ml Capilatis</t>
        </is>
      </c>
      <c r="E626" s="10" t="inlineStr">
        <is>
          <t>CAPILATIS</t>
        </is>
      </c>
      <c r="F626" s="10" t="n">
        <v>9750</v>
      </c>
      <c r="G626" s="10" t="n">
        <v>805785</v>
      </c>
      <c r="H626" s="10" t="b">
        <v>1</v>
      </c>
      <c r="I626" s="10" t="n">
        <v>420</v>
      </c>
      <c r="J626" s="10" t="n">
        <v>23.2143</v>
      </c>
      <c r="K626" s="10" t="inlineStr">
        <is>
          <t>&gt; Perfumería &gt; Cuidado Capilar &gt; Acondicionador &gt;</t>
        </is>
      </c>
      <c r="L626" s="10" t="inlineStr">
        <is>
          <t>acondicionador</t>
        </is>
      </c>
      <c r="M626" s="10" t="inlineStr">
        <is>
          <t>estandar</t>
        </is>
      </c>
      <c r="N626" s="10" t="inlineStr">
        <is>
          <t>general</t>
        </is>
      </c>
      <c r="O626" s="10" t="inlineStr">
        <is>
          <t>https://www.disco.com.ar/acondicionador-nutritivo-420-ml-capilatis/p</t>
        </is>
      </c>
    </row>
    <row r="627">
      <c r="A627" t="inlineStr">
        <is>
          <t>Disco</t>
        </is>
      </c>
      <c r="B627" t="n">
        <v>3068263</v>
      </c>
      <c r="C627" t="n">
        <v>3068091</v>
      </c>
      <c r="D627" t="inlineStr">
        <is>
          <t>Acondicionador Probiotics 200 Ml Fructis</t>
        </is>
      </c>
      <c r="E627" t="inlineStr">
        <is>
          <t>FRUCTIS</t>
        </is>
      </c>
      <c r="F627" t="n">
        <v>5950</v>
      </c>
      <c r="G627" t="n">
        <v>491736</v>
      </c>
      <c r="H627" t="b">
        <v>1</v>
      </c>
      <c r="I627" t="n">
        <v>200</v>
      </c>
      <c r="J627" t="n">
        <v>29.75</v>
      </c>
      <c r="K627" t="inlineStr">
        <is>
          <t>&gt; Perfumería &gt; Cuidado Capilar &gt; Acondicionador &gt;</t>
        </is>
      </c>
      <c r="L627" t="inlineStr">
        <is>
          <t>acondicionador</t>
        </is>
      </c>
      <c r="M627" t="inlineStr">
        <is>
          <t>estandar</t>
        </is>
      </c>
      <c r="N627" t="inlineStr">
        <is>
          <t>general</t>
        </is>
      </c>
      <c r="O627" t="inlineStr">
        <is>
          <t>https://www.disco.com.ar/acondicionador-probiotics-x-200-ml-fructis-2/p</t>
        </is>
      </c>
    </row>
    <row r="628">
      <c r="A628" s="10" t="inlineStr">
        <is>
          <t>Disco</t>
        </is>
      </c>
      <c r="B628" s="10" t="n">
        <v>251370</v>
      </c>
      <c r="C628" s="10" t="n">
        <v>250672</v>
      </c>
      <c r="D628" s="10" t="inlineStr">
        <is>
          <t>Acondicionador Herbal Essences Argan400ml</t>
        </is>
      </c>
      <c r="E628" s="10" t="inlineStr">
        <is>
          <t>HERBAL ESSENCES</t>
        </is>
      </c>
      <c r="F628" s="10" t="n">
        <v>17500</v>
      </c>
      <c r="G628" s="10" t="n">
        <v>1446281</v>
      </c>
      <c r="H628" s="10" t="b">
        <v>1</v>
      </c>
      <c r="I628" s="10" t="n">
        <v>400</v>
      </c>
      <c r="J628" s="10" t="n">
        <v>43.75</v>
      </c>
      <c r="K628" s="10" t="inlineStr">
        <is>
          <t>&gt; Perfumería &gt; Cuidado Capilar &gt; Acondicionador &gt;</t>
        </is>
      </c>
      <c r="L628" s="10" t="inlineStr">
        <is>
          <t>acondicionador</t>
        </is>
      </c>
      <c r="M628" s="10" t="inlineStr">
        <is>
          <t>estandar</t>
        </is>
      </c>
      <c r="N628" s="10" t="inlineStr">
        <is>
          <t>general</t>
        </is>
      </c>
      <c r="O628" s="10" t="inlineStr">
        <is>
          <t>https://www.disco.com.ar/acondicionador-herbal-essences-argan400ml/p</t>
        </is>
      </c>
    </row>
    <row r="629">
      <c r="A629" t="inlineStr">
        <is>
          <t>Disco</t>
        </is>
      </c>
      <c r="B629" t="n">
        <v>251373</v>
      </c>
      <c r="C629" t="n">
        <v>250674</v>
      </c>
      <c r="D629" t="inlineStr">
        <is>
          <t>Acondicionador Herbal Essences Coconut 400ml</t>
        </is>
      </c>
      <c r="E629" t="inlineStr">
        <is>
          <t>HERBAL ESSENCES</t>
        </is>
      </c>
      <c r="F629" t="n">
        <v>17500</v>
      </c>
      <c r="G629" t="n">
        <v>1446281</v>
      </c>
      <c r="H629" t="b">
        <v>1</v>
      </c>
      <c r="I629" t="n">
        <v>400</v>
      </c>
      <c r="J629" t="n">
        <v>43.75</v>
      </c>
      <c r="K629" t="inlineStr">
        <is>
          <t>&gt; Perfumería &gt; Cuidado Capilar &gt; Acondicionador &gt;</t>
        </is>
      </c>
      <c r="L629" t="inlineStr">
        <is>
          <t>acondicionador</t>
        </is>
      </c>
      <c r="M629" t="inlineStr">
        <is>
          <t>estandar</t>
        </is>
      </c>
      <c r="N629" t="inlineStr">
        <is>
          <t>general</t>
        </is>
      </c>
      <c r="O629" t="inlineStr">
        <is>
          <t>https://www.disco.com.ar/acondicionador-herbal-essences-coconut-400ml/p</t>
        </is>
      </c>
    </row>
    <row r="630">
      <c r="A630" s="10" t="inlineStr">
        <is>
          <t>Disco</t>
        </is>
      </c>
      <c r="B630" s="10" t="n">
        <v>411246</v>
      </c>
      <c r="C630" s="10" t="n">
        <v>407086</v>
      </c>
      <c r="D630" s="10" t="inlineStr">
        <is>
          <t>Acondicionador Dove Hidratacion 400 Ml</t>
        </is>
      </c>
      <c r="E630" s="10" t="inlineStr">
        <is>
          <t>DOVE</t>
        </is>
      </c>
      <c r="F630" s="10" t="n">
        <v>9150</v>
      </c>
      <c r="G630" s="10" t="n">
        <v>756198</v>
      </c>
      <c r="H630" s="10" t="b">
        <v>1</v>
      </c>
      <c r="I630" s="10" t="n">
        <v>400</v>
      </c>
      <c r="J630" s="10" t="n">
        <v>22.875</v>
      </c>
      <c r="K630" s="10" t="inlineStr">
        <is>
          <t>&gt; Perfumería &gt; Cuidado Capilar &gt; Acondicionador &gt;</t>
        </is>
      </c>
      <c r="L630" s="10" t="inlineStr">
        <is>
          <t>acondicionador</t>
        </is>
      </c>
      <c r="M630" s="10" t="inlineStr">
        <is>
          <t>estandar</t>
        </is>
      </c>
      <c r="N630" s="10" t="inlineStr">
        <is>
          <t>seco_danado</t>
        </is>
      </c>
      <c r="O630" s="10" t="inlineStr">
        <is>
          <t>https://www.disco.com.ar/acondicionador-dove-hidratacion-400-ml/p</t>
        </is>
      </c>
    </row>
    <row r="631">
      <c r="A631" t="inlineStr">
        <is>
          <t>Disco</t>
        </is>
      </c>
      <c r="B631" t="n">
        <v>396962</v>
      </c>
      <c r="C631" t="n">
        <v>394718</v>
      </c>
      <c r="D631" t="inlineStr">
        <is>
          <t>Acondicionador Restauración 970 Ml Plusbelle</t>
        </is>
      </c>
      <c r="E631" t="inlineStr">
        <is>
          <t>PLUSBELLE</t>
        </is>
      </c>
      <c r="F631" t="n">
        <v>6500</v>
      </c>
      <c r="G631" t="n">
        <v>537190</v>
      </c>
      <c r="H631" t="b">
        <v>1</v>
      </c>
      <c r="I631" t="n">
        <v>970</v>
      </c>
      <c r="J631" t="n">
        <v>6.701</v>
      </c>
      <c r="K631" t="inlineStr">
        <is>
          <t>&gt; Perfumería &gt; Cuidado Capilar &gt; Acondicionador &gt;</t>
        </is>
      </c>
      <c r="L631" t="inlineStr">
        <is>
          <t>acondicionador</t>
        </is>
      </c>
      <c r="M631" t="inlineStr">
        <is>
          <t>estandar</t>
        </is>
      </c>
      <c r="N631" t="inlineStr">
        <is>
          <t>general</t>
        </is>
      </c>
      <c r="O631" t="inlineStr">
        <is>
          <t>https://www.disco.com.ar/acondicionador-esencia-restauracion-970-ml-plusbelle/p</t>
        </is>
      </c>
    </row>
    <row r="632">
      <c r="A632" s="10" t="inlineStr">
        <is>
          <t>Disco</t>
        </is>
      </c>
      <c r="B632" s="10" t="n">
        <v>393565</v>
      </c>
      <c r="C632" s="10" t="n">
        <v>391593</v>
      </c>
      <c r="D632" s="10" t="inlineStr">
        <is>
          <t>Acondicionador Dove Regeneración Extrema 400 Ml</t>
        </is>
      </c>
      <c r="E632" s="10" t="inlineStr">
        <is>
          <t>DOVE</t>
        </is>
      </c>
      <c r="F632" s="10" t="n">
        <v>9150</v>
      </c>
      <c r="G632" s="10" t="n">
        <v>756198</v>
      </c>
      <c r="H632" s="10" t="b">
        <v>1</v>
      </c>
      <c r="I632" s="10" t="n">
        <v>400</v>
      </c>
      <c r="J632" s="10" t="n">
        <v>22.875</v>
      </c>
      <c r="K632" s="10" t="inlineStr">
        <is>
          <t>&gt; Perfumería &gt; Cuidado Capilar &gt; Acondicionador &gt;</t>
        </is>
      </c>
      <c r="L632" s="10" t="inlineStr">
        <is>
          <t>acondicionador</t>
        </is>
      </c>
      <c r="M632" s="10" t="inlineStr">
        <is>
          <t>estandar</t>
        </is>
      </c>
      <c r="N632" s="10" t="inlineStr">
        <is>
          <t>general</t>
        </is>
      </c>
      <c r="O632" s="10" t="inlineStr">
        <is>
          <t>https://www.disco.com.ar/acondicionador-dove-regeneracion-extrema-400-ml-3/p</t>
        </is>
      </c>
    </row>
    <row r="633">
      <c r="A633" t="inlineStr">
        <is>
          <t>Disco</t>
        </is>
      </c>
      <c r="B633" t="n">
        <v>397159</v>
      </c>
      <c r="C633" t="n">
        <v>394900</v>
      </c>
      <c r="D633" t="inlineStr">
        <is>
          <t>Acondicionador Sedal Ceramidas Botella 340 Ml</t>
        </is>
      </c>
      <c r="E633" t="inlineStr">
        <is>
          <t>SEDAL</t>
        </is>
      </c>
      <c r="F633" t="n">
        <v>5439</v>
      </c>
      <c r="G633" t="n">
        <v>449504</v>
      </c>
      <c r="H633" t="b">
        <v>1</v>
      </c>
      <c r="I633" t="n">
        <v>340</v>
      </c>
      <c r="J633" t="n">
        <v>15.9971</v>
      </c>
      <c r="K633" t="inlineStr">
        <is>
          <t>&gt; Perfumería &gt; Cuidado Capilar &gt; Acondicionador &gt;</t>
        </is>
      </c>
      <c r="L633" t="inlineStr">
        <is>
          <t>acondicionador</t>
        </is>
      </c>
      <c r="M633" t="inlineStr">
        <is>
          <t>estandar</t>
        </is>
      </c>
      <c r="N633" t="inlineStr">
        <is>
          <t>general</t>
        </is>
      </c>
      <c r="O633" t="inlineStr">
        <is>
          <t>https://www.disco.com.ar/acondicionador-sedal-ceramidas-botella-340-ml-2/p</t>
        </is>
      </c>
    </row>
    <row r="634">
      <c r="A634" s="10" t="inlineStr">
        <is>
          <t>Disco</t>
        </is>
      </c>
      <c r="B634" s="10" t="n">
        <v>3070278</v>
      </c>
      <c r="C634" s="10" t="n">
        <v>3069871</v>
      </c>
      <c r="D634" s="10" t="inlineStr">
        <is>
          <t>Acondicionador Cauterización Reparadora 500 Ml Tresemmé</t>
        </is>
      </c>
      <c r="E634" s="10" t="inlineStr">
        <is>
          <t>TRESEMMÉ</t>
        </is>
      </c>
      <c r="F634" s="10" t="n">
        <v>10900</v>
      </c>
      <c r="G634" s="10" t="n">
        <v>900826</v>
      </c>
      <c r="H634" s="10" t="b">
        <v>1</v>
      </c>
      <c r="I634" s="10" t="n">
        <v>500</v>
      </c>
      <c r="J634" s="10" t="n">
        <v>21.8</v>
      </c>
      <c r="K634" s="10" t="inlineStr">
        <is>
          <t>&gt; Perfumería &gt; Cuidado Capilar &gt; Acondicionador &gt;</t>
        </is>
      </c>
      <c r="L634" s="10" t="inlineStr">
        <is>
          <t>acondicionador</t>
        </is>
      </c>
      <c r="M634" s="10" t="inlineStr">
        <is>
          <t>estandar</t>
        </is>
      </c>
      <c r="N634" s="10" t="inlineStr">
        <is>
          <t>general</t>
        </is>
      </c>
      <c r="O634" s="10" t="inlineStr">
        <is>
          <t>https://www.disco.com.ar/acondicionador-cauterizacion-reparadora-x-500-ml-tresemme/p</t>
        </is>
      </c>
    </row>
    <row r="635">
      <c r="A635" t="inlineStr">
        <is>
          <t>Disco</t>
        </is>
      </c>
      <c r="B635" t="n">
        <v>3066239</v>
      </c>
      <c r="C635" t="n">
        <v>3066155</v>
      </c>
      <c r="D635" t="inlineStr">
        <is>
          <t>Acondicionador Luminous UV 340 Ml Sedal</t>
        </is>
      </c>
      <c r="E635" t="inlineStr">
        <is>
          <t>SEDAL</t>
        </is>
      </c>
      <c r="F635" t="n">
        <v>5469</v>
      </c>
      <c r="G635" t="n">
        <v>451983</v>
      </c>
      <c r="H635" t="b">
        <v>1</v>
      </c>
      <c r="I635" t="n">
        <v>340</v>
      </c>
      <c r="J635" t="n">
        <v>16.0853</v>
      </c>
      <c r="K635" t="inlineStr">
        <is>
          <t>&gt; Perfumería &gt; Cuidado Capilar &gt; Acondicionador &gt;</t>
        </is>
      </c>
      <c r="L635" t="inlineStr">
        <is>
          <t>acondicionador</t>
        </is>
      </c>
      <c r="M635" t="inlineStr">
        <is>
          <t>estandar</t>
        </is>
      </c>
      <c r="N635" t="inlineStr">
        <is>
          <t>general</t>
        </is>
      </c>
      <c r="O635" t="inlineStr">
        <is>
          <t>https://www.disco.com.ar/acondicionador-luminous-uv-x-340-ml-sedal-2/p</t>
        </is>
      </c>
    </row>
    <row r="636">
      <c r="A636" s="10" t="inlineStr">
        <is>
          <t>Disco</t>
        </is>
      </c>
      <c r="B636" s="10" t="n">
        <v>415569</v>
      </c>
      <c r="C636" s="10" t="n">
        <v>411153</v>
      </c>
      <c r="D636" s="10" t="inlineStr">
        <is>
          <t>Acondicionador Liso Infinito 400 Ml Pantene</t>
        </is>
      </c>
      <c r="E636" s="10" t="inlineStr">
        <is>
          <t>PANTENE</t>
        </is>
      </c>
      <c r="F636" s="10" t="n">
        <v>10550</v>
      </c>
      <c r="G636" s="10" t="n">
        <v>871901</v>
      </c>
      <c r="H636" s="10" t="b">
        <v>1</v>
      </c>
      <c r="I636" s="10" t="n">
        <v>400</v>
      </c>
      <c r="J636" s="10" t="n">
        <v>26.375</v>
      </c>
      <c r="K636" s="10" t="inlineStr">
        <is>
          <t>&gt; Perfumería &gt; Cuidado Capilar &gt; Acondicionador &gt;</t>
        </is>
      </c>
      <c r="L636" s="10" t="inlineStr">
        <is>
          <t>acondicionador</t>
        </is>
      </c>
      <c r="M636" s="10" t="inlineStr">
        <is>
          <t>estandar</t>
        </is>
      </c>
      <c r="N636" s="10" t="inlineStr">
        <is>
          <t>general</t>
        </is>
      </c>
      <c r="O636" s="10" t="inlineStr">
        <is>
          <t>https://www.disco.com.ar/acondicionador-pro-v-miracles-liso-infinito-400-ml-pantene/p</t>
        </is>
      </c>
    </row>
    <row r="637">
      <c r="A637" t="inlineStr">
        <is>
          <t>Disco</t>
        </is>
      </c>
      <c r="B637" t="n">
        <v>400517</v>
      </c>
      <c r="C637" t="n">
        <v>397855</v>
      </c>
      <c r="D637" t="inlineStr">
        <is>
          <t>Acondicionador Hidra Hialurónico 200 Ml Elvive</t>
        </is>
      </c>
      <c r="E637" t="inlineStr">
        <is>
          <t>ELVIVE</t>
        </is>
      </c>
      <c r="F637" t="n">
        <v>7450</v>
      </c>
      <c r="G637" t="n">
        <v>615702</v>
      </c>
      <c r="H637" t="b">
        <v>1</v>
      </c>
      <c r="I637" t="n">
        <v>200</v>
      </c>
      <c r="J637" t="n">
        <v>37.25</v>
      </c>
      <c r="K637" t="inlineStr">
        <is>
          <t>&gt; Perfumería &gt; Cuidado Capilar &gt; Acondicionador &gt;</t>
        </is>
      </c>
      <c r="L637" t="inlineStr">
        <is>
          <t>acondicionador</t>
        </is>
      </c>
      <c r="M637" t="inlineStr">
        <is>
          <t>profesional</t>
        </is>
      </c>
      <c r="N637" t="inlineStr">
        <is>
          <t>general</t>
        </is>
      </c>
      <c r="O637" t="inlineStr">
        <is>
          <t>https://www.disco.com.ar/acodicionador-elvive-hidra-hialuronico-200-ml/p</t>
        </is>
      </c>
    </row>
    <row r="638">
      <c r="A638" s="10" t="inlineStr">
        <is>
          <t>Disco</t>
        </is>
      </c>
      <c r="B638" s="10" t="n">
        <v>397916</v>
      </c>
      <c r="C638" s="10" t="n">
        <v>395651</v>
      </c>
      <c r="D638" s="10" t="inlineStr">
        <is>
          <t>Acondicionador Liso Perfecto 340 Ml Sedal</t>
        </is>
      </c>
      <c r="E638" s="10" t="inlineStr">
        <is>
          <t>SEDAL</t>
        </is>
      </c>
      <c r="F638" s="10" t="n">
        <v>5437</v>
      </c>
      <c r="G638" s="10" t="n">
        <v>449339</v>
      </c>
      <c r="H638" s="10" t="b">
        <v>1</v>
      </c>
      <c r="I638" s="10" t="n">
        <v>340</v>
      </c>
      <c r="J638" s="10" t="n">
        <v>15.9912</v>
      </c>
      <c r="K638" s="10" t="inlineStr">
        <is>
          <t>&gt; Perfumería &gt; Cuidado Capilar &gt; Acondicionador &gt;</t>
        </is>
      </c>
      <c r="L638" s="10" t="inlineStr">
        <is>
          <t>acondicionador</t>
        </is>
      </c>
      <c r="M638" s="10" t="inlineStr">
        <is>
          <t>estandar</t>
        </is>
      </c>
      <c r="N638" s="10" t="inlineStr">
        <is>
          <t>general</t>
        </is>
      </c>
      <c r="O638" s="10" t="inlineStr">
        <is>
          <t>https://www.disco.com.ar/acondicionador-liso-perfecto-340-ml-sedal/p</t>
        </is>
      </c>
    </row>
    <row r="639">
      <c r="A639" t="inlineStr">
        <is>
          <t>Disco</t>
        </is>
      </c>
      <c r="B639" t="n">
        <v>416913</v>
      </c>
      <c r="C639" t="n">
        <v>412457</v>
      </c>
      <c r="D639" t="inlineStr">
        <is>
          <t>Acondicionador Elvive Extraordinario Rizos 400 Ml</t>
        </is>
      </c>
      <c r="E639" t="inlineStr">
        <is>
          <t>ELVIVE</t>
        </is>
      </c>
      <c r="F639" t="n">
        <v>11900</v>
      </c>
      <c r="G639" t="n">
        <v>983471</v>
      </c>
      <c r="H639" t="b">
        <v>1</v>
      </c>
      <c r="I639" t="n">
        <v>400</v>
      </c>
      <c r="J639" t="n">
        <v>29.75</v>
      </c>
      <c r="K639" t="inlineStr">
        <is>
          <t>&gt; Perfumería &gt; Cuidado Capilar &gt; Acondicionador &gt;</t>
        </is>
      </c>
      <c r="L639" t="inlineStr">
        <is>
          <t>acondicionador</t>
        </is>
      </c>
      <c r="M639" t="inlineStr">
        <is>
          <t>profesional</t>
        </is>
      </c>
      <c r="N639" t="inlineStr">
        <is>
          <t>rizado</t>
        </is>
      </c>
      <c r="O639" t="inlineStr">
        <is>
          <t>https://www.disco.com.ar/acondicionador-elvive-extraordinario-rizos-400-ml/p</t>
        </is>
      </c>
    </row>
    <row r="640">
      <c r="A640" s="10" t="inlineStr">
        <is>
          <t>Disco</t>
        </is>
      </c>
      <c r="B640" s="10" t="n">
        <v>400529</v>
      </c>
      <c r="C640" s="10" t="n">
        <v>397867</v>
      </c>
      <c r="D640" s="10" t="inlineStr">
        <is>
          <t>Acondicionador Hidra Hialurónico 750 Ml Elvive</t>
        </is>
      </c>
      <c r="E640" s="10" t="inlineStr">
        <is>
          <t>ELVIVE</t>
        </is>
      </c>
      <c r="F640" s="10" t="n">
        <v>19150</v>
      </c>
      <c r="G640" s="10" t="n">
        <v>1582645</v>
      </c>
      <c r="H640" s="10" t="b">
        <v>1</v>
      </c>
      <c r="I640" s="10" t="n">
        <v>750</v>
      </c>
      <c r="J640" s="10" t="n">
        <v>25.5333</v>
      </c>
      <c r="K640" s="10" t="inlineStr">
        <is>
          <t>&gt; Perfumería &gt; Cuidado Capilar &gt; Acondicionador &gt;</t>
        </is>
      </c>
      <c r="L640" s="10" t="inlineStr">
        <is>
          <t>acondicionador</t>
        </is>
      </c>
      <c r="M640" s="10" t="inlineStr">
        <is>
          <t>profesional</t>
        </is>
      </c>
      <c r="N640" s="10" t="inlineStr">
        <is>
          <t>general</t>
        </is>
      </c>
      <c r="O640" s="10" t="inlineStr">
        <is>
          <t>https://www.disco.com.ar/acodicionador-elvive-hidra-con-acido-hialuronico-750-ml/p</t>
        </is>
      </c>
    </row>
    <row r="641">
      <c r="A641" t="inlineStr">
        <is>
          <t>Disco</t>
        </is>
      </c>
      <c r="B641" t="n">
        <v>397911</v>
      </c>
      <c r="C641" t="n">
        <v>395646</v>
      </c>
      <c r="D641" t="inlineStr">
        <is>
          <t>Acondicionador Sedal Ceramidas Botella 650 Ml</t>
        </is>
      </c>
      <c r="E641" t="inlineStr">
        <is>
          <t>SEDAL</t>
        </is>
      </c>
      <c r="F641" t="n">
        <v>9000</v>
      </c>
      <c r="G641" t="n">
        <v>743802</v>
      </c>
      <c r="H641" t="b">
        <v>1</v>
      </c>
      <c r="I641" t="n">
        <v>650</v>
      </c>
      <c r="J641" t="n">
        <v>13.8462</v>
      </c>
      <c r="K641" t="inlineStr">
        <is>
          <t>&gt; Perfumería &gt; Cuidado Capilar &gt; Acondicionador &gt;</t>
        </is>
      </c>
      <c r="L641" t="inlineStr">
        <is>
          <t>acondicionador</t>
        </is>
      </c>
      <c r="M641" t="inlineStr">
        <is>
          <t>estandar</t>
        </is>
      </c>
      <c r="N641" t="inlineStr">
        <is>
          <t>general</t>
        </is>
      </c>
      <c r="O641" t="inlineStr">
        <is>
          <t>https://www.disco.com.ar/acondicionador-sedal-ceramidas-botella-650-ml-2/p</t>
        </is>
      </c>
    </row>
    <row r="642">
      <c r="A642" s="10" t="inlineStr">
        <is>
          <t>Disco</t>
        </is>
      </c>
      <c r="B642" s="10" t="n">
        <v>22051</v>
      </c>
      <c r="C642" s="10" t="n">
        <v>19214</v>
      </c>
      <c r="D642" s="10" t="inlineStr">
        <is>
          <t>Acondicionador Brillo Extremo 410 Ml Capilatis Acondicionador Capilatis Brillo Extremo 410 Ml</t>
        </is>
      </c>
      <c r="E642" s="10" t="inlineStr">
        <is>
          <t>CAPILATIS</t>
        </is>
      </c>
      <c r="F642" s="10" t="n">
        <v>9750</v>
      </c>
      <c r="G642" s="10" t="n">
        <v>805785</v>
      </c>
      <c r="H642" s="10" t="b">
        <v>1</v>
      </c>
      <c r="I642" s="10" t="n">
        <v>410</v>
      </c>
      <c r="J642" s="10" t="n">
        <v>23.7805</v>
      </c>
      <c r="K642" s="10" t="inlineStr">
        <is>
          <t>&gt; Perfumería &gt; Cuidado Capilar &gt; Acondicionador &gt;</t>
        </is>
      </c>
      <c r="L642" s="10" t="inlineStr">
        <is>
          <t>acondicionador</t>
        </is>
      </c>
      <c r="M642" s="10" t="inlineStr">
        <is>
          <t>estandar</t>
        </is>
      </c>
      <c r="N642" s="10" t="inlineStr">
        <is>
          <t>general</t>
        </is>
      </c>
      <c r="O642" s="10" t="inlineStr">
        <is>
          <t>https://www.disco.com.ar/acondicionador-capilatis-brillo-extremo-410-ml/p</t>
        </is>
      </c>
    </row>
    <row r="643">
      <c r="A643" t="inlineStr">
        <is>
          <t>Disco</t>
        </is>
      </c>
      <c r="B643" t="n">
        <v>393570</v>
      </c>
      <c r="C643" t="n">
        <v>391598</v>
      </c>
      <c r="D643" t="inlineStr">
        <is>
          <t>Acondicionador Dove Regeneración Extrema 200 Ml</t>
        </is>
      </c>
      <c r="E643" t="inlineStr">
        <is>
          <t>DOVE</t>
        </is>
      </c>
      <c r="F643" t="n">
        <v>6150</v>
      </c>
      <c r="G643" t="n">
        <v>508264</v>
      </c>
      <c r="H643" t="b">
        <v>1</v>
      </c>
      <c r="I643" t="n">
        <v>200</v>
      </c>
      <c r="J643" t="n">
        <v>30.75</v>
      </c>
      <c r="K643" t="inlineStr">
        <is>
          <t>&gt; Perfumería &gt; Cuidado Capilar &gt; Acondicionador &gt;</t>
        </is>
      </c>
      <c r="L643" t="inlineStr">
        <is>
          <t>acondicionador</t>
        </is>
      </c>
      <c r="M643" t="inlineStr">
        <is>
          <t>estandar</t>
        </is>
      </c>
      <c r="N643" t="inlineStr">
        <is>
          <t>general</t>
        </is>
      </c>
      <c r="O643" t="inlineStr">
        <is>
          <t>https://www.disco.com.ar/acondicionador-dove-regeneracion-extrema-200-ml-2/p</t>
        </is>
      </c>
    </row>
    <row r="644">
      <c r="A644" s="10" t="inlineStr">
        <is>
          <t>Disco</t>
        </is>
      </c>
      <c r="B644" s="10" t="n">
        <v>393569</v>
      </c>
      <c r="C644" s="10" t="n">
        <v>391597</v>
      </c>
      <c r="D644" s="10" t="inlineStr">
        <is>
          <t>Acondicionador Dove Reconstrucción Completa 400 Ml</t>
        </is>
      </c>
      <c r="E644" s="10" t="inlineStr">
        <is>
          <t>DOVE</t>
        </is>
      </c>
      <c r="F644" s="10" t="n">
        <v>9150</v>
      </c>
      <c r="G644" s="10" t="n">
        <v>756198</v>
      </c>
      <c r="H644" s="10" t="b">
        <v>1</v>
      </c>
      <c r="I644" s="10" t="n">
        <v>400</v>
      </c>
      <c r="J644" s="10" t="n">
        <v>22.875</v>
      </c>
      <c r="K644" s="10" t="inlineStr">
        <is>
          <t>&gt; Perfumería &gt; Cuidado Capilar &gt; Acondicionador &gt;</t>
        </is>
      </c>
      <c r="L644" s="10" t="inlineStr">
        <is>
          <t>acondicionador</t>
        </is>
      </c>
      <c r="M644" s="10" t="inlineStr">
        <is>
          <t>estandar</t>
        </is>
      </c>
      <c r="N644" s="10" t="inlineStr">
        <is>
          <t>general</t>
        </is>
      </c>
      <c r="O644" s="10" t="inlineStr">
        <is>
          <t>https://www.disco.com.ar/acondicionador-dove-reconstruccion-completa-400-ml-3/p</t>
        </is>
      </c>
    </row>
    <row r="645">
      <c r="A645" t="inlineStr">
        <is>
          <t>Disco</t>
        </is>
      </c>
      <c r="B645" t="n">
        <v>407565</v>
      </c>
      <c r="C645" t="n">
        <v>403754</v>
      </c>
      <c r="D645" t="inlineStr">
        <is>
          <t>Acondicionador Elvive Reparación Total 400 Ml</t>
        </is>
      </c>
      <c r="E645" t="inlineStr">
        <is>
          <t>ELVIVE</t>
        </is>
      </c>
      <c r="F645" t="n">
        <v>12300</v>
      </c>
      <c r="G645" t="n">
        <v>1016529</v>
      </c>
      <c r="H645" t="b">
        <v>1</v>
      </c>
      <c r="I645" t="n">
        <v>400</v>
      </c>
      <c r="J645" t="n">
        <v>30.75</v>
      </c>
      <c r="K645" t="inlineStr">
        <is>
          <t>&gt; Perfumería &gt; Cuidado Capilar &gt; Acondicionador &gt;</t>
        </is>
      </c>
      <c r="L645" t="inlineStr">
        <is>
          <t>acondicionador</t>
        </is>
      </c>
      <c r="M645" t="inlineStr">
        <is>
          <t>profesional</t>
        </is>
      </c>
      <c r="N645" t="inlineStr">
        <is>
          <t>general</t>
        </is>
      </c>
      <c r="O645" t="inlineStr">
        <is>
          <t>https://www.disco.com.ar/acondicionador-elvive-reparacion-total-400-ml/p</t>
        </is>
      </c>
    </row>
    <row r="646">
      <c r="A646" s="10" t="inlineStr">
        <is>
          <t>Disco</t>
        </is>
      </c>
      <c r="B646" s="10" t="n">
        <v>400612</v>
      </c>
      <c r="C646" s="10" t="n">
        <v>397950</v>
      </c>
      <c r="D646" s="10" t="inlineStr">
        <is>
          <t>Acondicionador Hidra Hialurónico 400 Ml Elvive</t>
        </is>
      </c>
      <c r="E646" s="10" t="inlineStr">
        <is>
          <t>ELVIVE</t>
        </is>
      </c>
      <c r="F646" s="10" t="n">
        <v>12300</v>
      </c>
      <c r="G646" s="10" t="n">
        <v>1016529</v>
      </c>
      <c r="H646" s="10" t="b">
        <v>1</v>
      </c>
      <c r="I646" s="10" t="n">
        <v>400</v>
      </c>
      <c r="J646" s="10" t="n">
        <v>30.75</v>
      </c>
      <c r="K646" s="10" t="inlineStr">
        <is>
          <t>&gt; Perfumería &gt; Cuidado Capilar &gt; Acondicionador &gt;</t>
        </is>
      </c>
      <c r="L646" s="10" t="inlineStr">
        <is>
          <t>acondicionador</t>
        </is>
      </c>
      <c r="M646" s="10" t="inlineStr">
        <is>
          <t>profesional</t>
        </is>
      </c>
      <c r="N646" s="10" t="inlineStr">
        <is>
          <t>general</t>
        </is>
      </c>
      <c r="O646" s="10" t="inlineStr">
        <is>
          <t>https://www.disco.com.ar/acondicionador-elvive-loreal-paris-hidra-hialuronico-400-ml/p</t>
        </is>
      </c>
    </row>
    <row r="647">
      <c r="A647" t="inlineStr">
        <is>
          <t>Disco</t>
        </is>
      </c>
      <c r="B647" t="n">
        <v>397623</v>
      </c>
      <c r="C647" t="n">
        <v>395356</v>
      </c>
      <c r="D647" t="inlineStr">
        <is>
          <t>Acondicionador Hialurónico Pure 400 Ml Elvive</t>
        </is>
      </c>
      <c r="E647" t="inlineStr">
        <is>
          <t>ELVIVE</t>
        </is>
      </c>
      <c r="F647" t="n">
        <v>12300</v>
      </c>
      <c r="G647" t="n">
        <v>1016529</v>
      </c>
      <c r="H647" t="b">
        <v>1</v>
      </c>
      <c r="I647" t="n">
        <v>400</v>
      </c>
      <c r="J647" t="n">
        <v>30.75</v>
      </c>
      <c r="K647" t="inlineStr">
        <is>
          <t>&gt; Perfumería &gt; Cuidado Capilar &gt; Acondicionador &gt;</t>
        </is>
      </c>
      <c r="L647" t="inlineStr">
        <is>
          <t>acondicionador</t>
        </is>
      </c>
      <c r="M647" t="inlineStr">
        <is>
          <t>profesional</t>
        </is>
      </c>
      <c r="N647" t="inlineStr">
        <is>
          <t>general</t>
        </is>
      </c>
      <c r="O647" t="inlineStr">
        <is>
          <t>https://www.disco.com.ar/acondicionador-elvive-hialuronico-pure-400-ml/p</t>
        </is>
      </c>
    </row>
    <row r="648">
      <c r="A648" s="10" t="inlineStr">
        <is>
          <t>Disco</t>
        </is>
      </c>
      <c r="B648" s="10" t="n">
        <v>3070284</v>
      </c>
      <c r="C648" s="10" t="n">
        <v>3069877</v>
      </c>
      <c r="D648" s="10" t="inlineStr">
        <is>
          <t>Acondicionador Ondas Boho 500 Ml Tresemmé</t>
        </is>
      </c>
      <c r="E648" s="10" t="inlineStr">
        <is>
          <t>TRESEMMÉ</t>
        </is>
      </c>
      <c r="F648" s="10" t="n">
        <v>10900</v>
      </c>
      <c r="G648" s="10" t="n">
        <v>900826</v>
      </c>
      <c r="H648" s="10" t="b">
        <v>1</v>
      </c>
      <c r="I648" s="10" t="n">
        <v>500</v>
      </c>
      <c r="J648" s="10" t="n">
        <v>21.8</v>
      </c>
      <c r="K648" s="10" t="inlineStr">
        <is>
          <t>&gt; Perfumería &gt; Cuidado Capilar &gt; Acondicionador &gt;</t>
        </is>
      </c>
      <c r="L648" s="10" t="inlineStr">
        <is>
          <t>acondicionador</t>
        </is>
      </c>
      <c r="M648" s="10" t="inlineStr">
        <is>
          <t>estandar</t>
        </is>
      </c>
      <c r="N648" s="10" t="inlineStr">
        <is>
          <t>general</t>
        </is>
      </c>
      <c r="O648" s="10" t="inlineStr">
        <is>
          <t>https://www.disco.com.ar/acondicionador-ondas-boho-x-500-ml-tresemme-2/p</t>
        </is>
      </c>
    </row>
    <row r="649">
      <c r="A649" t="inlineStr">
        <is>
          <t>Disco</t>
        </is>
      </c>
      <c r="B649" t="n">
        <v>3070276</v>
      </c>
      <c r="C649" t="n">
        <v>3069869</v>
      </c>
      <c r="D649" t="inlineStr">
        <is>
          <t>Acondicionador Brillo Lamelar 500 Ml Tresemmé</t>
        </is>
      </c>
      <c r="E649" t="inlineStr">
        <is>
          <t>TRESEMMÉ</t>
        </is>
      </c>
      <c r="F649" t="n">
        <v>10900</v>
      </c>
      <c r="G649" t="n">
        <v>900826</v>
      </c>
      <c r="H649" t="b">
        <v>1</v>
      </c>
      <c r="I649" t="n">
        <v>500</v>
      </c>
      <c r="J649" t="n">
        <v>21.8</v>
      </c>
      <c r="K649" t="inlineStr">
        <is>
          <t>&gt; Perfumería &gt; Cuidado Capilar &gt; Acondicionador &gt;</t>
        </is>
      </c>
      <c r="L649" t="inlineStr">
        <is>
          <t>acondicionador</t>
        </is>
      </c>
      <c r="M649" t="inlineStr">
        <is>
          <t>estandar</t>
        </is>
      </c>
      <c r="N649" t="inlineStr">
        <is>
          <t>general</t>
        </is>
      </c>
      <c r="O649" t="inlineStr">
        <is>
          <t>https://www.disco.com.ar/acondicionador-brillo-lamelar-x-500-ml-tresemme-2/p</t>
        </is>
      </c>
    </row>
    <row r="650">
      <c r="A650" s="10" t="inlineStr">
        <is>
          <t>Disco</t>
        </is>
      </c>
      <c r="B650" s="10" t="n">
        <v>397908</v>
      </c>
      <c r="C650" s="10" t="n">
        <v>395643</v>
      </c>
      <c r="D650" s="10" t="inlineStr">
        <is>
          <t>Acondicionador Restauración Instantánea 340 Ml Sedal</t>
        </is>
      </c>
      <c r="E650" s="10" t="inlineStr">
        <is>
          <t>SEDAL</t>
        </is>
      </c>
      <c r="F650" s="10" t="n">
        <v>5600</v>
      </c>
      <c r="G650" s="10" t="n">
        <v>462810</v>
      </c>
      <c r="H650" s="10" t="b">
        <v>1</v>
      </c>
      <c r="I650" s="10" t="n">
        <v>340</v>
      </c>
      <c r="J650" s="10" t="n">
        <v>16.4706</v>
      </c>
      <c r="K650" s="10" t="inlineStr">
        <is>
          <t>&gt; Perfumería &gt; Cuidado Capilar &gt; Acondicionador &gt;</t>
        </is>
      </c>
      <c r="L650" s="10" t="inlineStr">
        <is>
          <t>acondicionador</t>
        </is>
      </c>
      <c r="M650" s="10" t="inlineStr">
        <is>
          <t>estandar</t>
        </is>
      </c>
      <c r="N650" s="10" t="inlineStr">
        <is>
          <t>general</t>
        </is>
      </c>
      <c r="O650" s="10" t="inlineStr">
        <is>
          <t>https://www.disco.com.ar/acondicionador-restauracion-instantanea-340-ml-sedal/p</t>
        </is>
      </c>
    </row>
    <row r="651">
      <c r="A651" t="inlineStr">
        <is>
          <t>Disco</t>
        </is>
      </c>
      <c r="B651" t="n">
        <v>397629</v>
      </c>
      <c r="C651" t="n">
        <v>395362</v>
      </c>
      <c r="D651" t="inlineStr">
        <is>
          <t>Acondicionador Elvive Hialuronico Pure 200 Ml</t>
        </is>
      </c>
      <c r="E651" t="inlineStr">
        <is>
          <t>ELVIVE</t>
        </is>
      </c>
      <c r="F651" t="n">
        <v>7650</v>
      </c>
      <c r="G651" t="n">
        <v>632231</v>
      </c>
      <c r="H651" t="b">
        <v>1</v>
      </c>
      <c r="I651" t="n">
        <v>200</v>
      </c>
      <c r="J651" t="n">
        <v>38.25</v>
      </c>
      <c r="K651" t="inlineStr">
        <is>
          <t>&gt; Perfumería &gt; Cuidado Capilar &gt; Acondicionador &gt;</t>
        </is>
      </c>
      <c r="L651" t="inlineStr">
        <is>
          <t>acondicionador</t>
        </is>
      </c>
      <c r="M651" t="inlineStr">
        <is>
          <t>profesional</t>
        </is>
      </c>
      <c r="N651" t="inlineStr">
        <is>
          <t>general</t>
        </is>
      </c>
      <c r="O651" t="inlineStr">
        <is>
          <t>https://www.disco.com.ar/acondicionador-elvive-hialuronico-pure-200-ml/p</t>
        </is>
      </c>
    </row>
    <row r="652">
      <c r="A652" s="10" t="inlineStr">
        <is>
          <t>Disco</t>
        </is>
      </c>
      <c r="B652" s="10" t="n">
        <v>3078384</v>
      </c>
      <c r="C652" s="10" t="n">
        <v>3077728</v>
      </c>
      <c r="D652" s="10" t="inlineStr">
        <is>
          <t>Acondicionador Dove Bond Uv Repair 250ml</t>
        </is>
      </c>
      <c r="E652" s="10" t="inlineStr">
        <is>
          <t>DOVE</t>
        </is>
      </c>
      <c r="F652" s="10" t="n">
        <v>9550</v>
      </c>
      <c r="G652" s="10" t="n">
        <v>789256</v>
      </c>
      <c r="H652" s="10" t="b">
        <v>1</v>
      </c>
      <c r="I652" s="10" t="n">
        <v>250</v>
      </c>
      <c r="J652" s="10" t="n">
        <v>38.2</v>
      </c>
      <c r="K652" s="10" t="inlineStr">
        <is>
          <t>&gt; Perfumería &gt; Cuidado Capilar &gt; Acondicionador &gt;</t>
        </is>
      </c>
      <c r="L652" s="10" t="inlineStr">
        <is>
          <t>acondicionador</t>
        </is>
      </c>
      <c r="M652" s="10" t="inlineStr">
        <is>
          <t>profesional</t>
        </is>
      </c>
      <c r="N652" s="10" t="inlineStr">
        <is>
          <t>general</t>
        </is>
      </c>
      <c r="O652" s="10" t="inlineStr">
        <is>
          <t>https://www.disco.com.ar/acondicionador-dove-bond-uv-repair-250ml/p</t>
        </is>
      </c>
    </row>
    <row r="653">
      <c r="A653" t="inlineStr">
        <is>
          <t>Disco</t>
        </is>
      </c>
      <c r="B653" t="n">
        <v>413356</v>
      </c>
      <c r="C653" t="n">
        <v>409215</v>
      </c>
      <c r="D653" t="inlineStr">
        <is>
          <t>Acondicionador Keratina Antifrizz 250 Ml Tresemmé</t>
        </is>
      </c>
      <c r="E653" t="inlineStr">
        <is>
          <t>TRESEMMÉ</t>
        </is>
      </c>
      <c r="F653" t="n">
        <v>6350</v>
      </c>
      <c r="G653" t="n">
        <v>524793</v>
      </c>
      <c r="H653" t="b">
        <v>1</v>
      </c>
      <c r="I653" t="n">
        <v>250</v>
      </c>
      <c r="J653" t="n">
        <v>25.4</v>
      </c>
      <c r="K653" t="inlineStr">
        <is>
          <t>&gt; Perfumería &gt; Cuidado Capilar &gt; Acondicionador &gt;</t>
        </is>
      </c>
      <c r="L653" t="inlineStr">
        <is>
          <t>acondicionador</t>
        </is>
      </c>
      <c r="M653" t="inlineStr">
        <is>
          <t>estandar</t>
        </is>
      </c>
      <c r="N653" t="inlineStr">
        <is>
          <t>tratado</t>
        </is>
      </c>
      <c r="O653" t="inlineStr">
        <is>
          <t>https://www.disco.com.ar/acondicionador-keratina-antifrizz-x-250-ml-tresemme/p</t>
        </is>
      </c>
    </row>
    <row r="654">
      <c r="A654" s="10" t="inlineStr">
        <is>
          <t>Disco</t>
        </is>
      </c>
      <c r="B654" s="10" t="n">
        <v>411254</v>
      </c>
      <c r="C654" s="10" t="n">
        <v>407094</v>
      </c>
      <c r="D654" s="10" t="inlineStr">
        <is>
          <t>Acondicionador Prebióticos Biotina 340 Ml Sedal</t>
        </is>
      </c>
      <c r="E654" s="10" t="inlineStr">
        <is>
          <t>SEDAL</t>
        </is>
      </c>
      <c r="F654" s="10" t="n">
        <v>5950</v>
      </c>
      <c r="G654" s="10" t="n">
        <v>491736</v>
      </c>
      <c r="H654" s="10" t="b">
        <v>1</v>
      </c>
      <c r="I654" s="10" t="n">
        <v>340</v>
      </c>
      <c r="J654" s="10" t="n">
        <v>17.5</v>
      </c>
      <c r="K654" s="10" t="inlineStr">
        <is>
          <t>&gt; Perfumería &gt; Cuidado Capilar &gt; Acondicionador &gt;</t>
        </is>
      </c>
      <c r="L654" s="10" t="inlineStr">
        <is>
          <t>acondicionador</t>
        </is>
      </c>
      <c r="M654" s="10" t="inlineStr">
        <is>
          <t>estandar</t>
        </is>
      </c>
      <c r="N654" s="10" t="inlineStr">
        <is>
          <t>general</t>
        </is>
      </c>
      <c r="O654" s="10" t="inlineStr">
        <is>
          <t>https://www.disco.com.ar/acondicionador-prebioticos-biotina-340-ml-sedal/p</t>
        </is>
      </c>
    </row>
    <row r="655">
      <c r="A655" t="inlineStr">
        <is>
          <t>Disco</t>
        </is>
      </c>
      <c r="B655" t="n">
        <v>3079031</v>
      </c>
      <c r="C655" t="n">
        <v>3078355</v>
      </c>
      <c r="D655" t="inlineStr">
        <is>
          <t>Acondicionador Herbal Essences Rosa Mosqueta 240ml</t>
        </is>
      </c>
      <c r="E655" t="inlineStr">
        <is>
          <t>HERBAL ESSENCES</t>
        </is>
      </c>
      <c r="F655" t="n">
        <v>13500</v>
      </c>
      <c r="G655" t="n">
        <v>1115702</v>
      </c>
      <c r="H655" t="b">
        <v>1</v>
      </c>
      <c r="I655" t="n">
        <v>240</v>
      </c>
      <c r="J655" t="n">
        <v>56.25</v>
      </c>
      <c r="K655" t="inlineStr">
        <is>
          <t>&gt; Perfumería &gt; Cuidado Capilar &gt; Acondicionador &gt;</t>
        </is>
      </c>
      <c r="L655" t="inlineStr">
        <is>
          <t>acondicionador</t>
        </is>
      </c>
      <c r="M655" t="inlineStr">
        <is>
          <t>estandar</t>
        </is>
      </c>
      <c r="N655" t="inlineStr">
        <is>
          <t>general</t>
        </is>
      </c>
      <c r="O655" t="inlineStr">
        <is>
          <t>https://www.disco.com.ar/acondicionador-herbal-essences-rosa-mosqueta-240ml/p</t>
        </is>
      </c>
    </row>
    <row r="656">
      <c r="A656" s="10" t="inlineStr">
        <is>
          <t>Disco</t>
        </is>
      </c>
      <c r="B656" s="10" t="n">
        <v>3070282</v>
      </c>
      <c r="C656" s="10" t="n">
        <v>3069875</v>
      </c>
      <c r="D656" s="10" t="inlineStr">
        <is>
          <t>Acondicionador Keratina Antifrizz 500 Ml Tresemmé</t>
        </is>
      </c>
      <c r="E656" s="10" t="inlineStr">
        <is>
          <t>TRESEMMÉ</t>
        </is>
      </c>
      <c r="F656" s="10" t="n">
        <v>10900</v>
      </c>
      <c r="G656" s="10" t="n">
        <v>900826</v>
      </c>
      <c r="H656" s="10" t="b">
        <v>1</v>
      </c>
      <c r="I656" s="10" t="n">
        <v>500</v>
      </c>
      <c r="J656" s="10" t="n">
        <v>21.8</v>
      </c>
      <c r="K656" s="10" t="inlineStr">
        <is>
          <t>&gt; Perfumería &gt; Cuidado Capilar &gt; Acondicionador &gt;</t>
        </is>
      </c>
      <c r="L656" s="10" t="inlineStr">
        <is>
          <t>acondicionador</t>
        </is>
      </c>
      <c r="M656" s="10" t="inlineStr">
        <is>
          <t>estandar</t>
        </is>
      </c>
      <c r="N656" s="10" t="inlineStr">
        <is>
          <t>tratado</t>
        </is>
      </c>
      <c r="O656" s="10" t="inlineStr">
        <is>
          <t>https://www.disco.com.ar/acondicionador-keratina-antifrizz-x-500-ml-tresemme-2/p</t>
        </is>
      </c>
    </row>
    <row r="657">
      <c r="A657" t="inlineStr">
        <is>
          <t>Disco</t>
        </is>
      </c>
      <c r="B657" t="n">
        <v>397929</v>
      </c>
      <c r="C657" t="n">
        <v>395664</v>
      </c>
      <c r="D657" t="inlineStr">
        <is>
          <t>Acondicionador Crema Balance 340 Ml Sedal</t>
        </is>
      </c>
      <c r="E657" t="inlineStr">
        <is>
          <t>SEDAL</t>
        </is>
      </c>
      <c r="F657" t="n">
        <v>5439</v>
      </c>
      <c r="G657" t="n">
        <v>449504</v>
      </c>
      <c r="H657" t="b">
        <v>1</v>
      </c>
      <c r="I657" t="n">
        <v>340</v>
      </c>
      <c r="J657" t="n">
        <v>15.9971</v>
      </c>
      <c r="K657" t="inlineStr">
        <is>
          <t>&gt; Perfumería &gt; Cuidado Capilar &gt; Acondicionador &gt;</t>
        </is>
      </c>
      <c r="L657" t="inlineStr">
        <is>
          <t>acondicionador</t>
        </is>
      </c>
      <c r="M657" t="inlineStr">
        <is>
          <t>estandar</t>
        </is>
      </c>
      <c r="N657" t="inlineStr">
        <is>
          <t>general</t>
        </is>
      </c>
      <c r="O657" t="inlineStr">
        <is>
          <t>https://www.disco.com.ar/acondicionador-crema-balance-340-ml-sedal/p</t>
        </is>
      </c>
    </row>
    <row r="658">
      <c r="A658" s="10" t="inlineStr">
        <is>
          <t>Disco</t>
        </is>
      </c>
      <c r="B658" s="10" t="n">
        <v>339398</v>
      </c>
      <c r="C658" s="10" t="n">
        <v>338089</v>
      </c>
      <c r="D658" s="10" t="inlineStr">
        <is>
          <t>Acondicionador Recarga Nutritiva 650 Ml Fructis</t>
        </is>
      </c>
      <c r="E658" s="10" t="inlineStr">
        <is>
          <t>FRUCTIS</t>
        </is>
      </c>
      <c r="F658" s="10" t="n">
        <v>13150</v>
      </c>
      <c r="G658" s="10" t="n">
        <v>1086777</v>
      </c>
      <c r="H658" s="10" t="b">
        <v>1</v>
      </c>
      <c r="I658" s="10" t="n">
        <v>650</v>
      </c>
      <c r="J658" s="10" t="n">
        <v>20.2308</v>
      </c>
      <c r="K658" s="10" t="inlineStr">
        <is>
          <t>&gt; Perfumería &gt; Cuidado Capilar &gt; Acondicionador &gt;</t>
        </is>
      </c>
      <c r="L658" s="10" t="inlineStr">
        <is>
          <t>acondicionador</t>
        </is>
      </c>
      <c r="M658" s="10" t="inlineStr">
        <is>
          <t>estandar</t>
        </is>
      </c>
      <c r="N658" s="10" t="inlineStr">
        <is>
          <t>general</t>
        </is>
      </c>
      <c r="O658" s="10" t="inlineStr">
        <is>
          <t>https://www.disco.com.ar/acondicionador-recarga-nutritiva-650-ml-fructis/p</t>
        </is>
      </c>
    </row>
    <row r="659">
      <c r="A659" t="inlineStr">
        <is>
          <t>Disco</t>
        </is>
      </c>
      <c r="B659" t="n">
        <v>3070158</v>
      </c>
      <c r="C659" t="n">
        <v>3069763</v>
      </c>
      <c r="D659" t="inlineStr">
        <is>
          <t>Acondicionador Colágeno Hidratación 510 Ml Pantene</t>
        </is>
      </c>
      <c r="E659" t="inlineStr">
        <is>
          <t>PANTENE</t>
        </is>
      </c>
      <c r="F659" t="n">
        <v>16950</v>
      </c>
      <c r="G659" t="n">
        <v>1400826</v>
      </c>
      <c r="H659" t="b">
        <v>1</v>
      </c>
      <c r="I659" t="n">
        <v>510</v>
      </c>
      <c r="J659" t="n">
        <v>33.2353</v>
      </c>
      <c r="K659" t="inlineStr">
        <is>
          <t>&gt; Perfumería &gt; Cuidado Capilar &gt; Acondicionador &gt;</t>
        </is>
      </c>
      <c r="L659" t="inlineStr">
        <is>
          <t>acondicionador</t>
        </is>
      </c>
      <c r="M659" t="inlineStr">
        <is>
          <t>estandar</t>
        </is>
      </c>
      <c r="N659" t="inlineStr">
        <is>
          <t>seco_danado</t>
        </is>
      </c>
      <c r="O659" t="inlineStr">
        <is>
          <t>https://www.disco.com.ar/acondicionador-colageno-x-510-ml-pantene-2/p</t>
        </is>
      </c>
    </row>
    <row r="660">
      <c r="A660" s="10" t="inlineStr">
        <is>
          <t>Disco</t>
        </is>
      </c>
      <c r="B660" s="10" t="n">
        <v>396960</v>
      </c>
      <c r="C660" s="10" t="n">
        <v>394716</v>
      </c>
      <c r="D660" s="10" t="inlineStr">
        <is>
          <t>Acondicionador Largo Saludable 970 Ml Plusbelle</t>
        </is>
      </c>
      <c r="E660" s="10" t="inlineStr">
        <is>
          <t>PLUSBELLE</t>
        </is>
      </c>
      <c r="F660" s="10" t="n">
        <v>6500</v>
      </c>
      <c r="G660" s="10" t="n">
        <v>537190</v>
      </c>
      <c r="H660" s="10" t="b">
        <v>1</v>
      </c>
      <c r="I660" s="10" t="n">
        <v>970</v>
      </c>
      <c r="J660" s="10" t="n">
        <v>6.701</v>
      </c>
      <c r="K660" s="10" t="inlineStr">
        <is>
          <t>&gt; Perfumería &gt; Cuidado Capilar &gt; Acondicionador &gt;</t>
        </is>
      </c>
      <c r="L660" s="10" t="inlineStr">
        <is>
          <t>acondicionador</t>
        </is>
      </c>
      <c r="M660" s="10" t="inlineStr">
        <is>
          <t>estandar</t>
        </is>
      </c>
      <c r="N660" s="10" t="inlineStr">
        <is>
          <t>general</t>
        </is>
      </c>
      <c r="O660" s="10" t="inlineStr">
        <is>
          <t>https://www.disco.com.ar/acondicionador-largo-saludable-970-ml-plusbelle/p</t>
        </is>
      </c>
    </row>
    <row r="661">
      <c r="A661" t="inlineStr">
        <is>
          <t>Disco</t>
        </is>
      </c>
      <c r="B661" t="n">
        <v>393577</v>
      </c>
      <c r="C661" t="n">
        <v>391605</v>
      </c>
      <c r="D661" t="inlineStr">
        <is>
          <t>Acondicionador Reconstrucción Completa 200 Ml Dove</t>
        </is>
      </c>
      <c r="E661" t="inlineStr">
        <is>
          <t>DOVE</t>
        </is>
      </c>
      <c r="F661" t="n">
        <v>6150</v>
      </c>
      <c r="G661" t="n">
        <v>508264</v>
      </c>
      <c r="H661" t="b">
        <v>1</v>
      </c>
      <c r="I661" t="n">
        <v>200</v>
      </c>
      <c r="J661" t="n">
        <v>30.75</v>
      </c>
      <c r="K661" t="inlineStr">
        <is>
          <t>&gt; Perfumería &gt; Cuidado Capilar &gt; Acondicionador &gt;</t>
        </is>
      </c>
      <c r="L661" t="inlineStr">
        <is>
          <t>acondicionador</t>
        </is>
      </c>
      <c r="M661" t="inlineStr">
        <is>
          <t>estandar</t>
        </is>
      </c>
      <c r="N661" t="inlineStr">
        <is>
          <t>general</t>
        </is>
      </c>
      <c r="O661" t="inlineStr">
        <is>
          <t>https://www.disco.com.ar/acondicionador-dove-reconstruccion-completa-200-ml-2/p</t>
        </is>
      </c>
    </row>
    <row r="662">
      <c r="A662" s="10" t="inlineStr">
        <is>
          <t>Disco</t>
        </is>
      </c>
      <c r="B662" s="10" t="n">
        <v>393381</v>
      </c>
      <c r="C662" s="10" t="n">
        <v>391409</v>
      </c>
      <c r="D662" s="10" t="inlineStr">
        <is>
          <t>Acondicionador Rizos Definidos 340 Ml Sedal</t>
        </is>
      </c>
      <c r="E662" s="10" t="inlineStr">
        <is>
          <t>SEDAL</t>
        </is>
      </c>
      <c r="F662" s="10" t="n">
        <v>5600</v>
      </c>
      <c r="G662" s="10" t="n">
        <v>462810</v>
      </c>
      <c r="H662" s="10" t="b">
        <v>1</v>
      </c>
      <c r="I662" s="10" t="n">
        <v>340</v>
      </c>
      <c r="J662" s="10" t="n">
        <v>16.4706</v>
      </c>
      <c r="K662" s="10" t="inlineStr">
        <is>
          <t>&gt; Perfumería &gt; Cuidado Capilar &gt; Acondicionador &gt;</t>
        </is>
      </c>
      <c r="L662" s="10" t="inlineStr">
        <is>
          <t>acondicionador</t>
        </is>
      </c>
      <c r="M662" s="10" t="inlineStr">
        <is>
          <t>estandar</t>
        </is>
      </c>
      <c r="N662" s="10" t="inlineStr">
        <is>
          <t>rizado</t>
        </is>
      </c>
      <c r="O662" s="10" t="inlineStr">
        <is>
          <t>https://www.disco.com.ar/acondicionador-rizos-definidos-340-ml-sedal/p</t>
        </is>
      </c>
    </row>
    <row r="663">
      <c r="A663" t="inlineStr">
        <is>
          <t>Disco</t>
        </is>
      </c>
      <c r="B663" t="n">
        <v>397180</v>
      </c>
      <c r="C663" t="n">
        <v>394921</v>
      </c>
      <c r="D663" t="inlineStr">
        <is>
          <t>Acondicionador Dove Regeneración Extrema 750 Ml</t>
        </is>
      </c>
      <c r="E663" t="inlineStr">
        <is>
          <t>DOVE</t>
        </is>
      </c>
      <c r="F663" t="n">
        <v>16500</v>
      </c>
      <c r="G663" t="n">
        <v>1363636</v>
      </c>
      <c r="H663" t="b">
        <v>1</v>
      </c>
      <c r="I663" t="n">
        <v>750</v>
      </c>
      <c r="J663" t="n">
        <v>22</v>
      </c>
      <c r="K663" t="inlineStr">
        <is>
          <t>&gt; Perfumería &gt; Cuidado Capilar &gt; Acondicionador &gt;</t>
        </is>
      </c>
      <c r="L663" t="inlineStr">
        <is>
          <t>acondicionador</t>
        </is>
      </c>
      <c r="M663" t="inlineStr">
        <is>
          <t>estandar</t>
        </is>
      </c>
      <c r="N663" t="inlineStr">
        <is>
          <t>general</t>
        </is>
      </c>
      <c r="O663" t="inlineStr">
        <is>
          <t>https://www.disco.com.ar/acondicionador-dove-regeneracion-extrema-750-ml-2/p</t>
        </is>
      </c>
    </row>
    <row r="664">
      <c r="A664" s="10" t="inlineStr">
        <is>
          <t>Disco</t>
        </is>
      </c>
      <c r="B664" s="10" t="n">
        <v>3066238</v>
      </c>
      <c r="C664" s="10" t="n">
        <v>3066154</v>
      </c>
      <c r="D664" s="10" t="inlineStr">
        <is>
          <t>Acondicionador Luminous UV 650 Ml Sedal</t>
        </is>
      </c>
      <c r="E664" s="10" t="inlineStr">
        <is>
          <t>SEDAL</t>
        </is>
      </c>
      <c r="F664" s="10" t="n">
        <v>9550</v>
      </c>
      <c r="G664" s="10" t="n">
        <v>789256</v>
      </c>
      <c r="H664" s="10" t="b">
        <v>1</v>
      </c>
      <c r="I664" s="10" t="n">
        <v>650</v>
      </c>
      <c r="J664" s="10" t="n">
        <v>14.6923</v>
      </c>
      <c r="K664" s="10" t="inlineStr">
        <is>
          <t>&gt; Perfumería &gt; Cuidado Capilar &gt; Acondicionador &gt;</t>
        </is>
      </c>
      <c r="L664" s="10" t="inlineStr">
        <is>
          <t>acondicionador</t>
        </is>
      </c>
      <c r="M664" s="10" t="inlineStr">
        <is>
          <t>estandar</t>
        </is>
      </c>
      <c r="N664" s="10" t="inlineStr">
        <is>
          <t>general</t>
        </is>
      </c>
      <c r="O664" s="10" t="inlineStr">
        <is>
          <t>https://www.disco.com.ar/acondicionador-luminous-uv-x-650-ml-sedal-2/p</t>
        </is>
      </c>
    </row>
    <row r="665">
      <c r="A665" t="inlineStr">
        <is>
          <t>Disco</t>
        </is>
      </c>
      <c r="B665" t="n">
        <v>397197</v>
      </c>
      <c r="C665" t="n">
        <v>394938</v>
      </c>
      <c r="D665" t="inlineStr">
        <is>
          <t>Acondicionador Goodbye Daños 350 Ml Fructis</t>
        </is>
      </c>
      <c r="E665" t="inlineStr">
        <is>
          <t>FRUCTIS</t>
        </is>
      </c>
      <c r="F665" t="n">
        <v>8650</v>
      </c>
      <c r="G665" t="n">
        <v>714876</v>
      </c>
      <c r="H665" t="b">
        <v>1</v>
      </c>
      <c r="I665" t="n">
        <v>350</v>
      </c>
      <c r="J665" t="n">
        <v>24.7143</v>
      </c>
      <c r="K665" t="inlineStr">
        <is>
          <t>&gt; Perfumería &gt; Cuidado Capilar &gt; Acondicionador &gt;</t>
        </is>
      </c>
      <c r="L665" t="inlineStr">
        <is>
          <t>acondicionador</t>
        </is>
      </c>
      <c r="M665" t="inlineStr">
        <is>
          <t>estandar</t>
        </is>
      </c>
      <c r="N665" t="inlineStr">
        <is>
          <t>general</t>
        </is>
      </c>
      <c r="O665" t="inlineStr">
        <is>
          <t>https://www.disco.com.ar/enjuague-cabello-danado-goodbye-danos-x350-fructis-garnier/p</t>
        </is>
      </c>
    </row>
    <row r="666">
      <c r="A666" s="10" t="inlineStr">
        <is>
          <t>Disco</t>
        </is>
      </c>
      <c r="B666" s="10" t="n">
        <v>3070159</v>
      </c>
      <c r="C666" s="10" t="n">
        <v>3069766</v>
      </c>
      <c r="D666" s="10" t="inlineStr">
        <is>
          <t>Acondicionador Keratina X 510 Ml Pantene</t>
        </is>
      </c>
      <c r="E666" s="10" t="inlineStr">
        <is>
          <t>PANTENE</t>
        </is>
      </c>
      <c r="F666" s="10" t="n">
        <v>16900</v>
      </c>
      <c r="G666" s="10" t="n">
        <v>1396694</v>
      </c>
      <c r="H666" s="10" t="b">
        <v>1</v>
      </c>
      <c r="I666" s="10" t="n">
        <v>510</v>
      </c>
      <c r="J666" s="10" t="n">
        <v>33.1373</v>
      </c>
      <c r="K666" s="10" t="inlineStr">
        <is>
          <t>&gt; Perfumería &gt; Cuidado Capilar &gt; Acondicionador &gt;</t>
        </is>
      </c>
      <c r="L666" s="10" t="inlineStr">
        <is>
          <t>acondicionador</t>
        </is>
      </c>
      <c r="M666" s="10" t="inlineStr">
        <is>
          <t>estandar</t>
        </is>
      </c>
      <c r="N666" s="10" t="inlineStr">
        <is>
          <t>tratado</t>
        </is>
      </c>
      <c r="O666" s="10" t="inlineStr">
        <is>
          <t>https://www.disco.com.ar/acondicionador-keratina-x-510-ml-pantene/p</t>
        </is>
      </c>
    </row>
    <row r="667">
      <c r="A667" t="inlineStr">
        <is>
          <t>Disco</t>
        </is>
      </c>
      <c r="B667" t="n">
        <v>3066243</v>
      </c>
      <c r="C667" t="n">
        <v>3066159</v>
      </c>
      <c r="D667" t="inlineStr">
        <is>
          <t>Acondicionador Luminous UV 190 Ml Sedal</t>
        </is>
      </c>
      <c r="E667" t="inlineStr">
        <is>
          <t>SEDAL</t>
        </is>
      </c>
      <c r="F667" t="n">
        <v>4000</v>
      </c>
      <c r="G667" t="n">
        <v>330579</v>
      </c>
      <c r="H667" t="b">
        <v>1</v>
      </c>
      <c r="I667" t="n">
        <v>190</v>
      </c>
      <c r="J667" t="n">
        <v>21.0526</v>
      </c>
      <c r="K667" t="inlineStr">
        <is>
          <t>&gt; Perfumería &gt; Cuidado Capilar &gt; Acondicionador &gt;</t>
        </is>
      </c>
      <c r="L667" t="inlineStr">
        <is>
          <t>acondicionador</t>
        </is>
      </c>
      <c r="M667" t="inlineStr">
        <is>
          <t>estandar</t>
        </is>
      </c>
      <c r="N667" t="inlineStr">
        <is>
          <t>general</t>
        </is>
      </c>
      <c r="O667" t="inlineStr">
        <is>
          <t>https://www.disco.com.ar/acondicionador-luminous-uv-x-190-ml-sedal-2/p</t>
        </is>
      </c>
    </row>
    <row r="668">
      <c r="A668" s="10" t="inlineStr">
        <is>
          <t>Disco</t>
        </is>
      </c>
      <c r="B668" s="10" t="n">
        <v>413326</v>
      </c>
      <c r="C668" s="10" t="n">
        <v>409131</v>
      </c>
      <c r="D668" s="10" t="inlineStr">
        <is>
          <t>Acondicionador Cauterización Reparadora 250 Ml Tresemmé</t>
        </is>
      </c>
      <c r="E668" s="10" t="inlineStr">
        <is>
          <t>TRESEMMÉ</t>
        </is>
      </c>
      <c r="F668" s="10" t="n">
        <v>6350</v>
      </c>
      <c r="G668" s="10" t="n">
        <v>524793</v>
      </c>
      <c r="H668" s="10" t="b">
        <v>1</v>
      </c>
      <c r="I668" s="10" t="n">
        <v>250</v>
      </c>
      <c r="J668" s="10" t="n">
        <v>25.4</v>
      </c>
      <c r="K668" s="10" t="inlineStr">
        <is>
          <t>&gt; Perfumería &gt; Cuidado Capilar &gt; Acondicionador &gt;</t>
        </is>
      </c>
      <c r="L668" s="10" t="inlineStr">
        <is>
          <t>acondicionador</t>
        </is>
      </c>
      <c r="M668" s="10" t="inlineStr">
        <is>
          <t>estandar</t>
        </is>
      </c>
      <c r="N668" s="10" t="inlineStr">
        <is>
          <t>general</t>
        </is>
      </c>
      <c r="O668" s="10" t="inlineStr">
        <is>
          <t>https://www.disco.com.ar/acondicionador-tresemme-cauterizacion-reparadora-250-ml/p</t>
        </is>
      </c>
    </row>
    <row r="669">
      <c r="A669" t="inlineStr">
        <is>
          <t>Disco</t>
        </is>
      </c>
      <c r="B669" t="n">
        <v>397902</v>
      </c>
      <c r="C669" t="n">
        <v>395637</v>
      </c>
      <c r="D669" t="inlineStr">
        <is>
          <t>Acondicionador Sedal Hialurónico Y Vitamina A 340 Ml</t>
        </is>
      </c>
      <c r="E669" t="inlineStr">
        <is>
          <t>SEDAL</t>
        </is>
      </c>
      <c r="F669" t="n">
        <v>5469</v>
      </c>
      <c r="G669" t="n">
        <v>451983</v>
      </c>
      <c r="H669" t="b">
        <v>1</v>
      </c>
      <c r="I669" t="n">
        <v>340</v>
      </c>
      <c r="J669" t="n">
        <v>16.0853</v>
      </c>
      <c r="K669" t="inlineStr">
        <is>
          <t>&gt; Perfumería &gt; Cuidado Capilar &gt; Acondicionador &gt;</t>
        </is>
      </c>
      <c r="L669" t="inlineStr">
        <is>
          <t>acondicionador</t>
        </is>
      </c>
      <c r="M669" t="inlineStr">
        <is>
          <t>estandar</t>
        </is>
      </c>
      <c r="N669" t="inlineStr">
        <is>
          <t>general</t>
        </is>
      </c>
      <c r="O669" t="inlineStr">
        <is>
          <t>https://www.disco.com.ar/acondicionador-sedal-hialuronico-y-vitamina-a-340-ml-2/p</t>
        </is>
      </c>
    </row>
    <row r="670">
      <c r="A670" s="10" t="inlineStr">
        <is>
          <t>Disco</t>
        </is>
      </c>
      <c r="B670" s="10" t="n">
        <v>1363724</v>
      </c>
      <c r="C670" s="10" t="n">
        <v>1362814</v>
      </c>
      <c r="D670" s="10" t="inlineStr">
        <is>
          <t>Acondicionador Bond Intense Repair 250 Ml Dove</t>
        </is>
      </c>
      <c r="E670" s="10" t="inlineStr">
        <is>
          <t>DOVE</t>
        </is>
      </c>
      <c r="F670" s="10" t="n">
        <v>9550</v>
      </c>
      <c r="G670" s="10" t="n">
        <v>789256</v>
      </c>
      <c r="H670" s="10" t="b">
        <v>1</v>
      </c>
      <c r="I670" s="10" t="n">
        <v>250</v>
      </c>
      <c r="J670" s="10" t="n">
        <v>38.2</v>
      </c>
      <c r="K670" s="10" t="inlineStr">
        <is>
          <t>&gt; Perfumería &gt; Cuidado Capilar &gt; Acondicionador &gt;</t>
        </is>
      </c>
      <c r="L670" s="10" t="inlineStr">
        <is>
          <t>acondicionador</t>
        </is>
      </c>
      <c r="M670" s="10" t="inlineStr">
        <is>
          <t>profesional</t>
        </is>
      </c>
      <c r="N670" s="10" t="inlineStr">
        <is>
          <t>general</t>
        </is>
      </c>
      <c r="O670" s="10" t="inlineStr">
        <is>
          <t>https://www.disco.com.ar/acondicionador-dove-bond-intense-repair-250-ml-2/p</t>
        </is>
      </c>
    </row>
    <row r="671">
      <c r="A671" t="inlineStr">
        <is>
          <t>Disco</t>
        </is>
      </c>
      <c r="B671" t="n">
        <v>3071028</v>
      </c>
      <c r="C671" t="n">
        <v>3070598</v>
      </c>
      <c r="D671" t="inlineStr">
        <is>
          <t>Acondicionador Dream Liso X 200 Ml Elvive</t>
        </is>
      </c>
      <c r="E671" t="inlineStr">
        <is>
          <t>ELVIVE</t>
        </is>
      </c>
      <c r="F671" t="n">
        <v>8200</v>
      </c>
      <c r="G671" t="n">
        <v>677686</v>
      </c>
      <c r="H671" t="b">
        <v>1</v>
      </c>
      <c r="I671" t="n">
        <v>200</v>
      </c>
      <c r="J671" t="n">
        <v>41</v>
      </c>
      <c r="K671" t="inlineStr">
        <is>
          <t>&gt; Perfumería &gt; Cuidado Capilar &gt; Acondicionador &gt;</t>
        </is>
      </c>
      <c r="L671" t="inlineStr">
        <is>
          <t>acondicionador</t>
        </is>
      </c>
      <c r="M671" t="inlineStr">
        <is>
          <t>profesional</t>
        </is>
      </c>
      <c r="N671" t="inlineStr">
        <is>
          <t>general</t>
        </is>
      </c>
      <c r="O671" t="inlineStr">
        <is>
          <t>https://www.disco.com.ar/acondicionador-dream-liso-x-200-ml-elvive/p</t>
        </is>
      </c>
    </row>
    <row r="672">
      <c r="A672" s="10" t="inlineStr">
        <is>
          <t>Disco</t>
        </is>
      </c>
      <c r="B672" s="10" t="n">
        <v>424299</v>
      </c>
      <c r="C672" s="10" t="n">
        <v>417179</v>
      </c>
      <c r="D672" s="10" t="inlineStr">
        <is>
          <t>Acondicionador Nutrición Óleo de Coco 700 Ml Plusbelle</t>
        </is>
      </c>
      <c r="E672" s="10" t="inlineStr">
        <is>
          <t>PLUSBELLE</t>
        </is>
      </c>
      <c r="F672" s="10" t="n">
        <v>5550</v>
      </c>
      <c r="G672" s="10" t="n">
        <v>458678</v>
      </c>
      <c r="H672" s="10" t="b">
        <v>1</v>
      </c>
      <c r="I672" s="10" t="n">
        <v>700</v>
      </c>
      <c r="J672" s="10" t="n">
        <v>7.9286</v>
      </c>
      <c r="K672" s="10" t="inlineStr">
        <is>
          <t>&gt; Perfumería &gt; Cuidado Capilar &gt; Acondicionador &gt;</t>
        </is>
      </c>
      <c r="L672" s="10" t="inlineStr">
        <is>
          <t>acondicionador</t>
        </is>
      </c>
      <c r="M672" s="10" t="inlineStr">
        <is>
          <t>estandar</t>
        </is>
      </c>
      <c r="N672" s="10" t="inlineStr">
        <is>
          <t>general</t>
        </is>
      </c>
      <c r="O672" s="10" t="inlineStr">
        <is>
          <t>https://www.disco.com.ar/acondicionador-plusbelle-esen-oleo-nut-coco-70-2/p</t>
        </is>
      </c>
    </row>
    <row r="673">
      <c r="A673" t="inlineStr">
        <is>
          <t>Disco</t>
        </is>
      </c>
      <c r="B673" t="n">
        <v>3066020</v>
      </c>
      <c r="C673" t="n">
        <v>3065977</v>
      </c>
      <c r="D673" t="inlineStr">
        <is>
          <t>Acondicionador Anti Caida X 510 Ml Pantene</t>
        </is>
      </c>
      <c r="E673" t="inlineStr">
        <is>
          <t>PANTENE</t>
        </is>
      </c>
      <c r="F673" t="n">
        <v>16950</v>
      </c>
      <c r="G673" t="n">
        <v>1400826</v>
      </c>
      <c r="H673" t="b">
        <v>1</v>
      </c>
      <c r="I673" t="n">
        <v>510</v>
      </c>
      <c r="J673" t="n">
        <v>33.2353</v>
      </c>
      <c r="K673" t="inlineStr">
        <is>
          <t>&gt; Perfumería &gt; Cuidado Capilar &gt; Acondicionador &gt;</t>
        </is>
      </c>
      <c r="L673" t="inlineStr">
        <is>
          <t>acondicionador</t>
        </is>
      </c>
      <c r="M673" t="inlineStr">
        <is>
          <t>estandar</t>
        </is>
      </c>
      <c r="N673" t="inlineStr">
        <is>
          <t>general</t>
        </is>
      </c>
      <c r="O673" t="inlineStr">
        <is>
          <t>https://www.disco.com.ar/acondicionador-anti-caida-x-510-ml-pantene-2/p</t>
        </is>
      </c>
    </row>
    <row r="674">
      <c r="A674" s="10" t="inlineStr">
        <is>
          <t>Disco</t>
        </is>
      </c>
      <c r="B674" s="10" t="n">
        <v>3086639</v>
      </c>
      <c r="C674" s="10" t="n">
        <v>3085863</v>
      </c>
      <c r="D674" s="10" t="inlineStr">
        <is>
          <t>Acondicionador Oil Control X 200 Ml Fructis</t>
        </is>
      </c>
      <c r="E674" s="10" t="inlineStr">
        <is>
          <t>FRUCTIS</t>
        </is>
      </c>
      <c r="F674" s="10" t="n">
        <v>5950</v>
      </c>
      <c r="G674" s="10" t="n">
        <v>491736</v>
      </c>
      <c r="H674" s="10" t="b">
        <v>1</v>
      </c>
      <c r="I674" s="10" t="n">
        <v>200</v>
      </c>
      <c r="J674" s="10" t="n">
        <v>29.75</v>
      </c>
      <c r="K674" s="10" t="inlineStr">
        <is>
          <t>&gt; Perfumería &gt; Cuidado Capilar &gt; Acondicionador &gt;</t>
        </is>
      </c>
      <c r="L674" s="10" t="inlineStr">
        <is>
          <t>acondicionador</t>
        </is>
      </c>
      <c r="M674" s="10" t="inlineStr">
        <is>
          <t>estandar</t>
        </is>
      </c>
      <c r="N674" s="10" t="inlineStr">
        <is>
          <t>general</t>
        </is>
      </c>
      <c r="O674" s="10" t="inlineStr">
        <is>
          <t>https://www.disco.com.ar/acondicionador-oil-control-x-200-ml-fructis/p</t>
        </is>
      </c>
    </row>
    <row r="675">
      <c r="A675" t="inlineStr">
        <is>
          <t>Disco</t>
        </is>
      </c>
      <c r="B675" t="n">
        <v>1361437</v>
      </c>
      <c r="C675" t="n">
        <v>1360826</v>
      </c>
      <c r="D675" t="inlineStr">
        <is>
          <t>Acondicionador Nutrición Esencia Revitalizante 700 Ml Plusbelle Acondicionador Plusbelle Esencia Revitalizante</t>
        </is>
      </c>
      <c r="E675" t="inlineStr">
        <is>
          <t>PLUSBELLE</t>
        </is>
      </c>
      <c r="F675" t="n">
        <v>5650</v>
      </c>
      <c r="G675" t="n">
        <v>466942</v>
      </c>
      <c r="H675" t="b">
        <v>1</v>
      </c>
      <c r="I675" t="n">
        <v>700</v>
      </c>
      <c r="J675" t="n">
        <v>8.071400000000001</v>
      </c>
      <c r="K675" t="inlineStr">
        <is>
          <t>&gt; Perfumería &gt; Cuidado Capilar &gt; Acondicionador &gt;</t>
        </is>
      </c>
      <c r="L675" t="inlineStr">
        <is>
          <t>acondicionador</t>
        </is>
      </c>
      <c r="M675" t="inlineStr">
        <is>
          <t>estandar</t>
        </is>
      </c>
      <c r="N675" t="inlineStr">
        <is>
          <t>general</t>
        </is>
      </c>
      <c r="O675" t="inlineStr">
        <is>
          <t>https://www.disco.com.ar/acondicionador-plusbelle-esencia-revitalizante-2/p</t>
        </is>
      </c>
    </row>
    <row r="676">
      <c r="A676" s="10" t="inlineStr">
        <is>
          <t>Disco</t>
        </is>
      </c>
      <c r="B676" s="10" t="n">
        <v>407572</v>
      </c>
      <c r="C676" s="10" t="n">
        <v>403761</v>
      </c>
      <c r="D676" s="10" t="inlineStr">
        <is>
          <t>Acondicionador Reparación Total Extreme 400 Ml Elvive</t>
        </is>
      </c>
      <c r="E676" s="10" t="inlineStr">
        <is>
          <t>ELVIVE</t>
        </is>
      </c>
      <c r="F676" s="10" t="n">
        <v>12300</v>
      </c>
      <c r="G676" s="10" t="n">
        <v>1016529</v>
      </c>
      <c r="H676" s="10" t="b">
        <v>1</v>
      </c>
      <c r="I676" s="10" t="n">
        <v>400</v>
      </c>
      <c r="J676" s="10" t="n">
        <v>30.75</v>
      </c>
      <c r="K676" s="10" t="inlineStr">
        <is>
          <t>&gt; Perfumería &gt; Cuidado Capilar &gt; Acondicionador &gt;</t>
        </is>
      </c>
      <c r="L676" s="10" t="inlineStr">
        <is>
          <t>acondicionador</t>
        </is>
      </c>
      <c r="M676" s="10" t="inlineStr">
        <is>
          <t>profesional</t>
        </is>
      </c>
      <c r="N676" s="10" t="inlineStr">
        <is>
          <t>general</t>
        </is>
      </c>
      <c r="O676" s="10" t="inlineStr">
        <is>
          <t>https://www.disco.com.ar/acondicionador-elvive-reparacion-total-extreme-400-ml/p</t>
        </is>
      </c>
    </row>
    <row r="677">
      <c r="A677" t="inlineStr">
        <is>
          <t>Disco</t>
        </is>
      </c>
      <c r="B677" t="n">
        <v>394816</v>
      </c>
      <c r="C677" t="n">
        <v>392815</v>
      </c>
      <c r="D677" t="inlineStr">
        <is>
          <t>Acondicionador Hidrata y Fortalece 400 Ml Pantene</t>
        </is>
      </c>
      <c r="E677" t="inlineStr">
        <is>
          <t>PANTENE</t>
        </is>
      </c>
      <c r="F677" t="n">
        <v>10550</v>
      </c>
      <c r="G677" t="n">
        <v>871901</v>
      </c>
      <c r="H677" t="b">
        <v>1</v>
      </c>
      <c r="I677" t="n">
        <v>400</v>
      </c>
      <c r="J677" t="n">
        <v>26.375</v>
      </c>
      <c r="K677" t="inlineStr">
        <is>
          <t>&gt; Perfumería &gt; Cuidado Capilar &gt; Acondicionador &gt;</t>
        </is>
      </c>
      <c r="L677" t="inlineStr">
        <is>
          <t>acondicionador</t>
        </is>
      </c>
      <c r="M677" t="inlineStr">
        <is>
          <t>estandar</t>
        </is>
      </c>
      <c r="N677" t="inlineStr">
        <is>
          <t>seco_danado</t>
        </is>
      </c>
      <c r="O677" t="inlineStr">
        <is>
          <t>https://www.disco.com.ar/acondicionador-pantene-hidrata-y-fortalece-400-ml/p</t>
        </is>
      </c>
    </row>
    <row r="678">
      <c r="A678" s="10" t="inlineStr">
        <is>
          <t>Disco</t>
        </is>
      </c>
      <c r="B678" s="10" t="n">
        <v>409856</v>
      </c>
      <c r="C678" s="10" t="n">
        <v>405942</v>
      </c>
      <c r="D678" s="10" t="inlineStr">
        <is>
          <t>Acondicionador Hidratación Intensa Esencia 970 Ml Plusbelle</t>
        </is>
      </c>
      <c r="E678" s="10" t="inlineStr">
        <is>
          <t>PLUSBELLE</t>
        </is>
      </c>
      <c r="F678" s="10" t="n">
        <v>6500</v>
      </c>
      <c r="G678" s="10" t="n">
        <v>537190</v>
      </c>
      <c r="H678" s="10" t="b">
        <v>1</v>
      </c>
      <c r="I678" s="10" t="n">
        <v>970</v>
      </c>
      <c r="J678" s="10" t="n">
        <v>6.701</v>
      </c>
      <c r="K678" s="10" t="inlineStr">
        <is>
          <t>&gt; Perfumería &gt; Cuidado Capilar &gt; Acondicionador &gt;</t>
        </is>
      </c>
      <c r="L678" s="10" t="inlineStr">
        <is>
          <t>acondicionador</t>
        </is>
      </c>
      <c r="M678" s="10" t="inlineStr">
        <is>
          <t>estandar</t>
        </is>
      </c>
      <c r="N678" s="10" t="inlineStr">
        <is>
          <t>seco_danado</t>
        </is>
      </c>
      <c r="O678" s="10" t="inlineStr">
        <is>
          <t>https://www.disco.com.ar/acondicionador-esencia-970-ml-plusbelle/p</t>
        </is>
      </c>
    </row>
    <row r="679">
      <c r="A679" t="inlineStr">
        <is>
          <t>Disco</t>
        </is>
      </c>
      <c r="B679" t="n">
        <v>393746</v>
      </c>
      <c r="C679" t="n">
        <v>391774</v>
      </c>
      <c r="D679" t="inlineStr">
        <is>
          <t>Acondicionador Óleo Extraordinario Nutrición 400 Ml Elvive</t>
        </is>
      </c>
      <c r="E679" t="inlineStr">
        <is>
          <t>ELVIVE</t>
        </is>
      </c>
      <c r="F679" t="n">
        <v>12300</v>
      </c>
      <c r="G679" t="n">
        <v>1016529</v>
      </c>
      <c r="H679" t="b">
        <v>1</v>
      </c>
      <c r="I679" t="n">
        <v>400</v>
      </c>
      <c r="J679" t="n">
        <v>30.75</v>
      </c>
      <c r="K679" t="inlineStr">
        <is>
          <t>&gt; Perfumería &gt; Cuidado Capilar &gt; Acondicionador &gt;</t>
        </is>
      </c>
      <c r="L679" t="inlineStr">
        <is>
          <t>acondicionador</t>
        </is>
      </c>
      <c r="M679" t="inlineStr">
        <is>
          <t>profesional</t>
        </is>
      </c>
      <c r="N679" t="inlineStr">
        <is>
          <t>general</t>
        </is>
      </c>
      <c r="O679" t="inlineStr">
        <is>
          <t>https://www.disco.com.ar/acondicionador-elvive-loreal-oleo-extraordinario-nutricion-400-ml/p</t>
        </is>
      </c>
    </row>
    <row r="680">
      <c r="A680" s="10" t="inlineStr">
        <is>
          <t>Disco</t>
        </is>
      </c>
      <c r="B680" s="10" t="n">
        <v>5994</v>
      </c>
      <c r="C680" s="10" t="n">
        <v>3382</v>
      </c>
      <c r="D680" s="10" t="inlineStr">
        <is>
          <t>Acondicionador Iluminador Puro Rubio 420 Ml Capilatis</t>
        </is>
      </c>
      <c r="E680" s="10" t="inlineStr">
        <is>
          <t>CAPILATIS</t>
        </is>
      </c>
      <c r="F680" s="10" t="n">
        <v>9750</v>
      </c>
      <c r="G680" s="10" t="n">
        <v>805785</v>
      </c>
      <c r="H680" s="10" t="b">
        <v>1</v>
      </c>
      <c r="I680" s="10" t="n">
        <v>420</v>
      </c>
      <c r="J680" s="10" t="n">
        <v>23.2143</v>
      </c>
      <c r="K680" s="10" t="inlineStr">
        <is>
          <t>&gt; Perfumería &gt; Cuidado Capilar &gt; Acondicionador &gt;</t>
        </is>
      </c>
      <c r="L680" s="10" t="inlineStr">
        <is>
          <t>acondicionador</t>
        </is>
      </c>
      <c r="M680" s="10" t="inlineStr">
        <is>
          <t>estandar</t>
        </is>
      </c>
      <c r="N680" s="10" t="inlineStr">
        <is>
          <t>general</t>
        </is>
      </c>
      <c r="O680" s="10" t="inlineStr">
        <is>
          <t>https://www.disco.com.ar/acondicionador-capilatis-ilumina-color-420-ml/p</t>
        </is>
      </c>
    </row>
    <row r="681">
      <c r="A681" t="inlineStr">
        <is>
          <t>Disco</t>
        </is>
      </c>
      <c r="B681" t="n">
        <v>298538</v>
      </c>
      <c r="C681" t="n">
        <v>297767</v>
      </c>
      <c r="D681" t="inlineStr">
        <is>
          <t>Acondicionador Para Perro Pets Class X500cm3</t>
        </is>
      </c>
      <c r="E681" t="inlineStr">
        <is>
          <t>PET' S CLASS</t>
        </is>
      </c>
      <c r="F681" t="n">
        <v>8100</v>
      </c>
      <c r="G681" t="n">
        <v>669421</v>
      </c>
      <c r="H681" t="b">
        <v>1</v>
      </c>
      <c r="I681" t="inlineStr"/>
      <c r="J681" t="inlineStr"/>
      <c r="K681" t="inlineStr">
        <is>
          <t>&gt; Mascotas &gt; Accesorios para Mascotas &gt;</t>
        </is>
      </c>
      <c r="L681" t="inlineStr">
        <is>
          <t>acondicionador</t>
        </is>
      </c>
      <c r="M681" t="inlineStr">
        <is>
          <t>estandar</t>
        </is>
      </c>
      <c r="N681" t="inlineStr">
        <is>
          <t>general</t>
        </is>
      </c>
      <c r="O681" t="inlineStr">
        <is>
          <t>https://www.disco.com.ar/acondicionador-para-perro-pets-class-x500cm3/p</t>
        </is>
      </c>
    </row>
    <row r="682">
      <c r="A682" s="10" t="inlineStr">
        <is>
          <t>Disco</t>
        </is>
      </c>
      <c r="B682" s="10" t="n">
        <v>3087376</v>
      </c>
      <c r="C682" s="10" t="n">
        <v>3086597</v>
      </c>
      <c r="D682" s="10" t="inlineStr">
        <is>
          <t>Acondicionador Nutrición Tri-Óleos 650 Ml Dove Acondicionador Dove Nutritri Oleos 650ml</t>
        </is>
      </c>
      <c r="E682" s="10" t="inlineStr">
        <is>
          <t>DOVE</t>
        </is>
      </c>
      <c r="F682" s="10" t="n">
        <v>17200</v>
      </c>
      <c r="G682" s="10" t="n">
        <v>1421488</v>
      </c>
      <c r="H682" s="10" t="b">
        <v>1</v>
      </c>
      <c r="I682" s="10" t="n">
        <v>650</v>
      </c>
      <c r="J682" s="10" t="n">
        <v>26.4615</v>
      </c>
      <c r="K682" s="10" t="inlineStr">
        <is>
          <t>&gt; Perfumería &gt; Cuidado Capilar &gt; Acondicionador &gt;</t>
        </is>
      </c>
      <c r="L682" s="10" t="inlineStr">
        <is>
          <t>acondicionador</t>
        </is>
      </c>
      <c r="M682" s="10" t="inlineStr">
        <is>
          <t>estandar</t>
        </is>
      </c>
      <c r="N682" s="10" t="inlineStr">
        <is>
          <t>general</t>
        </is>
      </c>
      <c r="O682" s="10" t="inlineStr">
        <is>
          <t>https://www.disco.com.ar/acondicionador-dove-nutritri-oleos-650ml/p</t>
        </is>
      </c>
    </row>
    <row r="683">
      <c r="A683" t="inlineStr">
        <is>
          <t>Disco</t>
        </is>
      </c>
      <c r="B683" t="n">
        <v>397917</v>
      </c>
      <c r="C683" t="n">
        <v>395652</v>
      </c>
      <c r="D683" t="inlineStr">
        <is>
          <t>Acondicionador Sedal Hialurónico Y Vitamina A 650 Ml</t>
        </is>
      </c>
      <c r="E683" t="inlineStr">
        <is>
          <t>SEDAL</t>
        </is>
      </c>
      <c r="F683" t="n">
        <v>9550</v>
      </c>
      <c r="G683" t="n">
        <v>789256</v>
      </c>
      <c r="H683" t="b">
        <v>1</v>
      </c>
      <c r="I683" t="n">
        <v>650</v>
      </c>
      <c r="J683" t="n">
        <v>14.6923</v>
      </c>
      <c r="K683" t="inlineStr">
        <is>
          <t>&gt; Perfumería &gt; Cuidado Capilar &gt; Acondicionador &gt;</t>
        </is>
      </c>
      <c r="L683" t="inlineStr">
        <is>
          <t>acondicionador</t>
        </is>
      </c>
      <c r="M683" t="inlineStr">
        <is>
          <t>estandar</t>
        </is>
      </c>
      <c r="N683" t="inlineStr">
        <is>
          <t>general</t>
        </is>
      </c>
      <c r="O683" t="inlineStr">
        <is>
          <t>https://www.disco.com.ar/acondicionador-sedal-hialuronico-y-vitamina-a-650-ml-2/p</t>
        </is>
      </c>
    </row>
    <row r="684">
      <c r="A684" s="10" t="inlineStr">
        <is>
          <t>Disco</t>
        </is>
      </c>
      <c r="B684" s="10" t="n">
        <v>393767</v>
      </c>
      <c r="C684" s="10" t="n">
        <v>391788</v>
      </c>
      <c r="D684" s="10" t="inlineStr">
        <is>
          <t>Acondicionador Óleo Extraordinario Nutrición 200 Ml Elvive</t>
        </is>
      </c>
      <c r="E684" s="10" t="inlineStr">
        <is>
          <t>ELVIVE</t>
        </is>
      </c>
      <c r="F684" s="10" t="n">
        <v>7650</v>
      </c>
      <c r="G684" s="10" t="n">
        <v>632231</v>
      </c>
      <c r="H684" s="10" t="b">
        <v>1</v>
      </c>
      <c r="I684" s="10" t="n">
        <v>200</v>
      </c>
      <c r="J684" s="10" t="n">
        <v>38.25</v>
      </c>
      <c r="K684" s="10" t="inlineStr">
        <is>
          <t>&gt; Perfumería &gt; Cuidado Capilar &gt; Acondicionador &gt;</t>
        </is>
      </c>
      <c r="L684" s="10" t="inlineStr">
        <is>
          <t>acondicionador</t>
        </is>
      </c>
      <c r="M684" s="10" t="inlineStr">
        <is>
          <t>profesional</t>
        </is>
      </c>
      <c r="N684" s="10" t="inlineStr">
        <is>
          <t>general</t>
        </is>
      </c>
      <c r="O684" s="10" t="inlineStr">
        <is>
          <t>https://www.disco.com.ar/acondicionador-oleo-extraordinario-nutricion-universal-200ml/p</t>
        </is>
      </c>
    </row>
    <row r="685">
      <c r="A685" t="inlineStr">
        <is>
          <t>Disco</t>
        </is>
      </c>
      <c r="B685" t="n">
        <v>1360450</v>
      </c>
      <c r="C685" t="n">
        <v>1360033</v>
      </c>
      <c r="D685" t="inlineStr">
        <is>
          <t>Acondicionador Glycolic Gloss Sellador de Brillo 400 Ml Elvive</t>
        </is>
      </c>
      <c r="E685" t="inlineStr">
        <is>
          <t>ELVIVE</t>
        </is>
      </c>
      <c r="F685" t="n">
        <v>13700</v>
      </c>
      <c r="G685" t="n">
        <v>1132231</v>
      </c>
      <c r="H685" t="b">
        <v>1</v>
      </c>
      <c r="I685" t="n">
        <v>400</v>
      </c>
      <c r="J685" t="n">
        <v>34.25</v>
      </c>
      <c r="K685" t="inlineStr">
        <is>
          <t>&gt; Perfumería &gt; Cuidado Capilar &gt; Acondicionador &gt;</t>
        </is>
      </c>
      <c r="L685" t="inlineStr">
        <is>
          <t>acondicionador</t>
        </is>
      </c>
      <c r="M685" t="inlineStr">
        <is>
          <t>profesional</t>
        </is>
      </c>
      <c r="N685" t="inlineStr">
        <is>
          <t>general</t>
        </is>
      </c>
      <c r="O685" t="inlineStr">
        <is>
          <t>https://www.disco.com.ar/acondicionador-elvive-glyco-gloss-400ml/p</t>
        </is>
      </c>
    </row>
    <row r="686">
      <c r="A686" s="10" t="inlineStr">
        <is>
          <t>Disco</t>
        </is>
      </c>
      <c r="B686" s="10" t="n">
        <v>415585</v>
      </c>
      <c r="C686" s="10" t="n">
        <v>411169</v>
      </c>
      <c r="D686" s="10" t="inlineStr">
        <is>
          <t>Acondicionador Revitalización Repara y Hidrata 400 Ml Pantene</t>
        </is>
      </c>
      <c r="E686" s="10" t="inlineStr">
        <is>
          <t>PANTENE</t>
        </is>
      </c>
      <c r="F686" s="10" t="n">
        <v>10550</v>
      </c>
      <c r="G686" s="10" t="n">
        <v>871901</v>
      </c>
      <c r="H686" s="10" t="b">
        <v>1</v>
      </c>
      <c r="I686" s="10" t="n">
        <v>400</v>
      </c>
      <c r="J686" s="10" t="n">
        <v>26.375</v>
      </c>
      <c r="K686" s="10" t="inlineStr">
        <is>
          <t>&gt; Perfumería &gt; Cuidado Capilar &gt; Acondicionador &gt;</t>
        </is>
      </c>
      <c r="L686" s="10" t="inlineStr">
        <is>
          <t>acondicionador</t>
        </is>
      </c>
      <c r="M686" s="10" t="inlineStr">
        <is>
          <t>estandar</t>
        </is>
      </c>
      <c r="N686" s="10" t="inlineStr">
        <is>
          <t>seco_danado</t>
        </is>
      </c>
      <c r="O686" s="10" t="inlineStr">
        <is>
          <t>https://www.disco.com.ar/acondicionador-revitalizacion-400-ml-pantene/p</t>
        </is>
      </c>
    </row>
    <row r="687">
      <c r="A687" t="inlineStr">
        <is>
          <t>Disco</t>
        </is>
      </c>
      <c r="B687" t="n">
        <v>1362524</v>
      </c>
      <c r="C687" t="n">
        <v>1361772</v>
      </c>
      <c r="D687" t="inlineStr">
        <is>
          <t>Acondicionador Reparación Total 5 Keratin 200 Ml Elvive</t>
        </is>
      </c>
      <c r="E687" t="inlineStr">
        <is>
          <t>ELVIVE</t>
        </is>
      </c>
      <c r="F687" t="n">
        <v>7650</v>
      </c>
      <c r="G687" t="n">
        <v>632231</v>
      </c>
      <c r="H687" t="b">
        <v>1</v>
      </c>
      <c r="I687" t="n">
        <v>200</v>
      </c>
      <c r="J687" t="n">
        <v>38.25</v>
      </c>
      <c r="K687" t="inlineStr">
        <is>
          <t>&gt; Perfumería &gt; Cuidado Capilar &gt; Acondicionador &gt;</t>
        </is>
      </c>
      <c r="L687" t="inlineStr">
        <is>
          <t>acondicionador</t>
        </is>
      </c>
      <c r="M687" t="inlineStr">
        <is>
          <t>profesional</t>
        </is>
      </c>
      <c r="N687" t="inlineStr">
        <is>
          <t>general</t>
        </is>
      </c>
      <c r="O687" t="inlineStr">
        <is>
          <t>https://www.disco.com.ar/acondicionador-elvive-reparacion-total-5-keratin-200-ml/p</t>
        </is>
      </c>
    </row>
    <row r="688">
      <c r="A688" s="10" t="inlineStr">
        <is>
          <t>Disco</t>
        </is>
      </c>
      <c r="B688" s="10" t="n">
        <v>1360452</v>
      </c>
      <c r="C688" s="10" t="n">
        <v>1360035</v>
      </c>
      <c r="D688" s="10" t="inlineStr">
        <is>
          <t>Acondicionador Glyco Gloss Sellador de Brillo 750 Ml Elvive</t>
        </is>
      </c>
      <c r="E688" s="10" t="inlineStr">
        <is>
          <t>ELVIVE</t>
        </is>
      </c>
      <c r="F688" s="10" t="n">
        <v>21850</v>
      </c>
      <c r="G688" s="10" t="n">
        <v>1805785</v>
      </c>
      <c r="H688" s="10" t="b">
        <v>1</v>
      </c>
      <c r="I688" s="10" t="n">
        <v>750</v>
      </c>
      <c r="J688" s="10" t="n">
        <v>29.1333</v>
      </c>
      <c r="K688" s="10" t="inlineStr">
        <is>
          <t>&gt; Perfumería &gt; Cuidado Capilar &gt; Acondicionador &gt;</t>
        </is>
      </c>
      <c r="L688" s="10" t="inlineStr">
        <is>
          <t>acondicionador</t>
        </is>
      </c>
      <c r="M688" s="10" t="inlineStr">
        <is>
          <t>profesional</t>
        </is>
      </c>
      <c r="N688" s="10" t="inlineStr">
        <is>
          <t>general</t>
        </is>
      </c>
      <c r="O688" s="10" t="inlineStr">
        <is>
          <t>https://www.disco.com.ar/acondicionador-elvive-glyco-gloss-750ml/p</t>
        </is>
      </c>
    </row>
    <row r="689">
      <c r="A689" t="inlineStr">
        <is>
          <t>Disco</t>
        </is>
      </c>
      <c r="B689" t="n">
        <v>407560</v>
      </c>
      <c r="C689" t="n">
        <v>403749</v>
      </c>
      <c r="D689" t="inlineStr">
        <is>
          <t>Acondicionador Reparación Total 5 Keratin 750 Ml Elvive</t>
        </is>
      </c>
      <c r="E689" t="inlineStr">
        <is>
          <t>ELVIVE</t>
        </is>
      </c>
      <c r="F689" t="n">
        <v>19150</v>
      </c>
      <c r="G689" t="n">
        <v>1582645</v>
      </c>
      <c r="H689" t="b">
        <v>1</v>
      </c>
      <c r="I689" t="n">
        <v>750</v>
      </c>
      <c r="J689" t="n">
        <v>25.5333</v>
      </c>
      <c r="K689" t="inlineStr">
        <is>
          <t>&gt; Perfumería &gt; Cuidado Capilar &gt; Acondicionador &gt;</t>
        </is>
      </c>
      <c r="L689" t="inlineStr">
        <is>
          <t>acondicionador</t>
        </is>
      </c>
      <c r="M689" t="inlineStr">
        <is>
          <t>profesional</t>
        </is>
      </c>
      <c r="N689" t="inlineStr">
        <is>
          <t>general</t>
        </is>
      </c>
      <c r="O689" t="inlineStr">
        <is>
          <t>https://www.disco.com.ar/acondicionador-elvive-rt5-keratin-750ml/p</t>
        </is>
      </c>
    </row>
    <row r="690">
      <c r="A690" s="10" t="inlineStr">
        <is>
          <t>Disco</t>
        </is>
      </c>
      <c r="B690" s="10" t="n">
        <v>3086640</v>
      </c>
      <c r="C690" s="10" t="n">
        <v>3085864</v>
      </c>
      <c r="D690" s="10" t="inlineStr">
        <is>
          <t>Acondicionador Goodbye Daños Oil Control 350 Ml Fructis Acondicionador Oil Control X 350 Ml Fructis</t>
        </is>
      </c>
      <c r="E690" s="10" t="inlineStr">
        <is>
          <t>FRUCTIS</t>
        </is>
      </c>
      <c r="F690" s="10" t="n">
        <v>8650</v>
      </c>
      <c r="G690" s="10" t="n">
        <v>714876</v>
      </c>
      <c r="H690" s="10" t="b">
        <v>1</v>
      </c>
      <c r="I690" s="10" t="n">
        <v>350</v>
      </c>
      <c r="J690" s="10" t="n">
        <v>24.7143</v>
      </c>
      <c r="K690" s="10" t="inlineStr">
        <is>
          <t>&gt; Perfumería &gt; Cuidado Capilar &gt; Acondicionador &gt;</t>
        </is>
      </c>
      <c r="L690" s="10" t="inlineStr">
        <is>
          <t>acondicionador</t>
        </is>
      </c>
      <c r="M690" s="10" t="inlineStr">
        <is>
          <t>estandar</t>
        </is>
      </c>
      <c r="N690" s="10" t="inlineStr">
        <is>
          <t>general</t>
        </is>
      </c>
      <c r="O690" s="10" t="inlineStr">
        <is>
          <t>https://www.disco.com.ar/acondicionador-oil-control-x-350-ml-fructis/p</t>
        </is>
      </c>
    </row>
    <row r="691">
      <c r="A691" t="inlineStr">
        <is>
          <t>Disco</t>
        </is>
      </c>
      <c r="B691" t="n">
        <v>3070161</v>
      </c>
      <c r="C691" t="n">
        <v>3069768</v>
      </c>
      <c r="D691" t="inlineStr">
        <is>
          <t>Acondicionador Keratina Repara y Protege 250 Ml Pantene</t>
        </is>
      </c>
      <c r="E691" t="inlineStr">
        <is>
          <t>PANTENE</t>
        </is>
      </c>
      <c r="F691" t="n">
        <v>10550</v>
      </c>
      <c r="G691" t="n">
        <v>871901</v>
      </c>
      <c r="H691" t="b">
        <v>1</v>
      </c>
      <c r="I691" t="n">
        <v>250</v>
      </c>
      <c r="J691" t="n">
        <v>42.2</v>
      </c>
      <c r="K691" t="inlineStr">
        <is>
          <t>&gt; Perfumería &gt; Cuidado Capilar &gt; Acondicionador &gt;</t>
        </is>
      </c>
      <c r="L691" t="inlineStr">
        <is>
          <t>acondicionador</t>
        </is>
      </c>
      <c r="M691" t="inlineStr">
        <is>
          <t>estandar</t>
        </is>
      </c>
      <c r="N691" t="inlineStr">
        <is>
          <t>tratado</t>
        </is>
      </c>
      <c r="O691" t="inlineStr">
        <is>
          <t>https://www.disco.com.ar/acondicionador-keratina-x-250-ml-pantene-2/p</t>
        </is>
      </c>
    </row>
    <row r="692">
      <c r="A692" s="10" t="inlineStr">
        <is>
          <t>Disco</t>
        </is>
      </c>
      <c r="B692" s="10" t="n">
        <v>1371393</v>
      </c>
      <c r="C692" s="10" t="n">
        <v>1369515</v>
      </c>
      <c r="D692" s="10" t="inlineStr">
        <is>
          <t>Acondicionador Aloe Hidra Clean Hidratación 350 Ml Fructis</t>
        </is>
      </c>
      <c r="E692" s="10" t="inlineStr">
        <is>
          <t>FRUCTIS</t>
        </is>
      </c>
      <c r="F692" s="10" t="n">
        <v>8500</v>
      </c>
      <c r="G692" s="10" t="n">
        <v>702479</v>
      </c>
      <c r="H692" s="10" t="b">
        <v>1</v>
      </c>
      <c r="I692" s="10" t="n">
        <v>350</v>
      </c>
      <c r="J692" s="10" t="n">
        <v>24.2857</v>
      </c>
      <c r="K692" s="10" t="inlineStr">
        <is>
          <t>&gt; Perfumería &gt; Cuidado Capilar &gt; Acondicionador &gt;</t>
        </is>
      </c>
      <c r="L692" s="10" t="inlineStr">
        <is>
          <t>acondicionador</t>
        </is>
      </c>
      <c r="M692" s="10" t="inlineStr">
        <is>
          <t>estandar</t>
        </is>
      </c>
      <c r="N692" s="10" t="inlineStr">
        <is>
          <t>seco_danado</t>
        </is>
      </c>
      <c r="O692" s="10" t="inlineStr">
        <is>
          <t>https://www.disco.com.ar/acondicionador-fructis-aloe-water-350-ml-2/p</t>
        </is>
      </c>
    </row>
    <row r="693">
      <c r="A693" t="inlineStr">
        <is>
          <t>Disco</t>
        </is>
      </c>
      <c r="B693" t="n">
        <v>397622</v>
      </c>
      <c r="C693" t="n">
        <v>395355</v>
      </c>
      <c r="D693" t="inlineStr">
        <is>
          <t>Acondicionador Hidra Equilibrante Hialuronico Pure 750 Ml Elvive</t>
        </is>
      </c>
      <c r="E693" t="inlineStr">
        <is>
          <t>ELVIVE</t>
        </is>
      </c>
      <c r="F693" t="n">
        <v>19150</v>
      </c>
      <c r="G693" t="n">
        <v>1582645</v>
      </c>
      <c r="H693" t="b">
        <v>1</v>
      </c>
      <c r="I693" t="n">
        <v>750</v>
      </c>
      <c r="J693" t="n">
        <v>25.5333</v>
      </c>
      <c r="K693" t="inlineStr">
        <is>
          <t>&gt; Perfumería &gt; Cuidado Capilar &gt; Acondicionador &gt;</t>
        </is>
      </c>
      <c r="L693" t="inlineStr">
        <is>
          <t>acondicionador</t>
        </is>
      </c>
      <c r="M693" t="inlineStr">
        <is>
          <t>profesional</t>
        </is>
      </c>
      <c r="N693" t="inlineStr">
        <is>
          <t>general</t>
        </is>
      </c>
      <c r="O693" t="inlineStr">
        <is>
          <t>https://www.disco.com.ar/acondicionador-elvive-hialuronico-pure-750-ml/p</t>
        </is>
      </c>
    </row>
    <row r="694">
      <c r="A694" s="10" t="inlineStr">
        <is>
          <t>Disco</t>
        </is>
      </c>
      <c r="B694" s="10" t="n">
        <v>288728</v>
      </c>
      <c r="C694" s="10" t="n">
        <v>287975</v>
      </c>
      <c r="D694" s="10" t="inlineStr">
        <is>
          <t>Acondicionador Hidratación Intensa Aloe Vera 420 Ml Capilatis</t>
        </is>
      </c>
      <c r="E694" s="10" t="inlineStr">
        <is>
          <t>CAPILATIS</t>
        </is>
      </c>
      <c r="F694" s="10" t="n">
        <v>10950</v>
      </c>
      <c r="G694" s="10" t="n">
        <v>904959</v>
      </c>
      <c r="H694" s="10" t="b">
        <v>1</v>
      </c>
      <c r="I694" s="10" t="n">
        <v>420</v>
      </c>
      <c r="J694" s="10" t="n">
        <v>26.0714</v>
      </c>
      <c r="K694" s="10" t="inlineStr">
        <is>
          <t>&gt; Perfumería &gt; Cuidado Capilar &gt; Acondicionador &gt;</t>
        </is>
      </c>
      <c r="L694" s="10" t="inlineStr">
        <is>
          <t>acondicionador</t>
        </is>
      </c>
      <c r="M694" s="10" t="inlineStr">
        <is>
          <t>estandar</t>
        </is>
      </c>
      <c r="N694" s="10" t="inlineStr">
        <is>
          <t>seco_danado</t>
        </is>
      </c>
      <c r="O694" s="10" t="inlineStr">
        <is>
          <t>https://www.disco.com.ar/acondicionador-aloe-organico-420-ml-capilatis/p</t>
        </is>
      </c>
    </row>
    <row r="695">
      <c r="A695" t="inlineStr">
        <is>
          <t>Disco</t>
        </is>
      </c>
      <c r="B695" t="n">
        <v>3087375</v>
      </c>
      <c r="C695" t="n">
        <v>3086596</v>
      </c>
      <c r="D695" t="inlineStr">
        <is>
          <t>Acondicionador Humectación y Coco Antioxi 650 Ml Dove Acondicionador Dove Humectcoco Antioxi 650ml</t>
        </is>
      </c>
      <c r="E695" t="inlineStr">
        <is>
          <t>DOVE</t>
        </is>
      </c>
      <c r="F695" t="n">
        <v>17200</v>
      </c>
      <c r="G695" t="n">
        <v>1421488</v>
      </c>
      <c r="H695" t="b">
        <v>1</v>
      </c>
      <c r="I695" t="n">
        <v>650</v>
      </c>
      <c r="J695" t="n">
        <v>26.4615</v>
      </c>
      <c r="K695" t="inlineStr">
        <is>
          <t>&gt; Perfumería &gt; Cuidado Capilar &gt; Acondicionador &gt;</t>
        </is>
      </c>
      <c r="L695" t="inlineStr">
        <is>
          <t>acondicionador</t>
        </is>
      </c>
      <c r="M695" t="inlineStr">
        <is>
          <t>estandar</t>
        </is>
      </c>
      <c r="N695" t="inlineStr">
        <is>
          <t>general</t>
        </is>
      </c>
      <c r="O695" t="inlineStr">
        <is>
          <t>https://www.disco.com.ar/acondicionador-dove-humectcoco-antioxi-650ml/p</t>
        </is>
      </c>
    </row>
    <row r="696">
      <c r="A696" s="10" t="inlineStr">
        <is>
          <t>Disco</t>
        </is>
      </c>
      <c r="B696" s="10" t="n">
        <v>3065220</v>
      </c>
      <c r="C696" s="10" t="n">
        <v>3065219</v>
      </c>
      <c r="D696" s="10" t="inlineStr">
        <is>
          <t>Acondicionador Pro-v Miracles Hidrata 700 Ml Pantene</t>
        </is>
      </c>
      <c r="E696" s="10" t="inlineStr">
        <is>
          <t>PANTENE</t>
        </is>
      </c>
      <c r="F696" s="10" t="n">
        <v>17500</v>
      </c>
      <c r="G696" s="10" t="n">
        <v>1446281</v>
      </c>
      <c r="H696" s="10" t="b">
        <v>1</v>
      </c>
      <c r="I696" s="10" t="n">
        <v>700</v>
      </c>
      <c r="J696" s="10" t="n">
        <v>25</v>
      </c>
      <c r="K696" s="10" t="inlineStr">
        <is>
          <t>&gt; Perfumería &gt; Cuidado Capilar &gt; Acondicionador &gt;</t>
        </is>
      </c>
      <c r="L696" s="10" t="inlineStr">
        <is>
          <t>acondicionador</t>
        </is>
      </c>
      <c r="M696" s="10" t="inlineStr">
        <is>
          <t>profesional</t>
        </is>
      </c>
      <c r="N696" s="10" t="inlineStr">
        <is>
          <t>seco_danado</t>
        </is>
      </c>
      <c r="O696" s="10" t="inlineStr">
        <is>
          <t>https://www.disco.com.ar/acondicionador-pro-v-miracles-hidrata-700-ml-pantene-2/p</t>
        </is>
      </c>
    </row>
    <row r="697">
      <c r="A697" t="inlineStr">
        <is>
          <t>Disco</t>
        </is>
      </c>
      <c r="B697" t="n">
        <v>1360441</v>
      </c>
      <c r="C697" t="n">
        <v>1360025</v>
      </c>
      <c r="D697" t="inlineStr">
        <is>
          <t>Acondicionador 3 Minute Miracle Nutrición 170 Ml Pantene</t>
        </is>
      </c>
      <c r="E697" t="inlineStr">
        <is>
          <t>PANTENE</t>
        </is>
      </c>
      <c r="F697" t="n">
        <v>10100</v>
      </c>
      <c r="G697" t="n">
        <v>834711</v>
      </c>
      <c r="H697" t="b">
        <v>1</v>
      </c>
      <c r="I697" t="n">
        <v>170</v>
      </c>
      <c r="J697" t="n">
        <v>59.4118</v>
      </c>
      <c r="K697" t="inlineStr">
        <is>
          <t>&gt; Perfumería &gt; Cuidado Capilar &gt; Reparación y Tratamientos &gt;</t>
        </is>
      </c>
      <c r="L697" t="inlineStr">
        <is>
          <t>acondicionador</t>
        </is>
      </c>
      <c r="M697" t="inlineStr">
        <is>
          <t>estandar</t>
        </is>
      </c>
      <c r="N697" t="inlineStr">
        <is>
          <t>general</t>
        </is>
      </c>
      <c r="O697" t="inlineStr">
        <is>
          <t>https://www.disco.com.ar/acondicionador-3-minute-miracle-nutricion-170-ml-pantene-2/p</t>
        </is>
      </c>
    </row>
    <row r="698">
      <c r="A698" s="10" t="inlineStr">
        <is>
          <t>Disco</t>
        </is>
      </c>
      <c r="B698" s="10" t="n">
        <v>3083504</v>
      </c>
      <c r="C698" s="10" t="n">
        <v>3082779</v>
      </c>
      <c r="D698" s="10" t="inlineStr">
        <is>
          <t>Acondicionador Brillo Cristalino Glycolic Cristal 200 Ml Elvive</t>
        </is>
      </c>
      <c r="E698" s="10" t="inlineStr">
        <is>
          <t>ELVIVE</t>
        </is>
      </c>
      <c r="F698" s="10" t="n">
        <v>8550</v>
      </c>
      <c r="G698" s="10" t="n">
        <v>706612</v>
      </c>
      <c r="H698" s="10" t="b">
        <v>1</v>
      </c>
      <c r="I698" s="10" t="n">
        <v>200</v>
      </c>
      <c r="J698" s="10" t="n">
        <v>42.75</v>
      </c>
      <c r="K698" s="10" t="inlineStr">
        <is>
          <t>&gt; Perfumería &gt; Cuidado Capilar &gt; Acondicionador &gt;</t>
        </is>
      </c>
      <c r="L698" s="10" t="inlineStr">
        <is>
          <t>acondicionador</t>
        </is>
      </c>
      <c r="M698" s="10" t="inlineStr">
        <is>
          <t>profesional</t>
        </is>
      </c>
      <c r="N698" s="10" t="inlineStr">
        <is>
          <t>general</t>
        </is>
      </c>
      <c r="O698" s="10" t="inlineStr">
        <is>
          <t>https://www.disco.com.ar/acondicionador-brillo-cristalino-glycolic-cristal-x-200-ml-elvive/p</t>
        </is>
      </c>
    </row>
    <row r="699">
      <c r="A699" t="inlineStr">
        <is>
          <t>Disco</t>
        </is>
      </c>
      <c r="B699" t="n">
        <v>3071024</v>
      </c>
      <c r="C699" t="n">
        <v>3070595</v>
      </c>
      <c r="D699" t="inlineStr">
        <is>
          <t>Acondicionador Dream Liso Anti-frizz 750 Ml Elvive</t>
        </is>
      </c>
      <c r="E699" t="inlineStr">
        <is>
          <t>ELVIVE</t>
        </is>
      </c>
      <c r="F699" t="n">
        <v>21850</v>
      </c>
      <c r="G699" t="n">
        <v>1805785</v>
      </c>
      <c r="H699" t="b">
        <v>1</v>
      </c>
      <c r="I699" t="n">
        <v>750</v>
      </c>
      <c r="J699" t="n">
        <v>29.1333</v>
      </c>
      <c r="K699" t="inlineStr">
        <is>
          <t>&gt; Perfumería &gt; Cuidado Capilar &gt; Acondicionador &gt;</t>
        </is>
      </c>
      <c r="L699" t="inlineStr">
        <is>
          <t>acondicionador</t>
        </is>
      </c>
      <c r="M699" t="inlineStr">
        <is>
          <t>profesional</t>
        </is>
      </c>
      <c r="N699" t="inlineStr">
        <is>
          <t>general</t>
        </is>
      </c>
      <c r="O699" t="inlineStr">
        <is>
          <t>https://www.disco.com.ar/acondicionador-dream-liso-x-750-ml-elvive/p</t>
        </is>
      </c>
    </row>
    <row r="700">
      <c r="A700" s="10" t="inlineStr">
        <is>
          <t>Disco</t>
        </is>
      </c>
      <c r="B700" s="10" t="n">
        <v>3066019</v>
      </c>
      <c r="C700" s="10" t="n">
        <v>3065976</v>
      </c>
      <c r="D700" s="10" t="inlineStr">
        <is>
          <t>Acondicionador Anti-Caída Biotinamina B3 250 Ml Pantene</t>
        </is>
      </c>
      <c r="E700" s="10" t="inlineStr">
        <is>
          <t>PANTENE</t>
        </is>
      </c>
      <c r="F700" s="10" t="n">
        <v>10550</v>
      </c>
      <c r="G700" s="10" t="n">
        <v>871901</v>
      </c>
      <c r="H700" s="10" t="b">
        <v>1</v>
      </c>
      <c r="I700" s="10" t="n">
        <v>250</v>
      </c>
      <c r="J700" s="10" t="n">
        <v>42.2</v>
      </c>
      <c r="K700" s="10" t="inlineStr">
        <is>
          <t>&gt; Perfumería &gt; Cuidado Capilar &gt; Acondicionador &gt;</t>
        </is>
      </c>
      <c r="L700" s="10" t="inlineStr">
        <is>
          <t>acondicionador</t>
        </is>
      </c>
      <c r="M700" s="10" t="inlineStr">
        <is>
          <t>estandar</t>
        </is>
      </c>
      <c r="N700" s="10" t="inlineStr">
        <is>
          <t>general</t>
        </is>
      </c>
      <c r="O700" s="10" t="inlineStr">
        <is>
          <t>https://www.disco.com.ar/acondicionador-anti-caida-x-250-ml-pantene/p</t>
        </is>
      </c>
    </row>
    <row r="701">
      <c r="A701" t="inlineStr">
        <is>
          <t>Disco</t>
        </is>
      </c>
      <c r="B701" t="n">
        <v>1360448</v>
      </c>
      <c r="C701" t="n">
        <v>1360031</v>
      </c>
      <c r="D701" t="inlineStr">
        <is>
          <t>Acondicionador Glycolic Gloss Sellador de Brillo 200 Ml Elvive</t>
        </is>
      </c>
      <c r="E701" t="inlineStr">
        <is>
          <t>ELVIVE</t>
        </is>
      </c>
      <c r="F701" t="n">
        <v>8200</v>
      </c>
      <c r="G701" t="n">
        <v>677686</v>
      </c>
      <c r="H701" t="b">
        <v>1</v>
      </c>
      <c r="I701" t="n">
        <v>200</v>
      </c>
      <c r="J701" t="n">
        <v>41</v>
      </c>
      <c r="K701" t="inlineStr">
        <is>
          <t>&gt; Perfumería &gt; Cuidado Capilar &gt; Acondicionador &gt;</t>
        </is>
      </c>
      <c r="L701" t="inlineStr">
        <is>
          <t>acondicionador</t>
        </is>
      </c>
      <c r="M701" t="inlineStr">
        <is>
          <t>profesional</t>
        </is>
      </c>
      <c r="N701" t="inlineStr">
        <is>
          <t>general</t>
        </is>
      </c>
      <c r="O701" t="inlineStr">
        <is>
          <t>https://www.disco.com.ar/acondicionador-elvive-glyco-gloss-200ml/p</t>
        </is>
      </c>
    </row>
    <row r="702">
      <c r="A702" s="10" t="inlineStr">
        <is>
          <t>Disco</t>
        </is>
      </c>
      <c r="B702" s="10" t="n">
        <v>416912</v>
      </c>
      <c r="C702" s="10" t="n">
        <v>412456</v>
      </c>
      <c r="D702" s="10" t="inlineStr">
        <is>
          <t>Acondicionador Óleo Extraordinario Rizos Definidos 200 Ml Elvive</t>
        </is>
      </c>
      <c r="E702" s="10" t="inlineStr">
        <is>
          <t>ELVIVE</t>
        </is>
      </c>
      <c r="F702" s="10" t="n">
        <v>7650</v>
      </c>
      <c r="G702" s="10" t="n">
        <v>632231</v>
      </c>
      <c r="H702" s="10" t="b">
        <v>1</v>
      </c>
      <c r="I702" s="10" t="n">
        <v>200</v>
      </c>
      <c r="J702" s="10" t="n">
        <v>38.25</v>
      </c>
      <c r="K702" s="10" t="inlineStr">
        <is>
          <t>&gt; Perfumería &gt; Cuidado Capilar &gt; Acondicionador &gt;</t>
        </is>
      </c>
      <c r="L702" s="10" t="inlineStr">
        <is>
          <t>acondicionador</t>
        </is>
      </c>
      <c r="M702" s="10" t="inlineStr">
        <is>
          <t>profesional</t>
        </is>
      </c>
      <c r="N702" s="10" t="inlineStr">
        <is>
          <t>rizado</t>
        </is>
      </c>
      <c r="O702" s="10" t="inlineStr">
        <is>
          <t>https://www.disco.com.ar/acondicionador-elvive-extraordinario-riso-200-ml/p</t>
        </is>
      </c>
    </row>
    <row r="703">
      <c r="A703" t="inlineStr">
        <is>
          <t>Disco</t>
        </is>
      </c>
      <c r="B703" t="n">
        <v>424300</v>
      </c>
      <c r="C703" t="n">
        <v>417180</v>
      </c>
      <c r="D703" t="inlineStr">
        <is>
          <t>Acondicionador Nutrición Intensa Óleo de Argán 700 Ml Plusbelle</t>
        </is>
      </c>
      <c r="E703" t="inlineStr">
        <is>
          <t>PLUSBELLE</t>
        </is>
      </c>
      <c r="F703" t="n">
        <v>5650</v>
      </c>
      <c r="G703" t="n">
        <v>466942</v>
      </c>
      <c r="H703" t="b">
        <v>1</v>
      </c>
      <c r="I703" t="n">
        <v>700</v>
      </c>
      <c r="J703" t="n">
        <v>8.071400000000001</v>
      </c>
      <c r="K703" t="inlineStr">
        <is>
          <t>&gt; Perfumería &gt; Cuidado Capilar &gt; Acondicionador &gt;</t>
        </is>
      </c>
      <c r="L703" t="inlineStr">
        <is>
          <t>acondicionador</t>
        </is>
      </c>
      <c r="M703" t="inlineStr">
        <is>
          <t>estandar</t>
        </is>
      </c>
      <c r="N703" t="inlineStr">
        <is>
          <t>general</t>
        </is>
      </c>
      <c r="O703" t="inlineStr">
        <is>
          <t>https://www.disco.com.ar/acondicionador-plusbelle-esen-oleo-nut-argan-700-ml/p</t>
        </is>
      </c>
    </row>
    <row r="704">
      <c r="A704" s="10" t="inlineStr">
        <is>
          <t>Disco</t>
        </is>
      </c>
      <c r="B704" s="10" t="n">
        <v>397905</v>
      </c>
      <c r="C704" s="10" t="n">
        <v>395640</v>
      </c>
      <c r="D704" s="10" t="inlineStr">
        <is>
          <t>Acondicionador Colágeno y Vitamina C 340 Ml Sedal</t>
        </is>
      </c>
      <c r="E704" s="10" t="inlineStr">
        <is>
          <t>SEDAL</t>
        </is>
      </c>
      <c r="F704" s="10" t="n">
        <v>5950</v>
      </c>
      <c r="G704" s="10" t="n">
        <v>491736</v>
      </c>
      <c r="H704" s="10" t="b">
        <v>1</v>
      </c>
      <c r="I704" s="10" t="n">
        <v>340</v>
      </c>
      <c r="J704" s="10" t="n">
        <v>17.5</v>
      </c>
      <c r="K704" s="10" t="inlineStr">
        <is>
          <t>&gt; Perfumería &gt; Cuidado Capilar &gt; Acondicionador &gt;</t>
        </is>
      </c>
      <c r="L704" s="10" t="inlineStr">
        <is>
          <t>acondicionador</t>
        </is>
      </c>
      <c r="M704" s="10" t="inlineStr">
        <is>
          <t>estandar</t>
        </is>
      </c>
      <c r="N704" s="10" t="inlineStr">
        <is>
          <t>general</t>
        </is>
      </c>
      <c r="O704" s="10" t="inlineStr">
        <is>
          <t>https://www.disco.com.ar/acondicionador-colageno-y-vitamina-c-340-ml-sedal/p</t>
        </is>
      </c>
    </row>
    <row r="705">
      <c r="A705" t="inlineStr">
        <is>
          <t>Disco</t>
        </is>
      </c>
      <c r="B705" t="n">
        <v>3083498</v>
      </c>
      <c r="C705" t="n">
        <v>3082773</v>
      </c>
      <c r="D705" t="inlineStr">
        <is>
          <t>Acondicionador Brillo Cristalino Glycolic Cristal 750 Ml Elvive</t>
        </is>
      </c>
      <c r="E705" t="inlineStr">
        <is>
          <t>ELVIVE</t>
        </is>
      </c>
      <c r="F705" t="n">
        <v>22750</v>
      </c>
      <c r="G705" t="n">
        <v>1880165</v>
      </c>
      <c r="H705" t="b">
        <v>1</v>
      </c>
      <c r="I705" t="n">
        <v>750</v>
      </c>
      <c r="J705" t="n">
        <v>30.3333</v>
      </c>
      <c r="K705" t="inlineStr">
        <is>
          <t>&gt; Perfumería &gt; Cuidado Capilar &gt; Acondicionador &gt;</t>
        </is>
      </c>
      <c r="L705" t="inlineStr">
        <is>
          <t>acondicionador</t>
        </is>
      </c>
      <c r="M705" t="inlineStr">
        <is>
          <t>profesional</t>
        </is>
      </c>
      <c r="N705" t="inlineStr">
        <is>
          <t>general</t>
        </is>
      </c>
      <c r="O705" t="inlineStr">
        <is>
          <t>https://www.disco.com.ar/acondicionador-brillo-cristalino-glycolic-cristal-x-750-ml-elvive/p</t>
        </is>
      </c>
    </row>
    <row r="706">
      <c r="A706" s="10" t="inlineStr">
        <is>
          <t>Disco</t>
        </is>
      </c>
      <c r="B706" s="10" t="n">
        <v>3070986</v>
      </c>
      <c r="C706" s="10" t="n">
        <v>3070556</v>
      </c>
      <c r="D706" s="10" t="inlineStr">
        <is>
          <t>Acondicionador Sellador Liso Dream Liso 400 Ml Elvive</t>
        </is>
      </c>
      <c r="E706" s="10" t="inlineStr">
        <is>
          <t>ELVIVE</t>
        </is>
      </c>
      <c r="F706" s="10" t="n">
        <v>13700</v>
      </c>
      <c r="G706" s="10" t="n">
        <v>1132231</v>
      </c>
      <c r="H706" s="10" t="b">
        <v>1</v>
      </c>
      <c r="I706" s="10" t="n">
        <v>400</v>
      </c>
      <c r="J706" s="10" t="n">
        <v>34.25</v>
      </c>
      <c r="K706" s="10" t="inlineStr">
        <is>
          <t>&gt; Perfumería &gt; Cuidado Capilar &gt; Acondicionador &gt;</t>
        </is>
      </c>
      <c r="L706" s="10" t="inlineStr">
        <is>
          <t>acondicionador</t>
        </is>
      </c>
      <c r="M706" s="10" t="inlineStr">
        <is>
          <t>profesional</t>
        </is>
      </c>
      <c r="N706" s="10" t="inlineStr">
        <is>
          <t>general</t>
        </is>
      </c>
      <c r="O706" s="10" t="inlineStr">
        <is>
          <t>https://www.disco.com.ar/acondicionador-dream-liso-x-400-ml-elvive/p</t>
        </is>
      </c>
    </row>
    <row r="707">
      <c r="A707" t="inlineStr">
        <is>
          <t>Disco</t>
        </is>
      </c>
      <c r="B707" t="n">
        <v>3070157</v>
      </c>
      <c r="C707" t="n">
        <v>3069765</v>
      </c>
      <c r="D707" t="inlineStr">
        <is>
          <t>Acondicionador Colágeno Nutre y Revitaliza 250 Ml Pantene</t>
        </is>
      </c>
      <c r="E707" t="inlineStr">
        <is>
          <t>PANTENE</t>
        </is>
      </c>
      <c r="F707" t="n">
        <v>10950</v>
      </c>
      <c r="G707" t="n">
        <v>904959</v>
      </c>
      <c r="H707" t="b">
        <v>1</v>
      </c>
      <c r="I707" t="n">
        <v>250</v>
      </c>
      <c r="J707" t="n">
        <v>43.8</v>
      </c>
      <c r="K707" t="inlineStr">
        <is>
          <t>&gt; Perfumería &gt; Cuidado Capilar &gt; Acondicionador &gt;</t>
        </is>
      </c>
      <c r="L707" t="inlineStr">
        <is>
          <t>acondicionador</t>
        </is>
      </c>
      <c r="M707" t="inlineStr">
        <is>
          <t>estandar</t>
        </is>
      </c>
      <c r="N707" t="inlineStr">
        <is>
          <t>general</t>
        </is>
      </c>
      <c r="O707" t="inlineStr">
        <is>
          <t>https://www.disco.com.ar/acondicionador-colageno-x-250-ml-pantene-2/p</t>
        </is>
      </c>
    </row>
    <row r="708">
      <c r="A708" s="10" t="inlineStr">
        <is>
          <t>Disco</t>
        </is>
      </c>
      <c r="B708" s="10" t="n">
        <v>415581</v>
      </c>
      <c r="C708" s="10" t="n">
        <v>411165</v>
      </c>
      <c r="D708" s="10" t="inlineStr">
        <is>
          <t>Acondicionador Pro-V Miracles Volumen 400 Ml Pantene</t>
        </is>
      </c>
      <c r="E708" s="10" t="inlineStr">
        <is>
          <t>PANTENE</t>
        </is>
      </c>
      <c r="F708" s="10" t="n">
        <v>10550</v>
      </c>
      <c r="G708" s="10" t="n">
        <v>871901</v>
      </c>
      <c r="H708" s="10" t="b">
        <v>1</v>
      </c>
      <c r="I708" s="10" t="n">
        <v>400</v>
      </c>
      <c r="J708" s="10" t="n">
        <v>26.375</v>
      </c>
      <c r="K708" s="10" t="inlineStr">
        <is>
          <t>&gt; Perfumería &gt; Cuidado Capilar &gt; Acondicionador &gt;</t>
        </is>
      </c>
      <c r="L708" s="10" t="inlineStr">
        <is>
          <t>acondicionador</t>
        </is>
      </c>
      <c r="M708" s="10" t="inlineStr">
        <is>
          <t>profesional</t>
        </is>
      </c>
      <c r="N708" s="10" t="inlineStr">
        <is>
          <t>general</t>
        </is>
      </c>
      <c r="O708" s="10" t="inlineStr">
        <is>
          <t>https://www.disco.com.ar/acondicionador-pro-v-miracles-volumen-400-ml-pantene/p</t>
        </is>
      </c>
    </row>
    <row r="709">
      <c r="A709" t="inlineStr">
        <is>
          <t>Disco</t>
        </is>
      </c>
      <c r="B709" t="n">
        <v>384081</v>
      </c>
      <c r="C709" t="n">
        <v>382764</v>
      </c>
      <c r="D709" t="inlineStr">
        <is>
          <t>Acondicionador Hair Food Revitalizante Sandía 300 Ml Fructis</t>
        </is>
      </c>
      <c r="E709" t="inlineStr">
        <is>
          <t>FRUCTIS</t>
        </is>
      </c>
      <c r="F709" t="n">
        <v>12300</v>
      </c>
      <c r="G709" t="n">
        <v>1016529</v>
      </c>
      <c r="H709" t="b">
        <v>1</v>
      </c>
      <c r="I709" t="n">
        <v>300</v>
      </c>
      <c r="J709" t="n">
        <v>41</v>
      </c>
      <c r="K709" t="inlineStr">
        <is>
          <t>&gt; Perfumería &gt; Cuidado Capilar &gt; Acondicionador &gt;</t>
        </is>
      </c>
      <c r="L709" t="inlineStr">
        <is>
          <t>acondicionador</t>
        </is>
      </c>
      <c r="M709" t="inlineStr">
        <is>
          <t>estandar</t>
        </is>
      </c>
      <c r="N709" t="inlineStr">
        <is>
          <t>general</t>
        </is>
      </c>
      <c r="O709" t="inlineStr">
        <is>
          <t>https://www.disco.com.ar/acondicionador-fructis-hair-food-sandia-300-ml/p</t>
        </is>
      </c>
    </row>
    <row r="710">
      <c r="A710" s="10" t="inlineStr">
        <is>
          <t>Disco</t>
        </is>
      </c>
      <c r="B710" s="10" t="n">
        <v>25079</v>
      </c>
      <c r="C710" s="10" t="n">
        <v>22240</v>
      </c>
      <c r="D710" s="10" t="inlineStr">
        <is>
          <t>Acondicionador 3 Minute Miracle Restauración 170 Ml Pantene</t>
        </is>
      </c>
      <c r="E710" s="10" t="inlineStr">
        <is>
          <t>PANTENE</t>
        </is>
      </c>
      <c r="F710" s="10" t="n">
        <v>10100</v>
      </c>
      <c r="G710" s="10" t="n">
        <v>834711</v>
      </c>
      <c r="H710" s="10" t="b">
        <v>1</v>
      </c>
      <c r="I710" s="10" t="n">
        <v>170</v>
      </c>
      <c r="J710" s="10" t="n">
        <v>59.4118</v>
      </c>
      <c r="K710" s="10" t="inlineStr">
        <is>
          <t>&gt; Perfumería &gt; Cuidado Capilar &gt; Acondicionador &gt;</t>
        </is>
      </c>
      <c r="L710" s="10" t="inlineStr">
        <is>
          <t>acondicionador</t>
        </is>
      </c>
      <c r="M710" s="10" t="inlineStr">
        <is>
          <t>estandar</t>
        </is>
      </c>
      <c r="N710" s="10" t="inlineStr">
        <is>
          <t>general</t>
        </is>
      </c>
      <c r="O710" s="10" t="inlineStr">
        <is>
          <t>https://www.disco.com.ar/acondicionador-diario-pantene-pro-v-3-minute-miracle-restauracion-170-ml/p</t>
        </is>
      </c>
    </row>
    <row r="711">
      <c r="A711" t="inlineStr">
        <is>
          <t>Disco</t>
        </is>
      </c>
      <c r="B711" t="n">
        <v>397915</v>
      </c>
      <c r="C711" t="n">
        <v>395650</v>
      </c>
      <c r="D711" t="inlineStr">
        <is>
          <t>Acondicionador Colageno Y Vitamina C 650 Ml Sedal</t>
        </is>
      </c>
      <c r="E711" t="inlineStr">
        <is>
          <t>SEDAL</t>
        </is>
      </c>
      <c r="F711" t="n">
        <v>9550</v>
      </c>
      <c r="G711" t="n">
        <v>789256</v>
      </c>
      <c r="H711" t="b">
        <v>1</v>
      </c>
      <c r="I711" t="n">
        <v>650</v>
      </c>
      <c r="J711" t="n">
        <v>14.6923</v>
      </c>
      <c r="K711" t="inlineStr">
        <is>
          <t>&gt; Perfumería &gt; Cuidado Capilar &gt; Acondicionador &gt;</t>
        </is>
      </c>
      <c r="L711" t="inlineStr">
        <is>
          <t>acondicionador</t>
        </is>
      </c>
      <c r="M711" t="inlineStr">
        <is>
          <t>estandar</t>
        </is>
      </c>
      <c r="N711" t="inlineStr">
        <is>
          <t>general</t>
        </is>
      </c>
      <c r="O711" t="inlineStr">
        <is>
          <t>https://www.disco.com.ar/acondicionador-colageno-y-vitamina-c-650-ml-sedal/p</t>
        </is>
      </c>
    </row>
    <row r="712">
      <c r="A712" s="10" t="inlineStr">
        <is>
          <t>Disco</t>
        </is>
      </c>
      <c r="B712" s="10" t="n">
        <v>3074194</v>
      </c>
      <c r="C712" s="10" t="n">
        <v>3073690</v>
      </c>
      <c r="D712" s="10" t="inlineStr">
        <is>
          <t>Acondicionador Hair Food Anti-quiebre Ananá 300 Ml Fructis</t>
        </is>
      </c>
      <c r="E712" s="10" t="inlineStr">
        <is>
          <t>FRUCTIS</t>
        </is>
      </c>
      <c r="F712" s="10" t="n">
        <v>12300</v>
      </c>
      <c r="G712" s="10" t="n">
        <v>1016529</v>
      </c>
      <c r="H712" s="10" t="b">
        <v>1</v>
      </c>
      <c r="I712" s="10" t="n">
        <v>300</v>
      </c>
      <c r="J712" s="10" t="n">
        <v>41</v>
      </c>
      <c r="K712" s="10" t="inlineStr">
        <is>
          <t>&gt; Perfumería &gt; Cuidado Capilar &gt; Acondicionador &gt;</t>
        </is>
      </c>
      <c r="L712" s="10" t="inlineStr">
        <is>
          <t>acondicionador</t>
        </is>
      </c>
      <c r="M712" s="10" t="inlineStr">
        <is>
          <t>estandar</t>
        </is>
      </c>
      <c r="N712" s="10" t="inlineStr">
        <is>
          <t>general</t>
        </is>
      </c>
      <c r="O712" s="10" t="inlineStr">
        <is>
          <t>https://www.disco.com.ar/acondicionador-fructis-pina-300ml/p</t>
        </is>
      </c>
    </row>
    <row r="713">
      <c r="A713" t="inlineStr">
        <is>
          <t>Disco</t>
        </is>
      </c>
      <c r="B713" t="n">
        <v>307401</v>
      </c>
      <c r="C713" t="n">
        <v>306638</v>
      </c>
      <c r="D713" t="inlineStr">
        <is>
          <t>Acondicionador Dermo Protección Caída 300 Ml Head y Shoulders</t>
        </is>
      </c>
      <c r="E713" t="inlineStr">
        <is>
          <t>HEAD &amp; SHOULDERS</t>
        </is>
      </c>
      <c r="F713" t="n">
        <v>12450</v>
      </c>
      <c r="G713" t="n">
        <v>1028926</v>
      </c>
      <c r="H713" t="b">
        <v>1</v>
      </c>
      <c r="I713" t="n">
        <v>300</v>
      </c>
      <c r="J713" t="n">
        <v>41.5</v>
      </c>
      <c r="K713" t="inlineStr">
        <is>
          <t>&gt; Perfumería &gt; Cuidado Capilar &gt; Acondicionador &gt;</t>
        </is>
      </c>
      <c r="L713" t="inlineStr">
        <is>
          <t>acondicionador</t>
        </is>
      </c>
      <c r="M713" t="inlineStr">
        <is>
          <t>estandar</t>
        </is>
      </c>
      <c r="N713" t="inlineStr">
        <is>
          <t>general</t>
        </is>
      </c>
      <c r="O713" t="inlineStr">
        <is>
          <t>https://www.disco.com.ar/acondicionador-dermo-proteccion-caida-300-ml-head-shoulders/p</t>
        </is>
      </c>
    </row>
    <row r="714">
      <c r="A714" s="10" t="inlineStr">
        <is>
          <t>Disco</t>
        </is>
      </c>
      <c r="B714" s="10" t="n">
        <v>400534</v>
      </c>
      <c r="C714" s="10" t="n">
        <v>397872</v>
      </c>
      <c r="D714" s="10" t="inlineStr">
        <is>
          <t>Acondicionador Color Vive para Cabello Teñido 750 Ml Elvive</t>
        </is>
      </c>
      <c r="E714" s="10" t="inlineStr">
        <is>
          <t>ELVIVE</t>
        </is>
      </c>
      <c r="F714" s="10" t="n">
        <v>19150</v>
      </c>
      <c r="G714" s="10" t="n">
        <v>1582645</v>
      </c>
      <c r="H714" s="10" t="b">
        <v>1</v>
      </c>
      <c r="I714" s="10" t="n">
        <v>750</v>
      </c>
      <c r="J714" s="10" t="n">
        <v>25.5333</v>
      </c>
      <c r="K714" s="10" t="inlineStr">
        <is>
          <t>&gt; Perfumería &gt; Cuidado Capilar &gt; Acondicionador &gt;</t>
        </is>
      </c>
      <c r="L714" s="10" t="inlineStr">
        <is>
          <t>acondicionador</t>
        </is>
      </c>
      <c r="M714" s="10" t="inlineStr">
        <is>
          <t>profesional</t>
        </is>
      </c>
      <c r="N714" s="10" t="inlineStr">
        <is>
          <t>tratado</t>
        </is>
      </c>
      <c r="O714" s="10" t="inlineStr">
        <is>
          <t>https://www.disco.com.ar/acondicionador-elvive-color-vive-750-ml/p</t>
        </is>
      </c>
    </row>
    <row r="715">
      <c r="A715" t="inlineStr">
        <is>
          <t>Disco</t>
        </is>
      </c>
      <c r="B715" t="n">
        <v>400533</v>
      </c>
      <c r="C715" t="n">
        <v>397871</v>
      </c>
      <c r="D715" t="inlineStr">
        <is>
          <t>Acondicionador Color Vive para Cabello Teñido 400 Ml Elvive</t>
        </is>
      </c>
      <c r="E715" t="inlineStr">
        <is>
          <t>ELVIVE</t>
        </is>
      </c>
      <c r="F715" t="n">
        <v>12300</v>
      </c>
      <c r="G715" t="n">
        <v>1016529</v>
      </c>
      <c r="H715" t="b">
        <v>1</v>
      </c>
      <c r="I715" t="n">
        <v>400</v>
      </c>
      <c r="J715" t="n">
        <v>30.75</v>
      </c>
      <c r="K715" t="inlineStr">
        <is>
          <t>&gt; Perfumería &gt; Cuidado Capilar &gt; Acondicionador &gt;</t>
        </is>
      </c>
      <c r="L715" t="inlineStr">
        <is>
          <t>acondicionador</t>
        </is>
      </c>
      <c r="M715" t="inlineStr">
        <is>
          <t>profesional</t>
        </is>
      </c>
      <c r="N715" t="inlineStr">
        <is>
          <t>tratado</t>
        </is>
      </c>
      <c r="O715" t="inlineStr">
        <is>
          <t>https://www.disco.com.ar/acondicionador-elvive-color-vive-400-ml/p</t>
        </is>
      </c>
    </row>
    <row r="716">
      <c r="A716" s="10" t="inlineStr">
        <is>
          <t>Disco</t>
        </is>
      </c>
      <c r="B716" s="10" t="n">
        <v>400521</v>
      </c>
      <c r="C716" s="10" t="n">
        <v>397859</v>
      </c>
      <c r="D716" s="10" t="inlineStr">
        <is>
          <t>Acondicionador Color Vive para Cabello Teñido 200 Ml Elvive</t>
        </is>
      </c>
      <c r="E716" s="10" t="inlineStr">
        <is>
          <t>ELVIVE</t>
        </is>
      </c>
      <c r="F716" s="10" t="n">
        <v>7450</v>
      </c>
      <c r="G716" s="10" t="n">
        <v>615702</v>
      </c>
      <c r="H716" s="10" t="b">
        <v>1</v>
      </c>
      <c r="I716" s="10" t="n">
        <v>200</v>
      </c>
      <c r="J716" s="10" t="n">
        <v>37.25</v>
      </c>
      <c r="K716" s="10" t="inlineStr">
        <is>
          <t>&gt; Perfumería &gt; Cuidado Capilar &gt; Acondicionador &gt;</t>
        </is>
      </c>
      <c r="L716" s="10" t="inlineStr">
        <is>
          <t>acondicionador</t>
        </is>
      </c>
      <c r="M716" s="10" t="inlineStr">
        <is>
          <t>profesional</t>
        </is>
      </c>
      <c r="N716" s="10" t="inlineStr">
        <is>
          <t>tratado</t>
        </is>
      </c>
      <c r="O716" s="10" t="inlineStr">
        <is>
          <t>https://www.disco.com.ar/acondicionador-elvive-color-vive-200-ml/p</t>
        </is>
      </c>
    </row>
    <row r="717">
      <c r="A717" t="inlineStr">
        <is>
          <t>Disco</t>
        </is>
      </c>
      <c r="B717" t="n">
        <v>346771</v>
      </c>
      <c r="C717" t="n">
        <v>345446</v>
      </c>
      <c r="D717" t="inlineStr">
        <is>
          <t>Acondicionador Oleo Extraordinario Nutrición Intensa Coco 200 Ml Elvive</t>
        </is>
      </c>
      <c r="E717" t="inlineStr">
        <is>
          <t>ELVIVE</t>
        </is>
      </c>
      <c r="F717" t="n">
        <v>7450</v>
      </c>
      <c r="G717" t="n">
        <v>615702</v>
      </c>
      <c r="H717" t="b">
        <v>1</v>
      </c>
      <c r="I717" t="n">
        <v>200</v>
      </c>
      <c r="J717" t="n">
        <v>37.25</v>
      </c>
      <c r="K717" t="inlineStr">
        <is>
          <t>&gt; Perfumería &gt; Cuidado Capilar &gt; Acondicionador &gt;</t>
        </is>
      </c>
      <c r="L717" t="inlineStr">
        <is>
          <t>acondicionador</t>
        </is>
      </c>
      <c r="M717" t="inlineStr">
        <is>
          <t>profesional</t>
        </is>
      </c>
      <c r="N717" t="inlineStr">
        <is>
          <t>general</t>
        </is>
      </c>
      <c r="O717" t="inlineStr">
        <is>
          <t>https://www.disco.com.ar/acondicionador-elvive-oleo-extraordinario-coco-200-ml/p</t>
        </is>
      </c>
    </row>
    <row r="718">
      <c r="A718" s="10" t="inlineStr">
        <is>
          <t>Disco</t>
        </is>
      </c>
      <c r="B718" s="10" t="n">
        <v>393555</v>
      </c>
      <c r="C718" s="10" t="n">
        <v>391583</v>
      </c>
      <c r="D718" s="10" t="inlineStr">
        <is>
          <t>Acondicionador Ritual de Reparación Coco y Cúrcuma 400 Ml Dove</t>
        </is>
      </c>
      <c r="E718" s="10" t="inlineStr">
        <is>
          <t>DOVE</t>
        </is>
      </c>
      <c r="F718" s="10" t="n">
        <v>9150</v>
      </c>
      <c r="G718" s="10" t="n">
        <v>756198</v>
      </c>
      <c r="H718" s="10" t="b">
        <v>1</v>
      </c>
      <c r="I718" s="10" t="n">
        <v>400</v>
      </c>
      <c r="J718" s="10" t="n">
        <v>22.875</v>
      </c>
      <c r="K718" s="10" t="inlineStr">
        <is>
          <t>&gt; Perfumería &gt; Cuidado Capilar &gt; Acondicionador &gt;</t>
        </is>
      </c>
      <c r="L718" s="10" t="inlineStr">
        <is>
          <t>acondicionador</t>
        </is>
      </c>
      <c r="M718" s="10" t="inlineStr">
        <is>
          <t>estandar</t>
        </is>
      </c>
      <c r="N718" s="10" t="inlineStr">
        <is>
          <t>general</t>
        </is>
      </c>
      <c r="O718" s="10" t="inlineStr">
        <is>
          <t>https://www.disco.com.ar/acondicionador-dove-ritual-de-reparacion-coco-400-ml/p</t>
        </is>
      </c>
    </row>
    <row r="719">
      <c r="A719" t="inlineStr">
        <is>
          <t>Disco</t>
        </is>
      </c>
      <c r="B719" t="n">
        <v>3083501</v>
      </c>
      <c r="C719" t="n">
        <v>3082776</v>
      </c>
      <c r="D719" t="inlineStr">
        <is>
          <t>Acondicionador Brillo Cristalino Glycolic Cristal X 400 Ml Elvive</t>
        </is>
      </c>
      <c r="E719" t="inlineStr">
        <is>
          <t>ELVIVE</t>
        </is>
      </c>
      <c r="F719" t="n">
        <v>13400</v>
      </c>
      <c r="G719" t="n">
        <v>1107438</v>
      </c>
      <c r="H719" t="b">
        <v>1</v>
      </c>
      <c r="I719" t="n">
        <v>400</v>
      </c>
      <c r="J719" t="n">
        <v>33.5</v>
      </c>
      <c r="K719" t="inlineStr">
        <is>
          <t>&gt; Perfumería &gt; Cuidado Capilar &gt; Acondicionador &gt;</t>
        </is>
      </c>
      <c r="L719" t="inlineStr">
        <is>
          <t>acondicionador</t>
        </is>
      </c>
      <c r="M719" t="inlineStr">
        <is>
          <t>profesional</t>
        </is>
      </c>
      <c r="N719" t="inlineStr">
        <is>
          <t>general</t>
        </is>
      </c>
      <c r="O719" t="inlineStr">
        <is>
          <t>https://www.disco.com.ar/acondicionador-brillo-cristalino-glycolic-cristal-x-400-ml-elvive/p</t>
        </is>
      </c>
    </row>
    <row r="720">
      <c r="A720" s="10" t="inlineStr">
        <is>
          <t>Disco</t>
        </is>
      </c>
      <c r="B720" s="10" t="n">
        <v>412487</v>
      </c>
      <c r="C720" s="10" t="n">
        <v>408095</v>
      </c>
      <c r="D720" s="10" t="inlineStr">
        <is>
          <t>Acondicionador Recarga Nutritiva para Cabello Seco 350 Ml Fructis</t>
        </is>
      </c>
      <c r="E720" s="10" t="inlineStr">
        <is>
          <t>FRUCTIS</t>
        </is>
      </c>
      <c r="F720" s="10" t="n">
        <v>5950</v>
      </c>
      <c r="G720" s="10" t="n">
        <v>491736</v>
      </c>
      <c r="H720" s="10" t="b">
        <v>1</v>
      </c>
      <c r="I720" s="10" t="n">
        <v>350</v>
      </c>
      <c r="J720" s="10" t="n">
        <v>17</v>
      </c>
      <c r="K720" s="10" t="inlineStr">
        <is>
          <t>&gt; Perfumería &gt; Cuidado Capilar &gt; Acondicionador &gt;</t>
        </is>
      </c>
      <c r="L720" s="10" t="inlineStr">
        <is>
          <t>acondicionador</t>
        </is>
      </c>
      <c r="M720" s="10" t="inlineStr">
        <is>
          <t>estandar</t>
        </is>
      </c>
      <c r="N720" s="10" t="inlineStr">
        <is>
          <t>seco_danado</t>
        </is>
      </c>
      <c r="O720" s="10" t="inlineStr">
        <is>
          <t>https://www.disco.com.ar/acondicionador-fructis-recarga-nutritiva-200-ml/p</t>
        </is>
      </c>
    </row>
    <row r="721">
      <c r="A721" t="inlineStr">
        <is>
          <t>Disco</t>
        </is>
      </c>
      <c r="B721" t="n">
        <v>3068434</v>
      </c>
      <c r="C721" t="n">
        <v>3068184</v>
      </c>
      <c r="D721" t="inlineStr">
        <is>
          <t>Acondicionador Ácido Glicólico para Cabellos Teñidos 350 Ml Capilatis</t>
        </is>
      </c>
      <c r="E721" t="inlineStr">
        <is>
          <t>CAPILATIS</t>
        </is>
      </c>
      <c r="F721" t="n">
        <v>12900</v>
      </c>
      <c r="G721" t="n">
        <v>1066116</v>
      </c>
      <c r="H721" t="b">
        <v>1</v>
      </c>
      <c r="I721" t="n">
        <v>350</v>
      </c>
      <c r="J721" t="n">
        <v>36.8571</v>
      </c>
      <c r="K721" t="inlineStr">
        <is>
          <t>&gt; Perfumería &gt; Cuidado Capilar &gt; Acondicionador &gt;</t>
        </is>
      </c>
      <c r="L721" t="inlineStr">
        <is>
          <t>acondicionador</t>
        </is>
      </c>
      <c r="M721" t="inlineStr">
        <is>
          <t>estandar</t>
        </is>
      </c>
      <c r="N721" t="inlineStr">
        <is>
          <t>tratado</t>
        </is>
      </c>
      <c r="O721" t="inlineStr">
        <is>
          <t>https://www.disco.com.ar/acondicionador-con-acido-glicolico-capilatis/p</t>
        </is>
      </c>
    </row>
    <row r="722">
      <c r="A722" s="10" t="inlineStr">
        <is>
          <t>Disco</t>
        </is>
      </c>
      <c r="B722" s="10" t="n">
        <v>393768</v>
      </c>
      <c r="C722" s="10" t="n">
        <v>391789</v>
      </c>
      <c r="D722" s="10" t="inlineStr">
        <is>
          <t>Acondicionador Óleo Extraordinario Nutrición para Cabello Seco 750 Ml Elvive</t>
        </is>
      </c>
      <c r="E722" s="10" t="inlineStr">
        <is>
          <t>ELVIVE</t>
        </is>
      </c>
      <c r="F722" s="10" t="n">
        <v>19150</v>
      </c>
      <c r="G722" s="10" t="n">
        <v>1582645</v>
      </c>
      <c r="H722" s="10" t="b">
        <v>1</v>
      </c>
      <c r="I722" s="10" t="n">
        <v>750</v>
      </c>
      <c r="J722" s="10" t="n">
        <v>25.5333</v>
      </c>
      <c r="K722" s="10" t="inlineStr">
        <is>
          <t>&gt; Perfumería &gt; Cuidado Capilar &gt; Acondicionador &gt;</t>
        </is>
      </c>
      <c r="L722" s="10" t="inlineStr">
        <is>
          <t>acondicionador</t>
        </is>
      </c>
      <c r="M722" s="10" t="inlineStr">
        <is>
          <t>profesional</t>
        </is>
      </c>
      <c r="N722" s="10" t="inlineStr">
        <is>
          <t>seco_danado</t>
        </is>
      </c>
      <c r="O722" s="10" t="inlineStr">
        <is>
          <t>https://www.disco.com.ar/acondicionador-elvive-oleo-extraordinario-nutricion-750-ml/p</t>
        </is>
      </c>
    </row>
    <row r="723">
      <c r="A723" t="inlineStr">
        <is>
          <t>Disco</t>
        </is>
      </c>
      <c r="B723" t="n">
        <v>346772</v>
      </c>
      <c r="C723" t="n">
        <v>345447</v>
      </c>
      <c r="D723" t="inlineStr">
        <is>
          <t>Acondicionador Oleo Extraordinario Nutrición Intensa con Óleo de Coco 400 Ml Elvive</t>
        </is>
      </c>
      <c r="E723" t="inlineStr">
        <is>
          <t>ELVIVE</t>
        </is>
      </c>
      <c r="F723" t="n">
        <v>12300</v>
      </c>
      <c r="G723" t="n">
        <v>1016529</v>
      </c>
      <c r="H723" t="b">
        <v>1</v>
      </c>
      <c r="I723" t="n">
        <v>400</v>
      </c>
      <c r="J723" t="n">
        <v>30.75</v>
      </c>
      <c r="K723" t="inlineStr">
        <is>
          <t>&gt; Perfumería &gt; Cuidado Capilar &gt; Acondicionador &gt;</t>
        </is>
      </c>
      <c r="L723" t="inlineStr">
        <is>
          <t>acondicionador</t>
        </is>
      </c>
      <c r="M723" t="inlineStr">
        <is>
          <t>profesional</t>
        </is>
      </c>
      <c r="N723" t="inlineStr">
        <is>
          <t>general</t>
        </is>
      </c>
      <c r="O723" t="inlineStr">
        <is>
          <t>https://www.disco.com.ar/acondicionador-elvive-oleo-extraordinario-oleo-de-coco-400-ml/p</t>
        </is>
      </c>
    </row>
    <row r="724">
      <c r="A724" s="10" t="inlineStr">
        <is>
          <t>Disco</t>
        </is>
      </c>
      <c r="B724" s="10" t="n">
        <v>412489</v>
      </c>
      <c r="C724" s="10" t="n">
        <v>408097</v>
      </c>
      <c r="D724" s="10" t="inlineStr">
        <is>
          <t>Acondicionador Recarga Nutritiva Oil Repair 3 con Óleos de Aguacate Coco y Argán 350 Ml Fructis</t>
        </is>
      </c>
      <c r="E724" s="10" t="inlineStr">
        <is>
          <t>FRUCTIS</t>
        </is>
      </c>
      <c r="F724" s="10" t="n">
        <v>8650</v>
      </c>
      <c r="G724" s="10" t="n">
        <v>714876</v>
      </c>
      <c r="H724" s="10" t="b">
        <v>1</v>
      </c>
      <c r="I724" s="10" t="n">
        <v>350</v>
      </c>
      <c r="J724" s="10" t="n">
        <v>24.7143</v>
      </c>
      <c r="K724" s="10" t="inlineStr">
        <is>
          <t>&gt; Perfumería &gt; Cuidado Capilar &gt; Acondicionador &gt;</t>
        </is>
      </c>
      <c r="L724" s="10" t="inlineStr">
        <is>
          <t>acondicionador</t>
        </is>
      </c>
      <c r="M724" s="10" t="inlineStr">
        <is>
          <t>profesional</t>
        </is>
      </c>
      <c r="N724" s="10" t="inlineStr">
        <is>
          <t>general</t>
        </is>
      </c>
      <c r="O724" s="10" t="inlineStr">
        <is>
          <t>https://www.disco.com.ar/fru-or-recarga-nutri-arg-aco-350ml/p</t>
        </is>
      </c>
    </row>
    <row r="725">
      <c r="A725" t="inlineStr">
        <is>
          <t>Disco</t>
        </is>
      </c>
      <c r="B725" t="n">
        <v>307403</v>
      </c>
      <c r="C725" t="n">
        <v>306640</v>
      </c>
      <c r="D725" t="inlineStr">
        <is>
          <t>Acondicionador Anti Caspa Dermo Manzana Fresh 300 Ml Head y Shoulders</t>
        </is>
      </c>
      <c r="E725" t="inlineStr">
        <is>
          <t>HEAD &amp; SHOULDERS</t>
        </is>
      </c>
      <c r="F725" t="n">
        <v>12450</v>
      </c>
      <c r="G725" t="n">
        <v>1028926</v>
      </c>
      <c r="H725" t="b">
        <v>1</v>
      </c>
      <c r="I725" t="n">
        <v>300</v>
      </c>
      <c r="J725" t="n">
        <v>41.5</v>
      </c>
      <c r="K725" t="inlineStr">
        <is>
          <t>&gt; Perfumería &gt; Cuidado Capilar &gt; Acondicionador &gt;</t>
        </is>
      </c>
      <c r="L725" t="inlineStr">
        <is>
          <t>acondicionador</t>
        </is>
      </c>
      <c r="M725" t="inlineStr">
        <is>
          <t>estandar</t>
        </is>
      </c>
      <c r="N725" t="inlineStr">
        <is>
          <t>anticaspa</t>
        </is>
      </c>
      <c r="O725" t="inlineStr">
        <is>
          <t>https://www.disco.com.ar/acondicionador-dermo-manzana-fresh-300-ml-head-shoulders/p</t>
        </is>
      </c>
    </row>
    <row r="726">
      <c r="A726" s="10" t="inlineStr">
        <is>
          <t>Disco</t>
        </is>
      </c>
      <c r="B726" s="10" t="n">
        <v>273579</v>
      </c>
      <c r="C726" s="10" t="n">
        <v>272865</v>
      </c>
      <c r="D726" s="10" t="inlineStr">
        <is>
          <t>Acondicionador Brillo Radiante Pomelo Blanco y Menta 400 Ml Herbal Essences</t>
        </is>
      </c>
      <c r="E726" s="10" t="inlineStr">
        <is>
          <t>HERBAL ESSENCES</t>
        </is>
      </c>
      <c r="F726" s="10" t="n">
        <v>17250</v>
      </c>
      <c r="G726" s="10" t="n">
        <v>1425620</v>
      </c>
      <c r="H726" s="10" t="b">
        <v>1</v>
      </c>
      <c r="I726" s="10" t="n">
        <v>400</v>
      </c>
      <c r="J726" s="10" t="n">
        <v>43.125</v>
      </c>
      <c r="K726" s="10" t="inlineStr">
        <is>
          <t>&gt; Perfumería &gt; Cuidado Capilar &gt; Acondicionador &gt;</t>
        </is>
      </c>
      <c r="L726" s="10" t="inlineStr">
        <is>
          <t>acondicionador</t>
        </is>
      </c>
      <c r="M726" s="10" t="inlineStr">
        <is>
          <t>estandar</t>
        </is>
      </c>
      <c r="N726" s="10" t="inlineStr">
        <is>
          <t>general</t>
        </is>
      </c>
      <c r="O726" s="10" t="inlineStr">
        <is>
          <t>https://www.disco.com.ar/acondicionador-herbal-essences-grapefruit-400ml/p</t>
        </is>
      </c>
    </row>
    <row r="727">
      <c r="A727" t="inlineStr">
        <is>
          <t>Disco</t>
        </is>
      </c>
      <c r="B727" t="n">
        <v>332383</v>
      </c>
      <c r="C727" t="n">
        <v>331540</v>
      </c>
      <c r="D727" t="inlineStr">
        <is>
          <t>Accondicionador Kids Fuerza Natural 700 Ml Plusbelle</t>
        </is>
      </c>
      <c r="E727" t="inlineStr">
        <is>
          <t>PLUSBELLE</t>
        </is>
      </c>
      <c r="F727" t="n">
        <v>7550</v>
      </c>
      <c r="G727" t="n">
        <v>623967</v>
      </c>
      <c r="H727" t="b">
        <v>1</v>
      </c>
      <c r="I727" t="n">
        <v>700</v>
      </c>
      <c r="J727" t="n">
        <v>10.7857</v>
      </c>
      <c r="K727" t="inlineStr">
        <is>
          <t>&gt; Mundo Bebe &gt; Higiene para el Bebe &gt; Higiene del Bebé &gt;</t>
        </is>
      </c>
      <c r="L727" t="inlineStr">
        <is>
          <t>shampoo</t>
        </is>
      </c>
      <c r="M727" t="inlineStr">
        <is>
          <t>estandar</t>
        </is>
      </c>
      <c r="N727" t="inlineStr">
        <is>
          <t>bebe</t>
        </is>
      </c>
      <c r="O727" t="inlineStr">
        <is>
          <t>https://www.disco.com.ar/accondicionador-kids-fuerza-natural-700-ml-plusbelle/p</t>
        </is>
      </c>
    </row>
    <row r="728">
      <c r="A728" s="10" t="inlineStr">
        <is>
          <t>Disco</t>
        </is>
      </c>
      <c r="B728" s="10" t="n">
        <v>345290</v>
      </c>
      <c r="C728" s="10" t="n">
        <v>343975</v>
      </c>
      <c r="D728" s="10" t="inlineStr">
        <is>
          <t>Acondicionador Pantene Prov Essentials Hidratación Extrema 400ml</t>
        </is>
      </c>
      <c r="E728" s="10" t="inlineStr">
        <is>
          <t>PANTENE</t>
        </is>
      </c>
      <c r="F728" s="10" t="n">
        <v>858.79</v>
      </c>
      <c r="G728" s="10" t="n">
        <v>70974</v>
      </c>
      <c r="H728" s="10" t="b">
        <v>0</v>
      </c>
      <c r="I728" s="10" t="n">
        <v>400</v>
      </c>
      <c r="J728" s="10" t="n">
        <v>2.147</v>
      </c>
      <c r="K728" s="10" t="inlineStr">
        <is>
          <t>&gt; Perfumería &gt; Cuidado Capilar &gt; Acondicionador &gt;</t>
        </is>
      </c>
      <c r="L728" s="10" t="inlineStr">
        <is>
          <t>acondicionador</t>
        </is>
      </c>
      <c r="M728" s="10" t="inlineStr">
        <is>
          <t>profesional</t>
        </is>
      </c>
      <c r="N728" s="10" t="inlineStr">
        <is>
          <t>seco_danado</t>
        </is>
      </c>
      <c r="O728" s="10" t="inlineStr">
        <is>
          <t>https://www.disco.com.ar/acondicionador-pantene-prov-essentials-hidratacion-extrema-400ml/p</t>
        </is>
      </c>
    </row>
    <row r="729">
      <c r="A729" t="inlineStr">
        <is>
          <t>Disco</t>
        </is>
      </c>
      <c r="B729" t="n">
        <v>345298</v>
      </c>
      <c r="C729" t="n">
        <v>343983</v>
      </c>
      <c r="D729" t="inlineStr">
        <is>
          <t>Acondicionador Panetene Prov Essentials Bambu 400ml</t>
        </is>
      </c>
      <c r="E729" t="inlineStr">
        <is>
          <t>PANTENE</t>
        </is>
      </c>
      <c r="F729" t="n">
        <v>832.15</v>
      </c>
      <c r="G729" t="n">
        <v>68773</v>
      </c>
      <c r="H729" t="b">
        <v>0</v>
      </c>
      <c r="I729" t="n">
        <v>400</v>
      </c>
      <c r="J729" t="n">
        <v>2.0804</v>
      </c>
      <c r="K729" t="inlineStr">
        <is>
          <t>&gt; Perfumería &gt; Cuidado Capilar &gt; Acondicionador &gt;</t>
        </is>
      </c>
      <c r="L729" t="inlineStr">
        <is>
          <t>acondicionador</t>
        </is>
      </c>
      <c r="M729" t="inlineStr">
        <is>
          <t>estandar</t>
        </is>
      </c>
      <c r="N729" t="inlineStr">
        <is>
          <t>general</t>
        </is>
      </c>
      <c r="O729" t="inlineStr">
        <is>
          <t>https://www.disco.com.ar/acondicionador-panetene-prov-essentials-bambu-400ml/p</t>
        </is>
      </c>
    </row>
    <row r="730">
      <c r="A730" s="10" t="inlineStr">
        <is>
          <t>Disco</t>
        </is>
      </c>
      <c r="B730" s="10" t="n">
        <v>345100</v>
      </c>
      <c r="C730" s="10" t="n">
        <v>343785</v>
      </c>
      <c r="D730" s="10" t="inlineStr">
        <is>
          <t>Acondicionador Prov Essentials Restauración 750ml</t>
        </is>
      </c>
      <c r="E730" s="10" t="inlineStr">
        <is>
          <t>PANTENE</t>
        </is>
      </c>
      <c r="F730" s="10" t="n">
        <v>1450.49</v>
      </c>
      <c r="G730" s="10" t="n">
        <v>119875</v>
      </c>
      <c r="H730" s="10" t="b">
        <v>0</v>
      </c>
      <c r="I730" s="10" t="n">
        <v>750</v>
      </c>
      <c r="J730" s="10" t="n">
        <v>1.934</v>
      </c>
      <c r="K730" s="10" t="inlineStr">
        <is>
          <t>&gt; Perfumería &gt; Cuidado Capilar &gt; Acondicionador &gt;</t>
        </is>
      </c>
      <c r="L730" s="10" t="inlineStr">
        <is>
          <t>acondicionador</t>
        </is>
      </c>
      <c r="M730" s="10" t="inlineStr">
        <is>
          <t>estandar</t>
        </is>
      </c>
      <c r="N730" s="10" t="inlineStr">
        <is>
          <t>general</t>
        </is>
      </c>
      <c r="O730" s="10" t="inlineStr">
        <is>
          <t>https://www.disco.com.ar/acondicionador-prov-essentials-restauracion-750ml/p</t>
        </is>
      </c>
    </row>
    <row r="731">
      <c r="A731" t="inlineStr">
        <is>
          <t>Disco</t>
        </is>
      </c>
      <c r="B731" t="n">
        <v>308646</v>
      </c>
      <c r="C731" t="n">
        <v>307883</v>
      </c>
      <c r="D731" t="inlineStr">
        <is>
          <t>Acondicionador Dream Long Liss 400 Ml Elvive</t>
        </is>
      </c>
      <c r="E731" t="inlineStr">
        <is>
          <t>ELVIVE</t>
        </is>
      </c>
      <c r="F731" t="n">
        <v>9550</v>
      </c>
      <c r="G731" t="n">
        <v>789256</v>
      </c>
      <c r="H731" t="b">
        <v>0</v>
      </c>
      <c r="I731" t="n">
        <v>400</v>
      </c>
      <c r="J731" t="n">
        <v>23.875</v>
      </c>
      <c r="K731" t="inlineStr">
        <is>
          <t>&gt; Perfumería &gt; Cuidado Capilar &gt; Acondicionador &gt;</t>
        </is>
      </c>
      <c r="L731" t="inlineStr">
        <is>
          <t>acondicionador</t>
        </is>
      </c>
      <c r="M731" t="inlineStr">
        <is>
          <t>profesional</t>
        </is>
      </c>
      <c r="N731" t="inlineStr">
        <is>
          <t>general</t>
        </is>
      </c>
      <c r="O731" t="inlineStr">
        <is>
          <t>https://www.disco.com.ar/acondicionador-elvive-dream-long-liss-400ml/p</t>
        </is>
      </c>
    </row>
    <row r="732">
      <c r="A732" s="10" t="inlineStr">
        <is>
          <t>Disco</t>
        </is>
      </c>
      <c r="B732" s="10" t="n">
        <v>47403</v>
      </c>
      <c r="C732" s="10" t="n">
        <v>44569</v>
      </c>
      <c r="D732" s="10" t="inlineStr">
        <is>
          <t>Acondicionador Pantene Pro-v Brillo Extremo 400 Ml</t>
        </is>
      </c>
      <c r="E732" s="10" t="inlineStr">
        <is>
          <t>PANTENE</t>
        </is>
      </c>
      <c r="F732" s="10" t="n">
        <v>315.75</v>
      </c>
      <c r="G732" s="10" t="n">
        <v>26095</v>
      </c>
      <c r="H732" s="10" t="b">
        <v>0</v>
      </c>
      <c r="I732" s="10" t="n">
        <v>400</v>
      </c>
      <c r="J732" s="10" t="n">
        <v>0.7894</v>
      </c>
      <c r="K732" s="10" t="inlineStr">
        <is>
          <t>&gt; Perfumería &gt; Cuidado Capilar &gt; Acondicionador &gt;</t>
        </is>
      </c>
      <c r="L732" s="10" t="inlineStr">
        <is>
          <t>acondicionador</t>
        </is>
      </c>
      <c r="M732" s="10" t="inlineStr">
        <is>
          <t>profesional</t>
        </is>
      </c>
      <c r="N732" s="10" t="inlineStr">
        <is>
          <t>general</t>
        </is>
      </c>
      <c r="O732" s="10" t="inlineStr">
        <is>
          <t>https://www.disco.com.ar/acondicionador-pantene-pro-v-brillo-extremo-400-ml/p</t>
        </is>
      </c>
    </row>
    <row r="733">
      <c r="A733" t="inlineStr">
        <is>
          <t>Disco</t>
        </is>
      </c>
      <c r="B733" t="n">
        <v>47650</v>
      </c>
      <c r="C733" t="n">
        <v>44815</v>
      </c>
      <c r="D733" t="inlineStr">
        <is>
          <t>Acondicionador Pantene Restaura 400ml</t>
        </is>
      </c>
      <c r="E733" t="inlineStr">
        <is>
          <t>PANTENE</t>
        </is>
      </c>
      <c r="F733" t="n">
        <v>315.75</v>
      </c>
      <c r="G733" t="n">
        <v>26095</v>
      </c>
      <c r="H733" t="b">
        <v>0</v>
      </c>
      <c r="I733" t="n">
        <v>400</v>
      </c>
      <c r="J733" t="n">
        <v>0.7894</v>
      </c>
      <c r="K733" t="inlineStr">
        <is>
          <t>&gt; Perfumería &gt; Cuidado Capilar &gt; Acondicionador &gt;</t>
        </is>
      </c>
      <c r="L733" t="inlineStr">
        <is>
          <t>acondicionador</t>
        </is>
      </c>
      <c r="M733" t="inlineStr">
        <is>
          <t>estandar</t>
        </is>
      </c>
      <c r="N733" t="inlineStr">
        <is>
          <t>general</t>
        </is>
      </c>
      <c r="O733" t="inlineStr">
        <is>
          <t>https://www.disco.com.ar/acondicionador-pantene-restaura-400ml-2/p</t>
        </is>
      </c>
    </row>
    <row r="734">
      <c r="A734" s="10" t="inlineStr">
        <is>
          <t>Disco</t>
        </is>
      </c>
      <c r="B734" s="10" t="n">
        <v>31586</v>
      </c>
      <c r="C734" s="10" t="n">
        <v>28745</v>
      </c>
      <c r="D734" s="10" t="inlineStr">
        <is>
          <t>Acondicionador Elvive Rep Total 5 400ml Acondicionador Elvive Reparación Total 5 400ml</t>
        </is>
      </c>
      <c r="E734" s="10" t="inlineStr">
        <is>
          <t>ELVIVE</t>
        </is>
      </c>
      <c r="F734" s="10" t="n">
        <v>1000</v>
      </c>
      <c r="G734" s="10" t="n">
        <v>82645</v>
      </c>
      <c r="H734" s="10" t="b">
        <v>0</v>
      </c>
      <c r="I734" s="10" t="n">
        <v>400</v>
      </c>
      <c r="J734" s="10" t="n">
        <v>2.5</v>
      </c>
      <c r="K734" s="10" t="inlineStr">
        <is>
          <t>&gt; Perfumería &gt; Cuidado Capilar &gt; Acondicionador &gt;</t>
        </is>
      </c>
      <c r="L734" s="10" t="inlineStr">
        <is>
          <t>acondicionador</t>
        </is>
      </c>
      <c r="M734" s="10" t="inlineStr">
        <is>
          <t>profesional</t>
        </is>
      </c>
      <c r="N734" s="10" t="inlineStr">
        <is>
          <t>general</t>
        </is>
      </c>
      <c r="O734" s="10" t="inlineStr">
        <is>
          <t>https://www.disco.com.ar/acondicionador-elvive-rep-total-5-400ml/p</t>
        </is>
      </c>
    </row>
    <row r="735">
      <c r="A735" t="inlineStr">
        <is>
          <t>Disco</t>
        </is>
      </c>
      <c r="B735" t="n">
        <v>262652</v>
      </c>
      <c r="C735" t="n">
        <v>261941</v>
      </c>
      <c r="D735" t="inlineStr">
        <is>
          <t>Acondicionador Pantene Pro-v Micelar 400 Ml</t>
        </is>
      </c>
      <c r="E735" t="inlineStr">
        <is>
          <t>PANTENE</t>
        </is>
      </c>
      <c r="F735" t="n">
        <v>315.75</v>
      </c>
      <c r="G735" t="n">
        <v>26095</v>
      </c>
      <c r="H735" t="b">
        <v>0</v>
      </c>
      <c r="I735" t="n">
        <v>400</v>
      </c>
      <c r="J735" t="n">
        <v>0.7894</v>
      </c>
      <c r="K735" t="inlineStr">
        <is>
          <t>&gt; Perfumería &gt; Cuidado Capilar &gt; Acondicionador &gt;</t>
        </is>
      </c>
      <c r="L735" t="inlineStr">
        <is>
          <t>acondicionador</t>
        </is>
      </c>
      <c r="M735" t="inlineStr">
        <is>
          <t>profesional</t>
        </is>
      </c>
      <c r="N735" t="inlineStr">
        <is>
          <t>general</t>
        </is>
      </c>
      <c r="O735" t="inlineStr">
        <is>
          <t>https://www.disco.com.ar/acondicionador-pantene-pro-v-micelar-400-ml/p</t>
        </is>
      </c>
    </row>
    <row r="736">
      <c r="A736" s="10" t="inlineStr">
        <is>
          <t>Disco</t>
        </is>
      </c>
      <c r="B736" s="10" t="n">
        <v>43818</v>
      </c>
      <c r="C736" s="10" t="n">
        <v>40989</v>
      </c>
      <c r="D736" s="10" t="inlineStr">
        <is>
          <t>Acondicionador Elvive Oleo Extra 400ml</t>
        </is>
      </c>
      <c r="E736" s="10" t="inlineStr">
        <is>
          <t>ELVIVE</t>
        </is>
      </c>
      <c r="F736" s="10" t="n">
        <v>644.15</v>
      </c>
      <c r="G736" s="10" t="n">
        <v>53236</v>
      </c>
      <c r="H736" s="10" t="b">
        <v>0</v>
      </c>
      <c r="I736" s="10" t="n">
        <v>400</v>
      </c>
      <c r="J736" s="10" t="n">
        <v>1.6104</v>
      </c>
      <c r="K736" s="10" t="inlineStr">
        <is>
          <t>&gt; Perfumería &gt; Cuidado Capilar &gt; Acondicionador &gt;</t>
        </is>
      </c>
      <c r="L736" s="10" t="inlineStr">
        <is>
          <t>acondicionador</t>
        </is>
      </c>
      <c r="M736" s="10" t="inlineStr">
        <is>
          <t>profesional</t>
        </is>
      </c>
      <c r="N736" s="10" t="inlineStr">
        <is>
          <t>general</t>
        </is>
      </c>
      <c r="O736" s="10" t="inlineStr">
        <is>
          <t>https://www.disco.com.ar/acondicionador-elvive-oleo-extra-400ml-2/p</t>
        </is>
      </c>
    </row>
    <row r="737">
      <c r="A737" t="inlineStr">
        <is>
          <t>Disco</t>
        </is>
      </c>
      <c r="B737" t="n">
        <v>152068</v>
      </c>
      <c r="C737" t="n">
        <v>149638</v>
      </c>
      <c r="D737" t="inlineStr">
        <is>
          <t>Acondicionador Dove óleo Nutrición 400 Ml</t>
        </is>
      </c>
      <c r="E737" t="inlineStr">
        <is>
          <t>DOVE</t>
        </is>
      </c>
      <c r="F737" t="n">
        <v>477.49</v>
      </c>
      <c r="G737" t="n">
        <v>39462</v>
      </c>
      <c r="H737" t="b">
        <v>0</v>
      </c>
      <c r="I737" t="n">
        <v>400</v>
      </c>
      <c r="J737" t="n">
        <v>1.1937</v>
      </c>
      <c r="K737" t="inlineStr">
        <is>
          <t>&gt; Perfumería &gt; Cuidado Capilar &gt; Acondicionador &gt;</t>
        </is>
      </c>
      <c r="L737" t="inlineStr">
        <is>
          <t>acondicionador</t>
        </is>
      </c>
      <c r="M737" t="inlineStr">
        <is>
          <t>estandar</t>
        </is>
      </c>
      <c r="N737" t="inlineStr">
        <is>
          <t>general</t>
        </is>
      </c>
      <c r="O737" t="inlineStr">
        <is>
          <t>https://www.disco.com.ar/acondicionador-dove-21/p</t>
        </is>
      </c>
    </row>
    <row r="738">
      <c r="A738" s="10" t="inlineStr">
        <is>
          <t>Disco</t>
        </is>
      </c>
      <c r="B738" s="10" t="n">
        <v>20045</v>
      </c>
      <c r="C738" s="10" t="n">
        <v>17216</v>
      </c>
      <c r="D738" s="10" t="inlineStr">
        <is>
          <t>Acondicionador Dove Ritual De Reparación Coco Y Cúrcuma 400 Ml</t>
        </is>
      </c>
      <c r="E738" s="10" t="inlineStr">
        <is>
          <t>DOVE</t>
        </is>
      </c>
      <c r="F738" s="10" t="n">
        <v>477.49</v>
      </c>
      <c r="G738" s="10" t="n">
        <v>39462</v>
      </c>
      <c r="H738" s="10" t="b">
        <v>0</v>
      </c>
      <c r="I738" s="10" t="n">
        <v>400</v>
      </c>
      <c r="J738" s="10" t="n">
        <v>1.1937</v>
      </c>
      <c r="K738" s="10" t="inlineStr">
        <is>
          <t>&gt; Perfumería &gt; Cuidado Capilar &gt; Acondicionador &gt;</t>
        </is>
      </c>
      <c r="L738" s="10" t="inlineStr">
        <is>
          <t>acondicionador</t>
        </is>
      </c>
      <c r="M738" s="10" t="inlineStr">
        <is>
          <t>estandar</t>
        </is>
      </c>
      <c r="N738" s="10" t="inlineStr">
        <is>
          <t>general</t>
        </is>
      </c>
      <c r="O738" s="10" t="inlineStr">
        <is>
          <t>https://www.disco.com.ar/acondicionador-dove-ritual-de-reparacion-coco-y-curcuma-400-ml/p</t>
        </is>
      </c>
    </row>
    <row r="739">
      <c r="A739" t="inlineStr">
        <is>
          <t>Disco</t>
        </is>
      </c>
      <c r="B739" t="n">
        <v>20046</v>
      </c>
      <c r="C739" t="n">
        <v>17217</v>
      </c>
      <c r="D739" t="inlineStr">
        <is>
          <t>Acondicionador Ritual De Dove Fortalecimiento Palta 400 Ml</t>
        </is>
      </c>
      <c r="E739" t="inlineStr">
        <is>
          <t>DOVE</t>
        </is>
      </c>
      <c r="F739" t="n">
        <v>477.49</v>
      </c>
      <c r="G739" t="n">
        <v>39462</v>
      </c>
      <c r="H739" t="b">
        <v>0</v>
      </c>
      <c r="I739" t="n">
        <v>400</v>
      </c>
      <c r="J739" t="n">
        <v>1.1937</v>
      </c>
      <c r="K739" t="inlineStr">
        <is>
          <t>&gt; Perfumería &gt; Cuidado Capilar &gt; Acondicionador &gt;</t>
        </is>
      </c>
      <c r="L739" t="inlineStr">
        <is>
          <t>acondicionador</t>
        </is>
      </c>
      <c r="M739" t="inlineStr">
        <is>
          <t>estandar</t>
        </is>
      </c>
      <c r="N739" t="inlineStr">
        <is>
          <t>general</t>
        </is>
      </c>
      <c r="O739" t="inlineStr">
        <is>
          <t>https://www.disco.com.ar/acondicionador-ritual-de-dove-fortalecimiento-palta-400-ml/p</t>
        </is>
      </c>
    </row>
    <row r="740">
      <c r="A740" s="10" t="inlineStr">
        <is>
          <t>Disco</t>
        </is>
      </c>
      <c r="B740" s="10" t="n">
        <v>232703</v>
      </c>
      <c r="C740" s="10" t="n">
        <v>207032</v>
      </c>
      <c r="D740" s="10" t="inlineStr">
        <is>
          <t>Acondicionador Sedal</t>
        </is>
      </c>
      <c r="E740" s="10" t="inlineStr">
        <is>
          <t>SEDAL</t>
        </is>
      </c>
      <c r="F740" s="10" t="n">
        <v>5.52</v>
      </c>
      <c r="G740" s="10" t="n">
        <v>5.52</v>
      </c>
      <c r="H740" s="10" t="b">
        <v>0</v>
      </c>
      <c r="I740" s="10" t="inlineStr"/>
      <c r="J740" s="10" t="inlineStr"/>
      <c r="K740" s="10" t="inlineStr">
        <is>
          <t>&gt; Perfumería &gt; Cuidado Capilar &gt; Acondicionador &gt;</t>
        </is>
      </c>
      <c r="L740" s="10" t="inlineStr">
        <is>
          <t>acondicionador</t>
        </is>
      </c>
      <c r="M740" s="10" t="inlineStr">
        <is>
          <t>estandar</t>
        </is>
      </c>
      <c r="N740" s="10" t="inlineStr">
        <is>
          <t>general</t>
        </is>
      </c>
      <c r="O740" s="10" t="inlineStr">
        <is>
          <t>https://www.disco.com.ar/acondicionador-sedal-71-278858/p</t>
        </is>
      </c>
    </row>
    <row r="741">
      <c r="A741" t="inlineStr">
        <is>
          <t>Disco</t>
        </is>
      </c>
      <c r="B741" t="n">
        <v>130627</v>
      </c>
      <c r="C741" t="n">
        <v>127556</v>
      </c>
      <c r="D741" t="inlineStr">
        <is>
          <t>Acondicionador Dove Recontrucción Completa 200 Ml</t>
        </is>
      </c>
      <c r="E741" t="inlineStr">
        <is>
          <t>DOVE</t>
        </is>
      </c>
      <c r="F741" t="n">
        <v>135.75</v>
      </c>
      <c r="G741" t="n">
        <v>11219</v>
      </c>
      <c r="H741" t="b">
        <v>0</v>
      </c>
      <c r="I741" t="n">
        <v>200</v>
      </c>
      <c r="J741" t="n">
        <v>0.6787</v>
      </c>
      <c r="K741" t="inlineStr">
        <is>
          <t>&gt; Perfumería &gt; Cuidado Capilar &gt; Acondicionador &gt;</t>
        </is>
      </c>
      <c r="L741" t="inlineStr">
        <is>
          <t>acondicionador</t>
        </is>
      </c>
      <c r="M741" t="inlineStr">
        <is>
          <t>estandar</t>
        </is>
      </c>
      <c r="N741" t="inlineStr">
        <is>
          <t>general</t>
        </is>
      </c>
      <c r="O741" t="inlineStr">
        <is>
          <t>https://www.disco.com.ar/acondicionador-dove-20/p</t>
        </is>
      </c>
    </row>
    <row r="742">
      <c r="A742" s="10" t="inlineStr">
        <is>
          <t>Disco</t>
        </is>
      </c>
      <c r="B742" s="10" t="n">
        <v>122257</v>
      </c>
      <c r="C742" s="10" t="n">
        <v>121276</v>
      </c>
      <c r="D742" s="10" t="inlineStr">
        <is>
          <t>Acondicionador Capilatis Puro Castaño  Pvcx 420 Ml.</t>
        </is>
      </c>
      <c r="E742" s="10" t="inlineStr">
        <is>
          <t>CAPILATIS</t>
        </is>
      </c>
      <c r="F742" s="10" t="n">
        <v>18.73</v>
      </c>
      <c r="G742" s="10" t="n">
        <v>18.73</v>
      </c>
      <c r="H742" s="10" t="b">
        <v>0</v>
      </c>
      <c r="I742" s="10" t="n">
        <v>420</v>
      </c>
      <c r="J742" s="10" t="n">
        <v>0.0446</v>
      </c>
      <c r="K742" s="10" t="inlineStr">
        <is>
          <t>&gt; Perfumería &gt; Cuidado Capilar &gt; Acondicionador &gt;</t>
        </is>
      </c>
      <c r="L742" s="10" t="inlineStr">
        <is>
          <t>acondicionador</t>
        </is>
      </c>
      <c r="M742" s="10" t="inlineStr">
        <is>
          <t>estandar</t>
        </is>
      </c>
      <c r="N742" s="10" t="inlineStr">
        <is>
          <t>general</t>
        </is>
      </c>
      <c r="O742" s="10" t="inlineStr">
        <is>
          <t>https://www.disco.com.ar/acondicionador-capilatis-3/p</t>
        </is>
      </c>
    </row>
    <row r="743">
      <c r="A743" t="inlineStr">
        <is>
          <t>Disco</t>
        </is>
      </c>
      <c r="B743" t="n">
        <v>122091</v>
      </c>
      <c r="C743" t="n">
        <v>121110</v>
      </c>
      <c r="D743" t="inlineStr">
        <is>
          <t>Acondicionador Pantene Control Caída 750 Ml</t>
        </is>
      </c>
      <c r="E743" t="inlineStr">
        <is>
          <t>PANTENE</t>
        </is>
      </c>
      <c r="F743" t="n">
        <v>284.77</v>
      </c>
      <c r="G743" t="n">
        <v>23535</v>
      </c>
      <c r="H743" t="b">
        <v>0</v>
      </c>
      <c r="I743" t="n">
        <v>750</v>
      </c>
      <c r="J743" t="n">
        <v>0.3797</v>
      </c>
      <c r="K743" t="inlineStr">
        <is>
          <t>&gt; Perfumería &gt; Cuidado Capilar &gt; Acondicionador &gt;</t>
        </is>
      </c>
      <c r="L743" t="inlineStr">
        <is>
          <t>acondicionador</t>
        </is>
      </c>
      <c r="M743" t="inlineStr">
        <is>
          <t>estandar</t>
        </is>
      </c>
      <c r="N743" t="inlineStr">
        <is>
          <t>general</t>
        </is>
      </c>
      <c r="O743" t="inlineStr">
        <is>
          <t>https://www.disco.com.ar/acondicionador-pantene-20/p</t>
        </is>
      </c>
    </row>
    <row r="744">
      <c r="A744" s="10" t="inlineStr">
        <is>
          <t>Disco</t>
        </is>
      </c>
      <c r="B744" s="10" t="n">
        <v>115151</v>
      </c>
      <c r="C744" s="10" t="n">
        <v>114197</v>
      </c>
      <c r="D744" s="10" t="inlineStr">
        <is>
          <t>Acondicionador Tresemmé Rizos Definidos X 900 Ml</t>
        </is>
      </c>
      <c r="E744" s="10" t="inlineStr">
        <is>
          <t>TRESEMMÉ</t>
        </is>
      </c>
      <c r="F744" s="10" t="n">
        <v>28.39</v>
      </c>
      <c r="G744" s="10" t="n">
        <v>2346</v>
      </c>
      <c r="H744" s="10" t="b">
        <v>0</v>
      </c>
      <c r="I744" s="10" t="n">
        <v>900</v>
      </c>
      <c r="J744" s="10" t="n">
        <v>0.0315</v>
      </c>
      <c r="K744" s="10" t="inlineStr">
        <is>
          <t>&gt; Perfumería &gt; Cuidado Capilar &gt; Acondicionador &gt;</t>
        </is>
      </c>
      <c r="L744" s="10" t="inlineStr">
        <is>
          <t>acondicionador</t>
        </is>
      </c>
      <c r="M744" s="10" t="inlineStr">
        <is>
          <t>estandar</t>
        </is>
      </c>
      <c r="N744" s="10" t="inlineStr">
        <is>
          <t>rizado</t>
        </is>
      </c>
      <c r="O744" s="10" t="inlineStr">
        <is>
          <t>https://www.disco.com.ar/acondicionador-tresemme-10-2/p</t>
        </is>
      </c>
    </row>
    <row r="745">
      <c r="A745" t="inlineStr">
        <is>
          <t>Disco</t>
        </is>
      </c>
      <c r="B745" t="n">
        <v>77399</v>
      </c>
      <c r="C745" t="n">
        <v>74526</v>
      </c>
      <c r="D745" t="inlineStr">
        <is>
          <t>Acondicionador Pantene Pro V Frizz Control  Pvc 200 Ml</t>
        </is>
      </c>
      <c r="E745" t="inlineStr">
        <is>
          <t>PANTENE</t>
        </is>
      </c>
      <c r="F745" t="n">
        <v>17.45</v>
      </c>
      <c r="G745" t="n">
        <v>1442</v>
      </c>
      <c r="H745" t="b">
        <v>0</v>
      </c>
      <c r="I745" t="n">
        <v>200</v>
      </c>
      <c r="J745" t="n">
        <v>0.0872</v>
      </c>
      <c r="K745" t="inlineStr">
        <is>
          <t>&gt; Perfumería &gt; Cuidado Capilar &gt; Acondicionador &gt;</t>
        </is>
      </c>
      <c r="L745" t="inlineStr">
        <is>
          <t>acondicionador</t>
        </is>
      </c>
      <c r="M745" t="inlineStr">
        <is>
          <t>profesional</t>
        </is>
      </c>
      <c r="N745" t="inlineStr">
        <is>
          <t>general</t>
        </is>
      </c>
      <c r="O745" t="inlineStr">
        <is>
          <t>https://www.disco.com.ar/acondicionador-pantene-15-2/p</t>
        </is>
      </c>
    </row>
    <row r="746">
      <c r="A746" s="10" t="inlineStr">
        <is>
          <t>Disco</t>
        </is>
      </c>
      <c r="B746" s="10" t="n">
        <v>77299</v>
      </c>
      <c r="C746" s="10" t="n">
        <v>74426</v>
      </c>
      <c r="D746" s="10" t="inlineStr">
        <is>
          <t>Acondicionador Pantene Hidratación 200 Ml</t>
        </is>
      </c>
      <c r="E746" s="10" t="inlineStr">
        <is>
          <t>PANTENE</t>
        </is>
      </c>
      <c r="F746" s="10" t="n">
        <v>22.79</v>
      </c>
      <c r="G746" s="10" t="n">
        <v>1883</v>
      </c>
      <c r="H746" s="10" t="b">
        <v>0</v>
      </c>
      <c r="I746" s="10" t="n">
        <v>200</v>
      </c>
      <c r="J746" s="10" t="n">
        <v>0.1139</v>
      </c>
      <c r="K746" s="10" t="inlineStr">
        <is>
          <t>&gt; Perfumería &gt; Cuidado Capilar &gt; Acondicionador &gt;</t>
        </is>
      </c>
      <c r="L746" s="10" t="inlineStr">
        <is>
          <t>acondicionador</t>
        </is>
      </c>
      <c r="M746" s="10" t="inlineStr">
        <is>
          <t>estandar</t>
        </is>
      </c>
      <c r="N746" s="10" t="inlineStr">
        <is>
          <t>seco_danado</t>
        </is>
      </c>
      <c r="O746" s="10" t="inlineStr">
        <is>
          <t>https://www.disco.com.ar/acondicionador-pantene-16-2/p</t>
        </is>
      </c>
    </row>
    <row r="747">
      <c r="A747" t="inlineStr">
        <is>
          <t>Disco</t>
        </is>
      </c>
      <c r="B747" t="n">
        <v>77292</v>
      </c>
      <c r="C747" t="n">
        <v>74419</v>
      </c>
      <c r="D747" t="inlineStr">
        <is>
          <t>Acondicionador Pantene Control Caída 200 Ml</t>
        </is>
      </c>
      <c r="E747" t="inlineStr">
        <is>
          <t>PANTENE</t>
        </is>
      </c>
      <c r="F747" t="n">
        <v>22.79</v>
      </c>
      <c r="G747" t="n">
        <v>1883</v>
      </c>
      <c r="H747" t="b">
        <v>0</v>
      </c>
      <c r="I747" t="n">
        <v>200</v>
      </c>
      <c r="J747" t="n">
        <v>0.1139</v>
      </c>
      <c r="K747" t="inlineStr">
        <is>
          <t>&gt; Perfumería &gt; Cuidado Capilar &gt; Acondicionador &gt;</t>
        </is>
      </c>
      <c r="L747" t="inlineStr">
        <is>
          <t>acondicionador</t>
        </is>
      </c>
      <c r="M747" t="inlineStr">
        <is>
          <t>estandar</t>
        </is>
      </c>
      <c r="N747" t="inlineStr">
        <is>
          <t>general</t>
        </is>
      </c>
      <c r="O747" t="inlineStr">
        <is>
          <t>https://www.disco.com.ar/acondicionador-pantene-16/p</t>
        </is>
      </c>
    </row>
    <row r="748">
      <c r="A748" s="10" t="inlineStr">
        <is>
          <t>Disco</t>
        </is>
      </c>
      <c r="B748" s="10" t="n">
        <v>73407</v>
      </c>
      <c r="C748" s="10" t="n">
        <v>70538</v>
      </c>
      <c r="D748" s="10" t="inlineStr">
        <is>
          <t>Acondicionador Dove Liso Y Natural X 250 Ml</t>
        </is>
      </c>
      <c r="E748" s="10" t="inlineStr">
        <is>
          <t>DOVE</t>
        </is>
      </c>
      <c r="F748" s="10" t="n">
        <v>9.67</v>
      </c>
      <c r="G748" s="10" t="n">
        <v>9.67</v>
      </c>
      <c r="H748" s="10" t="b">
        <v>0</v>
      </c>
      <c r="I748" s="10" t="n">
        <v>250</v>
      </c>
      <c r="J748" s="10" t="n">
        <v>0.0387</v>
      </c>
      <c r="K748" s="10" t="inlineStr">
        <is>
          <t>&gt; Perfumería &gt; Cuidado Capilar &gt; Acondicionador &gt;</t>
        </is>
      </c>
      <c r="L748" s="10" t="inlineStr">
        <is>
          <t>acondicionador</t>
        </is>
      </c>
      <c r="M748" s="10" t="inlineStr">
        <is>
          <t>estandar</t>
        </is>
      </c>
      <c r="N748" s="10" t="inlineStr">
        <is>
          <t>general</t>
        </is>
      </c>
      <c r="O748" s="10" t="inlineStr">
        <is>
          <t>https://www.disco.com.ar/acondicionador-dove-3/p</t>
        </is>
      </c>
    </row>
    <row r="749">
      <c r="A749" t="inlineStr">
        <is>
          <t>Disco</t>
        </is>
      </c>
      <c r="B749" t="n">
        <v>33609</v>
      </c>
      <c r="C749" t="n">
        <v>30768</v>
      </c>
      <c r="D749" t="inlineStr">
        <is>
          <t>Acondicionador Porta 500 Cc</t>
        </is>
      </c>
      <c r="E749" t="inlineStr">
        <is>
          <t>PORTA</t>
        </is>
      </c>
      <c r="F749" t="n">
        <v>16.79</v>
      </c>
      <c r="G749" t="n">
        <v>16.79</v>
      </c>
      <c r="H749" t="b">
        <v>0</v>
      </c>
      <c r="I749" t="inlineStr"/>
      <c r="J749" t="inlineStr"/>
      <c r="K749" t="inlineStr">
        <is>
          <t>&gt; Mascotas &gt; Accesorios para Mascotas &gt;</t>
        </is>
      </c>
      <c r="L749" t="inlineStr">
        <is>
          <t>acondicionador</t>
        </is>
      </c>
      <c r="M749" t="inlineStr">
        <is>
          <t>estandar</t>
        </is>
      </c>
      <c r="N749" t="inlineStr">
        <is>
          <t>general</t>
        </is>
      </c>
      <c r="O749" t="inlineStr">
        <is>
          <t>https://www.disco.com.ar/acondicionador-porta/p</t>
        </is>
      </c>
    </row>
    <row r="750">
      <c r="A750" s="10" t="inlineStr">
        <is>
          <t>Disco</t>
        </is>
      </c>
      <c r="B750" s="10" t="n">
        <v>28971</v>
      </c>
      <c r="C750" s="10" t="n">
        <v>26132</v>
      </c>
      <c r="D750" s="10" t="inlineStr">
        <is>
          <t>Acondicionador Dove Dove Acondicionador Control Caida X 400 Ml</t>
        </is>
      </c>
      <c r="E750" s="10" t="inlineStr">
        <is>
          <t>DOVE</t>
        </is>
      </c>
      <c r="F750" s="10" t="n">
        <v>84.89</v>
      </c>
      <c r="G750" s="10" t="n">
        <v>7016</v>
      </c>
      <c r="H750" s="10" t="b">
        <v>0</v>
      </c>
      <c r="I750" s="10" t="n">
        <v>400</v>
      </c>
      <c r="J750" s="10" t="n">
        <v>0.2122</v>
      </c>
      <c r="K750" s="10" t="inlineStr">
        <is>
          <t>&gt; Perfumería &gt; Cuidado Capilar &gt; Acondicionador &gt;</t>
        </is>
      </c>
      <c r="L750" s="10" t="inlineStr">
        <is>
          <t>acondicionador</t>
        </is>
      </c>
      <c r="M750" s="10" t="inlineStr">
        <is>
          <t>estandar</t>
        </is>
      </c>
      <c r="N750" s="10" t="inlineStr">
        <is>
          <t>general</t>
        </is>
      </c>
      <c r="O750" s="10" t="inlineStr">
        <is>
          <t>https://www.disco.com.ar/acondicionador-dove-6/p</t>
        </is>
      </c>
    </row>
    <row r="751">
      <c r="A751" t="inlineStr">
        <is>
          <t>Disco</t>
        </is>
      </c>
      <c r="B751" t="n">
        <v>19539</v>
      </c>
      <c r="C751" t="n">
        <v>16696</v>
      </c>
      <c r="D751" t="inlineStr">
        <is>
          <t>Acondicionador Tresemmé Acondicionador Tresemme Hidratación Profunda 750 Ml</t>
        </is>
      </c>
      <c r="E751" t="inlineStr">
        <is>
          <t>TRESEMMÉ</t>
        </is>
      </c>
      <c r="F751" t="n">
        <v>898.65</v>
      </c>
      <c r="G751" t="n">
        <v>74269</v>
      </c>
      <c r="H751" t="b">
        <v>0</v>
      </c>
      <c r="I751" t="n">
        <v>750</v>
      </c>
      <c r="J751" t="n">
        <v>1.1982</v>
      </c>
      <c r="K751" t="inlineStr">
        <is>
          <t>&gt; Perfumería &gt; Cuidado Capilar &gt; Acondicionador &gt;</t>
        </is>
      </c>
      <c r="L751" t="inlineStr">
        <is>
          <t>acondicionador</t>
        </is>
      </c>
      <c r="M751" t="inlineStr">
        <is>
          <t>estandar</t>
        </is>
      </c>
      <c r="N751" t="inlineStr">
        <is>
          <t>seco_danado</t>
        </is>
      </c>
      <c r="O751" t="inlineStr">
        <is>
          <t>https://www.disco.com.ar/acondicionador-tresemme-24/p</t>
        </is>
      </c>
    </row>
    <row r="752">
      <c r="A752" s="10" t="inlineStr">
        <is>
          <t>Disco</t>
        </is>
      </c>
      <c r="B752" s="10" t="n">
        <v>184214</v>
      </c>
      <c r="C752" s="10" t="n">
        <v>207611</v>
      </c>
      <c r="D752" s="10" t="inlineStr">
        <is>
          <t>Acondicionador Pantene</t>
        </is>
      </c>
      <c r="E752" s="10" t="inlineStr">
        <is>
          <t>PANTENE</t>
        </is>
      </c>
      <c r="F752" s="10" t="n">
        <v>29.05</v>
      </c>
      <c r="G752" s="10" t="n">
        <v>29.05</v>
      </c>
      <c r="H752" s="10" t="b">
        <v>0</v>
      </c>
      <c r="I752" s="10" t="inlineStr"/>
      <c r="J752" s="10" t="inlineStr"/>
      <c r="K752" s="10" t="inlineStr">
        <is>
          <t>&gt; Perfumería &gt; Cuidado Capilar &gt; Acondicionador &gt;</t>
        </is>
      </c>
      <c r="L752" s="10" t="inlineStr">
        <is>
          <t>acondicionador</t>
        </is>
      </c>
      <c r="M752" s="10" t="inlineStr">
        <is>
          <t>estandar</t>
        </is>
      </c>
      <c r="N752" s="10" t="inlineStr">
        <is>
          <t>general</t>
        </is>
      </c>
      <c r="O752" s="10" t="inlineStr">
        <is>
          <t>https://www.disco.com.ar/acondicionador-pantene-31-287027/p</t>
        </is>
      </c>
    </row>
    <row r="753">
      <c r="A753" t="inlineStr">
        <is>
          <t>Disco</t>
        </is>
      </c>
      <c r="B753" t="n">
        <v>184213</v>
      </c>
      <c r="C753" t="n">
        <v>207598</v>
      </c>
      <c r="D753" t="inlineStr">
        <is>
          <t>Acondicionador Pantene</t>
        </is>
      </c>
      <c r="E753" t="inlineStr">
        <is>
          <t>PANTENE</t>
        </is>
      </c>
      <c r="F753" t="n">
        <v>29.05</v>
      </c>
      <c r="G753" t="n">
        <v>29.05</v>
      </c>
      <c r="H753" t="b">
        <v>0</v>
      </c>
      <c r="I753" t="inlineStr"/>
      <c r="J753" t="inlineStr"/>
      <c r="K753" t="inlineStr">
        <is>
          <t>&gt; Perfumería &gt; Cuidado Capilar &gt; Acondicionador &gt;</t>
        </is>
      </c>
      <c r="L753" t="inlineStr">
        <is>
          <t>acondicionador</t>
        </is>
      </c>
      <c r="M753" t="inlineStr">
        <is>
          <t>estandar</t>
        </is>
      </c>
      <c r="N753" t="inlineStr">
        <is>
          <t>general</t>
        </is>
      </c>
      <c r="O753" t="inlineStr">
        <is>
          <t>https://www.disco.com.ar/acondicionador-pantene-30-287028/p</t>
        </is>
      </c>
    </row>
    <row r="754">
      <c r="A754" s="10" t="inlineStr">
        <is>
          <t>Disco</t>
        </is>
      </c>
      <c r="B754" s="10" t="n">
        <v>152072</v>
      </c>
      <c r="C754" s="10" t="n">
        <v>149645</v>
      </c>
      <c r="D754" s="10" t="inlineStr">
        <is>
          <t>Acondicionador Dove óleo Nutrición 200 Ml</t>
        </is>
      </c>
      <c r="E754" s="10" t="inlineStr">
        <is>
          <t>DOVE</t>
        </is>
      </c>
      <c r="F754" s="10" t="n">
        <v>333.73</v>
      </c>
      <c r="G754" s="10" t="n">
        <v>27581</v>
      </c>
      <c r="H754" s="10" t="b">
        <v>0</v>
      </c>
      <c r="I754" s="10" t="n">
        <v>200</v>
      </c>
      <c r="J754" s="10" t="n">
        <v>1.6687</v>
      </c>
      <c r="K754" s="10" t="inlineStr">
        <is>
          <t>&gt; Perfumería &gt; Cuidado Capilar &gt; Acondicionador &gt;</t>
        </is>
      </c>
      <c r="L754" s="10" t="inlineStr">
        <is>
          <t>acondicionador</t>
        </is>
      </c>
      <c r="M754" s="10" t="inlineStr">
        <is>
          <t>estandar</t>
        </is>
      </c>
      <c r="N754" s="10" t="inlineStr">
        <is>
          <t>general</t>
        </is>
      </c>
      <c r="O754" s="10" t="inlineStr">
        <is>
          <t>https://www.disco.com.ar/acondicionador-dove-21-2/p</t>
        </is>
      </c>
    </row>
    <row r="755">
      <c r="A755" t="inlineStr">
        <is>
          <t>Disco</t>
        </is>
      </c>
      <c r="B755" t="n">
        <v>122332</v>
      </c>
      <c r="C755" t="n">
        <v>121351</v>
      </c>
      <c r="D755" t="inlineStr">
        <is>
          <t>Acondicionador Pantene Color Radiante 750ml</t>
        </is>
      </c>
      <c r="E755" t="inlineStr">
        <is>
          <t>PANTENE</t>
        </is>
      </c>
      <c r="F755" t="n">
        <v>27.65</v>
      </c>
      <c r="G755" t="n">
        <v>27.65</v>
      </c>
      <c r="H755" t="b">
        <v>0</v>
      </c>
      <c r="I755" t="n">
        <v>750</v>
      </c>
      <c r="J755" t="n">
        <v>0.0369</v>
      </c>
      <c r="K755" t="inlineStr">
        <is>
          <t>&gt; Perfumería &gt; Cuidado Capilar &gt; Acondicionador &gt;</t>
        </is>
      </c>
      <c r="L755" t="inlineStr">
        <is>
          <t>acondicionador</t>
        </is>
      </c>
      <c r="M755" t="inlineStr">
        <is>
          <t>estandar</t>
        </is>
      </c>
      <c r="N755" t="inlineStr">
        <is>
          <t>tratado</t>
        </is>
      </c>
      <c r="O755" t="inlineStr">
        <is>
          <t>https://www.disco.com.ar/acondicionador-pantene-18-2/p</t>
        </is>
      </c>
    </row>
    <row r="756">
      <c r="A756" s="10" t="inlineStr">
        <is>
          <t>Disco</t>
        </is>
      </c>
      <c r="B756" s="10" t="n">
        <v>121951</v>
      </c>
      <c r="C756" s="10" t="n">
        <v>120972</v>
      </c>
      <c r="D756" s="10" t="inlineStr">
        <is>
          <t>Acondicionador Pantenex750ml Frizz Control  Pvc 750 Ml.</t>
        </is>
      </c>
      <c r="E756" s="10" t="inlineStr">
        <is>
          <t>PANTENE</t>
        </is>
      </c>
      <c r="F756" s="10" t="n">
        <v>457.59</v>
      </c>
      <c r="G756" s="10" t="n">
        <v>457.59</v>
      </c>
      <c r="H756" s="10" t="b">
        <v>0</v>
      </c>
      <c r="I756" s="10" t="n">
        <v>750</v>
      </c>
      <c r="J756" s="10" t="n">
        <v>0.6101</v>
      </c>
      <c r="K756" s="10" t="inlineStr">
        <is>
          <t>&gt; Perfumería &gt; Cuidado Capilar &gt; Acondicionador &gt;</t>
        </is>
      </c>
      <c r="L756" s="10" t="inlineStr">
        <is>
          <t>acondicionador</t>
        </is>
      </c>
      <c r="M756" s="10" t="inlineStr">
        <is>
          <t>estandar</t>
        </is>
      </c>
      <c r="N756" s="10" t="inlineStr">
        <is>
          <t>general</t>
        </is>
      </c>
      <c r="O756" s="10" t="inlineStr">
        <is>
          <t>https://www.disco.com.ar/acondicionador-pantene-18/p</t>
        </is>
      </c>
    </row>
    <row r="757">
      <c r="A757" t="inlineStr">
        <is>
          <t>Disco</t>
        </is>
      </c>
      <c r="B757" t="n">
        <v>117758</v>
      </c>
      <c r="C757" t="n">
        <v>116797</v>
      </c>
      <c r="D757" t="inlineStr">
        <is>
          <t>Acondicionador Dove Acond Dove Advanced Therapy Anti-frizz</t>
        </is>
      </c>
      <c r="E757" t="inlineStr">
        <is>
          <t>DOVE</t>
        </is>
      </c>
      <c r="F757" t="n">
        <v>15.29</v>
      </c>
      <c r="G757" t="n">
        <v>15.29</v>
      </c>
      <c r="H757" t="b">
        <v>0</v>
      </c>
      <c r="I757" t="inlineStr"/>
      <c r="J757" t="inlineStr"/>
      <c r="K757" t="inlineStr">
        <is>
          <t>&gt; Perfumería &gt; Cuidado Capilar &gt; Acondicionador &gt;</t>
        </is>
      </c>
      <c r="L757" t="inlineStr">
        <is>
          <t>acondicionador</t>
        </is>
      </c>
      <c r="M757" t="inlineStr">
        <is>
          <t>estandar</t>
        </is>
      </c>
      <c r="N757" t="inlineStr">
        <is>
          <t>general</t>
        </is>
      </c>
      <c r="O757" t="inlineStr">
        <is>
          <t>https://www.disco.com.ar/acondicionador-dove-4-2/p</t>
        </is>
      </c>
    </row>
    <row r="758">
      <c r="A758" s="10" t="inlineStr">
        <is>
          <t>Disco</t>
        </is>
      </c>
      <c r="B758" s="10" t="n">
        <v>116559</v>
      </c>
      <c r="C758" s="10" t="n">
        <v>115599</v>
      </c>
      <c r="D758" s="10" t="inlineStr">
        <is>
          <t>Acondicionador Pantene Brillo Extremo 200 Ml</t>
        </is>
      </c>
      <c r="E758" s="10" t="inlineStr">
        <is>
          <t>PANTENE</t>
        </is>
      </c>
      <c r="F758" s="10" t="n">
        <v>22.79</v>
      </c>
      <c r="G758" s="10" t="n">
        <v>1883</v>
      </c>
      <c r="H758" s="10" t="b">
        <v>0</v>
      </c>
      <c r="I758" s="10" t="n">
        <v>200</v>
      </c>
      <c r="J758" s="10" t="n">
        <v>0.1139</v>
      </c>
      <c r="K758" s="10" t="inlineStr">
        <is>
          <t>&gt; Perfumería &gt; Cuidado Capilar &gt; Acondicionador &gt;</t>
        </is>
      </c>
      <c r="L758" s="10" t="inlineStr">
        <is>
          <t>acondicionador</t>
        </is>
      </c>
      <c r="M758" s="10" t="inlineStr">
        <is>
          <t>estandar</t>
        </is>
      </c>
      <c r="N758" s="10" t="inlineStr">
        <is>
          <t>general</t>
        </is>
      </c>
      <c r="O758" s="10" t="inlineStr">
        <is>
          <t>https://www.disco.com.ar/acondicionador-pantene-22/p</t>
        </is>
      </c>
    </row>
    <row r="759">
      <c r="A759" t="inlineStr">
        <is>
          <t>Disco</t>
        </is>
      </c>
      <c r="B759" t="n">
        <v>116320</v>
      </c>
      <c r="C759" t="n">
        <v>115362</v>
      </c>
      <c r="D759" t="inlineStr">
        <is>
          <t>Acondicionador Pantene Brillo Extremo 400 Ml</t>
        </is>
      </c>
      <c r="E759" t="inlineStr">
        <is>
          <t>PANTENE</t>
        </is>
      </c>
      <c r="F759" t="n">
        <v>48.79</v>
      </c>
      <c r="G759" t="n">
        <v>4032</v>
      </c>
      <c r="H759" t="b">
        <v>0</v>
      </c>
      <c r="I759" t="n">
        <v>400</v>
      </c>
      <c r="J759" t="n">
        <v>0.122</v>
      </c>
      <c r="K759" t="inlineStr">
        <is>
          <t>&gt; Perfumería &gt; Cuidado Capilar &gt; Acondicionador &gt;</t>
        </is>
      </c>
      <c r="L759" t="inlineStr">
        <is>
          <t>acondicionador</t>
        </is>
      </c>
      <c r="M759" t="inlineStr">
        <is>
          <t>estandar</t>
        </is>
      </c>
      <c r="N759" t="inlineStr">
        <is>
          <t>general</t>
        </is>
      </c>
      <c r="O759" t="inlineStr">
        <is>
          <t>https://www.disco.com.ar/acondicionador-pantene-21/p</t>
        </is>
      </c>
    </row>
    <row r="760">
      <c r="A760" s="10" t="inlineStr">
        <is>
          <t>Disco</t>
        </is>
      </c>
      <c r="B760" s="10" t="n">
        <v>115907</v>
      </c>
      <c r="C760" s="10" t="n">
        <v>114951</v>
      </c>
      <c r="D760" s="10" t="inlineStr">
        <is>
          <t>Acondicionador Flex Cosmetico X 250ml</t>
        </is>
      </c>
      <c r="E760" s="10" t="inlineStr">
        <is>
          <t>FLEX</t>
        </is>
      </c>
      <c r="F760" s="10" t="n">
        <v>5.95</v>
      </c>
      <c r="G760" s="10" t="n">
        <v>5.95</v>
      </c>
      <c r="H760" s="10" t="b">
        <v>0</v>
      </c>
      <c r="I760" s="10" t="n">
        <v>250</v>
      </c>
      <c r="J760" s="10" t="n">
        <v>0.0238</v>
      </c>
      <c r="K760" s="10" t="inlineStr">
        <is>
          <t>&gt; Perfumería &gt; Cuidado Capilar &gt; Acondicionador &gt;</t>
        </is>
      </c>
      <c r="L760" s="10" t="inlineStr">
        <is>
          <t>acondicionador</t>
        </is>
      </c>
      <c r="M760" s="10" t="inlineStr">
        <is>
          <t>estandar</t>
        </is>
      </c>
      <c r="N760" s="10" t="inlineStr">
        <is>
          <t>general</t>
        </is>
      </c>
      <c r="O760" s="10" t="inlineStr">
        <is>
          <t>https://www.disco.com.ar/acondicionador-flex-2/p</t>
        </is>
      </c>
    </row>
    <row r="761">
      <c r="A761" t="inlineStr">
        <is>
          <t>Disco</t>
        </is>
      </c>
      <c r="B761" t="n">
        <v>89555</v>
      </c>
      <c r="C761" t="n">
        <v>86883</v>
      </c>
      <c r="D761" t="inlineStr">
        <is>
          <t>Acondicionador Sedal</t>
        </is>
      </c>
      <c r="E761" t="inlineStr">
        <is>
          <t>SEDAL</t>
        </is>
      </c>
      <c r="F761" t="n">
        <v>5.45</v>
      </c>
      <c r="G761" t="n">
        <v>5.45</v>
      </c>
      <c r="H761" t="b">
        <v>0</v>
      </c>
      <c r="I761" t="inlineStr"/>
      <c r="J761" t="inlineStr"/>
      <c r="K761" t="inlineStr">
        <is>
          <t>&gt; Perfumería &gt; Cuidado Capilar &gt; Acondicionador &gt;</t>
        </is>
      </c>
      <c r="L761" t="inlineStr">
        <is>
          <t>acondicionador</t>
        </is>
      </c>
      <c r="M761" t="inlineStr">
        <is>
          <t>estandar</t>
        </is>
      </c>
      <c r="N761" t="inlineStr">
        <is>
          <t>general</t>
        </is>
      </c>
      <c r="O761" t="inlineStr">
        <is>
          <t>https://www.disco.com.ar/acondicionador-sedal-29/p</t>
        </is>
      </c>
    </row>
    <row r="762">
      <c r="A762" s="10" t="inlineStr">
        <is>
          <t>Disco</t>
        </is>
      </c>
      <c r="B762" s="10" t="n">
        <v>73433</v>
      </c>
      <c r="C762" s="10" t="n">
        <v>70564</v>
      </c>
      <c r="D762" s="10" t="inlineStr">
        <is>
          <t>Acondicionador Pantene Hidratación 400 Ml</t>
        </is>
      </c>
      <c r="E762" s="10" t="inlineStr">
        <is>
          <t>PANTENE</t>
        </is>
      </c>
      <c r="F762" s="10" t="n">
        <v>48.79</v>
      </c>
      <c r="G762" s="10" t="n">
        <v>4032</v>
      </c>
      <c r="H762" s="10" t="b">
        <v>0</v>
      </c>
      <c r="I762" s="10" t="n">
        <v>400</v>
      </c>
      <c r="J762" s="10" t="n">
        <v>0.122</v>
      </c>
      <c r="K762" s="10" t="inlineStr">
        <is>
          <t>&gt; Perfumería &gt; Cuidado Capilar &gt; Acondicionador &gt;</t>
        </is>
      </c>
      <c r="L762" s="10" t="inlineStr">
        <is>
          <t>acondicionador</t>
        </is>
      </c>
      <c r="M762" s="10" t="inlineStr">
        <is>
          <t>estandar</t>
        </is>
      </c>
      <c r="N762" s="10" t="inlineStr">
        <is>
          <t>seco_danado</t>
        </is>
      </c>
      <c r="O762" s="10" t="inlineStr">
        <is>
          <t>https://www.disco.com.ar/acondicionador-pantene-14/p</t>
        </is>
      </c>
    </row>
    <row r="763">
      <c r="A763" t="inlineStr">
        <is>
          <t>Disco</t>
        </is>
      </c>
      <c r="B763" t="n">
        <v>73361</v>
      </c>
      <c r="C763" t="n">
        <v>70492</v>
      </c>
      <c r="D763" t="inlineStr">
        <is>
          <t>Acondicionador Dove Rizos Therapy X 400 Ml</t>
        </is>
      </c>
      <c r="E763" t="inlineStr">
        <is>
          <t>DOVE</t>
        </is>
      </c>
      <c r="F763" t="n">
        <v>14.69</v>
      </c>
      <c r="G763" t="n">
        <v>14.69</v>
      </c>
      <c r="H763" t="b">
        <v>0</v>
      </c>
      <c r="I763" t="n">
        <v>400</v>
      </c>
      <c r="J763" t="n">
        <v>0.0367</v>
      </c>
      <c r="K763" t="inlineStr">
        <is>
          <t>&gt; Perfumería &gt; Cuidado Capilar &gt; Acondicionador &gt;</t>
        </is>
      </c>
      <c r="L763" t="inlineStr">
        <is>
          <t>acondicionador</t>
        </is>
      </c>
      <c r="M763" t="inlineStr">
        <is>
          <t>estandar</t>
        </is>
      </c>
      <c r="N763" t="inlineStr">
        <is>
          <t>rizado</t>
        </is>
      </c>
      <c r="O763" t="inlineStr">
        <is>
          <t>https://www.disco.com.ar/acondicionador-dove-23/p</t>
        </is>
      </c>
    </row>
    <row r="764">
      <c r="A764" s="10" t="inlineStr">
        <is>
          <t>Disco</t>
        </is>
      </c>
      <c r="B764" s="10" t="n">
        <v>72289</v>
      </c>
      <c r="C764" s="10" t="n">
        <v>69424</v>
      </c>
      <c r="D764" s="10" t="inlineStr">
        <is>
          <t>Acondicionador Pantene Renovación Profunda X 400 Ml</t>
        </is>
      </c>
      <c r="E764" s="10" t="inlineStr">
        <is>
          <t>PANTENE</t>
        </is>
      </c>
      <c r="F764" s="10" t="n">
        <v>16.47</v>
      </c>
      <c r="G764" s="10" t="n">
        <v>1361</v>
      </c>
      <c r="H764" s="10" t="b">
        <v>0</v>
      </c>
      <c r="I764" s="10" t="n">
        <v>400</v>
      </c>
      <c r="J764" s="10" t="n">
        <v>0.0412</v>
      </c>
      <c r="K764" s="10" t="inlineStr">
        <is>
          <t>&gt; Perfumería &gt; Cuidado Capilar &gt; Acondicionador &gt;</t>
        </is>
      </c>
      <c r="L764" s="10" t="inlineStr">
        <is>
          <t>acondicionador</t>
        </is>
      </c>
      <c r="M764" s="10" t="inlineStr">
        <is>
          <t>estandar</t>
        </is>
      </c>
      <c r="N764" s="10" t="inlineStr">
        <is>
          <t>general</t>
        </is>
      </c>
      <c r="O764" s="10" t="inlineStr">
        <is>
          <t>https://www.disco.com.ar/acondicionador-pantene-25/p</t>
        </is>
      </c>
    </row>
    <row r="765">
      <c r="A765" t="inlineStr">
        <is>
          <t>Disco</t>
        </is>
      </c>
      <c r="B765" t="n">
        <v>69301</v>
      </c>
      <c r="C765" t="n">
        <v>66436</v>
      </c>
      <c r="D765" t="inlineStr">
        <is>
          <t>Acondicionador Dove Dove Acondicionador Control Caida X 250 Ml</t>
        </is>
      </c>
      <c r="E765" t="inlineStr">
        <is>
          <t>DOVE</t>
        </is>
      </c>
      <c r="F765" t="n">
        <v>10.29</v>
      </c>
      <c r="G765" t="n">
        <v>10.29</v>
      </c>
      <c r="H765" t="b">
        <v>0</v>
      </c>
      <c r="I765" t="n">
        <v>250</v>
      </c>
      <c r="J765" t="n">
        <v>0.0412</v>
      </c>
      <c r="K765" t="inlineStr">
        <is>
          <t>&gt; Perfumería &gt; Cuidado Capilar &gt; Acondicionador &gt;</t>
        </is>
      </c>
      <c r="L765" t="inlineStr">
        <is>
          <t>acondicionador</t>
        </is>
      </c>
      <c r="M765" t="inlineStr">
        <is>
          <t>estandar</t>
        </is>
      </c>
      <c r="N765" t="inlineStr">
        <is>
          <t>general</t>
        </is>
      </c>
      <c r="O765" t="inlineStr">
        <is>
          <t>https://www.disco.com.ar/acondicionador-dove-7/p</t>
        </is>
      </c>
    </row>
    <row r="766">
      <c r="A766" s="10" t="inlineStr">
        <is>
          <t>Disco</t>
        </is>
      </c>
      <c r="B766" s="10" t="n">
        <v>19528</v>
      </c>
      <c r="C766" s="10" t="n">
        <v>16683</v>
      </c>
      <c r="D766" s="10" t="inlineStr">
        <is>
          <t>Acondicionador Tresemmé Acondicionador Tresemme Hidratación Profunda 400 Ml</t>
        </is>
      </c>
      <c r="E766" s="10" t="inlineStr">
        <is>
          <t>TRESEMMÉ</t>
        </is>
      </c>
      <c r="F766" s="10" t="n">
        <v>433.69</v>
      </c>
      <c r="G766" s="10" t="n">
        <v>35842</v>
      </c>
      <c r="H766" s="10" t="b">
        <v>0</v>
      </c>
      <c r="I766" s="10" t="n">
        <v>400</v>
      </c>
      <c r="J766" s="10" t="n">
        <v>1.0842</v>
      </c>
      <c r="K766" s="10" t="inlineStr">
        <is>
          <t>&gt; Perfumería &gt; Cuidado Capilar &gt; Acondicionador &gt;</t>
        </is>
      </c>
      <c r="L766" s="10" t="inlineStr">
        <is>
          <t>acondicionador</t>
        </is>
      </c>
      <c r="M766" s="10" t="inlineStr">
        <is>
          <t>estandar</t>
        </is>
      </c>
      <c r="N766" s="10" t="inlineStr">
        <is>
          <t>seco_danado</t>
        </is>
      </c>
      <c r="O766" s="10" t="inlineStr">
        <is>
          <t>https://www.disco.com.ar/acondicionador-tresemme-8/p</t>
        </is>
      </c>
    </row>
    <row r="767">
      <c r="A767" t="inlineStr">
        <is>
          <t>Disco</t>
        </is>
      </c>
      <c r="B767" t="n">
        <v>6047</v>
      </c>
      <c r="C767" t="n">
        <v>3433</v>
      </c>
      <c r="D767" t="inlineStr">
        <is>
          <t>Acondicionador Pantene Hidratación 750 Ml</t>
        </is>
      </c>
      <c r="E767" t="inlineStr">
        <is>
          <t>PANTENE</t>
        </is>
      </c>
      <c r="F767" t="n">
        <v>284.77</v>
      </c>
      <c r="G767" t="n">
        <v>23535</v>
      </c>
      <c r="H767" t="b">
        <v>0</v>
      </c>
      <c r="I767" t="n">
        <v>750</v>
      </c>
      <c r="J767" t="n">
        <v>0.3797</v>
      </c>
      <c r="K767" t="inlineStr">
        <is>
          <t>&gt; Perfumería &gt; Cuidado Capilar &gt; Acondicionador &gt;</t>
        </is>
      </c>
      <c r="L767" t="inlineStr">
        <is>
          <t>acondicionador</t>
        </is>
      </c>
      <c r="M767" t="inlineStr">
        <is>
          <t>estandar</t>
        </is>
      </c>
      <c r="N767" t="inlineStr">
        <is>
          <t>seco_danado</t>
        </is>
      </c>
      <c r="O767" t="inlineStr">
        <is>
          <t>https://www.disco.com.ar/acondicionador-pantene-4/p</t>
        </is>
      </c>
    </row>
    <row r="768">
      <c r="A768" s="10" t="inlineStr">
        <is>
          <t>Disco</t>
        </is>
      </c>
      <c r="B768" s="10" t="n">
        <v>67728</v>
      </c>
      <c r="C768" s="10" t="n">
        <v>64865</v>
      </c>
      <c r="D768" s="10" t="inlineStr">
        <is>
          <t>Acondicionador V05 Cosmetico</t>
        </is>
      </c>
      <c r="E768" s="10" t="inlineStr">
        <is>
          <t>VO5</t>
        </is>
      </c>
      <c r="F768" s="10" t="n">
        <v>5.73</v>
      </c>
      <c r="G768" s="10" t="n">
        <v>5.73</v>
      </c>
      <c r="H768" s="10" t="b">
        <v>0</v>
      </c>
      <c r="I768" s="10" t="inlineStr"/>
      <c r="J768" s="10" t="inlineStr"/>
      <c r="K768" s="10" t="inlineStr">
        <is>
          <t>&gt; Perfumería &gt; Cuidado Capilar &gt; Acondicionador &gt;</t>
        </is>
      </c>
      <c r="L768" s="10" t="inlineStr">
        <is>
          <t>acondicionador</t>
        </is>
      </c>
      <c r="M768" s="10" t="inlineStr">
        <is>
          <t>estandar</t>
        </is>
      </c>
      <c r="N768" s="10" t="inlineStr">
        <is>
          <t>general</t>
        </is>
      </c>
      <c r="O768" s="10" t="inlineStr">
        <is>
          <t>https://www.disco.com.ar/acondicionador-v05-cosmetico-3/p</t>
        </is>
      </c>
    </row>
    <row r="769">
      <c r="A769" t="inlineStr">
        <is>
          <t>Disco</t>
        </is>
      </c>
      <c r="B769" t="n">
        <v>67727</v>
      </c>
      <c r="C769" t="n">
        <v>64866</v>
      </c>
      <c r="D769" t="inlineStr">
        <is>
          <t>Acondicionador Plusbelle Evolution</t>
        </is>
      </c>
      <c r="E769" t="inlineStr">
        <is>
          <t>PLUSBELLE EVOLUTION</t>
        </is>
      </c>
      <c r="F769" t="n">
        <v>6</v>
      </c>
      <c r="G769" t="n">
        <v>6</v>
      </c>
      <c r="H769" t="b">
        <v>0</v>
      </c>
      <c r="I769" t="inlineStr"/>
      <c r="J769" t="inlineStr"/>
      <c r="K769" t="inlineStr">
        <is>
          <t>&gt; Perfumería &gt; Cuidado Capilar &gt; Acondicionador &gt;</t>
        </is>
      </c>
      <c r="L769" t="inlineStr">
        <is>
          <t>acondicionador</t>
        </is>
      </c>
      <c r="M769" t="inlineStr">
        <is>
          <t>estandar</t>
        </is>
      </c>
      <c r="N769" t="inlineStr">
        <is>
          <t>general</t>
        </is>
      </c>
      <c r="O769" t="inlineStr">
        <is>
          <t>https://www.disco.com.ar/acondicionador-plusbelle-evolution-8/p</t>
        </is>
      </c>
    </row>
    <row r="770">
      <c r="A770" s="10" t="inlineStr">
        <is>
          <t>Disco</t>
        </is>
      </c>
      <c r="B770" s="10" t="n">
        <v>34919</v>
      </c>
      <c r="C770" s="10" t="n">
        <v>32078</v>
      </c>
      <c r="D770" s="10" t="inlineStr">
        <is>
          <t>Acondicionador Herbal Essences Hidradisíaco 300 Ml</t>
        </is>
      </c>
      <c r="E770" s="10" t="inlineStr">
        <is>
          <t>HERBAL ESSENCES</t>
        </is>
      </c>
      <c r="F770" s="10" t="n">
        <v>157.69</v>
      </c>
      <c r="G770" s="10" t="n">
        <v>13032</v>
      </c>
      <c r="H770" s="10" t="b">
        <v>0</v>
      </c>
      <c r="I770" s="10" t="n">
        <v>300</v>
      </c>
      <c r="J770" s="10" t="n">
        <v>0.5256</v>
      </c>
      <c r="K770" s="10" t="inlineStr">
        <is>
          <t>&gt; Perfumería &gt; Cuidado Capilar &gt; Acondicionador &gt;</t>
        </is>
      </c>
      <c r="L770" s="10" t="inlineStr">
        <is>
          <t>acondicionador</t>
        </is>
      </c>
      <c r="M770" s="10" t="inlineStr">
        <is>
          <t>estandar</t>
        </is>
      </c>
      <c r="N770" s="10" t="inlineStr">
        <is>
          <t>general</t>
        </is>
      </c>
      <c r="O770" s="10" t="inlineStr">
        <is>
          <t>https://www.disco.com.ar/acondicionador-herbal-essences-7-2/p</t>
        </is>
      </c>
    </row>
    <row r="771">
      <c r="A771" t="inlineStr">
        <is>
          <t>Disco</t>
        </is>
      </c>
      <c r="B771" t="n">
        <v>127524</v>
      </c>
      <c r="C771" t="n">
        <v>110307</v>
      </c>
      <c r="D771" t="inlineStr">
        <is>
          <t>Acondicionador Comfort 900ml Acondicionador Comfort Con Siliconas 900 Ml</t>
        </is>
      </c>
      <c r="E771" t="inlineStr">
        <is>
          <t>COMFORT</t>
        </is>
      </c>
      <c r="F771" t="n">
        <v>8.869999999999999</v>
      </c>
      <c r="G771" t="n">
        <v>8.869999999999999</v>
      </c>
      <c r="H771" t="b">
        <v>0</v>
      </c>
      <c r="I771" t="n">
        <v>900</v>
      </c>
      <c r="J771" t="n">
        <v>0.009900000000000001</v>
      </c>
      <c r="K771" t="inlineStr">
        <is>
          <t>&gt; Limpieza &gt; Cuidado Para La Ropa &gt; Suavizantes &gt;</t>
        </is>
      </c>
      <c r="L771" t="inlineStr">
        <is>
          <t>acondicionador</t>
        </is>
      </c>
      <c r="M771" t="inlineStr">
        <is>
          <t>estandar</t>
        </is>
      </c>
      <c r="N771" t="inlineStr">
        <is>
          <t>general</t>
        </is>
      </c>
      <c r="O771" t="inlineStr">
        <is>
          <t>https://www.disco.com.ar/acondicionador-comfort-900ml-2/p</t>
        </is>
      </c>
    </row>
    <row r="772">
      <c r="A772" s="10" t="inlineStr">
        <is>
          <t>Disco</t>
        </is>
      </c>
      <c r="B772" s="10" t="n">
        <v>67452</v>
      </c>
      <c r="C772" s="10" t="n">
        <v>64591</v>
      </c>
      <c r="D772" s="10" t="inlineStr">
        <is>
          <t>Acondicionador Plusbelle Evolution</t>
        </is>
      </c>
      <c r="E772" s="10" t="inlineStr">
        <is>
          <t>PLUSBELLE EVOLUTION</t>
        </is>
      </c>
      <c r="F772" s="10" t="n">
        <v>6</v>
      </c>
      <c r="G772" s="10" t="n">
        <v>6</v>
      </c>
      <c r="H772" s="10" t="b">
        <v>0</v>
      </c>
      <c r="I772" s="10" t="inlineStr"/>
      <c r="J772" s="10" t="inlineStr"/>
      <c r="K772" s="10" t="inlineStr">
        <is>
          <t>&gt; Perfumería &gt; Cuidado Capilar &gt; Acondicionador &gt;</t>
        </is>
      </c>
      <c r="L772" s="10" t="inlineStr">
        <is>
          <t>acondicionador</t>
        </is>
      </c>
      <c r="M772" s="10" t="inlineStr">
        <is>
          <t>estandar</t>
        </is>
      </c>
      <c r="N772" s="10" t="inlineStr">
        <is>
          <t>general</t>
        </is>
      </c>
      <c r="O772" s="10" t="inlineStr">
        <is>
          <t>https://www.disco.com.ar/acondicionador-plusbelle-evolution-7/p</t>
        </is>
      </c>
    </row>
    <row r="773">
      <c r="A773" t="inlineStr">
        <is>
          <t>Disco</t>
        </is>
      </c>
      <c r="B773" t="n">
        <v>67448</v>
      </c>
      <c r="C773" t="n">
        <v>64587</v>
      </c>
      <c r="D773" t="inlineStr">
        <is>
          <t>Acondicionador Plusbelle Evolution</t>
        </is>
      </c>
      <c r="E773" t="inlineStr">
        <is>
          <t>PLUSBELLE EVOLUTION</t>
        </is>
      </c>
      <c r="F773" t="n">
        <v>6</v>
      </c>
      <c r="G773" t="n">
        <v>6</v>
      </c>
      <c r="H773" t="b">
        <v>0</v>
      </c>
      <c r="I773" t="inlineStr"/>
      <c r="J773" t="inlineStr"/>
      <c r="K773" t="inlineStr">
        <is>
          <t>&gt; Perfumería &gt; Cuidado Capilar &gt; Acondicionador &gt;</t>
        </is>
      </c>
      <c r="L773" t="inlineStr">
        <is>
          <t>acondicionador</t>
        </is>
      </c>
      <c r="M773" t="inlineStr">
        <is>
          <t>estandar</t>
        </is>
      </c>
      <c r="N773" t="inlineStr">
        <is>
          <t>general</t>
        </is>
      </c>
      <c r="O773" t="inlineStr">
        <is>
          <t>https://www.disco.com.ar/acondicionador-plusbelle-evolution-6/p</t>
        </is>
      </c>
    </row>
    <row r="774">
      <c r="A774" s="10" t="inlineStr">
        <is>
          <t>Disco</t>
        </is>
      </c>
      <c r="B774" s="10" t="n">
        <v>67415</v>
      </c>
      <c r="C774" s="10" t="n">
        <v>64553</v>
      </c>
      <c r="D774" s="10" t="inlineStr">
        <is>
          <t>Acondicionador Plusbelle Evolution</t>
        </is>
      </c>
      <c r="E774" s="10" t="inlineStr">
        <is>
          <t>PLUSBELLE EVOLUTION</t>
        </is>
      </c>
      <c r="F774" s="10" t="n">
        <v>6</v>
      </c>
      <c r="G774" s="10" t="n">
        <v>6</v>
      </c>
      <c r="H774" s="10" t="b">
        <v>0</v>
      </c>
      <c r="I774" s="10" t="inlineStr"/>
      <c r="J774" s="10" t="inlineStr"/>
      <c r="K774" s="10" t="inlineStr">
        <is>
          <t>&gt; Perfumería &gt; Cuidado Capilar &gt; Acondicionador &gt;</t>
        </is>
      </c>
      <c r="L774" s="10" t="inlineStr">
        <is>
          <t>acondicionador</t>
        </is>
      </c>
      <c r="M774" s="10" t="inlineStr">
        <is>
          <t>estandar</t>
        </is>
      </c>
      <c r="N774" s="10" t="inlineStr">
        <is>
          <t>general</t>
        </is>
      </c>
      <c r="O774" s="10" t="inlineStr">
        <is>
          <t>https://www.disco.com.ar/acondicionador-plusbelle-evolution-5/p</t>
        </is>
      </c>
    </row>
    <row r="775">
      <c r="A775" t="inlineStr">
        <is>
          <t>Disco</t>
        </is>
      </c>
      <c r="B775" t="n">
        <v>42993</v>
      </c>
      <c r="C775" t="n">
        <v>40164</v>
      </c>
      <c r="D775" t="inlineStr">
        <is>
          <t>Acondicionador Head&amp;shoulder Acondicionador Head &amp; Shoulders Humecta 400 Ml</t>
        </is>
      </c>
      <c r="E775" t="inlineStr">
        <is>
          <t>HEAD &amp; SHOULDERS</t>
        </is>
      </c>
      <c r="F775" t="n">
        <v>90.06999999999999</v>
      </c>
      <c r="G775" t="n">
        <v>7444</v>
      </c>
      <c r="H775" t="b">
        <v>0</v>
      </c>
      <c r="I775" t="n">
        <v>400</v>
      </c>
      <c r="J775" t="n">
        <v>0.2252</v>
      </c>
      <c r="K775" t="inlineStr">
        <is>
          <t>&gt; Perfumería &gt; Cuidado Capilar &gt; Acondicionador &gt;</t>
        </is>
      </c>
      <c r="L775" t="inlineStr">
        <is>
          <t>acondicionador</t>
        </is>
      </c>
      <c r="M775" t="inlineStr">
        <is>
          <t>estandar</t>
        </is>
      </c>
      <c r="N775" t="inlineStr">
        <is>
          <t>general</t>
        </is>
      </c>
      <c r="O775" t="inlineStr">
        <is>
          <t>https://www.disco.com.ar/acondicionador-head-shoulder-5-2/p</t>
        </is>
      </c>
    </row>
    <row r="776">
      <c r="A776" s="10" t="inlineStr">
        <is>
          <t>Disco</t>
        </is>
      </c>
      <c r="B776" s="10" t="n">
        <v>127035</v>
      </c>
      <c r="C776" s="10" t="n">
        <v>109823</v>
      </c>
      <c r="D776" s="10" t="inlineStr">
        <is>
          <t>Acondicionador Comfort 900ml Acondicionador Comfort Clasico Con Siliconas X 900 Ml</t>
        </is>
      </c>
      <c r="E776" s="10" t="inlineStr">
        <is>
          <t>COMFORT</t>
        </is>
      </c>
      <c r="F776" s="10" t="n">
        <v>7.19</v>
      </c>
      <c r="G776" s="10" t="n">
        <v>7.19</v>
      </c>
      <c r="H776" s="10" t="b">
        <v>0</v>
      </c>
      <c r="I776" s="10" t="n">
        <v>900</v>
      </c>
      <c r="J776" s="10" t="n">
        <v>0.008</v>
      </c>
      <c r="K776" s="10" t="inlineStr">
        <is>
          <t>&gt; Limpieza &gt; Cuidado Para La Ropa &gt; Suavizantes &gt;</t>
        </is>
      </c>
      <c r="L776" s="10" t="inlineStr">
        <is>
          <t>acondicionador</t>
        </is>
      </c>
      <c r="M776" s="10" t="inlineStr">
        <is>
          <t>estandar</t>
        </is>
      </c>
      <c r="N776" s="10" t="inlineStr">
        <is>
          <t>general</t>
        </is>
      </c>
      <c r="O776" s="10" t="inlineStr">
        <is>
          <t>https://www.disco.com.ar/acondicionador-comfort-900ml/p</t>
        </is>
      </c>
    </row>
    <row r="777">
      <c r="A777" t="inlineStr">
        <is>
          <t>Disco</t>
        </is>
      </c>
      <c r="B777" t="n">
        <v>122170</v>
      </c>
      <c r="C777" t="n">
        <v>121189</v>
      </c>
      <c r="D777" t="inlineStr">
        <is>
          <t>Acondicionador Capilatisx420ml Puro Rojo  Pvc X 420 Ml.</t>
        </is>
      </c>
      <c r="E777" t="inlineStr">
        <is>
          <t>CAPILATIS</t>
        </is>
      </c>
      <c r="F777" t="n">
        <v>11.34</v>
      </c>
      <c r="G777" t="n">
        <v>11.34</v>
      </c>
      <c r="H777" t="b">
        <v>0</v>
      </c>
      <c r="I777" t="n">
        <v>420</v>
      </c>
      <c r="J777" t="n">
        <v>0.027</v>
      </c>
      <c r="K777" t="inlineStr">
        <is>
          <t>&gt; Perfumería &gt; Cuidado Capilar &gt; Acondicionador &gt;</t>
        </is>
      </c>
      <c r="L777" t="inlineStr">
        <is>
          <t>acondicionador</t>
        </is>
      </c>
      <c r="M777" t="inlineStr">
        <is>
          <t>estandar</t>
        </is>
      </c>
      <c r="N777" t="inlineStr">
        <is>
          <t>general</t>
        </is>
      </c>
      <c r="O777" t="inlineStr">
        <is>
          <t>https://www.disco.com.ar/acondicionador-capilatisx420ml/p</t>
        </is>
      </c>
    </row>
    <row r="778">
      <c r="A778" s="10" t="inlineStr">
        <is>
          <t>Disco</t>
        </is>
      </c>
      <c r="B778" s="10" t="n">
        <v>67726</v>
      </c>
      <c r="C778" s="10" t="n">
        <v>64864</v>
      </c>
      <c r="D778" s="10" t="inlineStr">
        <is>
          <t>Acondicionador V05 Cosmetico</t>
        </is>
      </c>
      <c r="E778" s="10" t="inlineStr">
        <is>
          <t>VO5</t>
        </is>
      </c>
      <c r="F778" s="10" t="n">
        <v>6.15</v>
      </c>
      <c r="G778" s="10" t="n">
        <v>508</v>
      </c>
      <c r="H778" s="10" t="b">
        <v>0</v>
      </c>
      <c r="I778" s="10" t="inlineStr"/>
      <c r="J778" s="10" t="inlineStr"/>
      <c r="K778" s="10" t="inlineStr">
        <is>
          <t>&gt; Perfumería &gt; Cuidado Capilar &gt; Acondicionador &gt;</t>
        </is>
      </c>
      <c r="L778" s="10" t="inlineStr">
        <is>
          <t>acondicionador</t>
        </is>
      </c>
      <c r="M778" s="10" t="inlineStr">
        <is>
          <t>estandar</t>
        </is>
      </c>
      <c r="N778" s="10" t="inlineStr">
        <is>
          <t>general</t>
        </is>
      </c>
      <c r="O778" s="10" t="inlineStr">
        <is>
          <t>https://www.disco.com.ar/acondicionador-v05-cosmetico-2/p</t>
        </is>
      </c>
    </row>
    <row r="779">
      <c r="A779" t="inlineStr">
        <is>
          <t>Disco</t>
        </is>
      </c>
      <c r="B779" t="n">
        <v>67411</v>
      </c>
      <c r="C779" t="n">
        <v>64550</v>
      </c>
      <c r="D779" t="inlineStr">
        <is>
          <t>Acondicionador Plusbelle Evolution</t>
        </is>
      </c>
      <c r="E779" t="inlineStr">
        <is>
          <t>PLUSBELLE EVOLUTION</t>
        </is>
      </c>
      <c r="F779" t="n">
        <v>5.05</v>
      </c>
      <c r="G779" t="n">
        <v>417</v>
      </c>
      <c r="H779" t="b">
        <v>0</v>
      </c>
      <c r="I779" t="inlineStr"/>
      <c r="J779" t="inlineStr"/>
      <c r="K779" t="inlineStr">
        <is>
          <t>&gt; Perfumería &gt; Cuidado Capilar &gt; Acondicionador &gt;</t>
        </is>
      </c>
      <c r="L779" t="inlineStr">
        <is>
          <t>acondicionador</t>
        </is>
      </c>
      <c r="M779" t="inlineStr">
        <is>
          <t>estandar</t>
        </is>
      </c>
      <c r="N779" t="inlineStr">
        <is>
          <t>general</t>
        </is>
      </c>
      <c r="O779" t="inlineStr">
        <is>
          <t>https://www.disco.com.ar/acondicionador-plusbelle-evolution-4/p</t>
        </is>
      </c>
    </row>
    <row r="780">
      <c r="A780" s="10" t="inlineStr">
        <is>
          <t>Disco</t>
        </is>
      </c>
      <c r="B780" s="10" t="n">
        <v>34510</v>
      </c>
      <c r="C780" s="10" t="n">
        <v>31669</v>
      </c>
      <c r="D780" s="10" t="inlineStr">
        <is>
          <t>Acondicionador Herbal Essences Alborótalos 300 Ml</t>
        </is>
      </c>
      <c r="E780" s="10" t="inlineStr">
        <is>
          <t>HERBAL ESSENCES</t>
        </is>
      </c>
      <c r="F780" s="10" t="n">
        <v>157.69</v>
      </c>
      <c r="G780" s="10" t="n">
        <v>13032</v>
      </c>
      <c r="H780" s="10" t="b">
        <v>0</v>
      </c>
      <c r="I780" s="10" t="n">
        <v>300</v>
      </c>
      <c r="J780" s="10" t="n">
        <v>0.5256</v>
      </c>
      <c r="K780" s="10" t="inlineStr">
        <is>
          <t>&gt; Perfumería &gt; Cuidado Capilar &gt; Acondicionador &gt;</t>
        </is>
      </c>
      <c r="L780" s="10" t="inlineStr">
        <is>
          <t>acondicionador</t>
        </is>
      </c>
      <c r="M780" s="10" t="inlineStr">
        <is>
          <t>estandar</t>
        </is>
      </c>
      <c r="N780" s="10" t="inlineStr">
        <is>
          <t>general</t>
        </is>
      </c>
      <c r="O780" s="10" t="inlineStr">
        <is>
          <t>https://www.disco.com.ar/acondicionador-herbal-essences-7/p</t>
        </is>
      </c>
    </row>
    <row r="781">
      <c r="A781" t="inlineStr">
        <is>
          <t>Disco</t>
        </is>
      </c>
      <c r="B781" t="n">
        <v>410228</v>
      </c>
      <c r="C781" t="n">
        <v>406234</v>
      </c>
      <c r="D781" t="inlineStr">
        <is>
          <t>Acondicionador Polyana Ceramidas 900ml</t>
        </is>
      </c>
      <c r="E781" t="inlineStr">
        <is>
          <t>POLYANA</t>
        </is>
      </c>
      <c r="F781" t="n">
        <v>607.99</v>
      </c>
      <c r="G781" t="n">
        <v>50247</v>
      </c>
      <c r="H781" t="b">
        <v>0</v>
      </c>
      <c r="I781" t="n">
        <v>900</v>
      </c>
      <c r="J781" t="n">
        <v>0.6755</v>
      </c>
      <c r="K781" t="inlineStr">
        <is>
          <t>&gt; Perfumería &gt; Cuidado Capilar &gt; Acondicionador &gt;</t>
        </is>
      </c>
      <c r="L781" t="inlineStr">
        <is>
          <t>acondicionador</t>
        </is>
      </c>
      <c r="M781" t="inlineStr">
        <is>
          <t>estandar</t>
        </is>
      </c>
      <c r="N781" t="inlineStr">
        <is>
          <t>general</t>
        </is>
      </c>
      <c r="O781" t="inlineStr">
        <is>
          <t>https://www.disco.com.ar/acondicionador-polyana-ceramidas-900ml/p</t>
        </is>
      </c>
    </row>
    <row r="782">
      <c r="A782" s="10" t="inlineStr">
        <is>
          <t>Disco</t>
        </is>
      </c>
      <c r="B782" s="10" t="n">
        <v>375614</v>
      </c>
      <c r="C782" s="10" t="n">
        <v>374332</v>
      </c>
      <c r="D782" s="10" t="inlineStr">
        <is>
          <t>Acondicionador Suave Ceramidas 930ml</t>
        </is>
      </c>
      <c r="E782" s="10" t="inlineStr">
        <is>
          <t>SUAVE</t>
        </is>
      </c>
      <c r="F782" s="10" t="n">
        <v>302.49</v>
      </c>
      <c r="G782" s="10" t="n">
        <v>24999</v>
      </c>
      <c r="H782" s="10" t="b">
        <v>0</v>
      </c>
      <c r="I782" s="10" t="n">
        <v>930</v>
      </c>
      <c r="J782" s="10" t="n">
        <v>0.3253</v>
      </c>
      <c r="K782" s="10" t="inlineStr">
        <is>
          <t>&gt; Perfumería &gt; Cuidado Capilar &gt; Acondicionador &gt;</t>
        </is>
      </c>
      <c r="L782" s="10" t="inlineStr">
        <is>
          <t>acondicionador</t>
        </is>
      </c>
      <c r="M782" s="10" t="inlineStr">
        <is>
          <t>estandar</t>
        </is>
      </c>
      <c r="N782" s="10" t="inlineStr">
        <is>
          <t>bebe</t>
        </is>
      </c>
      <c r="O782" s="10" t="inlineStr">
        <is>
          <t>https://www.disco.com.ar/acondicionador-suave-ceramidas-930ml/p</t>
        </is>
      </c>
    </row>
    <row r="783">
      <c r="A783" t="inlineStr">
        <is>
          <t>Disco</t>
        </is>
      </c>
      <c r="B783" t="n">
        <v>349997</v>
      </c>
      <c r="C783" t="n">
        <v>348657</v>
      </c>
      <c r="D783" t="inlineStr">
        <is>
          <t>Acondicionador Elvive Pvc 400ml Acondicionador Elvive 400ml</t>
        </is>
      </c>
      <c r="E783" t="inlineStr">
        <is>
          <t>ELVIVE</t>
        </is>
      </c>
      <c r="F783" t="n">
        <v>1366.09</v>
      </c>
      <c r="G783" t="n">
        <v>112900</v>
      </c>
      <c r="H783" t="b">
        <v>0</v>
      </c>
      <c r="I783" t="n">
        <v>400</v>
      </c>
      <c r="J783" t="n">
        <v>3.4152</v>
      </c>
      <c r="K783" t="inlineStr">
        <is>
          <t>&gt; Perfumería &gt; Cuidado Capilar &gt; Acondicionador &gt;</t>
        </is>
      </c>
      <c r="L783" t="inlineStr">
        <is>
          <t>acondicionador</t>
        </is>
      </c>
      <c r="M783" t="inlineStr">
        <is>
          <t>profesional</t>
        </is>
      </c>
      <c r="N783" t="inlineStr">
        <is>
          <t>general</t>
        </is>
      </c>
      <c r="O783" t="inlineStr">
        <is>
          <t>https://www.disco.com.ar/acondicionador-elvive-pvc-400ml/p</t>
        </is>
      </c>
    </row>
    <row r="784">
      <c r="A784" s="10" t="inlineStr">
        <is>
          <t>Disco</t>
        </is>
      </c>
      <c r="B784" s="10" t="n">
        <v>338984</v>
      </c>
      <c r="C784" s="10" t="n">
        <v>316517</v>
      </c>
      <c r="D784" s="10" t="inlineStr">
        <is>
          <t>Acondicionador Suave Fuerza Nutritiva 930 Ml</t>
        </is>
      </c>
      <c r="E784" s="10" t="inlineStr">
        <is>
          <t>SUAVE</t>
        </is>
      </c>
      <c r="F784" s="10" t="n">
        <v>339.05</v>
      </c>
      <c r="G784" s="10" t="n">
        <v>28021</v>
      </c>
      <c r="H784" s="10" t="b">
        <v>0</v>
      </c>
      <c r="I784" s="10" t="n">
        <v>930</v>
      </c>
      <c r="J784" s="10" t="n">
        <v>0.3646</v>
      </c>
      <c r="K784" s="10" t="inlineStr">
        <is>
          <t>&gt; Perfumería &gt; Cuidado Capilar &gt; Acondicionador &gt;</t>
        </is>
      </c>
      <c r="L784" s="10" t="inlineStr">
        <is>
          <t>acondicionador</t>
        </is>
      </c>
      <c r="M784" s="10" t="inlineStr">
        <is>
          <t>estandar</t>
        </is>
      </c>
      <c r="N784" s="10" t="inlineStr">
        <is>
          <t>bebe</t>
        </is>
      </c>
      <c r="O784" s="10" t="inlineStr">
        <is>
          <t>https://www.disco.com.ar/acondicionador-suave-fuerza-nutritiva/p</t>
        </is>
      </c>
    </row>
    <row r="785">
      <c r="A785" t="inlineStr">
        <is>
          <t>Disco</t>
        </is>
      </c>
      <c r="B785" t="n">
        <v>338982</v>
      </c>
      <c r="C785" t="n">
        <v>316515</v>
      </c>
      <c r="D785" t="inlineStr">
        <is>
          <t>Acondicionador Suave Brillo Ceramidas 930 Ml</t>
        </is>
      </c>
      <c r="E785" t="inlineStr">
        <is>
          <t>SUAVE</t>
        </is>
      </c>
      <c r="F785" t="n">
        <v>229.29</v>
      </c>
      <c r="G785" t="n">
        <v>18950</v>
      </c>
      <c r="H785" t="b">
        <v>0</v>
      </c>
      <c r="I785" t="n">
        <v>930</v>
      </c>
      <c r="J785" t="n">
        <v>0.2465</v>
      </c>
      <c r="K785" t="inlineStr">
        <is>
          <t>&gt; Perfumería &gt; Cuidado Capilar &gt; Acondicionador &gt;</t>
        </is>
      </c>
      <c r="L785" t="inlineStr">
        <is>
          <t>acondicionador</t>
        </is>
      </c>
      <c r="M785" t="inlineStr">
        <is>
          <t>estandar</t>
        </is>
      </c>
      <c r="N785" t="inlineStr">
        <is>
          <t>bebe</t>
        </is>
      </c>
      <c r="O785" t="inlineStr">
        <is>
          <t>https://www.disco.com.ar/acondicionador-suave-brillo-ceramidas/p</t>
        </is>
      </c>
    </row>
    <row r="786">
      <c r="A786" s="10" t="inlineStr">
        <is>
          <t>Disco</t>
        </is>
      </c>
      <c r="B786" s="10" t="n">
        <v>337416</v>
      </c>
      <c r="C786" s="10" t="n">
        <v>336519</v>
      </c>
      <c r="D786" s="10" t="inlineStr">
        <is>
          <t>Acondicionador Dove Reconstruccion 750ml</t>
        </is>
      </c>
      <c r="E786" s="10" t="inlineStr">
        <is>
          <t>DOVE</t>
        </is>
      </c>
      <c r="F786" s="10" t="n">
        <v>1031.19</v>
      </c>
      <c r="G786" s="10" t="n">
        <v>85222</v>
      </c>
      <c r="H786" s="10" t="b">
        <v>0</v>
      </c>
      <c r="I786" s="10" t="n">
        <v>750</v>
      </c>
      <c r="J786" s="10" t="n">
        <v>1.3749</v>
      </c>
      <c r="K786" s="10" t="inlineStr">
        <is>
          <t>&gt; Perfumería &gt; Cuidado Capilar &gt; Acondicionador &gt;</t>
        </is>
      </c>
      <c r="L786" s="10" t="inlineStr">
        <is>
          <t>acondicionador</t>
        </is>
      </c>
      <c r="M786" s="10" t="inlineStr">
        <is>
          <t>estandar</t>
        </is>
      </c>
      <c r="N786" s="10" t="inlineStr">
        <is>
          <t>general</t>
        </is>
      </c>
      <c r="O786" s="10" t="inlineStr">
        <is>
          <t>https://www.disco.com.ar/acondicionador-dove-reconstruccion-750ml-2/p</t>
        </is>
      </c>
    </row>
    <row r="787">
      <c r="A787" t="inlineStr">
        <is>
          <t>Disco</t>
        </is>
      </c>
      <c r="B787" t="n">
        <v>337415</v>
      </c>
      <c r="C787" t="n">
        <v>336518</v>
      </c>
      <c r="D787" t="inlineStr">
        <is>
          <t>Acondicionador Dove Nutricion 400ml</t>
        </is>
      </c>
      <c r="E787" t="inlineStr">
        <is>
          <t>DOVE</t>
        </is>
      </c>
      <c r="F787" t="n">
        <v>603.09</v>
      </c>
      <c r="G787" t="n">
        <v>49842</v>
      </c>
      <c r="H787" t="b">
        <v>0</v>
      </c>
      <c r="I787" t="n">
        <v>400</v>
      </c>
      <c r="J787" t="n">
        <v>1.5077</v>
      </c>
      <c r="K787" t="inlineStr">
        <is>
          <t>&gt; Perfumería &gt; Cuidado Capilar &gt; Acondicionador &gt;</t>
        </is>
      </c>
      <c r="L787" t="inlineStr">
        <is>
          <t>acondicionador</t>
        </is>
      </c>
      <c r="M787" t="inlineStr">
        <is>
          <t>estandar</t>
        </is>
      </c>
      <c r="N787" t="inlineStr">
        <is>
          <t>general</t>
        </is>
      </c>
      <c r="O787" t="inlineStr">
        <is>
          <t>https://www.disco.com.ar/acondicionador-dove-nutricion-400ml-2/p</t>
        </is>
      </c>
    </row>
    <row r="788">
      <c r="A788" s="10" t="inlineStr">
        <is>
          <t>Disco</t>
        </is>
      </c>
      <c r="B788" s="10" t="n">
        <v>332179</v>
      </c>
      <c r="C788" s="10" t="n">
        <v>331337</v>
      </c>
      <c r="D788" s="10" t="inlineStr">
        <is>
          <t>Acondicionador Plusbelle Brillo 1lt</t>
        </is>
      </c>
      <c r="E788" s="10" t="inlineStr">
        <is>
          <t>PLUSBELLE</t>
        </is>
      </c>
      <c r="F788" s="10" t="n">
        <v>454.55</v>
      </c>
      <c r="G788" s="10" t="n">
        <v>37566</v>
      </c>
      <c r="H788" s="10" t="b">
        <v>0</v>
      </c>
      <c r="I788" s="10" t="inlineStr"/>
      <c r="J788" s="10" t="inlineStr"/>
      <c r="K788" s="10" t="inlineStr">
        <is>
          <t>&gt; Perfumería &gt; Cuidado Capilar &gt; Acondicionador &gt;</t>
        </is>
      </c>
      <c r="L788" s="10" t="inlineStr">
        <is>
          <t>acondicionador</t>
        </is>
      </c>
      <c r="M788" s="10" t="inlineStr">
        <is>
          <t>estandar</t>
        </is>
      </c>
      <c r="N788" s="10" t="inlineStr">
        <is>
          <t>general</t>
        </is>
      </c>
      <c r="O788" s="10" t="inlineStr">
        <is>
          <t>https://www.disco.com.ar/acondicionador-plusbelle-brillo-1lt/p</t>
        </is>
      </c>
    </row>
    <row r="789">
      <c r="A789" t="inlineStr">
        <is>
          <t>Disco</t>
        </is>
      </c>
      <c r="B789" t="n">
        <v>332173</v>
      </c>
      <c r="C789" t="n">
        <v>331331</v>
      </c>
      <c r="D789" t="inlineStr">
        <is>
          <t>Acondicionador Plusbelle Balance 1lt</t>
        </is>
      </c>
      <c r="E789" t="inlineStr">
        <is>
          <t>PLUSBELLE</t>
        </is>
      </c>
      <c r="F789" t="n">
        <v>600</v>
      </c>
      <c r="G789" t="n">
        <v>49587</v>
      </c>
      <c r="H789" t="b">
        <v>0</v>
      </c>
      <c r="I789" t="inlineStr"/>
      <c r="J789" t="inlineStr"/>
      <c r="K789" t="inlineStr">
        <is>
          <t>&gt; Perfumería &gt; Cuidado Capilar &gt; Acondicionador &gt;</t>
        </is>
      </c>
      <c r="L789" t="inlineStr">
        <is>
          <t>acondicionador</t>
        </is>
      </c>
      <c r="M789" t="inlineStr">
        <is>
          <t>estandar</t>
        </is>
      </c>
      <c r="N789" t="inlineStr">
        <is>
          <t>general</t>
        </is>
      </c>
      <c r="O789" t="inlineStr">
        <is>
          <t>https://www.disco.com.ar/acondicionador-plusbelle-balance-1lt/p</t>
        </is>
      </c>
    </row>
    <row r="790">
      <c r="A790" s="10" t="inlineStr">
        <is>
          <t>Disco</t>
        </is>
      </c>
      <c r="B790" s="10" t="n">
        <v>332172</v>
      </c>
      <c r="C790" s="10" t="n">
        <v>331330</v>
      </c>
      <c r="D790" s="10" t="inlineStr">
        <is>
          <t>Acondicionador Plusbelle Largo 970ml</t>
        </is>
      </c>
      <c r="E790" s="10" t="inlineStr">
        <is>
          <t>PLUSBELLE</t>
        </is>
      </c>
      <c r="F790" s="10" t="n">
        <v>545.47</v>
      </c>
      <c r="G790" s="10" t="n">
        <v>45080</v>
      </c>
      <c r="H790" s="10" t="b">
        <v>0</v>
      </c>
      <c r="I790" s="10" t="n">
        <v>970</v>
      </c>
      <c r="J790" s="10" t="n">
        <v>0.5623</v>
      </c>
      <c r="K790" s="10" t="inlineStr">
        <is>
          <t>&gt; Perfumería &gt; Cuidado Capilar &gt; Acondicionador &gt;</t>
        </is>
      </c>
      <c r="L790" s="10" t="inlineStr">
        <is>
          <t>acondicionador</t>
        </is>
      </c>
      <c r="M790" s="10" t="inlineStr">
        <is>
          <t>estandar</t>
        </is>
      </c>
      <c r="N790" s="10" t="inlineStr">
        <is>
          <t>general</t>
        </is>
      </c>
      <c r="O790" s="10" t="inlineStr">
        <is>
          <t>https://www.disco.com.ar/acondicionador-plusbelle-largo-970ml/p</t>
        </is>
      </c>
    </row>
    <row r="791">
      <c r="A791" t="inlineStr">
        <is>
          <t>Disco</t>
        </is>
      </c>
      <c r="B791" t="n">
        <v>332170</v>
      </c>
      <c r="C791" t="n">
        <v>331328</v>
      </c>
      <c r="D791" t="inlineStr">
        <is>
          <t>Acondicionador Plusbelle Docilidad 1lt</t>
        </is>
      </c>
      <c r="E791" t="inlineStr">
        <is>
          <t>PLUSBELLE</t>
        </is>
      </c>
      <c r="F791" t="n">
        <v>454.53</v>
      </c>
      <c r="G791" t="n">
        <v>37564</v>
      </c>
      <c r="H791" t="b">
        <v>0</v>
      </c>
      <c r="I791" t="inlineStr"/>
      <c r="J791" t="inlineStr"/>
      <c r="K791" t="inlineStr">
        <is>
          <t>&gt; Perfumería &gt; Cuidado Capilar &gt; Acondicionador &gt;</t>
        </is>
      </c>
      <c r="L791" t="inlineStr">
        <is>
          <t>acondicionador</t>
        </is>
      </c>
      <c r="M791" t="inlineStr">
        <is>
          <t>estandar</t>
        </is>
      </c>
      <c r="N791" t="inlineStr">
        <is>
          <t>general</t>
        </is>
      </c>
      <c r="O791" t="inlineStr">
        <is>
          <t>https://www.disco.com.ar/acondicionador-plusbelle-docilidad-1lt/p</t>
        </is>
      </c>
    </row>
    <row r="792">
      <c r="A792" s="10" t="inlineStr">
        <is>
          <t>Disco</t>
        </is>
      </c>
      <c r="B792" s="10" t="n">
        <v>332167</v>
      </c>
      <c r="C792" s="10" t="n">
        <v>331325</v>
      </c>
      <c r="D792" s="10" t="inlineStr">
        <is>
          <t>Acondicionador Plusbelle Frescura 1lt</t>
        </is>
      </c>
      <c r="E792" s="10" t="inlineStr">
        <is>
          <t>PLUSBELLE</t>
        </is>
      </c>
      <c r="F792" s="10" t="n">
        <v>454.55</v>
      </c>
      <c r="G792" s="10" t="n">
        <v>37566</v>
      </c>
      <c r="H792" s="10" t="b">
        <v>0</v>
      </c>
      <c r="I792" s="10" t="inlineStr"/>
      <c r="J792" s="10" t="inlineStr"/>
      <c r="K792" s="10" t="inlineStr">
        <is>
          <t>&gt; Perfumería &gt; Cuidado Capilar &gt; Acondicionador &gt;</t>
        </is>
      </c>
      <c r="L792" s="10" t="inlineStr">
        <is>
          <t>acondicionador</t>
        </is>
      </c>
      <c r="M792" s="10" t="inlineStr">
        <is>
          <t>estandar</t>
        </is>
      </c>
      <c r="N792" s="10" t="inlineStr">
        <is>
          <t>general</t>
        </is>
      </c>
      <c r="O792" s="10" t="inlineStr">
        <is>
          <t>https://www.disco.com.ar/acondicionador-plusbelle-frescura-1lt/p</t>
        </is>
      </c>
    </row>
    <row r="793">
      <c r="A793" t="inlineStr">
        <is>
          <t>Disco</t>
        </is>
      </c>
      <c r="B793" t="n">
        <v>317285</v>
      </c>
      <c r="C793" t="n">
        <v>316531</v>
      </c>
      <c r="D793" t="inlineStr">
        <is>
          <t>Acondicionador Sedal Carbon 650ml</t>
        </is>
      </c>
      <c r="E793" t="inlineStr">
        <is>
          <t>SEDAL</t>
        </is>
      </c>
      <c r="F793" t="n">
        <v>557.0700000000001</v>
      </c>
      <c r="G793" t="n">
        <v>46039</v>
      </c>
      <c r="H793" t="b">
        <v>0</v>
      </c>
      <c r="I793" t="n">
        <v>650</v>
      </c>
      <c r="J793" t="n">
        <v>0.857</v>
      </c>
      <c r="K793" t="inlineStr">
        <is>
          <t>&gt; Perfumería &gt; Cuidado Capilar &gt; Acondicionador &gt;</t>
        </is>
      </c>
      <c r="L793" t="inlineStr">
        <is>
          <t>acondicionador</t>
        </is>
      </c>
      <c r="M793" t="inlineStr">
        <is>
          <t>estandar</t>
        </is>
      </c>
      <c r="N793" t="inlineStr">
        <is>
          <t>general</t>
        </is>
      </c>
      <c r="O793" t="inlineStr">
        <is>
          <t>https://www.disco.com.ar/acondicionador-sedal-carbon-650ml/p</t>
        </is>
      </c>
    </row>
    <row r="794">
      <c r="A794" s="10" t="inlineStr">
        <is>
          <t>Disco</t>
        </is>
      </c>
      <c r="B794" s="10" t="n">
        <v>307906</v>
      </c>
      <c r="C794" s="10" t="n">
        <v>307144</v>
      </c>
      <c r="D794" s="10" t="inlineStr">
        <is>
          <t>Acondicionador Polyana Nutricion 300ml</t>
        </is>
      </c>
      <c r="E794" s="10" t="inlineStr">
        <is>
          <t>POLYANA</t>
        </is>
      </c>
      <c r="F794" s="10" t="n">
        <v>116.65</v>
      </c>
      <c r="G794" s="10" t="n">
        <v>9641</v>
      </c>
      <c r="H794" s="10" t="b">
        <v>0</v>
      </c>
      <c r="I794" s="10" t="n">
        <v>300</v>
      </c>
      <c r="J794" s="10" t="n">
        <v>0.3888</v>
      </c>
      <c r="K794" s="10" t="inlineStr">
        <is>
          <t>&gt; Perfumería &gt; Cuidado Capilar &gt; Acondicionador &gt;</t>
        </is>
      </c>
      <c r="L794" s="10" t="inlineStr">
        <is>
          <t>acondicionador</t>
        </is>
      </c>
      <c r="M794" s="10" t="inlineStr">
        <is>
          <t>estandar</t>
        </is>
      </c>
      <c r="N794" s="10" t="inlineStr">
        <is>
          <t>general</t>
        </is>
      </c>
      <c r="O794" s="10" t="inlineStr">
        <is>
          <t>https://www.disco.com.ar/acondicionador-polyana-nutricion-300ml/p</t>
        </is>
      </c>
    </row>
    <row r="795">
      <c r="A795" t="inlineStr">
        <is>
          <t>Disco</t>
        </is>
      </c>
      <c r="B795" t="n">
        <v>307901</v>
      </c>
      <c r="C795" t="n">
        <v>307139</v>
      </c>
      <c r="D795" t="inlineStr">
        <is>
          <t>Acondicionador Polyana Balance 300ml</t>
        </is>
      </c>
      <c r="E795" t="inlineStr">
        <is>
          <t>POLYANA</t>
        </is>
      </c>
      <c r="F795" t="n">
        <v>250</v>
      </c>
      <c r="G795" t="n">
        <v>20661</v>
      </c>
      <c r="H795" t="b">
        <v>0</v>
      </c>
      <c r="I795" t="n">
        <v>300</v>
      </c>
      <c r="J795" t="n">
        <v>0.8333</v>
      </c>
      <c r="K795" t="inlineStr">
        <is>
          <t>&gt; Perfumería &gt; Cuidado Capilar &gt; Acondicionador &gt;</t>
        </is>
      </c>
      <c r="L795" t="inlineStr">
        <is>
          <t>acondicionador</t>
        </is>
      </c>
      <c r="M795" t="inlineStr">
        <is>
          <t>estandar</t>
        </is>
      </c>
      <c r="N795" t="inlineStr">
        <is>
          <t>general</t>
        </is>
      </c>
      <c r="O795" t="inlineStr">
        <is>
          <t>https://www.disco.com.ar/acondicionador-polyana-balance-300ml/p</t>
        </is>
      </c>
    </row>
    <row r="796">
      <c r="A796" s="10" t="inlineStr">
        <is>
          <t>Disco</t>
        </is>
      </c>
      <c r="B796" s="10" t="n">
        <v>307880</v>
      </c>
      <c r="C796" s="10" t="n">
        <v>307118</v>
      </c>
      <c r="D796" s="10" t="inlineStr">
        <is>
          <t>Acondicionador Algabo Manzanilla 930ml</t>
        </is>
      </c>
      <c r="E796" s="10" t="inlineStr">
        <is>
          <t>ALGABO</t>
        </is>
      </c>
      <c r="F796" s="10" t="n">
        <v>113.09</v>
      </c>
      <c r="G796" s="10" t="n">
        <v>9346</v>
      </c>
      <c r="H796" s="10" t="b">
        <v>0</v>
      </c>
      <c r="I796" s="10" t="n">
        <v>930</v>
      </c>
      <c r="J796" s="10" t="n">
        <v>0.1216</v>
      </c>
      <c r="K796" s="10" t="inlineStr">
        <is>
          <t>&gt; Perfumería &gt; Cuidado Capilar &gt; Acondicionador &gt;</t>
        </is>
      </c>
      <c r="L796" s="10" t="inlineStr">
        <is>
          <t>acondicionador</t>
        </is>
      </c>
      <c r="M796" s="10" t="inlineStr">
        <is>
          <t>estandar</t>
        </is>
      </c>
      <c r="N796" s="10" t="inlineStr">
        <is>
          <t>general</t>
        </is>
      </c>
      <c r="O796" s="10" t="inlineStr">
        <is>
          <t>https://www.disco.com.ar/acondicionador-algabo-manzanilla-930ml/p</t>
        </is>
      </c>
    </row>
    <row r="797">
      <c r="A797" t="inlineStr">
        <is>
          <t>Disco</t>
        </is>
      </c>
      <c r="B797" t="n">
        <v>288747</v>
      </c>
      <c r="C797" t="n">
        <v>287994</v>
      </c>
      <c r="D797" t="inlineStr">
        <is>
          <t>Acondicionador Elvive Desenredante 400ml</t>
        </is>
      </c>
      <c r="E797" t="inlineStr">
        <is>
          <t>ELVIVE</t>
        </is>
      </c>
      <c r="F797" t="n">
        <v>470.23</v>
      </c>
      <c r="G797" t="n">
        <v>38862</v>
      </c>
      <c r="H797" t="b">
        <v>0</v>
      </c>
      <c r="I797" t="n">
        <v>400</v>
      </c>
      <c r="J797" t="n">
        <v>1.1756</v>
      </c>
      <c r="K797" t="inlineStr">
        <is>
          <t>&gt; Perfumería &gt; Cuidado Capilar &gt; Acondicionador &gt;</t>
        </is>
      </c>
      <c r="L797" t="inlineStr">
        <is>
          <t>acondicionador</t>
        </is>
      </c>
      <c r="M797" t="inlineStr">
        <is>
          <t>profesional</t>
        </is>
      </c>
      <c r="N797" t="inlineStr">
        <is>
          <t>general</t>
        </is>
      </c>
      <c r="O797" t="inlineStr">
        <is>
          <t>https://www.disco.com.ar/acondicionador-elvive-desenredante-400ml/p</t>
        </is>
      </c>
    </row>
    <row r="798">
      <c r="A798" s="10" t="inlineStr">
        <is>
          <t>Disco</t>
        </is>
      </c>
      <c r="B798" s="10" t="n">
        <v>271685</v>
      </c>
      <c r="C798" s="10" t="n">
        <v>271164</v>
      </c>
      <c r="D798" s="10" t="inlineStr">
        <is>
          <t>Acondicionador Sedal Hidratacion Micelar</t>
        </is>
      </c>
      <c r="E798" s="10" t="inlineStr">
        <is>
          <t>SEDAL</t>
        </is>
      </c>
      <c r="F798" s="10" t="n">
        <v>130.65</v>
      </c>
      <c r="G798" s="10" t="n">
        <v>10798</v>
      </c>
      <c r="H798" s="10" t="b">
        <v>0</v>
      </c>
      <c r="I798" s="10" t="inlineStr"/>
      <c r="J798" s="10" t="inlineStr"/>
      <c r="K798" s="10" t="inlineStr">
        <is>
          <t>&gt; Perfumería &gt; Cuidado Capilar &gt; Acondicionador &gt;</t>
        </is>
      </c>
      <c r="L798" s="10" t="inlineStr">
        <is>
          <t>acondicionador</t>
        </is>
      </c>
      <c r="M798" s="10" t="inlineStr">
        <is>
          <t>estandar</t>
        </is>
      </c>
      <c r="N798" s="10" t="inlineStr">
        <is>
          <t>seco_danado</t>
        </is>
      </c>
      <c r="O798" s="10" t="inlineStr">
        <is>
          <t>https://www.disco.com.ar/acondicionador-sedal-hidratacion-micelar-2/p</t>
        </is>
      </c>
    </row>
    <row r="799">
      <c r="A799" t="inlineStr">
        <is>
          <t>Disco</t>
        </is>
      </c>
      <c r="B799" t="n">
        <v>271678</v>
      </c>
      <c r="C799" t="n">
        <v>271157</v>
      </c>
      <c r="D799" t="inlineStr">
        <is>
          <t>Acondicionador Sedal Hidratacion Micelar.</t>
        </is>
      </c>
      <c r="E799" t="inlineStr">
        <is>
          <t>SEDAL</t>
        </is>
      </c>
      <c r="F799" t="n">
        <v>227.35</v>
      </c>
      <c r="G799" t="n">
        <v>18789</v>
      </c>
      <c r="H799" t="b">
        <v>0</v>
      </c>
      <c r="I799" t="inlineStr"/>
      <c r="J799" t="inlineStr"/>
      <c r="K799" t="inlineStr">
        <is>
          <t>&gt; Perfumería &gt; Cuidado Capilar &gt; Acondicionador &gt;</t>
        </is>
      </c>
      <c r="L799" t="inlineStr">
        <is>
          <t>acondicionador</t>
        </is>
      </c>
      <c r="M799" t="inlineStr">
        <is>
          <t>estandar</t>
        </is>
      </c>
      <c r="N799" t="inlineStr">
        <is>
          <t>seco_danado</t>
        </is>
      </c>
      <c r="O799" t="inlineStr">
        <is>
          <t>https://www.disco.com.ar/acondicionador-sedal-hidratacion-micelar/p</t>
        </is>
      </c>
    </row>
    <row r="800">
      <c r="A800" s="10" t="inlineStr">
        <is>
          <t>Disco</t>
        </is>
      </c>
      <c r="B800" s="10" t="n">
        <v>254985</v>
      </c>
      <c r="C800" s="10" t="n">
        <v>254279</v>
      </c>
      <c r="D800" s="10" t="inlineStr">
        <is>
          <t>Acondicionador Fructis Coco 350ml</t>
        </is>
      </c>
      <c r="E800" s="10" t="inlineStr">
        <is>
          <t>FRUCTIS</t>
        </is>
      </c>
      <c r="F800" s="10" t="n">
        <v>385.97</v>
      </c>
      <c r="G800" s="10" t="n">
        <v>31898</v>
      </c>
      <c r="H800" s="10" t="b">
        <v>0</v>
      </c>
      <c r="I800" s="10" t="n">
        <v>350</v>
      </c>
      <c r="J800" s="10" t="n">
        <v>1.1028</v>
      </c>
      <c r="K800" s="10" t="inlineStr">
        <is>
          <t>&gt; Perfumería &gt; Cuidado Capilar &gt; Acondicionador &gt;</t>
        </is>
      </c>
      <c r="L800" s="10" t="inlineStr">
        <is>
          <t>acondicionador</t>
        </is>
      </c>
      <c r="M800" s="10" t="inlineStr">
        <is>
          <t>estandar</t>
        </is>
      </c>
      <c r="N800" s="10" t="inlineStr">
        <is>
          <t>general</t>
        </is>
      </c>
      <c r="O800" s="10" t="inlineStr">
        <is>
          <t>https://www.disco.com.ar/acondicionador-fructis-coco-350ml/p</t>
        </is>
      </c>
    </row>
    <row r="801">
      <c r="A801" t="inlineStr">
        <is>
          <t>Disco</t>
        </is>
      </c>
      <c r="B801" t="n">
        <v>254984</v>
      </c>
      <c r="C801" t="n">
        <v>254278</v>
      </c>
      <c r="D801" t="inlineStr">
        <is>
          <t>Acondicionador Fructis Coco 200ml</t>
        </is>
      </c>
      <c r="E801" t="inlineStr">
        <is>
          <t>FRUCTIS</t>
        </is>
      </c>
      <c r="F801" t="n">
        <v>600</v>
      </c>
      <c r="G801" t="n">
        <v>49587</v>
      </c>
      <c r="H801" t="b">
        <v>0</v>
      </c>
      <c r="I801" t="n">
        <v>200</v>
      </c>
      <c r="J801" t="n">
        <v>3</v>
      </c>
      <c r="K801" t="inlineStr">
        <is>
          <t>&gt; Perfumería &gt; Cuidado Capilar &gt; Acondicionador &gt;</t>
        </is>
      </c>
      <c r="L801" t="inlineStr">
        <is>
          <t>acondicionador</t>
        </is>
      </c>
      <c r="M801" t="inlineStr">
        <is>
          <t>estandar</t>
        </is>
      </c>
      <c r="N801" t="inlineStr">
        <is>
          <t>general</t>
        </is>
      </c>
      <c r="O801" t="inlineStr">
        <is>
          <t>https://www.disco.com.ar/acondicionador-fructis-coco-200ml/p</t>
        </is>
      </c>
    </row>
    <row r="802">
      <c r="A802" s="10" t="inlineStr">
        <is>
          <t>Disco</t>
        </is>
      </c>
      <c r="B802" s="10" t="n">
        <v>167570</v>
      </c>
      <c r="C802" s="10" t="n">
        <v>165109</v>
      </c>
      <c r="D802" s="10" t="inlineStr">
        <is>
          <t>Pantene Acondicionador Hidrocauterizacion 200ml</t>
        </is>
      </c>
      <c r="E802" s="10" t="inlineStr">
        <is>
          <t>PANTENE</t>
        </is>
      </c>
      <c r="F802" s="10" t="n">
        <v>24.67</v>
      </c>
      <c r="G802" s="10" t="n">
        <v>2039</v>
      </c>
      <c r="H802" s="10" t="b">
        <v>0</v>
      </c>
      <c r="I802" s="10" t="n">
        <v>200</v>
      </c>
      <c r="J802" s="10" t="n">
        <v>0.1234</v>
      </c>
      <c r="K802" s="10" t="inlineStr">
        <is>
          <t>&gt; Perfumería &gt; Cuidado Capilar &gt; Acondicionador &gt;</t>
        </is>
      </c>
      <c r="L802" s="10" t="inlineStr">
        <is>
          <t>acondicionador</t>
        </is>
      </c>
      <c r="M802" s="10" t="inlineStr">
        <is>
          <t>estandar</t>
        </is>
      </c>
      <c r="N802" s="10" t="inlineStr">
        <is>
          <t>general</t>
        </is>
      </c>
      <c r="O802" s="10" t="inlineStr">
        <is>
          <t>https://www.disco.com.ar/pantene-acondicionador-hidrocauterizacion-200ml/p</t>
        </is>
      </c>
    </row>
    <row r="803">
      <c r="A803" t="inlineStr">
        <is>
          <t>Disco</t>
        </is>
      </c>
      <c r="B803" t="n">
        <v>137974</v>
      </c>
      <c r="C803" t="n">
        <v>134885</v>
      </c>
      <c r="D803" t="inlineStr">
        <is>
          <t>Pantene Acondicionador Summer 400ml</t>
        </is>
      </c>
      <c r="E803" t="inlineStr">
        <is>
          <t>PANTENE</t>
        </is>
      </c>
      <c r="F803" t="n">
        <v>97.29000000000001</v>
      </c>
      <c r="G803" t="n">
        <v>8041</v>
      </c>
      <c r="H803" t="b">
        <v>0</v>
      </c>
      <c r="I803" t="n">
        <v>400</v>
      </c>
      <c r="J803" t="n">
        <v>0.2432</v>
      </c>
      <c r="K803" t="inlineStr">
        <is>
          <t>&gt; Perfumería &gt; Cuidado Capilar &gt; Acondicionador &gt;</t>
        </is>
      </c>
      <c r="L803" t="inlineStr">
        <is>
          <t>acondicionador</t>
        </is>
      </c>
      <c r="M803" t="inlineStr">
        <is>
          <t>estandar</t>
        </is>
      </c>
      <c r="N803" t="inlineStr">
        <is>
          <t>general</t>
        </is>
      </c>
      <c r="O803" t="inlineStr">
        <is>
          <t>https://www.disco.com.ar/pantene-acondicionador-summer-400ml-2/p</t>
        </is>
      </c>
    </row>
    <row r="804">
      <c r="A804" s="10" t="inlineStr">
        <is>
          <t>Disco</t>
        </is>
      </c>
      <c r="B804" s="10" t="n">
        <v>132340</v>
      </c>
      <c r="C804" s="10" t="n">
        <v>129256</v>
      </c>
      <c r="D804" s="10" t="inlineStr">
        <is>
          <t>Pantene Acondicionador Brilloextremo 750ml</t>
        </is>
      </c>
      <c r="E804" s="10" t="inlineStr">
        <is>
          <t>PANTENE</t>
        </is>
      </c>
      <c r="F804" s="10" t="n">
        <v>284.77</v>
      </c>
      <c r="G804" s="10" t="n">
        <v>23535</v>
      </c>
      <c r="H804" s="10" t="b">
        <v>0</v>
      </c>
      <c r="I804" s="10" t="n">
        <v>750</v>
      </c>
      <c r="J804" s="10" t="n">
        <v>0.3797</v>
      </c>
      <c r="K804" s="10" t="inlineStr">
        <is>
          <t>&gt; Perfumería &gt; Cuidado Capilar &gt; Acondicionador &gt;</t>
        </is>
      </c>
      <c r="L804" s="10" t="inlineStr">
        <is>
          <t>acondicionador</t>
        </is>
      </c>
      <c r="M804" s="10" t="inlineStr">
        <is>
          <t>estandar</t>
        </is>
      </c>
      <c r="N804" s="10" t="inlineStr">
        <is>
          <t>general</t>
        </is>
      </c>
      <c r="O804" s="10" t="inlineStr">
        <is>
          <t>https://www.disco.com.ar/pantene-acondicionador-brilloextremo-750ml/p</t>
        </is>
      </c>
    </row>
    <row r="805">
      <c r="A805" t="inlineStr">
        <is>
          <t>Disco</t>
        </is>
      </c>
      <c r="B805" t="n">
        <v>132238</v>
      </c>
      <c r="C805" t="n">
        <v>129154</v>
      </c>
      <c r="D805" t="inlineStr">
        <is>
          <t>Pantene Acondicionador Restauracion 400ml</t>
        </is>
      </c>
      <c r="E805" t="inlineStr">
        <is>
          <t>PANTENE</t>
        </is>
      </c>
      <c r="F805" t="n">
        <v>97.29000000000001</v>
      </c>
      <c r="G805" t="n">
        <v>8041</v>
      </c>
      <c r="H805" t="b">
        <v>0</v>
      </c>
      <c r="I805" t="n">
        <v>400</v>
      </c>
      <c r="J805" t="n">
        <v>0.2432</v>
      </c>
      <c r="K805" t="inlineStr">
        <is>
          <t>&gt; Perfumería &gt; Cuidado Capilar &gt; Acondicionador &gt;</t>
        </is>
      </c>
      <c r="L805" t="inlineStr">
        <is>
          <t>acondicionador</t>
        </is>
      </c>
      <c r="M805" t="inlineStr">
        <is>
          <t>estandar</t>
        </is>
      </c>
      <c r="N805" t="inlineStr">
        <is>
          <t>general</t>
        </is>
      </c>
      <c r="O805" t="inlineStr">
        <is>
          <t>https://www.disco.com.ar/pantene-acondicionador-restauracion-400ml/p</t>
        </is>
      </c>
    </row>
    <row r="806">
      <c r="A806" s="10" t="inlineStr">
        <is>
          <t>Disco</t>
        </is>
      </c>
      <c r="B806" s="10" t="n">
        <v>59393</v>
      </c>
      <c r="C806" s="10" t="n">
        <v>56544</v>
      </c>
      <c r="D806" s="10" t="inlineStr">
        <is>
          <t>Acondicionador Sedal  750 Ml</t>
        </is>
      </c>
      <c r="E806" s="10" t="inlineStr">
        <is>
          <t>SEDAL</t>
        </is>
      </c>
      <c r="F806" s="10" t="n">
        <v>9.279999999999999</v>
      </c>
      <c r="G806" s="10" t="n">
        <v>9.279999999999999</v>
      </c>
      <c r="H806" s="10" t="b">
        <v>0</v>
      </c>
      <c r="I806" s="10" t="n">
        <v>750</v>
      </c>
      <c r="J806" s="10" t="n">
        <v>0.0124</v>
      </c>
      <c r="K806" s="10" t="inlineStr">
        <is>
          <t>&gt; Perfumería &gt; Cuidado Capilar &gt; Acondicionador &gt;</t>
        </is>
      </c>
      <c r="L806" s="10" t="inlineStr">
        <is>
          <t>acondicionador</t>
        </is>
      </c>
      <c r="M806" s="10" t="inlineStr">
        <is>
          <t>estandar</t>
        </is>
      </c>
      <c r="N806" s="10" t="inlineStr">
        <is>
          <t>general</t>
        </is>
      </c>
      <c r="O806" s="10" t="inlineStr">
        <is>
          <t>https://www.disco.com.ar/acondicionador-sedal-750-ml-2/p</t>
        </is>
      </c>
    </row>
    <row r="807">
      <c r="A807" t="inlineStr">
        <is>
          <t>Disco</t>
        </is>
      </c>
      <c r="B807" t="n">
        <v>46116</v>
      </c>
      <c r="C807" t="n">
        <v>43290</v>
      </c>
      <c r="D807" t="inlineStr">
        <is>
          <t>Acondicionador Head &amp; Shoulders Apple Fresh 400 Ml</t>
        </is>
      </c>
      <c r="E807" t="inlineStr">
        <is>
          <t>HEAD &amp; SHOULDERS</t>
        </is>
      </c>
      <c r="F807" t="n">
        <v>134.83</v>
      </c>
      <c r="G807" t="n">
        <v>11143</v>
      </c>
      <c r="H807" t="b">
        <v>0</v>
      </c>
      <c r="I807" t="n">
        <v>400</v>
      </c>
      <c r="J807" t="n">
        <v>0.3371</v>
      </c>
      <c r="K807" t="inlineStr">
        <is>
          <t>&gt; Perfumería &gt; Cuidado Capilar &gt; Acondicionador &gt;</t>
        </is>
      </c>
      <c r="L807" t="inlineStr">
        <is>
          <t>acondicionador</t>
        </is>
      </c>
      <c r="M807" t="inlineStr">
        <is>
          <t>estandar</t>
        </is>
      </c>
      <c r="N807" t="inlineStr">
        <is>
          <t>general</t>
        </is>
      </c>
      <c r="O807" t="inlineStr">
        <is>
          <t>https://www.disco.com.ar/acondicionador-head-shoulders-11/p</t>
        </is>
      </c>
    </row>
    <row r="808">
      <c r="A808" s="10" t="inlineStr">
        <is>
          <t>Disco</t>
        </is>
      </c>
      <c r="B808" s="10" t="n">
        <v>31760</v>
      </c>
      <c r="C808" s="10" t="n">
        <v>28919</v>
      </c>
      <c r="D808" s="10" t="inlineStr">
        <is>
          <t>Acondicionador Sedal Liso 650ml Acondicionador Sedal Liso Perfecto 650 Ml</t>
        </is>
      </c>
      <c r="E808" s="10" t="inlineStr">
        <is>
          <t>SEDAL</t>
        </is>
      </c>
      <c r="F808" s="10" t="n">
        <v>296.07</v>
      </c>
      <c r="G808" s="10" t="n">
        <v>24469</v>
      </c>
      <c r="H808" s="10" t="b">
        <v>0</v>
      </c>
      <c r="I808" s="10" t="n">
        <v>650</v>
      </c>
      <c r="J808" s="10" t="n">
        <v>0.4555</v>
      </c>
      <c r="K808" s="10" t="inlineStr">
        <is>
          <t>&gt; Perfumería &gt; Cuidado Capilar &gt; Acondicionador &gt;</t>
        </is>
      </c>
      <c r="L808" s="10" t="inlineStr">
        <is>
          <t>acondicionador</t>
        </is>
      </c>
      <c r="M808" s="10" t="inlineStr">
        <is>
          <t>estandar</t>
        </is>
      </c>
      <c r="N808" s="10" t="inlineStr">
        <is>
          <t>general</t>
        </is>
      </c>
      <c r="O808" s="10" t="inlineStr">
        <is>
          <t>https://www.disco.com.ar/acondicionador-sedal-liso-650ml/p</t>
        </is>
      </c>
    </row>
    <row r="809">
      <c r="A809" t="inlineStr">
        <is>
          <t>Disco</t>
        </is>
      </c>
      <c r="B809" t="n">
        <v>31097</v>
      </c>
      <c r="C809" t="n">
        <v>28256</v>
      </c>
      <c r="D809" t="inlineStr">
        <is>
          <t>Acondicionador Sedal Rizos 650ml</t>
        </is>
      </c>
      <c r="E809" t="inlineStr">
        <is>
          <t>SEDAL</t>
        </is>
      </c>
      <c r="F809" t="n">
        <v>370.17</v>
      </c>
      <c r="G809" t="n">
        <v>30593</v>
      </c>
      <c r="H809" t="b">
        <v>0</v>
      </c>
      <c r="I809" t="n">
        <v>650</v>
      </c>
      <c r="J809" t="n">
        <v>0.5695</v>
      </c>
      <c r="K809" t="inlineStr">
        <is>
          <t>&gt; Perfumería &gt; Cuidado Capilar &gt; Acondicionador &gt;</t>
        </is>
      </c>
      <c r="L809" t="inlineStr">
        <is>
          <t>acondicionador</t>
        </is>
      </c>
      <c r="M809" t="inlineStr">
        <is>
          <t>estandar</t>
        </is>
      </c>
      <c r="N809" t="inlineStr">
        <is>
          <t>rizado</t>
        </is>
      </c>
      <c r="O809" t="inlineStr">
        <is>
          <t>https://www.disco.com.ar/acondicionador-sedal-rizos-650ml/p</t>
        </is>
      </c>
    </row>
    <row r="810">
      <c r="A810" s="10" t="inlineStr">
        <is>
          <t>Disco</t>
        </is>
      </c>
      <c r="B810" s="10" t="n">
        <v>31006</v>
      </c>
      <c r="C810" s="10" t="n">
        <v>28165</v>
      </c>
      <c r="D810" s="10" t="inlineStr">
        <is>
          <t>Acondicionador Elvive Renutricion 400ml</t>
        </is>
      </c>
      <c r="E810" s="10" t="inlineStr">
        <is>
          <t>ELVIVE</t>
        </is>
      </c>
      <c r="F810" s="10" t="n">
        <v>430.99</v>
      </c>
      <c r="G810" s="10" t="n">
        <v>35619</v>
      </c>
      <c r="H810" s="10" t="b">
        <v>0</v>
      </c>
      <c r="I810" s="10" t="n">
        <v>400</v>
      </c>
      <c r="J810" s="10" t="n">
        <v>1.0775</v>
      </c>
      <c r="K810" s="10" t="inlineStr">
        <is>
          <t>&gt; Perfumería &gt; Cuidado Capilar &gt; Acondicionador &gt;</t>
        </is>
      </c>
      <c r="L810" s="10" t="inlineStr">
        <is>
          <t>acondicionador</t>
        </is>
      </c>
      <c r="M810" s="10" t="inlineStr">
        <is>
          <t>profesional</t>
        </is>
      </c>
      <c r="N810" s="10" t="inlineStr">
        <is>
          <t>general</t>
        </is>
      </c>
      <c r="O810" s="10" t="inlineStr">
        <is>
          <t>https://www.disco.com.ar/acondicionador-elvive-renutricion-400ml/p</t>
        </is>
      </c>
    </row>
    <row r="811">
      <c r="A811" t="inlineStr">
        <is>
          <t>Disco</t>
        </is>
      </c>
      <c r="B811" t="n">
        <v>19660</v>
      </c>
      <c r="C811" t="n">
        <v>16823</v>
      </c>
      <c r="D811" t="inlineStr">
        <is>
          <t>Acondicionador Sedal Ceramidas 340ml</t>
        </is>
      </c>
      <c r="E811" t="inlineStr">
        <is>
          <t>SEDAL SOS</t>
        </is>
      </c>
      <c r="F811" t="n">
        <v>176.59</v>
      </c>
      <c r="G811" t="n">
        <v>14594</v>
      </c>
      <c r="H811" t="b">
        <v>0</v>
      </c>
      <c r="I811" t="n">
        <v>340</v>
      </c>
      <c r="J811" t="n">
        <v>0.5194</v>
      </c>
      <c r="K811" t="inlineStr">
        <is>
          <t>&gt; Perfumería &gt; Cuidado Capilar &gt; Acondicionador &gt;</t>
        </is>
      </c>
      <c r="L811" t="inlineStr">
        <is>
          <t>acondicionador</t>
        </is>
      </c>
      <c r="M811" t="inlineStr">
        <is>
          <t>estandar</t>
        </is>
      </c>
      <c r="N811" t="inlineStr">
        <is>
          <t>general</t>
        </is>
      </c>
      <c r="O811" t="inlineStr">
        <is>
          <t>https://www.disco.com.ar/acondicionador-sedal-ceramidas-340ml/p</t>
        </is>
      </c>
    </row>
    <row r="812">
      <c r="A812" s="10" t="inlineStr">
        <is>
          <t>Disco</t>
        </is>
      </c>
      <c r="B812" s="10" t="n">
        <v>19659</v>
      </c>
      <c r="C812" s="10" t="n">
        <v>16822</v>
      </c>
      <c r="D812" s="10" t="inlineStr">
        <is>
          <t>Acondicionador Sedal Rizos 340ml</t>
        </is>
      </c>
      <c r="E812" s="10" t="inlineStr">
        <is>
          <t>SEDAL</t>
        </is>
      </c>
      <c r="F812" s="10" t="n">
        <v>155.69</v>
      </c>
      <c r="G812" s="10" t="n">
        <v>12867</v>
      </c>
      <c r="H812" s="10" t="b">
        <v>0</v>
      </c>
      <c r="I812" s="10" t="n">
        <v>340</v>
      </c>
      <c r="J812" s="10" t="n">
        <v>0.4579</v>
      </c>
      <c r="K812" s="10" t="inlineStr">
        <is>
          <t>&gt; Perfumería &gt; Cuidado Capilar &gt; Acondicionador &gt;</t>
        </is>
      </c>
      <c r="L812" s="10" t="inlineStr">
        <is>
          <t>acondicionador</t>
        </is>
      </c>
      <c r="M812" s="10" t="inlineStr">
        <is>
          <t>estandar</t>
        </is>
      </c>
      <c r="N812" s="10" t="inlineStr">
        <is>
          <t>rizado</t>
        </is>
      </c>
      <c r="O812" s="10" t="inlineStr">
        <is>
          <t>https://www.disco.com.ar/acondicionador-sedal-rizos-340ml/p</t>
        </is>
      </c>
    </row>
    <row r="813">
      <c r="A813" t="inlineStr">
        <is>
          <t>Disco</t>
        </is>
      </c>
      <c r="B813" t="n">
        <v>19658</v>
      </c>
      <c r="C813" t="n">
        <v>16821</v>
      </c>
      <c r="D813" t="inlineStr">
        <is>
          <t>Acondicionador Sedal Liso 340ml</t>
        </is>
      </c>
      <c r="E813" t="inlineStr">
        <is>
          <t>SEDAL</t>
        </is>
      </c>
      <c r="F813" t="n">
        <v>400</v>
      </c>
      <c r="G813" t="n">
        <v>33058</v>
      </c>
      <c r="H813" t="b">
        <v>0</v>
      </c>
      <c r="I813" t="n">
        <v>340</v>
      </c>
      <c r="J813" t="n">
        <v>1.1765</v>
      </c>
      <c r="K813" t="inlineStr">
        <is>
          <t>&gt; Perfumería &gt; Cuidado Capilar &gt; Acondicionador &gt;</t>
        </is>
      </c>
      <c r="L813" t="inlineStr">
        <is>
          <t>acondicionador</t>
        </is>
      </c>
      <c r="M813" t="inlineStr">
        <is>
          <t>estandar</t>
        </is>
      </c>
      <c r="N813" t="inlineStr">
        <is>
          <t>general</t>
        </is>
      </c>
      <c r="O813" t="inlineStr">
        <is>
          <t>https://www.disco.com.ar/acondicionador-sedal-liso-340ml/p</t>
        </is>
      </c>
    </row>
    <row r="814">
      <c r="A814" s="10" t="inlineStr">
        <is>
          <t>Disco</t>
        </is>
      </c>
      <c r="B814" s="10" t="n">
        <v>19517</v>
      </c>
      <c r="C814" s="10" t="n">
        <v>16663</v>
      </c>
      <c r="D814" s="10" t="inlineStr">
        <is>
          <t>Acondicionador Tresemme 200 Ml</t>
        </is>
      </c>
      <c r="E814" s="10" t="inlineStr">
        <is>
          <t>TRESEMMÉ</t>
        </is>
      </c>
      <c r="F814" s="10" t="n">
        <v>123.69</v>
      </c>
      <c r="G814" s="10" t="n">
        <v>10222</v>
      </c>
      <c r="H814" s="10" t="b">
        <v>0</v>
      </c>
      <c r="I814" s="10" t="n">
        <v>200</v>
      </c>
      <c r="J814" s="10" t="n">
        <v>0.6183999999999999</v>
      </c>
      <c r="K814" s="10" t="inlineStr">
        <is>
          <t>&gt; Perfumería &gt; Cuidado Capilar &gt; Acondicionador &gt;</t>
        </is>
      </c>
      <c r="L814" s="10" t="inlineStr">
        <is>
          <t>acondicionador</t>
        </is>
      </c>
      <c r="M814" s="10" t="inlineStr">
        <is>
          <t>estandar</t>
        </is>
      </c>
      <c r="N814" s="10" t="inlineStr">
        <is>
          <t>general</t>
        </is>
      </c>
      <c r="O814" s="10" t="inlineStr">
        <is>
          <t>https://www.disco.com.ar/acondicionador-tresemme-200-ml/p</t>
        </is>
      </c>
    </row>
    <row r="815">
      <c r="A815" t="inlineStr">
        <is>
          <t>Disco</t>
        </is>
      </c>
      <c r="B815" t="n">
        <v>14383</v>
      </c>
      <c r="C815" t="n">
        <v>11566</v>
      </c>
      <c r="D815" t="inlineStr">
        <is>
          <t>Acondicionador Capilatis Ortiga 350ml</t>
        </is>
      </c>
      <c r="E815" t="inlineStr">
        <is>
          <t>CAPILATIS</t>
        </is>
      </c>
      <c r="F815" t="n">
        <v>941.23</v>
      </c>
      <c r="G815" t="n">
        <v>77788</v>
      </c>
      <c r="H815" t="b">
        <v>0</v>
      </c>
      <c r="I815" t="n">
        <v>350</v>
      </c>
      <c r="J815" t="n">
        <v>2.6892</v>
      </c>
      <c r="K815" t="inlineStr">
        <is>
          <t>&gt; Perfumería &gt; Cuidado Capilar &gt; Acondicionador &gt;</t>
        </is>
      </c>
      <c r="L815" t="inlineStr">
        <is>
          <t>acondicionador</t>
        </is>
      </c>
      <c r="M815" t="inlineStr">
        <is>
          <t>estandar</t>
        </is>
      </c>
      <c r="N815" t="inlineStr">
        <is>
          <t>general</t>
        </is>
      </c>
      <c r="O815" t="inlineStr">
        <is>
          <t>https://www.disco.com.ar/acondicionador-capilatis-ortiga-350ml/p</t>
        </is>
      </c>
    </row>
    <row r="816">
      <c r="A816" s="10" t="inlineStr">
        <is>
          <t>Disco</t>
        </is>
      </c>
      <c r="B816" s="10" t="n">
        <v>1361144</v>
      </c>
      <c r="C816" s="10" t="n">
        <v>1360549</v>
      </c>
      <c r="D816" s="10" t="inlineStr">
        <is>
          <t>Acondicionador Pantene Keratin 400ml</t>
        </is>
      </c>
      <c r="E816" s="10" t="inlineStr">
        <is>
          <t>PANTENE</t>
        </is>
      </c>
      <c r="F816" s="10" t="n">
        <v>10000</v>
      </c>
      <c r="G816" s="10" t="n">
        <v>826446</v>
      </c>
      <c r="H816" s="10" t="b">
        <v>0</v>
      </c>
      <c r="I816" s="10" t="n">
        <v>400</v>
      </c>
      <c r="J816" s="10" t="n">
        <v>25</v>
      </c>
      <c r="K816" s="10" t="inlineStr">
        <is>
          <t>&gt; Perfumería &gt; Cuidado Capilar &gt; Acondicionador &gt;</t>
        </is>
      </c>
      <c r="L816" s="10" t="inlineStr">
        <is>
          <t>acondicionador</t>
        </is>
      </c>
      <c r="M816" s="10" t="inlineStr">
        <is>
          <t>estandar</t>
        </is>
      </c>
      <c r="N816" s="10" t="inlineStr">
        <is>
          <t>general</t>
        </is>
      </c>
      <c r="O816" s="10" t="inlineStr">
        <is>
          <t>https://www.disco.com.ar/acondicionador-pantene-keratin-400ml/p</t>
        </is>
      </c>
    </row>
    <row r="817">
      <c r="A817" t="inlineStr">
        <is>
          <t>Disco</t>
        </is>
      </c>
      <c r="B817" t="n">
        <v>394685</v>
      </c>
      <c r="C817" t="n">
        <v>392684</v>
      </c>
      <c r="D817" t="inlineStr">
        <is>
          <t>Acondicionador Ogx Biotin 385ml</t>
        </is>
      </c>
      <c r="E817" t="inlineStr">
        <is>
          <t>OGX</t>
        </is>
      </c>
      <c r="F817" t="n">
        <v>9896.09</v>
      </c>
      <c r="G817" t="n">
        <v>817859</v>
      </c>
      <c r="H817" t="b">
        <v>0</v>
      </c>
      <c r="I817" t="n">
        <v>385</v>
      </c>
      <c r="J817" t="n">
        <v>25.7041</v>
      </c>
      <c r="K817" t="inlineStr">
        <is>
          <t>&gt; Perfumería &gt; Cuidado Capilar &gt; Acondicionador &gt;</t>
        </is>
      </c>
      <c r="L817" t="inlineStr">
        <is>
          <t>acondicionador</t>
        </is>
      </c>
      <c r="M817" t="inlineStr">
        <is>
          <t>estandar</t>
        </is>
      </c>
      <c r="N817" t="inlineStr">
        <is>
          <t>general</t>
        </is>
      </c>
      <c r="O817" t="inlineStr">
        <is>
          <t>https://www.disco.com.ar/acondicionador-ogx-biotin-385ml/p</t>
        </is>
      </c>
    </row>
    <row r="818">
      <c r="A818" s="10" t="inlineStr">
        <is>
          <t>Disco</t>
        </is>
      </c>
      <c r="B818" s="10" t="n">
        <v>375613</v>
      </c>
      <c r="C818" s="10" t="n">
        <v>374331</v>
      </c>
      <c r="D818" s="10" t="inlineStr">
        <is>
          <t>Acondicionador Suave Antifrizz 930ml</t>
        </is>
      </c>
      <c r="E818" s="10" t="inlineStr">
        <is>
          <t>SUAVE</t>
        </is>
      </c>
      <c r="F818" s="10" t="n">
        <v>750</v>
      </c>
      <c r="G818" s="10" t="n">
        <v>61983</v>
      </c>
      <c r="H818" s="10" t="b">
        <v>0</v>
      </c>
      <c r="I818" s="10" t="n">
        <v>930</v>
      </c>
      <c r="J818" s="10" t="n">
        <v>0.8065</v>
      </c>
      <c r="K818" s="10" t="inlineStr">
        <is>
          <t>&gt; Perfumería &gt; Cuidado Capilar &gt; Acondicionador &gt;</t>
        </is>
      </c>
      <c r="L818" s="10" t="inlineStr">
        <is>
          <t>acondicionador</t>
        </is>
      </c>
      <c r="M818" s="10" t="inlineStr">
        <is>
          <t>estandar</t>
        </is>
      </c>
      <c r="N818" s="10" t="inlineStr">
        <is>
          <t>bebe</t>
        </is>
      </c>
      <c r="O818" s="10" t="inlineStr">
        <is>
          <t>https://www.disco.com.ar/acondicionador-suave-antifrizz-930ml/p</t>
        </is>
      </c>
    </row>
    <row r="819">
      <c r="A819" t="inlineStr">
        <is>
          <t>Disco</t>
        </is>
      </c>
      <c r="B819" t="n">
        <v>375605</v>
      </c>
      <c r="C819" t="n">
        <v>374323</v>
      </c>
      <c r="D819" t="inlineStr">
        <is>
          <t>Acondicionador Suave Manzana 930ml</t>
        </is>
      </c>
      <c r="E819" t="inlineStr">
        <is>
          <t>SUAVE</t>
        </is>
      </c>
      <c r="F819" t="n">
        <v>692.53</v>
      </c>
      <c r="G819" t="n">
        <v>57234</v>
      </c>
      <c r="H819" t="b">
        <v>0</v>
      </c>
      <c r="I819" t="n">
        <v>930</v>
      </c>
      <c r="J819" t="n">
        <v>0.7447</v>
      </c>
      <c r="K819" t="inlineStr">
        <is>
          <t>&gt; Perfumería &gt; Cuidado Capilar &gt; Acondicionador &gt;</t>
        </is>
      </c>
      <c r="L819" t="inlineStr">
        <is>
          <t>acondicionador</t>
        </is>
      </c>
      <c r="M819" t="inlineStr">
        <is>
          <t>estandar</t>
        </is>
      </c>
      <c r="N819" t="inlineStr">
        <is>
          <t>bebe</t>
        </is>
      </c>
      <c r="O819" t="inlineStr">
        <is>
          <t>https://www.disco.com.ar/acondicionador-suave-manzana-930ml/p</t>
        </is>
      </c>
    </row>
    <row r="820">
      <c r="A820" s="10" t="inlineStr">
        <is>
          <t>Disco</t>
        </is>
      </c>
      <c r="B820" s="10" t="n">
        <v>350046</v>
      </c>
      <c r="C820" s="10" t="n">
        <v>348706</v>
      </c>
      <c r="D820" s="10" t="inlineStr">
        <is>
          <t>Acondicionador Plusbelle Reconexion 1000ml</t>
        </is>
      </c>
      <c r="E820" s="10" t="inlineStr">
        <is>
          <t>PLUSBELLE</t>
        </is>
      </c>
      <c r="F820" s="10" t="n">
        <v>450</v>
      </c>
      <c r="G820" s="10" t="n">
        <v>37190</v>
      </c>
      <c r="H820" s="10" t="b">
        <v>0</v>
      </c>
      <c r="I820" s="10" t="n">
        <v>1000</v>
      </c>
      <c r="J820" s="10" t="n">
        <v>0.45</v>
      </c>
      <c r="K820" s="10" t="inlineStr">
        <is>
          <t>&gt; Perfumería &gt; Cuidado Capilar &gt; Acondicionador &gt;</t>
        </is>
      </c>
      <c r="L820" s="10" t="inlineStr">
        <is>
          <t>acondicionador</t>
        </is>
      </c>
      <c r="M820" s="10" t="inlineStr">
        <is>
          <t>estandar</t>
        </is>
      </c>
      <c r="N820" s="10" t="inlineStr">
        <is>
          <t>general</t>
        </is>
      </c>
      <c r="O820" s="10" t="inlineStr">
        <is>
          <t>https://www.disco.com.ar/acondicionador-plusbelle-reconexion-1000ml-2/p</t>
        </is>
      </c>
    </row>
    <row r="821">
      <c r="A821" t="inlineStr">
        <is>
          <t>Disco</t>
        </is>
      </c>
      <c r="B821" t="n">
        <v>339232</v>
      </c>
      <c r="C821" t="n">
        <v>337917</v>
      </c>
      <c r="D821" t="inlineStr">
        <is>
          <t>Acondicionador Botikpuro Rosa Mosqueta</t>
        </is>
      </c>
      <c r="E821" t="inlineStr">
        <is>
          <t>BOTIK PURO</t>
        </is>
      </c>
      <c r="F821" t="n">
        <v>7850</v>
      </c>
      <c r="G821" t="n">
        <v>648760</v>
      </c>
      <c r="H821" t="b">
        <v>0</v>
      </c>
      <c r="I821" t="inlineStr"/>
      <c r="J821" t="inlineStr"/>
      <c r="K821" t="inlineStr">
        <is>
          <t>&gt; Perfumería &gt; Cuidado Capilar &gt; Acondicionador &gt;</t>
        </is>
      </c>
      <c r="L821" t="inlineStr">
        <is>
          <t>acondicionador</t>
        </is>
      </c>
      <c r="M821" t="inlineStr">
        <is>
          <t>estandar</t>
        </is>
      </c>
      <c r="N821" t="inlineStr">
        <is>
          <t>general</t>
        </is>
      </c>
      <c r="O821" t="inlineStr">
        <is>
          <t>https://www.disco.com.ar/acondicionador-botikpuro-rosa-mosqueta-2/p</t>
        </is>
      </c>
    </row>
    <row r="822">
      <c r="A822" s="10" t="inlineStr">
        <is>
          <t>Disco</t>
        </is>
      </c>
      <c r="B822" s="10" t="n">
        <v>338983</v>
      </c>
      <c r="C822" s="10" t="n">
        <v>316516</v>
      </c>
      <c r="D822" s="10" t="inlineStr">
        <is>
          <t>Acondicionador Suave Suavidad Cuidado 930 Ml</t>
        </is>
      </c>
      <c r="E822" s="10" t="inlineStr">
        <is>
          <t>SUAVE</t>
        </is>
      </c>
      <c r="F822" s="10" t="n">
        <v>178.37</v>
      </c>
      <c r="G822" s="10" t="n">
        <v>14741</v>
      </c>
      <c r="H822" s="10" t="b">
        <v>0</v>
      </c>
      <c r="I822" s="10" t="n">
        <v>930</v>
      </c>
      <c r="J822" s="10" t="n">
        <v>0.1918</v>
      </c>
      <c r="K822" s="10" t="inlineStr">
        <is>
          <t>&gt; Perfumería &gt; Cuidado Capilar &gt; Acondicionador &gt;</t>
        </is>
      </c>
      <c r="L822" s="10" t="inlineStr">
        <is>
          <t>acondicionador</t>
        </is>
      </c>
      <c r="M822" s="10" t="inlineStr">
        <is>
          <t>estandar</t>
        </is>
      </c>
      <c r="N822" s="10" t="inlineStr">
        <is>
          <t>bebe</t>
        </is>
      </c>
      <c r="O822" s="10" t="inlineStr">
        <is>
          <t>https://www.disco.com.ar/acondicionador-suave-suavidad-cuidado/p</t>
        </is>
      </c>
    </row>
    <row r="823">
      <c r="A823" t="inlineStr">
        <is>
          <t>Disco</t>
        </is>
      </c>
      <c r="B823" t="n">
        <v>338981</v>
      </c>
      <c r="C823" t="n">
        <v>316514</v>
      </c>
      <c r="D823" t="inlineStr">
        <is>
          <t>Acondicionador Suave Manzanilla 930ml Acondicionador Suave Manzanilla Rubios 930 Ml</t>
        </is>
      </c>
      <c r="E823" t="inlineStr">
        <is>
          <t>SUAVE</t>
        </is>
      </c>
      <c r="F823" t="n">
        <v>322.89</v>
      </c>
      <c r="G823" t="n">
        <v>26685</v>
      </c>
      <c r="H823" t="b">
        <v>0</v>
      </c>
      <c r="I823" t="n">
        <v>930</v>
      </c>
      <c r="J823" t="n">
        <v>0.3472</v>
      </c>
      <c r="K823" t="inlineStr">
        <is>
          <t>&gt; Perfumería &gt; Cuidado Capilar &gt; Acondicionador &gt;</t>
        </is>
      </c>
      <c r="L823" t="inlineStr">
        <is>
          <t>acondicionador</t>
        </is>
      </c>
      <c r="M823" t="inlineStr">
        <is>
          <t>estandar</t>
        </is>
      </c>
      <c r="N823" t="inlineStr">
        <is>
          <t>bebe</t>
        </is>
      </c>
      <c r="O823" t="inlineStr">
        <is>
          <t>https://www.disco.com.ar/acondicionador-suave-manzanilla-930ml/p</t>
        </is>
      </c>
    </row>
    <row r="824">
      <c r="A824" s="10" t="inlineStr">
        <is>
          <t>Disco</t>
        </is>
      </c>
      <c r="B824" s="10" t="n">
        <v>337414</v>
      </c>
      <c r="C824" s="10" t="n">
        <v>336517</v>
      </c>
      <c r="D824" s="10" t="inlineStr">
        <is>
          <t>Acondicionador Dove Nutricion 750ml</t>
        </is>
      </c>
      <c r="E824" s="10" t="inlineStr">
        <is>
          <t>DOVE</t>
        </is>
      </c>
      <c r="F824" s="10" t="n">
        <v>1350</v>
      </c>
      <c r="G824" s="10" t="n">
        <v>111570</v>
      </c>
      <c r="H824" s="10" t="b">
        <v>0</v>
      </c>
      <c r="I824" s="10" t="n">
        <v>750</v>
      </c>
      <c r="J824" s="10" t="n">
        <v>1.8</v>
      </c>
      <c r="K824" s="10" t="inlineStr">
        <is>
          <t>&gt; Perfumería &gt; Cuidado Capilar &gt; Acondicionador &gt;</t>
        </is>
      </c>
      <c r="L824" s="10" t="inlineStr">
        <is>
          <t>acondicionador</t>
        </is>
      </c>
      <c r="M824" s="10" t="inlineStr">
        <is>
          <t>estandar</t>
        </is>
      </c>
      <c r="N824" s="10" t="inlineStr">
        <is>
          <t>general</t>
        </is>
      </c>
      <c r="O824" s="10" t="inlineStr">
        <is>
          <t>https://www.disco.com.ar/acondicionador-dove-nutricion-750ml-2/p</t>
        </is>
      </c>
    </row>
    <row r="825">
      <c r="A825" t="inlineStr">
        <is>
          <t>Disco</t>
        </is>
      </c>
      <c r="B825" t="n">
        <v>337410</v>
      </c>
      <c r="C825" t="n">
        <v>336513</v>
      </c>
      <c r="D825" t="inlineStr">
        <is>
          <t>Acondicionador Dove Reconstruccion 400ml</t>
        </is>
      </c>
      <c r="E825" t="inlineStr">
        <is>
          <t>DOVE</t>
        </is>
      </c>
      <c r="F825" t="n">
        <v>6400</v>
      </c>
      <c r="G825" t="n">
        <v>528926</v>
      </c>
      <c r="H825" t="b">
        <v>0</v>
      </c>
      <c r="I825" t="n">
        <v>400</v>
      </c>
      <c r="J825" t="n">
        <v>16</v>
      </c>
      <c r="K825" t="inlineStr">
        <is>
          <t>&gt; Perfumería &gt; Cuidado Capilar &gt; Acondicionador &gt;</t>
        </is>
      </c>
      <c r="L825" t="inlineStr">
        <is>
          <t>acondicionador</t>
        </is>
      </c>
      <c r="M825" t="inlineStr">
        <is>
          <t>estandar</t>
        </is>
      </c>
      <c r="N825" t="inlineStr">
        <is>
          <t>general</t>
        </is>
      </c>
      <c r="O825" t="inlineStr">
        <is>
          <t>https://www.disco.com.ar/acondicionador-dove-reconstruccion-400ml-2/p</t>
        </is>
      </c>
    </row>
    <row r="826">
      <c r="A826" s="10" t="inlineStr">
        <is>
          <t>Disco</t>
        </is>
      </c>
      <c r="B826" s="10" t="n">
        <v>337409</v>
      </c>
      <c r="C826" s="10" t="n">
        <v>336512</v>
      </c>
      <c r="D826" s="10" t="inlineStr">
        <is>
          <t>Acondicionador Dove Regeneracion 200ml</t>
        </is>
      </c>
      <c r="E826" s="10" t="inlineStr">
        <is>
          <t>DOVE</t>
        </is>
      </c>
      <c r="F826" s="10" t="n">
        <v>398.39</v>
      </c>
      <c r="G826" s="10" t="n">
        <v>32925</v>
      </c>
      <c r="H826" s="10" t="b">
        <v>0</v>
      </c>
      <c r="I826" s="10" t="n">
        <v>200</v>
      </c>
      <c r="J826" s="10" t="n">
        <v>1.9919</v>
      </c>
      <c r="K826" s="10" t="inlineStr">
        <is>
          <t>&gt; Perfumería &gt; Cuidado Capilar &gt; Acondicionador &gt;</t>
        </is>
      </c>
      <c r="L826" s="10" t="inlineStr">
        <is>
          <t>acondicionador</t>
        </is>
      </c>
      <c r="M826" s="10" t="inlineStr">
        <is>
          <t>estandar</t>
        </is>
      </c>
      <c r="N826" s="10" t="inlineStr">
        <is>
          <t>general</t>
        </is>
      </c>
      <c r="O826" s="10" t="inlineStr">
        <is>
          <t>https://www.disco.com.ar/acondicionador-dove-regeneracion-200ml-2/p</t>
        </is>
      </c>
    </row>
    <row r="827">
      <c r="A827" t="inlineStr">
        <is>
          <t>Disco</t>
        </is>
      </c>
      <c r="B827" t="n">
        <v>336805</v>
      </c>
      <c r="C827" t="n">
        <v>335907</v>
      </c>
      <c r="D827" t="inlineStr">
        <is>
          <t>Acondicionador Sedal Antifrizz 340ml</t>
        </is>
      </c>
      <c r="E827" t="inlineStr">
        <is>
          <t>SEDAL</t>
        </is>
      </c>
      <c r="F827" t="n">
        <v>286.27</v>
      </c>
      <c r="G827" t="n">
        <v>23659</v>
      </c>
      <c r="H827" t="b">
        <v>0</v>
      </c>
      <c r="I827" t="n">
        <v>340</v>
      </c>
      <c r="J827" t="n">
        <v>0.842</v>
      </c>
      <c r="K827" t="inlineStr">
        <is>
          <t>&gt; Perfumería &gt; Cuidado Capilar &gt; Acondicionador &gt;</t>
        </is>
      </c>
      <c r="L827" t="inlineStr">
        <is>
          <t>acondicionador</t>
        </is>
      </c>
      <c r="M827" t="inlineStr">
        <is>
          <t>estandar</t>
        </is>
      </c>
      <c r="N827" t="inlineStr">
        <is>
          <t>general</t>
        </is>
      </c>
      <c r="O827" t="inlineStr">
        <is>
          <t>https://www.disco.com.ar/acondicionador-sedal-antifrizz-340ml/p</t>
        </is>
      </c>
    </row>
    <row r="828">
      <c r="A828" s="10" t="inlineStr">
        <is>
          <t>Disco</t>
        </is>
      </c>
      <c r="B828" s="10" t="n">
        <v>336046</v>
      </c>
      <c r="C828" s="10" t="n">
        <v>335155</v>
      </c>
      <c r="D828" s="10" t="inlineStr">
        <is>
          <t>Acondicionador Sedal Coco 650ml</t>
        </is>
      </c>
      <c r="E828" s="10" t="inlineStr">
        <is>
          <t>SEDAL</t>
        </is>
      </c>
      <c r="F828" s="10" t="n">
        <v>457.87</v>
      </c>
      <c r="G828" s="10" t="n">
        <v>37841</v>
      </c>
      <c r="H828" s="10" t="b">
        <v>0</v>
      </c>
      <c r="I828" s="10" t="n">
        <v>650</v>
      </c>
      <c r="J828" s="10" t="n">
        <v>0.7044</v>
      </c>
      <c r="K828" s="10" t="inlineStr">
        <is>
          <t>&gt; Perfumería &gt; Cuidado Capilar &gt; Acondicionador &gt;</t>
        </is>
      </c>
      <c r="L828" s="10" t="inlineStr">
        <is>
          <t>acondicionador</t>
        </is>
      </c>
      <c r="M828" s="10" t="inlineStr">
        <is>
          <t>estandar</t>
        </is>
      </c>
      <c r="N828" s="10" t="inlineStr">
        <is>
          <t>general</t>
        </is>
      </c>
      <c r="O828" s="10" t="inlineStr">
        <is>
          <t>https://www.disco.com.ar/acondicionador-sedal-coco-650ml/p</t>
        </is>
      </c>
    </row>
    <row r="829">
      <c r="A829" t="inlineStr">
        <is>
          <t>Disco</t>
        </is>
      </c>
      <c r="B829" t="n">
        <v>332174</v>
      </c>
      <c r="C829" t="n">
        <v>331332</v>
      </c>
      <c r="D829" t="inlineStr">
        <is>
          <t>Acondicionador Plusbelle Nutricion 1lt</t>
        </is>
      </c>
      <c r="E829" t="inlineStr">
        <is>
          <t>PLUSBELLE</t>
        </is>
      </c>
      <c r="F829" t="n">
        <v>454.55</v>
      </c>
      <c r="G829" t="n">
        <v>37566</v>
      </c>
      <c r="H829" t="b">
        <v>0</v>
      </c>
      <c r="I829" t="inlineStr"/>
      <c r="J829" t="inlineStr"/>
      <c r="K829" t="inlineStr">
        <is>
          <t>&gt; Perfumería &gt; Cuidado Capilar &gt; Acondicionador &gt;</t>
        </is>
      </c>
      <c r="L829" t="inlineStr">
        <is>
          <t>acondicionador</t>
        </is>
      </c>
      <c r="M829" t="inlineStr">
        <is>
          <t>estandar</t>
        </is>
      </c>
      <c r="N829" t="inlineStr">
        <is>
          <t>general</t>
        </is>
      </c>
      <c r="O829" t="inlineStr">
        <is>
          <t>https://www.disco.com.ar/acondicionador-plusbelle-nutricion-1lt/p</t>
        </is>
      </c>
    </row>
    <row r="830">
      <c r="A830" s="10" t="inlineStr">
        <is>
          <t>Disco</t>
        </is>
      </c>
      <c r="B830" s="10" t="n">
        <v>332163</v>
      </c>
      <c r="C830" s="10" t="n">
        <v>331321</v>
      </c>
      <c r="D830" s="10" t="inlineStr">
        <is>
          <t>Acondicionador Plusbelle Frizz 970ml</t>
        </is>
      </c>
      <c r="E830" s="10" t="inlineStr">
        <is>
          <t>PLUSBELLE</t>
        </is>
      </c>
      <c r="F830" s="10" t="n">
        <v>545.47</v>
      </c>
      <c r="G830" s="10" t="n">
        <v>45080</v>
      </c>
      <c r="H830" s="10" t="b">
        <v>0</v>
      </c>
      <c r="I830" s="10" t="n">
        <v>970</v>
      </c>
      <c r="J830" s="10" t="n">
        <v>0.5623</v>
      </c>
      <c r="K830" s="10" t="inlineStr">
        <is>
          <t>&gt; Perfumería &gt; Cuidado Capilar &gt; Acondicionador &gt;</t>
        </is>
      </c>
      <c r="L830" s="10" t="inlineStr">
        <is>
          <t>acondicionador</t>
        </is>
      </c>
      <c r="M830" s="10" t="inlineStr">
        <is>
          <t>estandar</t>
        </is>
      </c>
      <c r="N830" s="10" t="inlineStr">
        <is>
          <t>general</t>
        </is>
      </c>
      <c r="O830" s="10" t="inlineStr">
        <is>
          <t>https://www.disco.com.ar/acondicionador-plusbelle-frizz-970ml/p</t>
        </is>
      </c>
    </row>
    <row r="831">
      <c r="A831" t="inlineStr">
        <is>
          <t>Disco</t>
        </is>
      </c>
      <c r="B831" t="n">
        <v>332161</v>
      </c>
      <c r="C831" t="n">
        <v>331319</v>
      </c>
      <c r="D831" t="inlineStr">
        <is>
          <t>Acondicionador Plusbelle Restructu 970ml</t>
        </is>
      </c>
      <c r="E831" t="inlineStr">
        <is>
          <t>PLUSBELLE</t>
        </is>
      </c>
      <c r="F831" t="n">
        <v>545.47</v>
      </c>
      <c r="G831" t="n">
        <v>45080</v>
      </c>
      <c r="H831" t="b">
        <v>0</v>
      </c>
      <c r="I831" t="n">
        <v>970</v>
      </c>
      <c r="J831" t="n">
        <v>0.5623</v>
      </c>
      <c r="K831" t="inlineStr">
        <is>
          <t>&gt; Perfumería &gt; Cuidado Capilar &gt; Acondicionador &gt;</t>
        </is>
      </c>
      <c r="L831" t="inlineStr">
        <is>
          <t>acondicionador</t>
        </is>
      </c>
      <c r="M831" t="inlineStr">
        <is>
          <t>estandar</t>
        </is>
      </c>
      <c r="N831" t="inlineStr">
        <is>
          <t>general</t>
        </is>
      </c>
      <c r="O831" t="inlineStr">
        <is>
          <t>https://www.disco.com.ar/acondicionador-plusbelle-restructu-970ml/p</t>
        </is>
      </c>
    </row>
    <row r="832">
      <c r="A832" s="10" t="inlineStr">
        <is>
          <t>Disco</t>
        </is>
      </c>
      <c r="B832" s="10" t="n">
        <v>331450</v>
      </c>
      <c r="C832" s="10" t="n">
        <v>330622</v>
      </c>
      <c r="D832" s="10" t="inlineStr">
        <is>
          <t>Acondicionador Fructis Goodbye 650ml</t>
        </is>
      </c>
      <c r="E832" s="10" t="inlineStr">
        <is>
          <t>FRUCTIS</t>
        </is>
      </c>
      <c r="F832" s="10" t="n">
        <v>743.79</v>
      </c>
      <c r="G832" s="10" t="n">
        <v>61470</v>
      </c>
      <c r="H832" s="10" t="b">
        <v>0</v>
      </c>
      <c r="I832" s="10" t="n">
        <v>650</v>
      </c>
      <c r="J832" s="10" t="n">
        <v>1.1443</v>
      </c>
      <c r="K832" s="10" t="inlineStr">
        <is>
          <t>&gt; Perfumería &gt; Cuidado Capilar &gt; Acondicionador &gt;</t>
        </is>
      </c>
      <c r="L832" s="10" t="inlineStr">
        <is>
          <t>acondicionador</t>
        </is>
      </c>
      <c r="M832" s="10" t="inlineStr">
        <is>
          <t>estandar</t>
        </is>
      </c>
      <c r="N832" s="10" t="inlineStr">
        <is>
          <t>general</t>
        </is>
      </c>
      <c r="O832" s="10" t="inlineStr">
        <is>
          <t>https://www.disco.com.ar/acondicionador-fructis-goodbye-650ml/p</t>
        </is>
      </c>
    </row>
    <row r="833">
      <c r="A833" t="inlineStr">
        <is>
          <t>Disco</t>
        </is>
      </c>
      <c r="B833" t="n">
        <v>331204</v>
      </c>
      <c r="C833" t="n">
        <v>330376</v>
      </c>
      <c r="D833" t="inlineStr">
        <is>
          <t>Acondicionador Plusbelle Fuerza 970ml</t>
        </is>
      </c>
      <c r="E833" t="inlineStr">
        <is>
          <t>PLUSBELLE</t>
        </is>
      </c>
      <c r="F833" t="n">
        <v>545.47</v>
      </c>
      <c r="G833" t="n">
        <v>45080</v>
      </c>
      <c r="H833" t="b">
        <v>0</v>
      </c>
      <c r="I833" t="n">
        <v>970</v>
      </c>
      <c r="J833" t="n">
        <v>0.5623</v>
      </c>
      <c r="K833" t="inlineStr">
        <is>
          <t>&gt; Perfumería &gt; Cuidado Capilar &gt; Acondicionador &gt;</t>
        </is>
      </c>
      <c r="L833" t="inlineStr">
        <is>
          <t>acondicionador</t>
        </is>
      </c>
      <c r="M833" t="inlineStr">
        <is>
          <t>estandar</t>
        </is>
      </c>
      <c r="N833" t="inlineStr">
        <is>
          <t>general</t>
        </is>
      </c>
      <c r="O833" t="inlineStr">
        <is>
          <t>https://www.disco.com.ar/acondicionador-plusbelle-fuerza-970ml/p</t>
        </is>
      </c>
    </row>
    <row r="834">
      <c r="A834" s="10" t="inlineStr">
        <is>
          <t>Disco</t>
        </is>
      </c>
      <c r="B834" s="10" t="n">
        <v>375615</v>
      </c>
      <c r="C834" s="10" t="n">
        <v>374333</v>
      </c>
      <c r="D834" s="10" t="inlineStr">
        <is>
          <t>Acondicionador Suave Coco 930ml</t>
        </is>
      </c>
      <c r="E834" s="10" t="inlineStr">
        <is>
          <t>SUAVE</t>
        </is>
      </c>
      <c r="F834" s="10" t="n">
        <v>2400</v>
      </c>
      <c r="G834" s="10" t="n">
        <v>198347</v>
      </c>
      <c r="H834" s="10" t="b">
        <v>0</v>
      </c>
      <c r="I834" s="10" t="n">
        <v>930</v>
      </c>
      <c r="J834" s="10" t="n">
        <v>2.5806</v>
      </c>
      <c r="K834" s="10" t="inlineStr">
        <is>
          <t>&gt; Perfumería &gt; Cuidado Capilar &gt; Acondicionador &gt;</t>
        </is>
      </c>
      <c r="L834" s="10" t="inlineStr">
        <is>
          <t>acondicionador</t>
        </is>
      </c>
      <c r="M834" s="10" t="inlineStr">
        <is>
          <t>estandar</t>
        </is>
      </c>
      <c r="N834" s="10" t="inlineStr">
        <is>
          <t>bebe</t>
        </is>
      </c>
      <c r="O834" s="10" t="inlineStr">
        <is>
          <t>https://www.disco.com.ar/acondicionador-suave-coco-930ml/p</t>
        </is>
      </c>
    </row>
    <row r="835">
      <c r="A835" t="inlineStr">
        <is>
          <t>Disco</t>
        </is>
      </c>
      <c r="B835" t="n">
        <v>349474</v>
      </c>
      <c r="C835" t="n">
        <v>348134</v>
      </c>
      <c r="D835" t="inlineStr">
        <is>
          <t>Acondicionador Reactivación Hidratación 1000ml</t>
        </is>
      </c>
      <c r="E835" t="inlineStr">
        <is>
          <t>PLUSBELLE</t>
        </is>
      </c>
      <c r="F835" t="n">
        <v>4000</v>
      </c>
      <c r="G835" t="n">
        <v>330579</v>
      </c>
      <c r="H835" t="b">
        <v>0</v>
      </c>
      <c r="I835" t="n">
        <v>1000</v>
      </c>
      <c r="J835" t="n">
        <v>4</v>
      </c>
      <c r="K835" t="inlineStr">
        <is>
          <t>&gt; Perfumería &gt; Cuidado Capilar &gt; Acondicionador &gt;</t>
        </is>
      </c>
      <c r="L835" t="inlineStr">
        <is>
          <t>acondicionador</t>
        </is>
      </c>
      <c r="M835" t="inlineStr">
        <is>
          <t>estandar</t>
        </is>
      </c>
      <c r="N835" t="inlineStr">
        <is>
          <t>seco_danado</t>
        </is>
      </c>
      <c r="O835" t="inlineStr">
        <is>
          <t>https://www.disco.com.ar/acondicionador-reactivacion-hidratacion-1000ml/p</t>
        </is>
      </c>
    </row>
    <row r="836">
      <c r="A836" s="10" t="inlineStr">
        <is>
          <t>Disco</t>
        </is>
      </c>
      <c r="B836" s="10" t="n">
        <v>338986</v>
      </c>
      <c r="C836" s="10" t="n">
        <v>316519</v>
      </c>
      <c r="D836" s="10" t="inlineStr">
        <is>
          <t>Acondicionador Suave Crema Nutricion Acondicionador Suave Crema Nutrición 930 Ml</t>
        </is>
      </c>
      <c r="E836" s="10" t="inlineStr">
        <is>
          <t>SUAVE</t>
        </is>
      </c>
      <c r="F836" s="10" t="n">
        <v>339.05</v>
      </c>
      <c r="G836" s="10" t="n">
        <v>28021</v>
      </c>
      <c r="H836" s="10" t="b">
        <v>0</v>
      </c>
      <c r="I836" s="10" t="n">
        <v>930</v>
      </c>
      <c r="J836" s="10" t="n">
        <v>0.3646</v>
      </c>
      <c r="K836" s="10" t="inlineStr">
        <is>
          <t>&gt; Perfumería &gt; Cuidado Capilar &gt; Acondicionador &gt;</t>
        </is>
      </c>
      <c r="L836" s="10" t="inlineStr">
        <is>
          <t>acondicionador</t>
        </is>
      </c>
      <c r="M836" s="10" t="inlineStr">
        <is>
          <t>estandar</t>
        </is>
      </c>
      <c r="N836" s="10" t="inlineStr">
        <is>
          <t>bebe</t>
        </is>
      </c>
      <c r="O836" s="10" t="inlineStr">
        <is>
          <t>https://www.disco.com.ar/acondicionador-suave-crema-nutricion/p</t>
        </is>
      </c>
    </row>
    <row r="837">
      <c r="A837" t="inlineStr">
        <is>
          <t>Disco</t>
        </is>
      </c>
      <c r="B837" t="n">
        <v>338979</v>
      </c>
      <c r="C837" t="n">
        <v>316508</v>
      </c>
      <c r="D837" t="inlineStr">
        <is>
          <t>Acondicionador Suave Lacio Antifrizz 930 Ml</t>
        </is>
      </c>
      <c r="E837" t="inlineStr">
        <is>
          <t>SUAVE</t>
        </is>
      </c>
      <c r="F837" t="n">
        <v>322.89</v>
      </c>
      <c r="G837" t="n">
        <v>26685</v>
      </c>
      <c r="H837" t="b">
        <v>0</v>
      </c>
      <c r="I837" t="n">
        <v>930</v>
      </c>
      <c r="J837" t="n">
        <v>0.3472</v>
      </c>
      <c r="K837" t="inlineStr">
        <is>
          <t>&gt; Perfumería &gt; Cuidado Capilar &gt; Acondicionador &gt;</t>
        </is>
      </c>
      <c r="L837" t="inlineStr">
        <is>
          <t>acondicionador</t>
        </is>
      </c>
      <c r="M837" t="inlineStr">
        <is>
          <t>estandar</t>
        </is>
      </c>
      <c r="N837" t="inlineStr">
        <is>
          <t>tratado</t>
        </is>
      </c>
      <c r="O837" t="inlineStr">
        <is>
          <t>https://www.disco.com.ar/acondicionador-suave-lacio-antifrizz/p</t>
        </is>
      </c>
    </row>
    <row r="838">
      <c r="A838" s="10" t="inlineStr">
        <is>
          <t>Disco</t>
        </is>
      </c>
      <c r="B838" s="10" t="n">
        <v>337417</v>
      </c>
      <c r="C838" s="10" t="n">
        <v>336520</v>
      </c>
      <c r="D838" s="10" t="inlineStr">
        <is>
          <t>Acondicionador Dove Regeneracion 750ml</t>
        </is>
      </c>
      <c r="E838" s="10" t="inlineStr">
        <is>
          <t>DOVE</t>
        </is>
      </c>
      <c r="F838" s="10" t="n">
        <v>1031.19</v>
      </c>
      <c r="G838" s="10" t="n">
        <v>85222</v>
      </c>
      <c r="H838" s="10" t="b">
        <v>0</v>
      </c>
      <c r="I838" s="10" t="n">
        <v>750</v>
      </c>
      <c r="J838" s="10" t="n">
        <v>1.3749</v>
      </c>
      <c r="K838" s="10" t="inlineStr">
        <is>
          <t>&gt; Perfumería &gt; Cuidado Capilar &gt; Acondicionador &gt;</t>
        </is>
      </c>
      <c r="L838" s="10" t="inlineStr">
        <is>
          <t>acondicionador</t>
        </is>
      </c>
      <c r="M838" s="10" t="inlineStr">
        <is>
          <t>estandar</t>
        </is>
      </c>
      <c r="N838" s="10" t="inlineStr">
        <is>
          <t>general</t>
        </is>
      </c>
      <c r="O838" s="10" t="inlineStr">
        <is>
          <t>https://www.disco.com.ar/acondicionador-dove-regeneracion-750ml-2/p</t>
        </is>
      </c>
    </row>
    <row r="839">
      <c r="A839" t="inlineStr">
        <is>
          <t>Disco</t>
        </is>
      </c>
      <c r="B839" t="n">
        <v>337412</v>
      </c>
      <c r="C839" t="n">
        <v>336515</v>
      </c>
      <c r="D839" t="inlineStr">
        <is>
          <t>Acondicionador Dove Regeneracion 400ml</t>
        </is>
      </c>
      <c r="E839" t="inlineStr">
        <is>
          <t>DOVE</t>
        </is>
      </c>
      <c r="F839" t="n">
        <v>603.09</v>
      </c>
      <c r="G839" t="n">
        <v>49842</v>
      </c>
      <c r="H839" t="b">
        <v>0</v>
      </c>
      <c r="I839" t="n">
        <v>400</v>
      </c>
      <c r="J839" t="n">
        <v>1.5077</v>
      </c>
      <c r="K839" t="inlineStr">
        <is>
          <t>&gt; Perfumería &gt; Cuidado Capilar &gt; Acondicionador &gt;</t>
        </is>
      </c>
      <c r="L839" t="inlineStr">
        <is>
          <t>acondicionador</t>
        </is>
      </c>
      <c r="M839" t="inlineStr">
        <is>
          <t>estandar</t>
        </is>
      </c>
      <c r="N839" t="inlineStr">
        <is>
          <t>general</t>
        </is>
      </c>
      <c r="O839" t="inlineStr">
        <is>
          <t>https://www.disco.com.ar/acondicionador-dove-regeneracion-400ml-2/p</t>
        </is>
      </c>
    </row>
    <row r="840">
      <c r="A840" s="10" t="inlineStr">
        <is>
          <t>Disco</t>
        </is>
      </c>
      <c r="B840" s="10" t="n">
        <v>332178</v>
      </c>
      <c r="C840" s="10" t="n">
        <v>331336</v>
      </c>
      <c r="D840" s="10" t="inlineStr">
        <is>
          <t>Acondicionador Plusbelle Suavidad 1lt</t>
        </is>
      </c>
      <c r="E840" s="10" t="inlineStr">
        <is>
          <t>PLUSBELLE</t>
        </is>
      </c>
      <c r="F840" s="10" t="n">
        <v>454.55</v>
      </c>
      <c r="G840" s="10" t="n">
        <v>37566</v>
      </c>
      <c r="H840" s="10" t="b">
        <v>0</v>
      </c>
      <c r="I840" s="10" t="inlineStr"/>
      <c r="J840" s="10" t="inlineStr"/>
      <c r="K840" s="10" t="inlineStr">
        <is>
          <t>&gt; Perfumería &gt; Cuidado Capilar &gt; Acondicionador &gt;</t>
        </is>
      </c>
      <c r="L840" s="10" t="inlineStr">
        <is>
          <t>acondicionador</t>
        </is>
      </c>
      <c r="M840" s="10" t="inlineStr">
        <is>
          <t>estandar</t>
        </is>
      </c>
      <c r="N840" s="10" t="inlineStr">
        <is>
          <t>general</t>
        </is>
      </c>
      <c r="O840" s="10" t="inlineStr">
        <is>
          <t>https://www.disco.com.ar/acondicionador-plusbelle-suavidad-1lt/p</t>
        </is>
      </c>
    </row>
    <row r="841">
      <c r="A841" t="inlineStr">
        <is>
          <t>Disco</t>
        </is>
      </c>
      <c r="B841" t="n">
        <v>332169</v>
      </c>
      <c r="C841" t="n">
        <v>331327</v>
      </c>
      <c r="D841" t="inlineStr">
        <is>
          <t>Acondicionador Plusbelle Detox 1lt</t>
        </is>
      </c>
      <c r="E841" t="inlineStr">
        <is>
          <t>PLUSBELLE</t>
        </is>
      </c>
      <c r="F841" t="n">
        <v>454.53</v>
      </c>
      <c r="G841" t="n">
        <v>37564</v>
      </c>
      <c r="H841" t="b">
        <v>0</v>
      </c>
      <c r="I841" t="inlineStr"/>
      <c r="J841" t="inlineStr"/>
      <c r="K841" t="inlineStr">
        <is>
          <t>&gt; Perfumería &gt; Cuidado Capilar &gt; Acondicionador &gt;</t>
        </is>
      </c>
      <c r="L841" t="inlineStr">
        <is>
          <t>acondicionador</t>
        </is>
      </c>
      <c r="M841" t="inlineStr">
        <is>
          <t>estandar</t>
        </is>
      </c>
      <c r="N841" t="inlineStr">
        <is>
          <t>general</t>
        </is>
      </c>
      <c r="O841" t="inlineStr">
        <is>
          <t>https://www.disco.com.ar/acondicionador-plusbelle-detox-1lt/p</t>
        </is>
      </c>
    </row>
    <row r="842">
      <c r="A842" s="10" t="inlineStr">
        <is>
          <t>Disco</t>
        </is>
      </c>
      <c r="B842" s="10" t="n">
        <v>331203</v>
      </c>
      <c r="C842" s="10" t="n">
        <v>330375</v>
      </c>
      <c r="D842" s="10" t="inlineStr">
        <is>
          <t>Acondicionador Plusbelle Proteccion 1lt</t>
        </is>
      </c>
      <c r="E842" s="10" t="inlineStr">
        <is>
          <t>PLUSBELLE</t>
        </is>
      </c>
      <c r="F842" s="10" t="n">
        <v>454.53</v>
      </c>
      <c r="G842" s="10" t="n">
        <v>37564</v>
      </c>
      <c r="H842" s="10" t="b">
        <v>0</v>
      </c>
      <c r="I842" s="10" t="inlineStr"/>
      <c r="J842" s="10" t="inlineStr"/>
      <c r="K842" s="10" t="inlineStr">
        <is>
          <t>&gt; Perfumería &gt; Cuidado Capilar &gt; Acondicionador &gt;</t>
        </is>
      </c>
      <c r="L842" s="10" t="inlineStr">
        <is>
          <t>acondicionador</t>
        </is>
      </c>
      <c r="M842" s="10" t="inlineStr">
        <is>
          <t>estandar</t>
        </is>
      </c>
      <c r="N842" s="10" t="inlineStr">
        <is>
          <t>general</t>
        </is>
      </c>
      <c r="O842" s="10" t="inlineStr">
        <is>
          <t>https://www.disco.com.ar/acondicionador-plusbelle-proteccion-1lt/p</t>
        </is>
      </c>
    </row>
    <row r="843">
      <c r="A843" t="inlineStr">
        <is>
          <t>Disco</t>
        </is>
      </c>
      <c r="B843" t="n">
        <v>317282</v>
      </c>
      <c r="C843" t="n">
        <v>316528</v>
      </c>
      <c r="D843" t="inlineStr">
        <is>
          <t>Acondicionador Sedal Carbon 340ml</t>
        </is>
      </c>
      <c r="E843" t="inlineStr">
        <is>
          <t>SEDAL</t>
        </is>
      </c>
      <c r="F843" t="n">
        <v>286.27</v>
      </c>
      <c r="G843" t="n">
        <v>23659</v>
      </c>
      <c r="H843" t="b">
        <v>0</v>
      </c>
      <c r="I843" t="n">
        <v>340</v>
      </c>
      <c r="J843" t="n">
        <v>0.842</v>
      </c>
      <c r="K843" t="inlineStr">
        <is>
          <t>&gt; Perfumería &gt; Cuidado Capilar &gt; Acondicionador &gt;</t>
        </is>
      </c>
      <c r="L843" t="inlineStr">
        <is>
          <t>acondicionador</t>
        </is>
      </c>
      <c r="M843" t="inlineStr">
        <is>
          <t>estandar</t>
        </is>
      </c>
      <c r="N843" t="inlineStr">
        <is>
          <t>general</t>
        </is>
      </c>
      <c r="O843" t="inlineStr">
        <is>
          <t>https://www.disco.com.ar/acondicionador-sedal-carbon-340ml/p</t>
        </is>
      </c>
    </row>
    <row r="844">
      <c r="A844" s="10" t="inlineStr">
        <is>
          <t>Disco</t>
        </is>
      </c>
      <c r="B844" s="10" t="n">
        <v>317281</v>
      </c>
      <c r="C844" s="10" t="n">
        <v>316527</v>
      </c>
      <c r="D844" s="10" t="inlineStr">
        <is>
          <t>Acondicionador Sedal Carbon 190ml</t>
        </is>
      </c>
      <c r="E844" s="10" t="inlineStr">
        <is>
          <t>SEDAL</t>
        </is>
      </c>
      <c r="F844" s="10" t="n">
        <v>219.53</v>
      </c>
      <c r="G844" s="10" t="n">
        <v>18143</v>
      </c>
      <c r="H844" s="10" t="b">
        <v>0</v>
      </c>
      <c r="I844" s="10" t="n">
        <v>190</v>
      </c>
      <c r="J844" s="10" t="n">
        <v>1.1554</v>
      </c>
      <c r="K844" s="10" t="inlineStr">
        <is>
          <t>&gt; Perfumería &gt; Cuidado Capilar &gt; Acondicionador &gt;</t>
        </is>
      </c>
      <c r="L844" s="10" t="inlineStr">
        <is>
          <t>acondicionador</t>
        </is>
      </c>
      <c r="M844" s="10" t="inlineStr">
        <is>
          <t>estandar</t>
        </is>
      </c>
      <c r="N844" s="10" t="inlineStr">
        <is>
          <t>general</t>
        </is>
      </c>
      <c r="O844" s="10" t="inlineStr">
        <is>
          <t>https://www.disco.com.ar/acondicionador-sedal-carbon-190ml/p</t>
        </is>
      </c>
    </row>
    <row r="845">
      <c r="A845" t="inlineStr">
        <is>
          <t>Disco</t>
        </is>
      </c>
      <c r="B845" t="n">
        <v>312944</v>
      </c>
      <c r="C845" t="n">
        <v>312182</v>
      </c>
      <c r="D845" t="inlineStr">
        <is>
          <t>Acondicionador Biferdil Perla 255ml</t>
        </is>
      </c>
      <c r="E845" t="inlineStr">
        <is>
          <t>BIFERDIL</t>
        </is>
      </c>
      <c r="F845" t="n">
        <v>742.89</v>
      </c>
      <c r="G845" t="n">
        <v>61396</v>
      </c>
      <c r="H845" t="b">
        <v>0</v>
      </c>
      <c r="I845" t="n">
        <v>255</v>
      </c>
      <c r="J845" t="n">
        <v>2.9133</v>
      </c>
      <c r="K845" t="inlineStr">
        <is>
          <t>&gt; Perfumería &gt; Cuidado Capilar &gt; Reparación y Tratamientos &gt;</t>
        </is>
      </c>
      <c r="L845" t="inlineStr">
        <is>
          <t>acondicionador</t>
        </is>
      </c>
      <c r="M845" t="inlineStr">
        <is>
          <t>estandar</t>
        </is>
      </c>
      <c r="N845" t="inlineStr">
        <is>
          <t>general</t>
        </is>
      </c>
      <c r="O845" t="inlineStr">
        <is>
          <t>https://www.disco.com.ar/acondicionador-biferdil-perla-255ml/p</t>
        </is>
      </c>
    </row>
    <row r="846">
      <c r="A846" s="10" t="inlineStr">
        <is>
          <t>Disco</t>
        </is>
      </c>
      <c r="B846" s="10" t="n">
        <v>312459</v>
      </c>
      <c r="C846" s="10" t="n">
        <v>311697</v>
      </c>
      <c r="D846" s="10" t="inlineStr">
        <is>
          <t>Acondicionador Fuerza Reparadora 1lt.</t>
        </is>
      </c>
      <c r="E846" s="10" t="inlineStr">
        <is>
          <t>PLUSBELLE</t>
        </is>
      </c>
      <c r="F846" s="10" t="n">
        <v>259.39</v>
      </c>
      <c r="G846" s="10" t="n">
        <v>21437</v>
      </c>
      <c r="H846" s="10" t="b">
        <v>0</v>
      </c>
      <c r="I846" s="10" t="inlineStr"/>
      <c r="J846" s="10" t="inlineStr"/>
      <c r="K846" s="10" t="inlineStr">
        <is>
          <t>&gt; Perfumería &gt; Cuidado Capilar &gt; Acondicionador &gt;</t>
        </is>
      </c>
      <c r="L846" s="10" t="inlineStr">
        <is>
          <t>acondicionador</t>
        </is>
      </c>
      <c r="M846" s="10" t="inlineStr">
        <is>
          <t>estandar</t>
        </is>
      </c>
      <c r="N846" s="10" t="inlineStr">
        <is>
          <t>general</t>
        </is>
      </c>
      <c r="O846" s="10" t="inlineStr">
        <is>
          <t>https://www.disco.com.ar/acondicionador-fuerza-reparadora-1lt/p</t>
        </is>
      </c>
    </row>
    <row r="847">
      <c r="A847" t="inlineStr">
        <is>
          <t>Disco</t>
        </is>
      </c>
      <c r="B847" t="n">
        <v>307962</v>
      </c>
      <c r="C847" t="n">
        <v>307200</v>
      </c>
      <c r="D847" t="inlineStr">
        <is>
          <t>Acondicionador Algabo Coco 930ml</t>
        </is>
      </c>
      <c r="E847" t="inlineStr">
        <is>
          <t>ALGABO</t>
        </is>
      </c>
      <c r="F847" t="n">
        <v>113.09</v>
      </c>
      <c r="G847" t="n">
        <v>9346</v>
      </c>
      <c r="H847" t="b">
        <v>0</v>
      </c>
      <c r="I847" t="n">
        <v>930</v>
      </c>
      <c r="J847" t="n">
        <v>0.1216</v>
      </c>
      <c r="K847" t="inlineStr">
        <is>
          <t>&gt; Perfumería &gt; Cuidado Capilar &gt; Acondicionador &gt;</t>
        </is>
      </c>
      <c r="L847" t="inlineStr">
        <is>
          <t>acondicionador</t>
        </is>
      </c>
      <c r="M847" t="inlineStr">
        <is>
          <t>estandar</t>
        </is>
      </c>
      <c r="N847" t="inlineStr">
        <is>
          <t>general</t>
        </is>
      </c>
      <c r="O847" t="inlineStr">
        <is>
          <t>https://www.disco.com.ar/acondicionador-algabo-coco-930ml/p</t>
        </is>
      </c>
    </row>
    <row r="848">
      <c r="A848" s="10" t="inlineStr">
        <is>
          <t>Disco</t>
        </is>
      </c>
      <c r="B848" s="10" t="n">
        <v>307903</v>
      </c>
      <c r="C848" s="10" t="n">
        <v>307141</v>
      </c>
      <c r="D848" s="10" t="inlineStr">
        <is>
          <t>Acondicionador Polyana Hidratacion 300ml</t>
        </is>
      </c>
      <c r="E848" s="10" t="inlineStr">
        <is>
          <t>POLYANA</t>
        </is>
      </c>
      <c r="F848" s="10" t="n">
        <v>51.47</v>
      </c>
      <c r="G848" s="10" t="n">
        <v>4254</v>
      </c>
      <c r="H848" s="10" t="b">
        <v>0</v>
      </c>
      <c r="I848" s="10" t="n">
        <v>300</v>
      </c>
      <c r="J848" s="10" t="n">
        <v>0.1716</v>
      </c>
      <c r="K848" s="10" t="inlineStr">
        <is>
          <t>&gt; Perfumería &gt; Cuidado Capilar &gt; Acondicionador &gt;</t>
        </is>
      </c>
      <c r="L848" s="10" t="inlineStr">
        <is>
          <t>acondicionador</t>
        </is>
      </c>
      <c r="M848" s="10" t="inlineStr">
        <is>
          <t>estandar</t>
        </is>
      </c>
      <c r="N848" s="10" t="inlineStr">
        <is>
          <t>seco_danado</t>
        </is>
      </c>
      <c r="O848" s="10" t="inlineStr">
        <is>
          <t>https://www.disco.com.ar/acondicionador-polyana-hidratacion-300ml/p</t>
        </is>
      </c>
    </row>
    <row r="849">
      <c r="A849" t="inlineStr">
        <is>
          <t>Disco</t>
        </is>
      </c>
      <c r="B849" t="n">
        <v>289219</v>
      </c>
      <c r="C849" t="n">
        <v>288466</v>
      </c>
      <c r="D849" t="inlineStr">
        <is>
          <t>Acondicionador De Cuero Wassington Incoloro</t>
        </is>
      </c>
      <c r="E849" t="inlineStr">
        <is>
          <t>WASSINGTON</t>
        </is>
      </c>
      <c r="F849" t="n">
        <v>227.59</v>
      </c>
      <c r="G849" t="n">
        <v>227.59</v>
      </c>
      <c r="H849" t="b">
        <v>0</v>
      </c>
      <c r="I849" t="inlineStr"/>
      <c r="J849" t="inlineStr"/>
      <c r="K849" t="inlineStr">
        <is>
          <t>&gt; Limpieza &gt; Calzado &gt; Brillos y Revividores &gt;</t>
        </is>
      </c>
      <c r="L849" t="inlineStr">
        <is>
          <t>acondicionador</t>
        </is>
      </c>
      <c r="M849" t="inlineStr">
        <is>
          <t>estandar</t>
        </is>
      </c>
      <c r="N849" t="inlineStr">
        <is>
          <t>tratado</t>
        </is>
      </c>
      <c r="O849" t="inlineStr">
        <is>
          <t>https://www.disco.com.ar/acondicionador-de-cuero-wassington-incoloro/p</t>
        </is>
      </c>
    </row>
    <row r="850">
      <c r="A850" s="10" t="inlineStr">
        <is>
          <t>Disco</t>
        </is>
      </c>
      <c r="B850" s="10" t="n">
        <v>288749</v>
      </c>
      <c r="C850" s="10" t="n">
        <v>287996</v>
      </c>
      <c r="D850" s="10" t="inlineStr">
        <is>
          <t>Acondicionador Elvive Desenredante 200ml</t>
        </is>
      </c>
      <c r="E850" s="10" t="inlineStr">
        <is>
          <t>ELVIVE</t>
        </is>
      </c>
      <c r="F850" s="10" t="n">
        <v>290.85</v>
      </c>
      <c r="G850" s="10" t="n">
        <v>24037</v>
      </c>
      <c r="H850" s="10" t="b">
        <v>0</v>
      </c>
      <c r="I850" s="10" t="n">
        <v>200</v>
      </c>
      <c r="J850" s="10" t="n">
        <v>1.4543</v>
      </c>
      <c r="K850" s="10" t="inlineStr">
        <is>
          <t>&gt; Perfumería &gt; Cuidado Capilar &gt; Acondicionador &gt;</t>
        </is>
      </c>
      <c r="L850" s="10" t="inlineStr">
        <is>
          <t>acondicionador</t>
        </is>
      </c>
      <c r="M850" s="10" t="inlineStr">
        <is>
          <t>profesional</t>
        </is>
      </c>
      <c r="N850" s="10" t="inlineStr">
        <is>
          <t>general</t>
        </is>
      </c>
      <c r="O850" s="10" t="inlineStr">
        <is>
          <t>https://www.disco.com.ar/acondicionador-elvive-desenredante-200ml/p</t>
        </is>
      </c>
    </row>
    <row r="851">
      <c r="A851" t="inlineStr">
        <is>
          <t>Disco</t>
        </is>
      </c>
      <c r="B851" t="n">
        <v>263623</v>
      </c>
      <c r="C851" t="n">
        <v>263343</v>
      </c>
      <c r="D851" t="inlineStr">
        <is>
          <t>Acondicionador Dove Hidratacion 400ml</t>
        </is>
      </c>
      <c r="E851" t="inlineStr">
        <is>
          <t>DOVE</t>
        </is>
      </c>
      <c r="F851" t="n">
        <v>549.95</v>
      </c>
      <c r="G851" t="n">
        <v>45450</v>
      </c>
      <c r="H851" t="b">
        <v>0</v>
      </c>
      <c r="I851" t="n">
        <v>400</v>
      </c>
      <c r="J851" t="n">
        <v>1.3749</v>
      </c>
      <c r="K851" t="inlineStr">
        <is>
          <t>&gt; Perfumería &gt; Cuidado Capilar &gt; Acondicionador &gt;</t>
        </is>
      </c>
      <c r="L851" t="inlineStr">
        <is>
          <t>acondicionador</t>
        </is>
      </c>
      <c r="M851" t="inlineStr">
        <is>
          <t>estandar</t>
        </is>
      </c>
      <c r="N851" t="inlineStr">
        <is>
          <t>seco_danado</t>
        </is>
      </c>
      <c r="O851" t="inlineStr">
        <is>
          <t>https://www.disco.com.ar/acondicionador-dove-hidratacion-400ml/p</t>
        </is>
      </c>
    </row>
    <row r="852">
      <c r="A852" s="10" t="inlineStr">
        <is>
          <t>Disco</t>
        </is>
      </c>
      <c r="B852" s="10" t="n">
        <v>238859</v>
      </c>
      <c r="C852" s="10" t="n">
        <v>202536</v>
      </c>
      <c r="D852" s="10" t="inlineStr">
        <is>
          <t>Acondicionador Davor Cabellos Grasos</t>
        </is>
      </c>
      <c r="E852" s="10" t="inlineStr">
        <is>
          <t>DAVOR</t>
        </is>
      </c>
      <c r="F852" s="10" t="n">
        <v>11.94</v>
      </c>
      <c r="G852" s="10" t="n">
        <v>11.94</v>
      </c>
      <c r="H852" s="10" t="b">
        <v>0</v>
      </c>
      <c r="I852" s="10" t="inlineStr"/>
      <c r="J852" s="10" t="inlineStr"/>
      <c r="K852" s="10" t="inlineStr">
        <is>
          <t>&gt; Perfumería &gt; Cuidado Capilar &gt; Acondicionador &gt;</t>
        </is>
      </c>
      <c r="L852" s="10" t="inlineStr">
        <is>
          <t>acondicionador</t>
        </is>
      </c>
      <c r="M852" s="10" t="inlineStr">
        <is>
          <t>estandar</t>
        </is>
      </c>
      <c r="N852" s="10" t="inlineStr">
        <is>
          <t>graso</t>
        </is>
      </c>
      <c r="O852" s="10" t="inlineStr">
        <is>
          <t>https://www.disco.com.ar/acondicionador-davor-cabellos-grasos-274812/p</t>
        </is>
      </c>
    </row>
    <row r="853">
      <c r="A853" t="inlineStr">
        <is>
          <t>Disco</t>
        </is>
      </c>
      <c r="B853" t="n">
        <v>235838</v>
      </c>
      <c r="C853" t="n">
        <v>205156</v>
      </c>
      <c r="D853" t="inlineStr">
        <is>
          <t>Acondicionador Sedal Sos Balance</t>
        </is>
      </c>
      <c r="E853" t="inlineStr">
        <is>
          <t>SEDAL SOS</t>
        </is>
      </c>
      <c r="F853" t="n">
        <v>14.45</v>
      </c>
      <c r="G853" t="n">
        <v>14.45</v>
      </c>
      <c r="H853" t="b">
        <v>0</v>
      </c>
      <c r="I853" t="inlineStr"/>
      <c r="J853" t="inlineStr"/>
      <c r="K853" t="inlineStr">
        <is>
          <t>&gt; Perfumería &gt; Cuidado Capilar &gt; Acondicionador &gt;</t>
        </is>
      </c>
      <c r="L853" t="inlineStr">
        <is>
          <t>acondicionador</t>
        </is>
      </c>
      <c r="M853" t="inlineStr">
        <is>
          <t>estandar</t>
        </is>
      </c>
      <c r="N853" t="inlineStr">
        <is>
          <t>general</t>
        </is>
      </c>
      <c r="O853" t="inlineStr">
        <is>
          <t>https://www.disco.com.ar/acondicionador-sedal-sos-balance-271241/p</t>
        </is>
      </c>
    </row>
    <row r="854">
      <c r="A854" s="10" t="inlineStr">
        <is>
          <t>Disco</t>
        </is>
      </c>
      <c r="B854" s="10" t="n">
        <v>124020</v>
      </c>
      <c r="C854" s="10" t="n">
        <v>123022</v>
      </c>
      <c r="D854" s="10" t="inlineStr">
        <is>
          <t>Acondicionador Sedal Para El Pelo</t>
        </is>
      </c>
      <c r="E854" s="10" t="inlineStr">
        <is>
          <t>SEDAL</t>
        </is>
      </c>
      <c r="F854" s="10" t="n">
        <v>7.09</v>
      </c>
      <c r="G854" s="10" t="n">
        <v>7.09</v>
      </c>
      <c r="H854" s="10" t="b">
        <v>0</v>
      </c>
      <c r="I854" s="10" t="inlineStr"/>
      <c r="J854" s="10" t="inlineStr"/>
      <c r="K854" s="10" t="inlineStr">
        <is>
          <t>&gt; Perfumería &gt; Cuidado Capilar &gt; Acondicionador &gt;</t>
        </is>
      </c>
      <c r="L854" s="10" t="inlineStr">
        <is>
          <t>acondicionador</t>
        </is>
      </c>
      <c r="M854" s="10" t="inlineStr">
        <is>
          <t>estandar</t>
        </is>
      </c>
      <c r="N854" s="10" t="inlineStr">
        <is>
          <t>general</t>
        </is>
      </c>
      <c r="O854" s="10" t="inlineStr">
        <is>
          <t>https://www.disco.com.ar/acondicionador-sedal-para-el-pelo/p</t>
        </is>
      </c>
    </row>
    <row r="855">
      <c r="A855" t="inlineStr">
        <is>
          <t>Disco</t>
        </is>
      </c>
      <c r="B855" t="n">
        <v>111905</v>
      </c>
      <c r="C855" t="n">
        <v>78724</v>
      </c>
      <c r="D855" t="inlineStr">
        <is>
          <t>Acondicionador Para Pisos Echo</t>
        </is>
      </c>
      <c r="E855" t="inlineStr">
        <is>
          <t>ECHO</t>
        </is>
      </c>
      <c r="F855" t="n">
        <v>4.29</v>
      </c>
      <c r="G855" t="n">
        <v>4.29</v>
      </c>
      <c r="H855" t="b">
        <v>0</v>
      </c>
      <c r="I855" t="inlineStr"/>
      <c r="J855" t="inlineStr"/>
      <c r="K855" t="inlineStr">
        <is>
          <t>&gt; Limpieza &gt; Limpieza de Pisos y Muebles &gt; Ceras y Autobrillos &gt;</t>
        </is>
      </c>
      <c r="L855" t="inlineStr">
        <is>
          <t>acondicionador</t>
        </is>
      </c>
      <c r="M855" t="inlineStr">
        <is>
          <t>estandar</t>
        </is>
      </c>
      <c r="N855" t="inlineStr">
        <is>
          <t>general</t>
        </is>
      </c>
      <c r="O855" t="inlineStr">
        <is>
          <t>https://www.disco.com.ar/acondicionador-para-pisos-echo-13/p</t>
        </is>
      </c>
    </row>
    <row r="856">
      <c r="A856" s="10" t="inlineStr">
        <is>
          <t>Disco</t>
        </is>
      </c>
      <c r="B856" s="10" t="n">
        <v>95394</v>
      </c>
      <c r="C856" s="10" t="n">
        <v>92720</v>
      </c>
      <c r="D856" s="10" t="inlineStr">
        <is>
          <t>Acondicionador Vo5 Cosmetico P</t>
        </is>
      </c>
      <c r="E856" s="10" t="inlineStr">
        <is>
          <t>VO5</t>
        </is>
      </c>
      <c r="F856" s="10" t="n">
        <v>5.69</v>
      </c>
      <c r="G856" s="10" t="n">
        <v>5.69</v>
      </c>
      <c r="H856" s="10" t="b">
        <v>0</v>
      </c>
      <c r="I856" s="10" t="inlineStr"/>
      <c r="J856" s="10" t="inlineStr"/>
      <c r="K856" s="10" t="inlineStr">
        <is>
          <t>&gt; Perfumería &gt; Cuidado Capilar &gt; Acondicionador &gt;</t>
        </is>
      </c>
      <c r="L856" s="10" t="inlineStr">
        <is>
          <t>acondicionador</t>
        </is>
      </c>
      <c r="M856" s="10" t="inlineStr">
        <is>
          <t>estandar</t>
        </is>
      </c>
      <c r="N856" s="10" t="inlineStr">
        <is>
          <t>general</t>
        </is>
      </c>
      <c r="O856" s="10" t="inlineStr">
        <is>
          <t>https://www.disco.com.ar/acondicionador-vo5-cosmetico-p-2/p</t>
        </is>
      </c>
    </row>
    <row r="857">
      <c r="A857" t="inlineStr">
        <is>
          <t>Disco</t>
        </is>
      </c>
      <c r="B857" t="n">
        <v>60118</v>
      </c>
      <c r="C857" t="n">
        <v>57267</v>
      </c>
      <c r="D857" t="inlineStr">
        <is>
          <t>Acondicionador Para Pisos Echo</t>
        </is>
      </c>
      <c r="E857" t="inlineStr">
        <is>
          <t>ECHO</t>
        </is>
      </c>
      <c r="F857" t="n">
        <v>4.29</v>
      </c>
      <c r="G857" t="n">
        <v>4.29</v>
      </c>
      <c r="H857" t="b">
        <v>0</v>
      </c>
      <c r="I857" t="inlineStr"/>
      <c r="J857" t="inlineStr"/>
      <c r="K857" t="inlineStr">
        <is>
          <t>&gt; Limpieza &gt; Limpieza de Pisos y Muebles &gt; Ceras y Autobrillos &gt;</t>
        </is>
      </c>
      <c r="L857" t="inlineStr">
        <is>
          <t>acondicionador</t>
        </is>
      </c>
      <c r="M857" t="inlineStr">
        <is>
          <t>estandar</t>
        </is>
      </c>
      <c r="N857" t="inlineStr">
        <is>
          <t>general</t>
        </is>
      </c>
      <c r="O857" t="inlineStr">
        <is>
          <t>https://www.disco.com.ar/acondicionador-para-pisos-echo-14/p</t>
        </is>
      </c>
    </row>
    <row r="858">
      <c r="A858" s="10" t="inlineStr">
        <is>
          <t>Disco</t>
        </is>
      </c>
      <c r="B858" s="10" t="n">
        <v>41864</v>
      </c>
      <c r="C858" s="10" t="n">
        <v>39028</v>
      </c>
      <c r="D858" s="10" t="inlineStr">
        <is>
          <t>Acondicionador Fructis Brillo 200ml</t>
        </is>
      </c>
      <c r="E858" s="10" t="inlineStr">
        <is>
          <t>FRUCTIS</t>
        </is>
      </c>
      <c r="F858" s="10" t="n">
        <v>233.45</v>
      </c>
      <c r="G858" s="10" t="n">
        <v>19293</v>
      </c>
      <c r="H858" s="10" t="b">
        <v>0</v>
      </c>
      <c r="I858" s="10" t="n">
        <v>200</v>
      </c>
      <c r="J858" s="10" t="n">
        <v>1.1672</v>
      </c>
      <c r="K858" s="10" t="inlineStr">
        <is>
          <t>&gt; Perfumería &gt; Cuidado Capilar &gt; Acondicionador &gt;</t>
        </is>
      </c>
      <c r="L858" s="10" t="inlineStr">
        <is>
          <t>acondicionador</t>
        </is>
      </c>
      <c r="M858" s="10" t="inlineStr">
        <is>
          <t>estandar</t>
        </is>
      </c>
      <c r="N858" s="10" t="inlineStr">
        <is>
          <t>general</t>
        </is>
      </c>
      <c r="O858" s="10" t="inlineStr">
        <is>
          <t>https://www.disco.com.ar/acondicionador-fructis-brillo-200ml-2/p</t>
        </is>
      </c>
    </row>
    <row r="859">
      <c r="A859" t="inlineStr">
        <is>
          <t>Disco</t>
        </is>
      </c>
      <c r="B859" t="n">
        <v>41720</v>
      </c>
      <c r="C859" t="n">
        <v>38884</v>
      </c>
      <c r="D859" t="inlineStr">
        <is>
          <t>Acondicionador Fructis Control 350ml</t>
        </is>
      </c>
      <c r="E859" t="inlineStr">
        <is>
          <t>FRUCTIS</t>
        </is>
      </c>
      <c r="F859" t="n">
        <v>403.25</v>
      </c>
      <c r="G859" t="n">
        <v>33326</v>
      </c>
      <c r="H859" t="b">
        <v>0</v>
      </c>
      <c r="I859" t="n">
        <v>350</v>
      </c>
      <c r="J859" t="n">
        <v>1.1521</v>
      </c>
      <c r="K859" t="inlineStr">
        <is>
          <t>&gt; Perfumería &gt; Cuidado Capilar &gt; Acondicionador &gt;</t>
        </is>
      </c>
      <c r="L859" t="inlineStr">
        <is>
          <t>acondicionador</t>
        </is>
      </c>
      <c r="M859" t="inlineStr">
        <is>
          <t>estandar</t>
        </is>
      </c>
      <c r="N859" t="inlineStr">
        <is>
          <t>general</t>
        </is>
      </c>
      <c r="O859" t="inlineStr">
        <is>
          <t>https://www.disco.com.ar/acondicionador-fructis-control-350ml-2/p</t>
        </is>
      </c>
    </row>
    <row r="860">
      <c r="A860" s="10" t="inlineStr">
        <is>
          <t>Disco</t>
        </is>
      </c>
      <c r="B860" s="10" t="n">
        <v>41692</v>
      </c>
      <c r="C860" s="10" t="n">
        <v>38856</v>
      </c>
      <c r="D860" s="10" t="inlineStr">
        <is>
          <t>Acondicionador Fructis Control 200ml</t>
        </is>
      </c>
      <c r="E860" s="10" t="inlineStr">
        <is>
          <t>FRUCTIS</t>
        </is>
      </c>
      <c r="F860" s="10" t="n">
        <v>233.45</v>
      </c>
      <c r="G860" s="10" t="n">
        <v>19293</v>
      </c>
      <c r="H860" s="10" t="b">
        <v>0</v>
      </c>
      <c r="I860" s="10" t="n">
        <v>200</v>
      </c>
      <c r="J860" s="10" t="n">
        <v>1.1672</v>
      </c>
      <c r="K860" s="10" t="inlineStr">
        <is>
          <t>&gt; Perfumería &gt; Cuidado Capilar &gt; Acondicionador &gt;</t>
        </is>
      </c>
      <c r="L860" s="10" t="inlineStr">
        <is>
          <t>acondicionador</t>
        </is>
      </c>
      <c r="M860" s="10" t="inlineStr">
        <is>
          <t>estandar</t>
        </is>
      </c>
      <c r="N860" s="10" t="inlineStr">
        <is>
          <t>general</t>
        </is>
      </c>
      <c r="O860" s="10" t="inlineStr">
        <is>
          <t>https://www.disco.com.ar/acondicionador-fructis-control-200ml-2/p</t>
        </is>
      </c>
    </row>
    <row r="861">
      <c r="A861" t="inlineStr">
        <is>
          <t>Disco</t>
        </is>
      </c>
      <c r="B861" t="n">
        <v>41574</v>
      </c>
      <c r="C861" t="n">
        <v>38739</v>
      </c>
      <c r="D861" t="inlineStr">
        <is>
          <t>Acondicionador Fructis Brillo 650ml</t>
        </is>
      </c>
      <c r="E861" t="inlineStr">
        <is>
          <t>FRUCTIS</t>
        </is>
      </c>
      <c r="F861" t="n">
        <v>415.89</v>
      </c>
      <c r="G861" t="n">
        <v>34371</v>
      </c>
      <c r="H861" t="b">
        <v>0</v>
      </c>
      <c r="I861" t="n">
        <v>650</v>
      </c>
      <c r="J861" t="n">
        <v>0.6398</v>
      </c>
      <c r="K861" t="inlineStr">
        <is>
          <t>&gt; Perfumería &gt; Cuidado Capilar &gt; Acondicionador &gt;</t>
        </is>
      </c>
      <c r="L861" t="inlineStr">
        <is>
          <t>acondicionador</t>
        </is>
      </c>
      <c r="M861" t="inlineStr">
        <is>
          <t>estandar</t>
        </is>
      </c>
      <c r="N861" t="inlineStr">
        <is>
          <t>general</t>
        </is>
      </c>
      <c r="O861" t="inlineStr">
        <is>
          <t>https://www.disco.com.ar/acondicionador-fructis-brillo-650ml-2/p</t>
        </is>
      </c>
    </row>
    <row r="862">
      <c r="A862" s="10" t="inlineStr">
        <is>
          <t>Disco</t>
        </is>
      </c>
      <c r="B862" s="10" t="n">
        <v>39468</v>
      </c>
      <c r="C862" s="10" t="n">
        <v>36634</v>
      </c>
      <c r="D862" s="10" t="inlineStr">
        <is>
          <t>Acondicionador Capilatis Lifting 350ml</t>
        </is>
      </c>
      <c r="E862" s="10" t="inlineStr">
        <is>
          <t>CAPILATIS</t>
        </is>
      </c>
      <c r="F862" s="10" t="n">
        <v>1868.39</v>
      </c>
      <c r="G862" s="10" t="n">
        <v>154412</v>
      </c>
      <c r="H862" s="10" t="b">
        <v>0</v>
      </c>
      <c r="I862" s="10" t="n">
        <v>350</v>
      </c>
      <c r="J862" s="10" t="n">
        <v>5.3383</v>
      </c>
      <c r="K862" s="10" t="inlineStr">
        <is>
          <t>&gt; Perfumería &gt; Cuidado Capilar &gt; Acondicionador &gt;</t>
        </is>
      </c>
      <c r="L862" s="10" t="inlineStr">
        <is>
          <t>acondicionador</t>
        </is>
      </c>
      <c r="M862" s="10" t="inlineStr">
        <is>
          <t>estandar</t>
        </is>
      </c>
      <c r="N862" s="10" t="inlineStr">
        <is>
          <t>general</t>
        </is>
      </c>
      <c r="O862" s="10" t="inlineStr">
        <is>
          <t>https://www.disco.com.ar/acondicionador-capilatis-lifting-350ml/p</t>
        </is>
      </c>
    </row>
    <row r="863">
      <c r="A863" t="inlineStr">
        <is>
          <t>Disco</t>
        </is>
      </c>
      <c r="B863" t="n">
        <v>35198</v>
      </c>
      <c r="C863" t="n">
        <v>32356</v>
      </c>
      <c r="D863" t="inlineStr">
        <is>
          <t>Acondicionador Caspa 340 Ml</t>
        </is>
      </c>
      <c r="E863" t="inlineStr">
        <is>
          <t>SEDAL SOS</t>
        </is>
      </c>
      <c r="F863" t="n">
        <v>89.98999999999999</v>
      </c>
      <c r="G863" t="n">
        <v>7437</v>
      </c>
      <c r="H863" t="b">
        <v>0</v>
      </c>
      <c r="I863" t="n">
        <v>340</v>
      </c>
      <c r="J863" t="n">
        <v>0.2647</v>
      </c>
      <c r="K863" t="inlineStr">
        <is>
          <t>&gt; Perfumería &gt; Cuidado Capilar &gt; Acondicionador &gt;</t>
        </is>
      </c>
      <c r="L863" t="inlineStr">
        <is>
          <t>acondicionador</t>
        </is>
      </c>
      <c r="M863" t="inlineStr">
        <is>
          <t>estandar</t>
        </is>
      </c>
      <c r="N863" t="inlineStr">
        <is>
          <t>anticaspa</t>
        </is>
      </c>
      <c r="O863" t="inlineStr">
        <is>
          <t>https://www.disco.com.ar/acondicionador-sedal-sos-2/p</t>
        </is>
      </c>
    </row>
    <row r="864">
      <c r="A864" s="10" t="inlineStr">
        <is>
          <t>Disco</t>
        </is>
      </c>
      <c r="B864" s="10" t="n">
        <v>20017</v>
      </c>
      <c r="C864" s="10" t="n">
        <v>17188</v>
      </c>
      <c r="D864" s="10" t="inlineStr">
        <is>
          <t>Acondicionador Dove Recuperacion Extrema Acondicionador Dove Recuperación Extrema 200 Ml</t>
        </is>
      </c>
      <c r="E864" s="10" t="inlineStr">
        <is>
          <t>DOVE</t>
        </is>
      </c>
      <c r="F864" s="10" t="n">
        <v>108.53</v>
      </c>
      <c r="G864" s="10" t="n">
        <v>8969</v>
      </c>
      <c r="H864" s="10" t="b">
        <v>0</v>
      </c>
      <c r="I864" s="10" t="n">
        <v>200</v>
      </c>
      <c r="J864" s="10" t="n">
        <v>0.5426</v>
      </c>
      <c r="K864" s="10" t="inlineStr">
        <is>
          <t>&gt; Perfumería &gt; Cuidado Capilar &gt; Acondicionador &gt;</t>
        </is>
      </c>
      <c r="L864" s="10" t="inlineStr">
        <is>
          <t>acondicionador</t>
        </is>
      </c>
      <c r="M864" s="10" t="inlineStr">
        <is>
          <t>estandar</t>
        </is>
      </c>
      <c r="N864" s="10" t="inlineStr">
        <is>
          <t>general</t>
        </is>
      </c>
      <c r="O864" s="10" t="inlineStr">
        <is>
          <t>https://www.disco.com.ar/acondicionador-dove-recuperacion-extrema/p</t>
        </is>
      </c>
    </row>
    <row r="865">
      <c r="A865" t="inlineStr">
        <is>
          <t>Disco</t>
        </is>
      </c>
      <c r="B865" t="n">
        <v>19537</v>
      </c>
      <c r="C865" t="n">
        <v>16693</v>
      </c>
      <c r="D865" t="inlineStr">
        <is>
          <t>Acondicionador Tresemme Keratina 750ml Acondicionador Tresemme Liso Keratina 750 Ml</t>
        </is>
      </c>
      <c r="E865" t="inlineStr">
        <is>
          <t>TRESEMMÉ</t>
        </is>
      </c>
      <c r="F865" t="n">
        <v>979.55</v>
      </c>
      <c r="G865" t="n">
        <v>80955</v>
      </c>
      <c r="H865" t="b">
        <v>0</v>
      </c>
      <c r="I865" t="n">
        <v>750</v>
      </c>
      <c r="J865" t="n">
        <v>1.3061</v>
      </c>
      <c r="K865" t="inlineStr">
        <is>
          <t>&gt; Perfumería &gt; Cuidado Capilar &gt; Acondicionador &gt;</t>
        </is>
      </c>
      <c r="L865" t="inlineStr">
        <is>
          <t>acondicionador</t>
        </is>
      </c>
      <c r="M865" t="inlineStr">
        <is>
          <t>estandar</t>
        </is>
      </c>
      <c r="N865" t="inlineStr">
        <is>
          <t>tratado</t>
        </is>
      </c>
      <c r="O865" t="inlineStr">
        <is>
          <t>https://www.disco.com.ar/acondicionador-tresemme-keratina-750ml/p</t>
        </is>
      </c>
    </row>
    <row r="866">
      <c r="A866" s="10" t="inlineStr">
        <is>
          <t>Disco</t>
        </is>
      </c>
      <c r="B866" s="10" t="n">
        <v>8107</v>
      </c>
      <c r="C866" s="10" t="n">
        <v>5433</v>
      </c>
      <c r="D866" s="10" t="inlineStr">
        <is>
          <t>Acondicionador Plusbelle Hydro-reparaci Acondicionador Plusbelle Hydro Reparación 650 Ml</t>
        </is>
      </c>
      <c r="E866" s="10" t="inlineStr">
        <is>
          <t>PLUSBELLE</t>
        </is>
      </c>
      <c r="F866" s="10" t="n">
        <v>71.65000000000001</v>
      </c>
      <c r="G866" s="10" t="n">
        <v>5921</v>
      </c>
      <c r="H866" s="10" t="b">
        <v>0</v>
      </c>
      <c r="I866" s="10" t="n">
        <v>650</v>
      </c>
      <c r="J866" s="10" t="n">
        <v>0.1102</v>
      </c>
      <c r="K866" s="10" t="inlineStr">
        <is>
          <t>&gt; Perfumería &gt; Cuidado Capilar &gt; Acondicionador &gt;</t>
        </is>
      </c>
      <c r="L866" s="10" t="inlineStr">
        <is>
          <t>acondicionador</t>
        </is>
      </c>
      <c r="M866" s="10" t="inlineStr">
        <is>
          <t>estandar</t>
        </is>
      </c>
      <c r="N866" s="10" t="inlineStr">
        <is>
          <t>general</t>
        </is>
      </c>
      <c r="O866" s="10" t="inlineStr">
        <is>
          <t>https://www.disco.com.ar/acondicionador-plusbelle-hydro-reparaci/p</t>
        </is>
      </c>
    </row>
    <row r="867">
      <c r="A867" t="inlineStr">
        <is>
          <t>Disco</t>
        </is>
      </c>
      <c r="B867" t="n">
        <v>7428</v>
      </c>
      <c r="C867" t="n">
        <v>4755</v>
      </c>
      <c r="D867" t="inlineStr">
        <is>
          <t>Acondicionador Pantene Clasico 400ml</t>
        </is>
      </c>
      <c r="E867" t="inlineStr">
        <is>
          <t>PANTENE</t>
        </is>
      </c>
      <c r="F867" t="n">
        <v>334.69</v>
      </c>
      <c r="G867" t="n">
        <v>27660</v>
      </c>
      <c r="H867" t="b">
        <v>0</v>
      </c>
      <c r="I867" t="n">
        <v>400</v>
      </c>
      <c r="J867" t="n">
        <v>0.8367</v>
      </c>
      <c r="K867" t="inlineStr">
        <is>
          <t>&gt; Perfumería &gt; Cuidado Capilar &gt; Acondicionador &gt;</t>
        </is>
      </c>
      <c r="L867" t="inlineStr">
        <is>
          <t>acondicionador</t>
        </is>
      </c>
      <c r="M867" t="inlineStr">
        <is>
          <t>estandar</t>
        </is>
      </c>
      <c r="N867" t="inlineStr">
        <is>
          <t>general</t>
        </is>
      </c>
      <c r="O867" t="inlineStr">
        <is>
          <t>https://www.disco.com.ar/acondicionador-pantene-clasico-400ml/p</t>
        </is>
      </c>
    </row>
    <row r="868">
      <c r="A868" s="10" t="inlineStr">
        <is>
          <t>Disco</t>
        </is>
      </c>
      <c r="B868" s="10" t="n">
        <v>7396</v>
      </c>
      <c r="C868" s="10" t="n">
        <v>4725</v>
      </c>
      <c r="D868" s="10" t="inlineStr">
        <is>
          <t>Acondicionador Pantene Rizos 400ml</t>
        </is>
      </c>
      <c r="E868" s="10" t="inlineStr">
        <is>
          <t>PANTENE</t>
        </is>
      </c>
      <c r="F868" s="10" t="n">
        <v>334.67</v>
      </c>
      <c r="G868" s="10" t="n">
        <v>27659</v>
      </c>
      <c r="H868" s="10" t="b">
        <v>0</v>
      </c>
      <c r="I868" s="10" t="n">
        <v>400</v>
      </c>
      <c r="J868" s="10" t="n">
        <v>0.8367</v>
      </c>
      <c r="K868" s="10" t="inlineStr">
        <is>
          <t>&gt; Perfumería &gt; Cuidado Capilar &gt; Acondicionador &gt;</t>
        </is>
      </c>
      <c r="L868" s="10" t="inlineStr">
        <is>
          <t>acondicionador</t>
        </is>
      </c>
      <c r="M868" s="10" t="inlineStr">
        <is>
          <t>estandar</t>
        </is>
      </c>
      <c r="N868" s="10" t="inlineStr">
        <is>
          <t>rizado</t>
        </is>
      </c>
      <c r="O868" s="10" t="inlineStr">
        <is>
          <t>https://www.disco.com.ar/acondicionador-pantene-rizos-400ml/p</t>
        </is>
      </c>
    </row>
    <row r="869">
      <c r="A869" t="inlineStr">
        <is>
          <t>Disco</t>
        </is>
      </c>
      <c r="B869" t="n">
        <v>4495</v>
      </c>
      <c r="C869" t="n">
        <v>26027</v>
      </c>
      <c r="D869" t="inlineStr">
        <is>
          <t>Acondicionador Babelito 200 Ml</t>
        </is>
      </c>
      <c r="E869" t="inlineStr">
        <is>
          <t>BABELITO</t>
        </is>
      </c>
      <c r="F869" t="n">
        <v>58.95</v>
      </c>
      <c r="G869" t="n">
        <v>58.95</v>
      </c>
      <c r="H869" t="b">
        <v>0</v>
      </c>
      <c r="I869" t="n">
        <v>200</v>
      </c>
      <c r="J869" t="n">
        <v>0.2948</v>
      </c>
      <c r="K869" t="inlineStr">
        <is>
          <t>&gt; Mundo Bebe &gt; Higiene para el Bebe &gt; Higiene del Bebé &gt;</t>
        </is>
      </c>
      <c r="L869" t="inlineStr">
        <is>
          <t>acondicionador</t>
        </is>
      </c>
      <c r="M869" t="inlineStr">
        <is>
          <t>estandar</t>
        </is>
      </c>
      <c r="N869" t="inlineStr">
        <is>
          <t>general</t>
        </is>
      </c>
      <c r="O869" t="inlineStr">
        <is>
          <t>https://www.disco.com.ar/acondicionador-p-cabello-babelito/p</t>
        </is>
      </c>
    </row>
    <row r="870">
      <c r="A870" s="10" t="inlineStr">
        <is>
          <t>Disco</t>
        </is>
      </c>
      <c r="B870" s="10" t="n">
        <v>1361142</v>
      </c>
      <c r="C870" s="10" t="n">
        <v>1360547</v>
      </c>
      <c r="D870" s="10" t="inlineStr">
        <is>
          <t>Acondicionador Keratina 700 Ml Pantene</t>
        </is>
      </c>
      <c r="E870" s="10" t="inlineStr">
        <is>
          <t>PANTENE</t>
        </is>
      </c>
      <c r="F870" s="10" t="n">
        <v>14500</v>
      </c>
      <c r="G870" s="10" t="n">
        <v>1198347</v>
      </c>
      <c r="H870" s="10" t="b">
        <v>0</v>
      </c>
      <c r="I870" s="10" t="n">
        <v>700</v>
      </c>
      <c r="J870" s="10" t="n">
        <v>20.7143</v>
      </c>
      <c r="K870" s="10" t="inlineStr">
        <is>
          <t>&gt; Perfumería &gt; Cuidado Capilar &gt; Acondicionador &gt;</t>
        </is>
      </c>
      <c r="L870" s="10" t="inlineStr">
        <is>
          <t>acondicionador</t>
        </is>
      </c>
      <c r="M870" s="10" t="inlineStr">
        <is>
          <t>estandar</t>
        </is>
      </c>
      <c r="N870" s="10" t="inlineStr">
        <is>
          <t>tratado</t>
        </is>
      </c>
      <c r="O870" s="10" t="inlineStr">
        <is>
          <t>https://www.disco.com.ar/acondicionador-keratina-700-ml-pantene/p</t>
        </is>
      </c>
    </row>
    <row r="871">
      <c r="A871" t="inlineStr">
        <is>
          <t>Disco</t>
        </is>
      </c>
      <c r="B871" t="n">
        <v>415584</v>
      </c>
      <c r="C871" t="n">
        <v>411168</v>
      </c>
      <c r="D871" t="inlineStr">
        <is>
          <t>Acondicionador Pantene  Revilitacion 750 Ml</t>
        </is>
      </c>
      <c r="E871" t="inlineStr">
        <is>
          <t>PANTENE</t>
        </is>
      </c>
      <c r="F871" t="n">
        <v>15650</v>
      </c>
      <c r="G871" t="n">
        <v>1293388</v>
      </c>
      <c r="H871" t="b">
        <v>0</v>
      </c>
      <c r="I871" t="n">
        <v>750</v>
      </c>
      <c r="J871" t="n">
        <v>20.8667</v>
      </c>
      <c r="K871" t="inlineStr">
        <is>
          <t>&gt; Perfumería &gt; Cuidado Capilar &gt; Acondicionador &gt;</t>
        </is>
      </c>
      <c r="L871" t="inlineStr">
        <is>
          <t>acondicionador</t>
        </is>
      </c>
      <c r="M871" t="inlineStr">
        <is>
          <t>estandar</t>
        </is>
      </c>
      <c r="N871" t="inlineStr">
        <is>
          <t>general</t>
        </is>
      </c>
      <c r="O871" t="inlineStr">
        <is>
          <t>https://www.disco.com.ar/acondicionador-pantene-revilitacion-750-ml/p</t>
        </is>
      </c>
    </row>
    <row r="872">
      <c r="A872" s="10" t="inlineStr">
        <is>
          <t>Disco</t>
        </is>
      </c>
      <c r="B872" s="10" t="n">
        <v>394680</v>
      </c>
      <c r="C872" s="10" t="n">
        <v>392679</v>
      </c>
      <c r="D872" s="10" t="inlineStr">
        <is>
          <t>Acondicionador Pantene Bamboo 235 Ml</t>
        </is>
      </c>
      <c r="E872" s="10" t="inlineStr">
        <is>
          <t>PANTENE</t>
        </is>
      </c>
      <c r="F872" s="10" t="n">
        <v>14050</v>
      </c>
      <c r="G872" s="10" t="n">
        <v>1161157</v>
      </c>
      <c r="H872" s="10" t="b">
        <v>0</v>
      </c>
      <c r="I872" s="10" t="n">
        <v>235</v>
      </c>
      <c r="J872" s="10" t="n">
        <v>59.7872</v>
      </c>
      <c r="K872" s="10" t="inlineStr">
        <is>
          <t>&gt; Perfumería &gt; Cuidado Capilar &gt; Acondicionador &gt;</t>
        </is>
      </c>
      <c r="L872" s="10" t="inlineStr">
        <is>
          <t>acondicionador</t>
        </is>
      </c>
      <c r="M872" s="10" t="inlineStr">
        <is>
          <t>estandar</t>
        </is>
      </c>
      <c r="N872" s="10" t="inlineStr">
        <is>
          <t>general</t>
        </is>
      </c>
      <c r="O872" s="10" t="inlineStr">
        <is>
          <t>https://www.disco.com.ar/acondicionador-pantene-bamboo-235-ml/p</t>
        </is>
      </c>
    </row>
    <row r="873">
      <c r="A873" t="inlineStr">
        <is>
          <t>Disco</t>
        </is>
      </c>
      <c r="B873" t="n">
        <v>384224</v>
      </c>
      <c r="C873" t="n">
        <v>382913</v>
      </c>
      <c r="D873" t="inlineStr">
        <is>
          <t>Acondicionador Tresemme Cauterización Repa 880ml</t>
        </is>
      </c>
      <c r="E873" t="inlineStr">
        <is>
          <t>TRESEMMÉ</t>
        </is>
      </c>
      <c r="F873" t="n">
        <v>2750</v>
      </c>
      <c r="G873" t="n">
        <v>227273</v>
      </c>
      <c r="H873" t="b">
        <v>0</v>
      </c>
      <c r="I873" t="n">
        <v>880</v>
      </c>
      <c r="J873" t="n">
        <v>3.125</v>
      </c>
      <c r="K873" t="inlineStr">
        <is>
          <t>&gt; Perfumería &gt; Cuidado Capilar &gt; Acondicionador &gt;</t>
        </is>
      </c>
      <c r="L873" t="inlineStr">
        <is>
          <t>acondicionador</t>
        </is>
      </c>
      <c r="M873" t="inlineStr">
        <is>
          <t>estandar</t>
        </is>
      </c>
      <c r="N873" t="inlineStr">
        <is>
          <t>general</t>
        </is>
      </c>
      <c r="O873" t="inlineStr">
        <is>
          <t>https://www.disco.com.ar/acondicionador-tresemme-cauterizacion-repa-880ml/p</t>
        </is>
      </c>
    </row>
    <row r="874">
      <c r="A874" s="10" t="inlineStr">
        <is>
          <t>Disco</t>
        </is>
      </c>
      <c r="B874" s="10" t="n">
        <v>384217</v>
      </c>
      <c r="C874" s="10" t="n">
        <v>382907</v>
      </c>
      <c r="D874" s="10" t="inlineStr">
        <is>
          <t>Acondicionador Tresemme Matiz Ultravioleta 250ml</t>
        </is>
      </c>
      <c r="E874" s="10" t="inlineStr">
        <is>
          <t>TRESEMMÉ</t>
        </is>
      </c>
      <c r="F874" s="10" t="n">
        <v>506.29</v>
      </c>
      <c r="G874" s="10" t="n">
        <v>41842</v>
      </c>
      <c r="H874" s="10" t="b">
        <v>0</v>
      </c>
      <c r="I874" s="10" t="n">
        <v>250</v>
      </c>
      <c r="J874" s="10" t="n">
        <v>2.0252</v>
      </c>
      <c r="K874" s="10" t="inlineStr">
        <is>
          <t>&gt; Perfumería &gt; Cuidado Capilar &gt; Acondicionador &gt;</t>
        </is>
      </c>
      <c r="L874" s="10" t="inlineStr">
        <is>
          <t>acondicionador</t>
        </is>
      </c>
      <c r="M874" s="10" t="inlineStr">
        <is>
          <t>estandar</t>
        </is>
      </c>
      <c r="N874" s="10" t="inlineStr">
        <is>
          <t>general</t>
        </is>
      </c>
      <c r="O874" s="10" t="inlineStr">
        <is>
          <t>https://www.disco.com.ar/acondicionador-tresemme-matiz-ultravioleta-250ml/p</t>
        </is>
      </c>
    </row>
    <row r="875">
      <c r="A875" t="inlineStr">
        <is>
          <t>Disco</t>
        </is>
      </c>
      <c r="B875" t="n">
        <v>384215</v>
      </c>
      <c r="C875" t="n">
        <v>382905</v>
      </c>
      <c r="D875" t="inlineStr">
        <is>
          <t>Acondicionador Tresemme Kera Antifrizz 880ml</t>
        </is>
      </c>
      <c r="E875" t="inlineStr">
        <is>
          <t>TRESEMMÉ</t>
        </is>
      </c>
      <c r="F875" t="n">
        <v>2556.45</v>
      </c>
      <c r="G875" t="n">
        <v>211277</v>
      </c>
      <c r="H875" t="b">
        <v>0</v>
      </c>
      <c r="I875" t="n">
        <v>880</v>
      </c>
      <c r="J875" t="n">
        <v>2.9051</v>
      </c>
      <c r="K875" t="inlineStr">
        <is>
          <t>&gt; Perfumería &gt; Cuidado Capilar &gt; Acondicionador &gt;</t>
        </is>
      </c>
      <c r="L875" t="inlineStr">
        <is>
          <t>acondicionador</t>
        </is>
      </c>
      <c r="M875" t="inlineStr">
        <is>
          <t>estandar</t>
        </is>
      </c>
      <c r="N875" t="inlineStr">
        <is>
          <t>general</t>
        </is>
      </c>
      <c r="O875" t="inlineStr">
        <is>
          <t>https://www.disco.com.ar/acondicionador-tresemme-kera-antifrizz-880ml/p</t>
        </is>
      </c>
    </row>
    <row r="876">
      <c r="A876" s="10" t="inlineStr">
        <is>
          <t>Disco</t>
        </is>
      </c>
      <c r="B876" s="10" t="n">
        <v>375247</v>
      </c>
      <c r="C876" s="10" t="n">
        <v>373965</v>
      </c>
      <c r="D876" s="10" t="inlineStr">
        <is>
          <t>Acondicionador Fructis Liso Coco 350ml</t>
        </is>
      </c>
      <c r="E876" s="10" t="inlineStr">
        <is>
          <t>FRUCTIS</t>
        </is>
      </c>
      <c r="F876" s="10" t="n">
        <v>1250</v>
      </c>
      <c r="G876" s="10" t="n">
        <v>103306</v>
      </c>
      <c r="H876" s="10" t="b">
        <v>0</v>
      </c>
      <c r="I876" s="10" t="n">
        <v>350</v>
      </c>
      <c r="J876" s="10" t="n">
        <v>3.5714</v>
      </c>
      <c r="K876" s="10" t="inlineStr">
        <is>
          <t>&gt; Perfumería &gt; Cuidado Capilar &gt; Acondicionador &gt;</t>
        </is>
      </c>
      <c r="L876" s="10" t="inlineStr">
        <is>
          <t>acondicionador</t>
        </is>
      </c>
      <c r="M876" s="10" t="inlineStr">
        <is>
          <t>estandar</t>
        </is>
      </c>
      <c r="N876" s="10" t="inlineStr">
        <is>
          <t>general</t>
        </is>
      </c>
      <c r="O876" s="10" t="inlineStr">
        <is>
          <t>https://www.disco.com.ar/acondicionador-fructis-liso-coco-350ml/p</t>
        </is>
      </c>
    </row>
    <row r="877">
      <c r="A877" t="inlineStr">
        <is>
          <t>Disco</t>
        </is>
      </c>
      <c r="B877" t="n">
        <v>347728</v>
      </c>
      <c r="C877" t="n">
        <v>346403</v>
      </c>
      <c r="D877" t="inlineStr">
        <is>
          <t>Acondicionador Sedal Ceramidas 340 Ml</t>
        </is>
      </c>
      <c r="E877" t="inlineStr">
        <is>
          <t>SEDAL</t>
        </is>
      </c>
      <c r="F877" t="n">
        <v>469.67</v>
      </c>
      <c r="G877" t="n">
        <v>38816</v>
      </c>
      <c r="H877" t="b">
        <v>0</v>
      </c>
      <c r="I877" t="n">
        <v>340</v>
      </c>
      <c r="J877" t="n">
        <v>1.3814</v>
      </c>
      <c r="K877" t="inlineStr">
        <is>
          <t>&gt; Perfumería &gt; Cuidado Capilar &gt; Acondicionador &gt;</t>
        </is>
      </c>
      <c r="L877" t="inlineStr">
        <is>
          <t>acondicionador</t>
        </is>
      </c>
      <c r="M877" t="inlineStr">
        <is>
          <t>estandar</t>
        </is>
      </c>
      <c r="N877" t="inlineStr">
        <is>
          <t>general</t>
        </is>
      </c>
      <c r="O877" t="inlineStr">
        <is>
          <t>https://www.disco.com.ar/acondicionador-sedal-ceramidas-340-ml/p</t>
        </is>
      </c>
    </row>
    <row r="878">
      <c r="A878" s="10" t="inlineStr">
        <is>
          <t>Disco</t>
        </is>
      </c>
      <c r="B878" s="10" t="n">
        <v>347721</v>
      </c>
      <c r="C878" s="10" t="n">
        <v>346396</v>
      </c>
      <c r="D878" s="10" t="inlineStr">
        <is>
          <t>Acondicionador Sedal Ceramidas 190 Ml</t>
        </is>
      </c>
      <c r="E878" s="10" t="inlineStr">
        <is>
          <t>SEDAL</t>
        </is>
      </c>
      <c r="F878" s="10" t="n">
        <v>359.35</v>
      </c>
      <c r="G878" s="10" t="n">
        <v>29698</v>
      </c>
      <c r="H878" s="10" t="b">
        <v>0</v>
      </c>
      <c r="I878" s="10" t="n">
        <v>190</v>
      </c>
      <c r="J878" s="10" t="n">
        <v>1.8913</v>
      </c>
      <c r="K878" s="10" t="inlineStr">
        <is>
          <t>&gt; Perfumería &gt; Cuidado Capilar &gt; Acondicionador &gt;</t>
        </is>
      </c>
      <c r="L878" s="10" t="inlineStr">
        <is>
          <t>acondicionador</t>
        </is>
      </c>
      <c r="M878" s="10" t="inlineStr">
        <is>
          <t>estandar</t>
        </is>
      </c>
      <c r="N878" s="10" t="inlineStr">
        <is>
          <t>general</t>
        </is>
      </c>
      <c r="O878" s="10" t="inlineStr">
        <is>
          <t>https://www.disco.com.ar/acondicionador-sedal-ceramidas-190-ml-2/p</t>
        </is>
      </c>
    </row>
    <row r="879">
      <c r="A879" t="inlineStr">
        <is>
          <t>Disco</t>
        </is>
      </c>
      <c r="B879" t="n">
        <v>347700</v>
      </c>
      <c r="C879" t="n">
        <v>346375</v>
      </c>
      <c r="D879" t="inlineStr">
        <is>
          <t>Acondicionador Sedal Ceramidas Hidratante 300ml</t>
        </is>
      </c>
      <c r="E879" t="inlineStr">
        <is>
          <t>SEDAL</t>
        </is>
      </c>
      <c r="F879" t="n">
        <v>420.05</v>
      </c>
      <c r="G879" t="n">
        <v>34715</v>
      </c>
      <c r="H879" t="b">
        <v>0</v>
      </c>
      <c r="I879" t="n">
        <v>300</v>
      </c>
      <c r="J879" t="n">
        <v>1.4002</v>
      </c>
      <c r="K879" t="inlineStr">
        <is>
          <t>&gt; Perfumería &gt; Cuidado Capilar &gt; Acondicionador &gt;</t>
        </is>
      </c>
      <c r="L879" t="inlineStr">
        <is>
          <t>acondicionador</t>
        </is>
      </c>
      <c r="M879" t="inlineStr">
        <is>
          <t>estandar</t>
        </is>
      </c>
      <c r="N879" t="inlineStr">
        <is>
          <t>seco_danado</t>
        </is>
      </c>
      <c r="O879" t="inlineStr">
        <is>
          <t>https://www.disco.com.ar/acondicionador-sedal-ceramidas-hidratante-300ml/p</t>
        </is>
      </c>
    </row>
    <row r="880">
      <c r="A880" s="10" t="inlineStr">
        <is>
          <t>Disco</t>
        </is>
      </c>
      <c r="B880" s="10" t="n">
        <v>346830</v>
      </c>
      <c r="C880" s="10" t="n">
        <v>345505</v>
      </c>
      <c r="D880" s="10" t="inlineStr">
        <is>
          <t>Acondicionador Elvive Caida Resist 400ml</t>
        </is>
      </c>
      <c r="E880" s="10" t="inlineStr">
        <is>
          <t>ELVIVE</t>
        </is>
      </c>
      <c r="F880" s="10" t="n">
        <v>1350</v>
      </c>
      <c r="G880" s="10" t="n">
        <v>111570</v>
      </c>
      <c r="H880" s="10" t="b">
        <v>0</v>
      </c>
      <c r="I880" s="10" t="n">
        <v>400</v>
      </c>
      <c r="J880" s="10" t="n">
        <v>3.375</v>
      </c>
      <c r="K880" s="10" t="inlineStr">
        <is>
          <t>&gt; Perfumería &gt; Cuidado Capilar &gt; Acondicionador &gt;</t>
        </is>
      </c>
      <c r="L880" s="10" t="inlineStr">
        <is>
          <t>acondicionador</t>
        </is>
      </c>
      <c r="M880" s="10" t="inlineStr">
        <is>
          <t>profesional</t>
        </is>
      </c>
      <c r="N880" s="10" t="inlineStr">
        <is>
          <t>general</t>
        </is>
      </c>
      <c r="O880" s="10" t="inlineStr">
        <is>
          <t>https://www.disco.com.ar/acondicionador-elvive-caida-resist-400ml-2/p</t>
        </is>
      </c>
    </row>
    <row r="881">
      <c r="A881" t="inlineStr">
        <is>
          <t>Disco</t>
        </is>
      </c>
      <c r="B881" t="n">
        <v>346744</v>
      </c>
      <c r="C881" t="n">
        <v>345419</v>
      </c>
      <c r="D881" t="inlineStr">
        <is>
          <t>Acondicionador Elvive Extreme Reconstructor 750ml</t>
        </is>
      </c>
      <c r="E881" t="inlineStr">
        <is>
          <t>ELVIVE</t>
        </is>
      </c>
      <c r="F881" t="n">
        <v>2650</v>
      </c>
      <c r="G881" t="n">
        <v>219008</v>
      </c>
      <c r="H881" t="b">
        <v>0</v>
      </c>
      <c r="I881" t="n">
        <v>750</v>
      </c>
      <c r="J881" t="n">
        <v>3.5333</v>
      </c>
      <c r="K881" t="inlineStr">
        <is>
          <t>&gt; Perfumería &gt; Cuidado Capilar &gt; Acondicionador &gt;</t>
        </is>
      </c>
      <c r="L881" t="inlineStr">
        <is>
          <t>acondicionador</t>
        </is>
      </c>
      <c r="M881" t="inlineStr">
        <is>
          <t>profesional</t>
        </is>
      </c>
      <c r="N881" t="inlineStr">
        <is>
          <t>general</t>
        </is>
      </c>
      <c r="O881" t="inlineStr">
        <is>
          <t>https://www.disco.com.ar/acondicionador-elvive-extreme-reconstructor-750ml/p</t>
        </is>
      </c>
    </row>
    <row r="882">
      <c r="A882" s="10" t="inlineStr">
        <is>
          <t>Disco</t>
        </is>
      </c>
      <c r="B882" s="10" t="n">
        <v>346742</v>
      </c>
      <c r="C882" s="10" t="n">
        <v>345417</v>
      </c>
      <c r="D882" s="10" t="inlineStr">
        <is>
          <t>Acondicionador Elvive Extreme Reconstructor 400ml</t>
        </is>
      </c>
      <c r="E882" s="10" t="inlineStr">
        <is>
          <t>ELVIVE</t>
        </is>
      </c>
      <c r="F882" s="10" t="n">
        <v>1151.55</v>
      </c>
      <c r="G882" s="10" t="n">
        <v>95169</v>
      </c>
      <c r="H882" s="10" t="b">
        <v>0</v>
      </c>
      <c r="I882" s="10" t="n">
        <v>400</v>
      </c>
      <c r="J882" s="10" t="n">
        <v>2.8789</v>
      </c>
      <c r="K882" s="10" t="inlineStr">
        <is>
          <t>&gt; Perfumería &gt; Cuidado Capilar &gt; Acondicionador &gt;</t>
        </is>
      </c>
      <c r="L882" s="10" t="inlineStr">
        <is>
          <t>acondicionador</t>
        </is>
      </c>
      <c r="M882" s="10" t="inlineStr">
        <is>
          <t>profesional</t>
        </is>
      </c>
      <c r="N882" s="10" t="inlineStr">
        <is>
          <t>general</t>
        </is>
      </c>
      <c r="O882" s="10" t="inlineStr">
        <is>
          <t>https://www.disco.com.ar/acondicionador-elvive-extreme-reconstructor-400ml/p</t>
        </is>
      </c>
    </row>
    <row r="883">
      <c r="A883" t="inlineStr">
        <is>
          <t>Disco</t>
        </is>
      </c>
      <c r="B883" t="n">
        <v>341265</v>
      </c>
      <c r="C883" t="n">
        <v>339954</v>
      </c>
      <c r="D883" t="inlineStr">
        <is>
          <t>Tío Nacho Acondicionador Purificación 200ml</t>
        </is>
      </c>
      <c r="E883" t="inlineStr">
        <is>
          <t>Tio Nacho</t>
        </is>
      </c>
      <c r="F883" t="n">
        <v>457.87</v>
      </c>
      <c r="G883" t="n">
        <v>37841</v>
      </c>
      <c r="H883" t="b">
        <v>0</v>
      </c>
      <c r="I883" t="n">
        <v>200</v>
      </c>
      <c r="J883" t="n">
        <v>2.2894</v>
      </c>
      <c r="K883" t="inlineStr">
        <is>
          <t>&gt; Perfumería &gt; Cuidado Capilar &gt; Acondicionador &gt;</t>
        </is>
      </c>
      <c r="L883" t="inlineStr">
        <is>
          <t>acondicionador</t>
        </is>
      </c>
      <c r="M883" t="inlineStr">
        <is>
          <t>estandar</t>
        </is>
      </c>
      <c r="N883" t="inlineStr">
        <is>
          <t>general</t>
        </is>
      </c>
      <c r="O883" t="inlineStr">
        <is>
          <t>https://www.disco.com.ar/tio-nacho-acondicionador-purificacion-200ml/p</t>
        </is>
      </c>
    </row>
    <row r="884">
      <c r="A884" s="10" t="inlineStr">
        <is>
          <t>Disco</t>
        </is>
      </c>
      <c r="B884" s="10" t="n">
        <v>337408</v>
      </c>
      <c r="C884" s="10" t="n">
        <v>336511</v>
      </c>
      <c r="D884" s="10" t="inlineStr">
        <is>
          <t>Acondicionador Dove Oleo Nutricion 200ml</t>
        </is>
      </c>
      <c r="E884" s="10" t="inlineStr">
        <is>
          <t>DOVE</t>
        </is>
      </c>
      <c r="F884" s="10" t="n">
        <v>341.59</v>
      </c>
      <c r="G884" s="10" t="n">
        <v>28231</v>
      </c>
      <c r="H884" s="10" t="b">
        <v>0</v>
      </c>
      <c r="I884" s="10" t="n">
        <v>200</v>
      </c>
      <c r="J884" s="10" t="n">
        <v>1.7079</v>
      </c>
      <c r="K884" s="10" t="inlineStr">
        <is>
          <t>&gt; Perfumería &gt; Cuidado Capilar &gt; Acondicionador &gt;</t>
        </is>
      </c>
      <c r="L884" s="10" t="inlineStr">
        <is>
          <t>acondicionador</t>
        </is>
      </c>
      <c r="M884" s="10" t="inlineStr">
        <is>
          <t>estandar</t>
        </is>
      </c>
      <c r="N884" s="10" t="inlineStr">
        <is>
          <t>general</t>
        </is>
      </c>
      <c r="O884" s="10" t="inlineStr">
        <is>
          <t>https://www.disco.com.ar/acondicionador-dove-oleo-nutricion-200ml-2/p</t>
        </is>
      </c>
    </row>
    <row r="885">
      <c r="A885" t="inlineStr">
        <is>
          <t>Disco</t>
        </is>
      </c>
      <c r="B885" t="n">
        <v>336810</v>
      </c>
      <c r="C885" t="n">
        <v>335912</v>
      </c>
      <c r="D885" t="inlineStr">
        <is>
          <t>Acondicionador Sedal Bomba Argan 340ml</t>
        </is>
      </c>
      <c r="E885" t="inlineStr">
        <is>
          <t>SEDAL</t>
        </is>
      </c>
      <c r="F885" t="n">
        <v>286.27</v>
      </c>
      <c r="G885" t="n">
        <v>23659</v>
      </c>
      <c r="H885" t="b">
        <v>0</v>
      </c>
      <c r="I885" t="n">
        <v>340</v>
      </c>
      <c r="J885" t="n">
        <v>0.842</v>
      </c>
      <c r="K885" t="inlineStr">
        <is>
          <t>&gt; Perfumería &gt; Cuidado Capilar &gt; Acondicionador &gt;</t>
        </is>
      </c>
      <c r="L885" t="inlineStr">
        <is>
          <t>acondicionador</t>
        </is>
      </c>
      <c r="M885" t="inlineStr">
        <is>
          <t>estandar</t>
        </is>
      </c>
      <c r="N885" t="inlineStr">
        <is>
          <t>general</t>
        </is>
      </c>
      <c r="O885" t="inlineStr">
        <is>
          <t>https://www.disco.com.ar/acondicionador-sedal-bomba-argan-340ml/p</t>
        </is>
      </c>
    </row>
    <row r="886">
      <c r="A886" s="10" t="inlineStr">
        <is>
          <t>Disco</t>
        </is>
      </c>
      <c r="B886" s="10" t="n">
        <v>336042</v>
      </c>
      <c r="C886" s="10" t="n">
        <v>335151</v>
      </c>
      <c r="D886" s="10" t="inlineStr">
        <is>
          <t>Acondicionador Sedal Bomba Detox 340ml</t>
        </is>
      </c>
      <c r="E886" s="10" t="inlineStr">
        <is>
          <t>SEDAL</t>
        </is>
      </c>
      <c r="F886" s="10" t="n">
        <v>251.77</v>
      </c>
      <c r="G886" s="10" t="n">
        <v>20807</v>
      </c>
      <c r="H886" s="10" t="b">
        <v>0</v>
      </c>
      <c r="I886" s="10" t="n">
        <v>340</v>
      </c>
      <c r="J886" s="10" t="n">
        <v>0.7405</v>
      </c>
      <c r="K886" s="10" t="inlineStr">
        <is>
          <t>&gt; Perfumería &gt; Cuidado Capilar &gt; Acondicionador &gt;</t>
        </is>
      </c>
      <c r="L886" s="10" t="inlineStr">
        <is>
          <t>acondicionador</t>
        </is>
      </c>
      <c r="M886" s="10" t="inlineStr">
        <is>
          <t>estandar</t>
        </is>
      </c>
      <c r="N886" s="10" t="inlineStr">
        <is>
          <t>general</t>
        </is>
      </c>
      <c r="O886" s="10" t="inlineStr">
        <is>
          <t>https://www.disco.com.ar/acondicionador-sedal-bomba-detox-340ml/p</t>
        </is>
      </c>
    </row>
    <row r="887">
      <c r="A887" t="inlineStr">
        <is>
          <t>Disco</t>
        </is>
      </c>
      <c r="B887" t="n">
        <v>336019</v>
      </c>
      <c r="C887" t="n">
        <v>335129</v>
      </c>
      <c r="D887" t="inlineStr">
        <is>
          <t>Acondicionador Sedal Bomba Argan 650ml</t>
        </is>
      </c>
      <c r="E887" t="inlineStr">
        <is>
          <t>SEDAL</t>
        </is>
      </c>
      <c r="F887" t="n">
        <v>489.95</v>
      </c>
      <c r="G887" t="n">
        <v>40492</v>
      </c>
      <c r="H887" t="b">
        <v>0</v>
      </c>
      <c r="I887" t="n">
        <v>650</v>
      </c>
      <c r="J887" t="n">
        <v>0.7538</v>
      </c>
      <c r="K887" t="inlineStr">
        <is>
          <t>&gt; Perfumería &gt; Cuidado Capilar &gt; Acondicionador &gt;</t>
        </is>
      </c>
      <c r="L887" t="inlineStr">
        <is>
          <t>acondicionador</t>
        </is>
      </c>
      <c r="M887" t="inlineStr">
        <is>
          <t>estandar</t>
        </is>
      </c>
      <c r="N887" t="inlineStr">
        <is>
          <t>general</t>
        </is>
      </c>
      <c r="O887" t="inlineStr">
        <is>
          <t>https://www.disco.com.ar/acondicionador-sedal-bomba-argan-650ml/p</t>
        </is>
      </c>
    </row>
    <row r="888">
      <c r="A888" s="10" t="inlineStr">
        <is>
          <t>Disco</t>
        </is>
      </c>
      <c r="B888" s="10" t="n">
        <v>332176</v>
      </c>
      <c r="C888" s="10" t="n">
        <v>331334</v>
      </c>
      <c r="D888" s="10" t="inlineStr">
        <is>
          <t>Acondicionador Plusbelle Antioxidante 1000 Ml</t>
        </is>
      </c>
      <c r="E888" s="10" t="inlineStr">
        <is>
          <t>PLUSBELLE</t>
        </is>
      </c>
      <c r="F888" s="10" t="n">
        <v>600</v>
      </c>
      <c r="G888" s="10" t="n">
        <v>49587</v>
      </c>
      <c r="H888" s="10" t="b">
        <v>0</v>
      </c>
      <c r="I888" s="10" t="n">
        <v>1000</v>
      </c>
      <c r="J888" s="10" t="n">
        <v>0.6</v>
      </c>
      <c r="K888" s="10" t="inlineStr">
        <is>
          <t>&gt; Perfumería &gt; Cuidado Capilar &gt; Acondicionador &gt;</t>
        </is>
      </c>
      <c r="L888" s="10" t="inlineStr">
        <is>
          <t>acondicionador</t>
        </is>
      </c>
      <c r="M888" s="10" t="inlineStr">
        <is>
          <t>estandar</t>
        </is>
      </c>
      <c r="N888" s="10" t="inlineStr">
        <is>
          <t>general</t>
        </is>
      </c>
      <c r="O888" s="10" t="inlineStr">
        <is>
          <t>https://www.disco.com.ar/acondicionador-plusbelle-antioxidante-1000-ml/p</t>
        </is>
      </c>
    </row>
    <row r="889">
      <c r="A889" t="inlineStr">
        <is>
          <t>Disco</t>
        </is>
      </c>
      <c r="B889" t="n">
        <v>313258</v>
      </c>
      <c r="C889" t="n">
        <v>312496</v>
      </c>
      <c r="D889" t="inlineStr">
        <is>
          <t>Acondicionador Fructis Food Palta 300ml</t>
        </is>
      </c>
      <c r="E889" t="inlineStr">
        <is>
          <t>FRUCTIS</t>
        </is>
      </c>
      <c r="F889" t="n">
        <v>624.75</v>
      </c>
      <c r="G889" t="n">
        <v>51632</v>
      </c>
      <c r="H889" t="b">
        <v>0</v>
      </c>
      <c r="I889" t="n">
        <v>300</v>
      </c>
      <c r="J889" t="n">
        <v>2.0825</v>
      </c>
      <c r="K889" t="inlineStr">
        <is>
          <t>&gt; Perfumería &gt; Cuidado Capilar &gt; Acondicionador &gt;</t>
        </is>
      </c>
      <c r="L889" t="inlineStr">
        <is>
          <t>acondicionador</t>
        </is>
      </c>
      <c r="M889" t="inlineStr">
        <is>
          <t>estandar</t>
        </is>
      </c>
      <c r="N889" t="inlineStr">
        <is>
          <t>general</t>
        </is>
      </c>
      <c r="O889" t="inlineStr">
        <is>
          <t>https://www.disco.com.ar/acondicionador-fructis-food-palta-300ml/p</t>
        </is>
      </c>
    </row>
    <row r="890">
      <c r="A890" s="10" t="inlineStr">
        <is>
          <t>Disco</t>
        </is>
      </c>
      <c r="B890" s="10" t="n">
        <v>313244</v>
      </c>
      <c r="C890" s="10" t="n">
        <v>312482</v>
      </c>
      <c r="D890" s="10" t="inlineStr">
        <is>
          <t>Acondicionador Fructis Food Banana 300ml</t>
        </is>
      </c>
      <c r="E890" s="10" t="inlineStr">
        <is>
          <t>FRUCTIS</t>
        </is>
      </c>
      <c r="F890" s="10" t="n">
        <v>557.25</v>
      </c>
      <c r="G890" s="10" t="n">
        <v>46054</v>
      </c>
      <c r="H890" s="10" t="b">
        <v>0</v>
      </c>
      <c r="I890" s="10" t="n">
        <v>300</v>
      </c>
      <c r="J890" s="10" t="n">
        <v>1.8575</v>
      </c>
      <c r="K890" s="10" t="inlineStr">
        <is>
          <t>&gt; Perfumería &gt; Cuidado Capilar &gt; Acondicionador &gt;</t>
        </is>
      </c>
      <c r="L890" s="10" t="inlineStr">
        <is>
          <t>acondicionador</t>
        </is>
      </c>
      <c r="M890" s="10" t="inlineStr">
        <is>
          <t>estandar</t>
        </is>
      </c>
      <c r="N890" s="10" t="inlineStr">
        <is>
          <t>general</t>
        </is>
      </c>
      <c r="O890" s="10" t="inlineStr">
        <is>
          <t>https://www.disco.com.ar/acondicionador-fructis-food-banana-300ml/p</t>
        </is>
      </c>
    </row>
    <row r="891">
      <c r="A891" t="inlineStr">
        <is>
          <t>Disco</t>
        </is>
      </c>
      <c r="B891" t="n">
        <v>295739</v>
      </c>
      <c r="C891" t="n">
        <v>294969</v>
      </c>
      <c r="D891" t="inlineStr">
        <is>
          <t>Acondicionador Clear Scalpfoods Detox Diario</t>
        </is>
      </c>
      <c r="E891" t="inlineStr">
        <is>
          <t>CLEAR</t>
        </is>
      </c>
      <c r="F891" t="n">
        <v>134.69</v>
      </c>
      <c r="G891" t="n">
        <v>11131</v>
      </c>
      <c r="H891" t="b">
        <v>0</v>
      </c>
      <c r="I891" t="inlineStr"/>
      <c r="J891" t="inlineStr"/>
      <c r="K891" t="inlineStr">
        <is>
          <t>&gt; Perfumería &gt; Cuidado Capilar &gt; Acondicionador &gt;</t>
        </is>
      </c>
      <c r="L891" t="inlineStr">
        <is>
          <t>acondicionador</t>
        </is>
      </c>
      <c r="M891" t="inlineStr">
        <is>
          <t>estandar</t>
        </is>
      </c>
      <c r="N891" t="inlineStr">
        <is>
          <t>general</t>
        </is>
      </c>
      <c r="O891" t="inlineStr">
        <is>
          <t>https://www.disco.com.ar/acondicionador-clear-scalpfoods-detox-diario/p</t>
        </is>
      </c>
    </row>
    <row r="892">
      <c r="A892" s="10" t="inlineStr">
        <is>
          <t>Disco</t>
        </is>
      </c>
      <c r="B892" s="10" t="n">
        <v>295446</v>
      </c>
      <c r="C892" s="10" t="n">
        <v>294675</v>
      </c>
      <c r="D892" s="10" t="inlineStr">
        <is>
          <t>Acondicionador Plusbelle Esencia Restauracion 1l</t>
        </is>
      </c>
      <c r="E892" s="10" t="inlineStr">
        <is>
          <t>PLUSBELLE</t>
        </is>
      </c>
      <c r="F892" s="10" t="n">
        <v>350</v>
      </c>
      <c r="G892" s="10" t="n">
        <v>28926</v>
      </c>
      <c r="H892" s="10" t="b">
        <v>0</v>
      </c>
      <c r="I892" s="10" t="n">
        <v>1000</v>
      </c>
      <c r="J892" s="10" t="n">
        <v>0.35</v>
      </c>
      <c r="K892" s="10" t="inlineStr">
        <is>
          <t>&gt; Perfumería &gt; Cuidado Capilar &gt; Acondicionador &gt;</t>
        </is>
      </c>
      <c r="L892" s="10" t="inlineStr">
        <is>
          <t>acondicionador</t>
        </is>
      </c>
      <c r="M892" s="10" t="inlineStr">
        <is>
          <t>estandar</t>
        </is>
      </c>
      <c r="N892" s="10" t="inlineStr">
        <is>
          <t>general</t>
        </is>
      </c>
      <c r="O892" s="10" t="inlineStr">
        <is>
          <t>https://www.disco.com.ar/acondicionador-plusbelle-esencia-restauracion-1l/p</t>
        </is>
      </c>
    </row>
    <row r="893">
      <c r="A893" t="inlineStr">
        <is>
          <t>Disco</t>
        </is>
      </c>
      <c r="B893" t="n">
        <v>275363</v>
      </c>
      <c r="C893" t="n">
        <v>274659</v>
      </c>
      <c r="D893" t="inlineStr">
        <is>
          <t>Acondicionador Head &amp; Shoulders Humectacion</t>
        </is>
      </c>
      <c r="E893" t="inlineStr">
        <is>
          <t>HEAD &amp; SHOULDERS</t>
        </is>
      </c>
      <c r="F893" t="n">
        <v>208.19</v>
      </c>
      <c r="G893" t="n">
        <v>17206</v>
      </c>
      <c r="H893" t="b">
        <v>0</v>
      </c>
      <c r="I893" t="inlineStr"/>
      <c r="J893" t="inlineStr"/>
      <c r="K893" t="inlineStr">
        <is>
          <t>&gt; Perfumería &gt; Cuidado Capilar &gt; Acondicionador &gt;</t>
        </is>
      </c>
      <c r="L893" t="inlineStr">
        <is>
          <t>acondicionador</t>
        </is>
      </c>
      <c r="M893" t="inlineStr">
        <is>
          <t>estandar</t>
        </is>
      </c>
      <c r="N893" t="inlineStr">
        <is>
          <t>general</t>
        </is>
      </c>
      <c r="O893" t="inlineStr">
        <is>
          <t>https://www.disco.com.ar/acondicionador-head-shoulders-humectacion/p</t>
        </is>
      </c>
    </row>
    <row r="894">
      <c r="A894" s="10" t="inlineStr">
        <is>
          <t>Disco</t>
        </is>
      </c>
      <c r="B894" s="10" t="n">
        <v>271686</v>
      </c>
      <c r="C894" s="10" t="n">
        <v>271165</v>
      </c>
      <c r="D894" s="10" t="inlineStr">
        <is>
          <t>Acondicionador Sedal Crema Balance 300ml</t>
        </is>
      </c>
      <c r="E894" s="10" t="inlineStr">
        <is>
          <t>SEDAL</t>
        </is>
      </c>
      <c r="F894" s="10" t="n">
        <v>143.73</v>
      </c>
      <c r="G894" s="10" t="n">
        <v>11879</v>
      </c>
      <c r="H894" s="10" t="b">
        <v>0</v>
      </c>
      <c r="I894" s="10" t="n">
        <v>300</v>
      </c>
      <c r="J894" s="10" t="n">
        <v>0.4791</v>
      </c>
      <c r="K894" s="10" t="inlineStr">
        <is>
          <t>&gt; Perfumería &gt; Cuidado Capilar &gt; Acondicionador &gt;</t>
        </is>
      </c>
      <c r="L894" s="10" t="inlineStr">
        <is>
          <t>acondicionador</t>
        </is>
      </c>
      <c r="M894" s="10" t="inlineStr">
        <is>
          <t>estandar</t>
        </is>
      </c>
      <c r="N894" s="10" t="inlineStr">
        <is>
          <t>general</t>
        </is>
      </c>
      <c r="O894" s="10" t="inlineStr">
        <is>
          <t>https://www.disco.com.ar/acondicionador-sedal-crema-balance-300ml/p</t>
        </is>
      </c>
    </row>
    <row r="895">
      <c r="A895" t="inlineStr">
        <is>
          <t>Disco</t>
        </is>
      </c>
      <c r="B895" t="n">
        <v>263628</v>
      </c>
      <c r="C895" t="n">
        <v>263348</v>
      </c>
      <c r="D895" t="inlineStr">
        <is>
          <t>Acondicionador Dove Oleo Micelar 400ml</t>
        </is>
      </c>
      <c r="E895" t="inlineStr">
        <is>
          <t>DOVE</t>
        </is>
      </c>
      <c r="F895" t="n">
        <v>549.95</v>
      </c>
      <c r="G895" t="n">
        <v>45450</v>
      </c>
      <c r="H895" t="b">
        <v>0</v>
      </c>
      <c r="I895" t="n">
        <v>400</v>
      </c>
      <c r="J895" t="n">
        <v>1.3749</v>
      </c>
      <c r="K895" t="inlineStr">
        <is>
          <t>&gt; Perfumería &gt; Cuidado Capilar &gt; Acondicionador &gt;</t>
        </is>
      </c>
      <c r="L895" t="inlineStr">
        <is>
          <t>acondicionador</t>
        </is>
      </c>
      <c r="M895" t="inlineStr">
        <is>
          <t>estandar</t>
        </is>
      </c>
      <c r="N895" t="inlineStr">
        <is>
          <t>general</t>
        </is>
      </c>
      <c r="O895" t="inlineStr">
        <is>
          <t>https://www.disco.com.ar/acondicionador-dove-oleo-micelar-400ml/p</t>
        </is>
      </c>
    </row>
    <row r="896">
      <c r="A896" s="10" t="inlineStr">
        <is>
          <t>Disco</t>
        </is>
      </c>
      <c r="B896" s="10" t="n">
        <v>262719</v>
      </c>
      <c r="C896" s="10" t="n">
        <v>262008</v>
      </c>
      <c r="D896" s="10" t="inlineStr">
        <is>
          <t>Acondicionador Marc Anthony Frizz 250ml</t>
        </is>
      </c>
      <c r="E896" s="10" t="inlineStr">
        <is>
          <t>MARC ANTHONY</t>
        </is>
      </c>
      <c r="F896" s="10" t="n">
        <v>880.29</v>
      </c>
      <c r="G896" s="10" t="n">
        <v>72751</v>
      </c>
      <c r="H896" s="10" t="b">
        <v>0</v>
      </c>
      <c r="I896" s="10" t="n">
        <v>250</v>
      </c>
      <c r="J896" s="10" t="n">
        <v>3.5212</v>
      </c>
      <c r="K896" s="10" t="inlineStr">
        <is>
          <t>&gt; Perfumería &gt; Cuidado Capilar &gt; Acondicionador &gt;</t>
        </is>
      </c>
      <c r="L896" s="10" t="inlineStr">
        <is>
          <t>acondicionador</t>
        </is>
      </c>
      <c r="M896" s="10" t="inlineStr">
        <is>
          <t>estandar</t>
        </is>
      </c>
      <c r="N896" s="10" t="inlineStr">
        <is>
          <t>general</t>
        </is>
      </c>
      <c r="O896" s="10" t="inlineStr">
        <is>
          <t>https://www.disco.com.ar/acondicionador-marc-anthony-frizz-250ml/p</t>
        </is>
      </c>
    </row>
    <row r="897">
      <c r="A897" t="inlineStr">
        <is>
          <t>Disco</t>
        </is>
      </c>
      <c r="B897" t="n">
        <v>261491</v>
      </c>
      <c r="C897" t="n">
        <v>260782</v>
      </c>
      <c r="D897" t="inlineStr">
        <is>
          <t>Acondicionador Plusbelle Detox 1 L</t>
        </is>
      </c>
      <c r="E897" t="inlineStr">
        <is>
          <t>PLUSBELLE</t>
        </is>
      </c>
      <c r="F897" t="n">
        <v>155.65</v>
      </c>
      <c r="G897" t="n">
        <v>12864</v>
      </c>
      <c r="H897" t="b">
        <v>0</v>
      </c>
      <c r="I897" t="n">
        <v>1000</v>
      </c>
      <c r="J897" t="n">
        <v>0.1557</v>
      </c>
      <c r="K897" t="inlineStr">
        <is>
          <t>&gt; Perfumería &gt; Cuidado Capilar &gt; Acondicionador &gt;</t>
        </is>
      </c>
      <c r="L897" t="inlineStr">
        <is>
          <t>acondicionador</t>
        </is>
      </c>
      <c r="M897" t="inlineStr">
        <is>
          <t>estandar</t>
        </is>
      </c>
      <c r="N897" t="inlineStr">
        <is>
          <t>general</t>
        </is>
      </c>
      <c r="O897" t="inlineStr">
        <is>
          <t>https://www.disco.com.ar/acondicionador-plusbelle-detox-1-l/p</t>
        </is>
      </c>
    </row>
    <row r="898">
      <c r="A898" s="10" t="inlineStr">
        <is>
          <t>Disco</t>
        </is>
      </c>
      <c r="B898" s="10" t="n">
        <v>260116</v>
      </c>
      <c r="C898" s="10" t="n">
        <v>259410</v>
      </c>
      <c r="D898" s="10" t="inlineStr">
        <is>
          <t>Acondicionador Alta Moda Detox 300ml</t>
        </is>
      </c>
      <c r="E898" s="10" t="inlineStr">
        <is>
          <t>ALTA MODA</t>
        </is>
      </c>
      <c r="F898" s="10" t="n">
        <v>184.89</v>
      </c>
      <c r="G898" s="10" t="n">
        <v>15280</v>
      </c>
      <c r="H898" s="10" t="b">
        <v>0</v>
      </c>
      <c r="I898" s="10" t="n">
        <v>300</v>
      </c>
      <c r="J898" s="10" t="n">
        <v>0.6163</v>
      </c>
      <c r="K898" s="10" t="inlineStr">
        <is>
          <t>&gt; Perfumería &gt; Cuidado Capilar &gt; Acondicionador &gt;</t>
        </is>
      </c>
      <c r="L898" s="10" t="inlineStr">
        <is>
          <t>acondicionador</t>
        </is>
      </c>
      <c r="M898" s="10" t="inlineStr">
        <is>
          <t>estandar</t>
        </is>
      </c>
      <c r="N898" s="10" t="inlineStr">
        <is>
          <t>general</t>
        </is>
      </c>
      <c r="O898" s="10" t="inlineStr">
        <is>
          <t>https://www.disco.com.ar/acondicionador-alta-moda-detox-300ml/p</t>
        </is>
      </c>
    </row>
    <row r="899">
      <c r="A899" t="inlineStr">
        <is>
          <t>Disco</t>
        </is>
      </c>
      <c r="B899" t="n">
        <v>254986</v>
      </c>
      <c r="C899" t="n">
        <v>254280</v>
      </c>
      <c r="D899" t="inlineStr">
        <is>
          <t>Acondicionador Coco 650 Ml Fructis</t>
        </is>
      </c>
      <c r="E899" t="inlineStr">
        <is>
          <t>FRUCTIS</t>
        </is>
      </c>
      <c r="F899" t="n">
        <v>11550</v>
      </c>
      <c r="G899" t="n">
        <v>954545</v>
      </c>
      <c r="H899" t="b">
        <v>0</v>
      </c>
      <c r="I899" t="n">
        <v>650</v>
      </c>
      <c r="J899" t="n">
        <v>17.7692</v>
      </c>
      <c r="K899" t="inlineStr">
        <is>
          <t>&gt; Perfumería &gt; Cuidado Capilar &gt; Acondicionador &gt;</t>
        </is>
      </c>
      <c r="L899" t="inlineStr">
        <is>
          <t>acondicionador</t>
        </is>
      </c>
      <c r="M899" t="inlineStr">
        <is>
          <t>estandar</t>
        </is>
      </c>
      <c r="N899" t="inlineStr">
        <is>
          <t>general</t>
        </is>
      </c>
      <c r="O899" t="inlineStr">
        <is>
          <t>https://www.disco.com.ar/acondicionador-coco-650-ml-fructis/p</t>
        </is>
      </c>
    </row>
    <row r="900">
      <c r="A900" s="10" t="inlineStr">
        <is>
          <t>Disco</t>
        </is>
      </c>
      <c r="B900" s="10" t="n">
        <v>213452</v>
      </c>
      <c r="C900" s="10" t="n">
        <v>234226</v>
      </c>
      <c r="D900" s="10" t="inlineStr">
        <is>
          <t>Acondicionador Pantene-restauración-pvc-ml.-500</t>
        </is>
      </c>
      <c r="E900" s="10" t="inlineStr">
        <is>
          <t>PANTENE</t>
        </is>
      </c>
      <c r="F900" s="10" t="n">
        <v>17.39</v>
      </c>
      <c r="G900" s="10" t="n">
        <v>17.39</v>
      </c>
      <c r="H900" s="10" t="b">
        <v>0</v>
      </c>
      <c r="I900" s="10" t="inlineStr"/>
      <c r="J900" s="10" t="inlineStr"/>
      <c r="K900" s="10" t="inlineStr">
        <is>
          <t>&gt; Perfumería &gt; Cuidado Capilar &gt; Acondicionador &gt;</t>
        </is>
      </c>
      <c r="L900" s="10" t="inlineStr">
        <is>
          <t>acondicionador</t>
        </is>
      </c>
      <c r="M900" s="10" t="inlineStr">
        <is>
          <t>estandar</t>
        </is>
      </c>
      <c r="N900" s="10" t="inlineStr">
        <is>
          <t>general</t>
        </is>
      </c>
      <c r="O900" s="10" t="inlineStr">
        <is>
          <t>https://www.disco.com.ar/acondicionador-pantene-restauracion-pvc-ml-500-375624/p</t>
        </is>
      </c>
    </row>
    <row r="901">
      <c r="A901" t="inlineStr">
        <is>
          <t>Disco</t>
        </is>
      </c>
      <c r="B901" t="n">
        <v>179237</v>
      </c>
      <c r="C901" t="n">
        <v>197331</v>
      </c>
      <c r="D901" t="inlineStr">
        <is>
          <t>Acondicionador Aquamarine X 240 Cc</t>
        </is>
      </c>
      <c r="E901" t="inlineStr">
        <is>
          <t>AQUAMARINE</t>
        </is>
      </c>
      <c r="F901" t="n">
        <v>2.69</v>
      </c>
      <c r="G901" t="n">
        <v>2.69</v>
      </c>
      <c r="H901" t="b">
        <v>0</v>
      </c>
      <c r="I901" t="inlineStr"/>
      <c r="J901" t="inlineStr"/>
      <c r="K901" t="inlineStr">
        <is>
          <t>&gt; Perfumería &gt; Cuidado Capilar &gt; Acondicionador &gt;</t>
        </is>
      </c>
      <c r="L901" t="inlineStr">
        <is>
          <t>acondicionador</t>
        </is>
      </c>
      <c r="M901" t="inlineStr">
        <is>
          <t>estandar</t>
        </is>
      </c>
      <c r="N901" t="inlineStr">
        <is>
          <t>general</t>
        </is>
      </c>
      <c r="O901" t="inlineStr">
        <is>
          <t>https://www.disco.com.ar/acondicionador-aquamarine-x-240-cc/p</t>
        </is>
      </c>
    </row>
    <row r="902">
      <c r="A902" s="10" t="inlineStr">
        <is>
          <t>Disco</t>
        </is>
      </c>
      <c r="B902" s="10" t="n">
        <v>159648</v>
      </c>
      <c r="C902" s="10" t="n">
        <v>157206</v>
      </c>
      <c r="D902" s="10" t="inlineStr">
        <is>
          <t>Acondicionador Comfort Clásico 2 L</t>
        </is>
      </c>
      <c r="E902" s="10" t="inlineStr">
        <is>
          <t>COMFORT</t>
        </is>
      </c>
      <c r="F902" s="10" t="n">
        <v>20.87</v>
      </c>
      <c r="G902" s="10" t="n">
        <v>20.87</v>
      </c>
      <c r="H902" s="10" t="b">
        <v>0</v>
      </c>
      <c r="I902" s="10" t="n">
        <v>2000</v>
      </c>
      <c r="J902" s="10" t="n">
        <v>0.0104</v>
      </c>
      <c r="K902" s="10" t="inlineStr">
        <is>
          <t>&gt; Limpieza &gt; Cuidado Para La Ropa &gt; Suavizantes &gt;</t>
        </is>
      </c>
      <c r="L902" s="10" t="inlineStr">
        <is>
          <t>acondicionador</t>
        </is>
      </c>
      <c r="M902" s="10" t="inlineStr">
        <is>
          <t>estandar</t>
        </is>
      </c>
      <c r="N902" s="10" t="inlineStr">
        <is>
          <t>general</t>
        </is>
      </c>
      <c r="O902" s="10" t="inlineStr">
        <is>
          <t>https://www.disco.com.ar/acondicionador-comfort-clasico-2-l-2/p</t>
        </is>
      </c>
    </row>
    <row r="903">
      <c r="A903" t="inlineStr">
        <is>
          <t>Disco</t>
        </is>
      </c>
      <c r="B903" t="n">
        <v>146506</v>
      </c>
      <c r="C903" t="n">
        <v>143414</v>
      </c>
      <c r="D903" t="inlineStr">
        <is>
          <t>Acondicionador Herbal Ess Prolonga 300ml Acondicionador Herbal Essences Prolóngalos 300 Ml</t>
        </is>
      </c>
      <c r="E903" t="inlineStr">
        <is>
          <t>HERBAL ESSENCES</t>
        </is>
      </c>
      <c r="F903" t="n">
        <v>157.69</v>
      </c>
      <c r="G903" t="n">
        <v>13032</v>
      </c>
      <c r="H903" t="b">
        <v>0</v>
      </c>
      <c r="I903" t="n">
        <v>300</v>
      </c>
      <c r="J903" t="n">
        <v>0.5256</v>
      </c>
      <c r="K903" t="inlineStr">
        <is>
          <t>&gt; Perfumería &gt; Cuidado Capilar &gt; Acondicionador &gt;</t>
        </is>
      </c>
      <c r="L903" t="inlineStr">
        <is>
          <t>acondicionador</t>
        </is>
      </c>
      <c r="M903" t="inlineStr">
        <is>
          <t>estandar</t>
        </is>
      </c>
      <c r="N903" t="inlineStr">
        <is>
          <t>general</t>
        </is>
      </c>
      <c r="O903" t="inlineStr">
        <is>
          <t>https://www.disco.com.ar/acondicionador-herbal-ess-prolonga-300ml/p</t>
        </is>
      </c>
    </row>
    <row r="904">
      <c r="A904" s="10" t="inlineStr">
        <is>
          <t>Disco</t>
        </is>
      </c>
      <c r="B904" s="10" t="n">
        <v>130651</v>
      </c>
      <c r="C904" s="10" t="n">
        <v>127580</v>
      </c>
      <c r="D904" s="10" t="inlineStr">
        <is>
          <t>Acondicionador Pantene Fusión Naturaleza 750ml</t>
        </is>
      </c>
      <c r="E904" s="10" t="inlineStr">
        <is>
          <t>PANTENE</t>
        </is>
      </c>
      <c r="F904" s="10" t="n">
        <v>284.77</v>
      </c>
      <c r="G904" s="10" t="n">
        <v>23535</v>
      </c>
      <c r="H904" s="10" t="b">
        <v>0</v>
      </c>
      <c r="I904" s="10" t="n">
        <v>750</v>
      </c>
      <c r="J904" s="10" t="n">
        <v>0.3797</v>
      </c>
      <c r="K904" s="10" t="inlineStr">
        <is>
          <t>&gt; Perfumería &gt; Cuidado Capilar &gt; Acondicionador &gt;</t>
        </is>
      </c>
      <c r="L904" s="10" t="inlineStr">
        <is>
          <t>acondicionador</t>
        </is>
      </c>
      <c r="M904" s="10" t="inlineStr">
        <is>
          <t>estandar</t>
        </is>
      </c>
      <c r="N904" s="10" t="inlineStr">
        <is>
          <t>general</t>
        </is>
      </c>
      <c r="O904" s="10" t="inlineStr">
        <is>
          <t>https://www.disco.com.ar/acondicionador-pantene-fusion-naturaleza-750ml/p</t>
        </is>
      </c>
    </row>
    <row r="905">
      <c r="A905" t="inlineStr">
        <is>
          <t>Disco</t>
        </is>
      </c>
      <c r="B905" t="n">
        <v>57755</v>
      </c>
      <c r="C905" t="n">
        <v>54910</v>
      </c>
      <c r="D905" t="inlineStr">
        <is>
          <t>Acondicionador Sedal Pvc 200 Ml</t>
        </is>
      </c>
      <c r="E905" t="inlineStr">
        <is>
          <t>SEDAL</t>
        </is>
      </c>
      <c r="F905" t="n">
        <v>5.45</v>
      </c>
      <c r="G905" t="n">
        <v>5.45</v>
      </c>
      <c r="H905" t="b">
        <v>0</v>
      </c>
      <c r="I905" t="n">
        <v>200</v>
      </c>
      <c r="J905" t="n">
        <v>0.0272</v>
      </c>
      <c r="K905" t="inlineStr">
        <is>
          <t>&gt; Perfumería &gt; Cuidado Capilar &gt; Acondicionador &gt;</t>
        </is>
      </c>
      <c r="L905" t="inlineStr">
        <is>
          <t>acondicionador</t>
        </is>
      </c>
      <c r="M905" t="inlineStr">
        <is>
          <t>estandar</t>
        </is>
      </c>
      <c r="N905" t="inlineStr">
        <is>
          <t>general</t>
        </is>
      </c>
      <c r="O905" t="inlineStr">
        <is>
          <t>https://www.disco.com.ar/acondicionador-sedal-pvc-200-ml/p</t>
        </is>
      </c>
    </row>
    <row r="906">
      <c r="A906" s="10" t="inlineStr">
        <is>
          <t>Disco</t>
        </is>
      </c>
      <c r="B906" s="10" t="n">
        <v>41369</v>
      </c>
      <c r="C906" s="10" t="n">
        <v>38534</v>
      </c>
      <c r="D906" s="10" t="inlineStr">
        <is>
          <t>Acondicionador Fructis Goodbye Daños 350ml</t>
        </is>
      </c>
      <c r="E906" s="10" t="inlineStr">
        <is>
          <t>FRUCTIS</t>
        </is>
      </c>
      <c r="F906" s="10" t="n">
        <v>596.99</v>
      </c>
      <c r="G906" s="10" t="n">
        <v>49338</v>
      </c>
      <c r="H906" s="10" t="b">
        <v>0</v>
      </c>
      <c r="I906" s="10" t="n">
        <v>350</v>
      </c>
      <c r="J906" s="10" t="n">
        <v>1.7057</v>
      </c>
      <c r="K906" s="10" t="inlineStr">
        <is>
          <t>&gt; Perfumería &gt; Cuidado Capilar &gt; Acondicionador &gt;</t>
        </is>
      </c>
      <c r="L906" s="10" t="inlineStr">
        <is>
          <t>acondicionador</t>
        </is>
      </c>
      <c r="M906" s="10" t="inlineStr">
        <is>
          <t>estandar</t>
        </is>
      </c>
      <c r="N906" s="10" t="inlineStr">
        <is>
          <t>general</t>
        </is>
      </c>
      <c r="O906" s="10" t="inlineStr">
        <is>
          <t>https://www.disco.com.ar/acondicionador-fructis-goodbye-danos-350ml-2/p</t>
        </is>
      </c>
    </row>
    <row r="907">
      <c r="A907" t="inlineStr">
        <is>
          <t>Disco</t>
        </is>
      </c>
      <c r="B907" t="n">
        <v>32220</v>
      </c>
      <c r="C907" t="n">
        <v>29379</v>
      </c>
      <c r="D907" t="inlineStr">
        <is>
          <t>Acondicionador Elvive Kera Brillo 750ml</t>
        </is>
      </c>
      <c r="E907" t="inlineStr">
        <is>
          <t>ELVIVE</t>
        </is>
      </c>
      <c r="F907" t="n">
        <v>745.65</v>
      </c>
      <c r="G907" t="n">
        <v>61624</v>
      </c>
      <c r="H907" t="b">
        <v>0</v>
      </c>
      <c r="I907" t="n">
        <v>750</v>
      </c>
      <c r="J907" t="n">
        <v>0.9942</v>
      </c>
      <c r="K907" t="inlineStr">
        <is>
          <t>&gt; Perfumería &gt; Cuidado Capilar &gt; Acondicionador &gt;</t>
        </is>
      </c>
      <c r="L907" t="inlineStr">
        <is>
          <t>acondicionador</t>
        </is>
      </c>
      <c r="M907" t="inlineStr">
        <is>
          <t>profesional</t>
        </is>
      </c>
      <c r="N907" t="inlineStr">
        <is>
          <t>general</t>
        </is>
      </c>
      <c r="O907" t="inlineStr">
        <is>
          <t>https://www.disco.com.ar/acondicionador-elvive-kera-brillo-750ml/p</t>
        </is>
      </c>
    </row>
    <row r="908">
      <c r="A908" s="10" t="inlineStr">
        <is>
          <t>Disco</t>
        </is>
      </c>
      <c r="B908" s="10" t="n">
        <v>32208</v>
      </c>
      <c r="C908" s="10" t="n">
        <v>29367</v>
      </c>
      <c r="D908" s="10" t="inlineStr">
        <is>
          <t>Acondicionador Elvive Kera Liso 750ml</t>
        </is>
      </c>
      <c r="E908" s="10" t="inlineStr">
        <is>
          <t>ELVIVE</t>
        </is>
      </c>
      <c r="F908" s="10" t="n">
        <v>683.47</v>
      </c>
      <c r="G908" s="10" t="n">
        <v>56485</v>
      </c>
      <c r="H908" s="10" t="b">
        <v>0</v>
      </c>
      <c r="I908" s="10" t="n">
        <v>750</v>
      </c>
      <c r="J908" s="10" t="n">
        <v>0.9113</v>
      </c>
      <c r="K908" s="10" t="inlineStr">
        <is>
          <t>&gt; Perfumería &gt; Cuidado Capilar &gt; Acondicionador &gt;</t>
        </is>
      </c>
      <c r="L908" s="10" t="inlineStr">
        <is>
          <t>acondicionador</t>
        </is>
      </c>
      <c r="M908" s="10" t="inlineStr">
        <is>
          <t>profesional</t>
        </is>
      </c>
      <c r="N908" s="10" t="inlineStr">
        <is>
          <t>general</t>
        </is>
      </c>
      <c r="O908" s="10" t="inlineStr">
        <is>
          <t>https://www.disco.com.ar/acondicionador-elvive-kera-liso-750ml/p</t>
        </is>
      </c>
    </row>
    <row r="909">
      <c r="A909" t="inlineStr">
        <is>
          <t>Disco</t>
        </is>
      </c>
      <c r="B909" t="n">
        <v>31505</v>
      </c>
      <c r="C909" t="n">
        <v>28664</v>
      </c>
      <c r="D909" t="inlineStr">
        <is>
          <t>Acondicionador Elvive Color Vive 400ml</t>
        </is>
      </c>
      <c r="E909" t="inlineStr">
        <is>
          <t>ELVIVE</t>
        </is>
      </c>
      <c r="F909" t="n">
        <v>533.85</v>
      </c>
      <c r="G909" t="n">
        <v>44120</v>
      </c>
      <c r="H909" t="b">
        <v>0</v>
      </c>
      <c r="I909" t="n">
        <v>400</v>
      </c>
      <c r="J909" t="n">
        <v>1.3346</v>
      </c>
      <c r="K909" t="inlineStr">
        <is>
          <t>&gt; Perfumería &gt; Cuidado Capilar &gt; Acondicionador &gt;</t>
        </is>
      </c>
      <c r="L909" t="inlineStr">
        <is>
          <t>acondicionador</t>
        </is>
      </c>
      <c r="M909" t="inlineStr">
        <is>
          <t>profesional</t>
        </is>
      </c>
      <c r="N909" t="inlineStr">
        <is>
          <t>tratado</t>
        </is>
      </c>
      <c r="O909" t="inlineStr">
        <is>
          <t>https://www.disco.com.ar/acondicionador-elvive-color-vive-400ml-2/p</t>
        </is>
      </c>
    </row>
    <row r="910">
      <c r="A910" s="10" t="inlineStr">
        <is>
          <t>Disco</t>
        </is>
      </c>
      <c r="B910" s="10" t="n">
        <v>31315</v>
      </c>
      <c r="C910" s="10" t="n">
        <v>28474</v>
      </c>
      <c r="D910" s="10" t="inlineStr">
        <is>
          <t>Acondicionador Elvive Kera Liso 400ml</t>
        </is>
      </c>
      <c r="E910" s="10" t="inlineStr">
        <is>
          <t>ELVIVE</t>
        </is>
      </c>
      <c r="F910" s="10" t="n">
        <v>533.85</v>
      </c>
      <c r="G910" s="10" t="n">
        <v>44120</v>
      </c>
      <c r="H910" s="10" t="b">
        <v>0</v>
      </c>
      <c r="I910" s="10" t="n">
        <v>400</v>
      </c>
      <c r="J910" s="10" t="n">
        <v>1.3346</v>
      </c>
      <c r="K910" s="10" t="inlineStr">
        <is>
          <t>&gt; Perfumería &gt; Cuidado Capilar &gt; Acondicionador &gt;</t>
        </is>
      </c>
      <c r="L910" s="10" t="inlineStr">
        <is>
          <t>acondicionador</t>
        </is>
      </c>
      <c r="M910" s="10" t="inlineStr">
        <is>
          <t>profesional</t>
        </is>
      </c>
      <c r="N910" s="10" t="inlineStr">
        <is>
          <t>general</t>
        </is>
      </c>
      <c r="O910" s="10" t="inlineStr">
        <is>
          <t>https://www.disco.com.ar/acondicionador-elvive-kera-liso-400ml-2/p</t>
        </is>
      </c>
    </row>
    <row r="911">
      <c r="A911" t="inlineStr">
        <is>
          <t>Disco</t>
        </is>
      </c>
      <c r="B911" t="n">
        <v>30912</v>
      </c>
      <c r="C911" t="n">
        <v>28071</v>
      </c>
      <c r="D911" t="inlineStr">
        <is>
          <t>Acondicionador Elvive Kera Brillo 200ml</t>
        </is>
      </c>
      <c r="E911" t="inlineStr">
        <is>
          <t>ELVIVE</t>
        </is>
      </c>
      <c r="F911" t="n">
        <v>330.19</v>
      </c>
      <c r="G911" t="n">
        <v>27288</v>
      </c>
      <c r="H911" t="b">
        <v>0</v>
      </c>
      <c r="I911" t="n">
        <v>200</v>
      </c>
      <c r="J911" t="n">
        <v>1.6509</v>
      </c>
      <c r="K911" t="inlineStr">
        <is>
          <t>&gt; Perfumería &gt; Cuidado Capilar &gt; Acondicionador &gt;</t>
        </is>
      </c>
      <c r="L911" t="inlineStr">
        <is>
          <t>acondicionador</t>
        </is>
      </c>
      <c r="M911" t="inlineStr">
        <is>
          <t>profesional</t>
        </is>
      </c>
      <c r="N911" t="inlineStr">
        <is>
          <t>general</t>
        </is>
      </c>
      <c r="O911" t="inlineStr">
        <is>
          <t>https://www.disco.com.ar/acondicionador-elvive-kera-brillo-200ml/p</t>
        </is>
      </c>
    </row>
    <row r="912">
      <c r="A912" s="10" t="inlineStr">
        <is>
          <t>Disco</t>
        </is>
      </c>
      <c r="B912" s="10" t="n">
        <v>28027</v>
      </c>
      <c r="C912" s="10" t="n">
        <v>25186</v>
      </c>
      <c r="D912" s="10" t="inlineStr">
        <is>
          <t>Acondicionador Plusbelle Alisado X-tremo</t>
        </is>
      </c>
      <c r="E912" s="10" t="inlineStr">
        <is>
          <t>PLUSBELLE</t>
        </is>
      </c>
      <c r="F912" s="10" t="n">
        <v>155.25</v>
      </c>
      <c r="G912" s="10" t="n">
        <v>12831</v>
      </c>
      <c r="H912" s="10" t="b">
        <v>0</v>
      </c>
      <c r="I912" s="10" t="inlineStr"/>
      <c r="J912" s="10" t="inlineStr"/>
      <c r="K912" s="10" t="inlineStr">
        <is>
          <t>&gt; Perfumería &gt; Cuidado Capilar &gt; Acondicionador &gt;</t>
        </is>
      </c>
      <c r="L912" s="10" t="inlineStr">
        <is>
          <t>acondicionador</t>
        </is>
      </c>
      <c r="M912" s="10" t="inlineStr">
        <is>
          <t>estandar</t>
        </is>
      </c>
      <c r="N912" s="10" t="inlineStr">
        <is>
          <t>tratado</t>
        </is>
      </c>
      <c r="O912" s="10" t="inlineStr">
        <is>
          <t>https://www.disco.com.ar/acondicionador-plusbelle-alisado-x-tremo/p</t>
        </is>
      </c>
    </row>
    <row r="913">
      <c r="A913" t="inlineStr">
        <is>
          <t>Disco</t>
        </is>
      </c>
      <c r="B913" t="n">
        <v>28019</v>
      </c>
      <c r="C913" t="n">
        <v>25178</v>
      </c>
      <c r="D913" t="inlineStr">
        <is>
          <t>Acondicionador Head &amp; Shoulders Winter 400 Ml</t>
        </is>
      </c>
      <c r="E913" t="inlineStr">
        <is>
          <t>HEAD &amp; SHOULDERS</t>
        </is>
      </c>
      <c r="F913" t="n">
        <v>167.29</v>
      </c>
      <c r="G913" t="n">
        <v>13826</v>
      </c>
      <c r="H913" t="b">
        <v>0</v>
      </c>
      <c r="I913" t="n">
        <v>400</v>
      </c>
      <c r="J913" t="n">
        <v>0.4182</v>
      </c>
      <c r="K913" t="inlineStr">
        <is>
          <t>&gt; Perfumería &gt; Cuidado Capilar &gt; Acondicionador &gt;</t>
        </is>
      </c>
      <c r="L913" t="inlineStr">
        <is>
          <t>acondicionador</t>
        </is>
      </c>
      <c r="M913" t="inlineStr">
        <is>
          <t>estandar</t>
        </is>
      </c>
      <c r="N913" t="inlineStr">
        <is>
          <t>general</t>
        </is>
      </c>
      <c r="O913" t="inlineStr">
        <is>
          <t>https://www.disco.com.ar/acondicionador-head-shoulders-winter-2/p</t>
        </is>
      </c>
    </row>
    <row r="914">
      <c r="A914" s="10" t="inlineStr">
        <is>
          <t>Disco</t>
        </is>
      </c>
      <c r="B914" s="10" t="n">
        <v>27986</v>
      </c>
      <c r="C914" s="10" t="n">
        <v>25145</v>
      </c>
      <c r="D914" s="10" t="inlineStr">
        <is>
          <t>Acondicionador Head &amp; Shoulders Winter 200 Ml</t>
        </is>
      </c>
      <c r="E914" s="10" t="inlineStr">
        <is>
          <t>HEAD &amp; SHOULDERS</t>
        </is>
      </c>
      <c r="F914" s="10" t="n">
        <v>45.29</v>
      </c>
      <c r="G914" s="10" t="n">
        <v>3743</v>
      </c>
      <c r="H914" s="10" t="b">
        <v>0</v>
      </c>
      <c r="I914" s="10" t="n">
        <v>200</v>
      </c>
      <c r="J914" s="10" t="n">
        <v>0.2264</v>
      </c>
      <c r="K914" s="10" t="inlineStr">
        <is>
          <t>&gt; Perfumería &gt; Cuidado Capilar &gt; Acondicionador &gt;</t>
        </is>
      </c>
      <c r="L914" s="10" t="inlineStr">
        <is>
          <t>acondicionador</t>
        </is>
      </c>
      <c r="M914" s="10" t="inlineStr">
        <is>
          <t>estandar</t>
        </is>
      </c>
      <c r="N914" s="10" t="inlineStr">
        <is>
          <t>general</t>
        </is>
      </c>
      <c r="O914" s="10" t="inlineStr">
        <is>
          <t>https://www.disco.com.ar/acondicionador-head-shoulders-winter/p</t>
        </is>
      </c>
    </row>
    <row r="915">
      <c r="A915" t="inlineStr">
        <is>
          <t>Disco</t>
        </is>
      </c>
      <c r="B915" t="n">
        <v>22428</v>
      </c>
      <c r="C915" t="n">
        <v>19590</v>
      </c>
      <c r="D915" t="inlineStr">
        <is>
          <t>Acondicionador Elvive Rizos Hidr 400ml</t>
        </is>
      </c>
      <c r="E915" t="inlineStr">
        <is>
          <t>ELVIVE</t>
        </is>
      </c>
      <c r="F915" t="n">
        <v>850</v>
      </c>
      <c r="G915" t="n">
        <v>70248</v>
      </c>
      <c r="H915" t="b">
        <v>0</v>
      </c>
      <c r="I915" t="n">
        <v>400</v>
      </c>
      <c r="J915" t="n">
        <v>2.125</v>
      </c>
      <c r="K915" t="inlineStr">
        <is>
          <t>&gt; Perfumería &gt; Cuidado Capilar &gt; Acondicionador &gt;</t>
        </is>
      </c>
      <c r="L915" t="inlineStr">
        <is>
          <t>acondicionador</t>
        </is>
      </c>
      <c r="M915" t="inlineStr">
        <is>
          <t>profesional</t>
        </is>
      </c>
      <c r="N915" t="inlineStr">
        <is>
          <t>rizado</t>
        </is>
      </c>
      <c r="O915" t="inlineStr">
        <is>
          <t>https://www.disco.com.ar/acondicionador-elvive-rizos-hidr-400ml/p</t>
        </is>
      </c>
    </row>
    <row r="916">
      <c r="A916" s="10" t="inlineStr">
        <is>
          <t>Disco</t>
        </is>
      </c>
      <c r="B916" s="10" t="n">
        <v>19664</v>
      </c>
      <c r="C916" s="10" t="n">
        <v>16828</v>
      </c>
      <c r="D916" s="10" t="inlineStr">
        <is>
          <t>Acondicionador Sedal Pureza Detox 340ml</t>
        </is>
      </c>
      <c r="E916" s="10" t="inlineStr">
        <is>
          <t>SEDAL</t>
        </is>
      </c>
      <c r="F916" s="10" t="n">
        <v>155.69</v>
      </c>
      <c r="G916" s="10" t="n">
        <v>12867</v>
      </c>
      <c r="H916" s="10" t="b">
        <v>0</v>
      </c>
      <c r="I916" s="10" t="n">
        <v>340</v>
      </c>
      <c r="J916" s="10" t="n">
        <v>0.4579</v>
      </c>
      <c r="K916" s="10" t="inlineStr">
        <is>
          <t>&gt; Perfumería &gt; Cuidado Capilar &gt; Acondicionador &gt;</t>
        </is>
      </c>
      <c r="L916" s="10" t="inlineStr">
        <is>
          <t>acondicionador</t>
        </is>
      </c>
      <c r="M916" s="10" t="inlineStr">
        <is>
          <t>estandar</t>
        </is>
      </c>
      <c r="N916" s="10" t="inlineStr">
        <is>
          <t>general</t>
        </is>
      </c>
      <c r="O916" s="10" t="inlineStr">
        <is>
          <t>https://www.disco.com.ar/acondicionador-sedal-pureza-detox-340ml/p</t>
        </is>
      </c>
    </row>
    <row r="917">
      <c r="A917" t="inlineStr">
        <is>
          <t>Disco</t>
        </is>
      </c>
      <c r="B917" t="n">
        <v>18072</v>
      </c>
      <c r="C917" t="n">
        <v>15169</v>
      </c>
      <c r="D917" t="inlineStr">
        <is>
          <t>Acondicionador Antiall Cosmético 350 Ml</t>
        </is>
      </c>
      <c r="E917" t="inlineStr">
        <is>
          <t>ANTIALL</t>
        </is>
      </c>
      <c r="F917" t="n">
        <v>47.79</v>
      </c>
      <c r="G917" t="n">
        <v>3950</v>
      </c>
      <c r="H917" t="b">
        <v>0</v>
      </c>
      <c r="I917" t="n">
        <v>350</v>
      </c>
      <c r="J917" t="n">
        <v>0.1365</v>
      </c>
      <c r="K917" t="inlineStr">
        <is>
          <t>&gt; Perfumería &gt; Cuidado Capilar &gt; Acondicionador &gt;</t>
        </is>
      </c>
      <c r="L917" t="inlineStr">
        <is>
          <t>acondicionador</t>
        </is>
      </c>
      <c r="M917" t="inlineStr">
        <is>
          <t>estandar</t>
        </is>
      </c>
      <c r="N917" t="inlineStr">
        <is>
          <t>general</t>
        </is>
      </c>
      <c r="O917" t="inlineStr">
        <is>
          <t>https://www.disco.com.ar/acondicionador-antiall-cosmetico-350-ml/p</t>
        </is>
      </c>
    </row>
    <row r="918">
      <c r="A918" s="10" t="inlineStr">
        <is>
          <t>Disco</t>
        </is>
      </c>
      <c r="B918" s="10" t="n">
        <v>7785</v>
      </c>
      <c r="C918" s="10" t="n">
        <v>5109</v>
      </c>
      <c r="D918" s="10" t="inlineStr">
        <is>
          <t>Acondicionador Pantene Liso Sedoso 400ml</t>
        </is>
      </c>
      <c r="E918" s="10" t="inlineStr">
        <is>
          <t>PANTENE</t>
        </is>
      </c>
      <c r="F918" s="10" t="n">
        <v>315.75</v>
      </c>
      <c r="G918" s="10" t="n">
        <v>26095</v>
      </c>
      <c r="H918" s="10" t="b">
        <v>0</v>
      </c>
      <c r="I918" s="10" t="n">
        <v>400</v>
      </c>
      <c r="J918" s="10" t="n">
        <v>0.7894</v>
      </c>
      <c r="K918" s="10" t="inlineStr">
        <is>
          <t>&gt; Perfumería &gt; Cuidado Capilar &gt; Acondicionador &gt;</t>
        </is>
      </c>
      <c r="L918" s="10" t="inlineStr">
        <is>
          <t>acondicionador</t>
        </is>
      </c>
      <c r="M918" s="10" t="inlineStr">
        <is>
          <t>estandar</t>
        </is>
      </c>
      <c r="N918" s="10" t="inlineStr">
        <is>
          <t>general</t>
        </is>
      </c>
      <c r="O918" s="10" t="inlineStr">
        <is>
          <t>https://www.disco.com.ar/acondicionador-pantene-liso-sedoso-400ml/p</t>
        </is>
      </c>
    </row>
    <row r="919">
      <c r="A919" t="inlineStr">
        <is>
          <t>Disco</t>
        </is>
      </c>
      <c r="B919" t="n">
        <v>7694</v>
      </c>
      <c r="C919" t="n">
        <v>5020</v>
      </c>
      <c r="D919" t="inlineStr">
        <is>
          <t>Acondicionador Elvive Rt5 Extreme 200ml</t>
        </is>
      </c>
      <c r="E919" t="inlineStr">
        <is>
          <t>ELVIVE</t>
        </is>
      </c>
      <c r="F919" t="n">
        <v>290.85</v>
      </c>
      <c r="G919" t="n">
        <v>24037</v>
      </c>
      <c r="H919" t="b">
        <v>0</v>
      </c>
      <c r="I919" t="n">
        <v>200</v>
      </c>
      <c r="J919" t="n">
        <v>1.4543</v>
      </c>
      <c r="K919" t="inlineStr">
        <is>
          <t>&gt; Perfumería &gt; Cuidado Capilar &gt; Acondicionador &gt;</t>
        </is>
      </c>
      <c r="L919" t="inlineStr">
        <is>
          <t>acondicionador</t>
        </is>
      </c>
      <c r="M919" t="inlineStr">
        <is>
          <t>profesional</t>
        </is>
      </c>
      <c r="N919" t="inlineStr">
        <is>
          <t>general</t>
        </is>
      </c>
      <c r="O919" t="inlineStr">
        <is>
          <t>https://www.disco.com.ar/acondicionador-elvive-rt5-extreme-200ml/p</t>
        </is>
      </c>
    </row>
    <row r="920">
      <c r="A920" s="10" t="inlineStr">
        <is>
          <t>Disco</t>
        </is>
      </c>
      <c r="B920" s="10" t="n">
        <v>3087929</v>
      </c>
      <c r="C920" s="10" t="n">
        <v>3087157</v>
      </c>
      <c r="D920" s="10" t="inlineStr">
        <is>
          <t>Acondicionador Elvive Lifter Colageno 7500ml</t>
        </is>
      </c>
      <c r="E920" s="10" t="inlineStr">
        <is>
          <t>ELVIVE</t>
        </is>
      </c>
      <c r="F920" s="10" t="n">
        <v>21000</v>
      </c>
      <c r="G920" s="10" t="n">
        <v>1735537</v>
      </c>
      <c r="H920" s="10" t="b">
        <v>0</v>
      </c>
      <c r="I920" s="10" t="n">
        <v>7500</v>
      </c>
      <c r="J920" s="10" t="n">
        <v>2.8</v>
      </c>
      <c r="K920" s="10" t="inlineStr">
        <is>
          <t>&gt; Perfumería &gt; Cuidado Capilar &gt; Acondicionador &gt;</t>
        </is>
      </c>
      <c r="L920" s="10" t="inlineStr">
        <is>
          <t>acondicionador</t>
        </is>
      </c>
      <c r="M920" s="10" t="inlineStr">
        <is>
          <t>profesional</t>
        </is>
      </c>
      <c r="N920" s="10" t="inlineStr">
        <is>
          <t>general</t>
        </is>
      </c>
      <c r="O920" s="10" t="inlineStr">
        <is>
          <t>https://www.disco.com.ar/acondicionador-elvive-lifter-colageno-7500ml/p</t>
        </is>
      </c>
    </row>
    <row r="921">
      <c r="A921" t="inlineStr">
        <is>
          <t>Disco</t>
        </is>
      </c>
      <c r="B921" t="n">
        <v>3068520</v>
      </c>
      <c r="C921" t="n">
        <v>3068259</v>
      </c>
      <c r="D921" t="inlineStr">
        <is>
          <t>Acondicionador Antioxi 1000 Ml Plusbelle</t>
        </is>
      </c>
      <c r="E921" t="inlineStr">
        <is>
          <t>PLUSBELLE</t>
        </is>
      </c>
      <c r="F921" t="n">
        <v>5600</v>
      </c>
      <c r="G921" t="n">
        <v>462810</v>
      </c>
      <c r="H921" t="b">
        <v>0</v>
      </c>
      <c r="I921" t="n">
        <v>1000</v>
      </c>
      <c r="J921" t="n">
        <v>5.6</v>
      </c>
      <c r="K921" t="inlineStr">
        <is>
          <t>&gt; Perfumería &gt; Cuidado Capilar &gt; Acondicionador &gt;</t>
        </is>
      </c>
      <c r="L921" t="inlineStr">
        <is>
          <t>acondicionador</t>
        </is>
      </c>
      <c r="M921" t="inlineStr">
        <is>
          <t>estandar</t>
        </is>
      </c>
      <c r="N921" t="inlineStr">
        <is>
          <t>general</t>
        </is>
      </c>
      <c r="O921" t="inlineStr">
        <is>
          <t>https://www.disco.com.ar/acondicionador-antioxi-1000-ml-plusbelle/p</t>
        </is>
      </c>
    </row>
    <row r="922">
      <c r="A922" s="10" t="inlineStr">
        <is>
          <t>Disco</t>
        </is>
      </c>
      <c r="B922" s="10" t="n">
        <v>412490</v>
      </c>
      <c r="C922" s="10" t="n">
        <v>408099</v>
      </c>
      <c r="D922" s="10" t="inlineStr">
        <is>
          <t>Acondicionador Fructis Rizos Poderosos 200ml</t>
        </is>
      </c>
      <c r="E922" s="10" t="inlineStr">
        <is>
          <t>FRUCTIS</t>
        </is>
      </c>
      <c r="F922" s="10" t="n">
        <v>4850</v>
      </c>
      <c r="G922" s="10" t="n">
        <v>400826</v>
      </c>
      <c r="H922" s="10" t="b">
        <v>0</v>
      </c>
      <c r="I922" s="10" t="n">
        <v>200</v>
      </c>
      <c r="J922" s="10" t="n">
        <v>24.25</v>
      </c>
      <c r="K922" s="10" t="inlineStr">
        <is>
          <t>&gt; Perfumería &gt; Cuidado Capilar &gt; Acondicionador &gt;</t>
        </is>
      </c>
      <c r="L922" s="10" t="inlineStr">
        <is>
          <t>acondicionador</t>
        </is>
      </c>
      <c r="M922" s="10" t="inlineStr">
        <is>
          <t>estandar</t>
        </is>
      </c>
      <c r="N922" s="10" t="inlineStr">
        <is>
          <t>rizado</t>
        </is>
      </c>
      <c r="O922" s="10" t="inlineStr">
        <is>
          <t>https://www.disco.com.ar/acondicionador-fructis-rizos-poderosos-200ml/p</t>
        </is>
      </c>
    </row>
    <row r="923">
      <c r="A923" t="inlineStr">
        <is>
          <t>Disco</t>
        </is>
      </c>
      <c r="B923" t="n">
        <v>411248</v>
      </c>
      <c r="C923" t="n">
        <v>407088</v>
      </c>
      <c r="D923" t="inlineStr">
        <is>
          <t>Acondicionador Dove Brillo 400 Ml</t>
        </is>
      </c>
      <c r="E923" t="inlineStr">
        <is>
          <t>DOVE</t>
        </is>
      </c>
      <c r="F923" t="n">
        <v>8620.65</v>
      </c>
      <c r="G923" t="n">
        <v>712450</v>
      </c>
      <c r="H923" t="b">
        <v>0</v>
      </c>
      <c r="I923" t="n">
        <v>400</v>
      </c>
      <c r="J923" t="n">
        <v>21.5516</v>
      </c>
      <c r="K923" t="inlineStr">
        <is>
          <t>&gt; Perfumería &gt; Cuidado Capilar &gt; Acondicionador &gt;</t>
        </is>
      </c>
      <c r="L923" t="inlineStr">
        <is>
          <t>acondicionador</t>
        </is>
      </c>
      <c r="M923" t="inlineStr">
        <is>
          <t>estandar</t>
        </is>
      </c>
      <c r="N923" t="inlineStr">
        <is>
          <t>general</t>
        </is>
      </c>
      <c r="O923" t="inlineStr">
        <is>
          <t>https://www.disco.com.ar/acondicionador-dove-brillo-400-ml/p</t>
        </is>
      </c>
    </row>
    <row r="924">
      <c r="A924" s="10" t="inlineStr">
        <is>
          <t>Disco</t>
        </is>
      </c>
      <c r="B924" s="10" t="n">
        <v>394676</v>
      </c>
      <c r="C924" s="10" t="n">
        <v>392675</v>
      </c>
      <c r="D924" s="10" t="inlineStr">
        <is>
          <t>Acondicionador Ogx Argán 385 Ml</t>
        </is>
      </c>
      <c r="E924" s="10" t="inlineStr">
        <is>
          <t>OGX</t>
        </is>
      </c>
      <c r="F924" s="10" t="n">
        <v>9896.09</v>
      </c>
      <c r="G924" s="10" t="n">
        <v>817859</v>
      </c>
      <c r="H924" s="10" t="b">
        <v>0</v>
      </c>
      <c r="I924" s="10" t="n">
        <v>385</v>
      </c>
      <c r="J924" s="10" t="n">
        <v>25.7041</v>
      </c>
      <c r="K924" s="10" t="inlineStr">
        <is>
          <t>&gt; Perfumería &gt; Cuidado Capilar &gt; Acondicionador &gt;</t>
        </is>
      </c>
      <c r="L924" s="10" t="inlineStr">
        <is>
          <t>acondicionador</t>
        </is>
      </c>
      <c r="M924" s="10" t="inlineStr">
        <is>
          <t>estandar</t>
        </is>
      </c>
      <c r="N924" s="10" t="inlineStr">
        <is>
          <t>general</t>
        </is>
      </c>
      <c r="O924" s="10" t="inlineStr">
        <is>
          <t>https://www.disco.com.ar/acondicionador-ogx-argan-385-ml/p</t>
        </is>
      </c>
    </row>
    <row r="925">
      <c r="A925" t="inlineStr">
        <is>
          <t>Disco</t>
        </is>
      </c>
      <c r="B925" t="n">
        <v>394484</v>
      </c>
      <c r="C925" t="n">
        <v>392483</v>
      </c>
      <c r="D925" t="inlineStr">
        <is>
          <t>Acondicionador Plusbelle Restauración 300 Ml</t>
        </is>
      </c>
      <c r="E925" t="inlineStr">
        <is>
          <t>PLUSBELLE</t>
        </is>
      </c>
      <c r="F925" t="n">
        <v>2300</v>
      </c>
      <c r="G925" t="n">
        <v>190083</v>
      </c>
      <c r="H925" t="b">
        <v>0</v>
      </c>
      <c r="I925" t="n">
        <v>300</v>
      </c>
      <c r="J925" t="n">
        <v>7.6667</v>
      </c>
      <c r="K925" t="inlineStr">
        <is>
          <t>&gt; Perfumería &gt; Cuidado Capilar &gt; Acondicionador &gt;</t>
        </is>
      </c>
      <c r="L925" t="inlineStr">
        <is>
          <t>acondicionador</t>
        </is>
      </c>
      <c r="M925" t="inlineStr">
        <is>
          <t>estandar</t>
        </is>
      </c>
      <c r="N925" t="inlineStr">
        <is>
          <t>general</t>
        </is>
      </c>
      <c r="O925" t="inlineStr">
        <is>
          <t>https://www.disco.com.ar/acondicionador-plusbelle-restauracion-300-ml/p</t>
        </is>
      </c>
    </row>
    <row r="926">
      <c r="A926" s="10" t="inlineStr">
        <is>
          <t>Disco</t>
        </is>
      </c>
      <c r="B926" s="10" t="n">
        <v>394353</v>
      </c>
      <c r="C926" s="10" t="n">
        <v>392359</v>
      </c>
      <c r="D926" s="10" t="inlineStr">
        <is>
          <t>Acondicionador Ceramidas 190 Ml Sedal</t>
        </is>
      </c>
      <c r="E926" s="10" t="inlineStr">
        <is>
          <t>SEDAL</t>
        </is>
      </c>
      <c r="F926" s="10" t="n">
        <v>3600</v>
      </c>
      <c r="G926" s="10" t="n">
        <v>297521</v>
      </c>
      <c r="H926" s="10" t="b">
        <v>0</v>
      </c>
      <c r="I926" s="10" t="n">
        <v>190</v>
      </c>
      <c r="J926" s="10" t="n">
        <v>18.9474</v>
      </c>
      <c r="K926" s="10" t="inlineStr">
        <is>
          <t>&gt; Perfumería &gt; Cuidado Capilar &gt; Acondicionador &gt;</t>
        </is>
      </c>
      <c r="L926" s="10" t="inlineStr">
        <is>
          <t>acondicionador</t>
        </is>
      </c>
      <c r="M926" s="10" t="inlineStr">
        <is>
          <t>estandar</t>
        </is>
      </c>
      <c r="N926" s="10" t="inlineStr">
        <is>
          <t>general</t>
        </is>
      </c>
      <c r="O926" s="10" t="inlineStr">
        <is>
          <t>https://www.disco.com.ar/acondicionador-ceramidas-190-ml-sedal/p</t>
        </is>
      </c>
    </row>
    <row r="927">
      <c r="A927" t="inlineStr">
        <is>
          <t>Disco</t>
        </is>
      </c>
      <c r="B927" t="n">
        <v>393645</v>
      </c>
      <c r="C927" t="n">
        <v>391673</v>
      </c>
      <c r="D927" t="inlineStr">
        <is>
          <t>Acondicionador Pantene Hidratación 750 Ml</t>
        </is>
      </c>
      <c r="E927" t="inlineStr">
        <is>
          <t>PANTENE</t>
        </is>
      </c>
      <c r="F927" t="n">
        <v>2096.89</v>
      </c>
      <c r="G927" t="n">
        <v>173297</v>
      </c>
      <c r="H927" t="b">
        <v>0</v>
      </c>
      <c r="I927" t="n">
        <v>750</v>
      </c>
      <c r="J927" t="n">
        <v>2.7959</v>
      </c>
      <c r="K927" t="inlineStr">
        <is>
          <t>&gt; Perfumería &gt; Cuidado Capilar &gt; Acondicionador &gt;</t>
        </is>
      </c>
      <c r="L927" t="inlineStr">
        <is>
          <t>acondicionador</t>
        </is>
      </c>
      <c r="M927" t="inlineStr">
        <is>
          <t>estandar</t>
        </is>
      </c>
      <c r="N927" t="inlineStr">
        <is>
          <t>seco_danado</t>
        </is>
      </c>
      <c r="O927" t="inlineStr">
        <is>
          <t>https://www.disco.com.ar/acondicionador-pantene-hidratacion-750-ml/p</t>
        </is>
      </c>
    </row>
    <row r="928">
      <c r="A928" s="10" t="inlineStr">
        <is>
          <t>Disco</t>
        </is>
      </c>
      <c r="B928" s="10" t="n">
        <v>375270</v>
      </c>
      <c r="C928" s="10" t="n">
        <v>373988</v>
      </c>
      <c r="D928" s="10" t="inlineStr">
        <is>
          <t>Acondicionador Fructis Recarga Nutritiva 350ml</t>
        </is>
      </c>
      <c r="E928" s="10" t="inlineStr">
        <is>
          <t>FRUCTIS</t>
        </is>
      </c>
      <c r="F928" s="10" t="n">
        <v>1350</v>
      </c>
      <c r="G928" s="10" t="n">
        <v>111570</v>
      </c>
      <c r="H928" s="10" t="b">
        <v>0</v>
      </c>
      <c r="I928" s="10" t="n">
        <v>350</v>
      </c>
      <c r="J928" s="10" t="n">
        <v>3.8571</v>
      </c>
      <c r="K928" s="10" t="inlineStr">
        <is>
          <t>&gt; Perfumería &gt; Cuidado Capilar &gt; Acondicionador &gt;</t>
        </is>
      </c>
      <c r="L928" s="10" t="inlineStr">
        <is>
          <t>acondicionador</t>
        </is>
      </c>
      <c r="M928" s="10" t="inlineStr">
        <is>
          <t>estandar</t>
        </is>
      </c>
      <c r="N928" s="10" t="inlineStr">
        <is>
          <t>general</t>
        </is>
      </c>
      <c r="O928" s="10" t="inlineStr">
        <is>
          <t>https://www.disco.com.ar/acondicionador-fructis-recarga-nutritiva-350ml/p</t>
        </is>
      </c>
    </row>
    <row r="929">
      <c r="A929" t="inlineStr">
        <is>
          <t>Disco</t>
        </is>
      </c>
      <c r="B929" t="n">
        <v>375240</v>
      </c>
      <c r="C929" t="n">
        <v>373958</v>
      </c>
      <c r="D929" t="inlineStr">
        <is>
          <t>Acondicionador Fructis Recarga Nutritiva 200ml</t>
        </is>
      </c>
      <c r="E929" t="inlineStr">
        <is>
          <t>FRUCTIS</t>
        </is>
      </c>
      <c r="F929" t="n">
        <v>900</v>
      </c>
      <c r="G929" t="n">
        <v>74380</v>
      </c>
      <c r="H929" t="b">
        <v>0</v>
      </c>
      <c r="I929" t="n">
        <v>200</v>
      </c>
      <c r="J929" t="n">
        <v>4.5</v>
      </c>
      <c r="K929" t="inlineStr">
        <is>
          <t>&gt; Perfumería &gt; Cuidado Capilar &gt; Acondicionador &gt;</t>
        </is>
      </c>
      <c r="L929" t="inlineStr">
        <is>
          <t>acondicionador</t>
        </is>
      </c>
      <c r="M929" t="inlineStr">
        <is>
          <t>estandar</t>
        </is>
      </c>
      <c r="N929" t="inlineStr">
        <is>
          <t>general</t>
        </is>
      </c>
      <c r="O929" t="inlineStr">
        <is>
          <t>https://www.disco.com.ar/acondicionador-fructis-recarga-nutritiva-200ml-3/p</t>
        </is>
      </c>
    </row>
    <row r="930">
      <c r="A930" s="10" t="inlineStr">
        <is>
          <t>Disco</t>
        </is>
      </c>
      <c r="B930" s="10" t="n">
        <v>347697</v>
      </c>
      <c r="C930" s="10" t="n">
        <v>346372</v>
      </c>
      <c r="D930" s="10" t="inlineStr">
        <is>
          <t>Acondicionador  Sedal  Ceramidas  650 Ml</t>
        </is>
      </c>
      <c r="E930" s="10" t="inlineStr">
        <is>
          <t>SEDAL</t>
        </is>
      </c>
      <c r="F930" s="10" t="n">
        <v>1350</v>
      </c>
      <c r="G930" s="10" t="n">
        <v>111570</v>
      </c>
      <c r="H930" s="10" t="b">
        <v>0</v>
      </c>
      <c r="I930" s="10" t="n">
        <v>650</v>
      </c>
      <c r="J930" s="10" t="n">
        <v>2.0769</v>
      </c>
      <c r="K930" s="10" t="inlineStr">
        <is>
          <t>&gt; Perfumería &gt; Cuidado Capilar &gt; Acondicionador &gt;</t>
        </is>
      </c>
      <c r="L930" s="10" t="inlineStr">
        <is>
          <t>acondicionador</t>
        </is>
      </c>
      <c r="M930" s="10" t="inlineStr">
        <is>
          <t>estandar</t>
        </is>
      </c>
      <c r="N930" s="10" t="inlineStr">
        <is>
          <t>general</t>
        </is>
      </c>
      <c r="O930" s="10" t="inlineStr">
        <is>
          <t>https://www.disco.com.ar/acondicionador-sedal-ceramidas-650-ml/p</t>
        </is>
      </c>
    </row>
    <row r="931">
      <c r="A931" t="inlineStr">
        <is>
          <t>Disco</t>
        </is>
      </c>
      <c r="B931" t="n">
        <v>345098</v>
      </c>
      <c r="C931" t="n">
        <v>343783</v>
      </c>
      <c r="D931" t="inlineStr">
        <is>
          <t>Acondicionador Prov Essentials Restauración 200ml</t>
        </is>
      </c>
      <c r="E931" t="inlineStr">
        <is>
          <t>PANTENE</t>
        </is>
      </c>
      <c r="F931" t="n">
        <v>1100</v>
      </c>
      <c r="G931" t="n">
        <v>90909</v>
      </c>
      <c r="H931" t="b">
        <v>0</v>
      </c>
      <c r="I931" t="n">
        <v>200</v>
      </c>
      <c r="J931" t="n">
        <v>5.5</v>
      </c>
      <c r="K931" t="inlineStr">
        <is>
          <t>&gt; Perfumería &gt; Cuidado Capilar &gt; Acondicionador &gt;</t>
        </is>
      </c>
      <c r="L931" t="inlineStr">
        <is>
          <t>acondicionador</t>
        </is>
      </c>
      <c r="M931" t="inlineStr">
        <is>
          <t>estandar</t>
        </is>
      </c>
      <c r="N931" t="inlineStr">
        <is>
          <t>general</t>
        </is>
      </c>
      <c r="O931" t="inlineStr">
        <is>
          <t>https://www.disco.com.ar/acondicionador-prov-essentials-restauracion-200ml/p</t>
        </is>
      </c>
    </row>
    <row r="932">
      <c r="A932" s="10" t="inlineStr">
        <is>
          <t>Disco</t>
        </is>
      </c>
      <c r="B932" s="10" t="n">
        <v>344165</v>
      </c>
      <c r="C932" s="10" t="n">
        <v>342849</v>
      </c>
      <c r="D932" s="10" t="inlineStr">
        <is>
          <t>Acondicionador Pantene Brillo X400ml</t>
        </is>
      </c>
      <c r="E932" s="10" t="inlineStr">
        <is>
          <t>PANTENE</t>
        </is>
      </c>
      <c r="F932" s="10" t="n">
        <v>304.45</v>
      </c>
      <c r="G932" s="10" t="n">
        <v>25161</v>
      </c>
      <c r="H932" s="10" t="b">
        <v>0</v>
      </c>
      <c r="I932" s="10" t="n">
        <v>400</v>
      </c>
      <c r="J932" s="10" t="n">
        <v>0.7611</v>
      </c>
      <c r="K932" s="10" t="inlineStr">
        <is>
          <t>&gt; Perfumería &gt; Cuidado Capilar &gt; Acondicionador &gt;</t>
        </is>
      </c>
      <c r="L932" s="10" t="inlineStr">
        <is>
          <t>acondicionador</t>
        </is>
      </c>
      <c r="M932" s="10" t="inlineStr">
        <is>
          <t>estandar</t>
        </is>
      </c>
      <c r="N932" s="10" t="inlineStr">
        <is>
          <t>general</t>
        </is>
      </c>
      <c r="O932" s="10" t="inlineStr">
        <is>
          <t>https://www.disco.com.ar/acondicionador-pantene-brillo-x400ml-2/p</t>
        </is>
      </c>
    </row>
    <row r="933">
      <c r="A933" t="inlineStr">
        <is>
          <t>Disco</t>
        </is>
      </c>
      <c r="B933" t="n">
        <v>344022</v>
      </c>
      <c r="C933" t="n">
        <v>342707</v>
      </c>
      <c r="D933" t="inlineStr">
        <is>
          <t>Acondicionador Sedal Bomba Argan 340ml..</t>
        </is>
      </c>
      <c r="E933" t="inlineStr">
        <is>
          <t>SEDAL</t>
        </is>
      </c>
      <c r="F933" t="n">
        <v>469.67</v>
      </c>
      <c r="G933" t="n">
        <v>38816</v>
      </c>
      <c r="H933" t="b">
        <v>0</v>
      </c>
      <c r="I933" t="n">
        <v>340</v>
      </c>
      <c r="J933" t="n">
        <v>1.3814</v>
      </c>
      <c r="K933" t="inlineStr">
        <is>
          <t>&gt; Perfumería &gt; Cuidado Capilar &gt; Acondicionador &gt;</t>
        </is>
      </c>
      <c r="L933" t="inlineStr">
        <is>
          <t>acondicionador</t>
        </is>
      </c>
      <c r="M933" t="inlineStr">
        <is>
          <t>estandar</t>
        </is>
      </c>
      <c r="N933" t="inlineStr">
        <is>
          <t>general</t>
        </is>
      </c>
      <c r="O933" t="inlineStr">
        <is>
          <t>https://www.disco.com.ar/acondicionador-sedal-bomba-argan-340ml-3/p</t>
        </is>
      </c>
    </row>
    <row r="934">
      <c r="A934" s="10" t="inlineStr">
        <is>
          <t>Disco</t>
        </is>
      </c>
      <c r="B934" s="10" t="n">
        <v>339393</v>
      </c>
      <c r="C934" s="10" t="n">
        <v>338084</v>
      </c>
      <c r="D934" s="10" t="inlineStr">
        <is>
          <t>Acondicionador Fructis Recarga Nutritiva 200ml</t>
        </is>
      </c>
      <c r="E934" s="10" t="inlineStr">
        <is>
          <t>FRUCTIS</t>
        </is>
      </c>
      <c r="F934" s="10" t="n">
        <v>532.6900000000001</v>
      </c>
      <c r="G934" s="10" t="n">
        <v>44024</v>
      </c>
      <c r="H934" s="10" t="b">
        <v>0</v>
      </c>
      <c r="I934" s="10" t="n">
        <v>200</v>
      </c>
      <c r="J934" s="10" t="n">
        <v>2.6635</v>
      </c>
      <c r="K934" s="10" t="inlineStr">
        <is>
          <t>&gt; Perfumería &gt; Cuidado Capilar &gt; Acondicionador &gt;</t>
        </is>
      </c>
      <c r="L934" s="10" t="inlineStr">
        <is>
          <t>acondicionador</t>
        </is>
      </c>
      <c r="M934" s="10" t="inlineStr">
        <is>
          <t>estandar</t>
        </is>
      </c>
      <c r="N934" s="10" t="inlineStr">
        <is>
          <t>general</t>
        </is>
      </c>
      <c r="O934" s="10" t="inlineStr">
        <is>
          <t>https://www.disco.com.ar/acondicionador-fructis-recarga-nutritiva-200ml-2/p</t>
        </is>
      </c>
    </row>
    <row r="935">
      <c r="A935" t="inlineStr">
        <is>
          <t>Disco</t>
        </is>
      </c>
      <c r="B935" t="n">
        <v>336035</v>
      </c>
      <c r="C935" t="n">
        <v>335144</v>
      </c>
      <c r="D935" t="inlineStr">
        <is>
          <t>Acondicionador Sedal Bomba Argan 190ml</t>
        </is>
      </c>
      <c r="E935" t="inlineStr">
        <is>
          <t>SEDAL</t>
        </is>
      </c>
      <c r="F935" t="n">
        <v>180.39</v>
      </c>
      <c r="G935" t="n">
        <v>14908</v>
      </c>
      <c r="H935" t="b">
        <v>0</v>
      </c>
      <c r="I935" t="n">
        <v>190</v>
      </c>
      <c r="J935" t="n">
        <v>0.9494</v>
      </c>
      <c r="K935" t="inlineStr">
        <is>
          <t>&gt; Perfumería &gt; Cuidado Capilar &gt; Acondicionador &gt;</t>
        </is>
      </c>
      <c r="L935" t="inlineStr">
        <is>
          <t>acondicionador</t>
        </is>
      </c>
      <c r="M935" t="inlineStr">
        <is>
          <t>estandar</t>
        </is>
      </c>
      <c r="N935" t="inlineStr">
        <is>
          <t>general</t>
        </is>
      </c>
      <c r="O935" t="inlineStr">
        <is>
          <t>https://www.disco.com.ar/acondicionador-sedal-bomba-argan-190ml/p</t>
        </is>
      </c>
    </row>
    <row r="936">
      <c r="A936" s="10" t="inlineStr">
        <is>
          <t>Disco</t>
        </is>
      </c>
      <c r="B936" s="10" t="n">
        <v>331662</v>
      </c>
      <c r="C936" s="10" t="n">
        <v>330820</v>
      </c>
      <c r="D936" s="10" t="inlineStr">
        <is>
          <t>Elvive Acondicionador Hidra Hialuronico 750ml</t>
        </is>
      </c>
      <c r="E936" s="10" t="inlineStr">
        <is>
          <t>ELVIVE</t>
        </is>
      </c>
      <c r="F936" s="10" t="n">
        <v>1978.59</v>
      </c>
      <c r="G936" s="10" t="n">
        <v>163520</v>
      </c>
      <c r="H936" s="10" t="b">
        <v>0</v>
      </c>
      <c r="I936" s="10" t="n">
        <v>750</v>
      </c>
      <c r="J936" s="10" t="n">
        <v>2.6381</v>
      </c>
      <c r="K936" s="10" t="inlineStr">
        <is>
          <t>&gt; Perfumería &gt; Cuidado Capilar &gt; Acondicionador &gt;</t>
        </is>
      </c>
      <c r="L936" s="10" t="inlineStr">
        <is>
          <t>acondicionador</t>
        </is>
      </c>
      <c r="M936" s="10" t="inlineStr">
        <is>
          <t>profesional</t>
        </is>
      </c>
      <c r="N936" s="10" t="inlineStr">
        <is>
          <t>general</t>
        </is>
      </c>
      <c r="O936" s="10" t="inlineStr">
        <is>
          <t>https://www.disco.com.ar/elvive-acondicionador-hidra-hialuronico-750ml/p</t>
        </is>
      </c>
    </row>
    <row r="937">
      <c r="A937" t="inlineStr">
        <is>
          <t>Disco</t>
        </is>
      </c>
      <c r="B937" t="n">
        <v>317817</v>
      </c>
      <c r="C937" t="n">
        <v>317062</v>
      </c>
      <c r="D937" t="inlineStr">
        <is>
          <t>Acondicionador Tio Nacho Verano 200ml</t>
        </is>
      </c>
      <c r="E937" t="inlineStr">
        <is>
          <t>Tio Nacho</t>
        </is>
      </c>
      <c r="F937" t="n">
        <v>448.25</v>
      </c>
      <c r="G937" t="n">
        <v>37045</v>
      </c>
      <c r="H937" t="b">
        <v>0</v>
      </c>
      <c r="I937" t="n">
        <v>200</v>
      </c>
      <c r="J937" t="n">
        <v>2.2412</v>
      </c>
      <c r="K937" t="inlineStr">
        <is>
          <t>&gt; Perfumería &gt; Cuidado Capilar &gt; Acondicionador &gt;</t>
        </is>
      </c>
      <c r="L937" t="inlineStr">
        <is>
          <t>acondicionador</t>
        </is>
      </c>
      <c r="M937" t="inlineStr">
        <is>
          <t>estandar</t>
        </is>
      </c>
      <c r="N937" t="inlineStr">
        <is>
          <t>general</t>
        </is>
      </c>
      <c r="O937" t="inlineStr">
        <is>
          <t>https://www.disco.com.ar/acondicionador-tio-nacho-verano-200ml/p</t>
        </is>
      </c>
    </row>
    <row r="938">
      <c r="A938" s="10" t="inlineStr">
        <is>
          <t>Disco</t>
        </is>
      </c>
      <c r="B938" s="10" t="n">
        <v>317816</v>
      </c>
      <c r="C938" s="10" t="n">
        <v>317061</v>
      </c>
      <c r="D938" s="10" t="inlineStr">
        <is>
          <t>Acondicionador Tio Nacho Verano 415ml</t>
        </is>
      </c>
      <c r="E938" s="10" t="inlineStr">
        <is>
          <t>Tio Nacho</t>
        </is>
      </c>
      <c r="F938" s="10" t="n">
        <v>770.89</v>
      </c>
      <c r="G938" s="10" t="n">
        <v>63710</v>
      </c>
      <c r="H938" s="10" t="b">
        <v>0</v>
      </c>
      <c r="I938" s="10" t="n">
        <v>415</v>
      </c>
      <c r="J938" s="10" t="n">
        <v>1.8576</v>
      </c>
      <c r="K938" s="10" t="inlineStr">
        <is>
          <t>&gt; Perfumería &gt; Cuidado Capilar &gt; Acondicionador &gt;</t>
        </is>
      </c>
      <c r="L938" s="10" t="inlineStr">
        <is>
          <t>acondicionador</t>
        </is>
      </c>
      <c r="M938" s="10" t="inlineStr">
        <is>
          <t>estandar</t>
        </is>
      </c>
      <c r="N938" s="10" t="inlineStr">
        <is>
          <t>general</t>
        </is>
      </c>
      <c r="O938" s="10" t="inlineStr">
        <is>
          <t>https://www.disco.com.ar/acondicionador-tio-nacho-verano-415ml/p</t>
        </is>
      </c>
    </row>
    <row r="939">
      <c r="A939" t="inlineStr">
        <is>
          <t>Disco</t>
        </is>
      </c>
      <c r="B939" t="n">
        <v>313256</v>
      </c>
      <c r="C939" t="n">
        <v>312494</v>
      </c>
      <c r="D939" t="inlineStr">
        <is>
          <t>Acondicionador Fructis Food Coco 300ml</t>
        </is>
      </c>
      <c r="E939" t="inlineStr">
        <is>
          <t>FRUCTIS</t>
        </is>
      </c>
      <c r="F939" t="n">
        <v>1300</v>
      </c>
      <c r="G939" t="n">
        <v>107438</v>
      </c>
      <c r="H939" t="b">
        <v>0</v>
      </c>
      <c r="I939" t="n">
        <v>300</v>
      </c>
      <c r="J939" t="n">
        <v>4.3333</v>
      </c>
      <c r="K939" t="inlineStr">
        <is>
          <t>&gt; Perfumería &gt; Cuidado Capilar &gt; Acondicionador &gt;</t>
        </is>
      </c>
      <c r="L939" t="inlineStr">
        <is>
          <t>acondicionador</t>
        </is>
      </c>
      <c r="M939" t="inlineStr">
        <is>
          <t>estandar</t>
        </is>
      </c>
      <c r="N939" t="inlineStr">
        <is>
          <t>general</t>
        </is>
      </c>
      <c r="O939" t="inlineStr">
        <is>
          <t>https://www.disco.com.ar/acondicionador-fructis-food-coco-300ml/p</t>
        </is>
      </c>
    </row>
    <row r="940">
      <c r="A940" s="10" t="inlineStr">
        <is>
          <t>Disco</t>
        </is>
      </c>
      <c r="B940" s="10" t="n">
        <v>312943</v>
      </c>
      <c r="C940" s="10" t="n">
        <v>312181</v>
      </c>
      <c r="D940" s="10" t="inlineStr">
        <is>
          <t>Acondicionador Biferdil Alisado 295 Ml</t>
        </is>
      </c>
      <c r="E940" s="10" t="inlineStr">
        <is>
          <t>BIFERDIL</t>
        </is>
      </c>
      <c r="F940" s="10" t="n">
        <v>19950</v>
      </c>
      <c r="G940" s="10" t="n">
        <v>1648760</v>
      </c>
      <c r="H940" s="10" t="b">
        <v>0</v>
      </c>
      <c r="I940" s="10" t="n">
        <v>295</v>
      </c>
      <c r="J940" s="10" t="n">
        <v>67.6271</v>
      </c>
      <c r="K940" s="10" t="inlineStr">
        <is>
          <t>&gt; Perfumería &gt; Cuidado Capilar &gt; Reparación y Tratamientos &gt;</t>
        </is>
      </c>
      <c r="L940" s="10" t="inlineStr">
        <is>
          <t>acondicionador</t>
        </is>
      </c>
      <c r="M940" s="10" t="inlineStr">
        <is>
          <t>estandar</t>
        </is>
      </c>
      <c r="N940" s="10" t="inlineStr">
        <is>
          <t>tratado</t>
        </is>
      </c>
      <c r="O940" s="10" t="inlineStr">
        <is>
          <t>https://www.disco.com.ar/acondicionador-biferdil-alisado-295-ml/p</t>
        </is>
      </c>
    </row>
    <row r="941">
      <c r="A941" t="inlineStr">
        <is>
          <t>Disco</t>
        </is>
      </c>
      <c r="B941" t="n">
        <v>309886</v>
      </c>
      <c r="C941" t="n">
        <v>309123</v>
      </c>
      <c r="D941" t="inlineStr">
        <is>
          <t>Acondicionador Swing Radiante 200 Ml</t>
        </is>
      </c>
      <c r="E941" t="inlineStr">
        <is>
          <t>SWING</t>
        </is>
      </c>
      <c r="F941" t="n">
        <v>63.89</v>
      </c>
      <c r="G941" t="n">
        <v>5280</v>
      </c>
      <c r="H941" t="b">
        <v>0</v>
      </c>
      <c r="I941" t="n">
        <v>200</v>
      </c>
      <c r="J941" t="n">
        <v>0.3195</v>
      </c>
      <c r="K941" t="inlineStr">
        <is>
          <t>&gt; Perfumería &gt; Cuidado Capilar &gt; Acondicionador &gt;</t>
        </is>
      </c>
      <c r="L941" t="inlineStr">
        <is>
          <t>acondicionador</t>
        </is>
      </c>
      <c r="M941" t="inlineStr">
        <is>
          <t>estandar</t>
        </is>
      </c>
      <c r="N941" t="inlineStr">
        <is>
          <t>general</t>
        </is>
      </c>
      <c r="O941" t="inlineStr">
        <is>
          <t>https://www.disco.com.ar/acondicionador-swing-radiante-200-ml/p</t>
        </is>
      </c>
    </row>
    <row r="942">
      <c r="A942" s="10" t="inlineStr">
        <is>
          <t>Disco</t>
        </is>
      </c>
      <c r="B942" s="10" t="n">
        <v>309881</v>
      </c>
      <c r="C942" s="10" t="n">
        <v>309118</v>
      </c>
      <c r="D942" s="10" t="inlineStr">
        <is>
          <t>Acondicionador Swing Hidratancion 200 Ml</t>
        </is>
      </c>
      <c r="E942" s="10" t="inlineStr">
        <is>
          <t>SWING</t>
        </is>
      </c>
      <c r="F942" s="10" t="n">
        <v>57.05</v>
      </c>
      <c r="G942" s="10" t="n">
        <v>4715</v>
      </c>
      <c r="H942" s="10" t="b">
        <v>0</v>
      </c>
      <c r="I942" s="10" t="n">
        <v>200</v>
      </c>
      <c r="J942" s="10" t="n">
        <v>0.2853</v>
      </c>
      <c r="K942" s="10" t="inlineStr">
        <is>
          <t>&gt; Perfumería &gt; Cuidado Capilar &gt; Acondicionador &gt;</t>
        </is>
      </c>
      <c r="L942" s="10" t="inlineStr">
        <is>
          <t>acondicionador</t>
        </is>
      </c>
      <c r="M942" s="10" t="inlineStr">
        <is>
          <t>estandar</t>
        </is>
      </c>
      <c r="N942" s="10" t="inlineStr">
        <is>
          <t>seco_danado</t>
        </is>
      </c>
      <c r="O942" s="10" t="inlineStr">
        <is>
          <t>https://www.disco.com.ar/acondicionador-swing-hidratancion-200-ml/p</t>
        </is>
      </c>
    </row>
    <row r="943">
      <c r="A943" t="inlineStr">
        <is>
          <t>Disco</t>
        </is>
      </c>
      <c r="B943" t="n">
        <v>307882</v>
      </c>
      <c r="C943" t="n">
        <v>307120</v>
      </c>
      <c r="D943" t="inlineStr">
        <is>
          <t>Acondicionador Algabo Palta Argan 930ml</t>
        </is>
      </c>
      <c r="E943" t="inlineStr">
        <is>
          <t>ALGABO</t>
        </is>
      </c>
      <c r="F943" t="n">
        <v>113.09</v>
      </c>
      <c r="G943" t="n">
        <v>9346</v>
      </c>
      <c r="H943" t="b">
        <v>0</v>
      </c>
      <c r="I943" t="n">
        <v>930</v>
      </c>
      <c r="J943" t="n">
        <v>0.1216</v>
      </c>
      <c r="K943" t="inlineStr">
        <is>
          <t>&gt; Perfumería &gt; Cuidado Capilar &gt; Acondicionador &gt;</t>
        </is>
      </c>
      <c r="L943" t="inlineStr">
        <is>
          <t>acondicionador</t>
        </is>
      </c>
      <c r="M943" t="inlineStr">
        <is>
          <t>estandar</t>
        </is>
      </c>
      <c r="N943" t="inlineStr">
        <is>
          <t>general</t>
        </is>
      </c>
      <c r="O943" t="inlineStr">
        <is>
          <t>https://www.disco.com.ar/acondicionador-algabo-palta-argan-930ml/p</t>
        </is>
      </c>
    </row>
    <row r="944">
      <c r="A944" s="10" t="inlineStr">
        <is>
          <t>Disco</t>
        </is>
      </c>
      <c r="B944" s="10" t="n">
        <v>300011</v>
      </c>
      <c r="C944" s="10" t="n">
        <v>299228</v>
      </c>
      <c r="D944" s="10" t="inlineStr">
        <is>
          <t>Acondicionador Tio Nacho Nutricion Verano</t>
        </is>
      </c>
      <c r="E944" s="10" t="inlineStr">
        <is>
          <t>Tio Nacho</t>
        </is>
      </c>
      <c r="F944" s="10" t="n">
        <v>287.87</v>
      </c>
      <c r="G944" s="10" t="n">
        <v>23791</v>
      </c>
      <c r="H944" s="10" t="b">
        <v>0</v>
      </c>
      <c r="I944" s="10" t="inlineStr"/>
      <c r="J944" s="10" t="inlineStr"/>
      <c r="K944" s="10" t="inlineStr">
        <is>
          <t>&gt; Perfumería &gt; Cuidado Capilar &gt; Acondicionador &gt;</t>
        </is>
      </c>
      <c r="L944" s="10" t="inlineStr">
        <is>
          <t>acondicionador</t>
        </is>
      </c>
      <c r="M944" s="10" t="inlineStr">
        <is>
          <t>estandar</t>
        </is>
      </c>
      <c r="N944" s="10" t="inlineStr">
        <is>
          <t>general</t>
        </is>
      </c>
      <c r="O944" s="10" t="inlineStr">
        <is>
          <t>https://www.disco.com.ar/acondicionador-tio-nacho-nutricion-verano/p</t>
        </is>
      </c>
    </row>
    <row r="945">
      <c r="A945" t="inlineStr">
        <is>
          <t>Disco</t>
        </is>
      </c>
      <c r="B945" t="n">
        <v>263633</v>
      </c>
      <c r="C945" t="n">
        <v>263353</v>
      </c>
      <c r="D945" t="inlineStr">
        <is>
          <t>Acondicionador Dove Hidratacion Intensa 200ml</t>
        </is>
      </c>
      <c r="E945" t="inlineStr">
        <is>
          <t>DOVE</t>
        </is>
      </c>
      <c r="F945" t="n">
        <v>280.77</v>
      </c>
      <c r="G945" t="n">
        <v>23204</v>
      </c>
      <c r="H945" t="b">
        <v>0</v>
      </c>
      <c r="I945" t="n">
        <v>200</v>
      </c>
      <c r="J945" t="n">
        <v>1.4038</v>
      </c>
      <c r="K945" t="inlineStr">
        <is>
          <t>&gt; Perfumería &gt; Cuidado Capilar &gt; Acondicionador &gt;</t>
        </is>
      </c>
      <c r="L945" t="inlineStr">
        <is>
          <t>acondicionador</t>
        </is>
      </c>
      <c r="M945" t="inlineStr">
        <is>
          <t>estandar</t>
        </is>
      </c>
      <c r="N945" t="inlineStr">
        <is>
          <t>seco_danado</t>
        </is>
      </c>
      <c r="O945" t="inlineStr">
        <is>
          <t>https://www.disco.com.ar/acondicionador-dove-hidratacion-intensa-200ml/p</t>
        </is>
      </c>
    </row>
    <row r="946">
      <c r="A946" s="10" t="inlineStr">
        <is>
          <t>Disco</t>
        </is>
      </c>
      <c r="B946" s="10" t="n">
        <v>263621</v>
      </c>
      <c r="C946" s="10" t="n">
        <v>263341</v>
      </c>
      <c r="D946" s="10" t="inlineStr">
        <is>
          <t>Acondicionador Dove Oleo Micelar 200ml</t>
        </is>
      </c>
      <c r="E946" s="10" t="inlineStr">
        <is>
          <t>DOVE</t>
        </is>
      </c>
      <c r="F946" s="10" t="n">
        <v>152.49</v>
      </c>
      <c r="G946" s="10" t="n">
        <v>12602</v>
      </c>
      <c r="H946" s="10" t="b">
        <v>0</v>
      </c>
      <c r="I946" s="10" t="n">
        <v>200</v>
      </c>
      <c r="J946" s="10" t="n">
        <v>0.7625</v>
      </c>
      <c r="K946" s="10" t="inlineStr">
        <is>
          <t>&gt; Perfumería &gt; Cuidado Capilar &gt; Acondicionador &gt;</t>
        </is>
      </c>
      <c r="L946" s="10" t="inlineStr">
        <is>
          <t>acondicionador</t>
        </is>
      </c>
      <c r="M946" s="10" t="inlineStr">
        <is>
          <t>estandar</t>
        </is>
      </c>
      <c r="N946" s="10" t="inlineStr">
        <is>
          <t>general</t>
        </is>
      </c>
      <c r="O946" s="10" t="inlineStr">
        <is>
          <t>https://www.disco.com.ar/acondicionador-dove-oleo-micelar-200ml/p</t>
        </is>
      </c>
    </row>
    <row r="947">
      <c r="A947" t="inlineStr">
        <is>
          <t>Disco</t>
        </is>
      </c>
      <c r="B947" t="n">
        <v>263396</v>
      </c>
      <c r="C947" t="n">
        <v>263154</v>
      </c>
      <c r="D947" t="inlineStr">
        <is>
          <t>Acondicionador Pantene Restauración 10 Ml</t>
        </is>
      </c>
      <c r="E947" t="inlineStr">
        <is>
          <t>PANTENE</t>
        </is>
      </c>
      <c r="F947" t="n">
        <v>5.99</v>
      </c>
      <c r="G947" t="n">
        <v>495</v>
      </c>
      <c r="H947" t="b">
        <v>0</v>
      </c>
      <c r="I947" t="n">
        <v>10</v>
      </c>
      <c r="J947" t="n">
        <v>0.599</v>
      </c>
      <c r="K947" t="inlineStr">
        <is>
          <t>&gt; Perfumería &gt; Cuidado Capilar &gt; Acondicionador &gt;</t>
        </is>
      </c>
      <c r="L947" t="inlineStr">
        <is>
          <t>acondicionador</t>
        </is>
      </c>
      <c r="M947" t="inlineStr">
        <is>
          <t>estandar</t>
        </is>
      </c>
      <c r="N947" t="inlineStr">
        <is>
          <t>general</t>
        </is>
      </c>
      <c r="O947" t="inlineStr">
        <is>
          <t>https://www.disco.com.ar/acondicionador-pantene-restauracion-10-ml/p</t>
        </is>
      </c>
    </row>
    <row r="948">
      <c r="A948" s="10" t="inlineStr">
        <is>
          <t>Disco</t>
        </is>
      </c>
      <c r="B948" s="10" t="n">
        <v>261492</v>
      </c>
      <c r="C948" s="10" t="n">
        <v>260783</v>
      </c>
      <c r="D948" s="10" t="inlineStr">
        <is>
          <t>Acondicionador Plusbelle Fuerza 1000 Ml</t>
        </is>
      </c>
      <c r="E948" s="10" t="inlineStr">
        <is>
          <t>PLUSBELLE</t>
        </is>
      </c>
      <c r="F948" s="10" t="n">
        <v>135.15</v>
      </c>
      <c r="G948" s="10" t="n">
        <v>11169</v>
      </c>
      <c r="H948" s="10" t="b">
        <v>0</v>
      </c>
      <c r="I948" s="10" t="n">
        <v>1000</v>
      </c>
      <c r="J948" s="10" t="n">
        <v>0.1351</v>
      </c>
      <c r="K948" s="10" t="inlineStr">
        <is>
          <t>&gt; Perfumería &gt; Cuidado Capilar &gt; Acondicionador &gt;</t>
        </is>
      </c>
      <c r="L948" s="10" t="inlineStr">
        <is>
          <t>acondicionador</t>
        </is>
      </c>
      <c r="M948" s="10" t="inlineStr">
        <is>
          <t>estandar</t>
        </is>
      </c>
      <c r="N948" s="10" t="inlineStr">
        <is>
          <t>general</t>
        </is>
      </c>
      <c r="O948" s="10" t="inlineStr">
        <is>
          <t>https://www.disco.com.ar/acondicionador-plusbelle-fuerza-1000-ml/p</t>
        </is>
      </c>
    </row>
    <row r="949">
      <c r="A949" t="inlineStr">
        <is>
          <t>Disco</t>
        </is>
      </c>
      <c r="B949" t="n">
        <v>256895</v>
      </c>
      <c r="C949" t="n">
        <v>256189</v>
      </c>
      <c r="D949" t="inlineStr">
        <is>
          <t>Acondicionador Il Salone Epic 500ml</t>
        </is>
      </c>
      <c r="E949" t="inlineStr">
        <is>
          <t>IL SALONE</t>
        </is>
      </c>
      <c r="F949" t="n">
        <v>799.99</v>
      </c>
      <c r="G949" t="n">
        <v>66115</v>
      </c>
      <c r="H949" t="b">
        <v>0</v>
      </c>
      <c r="I949" t="n">
        <v>500</v>
      </c>
      <c r="J949" t="n">
        <v>1.6</v>
      </c>
      <c r="K949" t="inlineStr">
        <is>
          <t>&gt; Perfumería &gt; Cuidado Capilar &gt; Acondicionador &gt;</t>
        </is>
      </c>
      <c r="L949" t="inlineStr">
        <is>
          <t>acondicionador</t>
        </is>
      </c>
      <c r="M949" t="inlineStr">
        <is>
          <t>estandar</t>
        </is>
      </c>
      <c r="N949" t="inlineStr">
        <is>
          <t>general</t>
        </is>
      </c>
      <c r="O949" t="inlineStr">
        <is>
          <t>https://www.disco.com.ar/acondicionador-il-salone-epic-500ml/p</t>
        </is>
      </c>
    </row>
    <row r="950">
      <c r="A950" s="10" t="inlineStr">
        <is>
          <t>Disco</t>
        </is>
      </c>
      <c r="B950" s="10" t="n">
        <v>238684</v>
      </c>
      <c r="C950" s="10" t="n">
        <v>202766</v>
      </c>
      <c r="D950" s="10" t="inlineStr">
        <is>
          <t>Acondicionador Davor Secos Y Dañados</t>
        </is>
      </c>
      <c r="E950" s="10" t="inlineStr">
        <is>
          <t>DAVOR</t>
        </is>
      </c>
      <c r="F950" s="10" t="n">
        <v>11.94</v>
      </c>
      <c r="G950" s="10" t="n">
        <v>11.94</v>
      </c>
      <c r="H950" s="10" t="b">
        <v>0</v>
      </c>
      <c r="I950" s="10" t="inlineStr"/>
      <c r="J950" s="10" t="inlineStr"/>
      <c r="K950" s="10" t="inlineStr">
        <is>
          <t>&gt; Perfumería &gt; Cuidado Capilar &gt; Acondicionador &gt;</t>
        </is>
      </c>
      <c r="L950" s="10" t="inlineStr">
        <is>
          <t>acondicionador</t>
        </is>
      </c>
      <c r="M950" s="10" t="inlineStr">
        <is>
          <t>estandar</t>
        </is>
      </c>
      <c r="N950" s="10" t="inlineStr">
        <is>
          <t>seco_danado</t>
        </is>
      </c>
      <c r="O950" s="10" t="inlineStr">
        <is>
          <t>https://www.disco.com.ar/acondicionador-davor-secos-y-danados-274808/p</t>
        </is>
      </c>
    </row>
    <row r="951">
      <c r="A951" t="inlineStr">
        <is>
          <t>Disco</t>
        </is>
      </c>
      <c r="B951" t="n">
        <v>132338</v>
      </c>
      <c r="C951" t="n">
        <v>129252</v>
      </c>
      <c r="D951" t="inlineStr">
        <is>
          <t>Pantene Acondicionador Liso Extremo 750ml</t>
        </is>
      </c>
      <c r="E951" t="inlineStr">
        <is>
          <t>PANTENE</t>
        </is>
      </c>
      <c r="F951" t="n">
        <v>284.77</v>
      </c>
      <c r="G951" t="n">
        <v>23535</v>
      </c>
      <c r="H951" t="b">
        <v>0</v>
      </c>
      <c r="I951" t="n">
        <v>750</v>
      </c>
      <c r="J951" t="n">
        <v>0.3797</v>
      </c>
      <c r="K951" t="inlineStr">
        <is>
          <t>&gt; Perfumería &gt; Cuidado Capilar &gt; Acondicionador &gt;</t>
        </is>
      </c>
      <c r="L951" t="inlineStr">
        <is>
          <t>acondicionador</t>
        </is>
      </c>
      <c r="M951" t="inlineStr">
        <is>
          <t>estandar</t>
        </is>
      </c>
      <c r="N951" t="inlineStr">
        <is>
          <t>general</t>
        </is>
      </c>
      <c r="O951" t="inlineStr">
        <is>
          <t>https://www.disco.com.ar/pantene-acondicionador-liso-extremo-750ml/p</t>
        </is>
      </c>
    </row>
    <row r="952">
      <c r="A952" s="10" t="inlineStr">
        <is>
          <t>Disco</t>
        </is>
      </c>
      <c r="B952" s="10" t="n">
        <v>132255</v>
      </c>
      <c r="C952" s="10" t="n">
        <v>129171</v>
      </c>
      <c r="D952" s="10" t="inlineStr">
        <is>
          <t>Pantene Acondicionador Hidratacion Balanceada 200ml</t>
        </is>
      </c>
      <c r="E952" s="10" t="inlineStr">
        <is>
          <t>PANTENE</t>
        </is>
      </c>
      <c r="F952" s="10" t="n">
        <v>24.67</v>
      </c>
      <c r="G952" s="10" t="n">
        <v>2039</v>
      </c>
      <c r="H952" s="10" t="b">
        <v>0</v>
      </c>
      <c r="I952" s="10" t="n">
        <v>200</v>
      </c>
      <c r="J952" s="10" t="n">
        <v>0.1234</v>
      </c>
      <c r="K952" s="10" t="inlineStr">
        <is>
          <t>&gt; Perfumería &gt; Cuidado Capilar &gt; Acondicionador &gt;</t>
        </is>
      </c>
      <c r="L952" s="10" t="inlineStr">
        <is>
          <t>acondicionador</t>
        </is>
      </c>
      <c r="M952" s="10" t="inlineStr">
        <is>
          <t>estandar</t>
        </is>
      </c>
      <c r="N952" s="10" t="inlineStr">
        <is>
          <t>seco_danado</t>
        </is>
      </c>
      <c r="O952" s="10" t="inlineStr">
        <is>
          <t>https://www.disco.com.ar/pantene-acondicionador-hidratacion-balanceada-200ml/p</t>
        </is>
      </c>
    </row>
    <row r="953">
      <c r="A953" t="inlineStr">
        <is>
          <t>Disco</t>
        </is>
      </c>
      <c r="B953" t="n">
        <v>44701</v>
      </c>
      <c r="C953" t="n">
        <v>41872</v>
      </c>
      <c r="D953" t="inlineStr">
        <is>
          <t>Acondicionador Elvive Oleo Extra 200ml</t>
        </is>
      </c>
      <c r="E953" t="inlineStr">
        <is>
          <t>ELVIVE</t>
        </is>
      </c>
      <c r="F953" t="n">
        <v>386.79</v>
      </c>
      <c r="G953" t="n">
        <v>31966</v>
      </c>
      <c r="H953" t="b">
        <v>0</v>
      </c>
      <c r="I953" t="n">
        <v>200</v>
      </c>
      <c r="J953" t="n">
        <v>1.934</v>
      </c>
      <c r="K953" t="inlineStr">
        <is>
          <t>&gt; Perfumería &gt; Cuidado Capilar &gt; Acondicionador &gt;</t>
        </is>
      </c>
      <c r="L953" t="inlineStr">
        <is>
          <t>acondicionador</t>
        </is>
      </c>
      <c r="M953" t="inlineStr">
        <is>
          <t>profesional</t>
        </is>
      </c>
      <c r="N953" t="inlineStr">
        <is>
          <t>general</t>
        </is>
      </c>
      <c r="O953" t="inlineStr">
        <is>
          <t>https://www.disco.com.ar/acondicionador-elvive-oleo-extra-200ml-2/p</t>
        </is>
      </c>
    </row>
    <row r="954">
      <c r="A954" s="10" t="inlineStr">
        <is>
          <t>Disco</t>
        </is>
      </c>
      <c r="B954" s="10" t="n">
        <v>44252</v>
      </c>
      <c r="C954" s="10" t="n">
        <v>41423</v>
      </c>
      <c r="D954" s="10" t="inlineStr">
        <is>
          <t>Acondicionador Elvive Oleo Extra 750ml</t>
        </is>
      </c>
      <c r="E954" s="10" t="inlineStr">
        <is>
          <t>ELVIVE</t>
        </is>
      </c>
      <c r="F954" s="10" t="n">
        <v>745.65</v>
      </c>
      <c r="G954" s="10" t="n">
        <v>61624</v>
      </c>
      <c r="H954" s="10" t="b">
        <v>0</v>
      </c>
      <c r="I954" s="10" t="n">
        <v>750</v>
      </c>
      <c r="J954" s="10" t="n">
        <v>0.9942</v>
      </c>
      <c r="K954" s="10" t="inlineStr">
        <is>
          <t>&gt; Perfumería &gt; Cuidado Capilar &gt; Acondicionador &gt;</t>
        </is>
      </c>
      <c r="L954" s="10" t="inlineStr">
        <is>
          <t>acondicionador</t>
        </is>
      </c>
      <c r="M954" s="10" t="inlineStr">
        <is>
          <t>profesional</t>
        </is>
      </c>
      <c r="N954" s="10" t="inlineStr">
        <is>
          <t>general</t>
        </is>
      </c>
      <c r="O954" s="10" t="inlineStr">
        <is>
          <t>https://www.disco.com.ar/acondicionador-elvive-oleo-extra-750ml-2/p</t>
        </is>
      </c>
    </row>
    <row r="955">
      <c r="A955" t="inlineStr">
        <is>
          <t>Disco</t>
        </is>
      </c>
      <c r="B955" t="n">
        <v>43405</v>
      </c>
      <c r="C955" t="n">
        <v>40576</v>
      </c>
      <c r="D955" t="inlineStr">
        <is>
          <t>Acondicionador Suave Lavanda 930 Ml</t>
        </is>
      </c>
      <c r="E955" t="inlineStr">
        <is>
          <t>SUAVE</t>
        </is>
      </c>
      <c r="F955" t="n">
        <v>46.39</v>
      </c>
      <c r="G955" t="n">
        <v>3834</v>
      </c>
      <c r="H955" t="b">
        <v>0</v>
      </c>
      <c r="I955" t="n">
        <v>930</v>
      </c>
      <c r="J955" t="n">
        <v>0.0499</v>
      </c>
      <c r="K955" t="inlineStr">
        <is>
          <t>&gt; Perfumería &gt; Cuidado Capilar &gt; Acondicionador &gt;</t>
        </is>
      </c>
      <c r="L955" t="inlineStr">
        <is>
          <t>acondicionador</t>
        </is>
      </c>
      <c r="M955" t="inlineStr">
        <is>
          <t>estandar</t>
        </is>
      </c>
      <c r="N955" t="inlineStr">
        <is>
          <t>bebe</t>
        </is>
      </c>
      <c r="O955" t="inlineStr">
        <is>
          <t>https://www.disco.com.ar/acondicionador-suave-lavanda-930-ml/p</t>
        </is>
      </c>
    </row>
    <row r="956">
      <c r="A956" s="10" t="inlineStr">
        <is>
          <t>Disco</t>
        </is>
      </c>
      <c r="B956" s="10" t="n">
        <v>42729</v>
      </c>
      <c r="C956" s="10" t="n">
        <v>39900</v>
      </c>
      <c r="D956" s="10" t="inlineStr">
        <is>
          <t>Acondicionador Plusbelle Energizante 1 L</t>
        </is>
      </c>
      <c r="E956" s="10" t="inlineStr">
        <is>
          <t>PLUSBELLE</t>
        </is>
      </c>
      <c r="F956" s="10" t="n">
        <v>155.65</v>
      </c>
      <c r="G956" s="10" t="n">
        <v>12864</v>
      </c>
      <c r="H956" s="10" t="b">
        <v>0</v>
      </c>
      <c r="I956" s="10" t="n">
        <v>1000</v>
      </c>
      <c r="J956" s="10" t="n">
        <v>0.1557</v>
      </c>
      <c r="K956" s="10" t="inlineStr">
        <is>
          <t>&gt; Perfumería &gt; Cuidado Capilar &gt; Acondicionador &gt;</t>
        </is>
      </c>
      <c r="L956" s="10" t="inlineStr">
        <is>
          <t>acondicionador</t>
        </is>
      </c>
      <c r="M956" s="10" t="inlineStr">
        <is>
          <t>estandar</t>
        </is>
      </c>
      <c r="N956" s="10" t="inlineStr">
        <is>
          <t>general</t>
        </is>
      </c>
      <c r="O956" s="10" t="inlineStr">
        <is>
          <t>https://www.disco.com.ar/acondicionador-plusbelle-energizante-1-l/p</t>
        </is>
      </c>
    </row>
    <row r="957">
      <c r="A957" t="inlineStr">
        <is>
          <t>Disco</t>
        </is>
      </c>
      <c r="B957" t="n">
        <v>42574</v>
      </c>
      <c r="C957" t="n">
        <v>39745</v>
      </c>
      <c r="D957" t="inlineStr">
        <is>
          <t>Acondicionador Plusbelle Humectación 1 L</t>
        </is>
      </c>
      <c r="E957" t="inlineStr">
        <is>
          <t>PLUSBELLE</t>
        </is>
      </c>
      <c r="F957" t="n">
        <v>109.57</v>
      </c>
      <c r="G957" t="n">
        <v>9055</v>
      </c>
      <c r="H957" t="b">
        <v>0</v>
      </c>
      <c r="I957" t="n">
        <v>1000</v>
      </c>
      <c r="J957" t="n">
        <v>0.1096</v>
      </c>
      <c r="K957" t="inlineStr">
        <is>
          <t>&gt; Perfumería &gt; Cuidado Capilar &gt; Acondicionador &gt;</t>
        </is>
      </c>
      <c r="L957" t="inlineStr">
        <is>
          <t>acondicionador</t>
        </is>
      </c>
      <c r="M957" t="inlineStr">
        <is>
          <t>estandar</t>
        </is>
      </c>
      <c r="N957" t="inlineStr">
        <is>
          <t>general</t>
        </is>
      </c>
      <c r="O957" t="inlineStr">
        <is>
          <t>https://www.disco.com.ar/acondicionador-plusbelle-humectacion-1-l/p</t>
        </is>
      </c>
    </row>
    <row r="958">
      <c r="A958" s="10" t="inlineStr">
        <is>
          <t>Disco</t>
        </is>
      </c>
      <c r="B958" s="10" t="n">
        <v>41568</v>
      </c>
      <c r="C958" s="10" t="n">
        <v>38733</v>
      </c>
      <c r="D958" s="10" t="inlineStr">
        <is>
          <t>Acondicionador Fructis Goodbye Daños 200ml</t>
        </is>
      </c>
      <c r="E958" s="10" t="inlineStr">
        <is>
          <t>FRUCTIS</t>
        </is>
      </c>
      <c r="F958" s="10" t="n">
        <v>409.97</v>
      </c>
      <c r="G958" s="10" t="n">
        <v>33882</v>
      </c>
      <c r="H958" s="10" t="b">
        <v>0</v>
      </c>
      <c r="I958" s="10" t="n">
        <v>200</v>
      </c>
      <c r="J958" s="10" t="n">
        <v>2.0499</v>
      </c>
      <c r="K958" s="10" t="inlineStr">
        <is>
          <t>&gt; Perfumería &gt; Cuidado Capilar &gt; Acondicionador &gt;</t>
        </is>
      </c>
      <c r="L958" s="10" t="inlineStr">
        <is>
          <t>acondicionador</t>
        </is>
      </c>
      <c r="M958" s="10" t="inlineStr">
        <is>
          <t>estandar</t>
        </is>
      </c>
      <c r="N958" s="10" t="inlineStr">
        <is>
          <t>general</t>
        </is>
      </c>
      <c r="O958" s="10" t="inlineStr">
        <is>
          <t>https://www.disco.com.ar/acondicionador-fructis-goodbye-danos-200ml-2/p</t>
        </is>
      </c>
    </row>
    <row r="959">
      <c r="A959" t="inlineStr">
        <is>
          <t>Disco</t>
        </is>
      </c>
      <c r="B959" t="n">
        <v>41405</v>
      </c>
      <c r="C959" t="n">
        <v>38570</v>
      </c>
      <c r="D959" t="inlineStr">
        <is>
          <t>Acondicionador Fructis Oil Repair 350ml</t>
        </is>
      </c>
      <c r="E959" t="inlineStr">
        <is>
          <t>FRUCTIS</t>
        </is>
      </c>
      <c r="F959" t="n">
        <v>311.59</v>
      </c>
      <c r="G959" t="n">
        <v>25751</v>
      </c>
      <c r="H959" t="b">
        <v>0</v>
      </c>
      <c r="I959" t="n">
        <v>350</v>
      </c>
      <c r="J959" t="n">
        <v>0.8903</v>
      </c>
      <c r="K959" t="inlineStr">
        <is>
          <t>&gt; Perfumería &gt; Cuidado Capilar &gt; Acondicionador &gt;</t>
        </is>
      </c>
      <c r="L959" t="inlineStr">
        <is>
          <t>acondicionador</t>
        </is>
      </c>
      <c r="M959" t="inlineStr">
        <is>
          <t>profesional</t>
        </is>
      </c>
      <c r="N959" t="inlineStr">
        <is>
          <t>general</t>
        </is>
      </c>
      <c r="O959" t="inlineStr">
        <is>
          <t>https://www.disco.com.ar/acondicionador-fructis-oil-repair-350ml-2/p</t>
        </is>
      </c>
    </row>
    <row r="960">
      <c r="A960" s="10" t="inlineStr">
        <is>
          <t>Disco</t>
        </is>
      </c>
      <c r="B960" s="10" t="n">
        <v>41396</v>
      </c>
      <c r="C960" s="10" t="n">
        <v>38561</v>
      </c>
      <c r="D960" s="10" t="inlineStr">
        <is>
          <t>Acondicionador Fructis Oil Repair 200ml</t>
        </is>
      </c>
      <c r="E960" s="10" t="inlineStr">
        <is>
          <t>FRUCTIS</t>
        </is>
      </c>
      <c r="F960" s="10" t="n">
        <v>213.99</v>
      </c>
      <c r="G960" s="10" t="n">
        <v>17685</v>
      </c>
      <c r="H960" s="10" t="b">
        <v>0</v>
      </c>
      <c r="I960" s="10" t="n">
        <v>200</v>
      </c>
      <c r="J960" s="10" t="n">
        <v>1.0699</v>
      </c>
      <c r="K960" s="10" t="inlineStr">
        <is>
          <t>&gt; Perfumería &gt; Cuidado Capilar &gt; Acondicionador &gt;</t>
        </is>
      </c>
      <c r="L960" s="10" t="inlineStr">
        <is>
          <t>acondicionador</t>
        </is>
      </c>
      <c r="M960" s="10" t="inlineStr">
        <is>
          <t>profesional</t>
        </is>
      </c>
      <c r="N960" s="10" t="inlineStr">
        <is>
          <t>general</t>
        </is>
      </c>
      <c r="O960" s="10" t="inlineStr">
        <is>
          <t>https://www.disco.com.ar/acondicionador-fructis-oil-repair-200ml-2/p</t>
        </is>
      </c>
    </row>
    <row r="961">
      <c r="A961" t="inlineStr">
        <is>
          <t>Disco</t>
        </is>
      </c>
      <c r="B961" t="n">
        <v>34504</v>
      </c>
      <c r="C961" t="n">
        <v>31663</v>
      </c>
      <c r="D961" t="inlineStr">
        <is>
          <t>Acondicionador Herbal Ess Hidrasic 670ml Acondicionador Herbal Essences Hidradisíaco 670 Ml</t>
        </is>
      </c>
      <c r="E961" t="inlineStr">
        <is>
          <t>HERBAL ESSENCES</t>
        </is>
      </c>
      <c r="F961" t="n">
        <v>297.99</v>
      </c>
      <c r="G961" t="n">
        <v>24627</v>
      </c>
      <c r="H961" t="b">
        <v>0</v>
      </c>
      <c r="I961" t="n">
        <v>670</v>
      </c>
      <c r="J961" t="n">
        <v>0.4448</v>
      </c>
      <c r="K961" t="inlineStr">
        <is>
          <t>&gt; Perfumería &gt; Cuidado Capilar &gt; Acondicionador &gt;</t>
        </is>
      </c>
      <c r="L961" t="inlineStr">
        <is>
          <t>acondicionador</t>
        </is>
      </c>
      <c r="M961" t="inlineStr">
        <is>
          <t>estandar</t>
        </is>
      </c>
      <c r="N961" t="inlineStr">
        <is>
          <t>general</t>
        </is>
      </c>
      <c r="O961" t="inlineStr">
        <is>
          <t>https://www.disco.com.ar/acondicionador-herbal-ess-hidrasic-670ml/p</t>
        </is>
      </c>
    </row>
    <row r="962">
      <c r="A962" s="10" t="inlineStr">
        <is>
          <t>Disco</t>
        </is>
      </c>
      <c r="B962" s="10" t="n">
        <v>31699</v>
      </c>
      <c r="C962" s="10" t="n">
        <v>28858</v>
      </c>
      <c r="D962" s="10" t="inlineStr">
        <is>
          <t>Acondicionador Elvive Rizos Hidr 200ml</t>
        </is>
      </c>
      <c r="E962" s="10" t="inlineStr">
        <is>
          <t>ELVIVE</t>
        </is>
      </c>
      <c r="F962" s="10" t="n">
        <v>266.59</v>
      </c>
      <c r="G962" s="10" t="n">
        <v>22032</v>
      </c>
      <c r="H962" s="10" t="b">
        <v>0</v>
      </c>
      <c r="I962" s="10" t="n">
        <v>200</v>
      </c>
      <c r="J962" s="10" t="n">
        <v>1.3329</v>
      </c>
      <c r="K962" s="10" t="inlineStr">
        <is>
          <t>&gt; Perfumería &gt; Cuidado Capilar &gt; Acondicionador &gt;</t>
        </is>
      </c>
      <c r="L962" s="10" t="inlineStr">
        <is>
          <t>acondicionador</t>
        </is>
      </c>
      <c r="M962" s="10" t="inlineStr">
        <is>
          <t>profesional</t>
        </is>
      </c>
      <c r="N962" s="10" t="inlineStr">
        <is>
          <t>rizado</t>
        </is>
      </c>
      <c r="O962" s="10" t="inlineStr">
        <is>
          <t>https://www.disco.com.ar/acondicionador-elvive-rizos-hidr-200ml/p</t>
        </is>
      </c>
    </row>
    <row r="963">
      <c r="A963" t="inlineStr">
        <is>
          <t>Disco</t>
        </is>
      </c>
      <c r="B963" t="n">
        <v>31577</v>
      </c>
      <c r="C963" t="n">
        <v>28736</v>
      </c>
      <c r="D963" t="inlineStr">
        <is>
          <t>Acondicionador Elvive Caida Resist 750ml</t>
        </is>
      </c>
      <c r="E963" t="inlineStr">
        <is>
          <t>ELVIVE</t>
        </is>
      </c>
      <c r="F963" t="n">
        <v>229.53</v>
      </c>
      <c r="G963" t="n">
        <v>18969</v>
      </c>
      <c r="H963" t="b">
        <v>0</v>
      </c>
      <c r="I963" t="n">
        <v>750</v>
      </c>
      <c r="J963" t="n">
        <v>0.306</v>
      </c>
      <c r="K963" t="inlineStr">
        <is>
          <t>&gt; Perfumería &gt; Cuidado Capilar &gt; Acondicionador &gt;</t>
        </is>
      </c>
      <c r="L963" t="inlineStr">
        <is>
          <t>acondicionador</t>
        </is>
      </c>
      <c r="M963" t="inlineStr">
        <is>
          <t>profesional</t>
        </is>
      </c>
      <c r="N963" t="inlineStr">
        <is>
          <t>general</t>
        </is>
      </c>
      <c r="O963" t="inlineStr">
        <is>
          <t>https://www.disco.com.ar/acondicionador-elvive-caida-resist-750ml/p</t>
        </is>
      </c>
    </row>
    <row r="964">
      <c r="A964" s="10" t="inlineStr">
        <is>
          <t>Disco</t>
        </is>
      </c>
      <c r="B964" s="10" t="n">
        <v>31513</v>
      </c>
      <c r="C964" s="10" t="n">
        <v>28671</v>
      </c>
      <c r="D964" s="10" t="inlineStr">
        <is>
          <t>Acondicionador Elvive Color Vive 750ml</t>
        </is>
      </c>
      <c r="E964" s="10" t="inlineStr">
        <is>
          <t>ELVIVE</t>
        </is>
      </c>
      <c r="F964" s="10" t="n">
        <v>745.65</v>
      </c>
      <c r="G964" s="10" t="n">
        <v>61624</v>
      </c>
      <c r="H964" s="10" t="b">
        <v>0</v>
      </c>
      <c r="I964" s="10" t="n">
        <v>750</v>
      </c>
      <c r="J964" s="10" t="n">
        <v>0.9942</v>
      </c>
      <c r="K964" s="10" t="inlineStr">
        <is>
          <t>&gt; Perfumería &gt; Cuidado Capilar &gt; Acondicionador &gt;</t>
        </is>
      </c>
      <c r="L964" s="10" t="inlineStr">
        <is>
          <t>acondicionador</t>
        </is>
      </c>
      <c r="M964" s="10" t="inlineStr">
        <is>
          <t>profesional</t>
        </is>
      </c>
      <c r="N964" s="10" t="inlineStr">
        <is>
          <t>tratado</t>
        </is>
      </c>
      <c r="O964" s="10" t="inlineStr">
        <is>
          <t>https://www.disco.com.ar/acondicionador-elvive-color-vive-750ml/p</t>
        </is>
      </c>
    </row>
    <row r="965">
      <c r="A965" t="inlineStr">
        <is>
          <t>Disco</t>
        </is>
      </c>
      <c r="B965" t="n">
        <v>19657</v>
      </c>
      <c r="C965" t="n">
        <v>16820</v>
      </c>
      <c r="D965" t="inlineStr">
        <is>
          <t>Acondicionador Sedal Crema Balance 340ml</t>
        </is>
      </c>
      <c r="E965" t="inlineStr">
        <is>
          <t>SEDAL</t>
        </is>
      </c>
      <c r="F965" t="n">
        <v>176.59</v>
      </c>
      <c r="G965" t="n">
        <v>14594</v>
      </c>
      <c r="H965" t="b">
        <v>0</v>
      </c>
      <c r="I965" t="n">
        <v>340</v>
      </c>
      <c r="J965" t="n">
        <v>0.5194</v>
      </c>
      <c r="K965" t="inlineStr">
        <is>
          <t>&gt; Perfumería &gt; Cuidado Capilar &gt; Acondicionador &gt;</t>
        </is>
      </c>
      <c r="L965" t="inlineStr">
        <is>
          <t>acondicionador</t>
        </is>
      </c>
      <c r="M965" t="inlineStr">
        <is>
          <t>estandar</t>
        </is>
      </c>
      <c r="N965" t="inlineStr">
        <is>
          <t>general</t>
        </is>
      </c>
      <c r="O965" t="inlineStr">
        <is>
          <t>https://www.disco.com.ar/acondicionador-sedal-crema-balance-340ml/p</t>
        </is>
      </c>
    </row>
    <row r="966">
      <c r="A966" s="10" t="inlineStr">
        <is>
          <t>Disco</t>
        </is>
      </c>
      <c r="B966" s="10" t="n">
        <v>19538</v>
      </c>
      <c r="C966" s="10" t="n">
        <v>16695</v>
      </c>
      <c r="D966" s="10" t="inlineStr">
        <is>
          <t>Acondicionador Tresemme Detox Capilar 750ml</t>
        </is>
      </c>
      <c r="E966" s="10" t="inlineStr">
        <is>
          <t>TRESEMMÉ</t>
        </is>
      </c>
      <c r="F966" s="10" t="n">
        <v>538.59</v>
      </c>
      <c r="G966" s="10" t="n">
        <v>44512</v>
      </c>
      <c r="H966" s="10" t="b">
        <v>0</v>
      </c>
      <c r="I966" s="10" t="n">
        <v>750</v>
      </c>
      <c r="J966" s="10" t="n">
        <v>0.7181</v>
      </c>
      <c r="K966" s="10" t="inlineStr">
        <is>
          <t>&gt; Perfumería &gt; Cuidado Capilar &gt; Acondicionador &gt;</t>
        </is>
      </c>
      <c r="L966" s="10" t="inlineStr">
        <is>
          <t>acondicionador</t>
        </is>
      </c>
      <c r="M966" s="10" t="inlineStr">
        <is>
          <t>estandar</t>
        </is>
      </c>
      <c r="N966" s="10" t="inlineStr">
        <is>
          <t>general</t>
        </is>
      </c>
      <c r="O966" s="10" t="inlineStr">
        <is>
          <t>https://www.disco.com.ar/acondicionador-tresemme-detox-capilar-750ml/p</t>
        </is>
      </c>
    </row>
    <row r="967">
      <c r="A967" t="inlineStr">
        <is>
          <t>Disco</t>
        </is>
      </c>
      <c r="B967" t="n">
        <v>7704</v>
      </c>
      <c r="C967" t="n">
        <v>5030</v>
      </c>
      <c r="D967" t="inlineStr">
        <is>
          <t>Pantene Acondicionador Hidratacion Balanceada 750ml</t>
        </is>
      </c>
      <c r="E967" t="inlineStr">
        <is>
          <t>PANTENE</t>
        </is>
      </c>
      <c r="F967" t="n">
        <v>284.77</v>
      </c>
      <c r="G967" t="n">
        <v>23535</v>
      </c>
      <c r="H967" t="b">
        <v>0</v>
      </c>
      <c r="I967" t="n">
        <v>750</v>
      </c>
      <c r="J967" t="n">
        <v>0.3797</v>
      </c>
      <c r="K967" t="inlineStr">
        <is>
          <t>&gt; Perfumería &gt; Cuidado Capilar &gt; Acondicionador &gt;</t>
        </is>
      </c>
      <c r="L967" t="inlineStr">
        <is>
          <t>acondicionador</t>
        </is>
      </c>
      <c r="M967" t="inlineStr">
        <is>
          <t>estandar</t>
        </is>
      </c>
      <c r="N967" t="inlineStr">
        <is>
          <t>seco_danado</t>
        </is>
      </c>
      <c r="O967" t="inlineStr">
        <is>
          <t>https://www.disco.com.ar/acondicionador-pantene-5/p</t>
        </is>
      </c>
    </row>
    <row r="968">
      <c r="A968" s="10" t="inlineStr">
        <is>
          <t>Disco</t>
        </is>
      </c>
      <c r="B968" s="10" t="n">
        <v>7331</v>
      </c>
      <c r="C968" s="10" t="n">
        <v>4665</v>
      </c>
      <c r="D968" s="10" t="inlineStr">
        <is>
          <t>Acondicionador Pantene Cont Caida 750ml</t>
        </is>
      </c>
      <c r="E968" s="10" t="inlineStr">
        <is>
          <t>PANTENE</t>
        </is>
      </c>
      <c r="F968" s="10" t="n">
        <v>457.55</v>
      </c>
      <c r="G968" s="10" t="n">
        <v>37814</v>
      </c>
      <c r="H968" s="10" t="b">
        <v>0</v>
      </c>
      <c r="I968" s="10" t="n">
        <v>750</v>
      </c>
      <c r="J968" s="10" t="n">
        <v>0.6101</v>
      </c>
      <c r="K968" s="10" t="inlineStr">
        <is>
          <t>&gt; Perfumería &gt; Cuidado Capilar &gt; Acondicionador &gt;</t>
        </is>
      </c>
      <c r="L968" s="10" t="inlineStr">
        <is>
          <t>acondicionador</t>
        </is>
      </c>
      <c r="M968" s="10" t="inlineStr">
        <is>
          <t>estandar</t>
        </is>
      </c>
      <c r="N968" s="10" t="inlineStr">
        <is>
          <t>general</t>
        </is>
      </c>
      <c r="O968" s="10" t="inlineStr">
        <is>
          <t>https://www.disco.com.ar/acondicionador-pantene-cont-caida-750ml/p</t>
        </is>
      </c>
    </row>
    <row r="969">
      <c r="A969" t="inlineStr">
        <is>
          <t>Disco</t>
        </is>
      </c>
      <c r="B969" t="n">
        <v>4497</v>
      </c>
      <c r="C969" t="n">
        <v>26540</v>
      </c>
      <c r="D969" t="inlineStr">
        <is>
          <t>Acondicionador Babelito Manzana 200 Ml</t>
        </is>
      </c>
      <c r="E969" t="inlineStr">
        <is>
          <t>BABELITO</t>
        </is>
      </c>
      <c r="F969" t="n">
        <v>123.99</v>
      </c>
      <c r="G969" t="n">
        <v>123.99</v>
      </c>
      <c r="H969" t="b">
        <v>0</v>
      </c>
      <c r="I969" t="n">
        <v>200</v>
      </c>
      <c r="J969" t="n">
        <v>0.62</v>
      </c>
      <c r="K969" t="inlineStr">
        <is>
          <t>&gt; Mundo Bebe &gt; Higiene para el Bebe &gt; Higiene del Bebé &gt;</t>
        </is>
      </c>
      <c r="L969" t="inlineStr">
        <is>
          <t>acondicionador</t>
        </is>
      </c>
      <c r="M969" t="inlineStr">
        <is>
          <t>estandar</t>
        </is>
      </c>
      <c r="N969" t="inlineStr">
        <is>
          <t>general</t>
        </is>
      </c>
      <c r="O969" t="inlineStr">
        <is>
          <t>https://www.disco.com.ar/acondicionador-p-cabello-babelito-2/p</t>
        </is>
      </c>
    </row>
    <row r="970">
      <c r="A970" s="10" t="inlineStr">
        <is>
          <t>Disco</t>
        </is>
      </c>
      <c r="B970" s="10" t="n">
        <v>45696</v>
      </c>
      <c r="C970" s="10" t="n">
        <v>42869</v>
      </c>
      <c r="D970" s="10" t="inlineStr">
        <is>
          <t>Acondicionador Pantene Summer 400 Ml</t>
        </is>
      </c>
      <c r="E970" s="10" t="inlineStr">
        <is>
          <t>PANTENE</t>
        </is>
      </c>
      <c r="F970" s="10" t="n">
        <v>315.75</v>
      </c>
      <c r="G970" s="10" t="n">
        <v>26095</v>
      </c>
      <c r="H970" s="10" t="b">
        <v>0</v>
      </c>
      <c r="I970" s="10" t="n">
        <v>400</v>
      </c>
      <c r="J970" s="10" t="n">
        <v>0.7894</v>
      </c>
      <c r="K970" s="10" t="inlineStr">
        <is>
          <t>&gt; Perfumería &gt; Cuidado Capilar &gt; Acondicionador &gt;</t>
        </is>
      </c>
      <c r="L970" s="10" t="inlineStr">
        <is>
          <t>acondicionador</t>
        </is>
      </c>
      <c r="M970" s="10" t="inlineStr">
        <is>
          <t>estandar</t>
        </is>
      </c>
      <c r="N970" s="10" t="inlineStr">
        <is>
          <t>general</t>
        </is>
      </c>
      <c r="O970" s="10" t="inlineStr">
        <is>
          <t>https://www.disco.com.ar/acondicionador-pantene-summer-400-ml/p</t>
        </is>
      </c>
    </row>
    <row r="971">
      <c r="A971" t="inlineStr">
        <is>
          <t>Disco</t>
        </is>
      </c>
      <c r="B971" t="n">
        <v>45687</v>
      </c>
      <c r="C971" t="n">
        <v>42860</v>
      </c>
      <c r="D971" t="inlineStr">
        <is>
          <t>Acondicionador Pantene Summer 200 Ml</t>
        </is>
      </c>
      <c r="E971" t="inlineStr">
        <is>
          <t>PANTENE</t>
        </is>
      </c>
      <c r="F971" t="n">
        <v>173.39</v>
      </c>
      <c r="G971" t="n">
        <v>14330</v>
      </c>
      <c r="H971" t="b">
        <v>0</v>
      </c>
      <c r="I971" t="n">
        <v>200</v>
      </c>
      <c r="J971" t="n">
        <v>0.8669</v>
      </c>
      <c r="K971" t="inlineStr">
        <is>
          <t>&gt; Perfumería &gt; Cuidado Capilar &gt; Acondicionador &gt;</t>
        </is>
      </c>
      <c r="L971" t="inlineStr">
        <is>
          <t>acondicionador</t>
        </is>
      </c>
      <c r="M971" t="inlineStr">
        <is>
          <t>estandar</t>
        </is>
      </c>
      <c r="N971" t="inlineStr">
        <is>
          <t>general</t>
        </is>
      </c>
      <c r="O971" t="inlineStr">
        <is>
          <t>https://www.disco.com.ar/acondicionador-pantene-summer-200-ml/p</t>
        </is>
      </c>
    </row>
    <row r="972">
      <c r="A972" s="10" t="inlineStr">
        <is>
          <t>Disco</t>
        </is>
      </c>
      <c r="B972" s="10" t="n">
        <v>44101</v>
      </c>
      <c r="C972" s="10" t="n">
        <v>41272</v>
      </c>
      <c r="D972" s="10" t="inlineStr">
        <is>
          <t>Acondicionador Elvive O Extra Prof 750ml</t>
        </is>
      </c>
      <c r="E972" s="10" t="inlineStr">
        <is>
          <t>ELVIVE</t>
        </is>
      </c>
      <c r="F972" s="10" t="n">
        <v>745.65</v>
      </c>
      <c r="G972" s="10" t="n">
        <v>61624</v>
      </c>
      <c r="H972" s="10" t="b">
        <v>0</v>
      </c>
      <c r="I972" s="10" t="n">
        <v>750</v>
      </c>
      <c r="J972" s="10" t="n">
        <v>0.9942</v>
      </c>
      <c r="K972" s="10" t="inlineStr">
        <is>
          <t>&gt; Perfumería &gt; Cuidado Capilar &gt; Acondicionador &gt;</t>
        </is>
      </c>
      <c r="L972" s="10" t="inlineStr">
        <is>
          <t>acondicionador</t>
        </is>
      </c>
      <c r="M972" s="10" t="inlineStr">
        <is>
          <t>profesional</t>
        </is>
      </c>
      <c r="N972" s="10" t="inlineStr">
        <is>
          <t>general</t>
        </is>
      </c>
      <c r="O972" s="10" t="inlineStr">
        <is>
          <t>https://www.disco.com.ar/acondicionador-elvive-o-extra-prof-750ml-2/p</t>
        </is>
      </c>
    </row>
    <row r="973">
      <c r="A973" t="inlineStr">
        <is>
          <t>Disco</t>
        </is>
      </c>
      <c r="B973" t="n">
        <v>42285</v>
      </c>
      <c r="C973" t="n">
        <v>39455</v>
      </c>
      <c r="D973" t="inlineStr">
        <is>
          <t>Acondicionador Sedal Crema Balance 650ml</t>
        </is>
      </c>
      <c r="E973" t="inlineStr">
        <is>
          <t>SEDAL</t>
        </is>
      </c>
      <c r="F973" t="n">
        <v>550</v>
      </c>
      <c r="G973" t="n">
        <v>45455</v>
      </c>
      <c r="H973" t="b">
        <v>0</v>
      </c>
      <c r="I973" t="n">
        <v>650</v>
      </c>
      <c r="J973" t="n">
        <v>0.8462</v>
      </c>
      <c r="K973" t="inlineStr">
        <is>
          <t>&gt; Perfumería &gt; Cuidado Capilar &gt; Acondicionador &gt;</t>
        </is>
      </c>
      <c r="L973" t="inlineStr">
        <is>
          <t>acondicionador</t>
        </is>
      </c>
      <c r="M973" t="inlineStr">
        <is>
          <t>estandar</t>
        </is>
      </c>
      <c r="N973" t="inlineStr">
        <is>
          <t>general</t>
        </is>
      </c>
      <c r="O973" t="inlineStr">
        <is>
          <t>https://www.disco.com.ar/acondicionador-sedal-crema-balance-650ml-2/p</t>
        </is>
      </c>
    </row>
    <row r="974">
      <c r="A974" s="10" t="inlineStr">
        <is>
          <t>Disco</t>
        </is>
      </c>
      <c r="B974" s="10" t="n">
        <v>42244</v>
      </c>
      <c r="C974" s="10" t="n">
        <v>39414</v>
      </c>
      <c r="D974" s="10" t="inlineStr">
        <is>
          <t>Acondicionador Sedal Pureza Detox 650ml</t>
        </is>
      </c>
      <c r="E974" s="10" t="inlineStr">
        <is>
          <t>SEDAL</t>
        </is>
      </c>
      <c r="F974" s="10" t="n">
        <v>227.35</v>
      </c>
      <c r="G974" s="10" t="n">
        <v>18789</v>
      </c>
      <c r="H974" s="10" t="b">
        <v>0</v>
      </c>
      <c r="I974" s="10" t="n">
        <v>650</v>
      </c>
      <c r="J974" s="10" t="n">
        <v>0.3498</v>
      </c>
      <c r="K974" s="10" t="inlineStr">
        <is>
          <t>&gt; Perfumería &gt; Cuidado Capilar &gt; Acondicionador &gt;</t>
        </is>
      </c>
      <c r="L974" s="10" t="inlineStr">
        <is>
          <t>acondicionador</t>
        </is>
      </c>
      <c r="M974" s="10" t="inlineStr">
        <is>
          <t>estandar</t>
        </is>
      </c>
      <c r="N974" s="10" t="inlineStr">
        <is>
          <t>general</t>
        </is>
      </c>
      <c r="O974" s="10" t="inlineStr">
        <is>
          <t>https://www.disco.com.ar/acondicionador-sedal-pureza-detox-650ml/p</t>
        </is>
      </c>
    </row>
    <row r="975">
      <c r="A975" t="inlineStr">
        <is>
          <t>Disco</t>
        </is>
      </c>
      <c r="B975" t="n">
        <v>38573</v>
      </c>
      <c r="C975" t="n">
        <v>35728</v>
      </c>
      <c r="D975" t="inlineStr">
        <is>
          <t>Acondicionador Alta Moda Cream 300ml</t>
        </is>
      </c>
      <c r="E975" t="inlineStr">
        <is>
          <t>ALTA MODA</t>
        </is>
      </c>
      <c r="F975" t="n">
        <v>156.39</v>
      </c>
      <c r="G975" t="n">
        <v>12925</v>
      </c>
      <c r="H975" t="b">
        <v>0</v>
      </c>
      <c r="I975" t="n">
        <v>300</v>
      </c>
      <c r="J975" t="n">
        <v>0.5213</v>
      </c>
      <c r="K975" t="inlineStr">
        <is>
          <t>&gt; Perfumería &gt; Cuidado Capilar &gt; Acondicionador &gt;</t>
        </is>
      </c>
      <c r="L975" t="inlineStr">
        <is>
          <t>acondicionador</t>
        </is>
      </c>
      <c r="M975" t="inlineStr">
        <is>
          <t>estandar</t>
        </is>
      </c>
      <c r="N975" t="inlineStr">
        <is>
          <t>general</t>
        </is>
      </c>
      <c r="O975" t="inlineStr">
        <is>
          <t>https://www.disco.com.ar/acondicionador-alta-moda-cream-300ml/p</t>
        </is>
      </c>
    </row>
    <row r="976">
      <c r="A976" s="10" t="inlineStr">
        <is>
          <t>Disco</t>
        </is>
      </c>
      <c r="B976" s="10" t="n">
        <v>36160</v>
      </c>
      <c r="C976" s="10" t="n">
        <v>33319</v>
      </c>
      <c r="D976" s="10" t="inlineStr">
        <is>
          <t>Acondicionador Capilatis Nutritivo 420 Ml</t>
        </is>
      </c>
      <c r="E976" s="10" t="inlineStr">
        <is>
          <t>CAPILATIS</t>
        </is>
      </c>
      <c r="F976" s="10" t="n">
        <v>323.17</v>
      </c>
      <c r="G976" s="10" t="n">
        <v>26708</v>
      </c>
      <c r="H976" s="10" t="b">
        <v>0</v>
      </c>
      <c r="I976" s="10" t="n">
        <v>420</v>
      </c>
      <c r="J976" s="10" t="n">
        <v>0.7695</v>
      </c>
      <c r="K976" s="10" t="inlineStr">
        <is>
          <t>&gt; Perfumería &gt; Cuidado Capilar &gt; Acondicionador &gt;</t>
        </is>
      </c>
      <c r="L976" s="10" t="inlineStr">
        <is>
          <t>acondicionador</t>
        </is>
      </c>
      <c r="M976" s="10" t="inlineStr">
        <is>
          <t>estandar</t>
        </is>
      </c>
      <c r="N976" s="10" t="inlineStr">
        <is>
          <t>general</t>
        </is>
      </c>
      <c r="O976" s="10" t="inlineStr">
        <is>
          <t>https://www.disco.com.ar/acondicionador-capilatis-nutritivo-420-ml/p</t>
        </is>
      </c>
    </row>
    <row r="977">
      <c r="A977" t="inlineStr">
        <is>
          <t>Disco</t>
        </is>
      </c>
      <c r="B977" t="n">
        <v>31689</v>
      </c>
      <c r="C977" t="n">
        <v>28848</v>
      </c>
      <c r="D977" t="inlineStr">
        <is>
          <t>Acondicionador Elvive Color Vive 200ml</t>
        </is>
      </c>
      <c r="E977" t="inlineStr">
        <is>
          <t>ELVIVE</t>
        </is>
      </c>
      <c r="F977" t="n">
        <v>330.19</v>
      </c>
      <c r="G977" t="n">
        <v>27288</v>
      </c>
      <c r="H977" t="b">
        <v>0</v>
      </c>
      <c r="I977" t="n">
        <v>200</v>
      </c>
      <c r="J977" t="n">
        <v>1.6509</v>
      </c>
      <c r="K977" t="inlineStr">
        <is>
          <t>&gt; Perfumería &gt; Cuidado Capilar &gt; Acondicionador &gt;</t>
        </is>
      </c>
      <c r="L977" t="inlineStr">
        <is>
          <t>acondicionador</t>
        </is>
      </c>
      <c r="M977" t="inlineStr">
        <is>
          <t>profesional</t>
        </is>
      </c>
      <c r="N977" t="inlineStr">
        <is>
          <t>tratado</t>
        </is>
      </c>
      <c r="O977" t="inlineStr">
        <is>
          <t>https://www.disco.com.ar/acondicionador-elvive-color-vive-200ml/p</t>
        </is>
      </c>
    </row>
    <row r="978">
      <c r="A978" s="10" t="inlineStr">
        <is>
          <t>Disco</t>
        </is>
      </c>
      <c r="B978" s="10" t="n">
        <v>31269</v>
      </c>
      <c r="C978" s="10" t="n">
        <v>28429</v>
      </c>
      <c r="D978" s="10" t="inlineStr">
        <is>
          <t>Acondicionador Elvive Kera Liso 200ml</t>
        </is>
      </c>
      <c r="E978" s="10" t="inlineStr">
        <is>
          <t>ELVIVE</t>
        </is>
      </c>
      <c r="F978" s="10" t="n">
        <v>330.19</v>
      </c>
      <c r="G978" s="10" t="n">
        <v>27288</v>
      </c>
      <c r="H978" s="10" t="b">
        <v>0</v>
      </c>
      <c r="I978" s="10" t="n">
        <v>200</v>
      </c>
      <c r="J978" s="10" t="n">
        <v>1.6509</v>
      </c>
      <c r="K978" s="10" t="inlineStr">
        <is>
          <t>&gt; Perfumería &gt; Cuidado Capilar &gt; Acondicionador &gt;</t>
        </is>
      </c>
      <c r="L978" s="10" t="inlineStr">
        <is>
          <t>acondicionador</t>
        </is>
      </c>
      <c r="M978" s="10" t="inlineStr">
        <is>
          <t>profesional</t>
        </is>
      </c>
      <c r="N978" s="10" t="inlineStr">
        <is>
          <t>general</t>
        </is>
      </c>
      <c r="O978" s="10" t="inlineStr">
        <is>
          <t>https://www.disco.com.ar/acondicionador-elvive-kera-liso-200ml/p</t>
        </is>
      </c>
    </row>
    <row r="979">
      <c r="A979" t="inlineStr">
        <is>
          <t>Disco</t>
        </is>
      </c>
      <c r="B979" t="n">
        <v>31013</v>
      </c>
      <c r="C979" t="n">
        <v>28172</v>
      </c>
      <c r="D979" t="inlineStr">
        <is>
          <t>Acondicionador Elvive Caida Resist 400ml</t>
        </is>
      </c>
      <c r="E979" t="inlineStr">
        <is>
          <t>ELVIVE</t>
        </is>
      </c>
      <c r="F979" t="n">
        <v>430.99</v>
      </c>
      <c r="G979" t="n">
        <v>35619</v>
      </c>
      <c r="H979" t="b">
        <v>0</v>
      </c>
      <c r="I979" t="n">
        <v>400</v>
      </c>
      <c r="J979" t="n">
        <v>1.0775</v>
      </c>
      <c r="K979" t="inlineStr">
        <is>
          <t>&gt; Perfumería &gt; Cuidado Capilar &gt; Acondicionador &gt;</t>
        </is>
      </c>
      <c r="L979" t="inlineStr">
        <is>
          <t>acondicionador</t>
        </is>
      </c>
      <c r="M979" t="inlineStr">
        <is>
          <t>profesional</t>
        </is>
      </c>
      <c r="N979" t="inlineStr">
        <is>
          <t>general</t>
        </is>
      </c>
      <c r="O979" t="inlineStr">
        <is>
          <t>https://www.disco.com.ar/acondicionador-elvive-caida-resist-400ml/p</t>
        </is>
      </c>
    </row>
    <row r="980">
      <c r="A980" s="10" t="inlineStr">
        <is>
          <t>Disco</t>
        </is>
      </c>
      <c r="B980" s="10" t="n">
        <v>30916</v>
      </c>
      <c r="C980" s="10" t="n">
        <v>28075</v>
      </c>
      <c r="D980" s="10" t="inlineStr">
        <is>
          <t>Acondicionador Elvive Kera Brillo 400ml</t>
        </is>
      </c>
      <c r="E980" s="10" t="inlineStr">
        <is>
          <t>ELVIVE</t>
        </is>
      </c>
      <c r="F980" s="10" t="n">
        <v>533.85</v>
      </c>
      <c r="G980" s="10" t="n">
        <v>44120</v>
      </c>
      <c r="H980" s="10" t="b">
        <v>0</v>
      </c>
      <c r="I980" s="10" t="n">
        <v>400</v>
      </c>
      <c r="J980" s="10" t="n">
        <v>1.3346</v>
      </c>
      <c r="K980" s="10" t="inlineStr">
        <is>
          <t>&gt; Perfumería &gt; Cuidado Capilar &gt; Acondicionador &gt;</t>
        </is>
      </c>
      <c r="L980" s="10" t="inlineStr">
        <is>
          <t>acondicionador</t>
        </is>
      </c>
      <c r="M980" s="10" t="inlineStr">
        <is>
          <t>profesional</t>
        </is>
      </c>
      <c r="N980" s="10" t="inlineStr">
        <is>
          <t>general</t>
        </is>
      </c>
      <c r="O980" s="10" t="inlineStr">
        <is>
          <t>https://www.disco.com.ar/acondicionador-elvive-kera-brillo-400ml/p</t>
        </is>
      </c>
    </row>
    <row r="981">
      <c r="A981" t="inlineStr">
        <is>
          <t>Disco</t>
        </is>
      </c>
      <c r="B981" t="n">
        <v>29436</v>
      </c>
      <c r="C981" t="n">
        <v>26599</v>
      </c>
      <c r="D981" t="inlineStr">
        <is>
          <t>Acondicionador Plusbelle Ceramidas 1 L</t>
        </is>
      </c>
      <c r="E981" t="inlineStr">
        <is>
          <t>PLUSBELLE</t>
        </is>
      </c>
      <c r="F981" t="n">
        <v>35.33</v>
      </c>
      <c r="G981" t="n">
        <v>2920</v>
      </c>
      <c r="H981" t="b">
        <v>0</v>
      </c>
      <c r="I981" t="n">
        <v>1000</v>
      </c>
      <c r="J981" t="n">
        <v>0.0353</v>
      </c>
      <c r="K981" t="inlineStr">
        <is>
          <t>&gt; Perfumería &gt; Cuidado Capilar &gt; Acondicionador &gt;</t>
        </is>
      </c>
      <c r="L981" t="inlineStr">
        <is>
          <t>acondicionador</t>
        </is>
      </c>
      <c r="M981" t="inlineStr">
        <is>
          <t>estandar</t>
        </is>
      </c>
      <c r="N981" t="inlineStr">
        <is>
          <t>general</t>
        </is>
      </c>
      <c r="O981" t="inlineStr">
        <is>
          <t>https://www.disco.com.ar/crema-de-enjuague-plusbelle-7/p</t>
        </is>
      </c>
    </row>
    <row r="982">
      <c r="A982" s="10" t="inlineStr">
        <is>
          <t>Disco</t>
        </is>
      </c>
      <c r="B982" s="10" t="n">
        <v>26867</v>
      </c>
      <c r="C982" s="10" t="n">
        <v>24026</v>
      </c>
      <c r="D982" s="10" t="inlineStr">
        <is>
          <t>Acondicionador Comfort Clásico 2 L</t>
        </is>
      </c>
      <c r="E982" s="10" t="inlineStr">
        <is>
          <t>COMFORT</t>
        </is>
      </c>
      <c r="F982" s="10" t="n">
        <v>28.59</v>
      </c>
      <c r="G982" s="10" t="n">
        <v>28.59</v>
      </c>
      <c r="H982" s="10" t="b">
        <v>0</v>
      </c>
      <c r="I982" s="10" t="n">
        <v>2000</v>
      </c>
      <c r="J982" s="10" t="n">
        <v>0.0143</v>
      </c>
      <c r="K982" s="10" t="inlineStr">
        <is>
          <t>&gt; Limpieza &gt; Cuidado Para La Ropa &gt; Suavizantes &gt;</t>
        </is>
      </c>
      <c r="L982" s="10" t="inlineStr">
        <is>
          <t>acondicionador</t>
        </is>
      </c>
      <c r="M982" s="10" t="inlineStr">
        <is>
          <t>estandar</t>
        </is>
      </c>
      <c r="N982" s="10" t="inlineStr">
        <is>
          <t>general</t>
        </is>
      </c>
      <c r="O982" s="10" t="inlineStr">
        <is>
          <t>https://www.disco.com.ar/acondicionador-comfort/p</t>
        </is>
      </c>
    </row>
    <row r="983">
      <c r="A983" t="inlineStr">
        <is>
          <t>Disco</t>
        </is>
      </c>
      <c r="B983" t="n">
        <v>19643</v>
      </c>
      <c r="C983" t="n">
        <v>16804</v>
      </c>
      <c r="D983" t="inlineStr">
        <is>
          <t>Acondicionador Sedal Ceramidas 190 Ml</t>
        </is>
      </c>
      <c r="E983" t="inlineStr">
        <is>
          <t>SEDAL SOS</t>
        </is>
      </c>
      <c r="F983" t="n">
        <v>130.65</v>
      </c>
      <c r="G983" t="n">
        <v>10798</v>
      </c>
      <c r="H983" t="b">
        <v>0</v>
      </c>
      <c r="I983" t="n">
        <v>190</v>
      </c>
      <c r="J983" t="n">
        <v>0.6876</v>
      </c>
      <c r="K983" t="inlineStr">
        <is>
          <t>&gt; Perfumería &gt; Cuidado Capilar &gt; Acondicionador &gt;</t>
        </is>
      </c>
      <c r="L983" t="inlineStr">
        <is>
          <t>acondicionador</t>
        </is>
      </c>
      <c r="M983" t="inlineStr">
        <is>
          <t>estandar</t>
        </is>
      </c>
      <c r="N983" t="inlineStr">
        <is>
          <t>general</t>
        </is>
      </c>
      <c r="O983" t="inlineStr">
        <is>
          <t>https://www.disco.com.ar/acondicionador-sedal-ceramidas-190-ml/p</t>
        </is>
      </c>
    </row>
    <row r="984">
      <c r="A984" s="10" t="inlineStr">
        <is>
          <t>Disco</t>
        </is>
      </c>
      <c r="B984" s="10" t="n">
        <v>13527</v>
      </c>
      <c r="C984" s="10" t="n">
        <v>10724</v>
      </c>
      <c r="D984" s="10" t="inlineStr">
        <is>
          <t>Acondicionador Capilatis Fortificado 400 Ml</t>
        </is>
      </c>
      <c r="E984" s="10" t="inlineStr">
        <is>
          <t>CAPILATIS</t>
        </is>
      </c>
      <c r="F984" s="10" t="n">
        <v>91.29000000000001</v>
      </c>
      <c r="G984" s="10" t="n">
        <v>7545</v>
      </c>
      <c r="H984" s="10" t="b">
        <v>0</v>
      </c>
      <c r="I984" s="10" t="n">
        <v>400</v>
      </c>
      <c r="J984" s="10" t="n">
        <v>0.2282</v>
      </c>
      <c r="K984" s="10" t="inlineStr">
        <is>
          <t>&gt; Perfumería &gt; Cuidado Capilar &gt; Acondicionador &gt;</t>
        </is>
      </c>
      <c r="L984" s="10" t="inlineStr">
        <is>
          <t>acondicionador</t>
        </is>
      </c>
      <c r="M984" s="10" t="inlineStr">
        <is>
          <t>estandar</t>
        </is>
      </c>
      <c r="N984" s="10" t="inlineStr">
        <is>
          <t>general</t>
        </is>
      </c>
      <c r="O984" s="10" t="inlineStr">
        <is>
          <t>https://www.disco.com.ar/acondicionador-capilatis-6/p</t>
        </is>
      </c>
    </row>
    <row r="985">
      <c r="A985" t="inlineStr">
        <is>
          <t>Disco</t>
        </is>
      </c>
      <c r="B985" t="n">
        <v>8068</v>
      </c>
      <c r="C985" t="n">
        <v>5394</v>
      </c>
      <c r="D985" t="inlineStr">
        <is>
          <t>Acondicionador Capilatis Manzanilla 500 Ml</t>
        </is>
      </c>
      <c r="E985" t="inlineStr">
        <is>
          <t>CAPILATIS</t>
        </is>
      </c>
      <c r="F985" t="n">
        <v>928.39</v>
      </c>
      <c r="G985" t="n">
        <v>76726</v>
      </c>
      <c r="H985" t="b">
        <v>0</v>
      </c>
      <c r="I985" t="n">
        <v>500</v>
      </c>
      <c r="J985" t="n">
        <v>1.8568</v>
      </c>
      <c r="K985" t="inlineStr">
        <is>
          <t>&gt; Perfumería &gt; Cuidado Capilar &gt; Acondicionador &gt;</t>
        </is>
      </c>
      <c r="L985" t="inlineStr">
        <is>
          <t>acondicionador</t>
        </is>
      </c>
      <c r="M985" t="inlineStr">
        <is>
          <t>estandar</t>
        </is>
      </c>
      <c r="N985" t="inlineStr">
        <is>
          <t>general</t>
        </is>
      </c>
      <c r="O985" t="inlineStr">
        <is>
          <t>https://www.disco.com.ar/acondicionador-capilatis-manzanilla-500-ml/p</t>
        </is>
      </c>
    </row>
    <row r="986">
      <c r="A986" s="10" t="inlineStr">
        <is>
          <t>Disco</t>
        </is>
      </c>
      <c r="B986" s="10" t="n">
        <v>7693</v>
      </c>
      <c r="C986" s="10" t="n">
        <v>5019</v>
      </c>
      <c r="D986" s="10" t="inlineStr">
        <is>
          <t>Acondicionador Elvive Rt5 Extreme 400ml</t>
        </is>
      </c>
      <c r="E986" s="10" t="inlineStr">
        <is>
          <t>ELVIVE</t>
        </is>
      </c>
      <c r="F986" s="10" t="n">
        <v>533.85</v>
      </c>
      <c r="G986" s="10" t="n">
        <v>44120</v>
      </c>
      <c r="H986" s="10" t="b">
        <v>0</v>
      </c>
      <c r="I986" s="10" t="n">
        <v>400</v>
      </c>
      <c r="J986" s="10" t="n">
        <v>1.3346</v>
      </c>
      <c r="K986" s="10" t="inlineStr">
        <is>
          <t>&gt; Perfumería &gt; Cuidado Capilar &gt; Acondicionador &gt;</t>
        </is>
      </c>
      <c r="L986" s="10" t="inlineStr">
        <is>
          <t>acondicionador</t>
        </is>
      </c>
      <c r="M986" s="10" t="inlineStr">
        <is>
          <t>profesional</t>
        </is>
      </c>
      <c r="N986" s="10" t="inlineStr">
        <is>
          <t>general</t>
        </is>
      </c>
      <c r="O986" s="10" t="inlineStr">
        <is>
          <t>https://www.disco.com.ar/acondicionador-elvive-rt5-extreme-400ml/p</t>
        </is>
      </c>
    </row>
    <row r="987">
      <c r="A987" t="inlineStr">
        <is>
          <t>Disco</t>
        </is>
      </c>
      <c r="B987" t="n">
        <v>7683</v>
      </c>
      <c r="C987" t="n">
        <v>5009</v>
      </c>
      <c r="D987" t="inlineStr">
        <is>
          <t>Acondicionador Elvive Rt5 Extreme 750ml</t>
        </is>
      </c>
      <c r="E987" t="inlineStr">
        <is>
          <t>ELVIVE</t>
        </is>
      </c>
      <c r="F987" t="n">
        <v>745.65</v>
      </c>
      <c r="G987" t="n">
        <v>61624</v>
      </c>
      <c r="H987" t="b">
        <v>0</v>
      </c>
      <c r="I987" t="n">
        <v>750</v>
      </c>
      <c r="J987" t="n">
        <v>0.9942</v>
      </c>
      <c r="K987" t="inlineStr">
        <is>
          <t>&gt; Perfumería &gt; Cuidado Capilar &gt; Acondicionador &gt;</t>
        </is>
      </c>
      <c r="L987" t="inlineStr">
        <is>
          <t>acondicionador</t>
        </is>
      </c>
      <c r="M987" t="inlineStr">
        <is>
          <t>profesional</t>
        </is>
      </c>
      <c r="N987" t="inlineStr">
        <is>
          <t>general</t>
        </is>
      </c>
      <c r="O987" t="inlineStr">
        <is>
          <t>https://www.disco.com.ar/acondicionador-elvive-rt5-extreme-750ml/p</t>
        </is>
      </c>
    </row>
    <row r="988">
      <c r="A988" s="10" t="inlineStr">
        <is>
          <t>Disco</t>
        </is>
      </c>
      <c r="B988" s="10" t="n">
        <v>6042</v>
      </c>
      <c r="C988" s="10" t="n">
        <v>3428</v>
      </c>
      <c r="D988" s="10" t="inlineStr">
        <is>
          <t>Acondicionador Capilatis Engrasador 410 Ml</t>
        </is>
      </c>
      <c r="E988" s="10" t="inlineStr">
        <is>
          <t>CAPILATIS</t>
        </is>
      </c>
      <c r="F988" s="10" t="n">
        <v>921.59</v>
      </c>
      <c r="G988" s="10" t="n">
        <v>76164</v>
      </c>
      <c r="H988" s="10" t="b">
        <v>0</v>
      </c>
      <c r="I988" s="10" t="n">
        <v>410</v>
      </c>
      <c r="J988" s="10" t="n">
        <v>2.2478</v>
      </c>
      <c r="K988" s="10" t="inlineStr">
        <is>
          <t>&gt; Perfumería &gt; Cuidado Capilar &gt; Acondicionador &gt;</t>
        </is>
      </c>
      <c r="L988" s="10" t="inlineStr">
        <is>
          <t>acondicionador</t>
        </is>
      </c>
      <c r="M988" s="10" t="inlineStr">
        <is>
          <t>estandar</t>
        </is>
      </c>
      <c r="N988" s="10" t="inlineStr">
        <is>
          <t>graso</t>
        </is>
      </c>
      <c r="O988" s="10" t="inlineStr">
        <is>
          <t>https://www.disco.com.ar/acondicionador-capilatis-engrasador-410-ml/p</t>
        </is>
      </c>
    </row>
    <row r="989">
      <c r="A989" t="inlineStr">
        <is>
          <t>Disco</t>
        </is>
      </c>
      <c r="B989" t="n">
        <v>3068504</v>
      </c>
      <c r="C989" t="n">
        <v>3068246</v>
      </c>
      <c r="D989" t="inlineStr">
        <is>
          <t>Kids Acondicionador Sandia Dulce 350ml Algabo</t>
        </is>
      </c>
      <c r="E989" t="inlineStr">
        <is>
          <t>ALGABO</t>
        </is>
      </c>
      <c r="F989" t="n">
        <v>3836.02</v>
      </c>
      <c r="G989" t="n">
        <v>317026</v>
      </c>
      <c r="H989" t="b">
        <v>0</v>
      </c>
      <c r="I989" t="n">
        <v>350</v>
      </c>
      <c r="J989" t="n">
        <v>10.9601</v>
      </c>
      <c r="K989" t="inlineStr">
        <is>
          <t>&gt; Mundo Bebe &gt; Higiene para el Bebe &gt; Higiene del Bebé &gt;</t>
        </is>
      </c>
      <c r="L989" t="inlineStr">
        <is>
          <t>acondicionador</t>
        </is>
      </c>
      <c r="M989" t="inlineStr">
        <is>
          <t>estandar</t>
        </is>
      </c>
      <c r="N989" t="inlineStr">
        <is>
          <t>bebe</t>
        </is>
      </c>
      <c r="O989" t="inlineStr">
        <is>
          <t>https://www.disco.com.ar/kids-acondicionador-sandia-dulce-350ml-algabo/p</t>
        </is>
      </c>
    </row>
    <row r="990">
      <c r="A990" s="10" t="inlineStr">
        <is>
          <t>Disco</t>
        </is>
      </c>
      <c r="B990" s="10" t="n">
        <v>1369907</v>
      </c>
      <c r="C990" s="10" t="n">
        <v>1368157</v>
      </c>
      <c r="D990" s="10" t="inlineStr">
        <is>
          <t>Acondicionador Reparador Hidratante 400 Ml Veganis</t>
        </is>
      </c>
      <c r="E990" s="10" t="inlineStr">
        <is>
          <t>VEGANIS</t>
        </is>
      </c>
      <c r="F990" s="10" t="n">
        <v>14500</v>
      </c>
      <c r="G990" s="10" t="n">
        <v>1198347</v>
      </c>
      <c r="H990" s="10" t="b">
        <v>0</v>
      </c>
      <c r="I990" s="10" t="n">
        <v>400</v>
      </c>
      <c r="J990" s="10" t="n">
        <v>36.25</v>
      </c>
      <c r="K990" s="10" t="inlineStr">
        <is>
          <t>&gt; Perfumería &gt; Cuidado Capilar &gt; Acondicionador &gt;</t>
        </is>
      </c>
      <c r="L990" s="10" t="inlineStr">
        <is>
          <t>acondicionador</t>
        </is>
      </c>
      <c r="M990" s="10" t="inlineStr">
        <is>
          <t>estandar</t>
        </is>
      </c>
      <c r="N990" s="10" t="inlineStr">
        <is>
          <t>seco_danado</t>
        </is>
      </c>
      <c r="O990" s="10" t="inlineStr">
        <is>
          <t>https://www.disco.com.ar/acondicionador-veganis-plant-powered-renovador/p</t>
        </is>
      </c>
    </row>
    <row r="991">
      <c r="A991" t="inlineStr">
        <is>
          <t>Disco</t>
        </is>
      </c>
      <c r="B991" t="n">
        <v>1364418</v>
      </c>
      <c r="C991" t="n">
        <v>1363417</v>
      </c>
      <c r="D991" t="inlineStr">
        <is>
          <t>Acondicionador Veganis Double Trouble Acido Hi</t>
        </is>
      </c>
      <c r="E991" t="inlineStr">
        <is>
          <t>VEGANIS</t>
        </is>
      </c>
      <c r="F991" t="n">
        <v>11900</v>
      </c>
      <c r="G991" t="n">
        <v>983471</v>
      </c>
      <c r="H991" t="b">
        <v>0</v>
      </c>
      <c r="I991" t="inlineStr"/>
      <c r="J991" t="inlineStr"/>
      <c r="K991" t="inlineStr">
        <is>
          <t>&gt; Perfumería &gt; Cuidado Capilar &gt; Acondicionador &gt;</t>
        </is>
      </c>
      <c r="L991" t="inlineStr">
        <is>
          <t>acondicionador</t>
        </is>
      </c>
      <c r="M991" t="inlineStr">
        <is>
          <t>estandar</t>
        </is>
      </c>
      <c r="N991" t="inlineStr">
        <is>
          <t>general</t>
        </is>
      </c>
      <c r="O991" t="inlineStr">
        <is>
          <t>https://www.disco.com.ar/acondicionador-veganis-double-trouble-acido-hi/p</t>
        </is>
      </c>
    </row>
    <row r="992">
      <c r="A992" s="10" t="inlineStr">
        <is>
          <t>Disco</t>
        </is>
      </c>
      <c r="B992" s="10" t="n">
        <v>416917</v>
      </c>
      <c r="C992" s="10" t="n">
        <v>412461</v>
      </c>
      <c r="D992" s="10" t="inlineStr">
        <is>
          <t>Acondicionador Rizos Definidos 190 Ml Sedal</t>
        </is>
      </c>
      <c r="E992" s="10" t="inlineStr">
        <is>
          <t>SEDAL</t>
        </is>
      </c>
      <c r="F992" s="10" t="n">
        <v>3600</v>
      </c>
      <c r="G992" s="10" t="n">
        <v>297521</v>
      </c>
      <c r="H992" s="10" t="b">
        <v>0</v>
      </c>
      <c r="I992" s="10" t="n">
        <v>190</v>
      </c>
      <c r="J992" s="10" t="n">
        <v>18.9474</v>
      </c>
      <c r="K992" s="10" t="inlineStr">
        <is>
          <t>&gt; Perfumería &gt; Cuidado Capilar &gt; Acondicionador &gt;</t>
        </is>
      </c>
      <c r="L992" s="10" t="inlineStr">
        <is>
          <t>acondicionador</t>
        </is>
      </c>
      <c r="M992" s="10" t="inlineStr">
        <is>
          <t>estandar</t>
        </is>
      </c>
      <c r="N992" s="10" t="inlineStr">
        <is>
          <t>rizado</t>
        </is>
      </c>
      <c r="O992" s="10" t="inlineStr">
        <is>
          <t>https://www.disco.com.ar/acondicioandor-rizos-definidos-190-ml-sedal/p</t>
        </is>
      </c>
    </row>
    <row r="993">
      <c r="A993" t="inlineStr">
        <is>
          <t>Disco</t>
        </is>
      </c>
      <c r="B993" t="n">
        <v>413352</v>
      </c>
      <c r="C993" t="n">
        <v>409213</v>
      </c>
      <c r="D993" t="inlineStr">
        <is>
          <t>Acondicionador Tresemme Brillo Lamelar 880 Ml</t>
        </is>
      </c>
      <c r="E993" t="inlineStr">
        <is>
          <t>TRESEMMÉ</t>
        </is>
      </c>
      <c r="F993" t="n">
        <v>15050</v>
      </c>
      <c r="G993" t="n">
        <v>1243802</v>
      </c>
      <c r="H993" t="b">
        <v>0</v>
      </c>
      <c r="I993" t="n">
        <v>880</v>
      </c>
      <c r="J993" t="n">
        <v>17.1023</v>
      </c>
      <c r="K993" t="inlineStr">
        <is>
          <t>&gt; Perfumería &gt; Cuidado Capilar &gt; Acondicionador &gt;</t>
        </is>
      </c>
      <c r="L993" t="inlineStr">
        <is>
          <t>acondicionador</t>
        </is>
      </c>
      <c r="M993" t="inlineStr">
        <is>
          <t>estandar</t>
        </is>
      </c>
      <c r="N993" t="inlineStr">
        <is>
          <t>general</t>
        </is>
      </c>
      <c r="O993" t="inlineStr">
        <is>
          <t>https://www.disco.com.ar/acondicionador-tresemme-brillo-lamelar-880-ml/p</t>
        </is>
      </c>
    </row>
    <row r="994">
      <c r="A994" s="10" t="inlineStr">
        <is>
          <t>Disco</t>
        </is>
      </c>
      <c r="B994" s="10" t="n">
        <v>413332</v>
      </c>
      <c r="C994" s="10" t="n">
        <v>409137</v>
      </c>
      <c r="D994" s="10" t="inlineStr">
        <is>
          <t>Acondicionador  Keratina Antifrizz 500 Ml Tresemme</t>
        </is>
      </c>
      <c r="E994" s="10" t="inlineStr">
        <is>
          <t>TRESEMMÉ</t>
        </is>
      </c>
      <c r="F994" s="10" t="n">
        <v>6550</v>
      </c>
      <c r="G994" s="10" t="n">
        <v>541322</v>
      </c>
      <c r="H994" s="10" t="b">
        <v>0</v>
      </c>
      <c r="I994" s="10" t="n">
        <v>500</v>
      </c>
      <c r="J994" s="10" t="n">
        <v>13.1</v>
      </c>
      <c r="K994" s="10" t="inlineStr">
        <is>
          <t>&gt; Perfumería &gt; Cuidado Capilar &gt; Acondicionador &gt;</t>
        </is>
      </c>
      <c r="L994" s="10" t="inlineStr">
        <is>
          <t>acondicionador</t>
        </is>
      </c>
      <c r="M994" s="10" t="inlineStr">
        <is>
          <t>estandar</t>
        </is>
      </c>
      <c r="N994" s="10" t="inlineStr">
        <is>
          <t>tratado</t>
        </is>
      </c>
      <c r="O994" s="10" t="inlineStr">
        <is>
          <t>https://www.disco.com.ar/acondicionador-keratina-antifrizz-500-ml-tresemme-2/p</t>
        </is>
      </c>
    </row>
    <row r="995">
      <c r="A995" t="inlineStr">
        <is>
          <t>Disco</t>
        </is>
      </c>
      <c r="B995" t="n">
        <v>413331</v>
      </c>
      <c r="C995" t="n">
        <v>409136</v>
      </c>
      <c r="D995" t="inlineStr">
        <is>
          <t>Acondicionador Tresemme Brillo Lamelar 500 Ml</t>
        </is>
      </c>
      <c r="E995" t="inlineStr">
        <is>
          <t>TRESEMMÉ</t>
        </is>
      </c>
      <c r="F995" t="n">
        <v>7100</v>
      </c>
      <c r="G995" t="n">
        <v>586777</v>
      </c>
      <c r="H995" t="b">
        <v>0</v>
      </c>
      <c r="I995" t="n">
        <v>500</v>
      </c>
      <c r="J995" t="n">
        <v>14.2</v>
      </c>
      <c r="K995" t="inlineStr">
        <is>
          <t>&gt; Perfumería &gt; Cuidado Capilar &gt; Acondicionador &gt;</t>
        </is>
      </c>
      <c r="L995" t="inlineStr">
        <is>
          <t>acondicionador</t>
        </is>
      </c>
      <c r="M995" t="inlineStr">
        <is>
          <t>estandar</t>
        </is>
      </c>
      <c r="N995" t="inlineStr">
        <is>
          <t>general</t>
        </is>
      </c>
      <c r="O995" t="inlineStr">
        <is>
          <t>https://www.disco.com.ar/acondicionador-tresemme-brillo-lamelar-500-ml-2/p</t>
        </is>
      </c>
    </row>
    <row r="996">
      <c r="A996" s="10" t="inlineStr">
        <is>
          <t>Disco</t>
        </is>
      </c>
      <c r="B996" s="10" t="n">
        <v>413327</v>
      </c>
      <c r="C996" s="10" t="n">
        <v>409132</v>
      </c>
      <c r="D996" s="10" t="inlineStr">
        <is>
          <t>Acondicionador Tresemme Detox Capilar 500 Ml</t>
        </is>
      </c>
      <c r="E996" s="10" t="inlineStr">
        <is>
          <t>TRESEMMÉ</t>
        </is>
      </c>
      <c r="F996" s="10" t="n">
        <v>6850</v>
      </c>
      <c r="G996" s="10" t="n">
        <v>566116</v>
      </c>
      <c r="H996" s="10" t="b">
        <v>0</v>
      </c>
      <c r="I996" s="10" t="n">
        <v>500</v>
      </c>
      <c r="J996" s="10" t="n">
        <v>13.7</v>
      </c>
      <c r="K996" s="10" t="inlineStr">
        <is>
          <t>&gt; Perfumería &gt; Cuidado Capilar &gt; Acondicionador &gt;</t>
        </is>
      </c>
      <c r="L996" s="10" t="inlineStr">
        <is>
          <t>acondicionador</t>
        </is>
      </c>
      <c r="M996" s="10" t="inlineStr">
        <is>
          <t>estandar</t>
        </is>
      </c>
      <c r="N996" s="10" t="inlineStr">
        <is>
          <t>general</t>
        </is>
      </c>
      <c r="O996" s="10" t="inlineStr">
        <is>
          <t>https://www.disco.com.ar/acondicionador-tresemme-detox-capilar-500-ml/p</t>
        </is>
      </c>
    </row>
    <row r="997">
      <c r="A997" t="inlineStr">
        <is>
          <t>Disco</t>
        </is>
      </c>
      <c r="B997" t="n">
        <v>411255</v>
      </c>
      <c r="C997" t="n">
        <v>407095</v>
      </c>
      <c r="D997" t="inlineStr">
        <is>
          <t>Acondicionador Prebioticos Biotina 650 Ml Sedal</t>
        </is>
      </c>
      <c r="E997" t="inlineStr">
        <is>
          <t>SEDAL</t>
        </is>
      </c>
      <c r="F997" t="n">
        <v>8650</v>
      </c>
      <c r="G997" t="n">
        <v>714876</v>
      </c>
      <c r="H997" t="b">
        <v>0</v>
      </c>
      <c r="I997" t="n">
        <v>650</v>
      </c>
      <c r="J997" t="n">
        <v>13.3077</v>
      </c>
      <c r="K997" t="inlineStr">
        <is>
          <t>&gt; Perfumería &gt; Cuidado Capilar &gt; Acondicionador &gt;</t>
        </is>
      </c>
      <c r="L997" t="inlineStr">
        <is>
          <t>acondicionador</t>
        </is>
      </c>
      <c r="M997" t="inlineStr">
        <is>
          <t>estandar</t>
        </is>
      </c>
      <c r="N997" t="inlineStr">
        <is>
          <t>general</t>
        </is>
      </c>
      <c r="O997" t="inlineStr">
        <is>
          <t>https://www.disco.com.ar/acondicionador-prebioticos-biotina-650-ml-sedal/p</t>
        </is>
      </c>
    </row>
    <row r="998">
      <c r="A998" s="10" t="inlineStr">
        <is>
          <t>Disco</t>
        </is>
      </c>
      <c r="B998" s="10" t="n">
        <v>410389</v>
      </c>
      <c r="C998" s="10" t="n">
        <v>406395</v>
      </c>
      <c r="D998" s="10" t="inlineStr">
        <is>
          <t>Acondicionador Aclarante 400 Ml Tio Nacho</t>
        </is>
      </c>
      <c r="E998" s="10" t="inlineStr">
        <is>
          <t>Tio Nacho</t>
        </is>
      </c>
      <c r="F998" s="10" t="n">
        <v>7700</v>
      </c>
      <c r="G998" s="10" t="n">
        <v>636364</v>
      </c>
      <c r="H998" s="10" t="b">
        <v>0</v>
      </c>
      <c r="I998" s="10" t="n">
        <v>400</v>
      </c>
      <c r="J998" s="10" t="n">
        <v>19.25</v>
      </c>
      <c r="K998" s="10" t="inlineStr">
        <is>
          <t>&gt; Perfumería &gt; Cuidado Capilar &gt; Acondicionador &gt;</t>
        </is>
      </c>
      <c r="L998" s="10" t="inlineStr">
        <is>
          <t>acondicionador</t>
        </is>
      </c>
      <c r="M998" s="10" t="inlineStr">
        <is>
          <t>estandar</t>
        </is>
      </c>
      <c r="N998" s="10" t="inlineStr">
        <is>
          <t>general</t>
        </is>
      </c>
      <c r="O998" s="10" t="inlineStr">
        <is>
          <t>https://www.disco.com.ar/acondicionador-aclarante-400-ml-tio-nacho/p</t>
        </is>
      </c>
    </row>
    <row r="999">
      <c r="A999" t="inlineStr">
        <is>
          <t>Disco</t>
        </is>
      </c>
      <c r="B999" t="n">
        <v>397182</v>
      </c>
      <c r="C999" t="n">
        <v>394923</v>
      </c>
      <c r="D999" t="inlineStr">
        <is>
          <t>Acondicionador Reconstrucción Completa 750 Ml Dove</t>
        </is>
      </c>
      <c r="E999" t="inlineStr">
        <is>
          <t>DOVE</t>
        </is>
      </c>
      <c r="F999" t="n">
        <v>14550</v>
      </c>
      <c r="G999" t="n">
        <v>1202479</v>
      </c>
      <c r="H999" t="b">
        <v>0</v>
      </c>
      <c r="I999" t="n">
        <v>750</v>
      </c>
      <c r="J999" t="n">
        <v>19.4</v>
      </c>
      <c r="K999" t="inlineStr">
        <is>
          <t>&gt; Perfumería &gt; Cuidado Capilar &gt; Acondicionador &gt;</t>
        </is>
      </c>
      <c r="L999" t="inlineStr">
        <is>
          <t>acondicionador</t>
        </is>
      </c>
      <c r="M999" t="inlineStr">
        <is>
          <t>estandar</t>
        </is>
      </c>
      <c r="N999" t="inlineStr">
        <is>
          <t>general</t>
        </is>
      </c>
      <c r="O999" t="inlineStr">
        <is>
          <t>https://www.disco.com.ar/acondicionador-dove-reconstruccion-completa-750-ml-2/p</t>
        </is>
      </c>
    </row>
    <row r="1000">
      <c r="A1000" s="10" t="inlineStr">
        <is>
          <t>Disco</t>
        </is>
      </c>
      <c r="B1000" s="10" t="n">
        <v>396888</v>
      </c>
      <c r="C1000" s="10" t="n">
        <v>394644</v>
      </c>
      <c r="D1000" s="10" t="inlineStr">
        <is>
          <t>Acondicionador Bomba Argán 340 Ml Sedal</t>
        </is>
      </c>
      <c r="E1000" s="10" t="inlineStr">
        <is>
          <t>SEDAL</t>
        </is>
      </c>
      <c r="F1000" s="10" t="n">
        <v>4450</v>
      </c>
      <c r="G1000" s="10" t="n">
        <v>367769</v>
      </c>
      <c r="H1000" s="10" t="b">
        <v>0</v>
      </c>
      <c r="I1000" s="10" t="n">
        <v>340</v>
      </c>
      <c r="J1000" s="10" t="n">
        <v>13.0882</v>
      </c>
      <c r="K1000" s="10" t="inlineStr">
        <is>
          <t>&gt; Perfumería &gt; Cuidado Capilar &gt; Acondicionador &gt;</t>
        </is>
      </c>
      <c r="L1000" s="10" t="inlineStr">
        <is>
          <t>acondicionador</t>
        </is>
      </c>
      <c r="M1000" s="10" t="inlineStr">
        <is>
          <t>estandar</t>
        </is>
      </c>
      <c r="N1000" s="10" t="inlineStr">
        <is>
          <t>general</t>
        </is>
      </c>
      <c r="O1000" s="10" t="inlineStr">
        <is>
          <t>https://www.disco.com.ar/acondicionador-bomba-argan-340-ml-sedal/p</t>
        </is>
      </c>
    </row>
    <row r="1001">
      <c r="A1001" t="inlineStr">
        <is>
          <t>Disco</t>
        </is>
      </c>
      <c r="B1001" t="n">
        <v>393575</v>
      </c>
      <c r="C1001" t="n">
        <v>391603</v>
      </c>
      <c r="D1001" t="inlineStr">
        <is>
          <t>Acondicionador Sedal Bomba Argán 190 Ml</t>
        </is>
      </c>
      <c r="E1001" t="inlineStr">
        <is>
          <t>SEDAL</t>
        </is>
      </c>
      <c r="F1001" t="n">
        <v>2850</v>
      </c>
      <c r="G1001" t="n">
        <v>235537</v>
      </c>
      <c r="H1001" t="b">
        <v>0</v>
      </c>
      <c r="I1001" t="n">
        <v>190</v>
      </c>
      <c r="J1001" t="n">
        <v>15</v>
      </c>
      <c r="K1001" t="inlineStr">
        <is>
          <t>&gt; Perfumería &gt; Cuidado Capilar &gt; Acondicionador &gt;</t>
        </is>
      </c>
      <c r="L1001" t="inlineStr">
        <is>
          <t>acondicionador</t>
        </is>
      </c>
      <c r="M1001" t="inlineStr">
        <is>
          <t>estandar</t>
        </is>
      </c>
      <c r="N1001" t="inlineStr">
        <is>
          <t>general</t>
        </is>
      </c>
      <c r="O1001" t="inlineStr">
        <is>
          <t>https://www.disco.com.ar/acondicionador-sedal-bomba-argan-190-ml/p</t>
        </is>
      </c>
    </row>
    <row r="1002">
      <c r="A1002" s="10" t="inlineStr">
        <is>
          <t>Disco</t>
        </is>
      </c>
      <c r="B1002" s="10" t="n">
        <v>393562</v>
      </c>
      <c r="C1002" s="10" t="n">
        <v>391590</v>
      </c>
      <c r="D1002" s="10" t="inlineStr">
        <is>
          <t>Super Acondicionador Dove Oleo Nutricion 170ml</t>
        </is>
      </c>
      <c r="E1002" s="10" t="inlineStr">
        <is>
          <t>DOVE</t>
        </is>
      </c>
      <c r="F1002" s="10" t="n">
        <v>4050</v>
      </c>
      <c r="G1002" s="10" t="n">
        <v>334711</v>
      </c>
      <c r="H1002" s="10" t="b">
        <v>0</v>
      </c>
      <c r="I1002" s="10" t="n">
        <v>170</v>
      </c>
      <c r="J1002" s="10" t="n">
        <v>23.8235</v>
      </c>
      <c r="K1002" s="10" t="inlineStr">
        <is>
          <t>&gt; Perfumería &gt; Cuidado Capilar &gt; Acondicionador &gt;</t>
        </is>
      </c>
      <c r="L1002" s="10" t="inlineStr">
        <is>
          <t>acondicionador</t>
        </is>
      </c>
      <c r="M1002" s="10" t="inlineStr">
        <is>
          <t>estandar</t>
        </is>
      </c>
      <c r="N1002" s="10" t="inlineStr">
        <is>
          <t>general</t>
        </is>
      </c>
      <c r="O1002" s="10" t="inlineStr">
        <is>
          <t>https://www.disco.com.ar/super-acondicionador-dove-oleo-nutricion-170ml/p</t>
        </is>
      </c>
    </row>
    <row r="1003">
      <c r="A1003" t="inlineStr">
        <is>
          <t>Disco</t>
        </is>
      </c>
      <c r="B1003" t="n">
        <v>393382</v>
      </c>
      <c r="C1003" t="n">
        <v>391410</v>
      </c>
      <c r="D1003" t="inlineStr">
        <is>
          <t>Acondicionador Liso Perfecto 650 Ml Sedal Acondicionador Sedal Liso Perfecto 650 Ml</t>
        </is>
      </c>
      <c r="E1003" t="inlineStr">
        <is>
          <t>SEDAL</t>
        </is>
      </c>
      <c r="F1003" t="n">
        <v>8650</v>
      </c>
      <c r="G1003" t="n">
        <v>714876</v>
      </c>
      <c r="H1003" t="b">
        <v>0</v>
      </c>
      <c r="I1003" t="n">
        <v>650</v>
      </c>
      <c r="J1003" t="n">
        <v>13.3077</v>
      </c>
      <c r="K1003" t="inlineStr">
        <is>
          <t>&gt; Perfumería &gt; Cuidado Capilar &gt; Acondicionador &gt;</t>
        </is>
      </c>
      <c r="L1003" t="inlineStr">
        <is>
          <t>acondicionador</t>
        </is>
      </c>
      <c r="M1003" t="inlineStr">
        <is>
          <t>estandar</t>
        </is>
      </c>
      <c r="N1003" t="inlineStr">
        <is>
          <t>general</t>
        </is>
      </c>
      <c r="O1003" t="inlineStr">
        <is>
          <t>https://www.disco.com.ar/acondicionador-sedal-liso-perfecto-650-ml-2/p</t>
        </is>
      </c>
    </row>
    <row r="1004">
      <c r="A1004" s="10" t="inlineStr">
        <is>
          <t>Disco</t>
        </is>
      </c>
      <c r="B1004" s="10" t="n">
        <v>384216</v>
      </c>
      <c r="C1004" s="10" t="n">
        <v>382906</v>
      </c>
      <c r="D1004" s="10" t="inlineStr">
        <is>
          <t>Acondicionador Tresemme Ondas Boho 250 Ml</t>
        </is>
      </c>
      <c r="E1004" s="10" t="inlineStr">
        <is>
          <t>TRESEMMÉ</t>
        </is>
      </c>
      <c r="F1004" s="10" t="n">
        <v>950</v>
      </c>
      <c r="G1004" s="10" t="n">
        <v>78512</v>
      </c>
      <c r="H1004" s="10" t="b">
        <v>0</v>
      </c>
      <c r="I1004" s="10" t="n">
        <v>250</v>
      </c>
      <c r="J1004" s="10" t="n">
        <v>3.8</v>
      </c>
      <c r="K1004" s="10" t="inlineStr">
        <is>
          <t>&gt; Perfumería &gt; Cuidado Capilar &gt; Acondicionador &gt;</t>
        </is>
      </c>
      <c r="L1004" s="10" t="inlineStr">
        <is>
          <t>acondicionador</t>
        </is>
      </c>
      <c r="M1004" s="10" t="inlineStr">
        <is>
          <t>estandar</t>
        </is>
      </c>
      <c r="N1004" s="10" t="inlineStr">
        <is>
          <t>general</t>
        </is>
      </c>
      <c r="O1004" s="10" t="inlineStr">
        <is>
          <t>https://www.disco.com.ar/acondicionador-tresemme-ondas-boho-250-ml-2/p</t>
        </is>
      </c>
    </row>
    <row r="1005">
      <c r="A1005" t="inlineStr">
        <is>
          <t>Disco</t>
        </is>
      </c>
      <c r="B1005" t="n">
        <v>384212</v>
      </c>
      <c r="C1005" t="n">
        <v>382904</v>
      </c>
      <c r="D1005" t="inlineStr">
        <is>
          <t>Acondicionador Tresemme Liso Efecto Botox 250ml</t>
        </is>
      </c>
      <c r="E1005" t="inlineStr">
        <is>
          <t>TRESEMMÉ</t>
        </is>
      </c>
      <c r="F1005" t="n">
        <v>1050</v>
      </c>
      <c r="G1005" t="n">
        <v>86777</v>
      </c>
      <c r="H1005" t="b">
        <v>0</v>
      </c>
      <c r="I1005" t="n">
        <v>250</v>
      </c>
      <c r="J1005" t="n">
        <v>4.2</v>
      </c>
      <c r="K1005" t="inlineStr">
        <is>
          <t>&gt; Perfumería &gt; Cuidado Capilar &gt; Acondicionador &gt;</t>
        </is>
      </c>
      <c r="L1005" t="inlineStr">
        <is>
          <t>acondicionador</t>
        </is>
      </c>
      <c r="M1005" t="inlineStr">
        <is>
          <t>estandar</t>
        </is>
      </c>
      <c r="N1005" t="inlineStr">
        <is>
          <t>general</t>
        </is>
      </c>
      <c r="O1005" t="inlineStr">
        <is>
          <t>https://www.disco.com.ar/acondicionador-tresemme-liso-efecto-botox-250ml/p</t>
        </is>
      </c>
    </row>
    <row r="1006">
      <c r="A1006" s="10" t="inlineStr">
        <is>
          <t>Disco</t>
        </is>
      </c>
      <c r="B1006" s="10" t="n">
        <v>384203</v>
      </c>
      <c r="C1006" s="10" t="n">
        <v>382899</v>
      </c>
      <c r="D1006" s="10" t="inlineStr">
        <is>
          <t>Acondicionador Tresemme Liso Efecto Botox 500ml</t>
        </is>
      </c>
      <c r="E1006" s="10" t="inlineStr">
        <is>
          <t>TRESEMMÉ</t>
        </is>
      </c>
      <c r="F1006" s="10" t="n">
        <v>1550</v>
      </c>
      <c r="G1006" s="10" t="n">
        <v>128099</v>
      </c>
      <c r="H1006" s="10" t="b">
        <v>0</v>
      </c>
      <c r="I1006" s="10" t="n">
        <v>500</v>
      </c>
      <c r="J1006" s="10" t="n">
        <v>3.1</v>
      </c>
      <c r="K1006" s="10" t="inlineStr">
        <is>
          <t>&gt; Perfumería &gt; Cuidado Capilar &gt; Acondicionador &gt;</t>
        </is>
      </c>
      <c r="L1006" s="10" t="inlineStr">
        <is>
          <t>acondicionador</t>
        </is>
      </c>
      <c r="M1006" s="10" t="inlineStr">
        <is>
          <t>estandar</t>
        </is>
      </c>
      <c r="N1006" s="10" t="inlineStr">
        <is>
          <t>general</t>
        </is>
      </c>
      <c r="O1006" s="10" t="inlineStr">
        <is>
          <t>https://www.disco.com.ar/acondicionador-tresemme-liso-efecto-botox-500ml/p</t>
        </is>
      </c>
    </row>
    <row r="1007">
      <c r="A1007" t="inlineStr">
        <is>
          <t>Disco</t>
        </is>
      </c>
      <c r="B1007" t="n">
        <v>383670</v>
      </c>
      <c r="C1007" t="n">
        <v>382385</v>
      </c>
      <c r="D1007" t="inlineStr">
        <is>
          <t>Acondicionador Colágeno Hidratante 700 Ml Pantene</t>
        </is>
      </c>
      <c r="E1007" t="inlineStr">
        <is>
          <t>PANTENE</t>
        </is>
      </c>
      <c r="F1007" t="n">
        <v>15650</v>
      </c>
      <c r="G1007" t="n">
        <v>1293388</v>
      </c>
      <c r="H1007" t="b">
        <v>0</v>
      </c>
      <c r="I1007" t="n">
        <v>700</v>
      </c>
      <c r="J1007" t="n">
        <v>22.3571</v>
      </c>
      <c r="K1007" t="inlineStr">
        <is>
          <t>&gt; Perfumería &gt; Cuidado Capilar &gt; Acondicionador &gt;</t>
        </is>
      </c>
      <c r="L1007" t="inlineStr">
        <is>
          <t>acondicionador</t>
        </is>
      </c>
      <c r="M1007" t="inlineStr">
        <is>
          <t>estandar</t>
        </is>
      </c>
      <c r="N1007" t="inlineStr">
        <is>
          <t>seco_danado</t>
        </is>
      </c>
      <c r="O1007" t="inlineStr">
        <is>
          <t>https://www.disco.com.ar/acondicionador-colageno-700-ml-pantene-2/p</t>
        </is>
      </c>
    </row>
    <row r="1008">
      <c r="A1008" s="10" t="inlineStr">
        <is>
          <t>Disco</t>
        </is>
      </c>
      <c r="B1008" s="10" t="n">
        <v>375245</v>
      </c>
      <c r="C1008" s="10" t="n">
        <v>373963</v>
      </c>
      <c r="D1008" s="10" t="inlineStr">
        <is>
          <t>Acondicionador Fructis Liso Coco 200 Ml</t>
        </is>
      </c>
      <c r="E1008" s="10" t="inlineStr">
        <is>
          <t>FRUCTIS</t>
        </is>
      </c>
      <c r="F1008" s="10" t="n">
        <v>1300</v>
      </c>
      <c r="G1008" s="10" t="n">
        <v>107438</v>
      </c>
      <c r="H1008" s="10" t="b">
        <v>0</v>
      </c>
      <c r="I1008" s="10" t="n">
        <v>200</v>
      </c>
      <c r="J1008" s="10" t="n">
        <v>6.5</v>
      </c>
      <c r="K1008" s="10" t="inlineStr">
        <is>
          <t>&gt; Perfumería &gt; Cuidado Capilar &gt; Acondicionador &gt;</t>
        </is>
      </c>
      <c r="L1008" s="10" t="inlineStr">
        <is>
          <t>acondicionador</t>
        </is>
      </c>
      <c r="M1008" s="10" t="inlineStr">
        <is>
          <t>estandar</t>
        </is>
      </c>
      <c r="N1008" s="10" t="inlineStr">
        <is>
          <t>general</t>
        </is>
      </c>
      <c r="O1008" s="10" t="inlineStr">
        <is>
          <t>https://www.disco.com.ar/acondicionador-fructis-liso-coco-200-ml/p</t>
        </is>
      </c>
    </row>
    <row r="1009">
      <c r="A1009" t="inlineStr">
        <is>
          <t>Disco</t>
        </is>
      </c>
      <c r="B1009" t="n">
        <v>364194</v>
      </c>
      <c r="C1009" t="n">
        <v>362937</v>
      </c>
      <c r="D1009" t="inlineStr">
        <is>
          <t>Acondicionador Ceramidas 930 Ml St Tropez</t>
        </is>
      </c>
      <c r="E1009" t="inlineStr">
        <is>
          <t>ST TROPEZ</t>
        </is>
      </c>
      <c r="F1009" t="n">
        <v>3950</v>
      </c>
      <c r="G1009" t="n">
        <v>326446</v>
      </c>
      <c r="H1009" t="b">
        <v>0</v>
      </c>
      <c r="I1009" t="n">
        <v>930</v>
      </c>
      <c r="J1009" t="n">
        <v>4.2473</v>
      </c>
      <c r="K1009" t="inlineStr">
        <is>
          <t>&gt; Perfumería &gt; Cuidado Capilar &gt; Acondicionador &gt;</t>
        </is>
      </c>
      <c r="L1009" t="inlineStr">
        <is>
          <t>acondicionador</t>
        </is>
      </c>
      <c r="M1009" t="inlineStr">
        <is>
          <t>estandar</t>
        </is>
      </c>
      <c r="N1009" t="inlineStr">
        <is>
          <t>general</t>
        </is>
      </c>
      <c r="O1009" t="inlineStr">
        <is>
          <t>https://www.disco.com.ar/acondicionador-st-tropez-ceramidas-930ml/p</t>
        </is>
      </c>
    </row>
    <row r="1010">
      <c r="A1010" s="10" t="inlineStr">
        <is>
          <t>Disco</t>
        </is>
      </c>
      <c r="B1010" s="10" t="n">
        <v>354060</v>
      </c>
      <c r="C1010" s="10" t="n">
        <v>352691</v>
      </c>
      <c r="D1010" s="10" t="inlineStr">
        <is>
          <t>Acondicionador Elvive Color Vive Protector 750ml</t>
        </is>
      </c>
      <c r="E1010" s="10" t="inlineStr">
        <is>
          <t>ELVIVE</t>
        </is>
      </c>
      <c r="F1010" s="10" t="n">
        <v>2450</v>
      </c>
      <c r="G1010" s="10" t="n">
        <v>202479</v>
      </c>
      <c r="H1010" s="10" t="b">
        <v>0</v>
      </c>
      <c r="I1010" s="10" t="n">
        <v>750</v>
      </c>
      <c r="J1010" s="10" t="n">
        <v>3.2667</v>
      </c>
      <c r="K1010" s="10" t="inlineStr">
        <is>
          <t>&gt; Perfumería &gt; Cuidado Capilar &gt; Acondicionador &gt;</t>
        </is>
      </c>
      <c r="L1010" s="10" t="inlineStr">
        <is>
          <t>acondicionador</t>
        </is>
      </c>
      <c r="M1010" s="10" t="inlineStr">
        <is>
          <t>profesional</t>
        </is>
      </c>
      <c r="N1010" s="10" t="inlineStr">
        <is>
          <t>tratado</t>
        </is>
      </c>
      <c r="O1010" s="10" t="inlineStr">
        <is>
          <t>https://www.disco.com.ar/acondicionador-elvive-color-vive-protector-750ml/p</t>
        </is>
      </c>
    </row>
    <row r="1011">
      <c r="A1011" t="inlineStr">
        <is>
          <t>Disco</t>
        </is>
      </c>
      <c r="B1011" t="n">
        <v>349999</v>
      </c>
      <c r="C1011" t="n">
        <v>348659</v>
      </c>
      <c r="D1011" t="inlineStr">
        <is>
          <t>Acondicionador Elvive Reparador Total 5 750ml</t>
        </is>
      </c>
      <c r="E1011" t="inlineStr">
        <is>
          <t>ELVIVE</t>
        </is>
      </c>
      <c r="F1011" t="n">
        <v>1966.59</v>
      </c>
      <c r="G1011" t="n">
        <v>162528</v>
      </c>
      <c r="H1011" t="b">
        <v>0</v>
      </c>
      <c r="I1011" t="n">
        <v>750</v>
      </c>
      <c r="J1011" t="n">
        <v>2.6221</v>
      </c>
      <c r="K1011" t="inlineStr">
        <is>
          <t>&gt; Perfumería &gt; Cuidado Capilar &gt; Acondicionador &gt;</t>
        </is>
      </c>
      <c r="L1011" t="inlineStr">
        <is>
          <t>acondicionador</t>
        </is>
      </c>
      <c r="M1011" t="inlineStr">
        <is>
          <t>profesional</t>
        </is>
      </c>
      <c r="N1011" t="inlineStr">
        <is>
          <t>general</t>
        </is>
      </c>
      <c r="O1011" t="inlineStr">
        <is>
          <t>https://www.disco.com.ar/acondicionador-elvive-reparador-total-5-750ml-2/p</t>
        </is>
      </c>
    </row>
    <row r="1012">
      <c r="A1012" s="10" t="inlineStr">
        <is>
          <t>Disco</t>
        </is>
      </c>
      <c r="B1012" s="10" t="n">
        <v>349468</v>
      </c>
      <c r="C1012" s="10" t="n">
        <v>348128</v>
      </c>
      <c r="D1012" s="10" t="inlineStr">
        <is>
          <t>Acondicionador Balance Reparador 1000 Ml Plusbelle Acondicionador Balance 1000 Ml Plusbelle</t>
        </is>
      </c>
      <c r="E1012" s="10" t="inlineStr">
        <is>
          <t>PLUSBELLE</t>
        </is>
      </c>
      <c r="F1012" s="10" t="n">
        <v>4350</v>
      </c>
      <c r="G1012" s="10" t="n">
        <v>359504</v>
      </c>
      <c r="H1012" s="10" t="b">
        <v>0</v>
      </c>
      <c r="I1012" s="10" t="n">
        <v>1000</v>
      </c>
      <c r="J1012" s="10" t="n">
        <v>4.35</v>
      </c>
      <c r="K1012" s="10" t="inlineStr">
        <is>
          <t>&gt; Perfumería &gt; Cuidado Capilar &gt; Acondicionador &gt;</t>
        </is>
      </c>
      <c r="L1012" s="10" t="inlineStr">
        <is>
          <t>acondicionador</t>
        </is>
      </c>
      <c r="M1012" s="10" t="inlineStr">
        <is>
          <t>estandar</t>
        </is>
      </c>
      <c r="N1012" s="10" t="inlineStr">
        <is>
          <t>general</t>
        </is>
      </c>
      <c r="O1012" s="10" t="inlineStr">
        <is>
          <t>https://www.disco.com.ar/acondicionador-balance-1000-ml-plusbelle/p</t>
        </is>
      </c>
    </row>
    <row r="1013">
      <c r="A1013" t="inlineStr">
        <is>
          <t>Disco</t>
        </is>
      </c>
      <c r="B1013" t="n">
        <v>384209</v>
      </c>
      <c r="C1013" t="n">
        <v>382901</v>
      </c>
      <c r="D1013" t="inlineStr">
        <is>
          <t>Acondicionador Tresemme Detox Capilar 500 Ml</t>
        </is>
      </c>
      <c r="E1013" t="inlineStr">
        <is>
          <t>TRESEMMÉ</t>
        </is>
      </c>
      <c r="F1013" t="n">
        <v>1650</v>
      </c>
      <c r="G1013" t="n">
        <v>136364</v>
      </c>
      <c r="H1013" t="b">
        <v>0</v>
      </c>
      <c r="I1013" t="n">
        <v>500</v>
      </c>
      <c r="J1013" t="n">
        <v>3.3</v>
      </c>
      <c r="K1013" t="inlineStr">
        <is>
          <t>&gt; Perfumería &gt; Cuidado Capilar &gt; Acondicionador &gt;</t>
        </is>
      </c>
      <c r="L1013" t="inlineStr">
        <is>
          <t>acondicionador</t>
        </is>
      </c>
      <c r="M1013" t="inlineStr">
        <is>
          <t>estandar</t>
        </is>
      </c>
      <c r="N1013" t="inlineStr">
        <is>
          <t>general</t>
        </is>
      </c>
      <c r="O1013" t="inlineStr">
        <is>
          <t>https://www.disco.com.ar/acondicionador-tresemme-detox-capilar-500-ml-2/p</t>
        </is>
      </c>
    </row>
    <row r="1014">
      <c r="A1014" s="10" t="inlineStr">
        <is>
          <t>Disco</t>
        </is>
      </c>
      <c r="B1014" s="10" t="n">
        <v>383669</v>
      </c>
      <c r="C1014" s="10" t="n">
        <v>382384</v>
      </c>
      <c r="D1014" s="10" t="inlineStr">
        <is>
          <t>Acondicionador Con Colágeno 400 Ml Pantene</t>
        </is>
      </c>
      <c r="E1014" s="10" t="inlineStr">
        <is>
          <t>PANTENE</t>
        </is>
      </c>
      <c r="F1014" s="10" t="n">
        <v>10000</v>
      </c>
      <c r="G1014" s="10" t="n">
        <v>826446</v>
      </c>
      <c r="H1014" s="10" t="b">
        <v>0</v>
      </c>
      <c r="I1014" s="10" t="n">
        <v>400</v>
      </c>
      <c r="J1014" s="10" t="n">
        <v>25</v>
      </c>
      <c r="K1014" s="10" t="inlineStr">
        <is>
          <t>&gt; Perfumería &gt; Cuidado Capilar &gt; Acondicionador &gt;</t>
        </is>
      </c>
      <c r="L1014" s="10" t="inlineStr">
        <is>
          <t>acondicionador</t>
        </is>
      </c>
      <c r="M1014" s="10" t="inlineStr">
        <is>
          <t>estandar</t>
        </is>
      </c>
      <c r="N1014" s="10" t="inlineStr">
        <is>
          <t>general</t>
        </is>
      </c>
      <c r="O1014" s="10" t="inlineStr">
        <is>
          <t>https://www.disco.com.ar/acondicionador-con-colageno-400-ml-pantene/p</t>
        </is>
      </c>
    </row>
    <row r="1015">
      <c r="A1015" t="inlineStr">
        <is>
          <t>Disco</t>
        </is>
      </c>
      <c r="B1015" t="n">
        <v>381126</v>
      </c>
      <c r="C1015" t="n">
        <v>379840</v>
      </c>
      <c r="D1015" t="inlineStr">
        <is>
          <t>Acondicionador Suave Aloe Y Pepino 930ml</t>
        </is>
      </c>
      <c r="E1015" t="inlineStr">
        <is>
          <t>SUAVE</t>
        </is>
      </c>
      <c r="F1015" t="n">
        <v>692.53</v>
      </c>
      <c r="G1015" t="n">
        <v>57234</v>
      </c>
      <c r="H1015" t="b">
        <v>0</v>
      </c>
      <c r="I1015" t="n">
        <v>930</v>
      </c>
      <c r="J1015" t="n">
        <v>0.7447</v>
      </c>
      <c r="K1015" t="inlineStr">
        <is>
          <t>&gt; Perfumería &gt; Cuidado Capilar &gt; Acondicionador &gt;</t>
        </is>
      </c>
      <c r="L1015" t="inlineStr">
        <is>
          <t>acondicionador</t>
        </is>
      </c>
      <c r="M1015" t="inlineStr">
        <is>
          <t>estandar</t>
        </is>
      </c>
      <c r="N1015" t="inlineStr">
        <is>
          <t>bebe</t>
        </is>
      </c>
      <c r="O1015" t="inlineStr">
        <is>
          <t>https://www.disco.com.ar/acondicionador-suave-aloe-y-pepino-930ml/p</t>
        </is>
      </c>
    </row>
    <row r="1016">
      <c r="A1016" s="10" t="inlineStr">
        <is>
          <t>Disco</t>
        </is>
      </c>
      <c r="B1016" s="10" t="n">
        <v>375616</v>
      </c>
      <c r="C1016" s="10" t="n">
        <v>374334</v>
      </c>
      <c r="D1016" s="10" t="inlineStr">
        <is>
          <t>Acondicionador Suave Fuerza Nutritiva 930 Ml</t>
        </is>
      </c>
      <c r="E1016" s="10" t="inlineStr">
        <is>
          <t>SUAVE</t>
        </is>
      </c>
      <c r="F1016" s="10" t="n">
        <v>692.53</v>
      </c>
      <c r="G1016" s="10" t="n">
        <v>57234</v>
      </c>
      <c r="H1016" s="10" t="b">
        <v>0</v>
      </c>
      <c r="I1016" s="10" t="n">
        <v>930</v>
      </c>
      <c r="J1016" s="10" t="n">
        <v>0.7447</v>
      </c>
      <c r="K1016" s="10" t="inlineStr">
        <is>
          <t>&gt; Perfumería &gt; Cuidado Capilar &gt; Acondicionador &gt;</t>
        </is>
      </c>
      <c r="L1016" s="10" t="inlineStr">
        <is>
          <t>acondicionador</t>
        </is>
      </c>
      <c r="M1016" s="10" t="inlineStr">
        <is>
          <t>estandar</t>
        </is>
      </c>
      <c r="N1016" s="10" t="inlineStr">
        <is>
          <t>bebe</t>
        </is>
      </c>
      <c r="O1016" s="10" t="inlineStr">
        <is>
          <t>https://www.disco.com.ar/acondicionador-suave-fuerza-nutritiva-930-ml-2/p</t>
        </is>
      </c>
    </row>
    <row r="1017">
      <c r="A1017" t="inlineStr">
        <is>
          <t>Disco</t>
        </is>
      </c>
      <c r="B1017" t="n">
        <v>364195</v>
      </c>
      <c r="C1017" t="n">
        <v>362938</v>
      </c>
      <c r="D1017" t="inlineStr">
        <is>
          <t>Acondicionador Manzana 930 Ml St Tropez</t>
        </is>
      </c>
      <c r="E1017" t="inlineStr">
        <is>
          <t>ST TROPEZ</t>
        </is>
      </c>
      <c r="F1017" t="n">
        <v>3840</v>
      </c>
      <c r="G1017" t="n">
        <v>317355</v>
      </c>
      <c r="H1017" t="b">
        <v>0</v>
      </c>
      <c r="I1017" t="n">
        <v>930</v>
      </c>
      <c r="J1017" t="n">
        <v>4.129</v>
      </c>
      <c r="K1017" t="inlineStr">
        <is>
          <t>&gt; Perfumería &gt; Cuidado Capilar &gt; Acondicionador &gt;</t>
        </is>
      </c>
      <c r="L1017" t="inlineStr">
        <is>
          <t>acondicionador</t>
        </is>
      </c>
      <c r="M1017" t="inlineStr">
        <is>
          <t>estandar</t>
        </is>
      </c>
      <c r="N1017" t="inlineStr">
        <is>
          <t>general</t>
        </is>
      </c>
      <c r="O1017" t="inlineStr">
        <is>
          <t>https://www.disco.com.ar/acondicionador-st-tropez-manzana-930ml/p</t>
        </is>
      </c>
    </row>
    <row r="1018">
      <c r="A1018" s="10" t="inlineStr">
        <is>
          <t>Disco</t>
        </is>
      </c>
      <c r="B1018" s="10" t="n">
        <v>354057</v>
      </c>
      <c r="C1018" s="10" t="n">
        <v>352688</v>
      </c>
      <c r="D1018" s="10" t="inlineStr">
        <is>
          <t>Acondicionador Elvive Color Vive Protector 400ml</t>
        </is>
      </c>
      <c r="E1018" s="10" t="inlineStr">
        <is>
          <t>ELVIVE</t>
        </is>
      </c>
      <c r="F1018" s="10" t="n">
        <v>1239.09</v>
      </c>
      <c r="G1018" s="10" t="n">
        <v>102404</v>
      </c>
      <c r="H1018" s="10" t="b">
        <v>0</v>
      </c>
      <c r="I1018" s="10" t="n">
        <v>400</v>
      </c>
      <c r="J1018" s="10" t="n">
        <v>3.0977</v>
      </c>
      <c r="K1018" s="10" t="inlineStr">
        <is>
          <t>&gt; Perfumería &gt; Cuidado Capilar &gt; Acondicionador &gt;</t>
        </is>
      </c>
      <c r="L1018" s="10" t="inlineStr">
        <is>
          <t>acondicionador</t>
        </is>
      </c>
      <c r="M1018" s="10" t="inlineStr">
        <is>
          <t>profesional</t>
        </is>
      </c>
      <c r="N1018" s="10" t="inlineStr">
        <is>
          <t>tratado</t>
        </is>
      </c>
      <c r="O1018" s="10" t="inlineStr">
        <is>
          <t>https://www.disco.com.ar/acondicionador-elvive-color-vive-protector-400ml/p</t>
        </is>
      </c>
    </row>
    <row r="1019">
      <c r="A1019" t="inlineStr">
        <is>
          <t>Disco</t>
        </is>
      </c>
      <c r="B1019" t="n">
        <v>349484</v>
      </c>
      <c r="C1019" t="n">
        <v>348144</v>
      </c>
      <c r="D1019" t="inlineStr">
        <is>
          <t>Acondicionador Suavidad Manzana 1000 Ml Plusbelle Acondicionador Plusbelle Suavidad 1000ml</t>
        </is>
      </c>
      <c r="E1019" t="inlineStr">
        <is>
          <t>PLUSBELLE</t>
        </is>
      </c>
      <c r="F1019" t="n">
        <v>5100</v>
      </c>
      <c r="G1019" t="n">
        <v>421488</v>
      </c>
      <c r="H1019" t="b">
        <v>0</v>
      </c>
      <c r="I1019" t="n">
        <v>1000</v>
      </c>
      <c r="J1019" t="n">
        <v>5.1</v>
      </c>
      <c r="K1019" t="inlineStr">
        <is>
          <t>&gt; Perfumería &gt; Cuidado Capilar &gt; Acondicionador &gt;</t>
        </is>
      </c>
      <c r="L1019" t="inlineStr">
        <is>
          <t>acondicionador</t>
        </is>
      </c>
      <c r="M1019" t="inlineStr">
        <is>
          <t>estandar</t>
        </is>
      </c>
      <c r="N1019" t="inlineStr">
        <is>
          <t>general</t>
        </is>
      </c>
      <c r="O1019" t="inlineStr">
        <is>
          <t>https://www.disco.com.ar/acondicionador-plusbelle-suavidad-1000ml-2/p</t>
        </is>
      </c>
    </row>
    <row r="1020">
      <c r="A1020" s="10" t="inlineStr">
        <is>
          <t>Disco</t>
        </is>
      </c>
      <c r="B1020" s="10" t="n">
        <v>347730</v>
      </c>
      <c r="C1020" s="10" t="n">
        <v>346405</v>
      </c>
      <c r="D1020" s="10" t="inlineStr">
        <is>
          <t>Acondicionador Sedal Rizos Definidos 340 Ml</t>
        </is>
      </c>
      <c r="E1020" s="10" t="inlineStr">
        <is>
          <t>SEDAL</t>
        </is>
      </c>
      <c r="F1020" s="10" t="n">
        <v>800</v>
      </c>
      <c r="G1020" s="10" t="n">
        <v>66116</v>
      </c>
      <c r="H1020" s="10" t="b">
        <v>0</v>
      </c>
      <c r="I1020" s="10" t="n">
        <v>340</v>
      </c>
      <c r="J1020" s="10" t="n">
        <v>2.3529</v>
      </c>
      <c r="K1020" s="10" t="inlineStr">
        <is>
          <t>&gt; Perfumería &gt; Cuidado Capilar &gt; Acondicionador &gt;</t>
        </is>
      </c>
      <c r="L1020" s="10" t="inlineStr">
        <is>
          <t>acondicionador</t>
        </is>
      </c>
      <c r="M1020" s="10" t="inlineStr">
        <is>
          <t>estandar</t>
        </is>
      </c>
      <c r="N1020" s="10" t="inlineStr">
        <is>
          <t>rizado</t>
        </is>
      </c>
      <c r="O1020" s="10" t="inlineStr">
        <is>
          <t>https://www.disco.com.ar/acondicionador-sedal-rizos-definidos-340-ml/p</t>
        </is>
      </c>
    </row>
    <row r="1021">
      <c r="A1021" t="inlineStr">
        <is>
          <t>Disco</t>
        </is>
      </c>
      <c r="B1021" t="n">
        <v>347729</v>
      </c>
      <c r="C1021" t="n">
        <v>346404</v>
      </c>
      <c r="D1021" t="inlineStr">
        <is>
          <t>Acondicionador  Sedal  Crema Balance  340 Ml</t>
        </is>
      </c>
      <c r="E1021" t="inlineStr">
        <is>
          <t>SEDAL</t>
        </is>
      </c>
      <c r="F1021" t="n">
        <v>850</v>
      </c>
      <c r="G1021" t="n">
        <v>70248</v>
      </c>
      <c r="H1021" t="b">
        <v>0</v>
      </c>
      <c r="I1021" t="n">
        <v>340</v>
      </c>
      <c r="J1021" t="n">
        <v>2.5</v>
      </c>
      <c r="K1021" t="inlineStr">
        <is>
          <t>&gt; Perfumería &gt; Cuidado Capilar &gt; Acondicionador &gt;</t>
        </is>
      </c>
      <c r="L1021" t="inlineStr">
        <is>
          <t>acondicionador</t>
        </is>
      </c>
      <c r="M1021" t="inlineStr">
        <is>
          <t>estandar</t>
        </is>
      </c>
      <c r="N1021" t="inlineStr">
        <is>
          <t>general</t>
        </is>
      </c>
      <c r="O1021" t="inlineStr">
        <is>
          <t>https://www.disco.com.ar/acondicionador-sedal-crema-balance-340-ml/p</t>
        </is>
      </c>
    </row>
    <row r="1022">
      <c r="A1022" s="10" t="inlineStr">
        <is>
          <t>Disco</t>
        </is>
      </c>
      <c r="B1022" s="10" t="n">
        <v>347723</v>
      </c>
      <c r="C1022" s="10" t="n">
        <v>346398</v>
      </c>
      <c r="D1022" s="10" t="inlineStr">
        <is>
          <t>Acondicionador  Sedal  Restauración Instantánea  340 Ml</t>
        </is>
      </c>
      <c r="E1022" s="10" t="inlineStr">
        <is>
          <t>SEDAL</t>
        </is>
      </c>
      <c r="F1022" s="10" t="n">
        <v>850</v>
      </c>
      <c r="G1022" s="10" t="n">
        <v>70248</v>
      </c>
      <c r="H1022" s="10" t="b">
        <v>0</v>
      </c>
      <c r="I1022" s="10" t="n">
        <v>340</v>
      </c>
      <c r="J1022" s="10" t="n">
        <v>2.5</v>
      </c>
      <c r="K1022" s="10" t="inlineStr">
        <is>
          <t>&gt; Perfumería &gt; Cuidado Capilar &gt; Acondicionador &gt;</t>
        </is>
      </c>
      <c r="L1022" s="10" t="inlineStr">
        <is>
          <t>acondicionador</t>
        </is>
      </c>
      <c r="M1022" s="10" t="inlineStr">
        <is>
          <t>estandar</t>
        </is>
      </c>
      <c r="N1022" s="10" t="inlineStr">
        <is>
          <t>general</t>
        </is>
      </c>
      <c r="O1022" s="10" t="inlineStr">
        <is>
          <t>https://www.disco.com.ar/acondicionador-sedal-restauracion-instantanea-340-ml-2/p</t>
        </is>
      </c>
    </row>
    <row r="1023">
      <c r="A1023" t="inlineStr">
        <is>
          <t>Disco</t>
        </is>
      </c>
      <c r="B1023" t="n">
        <v>347696</v>
      </c>
      <c r="C1023" t="n">
        <v>346371</v>
      </c>
      <c r="D1023" t="inlineStr">
        <is>
          <t>Acondicionador Sedal Rizos Definidos 650 Ml</t>
        </is>
      </c>
      <c r="E1023" t="inlineStr">
        <is>
          <t>SEDAL</t>
        </is>
      </c>
      <c r="F1023" t="n">
        <v>1450</v>
      </c>
      <c r="G1023" t="n">
        <v>119835</v>
      </c>
      <c r="H1023" t="b">
        <v>0</v>
      </c>
      <c r="I1023" t="n">
        <v>650</v>
      </c>
      <c r="J1023" t="n">
        <v>2.2308</v>
      </c>
      <c r="K1023" t="inlineStr">
        <is>
          <t>&gt; Perfumería &gt; Cuidado Capilar &gt; Acondicionador &gt;</t>
        </is>
      </c>
      <c r="L1023" t="inlineStr">
        <is>
          <t>acondicionador</t>
        </is>
      </c>
      <c r="M1023" t="inlineStr">
        <is>
          <t>estandar</t>
        </is>
      </c>
      <c r="N1023" t="inlineStr">
        <is>
          <t>rizado</t>
        </is>
      </c>
      <c r="O1023" t="inlineStr">
        <is>
          <t>https://www.disco.com.ar/acondicionador-sedal-rizos-definidos-650-ml/p</t>
        </is>
      </c>
    </row>
    <row r="1024">
      <c r="A1024" s="10" t="inlineStr">
        <is>
          <t>Disco</t>
        </is>
      </c>
      <c r="B1024" s="10" t="n">
        <v>347695</v>
      </c>
      <c r="C1024" s="10" t="n">
        <v>346370</v>
      </c>
      <c r="D1024" s="10" t="inlineStr">
        <is>
          <t>Acondicionador  Sedal  Crema Balance  650 Ml</t>
        </is>
      </c>
      <c r="E1024" s="10" t="inlineStr">
        <is>
          <t>SEDAL</t>
        </is>
      </c>
      <c r="F1024" s="10" t="n">
        <v>880.05</v>
      </c>
      <c r="G1024" s="10" t="n">
        <v>72731</v>
      </c>
      <c r="H1024" s="10" t="b">
        <v>0</v>
      </c>
      <c r="I1024" s="10" t="n">
        <v>650</v>
      </c>
      <c r="J1024" s="10" t="n">
        <v>1.3539</v>
      </c>
      <c r="K1024" s="10" t="inlineStr">
        <is>
          <t>&gt; Perfumería &gt; Cuidado Capilar &gt; Acondicionador &gt;</t>
        </is>
      </c>
      <c r="L1024" s="10" t="inlineStr">
        <is>
          <t>acondicionador</t>
        </is>
      </c>
      <c r="M1024" s="10" t="inlineStr">
        <is>
          <t>estandar</t>
        </is>
      </c>
      <c r="N1024" s="10" t="inlineStr">
        <is>
          <t>general</t>
        </is>
      </c>
      <c r="O1024" s="10" t="inlineStr">
        <is>
          <t>https://www.disco.com.ar/acondicionador-sedal-crema-balance-650-ml/p</t>
        </is>
      </c>
    </row>
    <row r="1025">
      <c r="A1025" t="inlineStr">
        <is>
          <t>Disco</t>
        </is>
      </c>
      <c r="B1025" t="n">
        <v>347693</v>
      </c>
      <c r="C1025" t="n">
        <v>346368</v>
      </c>
      <c r="D1025" t="inlineStr">
        <is>
          <t>Acondicionador Sedal Restauración Instantánea 650 Ml</t>
        </is>
      </c>
      <c r="E1025" t="inlineStr">
        <is>
          <t>SEDAL</t>
        </is>
      </c>
      <c r="F1025" t="n">
        <v>1350</v>
      </c>
      <c r="G1025" t="n">
        <v>111570</v>
      </c>
      <c r="H1025" t="b">
        <v>0</v>
      </c>
      <c r="I1025" t="n">
        <v>650</v>
      </c>
      <c r="J1025" t="n">
        <v>2.0769</v>
      </c>
      <c r="K1025" t="inlineStr">
        <is>
          <t>&gt; Perfumería &gt; Cuidado Capilar &gt; Acondicionador &gt;</t>
        </is>
      </c>
      <c r="L1025" t="inlineStr">
        <is>
          <t>acondicionador</t>
        </is>
      </c>
      <c r="M1025" t="inlineStr">
        <is>
          <t>estandar</t>
        </is>
      </c>
      <c r="N1025" t="inlineStr">
        <is>
          <t>general</t>
        </is>
      </c>
      <c r="O1025" t="inlineStr">
        <is>
          <t>https://www.disco.com.ar/acondicionador-sedal-restauracion-instantanea-650-ml-2/p</t>
        </is>
      </c>
    </row>
    <row r="1026">
      <c r="A1026" s="10" t="inlineStr">
        <is>
          <t>Disco</t>
        </is>
      </c>
      <c r="B1026" s="10" t="n">
        <v>347650</v>
      </c>
      <c r="C1026" s="10" t="n">
        <v>346323</v>
      </c>
      <c r="D1026" s="10" t="inlineStr">
        <is>
          <t>Acondicionador  Dove  Hidratación Intensa  400 Ml</t>
        </is>
      </c>
      <c r="E1026" s="10" t="inlineStr">
        <is>
          <t>DOVE</t>
        </is>
      </c>
      <c r="F1026" s="10" t="n">
        <v>6950</v>
      </c>
      <c r="G1026" s="10" t="n">
        <v>574380</v>
      </c>
      <c r="H1026" s="10" t="b">
        <v>0</v>
      </c>
      <c r="I1026" s="10" t="n">
        <v>400</v>
      </c>
      <c r="J1026" s="10" t="n">
        <v>17.375</v>
      </c>
      <c r="K1026" s="10" t="inlineStr">
        <is>
          <t>&gt; Perfumería &gt; Cuidado Capilar &gt; Acondicionador &gt;</t>
        </is>
      </c>
      <c r="L1026" s="10" t="inlineStr">
        <is>
          <t>acondicionador</t>
        </is>
      </c>
      <c r="M1026" s="10" t="inlineStr">
        <is>
          <t>estandar</t>
        </is>
      </c>
      <c r="N1026" s="10" t="inlineStr">
        <is>
          <t>seco_danado</t>
        </is>
      </c>
      <c r="O1026" s="10" t="inlineStr">
        <is>
          <t>https://www.disco.com.ar/acondicionador-dove-hidratacion-intensa-400-ml-2/p</t>
        </is>
      </c>
    </row>
    <row r="1027">
      <c r="A1027" t="inlineStr">
        <is>
          <t>Disco</t>
        </is>
      </c>
      <c r="B1027" t="n">
        <v>345275</v>
      </c>
      <c r="C1027" t="n">
        <v>343960</v>
      </c>
      <c r="D1027" t="inlineStr">
        <is>
          <t>Acondicionador Pantene Prov Essentials Hidratante 750ml</t>
        </is>
      </c>
      <c r="E1027" t="inlineStr">
        <is>
          <t>PANTENE</t>
        </is>
      </c>
      <c r="F1027" t="n">
        <v>1394.75</v>
      </c>
      <c r="G1027" t="n">
        <v>115269</v>
      </c>
      <c r="H1027" t="b">
        <v>0</v>
      </c>
      <c r="I1027" t="n">
        <v>750</v>
      </c>
      <c r="J1027" t="n">
        <v>1.8597</v>
      </c>
      <c r="K1027" t="inlineStr">
        <is>
          <t>&gt; Perfumería &gt; Cuidado Capilar &gt; Acondicionador &gt;</t>
        </is>
      </c>
      <c r="L1027" t="inlineStr">
        <is>
          <t>acondicionador</t>
        </is>
      </c>
      <c r="M1027" t="inlineStr">
        <is>
          <t>profesional</t>
        </is>
      </c>
      <c r="N1027" t="inlineStr">
        <is>
          <t>seco_danado</t>
        </is>
      </c>
      <c r="O1027" t="inlineStr">
        <is>
          <t>https://www.disco.com.ar/acondicionador-pantene-prov-essentials-hidratante-750ml/p</t>
        </is>
      </c>
    </row>
    <row r="1028">
      <c r="A1028" s="10" t="inlineStr">
        <is>
          <t>Disco</t>
        </is>
      </c>
      <c r="B1028" s="10" t="n">
        <v>345107</v>
      </c>
      <c r="C1028" s="10" t="n">
        <v>343792</v>
      </c>
      <c r="D1028" s="10" t="inlineStr">
        <is>
          <t>Acondicionador Pantene Prov Essentials Brillo 200ml</t>
        </is>
      </c>
      <c r="E1028" s="10" t="inlineStr">
        <is>
          <t>PANTENE</t>
        </is>
      </c>
      <c r="F1028" s="10" t="n">
        <v>531.49</v>
      </c>
      <c r="G1028" s="10" t="n">
        <v>43925</v>
      </c>
      <c r="H1028" s="10" t="b">
        <v>0</v>
      </c>
      <c r="I1028" s="10" t="n">
        <v>200</v>
      </c>
      <c r="J1028" s="10" t="n">
        <v>2.6574</v>
      </c>
      <c r="K1028" s="10" t="inlineStr">
        <is>
          <t>&gt; Perfumería &gt; Cuidado Capilar &gt; Acondicionador &gt;</t>
        </is>
      </c>
      <c r="L1028" s="10" t="inlineStr">
        <is>
          <t>acondicionador</t>
        </is>
      </c>
      <c r="M1028" s="10" t="inlineStr">
        <is>
          <t>profesional</t>
        </is>
      </c>
      <c r="N1028" s="10" t="inlineStr">
        <is>
          <t>general</t>
        </is>
      </c>
      <c r="O1028" s="10" t="inlineStr">
        <is>
          <t>https://www.disco.com.ar/acondicionador-pantene-prov-essentials-brillo-200ml/p</t>
        </is>
      </c>
    </row>
    <row r="1029">
      <c r="A1029" t="inlineStr">
        <is>
          <t>Disco</t>
        </is>
      </c>
      <c r="B1029" t="n">
        <v>345097</v>
      </c>
      <c r="C1029" t="n">
        <v>343782</v>
      </c>
      <c r="D1029" t="inlineStr">
        <is>
          <t>Acondicionador Pantene Prov Essentials Restauración 400ml</t>
        </is>
      </c>
      <c r="E1029" t="inlineStr">
        <is>
          <t>PANTENE</t>
        </is>
      </c>
      <c r="F1029" t="n">
        <v>1500</v>
      </c>
      <c r="G1029" t="n">
        <v>123967</v>
      </c>
      <c r="H1029" t="b">
        <v>0</v>
      </c>
      <c r="I1029" t="n">
        <v>400</v>
      </c>
      <c r="J1029" t="n">
        <v>3.75</v>
      </c>
      <c r="K1029" t="inlineStr">
        <is>
          <t>&gt; Perfumería &gt; Cuidado Capilar &gt; Acondicionador &gt;</t>
        </is>
      </c>
      <c r="L1029" t="inlineStr">
        <is>
          <t>acondicionador</t>
        </is>
      </c>
      <c r="M1029" t="inlineStr">
        <is>
          <t>profesional</t>
        </is>
      </c>
      <c r="N1029" t="inlineStr">
        <is>
          <t>general</t>
        </is>
      </c>
      <c r="O1029" t="inlineStr">
        <is>
          <t>https://www.disco.com.ar/acondicionador-pantene-prov-essentials-restauracion-400ml/p</t>
        </is>
      </c>
    </row>
    <row r="1030">
      <c r="A1030" s="10" t="inlineStr">
        <is>
          <t>Disco</t>
        </is>
      </c>
      <c r="B1030" s="10" t="n">
        <v>339223</v>
      </c>
      <c r="C1030" s="10" t="n">
        <v>337908</v>
      </c>
      <c r="D1030" s="10" t="inlineStr">
        <is>
          <t>Acondicionador Bio Desenredante Natural Botik Puro</t>
        </is>
      </c>
      <c r="E1030" s="10" t="inlineStr">
        <is>
          <t>BOTIK PURO</t>
        </is>
      </c>
      <c r="F1030" s="10" t="n">
        <v>4019.99</v>
      </c>
      <c r="G1030" s="10" t="n">
        <v>332231</v>
      </c>
      <c r="H1030" s="10" t="b">
        <v>0</v>
      </c>
      <c r="I1030" s="10" t="inlineStr"/>
      <c r="J1030" s="10" t="inlineStr"/>
      <c r="K1030" s="10" t="inlineStr">
        <is>
          <t>&gt; Perfumería &gt; Cuidado Capilar &gt; Acondicionador &gt;</t>
        </is>
      </c>
      <c r="L1030" s="10" t="inlineStr">
        <is>
          <t>acondicionador</t>
        </is>
      </c>
      <c r="M1030" s="10" t="inlineStr">
        <is>
          <t>estandar</t>
        </is>
      </c>
      <c r="N1030" s="10" t="inlineStr">
        <is>
          <t>general</t>
        </is>
      </c>
      <c r="O1030" s="10" t="inlineStr">
        <is>
          <t>https://www.disco.com.ar/acondicionador-bio-desenredante-natural-botik-puro/p</t>
        </is>
      </c>
    </row>
    <row r="1031">
      <c r="A1031" t="inlineStr">
        <is>
          <t>Disco</t>
        </is>
      </c>
      <c r="B1031" t="n">
        <v>333571</v>
      </c>
      <c r="C1031" t="n">
        <v>332702</v>
      </c>
      <c r="D1031" t="inlineStr">
        <is>
          <t>Acondicionador Alta Moda Color Prt 300ml</t>
        </is>
      </c>
      <c r="E1031" t="inlineStr">
        <is>
          <t>ALTA MODA</t>
        </is>
      </c>
      <c r="F1031" t="n">
        <v>224.95</v>
      </c>
      <c r="G1031" t="n">
        <v>18591</v>
      </c>
      <c r="H1031" t="b">
        <v>0</v>
      </c>
      <c r="I1031" t="n">
        <v>300</v>
      </c>
      <c r="J1031" t="n">
        <v>0.7498</v>
      </c>
      <c r="K1031" t="inlineStr">
        <is>
          <t>&gt; Perfumería &gt; Cuidado Capilar &gt; Acondicionador &gt;</t>
        </is>
      </c>
      <c r="L1031" t="inlineStr">
        <is>
          <t>acondicionador</t>
        </is>
      </c>
      <c r="M1031" t="inlineStr">
        <is>
          <t>estandar</t>
        </is>
      </c>
      <c r="N1031" t="inlineStr">
        <is>
          <t>tratado</t>
        </is>
      </c>
      <c r="O1031" t="inlineStr">
        <is>
          <t>https://www.disco.com.ar/acondicionador-alta-moda-color-prt-300ml/p</t>
        </is>
      </c>
    </row>
    <row r="1032">
      <c r="A1032" s="10" t="inlineStr">
        <is>
          <t>Disco</t>
        </is>
      </c>
      <c r="B1032" s="10" t="n">
        <v>332079</v>
      </c>
      <c r="C1032" s="10" t="n">
        <v>331240</v>
      </c>
      <c r="D1032" s="10" t="inlineStr">
        <is>
          <t>Acondicionador Dove Ritual De Equinacea 400 Ml</t>
        </is>
      </c>
      <c r="E1032" s="10" t="inlineStr">
        <is>
          <t>DOVE</t>
        </is>
      </c>
      <c r="F1032" s="10" t="n">
        <v>463.89</v>
      </c>
      <c r="G1032" s="10" t="n">
        <v>38338</v>
      </c>
      <c r="H1032" s="10" t="b">
        <v>0</v>
      </c>
      <c r="I1032" s="10" t="n">
        <v>400</v>
      </c>
      <c r="J1032" s="10" t="n">
        <v>1.1597</v>
      </c>
      <c r="K1032" s="10" t="inlineStr">
        <is>
          <t>&gt; Perfumería &gt; Cuidado Capilar &gt; Acondicionador &gt;</t>
        </is>
      </c>
      <c r="L1032" s="10" t="inlineStr">
        <is>
          <t>acondicionador</t>
        </is>
      </c>
      <c r="M1032" s="10" t="inlineStr">
        <is>
          <t>estandar</t>
        </is>
      </c>
      <c r="N1032" s="10" t="inlineStr">
        <is>
          <t>general</t>
        </is>
      </c>
      <c r="O1032" s="10" t="inlineStr">
        <is>
          <t>https://www.disco.com.ar/acondicionador-dove-ritual-de-equinacea-400-ml/p</t>
        </is>
      </c>
    </row>
    <row r="1033">
      <c r="A1033" t="inlineStr">
        <is>
          <t>Disco</t>
        </is>
      </c>
      <c r="B1033" t="n">
        <v>312947</v>
      </c>
      <c r="C1033" t="n">
        <v>312185</v>
      </c>
      <c r="D1033" t="inlineStr">
        <is>
          <t>Acondicionador Balsam Vitaminado 800 Ml Biferdil</t>
        </is>
      </c>
      <c r="E1033" t="inlineStr">
        <is>
          <t>BIFERDIL</t>
        </is>
      </c>
      <c r="F1033" t="n">
        <v>18450</v>
      </c>
      <c r="G1033" t="n">
        <v>1524793</v>
      </c>
      <c r="H1033" t="b">
        <v>0</v>
      </c>
      <c r="I1033" t="n">
        <v>800</v>
      </c>
      <c r="J1033" t="n">
        <v>23.0625</v>
      </c>
      <c r="K1033" t="inlineStr">
        <is>
          <t>&gt; Perfumería &gt; Cuidado Capilar &gt; Reparación y Tratamientos &gt;</t>
        </is>
      </c>
      <c r="L1033" t="inlineStr">
        <is>
          <t>acondicionador</t>
        </is>
      </c>
      <c r="M1033" t="inlineStr">
        <is>
          <t>estandar</t>
        </is>
      </c>
      <c r="N1033" t="inlineStr">
        <is>
          <t>general</t>
        </is>
      </c>
      <c r="O1033" t="inlineStr">
        <is>
          <t>https://www.disco.com.ar/acondicionador-biferdil-vitaminado-800-ml/p</t>
        </is>
      </c>
    </row>
    <row r="1034">
      <c r="A1034" s="10" t="inlineStr">
        <is>
          <t>Disco</t>
        </is>
      </c>
      <c r="B1034" s="10" t="n">
        <v>312209</v>
      </c>
      <c r="C1034" s="10" t="n">
        <v>311447</v>
      </c>
      <c r="D1034" s="10" t="inlineStr">
        <is>
          <t>Acondicionador Dove Regeneración Extrema 750 Ml</t>
        </is>
      </c>
      <c r="E1034" s="10" t="inlineStr">
        <is>
          <t>DOVE</t>
        </is>
      </c>
      <c r="F1034" s="10" t="n">
        <v>418.79</v>
      </c>
      <c r="G1034" s="10" t="n">
        <v>34611</v>
      </c>
      <c r="H1034" s="10" t="b">
        <v>0</v>
      </c>
      <c r="I1034" s="10" t="n">
        <v>750</v>
      </c>
      <c r="J1034" s="10" t="n">
        <v>0.5584</v>
      </c>
      <c r="K1034" s="10" t="inlineStr">
        <is>
          <t>&gt; Perfumería &gt; Cuidado Capilar &gt; Acondicionador &gt;</t>
        </is>
      </c>
      <c r="L1034" s="10" t="inlineStr">
        <is>
          <t>acondicionador</t>
        </is>
      </c>
      <c r="M1034" s="10" t="inlineStr">
        <is>
          <t>estandar</t>
        </is>
      </c>
      <c r="N1034" s="10" t="inlineStr">
        <is>
          <t>general</t>
        </is>
      </c>
      <c r="O1034" s="10" t="inlineStr">
        <is>
          <t>https://www.disco.com.ar/acondicionador-dove-regeneracion-extrema-750-ml/p</t>
        </is>
      </c>
    </row>
    <row r="1035">
      <c r="A1035" t="inlineStr">
        <is>
          <t>Disco</t>
        </is>
      </c>
      <c r="B1035" t="n">
        <v>312203</v>
      </c>
      <c r="C1035" t="n">
        <v>311441</v>
      </c>
      <c r="D1035" t="inlineStr">
        <is>
          <t>Acondicionador Dove Regeneración Extrema 200 Ml</t>
        </is>
      </c>
      <c r="E1035" t="inlineStr">
        <is>
          <t>DOVE</t>
        </is>
      </c>
      <c r="F1035" t="n">
        <v>161.79</v>
      </c>
      <c r="G1035" t="n">
        <v>13371</v>
      </c>
      <c r="H1035" t="b">
        <v>0</v>
      </c>
      <c r="I1035" t="n">
        <v>200</v>
      </c>
      <c r="J1035" t="n">
        <v>0.8089</v>
      </c>
      <c r="K1035" t="inlineStr">
        <is>
          <t>&gt; Perfumería &gt; Cuidado Capilar &gt; Acondicionador &gt;</t>
        </is>
      </c>
      <c r="L1035" t="inlineStr">
        <is>
          <t>acondicionador</t>
        </is>
      </c>
      <c r="M1035" t="inlineStr">
        <is>
          <t>estandar</t>
        </is>
      </c>
      <c r="N1035" t="inlineStr">
        <is>
          <t>general</t>
        </is>
      </c>
      <c r="O1035" t="inlineStr">
        <is>
          <t>https://www.disco.com.ar/acondicionador-dove-regeneracion-extrema-200-ml/p</t>
        </is>
      </c>
    </row>
    <row r="1036">
      <c r="A1036" s="10" t="inlineStr">
        <is>
          <t>Disco</t>
        </is>
      </c>
      <c r="B1036" s="10" t="n">
        <v>310069</v>
      </c>
      <c r="C1036" s="10" t="n">
        <v>309307</v>
      </c>
      <c r="D1036" s="10" t="inlineStr">
        <is>
          <t>Acondicionador Swing Reparación Intensa 400 Ml</t>
        </is>
      </c>
      <c r="E1036" s="10" t="inlineStr">
        <is>
          <t>SWING</t>
        </is>
      </c>
      <c r="F1036" s="10" t="n">
        <v>900</v>
      </c>
      <c r="G1036" s="10" t="n">
        <v>74380</v>
      </c>
      <c r="H1036" s="10" t="b">
        <v>0</v>
      </c>
      <c r="I1036" s="10" t="n">
        <v>400</v>
      </c>
      <c r="J1036" s="10" t="n">
        <v>2.25</v>
      </c>
      <c r="K1036" s="10" t="inlineStr">
        <is>
          <t>&gt; Perfumería &gt; Cuidado Capilar &gt; Acondicionador &gt;</t>
        </is>
      </c>
      <c r="L1036" s="10" t="inlineStr">
        <is>
          <t>acondicionador</t>
        </is>
      </c>
      <c r="M1036" s="10" t="inlineStr">
        <is>
          <t>estandar</t>
        </is>
      </c>
      <c r="N1036" s="10" t="inlineStr">
        <is>
          <t>general</t>
        </is>
      </c>
      <c r="O1036" s="10" t="inlineStr">
        <is>
          <t>https://www.disco.com.ar/acondicionador-swing-reparacion-intensa-400-ml/p</t>
        </is>
      </c>
    </row>
    <row r="1037">
      <c r="A1037" t="inlineStr">
        <is>
          <t>Disco</t>
        </is>
      </c>
      <c r="B1037" t="n">
        <v>309876</v>
      </c>
      <c r="C1037" t="n">
        <v>309113</v>
      </c>
      <c r="D1037" t="inlineStr">
        <is>
          <t>Acondicionador Swing Brillo Radiante 400 Ml</t>
        </is>
      </c>
      <c r="E1037" t="inlineStr">
        <is>
          <t>SWING</t>
        </is>
      </c>
      <c r="F1037" t="n">
        <v>900</v>
      </c>
      <c r="G1037" t="n">
        <v>74380</v>
      </c>
      <c r="H1037" t="b">
        <v>0</v>
      </c>
      <c r="I1037" t="n">
        <v>400</v>
      </c>
      <c r="J1037" t="n">
        <v>2.25</v>
      </c>
      <c r="K1037" t="inlineStr">
        <is>
          <t>&gt; Perfumería &gt; Cuidado Capilar &gt; Acondicionador &gt;</t>
        </is>
      </c>
      <c r="L1037" t="inlineStr">
        <is>
          <t>acondicionador</t>
        </is>
      </c>
      <c r="M1037" t="inlineStr">
        <is>
          <t>estandar</t>
        </is>
      </c>
      <c r="N1037" t="inlineStr">
        <is>
          <t>general</t>
        </is>
      </c>
      <c r="O1037" t="inlineStr">
        <is>
          <t>https://www.disco.com.ar/acondicionador-swing-brillo-radiante-400-ml/p</t>
        </is>
      </c>
    </row>
    <row r="1038">
      <c r="A1038" s="10" t="inlineStr">
        <is>
          <t>Disco</t>
        </is>
      </c>
      <c r="B1038" s="10" t="n">
        <v>298572</v>
      </c>
      <c r="C1038" s="10" t="n">
        <v>297801</v>
      </c>
      <c r="D1038" s="10" t="inlineStr">
        <is>
          <t>Acondicionador Dove Ritual Detox 400 Ml</t>
        </is>
      </c>
      <c r="E1038" s="10" t="inlineStr">
        <is>
          <t>DOVE</t>
        </is>
      </c>
      <c r="F1038" s="10" t="n">
        <v>477.49</v>
      </c>
      <c r="G1038" s="10" t="n">
        <v>39462</v>
      </c>
      <c r="H1038" s="10" t="b">
        <v>0</v>
      </c>
      <c r="I1038" s="10" t="n">
        <v>400</v>
      </c>
      <c r="J1038" s="10" t="n">
        <v>1.1937</v>
      </c>
      <c r="K1038" s="10" t="inlineStr">
        <is>
          <t>&gt; Perfumería &gt; Cuidado Capilar &gt; Acondicionador &gt;</t>
        </is>
      </c>
      <c r="L1038" s="10" t="inlineStr">
        <is>
          <t>acondicionador</t>
        </is>
      </c>
      <c r="M1038" s="10" t="inlineStr">
        <is>
          <t>estandar</t>
        </is>
      </c>
      <c r="N1038" s="10" t="inlineStr">
        <is>
          <t>general</t>
        </is>
      </c>
      <c r="O1038" s="10" t="inlineStr">
        <is>
          <t>https://www.disco.com.ar/acondicionador-dove-ritual-detox-400-ml-2/p</t>
        </is>
      </c>
    </row>
    <row r="1039">
      <c r="A1039" t="inlineStr">
        <is>
          <t>Disco</t>
        </is>
      </c>
      <c r="B1039" t="n">
        <v>295004</v>
      </c>
      <c r="C1039" t="n">
        <v>294235</v>
      </c>
      <c r="D1039" t="inlineStr">
        <is>
          <t>Acondicionador Sedal Bomba Coco 190 Ml</t>
        </is>
      </c>
      <c r="E1039" t="inlineStr">
        <is>
          <t>SEDAL</t>
        </is>
      </c>
      <c r="F1039" t="n">
        <v>130.65</v>
      </c>
      <c r="G1039" t="n">
        <v>10798</v>
      </c>
      <c r="H1039" t="b">
        <v>0</v>
      </c>
      <c r="I1039" t="n">
        <v>190</v>
      </c>
      <c r="J1039" t="n">
        <v>0.6876</v>
      </c>
      <c r="K1039" t="inlineStr">
        <is>
          <t>&gt; Perfumería &gt; Cuidado Capilar &gt; Acondicionador &gt;</t>
        </is>
      </c>
      <c r="L1039" t="inlineStr">
        <is>
          <t>acondicionador</t>
        </is>
      </c>
      <c r="M1039" t="inlineStr">
        <is>
          <t>estandar</t>
        </is>
      </c>
      <c r="N1039" t="inlineStr">
        <is>
          <t>general</t>
        </is>
      </c>
      <c r="O1039" t="inlineStr">
        <is>
          <t>https://www.disco.com.ar/acondicionador-sedal-bomba-coco-190-ml/p</t>
        </is>
      </c>
    </row>
    <row r="1040">
      <c r="A1040" s="10" t="inlineStr">
        <is>
          <t>Disco</t>
        </is>
      </c>
      <c r="B1040" s="10" t="n">
        <v>294920</v>
      </c>
      <c r="C1040" s="10" t="n">
        <v>294151</v>
      </c>
      <c r="D1040" s="10" t="inlineStr">
        <is>
          <t>Acondicionador Plusbelle Proteccion Natural 1000 Ml</t>
        </is>
      </c>
      <c r="E1040" s="10" t="inlineStr">
        <is>
          <t>PLUSBELLE</t>
        </is>
      </c>
      <c r="F1040" s="10" t="n">
        <v>155.65</v>
      </c>
      <c r="G1040" s="10" t="n">
        <v>12864</v>
      </c>
      <c r="H1040" s="10" t="b">
        <v>0</v>
      </c>
      <c r="I1040" s="10" t="n">
        <v>1000</v>
      </c>
      <c r="J1040" s="10" t="n">
        <v>0.1557</v>
      </c>
      <c r="K1040" s="10" t="inlineStr">
        <is>
          <t>&gt; Perfumería &gt; Cuidado Capilar &gt; Acondicionador &gt;</t>
        </is>
      </c>
      <c r="L1040" s="10" t="inlineStr">
        <is>
          <t>acondicionador</t>
        </is>
      </c>
      <c r="M1040" s="10" t="inlineStr">
        <is>
          <t>estandar</t>
        </is>
      </c>
      <c r="N1040" s="10" t="inlineStr">
        <is>
          <t>general</t>
        </is>
      </c>
      <c r="O1040" s="10" t="inlineStr">
        <is>
          <t>https://www.disco.com.ar/acondicionador-plusbelle-proteccion-natural-1000-ml/p</t>
        </is>
      </c>
    </row>
    <row r="1041">
      <c r="A1041" t="inlineStr">
        <is>
          <t>Disco</t>
        </is>
      </c>
      <c r="B1041" t="n">
        <v>292354</v>
      </c>
      <c r="C1041" t="n">
        <v>291586</v>
      </c>
      <c r="D1041" t="inlineStr">
        <is>
          <t>Acondicionador Tresemmé-thermal Recovery-pvc-ml.-400</t>
        </is>
      </c>
      <c r="E1041" t="inlineStr">
        <is>
          <t>TRESEMMÉ</t>
        </is>
      </c>
      <c r="F1041" t="n">
        <v>77.69</v>
      </c>
      <c r="G1041" t="n">
        <v>6421</v>
      </c>
      <c r="H1041" t="b">
        <v>0</v>
      </c>
      <c r="I1041" t="inlineStr"/>
      <c r="J1041" t="inlineStr"/>
      <c r="K1041" t="inlineStr">
        <is>
          <t>&gt; Perfumería &gt; Cuidado Capilar &gt; Acondicionador &gt;</t>
        </is>
      </c>
      <c r="L1041" t="inlineStr">
        <is>
          <t>acondicionador</t>
        </is>
      </c>
      <c r="M1041" t="inlineStr">
        <is>
          <t>estandar</t>
        </is>
      </c>
      <c r="N1041" t="inlineStr">
        <is>
          <t>general</t>
        </is>
      </c>
      <c r="O1041" t="inlineStr">
        <is>
          <t>https://www.disco.com.ar/acondicionador-tresemme-thermal-recovery-pvc-ml-400/p</t>
        </is>
      </c>
    </row>
    <row r="1042">
      <c r="A1042" s="10" t="inlineStr">
        <is>
          <t>Disco</t>
        </is>
      </c>
      <c r="B1042" s="10" t="n">
        <v>275412</v>
      </c>
      <c r="C1042" s="10" t="n">
        <v>274708</v>
      </c>
      <c r="D1042" s="10" t="inlineStr">
        <is>
          <t>Acondicionador Head &amp; Shoulders Manzana Fresh</t>
        </is>
      </c>
      <c r="E1042" s="10" t="inlineStr">
        <is>
          <t>HEAD &amp; SHOULDERS</t>
        </is>
      </c>
      <c r="F1042" s="10" t="n">
        <v>310.59</v>
      </c>
      <c r="G1042" s="10" t="n">
        <v>25669</v>
      </c>
      <c r="H1042" s="10" t="b">
        <v>0</v>
      </c>
      <c r="I1042" s="10" t="inlineStr"/>
      <c r="J1042" s="10" t="inlineStr"/>
      <c r="K1042" s="10" t="inlineStr">
        <is>
          <t>&gt; Perfumería &gt; Cuidado Capilar &gt; Acondicionador &gt;</t>
        </is>
      </c>
      <c r="L1042" s="10" t="inlineStr">
        <is>
          <t>acondicionador</t>
        </is>
      </c>
      <c r="M1042" s="10" t="inlineStr">
        <is>
          <t>estandar</t>
        </is>
      </c>
      <c r="N1042" s="10" t="inlineStr">
        <is>
          <t>general</t>
        </is>
      </c>
      <c r="O1042" s="10" t="inlineStr">
        <is>
          <t>https://www.disco.com.ar/acondicionador-head-shoulders-manzana-fresh/p</t>
        </is>
      </c>
    </row>
    <row r="1043">
      <c r="A1043" t="inlineStr">
        <is>
          <t>Disco</t>
        </is>
      </c>
      <c r="B1043" t="n">
        <v>248645</v>
      </c>
      <c r="C1043" t="n">
        <v>245627</v>
      </c>
      <c r="D1043" t="inlineStr">
        <is>
          <t>Acondicionador Sedal Bomba Argán 650 Ml</t>
        </is>
      </c>
      <c r="E1043" t="inlineStr">
        <is>
          <t>SEDAL</t>
        </is>
      </c>
      <c r="F1043" t="n">
        <v>246.25</v>
      </c>
      <c r="G1043" t="n">
        <v>20351</v>
      </c>
      <c r="H1043" t="b">
        <v>0</v>
      </c>
      <c r="I1043" t="n">
        <v>650</v>
      </c>
      <c r="J1043" t="n">
        <v>0.3788</v>
      </c>
      <c r="K1043" t="inlineStr">
        <is>
          <t>&gt; Perfumería &gt; Cuidado Capilar &gt; Acondicionador &gt;</t>
        </is>
      </c>
      <c r="L1043" t="inlineStr">
        <is>
          <t>acondicionador</t>
        </is>
      </c>
      <c r="M1043" t="inlineStr">
        <is>
          <t>estandar</t>
        </is>
      </c>
      <c r="N1043" t="inlineStr">
        <is>
          <t>general</t>
        </is>
      </c>
      <c r="O1043" t="inlineStr">
        <is>
          <t>https://www.disco.com.ar/acondicionador-sedal-bomba-argan-650-ml-2/p</t>
        </is>
      </c>
    </row>
    <row r="1044">
      <c r="A1044" s="10" t="inlineStr">
        <is>
          <t>Disco</t>
        </is>
      </c>
      <c r="B1044" s="10" t="n">
        <v>248642</v>
      </c>
      <c r="C1044" s="10" t="n">
        <v>245624</v>
      </c>
      <c r="D1044" s="10" t="inlineStr">
        <is>
          <t>Acondicionador Sedal Bomba Argán 340 Ml</t>
        </is>
      </c>
      <c r="E1044" s="10" t="inlineStr">
        <is>
          <t>SEDAL</t>
        </is>
      </c>
      <c r="F1044" s="10" t="n">
        <v>155.69</v>
      </c>
      <c r="G1044" s="10" t="n">
        <v>12867</v>
      </c>
      <c r="H1044" s="10" t="b">
        <v>0</v>
      </c>
      <c r="I1044" s="10" t="n">
        <v>340</v>
      </c>
      <c r="J1044" s="10" t="n">
        <v>0.4579</v>
      </c>
      <c r="K1044" s="10" t="inlineStr">
        <is>
          <t>&gt; Perfumería &gt; Cuidado Capilar &gt; Acondicionador &gt;</t>
        </is>
      </c>
      <c r="L1044" s="10" t="inlineStr">
        <is>
          <t>acondicionador</t>
        </is>
      </c>
      <c r="M1044" s="10" t="inlineStr">
        <is>
          <t>estandar</t>
        </is>
      </c>
      <c r="N1044" s="10" t="inlineStr">
        <is>
          <t>general</t>
        </is>
      </c>
      <c r="O1044" s="10" t="inlineStr">
        <is>
          <t>https://www.disco.com.ar/acondicionador-sedal-bomba-argan-340-ml-2/p</t>
        </is>
      </c>
    </row>
    <row r="1045">
      <c r="A1045" t="inlineStr">
        <is>
          <t>Disco</t>
        </is>
      </c>
      <c r="B1045" t="n">
        <v>246472</v>
      </c>
      <c r="C1045" t="n">
        <v>243362</v>
      </c>
      <c r="D1045" t="inlineStr">
        <is>
          <t>Acondicionador Dove Recuperación Extrema 200 Ml</t>
        </is>
      </c>
      <c r="E1045" t="inlineStr">
        <is>
          <t>DOVE</t>
        </is>
      </c>
      <c r="F1045" t="n">
        <v>135.75</v>
      </c>
      <c r="G1045" t="n">
        <v>11219</v>
      </c>
      <c r="H1045" t="b">
        <v>0</v>
      </c>
      <c r="I1045" t="n">
        <v>200</v>
      </c>
      <c r="J1045" t="n">
        <v>0.6787</v>
      </c>
      <c r="K1045" t="inlineStr">
        <is>
          <t>&gt; Perfumería &gt; Cuidado Capilar &gt; Acondicionador &gt;</t>
        </is>
      </c>
      <c r="L1045" t="inlineStr">
        <is>
          <t>acondicionador</t>
        </is>
      </c>
      <c r="M1045" t="inlineStr">
        <is>
          <t>estandar</t>
        </is>
      </c>
      <c r="N1045" t="inlineStr">
        <is>
          <t>general</t>
        </is>
      </c>
      <c r="O1045" t="inlineStr">
        <is>
          <t>https://www.disco.com.ar/acondicionador-dove-recuperacion-extrema-200-ml/p</t>
        </is>
      </c>
    </row>
    <row r="1046">
      <c r="A1046" s="10" t="inlineStr">
        <is>
          <t>Disco</t>
        </is>
      </c>
      <c r="B1046" s="10" t="n">
        <v>246469</v>
      </c>
      <c r="C1046" s="10" t="n">
        <v>243359</v>
      </c>
      <c r="D1046" s="10" t="inlineStr">
        <is>
          <t>Acondicionador Dove Recuperación Extrema 400 Ml</t>
        </is>
      </c>
      <c r="E1046" s="10" t="inlineStr">
        <is>
          <t>DOVE</t>
        </is>
      </c>
      <c r="F1046" s="10" t="n">
        <v>477.49</v>
      </c>
      <c r="G1046" s="10" t="n">
        <v>39462</v>
      </c>
      <c r="H1046" s="10" t="b">
        <v>0</v>
      </c>
      <c r="I1046" s="10" t="n">
        <v>400</v>
      </c>
      <c r="J1046" s="10" t="n">
        <v>1.1937</v>
      </c>
      <c r="K1046" s="10" t="inlineStr">
        <is>
          <t>&gt; Perfumería &gt; Cuidado Capilar &gt; Acondicionador &gt;</t>
        </is>
      </c>
      <c r="L1046" s="10" t="inlineStr">
        <is>
          <t>acondicionador</t>
        </is>
      </c>
      <c r="M1046" s="10" t="inlineStr">
        <is>
          <t>estandar</t>
        </is>
      </c>
      <c r="N1046" s="10" t="inlineStr">
        <is>
          <t>general</t>
        </is>
      </c>
      <c r="O1046" s="10" t="inlineStr">
        <is>
          <t>https://www.disco.com.ar/acondicionador-dove-recuperacion-extrema-400-ml-2/p</t>
        </is>
      </c>
    </row>
    <row r="1047">
      <c r="A1047" t="inlineStr">
        <is>
          <t>Disco</t>
        </is>
      </c>
      <c r="B1047" t="n">
        <v>238536</v>
      </c>
      <c r="C1047" t="n">
        <v>202876</v>
      </c>
      <c r="D1047" t="inlineStr">
        <is>
          <t>Acondicionador Flex Cosmético X 250 Ml</t>
        </is>
      </c>
      <c r="E1047" t="inlineStr">
        <is>
          <t>FLEX</t>
        </is>
      </c>
      <c r="F1047" t="n">
        <v>5.95</v>
      </c>
      <c r="G1047" t="n">
        <v>5.95</v>
      </c>
      <c r="H1047" t="b">
        <v>0</v>
      </c>
      <c r="I1047" t="n">
        <v>250</v>
      </c>
      <c r="J1047" t="n">
        <v>0.0238</v>
      </c>
      <c r="K1047" t="inlineStr">
        <is>
          <t>&gt; Perfumería &gt; Cuidado Capilar &gt; Acondicionador &gt;</t>
        </is>
      </c>
      <c r="L1047" t="inlineStr">
        <is>
          <t>acondicionador</t>
        </is>
      </c>
      <c r="M1047" t="inlineStr">
        <is>
          <t>estandar</t>
        </is>
      </c>
      <c r="N1047" t="inlineStr">
        <is>
          <t>general</t>
        </is>
      </c>
      <c r="O1047" t="inlineStr">
        <is>
          <t>https://www.disco.com.ar/acondicionador-flex-cosmetico-x-250-ml-3-208789/p</t>
        </is>
      </c>
    </row>
    <row r="1048">
      <c r="A1048" s="10" t="inlineStr">
        <is>
          <t>Disco</t>
        </is>
      </c>
      <c r="B1048" s="10" t="n">
        <v>236031</v>
      </c>
      <c r="C1048" s="10" t="n">
        <v>205064</v>
      </c>
      <c r="D1048" s="10" t="inlineStr">
        <is>
          <t>Acondicionador Sedal Sos X 650 Ml</t>
        </is>
      </c>
      <c r="E1048" s="10" t="inlineStr">
        <is>
          <t>SEDAL SOS</t>
        </is>
      </c>
      <c r="F1048" s="10" t="n">
        <v>14.45</v>
      </c>
      <c r="G1048" s="10" t="n">
        <v>14.45</v>
      </c>
      <c r="H1048" s="10" t="b">
        <v>0</v>
      </c>
      <c r="I1048" s="10" t="n">
        <v>650</v>
      </c>
      <c r="J1048" s="10" t="n">
        <v>0.0222</v>
      </c>
      <c r="K1048" s="10" t="inlineStr">
        <is>
          <t>&gt; Perfumería &gt; Cuidado Capilar &gt; Acondicionador &gt;</t>
        </is>
      </c>
      <c r="L1048" s="10" t="inlineStr">
        <is>
          <t>acondicionador</t>
        </is>
      </c>
      <c r="M1048" s="10" t="inlineStr">
        <is>
          <t>estandar</t>
        </is>
      </c>
      <c r="N1048" s="10" t="inlineStr">
        <is>
          <t>general</t>
        </is>
      </c>
      <c r="O1048" s="10" t="inlineStr">
        <is>
          <t>https://www.disco.com.ar/acondicionador-sedal-sos-x-650-ml-2-271238/p</t>
        </is>
      </c>
    </row>
    <row r="1049">
      <c r="A1049" t="inlineStr">
        <is>
          <t>Disco</t>
        </is>
      </c>
      <c r="B1049" t="n">
        <v>216412</v>
      </c>
      <c r="C1049" t="n">
        <v>231155</v>
      </c>
      <c r="D1049" t="inlineStr">
        <is>
          <t>Acondicionador Sedal Lissage Pvc 200 Ml</t>
        </is>
      </c>
      <c r="E1049" t="inlineStr">
        <is>
          <t>SEDAL</t>
        </is>
      </c>
      <c r="F1049" t="n">
        <v>5.45</v>
      </c>
      <c r="G1049" t="n">
        <v>5.45</v>
      </c>
      <c r="H1049" t="b">
        <v>0</v>
      </c>
      <c r="I1049" t="n">
        <v>200</v>
      </c>
      <c r="J1049" t="n">
        <v>0.0272</v>
      </c>
      <c r="K1049" t="inlineStr">
        <is>
          <t>&gt; Perfumería &gt; Cuidado Capilar &gt; Acondicionador &gt;</t>
        </is>
      </c>
      <c r="L1049" t="inlineStr">
        <is>
          <t>acondicionador</t>
        </is>
      </c>
      <c r="M1049" t="inlineStr">
        <is>
          <t>estandar</t>
        </is>
      </c>
      <c r="N1049" t="inlineStr">
        <is>
          <t>general</t>
        </is>
      </c>
      <c r="O1049" t="inlineStr">
        <is>
          <t>https://www.disco.com.ar/acondicionador-sedal-lissage-pvc-200-ml-202655/p</t>
        </is>
      </c>
    </row>
    <row r="1050">
      <c r="A1050" s="10" t="inlineStr">
        <is>
          <t>Disco</t>
        </is>
      </c>
      <c r="B1050" s="10" t="n">
        <v>215314</v>
      </c>
      <c r="C1050" s="10" t="n">
        <v>232424</v>
      </c>
      <c r="D1050" s="10" t="inlineStr">
        <is>
          <t>Acondicionador Flex Cosmético X 400 Ml</t>
        </is>
      </c>
      <c r="E1050" s="10" t="inlineStr">
        <is>
          <t>FLEX</t>
        </is>
      </c>
      <c r="F1050" s="10" t="n">
        <v>10.85</v>
      </c>
      <c r="G1050" s="10" t="n">
        <v>10.85</v>
      </c>
      <c r="H1050" s="10" t="b">
        <v>0</v>
      </c>
      <c r="I1050" s="10" t="n">
        <v>400</v>
      </c>
      <c r="J1050" s="10" t="n">
        <v>0.0271</v>
      </c>
      <c r="K1050" s="10" t="inlineStr">
        <is>
          <t>&gt; Perfumería &gt; Cuidado Capilar &gt; Acondicionador &gt;</t>
        </is>
      </c>
      <c r="L1050" s="10" t="inlineStr">
        <is>
          <t>acondicionador</t>
        </is>
      </c>
      <c r="M1050" s="10" t="inlineStr">
        <is>
          <t>estandar</t>
        </is>
      </c>
      <c r="N1050" s="10" t="inlineStr">
        <is>
          <t>general</t>
        </is>
      </c>
      <c r="O1050" s="10" t="inlineStr">
        <is>
          <t>https://www.disco.com.ar/acondicionador-flex-cosmetico-x-400-ml-247385/p</t>
        </is>
      </c>
    </row>
    <row r="1051">
      <c r="A1051" t="inlineStr">
        <is>
          <t>Disco</t>
        </is>
      </c>
      <c r="B1051" t="n">
        <v>185256</v>
      </c>
      <c r="C1051" t="n">
        <v>210428</v>
      </c>
      <c r="D1051" t="inlineStr">
        <is>
          <t>Acondicionador Barney Avena Pvc 250 Ml</t>
        </is>
      </c>
      <c r="E1051" t="inlineStr">
        <is>
          <t>BARNEY</t>
        </is>
      </c>
      <c r="F1051" t="n">
        <v>7.61</v>
      </c>
      <c r="G1051" t="n">
        <v>7.61</v>
      </c>
      <c r="H1051" t="b">
        <v>0</v>
      </c>
      <c r="I1051" t="n">
        <v>250</v>
      </c>
      <c r="J1051" t="n">
        <v>0.0304</v>
      </c>
      <c r="K1051" t="inlineStr">
        <is>
          <t>&gt; Mundo Bebe &gt; Higiene para el Bebe &gt;</t>
        </is>
      </c>
      <c r="L1051" t="inlineStr">
        <is>
          <t>acondicionador</t>
        </is>
      </c>
      <c r="M1051" t="inlineStr">
        <is>
          <t>estandar</t>
        </is>
      </c>
      <c r="N1051" t="inlineStr">
        <is>
          <t>general</t>
        </is>
      </c>
      <c r="O1051" t="inlineStr">
        <is>
          <t>https://www.disco.com.ar/acondicionador-barney-259521/p</t>
        </is>
      </c>
    </row>
    <row r="1052">
      <c r="A1052" s="10" t="inlineStr">
        <is>
          <t>Disco</t>
        </is>
      </c>
      <c r="B1052" s="10" t="n">
        <v>181576</v>
      </c>
      <c r="C1052" s="10" t="n">
        <v>201837</v>
      </c>
      <c r="D1052" s="10" t="inlineStr">
        <is>
          <t>Acondicionador Barbie Desenredante Pvc 250 Ml</t>
        </is>
      </c>
      <c r="E1052" s="10" t="inlineStr">
        <is>
          <t>BARBIE</t>
        </is>
      </c>
      <c r="F1052" s="10" t="n">
        <v>6.63</v>
      </c>
      <c r="G1052" s="10" t="n">
        <v>6.63</v>
      </c>
      <c r="H1052" s="10" t="b">
        <v>0</v>
      </c>
      <c r="I1052" s="10" t="n">
        <v>250</v>
      </c>
      <c r="J1052" s="10" t="n">
        <v>0.0265</v>
      </c>
      <c r="K1052" s="10" t="inlineStr">
        <is>
          <t>&gt; Mundo Bebe &gt; Higiene para el Bebe &gt; Higiene del Bebé &gt;</t>
        </is>
      </c>
      <c r="L1052" s="10" t="inlineStr">
        <is>
          <t>acondicionador</t>
        </is>
      </c>
      <c r="M1052" s="10" t="inlineStr">
        <is>
          <t>estandar</t>
        </is>
      </c>
      <c r="N1052" s="10" t="inlineStr">
        <is>
          <t>general</t>
        </is>
      </c>
      <c r="O1052" s="10" t="inlineStr">
        <is>
          <t>https://www.disco.com.ar/acondicionador-barbie-246107/p</t>
        </is>
      </c>
    </row>
    <row r="1053">
      <c r="A1053" t="inlineStr">
        <is>
          <t>Disco</t>
        </is>
      </c>
      <c r="B1053" t="n">
        <v>174732</v>
      </c>
      <c r="C1053" t="n">
        <v>186138</v>
      </c>
      <c r="D1053" t="inlineStr">
        <is>
          <t>Acondicionador Sedal Hidraloe Pvc 350 Ml</t>
        </is>
      </c>
      <c r="E1053" t="inlineStr">
        <is>
          <t>SEDAL</t>
        </is>
      </c>
      <c r="F1053" t="n">
        <v>8.390000000000001</v>
      </c>
      <c r="G1053" t="n">
        <v>8.390000000000001</v>
      </c>
      <c r="H1053" t="b">
        <v>0</v>
      </c>
      <c r="I1053" t="n">
        <v>350</v>
      </c>
      <c r="J1053" t="n">
        <v>0.024</v>
      </c>
      <c r="K1053" t="inlineStr">
        <is>
          <t>&gt; Perfumería &gt; Cuidado Capilar &gt; Acondicionador &gt;</t>
        </is>
      </c>
      <c r="L1053" t="inlineStr">
        <is>
          <t>acondicionador</t>
        </is>
      </c>
      <c r="M1053" t="inlineStr">
        <is>
          <t>estandar</t>
        </is>
      </c>
      <c r="N1053" t="inlineStr">
        <is>
          <t>general</t>
        </is>
      </c>
      <c r="O1053" t="inlineStr">
        <is>
          <t>https://www.disco.com.ar/acondicionador-sedal-pvc-350-ml-4-238337/p</t>
        </is>
      </c>
    </row>
    <row r="1054">
      <c r="A1054" s="10" t="inlineStr">
        <is>
          <t>Disco</t>
        </is>
      </c>
      <c r="B1054" s="10" t="n">
        <v>167169</v>
      </c>
      <c r="C1054" s="10" t="n">
        <v>164708</v>
      </c>
      <c r="D1054" s="10" t="inlineStr">
        <is>
          <t>Acondicionador Tresemmé-limpieza Profunda-pvc-ml.-750</t>
        </is>
      </c>
      <c r="E1054" s="10" t="inlineStr">
        <is>
          <t>TRESEMMÉ</t>
        </is>
      </c>
      <c r="F1054" s="10" t="n">
        <v>57.49</v>
      </c>
      <c r="G1054" s="10" t="n">
        <v>4751</v>
      </c>
      <c r="H1054" s="10" t="b">
        <v>0</v>
      </c>
      <c r="I1054" s="10" t="inlineStr"/>
      <c r="J1054" s="10" t="inlineStr"/>
      <c r="K1054" s="10" t="inlineStr">
        <is>
          <t>&gt; Perfumería &gt; Cuidado Capilar &gt; Acondicionador &gt;</t>
        </is>
      </c>
      <c r="L1054" s="10" t="inlineStr">
        <is>
          <t>acondicionador</t>
        </is>
      </c>
      <c r="M1054" s="10" t="inlineStr">
        <is>
          <t>estandar</t>
        </is>
      </c>
      <c r="N1054" s="10" t="inlineStr">
        <is>
          <t>general</t>
        </is>
      </c>
      <c r="O1054" s="10" t="inlineStr">
        <is>
          <t>https://www.disco.com.ar/acondicionador-tresemme-limpieza-profunda-pvc-ml-750/p</t>
        </is>
      </c>
    </row>
    <row r="1055">
      <c r="A1055" t="inlineStr">
        <is>
          <t>Disco</t>
        </is>
      </c>
      <c r="B1055" t="n">
        <v>161099</v>
      </c>
      <c r="C1055" t="n">
        <v>158644</v>
      </c>
      <c r="D1055" t="inlineStr">
        <is>
          <t>Acondicionador Comfort Almendra Pouch 900 Ml</t>
        </is>
      </c>
      <c r="E1055" t="inlineStr">
        <is>
          <t>COMFORT</t>
        </is>
      </c>
      <c r="F1055" t="n">
        <v>6.47</v>
      </c>
      <c r="G1055" t="n">
        <v>6.47</v>
      </c>
      <c r="H1055" t="b">
        <v>0</v>
      </c>
      <c r="I1055" t="n">
        <v>900</v>
      </c>
      <c r="J1055" t="n">
        <v>0.0072</v>
      </c>
      <c r="K1055" t="inlineStr">
        <is>
          <t>&gt; Limpieza &gt; Cuidado Para La Ropa &gt; Suavizantes &gt;</t>
        </is>
      </c>
      <c r="L1055" t="inlineStr">
        <is>
          <t>acondicionador</t>
        </is>
      </c>
      <c r="M1055" t="inlineStr">
        <is>
          <t>estandar</t>
        </is>
      </c>
      <c r="N1055" t="inlineStr">
        <is>
          <t>general</t>
        </is>
      </c>
      <c r="O1055" t="inlineStr">
        <is>
          <t>https://www.disco.com.ar/acondicionador-comfort-almendra-pouch-900-ml-2/p</t>
        </is>
      </c>
    </row>
    <row r="1056">
      <c r="A1056" s="10" t="inlineStr">
        <is>
          <t>Disco</t>
        </is>
      </c>
      <c r="B1056" s="10" t="n">
        <v>65270</v>
      </c>
      <c r="C1056" s="10" t="n">
        <v>62420</v>
      </c>
      <c r="D1056" s="10" t="inlineStr">
        <is>
          <t>Acondicionador Aquamarine Nutritia Pvc 930 Ml</t>
        </is>
      </c>
      <c r="E1056" s="10" t="inlineStr">
        <is>
          <t>AQUAMARINE</t>
        </is>
      </c>
      <c r="F1056" s="10" t="n">
        <v>6.8</v>
      </c>
      <c r="G1056" s="10" t="n">
        <v>6.8</v>
      </c>
      <c r="H1056" s="10" t="b">
        <v>0</v>
      </c>
      <c r="I1056" s="10" t="n">
        <v>930</v>
      </c>
      <c r="J1056" s="10" t="n">
        <v>0.0073</v>
      </c>
      <c r="K1056" s="10" t="inlineStr">
        <is>
          <t>&gt; Perfumería &gt; Cuidado Capilar &gt; Acondicionador &gt;</t>
        </is>
      </c>
      <c r="L1056" s="10" t="inlineStr">
        <is>
          <t>acondicionador</t>
        </is>
      </c>
      <c r="M1056" s="10" t="inlineStr">
        <is>
          <t>estandar</t>
        </is>
      </c>
      <c r="N1056" s="10" t="inlineStr">
        <is>
          <t>general</t>
        </is>
      </c>
      <c r="O1056" s="10" t="inlineStr">
        <is>
          <t>https://www.disco.com.ar/acondicionador-aquamarine-nutritia-pvc-930-ml/p</t>
        </is>
      </c>
    </row>
    <row r="1057">
      <c r="A1057" t="inlineStr">
        <is>
          <t>Disco</t>
        </is>
      </c>
      <c r="B1057" t="n">
        <v>63042</v>
      </c>
      <c r="C1057" t="n">
        <v>60190</v>
      </c>
      <c r="D1057" t="inlineStr">
        <is>
          <t>Acondicionador Comfort Classic Pvc 1 Lt</t>
        </is>
      </c>
      <c r="E1057" t="inlineStr">
        <is>
          <t>COMFORT</t>
        </is>
      </c>
      <c r="F1057" t="n">
        <v>5.69</v>
      </c>
      <c r="G1057" t="n">
        <v>5.69</v>
      </c>
      <c r="H1057" t="b">
        <v>0</v>
      </c>
      <c r="I1057" t="inlineStr"/>
      <c r="J1057" t="inlineStr"/>
      <c r="K1057" t="inlineStr">
        <is>
          <t>&gt; Limpieza &gt; Cuidado Para La Ropa &gt; Suavizantes &gt;</t>
        </is>
      </c>
      <c r="L1057" t="inlineStr">
        <is>
          <t>acondicionador</t>
        </is>
      </c>
      <c r="M1057" t="inlineStr">
        <is>
          <t>estandar</t>
        </is>
      </c>
      <c r="N1057" t="inlineStr">
        <is>
          <t>general</t>
        </is>
      </c>
      <c r="O1057" t="inlineStr">
        <is>
          <t>https://www.disco.com.ar/acondicionador-comfort-classic-pvc-1-lt/p</t>
        </is>
      </c>
    </row>
    <row r="1058">
      <c r="A1058" s="10" t="inlineStr">
        <is>
          <t>Disco</t>
        </is>
      </c>
      <c r="B1058" s="10" t="n">
        <v>55729</v>
      </c>
      <c r="C1058" s="10" t="n">
        <v>52887</v>
      </c>
      <c r="D1058" s="10" t="inlineStr">
        <is>
          <t>Acondicionador Sedal Verano Pvc 350 Ml.</t>
        </is>
      </c>
      <c r="E1058" s="10" t="inlineStr">
        <is>
          <t>SEDAL</t>
        </is>
      </c>
      <c r="F1058" s="10" t="n">
        <v>8.390000000000001</v>
      </c>
      <c r="G1058" s="10" t="n">
        <v>8.390000000000001</v>
      </c>
      <c r="H1058" s="10" t="b">
        <v>0</v>
      </c>
      <c r="I1058" s="10" t="n">
        <v>350</v>
      </c>
      <c r="J1058" s="10" t="n">
        <v>0.024</v>
      </c>
      <c r="K1058" s="10" t="inlineStr">
        <is>
          <t>&gt; Perfumería &gt; Cuidado Capilar &gt; Acondicionador &gt;</t>
        </is>
      </c>
      <c r="L1058" s="10" t="inlineStr">
        <is>
          <t>acondicionador</t>
        </is>
      </c>
      <c r="M1058" s="10" t="inlineStr">
        <is>
          <t>estandar</t>
        </is>
      </c>
      <c r="N1058" s="10" t="inlineStr">
        <is>
          <t>general</t>
        </is>
      </c>
      <c r="O1058" s="10" t="inlineStr">
        <is>
          <t>https://www.disco.com.ar/acondicionador-sedal-verano-pvc-350-ml/p</t>
        </is>
      </c>
    </row>
    <row r="1059">
      <c r="A1059" t="inlineStr">
        <is>
          <t>Disco</t>
        </is>
      </c>
      <c r="B1059" t="n">
        <v>55301</v>
      </c>
      <c r="C1059" t="n">
        <v>52461</v>
      </c>
      <c r="D1059" t="inlineStr">
        <is>
          <t>Acondicionador Dove Verano X 250 Ml</t>
        </is>
      </c>
      <c r="E1059" t="inlineStr">
        <is>
          <t>DOVE</t>
        </is>
      </c>
      <c r="F1059" t="n">
        <v>5.99</v>
      </c>
      <c r="G1059" t="n">
        <v>5.99</v>
      </c>
      <c r="H1059" t="b">
        <v>0</v>
      </c>
      <c r="I1059" t="n">
        <v>250</v>
      </c>
      <c r="J1059" t="n">
        <v>0.024</v>
      </c>
      <c r="K1059" t="inlineStr">
        <is>
          <t>&gt; Perfumería &gt; Cuidado Capilar &gt; Acondicionador &gt;</t>
        </is>
      </c>
      <c r="L1059" t="inlineStr">
        <is>
          <t>acondicionador</t>
        </is>
      </c>
      <c r="M1059" t="inlineStr">
        <is>
          <t>estandar</t>
        </is>
      </c>
      <c r="N1059" t="inlineStr">
        <is>
          <t>general</t>
        </is>
      </c>
      <c r="O1059" t="inlineStr">
        <is>
          <t>https://www.disco.com.ar/acondicionador-dove-verano-x-250-ml/p</t>
        </is>
      </c>
    </row>
    <row r="1060">
      <c r="A1060" s="10" t="inlineStr">
        <is>
          <t>Disco</t>
        </is>
      </c>
      <c r="B1060" s="10" t="n">
        <v>46433</v>
      </c>
      <c r="C1060" s="10" t="n">
        <v>43606</v>
      </c>
      <c r="D1060" s="10" t="inlineStr">
        <is>
          <t>Tío Nacho Acondicionador Aclarante 415 Ml</t>
        </is>
      </c>
      <c r="E1060" s="10" t="inlineStr">
        <is>
          <t>Tio Nacho</t>
        </is>
      </c>
      <c r="F1060" s="10" t="n">
        <v>756.23</v>
      </c>
      <c r="G1060" s="10" t="n">
        <v>62498</v>
      </c>
      <c r="H1060" s="10" t="b">
        <v>0</v>
      </c>
      <c r="I1060" s="10" t="n">
        <v>415</v>
      </c>
      <c r="J1060" s="10" t="n">
        <v>1.8222</v>
      </c>
      <c r="K1060" s="10" t="inlineStr">
        <is>
          <t>&gt; Perfumería &gt; Cuidado Capilar &gt; Acondicionador &gt;</t>
        </is>
      </c>
      <c r="L1060" s="10" t="inlineStr">
        <is>
          <t>acondicionador</t>
        </is>
      </c>
      <c r="M1060" s="10" t="inlineStr">
        <is>
          <t>estandar</t>
        </is>
      </c>
      <c r="N1060" s="10" t="inlineStr">
        <is>
          <t>general</t>
        </is>
      </c>
      <c r="O1060" s="10" t="inlineStr">
        <is>
          <t>https://www.disco.com.ar/tio-nacho-acondicionador-aclarante-415-ml/p</t>
        </is>
      </c>
    </row>
    <row r="1061">
      <c r="A1061" t="inlineStr">
        <is>
          <t>Disco</t>
        </is>
      </c>
      <c r="B1061" t="n">
        <v>44187</v>
      </c>
      <c r="C1061" t="n">
        <v>41358</v>
      </c>
      <c r="D1061" t="inlineStr">
        <is>
          <t>Acondicionador Life Quality Algas 950 Ml</t>
        </is>
      </c>
      <c r="E1061" t="inlineStr">
        <is>
          <t>LIFE QUALITY</t>
        </is>
      </c>
      <c r="F1061" t="n">
        <v>1150</v>
      </c>
      <c r="G1061" t="n">
        <v>95041</v>
      </c>
      <c r="H1061" t="b">
        <v>0</v>
      </c>
      <c r="I1061" t="n">
        <v>950</v>
      </c>
      <c r="J1061" t="n">
        <v>1.2105</v>
      </c>
      <c r="K1061" t="inlineStr">
        <is>
          <t>&gt; Perfumería &gt; Cuidado Capilar &gt; Acondicionador &gt;</t>
        </is>
      </c>
      <c r="L1061" t="inlineStr">
        <is>
          <t>acondicionador</t>
        </is>
      </c>
      <c r="M1061" t="inlineStr">
        <is>
          <t>estandar</t>
        </is>
      </c>
      <c r="N1061" t="inlineStr">
        <is>
          <t>general</t>
        </is>
      </c>
      <c r="O1061" t="inlineStr">
        <is>
          <t>https://www.disco.com.ar/acondicionador-life-quality-algas-950-ml/p</t>
        </is>
      </c>
    </row>
    <row r="1062">
      <c r="A1062" s="10" t="inlineStr">
        <is>
          <t>Disco</t>
        </is>
      </c>
      <c r="B1062" s="10" t="n">
        <v>44127</v>
      </c>
      <c r="C1062" s="10" t="n">
        <v>41298</v>
      </c>
      <c r="D1062" s="10" t="inlineStr">
        <is>
          <t>Acondicionador Dove-óleo Nutrición-pmo-ml.-236</t>
        </is>
      </c>
      <c r="E1062" s="10" t="inlineStr">
        <is>
          <t>DOVE</t>
        </is>
      </c>
      <c r="F1062" s="10" t="n">
        <v>60.73</v>
      </c>
      <c r="G1062" s="10" t="n">
        <v>5019</v>
      </c>
      <c r="H1062" s="10" t="b">
        <v>0</v>
      </c>
      <c r="I1062" s="10" t="inlineStr"/>
      <c r="J1062" s="10" t="inlineStr"/>
      <c r="K1062" s="10" t="inlineStr">
        <is>
          <t>&gt; Perfumería &gt; Cuidado Capilar &gt; Acondicionador &gt;</t>
        </is>
      </c>
      <c r="L1062" s="10" t="inlineStr">
        <is>
          <t>acondicionador</t>
        </is>
      </c>
      <c r="M1062" s="10" t="inlineStr">
        <is>
          <t>estandar</t>
        </is>
      </c>
      <c r="N1062" s="10" t="inlineStr">
        <is>
          <t>general</t>
        </is>
      </c>
      <c r="O1062" s="10" t="inlineStr">
        <is>
          <t>https://www.disco.com.ar/acondicionador-dove-oleo-nutricion-pmo-ml-236/p</t>
        </is>
      </c>
    </row>
    <row r="1063">
      <c r="A1063" t="inlineStr">
        <is>
          <t>Disco</t>
        </is>
      </c>
      <c r="B1063" t="n">
        <v>43472</v>
      </c>
      <c r="C1063" t="n">
        <v>40643</v>
      </c>
      <c r="D1063" t="inlineStr">
        <is>
          <t>Acondicionador Dove Post Alisado 400 Ml</t>
        </is>
      </c>
      <c r="E1063" t="inlineStr">
        <is>
          <t>DOVE</t>
        </is>
      </c>
      <c r="F1063" t="n">
        <v>84.89</v>
      </c>
      <c r="G1063" t="n">
        <v>7016</v>
      </c>
      <c r="H1063" t="b">
        <v>0</v>
      </c>
      <c r="I1063" t="n">
        <v>400</v>
      </c>
      <c r="J1063" t="n">
        <v>0.2122</v>
      </c>
      <c r="K1063" t="inlineStr">
        <is>
          <t>&gt; Perfumería &gt; Cuidado Capilar &gt; Acondicionador &gt;</t>
        </is>
      </c>
      <c r="L1063" t="inlineStr">
        <is>
          <t>acondicionador</t>
        </is>
      </c>
      <c r="M1063" t="inlineStr">
        <is>
          <t>estandar</t>
        </is>
      </c>
      <c r="N1063" t="inlineStr">
        <is>
          <t>tratado</t>
        </is>
      </c>
      <c r="O1063" t="inlineStr">
        <is>
          <t>https://www.disco.com.ar/acondicionador-dove-post-alisado-400-ml/p</t>
        </is>
      </c>
    </row>
    <row r="1064">
      <c r="A1064" s="10" t="inlineStr">
        <is>
          <t>Disco</t>
        </is>
      </c>
      <c r="B1064" s="10" t="n">
        <v>42973</v>
      </c>
      <c r="C1064" s="10" t="n">
        <v>40144</v>
      </c>
      <c r="D1064" s="10" t="inlineStr">
        <is>
          <t>Acondicionador Pantene Reparación Rejuvenecedora 400 Ml</t>
        </is>
      </c>
      <c r="E1064" s="10" t="inlineStr">
        <is>
          <t>PANTENE</t>
        </is>
      </c>
      <c r="F1064" s="10" t="n">
        <v>315.75</v>
      </c>
      <c r="G1064" s="10" t="n">
        <v>26095</v>
      </c>
      <c r="H1064" s="10" t="b">
        <v>0</v>
      </c>
      <c r="I1064" s="10" t="n">
        <v>400</v>
      </c>
      <c r="J1064" s="10" t="n">
        <v>0.7894</v>
      </c>
      <c r="K1064" s="10" t="inlineStr">
        <is>
          <t>&gt; Perfumería &gt; Cuidado Capilar &gt; Acondicionador &gt;</t>
        </is>
      </c>
      <c r="L1064" s="10" t="inlineStr">
        <is>
          <t>acondicionador</t>
        </is>
      </c>
      <c r="M1064" s="10" t="inlineStr">
        <is>
          <t>estandar</t>
        </is>
      </c>
      <c r="N1064" s="10" t="inlineStr">
        <is>
          <t>general</t>
        </is>
      </c>
      <c r="O1064" s="10" t="inlineStr">
        <is>
          <t>https://www.disco.com.ar/acondicionador-pantene-reparacion-rejuvenecedora-400-ml/p</t>
        </is>
      </c>
    </row>
    <row r="1065">
      <c r="A1065" t="inlineStr">
        <is>
          <t>Disco</t>
        </is>
      </c>
      <c r="B1065" t="n">
        <v>42945</v>
      </c>
      <c r="C1065" t="n">
        <v>40116</v>
      </c>
      <c r="D1065" t="inlineStr">
        <is>
          <t>Acondicionador Plusbelle Lacio Cuidado 1 L</t>
        </is>
      </c>
      <c r="E1065" t="inlineStr">
        <is>
          <t>PLUSBELLE</t>
        </is>
      </c>
      <c r="F1065" t="n">
        <v>155.65</v>
      </c>
      <c r="G1065" t="n">
        <v>12864</v>
      </c>
      <c r="H1065" t="b">
        <v>0</v>
      </c>
      <c r="I1065" t="n">
        <v>1000</v>
      </c>
      <c r="J1065" t="n">
        <v>0.1557</v>
      </c>
      <c r="K1065" t="inlineStr">
        <is>
          <t>&gt; Perfumería &gt; Cuidado Capilar &gt; Acondicionador &gt;</t>
        </is>
      </c>
      <c r="L1065" t="inlineStr">
        <is>
          <t>acondicionador</t>
        </is>
      </c>
      <c r="M1065" t="inlineStr">
        <is>
          <t>estandar</t>
        </is>
      </c>
      <c r="N1065" t="inlineStr">
        <is>
          <t>tratado</t>
        </is>
      </c>
      <c r="O1065" t="inlineStr">
        <is>
          <t>https://www.disco.com.ar/acondicionador-plusbelle-lacio-cuidado-1-l/p</t>
        </is>
      </c>
    </row>
    <row r="1066">
      <c r="A1066" s="10" t="inlineStr">
        <is>
          <t>Disco</t>
        </is>
      </c>
      <c r="B1066" s="10" t="n">
        <v>42747</v>
      </c>
      <c r="C1066" s="10" t="n">
        <v>39918</v>
      </c>
      <c r="D1066" s="10" t="inlineStr">
        <is>
          <t>Acondicionador Suave Manzana Verde 930 Ml</t>
        </is>
      </c>
      <c r="E1066" s="10" t="inlineStr">
        <is>
          <t>SUAVE</t>
        </is>
      </c>
      <c r="F1066" s="10" t="n">
        <v>103.84</v>
      </c>
      <c r="G1066" s="10" t="n">
        <v>8582</v>
      </c>
      <c r="H1066" s="10" t="b">
        <v>0</v>
      </c>
      <c r="I1066" s="10" t="n">
        <v>930</v>
      </c>
      <c r="J1066" s="10" t="n">
        <v>0.1117</v>
      </c>
      <c r="K1066" s="10" t="inlineStr">
        <is>
          <t>&gt; Perfumería &gt; Cuidado Capilar &gt; Acondicionador &gt;</t>
        </is>
      </c>
      <c r="L1066" s="10" t="inlineStr">
        <is>
          <t>acondicionador</t>
        </is>
      </c>
      <c r="M1066" s="10" t="inlineStr">
        <is>
          <t>estandar</t>
        </is>
      </c>
      <c r="N1066" s="10" t="inlineStr">
        <is>
          <t>bebe</t>
        </is>
      </c>
      <c r="O1066" s="10" t="inlineStr">
        <is>
          <t>https://www.disco.com.ar/acondicionador-suave-manzana-verde-930-ml/p</t>
        </is>
      </c>
    </row>
    <row r="1067">
      <c r="A1067" t="inlineStr">
        <is>
          <t>Disco</t>
        </is>
      </c>
      <c r="B1067" t="n">
        <v>42517</v>
      </c>
      <c r="C1067" t="n">
        <v>39687</v>
      </c>
      <c r="D1067" t="inlineStr">
        <is>
          <t>Acondicionador Pantene Reparación Rejuvenecedora 750 Ml</t>
        </is>
      </c>
      <c r="E1067" t="inlineStr">
        <is>
          <t>PANTENE</t>
        </is>
      </c>
      <c r="F1067" t="n">
        <v>140.43</v>
      </c>
      <c r="G1067" t="n">
        <v>11606</v>
      </c>
      <c r="H1067" t="b">
        <v>0</v>
      </c>
      <c r="I1067" t="n">
        <v>750</v>
      </c>
      <c r="J1067" t="n">
        <v>0.1872</v>
      </c>
      <c r="K1067" t="inlineStr">
        <is>
          <t>&gt; Perfumería &gt; Cuidado Capilar &gt; Acondicionador &gt;</t>
        </is>
      </c>
      <c r="L1067" t="inlineStr">
        <is>
          <t>acondicionador</t>
        </is>
      </c>
      <c r="M1067" t="inlineStr">
        <is>
          <t>estandar</t>
        </is>
      </c>
      <c r="N1067" t="inlineStr">
        <is>
          <t>general</t>
        </is>
      </c>
      <c r="O1067" t="inlineStr">
        <is>
          <t>https://www.disco.com.ar/acondicionador-pantene-reparacion-rejuvenecedora-750-ml/p</t>
        </is>
      </c>
    </row>
    <row r="1068">
      <c r="A1068" s="10" t="inlineStr">
        <is>
          <t>Disco</t>
        </is>
      </c>
      <c r="B1068" s="10" t="n">
        <v>41679</v>
      </c>
      <c r="C1068" s="10" t="n">
        <v>38844</v>
      </c>
      <c r="D1068" s="10" t="inlineStr">
        <is>
          <t>Acondicionador Babelito Brillo Y Suavidad X400</t>
        </is>
      </c>
      <c r="E1068" s="10" t="inlineStr">
        <is>
          <t>BABELITO</t>
        </is>
      </c>
      <c r="F1068" s="10" t="n">
        <v>90.53</v>
      </c>
      <c r="G1068" s="10" t="n">
        <v>90.53</v>
      </c>
      <c r="H1068" s="10" t="b">
        <v>0</v>
      </c>
      <c r="I1068" s="10" t="inlineStr"/>
      <c r="J1068" s="10" t="inlineStr"/>
      <c r="K1068" s="10" t="inlineStr">
        <is>
          <t>&gt; Mundo Bebe &gt; Higiene para el Bebe &gt; Higiene del Bebé &gt;</t>
        </is>
      </c>
      <c r="L1068" s="10" t="inlineStr">
        <is>
          <t>acondicionador</t>
        </is>
      </c>
      <c r="M1068" s="10" t="inlineStr">
        <is>
          <t>estandar</t>
        </is>
      </c>
      <c r="N1068" s="10" t="inlineStr">
        <is>
          <t>general</t>
        </is>
      </c>
      <c r="O1068" s="10" t="inlineStr">
        <is>
          <t>https://www.disco.com.ar/acondicionador-babelito-brillo-y-suavidad-x400/p</t>
        </is>
      </c>
    </row>
    <row r="1069">
      <c r="A1069" t="inlineStr">
        <is>
          <t>Disco</t>
        </is>
      </c>
      <c r="B1069" t="n">
        <v>40920</v>
      </c>
      <c r="C1069" t="n">
        <v>38085</v>
      </c>
      <c r="D1069" t="inlineStr">
        <is>
          <t>Tío Nacho Acondicionador Engrosador 200 Ml</t>
        </is>
      </c>
      <c r="E1069" t="inlineStr">
        <is>
          <t>Tio Nacho</t>
        </is>
      </c>
      <c r="F1069" t="n">
        <v>489.19</v>
      </c>
      <c r="G1069" t="n">
        <v>40429</v>
      </c>
      <c r="H1069" t="b">
        <v>0</v>
      </c>
      <c r="I1069" t="n">
        <v>200</v>
      </c>
      <c r="J1069" t="n">
        <v>2.4459</v>
      </c>
      <c r="K1069" t="inlineStr">
        <is>
          <t>&gt; Perfumería &gt; Cuidado Capilar &gt; Acondicionador &gt;</t>
        </is>
      </c>
      <c r="L1069" t="inlineStr">
        <is>
          <t>acondicionador</t>
        </is>
      </c>
      <c r="M1069" t="inlineStr">
        <is>
          <t>estandar</t>
        </is>
      </c>
      <c r="N1069" t="inlineStr">
        <is>
          <t>general</t>
        </is>
      </c>
      <c r="O1069" t="inlineStr">
        <is>
          <t>https://www.disco.com.ar/tio-nacho-acondicionador-engrosador-200-ml/p</t>
        </is>
      </c>
    </row>
    <row r="1070">
      <c r="A1070" s="10" t="inlineStr">
        <is>
          <t>Disco</t>
        </is>
      </c>
      <c r="B1070" s="10" t="n">
        <v>36176</v>
      </c>
      <c r="C1070" s="10" t="n">
        <v>33335</v>
      </c>
      <c r="D1070" s="10" t="inlineStr">
        <is>
          <t>Acondicionador Capilatis Cabellos Secos 420 Ml</t>
        </is>
      </c>
      <c r="E1070" s="10" t="inlineStr">
        <is>
          <t>CAPILATIS</t>
        </is>
      </c>
      <c r="F1070" s="10" t="n">
        <v>323.17</v>
      </c>
      <c r="G1070" s="10" t="n">
        <v>26708</v>
      </c>
      <c r="H1070" s="10" t="b">
        <v>0</v>
      </c>
      <c r="I1070" s="10" t="n">
        <v>420</v>
      </c>
      <c r="J1070" s="10" t="n">
        <v>0.7695</v>
      </c>
      <c r="K1070" s="10" t="inlineStr">
        <is>
          <t>&gt; Perfumería &gt; Cuidado Capilar &gt; Acondicionador &gt;</t>
        </is>
      </c>
      <c r="L1070" s="10" t="inlineStr">
        <is>
          <t>acondicionador</t>
        </is>
      </c>
      <c r="M1070" s="10" t="inlineStr">
        <is>
          <t>estandar</t>
        </is>
      </c>
      <c r="N1070" s="10" t="inlineStr">
        <is>
          <t>seco_danado</t>
        </is>
      </c>
      <c r="O1070" s="10" t="inlineStr">
        <is>
          <t>https://www.disco.com.ar/acondicionador-capilatis-cabellos-secos-420-ml/p</t>
        </is>
      </c>
    </row>
    <row r="1071">
      <c r="A1071" t="inlineStr">
        <is>
          <t>Disco</t>
        </is>
      </c>
      <c r="B1071" t="n">
        <v>36174</v>
      </c>
      <c r="C1071" t="n">
        <v>33333</v>
      </c>
      <c r="D1071" t="inlineStr">
        <is>
          <t>Acondicionador Capilatis Cabellos Dañados 420 Ml</t>
        </is>
      </c>
      <c r="E1071" t="inlineStr">
        <is>
          <t>CAPILATIS</t>
        </is>
      </c>
      <c r="F1071" t="n">
        <v>323.17</v>
      </c>
      <c r="G1071" t="n">
        <v>26708</v>
      </c>
      <c r="H1071" t="b">
        <v>0</v>
      </c>
      <c r="I1071" t="n">
        <v>420</v>
      </c>
      <c r="J1071" t="n">
        <v>0.7695</v>
      </c>
      <c r="K1071" t="inlineStr">
        <is>
          <t>&gt; Perfumería &gt; Cuidado Capilar &gt; Acondicionador &gt;</t>
        </is>
      </c>
      <c r="L1071" t="inlineStr">
        <is>
          <t>acondicionador</t>
        </is>
      </c>
      <c r="M1071" t="inlineStr">
        <is>
          <t>estandar</t>
        </is>
      </c>
      <c r="N1071" t="inlineStr">
        <is>
          <t>seco_danado</t>
        </is>
      </c>
      <c r="O1071" t="inlineStr">
        <is>
          <t>https://www.disco.com.ar/crema-de-enjuague-capilatis-8/p</t>
        </is>
      </c>
    </row>
    <row r="1072">
      <c r="A1072" s="10" t="inlineStr">
        <is>
          <t>Disco</t>
        </is>
      </c>
      <c r="B1072" s="10" t="n">
        <v>34490</v>
      </c>
      <c r="C1072" s="10" t="n">
        <v>31649</v>
      </c>
      <c r="D1072" s="10" t="inlineStr">
        <is>
          <t>Acondicionador Herbal Essences Enciéndete 300 Ml</t>
        </is>
      </c>
      <c r="E1072" s="10" t="inlineStr">
        <is>
          <t>HERBAL ESSENCES</t>
        </is>
      </c>
      <c r="F1072" s="10" t="n">
        <v>157.69</v>
      </c>
      <c r="G1072" s="10" t="n">
        <v>13032</v>
      </c>
      <c r="H1072" s="10" t="b">
        <v>0</v>
      </c>
      <c r="I1072" s="10" t="n">
        <v>300</v>
      </c>
      <c r="J1072" s="10" t="n">
        <v>0.5256</v>
      </c>
      <c r="K1072" s="10" t="inlineStr">
        <is>
          <t>&gt; Perfumería &gt; Cuidado Capilar &gt; Acondicionador &gt;</t>
        </is>
      </c>
      <c r="L1072" s="10" t="inlineStr">
        <is>
          <t>acondicionador</t>
        </is>
      </c>
      <c r="M1072" s="10" t="inlineStr">
        <is>
          <t>estandar</t>
        </is>
      </c>
      <c r="N1072" s="10" t="inlineStr">
        <is>
          <t>general</t>
        </is>
      </c>
      <c r="O1072" s="10" t="inlineStr">
        <is>
          <t>https://www.disco.com.ar/acondicionador-herbal-essences-3/p</t>
        </is>
      </c>
    </row>
    <row r="1073">
      <c r="A1073" t="inlineStr">
        <is>
          <t>Disco</t>
        </is>
      </c>
      <c r="B1073" t="n">
        <v>32078</v>
      </c>
      <c r="C1073" t="n">
        <v>29237</v>
      </c>
      <c r="D1073" t="inlineStr">
        <is>
          <t>Acondicionador Tresemme Rizos Perfectos 400 Ml</t>
        </is>
      </c>
      <c r="E1073" t="inlineStr">
        <is>
          <t>TRESEMMÉ</t>
        </is>
      </c>
      <c r="F1073" t="n">
        <v>77.69</v>
      </c>
      <c r="G1073" t="n">
        <v>6421</v>
      </c>
      <c r="H1073" t="b">
        <v>0</v>
      </c>
      <c r="I1073" t="n">
        <v>400</v>
      </c>
      <c r="J1073" t="n">
        <v>0.1942</v>
      </c>
      <c r="K1073" t="inlineStr">
        <is>
          <t>&gt; Perfumería &gt; Cuidado Capilar &gt; Acondicionador &gt;</t>
        </is>
      </c>
      <c r="L1073" t="inlineStr">
        <is>
          <t>acondicionador</t>
        </is>
      </c>
      <c r="M1073" t="inlineStr">
        <is>
          <t>estandar</t>
        </is>
      </c>
      <c r="N1073" t="inlineStr">
        <is>
          <t>rizado</t>
        </is>
      </c>
      <c r="O1073" t="inlineStr">
        <is>
          <t>https://www.disco.com.ar/acondicionador-tresemme-20/p</t>
        </is>
      </c>
    </row>
    <row r="1074">
      <c r="A1074" s="10" t="inlineStr">
        <is>
          <t>Disco</t>
        </is>
      </c>
      <c r="B1074" s="10" t="n">
        <v>31925</v>
      </c>
      <c r="C1074" s="10" t="n">
        <v>29084</v>
      </c>
      <c r="D1074" s="10" t="inlineStr">
        <is>
          <t>Acondicionador Tresemme Control Caída 750 Ml</t>
        </is>
      </c>
      <c r="E1074" s="10" t="inlineStr">
        <is>
          <t>TRESEMMÉ</t>
        </is>
      </c>
      <c r="F1074" s="10" t="n">
        <v>131.35</v>
      </c>
      <c r="G1074" s="10" t="n">
        <v>10855</v>
      </c>
      <c r="H1074" s="10" t="b">
        <v>0</v>
      </c>
      <c r="I1074" s="10" t="n">
        <v>750</v>
      </c>
      <c r="J1074" s="10" t="n">
        <v>0.1751</v>
      </c>
      <c r="K1074" s="10" t="inlineStr">
        <is>
          <t>&gt; Perfumería &gt; Cuidado Capilar &gt; Acondicionador &gt;</t>
        </is>
      </c>
      <c r="L1074" s="10" t="inlineStr">
        <is>
          <t>acondicionador</t>
        </is>
      </c>
      <c r="M1074" s="10" t="inlineStr">
        <is>
          <t>estandar</t>
        </is>
      </c>
      <c r="N1074" s="10" t="inlineStr">
        <is>
          <t>general</t>
        </is>
      </c>
      <c r="O1074" s="10" t="inlineStr">
        <is>
          <t>https://www.disco.com.ar/acondicionador-tresemme-14/p</t>
        </is>
      </c>
    </row>
    <row r="1075">
      <c r="A1075" t="inlineStr">
        <is>
          <t>Disco</t>
        </is>
      </c>
      <c r="B1075" t="n">
        <v>31654</v>
      </c>
      <c r="C1075" t="n">
        <v>28813</v>
      </c>
      <c r="D1075" t="inlineStr">
        <is>
          <t>Acondicionador Elvive Rep Total 5 750ml</t>
        </is>
      </c>
      <c r="E1075" t="inlineStr">
        <is>
          <t>ELVIVE</t>
        </is>
      </c>
      <c r="F1075" t="n">
        <v>795.59</v>
      </c>
      <c r="G1075" t="n">
        <v>65751</v>
      </c>
      <c r="H1075" t="b">
        <v>0</v>
      </c>
      <c r="I1075" t="n">
        <v>750</v>
      </c>
      <c r="J1075" t="n">
        <v>1.0608</v>
      </c>
      <c r="K1075" t="inlineStr">
        <is>
          <t>&gt; Perfumería &gt; Cuidado Capilar &gt; Acondicionador &gt;</t>
        </is>
      </c>
      <c r="L1075" t="inlineStr">
        <is>
          <t>acondicionador</t>
        </is>
      </c>
      <c r="M1075" t="inlineStr">
        <is>
          <t>profesional</t>
        </is>
      </c>
      <c r="N1075" t="inlineStr">
        <is>
          <t>general</t>
        </is>
      </c>
      <c r="O1075" t="inlineStr">
        <is>
          <t>https://www.disco.com.ar/acondicionador-elvive-rep-total-5-750ml/p</t>
        </is>
      </c>
    </row>
    <row r="1076">
      <c r="A1076" s="10" t="inlineStr">
        <is>
          <t>Disco</t>
        </is>
      </c>
      <c r="B1076" s="10" t="n">
        <v>28012</v>
      </c>
      <c r="C1076" s="10" t="n">
        <v>25171</v>
      </c>
      <c r="D1076" s="10" t="inlineStr">
        <is>
          <t>Acondicionador Plusbelle Brillo Sublime 650 Ml</t>
        </is>
      </c>
      <c r="E1076" s="10" t="inlineStr">
        <is>
          <t>PLUSBELLE</t>
        </is>
      </c>
      <c r="F1076" s="10" t="n">
        <v>76.34999999999999</v>
      </c>
      <c r="G1076" s="10" t="n">
        <v>6310</v>
      </c>
      <c r="H1076" s="10" t="b">
        <v>0</v>
      </c>
      <c r="I1076" s="10" t="n">
        <v>650</v>
      </c>
      <c r="J1076" s="10" t="n">
        <v>0.1175</v>
      </c>
      <c r="K1076" s="10" t="inlineStr">
        <is>
          <t>&gt; Perfumería &gt; Cuidado Capilar &gt; Acondicionador &gt;</t>
        </is>
      </c>
      <c r="L1076" s="10" t="inlineStr">
        <is>
          <t>acondicionador</t>
        </is>
      </c>
      <c r="M1076" s="10" t="inlineStr">
        <is>
          <t>estandar</t>
        </is>
      </c>
      <c r="N1076" s="10" t="inlineStr">
        <is>
          <t>general</t>
        </is>
      </c>
      <c r="O1076" s="10" t="inlineStr">
        <is>
          <t>https://www.disco.com.ar/acondicionador-plusbelle-brillo-sublime-650-ml/p</t>
        </is>
      </c>
    </row>
    <row r="1077">
      <c r="A1077" t="inlineStr">
        <is>
          <t>Disco</t>
        </is>
      </c>
      <c r="B1077" t="n">
        <v>28008</v>
      </c>
      <c r="C1077" t="n">
        <v>25167</v>
      </c>
      <c r="D1077" t="inlineStr">
        <is>
          <t>Acondicionador Plusbelle Blindaje Capilar 650 Ml</t>
        </is>
      </c>
      <c r="E1077" t="inlineStr">
        <is>
          <t>PLUSBELLE</t>
        </is>
      </c>
      <c r="F1077" t="n">
        <v>155.25</v>
      </c>
      <c r="G1077" t="n">
        <v>12831</v>
      </c>
      <c r="H1077" t="b">
        <v>0</v>
      </c>
      <c r="I1077" t="n">
        <v>650</v>
      </c>
      <c r="J1077" t="n">
        <v>0.2388</v>
      </c>
      <c r="K1077" t="inlineStr">
        <is>
          <t>&gt; Perfumería &gt; Cuidado Capilar &gt; Acondicionador &gt;</t>
        </is>
      </c>
      <c r="L1077" t="inlineStr">
        <is>
          <t>acondicionador</t>
        </is>
      </c>
      <c r="M1077" t="inlineStr">
        <is>
          <t>estandar</t>
        </is>
      </c>
      <c r="N1077" t="inlineStr">
        <is>
          <t>general</t>
        </is>
      </c>
      <c r="O1077" t="inlineStr">
        <is>
          <t>https://www.disco.com.ar/acondicionador-plusbelle-blindaje-capilar-650-ml/p</t>
        </is>
      </c>
    </row>
    <row r="1078">
      <c r="A1078" s="10" t="inlineStr">
        <is>
          <t>Disco</t>
        </is>
      </c>
      <c r="B1078" s="10" t="n">
        <v>23245</v>
      </c>
      <c r="C1078" s="10" t="n">
        <v>20407</v>
      </c>
      <c r="D1078" s="10" t="inlineStr">
        <is>
          <t>Acondicionador Capilatis Anti Age 400 Ml</t>
        </is>
      </c>
      <c r="E1078" s="10" t="inlineStr">
        <is>
          <t>CAPILATIS</t>
        </is>
      </c>
      <c r="F1078" s="10" t="n">
        <v>323.17</v>
      </c>
      <c r="G1078" s="10" t="n">
        <v>26708</v>
      </c>
      <c r="H1078" s="10" t="b">
        <v>0</v>
      </c>
      <c r="I1078" s="10" t="n">
        <v>400</v>
      </c>
      <c r="J1078" s="10" t="n">
        <v>0.8079</v>
      </c>
      <c r="K1078" s="10" t="inlineStr">
        <is>
          <t>&gt; Perfumería &gt; Cuidado Capilar &gt; Acondicionador &gt;</t>
        </is>
      </c>
      <c r="L1078" s="10" t="inlineStr">
        <is>
          <t>acondicionador</t>
        </is>
      </c>
      <c r="M1078" s="10" t="inlineStr">
        <is>
          <t>estandar</t>
        </is>
      </c>
      <c r="N1078" s="10" t="inlineStr">
        <is>
          <t>general</t>
        </is>
      </c>
      <c r="O1078" s="10" t="inlineStr">
        <is>
          <t>https://www.disco.com.ar/acondicionador-capilatis-anti-age-400-ml/p</t>
        </is>
      </c>
    </row>
    <row r="1079">
      <c r="A1079" t="inlineStr">
        <is>
          <t>Disco</t>
        </is>
      </c>
      <c r="B1079" t="n">
        <v>22542</v>
      </c>
      <c r="C1079" t="n">
        <v>19704</v>
      </c>
      <c r="D1079" t="inlineStr">
        <is>
          <t>Acondicionador Sedal Rubio Pvc 350 Ml</t>
        </is>
      </c>
      <c r="E1079" t="inlineStr">
        <is>
          <t>SEDAL</t>
        </is>
      </c>
      <c r="F1079" t="n">
        <v>8.35</v>
      </c>
      <c r="G1079" t="n">
        <v>8.35</v>
      </c>
      <c r="H1079" t="b">
        <v>0</v>
      </c>
      <c r="I1079" t="n">
        <v>350</v>
      </c>
      <c r="J1079" t="n">
        <v>0.0239</v>
      </c>
      <c r="K1079" t="inlineStr">
        <is>
          <t>&gt; Perfumería &gt; Cuidado Capilar &gt; Acondicionador &gt;</t>
        </is>
      </c>
      <c r="L1079" t="inlineStr">
        <is>
          <t>acondicionador</t>
        </is>
      </c>
      <c r="M1079" t="inlineStr">
        <is>
          <t>estandar</t>
        </is>
      </c>
      <c r="N1079" t="inlineStr">
        <is>
          <t>general</t>
        </is>
      </c>
      <c r="O1079" t="inlineStr">
        <is>
          <t>https://www.disco.com.ar/acondicionador-sedal-17/p</t>
        </is>
      </c>
    </row>
    <row r="1080">
      <c r="A1080" s="10" t="inlineStr">
        <is>
          <t>Disco</t>
        </is>
      </c>
      <c r="B1080" s="10" t="n">
        <v>20033</v>
      </c>
      <c r="C1080" s="10" t="n">
        <v>17204</v>
      </c>
      <c r="D1080" s="10" t="inlineStr">
        <is>
          <t>Dove Acondicionador Botella Control Caida 200ml Acondicionador Dove Control Caída 200 Ml</t>
        </is>
      </c>
      <c r="E1080" s="10" t="inlineStr">
        <is>
          <t>DOVE</t>
        </is>
      </c>
      <c r="F1080" s="10" t="n">
        <v>108.53</v>
      </c>
      <c r="G1080" s="10" t="n">
        <v>8969</v>
      </c>
      <c r="H1080" s="10" t="b">
        <v>0</v>
      </c>
      <c r="I1080" s="10" t="n">
        <v>200</v>
      </c>
      <c r="J1080" s="10" t="n">
        <v>0.5426</v>
      </c>
      <c r="K1080" s="10" t="inlineStr">
        <is>
          <t>&gt; Perfumería &gt; Cuidado Capilar &gt; Acondicionador &gt;</t>
        </is>
      </c>
      <c r="L1080" s="10" t="inlineStr">
        <is>
          <t>acondicionador</t>
        </is>
      </c>
      <c r="M1080" s="10" t="inlineStr">
        <is>
          <t>estandar</t>
        </is>
      </c>
      <c r="N1080" s="10" t="inlineStr">
        <is>
          <t>general</t>
        </is>
      </c>
      <c r="O1080" s="10" t="inlineStr">
        <is>
          <t>https://www.disco.com.ar/dove-acondicionador-botella-control-caida-200ml/p</t>
        </is>
      </c>
    </row>
    <row r="1081">
      <c r="A1081" t="inlineStr">
        <is>
          <t>Disco</t>
        </is>
      </c>
      <c r="B1081" t="n">
        <v>20025</v>
      </c>
      <c r="C1081" t="n">
        <v>17196</v>
      </c>
      <c r="D1081" t="inlineStr">
        <is>
          <t>Acondicionador Dove Control Caída 750 Ml</t>
        </is>
      </c>
      <c r="E1081" t="inlineStr">
        <is>
          <t>DOVE</t>
        </is>
      </c>
      <c r="F1081" t="n">
        <v>96.59</v>
      </c>
      <c r="G1081" t="n">
        <v>7983</v>
      </c>
      <c r="H1081" t="b">
        <v>0</v>
      </c>
      <c r="I1081" t="n">
        <v>750</v>
      </c>
      <c r="J1081" t="n">
        <v>0.1288</v>
      </c>
      <c r="K1081" t="inlineStr">
        <is>
          <t>&gt; Perfumería &gt; Cuidado Capilar &gt; Acondicionador &gt;</t>
        </is>
      </c>
      <c r="L1081" t="inlineStr">
        <is>
          <t>acondicionador</t>
        </is>
      </c>
      <c r="M1081" t="inlineStr">
        <is>
          <t>estandar</t>
        </is>
      </c>
      <c r="N1081" t="inlineStr">
        <is>
          <t>general</t>
        </is>
      </c>
      <c r="O1081" t="inlineStr">
        <is>
          <t>https://www.disco.com.ar/acondicionador-dove-control-caida-750-ml/p</t>
        </is>
      </c>
    </row>
    <row r="1082">
      <c r="A1082" s="10" t="inlineStr">
        <is>
          <t>Disco</t>
        </is>
      </c>
      <c r="B1082" s="10" t="n">
        <v>20023</v>
      </c>
      <c r="C1082" s="10" t="n">
        <v>17194</v>
      </c>
      <c r="D1082" s="10" t="inlineStr">
        <is>
          <t>Acondicionador Dove Oleo Nutrición 400 Ml</t>
        </is>
      </c>
      <c r="E1082" s="10" t="inlineStr">
        <is>
          <t>DOVE</t>
        </is>
      </c>
      <c r="F1082" s="10" t="n">
        <v>171.99</v>
      </c>
      <c r="G1082" s="10" t="n">
        <v>14214</v>
      </c>
      <c r="H1082" s="10" t="b">
        <v>0</v>
      </c>
      <c r="I1082" s="10" t="n">
        <v>400</v>
      </c>
      <c r="J1082" s="10" t="n">
        <v>0.43</v>
      </c>
      <c r="K1082" s="10" t="inlineStr">
        <is>
          <t>&gt; Perfumería &gt; Cuidado Capilar &gt; Acondicionador &gt;</t>
        </is>
      </c>
      <c r="L1082" s="10" t="inlineStr">
        <is>
          <t>acondicionador</t>
        </is>
      </c>
      <c r="M1082" s="10" t="inlineStr">
        <is>
          <t>estandar</t>
        </is>
      </c>
      <c r="N1082" s="10" t="inlineStr">
        <is>
          <t>general</t>
        </is>
      </c>
      <c r="O1082" s="10" t="inlineStr">
        <is>
          <t>https://www.disco.com.ar/acondicionador-dove-oleo-nutricion-400-ml/p</t>
        </is>
      </c>
    </row>
    <row r="1083">
      <c r="A1083" t="inlineStr">
        <is>
          <t>Disco</t>
        </is>
      </c>
      <c r="B1083" t="n">
        <v>20018</v>
      </c>
      <c r="C1083" t="n">
        <v>17189</v>
      </c>
      <c r="D1083" t="inlineStr">
        <is>
          <t>Dove Acondicionador Botella Reconstrucción Completa 200ml Acondicionador Dove Reconstrucción Completa 200 Ml</t>
        </is>
      </c>
      <c r="E1083" t="inlineStr">
        <is>
          <t>DOVE</t>
        </is>
      </c>
      <c r="F1083" t="n">
        <v>108.53</v>
      </c>
      <c r="G1083" t="n">
        <v>8969</v>
      </c>
      <c r="H1083" t="b">
        <v>0</v>
      </c>
      <c r="I1083" t="n">
        <v>200</v>
      </c>
      <c r="J1083" t="n">
        <v>0.5426</v>
      </c>
      <c r="K1083" t="inlineStr">
        <is>
          <t>&gt; Perfumería &gt; Cuidado Capilar &gt; Acondicionador &gt;</t>
        </is>
      </c>
      <c r="L1083" t="inlineStr">
        <is>
          <t>acondicionador</t>
        </is>
      </c>
      <c r="M1083" t="inlineStr">
        <is>
          <t>estandar</t>
        </is>
      </c>
      <c r="N1083" t="inlineStr">
        <is>
          <t>general</t>
        </is>
      </c>
      <c r="O1083" t="inlineStr">
        <is>
          <t>https://www.disco.com.ar/dove-acondicionador-botella-reconstruccion-completa-200ml/p</t>
        </is>
      </c>
    </row>
    <row r="1084">
      <c r="A1084" s="10" t="inlineStr">
        <is>
          <t>Disco</t>
        </is>
      </c>
      <c r="B1084" s="10" t="n">
        <v>19673</v>
      </c>
      <c r="C1084" s="10" t="n">
        <v>16838</v>
      </c>
      <c r="D1084" s="10" t="inlineStr">
        <is>
          <t>Acondicionador Sedal Bomba De Nutrición 650 Ml</t>
        </is>
      </c>
      <c r="E1084" s="10" t="inlineStr">
        <is>
          <t>SEDAL</t>
        </is>
      </c>
      <c r="F1084" s="10" t="n">
        <v>227.35</v>
      </c>
      <c r="G1084" s="10" t="n">
        <v>18789</v>
      </c>
      <c r="H1084" s="10" t="b">
        <v>0</v>
      </c>
      <c r="I1084" s="10" t="n">
        <v>650</v>
      </c>
      <c r="J1084" s="10" t="n">
        <v>0.3498</v>
      </c>
      <c r="K1084" s="10" t="inlineStr">
        <is>
          <t>&gt; Perfumería &gt; Cuidado Capilar &gt; Acondicionador &gt;</t>
        </is>
      </c>
      <c r="L1084" s="10" t="inlineStr">
        <is>
          <t>acondicionador</t>
        </is>
      </c>
      <c r="M1084" s="10" t="inlineStr">
        <is>
          <t>estandar</t>
        </is>
      </c>
      <c r="N1084" s="10" t="inlineStr">
        <is>
          <t>general</t>
        </is>
      </c>
      <c r="O1084" s="10" t="inlineStr">
        <is>
          <t>https://www.disco.com.ar/acondicionador-sedal-bomba-de-nutricion-650-ml/p</t>
        </is>
      </c>
    </row>
    <row r="1085">
      <c r="A1085" t="inlineStr">
        <is>
          <t>Disco</t>
        </is>
      </c>
      <c r="B1085" t="n">
        <v>19644</v>
      </c>
      <c r="C1085" t="n">
        <v>16806</v>
      </c>
      <c r="D1085" t="inlineStr">
        <is>
          <t>Acondicionador Sedal Restauración Instantánea 190 Ml</t>
        </is>
      </c>
      <c r="E1085" t="inlineStr">
        <is>
          <t>SEDAL</t>
        </is>
      </c>
      <c r="F1085" t="n">
        <v>130.65</v>
      </c>
      <c r="G1085" t="n">
        <v>10798</v>
      </c>
      <c r="H1085" t="b">
        <v>0</v>
      </c>
      <c r="I1085" t="n">
        <v>190</v>
      </c>
      <c r="J1085" t="n">
        <v>0.6876</v>
      </c>
      <c r="K1085" t="inlineStr">
        <is>
          <t>&gt; Perfumería &gt; Cuidado Capilar &gt; Acondicionador &gt;</t>
        </is>
      </c>
      <c r="L1085" t="inlineStr">
        <is>
          <t>acondicionador</t>
        </is>
      </c>
      <c r="M1085" t="inlineStr">
        <is>
          <t>estandar</t>
        </is>
      </c>
      <c r="N1085" t="inlineStr">
        <is>
          <t>general</t>
        </is>
      </c>
      <c r="O1085" t="inlineStr">
        <is>
          <t>https://www.disco.com.ar/acondicionador-sedal-restauracion-instantanea-190-ml/p</t>
        </is>
      </c>
    </row>
    <row r="1086">
      <c r="A1086" s="10" t="inlineStr">
        <is>
          <t>Disco</t>
        </is>
      </c>
      <c r="B1086" s="10" t="n">
        <v>19640</v>
      </c>
      <c r="C1086" s="10" t="n">
        <v>16801</v>
      </c>
      <c r="D1086" s="10" t="inlineStr">
        <is>
          <t>Acondicionador Sedal Crema Balance 190 Ml</t>
        </is>
      </c>
      <c r="E1086" s="10" t="inlineStr">
        <is>
          <t>SEDAL</t>
        </is>
      </c>
      <c r="F1086" s="10" t="n">
        <v>134.55</v>
      </c>
      <c r="G1086" s="10" t="n">
        <v>11120</v>
      </c>
      <c r="H1086" s="10" t="b">
        <v>0</v>
      </c>
      <c r="I1086" s="10" t="n">
        <v>190</v>
      </c>
      <c r="J1086" s="10" t="n">
        <v>0.7082000000000001</v>
      </c>
      <c r="K1086" s="10" t="inlineStr">
        <is>
          <t>&gt; Perfumería &gt; Cuidado Capilar &gt; Acondicionador &gt;</t>
        </is>
      </c>
      <c r="L1086" s="10" t="inlineStr">
        <is>
          <t>acondicionador</t>
        </is>
      </c>
      <c r="M1086" s="10" t="inlineStr">
        <is>
          <t>estandar</t>
        </is>
      </c>
      <c r="N1086" s="10" t="inlineStr">
        <is>
          <t>general</t>
        </is>
      </c>
      <c r="O1086" s="10" t="inlineStr">
        <is>
          <t>https://www.disco.com.ar/acondicionador-sedal-crema-balance-190-ml/p</t>
        </is>
      </c>
    </row>
    <row r="1087">
      <c r="A1087" t="inlineStr">
        <is>
          <t>Disco</t>
        </is>
      </c>
      <c r="B1087" t="n">
        <v>19518</v>
      </c>
      <c r="C1087" t="n">
        <v>16665</v>
      </c>
      <c r="D1087" t="inlineStr">
        <is>
          <t>Acondicionador Tresemme Blind Platinum 200 Ml</t>
        </is>
      </c>
      <c r="E1087" t="inlineStr">
        <is>
          <t>TRESEMMÉ</t>
        </is>
      </c>
      <c r="F1087" t="n">
        <v>123.69</v>
      </c>
      <c r="G1087" t="n">
        <v>10222</v>
      </c>
      <c r="H1087" t="b">
        <v>0</v>
      </c>
      <c r="I1087" t="n">
        <v>200</v>
      </c>
      <c r="J1087" t="n">
        <v>0.6183999999999999</v>
      </c>
      <c r="K1087" t="inlineStr">
        <is>
          <t>&gt; Perfumería &gt; Cuidado Capilar &gt; Acondicionador &gt;</t>
        </is>
      </c>
      <c r="L1087" t="inlineStr">
        <is>
          <t>acondicionador</t>
        </is>
      </c>
      <c r="M1087" t="inlineStr">
        <is>
          <t>estandar</t>
        </is>
      </c>
      <c r="N1087" t="inlineStr">
        <is>
          <t>general</t>
        </is>
      </c>
      <c r="O1087" t="inlineStr">
        <is>
          <t>https://www.disco.com.ar/acondicionador-tresemme-blind-platinum-200-ml/p</t>
        </is>
      </c>
    </row>
    <row r="1088">
      <c r="A1088" s="10" t="inlineStr">
        <is>
          <t>Disco</t>
        </is>
      </c>
      <c r="B1088" s="10" t="n">
        <v>16267</v>
      </c>
      <c r="C1088" s="10" t="n">
        <v>13406</v>
      </c>
      <c r="D1088" s="10" t="inlineStr">
        <is>
          <t>Acondicionador Dove Reconstrucción Completa 750 Ml</t>
        </is>
      </c>
      <c r="E1088" s="10" t="inlineStr">
        <is>
          <t>DOVE</t>
        </is>
      </c>
      <c r="F1088" s="10" t="n">
        <v>266.25</v>
      </c>
      <c r="G1088" s="10" t="n">
        <v>22004</v>
      </c>
      <c r="H1088" s="10" t="b">
        <v>0</v>
      </c>
      <c r="I1088" s="10" t="n">
        <v>750</v>
      </c>
      <c r="J1088" s="10" t="n">
        <v>0.355</v>
      </c>
      <c r="K1088" s="10" t="inlineStr">
        <is>
          <t>&gt; Perfumería &gt; Cuidado Capilar &gt; Acondicionador &gt;</t>
        </is>
      </c>
      <c r="L1088" s="10" t="inlineStr">
        <is>
          <t>acondicionador</t>
        </is>
      </c>
      <c r="M1088" s="10" t="inlineStr">
        <is>
          <t>estandar</t>
        </is>
      </c>
      <c r="N1088" s="10" t="inlineStr">
        <is>
          <t>general</t>
        </is>
      </c>
      <c r="O1088" s="10" t="inlineStr">
        <is>
          <t>https://www.disco.com.ar/acondicionador-dove-reconstruccion-completa-750-ml/p</t>
        </is>
      </c>
    </row>
    <row r="1089">
      <c r="A1089" t="inlineStr">
        <is>
          <t>Disco</t>
        </is>
      </c>
      <c r="B1089" t="n">
        <v>13521</v>
      </c>
      <c r="C1089" t="n">
        <v>10718</v>
      </c>
      <c r="D1089" t="inlineStr">
        <is>
          <t>Acondicionador Capilatis Brillo Extremo 400 Ml</t>
        </is>
      </c>
      <c r="E1089" t="inlineStr">
        <is>
          <t>CAPILATIS</t>
        </is>
      </c>
      <c r="F1089" t="n">
        <v>87.23</v>
      </c>
      <c r="G1089" t="n">
        <v>7209</v>
      </c>
      <c r="H1089" t="b">
        <v>0</v>
      </c>
      <c r="I1089" t="n">
        <v>400</v>
      </c>
      <c r="J1089" t="n">
        <v>0.2181</v>
      </c>
      <c r="K1089" t="inlineStr">
        <is>
          <t>&gt; Perfumería &gt; Cuidado Capilar &gt; Acondicionador &gt;</t>
        </is>
      </c>
      <c r="L1089" t="inlineStr">
        <is>
          <t>acondicionador</t>
        </is>
      </c>
      <c r="M1089" t="inlineStr">
        <is>
          <t>estandar</t>
        </is>
      </c>
      <c r="N1089" t="inlineStr">
        <is>
          <t>general</t>
        </is>
      </c>
      <c r="O1089" t="inlineStr">
        <is>
          <t>https://www.disco.com.ar/acondicionador-capilatis-5/p</t>
        </is>
      </c>
    </row>
    <row r="1090">
      <c r="A1090" s="10" t="inlineStr">
        <is>
          <t>Disco</t>
        </is>
      </c>
      <c r="B1090" s="10" t="n">
        <v>7769</v>
      </c>
      <c r="C1090" s="10" t="n">
        <v>5093</v>
      </c>
      <c r="D1090" s="10" t="inlineStr">
        <is>
          <t>Acondicionador Pantene Control Caída 200 Ml</t>
        </is>
      </c>
      <c r="E1090" s="10" t="inlineStr">
        <is>
          <t>PANTENE</t>
        </is>
      </c>
      <c r="F1090" s="10" t="n">
        <v>24.67</v>
      </c>
      <c r="G1090" s="10" t="n">
        <v>2039</v>
      </c>
      <c r="H1090" s="10" t="b">
        <v>0</v>
      </c>
      <c r="I1090" s="10" t="n">
        <v>200</v>
      </c>
      <c r="J1090" s="10" t="n">
        <v>0.1234</v>
      </c>
      <c r="K1090" s="10" t="inlineStr">
        <is>
          <t>&gt; Perfumería &gt; Cuidado Capilar &gt; Acondicionador &gt;</t>
        </is>
      </c>
      <c r="L1090" s="10" t="inlineStr">
        <is>
          <t>acondicionador</t>
        </is>
      </c>
      <c r="M1090" s="10" t="inlineStr">
        <is>
          <t>estandar</t>
        </is>
      </c>
      <c r="N1090" s="10" t="inlineStr">
        <is>
          <t>general</t>
        </is>
      </c>
      <c r="O1090" s="10" t="inlineStr">
        <is>
          <t>https://www.disco.com.ar/acondicionador-pantene-control-caida-200-ml/p</t>
        </is>
      </c>
    </row>
    <row r="1091">
      <c r="A1091" t="inlineStr">
        <is>
          <t>Disco</t>
        </is>
      </c>
      <c r="B1091" t="n">
        <v>6618</v>
      </c>
      <c r="C1091" t="n">
        <v>3968</v>
      </c>
      <c r="D1091" t="inlineStr">
        <is>
          <t>Acondicionador Dove Reconstrucción Completa 750 Ml</t>
        </is>
      </c>
      <c r="E1091" t="inlineStr">
        <is>
          <t>DOVE</t>
        </is>
      </c>
      <c r="F1091" t="n">
        <v>119</v>
      </c>
      <c r="G1091" t="n">
        <v>119</v>
      </c>
      <c r="H1091" t="b">
        <v>0</v>
      </c>
      <c r="I1091" t="n">
        <v>750</v>
      </c>
      <c r="J1091" t="n">
        <v>0.1587</v>
      </c>
      <c r="K1091" t="inlineStr">
        <is>
          <t>&gt; Perfumería &gt; Cuidado Capilar &gt; Acondicionador &gt;</t>
        </is>
      </c>
      <c r="L1091" t="inlineStr">
        <is>
          <t>acondicionador</t>
        </is>
      </c>
      <c r="M1091" t="inlineStr">
        <is>
          <t>estandar</t>
        </is>
      </c>
      <c r="N1091" t="inlineStr">
        <is>
          <t>general</t>
        </is>
      </c>
      <c r="O1091" t="inlineStr">
        <is>
          <t>https://www.disco.com.ar/acondicionador-dove-2/p</t>
        </is>
      </c>
    </row>
    <row r="1092">
      <c r="A1092" s="10" t="inlineStr">
        <is>
          <t>Disco</t>
        </is>
      </c>
      <c r="B1092" s="10" t="n">
        <v>6610</v>
      </c>
      <c r="C1092" s="10" t="n">
        <v>3960</v>
      </c>
      <c r="D1092" s="10" t="inlineStr">
        <is>
          <t>Acondicionador Dove óleo Nutrición 750 Ml</t>
        </is>
      </c>
      <c r="E1092" s="10" t="inlineStr">
        <is>
          <t>DOVE</t>
        </is>
      </c>
      <c r="F1092" s="10" t="n">
        <v>119</v>
      </c>
      <c r="G1092" s="10" t="n">
        <v>119</v>
      </c>
      <c r="H1092" s="10" t="b">
        <v>0</v>
      </c>
      <c r="I1092" s="10" t="n">
        <v>750</v>
      </c>
      <c r="J1092" s="10" t="n">
        <v>0.1587</v>
      </c>
      <c r="K1092" s="10" t="inlineStr">
        <is>
          <t>&gt; Perfumería &gt; Cuidado Capilar &gt; Acondicionador &gt;</t>
        </is>
      </c>
      <c r="L1092" s="10" t="inlineStr">
        <is>
          <t>acondicionador</t>
        </is>
      </c>
      <c r="M1092" s="10" t="inlineStr">
        <is>
          <t>estandar</t>
        </is>
      </c>
      <c r="N1092" s="10" t="inlineStr">
        <is>
          <t>general</t>
        </is>
      </c>
      <c r="O1092" s="10" t="inlineStr">
        <is>
          <t>https://www.disco.com.ar/acondicionador-dove-oleo-nutricion-750-ml/p</t>
        </is>
      </c>
    </row>
    <row r="1093">
      <c r="A1093" t="inlineStr">
        <is>
          <t>Disco</t>
        </is>
      </c>
      <c r="B1093" t="n">
        <v>3421</v>
      </c>
      <c r="C1093" t="n">
        <v>248492</v>
      </c>
      <c r="D1093" t="inlineStr">
        <is>
          <t>Acondicionador Pantene Hidrocauterización 400 M L</t>
        </is>
      </c>
      <c r="E1093" t="inlineStr">
        <is>
          <t>PANTENE</t>
        </is>
      </c>
      <c r="F1093" t="n">
        <v>97.29000000000001</v>
      </c>
      <c r="G1093" t="n">
        <v>8041</v>
      </c>
      <c r="H1093" t="b">
        <v>0</v>
      </c>
      <c r="I1093" t="inlineStr"/>
      <c r="J1093" t="inlineStr"/>
      <c r="K1093" t="inlineStr">
        <is>
          <t>&gt; Perfumería &gt; Cuidado Capilar &gt; Acondicionador &gt;</t>
        </is>
      </c>
      <c r="L1093" t="inlineStr">
        <is>
          <t>acondicionador</t>
        </is>
      </c>
      <c r="M1093" t="inlineStr">
        <is>
          <t>estandar</t>
        </is>
      </c>
      <c r="N1093" t="inlineStr">
        <is>
          <t>general</t>
        </is>
      </c>
      <c r="O1093" t="inlineStr">
        <is>
          <t>https://www.disco.com.ar/acondicionador-pantene-2/p</t>
        </is>
      </c>
    </row>
    <row r="1094">
      <c r="A1094" s="10" t="inlineStr">
        <is>
          <t>Disco</t>
        </is>
      </c>
      <c r="B1094" s="10" t="n">
        <v>3373</v>
      </c>
      <c r="C1094" s="10" t="n">
        <v>16825</v>
      </c>
      <c r="D1094" s="10" t="inlineStr">
        <is>
          <t>Acondicionador Sedal Crecimiento Saludable 340 Ml</t>
        </is>
      </c>
      <c r="E1094" s="10" t="inlineStr">
        <is>
          <t>SEDAL</t>
        </is>
      </c>
      <c r="F1094" s="10" t="n">
        <v>109.89</v>
      </c>
      <c r="G1094" s="10" t="n">
        <v>9082</v>
      </c>
      <c r="H1094" s="10" t="b">
        <v>0</v>
      </c>
      <c r="I1094" s="10" t="n">
        <v>340</v>
      </c>
      <c r="J1094" s="10" t="n">
        <v>0.3232</v>
      </c>
      <c r="K1094" s="10" t="inlineStr">
        <is>
          <t>&gt; Perfumería &gt; Cuidado Capilar &gt; Acondicionador &gt;</t>
        </is>
      </c>
      <c r="L1094" s="10" t="inlineStr">
        <is>
          <t>acondicionador</t>
        </is>
      </c>
      <c r="M1094" s="10" t="inlineStr">
        <is>
          <t>estandar</t>
        </is>
      </c>
      <c r="N1094" s="10" t="inlineStr">
        <is>
          <t>general</t>
        </is>
      </c>
      <c r="O1094" s="10" t="inlineStr">
        <is>
          <t>https://www.disco.com.ar/acondicionador-sedal-crecimiento-saludable-340-ml/p</t>
        </is>
      </c>
    </row>
    <row r="1095">
      <c r="A1095" t="inlineStr">
        <is>
          <t>Disco</t>
        </is>
      </c>
      <c r="B1095" t="n">
        <v>3070281</v>
      </c>
      <c r="C1095" t="n">
        <v>3069874</v>
      </c>
      <c r="D1095" t="inlineStr">
        <is>
          <t>Acondicionador Detox Capilar 500 Ml Tresemmé</t>
        </is>
      </c>
      <c r="E1095" t="inlineStr">
        <is>
          <t>TRESEMMÉ</t>
        </is>
      </c>
      <c r="F1095" t="n">
        <v>9650</v>
      </c>
      <c r="G1095" t="n">
        <v>797521</v>
      </c>
      <c r="H1095" t="b">
        <v>0</v>
      </c>
      <c r="I1095" t="n">
        <v>500</v>
      </c>
      <c r="J1095" t="n">
        <v>19.3</v>
      </c>
      <c r="K1095" t="inlineStr">
        <is>
          <t>&gt; Perfumería &gt; Cuidado Capilar &gt; Acondicionador &gt;</t>
        </is>
      </c>
      <c r="L1095" t="inlineStr">
        <is>
          <t>acondicionador</t>
        </is>
      </c>
      <c r="M1095" t="inlineStr">
        <is>
          <t>estandar</t>
        </is>
      </c>
      <c r="N1095" t="inlineStr">
        <is>
          <t>general</t>
        </is>
      </c>
      <c r="O1095" t="inlineStr">
        <is>
          <t>https://www.disco.com.ar/acondicionador-detox-capilar-x-500-ml-tresemme-2/p</t>
        </is>
      </c>
    </row>
    <row r="1096">
      <c r="A1096" s="10" t="inlineStr">
        <is>
          <t>Disco</t>
        </is>
      </c>
      <c r="B1096" s="10" t="n">
        <v>1359655</v>
      </c>
      <c r="C1096" s="10" t="n">
        <v>1359498</v>
      </c>
      <c r="D1096" s="10" t="inlineStr">
        <is>
          <t>Acondicionador Ogx Coconut Milk 385 Ml</t>
        </is>
      </c>
      <c r="E1096" s="10" t="inlineStr">
        <is>
          <t>OGX</t>
        </is>
      </c>
      <c r="F1096" s="10" t="n">
        <v>25150</v>
      </c>
      <c r="G1096" s="10" t="n">
        <v>2078512</v>
      </c>
      <c r="H1096" s="10" t="b">
        <v>0</v>
      </c>
      <c r="I1096" s="10" t="n">
        <v>385</v>
      </c>
      <c r="J1096" s="10" t="n">
        <v>65.32470000000001</v>
      </c>
      <c r="K1096" s="10" t="inlineStr">
        <is>
          <t>&gt; Perfumería &gt; Cuidado Capilar &gt; Acondicionador &gt;</t>
        </is>
      </c>
      <c r="L1096" s="10" t="inlineStr">
        <is>
          <t>acondicionador</t>
        </is>
      </c>
      <c r="M1096" s="10" t="inlineStr">
        <is>
          <t>estandar</t>
        </is>
      </c>
      <c r="N1096" s="10" t="inlineStr">
        <is>
          <t>general</t>
        </is>
      </c>
      <c r="O1096" s="10" t="inlineStr">
        <is>
          <t>https://www.disco.com.ar/acondicionador-ogx-coconut-milk-385-ml/p</t>
        </is>
      </c>
    </row>
    <row r="1097">
      <c r="A1097" t="inlineStr">
        <is>
          <t>Disco</t>
        </is>
      </c>
      <c r="B1097" t="n">
        <v>421917</v>
      </c>
      <c r="C1097" t="n">
        <v>381817</v>
      </c>
      <c r="D1097" t="inlineStr">
        <is>
          <t>Acondicionador Tío Nacho Purificación 200 Ml</t>
        </is>
      </c>
      <c r="E1097" t="inlineStr">
        <is>
          <t>SUAVE</t>
        </is>
      </c>
      <c r="F1097" t="n">
        <v>5500</v>
      </c>
      <c r="G1097" t="n">
        <v>454545</v>
      </c>
      <c r="H1097" t="b">
        <v>0</v>
      </c>
      <c r="I1097" t="n">
        <v>200</v>
      </c>
      <c r="J1097" t="n">
        <v>27.5</v>
      </c>
      <c r="K1097" t="inlineStr">
        <is>
          <t>&gt; Perfumería &gt; Cuidado Capilar &gt; Acondicionador &gt;</t>
        </is>
      </c>
      <c r="L1097" t="inlineStr">
        <is>
          <t>acondicionador</t>
        </is>
      </c>
      <c r="M1097" t="inlineStr">
        <is>
          <t>estandar</t>
        </is>
      </c>
      <c r="N1097" t="inlineStr">
        <is>
          <t>general</t>
        </is>
      </c>
      <c r="O1097" t="inlineStr">
        <is>
          <t>https://www.disco.com.ar/acondicionador-tio-nacho-purificacion-200-ml-2/p</t>
        </is>
      </c>
    </row>
    <row r="1098">
      <c r="A1098" s="10" t="inlineStr">
        <is>
          <t>Disco</t>
        </is>
      </c>
      <c r="B1098" s="10" t="n">
        <v>421916</v>
      </c>
      <c r="C1098" s="10" t="n">
        <v>381825</v>
      </c>
      <c r="D1098" s="10" t="inlineStr">
        <is>
          <t>Acondicionador Tío Nacho Purificación 415 Ml</t>
        </is>
      </c>
      <c r="E1098" s="10" t="inlineStr">
        <is>
          <t>Tio Nacho</t>
        </is>
      </c>
      <c r="F1098" s="10" t="n">
        <v>9000</v>
      </c>
      <c r="G1098" s="10" t="n">
        <v>743802</v>
      </c>
      <c r="H1098" s="10" t="b">
        <v>0</v>
      </c>
      <c r="I1098" s="10" t="n">
        <v>415</v>
      </c>
      <c r="J1098" s="10" t="n">
        <v>21.6867</v>
      </c>
      <c r="K1098" s="10" t="inlineStr">
        <is>
          <t>&gt; Perfumería &gt; Cuidado Capilar &gt; Acondicionador &gt;</t>
        </is>
      </c>
      <c r="L1098" s="10" t="inlineStr">
        <is>
          <t>acondicionador</t>
        </is>
      </c>
      <c r="M1098" s="10" t="inlineStr">
        <is>
          <t>estandar</t>
        </is>
      </c>
      <c r="N1098" s="10" t="inlineStr">
        <is>
          <t>general</t>
        </is>
      </c>
      <c r="O1098" s="10" t="inlineStr">
        <is>
          <t>https://www.disco.com.ar/acondicionador-tio-nacho-purificacion-415-ml-2/p</t>
        </is>
      </c>
    </row>
    <row r="1099">
      <c r="A1099" t="inlineStr">
        <is>
          <t>Disco</t>
        </is>
      </c>
      <c r="B1099" t="n">
        <v>415568</v>
      </c>
      <c r="C1099" t="n">
        <v>411152</v>
      </c>
      <c r="D1099" t="inlineStr">
        <is>
          <t>Acondicionador Liso Infinito 750 Ml Pantene Acondicionador Pantene Provmir Liso Infinito 750 Ml</t>
        </is>
      </c>
      <c r="E1099" t="inlineStr">
        <is>
          <t>PANTENE</t>
        </is>
      </c>
      <c r="F1099" t="n">
        <v>14500</v>
      </c>
      <c r="G1099" t="n">
        <v>1198347</v>
      </c>
      <c r="H1099" t="b">
        <v>0</v>
      </c>
      <c r="I1099" t="n">
        <v>750</v>
      </c>
      <c r="J1099" t="n">
        <v>19.3333</v>
      </c>
      <c r="K1099" t="inlineStr">
        <is>
          <t>&gt; Perfumería &gt; Cuidado Capilar &gt; Acondicionador &gt;</t>
        </is>
      </c>
      <c r="L1099" t="inlineStr">
        <is>
          <t>acondicionador</t>
        </is>
      </c>
      <c r="M1099" t="inlineStr">
        <is>
          <t>profesional</t>
        </is>
      </c>
      <c r="N1099" t="inlineStr">
        <is>
          <t>general</t>
        </is>
      </c>
      <c r="O1099" t="inlineStr">
        <is>
          <t>https://www.disco.com.ar/acondicionador-pantene-provmir-liso-infinito-750-ml/p</t>
        </is>
      </c>
    </row>
    <row r="1100">
      <c r="A1100" s="10" t="inlineStr">
        <is>
          <t>Disco</t>
        </is>
      </c>
      <c r="B1100" s="10" t="n">
        <v>413358</v>
      </c>
      <c r="C1100" s="10" t="n">
        <v>409235</v>
      </c>
      <c r="D1100" s="10" t="inlineStr">
        <is>
          <t>Acondicionador Ondas Boho 250 Ml Tresemmé</t>
        </is>
      </c>
      <c r="E1100" s="10" t="inlineStr">
        <is>
          <t>TRESEMMÉ</t>
        </is>
      </c>
      <c r="F1100" s="10" t="n">
        <v>4500</v>
      </c>
      <c r="G1100" s="10" t="n">
        <v>371901</v>
      </c>
      <c r="H1100" s="10" t="b">
        <v>0</v>
      </c>
      <c r="I1100" s="10" t="n">
        <v>250</v>
      </c>
      <c r="J1100" s="10" t="n">
        <v>18</v>
      </c>
      <c r="K1100" s="10" t="inlineStr">
        <is>
          <t>&gt; Perfumería &gt; Cuidado Capilar &gt; Acondicionador &gt;</t>
        </is>
      </c>
      <c r="L1100" s="10" t="inlineStr">
        <is>
          <t>acondicionador</t>
        </is>
      </c>
      <c r="M1100" s="10" t="inlineStr">
        <is>
          <t>estandar</t>
        </is>
      </c>
      <c r="N1100" s="10" t="inlineStr">
        <is>
          <t>general</t>
        </is>
      </c>
      <c r="O1100" s="10" t="inlineStr">
        <is>
          <t>https://www.disco.com.ar/acondicionador-tresemme-ondas-boho-250-ml/p</t>
        </is>
      </c>
    </row>
    <row r="1101">
      <c r="A1101" t="inlineStr">
        <is>
          <t>Disco</t>
        </is>
      </c>
      <c r="B1101" t="n">
        <v>413334</v>
      </c>
      <c r="C1101" t="n">
        <v>409139</v>
      </c>
      <c r="D1101" t="inlineStr">
        <is>
          <t>Acondicionador Cauterización Reparadora 880 Ml Tresemmé</t>
        </is>
      </c>
      <c r="E1101" t="inlineStr">
        <is>
          <t>TRESEMMÉ</t>
        </is>
      </c>
      <c r="F1101" t="n">
        <v>15050</v>
      </c>
      <c r="G1101" t="n">
        <v>1243802</v>
      </c>
      <c r="H1101" t="b">
        <v>0</v>
      </c>
      <c r="I1101" t="n">
        <v>880</v>
      </c>
      <c r="J1101" t="n">
        <v>17.1023</v>
      </c>
      <c r="K1101" t="inlineStr">
        <is>
          <t>&gt; Perfumería &gt; Cuidado Capilar &gt; Acondicionador &gt;</t>
        </is>
      </c>
      <c r="L1101" t="inlineStr">
        <is>
          <t>acondicionador</t>
        </is>
      </c>
      <c r="M1101" t="inlineStr">
        <is>
          <t>estandar</t>
        </is>
      </c>
      <c r="N1101" t="inlineStr">
        <is>
          <t>general</t>
        </is>
      </c>
      <c r="O1101" t="inlineStr">
        <is>
          <t>https://www.disco.com.ar/acondicionador-tresemme-cauterizacion-reparadora-880-ml/p</t>
        </is>
      </c>
    </row>
    <row r="1102">
      <c r="A1102" s="10" t="inlineStr">
        <is>
          <t>Disco</t>
        </is>
      </c>
      <c r="B1102" s="10" t="n">
        <v>413333</v>
      </c>
      <c r="C1102" s="10" t="n">
        <v>409138</v>
      </c>
      <c r="D1102" s="10" t="inlineStr">
        <is>
          <t>Acondicionador Tresemme Brillo Lamelar 250 Ml</t>
        </is>
      </c>
      <c r="E1102" s="10" t="inlineStr">
        <is>
          <t>TRESEMMÉ</t>
        </is>
      </c>
      <c r="F1102" s="10" t="n">
        <v>5950</v>
      </c>
      <c r="G1102" s="10" t="n">
        <v>491736</v>
      </c>
      <c r="H1102" s="10" t="b">
        <v>0</v>
      </c>
      <c r="I1102" s="10" t="n">
        <v>250</v>
      </c>
      <c r="J1102" s="10" t="n">
        <v>23.8</v>
      </c>
      <c r="K1102" s="10" t="inlineStr">
        <is>
          <t>&gt; Perfumería &gt; Cuidado Capilar &gt; Acondicionador &gt;</t>
        </is>
      </c>
      <c r="L1102" s="10" t="inlineStr">
        <is>
          <t>acondicionador</t>
        </is>
      </c>
      <c r="M1102" s="10" t="inlineStr">
        <is>
          <t>estandar</t>
        </is>
      </c>
      <c r="N1102" s="10" t="inlineStr">
        <is>
          <t>general</t>
        </is>
      </c>
      <c r="O1102" s="10" t="inlineStr">
        <is>
          <t>https://www.disco.com.ar/acondicionador-tresemme-brillo-lamelar-250-ml/p</t>
        </is>
      </c>
    </row>
    <row r="1103">
      <c r="A1103" t="inlineStr">
        <is>
          <t>Disco</t>
        </is>
      </c>
      <c r="B1103" t="n">
        <v>412296</v>
      </c>
      <c r="C1103" t="n">
        <v>407998</v>
      </c>
      <c r="D1103" t="inlineStr">
        <is>
          <t>Acondicionador Fructis Liso Coconut 650 Ml</t>
        </is>
      </c>
      <c r="E1103" t="inlineStr">
        <is>
          <t>FRUCTIS</t>
        </is>
      </c>
      <c r="F1103" t="n">
        <v>9650</v>
      </c>
      <c r="G1103" t="n">
        <v>797521</v>
      </c>
      <c r="H1103" t="b">
        <v>0</v>
      </c>
      <c r="I1103" t="n">
        <v>650</v>
      </c>
      <c r="J1103" t="n">
        <v>14.8462</v>
      </c>
      <c r="K1103" t="inlineStr">
        <is>
          <t>&gt; Perfumería &gt; Cuidado Capilar &gt; Acondicionador &gt;</t>
        </is>
      </c>
      <c r="L1103" t="inlineStr">
        <is>
          <t>acondicionador</t>
        </is>
      </c>
      <c r="M1103" t="inlineStr">
        <is>
          <t>estandar</t>
        </is>
      </c>
      <c r="N1103" t="inlineStr">
        <is>
          <t>general</t>
        </is>
      </c>
      <c r="O1103" t="inlineStr">
        <is>
          <t>https://www.disco.com.ar/acondicionador-fructis-liso-coconut-650-ml/p</t>
        </is>
      </c>
    </row>
    <row r="1104">
      <c r="A1104" s="10" t="inlineStr">
        <is>
          <t>Disco</t>
        </is>
      </c>
      <c r="B1104" s="10" t="n">
        <v>411493</v>
      </c>
      <c r="C1104" s="10" t="n">
        <v>407312</v>
      </c>
      <c r="D1104" s="10" t="inlineStr">
        <is>
          <t>Acondicionador Capilatis Reparación Absoluta 350 Ml</t>
        </is>
      </c>
      <c r="E1104" s="10" t="inlineStr">
        <is>
          <t>CAPILATIS</t>
        </is>
      </c>
      <c r="F1104" s="10" t="n">
        <v>12650</v>
      </c>
      <c r="G1104" s="10" t="n">
        <v>1045455</v>
      </c>
      <c r="H1104" s="10" t="b">
        <v>0</v>
      </c>
      <c r="I1104" s="10" t="n">
        <v>350</v>
      </c>
      <c r="J1104" s="10" t="n">
        <v>36.1429</v>
      </c>
      <c r="K1104" s="10" t="inlineStr">
        <is>
          <t>&gt; Perfumería &gt; Cuidado Capilar &gt; Acondicionador &gt;</t>
        </is>
      </c>
      <c r="L1104" s="10" t="inlineStr">
        <is>
          <t>acondicionador</t>
        </is>
      </c>
      <c r="M1104" s="10" t="inlineStr">
        <is>
          <t>estandar</t>
        </is>
      </c>
      <c r="N1104" s="10" t="inlineStr">
        <is>
          <t>general</t>
        </is>
      </c>
      <c r="O1104" s="10" t="inlineStr">
        <is>
          <t>https://www.disco.com.ar/acondicionador-capilatis-reparacion-absoluta-350-ml/p</t>
        </is>
      </c>
    </row>
    <row r="1105">
      <c r="A1105" t="inlineStr">
        <is>
          <t>Disco</t>
        </is>
      </c>
      <c r="B1105" t="n">
        <v>405337</v>
      </c>
      <c r="C1105" t="n">
        <v>93586</v>
      </c>
      <c r="D1105" t="inlineStr">
        <is>
          <t>Acondicionador Llanofertil Chips X 8 Dm3 Molido  Paq 8 Dm3</t>
        </is>
      </c>
      <c r="E1105" t="inlineStr">
        <is>
          <t>SIN MARCA</t>
        </is>
      </c>
      <c r="F1105" t="n">
        <v>1.49</v>
      </c>
      <c r="G1105" t="n">
        <v>1.49</v>
      </c>
      <c r="H1105" t="b">
        <v>0</v>
      </c>
      <c r="I1105" t="inlineStr"/>
      <c r="J1105" t="inlineStr"/>
      <c r="K1105" t="inlineStr">
        <is>
          <t>&gt; Tiempo Libre &gt; Aire Libre &gt; Jardín &gt;</t>
        </is>
      </c>
      <c r="L1105" t="inlineStr">
        <is>
          <t>acondicionador</t>
        </is>
      </c>
      <c r="M1105" t="inlineStr">
        <is>
          <t>estandar</t>
        </is>
      </c>
      <c r="N1105" t="inlineStr">
        <is>
          <t>general</t>
        </is>
      </c>
      <c r="O1105" t="inlineStr">
        <is>
          <t>https://www.disco.com.ar/acondicionador-llanofertil-chips-x-8-dm3/p</t>
        </is>
      </c>
    </row>
    <row r="1106">
      <c r="A1106" s="10" t="inlineStr">
        <is>
          <t>Disco</t>
        </is>
      </c>
      <c r="B1106" s="10" t="n">
        <v>348042</v>
      </c>
      <c r="C1106" s="10" t="n">
        <v>346717</v>
      </c>
      <c r="D1106" s="10" t="inlineStr">
        <is>
          <t>Acondicionador Algabo Hidratación Eco-pack 930</t>
        </is>
      </c>
      <c r="E1106" s="10" t="inlineStr">
        <is>
          <t>ELVIVE</t>
        </is>
      </c>
      <c r="F1106" s="10" t="n">
        <v>221.47</v>
      </c>
      <c r="G1106" s="10" t="n">
        <v>18303</v>
      </c>
      <c r="H1106" s="10" t="b">
        <v>0</v>
      </c>
      <c r="I1106" s="10" t="inlineStr"/>
      <c r="J1106" s="10" t="inlineStr"/>
      <c r="K1106" s="10" t="inlineStr">
        <is>
          <t>&gt; Perfumería &gt; Cuidado Capilar &gt; Acondicionador &gt;</t>
        </is>
      </c>
      <c r="L1106" s="10" t="inlineStr">
        <is>
          <t>acondicionador</t>
        </is>
      </c>
      <c r="M1106" s="10" t="inlineStr">
        <is>
          <t>profesional</t>
        </is>
      </c>
      <c r="N1106" s="10" t="inlineStr">
        <is>
          <t>seco_danado</t>
        </is>
      </c>
      <c r="O1106" s="10" t="inlineStr">
        <is>
          <t>https://www.disco.com.ar/acondicionador-algabo-hidratacion-eco-pack-930/p</t>
        </is>
      </c>
    </row>
    <row r="1107">
      <c r="A1107" t="inlineStr">
        <is>
          <t>Disco</t>
        </is>
      </c>
      <c r="B1107" t="n">
        <v>347727</v>
      </c>
      <c r="C1107" t="n">
        <v>346402</v>
      </c>
      <c r="D1107" t="inlineStr">
        <is>
          <t>Acondicionador  Sedal  Liso Perfecto  340 Ml</t>
        </is>
      </c>
      <c r="E1107" t="inlineStr">
        <is>
          <t>SEDAL</t>
        </is>
      </c>
      <c r="F1107" t="n">
        <v>469.67</v>
      </c>
      <c r="G1107" t="n">
        <v>38816</v>
      </c>
      <c r="H1107" t="b">
        <v>0</v>
      </c>
      <c r="I1107" t="n">
        <v>340</v>
      </c>
      <c r="J1107" t="n">
        <v>1.3814</v>
      </c>
      <c r="K1107" t="inlineStr">
        <is>
          <t>&gt; Perfumería &gt; Cuidado Capilar &gt; Acondicionador &gt;</t>
        </is>
      </c>
      <c r="L1107" t="inlineStr">
        <is>
          <t>acondicionador</t>
        </is>
      </c>
      <c r="M1107" t="inlineStr">
        <is>
          <t>estandar</t>
        </is>
      </c>
      <c r="N1107" t="inlineStr">
        <is>
          <t>general</t>
        </is>
      </c>
      <c r="O1107" t="inlineStr">
        <is>
          <t>https://www.disco.com.ar/acondicionador-sedal-liso-perfecto-340-ml/p</t>
        </is>
      </c>
    </row>
    <row r="1108">
      <c r="A1108" s="10" t="inlineStr">
        <is>
          <t>Disco</t>
        </is>
      </c>
      <c r="B1108" s="10" t="n">
        <v>347630</v>
      </c>
      <c r="C1108" s="10" t="n">
        <v>346303</v>
      </c>
      <c r="D1108" s="10" t="inlineStr">
        <is>
          <t>Acondicionador  Dove  Hidratación Intensa  200 Ml</t>
        </is>
      </c>
      <c r="E1108" s="10" t="inlineStr">
        <is>
          <t>DOVE</t>
        </is>
      </c>
      <c r="F1108" s="10" t="n">
        <v>584.29</v>
      </c>
      <c r="G1108" s="10" t="n">
        <v>48288</v>
      </c>
      <c r="H1108" s="10" t="b">
        <v>0</v>
      </c>
      <c r="I1108" s="10" t="n">
        <v>200</v>
      </c>
      <c r="J1108" s="10" t="n">
        <v>2.9214</v>
      </c>
      <c r="K1108" s="10" t="inlineStr">
        <is>
          <t>&gt; Perfumería &gt; Cuidado Capilar &gt; Acondicionador &gt;</t>
        </is>
      </c>
      <c r="L1108" s="10" t="inlineStr">
        <is>
          <t>acondicionador</t>
        </is>
      </c>
      <c r="M1108" s="10" t="inlineStr">
        <is>
          <t>estandar</t>
        </is>
      </c>
      <c r="N1108" s="10" t="inlineStr">
        <is>
          <t>seco_danado</t>
        </is>
      </c>
      <c r="O1108" s="10" t="inlineStr">
        <is>
          <t>https://www.disco.com.ar/acondicionador-dove-hidratacion-intensa-200-ml/p</t>
        </is>
      </c>
    </row>
    <row r="1109">
      <c r="A1109" t="inlineStr">
        <is>
          <t>Disco</t>
        </is>
      </c>
      <c r="B1109" t="n">
        <v>345272</v>
      </c>
      <c r="C1109" t="n">
        <v>343957</v>
      </c>
      <c r="D1109" t="inlineStr">
        <is>
          <t>Acondicionador Pantene Prov Essentials Hidratante 200ml</t>
        </is>
      </c>
      <c r="E1109" t="inlineStr">
        <is>
          <t>PANTENE</t>
        </is>
      </c>
      <c r="F1109" t="n">
        <v>531.49</v>
      </c>
      <c r="G1109" t="n">
        <v>43925</v>
      </c>
      <c r="H1109" t="b">
        <v>0</v>
      </c>
      <c r="I1109" t="n">
        <v>200</v>
      </c>
      <c r="J1109" t="n">
        <v>2.6574</v>
      </c>
      <c r="K1109" t="inlineStr">
        <is>
          <t>&gt; Perfumería &gt; Cuidado Capilar &gt; Acondicionador &gt;</t>
        </is>
      </c>
      <c r="L1109" t="inlineStr">
        <is>
          <t>acondicionador</t>
        </is>
      </c>
      <c r="M1109" t="inlineStr">
        <is>
          <t>profesional</t>
        </is>
      </c>
      <c r="N1109" t="inlineStr">
        <is>
          <t>seco_danado</t>
        </is>
      </c>
      <c r="O1109" t="inlineStr">
        <is>
          <t>https://www.disco.com.ar/acondicionador-pantene-prov-essentials-hidratante-200ml/p</t>
        </is>
      </c>
    </row>
    <row r="1110">
      <c r="A1110" s="10" t="inlineStr">
        <is>
          <t>Disco</t>
        </is>
      </c>
      <c r="B1110" s="10" t="n">
        <v>345109</v>
      </c>
      <c r="C1110" s="10" t="n">
        <v>343794</v>
      </c>
      <c r="D1110" s="10" t="inlineStr">
        <is>
          <t>Acondicionador Pantene Prov Essentials Brillo 400ml</t>
        </is>
      </c>
      <c r="E1110" s="10" t="inlineStr">
        <is>
          <t>PANTENE</t>
        </is>
      </c>
      <c r="F1110" s="10" t="n">
        <v>858.79</v>
      </c>
      <c r="G1110" s="10" t="n">
        <v>70974</v>
      </c>
      <c r="H1110" s="10" t="b">
        <v>0</v>
      </c>
      <c r="I1110" s="10" t="n">
        <v>400</v>
      </c>
      <c r="J1110" s="10" t="n">
        <v>2.147</v>
      </c>
      <c r="K1110" s="10" t="inlineStr">
        <is>
          <t>&gt; Perfumería &gt; Cuidado Capilar &gt; Acondicionador &gt;</t>
        </is>
      </c>
      <c r="L1110" s="10" t="inlineStr">
        <is>
          <t>acondicionador</t>
        </is>
      </c>
      <c r="M1110" s="10" t="inlineStr">
        <is>
          <t>profesional</t>
        </is>
      </c>
      <c r="N1110" s="10" t="inlineStr">
        <is>
          <t>general</t>
        </is>
      </c>
      <c r="O1110" s="10" t="inlineStr">
        <is>
          <t>https://www.disco.com.ar/acondicionador-pantene-prov-essentials-brillo-400ml/p</t>
        </is>
      </c>
    </row>
    <row r="1111">
      <c r="A1111" t="inlineStr">
        <is>
          <t>Disco</t>
        </is>
      </c>
      <c r="B1111" t="n">
        <v>345105</v>
      </c>
      <c r="C1111" t="n">
        <v>343790</v>
      </c>
      <c r="D1111" t="inlineStr">
        <is>
          <t>Acondicionador Pantene Prov Essentials Fuerza 750ml</t>
        </is>
      </c>
      <c r="E1111" t="inlineStr">
        <is>
          <t>PANTENE</t>
        </is>
      </c>
      <c r="F1111" t="n">
        <v>2450</v>
      </c>
      <c r="G1111" t="n">
        <v>202479</v>
      </c>
      <c r="H1111" t="b">
        <v>0</v>
      </c>
      <c r="I1111" t="n">
        <v>750</v>
      </c>
      <c r="J1111" t="n">
        <v>3.2667</v>
      </c>
      <c r="K1111" t="inlineStr">
        <is>
          <t>&gt; Perfumería &gt; Cuidado Capilar &gt; Acondicionador &gt;</t>
        </is>
      </c>
      <c r="L1111" t="inlineStr">
        <is>
          <t>acondicionador</t>
        </is>
      </c>
      <c r="M1111" t="inlineStr">
        <is>
          <t>profesional</t>
        </is>
      </c>
      <c r="N1111" t="inlineStr">
        <is>
          <t>general</t>
        </is>
      </c>
      <c r="O1111" t="inlineStr">
        <is>
          <t>https://www.disco.com.ar/acondicionador-pantene-prov-essentials-fuerza-750ml/p</t>
        </is>
      </c>
    </row>
    <row r="1112">
      <c r="A1112" s="10" t="inlineStr">
        <is>
          <t>Disco</t>
        </is>
      </c>
      <c r="B1112" s="10" t="n">
        <v>345053</v>
      </c>
      <c r="C1112" s="10" t="n">
        <v>343738</v>
      </c>
      <c r="D1112" s="10" t="inlineStr">
        <is>
          <t>Acondicionador Pantene Prov Essentials Micelar 400ml</t>
        </is>
      </c>
      <c r="E1112" s="10" t="inlineStr">
        <is>
          <t>PANTENE</t>
        </is>
      </c>
      <c r="F1112" s="10" t="n">
        <v>858.79</v>
      </c>
      <c r="G1112" s="10" t="n">
        <v>70974</v>
      </c>
      <c r="H1112" s="10" t="b">
        <v>0</v>
      </c>
      <c r="I1112" s="10" t="n">
        <v>400</v>
      </c>
      <c r="J1112" s="10" t="n">
        <v>2.147</v>
      </c>
      <c r="K1112" s="10" t="inlineStr">
        <is>
          <t>&gt; Perfumería &gt; Cuidado Capilar &gt; Acondicionador &gt;</t>
        </is>
      </c>
      <c r="L1112" s="10" t="inlineStr">
        <is>
          <t>acondicionador</t>
        </is>
      </c>
      <c r="M1112" s="10" t="inlineStr">
        <is>
          <t>profesional</t>
        </is>
      </c>
      <c r="N1112" s="10" t="inlineStr">
        <is>
          <t>general</t>
        </is>
      </c>
      <c r="O1112" s="10" t="inlineStr">
        <is>
          <t>https://www.disco.com.ar/acondicionador-pantene-prov-essentials-micelar-400ml/p</t>
        </is>
      </c>
    </row>
    <row r="1113">
      <c r="A1113" t="inlineStr">
        <is>
          <t>Disco</t>
        </is>
      </c>
      <c r="B1113" t="n">
        <v>337411</v>
      </c>
      <c r="C1113" t="n">
        <v>336514</v>
      </c>
      <c r="D1113" t="inlineStr">
        <is>
          <t>Acondicionador Dove Reconstrucción Completa 200 Ml</t>
        </is>
      </c>
      <c r="E1113" t="inlineStr">
        <is>
          <t>DOVE</t>
        </is>
      </c>
      <c r="F1113" t="n">
        <v>398.39</v>
      </c>
      <c r="G1113" t="n">
        <v>32925</v>
      </c>
      <c r="H1113" t="b">
        <v>0</v>
      </c>
      <c r="I1113" t="n">
        <v>200</v>
      </c>
      <c r="J1113" t="n">
        <v>1.9919</v>
      </c>
      <c r="K1113" t="inlineStr">
        <is>
          <t>&gt; Perfumería &gt; Cuidado Capilar &gt; Acondicionador &gt;</t>
        </is>
      </c>
      <c r="L1113" t="inlineStr">
        <is>
          <t>acondicionador</t>
        </is>
      </c>
      <c r="M1113" t="inlineStr">
        <is>
          <t>estandar</t>
        </is>
      </c>
      <c r="N1113" t="inlineStr">
        <is>
          <t>general</t>
        </is>
      </c>
      <c r="O1113" t="inlineStr">
        <is>
          <t>https://www.disco.com.ar/acondicionador-dove-reconstruccion-completa-200-ml/p</t>
        </is>
      </c>
    </row>
    <row r="1114">
      <c r="A1114" s="10" t="inlineStr">
        <is>
          <t>Disco</t>
        </is>
      </c>
      <c r="B1114" s="10" t="n">
        <v>336032</v>
      </c>
      <c r="C1114" s="10" t="n">
        <v>335141</v>
      </c>
      <c r="D1114" s="10" t="inlineStr">
        <is>
          <t>Acondicionador Sedal Bomba Nutri Antifrizz 190ml</t>
        </is>
      </c>
      <c r="E1114" s="10" t="inlineStr">
        <is>
          <t>SEDAL</t>
        </is>
      </c>
      <c r="F1114" s="10" t="n">
        <v>180.39</v>
      </c>
      <c r="G1114" s="10" t="n">
        <v>14908</v>
      </c>
      <c r="H1114" s="10" t="b">
        <v>0</v>
      </c>
      <c r="I1114" s="10" t="n">
        <v>190</v>
      </c>
      <c r="J1114" s="10" t="n">
        <v>0.9494</v>
      </c>
      <c r="K1114" s="10" t="inlineStr">
        <is>
          <t>&gt; Perfumería &gt; Cuidado Capilar &gt; Acondicionador &gt;</t>
        </is>
      </c>
      <c r="L1114" s="10" t="inlineStr">
        <is>
          <t>acondicionador</t>
        </is>
      </c>
      <c r="M1114" s="10" t="inlineStr">
        <is>
          <t>estandar</t>
        </is>
      </c>
      <c r="N1114" s="10" t="inlineStr">
        <is>
          <t>general</t>
        </is>
      </c>
      <c r="O1114" s="10" t="inlineStr">
        <is>
          <t>https://www.disco.com.ar/acondicionador-sedal-bomba-nutri-antifrizz-190ml/p</t>
        </is>
      </c>
    </row>
    <row r="1115">
      <c r="A1115" t="inlineStr">
        <is>
          <t>Disco</t>
        </is>
      </c>
      <c r="B1115" t="n">
        <v>333070</v>
      </c>
      <c r="C1115" t="n">
        <v>332218</v>
      </c>
      <c r="D1115" t="inlineStr">
        <is>
          <t>Acondicionador Gotas De Brillo 400ml Johnson Baby</t>
        </is>
      </c>
      <c r="E1115" t="inlineStr">
        <is>
          <t>JOHNSON BABY</t>
        </is>
      </c>
      <c r="F1115" t="n">
        <v>935.89</v>
      </c>
      <c r="G1115" t="n">
        <v>77346</v>
      </c>
      <c r="H1115" t="b">
        <v>0</v>
      </c>
      <c r="I1115" t="n">
        <v>400</v>
      </c>
      <c r="J1115" t="n">
        <v>2.3397</v>
      </c>
      <c r="K1115" t="inlineStr">
        <is>
          <t>&gt; Mundo Bebe &gt; Higiene para el Bebe &gt; Higiene del Bebé &gt;</t>
        </is>
      </c>
      <c r="L1115" t="inlineStr">
        <is>
          <t>acondicionador</t>
        </is>
      </c>
      <c r="M1115" t="inlineStr">
        <is>
          <t>estandar</t>
        </is>
      </c>
      <c r="N1115" t="inlineStr">
        <is>
          <t>general</t>
        </is>
      </c>
      <c r="O1115" t="inlineStr">
        <is>
          <t>https://www.disco.com.ar/acondicionador-gotas-de-brillo-400ml-johnson-baby/p</t>
        </is>
      </c>
    </row>
    <row r="1116">
      <c r="A1116" s="10" t="inlineStr">
        <is>
          <t>Disco</t>
        </is>
      </c>
      <c r="B1116" s="10" t="n">
        <v>332827</v>
      </c>
      <c r="C1116" s="10" t="n">
        <v>331975</v>
      </c>
      <c r="D1116" s="10" t="inlineStr">
        <is>
          <t>Acondicionador Pantene Pro-vmiracles Hidrat.750ml</t>
        </is>
      </c>
      <c r="E1116" s="10" t="inlineStr">
        <is>
          <t>PANTENE</t>
        </is>
      </c>
      <c r="F1116" s="10" t="n">
        <v>693.77</v>
      </c>
      <c r="G1116" s="10" t="n">
        <v>57336</v>
      </c>
      <c r="H1116" s="10" t="b">
        <v>0</v>
      </c>
      <c r="I1116" s="10" t="n">
        <v>750</v>
      </c>
      <c r="J1116" s="10" t="n">
        <v>0.925</v>
      </c>
      <c r="K1116" s="10" t="inlineStr">
        <is>
          <t>&gt; Perfumería &gt; Cuidado Capilar &gt; Acondicionador &gt;</t>
        </is>
      </c>
      <c r="L1116" s="10" t="inlineStr">
        <is>
          <t>acondicionador</t>
        </is>
      </c>
      <c r="M1116" s="10" t="inlineStr">
        <is>
          <t>profesional</t>
        </is>
      </c>
      <c r="N1116" s="10" t="inlineStr">
        <is>
          <t>seco_danado</t>
        </is>
      </c>
      <c r="O1116" s="10" t="inlineStr">
        <is>
          <t>https://www.disco.com.ar/acondicionador-pantene-pro-vmiracles-hidrat-750ml/p</t>
        </is>
      </c>
    </row>
    <row r="1117">
      <c r="A1117" t="inlineStr">
        <is>
          <t>Disco</t>
        </is>
      </c>
      <c r="B1117" t="n">
        <v>312206</v>
      </c>
      <c r="C1117" t="n">
        <v>311444</v>
      </c>
      <c r="D1117" t="inlineStr">
        <is>
          <t>Acondicionador Dove Regeneración Extrema 400 Ml</t>
        </is>
      </c>
      <c r="E1117" t="inlineStr">
        <is>
          <t>DOVE</t>
        </is>
      </c>
      <c r="F1117" t="n">
        <v>244.89</v>
      </c>
      <c r="G1117" t="n">
        <v>20239</v>
      </c>
      <c r="H1117" t="b">
        <v>0</v>
      </c>
      <c r="I1117" t="n">
        <v>400</v>
      </c>
      <c r="J1117" t="n">
        <v>0.6122</v>
      </c>
      <c r="K1117" t="inlineStr">
        <is>
          <t>&gt; Perfumería &gt; Cuidado Capilar &gt; Acondicionador &gt;</t>
        </is>
      </c>
      <c r="L1117" t="inlineStr">
        <is>
          <t>acondicionador</t>
        </is>
      </c>
      <c r="M1117" t="inlineStr">
        <is>
          <t>estandar</t>
        </is>
      </c>
      <c r="N1117" t="inlineStr">
        <is>
          <t>general</t>
        </is>
      </c>
      <c r="O1117" t="inlineStr">
        <is>
          <t>https://www.disco.com.ar/acondicionador-dove-regeneracion-extrema-400-ml/p</t>
        </is>
      </c>
    </row>
    <row r="1118">
      <c r="A1118" s="10" t="inlineStr">
        <is>
          <t>Disco</t>
        </is>
      </c>
      <c r="B1118" s="10" t="n">
        <v>310266</v>
      </c>
      <c r="C1118" s="10" t="n">
        <v>309504</v>
      </c>
      <c r="D1118" s="10" t="inlineStr">
        <is>
          <t>Ogx® Coconut Milk Acondicionador 385 Ml</t>
        </is>
      </c>
      <c r="E1118" s="10" t="inlineStr">
        <is>
          <t>OGX</t>
        </is>
      </c>
      <c r="F1118" s="10" t="n">
        <v>599.49</v>
      </c>
      <c r="G1118" s="10" t="n">
        <v>49545</v>
      </c>
      <c r="H1118" s="10" t="b">
        <v>0</v>
      </c>
      <c r="I1118" s="10" t="n">
        <v>385</v>
      </c>
      <c r="J1118" s="10" t="n">
        <v>1.5571</v>
      </c>
      <c r="K1118" s="10" t="inlineStr">
        <is>
          <t>&gt; Perfumería &gt; Cuidado Capilar &gt; Acondicionador &gt;</t>
        </is>
      </c>
      <c r="L1118" s="10" t="inlineStr">
        <is>
          <t>acondicionador</t>
        </is>
      </c>
      <c r="M1118" s="10" t="inlineStr">
        <is>
          <t>estandar</t>
        </is>
      </c>
      <c r="N1118" s="10" t="inlineStr">
        <is>
          <t>general</t>
        </is>
      </c>
      <c r="O1118" s="10" t="inlineStr">
        <is>
          <t>https://www.disco.com.ar/ogx-coconut-milk-acondicionador-385-ml/p</t>
        </is>
      </c>
    </row>
    <row r="1119">
      <c r="A1119" t="inlineStr">
        <is>
          <t>Disco</t>
        </is>
      </c>
      <c r="B1119" t="n">
        <v>296060</v>
      </c>
      <c r="C1119" t="n">
        <v>295290</v>
      </c>
      <c r="D1119" t="inlineStr">
        <is>
          <t>Tío Nacho Acondicionador Ultrahidratante 200 Ml</t>
        </is>
      </c>
      <c r="E1119" t="inlineStr">
        <is>
          <t>Tio Nacho</t>
        </is>
      </c>
      <c r="F1119" t="n">
        <v>357.13</v>
      </c>
      <c r="G1119" t="n">
        <v>29515</v>
      </c>
      <c r="H1119" t="b">
        <v>0</v>
      </c>
      <c r="I1119" t="n">
        <v>200</v>
      </c>
      <c r="J1119" t="n">
        <v>1.7856</v>
      </c>
      <c r="K1119" t="inlineStr">
        <is>
          <t>&gt; Perfumería &gt; Cuidado Capilar &gt; Acondicionador &gt;</t>
        </is>
      </c>
      <c r="L1119" t="inlineStr">
        <is>
          <t>acondicionador</t>
        </is>
      </c>
      <c r="M1119" t="inlineStr">
        <is>
          <t>estandar</t>
        </is>
      </c>
      <c r="N1119" t="inlineStr">
        <is>
          <t>seco_danado</t>
        </is>
      </c>
      <c r="O1119" t="inlineStr">
        <is>
          <t>https://www.disco.com.ar/tio-nacho-acondicionador-ultrahidratante-200-ml/p</t>
        </is>
      </c>
    </row>
    <row r="1120">
      <c r="A1120" s="10" t="inlineStr">
        <is>
          <t>Disco</t>
        </is>
      </c>
      <c r="B1120" s="10" t="n">
        <v>295742</v>
      </c>
      <c r="C1120" s="10" t="n">
        <v>294972</v>
      </c>
      <c r="D1120" s="10" t="inlineStr">
        <is>
          <t>Acondicionador Dove Ritual De Crecimiento 400 Ml</t>
        </is>
      </c>
      <c r="E1120" s="10" t="inlineStr">
        <is>
          <t>DOVE</t>
        </is>
      </c>
      <c r="F1120" s="10" t="n">
        <v>477.49</v>
      </c>
      <c r="G1120" s="10" t="n">
        <v>39462</v>
      </c>
      <c r="H1120" s="10" t="b">
        <v>0</v>
      </c>
      <c r="I1120" s="10" t="n">
        <v>400</v>
      </c>
      <c r="J1120" s="10" t="n">
        <v>1.1937</v>
      </c>
      <c r="K1120" s="10" t="inlineStr">
        <is>
          <t>&gt; Perfumería &gt; Cuidado Capilar &gt; Acondicionador &gt;</t>
        </is>
      </c>
      <c r="L1120" s="10" t="inlineStr">
        <is>
          <t>acondicionador</t>
        </is>
      </c>
      <c r="M1120" s="10" t="inlineStr">
        <is>
          <t>estandar</t>
        </is>
      </c>
      <c r="N1120" s="10" t="inlineStr">
        <is>
          <t>general</t>
        </is>
      </c>
      <c r="O1120" s="10" t="inlineStr">
        <is>
          <t>https://www.disco.com.ar/acondicionador-dove-ritual-de-crecimiento-400-ml/p</t>
        </is>
      </c>
    </row>
    <row r="1121">
      <c r="A1121" t="inlineStr">
        <is>
          <t>Disco</t>
        </is>
      </c>
      <c r="B1121" t="n">
        <v>294872</v>
      </c>
      <c r="C1121" t="n">
        <v>294102</v>
      </c>
      <c r="D1121" t="inlineStr">
        <is>
          <t>Acondicionador Head&amp;shoulder Purif Capi 375ml</t>
        </is>
      </c>
      <c r="E1121" t="inlineStr">
        <is>
          <t>HEAD &amp; SHOULDERS</t>
        </is>
      </c>
      <c r="F1121" t="n">
        <v>285.17</v>
      </c>
      <c r="G1121" t="n">
        <v>23568</v>
      </c>
      <c r="H1121" t="b">
        <v>0</v>
      </c>
      <c r="I1121" t="n">
        <v>375</v>
      </c>
      <c r="J1121" t="n">
        <v>0.7605</v>
      </c>
      <c r="K1121" t="inlineStr">
        <is>
          <t>&gt; Perfumería &gt; Cuidado Capilar &gt; Acondicionador &gt;</t>
        </is>
      </c>
      <c r="L1121" t="inlineStr">
        <is>
          <t>acondicionador</t>
        </is>
      </c>
      <c r="M1121" t="inlineStr">
        <is>
          <t>estandar</t>
        </is>
      </c>
      <c r="N1121" t="inlineStr">
        <is>
          <t>general</t>
        </is>
      </c>
      <c r="O1121" t="inlineStr">
        <is>
          <t>https://www.disco.com.ar/acondicionador-head-shoulder-purif-capi-375ml/p</t>
        </is>
      </c>
    </row>
    <row r="1122">
      <c r="A1122" s="10" t="inlineStr">
        <is>
          <t>Disco</t>
        </is>
      </c>
      <c r="B1122" s="10" t="n">
        <v>277774</v>
      </c>
      <c r="C1122" s="10" t="n">
        <v>277052</v>
      </c>
      <c r="D1122" s="10" t="inlineStr">
        <is>
          <t>Promo Acondicionador Anti Edad 20% Off</t>
        </is>
      </c>
      <c r="E1122" s="10" t="inlineStr">
        <is>
          <t>Tio Nacho</t>
        </is>
      </c>
      <c r="F1122" s="10" t="n">
        <v>185.35</v>
      </c>
      <c r="G1122" s="10" t="n">
        <v>185.35</v>
      </c>
      <c r="H1122" s="10" t="b">
        <v>0</v>
      </c>
      <c r="I1122" s="10" t="inlineStr"/>
      <c r="J1122" s="10" t="inlineStr"/>
      <c r="K1122" s="10" t="inlineStr">
        <is>
          <t>&gt; Perfumería &gt; Cuidado Capilar &gt; Acondicionador &gt;</t>
        </is>
      </c>
      <c r="L1122" s="10" t="inlineStr">
        <is>
          <t>acondicionador</t>
        </is>
      </c>
      <c r="M1122" s="10" t="inlineStr">
        <is>
          <t>estandar</t>
        </is>
      </c>
      <c r="N1122" s="10" t="inlineStr">
        <is>
          <t>general</t>
        </is>
      </c>
      <c r="O1122" s="10" t="inlineStr">
        <is>
          <t>https://www.disco.com.ar/promo-acondicionador-anti-edad-20-off/p</t>
        </is>
      </c>
    </row>
    <row r="1123">
      <c r="A1123" t="inlineStr">
        <is>
          <t>Disco</t>
        </is>
      </c>
      <c r="B1123" t="n">
        <v>276912</v>
      </c>
      <c r="C1123" t="n">
        <v>276198</v>
      </c>
      <c r="D1123" t="inlineStr">
        <is>
          <t>Acondicionador Rulos Hidratados 200 Ml Roby Acondicionador Roby Rulos Hidratados 200 Ml</t>
        </is>
      </c>
      <c r="E1123" t="inlineStr">
        <is>
          <t>ROBY</t>
        </is>
      </c>
      <c r="F1123" t="n">
        <v>87.22</v>
      </c>
      <c r="G1123" t="n">
        <v>87.22</v>
      </c>
      <c r="H1123" t="b">
        <v>0</v>
      </c>
      <c r="I1123" t="n">
        <v>200</v>
      </c>
      <c r="J1123" t="n">
        <v>0.4361</v>
      </c>
      <c r="K1123" t="inlineStr">
        <is>
          <t>&gt; Perfumería &gt; Cuidado Capilar &gt; Acondicionador &gt;</t>
        </is>
      </c>
      <c r="L1123" t="inlineStr">
        <is>
          <t>acondicionador</t>
        </is>
      </c>
      <c r="M1123" t="inlineStr">
        <is>
          <t>estandar</t>
        </is>
      </c>
      <c r="N1123" t="inlineStr">
        <is>
          <t>rizado</t>
        </is>
      </c>
      <c r="O1123" t="inlineStr">
        <is>
          <t>https://www.disco.com.ar/acondicionador-roby-rulos-hidratados-200-ml/p</t>
        </is>
      </c>
    </row>
    <row r="1124">
      <c r="A1124" s="10" t="inlineStr">
        <is>
          <t>Disco</t>
        </is>
      </c>
      <c r="B1124" s="10" t="n">
        <v>276911</v>
      </c>
      <c r="C1124" s="10" t="n">
        <v>276197</v>
      </c>
      <c r="D1124" s="10" t="inlineStr">
        <is>
          <t>Acondicionador Lacio Sedoso 200 Ml Roby Acondicionador Roby Lacio Sedoso 200 Ml</t>
        </is>
      </c>
      <c r="E1124" s="10" t="inlineStr">
        <is>
          <t>ROBY</t>
        </is>
      </c>
      <c r="F1124" s="10" t="n">
        <v>87.45999999999999</v>
      </c>
      <c r="G1124" s="10" t="n">
        <v>87.45999999999999</v>
      </c>
      <c r="H1124" s="10" t="b">
        <v>0</v>
      </c>
      <c r="I1124" s="10" t="n">
        <v>200</v>
      </c>
      <c r="J1124" s="10" t="n">
        <v>0.4373</v>
      </c>
      <c r="K1124" s="10" t="inlineStr">
        <is>
          <t>&gt; Perfumería &gt; Cuidado Capilar &gt; Acondicionador &gt;</t>
        </is>
      </c>
      <c r="L1124" s="10" t="inlineStr">
        <is>
          <t>acondicionador</t>
        </is>
      </c>
      <c r="M1124" s="10" t="inlineStr">
        <is>
          <t>estandar</t>
        </is>
      </c>
      <c r="N1124" s="10" t="inlineStr">
        <is>
          <t>tratado</t>
        </is>
      </c>
      <c r="O1124" s="10" t="inlineStr">
        <is>
          <t>https://www.disco.com.ar/acondicionador-roby-lacio-sedoso-200-ml/p</t>
        </is>
      </c>
    </row>
    <row r="1125">
      <c r="A1125" t="inlineStr">
        <is>
          <t>Disco</t>
        </is>
      </c>
      <c r="B1125" t="n">
        <v>275449</v>
      </c>
      <c r="C1125" t="n">
        <v>274745</v>
      </c>
      <c r="D1125" t="inlineStr">
        <is>
          <t>Acondicionador Head &amp; Shoulders 180 Ml</t>
        </is>
      </c>
      <c r="E1125" t="inlineStr">
        <is>
          <t>HEAD &amp; SHOULDERS</t>
        </is>
      </c>
      <c r="F1125" t="n">
        <v>310.59</v>
      </c>
      <c r="G1125" t="n">
        <v>25669</v>
      </c>
      <c r="H1125" t="b">
        <v>0</v>
      </c>
      <c r="I1125" t="n">
        <v>180</v>
      </c>
      <c r="J1125" t="n">
        <v>1.7255</v>
      </c>
      <c r="K1125" t="inlineStr">
        <is>
          <t>&gt; Perfumería &gt; Cuidado Capilar &gt; Acondicionador &gt;</t>
        </is>
      </c>
      <c r="L1125" t="inlineStr">
        <is>
          <t>acondicionador</t>
        </is>
      </c>
      <c r="M1125" t="inlineStr">
        <is>
          <t>estandar</t>
        </is>
      </c>
      <c r="N1125" t="inlineStr">
        <is>
          <t>general</t>
        </is>
      </c>
      <c r="O1125" t="inlineStr">
        <is>
          <t>https://www.disco.com.ar/acondicionador-head-shoulders-180-ml/p</t>
        </is>
      </c>
    </row>
    <row r="1126">
      <c r="A1126" s="10" t="inlineStr">
        <is>
          <t>Disco</t>
        </is>
      </c>
      <c r="B1126" s="10" t="n">
        <v>248651</v>
      </c>
      <c r="C1126" s="10" t="n">
        <v>245633</v>
      </c>
      <c r="D1126" s="10" t="inlineStr">
        <is>
          <t>Acondicionador Sedal Bomba Argán 190 Ml</t>
        </is>
      </c>
      <c r="E1126" s="10" t="inlineStr">
        <is>
          <t>SEDAL</t>
        </is>
      </c>
      <c r="F1126" s="10" t="n">
        <v>130.65</v>
      </c>
      <c r="G1126" s="10" t="n">
        <v>10798</v>
      </c>
      <c r="H1126" s="10" t="b">
        <v>0</v>
      </c>
      <c r="I1126" s="10" t="n">
        <v>190</v>
      </c>
      <c r="J1126" s="10" t="n">
        <v>0.6876</v>
      </c>
      <c r="K1126" s="10" t="inlineStr">
        <is>
          <t>&gt; Perfumería &gt; Cuidado Capilar &gt; Acondicionador &gt;</t>
        </is>
      </c>
      <c r="L1126" s="10" t="inlineStr">
        <is>
          <t>acondicionador</t>
        </is>
      </c>
      <c r="M1126" s="10" t="inlineStr">
        <is>
          <t>estandar</t>
        </is>
      </c>
      <c r="N1126" s="10" t="inlineStr">
        <is>
          <t>general</t>
        </is>
      </c>
      <c r="O1126" s="10" t="inlineStr">
        <is>
          <t>https://www.disco.com.ar/acondicionador-sedal-bomba-argan-190-ml-2/p</t>
        </is>
      </c>
    </row>
    <row r="1127">
      <c r="A1127" t="inlineStr">
        <is>
          <t>Disco</t>
        </is>
      </c>
      <c r="B1127" t="n">
        <v>246468</v>
      </c>
      <c r="C1127" t="n">
        <v>243358</v>
      </c>
      <c r="D1127" t="inlineStr">
        <is>
          <t>Acondicionador Dove óleo Nutrición 750 Ml</t>
        </is>
      </c>
      <c r="E1127" t="inlineStr">
        <is>
          <t>DOVE</t>
        </is>
      </c>
      <c r="F1127" t="n">
        <v>266.25</v>
      </c>
      <c r="G1127" t="n">
        <v>22004</v>
      </c>
      <c r="H1127" t="b">
        <v>0</v>
      </c>
      <c r="I1127" t="n">
        <v>750</v>
      </c>
      <c r="J1127" t="n">
        <v>0.355</v>
      </c>
      <c r="K1127" t="inlineStr">
        <is>
          <t>&gt; Perfumería &gt; Cuidado Capilar &gt; Acondicionador &gt;</t>
        </is>
      </c>
      <c r="L1127" t="inlineStr">
        <is>
          <t>acondicionador</t>
        </is>
      </c>
      <c r="M1127" t="inlineStr">
        <is>
          <t>estandar</t>
        </is>
      </c>
      <c r="N1127" t="inlineStr">
        <is>
          <t>general</t>
        </is>
      </c>
      <c r="O1127" t="inlineStr">
        <is>
          <t>https://www.disco.com.ar/acondicionador-dove-oleo-nutricion-750-ml-3/p</t>
        </is>
      </c>
    </row>
    <row r="1128">
      <c r="A1128" s="10" t="inlineStr">
        <is>
          <t>Disco</t>
        </is>
      </c>
      <c r="B1128" s="10" t="n">
        <v>222765</v>
      </c>
      <c r="C1128" s="10" t="n">
        <v>218633</v>
      </c>
      <c r="D1128" s="10" t="inlineStr">
        <is>
          <t>Acondicionador Sedal Lissage X 240 Ml.</t>
        </is>
      </c>
      <c r="E1128" s="10" t="inlineStr">
        <is>
          <t>SEDAL</t>
        </is>
      </c>
      <c r="F1128" s="10" t="n">
        <v>5.45</v>
      </c>
      <c r="G1128" s="10" t="n">
        <v>5.45</v>
      </c>
      <c r="H1128" s="10" t="b">
        <v>0</v>
      </c>
      <c r="I1128" s="10" t="n">
        <v>240</v>
      </c>
      <c r="J1128" s="10" t="n">
        <v>0.0227</v>
      </c>
      <c r="K1128" s="10" t="inlineStr">
        <is>
          <t>&gt; Perfumería &gt; Cuidado Capilar &gt; Acondicionador &gt;</t>
        </is>
      </c>
      <c r="L1128" s="10" t="inlineStr">
        <is>
          <t>acondicionador</t>
        </is>
      </c>
      <c r="M1128" s="10" t="inlineStr">
        <is>
          <t>estandar</t>
        </is>
      </c>
      <c r="N1128" s="10" t="inlineStr">
        <is>
          <t>general</t>
        </is>
      </c>
      <c r="O1128" s="10" t="inlineStr">
        <is>
          <t>https://www.disco.com.ar/acondicionador-sedal-lissage-x-240-ml-208567/p</t>
        </is>
      </c>
    </row>
    <row r="1129">
      <c r="A1129" t="inlineStr">
        <is>
          <t>Disco</t>
        </is>
      </c>
      <c r="B1129" t="n">
        <v>221281</v>
      </c>
      <c r="C1129" t="n">
        <v>221890</v>
      </c>
      <c r="D1129" t="inlineStr">
        <is>
          <t>Acondicionador Sedal Hidraloe X 240 Ml.</t>
        </is>
      </c>
      <c r="E1129" t="inlineStr">
        <is>
          <t>SEDAL</t>
        </is>
      </c>
      <c r="F1129" t="n">
        <v>5.45</v>
      </c>
      <c r="G1129" t="n">
        <v>5.45</v>
      </c>
      <c r="H1129" t="b">
        <v>0</v>
      </c>
      <c r="I1129" t="n">
        <v>240</v>
      </c>
      <c r="J1129" t="n">
        <v>0.0227</v>
      </c>
      <c r="K1129" t="inlineStr">
        <is>
          <t>&gt; Perfumería &gt; Cuidado Capilar &gt; Acondicionador &gt;</t>
        </is>
      </c>
      <c r="L1129" t="inlineStr">
        <is>
          <t>acondicionador</t>
        </is>
      </c>
      <c r="M1129" t="inlineStr">
        <is>
          <t>estandar</t>
        </is>
      </c>
      <c r="N1129" t="inlineStr">
        <is>
          <t>general</t>
        </is>
      </c>
      <c r="O1129" t="inlineStr">
        <is>
          <t>https://www.disco.com.ar/acondicionador-sedal-hidraloe-x-240-ml-204086/p</t>
        </is>
      </c>
    </row>
    <row r="1130">
      <c r="A1130" s="10" t="inlineStr">
        <is>
          <t>Disco</t>
        </is>
      </c>
      <c r="B1130" s="10" t="n">
        <v>185287</v>
      </c>
      <c r="C1130" s="10" t="n">
        <v>210446</v>
      </c>
      <c r="D1130" s="10" t="inlineStr">
        <is>
          <t>Acondicionador Barney Calendula Pvc 250 Ml</t>
        </is>
      </c>
      <c r="E1130" s="10" t="inlineStr">
        <is>
          <t>BARNEY</t>
        </is>
      </c>
      <c r="F1130" s="10" t="n">
        <v>7.59</v>
      </c>
      <c r="G1130" s="10" t="n">
        <v>7.59</v>
      </c>
      <c r="H1130" s="10" t="b">
        <v>0</v>
      </c>
      <c r="I1130" s="10" t="n">
        <v>250</v>
      </c>
      <c r="J1130" s="10" t="n">
        <v>0.0304</v>
      </c>
      <c r="K1130" s="10" t="inlineStr">
        <is>
          <t>&gt; Mundo Bebe &gt; Higiene para el Bebe &gt;</t>
        </is>
      </c>
      <c r="L1130" s="10" t="inlineStr">
        <is>
          <t>acondicionador</t>
        </is>
      </c>
      <c r="M1130" s="10" t="inlineStr">
        <is>
          <t>estandar</t>
        </is>
      </c>
      <c r="N1130" s="10" t="inlineStr">
        <is>
          <t>general</t>
        </is>
      </c>
      <c r="O1130" s="10" t="inlineStr">
        <is>
          <t>https://www.disco.com.ar/acondicionador-barney-2-259522/p</t>
        </is>
      </c>
    </row>
    <row r="1131">
      <c r="A1131" t="inlineStr">
        <is>
          <t>Disco</t>
        </is>
      </c>
      <c r="B1131" t="n">
        <v>182939</v>
      </c>
      <c r="C1131" t="n">
        <v>204633</v>
      </c>
      <c r="D1131" t="inlineStr">
        <is>
          <t>Acondicionador Pantene Liso Y Sedos 200m</t>
        </is>
      </c>
      <c r="E1131" t="inlineStr">
        <is>
          <t>PANTENE</t>
        </is>
      </c>
      <c r="F1131" t="n">
        <v>5.29</v>
      </c>
      <c r="G1131" t="n">
        <v>5.29</v>
      </c>
      <c r="H1131" t="b">
        <v>0</v>
      </c>
      <c r="I1131" t="inlineStr"/>
      <c r="J1131" t="inlineStr"/>
      <c r="K1131" t="inlineStr">
        <is>
          <t>&gt; Perfumería &gt; Cuidado Capilar &gt; Acondicionador &gt;</t>
        </is>
      </c>
      <c r="L1131" t="inlineStr">
        <is>
          <t>acondicionador</t>
        </is>
      </c>
      <c r="M1131" t="inlineStr">
        <is>
          <t>estandar</t>
        </is>
      </c>
      <c r="N1131" t="inlineStr">
        <is>
          <t>general</t>
        </is>
      </c>
      <c r="O1131" t="inlineStr">
        <is>
          <t>https://www.disco.com.ar/acondicionador-pantene-26-193781/p</t>
        </is>
      </c>
    </row>
    <row r="1132">
      <c r="A1132" s="10" t="inlineStr">
        <is>
          <t>Disco</t>
        </is>
      </c>
      <c r="B1132" s="10" t="n">
        <v>174861</v>
      </c>
      <c r="C1132" s="10" t="n">
        <v>186486</v>
      </c>
      <c r="D1132" s="10" t="inlineStr">
        <is>
          <t>Acondicionador Sedal Castaños Pvc 350 Ml</t>
        </is>
      </c>
      <c r="E1132" s="10" t="inlineStr">
        <is>
          <t>SEDAL</t>
        </is>
      </c>
      <c r="F1132" s="10" t="n">
        <v>5.52</v>
      </c>
      <c r="G1132" s="10" t="n">
        <v>5.52</v>
      </c>
      <c r="H1132" s="10" t="b">
        <v>0</v>
      </c>
      <c r="I1132" s="10" t="n">
        <v>350</v>
      </c>
      <c r="J1132" s="10" t="n">
        <v>0.0158</v>
      </c>
      <c r="K1132" s="10" t="inlineStr">
        <is>
          <t>&gt; Perfumería &gt; Cuidado Capilar &gt; Acondicionador &gt;</t>
        </is>
      </c>
      <c r="L1132" s="10" t="inlineStr">
        <is>
          <t>acondicionador</t>
        </is>
      </c>
      <c r="M1132" s="10" t="inlineStr">
        <is>
          <t>estandar</t>
        </is>
      </c>
      <c r="N1132" s="10" t="inlineStr">
        <is>
          <t>general</t>
        </is>
      </c>
      <c r="O1132" s="10" t="inlineStr">
        <is>
          <t>https://www.disco.com.ar/acondicionador-sedal-pvc-200-ml-238345/p</t>
        </is>
      </c>
    </row>
    <row r="1133">
      <c r="A1133" t="inlineStr">
        <is>
          <t>Disco</t>
        </is>
      </c>
      <c r="B1133" t="n">
        <v>174725</v>
      </c>
      <c r="C1133" t="n">
        <v>186114</v>
      </c>
      <c r="D1133" t="inlineStr">
        <is>
          <t>Acondicionador Sedal Balance Pvc 350 Ml</t>
        </is>
      </c>
      <c r="E1133" t="inlineStr">
        <is>
          <t>SEDAL</t>
        </is>
      </c>
      <c r="F1133" t="n">
        <v>8.390000000000001</v>
      </c>
      <c r="G1133" t="n">
        <v>8.390000000000001</v>
      </c>
      <c r="H1133" t="b">
        <v>0</v>
      </c>
      <c r="I1133" t="n">
        <v>350</v>
      </c>
      <c r="J1133" t="n">
        <v>0.024</v>
      </c>
      <c r="K1133" t="inlineStr">
        <is>
          <t>&gt; Perfumería &gt; Cuidado Capilar &gt; Acondicionador &gt;</t>
        </is>
      </c>
      <c r="L1133" t="inlineStr">
        <is>
          <t>acondicionador</t>
        </is>
      </c>
      <c r="M1133" t="inlineStr">
        <is>
          <t>estandar</t>
        </is>
      </c>
      <c r="N1133" t="inlineStr">
        <is>
          <t>general</t>
        </is>
      </c>
      <c r="O1133" t="inlineStr">
        <is>
          <t>https://www.disco.com.ar/acondicionador-sedal-pvc-350-ml-3-238330/p</t>
        </is>
      </c>
    </row>
    <row r="1134">
      <c r="A1134" s="10" t="inlineStr">
        <is>
          <t>Disco</t>
        </is>
      </c>
      <c r="B1134" s="10" t="n">
        <v>160643</v>
      </c>
      <c r="C1134" s="10" t="n">
        <v>158193</v>
      </c>
      <c r="D1134" s="10" t="inlineStr">
        <is>
          <t>Acondicionador Comfort Jojoba X  900 Ml.</t>
        </is>
      </c>
      <c r="E1134" s="10" t="inlineStr">
        <is>
          <t>COMFORT</t>
        </is>
      </c>
      <c r="F1134" s="10" t="n">
        <v>6.47</v>
      </c>
      <c r="G1134" s="10" t="n">
        <v>6.47</v>
      </c>
      <c r="H1134" s="10" t="b">
        <v>0</v>
      </c>
      <c r="I1134" s="10" t="n">
        <v>900</v>
      </c>
      <c r="J1134" s="10" t="n">
        <v>0.0072</v>
      </c>
      <c r="K1134" s="10" t="inlineStr">
        <is>
          <t>&gt; Limpieza &gt; Cuidado Para La Ropa &gt; Suavizantes &gt;</t>
        </is>
      </c>
      <c r="L1134" s="10" t="inlineStr">
        <is>
          <t>acondicionador</t>
        </is>
      </c>
      <c r="M1134" s="10" t="inlineStr">
        <is>
          <t>estandar</t>
        </is>
      </c>
      <c r="N1134" s="10" t="inlineStr">
        <is>
          <t>general</t>
        </is>
      </c>
      <c r="O1134" s="10" t="inlineStr">
        <is>
          <t>https://www.disco.com.ar/acondicionador-comfort-jojoba-x-900-ml-2/p</t>
        </is>
      </c>
    </row>
    <row r="1135">
      <c r="A1135" t="inlineStr">
        <is>
          <t>Disco</t>
        </is>
      </c>
      <c r="B1135" t="n">
        <v>149891</v>
      </c>
      <c r="C1135" t="n">
        <v>146800</v>
      </c>
      <c r="D1135" t="inlineStr">
        <is>
          <t>Acondicionador Tresemmé-rituals-repair-pvc-ml.-400</t>
        </is>
      </c>
      <c r="E1135" t="inlineStr">
        <is>
          <t>TRESEMMÉ</t>
        </is>
      </c>
      <c r="F1135" t="n">
        <v>77.69</v>
      </c>
      <c r="G1135" t="n">
        <v>6421</v>
      </c>
      <c r="H1135" t="b">
        <v>0</v>
      </c>
      <c r="I1135" t="inlineStr"/>
      <c r="J1135" t="inlineStr"/>
      <c r="K1135" t="inlineStr">
        <is>
          <t>&gt; Perfumería &gt; Cuidado Capilar &gt; Acondicionador &gt;</t>
        </is>
      </c>
      <c r="L1135" t="inlineStr">
        <is>
          <t>acondicionador</t>
        </is>
      </c>
      <c r="M1135" t="inlineStr">
        <is>
          <t>profesional</t>
        </is>
      </c>
      <c r="N1135" t="inlineStr">
        <is>
          <t>general</t>
        </is>
      </c>
      <c r="O1135" t="inlineStr">
        <is>
          <t>https://www.disco.com.ar/acondicionador-tresemme-rituals-repair-pvc-ml-400-2/p</t>
        </is>
      </c>
    </row>
    <row r="1136">
      <c r="A1136" s="10" t="inlineStr">
        <is>
          <t>Disco</t>
        </is>
      </c>
      <c r="B1136" s="10" t="n">
        <v>149882</v>
      </c>
      <c r="C1136" s="10" t="n">
        <v>146791</v>
      </c>
      <c r="D1136" s="10" t="inlineStr">
        <is>
          <t>Acondicionador Tresemmé-rituals-repair-pvc-ml.-900</t>
        </is>
      </c>
      <c r="E1136" s="10" t="inlineStr">
        <is>
          <t>TRESEMMÉ</t>
        </is>
      </c>
      <c r="F1136" s="10" t="n">
        <v>32.59</v>
      </c>
      <c r="G1136" s="10" t="n">
        <v>2693</v>
      </c>
      <c r="H1136" s="10" t="b">
        <v>0</v>
      </c>
      <c r="I1136" s="10" t="inlineStr"/>
      <c r="J1136" s="10" t="inlineStr"/>
      <c r="K1136" s="10" t="inlineStr">
        <is>
          <t>&gt; Perfumería &gt; Cuidado Capilar &gt; Acondicionador &gt;</t>
        </is>
      </c>
      <c r="L1136" s="10" t="inlineStr">
        <is>
          <t>acondicionador</t>
        </is>
      </c>
      <c r="M1136" s="10" t="inlineStr">
        <is>
          <t>profesional</t>
        </is>
      </c>
      <c r="N1136" s="10" t="inlineStr">
        <is>
          <t>general</t>
        </is>
      </c>
      <c r="O1136" s="10" t="inlineStr">
        <is>
          <t>https://www.disco.com.ar/acondicionador-tresemme-rituals-repair-pvc-ml-900-2/p</t>
        </is>
      </c>
    </row>
    <row r="1137">
      <c r="A1137" t="inlineStr">
        <is>
          <t>Disco</t>
        </is>
      </c>
      <c r="B1137" t="n">
        <v>149318</v>
      </c>
      <c r="C1137" t="n">
        <v>146210</v>
      </c>
      <c r="D1137" t="inlineStr">
        <is>
          <t>Acondicionador Tresemmé-smooth Keratin-pvc-ml.-400</t>
        </is>
      </c>
      <c r="E1137" t="inlineStr">
        <is>
          <t>TRESEMMÉ</t>
        </is>
      </c>
      <c r="F1137" t="n">
        <v>51.87</v>
      </c>
      <c r="G1137" t="n">
        <v>4287</v>
      </c>
      <c r="H1137" t="b">
        <v>0</v>
      </c>
      <c r="I1137" t="inlineStr"/>
      <c r="J1137" t="inlineStr"/>
      <c r="K1137" t="inlineStr">
        <is>
          <t>&gt; Perfumería &gt; Cuidado Capilar &gt; Acondicionador &gt;</t>
        </is>
      </c>
      <c r="L1137" t="inlineStr">
        <is>
          <t>acondicionador</t>
        </is>
      </c>
      <c r="M1137" t="inlineStr">
        <is>
          <t>estandar</t>
        </is>
      </c>
      <c r="N1137" t="inlineStr">
        <is>
          <t>general</t>
        </is>
      </c>
      <c r="O1137" t="inlineStr">
        <is>
          <t>https://www.disco.com.ar/acondicionador-tresemme-smooth-keratin-pvc-ml-400-2/p</t>
        </is>
      </c>
    </row>
    <row r="1138">
      <c r="A1138" s="10" t="inlineStr">
        <is>
          <t>Disco</t>
        </is>
      </c>
      <c r="B1138" s="10" t="n">
        <v>135930</v>
      </c>
      <c r="C1138" s="10" t="n">
        <v>132842</v>
      </c>
      <c r="D1138" s="10" t="inlineStr">
        <is>
          <t>Acondicionador Sedal Sos-balance-pmo-ml.-300</t>
        </is>
      </c>
      <c r="E1138" s="10" t="inlineStr">
        <is>
          <t>SEDAL SOS</t>
        </is>
      </c>
      <c r="F1138" s="10" t="n">
        <v>14.45</v>
      </c>
      <c r="G1138" s="10" t="n">
        <v>14.45</v>
      </c>
      <c r="H1138" s="10" t="b">
        <v>0</v>
      </c>
      <c r="I1138" s="10" t="inlineStr"/>
      <c r="J1138" s="10" t="inlineStr"/>
      <c r="K1138" s="10" t="inlineStr">
        <is>
          <t>&gt; Perfumería &gt; Cuidado Capilar &gt; Acondicionador &gt;</t>
        </is>
      </c>
      <c r="L1138" s="10" t="inlineStr">
        <is>
          <t>acondicionador</t>
        </is>
      </c>
      <c r="M1138" s="10" t="inlineStr">
        <is>
          <t>estandar</t>
        </is>
      </c>
      <c r="N1138" s="10" t="inlineStr">
        <is>
          <t>general</t>
        </is>
      </c>
      <c r="O1138" s="10" t="inlineStr">
        <is>
          <t>https://www.disco.com.ar/acondicionador-sedal-sos-balance-pmo-ml-300/p</t>
        </is>
      </c>
    </row>
    <row r="1139">
      <c r="A1139" t="inlineStr">
        <is>
          <t>Disco</t>
        </is>
      </c>
      <c r="B1139" t="n">
        <v>132354</v>
      </c>
      <c r="C1139" t="n">
        <v>129270</v>
      </c>
      <c r="D1139" t="inlineStr">
        <is>
          <t>Acondicionador Pantene Brillo Extremo 400 Ml</t>
        </is>
      </c>
      <c r="E1139" t="inlineStr">
        <is>
          <t>PANTENE</t>
        </is>
      </c>
      <c r="F1139" t="n">
        <v>97.29000000000001</v>
      </c>
      <c r="G1139" t="n">
        <v>8041</v>
      </c>
      <c r="H1139" t="b">
        <v>0</v>
      </c>
      <c r="I1139" t="n">
        <v>400</v>
      </c>
      <c r="J1139" t="n">
        <v>0.2432</v>
      </c>
      <c r="K1139" t="inlineStr">
        <is>
          <t>&gt; Perfumería &gt; Cuidado Capilar &gt; Acondicionador &gt;</t>
        </is>
      </c>
      <c r="L1139" t="inlineStr">
        <is>
          <t>acondicionador</t>
        </is>
      </c>
      <c r="M1139" t="inlineStr">
        <is>
          <t>estandar</t>
        </is>
      </c>
      <c r="N1139" t="inlineStr">
        <is>
          <t>general</t>
        </is>
      </c>
      <c r="O1139" t="inlineStr">
        <is>
          <t>https://www.disco.com.ar/acondicionador-pantene-brillo-extremo-400-ml-2/p</t>
        </is>
      </c>
    </row>
    <row r="1140">
      <c r="A1140" s="10" t="inlineStr">
        <is>
          <t>Disco</t>
        </is>
      </c>
      <c r="B1140" s="10" t="n">
        <v>132250</v>
      </c>
      <c r="C1140" s="10" t="n">
        <v>129166</v>
      </c>
      <c r="D1140" s="10" t="inlineStr">
        <is>
          <t>Acondicionador Pantene Rizos Definidos 400 Ml</t>
        </is>
      </c>
      <c r="E1140" s="10" t="inlineStr">
        <is>
          <t>PANTENE</t>
        </is>
      </c>
      <c r="F1140" s="10" t="n">
        <v>48.79</v>
      </c>
      <c r="G1140" s="10" t="n">
        <v>4032</v>
      </c>
      <c r="H1140" s="10" t="b">
        <v>0</v>
      </c>
      <c r="I1140" s="10" t="n">
        <v>400</v>
      </c>
      <c r="J1140" s="10" t="n">
        <v>0.122</v>
      </c>
      <c r="K1140" s="10" t="inlineStr">
        <is>
          <t>&gt; Perfumería &gt; Cuidado Capilar &gt; Acondicionador &gt;</t>
        </is>
      </c>
      <c r="L1140" s="10" t="inlineStr">
        <is>
          <t>acondicionador</t>
        </is>
      </c>
      <c r="M1140" s="10" t="inlineStr">
        <is>
          <t>estandar</t>
        </is>
      </c>
      <c r="N1140" s="10" t="inlineStr">
        <is>
          <t>rizado</t>
        </is>
      </c>
      <c r="O1140" s="10" t="inlineStr">
        <is>
          <t>https://www.disco.com.ar/acondicionador-pantene-rizos-definidos-400-ml-2/p</t>
        </is>
      </c>
    </row>
    <row r="1141">
      <c r="A1141" t="inlineStr">
        <is>
          <t>Disco</t>
        </is>
      </c>
      <c r="B1141" t="n">
        <v>124907</v>
      </c>
      <c r="C1141" t="n">
        <v>123910</v>
      </c>
      <c r="D1141" t="inlineStr">
        <is>
          <t>Acondicionador Comfort Classic Bidon 4 Lt</t>
        </is>
      </c>
      <c r="E1141" t="inlineStr">
        <is>
          <t>COMFORT</t>
        </is>
      </c>
      <c r="F1141" t="n">
        <v>25.05</v>
      </c>
      <c r="G1141" t="n">
        <v>25.05</v>
      </c>
      <c r="H1141" t="b">
        <v>0</v>
      </c>
      <c r="I1141" t="inlineStr"/>
      <c r="J1141" t="inlineStr"/>
      <c r="K1141" t="inlineStr">
        <is>
          <t>&gt; Limpieza &gt; Cuidado Para La Ropa &gt; Suavizantes &gt;</t>
        </is>
      </c>
      <c r="L1141" t="inlineStr">
        <is>
          <t>acondicionador</t>
        </is>
      </c>
      <c r="M1141" t="inlineStr">
        <is>
          <t>estandar</t>
        </is>
      </c>
      <c r="N1141" t="inlineStr">
        <is>
          <t>general</t>
        </is>
      </c>
      <c r="O1141" t="inlineStr">
        <is>
          <t>https://www.disco.com.ar/acondicionador-comfort-classic-bidon-4-lt/p</t>
        </is>
      </c>
    </row>
    <row r="1142">
      <c r="A1142" s="10" t="inlineStr">
        <is>
          <t>Disco</t>
        </is>
      </c>
      <c r="B1142" s="10" t="n">
        <v>124450</v>
      </c>
      <c r="C1142" s="10" t="n">
        <v>123453</v>
      </c>
      <c r="D1142" s="10" t="inlineStr">
        <is>
          <t>Acondicionador Vea Crema  Pvc 500 Cc.</t>
        </is>
      </c>
      <c r="E1142" s="10" t="inlineStr">
        <is>
          <t>VEA</t>
        </is>
      </c>
      <c r="F1142" s="10" t="n">
        <v>3.59</v>
      </c>
      <c r="G1142" s="10" t="n">
        <v>297</v>
      </c>
      <c r="H1142" s="10" t="b">
        <v>0</v>
      </c>
      <c r="I1142" s="10" t="inlineStr"/>
      <c r="J1142" s="10" t="inlineStr"/>
      <c r="K1142" s="10" t="inlineStr">
        <is>
          <t>&gt; Perfumería &gt; Cuidado Capilar &gt; Acondicionador &gt;</t>
        </is>
      </c>
      <c r="L1142" s="10" t="inlineStr">
        <is>
          <t>acondicionador</t>
        </is>
      </c>
      <c r="M1142" s="10" t="inlineStr">
        <is>
          <t>estandar</t>
        </is>
      </c>
      <c r="N1142" s="10" t="inlineStr">
        <is>
          <t>general</t>
        </is>
      </c>
      <c r="O1142" s="10" t="inlineStr">
        <is>
          <t>https://www.disco.com.ar/acondicionador-vea-crema-pvc-500-cc/p</t>
        </is>
      </c>
    </row>
    <row r="1143">
      <c r="A1143" t="inlineStr">
        <is>
          <t>Disco</t>
        </is>
      </c>
      <c r="B1143" t="n">
        <v>91910</v>
      </c>
      <c r="C1143" t="n">
        <v>89238</v>
      </c>
      <c r="D1143" t="inlineStr">
        <is>
          <t>Acondicionador Tresemmé Climate-control-pet-ml.-900</t>
        </is>
      </c>
      <c r="E1143" t="inlineStr">
        <is>
          <t>TRESEMMÉ</t>
        </is>
      </c>
      <c r="F1143" t="n">
        <v>26.99</v>
      </c>
      <c r="G1143" t="n">
        <v>2231</v>
      </c>
      <c r="H1143" t="b">
        <v>0</v>
      </c>
      <c r="I1143" t="inlineStr"/>
      <c r="J1143" t="inlineStr"/>
      <c r="K1143" t="inlineStr">
        <is>
          <t>&gt; Perfumería &gt; Cuidado Capilar &gt; Acondicionador &gt;</t>
        </is>
      </c>
      <c r="L1143" t="inlineStr">
        <is>
          <t>acondicionador</t>
        </is>
      </c>
      <c r="M1143" t="inlineStr">
        <is>
          <t>estandar</t>
        </is>
      </c>
      <c r="N1143" t="inlineStr">
        <is>
          <t>general</t>
        </is>
      </c>
      <c r="O1143" t="inlineStr">
        <is>
          <t>https://www.disco.com.ar/acondicionador-tresemme-climate-control-pet-ml-900/p</t>
        </is>
      </c>
    </row>
    <row r="1144">
      <c r="A1144" s="10" t="inlineStr">
        <is>
          <t>Disco</t>
        </is>
      </c>
      <c r="B1144" s="10" t="n">
        <v>91735</v>
      </c>
      <c r="C1144" s="10" t="n">
        <v>89064</v>
      </c>
      <c r="D1144" s="10" t="inlineStr">
        <is>
          <t>Acondicionador Tresemmé-split Remedy-pvc-ml.-900</t>
        </is>
      </c>
      <c r="E1144" s="10" t="inlineStr">
        <is>
          <t>TRESEMMÉ</t>
        </is>
      </c>
      <c r="F1144" s="10" t="n">
        <v>49.45</v>
      </c>
      <c r="G1144" s="10" t="n">
        <v>4087</v>
      </c>
      <c r="H1144" s="10" t="b">
        <v>0</v>
      </c>
      <c r="I1144" s="10" t="inlineStr"/>
      <c r="J1144" s="10" t="inlineStr"/>
      <c r="K1144" s="10" t="inlineStr">
        <is>
          <t>&gt; Perfumería &gt; Cuidado Capilar &gt; Acondicionador &gt;</t>
        </is>
      </c>
      <c r="L1144" s="10" t="inlineStr">
        <is>
          <t>acondicionador</t>
        </is>
      </c>
      <c r="M1144" s="10" t="inlineStr">
        <is>
          <t>estandar</t>
        </is>
      </c>
      <c r="N1144" s="10" t="inlineStr">
        <is>
          <t>general</t>
        </is>
      </c>
      <c r="O1144" s="10" t="inlineStr">
        <is>
          <t>https://www.disco.com.ar/acondicionador-tresemme-split-remedy-pvc-ml-900/p</t>
        </is>
      </c>
    </row>
    <row r="1145">
      <c r="A1145" t="inlineStr">
        <is>
          <t>Disco</t>
        </is>
      </c>
      <c r="B1145" t="n">
        <v>19520</v>
      </c>
      <c r="C1145" t="n">
        <v>16669</v>
      </c>
      <c r="D1145" t="inlineStr">
        <is>
          <t>Acondicionador Tresemmé Detox Capilar X 200ml</t>
        </is>
      </c>
      <c r="E1145" t="inlineStr">
        <is>
          <t>TRESEMMÉ</t>
        </is>
      </c>
      <c r="F1145" t="n">
        <v>123.69</v>
      </c>
      <c r="G1145" t="n">
        <v>10222</v>
      </c>
      <c r="H1145" t="b">
        <v>0</v>
      </c>
      <c r="I1145" t="n">
        <v>200</v>
      </c>
      <c r="J1145" t="n">
        <v>0.6183999999999999</v>
      </c>
      <c r="K1145" t="inlineStr">
        <is>
          <t>&gt; Perfumería &gt; Cuidado Capilar &gt; Acondicionador &gt;</t>
        </is>
      </c>
      <c r="L1145" t="inlineStr">
        <is>
          <t>acondicionador</t>
        </is>
      </c>
      <c r="M1145" t="inlineStr">
        <is>
          <t>estandar</t>
        </is>
      </c>
      <c r="N1145" t="inlineStr">
        <is>
          <t>general</t>
        </is>
      </c>
      <c r="O1145" t="inlineStr">
        <is>
          <t>https://www.disco.com.ar/acondicionador-tresemme-detox-capilar-x-200ml/p</t>
        </is>
      </c>
    </row>
    <row r="1146">
      <c r="A1146" s="10" t="inlineStr">
        <is>
          <t>Disco</t>
        </is>
      </c>
      <c r="B1146" s="10" t="n">
        <v>19519</v>
      </c>
      <c r="C1146" s="10" t="n">
        <v>16667</v>
      </c>
      <c r="D1146" s="10" t="inlineStr">
        <is>
          <t>Acondicionador Tresemme Hidratación Profunda 200 Ml</t>
        </is>
      </c>
      <c r="E1146" s="10" t="inlineStr">
        <is>
          <t>TRESEMMÉ</t>
        </is>
      </c>
      <c r="F1146" s="10" t="n">
        <v>123.69</v>
      </c>
      <c r="G1146" s="10" t="n">
        <v>10222</v>
      </c>
      <c r="H1146" s="10" t="b">
        <v>0</v>
      </c>
      <c r="I1146" s="10" t="n">
        <v>200</v>
      </c>
      <c r="J1146" s="10" t="n">
        <v>0.6183999999999999</v>
      </c>
      <c r="K1146" s="10" t="inlineStr">
        <is>
          <t>&gt; Perfumería &gt; Cuidado Capilar &gt; Acondicionador &gt;</t>
        </is>
      </c>
      <c r="L1146" s="10" t="inlineStr">
        <is>
          <t>acondicionador</t>
        </is>
      </c>
      <c r="M1146" s="10" t="inlineStr">
        <is>
          <t>estandar</t>
        </is>
      </c>
      <c r="N1146" s="10" t="inlineStr">
        <is>
          <t>seco_danado</t>
        </is>
      </c>
      <c r="O1146" s="10" t="inlineStr">
        <is>
          <t>https://www.disco.com.ar/acondicionador-tresemme-hidratacion-profunda-200-ml/p</t>
        </is>
      </c>
    </row>
    <row r="1147">
      <c r="A1147" t="inlineStr">
        <is>
          <t>Disco</t>
        </is>
      </c>
      <c r="B1147" t="n">
        <v>4033</v>
      </c>
      <c r="C1147" t="n">
        <v>248236</v>
      </c>
      <c r="D1147" t="inlineStr">
        <is>
          <t>Acondicionador Suave Niños Manzanilla 350 Ml</t>
        </is>
      </c>
      <c r="E1147" t="inlineStr">
        <is>
          <t>COTTON TAILS</t>
        </is>
      </c>
      <c r="F1147" t="n">
        <v>208.67</v>
      </c>
      <c r="G1147" t="n">
        <v>17245</v>
      </c>
      <c r="H1147" t="b">
        <v>0</v>
      </c>
      <c r="I1147" t="n">
        <v>350</v>
      </c>
      <c r="J1147" t="n">
        <v>0.5962</v>
      </c>
      <c r="K1147" t="inlineStr">
        <is>
          <t>&gt; Mundo Bebe &gt; Higiene para el Bebe &gt; Higiene del Bebé &gt;</t>
        </is>
      </c>
      <c r="L1147" t="inlineStr">
        <is>
          <t>acondicionador</t>
        </is>
      </c>
      <c r="M1147" t="inlineStr">
        <is>
          <t>estandar</t>
        </is>
      </c>
      <c r="N1147" t="inlineStr">
        <is>
          <t>bebe</t>
        </is>
      </c>
      <c r="O1147" t="inlineStr">
        <is>
          <t>https://www.disco.com.ar/acondicionador-suave-ninos-manzanilla-350-ml/p</t>
        </is>
      </c>
    </row>
    <row r="1148">
      <c r="A1148" s="10" t="inlineStr">
        <is>
          <t>Disco</t>
        </is>
      </c>
      <c r="B1148" s="10" t="n">
        <v>3516</v>
      </c>
      <c r="C1148" s="10" t="n">
        <v>248543</v>
      </c>
      <c r="D1148" s="10" t="inlineStr">
        <is>
          <t>Acondicionador Elvive Nutri Gloss 200 Ml</t>
        </is>
      </c>
      <c r="E1148" s="10" t="inlineStr">
        <is>
          <t>ELVIVE</t>
        </is>
      </c>
      <c r="F1148" s="10" t="n">
        <v>266.59</v>
      </c>
      <c r="G1148" s="10" t="n">
        <v>22032</v>
      </c>
      <c r="H1148" s="10" t="b">
        <v>0</v>
      </c>
      <c r="I1148" s="10" t="n">
        <v>200</v>
      </c>
      <c r="J1148" s="10" t="n">
        <v>1.3329</v>
      </c>
      <c r="K1148" s="10" t="inlineStr">
        <is>
          <t>&gt; Perfumería &gt; Cuidado Capilar &gt; Acondicionador &gt;</t>
        </is>
      </c>
      <c r="L1148" s="10" t="inlineStr">
        <is>
          <t>acondicionador</t>
        </is>
      </c>
      <c r="M1148" s="10" t="inlineStr">
        <is>
          <t>profesional</t>
        </is>
      </c>
      <c r="N1148" s="10" t="inlineStr">
        <is>
          <t>general</t>
        </is>
      </c>
      <c r="O1148" s="10" t="inlineStr">
        <is>
          <t>https://www.disco.com.ar/crema-de-enjuague-elvive-2/p</t>
        </is>
      </c>
    </row>
    <row r="1149">
      <c r="A1149" t="inlineStr">
        <is>
          <t>Disco</t>
        </is>
      </c>
      <c r="B1149" t="n">
        <v>2105</v>
      </c>
      <c r="C1149" t="n">
        <v>243345</v>
      </c>
      <c r="D1149" t="inlineStr">
        <is>
          <t>Acondicionador Baby Basic Manzanilla 400 Ml</t>
        </is>
      </c>
      <c r="E1149" t="inlineStr">
        <is>
          <t>BABY BASIC</t>
        </is>
      </c>
      <c r="F1149" t="n">
        <v>82.98999999999999</v>
      </c>
      <c r="G1149" t="n">
        <v>82.98999999999999</v>
      </c>
      <c r="H1149" t="b">
        <v>0</v>
      </c>
      <c r="I1149" t="n">
        <v>400</v>
      </c>
      <c r="J1149" t="n">
        <v>0.2075</v>
      </c>
      <c r="K1149" t="inlineStr">
        <is>
          <t>&gt; Mundo Bebe &gt; Higiene para el Bebe &gt; Higiene del Bebé &gt;</t>
        </is>
      </c>
      <c r="L1149" t="inlineStr">
        <is>
          <t>acondicionador</t>
        </is>
      </c>
      <c r="M1149" t="inlineStr">
        <is>
          <t>estandar</t>
        </is>
      </c>
      <c r="N1149" t="inlineStr">
        <is>
          <t>general</t>
        </is>
      </c>
      <c r="O1149" t="inlineStr">
        <is>
          <t>https://www.disco.com.ar/cr-enj-baby-basic-manzanilla/p</t>
        </is>
      </c>
    </row>
    <row r="1150">
      <c r="A1150" s="10" t="inlineStr">
        <is>
          <t>Disco</t>
        </is>
      </c>
      <c r="B1150" s="10" t="n">
        <v>3086915</v>
      </c>
      <c r="C1150" s="10" t="n">
        <v>3086139</v>
      </c>
      <c r="D1150" s="10" t="inlineStr">
        <is>
          <t>Acondicionador Tio Nacho Engrosador 200 Ml</t>
        </is>
      </c>
      <c r="E1150" s="10" t="inlineStr">
        <is>
          <t>SUAVE</t>
        </is>
      </c>
      <c r="F1150" s="10" t="n">
        <v>7350</v>
      </c>
      <c r="G1150" s="10" t="n">
        <v>607438</v>
      </c>
      <c r="H1150" s="10" t="b">
        <v>0</v>
      </c>
      <c r="I1150" s="10" t="n">
        <v>200</v>
      </c>
      <c r="J1150" s="10" t="n">
        <v>36.75</v>
      </c>
      <c r="K1150" s="10" t="inlineStr">
        <is>
          <t>&gt; Perfumería &gt; Cuidado Capilar &gt; Acondicionador &gt;</t>
        </is>
      </c>
      <c r="L1150" s="10" t="inlineStr">
        <is>
          <t>acondicionador</t>
        </is>
      </c>
      <c r="M1150" s="10" t="inlineStr">
        <is>
          <t>estandar</t>
        </is>
      </c>
      <c r="N1150" s="10" t="inlineStr">
        <is>
          <t>general</t>
        </is>
      </c>
      <c r="O1150" s="10" t="inlineStr">
        <is>
          <t>https://www.disco.com.ar/acondicionador-tio-nacho-engrosador-200-ml-2/p</t>
        </is>
      </c>
    </row>
    <row r="1151">
      <c r="A1151" t="inlineStr">
        <is>
          <t>Disco</t>
        </is>
      </c>
      <c r="B1151" t="n">
        <v>3068267</v>
      </c>
      <c r="C1151" t="n">
        <v>3068095</v>
      </c>
      <c r="D1151" t="inlineStr">
        <is>
          <t>Acondicionador Probiotics X 650 Ml Fructis</t>
        </is>
      </c>
      <c r="E1151" t="inlineStr">
        <is>
          <t>FRUCTIS</t>
        </is>
      </c>
      <c r="F1151" t="n">
        <v>11550</v>
      </c>
      <c r="G1151" t="n">
        <v>954545</v>
      </c>
      <c r="H1151" t="b">
        <v>0</v>
      </c>
      <c r="I1151" t="n">
        <v>650</v>
      </c>
      <c r="J1151" t="n">
        <v>17.7692</v>
      </c>
      <c r="K1151" t="inlineStr">
        <is>
          <t>&gt; Perfumería &gt; Cuidado Capilar &gt; Acondicionador &gt;</t>
        </is>
      </c>
      <c r="L1151" t="inlineStr">
        <is>
          <t>acondicionador</t>
        </is>
      </c>
      <c r="M1151" t="inlineStr">
        <is>
          <t>estandar</t>
        </is>
      </c>
      <c r="N1151" t="inlineStr">
        <is>
          <t>general</t>
        </is>
      </c>
      <c r="O1151" t="inlineStr">
        <is>
          <t>https://www.disco.com.ar/acondicionador-probiotics-x-650-ml-fructis-2/p</t>
        </is>
      </c>
    </row>
    <row r="1152">
      <c r="A1152" s="10" t="inlineStr">
        <is>
          <t>Disco</t>
        </is>
      </c>
      <c r="B1152" s="10" t="n">
        <v>3065222</v>
      </c>
      <c r="C1152" s="10" t="n">
        <v>3065221</v>
      </c>
      <c r="D1152" s="10" t="inlineStr">
        <is>
          <t>Acondicionador Liso Infinito 700 Ml Pantene</t>
        </is>
      </c>
      <c r="E1152" s="10" t="inlineStr">
        <is>
          <t>PANTENE</t>
        </is>
      </c>
      <c r="F1152" s="10" t="n">
        <v>16300</v>
      </c>
      <c r="G1152" s="10" t="n">
        <v>1347107</v>
      </c>
      <c r="H1152" s="10" t="b">
        <v>0</v>
      </c>
      <c r="I1152" s="10" t="n">
        <v>700</v>
      </c>
      <c r="J1152" s="10" t="n">
        <v>23.2857</v>
      </c>
      <c r="K1152" s="10" t="inlineStr">
        <is>
          <t>&gt; Perfumería &gt; Cuidado Capilar &gt; Acondicionador &gt;</t>
        </is>
      </c>
      <c r="L1152" s="10" t="inlineStr">
        <is>
          <t>acondicionador</t>
        </is>
      </c>
      <c r="M1152" s="10" t="inlineStr">
        <is>
          <t>estandar</t>
        </is>
      </c>
      <c r="N1152" s="10" t="inlineStr">
        <is>
          <t>general</t>
        </is>
      </c>
      <c r="O1152" s="10" t="inlineStr">
        <is>
          <t>https://www.disco.com.ar/acondicionador-pro-v-miracles-liso-finito-700-ml-pantene-2/p</t>
        </is>
      </c>
    </row>
    <row r="1153">
      <c r="A1153" t="inlineStr">
        <is>
          <t>Disco</t>
        </is>
      </c>
      <c r="B1153" t="n">
        <v>415570</v>
      </c>
      <c r="C1153" t="n">
        <v>411154</v>
      </c>
      <c r="D1153" t="inlineStr">
        <is>
          <t>Acondicionador Liso Infinito 200 Ml Pantene</t>
        </is>
      </c>
      <c r="E1153" t="inlineStr">
        <is>
          <t>PANTENE</t>
        </is>
      </c>
      <c r="F1153" t="n">
        <v>6200</v>
      </c>
      <c r="G1153" t="n">
        <v>512397</v>
      </c>
      <c r="H1153" t="b">
        <v>0</v>
      </c>
      <c r="I1153" t="n">
        <v>200</v>
      </c>
      <c r="J1153" t="n">
        <v>31</v>
      </c>
      <c r="K1153" t="inlineStr">
        <is>
          <t>&gt; Perfumería &gt; Cuidado Capilar &gt; Acondicionador &gt;</t>
        </is>
      </c>
      <c r="L1153" t="inlineStr">
        <is>
          <t>acondicionador</t>
        </is>
      </c>
      <c r="M1153" t="inlineStr">
        <is>
          <t>estandar</t>
        </is>
      </c>
      <c r="N1153" t="inlineStr">
        <is>
          <t>general</t>
        </is>
      </c>
      <c r="O1153" t="inlineStr">
        <is>
          <t>https://www.disco.com.ar/acondicionador-pro-v-miracles-liso-infinito-200-ml-pantene-2/p</t>
        </is>
      </c>
    </row>
    <row r="1154">
      <c r="A1154" s="10" t="inlineStr">
        <is>
          <t>Disco</t>
        </is>
      </c>
      <c r="B1154" s="10" t="n">
        <v>413355</v>
      </c>
      <c r="C1154" s="10" t="n">
        <v>409214</v>
      </c>
      <c r="D1154" s="10" t="inlineStr">
        <is>
          <t>Acondicionador Tresemme Ondas Boho 880 Ml</t>
        </is>
      </c>
      <c r="E1154" s="10" t="inlineStr">
        <is>
          <t>TRESEMMÉ</t>
        </is>
      </c>
      <c r="F1154" s="10" t="n">
        <v>15050</v>
      </c>
      <c r="G1154" s="10" t="n">
        <v>1243802</v>
      </c>
      <c r="H1154" s="10" t="b">
        <v>0</v>
      </c>
      <c r="I1154" s="10" t="n">
        <v>880</v>
      </c>
      <c r="J1154" s="10" t="n">
        <v>17.1023</v>
      </c>
      <c r="K1154" s="10" t="inlineStr">
        <is>
          <t>&gt; Perfumería &gt; Cuidado Capilar &gt; Acondicionador &gt;</t>
        </is>
      </c>
      <c r="L1154" s="10" t="inlineStr">
        <is>
          <t>acondicionador</t>
        </is>
      </c>
      <c r="M1154" s="10" t="inlineStr">
        <is>
          <t>estandar</t>
        </is>
      </c>
      <c r="N1154" s="10" t="inlineStr">
        <is>
          <t>general</t>
        </is>
      </c>
      <c r="O1154" s="10" t="inlineStr">
        <is>
          <t>https://www.disco.com.ar/acondicionador-tresemme-ondas-boho-880-ml/p</t>
        </is>
      </c>
    </row>
    <row r="1155">
      <c r="A1155" t="inlineStr">
        <is>
          <t>Disco</t>
        </is>
      </c>
      <c r="B1155" t="n">
        <v>413351</v>
      </c>
      <c r="C1155" t="n">
        <v>409212</v>
      </c>
      <c r="D1155" t="inlineStr">
        <is>
          <t>Acondicionador Keratina Antifrizz 880 Ml Tresemmé</t>
        </is>
      </c>
      <c r="E1155" t="inlineStr">
        <is>
          <t>TRESEMMÉ</t>
        </is>
      </c>
      <c r="F1155" t="n">
        <v>15050</v>
      </c>
      <c r="G1155" t="n">
        <v>1243802</v>
      </c>
      <c r="H1155" t="b">
        <v>0</v>
      </c>
      <c r="I1155" t="n">
        <v>880</v>
      </c>
      <c r="J1155" t="n">
        <v>17.1023</v>
      </c>
      <c r="K1155" t="inlineStr">
        <is>
          <t>&gt; Perfumería &gt; Cuidado Capilar &gt; Acondicionador &gt;</t>
        </is>
      </c>
      <c r="L1155" t="inlineStr">
        <is>
          <t>acondicionador</t>
        </is>
      </c>
      <c r="M1155" t="inlineStr">
        <is>
          <t>estandar</t>
        </is>
      </c>
      <c r="N1155" t="inlineStr">
        <is>
          <t>tratado</t>
        </is>
      </c>
      <c r="O1155" t="inlineStr">
        <is>
          <t>https://www.disco.com.ar/acondicionador-tresemme-keratina-antifrizz-880-ml/p</t>
        </is>
      </c>
    </row>
    <row r="1156">
      <c r="A1156" s="10" t="inlineStr">
        <is>
          <t>Disco</t>
        </is>
      </c>
      <c r="B1156" s="10" t="n">
        <v>413329</v>
      </c>
      <c r="C1156" s="10" t="n">
        <v>409134</v>
      </c>
      <c r="D1156" s="10" t="inlineStr">
        <is>
          <t>Acondicionador Tresemme Ondas Boho 500 Ml</t>
        </is>
      </c>
      <c r="E1156" s="10" t="inlineStr">
        <is>
          <t>TRESEMMÉ</t>
        </is>
      </c>
      <c r="F1156" s="10" t="n">
        <v>6550</v>
      </c>
      <c r="G1156" s="10" t="n">
        <v>541322</v>
      </c>
      <c r="H1156" s="10" t="b">
        <v>0</v>
      </c>
      <c r="I1156" s="10" t="n">
        <v>500</v>
      </c>
      <c r="J1156" s="10" t="n">
        <v>13.1</v>
      </c>
      <c r="K1156" s="10" t="inlineStr">
        <is>
          <t>&gt; Perfumería &gt; Cuidado Capilar &gt; Acondicionador &gt;</t>
        </is>
      </c>
      <c r="L1156" s="10" t="inlineStr">
        <is>
          <t>acondicionador</t>
        </is>
      </c>
      <c r="M1156" s="10" t="inlineStr">
        <is>
          <t>estandar</t>
        </is>
      </c>
      <c r="N1156" s="10" t="inlineStr">
        <is>
          <t>general</t>
        </is>
      </c>
      <c r="O1156" s="10" t="inlineStr">
        <is>
          <t>https://www.disco.com.ar/acondicionador-tresemme-ondas-boho-500-ml/p</t>
        </is>
      </c>
    </row>
    <row r="1157">
      <c r="A1157" t="inlineStr">
        <is>
          <t>Disco</t>
        </is>
      </c>
      <c r="B1157" t="n">
        <v>413325</v>
      </c>
      <c r="C1157" t="n">
        <v>409130</v>
      </c>
      <c r="D1157" t="inlineStr">
        <is>
          <t>Acondicionador Tresemme Cauterización Reparadora 500 Ml</t>
        </is>
      </c>
      <c r="E1157" t="inlineStr">
        <is>
          <t>TRESEMMÉ</t>
        </is>
      </c>
      <c r="F1157" t="n">
        <v>6850</v>
      </c>
      <c r="G1157" t="n">
        <v>566116</v>
      </c>
      <c r="H1157" t="b">
        <v>0</v>
      </c>
      <c r="I1157" t="n">
        <v>500</v>
      </c>
      <c r="J1157" t="n">
        <v>13.7</v>
      </c>
      <c r="K1157" t="inlineStr">
        <is>
          <t>&gt; Perfumería &gt; Cuidado Capilar &gt; Acondicionador &gt;</t>
        </is>
      </c>
      <c r="L1157" t="inlineStr">
        <is>
          <t>acondicionador</t>
        </is>
      </c>
      <c r="M1157" t="inlineStr">
        <is>
          <t>estandar</t>
        </is>
      </c>
      <c r="N1157" t="inlineStr">
        <is>
          <t>general</t>
        </is>
      </c>
      <c r="O1157" t="inlineStr">
        <is>
          <t>https://www.disco.com.ar/acondicionador-tresemme-cauterizacion-reparadora-500-ml/p</t>
        </is>
      </c>
    </row>
    <row r="1158">
      <c r="A1158" s="10" t="inlineStr">
        <is>
          <t>Disco</t>
        </is>
      </c>
      <c r="B1158" s="10" t="n">
        <v>412492</v>
      </c>
      <c r="C1158" s="10" t="n">
        <v>408101</v>
      </c>
      <c r="D1158" s="10" t="inlineStr">
        <is>
          <t>Acondicionador Rizos Poderosos 350 Ml Fructis</t>
        </is>
      </c>
      <c r="E1158" s="10" t="inlineStr">
        <is>
          <t>FRUCTIS</t>
        </is>
      </c>
      <c r="F1158" s="10" t="n">
        <v>7350</v>
      </c>
      <c r="G1158" s="10" t="n">
        <v>607438</v>
      </c>
      <c r="H1158" s="10" t="b">
        <v>0</v>
      </c>
      <c r="I1158" s="10" t="n">
        <v>350</v>
      </c>
      <c r="J1158" s="10" t="n">
        <v>21</v>
      </c>
      <c r="K1158" s="10" t="inlineStr">
        <is>
          <t>&gt; Perfumería &gt; Cuidado Capilar &gt; Acondicionador &gt;</t>
        </is>
      </c>
      <c r="L1158" s="10" t="inlineStr">
        <is>
          <t>acondicionador</t>
        </is>
      </c>
      <c r="M1158" s="10" t="inlineStr">
        <is>
          <t>estandar</t>
        </is>
      </c>
      <c r="N1158" s="10" t="inlineStr">
        <is>
          <t>rizado</t>
        </is>
      </c>
      <c r="O1158" s="10" t="inlineStr">
        <is>
          <t>https://www.disco.com.ar/acondicionador-fructis-rizos-poderosos-350ml-2/p</t>
        </is>
      </c>
    </row>
    <row r="1159">
      <c r="A1159" t="inlineStr">
        <is>
          <t>Disco</t>
        </is>
      </c>
      <c r="B1159" t="n">
        <v>412481</v>
      </c>
      <c r="C1159" t="n">
        <v>408090</v>
      </c>
      <c r="D1159" t="inlineStr">
        <is>
          <t>Acondicionador Liso Coco 200 Ml Fructis</t>
        </is>
      </c>
      <c r="E1159" t="inlineStr">
        <is>
          <t>FRUCTIS</t>
        </is>
      </c>
      <c r="F1159" t="n">
        <v>4850</v>
      </c>
      <c r="G1159" t="n">
        <v>400826</v>
      </c>
      <c r="H1159" t="b">
        <v>0</v>
      </c>
      <c r="I1159" t="n">
        <v>200</v>
      </c>
      <c r="J1159" t="n">
        <v>24.25</v>
      </c>
      <c r="K1159" t="inlineStr">
        <is>
          <t>&gt; Perfumería &gt; Cuidado Capilar &gt; Acondicionador &gt;</t>
        </is>
      </c>
      <c r="L1159" t="inlineStr">
        <is>
          <t>acondicionador</t>
        </is>
      </c>
      <c r="M1159" t="inlineStr">
        <is>
          <t>estandar</t>
        </is>
      </c>
      <c r="N1159" t="inlineStr">
        <is>
          <t>general</t>
        </is>
      </c>
      <c r="O1159" t="inlineStr">
        <is>
          <t>https://www.disco.com.ar/acondicionador-fructis-liso-coco-200ml-2/p</t>
        </is>
      </c>
    </row>
    <row r="1160">
      <c r="A1160" s="10" t="inlineStr">
        <is>
          <t>Disco</t>
        </is>
      </c>
      <c r="B1160" s="10" t="n">
        <v>401188</v>
      </c>
      <c r="C1160" s="10" t="n">
        <v>398526</v>
      </c>
      <c r="D1160" s="10" t="inlineStr">
        <is>
          <t>Acondicionador Hidratante Equilibrio 700 Ml Pantene</t>
        </is>
      </c>
      <c r="E1160" s="10" t="inlineStr">
        <is>
          <t>PANTENE</t>
        </is>
      </c>
      <c r="F1160" s="10" t="n">
        <v>16300</v>
      </c>
      <c r="G1160" s="10" t="n">
        <v>1347107</v>
      </c>
      <c r="H1160" s="10" t="b">
        <v>0</v>
      </c>
      <c r="I1160" s="10" t="n">
        <v>700</v>
      </c>
      <c r="J1160" s="10" t="n">
        <v>23.2857</v>
      </c>
      <c r="K1160" s="10" t="inlineStr">
        <is>
          <t>&gt; Perfumería &gt; Cuidado Capilar &gt; Acondicionador &gt;</t>
        </is>
      </c>
      <c r="L1160" s="10" t="inlineStr">
        <is>
          <t>acondicionador</t>
        </is>
      </c>
      <c r="M1160" s="10" t="inlineStr">
        <is>
          <t>estandar</t>
        </is>
      </c>
      <c r="N1160" s="10" t="inlineStr">
        <is>
          <t>seco_danado</t>
        </is>
      </c>
      <c r="O1160" s="10" t="inlineStr">
        <is>
          <t>https://www.disco.com.ar/acondicionador-hidratante-equilibrio-700-ml-pantene/p</t>
        </is>
      </c>
    </row>
    <row r="1161">
      <c r="A1161" t="inlineStr">
        <is>
          <t>Disco</t>
        </is>
      </c>
      <c r="B1161" t="n">
        <v>397925</v>
      </c>
      <c r="C1161" t="n">
        <v>395660</v>
      </c>
      <c r="D1161" t="inlineStr">
        <is>
          <t>Acondicionador Crema Balance 650 Ml Sedal</t>
        </is>
      </c>
      <c r="E1161" t="inlineStr">
        <is>
          <t>SEDAL</t>
        </is>
      </c>
      <c r="F1161" t="n">
        <v>8650</v>
      </c>
      <c r="G1161" t="n">
        <v>714876</v>
      </c>
      <c r="H1161" t="b">
        <v>0</v>
      </c>
      <c r="I1161" t="n">
        <v>650</v>
      </c>
      <c r="J1161" t="n">
        <v>13.3077</v>
      </c>
      <c r="K1161" t="inlineStr">
        <is>
          <t>&gt; Perfumería &gt; Cuidado Capilar &gt; Acondicionador &gt;</t>
        </is>
      </c>
      <c r="L1161" t="inlineStr">
        <is>
          <t>acondicionador</t>
        </is>
      </c>
      <c r="M1161" t="inlineStr">
        <is>
          <t>estandar</t>
        </is>
      </c>
      <c r="N1161" t="inlineStr">
        <is>
          <t>general</t>
        </is>
      </c>
      <c r="O1161" t="inlineStr">
        <is>
          <t>https://www.disco.com.ar/acondicionador-sedal-crema-balance-650-ml-3/p</t>
        </is>
      </c>
    </row>
    <row r="1162">
      <c r="A1162" s="10" t="inlineStr">
        <is>
          <t>Disco</t>
        </is>
      </c>
      <c r="B1162" s="10" t="n">
        <v>397909</v>
      </c>
      <c r="C1162" s="10" t="n">
        <v>395644</v>
      </c>
      <c r="D1162" s="10" t="inlineStr">
        <is>
          <t>Acondicionador Liso Perfecto 190 Ml Sedal</t>
        </is>
      </c>
      <c r="E1162" s="10" t="inlineStr">
        <is>
          <t>SEDAL</t>
        </is>
      </c>
      <c r="F1162" s="10" t="n">
        <v>3600</v>
      </c>
      <c r="G1162" s="10" t="n">
        <v>297521</v>
      </c>
      <c r="H1162" s="10" t="b">
        <v>0</v>
      </c>
      <c r="I1162" s="10" t="n">
        <v>190</v>
      </c>
      <c r="J1162" s="10" t="n">
        <v>18.9474</v>
      </c>
      <c r="K1162" s="10" t="inlineStr">
        <is>
          <t>&gt; Perfumería &gt; Cuidado Capilar &gt; Acondicionador &gt;</t>
        </is>
      </c>
      <c r="L1162" s="10" t="inlineStr">
        <is>
          <t>acondicionador</t>
        </is>
      </c>
      <c r="M1162" s="10" t="inlineStr">
        <is>
          <t>estandar</t>
        </is>
      </c>
      <c r="N1162" s="10" t="inlineStr">
        <is>
          <t>general</t>
        </is>
      </c>
      <c r="O1162" s="10" t="inlineStr">
        <is>
          <t>https://www.disco.com.ar/acondicionador-liso-perfecto-190-ml-sedal/p</t>
        </is>
      </c>
    </row>
    <row r="1163">
      <c r="A1163" t="inlineStr">
        <is>
          <t>Disco</t>
        </is>
      </c>
      <c r="B1163" t="n">
        <v>397907</v>
      </c>
      <c r="C1163" t="n">
        <v>395642</v>
      </c>
      <c r="D1163" t="inlineStr">
        <is>
          <t>Acondicionador Restauracion Instantanea 650 Ml Sedal</t>
        </is>
      </c>
      <c r="E1163" t="inlineStr">
        <is>
          <t>SEDAL</t>
        </is>
      </c>
      <c r="F1163" t="n">
        <v>8650</v>
      </c>
      <c r="G1163" t="n">
        <v>714876</v>
      </c>
      <c r="H1163" t="b">
        <v>0</v>
      </c>
      <c r="I1163" t="n">
        <v>650</v>
      </c>
      <c r="J1163" t="n">
        <v>13.3077</v>
      </c>
      <c r="K1163" t="inlineStr">
        <is>
          <t>&gt; Perfumería &gt; Cuidado Capilar &gt; Acondicionador &gt;</t>
        </is>
      </c>
      <c r="L1163" t="inlineStr">
        <is>
          <t>acondicionador</t>
        </is>
      </c>
      <c r="M1163" t="inlineStr">
        <is>
          <t>estandar</t>
        </is>
      </c>
      <c r="N1163" t="inlineStr">
        <is>
          <t>general</t>
        </is>
      </c>
      <c r="O1163" t="inlineStr">
        <is>
          <t>https://www.disco.com.ar/acondicionador-restauracion-instantanea-650-ml-sedal/p</t>
        </is>
      </c>
    </row>
    <row r="1164">
      <c r="A1164" s="10" t="inlineStr">
        <is>
          <t>Disco</t>
        </is>
      </c>
      <c r="B1164" s="10" t="n">
        <v>397901</v>
      </c>
      <c r="C1164" s="10" t="n">
        <v>395636</v>
      </c>
      <c r="D1164" s="10" t="inlineStr">
        <is>
          <t>Acondicionador Sedal Bomba Argan 650 Ml</t>
        </is>
      </c>
      <c r="E1164" s="10" t="inlineStr">
        <is>
          <t>SEDAL</t>
        </is>
      </c>
      <c r="F1164" s="10" t="n">
        <v>5850</v>
      </c>
      <c r="G1164" s="10" t="n">
        <v>483471</v>
      </c>
      <c r="H1164" s="10" t="b">
        <v>0</v>
      </c>
      <c r="I1164" s="10" t="n">
        <v>650</v>
      </c>
      <c r="J1164" s="10" t="n">
        <v>9</v>
      </c>
      <c r="K1164" s="10" t="inlineStr">
        <is>
          <t>&gt; Perfumería &gt; Cuidado Capilar &gt; Acondicionador &gt;</t>
        </is>
      </c>
      <c r="L1164" s="10" t="inlineStr">
        <is>
          <t>acondicionador</t>
        </is>
      </c>
      <c r="M1164" s="10" t="inlineStr">
        <is>
          <t>estandar</t>
        </is>
      </c>
      <c r="N1164" s="10" t="inlineStr">
        <is>
          <t>general</t>
        </is>
      </c>
      <c r="O1164" s="10" t="inlineStr">
        <is>
          <t>https://www.disco.com.ar/acondicionador-sedal-bomba-argan-650-ml/p</t>
        </is>
      </c>
    </row>
    <row r="1165">
      <c r="A1165" t="inlineStr">
        <is>
          <t>Disco</t>
        </is>
      </c>
      <c r="B1165" t="n">
        <v>396958</v>
      </c>
      <c r="C1165" t="n">
        <v>394714</v>
      </c>
      <c r="D1165" t="inlineStr">
        <is>
          <t>Acondicionador Fuerza Reparadora 970 Ml Plusbelle</t>
        </is>
      </c>
      <c r="E1165" t="inlineStr">
        <is>
          <t>PLUSBELLE</t>
        </is>
      </c>
      <c r="F1165" t="n">
        <v>5600</v>
      </c>
      <c r="G1165" t="n">
        <v>462810</v>
      </c>
      <c r="H1165" t="b">
        <v>0</v>
      </c>
      <c r="I1165" t="n">
        <v>970</v>
      </c>
      <c r="J1165" t="n">
        <v>5.7732</v>
      </c>
      <c r="K1165" t="inlineStr">
        <is>
          <t>&gt; Perfumería &gt; Cuidado Capilar &gt; Acondicionador &gt;</t>
        </is>
      </c>
      <c r="L1165" t="inlineStr">
        <is>
          <t>acondicionador</t>
        </is>
      </c>
      <c r="M1165" t="inlineStr">
        <is>
          <t>estandar</t>
        </is>
      </c>
      <c r="N1165" t="inlineStr">
        <is>
          <t>general</t>
        </is>
      </c>
      <c r="O1165" t="inlineStr">
        <is>
          <t>https://www.disco.com.ar/acondicionador-fuerza-reparadora-970-ml-plusbelle/p</t>
        </is>
      </c>
    </row>
    <row r="1166">
      <c r="A1166" s="10" t="inlineStr">
        <is>
          <t>Disco</t>
        </is>
      </c>
      <c r="B1166" s="10" t="n">
        <v>394485</v>
      </c>
      <c r="C1166" s="10" t="n">
        <v>392484</v>
      </c>
      <c r="D1166" s="10" t="inlineStr">
        <is>
          <t>Acondicionador Plusbelle Largo Saludable 300 Ml</t>
        </is>
      </c>
      <c r="E1166" s="10" t="inlineStr">
        <is>
          <t>PLUSBELLE</t>
        </is>
      </c>
      <c r="F1166" s="10" t="n">
        <v>2300</v>
      </c>
      <c r="G1166" s="10" t="n">
        <v>190083</v>
      </c>
      <c r="H1166" s="10" t="b">
        <v>0</v>
      </c>
      <c r="I1166" s="10" t="n">
        <v>300</v>
      </c>
      <c r="J1166" s="10" t="n">
        <v>7.6667</v>
      </c>
      <c r="K1166" s="10" t="inlineStr">
        <is>
          <t>&gt; Perfumería &gt; Cuidado Capilar &gt; Acondicionador &gt;</t>
        </is>
      </c>
      <c r="L1166" s="10" t="inlineStr">
        <is>
          <t>acondicionador</t>
        </is>
      </c>
      <c r="M1166" s="10" t="inlineStr">
        <is>
          <t>estandar</t>
        </is>
      </c>
      <c r="N1166" s="10" t="inlineStr">
        <is>
          <t>general</t>
        </is>
      </c>
      <c r="O1166" s="10" t="inlineStr">
        <is>
          <t>https://www.disco.com.ar/acondicionador-plusbelle-largo-saludable-300-ml/p</t>
        </is>
      </c>
    </row>
    <row r="1167">
      <c r="A1167" t="inlineStr">
        <is>
          <t>Disco</t>
        </is>
      </c>
      <c r="B1167" t="n">
        <v>393617</v>
      </c>
      <c r="C1167" t="n">
        <v>391645</v>
      </c>
      <c r="D1167" t="inlineStr">
        <is>
          <t>Acondicionador Pantene Hidratación Extrema 400 Ml</t>
        </is>
      </c>
      <c r="E1167" t="inlineStr">
        <is>
          <t>PANTENE</t>
        </is>
      </c>
      <c r="F1167" t="n">
        <v>6650</v>
      </c>
      <c r="G1167" t="n">
        <v>549587</v>
      </c>
      <c r="H1167" t="b">
        <v>0</v>
      </c>
      <c r="I1167" t="n">
        <v>400</v>
      </c>
      <c r="J1167" t="n">
        <v>16.625</v>
      </c>
      <c r="K1167" t="inlineStr">
        <is>
          <t>&gt; Perfumería &gt; Cuidado Capilar &gt; Acondicionador &gt;</t>
        </is>
      </c>
      <c r="L1167" t="inlineStr">
        <is>
          <t>acondicionador</t>
        </is>
      </c>
      <c r="M1167" t="inlineStr">
        <is>
          <t>estandar</t>
        </is>
      </c>
      <c r="N1167" t="inlineStr">
        <is>
          <t>seco_danado</t>
        </is>
      </c>
      <c r="O1167" t="inlineStr">
        <is>
          <t>https://www.disco.com.ar/acondicionador-pantene-hidratacion-extrema-400-ml/p</t>
        </is>
      </c>
    </row>
    <row r="1168">
      <c r="A1168" s="10" t="inlineStr">
        <is>
          <t>Disco</t>
        </is>
      </c>
      <c r="B1168" s="10" t="n">
        <v>393559</v>
      </c>
      <c r="C1168" s="10" t="n">
        <v>391587</v>
      </c>
      <c r="D1168" s="10" t="inlineStr">
        <is>
          <t>Acondicionador Dove óleo Nutrición 400 Ml</t>
        </is>
      </c>
      <c r="E1168" s="10" t="inlineStr">
        <is>
          <t>DOVE</t>
        </is>
      </c>
      <c r="F1168" s="10" t="n">
        <v>9245.65</v>
      </c>
      <c r="G1168" s="10" t="n">
        <v>764103</v>
      </c>
      <c r="H1168" s="10" t="b">
        <v>0</v>
      </c>
      <c r="I1168" s="10" t="n">
        <v>400</v>
      </c>
      <c r="J1168" s="10" t="n">
        <v>23.1141</v>
      </c>
      <c r="K1168" s="10" t="inlineStr">
        <is>
          <t>&gt; Perfumería &gt; Cuidado Capilar &gt; Acondicionador &gt;</t>
        </is>
      </c>
      <c r="L1168" s="10" t="inlineStr">
        <is>
          <t>acondicionador</t>
        </is>
      </c>
      <c r="M1168" s="10" t="inlineStr">
        <is>
          <t>estandar</t>
        </is>
      </c>
      <c r="N1168" s="10" t="inlineStr">
        <is>
          <t>general</t>
        </is>
      </c>
      <c r="O1168" s="10" t="inlineStr">
        <is>
          <t>https://www.disco.com.ar/acondicionador-dove-oleo-nutricion-400-ml-3/p</t>
        </is>
      </c>
    </row>
    <row r="1169">
      <c r="A1169" t="inlineStr">
        <is>
          <t>Disco</t>
        </is>
      </c>
      <c r="B1169" t="n">
        <v>393378</v>
      </c>
      <c r="C1169" t="n">
        <v>391406</v>
      </c>
      <c r="D1169" t="inlineStr">
        <is>
          <t>Acondicionador Crema Balance 190 Ml Sedal</t>
        </is>
      </c>
      <c r="E1169" t="inlineStr">
        <is>
          <t>SEDAL</t>
        </is>
      </c>
      <c r="F1169" t="n">
        <v>3600</v>
      </c>
      <c r="G1169" t="n">
        <v>297521</v>
      </c>
      <c r="H1169" t="b">
        <v>0</v>
      </c>
      <c r="I1169" t="n">
        <v>190</v>
      </c>
      <c r="J1169" t="n">
        <v>18.9474</v>
      </c>
      <c r="K1169" t="inlineStr">
        <is>
          <t>&gt; Perfumería &gt; Cuidado Capilar &gt; Acondicionador &gt;</t>
        </is>
      </c>
      <c r="L1169" t="inlineStr">
        <is>
          <t>acondicionador</t>
        </is>
      </c>
      <c r="M1169" t="inlineStr">
        <is>
          <t>estandar</t>
        </is>
      </c>
      <c r="N1169" t="inlineStr">
        <is>
          <t>general</t>
        </is>
      </c>
      <c r="O1169" t="inlineStr">
        <is>
          <t>https://www.disco.com.ar/acondicionador-crema-balance-190-ml-sedal/p</t>
        </is>
      </c>
    </row>
    <row r="1170">
      <c r="A1170" s="10" t="inlineStr">
        <is>
          <t>Disco</t>
        </is>
      </c>
      <c r="B1170" s="10" t="n">
        <v>393377</v>
      </c>
      <c r="C1170" s="10" t="n">
        <v>391405</v>
      </c>
      <c r="D1170" s="10" t="inlineStr">
        <is>
          <t>Acondicionador Rizos Definidos 650 Ml Sedal</t>
        </is>
      </c>
      <c r="E1170" s="10" t="inlineStr">
        <is>
          <t>SEDAL</t>
        </is>
      </c>
      <c r="F1170" s="10" t="n">
        <v>8650</v>
      </c>
      <c r="G1170" s="10" t="n">
        <v>714876</v>
      </c>
      <c r="H1170" s="10" t="b">
        <v>0</v>
      </c>
      <c r="I1170" s="10" t="n">
        <v>650</v>
      </c>
      <c r="J1170" s="10" t="n">
        <v>13.3077</v>
      </c>
      <c r="K1170" s="10" t="inlineStr">
        <is>
          <t>&gt; Perfumería &gt; Cuidado Capilar &gt; Acondicionador &gt;</t>
        </is>
      </c>
      <c r="L1170" s="10" t="inlineStr">
        <is>
          <t>acondicionador</t>
        </is>
      </c>
      <c r="M1170" s="10" t="inlineStr">
        <is>
          <t>estandar</t>
        </is>
      </c>
      <c r="N1170" s="10" t="inlineStr">
        <is>
          <t>rizado</t>
        </is>
      </c>
      <c r="O1170" s="10" t="inlineStr">
        <is>
          <t>https://www.disco.com.ar/acondicionador-sedal-rizos-definidos-650-ml-2/p</t>
        </is>
      </c>
    </row>
    <row r="1171">
      <c r="A1171" t="inlineStr">
        <is>
          <t>Disco</t>
        </is>
      </c>
      <c r="B1171" t="n">
        <v>391957</v>
      </c>
      <c r="C1171" t="n">
        <v>390009</v>
      </c>
      <c r="D1171" t="inlineStr">
        <is>
          <t>Acondicionador Algabo Kids Piojos 500 Ml</t>
        </is>
      </c>
      <c r="E1171" t="inlineStr">
        <is>
          <t>ALGABO</t>
        </is>
      </c>
      <c r="F1171" t="n">
        <v>1605.77</v>
      </c>
      <c r="G1171" t="n">
        <v>132708</v>
      </c>
      <c r="H1171" t="b">
        <v>0</v>
      </c>
      <c r="I1171" t="n">
        <v>500</v>
      </c>
      <c r="J1171" t="n">
        <v>3.2115</v>
      </c>
      <c r="K1171" t="inlineStr">
        <is>
          <t>&gt; Mundo Bebe &gt; Higiene para el Bebe &gt; Higiene del Bebé &gt;</t>
        </is>
      </c>
      <c r="L1171" t="inlineStr">
        <is>
          <t>acondicionador</t>
        </is>
      </c>
      <c r="M1171" t="inlineStr">
        <is>
          <t>estandar</t>
        </is>
      </c>
      <c r="N1171" t="inlineStr">
        <is>
          <t>bebe</t>
        </is>
      </c>
      <c r="O1171" t="inlineStr">
        <is>
          <t>https://www.disco.com.ar/acondicionador-algabo-kids-piojos-500-ml/p</t>
        </is>
      </c>
    </row>
    <row r="1172">
      <c r="A1172" s="10" t="inlineStr">
        <is>
          <t>Disco</t>
        </is>
      </c>
      <c r="B1172" s="10" t="n">
        <v>384211</v>
      </c>
      <c r="C1172" s="10" t="n">
        <v>382903</v>
      </c>
      <c r="D1172" s="10" t="inlineStr">
        <is>
          <t>Acondicionador Tresemme Keratina Antifrizz 500 Ml</t>
        </is>
      </c>
      <c r="E1172" s="10" t="inlineStr">
        <is>
          <t>TRESEMMÉ</t>
        </is>
      </c>
      <c r="F1172" s="10" t="n">
        <v>1500</v>
      </c>
      <c r="G1172" s="10" t="n">
        <v>123967</v>
      </c>
      <c r="H1172" s="10" t="b">
        <v>0</v>
      </c>
      <c r="I1172" s="10" t="n">
        <v>500</v>
      </c>
      <c r="J1172" s="10" t="n">
        <v>3</v>
      </c>
      <c r="K1172" s="10" t="inlineStr">
        <is>
          <t>&gt; Perfumería &gt; Cuidado Capilar &gt; Acondicionador &gt;</t>
        </is>
      </c>
      <c r="L1172" s="10" t="inlineStr">
        <is>
          <t>acondicionador</t>
        </is>
      </c>
      <c r="M1172" s="10" t="inlineStr">
        <is>
          <t>estandar</t>
        </is>
      </c>
      <c r="N1172" s="10" t="inlineStr">
        <is>
          <t>tratado</t>
        </is>
      </c>
      <c r="O1172" s="10" t="inlineStr">
        <is>
          <t>https://www.disco.com.ar/acondicionador-tresemme-keratina-antifrizz-500-ml-2/p</t>
        </is>
      </c>
    </row>
    <row r="1173">
      <c r="A1173" t="inlineStr">
        <is>
          <t>Disco</t>
        </is>
      </c>
      <c r="B1173" t="n">
        <v>384210</v>
      </c>
      <c r="C1173" t="n">
        <v>382902</v>
      </c>
      <c r="D1173" t="inlineStr">
        <is>
          <t>Acondicionador Tresemme Cauterización Reparadora 250 Ml</t>
        </is>
      </c>
      <c r="E1173" t="inlineStr">
        <is>
          <t>TRESEMMÉ</t>
        </is>
      </c>
      <c r="F1173" t="n">
        <v>1000</v>
      </c>
      <c r="G1173" t="n">
        <v>82645</v>
      </c>
      <c r="H1173" t="b">
        <v>0</v>
      </c>
      <c r="I1173" t="n">
        <v>250</v>
      </c>
      <c r="J1173" t="n">
        <v>4</v>
      </c>
      <c r="K1173" t="inlineStr">
        <is>
          <t>&gt; Perfumería &gt; Cuidado Capilar &gt; Acondicionador &gt;</t>
        </is>
      </c>
      <c r="L1173" t="inlineStr">
        <is>
          <t>acondicionador</t>
        </is>
      </c>
      <c r="M1173" t="inlineStr">
        <is>
          <t>estandar</t>
        </is>
      </c>
      <c r="N1173" t="inlineStr">
        <is>
          <t>general</t>
        </is>
      </c>
      <c r="O1173" t="inlineStr">
        <is>
          <t>https://www.disco.com.ar/acondicionador-tresemme-cauterizacion-reparadora-250-ml-2/p</t>
        </is>
      </c>
    </row>
    <row r="1174">
      <c r="A1174" s="10" t="inlineStr">
        <is>
          <t>Disco</t>
        </is>
      </c>
      <c r="B1174" s="10" t="n">
        <v>386973</v>
      </c>
      <c r="C1174" s="10" t="n">
        <v>385299</v>
      </c>
      <c r="D1174" s="10" t="inlineStr">
        <is>
          <t>Shampoo Para Niños Johnson's Rulos De Ensueño 200 Ml</t>
        </is>
      </c>
      <c r="E1174" s="10" t="inlineStr">
        <is>
          <t>JOHNSON´S</t>
        </is>
      </c>
      <c r="F1174" s="10" t="n">
        <v>1250</v>
      </c>
      <c r="G1174" s="10" t="n">
        <v>103306</v>
      </c>
      <c r="H1174" s="10" t="b">
        <v>0</v>
      </c>
      <c r="I1174" s="10" t="n">
        <v>200</v>
      </c>
      <c r="J1174" s="10" t="n">
        <v>6.25</v>
      </c>
      <c r="K1174" s="10" t="inlineStr">
        <is>
          <t>&gt; Mundo Bebe &gt; Higiene para el Bebe &gt; Higiene del Bebé &gt;</t>
        </is>
      </c>
      <c r="L1174" s="10" t="inlineStr">
        <is>
          <t>shampoo</t>
        </is>
      </c>
      <c r="M1174" s="10" t="inlineStr">
        <is>
          <t>estandar</t>
        </is>
      </c>
      <c r="N1174" s="10" t="inlineStr">
        <is>
          <t>rizado</t>
        </is>
      </c>
      <c r="O1174" s="10" t="inlineStr">
        <is>
          <t>https://www.disco.com.ar/shampoo-para-ninos-johnson-s-rulos-de-ensueno-200-ml/p</t>
        </is>
      </c>
    </row>
    <row r="1175">
      <c r="A1175" t="inlineStr">
        <is>
          <t>Disco</t>
        </is>
      </c>
      <c r="B1175" t="n">
        <v>3529</v>
      </c>
      <c r="C1175" t="n">
        <v>248504</v>
      </c>
      <c r="D1175" t="inlineStr">
        <is>
          <t>Shampoo Para Bebé Johnson's® Rulos Definidos X 200 Ml</t>
        </is>
      </c>
      <c r="E1175" t="inlineStr">
        <is>
          <t>JOHNSON BABY</t>
        </is>
      </c>
      <c r="F1175" t="n">
        <v>213.39</v>
      </c>
      <c r="G1175" t="n">
        <v>17636</v>
      </c>
      <c r="H1175" t="b">
        <v>0</v>
      </c>
      <c r="I1175" t="n">
        <v>200</v>
      </c>
      <c r="J1175" t="n">
        <v>1.0669</v>
      </c>
      <c r="K1175" t="inlineStr">
        <is>
          <t>&gt; Mundo Bebe &gt; Higiene para el Bebe &gt; Higiene del Bebé &gt;</t>
        </is>
      </c>
      <c r="L1175" t="inlineStr">
        <is>
          <t>shampoo</t>
        </is>
      </c>
      <c r="M1175" t="inlineStr">
        <is>
          <t>estandar</t>
        </is>
      </c>
      <c r="N1175" t="inlineStr">
        <is>
          <t>rizado</t>
        </is>
      </c>
      <c r="O1175" t="inlineStr">
        <is>
          <t>https://www.disco.com.ar/shampoo-para-bebe-johnson-s-rulos-definidos-200-ml/p</t>
        </is>
      </c>
    </row>
    <row r="1176">
      <c r="A1176" s="10" t="inlineStr">
        <is>
          <t>Disco</t>
        </is>
      </c>
      <c r="B1176" s="10" t="n">
        <v>149893</v>
      </c>
      <c r="C1176" s="10" t="n">
        <v>146802</v>
      </c>
      <c r="D1176" s="10" t="inlineStr">
        <is>
          <t>Shampoo Plusbelle-plusbelle Effect-rulos Control-pvc-ml.-750</t>
        </is>
      </c>
      <c r="E1176" s="10" t="inlineStr">
        <is>
          <t>PLUSBELLE</t>
        </is>
      </c>
      <c r="F1176" s="10" t="n">
        <v>13.85</v>
      </c>
      <c r="G1176" s="10" t="n">
        <v>1145</v>
      </c>
      <c r="H1176" s="10" t="b">
        <v>0</v>
      </c>
      <c r="I1176" s="10" t="inlineStr"/>
      <c r="J1176" s="10" t="inlineStr"/>
      <c r="K1176" s="10" t="inlineStr">
        <is>
          <t>&gt; Perfumería &gt; Cuidado Capilar &gt; Shampoo &gt;</t>
        </is>
      </c>
      <c r="L1176" s="10" t="inlineStr">
        <is>
          <t>shampoo</t>
        </is>
      </c>
      <c r="M1176" s="10" t="inlineStr">
        <is>
          <t>estandar</t>
        </is>
      </c>
      <c r="N1176" s="10" t="inlineStr">
        <is>
          <t>rizado</t>
        </is>
      </c>
      <c r="O1176" s="10" t="inlineStr">
        <is>
          <t>https://www.disco.com.ar/shampoo-plusbelle-plusbelle-effect-rulos-control-pvc-ml-750-2/p</t>
        </is>
      </c>
    </row>
    <row r="1177">
      <c r="A1177" t="inlineStr">
        <is>
          <t>Disco</t>
        </is>
      </c>
      <c r="B1177" t="n">
        <v>333048</v>
      </c>
      <c r="C1177" t="n">
        <v>332196</v>
      </c>
      <c r="D1177" t="inlineStr">
        <is>
          <t>Shampoo Para Niños Johnson's Rulos De Ensueño X 200 Ml.</t>
        </is>
      </c>
      <c r="E1177" t="inlineStr">
        <is>
          <t>JOHNSON BABY</t>
        </is>
      </c>
      <c r="F1177" t="n">
        <v>614.73</v>
      </c>
      <c r="G1177" t="n">
        <v>50804</v>
      </c>
      <c r="H1177" t="b">
        <v>0</v>
      </c>
      <c r="I1177" t="n">
        <v>200</v>
      </c>
      <c r="J1177" t="n">
        <v>3.0737</v>
      </c>
      <c r="K1177" t="inlineStr">
        <is>
          <t>&gt; Mundo Bebe &gt; Higiene para el Bebe &gt; Higiene del Bebé &gt;</t>
        </is>
      </c>
      <c r="L1177" t="inlineStr">
        <is>
          <t>shampoo</t>
        </is>
      </c>
      <c r="M1177" t="inlineStr">
        <is>
          <t>estandar</t>
        </is>
      </c>
      <c r="N1177" t="inlineStr">
        <is>
          <t>rizado</t>
        </is>
      </c>
      <c r="O1177" t="inlineStr">
        <is>
          <t>https://www.disco.com.ar/shampoo-para-ninos-johnson-s-rulos-de-ensueno-x-200-ml/p</t>
        </is>
      </c>
    </row>
    <row r="1178">
      <c r="A1178" s="10" t="inlineStr">
        <is>
          <t>Disco</t>
        </is>
      </c>
      <c r="B1178" s="10" t="n">
        <v>48478</v>
      </c>
      <c r="C1178" s="10" t="n">
        <v>45643</v>
      </c>
      <c r="D1178" s="10" t="inlineStr">
        <is>
          <t>Shampoo Para Bebé Johnson's® Rulos Definidos X 400 Ml</t>
        </is>
      </c>
      <c r="E1178" s="10" t="inlineStr">
        <is>
          <t>JOHNSON BABY</t>
        </is>
      </c>
      <c r="F1178" s="10" t="n">
        <v>274.97</v>
      </c>
      <c r="G1178" s="10" t="n">
        <v>22725</v>
      </c>
      <c r="H1178" s="10" t="b">
        <v>0</v>
      </c>
      <c r="I1178" s="10" t="n">
        <v>400</v>
      </c>
      <c r="J1178" s="10" t="n">
        <v>0.6874</v>
      </c>
      <c r="K1178" s="10" t="inlineStr">
        <is>
          <t>&gt; Mundo Bebe &gt; Higiene para el Bebe &gt; Higiene del Bebé &gt;</t>
        </is>
      </c>
      <c r="L1178" s="10" t="inlineStr">
        <is>
          <t>shampoo</t>
        </is>
      </c>
      <c r="M1178" s="10" t="inlineStr">
        <is>
          <t>estandar</t>
        </is>
      </c>
      <c r="N1178" s="10" t="inlineStr">
        <is>
          <t>rizado</t>
        </is>
      </c>
      <c r="O1178" s="10" t="inlineStr">
        <is>
          <t>https://www.disco.com.ar/shampoo-para-bebe-johnson-s-rulos-definidos-x-400-ml/p</t>
        </is>
      </c>
    </row>
    <row r="1179">
      <c r="A1179" t="inlineStr">
        <is>
          <t>Disco</t>
        </is>
      </c>
      <c r="B1179" t="n">
        <v>414865</v>
      </c>
      <c r="C1179" t="n">
        <v>410565</v>
      </c>
      <c r="D1179" t="inlineStr">
        <is>
          <t>Shampoo para Niños Rulos de Ensueño con Manteca de Karité 200 Ml Johnson's</t>
        </is>
      </c>
      <c r="E1179" t="inlineStr">
        <is>
          <t>JOHNSON BABY</t>
        </is>
      </c>
      <c r="F1179" t="n">
        <v>6050</v>
      </c>
      <c r="G1179" t="n">
        <v>500000</v>
      </c>
      <c r="H1179" t="b">
        <v>0</v>
      </c>
      <c r="I1179" t="n">
        <v>200</v>
      </c>
      <c r="J1179" t="n">
        <v>30.25</v>
      </c>
      <c r="K1179" t="inlineStr">
        <is>
          <t>&gt; Mundo Bebe &gt; Higiene para el Bebe &gt; Higiene del Bebé &gt;</t>
        </is>
      </c>
      <c r="L1179" t="inlineStr">
        <is>
          <t>shampoo</t>
        </is>
      </c>
      <c r="M1179" t="inlineStr">
        <is>
          <t>estandar</t>
        </is>
      </c>
      <c r="N1179" t="inlineStr">
        <is>
          <t>rizado</t>
        </is>
      </c>
      <c r="O1179" t="inlineStr">
        <is>
          <t>https://www.disco.com.ar/shampoo-para-ninos-rulos-de-ensueno-200-ml-johnson-baby/p</t>
        </is>
      </c>
    </row>
    <row r="1180">
      <c r="A1180" s="10" t="inlineStr">
        <is>
          <t>Disco</t>
        </is>
      </c>
      <c r="B1180" s="10" t="n">
        <v>271672</v>
      </c>
      <c r="C1180" s="10" t="n">
        <v>271151</v>
      </c>
      <c r="D1180" s="10" t="inlineStr">
        <is>
          <t>Shampoo Baby Dove Cabello Rizado/con Rulos Ph Neutro 200 Ml</t>
        </is>
      </c>
      <c r="E1180" s="10" t="inlineStr">
        <is>
          <t>DOVE BABY</t>
        </is>
      </c>
      <c r="F1180" s="10" t="n">
        <v>427.27</v>
      </c>
      <c r="G1180" s="10" t="n">
        <v>35312</v>
      </c>
      <c r="H1180" s="10" t="b">
        <v>0</v>
      </c>
      <c r="I1180" s="10" t="n">
        <v>200</v>
      </c>
      <c r="J1180" s="10" t="n">
        <v>2.1363</v>
      </c>
      <c r="K1180" s="10" t="inlineStr">
        <is>
          <t>&gt; Mundo Bebe &gt; Higiene para el Bebe &gt; Higiene del Bebé &gt;</t>
        </is>
      </c>
      <c r="L1180" s="10" t="inlineStr">
        <is>
          <t>shampoo</t>
        </is>
      </c>
      <c r="M1180" s="10" t="inlineStr">
        <is>
          <t>estandar</t>
        </is>
      </c>
      <c r="N1180" s="10" t="inlineStr">
        <is>
          <t>rizado</t>
        </is>
      </c>
      <c r="O1180" s="10" t="inlineStr">
        <is>
          <t>https://www.disco.com.ar/shampoo-baby-dove-cabello-rizado-con-rulos-ph-neutro-200-ml/p</t>
        </is>
      </c>
    </row>
    <row r="1181">
      <c r="A1181" t="inlineStr">
        <is>
          <t>Disco</t>
        </is>
      </c>
      <c r="B1181" t="n">
        <v>414724</v>
      </c>
      <c r="C1181" t="n">
        <v>410425</v>
      </c>
      <c r="D1181" t="inlineStr">
        <is>
          <t>Acondicionador Para Niños Rulos De Ensueño 200 Ml Johnson´s</t>
        </is>
      </c>
      <c r="E1181" t="inlineStr">
        <is>
          <t>JOHNSON´S</t>
        </is>
      </c>
      <c r="F1181" t="n">
        <v>5800</v>
      </c>
      <c r="G1181" t="n">
        <v>479339</v>
      </c>
      <c r="H1181" t="b">
        <v>0</v>
      </c>
      <c r="I1181" t="n">
        <v>200</v>
      </c>
      <c r="J1181" t="n">
        <v>29</v>
      </c>
      <c r="K1181" t="inlineStr">
        <is>
          <t>&gt; Mundo Bebe &gt; Higiene para el Bebe &gt; Higiene del Bebé &gt;</t>
        </is>
      </c>
      <c r="L1181" t="inlineStr">
        <is>
          <t>acondicionador</t>
        </is>
      </c>
      <c r="M1181" t="inlineStr">
        <is>
          <t>estandar</t>
        </is>
      </c>
      <c r="N1181" t="inlineStr">
        <is>
          <t>rizado</t>
        </is>
      </c>
      <c r="O1181" t="inlineStr">
        <is>
          <t>https://www.disco.com.ar/acondicionador-para-ninos-rulos-de-ensueno-200-ml-johnson-s/p</t>
        </is>
      </c>
    </row>
    <row r="1182">
      <c r="A1182" s="10" t="inlineStr">
        <is>
          <t>Disco</t>
        </is>
      </c>
      <c r="B1182" s="10" t="n">
        <v>333440</v>
      </c>
      <c r="C1182" s="10" t="n">
        <v>332588</v>
      </c>
      <c r="D1182" s="10" t="inlineStr">
        <is>
          <t>Acondicionador Para Niños Johnson's® Rulos De Ensueño X 200 Ml.</t>
        </is>
      </c>
      <c r="E1182" s="10" t="inlineStr">
        <is>
          <t>JOHNSON BABY</t>
        </is>
      </c>
      <c r="F1182" s="10" t="n">
        <v>609.89</v>
      </c>
      <c r="G1182" s="10" t="n">
        <v>50404</v>
      </c>
      <c r="H1182" s="10" t="b">
        <v>0</v>
      </c>
      <c r="I1182" s="10" t="n">
        <v>200</v>
      </c>
      <c r="J1182" s="10" t="n">
        <v>3.0494</v>
      </c>
      <c r="K1182" s="10" t="inlineStr">
        <is>
          <t>&gt; Mundo Bebe &gt; Higiene para el Bebe &gt; Higiene del Bebé &gt;</t>
        </is>
      </c>
      <c r="L1182" s="10" t="inlineStr">
        <is>
          <t>acondicionador</t>
        </is>
      </c>
      <c r="M1182" s="10" t="inlineStr">
        <is>
          <t>estandar</t>
        </is>
      </c>
      <c r="N1182" s="10" t="inlineStr">
        <is>
          <t>rizado</t>
        </is>
      </c>
      <c r="O1182" s="10" t="inlineStr">
        <is>
          <t>https://www.disco.com.ar/acondicionador-para-ninos-johnson-s-rulos-de-ensueno-x-200-ml/p</t>
        </is>
      </c>
    </row>
    <row r="1183">
      <c r="A1183" t="inlineStr">
        <is>
          <t>Disco</t>
        </is>
      </c>
      <c r="B1183" t="n">
        <v>295748</v>
      </c>
      <c r="C1183" t="n">
        <v>294978</v>
      </c>
      <c r="D1183" t="inlineStr">
        <is>
          <t>Shampoo Anticaspa Clear Men Scalpfoods Detox</t>
        </is>
      </c>
      <c r="E1183" t="inlineStr">
        <is>
          <t>CLEAR</t>
        </is>
      </c>
      <c r="F1183" t="n">
        <v>230.63</v>
      </c>
      <c r="G1183" t="n">
        <v>19060</v>
      </c>
      <c r="H1183" t="b">
        <v>0</v>
      </c>
      <c r="I1183" t="inlineStr"/>
      <c r="J1183" t="inlineStr"/>
      <c r="K1183" t="inlineStr">
        <is>
          <t>&gt; Perfumería &gt; Cuidado Capilar &gt; Shampoo &gt;</t>
        </is>
      </c>
      <c r="L1183" t="inlineStr">
        <is>
          <t>shampoo</t>
        </is>
      </c>
      <c r="M1183" t="inlineStr">
        <is>
          <t>estandar</t>
        </is>
      </c>
      <c r="N1183" t="inlineStr">
        <is>
          <t>anticaspa</t>
        </is>
      </c>
      <c r="O1183" t="inlineStr">
        <is>
          <t>https://www.disco.com.ar/shampoo-anticaspa-clear-men-scalpfoods-detox/p</t>
        </is>
      </c>
    </row>
    <row r="1184">
      <c r="A1184" s="10" t="inlineStr">
        <is>
          <t>Disco</t>
        </is>
      </c>
      <c r="B1184" s="10" t="n">
        <v>295745</v>
      </c>
      <c r="C1184" s="10" t="n">
        <v>294975</v>
      </c>
      <c r="D1184" s="10" t="inlineStr">
        <is>
          <t>Shampoo Anticaspa Clear Men Scalpfoods Detox</t>
        </is>
      </c>
      <c r="E1184" s="10" t="inlineStr">
        <is>
          <t>CLEAR</t>
        </is>
      </c>
      <c r="F1184" s="10" t="n">
        <v>134.69</v>
      </c>
      <c r="G1184" s="10" t="n">
        <v>11131</v>
      </c>
      <c r="H1184" s="10" t="b">
        <v>0</v>
      </c>
      <c r="I1184" s="10" t="inlineStr"/>
      <c r="J1184" s="10" t="inlineStr"/>
      <c r="K1184" s="10" t="inlineStr">
        <is>
          <t>&gt; Perfumería &gt; Cuidado Capilar &gt; Shampoo &gt;</t>
        </is>
      </c>
      <c r="L1184" s="10" t="inlineStr">
        <is>
          <t>shampoo</t>
        </is>
      </c>
      <c r="M1184" s="10" t="inlineStr">
        <is>
          <t>estandar</t>
        </is>
      </c>
      <c r="N1184" s="10" t="inlineStr">
        <is>
          <t>anticaspa</t>
        </is>
      </c>
      <c r="O1184" s="10" t="inlineStr">
        <is>
          <t>https://www.disco.com.ar/shampoo-anticaspa-clear-men-scalpfoods-detox-3/p</t>
        </is>
      </c>
    </row>
    <row r="1185">
      <c r="A1185" t="inlineStr">
        <is>
          <t>Disco</t>
        </is>
      </c>
      <c r="B1185" t="n">
        <v>82800</v>
      </c>
      <c r="C1185" t="n">
        <v>80136</v>
      </c>
      <c r="D1185" t="inlineStr">
        <is>
          <t>Shampoo Anticaspa Elvive-citrus-pvc-ml.-200</t>
        </is>
      </c>
      <c r="E1185" t="inlineStr">
        <is>
          <t>ELVIVE</t>
        </is>
      </c>
      <c r="F1185" t="n">
        <v>12.39</v>
      </c>
      <c r="G1185" t="n">
        <v>1024</v>
      </c>
      <c r="H1185" t="b">
        <v>0</v>
      </c>
      <c r="I1185" t="inlineStr"/>
      <c r="J1185" t="inlineStr"/>
      <c r="K1185" t="inlineStr">
        <is>
          <t>&gt; Perfumería &gt; Cuidado Capilar &gt; Shampoo &gt;</t>
        </is>
      </c>
      <c r="L1185" t="inlineStr">
        <is>
          <t>shampoo</t>
        </is>
      </c>
      <c r="M1185" t="inlineStr">
        <is>
          <t>profesional</t>
        </is>
      </c>
      <c r="N1185" t="inlineStr">
        <is>
          <t>anticaspa</t>
        </is>
      </c>
      <c r="O1185" t="inlineStr">
        <is>
          <t>https://www.disco.com.ar/shampoo-anticaspa-elvive-7/p</t>
        </is>
      </c>
    </row>
    <row r="1186">
      <c r="A1186" s="10" t="inlineStr">
        <is>
          <t>Disco</t>
        </is>
      </c>
      <c r="B1186" s="10" t="n">
        <v>295738</v>
      </c>
      <c r="C1186" s="10" t="n">
        <v>294968</v>
      </c>
      <c r="D1186" s="10" t="inlineStr">
        <is>
          <t>Shampoo Anticaspa Clear Men Scalpfoods Detox</t>
        </is>
      </c>
      <c r="E1186" s="10" t="inlineStr">
        <is>
          <t>CLEAR</t>
        </is>
      </c>
      <c r="F1186" s="10" t="n">
        <v>134.69</v>
      </c>
      <c r="G1186" s="10" t="n">
        <v>11131</v>
      </c>
      <c r="H1186" s="10" t="b">
        <v>0</v>
      </c>
      <c r="I1186" s="10" t="inlineStr"/>
      <c r="J1186" s="10" t="inlineStr"/>
      <c r="K1186" s="10" t="inlineStr">
        <is>
          <t>&gt; Perfumería &gt; Cuidado Capilar &gt; Shampoo &gt;</t>
        </is>
      </c>
      <c r="L1186" s="10" t="inlineStr">
        <is>
          <t>shampoo</t>
        </is>
      </c>
      <c r="M1186" s="10" t="inlineStr">
        <is>
          <t>estandar</t>
        </is>
      </c>
      <c r="N1186" s="10" t="inlineStr">
        <is>
          <t>anticaspa</t>
        </is>
      </c>
      <c r="O1186" s="10" t="inlineStr">
        <is>
          <t>https://www.disco.com.ar/shampoo-anticaspa-clear-men-scalpfoods-detox-4/p</t>
        </is>
      </c>
    </row>
    <row r="1187">
      <c r="A1187" t="inlineStr">
        <is>
          <t>Disco</t>
        </is>
      </c>
      <c r="B1187" t="n">
        <v>295747</v>
      </c>
      <c r="C1187" t="n">
        <v>294977</v>
      </c>
      <c r="D1187" t="inlineStr">
        <is>
          <t>Shampoo Anticaspa Clear Men Scalpfoods Detox</t>
        </is>
      </c>
      <c r="E1187" t="inlineStr">
        <is>
          <t>CLEAR</t>
        </is>
      </c>
      <c r="F1187" t="n">
        <v>230.63</v>
      </c>
      <c r="G1187" t="n">
        <v>19060</v>
      </c>
      <c r="H1187" t="b">
        <v>0</v>
      </c>
      <c r="I1187" t="inlineStr"/>
      <c r="J1187" t="inlineStr"/>
      <c r="K1187" t="inlineStr">
        <is>
          <t>&gt; Perfumería &gt; Cuidado Capilar &gt; Shampoo &gt;</t>
        </is>
      </c>
      <c r="L1187" t="inlineStr">
        <is>
          <t>shampoo</t>
        </is>
      </c>
      <c r="M1187" t="inlineStr">
        <is>
          <t>estandar</t>
        </is>
      </c>
      <c r="N1187" t="inlineStr">
        <is>
          <t>anticaspa</t>
        </is>
      </c>
      <c r="O1187" t="inlineStr">
        <is>
          <t>https://www.disco.com.ar/shampoo-anticaspa-clear-men-scalpfoods-detox-2/p</t>
        </is>
      </c>
    </row>
    <row r="1188">
      <c r="A1188" s="10" t="inlineStr">
        <is>
          <t>Disco</t>
        </is>
      </c>
      <c r="B1188" s="10" t="n">
        <v>13333</v>
      </c>
      <c r="C1188" s="10" t="n">
        <v>10546</v>
      </c>
      <c r="D1188" s="10" t="inlineStr">
        <is>
          <t>Shampoo Anticaspa Capilatis Ortiga 410 Cc</t>
        </is>
      </c>
      <c r="E1188" s="10" t="inlineStr">
        <is>
          <t>CAPILATIS</t>
        </is>
      </c>
      <c r="F1188" s="10" t="n">
        <v>1008.99</v>
      </c>
      <c r="G1188" s="10" t="n">
        <v>83388</v>
      </c>
      <c r="H1188" s="10" t="b">
        <v>0</v>
      </c>
      <c r="I1188" s="10" t="inlineStr"/>
      <c r="J1188" s="10" t="inlineStr"/>
      <c r="K1188" s="10" t="inlineStr">
        <is>
          <t>&gt; Perfumería &gt; Cuidado Capilar &gt; Shampoo &gt;</t>
        </is>
      </c>
      <c r="L1188" s="10" t="inlineStr">
        <is>
          <t>shampoo</t>
        </is>
      </c>
      <c r="M1188" s="10" t="inlineStr">
        <is>
          <t>estandar</t>
        </is>
      </c>
      <c r="N1188" s="10" t="inlineStr">
        <is>
          <t>anticaspa</t>
        </is>
      </c>
      <c r="O1188" s="10" t="inlineStr">
        <is>
          <t>https://www.disco.com.ar/shampoo-anticaspa-capilatis-ortiga-410-cc/p</t>
        </is>
      </c>
    </row>
    <row r="1189">
      <c r="A1189" t="inlineStr">
        <is>
          <t>Disco</t>
        </is>
      </c>
      <c r="B1189" t="n">
        <v>160203</v>
      </c>
      <c r="C1189" t="n">
        <v>157762</v>
      </c>
      <c r="D1189" t="inlineStr">
        <is>
          <t>Shampoo Anticaspa Elvive-control Citrus-pvc-ml.-400</t>
        </is>
      </c>
      <c r="E1189" t="inlineStr">
        <is>
          <t>ELVIVE</t>
        </is>
      </c>
      <c r="F1189" t="n">
        <v>26.85</v>
      </c>
      <c r="G1189" t="n">
        <v>2219</v>
      </c>
      <c r="H1189" t="b">
        <v>0</v>
      </c>
      <c r="I1189" t="inlineStr"/>
      <c r="J1189" t="inlineStr"/>
      <c r="K1189" t="inlineStr">
        <is>
          <t>&gt; Perfumería &gt; Cuidado Capilar &gt; Shampoo &gt;</t>
        </is>
      </c>
      <c r="L1189" t="inlineStr">
        <is>
          <t>shampoo</t>
        </is>
      </c>
      <c r="M1189" t="inlineStr">
        <is>
          <t>profesional</t>
        </is>
      </c>
      <c r="N1189" t="inlineStr">
        <is>
          <t>anticaspa</t>
        </is>
      </c>
      <c r="O1189" t="inlineStr">
        <is>
          <t>https://www.disco.com.ar/shampoo-anticaspa-elvive-control-citrus-pvc-ml-400-2/p</t>
        </is>
      </c>
    </row>
    <row r="1190">
      <c r="A1190" s="10" t="inlineStr">
        <is>
          <t>Disco</t>
        </is>
      </c>
      <c r="B1190" s="10" t="n">
        <v>115905</v>
      </c>
      <c r="C1190" s="10" t="n">
        <v>114949</v>
      </c>
      <c r="D1190" s="10" t="inlineStr">
        <is>
          <t>Shampoo Anticaspa Head &amp; Shoulders X700ml Shampoo Head &amp; Shoulders X700ml Liso Y Sedoso  Pvc 700 Ml.</t>
        </is>
      </c>
      <c r="E1190" s="10" t="inlineStr">
        <is>
          <t>HEAD &amp; SHOULDERS</t>
        </is>
      </c>
      <c r="F1190" s="10" t="n">
        <v>27.66</v>
      </c>
      <c r="G1190" s="10" t="n">
        <v>27.66</v>
      </c>
      <c r="H1190" s="10" t="b">
        <v>0</v>
      </c>
      <c r="I1190" s="10" t="n">
        <v>700</v>
      </c>
      <c r="J1190" s="10" t="n">
        <v>0.0395</v>
      </c>
      <c r="K1190" s="10" t="inlineStr">
        <is>
          <t>&gt; Perfumería &gt; Cuidado Capilar &gt; Shampoo &gt;</t>
        </is>
      </c>
      <c r="L1190" s="10" t="inlineStr">
        <is>
          <t>shampoo</t>
        </is>
      </c>
      <c r="M1190" s="10" t="inlineStr">
        <is>
          <t>estandar</t>
        </is>
      </c>
      <c r="N1190" s="10" t="inlineStr">
        <is>
          <t>anticaspa</t>
        </is>
      </c>
      <c r="O1190" s="10" t="inlineStr">
        <is>
          <t>https://www.disco.com.ar/shampoo-anticaspa-head-shoulders-x700ml/p</t>
        </is>
      </c>
    </row>
    <row r="1191">
      <c r="A1191" t="inlineStr">
        <is>
          <t>Disco</t>
        </is>
      </c>
      <c r="B1191" t="n">
        <v>160189</v>
      </c>
      <c r="C1191" t="n">
        <v>157748</v>
      </c>
      <c r="D1191" t="inlineStr">
        <is>
          <t>Shampoo Anticaspa Elvive-control Citrus-pvc-ml.-200</t>
        </is>
      </c>
      <c r="E1191" t="inlineStr">
        <is>
          <t>ELVIVE</t>
        </is>
      </c>
      <c r="F1191" t="n">
        <v>11.57</v>
      </c>
      <c r="G1191" t="n">
        <v>11.57</v>
      </c>
      <c r="H1191" t="b">
        <v>0</v>
      </c>
      <c r="I1191" t="inlineStr"/>
      <c r="J1191" t="inlineStr"/>
      <c r="K1191" t="inlineStr">
        <is>
          <t>&gt; Perfumería &gt; Cuidado Capilar &gt; Shampoo &gt;</t>
        </is>
      </c>
      <c r="L1191" t="inlineStr">
        <is>
          <t>shampoo</t>
        </is>
      </c>
      <c r="M1191" t="inlineStr">
        <is>
          <t>profesional</t>
        </is>
      </c>
      <c r="N1191" t="inlineStr">
        <is>
          <t>anticaspa</t>
        </is>
      </c>
      <c r="O1191" t="inlineStr">
        <is>
          <t>https://www.disco.com.ar/shampoo-anticaspa-elvive-control-citrus-pvc-ml-200-2/p</t>
        </is>
      </c>
    </row>
    <row r="1192">
      <c r="A1192" s="10" t="inlineStr">
        <is>
          <t>Disco</t>
        </is>
      </c>
      <c r="B1192" s="10" t="n">
        <v>141252</v>
      </c>
      <c r="C1192" s="10" t="n">
        <v>138164</v>
      </c>
      <c r="D1192" s="10" t="inlineStr">
        <is>
          <t>Shampoo Anticaspa Clear Men-mentol-pet-ml.-400</t>
        </is>
      </c>
      <c r="E1192" s="10" t="inlineStr">
        <is>
          <t>CLEAR</t>
        </is>
      </c>
      <c r="F1192" s="10" t="n">
        <v>87.09</v>
      </c>
      <c r="G1192" s="10" t="n">
        <v>7198</v>
      </c>
      <c r="H1192" s="10" t="b">
        <v>0</v>
      </c>
      <c r="I1192" s="10" t="inlineStr"/>
      <c r="J1192" s="10" t="inlineStr"/>
      <c r="K1192" s="10" t="inlineStr">
        <is>
          <t>&gt; Perfumería &gt; Cuidado Capilar &gt; Shampoo &gt;</t>
        </is>
      </c>
      <c r="L1192" s="10" t="inlineStr">
        <is>
          <t>shampoo</t>
        </is>
      </c>
      <c r="M1192" s="10" t="inlineStr">
        <is>
          <t>estandar</t>
        </is>
      </c>
      <c r="N1192" s="10" t="inlineStr">
        <is>
          <t>anticaspa</t>
        </is>
      </c>
      <c r="O1192" s="10" t="inlineStr">
        <is>
          <t>https://www.disco.com.ar/shampoo-anticaspa-clear-men-mentol-pet-ml-400-2/p</t>
        </is>
      </c>
    </row>
    <row r="1193">
      <c r="A1193" t="inlineStr">
        <is>
          <t>Disco</t>
        </is>
      </c>
      <c r="B1193" t="n">
        <v>141263</v>
      </c>
      <c r="C1193" t="n">
        <v>138173</v>
      </c>
      <c r="D1193" t="inlineStr">
        <is>
          <t>Shampoo Anticaspa Clear Unisex-mentol-pet-ml.-400</t>
        </is>
      </c>
      <c r="E1193" t="inlineStr">
        <is>
          <t>CLEAR</t>
        </is>
      </c>
      <c r="F1193" t="n">
        <v>87.09</v>
      </c>
      <c r="G1193" t="n">
        <v>7198</v>
      </c>
      <c r="H1193" t="b">
        <v>0</v>
      </c>
      <c r="I1193" t="inlineStr"/>
      <c r="J1193" t="inlineStr"/>
      <c r="K1193" t="inlineStr">
        <is>
          <t>&gt; Perfumería &gt; Cuidado Capilar &gt; Shampoo &gt;</t>
        </is>
      </c>
      <c r="L1193" t="inlineStr">
        <is>
          <t>shampoo</t>
        </is>
      </c>
      <c r="M1193" t="inlineStr">
        <is>
          <t>estandar</t>
        </is>
      </c>
      <c r="N1193" t="inlineStr">
        <is>
          <t>anticaspa</t>
        </is>
      </c>
      <c r="O1193" t="inlineStr">
        <is>
          <t>https://www.disco.com.ar/shampoo-anticaspa-clear-unisex-mentol-pet-ml-400-2/p</t>
        </is>
      </c>
    </row>
    <row r="1194">
      <c r="A1194" s="10" t="inlineStr">
        <is>
          <t>Disco</t>
        </is>
      </c>
      <c r="B1194" s="10" t="n">
        <v>141260</v>
      </c>
      <c r="C1194" s="10" t="n">
        <v>138170</v>
      </c>
      <c r="D1194" s="10" t="inlineStr">
        <is>
          <t>Shampoo Anticaspa Clear Men-mentol-pet-ml.-200</t>
        </is>
      </c>
      <c r="E1194" s="10" t="inlineStr">
        <is>
          <t>CLEAR</t>
        </is>
      </c>
      <c r="F1194" s="10" t="n">
        <v>45.89</v>
      </c>
      <c r="G1194" s="10" t="n">
        <v>3793</v>
      </c>
      <c r="H1194" s="10" t="b">
        <v>0</v>
      </c>
      <c r="I1194" s="10" t="inlineStr"/>
      <c r="J1194" s="10" t="inlineStr"/>
      <c r="K1194" s="10" t="inlineStr">
        <is>
          <t>&gt; Perfumería &gt; Cuidado Capilar &gt; Shampoo &gt;</t>
        </is>
      </c>
      <c r="L1194" s="10" t="inlineStr">
        <is>
          <t>shampoo</t>
        </is>
      </c>
      <c r="M1194" s="10" t="inlineStr">
        <is>
          <t>estandar</t>
        </is>
      </c>
      <c r="N1194" s="10" t="inlineStr">
        <is>
          <t>anticaspa</t>
        </is>
      </c>
      <c r="O1194" s="10" t="inlineStr">
        <is>
          <t>https://www.disco.com.ar/shampoo-anticaspa-clear-men-mentol-pet-ml-200-2/p</t>
        </is>
      </c>
    </row>
    <row r="1195">
      <c r="A1195" t="inlineStr">
        <is>
          <t>Disco</t>
        </is>
      </c>
      <c r="B1195" t="n">
        <v>103294</v>
      </c>
      <c r="C1195" t="n">
        <v>100591</v>
      </c>
      <c r="D1195" t="inlineStr">
        <is>
          <t>Shampoo Anticaspa Clear Unisex-mentol-pvc-ml.-200</t>
        </is>
      </c>
      <c r="E1195" t="inlineStr">
        <is>
          <t>CLEAR</t>
        </is>
      </c>
      <c r="F1195" t="n">
        <v>45.89</v>
      </c>
      <c r="G1195" t="n">
        <v>3793</v>
      </c>
      <c r="H1195" t="b">
        <v>0</v>
      </c>
      <c r="I1195" t="inlineStr"/>
      <c r="J1195" t="inlineStr"/>
      <c r="K1195" t="inlineStr">
        <is>
          <t>&gt; Perfumería &gt; Cuidado Capilar &gt; Shampoo &gt;</t>
        </is>
      </c>
      <c r="L1195" t="inlineStr">
        <is>
          <t>shampoo</t>
        </is>
      </c>
      <c r="M1195" t="inlineStr">
        <is>
          <t>estandar</t>
        </is>
      </c>
      <c r="N1195" t="inlineStr">
        <is>
          <t>anticaspa</t>
        </is>
      </c>
      <c r="O1195" t="inlineStr">
        <is>
          <t>https://www.disco.com.ar/shampoo-anticaspa-clear-unisex-mentol-pvc-ml-200/p</t>
        </is>
      </c>
    </row>
    <row r="1196">
      <c r="A1196" s="10" t="inlineStr">
        <is>
          <t>Disco</t>
        </is>
      </c>
      <c r="B1196" s="10" t="n">
        <v>181571</v>
      </c>
      <c r="C1196" s="10" t="n">
        <v>201828</v>
      </c>
      <c r="D1196" s="10" t="inlineStr">
        <is>
          <t>Shampoo Anticaspa Elvive Cabellos Secos Pck 2 Un.</t>
        </is>
      </c>
      <c r="E1196" s="10" t="inlineStr">
        <is>
          <t>ELVIVE</t>
        </is>
      </c>
      <c r="F1196" s="10" t="n">
        <v>17.43</v>
      </c>
      <c r="G1196" s="10" t="n">
        <v>17.43</v>
      </c>
      <c r="H1196" s="10" t="b">
        <v>0</v>
      </c>
      <c r="I1196" s="10" t="inlineStr"/>
      <c r="J1196" s="10" t="inlineStr"/>
      <c r="K1196" s="10" t="inlineStr">
        <is>
          <t>&gt; Perfumería &gt; Cuidado Capilar &gt; Shampoo &gt;</t>
        </is>
      </c>
      <c r="L1196" s="10" t="inlineStr">
        <is>
          <t>shampoo</t>
        </is>
      </c>
      <c r="M1196" s="10" t="inlineStr">
        <is>
          <t>profesional</t>
        </is>
      </c>
      <c r="N1196" s="10" t="inlineStr">
        <is>
          <t>anticaspa</t>
        </is>
      </c>
      <c r="O1196" s="10" t="inlineStr">
        <is>
          <t>https://www.disco.com.ar/shampoo-anticaspa-elvive-pck-2-un-2-246125/p</t>
        </is>
      </c>
    </row>
    <row r="1197">
      <c r="A1197" t="inlineStr">
        <is>
          <t>Disco</t>
        </is>
      </c>
      <c r="B1197" t="n">
        <v>174853</v>
      </c>
      <c r="C1197" t="n">
        <v>186466</v>
      </c>
      <c r="D1197" t="inlineStr">
        <is>
          <t>Shampoo Anticaspa Head &amp; Shoulders X 3 Un</t>
        </is>
      </c>
      <c r="E1197" t="inlineStr">
        <is>
          <t>HEAD &amp; SHOULDERS</t>
        </is>
      </c>
      <c r="F1197" t="n">
        <v>15.19</v>
      </c>
      <c r="G1197" t="n">
        <v>15.19</v>
      </c>
      <c r="H1197" t="b">
        <v>0</v>
      </c>
      <c r="I1197" t="inlineStr"/>
      <c r="J1197" t="inlineStr"/>
      <c r="K1197" t="inlineStr">
        <is>
          <t>&gt; Perfumería &gt; Cuidado Capilar &gt; Shampoo &gt;</t>
        </is>
      </c>
      <c r="L1197" t="inlineStr">
        <is>
          <t>shampoo</t>
        </is>
      </c>
      <c r="M1197" t="inlineStr">
        <is>
          <t>estandar</t>
        </is>
      </c>
      <c r="N1197" t="inlineStr">
        <is>
          <t>anticaspa</t>
        </is>
      </c>
      <c r="O1197" t="inlineStr">
        <is>
          <t>https://www.disco.com.ar/shampoo-anticaspa-head-shoulders-x-3-un-2/p</t>
        </is>
      </c>
    </row>
    <row r="1198">
      <c r="A1198" s="10" t="inlineStr">
        <is>
          <t>Disco</t>
        </is>
      </c>
      <c r="B1198" s="10" t="n">
        <v>134739</v>
      </c>
      <c r="C1198" s="10" t="n">
        <v>131652</v>
      </c>
      <c r="D1198" s="10" t="inlineStr">
        <is>
          <t>Shampoo Anticaspa Clear Men-control Caida-pvc-ml.-240</t>
        </is>
      </c>
      <c r="E1198" s="10" t="inlineStr">
        <is>
          <t>CLEAR</t>
        </is>
      </c>
      <c r="F1198" s="10" t="n">
        <v>14.99</v>
      </c>
      <c r="G1198" s="10" t="n">
        <v>14.99</v>
      </c>
      <c r="H1198" s="10" t="b">
        <v>0</v>
      </c>
      <c r="I1198" s="10" t="inlineStr"/>
      <c r="J1198" s="10" t="inlineStr"/>
      <c r="K1198" s="10" t="inlineStr">
        <is>
          <t>&gt; Perfumería &gt; Cuidado Capilar &gt; Shampoo &gt;</t>
        </is>
      </c>
      <c r="L1198" s="10" t="inlineStr">
        <is>
          <t>shampoo</t>
        </is>
      </c>
      <c r="M1198" s="10" t="inlineStr">
        <is>
          <t>estandar</t>
        </is>
      </c>
      <c r="N1198" s="10" t="inlineStr">
        <is>
          <t>anticaspa</t>
        </is>
      </c>
      <c r="O1198" s="10" t="inlineStr">
        <is>
          <t>https://www.disco.com.ar/shampoo-anticaspa-clear-men-control-caida-pvc-ml-240/p</t>
        </is>
      </c>
    </row>
    <row r="1199">
      <c r="A1199" t="inlineStr">
        <is>
          <t>Disco</t>
        </is>
      </c>
      <c r="B1199" t="n">
        <v>8825</v>
      </c>
      <c r="C1199" t="n">
        <v>6119</v>
      </c>
      <c r="D1199" t="inlineStr">
        <is>
          <t>Shampoo Anticaspa Head &amp; Shoulders Suave 400 Cc</t>
        </is>
      </c>
      <c r="E1199" t="inlineStr">
        <is>
          <t>HEAD &amp; SHOULDERS</t>
        </is>
      </c>
      <c r="F1199" t="n">
        <v>168.19</v>
      </c>
      <c r="G1199" t="n">
        <v>13900</v>
      </c>
      <c r="H1199" t="b">
        <v>0</v>
      </c>
      <c r="I1199" t="inlineStr"/>
      <c r="J1199" t="inlineStr"/>
      <c r="K1199" t="inlineStr">
        <is>
          <t>&gt; Perfumería &gt; Cuidado Capilar &gt; Shampoo &gt;</t>
        </is>
      </c>
      <c r="L1199" t="inlineStr">
        <is>
          <t>shampoo</t>
        </is>
      </c>
      <c r="M1199" t="inlineStr">
        <is>
          <t>estandar</t>
        </is>
      </c>
      <c r="N1199" t="inlineStr">
        <is>
          <t>anticaspa</t>
        </is>
      </c>
      <c r="O1199" t="inlineStr">
        <is>
          <t>https://www.disco.com.ar/shampoo-anticaspa-head-shoulders-suave-400-cc/p</t>
        </is>
      </c>
    </row>
    <row r="1200">
      <c r="A1200" s="10" t="inlineStr">
        <is>
          <t>Disco</t>
        </is>
      </c>
      <c r="B1200" s="10" t="n">
        <v>236039</v>
      </c>
      <c r="C1200" s="10" t="n">
        <v>205057</v>
      </c>
      <c r="D1200" s="10" t="inlineStr">
        <is>
          <t>Shampoo Anticaspa Head &amp; Shoulders X 2 Un</t>
        </is>
      </c>
      <c r="E1200" s="10" t="inlineStr">
        <is>
          <t>HEAD &amp; SHOULDERS</t>
        </is>
      </c>
      <c r="F1200" s="10" t="n">
        <v>15.19</v>
      </c>
      <c r="G1200" s="10" t="n">
        <v>15.19</v>
      </c>
      <c r="H1200" s="10" t="b">
        <v>0</v>
      </c>
      <c r="I1200" s="10" t="inlineStr"/>
      <c r="J1200" s="10" t="inlineStr"/>
      <c r="K1200" s="10" t="inlineStr">
        <is>
          <t>&gt; Perfumería &gt; Cuidado Capilar &gt; Shampoo &gt;</t>
        </is>
      </c>
      <c r="L1200" s="10" t="inlineStr">
        <is>
          <t>shampoo</t>
        </is>
      </c>
      <c r="M1200" s="10" t="inlineStr">
        <is>
          <t>estandar</t>
        </is>
      </c>
      <c r="N1200" s="10" t="inlineStr">
        <is>
          <t>anticaspa</t>
        </is>
      </c>
      <c r="O1200" s="10" t="inlineStr">
        <is>
          <t>https://www.disco.com.ar/shampoo-anticaspa-head-shoulders-x-2-un-12-271778/p</t>
        </is>
      </c>
    </row>
    <row r="1201">
      <c r="A1201" t="inlineStr">
        <is>
          <t>Disco</t>
        </is>
      </c>
      <c r="B1201" t="n">
        <v>181734</v>
      </c>
      <c r="C1201" t="n">
        <v>202160</v>
      </c>
      <c r="D1201" t="inlineStr">
        <is>
          <t>Shampoo Anticaspa Elvive Cabellos Normales Pck 2 Un.</t>
        </is>
      </c>
      <c r="E1201" t="inlineStr">
        <is>
          <t>ELVIVE</t>
        </is>
      </c>
      <c r="F1201" t="n">
        <v>17.43</v>
      </c>
      <c r="G1201" t="n">
        <v>17.43</v>
      </c>
      <c r="H1201" t="b">
        <v>0</v>
      </c>
      <c r="I1201" t="inlineStr"/>
      <c r="J1201" t="inlineStr"/>
      <c r="K1201" t="inlineStr">
        <is>
          <t>&gt; Perfumería &gt; Cuidado Capilar &gt; Shampoo &gt;</t>
        </is>
      </c>
      <c r="L1201" t="inlineStr">
        <is>
          <t>shampoo</t>
        </is>
      </c>
      <c r="M1201" t="inlineStr">
        <is>
          <t>profesional</t>
        </is>
      </c>
      <c r="N1201" t="inlineStr">
        <is>
          <t>anticaspa</t>
        </is>
      </c>
      <c r="O1201" t="inlineStr">
        <is>
          <t>https://www.disco.com.ar/shampoo-anticaspa-elvive-pck-2-un-3-246128/p</t>
        </is>
      </c>
    </row>
    <row r="1202">
      <c r="A1202" s="10" t="inlineStr">
        <is>
          <t>Disco</t>
        </is>
      </c>
      <c r="B1202" s="10" t="n">
        <v>162966</v>
      </c>
      <c r="C1202" s="10" t="n">
        <v>160503</v>
      </c>
      <c r="D1202" s="10" t="inlineStr">
        <is>
          <t>Shampoo Anticaspa Head &amp; Shoulders-relax-pvc-ml.-700</t>
        </is>
      </c>
      <c r="E1202" s="10" t="inlineStr">
        <is>
          <t>HEAD &amp; SHOULDERS</t>
        </is>
      </c>
      <c r="F1202" s="10" t="n">
        <v>60.57</v>
      </c>
      <c r="G1202" s="10" t="n">
        <v>5006</v>
      </c>
      <c r="H1202" s="10" t="b">
        <v>0</v>
      </c>
      <c r="I1202" s="10" t="inlineStr"/>
      <c r="J1202" s="10" t="inlineStr"/>
      <c r="K1202" s="10" t="inlineStr">
        <is>
          <t>&gt; Perfumería &gt; Cuidado Capilar &gt; Shampoo &gt;</t>
        </is>
      </c>
      <c r="L1202" s="10" t="inlineStr">
        <is>
          <t>shampoo</t>
        </is>
      </c>
      <c r="M1202" s="10" t="inlineStr">
        <is>
          <t>estandar</t>
        </is>
      </c>
      <c r="N1202" s="10" t="inlineStr">
        <is>
          <t>anticaspa</t>
        </is>
      </c>
      <c r="O1202" s="10" t="inlineStr">
        <is>
          <t>https://www.disco.com.ar/shampoo-anticaspa-head-shoulders-relax-pvc-ml-700/p</t>
        </is>
      </c>
    </row>
    <row r="1203">
      <c r="A1203" t="inlineStr">
        <is>
          <t>Disco</t>
        </is>
      </c>
      <c r="B1203" t="n">
        <v>106811</v>
      </c>
      <c r="C1203" t="n">
        <v>104080</v>
      </c>
      <c r="D1203" t="inlineStr">
        <is>
          <t>Shampoo Anticaspa Head &amp; Shoulders X 200 Ml</t>
        </is>
      </c>
      <c r="E1203" t="inlineStr">
        <is>
          <t>HEAD &amp; SHOULDERS</t>
        </is>
      </c>
      <c r="F1203" t="n">
        <v>17.25</v>
      </c>
      <c r="G1203" t="n">
        <v>17.25</v>
      </c>
      <c r="H1203" t="b">
        <v>0</v>
      </c>
      <c r="I1203" t="n">
        <v>200</v>
      </c>
      <c r="J1203" t="n">
        <v>0.0862</v>
      </c>
      <c r="K1203" t="inlineStr">
        <is>
          <t>&gt; Perfumería &gt; Cuidado Capilar &gt; Shampoo &gt;</t>
        </is>
      </c>
      <c r="L1203" t="inlineStr">
        <is>
          <t>shampoo</t>
        </is>
      </c>
      <c r="M1203" t="inlineStr">
        <is>
          <t>estandar</t>
        </is>
      </c>
      <c r="N1203" t="inlineStr">
        <is>
          <t>anticaspa</t>
        </is>
      </c>
      <c r="O1203" t="inlineStr">
        <is>
          <t>https://www.disco.com.ar/shampoo-anticaspa-head-shoulders-x-200-ml/p</t>
        </is>
      </c>
    </row>
    <row r="1204">
      <c r="A1204" s="10" t="inlineStr">
        <is>
          <t>Disco</t>
        </is>
      </c>
      <c r="B1204" s="10" t="n">
        <v>79699</v>
      </c>
      <c r="C1204" s="10" t="n">
        <v>76826</v>
      </c>
      <c r="D1204" s="10" t="inlineStr">
        <is>
          <t>Shampoo Anticaspa Head &amp; Shoulders X 2 Un Shampoo Anticaspa Liso Y Sedoso X 400 Ml + Acondicionador Head &amp; Shoul Pck 2 U</t>
        </is>
      </c>
      <c r="E1204" s="10" t="inlineStr">
        <is>
          <t>HEAD &amp; SHOULDERS</t>
        </is>
      </c>
      <c r="F1204" s="10" t="n">
        <v>19.59</v>
      </c>
      <c r="G1204" s="10" t="n">
        <v>19.59</v>
      </c>
      <c r="H1204" s="10" t="b">
        <v>0</v>
      </c>
      <c r="I1204" s="10" t="n">
        <v>400</v>
      </c>
      <c r="J1204" s="10" t="n">
        <v>0.049</v>
      </c>
      <c r="K1204" s="10" t="inlineStr">
        <is>
          <t>&gt; Perfumería &gt; Cuidado Capilar &gt; Shampoo &gt;</t>
        </is>
      </c>
      <c r="L1204" s="10" t="inlineStr">
        <is>
          <t>acondicionador</t>
        </is>
      </c>
      <c r="M1204" s="10" t="inlineStr">
        <is>
          <t>estandar</t>
        </is>
      </c>
      <c r="N1204" s="10" t="inlineStr">
        <is>
          <t>anticaspa</t>
        </is>
      </c>
      <c r="O1204" s="10" t="inlineStr">
        <is>
          <t>https://www.disco.com.ar/shampoo-anticaspa-head-shoulders-x-2-un/p</t>
        </is>
      </c>
    </row>
    <row r="1205">
      <c r="A1205" t="inlineStr">
        <is>
          <t>Disco</t>
        </is>
      </c>
      <c r="B1205" t="n">
        <v>235994</v>
      </c>
      <c r="C1205" t="n">
        <v>205087</v>
      </c>
      <c r="D1205" t="inlineStr">
        <is>
          <t>Shampoo Anticaspa Head &amp; Shoulders X 2 Un</t>
        </is>
      </c>
      <c r="E1205" t="inlineStr">
        <is>
          <t>HEAD &amp; SHOULDERS</t>
        </is>
      </c>
      <c r="F1205" t="n">
        <v>15.19</v>
      </c>
      <c r="G1205" t="n">
        <v>15.19</v>
      </c>
      <c r="H1205" t="b">
        <v>0</v>
      </c>
      <c r="I1205" t="inlineStr"/>
      <c r="J1205" t="inlineStr"/>
      <c r="K1205" t="inlineStr">
        <is>
          <t>&gt; Perfumería &gt; Cuidado Capilar &gt; Shampoo &gt;</t>
        </is>
      </c>
      <c r="L1205" t="inlineStr">
        <is>
          <t>shampoo</t>
        </is>
      </c>
      <c r="M1205" t="inlineStr">
        <is>
          <t>estandar</t>
        </is>
      </c>
      <c r="N1205" t="inlineStr">
        <is>
          <t>anticaspa</t>
        </is>
      </c>
      <c r="O1205" t="inlineStr">
        <is>
          <t>https://www.disco.com.ar/shampoo-anticaspa-head-shoulders-x-2-un-10-271775/p</t>
        </is>
      </c>
    </row>
    <row r="1206">
      <c r="A1206" s="10" t="inlineStr">
        <is>
          <t>Disco</t>
        </is>
      </c>
      <c r="B1206" s="10" t="n">
        <v>194371</v>
      </c>
      <c r="C1206" s="10" t="n">
        <v>205080</v>
      </c>
      <c r="D1206" s="10" t="inlineStr">
        <is>
          <t>Shampoo Anticaspa Head &amp; Shoulders X 2 Un</t>
        </is>
      </c>
      <c r="E1206" s="10" t="inlineStr">
        <is>
          <t>HEAD &amp; SHOULDERS</t>
        </is>
      </c>
      <c r="F1206" s="10" t="n">
        <v>15.19</v>
      </c>
      <c r="G1206" s="10" t="n">
        <v>15.19</v>
      </c>
      <c r="H1206" s="10" t="b">
        <v>0</v>
      </c>
      <c r="I1206" s="10" t="inlineStr"/>
      <c r="J1206" s="10" t="inlineStr"/>
      <c r="K1206" s="10" t="inlineStr">
        <is>
          <t>&gt; Perfumería &gt; Cuidado Capilar &gt; Shampoo &gt;</t>
        </is>
      </c>
      <c r="L1206" s="10" t="inlineStr">
        <is>
          <t>shampoo</t>
        </is>
      </c>
      <c r="M1206" s="10" t="inlineStr">
        <is>
          <t>estandar</t>
        </is>
      </c>
      <c r="N1206" s="10" t="inlineStr">
        <is>
          <t>anticaspa</t>
        </is>
      </c>
      <c r="O1206" s="10" t="inlineStr">
        <is>
          <t>https://www.disco.com.ar/shampoo-anticaspa-head-shoulders-x-2-un-11-271774/p</t>
        </is>
      </c>
    </row>
    <row r="1207">
      <c r="A1207" t="inlineStr">
        <is>
          <t>Disco</t>
        </is>
      </c>
      <c r="B1207" t="n">
        <v>182284</v>
      </c>
      <c r="C1207" t="n">
        <v>203227</v>
      </c>
      <c r="D1207" t="inlineStr">
        <is>
          <t>Shampoo Anticaspa Head &amp; Shoulders X 3 Un</t>
        </is>
      </c>
      <c r="E1207" t="inlineStr">
        <is>
          <t>HEAD &amp; SHOULDERS</t>
        </is>
      </c>
      <c r="F1207" t="n">
        <v>15.67</v>
      </c>
      <c r="G1207" t="n">
        <v>15.67</v>
      </c>
      <c r="H1207" t="b">
        <v>0</v>
      </c>
      <c r="I1207" t="inlineStr"/>
      <c r="J1207" t="inlineStr"/>
      <c r="K1207" t="inlineStr">
        <is>
          <t>&gt; Perfumería &gt; Cuidado Capilar &gt; Shampoo &gt;</t>
        </is>
      </c>
      <c r="L1207" t="inlineStr">
        <is>
          <t>shampoo</t>
        </is>
      </c>
      <c r="M1207" t="inlineStr">
        <is>
          <t>estandar</t>
        </is>
      </c>
      <c r="N1207" t="inlineStr">
        <is>
          <t>anticaspa</t>
        </is>
      </c>
      <c r="O1207" t="inlineStr">
        <is>
          <t>https://www.disco.com.ar/shampoo-anticaspa-head-shoulders-x-3-un-5-281304/p</t>
        </is>
      </c>
    </row>
    <row r="1208">
      <c r="A1208" s="10" t="inlineStr">
        <is>
          <t>Disco</t>
        </is>
      </c>
      <c r="B1208" s="10" t="n">
        <v>174669</v>
      </c>
      <c r="C1208" s="10" t="n">
        <v>185971</v>
      </c>
      <c r="D1208" s="10" t="inlineStr">
        <is>
          <t>Shampoo Anticaspa Elvive Cabello Normal Pvc 350 Ml</t>
        </is>
      </c>
      <c r="E1208" s="10" t="inlineStr">
        <is>
          <t>ELVIVE</t>
        </is>
      </c>
      <c r="F1208" s="10" t="n">
        <v>16.09</v>
      </c>
      <c r="G1208" s="10" t="n">
        <v>16.09</v>
      </c>
      <c r="H1208" s="10" t="b">
        <v>0</v>
      </c>
      <c r="I1208" s="10" t="n">
        <v>350</v>
      </c>
      <c r="J1208" s="10" t="n">
        <v>0.046</v>
      </c>
      <c r="K1208" s="10" t="inlineStr">
        <is>
          <t>&gt; Perfumería &gt; Cuidado Capilar &gt; Shampoo &gt;</t>
        </is>
      </c>
      <c r="L1208" s="10" t="inlineStr">
        <is>
          <t>shampoo</t>
        </is>
      </c>
      <c r="M1208" s="10" t="inlineStr">
        <is>
          <t>profesional</t>
        </is>
      </c>
      <c r="N1208" s="10" t="inlineStr">
        <is>
          <t>anticaspa</t>
        </is>
      </c>
      <c r="O1208" s="10" t="inlineStr">
        <is>
          <t>https://www.disco.com.ar/shampoo-anticaspa-elvive-4-237947/p</t>
        </is>
      </c>
    </row>
    <row r="1209">
      <c r="A1209" t="inlineStr">
        <is>
          <t>Disco</t>
        </is>
      </c>
      <c r="B1209" t="n">
        <v>174643</v>
      </c>
      <c r="C1209" t="n">
        <v>185891</v>
      </c>
      <c r="D1209" t="inlineStr">
        <is>
          <t>Shampoo Anticaspa Elvive Cabellos Grasos Pvc 350 Ml</t>
        </is>
      </c>
      <c r="E1209" t="inlineStr">
        <is>
          <t>ELVIVE</t>
        </is>
      </c>
      <c r="F1209" t="n">
        <v>16.09</v>
      </c>
      <c r="G1209" t="n">
        <v>16.09</v>
      </c>
      <c r="H1209" t="b">
        <v>0</v>
      </c>
      <c r="I1209" t="n">
        <v>350</v>
      </c>
      <c r="J1209" t="n">
        <v>0.046</v>
      </c>
      <c r="K1209" t="inlineStr">
        <is>
          <t>&gt; Perfumería &gt; Cuidado Capilar &gt; Shampoo &gt;</t>
        </is>
      </c>
      <c r="L1209" t="inlineStr">
        <is>
          <t>shampoo</t>
        </is>
      </c>
      <c r="M1209" t="inlineStr">
        <is>
          <t>profesional</t>
        </is>
      </c>
      <c r="N1209" t="inlineStr">
        <is>
          <t>anticaspa</t>
        </is>
      </c>
      <c r="O1209" t="inlineStr">
        <is>
          <t>https://www.disco.com.ar/shampoo-anticaspa-elvive-pvc-350-ml-237946/p</t>
        </is>
      </c>
    </row>
    <row r="1210">
      <c r="A1210" s="10" t="inlineStr">
        <is>
          <t>Disco</t>
        </is>
      </c>
      <c r="B1210" s="10" t="n">
        <v>115233</v>
      </c>
      <c r="C1210" s="10" t="n">
        <v>114279</v>
      </c>
      <c r="D1210" s="10" t="inlineStr">
        <is>
          <t>Shampoo Anticaspa Head &amp; Shoulders X 700 Ml</t>
        </is>
      </c>
      <c r="E1210" s="10" t="inlineStr">
        <is>
          <t>HEAD &amp; SHOULDERS</t>
        </is>
      </c>
      <c r="F1210" s="10" t="n">
        <v>41.99</v>
      </c>
      <c r="G1210" s="10" t="n">
        <v>41.99</v>
      </c>
      <c r="H1210" s="10" t="b">
        <v>0</v>
      </c>
      <c r="I1210" s="10" t="n">
        <v>700</v>
      </c>
      <c r="J1210" s="10" t="n">
        <v>0.06</v>
      </c>
      <c r="K1210" s="10" t="inlineStr">
        <is>
          <t>&gt; Perfumería &gt; Cuidado Capilar &gt; Shampoo &gt;</t>
        </is>
      </c>
      <c r="L1210" s="10" t="inlineStr">
        <is>
          <t>shampoo</t>
        </is>
      </c>
      <c r="M1210" s="10" t="inlineStr">
        <is>
          <t>estandar</t>
        </is>
      </c>
      <c r="N1210" s="10" t="inlineStr">
        <is>
          <t>anticaspa</t>
        </is>
      </c>
      <c r="O1210" s="10" t="inlineStr">
        <is>
          <t>https://www.disco.com.ar/shampoo-anticaspa-head-shoulders-x-700-ml/p</t>
        </is>
      </c>
    </row>
    <row r="1211">
      <c r="A1211" t="inlineStr">
        <is>
          <t>Disco</t>
        </is>
      </c>
      <c r="B1211" t="n">
        <v>122343</v>
      </c>
      <c r="C1211" t="n">
        <v>121362</v>
      </c>
      <c r="D1211" t="inlineStr">
        <is>
          <t>Shampoo Anticaspa Triatop Cabello Normal/seco  Pvc 120 Cc.</t>
        </is>
      </c>
      <c r="E1211" t="inlineStr">
        <is>
          <t>TRIATOP</t>
        </is>
      </c>
      <c r="F1211" t="n">
        <v>16.36</v>
      </c>
      <c r="G1211" t="n">
        <v>16.36</v>
      </c>
      <c r="H1211" t="b">
        <v>0</v>
      </c>
      <c r="I1211" t="inlineStr"/>
      <c r="J1211" t="inlineStr"/>
      <c r="K1211" t="inlineStr">
        <is>
          <t>&gt; Perfumería &gt; Cuidado Capilar &gt; Shampoo &gt;</t>
        </is>
      </c>
      <c r="L1211" t="inlineStr">
        <is>
          <t>shampoo</t>
        </is>
      </c>
      <c r="M1211" t="inlineStr">
        <is>
          <t>estandar</t>
        </is>
      </c>
      <c r="N1211" t="inlineStr">
        <is>
          <t>anticaspa</t>
        </is>
      </c>
      <c r="O1211" t="inlineStr">
        <is>
          <t>https://www.disco.com.ar/shampoo-anticaspa-triatop-cabello-normal-seco-pvc-120-cc/p</t>
        </is>
      </c>
    </row>
    <row r="1212">
      <c r="A1212" s="10" t="inlineStr">
        <is>
          <t>Disco</t>
        </is>
      </c>
      <c r="B1212" s="10" t="n">
        <v>36074</v>
      </c>
      <c r="C1212" s="10" t="n">
        <v>33232</v>
      </c>
      <c r="D1212" s="10" t="inlineStr">
        <is>
          <t>Shampoo Anticaspa Head &amp; Shoulders Limpieza Renovada 400 Ml</t>
        </is>
      </c>
      <c r="E1212" s="10" t="inlineStr">
        <is>
          <t>HEAD &amp; SHOULDERS</t>
        </is>
      </c>
      <c r="F1212" s="10" t="n">
        <v>168.19</v>
      </c>
      <c r="G1212" s="10" t="n">
        <v>13900</v>
      </c>
      <c r="H1212" s="10" t="b">
        <v>0</v>
      </c>
      <c r="I1212" s="10" t="n">
        <v>400</v>
      </c>
      <c r="J1212" s="10" t="n">
        <v>0.4205</v>
      </c>
      <c r="K1212" s="10" t="inlineStr">
        <is>
          <t>&gt; Perfumería &gt; Cuidado Capilar &gt; Shampoo &gt;</t>
        </is>
      </c>
      <c r="L1212" s="10" t="inlineStr">
        <is>
          <t>shampoo</t>
        </is>
      </c>
      <c r="M1212" s="10" t="inlineStr">
        <is>
          <t>estandar</t>
        </is>
      </c>
      <c r="N1212" s="10" t="inlineStr">
        <is>
          <t>anticaspa</t>
        </is>
      </c>
      <c r="O1212" s="10" t="inlineStr">
        <is>
          <t>https://www.disco.com.ar/shampoo-anticaspa-head-shoulders-limpieza-renovada-400-ml/p</t>
        </is>
      </c>
    </row>
    <row r="1213">
      <c r="A1213" t="inlineStr">
        <is>
          <t>Disco</t>
        </is>
      </c>
      <c r="B1213" t="n">
        <v>8838</v>
      </c>
      <c r="C1213" t="n">
        <v>6131</v>
      </c>
      <c r="D1213" t="inlineStr">
        <is>
          <t>Shampoo Anticaspa Head &amp; Shoulders Accion Humectante 400 Ml</t>
        </is>
      </c>
      <c r="E1213" t="inlineStr">
        <is>
          <t>HEAD &amp; SHOULDERS</t>
        </is>
      </c>
      <c r="F1213" t="n">
        <v>168.19</v>
      </c>
      <c r="G1213" t="n">
        <v>13900</v>
      </c>
      <c r="H1213" t="b">
        <v>0</v>
      </c>
      <c r="I1213" t="n">
        <v>400</v>
      </c>
      <c r="J1213" t="n">
        <v>0.4205</v>
      </c>
      <c r="K1213" t="inlineStr">
        <is>
          <t>&gt; Perfumería &gt; Cuidado Capilar &gt; Shampoo &gt;</t>
        </is>
      </c>
      <c r="L1213" t="inlineStr">
        <is>
          <t>shampoo</t>
        </is>
      </c>
      <c r="M1213" t="inlineStr">
        <is>
          <t>estandar</t>
        </is>
      </c>
      <c r="N1213" t="inlineStr">
        <is>
          <t>anticaspa</t>
        </is>
      </c>
      <c r="O1213" t="inlineStr">
        <is>
          <t>https://www.disco.com.ar/shampoo-anticaspa-head-shoulders-accion-humectante-400-ml/p</t>
        </is>
      </c>
    </row>
    <row r="1214">
      <c r="A1214" s="10" t="inlineStr">
        <is>
          <t>Disco</t>
        </is>
      </c>
      <c r="B1214" s="10" t="n">
        <v>5023</v>
      </c>
      <c r="C1214" s="10" t="n">
        <v>2564</v>
      </c>
      <c r="D1214" s="10" t="inlineStr">
        <is>
          <t>Shampoo Anticaspa Head &amp; Shoulders Accion Humectante 200 Ml</t>
        </is>
      </c>
      <c r="E1214" s="10" t="inlineStr">
        <is>
          <t>HEAD &amp; SHOULDERS</t>
        </is>
      </c>
      <c r="F1214" s="10" t="n">
        <v>70.43000000000001</v>
      </c>
      <c r="G1214" s="10" t="n">
        <v>5821</v>
      </c>
      <c r="H1214" s="10" t="b">
        <v>0</v>
      </c>
      <c r="I1214" s="10" t="n">
        <v>200</v>
      </c>
      <c r="J1214" s="10" t="n">
        <v>0.3522</v>
      </c>
      <c r="K1214" s="10" t="inlineStr">
        <is>
          <t>&gt; Perfumería &gt; Cuidado Capilar &gt; Shampoo &gt;</t>
        </is>
      </c>
      <c r="L1214" s="10" t="inlineStr">
        <is>
          <t>shampoo</t>
        </is>
      </c>
      <c r="M1214" s="10" t="inlineStr">
        <is>
          <t>estandar</t>
        </is>
      </c>
      <c r="N1214" s="10" t="inlineStr">
        <is>
          <t>anticaspa</t>
        </is>
      </c>
      <c r="O1214" s="10" t="inlineStr">
        <is>
          <t>https://www.disco.com.ar/shampoo-anticaspa-head-shoulders-accion-humectante-200-ml/p</t>
        </is>
      </c>
    </row>
    <row r="1215">
      <c r="A1215" t="inlineStr">
        <is>
          <t>Disco</t>
        </is>
      </c>
      <c r="B1215" t="n">
        <v>220282</v>
      </c>
      <c r="C1215" t="n">
        <v>225221</v>
      </c>
      <c r="D1215" t="inlineStr">
        <is>
          <t>Shampoo Anticaspa 2 En 1 Elvive Pet 250 M</t>
        </is>
      </c>
      <c r="E1215" t="inlineStr">
        <is>
          <t>ELVIVE</t>
        </is>
      </c>
      <c r="F1215" t="n">
        <v>14.57</v>
      </c>
      <c r="G1215" t="n">
        <v>14.57</v>
      </c>
      <c r="H1215" t="b">
        <v>0</v>
      </c>
      <c r="I1215" t="inlineStr"/>
      <c r="J1215" t="inlineStr"/>
      <c r="K1215" t="inlineStr">
        <is>
          <t>&gt; Perfumería &gt; Cuidado Capilar &gt; Shampoo &gt;</t>
        </is>
      </c>
      <c r="L1215" t="inlineStr">
        <is>
          <t>shampoo</t>
        </is>
      </c>
      <c r="M1215" t="inlineStr">
        <is>
          <t>profesional</t>
        </is>
      </c>
      <c r="N1215" t="inlineStr">
        <is>
          <t>anticaspa</t>
        </is>
      </c>
      <c r="O1215" t="inlineStr">
        <is>
          <t>https://www.disco.com.ar/shampoo-anticaspa-2-en-1-elvive-pet-250-m-253282/p</t>
        </is>
      </c>
    </row>
    <row r="1216">
      <c r="A1216" s="10" t="inlineStr">
        <is>
          <t>Disco</t>
        </is>
      </c>
      <c r="B1216" s="10" t="n">
        <v>5025</v>
      </c>
      <c r="C1216" s="10" t="n">
        <v>2566</v>
      </c>
      <c r="D1216" s="10" t="inlineStr">
        <is>
          <t>Shampoo Anticaspa Head &amp; Shoulders Limpieza Renovada 200 Ml</t>
        </is>
      </c>
      <c r="E1216" s="10" t="inlineStr">
        <is>
          <t>HEAD &amp; SHOULDERS</t>
        </is>
      </c>
      <c r="F1216" s="10" t="n">
        <v>70.43000000000001</v>
      </c>
      <c r="G1216" s="10" t="n">
        <v>5821</v>
      </c>
      <c r="H1216" s="10" t="b">
        <v>0</v>
      </c>
      <c r="I1216" s="10" t="n">
        <v>200</v>
      </c>
      <c r="J1216" s="10" t="n">
        <v>0.3522</v>
      </c>
      <c r="K1216" s="10" t="inlineStr">
        <is>
          <t>&gt; Perfumería &gt; Cuidado Capilar &gt; Shampoo &gt;</t>
        </is>
      </c>
      <c r="L1216" s="10" t="inlineStr">
        <is>
          <t>shampoo</t>
        </is>
      </c>
      <c r="M1216" s="10" t="inlineStr">
        <is>
          <t>estandar</t>
        </is>
      </c>
      <c r="N1216" s="10" t="inlineStr">
        <is>
          <t>anticaspa</t>
        </is>
      </c>
      <c r="O1216" s="10" t="inlineStr">
        <is>
          <t>https://www.disco.com.ar/shampoo-anticaspa-head-shoulders-limpieza-renovada-200-ml/p</t>
        </is>
      </c>
    </row>
    <row r="1217">
      <c r="A1217" t="inlineStr">
        <is>
          <t>Disco</t>
        </is>
      </c>
      <c r="B1217" t="n">
        <v>134620</v>
      </c>
      <c r="C1217" t="n">
        <v>131532</v>
      </c>
      <c r="D1217" t="inlineStr">
        <is>
          <t>Shampoo Anticaspa Head &amp; Shoulders-+ Acondicionador-relax-pck-un.-2</t>
        </is>
      </c>
      <c r="E1217" t="inlineStr">
        <is>
          <t>HEAD &amp; SHOULDERS</t>
        </is>
      </c>
      <c r="F1217" t="n">
        <v>26.25</v>
      </c>
      <c r="G1217" t="n">
        <v>26.25</v>
      </c>
      <c r="H1217" t="b">
        <v>0</v>
      </c>
      <c r="I1217" t="inlineStr"/>
      <c r="J1217" t="inlineStr"/>
      <c r="K1217" t="inlineStr">
        <is>
          <t>&gt; Perfumería &gt; Cuidado Capilar &gt; Shampoo &gt;</t>
        </is>
      </c>
      <c r="L1217" t="inlineStr">
        <is>
          <t>acondicionador</t>
        </is>
      </c>
      <c r="M1217" t="inlineStr">
        <is>
          <t>estandar</t>
        </is>
      </c>
      <c r="N1217" t="inlineStr">
        <is>
          <t>anticaspa</t>
        </is>
      </c>
      <c r="O1217" t="inlineStr">
        <is>
          <t>https://www.disco.com.ar/shampoo-anticaspa-head-shoulders-acondicionador-relax-pck-un-2/p</t>
        </is>
      </c>
    </row>
    <row r="1218">
      <c r="A1218" s="10" t="inlineStr">
        <is>
          <t>Disco</t>
        </is>
      </c>
      <c r="B1218" s="10" t="n">
        <v>46263</v>
      </c>
      <c r="C1218" s="10" t="n">
        <v>43436</v>
      </c>
      <c r="D1218" s="10" t="inlineStr">
        <is>
          <t>Shampoo Anticaspa Head &amp; Shoulders Apple Fresh 700 Ml</t>
        </is>
      </c>
      <c r="E1218" s="10" t="inlineStr">
        <is>
          <t>HEAD &amp; SHOULDERS</t>
        </is>
      </c>
      <c r="F1218" s="10" t="n">
        <v>130.53</v>
      </c>
      <c r="G1218" s="10" t="n">
        <v>10788</v>
      </c>
      <c r="H1218" s="10" t="b">
        <v>0</v>
      </c>
      <c r="I1218" s="10" t="n">
        <v>700</v>
      </c>
      <c r="J1218" s="10" t="n">
        <v>0.1865</v>
      </c>
      <c r="K1218" s="10" t="inlineStr">
        <is>
          <t>&gt; Perfumería &gt; Cuidado Capilar &gt; Shampoo &gt;</t>
        </is>
      </c>
      <c r="L1218" s="10" t="inlineStr">
        <is>
          <t>shampoo</t>
        </is>
      </c>
      <c r="M1218" s="10" t="inlineStr">
        <is>
          <t>estandar</t>
        </is>
      </c>
      <c r="N1218" s="10" t="inlineStr">
        <is>
          <t>anticaspa</t>
        </is>
      </c>
      <c r="O1218" s="10" t="inlineStr">
        <is>
          <t>https://www.disco.com.ar/shampoo-anticaspa-head-shoulders-apple-fresh-700-ml/p</t>
        </is>
      </c>
    </row>
    <row r="1219">
      <c r="A1219" t="inlineStr">
        <is>
          <t>Disco</t>
        </is>
      </c>
      <c r="B1219" t="n">
        <v>148520</v>
      </c>
      <c r="C1219" t="n">
        <v>145429</v>
      </c>
      <c r="D1219" t="inlineStr">
        <is>
          <t>Shampoo Anticaspa Clear-+aco Caida Defense X200ml-pck-un.-2</t>
        </is>
      </c>
      <c r="E1219" t="inlineStr">
        <is>
          <t>CLEAR</t>
        </is>
      </c>
      <c r="F1219" t="n">
        <v>24.35</v>
      </c>
      <c r="G1219" t="n">
        <v>24.35</v>
      </c>
      <c r="H1219" t="b">
        <v>0</v>
      </c>
      <c r="I1219" t="n">
        <v>200</v>
      </c>
      <c r="J1219" t="n">
        <v>0.1218</v>
      </c>
      <c r="K1219" t="inlineStr">
        <is>
          <t>&gt; Perfumería &gt; Cuidado Capilar &gt; Shampoo &gt;</t>
        </is>
      </c>
      <c r="L1219" t="inlineStr">
        <is>
          <t>shampoo</t>
        </is>
      </c>
      <c r="M1219" t="inlineStr">
        <is>
          <t>estandar</t>
        </is>
      </c>
      <c r="N1219" t="inlineStr">
        <is>
          <t>anticaspa</t>
        </is>
      </c>
      <c r="O1219" t="inlineStr">
        <is>
          <t>https://www.disco.com.ar/shampoo-anticaspa-clear-aco-caida-defense-x200ml-pck-un-2-2/p</t>
        </is>
      </c>
    </row>
    <row r="1220">
      <c r="A1220" s="10" t="inlineStr">
        <is>
          <t>Disco</t>
        </is>
      </c>
      <c r="B1220" s="10" t="n">
        <v>134613</v>
      </c>
      <c r="C1220" s="10" t="n">
        <v>131525</v>
      </c>
      <c r="D1220" s="10" t="inlineStr">
        <is>
          <t>Shampoo Anticaspa Head &amp; Shoulders-+ Acondicionador-acción Humectante-pck-un.-2</t>
        </is>
      </c>
      <c r="E1220" s="10" t="inlineStr">
        <is>
          <t>HEAD &amp; SHOULDERS</t>
        </is>
      </c>
      <c r="F1220" s="10" t="n">
        <v>30.59</v>
      </c>
      <c r="G1220" s="10" t="n">
        <v>2528</v>
      </c>
      <c r="H1220" s="10" t="b">
        <v>0</v>
      </c>
      <c r="I1220" s="10" t="inlineStr"/>
      <c r="J1220" s="10" t="inlineStr"/>
      <c r="K1220" s="10" t="inlineStr">
        <is>
          <t>&gt; Perfumería &gt; Cuidado Capilar &gt; Shampoo &gt;</t>
        </is>
      </c>
      <c r="L1220" s="10" t="inlineStr">
        <is>
          <t>acondicionador</t>
        </is>
      </c>
      <c r="M1220" s="10" t="inlineStr">
        <is>
          <t>estandar</t>
        </is>
      </c>
      <c r="N1220" s="10" t="inlineStr">
        <is>
          <t>anticaspa</t>
        </is>
      </c>
      <c r="O1220" s="10" t="inlineStr">
        <is>
          <t>https://www.disco.com.ar/shampoo-anticaspa-head-shoulders-acondicionador-accion-humectante-pck-un-2/p</t>
        </is>
      </c>
    </row>
    <row r="1221">
      <c r="A1221" t="inlineStr">
        <is>
          <t>Disco</t>
        </is>
      </c>
      <c r="B1221" t="n">
        <v>49575</v>
      </c>
      <c r="C1221" t="n">
        <v>46739</v>
      </c>
      <c r="D1221" t="inlineStr">
        <is>
          <t>Shampoo Anticaspa Head &amp; Shoulders Protección Y Caída 400 Ml</t>
        </is>
      </c>
      <c r="E1221" t="inlineStr">
        <is>
          <t>HEAD &amp; SHOULDERS</t>
        </is>
      </c>
      <c r="F1221" t="n">
        <v>168.19</v>
      </c>
      <c r="G1221" t="n">
        <v>13900</v>
      </c>
      <c r="H1221" t="b">
        <v>0</v>
      </c>
      <c r="I1221" t="n">
        <v>400</v>
      </c>
      <c r="J1221" t="n">
        <v>0.4205</v>
      </c>
      <c r="K1221" t="inlineStr">
        <is>
          <t>&gt; Perfumería &gt; Cuidado Capilar &gt; Shampoo &gt;</t>
        </is>
      </c>
      <c r="L1221" t="inlineStr">
        <is>
          <t>shampoo</t>
        </is>
      </c>
      <c r="M1221" t="inlineStr">
        <is>
          <t>estandar</t>
        </is>
      </c>
      <c r="N1221" t="inlineStr">
        <is>
          <t>anticaspa</t>
        </is>
      </c>
      <c r="O1221" t="inlineStr">
        <is>
          <t>https://www.disco.com.ar/shampoo-anticaspa-head-shoulders-proteccion-y-caida-400-ml/p</t>
        </is>
      </c>
    </row>
    <row r="1222">
      <c r="A1222" s="10" t="inlineStr">
        <is>
          <t>Disco</t>
        </is>
      </c>
      <c r="B1222" s="10" t="n">
        <v>159949</v>
      </c>
      <c r="C1222" s="10" t="n">
        <v>157508</v>
      </c>
      <c r="D1222" s="10" t="inlineStr">
        <is>
          <t>Shampoo Anticaspa Elvive X 200 Ml-cabello Normal-pvc-ml.-200</t>
        </is>
      </c>
      <c r="E1222" s="10" t="inlineStr">
        <is>
          <t>ELVIVE</t>
        </is>
      </c>
      <c r="F1222" s="10" t="n">
        <v>10.07</v>
      </c>
      <c r="G1222" s="10" t="n">
        <v>10.07</v>
      </c>
      <c r="H1222" s="10" t="b">
        <v>0</v>
      </c>
      <c r="I1222" s="10" t="n">
        <v>200</v>
      </c>
      <c r="J1222" s="10" t="n">
        <v>0.0503</v>
      </c>
      <c r="K1222" s="10" t="inlineStr">
        <is>
          <t>&gt; Perfumería &gt; Cuidado Capilar &gt; Shampoo &gt;</t>
        </is>
      </c>
      <c r="L1222" s="10" t="inlineStr">
        <is>
          <t>shampoo</t>
        </is>
      </c>
      <c r="M1222" s="10" t="inlineStr">
        <is>
          <t>profesional</t>
        </is>
      </c>
      <c r="N1222" s="10" t="inlineStr">
        <is>
          <t>anticaspa</t>
        </is>
      </c>
      <c r="O1222" s="10" t="inlineStr">
        <is>
          <t>https://www.disco.com.ar/shampoo-anticaspa-elvive-x-200-ml-cabello-normal-pvc-ml-200-2/p</t>
        </is>
      </c>
    </row>
    <row r="1223">
      <c r="A1223" t="inlineStr">
        <is>
          <t>Disco</t>
        </is>
      </c>
      <c r="B1223" t="n">
        <v>159935</v>
      </c>
      <c r="C1223" t="n">
        <v>157493</v>
      </c>
      <c r="D1223" t="inlineStr">
        <is>
          <t>Shampoo Anticaspa Elvive X 200 Ml-cabellos Secos-pvc-ml.-200</t>
        </is>
      </c>
      <c r="E1223" t="inlineStr">
        <is>
          <t>ELVIVE</t>
        </is>
      </c>
      <c r="F1223" t="n">
        <v>10.59</v>
      </c>
      <c r="G1223" t="n">
        <v>10.59</v>
      </c>
      <c r="H1223" t="b">
        <v>0</v>
      </c>
      <c r="I1223" t="n">
        <v>200</v>
      </c>
      <c r="J1223" t="n">
        <v>0.0529</v>
      </c>
      <c r="K1223" t="inlineStr">
        <is>
          <t>&gt; Perfumería &gt; Cuidado Capilar &gt; Shampoo &gt;</t>
        </is>
      </c>
      <c r="L1223" t="inlineStr">
        <is>
          <t>shampoo</t>
        </is>
      </c>
      <c r="M1223" t="inlineStr">
        <is>
          <t>profesional</t>
        </is>
      </c>
      <c r="N1223" t="inlineStr">
        <is>
          <t>anticaspa</t>
        </is>
      </c>
      <c r="O1223" t="inlineStr">
        <is>
          <t>https://www.disco.com.ar/shampoo-anticaspa-elvive-x-200-ml-cabellos-secos-pvc-ml-200-2/p</t>
        </is>
      </c>
    </row>
    <row r="1224">
      <c r="A1224" s="10" t="inlineStr">
        <is>
          <t>Disco</t>
        </is>
      </c>
      <c r="B1224" s="10" t="n">
        <v>159810</v>
      </c>
      <c r="C1224" s="10" t="n">
        <v>157369</v>
      </c>
      <c r="D1224" s="10" t="inlineStr">
        <is>
          <t>Shampoo Anticaspa Elvive X 200 Ml-cabellos Grasos-pvc-ml.-200</t>
        </is>
      </c>
      <c r="E1224" s="10" t="inlineStr">
        <is>
          <t>ELVIVE</t>
        </is>
      </c>
      <c r="F1224" s="10" t="n">
        <v>16.19</v>
      </c>
      <c r="G1224" s="10" t="n">
        <v>16.19</v>
      </c>
      <c r="H1224" s="10" t="b">
        <v>0</v>
      </c>
      <c r="I1224" s="10" t="n">
        <v>200</v>
      </c>
      <c r="J1224" s="10" t="n">
        <v>0.081</v>
      </c>
      <c r="K1224" s="10" t="inlineStr">
        <is>
          <t>&gt; Perfumería &gt; Cuidado Capilar &gt; Shampoo &gt;</t>
        </is>
      </c>
      <c r="L1224" s="10" t="inlineStr">
        <is>
          <t>shampoo</t>
        </is>
      </c>
      <c r="M1224" s="10" t="inlineStr">
        <is>
          <t>profesional</t>
        </is>
      </c>
      <c r="N1224" s="10" t="inlineStr">
        <is>
          <t>anticaspa</t>
        </is>
      </c>
      <c r="O1224" s="10" t="inlineStr">
        <is>
          <t>https://www.disco.com.ar/shampoo-anticaspa-elvive-x-200-ml-cabellos-grasos-pvc-ml-200-2/p</t>
        </is>
      </c>
    </row>
    <row r="1225">
      <c r="A1225" t="inlineStr">
        <is>
          <t>Disco</t>
        </is>
      </c>
      <c r="B1225" t="n">
        <v>134671</v>
      </c>
      <c r="C1225" t="n">
        <v>131583</v>
      </c>
      <c r="D1225" t="inlineStr">
        <is>
          <t>Shampoo Anticaspa Head &amp; Shoulders-+ Acondicionador-protección Caída-pck-un.-2</t>
        </is>
      </c>
      <c r="E1225" t="inlineStr">
        <is>
          <t>HEAD &amp; SHOULDERS</t>
        </is>
      </c>
      <c r="F1225" t="n">
        <v>32.75</v>
      </c>
      <c r="G1225" t="n">
        <v>32.75</v>
      </c>
      <c r="H1225" t="b">
        <v>0</v>
      </c>
      <c r="I1225" t="inlineStr"/>
      <c r="J1225" t="inlineStr"/>
      <c r="K1225" t="inlineStr">
        <is>
          <t>&gt; Perfumería &gt; Cuidado Capilar &gt; Shampoo &gt;</t>
        </is>
      </c>
      <c r="L1225" t="inlineStr">
        <is>
          <t>acondicionador</t>
        </is>
      </c>
      <c r="M1225" t="inlineStr">
        <is>
          <t>estandar</t>
        </is>
      </c>
      <c r="N1225" t="inlineStr">
        <is>
          <t>anticaspa</t>
        </is>
      </c>
      <c r="O1225" t="inlineStr">
        <is>
          <t>https://www.disco.com.ar/shampoo-anticaspa-head-shoulders-acondicionador-proteccion-caida-pck-un-2/p</t>
        </is>
      </c>
    </row>
    <row r="1226">
      <c r="A1226" s="10" t="inlineStr">
        <is>
          <t>Disco</t>
        </is>
      </c>
      <c r="B1226" s="10" t="n">
        <v>85698</v>
      </c>
      <c r="C1226" s="10" t="n">
        <v>83026</v>
      </c>
      <c r="D1226" s="10" t="inlineStr">
        <is>
          <t>Shampoo Anticaspa Head &amp; Shoulders Citrus Fresh Pvc 400 Ml</t>
        </is>
      </c>
      <c r="E1226" s="10" t="inlineStr">
        <is>
          <t>HEAD &amp; SHOULDERS</t>
        </is>
      </c>
      <c r="F1226" s="10" t="n">
        <v>37.39</v>
      </c>
      <c r="G1226" s="10" t="n">
        <v>3090</v>
      </c>
      <c r="H1226" s="10" t="b">
        <v>0</v>
      </c>
      <c r="I1226" s="10" t="n">
        <v>400</v>
      </c>
      <c r="J1226" s="10" t="n">
        <v>0.0935</v>
      </c>
      <c r="K1226" s="10" t="inlineStr">
        <is>
          <t>&gt; Perfumería &gt; Cuidado Capilar &gt; Shampoo &gt;</t>
        </is>
      </c>
      <c r="L1226" s="10" t="inlineStr">
        <is>
          <t>shampoo</t>
        </is>
      </c>
      <c r="M1226" s="10" t="inlineStr">
        <is>
          <t>estandar</t>
        </is>
      </c>
      <c r="N1226" s="10" t="inlineStr">
        <is>
          <t>anticaspa</t>
        </is>
      </c>
      <c r="O1226" s="10" t="inlineStr">
        <is>
          <t>https://www.disco.com.ar/shampoo-anticaspa-head-shoulders-63/p</t>
        </is>
      </c>
    </row>
    <row r="1227">
      <c r="A1227" t="inlineStr">
        <is>
          <t>Disco</t>
        </is>
      </c>
      <c r="B1227" t="n">
        <v>68211</v>
      </c>
      <c r="C1227" t="n">
        <v>65349</v>
      </c>
      <c r="D1227" t="inlineStr">
        <is>
          <t>Shampoo Anticaspa 'head &amp; Shoulders' Mentol Refrescante X 200 Ml.</t>
        </is>
      </c>
      <c r="E1227" t="inlineStr">
        <is>
          <t>HEAD &amp; SHOULDERS</t>
        </is>
      </c>
      <c r="F1227" t="n">
        <v>22.93</v>
      </c>
      <c r="G1227" t="n">
        <v>22.93</v>
      </c>
      <c r="H1227" t="b">
        <v>0</v>
      </c>
      <c r="I1227" t="n">
        <v>200</v>
      </c>
      <c r="J1227" t="n">
        <v>0.1147</v>
      </c>
      <c r="K1227" t="inlineStr">
        <is>
          <t>&gt; Perfumería &gt; Cuidado Capilar &gt; Shampoo &gt;</t>
        </is>
      </c>
      <c r="L1227" t="inlineStr">
        <is>
          <t>shampoo</t>
        </is>
      </c>
      <c r="M1227" t="inlineStr">
        <is>
          <t>estandar</t>
        </is>
      </c>
      <c r="N1227" t="inlineStr">
        <is>
          <t>anticaspa</t>
        </is>
      </c>
      <c r="O1227" t="inlineStr">
        <is>
          <t>https://www.disco.com.ar/shampoo-anticaspa-head-shoulders-mentol-refrescante-x-200-ml/p</t>
        </is>
      </c>
    </row>
    <row r="1228">
      <c r="A1228" s="10" t="inlineStr">
        <is>
          <t>Disco</t>
        </is>
      </c>
      <c r="B1228" s="10" t="n">
        <v>24667</v>
      </c>
      <c r="C1228" s="10" t="n">
        <v>21831</v>
      </c>
      <c r="D1228" s="10" t="inlineStr">
        <is>
          <t>Shampoo Anticaspa Head &amp; Shoulders Protección Y Caída 200 Ml</t>
        </is>
      </c>
      <c r="E1228" s="10" t="inlineStr">
        <is>
          <t>HEAD &amp; SHOULDERS</t>
        </is>
      </c>
      <c r="F1228" s="10" t="n">
        <v>70.43000000000001</v>
      </c>
      <c r="G1228" s="10" t="n">
        <v>5821</v>
      </c>
      <c r="H1228" s="10" t="b">
        <v>0</v>
      </c>
      <c r="I1228" s="10" t="n">
        <v>200</v>
      </c>
      <c r="J1228" s="10" t="n">
        <v>0.3522</v>
      </c>
      <c r="K1228" s="10" t="inlineStr">
        <is>
          <t>&gt; Perfumería &gt; Cuidado Capilar &gt; Shampoo &gt;</t>
        </is>
      </c>
      <c r="L1228" s="10" t="inlineStr">
        <is>
          <t>shampoo</t>
        </is>
      </c>
      <c r="M1228" s="10" t="inlineStr">
        <is>
          <t>estandar</t>
        </is>
      </c>
      <c r="N1228" s="10" t="inlineStr">
        <is>
          <t>anticaspa</t>
        </is>
      </c>
      <c r="O1228" s="10" t="inlineStr">
        <is>
          <t>https://www.disco.com.ar/shampoo-anticaspa-head-shoulders-proteccion-y-caida-200-ml/p</t>
        </is>
      </c>
    </row>
    <row r="1229">
      <c r="A1229" t="inlineStr">
        <is>
          <t>Disco</t>
        </is>
      </c>
      <c r="B1229" t="n">
        <v>117188</v>
      </c>
      <c r="C1229" t="n">
        <v>116227</v>
      </c>
      <c r="D1229" t="inlineStr">
        <is>
          <t>Shampoo Anticaspa Head &amp; Shoulders Mentol Refrescante Pvc 400 Cc</t>
        </is>
      </c>
      <c r="E1229" t="inlineStr">
        <is>
          <t>HEAD &amp; SHOULDERS</t>
        </is>
      </c>
      <c r="F1229" t="n">
        <v>37.39</v>
      </c>
      <c r="G1229" t="n">
        <v>3090</v>
      </c>
      <c r="H1229" t="b">
        <v>0</v>
      </c>
      <c r="I1229" t="inlineStr"/>
      <c r="J1229" t="inlineStr"/>
      <c r="K1229" t="inlineStr">
        <is>
          <t>&gt; Perfumería &gt; Cuidado Capilar &gt; Shampoo &gt;</t>
        </is>
      </c>
      <c r="L1229" t="inlineStr">
        <is>
          <t>shampoo</t>
        </is>
      </c>
      <c r="M1229" t="inlineStr">
        <is>
          <t>estandar</t>
        </is>
      </c>
      <c r="N1229" t="inlineStr">
        <is>
          <t>anticaspa</t>
        </is>
      </c>
      <c r="O1229" t="inlineStr">
        <is>
          <t>https://www.disco.com.ar/shampoo-anticaspa-head-shoulders-mentol-refrescante-pvc-400-cc/p</t>
        </is>
      </c>
    </row>
    <row r="1230">
      <c r="A1230" s="10" t="inlineStr">
        <is>
          <t>Disco</t>
        </is>
      </c>
      <c r="B1230" s="10" t="n">
        <v>220407</v>
      </c>
      <c r="C1230" s="10" t="n">
        <v>224743</v>
      </c>
      <c r="D1230" s="10" t="inlineStr">
        <is>
          <t>Shampoo Anticaspa Liso Extremo + Antiojerashead &amp; Shoul Pck 400 Ml</t>
        </is>
      </c>
      <c r="E1230" s="10" t="inlineStr">
        <is>
          <t>HEAD &amp; SHOULDERS</t>
        </is>
      </c>
      <c r="F1230" s="10" t="n">
        <v>18.45</v>
      </c>
      <c r="G1230" s="10" t="n">
        <v>18.45</v>
      </c>
      <c r="H1230" s="10" t="b">
        <v>0</v>
      </c>
      <c r="I1230" s="10" t="n">
        <v>400</v>
      </c>
      <c r="J1230" s="10" t="n">
        <v>0.0461</v>
      </c>
      <c r="K1230" s="10" t="inlineStr">
        <is>
          <t>&gt; Perfumería &gt; Cuidado Capilar &gt; Shampoo &gt;</t>
        </is>
      </c>
      <c r="L1230" s="10" t="inlineStr">
        <is>
          <t>shampoo</t>
        </is>
      </c>
      <c r="M1230" s="10" t="inlineStr">
        <is>
          <t>estandar</t>
        </is>
      </c>
      <c r="N1230" s="10" t="inlineStr">
        <is>
          <t>anticaspa</t>
        </is>
      </c>
      <c r="O1230" s="10" t="inlineStr">
        <is>
          <t>https://www.disco.com.ar/shampoo-anticaspa-liso-extremo-antiojerashead-shoul-pck-400-ml-252809/p</t>
        </is>
      </c>
    </row>
    <row r="1231">
      <c r="A1231" t="inlineStr">
        <is>
          <t>Disco</t>
        </is>
      </c>
      <c r="B1231" t="n">
        <v>51758</v>
      </c>
      <c r="C1231" t="n">
        <v>48926</v>
      </c>
      <c r="D1231" t="inlineStr">
        <is>
          <t>Shampoo Anticaspa Head &amp; Shoulders Liso Y Sedoso Pvc 400 Ml</t>
        </is>
      </c>
      <c r="E1231" t="inlineStr">
        <is>
          <t>HEAD &amp; SHOULDERS</t>
        </is>
      </c>
      <c r="F1231" t="n">
        <v>20.99</v>
      </c>
      <c r="G1231" t="n">
        <v>20.99</v>
      </c>
      <c r="H1231" t="b">
        <v>0</v>
      </c>
      <c r="I1231" t="n">
        <v>400</v>
      </c>
      <c r="J1231" t="n">
        <v>0.0525</v>
      </c>
      <c r="K1231" t="inlineStr">
        <is>
          <t>&gt; Perfumería &gt; Cuidado Capilar &gt; Shampoo &gt;</t>
        </is>
      </c>
      <c r="L1231" t="inlineStr">
        <is>
          <t>shampoo</t>
        </is>
      </c>
      <c r="M1231" t="inlineStr">
        <is>
          <t>estandar</t>
        </is>
      </c>
      <c r="N1231" t="inlineStr">
        <is>
          <t>anticaspa</t>
        </is>
      </c>
      <c r="O1231" t="inlineStr">
        <is>
          <t>https://www.disco.com.ar/shampoo-anticaspa-head-shoulders-liso-y-sedoso-pvc-400-ml/p</t>
        </is>
      </c>
    </row>
    <row r="1232">
      <c r="A1232" s="10" t="inlineStr">
        <is>
          <t>Disco</t>
        </is>
      </c>
      <c r="B1232" s="10" t="n">
        <v>25895</v>
      </c>
      <c r="C1232" s="10" t="n">
        <v>23055</v>
      </c>
      <c r="D1232" s="10" t="inlineStr">
        <is>
          <t>Shampoo Anticaspa Clear Men Dual Effect 2 En 1 400 Ml</t>
        </is>
      </c>
      <c r="E1232" s="10" t="inlineStr">
        <is>
          <t>CLEAR</t>
        </is>
      </c>
      <c r="F1232" s="10" t="n">
        <v>87.09</v>
      </c>
      <c r="G1232" s="10" t="n">
        <v>7198</v>
      </c>
      <c r="H1232" s="10" t="b">
        <v>0</v>
      </c>
      <c r="I1232" s="10" t="n">
        <v>400</v>
      </c>
      <c r="J1232" s="10" t="n">
        <v>0.2177</v>
      </c>
      <c r="K1232" s="10" t="inlineStr">
        <is>
          <t>&gt; Perfumería &gt; Cuidado Capilar &gt; Shampoo &gt;</t>
        </is>
      </c>
      <c r="L1232" s="10" t="inlineStr">
        <is>
          <t>shampoo</t>
        </is>
      </c>
      <c r="M1232" s="10" t="inlineStr">
        <is>
          <t>estandar</t>
        </is>
      </c>
      <c r="N1232" s="10" t="inlineStr">
        <is>
          <t>anticaspa</t>
        </is>
      </c>
      <c r="O1232" s="10" t="inlineStr">
        <is>
          <t>https://www.disco.com.ar/shampoo-anticaspa-clear-men-x-400-ml/p</t>
        </is>
      </c>
    </row>
    <row r="1233">
      <c r="A1233" t="inlineStr">
        <is>
          <t>Disco</t>
        </is>
      </c>
      <c r="B1233" t="n">
        <v>164023</v>
      </c>
      <c r="C1233" t="n">
        <v>161563</v>
      </c>
      <c r="D1233" t="inlineStr">
        <is>
          <t>Shampoo Anticaspa Head &amp; Shoulders-+ Trat X150ml.-humectación-bli-un.-2</t>
        </is>
      </c>
      <c r="E1233" t="inlineStr">
        <is>
          <t>HEAD &amp; SHOULDERS</t>
        </is>
      </c>
      <c r="F1233" t="n">
        <v>32.15</v>
      </c>
      <c r="G1233" t="n">
        <v>32.15</v>
      </c>
      <c r="H1233" t="b">
        <v>0</v>
      </c>
      <c r="I1233" t="n">
        <v>150</v>
      </c>
      <c r="J1233" t="n">
        <v>0.2143</v>
      </c>
      <c r="K1233" t="inlineStr">
        <is>
          <t>&gt; Perfumería &gt; Cuidado Capilar &gt; Shampoo &gt;</t>
        </is>
      </c>
      <c r="L1233" t="inlineStr">
        <is>
          <t>shampoo</t>
        </is>
      </c>
      <c r="M1233" t="inlineStr">
        <is>
          <t>estandar</t>
        </is>
      </c>
      <c r="N1233" t="inlineStr">
        <is>
          <t>anticaspa</t>
        </is>
      </c>
      <c r="O1233" t="inlineStr">
        <is>
          <t>https://www.disco.com.ar/shampoo-anticaspa-head-shoulders-trat-x150ml-humectacion-bli-un-2/p</t>
        </is>
      </c>
    </row>
    <row r="1234">
      <c r="A1234" s="10" t="inlineStr">
        <is>
          <t>Disco</t>
        </is>
      </c>
      <c r="B1234" s="10" t="n">
        <v>103193</v>
      </c>
      <c r="C1234" s="10" t="n">
        <v>100491</v>
      </c>
      <c r="D1234" s="10" t="inlineStr">
        <is>
          <t>Shampoo Anticaspa Clear Unisex X 400ml-mentol-nueva Presentacion-pvc-ml.-400</t>
        </is>
      </c>
      <c r="E1234" s="10" t="inlineStr">
        <is>
          <t>CLEAR</t>
        </is>
      </c>
      <c r="F1234" s="10" t="n">
        <v>87.09</v>
      </c>
      <c r="G1234" s="10" t="n">
        <v>7198</v>
      </c>
      <c r="H1234" s="10" t="b">
        <v>0</v>
      </c>
      <c r="I1234" s="10" t="n">
        <v>400</v>
      </c>
      <c r="J1234" s="10" t="n">
        <v>0.2177</v>
      </c>
      <c r="K1234" s="10" t="inlineStr">
        <is>
          <t>&gt; Perfumería &gt; Cuidado Capilar &gt; Shampoo &gt;</t>
        </is>
      </c>
      <c r="L1234" s="10" t="inlineStr">
        <is>
          <t>shampoo</t>
        </is>
      </c>
      <c r="M1234" s="10" t="inlineStr">
        <is>
          <t>estandar</t>
        </is>
      </c>
      <c r="N1234" s="10" t="inlineStr">
        <is>
          <t>anticaspa</t>
        </is>
      </c>
      <c r="O1234" s="10" t="inlineStr">
        <is>
          <t>https://www.disco.com.ar/shampoo-anticaspa-clear-unisex-x-400ml-mentol-nueva-presentacion-pvc-ml-400/p</t>
        </is>
      </c>
    </row>
    <row r="1235">
      <c r="A1235" t="inlineStr">
        <is>
          <t>Disco</t>
        </is>
      </c>
      <c r="B1235" t="n">
        <v>20006</v>
      </c>
      <c r="C1235" t="n">
        <v>17177</v>
      </c>
      <c r="D1235" t="inlineStr">
        <is>
          <t>Shampoo Anticaspa Clear Men Dual Effect 2 En 1 200 Ml</t>
        </is>
      </c>
      <c r="E1235" t="inlineStr">
        <is>
          <t>CLEAR</t>
        </is>
      </c>
      <c r="F1235" t="n">
        <v>45.89</v>
      </c>
      <c r="G1235" t="n">
        <v>3793</v>
      </c>
      <c r="H1235" t="b">
        <v>0</v>
      </c>
      <c r="I1235" t="n">
        <v>200</v>
      </c>
      <c r="J1235" t="n">
        <v>0.2295</v>
      </c>
      <c r="K1235" t="inlineStr">
        <is>
          <t>&gt; Perfumería &gt; Cuidado Capilar &gt; Shampoo &gt;</t>
        </is>
      </c>
      <c r="L1235" t="inlineStr">
        <is>
          <t>shampoo</t>
        </is>
      </c>
      <c r="M1235" t="inlineStr">
        <is>
          <t>estandar</t>
        </is>
      </c>
      <c r="N1235" t="inlineStr">
        <is>
          <t>anticaspa</t>
        </is>
      </c>
      <c r="O1235" t="inlineStr">
        <is>
          <t>https://www.disco.com.ar/shampoo-anticaspa-clear-men-x-200ml/p</t>
        </is>
      </c>
    </row>
    <row r="1236">
      <c r="A1236" s="10" t="inlineStr">
        <is>
          <t>Disco</t>
        </is>
      </c>
      <c r="B1236" s="10" t="n">
        <v>116465</v>
      </c>
      <c r="C1236" s="10" t="n">
        <v>115505</v>
      </c>
      <c r="D1236" s="10" t="inlineStr">
        <is>
          <t>Shampoo Anticaspa Head &amp; Shoulders X 400 Ml  Pureza Y Brillo</t>
        </is>
      </c>
      <c r="E1236" s="10" t="inlineStr">
        <is>
          <t>HEAD &amp; SHOULDERS</t>
        </is>
      </c>
      <c r="F1236" s="10" t="n">
        <v>30.15</v>
      </c>
      <c r="G1236" s="10" t="n">
        <v>30.15</v>
      </c>
      <c r="H1236" s="10" t="b">
        <v>0</v>
      </c>
      <c r="I1236" s="10" t="n">
        <v>400</v>
      </c>
      <c r="J1236" s="10" t="n">
        <v>0.07539999999999999</v>
      </c>
      <c r="K1236" s="10" t="inlineStr">
        <is>
          <t>&gt; Perfumería &gt; Cuidado Capilar &gt; Shampoo &gt;</t>
        </is>
      </c>
      <c r="L1236" s="10" t="inlineStr">
        <is>
          <t>shampoo</t>
        </is>
      </c>
      <c r="M1236" s="10" t="inlineStr">
        <is>
          <t>estandar</t>
        </is>
      </c>
      <c r="N1236" s="10" t="inlineStr">
        <is>
          <t>anticaspa</t>
        </is>
      </c>
      <c r="O1236" s="10" t="inlineStr">
        <is>
          <t>https://www.disco.com.ar/shampoo-anticaspa-head-shoulders-x-400-ml-pureza-y-brillo/p</t>
        </is>
      </c>
    </row>
    <row r="1237">
      <c r="A1237" t="inlineStr">
        <is>
          <t>Disco</t>
        </is>
      </c>
      <c r="B1237" t="n">
        <v>51645</v>
      </c>
      <c r="C1237" t="n">
        <v>48813</v>
      </c>
      <c r="D1237" t="inlineStr">
        <is>
          <t>Shampoo Anticaspa Head &amp; Shoul Sencitive  Con Aloe Vera Pvc 400 Ml</t>
        </is>
      </c>
      <c r="E1237" t="inlineStr">
        <is>
          <t>HEAD &amp; SHOULDERS</t>
        </is>
      </c>
      <c r="F1237" t="n">
        <v>37.39</v>
      </c>
      <c r="G1237" t="n">
        <v>3090</v>
      </c>
      <c r="H1237" t="b">
        <v>0</v>
      </c>
      <c r="I1237" t="n">
        <v>400</v>
      </c>
      <c r="J1237" t="n">
        <v>0.0935</v>
      </c>
      <c r="K1237" t="inlineStr">
        <is>
          <t>&gt; Perfumería &gt; Cuidado Capilar &gt; Shampoo &gt;</t>
        </is>
      </c>
      <c r="L1237" t="inlineStr">
        <is>
          <t>shampoo</t>
        </is>
      </c>
      <c r="M1237" t="inlineStr">
        <is>
          <t>estandar</t>
        </is>
      </c>
      <c r="N1237" t="inlineStr">
        <is>
          <t>anticaspa</t>
        </is>
      </c>
      <c r="O1237" t="inlineStr">
        <is>
          <t>https://www.disco.com.ar/shampoo-anticaspa-head-shoul-sencitive-con-aloe-vera-pvc-400-ml/p</t>
        </is>
      </c>
    </row>
    <row r="1238">
      <c r="A1238" s="10" t="inlineStr">
        <is>
          <t>Disco</t>
        </is>
      </c>
      <c r="B1238" s="10" t="n">
        <v>128497</v>
      </c>
      <c r="C1238" s="10" t="n">
        <v>111276</v>
      </c>
      <c r="D1238" s="10" t="inlineStr">
        <is>
          <t>Shampoo Anticaspa Clear-+ Deo Dove X 175 Ml-caida Control-bli-un.-2</t>
        </is>
      </c>
      <c r="E1238" s="10" t="inlineStr">
        <is>
          <t>CLEAR</t>
        </is>
      </c>
      <c r="F1238" s="10" t="n">
        <v>16.93</v>
      </c>
      <c r="G1238" s="10" t="n">
        <v>16.93</v>
      </c>
      <c r="H1238" s="10" t="b">
        <v>0</v>
      </c>
      <c r="I1238" s="10" t="n">
        <v>175</v>
      </c>
      <c r="J1238" s="10" t="n">
        <v>0.09669999999999999</v>
      </c>
      <c r="K1238" s="10" t="inlineStr">
        <is>
          <t>&gt; Perfumería &gt; Cuidado Capilar &gt; Shampoo &gt;</t>
        </is>
      </c>
      <c r="L1238" s="10" t="inlineStr">
        <is>
          <t>shampoo</t>
        </is>
      </c>
      <c r="M1238" s="10" t="inlineStr">
        <is>
          <t>estandar</t>
        </is>
      </c>
      <c r="N1238" s="10" t="inlineStr">
        <is>
          <t>anticaspa</t>
        </is>
      </c>
      <c r="O1238" s="10" t="inlineStr">
        <is>
          <t>https://www.disco.com.ar/shampoo-anticaspa-clear-deo-dove-x-175-ml-caida-control-bli-un-2/p</t>
        </is>
      </c>
    </row>
    <row r="1239">
      <c r="A1239" t="inlineStr">
        <is>
          <t>Disco</t>
        </is>
      </c>
      <c r="B1239" t="n">
        <v>106426</v>
      </c>
      <c r="C1239" t="n">
        <v>103698</v>
      </c>
      <c r="D1239" t="inlineStr">
        <is>
          <t>Shampoo Anticaspa Head &amp; Shoulders Extra Volumen &amp; Brillo Pvc 400 Cc</t>
        </is>
      </c>
      <c r="E1239" t="inlineStr">
        <is>
          <t>HEAD &amp; SHOULDERS</t>
        </is>
      </c>
      <c r="F1239" t="n">
        <v>20.99</v>
      </c>
      <c r="G1239" t="n">
        <v>20.99</v>
      </c>
      <c r="H1239" t="b">
        <v>0</v>
      </c>
      <c r="I1239" t="inlineStr"/>
      <c r="J1239" t="inlineStr"/>
      <c r="K1239" t="inlineStr">
        <is>
          <t>&gt; Perfumería &gt; Cuidado Capilar &gt; Shampoo &gt;</t>
        </is>
      </c>
      <c r="L1239" t="inlineStr">
        <is>
          <t>shampoo</t>
        </is>
      </c>
      <c r="M1239" t="inlineStr">
        <is>
          <t>estandar</t>
        </is>
      </c>
      <c r="N1239" t="inlineStr">
        <is>
          <t>anticaspa</t>
        </is>
      </c>
      <c r="O1239" t="inlineStr">
        <is>
          <t>https://www.disco.com.ar/shampoo-anticaspa-head-shoulders-extra-volumen-brillo-pvc-400-cc/p</t>
        </is>
      </c>
    </row>
    <row r="1240">
      <c r="A1240" s="10" t="inlineStr">
        <is>
          <t>Disco</t>
        </is>
      </c>
      <c r="B1240" s="10" t="n">
        <v>103603</v>
      </c>
      <c r="C1240" s="10" t="n">
        <v>100900</v>
      </c>
      <c r="D1240" s="10" t="inlineStr">
        <is>
          <t>Shampoo Anticaspa Clear Unisex X 400ml-renovación Diaria-nueva Presentacion-pvc-ml.-400</t>
        </is>
      </c>
      <c r="E1240" s="10" t="inlineStr">
        <is>
          <t>CLEAR</t>
        </is>
      </c>
      <c r="F1240" s="10" t="n">
        <v>87.09</v>
      </c>
      <c r="G1240" s="10" t="n">
        <v>7198</v>
      </c>
      <c r="H1240" s="10" t="b">
        <v>0</v>
      </c>
      <c r="I1240" s="10" t="n">
        <v>400</v>
      </c>
      <c r="J1240" s="10" t="n">
        <v>0.2177</v>
      </c>
      <c r="K1240" s="10" t="inlineStr">
        <is>
          <t>&gt; Perfumería &gt; Cuidado Capilar &gt; Shampoo &gt;</t>
        </is>
      </c>
      <c r="L1240" s="10" t="inlineStr">
        <is>
          <t>shampoo</t>
        </is>
      </c>
      <c r="M1240" s="10" t="inlineStr">
        <is>
          <t>estandar</t>
        </is>
      </c>
      <c r="N1240" s="10" t="inlineStr">
        <is>
          <t>anticaspa</t>
        </is>
      </c>
      <c r="O1240" s="10" t="inlineStr">
        <is>
          <t>https://www.disco.com.ar/shampoo-anticaspa-clear-unisex-x-400ml-renovacion-diaria-nueva-presentacion-pvc-ml-400/p</t>
        </is>
      </c>
    </row>
    <row r="1241">
      <c r="A1241" t="inlineStr">
        <is>
          <t>Disco</t>
        </is>
      </c>
      <c r="B1241" t="n">
        <v>103584</v>
      </c>
      <c r="C1241" t="n">
        <v>100882</v>
      </c>
      <c r="D1241" t="inlineStr">
        <is>
          <t>Shampoo Anticaspa Clear Unisex X 200ml-crecimiento Fuerza-nueva Presentacion-pvc-ml.-200</t>
        </is>
      </c>
      <c r="E1241" t="inlineStr">
        <is>
          <t>CLEAR</t>
        </is>
      </c>
      <c r="F1241" t="n">
        <v>45.89</v>
      </c>
      <c r="G1241" t="n">
        <v>3793</v>
      </c>
      <c r="H1241" t="b">
        <v>0</v>
      </c>
      <c r="I1241" t="n">
        <v>200</v>
      </c>
      <c r="J1241" t="n">
        <v>0.2295</v>
      </c>
      <c r="K1241" t="inlineStr">
        <is>
          <t>&gt; Perfumería &gt; Cuidado Capilar &gt; Shampoo &gt;</t>
        </is>
      </c>
      <c r="L1241" t="inlineStr">
        <is>
          <t>shampoo</t>
        </is>
      </c>
      <c r="M1241" t="inlineStr">
        <is>
          <t>estandar</t>
        </is>
      </c>
      <c r="N1241" t="inlineStr">
        <is>
          <t>anticaspa</t>
        </is>
      </c>
      <c r="O1241" t="inlineStr">
        <is>
          <t>https://www.disco.com.ar/shampoo-anticaspa-clear-unisex-x-200ml-crecimiento-fuerza-nueva-presentacion-pvc-ml-200/p</t>
        </is>
      </c>
    </row>
    <row r="1242">
      <c r="A1242" s="10" t="inlineStr">
        <is>
          <t>Disco</t>
        </is>
      </c>
      <c r="B1242" s="10" t="n">
        <v>103231</v>
      </c>
      <c r="C1242" s="10" t="n">
        <v>100528</v>
      </c>
      <c r="D1242" s="10" t="inlineStr">
        <is>
          <t>Shampoo Anticaspa Clear Unisex X 200ml-renovación Diaria-nueva Presentacion-pvc-ml.-200</t>
        </is>
      </c>
      <c r="E1242" s="10" t="inlineStr">
        <is>
          <t>CLEAR</t>
        </is>
      </c>
      <c r="F1242" s="10" t="n">
        <v>45.89</v>
      </c>
      <c r="G1242" s="10" t="n">
        <v>3793</v>
      </c>
      <c r="H1242" s="10" t="b">
        <v>0</v>
      </c>
      <c r="I1242" s="10" t="n">
        <v>200</v>
      </c>
      <c r="J1242" s="10" t="n">
        <v>0.2295</v>
      </c>
      <c r="K1242" s="10" t="inlineStr">
        <is>
          <t>&gt; Perfumería &gt; Cuidado Capilar &gt; Shampoo &gt;</t>
        </is>
      </c>
      <c r="L1242" s="10" t="inlineStr">
        <is>
          <t>shampoo</t>
        </is>
      </c>
      <c r="M1242" s="10" t="inlineStr">
        <is>
          <t>estandar</t>
        </is>
      </c>
      <c r="N1242" s="10" t="inlineStr">
        <is>
          <t>anticaspa</t>
        </is>
      </c>
      <c r="O1242" s="10" t="inlineStr">
        <is>
          <t>https://www.disco.com.ar/shampoo-anticaspa-clear-unisex-x-200ml-renovacion-diaria-nueva-presentacion-pvc-ml-200/p</t>
        </is>
      </c>
    </row>
    <row r="1243">
      <c r="A1243" t="inlineStr">
        <is>
          <t>Disco</t>
        </is>
      </c>
      <c r="B1243" t="n">
        <v>25566</v>
      </c>
      <c r="C1243" t="n">
        <v>22726</v>
      </c>
      <c r="D1243" t="inlineStr">
        <is>
          <t>Shampoo Unisex Anticaspa Clear Caida Control 400 Ml</t>
        </is>
      </c>
      <c r="E1243" t="inlineStr">
        <is>
          <t>CLEAR</t>
        </is>
      </c>
      <c r="F1243" t="n">
        <v>87.09</v>
      </c>
      <c r="G1243" t="n">
        <v>7198</v>
      </c>
      <c r="H1243" t="b">
        <v>0</v>
      </c>
      <c r="I1243" t="n">
        <v>400</v>
      </c>
      <c r="J1243" t="n">
        <v>0.2177</v>
      </c>
      <c r="K1243" t="inlineStr">
        <is>
          <t>&gt; Perfumería &gt; Cuidado Capilar &gt; Shampoo &gt;</t>
        </is>
      </c>
      <c r="L1243" t="inlineStr">
        <is>
          <t>shampoo</t>
        </is>
      </c>
      <c r="M1243" t="inlineStr">
        <is>
          <t>estandar</t>
        </is>
      </c>
      <c r="N1243" t="inlineStr">
        <is>
          <t>anticaspa</t>
        </is>
      </c>
      <c r="O1243" t="inlineStr">
        <is>
          <t>https://www.disco.com.ar/shampoo-anticaspa-clear-unisex-x-400ml-2/p</t>
        </is>
      </c>
    </row>
    <row r="1244">
      <c r="A1244" s="10" t="inlineStr">
        <is>
          <t>Disco</t>
        </is>
      </c>
      <c r="B1244" s="10" t="n">
        <v>25422</v>
      </c>
      <c r="C1244" s="10" t="n">
        <v>22582</v>
      </c>
      <c r="D1244" s="10" t="inlineStr">
        <is>
          <t>Shampoo Unisex Anticaspa Clear Caida Defense 400 Ml</t>
        </is>
      </c>
      <c r="E1244" s="10" t="inlineStr">
        <is>
          <t>CLEAR</t>
        </is>
      </c>
      <c r="F1244" s="10" t="n">
        <v>87.09</v>
      </c>
      <c r="G1244" s="10" t="n">
        <v>7198</v>
      </c>
      <c r="H1244" s="10" t="b">
        <v>0</v>
      </c>
      <c r="I1244" s="10" t="n">
        <v>400</v>
      </c>
      <c r="J1244" s="10" t="n">
        <v>0.2177</v>
      </c>
      <c r="K1244" s="10" t="inlineStr">
        <is>
          <t>&gt; Perfumería &gt; Cuidado Capilar &gt; Shampoo &gt;</t>
        </is>
      </c>
      <c r="L1244" s="10" t="inlineStr">
        <is>
          <t>shampoo</t>
        </is>
      </c>
      <c r="M1244" s="10" t="inlineStr">
        <is>
          <t>estandar</t>
        </is>
      </c>
      <c r="N1244" s="10" t="inlineStr">
        <is>
          <t>anticaspa</t>
        </is>
      </c>
      <c r="O1244" s="10" t="inlineStr">
        <is>
          <t>https://www.disco.com.ar/shampoo-anticaspa-clear-unisex-x-400-ml/p</t>
        </is>
      </c>
    </row>
    <row r="1245">
      <c r="A1245" t="inlineStr">
        <is>
          <t>Disco</t>
        </is>
      </c>
      <c r="B1245" t="n">
        <v>59973</v>
      </c>
      <c r="C1245" t="n">
        <v>57123</v>
      </c>
      <c r="D1245" t="inlineStr">
        <is>
          <t>Shampoo Triatop Anticaspa Uso Diario X 240 Ml.</t>
        </is>
      </c>
      <c r="E1245" t="inlineStr">
        <is>
          <t>TRIATOP</t>
        </is>
      </c>
      <c r="F1245" t="n">
        <v>23.77</v>
      </c>
      <c r="G1245" t="n">
        <v>23.77</v>
      </c>
      <c r="H1245" t="b">
        <v>0</v>
      </c>
      <c r="I1245" t="n">
        <v>240</v>
      </c>
      <c r="J1245" t="n">
        <v>0.099</v>
      </c>
      <c r="K1245" t="inlineStr">
        <is>
          <t>&gt; Perfumería &gt; Cuidado Capilar &gt; Shampoo &gt;</t>
        </is>
      </c>
      <c r="L1245" t="inlineStr">
        <is>
          <t>shampoo</t>
        </is>
      </c>
      <c r="M1245" t="inlineStr">
        <is>
          <t>estandar</t>
        </is>
      </c>
      <c r="N1245" t="inlineStr">
        <is>
          <t>anticaspa</t>
        </is>
      </c>
      <c r="O1245" t="inlineStr">
        <is>
          <t>https://www.disco.com.ar/shampoo-triatop-anticaspa-uso-diario-x-240-ml/p</t>
        </is>
      </c>
    </row>
    <row r="1246">
      <c r="A1246" s="10" t="inlineStr">
        <is>
          <t>Disco</t>
        </is>
      </c>
      <c r="B1246" s="10" t="n">
        <v>30592</v>
      </c>
      <c r="C1246" s="10" t="n">
        <v>27751</v>
      </c>
      <c r="D1246" s="10" t="inlineStr">
        <is>
          <t>Shampoo Unisex Anticaspa Clear Crecimiento Fuerza 400 Ml</t>
        </is>
      </c>
      <c r="E1246" s="10" t="inlineStr">
        <is>
          <t>CLEAR</t>
        </is>
      </c>
      <c r="F1246" s="10" t="n">
        <v>87.09</v>
      </c>
      <c r="G1246" s="10" t="n">
        <v>7198</v>
      </c>
      <c r="H1246" s="10" t="b">
        <v>0</v>
      </c>
      <c r="I1246" s="10" t="n">
        <v>400</v>
      </c>
      <c r="J1246" s="10" t="n">
        <v>0.2177</v>
      </c>
      <c r="K1246" s="10" t="inlineStr">
        <is>
          <t>&gt; Perfumería &gt; Cuidado Capilar &gt; Shampoo &gt;</t>
        </is>
      </c>
      <c r="L1246" s="10" t="inlineStr">
        <is>
          <t>shampoo</t>
        </is>
      </c>
      <c r="M1246" s="10" t="inlineStr">
        <is>
          <t>estandar</t>
        </is>
      </c>
      <c r="N1246" s="10" t="inlineStr">
        <is>
          <t>anticaspa</t>
        </is>
      </c>
      <c r="O1246" s="10" t="inlineStr">
        <is>
          <t>https://www.disco.com.ar/shampoo-anticaspa-clear-unisex-x-400ml-4/p</t>
        </is>
      </c>
    </row>
    <row r="1247">
      <c r="A1247" t="inlineStr">
        <is>
          <t>Disco</t>
        </is>
      </c>
      <c r="B1247" t="n">
        <v>20007</v>
      </c>
      <c r="C1247" t="n">
        <v>17178</v>
      </c>
      <c r="D1247" t="inlineStr">
        <is>
          <t>Shampoo Unisex Anticaspa Clear Caida Control 200 Ml</t>
        </is>
      </c>
      <c r="E1247" t="inlineStr">
        <is>
          <t>CLEAR</t>
        </is>
      </c>
      <c r="F1247" t="n">
        <v>45.89</v>
      </c>
      <c r="G1247" t="n">
        <v>3793</v>
      </c>
      <c r="H1247" t="b">
        <v>0</v>
      </c>
      <c r="I1247" t="n">
        <v>200</v>
      </c>
      <c r="J1247" t="n">
        <v>0.2295</v>
      </c>
      <c r="K1247" t="inlineStr">
        <is>
          <t>&gt; Perfumería &gt; Cuidado Capilar &gt; Shampoo &gt;</t>
        </is>
      </c>
      <c r="L1247" t="inlineStr">
        <is>
          <t>shampoo</t>
        </is>
      </c>
      <c r="M1247" t="inlineStr">
        <is>
          <t>estandar</t>
        </is>
      </c>
      <c r="N1247" t="inlineStr">
        <is>
          <t>anticaspa</t>
        </is>
      </c>
      <c r="O1247" t="inlineStr">
        <is>
          <t>https://www.disco.com.ar/shampoo-anticaspa-clear-unisex-x-200ml-3/p</t>
        </is>
      </c>
    </row>
    <row r="1248">
      <c r="A1248" s="10" t="inlineStr">
        <is>
          <t>Disco</t>
        </is>
      </c>
      <c r="B1248" s="10" t="n">
        <v>20004</v>
      </c>
      <c r="C1248" s="10" t="n">
        <v>17175</v>
      </c>
      <c r="D1248" s="10" t="inlineStr">
        <is>
          <t>Shampoo Unisex Anticaspa Clear Caida Defense 200 Ml</t>
        </is>
      </c>
      <c r="E1248" s="10" t="inlineStr">
        <is>
          <t>CLEAR</t>
        </is>
      </c>
      <c r="F1248" s="10" t="n">
        <v>45.89</v>
      </c>
      <c r="G1248" s="10" t="n">
        <v>3793</v>
      </c>
      <c r="H1248" s="10" t="b">
        <v>0</v>
      </c>
      <c r="I1248" s="10" t="n">
        <v>200</v>
      </c>
      <c r="J1248" s="10" t="n">
        <v>0.2295</v>
      </c>
      <c r="K1248" s="10" t="inlineStr">
        <is>
          <t>&gt; Perfumería &gt; Cuidado Capilar &gt; Shampoo &gt;</t>
        </is>
      </c>
      <c r="L1248" s="10" t="inlineStr">
        <is>
          <t>shampoo</t>
        </is>
      </c>
      <c r="M1248" s="10" t="inlineStr">
        <is>
          <t>estandar</t>
        </is>
      </c>
      <c r="N1248" s="10" t="inlineStr">
        <is>
          <t>anticaspa</t>
        </is>
      </c>
      <c r="O1248" s="10" t="inlineStr">
        <is>
          <t>https://www.disco.com.ar/shampoo-anticaspa-clear-unisex-x-200ml/p</t>
        </is>
      </c>
    </row>
    <row r="1249">
      <c r="A1249" t="inlineStr">
        <is>
          <t>Disco</t>
        </is>
      </c>
      <c r="B1249" t="n">
        <v>25420</v>
      </c>
      <c r="C1249" t="n">
        <v>22580</v>
      </c>
      <c r="D1249" t="inlineStr">
        <is>
          <t>Shampoo Anticaspa Clear Unisex X 200 Ml-ice Cool Menthol-nueva Presentación-pvc-ml.-200</t>
        </is>
      </c>
      <c r="E1249" t="inlineStr">
        <is>
          <t>CLEAR</t>
        </is>
      </c>
      <c r="F1249" t="n">
        <v>45.89</v>
      </c>
      <c r="G1249" t="n">
        <v>3793</v>
      </c>
      <c r="H1249" t="b">
        <v>0</v>
      </c>
      <c r="I1249" t="n">
        <v>200</v>
      </c>
      <c r="J1249" t="n">
        <v>0.2295</v>
      </c>
      <c r="K1249" t="inlineStr">
        <is>
          <t>&gt; Perfumería &gt; Cuidado Capilar &gt; Shampoo &gt;</t>
        </is>
      </c>
      <c r="L1249" t="inlineStr">
        <is>
          <t>shampoo</t>
        </is>
      </c>
      <c r="M1249" t="inlineStr">
        <is>
          <t>estandar</t>
        </is>
      </c>
      <c r="N1249" t="inlineStr">
        <is>
          <t>anticaspa</t>
        </is>
      </c>
      <c r="O1249" t="inlineStr">
        <is>
          <t>https://www.disco.com.ar/shampoo-anticaspa-clear-unisex-x-200-ml/p</t>
        </is>
      </c>
    </row>
    <row r="1250">
      <c r="A1250" s="10" t="inlineStr">
        <is>
          <t>Disco</t>
        </is>
      </c>
      <c r="B1250" s="10" t="n">
        <v>59996</v>
      </c>
      <c r="C1250" s="10" t="n">
        <v>57146</v>
      </c>
      <c r="D1250" s="10" t="inlineStr">
        <is>
          <t>Shampoo Triatop Anticaspa Cabello Normal A Seco X 240 Ml.</t>
        </is>
      </c>
      <c r="E1250" s="10" t="inlineStr">
        <is>
          <t>TRIATOP</t>
        </is>
      </c>
      <c r="F1250" s="10" t="n">
        <v>23.77</v>
      </c>
      <c r="G1250" s="10" t="n">
        <v>23.77</v>
      </c>
      <c r="H1250" s="10" t="b">
        <v>0</v>
      </c>
      <c r="I1250" s="10" t="n">
        <v>240</v>
      </c>
      <c r="J1250" s="10" t="n">
        <v>0.099</v>
      </c>
      <c r="K1250" s="10" t="inlineStr">
        <is>
          <t>&gt; Perfumería &gt; Cuidado Capilar &gt; Shampoo &gt;</t>
        </is>
      </c>
      <c r="L1250" s="10" t="inlineStr">
        <is>
          <t>shampoo</t>
        </is>
      </c>
      <c r="M1250" s="10" t="inlineStr">
        <is>
          <t>estandar</t>
        </is>
      </c>
      <c r="N1250" s="10" t="inlineStr">
        <is>
          <t>anticaspa</t>
        </is>
      </c>
      <c r="O1250" s="10" t="inlineStr">
        <is>
          <t>https://www.disco.com.ar/shampoo-triatop-anticaspa-cabello-normal-a-seco-x-240-ml/p</t>
        </is>
      </c>
    </row>
    <row r="1251">
      <c r="A1251" t="inlineStr">
        <is>
          <t>Disco</t>
        </is>
      </c>
      <c r="B1251" t="n">
        <v>25904</v>
      </c>
      <c r="C1251" t="n">
        <v>23064</v>
      </c>
      <c r="D1251" t="inlineStr">
        <is>
          <t>Shampoo Unisex Anticaspa Clear Ice Cool Menthol 400 Ml</t>
        </is>
      </c>
      <c r="E1251" t="inlineStr">
        <is>
          <t>CLEAR</t>
        </is>
      </c>
      <c r="F1251" t="n">
        <v>87.09</v>
      </c>
      <c r="G1251" t="n">
        <v>7198</v>
      </c>
      <c r="H1251" t="b">
        <v>0</v>
      </c>
      <c r="I1251" t="n">
        <v>400</v>
      </c>
      <c r="J1251" t="n">
        <v>0.2177</v>
      </c>
      <c r="K1251" t="inlineStr">
        <is>
          <t>&gt; Perfumería &gt; Cuidado Capilar &gt; Shampoo &gt;</t>
        </is>
      </c>
      <c r="L1251" t="inlineStr">
        <is>
          <t>shampoo</t>
        </is>
      </c>
      <c r="M1251" t="inlineStr">
        <is>
          <t>estandar</t>
        </is>
      </c>
      <c r="N1251" t="inlineStr">
        <is>
          <t>anticaspa</t>
        </is>
      </c>
      <c r="O1251" t="inlineStr">
        <is>
          <t>https://www.disco.com.ar/shampoo-anticaspa-clear-unisex-x-400ml-3/p</t>
        </is>
      </c>
    </row>
    <row r="1252">
      <c r="A1252" s="10" t="inlineStr">
        <is>
          <t>Disco</t>
        </is>
      </c>
      <c r="B1252" s="10" t="n">
        <v>20005</v>
      </c>
      <c r="C1252" s="10" t="n">
        <v>17176</v>
      </c>
      <c r="D1252" s="10" t="inlineStr">
        <is>
          <t>Shampoo Unisex Anticaspa Clear Suavidad Y Brillo 200 Ml</t>
        </is>
      </c>
      <c r="E1252" s="10" t="inlineStr">
        <is>
          <t>CLEAR</t>
        </is>
      </c>
      <c r="F1252" s="10" t="n">
        <v>45.89</v>
      </c>
      <c r="G1252" s="10" t="n">
        <v>3793</v>
      </c>
      <c r="H1252" s="10" t="b">
        <v>0</v>
      </c>
      <c r="I1252" s="10" t="n">
        <v>200</v>
      </c>
      <c r="J1252" s="10" t="n">
        <v>0.2295</v>
      </c>
      <c r="K1252" s="10" t="inlineStr">
        <is>
          <t>&gt; Perfumería &gt; Cuidado Capilar &gt; Shampoo &gt;</t>
        </is>
      </c>
      <c r="L1252" s="10" t="inlineStr">
        <is>
          <t>shampoo</t>
        </is>
      </c>
      <c r="M1252" s="10" t="inlineStr">
        <is>
          <t>estandar</t>
        </is>
      </c>
      <c r="N1252" s="10" t="inlineStr">
        <is>
          <t>anticaspa</t>
        </is>
      </c>
      <c r="O1252" s="10" t="inlineStr">
        <is>
          <t>https://www.disco.com.ar/shampoo-anticaspa-clear-unisex-x-200ml-2/p</t>
        </is>
      </c>
    </row>
    <row r="1253">
      <c r="A1253" t="inlineStr">
        <is>
          <t>Disco</t>
        </is>
      </c>
      <c r="B1253" t="n">
        <v>59995</v>
      </c>
      <c r="C1253" t="n">
        <v>57145</v>
      </c>
      <c r="D1253" t="inlineStr">
        <is>
          <t>Shampoo Triatop Anticaspa Cabello Normal A Graso X 240 Ml.</t>
        </is>
      </c>
      <c r="E1253" t="inlineStr">
        <is>
          <t>TRIATOP</t>
        </is>
      </c>
      <c r="F1253" t="n">
        <v>23.77</v>
      </c>
      <c r="G1253" t="n">
        <v>23.77</v>
      </c>
      <c r="H1253" t="b">
        <v>0</v>
      </c>
      <c r="I1253" t="n">
        <v>240</v>
      </c>
      <c r="J1253" t="n">
        <v>0.099</v>
      </c>
      <c r="K1253" t="inlineStr">
        <is>
          <t>&gt; Perfumería &gt; Cuidado Capilar &gt; Shampoo &gt;</t>
        </is>
      </c>
      <c r="L1253" t="inlineStr">
        <is>
          <t>shampoo</t>
        </is>
      </c>
      <c r="M1253" t="inlineStr">
        <is>
          <t>estandar</t>
        </is>
      </c>
      <c r="N1253" t="inlineStr">
        <is>
          <t>anticaspa</t>
        </is>
      </c>
      <c r="O1253" t="inlineStr">
        <is>
          <t>https://www.disco.com.ar/shampoo-triatop-anticaspa-cabello-normal-a-graso-x-240-ml/p</t>
        </is>
      </c>
    </row>
    <row r="1254">
      <c r="A1254" s="10" t="inlineStr">
        <is>
          <t>Disco</t>
        </is>
      </c>
      <c r="B1254" s="10" t="n">
        <v>25421</v>
      </c>
      <c r="C1254" s="10" t="n">
        <v>22581</v>
      </c>
      <c r="D1254" s="10" t="inlineStr">
        <is>
          <t>Shampoo Unisex Anticaspa Clear Suavidad Y Brillo 400 Ml</t>
        </is>
      </c>
      <c r="E1254" s="10" t="inlineStr">
        <is>
          <t>CLEAR</t>
        </is>
      </c>
      <c r="F1254" s="10" t="n">
        <v>87.09</v>
      </c>
      <c r="G1254" s="10" t="n">
        <v>7198</v>
      </c>
      <c r="H1254" s="10" t="b">
        <v>0</v>
      </c>
      <c r="I1254" s="10" t="n">
        <v>400</v>
      </c>
      <c r="J1254" s="10" t="n">
        <v>0.2177</v>
      </c>
      <c r="K1254" s="10" t="inlineStr">
        <is>
          <t>&gt; Perfumería &gt; Cuidado Capilar &gt; Shampoo &gt;</t>
        </is>
      </c>
      <c r="L1254" s="10" t="inlineStr">
        <is>
          <t>shampoo</t>
        </is>
      </c>
      <c r="M1254" s="10" t="inlineStr">
        <is>
          <t>estandar</t>
        </is>
      </c>
      <c r="N1254" s="10" t="inlineStr">
        <is>
          <t>anticaspa</t>
        </is>
      </c>
      <c r="O1254" s="10" t="inlineStr">
        <is>
          <t>https://www.disco.com.ar/shampoo-anticaspa-clear-unisex-x-400ml/p</t>
        </is>
      </c>
    </row>
    <row r="1255">
      <c r="A1255" t="inlineStr">
        <is>
          <t>Disco</t>
        </is>
      </c>
      <c r="B1255" t="n">
        <v>182197</v>
      </c>
      <c r="C1255" t="n">
        <v>203085</v>
      </c>
      <c r="D1255" t="inlineStr">
        <is>
          <t>Shampoo Anticaspa Head &amp; Shoulders X 3 Un Mentol Refrescante + Maq Prestobarba Excel X 2 Grts Bli 3</t>
        </is>
      </c>
      <c r="E1255" t="inlineStr">
        <is>
          <t>HEAD &amp; SHOULDERS</t>
        </is>
      </c>
      <c r="F1255" t="n">
        <v>14.85</v>
      </c>
      <c r="G1255" t="n">
        <v>14.85</v>
      </c>
      <c r="H1255" t="b">
        <v>0</v>
      </c>
      <c r="I1255" t="inlineStr"/>
      <c r="J1255" t="inlineStr"/>
      <c r="K1255" t="inlineStr">
        <is>
          <t>&gt; Perfumería &gt; Cuidado Capilar &gt; Shampoo &gt;</t>
        </is>
      </c>
      <c r="L1255" t="inlineStr">
        <is>
          <t>shampoo</t>
        </is>
      </c>
      <c r="M1255" t="inlineStr">
        <is>
          <t>estandar</t>
        </is>
      </c>
      <c r="N1255" t="inlineStr">
        <is>
          <t>anticaspa</t>
        </is>
      </c>
      <c r="O1255" t="inlineStr">
        <is>
          <t>https://www.disco.com.ar/shampoo-anticaspa-head-shoulders-x-3-un-3-281305/p</t>
        </is>
      </c>
    </row>
    <row r="1256">
      <c r="A1256" s="10" t="inlineStr">
        <is>
          <t>Disco</t>
        </is>
      </c>
      <c r="B1256" s="10" t="n">
        <v>210656</v>
      </c>
      <c r="C1256" s="10" t="n">
        <v>234353</v>
      </c>
      <c r="D1256" s="10" t="inlineStr">
        <is>
          <t>Shampoo Anticaspa  Head &amp; Shoulders X 2 Un-prot. Caída   X 400 Ml-+ Acond. Prot. Caída   X 400 Ml-bl</t>
        </is>
      </c>
      <c r="E1256" s="10" t="inlineStr">
        <is>
          <t>HEAD &amp; SHOULDERS</t>
        </is>
      </c>
      <c r="F1256" s="10" t="n">
        <v>30.33</v>
      </c>
      <c r="G1256" s="10" t="n">
        <v>30.33</v>
      </c>
      <c r="H1256" s="10" t="b">
        <v>0</v>
      </c>
      <c r="I1256" s="10" t="n">
        <v>400</v>
      </c>
      <c r="J1256" s="10" t="n">
        <v>0.07580000000000001</v>
      </c>
      <c r="K1256" s="10" t="inlineStr">
        <is>
          <t>&gt; Perfumería &gt; Cuidado Capilar &gt; Shampoo &gt;</t>
        </is>
      </c>
      <c r="L1256" s="10" t="inlineStr">
        <is>
          <t>shampoo</t>
        </is>
      </c>
      <c r="M1256" s="10" t="inlineStr">
        <is>
          <t>estandar</t>
        </is>
      </c>
      <c r="N1256" s="10" t="inlineStr">
        <is>
          <t>anticaspa</t>
        </is>
      </c>
      <c r="O1256" s="10" t="inlineStr">
        <is>
          <t>https://www.disco.com.ar/shampoo-anticaspa-head-shoulders-x-2-un-2-352330/p</t>
        </is>
      </c>
    </row>
    <row r="1257">
      <c r="A1257" t="inlineStr">
        <is>
          <t>Disco</t>
        </is>
      </c>
      <c r="B1257" t="n">
        <v>210669</v>
      </c>
      <c r="C1257" t="n">
        <v>234387</v>
      </c>
      <c r="D1257" t="inlineStr">
        <is>
          <t>Shampoo Anticaspa Head &amp; Shoulders X 2 Un-liso Y Sedoso X400ml-+ Acond. Liso  Sedoso X 400 Ml-bli-un</t>
        </is>
      </c>
      <c r="E1257" t="inlineStr">
        <is>
          <t>HEAD &amp; SHOULDERS</t>
        </is>
      </c>
      <c r="F1257" t="n">
        <v>30.33</v>
      </c>
      <c r="G1257" t="n">
        <v>30.33</v>
      </c>
      <c r="H1257" t="b">
        <v>0</v>
      </c>
      <c r="I1257" t="n">
        <v>400</v>
      </c>
      <c r="J1257" t="n">
        <v>0.07580000000000001</v>
      </c>
      <c r="K1257" t="inlineStr">
        <is>
          <t>&gt; Perfumería &gt; Cuidado Capilar &gt; Shampoo &gt;</t>
        </is>
      </c>
      <c r="L1257" t="inlineStr">
        <is>
          <t>shampoo</t>
        </is>
      </c>
      <c r="M1257" t="inlineStr">
        <is>
          <t>estandar</t>
        </is>
      </c>
      <c r="N1257" t="inlineStr">
        <is>
          <t>anticaspa</t>
        </is>
      </c>
      <c r="O1257" t="inlineStr">
        <is>
          <t>https://www.disco.com.ar/shampoo-anticaspa-head-shoulders-x-2-un-3-352332/p</t>
        </is>
      </c>
    </row>
    <row r="1258">
      <c r="A1258" s="10" t="inlineStr">
        <is>
          <t>Disco</t>
        </is>
      </c>
      <c r="B1258" s="10" t="n">
        <v>70785</v>
      </c>
      <c r="C1258" s="10" t="n">
        <v>67921</v>
      </c>
      <c r="D1258" s="10" t="inlineStr">
        <is>
          <t>Head &amp; Shoulders Shampoo Humecta 700ml</t>
        </is>
      </c>
      <c r="E1258" s="10" t="inlineStr">
        <is>
          <t>HEAD &amp; SHOULDERS</t>
        </is>
      </c>
      <c r="F1258" s="10" t="n">
        <v>43.19</v>
      </c>
      <c r="G1258" s="10" t="n">
        <v>43.19</v>
      </c>
      <c r="H1258" s="10" t="b">
        <v>0</v>
      </c>
      <c r="I1258" s="10" t="n">
        <v>700</v>
      </c>
      <c r="J1258" s="10" t="n">
        <v>0.0617</v>
      </c>
      <c r="K1258" s="10" t="inlineStr">
        <is>
          <t>&gt; Perfumería &gt; Cuidado Capilar &gt; Shampoo &gt;</t>
        </is>
      </c>
      <c r="L1258" s="10" t="inlineStr">
        <is>
          <t>shampoo</t>
        </is>
      </c>
      <c r="M1258" s="10" t="inlineStr">
        <is>
          <t>estandar</t>
        </is>
      </c>
      <c r="N1258" s="10" t="inlineStr">
        <is>
          <t>general</t>
        </is>
      </c>
      <c r="O1258" s="10" t="inlineStr">
        <is>
          <t>https://www.disco.com.ar/head-shoulders-shampoo-humecta-700ml/p</t>
        </is>
      </c>
    </row>
    <row r="1259">
      <c r="A1259" t="inlineStr">
        <is>
          <t>Disco</t>
        </is>
      </c>
      <c r="B1259" t="n">
        <v>248099</v>
      </c>
      <c r="C1259" t="n">
        <v>244782</v>
      </c>
      <c r="D1259" t="inlineStr">
        <is>
          <t>Shampoo Clear Men Caida Control X 400ml</t>
        </is>
      </c>
      <c r="E1259" t="inlineStr">
        <is>
          <t>CLEAR</t>
        </is>
      </c>
      <c r="F1259" t="n">
        <v>9950</v>
      </c>
      <c r="G1259" t="n">
        <v>822314</v>
      </c>
      <c r="H1259" t="b">
        <v>0</v>
      </c>
      <c r="I1259" t="n">
        <v>400</v>
      </c>
      <c r="J1259" t="n">
        <v>24.875</v>
      </c>
      <c r="K1259" t="inlineStr">
        <is>
          <t>&gt; Perfumería &gt; Cuidado Capilar &gt; Shampoo &gt;</t>
        </is>
      </c>
      <c r="L1259" t="inlineStr">
        <is>
          <t>shampoo</t>
        </is>
      </c>
      <c r="M1259" t="inlineStr">
        <is>
          <t>estandar</t>
        </is>
      </c>
      <c r="N1259" t="inlineStr">
        <is>
          <t>general</t>
        </is>
      </c>
      <c r="O1259" t="inlineStr">
        <is>
          <t>https://www.disco.com.ar/shampoo-clear-men-caida-control-x-400ml/p</t>
        </is>
      </c>
    </row>
    <row r="1260">
      <c r="A1260" s="10" t="inlineStr">
        <is>
          <t>Disco</t>
        </is>
      </c>
      <c r="B1260" s="10" t="n">
        <v>248102</v>
      </c>
      <c r="C1260" s="10" t="n">
        <v>244785</v>
      </c>
      <c r="D1260" s="10" t="inlineStr">
        <is>
          <t>Shampoo Clear Men Caida Control X 200ml</t>
        </is>
      </c>
      <c r="E1260" s="10" t="inlineStr">
        <is>
          <t>CLEAR</t>
        </is>
      </c>
      <c r="F1260" s="10" t="n">
        <v>4600</v>
      </c>
      <c r="G1260" s="10" t="n">
        <v>380165</v>
      </c>
      <c r="H1260" s="10" t="b">
        <v>0</v>
      </c>
      <c r="I1260" s="10" t="n">
        <v>200</v>
      </c>
      <c r="J1260" s="10" t="n">
        <v>23</v>
      </c>
      <c r="K1260" s="10" t="inlineStr">
        <is>
          <t>&gt; Perfumería &gt; Cuidado Capilar &gt; Shampoo &gt;</t>
        </is>
      </c>
      <c r="L1260" s="10" t="inlineStr">
        <is>
          <t>shampoo</t>
        </is>
      </c>
      <c r="M1260" s="10" t="inlineStr">
        <is>
          <t>estandar</t>
        </is>
      </c>
      <c r="N1260" s="10" t="inlineStr">
        <is>
          <t>general</t>
        </is>
      </c>
      <c r="O1260" s="10" t="inlineStr">
        <is>
          <t>https://www.disco.com.ar/shampoo-clear-men-caida-control-x-200ml/p</t>
        </is>
      </c>
    </row>
    <row r="1261">
      <c r="A1261" t="inlineStr">
        <is>
          <t>Disco</t>
        </is>
      </c>
      <c r="B1261" t="n">
        <v>248101</v>
      </c>
      <c r="C1261" t="n">
        <v>244784</v>
      </c>
      <c r="D1261" t="inlineStr">
        <is>
          <t>Shampoo Clear Women S&amp;b X 400ml</t>
        </is>
      </c>
      <c r="E1261" t="inlineStr">
        <is>
          <t>CLEAR</t>
        </is>
      </c>
      <c r="F1261" t="n">
        <v>209.19</v>
      </c>
      <c r="G1261" t="n">
        <v>17288</v>
      </c>
      <c r="H1261" t="b">
        <v>0</v>
      </c>
      <c r="I1261" t="n">
        <v>400</v>
      </c>
      <c r="J1261" t="n">
        <v>0.523</v>
      </c>
      <c r="K1261" t="inlineStr">
        <is>
          <t>&gt; Perfumería &gt; Cuidado Capilar &gt; Shampoo &gt;</t>
        </is>
      </c>
      <c r="L1261" t="inlineStr">
        <is>
          <t>shampoo</t>
        </is>
      </c>
      <c r="M1261" t="inlineStr">
        <is>
          <t>estandar</t>
        </is>
      </c>
      <c r="N1261" t="inlineStr">
        <is>
          <t>general</t>
        </is>
      </c>
      <c r="O1261" t="inlineStr">
        <is>
          <t>https://www.disco.com.ar/shampoo-clear-women-s-b-x-400ml/p</t>
        </is>
      </c>
    </row>
    <row r="1262">
      <c r="A1262" s="10" t="inlineStr">
        <is>
          <t>Disco</t>
        </is>
      </c>
      <c r="B1262" s="10" t="n">
        <v>248098</v>
      </c>
      <c r="C1262" s="10" t="n">
        <v>244781</v>
      </c>
      <c r="D1262" s="10" t="inlineStr">
        <is>
          <t>Shampoo Clear Women S&amp;b 200 Ml</t>
        </is>
      </c>
      <c r="E1262" s="10" t="inlineStr">
        <is>
          <t>CLEAR</t>
        </is>
      </c>
      <c r="F1262" s="10" t="n">
        <v>126.39</v>
      </c>
      <c r="G1262" s="10" t="n">
        <v>10445</v>
      </c>
      <c r="H1262" s="10" t="b">
        <v>0</v>
      </c>
      <c r="I1262" s="10" t="n">
        <v>200</v>
      </c>
      <c r="J1262" s="10" t="n">
        <v>0.632</v>
      </c>
      <c r="K1262" s="10" t="inlineStr">
        <is>
          <t>&gt; Perfumería &gt; Cuidado Capilar &gt; Shampoo &gt;</t>
        </is>
      </c>
      <c r="L1262" s="10" t="inlineStr">
        <is>
          <t>shampoo</t>
        </is>
      </c>
      <c r="M1262" s="10" t="inlineStr">
        <is>
          <t>estandar</t>
        </is>
      </c>
      <c r="N1262" s="10" t="inlineStr">
        <is>
          <t>general</t>
        </is>
      </c>
      <c r="O1262" s="10" t="inlineStr">
        <is>
          <t>https://www.disco.com.ar/shampoo-clear-women-s-b-200-ml/p</t>
        </is>
      </c>
    </row>
    <row r="1263">
      <c r="A1263" t="inlineStr">
        <is>
          <t>Disco</t>
        </is>
      </c>
      <c r="B1263" t="n">
        <v>248105</v>
      </c>
      <c r="C1263" t="n">
        <v>244788</v>
      </c>
      <c r="D1263" t="inlineStr">
        <is>
          <t>Shampoo Clear Women Caida Defense X 400ml</t>
        </is>
      </c>
      <c r="E1263" t="inlineStr">
        <is>
          <t>CLEAR</t>
        </is>
      </c>
      <c r="F1263" t="n">
        <v>232.88</v>
      </c>
      <c r="G1263" t="n">
        <v>232.88</v>
      </c>
      <c r="H1263" t="b">
        <v>0</v>
      </c>
      <c r="I1263" t="n">
        <v>400</v>
      </c>
      <c r="J1263" t="n">
        <v>0.5822000000000001</v>
      </c>
      <c r="K1263" t="inlineStr">
        <is>
          <t>&gt; Perfumería &gt; Cuidado Capilar &gt; Shampoo &gt;</t>
        </is>
      </c>
      <c r="L1263" t="inlineStr">
        <is>
          <t>shampoo</t>
        </is>
      </c>
      <c r="M1263" t="inlineStr">
        <is>
          <t>estandar</t>
        </is>
      </c>
      <c r="N1263" t="inlineStr">
        <is>
          <t>general</t>
        </is>
      </c>
      <c r="O1263" t="inlineStr">
        <is>
          <t>https://www.disco.com.ar/shampoo-clear-women-caida-defense-x-400ml/p</t>
        </is>
      </c>
    </row>
    <row r="1264">
      <c r="A1264" s="10" t="inlineStr">
        <is>
          <t>Disco</t>
        </is>
      </c>
      <c r="B1264" s="10" t="n">
        <v>248104</v>
      </c>
      <c r="C1264" s="10" t="n">
        <v>244787</v>
      </c>
      <c r="D1264" s="10" t="inlineStr">
        <is>
          <t>Shampoo Clear Women Caida Defense X 200ml</t>
        </is>
      </c>
      <c r="E1264" s="10" t="inlineStr">
        <is>
          <t>CLEAR</t>
        </is>
      </c>
      <c r="F1264" s="10" t="n">
        <v>143.87</v>
      </c>
      <c r="G1264" s="10" t="n">
        <v>143.87</v>
      </c>
      <c r="H1264" s="10" t="b">
        <v>0</v>
      </c>
      <c r="I1264" s="10" t="n">
        <v>200</v>
      </c>
      <c r="J1264" s="10" t="n">
        <v>0.7194</v>
      </c>
      <c r="K1264" s="10" t="inlineStr">
        <is>
          <t>&gt; Perfumería &gt; Cuidado Capilar &gt; Shampoo &gt;</t>
        </is>
      </c>
      <c r="L1264" s="10" t="inlineStr">
        <is>
          <t>shampoo</t>
        </is>
      </c>
      <c r="M1264" s="10" t="inlineStr">
        <is>
          <t>estandar</t>
        </is>
      </c>
      <c r="N1264" s="10" t="inlineStr">
        <is>
          <t>general</t>
        </is>
      </c>
      <c r="O1264" s="10" t="inlineStr">
        <is>
          <t>https://www.disco.com.ar/shampoo-clear-women-caida-defense-x-200ml/p</t>
        </is>
      </c>
    </row>
    <row r="1265">
      <c r="A1265" t="inlineStr">
        <is>
          <t>Disco</t>
        </is>
      </c>
      <c r="B1265" t="n">
        <v>248103</v>
      </c>
      <c r="C1265" t="n">
        <v>244786</v>
      </c>
      <c r="D1265" t="inlineStr">
        <is>
          <t>Shampoo Clear Men Dual Effect 2en1 X 200ml</t>
        </is>
      </c>
      <c r="E1265" t="inlineStr">
        <is>
          <t>CLEAR</t>
        </is>
      </c>
      <c r="F1265" t="n">
        <v>126.39</v>
      </c>
      <c r="G1265" t="n">
        <v>10445</v>
      </c>
      <c r="H1265" t="b">
        <v>0</v>
      </c>
      <c r="I1265" t="n">
        <v>200</v>
      </c>
      <c r="J1265" t="n">
        <v>0.632</v>
      </c>
      <c r="K1265" t="inlineStr">
        <is>
          <t>&gt; Perfumería &gt; Cuidado Capilar &gt; Shampoo &gt;</t>
        </is>
      </c>
      <c r="L1265" t="inlineStr">
        <is>
          <t>shampoo</t>
        </is>
      </c>
      <c r="M1265" t="inlineStr">
        <is>
          <t>estandar</t>
        </is>
      </c>
      <c r="N1265" t="inlineStr">
        <is>
          <t>general</t>
        </is>
      </c>
      <c r="O1265" t="inlineStr">
        <is>
          <t>https://www.disco.com.ar/shampoo-clear-men-dual-effect-2en1-x-200ml/p</t>
        </is>
      </c>
    </row>
    <row r="1266">
      <c r="A1266" s="10" t="inlineStr">
        <is>
          <t>Disco</t>
        </is>
      </c>
      <c r="B1266" s="10" t="n">
        <v>248100</v>
      </c>
      <c r="C1266" s="10" t="n">
        <v>244783</v>
      </c>
      <c r="D1266" s="10" t="inlineStr">
        <is>
          <t>Shampoo Clear Men Dual Effect 2en1 X 400ml</t>
        </is>
      </c>
      <c r="E1266" s="10" t="inlineStr">
        <is>
          <t>CLEAR</t>
        </is>
      </c>
      <c r="F1266" s="10" t="n">
        <v>9950</v>
      </c>
      <c r="G1266" s="10" t="n">
        <v>822314</v>
      </c>
      <c r="H1266" s="10" t="b">
        <v>0</v>
      </c>
      <c r="I1266" s="10" t="n">
        <v>400</v>
      </c>
      <c r="J1266" s="10" t="n">
        <v>24.875</v>
      </c>
      <c r="K1266" s="10" t="inlineStr">
        <is>
          <t>&gt; Perfumería &gt; Cuidado Capilar &gt; Shampoo &gt;</t>
        </is>
      </c>
      <c r="L1266" s="10" t="inlineStr">
        <is>
          <t>shampoo</t>
        </is>
      </c>
      <c r="M1266" s="10" t="inlineStr">
        <is>
          <t>estandar</t>
        </is>
      </c>
      <c r="N1266" s="10" t="inlineStr">
        <is>
          <t>general</t>
        </is>
      </c>
      <c r="O1266" s="10" t="inlineStr">
        <is>
          <t>https://www.disco.com.ar/shampoo-clear-men-dual-effect-2en1-x-400ml/p</t>
        </is>
      </c>
    </row>
    <row r="1267">
      <c r="A1267" t="inlineStr">
        <is>
          <t>Disco</t>
        </is>
      </c>
      <c r="B1267" t="n">
        <v>248109</v>
      </c>
      <c r="C1267" t="n">
        <v>244792</v>
      </c>
      <c r="D1267" t="inlineStr">
        <is>
          <t>Shampoo Clear Men Ice Cool Menthol X 200ml</t>
        </is>
      </c>
      <c r="E1267" t="inlineStr">
        <is>
          <t>CLEAR</t>
        </is>
      </c>
      <c r="F1267" t="n">
        <v>126.39</v>
      </c>
      <c r="G1267" t="n">
        <v>10445</v>
      </c>
      <c r="H1267" t="b">
        <v>0</v>
      </c>
      <c r="I1267" t="n">
        <v>200</v>
      </c>
      <c r="J1267" t="n">
        <v>0.632</v>
      </c>
      <c r="K1267" t="inlineStr">
        <is>
          <t>&gt; Perfumería &gt; Cuidado Capilar &gt; Shampoo &gt;</t>
        </is>
      </c>
      <c r="L1267" t="inlineStr">
        <is>
          <t>shampoo</t>
        </is>
      </c>
      <c r="M1267" t="inlineStr">
        <is>
          <t>estandar</t>
        </is>
      </c>
      <c r="N1267" t="inlineStr">
        <is>
          <t>general</t>
        </is>
      </c>
      <c r="O1267" t="inlineStr">
        <is>
          <t>https://www.disco.com.ar/shampoo-clear-men-ice-cool-menthol-x-200ml/p</t>
        </is>
      </c>
    </row>
    <row r="1268">
      <c r="A1268" s="10" t="inlineStr">
        <is>
          <t>Disco</t>
        </is>
      </c>
      <c r="B1268" s="10" t="n">
        <v>248108</v>
      </c>
      <c r="C1268" s="10" t="n">
        <v>244791</v>
      </c>
      <c r="D1268" s="10" t="inlineStr">
        <is>
          <t>Shampoo Clear Men Ice Cool Menthol X 400ml</t>
        </is>
      </c>
      <c r="E1268" s="10" t="inlineStr">
        <is>
          <t>CLEAR</t>
        </is>
      </c>
      <c r="F1268" s="10" t="n">
        <v>209.19</v>
      </c>
      <c r="G1268" s="10" t="n">
        <v>17288</v>
      </c>
      <c r="H1268" s="10" t="b">
        <v>0</v>
      </c>
      <c r="I1268" s="10" t="n">
        <v>400</v>
      </c>
      <c r="J1268" s="10" t="n">
        <v>0.523</v>
      </c>
      <c r="K1268" s="10" t="inlineStr">
        <is>
          <t>&gt; Perfumería &gt; Cuidado Capilar &gt; Shampoo &gt;</t>
        </is>
      </c>
      <c r="L1268" s="10" t="inlineStr">
        <is>
          <t>shampoo</t>
        </is>
      </c>
      <c r="M1268" s="10" t="inlineStr">
        <is>
          <t>estandar</t>
        </is>
      </c>
      <c r="N1268" s="10" t="inlineStr">
        <is>
          <t>general</t>
        </is>
      </c>
      <c r="O1268" s="10" t="inlineStr">
        <is>
          <t>https://www.disco.com.ar/shampoo-clear-men-ice-cool-menthol-x-400ml/p</t>
        </is>
      </c>
    </row>
    <row r="1269">
      <c r="A1269" t="inlineStr">
        <is>
          <t>Disco</t>
        </is>
      </c>
      <c r="B1269" t="n">
        <v>47293</v>
      </c>
      <c r="C1269" t="n">
        <v>44458</v>
      </c>
      <c r="D1269" t="inlineStr">
        <is>
          <t>Shampoo Ma Evans Argan 400 Ml</t>
        </is>
      </c>
      <c r="E1269" t="inlineStr">
        <is>
          <t>MA EVANS</t>
        </is>
      </c>
      <c r="F1269" t="n">
        <v>91.47</v>
      </c>
      <c r="G1269" t="n">
        <v>7560</v>
      </c>
      <c r="H1269" t="b">
        <v>0</v>
      </c>
      <c r="I1269" t="n">
        <v>400</v>
      </c>
      <c r="J1269" t="n">
        <v>0.2287</v>
      </c>
      <c r="K1269" t="inlineStr">
        <is>
          <t>&gt; Perfumería &gt; Cuidado Capilar &gt; Shampoo &gt;</t>
        </is>
      </c>
      <c r="L1269" t="inlineStr">
        <is>
          <t>shampoo</t>
        </is>
      </c>
      <c r="M1269" t="inlineStr">
        <is>
          <t>estandar</t>
        </is>
      </c>
      <c r="N1269" t="inlineStr">
        <is>
          <t>general</t>
        </is>
      </c>
      <c r="O1269" t="inlineStr">
        <is>
          <t>https://www.disco.com.ar/shampoo-ma-evans-argan-400-ml/p</t>
        </is>
      </c>
    </row>
    <row r="1270">
      <c r="A1270" s="10" t="inlineStr">
        <is>
          <t>Disco</t>
        </is>
      </c>
      <c r="B1270" s="10" t="n">
        <v>17745</v>
      </c>
      <c r="C1270" s="10" t="n">
        <v>14864</v>
      </c>
      <c r="D1270" s="10" t="inlineStr">
        <is>
          <t>Shampoo Triatop Control Caspa Combate Intensivo 250 Ml</t>
        </is>
      </c>
      <c r="E1270" s="10" t="inlineStr">
        <is>
          <t>TRIATOP</t>
        </is>
      </c>
      <c r="F1270" s="10" t="n">
        <v>91.97</v>
      </c>
      <c r="G1270" s="10" t="n">
        <v>7601</v>
      </c>
      <c r="H1270" s="10" t="b">
        <v>0</v>
      </c>
      <c r="I1270" s="10" t="n">
        <v>250</v>
      </c>
      <c r="J1270" s="10" t="n">
        <v>0.3679</v>
      </c>
      <c r="K1270" s="10" t="inlineStr">
        <is>
          <t>&gt; Perfumería &gt; Cuidado Capilar &gt; Shampoo &gt;</t>
        </is>
      </c>
      <c r="L1270" s="10" t="inlineStr">
        <is>
          <t>shampoo</t>
        </is>
      </c>
      <c r="M1270" s="10" t="inlineStr">
        <is>
          <t>estandar</t>
        </is>
      </c>
      <c r="N1270" s="10" t="inlineStr">
        <is>
          <t>anticaspa</t>
        </is>
      </c>
      <c r="O1270" s="10" t="inlineStr">
        <is>
          <t>https://www.disco.com.ar/shampoo-triatop-control-caspa-combate-intensivo-250-ml/p</t>
        </is>
      </c>
    </row>
    <row r="1271">
      <c r="A1271" t="inlineStr">
        <is>
          <t>Disco</t>
        </is>
      </c>
      <c r="B1271" t="n">
        <v>295076</v>
      </c>
      <c r="C1271" t="n">
        <v>294306</v>
      </c>
      <c r="D1271" t="inlineStr">
        <is>
          <t>Shampoo Head &amp; Shoulders Purificación Capilar Carbón Activado 700 Ml</t>
        </is>
      </c>
      <c r="E1271" t="inlineStr">
        <is>
          <t>HEAD &amp; SHOULDERS</t>
        </is>
      </c>
      <c r="F1271" t="n">
        <v>598.9299999999999</v>
      </c>
      <c r="G1271" t="n">
        <v>49498</v>
      </c>
      <c r="H1271" t="b">
        <v>0</v>
      </c>
      <c r="I1271" t="n">
        <v>700</v>
      </c>
      <c r="J1271" t="n">
        <v>0.8556</v>
      </c>
      <c r="K1271" t="inlineStr">
        <is>
          <t>&gt; Perfumería &gt; Cuidado Capilar &gt; Shampoo &gt;</t>
        </is>
      </c>
      <c r="L1271" t="inlineStr">
        <is>
          <t>shampoo</t>
        </is>
      </c>
      <c r="M1271" t="inlineStr">
        <is>
          <t>estandar</t>
        </is>
      </c>
      <c r="N1271" t="inlineStr">
        <is>
          <t>general</t>
        </is>
      </c>
      <c r="O1271" t="inlineStr">
        <is>
          <t>https://www.disco.com.ar/shampoo-head-shoulders-purificacion-capilar-carbon-activado-700-ml/p</t>
        </is>
      </c>
    </row>
    <row r="1272">
      <c r="A1272" s="10" t="inlineStr">
        <is>
          <t>Disco</t>
        </is>
      </c>
      <c r="B1272" s="10" t="n">
        <v>9248</v>
      </c>
      <c r="C1272" s="10" t="n">
        <v>6534</v>
      </c>
      <c r="D1272" s="10" t="inlineStr">
        <is>
          <t>Shampoo Dove Caspa Control 200 Ml</t>
        </is>
      </c>
      <c r="E1272" s="10" t="inlineStr">
        <is>
          <t>DOVE</t>
        </is>
      </c>
      <c r="F1272" s="10" t="n">
        <v>191.59</v>
      </c>
      <c r="G1272" s="10" t="n">
        <v>15834</v>
      </c>
      <c r="H1272" s="10" t="b">
        <v>0</v>
      </c>
      <c r="I1272" s="10" t="n">
        <v>200</v>
      </c>
      <c r="J1272" s="10" t="n">
        <v>0.9579</v>
      </c>
      <c r="K1272" s="10" t="inlineStr">
        <is>
          <t>&gt; Perfumería &gt; Cuidado Capilar &gt; Shampoo &gt;</t>
        </is>
      </c>
      <c r="L1272" s="10" t="inlineStr">
        <is>
          <t>shampoo</t>
        </is>
      </c>
      <c r="M1272" s="10" t="inlineStr">
        <is>
          <t>estandar</t>
        </is>
      </c>
      <c r="N1272" s="10" t="inlineStr">
        <is>
          <t>anticaspa</t>
        </is>
      </c>
      <c r="O1272" s="10" t="inlineStr">
        <is>
          <t>https://www.disco.com.ar/shampoo-dove-7/p</t>
        </is>
      </c>
    </row>
    <row r="1273">
      <c r="A1273" t="inlineStr">
        <is>
          <t>Disco</t>
        </is>
      </c>
      <c r="B1273" t="n">
        <v>349086</v>
      </c>
      <c r="C1273" t="n">
        <v>347749</v>
      </c>
      <c r="D1273" t="inlineStr">
        <is>
          <t>Shampoo  Dove Men Caspa Control 200 Ml</t>
        </is>
      </c>
      <c r="E1273" t="inlineStr">
        <is>
          <t>DOVE</t>
        </is>
      </c>
      <c r="F1273" t="n">
        <v>3750</v>
      </c>
      <c r="G1273" t="n">
        <v>309917</v>
      </c>
      <c r="H1273" t="b">
        <v>0</v>
      </c>
      <c r="I1273" t="n">
        <v>200</v>
      </c>
      <c r="J1273" t="n">
        <v>18.75</v>
      </c>
      <c r="K1273" t="inlineStr">
        <is>
          <t>&gt; Perfumería &gt; Cuidado Capilar &gt; Shampoo &gt;</t>
        </is>
      </c>
      <c r="L1273" t="inlineStr">
        <is>
          <t>shampoo</t>
        </is>
      </c>
      <c r="M1273" t="inlineStr">
        <is>
          <t>estandar</t>
        </is>
      </c>
      <c r="N1273" t="inlineStr">
        <is>
          <t>anticaspa</t>
        </is>
      </c>
      <c r="O1273" t="inlineStr">
        <is>
          <t>https://www.disco.com.ar/shampoo-dove-men-caspa-control-200-ml/p</t>
        </is>
      </c>
    </row>
    <row r="1274">
      <c r="A1274" s="10" t="inlineStr">
        <is>
          <t>Disco</t>
        </is>
      </c>
      <c r="B1274" s="10" t="n">
        <v>40211</v>
      </c>
      <c r="C1274" s="10" t="n">
        <v>37377</v>
      </c>
      <c r="D1274" s="10" t="inlineStr">
        <is>
          <t>Shampoo Anti-caspa Arcilla Purificante Elvive L Oréal Paris 200 Ml</t>
        </is>
      </c>
      <c r="E1274" s="10" t="inlineStr">
        <is>
          <t>ELVIVE</t>
        </is>
      </c>
      <c r="F1274" s="10" t="n">
        <v>266.59</v>
      </c>
      <c r="G1274" s="10" t="n">
        <v>22032</v>
      </c>
      <c r="H1274" s="10" t="b">
        <v>0</v>
      </c>
      <c r="I1274" s="10" t="n">
        <v>200</v>
      </c>
      <c r="J1274" s="10" t="n">
        <v>1.3329</v>
      </c>
      <c r="K1274" s="10" t="inlineStr">
        <is>
          <t>&gt; Perfumería &gt; Cuidado Capilar &gt; Shampoo &gt;</t>
        </is>
      </c>
      <c r="L1274" s="10" t="inlineStr">
        <is>
          <t>shampoo</t>
        </is>
      </c>
      <c r="M1274" s="10" t="inlineStr">
        <is>
          <t>profesional</t>
        </is>
      </c>
      <c r="N1274" s="10" t="inlineStr">
        <is>
          <t>anticaspa</t>
        </is>
      </c>
      <c r="O1274" s="10" t="inlineStr">
        <is>
          <t>https://www.disco.com.ar/shampoo-anti-caspa-arcilla-purificante-elvive-l-oreal-paris-200-ml/p</t>
        </is>
      </c>
    </row>
    <row r="1275">
      <c r="A1275" t="inlineStr">
        <is>
          <t>Disco</t>
        </is>
      </c>
      <c r="B1275" t="n">
        <v>49793</v>
      </c>
      <c r="C1275" t="n">
        <v>46956</v>
      </c>
      <c r="D1275" t="inlineStr">
        <is>
          <t>Kit Keratina Ma Evans Brasileña Tratamiento 70 Ml</t>
        </is>
      </c>
      <c r="E1275" t="inlineStr">
        <is>
          <t>MA EVANS</t>
        </is>
      </c>
      <c r="F1275" t="n">
        <v>344.19</v>
      </c>
      <c r="G1275" t="n">
        <v>28445</v>
      </c>
      <c r="H1275" t="b">
        <v>0</v>
      </c>
      <c r="I1275" t="n">
        <v>70</v>
      </c>
      <c r="J1275" t="n">
        <v>4.917</v>
      </c>
      <c r="K1275" t="inlineStr">
        <is>
          <t>&gt; Perfumería &gt; Cuidado Capilar &gt; Reparación y Tratamientos &gt;</t>
        </is>
      </c>
      <c r="L1275" t="inlineStr">
        <is>
          <t>tratamiento</t>
        </is>
      </c>
      <c r="M1275" t="inlineStr">
        <is>
          <t>estandar</t>
        </is>
      </c>
      <c r="N1275" t="inlineStr">
        <is>
          <t>tratado</t>
        </is>
      </c>
      <c r="O1275" t="inlineStr">
        <is>
          <t>https://www.disco.com.ar/kit-keratina-ma-evans-brasilena-tratamiento-70-ml/p</t>
        </is>
      </c>
    </row>
    <row r="1276">
      <c r="A1276" s="10" t="inlineStr">
        <is>
          <t>Disco</t>
        </is>
      </c>
      <c r="B1276" s="10" t="n">
        <v>276491</v>
      </c>
      <c r="C1276" s="10" t="n">
        <v>275777</v>
      </c>
      <c r="D1276" s="10" t="inlineStr">
        <is>
          <t>Shampoo Seco Pantene Pro-v 140 G</t>
        </is>
      </c>
      <c r="E1276" s="10" t="inlineStr">
        <is>
          <t>PANTENE</t>
        </is>
      </c>
      <c r="F1276" s="10" t="n">
        <v>407.95</v>
      </c>
      <c r="G1276" s="10" t="n">
        <v>33715</v>
      </c>
      <c r="H1276" s="10" t="b">
        <v>0</v>
      </c>
      <c r="I1276" s="10" t="n">
        <v>140</v>
      </c>
      <c r="J1276" s="10" t="n">
        <v>2.9139</v>
      </c>
      <c r="K1276" s="10" t="inlineStr">
        <is>
          <t>&gt; Perfumería &gt; Cuidado Capilar &gt; Shampoo &gt;</t>
        </is>
      </c>
      <c r="L1276" s="10" t="inlineStr">
        <is>
          <t>shampoo</t>
        </is>
      </c>
      <c r="M1276" s="10" t="inlineStr">
        <is>
          <t>profesional</t>
        </is>
      </c>
      <c r="N1276" s="10" t="inlineStr">
        <is>
          <t>seco_danado</t>
        </is>
      </c>
      <c r="O1276" s="10" t="inlineStr">
        <is>
          <t>https://www.disco.com.ar/shampoo-seco-pantene-pro-v-140-g/p</t>
        </is>
      </c>
    </row>
    <row r="1277">
      <c r="A1277" t="inlineStr">
        <is>
          <t>Disco</t>
        </is>
      </c>
      <c r="B1277" t="n">
        <v>117143</v>
      </c>
      <c r="C1277" t="n">
        <v>116182</v>
      </c>
      <c r="D1277" t="inlineStr">
        <is>
          <t>Shampoo Capilatis Cabello Seco X 400 Ml.</t>
        </is>
      </c>
      <c r="E1277" t="inlineStr">
        <is>
          <t>CAPILATIS</t>
        </is>
      </c>
      <c r="F1277" t="n">
        <v>31.65</v>
      </c>
      <c r="G1277" t="n">
        <v>2616</v>
      </c>
      <c r="H1277" t="b">
        <v>0</v>
      </c>
      <c r="I1277" t="n">
        <v>400</v>
      </c>
      <c r="J1277" t="n">
        <v>0.0791</v>
      </c>
      <c r="K1277" t="inlineStr">
        <is>
          <t>&gt; Perfumería &gt; Cuidado Capilar &gt; Shampoo &gt;</t>
        </is>
      </c>
      <c r="L1277" t="inlineStr">
        <is>
          <t>shampoo</t>
        </is>
      </c>
      <c r="M1277" t="inlineStr">
        <is>
          <t>estandar</t>
        </is>
      </c>
      <c r="N1277" t="inlineStr">
        <is>
          <t>seco_danado</t>
        </is>
      </c>
      <c r="O1277" t="inlineStr">
        <is>
          <t>https://www.disco.com.ar/shampoo-capilatis-cabello-seco-x-400-ml/p</t>
        </is>
      </c>
    </row>
    <row r="1278">
      <c r="A1278" s="10" t="inlineStr">
        <is>
          <t>Disco</t>
        </is>
      </c>
      <c r="B1278" s="10" t="n">
        <v>1359652</v>
      </c>
      <c r="C1278" s="10" t="n">
        <v>1359495</v>
      </c>
      <c r="D1278" s="10" t="inlineStr">
        <is>
          <t>Shampoo Hidratación Cabello Seco Coconut Milk 385 Ml Ogx</t>
        </is>
      </c>
      <c r="E1278" s="10" t="inlineStr">
        <is>
          <t>OGX</t>
        </is>
      </c>
      <c r="F1278" s="10" t="n">
        <v>29950</v>
      </c>
      <c r="G1278" s="10" t="n">
        <v>2475207</v>
      </c>
      <c r="H1278" s="10" t="b">
        <v>0</v>
      </c>
      <c r="I1278" s="10" t="n">
        <v>385</v>
      </c>
      <c r="J1278" s="10" t="n">
        <v>77.79219999999999</v>
      </c>
      <c r="K1278" s="10" t="inlineStr">
        <is>
          <t>&gt; Perfumería &gt; Cuidado Capilar &gt; Shampoo &gt;</t>
        </is>
      </c>
      <c r="L1278" s="10" t="inlineStr">
        <is>
          <t>shampoo</t>
        </is>
      </c>
      <c r="M1278" s="10" t="inlineStr">
        <is>
          <t>estandar</t>
        </is>
      </c>
      <c r="N1278" s="10" t="inlineStr">
        <is>
          <t>seco_danado</t>
        </is>
      </c>
      <c r="O1278" s="10" t="inlineStr">
        <is>
          <t>https://www.disco.com.ar/shampoo-ogx-coconut-milk-385-ml-2/p</t>
        </is>
      </c>
    </row>
    <row r="1279">
      <c r="A1279" t="inlineStr">
        <is>
          <t>Disco</t>
        </is>
      </c>
      <c r="B1279" t="n">
        <v>411486</v>
      </c>
      <c r="C1279" t="n">
        <v>407304</v>
      </c>
      <c r="D1279" t="inlineStr">
        <is>
          <t>Shampoo Ortiga Concentrado para Cabello Seco 420 Ml Capilatis</t>
        </is>
      </c>
      <c r="E1279" t="inlineStr">
        <is>
          <t>CAPILATIS</t>
        </is>
      </c>
      <c r="F1279" t="n">
        <v>10400</v>
      </c>
      <c r="G1279" t="n">
        <v>859504</v>
      </c>
      <c r="H1279" t="b">
        <v>0</v>
      </c>
      <c r="I1279" t="n">
        <v>420</v>
      </c>
      <c r="J1279" t="n">
        <v>24.7619</v>
      </c>
      <c r="K1279" t="inlineStr">
        <is>
          <t>&gt; Perfumería &gt; Cuidado Capilar &gt; Shampoo &gt;</t>
        </is>
      </c>
      <c r="L1279" t="inlineStr">
        <is>
          <t>shampoo</t>
        </is>
      </c>
      <c r="M1279" t="inlineStr">
        <is>
          <t>estandar</t>
        </is>
      </c>
      <c r="N1279" t="inlineStr">
        <is>
          <t>seco_danado</t>
        </is>
      </c>
      <c r="O1279" t="inlineStr">
        <is>
          <t>https://www.disco.com.ar/shampoo-ortiga-seco-concentrado-420-ml-capilatis/p</t>
        </is>
      </c>
    </row>
    <row r="1280">
      <c r="A1280" s="10" t="inlineStr">
        <is>
          <t>Disco</t>
        </is>
      </c>
      <c r="B1280" s="10" t="n">
        <v>3073296</v>
      </c>
      <c r="C1280" s="10" t="n">
        <v>3072801</v>
      </c>
      <c r="D1280" s="10" t="inlineStr">
        <is>
          <t>Shampoo Nutrición Profunda para Cabello Seco 350 Ml Bagovit</t>
        </is>
      </c>
      <c r="E1280" s="10" t="inlineStr">
        <is>
          <t>BAGOVIT</t>
        </is>
      </c>
      <c r="F1280" s="10" t="n">
        <v>9550</v>
      </c>
      <c r="G1280" s="10" t="n">
        <v>789256</v>
      </c>
      <c r="H1280" s="10" t="b">
        <v>0</v>
      </c>
      <c r="I1280" s="10" t="n">
        <v>350</v>
      </c>
      <c r="J1280" s="10" t="n">
        <v>27.2857</v>
      </c>
      <c r="K1280" s="10" t="inlineStr">
        <is>
          <t>&gt; Perfumería &gt; Cuidado Capilar &gt; Shampoo &gt;</t>
        </is>
      </c>
      <c r="L1280" s="10" t="inlineStr">
        <is>
          <t>shampoo</t>
        </is>
      </c>
      <c r="M1280" s="10" t="inlineStr">
        <is>
          <t>estandar</t>
        </is>
      </c>
      <c r="N1280" s="10" t="inlineStr">
        <is>
          <t>seco_danado</t>
        </is>
      </c>
      <c r="O1280" s="10" t="inlineStr">
        <is>
          <t>https://www.disco.com.ar/shampoo-nutricion-profunda-x-350-ml-bagovit/p</t>
        </is>
      </c>
    </row>
    <row r="1281">
      <c r="A1281" t="inlineStr">
        <is>
          <t>Disco</t>
        </is>
      </c>
      <c r="B1281" t="n">
        <v>394213</v>
      </c>
      <c r="C1281" t="n">
        <v>392219</v>
      </c>
      <c r="D1281" t="inlineStr">
        <is>
          <t>Shampoo Óleo Nutrición para Cabello Seco 200 Ml Dove</t>
        </is>
      </c>
      <c r="E1281" t="inlineStr">
        <is>
          <t>DOVE</t>
        </is>
      </c>
      <c r="F1281" t="n">
        <v>5200</v>
      </c>
      <c r="G1281" t="n">
        <v>429752</v>
      </c>
      <c r="H1281" t="b">
        <v>0</v>
      </c>
      <c r="I1281" t="n">
        <v>200</v>
      </c>
      <c r="J1281" t="n">
        <v>26</v>
      </c>
      <c r="K1281" t="inlineStr">
        <is>
          <t>&gt; Perfumería &gt; Cuidado Capilar &gt; Shampoo &gt;</t>
        </is>
      </c>
      <c r="L1281" t="inlineStr">
        <is>
          <t>shampoo</t>
        </is>
      </c>
      <c r="M1281" t="inlineStr">
        <is>
          <t>estandar</t>
        </is>
      </c>
      <c r="N1281" t="inlineStr">
        <is>
          <t>seco_danado</t>
        </is>
      </c>
      <c r="O1281" t="inlineStr">
        <is>
          <t>https://www.disco.com.ar/shampoo-dove-oleo-nutricion-200-ml/p</t>
        </is>
      </c>
    </row>
    <row r="1282">
      <c r="A1282" s="10" t="inlineStr">
        <is>
          <t>Disco</t>
        </is>
      </c>
      <c r="B1282" s="10" t="n">
        <v>86114</v>
      </c>
      <c r="C1282" s="10" t="n">
        <v>83439</v>
      </c>
      <c r="D1282" s="10" t="inlineStr">
        <is>
          <t>Shampoo Capilatis Simple Y Puro Cabello Seco Y Dañado Pvc 300 Ml</t>
        </is>
      </c>
      <c r="E1282" s="10" t="inlineStr">
        <is>
          <t>CAPILATIS</t>
        </is>
      </c>
      <c r="F1282" s="10" t="n">
        <v>15</v>
      </c>
      <c r="G1282" s="10" t="n">
        <v>15</v>
      </c>
      <c r="H1282" s="10" t="b">
        <v>0</v>
      </c>
      <c r="I1282" s="10" t="n">
        <v>300</v>
      </c>
      <c r="J1282" s="10" t="n">
        <v>0.05</v>
      </c>
      <c r="K1282" s="10" t="inlineStr">
        <is>
          <t>&gt; Perfumería &gt; Cuidado Capilar &gt; Shampoo &gt;</t>
        </is>
      </c>
      <c r="L1282" s="10" t="inlineStr">
        <is>
          <t>shampoo</t>
        </is>
      </c>
      <c r="M1282" s="10" t="inlineStr">
        <is>
          <t>estandar</t>
        </is>
      </c>
      <c r="N1282" s="10" t="inlineStr">
        <is>
          <t>seco_danado</t>
        </is>
      </c>
      <c r="O1282" s="10" t="inlineStr">
        <is>
          <t>https://www.disco.com.ar/shampoo-capilatis-simple-y-puro-cabello-seco-y-danado-pvc-300-ml/p</t>
        </is>
      </c>
    </row>
    <row r="1283">
      <c r="A1283" t="inlineStr">
        <is>
          <t>Disco</t>
        </is>
      </c>
      <c r="B1283" t="n">
        <v>4703</v>
      </c>
      <c r="C1283" t="n">
        <v>2328</v>
      </c>
      <c r="D1283" t="inlineStr">
        <is>
          <t>Shampoo Capilatis Cabellos Secos 410 Ml</t>
        </is>
      </c>
      <c r="E1283" t="inlineStr">
        <is>
          <t>CAPILATIS</t>
        </is>
      </c>
      <c r="F1283" t="n">
        <v>1096.49</v>
      </c>
      <c r="G1283" t="n">
        <v>90619</v>
      </c>
      <c r="H1283" t="b">
        <v>0</v>
      </c>
      <c r="I1283" t="n">
        <v>410</v>
      </c>
      <c r="J1283" t="n">
        <v>2.6744</v>
      </c>
      <c r="K1283" t="inlineStr">
        <is>
          <t>&gt; Perfumería &gt; Cuidado Capilar &gt; Shampoo &gt;</t>
        </is>
      </c>
      <c r="L1283" t="inlineStr">
        <is>
          <t>shampoo</t>
        </is>
      </c>
      <c r="M1283" t="inlineStr">
        <is>
          <t>estandar</t>
        </is>
      </c>
      <c r="N1283" t="inlineStr">
        <is>
          <t>seco_danado</t>
        </is>
      </c>
      <c r="O1283" t="inlineStr">
        <is>
          <t>https://www.disco.com.ar/shampoo-capilatis-cabellos-secos-410-ml/p</t>
        </is>
      </c>
    </row>
    <row r="1284">
      <c r="A1284" s="10" t="inlineStr">
        <is>
          <t>Disco</t>
        </is>
      </c>
      <c r="B1284" s="10" t="n">
        <v>35702</v>
      </c>
      <c r="C1284" s="10" t="n">
        <v>32860</v>
      </c>
      <c r="D1284" s="10" t="inlineStr">
        <is>
          <t>Shampoo Capilatis Cabellos Secos 420 M L</t>
        </is>
      </c>
      <c r="E1284" s="10" t="inlineStr">
        <is>
          <t>CAPILATIS</t>
        </is>
      </c>
      <c r="F1284" s="10" t="n">
        <v>381.67</v>
      </c>
      <c r="G1284" s="10" t="n">
        <v>31543</v>
      </c>
      <c r="H1284" s="10" t="b">
        <v>0</v>
      </c>
      <c r="I1284" s="10" t="inlineStr"/>
      <c r="J1284" s="10" t="inlineStr"/>
      <c r="K1284" s="10" t="inlineStr">
        <is>
          <t>&gt; Perfumería &gt; Cuidado Capilar &gt; Shampoo &gt;</t>
        </is>
      </c>
      <c r="L1284" s="10" t="inlineStr">
        <is>
          <t>shampoo</t>
        </is>
      </c>
      <c r="M1284" s="10" t="inlineStr">
        <is>
          <t>estandar</t>
        </is>
      </c>
      <c r="N1284" s="10" t="inlineStr">
        <is>
          <t>seco_danado</t>
        </is>
      </c>
      <c r="O1284" s="10" t="inlineStr">
        <is>
          <t>https://www.disco.com.ar/shampoo-capilatis-20/p</t>
        </is>
      </c>
    </row>
    <row r="1285">
      <c r="A1285" t="inlineStr">
        <is>
          <t>Disco</t>
        </is>
      </c>
      <c r="B1285" t="n">
        <v>238893</v>
      </c>
      <c r="C1285" t="n">
        <v>202484</v>
      </c>
      <c r="D1285" t="inlineStr">
        <is>
          <t>Jabon De Tocador Dove X 2 Un. 100 Gr C/u + Shampoo Dove Cabellos Secos X 30 Ml</t>
        </is>
      </c>
      <c r="E1285" t="inlineStr">
        <is>
          <t>DOVE</t>
        </is>
      </c>
      <c r="F1285" t="n">
        <v>3.49</v>
      </c>
      <c r="G1285" t="n">
        <v>3.49</v>
      </c>
      <c r="H1285" t="b">
        <v>0</v>
      </c>
      <c r="I1285" t="n">
        <v>100</v>
      </c>
      <c r="J1285" t="n">
        <v>0.0349</v>
      </c>
      <c r="K1285" t="inlineStr">
        <is>
          <t>&gt; Perfumería &gt; Cuidado Personal &gt; Jabones &gt;</t>
        </is>
      </c>
      <c r="L1285" t="inlineStr">
        <is>
          <t>shampoo</t>
        </is>
      </c>
      <c r="M1285" t="inlineStr">
        <is>
          <t>estandar</t>
        </is>
      </c>
      <c r="N1285" t="inlineStr">
        <is>
          <t>seco_danado</t>
        </is>
      </c>
      <c r="O1285" t="inlineStr">
        <is>
          <t>https://www.disco.com.ar/jabon-de-tocador-dove-x-2-un-100-gr-c-u-shampoo-dove-cabellos-secos-x-30-ml-209612/p</t>
        </is>
      </c>
    </row>
    <row r="1286">
      <c r="A1286" s="10" t="inlineStr">
        <is>
          <t>Disco</t>
        </is>
      </c>
      <c r="B1286" s="10" t="n">
        <v>300012</v>
      </c>
      <c r="C1286" s="10" t="n">
        <v>299229</v>
      </c>
      <c r="D1286" s="10" t="inlineStr">
        <is>
          <t>Shampoo Tio Nacho Nutricion Verano Pelo Reseco</t>
        </is>
      </c>
      <c r="E1286" s="10" t="inlineStr">
        <is>
          <t>Tio Nacho</t>
        </is>
      </c>
      <c r="F1286" s="10" t="n">
        <v>287.87</v>
      </c>
      <c r="G1286" s="10" t="n">
        <v>23791</v>
      </c>
      <c r="H1286" s="10" t="b">
        <v>0</v>
      </c>
      <c r="I1286" s="10" t="inlineStr"/>
      <c r="J1286" s="10" t="inlineStr"/>
      <c r="K1286" s="10" t="inlineStr">
        <is>
          <t>&gt; Perfumería &gt; Cuidado Capilar &gt; Shampoo &gt;</t>
        </is>
      </c>
      <c r="L1286" s="10" t="inlineStr">
        <is>
          <t>shampoo</t>
        </is>
      </c>
      <c r="M1286" s="10" t="inlineStr">
        <is>
          <t>estandar</t>
        </is>
      </c>
      <c r="N1286" s="10" t="inlineStr">
        <is>
          <t>seco_danado</t>
        </is>
      </c>
      <c r="O1286" s="10" t="inlineStr">
        <is>
          <t>https://www.disco.com.ar/shampoo-tio-nacho-nutricion-verano-pelo-reseco/p</t>
        </is>
      </c>
    </row>
    <row r="1287">
      <c r="A1287" t="inlineStr">
        <is>
          <t>Disco</t>
        </is>
      </c>
      <c r="B1287" t="n">
        <v>19653</v>
      </c>
      <c r="C1287" t="n">
        <v>16816</v>
      </c>
      <c r="D1287" t="inlineStr">
        <is>
          <t>Shampoo Sedal Restauración Instantánea 340 Ml</t>
        </is>
      </c>
      <c r="E1287" t="inlineStr">
        <is>
          <t>SEDAL</t>
        </is>
      </c>
      <c r="F1287" t="n">
        <v>166.63</v>
      </c>
      <c r="G1287" t="n">
        <v>13771</v>
      </c>
      <c r="H1287" t="b">
        <v>0</v>
      </c>
      <c r="I1287" t="n">
        <v>340</v>
      </c>
      <c r="J1287" t="n">
        <v>0.4901</v>
      </c>
      <c r="K1287" t="inlineStr">
        <is>
          <t>&gt; Perfumería &gt; Cuidado Capilar &gt; Shampoo &gt;</t>
        </is>
      </c>
      <c r="L1287" t="inlineStr">
        <is>
          <t>shampoo</t>
        </is>
      </c>
      <c r="M1287" t="inlineStr">
        <is>
          <t>estandar</t>
        </is>
      </c>
      <c r="N1287" t="inlineStr">
        <is>
          <t>general</t>
        </is>
      </c>
      <c r="O1287" t="inlineStr">
        <is>
          <t>https://www.disco.com.ar/shampoo-sedal-restauracion-instantanea-340-ml/p</t>
        </is>
      </c>
    </row>
    <row r="1288">
      <c r="A1288" s="10" t="inlineStr">
        <is>
          <t>Disco</t>
        </is>
      </c>
      <c r="B1288" s="10" t="n">
        <v>19516</v>
      </c>
      <c r="C1288" s="10" t="n">
        <v>16662</v>
      </c>
      <c r="D1288" s="10" t="inlineStr">
        <is>
          <t>Shampoo Tresemme Hidratación Profunda 200 Ml</t>
        </is>
      </c>
      <c r="E1288" s="10" t="inlineStr">
        <is>
          <t>TRESEMMÉ</t>
        </is>
      </c>
      <c r="F1288" s="10" t="n">
        <v>123.69</v>
      </c>
      <c r="G1288" s="10" t="n">
        <v>10222</v>
      </c>
      <c r="H1288" s="10" t="b">
        <v>0</v>
      </c>
      <c r="I1288" s="10" t="n">
        <v>200</v>
      </c>
      <c r="J1288" s="10" t="n">
        <v>0.6183999999999999</v>
      </c>
      <c r="K1288" s="10" t="inlineStr">
        <is>
          <t>&gt; Perfumería &gt; Cuidado Capilar &gt; Shampoo &gt;</t>
        </is>
      </c>
      <c r="L1288" s="10" t="inlineStr">
        <is>
          <t>shampoo</t>
        </is>
      </c>
      <c r="M1288" s="10" t="inlineStr">
        <is>
          <t>estandar</t>
        </is>
      </c>
      <c r="N1288" s="10" t="inlineStr">
        <is>
          <t>seco_danado</t>
        </is>
      </c>
      <c r="O1288" s="10" t="inlineStr">
        <is>
          <t>https://www.disco.com.ar/shampoo-tresemme-hidratacion-profunda-200-ml/p</t>
        </is>
      </c>
    </row>
    <row r="1289">
      <c r="A1289" t="inlineStr">
        <is>
          <t>Disco</t>
        </is>
      </c>
      <c r="B1289" t="n">
        <v>19512</v>
      </c>
      <c r="C1289" t="n">
        <v>16658</v>
      </c>
      <c r="D1289" t="inlineStr">
        <is>
          <t>Shampoo Tresemme Blind Platinum 200 Ml</t>
        </is>
      </c>
      <c r="E1289" t="inlineStr">
        <is>
          <t>TRESEMMÉ</t>
        </is>
      </c>
      <c r="F1289" t="n">
        <v>123.69</v>
      </c>
      <c r="G1289" t="n">
        <v>10222</v>
      </c>
      <c r="H1289" t="b">
        <v>0</v>
      </c>
      <c r="I1289" t="n">
        <v>200</v>
      </c>
      <c r="J1289" t="n">
        <v>0.6183999999999999</v>
      </c>
      <c r="K1289" t="inlineStr">
        <is>
          <t>&gt; Perfumería &gt; Cuidado Capilar &gt; Shampoo &gt;</t>
        </is>
      </c>
      <c r="L1289" t="inlineStr">
        <is>
          <t>shampoo</t>
        </is>
      </c>
      <c r="M1289" t="inlineStr">
        <is>
          <t>estandar</t>
        </is>
      </c>
      <c r="N1289" t="inlineStr">
        <is>
          <t>general</t>
        </is>
      </c>
      <c r="O1289" t="inlineStr">
        <is>
          <t>https://www.disco.com.ar/shampoo-tresemme-blind-platinum-200-ml/p</t>
        </is>
      </c>
    </row>
    <row r="1290">
      <c r="A1290" s="10" t="inlineStr">
        <is>
          <t>Disco</t>
        </is>
      </c>
      <c r="B1290" s="10" t="n">
        <v>47217</v>
      </c>
      <c r="C1290" s="10" t="n">
        <v>44382</v>
      </c>
      <c r="D1290" s="10" t="inlineStr">
        <is>
          <t>Shampoo Herbal Essences Daily Detox Hidratación 300 Ml</t>
        </is>
      </c>
      <c r="E1290" s="10" t="inlineStr">
        <is>
          <t>HERBAL ESSENCES</t>
        </is>
      </c>
      <c r="F1290" s="10" t="n">
        <v>157.69</v>
      </c>
      <c r="G1290" s="10" t="n">
        <v>13032</v>
      </c>
      <c r="H1290" s="10" t="b">
        <v>0</v>
      </c>
      <c r="I1290" s="10" t="n">
        <v>300</v>
      </c>
      <c r="J1290" s="10" t="n">
        <v>0.5256</v>
      </c>
      <c r="K1290" s="10" t="inlineStr">
        <is>
          <t>&gt; Perfumería &gt; Cuidado Capilar &gt; Shampoo &gt;</t>
        </is>
      </c>
      <c r="L1290" s="10" t="inlineStr">
        <is>
          <t>shampoo</t>
        </is>
      </c>
      <c r="M1290" s="10" t="inlineStr">
        <is>
          <t>estandar</t>
        </is>
      </c>
      <c r="N1290" s="10" t="inlineStr">
        <is>
          <t>seco_danado</t>
        </is>
      </c>
      <c r="O1290" s="10" t="inlineStr">
        <is>
          <t>https://www.disco.com.ar/shampoo-herbal-essences-daily-detox-hidratacion-300-ml/p</t>
        </is>
      </c>
    </row>
    <row r="1291">
      <c r="A1291" t="inlineStr">
        <is>
          <t>Disco</t>
        </is>
      </c>
      <c r="B1291" t="n">
        <v>46981</v>
      </c>
      <c r="C1291" t="n">
        <v>44145</v>
      </c>
      <c r="D1291" t="inlineStr">
        <is>
          <t>Shampoo Pantene Pro-v Hidratación 200 Ml</t>
        </is>
      </c>
      <c r="E1291" t="inlineStr">
        <is>
          <t>PANTENE</t>
        </is>
      </c>
      <c r="F1291" t="n">
        <v>173.39</v>
      </c>
      <c r="G1291" t="n">
        <v>14330</v>
      </c>
      <c r="H1291" t="b">
        <v>0</v>
      </c>
      <c r="I1291" t="n">
        <v>200</v>
      </c>
      <c r="J1291" t="n">
        <v>0.8669</v>
      </c>
      <c r="K1291" t="inlineStr">
        <is>
          <t>&gt; Perfumería &gt; Cuidado Capilar &gt; Shampoo &gt;</t>
        </is>
      </c>
      <c r="L1291" t="inlineStr">
        <is>
          <t>shampoo</t>
        </is>
      </c>
      <c r="M1291" t="inlineStr">
        <is>
          <t>profesional</t>
        </is>
      </c>
      <c r="N1291" t="inlineStr">
        <is>
          <t>seco_danado</t>
        </is>
      </c>
      <c r="O1291" t="inlineStr">
        <is>
          <t>https://www.disco.com.ar/shampoo-pantene-pro-v-hidratacion-200-ml-2/p</t>
        </is>
      </c>
    </row>
    <row r="1292">
      <c r="A1292" s="10" t="inlineStr">
        <is>
          <t>Disco</t>
        </is>
      </c>
      <c r="B1292" s="10" t="n">
        <v>47010</v>
      </c>
      <c r="C1292" s="10" t="n">
        <v>44174</v>
      </c>
      <c r="D1292" s="10" t="inlineStr">
        <is>
          <t>Shampoo Pantene Pro-v Hidratación 400 Ml</t>
        </is>
      </c>
      <c r="E1292" s="10" t="inlineStr">
        <is>
          <t>PANTENE</t>
        </is>
      </c>
      <c r="F1292" s="10" t="n">
        <v>189.89</v>
      </c>
      <c r="G1292" s="10" t="n">
        <v>15693</v>
      </c>
      <c r="H1292" s="10" t="b">
        <v>0</v>
      </c>
      <c r="I1292" s="10" t="n">
        <v>400</v>
      </c>
      <c r="J1292" s="10" t="n">
        <v>0.4747</v>
      </c>
      <c r="K1292" s="10" t="inlineStr">
        <is>
          <t>&gt; Perfumería &gt; Cuidado Capilar &gt; Shampoo &gt;</t>
        </is>
      </c>
      <c r="L1292" s="10" t="inlineStr">
        <is>
          <t>shampoo</t>
        </is>
      </c>
      <c r="M1292" s="10" t="inlineStr">
        <is>
          <t>profesional</t>
        </is>
      </c>
      <c r="N1292" s="10" t="inlineStr">
        <is>
          <t>seco_danado</t>
        </is>
      </c>
      <c r="O1292" s="10" t="inlineStr">
        <is>
          <t>https://www.disco.com.ar/shampoo-pantene-pro-v-hidratacion-400-ml/p</t>
        </is>
      </c>
    </row>
    <row r="1293">
      <c r="A1293" t="inlineStr">
        <is>
          <t>Disco</t>
        </is>
      </c>
      <c r="B1293" t="n">
        <v>271687</v>
      </c>
      <c r="C1293" t="n">
        <v>271166</v>
      </c>
      <c r="D1293" t="inlineStr">
        <is>
          <t>Shampoo Sedal Crema Balance 300ml</t>
        </is>
      </c>
      <c r="E1293" t="inlineStr">
        <is>
          <t>SEDAL</t>
        </is>
      </c>
      <c r="F1293" t="n">
        <v>196.89</v>
      </c>
      <c r="G1293" t="n">
        <v>16272</v>
      </c>
      <c r="H1293" t="b">
        <v>0</v>
      </c>
      <c r="I1293" t="n">
        <v>300</v>
      </c>
      <c r="J1293" t="n">
        <v>0.6563</v>
      </c>
      <c r="K1293" t="inlineStr">
        <is>
          <t>&gt; Perfumería &gt; Cuidado Capilar &gt; Shampoo &gt;</t>
        </is>
      </c>
      <c r="L1293" t="inlineStr">
        <is>
          <t>shampoo</t>
        </is>
      </c>
      <c r="M1293" t="inlineStr">
        <is>
          <t>estandar</t>
        </is>
      </c>
      <c r="N1293" t="inlineStr">
        <is>
          <t>general</t>
        </is>
      </c>
      <c r="O1293" t="inlineStr">
        <is>
          <t>https://www.disco.com.ar/shampoo-sedal-crema-balance-300ml/p</t>
        </is>
      </c>
    </row>
    <row r="1294">
      <c r="A1294" s="10" t="inlineStr">
        <is>
          <t>Disco</t>
        </is>
      </c>
      <c r="B1294" s="10" t="n">
        <v>295009</v>
      </c>
      <c r="C1294" s="10" t="n">
        <v>294240</v>
      </c>
      <c r="D1294" s="10" t="inlineStr">
        <is>
          <t>Shampoo Sedal Bomba Coco 190 Ml</t>
        </is>
      </c>
      <c r="E1294" s="10" t="inlineStr">
        <is>
          <t>SEDAL</t>
        </is>
      </c>
      <c r="F1294" s="10" t="n">
        <v>166.17</v>
      </c>
      <c r="G1294" s="10" t="n">
        <v>13733</v>
      </c>
      <c r="H1294" s="10" t="b">
        <v>0</v>
      </c>
      <c r="I1294" s="10" t="n">
        <v>190</v>
      </c>
      <c r="J1294" s="10" t="n">
        <v>0.8746</v>
      </c>
      <c r="K1294" s="10" t="inlineStr">
        <is>
          <t>&gt; Perfumería &gt; Cuidado Capilar &gt; Shampoo &gt;</t>
        </is>
      </c>
      <c r="L1294" s="10" t="inlineStr">
        <is>
          <t>shampoo</t>
        </is>
      </c>
      <c r="M1294" s="10" t="inlineStr">
        <is>
          <t>estandar</t>
        </is>
      </c>
      <c r="N1294" s="10" t="inlineStr">
        <is>
          <t>general</t>
        </is>
      </c>
      <c r="O1294" s="10" t="inlineStr">
        <is>
          <t>https://www.disco.com.ar/shampoo-sedal-bomba-coco-190-ml/p</t>
        </is>
      </c>
    </row>
    <row r="1295">
      <c r="A1295" t="inlineStr">
        <is>
          <t>Disco</t>
        </is>
      </c>
      <c r="B1295" t="n">
        <v>295000</v>
      </c>
      <c r="C1295" t="n">
        <v>294231</v>
      </c>
      <c r="D1295" t="inlineStr">
        <is>
          <t>Shampoo Sedal Bomba Coco 650 Ml</t>
        </is>
      </c>
      <c r="E1295" t="inlineStr">
        <is>
          <t>SEDAL</t>
        </is>
      </c>
      <c r="F1295" t="n">
        <v>246.25</v>
      </c>
      <c r="G1295" t="n">
        <v>20351</v>
      </c>
      <c r="H1295" t="b">
        <v>0</v>
      </c>
      <c r="I1295" t="n">
        <v>650</v>
      </c>
      <c r="J1295" t="n">
        <v>0.3788</v>
      </c>
      <c r="K1295" t="inlineStr">
        <is>
          <t>&gt; Perfumería &gt; Cuidado Capilar &gt; Shampoo &gt;</t>
        </is>
      </c>
      <c r="L1295" t="inlineStr">
        <is>
          <t>shampoo</t>
        </is>
      </c>
      <c r="M1295" t="inlineStr">
        <is>
          <t>estandar</t>
        </is>
      </c>
      <c r="N1295" t="inlineStr">
        <is>
          <t>general</t>
        </is>
      </c>
      <c r="O1295" t="inlineStr">
        <is>
          <t>https://www.disco.com.ar/shampoo-sedal-bomba-coco-650-ml/p</t>
        </is>
      </c>
    </row>
    <row r="1296">
      <c r="A1296" s="10" t="inlineStr">
        <is>
          <t>Disco</t>
        </is>
      </c>
      <c r="B1296" s="10" t="n">
        <v>238863</v>
      </c>
      <c r="C1296" s="10" t="n">
        <v>202530</v>
      </c>
      <c r="D1296" s="10" t="inlineStr">
        <is>
          <t>Shampoo Vo5 Fressia Cabellos Secos Pvc 444 Ml</t>
        </is>
      </c>
      <c r="E1296" s="10" t="inlineStr">
        <is>
          <t>ALBERTO VO5</t>
        </is>
      </c>
      <c r="F1296" s="10" t="n">
        <v>4</v>
      </c>
      <c r="G1296" s="10" t="n">
        <v>4</v>
      </c>
      <c r="H1296" s="10" t="b">
        <v>0</v>
      </c>
      <c r="I1296" s="10" t="n">
        <v>444</v>
      </c>
      <c r="J1296" s="10" t="n">
        <v>0.008999999999999999</v>
      </c>
      <c r="K1296" s="10" t="inlineStr">
        <is>
          <t>&gt; Perfumería &gt; Cuidado Capilar &gt; Shampoo &gt;</t>
        </is>
      </c>
      <c r="L1296" s="10" t="inlineStr">
        <is>
          <t>shampoo</t>
        </is>
      </c>
      <c r="M1296" s="10" t="inlineStr">
        <is>
          <t>estandar</t>
        </is>
      </c>
      <c r="N1296" s="10" t="inlineStr">
        <is>
          <t>seco_danado</t>
        </is>
      </c>
      <c r="O1296" s="10" t="inlineStr">
        <is>
          <t>https://www.disco.com.ar/shampoo-vo5-fressia-cabellos-secos-pvc-444-ml-208705/p</t>
        </is>
      </c>
    </row>
    <row r="1297">
      <c r="A1297" t="inlineStr">
        <is>
          <t>Disco</t>
        </is>
      </c>
      <c r="B1297" t="n">
        <v>7416</v>
      </c>
      <c r="C1297" t="n">
        <v>4744</v>
      </c>
      <c r="D1297" t="inlineStr">
        <is>
          <t>Shampoo Pantene Pro-v Cuidado Clásico 200 Ml</t>
        </is>
      </c>
      <c r="E1297" t="inlineStr">
        <is>
          <t>PANTENE</t>
        </is>
      </c>
      <c r="F1297" t="n">
        <v>173.39</v>
      </c>
      <c r="G1297" t="n">
        <v>14330</v>
      </c>
      <c r="H1297" t="b">
        <v>0</v>
      </c>
      <c r="I1297" t="n">
        <v>200</v>
      </c>
      <c r="J1297" t="n">
        <v>0.8669</v>
      </c>
      <c r="K1297" t="inlineStr">
        <is>
          <t>&gt; Perfumería &gt; Cuidado Capilar &gt; Shampoo &gt;</t>
        </is>
      </c>
      <c r="L1297" t="inlineStr">
        <is>
          <t>shampoo</t>
        </is>
      </c>
      <c r="M1297" t="inlineStr">
        <is>
          <t>profesional</t>
        </is>
      </c>
      <c r="N1297" t="inlineStr">
        <is>
          <t>general</t>
        </is>
      </c>
      <c r="O1297" t="inlineStr">
        <is>
          <t>https://www.disco.com.ar/shampoo-pantene-pro-v-cuidado-clasico-200-ml/p</t>
        </is>
      </c>
    </row>
    <row r="1298">
      <c r="A1298" s="10" t="inlineStr">
        <is>
          <t>Disco</t>
        </is>
      </c>
      <c r="B1298" s="10" t="n">
        <v>19546</v>
      </c>
      <c r="C1298" s="10" t="n">
        <v>16703</v>
      </c>
      <c r="D1298" s="10" t="inlineStr">
        <is>
          <t>Shampoo Sedal Crema Balance 190 Ml</t>
        </is>
      </c>
      <c r="E1298" s="10" t="inlineStr">
        <is>
          <t>SEDAL</t>
        </is>
      </c>
      <c r="F1298" s="10" t="n">
        <v>166.17</v>
      </c>
      <c r="G1298" s="10" t="n">
        <v>13733</v>
      </c>
      <c r="H1298" s="10" t="b">
        <v>0</v>
      </c>
      <c r="I1298" s="10" t="n">
        <v>190</v>
      </c>
      <c r="J1298" s="10" t="n">
        <v>0.8746</v>
      </c>
      <c r="K1298" s="10" t="inlineStr">
        <is>
          <t>&gt; Perfumería &gt; Cuidado Capilar &gt; Shampoo &gt;</t>
        </is>
      </c>
      <c r="L1298" s="10" t="inlineStr">
        <is>
          <t>shampoo</t>
        </is>
      </c>
      <c r="M1298" s="10" t="inlineStr">
        <is>
          <t>estandar</t>
        </is>
      </c>
      <c r="N1298" s="10" t="inlineStr">
        <is>
          <t>general</t>
        </is>
      </c>
      <c r="O1298" s="10" t="inlineStr">
        <is>
          <t>https://www.disco.com.ar/shampoo-sedal-crema-balance-190-ml/p</t>
        </is>
      </c>
    </row>
    <row r="1299">
      <c r="A1299" t="inlineStr">
        <is>
          <t>Disco</t>
        </is>
      </c>
      <c r="B1299" t="n">
        <v>248619</v>
      </c>
      <c r="C1299" t="n">
        <v>245601</v>
      </c>
      <c r="D1299" t="inlineStr">
        <is>
          <t>Shampoo Sedal Bomba Argán 190 Ml</t>
        </is>
      </c>
      <c r="E1299" t="inlineStr">
        <is>
          <t>SEDAL</t>
        </is>
      </c>
      <c r="F1299" t="n">
        <v>166.17</v>
      </c>
      <c r="G1299" t="n">
        <v>13733</v>
      </c>
      <c r="H1299" t="b">
        <v>0</v>
      </c>
      <c r="I1299" t="n">
        <v>190</v>
      </c>
      <c r="J1299" t="n">
        <v>0.8746</v>
      </c>
      <c r="K1299" t="inlineStr">
        <is>
          <t>&gt; Perfumería &gt; Cuidado Capilar &gt; Shampoo &gt;</t>
        </is>
      </c>
      <c r="L1299" t="inlineStr">
        <is>
          <t>shampoo</t>
        </is>
      </c>
      <c r="M1299" t="inlineStr">
        <is>
          <t>estandar</t>
        </is>
      </c>
      <c r="N1299" t="inlineStr">
        <is>
          <t>general</t>
        </is>
      </c>
      <c r="O1299" t="inlineStr">
        <is>
          <t>https://www.disco.com.ar/shampoo-sedal-bomba-argan-190-ml-2/p</t>
        </is>
      </c>
    </row>
    <row r="1300">
      <c r="A1300" s="10" t="inlineStr">
        <is>
          <t>Disco</t>
        </is>
      </c>
      <c r="B1300" s="10" t="n">
        <v>99139</v>
      </c>
      <c r="C1300" s="10" t="n">
        <v>96449</v>
      </c>
      <c r="D1300" s="10" t="inlineStr">
        <is>
          <t>Shampoo Suave Fruvit Energy Cabellos Secos Pet 350 Ml</t>
        </is>
      </c>
      <c r="E1300" s="10" t="inlineStr">
        <is>
          <t>SUAVE</t>
        </is>
      </c>
      <c r="F1300" s="10" t="n">
        <v>3.25</v>
      </c>
      <c r="G1300" s="10" t="n">
        <v>3.25</v>
      </c>
      <c r="H1300" s="10" t="b">
        <v>0</v>
      </c>
      <c r="I1300" s="10" t="n">
        <v>350</v>
      </c>
      <c r="J1300" s="10" t="n">
        <v>0.009299999999999999</v>
      </c>
      <c r="K1300" s="10" t="inlineStr">
        <is>
          <t>&gt; Perfumería &gt; Cuidado Capilar &gt; Shampoo &gt;</t>
        </is>
      </c>
      <c r="L1300" s="10" t="inlineStr">
        <is>
          <t>shampoo</t>
        </is>
      </c>
      <c r="M1300" s="10" t="inlineStr">
        <is>
          <t>estandar</t>
        </is>
      </c>
      <c r="N1300" s="10" t="inlineStr">
        <is>
          <t>seco_danado</t>
        </is>
      </c>
      <c r="O1300" s="10" t="inlineStr">
        <is>
          <t>https://www.disco.com.ar/shampoo-suave-fruvit-energy-cabellos-secos-pet-350-ml/p</t>
        </is>
      </c>
    </row>
    <row r="1301">
      <c r="A1301" t="inlineStr">
        <is>
          <t>Disco</t>
        </is>
      </c>
      <c r="B1301" t="n">
        <v>119598</v>
      </c>
      <c r="C1301" t="n">
        <v>118626</v>
      </c>
      <c r="D1301" t="inlineStr">
        <is>
          <t>Shampoo Dove Reconstrucción Completa 750 Ml</t>
        </is>
      </c>
      <c r="E1301" t="inlineStr">
        <is>
          <t>DOVE</t>
        </is>
      </c>
      <c r="F1301" t="n">
        <v>465.07</v>
      </c>
      <c r="G1301" t="n">
        <v>38436</v>
      </c>
      <c r="H1301" t="b">
        <v>0</v>
      </c>
      <c r="I1301" t="n">
        <v>750</v>
      </c>
      <c r="J1301" t="n">
        <v>0.6201</v>
      </c>
      <c r="K1301" t="inlineStr">
        <is>
          <t>&gt; Perfumería &gt; Cuidado Capilar &gt; Shampoo &gt;</t>
        </is>
      </c>
      <c r="L1301" t="inlineStr">
        <is>
          <t>shampoo</t>
        </is>
      </c>
      <c r="M1301" t="inlineStr">
        <is>
          <t>estandar</t>
        </is>
      </c>
      <c r="N1301" t="inlineStr">
        <is>
          <t>general</t>
        </is>
      </c>
      <c r="O1301" t="inlineStr">
        <is>
          <t>https://www.disco.com.ar/shampoo-dove-reconstruccion-completa-750-ml/p</t>
        </is>
      </c>
    </row>
    <row r="1302">
      <c r="A1302" s="10" t="inlineStr">
        <is>
          <t>Disco</t>
        </is>
      </c>
      <c r="B1302" s="10" t="n">
        <v>59504</v>
      </c>
      <c r="C1302" s="10" t="n">
        <v>56654</v>
      </c>
      <c r="D1302" s="10" t="inlineStr">
        <is>
          <t>Shampoo Dove Reconstrucción Completa 400 Ml</t>
        </is>
      </c>
      <c r="E1302" s="10" t="inlineStr">
        <is>
          <t>DOVE</t>
        </is>
      </c>
      <c r="F1302" s="10" t="n">
        <v>244.89</v>
      </c>
      <c r="G1302" s="10" t="n">
        <v>20239</v>
      </c>
      <c r="H1302" s="10" t="b">
        <v>0</v>
      </c>
      <c r="I1302" s="10" t="n">
        <v>400</v>
      </c>
      <c r="J1302" s="10" t="n">
        <v>0.6122</v>
      </c>
      <c r="K1302" s="10" t="inlineStr">
        <is>
          <t>&gt; Perfumería &gt; Cuidado Capilar &gt; Shampoo &gt;</t>
        </is>
      </c>
      <c r="L1302" s="10" t="inlineStr">
        <is>
          <t>shampoo</t>
        </is>
      </c>
      <c r="M1302" s="10" t="inlineStr">
        <is>
          <t>estandar</t>
        </is>
      </c>
      <c r="N1302" s="10" t="inlineStr">
        <is>
          <t>general</t>
        </is>
      </c>
      <c r="O1302" s="10" t="inlineStr">
        <is>
          <t>https://www.disco.com.ar/shampoo-dove-reconstruccion-completa-400-ml/p</t>
        </is>
      </c>
    </row>
    <row r="1303">
      <c r="A1303" t="inlineStr">
        <is>
          <t>Disco</t>
        </is>
      </c>
      <c r="B1303" t="n">
        <v>263641</v>
      </c>
      <c r="C1303" t="n">
        <v>263361</v>
      </c>
      <c r="D1303" t="inlineStr">
        <is>
          <t>Shampoo Dove Hidratación Intensa 200 Ml</t>
        </is>
      </c>
      <c r="E1303" t="inlineStr">
        <is>
          <t>DOVE</t>
        </is>
      </c>
      <c r="F1303" t="n">
        <v>192.79</v>
      </c>
      <c r="G1303" t="n">
        <v>15933</v>
      </c>
      <c r="H1303" t="b">
        <v>0</v>
      </c>
      <c r="I1303" t="n">
        <v>200</v>
      </c>
      <c r="J1303" t="n">
        <v>0.9639</v>
      </c>
      <c r="K1303" t="inlineStr">
        <is>
          <t>&gt; Perfumería &gt; Cuidado Capilar &gt; Shampoo &gt;</t>
        </is>
      </c>
      <c r="L1303" t="inlineStr">
        <is>
          <t>shampoo</t>
        </is>
      </c>
      <c r="M1303" t="inlineStr">
        <is>
          <t>estandar</t>
        </is>
      </c>
      <c r="N1303" t="inlineStr">
        <is>
          <t>seco_danado</t>
        </is>
      </c>
      <c r="O1303" t="inlineStr">
        <is>
          <t>https://www.disco.com.ar/shampoo-dove-hidratacion-intensa-200-ml/p</t>
        </is>
      </c>
    </row>
    <row r="1304">
      <c r="A1304" s="10" t="inlineStr">
        <is>
          <t>Disco</t>
        </is>
      </c>
      <c r="B1304" s="10" t="n">
        <v>45472</v>
      </c>
      <c r="C1304" s="10" t="n">
        <v>42647</v>
      </c>
      <c r="D1304" s="10" t="inlineStr">
        <is>
          <t>Shampoo Pantene Pro-v Summer Edition 400 Ml</t>
        </is>
      </c>
      <c r="E1304" s="10" t="inlineStr">
        <is>
          <t>PANTENE</t>
        </is>
      </c>
      <c r="F1304" s="10" t="n">
        <v>202.19</v>
      </c>
      <c r="G1304" s="10" t="n">
        <v>16710</v>
      </c>
      <c r="H1304" s="10" t="b">
        <v>0</v>
      </c>
      <c r="I1304" s="10" t="n">
        <v>400</v>
      </c>
      <c r="J1304" s="10" t="n">
        <v>0.5054999999999999</v>
      </c>
      <c r="K1304" s="10" t="inlineStr">
        <is>
          <t>&gt; Perfumería &gt; Cuidado Capilar &gt; Shampoo &gt;</t>
        </is>
      </c>
      <c r="L1304" s="10" t="inlineStr">
        <is>
          <t>shampoo</t>
        </is>
      </c>
      <c r="M1304" s="10" t="inlineStr">
        <is>
          <t>profesional</t>
        </is>
      </c>
      <c r="N1304" s="10" t="inlineStr">
        <is>
          <t>general</t>
        </is>
      </c>
      <c r="O1304" s="10" t="inlineStr">
        <is>
          <t>https://www.disco.com.ar/shampoo-pantene-pro-v-summer-edition-400-ml/p</t>
        </is>
      </c>
    </row>
    <row r="1305">
      <c r="A1305" t="inlineStr">
        <is>
          <t>Disco</t>
        </is>
      </c>
      <c r="B1305" t="n">
        <v>45460</v>
      </c>
      <c r="C1305" t="n">
        <v>42635</v>
      </c>
      <c r="D1305" t="inlineStr">
        <is>
          <t>Shampoo Pantene Pro-v Summer Edition 200 Ml</t>
        </is>
      </c>
      <c r="E1305" t="inlineStr">
        <is>
          <t>PANTENE</t>
        </is>
      </c>
      <c r="F1305" t="n">
        <v>104.45</v>
      </c>
      <c r="G1305" t="n">
        <v>8632</v>
      </c>
      <c r="H1305" t="b">
        <v>0</v>
      </c>
      <c r="I1305" t="n">
        <v>200</v>
      </c>
      <c r="J1305" t="n">
        <v>0.5222</v>
      </c>
      <c r="K1305" t="inlineStr">
        <is>
          <t>&gt; Perfumería &gt; Cuidado Capilar &gt; Shampoo &gt;</t>
        </is>
      </c>
      <c r="L1305" t="inlineStr">
        <is>
          <t>shampoo</t>
        </is>
      </c>
      <c r="M1305" t="inlineStr">
        <is>
          <t>profesional</t>
        </is>
      </c>
      <c r="N1305" t="inlineStr">
        <is>
          <t>general</t>
        </is>
      </c>
      <c r="O1305" t="inlineStr">
        <is>
          <t>https://www.disco.com.ar/shampoo-pantene-pro-v-summer-edition-200-ml/p</t>
        </is>
      </c>
    </row>
    <row r="1306">
      <c r="A1306" s="10" t="inlineStr">
        <is>
          <t>Disco</t>
        </is>
      </c>
      <c r="B1306" s="10" t="n">
        <v>19917</v>
      </c>
      <c r="C1306" s="10" t="n">
        <v>17088</v>
      </c>
      <c r="D1306" s="10" t="inlineStr">
        <is>
          <t>Shampoo Dove Ritual De Reparación Coco Y Cúrcuma 200 Ml</t>
        </is>
      </c>
      <c r="E1306" s="10" t="inlineStr">
        <is>
          <t>DOVE</t>
        </is>
      </c>
      <c r="F1306" s="10" t="n">
        <v>135.75</v>
      </c>
      <c r="G1306" s="10" t="n">
        <v>11219</v>
      </c>
      <c r="H1306" s="10" t="b">
        <v>0</v>
      </c>
      <c r="I1306" s="10" t="n">
        <v>200</v>
      </c>
      <c r="J1306" s="10" t="n">
        <v>0.6787</v>
      </c>
      <c r="K1306" s="10" t="inlineStr">
        <is>
          <t>&gt; Perfumería &gt; Cuidado Capilar &gt; Shampoo &gt;</t>
        </is>
      </c>
      <c r="L1306" s="10" t="inlineStr">
        <is>
          <t>shampoo</t>
        </is>
      </c>
      <c r="M1306" s="10" t="inlineStr">
        <is>
          <t>estandar</t>
        </is>
      </c>
      <c r="N1306" s="10" t="inlineStr">
        <is>
          <t>general</t>
        </is>
      </c>
      <c r="O1306" s="10" t="inlineStr">
        <is>
          <t>https://www.disco.com.ar/shampoo-dove-ritual-de-reparacion-coco-y-curcuma-200-ml/p</t>
        </is>
      </c>
    </row>
    <row r="1307">
      <c r="A1307" t="inlineStr">
        <is>
          <t>Disco</t>
        </is>
      </c>
      <c r="B1307" t="n">
        <v>276506</v>
      </c>
      <c r="C1307" t="n">
        <v>275792</v>
      </c>
      <c r="D1307" t="inlineStr">
        <is>
          <t>Shampoo Oleo Extraordinario X400ml Elvive Loreal Paris</t>
        </is>
      </c>
      <c r="E1307" t="inlineStr">
        <is>
          <t>ELVIVE</t>
        </is>
      </c>
      <c r="F1307" t="n">
        <v>644.0700000000001</v>
      </c>
      <c r="G1307" t="n">
        <v>53229</v>
      </c>
      <c r="H1307" t="b">
        <v>0</v>
      </c>
      <c r="I1307" t="n">
        <v>400</v>
      </c>
      <c r="J1307" t="n">
        <v>1.6102</v>
      </c>
      <c r="K1307" t="inlineStr">
        <is>
          <t>&gt; Perfumería &gt; Cuidado Capilar &gt; Shampoo &gt;</t>
        </is>
      </c>
      <c r="L1307" t="inlineStr">
        <is>
          <t>shampoo</t>
        </is>
      </c>
      <c r="M1307" t="inlineStr">
        <is>
          <t>profesional</t>
        </is>
      </c>
      <c r="N1307" t="inlineStr">
        <is>
          <t>general</t>
        </is>
      </c>
      <c r="O1307" t="inlineStr">
        <is>
          <t>https://www.disco.com.ar/shampoo-oleo-extraordinario-x400ml-elvive-loreal-paris/p</t>
        </is>
      </c>
    </row>
    <row r="1308">
      <c r="A1308" s="10" t="inlineStr">
        <is>
          <t>Disco</t>
        </is>
      </c>
      <c r="B1308" s="10" t="n">
        <v>7718</v>
      </c>
      <c r="C1308" s="10" t="n">
        <v>5043</v>
      </c>
      <c r="D1308" s="10" t="inlineStr">
        <is>
          <t>2en1 Pantene Pro-v Cuidado Clásico 400 Ml</t>
        </is>
      </c>
      <c r="E1308" s="10" t="inlineStr">
        <is>
          <t>PANTENE</t>
        </is>
      </c>
      <c r="F1308" s="10" t="n">
        <v>201.27</v>
      </c>
      <c r="G1308" s="10" t="n">
        <v>16634</v>
      </c>
      <c r="H1308" s="10" t="b">
        <v>0</v>
      </c>
      <c r="I1308" s="10" t="n">
        <v>400</v>
      </c>
      <c r="J1308" s="10" t="n">
        <v>0.5032</v>
      </c>
      <c r="K1308" s="10" t="inlineStr">
        <is>
          <t>&gt; Perfumería &gt; Cuidado Capilar &gt; Shampoo &gt;</t>
        </is>
      </c>
      <c r="L1308" s="10" t="inlineStr">
        <is>
          <t>shampoo</t>
        </is>
      </c>
      <c r="M1308" s="10" t="inlineStr">
        <is>
          <t>profesional</t>
        </is>
      </c>
      <c r="N1308" s="10" t="inlineStr">
        <is>
          <t>general</t>
        </is>
      </c>
      <c r="O1308" s="10" t="inlineStr">
        <is>
          <t>https://www.disco.com.ar/2en1-pantene-pro-v-cuidado-clasico-400-ml/p</t>
        </is>
      </c>
    </row>
    <row r="1309">
      <c r="A1309" t="inlineStr">
        <is>
          <t>Disco</t>
        </is>
      </c>
      <c r="B1309" t="n">
        <v>27902</v>
      </c>
      <c r="C1309" t="n">
        <v>25061</v>
      </c>
      <c r="D1309" t="inlineStr">
        <is>
          <t>Crema De Tratamiento Dove Reconstruccion Extrema Crema Tratamiento Dove Reconstrucción Extrema 3 U</t>
        </is>
      </c>
      <c r="E1309" t="inlineStr">
        <is>
          <t>DOVE</t>
        </is>
      </c>
      <c r="F1309" t="n">
        <v>103.83</v>
      </c>
      <c r="G1309" t="n">
        <v>8581</v>
      </c>
      <c r="H1309" t="b">
        <v>0</v>
      </c>
      <c r="I1309" t="inlineStr"/>
      <c r="J1309" t="inlineStr"/>
      <c r="K1309" t="inlineStr">
        <is>
          <t>&gt; Perfumería &gt; Cuidado Capilar &gt; Reparación y Tratamientos &gt;</t>
        </is>
      </c>
      <c r="L1309" t="inlineStr">
        <is>
          <t>tratamiento</t>
        </is>
      </c>
      <c r="M1309" t="inlineStr">
        <is>
          <t>estandar</t>
        </is>
      </c>
      <c r="N1309" t="inlineStr">
        <is>
          <t>general</t>
        </is>
      </c>
      <c r="O1309" t="inlineStr">
        <is>
          <t>https://www.disco.com.ar/crema-de-tratamiento-dove-reconstruccion-extrema/p</t>
        </is>
      </c>
    </row>
    <row r="1310">
      <c r="A1310" s="10" t="inlineStr">
        <is>
          <t>Disco</t>
        </is>
      </c>
      <c r="B1310" s="10" t="n">
        <v>31682</v>
      </c>
      <c r="C1310" s="10" t="n">
        <v>28841</v>
      </c>
      <c r="D1310" s="10" t="inlineStr">
        <is>
          <t>Acondicionador Sedal Ceramidas 650ml</t>
        </is>
      </c>
      <c r="E1310" s="10" t="inlineStr">
        <is>
          <t>SEDAL</t>
        </is>
      </c>
      <c r="F1310" s="10" t="n">
        <v>306.09</v>
      </c>
      <c r="G1310" s="10" t="n">
        <v>25297</v>
      </c>
      <c r="H1310" s="10" t="b">
        <v>0</v>
      </c>
      <c r="I1310" s="10" t="n">
        <v>650</v>
      </c>
      <c r="J1310" s="10" t="n">
        <v>0.4709</v>
      </c>
      <c r="K1310" s="10" t="inlineStr">
        <is>
          <t>&gt; Perfumería &gt; Cuidado Capilar &gt; Acondicionador &gt;</t>
        </is>
      </c>
      <c r="L1310" s="10" t="inlineStr">
        <is>
          <t>acondicionador</t>
        </is>
      </c>
      <c r="M1310" s="10" t="inlineStr">
        <is>
          <t>estandar</t>
        </is>
      </c>
      <c r="N1310" s="10" t="inlineStr">
        <is>
          <t>general</t>
        </is>
      </c>
      <c r="O1310" s="10" t="inlineStr">
        <is>
          <t>https://www.disco.com.ar/acondicionador-sedal-ceramidas-650ml/p</t>
        </is>
      </c>
    </row>
    <row r="1311">
      <c r="A1311" t="inlineStr">
        <is>
          <t>Disco</t>
        </is>
      </c>
      <c r="B1311" t="n">
        <v>19683</v>
      </c>
      <c r="C1311" t="n">
        <v>16848</v>
      </c>
      <c r="D1311" t="inlineStr">
        <is>
          <t>Crema Para Peinar Sedal Ceramidas Pote 300 Ml</t>
        </is>
      </c>
      <c r="E1311" t="inlineStr">
        <is>
          <t>SEDAL</t>
        </is>
      </c>
      <c r="F1311" t="n">
        <v>900</v>
      </c>
      <c r="G1311" t="n">
        <v>74380</v>
      </c>
      <c r="H1311" t="b">
        <v>0</v>
      </c>
      <c r="I1311" t="n">
        <v>300</v>
      </c>
      <c r="J1311" t="n">
        <v>3</v>
      </c>
      <c r="K1311" t="inlineStr">
        <is>
          <t>&gt; Perfumería &gt; Cuidado Capilar &gt; Reparación y Tratamientos &gt;</t>
        </is>
      </c>
      <c r="L1311" t="inlineStr">
        <is>
          <t>shampoo</t>
        </is>
      </c>
      <c r="M1311" t="inlineStr">
        <is>
          <t>estandar</t>
        </is>
      </c>
      <c r="N1311" t="inlineStr">
        <is>
          <t>general</t>
        </is>
      </c>
      <c r="O1311" t="inlineStr">
        <is>
          <t>https://www.disco.com.ar/crema-para-peinar-sedal-ceramidas-pote-300-ml/p</t>
        </is>
      </c>
    </row>
    <row r="1312">
      <c r="A1312" s="10" t="inlineStr">
        <is>
          <t>Disco</t>
        </is>
      </c>
      <c r="B1312" s="10" t="n">
        <v>204342</v>
      </c>
      <c r="C1312" s="10" t="n">
        <v>223973</v>
      </c>
      <c r="D1312" s="10" t="inlineStr">
        <is>
          <t>Set Capilar Vertiente X 2 Un Shampoo Crema Enjuague Kivi-limón Pck 2 Un.</t>
        </is>
      </c>
      <c r="E1312" s="10" t="inlineStr">
        <is>
          <t>VERTIENTE</t>
        </is>
      </c>
      <c r="F1312" s="10" t="n">
        <v>19.23</v>
      </c>
      <c r="G1312" s="10" t="n">
        <v>19.23</v>
      </c>
      <c r="H1312" s="10" t="b">
        <v>0</v>
      </c>
      <c r="I1312" s="10" t="inlineStr"/>
      <c r="J1312" s="10" t="inlineStr"/>
      <c r="K1312" s="10" t="inlineStr">
        <is>
          <t>&gt; Perfumería &gt; Cuidado Capilar &gt; Shampoo &gt;</t>
        </is>
      </c>
      <c r="L1312" s="10" t="inlineStr">
        <is>
          <t>acondicionador</t>
        </is>
      </c>
      <c r="M1312" s="10" t="inlineStr">
        <is>
          <t>estandar</t>
        </is>
      </c>
      <c r="N1312" s="10" t="inlineStr">
        <is>
          <t>general</t>
        </is>
      </c>
      <c r="O1312" s="10" t="inlineStr">
        <is>
          <t>https://www.disco.com.ar/set-capilar-vertiente-x-2-un-263371/p</t>
        </is>
      </c>
    </row>
    <row r="1313">
      <c r="A1313" t="inlineStr">
        <is>
          <t>Disco</t>
        </is>
      </c>
      <c r="B1313" t="n">
        <v>204403</v>
      </c>
      <c r="C1313" t="n">
        <v>224148</v>
      </c>
      <c r="D1313" t="inlineStr">
        <is>
          <t>Set Capilar Vertiente X 2 Un Shampoo Crema Enjuague Durazno-coco Pck 2 Un.</t>
        </is>
      </c>
      <c r="E1313" t="inlineStr">
        <is>
          <t>VERTIENTE</t>
        </is>
      </c>
      <c r="F1313" t="n">
        <v>19.23</v>
      </c>
      <c r="G1313" t="n">
        <v>19.23</v>
      </c>
      <c r="H1313" t="b">
        <v>0</v>
      </c>
      <c r="I1313" t="inlineStr"/>
      <c r="J1313" t="inlineStr"/>
      <c r="K1313" t="inlineStr">
        <is>
          <t>&gt; Perfumería &gt; Cuidado Capilar &gt; Shampoo &gt;</t>
        </is>
      </c>
      <c r="L1313" t="inlineStr">
        <is>
          <t>acondicionador</t>
        </is>
      </c>
      <c r="M1313" t="inlineStr">
        <is>
          <t>estandar</t>
        </is>
      </c>
      <c r="N1313" t="inlineStr">
        <is>
          <t>general</t>
        </is>
      </c>
      <c r="O1313" t="inlineStr">
        <is>
          <t>https://www.disco.com.ar/set-capilar-vertiente-x-2-un-2-263372/p</t>
        </is>
      </c>
    </row>
    <row r="1314">
      <c r="A1314" s="10" t="inlineStr">
        <is>
          <t>Disco</t>
        </is>
      </c>
      <c r="B1314" s="10" t="n">
        <v>111840</v>
      </c>
      <c r="C1314" s="10" t="n">
        <v>78661</v>
      </c>
      <c r="D1314" s="10" t="inlineStr">
        <is>
          <t>Acondicionador Elvive Caida Resist 200ml</t>
        </is>
      </c>
      <c r="E1314" s="10" t="inlineStr">
        <is>
          <t>ELVIVE</t>
        </is>
      </c>
      <c r="F1314" s="10" t="n">
        <v>266.59</v>
      </c>
      <c r="G1314" s="10" t="n">
        <v>22032</v>
      </c>
      <c r="H1314" s="10" t="b">
        <v>0</v>
      </c>
      <c r="I1314" s="10" t="n">
        <v>200</v>
      </c>
      <c r="J1314" s="10" t="n">
        <v>1.3329</v>
      </c>
      <c r="K1314" s="10" t="inlineStr">
        <is>
          <t>&gt; Perfumería &gt; Cuidado Capilar &gt; Acondicionador &gt;</t>
        </is>
      </c>
      <c r="L1314" s="10" t="inlineStr">
        <is>
          <t>acondicionador</t>
        </is>
      </c>
      <c r="M1314" s="10" t="inlineStr">
        <is>
          <t>profesional</t>
        </is>
      </c>
      <c r="N1314" s="10" t="inlineStr">
        <is>
          <t>general</t>
        </is>
      </c>
      <c r="O1314" s="10" t="inlineStr">
        <is>
          <t>https://www.disco.com.ar/acondicionador-elvive-caida-resist-200ml/p</t>
        </is>
      </c>
    </row>
    <row r="1315">
      <c r="A1315" t="inlineStr">
        <is>
          <t>Disco</t>
        </is>
      </c>
      <c r="B1315" t="n">
        <v>383074</v>
      </c>
      <c r="C1315" t="n">
        <v>381789</v>
      </c>
      <c r="D1315" t="inlineStr">
        <is>
          <t>Tratamiento Capilar Extra Reparación 150 Grs Issue</t>
        </is>
      </c>
      <c r="E1315" t="inlineStr">
        <is>
          <t>ISSUE</t>
        </is>
      </c>
      <c r="F1315" t="n">
        <v>6550</v>
      </c>
      <c r="G1315" t="n">
        <v>541322</v>
      </c>
      <c r="H1315" t="b">
        <v>1</v>
      </c>
      <c r="I1315" t="inlineStr"/>
      <c r="J1315" t="inlineStr"/>
      <c r="K1315" t="inlineStr">
        <is>
          <t>&gt; Perfumería &gt; Cuidado Capilar &gt; Reparación y Tratamientos &gt;</t>
        </is>
      </c>
      <c r="L1315" t="inlineStr">
        <is>
          <t>tratamiento</t>
        </is>
      </c>
      <c r="M1315" t="inlineStr">
        <is>
          <t>estandar</t>
        </is>
      </c>
      <c r="N1315" t="inlineStr">
        <is>
          <t>general</t>
        </is>
      </c>
      <c r="O1315" t="inlineStr">
        <is>
          <t>https://www.disco.com.ar/tratamiento-issue-extra-reparacion-150g/p</t>
        </is>
      </c>
    </row>
    <row r="1316">
      <c r="A1316" s="10" t="inlineStr">
        <is>
          <t>Disco</t>
        </is>
      </c>
      <c r="B1316" s="10" t="n">
        <v>3071022</v>
      </c>
      <c r="C1316" s="10" t="n">
        <v>3070593</v>
      </c>
      <c r="D1316" s="10" t="inlineStr">
        <is>
          <t>Crema Tratamiento Dream Liso X 300 Gr Elvive</t>
        </is>
      </c>
      <c r="E1316" s="10" t="inlineStr">
        <is>
          <t>ELVIVE</t>
        </is>
      </c>
      <c r="F1316" s="10" t="n">
        <v>13200</v>
      </c>
      <c r="G1316" s="10" t="n">
        <v>1090909</v>
      </c>
      <c r="H1316" s="10" t="b">
        <v>1</v>
      </c>
      <c r="I1316" s="10" t="n">
        <v>300</v>
      </c>
      <c r="J1316" s="10" t="n">
        <v>44</v>
      </c>
      <c r="K1316" s="10" t="inlineStr">
        <is>
          <t>&gt; Perfumería &gt; Cuidado Capilar &gt; Reparación y Tratamientos &gt;</t>
        </is>
      </c>
      <c r="L1316" s="10" t="inlineStr">
        <is>
          <t>tratamiento</t>
        </is>
      </c>
      <c r="M1316" s="10" t="inlineStr">
        <is>
          <t>profesional</t>
        </is>
      </c>
      <c r="N1316" s="10" t="inlineStr">
        <is>
          <t>general</t>
        </is>
      </c>
      <c r="O1316" s="10" t="inlineStr">
        <is>
          <t>https://www.disco.com.ar/crema-tratamiento-dream-liso-x-300-gr-elvive/p</t>
        </is>
      </c>
    </row>
    <row r="1317">
      <c r="A1317" t="inlineStr">
        <is>
          <t>Disco</t>
        </is>
      </c>
      <c r="B1317" t="n">
        <v>141684</v>
      </c>
      <c r="C1317" t="n">
        <v>138595</v>
      </c>
      <c r="D1317" t="inlineStr">
        <is>
          <t>Tratamiento Capilar Sedal-ceramidas-pot-gr.-400</t>
        </is>
      </c>
      <c r="E1317" t="inlineStr">
        <is>
          <t>SEDAL</t>
        </is>
      </c>
      <c r="F1317" t="n">
        <v>18.49</v>
      </c>
      <c r="G1317" t="n">
        <v>1528</v>
      </c>
      <c r="H1317" t="b">
        <v>0</v>
      </c>
      <c r="I1317" t="inlineStr"/>
      <c r="J1317" t="inlineStr"/>
      <c r="K1317" t="inlineStr">
        <is>
          <t>&gt; Perfumería &gt; Cuidado Capilar &gt; Reparación y Tratamientos &gt;</t>
        </is>
      </c>
      <c r="L1317" t="inlineStr">
        <is>
          <t>tratamiento</t>
        </is>
      </c>
      <c r="M1317" t="inlineStr">
        <is>
          <t>estandar</t>
        </is>
      </c>
      <c r="N1317" t="inlineStr">
        <is>
          <t>general</t>
        </is>
      </c>
      <c r="O1317" t="inlineStr">
        <is>
          <t>https://www.disco.com.ar/tratamiento-capilar-sedal-3-2/p</t>
        </is>
      </c>
    </row>
    <row r="1318">
      <c r="A1318" s="10" t="inlineStr">
        <is>
          <t>Disco</t>
        </is>
      </c>
      <c r="B1318" s="10" t="n">
        <v>122341</v>
      </c>
      <c r="C1318" s="10" t="n">
        <v>121360</v>
      </c>
      <c r="D1318" s="10" t="inlineStr">
        <is>
          <t>Tratamiento Capilar Capilatis Seco 200 Gr</t>
        </is>
      </c>
      <c r="E1318" s="10" t="inlineStr">
        <is>
          <t>CAPILATIS</t>
        </is>
      </c>
      <c r="F1318" s="10" t="n">
        <v>184.99</v>
      </c>
      <c r="G1318" s="10" t="n">
        <v>15288</v>
      </c>
      <c r="H1318" s="10" t="b">
        <v>0</v>
      </c>
      <c r="I1318" s="10" t="n">
        <v>200</v>
      </c>
      <c r="J1318" s="10" t="n">
        <v>0.925</v>
      </c>
      <c r="K1318" s="10" t="inlineStr">
        <is>
          <t>&gt; Perfumería &gt; Cuidado Capilar &gt; Reparación y Tratamientos &gt;</t>
        </is>
      </c>
      <c r="L1318" s="10" t="inlineStr">
        <is>
          <t>tratamiento</t>
        </is>
      </c>
      <c r="M1318" s="10" t="inlineStr">
        <is>
          <t>estandar</t>
        </is>
      </c>
      <c r="N1318" s="10" t="inlineStr">
        <is>
          <t>seco_danado</t>
        </is>
      </c>
      <c r="O1318" s="10" t="inlineStr">
        <is>
          <t>https://www.disco.com.ar/tratamiento-capilar-capilatis-8/p</t>
        </is>
      </c>
    </row>
    <row r="1319">
      <c r="A1319" t="inlineStr">
        <is>
          <t>Disco</t>
        </is>
      </c>
      <c r="B1319" t="n">
        <v>122151</v>
      </c>
      <c r="C1319" t="n">
        <v>121170</v>
      </c>
      <c r="D1319" t="inlineStr">
        <is>
          <t>Tratamiento Capilar Capilatis Hidratante Nutritiva 120 Ml</t>
        </is>
      </c>
      <c r="E1319" t="inlineStr">
        <is>
          <t>CAPILATIS</t>
        </is>
      </c>
      <c r="F1319" t="n">
        <v>75.56999999999999</v>
      </c>
      <c r="G1319" t="n">
        <v>75.56999999999999</v>
      </c>
      <c r="H1319" t="b">
        <v>0</v>
      </c>
      <c r="I1319" t="n">
        <v>120</v>
      </c>
      <c r="J1319" t="n">
        <v>0.6297</v>
      </c>
      <c r="K1319" t="inlineStr">
        <is>
          <t>&gt; Perfumería &gt; Cuidado Capilar &gt; Reparación y Tratamientos &gt;</t>
        </is>
      </c>
      <c r="L1319" t="inlineStr">
        <is>
          <t>tratamiento</t>
        </is>
      </c>
      <c r="M1319" t="inlineStr">
        <is>
          <t>estandar</t>
        </is>
      </c>
      <c r="N1319" t="inlineStr">
        <is>
          <t>seco_danado</t>
        </is>
      </c>
      <c r="O1319" t="inlineStr">
        <is>
          <t>https://www.disco.com.ar/tratamiento-capilar-capilatis-3/p</t>
        </is>
      </c>
    </row>
    <row r="1320">
      <c r="A1320" s="10" t="inlineStr">
        <is>
          <t>Disco</t>
        </is>
      </c>
      <c r="B1320" s="10" t="n">
        <v>116797</v>
      </c>
      <c r="C1320" s="10" t="n">
        <v>115837</v>
      </c>
      <c r="D1320" s="10" t="inlineStr">
        <is>
          <t>Tratamiento Capilar Capilatis X200gr</t>
        </is>
      </c>
      <c r="E1320" s="10" t="inlineStr">
        <is>
          <t>CAPILATIS</t>
        </is>
      </c>
      <c r="F1320" s="10" t="n">
        <v>13</v>
      </c>
      <c r="G1320" s="10" t="n">
        <v>13</v>
      </c>
      <c r="H1320" s="10" t="b">
        <v>0</v>
      </c>
      <c r="I1320" s="10" t="n">
        <v>200</v>
      </c>
      <c r="J1320" s="10" t="n">
        <v>0.065</v>
      </c>
      <c r="K1320" s="10" t="inlineStr">
        <is>
          <t>&gt; Perfumería &gt; Cuidado Capilar &gt; Reparación y Tratamientos &gt;</t>
        </is>
      </c>
      <c r="L1320" s="10" t="inlineStr">
        <is>
          <t>tratamiento</t>
        </is>
      </c>
      <c r="M1320" s="10" t="inlineStr">
        <is>
          <t>estandar</t>
        </is>
      </c>
      <c r="N1320" s="10" t="inlineStr">
        <is>
          <t>general</t>
        </is>
      </c>
      <c r="O1320" s="10" t="inlineStr">
        <is>
          <t>https://www.disco.com.ar/tratamiento-capilar-capilatis-9-2/p</t>
        </is>
      </c>
    </row>
    <row r="1321">
      <c r="A1321" t="inlineStr">
        <is>
          <t>Disco</t>
        </is>
      </c>
      <c r="B1321" t="n">
        <v>116480</v>
      </c>
      <c r="C1321" t="n">
        <v>115520</v>
      </c>
      <c r="D1321" t="inlineStr">
        <is>
          <t>Tratamiento Capilar Capilatis X 200gr</t>
        </is>
      </c>
      <c r="E1321" t="inlineStr">
        <is>
          <t>CAPILATIS</t>
        </is>
      </c>
      <c r="F1321" t="n">
        <v>52.23</v>
      </c>
      <c r="G1321" t="n">
        <v>52.23</v>
      </c>
      <c r="H1321" t="b">
        <v>0</v>
      </c>
      <c r="I1321" t="n">
        <v>200</v>
      </c>
      <c r="J1321" t="n">
        <v>0.2611</v>
      </c>
      <c r="K1321" t="inlineStr">
        <is>
          <t>&gt; Perfumería &gt; Cuidado Capilar &gt; Reparación y Tratamientos &gt;</t>
        </is>
      </c>
      <c r="L1321" t="inlineStr">
        <is>
          <t>tratamiento</t>
        </is>
      </c>
      <c r="M1321" t="inlineStr">
        <is>
          <t>estandar</t>
        </is>
      </c>
      <c r="N1321" t="inlineStr">
        <is>
          <t>general</t>
        </is>
      </c>
      <c r="O1321" t="inlineStr">
        <is>
          <t>https://www.disco.com.ar/tratamiento-capilar-capilatis-9/p</t>
        </is>
      </c>
    </row>
    <row r="1322">
      <c r="A1322" s="10" t="inlineStr">
        <is>
          <t>Disco</t>
        </is>
      </c>
      <c r="B1322" s="10" t="n">
        <v>69456</v>
      </c>
      <c r="C1322" s="10" t="n">
        <v>66594</v>
      </c>
      <c r="D1322" s="10" t="inlineStr">
        <is>
          <t>Tratamiento Capilar Sedal</t>
        </is>
      </c>
      <c r="E1322" s="10" t="inlineStr">
        <is>
          <t>SEDAL</t>
        </is>
      </c>
      <c r="F1322" s="10" t="n">
        <v>12.69</v>
      </c>
      <c r="G1322" s="10" t="n">
        <v>12.69</v>
      </c>
      <c r="H1322" s="10" t="b">
        <v>0</v>
      </c>
      <c r="I1322" s="10" t="inlineStr"/>
      <c r="J1322" s="10" t="inlineStr"/>
      <c r="K1322" s="10" t="inlineStr">
        <is>
          <t>&gt; Perfumería &gt; Cuidado Capilar &gt; Reparación y Tratamientos &gt;</t>
        </is>
      </c>
      <c r="L1322" s="10" t="inlineStr">
        <is>
          <t>tratamiento</t>
        </is>
      </c>
      <c r="M1322" s="10" t="inlineStr">
        <is>
          <t>estandar</t>
        </is>
      </c>
      <c r="N1322" s="10" t="inlineStr">
        <is>
          <t>general</t>
        </is>
      </c>
      <c r="O1322" s="10" t="inlineStr">
        <is>
          <t>https://www.disco.com.ar/tratamiento-capilar-sedal-2/p</t>
        </is>
      </c>
    </row>
    <row r="1323">
      <c r="A1323" t="inlineStr">
        <is>
          <t>Disco</t>
        </is>
      </c>
      <c r="B1323" t="n">
        <v>238493</v>
      </c>
      <c r="C1323" t="n">
        <v>202909</v>
      </c>
      <c r="D1323" t="inlineStr">
        <is>
          <t>Tratamiento Capilar Davor</t>
        </is>
      </c>
      <c r="E1323" t="inlineStr">
        <is>
          <t>DAVOR</t>
        </is>
      </c>
      <c r="F1323" t="n">
        <v>8.17</v>
      </c>
      <c r="G1323" t="n">
        <v>8.17</v>
      </c>
      <c r="H1323" t="b">
        <v>0</v>
      </c>
      <c r="I1323" t="inlineStr"/>
      <c r="J1323" t="inlineStr"/>
      <c r="K1323" t="inlineStr">
        <is>
          <t>&gt; Perfumería &gt; Cuidado Capilar &gt; Reparación y Tratamientos &gt;</t>
        </is>
      </c>
      <c r="L1323" t="inlineStr">
        <is>
          <t>tratamiento</t>
        </is>
      </c>
      <c r="M1323" t="inlineStr">
        <is>
          <t>estandar</t>
        </is>
      </c>
      <c r="N1323" t="inlineStr">
        <is>
          <t>general</t>
        </is>
      </c>
      <c r="O1323" t="inlineStr">
        <is>
          <t>https://www.disco.com.ar/tratamiento-capilar-davor-274814/p</t>
        </is>
      </c>
    </row>
    <row r="1324">
      <c r="A1324" s="10" t="inlineStr">
        <is>
          <t>Disco</t>
        </is>
      </c>
      <c r="B1324" s="10" t="n">
        <v>141430</v>
      </c>
      <c r="C1324" s="10" t="n">
        <v>138342</v>
      </c>
      <c r="D1324" s="10" t="inlineStr">
        <is>
          <t>Tratamiento Capilar Sedal-rizos Obedientes-pet-gr.-400</t>
        </is>
      </c>
      <c r="E1324" s="10" t="inlineStr">
        <is>
          <t>SEDAL</t>
        </is>
      </c>
      <c r="F1324" s="10" t="n">
        <v>18.49</v>
      </c>
      <c r="G1324" s="10" t="n">
        <v>1528</v>
      </c>
      <c r="H1324" s="10" t="b">
        <v>0</v>
      </c>
      <c r="I1324" s="10" t="inlineStr"/>
      <c r="J1324" s="10" t="inlineStr"/>
      <c r="K1324" s="10" t="inlineStr">
        <is>
          <t>&gt; Perfumería &gt; Cuidado Capilar &gt; Reparación y Tratamientos &gt;</t>
        </is>
      </c>
      <c r="L1324" s="10" t="inlineStr">
        <is>
          <t>tratamiento</t>
        </is>
      </c>
      <c r="M1324" s="10" t="inlineStr">
        <is>
          <t>estandar</t>
        </is>
      </c>
      <c r="N1324" s="10" t="inlineStr">
        <is>
          <t>rizado</t>
        </is>
      </c>
      <c r="O1324" s="10" t="inlineStr">
        <is>
          <t>https://www.disco.com.ar/tratamiento-capilar-sedal-3/p</t>
        </is>
      </c>
    </row>
    <row r="1325">
      <c r="A1325" t="inlineStr">
        <is>
          <t>Disco</t>
        </is>
      </c>
      <c r="B1325" t="n">
        <v>38271</v>
      </c>
      <c r="C1325" t="n">
        <v>35428</v>
      </c>
      <c r="D1325" t="inlineStr">
        <is>
          <t>Tratamiento Capilar Pantene Summer 300 Ml</t>
        </is>
      </c>
      <c r="E1325" t="inlineStr">
        <is>
          <t>PANTENE</t>
        </is>
      </c>
      <c r="F1325" t="n">
        <v>367.09</v>
      </c>
      <c r="G1325" t="n">
        <v>30338</v>
      </c>
      <c r="H1325" t="b">
        <v>0</v>
      </c>
      <c r="I1325" t="n">
        <v>300</v>
      </c>
      <c r="J1325" t="n">
        <v>1.2236</v>
      </c>
      <c r="K1325" t="inlineStr">
        <is>
          <t>&gt; Perfumería &gt; Cuidado Capilar &gt; Reparación y Tratamientos &gt;</t>
        </is>
      </c>
      <c r="L1325" t="inlineStr">
        <is>
          <t>tratamiento</t>
        </is>
      </c>
      <c r="M1325" t="inlineStr">
        <is>
          <t>estandar</t>
        </is>
      </c>
      <c r="N1325" t="inlineStr">
        <is>
          <t>general</t>
        </is>
      </c>
      <c r="O1325" t="inlineStr">
        <is>
          <t>https://www.disco.com.ar/tratamiento-capilar-pantene-4/p</t>
        </is>
      </c>
    </row>
    <row r="1326">
      <c r="A1326" s="10" t="inlineStr">
        <is>
          <t>Disco</t>
        </is>
      </c>
      <c r="B1326" s="10" t="n">
        <v>6014</v>
      </c>
      <c r="C1326" s="10" t="n">
        <v>3402</v>
      </c>
      <c r="D1326" s="10" t="inlineStr">
        <is>
          <t>Tratamiento Capilar Capilatis Iluminador 200 Gr</t>
        </is>
      </c>
      <c r="E1326" s="10" t="inlineStr">
        <is>
          <t>CAPILATIS</t>
        </is>
      </c>
      <c r="F1326" s="10" t="n">
        <v>80.45</v>
      </c>
      <c r="G1326" s="10" t="n">
        <v>6649</v>
      </c>
      <c r="H1326" s="10" t="b">
        <v>0</v>
      </c>
      <c r="I1326" s="10" t="n">
        <v>200</v>
      </c>
      <c r="J1326" s="10" t="n">
        <v>0.4022</v>
      </c>
      <c r="K1326" s="10" t="inlineStr">
        <is>
          <t>&gt; Perfumería &gt; Cuidado Capilar &gt; Reparación y Tratamientos &gt;</t>
        </is>
      </c>
      <c r="L1326" s="10" t="inlineStr">
        <is>
          <t>tratamiento</t>
        </is>
      </c>
      <c r="M1326" s="10" t="inlineStr">
        <is>
          <t>estandar</t>
        </is>
      </c>
      <c r="N1326" s="10" t="inlineStr">
        <is>
          <t>general</t>
        </is>
      </c>
      <c r="O1326" s="10" t="inlineStr">
        <is>
          <t>https://www.disco.com.ar/tratamiento-capilar-capilatis/p</t>
        </is>
      </c>
    </row>
    <row r="1327">
      <c r="A1327" t="inlineStr">
        <is>
          <t>Disco</t>
        </is>
      </c>
      <c r="B1327" t="n">
        <v>141424</v>
      </c>
      <c r="C1327" t="n">
        <v>138335</v>
      </c>
      <c r="D1327" t="inlineStr">
        <is>
          <t>Tratamiento Capilar Sedal-crecimiento-pet-ml.-400</t>
        </is>
      </c>
      <c r="E1327" t="inlineStr">
        <is>
          <t>SEDAL</t>
        </is>
      </c>
      <c r="F1327" t="n">
        <v>18.49</v>
      </c>
      <c r="G1327" t="n">
        <v>1528</v>
      </c>
      <c r="H1327" t="b">
        <v>0</v>
      </c>
      <c r="I1327" t="inlineStr"/>
      <c r="J1327" t="inlineStr"/>
      <c r="K1327" t="inlineStr">
        <is>
          <t>&gt; Perfumería &gt; Cuidado Capilar &gt; Reparación y Tratamientos &gt;</t>
        </is>
      </c>
      <c r="L1327" t="inlineStr">
        <is>
          <t>tratamiento</t>
        </is>
      </c>
      <c r="M1327" t="inlineStr">
        <is>
          <t>estandar</t>
        </is>
      </c>
      <c r="N1327" t="inlineStr">
        <is>
          <t>general</t>
        </is>
      </c>
      <c r="O1327" t="inlineStr">
        <is>
          <t>https://www.disco.com.ar/tratamiento-capilar-sedal-4/p</t>
        </is>
      </c>
    </row>
    <row r="1328">
      <c r="A1328" s="10" t="inlineStr">
        <is>
          <t>Disco</t>
        </is>
      </c>
      <c r="B1328" s="10" t="n">
        <v>122164</v>
      </c>
      <c r="C1328" s="10" t="n">
        <v>121184</v>
      </c>
      <c r="D1328" s="10" t="inlineStr">
        <is>
          <t>Tratamiento Capilar Capilatisx200g Selectivo  Pmo 200 Gr.</t>
        </is>
      </c>
      <c r="E1328" s="10" t="inlineStr">
        <is>
          <t>CAPILATIS</t>
        </is>
      </c>
      <c r="F1328" s="10" t="n">
        <v>52.23</v>
      </c>
      <c r="G1328" s="10" t="n">
        <v>4317</v>
      </c>
      <c r="H1328" s="10" t="b">
        <v>0</v>
      </c>
      <c r="I1328" s="10" t="n">
        <v>200</v>
      </c>
      <c r="J1328" s="10" t="n">
        <v>0.2611</v>
      </c>
      <c r="K1328" s="10" t="inlineStr">
        <is>
          <t>&gt; Perfumería &gt; Cuidado Capilar &gt; Reparación y Tratamientos &gt;</t>
        </is>
      </c>
      <c r="L1328" s="10" t="inlineStr">
        <is>
          <t>tratamiento</t>
        </is>
      </c>
      <c r="M1328" s="10" t="inlineStr">
        <is>
          <t>estandar</t>
        </is>
      </c>
      <c r="N1328" s="10" t="inlineStr">
        <is>
          <t>general</t>
        </is>
      </c>
      <c r="O1328" s="10" t="inlineStr">
        <is>
          <t>https://www.disco.com.ar/tratamiento-capilar-capilatis-7/p</t>
        </is>
      </c>
    </row>
    <row r="1329">
      <c r="A1329" t="inlineStr">
        <is>
          <t>Disco</t>
        </is>
      </c>
      <c r="B1329" t="n">
        <v>122345</v>
      </c>
      <c r="C1329" t="n">
        <v>121364</v>
      </c>
      <c r="D1329" t="inlineStr">
        <is>
          <t>Tratamiento Capilar Capilatis X200g</t>
        </is>
      </c>
      <c r="E1329" t="inlineStr">
        <is>
          <t>CAPILATIS</t>
        </is>
      </c>
      <c r="F1329" t="n">
        <v>52.23</v>
      </c>
      <c r="G1329" t="n">
        <v>4317</v>
      </c>
      <c r="H1329" t="b">
        <v>0</v>
      </c>
      <c r="I1329" t="n">
        <v>200</v>
      </c>
      <c r="J1329" t="n">
        <v>0.2611</v>
      </c>
      <c r="K1329" t="inlineStr">
        <is>
          <t>&gt; Perfumería &gt; Cuidado Capilar &gt; Reparación y Tratamientos &gt;</t>
        </is>
      </c>
      <c r="L1329" t="inlineStr">
        <is>
          <t>tratamiento</t>
        </is>
      </c>
      <c r="M1329" t="inlineStr">
        <is>
          <t>estandar</t>
        </is>
      </c>
      <c r="N1329" t="inlineStr">
        <is>
          <t>general</t>
        </is>
      </c>
      <c r="O1329" t="inlineStr">
        <is>
          <t>https://www.disco.com.ar/tratamiento-capilar-capilatis-x200g-3/p</t>
        </is>
      </c>
    </row>
    <row r="1330">
      <c r="A1330" s="10" t="inlineStr">
        <is>
          <t>Disco</t>
        </is>
      </c>
      <c r="B1330" s="10" t="n">
        <v>19540</v>
      </c>
      <c r="C1330" s="10" t="n">
        <v>16697</v>
      </c>
      <c r="D1330" s="10" t="inlineStr">
        <is>
          <t>Tratamiento Capilar Tresemmé 400 Gr</t>
        </is>
      </c>
      <c r="E1330" s="10" t="inlineStr">
        <is>
          <t>TRESEMMÉ</t>
        </is>
      </c>
      <c r="F1330" s="10" t="n">
        <v>291.19</v>
      </c>
      <c r="G1330" s="10" t="n">
        <v>24065</v>
      </c>
      <c r="H1330" s="10" t="b">
        <v>0</v>
      </c>
      <c r="I1330" s="10" t="n">
        <v>400</v>
      </c>
      <c r="J1330" s="10" t="n">
        <v>0.728</v>
      </c>
      <c r="K1330" s="10" t="inlineStr">
        <is>
          <t>&gt; Perfumería &gt; Cuidado Capilar &gt; Reparación y Tratamientos &gt;</t>
        </is>
      </c>
      <c r="L1330" s="10" t="inlineStr">
        <is>
          <t>tratamiento</t>
        </is>
      </c>
      <c r="M1330" s="10" t="inlineStr">
        <is>
          <t>estandar</t>
        </is>
      </c>
      <c r="N1330" s="10" t="inlineStr">
        <is>
          <t>general</t>
        </is>
      </c>
      <c r="O1330" s="10" t="inlineStr">
        <is>
          <t>https://www.disco.com.ar/tratamiento-capilar-tresemme-400-gr/p</t>
        </is>
      </c>
    </row>
    <row r="1331">
      <c r="A1331" t="inlineStr">
        <is>
          <t>Disco</t>
        </is>
      </c>
      <c r="B1331" t="n">
        <v>277406</v>
      </c>
      <c r="C1331" t="n">
        <v>276692</v>
      </c>
      <c r="D1331" t="inlineStr">
        <is>
          <t>Tratamiento Capilar Capilatis Natural Oil</t>
        </is>
      </c>
      <c r="E1331" t="inlineStr">
        <is>
          <t>CAPILATIS</t>
        </is>
      </c>
      <c r="F1331" t="n">
        <v>493</v>
      </c>
      <c r="G1331" t="n">
        <v>493</v>
      </c>
      <c r="H1331" t="b">
        <v>0</v>
      </c>
      <c r="I1331" t="inlineStr"/>
      <c r="J1331" t="inlineStr"/>
      <c r="K1331" t="inlineStr">
        <is>
          <t>&gt; Perfumería &gt; Cuidado Capilar &gt; Reparación y Tratamientos &gt;</t>
        </is>
      </c>
      <c r="L1331" t="inlineStr">
        <is>
          <t>tratamiento</t>
        </is>
      </c>
      <c r="M1331" t="inlineStr">
        <is>
          <t>estandar</t>
        </is>
      </c>
      <c r="N1331" t="inlineStr">
        <is>
          <t>general</t>
        </is>
      </c>
      <c r="O1331" t="inlineStr">
        <is>
          <t>https://www.disco.com.ar/tratamiento-capilar-capilatis-natural-oil/p</t>
        </is>
      </c>
    </row>
    <row r="1332">
      <c r="A1332" s="10" t="inlineStr">
        <is>
          <t>Disco</t>
        </is>
      </c>
      <c r="B1332" s="10" t="n">
        <v>116058</v>
      </c>
      <c r="C1332" s="10" t="n">
        <v>115102</v>
      </c>
      <c r="D1332" s="10" t="inlineStr">
        <is>
          <t>Tratamiento Capilar Capilatis X200g</t>
        </is>
      </c>
      <c r="E1332" s="10" t="inlineStr">
        <is>
          <t>CAPILATIS</t>
        </is>
      </c>
      <c r="F1332" s="10" t="n">
        <v>10.95</v>
      </c>
      <c r="G1332" s="10" t="n">
        <v>10.95</v>
      </c>
      <c r="H1332" s="10" t="b">
        <v>0</v>
      </c>
      <c r="I1332" s="10" t="n">
        <v>200</v>
      </c>
      <c r="J1332" s="10" t="n">
        <v>0.0547</v>
      </c>
      <c r="K1332" s="10" t="inlineStr">
        <is>
          <t>&gt; Perfumería &gt; Cuidado Capilar &gt; Reparación y Tratamientos &gt;</t>
        </is>
      </c>
      <c r="L1332" s="10" t="inlineStr">
        <is>
          <t>tratamiento</t>
        </is>
      </c>
      <c r="M1332" s="10" t="inlineStr">
        <is>
          <t>estandar</t>
        </is>
      </c>
      <c r="N1332" s="10" t="inlineStr">
        <is>
          <t>general</t>
        </is>
      </c>
      <c r="O1332" s="10" t="inlineStr">
        <is>
          <t>https://www.disco.com.ar/tratamiento-capilar-capilatis-x200g/p</t>
        </is>
      </c>
    </row>
    <row r="1333">
      <c r="A1333" t="inlineStr">
        <is>
          <t>Disco</t>
        </is>
      </c>
      <c r="B1333" t="n">
        <v>135250</v>
      </c>
      <c r="C1333" t="n">
        <v>132162</v>
      </c>
      <c r="D1333" t="inlineStr">
        <is>
          <t>Tratamiento Capilar Capilatis-biodegradable-bli-ml.-10</t>
        </is>
      </c>
      <c r="E1333" t="inlineStr">
        <is>
          <t>CAPILATIS</t>
        </is>
      </c>
      <c r="F1333" t="n">
        <v>20.17</v>
      </c>
      <c r="G1333" t="n">
        <v>1667</v>
      </c>
      <c r="H1333" t="b">
        <v>0</v>
      </c>
      <c r="I1333" t="inlineStr"/>
      <c r="J1333" t="inlineStr"/>
      <c r="K1333" t="inlineStr">
        <is>
          <t>&gt; Perfumería &gt; Cuidado Capilar &gt; Reparación y Tratamientos &gt;</t>
        </is>
      </c>
      <c r="L1333" t="inlineStr">
        <is>
          <t>tratamiento</t>
        </is>
      </c>
      <c r="M1333" t="inlineStr">
        <is>
          <t>estandar</t>
        </is>
      </c>
      <c r="N1333" t="inlineStr">
        <is>
          <t>general</t>
        </is>
      </c>
      <c r="O1333" t="inlineStr">
        <is>
          <t>https://www.disco.com.ar/tratamiento-capilar-capilatis-biodegradable-bli-ml-10/p</t>
        </is>
      </c>
    </row>
    <row r="1334">
      <c r="A1334" s="10" t="inlineStr">
        <is>
          <t>Disco</t>
        </is>
      </c>
      <c r="B1334" s="10" t="n">
        <v>233000</v>
      </c>
      <c r="C1334" s="10" t="n">
        <v>206855</v>
      </c>
      <c r="D1334" s="10" t="inlineStr">
        <is>
          <t>Tratamiento Capilar Sedal X 450 Gr</t>
        </is>
      </c>
      <c r="E1334" s="10" t="inlineStr">
        <is>
          <t>SEDAL</t>
        </is>
      </c>
      <c r="F1334" s="10" t="n">
        <v>13.75</v>
      </c>
      <c r="G1334" s="10" t="n">
        <v>13.75</v>
      </c>
      <c r="H1334" s="10" t="b">
        <v>0</v>
      </c>
      <c r="I1334" s="10" t="n">
        <v>450</v>
      </c>
      <c r="J1334" s="10" t="n">
        <v>0.0306</v>
      </c>
      <c r="K1334" s="10" t="inlineStr">
        <is>
          <t>&gt; Perfumería &gt; Cuidado Capilar &gt; Reparación y Tratamientos &gt;</t>
        </is>
      </c>
      <c r="L1334" s="10" t="inlineStr">
        <is>
          <t>tratamiento</t>
        </is>
      </c>
      <c r="M1334" s="10" t="inlineStr">
        <is>
          <t>estandar</t>
        </is>
      </c>
      <c r="N1334" s="10" t="inlineStr">
        <is>
          <t>general</t>
        </is>
      </c>
      <c r="O1334" s="10" t="inlineStr">
        <is>
          <t>https://www.disco.com.ar/tratamiento-capilar-sedal-x-450-gr-278866/p</t>
        </is>
      </c>
    </row>
    <row r="1335">
      <c r="A1335" t="inlineStr">
        <is>
          <t>Disco</t>
        </is>
      </c>
      <c r="B1335" t="n">
        <v>35955</v>
      </c>
      <c r="C1335" t="n">
        <v>33113</v>
      </c>
      <c r="D1335" t="inlineStr">
        <is>
          <t>Tratamiento Capilar Capilatis Nutritivo 200 Gr</t>
        </is>
      </c>
      <c r="E1335" t="inlineStr">
        <is>
          <t>CAPILATIS</t>
        </is>
      </c>
      <c r="F1335" t="n">
        <v>166.12</v>
      </c>
      <c r="G1335" t="n">
        <v>13729</v>
      </c>
      <c r="H1335" t="b">
        <v>0</v>
      </c>
      <c r="I1335" t="n">
        <v>200</v>
      </c>
      <c r="J1335" t="n">
        <v>0.8306</v>
      </c>
      <c r="K1335" t="inlineStr">
        <is>
          <t>&gt; Perfumería &gt; Cuidado Capilar &gt; Reparación y Tratamientos &gt;</t>
        </is>
      </c>
      <c r="L1335" t="inlineStr">
        <is>
          <t>tratamiento</t>
        </is>
      </c>
      <c r="M1335" t="inlineStr">
        <is>
          <t>estandar</t>
        </is>
      </c>
      <c r="N1335" t="inlineStr">
        <is>
          <t>general</t>
        </is>
      </c>
      <c r="O1335" t="inlineStr">
        <is>
          <t>https://www.disco.com.ar/tratamiento-capilar-capilatis-nutritivo-200-gr/p</t>
        </is>
      </c>
    </row>
    <row r="1336">
      <c r="A1336" s="10" t="inlineStr">
        <is>
          <t>Disco</t>
        </is>
      </c>
      <c r="B1336" s="10" t="n">
        <v>383078</v>
      </c>
      <c r="C1336" s="10" t="n">
        <v>381793</v>
      </c>
      <c r="D1336" s="10" t="inlineStr">
        <is>
          <t>Tratamiento Capilar Protección Color 160 Grs Issue</t>
        </is>
      </c>
      <c r="E1336" s="10" t="inlineStr">
        <is>
          <t>ISSUE</t>
        </is>
      </c>
      <c r="F1336" s="10" t="n">
        <v>4400</v>
      </c>
      <c r="G1336" s="10" t="n">
        <v>363636</v>
      </c>
      <c r="H1336" s="10" t="b">
        <v>0</v>
      </c>
      <c r="I1336" s="10" t="inlineStr"/>
      <c r="J1336" s="10" t="inlineStr"/>
      <c r="K1336" s="10" t="inlineStr">
        <is>
          <t>&gt; Perfumería &gt; Cuidado Capilar &gt; Reparación y Tratamientos &gt;</t>
        </is>
      </c>
      <c r="L1336" s="10" t="inlineStr">
        <is>
          <t>tratamiento</t>
        </is>
      </c>
      <c r="M1336" s="10" t="inlineStr">
        <is>
          <t>estandar</t>
        </is>
      </c>
      <c r="N1336" s="10" t="inlineStr">
        <is>
          <t>tratado</t>
        </is>
      </c>
      <c r="O1336" s="10" t="inlineStr">
        <is>
          <t>https://www.disco.com.ar/tratamiento-capilar-issue-proteccion-color-160-gr/p</t>
        </is>
      </c>
    </row>
    <row r="1337">
      <c r="A1337" t="inlineStr">
        <is>
          <t>Disco</t>
        </is>
      </c>
      <c r="B1337" t="n">
        <v>383044</v>
      </c>
      <c r="C1337" t="n">
        <v>381759</v>
      </c>
      <c r="D1337" t="inlineStr">
        <is>
          <t>Tratamiento Capilar Brillo Extremo 150 Grs Issue</t>
        </is>
      </c>
      <c r="E1337" t="inlineStr">
        <is>
          <t>ISSUE</t>
        </is>
      </c>
      <c r="F1337" t="n">
        <v>4400</v>
      </c>
      <c r="G1337" t="n">
        <v>363636</v>
      </c>
      <c r="H1337" t="b">
        <v>0</v>
      </c>
      <c r="I1337" t="inlineStr"/>
      <c r="J1337" t="inlineStr"/>
      <c r="K1337" t="inlineStr">
        <is>
          <t>&gt; Perfumería &gt; Cuidado Capilar &gt; Reparación y Tratamientos &gt;</t>
        </is>
      </c>
      <c r="L1337" t="inlineStr">
        <is>
          <t>tratamiento</t>
        </is>
      </c>
      <c r="M1337" t="inlineStr">
        <is>
          <t>estandar</t>
        </is>
      </c>
      <c r="N1337" t="inlineStr">
        <is>
          <t>general</t>
        </is>
      </c>
      <c r="O1337" t="inlineStr">
        <is>
          <t>https://www.disco.com.ar/tratamiento-issue-brillo-extremo-150-gr/p</t>
        </is>
      </c>
    </row>
    <row r="1338">
      <c r="A1338" s="10" t="inlineStr">
        <is>
          <t>Disco</t>
        </is>
      </c>
      <c r="B1338" s="10" t="n">
        <v>149254</v>
      </c>
      <c r="C1338" s="10" t="n">
        <v>146146</v>
      </c>
      <c r="D1338" s="10" t="inlineStr">
        <is>
          <t>Tratamiento Capilar Tresemmé-smooth Keratin-pot-gr.-226</t>
        </is>
      </c>
      <c r="E1338" s="10" t="inlineStr">
        <is>
          <t>TRESEMMÉ</t>
        </is>
      </c>
      <c r="F1338" s="10" t="n">
        <v>30.23</v>
      </c>
      <c r="G1338" s="10" t="n">
        <v>2498</v>
      </c>
      <c r="H1338" s="10" t="b">
        <v>0</v>
      </c>
      <c r="I1338" s="10" t="inlineStr"/>
      <c r="J1338" s="10" t="inlineStr"/>
      <c r="K1338" s="10" t="inlineStr">
        <is>
          <t>&gt; Perfumería &gt; Cuidado Capilar &gt; Reparación y Tratamientos &gt;</t>
        </is>
      </c>
      <c r="L1338" s="10" t="inlineStr">
        <is>
          <t>tratamiento</t>
        </is>
      </c>
      <c r="M1338" s="10" t="inlineStr">
        <is>
          <t>estandar</t>
        </is>
      </c>
      <c r="N1338" s="10" t="inlineStr">
        <is>
          <t>general</t>
        </is>
      </c>
      <c r="O1338" s="10" t="inlineStr">
        <is>
          <t>https://www.disco.com.ar/tratamiento-capilar-tresemme-smooth-keratin-pot-gr-226-2/p</t>
        </is>
      </c>
    </row>
    <row r="1339">
      <c r="A1339" t="inlineStr">
        <is>
          <t>Disco</t>
        </is>
      </c>
      <c r="B1339" t="n">
        <v>141427</v>
      </c>
      <c r="C1339" t="n">
        <v>138338</v>
      </c>
      <c r="D1339" t="inlineStr">
        <is>
          <t>Tratamiento Capilar Sedal-reconstrucción Estructural-pet-gr.-400</t>
        </is>
      </c>
      <c r="E1339" t="inlineStr">
        <is>
          <t>SEDAL</t>
        </is>
      </c>
      <c r="F1339" t="n">
        <v>32.05</v>
      </c>
      <c r="G1339" t="n">
        <v>2649</v>
      </c>
      <c r="H1339" t="b">
        <v>0</v>
      </c>
      <c r="I1339" t="inlineStr"/>
      <c r="J1339" t="inlineStr"/>
      <c r="K1339" t="inlineStr">
        <is>
          <t>&gt; Perfumería &gt; Cuidado Capilar &gt; Reparación y Tratamientos &gt;</t>
        </is>
      </c>
      <c r="L1339" t="inlineStr">
        <is>
          <t>tratamiento</t>
        </is>
      </c>
      <c r="M1339" t="inlineStr">
        <is>
          <t>estandar</t>
        </is>
      </c>
      <c r="N1339" t="inlineStr">
        <is>
          <t>general</t>
        </is>
      </c>
      <c r="O1339" t="inlineStr">
        <is>
          <t>https://www.disco.com.ar/tratamiento-capilar-sedal-reconstruccion-estructural-pet-gr-400-2/p</t>
        </is>
      </c>
    </row>
    <row r="1340">
      <c r="A1340" s="10" t="inlineStr">
        <is>
          <t>Disco</t>
        </is>
      </c>
      <c r="B1340" s="10" t="n">
        <v>39233</v>
      </c>
      <c r="C1340" s="10" t="n">
        <v>36399</v>
      </c>
      <c r="D1340" s="10" t="inlineStr">
        <is>
          <t>Tratamiento Capilar Tresemme Termo Activado 60 Ml</t>
        </is>
      </c>
      <c r="E1340" s="10" t="inlineStr">
        <is>
          <t>TRESEMMÉ</t>
        </is>
      </c>
      <c r="F1340" s="10" t="n">
        <v>102.79</v>
      </c>
      <c r="G1340" s="10" t="n">
        <v>102.79</v>
      </c>
      <c r="H1340" s="10" t="b">
        <v>0</v>
      </c>
      <c r="I1340" s="10" t="n">
        <v>60</v>
      </c>
      <c r="J1340" s="10" t="n">
        <v>1.7132</v>
      </c>
      <c r="K1340" s="10" t="inlineStr">
        <is>
          <t>&gt; Perfumería &gt; Cuidado Capilar &gt; Reparación y Tratamientos &gt;</t>
        </is>
      </c>
      <c r="L1340" s="10" t="inlineStr">
        <is>
          <t>tratamiento</t>
        </is>
      </c>
      <c r="M1340" s="10" t="inlineStr">
        <is>
          <t>estandar</t>
        </is>
      </c>
      <c r="N1340" s="10" t="inlineStr">
        <is>
          <t>general</t>
        </is>
      </c>
      <c r="O1340" s="10" t="inlineStr">
        <is>
          <t>https://www.disco.com.ar/tratamiento-capilar-tresemme-8/p</t>
        </is>
      </c>
    </row>
    <row r="1341">
      <c r="A1341" t="inlineStr">
        <is>
          <t>Disco</t>
        </is>
      </c>
      <c r="B1341" t="n">
        <v>35918</v>
      </c>
      <c r="C1341" t="n">
        <v>33075</v>
      </c>
      <c r="D1341" t="inlineStr">
        <is>
          <t>Tratamiento Capilar Capilatis Cabellos Dañados 200 Gr</t>
        </is>
      </c>
      <c r="E1341" t="inlineStr">
        <is>
          <t>CAPILATIS</t>
        </is>
      </c>
      <c r="F1341" t="n">
        <v>167.78</v>
      </c>
      <c r="G1341" t="n">
        <v>13866</v>
      </c>
      <c r="H1341" t="b">
        <v>0</v>
      </c>
      <c r="I1341" t="n">
        <v>200</v>
      </c>
      <c r="J1341" t="n">
        <v>0.8389</v>
      </c>
      <c r="K1341" t="inlineStr">
        <is>
          <t>&gt; Perfumería &gt; Cuidado Capilar &gt; Reparación y Tratamientos &gt;</t>
        </is>
      </c>
      <c r="L1341" t="inlineStr">
        <is>
          <t>tratamiento</t>
        </is>
      </c>
      <c r="M1341" t="inlineStr">
        <is>
          <t>estandar</t>
        </is>
      </c>
      <c r="N1341" t="inlineStr">
        <is>
          <t>seco_danado</t>
        </is>
      </c>
      <c r="O1341" t="inlineStr">
        <is>
          <t>https://www.disco.com.ar/tratamiento-capilar-capilatis-cabellos-danados-200-gr/p</t>
        </is>
      </c>
    </row>
    <row r="1342">
      <c r="A1342" s="10" t="inlineStr">
        <is>
          <t>Disco</t>
        </is>
      </c>
      <c r="B1342" s="10" t="n">
        <v>34131</v>
      </c>
      <c r="C1342" s="10" t="n">
        <v>31289</v>
      </c>
      <c r="D1342" s="10" t="inlineStr">
        <is>
          <t>Tratamiento Capilar Capilatis-baño De Luz-bli-ml.-10</t>
        </is>
      </c>
      <c r="E1342" s="10" t="inlineStr">
        <is>
          <t>CAPILATIS</t>
        </is>
      </c>
      <c r="F1342" s="10" t="n">
        <v>50.49</v>
      </c>
      <c r="G1342" s="10" t="n">
        <v>4173</v>
      </c>
      <c r="H1342" s="10" t="b">
        <v>0</v>
      </c>
      <c r="I1342" s="10" t="inlineStr"/>
      <c r="J1342" s="10" t="inlineStr"/>
      <c r="K1342" s="10" t="inlineStr">
        <is>
          <t>&gt; Perfumería &gt; Cuidado Capilar &gt; Reparación y Tratamientos &gt;</t>
        </is>
      </c>
      <c r="L1342" s="10" t="inlineStr">
        <is>
          <t>tratamiento</t>
        </is>
      </c>
      <c r="M1342" s="10" t="inlineStr">
        <is>
          <t>estandar</t>
        </is>
      </c>
      <c r="N1342" s="10" t="inlineStr">
        <is>
          <t>general</t>
        </is>
      </c>
      <c r="O1342" s="10" t="inlineStr">
        <is>
          <t>https://www.disco.com.ar/tratamiento-capilar-capilatis-4/p</t>
        </is>
      </c>
    </row>
    <row r="1343">
      <c r="A1343" t="inlineStr">
        <is>
          <t>Disco</t>
        </is>
      </c>
      <c r="B1343" t="n">
        <v>30174</v>
      </c>
      <c r="C1343" t="n">
        <v>27335</v>
      </c>
      <c r="D1343" t="inlineStr">
        <is>
          <t>Tratamiento Capilar Pantene Age Defy 125 Ml</t>
        </is>
      </c>
      <c r="E1343" t="inlineStr">
        <is>
          <t>PANTENE</t>
        </is>
      </c>
      <c r="F1343" t="n">
        <v>121.79</v>
      </c>
      <c r="G1343" t="n">
        <v>10065</v>
      </c>
      <c r="H1343" t="b">
        <v>0</v>
      </c>
      <c r="I1343" t="n">
        <v>125</v>
      </c>
      <c r="J1343" t="n">
        <v>0.9743000000000001</v>
      </c>
      <c r="K1343" t="inlineStr">
        <is>
          <t>&gt; Perfumería &gt; Cuidado Capilar &gt; Reparación y Tratamientos &gt;</t>
        </is>
      </c>
      <c r="L1343" t="inlineStr">
        <is>
          <t>tratamiento</t>
        </is>
      </c>
      <c r="M1343" t="inlineStr">
        <is>
          <t>estandar</t>
        </is>
      </c>
      <c r="N1343" t="inlineStr">
        <is>
          <t>general</t>
        </is>
      </c>
      <c r="O1343" t="inlineStr">
        <is>
          <t>https://www.disco.com.ar/tratamiento-capilar-pantene-2/p</t>
        </is>
      </c>
    </row>
    <row r="1344">
      <c r="A1344" s="10" t="inlineStr">
        <is>
          <t>Disco</t>
        </is>
      </c>
      <c r="B1344" s="10" t="n">
        <v>30068</v>
      </c>
      <c r="C1344" s="10" t="n">
        <v>27229</v>
      </c>
      <c r="D1344" s="10" t="inlineStr">
        <is>
          <t>Tratamiento Capilar Pantene Termo Protect 150 Ml</t>
        </is>
      </c>
      <c r="E1344" s="10" t="inlineStr">
        <is>
          <t>PANTENE</t>
        </is>
      </c>
      <c r="F1344" s="10" t="n">
        <v>60.77</v>
      </c>
      <c r="G1344" s="10" t="n">
        <v>5022</v>
      </c>
      <c r="H1344" s="10" t="b">
        <v>0</v>
      </c>
      <c r="I1344" s="10" t="n">
        <v>150</v>
      </c>
      <c r="J1344" s="10" t="n">
        <v>0.4051</v>
      </c>
      <c r="K1344" s="10" t="inlineStr">
        <is>
          <t>&gt; Perfumería &gt; Cuidado Capilar &gt; Reparación y Tratamientos &gt;</t>
        </is>
      </c>
      <c r="L1344" s="10" t="inlineStr">
        <is>
          <t>tratamiento</t>
        </is>
      </c>
      <c r="M1344" s="10" t="inlineStr">
        <is>
          <t>estandar</t>
        </is>
      </c>
      <c r="N1344" s="10" t="inlineStr">
        <is>
          <t>general</t>
        </is>
      </c>
      <c r="O1344" s="10" t="inlineStr">
        <is>
          <t>https://www.disco.com.ar/tratamiento-capilar-pantene/p</t>
        </is>
      </c>
    </row>
    <row r="1345">
      <c r="A1345" t="inlineStr">
        <is>
          <t>Disco</t>
        </is>
      </c>
      <c r="B1345" t="n">
        <v>22045</v>
      </c>
      <c r="C1345" t="n">
        <v>19208</v>
      </c>
      <c r="D1345" t="inlineStr">
        <is>
          <t>Tratamiento Capilar Capilatis Brillo Extremo 200 Gr</t>
        </is>
      </c>
      <c r="E1345" t="inlineStr">
        <is>
          <t>CAPILATIS</t>
        </is>
      </c>
      <c r="F1345" t="n">
        <v>607.85</v>
      </c>
      <c r="G1345" t="n">
        <v>50236</v>
      </c>
      <c r="H1345" t="b">
        <v>0</v>
      </c>
      <c r="I1345" t="n">
        <v>200</v>
      </c>
      <c r="J1345" t="n">
        <v>3.0393</v>
      </c>
      <c r="K1345" t="inlineStr">
        <is>
          <t>&gt; Perfumería &gt; Cuidado Capilar &gt; Reparación y Tratamientos &gt;</t>
        </is>
      </c>
      <c r="L1345" t="inlineStr">
        <is>
          <t>tratamiento</t>
        </is>
      </c>
      <c r="M1345" t="inlineStr">
        <is>
          <t>estandar</t>
        </is>
      </c>
      <c r="N1345" t="inlineStr">
        <is>
          <t>general</t>
        </is>
      </c>
      <c r="O1345" t="inlineStr">
        <is>
          <t>https://www.disco.com.ar/tratamiento-capilar-capilatis-brillo-extremo-200-gr/p</t>
        </is>
      </c>
    </row>
    <row r="1346">
      <c r="A1346" s="10" t="inlineStr">
        <is>
          <t>Disco</t>
        </is>
      </c>
      <c r="B1346" s="10" t="n">
        <v>3928</v>
      </c>
      <c r="C1346" s="10" t="n">
        <v>1952</v>
      </c>
      <c r="D1346" s="10" t="inlineStr">
        <is>
          <t>Tratamiento Capilar Tresemmé-hidratación Profunda-pet-gr.-400</t>
        </is>
      </c>
      <c r="E1346" s="10" t="inlineStr">
        <is>
          <t>TRESEMMÉ</t>
        </is>
      </c>
      <c r="F1346" s="10" t="n">
        <v>170.57</v>
      </c>
      <c r="G1346" s="10" t="n">
        <v>14097</v>
      </c>
      <c r="H1346" s="10" t="b">
        <v>0</v>
      </c>
      <c r="I1346" s="10" t="inlineStr"/>
      <c r="J1346" s="10" t="inlineStr"/>
      <c r="K1346" s="10" t="inlineStr">
        <is>
          <t>&gt; Perfumería &gt; Cuidado Capilar &gt; Reparación y Tratamientos &gt;</t>
        </is>
      </c>
      <c r="L1346" s="10" t="inlineStr">
        <is>
          <t>tratamiento</t>
        </is>
      </c>
      <c r="M1346" s="10" t="inlineStr">
        <is>
          <t>estandar</t>
        </is>
      </c>
      <c r="N1346" s="10" t="inlineStr">
        <is>
          <t>seco_danado</t>
        </is>
      </c>
      <c r="O1346" s="10" t="inlineStr">
        <is>
          <t>https://www.disco.com.ar/tratamiento-capilar-tresemme-4/p</t>
        </is>
      </c>
    </row>
    <row r="1347">
      <c r="A1347" t="inlineStr">
        <is>
          <t>Disco</t>
        </is>
      </c>
      <c r="B1347" t="n">
        <v>3891</v>
      </c>
      <c r="C1347" t="n">
        <v>1922</v>
      </c>
      <c r="D1347" t="inlineStr">
        <is>
          <t>Tratamiento Capilar Tresemme Infusión Queratina 400 Gr</t>
        </is>
      </c>
      <c r="E1347" t="inlineStr">
        <is>
          <t>TRESEMMÉ</t>
        </is>
      </c>
      <c r="F1347" t="n">
        <v>291.19</v>
      </c>
      <c r="G1347" t="n">
        <v>24065</v>
      </c>
      <c r="H1347" t="b">
        <v>0</v>
      </c>
      <c r="I1347" t="n">
        <v>400</v>
      </c>
      <c r="J1347" t="n">
        <v>0.728</v>
      </c>
      <c r="K1347" t="inlineStr">
        <is>
          <t>&gt; Perfumería &gt; Cuidado Capilar &gt; Reparación y Tratamientos &gt;</t>
        </is>
      </c>
      <c r="L1347" t="inlineStr">
        <is>
          <t>tratamiento</t>
        </is>
      </c>
      <c r="M1347" t="inlineStr">
        <is>
          <t>estandar</t>
        </is>
      </c>
      <c r="N1347" t="inlineStr">
        <is>
          <t>general</t>
        </is>
      </c>
      <c r="O1347" t="inlineStr">
        <is>
          <t>https://www.disco.com.ar/tratamiento-capilar-tresemme-infusion-queratina-400-gr/p</t>
        </is>
      </c>
    </row>
    <row r="1348">
      <c r="A1348" s="10" t="inlineStr">
        <is>
          <t>Disco</t>
        </is>
      </c>
      <c r="B1348" s="10" t="n">
        <v>146615</v>
      </c>
      <c r="C1348" s="10" t="n">
        <v>143524</v>
      </c>
      <c r="D1348" s="10" t="inlineStr">
        <is>
          <t>Tratamiento Capilar Sedal-color Vital-pmo-gr.-400</t>
        </is>
      </c>
      <c r="E1348" s="10" t="inlineStr">
        <is>
          <t>SEDAL</t>
        </is>
      </c>
      <c r="F1348" s="10" t="n">
        <v>26.27</v>
      </c>
      <c r="G1348" s="10" t="n">
        <v>2171</v>
      </c>
      <c r="H1348" s="10" t="b">
        <v>0</v>
      </c>
      <c r="I1348" s="10" t="inlineStr"/>
      <c r="J1348" s="10" t="inlineStr"/>
      <c r="K1348" s="10" t="inlineStr">
        <is>
          <t>&gt; Perfumería &gt; Cuidado Capilar &gt; Reparación y Tratamientos &gt;</t>
        </is>
      </c>
      <c r="L1348" s="10" t="inlineStr">
        <is>
          <t>tratamiento</t>
        </is>
      </c>
      <c r="M1348" s="10" t="inlineStr">
        <is>
          <t>estandar</t>
        </is>
      </c>
      <c r="N1348" s="10" t="inlineStr">
        <is>
          <t>tratado</t>
        </is>
      </c>
      <c r="O1348" s="10" t="inlineStr">
        <is>
          <t>https://www.disco.com.ar/tratamiento-capilar-sedal-color-vital-pmo-gr-400-2/p</t>
        </is>
      </c>
    </row>
    <row r="1349">
      <c r="A1349" t="inlineStr">
        <is>
          <t>Disco</t>
        </is>
      </c>
      <c r="B1349" t="n">
        <v>25637</v>
      </c>
      <c r="C1349" t="n">
        <v>22797</v>
      </c>
      <c r="D1349" t="inlineStr">
        <is>
          <t>Tratamiento Capilar Sedal Restauración Instantánea 400 Gr</t>
        </is>
      </c>
      <c r="E1349" t="inlineStr">
        <is>
          <t>SEDAL</t>
        </is>
      </c>
      <c r="F1349" t="n">
        <v>110.19</v>
      </c>
      <c r="G1349" t="n">
        <v>9107</v>
      </c>
      <c r="H1349" t="b">
        <v>0</v>
      </c>
      <c r="I1349" t="n">
        <v>400</v>
      </c>
      <c r="J1349" t="n">
        <v>0.2755</v>
      </c>
      <c r="K1349" t="inlineStr">
        <is>
          <t>&gt; Perfumería &gt; Cuidado Capilar &gt; Reparación y Tratamientos &gt;</t>
        </is>
      </c>
      <c r="L1349" t="inlineStr">
        <is>
          <t>tratamiento</t>
        </is>
      </c>
      <c r="M1349" t="inlineStr">
        <is>
          <t>estandar</t>
        </is>
      </c>
      <c r="N1349" t="inlineStr">
        <is>
          <t>general</t>
        </is>
      </c>
      <c r="O1349" t="inlineStr">
        <is>
          <t>https://www.disco.com.ar/tratamiento-capilar-sedal-restauracion-instantanea-400-gr/p</t>
        </is>
      </c>
    </row>
    <row r="1350">
      <c r="A1350" s="10" t="inlineStr">
        <is>
          <t>Disco</t>
        </is>
      </c>
      <c r="B1350" s="10" t="n">
        <v>3087925</v>
      </c>
      <c r="C1350" s="10" t="n">
        <v>3087153</v>
      </c>
      <c r="D1350" s="10" t="inlineStr">
        <is>
          <t>Tratamiento Capilar Collagen Lifter 100 Ml Elvive Serum Elvive Lifter Colageno 100ml</t>
        </is>
      </c>
      <c r="E1350" s="10" t="inlineStr">
        <is>
          <t>ELVIVE</t>
        </is>
      </c>
      <c r="F1350" s="10" t="n">
        <v>21000</v>
      </c>
      <c r="G1350" s="10" t="n">
        <v>1735537</v>
      </c>
      <c r="H1350" s="10" t="b">
        <v>0</v>
      </c>
      <c r="I1350" s="10" t="n">
        <v>100</v>
      </c>
      <c r="J1350" s="10" t="n">
        <v>210</v>
      </c>
      <c r="K1350" s="10" t="inlineStr">
        <is>
          <t>&gt; Perfumería &gt; Cuidado Capilar &gt; Reparación y Tratamientos &gt;</t>
        </is>
      </c>
      <c r="L1350" s="10" t="inlineStr">
        <is>
          <t>tratamiento</t>
        </is>
      </c>
      <c r="M1350" s="10" t="inlineStr">
        <is>
          <t>profesional</t>
        </is>
      </c>
      <c r="N1350" s="10" t="inlineStr">
        <is>
          <t>general</t>
        </is>
      </c>
      <c r="O1350" s="10" t="inlineStr">
        <is>
          <t>https://www.disco.com.ar/serum-elvive-lifter-colageno-100ml/p</t>
        </is>
      </c>
    </row>
    <row r="1351">
      <c r="A1351" t="inlineStr">
        <is>
          <t>Disco</t>
        </is>
      </c>
      <c r="B1351" t="n">
        <v>150244</v>
      </c>
      <c r="C1351" t="n">
        <v>147152</v>
      </c>
      <c r="D1351" t="inlineStr">
        <is>
          <t>Tratamiento Capilar Plusbelle-extra  Brillo-pvc-ml.-400</t>
        </is>
      </c>
      <c r="E1351" t="inlineStr">
        <is>
          <t>PLUSBELLE</t>
        </is>
      </c>
      <c r="F1351" t="n">
        <v>21.95</v>
      </c>
      <c r="G1351" t="n">
        <v>1814</v>
      </c>
      <c r="H1351" t="b">
        <v>0</v>
      </c>
      <c r="I1351" t="inlineStr"/>
      <c r="J1351" t="inlineStr"/>
      <c r="K1351" t="inlineStr">
        <is>
          <t>&gt; Perfumería &gt; Cuidado Capilar &gt; Reparación y Tratamientos &gt;</t>
        </is>
      </c>
      <c r="L1351" t="inlineStr">
        <is>
          <t>tratamiento</t>
        </is>
      </c>
      <c r="M1351" t="inlineStr">
        <is>
          <t>estandar</t>
        </is>
      </c>
      <c r="N1351" t="inlineStr">
        <is>
          <t>general</t>
        </is>
      </c>
      <c r="O1351" t="inlineStr">
        <is>
          <t>https://www.disco.com.ar/tratamiento-capilar-plusbelle-extra-brillo-pvc-ml-400-2/p</t>
        </is>
      </c>
    </row>
    <row r="1352">
      <c r="A1352" s="10" t="inlineStr">
        <is>
          <t>Disco</t>
        </is>
      </c>
      <c r="B1352" s="10" t="n">
        <v>150230</v>
      </c>
      <c r="C1352" s="10" t="n">
        <v>147140</v>
      </c>
      <c r="D1352" s="10" t="inlineStr">
        <is>
          <t>Tratamiento Capilar Plusbelle-reparación Total-pvc-ml.-400</t>
        </is>
      </c>
      <c r="E1352" s="10" t="inlineStr">
        <is>
          <t>PLUSBELLE</t>
        </is>
      </c>
      <c r="F1352" s="10" t="n">
        <v>21.95</v>
      </c>
      <c r="G1352" s="10" t="n">
        <v>1814</v>
      </c>
      <c r="H1352" s="10" t="b">
        <v>0</v>
      </c>
      <c r="I1352" s="10" t="inlineStr"/>
      <c r="J1352" s="10" t="inlineStr"/>
      <c r="K1352" s="10" t="inlineStr">
        <is>
          <t>&gt; Perfumería &gt; Cuidado Capilar &gt; Reparación y Tratamientos &gt;</t>
        </is>
      </c>
      <c r="L1352" s="10" t="inlineStr">
        <is>
          <t>tratamiento</t>
        </is>
      </c>
      <c r="M1352" s="10" t="inlineStr">
        <is>
          <t>estandar</t>
        </is>
      </c>
      <c r="N1352" s="10" t="inlineStr">
        <is>
          <t>general</t>
        </is>
      </c>
      <c r="O1352" s="10" t="inlineStr">
        <is>
          <t>https://www.disco.com.ar/tratamiento-capilar-plusbelle-reparacion-total-pvc-ml-400-2/p</t>
        </is>
      </c>
    </row>
    <row r="1353">
      <c r="A1353" t="inlineStr">
        <is>
          <t>Disco</t>
        </is>
      </c>
      <c r="B1353" t="n">
        <v>149885</v>
      </c>
      <c r="C1353" t="n">
        <v>146794</v>
      </c>
      <c r="D1353" t="inlineStr">
        <is>
          <t>Tratamiento Capilar Tresemmé-rituals-repair-pot-ml.-233</t>
        </is>
      </c>
      <c r="E1353" t="inlineStr">
        <is>
          <t>TRESEMMÉ</t>
        </is>
      </c>
      <c r="F1353" t="n">
        <v>25.09</v>
      </c>
      <c r="G1353" t="n">
        <v>2074</v>
      </c>
      <c r="H1353" t="b">
        <v>0</v>
      </c>
      <c r="I1353" t="inlineStr"/>
      <c r="J1353" t="inlineStr"/>
      <c r="K1353" t="inlineStr">
        <is>
          <t>&gt; Perfumería &gt; Cuidado Capilar &gt; Reparación y Tratamientos &gt;</t>
        </is>
      </c>
      <c r="L1353" t="inlineStr">
        <is>
          <t>tratamiento</t>
        </is>
      </c>
      <c r="M1353" t="inlineStr">
        <is>
          <t>profesional</t>
        </is>
      </c>
      <c r="N1353" t="inlineStr">
        <is>
          <t>general</t>
        </is>
      </c>
      <c r="O1353" t="inlineStr">
        <is>
          <t>https://www.disco.com.ar/tratamiento-capilar-tresemme-rituals-repair-pot-ml-233-2/p</t>
        </is>
      </c>
    </row>
    <row r="1354">
      <c r="A1354" s="10" t="inlineStr">
        <is>
          <t>Disco</t>
        </is>
      </c>
      <c r="B1354" s="10" t="n">
        <v>135764</v>
      </c>
      <c r="C1354" s="10" t="n">
        <v>132678</v>
      </c>
      <c r="D1354" s="10" t="inlineStr">
        <is>
          <t>Tratamiento Capilar Capilatis-brillo Extremo-bli-ml.-10</t>
        </is>
      </c>
      <c r="E1354" s="10" t="inlineStr">
        <is>
          <t>CAPILATIS</t>
        </is>
      </c>
      <c r="F1354" s="10" t="n">
        <v>20.17</v>
      </c>
      <c r="G1354" s="10" t="n">
        <v>1667</v>
      </c>
      <c r="H1354" s="10" t="b">
        <v>0</v>
      </c>
      <c r="I1354" s="10" t="inlineStr"/>
      <c r="J1354" s="10" t="inlineStr"/>
      <c r="K1354" s="10" t="inlineStr">
        <is>
          <t>&gt; Perfumería &gt; Cuidado Capilar &gt; Reparación y Tratamientos &gt;</t>
        </is>
      </c>
      <c r="L1354" s="10" t="inlineStr">
        <is>
          <t>tratamiento</t>
        </is>
      </c>
      <c r="M1354" s="10" t="inlineStr">
        <is>
          <t>estandar</t>
        </is>
      </c>
      <c r="N1354" s="10" t="inlineStr">
        <is>
          <t>general</t>
        </is>
      </c>
      <c r="O1354" s="10" t="inlineStr">
        <is>
          <t>https://www.disco.com.ar/tratamiento-capilar-capilatis-brillo-extremo-bli-ml-10-2/p</t>
        </is>
      </c>
    </row>
    <row r="1355">
      <c r="A1355" t="inlineStr">
        <is>
          <t>Disco</t>
        </is>
      </c>
      <c r="B1355" t="n">
        <v>91984</v>
      </c>
      <c r="C1355" t="n">
        <v>89313</v>
      </c>
      <c r="D1355" t="inlineStr">
        <is>
          <t>Tratamiento Capilar Tresemmé-split Remedy-pot-gr.-226</t>
        </is>
      </c>
      <c r="E1355" t="inlineStr">
        <is>
          <t>TRESEMMÉ</t>
        </is>
      </c>
      <c r="F1355" t="n">
        <v>20.99</v>
      </c>
      <c r="G1355" t="n">
        <v>1735</v>
      </c>
      <c r="H1355" t="b">
        <v>0</v>
      </c>
      <c r="I1355" t="inlineStr"/>
      <c r="J1355" t="inlineStr"/>
      <c r="K1355" t="inlineStr">
        <is>
          <t>&gt; Perfumería &gt; Cuidado Capilar &gt; Reparación y Tratamientos &gt;</t>
        </is>
      </c>
      <c r="L1355" t="inlineStr">
        <is>
          <t>tratamiento</t>
        </is>
      </c>
      <c r="M1355" t="inlineStr">
        <is>
          <t>estandar</t>
        </is>
      </c>
      <c r="N1355" t="inlineStr">
        <is>
          <t>general</t>
        </is>
      </c>
      <c r="O1355" t="inlineStr">
        <is>
          <t>https://www.disco.com.ar/tratamiento-capilar-tresemme-split-remedy-pot-gr-226/p</t>
        </is>
      </c>
    </row>
    <row r="1356">
      <c r="A1356" s="10" t="inlineStr">
        <is>
          <t>Disco</t>
        </is>
      </c>
      <c r="B1356" s="10" t="n">
        <v>55293</v>
      </c>
      <c r="C1356" s="10" t="n">
        <v>52453</v>
      </c>
      <c r="D1356" s="10" t="inlineStr">
        <is>
          <t>Tratamiento Capilar Sedal Verano Pot 450 Gr.</t>
        </is>
      </c>
      <c r="E1356" s="10" t="inlineStr">
        <is>
          <t>SEDAL</t>
        </is>
      </c>
      <c r="F1356" s="10" t="n">
        <v>7.49</v>
      </c>
      <c r="G1356" s="10" t="n">
        <v>7.49</v>
      </c>
      <c r="H1356" s="10" t="b">
        <v>0</v>
      </c>
      <c r="I1356" s="10" t="n">
        <v>450</v>
      </c>
      <c r="J1356" s="10" t="n">
        <v>0.0166</v>
      </c>
      <c r="K1356" s="10" t="inlineStr">
        <is>
          <t>&gt; Perfumería &gt; Cuidado Capilar &gt; Reparación y Tratamientos &gt;</t>
        </is>
      </c>
      <c r="L1356" s="10" t="inlineStr">
        <is>
          <t>tratamiento</t>
        </is>
      </c>
      <c r="M1356" s="10" t="inlineStr">
        <is>
          <t>estandar</t>
        </is>
      </c>
      <c r="N1356" s="10" t="inlineStr">
        <is>
          <t>general</t>
        </is>
      </c>
      <c r="O1356" s="10" t="inlineStr">
        <is>
          <t>https://www.disco.com.ar/tratamiento-capilar-sedal-verano-pot-450-gr/p</t>
        </is>
      </c>
    </row>
    <row r="1357">
      <c r="A1357" t="inlineStr">
        <is>
          <t>Disco</t>
        </is>
      </c>
      <c r="B1357" t="n">
        <v>47283</v>
      </c>
      <c r="C1357" t="n">
        <v>44448</v>
      </c>
      <c r="D1357" t="inlineStr">
        <is>
          <t>Tratamiento Capilar Pantene Micro Blindaje 160 Ml</t>
        </is>
      </c>
      <c r="E1357" t="inlineStr">
        <is>
          <t>PANTENE</t>
        </is>
      </c>
      <c r="F1357" t="n">
        <v>88.09</v>
      </c>
      <c r="G1357" t="n">
        <v>7280</v>
      </c>
      <c r="H1357" t="b">
        <v>0</v>
      </c>
      <c r="I1357" t="n">
        <v>160</v>
      </c>
      <c r="J1357" t="n">
        <v>0.5506</v>
      </c>
      <c r="K1357" t="inlineStr">
        <is>
          <t>&gt; Perfumería &gt; Cuidado Capilar &gt; Reparación y Tratamientos &gt;</t>
        </is>
      </c>
      <c r="L1357" t="inlineStr">
        <is>
          <t>tratamiento</t>
        </is>
      </c>
      <c r="M1357" t="inlineStr">
        <is>
          <t>estandar</t>
        </is>
      </c>
      <c r="N1357" t="inlineStr">
        <is>
          <t>general</t>
        </is>
      </c>
      <c r="O1357" t="inlineStr">
        <is>
          <t>https://www.disco.com.ar/tratamiento-capilar-pantene-micro-blindaje-160-ml/p</t>
        </is>
      </c>
    </row>
    <row r="1358">
      <c r="A1358" s="10" t="inlineStr">
        <is>
          <t>Disco</t>
        </is>
      </c>
      <c r="B1358" s="10" t="n">
        <v>42857</v>
      </c>
      <c r="C1358" s="10" t="n">
        <v>40028</v>
      </c>
      <c r="D1358" s="10" t="inlineStr">
        <is>
          <t>Tratamiento Capilar Pantene Reparación Rejuvenecedora 300 Ml</t>
        </is>
      </c>
      <c r="E1358" s="10" t="inlineStr">
        <is>
          <t>PANTENE</t>
        </is>
      </c>
      <c r="F1358" s="10" t="n">
        <v>68.19</v>
      </c>
      <c r="G1358" s="10" t="n">
        <v>5636</v>
      </c>
      <c r="H1358" s="10" t="b">
        <v>0</v>
      </c>
      <c r="I1358" s="10" t="n">
        <v>300</v>
      </c>
      <c r="J1358" s="10" t="n">
        <v>0.2273</v>
      </c>
      <c r="K1358" s="10" t="inlineStr">
        <is>
          <t>&gt; Perfumería &gt; Cuidado Capilar &gt; Reparación y Tratamientos &gt;</t>
        </is>
      </c>
      <c r="L1358" s="10" t="inlineStr">
        <is>
          <t>tratamiento</t>
        </is>
      </c>
      <c r="M1358" s="10" t="inlineStr">
        <is>
          <t>estandar</t>
        </is>
      </c>
      <c r="N1358" s="10" t="inlineStr">
        <is>
          <t>general</t>
        </is>
      </c>
      <c r="O1358" s="10" t="inlineStr">
        <is>
          <t>https://www.disco.com.ar/tratamiento-capilar-pantene-reparacion-rejuvenecedora-300-ml/p</t>
        </is>
      </c>
    </row>
    <row r="1359">
      <c r="A1359" t="inlineStr">
        <is>
          <t>Disco</t>
        </is>
      </c>
      <c r="B1359" t="n">
        <v>19541</v>
      </c>
      <c r="C1359" t="n">
        <v>16698</v>
      </c>
      <c r="D1359" t="inlineStr">
        <is>
          <t>Tratamiento Capilar Tresemme Blindaje Platinium 400 Gr</t>
        </is>
      </c>
      <c r="E1359" t="inlineStr">
        <is>
          <t>TRESEMMÉ</t>
        </is>
      </c>
      <c r="F1359" t="n">
        <v>291.19</v>
      </c>
      <c r="G1359" t="n">
        <v>24065</v>
      </c>
      <c r="H1359" t="b">
        <v>0</v>
      </c>
      <c r="I1359" t="n">
        <v>400</v>
      </c>
      <c r="J1359" t="n">
        <v>0.728</v>
      </c>
      <c r="K1359" t="inlineStr">
        <is>
          <t>&gt; Perfumería &gt; Cuidado Capilar &gt; Reparación y Tratamientos &gt;</t>
        </is>
      </c>
      <c r="L1359" t="inlineStr">
        <is>
          <t>tratamiento</t>
        </is>
      </c>
      <c r="M1359" t="inlineStr">
        <is>
          <t>estandar</t>
        </is>
      </c>
      <c r="N1359" t="inlineStr">
        <is>
          <t>general</t>
        </is>
      </c>
      <c r="O1359" t="inlineStr">
        <is>
          <t>https://www.disco.com.ar/tratamiento-capilar-tresemme-blindaje-platinium-400-gr/p</t>
        </is>
      </c>
    </row>
    <row r="1360">
      <c r="A1360" s="10" t="inlineStr">
        <is>
          <t>Disco</t>
        </is>
      </c>
      <c r="B1360" s="10" t="n">
        <v>3935</v>
      </c>
      <c r="C1360" s="10" t="n">
        <v>1955</v>
      </c>
      <c r="D1360" s="10" t="inlineStr">
        <is>
          <t>Tratamiento Capilar Tresemme Control Caída 400 Gr</t>
        </is>
      </c>
      <c r="E1360" s="10" t="inlineStr">
        <is>
          <t>TRESEMMÉ</t>
        </is>
      </c>
      <c r="F1360" s="10" t="n">
        <v>170.57</v>
      </c>
      <c r="G1360" s="10" t="n">
        <v>14097</v>
      </c>
      <c r="H1360" s="10" t="b">
        <v>0</v>
      </c>
      <c r="I1360" s="10" t="n">
        <v>400</v>
      </c>
      <c r="J1360" s="10" t="n">
        <v>0.4264</v>
      </c>
      <c r="K1360" s="10" t="inlineStr">
        <is>
          <t>&gt; Perfumería &gt; Cuidado Capilar &gt; Reparación y Tratamientos &gt;</t>
        </is>
      </c>
      <c r="L1360" s="10" t="inlineStr">
        <is>
          <t>tratamiento</t>
        </is>
      </c>
      <c r="M1360" s="10" t="inlineStr">
        <is>
          <t>estandar</t>
        </is>
      </c>
      <c r="N1360" s="10" t="inlineStr">
        <is>
          <t>general</t>
        </is>
      </c>
      <c r="O1360" s="10" t="inlineStr">
        <is>
          <t>https://www.disco.com.ar/tratamiento-capilar-tresemme-control-caida-400-gr/p</t>
        </is>
      </c>
    </row>
    <row r="1361">
      <c r="A1361" t="inlineStr">
        <is>
          <t>Disco</t>
        </is>
      </c>
      <c r="B1361" t="n">
        <v>149439</v>
      </c>
      <c r="C1361" t="n">
        <v>146329</v>
      </c>
      <c r="D1361" t="inlineStr">
        <is>
          <t>Tratamiento Capilar Tresemmé-rituals-nocturno Repair-pot-ml.-233</t>
        </is>
      </c>
      <c r="E1361" t="inlineStr">
        <is>
          <t>TRESEMMÉ</t>
        </is>
      </c>
      <c r="F1361" t="n">
        <v>20.15</v>
      </c>
      <c r="G1361" t="n">
        <v>1665</v>
      </c>
      <c r="H1361" t="b">
        <v>0</v>
      </c>
      <c r="I1361" t="inlineStr"/>
      <c r="J1361" t="inlineStr"/>
      <c r="K1361" t="inlineStr">
        <is>
          <t>&gt; Perfumería &gt; Cuidado Capilar &gt; Reparación y Tratamientos &gt;</t>
        </is>
      </c>
      <c r="L1361" t="inlineStr">
        <is>
          <t>tratamiento</t>
        </is>
      </c>
      <c r="M1361" t="inlineStr">
        <is>
          <t>profesional</t>
        </is>
      </c>
      <c r="N1361" t="inlineStr">
        <is>
          <t>general</t>
        </is>
      </c>
      <c r="O1361" t="inlineStr">
        <is>
          <t>https://www.disco.com.ar/tratamiento-capilar-tresemme-rituals-nocturno-repair-pot-ml-233-2/p</t>
        </is>
      </c>
    </row>
    <row r="1362">
      <c r="A1362" s="10" t="inlineStr">
        <is>
          <t>Disco</t>
        </is>
      </c>
      <c r="B1362" s="10" t="n">
        <v>144218</v>
      </c>
      <c r="C1362" s="10" t="n">
        <v>141129</v>
      </c>
      <c r="D1362" s="10" t="inlineStr">
        <is>
          <t>Tratamiento Capilar Sedal Liso Perfecto X 450 Ml</t>
        </is>
      </c>
      <c r="E1362" s="10" t="inlineStr">
        <is>
          <t>SEDAL</t>
        </is>
      </c>
      <c r="F1362" s="10" t="n">
        <v>10.59</v>
      </c>
      <c r="G1362" s="10" t="n">
        <v>10.59</v>
      </c>
      <c r="H1362" s="10" t="b">
        <v>0</v>
      </c>
      <c r="I1362" s="10" t="n">
        <v>450</v>
      </c>
      <c r="J1362" s="10" t="n">
        <v>0.0235</v>
      </c>
      <c r="K1362" s="10" t="inlineStr">
        <is>
          <t>&gt; Perfumería &gt; Cuidado Capilar &gt; Reparación y Tratamientos &gt;</t>
        </is>
      </c>
      <c r="L1362" s="10" t="inlineStr">
        <is>
          <t>tratamiento</t>
        </is>
      </c>
      <c r="M1362" s="10" t="inlineStr">
        <is>
          <t>estandar</t>
        </is>
      </c>
      <c r="N1362" s="10" t="inlineStr">
        <is>
          <t>general</t>
        </is>
      </c>
      <c r="O1362" s="10" t="inlineStr">
        <is>
          <t>https://www.disco.com.ar/tratamiento-capilar-sedal-liso-perfecto-x-450-ml-2/p</t>
        </is>
      </c>
    </row>
    <row r="1363">
      <c r="A1363" t="inlineStr">
        <is>
          <t>Disco</t>
        </is>
      </c>
      <c r="B1363" t="n">
        <v>144185</v>
      </c>
      <c r="C1363" t="n">
        <v>141096</v>
      </c>
      <c r="D1363" t="inlineStr">
        <is>
          <t>Tratamiento Capilar Sedal Rizos Obedientes X 450 Ml</t>
        </is>
      </c>
      <c r="E1363" t="inlineStr">
        <is>
          <t>SEDAL</t>
        </is>
      </c>
      <c r="F1363" t="n">
        <v>14.23</v>
      </c>
      <c r="G1363" t="n">
        <v>14.23</v>
      </c>
      <c r="H1363" t="b">
        <v>0</v>
      </c>
      <c r="I1363" t="n">
        <v>450</v>
      </c>
      <c r="J1363" t="n">
        <v>0.0316</v>
      </c>
      <c r="K1363" t="inlineStr">
        <is>
          <t>&gt; Perfumería &gt; Cuidado Capilar &gt; Reparación y Tratamientos &gt;</t>
        </is>
      </c>
      <c r="L1363" t="inlineStr">
        <is>
          <t>tratamiento</t>
        </is>
      </c>
      <c r="M1363" t="inlineStr">
        <is>
          <t>estandar</t>
        </is>
      </c>
      <c r="N1363" t="inlineStr">
        <is>
          <t>rizado</t>
        </is>
      </c>
      <c r="O1363" t="inlineStr">
        <is>
          <t>https://www.disco.com.ar/tratamiento-capilar-sedal-rizos-obedientes-x-450-ml-2/p</t>
        </is>
      </c>
    </row>
    <row r="1364">
      <c r="A1364" s="10" t="inlineStr">
        <is>
          <t>Disco</t>
        </is>
      </c>
      <c r="B1364" s="10" t="n">
        <v>3071065</v>
      </c>
      <c r="C1364" s="10" t="n">
        <v>3070628</v>
      </c>
      <c r="D1364" s="10" t="inlineStr">
        <is>
          <t>Spray Tratamiento Capilar Hydra Oil 120 Ml Tresemmé Spray  Para El Cabello Hydra Oil X 120 Ml Tresemmé</t>
        </is>
      </c>
      <c r="E1364" s="10" t="inlineStr">
        <is>
          <t>TRESEMMÉ</t>
        </is>
      </c>
      <c r="F1364" s="10" t="n">
        <v>12150</v>
      </c>
      <c r="G1364" s="10" t="n">
        <v>1004132</v>
      </c>
      <c r="H1364" s="10" t="b">
        <v>0</v>
      </c>
      <c r="I1364" s="10" t="n">
        <v>120</v>
      </c>
      <c r="J1364" s="10" t="n">
        <v>101.25</v>
      </c>
      <c r="K1364" s="10" t="inlineStr">
        <is>
          <t>&gt; Perfumería &gt; Cuidado Capilar &gt; Reparación y Tratamientos &gt;</t>
        </is>
      </c>
      <c r="L1364" s="10" t="inlineStr">
        <is>
          <t>tratamiento</t>
        </is>
      </c>
      <c r="M1364" s="10" t="inlineStr">
        <is>
          <t>estandar</t>
        </is>
      </c>
      <c r="N1364" s="10" t="inlineStr">
        <is>
          <t>general</t>
        </is>
      </c>
      <c r="O1364" s="10" t="inlineStr">
        <is>
          <t>https://www.disco.com.ar/spray-para-el-cabello-hydra-oil-x-120-ml-tresemme/p</t>
        </is>
      </c>
    </row>
    <row r="1365">
      <c r="A1365" t="inlineStr">
        <is>
          <t>Disco</t>
        </is>
      </c>
      <c r="B1365" t="n">
        <v>236478</v>
      </c>
      <c r="C1365" t="n">
        <v>204583</v>
      </c>
      <c r="D1365" t="inlineStr">
        <is>
          <t>Tratamiento Capilar Capilatis Pre Stilyng  Pvc X 140gr</t>
        </is>
      </c>
      <c r="E1365" t="inlineStr">
        <is>
          <t>CAPILATIS</t>
        </is>
      </c>
      <c r="F1365" t="n">
        <v>12.05</v>
      </c>
      <c r="G1365" t="n">
        <v>12.05</v>
      </c>
      <c r="H1365" t="b">
        <v>0</v>
      </c>
      <c r="I1365" t="n">
        <v>140</v>
      </c>
      <c r="J1365" t="n">
        <v>0.0861</v>
      </c>
      <c r="K1365" t="inlineStr">
        <is>
          <t>&gt; Perfumería &gt; Cuidado Capilar &gt; Reparación y Tratamientos &gt;</t>
        </is>
      </c>
      <c r="L1365" t="inlineStr">
        <is>
          <t>tratamiento</t>
        </is>
      </c>
      <c r="M1365" t="inlineStr">
        <is>
          <t>estandar</t>
        </is>
      </c>
      <c r="N1365" t="inlineStr">
        <is>
          <t>general</t>
        </is>
      </c>
      <c r="O1365" t="inlineStr">
        <is>
          <t>https://www.disco.com.ar/tratamiento-capilar-capilatis-pre-stilyng-pvc-x-140gr-271624/p</t>
        </is>
      </c>
    </row>
    <row r="1366">
      <c r="A1366" s="10" t="inlineStr">
        <is>
          <t>Disco</t>
        </is>
      </c>
      <c r="B1366" s="10" t="n">
        <v>3073300</v>
      </c>
      <c r="C1366" s="10" t="n">
        <v>3072805</v>
      </c>
      <c r="D1366" s="10" t="inlineStr">
        <is>
          <t>Tratamiento Capilar Vegetal Regenerador X 300 Ml Bagovit</t>
        </is>
      </c>
      <c r="E1366" s="10" t="inlineStr">
        <is>
          <t>BAGOVIT</t>
        </is>
      </c>
      <c r="F1366" s="10" t="n">
        <v>9700</v>
      </c>
      <c r="G1366" s="10" t="n">
        <v>801653</v>
      </c>
      <c r="H1366" s="10" t="b">
        <v>0</v>
      </c>
      <c r="I1366" s="10" t="n">
        <v>300</v>
      </c>
      <c r="J1366" s="10" t="n">
        <v>32.3333</v>
      </c>
      <c r="K1366" s="10" t="inlineStr">
        <is>
          <t>&gt; Perfumería &gt; Cuidado Capilar &gt; Reparación y Tratamientos &gt;</t>
        </is>
      </c>
      <c r="L1366" s="10" t="inlineStr">
        <is>
          <t>tratamiento</t>
        </is>
      </c>
      <c r="M1366" s="10" t="inlineStr">
        <is>
          <t>estandar</t>
        </is>
      </c>
      <c r="N1366" s="10" t="inlineStr">
        <is>
          <t>general</t>
        </is>
      </c>
      <c r="O1366" s="10" t="inlineStr">
        <is>
          <t>https://www.disco.com.ar/tratamiento-capilar-vegetal-regenerador-x-300-ml-bagovit/p</t>
        </is>
      </c>
    </row>
    <row r="1367">
      <c r="A1367" t="inlineStr">
        <is>
          <t>Disco</t>
        </is>
      </c>
      <c r="B1367" t="n">
        <v>174769</v>
      </c>
      <c r="C1367" t="n">
        <v>186256</v>
      </c>
      <c r="D1367" t="inlineStr">
        <is>
          <t>Tratamiento Capilar Estilisse Rulos Atractivos Pote 330 Ml</t>
        </is>
      </c>
      <c r="E1367" t="inlineStr">
        <is>
          <t>NENNIN NATURESSENCE</t>
        </is>
      </c>
      <c r="F1367" t="n">
        <v>4.49</v>
      </c>
      <c r="G1367" t="n">
        <v>4.49</v>
      </c>
      <c r="H1367" t="b">
        <v>0</v>
      </c>
      <c r="I1367" t="n">
        <v>330</v>
      </c>
      <c r="J1367" t="n">
        <v>0.0136</v>
      </c>
      <c r="K1367" t="inlineStr">
        <is>
          <t>&gt; Perfumería &gt; Cuidado Capilar &gt; Reparación y Tratamientos &gt;</t>
        </is>
      </c>
      <c r="L1367" t="inlineStr">
        <is>
          <t>tratamiento</t>
        </is>
      </c>
      <c r="M1367" t="inlineStr">
        <is>
          <t>estandar</t>
        </is>
      </c>
      <c r="N1367" t="inlineStr">
        <is>
          <t>rizado</t>
        </is>
      </c>
      <c r="O1367" t="inlineStr">
        <is>
          <t>https://www.disco.com.ar/tratamiento-capilar-estilisse-rulos-atractivos-pote-330-ml/p</t>
        </is>
      </c>
    </row>
    <row r="1368">
      <c r="A1368" s="10" t="inlineStr">
        <is>
          <t>Disco</t>
        </is>
      </c>
      <c r="B1368" s="10" t="n">
        <v>148932</v>
      </c>
      <c r="C1368" s="10" t="n">
        <v>145824</v>
      </c>
      <c r="D1368" s="10" t="inlineStr">
        <is>
          <t>Tratamiento Capilar Plusbelle-plusbelle Effect-reparación Total-pot-ml.-400</t>
        </is>
      </c>
      <c r="E1368" s="10" t="inlineStr">
        <is>
          <t>PLUSBELLE</t>
        </is>
      </c>
      <c r="F1368" s="10" t="n">
        <v>14.47</v>
      </c>
      <c r="G1368" s="10" t="n">
        <v>1196</v>
      </c>
      <c r="H1368" s="10" t="b">
        <v>0</v>
      </c>
      <c r="I1368" s="10" t="inlineStr"/>
      <c r="J1368" s="10" t="inlineStr"/>
      <c r="K1368" s="10" t="inlineStr">
        <is>
          <t>&gt; Perfumería &gt; Cuidado Capilar &gt; Reparación y Tratamientos &gt;</t>
        </is>
      </c>
      <c r="L1368" s="10" t="inlineStr">
        <is>
          <t>tratamiento</t>
        </is>
      </c>
      <c r="M1368" s="10" t="inlineStr">
        <is>
          <t>estandar</t>
        </is>
      </c>
      <c r="N1368" s="10" t="inlineStr">
        <is>
          <t>general</t>
        </is>
      </c>
      <c r="O1368" s="10" t="inlineStr">
        <is>
          <t>https://www.disco.com.ar/tratamiento-capilar-plusbelle-plusbelle-effect-reparacion-total-pot-ml-400-2/p</t>
        </is>
      </c>
    </row>
    <row r="1369">
      <c r="A1369" t="inlineStr">
        <is>
          <t>Disco</t>
        </is>
      </c>
      <c r="B1369" t="n">
        <v>135324</v>
      </c>
      <c r="C1369" t="n">
        <v>132237</v>
      </c>
      <c r="D1369" t="inlineStr">
        <is>
          <t>Tratamiento Capilar Capilatis-para Caída Del Cabello-bli-ml.-10</t>
        </is>
      </c>
      <c r="E1369" t="inlineStr">
        <is>
          <t>CAPILATIS</t>
        </is>
      </c>
      <c r="F1369" t="n">
        <v>20.17</v>
      </c>
      <c r="G1369" t="n">
        <v>1667</v>
      </c>
      <c r="H1369" t="b">
        <v>0</v>
      </c>
      <c r="I1369" t="inlineStr"/>
      <c r="J1369" t="inlineStr"/>
      <c r="K1369" t="inlineStr">
        <is>
          <t>&gt; Perfumería &gt; Cuidado Capilar &gt; Reparación y Tratamientos &gt;</t>
        </is>
      </c>
      <c r="L1369" t="inlineStr">
        <is>
          <t>tratamiento</t>
        </is>
      </c>
      <c r="M1369" t="inlineStr">
        <is>
          <t>estandar</t>
        </is>
      </c>
      <c r="N1369" t="inlineStr">
        <is>
          <t>general</t>
        </is>
      </c>
      <c r="O1369" t="inlineStr">
        <is>
          <t>https://www.disco.com.ar/tratamiento-capilar-capilatis-para-caida-del-cabello-bli-ml-10/p</t>
        </is>
      </c>
    </row>
    <row r="1370">
      <c r="A1370" s="10" t="inlineStr">
        <is>
          <t>Disco</t>
        </is>
      </c>
      <c r="B1370" s="10" t="n">
        <v>383083</v>
      </c>
      <c r="C1370" s="10" t="n">
        <v>381798</v>
      </c>
      <c r="D1370" s="10" t="inlineStr">
        <is>
          <t>Tratamiento Capilar Canas Fabulosas Anti-Amarillo 150 Grs Issue</t>
        </is>
      </c>
      <c r="E1370" s="10" t="inlineStr">
        <is>
          <t>ISSUE</t>
        </is>
      </c>
      <c r="F1370" s="10" t="n">
        <v>4400</v>
      </c>
      <c r="G1370" s="10" t="n">
        <v>363636</v>
      </c>
      <c r="H1370" s="10" t="b">
        <v>0</v>
      </c>
      <c r="I1370" s="10" t="inlineStr"/>
      <c r="J1370" s="10" t="inlineStr"/>
      <c r="K1370" s="10" t="inlineStr">
        <is>
          <t>&gt; Perfumería &gt; Cuidado Capilar &gt; Reparación y Tratamientos &gt;</t>
        </is>
      </c>
      <c r="L1370" s="10" t="inlineStr">
        <is>
          <t>tratamiento</t>
        </is>
      </c>
      <c r="M1370" s="10" t="inlineStr">
        <is>
          <t>estandar</t>
        </is>
      </c>
      <c r="N1370" s="10" t="inlineStr">
        <is>
          <t>general</t>
        </is>
      </c>
      <c r="O1370" s="10" t="inlineStr">
        <is>
          <t>https://www.disco.com.ar/tratamiento-capilar-issue-canas-fabulosas-150-gr/p</t>
        </is>
      </c>
    </row>
    <row r="1371">
      <c r="A1371" t="inlineStr">
        <is>
          <t>Disco</t>
        </is>
      </c>
      <c r="B1371" t="n">
        <v>149502</v>
      </c>
      <c r="C1371" t="n">
        <v>146394</v>
      </c>
      <c r="D1371" t="inlineStr">
        <is>
          <t>Tratamiento Capilar Plusbelle-plusbelle Effect-control Caida-pot-ml.-400</t>
        </is>
      </c>
      <c r="E1371" t="inlineStr">
        <is>
          <t>PLUSBELLE</t>
        </is>
      </c>
      <c r="F1371" t="n">
        <v>18.35</v>
      </c>
      <c r="G1371" t="n">
        <v>18.35</v>
      </c>
      <c r="H1371" t="b">
        <v>0</v>
      </c>
      <c r="I1371" t="inlineStr"/>
      <c r="J1371" t="inlineStr"/>
      <c r="K1371" t="inlineStr">
        <is>
          <t>&gt; Perfumería &gt; Cuidado Capilar &gt; Reparación y Tratamientos &gt;</t>
        </is>
      </c>
      <c r="L1371" t="inlineStr">
        <is>
          <t>tratamiento</t>
        </is>
      </c>
      <c r="M1371" t="inlineStr">
        <is>
          <t>estandar</t>
        </is>
      </c>
      <c r="N1371" t="inlineStr">
        <is>
          <t>general</t>
        </is>
      </c>
      <c r="O1371" t="inlineStr">
        <is>
          <t>https://www.disco.com.ar/tratamiento-capilar-plusbelle-plusbelle-effect-control-caida-pot-ml-400/p</t>
        </is>
      </c>
    </row>
    <row r="1372">
      <c r="A1372" s="10" t="inlineStr">
        <is>
          <t>Disco</t>
        </is>
      </c>
      <c r="B1372" s="10" t="n">
        <v>149108</v>
      </c>
      <c r="C1372" s="10" t="n">
        <v>146000</v>
      </c>
      <c r="D1372" s="10" t="inlineStr">
        <is>
          <t>Tratamiento Capilar Plusbelle-plusbelle Effect-extra  Brillo-pot-ml.-400</t>
        </is>
      </c>
      <c r="E1372" s="10" t="inlineStr">
        <is>
          <t>PLUSBELLE</t>
        </is>
      </c>
      <c r="F1372" s="10" t="n">
        <v>14.47</v>
      </c>
      <c r="G1372" s="10" t="n">
        <v>1196</v>
      </c>
      <c r="H1372" s="10" t="b">
        <v>0</v>
      </c>
      <c r="I1372" s="10" t="inlineStr"/>
      <c r="J1372" s="10" t="inlineStr"/>
      <c r="K1372" s="10" t="inlineStr">
        <is>
          <t>&gt; Perfumería &gt; Cuidado Capilar &gt; Reparación y Tratamientos &gt;</t>
        </is>
      </c>
      <c r="L1372" s="10" t="inlineStr">
        <is>
          <t>tratamiento</t>
        </is>
      </c>
      <c r="M1372" s="10" t="inlineStr">
        <is>
          <t>estandar</t>
        </is>
      </c>
      <c r="N1372" s="10" t="inlineStr">
        <is>
          <t>general</t>
        </is>
      </c>
      <c r="O1372" s="10" t="inlineStr">
        <is>
          <t>https://www.disco.com.ar/tratamiento-capilar-plusbelle-plusbelle-effect-extra-brillo-pot-ml-400-2/p</t>
        </is>
      </c>
    </row>
    <row r="1373">
      <c r="A1373" t="inlineStr">
        <is>
          <t>Disco</t>
        </is>
      </c>
      <c r="B1373" t="n">
        <v>135554</v>
      </c>
      <c r="C1373" t="n">
        <v>132466</v>
      </c>
      <c r="D1373" t="inlineStr">
        <is>
          <t>Tratamiento Capilar Capilatis-u2 Rattle &amp; Hum-bli-ml.-10</t>
        </is>
      </c>
      <c r="E1373" t="inlineStr">
        <is>
          <t>CAPILATIS</t>
        </is>
      </c>
      <c r="F1373" t="n">
        <v>33.95</v>
      </c>
      <c r="G1373" t="n">
        <v>2806</v>
      </c>
      <c r="H1373" t="b">
        <v>0</v>
      </c>
      <c r="I1373" t="inlineStr"/>
      <c r="J1373" t="inlineStr"/>
      <c r="K1373" t="inlineStr">
        <is>
          <t>&gt; Perfumería &gt; Cuidado Capilar &gt; Reparación y Tratamientos &gt;</t>
        </is>
      </c>
      <c r="L1373" t="inlineStr">
        <is>
          <t>tratamiento</t>
        </is>
      </c>
      <c r="M1373" t="inlineStr">
        <is>
          <t>estandar</t>
        </is>
      </c>
      <c r="N1373" t="inlineStr">
        <is>
          <t>general</t>
        </is>
      </c>
      <c r="O1373" t="inlineStr">
        <is>
          <t>https://www.disco.com.ar/tratamiento-capilar-capilatis-u2-rattle-hum-bli-ml-10/p</t>
        </is>
      </c>
    </row>
    <row r="1374">
      <c r="A1374" s="10" t="inlineStr">
        <is>
          <t>Disco</t>
        </is>
      </c>
      <c r="B1374" s="10" t="n">
        <v>90744</v>
      </c>
      <c r="C1374" s="10" t="n">
        <v>88072</v>
      </c>
      <c r="D1374" s="10" t="inlineStr">
        <is>
          <t>Tratamiento Capilar Plusbelle-color Brillante-plusbelle Effect.-pvc-ml.-400</t>
        </is>
      </c>
      <c r="E1374" s="10" t="inlineStr">
        <is>
          <t>PLUSBELLE</t>
        </is>
      </c>
      <c r="F1374" s="10" t="n">
        <v>21.89</v>
      </c>
      <c r="G1374" s="10" t="n">
        <v>1809</v>
      </c>
      <c r="H1374" s="10" t="b">
        <v>0</v>
      </c>
      <c r="I1374" s="10" t="inlineStr"/>
      <c r="J1374" s="10" t="inlineStr"/>
      <c r="K1374" s="10" t="inlineStr">
        <is>
          <t>&gt; Perfumería &gt; Cuidado Capilar &gt; Reparación y Tratamientos &gt;</t>
        </is>
      </c>
      <c r="L1374" s="10" t="inlineStr">
        <is>
          <t>tratamiento</t>
        </is>
      </c>
      <c r="M1374" s="10" t="inlineStr">
        <is>
          <t>estandar</t>
        </is>
      </c>
      <c r="N1374" s="10" t="inlineStr">
        <is>
          <t>tratado</t>
        </is>
      </c>
      <c r="O1374" s="10" t="inlineStr">
        <is>
          <t>https://www.disco.com.ar/tratamiento-capilar-plusbelle-color-brillante-plusbelle-effect-pvc-ml-400/p</t>
        </is>
      </c>
    </row>
    <row r="1375">
      <c r="A1375" t="inlineStr">
        <is>
          <t>Disco</t>
        </is>
      </c>
      <c r="B1375" t="n">
        <v>30223</v>
      </c>
      <c r="C1375" t="n">
        <v>27382</v>
      </c>
      <c r="D1375" t="inlineStr">
        <is>
          <t>Tratamiento Capilar Pantene Microactive Split End Fuser 100 Ml</t>
        </is>
      </c>
      <c r="E1375" t="inlineStr">
        <is>
          <t>PANTENE</t>
        </is>
      </c>
      <c r="F1375" t="n">
        <v>121.79</v>
      </c>
      <c r="G1375" t="n">
        <v>10065</v>
      </c>
      <c r="H1375" t="b">
        <v>0</v>
      </c>
      <c r="I1375" t="n">
        <v>100</v>
      </c>
      <c r="J1375" t="n">
        <v>1.2179</v>
      </c>
      <c r="K1375" t="inlineStr">
        <is>
          <t>&gt; Perfumería &gt; Cuidado Capilar &gt; Reparación y Tratamientos &gt;</t>
        </is>
      </c>
      <c r="L1375" t="inlineStr">
        <is>
          <t>tratamiento</t>
        </is>
      </c>
      <c r="M1375" t="inlineStr">
        <is>
          <t>estandar</t>
        </is>
      </c>
      <c r="N1375" t="inlineStr">
        <is>
          <t>general</t>
        </is>
      </c>
      <c r="O1375" t="inlineStr">
        <is>
          <t>https://www.disco.com.ar/tratamiento-capilar-pantene-3/p</t>
        </is>
      </c>
    </row>
    <row r="1376">
      <c r="A1376" s="10" t="inlineStr">
        <is>
          <t>Disco</t>
        </is>
      </c>
      <c r="B1376" s="10" t="n">
        <v>135496</v>
      </c>
      <c r="C1376" s="10" t="n">
        <v>132408</v>
      </c>
      <c r="D1376" s="10" t="inlineStr">
        <is>
          <t>Tratamiento Capilar Capilatis-ortiga-para Caída Del Cabello-bli-ml.-10</t>
        </is>
      </c>
      <c r="E1376" s="10" t="inlineStr">
        <is>
          <t>CAPILATIS</t>
        </is>
      </c>
      <c r="F1376" s="10" t="n">
        <v>20.17</v>
      </c>
      <c r="G1376" s="10" t="n">
        <v>1667</v>
      </c>
      <c r="H1376" s="10" t="b">
        <v>0</v>
      </c>
      <c r="I1376" s="10" t="inlineStr"/>
      <c r="J1376" s="10" t="inlineStr"/>
      <c r="K1376" s="10" t="inlineStr">
        <is>
          <t>&gt; Perfumería &gt; Cuidado Capilar &gt; Reparación y Tratamientos &gt;</t>
        </is>
      </c>
      <c r="L1376" s="10" t="inlineStr">
        <is>
          <t>tratamiento</t>
        </is>
      </c>
      <c r="M1376" s="10" t="inlineStr">
        <is>
          <t>estandar</t>
        </is>
      </c>
      <c r="N1376" s="10" t="inlineStr">
        <is>
          <t>general</t>
        </is>
      </c>
      <c r="O1376" s="10" t="inlineStr">
        <is>
          <t>https://www.disco.com.ar/tratamiento-capilar-capilatis-ortiga-para-caida-del-cabello-bli-ml-10/p</t>
        </is>
      </c>
    </row>
    <row r="1377">
      <c r="A1377" t="inlineStr">
        <is>
          <t>Disco</t>
        </is>
      </c>
      <c r="B1377" t="n">
        <v>160082</v>
      </c>
      <c r="C1377" t="n">
        <v>157639</v>
      </c>
      <c r="D1377" t="inlineStr">
        <is>
          <t>Tratamiento Capilar Plusbelle X 450 Ml-reparación Y  Fuerza-pet-ml.-450</t>
        </is>
      </c>
      <c r="E1377" t="inlineStr">
        <is>
          <t>PLUSBELLE</t>
        </is>
      </c>
      <c r="F1377" t="n">
        <v>10.35</v>
      </c>
      <c r="G1377" t="n">
        <v>10.35</v>
      </c>
      <c r="H1377" t="b">
        <v>0</v>
      </c>
      <c r="I1377" t="n">
        <v>450</v>
      </c>
      <c r="J1377" t="n">
        <v>0.023</v>
      </c>
      <c r="K1377" t="inlineStr">
        <is>
          <t>&gt; Perfumería &gt; Cuidado Capilar &gt; Reparación y Tratamientos &gt;</t>
        </is>
      </c>
      <c r="L1377" t="inlineStr">
        <is>
          <t>tratamiento</t>
        </is>
      </c>
      <c r="M1377" t="inlineStr">
        <is>
          <t>estandar</t>
        </is>
      </c>
      <c r="N1377" t="inlineStr">
        <is>
          <t>general</t>
        </is>
      </c>
      <c r="O1377" t="inlineStr">
        <is>
          <t>https://www.disco.com.ar/tratamiento-capilar-plusbelle-x-450-ml-reparacion-y-fuerza-pet-ml-450-2/p</t>
        </is>
      </c>
    </row>
    <row r="1378">
      <c r="A1378" s="10" t="inlineStr">
        <is>
          <t>Disco</t>
        </is>
      </c>
      <c r="B1378" s="10" t="n">
        <v>58826</v>
      </c>
      <c r="C1378" s="10" t="n">
        <v>55981</v>
      </c>
      <c r="D1378" s="10" t="inlineStr">
        <is>
          <t>Tratamiento Capilar Capilatis-anti-age Hair Therapy-con Uva Roja-pvc-ml.-350</t>
        </is>
      </c>
      <c r="E1378" s="10" t="inlineStr">
        <is>
          <t>CAPILATIS</t>
        </is>
      </c>
      <c r="F1378" s="10" t="n">
        <v>23.37</v>
      </c>
      <c r="G1378" s="10" t="n">
        <v>23.37</v>
      </c>
      <c r="H1378" s="10" t="b">
        <v>0</v>
      </c>
      <c r="I1378" s="10" t="inlineStr"/>
      <c r="J1378" s="10" t="inlineStr"/>
      <c r="K1378" s="10" t="inlineStr">
        <is>
          <t>&gt; Perfumería &gt; Cuidado Capilar &gt; Reparación y Tratamientos &gt;</t>
        </is>
      </c>
      <c r="L1378" s="10" t="inlineStr">
        <is>
          <t>tratamiento</t>
        </is>
      </c>
      <c r="M1378" s="10" t="inlineStr">
        <is>
          <t>estandar</t>
        </is>
      </c>
      <c r="N1378" s="10" t="inlineStr">
        <is>
          <t>general</t>
        </is>
      </c>
      <c r="O1378" s="10" t="inlineStr">
        <is>
          <t>https://www.disco.com.ar/tratamiento-capilar-capilatis-anti-age-hair-therapy-con-uva-roja-pvc-ml-350/p</t>
        </is>
      </c>
    </row>
    <row r="1379">
      <c r="A1379" t="inlineStr">
        <is>
          <t>Disco</t>
        </is>
      </c>
      <c r="B1379" t="n">
        <v>58248</v>
      </c>
      <c r="C1379" t="n">
        <v>55402</v>
      </c>
      <c r="D1379" t="inlineStr">
        <is>
          <t>Tratamiento Capilar Capilatis-vida-color Hair Therapy-con Uva Blanca-pvc-gr.-170</t>
        </is>
      </c>
      <c r="E1379" t="inlineStr">
        <is>
          <t>CAPILATIS</t>
        </is>
      </c>
      <c r="F1379" t="n">
        <v>23.37</v>
      </c>
      <c r="G1379" t="n">
        <v>1931</v>
      </c>
      <c r="H1379" t="b">
        <v>0</v>
      </c>
      <c r="I1379" t="inlineStr"/>
      <c r="J1379" t="inlineStr"/>
      <c r="K1379" t="inlineStr">
        <is>
          <t>&gt; Perfumería &gt; Cuidado Capilar &gt; Reparación y Tratamientos &gt;</t>
        </is>
      </c>
      <c r="L1379" t="inlineStr">
        <is>
          <t>tratamiento</t>
        </is>
      </c>
      <c r="M1379" t="inlineStr">
        <is>
          <t>estandar</t>
        </is>
      </c>
      <c r="N1379" t="inlineStr">
        <is>
          <t>tratado</t>
        </is>
      </c>
      <c r="O1379" t="inlineStr">
        <is>
          <t>https://www.disco.com.ar/tratamiento-capilar-capilatis-vida-color-hair-therapy-con-uva-blanca-pvc-gr-170/p</t>
        </is>
      </c>
    </row>
    <row r="1380">
      <c r="A1380" s="10" t="inlineStr">
        <is>
          <t>Disco</t>
        </is>
      </c>
      <c r="B1380" s="10" t="n">
        <v>16363</v>
      </c>
      <c r="C1380" s="10" t="n">
        <v>13500</v>
      </c>
      <c r="D1380" s="10" t="inlineStr">
        <is>
          <t>Tratamiento Capilatis Intensivo 140gr Tratamiento Capilar Capilatis  Intensivo  Pvc X 140 Gr.</t>
        </is>
      </c>
      <c r="E1380" s="10" t="inlineStr">
        <is>
          <t>CAPILATIS</t>
        </is>
      </c>
      <c r="F1380" s="10" t="n">
        <v>84.19</v>
      </c>
      <c r="G1380" s="10" t="n">
        <v>6958</v>
      </c>
      <c r="H1380" s="10" t="b">
        <v>0</v>
      </c>
      <c r="I1380" s="10" t="n">
        <v>140</v>
      </c>
      <c r="J1380" s="10" t="n">
        <v>0.6014</v>
      </c>
      <c r="K1380" s="10" t="inlineStr">
        <is>
          <t>&gt; Perfumería &gt; Cuidado Capilar &gt; Reparación y Tratamientos &gt;</t>
        </is>
      </c>
      <c r="L1380" s="10" t="inlineStr">
        <is>
          <t>tratamiento</t>
        </is>
      </c>
      <c r="M1380" s="10" t="inlineStr">
        <is>
          <t>estandar</t>
        </is>
      </c>
      <c r="N1380" s="10" t="inlineStr">
        <is>
          <t>general</t>
        </is>
      </c>
      <c r="O1380" s="10" t="inlineStr">
        <is>
          <t>https://www.disco.com.ar/tratamiento-capilatis-intensivo-140gr/p</t>
        </is>
      </c>
    </row>
    <row r="1381">
      <c r="A1381" t="inlineStr">
        <is>
          <t>Disco</t>
        </is>
      </c>
      <c r="B1381" t="n">
        <v>18073</v>
      </c>
      <c r="C1381" t="n">
        <v>15170</v>
      </c>
      <c r="D1381" t="inlineStr">
        <is>
          <t>Tratamiento Pote Oleo Nutrición Capilar 200 Ml</t>
        </is>
      </c>
      <c r="E1381" t="inlineStr">
        <is>
          <t>DOVE</t>
        </is>
      </c>
      <c r="F1381" t="n">
        <v>69.09</v>
      </c>
      <c r="G1381" t="n">
        <v>5710</v>
      </c>
      <c r="H1381" t="b">
        <v>0</v>
      </c>
      <c r="I1381" t="n">
        <v>200</v>
      </c>
      <c r="J1381" t="n">
        <v>0.3455</v>
      </c>
      <c r="K1381" t="inlineStr">
        <is>
          <t>&gt; Perfumería &gt; Cuidado Capilar &gt; Reparación y Tratamientos &gt;</t>
        </is>
      </c>
      <c r="L1381" t="inlineStr">
        <is>
          <t>tratamiento</t>
        </is>
      </c>
      <c r="M1381" t="inlineStr">
        <is>
          <t>estandar</t>
        </is>
      </c>
      <c r="N1381" t="inlineStr">
        <is>
          <t>general</t>
        </is>
      </c>
      <c r="O1381" t="inlineStr">
        <is>
          <t>https://www.disco.com.ar/tratamiento-pote-oleo-nutricion-capilar-200-ml/p</t>
        </is>
      </c>
    </row>
    <row r="1382">
      <c r="A1382" s="10" t="inlineStr">
        <is>
          <t>Disco</t>
        </is>
      </c>
      <c r="B1382" s="10" t="n">
        <v>259795</v>
      </c>
      <c r="C1382" s="10" t="n">
        <v>259089</v>
      </c>
      <c r="D1382" s="10" t="inlineStr">
        <is>
          <t>Tratamiento Issue Keratina 150gr</t>
        </is>
      </c>
      <c r="E1382" s="10" t="inlineStr">
        <is>
          <t>ROBY</t>
        </is>
      </c>
      <c r="F1382" s="10" t="n">
        <v>333.37</v>
      </c>
      <c r="G1382" s="10" t="n">
        <v>27551</v>
      </c>
      <c r="H1382" s="10" t="b">
        <v>0</v>
      </c>
      <c r="I1382" s="10" t="n">
        <v>150</v>
      </c>
      <c r="J1382" s="10" t="n">
        <v>2.2225</v>
      </c>
      <c r="K1382" s="10" t="inlineStr">
        <is>
          <t>&gt; Perfumería &gt; Cuidado Capilar &gt; Reparación y Tratamientos &gt;</t>
        </is>
      </c>
      <c r="L1382" s="10" t="inlineStr">
        <is>
          <t>tratamiento</t>
        </is>
      </c>
      <c r="M1382" s="10" t="inlineStr">
        <is>
          <t>estandar</t>
        </is>
      </c>
      <c r="N1382" s="10" t="inlineStr">
        <is>
          <t>tratado</t>
        </is>
      </c>
      <c r="O1382" s="10" t="inlineStr">
        <is>
          <t>https://www.disco.com.ar/tratamiento-issue-keratina-150gr/p</t>
        </is>
      </c>
    </row>
    <row r="1383">
      <c r="A1383" t="inlineStr">
        <is>
          <t>Disco</t>
        </is>
      </c>
      <c r="B1383" t="n">
        <v>259796</v>
      </c>
      <c r="C1383" t="n">
        <v>259090</v>
      </c>
      <c r="D1383" t="inlineStr">
        <is>
          <t>Tratamiento Issue Shock Brillo 150gr</t>
        </is>
      </c>
      <c r="E1383" t="inlineStr">
        <is>
          <t>ROBY</t>
        </is>
      </c>
      <c r="F1383" t="n">
        <v>246.59</v>
      </c>
      <c r="G1383" t="n">
        <v>20379</v>
      </c>
      <c r="H1383" t="b">
        <v>0</v>
      </c>
      <c r="I1383" t="n">
        <v>150</v>
      </c>
      <c r="J1383" t="n">
        <v>1.6439</v>
      </c>
      <c r="K1383" t="inlineStr">
        <is>
          <t>&gt; Perfumería &gt; Cuidado Capilar &gt; Reparación y Tratamientos &gt;</t>
        </is>
      </c>
      <c r="L1383" t="inlineStr">
        <is>
          <t>tratamiento</t>
        </is>
      </c>
      <c r="M1383" t="inlineStr">
        <is>
          <t>estandar</t>
        </is>
      </c>
      <c r="N1383" t="inlineStr">
        <is>
          <t>general</t>
        </is>
      </c>
      <c r="O1383" t="inlineStr">
        <is>
          <t>https://www.disco.com.ar/tratamiento-issue-shock-brillo-150gr/p</t>
        </is>
      </c>
    </row>
    <row r="1384">
      <c r="A1384" s="10" t="inlineStr">
        <is>
          <t>Disco</t>
        </is>
      </c>
      <c r="B1384" s="10" t="n">
        <v>413363</v>
      </c>
      <c r="C1384" s="10" t="n">
        <v>409240</v>
      </c>
      <c r="D1384" s="10" t="inlineStr">
        <is>
          <t>Máscara de Tratamiento Reparación Intra Capilar 300 Ml Tresemmé</t>
        </is>
      </c>
      <c r="E1384" s="10" t="inlineStr">
        <is>
          <t>TRESEMMÉ</t>
        </is>
      </c>
      <c r="F1384" s="10" t="n">
        <v>9350</v>
      </c>
      <c r="G1384" s="10" t="n">
        <v>772727</v>
      </c>
      <c r="H1384" s="10" t="b">
        <v>0</v>
      </c>
      <c r="I1384" s="10" t="n">
        <v>300</v>
      </c>
      <c r="J1384" s="10" t="n">
        <v>31.1667</v>
      </c>
      <c r="K1384" s="10" t="inlineStr">
        <is>
          <t>&gt; Perfumería &gt; Cuidado Capilar &gt; Reparación y Tratamientos &gt;</t>
        </is>
      </c>
      <c r="L1384" s="10" t="inlineStr">
        <is>
          <t>tratamiento</t>
        </is>
      </c>
      <c r="M1384" s="10" t="inlineStr">
        <is>
          <t>estandar</t>
        </is>
      </c>
      <c r="N1384" s="10" t="inlineStr">
        <is>
          <t>general</t>
        </is>
      </c>
      <c r="O1384" s="10" t="inlineStr">
        <is>
          <t>https://www.disco.com.ar/mascara-de-tratamiento-reparacion-intra-capilar-300-ml-tresemme/p</t>
        </is>
      </c>
    </row>
    <row r="1385">
      <c r="A1385" t="inlineStr">
        <is>
          <t>Disco</t>
        </is>
      </c>
      <c r="B1385" t="n">
        <v>413361</v>
      </c>
      <c r="C1385" t="n">
        <v>409238</v>
      </c>
      <c r="D1385" t="inlineStr">
        <is>
          <t>Máscara de Tratamiento Reparación Intra Capilar 300 Ml Tresemmé</t>
        </is>
      </c>
      <c r="E1385" t="inlineStr">
        <is>
          <t>TRESEMMÉ</t>
        </is>
      </c>
      <c r="F1385" t="n">
        <v>9350</v>
      </c>
      <c r="G1385" t="n">
        <v>772727</v>
      </c>
      <c r="H1385" t="b">
        <v>0</v>
      </c>
      <c r="I1385" t="n">
        <v>300</v>
      </c>
      <c r="J1385" t="n">
        <v>31.1667</v>
      </c>
      <c r="K1385" t="inlineStr">
        <is>
          <t>&gt; Perfumería &gt; Cuidado Capilar &gt; Reparación y Tratamientos &gt;</t>
        </is>
      </c>
      <c r="L1385" t="inlineStr">
        <is>
          <t>tratamiento</t>
        </is>
      </c>
      <c r="M1385" t="inlineStr">
        <is>
          <t>estandar</t>
        </is>
      </c>
      <c r="N1385" t="inlineStr">
        <is>
          <t>general</t>
        </is>
      </c>
      <c r="O1385" t="inlineStr">
        <is>
          <t>https://www.disco.com.ar/mascara-de-tratamiento-reparacion-intra-capilar-300-ml-tresemme-2/p</t>
        </is>
      </c>
    </row>
    <row r="1386">
      <c r="A1386" s="10" t="inlineStr">
        <is>
          <t>Disco</t>
        </is>
      </c>
      <c r="B1386" s="10" t="n">
        <v>384229</v>
      </c>
      <c r="C1386" s="10" t="n">
        <v>382915</v>
      </c>
      <c r="D1386" s="10" t="inlineStr">
        <is>
          <t>Máscara Tratamiento Tresemme Reparación Intra Capilar 300 Gr</t>
        </is>
      </c>
      <c r="E1386" s="10" t="inlineStr">
        <is>
          <t>TRESEMMÉ</t>
        </is>
      </c>
      <c r="F1386" s="10" t="n">
        <v>1850</v>
      </c>
      <c r="G1386" s="10" t="n">
        <v>152893</v>
      </c>
      <c r="H1386" s="10" t="b">
        <v>0</v>
      </c>
      <c r="I1386" s="10" t="n">
        <v>300</v>
      </c>
      <c r="J1386" s="10" t="n">
        <v>6.1667</v>
      </c>
      <c r="K1386" s="10" t="inlineStr">
        <is>
          <t>&gt; Perfumería &gt; Cuidado Capilar &gt; Reparación y Tratamientos &gt;</t>
        </is>
      </c>
      <c r="L1386" s="10" t="inlineStr">
        <is>
          <t>tratamiento</t>
        </is>
      </c>
      <c r="M1386" s="10" t="inlineStr">
        <is>
          <t>estandar</t>
        </is>
      </c>
      <c r="N1386" s="10" t="inlineStr">
        <is>
          <t>general</t>
        </is>
      </c>
      <c r="O1386" s="10" t="inlineStr">
        <is>
          <t>https://www.disco.com.ar/mascara-tratamiento-tresemme-reparacion-intra-capilar-300-gr/p</t>
        </is>
      </c>
    </row>
    <row r="1387">
      <c r="A1387" t="inlineStr">
        <is>
          <t>Disco</t>
        </is>
      </c>
      <c r="B1387" t="n">
        <v>75361</v>
      </c>
      <c r="C1387" t="n">
        <v>72491</v>
      </c>
      <c r="D1387" t="inlineStr">
        <is>
          <t>Tratamiento Capilatis Cabello Teñido X 200 Gr.</t>
        </is>
      </c>
      <c r="E1387" t="inlineStr">
        <is>
          <t>CAPILATIS</t>
        </is>
      </c>
      <c r="F1387" t="n">
        <v>5.17</v>
      </c>
      <c r="G1387" t="n">
        <v>427</v>
      </c>
      <c r="H1387" t="b">
        <v>0</v>
      </c>
      <c r="I1387" t="n">
        <v>200</v>
      </c>
      <c r="J1387" t="n">
        <v>0.0258</v>
      </c>
      <c r="K1387" t="inlineStr">
        <is>
          <t>&gt; Perfumería &gt; Cuidado Capilar &gt; Reparación y Tratamientos &gt;</t>
        </is>
      </c>
      <c r="L1387" t="inlineStr">
        <is>
          <t>tratamiento</t>
        </is>
      </c>
      <c r="M1387" t="inlineStr">
        <is>
          <t>estandar</t>
        </is>
      </c>
      <c r="N1387" t="inlineStr">
        <is>
          <t>tratado</t>
        </is>
      </c>
      <c r="O1387" t="inlineStr">
        <is>
          <t>https://www.disco.com.ar/tratamiento-capilatis-cabello-tenido-x-200-gr/p</t>
        </is>
      </c>
    </row>
    <row r="1388">
      <c r="A1388" s="10" t="inlineStr">
        <is>
          <t>Disco</t>
        </is>
      </c>
      <c r="B1388" s="10" t="n">
        <v>29587</v>
      </c>
      <c r="C1388" s="10" t="n">
        <v>26749</v>
      </c>
      <c r="D1388" s="10" t="inlineStr">
        <is>
          <t>Tratamiento Capilatis Keratina 170gr</t>
        </is>
      </c>
      <c r="E1388" s="10" t="inlineStr">
        <is>
          <t>CAPILATIS</t>
        </is>
      </c>
      <c r="F1388" s="10" t="n">
        <v>1228.24</v>
      </c>
      <c r="G1388" s="10" t="n">
        <v>101507</v>
      </c>
      <c r="H1388" s="10" t="b">
        <v>0</v>
      </c>
      <c r="I1388" s="10" t="n">
        <v>170</v>
      </c>
      <c r="J1388" s="10" t="n">
        <v>7.2249</v>
      </c>
      <c r="K1388" s="10" t="inlineStr">
        <is>
          <t>&gt; Perfumería &gt; Cuidado Capilar &gt; Reparación y Tratamientos &gt;</t>
        </is>
      </c>
      <c r="L1388" s="10" t="inlineStr">
        <is>
          <t>tratamiento</t>
        </is>
      </c>
      <c r="M1388" s="10" t="inlineStr">
        <is>
          <t>estandar</t>
        </is>
      </c>
      <c r="N1388" s="10" t="inlineStr">
        <is>
          <t>tratado</t>
        </is>
      </c>
      <c r="O1388" s="10" t="inlineStr">
        <is>
          <t>https://www.disco.com.ar/tratamiento-capilatis-keratina-170gr-2/p</t>
        </is>
      </c>
    </row>
    <row r="1389">
      <c r="A1389" t="inlineStr">
        <is>
          <t>Disco</t>
        </is>
      </c>
      <c r="B1389" t="n">
        <v>288729</v>
      </c>
      <c r="C1389" t="n">
        <v>287976</v>
      </c>
      <c r="D1389" t="inlineStr">
        <is>
          <t>Tratamiento Capilatis Aloe 170gr</t>
        </is>
      </c>
      <c r="E1389" t="inlineStr">
        <is>
          <t>CAPILATIS</t>
        </is>
      </c>
      <c r="F1389" t="n">
        <v>1471.39</v>
      </c>
      <c r="G1389" t="n">
        <v>121602</v>
      </c>
      <c r="H1389" t="b">
        <v>0</v>
      </c>
      <c r="I1389" t="n">
        <v>170</v>
      </c>
      <c r="J1389" t="n">
        <v>8.655200000000001</v>
      </c>
      <c r="K1389" t="inlineStr">
        <is>
          <t>&gt; Perfumería &gt; Cuidado Capilar &gt; Reparación y Tratamientos &gt;</t>
        </is>
      </c>
      <c r="L1389" t="inlineStr">
        <is>
          <t>tratamiento</t>
        </is>
      </c>
      <c r="M1389" t="inlineStr">
        <is>
          <t>estandar</t>
        </is>
      </c>
      <c r="N1389" t="inlineStr">
        <is>
          <t>general</t>
        </is>
      </c>
      <c r="O1389" t="inlineStr">
        <is>
          <t>https://www.disco.com.ar/tratamiento-capilatis-aloe-170gr/p</t>
        </is>
      </c>
    </row>
    <row r="1390">
      <c r="A1390" s="10" t="inlineStr">
        <is>
          <t>Disco</t>
        </is>
      </c>
      <c r="B1390" s="10" t="n">
        <v>39434</v>
      </c>
      <c r="C1390" s="10" t="n">
        <v>36600</v>
      </c>
      <c r="D1390" s="10" t="inlineStr">
        <is>
          <t>Tratamiento Capilatis Lifting 170gr</t>
        </is>
      </c>
      <c r="E1390" s="10" t="inlineStr">
        <is>
          <t>CAPILATIS</t>
        </is>
      </c>
      <c r="F1390" s="10" t="n">
        <v>1450</v>
      </c>
      <c r="G1390" s="10" t="n">
        <v>119835</v>
      </c>
      <c r="H1390" s="10" t="b">
        <v>0</v>
      </c>
      <c r="I1390" s="10" t="n">
        <v>170</v>
      </c>
      <c r="J1390" s="10" t="n">
        <v>8.529400000000001</v>
      </c>
      <c r="K1390" s="10" t="inlineStr">
        <is>
          <t>&gt; Perfumería &gt; Cuidado Capilar &gt; Reparación y Tratamientos &gt;</t>
        </is>
      </c>
      <c r="L1390" s="10" t="inlineStr">
        <is>
          <t>tratamiento</t>
        </is>
      </c>
      <c r="M1390" s="10" t="inlineStr">
        <is>
          <t>estandar</t>
        </is>
      </c>
      <c r="N1390" s="10" t="inlineStr">
        <is>
          <t>general</t>
        </is>
      </c>
      <c r="O1390" s="10" t="inlineStr">
        <is>
          <t>https://www.disco.com.ar/tratamiento-capilatis-lifting-170gr/p</t>
        </is>
      </c>
    </row>
    <row r="1391">
      <c r="A1391" t="inlineStr">
        <is>
          <t>Disco</t>
        </is>
      </c>
      <c r="B1391" t="n">
        <v>323295</v>
      </c>
      <c r="C1391" t="n">
        <v>322145</v>
      </c>
      <c r="D1391" t="inlineStr">
        <is>
          <t>Tratamiento 919 Hidratante Aloe 150gr</t>
        </is>
      </c>
      <c r="E1391" t="inlineStr">
        <is>
          <t>919</t>
        </is>
      </c>
      <c r="F1391" t="n">
        <v>330.49</v>
      </c>
      <c r="G1391" t="n">
        <v>27313</v>
      </c>
      <c r="H1391" t="b">
        <v>0</v>
      </c>
      <c r="I1391" t="n">
        <v>150</v>
      </c>
      <c r="J1391" t="n">
        <v>2.2033</v>
      </c>
      <c r="K1391" t="inlineStr">
        <is>
          <t>&gt; Perfumería &gt; Cuidado Capilar &gt; Reparación y Tratamientos &gt;</t>
        </is>
      </c>
      <c r="L1391" t="inlineStr">
        <is>
          <t>tratamiento</t>
        </is>
      </c>
      <c r="M1391" t="inlineStr">
        <is>
          <t>estandar</t>
        </is>
      </c>
      <c r="N1391" t="inlineStr">
        <is>
          <t>seco_danado</t>
        </is>
      </c>
      <c r="O1391" t="inlineStr">
        <is>
          <t>https://www.disco.com.ar/tratamiento-919-hidratante-aloe-150gr/p</t>
        </is>
      </c>
    </row>
    <row r="1392">
      <c r="A1392" s="10" t="inlineStr">
        <is>
          <t>Disco</t>
        </is>
      </c>
      <c r="B1392" s="10" t="n">
        <v>323301</v>
      </c>
      <c r="C1392" s="10" t="n">
        <v>322151</v>
      </c>
      <c r="D1392" s="10" t="inlineStr">
        <is>
          <t>Tratamiento 919 Reparacion Argan 150gr</t>
        </is>
      </c>
      <c r="E1392" s="10" t="inlineStr">
        <is>
          <t>919</t>
        </is>
      </c>
      <c r="F1392" s="10" t="n">
        <v>533.6900000000001</v>
      </c>
      <c r="G1392" s="10" t="n">
        <v>44107</v>
      </c>
      <c r="H1392" s="10" t="b">
        <v>0</v>
      </c>
      <c r="I1392" s="10" t="n">
        <v>150</v>
      </c>
      <c r="J1392" s="10" t="n">
        <v>3.5579</v>
      </c>
      <c r="K1392" s="10" t="inlineStr">
        <is>
          <t>&gt; Perfumería &gt; Cuidado Capilar &gt; Reparación y Tratamientos &gt;</t>
        </is>
      </c>
      <c r="L1392" s="10" t="inlineStr">
        <is>
          <t>tratamiento</t>
        </is>
      </c>
      <c r="M1392" s="10" t="inlineStr">
        <is>
          <t>estandar</t>
        </is>
      </c>
      <c r="N1392" s="10" t="inlineStr">
        <is>
          <t>general</t>
        </is>
      </c>
      <c r="O1392" s="10" t="inlineStr">
        <is>
          <t>https://www.disco.com.ar/tratamiento-919-reparacion-argan-150gr/p</t>
        </is>
      </c>
    </row>
    <row r="1393">
      <c r="A1393" t="inlineStr">
        <is>
          <t>Disco</t>
        </is>
      </c>
      <c r="B1393" t="n">
        <v>307681</v>
      </c>
      <c r="C1393" t="n">
        <v>306919</v>
      </c>
      <c r="D1393" t="inlineStr">
        <is>
          <t>Tratamiento Fructis Food Aloe 350ml</t>
        </is>
      </c>
      <c r="E1393" t="inlineStr">
        <is>
          <t>ELVIVE</t>
        </is>
      </c>
      <c r="F1393" t="n">
        <v>994.33</v>
      </c>
      <c r="G1393" t="n">
        <v>82176</v>
      </c>
      <c r="H1393" t="b">
        <v>0</v>
      </c>
      <c r="I1393" t="n">
        <v>350</v>
      </c>
      <c r="J1393" t="n">
        <v>2.8409</v>
      </c>
      <c r="K1393" t="inlineStr">
        <is>
          <t>&gt; Perfumería &gt; Cuidado Capilar &gt; Reparación y Tratamientos &gt;</t>
        </is>
      </c>
      <c r="L1393" t="inlineStr">
        <is>
          <t>tratamiento</t>
        </is>
      </c>
      <c r="M1393" t="inlineStr">
        <is>
          <t>profesional</t>
        </is>
      </c>
      <c r="N1393" t="inlineStr">
        <is>
          <t>general</t>
        </is>
      </c>
      <c r="O1393" t="inlineStr">
        <is>
          <t>https://www.disco.com.ar/tratamiento-fructis-food-aloe-350ml/p</t>
        </is>
      </c>
    </row>
    <row r="1394">
      <c r="A1394" s="10" t="inlineStr">
        <is>
          <t>Disco</t>
        </is>
      </c>
      <c r="B1394" s="10" t="n">
        <v>375497</v>
      </c>
      <c r="C1394" s="10" t="n">
        <v>374215</v>
      </c>
      <c r="D1394" s="10" t="inlineStr">
        <is>
          <t>Tratamiento Plusbelle Escencia Oleos Prot 400m</t>
        </is>
      </c>
      <c r="E1394" s="10" t="inlineStr">
        <is>
          <t>PLUSBELLE</t>
        </is>
      </c>
      <c r="F1394" s="10" t="n">
        <v>2400</v>
      </c>
      <c r="G1394" s="10" t="n">
        <v>198347</v>
      </c>
      <c r="H1394" s="10" t="b">
        <v>0</v>
      </c>
      <c r="I1394" s="10" t="inlineStr"/>
      <c r="J1394" s="10" t="inlineStr"/>
      <c r="K1394" s="10" t="inlineStr">
        <is>
          <t>&gt; Perfumería &gt; Cuidado Capilar &gt; Reparación y Tratamientos &gt;</t>
        </is>
      </c>
      <c r="L1394" s="10" t="inlineStr">
        <is>
          <t>tratamiento</t>
        </is>
      </c>
      <c r="M1394" s="10" t="inlineStr">
        <is>
          <t>estandar</t>
        </is>
      </c>
      <c r="N1394" s="10" t="inlineStr">
        <is>
          <t>general</t>
        </is>
      </c>
      <c r="O1394" s="10" t="inlineStr">
        <is>
          <t>https://www.disco.com.ar/tratamiento-plusbelle-escencia-oleos-prot-400m-3/p</t>
        </is>
      </c>
    </row>
    <row r="1395">
      <c r="A1395" t="inlineStr">
        <is>
          <t>Disco</t>
        </is>
      </c>
      <c r="B1395" t="n">
        <v>312208</v>
      </c>
      <c r="C1395" t="n">
        <v>311446</v>
      </c>
      <c r="D1395" t="inlineStr">
        <is>
          <t>Máscara De Tratamiento Dove 1 Minuto 300 Gr</t>
        </is>
      </c>
      <c r="E1395" t="inlineStr">
        <is>
          <t>DOVE</t>
        </is>
      </c>
      <c r="F1395" t="n">
        <v>1150</v>
      </c>
      <c r="G1395" t="n">
        <v>95041</v>
      </c>
      <c r="H1395" t="b">
        <v>0</v>
      </c>
      <c r="I1395" t="n">
        <v>300</v>
      </c>
      <c r="J1395" t="n">
        <v>3.8333</v>
      </c>
      <c r="K1395" t="inlineStr">
        <is>
          <t>&gt; Perfumería &gt; Cuidado Capilar &gt; Reparación y Tratamientos &gt;</t>
        </is>
      </c>
      <c r="L1395" t="inlineStr">
        <is>
          <t>tratamiento</t>
        </is>
      </c>
      <c r="M1395" t="inlineStr">
        <is>
          <t>estandar</t>
        </is>
      </c>
      <c r="N1395" t="inlineStr">
        <is>
          <t>general</t>
        </is>
      </c>
      <c r="O1395" t="inlineStr">
        <is>
          <t>https://www.disco.com.ar/mascara-de-tratamiento-dove-1-minuto-300-gr/p</t>
        </is>
      </c>
    </row>
    <row r="1396">
      <c r="A1396" s="10" t="inlineStr">
        <is>
          <t>Disco</t>
        </is>
      </c>
      <c r="B1396" s="10" t="n">
        <v>340351</v>
      </c>
      <c r="C1396" s="10" t="n">
        <v>339043</v>
      </c>
      <c r="D1396" s="10" t="inlineStr">
        <is>
          <t>Tratamiento Intensivo Pantene Miracles Pelo Seco 300 Ml</t>
        </is>
      </c>
      <c r="E1396" s="10" t="inlineStr">
        <is>
          <t>PANTENE</t>
        </is>
      </c>
      <c r="F1396" s="10" t="n">
        <v>1024.09</v>
      </c>
      <c r="G1396" s="10" t="n">
        <v>84636</v>
      </c>
      <c r="H1396" s="10" t="b">
        <v>0</v>
      </c>
      <c r="I1396" s="10" t="n">
        <v>300</v>
      </c>
      <c r="J1396" s="10" t="n">
        <v>3.4136</v>
      </c>
      <c r="K1396" s="10" t="inlineStr">
        <is>
          <t>&gt; Perfumería &gt; Cuidado Capilar &gt; Reparación y Tratamientos &gt;</t>
        </is>
      </c>
      <c r="L1396" s="10" t="inlineStr">
        <is>
          <t>tratamiento</t>
        </is>
      </c>
      <c r="M1396" s="10" t="inlineStr">
        <is>
          <t>estandar</t>
        </is>
      </c>
      <c r="N1396" s="10" t="inlineStr">
        <is>
          <t>seco_danado</t>
        </is>
      </c>
      <c r="O1396" s="10" t="inlineStr">
        <is>
          <t>https://www.disco.com.ar/tratamiento-intensivo-pantene-miracles-pelo-seco-300-ml/p</t>
        </is>
      </c>
    </row>
    <row r="1397">
      <c r="A1397" t="inlineStr">
        <is>
          <t>Disco</t>
        </is>
      </c>
      <c r="B1397" t="n">
        <v>41111</v>
      </c>
      <c r="C1397" t="n">
        <v>38276</v>
      </c>
      <c r="D1397" t="inlineStr">
        <is>
          <t>Ampolla Capilar Pantene Pro-v Fuerza Y Reconstrucción 45 Ml</t>
        </is>
      </c>
      <c r="E1397" t="inlineStr">
        <is>
          <t>PANTENE</t>
        </is>
      </c>
      <c r="F1397" t="n">
        <v>466.27</v>
      </c>
      <c r="G1397" t="n">
        <v>38535</v>
      </c>
      <c r="H1397" t="b">
        <v>0</v>
      </c>
      <c r="I1397" t="n">
        <v>45</v>
      </c>
      <c r="J1397" t="n">
        <v>10.3616</v>
      </c>
      <c r="K1397" t="inlineStr">
        <is>
          <t>&gt; Perfumería &gt; Cuidado Capilar &gt; Reparación y Tratamientos &gt;</t>
        </is>
      </c>
      <c r="L1397" t="inlineStr">
        <is>
          <t>shampoo</t>
        </is>
      </c>
      <c r="M1397" t="inlineStr">
        <is>
          <t>profesional</t>
        </is>
      </c>
      <c r="N1397" t="inlineStr">
        <is>
          <t>general</t>
        </is>
      </c>
      <c r="O1397" t="inlineStr">
        <is>
          <t>https://www.disco.com.ar/ampolla-capilar-pantene-pro-v-fuerza-y-reconstruccion-45-ml/p</t>
        </is>
      </c>
    </row>
    <row r="1398">
      <c r="A1398" s="10" t="inlineStr">
        <is>
          <t>Disco</t>
        </is>
      </c>
      <c r="B1398" s="10" t="n">
        <v>41096</v>
      </c>
      <c r="C1398" s="10" t="n">
        <v>38260</v>
      </c>
      <c r="D1398" s="10" t="inlineStr">
        <is>
          <t>Ampolla Capilar Pantene Pro-v Fuerza Y Reconstrucción 15 Ml</t>
        </is>
      </c>
      <c r="E1398" s="10" t="inlineStr">
        <is>
          <t>PANTENE</t>
        </is>
      </c>
      <c r="F1398" s="10" t="n">
        <v>157.47</v>
      </c>
      <c r="G1398" s="10" t="n">
        <v>13014</v>
      </c>
      <c r="H1398" s="10" t="b">
        <v>0</v>
      </c>
      <c r="I1398" s="10" t="n">
        <v>15</v>
      </c>
      <c r="J1398" s="10" t="n">
        <v>10.498</v>
      </c>
      <c r="K1398" s="10" t="inlineStr">
        <is>
          <t>&gt; Perfumería &gt; Cuidado Capilar &gt; Reparación y Tratamientos &gt;</t>
        </is>
      </c>
      <c r="L1398" s="10" t="inlineStr">
        <is>
          <t>shampoo</t>
        </is>
      </c>
      <c r="M1398" s="10" t="inlineStr">
        <is>
          <t>profesional</t>
        </is>
      </c>
      <c r="N1398" s="10" t="inlineStr">
        <is>
          <t>general</t>
        </is>
      </c>
      <c r="O1398" s="10" t="inlineStr">
        <is>
          <t>https://www.disco.com.ar/ampolla-capilar-pantene-pro-v-fuerza-y-reconstruccion-15-ml/p</t>
        </is>
      </c>
    </row>
    <row r="1399">
      <c r="A1399" t="inlineStr">
        <is>
          <t>Disco</t>
        </is>
      </c>
      <c r="B1399" t="n">
        <v>3493</v>
      </c>
      <c r="C1399" t="n">
        <v>1582</v>
      </c>
      <c r="D1399" t="inlineStr">
        <is>
          <t>Ampolla Capilar Pantene Pro-v Hidratación Extrema De 15 Ml C/u</t>
        </is>
      </c>
      <c r="E1399" t="inlineStr">
        <is>
          <t>PANTENE</t>
        </is>
      </c>
      <c r="F1399" t="n">
        <v>200</v>
      </c>
      <c r="G1399" t="n">
        <v>16529</v>
      </c>
      <c r="H1399" t="b">
        <v>0</v>
      </c>
      <c r="I1399" t="n">
        <v>15</v>
      </c>
      <c r="J1399" t="n">
        <v>13.3333</v>
      </c>
      <c r="K1399" t="inlineStr">
        <is>
          <t>&gt; Perfumería &gt; Cuidado Capilar &gt; Reparación y Tratamientos &gt;</t>
        </is>
      </c>
      <c r="L1399" t="inlineStr">
        <is>
          <t>shampoo</t>
        </is>
      </c>
      <c r="M1399" t="inlineStr">
        <is>
          <t>profesional</t>
        </is>
      </c>
      <c r="N1399" t="inlineStr">
        <is>
          <t>seco_danado</t>
        </is>
      </c>
      <c r="O1399" t="inlineStr">
        <is>
          <t>https://www.disco.com.ar/ampolla-capilar-pantene-pro-v-hidratacion-extrema-de-15-ml-c-u/p</t>
        </is>
      </c>
    </row>
    <row r="1400">
      <c r="A1400" s="10" t="inlineStr">
        <is>
          <t>Disco</t>
        </is>
      </c>
      <c r="B1400" s="10" t="n">
        <v>43942</v>
      </c>
      <c r="C1400" s="10" t="n">
        <v>41113</v>
      </c>
      <c r="D1400" s="10" t="inlineStr">
        <is>
          <t>Ampolla Capilar Pantene Pro-v Restauración 15 Ml</t>
        </is>
      </c>
      <c r="E1400" s="10" t="inlineStr">
        <is>
          <t>PANTENE</t>
        </is>
      </c>
      <c r="F1400" s="10" t="n">
        <v>600</v>
      </c>
      <c r="G1400" s="10" t="n">
        <v>49587</v>
      </c>
      <c r="H1400" s="10" t="b">
        <v>0</v>
      </c>
      <c r="I1400" s="10" t="n">
        <v>15</v>
      </c>
      <c r="J1400" s="10" t="n">
        <v>40</v>
      </c>
      <c r="K1400" s="10" t="inlineStr">
        <is>
          <t>&gt; Perfumería &gt; Cuidado Capilar &gt; Reparación y Tratamientos &gt;</t>
        </is>
      </c>
      <c r="L1400" s="10" t="inlineStr">
        <is>
          <t>shampoo</t>
        </is>
      </c>
      <c r="M1400" s="10" t="inlineStr">
        <is>
          <t>profesional</t>
        </is>
      </c>
      <c r="N1400" s="10" t="inlineStr">
        <is>
          <t>general</t>
        </is>
      </c>
      <c r="O1400" s="10" t="inlineStr">
        <is>
          <t>https://www.disco.com.ar/ampolla-capilar-pantene-pro-v-restauracion-15-ml/p</t>
        </is>
      </c>
    </row>
    <row r="1401">
      <c r="A1401" t="inlineStr">
        <is>
          <t>Disco</t>
        </is>
      </c>
      <c r="B1401" t="n">
        <v>44861</v>
      </c>
      <c r="C1401" t="n">
        <v>42036</v>
      </c>
      <c r="D1401" t="inlineStr">
        <is>
          <t>Ampolla Capilar Pro-v Restauración 45 Ml Pantene</t>
        </is>
      </c>
      <c r="E1401" t="inlineStr">
        <is>
          <t>PANTENE</t>
        </is>
      </c>
      <c r="F1401" t="n">
        <v>7350</v>
      </c>
      <c r="G1401" t="n">
        <v>607438</v>
      </c>
      <c r="H1401" t="b">
        <v>0</v>
      </c>
      <c r="I1401" t="n">
        <v>45</v>
      </c>
      <c r="J1401" t="n">
        <v>163.3333</v>
      </c>
      <c r="K1401" t="inlineStr">
        <is>
          <t>&gt; Perfumería &gt; Cuidado Capilar &gt; Reparación y Tratamientos &gt;</t>
        </is>
      </c>
      <c r="L1401" t="inlineStr">
        <is>
          <t>shampoo</t>
        </is>
      </c>
      <c r="M1401" t="inlineStr">
        <is>
          <t>profesional</t>
        </is>
      </c>
      <c r="N1401" t="inlineStr">
        <is>
          <t>general</t>
        </is>
      </c>
      <c r="O1401" t="inlineStr">
        <is>
          <t>https://www.disco.com.ar/ampolla-capilar-pro-v-restauracion-45-ml-pantene/p</t>
        </is>
      </c>
    </row>
    <row r="1402">
      <c r="A1402" s="10" t="inlineStr">
        <is>
          <t>Disco</t>
        </is>
      </c>
      <c r="B1402" s="10" t="n">
        <v>210378</v>
      </c>
      <c r="C1402" s="10" t="n">
        <v>233339</v>
      </c>
      <c r="D1402" s="10" t="inlineStr">
        <is>
          <t>Crema Peinar Rulos Roby 200ml Tratamiento Capilar Roby Rulos Hidratados 200 Ml</t>
        </is>
      </c>
      <c r="E1402" s="10" t="inlineStr">
        <is>
          <t>ROBY</t>
        </is>
      </c>
      <c r="F1402" s="10" t="n">
        <v>333.29</v>
      </c>
      <c r="G1402" s="10" t="n">
        <v>27545</v>
      </c>
      <c r="H1402" s="10" t="b">
        <v>0</v>
      </c>
      <c r="I1402" s="10" t="n">
        <v>200</v>
      </c>
      <c r="J1402" s="10" t="n">
        <v>1.6665</v>
      </c>
      <c r="K1402" s="10" t="inlineStr">
        <is>
          <t>&gt; Perfumería &gt; Cuidado Capilar &gt; Reparación y Tratamientos &gt;</t>
        </is>
      </c>
      <c r="L1402" s="10" t="inlineStr">
        <is>
          <t>tratamiento</t>
        </is>
      </c>
      <c r="M1402" s="10" t="inlineStr">
        <is>
          <t>estandar</t>
        </is>
      </c>
      <c r="N1402" s="10" t="inlineStr">
        <is>
          <t>rizado</t>
        </is>
      </c>
      <c r="O1402" s="10" t="inlineStr">
        <is>
          <t>https://www.disco.com.ar/crema-peinar-rulos-roby-200ml/p</t>
        </is>
      </c>
    </row>
    <row r="1403">
      <c r="A1403" t="inlineStr">
        <is>
          <t>Disco</t>
        </is>
      </c>
      <c r="B1403" t="n">
        <v>247597</v>
      </c>
      <c r="C1403" t="n">
        <v>244278</v>
      </c>
      <c r="D1403" t="inlineStr">
        <is>
          <t>Mascarilla Tresemmé Bajo Poo 3 En 1 400 Ml</t>
        </is>
      </c>
      <c r="E1403" t="inlineStr">
        <is>
          <t>TRESEMMÉ</t>
        </is>
      </c>
      <c r="F1403" t="n">
        <v>291.19</v>
      </c>
      <c r="G1403" t="n">
        <v>24065</v>
      </c>
      <c r="H1403" t="b">
        <v>0</v>
      </c>
      <c r="I1403" t="n">
        <v>400</v>
      </c>
      <c r="J1403" t="n">
        <v>0.728</v>
      </c>
      <c r="K1403" t="inlineStr">
        <is>
          <t>&gt; Perfumería &gt; Cuidado Capilar &gt; Reparación y Tratamientos &gt;</t>
        </is>
      </c>
      <c r="L1403" t="inlineStr">
        <is>
          <t>tratamiento</t>
        </is>
      </c>
      <c r="M1403" t="inlineStr">
        <is>
          <t>estandar</t>
        </is>
      </c>
      <c r="N1403" t="inlineStr">
        <is>
          <t>general</t>
        </is>
      </c>
      <c r="O1403" t="inlineStr">
        <is>
          <t>https://www.disco.com.ar/mascarilla-tresemme-bajo-poo-3-en-1-400-ml/p</t>
        </is>
      </c>
    </row>
    <row r="1404">
      <c r="A1404" s="10" t="inlineStr">
        <is>
          <t>Disco</t>
        </is>
      </c>
      <c r="B1404" s="10" t="n">
        <v>262653</v>
      </c>
      <c r="C1404" s="10" t="n">
        <v>261942</v>
      </c>
      <c r="D1404" s="10" t="inlineStr">
        <is>
          <t>Booster De Hidratación Pantene Pro-v Brillo Micelar 160 Ml</t>
        </is>
      </c>
      <c r="E1404" s="10" t="inlineStr">
        <is>
          <t>PANTENE</t>
        </is>
      </c>
      <c r="F1404" s="10" t="n">
        <v>900</v>
      </c>
      <c r="G1404" s="10" t="n">
        <v>74380</v>
      </c>
      <c r="H1404" s="10" t="b">
        <v>0</v>
      </c>
      <c r="I1404" s="10" t="n">
        <v>160</v>
      </c>
      <c r="J1404" s="10" t="n">
        <v>5.625</v>
      </c>
      <c r="K1404" s="10" t="inlineStr">
        <is>
          <t>&gt; Perfumería &gt; Cuidado Capilar &gt; Reparación y Tratamientos &gt;</t>
        </is>
      </c>
      <c r="L1404" s="10" t="inlineStr">
        <is>
          <t>shampoo</t>
        </is>
      </c>
      <c r="M1404" s="10" t="inlineStr">
        <is>
          <t>profesional</t>
        </is>
      </c>
      <c r="N1404" s="10" t="inlineStr">
        <is>
          <t>seco_danado</t>
        </is>
      </c>
      <c r="O1404" s="10" t="inlineStr">
        <is>
          <t>https://www.disco.com.ar/booster-de-hidratacion-pantene-pro-v-brillo-micelar-160-ml/p</t>
        </is>
      </c>
    </row>
    <row r="1405">
      <c r="A1405" t="inlineStr">
        <is>
          <t>Disco</t>
        </is>
      </c>
      <c r="B1405" t="n">
        <v>3531</v>
      </c>
      <c r="C1405" t="n">
        <v>1611</v>
      </c>
      <c r="D1405" t="inlineStr">
        <is>
          <t>Kit De 3 Ampollas Capilares Pantene Pro-v Hidratación Extrema De 15 Ml C/u</t>
        </is>
      </c>
      <c r="E1405" t="inlineStr">
        <is>
          <t>PANTENE</t>
        </is>
      </c>
      <c r="F1405" t="n">
        <v>489.69</v>
      </c>
      <c r="G1405" t="n">
        <v>40470</v>
      </c>
      <c r="H1405" t="b">
        <v>0</v>
      </c>
      <c r="I1405" t="n">
        <v>15</v>
      </c>
      <c r="J1405" t="n">
        <v>32.646</v>
      </c>
      <c r="K1405" t="inlineStr">
        <is>
          <t>&gt; Perfumería &gt; Cuidado Capilar &gt; Reparación y Tratamientos &gt;</t>
        </is>
      </c>
      <c r="L1405" t="inlineStr">
        <is>
          <t>tratamiento</t>
        </is>
      </c>
      <c r="M1405" t="inlineStr">
        <is>
          <t>profesional</t>
        </is>
      </c>
      <c r="N1405" t="inlineStr">
        <is>
          <t>seco_danado</t>
        </is>
      </c>
      <c r="O1405" t="inlineStr">
        <is>
          <t>https://www.disco.com.ar/kit-de-3-ampollas-capilares-pantene-pro-v-hidratacion-extrema-de-15-ml-c-u-2/p</t>
        </is>
      </c>
    </row>
    <row r="1406">
      <c r="A1406" s="10" t="inlineStr">
        <is>
          <t>Disco</t>
        </is>
      </c>
      <c r="B1406" s="10" t="n">
        <v>19681</v>
      </c>
      <c r="C1406" s="10" t="n">
        <v>16846</v>
      </c>
      <c r="D1406" s="10" t="inlineStr">
        <is>
          <t>Crema De Peinar Sedal Rizos Obedientes 300 Ml</t>
        </is>
      </c>
      <c r="E1406" s="10" t="inlineStr">
        <is>
          <t>SEDAL</t>
        </is>
      </c>
      <c r="F1406" s="10" t="n">
        <v>950</v>
      </c>
      <c r="G1406" s="10" t="n">
        <v>78512</v>
      </c>
      <c r="H1406" s="10" t="b">
        <v>0</v>
      </c>
      <c r="I1406" s="10" t="n">
        <v>300</v>
      </c>
      <c r="J1406" s="10" t="n">
        <v>3.1667</v>
      </c>
      <c r="K1406" s="10" t="inlineStr">
        <is>
          <t>&gt; Perfumería &gt; Cuidado Capilar &gt; Reparación y Tratamientos &gt;</t>
        </is>
      </c>
      <c r="L1406" s="10" t="inlineStr">
        <is>
          <t>shampoo</t>
        </is>
      </c>
      <c r="M1406" s="10" t="inlineStr">
        <is>
          <t>estandar</t>
        </is>
      </c>
      <c r="N1406" s="10" t="inlineStr">
        <is>
          <t>rizado</t>
        </is>
      </c>
      <c r="O1406" s="10" t="inlineStr">
        <is>
          <t>https://www.disco.com.ar/crema-de-peinar-sedal-rizos-obedientes-300-ml/p</t>
        </is>
      </c>
    </row>
    <row r="1407">
      <c r="A1407" t="inlineStr">
        <is>
          <t>Disco</t>
        </is>
      </c>
      <c r="B1407" t="n">
        <v>45466</v>
      </c>
      <c r="C1407" t="n">
        <v>42641</v>
      </c>
      <c r="D1407" t="inlineStr">
        <is>
          <t>Crema Para Peinar Pantene Pro-v Summer Edition 300 Ml</t>
        </is>
      </c>
      <c r="E1407" t="inlineStr">
        <is>
          <t>PANTENE</t>
        </is>
      </c>
      <c r="F1407" t="n">
        <v>257.57</v>
      </c>
      <c r="G1407" t="n">
        <v>21287</v>
      </c>
      <c r="H1407" t="b">
        <v>0</v>
      </c>
      <c r="I1407" t="n">
        <v>300</v>
      </c>
      <c r="J1407" t="n">
        <v>0.8586</v>
      </c>
      <c r="K1407" t="inlineStr">
        <is>
          <t>&gt; Perfumería &gt; Cuidado Capilar &gt; Reparación y Tratamientos &gt;</t>
        </is>
      </c>
      <c r="L1407" t="inlineStr">
        <is>
          <t>shampoo</t>
        </is>
      </c>
      <c r="M1407" t="inlineStr">
        <is>
          <t>profesional</t>
        </is>
      </c>
      <c r="N1407" t="inlineStr">
        <is>
          <t>general</t>
        </is>
      </c>
      <c r="O1407" t="inlineStr">
        <is>
          <t>https://www.disco.com.ar/crema-para-peinar-pantene-pro-v-summer-edition-300-ml/p</t>
        </is>
      </c>
    </row>
    <row r="1408">
      <c r="A1408" s="10" t="inlineStr">
        <is>
          <t>Disco</t>
        </is>
      </c>
      <c r="B1408" s="10" t="n">
        <v>18088</v>
      </c>
      <c r="C1408" s="10" t="n">
        <v>15182</v>
      </c>
      <c r="D1408" s="10" t="inlineStr">
        <is>
          <t>Tío Nacho Shampoo Engrosador 415 Ml</t>
        </is>
      </c>
      <c r="E1408" s="10" t="inlineStr">
        <is>
          <t>Tio Nacho</t>
        </is>
      </c>
      <c r="F1408" s="10" t="n">
        <v>756.23</v>
      </c>
      <c r="G1408" s="10" t="n">
        <v>62498</v>
      </c>
      <c r="H1408" s="10" t="b">
        <v>0</v>
      </c>
      <c r="I1408" s="10" t="n">
        <v>415</v>
      </c>
      <c r="J1408" s="10" t="n">
        <v>1.8222</v>
      </c>
      <c r="K1408" s="10" t="inlineStr">
        <is>
          <t>&gt; Perfumería &gt; Cuidado Capilar &gt; Shampoo &gt;</t>
        </is>
      </c>
      <c r="L1408" s="10" t="inlineStr">
        <is>
          <t>shampoo</t>
        </is>
      </c>
      <c r="M1408" s="10" t="inlineStr">
        <is>
          <t>estandar</t>
        </is>
      </c>
      <c r="N1408" s="10" t="inlineStr">
        <is>
          <t>general</t>
        </is>
      </c>
      <c r="O1408" s="10" t="inlineStr">
        <is>
          <t>https://www.disco.com.ar/tio-nacho-shampoo-engrosador-415-ml/p</t>
        </is>
      </c>
    </row>
    <row r="1409">
      <c r="A1409" t="inlineStr">
        <is>
          <t>Disco</t>
        </is>
      </c>
      <c r="B1409" t="n">
        <v>18090</v>
      </c>
      <c r="C1409" t="n">
        <v>15184</v>
      </c>
      <c r="D1409" t="inlineStr">
        <is>
          <t>Tío Nacho Acondicionador Engrosador 415 Ml</t>
        </is>
      </c>
      <c r="E1409" t="inlineStr">
        <is>
          <t>Tio Nacho</t>
        </is>
      </c>
      <c r="F1409" t="n">
        <v>756.23</v>
      </c>
      <c r="G1409" t="n">
        <v>62498</v>
      </c>
      <c r="H1409" t="b">
        <v>0</v>
      </c>
      <c r="I1409" t="n">
        <v>415</v>
      </c>
      <c r="J1409" t="n">
        <v>1.8222</v>
      </c>
      <c r="K1409" t="inlineStr">
        <is>
          <t>&gt; Perfumería &gt; Cuidado Capilar &gt; Acondicionador &gt;</t>
        </is>
      </c>
      <c r="L1409" t="inlineStr">
        <is>
          <t>acondicionador</t>
        </is>
      </c>
      <c r="M1409" t="inlineStr">
        <is>
          <t>estandar</t>
        </is>
      </c>
      <c r="N1409" t="inlineStr">
        <is>
          <t>general</t>
        </is>
      </c>
      <c r="O1409" t="inlineStr">
        <is>
          <t>https://www.disco.com.ar/tio-nacho-acondicionador-engrosador-415-ml/p</t>
        </is>
      </c>
    </row>
    <row r="1410">
      <c r="A1410" s="10" t="inlineStr">
        <is>
          <t>Disco</t>
        </is>
      </c>
      <c r="B1410" s="10" t="n">
        <v>4494</v>
      </c>
      <c r="C1410" s="10" t="n">
        <v>11417</v>
      </c>
      <c r="D1410" s="10" t="inlineStr">
        <is>
          <t>Shampoo Para Bebé Babelito 200 Ml</t>
        </is>
      </c>
      <c r="E1410" s="10" t="inlineStr">
        <is>
          <t>BABELITO</t>
        </is>
      </c>
      <c r="F1410" s="10" t="n">
        <v>58.95</v>
      </c>
      <c r="G1410" s="10" t="n">
        <v>58.95</v>
      </c>
      <c r="H1410" s="10" t="b">
        <v>0</v>
      </c>
      <c r="I1410" s="10" t="n">
        <v>200</v>
      </c>
      <c r="J1410" s="10" t="n">
        <v>0.2948</v>
      </c>
      <c r="K1410" s="10" t="inlineStr">
        <is>
          <t>&gt; Mundo Bebe &gt; Higiene para el Bebe &gt; Higiene del Bebé &gt;</t>
        </is>
      </c>
      <c r="L1410" s="10" t="inlineStr">
        <is>
          <t>shampoo</t>
        </is>
      </c>
      <c r="M1410" s="10" t="inlineStr">
        <is>
          <t>estandar</t>
        </is>
      </c>
      <c r="N1410" s="10" t="inlineStr">
        <is>
          <t>bebe</t>
        </is>
      </c>
      <c r="O1410" s="10" t="inlineStr">
        <is>
          <t>https://www.disco.com.ar/shampoo-para-bebe-babelito/p</t>
        </is>
      </c>
    </row>
    <row r="1411">
      <c r="A1411" t="inlineStr">
        <is>
          <t>Disco</t>
        </is>
      </c>
      <c r="B1411" t="n">
        <v>382904</v>
      </c>
      <c r="C1411" t="n">
        <v>381619</v>
      </c>
      <c r="D1411" t="inlineStr">
        <is>
          <t>Shampoo Para Bebé Johnson's Original 400 Ml</t>
        </is>
      </c>
      <c r="E1411" t="inlineStr">
        <is>
          <t>JOHNSON´S</t>
        </is>
      </c>
      <c r="F1411" t="n">
        <v>2214.09</v>
      </c>
      <c r="G1411" t="n">
        <v>182983</v>
      </c>
      <c r="H1411" t="b">
        <v>0</v>
      </c>
      <c r="I1411" t="n">
        <v>400</v>
      </c>
      <c r="J1411" t="n">
        <v>5.5352</v>
      </c>
      <c r="K1411" t="inlineStr">
        <is>
          <t>&gt; Mundo Bebe &gt; Higiene para el Bebe &gt; Higiene del Bebé &gt;</t>
        </is>
      </c>
      <c r="L1411" t="inlineStr">
        <is>
          <t>shampoo</t>
        </is>
      </c>
      <c r="M1411" t="inlineStr">
        <is>
          <t>estandar</t>
        </is>
      </c>
      <c r="N1411" t="inlineStr">
        <is>
          <t>bebe</t>
        </is>
      </c>
      <c r="O1411" t="inlineStr">
        <is>
          <t>https://www.disco.com.ar/shampoo-para-bebe-johnson-s-original-400-ml/p</t>
        </is>
      </c>
    </row>
    <row r="1412">
      <c r="A1412" s="10" t="inlineStr">
        <is>
          <t>Disco</t>
        </is>
      </c>
      <c r="B1412" s="10" t="n">
        <v>382901</v>
      </c>
      <c r="C1412" s="10" t="n">
        <v>381616</v>
      </c>
      <c r="D1412" s="10" t="inlineStr">
        <is>
          <t>Shampoo Para Bebé Johnson's Original 200 Ml</t>
        </is>
      </c>
      <c r="E1412" s="10" t="inlineStr">
        <is>
          <t>JOHNSON´S</t>
        </is>
      </c>
      <c r="F1412" s="10" t="n">
        <v>1419.89</v>
      </c>
      <c r="G1412" s="10" t="n">
        <v>117346</v>
      </c>
      <c r="H1412" s="10" t="b">
        <v>0</v>
      </c>
      <c r="I1412" s="10" t="n">
        <v>200</v>
      </c>
      <c r="J1412" s="10" t="n">
        <v>7.0995</v>
      </c>
      <c r="K1412" s="10" t="inlineStr">
        <is>
          <t>&gt; Mundo Bebe &gt; Higiene para el Bebe &gt; Higiene del Bebé &gt;</t>
        </is>
      </c>
      <c r="L1412" s="10" t="inlineStr">
        <is>
          <t>shampoo</t>
        </is>
      </c>
      <c r="M1412" s="10" t="inlineStr">
        <is>
          <t>estandar</t>
        </is>
      </c>
      <c r="N1412" s="10" t="inlineStr">
        <is>
          <t>bebe</t>
        </is>
      </c>
      <c r="O1412" s="10" t="inlineStr">
        <is>
          <t>https://www.disco.com.ar/shampoo-para-bebe-johnson-s-original-200-ml/p</t>
        </is>
      </c>
    </row>
    <row r="1413">
      <c r="A1413" t="inlineStr">
        <is>
          <t>Disco</t>
        </is>
      </c>
      <c r="B1413" t="n">
        <v>129116</v>
      </c>
      <c r="C1413" t="n">
        <v>126046</v>
      </c>
      <c r="D1413" t="inlineStr">
        <is>
          <t>Shampoo Para Bebé Original 200 Ml Johnson's</t>
        </is>
      </c>
      <c r="E1413" t="inlineStr">
        <is>
          <t>JOHNSON´S</t>
        </is>
      </c>
      <c r="F1413" t="n">
        <v>6200</v>
      </c>
      <c r="G1413" t="n">
        <v>512397</v>
      </c>
      <c r="H1413" t="b">
        <v>0</v>
      </c>
      <c r="I1413" t="n">
        <v>200</v>
      </c>
      <c r="J1413" t="n">
        <v>31</v>
      </c>
      <c r="K1413" t="inlineStr">
        <is>
          <t>&gt; Mundo Bebe &gt; Higiene para el Bebe &gt; Higiene del Bebé &gt;</t>
        </is>
      </c>
      <c r="L1413" t="inlineStr">
        <is>
          <t>shampoo</t>
        </is>
      </c>
      <c r="M1413" t="inlineStr">
        <is>
          <t>estandar</t>
        </is>
      </c>
      <c r="N1413" t="inlineStr">
        <is>
          <t>bebe</t>
        </is>
      </c>
      <c r="O1413" t="inlineStr">
        <is>
          <t>https://www.disco.com.ar/toallas-femeninas-sin-alas-siempre-libre-especial-x-8-un/p</t>
        </is>
      </c>
    </row>
    <row r="1414">
      <c r="A1414" s="10" t="inlineStr">
        <is>
          <t>Disco</t>
        </is>
      </c>
      <c r="B1414" s="10" t="n">
        <v>68993</v>
      </c>
      <c r="C1414" s="10" t="n">
        <v>66130</v>
      </c>
      <c r="D1414" s="10" t="inlineStr">
        <is>
          <t>Shampoo Para Bebe Babylook X 200 Ml</t>
        </is>
      </c>
      <c r="E1414" s="10" t="inlineStr">
        <is>
          <t>BABYLOOK</t>
        </is>
      </c>
      <c r="F1414" s="10" t="n">
        <v>17.99</v>
      </c>
      <c r="G1414" s="10" t="n">
        <v>17.99</v>
      </c>
      <c r="H1414" s="10" t="b">
        <v>0</v>
      </c>
      <c r="I1414" s="10" t="n">
        <v>200</v>
      </c>
      <c r="J1414" s="10" t="n">
        <v>0.08989999999999999</v>
      </c>
      <c r="K1414" s="10" t="inlineStr">
        <is>
          <t>&gt; Mundo Bebe &gt; Higiene para el Bebe &gt; Higiene del Bebé &gt;</t>
        </is>
      </c>
      <c r="L1414" s="10" t="inlineStr">
        <is>
          <t>shampoo</t>
        </is>
      </c>
      <c r="M1414" s="10" t="inlineStr">
        <is>
          <t>estandar</t>
        </is>
      </c>
      <c r="N1414" s="10" t="inlineStr">
        <is>
          <t>bebe</t>
        </is>
      </c>
      <c r="O1414" s="10" t="inlineStr">
        <is>
          <t>https://www.disco.com.ar/shampoo-para-bebe-babylook-x-200-ml-2/p</t>
        </is>
      </c>
    </row>
    <row r="1415">
      <c r="A1415" t="inlineStr">
        <is>
          <t>Disco</t>
        </is>
      </c>
      <c r="B1415" t="n">
        <v>382903</v>
      </c>
      <c r="C1415" t="n">
        <v>381618</v>
      </c>
      <c r="D1415" t="inlineStr">
        <is>
          <t>Shampoo Para Bebé Johnson's Cabello Claro 400 Ml</t>
        </is>
      </c>
      <c r="E1415" t="inlineStr">
        <is>
          <t>JOHNSON´S</t>
        </is>
      </c>
      <c r="F1415" t="n">
        <v>2183.32</v>
      </c>
      <c r="G1415" t="n">
        <v>180440</v>
      </c>
      <c r="H1415" t="b">
        <v>0</v>
      </c>
      <c r="I1415" t="n">
        <v>400</v>
      </c>
      <c r="J1415" t="n">
        <v>5.4583</v>
      </c>
      <c r="K1415" t="inlineStr">
        <is>
          <t>&gt; Mundo Bebe &gt; Higiene para el Bebe &gt; Higiene del Bebé &gt;</t>
        </is>
      </c>
      <c r="L1415" t="inlineStr">
        <is>
          <t>shampoo</t>
        </is>
      </c>
      <c r="M1415" t="inlineStr">
        <is>
          <t>estandar</t>
        </is>
      </c>
      <c r="N1415" t="inlineStr">
        <is>
          <t>bebe</t>
        </is>
      </c>
      <c r="O1415" t="inlineStr">
        <is>
          <t>https://www.disco.com.ar/shampoo-para-bebe-johnson-s-cabello-claro-400-ml/p</t>
        </is>
      </c>
    </row>
    <row r="1416">
      <c r="A1416" s="10" t="inlineStr">
        <is>
          <t>Disco</t>
        </is>
      </c>
      <c r="B1416" s="10" t="n">
        <v>218705</v>
      </c>
      <c r="C1416" s="10" t="n">
        <v>228396</v>
      </c>
      <c r="D1416" s="10" t="inlineStr">
        <is>
          <t>Shampoo Infanzia Bebe Sin Lagrimas Pet 200 Ml.</t>
        </is>
      </c>
      <c r="E1416" s="10" t="inlineStr">
        <is>
          <t>INFANZIA</t>
        </is>
      </c>
      <c r="F1416" s="10" t="n">
        <v>6.87</v>
      </c>
      <c r="G1416" s="10" t="n">
        <v>6.87</v>
      </c>
      <c r="H1416" s="10" t="b">
        <v>0</v>
      </c>
      <c r="I1416" s="10" t="n">
        <v>200</v>
      </c>
      <c r="J1416" s="10" t="n">
        <v>0.0343</v>
      </c>
      <c r="K1416" s="10" t="inlineStr">
        <is>
          <t>&gt; Mundo Bebe &gt; Higiene para el Bebe &gt; Higiene del Bebé &gt;</t>
        </is>
      </c>
      <c r="L1416" s="10" t="inlineStr">
        <is>
          <t>shampoo</t>
        </is>
      </c>
      <c r="M1416" s="10" t="inlineStr">
        <is>
          <t>estandar</t>
        </is>
      </c>
      <c r="N1416" s="10" t="inlineStr">
        <is>
          <t>bebe</t>
        </is>
      </c>
      <c r="O1416" s="10" t="inlineStr">
        <is>
          <t>https://www.disco.com.ar/shampoo-infanzia-bebe-sin-lagrimas-pet-200-ml-250448/p</t>
        </is>
      </c>
    </row>
    <row r="1417">
      <c r="A1417" t="inlineStr">
        <is>
          <t>Disco</t>
        </is>
      </c>
      <c r="B1417" t="n">
        <v>382911</v>
      </c>
      <c r="C1417" t="n">
        <v>381626</v>
      </c>
      <c r="D1417" t="inlineStr">
        <is>
          <t>Shampoo Para Bebé Johnson's Original X 750 Ml.</t>
        </is>
      </c>
      <c r="E1417" t="inlineStr">
        <is>
          <t>JOHNSON´S</t>
        </is>
      </c>
      <c r="F1417" t="n">
        <v>4168.39</v>
      </c>
      <c r="G1417" t="n">
        <v>344495</v>
      </c>
      <c r="H1417" t="b">
        <v>0</v>
      </c>
      <c r="I1417" t="n">
        <v>750</v>
      </c>
      <c r="J1417" t="n">
        <v>5.5579</v>
      </c>
      <c r="K1417" t="inlineStr">
        <is>
          <t>&gt; Mundo Bebe &gt; Higiene para el Bebe &gt; Higiene del Bebé &gt;</t>
        </is>
      </c>
      <c r="L1417" t="inlineStr">
        <is>
          <t>shampoo</t>
        </is>
      </c>
      <c r="M1417" t="inlineStr">
        <is>
          <t>estandar</t>
        </is>
      </c>
      <c r="N1417" t="inlineStr">
        <is>
          <t>bebe</t>
        </is>
      </c>
      <c r="O1417" t="inlineStr">
        <is>
          <t>https://www.disco.com.ar/shampoo-johnson-baby-original-750ml/p</t>
        </is>
      </c>
    </row>
    <row r="1418">
      <c r="A1418" s="10" t="inlineStr">
        <is>
          <t>Disco</t>
        </is>
      </c>
      <c r="B1418" s="10" t="n">
        <v>333049</v>
      </c>
      <c r="C1418" s="10" t="n">
        <v>332197</v>
      </c>
      <c r="D1418" s="10" t="inlineStr">
        <is>
          <t>Shampoo Para Bebé Johnson's Cabello Oscuro X200 Ml</t>
        </is>
      </c>
      <c r="E1418" s="10" t="inlineStr">
        <is>
          <t>JOHNSON BABY</t>
        </is>
      </c>
      <c r="F1418" s="10" t="n">
        <v>569.15</v>
      </c>
      <c r="G1418" s="10" t="n">
        <v>47037</v>
      </c>
      <c r="H1418" s="10" t="b">
        <v>0</v>
      </c>
      <c r="I1418" s="10" t="n">
        <v>200</v>
      </c>
      <c r="J1418" s="10" t="n">
        <v>2.8457</v>
      </c>
      <c r="K1418" s="10" t="inlineStr">
        <is>
          <t>&gt; Mundo Bebe &gt; Higiene para el Bebe &gt; Higiene del Bebé &gt;</t>
        </is>
      </c>
      <c r="L1418" s="10" t="inlineStr">
        <is>
          <t>shampoo</t>
        </is>
      </c>
      <c r="M1418" s="10" t="inlineStr">
        <is>
          <t>estandar</t>
        </is>
      </c>
      <c r="N1418" s="10" t="inlineStr">
        <is>
          <t>bebe</t>
        </is>
      </c>
      <c r="O1418" s="10" t="inlineStr">
        <is>
          <t>https://www.disco.com.ar/shampoo-para-bebe-johnson-s-cabello-oscuro-x200-ml/p</t>
        </is>
      </c>
    </row>
    <row r="1419">
      <c r="A1419" t="inlineStr">
        <is>
          <t>Disco</t>
        </is>
      </c>
      <c r="B1419" t="n">
        <v>3079034</v>
      </c>
      <c r="C1419" t="n">
        <v>3078358</v>
      </c>
      <c r="D1419" t="inlineStr">
        <is>
          <t>Shampoo Para Bebé Original Refill X 180 Ml  Johnson's</t>
        </is>
      </c>
      <c r="E1419" t="inlineStr">
        <is>
          <t>JOHNSON BABY</t>
        </is>
      </c>
      <c r="F1419" t="n">
        <v>4800</v>
      </c>
      <c r="G1419" t="n">
        <v>396694</v>
      </c>
      <c r="H1419" t="b">
        <v>0</v>
      </c>
      <c r="I1419" t="n">
        <v>180</v>
      </c>
      <c r="J1419" t="n">
        <v>26.6667</v>
      </c>
      <c r="K1419" t="inlineStr">
        <is>
          <t>&gt; Mundo Bebe &gt; Higiene para el Bebe &gt; Higiene del Bebé &gt;</t>
        </is>
      </c>
      <c r="L1419" t="inlineStr">
        <is>
          <t>shampoo</t>
        </is>
      </c>
      <c r="M1419" t="inlineStr">
        <is>
          <t>estandar</t>
        </is>
      </c>
      <c r="N1419" t="inlineStr">
        <is>
          <t>bebe</t>
        </is>
      </c>
      <c r="O1419" t="inlineStr">
        <is>
          <t>https://www.disco.com.ar/shampoo-para-bebe-original-refill-x-180-ml-johnson-s/p</t>
        </is>
      </c>
    </row>
    <row r="1420">
      <c r="A1420" s="10" t="inlineStr">
        <is>
          <t>Disco</t>
        </is>
      </c>
      <c r="B1420" s="10" t="n">
        <v>51753</v>
      </c>
      <c r="C1420" s="10" t="n">
        <v>48921</v>
      </c>
      <c r="D1420" s="10" t="inlineStr">
        <is>
          <t>Shampoo Para Bebe Petit Enfant Kids  Pvc 240 Ml</t>
        </is>
      </c>
      <c r="E1420" s="10" t="inlineStr">
        <is>
          <t>PETIT ENFANT</t>
        </is>
      </c>
      <c r="F1420" s="10" t="n">
        <v>9.99</v>
      </c>
      <c r="G1420" s="10" t="n">
        <v>9.99</v>
      </c>
      <c r="H1420" s="10" t="b">
        <v>0</v>
      </c>
      <c r="I1420" s="10" t="n">
        <v>240</v>
      </c>
      <c r="J1420" s="10" t="n">
        <v>0.0416</v>
      </c>
      <c r="K1420" s="10" t="inlineStr">
        <is>
          <t>&gt; Mundo Bebe &gt; Higiene para el Bebe &gt; Higiene del Bebé &gt;</t>
        </is>
      </c>
      <c r="L1420" s="10" t="inlineStr">
        <is>
          <t>shampoo</t>
        </is>
      </c>
      <c r="M1420" s="10" t="inlineStr">
        <is>
          <t>estandar</t>
        </is>
      </c>
      <c r="N1420" s="10" t="inlineStr">
        <is>
          <t>bebe</t>
        </is>
      </c>
      <c r="O1420" s="10" t="inlineStr">
        <is>
          <t>https://www.disco.com.ar/shampoo-para-bebe-petit-enfant-kids-pvc-240-ml/p</t>
        </is>
      </c>
    </row>
    <row r="1421">
      <c r="A1421" t="inlineStr">
        <is>
          <t>Disco</t>
        </is>
      </c>
      <c r="B1421" t="n">
        <v>43356</v>
      </c>
      <c r="C1421" t="n">
        <v>40527</v>
      </c>
      <c r="D1421" t="inlineStr">
        <is>
          <t>Shampoo Para Bebé Johnson's® Ph Balanceado X 750 Ml</t>
        </is>
      </c>
      <c r="E1421" t="inlineStr">
        <is>
          <t>JOHNSON BABY</t>
        </is>
      </c>
      <c r="F1421" t="n">
        <v>492.99</v>
      </c>
      <c r="G1421" t="n">
        <v>40743</v>
      </c>
      <c r="H1421" t="b">
        <v>0</v>
      </c>
      <c r="I1421" t="n">
        <v>750</v>
      </c>
      <c r="J1421" t="n">
        <v>0.6573</v>
      </c>
      <c r="K1421" t="inlineStr">
        <is>
          <t>&gt; Mundo Bebe &gt; Higiene para el Bebe &gt; Higiene del Bebé &gt;</t>
        </is>
      </c>
      <c r="L1421" t="inlineStr">
        <is>
          <t>shampoo</t>
        </is>
      </c>
      <c r="M1421" t="inlineStr">
        <is>
          <t>estandar</t>
        </is>
      </c>
      <c r="N1421" t="inlineStr">
        <is>
          <t>bebe</t>
        </is>
      </c>
      <c r="O1421" t="inlineStr">
        <is>
          <t>https://www.disco.com.ar/shampoo-para-bebe-johnson-s-ph-balanceado-x-750-ml/p</t>
        </is>
      </c>
    </row>
    <row r="1422">
      <c r="A1422" s="10" t="inlineStr">
        <is>
          <t>Disco</t>
        </is>
      </c>
      <c r="B1422" s="10" t="n">
        <v>382902</v>
      </c>
      <c r="C1422" s="10" t="n">
        <v>381617</v>
      </c>
      <c r="D1422" s="10" t="inlineStr">
        <is>
          <t>Shampoo Para Bebé Johnson's Cabello Claro X 200 Ml.</t>
        </is>
      </c>
      <c r="E1422" s="10" t="inlineStr">
        <is>
          <t>JOHNSON´S</t>
        </is>
      </c>
      <c r="F1422" s="10" t="n">
        <v>1550</v>
      </c>
      <c r="G1422" s="10" t="n">
        <v>128099</v>
      </c>
      <c r="H1422" s="10" t="b">
        <v>0</v>
      </c>
      <c r="I1422" s="10" t="n">
        <v>200</v>
      </c>
      <c r="J1422" s="10" t="n">
        <v>7.75</v>
      </c>
      <c r="K1422" s="10" t="inlineStr">
        <is>
          <t>&gt; Mundo Bebe &gt; Higiene para el Bebe &gt; Higiene del Bebé &gt;</t>
        </is>
      </c>
      <c r="L1422" s="10" t="inlineStr">
        <is>
          <t>shampoo</t>
        </is>
      </c>
      <c r="M1422" s="10" t="inlineStr">
        <is>
          <t>estandar</t>
        </is>
      </c>
      <c r="N1422" s="10" t="inlineStr">
        <is>
          <t>bebe</t>
        </is>
      </c>
      <c r="O1422" s="10" t="inlineStr">
        <is>
          <t>https://www.disco.com.ar/shampoo-johnson-baby-manzanilla-200ml/p</t>
        </is>
      </c>
    </row>
    <row r="1423">
      <c r="A1423" t="inlineStr">
        <is>
          <t>Disco</t>
        </is>
      </c>
      <c r="B1423" t="n">
        <v>330727</v>
      </c>
      <c r="C1423" t="n">
        <v>329475</v>
      </c>
      <c r="D1423" t="inlineStr">
        <is>
          <t>Shampoo Para Bebé Johnson's® Ph Balanceado X 400 Ml.</t>
        </is>
      </c>
      <c r="E1423" t="inlineStr">
        <is>
          <t>JOHNSON BABY</t>
        </is>
      </c>
      <c r="F1423" t="n">
        <v>958.99</v>
      </c>
      <c r="G1423" t="n">
        <v>79255</v>
      </c>
      <c r="H1423" t="b">
        <v>0</v>
      </c>
      <c r="I1423" t="n">
        <v>400</v>
      </c>
      <c r="J1423" t="n">
        <v>2.3975</v>
      </c>
      <c r="K1423" t="inlineStr">
        <is>
          <t>&gt; Mundo Bebe &gt; Higiene para el Bebe &gt; Higiene del Bebé &gt;</t>
        </is>
      </c>
      <c r="L1423" t="inlineStr">
        <is>
          <t>shampoo</t>
        </is>
      </c>
      <c r="M1423" t="inlineStr">
        <is>
          <t>estandar</t>
        </is>
      </c>
      <c r="N1423" t="inlineStr">
        <is>
          <t>bebe</t>
        </is>
      </c>
      <c r="O1423" t="inlineStr">
        <is>
          <t>https://www.disco.com.ar/shampoo-para-bebe-johnson-s-ph-balanceado-x-400-ml/p</t>
        </is>
      </c>
    </row>
    <row r="1424">
      <c r="A1424" s="10" t="inlineStr">
        <is>
          <t>Disco</t>
        </is>
      </c>
      <c r="B1424" s="10" t="n">
        <v>119683</v>
      </c>
      <c r="C1424" s="10" t="n">
        <v>118711</v>
      </c>
      <c r="D1424" s="10" t="inlineStr">
        <is>
          <t>Shampoo Para Bebe Veritas Sin Lagrimas Pvc 220 Ml</t>
        </is>
      </c>
      <c r="E1424" s="10" t="inlineStr">
        <is>
          <t>VERITAS</t>
        </is>
      </c>
      <c r="F1424" s="10" t="n">
        <v>5.87</v>
      </c>
      <c r="G1424" s="10" t="n">
        <v>5.87</v>
      </c>
      <c r="H1424" s="10" t="b">
        <v>0</v>
      </c>
      <c r="I1424" s="10" t="n">
        <v>220</v>
      </c>
      <c r="J1424" s="10" t="n">
        <v>0.0267</v>
      </c>
      <c r="K1424" s="10" t="inlineStr">
        <is>
          <t>&gt; Mundo Bebe &gt; Higiene para el Bebe &gt; Higiene del Bebé &gt;</t>
        </is>
      </c>
      <c r="L1424" s="10" t="inlineStr">
        <is>
          <t>shampoo</t>
        </is>
      </c>
      <c r="M1424" s="10" t="inlineStr">
        <is>
          <t>estandar</t>
        </is>
      </c>
      <c r="N1424" s="10" t="inlineStr">
        <is>
          <t>bebe</t>
        </is>
      </c>
      <c r="O1424" s="10" t="inlineStr">
        <is>
          <t>https://www.disco.com.ar/shampoo-para-bebe-veritas-sin-lagrimas-pvc-220-ml/p</t>
        </is>
      </c>
    </row>
    <row r="1425">
      <c r="A1425" t="inlineStr">
        <is>
          <t>Disco</t>
        </is>
      </c>
      <c r="B1425" t="n">
        <v>43376</v>
      </c>
      <c r="C1425" t="n">
        <v>40547</v>
      </c>
      <c r="D1425" t="inlineStr">
        <is>
          <t>Shampoo Para Bebé Johnson's® Ph Balanceado X 200 Ml</t>
        </is>
      </c>
      <c r="E1425" t="inlineStr">
        <is>
          <t>JOHNSON BABY</t>
        </is>
      </c>
      <c r="F1425" t="n">
        <v>213.39</v>
      </c>
      <c r="G1425" t="n">
        <v>17636</v>
      </c>
      <c r="H1425" t="b">
        <v>0</v>
      </c>
      <c r="I1425" t="n">
        <v>200</v>
      </c>
      <c r="J1425" t="n">
        <v>1.0669</v>
      </c>
      <c r="K1425" t="inlineStr">
        <is>
          <t>&gt; Mundo Bebe &gt; Higiene para el Bebe &gt; Higiene del Bebé &gt;</t>
        </is>
      </c>
      <c r="L1425" t="inlineStr">
        <is>
          <t>shampoo</t>
        </is>
      </c>
      <c r="M1425" t="inlineStr">
        <is>
          <t>estandar</t>
        </is>
      </c>
      <c r="N1425" t="inlineStr">
        <is>
          <t>bebe</t>
        </is>
      </c>
      <c r="O1425" t="inlineStr">
        <is>
          <t>https://www.disco.com.ar/shampoo-para-bebe-johnson-s-ph-balanceado-x-200-ml/p</t>
        </is>
      </c>
    </row>
    <row r="1426">
      <c r="A1426" s="10" t="inlineStr">
        <is>
          <t>Disco</t>
        </is>
      </c>
      <c r="B1426" s="10" t="n">
        <v>24371</v>
      </c>
      <c r="C1426" s="10" t="n">
        <v>21535</v>
      </c>
      <c r="D1426" s="10" t="inlineStr">
        <is>
          <t>Shampoo Para Bebé Johnson's® Ph Balanceado - 400 Ml</t>
        </is>
      </c>
      <c r="E1426" s="10" t="inlineStr">
        <is>
          <t>JOHNSON BABY</t>
        </is>
      </c>
      <c r="F1426" s="10" t="n">
        <v>274.97</v>
      </c>
      <c r="G1426" s="10" t="n">
        <v>22725</v>
      </c>
      <c r="H1426" s="10" t="b">
        <v>0</v>
      </c>
      <c r="I1426" s="10" t="n">
        <v>400</v>
      </c>
      <c r="J1426" s="10" t="n">
        <v>0.6874</v>
      </c>
      <c r="K1426" s="10" t="inlineStr">
        <is>
          <t>&gt; Mundo Bebe &gt; Higiene para el Bebe &gt; Higiene del Bebé &gt;</t>
        </is>
      </c>
      <c r="L1426" s="10" t="inlineStr">
        <is>
          <t>shampoo</t>
        </is>
      </c>
      <c r="M1426" s="10" t="inlineStr">
        <is>
          <t>estandar</t>
        </is>
      </c>
      <c r="N1426" s="10" t="inlineStr">
        <is>
          <t>bebe</t>
        </is>
      </c>
      <c r="O1426" s="10" t="inlineStr">
        <is>
          <t>https://www.disco.com.ar/shampoo-para-bebe-johnson-s-ph-balanceado-400-ml/p</t>
        </is>
      </c>
    </row>
    <row r="1427">
      <c r="A1427" t="inlineStr">
        <is>
          <t>Disco</t>
        </is>
      </c>
      <c r="B1427" t="n">
        <v>3091</v>
      </c>
      <c r="C1427" t="n">
        <v>244946</v>
      </c>
      <c r="D1427" t="inlineStr">
        <is>
          <t>Shampoo Para Bebé Johnson's® Protección Uv X 400 Ml</t>
        </is>
      </c>
      <c r="E1427" t="inlineStr">
        <is>
          <t>JOHNSON BABY</t>
        </is>
      </c>
      <c r="F1427" t="n">
        <v>274.97</v>
      </c>
      <c r="G1427" t="n">
        <v>22725</v>
      </c>
      <c r="H1427" t="b">
        <v>0</v>
      </c>
      <c r="I1427" t="n">
        <v>400</v>
      </c>
      <c r="J1427" t="n">
        <v>0.6874</v>
      </c>
      <c r="K1427" t="inlineStr">
        <is>
          <t>&gt; Mundo Bebe &gt; Higiene para el Bebe &gt; Higiene del Bebé &gt;</t>
        </is>
      </c>
      <c r="L1427" t="inlineStr">
        <is>
          <t>shampoo</t>
        </is>
      </c>
      <c r="M1427" t="inlineStr">
        <is>
          <t>estandar</t>
        </is>
      </c>
      <c r="N1427" t="inlineStr">
        <is>
          <t>bebe</t>
        </is>
      </c>
      <c r="O1427" t="inlineStr">
        <is>
          <t>https://www.disco.com.ar/shampoo-para-bebe-johnson-s-proteccion-uv-x-400-ml/p</t>
        </is>
      </c>
    </row>
    <row r="1428">
      <c r="A1428" s="10" t="inlineStr">
        <is>
          <t>Disco</t>
        </is>
      </c>
      <c r="B1428" s="10" t="n">
        <v>414732</v>
      </c>
      <c r="C1428" s="10" t="n">
        <v>410433</v>
      </c>
      <c r="D1428" s="10" t="inlineStr">
        <is>
          <t>Shampoo Para Bebé Cabello Claro 200 Ml Johnson Baby</t>
        </is>
      </c>
      <c r="E1428" s="10" t="inlineStr">
        <is>
          <t>JOHNSON BABY</t>
        </is>
      </c>
      <c r="F1428" s="10" t="n">
        <v>6650</v>
      </c>
      <c r="G1428" s="10" t="n">
        <v>549587</v>
      </c>
      <c r="H1428" s="10" t="b">
        <v>0</v>
      </c>
      <c r="I1428" s="10" t="n">
        <v>200</v>
      </c>
      <c r="J1428" s="10" t="n">
        <v>33.25</v>
      </c>
      <c r="K1428" s="10" t="inlineStr">
        <is>
          <t>&gt; Mundo Bebe &gt; Higiene para el Bebe &gt; Higiene del Bebé &gt;</t>
        </is>
      </c>
      <c r="L1428" s="10" t="inlineStr">
        <is>
          <t>shampoo</t>
        </is>
      </c>
      <c r="M1428" s="10" t="inlineStr">
        <is>
          <t>estandar</t>
        </is>
      </c>
      <c r="N1428" s="10" t="inlineStr">
        <is>
          <t>bebe</t>
        </is>
      </c>
      <c r="O1428" s="10" t="inlineStr">
        <is>
          <t>https://www.disco.com.ar/shampoo-para-bebe-cabello-claro-200-ml-johnson-baby/p</t>
        </is>
      </c>
    </row>
    <row r="1429">
      <c r="A1429" t="inlineStr">
        <is>
          <t>Disco</t>
        </is>
      </c>
      <c r="B1429" t="n">
        <v>382900</v>
      </c>
      <c r="C1429" t="n">
        <v>381615</v>
      </c>
      <c r="D1429" t="inlineStr">
        <is>
          <t>Shampoo Para Bebé Johnson's Cabello Claro X 750 Ml.</t>
        </is>
      </c>
      <c r="E1429" t="inlineStr">
        <is>
          <t>JOHNSON´S</t>
        </is>
      </c>
      <c r="F1429" t="n">
        <v>3700</v>
      </c>
      <c r="G1429" t="n">
        <v>305785</v>
      </c>
      <c r="H1429" t="b">
        <v>0</v>
      </c>
      <c r="I1429" t="n">
        <v>750</v>
      </c>
      <c r="J1429" t="n">
        <v>4.9333</v>
      </c>
      <c r="K1429" t="inlineStr">
        <is>
          <t>&gt; Mundo Bebe &gt; Higiene para el Bebe &gt; Higiene del Bebé &gt;</t>
        </is>
      </c>
      <c r="L1429" t="inlineStr">
        <is>
          <t>shampoo</t>
        </is>
      </c>
      <c r="M1429" t="inlineStr">
        <is>
          <t>estandar</t>
        </is>
      </c>
      <c r="N1429" t="inlineStr">
        <is>
          <t>bebe</t>
        </is>
      </c>
      <c r="O1429" t="inlineStr">
        <is>
          <t>https://www.disco.com.ar/shampoo-para-bebe-johnson-s-cabello-claro-x-750-ml/p</t>
        </is>
      </c>
    </row>
    <row r="1430">
      <c r="A1430" s="10" t="inlineStr">
        <is>
          <t>Disco</t>
        </is>
      </c>
      <c r="B1430" s="10" t="n">
        <v>330725</v>
      </c>
      <c r="C1430" s="10" t="n">
        <v>329473</v>
      </c>
      <c r="D1430" s="10" t="inlineStr">
        <is>
          <t>Shampoo Para Bebé Johnson's® Ph Balanceado X 200 Ml.</t>
        </is>
      </c>
      <c r="E1430" s="10" t="inlineStr">
        <is>
          <t>JOHNSON BABY</t>
        </is>
      </c>
      <c r="F1430" s="10" t="n">
        <v>614.99</v>
      </c>
      <c r="G1430" s="10" t="n">
        <v>50826</v>
      </c>
      <c r="H1430" s="10" t="b">
        <v>0</v>
      </c>
      <c r="I1430" s="10" t="n">
        <v>200</v>
      </c>
      <c r="J1430" s="10" t="n">
        <v>3.0749</v>
      </c>
      <c r="K1430" s="10" t="inlineStr">
        <is>
          <t>&gt; Mundo Bebe &gt; Higiene para el Bebe &gt; Higiene del Bebé &gt;</t>
        </is>
      </c>
      <c r="L1430" s="10" t="inlineStr">
        <is>
          <t>shampoo</t>
        </is>
      </c>
      <c r="M1430" s="10" t="inlineStr">
        <is>
          <t>estandar</t>
        </is>
      </c>
      <c r="N1430" s="10" t="inlineStr">
        <is>
          <t>bebe</t>
        </is>
      </c>
      <c r="O1430" s="10" t="inlineStr">
        <is>
          <t>https://www.disco.com.ar/shampoo-para-bebe-johnson-s-ph-balanceado-x-200-ml-2/p</t>
        </is>
      </c>
    </row>
    <row r="1431">
      <c r="A1431" t="inlineStr">
        <is>
          <t>Disco</t>
        </is>
      </c>
      <c r="B1431" t="n">
        <v>330717</v>
      </c>
      <c r="C1431" t="n">
        <v>329465</v>
      </c>
      <c r="D1431" t="inlineStr">
        <is>
          <t>Shampoo Para Bebé Johnson's® Cabello Claro X 400 Ml.</t>
        </is>
      </c>
      <c r="E1431" t="inlineStr">
        <is>
          <t>JOHNSON BABY</t>
        </is>
      </c>
      <c r="F1431" t="n">
        <v>958.99</v>
      </c>
      <c r="G1431" t="n">
        <v>79255</v>
      </c>
      <c r="H1431" t="b">
        <v>0</v>
      </c>
      <c r="I1431" t="n">
        <v>400</v>
      </c>
      <c r="J1431" t="n">
        <v>2.3975</v>
      </c>
      <c r="K1431" t="inlineStr">
        <is>
          <t>&gt; Mundo Bebe &gt; Higiene para el Bebe &gt; Higiene del Bebé &gt;</t>
        </is>
      </c>
      <c r="L1431" t="inlineStr">
        <is>
          <t>shampoo</t>
        </is>
      </c>
      <c r="M1431" t="inlineStr">
        <is>
          <t>estandar</t>
        </is>
      </c>
      <c r="N1431" t="inlineStr">
        <is>
          <t>bebe</t>
        </is>
      </c>
      <c r="O1431" t="inlineStr">
        <is>
          <t>https://www.disco.com.ar/shampoo-para-bebe-johnson-s-cabello-claro-x-400-ml/p</t>
        </is>
      </c>
    </row>
    <row r="1432">
      <c r="A1432" s="10" t="inlineStr">
        <is>
          <t>Disco</t>
        </is>
      </c>
      <c r="B1432" s="10" t="n">
        <v>46698</v>
      </c>
      <c r="C1432" s="10" t="n">
        <v>43862</v>
      </c>
      <c r="D1432" s="10" t="inlineStr">
        <is>
          <t>Shampoo Para Bebé Johnson's® Cabello Claro X 200 Ml</t>
        </is>
      </c>
      <c r="E1432" s="10" t="inlineStr">
        <is>
          <t>JOHNSON BABY</t>
        </is>
      </c>
      <c r="F1432" s="10" t="n">
        <v>213.39</v>
      </c>
      <c r="G1432" s="10" t="n">
        <v>17636</v>
      </c>
      <c r="H1432" s="10" t="b">
        <v>0</v>
      </c>
      <c r="I1432" s="10" t="n">
        <v>200</v>
      </c>
      <c r="J1432" s="10" t="n">
        <v>1.0669</v>
      </c>
      <c r="K1432" s="10" t="inlineStr">
        <is>
          <t>&gt; Mundo Bebe &gt; Higiene para el Bebe &gt; Higiene del Bebé &gt;</t>
        </is>
      </c>
      <c r="L1432" s="10" t="inlineStr">
        <is>
          <t>shampoo</t>
        </is>
      </c>
      <c r="M1432" s="10" t="inlineStr">
        <is>
          <t>estandar</t>
        </is>
      </c>
      <c r="N1432" s="10" t="inlineStr">
        <is>
          <t>bebe</t>
        </is>
      </c>
      <c r="O1432" s="10" t="inlineStr">
        <is>
          <t>https://www.disco.com.ar/shampoo-para-bebe-johnson-s-cabello-claro-x-200-ml/p</t>
        </is>
      </c>
    </row>
    <row r="1433">
      <c r="A1433" t="inlineStr">
        <is>
          <t>Disco</t>
        </is>
      </c>
      <c r="B1433" t="n">
        <v>171606</v>
      </c>
      <c r="C1433" t="n">
        <v>178789</v>
      </c>
      <c r="D1433" t="inlineStr">
        <is>
          <t>Shampoo Para Bebe Petit Enfant 0 A 1  Pvc 240 Ml</t>
        </is>
      </c>
      <c r="E1433" t="inlineStr">
        <is>
          <t>PETIT ENFANT</t>
        </is>
      </c>
      <c r="F1433" t="n">
        <v>9.99</v>
      </c>
      <c r="G1433" t="n">
        <v>9.99</v>
      </c>
      <c r="H1433" t="b">
        <v>0</v>
      </c>
      <c r="I1433" t="n">
        <v>240</v>
      </c>
      <c r="J1433" t="n">
        <v>0.0416</v>
      </c>
      <c r="K1433" t="inlineStr">
        <is>
          <t>&gt; Mundo Bebe &gt; Higiene para el Bebe &gt;</t>
        </is>
      </c>
      <c r="L1433" t="inlineStr">
        <is>
          <t>shampoo</t>
        </is>
      </c>
      <c r="M1433" t="inlineStr">
        <is>
          <t>estandar</t>
        </is>
      </c>
      <c r="N1433" t="inlineStr">
        <is>
          <t>bebe</t>
        </is>
      </c>
      <c r="O1433" t="inlineStr">
        <is>
          <t>https://www.disco.com.ar/shampoo-para-bebe-petit-enfant-pvc-240-ml-2-240615/p</t>
        </is>
      </c>
    </row>
    <row r="1434">
      <c r="A1434" s="10" t="inlineStr">
        <is>
          <t>Disco</t>
        </is>
      </c>
      <c r="B1434" s="10" t="n">
        <v>414737</v>
      </c>
      <c r="C1434" s="10" t="n">
        <v>410438</v>
      </c>
      <c r="D1434" s="10" t="inlineStr">
        <is>
          <t>Shampoo para Bebé Cabello Claro Manzanilla 400 Ml Johnson Baby</t>
        </is>
      </c>
      <c r="E1434" s="10" t="inlineStr">
        <is>
          <t>JOHNSON BABY</t>
        </is>
      </c>
      <c r="F1434" s="10" t="n">
        <v>10850</v>
      </c>
      <c r="G1434" s="10" t="n">
        <v>896694</v>
      </c>
      <c r="H1434" s="10" t="b">
        <v>0</v>
      </c>
      <c r="I1434" s="10" t="n">
        <v>400</v>
      </c>
      <c r="J1434" s="10" t="n">
        <v>27.125</v>
      </c>
      <c r="K1434" s="10" t="inlineStr">
        <is>
          <t>&gt; Mundo Bebe &gt; Higiene para el Bebe &gt; Higiene del Bebé &gt;</t>
        </is>
      </c>
      <c r="L1434" s="10" t="inlineStr">
        <is>
          <t>shampoo</t>
        </is>
      </c>
      <c r="M1434" s="10" t="inlineStr">
        <is>
          <t>estandar</t>
        </is>
      </c>
      <c r="N1434" s="10" t="inlineStr">
        <is>
          <t>bebe</t>
        </is>
      </c>
      <c r="O1434" s="10" t="inlineStr">
        <is>
          <t>https://www.disco.com.ar/shampoo-para-bebe-cabello-claro-400-ml-johnson-baby/p</t>
        </is>
      </c>
    </row>
    <row r="1435">
      <c r="A1435" t="inlineStr">
        <is>
          <t>Disco</t>
        </is>
      </c>
      <c r="B1435" t="n">
        <v>81194</v>
      </c>
      <c r="C1435" t="n">
        <v>78318</v>
      </c>
      <c r="D1435" t="inlineStr">
        <is>
          <t>Shampoo Danielle Para Bebe  200 Cc</t>
        </is>
      </c>
      <c r="E1435" t="inlineStr">
        <is>
          <t>DANIELLE</t>
        </is>
      </c>
      <c r="F1435" t="n">
        <v>9.390000000000001</v>
      </c>
      <c r="G1435" t="n">
        <v>9.390000000000001</v>
      </c>
      <c r="H1435" t="b">
        <v>0</v>
      </c>
      <c r="I1435" t="inlineStr"/>
      <c r="J1435" t="inlineStr"/>
      <c r="K1435" t="inlineStr">
        <is>
          <t>&gt; Mundo Bebe &gt; Higiene para el Bebe &gt; Higiene del Bebé &gt;</t>
        </is>
      </c>
      <c r="L1435" t="inlineStr">
        <is>
          <t>shampoo</t>
        </is>
      </c>
      <c r="M1435" t="inlineStr">
        <is>
          <t>estandar</t>
        </is>
      </c>
      <c r="N1435" t="inlineStr">
        <is>
          <t>bebe</t>
        </is>
      </c>
      <c r="O1435" t="inlineStr">
        <is>
          <t>https://www.disco.com.ar/shampoo-para-bebe-danielle/p</t>
        </is>
      </c>
    </row>
    <row r="1436">
      <c r="A1436" s="10" t="inlineStr">
        <is>
          <t>Disco</t>
        </is>
      </c>
      <c r="B1436" s="10" t="n">
        <v>200227</v>
      </c>
      <c r="C1436" s="10" t="n">
        <v>216880</v>
      </c>
      <c r="D1436" s="10" t="inlineStr">
        <is>
          <t>Shampoo Veritas Para Bebe X 200 Cc.</t>
        </is>
      </c>
      <c r="E1436" s="10" t="inlineStr">
        <is>
          <t>VERITAS</t>
        </is>
      </c>
      <c r="F1436" s="10" t="n">
        <v>4.35</v>
      </c>
      <c r="G1436" s="10" t="n">
        <v>4.35</v>
      </c>
      <c r="H1436" s="10" t="b">
        <v>0</v>
      </c>
      <c r="I1436" s="10" t="inlineStr"/>
      <c r="J1436" s="10" t="inlineStr"/>
      <c r="K1436" s="10" t="inlineStr">
        <is>
          <t>&gt; Mundo Bebe &gt; Higiene para el Bebe &gt;</t>
        </is>
      </c>
      <c r="L1436" s="10" t="inlineStr">
        <is>
          <t>shampoo</t>
        </is>
      </c>
      <c r="M1436" s="10" t="inlineStr">
        <is>
          <t>estandar</t>
        </is>
      </c>
      <c r="N1436" s="10" t="inlineStr">
        <is>
          <t>bebe</t>
        </is>
      </c>
      <c r="O1436" s="10" t="inlineStr">
        <is>
          <t>https://www.disco.com.ar/shampoo-para-bebe-veritas-11410/p</t>
        </is>
      </c>
    </row>
    <row r="1437">
      <c r="A1437" t="inlineStr">
        <is>
          <t>Disco</t>
        </is>
      </c>
      <c r="B1437" t="n">
        <v>200225</v>
      </c>
      <c r="C1437" t="n">
        <v>216878</v>
      </c>
      <c r="D1437" t="inlineStr">
        <is>
          <t>Shampoo Cotton Tails Para Bebe  475 Cc</t>
        </is>
      </c>
      <c r="E1437" t="inlineStr">
        <is>
          <t>COTTON TAILS</t>
        </is>
      </c>
      <c r="F1437" t="n">
        <v>8.57</v>
      </c>
      <c r="G1437" t="n">
        <v>8.57</v>
      </c>
      <c r="H1437" t="b">
        <v>0</v>
      </c>
      <c r="I1437" t="inlineStr"/>
      <c r="J1437" t="inlineStr"/>
      <c r="K1437" t="inlineStr">
        <is>
          <t>&gt; Mundo Bebe &gt; Higiene para el Bebe &gt;</t>
        </is>
      </c>
      <c r="L1437" t="inlineStr">
        <is>
          <t>shampoo</t>
        </is>
      </c>
      <c r="M1437" t="inlineStr">
        <is>
          <t>estandar</t>
        </is>
      </c>
      <c r="N1437" t="inlineStr">
        <is>
          <t>bebe</t>
        </is>
      </c>
      <c r="O1437" t="inlineStr">
        <is>
          <t>https://www.disco.com.ar/shampoo-para-bebe-cotton-tails-11409/p</t>
        </is>
      </c>
    </row>
    <row r="1438">
      <c r="A1438" s="10" t="inlineStr">
        <is>
          <t>Disco</t>
        </is>
      </c>
      <c r="B1438" s="10" t="n">
        <v>201055</v>
      </c>
      <c r="C1438" s="10" t="n">
        <v>217485</v>
      </c>
      <c r="D1438" s="10" t="inlineStr">
        <is>
          <t>Shampoo Huggies Para Bebé X 250 Ml</t>
        </is>
      </c>
      <c r="E1438" s="10" t="inlineStr">
        <is>
          <t>HUGGIES</t>
        </is>
      </c>
      <c r="F1438" s="10" t="n">
        <v>9.69</v>
      </c>
      <c r="G1438" s="10" t="n">
        <v>9.69</v>
      </c>
      <c r="H1438" s="10" t="b">
        <v>0</v>
      </c>
      <c r="I1438" s="10" t="n">
        <v>250</v>
      </c>
      <c r="J1438" s="10" t="n">
        <v>0.0388</v>
      </c>
      <c r="K1438" s="10" t="inlineStr">
        <is>
          <t>&gt; Mundo Bebe &gt; Higiene para el Bebe &gt;</t>
        </is>
      </c>
      <c r="L1438" s="10" t="inlineStr">
        <is>
          <t>shampoo</t>
        </is>
      </c>
      <c r="M1438" s="10" t="inlineStr">
        <is>
          <t>estandar</t>
        </is>
      </c>
      <c r="N1438" s="10" t="inlineStr">
        <is>
          <t>bebe</t>
        </is>
      </c>
      <c r="O1438" s="10" t="inlineStr">
        <is>
          <t>https://www.disco.com.ar/shampoo-huggies-para-bebe-x-250-ml-2-264388/p</t>
        </is>
      </c>
    </row>
    <row r="1439">
      <c r="A1439" t="inlineStr">
        <is>
          <t>Disco</t>
        </is>
      </c>
      <c r="B1439" t="n">
        <v>48725</v>
      </c>
      <c r="C1439" t="n">
        <v>45890</v>
      </c>
      <c r="D1439" t="inlineStr">
        <is>
          <t>Shampoo Vea Para Bebe X 230 Ml Sin Lagrimas  Pvc 230 Ml.</t>
        </is>
      </c>
      <c r="E1439" t="inlineStr">
        <is>
          <t>VEA</t>
        </is>
      </c>
      <c r="F1439" t="n">
        <v>3.24</v>
      </c>
      <c r="G1439" t="n">
        <v>3.24</v>
      </c>
      <c r="H1439" t="b">
        <v>0</v>
      </c>
      <c r="I1439" t="n">
        <v>230</v>
      </c>
      <c r="J1439" t="n">
        <v>0.0141</v>
      </c>
      <c r="K1439" t="inlineStr">
        <is>
          <t>&gt; Mundo Bebe &gt; Higiene para el Bebe &gt; Higiene del Bebé &gt;</t>
        </is>
      </c>
      <c r="L1439" t="inlineStr">
        <is>
          <t>shampoo</t>
        </is>
      </c>
      <c r="M1439" t="inlineStr">
        <is>
          <t>estandar</t>
        </is>
      </c>
      <c r="N1439" t="inlineStr">
        <is>
          <t>bebe</t>
        </is>
      </c>
      <c r="O1439" t="inlineStr">
        <is>
          <t>https://www.disco.com.ar/shampoo-vea-para-bebe-x-230-ml-sin-lagrimas-pvc-230-ml/p</t>
        </is>
      </c>
    </row>
    <row r="1440">
      <c r="A1440" s="10" t="inlineStr">
        <is>
          <t>Disco</t>
        </is>
      </c>
      <c r="B1440" s="10" t="n">
        <v>333068</v>
      </c>
      <c r="C1440" s="10" t="n">
        <v>332216</v>
      </c>
      <c r="D1440" s="10" t="inlineStr">
        <is>
          <t>Shampoo Hidratación Intensa 400ml Johnson Baby</t>
        </is>
      </c>
      <c r="E1440" s="10" t="inlineStr">
        <is>
          <t>JOHNSON BABY</t>
        </is>
      </c>
      <c r="F1440" s="10" t="n">
        <v>906.99</v>
      </c>
      <c r="G1440" s="10" t="n">
        <v>74958</v>
      </c>
      <c r="H1440" s="10" t="b">
        <v>0</v>
      </c>
      <c r="I1440" s="10" t="n">
        <v>400</v>
      </c>
      <c r="J1440" s="10" t="n">
        <v>2.2675</v>
      </c>
      <c r="K1440" s="10" t="inlineStr">
        <is>
          <t>&gt; Mundo Bebe &gt; Higiene para el Bebe &gt; Higiene del Bebé &gt;</t>
        </is>
      </c>
      <c r="L1440" s="10" t="inlineStr">
        <is>
          <t>shampoo</t>
        </is>
      </c>
      <c r="M1440" s="10" t="inlineStr">
        <is>
          <t>estandar</t>
        </is>
      </c>
      <c r="N1440" s="10" t="inlineStr">
        <is>
          <t>seco_danado</t>
        </is>
      </c>
      <c r="O1440" s="10" t="inlineStr">
        <is>
          <t>https://www.disco.com.ar/shampoo-hidratacion-intensa-400ml-johnson-baby/p</t>
        </is>
      </c>
    </row>
    <row r="1441">
      <c r="A1441" t="inlineStr">
        <is>
          <t>Disco</t>
        </is>
      </c>
      <c r="B1441" t="n">
        <v>221553</v>
      </c>
      <c r="C1441" t="n">
        <v>221253</v>
      </c>
      <c r="D1441" t="inlineStr">
        <is>
          <t>Shampoo Vea Para Bebe X 230 Ml Cabellos Claros  Pvc 230 Ml.</t>
        </is>
      </c>
      <c r="E1441" t="inlineStr">
        <is>
          <t>VEA</t>
        </is>
      </c>
      <c r="F1441" t="n">
        <v>3.24</v>
      </c>
      <c r="G1441" t="n">
        <v>3.24</v>
      </c>
      <c r="H1441" t="b">
        <v>0</v>
      </c>
      <c r="I1441" t="n">
        <v>230</v>
      </c>
      <c r="J1441" t="n">
        <v>0.0141</v>
      </c>
      <c r="K1441" t="inlineStr">
        <is>
          <t>&gt; Mundo Bebe &gt; Higiene para el Bebe &gt;</t>
        </is>
      </c>
      <c r="L1441" t="inlineStr">
        <is>
          <t>shampoo</t>
        </is>
      </c>
      <c r="M1441" t="inlineStr">
        <is>
          <t>estandar</t>
        </is>
      </c>
      <c r="N1441" t="inlineStr">
        <is>
          <t>bebe</t>
        </is>
      </c>
      <c r="O1441" t="inlineStr">
        <is>
          <t>https://www.disco.com.ar/shampoo-vea-para-bebe-x-230-ml-cabellos-claros-pvc-230-ml-205511/p</t>
        </is>
      </c>
    </row>
    <row r="1442">
      <c r="A1442" s="10" t="inlineStr">
        <is>
          <t>Disco</t>
        </is>
      </c>
      <c r="B1442" s="10" t="n">
        <v>41744</v>
      </c>
      <c r="C1442" s="10" t="n">
        <v>38908</v>
      </c>
      <c r="D1442" s="10" t="inlineStr">
        <is>
          <t>Shampoo Para Beb? Babelito Manzanilla 400ml Shampoo Para Bebé Babelito Manzanilla 400ml</t>
        </is>
      </c>
      <c r="E1442" s="10" t="inlineStr">
        <is>
          <t>BABELITO</t>
        </is>
      </c>
      <c r="F1442" s="10" t="n">
        <v>93.29000000000001</v>
      </c>
      <c r="G1442" s="10" t="n">
        <v>93.29000000000001</v>
      </c>
      <c r="H1442" s="10" t="b">
        <v>0</v>
      </c>
      <c r="I1442" s="10" t="n">
        <v>400</v>
      </c>
      <c r="J1442" s="10" t="n">
        <v>0.2332</v>
      </c>
      <c r="K1442" s="10" t="inlineStr">
        <is>
          <t>&gt; Mundo Bebe &gt; Higiene para el Bebe &gt; Higiene del Bebé &gt;</t>
        </is>
      </c>
      <c r="L1442" s="10" t="inlineStr">
        <is>
          <t>shampoo</t>
        </is>
      </c>
      <c r="M1442" s="10" t="inlineStr">
        <is>
          <t>estandar</t>
        </is>
      </c>
      <c r="N1442" s="10" t="inlineStr">
        <is>
          <t>bebe</t>
        </is>
      </c>
      <c r="O1442" s="10" t="inlineStr">
        <is>
          <t>https://www.disco.com.ar/shampoo-para-beb-babelito-manzanilla-400ml/p</t>
        </is>
      </c>
    </row>
    <row r="1443">
      <c r="A1443" t="inlineStr">
        <is>
          <t>Disco</t>
        </is>
      </c>
      <c r="B1443" t="n">
        <v>333436</v>
      </c>
      <c r="C1443" t="n">
        <v>332584</v>
      </c>
      <c r="D1443" t="inlineStr">
        <is>
          <t>Shampoo Hidratación Intensa 200ml Johnson Baby</t>
        </is>
      </c>
      <c r="E1443" t="inlineStr">
        <is>
          <t>JOHNSON BABY</t>
        </is>
      </c>
      <c r="F1443" t="n">
        <v>950</v>
      </c>
      <c r="G1443" t="n">
        <v>78512</v>
      </c>
      <c r="H1443" t="b">
        <v>0</v>
      </c>
      <c r="I1443" t="n">
        <v>200</v>
      </c>
      <c r="J1443" t="n">
        <v>4.75</v>
      </c>
      <c r="K1443" t="inlineStr">
        <is>
          <t>&gt; Mundo Bebe &gt; Higiene para el Bebe &gt; Higiene del Bebé &gt;</t>
        </is>
      </c>
      <c r="L1443" t="inlineStr">
        <is>
          <t>shampoo</t>
        </is>
      </c>
      <c r="M1443" t="inlineStr">
        <is>
          <t>estandar</t>
        </is>
      </c>
      <c r="N1443" t="inlineStr">
        <is>
          <t>seco_danado</t>
        </is>
      </c>
      <c r="O1443" t="inlineStr">
        <is>
          <t>https://www.disco.com.ar/shampoo-hidratacion-intensa-200ml-johnson-baby/p</t>
        </is>
      </c>
    </row>
    <row r="1444">
      <c r="A1444" s="10" t="inlineStr">
        <is>
          <t>Disco</t>
        </is>
      </c>
      <c r="B1444" s="10" t="n">
        <v>333076</v>
      </c>
      <c r="C1444" s="10" t="n">
        <v>332224</v>
      </c>
      <c r="D1444" s="10" t="inlineStr">
        <is>
          <t>Shampoo Para Niños Johnson's® Gotas De Brillo® X 200 Ml.</t>
        </is>
      </c>
      <c r="E1444" s="10" t="inlineStr">
        <is>
          <t>JOHNSON BABY</t>
        </is>
      </c>
      <c r="F1444" s="10" t="n">
        <v>604.95</v>
      </c>
      <c r="G1444" s="10" t="n">
        <v>49996</v>
      </c>
      <c r="H1444" s="10" t="b">
        <v>0</v>
      </c>
      <c r="I1444" s="10" t="n">
        <v>200</v>
      </c>
      <c r="J1444" s="10" t="n">
        <v>3.0248</v>
      </c>
      <c r="K1444" s="10" t="inlineStr">
        <is>
          <t>&gt; Mundo Bebe &gt; Higiene para el Bebe &gt; Higiene del Bebé &gt;</t>
        </is>
      </c>
      <c r="L1444" s="10" t="inlineStr">
        <is>
          <t>shampoo</t>
        </is>
      </c>
      <c r="M1444" s="10" t="inlineStr">
        <is>
          <t>estandar</t>
        </is>
      </c>
      <c r="N1444" s="10" t="inlineStr">
        <is>
          <t>bebe</t>
        </is>
      </c>
      <c r="O1444" s="10" t="inlineStr">
        <is>
          <t>https://www.disco.com.ar/shampoo-para-ninos-johnson-s-gotas-de-brillo-x-200-ml-2/p</t>
        </is>
      </c>
    </row>
    <row r="1445">
      <c r="A1445" t="inlineStr">
        <is>
          <t>Disco</t>
        </is>
      </c>
      <c r="B1445" t="n">
        <v>333075</v>
      </c>
      <c r="C1445" t="n">
        <v>332223</v>
      </c>
      <c r="D1445" t="inlineStr">
        <is>
          <t>Shampoo Para Niños Johnson's® Gotas De Brillo® X 400 Ml.</t>
        </is>
      </c>
      <c r="E1445" t="inlineStr">
        <is>
          <t>JOHNSON BABY</t>
        </is>
      </c>
      <c r="F1445" t="n">
        <v>943.29</v>
      </c>
      <c r="G1445" t="n">
        <v>77958</v>
      </c>
      <c r="H1445" t="b">
        <v>0</v>
      </c>
      <c r="I1445" t="n">
        <v>400</v>
      </c>
      <c r="J1445" t="n">
        <v>2.3582</v>
      </c>
      <c r="K1445" t="inlineStr">
        <is>
          <t>&gt; Mundo Bebe &gt; Higiene para el Bebe &gt; Higiene del Bebé &gt;</t>
        </is>
      </c>
      <c r="L1445" t="inlineStr">
        <is>
          <t>shampoo</t>
        </is>
      </c>
      <c r="M1445" t="inlineStr">
        <is>
          <t>estandar</t>
        </is>
      </c>
      <c r="N1445" t="inlineStr">
        <is>
          <t>bebe</t>
        </is>
      </c>
      <c r="O1445" t="inlineStr">
        <is>
          <t>https://www.disco.com.ar/shampoo-para-ninos-johnson-s-gotas-de-brillo-x-400-ml-3/p</t>
        </is>
      </c>
    </row>
    <row r="1446">
      <c r="A1446" s="10" t="inlineStr">
        <is>
          <t>Disco</t>
        </is>
      </c>
      <c r="B1446" s="10" t="n">
        <v>333069</v>
      </c>
      <c r="C1446" s="10" t="n">
        <v>332217</v>
      </c>
      <c r="D1446" s="10" t="inlineStr">
        <is>
          <t>Acondicionador Para Bebé Johnson's® Ph Balanceado X 200 Ml.</t>
        </is>
      </c>
      <c r="E1446" s="10" t="inlineStr">
        <is>
          <t>JOHNSON BABY</t>
        </is>
      </c>
      <c r="F1446" s="10" t="n">
        <v>900</v>
      </c>
      <c r="G1446" s="10" t="n">
        <v>74380</v>
      </c>
      <c r="H1446" s="10" t="b">
        <v>0</v>
      </c>
      <c r="I1446" s="10" t="n">
        <v>200</v>
      </c>
      <c r="J1446" s="10" t="n">
        <v>4.5</v>
      </c>
      <c r="K1446" s="10" t="inlineStr">
        <is>
          <t>&gt; Mundo Bebe &gt; Higiene para el Bebe &gt; Higiene del Bebé &gt;</t>
        </is>
      </c>
      <c r="L1446" s="10" t="inlineStr">
        <is>
          <t>acondicionador</t>
        </is>
      </c>
      <c r="M1446" s="10" t="inlineStr">
        <is>
          <t>estandar</t>
        </is>
      </c>
      <c r="N1446" s="10" t="inlineStr">
        <is>
          <t>bebe</t>
        </is>
      </c>
      <c r="O1446" s="10" t="inlineStr">
        <is>
          <t>https://www.disco.com.ar/acondicionador-para-bebe-johnson-s-ph-balanceado-x-200-ml-2/p</t>
        </is>
      </c>
    </row>
    <row r="1447">
      <c r="A1447" t="inlineStr">
        <is>
          <t>Disco</t>
        </is>
      </c>
      <c r="B1447" t="n">
        <v>37853</v>
      </c>
      <c r="C1447" t="n">
        <v>35011</v>
      </c>
      <c r="D1447" t="inlineStr">
        <is>
          <t>Shampoo Dove Baby Sensible 200 Ml</t>
        </is>
      </c>
      <c r="E1447" t="inlineStr">
        <is>
          <t>DOVE BABY</t>
        </is>
      </c>
      <c r="F1447" t="n">
        <v>151.09</v>
      </c>
      <c r="G1447" t="n">
        <v>12487</v>
      </c>
      <c r="H1447" t="b">
        <v>0</v>
      </c>
      <c r="I1447" t="n">
        <v>200</v>
      </c>
      <c r="J1447" t="n">
        <v>0.7554999999999999</v>
      </c>
      <c r="K1447" t="inlineStr">
        <is>
          <t>&gt; Mundo Bebe &gt; Higiene para el Bebe &gt; Higiene del Bebé &gt;</t>
        </is>
      </c>
      <c r="L1447" t="inlineStr">
        <is>
          <t>shampoo</t>
        </is>
      </c>
      <c r="M1447" t="inlineStr">
        <is>
          <t>estandar</t>
        </is>
      </c>
      <c r="N1447" t="inlineStr">
        <is>
          <t>general</t>
        </is>
      </c>
      <c r="O1447" t="inlineStr">
        <is>
          <t>https://www.disco.com.ar/shampoo-dove-baby-sensible-200-ml/p</t>
        </is>
      </c>
    </row>
    <row r="1448">
      <c r="A1448" s="10" t="inlineStr">
        <is>
          <t>Disco</t>
        </is>
      </c>
      <c r="B1448" s="10" t="n">
        <v>414719</v>
      </c>
      <c r="C1448" s="10" t="n">
        <v>410420</v>
      </c>
      <c r="D1448" s="10" t="inlineStr">
        <is>
          <t>Shampoo Para Niños Gotas De Brillo 200 Ml Johnson Baby</t>
        </is>
      </c>
      <c r="E1448" s="10" t="inlineStr">
        <is>
          <t>JOHNSON BABY</t>
        </is>
      </c>
      <c r="F1448" s="10" t="n">
        <v>5400</v>
      </c>
      <c r="G1448" s="10" t="n">
        <v>446281</v>
      </c>
      <c r="H1448" s="10" t="b">
        <v>0</v>
      </c>
      <c r="I1448" s="10" t="n">
        <v>200</v>
      </c>
      <c r="J1448" s="10" t="n">
        <v>27</v>
      </c>
      <c r="K1448" s="10" t="inlineStr">
        <is>
          <t>&gt; Mundo Bebe &gt; Higiene para el Bebe &gt; Higiene del Bebé &gt;</t>
        </is>
      </c>
      <c r="L1448" s="10" t="inlineStr">
        <is>
          <t>shampoo</t>
        </is>
      </c>
      <c r="M1448" s="10" t="inlineStr">
        <is>
          <t>estandar</t>
        </is>
      </c>
      <c r="N1448" s="10" t="inlineStr">
        <is>
          <t>bebe</t>
        </is>
      </c>
      <c r="O1448" s="10" t="inlineStr">
        <is>
          <t>https://www.disco.com.ar/shampoo-para-ninos-gotas-de-brillo-200-ml-johnson-baby/p</t>
        </is>
      </c>
    </row>
    <row r="1449">
      <c r="A1449" t="inlineStr">
        <is>
          <t>Disco</t>
        </is>
      </c>
      <c r="B1449" t="n">
        <v>661</v>
      </c>
      <c r="C1449" t="n">
        <v>248024</v>
      </c>
      <c r="D1449" t="inlineStr">
        <is>
          <t>Acondicionador Para Bebé Johnson's® Ph Balanceado X 200 Ml</t>
        </is>
      </c>
      <c r="E1449" t="inlineStr">
        <is>
          <t>JOHNSON BABY</t>
        </is>
      </c>
      <c r="F1449" t="n">
        <v>213.39</v>
      </c>
      <c r="G1449" t="n">
        <v>17636</v>
      </c>
      <c r="H1449" t="b">
        <v>0</v>
      </c>
      <c r="I1449" t="n">
        <v>200</v>
      </c>
      <c r="J1449" t="n">
        <v>1.0669</v>
      </c>
      <c r="K1449" t="inlineStr">
        <is>
          <t>&gt; Mundo Bebe &gt; Higiene para el Bebe &gt; Higiene del Bebé &gt;</t>
        </is>
      </c>
      <c r="L1449" t="inlineStr">
        <is>
          <t>acondicionador</t>
        </is>
      </c>
      <c r="M1449" t="inlineStr">
        <is>
          <t>estandar</t>
        </is>
      </c>
      <c r="N1449" t="inlineStr">
        <is>
          <t>bebe</t>
        </is>
      </c>
      <c r="O1449" t="inlineStr">
        <is>
          <t>https://www.disco.com.ar/acondicionador-para-bebe-johnson-s-ph-balanceado-x-200-ml/p</t>
        </is>
      </c>
    </row>
    <row r="1450">
      <c r="A1450" s="10" t="inlineStr">
        <is>
          <t>Disco</t>
        </is>
      </c>
      <c r="B1450" s="10" t="n">
        <v>660</v>
      </c>
      <c r="C1450" s="10" t="n">
        <v>248023</v>
      </c>
      <c r="D1450" s="10" t="inlineStr">
        <is>
          <t>Acondicionador Para Bebé Johnson's® Ph Balanceado X 400 Ml</t>
        </is>
      </c>
      <c r="E1450" s="10" t="inlineStr">
        <is>
          <t>JOHNSON BABY</t>
        </is>
      </c>
      <c r="F1450" s="10" t="n">
        <v>274.97</v>
      </c>
      <c r="G1450" s="10" t="n">
        <v>22725</v>
      </c>
      <c r="H1450" s="10" t="b">
        <v>0</v>
      </c>
      <c r="I1450" s="10" t="n">
        <v>400</v>
      </c>
      <c r="J1450" s="10" t="n">
        <v>0.6874</v>
      </c>
      <c r="K1450" s="10" t="inlineStr">
        <is>
          <t>&gt; Mundo Bebe &gt; Higiene para el Bebe &gt; Higiene del Bebé &gt;</t>
        </is>
      </c>
      <c r="L1450" s="10" t="inlineStr">
        <is>
          <t>acondicionador</t>
        </is>
      </c>
      <c r="M1450" s="10" t="inlineStr">
        <is>
          <t>estandar</t>
        </is>
      </c>
      <c r="N1450" s="10" t="inlineStr">
        <is>
          <t>bebe</t>
        </is>
      </c>
      <c r="O1450" s="10" t="inlineStr">
        <is>
          <t>https://www.disco.com.ar/acondicionador-para-bebe-johnson-s-ph-balanceado-x-400-ml/p</t>
        </is>
      </c>
    </row>
    <row r="1451">
      <c r="A1451" t="inlineStr">
        <is>
          <t>Disco</t>
        </is>
      </c>
      <c r="B1451" t="n">
        <v>76663</v>
      </c>
      <c r="C1451" t="n">
        <v>73791</v>
      </c>
      <c r="D1451" t="inlineStr">
        <is>
          <t>Shampoo Huggies Para Beb? X 250 Ml Shampoo Huggies Para Bebé X 250 Ml</t>
        </is>
      </c>
      <c r="E1451" t="inlineStr">
        <is>
          <t>HUGGIES</t>
        </is>
      </c>
      <c r="F1451" t="n">
        <v>9.890000000000001</v>
      </c>
      <c r="G1451" t="n">
        <v>9.890000000000001</v>
      </c>
      <c r="H1451" t="b">
        <v>0</v>
      </c>
      <c r="I1451" t="n">
        <v>250</v>
      </c>
      <c r="J1451" t="n">
        <v>0.0396</v>
      </c>
      <c r="K1451" t="inlineStr">
        <is>
          <t>&gt; Mundo Bebe &gt; Higiene para el Bebe &gt; Higiene del Bebé &gt;</t>
        </is>
      </c>
      <c r="L1451" t="inlineStr">
        <is>
          <t>shampoo</t>
        </is>
      </c>
      <c r="M1451" t="inlineStr">
        <is>
          <t>estandar</t>
        </is>
      </c>
      <c r="N1451" t="inlineStr">
        <is>
          <t>bebe</t>
        </is>
      </c>
      <c r="O1451" t="inlineStr">
        <is>
          <t>https://www.disco.com.ar/shampoo-huggies-para-bebe-x-250-ml/p</t>
        </is>
      </c>
    </row>
    <row r="1452">
      <c r="A1452" s="10" t="inlineStr">
        <is>
          <t>Disco</t>
        </is>
      </c>
      <c r="B1452" s="10" t="n">
        <v>634</v>
      </c>
      <c r="C1452" s="10" t="n">
        <v>248027</v>
      </c>
      <c r="D1452" s="10" t="inlineStr">
        <is>
          <t>Acondicionador Para Bebé Johnson's® Cabello Claro X 400 Ml</t>
        </is>
      </c>
      <c r="E1452" s="10" t="inlineStr">
        <is>
          <t>JOHNSON BABY</t>
        </is>
      </c>
      <c r="F1452" s="10" t="n">
        <v>274.97</v>
      </c>
      <c r="G1452" s="10" t="n">
        <v>22725</v>
      </c>
      <c r="H1452" s="10" t="b">
        <v>0</v>
      </c>
      <c r="I1452" s="10" t="n">
        <v>400</v>
      </c>
      <c r="J1452" s="10" t="n">
        <v>0.6874</v>
      </c>
      <c r="K1452" s="10" t="inlineStr">
        <is>
          <t>&gt; Mundo Bebe &gt; Higiene para el Bebe &gt; Higiene del Bebé &gt;</t>
        </is>
      </c>
      <c r="L1452" s="10" t="inlineStr">
        <is>
          <t>acondicionador</t>
        </is>
      </c>
      <c r="M1452" s="10" t="inlineStr">
        <is>
          <t>estandar</t>
        </is>
      </c>
      <c r="N1452" s="10" t="inlineStr">
        <is>
          <t>bebe</t>
        </is>
      </c>
      <c r="O1452" s="10" t="inlineStr">
        <is>
          <t>https://www.disco.com.ar/acondicionador-para-bebe-johnson-s-cabello-claro-x-400-ml/p</t>
        </is>
      </c>
    </row>
    <row r="1453">
      <c r="A1453" t="inlineStr">
        <is>
          <t>Disco</t>
        </is>
      </c>
      <c r="B1453" t="n">
        <v>627</v>
      </c>
      <c r="C1453" t="n">
        <v>248025</v>
      </c>
      <c r="D1453" t="inlineStr">
        <is>
          <t>Acondicionador Para Bebé Johnson's® Cabello Claro X 200 Ml</t>
        </is>
      </c>
      <c r="E1453" t="inlineStr">
        <is>
          <t>JOHNSON BABY</t>
        </is>
      </c>
      <c r="F1453" t="n">
        <v>213.39</v>
      </c>
      <c r="G1453" t="n">
        <v>17636</v>
      </c>
      <c r="H1453" t="b">
        <v>0</v>
      </c>
      <c r="I1453" t="n">
        <v>200</v>
      </c>
      <c r="J1453" t="n">
        <v>1.0669</v>
      </c>
      <c r="K1453" t="inlineStr">
        <is>
          <t>&gt; Mundo Bebe &gt; Higiene para el Bebe &gt; Higiene del Bebé &gt;</t>
        </is>
      </c>
      <c r="L1453" t="inlineStr">
        <is>
          <t>acondicionador</t>
        </is>
      </c>
      <c r="M1453" t="inlineStr">
        <is>
          <t>estandar</t>
        </is>
      </c>
      <c r="N1453" t="inlineStr">
        <is>
          <t>bebe</t>
        </is>
      </c>
      <c r="O1453" t="inlineStr">
        <is>
          <t>https://www.disco.com.ar/acondicionador-para-bebe-johnson-s-cabello-claro-x-200-ml/p</t>
        </is>
      </c>
    </row>
    <row r="1454">
      <c r="A1454" s="10" t="inlineStr">
        <is>
          <t>Disco</t>
        </is>
      </c>
      <c r="B1454" s="10" t="n">
        <v>414730</v>
      </c>
      <c r="C1454" s="10" t="n">
        <v>410431</v>
      </c>
      <c r="D1454" s="10" t="inlineStr">
        <is>
          <t>Acondicionador Para Bebé Cabello Claro 200 Ml Johnson´s</t>
        </is>
      </c>
      <c r="E1454" s="10" t="inlineStr">
        <is>
          <t>JOHNSON´S</t>
        </is>
      </c>
      <c r="F1454" s="10" t="n">
        <v>6300</v>
      </c>
      <c r="G1454" s="10" t="n">
        <v>520661</v>
      </c>
      <c r="H1454" s="10" t="b">
        <v>0</v>
      </c>
      <c r="I1454" s="10" t="n">
        <v>200</v>
      </c>
      <c r="J1454" s="10" t="n">
        <v>31.5</v>
      </c>
      <c r="K1454" s="10" t="inlineStr">
        <is>
          <t>&gt; Mundo Bebe &gt; Higiene para el Bebe &gt; Higiene del Bebé &gt;</t>
        </is>
      </c>
      <c r="L1454" s="10" t="inlineStr">
        <is>
          <t>acondicionador</t>
        </is>
      </c>
      <c r="M1454" s="10" t="inlineStr">
        <is>
          <t>estandar</t>
        </is>
      </c>
      <c r="N1454" s="10" t="inlineStr">
        <is>
          <t>bebe</t>
        </is>
      </c>
      <c r="O1454" s="10" t="inlineStr">
        <is>
          <t>https://www.disco.com.ar/acondicionador-para-bebe-cabello-claro-200-ml-johnson-s/p</t>
        </is>
      </c>
    </row>
    <row r="1455">
      <c r="A1455" t="inlineStr">
        <is>
          <t>Disco</t>
        </is>
      </c>
      <c r="B1455" t="n">
        <v>333071</v>
      </c>
      <c r="C1455" t="n">
        <v>332219</v>
      </c>
      <c r="D1455" t="inlineStr">
        <is>
          <t>Acondicionador Para Bebé Johnson's® Ph Balanceado X 400 Ml.</t>
        </is>
      </c>
      <c r="E1455" t="inlineStr">
        <is>
          <t>JOHNSON BABY</t>
        </is>
      </c>
      <c r="F1455" t="n">
        <v>1306.03</v>
      </c>
      <c r="G1455" t="n">
        <v>107936</v>
      </c>
      <c r="H1455" t="b">
        <v>0</v>
      </c>
      <c r="I1455" t="n">
        <v>400</v>
      </c>
      <c r="J1455" t="n">
        <v>3.2651</v>
      </c>
      <c r="K1455" t="inlineStr">
        <is>
          <t>&gt; Mundo Bebe &gt; Higiene para el Bebe &gt; Higiene del Bebé &gt;</t>
        </is>
      </c>
      <c r="L1455" t="inlineStr">
        <is>
          <t>acondicionador</t>
        </is>
      </c>
      <c r="M1455" t="inlineStr">
        <is>
          <t>estandar</t>
        </is>
      </c>
      <c r="N1455" t="inlineStr">
        <is>
          <t>bebe</t>
        </is>
      </c>
      <c r="O1455" t="inlineStr">
        <is>
          <t>https://www.disco.com.ar/acondicionador-para-bebe-johnson-s-ph-balanceado-x-400-ml-2/p</t>
        </is>
      </c>
    </row>
    <row r="1456">
      <c r="A1456" s="10" t="inlineStr">
        <is>
          <t>Disco</t>
        </is>
      </c>
      <c r="B1456" s="10" t="n">
        <v>386977</v>
      </c>
      <c r="C1456" s="10" t="n">
        <v>385303</v>
      </c>
      <c r="D1456" s="10" t="inlineStr">
        <is>
          <t>Shampoo Niños Johnson's Fragancia Prolongada X200 Ml.</t>
        </is>
      </c>
      <c r="E1456" s="10" t="inlineStr">
        <is>
          <t>JOHNSON´S</t>
        </is>
      </c>
      <c r="F1456" s="10" t="n">
        <v>1218.99</v>
      </c>
      <c r="G1456" s="10" t="n">
        <v>100743</v>
      </c>
      <c r="H1456" s="10" t="b">
        <v>0</v>
      </c>
      <c r="I1456" s="10" t="n">
        <v>200</v>
      </c>
      <c r="J1456" s="10" t="n">
        <v>6.0949</v>
      </c>
      <c r="K1456" s="10" t="inlineStr">
        <is>
          <t>&gt; Mundo Bebe &gt; Higiene para el Bebe &gt; Higiene del Bebé &gt;</t>
        </is>
      </c>
      <c r="L1456" s="10" t="inlineStr">
        <is>
          <t>shampoo</t>
        </is>
      </c>
      <c r="M1456" s="10" t="inlineStr">
        <is>
          <t>estandar</t>
        </is>
      </c>
      <c r="N1456" s="10" t="inlineStr">
        <is>
          <t>bebe</t>
        </is>
      </c>
      <c r="O1456" s="10" t="inlineStr">
        <is>
          <t>https://www.disco.com.ar/shampoo-ninos-johnson-s-fragancia-prolongada-x200-ml/p</t>
        </is>
      </c>
    </row>
    <row r="1457">
      <c r="A1457" t="inlineStr">
        <is>
          <t>Disco</t>
        </is>
      </c>
      <c r="B1457" t="n">
        <v>333074</v>
      </c>
      <c r="C1457" t="n">
        <v>332222</v>
      </c>
      <c r="D1457" t="inlineStr">
        <is>
          <t>Acondicionador Para Bebé Johnson's® Cabello Claro X 200 Ml.</t>
        </is>
      </c>
      <c r="E1457" t="inlineStr">
        <is>
          <t>JOHNSON BABY</t>
        </is>
      </c>
      <c r="F1457" t="n">
        <v>950</v>
      </c>
      <c r="G1457" t="n">
        <v>78512</v>
      </c>
      <c r="H1457" t="b">
        <v>0</v>
      </c>
      <c r="I1457" t="n">
        <v>200</v>
      </c>
      <c r="J1457" t="n">
        <v>4.75</v>
      </c>
      <c r="K1457" t="inlineStr">
        <is>
          <t>&gt; Mundo Bebe &gt; Higiene para el Bebe &gt; Higiene del Bebé &gt;</t>
        </is>
      </c>
      <c r="L1457" t="inlineStr">
        <is>
          <t>acondicionador</t>
        </is>
      </c>
      <c r="M1457" t="inlineStr">
        <is>
          <t>estandar</t>
        </is>
      </c>
      <c r="N1457" t="inlineStr">
        <is>
          <t>bebe</t>
        </is>
      </c>
      <c r="O1457" t="inlineStr">
        <is>
          <t>https://www.disco.com.ar/acondicionador-para-bebe-johnson-s-cabello-claro-x-200-ml-2/p</t>
        </is>
      </c>
    </row>
    <row r="1458">
      <c r="A1458" s="10" t="inlineStr">
        <is>
          <t>Disco</t>
        </is>
      </c>
      <c r="B1458" s="10" t="n">
        <v>46767</v>
      </c>
      <c r="C1458" s="10" t="n">
        <v>43931</v>
      </c>
      <c r="D1458" s="10" t="inlineStr">
        <is>
          <t>Shampoo Para Niños Johnson's® Hidratación Intensa X 200 Ml</t>
        </is>
      </c>
      <c r="E1458" s="10" t="inlineStr">
        <is>
          <t>JOHNSON BABY</t>
        </is>
      </c>
      <c r="F1458" s="10" t="n">
        <v>213.39</v>
      </c>
      <c r="G1458" s="10" t="n">
        <v>17636</v>
      </c>
      <c r="H1458" s="10" t="b">
        <v>0</v>
      </c>
      <c r="I1458" s="10" t="n">
        <v>200</v>
      </c>
      <c r="J1458" s="10" t="n">
        <v>1.0669</v>
      </c>
      <c r="K1458" s="10" t="inlineStr">
        <is>
          <t>&gt; Mundo Bebe &gt; Higiene para el Bebe &gt; Higiene del Bebé &gt;</t>
        </is>
      </c>
      <c r="L1458" s="10" t="inlineStr">
        <is>
          <t>shampoo</t>
        </is>
      </c>
      <c r="M1458" s="10" t="inlineStr">
        <is>
          <t>estandar</t>
        </is>
      </c>
      <c r="N1458" s="10" t="inlineStr">
        <is>
          <t>seco_danado</t>
        </is>
      </c>
      <c r="O1458" s="10" t="inlineStr">
        <is>
          <t>https://www.disco.com.ar/shampoo-para-ninos-johnson-s-hidratacion-intensa-x-200-ml/p</t>
        </is>
      </c>
    </row>
    <row r="1459">
      <c r="A1459" t="inlineStr">
        <is>
          <t>Disco</t>
        </is>
      </c>
      <c r="B1459" t="n">
        <v>386979</v>
      </c>
      <c r="C1459" t="n">
        <v>385305</v>
      </c>
      <c r="D1459" t="inlineStr">
        <is>
          <t>Shampoo Para Niños Johnson's Gotas De Brillo X 200 Ml.</t>
        </is>
      </c>
      <c r="E1459" t="inlineStr">
        <is>
          <t>JOHNSON´S</t>
        </is>
      </c>
      <c r="F1459" t="n">
        <v>1160.95</v>
      </c>
      <c r="G1459" t="n">
        <v>95946</v>
      </c>
      <c r="H1459" t="b">
        <v>0</v>
      </c>
      <c r="I1459" t="n">
        <v>200</v>
      </c>
      <c r="J1459" t="n">
        <v>5.8048</v>
      </c>
      <c r="K1459" t="inlineStr">
        <is>
          <t>&gt; Mundo Bebe &gt; Higiene para el Bebe &gt; Higiene del Bebé &gt;</t>
        </is>
      </c>
      <c r="L1459" t="inlineStr">
        <is>
          <t>shampoo</t>
        </is>
      </c>
      <c r="M1459" t="inlineStr">
        <is>
          <t>estandar</t>
        </is>
      </c>
      <c r="N1459" t="inlineStr">
        <is>
          <t>bebe</t>
        </is>
      </c>
      <c r="O1459" t="inlineStr">
        <is>
          <t>https://www.disco.com.ar/shampoo-jhonson-baby-gotas-brillo-200ml/p</t>
        </is>
      </c>
    </row>
    <row r="1460">
      <c r="A1460" s="10" t="inlineStr">
        <is>
          <t>Disco</t>
        </is>
      </c>
      <c r="B1460" s="10" t="n">
        <v>386978</v>
      </c>
      <c r="C1460" s="10" t="n">
        <v>385304</v>
      </c>
      <c r="D1460" s="10" t="inlineStr">
        <is>
          <t>Shampoo Para Niños Johnson's Gotas De Brillo X 400 Ml.</t>
        </is>
      </c>
      <c r="E1460" s="10" t="inlineStr">
        <is>
          <t>JOHNSON´S</t>
        </is>
      </c>
      <c r="F1460" s="10" t="n">
        <v>1813.97</v>
      </c>
      <c r="G1460" s="10" t="n">
        <v>149915</v>
      </c>
      <c r="H1460" s="10" t="b">
        <v>0</v>
      </c>
      <c r="I1460" s="10" t="n">
        <v>400</v>
      </c>
      <c r="J1460" s="10" t="n">
        <v>4.5349</v>
      </c>
      <c r="K1460" s="10" t="inlineStr">
        <is>
          <t>&gt; Mundo Bebe &gt; Higiene para el Bebe &gt; Higiene del Bebé &gt;</t>
        </is>
      </c>
      <c r="L1460" s="10" t="inlineStr">
        <is>
          <t>shampoo</t>
        </is>
      </c>
      <c r="M1460" s="10" t="inlineStr">
        <is>
          <t>estandar</t>
        </is>
      </c>
      <c r="N1460" s="10" t="inlineStr">
        <is>
          <t>bebe</t>
        </is>
      </c>
      <c r="O1460" s="10" t="inlineStr">
        <is>
          <t>https://www.disco.com.ar/shampoo-para-ninos-johnson-s-gotas-de-brillo-x-400-ml/p</t>
        </is>
      </c>
    </row>
    <row r="1461">
      <c r="A1461" t="inlineStr">
        <is>
          <t>Disco</t>
        </is>
      </c>
      <c r="B1461" t="n">
        <v>3361</v>
      </c>
      <c r="C1461" t="n">
        <v>248540</v>
      </c>
      <c r="D1461" t="inlineStr">
        <is>
          <t>Shampoo Para Niños Johnson's® Fragancia Prolongada X 400 Ml.</t>
        </is>
      </c>
      <c r="E1461" t="inlineStr">
        <is>
          <t>JOHNSON BABY</t>
        </is>
      </c>
      <c r="F1461" t="n">
        <v>274.97</v>
      </c>
      <c r="G1461" t="n">
        <v>22725</v>
      </c>
      <c r="H1461" t="b">
        <v>0</v>
      </c>
      <c r="I1461" t="n">
        <v>400</v>
      </c>
      <c r="J1461" t="n">
        <v>0.6874</v>
      </c>
      <c r="K1461" t="inlineStr">
        <is>
          <t>&gt; Mundo Bebe &gt; Higiene para el Bebe &gt; Higiene del Bebé &gt;</t>
        </is>
      </c>
      <c r="L1461" t="inlineStr">
        <is>
          <t>shampoo</t>
        </is>
      </c>
      <c r="M1461" t="inlineStr">
        <is>
          <t>estandar</t>
        </is>
      </c>
      <c r="N1461" t="inlineStr">
        <is>
          <t>bebe</t>
        </is>
      </c>
      <c r="O1461" t="inlineStr">
        <is>
          <t>https://www.disco.com.ar/shampoo-para-ninos-johnson-s-fragancia-prolongada-x-400-ml/p</t>
        </is>
      </c>
    </row>
    <row r="1462">
      <c r="A1462" s="10" t="inlineStr">
        <is>
          <t>Disco</t>
        </is>
      </c>
      <c r="B1462" s="10" t="n">
        <v>17195</v>
      </c>
      <c r="C1462" s="10" t="n">
        <v>14321</v>
      </c>
      <c r="D1462" s="10" t="inlineStr">
        <is>
          <t>Shampoo Para Niños Johnson's® Gotas De Brillo® X 750 Ml</t>
        </is>
      </c>
      <c r="E1462" s="10" t="inlineStr">
        <is>
          <t>JOHNSON BABY</t>
        </is>
      </c>
      <c r="F1462" s="10" t="n">
        <v>492.99</v>
      </c>
      <c r="G1462" s="10" t="n">
        <v>40743</v>
      </c>
      <c r="H1462" s="10" t="b">
        <v>0</v>
      </c>
      <c r="I1462" s="10" t="n">
        <v>750</v>
      </c>
      <c r="J1462" s="10" t="n">
        <v>0.6573</v>
      </c>
      <c r="K1462" s="10" t="inlineStr">
        <is>
          <t>&gt; Mundo Bebe &gt; Higiene para el Bebe &gt; Higiene del Bebé &gt;</t>
        </is>
      </c>
      <c r="L1462" s="10" t="inlineStr">
        <is>
          <t>shampoo</t>
        </is>
      </c>
      <c r="M1462" s="10" t="inlineStr">
        <is>
          <t>estandar</t>
        </is>
      </c>
      <c r="N1462" s="10" t="inlineStr">
        <is>
          <t>bebe</t>
        </is>
      </c>
      <c r="O1462" s="10" t="inlineStr">
        <is>
          <t>https://www.disco.com.ar/shampoo-para-ninos-johnson-s-gotas-de-brillo-x-750-ml/p</t>
        </is>
      </c>
    </row>
    <row r="1463">
      <c r="A1463" t="inlineStr">
        <is>
          <t>Disco</t>
        </is>
      </c>
      <c r="B1463" t="n">
        <v>17165</v>
      </c>
      <c r="C1463" t="n">
        <v>14291</v>
      </c>
      <c r="D1463" t="inlineStr">
        <is>
          <t>Shampoo Para Niños Johnson's® Gotas De Brillo® X 400 Ml</t>
        </is>
      </c>
      <c r="E1463" t="inlineStr">
        <is>
          <t>JOHNSON BABY</t>
        </is>
      </c>
      <c r="F1463" t="n">
        <v>274.97</v>
      </c>
      <c r="G1463" t="n">
        <v>22725</v>
      </c>
      <c r="H1463" t="b">
        <v>0</v>
      </c>
      <c r="I1463" t="n">
        <v>400</v>
      </c>
      <c r="J1463" t="n">
        <v>0.6874</v>
      </c>
      <c r="K1463" t="inlineStr">
        <is>
          <t>&gt; Mundo Bebe &gt; Higiene para el Bebe &gt; Higiene del Bebé &gt;</t>
        </is>
      </c>
      <c r="L1463" t="inlineStr">
        <is>
          <t>shampoo</t>
        </is>
      </c>
      <c r="M1463" t="inlineStr">
        <is>
          <t>estandar</t>
        </is>
      </c>
      <c r="N1463" t="inlineStr">
        <is>
          <t>bebe</t>
        </is>
      </c>
      <c r="O1463" t="inlineStr">
        <is>
          <t>https://www.disco.com.ar/shampoo-para-ninos-johnson-s-gotas-de-brillo-x-400-ml-2/p</t>
        </is>
      </c>
    </row>
    <row r="1464">
      <c r="A1464" s="10" t="inlineStr">
        <is>
          <t>Disco</t>
        </is>
      </c>
      <c r="B1464" s="10" t="n">
        <v>17163</v>
      </c>
      <c r="C1464" s="10" t="n">
        <v>14289</v>
      </c>
      <c r="D1464" s="10" t="inlineStr">
        <is>
          <t>Shampoo Para Niños Johnson's® Gotas De Brillo® X 200 Ml</t>
        </is>
      </c>
      <c r="E1464" s="10" t="inlineStr">
        <is>
          <t>JOHNSON BABY</t>
        </is>
      </c>
      <c r="F1464" s="10" t="n">
        <v>213.39</v>
      </c>
      <c r="G1464" s="10" t="n">
        <v>17636</v>
      </c>
      <c r="H1464" s="10" t="b">
        <v>0</v>
      </c>
      <c r="I1464" s="10" t="n">
        <v>200</v>
      </c>
      <c r="J1464" s="10" t="n">
        <v>1.0669</v>
      </c>
      <c r="K1464" s="10" t="inlineStr">
        <is>
          <t>&gt; Mundo Bebe &gt; Higiene para el Bebe &gt; Higiene del Bebé &gt;</t>
        </is>
      </c>
      <c r="L1464" s="10" t="inlineStr">
        <is>
          <t>shampoo</t>
        </is>
      </c>
      <c r="M1464" s="10" t="inlineStr">
        <is>
          <t>estandar</t>
        </is>
      </c>
      <c r="N1464" s="10" t="inlineStr">
        <is>
          <t>bebe</t>
        </is>
      </c>
      <c r="O1464" s="10" t="inlineStr">
        <is>
          <t>https://www.disco.com.ar/shampoo-para-ninos-johnson-s-gotas-de-brillo-x-200-ml/p</t>
        </is>
      </c>
    </row>
    <row r="1465">
      <c r="A1465" t="inlineStr">
        <is>
          <t>Disco</t>
        </is>
      </c>
      <c r="B1465" t="n">
        <v>333437</v>
      </c>
      <c r="C1465" t="n">
        <v>332585</v>
      </c>
      <c r="D1465" t="inlineStr">
        <is>
          <t>Acondicinador Hidratación Intensa 200ml Johnson Baby</t>
        </is>
      </c>
      <c r="E1465" t="inlineStr">
        <is>
          <t>JOHNSON BABY</t>
        </is>
      </c>
      <c r="F1465" t="n">
        <v>600.1900000000001</v>
      </c>
      <c r="G1465" t="n">
        <v>49602</v>
      </c>
      <c r="H1465" t="b">
        <v>0</v>
      </c>
      <c r="I1465" t="n">
        <v>200</v>
      </c>
      <c r="J1465" t="n">
        <v>3.001</v>
      </c>
      <c r="K1465" t="inlineStr">
        <is>
          <t>&gt; Mundo Bebe &gt; Higiene para el Bebe &gt; Higiene del Bebé &gt;</t>
        </is>
      </c>
      <c r="L1465" t="inlineStr">
        <is>
          <t>shampoo</t>
        </is>
      </c>
      <c r="M1465" t="inlineStr">
        <is>
          <t>estandar</t>
        </is>
      </c>
      <c r="N1465" t="inlineStr">
        <is>
          <t>seco_danado</t>
        </is>
      </c>
      <c r="O1465" t="inlineStr">
        <is>
          <t>https://www.disco.com.ar/acondicinador-hidratacion-intensa-200ml-johnson-baby/p</t>
        </is>
      </c>
    </row>
    <row r="1466">
      <c r="A1466" s="10" t="inlineStr">
        <is>
          <t>Disco</t>
        </is>
      </c>
      <c r="B1466" s="10" t="n">
        <v>333067</v>
      </c>
      <c r="C1466" s="10" t="n">
        <v>332215</v>
      </c>
      <c r="D1466" s="10" t="inlineStr">
        <is>
          <t>Acondicionador Para Niños Johnson's® Gotas De Brillo® X 200 Ml.</t>
        </is>
      </c>
      <c r="E1466" s="10" t="inlineStr">
        <is>
          <t>JOHNSON BABY</t>
        </is>
      </c>
      <c r="F1466" s="10" t="n">
        <v>600.1900000000001</v>
      </c>
      <c r="G1466" s="10" t="n">
        <v>49602</v>
      </c>
      <c r="H1466" s="10" t="b">
        <v>0</v>
      </c>
      <c r="I1466" s="10" t="n">
        <v>200</v>
      </c>
      <c r="J1466" s="10" t="n">
        <v>3.001</v>
      </c>
      <c r="K1466" s="10" t="inlineStr">
        <is>
          <t>&gt; Mundo Bebe &gt; Higiene para el Bebe &gt; Higiene del Bebé &gt;</t>
        </is>
      </c>
      <c r="L1466" s="10" t="inlineStr">
        <is>
          <t>acondicionador</t>
        </is>
      </c>
      <c r="M1466" s="10" t="inlineStr">
        <is>
          <t>estandar</t>
        </is>
      </c>
      <c r="N1466" s="10" t="inlineStr">
        <is>
          <t>bebe</t>
        </is>
      </c>
      <c r="O1466" s="10" t="inlineStr">
        <is>
          <t>https://www.disco.com.ar/acondicionador-para-ninos-johnson-s-gotas-de-brillo-x-200-ml-2/p</t>
        </is>
      </c>
    </row>
    <row r="1467">
      <c r="A1467" t="inlineStr">
        <is>
          <t>Disco</t>
        </is>
      </c>
      <c r="B1467" t="n">
        <v>397058</v>
      </c>
      <c r="C1467" t="n">
        <v>394814</v>
      </c>
      <c r="D1467" t="inlineStr">
        <is>
          <t>Crema Hidratante Johnsons Baby Dormir 200ml</t>
        </is>
      </c>
      <c r="E1467" t="inlineStr">
        <is>
          <t>JOHNSON BABY</t>
        </is>
      </c>
      <c r="F1467" t="n">
        <v>5450</v>
      </c>
      <c r="G1467" t="n">
        <v>450413</v>
      </c>
      <c r="H1467" t="b">
        <v>0</v>
      </c>
      <c r="I1467" t="n">
        <v>200</v>
      </c>
      <c r="J1467" t="n">
        <v>27.25</v>
      </c>
      <c r="K1467" t="inlineStr">
        <is>
          <t>&gt; Mundo Bebe &gt; Higiene para el Bebe &gt; Higiene del Bebé &gt;</t>
        </is>
      </c>
      <c r="L1467" t="inlineStr">
        <is>
          <t>shampoo</t>
        </is>
      </c>
      <c r="M1467" t="inlineStr">
        <is>
          <t>estandar</t>
        </is>
      </c>
      <c r="N1467" t="inlineStr">
        <is>
          <t>seco_danado</t>
        </is>
      </c>
      <c r="O1467" t="inlineStr">
        <is>
          <t>https://www.disco.com.ar/crema-hidratante-johnsons-baby-dormir-200ml/p</t>
        </is>
      </c>
    </row>
    <row r="1468">
      <c r="A1468" s="10" t="inlineStr">
        <is>
          <t>Disco</t>
        </is>
      </c>
      <c r="B1468" s="10" t="n">
        <v>414734</v>
      </c>
      <c r="C1468" s="10" t="n">
        <v>410435</v>
      </c>
      <c r="D1468" s="10" t="inlineStr">
        <is>
          <t>Acondicionador Para Niños  Gotas De Brillo 400 Ml Johnson´s</t>
        </is>
      </c>
      <c r="E1468" s="10" t="inlineStr">
        <is>
          <t>JOHNSON´S</t>
        </is>
      </c>
      <c r="F1468" s="10" t="n">
        <v>8950</v>
      </c>
      <c r="G1468" s="10" t="n">
        <v>739669</v>
      </c>
      <c r="H1468" s="10" t="b">
        <v>0</v>
      </c>
      <c r="I1468" s="10" t="n">
        <v>400</v>
      </c>
      <c r="J1468" s="10" t="n">
        <v>22.375</v>
      </c>
      <c r="K1468" s="10" t="inlineStr">
        <is>
          <t>&gt; Mundo Bebe &gt; Higiene para el Bebe &gt; Higiene del Bebé &gt;</t>
        </is>
      </c>
      <c r="L1468" s="10" t="inlineStr">
        <is>
          <t>acondicionador</t>
        </is>
      </c>
      <c r="M1468" s="10" t="inlineStr">
        <is>
          <t>estandar</t>
        </is>
      </c>
      <c r="N1468" s="10" t="inlineStr">
        <is>
          <t>bebe</t>
        </is>
      </c>
      <c r="O1468" s="10" t="inlineStr">
        <is>
          <t>https://www.disco.com.ar/acondicionador-para-ninos-gotas-de-brillo-400-ml-johnson-s/p</t>
        </is>
      </c>
    </row>
    <row r="1469">
      <c r="A1469" t="inlineStr">
        <is>
          <t>Disco</t>
        </is>
      </c>
      <c r="B1469" t="n">
        <v>17290</v>
      </c>
      <c r="C1469" t="n">
        <v>14416</v>
      </c>
      <c r="D1469" t="inlineStr">
        <is>
          <t>Spray Para Peinar Niños Gotas De Brillo  200 Ml Johnson Baby</t>
        </is>
      </c>
      <c r="E1469" t="inlineStr">
        <is>
          <t>JOHNSON BABY</t>
        </is>
      </c>
      <c r="F1469" t="n">
        <v>6600</v>
      </c>
      <c r="G1469" t="n">
        <v>545455</v>
      </c>
      <c r="H1469" t="b">
        <v>0</v>
      </c>
      <c r="I1469" t="n">
        <v>200</v>
      </c>
      <c r="J1469" t="n">
        <v>33</v>
      </c>
      <c r="K1469" t="inlineStr">
        <is>
          <t>&gt; Mundo Bebe &gt; Higiene para el Bebe &gt; Higiene del Bebé &gt;</t>
        </is>
      </c>
      <c r="L1469" t="inlineStr">
        <is>
          <t>shampoo</t>
        </is>
      </c>
      <c r="M1469" t="inlineStr">
        <is>
          <t>estandar</t>
        </is>
      </c>
      <c r="N1469" t="inlineStr">
        <is>
          <t>bebe</t>
        </is>
      </c>
      <c r="O1469" t="inlineStr">
        <is>
          <t>https://www.disco.com.ar/spray-para-peinar-ninos-gotas-de-brillo-200-ml-johnson-baby/p</t>
        </is>
      </c>
    </row>
    <row r="1470">
      <c r="A1470" s="10" t="inlineStr">
        <is>
          <t>Disco</t>
        </is>
      </c>
      <c r="B1470" s="10" t="n">
        <v>19080</v>
      </c>
      <c r="C1470" s="10" t="n">
        <v>16149</v>
      </c>
      <c r="D1470" s="10" t="inlineStr">
        <is>
          <t>Acondicionador Para Niños Johnson's® Hidratación Intensa X 200 Ml</t>
        </is>
      </c>
      <c r="E1470" s="10" t="inlineStr">
        <is>
          <t>JOHNSON BABY</t>
        </is>
      </c>
      <c r="F1470" s="10" t="n">
        <v>172</v>
      </c>
      <c r="G1470" s="10" t="n">
        <v>172</v>
      </c>
      <c r="H1470" s="10" t="b">
        <v>0</v>
      </c>
      <c r="I1470" s="10" t="n">
        <v>200</v>
      </c>
      <c r="J1470" s="10" t="n">
        <v>0.86</v>
      </c>
      <c r="K1470" s="10" t="inlineStr">
        <is>
          <t>&gt; Mundo Bebe &gt; Higiene para el Bebe &gt; Higiene del Bebé &gt;</t>
        </is>
      </c>
      <c r="L1470" s="10" t="inlineStr">
        <is>
          <t>acondicionador</t>
        </is>
      </c>
      <c r="M1470" s="10" t="inlineStr">
        <is>
          <t>estandar</t>
        </is>
      </c>
      <c r="N1470" s="10" t="inlineStr">
        <is>
          <t>seco_danado</t>
        </is>
      </c>
      <c r="O1470" s="10" t="inlineStr">
        <is>
          <t>https://www.disco.com.ar/acondicionador-para-ninos-johnson-s-hidratacion-intensa-x-200-ml/p</t>
        </is>
      </c>
    </row>
    <row r="1471">
      <c r="A1471" t="inlineStr">
        <is>
          <t>Disco</t>
        </is>
      </c>
      <c r="B1471" t="n">
        <v>17293</v>
      </c>
      <c r="C1471" t="n">
        <v>14419</v>
      </c>
      <c r="D1471" t="inlineStr">
        <is>
          <t>Acondicionador Para Niños Johnson's® Gotas De Brillo® X 400 Ml</t>
        </is>
      </c>
      <c r="E1471" t="inlineStr">
        <is>
          <t>JOHNSON BABY</t>
        </is>
      </c>
      <c r="F1471" t="n">
        <v>274.97</v>
      </c>
      <c r="G1471" t="n">
        <v>22725</v>
      </c>
      <c r="H1471" t="b">
        <v>0</v>
      </c>
      <c r="I1471" t="n">
        <v>400</v>
      </c>
      <c r="J1471" t="n">
        <v>0.6874</v>
      </c>
      <c r="K1471" t="inlineStr">
        <is>
          <t>&gt; Mundo Bebe &gt; Higiene para el Bebe &gt; Higiene del Bebé &gt;</t>
        </is>
      </c>
      <c r="L1471" t="inlineStr">
        <is>
          <t>acondicionador</t>
        </is>
      </c>
      <c r="M1471" t="inlineStr">
        <is>
          <t>estandar</t>
        </is>
      </c>
      <c r="N1471" t="inlineStr">
        <is>
          <t>bebe</t>
        </is>
      </c>
      <c r="O1471" t="inlineStr">
        <is>
          <t>https://www.disco.com.ar/acondicionador-para-ninos-johnson-s-gotas-de-brillo-x-400-ml/p</t>
        </is>
      </c>
    </row>
    <row r="1472">
      <c r="A1472" s="10" t="inlineStr">
        <is>
          <t>Disco</t>
        </is>
      </c>
      <c r="B1472" s="10" t="n">
        <v>272457</v>
      </c>
      <c r="C1472" s="10" t="n">
        <v>271758</v>
      </c>
      <c r="D1472" s="10" t="inlineStr">
        <is>
          <t>Acondicionador Para Niños Johnson's® Fuerza Y Vitamina X 200 Ml</t>
        </is>
      </c>
      <c r="E1472" s="10" t="inlineStr">
        <is>
          <t>JOHNSON BABY</t>
        </is>
      </c>
      <c r="F1472" s="10" t="n">
        <v>153.69</v>
      </c>
      <c r="G1472" s="10" t="n">
        <v>12702</v>
      </c>
      <c r="H1472" s="10" t="b">
        <v>0</v>
      </c>
      <c r="I1472" s="10" t="n">
        <v>200</v>
      </c>
      <c r="J1472" s="10" t="n">
        <v>0.7684</v>
      </c>
      <c r="K1472" s="10" t="inlineStr">
        <is>
          <t>&gt; Mundo Bebe &gt; Higiene para el Bebe &gt; Higiene del Bebé &gt;</t>
        </is>
      </c>
      <c r="L1472" s="10" t="inlineStr">
        <is>
          <t>acondicionador</t>
        </is>
      </c>
      <c r="M1472" s="10" t="inlineStr">
        <is>
          <t>estandar</t>
        </is>
      </c>
      <c r="N1472" s="10" t="inlineStr">
        <is>
          <t>bebe</t>
        </is>
      </c>
      <c r="O1472" s="10" t="inlineStr">
        <is>
          <t>https://www.disco.com.ar/acondicionador-para-ninos-johnson-s-fuerza-y-vitamina-x-200-ml/p</t>
        </is>
      </c>
    </row>
    <row r="1473">
      <c r="A1473" t="inlineStr">
        <is>
          <t>Disco</t>
        </is>
      </c>
      <c r="B1473" t="n">
        <v>17292</v>
      </c>
      <c r="C1473" t="n">
        <v>14418</v>
      </c>
      <c r="D1473" t="inlineStr">
        <is>
          <t>Acondicionador Para Niños Johnson's® Gotas De Brillo® X 200 Ml</t>
        </is>
      </c>
      <c r="E1473" t="inlineStr">
        <is>
          <t>JOHNSON BABY</t>
        </is>
      </c>
      <c r="F1473" t="n">
        <v>213.39</v>
      </c>
      <c r="G1473" t="n">
        <v>17636</v>
      </c>
      <c r="H1473" t="b">
        <v>0</v>
      </c>
      <c r="I1473" t="n">
        <v>200</v>
      </c>
      <c r="J1473" t="n">
        <v>1.0669</v>
      </c>
      <c r="K1473" t="inlineStr">
        <is>
          <t>&gt; Mundo Bebe &gt; Higiene para el Bebe &gt; Higiene del Bebé &gt;</t>
        </is>
      </c>
      <c r="L1473" t="inlineStr">
        <is>
          <t>acondicionador</t>
        </is>
      </c>
      <c r="M1473" t="inlineStr">
        <is>
          <t>estandar</t>
        </is>
      </c>
      <c r="N1473" t="inlineStr">
        <is>
          <t>bebe</t>
        </is>
      </c>
      <c r="O1473" t="inlineStr">
        <is>
          <t>https://www.disco.com.ar/acondicionador-para-ninos-johnson-s-gotas-de-brillo-x-200-ml/p</t>
        </is>
      </c>
    </row>
    <row r="1474">
      <c r="A1474" s="10" t="inlineStr">
        <is>
          <t>Disco</t>
        </is>
      </c>
      <c r="B1474" s="10" t="n">
        <v>19020</v>
      </c>
      <c r="C1474" s="10" t="n">
        <v>16092</v>
      </c>
      <c r="D1474" s="10" t="inlineStr">
        <is>
          <t>Crema Para Peinar Para Niños Johnson's® Hidratación Intensa X 150 Ml</t>
        </is>
      </c>
      <c r="E1474" s="10" t="inlineStr">
        <is>
          <t>JOHNSON BABY</t>
        </is>
      </c>
      <c r="F1474" s="10" t="n">
        <v>265</v>
      </c>
      <c r="G1474" s="10" t="n">
        <v>265</v>
      </c>
      <c r="H1474" s="10" t="b">
        <v>0</v>
      </c>
      <c r="I1474" s="10" t="n">
        <v>150</v>
      </c>
      <c r="J1474" s="10" t="n">
        <v>1.7667</v>
      </c>
      <c r="K1474" s="10" t="inlineStr">
        <is>
          <t>&gt; Mundo Bebe &gt; Higiene para el Bebe &gt; Higiene del Bebé &gt;</t>
        </is>
      </c>
      <c r="L1474" s="10" t="inlineStr">
        <is>
          <t>shampoo</t>
        </is>
      </c>
      <c r="M1474" s="10" t="inlineStr">
        <is>
          <t>estandar</t>
        </is>
      </c>
      <c r="N1474" s="10" t="inlineStr">
        <is>
          <t>seco_danado</t>
        </is>
      </c>
      <c r="O1474" s="10" t="inlineStr">
        <is>
          <t>https://www.disco.com.ar/crema-para-peinar-para-ninos-johnson-s-hidratacion-intensa-x-150-ml/p</t>
        </is>
      </c>
    </row>
    <row r="1475">
      <c r="A1475" t="inlineStr">
        <is>
          <t>Disco</t>
        </is>
      </c>
      <c r="B1475" t="n">
        <v>413342</v>
      </c>
      <c r="C1475" t="n">
        <v>409223</v>
      </c>
      <c r="D1475" t="inlineStr">
        <is>
          <t>Shampoo Keratina Antifrizz 880 Ml Tresemmé</t>
        </is>
      </c>
      <c r="E1475" t="inlineStr">
        <is>
          <t>TRESEMMÉ</t>
        </is>
      </c>
      <c r="F1475" t="n">
        <v>15050</v>
      </c>
      <c r="G1475" t="n">
        <v>1243802</v>
      </c>
      <c r="H1475" t="b">
        <v>0</v>
      </c>
      <c r="I1475" t="n">
        <v>880</v>
      </c>
      <c r="J1475" t="n">
        <v>17.1023</v>
      </c>
      <c r="K1475" t="inlineStr">
        <is>
          <t>&gt; Perfumería &gt; Cuidado Capilar &gt; Shampoo &gt;</t>
        </is>
      </c>
      <c r="L1475" t="inlineStr">
        <is>
          <t>shampoo</t>
        </is>
      </c>
      <c r="M1475" t="inlineStr">
        <is>
          <t>estandar</t>
        </is>
      </c>
      <c r="N1475" t="inlineStr">
        <is>
          <t>tratado</t>
        </is>
      </c>
      <c r="O1475" t="inlineStr">
        <is>
          <t>https://www.disco.com.ar/shampoo-tresemme-keratina-antifrizz-880-ml/p</t>
        </is>
      </c>
    </row>
    <row r="1476">
      <c r="A1476" s="10" t="inlineStr">
        <is>
          <t>Disco</t>
        </is>
      </c>
      <c r="B1476" s="10" t="n">
        <v>1360435</v>
      </c>
      <c r="C1476" s="10" t="n">
        <v>1360020</v>
      </c>
      <c r="D1476" s="10" t="inlineStr">
        <is>
          <t>Shampoo Keratina Repara y Protege 700 Ml Pantene</t>
        </is>
      </c>
      <c r="E1476" s="10" t="inlineStr">
        <is>
          <t>PANTENE</t>
        </is>
      </c>
      <c r="F1476" s="10" t="n">
        <v>14500</v>
      </c>
      <c r="G1476" s="10" t="n">
        <v>1198347</v>
      </c>
      <c r="H1476" s="10" t="b">
        <v>0</v>
      </c>
      <c r="I1476" s="10" t="n">
        <v>700</v>
      </c>
      <c r="J1476" s="10" t="n">
        <v>20.7143</v>
      </c>
      <c r="K1476" s="10" t="inlineStr">
        <is>
          <t>&gt; Perfumería &gt; Cuidado Capilar &gt; Shampoo &gt;</t>
        </is>
      </c>
      <c r="L1476" s="10" t="inlineStr">
        <is>
          <t>shampoo</t>
        </is>
      </c>
      <c r="M1476" s="10" t="inlineStr">
        <is>
          <t>estandar</t>
        </is>
      </c>
      <c r="N1476" s="10" t="inlineStr">
        <is>
          <t>tratado</t>
        </is>
      </c>
      <c r="O1476" s="10" t="inlineStr">
        <is>
          <t>https://www.disco.com.ar/shampoo-keratina-700-ml-pantene/p</t>
        </is>
      </c>
    </row>
    <row r="1477">
      <c r="A1477" t="inlineStr">
        <is>
          <t>Disco</t>
        </is>
      </c>
      <c r="B1477" t="n">
        <v>1360443</v>
      </c>
      <c r="C1477" t="n">
        <v>1360027</v>
      </c>
      <c r="D1477" t="inlineStr">
        <is>
          <t>Shampoo Keratina Repara y Protege 200 Ml Pantene</t>
        </is>
      </c>
      <c r="E1477" t="inlineStr">
        <is>
          <t>PANTENE</t>
        </is>
      </c>
      <c r="F1477" t="n">
        <v>6200</v>
      </c>
      <c r="G1477" t="n">
        <v>512397</v>
      </c>
      <c r="H1477" t="b">
        <v>0</v>
      </c>
      <c r="I1477" t="n">
        <v>200</v>
      </c>
      <c r="J1477" t="n">
        <v>31</v>
      </c>
      <c r="K1477" t="inlineStr">
        <is>
          <t>&gt; Perfumería &gt; Cuidado Capilar &gt; Shampoo &gt;</t>
        </is>
      </c>
      <c r="L1477" t="inlineStr">
        <is>
          <t>shampoo</t>
        </is>
      </c>
      <c r="M1477" t="inlineStr">
        <is>
          <t>estandar</t>
        </is>
      </c>
      <c r="N1477" t="inlineStr">
        <is>
          <t>tratado</t>
        </is>
      </c>
      <c r="O1477" t="inlineStr">
        <is>
          <t>https://www.disco.com.ar/shampoo-keratina-200-ml-pantene/p</t>
        </is>
      </c>
    </row>
    <row r="1478">
      <c r="A1478" s="10" t="inlineStr">
        <is>
          <t>Disco</t>
        </is>
      </c>
      <c r="B1478" s="10" t="n">
        <v>1360436</v>
      </c>
      <c r="C1478" s="10" t="n">
        <v>1360021</v>
      </c>
      <c r="D1478" s="10" t="inlineStr">
        <is>
          <t>Shampoo Pantene Keratina 400 Ml</t>
        </is>
      </c>
      <c r="E1478" s="10" t="inlineStr">
        <is>
          <t>PANTENE</t>
        </is>
      </c>
      <c r="F1478" s="10" t="n">
        <v>10000</v>
      </c>
      <c r="G1478" s="10" t="n">
        <v>826446</v>
      </c>
      <c r="H1478" s="10" t="b">
        <v>0</v>
      </c>
      <c r="I1478" s="10" t="n">
        <v>400</v>
      </c>
      <c r="J1478" s="10" t="n">
        <v>25</v>
      </c>
      <c r="K1478" s="10" t="inlineStr">
        <is>
          <t>&gt; Perfumería &gt; Cuidado Capilar &gt; Shampoo &gt;</t>
        </is>
      </c>
      <c r="L1478" s="10" t="inlineStr">
        <is>
          <t>shampoo</t>
        </is>
      </c>
      <c r="M1478" s="10" t="inlineStr">
        <is>
          <t>estandar</t>
        </is>
      </c>
      <c r="N1478" s="10" t="inlineStr">
        <is>
          <t>tratado</t>
        </is>
      </c>
      <c r="O1478" s="10" t="inlineStr">
        <is>
          <t>https://www.disco.com.ar/shampoo-pantene-keratina-400-ml/p</t>
        </is>
      </c>
    </row>
    <row r="1479">
      <c r="A1479" t="inlineStr">
        <is>
          <t>Disco</t>
        </is>
      </c>
      <c r="B1479" t="n">
        <v>269213</v>
      </c>
      <c r="C1479" t="n">
        <v>268719</v>
      </c>
      <c r="D1479" t="inlineStr">
        <is>
          <t>Shampoo Il Salone  Keratina 500 Ml</t>
        </is>
      </c>
      <c r="E1479" t="inlineStr">
        <is>
          <t>IL SALONE</t>
        </is>
      </c>
      <c r="F1479" t="n">
        <v>467.07</v>
      </c>
      <c r="G1479" t="n">
        <v>38601</v>
      </c>
      <c r="H1479" t="b">
        <v>0</v>
      </c>
      <c r="I1479" t="n">
        <v>500</v>
      </c>
      <c r="J1479" t="n">
        <v>0.9341</v>
      </c>
      <c r="K1479" t="inlineStr">
        <is>
          <t>&gt; Perfumería &gt; Cuidado Capilar &gt; Shampoo &gt;</t>
        </is>
      </c>
      <c r="L1479" t="inlineStr">
        <is>
          <t>shampoo</t>
        </is>
      </c>
      <c r="M1479" t="inlineStr">
        <is>
          <t>estandar</t>
        </is>
      </c>
      <c r="N1479" t="inlineStr">
        <is>
          <t>tratado</t>
        </is>
      </c>
      <c r="O1479" t="inlineStr">
        <is>
          <t>https://www.disco.com.ar/shampoo-il-salone-keratina-500-ml/p</t>
        </is>
      </c>
    </row>
    <row r="1480">
      <c r="A1480" s="10" t="inlineStr">
        <is>
          <t>Disco</t>
        </is>
      </c>
      <c r="B1480" s="10" t="n">
        <v>112827</v>
      </c>
      <c r="C1480" s="10" t="n">
        <v>111879</v>
      </c>
      <c r="D1480" s="10" t="inlineStr">
        <is>
          <t>Shampoo Nenin Familiar Keratina Pvc 930 Ml</t>
        </is>
      </c>
      <c r="E1480" s="10" t="inlineStr">
        <is>
          <t>NENNIN NATURESSENCE</t>
        </is>
      </c>
      <c r="F1480" s="10" t="n">
        <v>3.75</v>
      </c>
      <c r="G1480" s="10" t="n">
        <v>3.75</v>
      </c>
      <c r="H1480" s="10" t="b">
        <v>0</v>
      </c>
      <c r="I1480" s="10" t="n">
        <v>930</v>
      </c>
      <c r="J1480" s="10" t="n">
        <v>0.004</v>
      </c>
      <c r="K1480" s="10" t="inlineStr">
        <is>
          <t>&gt; Perfumería &gt; Cuidado Capilar &gt; Shampoo &gt;</t>
        </is>
      </c>
      <c r="L1480" s="10" t="inlineStr">
        <is>
          <t>shampoo</t>
        </is>
      </c>
      <c r="M1480" s="10" t="inlineStr">
        <is>
          <t>estandar</t>
        </is>
      </c>
      <c r="N1480" s="10" t="inlineStr">
        <is>
          <t>tratado</t>
        </is>
      </c>
      <c r="O1480" s="10" t="inlineStr">
        <is>
          <t>https://www.disco.com.ar/shampoo-nenin-familiar-keratina-pvc-930-ml/p</t>
        </is>
      </c>
    </row>
    <row r="1481">
      <c r="A1481" t="inlineStr">
        <is>
          <t>Disco</t>
        </is>
      </c>
      <c r="B1481" t="n">
        <v>96589</v>
      </c>
      <c r="C1481" t="n">
        <v>93906</v>
      </c>
      <c r="D1481" t="inlineStr">
        <is>
          <t>Shampoo Plusbelle Familiar-ceramidas-plus Keratina-pvc-lt.-1</t>
        </is>
      </c>
      <c r="E1481" t="inlineStr">
        <is>
          <t>PLUSBELLE</t>
        </is>
      </c>
      <c r="F1481" t="n">
        <v>19.65</v>
      </c>
      <c r="G1481" t="n">
        <v>1624</v>
      </c>
      <c r="H1481" t="b">
        <v>0</v>
      </c>
      <c r="I1481" t="inlineStr"/>
      <c r="J1481" t="inlineStr"/>
      <c r="K1481" t="inlineStr">
        <is>
          <t>&gt; Perfumería &gt; Cuidado Capilar &gt; Shampoo &gt;</t>
        </is>
      </c>
      <c r="L1481" t="inlineStr">
        <is>
          <t>shampoo</t>
        </is>
      </c>
      <c r="M1481" t="inlineStr">
        <is>
          <t>estandar</t>
        </is>
      </c>
      <c r="N1481" t="inlineStr">
        <is>
          <t>tratado</t>
        </is>
      </c>
      <c r="O1481" t="inlineStr">
        <is>
          <t>https://www.disco.com.ar/shampoo-plusbelle-familiar-ceramidas-plus-keratina-pvc-lt-1/p</t>
        </is>
      </c>
    </row>
    <row r="1482">
      <c r="A1482" s="10" t="inlineStr">
        <is>
          <t>Disco</t>
        </is>
      </c>
      <c r="B1482" s="10" t="n">
        <v>412484</v>
      </c>
      <c r="C1482" s="10" t="n">
        <v>408093</v>
      </c>
      <c r="D1482" s="10" t="inlineStr">
        <is>
          <t>Shampoo Liso Coco con Aceite de Coco y Keratina Vegetal 350 Ml Fructis</t>
        </is>
      </c>
      <c r="E1482" s="10" t="inlineStr">
        <is>
          <t>FRUCTIS</t>
        </is>
      </c>
      <c r="F1482" s="10" t="n">
        <v>7350</v>
      </c>
      <c r="G1482" s="10" t="n">
        <v>607438</v>
      </c>
      <c r="H1482" s="10" t="b">
        <v>0</v>
      </c>
      <c r="I1482" s="10" t="n">
        <v>350</v>
      </c>
      <c r="J1482" s="10" t="n">
        <v>21</v>
      </c>
      <c r="K1482" s="10" t="inlineStr">
        <is>
          <t>&gt; Perfumería &gt; Cuidado Capilar &gt; Shampoo &gt;</t>
        </is>
      </c>
      <c r="L1482" s="10" t="inlineStr">
        <is>
          <t>shampoo</t>
        </is>
      </c>
      <c r="M1482" s="10" t="inlineStr">
        <is>
          <t>estandar</t>
        </is>
      </c>
      <c r="N1482" s="10" t="inlineStr">
        <is>
          <t>tratado</t>
        </is>
      </c>
      <c r="O1482" s="10" t="inlineStr">
        <is>
          <t>https://www.disco.com.ar/shampoo-fructis-liso-coco-350ml-3/p</t>
        </is>
      </c>
    </row>
    <row r="1483">
      <c r="A1483" t="inlineStr">
        <is>
          <t>Disco</t>
        </is>
      </c>
      <c r="B1483" t="n">
        <v>19525</v>
      </c>
      <c r="C1483" t="n">
        <v>16680</v>
      </c>
      <c r="D1483" t="inlineStr">
        <is>
          <t>Acondicionador Tresemme Keratina 400ml Acondicionador Tresemme Liso Keratina 400 Ml</t>
        </is>
      </c>
      <c r="E1483" t="inlineStr">
        <is>
          <t>TRESEMMÉ</t>
        </is>
      </c>
      <c r="F1483" t="n">
        <v>472.75</v>
      </c>
      <c r="G1483" t="n">
        <v>39070</v>
      </c>
      <c r="H1483" t="b">
        <v>0</v>
      </c>
      <c r="I1483" t="n">
        <v>400</v>
      </c>
      <c r="J1483" t="n">
        <v>1.1819</v>
      </c>
      <c r="K1483" t="inlineStr">
        <is>
          <t>&gt; Perfumería &gt; Cuidado Capilar &gt; Acondicionador &gt;</t>
        </is>
      </c>
      <c r="L1483" t="inlineStr">
        <is>
          <t>acondicionador</t>
        </is>
      </c>
      <c r="M1483" t="inlineStr">
        <is>
          <t>estandar</t>
        </is>
      </c>
      <c r="N1483" t="inlineStr">
        <is>
          <t>tratado</t>
        </is>
      </c>
      <c r="O1483" t="inlineStr">
        <is>
          <t>https://www.disco.com.ar/acondicionador-tresemme-keratina-400ml/p</t>
        </is>
      </c>
    </row>
    <row r="1484">
      <c r="A1484" s="10" t="inlineStr">
        <is>
          <t>Disco</t>
        </is>
      </c>
      <c r="B1484" s="10" t="n">
        <v>400553</v>
      </c>
      <c r="C1484" s="10" t="n">
        <v>397891</v>
      </c>
      <c r="D1484" s="10" t="inlineStr">
        <is>
          <t>Shampoo Elvive Kera-liso Mk 400ml</t>
        </is>
      </c>
      <c r="E1484" s="10" t="inlineStr">
        <is>
          <t>ELVIVE</t>
        </is>
      </c>
      <c r="F1484" s="10" t="n">
        <v>10500</v>
      </c>
      <c r="G1484" s="10" t="n">
        <v>867769</v>
      </c>
      <c r="H1484" s="10" t="b">
        <v>0</v>
      </c>
      <c r="I1484" s="10" t="n">
        <v>400</v>
      </c>
      <c r="J1484" s="10" t="n">
        <v>26.25</v>
      </c>
      <c r="K1484" s="10" t="inlineStr">
        <is>
          <t>&gt; Perfumería &gt; Cuidado Capilar &gt; Shampoo &gt;</t>
        </is>
      </c>
      <c r="L1484" s="10" t="inlineStr">
        <is>
          <t>shampoo</t>
        </is>
      </c>
      <c r="M1484" s="10" t="inlineStr">
        <is>
          <t>profesional</t>
        </is>
      </c>
      <c r="N1484" s="10" t="inlineStr">
        <is>
          <t>general</t>
        </is>
      </c>
      <c r="O1484" s="10" t="inlineStr">
        <is>
          <t>https://www.disco.com.ar/shampoo-elvive-kera-liso-mk-400ml/p</t>
        </is>
      </c>
    </row>
    <row r="1485">
      <c r="A1485" t="inlineStr">
        <is>
          <t>Disco</t>
        </is>
      </c>
      <c r="B1485" t="n">
        <v>238703</v>
      </c>
      <c r="C1485" t="n">
        <v>202745</v>
      </c>
      <c r="D1485" t="inlineStr">
        <is>
          <t>Shampoo Dove Cabello Mixto X 250 Ml</t>
        </is>
      </c>
      <c r="E1485" t="inlineStr">
        <is>
          <t>DOVE</t>
        </is>
      </c>
      <c r="F1485" t="n">
        <v>12.79</v>
      </c>
      <c r="G1485" t="n">
        <v>12.79</v>
      </c>
      <c r="H1485" t="b">
        <v>0</v>
      </c>
      <c r="I1485" t="n">
        <v>250</v>
      </c>
      <c r="J1485" t="n">
        <v>0.0512</v>
      </c>
      <c r="K1485" t="inlineStr">
        <is>
          <t>&gt; Perfumería &gt; Cuidado Capilar &gt; Shampoo &gt;</t>
        </is>
      </c>
      <c r="L1485" t="inlineStr">
        <is>
          <t>shampoo</t>
        </is>
      </c>
      <c r="M1485" t="inlineStr">
        <is>
          <t>estandar</t>
        </is>
      </c>
      <c r="N1485" t="inlineStr">
        <is>
          <t>general</t>
        </is>
      </c>
      <c r="O1485" t="inlineStr">
        <is>
          <t>https://www.disco.com.ar/shampoo-dove-cabello-mixto-x-250-ml-208961/p</t>
        </is>
      </c>
    </row>
    <row r="1486">
      <c r="A1486" s="10" t="inlineStr">
        <is>
          <t>Disco</t>
        </is>
      </c>
      <c r="B1486" s="10" t="n">
        <v>238641</v>
      </c>
      <c r="C1486" s="10" t="n">
        <v>202804</v>
      </c>
      <c r="D1486" s="10" t="inlineStr">
        <is>
          <t>Shampoo Dove Cabello Normal X 250 Ml</t>
        </is>
      </c>
      <c r="E1486" s="10" t="inlineStr">
        <is>
          <t>DOVE</t>
        </is>
      </c>
      <c r="F1486" s="10" t="n">
        <v>12.79</v>
      </c>
      <c r="G1486" s="10" t="n">
        <v>12.79</v>
      </c>
      <c r="H1486" s="10" t="b">
        <v>0</v>
      </c>
      <c r="I1486" s="10" t="n">
        <v>250</v>
      </c>
      <c r="J1486" s="10" t="n">
        <v>0.0512</v>
      </c>
      <c r="K1486" s="10" t="inlineStr">
        <is>
          <t>&gt; Perfumería &gt; Cuidado Capilar &gt; Shampoo &gt;</t>
        </is>
      </c>
      <c r="L1486" s="10" t="inlineStr">
        <is>
          <t>shampoo</t>
        </is>
      </c>
      <c r="M1486" s="10" t="inlineStr">
        <is>
          <t>estandar</t>
        </is>
      </c>
      <c r="N1486" s="10" t="inlineStr">
        <is>
          <t>general</t>
        </is>
      </c>
      <c r="O1486" s="10" t="inlineStr">
        <is>
          <t>https://www.disco.com.ar/shampoo-dove-cabello-normal-x-250-ml-208958/p</t>
        </is>
      </c>
    </row>
    <row r="1487">
      <c r="A1487" t="inlineStr">
        <is>
          <t>Disco</t>
        </is>
      </c>
      <c r="B1487" t="n">
        <v>238717</v>
      </c>
      <c r="C1487" t="n">
        <v>202723</v>
      </c>
      <c r="D1487" t="inlineStr">
        <is>
          <t>Acondicionador Dove Cabello Mixto X 250 Ml</t>
        </is>
      </c>
      <c r="E1487" t="inlineStr">
        <is>
          <t>DOVE</t>
        </is>
      </c>
      <c r="F1487" t="n">
        <v>5.99</v>
      </c>
      <c r="G1487" t="n">
        <v>5.99</v>
      </c>
      <c r="H1487" t="b">
        <v>0</v>
      </c>
      <c r="I1487" t="n">
        <v>250</v>
      </c>
      <c r="J1487" t="n">
        <v>0.024</v>
      </c>
      <c r="K1487" t="inlineStr">
        <is>
          <t>&gt; Perfumería &gt; Cuidado Capilar &gt; Acondicionador &gt;</t>
        </is>
      </c>
      <c r="L1487" t="inlineStr">
        <is>
          <t>acondicionador</t>
        </is>
      </c>
      <c r="M1487" t="inlineStr">
        <is>
          <t>estandar</t>
        </is>
      </c>
      <c r="N1487" t="inlineStr">
        <is>
          <t>general</t>
        </is>
      </c>
      <c r="O1487" t="inlineStr">
        <is>
          <t>https://www.disco.com.ar/acondicionador-dove-cabello-mixto-x-250-ml-208965/p</t>
        </is>
      </c>
    </row>
    <row r="1488">
      <c r="A1488" s="10" t="inlineStr">
        <is>
          <t>Disco</t>
        </is>
      </c>
      <c r="B1488" s="10" t="n">
        <v>238615</v>
      </c>
      <c r="C1488" s="10" t="n">
        <v>202826</v>
      </c>
      <c r="D1488" s="10" t="inlineStr">
        <is>
          <t>Acondicionador Dove Cabello Normal X 250 Ml</t>
        </is>
      </c>
      <c r="E1488" s="10" t="inlineStr">
        <is>
          <t>DOVE</t>
        </is>
      </c>
      <c r="F1488" s="10" t="n">
        <v>5.99</v>
      </c>
      <c r="G1488" s="10" t="n">
        <v>5.99</v>
      </c>
      <c r="H1488" s="10" t="b">
        <v>0</v>
      </c>
      <c r="I1488" s="10" t="n">
        <v>250</v>
      </c>
      <c r="J1488" s="10" t="n">
        <v>0.024</v>
      </c>
      <c r="K1488" s="10" t="inlineStr">
        <is>
          <t>&gt; Perfumería &gt; Cuidado Capilar &gt; Acondicionador &gt;</t>
        </is>
      </c>
      <c r="L1488" s="10" t="inlineStr">
        <is>
          <t>acondicionador</t>
        </is>
      </c>
      <c r="M1488" s="10" t="inlineStr">
        <is>
          <t>estandar</t>
        </is>
      </c>
      <c r="N1488" s="10" t="inlineStr">
        <is>
          <t>general</t>
        </is>
      </c>
      <c r="O1488" s="10" t="inlineStr">
        <is>
          <t>https://www.disco.com.ar/acondicionador-dove-cabello-normal-x-250-ml-208963/p</t>
        </is>
      </c>
    </row>
    <row r="1489">
      <c r="A1489" t="inlineStr">
        <is>
          <t>Disco</t>
        </is>
      </c>
      <c r="B1489" t="n">
        <v>1360924</v>
      </c>
      <c r="C1489" t="n">
        <v>1360332</v>
      </c>
      <c r="D1489" t="inlineStr">
        <is>
          <t>Shampoo Baby Baby Dove Cabello Claro 400 Ml</t>
        </is>
      </c>
      <c r="E1489" t="inlineStr">
        <is>
          <t>DOVE BABY</t>
        </is>
      </c>
      <c r="F1489" t="n">
        <v>7292.75</v>
      </c>
      <c r="G1489" t="n">
        <v>602707</v>
      </c>
      <c r="H1489" t="b">
        <v>0</v>
      </c>
      <c r="I1489" t="n">
        <v>400</v>
      </c>
      <c r="J1489" t="n">
        <v>18.2319</v>
      </c>
      <c r="K1489" t="inlineStr">
        <is>
          <t>&gt; Mundo Bebe &gt; Higiene para el Bebe &gt; Higiene del Bebé &gt;</t>
        </is>
      </c>
      <c r="L1489" t="inlineStr">
        <is>
          <t>shampoo</t>
        </is>
      </c>
      <c r="M1489" t="inlineStr">
        <is>
          <t>estandar</t>
        </is>
      </c>
      <c r="N1489" t="inlineStr">
        <is>
          <t>general</t>
        </is>
      </c>
      <c r="O1489" t="inlineStr">
        <is>
          <t>https://www.disco.com.ar/shampoo-baby-baby-dove-cabello-claro-400-ml/p</t>
        </is>
      </c>
    </row>
    <row r="1490">
      <c r="A1490" s="10" t="inlineStr">
        <is>
          <t>Disco</t>
        </is>
      </c>
      <c r="B1490" s="10" t="n">
        <v>271680</v>
      </c>
      <c r="C1490" s="10" t="n">
        <v>271159</v>
      </c>
      <c r="D1490" s="10" t="inlineStr">
        <is>
          <t>Shampoo Cabello Claro Humectación 200 Ml Baby Dove</t>
        </is>
      </c>
      <c r="E1490" s="10" t="inlineStr">
        <is>
          <t>DOVE BABY</t>
        </is>
      </c>
      <c r="F1490" s="10" t="n">
        <v>6850</v>
      </c>
      <c r="G1490" s="10" t="n">
        <v>566116</v>
      </c>
      <c r="H1490" s="10" t="b">
        <v>0</v>
      </c>
      <c r="I1490" s="10" t="n">
        <v>200</v>
      </c>
      <c r="J1490" s="10" t="n">
        <v>34.25</v>
      </c>
      <c r="K1490" s="10" t="inlineStr">
        <is>
          <t>&gt; Mundo Bebe &gt; Higiene para el Bebe &gt; Higiene del Bebé &gt;</t>
        </is>
      </c>
      <c r="L1490" s="10" t="inlineStr">
        <is>
          <t>shampoo</t>
        </is>
      </c>
      <c r="M1490" s="10" t="inlineStr">
        <is>
          <t>estandar</t>
        </is>
      </c>
      <c r="N1490" s="10" t="inlineStr">
        <is>
          <t>general</t>
        </is>
      </c>
      <c r="O1490" s="10" t="inlineStr">
        <is>
          <t>https://www.disco.com.ar/shampoo-baby-dove-cabello-claro-humectacion-ph-neutro-200-ml/p</t>
        </is>
      </c>
    </row>
    <row r="1491">
      <c r="A1491" t="inlineStr">
        <is>
          <t>Disco</t>
        </is>
      </c>
      <c r="B1491" t="n">
        <v>143601</v>
      </c>
      <c r="C1491" t="n">
        <v>140512</v>
      </c>
      <c r="D1491" t="inlineStr">
        <is>
          <t>Acondicionador Dove Color Therapy Cabello Descolorado X 250 Ml</t>
        </is>
      </c>
      <c r="E1491" t="inlineStr">
        <is>
          <t>DOVE</t>
        </is>
      </c>
      <c r="F1491" t="n">
        <v>9.67</v>
      </c>
      <c r="G1491" t="n">
        <v>9.67</v>
      </c>
      <c r="H1491" t="b">
        <v>0</v>
      </c>
      <c r="I1491" t="n">
        <v>250</v>
      </c>
      <c r="J1491" t="n">
        <v>0.0387</v>
      </c>
      <c r="K1491" t="inlineStr">
        <is>
          <t>&gt; Perfumería &gt; Cuidado Capilar &gt; Acondicionador &gt;</t>
        </is>
      </c>
      <c r="L1491" t="inlineStr">
        <is>
          <t>acondicionador</t>
        </is>
      </c>
      <c r="M1491" t="inlineStr">
        <is>
          <t>estandar</t>
        </is>
      </c>
      <c r="N1491" t="inlineStr">
        <is>
          <t>tratado</t>
        </is>
      </c>
      <c r="O1491" t="inlineStr">
        <is>
          <t>https://www.disco.com.ar/acondicionador-dove-color-therapy-cabello-descolorado-x-250-ml-2/p</t>
        </is>
      </c>
    </row>
    <row r="1492">
      <c r="A1492" s="10" t="inlineStr">
        <is>
          <t>Disco</t>
        </is>
      </c>
      <c r="B1492" s="10" t="n">
        <v>143612</v>
      </c>
      <c r="C1492" s="10" t="n">
        <v>140523</v>
      </c>
      <c r="D1492" s="10" t="inlineStr">
        <is>
          <t>Shampoo Dove Color Therapy Cabello Descolorado X 250 Ml</t>
        </is>
      </c>
      <c r="E1492" s="10" t="inlineStr">
        <is>
          <t>DOVE</t>
        </is>
      </c>
      <c r="F1492" s="10" t="n">
        <v>9.17</v>
      </c>
      <c r="G1492" s="10" t="n">
        <v>9.17</v>
      </c>
      <c r="H1492" s="10" t="b">
        <v>0</v>
      </c>
      <c r="I1492" s="10" t="n">
        <v>250</v>
      </c>
      <c r="J1492" s="10" t="n">
        <v>0.0367</v>
      </c>
      <c r="K1492" s="10" t="inlineStr">
        <is>
          <t>&gt; Perfumería &gt; Cuidado Capilar &gt; Shampoo &gt;</t>
        </is>
      </c>
      <c r="L1492" s="10" t="inlineStr">
        <is>
          <t>shampoo</t>
        </is>
      </c>
      <c r="M1492" s="10" t="inlineStr">
        <is>
          <t>estandar</t>
        </is>
      </c>
      <c r="N1492" s="10" t="inlineStr">
        <is>
          <t>tratado</t>
        </is>
      </c>
      <c r="O1492" s="10" t="inlineStr">
        <is>
          <t>https://www.disco.com.ar/shampoo-dove-color-therapy-cabello-descolorado-x-250-ml-2/p</t>
        </is>
      </c>
    </row>
    <row r="1493">
      <c r="A1493" t="inlineStr">
        <is>
          <t>Disco</t>
        </is>
      </c>
      <c r="B1493" t="n">
        <v>143615</v>
      </c>
      <c r="C1493" t="n">
        <v>140526</v>
      </c>
      <c r="D1493" t="inlineStr">
        <is>
          <t>Shampoo Dove Color Therapy Cabello Descolorado X 400 Ml</t>
        </is>
      </c>
      <c r="E1493" t="inlineStr">
        <is>
          <t>DOVE</t>
        </is>
      </c>
      <c r="F1493" t="n">
        <v>63.33</v>
      </c>
      <c r="G1493" t="n">
        <v>5234</v>
      </c>
      <c r="H1493" t="b">
        <v>0</v>
      </c>
      <c r="I1493" t="n">
        <v>400</v>
      </c>
      <c r="J1493" t="n">
        <v>0.1583</v>
      </c>
      <c r="K1493" t="inlineStr">
        <is>
          <t>&gt; Perfumería &gt; Cuidado Capilar &gt; Shampoo &gt;</t>
        </is>
      </c>
      <c r="L1493" t="inlineStr">
        <is>
          <t>shampoo</t>
        </is>
      </c>
      <c r="M1493" t="inlineStr">
        <is>
          <t>estandar</t>
        </is>
      </c>
      <c r="N1493" t="inlineStr">
        <is>
          <t>tratado</t>
        </is>
      </c>
      <c r="O1493" t="inlineStr">
        <is>
          <t>https://www.disco.com.ar/shampoo-dove-color-therapy-cabello-descolorado-x-400-ml-2/p</t>
        </is>
      </c>
    </row>
    <row r="1494">
      <c r="A1494" s="10" t="inlineStr">
        <is>
          <t>Disco</t>
        </is>
      </c>
      <c r="B1494" s="10" t="n">
        <v>59522</v>
      </c>
      <c r="C1494" s="10" t="n">
        <v>56672</v>
      </c>
      <c r="D1494" s="10" t="inlineStr">
        <is>
          <t>Acondicionador Dove Cabellos Teñidos X 400 Ml</t>
        </is>
      </c>
      <c r="E1494" s="10" t="inlineStr">
        <is>
          <t>DOVE</t>
        </is>
      </c>
      <c r="F1494" s="10" t="n">
        <v>49.05</v>
      </c>
      <c r="G1494" s="10" t="n">
        <v>49.05</v>
      </c>
      <c r="H1494" s="10" t="b">
        <v>0</v>
      </c>
      <c r="I1494" s="10" t="n">
        <v>400</v>
      </c>
      <c r="J1494" s="10" t="n">
        <v>0.1226</v>
      </c>
      <c r="K1494" s="10" t="inlineStr">
        <is>
          <t>&gt; Perfumería &gt; Cuidado Capilar &gt; Acondicionador &gt;</t>
        </is>
      </c>
      <c r="L1494" s="10" t="inlineStr">
        <is>
          <t>acondicionador</t>
        </is>
      </c>
      <c r="M1494" s="10" t="inlineStr">
        <is>
          <t>estandar</t>
        </is>
      </c>
      <c r="N1494" s="10" t="inlineStr">
        <is>
          <t>tratado</t>
        </is>
      </c>
      <c r="O1494" s="10" t="inlineStr">
        <is>
          <t>https://www.disco.com.ar/acondicionador-dove-cabellos-tenidos-x-400-ml/p</t>
        </is>
      </c>
    </row>
    <row r="1495">
      <c r="A1495" t="inlineStr">
        <is>
          <t>Disco</t>
        </is>
      </c>
      <c r="B1495" t="n">
        <v>189613</v>
      </c>
      <c r="C1495" t="n">
        <v>202792</v>
      </c>
      <c r="D1495" t="inlineStr">
        <is>
          <t>Shampoo Dove Cabellos Teñidos X 250 Ml</t>
        </is>
      </c>
      <c r="E1495" t="inlineStr">
        <is>
          <t>DOVE</t>
        </is>
      </c>
      <c r="F1495" t="n">
        <v>12.79</v>
      </c>
      <c r="G1495" t="n">
        <v>12.79</v>
      </c>
      <c r="H1495" t="b">
        <v>0</v>
      </c>
      <c r="I1495" t="n">
        <v>250</v>
      </c>
      <c r="J1495" t="n">
        <v>0.0512</v>
      </c>
      <c r="K1495" t="inlineStr">
        <is>
          <t>&gt; Perfumería &gt; Cuidado Capilar &gt; Shampoo &gt;</t>
        </is>
      </c>
      <c r="L1495" t="inlineStr">
        <is>
          <t>shampoo</t>
        </is>
      </c>
      <c r="M1495" t="inlineStr">
        <is>
          <t>estandar</t>
        </is>
      </c>
      <c r="N1495" t="inlineStr">
        <is>
          <t>tratado</t>
        </is>
      </c>
      <c r="O1495" t="inlineStr">
        <is>
          <t>https://www.disco.com.ar/shampoo-dove-cabellos-tenidos-x-250-ml-208959/p</t>
        </is>
      </c>
    </row>
    <row r="1496">
      <c r="A1496" s="10" t="inlineStr">
        <is>
          <t>Disco</t>
        </is>
      </c>
      <c r="B1496" s="10" t="n">
        <v>347640</v>
      </c>
      <c r="C1496" s="10" t="n">
        <v>346313</v>
      </c>
      <c r="D1496" s="10" t="inlineStr">
        <is>
          <t>Shampoo Para El Cabello Dove  óleo Micelar B 400 Ml</t>
        </is>
      </c>
      <c r="E1496" s="10" t="inlineStr">
        <is>
          <t>DOVE</t>
        </is>
      </c>
      <c r="F1496" s="10" t="n">
        <v>934.1900000000001</v>
      </c>
      <c r="G1496" s="10" t="n">
        <v>77206</v>
      </c>
      <c r="H1496" s="10" t="b">
        <v>0</v>
      </c>
      <c r="I1496" s="10" t="n">
        <v>400</v>
      </c>
      <c r="J1496" s="10" t="n">
        <v>2.3355</v>
      </c>
      <c r="K1496" s="10" t="inlineStr">
        <is>
          <t>&gt; Perfumería &gt; Cuidado Capilar &gt; Shampoo &gt;</t>
        </is>
      </c>
      <c r="L1496" s="10" t="inlineStr">
        <is>
          <t>shampoo</t>
        </is>
      </c>
      <c r="M1496" s="10" t="inlineStr">
        <is>
          <t>estandar</t>
        </is>
      </c>
      <c r="N1496" s="10" t="inlineStr">
        <is>
          <t>general</t>
        </is>
      </c>
      <c r="O1496" s="10" t="inlineStr">
        <is>
          <t>https://www.disco.com.ar/shampoo-para-el-cabello-dove-oleo-micelar-b-400-ml/p</t>
        </is>
      </c>
    </row>
    <row r="1497">
      <c r="A1497" t="inlineStr">
        <is>
          <t>Disco</t>
        </is>
      </c>
      <c r="B1497" t="n">
        <v>59549</v>
      </c>
      <c r="C1497" t="n">
        <v>56699</v>
      </c>
      <c r="D1497" t="inlineStr">
        <is>
          <t>Shampoo Dove Cabellos Teñidos X 400 Ml</t>
        </is>
      </c>
      <c r="E1497" t="inlineStr">
        <is>
          <t>DOVE</t>
        </is>
      </c>
      <c r="F1497" t="n">
        <v>63.33</v>
      </c>
      <c r="G1497" t="n">
        <v>5234</v>
      </c>
      <c r="H1497" t="b">
        <v>0</v>
      </c>
      <c r="I1497" t="n">
        <v>400</v>
      </c>
      <c r="J1497" t="n">
        <v>0.1583</v>
      </c>
      <c r="K1497" t="inlineStr">
        <is>
          <t>&gt; Perfumería &gt; Cuidado Capilar &gt; Shampoo &gt;</t>
        </is>
      </c>
      <c r="L1497" t="inlineStr">
        <is>
          <t>shampoo</t>
        </is>
      </c>
      <c r="M1497" t="inlineStr">
        <is>
          <t>estandar</t>
        </is>
      </c>
      <c r="N1497" t="inlineStr">
        <is>
          <t>tratado</t>
        </is>
      </c>
      <c r="O1497" t="inlineStr">
        <is>
          <t>https://www.disco.com.ar/shampoo-dove-cabellos-tenidos-x-400-ml/p</t>
        </is>
      </c>
    </row>
    <row r="1498">
      <c r="A1498" s="10" t="inlineStr">
        <is>
          <t>Disco</t>
        </is>
      </c>
      <c r="B1498" s="10" t="n">
        <v>347654</v>
      </c>
      <c r="C1498" s="10" t="n">
        <v>346327</v>
      </c>
      <c r="D1498" s="10" t="inlineStr">
        <is>
          <t>Shampoo Para El Cabello Dove Cuidado Delicado Botella 400 Ml</t>
        </is>
      </c>
      <c r="E1498" s="10" t="inlineStr">
        <is>
          <t>DOVE</t>
        </is>
      </c>
      <c r="F1498" s="10" t="n">
        <v>830.49</v>
      </c>
      <c r="G1498" s="10" t="n">
        <v>68636</v>
      </c>
      <c r="H1498" s="10" t="b">
        <v>0</v>
      </c>
      <c r="I1498" s="10" t="n">
        <v>400</v>
      </c>
      <c r="J1498" s="10" t="n">
        <v>2.0762</v>
      </c>
      <c r="K1498" s="10" t="inlineStr">
        <is>
          <t>&gt; Perfumería &gt; Cuidado Capilar &gt; Shampoo &gt;</t>
        </is>
      </c>
      <c r="L1498" s="10" t="inlineStr">
        <is>
          <t>shampoo</t>
        </is>
      </c>
      <c r="M1498" s="10" t="inlineStr">
        <is>
          <t>estandar</t>
        </is>
      </c>
      <c r="N1498" s="10" t="inlineStr">
        <is>
          <t>general</t>
        </is>
      </c>
      <c r="O1498" s="10" t="inlineStr">
        <is>
          <t>https://www.disco.com.ar/shampoo-para-el-cabello-dove-cuidado-delicado-botella-400-ml/p</t>
        </is>
      </c>
    </row>
    <row r="1499">
      <c r="A1499" t="inlineStr">
        <is>
          <t>Disco</t>
        </is>
      </c>
      <c r="B1499" t="n">
        <v>347632</v>
      </c>
      <c r="C1499" t="n">
        <v>346305</v>
      </c>
      <c r="D1499" t="inlineStr">
        <is>
          <t>Acondicionador Para El Cabello Dove  Cuidado Delicado Botella 400 Ml</t>
        </is>
      </c>
      <c r="E1499" t="inlineStr">
        <is>
          <t>DOVE</t>
        </is>
      </c>
      <c r="F1499" t="n">
        <v>830.49</v>
      </c>
      <c r="G1499" t="n">
        <v>68636</v>
      </c>
      <c r="H1499" t="b">
        <v>0</v>
      </c>
      <c r="I1499" t="n">
        <v>400</v>
      </c>
      <c r="J1499" t="n">
        <v>2.0762</v>
      </c>
      <c r="K1499" t="inlineStr">
        <is>
          <t>&gt; Perfumería &gt; Cuidado Capilar &gt; Acondicionador &gt;</t>
        </is>
      </c>
      <c r="L1499" t="inlineStr">
        <is>
          <t>acondicionador</t>
        </is>
      </c>
      <c r="M1499" t="inlineStr">
        <is>
          <t>estandar</t>
        </is>
      </c>
      <c r="N1499" t="inlineStr">
        <is>
          <t>general</t>
        </is>
      </c>
      <c r="O1499" t="inlineStr">
        <is>
          <t>https://www.disco.com.ar/acondicionador-para-el-cabello-dove-cuidado-delicado-botella-400-ml/p</t>
        </is>
      </c>
    </row>
    <row r="1500">
      <c r="A1500" s="10" t="inlineStr">
        <is>
          <t>Disco</t>
        </is>
      </c>
      <c r="B1500" s="10" t="n">
        <v>347651</v>
      </c>
      <c r="C1500" s="10" t="n">
        <v>346324</v>
      </c>
      <c r="D1500" s="10" t="inlineStr">
        <is>
          <t>Acondicionador Para El Cabello Dove  Largos Fuertes Y Flexibles 400 Ml</t>
        </is>
      </c>
      <c r="E1500" s="10" t="inlineStr">
        <is>
          <t>DOVE</t>
        </is>
      </c>
      <c r="F1500" s="10" t="n">
        <v>830.49</v>
      </c>
      <c r="G1500" s="10" t="n">
        <v>68636</v>
      </c>
      <c r="H1500" s="10" t="b">
        <v>0</v>
      </c>
      <c r="I1500" s="10" t="n">
        <v>400</v>
      </c>
      <c r="J1500" s="10" t="n">
        <v>2.0762</v>
      </c>
      <c r="K1500" s="10" t="inlineStr">
        <is>
          <t>&gt; Perfumería &gt; Cuidado Capilar &gt; Acondicionador &gt;</t>
        </is>
      </c>
      <c r="L1500" s="10" t="inlineStr">
        <is>
          <t>acondicionador</t>
        </is>
      </c>
      <c r="M1500" s="10" t="inlineStr">
        <is>
          <t>estandar</t>
        </is>
      </c>
      <c r="N1500" s="10" t="inlineStr">
        <is>
          <t>general</t>
        </is>
      </c>
      <c r="O1500" s="10" t="inlineStr">
        <is>
          <t>https://www.disco.com.ar/acondicionador-para-el-cabello-dove-largos-fuertes-y-flexibles-400-ml/p</t>
        </is>
      </c>
    </row>
    <row r="1501">
      <c r="A1501" t="inlineStr">
        <is>
          <t>Disco</t>
        </is>
      </c>
      <c r="B1501" t="n">
        <v>347636</v>
      </c>
      <c r="C1501" t="n">
        <v>346309</v>
      </c>
      <c r="D1501" t="inlineStr">
        <is>
          <t>Shampoo Para El Cabello Dove  Largos Fuertes Y Flexibles 400 Ml</t>
        </is>
      </c>
      <c r="E1501" t="inlineStr">
        <is>
          <t>DOVE</t>
        </is>
      </c>
      <c r="F1501" t="n">
        <v>934.1900000000001</v>
      </c>
      <c r="G1501" t="n">
        <v>77206</v>
      </c>
      <c r="H1501" t="b">
        <v>0</v>
      </c>
      <c r="I1501" t="n">
        <v>400</v>
      </c>
      <c r="J1501" t="n">
        <v>2.3355</v>
      </c>
      <c r="K1501" t="inlineStr">
        <is>
          <t>&gt; Perfumería &gt; Cuidado Capilar &gt; Shampoo &gt;</t>
        </is>
      </c>
      <c r="L1501" t="inlineStr">
        <is>
          <t>shampoo</t>
        </is>
      </c>
      <c r="M1501" t="inlineStr">
        <is>
          <t>estandar</t>
        </is>
      </c>
      <c r="N1501" t="inlineStr">
        <is>
          <t>general</t>
        </is>
      </c>
      <c r="O1501" t="inlineStr">
        <is>
          <t>https://www.disco.com.ar/shampoo-para-el-cabello-dove-largos-fuertes-y-flexibles-400-ml/p</t>
        </is>
      </c>
    </row>
    <row r="1502">
      <c r="A1502" s="10" t="inlineStr">
        <is>
          <t>Disco</t>
        </is>
      </c>
      <c r="B1502" s="10" t="n">
        <v>210125</v>
      </c>
      <c r="C1502" s="10" t="n">
        <v>232720</v>
      </c>
      <c r="D1502" s="10" t="inlineStr">
        <is>
          <t>Crema Capilar Dove Cabellos Teñidos Para Peinar X 200 Ml</t>
        </is>
      </c>
      <c r="E1502" s="10" t="inlineStr">
        <is>
          <t>DOVE</t>
        </is>
      </c>
      <c r="F1502" s="10" t="n">
        <v>39.85</v>
      </c>
      <c r="G1502" s="10" t="n">
        <v>39.85</v>
      </c>
      <c r="H1502" s="10" t="b">
        <v>0</v>
      </c>
      <c r="I1502" s="10" t="n">
        <v>200</v>
      </c>
      <c r="J1502" s="10" t="n">
        <v>0.1993</v>
      </c>
      <c r="K1502" s="10" t="inlineStr">
        <is>
          <t>&gt; Perfumería &gt; Cuidado Capilar &gt; Reparación y Tratamientos &gt;</t>
        </is>
      </c>
      <c r="L1502" s="10" t="inlineStr">
        <is>
          <t>shampoo</t>
        </is>
      </c>
      <c r="M1502" s="10" t="inlineStr">
        <is>
          <t>estandar</t>
        </is>
      </c>
      <c r="N1502" s="10" t="inlineStr">
        <is>
          <t>tratado</t>
        </is>
      </c>
      <c r="O1502" s="10" t="inlineStr">
        <is>
          <t>https://www.disco.com.ar/crema-capilar-dove-pvc-200-ml-2-220658/p</t>
        </is>
      </c>
    </row>
    <row r="1503">
      <c r="A1503" t="inlineStr">
        <is>
          <t>Disco</t>
        </is>
      </c>
      <c r="B1503" t="n">
        <v>143605</v>
      </c>
      <c r="C1503" t="n">
        <v>140517</v>
      </c>
      <c r="D1503" t="inlineStr">
        <is>
          <t>Dove Therapy Acondicionador Cabellos Teñidos X 250 Ml</t>
        </is>
      </c>
      <c r="E1503" t="inlineStr">
        <is>
          <t>DOVE</t>
        </is>
      </c>
      <c r="F1503" t="n">
        <v>10.15</v>
      </c>
      <c r="G1503" t="n">
        <v>10.15</v>
      </c>
      <c r="H1503" t="b">
        <v>0</v>
      </c>
      <c r="I1503" t="n">
        <v>250</v>
      </c>
      <c r="J1503" t="n">
        <v>0.0406</v>
      </c>
      <c r="K1503" t="inlineStr">
        <is>
          <t>&gt; Perfumería &gt; Cuidado Capilar &gt; Acondicionador &gt;</t>
        </is>
      </c>
      <c r="L1503" t="inlineStr">
        <is>
          <t>acondicionador</t>
        </is>
      </c>
      <c r="M1503" t="inlineStr">
        <is>
          <t>estandar</t>
        </is>
      </c>
      <c r="N1503" t="inlineStr">
        <is>
          <t>tratado</t>
        </is>
      </c>
      <c r="O1503" t="inlineStr">
        <is>
          <t>https://www.disco.com.ar/dove-therapy-acondicionador-cabellos-tenidos-x-250-ml-2/p</t>
        </is>
      </c>
    </row>
    <row r="1504">
      <c r="A1504" s="10" t="inlineStr">
        <is>
          <t>Disco</t>
        </is>
      </c>
      <c r="B1504" s="10" t="n">
        <v>143600</v>
      </c>
      <c r="C1504" s="10" t="n">
        <v>140511</v>
      </c>
      <c r="D1504" s="10" t="inlineStr">
        <is>
          <t>Dove Therapy Acondicionador Cabellos Teñidos X 400 Ml</t>
        </is>
      </c>
      <c r="E1504" s="10" t="inlineStr">
        <is>
          <t>DOVE</t>
        </is>
      </c>
      <c r="F1504" s="10" t="n">
        <v>63.33</v>
      </c>
      <c r="G1504" s="10" t="n">
        <v>5234</v>
      </c>
      <c r="H1504" s="10" t="b">
        <v>0</v>
      </c>
      <c r="I1504" s="10" t="n">
        <v>400</v>
      </c>
      <c r="J1504" s="10" t="n">
        <v>0.1583</v>
      </c>
      <c r="K1504" s="10" t="inlineStr">
        <is>
          <t>&gt; Perfumería &gt; Cuidado Capilar &gt; Acondicionador &gt;</t>
        </is>
      </c>
      <c r="L1504" s="10" t="inlineStr">
        <is>
          <t>acondicionador</t>
        </is>
      </c>
      <c r="M1504" s="10" t="inlineStr">
        <is>
          <t>estandar</t>
        </is>
      </c>
      <c r="N1504" s="10" t="inlineStr">
        <is>
          <t>tratado</t>
        </is>
      </c>
      <c r="O1504" s="10" t="inlineStr">
        <is>
          <t>https://www.disco.com.ar/dove-therapy-acondicionador-cabellos-tenidos-x-400-ml/p</t>
        </is>
      </c>
    </row>
    <row r="1505">
      <c r="A1505" t="inlineStr">
        <is>
          <t>Disco</t>
        </is>
      </c>
      <c r="B1505" t="n">
        <v>143588</v>
      </c>
      <c r="C1505" t="n">
        <v>140499</v>
      </c>
      <c r="D1505" t="inlineStr">
        <is>
          <t>Dove Therapy Shampoo Cabellos Teñidos X 400 Ml</t>
        </is>
      </c>
      <c r="E1505" t="inlineStr">
        <is>
          <t>DOVE</t>
        </is>
      </c>
      <c r="F1505" t="n">
        <v>84.89</v>
      </c>
      <c r="G1505" t="n">
        <v>7016</v>
      </c>
      <c r="H1505" t="b">
        <v>0</v>
      </c>
      <c r="I1505" t="n">
        <v>400</v>
      </c>
      <c r="J1505" t="n">
        <v>0.2122</v>
      </c>
      <c r="K1505" t="inlineStr">
        <is>
          <t>&gt; Perfumería &gt; Cuidado Capilar &gt; Shampoo &gt;</t>
        </is>
      </c>
      <c r="L1505" t="inlineStr">
        <is>
          <t>shampoo</t>
        </is>
      </c>
      <c r="M1505" t="inlineStr">
        <is>
          <t>estandar</t>
        </is>
      </c>
      <c r="N1505" t="inlineStr">
        <is>
          <t>tratado</t>
        </is>
      </c>
      <c r="O1505" t="inlineStr">
        <is>
          <t>https://www.disco.com.ar/dove-therapy-shampoo-cabellos-tenidos-x-400-ml-2/p</t>
        </is>
      </c>
    </row>
    <row r="1506">
      <c r="A1506" s="10" t="inlineStr">
        <is>
          <t>Disco</t>
        </is>
      </c>
      <c r="B1506" s="10" t="n">
        <v>143593</v>
      </c>
      <c r="C1506" s="10" t="n">
        <v>140504</v>
      </c>
      <c r="D1506" s="10" t="inlineStr">
        <is>
          <t>Dove Therapy Shampoo Cabellos Teñidos X 250 Ml</t>
        </is>
      </c>
      <c r="E1506" s="10" t="inlineStr">
        <is>
          <t>DOVE</t>
        </is>
      </c>
      <c r="F1506" s="10" t="n">
        <v>9.91</v>
      </c>
      <c r="G1506" s="10" t="n">
        <v>9.91</v>
      </c>
      <c r="H1506" s="10" t="b">
        <v>0</v>
      </c>
      <c r="I1506" s="10" t="n">
        <v>250</v>
      </c>
      <c r="J1506" s="10" t="n">
        <v>0.0396</v>
      </c>
      <c r="K1506" s="10" t="inlineStr">
        <is>
          <t>&gt; Perfumería &gt; Cuidado Capilar &gt; Shampoo &gt;</t>
        </is>
      </c>
      <c r="L1506" s="10" t="inlineStr">
        <is>
          <t>shampoo</t>
        </is>
      </c>
      <c r="M1506" s="10" t="inlineStr">
        <is>
          <t>estandar</t>
        </is>
      </c>
      <c r="N1506" s="10" t="inlineStr">
        <is>
          <t>tratado</t>
        </is>
      </c>
      <c r="O1506" s="10" t="inlineStr">
        <is>
          <t>https://www.disco.com.ar/dove-therapy-shampoo-cabellos-tenidos-x-250-ml-2/p</t>
        </is>
      </c>
    </row>
    <row r="1507">
      <c r="A1507" t="inlineStr">
        <is>
          <t>Disco</t>
        </is>
      </c>
      <c r="B1507" t="n">
        <v>27989</v>
      </c>
      <c r="C1507" t="n">
        <v>25148</v>
      </c>
      <c r="D1507" t="inlineStr">
        <is>
          <t>Crema De Tratamiento Dove Recuperacion Extrema Crema Tratamiento Dove Recuperación Extrema 350 Gr</t>
        </is>
      </c>
      <c r="E1507" t="inlineStr">
        <is>
          <t>DOVE</t>
        </is>
      </c>
      <c r="F1507" t="n">
        <v>95.89</v>
      </c>
      <c r="G1507" t="n">
        <v>7925</v>
      </c>
      <c r="H1507" t="b">
        <v>0</v>
      </c>
      <c r="I1507" t="n">
        <v>350</v>
      </c>
      <c r="J1507" t="n">
        <v>0.274</v>
      </c>
      <c r="K1507" t="inlineStr">
        <is>
          <t>&gt; Perfumería &gt; Cuidado Capilar &gt; Reparación y Tratamientos &gt;</t>
        </is>
      </c>
      <c r="L1507" t="inlineStr">
        <is>
          <t>tratamiento</t>
        </is>
      </c>
      <c r="M1507" t="inlineStr">
        <is>
          <t>estandar</t>
        </is>
      </c>
      <c r="N1507" t="inlineStr">
        <is>
          <t>general</t>
        </is>
      </c>
      <c r="O1507" t="inlineStr">
        <is>
          <t>https://www.disco.com.ar/crema-de-tratamiento-dove-recuperacion-extrema/p</t>
        </is>
      </c>
    </row>
    <row r="1508">
      <c r="A1508" s="10" t="inlineStr">
        <is>
          <t>Disco</t>
        </is>
      </c>
      <c r="B1508" s="10" t="n">
        <v>20039</v>
      </c>
      <c r="C1508" s="10" t="n">
        <v>17210</v>
      </c>
      <c r="D1508" s="10" t="inlineStr">
        <is>
          <t>Acondicionador Dove Ritual De Reparación Coco Y Cúrcuma 200 Ml</t>
        </is>
      </c>
      <c r="E1508" s="10" t="inlineStr">
        <is>
          <t>DOVE</t>
        </is>
      </c>
      <c r="F1508" s="10" t="n">
        <v>135.75</v>
      </c>
      <c r="G1508" s="10" t="n">
        <v>11219</v>
      </c>
      <c r="H1508" s="10" t="b">
        <v>0</v>
      </c>
      <c r="I1508" s="10" t="n">
        <v>200</v>
      </c>
      <c r="J1508" s="10" t="n">
        <v>0.6787</v>
      </c>
      <c r="K1508" s="10" t="inlineStr">
        <is>
          <t>&gt; Perfumería &gt; Cuidado Capilar &gt; Acondicionador &gt;</t>
        </is>
      </c>
      <c r="L1508" s="10" t="inlineStr">
        <is>
          <t>acondicionador</t>
        </is>
      </c>
      <c r="M1508" s="10" t="inlineStr">
        <is>
          <t>estandar</t>
        </is>
      </c>
      <c r="N1508" s="10" t="inlineStr">
        <is>
          <t>general</t>
        </is>
      </c>
      <c r="O1508" s="10" t="inlineStr">
        <is>
          <t>https://www.disco.com.ar/acondicionador-dove-ritual-de-reparacion-coco-y-curcuma-200-ml/p</t>
        </is>
      </c>
    </row>
    <row r="1509">
      <c r="A1509" t="inlineStr">
        <is>
          <t>Disco</t>
        </is>
      </c>
      <c r="B1509" t="n">
        <v>275373</v>
      </c>
      <c r="C1509" t="n">
        <v>274669</v>
      </c>
      <c r="D1509" t="inlineStr">
        <is>
          <t>Super Acondicionador Dove Factor Nutrición 60 - 170 Ml</t>
        </is>
      </c>
      <c r="E1509" t="inlineStr">
        <is>
          <t>DOVE</t>
        </is>
      </c>
      <c r="F1509" t="n">
        <v>737.67</v>
      </c>
      <c r="G1509" t="n">
        <v>60964</v>
      </c>
      <c r="H1509" t="b">
        <v>0</v>
      </c>
      <c r="I1509" t="n">
        <v>170</v>
      </c>
      <c r="J1509" t="n">
        <v>4.3392</v>
      </c>
      <c r="K1509" t="inlineStr">
        <is>
          <t>&gt; Perfumería &gt; Cuidado Capilar &gt; Acondicionador &gt;</t>
        </is>
      </c>
      <c r="L1509" t="inlineStr">
        <is>
          <t>acondicionador</t>
        </is>
      </c>
      <c r="M1509" t="inlineStr">
        <is>
          <t>estandar</t>
        </is>
      </c>
      <c r="N1509" t="inlineStr">
        <is>
          <t>general</t>
        </is>
      </c>
      <c r="O1509" t="inlineStr">
        <is>
          <t>https://www.disco.com.ar/super-acondicionador-dove-factor-nutricion-60-170-ml/p</t>
        </is>
      </c>
    </row>
    <row r="1510">
      <c r="A1510" s="10" t="inlineStr">
        <is>
          <t>Disco</t>
        </is>
      </c>
      <c r="B1510" s="10" t="n">
        <v>3066017</v>
      </c>
      <c r="C1510" s="10" t="n">
        <v>3065974</v>
      </c>
      <c r="D1510" s="10" t="inlineStr">
        <is>
          <t>Tratamiento Oil Nutritivo X 95 Ml Pantene</t>
        </is>
      </c>
      <c r="E1510" s="10" t="inlineStr">
        <is>
          <t>PANTENE</t>
        </is>
      </c>
      <c r="F1510" s="10" t="n">
        <v>21750</v>
      </c>
      <c r="G1510" s="10" t="n">
        <v>1797521</v>
      </c>
      <c r="H1510" s="10" t="b">
        <v>1</v>
      </c>
      <c r="I1510" s="10" t="n">
        <v>95</v>
      </c>
      <c r="J1510" s="10" t="n">
        <v>228.9474</v>
      </c>
      <c r="K1510" s="10" t="inlineStr">
        <is>
          <t>&gt; Perfumería &gt; Cuidado Capilar &gt; Reparación y Tratamientos &gt;</t>
        </is>
      </c>
      <c r="L1510" s="10" t="inlineStr">
        <is>
          <t>tratamiento</t>
        </is>
      </c>
      <c r="M1510" s="10" t="inlineStr">
        <is>
          <t>estandar</t>
        </is>
      </c>
      <c r="N1510" s="10" t="inlineStr">
        <is>
          <t>general</t>
        </is>
      </c>
      <c r="O1510" s="10" t="inlineStr">
        <is>
          <t>https://www.disco.com.ar/tratamiento-oil-nutritivo-x-95-ml-pantene/p</t>
        </is>
      </c>
    </row>
    <row r="1511">
      <c r="A1511" t="inlineStr">
        <is>
          <t>Disco</t>
        </is>
      </c>
      <c r="B1511" t="n">
        <v>1360444</v>
      </c>
      <c r="C1511" t="n">
        <v>1360028</v>
      </c>
      <c r="D1511" t="inlineStr">
        <is>
          <t>Mascarilla Intensiva Hidratación 270 Ml Pantene</t>
        </is>
      </c>
      <c r="E1511" t="inlineStr">
        <is>
          <t>PANTENE</t>
        </is>
      </c>
      <c r="F1511" t="n">
        <v>10750</v>
      </c>
      <c r="G1511" t="n">
        <v>888430</v>
      </c>
      <c r="H1511" t="b">
        <v>1</v>
      </c>
      <c r="I1511" t="n">
        <v>270</v>
      </c>
      <c r="J1511" t="n">
        <v>39.8148</v>
      </c>
      <c r="K1511" t="inlineStr">
        <is>
          <t>&gt; Perfumería &gt; Cuidado Capilar &gt; Reparación y Tratamientos &gt;</t>
        </is>
      </c>
      <c r="L1511" t="inlineStr">
        <is>
          <t>tratamiento</t>
        </is>
      </c>
      <c r="M1511" t="inlineStr">
        <is>
          <t>estandar</t>
        </is>
      </c>
      <c r="N1511" t="inlineStr">
        <is>
          <t>seco_danado</t>
        </is>
      </c>
      <c r="O1511" t="inlineStr">
        <is>
          <t>https://www.disco.com.ar/mascarilla-intensiva-hidratacion-270-ml-pantene-2/p</t>
        </is>
      </c>
    </row>
    <row r="1512">
      <c r="A1512" s="10" t="inlineStr">
        <is>
          <t>Disco</t>
        </is>
      </c>
      <c r="B1512" s="10" t="n">
        <v>1360439</v>
      </c>
      <c r="C1512" s="10" t="n">
        <v>1360023</v>
      </c>
      <c r="D1512" s="10" t="inlineStr">
        <is>
          <t>Mascarilla Intensiva Restauración 270 Ml Pantene</t>
        </is>
      </c>
      <c r="E1512" s="10" t="inlineStr">
        <is>
          <t>PANTENE</t>
        </is>
      </c>
      <c r="F1512" s="10" t="n">
        <v>10750</v>
      </c>
      <c r="G1512" s="10" t="n">
        <v>888430</v>
      </c>
      <c r="H1512" s="10" t="b">
        <v>1</v>
      </c>
      <c r="I1512" s="10" t="n">
        <v>270</v>
      </c>
      <c r="J1512" s="10" t="n">
        <v>39.8148</v>
      </c>
      <c r="K1512" s="10" t="inlineStr">
        <is>
          <t>&gt; Perfumería &gt; Cuidado Capilar &gt; Reparación y Tratamientos &gt;</t>
        </is>
      </c>
      <c r="L1512" s="10" t="inlineStr">
        <is>
          <t>tratamiento</t>
        </is>
      </c>
      <c r="M1512" s="10" t="inlineStr">
        <is>
          <t>estandar</t>
        </is>
      </c>
      <c r="N1512" s="10" t="inlineStr">
        <is>
          <t>general</t>
        </is>
      </c>
      <c r="O1512" s="10" t="inlineStr">
        <is>
          <t>https://www.disco.com.ar/mascarilla-intensiva-restauracion-270-ml-pantene-2/p</t>
        </is>
      </c>
    </row>
    <row r="1513">
      <c r="A1513" t="inlineStr">
        <is>
          <t>Disco</t>
        </is>
      </c>
      <c r="B1513" t="n">
        <v>1360442</v>
      </c>
      <c r="C1513" t="n">
        <v>1360026</v>
      </c>
      <c r="D1513" t="inlineStr">
        <is>
          <t>Mascarilla Intensiva Nutrición 270 Ml Pantene</t>
        </is>
      </c>
      <c r="E1513" t="inlineStr">
        <is>
          <t>PANTENE</t>
        </is>
      </c>
      <c r="F1513" t="n">
        <v>10750</v>
      </c>
      <c r="G1513" t="n">
        <v>888430</v>
      </c>
      <c r="H1513" t="b">
        <v>1</v>
      </c>
      <c r="I1513" t="n">
        <v>270</v>
      </c>
      <c r="J1513" t="n">
        <v>39.8148</v>
      </c>
      <c r="K1513" t="inlineStr">
        <is>
          <t>&gt; Perfumería &gt; Cuidado Capilar &gt; Reparación y Tratamientos &gt;</t>
        </is>
      </c>
      <c r="L1513" t="inlineStr">
        <is>
          <t>tratamiento</t>
        </is>
      </c>
      <c r="M1513" t="inlineStr">
        <is>
          <t>estandar</t>
        </is>
      </c>
      <c r="N1513" t="inlineStr">
        <is>
          <t>general</t>
        </is>
      </c>
      <c r="O1513" t="inlineStr">
        <is>
          <t>https://www.disco.com.ar/mascarilla-intensiva-nutricion-270-ml-pantene-2/p</t>
        </is>
      </c>
    </row>
    <row r="1514">
      <c r="A1514" s="10" t="inlineStr">
        <is>
          <t>Disco</t>
        </is>
      </c>
      <c r="B1514" s="10" t="n">
        <v>3087477</v>
      </c>
      <c r="C1514" s="10" t="n">
        <v>3086703</v>
      </c>
      <c r="D1514" s="10" t="inlineStr">
        <is>
          <t>Acondicionadorpantene Restauracion 700ml</t>
        </is>
      </c>
      <c r="E1514" s="10" t="inlineStr">
        <is>
          <t>PANTENE</t>
        </is>
      </c>
      <c r="F1514" s="10" t="n">
        <v>17250</v>
      </c>
      <c r="G1514" s="10" t="n">
        <v>1425620</v>
      </c>
      <c r="H1514" s="10" t="b">
        <v>0</v>
      </c>
      <c r="I1514" s="10" t="n">
        <v>700</v>
      </c>
      <c r="J1514" s="10" t="n">
        <v>24.6429</v>
      </c>
      <c r="K1514" s="10" t="inlineStr">
        <is>
          <t>&gt; Perfumería &gt; Cuidado Capilar &gt; Acondicionador &gt;</t>
        </is>
      </c>
      <c r="L1514" s="10" t="inlineStr">
        <is>
          <t>acondicionador</t>
        </is>
      </c>
      <c r="M1514" s="10" t="inlineStr">
        <is>
          <t>estandar</t>
        </is>
      </c>
      <c r="N1514" s="10" t="inlineStr">
        <is>
          <t>general</t>
        </is>
      </c>
      <c r="O1514" s="10" t="inlineStr">
        <is>
          <t>https://www.disco.com.ar/acondicionadorpantene-restauracion-700ml/p</t>
        </is>
      </c>
    </row>
    <row r="1515">
      <c r="A1515" t="inlineStr">
        <is>
          <t>Disco</t>
        </is>
      </c>
      <c r="B1515" t="n">
        <v>3079026</v>
      </c>
      <c r="C1515" t="n">
        <v>3078350</v>
      </c>
      <c r="D1515" t="inlineStr">
        <is>
          <t>Acondicionador Nutre y Crece Bambú 250 Ml Pantene</t>
        </is>
      </c>
      <c r="E1515" t="inlineStr">
        <is>
          <t>PANTENE</t>
        </is>
      </c>
      <c r="F1515" t="n">
        <v>10000</v>
      </c>
      <c r="G1515" t="n">
        <v>826446</v>
      </c>
      <c r="H1515" t="b">
        <v>0</v>
      </c>
      <c r="I1515" t="n">
        <v>250</v>
      </c>
      <c r="J1515" t="n">
        <v>40</v>
      </c>
      <c r="K1515" t="inlineStr">
        <is>
          <t>&gt; Perfumería &gt; Cuidado Capilar &gt; Acondicionador &gt;</t>
        </is>
      </c>
      <c r="L1515" t="inlineStr">
        <is>
          <t>acondicionador</t>
        </is>
      </c>
      <c r="M1515" t="inlineStr">
        <is>
          <t>estandar</t>
        </is>
      </c>
      <c r="N1515" t="inlineStr">
        <is>
          <t>general</t>
        </is>
      </c>
      <c r="O1515" t="inlineStr">
        <is>
          <t>https://www.disco.com.ar/acondicionador-pantene-bamboo-250ml/p</t>
        </is>
      </c>
    </row>
    <row r="1516">
      <c r="A1516" s="10" t="inlineStr">
        <is>
          <t>Disco</t>
        </is>
      </c>
      <c r="B1516" s="10" t="n">
        <v>3079024</v>
      </c>
      <c r="C1516" s="10" t="n">
        <v>3078348</v>
      </c>
      <c r="D1516" s="10" t="inlineStr">
        <is>
          <t>Acondicionador Nutre y Crece Bambú 150 Ml Pantene</t>
        </is>
      </c>
      <c r="E1516" s="10" t="inlineStr">
        <is>
          <t>PANTENE</t>
        </is>
      </c>
      <c r="F1516" s="10" t="n">
        <v>6200</v>
      </c>
      <c r="G1516" s="10" t="n">
        <v>512397</v>
      </c>
      <c r="H1516" s="10" t="b">
        <v>0</v>
      </c>
      <c r="I1516" s="10" t="n">
        <v>150</v>
      </c>
      <c r="J1516" s="10" t="n">
        <v>41.3333</v>
      </c>
      <c r="K1516" s="10" t="inlineStr">
        <is>
          <t>&gt; Perfumería &gt; Cuidado Capilar &gt; Acondicionador &gt;</t>
        </is>
      </c>
      <c r="L1516" s="10" t="inlineStr">
        <is>
          <t>acondicionador</t>
        </is>
      </c>
      <c r="M1516" s="10" t="inlineStr">
        <is>
          <t>estandar</t>
        </is>
      </c>
      <c r="N1516" s="10" t="inlineStr">
        <is>
          <t>general</t>
        </is>
      </c>
      <c r="O1516" s="10" t="inlineStr">
        <is>
          <t>https://www.disco.com.ar/acondicionador-pantene-bamboo-150ml/p</t>
        </is>
      </c>
    </row>
    <row r="1517">
      <c r="A1517" t="inlineStr">
        <is>
          <t>Disco</t>
        </is>
      </c>
      <c r="B1517" t="n">
        <v>3070170</v>
      </c>
      <c r="C1517" t="n">
        <v>3069775</v>
      </c>
      <c r="D1517" t="inlineStr">
        <is>
          <t>Shampoo Liso Infinito 700 Ml Pantene</t>
        </is>
      </c>
      <c r="E1517" t="inlineStr">
        <is>
          <t>PANTENE</t>
        </is>
      </c>
      <c r="F1517" t="n">
        <v>16300</v>
      </c>
      <c r="G1517" t="n">
        <v>1347107</v>
      </c>
      <c r="H1517" t="b">
        <v>0</v>
      </c>
      <c r="I1517" t="n">
        <v>700</v>
      </c>
      <c r="J1517" t="n">
        <v>23.2857</v>
      </c>
      <c r="K1517" t="inlineStr">
        <is>
          <t>&gt; Perfumería &gt; Cuidado Capilar &gt; Shampoo &gt;</t>
        </is>
      </c>
      <c r="L1517" t="inlineStr">
        <is>
          <t>shampoo</t>
        </is>
      </c>
      <c r="M1517" t="inlineStr">
        <is>
          <t>estandar</t>
        </is>
      </c>
      <c r="N1517" t="inlineStr">
        <is>
          <t>general</t>
        </is>
      </c>
      <c r="O1517" t="inlineStr">
        <is>
          <t>https://www.disco.com.ar/shampoo-provmir-liso-infinito-x-700-ml-pantene/p</t>
        </is>
      </c>
    </row>
    <row r="1518">
      <c r="A1518" s="10" t="inlineStr">
        <is>
          <t>Disco</t>
        </is>
      </c>
      <c r="B1518" s="10" t="n">
        <v>3070169</v>
      </c>
      <c r="C1518" s="10" t="n">
        <v>3069764</v>
      </c>
      <c r="D1518" s="10" t="inlineStr">
        <is>
          <t>Shampoo Voluminizador Pro-V Miracles 700 Ml Pantene</t>
        </is>
      </c>
      <c r="E1518" s="10" t="inlineStr">
        <is>
          <t>PANTENE</t>
        </is>
      </c>
      <c r="F1518" s="10" t="n">
        <v>16300</v>
      </c>
      <c r="G1518" s="10" t="n">
        <v>1347107</v>
      </c>
      <c r="H1518" s="10" t="b">
        <v>0</v>
      </c>
      <c r="I1518" s="10" t="n">
        <v>700</v>
      </c>
      <c r="J1518" s="10" t="n">
        <v>23.2857</v>
      </c>
      <c r="K1518" s="10" t="inlineStr">
        <is>
          <t>&gt; Perfumería &gt; Cuidado Capilar &gt; Shampoo &gt;</t>
        </is>
      </c>
      <c r="L1518" s="10" t="inlineStr">
        <is>
          <t>shampoo</t>
        </is>
      </c>
      <c r="M1518" s="10" t="inlineStr">
        <is>
          <t>profesional</t>
        </is>
      </c>
      <c r="N1518" s="10" t="inlineStr">
        <is>
          <t>general</t>
        </is>
      </c>
      <c r="O1518" s="10" t="inlineStr">
        <is>
          <t>https://www.disco.com.ar/shampoo-pro-v-miracles-volumizador-x-700-ml-pantene/p</t>
        </is>
      </c>
    </row>
    <row r="1519">
      <c r="A1519" t="inlineStr">
        <is>
          <t>Disco</t>
        </is>
      </c>
      <c r="B1519" t="n">
        <v>3066021</v>
      </c>
      <c r="C1519" t="n">
        <v>3065978</v>
      </c>
      <c r="D1519" t="inlineStr">
        <is>
          <t>Crema Peinar Anti Caida X 300 Ml Pantene</t>
        </is>
      </c>
      <c r="E1519" t="inlineStr">
        <is>
          <t>PANTENE</t>
        </is>
      </c>
      <c r="F1519" t="n">
        <v>8350</v>
      </c>
      <c r="G1519" t="n">
        <v>690083</v>
      </c>
      <c r="H1519" t="b">
        <v>0</v>
      </c>
      <c r="I1519" t="n">
        <v>300</v>
      </c>
      <c r="J1519" t="n">
        <v>27.8333</v>
      </c>
      <c r="K1519" t="inlineStr">
        <is>
          <t>&gt; Perfumería &gt; Cuidado Capilar &gt; Reparación y Tratamientos &gt;</t>
        </is>
      </c>
      <c r="L1519" t="inlineStr">
        <is>
          <t>shampoo</t>
        </is>
      </c>
      <c r="M1519" t="inlineStr">
        <is>
          <t>estandar</t>
        </is>
      </c>
      <c r="N1519" t="inlineStr">
        <is>
          <t>general</t>
        </is>
      </c>
      <c r="O1519" t="inlineStr">
        <is>
          <t>https://www.disco.com.ar/crema-peinar-anti-caida-x-300-ml-pantene/p</t>
        </is>
      </c>
    </row>
    <row r="1520">
      <c r="A1520" s="10" t="inlineStr">
        <is>
          <t>Disco</t>
        </is>
      </c>
      <c r="B1520" s="10" t="n">
        <v>3066018</v>
      </c>
      <c r="C1520" s="10" t="n">
        <v>3065975</v>
      </c>
      <c r="D1520" s="10" t="inlineStr">
        <is>
          <t>Tonico Capilar Anticaida X 60 Ml Pantene</t>
        </is>
      </c>
      <c r="E1520" s="10" t="inlineStr">
        <is>
          <t>PANTENE</t>
        </is>
      </c>
      <c r="F1520" s="10" t="n">
        <v>24950</v>
      </c>
      <c r="G1520" s="10" t="n">
        <v>2061983</v>
      </c>
      <c r="H1520" s="10" t="b">
        <v>0</v>
      </c>
      <c r="I1520" s="10" t="n">
        <v>60</v>
      </c>
      <c r="J1520" s="10" t="n">
        <v>415.8333</v>
      </c>
      <c r="K1520" s="10" t="inlineStr">
        <is>
          <t>&gt; Perfumería &gt; Cuidado Capilar &gt; Reparación y Tratamientos &gt;</t>
        </is>
      </c>
      <c r="L1520" s="10" t="inlineStr">
        <is>
          <t>shampoo</t>
        </is>
      </c>
      <c r="M1520" s="10" t="inlineStr">
        <is>
          <t>estandar</t>
        </is>
      </c>
      <c r="N1520" s="10" t="inlineStr">
        <is>
          <t>general</t>
        </is>
      </c>
      <c r="O1520" s="10" t="inlineStr">
        <is>
          <t>https://www.disco.com.ar/tonico-capilar-anticaida-x-60-ml-pantene-2/p</t>
        </is>
      </c>
    </row>
    <row r="1521">
      <c r="A1521" t="inlineStr">
        <is>
          <t>Disco</t>
        </is>
      </c>
      <c r="B1521" t="n">
        <v>3065221</v>
      </c>
      <c r="C1521" t="n">
        <v>3065220</v>
      </c>
      <c r="D1521" t="inlineStr">
        <is>
          <t>Acondicionador Pro-v Miracles Revitalización 700 Ml Pantene</t>
        </is>
      </c>
      <c r="E1521" t="inlineStr">
        <is>
          <t>PANTENE</t>
        </is>
      </c>
      <c r="F1521" t="n">
        <v>16300</v>
      </c>
      <c r="G1521" t="n">
        <v>1347107</v>
      </c>
      <c r="H1521" t="b">
        <v>0</v>
      </c>
      <c r="I1521" t="n">
        <v>700</v>
      </c>
      <c r="J1521" t="n">
        <v>23.2857</v>
      </c>
      <c r="K1521" t="inlineStr">
        <is>
          <t>&gt; Perfumería &gt; Cuidado Capilar &gt; Acondicionador &gt;</t>
        </is>
      </c>
      <c r="L1521" t="inlineStr">
        <is>
          <t>acondicionador</t>
        </is>
      </c>
      <c r="M1521" t="inlineStr">
        <is>
          <t>profesional</t>
        </is>
      </c>
      <c r="N1521" t="inlineStr">
        <is>
          <t>general</t>
        </is>
      </c>
      <c r="O1521" t="inlineStr">
        <is>
          <t>https://www.disco.com.ar/acondicionador-pro-v-miracles-revilitacion-400-ml-pantene/p</t>
        </is>
      </c>
    </row>
    <row r="1522">
      <c r="A1522" s="10" t="inlineStr">
        <is>
          <t>Disco</t>
        </is>
      </c>
      <c r="B1522" s="10" t="n">
        <v>3065219</v>
      </c>
      <c r="C1522" s="10" t="n">
        <v>3065218</v>
      </c>
      <c r="D1522" s="10" t="inlineStr">
        <is>
          <t>Acondicionador Pro-v Miracles Volumen 700 Ml Pantene</t>
        </is>
      </c>
      <c r="E1522" s="10" t="inlineStr">
        <is>
          <t>PANTENE</t>
        </is>
      </c>
      <c r="F1522" s="10" t="n">
        <v>10555.18</v>
      </c>
      <c r="G1522" s="10" t="n">
        <v>872329</v>
      </c>
      <c r="H1522" s="10" t="b">
        <v>0</v>
      </c>
      <c r="I1522" s="10" t="n">
        <v>700</v>
      </c>
      <c r="J1522" s="10" t="n">
        <v>15.0788</v>
      </c>
      <c r="K1522" s="10" t="inlineStr">
        <is>
          <t>&gt; Perfumería &gt; Cuidado Capilar &gt; Acondicionador &gt;</t>
        </is>
      </c>
      <c r="L1522" s="10" t="inlineStr">
        <is>
          <t>acondicionador</t>
        </is>
      </c>
      <c r="M1522" s="10" t="inlineStr">
        <is>
          <t>profesional</t>
        </is>
      </c>
      <c r="N1522" s="10" t="inlineStr">
        <is>
          <t>general</t>
        </is>
      </c>
      <c r="O1522" s="10" t="inlineStr">
        <is>
          <t>https://www.disco.com.ar/acondicionador-pro-v-miracles-volumen-700-ml-pantene/p</t>
        </is>
      </c>
    </row>
    <row r="1523">
      <c r="A1523" t="inlineStr">
        <is>
          <t>Disco</t>
        </is>
      </c>
      <c r="B1523" t="n">
        <v>3065194</v>
      </c>
      <c r="C1523" t="n">
        <v>3065193</v>
      </c>
      <c r="D1523" t="inlineStr">
        <is>
          <t>Shampoo Pro-v Miracles Hidrata y Fortalece 700 Ml Pantene</t>
        </is>
      </c>
      <c r="E1523" t="inlineStr">
        <is>
          <t>PANTENE</t>
        </is>
      </c>
      <c r="F1523" t="n">
        <v>16300</v>
      </c>
      <c r="G1523" t="n">
        <v>1347107</v>
      </c>
      <c r="H1523" t="b">
        <v>0</v>
      </c>
      <c r="I1523" t="n">
        <v>700</v>
      </c>
      <c r="J1523" t="n">
        <v>23.2857</v>
      </c>
      <c r="K1523" t="inlineStr">
        <is>
          <t>&gt; Perfumería &gt; Cuidado Capilar &gt; Shampoo &gt;</t>
        </is>
      </c>
      <c r="L1523" t="inlineStr">
        <is>
          <t>shampoo</t>
        </is>
      </c>
      <c r="M1523" t="inlineStr">
        <is>
          <t>profesional</t>
        </is>
      </c>
      <c r="N1523" t="inlineStr">
        <is>
          <t>seco_danado</t>
        </is>
      </c>
      <c r="O1523" t="inlineStr">
        <is>
          <t>https://www.disco.com.ar/shampoo-pro-v-miracles-hidrata-700-ml-pantene/p</t>
        </is>
      </c>
    </row>
    <row r="1524">
      <c r="A1524" s="10" t="inlineStr">
        <is>
          <t>Disco</t>
        </is>
      </c>
      <c r="B1524" s="10" t="n">
        <v>1361140</v>
      </c>
      <c r="C1524" s="10" t="n">
        <v>1360545</v>
      </c>
      <c r="D1524" s="10" t="inlineStr">
        <is>
          <t>Acondicionador Keratina Repara y Protege 200 Ml Pantene</t>
        </is>
      </c>
      <c r="E1524" s="10" t="inlineStr">
        <is>
          <t>PANTENE</t>
        </is>
      </c>
      <c r="F1524" s="10" t="n">
        <v>6200</v>
      </c>
      <c r="G1524" s="10" t="n">
        <v>512397</v>
      </c>
      <c r="H1524" s="10" t="b">
        <v>0</v>
      </c>
      <c r="I1524" s="10" t="n">
        <v>200</v>
      </c>
      <c r="J1524" s="10" t="n">
        <v>31</v>
      </c>
      <c r="K1524" s="10" t="inlineStr">
        <is>
          <t>&gt; Perfumería &gt; Cuidado Capilar &gt; Acondicionador &gt;</t>
        </is>
      </c>
      <c r="L1524" s="10" t="inlineStr">
        <is>
          <t>acondicionador</t>
        </is>
      </c>
      <c r="M1524" s="10" t="inlineStr">
        <is>
          <t>estandar</t>
        </is>
      </c>
      <c r="N1524" s="10" t="inlineStr">
        <is>
          <t>tratado</t>
        </is>
      </c>
      <c r="O1524" s="10" t="inlineStr">
        <is>
          <t>https://www.disco.com.ar/acondicionador-keratina-200-ml-pantene/p</t>
        </is>
      </c>
    </row>
    <row r="1525">
      <c r="A1525" t="inlineStr">
        <is>
          <t>Disco</t>
        </is>
      </c>
      <c r="B1525" t="n">
        <v>1360440</v>
      </c>
      <c r="C1525" t="n">
        <v>1360024</v>
      </c>
      <c r="D1525" t="inlineStr">
        <is>
          <t>Crema para Peinar Keratina Repara y Protege 300 Ml Pantene</t>
        </is>
      </c>
      <c r="E1525" t="inlineStr">
        <is>
          <t>PANTENE</t>
        </is>
      </c>
      <c r="F1525" t="n">
        <v>8750</v>
      </c>
      <c r="G1525" t="n">
        <v>723141</v>
      </c>
      <c r="H1525" t="b">
        <v>0</v>
      </c>
      <c r="I1525" t="n">
        <v>300</v>
      </c>
      <c r="J1525" t="n">
        <v>29.1667</v>
      </c>
      <c r="K1525" t="inlineStr">
        <is>
          <t>&gt; Perfumería &gt; Cuidado Capilar &gt; Reparación y Tratamientos &gt;</t>
        </is>
      </c>
      <c r="L1525" t="inlineStr">
        <is>
          <t>shampoo</t>
        </is>
      </c>
      <c r="M1525" t="inlineStr">
        <is>
          <t>estandar</t>
        </is>
      </c>
      <c r="N1525" t="inlineStr">
        <is>
          <t>tratado</t>
        </is>
      </c>
      <c r="O1525" t="inlineStr">
        <is>
          <t>https://www.disco.com.ar/crema-para-peinar-keratina-300-ml-pantene-2/p</t>
        </is>
      </c>
    </row>
    <row r="1526">
      <c r="A1526" s="10" t="inlineStr">
        <is>
          <t>Disco</t>
        </is>
      </c>
      <c r="B1526" s="10" t="n">
        <v>415582</v>
      </c>
      <c r="C1526" s="10" t="n">
        <v>411166</v>
      </c>
      <c r="D1526" s="10" t="inlineStr">
        <is>
          <t>Acondicionador Volumen Pro-v Miracles 200 Ml Pantene</t>
        </is>
      </c>
      <c r="E1526" s="10" t="inlineStr">
        <is>
          <t>PANTENE</t>
        </is>
      </c>
      <c r="F1526" s="10" t="n">
        <v>6200</v>
      </c>
      <c r="G1526" s="10" t="n">
        <v>512397</v>
      </c>
      <c r="H1526" s="10" t="b">
        <v>0</v>
      </c>
      <c r="I1526" s="10" t="n">
        <v>200</v>
      </c>
      <c r="J1526" s="10" t="n">
        <v>31</v>
      </c>
      <c r="K1526" s="10" t="inlineStr">
        <is>
          <t>&gt; Perfumería &gt; Cuidado Capilar &gt; Acondicionador &gt;</t>
        </is>
      </c>
      <c r="L1526" s="10" t="inlineStr">
        <is>
          <t>acondicionador</t>
        </is>
      </c>
      <c r="M1526" s="10" t="inlineStr">
        <is>
          <t>profesional</t>
        </is>
      </c>
      <c r="N1526" s="10" t="inlineStr">
        <is>
          <t>general</t>
        </is>
      </c>
      <c r="O1526" s="10" t="inlineStr">
        <is>
          <t>https://www.disco.com.ar/acondicionador-pro-v-miracles-volumen-200-ml-pantene-2/p</t>
        </is>
      </c>
    </row>
    <row r="1527">
      <c r="A1527" t="inlineStr">
        <is>
          <t>Disco</t>
        </is>
      </c>
      <c r="B1527" t="n">
        <v>415580</v>
      </c>
      <c r="C1527" t="n">
        <v>411164</v>
      </c>
      <c r="D1527" t="inlineStr">
        <is>
          <t>Acondicionador Pro-v Miracles Volumen 750 Ml Pantene</t>
        </is>
      </c>
      <c r="E1527" t="inlineStr">
        <is>
          <t>PANTENE</t>
        </is>
      </c>
      <c r="F1527" t="n">
        <v>16300</v>
      </c>
      <c r="G1527" t="n">
        <v>1347107</v>
      </c>
      <c r="H1527" t="b">
        <v>0</v>
      </c>
      <c r="I1527" t="n">
        <v>750</v>
      </c>
      <c r="J1527" t="n">
        <v>21.7333</v>
      </c>
      <c r="K1527" t="inlineStr">
        <is>
          <t>&gt; Perfumería &gt; Cuidado Capilar &gt; Acondicionador &gt;</t>
        </is>
      </c>
      <c r="L1527" t="inlineStr">
        <is>
          <t>acondicionador</t>
        </is>
      </c>
      <c r="M1527" t="inlineStr">
        <is>
          <t>profesional</t>
        </is>
      </c>
      <c r="N1527" t="inlineStr">
        <is>
          <t>general</t>
        </is>
      </c>
      <c r="O1527" t="inlineStr">
        <is>
          <t>https://www.disco.com.ar/acondicionador-pro-v-miracles-volumen-750-ml-pantene/p</t>
        </is>
      </c>
    </row>
    <row r="1528">
      <c r="A1528" s="10" t="inlineStr">
        <is>
          <t>Disco</t>
        </is>
      </c>
      <c r="B1528" s="10" t="n">
        <v>415579</v>
      </c>
      <c r="C1528" s="10" t="n">
        <v>411163</v>
      </c>
      <c r="D1528" s="10" t="inlineStr">
        <is>
          <t>Shampoo Pro-v Miracles Volumen 200 Ml Pantene</t>
        </is>
      </c>
      <c r="E1528" s="10" t="inlineStr">
        <is>
          <t>PANTENE</t>
        </is>
      </c>
      <c r="F1528" s="10" t="n">
        <v>6200</v>
      </c>
      <c r="G1528" s="10" t="n">
        <v>512397</v>
      </c>
      <c r="H1528" s="10" t="b">
        <v>0</v>
      </c>
      <c r="I1528" s="10" t="n">
        <v>200</v>
      </c>
      <c r="J1528" s="10" t="n">
        <v>31</v>
      </c>
      <c r="K1528" s="10" t="inlineStr">
        <is>
          <t>&gt; Perfumería &gt; Cuidado Capilar &gt; Shampoo &gt;</t>
        </is>
      </c>
      <c r="L1528" s="10" t="inlineStr">
        <is>
          <t>shampoo</t>
        </is>
      </c>
      <c r="M1528" s="10" t="inlineStr">
        <is>
          <t>profesional</t>
        </is>
      </c>
      <c r="N1528" s="10" t="inlineStr">
        <is>
          <t>general</t>
        </is>
      </c>
      <c r="O1528" s="10" t="inlineStr">
        <is>
          <t>https://www.disco.com.ar/shampoo-pro-v-miracles-volumen-200-ml-pantene-2/p</t>
        </is>
      </c>
    </row>
    <row r="1529">
      <c r="A1529" t="inlineStr">
        <is>
          <t>Disco</t>
        </is>
      </c>
      <c r="B1529" t="n">
        <v>415578</v>
      </c>
      <c r="C1529" t="n">
        <v>411162</v>
      </c>
      <c r="D1529" t="inlineStr">
        <is>
          <t>Sahmpoo Pantene Provmir Volumen 750 Ml</t>
        </is>
      </c>
      <c r="E1529" t="inlineStr">
        <is>
          <t>PANTENE</t>
        </is>
      </c>
      <c r="F1529" t="n">
        <v>14500</v>
      </c>
      <c r="G1529" t="n">
        <v>1198347</v>
      </c>
      <c r="H1529" t="b">
        <v>0</v>
      </c>
      <c r="I1529" t="n">
        <v>750</v>
      </c>
      <c r="J1529" t="n">
        <v>19.3333</v>
      </c>
      <c r="K1529" t="inlineStr">
        <is>
          <t>&gt; Perfumería &gt; Cuidado Capilar &gt; Shampoo &gt;</t>
        </is>
      </c>
      <c r="L1529" t="inlineStr">
        <is>
          <t>shampoo</t>
        </is>
      </c>
      <c r="M1529" t="inlineStr">
        <is>
          <t>profesional</t>
        </is>
      </c>
      <c r="N1529" t="inlineStr">
        <is>
          <t>general</t>
        </is>
      </c>
      <c r="O1529" t="inlineStr">
        <is>
          <t>https://www.disco.com.ar/sahmpoo-pantene-provmir-volumen-750-ml/p</t>
        </is>
      </c>
    </row>
    <row r="1530">
      <c r="A1530" s="10" t="inlineStr">
        <is>
          <t>Disco</t>
        </is>
      </c>
      <c r="B1530" s="10" t="n">
        <v>415577</v>
      </c>
      <c r="C1530" s="10" t="n">
        <v>411161</v>
      </c>
      <c r="D1530" s="10" t="inlineStr">
        <is>
          <t>Shampoo Liso Infinito Pro-v Miracles 200 Ml Pantene</t>
        </is>
      </c>
      <c r="E1530" s="10" t="inlineStr">
        <is>
          <t>PANTENE</t>
        </is>
      </c>
      <c r="F1530" s="10" t="n">
        <v>6200</v>
      </c>
      <c r="G1530" s="10" t="n">
        <v>512397</v>
      </c>
      <c r="H1530" s="10" t="b">
        <v>0</v>
      </c>
      <c r="I1530" s="10" t="n">
        <v>200</v>
      </c>
      <c r="J1530" s="10" t="n">
        <v>31</v>
      </c>
      <c r="K1530" s="10" t="inlineStr">
        <is>
          <t>&gt; Perfumería &gt; Cuidado Capilar &gt; Shampoo &gt;</t>
        </is>
      </c>
      <c r="L1530" s="10" t="inlineStr">
        <is>
          <t>shampoo</t>
        </is>
      </c>
      <c r="M1530" s="10" t="inlineStr">
        <is>
          <t>profesional</t>
        </is>
      </c>
      <c r="N1530" s="10" t="inlineStr">
        <is>
          <t>general</t>
        </is>
      </c>
      <c r="O1530" s="10" t="inlineStr">
        <is>
          <t>https://www.disco.com.ar/shampoo-pro-v-miracles-liso-infinito-200-ml-pantene-2/p</t>
        </is>
      </c>
    </row>
    <row r="1531">
      <c r="A1531" t="inlineStr">
        <is>
          <t>Disco</t>
        </is>
      </c>
      <c r="B1531" t="n">
        <v>415576</v>
      </c>
      <c r="C1531" t="n">
        <v>411160</v>
      </c>
      <c r="D1531" t="inlineStr">
        <is>
          <t>Shampoo Revitalización Repara y Hidrata 200 Ml Pantene</t>
        </is>
      </c>
      <c r="E1531" t="inlineStr">
        <is>
          <t>PANTENE</t>
        </is>
      </c>
      <c r="F1531" t="n">
        <v>5900</v>
      </c>
      <c r="G1531" t="n">
        <v>487603</v>
      </c>
      <c r="H1531" t="b">
        <v>0</v>
      </c>
      <c r="I1531" t="n">
        <v>200</v>
      </c>
      <c r="J1531" t="n">
        <v>29.5</v>
      </c>
      <c r="K1531" t="inlineStr">
        <is>
          <t>&gt; Perfumería &gt; Cuidado Capilar &gt; Shampoo &gt;</t>
        </is>
      </c>
      <c r="L1531" t="inlineStr">
        <is>
          <t>shampoo</t>
        </is>
      </c>
      <c r="M1531" t="inlineStr">
        <is>
          <t>estandar</t>
        </is>
      </c>
      <c r="N1531" t="inlineStr">
        <is>
          <t>seco_danado</t>
        </is>
      </c>
      <c r="O1531" t="inlineStr">
        <is>
          <t>https://www.disco.com.ar/shampoo-revilitacion-200-ml-pantene-2/p</t>
        </is>
      </c>
    </row>
    <row r="1532">
      <c r="A1532" s="10" t="inlineStr">
        <is>
          <t>Disco</t>
        </is>
      </c>
      <c r="B1532" s="10" t="n">
        <v>415573</v>
      </c>
      <c r="C1532" s="10" t="n">
        <v>411157</v>
      </c>
      <c r="D1532" s="10" t="inlineStr">
        <is>
          <t>Acondicionador Revitalización Repara y Hidrata 200 Ml Pantene</t>
        </is>
      </c>
      <c r="E1532" s="10" t="inlineStr">
        <is>
          <t>PANTENE</t>
        </is>
      </c>
      <c r="F1532" s="10" t="n">
        <v>6200</v>
      </c>
      <c r="G1532" s="10" t="n">
        <v>512397</v>
      </c>
      <c r="H1532" s="10" t="b">
        <v>0</v>
      </c>
      <c r="I1532" s="10" t="n">
        <v>200</v>
      </c>
      <c r="J1532" s="10" t="n">
        <v>31</v>
      </c>
      <c r="K1532" s="10" t="inlineStr">
        <is>
          <t>&gt; Perfumería &gt; Cuidado Capilar &gt; Acondicionador &gt;</t>
        </is>
      </c>
      <c r="L1532" s="10" t="inlineStr">
        <is>
          <t>acondicionador</t>
        </is>
      </c>
      <c r="M1532" s="10" t="inlineStr">
        <is>
          <t>estandar</t>
        </is>
      </c>
      <c r="N1532" s="10" t="inlineStr">
        <is>
          <t>seco_danado</t>
        </is>
      </c>
      <c r="O1532" s="10" t="inlineStr">
        <is>
          <t>https://www.disco.com.ar/acondicionador-revilitacion-200-ml-pantene-2/p</t>
        </is>
      </c>
    </row>
    <row r="1533">
      <c r="A1533" t="inlineStr">
        <is>
          <t>Disco</t>
        </is>
      </c>
      <c r="B1533" t="n">
        <v>401199</v>
      </c>
      <c r="C1533" t="n">
        <v>398537</v>
      </c>
      <c r="D1533" t="inlineStr">
        <is>
          <t>Acondicionador Pro-v Miracles Con Detox 400 Ml Pantene</t>
        </is>
      </c>
      <c r="E1533" t="inlineStr">
        <is>
          <t>PANTENE</t>
        </is>
      </c>
      <c r="F1533" t="n">
        <v>10000</v>
      </c>
      <c r="G1533" t="n">
        <v>826446</v>
      </c>
      <c r="H1533" t="b">
        <v>0</v>
      </c>
      <c r="I1533" t="n">
        <v>400</v>
      </c>
      <c r="J1533" t="n">
        <v>25</v>
      </c>
      <c r="K1533" t="inlineStr">
        <is>
          <t>&gt; Perfumería &gt; Cuidado Capilar &gt; Acondicionador &gt;</t>
        </is>
      </c>
      <c r="L1533" t="inlineStr">
        <is>
          <t>acondicionador</t>
        </is>
      </c>
      <c r="M1533" t="inlineStr">
        <is>
          <t>profesional</t>
        </is>
      </c>
      <c r="N1533" t="inlineStr">
        <is>
          <t>general</t>
        </is>
      </c>
      <c r="O1533" t="inlineStr">
        <is>
          <t>https://www.disco.com.ar/acondicionador-pro-v-miracles-con-detox-400-ml-pantene-2/p</t>
        </is>
      </c>
    </row>
    <row r="1534">
      <c r="A1534" s="10" t="inlineStr">
        <is>
          <t>Disco</t>
        </is>
      </c>
      <c r="B1534" s="10" t="n">
        <v>401197</v>
      </c>
      <c r="C1534" s="10" t="n">
        <v>398535</v>
      </c>
      <c r="D1534" s="10" t="inlineStr">
        <is>
          <t>Acondicionador Pro-v Miracles Detox 200 Ml Pantene</t>
        </is>
      </c>
      <c r="E1534" s="10" t="inlineStr">
        <is>
          <t>PANTENE</t>
        </is>
      </c>
      <c r="F1534" s="10" t="n">
        <v>6200</v>
      </c>
      <c r="G1534" s="10" t="n">
        <v>512397</v>
      </c>
      <c r="H1534" s="10" t="b">
        <v>0</v>
      </c>
      <c r="I1534" s="10" t="n">
        <v>200</v>
      </c>
      <c r="J1534" s="10" t="n">
        <v>31</v>
      </c>
      <c r="K1534" s="10" t="inlineStr">
        <is>
          <t>&gt; Perfumería &gt; Cuidado Capilar &gt; Acondicionador &gt;</t>
        </is>
      </c>
      <c r="L1534" s="10" t="inlineStr">
        <is>
          <t>acondicionador</t>
        </is>
      </c>
      <c r="M1534" s="10" t="inlineStr">
        <is>
          <t>profesional</t>
        </is>
      </c>
      <c r="N1534" s="10" t="inlineStr">
        <is>
          <t>general</t>
        </is>
      </c>
      <c r="O1534" s="10" t="inlineStr">
        <is>
          <t>https://www.disco.com.ar/acondicionador-pro-v-miracles-detox-200-ml-pantene-3/p</t>
        </is>
      </c>
    </row>
    <row r="1535">
      <c r="A1535" t="inlineStr">
        <is>
          <t>Disco</t>
        </is>
      </c>
      <c r="B1535" t="n">
        <v>401194</v>
      </c>
      <c r="C1535" t="n">
        <v>398532</v>
      </c>
      <c r="D1535" t="inlineStr">
        <is>
          <t>Acondicionador Pro-v Miracles Equilibrio 400 Ml Pantene</t>
        </is>
      </c>
      <c r="E1535" t="inlineStr">
        <is>
          <t>PANTENE</t>
        </is>
      </c>
      <c r="F1535" t="n">
        <v>10000</v>
      </c>
      <c r="G1535" t="n">
        <v>826446</v>
      </c>
      <c r="H1535" t="b">
        <v>0</v>
      </c>
      <c r="I1535" t="n">
        <v>400</v>
      </c>
      <c r="J1535" t="n">
        <v>25</v>
      </c>
      <c r="K1535" t="inlineStr">
        <is>
          <t>&gt; Perfumería &gt; Cuidado Capilar &gt; Acondicionador &gt;</t>
        </is>
      </c>
      <c r="L1535" t="inlineStr">
        <is>
          <t>acondicionador</t>
        </is>
      </c>
      <c r="M1535" t="inlineStr">
        <is>
          <t>profesional</t>
        </is>
      </c>
      <c r="N1535" t="inlineStr">
        <is>
          <t>general</t>
        </is>
      </c>
      <c r="O1535" t="inlineStr">
        <is>
          <t>https://www.disco.com.ar/acondicionador-pro-v-miracles-equilibrio-400-ml-pantene-2/p</t>
        </is>
      </c>
    </row>
    <row r="1536">
      <c r="A1536" s="10" t="inlineStr">
        <is>
          <t>Disco</t>
        </is>
      </c>
      <c r="B1536" s="10" t="n">
        <v>401191</v>
      </c>
      <c r="C1536" s="10" t="n">
        <v>398529</v>
      </c>
      <c r="D1536" s="10" t="inlineStr">
        <is>
          <t>Acondicionador Detox Limpia y Purifica 700 Ml Pantene</t>
        </is>
      </c>
      <c r="E1536" s="10" t="inlineStr">
        <is>
          <t>PANTENE</t>
        </is>
      </c>
      <c r="F1536" s="10" t="n">
        <v>16300</v>
      </c>
      <c r="G1536" s="10" t="n">
        <v>1347107</v>
      </c>
      <c r="H1536" s="10" t="b">
        <v>0</v>
      </c>
      <c r="I1536" s="10" t="n">
        <v>700</v>
      </c>
      <c r="J1536" s="10" t="n">
        <v>23.2857</v>
      </c>
      <c r="K1536" s="10" t="inlineStr">
        <is>
          <t>&gt; Perfumería &gt; Cuidado Capilar &gt; Acondicionador &gt;</t>
        </is>
      </c>
      <c r="L1536" s="10" t="inlineStr">
        <is>
          <t>acondicionador</t>
        </is>
      </c>
      <c r="M1536" s="10" t="inlineStr">
        <is>
          <t>estandar</t>
        </is>
      </c>
      <c r="N1536" s="10" t="inlineStr">
        <is>
          <t>general</t>
        </is>
      </c>
      <c r="O1536" s="10" t="inlineStr">
        <is>
          <t>https://www.disco.com.ar/acondicionador-detox-limpia-purifica-700-ml-pantene-2/p</t>
        </is>
      </c>
    </row>
    <row r="1537">
      <c r="A1537" t="inlineStr">
        <is>
          <t>Disco</t>
        </is>
      </c>
      <c r="B1537" t="n">
        <v>401185</v>
      </c>
      <c r="C1537" t="n">
        <v>398523</v>
      </c>
      <c r="D1537" t="inlineStr">
        <is>
          <t>Acondicionador Hidratante Pro-V Miracles Detox 200 Ml Pantene</t>
        </is>
      </c>
      <c r="E1537" t="inlineStr">
        <is>
          <t>PANTENE</t>
        </is>
      </c>
      <c r="F1537" t="n">
        <v>6200</v>
      </c>
      <c r="G1537" t="n">
        <v>512397</v>
      </c>
      <c r="H1537" t="b">
        <v>0</v>
      </c>
      <c r="I1537" t="n">
        <v>200</v>
      </c>
      <c r="J1537" t="n">
        <v>31</v>
      </c>
      <c r="K1537" t="inlineStr">
        <is>
          <t>&gt; Perfumería &gt; Cuidado Capilar &gt; Acondicionador &gt;</t>
        </is>
      </c>
      <c r="L1537" t="inlineStr">
        <is>
          <t>acondicionador</t>
        </is>
      </c>
      <c r="M1537" t="inlineStr">
        <is>
          <t>profesional</t>
        </is>
      </c>
      <c r="N1537" t="inlineStr">
        <is>
          <t>seco_danado</t>
        </is>
      </c>
      <c r="O1537" t="inlineStr">
        <is>
          <t>https://www.disco.com.ar/acondicionador-pro-v-miracles-detox-200-ml-pantene-2/p</t>
        </is>
      </c>
    </row>
    <row r="1538">
      <c r="A1538" s="10" t="inlineStr">
        <is>
          <t>Disco</t>
        </is>
      </c>
      <c r="B1538" s="10" t="n">
        <v>397945</v>
      </c>
      <c r="C1538" s="10" t="n">
        <v>395680</v>
      </c>
      <c r="D1538" s="10" t="inlineStr">
        <is>
          <t>Acondicionador Pantene Pro-v Fuerza Y Reconstrucción 200 Ml</t>
        </is>
      </c>
      <c r="E1538" s="10" t="inlineStr">
        <is>
          <t>PANTENE</t>
        </is>
      </c>
      <c r="F1538" s="10" t="n">
        <v>700</v>
      </c>
      <c r="G1538" s="10" t="n">
        <v>57851</v>
      </c>
      <c r="H1538" s="10" t="b">
        <v>0</v>
      </c>
      <c r="I1538" s="10" t="n">
        <v>200</v>
      </c>
      <c r="J1538" s="10" t="n">
        <v>3.5</v>
      </c>
      <c r="K1538" s="10" t="inlineStr">
        <is>
          <t>&gt; Perfumería &gt; Cuidado Capilar &gt; Acondicionador &gt;</t>
        </is>
      </c>
      <c r="L1538" s="10" t="inlineStr">
        <is>
          <t>acondicionador</t>
        </is>
      </c>
      <c r="M1538" s="10" t="inlineStr">
        <is>
          <t>profesional</t>
        </is>
      </c>
      <c r="N1538" s="10" t="inlineStr">
        <is>
          <t>general</t>
        </is>
      </c>
      <c r="O1538" s="10" t="inlineStr">
        <is>
          <t>https://www.disco.com.ar/acondicionador-pantene-pro-v-fuerza-y-reconstruccion-200-ml-2/p</t>
        </is>
      </c>
    </row>
    <row r="1539">
      <c r="A1539" t="inlineStr">
        <is>
          <t>Disco</t>
        </is>
      </c>
      <c r="B1539" t="n">
        <v>394847</v>
      </c>
      <c r="C1539" t="n">
        <v>392846</v>
      </c>
      <c r="D1539" t="inlineStr">
        <is>
          <t>Acondicionador Hidrata y Fortalece 750 Ml Pantene</t>
        </is>
      </c>
      <c r="E1539" t="inlineStr">
        <is>
          <t>PANTENE</t>
        </is>
      </c>
      <c r="F1539" t="n">
        <v>15650</v>
      </c>
      <c r="G1539" t="n">
        <v>1293388</v>
      </c>
      <c r="H1539" t="b">
        <v>0</v>
      </c>
      <c r="I1539" t="n">
        <v>750</v>
      </c>
      <c r="J1539" t="n">
        <v>20.8667</v>
      </c>
      <c r="K1539" t="inlineStr">
        <is>
          <t>&gt; Perfumería &gt; Cuidado Capilar &gt; Acondicionador &gt;</t>
        </is>
      </c>
      <c r="L1539" t="inlineStr">
        <is>
          <t>acondicionador</t>
        </is>
      </c>
      <c r="M1539" t="inlineStr">
        <is>
          <t>estandar</t>
        </is>
      </c>
      <c r="N1539" t="inlineStr">
        <is>
          <t>seco_danado</t>
        </is>
      </c>
      <c r="O1539" t="inlineStr">
        <is>
          <t>https://www.disco.com.ar/acondicionador-pantene-pro-v-750-ml/p</t>
        </is>
      </c>
    </row>
    <row r="1540">
      <c r="A1540" s="10" t="inlineStr">
        <is>
          <t>Disco</t>
        </is>
      </c>
      <c r="B1540" s="10" t="n">
        <v>394837</v>
      </c>
      <c r="C1540" s="10" t="n">
        <v>392836</v>
      </c>
      <c r="D1540" s="10" t="inlineStr">
        <is>
          <t>Shampoo Hidrata y Fortalece 200 Ml Pantene</t>
        </is>
      </c>
      <c r="E1540" s="10" t="inlineStr">
        <is>
          <t>PANTENE</t>
        </is>
      </c>
      <c r="F1540" s="10" t="n">
        <v>6200</v>
      </c>
      <c r="G1540" s="10" t="n">
        <v>512397</v>
      </c>
      <c r="H1540" s="10" t="b">
        <v>0</v>
      </c>
      <c r="I1540" s="10" t="n">
        <v>200</v>
      </c>
      <c r="J1540" s="10" t="n">
        <v>31</v>
      </c>
      <c r="K1540" s="10" t="inlineStr">
        <is>
          <t>&gt; Perfumería &gt; Cuidado Capilar &gt; Shampoo &gt;</t>
        </is>
      </c>
      <c r="L1540" s="10" t="inlineStr">
        <is>
          <t>shampoo</t>
        </is>
      </c>
      <c r="M1540" s="10" t="inlineStr">
        <is>
          <t>estandar</t>
        </is>
      </c>
      <c r="N1540" s="10" t="inlineStr">
        <is>
          <t>seco_danado</t>
        </is>
      </c>
      <c r="O1540" s="10" t="inlineStr">
        <is>
          <t>https://www.disco.com.ar/shampoo-pro-v-hidrata-y-fortalece-200-ml-pantene-2/p</t>
        </is>
      </c>
    </row>
    <row r="1541">
      <c r="A1541" t="inlineStr">
        <is>
          <t>Disco</t>
        </is>
      </c>
      <c r="B1541" t="n">
        <v>394830</v>
      </c>
      <c r="C1541" t="n">
        <v>392829</v>
      </c>
      <c r="D1541" t="inlineStr">
        <is>
          <t>Shampoo Pantene Pro-v 750 Ml</t>
        </is>
      </c>
      <c r="E1541" t="inlineStr">
        <is>
          <t>PANTENE</t>
        </is>
      </c>
      <c r="F1541" t="n">
        <v>15650</v>
      </c>
      <c r="G1541" t="n">
        <v>1293388</v>
      </c>
      <c r="H1541" t="b">
        <v>0</v>
      </c>
      <c r="I1541" t="n">
        <v>750</v>
      </c>
      <c r="J1541" t="n">
        <v>20.8667</v>
      </c>
      <c r="K1541" t="inlineStr">
        <is>
          <t>&gt; Perfumería &gt; Cuidado Capilar &gt; Shampoo &gt;</t>
        </is>
      </c>
      <c r="L1541" t="inlineStr">
        <is>
          <t>shampoo</t>
        </is>
      </c>
      <c r="M1541" t="inlineStr">
        <is>
          <t>profesional</t>
        </is>
      </c>
      <c r="N1541" t="inlineStr">
        <is>
          <t>general</t>
        </is>
      </c>
      <c r="O1541" t="inlineStr">
        <is>
          <t>https://www.disco.com.ar/shampoo-pantene-pro-v-750-ml/p</t>
        </is>
      </c>
    </row>
    <row r="1542">
      <c r="A1542" s="10" t="inlineStr">
        <is>
          <t>Disco</t>
        </is>
      </c>
      <c r="B1542" s="10" t="n">
        <v>394826</v>
      </c>
      <c r="C1542" s="10" t="n">
        <v>392825</v>
      </c>
      <c r="D1542" s="10" t="inlineStr">
        <is>
          <t>Acondicionador Hidratante Pro-v Miracles 200 Ml Pantene</t>
        </is>
      </c>
      <c r="E1542" s="10" t="inlineStr">
        <is>
          <t>PANTENE</t>
        </is>
      </c>
      <c r="F1542" s="10" t="n">
        <v>6200</v>
      </c>
      <c r="G1542" s="10" t="n">
        <v>512397</v>
      </c>
      <c r="H1542" s="10" t="b">
        <v>0</v>
      </c>
      <c r="I1542" s="10" t="n">
        <v>200</v>
      </c>
      <c r="J1542" s="10" t="n">
        <v>31</v>
      </c>
      <c r="K1542" s="10" t="inlineStr">
        <is>
          <t>&gt; Perfumería &gt; Cuidado Capilar &gt; Acondicionador &gt;</t>
        </is>
      </c>
      <c r="L1542" s="10" t="inlineStr">
        <is>
          <t>acondicionador</t>
        </is>
      </c>
      <c r="M1542" s="10" t="inlineStr">
        <is>
          <t>profesional</t>
        </is>
      </c>
      <c r="N1542" s="10" t="inlineStr">
        <is>
          <t>seco_danado</t>
        </is>
      </c>
      <c r="O1542" s="10" t="inlineStr">
        <is>
          <t>https://www.disco.com.ar/acondicionador-pro-v-miracles-200-ml-pantene-2/p</t>
        </is>
      </c>
    </row>
    <row r="1543">
      <c r="A1543" t="inlineStr">
        <is>
          <t>Disco</t>
        </is>
      </c>
      <c r="B1543" t="n">
        <v>394667</v>
      </c>
      <c r="C1543" t="n">
        <v>392666</v>
      </c>
      <c r="D1543" t="inlineStr">
        <is>
          <t>Shampoo Pantene Frizz Control Rose 270 Ml</t>
        </is>
      </c>
      <c r="E1543" t="inlineStr">
        <is>
          <t>PANTENE</t>
        </is>
      </c>
      <c r="F1543" t="n">
        <v>13150</v>
      </c>
      <c r="G1543" t="n">
        <v>1086777</v>
      </c>
      <c r="H1543" t="b">
        <v>0</v>
      </c>
      <c r="I1543" t="n">
        <v>270</v>
      </c>
      <c r="J1543" t="n">
        <v>48.7037</v>
      </c>
      <c r="K1543" t="inlineStr">
        <is>
          <t>&gt; Perfumería &gt; Cuidado Capilar &gt; Shampoo &gt;</t>
        </is>
      </c>
      <c r="L1543" t="inlineStr">
        <is>
          <t>shampoo</t>
        </is>
      </c>
      <c r="M1543" t="inlineStr">
        <is>
          <t>estandar</t>
        </is>
      </c>
      <c r="N1543" t="inlineStr">
        <is>
          <t>general</t>
        </is>
      </c>
      <c r="O1543" t="inlineStr">
        <is>
          <t>https://www.disco.com.ar/shampoo-pantene-frizz-control-rose-270-ml/p</t>
        </is>
      </c>
    </row>
    <row r="1544">
      <c r="A1544" s="10" t="inlineStr">
        <is>
          <t>Disco</t>
        </is>
      </c>
      <c r="B1544" s="10" t="n">
        <v>394663</v>
      </c>
      <c r="C1544" s="10" t="n">
        <v>392662</v>
      </c>
      <c r="D1544" s="10" t="inlineStr">
        <is>
          <t>Shampoo Pantene Volume Multiplier Bamboo 270 Ml</t>
        </is>
      </c>
      <c r="E1544" s="10" t="inlineStr">
        <is>
          <t>PANTENE</t>
        </is>
      </c>
      <c r="F1544" s="10" t="n">
        <v>14350</v>
      </c>
      <c r="G1544" s="10" t="n">
        <v>1185950</v>
      </c>
      <c r="H1544" s="10" t="b">
        <v>0</v>
      </c>
      <c r="I1544" s="10" t="n">
        <v>270</v>
      </c>
      <c r="J1544" s="10" t="n">
        <v>53.1481</v>
      </c>
      <c r="K1544" s="10" t="inlineStr">
        <is>
          <t>&gt; Perfumería &gt; Cuidado Capilar &gt; Shampoo &gt;</t>
        </is>
      </c>
      <c r="L1544" s="10" t="inlineStr">
        <is>
          <t>shampoo</t>
        </is>
      </c>
      <c r="M1544" s="10" t="inlineStr">
        <is>
          <t>estandar</t>
        </is>
      </c>
      <c r="N1544" s="10" t="inlineStr">
        <is>
          <t>general</t>
        </is>
      </c>
      <c r="O1544" s="10" t="inlineStr">
        <is>
          <t>https://www.disco.com.ar/shampoo-pantene-volume-multiplier-bamboo-270-ml/p</t>
        </is>
      </c>
    </row>
    <row r="1545">
      <c r="A1545" t="inlineStr">
        <is>
          <t>Disco</t>
        </is>
      </c>
      <c r="B1545" t="n">
        <v>394645</v>
      </c>
      <c r="C1545" t="n">
        <v>392644</v>
      </c>
      <c r="D1545" t="inlineStr">
        <is>
          <t>Acondicionador Frizz Control Rose 235 Ml Pantene</t>
        </is>
      </c>
      <c r="E1545" t="inlineStr">
        <is>
          <t>PANTENE</t>
        </is>
      </c>
      <c r="F1545" t="n">
        <v>14050</v>
      </c>
      <c r="G1545" t="n">
        <v>1161157</v>
      </c>
      <c r="H1545" t="b">
        <v>0</v>
      </c>
      <c r="I1545" t="n">
        <v>235</v>
      </c>
      <c r="J1545" t="n">
        <v>59.7872</v>
      </c>
      <c r="K1545" t="inlineStr">
        <is>
          <t>&gt; Perfumería &gt; Cuidado Capilar &gt; Acondicionador &gt;</t>
        </is>
      </c>
      <c r="L1545" t="inlineStr">
        <is>
          <t>acondicionador</t>
        </is>
      </c>
      <c r="M1545" t="inlineStr">
        <is>
          <t>estandar</t>
        </is>
      </c>
      <c r="N1545" t="inlineStr">
        <is>
          <t>general</t>
        </is>
      </c>
      <c r="O1545" t="inlineStr">
        <is>
          <t>https://www.disco.com.ar/acondicionador-frizz-control-rose-235-ml-pantene/p</t>
        </is>
      </c>
    </row>
    <row r="1546">
      <c r="A1546" s="10" t="inlineStr">
        <is>
          <t>Disco</t>
        </is>
      </c>
      <c r="B1546" s="10" t="n">
        <v>394643</v>
      </c>
      <c r="C1546" s="10" t="n">
        <v>392642</v>
      </c>
      <c r="D1546" s="10" t="inlineStr">
        <is>
          <t>Tratamiento Engrosador Pantene Volume Multiplier Bamboo 110 Ml</t>
        </is>
      </c>
      <c r="E1546" s="10" t="inlineStr">
        <is>
          <t>PANTENE</t>
        </is>
      </c>
      <c r="F1546" s="10" t="n">
        <v>2767.99</v>
      </c>
      <c r="G1546" s="10" t="n">
        <v>228760</v>
      </c>
      <c r="H1546" s="10" t="b">
        <v>0</v>
      </c>
      <c r="I1546" s="10" t="n">
        <v>110</v>
      </c>
      <c r="J1546" s="10" t="n">
        <v>25.1635</v>
      </c>
      <c r="K1546" s="10" t="inlineStr">
        <is>
          <t>&gt; Perfumería &gt; Cuidado Capilar &gt; Reparación y Tratamientos &gt;</t>
        </is>
      </c>
      <c r="L1546" s="10" t="inlineStr">
        <is>
          <t>tratamiento</t>
        </is>
      </c>
      <c r="M1546" s="10" t="inlineStr">
        <is>
          <t>estandar</t>
        </is>
      </c>
      <c r="N1546" s="10" t="inlineStr">
        <is>
          <t>general</t>
        </is>
      </c>
      <c r="O1546" s="10" t="inlineStr">
        <is>
          <t>https://www.disco.com.ar/tratamiento-engrosador-pantene-volume-multiplier-bamboo-110-ml/p</t>
        </is>
      </c>
    </row>
    <row r="1547">
      <c r="A1547" t="inlineStr">
        <is>
          <t>Disco</t>
        </is>
      </c>
      <c r="B1547" t="n">
        <v>393766</v>
      </c>
      <c r="C1547" t="n">
        <v>391787</v>
      </c>
      <c r="D1547" t="inlineStr">
        <is>
          <t>Acond Pantene Prov Bambu 700ml</t>
        </is>
      </c>
      <c r="E1547" t="inlineStr">
        <is>
          <t>PANTENE</t>
        </is>
      </c>
      <c r="F1547" t="n">
        <v>2900</v>
      </c>
      <c r="G1547" t="n">
        <v>239669</v>
      </c>
      <c r="H1547" t="b">
        <v>0</v>
      </c>
      <c r="I1547" t="n">
        <v>700</v>
      </c>
      <c r="J1547" t="n">
        <v>4.1429</v>
      </c>
      <c r="K1547" t="inlineStr">
        <is>
          <t>&gt; Perfumería &gt; Cuidado Capilar &gt; Acondicionador &gt;</t>
        </is>
      </c>
      <c r="L1547" t="inlineStr">
        <is>
          <t>shampoo</t>
        </is>
      </c>
      <c r="M1547" t="inlineStr">
        <is>
          <t>profesional</t>
        </is>
      </c>
      <c r="N1547" t="inlineStr">
        <is>
          <t>general</t>
        </is>
      </c>
      <c r="O1547" t="inlineStr">
        <is>
          <t>https://www.disco.com.ar/acond-pantene-prov-bambu-700ml/p</t>
        </is>
      </c>
    </row>
    <row r="1548">
      <c r="A1548" s="10" t="inlineStr">
        <is>
          <t>Disco</t>
        </is>
      </c>
      <c r="B1548" s="10" t="n">
        <v>393765</v>
      </c>
      <c r="C1548" s="10" t="n">
        <v>391786</v>
      </c>
      <c r="D1548" s="10" t="inlineStr">
        <is>
          <t>Pantene Pro-v Solutions Rizos Definidos Acondicionador 400 Ml</t>
        </is>
      </c>
      <c r="E1548" s="10" t="inlineStr">
        <is>
          <t>PANTENE</t>
        </is>
      </c>
      <c r="F1548" s="10" t="n">
        <v>1650</v>
      </c>
      <c r="G1548" s="10" t="n">
        <v>136364</v>
      </c>
      <c r="H1548" s="10" t="b">
        <v>0</v>
      </c>
      <c r="I1548" s="10" t="n">
        <v>400</v>
      </c>
      <c r="J1548" s="10" t="n">
        <v>4.125</v>
      </c>
      <c r="K1548" s="10" t="inlineStr">
        <is>
          <t>&gt; Perfumería &gt; Cuidado Capilar &gt; Acondicionador &gt;</t>
        </is>
      </c>
      <c r="L1548" s="10" t="inlineStr">
        <is>
          <t>acondicionador</t>
        </is>
      </c>
      <c r="M1548" s="10" t="inlineStr">
        <is>
          <t>profesional</t>
        </is>
      </c>
      <c r="N1548" s="10" t="inlineStr">
        <is>
          <t>rizado</t>
        </is>
      </c>
      <c r="O1548" s="10" t="inlineStr">
        <is>
          <t>https://www.disco.com.ar/pantene-pro-v-solutions-rizos-definidos-acondicionador-400-ml/p</t>
        </is>
      </c>
    </row>
    <row r="1549">
      <c r="A1549" t="inlineStr">
        <is>
          <t>Disco</t>
        </is>
      </c>
      <c r="B1549" t="n">
        <v>393764</v>
      </c>
      <c r="C1549" t="n">
        <v>391785</v>
      </c>
      <c r="D1549" t="inlineStr">
        <is>
          <t>Acondicionador Pantene Pro-v Brillo Extremo 400 Ml</t>
        </is>
      </c>
      <c r="E1549" t="inlineStr">
        <is>
          <t>PANTENE</t>
        </is>
      </c>
      <c r="F1549" t="n">
        <v>10000</v>
      </c>
      <c r="G1549" t="n">
        <v>826446</v>
      </c>
      <c r="H1549" t="b">
        <v>0</v>
      </c>
      <c r="I1549" t="n">
        <v>400</v>
      </c>
      <c r="J1549" t="n">
        <v>25</v>
      </c>
      <c r="K1549" t="inlineStr">
        <is>
          <t>&gt; Perfumería &gt; Cuidado Capilar &gt; Acondicionador &gt;</t>
        </is>
      </c>
      <c r="L1549" t="inlineStr">
        <is>
          <t>acondicionador</t>
        </is>
      </c>
      <c r="M1549" t="inlineStr">
        <is>
          <t>profesional</t>
        </is>
      </c>
      <c r="N1549" t="inlineStr">
        <is>
          <t>general</t>
        </is>
      </c>
      <c r="O1549" t="inlineStr">
        <is>
          <t>https://www.disco.com.ar/acondicionador-pantene-pro-v-brillo-extremo-400-ml-2/p</t>
        </is>
      </c>
    </row>
    <row r="1550">
      <c r="A1550" s="10" t="inlineStr">
        <is>
          <t>Disco</t>
        </is>
      </c>
      <c r="B1550" s="10" t="n">
        <v>393763</v>
      </c>
      <c r="C1550" s="10" t="n">
        <v>391784</v>
      </c>
      <c r="D1550" s="10" t="inlineStr">
        <is>
          <t>Acondicionador Pantene Pro-v Bambu 400 Ml</t>
        </is>
      </c>
      <c r="E1550" s="10" t="inlineStr">
        <is>
          <t>PANTENE</t>
        </is>
      </c>
      <c r="F1550" s="10" t="n">
        <v>10000</v>
      </c>
      <c r="G1550" s="10" t="n">
        <v>826446</v>
      </c>
      <c r="H1550" s="10" t="b">
        <v>0</v>
      </c>
      <c r="I1550" s="10" t="n">
        <v>400</v>
      </c>
      <c r="J1550" s="10" t="n">
        <v>25</v>
      </c>
      <c r="K1550" s="10" t="inlineStr">
        <is>
          <t>&gt; Perfumería &gt; Cuidado Capilar &gt; Acondicionador &gt;</t>
        </is>
      </c>
      <c r="L1550" s="10" t="inlineStr">
        <is>
          <t>acondicionador</t>
        </is>
      </c>
      <c r="M1550" s="10" t="inlineStr">
        <is>
          <t>profesional</t>
        </is>
      </c>
      <c r="N1550" s="10" t="inlineStr">
        <is>
          <t>general</t>
        </is>
      </c>
      <c r="O1550" s="10" t="inlineStr">
        <is>
          <t>https://www.disco.com.ar/acondicionador-pantene-pro-v-bambu-400-ml-2/p</t>
        </is>
      </c>
    </row>
    <row r="1551">
      <c r="A1551" t="inlineStr">
        <is>
          <t>Disco</t>
        </is>
      </c>
      <c r="B1551" t="n">
        <v>393667</v>
      </c>
      <c r="C1551" t="n">
        <v>391695</v>
      </c>
      <c r="D1551" t="inlineStr">
        <is>
          <t>Acond Pantene Prov Brillo Extremo 750ml</t>
        </is>
      </c>
      <c r="E1551" t="inlineStr">
        <is>
          <t>PANTENE</t>
        </is>
      </c>
      <c r="F1551" t="n">
        <v>3250</v>
      </c>
      <c r="G1551" t="n">
        <v>268595</v>
      </c>
      <c r="H1551" t="b">
        <v>0</v>
      </c>
      <c r="I1551" t="n">
        <v>750</v>
      </c>
      <c r="J1551" t="n">
        <v>4.3333</v>
      </c>
      <c r="K1551" t="inlineStr">
        <is>
          <t>&gt; Perfumería &gt; Cuidado Capilar &gt; Acondicionador &gt;</t>
        </is>
      </c>
      <c r="L1551" t="inlineStr">
        <is>
          <t>shampoo</t>
        </is>
      </c>
      <c r="M1551" t="inlineStr">
        <is>
          <t>profesional</t>
        </is>
      </c>
      <c r="N1551" t="inlineStr">
        <is>
          <t>general</t>
        </is>
      </c>
      <c r="O1551" t="inlineStr">
        <is>
          <t>https://www.disco.com.ar/acond-pantene-prov-brillo-extremo-750ml/p</t>
        </is>
      </c>
    </row>
    <row r="1552">
      <c r="A1552" s="10" t="inlineStr">
        <is>
          <t>Disco</t>
        </is>
      </c>
      <c r="B1552" s="10" t="n">
        <v>393666</v>
      </c>
      <c r="C1552" s="10" t="n">
        <v>391694</v>
      </c>
      <c r="D1552" s="10" t="inlineStr">
        <is>
          <t>Acondicionador Pantene Pro-v Brillo Extremo 200 Ml</t>
        </is>
      </c>
      <c r="E1552" s="10" t="inlineStr">
        <is>
          <t>PANTENE</t>
        </is>
      </c>
      <c r="F1552" s="10" t="n">
        <v>1150</v>
      </c>
      <c r="G1552" s="10" t="n">
        <v>95041</v>
      </c>
      <c r="H1552" s="10" t="b">
        <v>0</v>
      </c>
      <c r="I1552" s="10" t="n">
        <v>200</v>
      </c>
      <c r="J1552" s="10" t="n">
        <v>5.75</v>
      </c>
      <c r="K1552" s="10" t="inlineStr">
        <is>
          <t>&gt; Perfumería &gt; Cuidado Capilar &gt; Acondicionador &gt;</t>
        </is>
      </c>
      <c r="L1552" s="10" t="inlineStr">
        <is>
          <t>acondicionador</t>
        </is>
      </c>
      <c r="M1552" s="10" t="inlineStr">
        <is>
          <t>profesional</t>
        </is>
      </c>
      <c r="N1552" s="10" t="inlineStr">
        <is>
          <t>general</t>
        </is>
      </c>
      <c r="O1552" s="10" t="inlineStr">
        <is>
          <t>https://www.disco.com.ar/acondicionador-pantene-pro-v-brillo-extremo-200-ml-2/p</t>
        </is>
      </c>
    </row>
    <row r="1553">
      <c r="A1553" t="inlineStr">
        <is>
          <t>Disco</t>
        </is>
      </c>
      <c r="B1553" t="n">
        <v>393665</v>
      </c>
      <c r="C1553" t="n">
        <v>391693</v>
      </c>
      <c r="D1553" t="inlineStr">
        <is>
          <t>Acond Pantene Prov Hidrata 200ml</t>
        </is>
      </c>
      <c r="E1553" t="inlineStr">
        <is>
          <t>PANTENE</t>
        </is>
      </c>
      <c r="F1553" t="n">
        <v>1000</v>
      </c>
      <c r="G1553" t="n">
        <v>82645</v>
      </c>
      <c r="H1553" t="b">
        <v>0</v>
      </c>
      <c r="I1553" t="n">
        <v>200</v>
      </c>
      <c r="J1553" t="n">
        <v>5</v>
      </c>
      <c r="K1553" t="inlineStr">
        <is>
          <t>&gt; Perfumería &gt; Cuidado Capilar &gt; Acondicionador &gt;</t>
        </is>
      </c>
      <c r="L1553" t="inlineStr">
        <is>
          <t>shampoo</t>
        </is>
      </c>
      <c r="M1553" t="inlineStr">
        <is>
          <t>profesional</t>
        </is>
      </c>
      <c r="N1553" t="inlineStr">
        <is>
          <t>seco_danado</t>
        </is>
      </c>
      <c r="O1553" t="inlineStr">
        <is>
          <t>https://www.disco.com.ar/acond-pantene-prov-hidrata-200ml/p</t>
        </is>
      </c>
    </row>
    <row r="1554">
      <c r="A1554" s="10" t="inlineStr">
        <is>
          <t>Disco</t>
        </is>
      </c>
      <c r="B1554" s="10" t="n">
        <v>393664</v>
      </c>
      <c r="C1554" s="10" t="n">
        <v>391692</v>
      </c>
      <c r="D1554" s="10" t="inlineStr">
        <is>
          <t>Acond Pantene Prov Cuidado Clasico 400ml</t>
        </is>
      </c>
      <c r="E1554" s="10" t="inlineStr">
        <is>
          <t>PANTENE</t>
        </is>
      </c>
      <c r="F1554" s="10" t="n">
        <v>461.29</v>
      </c>
      <c r="G1554" s="10" t="n">
        <v>38123</v>
      </c>
      <c r="H1554" s="10" t="b">
        <v>0</v>
      </c>
      <c r="I1554" s="10" t="n">
        <v>400</v>
      </c>
      <c r="J1554" s="10" t="n">
        <v>1.1532</v>
      </c>
      <c r="K1554" s="10" t="inlineStr">
        <is>
          <t>&gt; Perfumería &gt; Cuidado Capilar &gt; Acondicionador &gt;</t>
        </is>
      </c>
      <c r="L1554" s="10" t="inlineStr">
        <is>
          <t>shampoo</t>
        </is>
      </c>
      <c r="M1554" s="10" t="inlineStr">
        <is>
          <t>profesional</t>
        </is>
      </c>
      <c r="N1554" s="10" t="inlineStr">
        <is>
          <t>general</t>
        </is>
      </c>
      <c r="O1554" s="10" t="inlineStr">
        <is>
          <t>https://www.disco.com.ar/acond-pantene-prov-cuidado-clasico-400ml/p</t>
        </is>
      </c>
    </row>
    <row r="1555">
      <c r="A1555" t="inlineStr">
        <is>
          <t>Disco</t>
        </is>
      </c>
      <c r="B1555" t="n">
        <v>393662</v>
      </c>
      <c r="C1555" t="n">
        <v>391690</v>
      </c>
      <c r="D1555" t="inlineStr">
        <is>
          <t>Acondicionador Pantene Restauración 750 Ml</t>
        </is>
      </c>
      <c r="E1555" t="inlineStr">
        <is>
          <t>PANTENE</t>
        </is>
      </c>
      <c r="F1555" t="n">
        <v>3082.47</v>
      </c>
      <c r="G1555" t="n">
        <v>254750</v>
      </c>
      <c r="H1555" t="b">
        <v>0</v>
      </c>
      <c r="I1555" t="n">
        <v>750</v>
      </c>
      <c r="J1555" t="n">
        <v>4.11</v>
      </c>
      <c r="K1555" t="inlineStr">
        <is>
          <t>&gt; Perfumería &gt; Cuidado Capilar &gt; Acondicionador &gt;</t>
        </is>
      </c>
      <c r="L1555" t="inlineStr">
        <is>
          <t>acondicionador</t>
        </is>
      </c>
      <c r="M1555" t="inlineStr">
        <is>
          <t>estandar</t>
        </is>
      </c>
      <c r="N1555" t="inlineStr">
        <is>
          <t>general</t>
        </is>
      </c>
      <c r="O1555" t="inlineStr">
        <is>
          <t>https://www.disco.com.ar/acondicionador-pantene-restauracion-750-ml/p</t>
        </is>
      </c>
    </row>
    <row r="1556">
      <c r="A1556" s="10" t="inlineStr">
        <is>
          <t>Disco</t>
        </is>
      </c>
      <c r="B1556" s="10" t="n">
        <v>393660</v>
      </c>
      <c r="C1556" s="10" t="n">
        <v>391688</v>
      </c>
      <c r="D1556" s="10" t="inlineStr">
        <is>
          <t>Acondicionador Pantene Pro-v Restauración 200 Ml</t>
        </is>
      </c>
      <c r="E1556" s="10" t="inlineStr">
        <is>
          <t>PANTENE</t>
        </is>
      </c>
      <c r="F1556" s="10" t="n">
        <v>4950</v>
      </c>
      <c r="G1556" s="10" t="n">
        <v>409091</v>
      </c>
      <c r="H1556" s="10" t="b">
        <v>0</v>
      </c>
      <c r="I1556" s="10" t="n">
        <v>200</v>
      </c>
      <c r="J1556" s="10" t="n">
        <v>24.75</v>
      </c>
      <c r="K1556" s="10" t="inlineStr">
        <is>
          <t>&gt; Perfumería &gt; Cuidado Capilar &gt; Acondicionador &gt;</t>
        </is>
      </c>
      <c r="L1556" s="10" t="inlineStr">
        <is>
          <t>acondicionador</t>
        </is>
      </c>
      <c r="M1556" s="10" t="inlineStr">
        <is>
          <t>profesional</t>
        </is>
      </c>
      <c r="N1556" s="10" t="inlineStr">
        <is>
          <t>general</t>
        </is>
      </c>
      <c r="O1556" s="10" t="inlineStr">
        <is>
          <t>https://www.disco.com.ar/acondicionador-pantene-pro-v-restauracion-200-ml-2/p</t>
        </is>
      </c>
    </row>
    <row r="1557">
      <c r="A1557" t="inlineStr">
        <is>
          <t>Disco</t>
        </is>
      </c>
      <c r="B1557" t="n">
        <v>393657</v>
      </c>
      <c r="C1557" t="n">
        <v>391685</v>
      </c>
      <c r="D1557" t="inlineStr">
        <is>
          <t>Acondicionador Restauración Pro-V 400 Ml Pantene</t>
        </is>
      </c>
      <c r="E1557" t="inlineStr">
        <is>
          <t>PANTENE</t>
        </is>
      </c>
      <c r="F1557" t="n">
        <v>10000</v>
      </c>
      <c r="G1557" t="n">
        <v>826446</v>
      </c>
      <c r="H1557" t="b">
        <v>0</v>
      </c>
      <c r="I1557" t="n">
        <v>400</v>
      </c>
      <c r="J1557" t="n">
        <v>25</v>
      </c>
      <c r="K1557" t="inlineStr">
        <is>
          <t>&gt; Perfumería &gt; Cuidado Capilar &gt; Acondicionador &gt;</t>
        </is>
      </c>
      <c r="L1557" t="inlineStr">
        <is>
          <t>acondicionador</t>
        </is>
      </c>
      <c r="M1557" t="inlineStr">
        <is>
          <t>profesional</t>
        </is>
      </c>
      <c r="N1557" t="inlineStr">
        <is>
          <t>general</t>
        </is>
      </c>
      <c r="O1557" t="inlineStr">
        <is>
          <t>https://www.disco.com.ar/acondicionador-pro-v-solutions-restauracion-400-ml-pantene/p</t>
        </is>
      </c>
    </row>
    <row r="1558">
      <c r="A1558" s="10" t="inlineStr">
        <is>
          <t>Disco</t>
        </is>
      </c>
      <c r="B1558" s="10" t="n">
        <v>393656</v>
      </c>
      <c r="C1558" s="10" t="n">
        <v>391684</v>
      </c>
      <c r="D1558" s="10" t="inlineStr">
        <is>
          <t>Acond Pantene Prov Hidratacion Extr 200ml</t>
        </is>
      </c>
      <c r="E1558" s="10" t="inlineStr">
        <is>
          <t>PANTENE</t>
        </is>
      </c>
      <c r="F1558" s="10" t="n">
        <v>627.83</v>
      </c>
      <c r="G1558" s="10" t="n">
        <v>51887</v>
      </c>
      <c r="H1558" s="10" t="b">
        <v>0</v>
      </c>
      <c r="I1558" s="10" t="n">
        <v>200</v>
      </c>
      <c r="J1558" s="10" t="n">
        <v>3.1392</v>
      </c>
      <c r="K1558" s="10" t="inlineStr">
        <is>
          <t>&gt; Perfumería &gt; Cuidado Capilar &gt; Acondicionador &gt;</t>
        </is>
      </c>
      <c r="L1558" s="10" t="inlineStr">
        <is>
          <t>shampoo</t>
        </is>
      </c>
      <c r="M1558" s="10" t="inlineStr">
        <is>
          <t>profesional</t>
        </is>
      </c>
      <c r="N1558" s="10" t="inlineStr">
        <is>
          <t>seco_danado</t>
        </is>
      </c>
      <c r="O1558" s="10" t="inlineStr">
        <is>
          <t>https://www.disco.com.ar/acond-pantene-prov-hidratacion-extr-200ml/p</t>
        </is>
      </c>
    </row>
    <row r="1559">
      <c r="A1559" t="inlineStr">
        <is>
          <t>Disco</t>
        </is>
      </c>
      <c r="B1559" t="n">
        <v>393651</v>
      </c>
      <c r="C1559" t="n">
        <v>391679</v>
      </c>
      <c r="D1559" t="inlineStr">
        <is>
          <t>Acondicionador Pantene Pro-v Solutions Control Caída 400 Ml</t>
        </is>
      </c>
      <c r="E1559" t="inlineStr">
        <is>
          <t>PANTENE</t>
        </is>
      </c>
      <c r="F1559" t="n">
        <v>10000</v>
      </c>
      <c r="G1559" t="n">
        <v>826446</v>
      </c>
      <c r="H1559" t="b">
        <v>0</v>
      </c>
      <c r="I1559" t="n">
        <v>400</v>
      </c>
      <c r="J1559" t="n">
        <v>25</v>
      </c>
      <c r="K1559" t="inlineStr">
        <is>
          <t>&gt; Perfumería &gt; Cuidado Capilar &gt; Acondicionador &gt;</t>
        </is>
      </c>
      <c r="L1559" t="inlineStr">
        <is>
          <t>acondicionador</t>
        </is>
      </c>
      <c r="M1559" t="inlineStr">
        <is>
          <t>profesional</t>
        </is>
      </c>
      <c r="N1559" t="inlineStr">
        <is>
          <t>general</t>
        </is>
      </c>
      <c r="O1559" t="inlineStr">
        <is>
          <t>https://www.disco.com.ar/acondicionador-pantene-pro-v-solutions-control-caida-400-ml/p</t>
        </is>
      </c>
    </row>
    <row r="1560">
      <c r="A1560" s="10" t="inlineStr">
        <is>
          <t>Disco</t>
        </is>
      </c>
      <c r="B1560" s="10" t="n">
        <v>393647</v>
      </c>
      <c r="C1560" s="10" t="n">
        <v>391675</v>
      </c>
      <c r="D1560" s="10" t="inlineStr">
        <is>
          <t>Acondicionador Pantene Hidratación Extrema 750 Ml</t>
        </is>
      </c>
      <c r="E1560" s="10" t="inlineStr">
        <is>
          <t>PANTENE</t>
        </is>
      </c>
      <c r="F1560" s="10" t="n">
        <v>3250</v>
      </c>
      <c r="G1560" s="10" t="n">
        <v>268595</v>
      </c>
      <c r="H1560" s="10" t="b">
        <v>0</v>
      </c>
      <c r="I1560" s="10" t="n">
        <v>750</v>
      </c>
      <c r="J1560" s="10" t="n">
        <v>4.3333</v>
      </c>
      <c r="K1560" s="10" t="inlineStr">
        <is>
          <t>&gt; Perfumería &gt; Cuidado Capilar &gt; Acondicionador &gt;</t>
        </is>
      </c>
      <c r="L1560" s="10" t="inlineStr">
        <is>
          <t>acondicionador</t>
        </is>
      </c>
      <c r="M1560" s="10" t="inlineStr">
        <is>
          <t>estandar</t>
        </is>
      </c>
      <c r="N1560" s="10" t="inlineStr">
        <is>
          <t>seco_danado</t>
        </is>
      </c>
      <c r="O1560" s="10" t="inlineStr">
        <is>
          <t>https://www.disco.com.ar/acondicionador-pantene-hidratacion-extrema-750-ml/p</t>
        </is>
      </c>
    </row>
    <row r="1561">
      <c r="A1561" t="inlineStr">
        <is>
          <t>Disco</t>
        </is>
      </c>
      <c r="B1561" t="n">
        <v>393644</v>
      </c>
      <c r="C1561" t="n">
        <v>391672</v>
      </c>
      <c r="D1561" t="inlineStr">
        <is>
          <t>Acondicionador Pantene Pro-v Bambu 200 Ml</t>
        </is>
      </c>
      <c r="E1561" t="inlineStr">
        <is>
          <t>PANTENE</t>
        </is>
      </c>
      <c r="F1561" t="n">
        <v>1400</v>
      </c>
      <c r="G1561" t="n">
        <v>115702</v>
      </c>
      <c r="H1561" t="b">
        <v>0</v>
      </c>
      <c r="I1561" t="n">
        <v>200</v>
      </c>
      <c r="J1561" t="n">
        <v>7</v>
      </c>
      <c r="K1561" t="inlineStr">
        <is>
          <t>&gt; Perfumería &gt; Cuidado Capilar &gt; Acondicionador &gt;</t>
        </is>
      </c>
      <c r="L1561" t="inlineStr">
        <is>
          <t>acondicionador</t>
        </is>
      </c>
      <c r="M1561" t="inlineStr">
        <is>
          <t>profesional</t>
        </is>
      </c>
      <c r="N1561" t="inlineStr">
        <is>
          <t>general</t>
        </is>
      </c>
      <c r="O1561" t="inlineStr">
        <is>
          <t>https://www.disco.com.ar/acondicionador-pantene-pro-v-bambu-200-ml-2/p</t>
        </is>
      </c>
    </row>
    <row r="1562">
      <c r="A1562" s="10" t="inlineStr">
        <is>
          <t>Disco</t>
        </is>
      </c>
      <c r="B1562" s="10" t="n">
        <v>393612</v>
      </c>
      <c r="C1562" s="10" t="n">
        <v>391640</v>
      </c>
      <c r="D1562" s="10" t="inlineStr">
        <is>
          <t>Acondicionador Pantene Pro-v Fuerza Reconstrucción 400 Ml</t>
        </is>
      </c>
      <c r="E1562" s="10" t="inlineStr">
        <is>
          <t>PANTENE</t>
        </is>
      </c>
      <c r="F1562" s="10" t="n">
        <v>1850</v>
      </c>
      <c r="G1562" s="10" t="n">
        <v>152893</v>
      </c>
      <c r="H1562" s="10" t="b">
        <v>0</v>
      </c>
      <c r="I1562" s="10" t="n">
        <v>400</v>
      </c>
      <c r="J1562" s="10" t="n">
        <v>4.625</v>
      </c>
      <c r="K1562" s="10" t="inlineStr">
        <is>
          <t>&gt; Perfumería &gt; Cuidado Capilar &gt; Acondicionador &gt;</t>
        </is>
      </c>
      <c r="L1562" s="10" t="inlineStr">
        <is>
          <t>acondicionador</t>
        </is>
      </c>
      <c r="M1562" s="10" t="inlineStr">
        <is>
          <t>profesional</t>
        </is>
      </c>
      <c r="N1562" s="10" t="inlineStr">
        <is>
          <t>general</t>
        </is>
      </c>
      <c r="O1562" s="10" t="inlineStr">
        <is>
          <t>https://www.disco.com.ar/acondicionador-pantene-pro-v-fuerza-reconstruccion-400-ml/p</t>
        </is>
      </c>
    </row>
    <row r="1563">
      <c r="A1563" t="inlineStr">
        <is>
          <t>Disco</t>
        </is>
      </c>
      <c r="B1563" t="n">
        <v>393611</v>
      </c>
      <c r="C1563" t="n">
        <v>391639</v>
      </c>
      <c r="D1563" t="inlineStr">
        <is>
          <t>Acondicionador Pantene Hidratación 400 Ml</t>
        </is>
      </c>
      <c r="E1563" t="inlineStr">
        <is>
          <t>PANTENE</t>
        </is>
      </c>
      <c r="F1563" t="n">
        <v>10000</v>
      </c>
      <c r="G1563" t="n">
        <v>826446</v>
      </c>
      <c r="H1563" t="b">
        <v>0</v>
      </c>
      <c r="I1563" t="n">
        <v>400</v>
      </c>
      <c r="J1563" t="n">
        <v>25</v>
      </c>
      <c r="K1563" t="inlineStr">
        <is>
          <t>&gt; Perfumería &gt; Cuidado Capilar &gt; Acondicionador &gt;</t>
        </is>
      </c>
      <c r="L1563" t="inlineStr">
        <is>
          <t>acondicionador</t>
        </is>
      </c>
      <c r="M1563" t="inlineStr">
        <is>
          <t>estandar</t>
        </is>
      </c>
      <c r="N1563" t="inlineStr">
        <is>
          <t>seco_danado</t>
        </is>
      </c>
      <c r="O1563" t="inlineStr">
        <is>
          <t>https://www.disco.com.ar/acondicionador-pantene-hidratacion-400-ml/p</t>
        </is>
      </c>
    </row>
    <row r="1564">
      <c r="A1564" s="10" t="inlineStr">
        <is>
          <t>Disco</t>
        </is>
      </c>
      <c r="B1564" s="10" t="n">
        <v>390273</v>
      </c>
      <c r="C1564" s="10" t="n">
        <v>388359</v>
      </c>
      <c r="D1564" s="10" t="inlineStr">
        <is>
          <t>Shampoo Pantene Prov Fuerza Y Reco 200ml</t>
        </is>
      </c>
      <c r="E1564" s="10" t="inlineStr">
        <is>
          <t>PANTENE</t>
        </is>
      </c>
      <c r="F1564" s="10" t="n">
        <v>379.19</v>
      </c>
      <c r="G1564" s="10" t="n">
        <v>31338</v>
      </c>
      <c r="H1564" s="10" t="b">
        <v>0</v>
      </c>
      <c r="I1564" s="10" t="n">
        <v>200</v>
      </c>
      <c r="J1564" s="10" t="n">
        <v>1.896</v>
      </c>
      <c r="K1564" s="10" t="inlineStr">
        <is>
          <t>&gt; Perfumería &gt; Cuidado Capilar &gt; Shampoo &gt;</t>
        </is>
      </c>
      <c r="L1564" s="10" t="inlineStr">
        <is>
          <t>shampoo</t>
        </is>
      </c>
      <c r="M1564" s="10" t="inlineStr">
        <is>
          <t>profesional</t>
        </is>
      </c>
      <c r="N1564" s="10" t="inlineStr">
        <is>
          <t>general</t>
        </is>
      </c>
      <c r="O1564" s="10" t="inlineStr">
        <is>
          <t>https://www.disco.com.ar/shampoo-pantene-prov-fuerza-y-reco-200ml/p</t>
        </is>
      </c>
    </row>
    <row r="1565">
      <c r="A1565" t="inlineStr">
        <is>
          <t>Disco</t>
        </is>
      </c>
      <c r="B1565" t="n">
        <v>390268</v>
      </c>
      <c r="C1565" t="n">
        <v>388354</v>
      </c>
      <c r="D1565" t="inlineStr">
        <is>
          <t>Shampoo Pantene Pro-v Fuerza Y Reconstrucción 750 Ml</t>
        </is>
      </c>
      <c r="E1565" t="inlineStr">
        <is>
          <t>PANTENE</t>
        </is>
      </c>
      <c r="F1565" t="n">
        <v>1612.49</v>
      </c>
      <c r="G1565" t="n">
        <v>133264</v>
      </c>
      <c r="H1565" t="b">
        <v>0</v>
      </c>
      <c r="I1565" t="n">
        <v>750</v>
      </c>
      <c r="J1565" t="n">
        <v>2.15</v>
      </c>
      <c r="K1565" t="inlineStr">
        <is>
          <t>&gt; Perfumería &gt; Cuidado Capilar &gt; Shampoo &gt;</t>
        </is>
      </c>
      <c r="L1565" t="inlineStr">
        <is>
          <t>shampoo</t>
        </is>
      </c>
      <c r="M1565" t="inlineStr">
        <is>
          <t>profesional</t>
        </is>
      </c>
      <c r="N1565" t="inlineStr">
        <is>
          <t>general</t>
        </is>
      </c>
      <c r="O1565" t="inlineStr">
        <is>
          <t>https://www.disco.com.ar/shampoo-pantene-pro-v-fuerza-y-reconstruccion-750-ml-2/p</t>
        </is>
      </c>
    </row>
    <row r="1566">
      <c r="A1566" s="10" t="inlineStr">
        <is>
          <t>Disco</t>
        </is>
      </c>
      <c r="B1566" s="10" t="n">
        <v>390238</v>
      </c>
      <c r="C1566" s="10" t="n">
        <v>388329</v>
      </c>
      <c r="D1566" s="10" t="inlineStr">
        <is>
          <t>Shampoo Pantene Prov Cuidado Clasico 400ml</t>
        </is>
      </c>
      <c r="E1566" s="10" t="inlineStr">
        <is>
          <t>PANTENE</t>
        </is>
      </c>
      <c r="F1566" s="10" t="n">
        <v>461.29</v>
      </c>
      <c r="G1566" s="10" t="n">
        <v>38123</v>
      </c>
      <c r="H1566" s="10" t="b">
        <v>0</v>
      </c>
      <c r="I1566" s="10" t="n">
        <v>400</v>
      </c>
      <c r="J1566" s="10" t="n">
        <v>1.1532</v>
      </c>
      <c r="K1566" s="10" t="inlineStr">
        <is>
          <t>&gt; Perfumería &gt; Cuidado Capilar &gt; Shampoo &gt;</t>
        </is>
      </c>
      <c r="L1566" s="10" t="inlineStr">
        <is>
          <t>shampoo</t>
        </is>
      </c>
      <c r="M1566" s="10" t="inlineStr">
        <is>
          <t>profesional</t>
        </is>
      </c>
      <c r="N1566" s="10" t="inlineStr">
        <is>
          <t>general</t>
        </is>
      </c>
      <c r="O1566" s="10" t="inlineStr">
        <is>
          <t>https://www.disco.com.ar/shampoo-pantene-prov-cuidado-clasico-400ml/p</t>
        </is>
      </c>
    </row>
    <row r="1567">
      <c r="A1567" t="inlineStr">
        <is>
          <t>Disco</t>
        </is>
      </c>
      <c r="B1567" t="n">
        <v>390237</v>
      </c>
      <c r="C1567" t="n">
        <v>388328</v>
      </c>
      <c r="D1567" t="inlineStr">
        <is>
          <t>Shampoo Pantene Prov Brillo Extremo 200ml</t>
        </is>
      </c>
      <c r="E1567" t="inlineStr">
        <is>
          <t>PANTENE</t>
        </is>
      </c>
      <c r="F1567" t="n">
        <v>745.99</v>
      </c>
      <c r="G1567" t="n">
        <v>61652</v>
      </c>
      <c r="H1567" t="b">
        <v>0</v>
      </c>
      <c r="I1567" t="n">
        <v>200</v>
      </c>
      <c r="J1567" t="n">
        <v>3.73</v>
      </c>
      <c r="K1567" t="inlineStr">
        <is>
          <t>&gt; Perfumería &gt; Cuidado Capilar &gt; Shampoo &gt;</t>
        </is>
      </c>
      <c r="L1567" t="inlineStr">
        <is>
          <t>shampoo</t>
        </is>
      </c>
      <c r="M1567" t="inlineStr">
        <is>
          <t>profesional</t>
        </is>
      </c>
      <c r="N1567" t="inlineStr">
        <is>
          <t>general</t>
        </is>
      </c>
      <c r="O1567" t="inlineStr">
        <is>
          <t>https://www.disco.com.ar/shampoo-pantene-prov-brillo-extremo-200ml/p</t>
        </is>
      </c>
    </row>
    <row r="1568">
      <c r="A1568" s="10" t="inlineStr">
        <is>
          <t>Disco</t>
        </is>
      </c>
      <c r="B1568" s="10" t="n">
        <v>390236</v>
      </c>
      <c r="C1568" s="10" t="n">
        <v>388327</v>
      </c>
      <c r="D1568" s="10" t="inlineStr">
        <is>
          <t>Shampoo Pantene Prov Cuidado Clasico 200ml</t>
        </is>
      </c>
      <c r="E1568" s="10" t="inlineStr">
        <is>
          <t>PANTENE</t>
        </is>
      </c>
      <c r="F1568" s="10" t="n">
        <v>325.69</v>
      </c>
      <c r="G1568" s="10" t="n">
        <v>26917</v>
      </c>
      <c r="H1568" s="10" t="b">
        <v>0</v>
      </c>
      <c r="I1568" s="10" t="n">
        <v>200</v>
      </c>
      <c r="J1568" s="10" t="n">
        <v>1.6284</v>
      </c>
      <c r="K1568" s="10" t="inlineStr">
        <is>
          <t>&gt; Perfumería &gt; Cuidado Capilar &gt; Shampoo &gt;</t>
        </is>
      </c>
      <c r="L1568" s="10" t="inlineStr">
        <is>
          <t>shampoo</t>
        </is>
      </c>
      <c r="M1568" s="10" t="inlineStr">
        <is>
          <t>profesional</t>
        </is>
      </c>
      <c r="N1568" s="10" t="inlineStr">
        <is>
          <t>general</t>
        </is>
      </c>
      <c r="O1568" s="10" t="inlineStr">
        <is>
          <t>https://www.disco.com.ar/shampoo-pantene-prov-cuidado-clasico-200ml/p</t>
        </is>
      </c>
    </row>
    <row r="1569">
      <c r="A1569" t="inlineStr">
        <is>
          <t>Disco</t>
        </is>
      </c>
      <c r="B1569" t="n">
        <v>390235</v>
      </c>
      <c r="C1569" t="n">
        <v>388326</v>
      </c>
      <c r="D1569" t="inlineStr">
        <is>
          <t>Shampoo Pantene Pro-v Hidrata 200 Ml</t>
        </is>
      </c>
      <c r="E1569" t="inlineStr">
        <is>
          <t>PANTENE</t>
        </is>
      </c>
      <c r="F1569" t="n">
        <v>1100</v>
      </c>
      <c r="G1569" t="n">
        <v>90909</v>
      </c>
      <c r="H1569" t="b">
        <v>0</v>
      </c>
      <c r="I1569" t="n">
        <v>200</v>
      </c>
      <c r="J1569" t="n">
        <v>5.5</v>
      </c>
      <c r="K1569" t="inlineStr">
        <is>
          <t>&gt; Perfumería &gt; Cuidado Capilar &gt; Shampoo &gt;</t>
        </is>
      </c>
      <c r="L1569" t="inlineStr">
        <is>
          <t>shampoo</t>
        </is>
      </c>
      <c r="M1569" t="inlineStr">
        <is>
          <t>profesional</t>
        </is>
      </c>
      <c r="N1569" t="inlineStr">
        <is>
          <t>seco_danado</t>
        </is>
      </c>
      <c r="O1569" t="inlineStr">
        <is>
          <t>https://www.disco.com.ar/shampoo-pantene-pro-v-hidrata-200-ml/p</t>
        </is>
      </c>
    </row>
    <row r="1570">
      <c r="A1570" s="10" t="inlineStr">
        <is>
          <t>Disco</t>
        </is>
      </c>
      <c r="B1570" s="10" t="n">
        <v>390233</v>
      </c>
      <c r="C1570" s="10" t="n">
        <v>388324</v>
      </c>
      <c r="D1570" s="10" t="inlineStr">
        <is>
          <t>Shampoo Pantene Pro-v Control Caida 400 Ml</t>
        </is>
      </c>
      <c r="E1570" s="10" t="inlineStr">
        <is>
          <t>PANTENE</t>
        </is>
      </c>
      <c r="F1570" s="10" t="n">
        <v>6150</v>
      </c>
      <c r="G1570" s="10" t="n">
        <v>508264</v>
      </c>
      <c r="H1570" s="10" t="b">
        <v>0</v>
      </c>
      <c r="I1570" s="10" t="n">
        <v>400</v>
      </c>
      <c r="J1570" s="10" t="n">
        <v>15.375</v>
      </c>
      <c r="K1570" s="10" t="inlineStr">
        <is>
          <t>&gt; Perfumería &gt; Cuidado Capilar &gt; Shampoo &gt;</t>
        </is>
      </c>
      <c r="L1570" s="10" t="inlineStr">
        <is>
          <t>shampoo</t>
        </is>
      </c>
      <c r="M1570" s="10" t="inlineStr">
        <is>
          <t>profesional</t>
        </is>
      </c>
      <c r="N1570" s="10" t="inlineStr">
        <is>
          <t>general</t>
        </is>
      </c>
      <c r="O1570" s="10" t="inlineStr">
        <is>
          <t>https://www.disco.com.ar/shampoo-pantene-pro-v-control-caida-400-ml/p</t>
        </is>
      </c>
    </row>
    <row r="1571">
      <c r="A1571" t="inlineStr">
        <is>
          <t>Disco</t>
        </is>
      </c>
      <c r="B1571" t="n">
        <v>390232</v>
      </c>
      <c r="C1571" t="n">
        <v>388323</v>
      </c>
      <c r="D1571" t="inlineStr">
        <is>
          <t>Shampoo Pantene Pro-v Rizos Definidos 400 Ml</t>
        </is>
      </c>
      <c r="E1571" t="inlineStr">
        <is>
          <t>PANTENE</t>
        </is>
      </c>
      <c r="F1571" t="n">
        <v>1165.69</v>
      </c>
      <c r="G1571" t="n">
        <v>96338</v>
      </c>
      <c r="H1571" t="b">
        <v>0</v>
      </c>
      <c r="I1571" t="n">
        <v>400</v>
      </c>
      <c r="J1571" t="n">
        <v>2.9142</v>
      </c>
      <c r="K1571" t="inlineStr">
        <is>
          <t>&gt; Perfumería &gt; Cuidado Capilar &gt; Shampoo &gt;</t>
        </is>
      </c>
      <c r="L1571" t="inlineStr">
        <is>
          <t>shampoo</t>
        </is>
      </c>
      <c r="M1571" t="inlineStr">
        <is>
          <t>profesional</t>
        </is>
      </c>
      <c r="N1571" t="inlineStr">
        <is>
          <t>rizado</t>
        </is>
      </c>
      <c r="O1571" t="inlineStr">
        <is>
          <t>https://www.disco.com.ar/shampoo-pantene-pro-v-rizos-definidos-400-ml-2/p</t>
        </is>
      </c>
    </row>
    <row r="1572">
      <c r="A1572" s="10" t="inlineStr">
        <is>
          <t>Disco</t>
        </is>
      </c>
      <c r="B1572" s="10" t="n">
        <v>390230</v>
      </c>
      <c r="C1572" s="10" t="n">
        <v>388321</v>
      </c>
      <c r="D1572" s="10" t="inlineStr">
        <is>
          <t>Shampoo Pantene Hidratación 750 Ml</t>
        </is>
      </c>
      <c r="E1572" s="10" t="inlineStr">
        <is>
          <t>PANTENE</t>
        </is>
      </c>
      <c r="F1572" s="10" t="n">
        <v>2201.77</v>
      </c>
      <c r="G1572" s="10" t="n">
        <v>181964</v>
      </c>
      <c r="H1572" s="10" t="b">
        <v>0</v>
      </c>
      <c r="I1572" s="10" t="n">
        <v>750</v>
      </c>
      <c r="J1572" s="10" t="n">
        <v>2.9357</v>
      </c>
      <c r="K1572" s="10" t="inlineStr">
        <is>
          <t>&gt; Perfumería &gt; Cuidado Capilar &gt; Shampoo &gt;</t>
        </is>
      </c>
      <c r="L1572" s="10" t="inlineStr">
        <is>
          <t>shampoo</t>
        </is>
      </c>
      <c r="M1572" s="10" t="inlineStr">
        <is>
          <t>estandar</t>
        </is>
      </c>
      <c r="N1572" s="10" t="inlineStr">
        <is>
          <t>seco_danado</t>
        </is>
      </c>
      <c r="O1572" s="10" t="inlineStr">
        <is>
          <t>https://www.disco.com.ar/shampoo-pantene-hidratacion-750-ml/p</t>
        </is>
      </c>
    </row>
    <row r="1573">
      <c r="A1573" t="inlineStr">
        <is>
          <t>Disco</t>
        </is>
      </c>
      <c r="B1573" t="n">
        <v>390228</v>
      </c>
      <c r="C1573" t="n">
        <v>388319</v>
      </c>
      <c r="D1573" t="inlineStr">
        <is>
          <t>Shampoo Pantene Pro-v Bambu 400 Ml</t>
        </is>
      </c>
      <c r="E1573" t="inlineStr">
        <is>
          <t>PANTENE</t>
        </is>
      </c>
      <c r="F1573" t="n">
        <v>6150</v>
      </c>
      <c r="G1573" t="n">
        <v>508264</v>
      </c>
      <c r="H1573" t="b">
        <v>0</v>
      </c>
      <c r="I1573" t="n">
        <v>400</v>
      </c>
      <c r="J1573" t="n">
        <v>15.375</v>
      </c>
      <c r="K1573" t="inlineStr">
        <is>
          <t>&gt; Perfumería &gt; Cuidado Capilar &gt; Shampoo &gt;</t>
        </is>
      </c>
      <c r="L1573" t="inlineStr">
        <is>
          <t>shampoo</t>
        </is>
      </c>
      <c r="M1573" t="inlineStr">
        <is>
          <t>profesional</t>
        </is>
      </c>
      <c r="N1573" t="inlineStr">
        <is>
          <t>general</t>
        </is>
      </c>
      <c r="O1573" t="inlineStr">
        <is>
          <t>https://www.disco.com.ar/shampoo-pantene-pro-v-bambu-400-ml-2/p</t>
        </is>
      </c>
    </row>
    <row r="1574">
      <c r="A1574" s="10" t="inlineStr">
        <is>
          <t>Disco</t>
        </is>
      </c>
      <c r="B1574" s="10" t="n">
        <v>390226</v>
      </c>
      <c r="C1574" s="10" t="n">
        <v>388317</v>
      </c>
      <c r="D1574" s="10" t="inlineStr">
        <is>
          <t>Shampoo Pantene Pro-v Restauración 200 Ml</t>
        </is>
      </c>
      <c r="E1574" s="10" t="inlineStr">
        <is>
          <t>PANTENE</t>
        </is>
      </c>
      <c r="F1574" s="10" t="n">
        <v>5350</v>
      </c>
      <c r="G1574" s="10" t="n">
        <v>442149</v>
      </c>
      <c r="H1574" s="10" t="b">
        <v>0</v>
      </c>
      <c r="I1574" s="10" t="n">
        <v>200</v>
      </c>
      <c r="J1574" s="10" t="n">
        <v>26.75</v>
      </c>
      <c r="K1574" s="10" t="inlineStr">
        <is>
          <t>&gt; Perfumería &gt; Cuidado Capilar &gt; Shampoo &gt;</t>
        </is>
      </c>
      <c r="L1574" s="10" t="inlineStr">
        <is>
          <t>shampoo</t>
        </is>
      </c>
      <c r="M1574" s="10" t="inlineStr">
        <is>
          <t>profesional</t>
        </is>
      </c>
      <c r="N1574" s="10" t="inlineStr">
        <is>
          <t>general</t>
        </is>
      </c>
      <c r="O1574" s="10" t="inlineStr">
        <is>
          <t>https://www.disco.com.ar/shampoo-pantene-pro-v-restauracion-200-ml-2/p</t>
        </is>
      </c>
    </row>
    <row r="1575">
      <c r="A1575" t="inlineStr">
        <is>
          <t>Disco</t>
        </is>
      </c>
      <c r="B1575" t="n">
        <v>390225</v>
      </c>
      <c r="C1575" t="n">
        <v>388316</v>
      </c>
      <c r="D1575" t="inlineStr">
        <is>
          <t>Shampoo Y Acondicionador Pantene Cuidado Clásico Pro-v Solutions 200 Ml</t>
        </is>
      </c>
      <c r="E1575" t="inlineStr">
        <is>
          <t>PANTENE</t>
        </is>
      </c>
      <c r="F1575" t="n">
        <v>341.99</v>
      </c>
      <c r="G1575" t="n">
        <v>28264</v>
      </c>
      <c r="H1575" t="b">
        <v>0</v>
      </c>
      <c r="I1575" t="n">
        <v>200</v>
      </c>
      <c r="J1575" t="n">
        <v>1.71</v>
      </c>
      <c r="K1575" t="inlineStr">
        <is>
          <t>&gt; Perfumería &gt; Cuidado Capilar &gt; Shampoo &gt;</t>
        </is>
      </c>
      <c r="L1575" t="inlineStr">
        <is>
          <t>acondicionador</t>
        </is>
      </c>
      <c r="M1575" t="inlineStr">
        <is>
          <t>profesional</t>
        </is>
      </c>
      <c r="N1575" t="inlineStr">
        <is>
          <t>general</t>
        </is>
      </c>
      <c r="O1575" t="inlineStr">
        <is>
          <t>https://www.disco.com.ar/shampoo-y-acondicionador-pantene-cuidado-clasico-pro-v-solutions-200-ml/p</t>
        </is>
      </c>
    </row>
    <row r="1576">
      <c r="A1576" s="10" t="inlineStr">
        <is>
          <t>Disco</t>
        </is>
      </c>
      <c r="B1576" s="10" t="n">
        <v>390224</v>
      </c>
      <c r="C1576" s="10" t="n">
        <v>388315</v>
      </c>
      <c r="D1576" s="10" t="inlineStr">
        <is>
          <t>Shampoo Pantene Prov Hidratacion Extr 200ml</t>
        </is>
      </c>
      <c r="E1576" s="10" t="inlineStr">
        <is>
          <t>PANTENE</t>
        </is>
      </c>
      <c r="F1576" s="10" t="n">
        <v>1000</v>
      </c>
      <c r="G1576" s="10" t="n">
        <v>82645</v>
      </c>
      <c r="H1576" s="10" t="b">
        <v>0</v>
      </c>
      <c r="I1576" s="10" t="n">
        <v>200</v>
      </c>
      <c r="J1576" s="10" t="n">
        <v>5</v>
      </c>
      <c r="K1576" s="10" t="inlineStr">
        <is>
          <t>&gt; Perfumería &gt; Cuidado Capilar &gt; Shampoo &gt;</t>
        </is>
      </c>
      <c r="L1576" s="10" t="inlineStr">
        <is>
          <t>shampoo</t>
        </is>
      </c>
      <c r="M1576" s="10" t="inlineStr">
        <is>
          <t>profesional</t>
        </is>
      </c>
      <c r="N1576" s="10" t="inlineStr">
        <is>
          <t>seco_danado</t>
        </is>
      </c>
      <c r="O1576" s="10" t="inlineStr">
        <is>
          <t>https://www.disco.com.ar/shampoo-pantene-prov-hidratacion-extr-200ml/p</t>
        </is>
      </c>
    </row>
    <row r="1577">
      <c r="A1577" t="inlineStr">
        <is>
          <t>Disco</t>
        </is>
      </c>
      <c r="B1577" t="n">
        <v>390223</v>
      </c>
      <c r="C1577" t="n">
        <v>388314</v>
      </c>
      <c r="D1577" t="inlineStr">
        <is>
          <t>Shampoo Pantene Pro-v Brillo Extremo 750 Ml</t>
        </is>
      </c>
      <c r="E1577" t="inlineStr">
        <is>
          <t>PANTENE</t>
        </is>
      </c>
      <c r="F1577" t="n">
        <v>2137.67</v>
      </c>
      <c r="G1577" t="n">
        <v>176667</v>
      </c>
      <c r="H1577" t="b">
        <v>0</v>
      </c>
      <c r="I1577" t="n">
        <v>750</v>
      </c>
      <c r="J1577" t="n">
        <v>2.8502</v>
      </c>
      <c r="K1577" t="inlineStr">
        <is>
          <t>&gt; Perfumería &gt; Cuidado Capilar &gt; Shampoo &gt;</t>
        </is>
      </c>
      <c r="L1577" t="inlineStr">
        <is>
          <t>shampoo</t>
        </is>
      </c>
      <c r="M1577" t="inlineStr">
        <is>
          <t>profesional</t>
        </is>
      </c>
      <c r="N1577" t="inlineStr">
        <is>
          <t>general</t>
        </is>
      </c>
      <c r="O1577" t="inlineStr">
        <is>
          <t>https://www.disco.com.ar/shampoo-pantene-pro-v-brillo-extremo-750-ml-2/p</t>
        </is>
      </c>
    </row>
    <row r="1578">
      <c r="A1578" s="10" t="inlineStr">
        <is>
          <t>Disco</t>
        </is>
      </c>
      <c r="B1578" s="10" t="n">
        <v>390222</v>
      </c>
      <c r="C1578" s="10" t="n">
        <v>388313</v>
      </c>
      <c r="D1578" s="10" t="inlineStr">
        <is>
          <t>Shampoo Pantene Pro-v Bambú 200 Ml</t>
        </is>
      </c>
      <c r="E1578" s="10" t="inlineStr">
        <is>
          <t>PANTENE</t>
        </is>
      </c>
      <c r="F1578" s="10" t="n">
        <v>783.27</v>
      </c>
      <c r="G1578" s="10" t="n">
        <v>64733</v>
      </c>
      <c r="H1578" s="10" t="b">
        <v>0</v>
      </c>
      <c r="I1578" s="10" t="n">
        <v>200</v>
      </c>
      <c r="J1578" s="10" t="n">
        <v>3.9163</v>
      </c>
      <c r="K1578" s="10" t="inlineStr">
        <is>
          <t>&gt; Perfumería &gt; Cuidado Capilar &gt; Shampoo &gt;</t>
        </is>
      </c>
      <c r="L1578" s="10" t="inlineStr">
        <is>
          <t>shampoo</t>
        </is>
      </c>
      <c r="M1578" s="10" t="inlineStr">
        <is>
          <t>profesional</t>
        </is>
      </c>
      <c r="N1578" s="10" t="inlineStr">
        <is>
          <t>general</t>
        </is>
      </c>
      <c r="O1578" s="10" t="inlineStr">
        <is>
          <t>https://www.disco.com.ar/shampoo-pantene-pro-v-bambu-200-ml-2/p</t>
        </is>
      </c>
    </row>
    <row r="1579">
      <c r="A1579" t="inlineStr">
        <is>
          <t>Disco</t>
        </is>
      </c>
      <c r="B1579" t="n">
        <v>390202</v>
      </c>
      <c r="C1579" t="n">
        <v>388293</v>
      </c>
      <c r="D1579" t="inlineStr">
        <is>
          <t>2 En 1 Pantene Cuidado Clasico 400ml</t>
        </is>
      </c>
      <c r="E1579" t="inlineStr">
        <is>
          <t>PANTENE</t>
        </is>
      </c>
      <c r="F1579" t="n">
        <v>511.59</v>
      </c>
      <c r="G1579" t="n">
        <v>42280</v>
      </c>
      <c r="H1579" t="b">
        <v>0</v>
      </c>
      <c r="I1579" t="n">
        <v>400</v>
      </c>
      <c r="J1579" t="n">
        <v>1.279</v>
      </c>
      <c r="K1579" t="inlineStr">
        <is>
          <t>&gt; Perfumería &gt; Cuidado Capilar &gt; Shampoo &gt;</t>
        </is>
      </c>
      <c r="L1579" t="inlineStr">
        <is>
          <t>shampoo</t>
        </is>
      </c>
      <c r="M1579" t="inlineStr">
        <is>
          <t>estandar</t>
        </is>
      </c>
      <c r="N1579" t="inlineStr">
        <is>
          <t>general</t>
        </is>
      </c>
      <c r="O1579" t="inlineStr">
        <is>
          <t>https://www.disco.com.ar/2-en-1-pantene-cuidado-clasico-400ml/p</t>
        </is>
      </c>
    </row>
    <row r="1580">
      <c r="A1580" s="10" t="inlineStr">
        <is>
          <t>Disco</t>
        </is>
      </c>
      <c r="B1580" s="10" t="n">
        <v>390200</v>
      </c>
      <c r="C1580" s="10" t="n">
        <v>388291</v>
      </c>
      <c r="D1580" s="10" t="inlineStr">
        <is>
          <t>Shampoo Pro-V Solutions Restauración 400 Ml Pantene</t>
        </is>
      </c>
      <c r="E1580" s="10" t="inlineStr">
        <is>
          <t>PANTENE</t>
        </is>
      </c>
      <c r="F1580" s="10" t="n">
        <v>10000</v>
      </c>
      <c r="G1580" s="10" t="n">
        <v>826446</v>
      </c>
      <c r="H1580" s="10" t="b">
        <v>0</v>
      </c>
      <c r="I1580" s="10" t="n">
        <v>400</v>
      </c>
      <c r="J1580" s="10" t="n">
        <v>25</v>
      </c>
      <c r="K1580" s="10" t="inlineStr">
        <is>
          <t>&gt; Perfumería &gt; Cuidado Capilar &gt; Shampoo &gt;</t>
        </is>
      </c>
      <c r="L1580" s="10" t="inlineStr">
        <is>
          <t>shampoo</t>
        </is>
      </c>
      <c r="M1580" s="10" t="inlineStr">
        <is>
          <t>profesional</t>
        </is>
      </c>
      <c r="N1580" s="10" t="inlineStr">
        <is>
          <t>general</t>
        </is>
      </c>
      <c r="O1580" s="10" t="inlineStr">
        <is>
          <t>https://www.disco.com.ar/shampoo-pro-v-solutions-restauracion-400-ml-pantene/p</t>
        </is>
      </c>
    </row>
    <row r="1581">
      <c r="A1581" t="inlineStr">
        <is>
          <t>Disco</t>
        </is>
      </c>
      <c r="B1581" t="n">
        <v>390197</v>
      </c>
      <c r="C1581" t="n">
        <v>388288</v>
      </c>
      <c r="D1581" t="inlineStr">
        <is>
          <t>Shampoo Pantene Hidratación Extrema 400 Ml</t>
        </is>
      </c>
      <c r="E1581" t="inlineStr">
        <is>
          <t>PANTENE</t>
        </is>
      </c>
      <c r="F1581" t="n">
        <v>1850</v>
      </c>
      <c r="G1581" t="n">
        <v>152893</v>
      </c>
      <c r="H1581" t="b">
        <v>0</v>
      </c>
      <c r="I1581" t="n">
        <v>400</v>
      </c>
      <c r="J1581" t="n">
        <v>4.625</v>
      </c>
      <c r="K1581" t="inlineStr">
        <is>
          <t>&gt; Perfumería &gt; Cuidado Capilar &gt; Shampoo &gt;</t>
        </is>
      </c>
      <c r="L1581" t="inlineStr">
        <is>
          <t>shampoo</t>
        </is>
      </c>
      <c r="M1581" t="inlineStr">
        <is>
          <t>estandar</t>
        </is>
      </c>
      <c r="N1581" t="inlineStr">
        <is>
          <t>seco_danado</t>
        </is>
      </c>
      <c r="O1581" t="inlineStr">
        <is>
          <t>https://www.disco.com.ar/shampoo-pantene-hidratacion-extrema-400-ml/p</t>
        </is>
      </c>
    </row>
    <row r="1582">
      <c r="A1582" s="10" t="inlineStr">
        <is>
          <t>Disco</t>
        </is>
      </c>
      <c r="B1582" s="10" t="n">
        <v>390195</v>
      </c>
      <c r="C1582" s="10" t="n">
        <v>388286</v>
      </c>
      <c r="D1582" s="10" t="inlineStr">
        <is>
          <t>Shampoo Pantene Pro-v Fuerza Reconstrucción 400 Ml</t>
        </is>
      </c>
      <c r="E1582" s="10" t="inlineStr">
        <is>
          <t>PANTENE</t>
        </is>
      </c>
      <c r="F1582" s="10" t="n">
        <v>1292.77</v>
      </c>
      <c r="G1582" s="10" t="n">
        <v>106841</v>
      </c>
      <c r="H1582" s="10" t="b">
        <v>0</v>
      </c>
      <c r="I1582" s="10" t="n">
        <v>400</v>
      </c>
      <c r="J1582" s="10" t="n">
        <v>3.2319</v>
      </c>
      <c r="K1582" s="10" t="inlineStr">
        <is>
          <t>&gt; Perfumería &gt; Cuidado Capilar &gt; Shampoo &gt;</t>
        </is>
      </c>
      <c r="L1582" s="10" t="inlineStr">
        <is>
          <t>shampoo</t>
        </is>
      </c>
      <c r="M1582" s="10" t="inlineStr">
        <is>
          <t>profesional</t>
        </is>
      </c>
      <c r="N1582" s="10" t="inlineStr">
        <is>
          <t>general</t>
        </is>
      </c>
      <c r="O1582" s="10" t="inlineStr">
        <is>
          <t>https://www.disco.com.ar/shampoo-pantene-pro-v-fuerza-reconstruccion-400-ml/p</t>
        </is>
      </c>
    </row>
    <row r="1583">
      <c r="A1583" t="inlineStr">
        <is>
          <t>Disco</t>
        </is>
      </c>
      <c r="B1583" t="n">
        <v>383688</v>
      </c>
      <c r="C1583" t="n">
        <v>382402</v>
      </c>
      <c r="D1583" t="inlineStr">
        <is>
          <t>Tratamiento Pantene Colageno 15ml</t>
        </is>
      </c>
      <c r="E1583" t="inlineStr">
        <is>
          <t>PANTENE</t>
        </is>
      </c>
      <c r="F1583" t="n">
        <v>6600</v>
      </c>
      <c r="G1583" t="n">
        <v>545455</v>
      </c>
      <c r="H1583" t="b">
        <v>0</v>
      </c>
      <c r="I1583" t="n">
        <v>15</v>
      </c>
      <c r="J1583" t="n">
        <v>440</v>
      </c>
      <c r="K1583" t="inlineStr">
        <is>
          <t>&gt; Perfumería &gt; Cuidado Capilar &gt; Reparación y Tratamientos &gt;</t>
        </is>
      </c>
      <c r="L1583" t="inlineStr">
        <is>
          <t>tratamiento</t>
        </is>
      </c>
      <c r="M1583" t="inlineStr">
        <is>
          <t>estandar</t>
        </is>
      </c>
      <c r="N1583" t="inlineStr">
        <is>
          <t>general</t>
        </is>
      </c>
      <c r="O1583" t="inlineStr">
        <is>
          <t>https://www.disco.com.ar/tratamiento-pantene-colageno-15ml/p</t>
        </is>
      </c>
    </row>
    <row r="1584">
      <c r="A1584" s="10" t="inlineStr">
        <is>
          <t>Disco</t>
        </is>
      </c>
      <c r="B1584" s="10" t="n">
        <v>383687</v>
      </c>
      <c r="C1584" s="10" t="n">
        <v>382401</v>
      </c>
      <c r="D1584" s="10" t="inlineStr">
        <is>
          <t>Acondicionador Pantene Con Colágeno 3 Minute Miracle 170 Ml</t>
        </is>
      </c>
      <c r="E1584" s="10" t="inlineStr">
        <is>
          <t>PANTENE</t>
        </is>
      </c>
      <c r="F1584" s="10" t="n">
        <v>7200</v>
      </c>
      <c r="G1584" s="10" t="n">
        <v>595041</v>
      </c>
      <c r="H1584" s="10" t="b">
        <v>0</v>
      </c>
      <c r="I1584" s="10" t="n">
        <v>170</v>
      </c>
      <c r="J1584" s="10" t="n">
        <v>42.3529</v>
      </c>
      <c r="K1584" s="10" t="inlineStr">
        <is>
          <t>&gt; Perfumería &gt; Cuidado Capilar &gt; Acondicionador &gt;</t>
        </is>
      </c>
      <c r="L1584" s="10" t="inlineStr">
        <is>
          <t>acondicionador</t>
        </is>
      </c>
      <c r="M1584" s="10" t="inlineStr">
        <is>
          <t>estandar</t>
        </is>
      </c>
      <c r="N1584" s="10" t="inlineStr">
        <is>
          <t>general</t>
        </is>
      </c>
      <c r="O1584" s="10" t="inlineStr">
        <is>
          <t>https://www.disco.com.ar/acondicionador-pantene-con-colageno-3-minute-miracle-170-ml/p</t>
        </is>
      </c>
    </row>
    <row r="1585">
      <c r="A1585" t="inlineStr">
        <is>
          <t>Disco</t>
        </is>
      </c>
      <c r="B1585" t="n">
        <v>383683</v>
      </c>
      <c r="C1585" t="n">
        <v>382398</v>
      </c>
      <c r="D1585" t="inlineStr">
        <is>
          <t>Serum Puntas Abiertas Colágeno 90 Ml Pantene</t>
        </is>
      </c>
      <c r="E1585" t="inlineStr">
        <is>
          <t>PANTENE</t>
        </is>
      </c>
      <c r="F1585" t="n">
        <v>8250</v>
      </c>
      <c r="G1585" t="n">
        <v>681818</v>
      </c>
      <c r="H1585" t="b">
        <v>0</v>
      </c>
      <c r="I1585" t="n">
        <v>90</v>
      </c>
      <c r="J1585" t="n">
        <v>91.66670000000001</v>
      </c>
      <c r="K1585" t="inlineStr">
        <is>
          <t>&gt; Perfumería &gt; Cuidado Capilar &gt; Reparación y Tratamientos &gt;</t>
        </is>
      </c>
      <c r="L1585" t="inlineStr">
        <is>
          <t>shampoo</t>
        </is>
      </c>
      <c r="M1585" t="inlineStr">
        <is>
          <t>estandar</t>
        </is>
      </c>
      <c r="N1585" t="inlineStr">
        <is>
          <t>general</t>
        </is>
      </c>
      <c r="O1585" t="inlineStr">
        <is>
          <t>https://www.disco.com.ar/serum-puntas-abiertas-colageno-90-ml-pantene/p</t>
        </is>
      </c>
    </row>
    <row r="1586">
      <c r="A1586" s="10" t="inlineStr">
        <is>
          <t>Disco</t>
        </is>
      </c>
      <c r="B1586" s="10" t="n">
        <v>383680</v>
      </c>
      <c r="C1586" s="10" t="n">
        <v>382395</v>
      </c>
      <c r="D1586" s="10" t="inlineStr">
        <is>
          <t>Acondicionador Pro-v Miracles Colágeno Nutre y Revitaliza 200 Ml Pantene</t>
        </is>
      </c>
      <c r="E1586" s="10" t="inlineStr">
        <is>
          <t>PANTENE</t>
        </is>
      </c>
      <c r="F1586" s="10" t="n">
        <v>6200</v>
      </c>
      <c r="G1586" s="10" t="n">
        <v>512397</v>
      </c>
      <c r="H1586" s="10" t="b">
        <v>0</v>
      </c>
      <c r="I1586" s="10" t="n">
        <v>200</v>
      </c>
      <c r="J1586" s="10" t="n">
        <v>31</v>
      </c>
      <c r="K1586" s="10" t="inlineStr">
        <is>
          <t>&gt; Perfumería &gt; Cuidado Capilar &gt; Acondicionador &gt;</t>
        </is>
      </c>
      <c r="L1586" s="10" t="inlineStr">
        <is>
          <t>acondicionador</t>
        </is>
      </c>
      <c r="M1586" s="10" t="inlineStr">
        <is>
          <t>profesional</t>
        </is>
      </c>
      <c r="N1586" s="10" t="inlineStr">
        <is>
          <t>general</t>
        </is>
      </c>
      <c r="O1586" s="10" t="inlineStr">
        <is>
          <t>https://www.disco.com.ar/acondicionador-pro-v-miracles-colageno-nutre-y-revitaliza-200-ml-pantene/p</t>
        </is>
      </c>
    </row>
    <row r="1587">
      <c r="A1587" t="inlineStr">
        <is>
          <t>Disco</t>
        </is>
      </c>
      <c r="B1587" t="n">
        <v>383679</v>
      </c>
      <c r="C1587" t="n">
        <v>382394</v>
      </c>
      <c r="D1587" t="inlineStr">
        <is>
          <t>Shampoo Colageno 700 Ml Pantene</t>
        </is>
      </c>
      <c r="E1587" t="inlineStr">
        <is>
          <t>PANTENE</t>
        </is>
      </c>
      <c r="F1587" t="n">
        <v>15200</v>
      </c>
      <c r="G1587" t="n">
        <v>1256198</v>
      </c>
      <c r="H1587" t="b">
        <v>0</v>
      </c>
      <c r="I1587" t="n">
        <v>700</v>
      </c>
      <c r="J1587" t="n">
        <v>21.7143</v>
      </c>
      <c r="K1587" t="inlineStr">
        <is>
          <t>&gt; Perfumería &gt; Cuidado Capilar &gt; Shampoo &gt;</t>
        </is>
      </c>
      <c r="L1587" t="inlineStr">
        <is>
          <t>shampoo</t>
        </is>
      </c>
      <c r="M1587" t="inlineStr">
        <is>
          <t>estandar</t>
        </is>
      </c>
      <c r="N1587" t="inlineStr">
        <is>
          <t>general</t>
        </is>
      </c>
      <c r="O1587" t="inlineStr">
        <is>
          <t>https://www.disco.com.ar/shampoo-colageno-700-ml-pantene-2/p</t>
        </is>
      </c>
    </row>
    <row r="1588">
      <c r="A1588" s="10" t="inlineStr">
        <is>
          <t>Disco</t>
        </is>
      </c>
      <c r="B1588" s="10" t="n">
        <v>383676</v>
      </c>
      <c r="C1588" s="10" t="n">
        <v>382391</v>
      </c>
      <c r="D1588" s="10" t="inlineStr">
        <is>
          <t>Shampoo Colágeno Nutre y Revitaliza 400 Ml Pantene</t>
        </is>
      </c>
      <c r="E1588" s="10" t="inlineStr">
        <is>
          <t>PANTENE</t>
        </is>
      </c>
      <c r="F1588" s="10" t="n">
        <v>10000</v>
      </c>
      <c r="G1588" s="10" t="n">
        <v>826446</v>
      </c>
      <c r="H1588" s="10" t="b">
        <v>0</v>
      </c>
      <c r="I1588" s="10" t="n">
        <v>400</v>
      </c>
      <c r="J1588" s="10" t="n">
        <v>25</v>
      </c>
      <c r="K1588" s="10" t="inlineStr">
        <is>
          <t>&gt; Perfumería &gt; Cuidado Capilar &gt; Shampoo &gt;</t>
        </is>
      </c>
      <c r="L1588" s="10" t="inlineStr">
        <is>
          <t>shampoo</t>
        </is>
      </c>
      <c r="M1588" s="10" t="inlineStr">
        <is>
          <t>estandar</t>
        </is>
      </c>
      <c r="N1588" s="10" t="inlineStr">
        <is>
          <t>general</t>
        </is>
      </c>
      <c r="O1588" s="10" t="inlineStr">
        <is>
          <t>https://www.disco.com.ar/shampoo-colageno-nutre-y-revitaliza-400-ml-pantene/p</t>
        </is>
      </c>
    </row>
    <row r="1589">
      <c r="A1589" t="inlineStr">
        <is>
          <t>Disco</t>
        </is>
      </c>
      <c r="B1589" t="n">
        <v>383675</v>
      </c>
      <c r="C1589" t="n">
        <v>382390</v>
      </c>
      <c r="D1589" t="inlineStr">
        <is>
          <t>Crema para Peinar Colágeno Nutre y Revitaliza 300 Ml Pantene</t>
        </is>
      </c>
      <c r="E1589" t="inlineStr">
        <is>
          <t>PANTENE</t>
        </is>
      </c>
      <c r="F1589" t="n">
        <v>9000</v>
      </c>
      <c r="G1589" t="n">
        <v>743802</v>
      </c>
      <c r="H1589" t="b">
        <v>0</v>
      </c>
      <c r="I1589" t="n">
        <v>300</v>
      </c>
      <c r="J1589" t="n">
        <v>30</v>
      </c>
      <c r="K1589" t="inlineStr">
        <is>
          <t>&gt; Perfumería &gt; Cuidado Capilar &gt; Reparación y Tratamientos &gt;</t>
        </is>
      </c>
      <c r="L1589" t="inlineStr">
        <is>
          <t>shampoo</t>
        </is>
      </c>
      <c r="M1589" t="inlineStr">
        <is>
          <t>estandar</t>
        </is>
      </c>
      <c r="N1589" t="inlineStr">
        <is>
          <t>general</t>
        </is>
      </c>
      <c r="O1589" t="inlineStr">
        <is>
          <t>https://www.disco.com.ar/crema-para-peinar-colageno-nutre-y-revitaliza-300-ml-pantene/p</t>
        </is>
      </c>
    </row>
    <row r="1590">
      <c r="A1590" s="10" t="inlineStr">
        <is>
          <t>Disco</t>
        </is>
      </c>
      <c r="B1590" s="10" t="n">
        <v>383672</v>
      </c>
      <c r="C1590" s="10" t="n">
        <v>382387</v>
      </c>
      <c r="D1590" s="10" t="inlineStr">
        <is>
          <t>Shampoo Nutrición y Control Frizz Colágeno 200 Ml Pantene Shampoo Pro-v Colágeno 200 Ml Pantene</t>
        </is>
      </c>
      <c r="E1590" s="10" t="inlineStr">
        <is>
          <t>PANTENE</t>
        </is>
      </c>
      <c r="F1590" s="10" t="n">
        <v>6200</v>
      </c>
      <c r="G1590" s="10" t="n">
        <v>512397</v>
      </c>
      <c r="H1590" s="10" t="b">
        <v>0</v>
      </c>
      <c r="I1590" s="10" t="n">
        <v>200</v>
      </c>
      <c r="J1590" s="10" t="n">
        <v>31</v>
      </c>
      <c r="K1590" s="10" t="inlineStr">
        <is>
          <t>&gt; Perfumería &gt; Cuidado Capilar &gt; Shampoo &gt;</t>
        </is>
      </c>
      <c r="L1590" s="10" t="inlineStr">
        <is>
          <t>shampoo</t>
        </is>
      </c>
      <c r="M1590" s="10" t="inlineStr">
        <is>
          <t>profesional</t>
        </is>
      </c>
      <c r="N1590" s="10" t="inlineStr">
        <is>
          <t>general</t>
        </is>
      </c>
      <c r="O1590" s="10" t="inlineStr">
        <is>
          <t>https://www.disco.com.ar/shampoo-pro-v-colageno-200-ml-pantene-2/p</t>
        </is>
      </c>
    </row>
    <row r="1591">
      <c r="A1591" t="inlineStr">
        <is>
          <t>Disco</t>
        </is>
      </c>
      <c r="B1591" t="n">
        <v>345301</v>
      </c>
      <c r="C1591" t="n">
        <v>343986</v>
      </c>
      <c r="D1591" t="inlineStr">
        <is>
          <t>Acondicionador Pantene Prov Essent Cuidado 400ml</t>
        </is>
      </c>
      <c r="E1591" t="inlineStr">
        <is>
          <t>PANTENE</t>
        </is>
      </c>
      <c r="F1591" t="n">
        <v>800</v>
      </c>
      <c r="G1591" t="n">
        <v>66116</v>
      </c>
      <c r="H1591" t="b">
        <v>0</v>
      </c>
      <c r="I1591" t="n">
        <v>400</v>
      </c>
      <c r="J1591" t="n">
        <v>2</v>
      </c>
      <c r="K1591" t="inlineStr">
        <is>
          <t>&gt; Perfumería &gt; Cuidado Capilar &gt; Acondicionador &gt;</t>
        </is>
      </c>
      <c r="L1591" t="inlineStr">
        <is>
          <t>acondicionador</t>
        </is>
      </c>
      <c r="M1591" t="inlineStr">
        <is>
          <t>profesional</t>
        </is>
      </c>
      <c r="N1591" t="inlineStr">
        <is>
          <t>general</t>
        </is>
      </c>
      <c r="O1591" t="inlineStr">
        <is>
          <t>https://www.disco.com.ar/acondicionador-pantene-prov-essent-cuidado-400ml/p</t>
        </is>
      </c>
    </row>
    <row r="1592">
      <c r="A1592" s="10" t="inlineStr">
        <is>
          <t>Disco</t>
        </is>
      </c>
      <c r="B1592" s="10" t="n">
        <v>345300</v>
      </c>
      <c r="C1592" s="10" t="n">
        <v>343985</v>
      </c>
      <c r="D1592" s="10" t="inlineStr">
        <is>
          <t>Shampoo Pantene Prov Essent Cuidado 400ml</t>
        </is>
      </c>
      <c r="E1592" s="10" t="inlineStr">
        <is>
          <t>PANTENE</t>
        </is>
      </c>
      <c r="F1592" s="10" t="n">
        <v>700</v>
      </c>
      <c r="G1592" s="10" t="n">
        <v>57851</v>
      </c>
      <c r="H1592" s="10" t="b">
        <v>0</v>
      </c>
      <c r="I1592" s="10" t="n">
        <v>400</v>
      </c>
      <c r="J1592" s="10" t="n">
        <v>1.75</v>
      </c>
      <c r="K1592" s="10" t="inlineStr">
        <is>
          <t>&gt; Perfumería &gt; Cuidado Capilar &gt; Shampoo &gt;</t>
        </is>
      </c>
      <c r="L1592" s="10" t="inlineStr">
        <is>
          <t>shampoo</t>
        </is>
      </c>
      <c r="M1592" s="10" t="inlineStr">
        <is>
          <t>profesional</t>
        </is>
      </c>
      <c r="N1592" s="10" t="inlineStr">
        <is>
          <t>general</t>
        </is>
      </c>
      <c r="O1592" s="10" t="inlineStr">
        <is>
          <t>https://www.disco.com.ar/shampoo-pantene-prov-essent-cuidado-400ml-2/p</t>
        </is>
      </c>
    </row>
    <row r="1593">
      <c r="A1593" t="inlineStr">
        <is>
          <t>Disco</t>
        </is>
      </c>
      <c r="B1593" t="n">
        <v>345299</v>
      </c>
      <c r="C1593" t="n">
        <v>343984</v>
      </c>
      <c r="D1593" t="inlineStr">
        <is>
          <t>Acondicionador Panetene Prov Essentials Bambu 750ml</t>
        </is>
      </c>
      <c r="E1593" t="inlineStr">
        <is>
          <t>PANTENE</t>
        </is>
      </c>
      <c r="F1593" t="n">
        <v>1496.95</v>
      </c>
      <c r="G1593" t="n">
        <v>123715</v>
      </c>
      <c r="H1593" t="b">
        <v>0</v>
      </c>
      <c r="I1593" t="n">
        <v>750</v>
      </c>
      <c r="J1593" t="n">
        <v>1.9959</v>
      </c>
      <c r="K1593" t="inlineStr">
        <is>
          <t>&gt; Perfumería &gt; Cuidado Capilar &gt; Acondicionador &gt;</t>
        </is>
      </c>
      <c r="L1593" t="inlineStr">
        <is>
          <t>acondicionador</t>
        </is>
      </c>
      <c r="M1593" t="inlineStr">
        <is>
          <t>estandar</t>
        </is>
      </c>
      <c r="N1593" t="inlineStr">
        <is>
          <t>general</t>
        </is>
      </c>
      <c r="O1593" t="inlineStr">
        <is>
          <t>https://www.disco.com.ar/acondicionador-panetene-prov-essentials-bambu-750ml/p</t>
        </is>
      </c>
    </row>
    <row r="1594">
      <c r="A1594" s="10" t="inlineStr">
        <is>
          <t>Disco</t>
        </is>
      </c>
      <c r="B1594" s="10" t="n">
        <v>345297</v>
      </c>
      <c r="C1594" s="10" t="n">
        <v>343982</v>
      </c>
      <c r="D1594" s="10" t="inlineStr">
        <is>
          <t>Acondicionador Pantene Prov Essent Control Caida 400ml</t>
        </is>
      </c>
      <c r="E1594" s="10" t="inlineStr">
        <is>
          <t>PANTENE</t>
        </is>
      </c>
      <c r="F1594" s="10" t="n">
        <v>806.35</v>
      </c>
      <c r="G1594" s="10" t="n">
        <v>66641</v>
      </c>
      <c r="H1594" s="10" t="b">
        <v>0</v>
      </c>
      <c r="I1594" s="10" t="n">
        <v>400</v>
      </c>
      <c r="J1594" s="10" t="n">
        <v>2.0159</v>
      </c>
      <c r="K1594" s="10" t="inlineStr">
        <is>
          <t>&gt; Perfumería &gt; Cuidado Capilar &gt; Acondicionador &gt;</t>
        </is>
      </c>
      <c r="L1594" s="10" t="inlineStr">
        <is>
          <t>acondicionador</t>
        </is>
      </c>
      <c r="M1594" s="10" t="inlineStr">
        <is>
          <t>profesional</t>
        </is>
      </c>
      <c r="N1594" s="10" t="inlineStr">
        <is>
          <t>general</t>
        </is>
      </c>
      <c r="O1594" s="10" t="inlineStr">
        <is>
          <t>https://www.disco.com.ar/acondicionador-pantene-prov-essent-control-caida-400ml/p</t>
        </is>
      </c>
    </row>
    <row r="1595">
      <c r="A1595" t="inlineStr">
        <is>
          <t>Disco</t>
        </is>
      </c>
      <c r="B1595" t="n">
        <v>345296</v>
      </c>
      <c r="C1595" t="n">
        <v>343981</v>
      </c>
      <c r="D1595" t="inlineStr">
        <is>
          <t>Acondicionador Pantene Pro-v Essentials Bambu 200 Ml</t>
        </is>
      </c>
      <c r="E1595" t="inlineStr">
        <is>
          <t>PANTENE</t>
        </is>
      </c>
      <c r="F1595" t="n">
        <v>1100</v>
      </c>
      <c r="G1595" t="n">
        <v>90909</v>
      </c>
      <c r="H1595" t="b">
        <v>0</v>
      </c>
      <c r="I1595" t="n">
        <v>200</v>
      </c>
      <c r="J1595" t="n">
        <v>5.5</v>
      </c>
      <c r="K1595" t="inlineStr">
        <is>
          <t>&gt; Perfumería &gt; Cuidado Capilar &gt; Acondicionador &gt;</t>
        </is>
      </c>
      <c r="L1595" t="inlineStr">
        <is>
          <t>acondicionador</t>
        </is>
      </c>
      <c r="M1595" t="inlineStr">
        <is>
          <t>profesional</t>
        </is>
      </c>
      <c r="N1595" t="inlineStr">
        <is>
          <t>general</t>
        </is>
      </c>
      <c r="O1595" t="inlineStr">
        <is>
          <t>https://www.disco.com.ar/acondicionador-pantene-pro-v-essentials-bambu-200-ml/p</t>
        </is>
      </c>
    </row>
    <row r="1596">
      <c r="A1596" s="10" t="inlineStr">
        <is>
          <t>Disco</t>
        </is>
      </c>
      <c r="B1596" s="10" t="n">
        <v>345295</v>
      </c>
      <c r="C1596" s="10" t="n">
        <v>343980</v>
      </c>
      <c r="D1596" s="10" t="inlineStr">
        <is>
          <t>Shampoo Pantene Prov Essent Control Caida 400ml</t>
        </is>
      </c>
      <c r="E1596" s="10" t="inlineStr">
        <is>
          <t>PANTENE</t>
        </is>
      </c>
      <c r="F1596" s="10" t="n">
        <v>806.35</v>
      </c>
      <c r="G1596" s="10" t="n">
        <v>66641</v>
      </c>
      <c r="H1596" s="10" t="b">
        <v>0</v>
      </c>
      <c r="I1596" s="10" t="n">
        <v>400</v>
      </c>
      <c r="J1596" s="10" t="n">
        <v>2.0159</v>
      </c>
      <c r="K1596" s="10" t="inlineStr">
        <is>
          <t>&gt; Perfumería &gt; Cuidado Capilar &gt; Shampoo &gt;</t>
        </is>
      </c>
      <c r="L1596" s="10" t="inlineStr">
        <is>
          <t>shampoo</t>
        </is>
      </c>
      <c r="M1596" s="10" t="inlineStr">
        <is>
          <t>profesional</t>
        </is>
      </c>
      <c r="N1596" s="10" t="inlineStr">
        <is>
          <t>general</t>
        </is>
      </c>
      <c r="O1596" s="10" t="inlineStr">
        <is>
          <t>https://www.disco.com.ar/shampoo-pantene-prov-essent-control-caida-400ml/p</t>
        </is>
      </c>
    </row>
    <row r="1597">
      <c r="A1597" t="inlineStr">
        <is>
          <t>Disco</t>
        </is>
      </c>
      <c r="B1597" t="n">
        <v>345294</v>
      </c>
      <c r="C1597" t="n">
        <v>343979</v>
      </c>
      <c r="D1597" t="inlineStr">
        <is>
          <t>Shampoo Pantene Essentials Rizos Definidos 400ml</t>
        </is>
      </c>
      <c r="E1597" t="inlineStr">
        <is>
          <t>PANTENE</t>
        </is>
      </c>
      <c r="F1597" t="n">
        <v>806.35</v>
      </c>
      <c r="G1597" t="n">
        <v>66641</v>
      </c>
      <c r="H1597" t="b">
        <v>0</v>
      </c>
      <c r="I1597" t="n">
        <v>400</v>
      </c>
      <c r="J1597" t="n">
        <v>2.0159</v>
      </c>
      <c r="K1597" t="inlineStr">
        <is>
          <t>&gt; Perfumería &gt; Cuidado Capilar &gt; Shampoo &gt;</t>
        </is>
      </c>
      <c r="L1597" t="inlineStr">
        <is>
          <t>shampoo</t>
        </is>
      </c>
      <c r="M1597" t="inlineStr">
        <is>
          <t>estandar</t>
        </is>
      </c>
      <c r="N1597" t="inlineStr">
        <is>
          <t>rizado</t>
        </is>
      </c>
      <c r="O1597" t="inlineStr">
        <is>
          <t>https://www.disco.com.ar/shampoo-pantene-essentials-rizos-definidos-400ml/p</t>
        </is>
      </c>
    </row>
    <row r="1598">
      <c r="A1598" s="10" t="inlineStr">
        <is>
          <t>Disco</t>
        </is>
      </c>
      <c r="B1598" s="10" t="n">
        <v>345293</v>
      </c>
      <c r="C1598" s="10" t="n">
        <v>343978</v>
      </c>
      <c r="D1598" s="10" t="inlineStr">
        <is>
          <t>Shampoo Pantene Prov Essentials Bambu 750ml</t>
        </is>
      </c>
      <c r="E1598" s="10" t="inlineStr">
        <is>
          <t>PANTENE</t>
        </is>
      </c>
      <c r="F1598" s="10" t="n">
        <v>1496.95</v>
      </c>
      <c r="G1598" s="10" t="n">
        <v>123715</v>
      </c>
      <c r="H1598" s="10" t="b">
        <v>0</v>
      </c>
      <c r="I1598" s="10" t="n">
        <v>750</v>
      </c>
      <c r="J1598" s="10" t="n">
        <v>1.9959</v>
      </c>
      <c r="K1598" s="10" t="inlineStr">
        <is>
          <t>&gt; Perfumería &gt; Cuidado Capilar &gt; Shampoo &gt;</t>
        </is>
      </c>
      <c r="L1598" s="10" t="inlineStr">
        <is>
          <t>shampoo</t>
        </is>
      </c>
      <c r="M1598" s="10" t="inlineStr">
        <is>
          <t>profesional</t>
        </is>
      </c>
      <c r="N1598" s="10" t="inlineStr">
        <is>
          <t>general</t>
        </is>
      </c>
      <c r="O1598" s="10" t="inlineStr">
        <is>
          <t>https://www.disco.com.ar/shampoo-pantene-prov-essentials-bambu-750ml-2/p</t>
        </is>
      </c>
    </row>
    <row r="1599">
      <c r="A1599" t="inlineStr">
        <is>
          <t>Disco</t>
        </is>
      </c>
      <c r="B1599" t="n">
        <v>345291</v>
      </c>
      <c r="C1599" t="n">
        <v>343976</v>
      </c>
      <c r="D1599" t="inlineStr">
        <is>
          <t>Acondicionador Pantene Prov Essentials Hidrat Extremo 750ml</t>
        </is>
      </c>
      <c r="E1599" t="inlineStr">
        <is>
          <t>PANTENE</t>
        </is>
      </c>
      <c r="F1599" t="n">
        <v>1450.49</v>
      </c>
      <c r="G1599" t="n">
        <v>119875</v>
      </c>
      <c r="H1599" t="b">
        <v>0</v>
      </c>
      <c r="I1599" t="n">
        <v>750</v>
      </c>
      <c r="J1599" t="n">
        <v>1.934</v>
      </c>
      <c r="K1599" t="inlineStr">
        <is>
          <t>&gt; Perfumería &gt; Cuidado Capilar &gt; Acondicionador &gt;</t>
        </is>
      </c>
      <c r="L1599" t="inlineStr">
        <is>
          <t>acondicionador</t>
        </is>
      </c>
      <c r="M1599" t="inlineStr">
        <is>
          <t>profesional</t>
        </is>
      </c>
      <c r="N1599" t="inlineStr">
        <is>
          <t>seco_danado</t>
        </is>
      </c>
      <c r="O1599" t="inlineStr">
        <is>
          <t>https://www.disco.com.ar/acondicionador-pantene-prov-essentials-hidrat-extremo-750ml/p</t>
        </is>
      </c>
    </row>
    <row r="1600">
      <c r="A1600" s="10" t="inlineStr">
        <is>
          <t>Disco</t>
        </is>
      </c>
      <c r="B1600" s="10" t="n">
        <v>345289</v>
      </c>
      <c r="C1600" s="10" t="n">
        <v>343974</v>
      </c>
      <c r="D1600" s="10" t="inlineStr">
        <is>
          <t>Acondicionador Pantene Prov Essent Rizos Definidos 400ml</t>
        </is>
      </c>
      <c r="E1600" s="10" t="inlineStr">
        <is>
          <t>PANTENE</t>
        </is>
      </c>
      <c r="F1600" s="10" t="n">
        <v>806.35</v>
      </c>
      <c r="G1600" s="10" t="n">
        <v>66641</v>
      </c>
      <c r="H1600" s="10" t="b">
        <v>0</v>
      </c>
      <c r="I1600" s="10" t="n">
        <v>400</v>
      </c>
      <c r="J1600" s="10" t="n">
        <v>2.0159</v>
      </c>
      <c r="K1600" s="10" t="inlineStr">
        <is>
          <t>&gt; Perfumería &gt; Cuidado Capilar &gt; Acondicionador &gt;</t>
        </is>
      </c>
      <c r="L1600" s="10" t="inlineStr">
        <is>
          <t>acondicionador</t>
        </is>
      </c>
      <c r="M1600" s="10" t="inlineStr">
        <is>
          <t>profesional</t>
        </is>
      </c>
      <c r="N1600" s="10" t="inlineStr">
        <is>
          <t>rizado</t>
        </is>
      </c>
      <c r="O1600" s="10" t="inlineStr">
        <is>
          <t>https://www.disco.com.ar/acondicionador-pantene-prov-essent-rizos-definidos-400ml/p</t>
        </is>
      </c>
    </row>
    <row r="1601">
      <c r="A1601" t="inlineStr">
        <is>
          <t>Disco</t>
        </is>
      </c>
      <c r="B1601" t="n">
        <v>345288</v>
      </c>
      <c r="C1601" t="n">
        <v>343973</v>
      </c>
      <c r="D1601" t="inlineStr">
        <is>
          <t>Shampoo Pantene Prov Essentials Bambu 200ml</t>
        </is>
      </c>
      <c r="E1601" t="inlineStr">
        <is>
          <t>PANTENE</t>
        </is>
      </c>
      <c r="F1601" t="n">
        <v>531.49</v>
      </c>
      <c r="G1601" t="n">
        <v>43925</v>
      </c>
      <c r="H1601" t="b">
        <v>0</v>
      </c>
      <c r="I1601" t="n">
        <v>200</v>
      </c>
      <c r="J1601" t="n">
        <v>2.6574</v>
      </c>
      <c r="K1601" t="inlineStr">
        <is>
          <t>&gt; Perfumería &gt; Cuidado Capilar &gt; Shampoo &gt;</t>
        </is>
      </c>
      <c r="L1601" t="inlineStr">
        <is>
          <t>shampoo</t>
        </is>
      </c>
      <c r="M1601" t="inlineStr">
        <is>
          <t>profesional</t>
        </is>
      </c>
      <c r="N1601" t="inlineStr">
        <is>
          <t>general</t>
        </is>
      </c>
      <c r="O1601" t="inlineStr">
        <is>
          <t>https://www.disco.com.ar/shampoo-pantene-prov-essentials-bambu-200ml-2/p</t>
        </is>
      </c>
    </row>
    <row r="1602">
      <c r="A1602" s="10" t="inlineStr">
        <is>
          <t>Disco</t>
        </is>
      </c>
      <c r="B1602" s="10" t="n">
        <v>345287</v>
      </c>
      <c r="C1602" s="10" t="n">
        <v>343972</v>
      </c>
      <c r="D1602" s="10" t="inlineStr">
        <is>
          <t>Acondicionador Pantene Prov Essentials Hidrat Extremo 200ml</t>
        </is>
      </c>
      <c r="E1602" s="10" t="inlineStr">
        <is>
          <t>PANTENE</t>
        </is>
      </c>
      <c r="F1602" s="10" t="n">
        <v>531.49</v>
      </c>
      <c r="G1602" s="10" t="n">
        <v>43925</v>
      </c>
      <c r="H1602" s="10" t="b">
        <v>0</v>
      </c>
      <c r="I1602" s="10" t="n">
        <v>200</v>
      </c>
      <c r="J1602" s="10" t="n">
        <v>2.6574</v>
      </c>
      <c r="K1602" s="10" t="inlineStr">
        <is>
          <t>&gt; Perfumería &gt; Cuidado Capilar &gt; Acondicionador &gt;</t>
        </is>
      </c>
      <c r="L1602" s="10" t="inlineStr">
        <is>
          <t>acondicionador</t>
        </is>
      </c>
      <c r="M1602" s="10" t="inlineStr">
        <is>
          <t>profesional</t>
        </is>
      </c>
      <c r="N1602" s="10" t="inlineStr">
        <is>
          <t>seco_danado</t>
        </is>
      </c>
      <c r="O1602" s="10" t="inlineStr">
        <is>
          <t>https://www.disco.com.ar/acondicionador-pantene-prov-essentials-hidrat-extremo-200ml/p</t>
        </is>
      </c>
    </row>
    <row r="1603">
      <c r="A1603" t="inlineStr">
        <is>
          <t>Disco</t>
        </is>
      </c>
      <c r="B1603" t="n">
        <v>345286</v>
      </c>
      <c r="C1603" t="n">
        <v>343971</v>
      </c>
      <c r="D1603" t="inlineStr">
        <is>
          <t>Shampoo Pantene Prov Essent Cuidado 200ml</t>
        </is>
      </c>
      <c r="E1603" t="inlineStr">
        <is>
          <t>PANTENE</t>
        </is>
      </c>
      <c r="F1603" t="n">
        <v>282.09</v>
      </c>
      <c r="G1603" t="n">
        <v>23313</v>
      </c>
      <c r="H1603" t="b">
        <v>0</v>
      </c>
      <c r="I1603" t="n">
        <v>200</v>
      </c>
      <c r="J1603" t="n">
        <v>1.4104</v>
      </c>
      <c r="K1603" t="inlineStr">
        <is>
          <t>&gt; Perfumería &gt; Cuidado Capilar &gt; Shampoo &gt;</t>
        </is>
      </c>
      <c r="L1603" t="inlineStr">
        <is>
          <t>shampoo</t>
        </is>
      </c>
      <c r="M1603" t="inlineStr">
        <is>
          <t>profesional</t>
        </is>
      </c>
      <c r="N1603" t="inlineStr">
        <is>
          <t>general</t>
        </is>
      </c>
      <c r="O1603" t="inlineStr">
        <is>
          <t>https://www.disco.com.ar/shampoo-pantene-prov-essent-cuidado-200ml/p</t>
        </is>
      </c>
    </row>
    <row r="1604">
      <c r="A1604" s="10" t="inlineStr">
        <is>
          <t>Disco</t>
        </is>
      </c>
      <c r="B1604" s="10" t="n">
        <v>345285</v>
      </c>
      <c r="C1604" s="10" t="n">
        <v>343970</v>
      </c>
      <c r="D1604" s="10" t="inlineStr">
        <is>
          <t>Shampoo Pantene Porv Essent 2en1 400ml</t>
        </is>
      </c>
      <c r="E1604" s="10" t="inlineStr">
        <is>
          <t>PANTENE</t>
        </is>
      </c>
      <c r="F1604" s="10" t="n">
        <v>399.49</v>
      </c>
      <c r="G1604" s="10" t="n">
        <v>33016</v>
      </c>
      <c r="H1604" s="10" t="b">
        <v>0</v>
      </c>
      <c r="I1604" s="10" t="n">
        <v>400</v>
      </c>
      <c r="J1604" s="10" t="n">
        <v>0.9987</v>
      </c>
      <c r="K1604" s="10" t="inlineStr">
        <is>
          <t>&gt; Perfumería &gt; Cuidado Capilar &gt; Shampoo &gt;</t>
        </is>
      </c>
      <c r="L1604" s="10" t="inlineStr">
        <is>
          <t>shampoo</t>
        </is>
      </c>
      <c r="M1604" s="10" t="inlineStr">
        <is>
          <t>estandar</t>
        </is>
      </c>
      <c r="N1604" s="10" t="inlineStr">
        <is>
          <t>general</t>
        </is>
      </c>
      <c r="O1604" s="10" t="inlineStr">
        <is>
          <t>https://www.disco.com.ar/shampoo-pantene-porv-essent-2en1-400ml/p</t>
        </is>
      </c>
    </row>
    <row r="1605">
      <c r="A1605" t="inlineStr">
        <is>
          <t>Disco</t>
        </is>
      </c>
      <c r="B1605" t="n">
        <v>345284</v>
      </c>
      <c r="C1605" t="n">
        <v>343969</v>
      </c>
      <c r="D1605" t="inlineStr">
        <is>
          <t>Shampoo Pantene Prov Essentials Hidratacion 750ml</t>
        </is>
      </c>
      <c r="E1605" t="inlineStr">
        <is>
          <t>PANTENE</t>
        </is>
      </c>
      <c r="F1605" t="n">
        <v>1450.49</v>
      </c>
      <c r="G1605" t="n">
        <v>119875</v>
      </c>
      <c r="H1605" t="b">
        <v>0</v>
      </c>
      <c r="I1605" t="n">
        <v>750</v>
      </c>
      <c r="J1605" t="n">
        <v>1.934</v>
      </c>
      <c r="K1605" t="inlineStr">
        <is>
          <t>&gt; Perfumería &gt; Cuidado Capilar &gt; Shampoo &gt;</t>
        </is>
      </c>
      <c r="L1605" t="inlineStr">
        <is>
          <t>shampoo</t>
        </is>
      </c>
      <c r="M1605" t="inlineStr">
        <is>
          <t>profesional</t>
        </is>
      </c>
      <c r="N1605" t="inlineStr">
        <is>
          <t>seco_danado</t>
        </is>
      </c>
      <c r="O1605" t="inlineStr">
        <is>
          <t>https://www.disco.com.ar/shampoo-pantene-prov-essentials-hidratacion-750ml/p</t>
        </is>
      </c>
    </row>
    <row r="1606">
      <c r="A1606" s="10" t="inlineStr">
        <is>
          <t>Disco</t>
        </is>
      </c>
      <c r="B1606" s="10" t="n">
        <v>345282</v>
      </c>
      <c r="C1606" s="10" t="n">
        <v>343967</v>
      </c>
      <c r="D1606" s="10" t="inlineStr">
        <is>
          <t>Shampoo Pantene Porv Essent 2en1 200ml</t>
        </is>
      </c>
      <c r="E1606" s="10" t="inlineStr">
        <is>
          <t>PANTENE</t>
        </is>
      </c>
      <c r="F1606" s="10" t="n">
        <v>282.09</v>
      </c>
      <c r="G1606" s="10" t="n">
        <v>23313</v>
      </c>
      <c r="H1606" s="10" t="b">
        <v>0</v>
      </c>
      <c r="I1606" s="10" t="n">
        <v>200</v>
      </c>
      <c r="J1606" s="10" t="n">
        <v>1.4104</v>
      </c>
      <c r="K1606" s="10" t="inlineStr">
        <is>
          <t>&gt; Perfumería &gt; Cuidado Capilar &gt; Shampoo &gt;</t>
        </is>
      </c>
      <c r="L1606" s="10" t="inlineStr">
        <is>
          <t>shampoo</t>
        </is>
      </c>
      <c r="M1606" s="10" t="inlineStr">
        <is>
          <t>estandar</t>
        </is>
      </c>
      <c r="N1606" s="10" t="inlineStr">
        <is>
          <t>general</t>
        </is>
      </c>
      <c r="O1606" s="10" t="inlineStr">
        <is>
          <t>https://www.disco.com.ar/shampoo-pantene-porv-essent-2en1-200ml-2/p</t>
        </is>
      </c>
    </row>
    <row r="1607">
      <c r="A1607" t="inlineStr">
        <is>
          <t>Disco</t>
        </is>
      </c>
      <c r="B1607" t="n">
        <v>345281</v>
      </c>
      <c r="C1607" t="n">
        <v>343966</v>
      </c>
      <c r="D1607" t="inlineStr">
        <is>
          <t>Acondicionador Pantene Prov Essentials Liso Extremo 400ml</t>
        </is>
      </c>
      <c r="E1607" t="inlineStr">
        <is>
          <t>PANTENE</t>
        </is>
      </c>
      <c r="F1607" t="n">
        <v>858.79</v>
      </c>
      <c r="G1607" t="n">
        <v>70974</v>
      </c>
      <c r="H1607" t="b">
        <v>0</v>
      </c>
      <c r="I1607" t="n">
        <v>400</v>
      </c>
      <c r="J1607" t="n">
        <v>2.147</v>
      </c>
      <c r="K1607" t="inlineStr">
        <is>
          <t>&gt; Perfumería &gt; Cuidado Capilar &gt; Acondicionador &gt;</t>
        </is>
      </c>
      <c r="L1607" t="inlineStr">
        <is>
          <t>acondicionador</t>
        </is>
      </c>
      <c r="M1607" t="inlineStr">
        <is>
          <t>profesional</t>
        </is>
      </c>
      <c r="N1607" t="inlineStr">
        <is>
          <t>general</t>
        </is>
      </c>
      <c r="O1607" t="inlineStr">
        <is>
          <t>https://www.disco.com.ar/acondicionador-pantene-prov-essentials-liso-extremo-400ml/p</t>
        </is>
      </c>
    </row>
    <row r="1608">
      <c r="A1608" s="10" t="inlineStr">
        <is>
          <t>Disco</t>
        </is>
      </c>
      <c r="B1608" s="10" t="n">
        <v>345280</v>
      </c>
      <c r="C1608" s="10" t="n">
        <v>343965</v>
      </c>
      <c r="D1608" s="10" t="inlineStr">
        <is>
          <t>Shampoo Pantene Prov Essentials Hidratación Ext 200ml</t>
        </is>
      </c>
      <c r="E1608" s="10" t="inlineStr">
        <is>
          <t>PANTENE</t>
        </is>
      </c>
      <c r="F1608" s="10" t="n">
        <v>531.49</v>
      </c>
      <c r="G1608" s="10" t="n">
        <v>43925</v>
      </c>
      <c r="H1608" s="10" t="b">
        <v>0</v>
      </c>
      <c r="I1608" s="10" t="n">
        <v>200</v>
      </c>
      <c r="J1608" s="10" t="n">
        <v>2.6574</v>
      </c>
      <c r="K1608" s="10" t="inlineStr">
        <is>
          <t>&gt; Perfumería &gt; Cuidado Capilar &gt; Shampoo &gt;</t>
        </is>
      </c>
      <c r="L1608" s="10" t="inlineStr">
        <is>
          <t>shampoo</t>
        </is>
      </c>
      <c r="M1608" s="10" t="inlineStr">
        <is>
          <t>profesional</t>
        </is>
      </c>
      <c r="N1608" s="10" t="inlineStr">
        <is>
          <t>seco_danado</t>
        </is>
      </c>
      <c r="O1608" s="10" t="inlineStr">
        <is>
          <t>https://www.disco.com.ar/shampoo-pantene-prov-essentials-hidratacion-ext-200ml/p</t>
        </is>
      </c>
    </row>
    <row r="1609">
      <c r="A1609" t="inlineStr">
        <is>
          <t>Disco</t>
        </is>
      </c>
      <c r="B1609" t="n">
        <v>345279</v>
      </c>
      <c r="C1609" t="n">
        <v>343964</v>
      </c>
      <c r="D1609" t="inlineStr">
        <is>
          <t>Acondicionador Pantene Prov Essentials Liso Extremo 750ml</t>
        </is>
      </c>
      <c r="E1609" t="inlineStr">
        <is>
          <t>PANTENE</t>
        </is>
      </c>
      <c r="F1609" t="n">
        <v>1544.85</v>
      </c>
      <c r="G1609" t="n">
        <v>127674</v>
      </c>
      <c r="H1609" t="b">
        <v>0</v>
      </c>
      <c r="I1609" t="n">
        <v>750</v>
      </c>
      <c r="J1609" t="n">
        <v>2.0598</v>
      </c>
      <c r="K1609" t="inlineStr">
        <is>
          <t>&gt; Perfumería &gt; Cuidado Capilar &gt; Acondicionador &gt;</t>
        </is>
      </c>
      <c r="L1609" t="inlineStr">
        <is>
          <t>acondicionador</t>
        </is>
      </c>
      <c r="M1609" t="inlineStr">
        <is>
          <t>profesional</t>
        </is>
      </c>
      <c r="N1609" t="inlineStr">
        <is>
          <t>general</t>
        </is>
      </c>
      <c r="O1609" t="inlineStr">
        <is>
          <t>https://www.disco.com.ar/acondicionador-pantene-prov-essentials-liso-extremo-750ml/p</t>
        </is>
      </c>
    </row>
    <row r="1610">
      <c r="A1610" s="10" t="inlineStr">
        <is>
          <t>Disco</t>
        </is>
      </c>
      <c r="B1610" s="10" t="n">
        <v>345278</v>
      </c>
      <c r="C1610" s="10" t="n">
        <v>343963</v>
      </c>
      <c r="D1610" s="10" t="inlineStr">
        <is>
          <t>Acondicionador Pantene Prov Essentials Liso Extremo 200ml</t>
        </is>
      </c>
      <c r="E1610" s="10" t="inlineStr">
        <is>
          <t>PANTENE</t>
        </is>
      </c>
      <c r="F1610" s="10" t="n">
        <v>566.05</v>
      </c>
      <c r="G1610" s="10" t="n">
        <v>46781</v>
      </c>
      <c r="H1610" s="10" t="b">
        <v>0</v>
      </c>
      <c r="I1610" s="10" t="n">
        <v>200</v>
      </c>
      <c r="J1610" s="10" t="n">
        <v>2.8302</v>
      </c>
      <c r="K1610" s="10" t="inlineStr">
        <is>
          <t>&gt; Perfumería &gt; Cuidado Capilar &gt; Acondicionador &gt;</t>
        </is>
      </c>
      <c r="L1610" s="10" t="inlineStr">
        <is>
          <t>acondicionador</t>
        </is>
      </c>
      <c r="M1610" s="10" t="inlineStr">
        <is>
          <t>profesional</t>
        </is>
      </c>
      <c r="N1610" s="10" t="inlineStr">
        <is>
          <t>general</t>
        </is>
      </c>
      <c r="O1610" s="10" t="inlineStr">
        <is>
          <t>https://www.disco.com.ar/acondicionador-pantene-prov-essentials-liso-extremo-200ml/p</t>
        </is>
      </c>
    </row>
    <row r="1611">
      <c r="A1611" t="inlineStr">
        <is>
          <t>Disco</t>
        </is>
      </c>
      <c r="B1611" t="n">
        <v>345277</v>
      </c>
      <c r="C1611" t="n">
        <v>343962</v>
      </c>
      <c r="D1611" t="inlineStr">
        <is>
          <t>Shampoo Pantene Prov Essentials Liso Extremo 750ml</t>
        </is>
      </c>
      <c r="E1611" t="inlineStr">
        <is>
          <t>PANTENE</t>
        </is>
      </c>
      <c r="F1611" t="n">
        <v>1544.85</v>
      </c>
      <c r="G1611" t="n">
        <v>127674</v>
      </c>
      <c r="H1611" t="b">
        <v>0</v>
      </c>
      <c r="I1611" t="n">
        <v>750</v>
      </c>
      <c r="J1611" t="n">
        <v>2.0598</v>
      </c>
      <c r="K1611" t="inlineStr">
        <is>
          <t>&gt; Perfumería &gt; Cuidado Capilar &gt; Shampoo &gt;</t>
        </is>
      </c>
      <c r="L1611" t="inlineStr">
        <is>
          <t>shampoo</t>
        </is>
      </c>
      <c r="M1611" t="inlineStr">
        <is>
          <t>profesional</t>
        </is>
      </c>
      <c r="N1611" t="inlineStr">
        <is>
          <t>general</t>
        </is>
      </c>
      <c r="O1611" t="inlineStr">
        <is>
          <t>https://www.disco.com.ar/shampoo-pantene-prov-essentials-liso-extremo-750ml/p</t>
        </is>
      </c>
    </row>
    <row r="1612">
      <c r="A1612" s="10" t="inlineStr">
        <is>
          <t>Disco</t>
        </is>
      </c>
      <c r="B1612" s="10" t="n">
        <v>345276</v>
      </c>
      <c r="C1612" s="10" t="n">
        <v>343961</v>
      </c>
      <c r="D1612" s="10" t="inlineStr">
        <is>
          <t>Shampoo Pantene Prov Essentials Liso Extra 200ml</t>
        </is>
      </c>
      <c r="E1612" s="10" t="inlineStr">
        <is>
          <t>PANTENE</t>
        </is>
      </c>
      <c r="F1612" s="10" t="n">
        <v>566.05</v>
      </c>
      <c r="G1612" s="10" t="n">
        <v>46781</v>
      </c>
      <c r="H1612" s="10" t="b">
        <v>0</v>
      </c>
      <c r="I1612" s="10" t="n">
        <v>200</v>
      </c>
      <c r="J1612" s="10" t="n">
        <v>2.8302</v>
      </c>
      <c r="K1612" s="10" t="inlineStr">
        <is>
          <t>&gt; Perfumería &gt; Cuidado Capilar &gt; Shampoo &gt;</t>
        </is>
      </c>
      <c r="L1612" s="10" t="inlineStr">
        <is>
          <t>shampoo</t>
        </is>
      </c>
      <c r="M1612" s="10" t="inlineStr">
        <is>
          <t>profesional</t>
        </is>
      </c>
      <c r="N1612" s="10" t="inlineStr">
        <is>
          <t>general</t>
        </is>
      </c>
      <c r="O1612" s="10" t="inlineStr">
        <is>
          <t>https://www.disco.com.ar/shampoo-pantene-prov-essentials-liso-extra-200ml/p</t>
        </is>
      </c>
    </row>
    <row r="1613">
      <c r="A1613" t="inlineStr">
        <is>
          <t>Disco</t>
        </is>
      </c>
      <c r="B1613" t="n">
        <v>345274</v>
      </c>
      <c r="C1613" t="n">
        <v>343959</v>
      </c>
      <c r="D1613" t="inlineStr">
        <is>
          <t>Shampoo Pantene Prov Essentials Liso Extra 400ml</t>
        </is>
      </c>
      <c r="E1613" t="inlineStr">
        <is>
          <t>PANTENE</t>
        </is>
      </c>
      <c r="F1613" t="n">
        <v>1400</v>
      </c>
      <c r="G1613" t="n">
        <v>115702</v>
      </c>
      <c r="H1613" t="b">
        <v>0</v>
      </c>
      <c r="I1613" t="n">
        <v>400</v>
      </c>
      <c r="J1613" t="n">
        <v>3.5</v>
      </c>
      <c r="K1613" t="inlineStr">
        <is>
          <t>&gt; Perfumería &gt; Cuidado Capilar &gt; Shampoo &gt;</t>
        </is>
      </c>
      <c r="L1613" t="inlineStr">
        <is>
          <t>shampoo</t>
        </is>
      </c>
      <c r="M1613" t="inlineStr">
        <is>
          <t>profesional</t>
        </is>
      </c>
      <c r="N1613" t="inlineStr">
        <is>
          <t>general</t>
        </is>
      </c>
      <c r="O1613" t="inlineStr">
        <is>
          <t>https://www.disco.com.ar/shampoo-pantene-prov-essentials-liso-extra-400ml/p</t>
        </is>
      </c>
    </row>
    <row r="1614">
      <c r="A1614" s="10" t="inlineStr">
        <is>
          <t>Disco</t>
        </is>
      </c>
      <c r="B1614" s="10" t="n">
        <v>345273</v>
      </c>
      <c r="C1614" s="10" t="n">
        <v>343958</v>
      </c>
      <c r="D1614" s="10" t="inlineStr">
        <is>
          <t>Acondicionador Pantene Prov Essentials Hidratante 400ml</t>
        </is>
      </c>
      <c r="E1614" s="10" t="inlineStr">
        <is>
          <t>PANTENE</t>
        </is>
      </c>
      <c r="F1614" s="10" t="n">
        <v>858.79</v>
      </c>
      <c r="G1614" s="10" t="n">
        <v>70974</v>
      </c>
      <c r="H1614" s="10" t="b">
        <v>0</v>
      </c>
      <c r="I1614" s="10" t="n">
        <v>400</v>
      </c>
      <c r="J1614" s="10" t="n">
        <v>2.147</v>
      </c>
      <c r="K1614" s="10" t="inlineStr">
        <is>
          <t>&gt; Perfumería &gt; Cuidado Capilar &gt; Acondicionador &gt;</t>
        </is>
      </c>
      <c r="L1614" s="10" t="inlineStr">
        <is>
          <t>acondicionador</t>
        </is>
      </c>
      <c r="M1614" s="10" t="inlineStr">
        <is>
          <t>profesional</t>
        </is>
      </c>
      <c r="N1614" s="10" t="inlineStr">
        <is>
          <t>seco_danado</t>
        </is>
      </c>
      <c r="O1614" s="10" t="inlineStr">
        <is>
          <t>https://www.disco.com.ar/acondicionador-pantene-prov-essentials-hidratante-400ml/p</t>
        </is>
      </c>
    </row>
    <row r="1615">
      <c r="A1615" t="inlineStr">
        <is>
          <t>Disco</t>
        </is>
      </c>
      <c r="B1615" t="n">
        <v>345132</v>
      </c>
      <c r="C1615" t="n">
        <v>343817</v>
      </c>
      <c r="D1615" t="inlineStr">
        <is>
          <t>Shampoo Pantene Prov Essentials Restauración 200ml</t>
        </is>
      </c>
      <c r="E1615" t="inlineStr">
        <is>
          <t>PANTENE</t>
        </is>
      </c>
      <c r="F1615" t="n">
        <v>510.99</v>
      </c>
      <c r="G1615" t="n">
        <v>42231</v>
      </c>
      <c r="H1615" t="b">
        <v>0</v>
      </c>
      <c r="I1615" t="n">
        <v>200</v>
      </c>
      <c r="J1615" t="n">
        <v>2.5549</v>
      </c>
      <c r="K1615" t="inlineStr">
        <is>
          <t>&gt; Perfumería &gt; Cuidado Capilar &gt; Shampoo &gt;</t>
        </is>
      </c>
      <c r="L1615" t="inlineStr">
        <is>
          <t>shampoo</t>
        </is>
      </c>
      <c r="M1615" t="inlineStr">
        <is>
          <t>profesional</t>
        </is>
      </c>
      <c r="N1615" t="inlineStr">
        <is>
          <t>general</t>
        </is>
      </c>
      <c r="O1615" t="inlineStr">
        <is>
          <t>https://www.disco.com.ar/shampoo-pantene-prov-essentials-restauracion-200ml/p</t>
        </is>
      </c>
    </row>
    <row r="1616">
      <c r="A1616" s="10" t="inlineStr">
        <is>
          <t>Disco</t>
        </is>
      </c>
      <c r="B1616" s="10" t="n">
        <v>345113</v>
      </c>
      <c r="C1616" s="10" t="n">
        <v>343798</v>
      </c>
      <c r="D1616" s="10" t="inlineStr">
        <is>
          <t>Shampoo Pantene Prov Essentials Micelar 400ml</t>
        </is>
      </c>
      <c r="E1616" s="10" t="inlineStr">
        <is>
          <t>PANTENE</t>
        </is>
      </c>
      <c r="F1616" s="10" t="n">
        <v>858.79</v>
      </c>
      <c r="G1616" s="10" t="n">
        <v>70974</v>
      </c>
      <c r="H1616" s="10" t="b">
        <v>0</v>
      </c>
      <c r="I1616" s="10" t="n">
        <v>400</v>
      </c>
      <c r="J1616" s="10" t="n">
        <v>2.147</v>
      </c>
      <c r="K1616" s="10" t="inlineStr">
        <is>
          <t>&gt; Perfumería &gt; Cuidado Capilar &gt; Shampoo &gt;</t>
        </is>
      </c>
      <c r="L1616" s="10" t="inlineStr">
        <is>
          <t>shampoo</t>
        </is>
      </c>
      <c r="M1616" s="10" t="inlineStr">
        <is>
          <t>profesional</t>
        </is>
      </c>
      <c r="N1616" s="10" t="inlineStr">
        <is>
          <t>general</t>
        </is>
      </c>
      <c r="O1616" s="10" t="inlineStr">
        <is>
          <t>https://www.disco.com.ar/shampoo-pantene-prov-essentials-micelar-400ml-2/p</t>
        </is>
      </c>
    </row>
    <row r="1617">
      <c r="A1617" t="inlineStr">
        <is>
          <t>Disco</t>
        </is>
      </c>
      <c r="B1617" t="n">
        <v>345112</v>
      </c>
      <c r="C1617" t="n">
        <v>343797</v>
      </c>
      <c r="D1617" t="inlineStr">
        <is>
          <t>Acondicionador Pantene Prov Essentials Brillo 750ml</t>
        </is>
      </c>
      <c r="E1617" t="inlineStr">
        <is>
          <t>PANTENE</t>
        </is>
      </c>
      <c r="F1617" t="n">
        <v>1450.49</v>
      </c>
      <c r="G1617" t="n">
        <v>119875</v>
      </c>
      <c r="H1617" t="b">
        <v>0</v>
      </c>
      <c r="I1617" t="n">
        <v>750</v>
      </c>
      <c r="J1617" t="n">
        <v>1.934</v>
      </c>
      <c r="K1617" t="inlineStr">
        <is>
          <t>&gt; Perfumería &gt; Cuidado Capilar &gt; Acondicionador &gt;</t>
        </is>
      </c>
      <c r="L1617" t="inlineStr">
        <is>
          <t>acondicionador</t>
        </is>
      </c>
      <c r="M1617" t="inlineStr">
        <is>
          <t>profesional</t>
        </is>
      </c>
      <c r="N1617" t="inlineStr">
        <is>
          <t>general</t>
        </is>
      </c>
      <c r="O1617" t="inlineStr">
        <is>
          <t>https://www.disco.com.ar/acondicionador-pantene-prov-essentials-brillo-750ml/p</t>
        </is>
      </c>
    </row>
    <row r="1618">
      <c r="A1618" s="10" t="inlineStr">
        <is>
          <t>Disco</t>
        </is>
      </c>
      <c r="B1618" s="10" t="n">
        <v>345111</v>
      </c>
      <c r="C1618" s="10" t="n">
        <v>343796</v>
      </c>
      <c r="D1618" s="10" t="inlineStr">
        <is>
          <t>Shampoo Pantene Prov Essentials Micelar 200ml</t>
        </is>
      </c>
      <c r="E1618" s="10" t="inlineStr">
        <is>
          <t>PANTENE</t>
        </is>
      </c>
      <c r="F1618" s="10" t="n">
        <v>613.6900000000001</v>
      </c>
      <c r="G1618" s="10" t="n">
        <v>50718</v>
      </c>
      <c r="H1618" s="10" t="b">
        <v>0</v>
      </c>
      <c r="I1618" s="10" t="n">
        <v>200</v>
      </c>
      <c r="J1618" s="10" t="n">
        <v>3.0685</v>
      </c>
      <c r="K1618" s="10" t="inlineStr">
        <is>
          <t>&gt; Perfumería &gt; Cuidado Capilar &gt; Shampoo &gt;</t>
        </is>
      </c>
      <c r="L1618" s="10" t="inlineStr">
        <is>
          <t>shampoo</t>
        </is>
      </c>
      <c r="M1618" s="10" t="inlineStr">
        <is>
          <t>profesional</t>
        </is>
      </c>
      <c r="N1618" s="10" t="inlineStr">
        <is>
          <t>general</t>
        </is>
      </c>
      <c r="O1618" s="10" t="inlineStr">
        <is>
          <t>https://www.disco.com.ar/shampoo-pantene-prov-essentials-micelar-200ml-2/p</t>
        </is>
      </c>
    </row>
    <row r="1619">
      <c r="A1619" t="inlineStr">
        <is>
          <t>Disco</t>
        </is>
      </c>
      <c r="B1619" t="n">
        <v>345110</v>
      </c>
      <c r="C1619" t="n">
        <v>343795</v>
      </c>
      <c r="D1619" t="inlineStr">
        <is>
          <t>Shampoo Pantene Prov Essentials Brillo 750ml..</t>
        </is>
      </c>
      <c r="E1619" t="inlineStr">
        <is>
          <t>PANTENE</t>
        </is>
      </c>
      <c r="F1619" t="n">
        <v>1496.95</v>
      </c>
      <c r="G1619" t="n">
        <v>123715</v>
      </c>
      <c r="H1619" t="b">
        <v>0</v>
      </c>
      <c r="I1619" t="n">
        <v>750</v>
      </c>
      <c r="J1619" t="n">
        <v>1.9959</v>
      </c>
      <c r="K1619" t="inlineStr">
        <is>
          <t>&gt; Perfumería &gt; Cuidado Capilar &gt; Shampoo &gt;</t>
        </is>
      </c>
      <c r="L1619" t="inlineStr">
        <is>
          <t>shampoo</t>
        </is>
      </c>
      <c r="M1619" t="inlineStr">
        <is>
          <t>profesional</t>
        </is>
      </c>
      <c r="N1619" t="inlineStr">
        <is>
          <t>general</t>
        </is>
      </c>
      <c r="O1619" t="inlineStr">
        <is>
          <t>https://www.disco.com.ar/shampoo-pantene-prov-essentials-brillo-750ml-2/p</t>
        </is>
      </c>
    </row>
    <row r="1620">
      <c r="A1620" s="10" t="inlineStr">
        <is>
          <t>Disco</t>
        </is>
      </c>
      <c r="B1620" s="10" t="n">
        <v>345108</v>
      </c>
      <c r="C1620" s="10" t="n">
        <v>343793</v>
      </c>
      <c r="D1620" s="10" t="inlineStr">
        <is>
          <t>Shampoo Pantene Prov Essentials Brillo 400ml</t>
        </is>
      </c>
      <c r="E1620" s="10" t="inlineStr">
        <is>
          <t>PANTENE</t>
        </is>
      </c>
      <c r="F1620" s="10" t="n">
        <v>858.79</v>
      </c>
      <c r="G1620" s="10" t="n">
        <v>70974</v>
      </c>
      <c r="H1620" s="10" t="b">
        <v>0</v>
      </c>
      <c r="I1620" s="10" t="n">
        <v>400</v>
      </c>
      <c r="J1620" s="10" t="n">
        <v>2.147</v>
      </c>
      <c r="K1620" s="10" t="inlineStr">
        <is>
          <t>&gt; Perfumería &gt; Cuidado Capilar &gt; Shampoo &gt;</t>
        </is>
      </c>
      <c r="L1620" s="10" t="inlineStr">
        <is>
          <t>shampoo</t>
        </is>
      </c>
      <c r="M1620" s="10" t="inlineStr">
        <is>
          <t>profesional</t>
        </is>
      </c>
      <c r="N1620" s="10" t="inlineStr">
        <is>
          <t>general</t>
        </is>
      </c>
      <c r="O1620" s="10" t="inlineStr">
        <is>
          <t>https://www.disco.com.ar/shampoo-pantene-prov-essentials-brillo-400ml-2/p</t>
        </is>
      </c>
    </row>
    <row r="1621">
      <c r="A1621" t="inlineStr">
        <is>
          <t>Disco</t>
        </is>
      </c>
      <c r="B1621" t="n">
        <v>345106</v>
      </c>
      <c r="C1621" t="n">
        <v>343791</v>
      </c>
      <c r="D1621" t="inlineStr">
        <is>
          <t>Shampoo Pantene Prov Essentials Brillo 200ml</t>
        </is>
      </c>
      <c r="E1621" t="inlineStr">
        <is>
          <t>PANTENE</t>
        </is>
      </c>
      <c r="F1621" t="n">
        <v>1100</v>
      </c>
      <c r="G1621" t="n">
        <v>90909</v>
      </c>
      <c r="H1621" t="b">
        <v>0</v>
      </c>
      <c r="I1621" t="n">
        <v>200</v>
      </c>
      <c r="J1621" t="n">
        <v>5.5</v>
      </c>
      <c r="K1621" t="inlineStr">
        <is>
          <t>&gt; Perfumería &gt; Cuidado Capilar &gt; Shampoo &gt;</t>
        </is>
      </c>
      <c r="L1621" t="inlineStr">
        <is>
          <t>shampoo</t>
        </is>
      </c>
      <c r="M1621" t="inlineStr">
        <is>
          <t>profesional</t>
        </is>
      </c>
      <c r="N1621" t="inlineStr">
        <is>
          <t>general</t>
        </is>
      </c>
      <c r="O1621" t="inlineStr">
        <is>
          <t>https://www.disco.com.ar/shampoo-pantene-prov-essentials-brillo-200ml-2/p</t>
        </is>
      </c>
    </row>
    <row r="1622">
      <c r="A1622" s="10" t="inlineStr">
        <is>
          <t>Disco</t>
        </is>
      </c>
      <c r="B1622" s="10" t="n">
        <v>345104</v>
      </c>
      <c r="C1622" s="10" t="n">
        <v>343789</v>
      </c>
      <c r="D1622" s="10" t="inlineStr">
        <is>
          <t>Acondicionador Pantene Prov Essentials Fuerza 400ml</t>
        </is>
      </c>
      <c r="E1622" s="10" t="inlineStr">
        <is>
          <t>PANTENE</t>
        </is>
      </c>
      <c r="F1622" s="10" t="n">
        <v>1550</v>
      </c>
      <c r="G1622" s="10" t="n">
        <v>128099</v>
      </c>
      <c r="H1622" s="10" t="b">
        <v>0</v>
      </c>
      <c r="I1622" s="10" t="n">
        <v>400</v>
      </c>
      <c r="J1622" s="10" t="n">
        <v>3.875</v>
      </c>
      <c r="K1622" s="10" t="inlineStr">
        <is>
          <t>&gt; Perfumería &gt; Cuidado Capilar &gt; Acondicionador &gt;</t>
        </is>
      </c>
      <c r="L1622" s="10" t="inlineStr">
        <is>
          <t>acondicionador</t>
        </is>
      </c>
      <c r="M1622" s="10" t="inlineStr">
        <is>
          <t>profesional</t>
        </is>
      </c>
      <c r="N1622" s="10" t="inlineStr">
        <is>
          <t>general</t>
        </is>
      </c>
      <c r="O1622" s="10" t="inlineStr">
        <is>
          <t>https://www.disco.com.ar/acondicionador-pantene-prov-essentials-fuerza-400ml/p</t>
        </is>
      </c>
    </row>
    <row r="1623">
      <c r="A1623" t="inlineStr">
        <is>
          <t>Disco</t>
        </is>
      </c>
      <c r="B1623" t="n">
        <v>345103</v>
      </c>
      <c r="C1623" t="n">
        <v>343788</v>
      </c>
      <c r="D1623" t="inlineStr">
        <is>
          <t>Acondicionador Pantene Pro-v Essentials Fuerza 200 Ml</t>
        </is>
      </c>
      <c r="E1623" t="inlineStr">
        <is>
          <t>PANTENE</t>
        </is>
      </c>
      <c r="F1623" t="n">
        <v>650</v>
      </c>
      <c r="G1623" t="n">
        <v>53719</v>
      </c>
      <c r="H1623" t="b">
        <v>0</v>
      </c>
      <c r="I1623" t="n">
        <v>200</v>
      </c>
      <c r="J1623" t="n">
        <v>3.25</v>
      </c>
      <c r="K1623" t="inlineStr">
        <is>
          <t>&gt; Perfumería &gt; Cuidado Capilar &gt; Acondicionador &gt;</t>
        </is>
      </c>
      <c r="L1623" t="inlineStr">
        <is>
          <t>acondicionador</t>
        </is>
      </c>
      <c r="M1623" t="inlineStr">
        <is>
          <t>profesional</t>
        </is>
      </c>
      <c r="N1623" t="inlineStr">
        <is>
          <t>general</t>
        </is>
      </c>
      <c r="O1623" t="inlineStr">
        <is>
          <t>https://www.disco.com.ar/acondicionador-pantene-pro-v-essentials-fuerza-200-ml/p</t>
        </is>
      </c>
    </row>
    <row r="1624">
      <c r="A1624" s="10" t="inlineStr">
        <is>
          <t>Disco</t>
        </is>
      </c>
      <c r="B1624" s="10" t="n">
        <v>345102</v>
      </c>
      <c r="C1624" s="10" t="n">
        <v>343787</v>
      </c>
      <c r="D1624" s="10" t="inlineStr">
        <is>
          <t>Shampoo Pantene Prov Essentials Fuerza 750ml</t>
        </is>
      </c>
      <c r="E1624" s="10" t="inlineStr">
        <is>
          <t>PANTENE</t>
        </is>
      </c>
      <c r="F1624" s="10" t="n">
        <v>1461.79</v>
      </c>
      <c r="G1624" s="10" t="n">
        <v>120809</v>
      </c>
      <c r="H1624" s="10" t="b">
        <v>0</v>
      </c>
      <c r="I1624" s="10" t="n">
        <v>750</v>
      </c>
      <c r="J1624" s="10" t="n">
        <v>1.9491</v>
      </c>
      <c r="K1624" s="10" t="inlineStr">
        <is>
          <t>&gt; Perfumería &gt; Cuidado Capilar &gt; Shampoo &gt;</t>
        </is>
      </c>
      <c r="L1624" s="10" t="inlineStr">
        <is>
          <t>shampoo</t>
        </is>
      </c>
      <c r="M1624" s="10" t="inlineStr">
        <is>
          <t>profesional</t>
        </is>
      </c>
      <c r="N1624" s="10" t="inlineStr">
        <is>
          <t>general</t>
        </is>
      </c>
      <c r="O1624" s="10" t="inlineStr">
        <is>
          <t>https://www.disco.com.ar/shampoo-pantene-prov-essentials-fuerza-750ml-2/p</t>
        </is>
      </c>
    </row>
    <row r="1625">
      <c r="A1625" t="inlineStr">
        <is>
          <t>Disco</t>
        </is>
      </c>
      <c r="B1625" t="n">
        <v>345101</v>
      </c>
      <c r="C1625" t="n">
        <v>343786</v>
      </c>
      <c r="D1625" t="inlineStr">
        <is>
          <t>Shampoo Pantene Prov Essentials Fuerza 400ml</t>
        </is>
      </c>
      <c r="E1625" t="inlineStr">
        <is>
          <t>PANTENE</t>
        </is>
      </c>
      <c r="F1625" t="n">
        <v>10000</v>
      </c>
      <c r="G1625" t="n">
        <v>826446</v>
      </c>
      <c r="H1625" t="b">
        <v>0</v>
      </c>
      <c r="I1625" t="n">
        <v>400</v>
      </c>
      <c r="J1625" t="n">
        <v>25</v>
      </c>
      <c r="K1625" t="inlineStr">
        <is>
          <t>&gt; Perfumería &gt; Cuidado Capilar &gt; Shampoo &gt;</t>
        </is>
      </c>
      <c r="L1625" t="inlineStr">
        <is>
          <t>shampoo</t>
        </is>
      </c>
      <c r="M1625" t="inlineStr">
        <is>
          <t>profesional</t>
        </is>
      </c>
      <c r="N1625" t="inlineStr">
        <is>
          <t>general</t>
        </is>
      </c>
      <c r="O1625" t="inlineStr">
        <is>
          <t>https://www.disco.com.ar/shampoo-pantene-prov-essentials-fuerza-400ml-2/p</t>
        </is>
      </c>
    </row>
    <row r="1626">
      <c r="A1626" s="10" t="inlineStr">
        <is>
          <t>Disco</t>
        </is>
      </c>
      <c r="B1626" s="10" t="n">
        <v>345099</v>
      </c>
      <c r="C1626" s="10" t="n">
        <v>343784</v>
      </c>
      <c r="D1626" s="10" t="inlineStr">
        <is>
          <t>Shampoo Pantene Prov Essentials Fuerza 200ml</t>
        </is>
      </c>
      <c r="E1626" s="10" t="inlineStr">
        <is>
          <t>PANTENE</t>
        </is>
      </c>
      <c r="F1626" s="10" t="n">
        <v>327.39</v>
      </c>
      <c r="G1626" s="10" t="n">
        <v>27057</v>
      </c>
      <c r="H1626" s="10" t="b">
        <v>0</v>
      </c>
      <c r="I1626" s="10" t="n">
        <v>200</v>
      </c>
      <c r="J1626" s="10" t="n">
        <v>1.6369</v>
      </c>
      <c r="K1626" s="10" t="inlineStr">
        <is>
          <t>&gt; Perfumería &gt; Cuidado Capilar &gt; Shampoo &gt;</t>
        </is>
      </c>
      <c r="L1626" s="10" t="inlineStr">
        <is>
          <t>shampoo</t>
        </is>
      </c>
      <c r="M1626" s="10" t="inlineStr">
        <is>
          <t>profesional</t>
        </is>
      </c>
      <c r="N1626" s="10" t="inlineStr">
        <is>
          <t>general</t>
        </is>
      </c>
      <c r="O1626" s="10" t="inlineStr">
        <is>
          <t>https://www.disco.com.ar/shampoo-pantene-prov-essentials-fuerza-200ml-2/p</t>
        </is>
      </c>
    </row>
    <row r="1627">
      <c r="A1627" t="inlineStr">
        <is>
          <t>Disco</t>
        </is>
      </c>
      <c r="B1627" t="n">
        <v>345080</v>
      </c>
      <c r="C1627" t="n">
        <v>343765</v>
      </c>
      <c r="D1627" t="inlineStr">
        <is>
          <t>Acondicionador Pantene Pro-v Essentials Micelar 200 Ml</t>
        </is>
      </c>
      <c r="E1627" t="inlineStr">
        <is>
          <t>PANTENE</t>
        </is>
      </c>
      <c r="F1627" t="n">
        <v>1000</v>
      </c>
      <c r="G1627" t="n">
        <v>82645</v>
      </c>
      <c r="H1627" t="b">
        <v>0</v>
      </c>
      <c r="I1627" t="n">
        <v>200</v>
      </c>
      <c r="J1627" t="n">
        <v>5</v>
      </c>
      <c r="K1627" t="inlineStr">
        <is>
          <t>&gt; Perfumería &gt; Cuidado Capilar &gt; Acondicionador &gt;</t>
        </is>
      </c>
      <c r="L1627" t="inlineStr">
        <is>
          <t>acondicionador</t>
        </is>
      </c>
      <c r="M1627" t="inlineStr">
        <is>
          <t>profesional</t>
        </is>
      </c>
      <c r="N1627" t="inlineStr">
        <is>
          <t>general</t>
        </is>
      </c>
      <c r="O1627" t="inlineStr">
        <is>
          <t>https://www.disco.com.ar/acondicionador-pantene-pro-v-essentials-micelar-200-ml/p</t>
        </is>
      </c>
    </row>
    <row r="1628">
      <c r="A1628" s="10" t="inlineStr">
        <is>
          <t>Disco</t>
        </is>
      </c>
      <c r="B1628" s="10" t="n">
        <v>345073</v>
      </c>
      <c r="C1628" s="10" t="n">
        <v>343758</v>
      </c>
      <c r="D1628" s="10" t="inlineStr">
        <is>
          <t>Shampoo Pantene Prov Essentials Micelar 750ml</t>
        </is>
      </c>
      <c r="E1628" s="10" t="inlineStr">
        <is>
          <t>PANTENE</t>
        </is>
      </c>
      <c r="F1628" s="10" t="n">
        <v>1544.85</v>
      </c>
      <c r="G1628" s="10" t="n">
        <v>127674</v>
      </c>
      <c r="H1628" s="10" t="b">
        <v>0</v>
      </c>
      <c r="I1628" s="10" t="n">
        <v>750</v>
      </c>
      <c r="J1628" s="10" t="n">
        <v>2.0598</v>
      </c>
      <c r="K1628" s="10" t="inlineStr">
        <is>
          <t>&gt; Perfumería &gt; Cuidado Capilar &gt; Shampoo &gt;</t>
        </is>
      </c>
      <c r="L1628" s="10" t="inlineStr">
        <is>
          <t>shampoo</t>
        </is>
      </c>
      <c r="M1628" s="10" t="inlineStr">
        <is>
          <t>profesional</t>
        </is>
      </c>
      <c r="N1628" s="10" t="inlineStr">
        <is>
          <t>general</t>
        </is>
      </c>
      <c r="O1628" s="10" t="inlineStr">
        <is>
          <t>https://www.disco.com.ar/shampoo-pantene-prov-essentials-micelar-750ml-2/p</t>
        </is>
      </c>
    </row>
    <row r="1629">
      <c r="A1629" t="inlineStr">
        <is>
          <t>Disco</t>
        </is>
      </c>
      <c r="B1629" t="n">
        <v>345057</v>
      </c>
      <c r="C1629" t="n">
        <v>343742</v>
      </c>
      <c r="D1629" t="inlineStr">
        <is>
          <t>Shampoo Pantene Prov Essentials Hidrat 750ml</t>
        </is>
      </c>
      <c r="E1629" t="inlineStr">
        <is>
          <t>PANTENE</t>
        </is>
      </c>
      <c r="F1629" t="n">
        <v>1450.49</v>
      </c>
      <c r="G1629" t="n">
        <v>119875</v>
      </c>
      <c r="H1629" t="b">
        <v>0</v>
      </c>
      <c r="I1629" t="n">
        <v>750</v>
      </c>
      <c r="J1629" t="n">
        <v>1.934</v>
      </c>
      <c r="K1629" t="inlineStr">
        <is>
          <t>&gt; Perfumería &gt; Cuidado Capilar &gt; Shampoo &gt;</t>
        </is>
      </c>
      <c r="L1629" t="inlineStr">
        <is>
          <t>shampoo</t>
        </is>
      </c>
      <c r="M1629" t="inlineStr">
        <is>
          <t>profesional</t>
        </is>
      </c>
      <c r="N1629" t="inlineStr">
        <is>
          <t>seco_danado</t>
        </is>
      </c>
      <c r="O1629" t="inlineStr">
        <is>
          <t>https://www.disco.com.ar/shampoo-pantene-prov-essentials-hidrat-750ml/p</t>
        </is>
      </c>
    </row>
    <row r="1630">
      <c r="A1630" s="10" t="inlineStr">
        <is>
          <t>Disco</t>
        </is>
      </c>
      <c r="B1630" s="10" t="n">
        <v>345055</v>
      </c>
      <c r="C1630" s="10" t="n">
        <v>343740</v>
      </c>
      <c r="D1630" s="10" t="inlineStr">
        <is>
          <t>Shampoo Pantene Prov Essentials Hidrat 200ml</t>
        </is>
      </c>
      <c r="E1630" s="10" t="inlineStr">
        <is>
          <t>PANTENE</t>
        </is>
      </c>
      <c r="F1630" s="10" t="n">
        <v>346.63</v>
      </c>
      <c r="G1630" s="10" t="n">
        <v>28647</v>
      </c>
      <c r="H1630" s="10" t="b">
        <v>0</v>
      </c>
      <c r="I1630" s="10" t="n">
        <v>200</v>
      </c>
      <c r="J1630" s="10" t="n">
        <v>1.7331</v>
      </c>
      <c r="K1630" s="10" t="inlineStr">
        <is>
          <t>&gt; Perfumería &gt; Cuidado Capilar &gt; Shampoo &gt;</t>
        </is>
      </c>
      <c r="L1630" s="10" t="inlineStr">
        <is>
          <t>shampoo</t>
        </is>
      </c>
      <c r="M1630" s="10" t="inlineStr">
        <is>
          <t>profesional</t>
        </is>
      </c>
      <c r="N1630" s="10" t="inlineStr">
        <is>
          <t>seco_danado</t>
        </is>
      </c>
      <c r="O1630" s="10" t="inlineStr">
        <is>
          <t>https://www.disco.com.ar/shampoo-pantene-prov-essentials-hidrat-200ml-2/p</t>
        </is>
      </c>
    </row>
    <row r="1631">
      <c r="A1631" t="inlineStr">
        <is>
          <t>Disco</t>
        </is>
      </c>
      <c r="B1631" t="n">
        <v>345054</v>
      </c>
      <c r="C1631" t="n">
        <v>343739</v>
      </c>
      <c r="D1631" t="inlineStr">
        <is>
          <t>Shampoo Pantene Prov Essentials Hidratacion 400ml</t>
        </is>
      </c>
      <c r="E1631" t="inlineStr">
        <is>
          <t>PANTENE</t>
        </is>
      </c>
      <c r="F1631" t="n">
        <v>858.79</v>
      </c>
      <c r="G1631" t="n">
        <v>70974</v>
      </c>
      <c r="H1631" t="b">
        <v>0</v>
      </c>
      <c r="I1631" t="n">
        <v>400</v>
      </c>
      <c r="J1631" t="n">
        <v>2.147</v>
      </c>
      <c r="K1631" t="inlineStr">
        <is>
          <t>&gt; Perfumería &gt; Cuidado Capilar &gt; Shampoo &gt;</t>
        </is>
      </c>
      <c r="L1631" t="inlineStr">
        <is>
          <t>shampoo</t>
        </is>
      </c>
      <c r="M1631" t="inlineStr">
        <is>
          <t>profesional</t>
        </is>
      </c>
      <c r="N1631" t="inlineStr">
        <is>
          <t>seco_danado</t>
        </is>
      </c>
      <c r="O1631" t="inlineStr">
        <is>
          <t>https://www.disco.com.ar/shampoo-pantene-prov-essentials-hidratacion-400ml/p</t>
        </is>
      </c>
    </row>
    <row r="1632">
      <c r="A1632" s="10" t="inlineStr">
        <is>
          <t>Disco</t>
        </is>
      </c>
      <c r="B1632" s="10" t="n">
        <v>345052</v>
      </c>
      <c r="C1632" s="10" t="n">
        <v>343737</v>
      </c>
      <c r="D1632" s="10" t="inlineStr">
        <is>
          <t>Acondicionador Pantene Prov Essentials Micelar 750ml</t>
        </is>
      </c>
      <c r="E1632" s="10" t="inlineStr">
        <is>
          <t>PANTENE</t>
        </is>
      </c>
      <c r="F1632" s="10" t="n">
        <v>1544.85</v>
      </c>
      <c r="G1632" s="10" t="n">
        <v>127674</v>
      </c>
      <c r="H1632" s="10" t="b">
        <v>0</v>
      </c>
      <c r="I1632" s="10" t="n">
        <v>750</v>
      </c>
      <c r="J1632" s="10" t="n">
        <v>2.0598</v>
      </c>
      <c r="K1632" s="10" t="inlineStr">
        <is>
          <t>&gt; Perfumería &gt; Cuidado Capilar &gt; Acondicionador &gt;</t>
        </is>
      </c>
      <c r="L1632" s="10" t="inlineStr">
        <is>
          <t>acondicionador</t>
        </is>
      </c>
      <c r="M1632" s="10" t="inlineStr">
        <is>
          <t>profesional</t>
        </is>
      </c>
      <c r="N1632" s="10" t="inlineStr">
        <is>
          <t>general</t>
        </is>
      </c>
      <c r="O1632" s="10" t="inlineStr">
        <is>
          <t>https://www.disco.com.ar/acondicionador-pantene-prov-essentials-micelar-750ml/p</t>
        </is>
      </c>
    </row>
    <row r="1633">
      <c r="A1633" t="inlineStr">
        <is>
          <t>Disco</t>
        </is>
      </c>
      <c r="B1633" t="n">
        <v>332835</v>
      </c>
      <c r="C1633" t="n">
        <v>331983</v>
      </c>
      <c r="D1633" t="inlineStr">
        <is>
          <t>Shampoo Pantene Pro-v Miracles Hidratación Extrema 750 Ml</t>
        </is>
      </c>
      <c r="E1633" t="inlineStr">
        <is>
          <t>PANTENE</t>
        </is>
      </c>
      <c r="F1633" t="n">
        <v>950</v>
      </c>
      <c r="G1633" t="n">
        <v>78512</v>
      </c>
      <c r="H1633" t="b">
        <v>0</v>
      </c>
      <c r="I1633" t="n">
        <v>750</v>
      </c>
      <c r="J1633" t="n">
        <v>1.2667</v>
      </c>
      <c r="K1633" t="inlineStr">
        <is>
          <t>&gt; Perfumería &gt; Cuidado Capilar &gt; Shampoo &gt;</t>
        </is>
      </c>
      <c r="L1633" t="inlineStr">
        <is>
          <t>shampoo</t>
        </is>
      </c>
      <c r="M1633" t="inlineStr">
        <is>
          <t>profesional</t>
        </is>
      </c>
      <c r="N1633" t="inlineStr">
        <is>
          <t>seco_danado</t>
        </is>
      </c>
      <c r="O1633" t="inlineStr">
        <is>
          <t>https://www.disco.com.ar/shampoo-pantene-pro-v-miracles-hidratacion-extrema-750-ml/p</t>
        </is>
      </c>
    </row>
    <row r="1634">
      <c r="A1634" s="10" t="inlineStr">
        <is>
          <t>Disco</t>
        </is>
      </c>
      <c r="B1634" s="10" t="n">
        <v>332833</v>
      </c>
      <c r="C1634" s="10" t="n">
        <v>331981</v>
      </c>
      <c r="D1634" s="10" t="inlineStr">
        <is>
          <t>Aceite / óleo Poderoso Pantene Pro-v Repara 95 Ml</t>
        </is>
      </c>
      <c r="E1634" s="10" t="inlineStr">
        <is>
          <t>PANTENE</t>
        </is>
      </c>
      <c r="F1634" s="10" t="n">
        <v>13000</v>
      </c>
      <c r="G1634" s="10" t="n">
        <v>1074380</v>
      </c>
      <c r="H1634" s="10" t="b">
        <v>0</v>
      </c>
      <c r="I1634" s="10" t="n">
        <v>95</v>
      </c>
      <c r="J1634" s="10" t="n">
        <v>136.8421</v>
      </c>
      <c r="K1634" s="10" t="inlineStr">
        <is>
          <t>&gt; Perfumería &gt; Cuidado Capilar &gt; Reparación y Tratamientos &gt;</t>
        </is>
      </c>
      <c r="L1634" s="10" t="inlineStr">
        <is>
          <t>shampoo</t>
        </is>
      </c>
      <c r="M1634" s="10" t="inlineStr">
        <is>
          <t>profesional</t>
        </is>
      </c>
      <c r="N1634" s="10" t="inlineStr">
        <is>
          <t>general</t>
        </is>
      </c>
      <c r="O1634" s="10" t="inlineStr">
        <is>
          <t>https://www.disco.com.ar/aceite-oleo-poderoso-pantene-pro-v-repara-95-ml/p</t>
        </is>
      </c>
    </row>
    <row r="1635">
      <c r="A1635" t="inlineStr">
        <is>
          <t>Disco</t>
        </is>
      </c>
      <c r="B1635" t="n">
        <v>332832</v>
      </c>
      <c r="C1635" t="n">
        <v>331980</v>
      </c>
      <c r="D1635" t="inlineStr">
        <is>
          <t>Acondicionador Pantene Pro-v Miracles Hidratación Extrema 400 Ml</t>
        </is>
      </c>
      <c r="E1635" t="inlineStr">
        <is>
          <t>PANTENE</t>
        </is>
      </c>
      <c r="F1635" t="n">
        <v>415.95</v>
      </c>
      <c r="G1635" t="n">
        <v>34376</v>
      </c>
      <c r="H1635" t="b">
        <v>0</v>
      </c>
      <c r="I1635" t="n">
        <v>400</v>
      </c>
      <c r="J1635" t="n">
        <v>1.0399</v>
      </c>
      <c r="K1635" t="inlineStr">
        <is>
          <t>&gt; Perfumería &gt; Cuidado Capilar &gt; Acondicionador &gt;</t>
        </is>
      </c>
      <c r="L1635" t="inlineStr">
        <is>
          <t>acondicionador</t>
        </is>
      </c>
      <c r="M1635" t="inlineStr">
        <is>
          <t>profesional</t>
        </is>
      </c>
      <c r="N1635" t="inlineStr">
        <is>
          <t>seco_danado</t>
        </is>
      </c>
      <c r="O1635" t="inlineStr">
        <is>
          <t>https://www.disco.com.ar/acondicionador-pantene-pro-v-miracles-hidratacion-extrema-400-ml/p</t>
        </is>
      </c>
    </row>
    <row r="1636">
      <c r="A1636" s="10" t="inlineStr">
        <is>
          <t>Disco</t>
        </is>
      </c>
      <c r="B1636" s="10" t="n">
        <v>332831</v>
      </c>
      <c r="C1636" s="10" t="n">
        <v>331979</v>
      </c>
      <c r="D1636" s="10" t="inlineStr">
        <is>
          <t>Acondicionador Pantene Pro-v Miracles Hidratación 400 Ml</t>
        </is>
      </c>
      <c r="E1636" s="10" t="inlineStr">
        <is>
          <t>PANTENE</t>
        </is>
      </c>
      <c r="F1636" s="10" t="n">
        <v>415.95</v>
      </c>
      <c r="G1636" s="10" t="n">
        <v>34376</v>
      </c>
      <c r="H1636" s="10" t="b">
        <v>0</v>
      </c>
      <c r="I1636" s="10" t="n">
        <v>400</v>
      </c>
      <c r="J1636" s="10" t="n">
        <v>1.0399</v>
      </c>
      <c r="K1636" s="10" t="inlineStr">
        <is>
          <t>&gt; Perfumería &gt; Cuidado Capilar &gt; Acondicionador &gt;</t>
        </is>
      </c>
      <c r="L1636" s="10" t="inlineStr">
        <is>
          <t>acondicionador</t>
        </is>
      </c>
      <c r="M1636" s="10" t="inlineStr">
        <is>
          <t>profesional</t>
        </is>
      </c>
      <c r="N1636" s="10" t="inlineStr">
        <is>
          <t>seco_danado</t>
        </is>
      </c>
      <c r="O1636" s="10" t="inlineStr">
        <is>
          <t>https://www.disco.com.ar/acondicionador-pantene-pro-v-miracles-hidratacion-400-ml/p</t>
        </is>
      </c>
    </row>
    <row r="1637">
      <c r="A1637" t="inlineStr">
        <is>
          <t>Disco</t>
        </is>
      </c>
      <c r="B1637" t="n">
        <v>332830</v>
      </c>
      <c r="C1637" t="n">
        <v>331978</v>
      </c>
      <c r="D1637" t="inlineStr">
        <is>
          <t>Acondicionador Pantene Pro-v Miracles Hidratación 200 Ml</t>
        </is>
      </c>
      <c r="E1637" t="inlineStr">
        <is>
          <t>PANTENE</t>
        </is>
      </c>
      <c r="F1637" t="n">
        <v>274.19</v>
      </c>
      <c r="G1637" t="n">
        <v>22660</v>
      </c>
      <c r="H1637" t="b">
        <v>0</v>
      </c>
      <c r="I1637" t="n">
        <v>200</v>
      </c>
      <c r="J1637" t="n">
        <v>1.3709</v>
      </c>
      <c r="K1637" t="inlineStr">
        <is>
          <t>&gt; Perfumería &gt; Cuidado Capilar &gt; Acondicionador &gt;</t>
        </is>
      </c>
      <c r="L1637" t="inlineStr">
        <is>
          <t>acondicionador</t>
        </is>
      </c>
      <c r="M1637" t="inlineStr">
        <is>
          <t>profesional</t>
        </is>
      </c>
      <c r="N1637" t="inlineStr">
        <is>
          <t>seco_danado</t>
        </is>
      </c>
      <c r="O1637" t="inlineStr">
        <is>
          <t>https://www.disco.com.ar/acondicionador-pantene-pro-v-miracles-hidratacion-200-ml/p</t>
        </is>
      </c>
    </row>
    <row r="1638">
      <c r="A1638" s="10" t="inlineStr">
        <is>
          <t>Disco</t>
        </is>
      </c>
      <c r="B1638" s="10" t="n">
        <v>332829</v>
      </c>
      <c r="C1638" s="10" t="n">
        <v>331977</v>
      </c>
      <c r="D1638" s="10" t="inlineStr">
        <is>
          <t>Acondicionador Pantene Pro-v Miracles Liso Extremo 200 Ml</t>
        </is>
      </c>
      <c r="E1638" s="10" t="inlineStr">
        <is>
          <t>PANTENE</t>
        </is>
      </c>
      <c r="F1638" s="10" t="n">
        <v>274.19</v>
      </c>
      <c r="G1638" s="10" t="n">
        <v>22660</v>
      </c>
      <c r="H1638" s="10" t="b">
        <v>0</v>
      </c>
      <c r="I1638" s="10" t="n">
        <v>200</v>
      </c>
      <c r="J1638" s="10" t="n">
        <v>1.3709</v>
      </c>
      <c r="K1638" s="10" t="inlineStr">
        <is>
          <t>&gt; Perfumería &gt; Cuidado Capilar &gt; Acondicionador &gt;</t>
        </is>
      </c>
      <c r="L1638" s="10" t="inlineStr">
        <is>
          <t>acondicionador</t>
        </is>
      </c>
      <c r="M1638" s="10" t="inlineStr">
        <is>
          <t>profesional</t>
        </is>
      </c>
      <c r="N1638" s="10" t="inlineStr">
        <is>
          <t>general</t>
        </is>
      </c>
      <c r="O1638" s="10" t="inlineStr">
        <is>
          <t>https://www.disco.com.ar/acondicionador-pantene-pro-v-miracles-liso-extremo-200-ml/p</t>
        </is>
      </c>
    </row>
    <row r="1639">
      <c r="A1639" t="inlineStr">
        <is>
          <t>Disco</t>
        </is>
      </c>
      <c r="B1639" t="n">
        <v>332828</v>
      </c>
      <c r="C1639" t="n">
        <v>331976</v>
      </c>
      <c r="D1639" t="inlineStr">
        <is>
          <t>Shampoo Pantene Pro-v Miracles Hidratación 200 Ml</t>
        </is>
      </c>
      <c r="E1639" t="inlineStr">
        <is>
          <t>PANTENE</t>
        </is>
      </c>
      <c r="F1639" t="n">
        <v>274.19</v>
      </c>
      <c r="G1639" t="n">
        <v>22660</v>
      </c>
      <c r="H1639" t="b">
        <v>0</v>
      </c>
      <c r="I1639" t="n">
        <v>200</v>
      </c>
      <c r="J1639" t="n">
        <v>1.3709</v>
      </c>
      <c r="K1639" t="inlineStr">
        <is>
          <t>&gt; Perfumería &gt; Cuidado Capilar &gt; Shampoo &gt;</t>
        </is>
      </c>
      <c r="L1639" t="inlineStr">
        <is>
          <t>shampoo</t>
        </is>
      </c>
      <c r="M1639" t="inlineStr">
        <is>
          <t>profesional</t>
        </is>
      </c>
      <c r="N1639" t="inlineStr">
        <is>
          <t>seco_danado</t>
        </is>
      </c>
      <c r="O1639" t="inlineStr">
        <is>
          <t>https://www.disco.com.ar/shampoo-pantene-pro-v-miracles-hidratacion-200-ml/p</t>
        </is>
      </c>
    </row>
    <row r="1640">
      <c r="A1640" s="10" t="inlineStr">
        <is>
          <t>Disco</t>
        </is>
      </c>
      <c r="B1640" s="10" t="n">
        <v>332826</v>
      </c>
      <c r="C1640" s="10" t="n">
        <v>331974</v>
      </c>
      <c r="D1640" s="10" t="inlineStr">
        <is>
          <t>Shampoo Pantene Pro-v Miracles Hidratación 400 Ml</t>
        </is>
      </c>
      <c r="E1640" s="10" t="inlineStr">
        <is>
          <t>PANTENE</t>
        </is>
      </c>
      <c r="F1640" s="10" t="n">
        <v>392.39</v>
      </c>
      <c r="G1640" s="10" t="n">
        <v>32429</v>
      </c>
      <c r="H1640" s="10" t="b">
        <v>0</v>
      </c>
      <c r="I1640" s="10" t="n">
        <v>400</v>
      </c>
      <c r="J1640" s="10" t="n">
        <v>0.981</v>
      </c>
      <c r="K1640" s="10" t="inlineStr">
        <is>
          <t>&gt; Perfumería &gt; Cuidado Capilar &gt; Shampoo &gt;</t>
        </is>
      </c>
      <c r="L1640" s="10" t="inlineStr">
        <is>
          <t>shampoo</t>
        </is>
      </c>
      <c r="M1640" s="10" t="inlineStr">
        <is>
          <t>profesional</t>
        </is>
      </c>
      <c r="N1640" s="10" t="inlineStr">
        <is>
          <t>seco_danado</t>
        </is>
      </c>
      <c r="O1640" s="10" t="inlineStr">
        <is>
          <t>https://www.disco.com.ar/shampoo-pantene-pro-v-miracles-hidratacion-400-ml/p</t>
        </is>
      </c>
    </row>
    <row r="1641">
      <c r="A1641" t="inlineStr">
        <is>
          <t>Disco</t>
        </is>
      </c>
      <c r="B1641" t="n">
        <v>332825</v>
      </c>
      <c r="C1641" t="n">
        <v>331973</v>
      </c>
      <c r="D1641" t="inlineStr">
        <is>
          <t>Acondicionador Pantene Pro-v Miracles Liso Extremo 750 Ml</t>
        </is>
      </c>
      <c r="E1641" t="inlineStr">
        <is>
          <t>PANTENE</t>
        </is>
      </c>
      <c r="F1641" t="n">
        <v>611.6900000000001</v>
      </c>
      <c r="G1641" t="n">
        <v>50553</v>
      </c>
      <c r="H1641" t="b">
        <v>0</v>
      </c>
      <c r="I1641" t="n">
        <v>750</v>
      </c>
      <c r="J1641" t="n">
        <v>0.8156</v>
      </c>
      <c r="K1641" t="inlineStr">
        <is>
          <t>&gt; Perfumería &gt; Cuidado Capilar &gt; Acondicionador &gt;</t>
        </is>
      </c>
      <c r="L1641" t="inlineStr">
        <is>
          <t>acondicionador</t>
        </is>
      </c>
      <c r="M1641" t="inlineStr">
        <is>
          <t>profesional</t>
        </is>
      </c>
      <c r="N1641" t="inlineStr">
        <is>
          <t>general</t>
        </is>
      </c>
      <c r="O1641" t="inlineStr">
        <is>
          <t>https://www.disco.com.ar/acondicionador-pantene-pro-v-miracles-liso-extremo-750-ml/p</t>
        </is>
      </c>
    </row>
    <row r="1642">
      <c r="A1642" s="10" t="inlineStr">
        <is>
          <t>Disco</t>
        </is>
      </c>
      <c r="B1642" s="10" t="n">
        <v>332824</v>
      </c>
      <c r="C1642" s="10" t="n">
        <v>331972</v>
      </c>
      <c r="D1642" s="10" t="inlineStr">
        <is>
          <t>Acondicionador Pantene Pro-v Miracles Liso Extremo 400 Ml</t>
        </is>
      </c>
      <c r="E1642" s="10" t="inlineStr">
        <is>
          <t>PANTENE</t>
        </is>
      </c>
      <c r="F1642" s="10" t="n">
        <v>415.95</v>
      </c>
      <c r="G1642" s="10" t="n">
        <v>34376</v>
      </c>
      <c r="H1642" s="10" t="b">
        <v>0</v>
      </c>
      <c r="I1642" s="10" t="n">
        <v>400</v>
      </c>
      <c r="J1642" s="10" t="n">
        <v>1.0399</v>
      </c>
      <c r="K1642" s="10" t="inlineStr">
        <is>
          <t>&gt; Perfumería &gt; Cuidado Capilar &gt; Acondicionador &gt;</t>
        </is>
      </c>
      <c r="L1642" s="10" t="inlineStr">
        <is>
          <t>acondicionador</t>
        </is>
      </c>
      <c r="M1642" s="10" t="inlineStr">
        <is>
          <t>profesional</t>
        </is>
      </c>
      <c r="N1642" s="10" t="inlineStr">
        <is>
          <t>general</t>
        </is>
      </c>
      <c r="O1642" s="10" t="inlineStr">
        <is>
          <t>https://www.disco.com.ar/acondicionador-pantene-pro-v-miracles-liso-extremo-400-ml/p</t>
        </is>
      </c>
    </row>
    <row r="1643">
      <c r="A1643" t="inlineStr">
        <is>
          <t>Disco</t>
        </is>
      </c>
      <c r="B1643" t="n">
        <v>332823</v>
      </c>
      <c r="C1643" t="n">
        <v>331971</v>
      </c>
      <c r="D1643" t="inlineStr">
        <is>
          <t>Acondicionador Pantene Pro-v Miracles Hidratación Extrema 200 Ml</t>
        </is>
      </c>
      <c r="E1643" t="inlineStr">
        <is>
          <t>PANTENE</t>
        </is>
      </c>
      <c r="F1643" t="n">
        <v>274.19</v>
      </c>
      <c r="G1643" t="n">
        <v>22660</v>
      </c>
      <c r="H1643" t="b">
        <v>0</v>
      </c>
      <c r="I1643" t="n">
        <v>200</v>
      </c>
      <c r="J1643" t="n">
        <v>1.3709</v>
      </c>
      <c r="K1643" t="inlineStr">
        <is>
          <t>&gt; Perfumería &gt; Cuidado Capilar &gt; Acondicionador &gt;</t>
        </is>
      </c>
      <c r="L1643" t="inlineStr">
        <is>
          <t>acondicionador</t>
        </is>
      </c>
      <c r="M1643" t="inlineStr">
        <is>
          <t>profesional</t>
        </is>
      </c>
      <c r="N1643" t="inlineStr">
        <is>
          <t>seco_danado</t>
        </is>
      </c>
      <c r="O1643" t="inlineStr">
        <is>
          <t>https://www.disco.com.ar/acondicionador-pantene-pro-v-miracles-hidratacion-extrema-200-ml/p</t>
        </is>
      </c>
    </row>
    <row r="1644">
      <c r="A1644" s="10" t="inlineStr">
        <is>
          <t>Disco</t>
        </is>
      </c>
      <c r="B1644" s="10" t="n">
        <v>332820</v>
      </c>
      <c r="C1644" s="10" t="n">
        <v>331969</v>
      </c>
      <c r="D1644" s="10" t="inlineStr">
        <is>
          <t>Acondicionador Pantene Pro-v Miracles Hidratación Extrema 750 Ml</t>
        </is>
      </c>
      <c r="E1644" s="10" t="inlineStr">
        <is>
          <t>PANTENE</t>
        </is>
      </c>
      <c r="F1644" s="10" t="n">
        <v>693.77</v>
      </c>
      <c r="G1644" s="10" t="n">
        <v>57336</v>
      </c>
      <c r="H1644" s="10" t="b">
        <v>0</v>
      </c>
      <c r="I1644" s="10" t="n">
        <v>750</v>
      </c>
      <c r="J1644" s="10" t="n">
        <v>0.925</v>
      </c>
      <c r="K1644" s="10" t="inlineStr">
        <is>
          <t>&gt; Perfumería &gt; Cuidado Capilar &gt; Acondicionador &gt;</t>
        </is>
      </c>
      <c r="L1644" s="10" t="inlineStr">
        <is>
          <t>acondicionador</t>
        </is>
      </c>
      <c r="M1644" s="10" t="inlineStr">
        <is>
          <t>profesional</t>
        </is>
      </c>
      <c r="N1644" s="10" t="inlineStr">
        <is>
          <t>seco_danado</t>
        </is>
      </c>
      <c r="O1644" s="10" t="inlineStr">
        <is>
          <t>https://www.disco.com.ar/acondicionador-pantene-pro-v-miracles-hidratacion-extrema-750-ml/p</t>
        </is>
      </c>
    </row>
    <row r="1645">
      <c r="A1645" t="inlineStr">
        <is>
          <t>Disco</t>
        </is>
      </c>
      <c r="B1645" t="n">
        <v>332813</v>
      </c>
      <c r="C1645" t="n">
        <v>331966</v>
      </c>
      <c r="D1645" t="inlineStr">
        <is>
          <t>Shampoo Pantene Pro-v Miracles Hidratación 750 Ml</t>
        </is>
      </c>
      <c r="E1645" t="inlineStr">
        <is>
          <t>PANTENE</t>
        </is>
      </c>
      <c r="F1645" t="n">
        <v>693.77</v>
      </c>
      <c r="G1645" t="n">
        <v>57336</v>
      </c>
      <c r="H1645" t="b">
        <v>0</v>
      </c>
      <c r="I1645" t="n">
        <v>750</v>
      </c>
      <c r="J1645" t="n">
        <v>0.925</v>
      </c>
      <c r="K1645" t="inlineStr">
        <is>
          <t>&gt; Perfumería &gt; Cuidado Capilar &gt; Shampoo &gt;</t>
        </is>
      </c>
      <c r="L1645" t="inlineStr">
        <is>
          <t>shampoo</t>
        </is>
      </c>
      <c r="M1645" t="inlineStr">
        <is>
          <t>profesional</t>
        </is>
      </c>
      <c r="N1645" t="inlineStr">
        <is>
          <t>seco_danado</t>
        </is>
      </c>
      <c r="O1645" t="inlineStr">
        <is>
          <t>https://www.disco.com.ar/shampoo-pantene-pro-v-miracles-hidratacion-750-ml/p</t>
        </is>
      </c>
    </row>
    <row r="1646">
      <c r="A1646" s="10" t="inlineStr">
        <is>
          <t>Disco</t>
        </is>
      </c>
      <c r="B1646" s="10" t="n">
        <v>332811</v>
      </c>
      <c r="C1646" s="10" t="n">
        <v>331964</v>
      </c>
      <c r="D1646" s="10" t="inlineStr">
        <is>
          <t>Shampoo Pantene Pro-v Miracles Liso Extremo 200 Ml</t>
        </is>
      </c>
      <c r="E1646" s="10" t="inlineStr">
        <is>
          <t>PANTENE</t>
        </is>
      </c>
      <c r="F1646" s="10" t="n">
        <v>274.19</v>
      </c>
      <c r="G1646" s="10" t="n">
        <v>22660</v>
      </c>
      <c r="H1646" s="10" t="b">
        <v>0</v>
      </c>
      <c r="I1646" s="10" t="n">
        <v>200</v>
      </c>
      <c r="J1646" s="10" t="n">
        <v>1.3709</v>
      </c>
      <c r="K1646" s="10" t="inlineStr">
        <is>
          <t>&gt; Perfumería &gt; Cuidado Capilar &gt; Shampoo &gt;</t>
        </is>
      </c>
      <c r="L1646" s="10" t="inlineStr">
        <is>
          <t>shampoo</t>
        </is>
      </c>
      <c r="M1646" s="10" t="inlineStr">
        <is>
          <t>profesional</t>
        </is>
      </c>
      <c r="N1646" s="10" t="inlineStr">
        <is>
          <t>general</t>
        </is>
      </c>
      <c r="O1646" s="10" t="inlineStr">
        <is>
          <t>https://www.disco.com.ar/shampoo-pantene-pro-v-miracles-liso-extremo-200-ml/p</t>
        </is>
      </c>
    </row>
    <row r="1647">
      <c r="A1647" t="inlineStr">
        <is>
          <t>Disco</t>
        </is>
      </c>
      <c r="B1647" t="n">
        <v>332809</v>
      </c>
      <c r="C1647" t="n">
        <v>331963</v>
      </c>
      <c r="D1647" t="inlineStr">
        <is>
          <t>Shampoo Pantene Pro-v Miracles Liso Extremo 750 Ml</t>
        </is>
      </c>
      <c r="E1647" t="inlineStr">
        <is>
          <t>PANTENE</t>
        </is>
      </c>
      <c r="F1647" t="n">
        <v>693.77</v>
      </c>
      <c r="G1647" t="n">
        <v>57336</v>
      </c>
      <c r="H1647" t="b">
        <v>0</v>
      </c>
      <c r="I1647" t="n">
        <v>750</v>
      </c>
      <c r="J1647" t="n">
        <v>0.925</v>
      </c>
      <c r="K1647" t="inlineStr">
        <is>
          <t>&gt; Perfumería &gt; Cuidado Capilar &gt; Shampoo &gt;</t>
        </is>
      </c>
      <c r="L1647" t="inlineStr">
        <is>
          <t>shampoo</t>
        </is>
      </c>
      <c r="M1647" t="inlineStr">
        <is>
          <t>profesional</t>
        </is>
      </c>
      <c r="N1647" t="inlineStr">
        <is>
          <t>general</t>
        </is>
      </c>
      <c r="O1647" t="inlineStr">
        <is>
          <t>https://www.disco.com.ar/shampoo-pantene-pro-v-miracles-liso-extremo-750-ml/p</t>
        </is>
      </c>
    </row>
    <row r="1648">
      <c r="A1648" s="10" t="inlineStr">
        <is>
          <t>Disco</t>
        </is>
      </c>
      <c r="B1648" s="10" t="n">
        <v>332808</v>
      </c>
      <c r="C1648" s="10" t="n">
        <v>331962</v>
      </c>
      <c r="D1648" s="10" t="inlineStr">
        <is>
          <t>Shampoo Pantene Pro-v Miracles Liso Extremo 400 Ml</t>
        </is>
      </c>
      <c r="E1648" s="10" t="inlineStr">
        <is>
          <t>PANTENE</t>
        </is>
      </c>
      <c r="F1648" s="10" t="n">
        <v>392.39</v>
      </c>
      <c r="G1648" s="10" t="n">
        <v>32429</v>
      </c>
      <c r="H1648" s="10" t="b">
        <v>0</v>
      </c>
      <c r="I1648" s="10" t="n">
        <v>400</v>
      </c>
      <c r="J1648" s="10" t="n">
        <v>0.981</v>
      </c>
      <c r="K1648" s="10" t="inlineStr">
        <is>
          <t>&gt; Perfumería &gt; Cuidado Capilar &gt; Shampoo &gt;</t>
        </is>
      </c>
      <c r="L1648" s="10" t="inlineStr">
        <is>
          <t>shampoo</t>
        </is>
      </c>
      <c r="M1648" s="10" t="inlineStr">
        <is>
          <t>profesional</t>
        </is>
      </c>
      <c r="N1648" s="10" t="inlineStr">
        <is>
          <t>general</t>
        </is>
      </c>
      <c r="O1648" s="10" t="inlineStr">
        <is>
          <t>https://www.disco.com.ar/shampoo-pantene-pro-v-miracles-liso-extremo-400-ml/p</t>
        </is>
      </c>
    </row>
    <row r="1649">
      <c r="A1649" t="inlineStr">
        <is>
          <t>Disco</t>
        </is>
      </c>
      <c r="B1649" t="n">
        <v>332807</v>
      </c>
      <c r="C1649" t="n">
        <v>331961</v>
      </c>
      <c r="D1649" t="inlineStr">
        <is>
          <t>Shampoo Pantene Pro-v Miracles Hidratación Extrema 200 Ml</t>
        </is>
      </c>
      <c r="E1649" t="inlineStr">
        <is>
          <t>PANTENE</t>
        </is>
      </c>
      <c r="F1649" t="n">
        <v>274.19</v>
      </c>
      <c r="G1649" t="n">
        <v>22660</v>
      </c>
      <c r="H1649" t="b">
        <v>0</v>
      </c>
      <c r="I1649" t="n">
        <v>200</v>
      </c>
      <c r="J1649" t="n">
        <v>1.3709</v>
      </c>
      <c r="K1649" t="inlineStr">
        <is>
          <t>&gt; Perfumería &gt; Cuidado Capilar &gt; Shampoo &gt;</t>
        </is>
      </c>
      <c r="L1649" t="inlineStr">
        <is>
          <t>shampoo</t>
        </is>
      </c>
      <c r="M1649" t="inlineStr">
        <is>
          <t>profesional</t>
        </is>
      </c>
      <c r="N1649" t="inlineStr">
        <is>
          <t>seco_danado</t>
        </is>
      </c>
      <c r="O1649" t="inlineStr">
        <is>
          <t>https://www.disco.com.ar/shampoo-pantene-pro-v-miracles-hidratacion-extrema-200-ml/p</t>
        </is>
      </c>
    </row>
    <row r="1650">
      <c r="A1650" s="10" t="inlineStr">
        <is>
          <t>Disco</t>
        </is>
      </c>
      <c r="B1650" s="10" t="n">
        <v>332805</v>
      </c>
      <c r="C1650" s="10" t="n">
        <v>331959</v>
      </c>
      <c r="D1650" s="10" t="inlineStr">
        <is>
          <t>Shampoo Pantene Pro-v Miracles Hidratación Extrema 400 Ml</t>
        </is>
      </c>
      <c r="E1650" s="10" t="inlineStr">
        <is>
          <t>PANTENE</t>
        </is>
      </c>
      <c r="F1650" s="10" t="n">
        <v>415.95</v>
      </c>
      <c r="G1650" s="10" t="n">
        <v>34376</v>
      </c>
      <c r="H1650" s="10" t="b">
        <v>0</v>
      </c>
      <c r="I1650" s="10" t="n">
        <v>400</v>
      </c>
      <c r="J1650" s="10" t="n">
        <v>1.0399</v>
      </c>
      <c r="K1650" s="10" t="inlineStr">
        <is>
          <t>&gt; Perfumería &gt; Cuidado Capilar &gt; Shampoo &gt;</t>
        </is>
      </c>
      <c r="L1650" s="10" t="inlineStr">
        <is>
          <t>shampoo</t>
        </is>
      </c>
      <c r="M1650" s="10" t="inlineStr">
        <is>
          <t>profesional</t>
        </is>
      </c>
      <c r="N1650" s="10" t="inlineStr">
        <is>
          <t>seco_danado</t>
        </is>
      </c>
      <c r="O1650" s="10" t="inlineStr">
        <is>
          <t>https://www.disco.com.ar/shampoo-pantene-pro-v-miracles-hidratacion-extrema-400-ml/p</t>
        </is>
      </c>
    </row>
    <row r="1651">
      <c r="A1651" t="inlineStr">
        <is>
          <t>Disco</t>
        </is>
      </c>
      <c r="B1651" t="n">
        <v>332496</v>
      </c>
      <c r="C1651" t="n">
        <v>331653</v>
      </c>
      <c r="D1651" t="inlineStr">
        <is>
          <t>Acondicionador Pantene Pro-v Miracles Brillo Extremo 200 Ml</t>
        </is>
      </c>
      <c r="E1651" t="inlineStr">
        <is>
          <t>PANTENE</t>
        </is>
      </c>
      <c r="F1651" t="n">
        <v>333.79</v>
      </c>
      <c r="G1651" t="n">
        <v>27586</v>
      </c>
      <c r="H1651" t="b">
        <v>0</v>
      </c>
      <c r="I1651" t="n">
        <v>200</v>
      </c>
      <c r="J1651" t="n">
        <v>1.669</v>
      </c>
      <c r="K1651" t="inlineStr">
        <is>
          <t>&gt; Perfumería &gt; Cuidado Capilar &gt; Acondicionador &gt;</t>
        </is>
      </c>
      <c r="L1651" t="inlineStr">
        <is>
          <t>acondicionador</t>
        </is>
      </c>
      <c r="M1651" t="inlineStr">
        <is>
          <t>profesional</t>
        </is>
      </c>
      <c r="N1651" t="inlineStr">
        <is>
          <t>general</t>
        </is>
      </c>
      <c r="O1651" t="inlineStr">
        <is>
          <t>https://www.disco.com.ar/acondicionador-pantene-pro-v-miracles-brillo-extremo-200-ml/p</t>
        </is>
      </c>
    </row>
    <row r="1652">
      <c r="A1652" s="10" t="inlineStr">
        <is>
          <t>Disco</t>
        </is>
      </c>
      <c r="B1652" s="10" t="n">
        <v>332349</v>
      </c>
      <c r="C1652" s="10" t="n">
        <v>331506</v>
      </c>
      <c r="D1652" s="10" t="inlineStr">
        <is>
          <t>Shampoo Pantene Pro-v Minute Miracle Bambú  270 Ml</t>
        </is>
      </c>
      <c r="E1652" s="10" t="inlineStr">
        <is>
          <t>PANTENE</t>
        </is>
      </c>
      <c r="F1652" s="10" t="n">
        <v>462.29</v>
      </c>
      <c r="G1652" s="10" t="n">
        <v>38206</v>
      </c>
      <c r="H1652" s="10" t="b">
        <v>0</v>
      </c>
      <c r="I1652" s="10" t="n">
        <v>270</v>
      </c>
      <c r="J1652" s="10" t="n">
        <v>1.7122</v>
      </c>
      <c r="K1652" s="10" t="inlineStr">
        <is>
          <t>&gt; Perfumería &gt; Cuidado Capilar &gt; Shampoo &gt;</t>
        </is>
      </c>
      <c r="L1652" s="10" t="inlineStr">
        <is>
          <t>shampoo</t>
        </is>
      </c>
      <c r="M1652" s="10" t="inlineStr">
        <is>
          <t>profesional</t>
        </is>
      </c>
      <c r="N1652" s="10" t="inlineStr">
        <is>
          <t>general</t>
        </is>
      </c>
      <c r="O1652" s="10" t="inlineStr">
        <is>
          <t>https://www.disco.com.ar/shampoo-pantene-pro-v-minute-miracle-bambu-270-ml/p</t>
        </is>
      </c>
    </row>
    <row r="1653">
      <c r="A1653" t="inlineStr">
        <is>
          <t>Disco</t>
        </is>
      </c>
      <c r="B1653" t="n">
        <v>332341</v>
      </c>
      <c r="C1653" t="n">
        <v>331498</v>
      </c>
      <c r="D1653" t="inlineStr">
        <is>
          <t>Shampoo Pantene Pro-v Miracles Micelar 200 Ml</t>
        </is>
      </c>
      <c r="E1653" t="inlineStr">
        <is>
          <t>PANTENE</t>
        </is>
      </c>
      <c r="F1653" t="n">
        <v>333.79</v>
      </c>
      <c r="G1653" t="n">
        <v>27586</v>
      </c>
      <c r="H1653" t="b">
        <v>0</v>
      </c>
      <c r="I1653" t="n">
        <v>200</v>
      </c>
      <c r="J1653" t="n">
        <v>1.669</v>
      </c>
      <c r="K1653" t="inlineStr">
        <is>
          <t>&gt; Perfumería &gt; Cuidado Capilar &gt; Shampoo &gt;</t>
        </is>
      </c>
      <c r="L1653" t="inlineStr">
        <is>
          <t>shampoo</t>
        </is>
      </c>
      <c r="M1653" t="inlineStr">
        <is>
          <t>profesional</t>
        </is>
      </c>
      <c r="N1653" t="inlineStr">
        <is>
          <t>general</t>
        </is>
      </c>
      <c r="O1653" t="inlineStr">
        <is>
          <t>https://www.disco.com.ar/shampoo-pantene-pro-v-miracles-micelar-200-ml/p</t>
        </is>
      </c>
    </row>
    <row r="1654">
      <c r="A1654" s="10" t="inlineStr">
        <is>
          <t>Disco</t>
        </is>
      </c>
      <c r="B1654" s="10" t="n">
        <v>332340</v>
      </c>
      <c r="C1654" s="10" t="n">
        <v>331497</v>
      </c>
      <c r="D1654" s="10" t="inlineStr">
        <is>
          <t>Shampoo Pantene Pro-v Miracles Brillo Extremo 200 Ml</t>
        </is>
      </c>
      <c r="E1654" s="10" t="inlineStr">
        <is>
          <t>PANTENE</t>
        </is>
      </c>
      <c r="F1654" s="10" t="n">
        <v>333.79</v>
      </c>
      <c r="G1654" s="10" t="n">
        <v>27586</v>
      </c>
      <c r="H1654" s="10" t="b">
        <v>0</v>
      </c>
      <c r="I1654" s="10" t="n">
        <v>200</v>
      </c>
      <c r="J1654" s="10" t="n">
        <v>1.669</v>
      </c>
      <c r="K1654" s="10" t="inlineStr">
        <is>
          <t>&gt; Perfumería &gt; Cuidado Capilar &gt; Shampoo &gt;</t>
        </is>
      </c>
      <c r="L1654" s="10" t="inlineStr">
        <is>
          <t>shampoo</t>
        </is>
      </c>
      <c r="M1654" s="10" t="inlineStr">
        <is>
          <t>profesional</t>
        </is>
      </c>
      <c r="N1654" s="10" t="inlineStr">
        <is>
          <t>general</t>
        </is>
      </c>
      <c r="O1654" s="10" t="inlineStr">
        <is>
          <t>https://www.disco.com.ar/shampoo-pantene-pro-v-miracles-brillo-extremo-200-ml/p</t>
        </is>
      </c>
    </row>
    <row r="1655">
      <c r="A1655" t="inlineStr">
        <is>
          <t>Disco</t>
        </is>
      </c>
      <c r="B1655" t="n">
        <v>332339</v>
      </c>
      <c r="C1655" t="n">
        <v>331496</v>
      </c>
      <c r="D1655" t="inlineStr">
        <is>
          <t>Shampoo Pantene Pro-v Miracles Fuerza &amp; Reconstrucción 200 Ml</t>
        </is>
      </c>
      <c r="E1655" t="inlineStr">
        <is>
          <t>PANTENE</t>
        </is>
      </c>
      <c r="F1655" t="n">
        <v>294.29</v>
      </c>
      <c r="G1655" t="n">
        <v>24321</v>
      </c>
      <c r="H1655" t="b">
        <v>0</v>
      </c>
      <c r="I1655" t="n">
        <v>200</v>
      </c>
      <c r="J1655" t="n">
        <v>1.4715</v>
      </c>
      <c r="K1655" t="inlineStr">
        <is>
          <t>&gt; Perfumería &gt; Cuidado Capilar &gt; Shampoo &gt;</t>
        </is>
      </c>
      <c r="L1655" t="inlineStr">
        <is>
          <t>shampoo</t>
        </is>
      </c>
      <c r="M1655" t="inlineStr">
        <is>
          <t>profesional</t>
        </is>
      </c>
      <c r="N1655" t="inlineStr">
        <is>
          <t>general</t>
        </is>
      </c>
      <c r="O1655" t="inlineStr">
        <is>
          <t>https://www.disco.com.ar/shampoo-pantene-pro-v-miracles-fuerza-reconstruccion-200-ml/p</t>
        </is>
      </c>
    </row>
    <row r="1656">
      <c r="A1656" s="10" t="inlineStr">
        <is>
          <t>Disco</t>
        </is>
      </c>
      <c r="B1656" s="10" t="n">
        <v>332338</v>
      </c>
      <c r="C1656" s="10" t="n">
        <v>331495</v>
      </c>
      <c r="D1656" s="10" t="inlineStr">
        <is>
          <t>Shampoo Pantene Pro-v Miracles Restauración 200 Ml</t>
        </is>
      </c>
      <c r="E1656" s="10" t="inlineStr">
        <is>
          <t>PANTENE</t>
        </is>
      </c>
      <c r="F1656" s="10" t="n">
        <v>333.79</v>
      </c>
      <c r="G1656" s="10" t="n">
        <v>27586</v>
      </c>
      <c r="H1656" s="10" t="b">
        <v>0</v>
      </c>
      <c r="I1656" s="10" t="n">
        <v>200</v>
      </c>
      <c r="J1656" s="10" t="n">
        <v>1.669</v>
      </c>
      <c r="K1656" s="10" t="inlineStr">
        <is>
          <t>&gt; Perfumería &gt; Cuidado Capilar &gt; Shampoo &gt;</t>
        </is>
      </c>
      <c r="L1656" s="10" t="inlineStr">
        <is>
          <t>shampoo</t>
        </is>
      </c>
      <c r="M1656" s="10" t="inlineStr">
        <is>
          <t>profesional</t>
        </is>
      </c>
      <c r="N1656" s="10" t="inlineStr">
        <is>
          <t>general</t>
        </is>
      </c>
      <c r="O1656" s="10" t="inlineStr">
        <is>
          <t>https://www.disco.com.ar/shampoo-pantene-pro-v-miracles-restauracion-200-ml/p</t>
        </is>
      </c>
    </row>
    <row r="1657">
      <c r="A1657" t="inlineStr">
        <is>
          <t>Disco</t>
        </is>
      </c>
      <c r="B1657" t="n">
        <v>332337</v>
      </c>
      <c r="C1657" t="n">
        <v>331494</v>
      </c>
      <c r="D1657" t="inlineStr">
        <is>
          <t>Acondicionador Pantene Pro-v Miracles Micelar 200 Ml</t>
        </is>
      </c>
      <c r="E1657" t="inlineStr">
        <is>
          <t>PANTENE</t>
        </is>
      </c>
      <c r="F1657" t="n">
        <v>333.79</v>
      </c>
      <c r="G1657" t="n">
        <v>27586</v>
      </c>
      <c r="H1657" t="b">
        <v>0</v>
      </c>
      <c r="I1657" t="n">
        <v>200</v>
      </c>
      <c r="J1657" t="n">
        <v>1.669</v>
      </c>
      <c r="K1657" t="inlineStr">
        <is>
          <t>&gt; Perfumería &gt; Cuidado Capilar &gt; Acondicionador &gt;</t>
        </is>
      </c>
      <c r="L1657" t="inlineStr">
        <is>
          <t>acondicionador</t>
        </is>
      </c>
      <c r="M1657" t="inlineStr">
        <is>
          <t>profesional</t>
        </is>
      </c>
      <c r="N1657" t="inlineStr">
        <is>
          <t>general</t>
        </is>
      </c>
      <c r="O1657" t="inlineStr">
        <is>
          <t>https://www.disco.com.ar/acondicionador-pantene-pro-v-miracles-micelar-200-ml/p</t>
        </is>
      </c>
    </row>
    <row r="1658">
      <c r="A1658" s="10" t="inlineStr">
        <is>
          <t>Disco</t>
        </is>
      </c>
      <c r="B1658" s="10" t="n">
        <v>332336</v>
      </c>
      <c r="C1658" s="10" t="n">
        <v>331493</v>
      </c>
      <c r="D1658" s="10" t="inlineStr">
        <is>
          <t>Acondicionador Pantene Pro-v Miracles Fuerza &amp; Reconstrucción 200 Ml</t>
        </is>
      </c>
      <c r="E1658" s="10" t="inlineStr">
        <is>
          <t>PANTENE</t>
        </is>
      </c>
      <c r="F1658" s="10" t="n">
        <v>333.79</v>
      </c>
      <c r="G1658" s="10" t="n">
        <v>27586</v>
      </c>
      <c r="H1658" s="10" t="b">
        <v>0</v>
      </c>
      <c r="I1658" s="10" t="n">
        <v>200</v>
      </c>
      <c r="J1658" s="10" t="n">
        <v>1.669</v>
      </c>
      <c r="K1658" s="10" t="inlineStr">
        <is>
          <t>&gt; Perfumería &gt; Cuidado Capilar &gt; Acondicionador &gt;</t>
        </is>
      </c>
      <c r="L1658" s="10" t="inlineStr">
        <is>
          <t>acondicionador</t>
        </is>
      </c>
      <c r="M1658" s="10" t="inlineStr">
        <is>
          <t>profesional</t>
        </is>
      </c>
      <c r="N1658" s="10" t="inlineStr">
        <is>
          <t>general</t>
        </is>
      </c>
      <c r="O1658" s="10" t="inlineStr">
        <is>
          <t>https://www.disco.com.ar/acondicionador-pantene-pro-v-miracles-fuerza-reconstruccion-200-ml/p</t>
        </is>
      </c>
    </row>
    <row r="1659">
      <c r="A1659" t="inlineStr">
        <is>
          <t>Disco</t>
        </is>
      </c>
      <c r="B1659" t="n">
        <v>332335</v>
      </c>
      <c r="C1659" t="n">
        <v>331492</v>
      </c>
      <c r="D1659" t="inlineStr">
        <is>
          <t>Acondicionador Pantene Pro-v Miracles Restauración 200 Ml</t>
        </is>
      </c>
      <c r="E1659" t="inlineStr">
        <is>
          <t>PANTENE</t>
        </is>
      </c>
      <c r="F1659" t="n">
        <v>311.95</v>
      </c>
      <c r="G1659" t="n">
        <v>25781</v>
      </c>
      <c r="H1659" t="b">
        <v>0</v>
      </c>
      <c r="I1659" t="n">
        <v>200</v>
      </c>
      <c r="J1659" t="n">
        <v>1.5597</v>
      </c>
      <c r="K1659" t="inlineStr">
        <is>
          <t>&gt; Perfumería &gt; Cuidado Capilar &gt; Acondicionador &gt;</t>
        </is>
      </c>
      <c r="L1659" t="inlineStr">
        <is>
          <t>acondicionador</t>
        </is>
      </c>
      <c r="M1659" t="inlineStr">
        <is>
          <t>profesional</t>
        </is>
      </c>
      <c r="N1659" t="inlineStr">
        <is>
          <t>general</t>
        </is>
      </c>
      <c r="O1659" t="inlineStr">
        <is>
          <t>https://www.disco.com.ar/acondicionador-pantene-pro-v-miracles-restauracion-200-ml/p</t>
        </is>
      </c>
    </row>
    <row r="1660">
      <c r="A1660" s="10" t="inlineStr">
        <is>
          <t>Disco</t>
        </is>
      </c>
      <c r="B1660" s="10" t="n">
        <v>331945</v>
      </c>
      <c r="C1660" s="10" t="n">
        <v>331103</v>
      </c>
      <c r="D1660" s="10" t="inlineStr">
        <is>
          <t>Acondicionador Pantene Pro-v Miracles Micelar 700 Ml</t>
        </is>
      </c>
      <c r="E1660" s="10" t="inlineStr">
        <is>
          <t>PANTENE</t>
        </is>
      </c>
      <c r="F1660" s="10" t="n">
        <v>843.65</v>
      </c>
      <c r="G1660" s="10" t="n">
        <v>69723</v>
      </c>
      <c r="H1660" s="10" t="b">
        <v>0</v>
      </c>
      <c r="I1660" s="10" t="n">
        <v>700</v>
      </c>
      <c r="J1660" s="10" t="n">
        <v>1.2052</v>
      </c>
      <c r="K1660" s="10" t="inlineStr">
        <is>
          <t>&gt; Perfumería &gt; Cuidado Capilar &gt; Acondicionador &gt;</t>
        </is>
      </c>
      <c r="L1660" s="10" t="inlineStr">
        <is>
          <t>acondicionador</t>
        </is>
      </c>
      <c r="M1660" s="10" t="inlineStr">
        <is>
          <t>profesional</t>
        </is>
      </c>
      <c r="N1660" s="10" t="inlineStr">
        <is>
          <t>general</t>
        </is>
      </c>
      <c r="O1660" s="10" t="inlineStr">
        <is>
          <t>https://www.disco.com.ar/acondicionador-pantene-pro-v-miracles-micelar-700-ml/p</t>
        </is>
      </c>
    </row>
    <row r="1661">
      <c r="A1661" t="inlineStr">
        <is>
          <t>Disco</t>
        </is>
      </c>
      <c r="B1661" t="n">
        <v>331944</v>
      </c>
      <c r="C1661" t="n">
        <v>331102</v>
      </c>
      <c r="D1661" t="inlineStr">
        <is>
          <t>Acondicionador Pantene Pro-v Miracles Brillo Extremo 750 Ml</t>
        </is>
      </c>
      <c r="E1661" t="inlineStr">
        <is>
          <t>PANTENE</t>
        </is>
      </c>
      <c r="F1661" t="n">
        <v>843.67</v>
      </c>
      <c r="G1661" t="n">
        <v>69725</v>
      </c>
      <c r="H1661" t="b">
        <v>0</v>
      </c>
      <c r="I1661" t="n">
        <v>750</v>
      </c>
      <c r="J1661" t="n">
        <v>1.1249</v>
      </c>
      <c r="K1661" t="inlineStr">
        <is>
          <t>&gt; Perfumería &gt; Cuidado Capilar &gt; Acondicionador &gt;</t>
        </is>
      </c>
      <c r="L1661" t="inlineStr">
        <is>
          <t>acondicionador</t>
        </is>
      </c>
      <c r="M1661" t="inlineStr">
        <is>
          <t>profesional</t>
        </is>
      </c>
      <c r="N1661" t="inlineStr">
        <is>
          <t>general</t>
        </is>
      </c>
      <c r="O1661" t="inlineStr">
        <is>
          <t>https://www.disco.com.ar/acondicionador-pantene-pro-v-miracles-brillo-extremo-750-ml/p</t>
        </is>
      </c>
    </row>
    <row r="1662">
      <c r="A1662" s="10" t="inlineStr">
        <is>
          <t>Disco</t>
        </is>
      </c>
      <c r="B1662" s="10" t="n">
        <v>331943</v>
      </c>
      <c r="C1662" s="10" t="n">
        <v>331101</v>
      </c>
      <c r="D1662" s="10" t="inlineStr">
        <is>
          <t>Acondicionador Pantene Pro-v Miracles Fuerza &amp; Reconstrucción 750 Ml</t>
        </is>
      </c>
      <c r="E1662" s="10" t="inlineStr">
        <is>
          <t>PANTENE</t>
        </is>
      </c>
      <c r="F1662" s="10" t="n">
        <v>843.67</v>
      </c>
      <c r="G1662" s="10" t="n">
        <v>69725</v>
      </c>
      <c r="H1662" s="10" t="b">
        <v>0</v>
      </c>
      <c r="I1662" s="10" t="n">
        <v>750</v>
      </c>
      <c r="J1662" s="10" t="n">
        <v>1.1249</v>
      </c>
      <c r="K1662" s="10" t="inlineStr">
        <is>
          <t>&gt; Perfumería &gt; Cuidado Capilar &gt; Acondicionador &gt;</t>
        </is>
      </c>
      <c r="L1662" s="10" t="inlineStr">
        <is>
          <t>acondicionador</t>
        </is>
      </c>
      <c r="M1662" s="10" t="inlineStr">
        <is>
          <t>profesional</t>
        </is>
      </c>
      <c r="N1662" s="10" t="inlineStr">
        <is>
          <t>general</t>
        </is>
      </c>
      <c r="O1662" s="10" t="inlineStr">
        <is>
          <t>https://www.disco.com.ar/acondicionador-pantene-pro-v-miracles-fuerza-reconstruccion-750-ml/p</t>
        </is>
      </c>
    </row>
    <row r="1663">
      <c r="A1663" t="inlineStr">
        <is>
          <t>Disco</t>
        </is>
      </c>
      <c r="B1663" t="n">
        <v>331942</v>
      </c>
      <c r="C1663" t="n">
        <v>331100</v>
      </c>
      <c r="D1663" t="inlineStr">
        <is>
          <t>Acondicionador Pantene Pro-v Miracles Fuerza &amp; Reconstrucción 400 Ml</t>
        </is>
      </c>
      <c r="E1663" t="inlineStr">
        <is>
          <t>PANTENE</t>
        </is>
      </c>
      <c r="F1663" t="n">
        <v>506.39</v>
      </c>
      <c r="G1663" t="n">
        <v>41850</v>
      </c>
      <c r="H1663" t="b">
        <v>0</v>
      </c>
      <c r="I1663" t="n">
        <v>400</v>
      </c>
      <c r="J1663" t="n">
        <v>1.266</v>
      </c>
      <c r="K1663" t="inlineStr">
        <is>
          <t>&gt; Perfumería &gt; Cuidado Capilar &gt; Acondicionador &gt;</t>
        </is>
      </c>
      <c r="L1663" t="inlineStr">
        <is>
          <t>acondicionador</t>
        </is>
      </c>
      <c r="M1663" t="inlineStr">
        <is>
          <t>profesional</t>
        </is>
      </c>
      <c r="N1663" t="inlineStr">
        <is>
          <t>general</t>
        </is>
      </c>
      <c r="O1663" t="inlineStr">
        <is>
          <t>https://www.disco.com.ar/acondicionador-pantene-pro-v-miracles-fuerza-reconstruccion-400-ml/p</t>
        </is>
      </c>
    </row>
    <row r="1664">
      <c r="A1664" s="10" t="inlineStr">
        <is>
          <t>Disco</t>
        </is>
      </c>
      <c r="B1664" s="10" t="n">
        <v>331941</v>
      </c>
      <c r="C1664" s="10" t="n">
        <v>331099</v>
      </c>
      <c r="D1664" s="10" t="inlineStr">
        <is>
          <t>Acondicionador Pantene Pro-v Miracles Brillo Extremo 400 Ml</t>
        </is>
      </c>
      <c r="E1664" s="10" t="inlineStr">
        <is>
          <t>PANTENE</t>
        </is>
      </c>
      <c r="F1664" s="10" t="n">
        <v>506.39</v>
      </c>
      <c r="G1664" s="10" t="n">
        <v>41850</v>
      </c>
      <c r="H1664" s="10" t="b">
        <v>0</v>
      </c>
      <c r="I1664" s="10" t="n">
        <v>400</v>
      </c>
      <c r="J1664" s="10" t="n">
        <v>1.266</v>
      </c>
      <c r="K1664" s="10" t="inlineStr">
        <is>
          <t>&gt; Perfumería &gt; Cuidado Capilar &gt; Acondicionador &gt;</t>
        </is>
      </c>
      <c r="L1664" s="10" t="inlineStr">
        <is>
          <t>acondicionador</t>
        </is>
      </c>
      <c r="M1664" s="10" t="inlineStr">
        <is>
          <t>profesional</t>
        </is>
      </c>
      <c r="N1664" s="10" t="inlineStr">
        <is>
          <t>general</t>
        </is>
      </c>
      <c r="O1664" s="10" t="inlineStr">
        <is>
          <t>https://www.disco.com.ar/acondicionador-pantene-pro-v-miracles-brillo-extremo-400-ml/p</t>
        </is>
      </c>
    </row>
    <row r="1665">
      <c r="A1665" t="inlineStr">
        <is>
          <t>Disco</t>
        </is>
      </c>
      <c r="B1665" t="n">
        <v>331940</v>
      </c>
      <c r="C1665" t="n">
        <v>331098</v>
      </c>
      <c r="D1665" t="inlineStr">
        <is>
          <t>Acondicionador Pantene Pro-v Miracles Restauración 750 Ml</t>
        </is>
      </c>
      <c r="E1665" t="inlineStr">
        <is>
          <t>PANTENE</t>
        </is>
      </c>
      <c r="F1665" t="n">
        <v>843.67</v>
      </c>
      <c r="G1665" t="n">
        <v>69725</v>
      </c>
      <c r="H1665" t="b">
        <v>0</v>
      </c>
      <c r="I1665" t="n">
        <v>750</v>
      </c>
      <c r="J1665" t="n">
        <v>1.1249</v>
      </c>
      <c r="K1665" t="inlineStr">
        <is>
          <t>&gt; Perfumería &gt; Cuidado Capilar &gt; Acondicionador &gt;</t>
        </is>
      </c>
      <c r="L1665" t="inlineStr">
        <is>
          <t>acondicionador</t>
        </is>
      </c>
      <c r="M1665" t="inlineStr">
        <is>
          <t>profesional</t>
        </is>
      </c>
      <c r="N1665" t="inlineStr">
        <is>
          <t>general</t>
        </is>
      </c>
      <c r="O1665" t="inlineStr">
        <is>
          <t>https://www.disco.com.ar/acondicionador-pantene-pro-v-miracles-restauracion-750-ml/p</t>
        </is>
      </c>
    </row>
    <row r="1666">
      <c r="A1666" s="10" t="inlineStr">
        <is>
          <t>Disco</t>
        </is>
      </c>
      <c r="B1666" s="10" t="n">
        <v>331939</v>
      </c>
      <c r="C1666" s="10" t="n">
        <v>331097</v>
      </c>
      <c r="D1666" s="10" t="inlineStr">
        <is>
          <t>Acondicionador Pantene Pro-v Miracles Micelar 400 Ml</t>
        </is>
      </c>
      <c r="E1666" s="10" t="inlineStr">
        <is>
          <t>PANTENE</t>
        </is>
      </c>
      <c r="F1666" s="10" t="n">
        <v>506.39</v>
      </c>
      <c r="G1666" s="10" t="n">
        <v>41850</v>
      </c>
      <c r="H1666" s="10" t="b">
        <v>0</v>
      </c>
      <c r="I1666" s="10" t="n">
        <v>400</v>
      </c>
      <c r="J1666" s="10" t="n">
        <v>1.266</v>
      </c>
      <c r="K1666" s="10" t="inlineStr">
        <is>
          <t>&gt; Perfumería &gt; Cuidado Capilar &gt; Acondicionador &gt;</t>
        </is>
      </c>
      <c r="L1666" s="10" t="inlineStr">
        <is>
          <t>acondicionador</t>
        </is>
      </c>
      <c r="M1666" s="10" t="inlineStr">
        <is>
          <t>profesional</t>
        </is>
      </c>
      <c r="N1666" s="10" t="inlineStr">
        <is>
          <t>general</t>
        </is>
      </c>
      <c r="O1666" s="10" t="inlineStr">
        <is>
          <t>https://www.disco.com.ar/acondicionador-pantene-pro-v-miracles-micelar-400-ml/p</t>
        </is>
      </c>
    </row>
    <row r="1667">
      <c r="A1667" t="inlineStr">
        <is>
          <t>Disco</t>
        </is>
      </c>
      <c r="B1667" t="n">
        <v>331938</v>
      </c>
      <c r="C1667" t="n">
        <v>331096</v>
      </c>
      <c r="D1667" t="inlineStr">
        <is>
          <t>Acondicionador Pantene Pro-v Miracles Restauración 400 Ml</t>
        </is>
      </c>
      <c r="E1667" t="inlineStr">
        <is>
          <t>PANTENE</t>
        </is>
      </c>
      <c r="F1667" t="n">
        <v>506.39</v>
      </c>
      <c r="G1667" t="n">
        <v>41850</v>
      </c>
      <c r="H1667" t="b">
        <v>0</v>
      </c>
      <c r="I1667" t="n">
        <v>400</v>
      </c>
      <c r="J1667" t="n">
        <v>1.266</v>
      </c>
      <c r="K1667" t="inlineStr">
        <is>
          <t>&gt; Perfumería &gt; Cuidado Capilar &gt; Acondicionador &gt;</t>
        </is>
      </c>
      <c r="L1667" t="inlineStr">
        <is>
          <t>acondicionador</t>
        </is>
      </c>
      <c r="M1667" t="inlineStr">
        <is>
          <t>profesional</t>
        </is>
      </c>
      <c r="N1667" t="inlineStr">
        <is>
          <t>general</t>
        </is>
      </c>
      <c r="O1667" t="inlineStr">
        <is>
          <t>https://www.disco.com.ar/acondicionador-pantene-pro-v-miracles-restauracion-400-ml/p</t>
        </is>
      </c>
    </row>
    <row r="1668">
      <c r="A1668" s="10" t="inlineStr">
        <is>
          <t>Disco</t>
        </is>
      </c>
      <c r="B1668" s="10" t="n">
        <v>331937</v>
      </c>
      <c r="C1668" s="10" t="n">
        <v>331095</v>
      </c>
      <c r="D1668" s="10" t="inlineStr">
        <is>
          <t>Shampoo Pantene Pro-v Miracles Micelar 750 Ml</t>
        </is>
      </c>
      <c r="E1668" s="10" t="inlineStr">
        <is>
          <t>PANTENE</t>
        </is>
      </c>
      <c r="F1668" s="10" t="n">
        <v>843.65</v>
      </c>
      <c r="G1668" s="10" t="n">
        <v>69723</v>
      </c>
      <c r="H1668" s="10" t="b">
        <v>0</v>
      </c>
      <c r="I1668" s="10" t="n">
        <v>750</v>
      </c>
      <c r="J1668" s="10" t="n">
        <v>1.1249</v>
      </c>
      <c r="K1668" s="10" t="inlineStr">
        <is>
          <t>&gt; Perfumería &gt; Cuidado Capilar &gt; Shampoo &gt;</t>
        </is>
      </c>
      <c r="L1668" s="10" t="inlineStr">
        <is>
          <t>shampoo</t>
        </is>
      </c>
      <c r="M1668" s="10" t="inlineStr">
        <is>
          <t>profesional</t>
        </is>
      </c>
      <c r="N1668" s="10" t="inlineStr">
        <is>
          <t>general</t>
        </is>
      </c>
      <c r="O1668" s="10" t="inlineStr">
        <is>
          <t>https://www.disco.com.ar/shampoo-pantene-pro-v-miracles-micelar-750-ml/p</t>
        </is>
      </c>
    </row>
    <row r="1669">
      <c r="A1669" t="inlineStr">
        <is>
          <t>Disco</t>
        </is>
      </c>
      <c r="B1669" t="n">
        <v>331936</v>
      </c>
      <c r="C1669" t="n">
        <v>331094</v>
      </c>
      <c r="D1669" t="inlineStr">
        <is>
          <t>Shampoo Pantene Pro-v Miracles Micelar 400 Ml</t>
        </is>
      </c>
      <c r="E1669" t="inlineStr">
        <is>
          <t>PANTENE</t>
        </is>
      </c>
      <c r="F1669" t="n">
        <v>750</v>
      </c>
      <c r="G1669" t="n">
        <v>61983</v>
      </c>
      <c r="H1669" t="b">
        <v>0</v>
      </c>
      <c r="I1669" t="n">
        <v>400</v>
      </c>
      <c r="J1669" t="n">
        <v>1.875</v>
      </c>
      <c r="K1669" t="inlineStr">
        <is>
          <t>&gt; Perfumería &gt; Cuidado Capilar &gt; Shampoo &gt;</t>
        </is>
      </c>
      <c r="L1669" t="inlineStr">
        <is>
          <t>shampoo</t>
        </is>
      </c>
      <c r="M1669" t="inlineStr">
        <is>
          <t>profesional</t>
        </is>
      </c>
      <c r="N1669" t="inlineStr">
        <is>
          <t>general</t>
        </is>
      </c>
      <c r="O1669" t="inlineStr">
        <is>
          <t>https://www.disco.com.ar/shampoo-pantene-pro-v-miracles-micelar-400-ml/p</t>
        </is>
      </c>
    </row>
    <row r="1670">
      <c r="A1670" s="10" t="inlineStr">
        <is>
          <t>Disco</t>
        </is>
      </c>
      <c r="B1670" s="10" t="n">
        <v>331935</v>
      </c>
      <c r="C1670" s="10" t="n">
        <v>331093</v>
      </c>
      <c r="D1670" s="10" t="inlineStr">
        <is>
          <t>Shampoo Pantene Pro-v Miracles Brillo Extremo 750 Ml</t>
        </is>
      </c>
      <c r="E1670" s="10" t="inlineStr">
        <is>
          <t>PANTENE</t>
        </is>
      </c>
      <c r="F1670" s="10" t="n">
        <v>843.65</v>
      </c>
      <c r="G1670" s="10" t="n">
        <v>69723</v>
      </c>
      <c r="H1670" s="10" t="b">
        <v>0</v>
      </c>
      <c r="I1670" s="10" t="n">
        <v>750</v>
      </c>
      <c r="J1670" s="10" t="n">
        <v>1.1249</v>
      </c>
      <c r="K1670" s="10" t="inlineStr">
        <is>
          <t>&gt; Perfumería &gt; Cuidado Capilar &gt; Shampoo &gt;</t>
        </is>
      </c>
      <c r="L1670" s="10" t="inlineStr">
        <is>
          <t>shampoo</t>
        </is>
      </c>
      <c r="M1670" s="10" t="inlineStr">
        <is>
          <t>profesional</t>
        </is>
      </c>
      <c r="N1670" s="10" t="inlineStr">
        <is>
          <t>general</t>
        </is>
      </c>
      <c r="O1670" s="10" t="inlineStr">
        <is>
          <t>https://www.disco.com.ar/shampoo-pantene-pro-v-miracles-brillo-extremo-750-ml/p</t>
        </is>
      </c>
    </row>
    <row r="1671">
      <c r="A1671" t="inlineStr">
        <is>
          <t>Disco</t>
        </is>
      </c>
      <c r="B1671" t="n">
        <v>331934</v>
      </c>
      <c r="C1671" t="n">
        <v>331092</v>
      </c>
      <c r="D1671" t="inlineStr">
        <is>
          <t>Shampoo Pantene Pro-v Miracles Restauración 750 Ml</t>
        </is>
      </c>
      <c r="E1671" t="inlineStr">
        <is>
          <t>PANTENE</t>
        </is>
      </c>
      <c r="F1671" t="n">
        <v>843.65</v>
      </c>
      <c r="G1671" t="n">
        <v>69723</v>
      </c>
      <c r="H1671" t="b">
        <v>0</v>
      </c>
      <c r="I1671" t="n">
        <v>750</v>
      </c>
      <c r="J1671" t="n">
        <v>1.1249</v>
      </c>
      <c r="K1671" t="inlineStr">
        <is>
          <t>&gt; Perfumería &gt; Cuidado Capilar &gt; Shampoo &gt;</t>
        </is>
      </c>
      <c r="L1671" t="inlineStr">
        <is>
          <t>shampoo</t>
        </is>
      </c>
      <c r="M1671" t="inlineStr">
        <is>
          <t>profesional</t>
        </is>
      </c>
      <c r="N1671" t="inlineStr">
        <is>
          <t>general</t>
        </is>
      </c>
      <c r="O1671" t="inlineStr">
        <is>
          <t>https://www.disco.com.ar/shampoo-pantene-pro-v-miracles-restauracion-750-ml/p</t>
        </is>
      </c>
    </row>
    <row r="1672">
      <c r="A1672" s="10" t="inlineStr">
        <is>
          <t>Disco</t>
        </is>
      </c>
      <c r="B1672" s="10" t="n">
        <v>331933</v>
      </c>
      <c r="C1672" s="10" t="n">
        <v>331091</v>
      </c>
      <c r="D1672" s="10" t="inlineStr">
        <is>
          <t>Shampoo Pantene Pro-v Miracles Restauración 400 Ml</t>
        </is>
      </c>
      <c r="E1672" s="10" t="inlineStr">
        <is>
          <t>PANTENE</t>
        </is>
      </c>
      <c r="F1672" s="10" t="n">
        <v>506.39</v>
      </c>
      <c r="G1672" s="10" t="n">
        <v>41850</v>
      </c>
      <c r="H1672" s="10" t="b">
        <v>0</v>
      </c>
      <c r="I1672" s="10" t="n">
        <v>400</v>
      </c>
      <c r="J1672" s="10" t="n">
        <v>1.266</v>
      </c>
      <c r="K1672" s="10" t="inlineStr">
        <is>
          <t>&gt; Perfumería &gt; Cuidado Capilar &gt; Shampoo &gt;</t>
        </is>
      </c>
      <c r="L1672" s="10" t="inlineStr">
        <is>
          <t>shampoo</t>
        </is>
      </c>
      <c r="M1672" s="10" t="inlineStr">
        <is>
          <t>profesional</t>
        </is>
      </c>
      <c r="N1672" s="10" t="inlineStr">
        <is>
          <t>general</t>
        </is>
      </c>
      <c r="O1672" s="10" t="inlineStr">
        <is>
          <t>https://www.disco.com.ar/shampoo-pantene-pro-v-miracles-restauracion-400-ml/p</t>
        </is>
      </c>
    </row>
    <row r="1673">
      <c r="A1673" t="inlineStr">
        <is>
          <t>Disco</t>
        </is>
      </c>
      <c r="B1673" t="n">
        <v>331932</v>
      </c>
      <c r="C1673" t="n">
        <v>331090</v>
      </c>
      <c r="D1673" t="inlineStr">
        <is>
          <t>Shampoo Pantene Pro-v Miracles Fuerza &amp; Reconstrucción 400 Ml</t>
        </is>
      </c>
      <c r="E1673" t="inlineStr">
        <is>
          <t>PANTENE</t>
        </is>
      </c>
      <c r="F1673" t="n">
        <v>506.39</v>
      </c>
      <c r="G1673" t="n">
        <v>41850</v>
      </c>
      <c r="H1673" t="b">
        <v>0</v>
      </c>
      <c r="I1673" t="n">
        <v>400</v>
      </c>
      <c r="J1673" t="n">
        <v>1.266</v>
      </c>
      <c r="K1673" t="inlineStr">
        <is>
          <t>&gt; Perfumería &gt; Cuidado Capilar &gt; Shampoo &gt;</t>
        </is>
      </c>
      <c r="L1673" t="inlineStr">
        <is>
          <t>shampoo</t>
        </is>
      </c>
      <c r="M1673" t="inlineStr">
        <is>
          <t>profesional</t>
        </is>
      </c>
      <c r="N1673" t="inlineStr">
        <is>
          <t>general</t>
        </is>
      </c>
      <c r="O1673" t="inlineStr">
        <is>
          <t>https://www.disco.com.ar/shampoo-pantene-pro-v-miracles-fuerza-reconstruccion-400-ml/p</t>
        </is>
      </c>
    </row>
    <row r="1674">
      <c r="A1674" s="10" t="inlineStr">
        <is>
          <t>Disco</t>
        </is>
      </c>
      <c r="B1674" s="10" t="n">
        <v>331931</v>
      </c>
      <c r="C1674" s="10" t="n">
        <v>331089</v>
      </c>
      <c r="D1674" s="10" t="inlineStr">
        <is>
          <t>Shampoo Pantene Pro-v Miracles Fuerza &amp; Reconstrucción 750 Ml</t>
        </is>
      </c>
      <c r="E1674" s="10" t="inlineStr">
        <is>
          <t>PANTENE</t>
        </is>
      </c>
      <c r="F1674" s="10" t="n">
        <v>843.65</v>
      </c>
      <c r="G1674" s="10" t="n">
        <v>69723</v>
      </c>
      <c r="H1674" s="10" t="b">
        <v>0</v>
      </c>
      <c r="I1674" s="10" t="n">
        <v>750</v>
      </c>
      <c r="J1674" s="10" t="n">
        <v>1.1249</v>
      </c>
      <c r="K1674" s="10" t="inlineStr">
        <is>
          <t>&gt; Perfumería &gt; Cuidado Capilar &gt; Shampoo &gt;</t>
        </is>
      </c>
      <c r="L1674" s="10" t="inlineStr">
        <is>
          <t>shampoo</t>
        </is>
      </c>
      <c r="M1674" s="10" t="inlineStr">
        <is>
          <t>profesional</t>
        </is>
      </c>
      <c r="N1674" s="10" t="inlineStr">
        <is>
          <t>general</t>
        </is>
      </c>
      <c r="O1674" s="10" t="inlineStr">
        <is>
          <t>https://www.disco.com.ar/shampoo-pantene-pro-v-miracles-fuerza-reconstruccion-750-ml/p</t>
        </is>
      </c>
    </row>
    <row r="1675">
      <c r="A1675" t="inlineStr">
        <is>
          <t>Disco</t>
        </is>
      </c>
      <c r="B1675" t="n">
        <v>331449</v>
      </c>
      <c r="C1675" t="n">
        <v>330621</v>
      </c>
      <c r="D1675" t="inlineStr">
        <is>
          <t>Shampoo Pantene Pro-v Miracles Brillo Extremo 400 Ml</t>
        </is>
      </c>
      <c r="E1675" t="inlineStr">
        <is>
          <t>PANTENE</t>
        </is>
      </c>
      <c r="F1675" t="n">
        <v>506.39</v>
      </c>
      <c r="G1675" t="n">
        <v>41850</v>
      </c>
      <c r="H1675" t="b">
        <v>0</v>
      </c>
      <c r="I1675" t="n">
        <v>400</v>
      </c>
      <c r="J1675" t="n">
        <v>1.266</v>
      </c>
      <c r="K1675" t="inlineStr">
        <is>
          <t>&gt; Perfumería &gt; Cuidado Capilar &gt; Shampoo &gt;</t>
        </is>
      </c>
      <c r="L1675" t="inlineStr">
        <is>
          <t>shampoo</t>
        </is>
      </c>
      <c r="M1675" t="inlineStr">
        <is>
          <t>profesional</t>
        </is>
      </c>
      <c r="N1675" t="inlineStr">
        <is>
          <t>general</t>
        </is>
      </c>
      <c r="O1675" t="inlineStr">
        <is>
          <t>https://www.disco.com.ar/shampoo-pantene-pro-v-miracles-brillo-extremo-400-ml/p</t>
        </is>
      </c>
    </row>
    <row r="1676">
      <c r="A1676" s="10" t="inlineStr">
        <is>
          <t>Disco</t>
        </is>
      </c>
      <c r="B1676" s="10" t="n">
        <v>316333</v>
      </c>
      <c r="C1676" s="10" t="n">
        <v>315567</v>
      </c>
      <c r="D1676" s="10" t="inlineStr">
        <is>
          <t>Tratamiento Intensivo Pelo Débil Pantene Pro-v Miracles Bambú 300 Ml</t>
        </is>
      </c>
      <c r="E1676" s="10" t="inlineStr">
        <is>
          <t>PANTENE</t>
        </is>
      </c>
      <c r="F1676" s="10" t="n">
        <v>488.19</v>
      </c>
      <c r="G1676" s="10" t="n">
        <v>40346</v>
      </c>
      <c r="H1676" s="10" t="b">
        <v>0</v>
      </c>
      <c r="I1676" s="10" t="n">
        <v>300</v>
      </c>
      <c r="J1676" s="10" t="n">
        <v>1.6273</v>
      </c>
      <c r="K1676" s="10" t="inlineStr">
        <is>
          <t>&gt; Perfumería &gt; Cuidado Capilar &gt; Reparación y Tratamientos &gt;</t>
        </is>
      </c>
      <c r="L1676" s="10" t="inlineStr">
        <is>
          <t>tratamiento</t>
        </is>
      </c>
      <c r="M1676" s="10" t="inlineStr">
        <is>
          <t>profesional</t>
        </is>
      </c>
      <c r="N1676" s="10" t="inlineStr">
        <is>
          <t>general</t>
        </is>
      </c>
      <c r="O1676" s="10" t="inlineStr">
        <is>
          <t>https://www.disco.com.ar/tratamiento-intensivo-pelo-debil-pantene-pro-v-miracles-bambu-300-ml/p</t>
        </is>
      </c>
    </row>
    <row r="1677">
      <c r="A1677" t="inlineStr">
        <is>
          <t>Disco</t>
        </is>
      </c>
      <c r="B1677" t="n">
        <v>316331</v>
      </c>
      <c r="C1677" t="n">
        <v>315565</v>
      </c>
      <c r="D1677" t="inlineStr">
        <is>
          <t>Crema Para Peinar Pantene Pro-v Bambú 300 Ml</t>
        </is>
      </c>
      <c r="E1677" t="inlineStr">
        <is>
          <t>PANTENE</t>
        </is>
      </c>
      <c r="F1677" t="n">
        <v>488.19</v>
      </c>
      <c r="G1677" t="n">
        <v>40346</v>
      </c>
      <c r="H1677" t="b">
        <v>0</v>
      </c>
      <c r="I1677" t="n">
        <v>300</v>
      </c>
      <c r="J1677" t="n">
        <v>1.6273</v>
      </c>
      <c r="K1677" t="inlineStr">
        <is>
          <t>&gt; Perfumería &gt; Cuidado Capilar &gt; Reparación y Tratamientos &gt;</t>
        </is>
      </c>
      <c r="L1677" t="inlineStr">
        <is>
          <t>shampoo</t>
        </is>
      </c>
      <c r="M1677" t="inlineStr">
        <is>
          <t>profesional</t>
        </is>
      </c>
      <c r="N1677" t="inlineStr">
        <is>
          <t>general</t>
        </is>
      </c>
      <c r="O1677" t="inlineStr">
        <is>
          <t>https://www.disco.com.ar/crema-para-peinar-pantene-pro-v-bambu-300-ml/p</t>
        </is>
      </c>
    </row>
    <row r="1678">
      <c r="A1678" s="10" t="inlineStr">
        <is>
          <t>Disco</t>
        </is>
      </c>
      <c r="B1678" s="10" t="n">
        <v>316328</v>
      </c>
      <c r="C1678" s="10" t="n">
        <v>315562</v>
      </c>
      <c r="D1678" s="10" t="inlineStr">
        <is>
          <t>Acondicionador Pantene Pro-v Bambú 700 Ml</t>
        </is>
      </c>
      <c r="E1678" s="10" t="inlineStr">
        <is>
          <t>PANTENE</t>
        </is>
      </c>
      <c r="F1678" s="10" t="n">
        <v>857.97</v>
      </c>
      <c r="G1678" s="10" t="n">
        <v>70907</v>
      </c>
      <c r="H1678" s="10" t="b">
        <v>0</v>
      </c>
      <c r="I1678" s="10" t="n">
        <v>700</v>
      </c>
      <c r="J1678" s="10" t="n">
        <v>1.2257</v>
      </c>
      <c r="K1678" s="10" t="inlineStr">
        <is>
          <t>&gt; Perfumería &gt; Cuidado Capilar &gt; Acondicionador &gt;</t>
        </is>
      </c>
      <c r="L1678" s="10" t="inlineStr">
        <is>
          <t>acondicionador</t>
        </is>
      </c>
      <c r="M1678" s="10" t="inlineStr">
        <is>
          <t>profesional</t>
        </is>
      </c>
      <c r="N1678" s="10" t="inlineStr">
        <is>
          <t>general</t>
        </is>
      </c>
      <c r="O1678" s="10" t="inlineStr">
        <is>
          <t>https://www.disco.com.ar/acondicionador-pantene-pro-v-bambu-700-ml/p</t>
        </is>
      </c>
    </row>
    <row r="1679">
      <c r="A1679" t="inlineStr">
        <is>
          <t>Disco</t>
        </is>
      </c>
      <c r="B1679" t="n">
        <v>316326</v>
      </c>
      <c r="C1679" t="n">
        <v>315560</v>
      </c>
      <c r="D1679" t="inlineStr">
        <is>
          <t>Acondicionador Pantene Pro-v Bambú 200 Ml</t>
        </is>
      </c>
      <c r="E1679" t="inlineStr">
        <is>
          <t>PANTENE</t>
        </is>
      </c>
      <c r="F1679" t="n">
        <v>325.15</v>
      </c>
      <c r="G1679" t="n">
        <v>26872</v>
      </c>
      <c r="H1679" t="b">
        <v>0</v>
      </c>
      <c r="I1679" t="n">
        <v>200</v>
      </c>
      <c r="J1679" t="n">
        <v>1.6257</v>
      </c>
      <c r="K1679" t="inlineStr">
        <is>
          <t>&gt; Perfumería &gt; Cuidado Capilar &gt; Acondicionador &gt;</t>
        </is>
      </c>
      <c r="L1679" t="inlineStr">
        <is>
          <t>acondicionador</t>
        </is>
      </c>
      <c r="M1679" t="inlineStr">
        <is>
          <t>profesional</t>
        </is>
      </c>
      <c r="N1679" t="inlineStr">
        <is>
          <t>general</t>
        </is>
      </c>
      <c r="O1679" t="inlineStr">
        <is>
          <t>https://www.disco.com.ar/acondicionador-pantene-pro-v-bambu-200-ml/p</t>
        </is>
      </c>
    </row>
    <row r="1680">
      <c r="A1680" s="10" t="inlineStr">
        <is>
          <t>Disco</t>
        </is>
      </c>
      <c r="B1680" s="10" t="n">
        <v>316325</v>
      </c>
      <c r="C1680" s="10" t="n">
        <v>315559</v>
      </c>
      <c r="D1680" s="10" t="inlineStr">
        <is>
          <t>Acondicionador 3 Minute Miracle Pantene Pro-v Bambú 170 Ml</t>
        </is>
      </c>
      <c r="E1680" s="10" t="inlineStr">
        <is>
          <t>PANTENE</t>
        </is>
      </c>
      <c r="F1680" s="10" t="n">
        <v>8400</v>
      </c>
      <c r="G1680" s="10" t="n">
        <v>694215</v>
      </c>
      <c r="H1680" s="10" t="b">
        <v>0</v>
      </c>
      <c r="I1680" s="10" t="n">
        <v>170</v>
      </c>
      <c r="J1680" s="10" t="n">
        <v>49.4118</v>
      </c>
      <c r="K1680" s="10" t="inlineStr">
        <is>
          <t>&gt; Perfumería &gt; Cuidado Capilar &gt; Acondicionador &gt;</t>
        </is>
      </c>
      <c r="L1680" s="10" t="inlineStr">
        <is>
          <t>acondicionador</t>
        </is>
      </c>
      <c r="M1680" s="10" t="inlineStr">
        <is>
          <t>profesional</t>
        </is>
      </c>
      <c r="N1680" s="10" t="inlineStr">
        <is>
          <t>general</t>
        </is>
      </c>
      <c r="O1680" s="10" t="inlineStr">
        <is>
          <t>https://www.disco.com.ar/acondicionador-3-minute-miracle-pantene-pro-v-bambu-170-ml/p</t>
        </is>
      </c>
    </row>
    <row r="1681">
      <c r="A1681" t="inlineStr">
        <is>
          <t>Disco</t>
        </is>
      </c>
      <c r="B1681" t="n">
        <v>316324</v>
      </c>
      <c r="C1681" t="n">
        <v>315558</v>
      </c>
      <c r="D1681" t="inlineStr">
        <is>
          <t>Shampoo Pantene Pro-v Bambú 750 Ml</t>
        </is>
      </c>
      <c r="E1681" t="inlineStr">
        <is>
          <t>PANTENE</t>
        </is>
      </c>
      <c r="F1681" t="n">
        <v>857.97</v>
      </c>
      <c r="G1681" t="n">
        <v>70907</v>
      </c>
      <c r="H1681" t="b">
        <v>0</v>
      </c>
      <c r="I1681" t="n">
        <v>750</v>
      </c>
      <c r="J1681" t="n">
        <v>1.144</v>
      </c>
      <c r="K1681" t="inlineStr">
        <is>
          <t>&gt; Perfumería &gt; Cuidado Capilar &gt; Shampoo &gt;</t>
        </is>
      </c>
      <c r="L1681" t="inlineStr">
        <is>
          <t>shampoo</t>
        </is>
      </c>
      <c r="M1681" t="inlineStr">
        <is>
          <t>profesional</t>
        </is>
      </c>
      <c r="N1681" t="inlineStr">
        <is>
          <t>general</t>
        </is>
      </c>
      <c r="O1681" t="inlineStr">
        <is>
          <t>https://www.disco.com.ar/shampoo-pantene-pro-v-bambu-750-ml/p</t>
        </is>
      </c>
    </row>
    <row r="1682">
      <c r="A1682" s="10" t="inlineStr">
        <is>
          <t>Disco</t>
        </is>
      </c>
      <c r="B1682" s="10" t="n">
        <v>316323</v>
      </c>
      <c r="C1682" s="10" t="n">
        <v>315557</v>
      </c>
      <c r="D1682" s="10" t="inlineStr">
        <is>
          <t>Acondicionador Pantene Pro-v Bambú 400 Ml</t>
        </is>
      </c>
      <c r="E1682" s="10" t="inlineStr">
        <is>
          <t>PANTENE</t>
        </is>
      </c>
      <c r="F1682" s="10" t="n">
        <v>493.29</v>
      </c>
      <c r="G1682" s="10" t="n">
        <v>40768</v>
      </c>
      <c r="H1682" s="10" t="b">
        <v>0</v>
      </c>
      <c r="I1682" s="10" t="n">
        <v>400</v>
      </c>
      <c r="J1682" s="10" t="n">
        <v>1.2332</v>
      </c>
      <c r="K1682" s="10" t="inlineStr">
        <is>
          <t>&gt; Perfumería &gt; Cuidado Capilar &gt; Acondicionador &gt;</t>
        </is>
      </c>
      <c r="L1682" s="10" t="inlineStr">
        <is>
          <t>acondicionador</t>
        </is>
      </c>
      <c r="M1682" s="10" t="inlineStr">
        <is>
          <t>profesional</t>
        </is>
      </c>
      <c r="N1682" s="10" t="inlineStr">
        <is>
          <t>general</t>
        </is>
      </c>
      <c r="O1682" s="10" t="inlineStr">
        <is>
          <t>https://www.disco.com.ar/acondicionador-pantene-pro-v-bambu-400-ml/p</t>
        </is>
      </c>
    </row>
    <row r="1683">
      <c r="A1683" t="inlineStr">
        <is>
          <t>Disco</t>
        </is>
      </c>
      <c r="B1683" t="n">
        <v>300730</v>
      </c>
      <c r="C1683" t="n">
        <v>299950</v>
      </c>
      <c r="D1683" t="inlineStr">
        <is>
          <t>Shampoo Pantene Pro-v Minute Miracle Summer Edition 270 Ml</t>
        </is>
      </c>
      <c r="E1683" t="inlineStr">
        <is>
          <t>PANTENE</t>
        </is>
      </c>
      <c r="F1683" t="n">
        <v>259.59</v>
      </c>
      <c r="G1683" t="n">
        <v>21454</v>
      </c>
      <c r="H1683" t="b">
        <v>0</v>
      </c>
      <c r="I1683" t="n">
        <v>270</v>
      </c>
      <c r="J1683" t="n">
        <v>0.9614</v>
      </c>
      <c r="K1683" t="inlineStr">
        <is>
          <t>&gt; Perfumería &gt; Cuidado Capilar &gt; Shampoo &gt;</t>
        </is>
      </c>
      <c r="L1683" t="inlineStr">
        <is>
          <t>shampoo</t>
        </is>
      </c>
      <c r="M1683" t="inlineStr">
        <is>
          <t>profesional</t>
        </is>
      </c>
      <c r="N1683" t="inlineStr">
        <is>
          <t>general</t>
        </is>
      </c>
      <c r="O1683" t="inlineStr">
        <is>
          <t>https://www.disco.com.ar/shampoo-pantene-pro-v-minute-miracle-summer-edition-270-ml/p</t>
        </is>
      </c>
    </row>
    <row r="1684">
      <c r="A1684" s="10" t="inlineStr">
        <is>
          <t>Disco</t>
        </is>
      </c>
      <c r="B1684" s="10" t="n">
        <v>295847</v>
      </c>
      <c r="C1684" s="10" t="n">
        <v>295077</v>
      </c>
      <c r="D1684" s="10" t="inlineStr">
        <is>
          <t>Shampoo Pantene Minute Miracle Restauración 130 Ml</t>
        </is>
      </c>
      <c r="E1684" s="10" t="inlineStr">
        <is>
          <t>PANTENE</t>
        </is>
      </c>
      <c r="F1684" s="10" t="n">
        <v>133.53</v>
      </c>
      <c r="G1684" s="10" t="n">
        <v>11036</v>
      </c>
      <c r="H1684" s="10" t="b">
        <v>0</v>
      </c>
      <c r="I1684" s="10" t="n">
        <v>130</v>
      </c>
      <c r="J1684" s="10" t="n">
        <v>1.0272</v>
      </c>
      <c r="K1684" s="10" t="inlineStr">
        <is>
          <t>&gt; Perfumería &gt; Cuidado Capilar &gt; Shampoo &gt;</t>
        </is>
      </c>
      <c r="L1684" s="10" t="inlineStr">
        <is>
          <t>shampoo</t>
        </is>
      </c>
      <c r="M1684" s="10" t="inlineStr">
        <is>
          <t>estandar</t>
        </is>
      </c>
      <c r="N1684" s="10" t="inlineStr">
        <is>
          <t>general</t>
        </is>
      </c>
      <c r="O1684" s="10" t="inlineStr">
        <is>
          <t>https://www.disco.com.ar/shampoo-pantene-minute-miracle-restauracion-130-ml/p</t>
        </is>
      </c>
    </row>
    <row r="1685">
      <c r="A1685" t="inlineStr">
        <is>
          <t>Disco</t>
        </is>
      </c>
      <c r="B1685" t="n">
        <v>295846</v>
      </c>
      <c r="C1685" t="n">
        <v>295076</v>
      </c>
      <c r="D1685" t="inlineStr">
        <is>
          <t>Shampoo Pantene Pro-v Minute Miracle Fuerza Y Reconstrucción 130 Ml</t>
        </is>
      </c>
      <c r="E1685" t="inlineStr">
        <is>
          <t>PANTENE</t>
        </is>
      </c>
      <c r="F1685" t="n">
        <v>133.53</v>
      </c>
      <c r="G1685" t="n">
        <v>11036</v>
      </c>
      <c r="H1685" t="b">
        <v>0</v>
      </c>
      <c r="I1685" t="n">
        <v>130</v>
      </c>
      <c r="J1685" t="n">
        <v>1.0272</v>
      </c>
      <c r="K1685" t="inlineStr">
        <is>
          <t>&gt; Perfumería &gt; Cuidado Capilar &gt; Shampoo &gt;</t>
        </is>
      </c>
      <c r="L1685" t="inlineStr">
        <is>
          <t>shampoo</t>
        </is>
      </c>
      <c r="M1685" t="inlineStr">
        <is>
          <t>profesional</t>
        </is>
      </c>
      <c r="N1685" t="inlineStr">
        <is>
          <t>general</t>
        </is>
      </c>
      <c r="O1685" t="inlineStr">
        <is>
          <t>https://www.disco.com.ar/shampoo-pantene-pro-v-minute-miracle-fuerza-y-reconstruccion-130-ml/p</t>
        </is>
      </c>
    </row>
    <row r="1686">
      <c r="A1686" s="10" t="inlineStr">
        <is>
          <t>Disco</t>
        </is>
      </c>
      <c r="B1686" s="10" t="n">
        <v>289453</v>
      </c>
      <c r="C1686" s="10" t="n">
        <v>288701</v>
      </c>
      <c r="D1686" s="10" t="inlineStr">
        <is>
          <t>Shampoo Pantene Pro-v Minute Miracle Hidratación Extrema 270 Ml</t>
        </is>
      </c>
      <c r="E1686" s="10" t="inlineStr">
        <is>
          <t>PANTENE</t>
        </is>
      </c>
      <c r="F1686" s="10" t="n">
        <v>201.29</v>
      </c>
      <c r="G1686" s="10" t="n">
        <v>16636</v>
      </c>
      <c r="H1686" s="10" t="b">
        <v>0</v>
      </c>
      <c r="I1686" s="10" t="n">
        <v>270</v>
      </c>
      <c r="J1686" s="10" t="n">
        <v>0.7455000000000001</v>
      </c>
      <c r="K1686" s="10" t="inlineStr">
        <is>
          <t>&gt; Perfumería &gt; Cuidado Capilar &gt; Shampoo &gt;</t>
        </is>
      </c>
      <c r="L1686" s="10" t="inlineStr">
        <is>
          <t>shampoo</t>
        </is>
      </c>
      <c r="M1686" s="10" t="inlineStr">
        <is>
          <t>profesional</t>
        </is>
      </c>
      <c r="N1686" s="10" t="inlineStr">
        <is>
          <t>seco_danado</t>
        </is>
      </c>
      <c r="O1686" s="10" t="inlineStr">
        <is>
          <t>https://www.disco.com.ar/shampoo-pantene-pro-v-minute-miracle-hidratacion-extrema-270-ml/p</t>
        </is>
      </c>
    </row>
    <row r="1687">
      <c r="A1687" t="inlineStr">
        <is>
          <t>Disco</t>
        </is>
      </c>
      <c r="B1687" t="n">
        <v>289452</v>
      </c>
      <c r="C1687" t="n">
        <v>288700</v>
      </c>
      <c r="D1687" t="inlineStr">
        <is>
          <t>Shampoo Pantene Pro-v Minute Miracle Fuerza Y Reconstrucción 270 Ml</t>
        </is>
      </c>
      <c r="E1687" t="inlineStr">
        <is>
          <t>PANTENE</t>
        </is>
      </c>
      <c r="F1687" t="n">
        <v>189.89</v>
      </c>
      <c r="G1687" t="n">
        <v>15693</v>
      </c>
      <c r="H1687" t="b">
        <v>0</v>
      </c>
      <c r="I1687" t="n">
        <v>270</v>
      </c>
      <c r="J1687" t="n">
        <v>0.7033</v>
      </c>
      <c r="K1687" t="inlineStr">
        <is>
          <t>&gt; Perfumería &gt; Cuidado Capilar &gt; Shampoo &gt;</t>
        </is>
      </c>
      <c r="L1687" t="inlineStr">
        <is>
          <t>shampoo</t>
        </is>
      </c>
      <c r="M1687" t="inlineStr">
        <is>
          <t>profesional</t>
        </is>
      </c>
      <c r="N1687" t="inlineStr">
        <is>
          <t>general</t>
        </is>
      </c>
      <c r="O1687" t="inlineStr">
        <is>
          <t>https://www.disco.com.ar/shampoo-pantene-pro-v-minute-miracle-fuerza-y-reconstruccion-270-ml/p</t>
        </is>
      </c>
    </row>
    <row r="1688">
      <c r="A1688" s="10" t="inlineStr">
        <is>
          <t>Disco</t>
        </is>
      </c>
      <c r="B1688" s="10" t="n">
        <v>289451</v>
      </c>
      <c r="C1688" s="10" t="n">
        <v>288699</v>
      </c>
      <c r="D1688" s="10" t="inlineStr">
        <is>
          <t>Shampoo Pantene Pro-v Minute Miracle Rizos Definidos 270 Ml</t>
        </is>
      </c>
      <c r="E1688" s="10" t="inlineStr">
        <is>
          <t>PANTENE</t>
        </is>
      </c>
      <c r="F1688" s="10" t="n">
        <v>189.89</v>
      </c>
      <c r="G1688" s="10" t="n">
        <v>15693</v>
      </c>
      <c r="H1688" s="10" t="b">
        <v>0</v>
      </c>
      <c r="I1688" s="10" t="n">
        <v>270</v>
      </c>
      <c r="J1688" s="10" t="n">
        <v>0.7033</v>
      </c>
      <c r="K1688" s="10" t="inlineStr">
        <is>
          <t>&gt; Perfumería &gt; Cuidado Capilar &gt; Shampoo &gt;</t>
        </is>
      </c>
      <c r="L1688" s="10" t="inlineStr">
        <is>
          <t>shampoo</t>
        </is>
      </c>
      <c r="M1688" s="10" t="inlineStr">
        <is>
          <t>profesional</t>
        </is>
      </c>
      <c r="N1688" s="10" t="inlineStr">
        <is>
          <t>rizado</t>
        </is>
      </c>
      <c r="O1688" s="10" t="inlineStr">
        <is>
          <t>https://www.disco.com.ar/shampoo-pantene-pro-v-minute-miracle-rizos-definidos-270-ml/p</t>
        </is>
      </c>
    </row>
    <row r="1689">
      <c r="A1689" t="inlineStr">
        <is>
          <t>Disco</t>
        </is>
      </c>
      <c r="B1689" t="n">
        <v>289450</v>
      </c>
      <c r="C1689" t="n">
        <v>288698</v>
      </c>
      <c r="D1689" t="inlineStr">
        <is>
          <t>Shampoo Pantene Pro-v Minute Miracle Restauración 270 Ml</t>
        </is>
      </c>
      <c r="E1689" t="inlineStr">
        <is>
          <t>PANTENE</t>
        </is>
      </c>
      <c r="F1689" t="n">
        <v>201.29</v>
      </c>
      <c r="G1689" t="n">
        <v>16636</v>
      </c>
      <c r="H1689" t="b">
        <v>0</v>
      </c>
      <c r="I1689" t="n">
        <v>270</v>
      </c>
      <c r="J1689" t="n">
        <v>0.7455000000000001</v>
      </c>
      <c r="K1689" t="inlineStr">
        <is>
          <t>&gt; Perfumería &gt; Cuidado Capilar &gt; Shampoo &gt;</t>
        </is>
      </c>
      <c r="L1689" t="inlineStr">
        <is>
          <t>shampoo</t>
        </is>
      </c>
      <c r="M1689" t="inlineStr">
        <is>
          <t>profesional</t>
        </is>
      </c>
      <c r="N1689" t="inlineStr">
        <is>
          <t>general</t>
        </is>
      </c>
      <c r="O1689" t="inlineStr">
        <is>
          <t>https://www.disco.com.ar/shampoo-pantene-pro-v-minute-miracle-restauracion-270-ml/p</t>
        </is>
      </c>
    </row>
    <row r="1690">
      <c r="A1690" s="10" t="inlineStr">
        <is>
          <t>Disco</t>
        </is>
      </c>
      <c r="B1690" s="10" t="n">
        <v>288618</v>
      </c>
      <c r="C1690" s="10" t="n">
        <v>287865</v>
      </c>
      <c r="D1690" s="10" t="inlineStr">
        <is>
          <t>Acondicionador Diario Pantene Pro-v Restauración 3 Minute Miracle 10 Ml</t>
        </is>
      </c>
      <c r="E1690" s="10" t="inlineStr">
        <is>
          <t>PANTENE</t>
        </is>
      </c>
      <c r="F1690" s="10" t="n">
        <v>14.39</v>
      </c>
      <c r="G1690" s="10" t="n">
        <v>1189</v>
      </c>
      <c r="H1690" s="10" t="b">
        <v>0</v>
      </c>
      <c r="I1690" s="10" t="n">
        <v>10</v>
      </c>
      <c r="J1690" s="10" t="n">
        <v>1.439</v>
      </c>
      <c r="K1690" s="10" t="inlineStr">
        <is>
          <t>&gt; Perfumería &gt; Cuidado Capilar &gt; Acondicionador &gt;</t>
        </is>
      </c>
      <c r="L1690" s="10" t="inlineStr">
        <is>
          <t>acondicionador</t>
        </is>
      </c>
      <c r="M1690" s="10" t="inlineStr">
        <is>
          <t>profesional</t>
        </is>
      </c>
      <c r="N1690" s="10" t="inlineStr">
        <is>
          <t>general</t>
        </is>
      </c>
      <c r="O1690" s="10" t="inlineStr">
        <is>
          <t>https://www.disco.com.ar/acondicionador-diario-pantene-pro-v-restauracion-3-minute-miracle-10-ml/p</t>
        </is>
      </c>
    </row>
    <row r="1691">
      <c r="A1691" t="inlineStr">
        <is>
          <t>Disco</t>
        </is>
      </c>
      <c r="B1691" t="n">
        <v>278514</v>
      </c>
      <c r="C1691" t="n">
        <v>277770</v>
      </c>
      <c r="D1691" t="inlineStr">
        <is>
          <t>Acondicionador Diario Pantene Pro-v 3 Minute Miracle Restauración 90 Ml</t>
        </is>
      </c>
      <c r="E1691" t="inlineStr">
        <is>
          <t>PANTENE</t>
        </is>
      </c>
      <c r="F1691" t="n">
        <v>395.99</v>
      </c>
      <c r="G1691" t="n">
        <v>32726</v>
      </c>
      <c r="H1691" t="b">
        <v>0</v>
      </c>
      <c r="I1691" t="n">
        <v>90</v>
      </c>
      <c r="J1691" t="n">
        <v>4.3999</v>
      </c>
      <c r="K1691" t="inlineStr">
        <is>
          <t>&gt; Perfumería &gt; Cuidado Capilar &gt; Acondicionador &gt;</t>
        </is>
      </c>
      <c r="L1691" t="inlineStr">
        <is>
          <t>acondicionador</t>
        </is>
      </c>
      <c r="M1691" t="inlineStr">
        <is>
          <t>profesional</t>
        </is>
      </c>
      <c r="N1691" t="inlineStr">
        <is>
          <t>general</t>
        </is>
      </c>
      <c r="O1691" t="inlineStr">
        <is>
          <t>https://www.disco.com.ar/acondicionador-diario-pantene-pro-v-3-minute-miracle-restauracion-90-ml/p</t>
        </is>
      </c>
    </row>
    <row r="1692">
      <c r="A1692" s="10" t="inlineStr">
        <is>
          <t>Disco</t>
        </is>
      </c>
      <c r="B1692" s="10" t="n">
        <v>278513</v>
      </c>
      <c r="C1692" s="10" t="n">
        <v>277769</v>
      </c>
      <c r="D1692" s="10" t="inlineStr">
        <is>
          <t>Acondicionador Diario Pantene Pro-v 3 Minute Miracle Fuerza Y Reconstrucción 90 Ml</t>
        </is>
      </c>
      <c r="E1692" s="10" t="inlineStr">
        <is>
          <t>PANTENE</t>
        </is>
      </c>
      <c r="F1692" s="10" t="n">
        <v>153.09</v>
      </c>
      <c r="G1692" s="10" t="n">
        <v>12652</v>
      </c>
      <c r="H1692" s="10" t="b">
        <v>0</v>
      </c>
      <c r="I1692" s="10" t="n">
        <v>90</v>
      </c>
      <c r="J1692" s="10" t="n">
        <v>1.701</v>
      </c>
      <c r="K1692" s="10" t="inlineStr">
        <is>
          <t>&gt; Perfumería &gt; Cuidado Capilar &gt; Acondicionador &gt;</t>
        </is>
      </c>
      <c r="L1692" s="10" t="inlineStr">
        <is>
          <t>acondicionador</t>
        </is>
      </c>
      <c r="M1692" s="10" t="inlineStr">
        <is>
          <t>profesional</t>
        </is>
      </c>
      <c r="N1692" s="10" t="inlineStr">
        <is>
          <t>general</t>
        </is>
      </c>
      <c r="O1692" s="10" t="inlineStr">
        <is>
          <t>https://www.disco.com.ar/acondicionador-diario-pantene-pro-v-3-minute-miracle-fuerza-y-reconstruccion-90-ml/p</t>
        </is>
      </c>
    </row>
    <row r="1693">
      <c r="A1693" t="inlineStr">
        <is>
          <t>Disco</t>
        </is>
      </c>
      <c r="B1693" t="n">
        <v>273031</v>
      </c>
      <c r="C1693" t="n">
        <v>272328</v>
      </c>
      <c r="D1693" t="inlineStr">
        <is>
          <t>Acondicionador Diario Pantene Pro-v 3 Minute Miracle Summer Edition 90 Ml</t>
        </is>
      </c>
      <c r="E1693" t="inlineStr">
        <is>
          <t>PANTENE</t>
        </is>
      </c>
      <c r="F1693" t="n">
        <v>126.69</v>
      </c>
      <c r="G1693" t="n">
        <v>10470</v>
      </c>
      <c r="H1693" t="b">
        <v>0</v>
      </c>
      <c r="I1693" t="n">
        <v>90</v>
      </c>
      <c r="J1693" t="n">
        <v>1.4077</v>
      </c>
      <c r="K1693" t="inlineStr">
        <is>
          <t>&gt; Perfumería &gt; Cuidado Capilar &gt; Shampoo &gt;</t>
        </is>
      </c>
      <c r="L1693" t="inlineStr">
        <is>
          <t>acondicionador</t>
        </is>
      </c>
      <c r="M1693" t="inlineStr">
        <is>
          <t>profesional</t>
        </is>
      </c>
      <c r="N1693" t="inlineStr">
        <is>
          <t>general</t>
        </is>
      </c>
      <c r="O1693" t="inlineStr">
        <is>
          <t>https://www.disco.com.ar/acondicionador-diario-pantene-pro-v-3-minute-miracle-summer-edition-90-ml/p</t>
        </is>
      </c>
    </row>
    <row r="1694">
      <c r="A1694" s="10" t="inlineStr">
        <is>
          <t>Disco</t>
        </is>
      </c>
      <c r="B1694" s="10" t="n">
        <v>273025</v>
      </c>
      <c r="C1694" s="10" t="n">
        <v>272322</v>
      </c>
      <c r="D1694" s="10" t="inlineStr">
        <is>
          <t>Kit Shampoo Head &amp; Shoulders Limpieza Renovadora 200 Ml  Acondicionador Pantene 3 Minute Miracle Fue</t>
        </is>
      </c>
      <c r="E1694" s="10" t="inlineStr">
        <is>
          <t>PANTENE</t>
        </is>
      </c>
      <c r="F1694" s="10" t="n">
        <v>117.19</v>
      </c>
      <c r="G1694" s="10" t="n">
        <v>117.19</v>
      </c>
      <c r="H1694" s="10" t="b">
        <v>0</v>
      </c>
      <c r="I1694" s="10" t="n">
        <v>200</v>
      </c>
      <c r="J1694" s="10" t="n">
        <v>0.5859</v>
      </c>
      <c r="K1694" s="10" t="inlineStr">
        <is>
          <t>&gt; Perfumería &gt; Cuidado Capilar &gt; Shampoo &gt;</t>
        </is>
      </c>
      <c r="L1694" s="10" t="inlineStr">
        <is>
          <t>acondicionador</t>
        </is>
      </c>
      <c r="M1694" s="10" t="inlineStr">
        <is>
          <t>estandar</t>
        </is>
      </c>
      <c r="N1694" s="10" t="inlineStr">
        <is>
          <t>general</t>
        </is>
      </c>
      <c r="O1694" s="10" t="inlineStr">
        <is>
          <t>https://www.disco.com.ar/kit-shampoo-head-shoulders-limpieza-renovadora-200-ml-acondicionador-pantene-3-minute-miracle-fue/p</t>
        </is>
      </c>
    </row>
    <row r="1695">
      <c r="A1695" t="inlineStr">
        <is>
          <t>Disco</t>
        </is>
      </c>
      <c r="B1695" t="n">
        <v>263395</v>
      </c>
      <c r="C1695" t="n">
        <v>263153</v>
      </c>
      <c r="D1695" t="inlineStr">
        <is>
          <t>Shampoo Pantene Pro-v Restauración 10 Ml</t>
        </is>
      </c>
      <c r="E1695" t="inlineStr">
        <is>
          <t>PANTENE</t>
        </is>
      </c>
      <c r="F1695" t="n">
        <v>19.23</v>
      </c>
      <c r="G1695" t="n">
        <v>1589</v>
      </c>
      <c r="H1695" t="b">
        <v>0</v>
      </c>
      <c r="I1695" t="n">
        <v>10</v>
      </c>
      <c r="J1695" t="n">
        <v>1.923</v>
      </c>
      <c r="K1695" t="inlineStr">
        <is>
          <t>&gt; Perfumería &gt; Cuidado Capilar &gt; Shampoo &gt;</t>
        </is>
      </c>
      <c r="L1695" t="inlineStr">
        <is>
          <t>shampoo</t>
        </is>
      </c>
      <c r="M1695" t="inlineStr">
        <is>
          <t>profesional</t>
        </is>
      </c>
      <c r="N1695" t="inlineStr">
        <is>
          <t>general</t>
        </is>
      </c>
      <c r="O1695" t="inlineStr">
        <is>
          <t>https://www.disco.com.ar/shampoo-pantene-pro-v-restauracion-10-ml/p</t>
        </is>
      </c>
    </row>
    <row r="1696">
      <c r="A1696" s="10" t="inlineStr">
        <is>
          <t>Disco</t>
        </is>
      </c>
      <c r="B1696" s="10" t="n">
        <v>262649</v>
      </c>
      <c r="C1696" s="10" t="n">
        <v>261938</v>
      </c>
      <c r="D1696" s="10" t="inlineStr">
        <is>
          <t>Shampoo Pantene Pro-v Micelar 750 Ml</t>
        </is>
      </c>
      <c r="E1696" s="10" t="inlineStr">
        <is>
          <t>PANTENE</t>
        </is>
      </c>
      <c r="F1696" s="10" t="n">
        <v>494.89</v>
      </c>
      <c r="G1696" s="10" t="n">
        <v>40900</v>
      </c>
      <c r="H1696" s="10" t="b">
        <v>0</v>
      </c>
      <c r="I1696" s="10" t="n">
        <v>750</v>
      </c>
      <c r="J1696" s="10" t="n">
        <v>0.6599</v>
      </c>
      <c r="K1696" s="10" t="inlineStr">
        <is>
          <t>&gt; Perfumería &gt; Cuidado Capilar &gt; Shampoo &gt;</t>
        </is>
      </c>
      <c r="L1696" s="10" t="inlineStr">
        <is>
          <t>shampoo</t>
        </is>
      </c>
      <c r="M1696" s="10" t="inlineStr">
        <is>
          <t>profesional</t>
        </is>
      </c>
      <c r="N1696" s="10" t="inlineStr">
        <is>
          <t>general</t>
        </is>
      </c>
      <c r="O1696" s="10" t="inlineStr">
        <is>
          <t>https://www.disco.com.ar/shampoo-pantene-pro-v-micelar-750-ml/p</t>
        </is>
      </c>
    </row>
    <row r="1697">
      <c r="A1697" t="inlineStr">
        <is>
          <t>Disco</t>
        </is>
      </c>
      <c r="B1697" t="n">
        <v>262647</v>
      </c>
      <c r="C1697" t="n">
        <v>261936</v>
      </c>
      <c r="D1697" t="inlineStr">
        <is>
          <t>Shampoo Pantene Pro-v Micelar 200 Ml</t>
        </is>
      </c>
      <c r="E1697" t="inlineStr">
        <is>
          <t>PANTENE</t>
        </is>
      </c>
      <c r="F1697" t="n">
        <v>173.39</v>
      </c>
      <c r="G1697" t="n">
        <v>14330</v>
      </c>
      <c r="H1697" t="b">
        <v>0</v>
      </c>
      <c r="I1697" t="n">
        <v>200</v>
      </c>
      <c r="J1697" t="n">
        <v>0.8669</v>
      </c>
      <c r="K1697" t="inlineStr">
        <is>
          <t>&gt; Perfumería &gt; Cuidado Capilar &gt; Shampoo &gt;</t>
        </is>
      </c>
      <c r="L1697" t="inlineStr">
        <is>
          <t>shampoo</t>
        </is>
      </c>
      <c r="M1697" t="inlineStr">
        <is>
          <t>profesional</t>
        </is>
      </c>
      <c r="N1697" t="inlineStr">
        <is>
          <t>general</t>
        </is>
      </c>
      <c r="O1697" t="inlineStr">
        <is>
          <t>https://www.disco.com.ar/shampoo-pantene-pro-v-micelar-200-ml/p</t>
        </is>
      </c>
    </row>
    <row r="1698">
      <c r="A1698" s="10" t="inlineStr">
        <is>
          <t>Disco</t>
        </is>
      </c>
      <c r="B1698" s="10" t="n">
        <v>262645</v>
      </c>
      <c r="C1698" s="10" t="n">
        <v>261934</v>
      </c>
      <c r="D1698" s="10" t="inlineStr">
        <is>
          <t>Acondicionador Pantene Pro-v Micelar 200 Ml</t>
        </is>
      </c>
      <c r="E1698" s="10" t="inlineStr">
        <is>
          <t>PANTENE</t>
        </is>
      </c>
      <c r="F1698" s="10" t="n">
        <v>173.39</v>
      </c>
      <c r="G1698" s="10" t="n">
        <v>14330</v>
      </c>
      <c r="H1698" s="10" t="b">
        <v>0</v>
      </c>
      <c r="I1698" s="10" t="n">
        <v>200</v>
      </c>
      <c r="J1698" s="10" t="n">
        <v>0.8669</v>
      </c>
      <c r="K1698" s="10" t="inlineStr">
        <is>
          <t>&gt; Perfumería &gt; Cuidado Capilar &gt; Acondicionador &gt;</t>
        </is>
      </c>
      <c r="L1698" s="10" t="inlineStr">
        <is>
          <t>acondicionador</t>
        </is>
      </c>
      <c r="M1698" s="10" t="inlineStr">
        <is>
          <t>profesional</t>
        </is>
      </c>
      <c r="N1698" s="10" t="inlineStr">
        <is>
          <t>general</t>
        </is>
      </c>
      <c r="O1698" s="10" t="inlineStr">
        <is>
          <t>https://www.disco.com.ar/acondicionador-pantene-pro-v-micelar-200-ml/p</t>
        </is>
      </c>
    </row>
    <row r="1699">
      <c r="A1699" t="inlineStr">
        <is>
          <t>Disco</t>
        </is>
      </c>
      <c r="B1699" t="n">
        <v>262644</v>
      </c>
      <c r="C1699" t="n">
        <v>261933</v>
      </c>
      <c r="D1699" t="inlineStr">
        <is>
          <t>Acondicionador Pantene Pro-v Micelar 700 Ml</t>
        </is>
      </c>
      <c r="E1699" t="inlineStr">
        <is>
          <t>PANTENE</t>
        </is>
      </c>
      <c r="F1699" t="n">
        <v>457.55</v>
      </c>
      <c r="G1699" t="n">
        <v>37814</v>
      </c>
      <c r="H1699" t="b">
        <v>0</v>
      </c>
      <c r="I1699" t="n">
        <v>700</v>
      </c>
      <c r="J1699" t="n">
        <v>0.6536</v>
      </c>
      <c r="K1699" t="inlineStr">
        <is>
          <t>&gt; Perfumería &gt; Cuidado Capilar &gt; Acondicionador &gt;</t>
        </is>
      </c>
      <c r="L1699" t="inlineStr">
        <is>
          <t>acondicionador</t>
        </is>
      </c>
      <c r="M1699" t="inlineStr">
        <is>
          <t>profesional</t>
        </is>
      </c>
      <c r="N1699" t="inlineStr">
        <is>
          <t>general</t>
        </is>
      </c>
      <c r="O1699" t="inlineStr">
        <is>
          <t>https://www.disco.com.ar/acondicionador-pantene-pro-v-micelar-700-ml/p</t>
        </is>
      </c>
    </row>
    <row r="1700">
      <c r="A1700" s="10" t="inlineStr">
        <is>
          <t>Disco</t>
        </is>
      </c>
      <c r="B1700" s="10" t="n">
        <v>248178</v>
      </c>
      <c r="C1700" s="10" t="n">
        <v>244861</v>
      </c>
      <c r="D1700" s="10" t="inlineStr">
        <is>
          <t>Kit Pantene Pro-v Summer Edition Shampoo 400ml  Acondicionador 3 Minute Miracle 170 Ml</t>
        </is>
      </c>
      <c r="E1700" s="10" t="inlineStr">
        <is>
          <t>PANTENE</t>
        </is>
      </c>
      <c r="F1700" s="10" t="n">
        <v>291.47</v>
      </c>
      <c r="G1700" s="10" t="n">
        <v>24088</v>
      </c>
      <c r="H1700" s="10" t="b">
        <v>0</v>
      </c>
      <c r="I1700" s="10" t="n">
        <v>400</v>
      </c>
      <c r="J1700" s="10" t="n">
        <v>0.7287</v>
      </c>
      <c r="K1700" s="10" t="inlineStr">
        <is>
          <t>&gt; Perfumería &gt; Cuidado Capilar &gt; Shampoo &gt;</t>
        </is>
      </c>
      <c r="L1700" s="10" t="inlineStr">
        <is>
          <t>acondicionador</t>
        </is>
      </c>
      <c r="M1700" s="10" t="inlineStr">
        <is>
          <t>profesional</t>
        </is>
      </c>
      <c r="N1700" s="10" t="inlineStr">
        <is>
          <t>general</t>
        </is>
      </c>
      <c r="O1700" s="10" t="inlineStr">
        <is>
          <t>https://www.disco.com.ar/kit-pantene-pro-v-summer-edition-shampoo-400ml-acondicionador-3-minute-miracle-170-ml/p</t>
        </is>
      </c>
    </row>
    <row r="1701">
      <c r="A1701" t="inlineStr">
        <is>
          <t>Disco</t>
        </is>
      </c>
      <c r="B1701" t="n">
        <v>246368</v>
      </c>
      <c r="C1701" t="n">
        <v>243255</v>
      </c>
      <c r="D1701" t="inlineStr">
        <is>
          <t>Acondicionador Diario Pantene Pro-v 3 Minute Miracle Summer Edition 170 Ml</t>
        </is>
      </c>
      <c r="E1701" t="inlineStr">
        <is>
          <t>PANTENE</t>
        </is>
      </c>
      <c r="F1701" t="n">
        <v>189.49</v>
      </c>
      <c r="G1701" t="n">
        <v>15660</v>
      </c>
      <c r="H1701" t="b">
        <v>0</v>
      </c>
      <c r="I1701" t="n">
        <v>170</v>
      </c>
      <c r="J1701" t="n">
        <v>1.1146</v>
      </c>
      <c r="K1701" t="inlineStr">
        <is>
          <t>&gt; Perfumería &gt; Cuidado Capilar &gt; Acondicionador &gt;</t>
        </is>
      </c>
      <c r="L1701" t="inlineStr">
        <is>
          <t>acondicionador</t>
        </is>
      </c>
      <c r="M1701" t="inlineStr">
        <is>
          <t>profesional</t>
        </is>
      </c>
      <c r="N1701" t="inlineStr">
        <is>
          <t>general</t>
        </is>
      </c>
      <c r="O1701" t="inlineStr">
        <is>
          <t>https://www.disco.com.ar/acondicionador-diario-pantene-pro-v-3-minute-miracle-summer-edition-170-ml/p</t>
        </is>
      </c>
    </row>
    <row r="1702">
      <c r="A1702" s="10" t="inlineStr">
        <is>
          <t>Disco</t>
        </is>
      </c>
      <c r="B1702" s="10" t="n">
        <v>238469</v>
      </c>
      <c r="C1702" s="10" t="n">
        <v>202918</v>
      </c>
      <c r="D1702" s="10" t="inlineStr">
        <is>
          <t>Acondicionador Pantene Pro V X 2 Un</t>
        </is>
      </c>
      <c r="E1702" s="10" t="inlineStr">
        <is>
          <t>PANTENE</t>
        </is>
      </c>
      <c r="F1702" s="10" t="n">
        <v>22.97</v>
      </c>
      <c r="G1702" s="10" t="n">
        <v>22.97</v>
      </c>
      <c r="H1702" s="10" t="b">
        <v>0</v>
      </c>
      <c r="I1702" s="10" t="inlineStr"/>
      <c r="J1702" s="10" t="inlineStr"/>
      <c r="K1702" s="10" t="inlineStr">
        <is>
          <t>&gt; Perfumería &gt; Cuidado Capilar &gt; Acondicionador &gt;</t>
        </is>
      </c>
      <c r="L1702" s="10" t="inlineStr">
        <is>
          <t>acondicionador</t>
        </is>
      </c>
      <c r="M1702" s="10" t="inlineStr">
        <is>
          <t>profesional</t>
        </is>
      </c>
      <c r="N1702" s="10" t="inlineStr">
        <is>
          <t>general</t>
        </is>
      </c>
      <c r="O1702" s="10" t="inlineStr">
        <is>
          <t>https://www.disco.com.ar/acondicionador-pantene-pro-v-x-2-un-9-274818/p</t>
        </is>
      </c>
    </row>
    <row r="1703">
      <c r="A1703" t="inlineStr">
        <is>
          <t>Disco</t>
        </is>
      </c>
      <c r="B1703" t="n">
        <v>236964</v>
      </c>
      <c r="C1703" t="n">
        <v>195840</v>
      </c>
      <c r="D1703" t="inlineStr">
        <is>
          <t>Sh Pantene Brillo Extremo</t>
        </is>
      </c>
      <c r="E1703" t="inlineStr">
        <is>
          <t>PANTENE</t>
        </is>
      </c>
      <c r="F1703" t="n">
        <v>20.29</v>
      </c>
      <c r="G1703" t="n">
        <v>20.29</v>
      </c>
      <c r="H1703" t="b">
        <v>0</v>
      </c>
      <c r="I1703" t="inlineStr"/>
      <c r="J1703" t="inlineStr"/>
      <c r="K1703" t="inlineStr">
        <is>
          <t>&gt; Perfumería &gt; Cuidado Capilar &gt; Shampoo &gt;</t>
        </is>
      </c>
      <c r="L1703" t="inlineStr">
        <is>
          <t>shampoo</t>
        </is>
      </c>
      <c r="M1703" t="inlineStr">
        <is>
          <t>estandar</t>
        </is>
      </c>
      <c r="N1703" t="inlineStr">
        <is>
          <t>general</t>
        </is>
      </c>
      <c r="O1703" t="inlineStr">
        <is>
          <t>https://www.disco.com.ar/sh-pantene-brillo-extremo-292729/p</t>
        </is>
      </c>
    </row>
    <row r="1704">
      <c r="A1704" s="10" t="inlineStr">
        <is>
          <t>Disco</t>
        </is>
      </c>
      <c r="B1704" s="10" t="n">
        <v>236206</v>
      </c>
      <c r="C1704" s="10" t="n">
        <v>204883</v>
      </c>
      <c r="D1704" s="10" t="inlineStr">
        <is>
          <t>Shampoo Pantene Pro V X 3 Un</t>
        </is>
      </c>
      <c r="E1704" s="10" t="inlineStr">
        <is>
          <t>PANTENE</t>
        </is>
      </c>
      <c r="F1704" s="10" t="n">
        <v>31.09</v>
      </c>
      <c r="G1704" s="10" t="n">
        <v>31.09</v>
      </c>
      <c r="H1704" s="10" t="b">
        <v>0</v>
      </c>
      <c r="I1704" s="10" t="inlineStr"/>
      <c r="J1704" s="10" t="inlineStr"/>
      <c r="K1704" s="10" t="inlineStr">
        <is>
          <t>&gt; Perfumería &gt; Cuidado Capilar &gt; Shampoo &gt;</t>
        </is>
      </c>
      <c r="L1704" s="10" t="inlineStr">
        <is>
          <t>shampoo</t>
        </is>
      </c>
      <c r="M1704" s="10" t="inlineStr">
        <is>
          <t>profesional</t>
        </is>
      </c>
      <c r="N1704" s="10" t="inlineStr">
        <is>
          <t>general</t>
        </is>
      </c>
      <c r="O1704" s="10" t="inlineStr">
        <is>
          <t>https://www.disco.com.ar/shampoo-pantene-pro-v-x-3-un-4-271213/p</t>
        </is>
      </c>
    </row>
    <row r="1705">
      <c r="A1705" t="inlineStr">
        <is>
          <t>Disco</t>
        </is>
      </c>
      <c r="B1705" t="n">
        <v>236179</v>
      </c>
      <c r="C1705" t="n">
        <v>204919</v>
      </c>
      <c r="D1705" t="inlineStr">
        <is>
          <t>Shampoo Pantene Pro V X 3 Un</t>
        </is>
      </c>
      <c r="E1705" t="inlineStr">
        <is>
          <t>PANTENE</t>
        </is>
      </c>
      <c r="F1705" t="n">
        <v>31.09</v>
      </c>
      <c r="G1705" t="n">
        <v>31.09</v>
      </c>
      <c r="H1705" t="b">
        <v>0</v>
      </c>
      <c r="I1705" t="inlineStr"/>
      <c r="J1705" t="inlineStr"/>
      <c r="K1705" t="inlineStr">
        <is>
          <t>&gt; Perfumería &gt; Cuidado Capilar &gt; Shampoo &gt;</t>
        </is>
      </c>
      <c r="L1705" t="inlineStr">
        <is>
          <t>shampoo</t>
        </is>
      </c>
      <c r="M1705" t="inlineStr">
        <is>
          <t>profesional</t>
        </is>
      </c>
      <c r="N1705" t="inlineStr">
        <is>
          <t>general</t>
        </is>
      </c>
      <c r="O1705" t="inlineStr">
        <is>
          <t>https://www.disco.com.ar/shampoo-pantene-pro-v-x-3-un-3-271215/p</t>
        </is>
      </c>
    </row>
    <row r="1706">
      <c r="A1706" s="10" t="inlineStr">
        <is>
          <t>Disco</t>
        </is>
      </c>
      <c r="B1706" s="10" t="n">
        <v>236168</v>
      </c>
      <c r="C1706" s="10" t="n">
        <v>204927</v>
      </c>
      <c r="D1706" s="10" t="inlineStr">
        <is>
          <t>Shampoo Pantene  Pro V X 3 Un</t>
        </is>
      </c>
      <c r="E1706" s="10" t="inlineStr">
        <is>
          <t>PANTENE</t>
        </is>
      </c>
      <c r="F1706" s="10" t="n">
        <v>31.09</v>
      </c>
      <c r="G1706" s="10" t="n">
        <v>31.09</v>
      </c>
      <c r="H1706" s="10" t="b">
        <v>0</v>
      </c>
      <c r="I1706" s="10" t="inlineStr"/>
      <c r="J1706" s="10" t="inlineStr"/>
      <c r="K1706" s="10" t="inlineStr">
        <is>
          <t>&gt; Perfumería &gt; Cuidado Capilar &gt; Shampoo &gt;</t>
        </is>
      </c>
      <c r="L1706" s="10" t="inlineStr">
        <is>
          <t>shampoo</t>
        </is>
      </c>
      <c r="M1706" s="10" t="inlineStr">
        <is>
          <t>profesional</t>
        </is>
      </c>
      <c r="N1706" s="10" t="inlineStr">
        <is>
          <t>general</t>
        </is>
      </c>
      <c r="O1706" s="10" t="inlineStr">
        <is>
          <t>https://www.disco.com.ar/shampoo-pantene-pro-v-x-3-un-2-271214/p</t>
        </is>
      </c>
    </row>
    <row r="1707">
      <c r="A1707" t="inlineStr">
        <is>
          <t>Disco</t>
        </is>
      </c>
      <c r="B1707" t="n">
        <v>235198</v>
      </c>
      <c r="C1707" t="n">
        <v>205404</v>
      </c>
      <c r="D1707" t="inlineStr">
        <is>
          <t>Shampoo Pantene X750ml Color Radiante  Pvc 750 Ml.</t>
        </is>
      </c>
      <c r="E1707" t="inlineStr">
        <is>
          <t>PANTENE</t>
        </is>
      </c>
      <c r="F1707" t="n">
        <v>537.17</v>
      </c>
      <c r="G1707" t="n">
        <v>537.17</v>
      </c>
      <c r="H1707" t="b">
        <v>0</v>
      </c>
      <c r="I1707" t="n">
        <v>750</v>
      </c>
      <c r="J1707" t="n">
        <v>0.7161999999999999</v>
      </c>
      <c r="K1707" t="inlineStr">
        <is>
          <t>&gt; Perfumería &gt; Cuidado Capilar &gt; Shampoo &gt;</t>
        </is>
      </c>
      <c r="L1707" t="inlineStr">
        <is>
          <t>shampoo</t>
        </is>
      </c>
      <c r="M1707" t="inlineStr">
        <is>
          <t>estandar</t>
        </is>
      </c>
      <c r="N1707" t="inlineStr">
        <is>
          <t>tratado</t>
        </is>
      </c>
      <c r="O1707" t="inlineStr">
        <is>
          <t>https://www.disco.com.ar/shampoo-pantene-x750ml-color-radiante-pvc-750-ml-269629/p</t>
        </is>
      </c>
    </row>
    <row r="1708">
      <c r="A1708" s="10" t="inlineStr">
        <is>
          <t>Disco</t>
        </is>
      </c>
      <c r="B1708" s="10" t="n">
        <v>235040</v>
      </c>
      <c r="C1708" s="10" t="n">
        <v>205482</v>
      </c>
      <c r="D1708" s="10" t="inlineStr">
        <is>
          <t>Shampoo Pantene X750ml Pureza  Pvc 750 Ml.</t>
        </is>
      </c>
      <c r="E1708" s="10" t="inlineStr">
        <is>
          <t>PANTENE</t>
        </is>
      </c>
      <c r="F1708" s="10" t="n">
        <v>34.97</v>
      </c>
      <c r="G1708" s="10" t="n">
        <v>34.97</v>
      </c>
      <c r="H1708" s="10" t="b">
        <v>0</v>
      </c>
      <c r="I1708" s="10" t="n">
        <v>750</v>
      </c>
      <c r="J1708" s="10" t="n">
        <v>0.0466</v>
      </c>
      <c r="K1708" s="10" t="inlineStr">
        <is>
          <t>&gt; Perfumería &gt; Cuidado Capilar &gt; Shampoo &gt;</t>
        </is>
      </c>
      <c r="L1708" s="10" t="inlineStr">
        <is>
          <t>shampoo</t>
        </is>
      </c>
      <c r="M1708" s="10" t="inlineStr">
        <is>
          <t>estandar</t>
        </is>
      </c>
      <c r="N1708" s="10" t="inlineStr">
        <is>
          <t>general</t>
        </is>
      </c>
      <c r="O1708" s="10" t="inlineStr">
        <is>
          <t>https://www.disco.com.ar/shampoo-pantene-x750ml-pureza-pvc-750-ml-269609/p</t>
        </is>
      </c>
    </row>
    <row r="1709">
      <c r="A1709" t="inlineStr">
        <is>
          <t>Disco</t>
        </is>
      </c>
      <c r="B1709" t="n">
        <v>215354</v>
      </c>
      <c r="C1709" t="n">
        <v>232400</v>
      </c>
      <c r="D1709" t="inlineStr">
        <is>
          <t>Crema Para Peinar Pantene Frizz Control 3 U De 10 Ml  Blister1 U</t>
        </is>
      </c>
      <c r="E1709" t="inlineStr">
        <is>
          <t>PANTENE</t>
        </is>
      </c>
      <c r="F1709" t="n">
        <v>1.67</v>
      </c>
      <c r="G1709" t="n">
        <v>1.67</v>
      </c>
      <c r="H1709" t="b">
        <v>0</v>
      </c>
      <c r="I1709" t="n">
        <v>10</v>
      </c>
      <c r="J1709" t="n">
        <v>0.167</v>
      </c>
      <c r="K1709" t="inlineStr">
        <is>
          <t>&gt; Perfumería &gt; Cuidado Capilar &gt; Reparación y Tratamientos &gt;</t>
        </is>
      </c>
      <c r="L1709" t="inlineStr">
        <is>
          <t>shampoo</t>
        </is>
      </c>
      <c r="M1709" t="inlineStr">
        <is>
          <t>estandar</t>
        </is>
      </c>
      <c r="N1709" t="inlineStr">
        <is>
          <t>general</t>
        </is>
      </c>
      <c r="O1709" t="inlineStr">
        <is>
          <t>https://www.disco.com.ar/crema-para-peinar-pantene-frizz-control-3-u-de-10-ml-blister1-u-248081/p</t>
        </is>
      </c>
    </row>
    <row r="1710">
      <c r="A1710" s="10" t="inlineStr">
        <is>
          <t>Disco</t>
        </is>
      </c>
      <c r="B1710" s="10" t="n">
        <v>215344</v>
      </c>
      <c r="C1710" s="10" t="n">
        <v>232403</v>
      </c>
      <c r="D1710" s="10" t="inlineStr">
        <is>
          <t>Shampoo Pantene Pro V Liso Extremo +acond +crema De Peinar 10 Ml Blister 1 U</t>
        </is>
      </c>
      <c r="E1710" s="10" t="inlineStr">
        <is>
          <t>PANTENE</t>
        </is>
      </c>
      <c r="F1710" s="10" t="n">
        <v>1.69</v>
      </c>
      <c r="G1710" s="10" t="n">
        <v>1.69</v>
      </c>
      <c r="H1710" s="10" t="b">
        <v>0</v>
      </c>
      <c r="I1710" s="10" t="n">
        <v>10</v>
      </c>
      <c r="J1710" s="10" t="n">
        <v>0.169</v>
      </c>
      <c r="K1710" s="10" t="inlineStr">
        <is>
          <t>&gt; Perfumería &gt; Cuidado Capilar &gt; Shampoo &gt;</t>
        </is>
      </c>
      <c r="L1710" s="10" t="inlineStr">
        <is>
          <t>shampoo</t>
        </is>
      </c>
      <c r="M1710" s="10" t="inlineStr">
        <is>
          <t>profesional</t>
        </is>
      </c>
      <c r="N1710" s="10" t="inlineStr">
        <is>
          <t>general</t>
        </is>
      </c>
      <c r="O1710" s="10" t="inlineStr">
        <is>
          <t>https://www.disco.com.ar/shampoo-pantene-pro-v-liso-extremo-acond-crema-de-peinar-10-ml-blister-1-u-248078/p</t>
        </is>
      </c>
    </row>
    <row r="1711">
      <c r="A1711" t="inlineStr">
        <is>
          <t>Disco</t>
        </is>
      </c>
      <c r="B1711" t="n">
        <v>211422</v>
      </c>
      <c r="C1711" t="n">
        <v>235400</v>
      </c>
      <c r="D1711" t="inlineStr">
        <is>
          <t>Shampoo Pantene Renov. Profunda Acond 400ml+spray Pck 3 Un.</t>
        </is>
      </c>
      <c r="E1711" t="inlineStr">
        <is>
          <t>PANTENE</t>
        </is>
      </c>
      <c r="F1711" t="n">
        <v>45.33</v>
      </c>
      <c r="G1711" t="n">
        <v>45.33</v>
      </c>
      <c r="H1711" t="b">
        <v>0</v>
      </c>
      <c r="I1711" t="n">
        <v>400</v>
      </c>
      <c r="J1711" t="n">
        <v>0.1133</v>
      </c>
      <c r="K1711" t="inlineStr">
        <is>
          <t>&gt; Perfumería &gt; Cuidado Capilar &gt; Shampoo &gt;</t>
        </is>
      </c>
      <c r="L1711" t="inlineStr">
        <is>
          <t>shampoo</t>
        </is>
      </c>
      <c r="M1711" t="inlineStr">
        <is>
          <t>estandar</t>
        </is>
      </c>
      <c r="N1711" t="inlineStr">
        <is>
          <t>general</t>
        </is>
      </c>
      <c r="O1711" t="inlineStr">
        <is>
          <t>https://www.disco.com.ar/shampoo-pantene-56-355381/p</t>
        </is>
      </c>
    </row>
    <row r="1712">
      <c r="A1712" s="10" t="inlineStr">
        <is>
          <t>Disco</t>
        </is>
      </c>
      <c r="B1712" s="10" t="n">
        <v>211358</v>
      </c>
      <c r="C1712" s="10" t="n">
        <v>235303</v>
      </c>
      <c r="D1712" s="10" t="inlineStr">
        <is>
          <t>Shampoo Pantene Brillo Extremo Acond 400ml+spray Pck 3 Un.</t>
        </is>
      </c>
      <c r="E1712" s="10" t="inlineStr">
        <is>
          <t>PANTENE</t>
        </is>
      </c>
      <c r="F1712" s="10" t="n">
        <v>45.33</v>
      </c>
      <c r="G1712" s="10" t="n">
        <v>45.33</v>
      </c>
      <c r="H1712" s="10" t="b">
        <v>0</v>
      </c>
      <c r="I1712" s="10" t="n">
        <v>400</v>
      </c>
      <c r="J1712" s="10" t="n">
        <v>0.1133</v>
      </c>
      <c r="K1712" s="10" t="inlineStr">
        <is>
          <t>&gt; Perfumería &gt; Cuidado Capilar &gt; Shampoo &gt;</t>
        </is>
      </c>
      <c r="L1712" s="10" t="inlineStr">
        <is>
          <t>shampoo</t>
        </is>
      </c>
      <c r="M1712" s="10" t="inlineStr">
        <is>
          <t>estandar</t>
        </is>
      </c>
      <c r="N1712" s="10" t="inlineStr">
        <is>
          <t>general</t>
        </is>
      </c>
      <c r="O1712" s="10" t="inlineStr">
        <is>
          <t>https://www.disco.com.ar/shampoo-pantene-53-355400/p</t>
        </is>
      </c>
    </row>
    <row r="1713">
      <c r="A1713" t="inlineStr">
        <is>
          <t>Disco</t>
        </is>
      </c>
      <c r="B1713" t="n">
        <v>210015</v>
      </c>
      <c r="C1713" t="n">
        <v>232565</v>
      </c>
      <c r="D1713" t="inlineStr">
        <is>
          <t>Shampoo Pantene Reparación Intensa Shamp+acond 200ml+tratam Pck 3 Un.</t>
        </is>
      </c>
      <c r="E1713" t="inlineStr">
        <is>
          <t>PANTENE</t>
        </is>
      </c>
      <c r="F1713" t="n">
        <v>25.69</v>
      </c>
      <c r="G1713" t="n">
        <v>25.69</v>
      </c>
      <c r="H1713" t="b">
        <v>0</v>
      </c>
      <c r="I1713" t="n">
        <v>200</v>
      </c>
      <c r="J1713" t="n">
        <v>0.1285</v>
      </c>
      <c r="K1713" t="inlineStr">
        <is>
          <t>&gt; Perfumería &gt; Cuidado Capilar &gt; Shampoo &gt;</t>
        </is>
      </c>
      <c r="L1713" t="inlineStr">
        <is>
          <t>shampoo</t>
        </is>
      </c>
      <c r="M1713" t="inlineStr">
        <is>
          <t>estandar</t>
        </is>
      </c>
      <c r="N1713" t="inlineStr">
        <is>
          <t>general</t>
        </is>
      </c>
      <c r="O1713" t="inlineStr">
        <is>
          <t>https://www.disco.com.ar/shampoo-pantene-51-349886/p</t>
        </is>
      </c>
    </row>
    <row r="1714">
      <c r="A1714" s="10" t="inlineStr">
        <is>
          <t>Disco</t>
        </is>
      </c>
      <c r="B1714" s="10" t="n">
        <v>209865</v>
      </c>
      <c r="C1714" s="10" t="n">
        <v>232387</v>
      </c>
      <c r="D1714" s="10" t="inlineStr">
        <is>
          <t>Shampoo Pantene Frizz Control Shamp+acond 400ml+crpeinar Pck 3 Un.</t>
        </is>
      </c>
      <c r="E1714" s="10" t="inlineStr">
        <is>
          <t>PANTENE</t>
        </is>
      </c>
      <c r="F1714" s="10" t="n">
        <v>36.69</v>
      </c>
      <c r="G1714" s="10" t="n">
        <v>36.69</v>
      </c>
      <c r="H1714" s="10" t="b">
        <v>0</v>
      </c>
      <c r="I1714" s="10" t="n">
        <v>400</v>
      </c>
      <c r="J1714" s="10" t="n">
        <v>0.0917</v>
      </c>
      <c r="K1714" s="10" t="inlineStr">
        <is>
          <t>&gt; Perfumería &gt; Cuidado Capilar &gt; Shampoo &gt;</t>
        </is>
      </c>
      <c r="L1714" s="10" t="inlineStr">
        <is>
          <t>shampoo</t>
        </is>
      </c>
      <c r="M1714" s="10" t="inlineStr">
        <is>
          <t>estandar</t>
        </is>
      </c>
      <c r="N1714" s="10" t="inlineStr">
        <is>
          <t>general</t>
        </is>
      </c>
      <c r="O1714" s="10" t="inlineStr">
        <is>
          <t>https://www.disco.com.ar/shampoo-pantene-49-349885/p</t>
        </is>
      </c>
    </row>
    <row r="1715">
      <c r="A1715" t="inlineStr">
        <is>
          <t>Disco</t>
        </is>
      </c>
      <c r="B1715" t="n">
        <v>195205</v>
      </c>
      <c r="C1715" t="n">
        <v>232386</v>
      </c>
      <c r="D1715" t="inlineStr">
        <is>
          <t>Shampoo Pantene Pro V Liso Extremo 3 U De 10 Ml</t>
        </is>
      </c>
      <c r="E1715" t="inlineStr">
        <is>
          <t>PANTENE</t>
        </is>
      </c>
      <c r="F1715" t="n">
        <v>1.67</v>
      </c>
      <c r="G1715" t="n">
        <v>1.67</v>
      </c>
      <c r="H1715" t="b">
        <v>0</v>
      </c>
      <c r="I1715" t="n">
        <v>10</v>
      </c>
      <c r="J1715" t="n">
        <v>0.167</v>
      </c>
      <c r="K1715" t="inlineStr">
        <is>
          <t>&gt; Perfumería &gt; Cuidado Capilar &gt; Shampoo &gt;</t>
        </is>
      </c>
      <c r="L1715" t="inlineStr">
        <is>
          <t>shampoo</t>
        </is>
      </c>
      <c r="M1715" t="inlineStr">
        <is>
          <t>profesional</t>
        </is>
      </c>
      <c r="N1715" t="inlineStr">
        <is>
          <t>general</t>
        </is>
      </c>
      <c r="O1715" t="inlineStr">
        <is>
          <t>https://www.disco.com.ar/shampoo-pantene-pro-v-liso-extremo-3-u-de-10-ml-248080/p</t>
        </is>
      </c>
    </row>
    <row r="1716">
      <c r="A1716" s="10" t="inlineStr">
        <is>
          <t>Disco</t>
        </is>
      </c>
      <c r="B1716" s="10" t="n">
        <v>189915</v>
      </c>
      <c r="C1716" s="10" t="n">
        <v>232560</v>
      </c>
      <c r="D1716" s="10" t="inlineStr">
        <is>
          <t>Shampoo Pantene Liso Extremo Shamp+acond 400ml+crpeinar Pck 3 Un.</t>
        </is>
      </c>
      <c r="E1716" s="10" t="inlineStr">
        <is>
          <t>PANTENE</t>
        </is>
      </c>
      <c r="F1716" s="10" t="n">
        <v>36.69</v>
      </c>
      <c r="G1716" s="10" t="n">
        <v>36.69</v>
      </c>
      <c r="H1716" s="10" t="b">
        <v>0</v>
      </c>
      <c r="I1716" s="10" t="n">
        <v>400</v>
      </c>
      <c r="J1716" s="10" t="n">
        <v>0.0917</v>
      </c>
      <c r="K1716" s="10" t="inlineStr">
        <is>
          <t>&gt; Perfumería &gt; Cuidado Capilar &gt; Shampoo &gt;</t>
        </is>
      </c>
      <c r="L1716" s="10" t="inlineStr">
        <is>
          <t>shampoo</t>
        </is>
      </c>
      <c r="M1716" s="10" t="inlineStr">
        <is>
          <t>estandar</t>
        </is>
      </c>
      <c r="N1716" s="10" t="inlineStr">
        <is>
          <t>general</t>
        </is>
      </c>
      <c r="O1716" s="10" t="inlineStr">
        <is>
          <t>https://www.disco.com.ar/shampoo-pantene-50-349884/p</t>
        </is>
      </c>
    </row>
    <row r="1717">
      <c r="A1717" t="inlineStr">
        <is>
          <t>Disco</t>
        </is>
      </c>
      <c r="B1717" t="n">
        <v>188940</v>
      </c>
      <c r="C1717" t="n">
        <v>196431</v>
      </c>
      <c r="D1717" t="inlineStr">
        <is>
          <t>Sh Pantene Liso Extremo</t>
        </is>
      </c>
      <c r="E1717" t="inlineStr">
        <is>
          <t>PANTENE</t>
        </is>
      </c>
      <c r="F1717" t="n">
        <v>16.53</v>
      </c>
      <c r="G1717" t="n">
        <v>16.53</v>
      </c>
      <c r="H1717" t="b">
        <v>0</v>
      </c>
      <c r="I1717" t="inlineStr"/>
      <c r="J1717" t="inlineStr"/>
      <c r="K1717" t="inlineStr">
        <is>
          <t>&gt; Perfumería &gt; Cuidado Capilar &gt; Shampoo &gt;</t>
        </is>
      </c>
      <c r="L1717" t="inlineStr">
        <is>
          <t>shampoo</t>
        </is>
      </c>
      <c r="M1717" t="inlineStr">
        <is>
          <t>estandar</t>
        </is>
      </c>
      <c r="N1717" t="inlineStr">
        <is>
          <t>general</t>
        </is>
      </c>
      <c r="O1717" t="inlineStr">
        <is>
          <t>https://www.disco.com.ar/sh-pantene-liso-extremo-292174/p</t>
        </is>
      </c>
    </row>
    <row r="1718">
      <c r="A1718" s="10" t="inlineStr">
        <is>
          <t>Disco</t>
        </is>
      </c>
      <c r="B1718" s="10" t="n">
        <v>188251</v>
      </c>
      <c r="C1718" s="10" t="n">
        <v>232583</v>
      </c>
      <c r="D1718" s="10" t="inlineStr">
        <is>
          <t>Shampoo Pantene Reparación Intensa Shamp+acond+tratam 400ml Pck 3 Un.</t>
        </is>
      </c>
      <c r="E1718" s="10" t="inlineStr">
        <is>
          <t>PANTENE</t>
        </is>
      </c>
      <c r="F1718" s="10" t="n">
        <v>37.19</v>
      </c>
      <c r="G1718" s="10" t="n">
        <v>37.19</v>
      </c>
      <c r="H1718" s="10" t="b">
        <v>0</v>
      </c>
      <c r="I1718" s="10" t="n">
        <v>400</v>
      </c>
      <c r="J1718" s="10" t="n">
        <v>0.093</v>
      </c>
      <c r="K1718" s="10" t="inlineStr">
        <is>
          <t>&gt; Perfumería &gt; Cuidado Capilar &gt; Shampoo &gt;</t>
        </is>
      </c>
      <c r="L1718" s="10" t="inlineStr">
        <is>
          <t>shampoo</t>
        </is>
      </c>
      <c r="M1718" s="10" t="inlineStr">
        <is>
          <t>estandar</t>
        </is>
      </c>
      <c r="N1718" s="10" t="inlineStr">
        <is>
          <t>general</t>
        </is>
      </c>
      <c r="O1718" s="10" t="inlineStr">
        <is>
          <t>https://www.disco.com.ar/shampoo-pantene-52-349882/p</t>
        </is>
      </c>
    </row>
    <row r="1719">
      <c r="A1719" t="inlineStr">
        <is>
          <t>Disco</t>
        </is>
      </c>
      <c r="B1719" t="n">
        <v>182873</v>
      </c>
      <c r="C1719" t="n">
        <v>204538</v>
      </c>
      <c r="D1719" t="inlineStr">
        <is>
          <t>Acondicionador Pantene Cuidado Clásico X 200 Ml.</t>
        </is>
      </c>
      <c r="E1719" t="inlineStr">
        <is>
          <t>PANTENE</t>
        </is>
      </c>
      <c r="F1719" t="n">
        <v>5.29</v>
      </c>
      <c r="G1719" t="n">
        <v>5.29</v>
      </c>
      <c r="H1719" t="b">
        <v>0</v>
      </c>
      <c r="I1719" t="n">
        <v>200</v>
      </c>
      <c r="J1719" t="n">
        <v>0.0265</v>
      </c>
      <c r="K1719" t="inlineStr">
        <is>
          <t>&gt; Perfumería &gt; Cuidado Capilar &gt; Acondicionador &gt;</t>
        </is>
      </c>
      <c r="L1719" t="inlineStr">
        <is>
          <t>acondicionador</t>
        </is>
      </c>
      <c r="M1719" t="inlineStr">
        <is>
          <t>estandar</t>
        </is>
      </c>
      <c r="N1719" t="inlineStr">
        <is>
          <t>general</t>
        </is>
      </c>
      <c r="O1719" t="inlineStr">
        <is>
          <t>https://www.disco.com.ar/acondicionador-pantene-25-193775/p</t>
        </is>
      </c>
    </row>
    <row r="1720">
      <c r="A1720" s="10" t="inlineStr">
        <is>
          <t>Disco</t>
        </is>
      </c>
      <c r="B1720" s="10" t="n">
        <v>182815</v>
      </c>
      <c r="C1720" s="10" t="n">
        <v>204419</v>
      </c>
      <c r="D1720" s="10" t="inlineStr">
        <is>
          <t>Crema Para Peinar Pantene</t>
        </is>
      </c>
      <c r="E1720" s="10" t="inlineStr">
        <is>
          <t>PANTENE</t>
        </is>
      </c>
      <c r="F1720" s="10" t="n">
        <v>16.05</v>
      </c>
      <c r="G1720" s="10" t="n">
        <v>16.05</v>
      </c>
      <c r="H1720" s="10" t="b">
        <v>0</v>
      </c>
      <c r="I1720" s="10" t="inlineStr"/>
      <c r="J1720" s="10" t="inlineStr"/>
      <c r="K1720" s="10" t="inlineStr">
        <is>
          <t>&gt; Perfumería &gt; Cuidado Capilar &gt; Reparación y Tratamientos &gt;</t>
        </is>
      </c>
      <c r="L1720" s="10" t="inlineStr">
        <is>
          <t>shampoo</t>
        </is>
      </c>
      <c r="M1720" s="10" t="inlineStr">
        <is>
          <t>estandar</t>
        </is>
      </c>
      <c r="N1720" s="10" t="inlineStr">
        <is>
          <t>general</t>
        </is>
      </c>
      <c r="O1720" s="10" t="inlineStr">
        <is>
          <t>https://www.disco.com.ar/crema-para-peinar-pantene-7-282942/p</t>
        </is>
      </c>
    </row>
    <row r="1721">
      <c r="A1721" t="inlineStr">
        <is>
          <t>Disco</t>
        </is>
      </c>
      <c r="B1721" t="n">
        <v>182747</v>
      </c>
      <c r="C1721" t="n">
        <v>204261</v>
      </c>
      <c r="D1721" t="inlineStr">
        <is>
          <t>Crema Para Peinar Pantene</t>
        </is>
      </c>
      <c r="E1721" t="inlineStr">
        <is>
          <t>PANTENE</t>
        </is>
      </c>
      <c r="F1721" t="n">
        <v>14.79</v>
      </c>
      <c r="G1721" t="n">
        <v>14.79</v>
      </c>
      <c r="H1721" t="b">
        <v>0</v>
      </c>
      <c r="I1721" t="inlineStr"/>
      <c r="J1721" t="inlineStr"/>
      <c r="K1721" t="inlineStr">
        <is>
          <t>&gt; Perfumería &gt; Cuidado Capilar &gt; Reparación y Tratamientos &gt;</t>
        </is>
      </c>
      <c r="L1721" t="inlineStr">
        <is>
          <t>shampoo</t>
        </is>
      </c>
      <c r="M1721" t="inlineStr">
        <is>
          <t>estandar</t>
        </is>
      </c>
      <c r="N1721" t="inlineStr">
        <is>
          <t>general</t>
        </is>
      </c>
      <c r="O1721" t="inlineStr">
        <is>
          <t>https://www.disco.com.ar/crema-para-peinar-pantene-6-282939/p</t>
        </is>
      </c>
    </row>
    <row r="1722">
      <c r="A1722" s="10" t="inlineStr">
        <is>
          <t>Disco</t>
        </is>
      </c>
      <c r="B1722" s="10" t="n">
        <v>182173</v>
      </c>
      <c r="C1722" s="10" t="n">
        <v>203049</v>
      </c>
      <c r="D1722" s="10" t="inlineStr">
        <is>
          <t>Acondicionador Pantene Pro V X 2 Un</t>
        </is>
      </c>
      <c r="E1722" s="10" t="inlineStr">
        <is>
          <t>PANTENE</t>
        </is>
      </c>
      <c r="F1722" s="10" t="n">
        <v>22.95</v>
      </c>
      <c r="G1722" s="10" t="n">
        <v>22.95</v>
      </c>
      <c r="H1722" s="10" t="b">
        <v>0</v>
      </c>
      <c r="I1722" s="10" t="inlineStr"/>
      <c r="J1722" s="10" t="inlineStr"/>
      <c r="K1722" s="10" t="inlineStr">
        <is>
          <t>&gt; Perfumería &gt; Cuidado Capilar &gt; Acondicionador &gt;</t>
        </is>
      </c>
      <c r="L1722" s="10" t="inlineStr">
        <is>
          <t>acondicionador</t>
        </is>
      </c>
      <c r="M1722" s="10" t="inlineStr">
        <is>
          <t>profesional</t>
        </is>
      </c>
      <c r="N1722" s="10" t="inlineStr">
        <is>
          <t>general</t>
        </is>
      </c>
      <c r="O1722" s="10" t="inlineStr">
        <is>
          <t>https://www.disco.com.ar/acondicionador-pantene-pro-v-x-2-un-281329/p</t>
        </is>
      </c>
    </row>
    <row r="1723">
      <c r="A1723" t="inlineStr">
        <is>
          <t>Disco</t>
        </is>
      </c>
      <c r="B1723" t="n">
        <v>173917</v>
      </c>
      <c r="C1723" t="n">
        <v>183080</v>
      </c>
      <c r="D1723" t="inlineStr">
        <is>
          <t>Acondicionador Pantene Pro V Rojo Expresiones De Color Pvc 400 Ml</t>
        </is>
      </c>
      <c r="E1723" t="inlineStr">
        <is>
          <t>PANTENE</t>
        </is>
      </c>
      <c r="F1723" t="n">
        <v>12.97</v>
      </c>
      <c r="G1723" t="n">
        <v>12.97</v>
      </c>
      <c r="H1723" t="b">
        <v>0</v>
      </c>
      <c r="I1723" t="n">
        <v>400</v>
      </c>
      <c r="J1723" t="n">
        <v>0.0324</v>
      </c>
      <c r="K1723" t="inlineStr">
        <is>
          <t>&gt; Perfumería &gt; Cuidado Capilar &gt; Acondicionador &gt;</t>
        </is>
      </c>
      <c r="L1723" t="inlineStr">
        <is>
          <t>acondicionador</t>
        </is>
      </c>
      <c r="M1723" t="inlineStr">
        <is>
          <t>profesional</t>
        </is>
      </c>
      <c r="N1723" t="inlineStr">
        <is>
          <t>tratado</t>
        </is>
      </c>
      <c r="O1723" t="inlineStr">
        <is>
          <t>https://www.disco.com.ar/acondicionador-pantene-pro-v-pvc-400-ml-4-243727/p</t>
        </is>
      </c>
    </row>
    <row r="1724">
      <c r="A1724" s="10" t="inlineStr">
        <is>
          <t>Disco</t>
        </is>
      </c>
      <c r="B1724" s="10" t="n">
        <v>173886</v>
      </c>
      <c r="C1724" s="10" t="n">
        <v>183000</v>
      </c>
      <c r="D1724" s="10" t="inlineStr">
        <is>
          <t>Shampoo Pantene Pro V Rubio Claro Expresiones De Color Pvc 384 Ml.</t>
        </is>
      </c>
      <c r="E1724" s="10" t="inlineStr">
        <is>
          <t>PANTENE</t>
        </is>
      </c>
      <c r="F1724" s="10" t="n">
        <v>12.97</v>
      </c>
      <c r="G1724" s="10" t="n">
        <v>12.97</v>
      </c>
      <c r="H1724" s="10" t="b">
        <v>0</v>
      </c>
      <c r="I1724" s="10" t="n">
        <v>384</v>
      </c>
      <c r="J1724" s="10" t="n">
        <v>0.0338</v>
      </c>
      <c r="K1724" s="10" t="inlineStr">
        <is>
          <t>&gt; Perfumería &gt; Cuidado Capilar &gt; Shampoo &gt;</t>
        </is>
      </c>
      <c r="L1724" s="10" t="inlineStr">
        <is>
          <t>shampoo</t>
        </is>
      </c>
      <c r="M1724" s="10" t="inlineStr">
        <is>
          <t>profesional</t>
        </is>
      </c>
      <c r="N1724" s="10" t="inlineStr">
        <is>
          <t>tratado</t>
        </is>
      </c>
      <c r="O1724" s="10" t="inlineStr">
        <is>
          <t>https://www.disco.com.ar/shampoo-pantene-pro-v-pvc-384-ml-5-243715/p</t>
        </is>
      </c>
    </row>
    <row r="1725">
      <c r="A1725" t="inlineStr">
        <is>
          <t>Disco</t>
        </is>
      </c>
      <c r="B1725" t="n">
        <v>173879</v>
      </c>
      <c r="C1725" t="n">
        <v>182981</v>
      </c>
      <c r="D1725" t="inlineStr">
        <is>
          <t>Shampoo Pantene Pro V Castaño Oscuro Pvc 384 Ml</t>
        </is>
      </c>
      <c r="E1725" t="inlineStr">
        <is>
          <t>PANTENE</t>
        </is>
      </c>
      <c r="F1725" t="n">
        <v>12.97</v>
      </c>
      <c r="G1725" t="n">
        <v>12.97</v>
      </c>
      <c r="H1725" t="b">
        <v>0</v>
      </c>
      <c r="I1725" t="n">
        <v>384</v>
      </c>
      <c r="J1725" t="n">
        <v>0.0338</v>
      </c>
      <c r="K1725" t="inlineStr">
        <is>
          <t>&gt; Perfumería &gt; Cuidado Capilar &gt; Shampoo &gt;</t>
        </is>
      </c>
      <c r="L1725" t="inlineStr">
        <is>
          <t>shampoo</t>
        </is>
      </c>
      <c r="M1725" t="inlineStr">
        <is>
          <t>profesional</t>
        </is>
      </c>
      <c r="N1725" t="inlineStr">
        <is>
          <t>general</t>
        </is>
      </c>
      <c r="O1725" t="inlineStr">
        <is>
          <t>https://www.disco.com.ar/shampoo-pantene-pro-v-pvc-384-ml-4-243720/p</t>
        </is>
      </c>
    </row>
    <row r="1726">
      <c r="A1726" s="10" t="inlineStr">
        <is>
          <t>Disco</t>
        </is>
      </c>
      <c r="B1726" s="10" t="n">
        <v>171532</v>
      </c>
      <c r="C1726" s="10" t="n">
        <v>178610</v>
      </c>
      <c r="D1726" s="10" t="inlineStr">
        <is>
          <t>Crema Para Peinar Pantene Liso Extremo Pet 300 Ml</t>
        </is>
      </c>
      <c r="E1726" s="10" t="inlineStr">
        <is>
          <t>PANTENE</t>
        </is>
      </c>
      <c r="F1726" s="10" t="n">
        <v>12.73</v>
      </c>
      <c r="G1726" s="10" t="n">
        <v>12.73</v>
      </c>
      <c r="H1726" s="10" t="b">
        <v>0</v>
      </c>
      <c r="I1726" s="10" t="n">
        <v>300</v>
      </c>
      <c r="J1726" s="10" t="n">
        <v>0.0424</v>
      </c>
      <c r="K1726" s="10" t="inlineStr">
        <is>
          <t>&gt; Perfumería &gt; Cuidado Capilar &gt; Reparación y Tratamientos &gt;</t>
        </is>
      </c>
      <c r="L1726" s="10" t="inlineStr">
        <is>
          <t>shampoo</t>
        </is>
      </c>
      <c r="M1726" s="10" t="inlineStr">
        <is>
          <t>estandar</t>
        </is>
      </c>
      <c r="N1726" s="10" t="inlineStr">
        <is>
          <t>general</t>
        </is>
      </c>
      <c r="O1726" s="10" t="inlineStr">
        <is>
          <t>https://www.disco.com.ar/crema-para-peinar-pantene-x-300-ml-4-239813/p</t>
        </is>
      </c>
    </row>
    <row r="1727">
      <c r="A1727" t="inlineStr">
        <is>
          <t>Disco</t>
        </is>
      </c>
      <c r="B1727" t="n">
        <v>171527</v>
      </c>
      <c r="C1727" t="n">
        <v>178602</v>
      </c>
      <c r="D1727" t="inlineStr">
        <is>
          <t>Crema Para Peinar Pantene Hidratante Revitalizante Pet 300 Ml</t>
        </is>
      </c>
      <c r="E1727" t="inlineStr">
        <is>
          <t>PANTENE</t>
        </is>
      </c>
      <c r="F1727" t="n">
        <v>12.09</v>
      </c>
      <c r="G1727" t="n">
        <v>12.09</v>
      </c>
      <c r="H1727" t="b">
        <v>0</v>
      </c>
      <c r="I1727" t="n">
        <v>300</v>
      </c>
      <c r="J1727" t="n">
        <v>0.0403</v>
      </c>
      <c r="K1727" t="inlineStr">
        <is>
          <t>&gt; Perfumería &gt; Cuidado Capilar &gt; Reparación y Tratamientos &gt;</t>
        </is>
      </c>
      <c r="L1727" t="inlineStr">
        <is>
          <t>shampoo</t>
        </is>
      </c>
      <c r="M1727" t="inlineStr">
        <is>
          <t>estandar</t>
        </is>
      </c>
      <c r="N1727" t="inlineStr">
        <is>
          <t>seco_danado</t>
        </is>
      </c>
      <c r="O1727" t="inlineStr">
        <is>
          <t>https://www.disco.com.ar/crema-para-peinar-pantene-x-300-ml-3-239816/p</t>
        </is>
      </c>
    </row>
    <row r="1728">
      <c r="A1728" s="10" t="inlineStr">
        <is>
          <t>Disco</t>
        </is>
      </c>
      <c r="B1728" s="10" t="n">
        <v>171521</v>
      </c>
      <c r="C1728" s="10" t="n">
        <v>178596</v>
      </c>
      <c r="D1728" s="10" t="inlineStr">
        <is>
          <t>Crema Para Peinar Pantene Color Radiante Pet 300 Ml</t>
        </is>
      </c>
      <c r="E1728" s="10" t="inlineStr">
        <is>
          <t>PANTENE</t>
        </is>
      </c>
      <c r="F1728" s="10" t="n">
        <v>12.13</v>
      </c>
      <c r="G1728" s="10" t="n">
        <v>12.13</v>
      </c>
      <c r="H1728" s="10" t="b">
        <v>0</v>
      </c>
      <c r="I1728" s="10" t="n">
        <v>300</v>
      </c>
      <c r="J1728" s="10" t="n">
        <v>0.0404</v>
      </c>
      <c r="K1728" s="10" t="inlineStr">
        <is>
          <t>&gt; Perfumería &gt; Cuidado Capilar &gt; Reparación y Tratamientos &gt;</t>
        </is>
      </c>
      <c r="L1728" s="10" t="inlineStr">
        <is>
          <t>shampoo</t>
        </is>
      </c>
      <c r="M1728" s="10" t="inlineStr">
        <is>
          <t>estandar</t>
        </is>
      </c>
      <c r="N1728" s="10" t="inlineStr">
        <is>
          <t>tratado</t>
        </is>
      </c>
      <c r="O1728" s="10" t="inlineStr">
        <is>
          <t>https://www.disco.com.ar/crema-para-peinar-pantene-x-300-ml-239815/p</t>
        </is>
      </c>
    </row>
    <row r="1729">
      <c r="A1729" t="inlineStr">
        <is>
          <t>Disco</t>
        </is>
      </c>
      <c r="B1729" t="n">
        <v>170114</v>
      </c>
      <c r="C1729" t="n">
        <v>167653</v>
      </c>
      <c r="D1729" t="inlineStr">
        <is>
          <t>Shampoo Pantene Pro V-brillo Extremo-acond Pantene 400ml-pck-un.-2</t>
        </is>
      </c>
      <c r="E1729" t="inlineStr">
        <is>
          <t>PANTENE</t>
        </is>
      </c>
      <c r="F1729" t="n">
        <v>33.59</v>
      </c>
      <c r="G1729" t="n">
        <v>33.59</v>
      </c>
      <c r="H1729" t="b">
        <v>0</v>
      </c>
      <c r="I1729" t="n">
        <v>400</v>
      </c>
      <c r="J1729" t="n">
        <v>0.08400000000000001</v>
      </c>
      <c r="K1729" t="inlineStr">
        <is>
          <t>&gt; Perfumería &gt; Cuidado Capilar &gt; Shampoo &gt;</t>
        </is>
      </c>
      <c r="L1729" t="inlineStr">
        <is>
          <t>shampoo</t>
        </is>
      </c>
      <c r="M1729" t="inlineStr">
        <is>
          <t>profesional</t>
        </is>
      </c>
      <c r="N1729" t="inlineStr">
        <is>
          <t>general</t>
        </is>
      </c>
      <c r="O1729" t="inlineStr">
        <is>
          <t>https://www.disco.com.ar/shampoo-pantene-pro-v-brillo-extremo-acond-pantene-400ml-pck-un-2/p</t>
        </is>
      </c>
    </row>
    <row r="1730">
      <c r="A1730" s="10" t="inlineStr">
        <is>
          <t>Disco</t>
        </is>
      </c>
      <c r="B1730" s="10" t="n">
        <v>170111</v>
      </c>
      <c r="C1730" s="10" t="n">
        <v>167650</v>
      </c>
      <c r="D1730" s="10" t="inlineStr">
        <is>
          <t>Shampoo Pantene Pro V-control Caida-acond Pantene 400ml-pck-un.-2</t>
        </is>
      </c>
      <c r="E1730" s="10" t="inlineStr">
        <is>
          <t>PANTENE</t>
        </is>
      </c>
      <c r="F1730" s="10" t="n">
        <v>22.22</v>
      </c>
      <c r="G1730" s="10" t="n">
        <v>22.22</v>
      </c>
      <c r="H1730" s="10" t="b">
        <v>0</v>
      </c>
      <c r="I1730" s="10" t="n">
        <v>400</v>
      </c>
      <c r="J1730" s="10" t="n">
        <v>0.0555</v>
      </c>
      <c r="K1730" s="10" t="inlineStr">
        <is>
          <t>&gt; Perfumería &gt; Cuidado Capilar &gt; Shampoo &gt;</t>
        </is>
      </c>
      <c r="L1730" s="10" t="inlineStr">
        <is>
          <t>shampoo</t>
        </is>
      </c>
      <c r="M1730" s="10" t="inlineStr">
        <is>
          <t>profesional</t>
        </is>
      </c>
      <c r="N1730" s="10" t="inlineStr">
        <is>
          <t>general</t>
        </is>
      </c>
      <c r="O1730" s="10" t="inlineStr">
        <is>
          <t>https://www.disco.com.ar/shampoo-pantene-pro-v-control-caida-acond-pantene-400ml-pck-un-2/p</t>
        </is>
      </c>
    </row>
    <row r="1731">
      <c r="A1731" t="inlineStr">
        <is>
          <t>Disco</t>
        </is>
      </c>
      <c r="B1731" t="n">
        <v>170024</v>
      </c>
      <c r="C1731" t="n">
        <v>167563</v>
      </c>
      <c r="D1731" t="inlineStr">
        <is>
          <t>Shampoo Pantene Pro V-renov. Profunda-acond400ml+tratam400ml-pck-un.-3</t>
        </is>
      </c>
      <c r="E1731" t="inlineStr">
        <is>
          <t>PANTENE</t>
        </is>
      </c>
      <c r="F1731" t="n">
        <v>44.19</v>
      </c>
      <c r="G1731" t="n">
        <v>44.19</v>
      </c>
      <c r="H1731" t="b">
        <v>0</v>
      </c>
      <c r="I1731" t="n">
        <v>400</v>
      </c>
      <c r="J1731" t="n">
        <v>0.1105</v>
      </c>
      <c r="K1731" t="inlineStr">
        <is>
          <t>&gt; Perfumería &gt; Cuidado Capilar &gt; Shampoo &gt;</t>
        </is>
      </c>
      <c r="L1731" t="inlineStr">
        <is>
          <t>shampoo</t>
        </is>
      </c>
      <c r="M1731" t="inlineStr">
        <is>
          <t>profesional</t>
        </is>
      </c>
      <c r="N1731" t="inlineStr">
        <is>
          <t>general</t>
        </is>
      </c>
      <c r="O1731" t="inlineStr">
        <is>
          <t>https://www.disco.com.ar/shampoo-pantene-pro-v-renov-profunda-acond400ml-tratam400ml-pck-un-3/p</t>
        </is>
      </c>
    </row>
    <row r="1732">
      <c r="A1732" s="10" t="inlineStr">
        <is>
          <t>Disco</t>
        </is>
      </c>
      <c r="B1732" s="10" t="n">
        <v>167524</v>
      </c>
      <c r="C1732" s="10" t="n">
        <v>165063</v>
      </c>
      <c r="D1732" s="10" t="inlineStr">
        <is>
          <t>Shampoo Pantene Pro-v Hidrocauterizacion 200 Ml</t>
        </is>
      </c>
      <c r="E1732" s="10" t="inlineStr">
        <is>
          <t>PANTENE</t>
        </is>
      </c>
      <c r="F1732" s="10" t="n">
        <v>24.67</v>
      </c>
      <c r="G1732" s="10" t="n">
        <v>2039</v>
      </c>
      <c r="H1732" s="10" t="b">
        <v>0</v>
      </c>
      <c r="I1732" s="10" t="n">
        <v>200</v>
      </c>
      <c r="J1732" s="10" t="n">
        <v>0.1234</v>
      </c>
      <c r="K1732" s="10" t="inlineStr">
        <is>
          <t>&gt; Perfumería &gt; Cuidado Capilar &gt; Shampoo &gt;</t>
        </is>
      </c>
      <c r="L1732" s="10" t="inlineStr">
        <is>
          <t>shampoo</t>
        </is>
      </c>
      <c r="M1732" s="10" t="inlineStr">
        <is>
          <t>profesional</t>
        </is>
      </c>
      <c r="N1732" s="10" t="inlineStr">
        <is>
          <t>general</t>
        </is>
      </c>
      <c r="O1732" s="10" t="inlineStr">
        <is>
          <t>https://www.disco.com.ar/shampoo-pantene-pro-v-hidrocauterizacion-200-ml/p</t>
        </is>
      </c>
    </row>
    <row r="1733">
      <c r="A1733" t="inlineStr">
        <is>
          <t>Disco</t>
        </is>
      </c>
      <c r="B1733" t="n">
        <v>165141</v>
      </c>
      <c r="C1733" t="n">
        <v>162680</v>
      </c>
      <c r="D1733" t="inlineStr">
        <is>
          <t>Shampoo Pantene-tratamiento Reparación-bli-un.-2</t>
        </is>
      </c>
      <c r="E1733" t="inlineStr">
        <is>
          <t>PANTENE</t>
        </is>
      </c>
      <c r="F1733" t="n">
        <v>95.84999999999999</v>
      </c>
      <c r="G1733" t="n">
        <v>7921</v>
      </c>
      <c r="H1733" t="b">
        <v>0</v>
      </c>
      <c r="I1733" t="inlineStr"/>
      <c r="J1733" t="inlineStr"/>
      <c r="K1733" t="inlineStr">
        <is>
          <t>&gt; Perfumería &gt; Cuidado Capilar &gt; Shampoo &gt;</t>
        </is>
      </c>
      <c r="L1733" t="inlineStr">
        <is>
          <t>tratamiento</t>
        </is>
      </c>
      <c r="M1733" t="inlineStr">
        <is>
          <t>estandar</t>
        </is>
      </c>
      <c r="N1733" t="inlineStr">
        <is>
          <t>general</t>
        </is>
      </c>
      <c r="O1733" t="inlineStr">
        <is>
          <t>https://www.disco.com.ar/shampoo-pantene-tratamiento-reparacion-bli-un-2/p</t>
        </is>
      </c>
    </row>
    <row r="1734">
      <c r="A1734" s="10" t="inlineStr">
        <is>
          <t>Disco</t>
        </is>
      </c>
      <c r="B1734" s="10" t="n">
        <v>164209</v>
      </c>
      <c r="C1734" s="10" t="n">
        <v>161748</v>
      </c>
      <c r="D1734" s="10" t="inlineStr">
        <is>
          <t>Acondicionador Pantene Pro V-+ Ampolla X15 Ml-restauración-bli-un.-2</t>
        </is>
      </c>
      <c r="E1734" s="10" t="inlineStr">
        <is>
          <t>PANTENE</t>
        </is>
      </c>
      <c r="F1734" s="10" t="n">
        <v>22.29</v>
      </c>
      <c r="G1734" s="10" t="n">
        <v>22.29</v>
      </c>
      <c r="H1734" s="10" t="b">
        <v>0</v>
      </c>
      <c r="I1734" s="10" t="n">
        <v>15</v>
      </c>
      <c r="J1734" s="10" t="n">
        <v>1.486</v>
      </c>
      <c r="K1734" s="10" t="inlineStr">
        <is>
          <t>&gt; Perfumería &gt; Cuidado Capilar &gt; Acondicionador &gt;</t>
        </is>
      </c>
      <c r="L1734" s="10" t="inlineStr">
        <is>
          <t>acondicionador</t>
        </is>
      </c>
      <c r="M1734" s="10" t="inlineStr">
        <is>
          <t>profesional</t>
        </is>
      </c>
      <c r="N1734" s="10" t="inlineStr">
        <is>
          <t>general</t>
        </is>
      </c>
      <c r="O1734" s="10" t="inlineStr">
        <is>
          <t>https://www.disco.com.ar/acondicionador-pantene-pro-v-ampolla-x15-ml-restauracion-bli-un-2/p</t>
        </is>
      </c>
    </row>
    <row r="1735">
      <c r="A1735" t="inlineStr">
        <is>
          <t>Disco</t>
        </is>
      </c>
      <c r="B1735" t="n">
        <v>163990</v>
      </c>
      <c r="C1735" t="n">
        <v>161528</v>
      </c>
      <c r="D1735" t="inlineStr">
        <is>
          <t>Shampoo Pantene Pro V-+ Ampolla X15 Ml-restauración-bli-un.-2</t>
        </is>
      </c>
      <c r="E1735" t="inlineStr">
        <is>
          <t>PANTENE</t>
        </is>
      </c>
      <c r="F1735" t="n">
        <v>22.29</v>
      </c>
      <c r="G1735" t="n">
        <v>22.29</v>
      </c>
      <c r="H1735" t="b">
        <v>0</v>
      </c>
      <c r="I1735" t="n">
        <v>15</v>
      </c>
      <c r="J1735" t="n">
        <v>1.486</v>
      </c>
      <c r="K1735" t="inlineStr">
        <is>
          <t>&gt; Perfumería &gt; Cuidado Capilar &gt; Shampoo &gt;</t>
        </is>
      </c>
      <c r="L1735" t="inlineStr">
        <is>
          <t>shampoo</t>
        </is>
      </c>
      <c r="M1735" t="inlineStr">
        <is>
          <t>profesional</t>
        </is>
      </c>
      <c r="N1735" t="inlineStr">
        <is>
          <t>general</t>
        </is>
      </c>
      <c r="O1735" t="inlineStr">
        <is>
          <t>https://www.disco.com.ar/shampoo-pantene-pro-v-ampolla-x15-ml-restauracion-bli-un-2/p</t>
        </is>
      </c>
    </row>
    <row r="1736">
      <c r="A1736" s="10" t="inlineStr">
        <is>
          <t>Disco</t>
        </is>
      </c>
      <c r="B1736" s="10" t="n">
        <v>148822</v>
      </c>
      <c r="C1736" s="10" t="n">
        <v>146472</v>
      </c>
      <c r="D1736" s="10" t="inlineStr">
        <is>
          <t>Oferta Pantene Hidratación Sh+aco</t>
        </is>
      </c>
      <c r="E1736" s="10" t="inlineStr">
        <is>
          <t>PANTENE</t>
        </is>
      </c>
      <c r="F1736" s="10" t="n">
        <v>37.43</v>
      </c>
      <c r="G1736" s="10" t="n">
        <v>37.43</v>
      </c>
      <c r="H1736" s="10" t="b">
        <v>0</v>
      </c>
      <c r="I1736" s="10" t="inlineStr"/>
      <c r="J1736" s="10" t="inlineStr"/>
      <c r="K1736" s="10" t="inlineStr">
        <is>
          <t>&gt; Perfumería &gt; Cuidado Capilar &gt; Shampoo &gt;</t>
        </is>
      </c>
      <c r="L1736" s="10" t="inlineStr">
        <is>
          <t>shampoo</t>
        </is>
      </c>
      <c r="M1736" s="10" t="inlineStr">
        <is>
          <t>estandar</t>
        </is>
      </c>
      <c r="N1736" s="10" t="inlineStr">
        <is>
          <t>seco_danado</t>
        </is>
      </c>
      <c r="O1736" s="10" t="inlineStr">
        <is>
          <t>https://www.disco.com.ar/oferta-pantene-hidratacion-sh-aco-2/p</t>
        </is>
      </c>
    </row>
    <row r="1737">
      <c r="A1737" t="inlineStr">
        <is>
          <t>Disco</t>
        </is>
      </c>
      <c r="B1737" t="n">
        <v>148756</v>
      </c>
      <c r="C1737" t="n">
        <v>145665</v>
      </c>
      <c r="D1737" t="inlineStr">
        <is>
          <t>Oferta Pantene Fusión Nat Aco+trat</t>
        </is>
      </c>
      <c r="E1737" t="inlineStr">
        <is>
          <t>PANTENE</t>
        </is>
      </c>
      <c r="F1737" t="n">
        <v>37.17</v>
      </c>
      <c r="G1737" t="n">
        <v>37.17</v>
      </c>
      <c r="H1737" t="b">
        <v>0</v>
      </c>
      <c r="I1737" t="inlineStr"/>
      <c r="J1737" t="inlineStr"/>
      <c r="K1737" t="inlineStr">
        <is>
          <t>&gt; Perfumería &gt; Cuidado Capilar &gt; Acondicionador &gt;</t>
        </is>
      </c>
      <c r="L1737" t="inlineStr">
        <is>
          <t>shampoo</t>
        </is>
      </c>
      <c r="M1737" t="inlineStr">
        <is>
          <t>estandar</t>
        </is>
      </c>
      <c r="N1737" t="inlineStr">
        <is>
          <t>general</t>
        </is>
      </c>
      <c r="O1737" t="inlineStr">
        <is>
          <t>https://www.disco.com.ar/oferta-pantene-fusion-nat-aco-trat-2/p</t>
        </is>
      </c>
    </row>
    <row r="1738">
      <c r="A1738" s="10" t="inlineStr">
        <is>
          <t>Disco</t>
        </is>
      </c>
      <c r="B1738" s="10" t="n">
        <v>148750</v>
      </c>
      <c r="C1738" s="10" t="n">
        <v>145661</v>
      </c>
      <c r="D1738" s="10" t="inlineStr">
        <is>
          <t>Oferta Pantene Fusión Nat Sh+ac 400ml</t>
        </is>
      </c>
      <c r="E1738" s="10" t="inlineStr">
        <is>
          <t>PANTENE</t>
        </is>
      </c>
      <c r="F1738" s="10" t="n">
        <v>103.39</v>
      </c>
      <c r="G1738" s="10" t="n">
        <v>103.39</v>
      </c>
      <c r="H1738" s="10" t="b">
        <v>0</v>
      </c>
      <c r="I1738" s="10" t="n">
        <v>400</v>
      </c>
      <c r="J1738" s="10" t="n">
        <v>0.2585</v>
      </c>
      <c r="K1738" s="10" t="inlineStr">
        <is>
          <t>&gt; Perfumería &gt; Cuidado Capilar &gt; Shampoo &gt;</t>
        </is>
      </c>
      <c r="L1738" s="10" t="inlineStr">
        <is>
          <t>shampoo</t>
        </is>
      </c>
      <c r="M1738" s="10" t="inlineStr">
        <is>
          <t>estandar</t>
        </is>
      </c>
      <c r="N1738" s="10" t="inlineStr">
        <is>
          <t>general</t>
        </is>
      </c>
      <c r="O1738" s="10" t="inlineStr">
        <is>
          <t>https://www.disco.com.ar/oferta-pantene-fusion-nat-sh-ac-400ml-2/p</t>
        </is>
      </c>
    </row>
    <row r="1739">
      <c r="A1739" t="inlineStr">
        <is>
          <t>Disco</t>
        </is>
      </c>
      <c r="B1739" t="n">
        <v>148749</v>
      </c>
      <c r="C1739" t="n">
        <v>145660</v>
      </c>
      <c r="D1739" t="inlineStr">
        <is>
          <t>Oferta Pantene Restauración Aco+trat</t>
        </is>
      </c>
      <c r="E1739" t="inlineStr">
        <is>
          <t>PANTENE</t>
        </is>
      </c>
      <c r="F1739" t="n">
        <v>37.17</v>
      </c>
      <c r="G1739" t="n">
        <v>37.17</v>
      </c>
      <c r="H1739" t="b">
        <v>0</v>
      </c>
      <c r="I1739" t="inlineStr"/>
      <c r="J1739" t="inlineStr"/>
      <c r="K1739" t="inlineStr">
        <is>
          <t>&gt; Perfumería &gt; Cuidado Capilar &gt; Acondicionador &gt;</t>
        </is>
      </c>
      <c r="L1739" t="inlineStr">
        <is>
          <t>shampoo</t>
        </is>
      </c>
      <c r="M1739" t="inlineStr">
        <is>
          <t>estandar</t>
        </is>
      </c>
      <c r="N1739" t="inlineStr">
        <is>
          <t>general</t>
        </is>
      </c>
      <c r="O1739" t="inlineStr">
        <is>
          <t>https://www.disco.com.ar/oferta-pantene-restauracion-aco-trat-2/p</t>
        </is>
      </c>
    </row>
    <row r="1740">
      <c r="A1740" s="10" t="inlineStr">
        <is>
          <t>Disco</t>
        </is>
      </c>
      <c r="B1740" s="10" t="n">
        <v>148747</v>
      </c>
      <c r="C1740" s="10" t="n">
        <v>145654</v>
      </c>
      <c r="D1740" s="10" t="inlineStr">
        <is>
          <t>Oferta Pantene Hidratación Aco+trat</t>
        </is>
      </c>
      <c r="E1740" s="10" t="inlineStr">
        <is>
          <t>PANTENE</t>
        </is>
      </c>
      <c r="F1740" s="10" t="n">
        <v>37.17</v>
      </c>
      <c r="G1740" s="10" t="n">
        <v>37.17</v>
      </c>
      <c r="H1740" s="10" t="b">
        <v>0</v>
      </c>
      <c r="I1740" s="10" t="inlineStr"/>
      <c r="J1740" s="10" t="inlineStr"/>
      <c r="K1740" s="10" t="inlineStr">
        <is>
          <t>&gt; Perfumería &gt; Cuidado Capilar &gt; Acondicionador &gt;</t>
        </is>
      </c>
      <c r="L1740" s="10" t="inlineStr">
        <is>
          <t>shampoo</t>
        </is>
      </c>
      <c r="M1740" s="10" t="inlineStr">
        <is>
          <t>estandar</t>
        </is>
      </c>
      <c r="N1740" s="10" t="inlineStr">
        <is>
          <t>seco_danado</t>
        </is>
      </c>
      <c r="O1740" s="10" t="inlineStr">
        <is>
          <t>https://www.disco.com.ar/oferta-pantene-hidratacion-aco-trat-2/p</t>
        </is>
      </c>
    </row>
    <row r="1741">
      <c r="A1741" t="inlineStr">
        <is>
          <t>Disco</t>
        </is>
      </c>
      <c r="B1741" t="n">
        <v>148744</v>
      </c>
      <c r="C1741" t="n">
        <v>145653</v>
      </c>
      <c r="D1741" t="inlineStr">
        <is>
          <t>Oferta Pantene Restauración Sh+aco 400ml</t>
        </is>
      </c>
      <c r="E1741" t="inlineStr">
        <is>
          <t>PANTENE</t>
        </is>
      </c>
      <c r="F1741" t="n">
        <v>37.43</v>
      </c>
      <c r="G1741" t="n">
        <v>37.43</v>
      </c>
      <c r="H1741" t="b">
        <v>0</v>
      </c>
      <c r="I1741" t="n">
        <v>400</v>
      </c>
      <c r="J1741" t="n">
        <v>0.0936</v>
      </c>
      <c r="K1741" t="inlineStr">
        <is>
          <t>&gt; Perfumería &gt; Cuidado Capilar &gt; Shampoo &gt;</t>
        </is>
      </c>
      <c r="L1741" t="inlineStr">
        <is>
          <t>shampoo</t>
        </is>
      </c>
      <c r="M1741" t="inlineStr">
        <is>
          <t>estandar</t>
        </is>
      </c>
      <c r="N1741" t="inlineStr">
        <is>
          <t>general</t>
        </is>
      </c>
      <c r="O1741" t="inlineStr">
        <is>
          <t>https://www.disco.com.ar/oferta-pantene-restauracion-sh-aco-400ml-2/p</t>
        </is>
      </c>
    </row>
    <row r="1742">
      <c r="A1742" s="10" t="inlineStr">
        <is>
          <t>Disco</t>
        </is>
      </c>
      <c r="B1742" s="10" t="n">
        <v>147301</v>
      </c>
      <c r="C1742" s="10" t="n">
        <v>144210</v>
      </c>
      <c r="D1742" s="10" t="inlineStr">
        <is>
          <t>Shampoo Pantene Pro V-restaurador-+ Crema Tratamiento-bot-un.-2</t>
        </is>
      </c>
      <c r="E1742" s="10" t="inlineStr">
        <is>
          <t>PANTENE</t>
        </is>
      </c>
      <c r="F1742" s="10" t="n">
        <v>36.99</v>
      </c>
      <c r="G1742" s="10" t="n">
        <v>36.99</v>
      </c>
      <c r="H1742" s="10" t="b">
        <v>0</v>
      </c>
      <c r="I1742" s="10" t="inlineStr"/>
      <c r="J1742" s="10" t="inlineStr"/>
      <c r="K1742" s="10" t="inlineStr">
        <is>
          <t>&gt; Perfumería &gt; Cuidado Capilar &gt; Shampoo &gt;</t>
        </is>
      </c>
      <c r="L1742" s="10" t="inlineStr">
        <is>
          <t>tratamiento</t>
        </is>
      </c>
      <c r="M1742" s="10" t="inlineStr">
        <is>
          <t>profesional</t>
        </is>
      </c>
      <c r="N1742" s="10" t="inlineStr">
        <is>
          <t>general</t>
        </is>
      </c>
      <c r="O1742" s="10" t="inlineStr">
        <is>
          <t>https://www.disco.com.ar/shampoo-pantene-pro-v-restaurador-crema-tratamiento-bot-un-2/p</t>
        </is>
      </c>
    </row>
    <row r="1743">
      <c r="A1743" t="inlineStr">
        <is>
          <t>Disco</t>
        </is>
      </c>
      <c r="B1743" t="n">
        <v>139821</v>
      </c>
      <c r="C1743" t="n">
        <v>136732</v>
      </c>
      <c r="D1743" t="inlineStr">
        <is>
          <t>Acondicionador Pantene Pro-v Restauracion 750 Ml</t>
        </is>
      </c>
      <c r="E1743" t="inlineStr">
        <is>
          <t>PANTENE</t>
        </is>
      </c>
      <c r="F1743" t="n">
        <v>81.09</v>
      </c>
      <c r="G1743" t="n">
        <v>6702</v>
      </c>
      <c r="H1743" t="b">
        <v>0</v>
      </c>
      <c r="I1743" t="n">
        <v>750</v>
      </c>
      <c r="J1743" t="n">
        <v>0.1081</v>
      </c>
      <c r="K1743" t="inlineStr">
        <is>
          <t>&gt; Perfumería &gt; Cuidado Capilar &gt; Acondicionador &gt;</t>
        </is>
      </c>
      <c r="L1743" t="inlineStr">
        <is>
          <t>acondicionador</t>
        </is>
      </c>
      <c r="M1743" t="inlineStr">
        <is>
          <t>profesional</t>
        </is>
      </c>
      <c r="N1743" t="inlineStr">
        <is>
          <t>general</t>
        </is>
      </c>
      <c r="O1743" t="inlineStr">
        <is>
          <t>https://www.disco.com.ar/acondicionador-pantene-pro-v-restauracion-750-ml-2/p</t>
        </is>
      </c>
    </row>
    <row r="1744">
      <c r="A1744" s="10" t="inlineStr">
        <is>
          <t>Disco</t>
        </is>
      </c>
      <c r="B1744" s="10" t="n">
        <v>139649</v>
      </c>
      <c r="C1744" s="10" t="n">
        <v>136560</v>
      </c>
      <c r="D1744" s="10" t="inlineStr">
        <is>
          <t>Shampoo Pantene Pro-v Restauración 750 Ml</t>
        </is>
      </c>
      <c r="E1744" s="10" t="inlineStr">
        <is>
          <t>PANTENE</t>
        </is>
      </c>
      <c r="F1744" s="10" t="n">
        <v>74.37</v>
      </c>
      <c r="G1744" s="10" t="n">
        <v>6146</v>
      </c>
      <c r="H1744" s="10" t="b">
        <v>0</v>
      </c>
      <c r="I1744" s="10" t="n">
        <v>750</v>
      </c>
      <c r="J1744" s="10" t="n">
        <v>0.0992</v>
      </c>
      <c r="K1744" s="10" t="inlineStr">
        <is>
          <t>&gt; Perfumería &gt; Cuidado Capilar &gt; Shampoo &gt;</t>
        </is>
      </c>
      <c r="L1744" s="10" t="inlineStr">
        <is>
          <t>shampoo</t>
        </is>
      </c>
      <c r="M1744" s="10" t="inlineStr">
        <is>
          <t>profesional</t>
        </is>
      </c>
      <c r="N1744" s="10" t="inlineStr">
        <is>
          <t>general</t>
        </is>
      </c>
      <c r="O1744" s="10" t="inlineStr">
        <is>
          <t>https://www.disco.com.ar/shampoo-pantene-pro-v-restauracion-750-ml-2/p</t>
        </is>
      </c>
    </row>
    <row r="1745">
      <c r="A1745" t="inlineStr">
        <is>
          <t>Disco</t>
        </is>
      </c>
      <c r="B1745" t="n">
        <v>137863</v>
      </c>
      <c r="C1745" t="n">
        <v>134774</v>
      </c>
      <c r="D1745" t="inlineStr">
        <is>
          <t>Shampoo Pantene Pro V-renov. Profunda-acond Pantene 400ml-pck-un.-2</t>
        </is>
      </c>
      <c r="E1745" t="inlineStr">
        <is>
          <t>PANTENE</t>
        </is>
      </c>
      <c r="F1745" t="n">
        <v>22.25</v>
      </c>
      <c r="G1745" t="n">
        <v>22.25</v>
      </c>
      <c r="H1745" t="b">
        <v>0</v>
      </c>
      <c r="I1745" t="n">
        <v>400</v>
      </c>
      <c r="J1745" t="n">
        <v>0.0556</v>
      </c>
      <c r="K1745" t="inlineStr">
        <is>
          <t>&gt; Perfumería &gt; Cuidado Capilar &gt; Shampoo &gt;</t>
        </is>
      </c>
      <c r="L1745" t="inlineStr">
        <is>
          <t>shampoo</t>
        </is>
      </c>
      <c r="M1745" t="inlineStr">
        <is>
          <t>profesional</t>
        </is>
      </c>
      <c r="N1745" t="inlineStr">
        <is>
          <t>general</t>
        </is>
      </c>
      <c r="O1745" t="inlineStr">
        <is>
          <t>https://www.disco.com.ar/shampoo-pantene-pro-v-renov-profunda-acond-pantene-400ml-pck-un-2-2/p</t>
        </is>
      </c>
    </row>
    <row r="1746">
      <c r="A1746" s="10" t="inlineStr">
        <is>
          <t>Disco</t>
        </is>
      </c>
      <c r="B1746" s="10" t="n">
        <v>135051</v>
      </c>
      <c r="C1746" s="10" t="n">
        <v>131963</v>
      </c>
      <c r="D1746" s="10" t="inlineStr">
        <is>
          <t>Minikit Pantene Pro-v Expert Keratin Repair</t>
        </is>
      </c>
      <c r="E1746" s="10" t="inlineStr">
        <is>
          <t>PANTENE</t>
        </is>
      </c>
      <c r="F1746" s="10" t="n">
        <v>74.19</v>
      </c>
      <c r="G1746" s="10" t="n">
        <v>6131</v>
      </c>
      <c r="H1746" s="10" t="b">
        <v>0</v>
      </c>
      <c r="I1746" s="10" t="inlineStr"/>
      <c r="J1746" s="10" t="inlineStr"/>
      <c r="K1746" s="10" t="inlineStr">
        <is>
          <t>&gt; Perfumería &gt; Cuidado Capilar &gt; Shampoo &gt;</t>
        </is>
      </c>
      <c r="L1746" s="10" t="inlineStr">
        <is>
          <t>tratamiento</t>
        </is>
      </c>
      <c r="M1746" s="10" t="inlineStr">
        <is>
          <t>profesional</t>
        </is>
      </c>
      <c r="N1746" s="10" t="inlineStr">
        <is>
          <t>general</t>
        </is>
      </c>
      <c r="O1746" s="10" t="inlineStr">
        <is>
          <t>https://www.disco.com.ar/minikit-pantene-pro-v-expert-keratin-repair/p</t>
        </is>
      </c>
    </row>
    <row r="1747">
      <c r="A1747" t="inlineStr">
        <is>
          <t>Disco</t>
        </is>
      </c>
      <c r="B1747" t="n">
        <v>132328</v>
      </c>
      <c r="C1747" t="n">
        <v>129244</v>
      </c>
      <c r="D1747" t="inlineStr">
        <is>
          <t>Acondicionador Pantene Pro-v Liso Extremo 200 Ml</t>
        </is>
      </c>
      <c r="E1747" t="inlineStr">
        <is>
          <t>PANTENE</t>
        </is>
      </c>
      <c r="F1747" t="n">
        <v>24.67</v>
      </c>
      <c r="G1747" t="n">
        <v>2039</v>
      </c>
      <c r="H1747" t="b">
        <v>0</v>
      </c>
      <c r="I1747" t="n">
        <v>200</v>
      </c>
      <c r="J1747" t="n">
        <v>0.1234</v>
      </c>
      <c r="K1747" t="inlineStr">
        <is>
          <t>&gt; Perfumería &gt; Cuidado Capilar &gt; Acondicionador &gt;</t>
        </is>
      </c>
      <c r="L1747" t="inlineStr">
        <is>
          <t>acondicionador</t>
        </is>
      </c>
      <c r="M1747" t="inlineStr">
        <is>
          <t>profesional</t>
        </is>
      </c>
      <c r="N1747" t="inlineStr">
        <is>
          <t>general</t>
        </is>
      </c>
      <c r="O1747" t="inlineStr">
        <is>
          <t>https://www.disco.com.ar/acondicionador-pantene-pro-v-liso-extremo-200-ml/p</t>
        </is>
      </c>
    </row>
    <row r="1748">
      <c r="A1748" s="10" t="inlineStr">
        <is>
          <t>Disco</t>
        </is>
      </c>
      <c r="B1748" s="10" t="n">
        <v>132323</v>
      </c>
      <c r="C1748" s="10" t="n">
        <v>129239</v>
      </c>
      <c r="D1748" s="10" t="inlineStr">
        <is>
          <t>Shampoo Pantene Pro-v Rizos Definidos 750 Ml</t>
        </is>
      </c>
      <c r="E1748" s="10" t="inlineStr">
        <is>
          <t>PANTENE</t>
        </is>
      </c>
      <c r="F1748" s="10" t="n">
        <v>74.37</v>
      </c>
      <c r="G1748" s="10" t="n">
        <v>74.37</v>
      </c>
      <c r="H1748" s="10" t="b">
        <v>0</v>
      </c>
      <c r="I1748" s="10" t="n">
        <v>750</v>
      </c>
      <c r="J1748" s="10" t="n">
        <v>0.0992</v>
      </c>
      <c r="K1748" s="10" t="inlineStr">
        <is>
          <t>&gt; Perfumería &gt; Cuidado Capilar &gt; Shampoo &gt;</t>
        </is>
      </c>
      <c r="L1748" s="10" t="inlineStr">
        <is>
          <t>shampoo</t>
        </is>
      </c>
      <c r="M1748" s="10" t="inlineStr">
        <is>
          <t>profesional</t>
        </is>
      </c>
      <c r="N1748" s="10" t="inlineStr">
        <is>
          <t>rizado</t>
        </is>
      </c>
      <c r="O1748" s="10" t="inlineStr">
        <is>
          <t>https://www.disco.com.ar/shampoo-pantene-pro-v-rizos-definidos-750-ml/p</t>
        </is>
      </c>
    </row>
    <row r="1749">
      <c r="A1749" t="inlineStr">
        <is>
          <t>Disco</t>
        </is>
      </c>
      <c r="B1749" t="n">
        <v>132316</v>
      </c>
      <c r="C1749" t="n">
        <v>129232</v>
      </c>
      <c r="D1749" t="inlineStr">
        <is>
          <t>Shampoo Pantene Pro-v Rizos Definidos 400 Ml</t>
        </is>
      </c>
      <c r="E1749" t="inlineStr">
        <is>
          <t>PANTENE</t>
        </is>
      </c>
      <c r="F1749" t="n">
        <v>48.79</v>
      </c>
      <c r="G1749" t="n">
        <v>4032</v>
      </c>
      <c r="H1749" t="b">
        <v>0</v>
      </c>
      <c r="I1749" t="n">
        <v>400</v>
      </c>
      <c r="J1749" t="n">
        <v>0.122</v>
      </c>
      <c r="K1749" t="inlineStr">
        <is>
          <t>&gt; Perfumería &gt; Cuidado Capilar &gt; Shampoo &gt;</t>
        </is>
      </c>
      <c r="L1749" t="inlineStr">
        <is>
          <t>shampoo</t>
        </is>
      </c>
      <c r="M1749" t="inlineStr">
        <is>
          <t>profesional</t>
        </is>
      </c>
      <c r="N1749" t="inlineStr">
        <is>
          <t>rizado</t>
        </is>
      </c>
      <c r="O1749" t="inlineStr">
        <is>
          <t>https://www.disco.com.ar/shampoo-pantene-pro-v-rizos-definidos-400-ml/p</t>
        </is>
      </c>
    </row>
    <row r="1750">
      <c r="A1750" s="10" t="inlineStr">
        <is>
          <t>Disco</t>
        </is>
      </c>
      <c r="B1750" s="10" t="n">
        <v>132306</v>
      </c>
      <c r="C1750" s="10" t="n">
        <v>129221</v>
      </c>
      <c r="D1750" s="10" t="inlineStr">
        <is>
          <t>Pantene 2in1 Lisoysedoso 400ml</t>
        </is>
      </c>
      <c r="E1750" s="10" t="inlineStr">
        <is>
          <t>PANTENE</t>
        </is>
      </c>
      <c r="F1750" s="10" t="n">
        <v>48.79</v>
      </c>
      <c r="G1750" s="10" t="n">
        <v>4032</v>
      </c>
      <c r="H1750" s="10" t="b">
        <v>0</v>
      </c>
      <c r="I1750" s="10" t="n">
        <v>400</v>
      </c>
      <c r="J1750" s="10" t="n">
        <v>0.122</v>
      </c>
      <c r="K1750" s="10" t="inlineStr">
        <is>
          <t>&gt; Perfumería &gt; Cuidado Capilar &gt; Shampoo &gt;</t>
        </is>
      </c>
      <c r="L1750" s="10" t="inlineStr">
        <is>
          <t>shampoo</t>
        </is>
      </c>
      <c r="M1750" s="10" t="inlineStr">
        <is>
          <t>estandar</t>
        </is>
      </c>
      <c r="N1750" s="10" t="inlineStr">
        <is>
          <t>general</t>
        </is>
      </c>
      <c r="O1750" s="10" t="inlineStr">
        <is>
          <t>https://www.disco.com.ar/pantene-2in1-lisoysedoso-400ml/p</t>
        </is>
      </c>
    </row>
    <row r="1751">
      <c r="A1751" t="inlineStr">
        <is>
          <t>Disco</t>
        </is>
      </c>
      <c r="B1751" t="n">
        <v>132300</v>
      </c>
      <c r="C1751" t="n">
        <v>129215</v>
      </c>
      <c r="D1751" t="inlineStr">
        <is>
          <t>Pantene 2in1 Hidratación 200ml</t>
        </is>
      </c>
      <c r="E1751" t="inlineStr">
        <is>
          <t>PANTENE</t>
        </is>
      </c>
      <c r="F1751" t="n">
        <v>22.39</v>
      </c>
      <c r="G1751" t="n">
        <v>1850</v>
      </c>
      <c r="H1751" t="b">
        <v>0</v>
      </c>
      <c r="I1751" t="n">
        <v>200</v>
      </c>
      <c r="J1751" t="n">
        <v>0.112</v>
      </c>
      <c r="K1751" t="inlineStr">
        <is>
          <t>&gt; Perfumería &gt; Cuidado Capilar &gt; Shampoo &gt;</t>
        </is>
      </c>
      <c r="L1751" t="inlineStr">
        <is>
          <t>shampoo</t>
        </is>
      </c>
      <c r="M1751" t="inlineStr">
        <is>
          <t>estandar</t>
        </is>
      </c>
      <c r="N1751" t="inlineStr">
        <is>
          <t>seco_danado</t>
        </is>
      </c>
      <c r="O1751" t="inlineStr">
        <is>
          <t>https://www.disco.com.ar/pantene-2in1-hidratacion-200ml/p</t>
        </is>
      </c>
    </row>
    <row r="1752">
      <c r="A1752" s="10" t="inlineStr">
        <is>
          <t>Disco</t>
        </is>
      </c>
      <c r="B1752" s="10" t="n">
        <v>132296</v>
      </c>
      <c r="C1752" s="10" t="n">
        <v>129212</v>
      </c>
      <c r="D1752" s="10" t="inlineStr">
        <is>
          <t>Shampoo Pantene Cuidado Clásico 200 Ml</t>
        </is>
      </c>
      <c r="E1752" s="10" t="inlineStr">
        <is>
          <t>PANTENE</t>
        </is>
      </c>
      <c r="F1752" s="10" t="n">
        <v>31.59</v>
      </c>
      <c r="G1752" s="10" t="n">
        <v>31.59</v>
      </c>
      <c r="H1752" s="10" t="b">
        <v>0</v>
      </c>
      <c r="I1752" s="10" t="n">
        <v>200</v>
      </c>
      <c r="J1752" s="10" t="n">
        <v>0.158</v>
      </c>
      <c r="K1752" s="10" t="inlineStr">
        <is>
          <t>&gt; Perfumería &gt; Cuidado Capilar &gt; Shampoo &gt;</t>
        </is>
      </c>
      <c r="L1752" s="10" t="inlineStr">
        <is>
          <t>shampoo</t>
        </is>
      </c>
      <c r="M1752" s="10" t="inlineStr">
        <is>
          <t>estandar</t>
        </is>
      </c>
      <c r="N1752" s="10" t="inlineStr">
        <is>
          <t>general</t>
        </is>
      </c>
      <c r="O1752" s="10" t="inlineStr">
        <is>
          <t>https://www.disco.com.ar/shampoo-pantene-cuidado-clasico-200-ml/p</t>
        </is>
      </c>
    </row>
    <row r="1753">
      <c r="A1753" t="inlineStr">
        <is>
          <t>Disco</t>
        </is>
      </c>
      <c r="B1753" t="n">
        <v>132294</v>
      </c>
      <c r="C1753" t="n">
        <v>129210</v>
      </c>
      <c r="D1753" t="inlineStr">
        <is>
          <t>Shampoo Pantene Pro-v Hidratación 750 Ml</t>
        </is>
      </c>
      <c r="E1753" t="inlineStr">
        <is>
          <t>PANTENE</t>
        </is>
      </c>
      <c r="F1753" t="n">
        <v>74.37</v>
      </c>
      <c r="G1753" t="n">
        <v>6146</v>
      </c>
      <c r="H1753" t="b">
        <v>0</v>
      </c>
      <c r="I1753" t="n">
        <v>750</v>
      </c>
      <c r="J1753" t="n">
        <v>0.0992</v>
      </c>
      <c r="K1753" t="inlineStr">
        <is>
          <t>&gt; Perfumería &gt; Cuidado Capilar &gt; Shampoo &gt;</t>
        </is>
      </c>
      <c r="L1753" t="inlineStr">
        <is>
          <t>shampoo</t>
        </is>
      </c>
      <c r="M1753" t="inlineStr">
        <is>
          <t>profesional</t>
        </is>
      </c>
      <c r="N1753" t="inlineStr">
        <is>
          <t>seco_danado</t>
        </is>
      </c>
      <c r="O1753" t="inlineStr">
        <is>
          <t>https://www.disco.com.ar/shampoo-pantene-pro-v-hidratacion-750-ml/p</t>
        </is>
      </c>
    </row>
    <row r="1754">
      <c r="A1754" s="10" t="inlineStr">
        <is>
          <t>Disco</t>
        </is>
      </c>
      <c r="B1754" s="10" t="n">
        <v>132290</v>
      </c>
      <c r="C1754" s="10" t="n">
        <v>129206</v>
      </c>
      <c r="D1754" s="10" t="inlineStr">
        <is>
          <t>Shampoo Pantene Pro-v Liso Extremo 200 Ml</t>
        </is>
      </c>
      <c r="E1754" s="10" t="inlineStr">
        <is>
          <t>PANTENE</t>
        </is>
      </c>
      <c r="F1754" s="10" t="n">
        <v>24.67</v>
      </c>
      <c r="G1754" s="10" t="n">
        <v>2039</v>
      </c>
      <c r="H1754" s="10" t="b">
        <v>0</v>
      </c>
      <c r="I1754" s="10" t="n">
        <v>200</v>
      </c>
      <c r="J1754" s="10" t="n">
        <v>0.1234</v>
      </c>
      <c r="K1754" s="10" t="inlineStr">
        <is>
          <t>&gt; Perfumería &gt; Cuidado Capilar &gt; Shampoo &gt;</t>
        </is>
      </c>
      <c r="L1754" s="10" t="inlineStr">
        <is>
          <t>shampoo</t>
        </is>
      </c>
      <c r="M1754" s="10" t="inlineStr">
        <is>
          <t>profesional</t>
        </is>
      </c>
      <c r="N1754" s="10" t="inlineStr">
        <is>
          <t>general</t>
        </is>
      </c>
      <c r="O1754" s="10" t="inlineStr">
        <is>
          <t>https://www.disco.com.ar/shampoo-pantene-pro-v-liso-extremo-200-ml/p</t>
        </is>
      </c>
    </row>
    <row r="1755">
      <c r="A1755" t="inlineStr">
        <is>
          <t>Disco</t>
        </is>
      </c>
      <c r="B1755" t="n">
        <v>132289</v>
      </c>
      <c r="C1755" t="n">
        <v>129205</v>
      </c>
      <c r="D1755" t="inlineStr">
        <is>
          <t>Shampoo Pantene Pro-v Hidratación 200 Ml</t>
        </is>
      </c>
      <c r="E1755" t="inlineStr">
        <is>
          <t>PANTENE</t>
        </is>
      </c>
      <c r="F1755" t="n">
        <v>24.67</v>
      </c>
      <c r="G1755" t="n">
        <v>2039</v>
      </c>
      <c r="H1755" t="b">
        <v>0</v>
      </c>
      <c r="I1755" t="n">
        <v>200</v>
      </c>
      <c r="J1755" t="n">
        <v>0.1234</v>
      </c>
      <c r="K1755" t="inlineStr">
        <is>
          <t>&gt; Perfumería &gt; Cuidado Capilar &gt; Shampoo &gt;</t>
        </is>
      </c>
      <c r="L1755" t="inlineStr">
        <is>
          <t>shampoo</t>
        </is>
      </c>
      <c r="M1755" t="inlineStr">
        <is>
          <t>profesional</t>
        </is>
      </c>
      <c r="N1755" t="inlineStr">
        <is>
          <t>seco_danado</t>
        </is>
      </c>
      <c r="O1755" t="inlineStr">
        <is>
          <t>https://www.disco.com.ar/shampoo-pantene-pro-v-hidratacion-200-ml/p</t>
        </is>
      </c>
    </row>
    <row r="1756">
      <c r="A1756" s="10" t="inlineStr">
        <is>
          <t>Disco</t>
        </is>
      </c>
      <c r="B1756" s="10" t="n">
        <v>132277</v>
      </c>
      <c r="C1756" s="10" t="n">
        <v>129193</v>
      </c>
      <c r="D1756" s="10" t="inlineStr">
        <is>
          <t>Shampoo Pantene Pro-v Control Caida 200 Ml</t>
        </is>
      </c>
      <c r="E1756" s="10" t="inlineStr">
        <is>
          <t>PANTENE</t>
        </is>
      </c>
      <c r="F1756" s="10" t="n">
        <v>24.67</v>
      </c>
      <c r="G1756" s="10" t="n">
        <v>2039</v>
      </c>
      <c r="H1756" s="10" t="b">
        <v>0</v>
      </c>
      <c r="I1756" s="10" t="n">
        <v>200</v>
      </c>
      <c r="J1756" s="10" t="n">
        <v>0.1234</v>
      </c>
      <c r="K1756" s="10" t="inlineStr">
        <is>
          <t>&gt; Perfumería &gt; Cuidado Capilar &gt; Shampoo &gt;</t>
        </is>
      </c>
      <c r="L1756" s="10" t="inlineStr">
        <is>
          <t>shampoo</t>
        </is>
      </c>
      <c r="M1756" s="10" t="inlineStr">
        <is>
          <t>profesional</t>
        </is>
      </c>
      <c r="N1756" s="10" t="inlineStr">
        <is>
          <t>general</t>
        </is>
      </c>
      <c r="O1756" s="10" t="inlineStr">
        <is>
          <t>https://www.disco.com.ar/shampoo-pantene-pro-v-control-caida-200-ml/p</t>
        </is>
      </c>
    </row>
    <row r="1757">
      <c r="A1757" t="inlineStr">
        <is>
          <t>Disco</t>
        </is>
      </c>
      <c r="B1757" t="n">
        <v>132272</v>
      </c>
      <c r="C1757" t="n">
        <v>129189</v>
      </c>
      <c r="D1757" t="inlineStr">
        <is>
          <t>Shampoo Pantene Pro-v Brillo Extremo 200 Ml</t>
        </is>
      </c>
      <c r="E1757" t="inlineStr">
        <is>
          <t>PANTENE</t>
        </is>
      </c>
      <c r="F1757" t="n">
        <v>24.67</v>
      </c>
      <c r="G1757" t="n">
        <v>2039</v>
      </c>
      <c r="H1757" t="b">
        <v>0</v>
      </c>
      <c r="I1757" t="n">
        <v>200</v>
      </c>
      <c r="J1757" t="n">
        <v>0.1234</v>
      </c>
      <c r="K1757" t="inlineStr">
        <is>
          <t>&gt; Perfumería &gt; Cuidado Capilar &gt; Shampoo &gt;</t>
        </is>
      </c>
      <c r="L1757" t="inlineStr">
        <is>
          <t>shampoo</t>
        </is>
      </c>
      <c r="M1757" t="inlineStr">
        <is>
          <t>profesional</t>
        </is>
      </c>
      <c r="N1757" t="inlineStr">
        <is>
          <t>general</t>
        </is>
      </c>
      <c r="O1757" t="inlineStr">
        <is>
          <t>https://www.disco.com.ar/shampoo-pantene-pro-v-brillo-extremo-200-ml/p</t>
        </is>
      </c>
    </row>
    <row r="1758">
      <c r="A1758" s="10" t="inlineStr">
        <is>
          <t>Disco</t>
        </is>
      </c>
      <c r="B1758" s="10" t="n">
        <v>132270</v>
      </c>
      <c r="C1758" s="10" t="n">
        <v>129186</v>
      </c>
      <c r="D1758" s="10" t="inlineStr">
        <is>
          <t>Pantene Shampoo Liso Y Sedoso 200ml</t>
        </is>
      </c>
      <c r="E1758" s="10" t="inlineStr">
        <is>
          <t>PANTENE</t>
        </is>
      </c>
      <c r="F1758" s="10" t="n">
        <v>24.67</v>
      </c>
      <c r="G1758" s="10" t="n">
        <v>2039</v>
      </c>
      <c r="H1758" s="10" t="b">
        <v>0</v>
      </c>
      <c r="I1758" s="10" t="n">
        <v>200</v>
      </c>
      <c r="J1758" s="10" t="n">
        <v>0.1234</v>
      </c>
      <c r="K1758" s="10" t="inlineStr">
        <is>
          <t>&gt; Perfumería &gt; Cuidado Capilar &gt; Shampoo &gt;</t>
        </is>
      </c>
      <c r="L1758" s="10" t="inlineStr">
        <is>
          <t>shampoo</t>
        </is>
      </c>
      <c r="M1758" s="10" t="inlineStr">
        <is>
          <t>estandar</t>
        </is>
      </c>
      <c r="N1758" s="10" t="inlineStr">
        <is>
          <t>general</t>
        </is>
      </c>
      <c r="O1758" s="10" t="inlineStr">
        <is>
          <t>https://www.disco.com.ar/pantene-shampoo-liso-y-sedoso-200ml/p</t>
        </is>
      </c>
    </row>
    <row r="1759">
      <c r="A1759" t="inlineStr">
        <is>
          <t>Disco</t>
        </is>
      </c>
      <c r="B1759" t="n">
        <v>132267</v>
      </c>
      <c r="C1759" t="n">
        <v>129184</v>
      </c>
      <c r="D1759" t="inlineStr">
        <is>
          <t>Shampoo Pantene Control Caída 400 Ml</t>
        </is>
      </c>
      <c r="E1759" t="inlineStr">
        <is>
          <t>PANTENE</t>
        </is>
      </c>
      <c r="F1759" t="n">
        <v>48.79</v>
      </c>
      <c r="G1759" t="n">
        <v>4032</v>
      </c>
      <c r="H1759" t="b">
        <v>0</v>
      </c>
      <c r="I1759" t="n">
        <v>400</v>
      </c>
      <c r="J1759" t="n">
        <v>0.122</v>
      </c>
      <c r="K1759" t="inlineStr">
        <is>
          <t>&gt; Perfumería &gt; Cuidado Capilar &gt; Shampoo &gt;</t>
        </is>
      </c>
      <c r="L1759" t="inlineStr">
        <is>
          <t>shampoo</t>
        </is>
      </c>
      <c r="M1759" t="inlineStr">
        <is>
          <t>estandar</t>
        </is>
      </c>
      <c r="N1759" t="inlineStr">
        <is>
          <t>general</t>
        </is>
      </c>
      <c r="O1759" t="inlineStr">
        <is>
          <t>https://www.disco.com.ar/shampoo-pantene-control-caida-400-ml/p</t>
        </is>
      </c>
    </row>
    <row r="1760">
      <c r="A1760" s="10" t="inlineStr">
        <is>
          <t>Disco</t>
        </is>
      </c>
      <c r="B1760" s="10" t="n">
        <v>132264</v>
      </c>
      <c r="C1760" s="10" t="n">
        <v>129180</v>
      </c>
      <c r="D1760" s="10" t="inlineStr">
        <is>
          <t>Shampoo Pantene Pro-v  Liso Extremo 750ml</t>
        </is>
      </c>
      <c r="E1760" s="10" t="inlineStr">
        <is>
          <t>PANTENE</t>
        </is>
      </c>
      <c r="F1760" s="10" t="n">
        <v>74.37</v>
      </c>
      <c r="G1760" s="10" t="n">
        <v>6146</v>
      </c>
      <c r="H1760" s="10" t="b">
        <v>0</v>
      </c>
      <c r="I1760" s="10" t="n">
        <v>750</v>
      </c>
      <c r="J1760" s="10" t="n">
        <v>0.0992</v>
      </c>
      <c r="K1760" s="10" t="inlineStr">
        <is>
          <t>&gt; Perfumería &gt; Cuidado Capilar &gt; Shampoo &gt;</t>
        </is>
      </c>
      <c r="L1760" s="10" t="inlineStr">
        <is>
          <t>shampoo</t>
        </is>
      </c>
      <c r="M1760" s="10" t="inlineStr">
        <is>
          <t>profesional</t>
        </is>
      </c>
      <c r="N1760" s="10" t="inlineStr">
        <is>
          <t>general</t>
        </is>
      </c>
      <c r="O1760" s="10" t="inlineStr">
        <is>
          <t>https://www.disco.com.ar/shampoo-pantene-pro-v-liso-extremo-750ml/p</t>
        </is>
      </c>
    </row>
    <row r="1761">
      <c r="A1761" t="inlineStr">
        <is>
          <t>Disco</t>
        </is>
      </c>
      <c r="B1761" t="n">
        <v>132261</v>
      </c>
      <c r="C1761" t="n">
        <v>129177</v>
      </c>
      <c r="D1761" t="inlineStr">
        <is>
          <t>Acondicionador Pantene Pro-v Rizos Definidos 200 Ml</t>
        </is>
      </c>
      <c r="E1761" t="inlineStr">
        <is>
          <t>PANTENE</t>
        </is>
      </c>
      <c r="F1761" t="n">
        <v>24.67</v>
      </c>
      <c r="G1761" t="n">
        <v>2039</v>
      </c>
      <c r="H1761" t="b">
        <v>0</v>
      </c>
      <c r="I1761" t="n">
        <v>200</v>
      </c>
      <c r="J1761" t="n">
        <v>0.1234</v>
      </c>
      <c r="K1761" t="inlineStr">
        <is>
          <t>&gt; Perfumería &gt; Cuidado Capilar &gt; Acondicionador &gt;</t>
        </is>
      </c>
      <c r="L1761" t="inlineStr">
        <is>
          <t>acondicionador</t>
        </is>
      </c>
      <c r="M1761" t="inlineStr">
        <is>
          <t>profesional</t>
        </is>
      </c>
      <c r="N1761" t="inlineStr">
        <is>
          <t>rizado</t>
        </is>
      </c>
      <c r="O1761" t="inlineStr">
        <is>
          <t>https://www.disco.com.ar/acondicionador-pantene-pro-v-rizos-definidos-200-ml/p</t>
        </is>
      </c>
    </row>
    <row r="1762">
      <c r="A1762" s="10" t="inlineStr">
        <is>
          <t>Disco</t>
        </is>
      </c>
      <c r="B1762" s="10" t="n">
        <v>132260</v>
      </c>
      <c r="C1762" s="10" t="n">
        <v>129176</v>
      </c>
      <c r="D1762" s="10" t="inlineStr">
        <is>
          <t>Shampoo Pantene Liso Extremo 400 Ml</t>
        </is>
      </c>
      <c r="E1762" s="10" t="inlineStr">
        <is>
          <t>PANTENE</t>
        </is>
      </c>
      <c r="F1762" s="10" t="n">
        <v>48.79</v>
      </c>
      <c r="G1762" s="10" t="n">
        <v>4032</v>
      </c>
      <c r="H1762" s="10" t="b">
        <v>0</v>
      </c>
      <c r="I1762" s="10" t="n">
        <v>400</v>
      </c>
      <c r="J1762" s="10" t="n">
        <v>0.122</v>
      </c>
      <c r="K1762" s="10" t="inlineStr">
        <is>
          <t>&gt; Perfumería &gt; Cuidado Capilar &gt; Shampoo &gt;</t>
        </is>
      </c>
      <c r="L1762" s="10" t="inlineStr">
        <is>
          <t>shampoo</t>
        </is>
      </c>
      <c r="M1762" s="10" t="inlineStr">
        <is>
          <t>estandar</t>
        </is>
      </c>
      <c r="N1762" s="10" t="inlineStr">
        <is>
          <t>general</t>
        </is>
      </c>
      <c r="O1762" s="10" t="inlineStr">
        <is>
          <t>https://www.disco.com.ar/shampoo-pantene-liso-extremo-400-ml/p</t>
        </is>
      </c>
    </row>
    <row r="1763">
      <c r="A1763" t="inlineStr">
        <is>
          <t>Disco</t>
        </is>
      </c>
      <c r="B1763" t="n">
        <v>132257</v>
      </c>
      <c r="C1763" t="n">
        <v>129173</v>
      </c>
      <c r="D1763" t="inlineStr">
        <is>
          <t>Acondicionador Pantene Pro-v Rizos Definidos 750 Ml</t>
        </is>
      </c>
      <c r="E1763" t="inlineStr">
        <is>
          <t>PANTENE</t>
        </is>
      </c>
      <c r="F1763" t="n">
        <v>254.19</v>
      </c>
      <c r="G1763" t="n">
        <v>254.19</v>
      </c>
      <c r="H1763" t="b">
        <v>0</v>
      </c>
      <c r="I1763" t="n">
        <v>750</v>
      </c>
      <c r="J1763" t="n">
        <v>0.3389</v>
      </c>
      <c r="K1763" t="inlineStr">
        <is>
          <t>&gt; Perfumería &gt; Cuidado Capilar &gt; Acondicionador &gt;</t>
        </is>
      </c>
      <c r="L1763" t="inlineStr">
        <is>
          <t>acondicionador</t>
        </is>
      </c>
      <c r="M1763" t="inlineStr">
        <is>
          <t>profesional</t>
        </is>
      </c>
      <c r="N1763" t="inlineStr">
        <is>
          <t>rizado</t>
        </is>
      </c>
      <c r="O1763" t="inlineStr">
        <is>
          <t>https://www.disco.com.ar/acondicionador-pantene-pro-v-rizos-definidos-750-ml/p</t>
        </is>
      </c>
    </row>
    <row r="1764">
      <c r="A1764" s="10" t="inlineStr">
        <is>
          <t>Disco</t>
        </is>
      </c>
      <c r="B1764" s="10" t="n">
        <v>132244</v>
      </c>
      <c r="C1764" s="10" t="n">
        <v>129160</v>
      </c>
      <c r="D1764" s="10" t="inlineStr">
        <is>
          <t>Acondicionador Pantene Pro-v Hidratación 400 Ml</t>
        </is>
      </c>
      <c r="E1764" s="10" t="inlineStr">
        <is>
          <t>PANTENE</t>
        </is>
      </c>
      <c r="F1764" s="10" t="n">
        <v>97.29000000000001</v>
      </c>
      <c r="G1764" s="10" t="n">
        <v>8041</v>
      </c>
      <c r="H1764" s="10" t="b">
        <v>0</v>
      </c>
      <c r="I1764" s="10" t="n">
        <v>400</v>
      </c>
      <c r="J1764" s="10" t="n">
        <v>0.2432</v>
      </c>
      <c r="K1764" s="10" t="inlineStr">
        <is>
          <t>&gt; Perfumería &gt; Cuidado Capilar &gt; Acondicionador &gt;</t>
        </is>
      </c>
      <c r="L1764" s="10" t="inlineStr">
        <is>
          <t>acondicionador</t>
        </is>
      </c>
      <c r="M1764" s="10" t="inlineStr">
        <is>
          <t>profesional</t>
        </is>
      </c>
      <c r="N1764" s="10" t="inlineStr">
        <is>
          <t>seco_danado</t>
        </is>
      </c>
      <c r="O1764" s="10" t="inlineStr">
        <is>
          <t>https://www.disco.com.ar/acondicionador-pantene-pro-v-hidratacion-400-ml/p</t>
        </is>
      </c>
    </row>
    <row r="1765">
      <c r="A1765" t="inlineStr">
        <is>
          <t>Disco</t>
        </is>
      </c>
      <c r="B1765" t="n">
        <v>132240</v>
      </c>
      <c r="C1765" t="n">
        <v>129156</v>
      </c>
      <c r="D1765" t="inlineStr">
        <is>
          <t>Acondicionador Pantene Pro-v Hidratación 200 Ml</t>
        </is>
      </c>
      <c r="E1765" t="inlineStr">
        <is>
          <t>PANTENE</t>
        </is>
      </c>
      <c r="F1765" t="n">
        <v>24.67</v>
      </c>
      <c r="G1765" t="n">
        <v>2039</v>
      </c>
      <c r="H1765" t="b">
        <v>0</v>
      </c>
      <c r="I1765" t="n">
        <v>200</v>
      </c>
      <c r="J1765" t="n">
        <v>0.1234</v>
      </c>
      <c r="K1765" t="inlineStr">
        <is>
          <t>&gt; Perfumería &gt; Cuidado Capilar &gt; Acondicionador &gt;</t>
        </is>
      </c>
      <c r="L1765" t="inlineStr">
        <is>
          <t>acondicionador</t>
        </is>
      </c>
      <c r="M1765" t="inlineStr">
        <is>
          <t>profesional</t>
        </is>
      </c>
      <c r="N1765" t="inlineStr">
        <is>
          <t>seco_danado</t>
        </is>
      </c>
      <c r="O1765" t="inlineStr">
        <is>
          <t>https://www.disco.com.ar/acondicionador-pantene-pro-v-hidratacion-200-ml/p</t>
        </is>
      </c>
    </row>
    <row r="1766">
      <c r="A1766" s="10" t="inlineStr">
        <is>
          <t>Disco</t>
        </is>
      </c>
      <c r="B1766" s="10" t="n">
        <v>132235</v>
      </c>
      <c r="C1766" s="10" t="n">
        <v>129151</v>
      </c>
      <c r="D1766" s="10" t="inlineStr">
        <is>
          <t>Acondicionador Pantene Liso Y Sedoso 200 Ml</t>
        </is>
      </c>
      <c r="E1766" s="10" t="inlineStr">
        <is>
          <t>PANTENE</t>
        </is>
      </c>
      <c r="F1766" s="10" t="n">
        <v>24.67</v>
      </c>
      <c r="G1766" s="10" t="n">
        <v>2039</v>
      </c>
      <c r="H1766" s="10" t="b">
        <v>0</v>
      </c>
      <c r="I1766" s="10" t="n">
        <v>200</v>
      </c>
      <c r="J1766" s="10" t="n">
        <v>0.1234</v>
      </c>
      <c r="K1766" s="10" t="inlineStr">
        <is>
          <t>&gt; Perfumería &gt; Cuidado Capilar &gt; Acondicionador &gt;</t>
        </is>
      </c>
      <c r="L1766" s="10" t="inlineStr">
        <is>
          <t>acondicionador</t>
        </is>
      </c>
      <c r="M1766" s="10" t="inlineStr">
        <is>
          <t>estandar</t>
        </is>
      </c>
      <c r="N1766" s="10" t="inlineStr">
        <is>
          <t>general</t>
        </is>
      </c>
      <c r="O1766" s="10" t="inlineStr">
        <is>
          <t>https://www.disco.com.ar/acondicionador-pantene-liso-y-sedoso-200-ml/p</t>
        </is>
      </c>
    </row>
    <row r="1767">
      <c r="A1767" t="inlineStr">
        <is>
          <t>Disco</t>
        </is>
      </c>
      <c r="B1767" t="n">
        <v>132232</v>
      </c>
      <c r="C1767" t="n">
        <v>129148</v>
      </c>
      <c r="D1767" t="inlineStr">
        <is>
          <t>Acondicionador Pantene Pro-v Restauracion 200 Ml</t>
        </is>
      </c>
      <c r="E1767" t="inlineStr">
        <is>
          <t>PANTENE</t>
        </is>
      </c>
      <c r="F1767" t="n">
        <v>24.67</v>
      </c>
      <c r="G1767" t="n">
        <v>2039</v>
      </c>
      <c r="H1767" t="b">
        <v>0</v>
      </c>
      <c r="I1767" t="n">
        <v>200</v>
      </c>
      <c r="J1767" t="n">
        <v>0.1234</v>
      </c>
      <c r="K1767" t="inlineStr">
        <is>
          <t>&gt; Perfumería &gt; Cuidado Capilar &gt; Acondicionador &gt;</t>
        </is>
      </c>
      <c r="L1767" t="inlineStr">
        <is>
          <t>acondicionador</t>
        </is>
      </c>
      <c r="M1767" t="inlineStr">
        <is>
          <t>profesional</t>
        </is>
      </c>
      <c r="N1767" t="inlineStr">
        <is>
          <t>general</t>
        </is>
      </c>
      <c r="O1767" t="inlineStr">
        <is>
          <t>https://www.disco.com.ar/acondicionador-pantene-pro-v-restauracion-200-ml/p</t>
        </is>
      </c>
    </row>
    <row r="1768">
      <c r="A1768" s="10" t="inlineStr">
        <is>
          <t>Disco</t>
        </is>
      </c>
      <c r="B1768" s="10" t="n">
        <v>132231</v>
      </c>
      <c r="C1768" s="10" t="n">
        <v>129149</v>
      </c>
      <c r="D1768" s="10" t="inlineStr">
        <is>
          <t>Shampoo Pantene Pro-v Restauración 200 Ml</t>
        </is>
      </c>
      <c r="E1768" s="10" t="inlineStr">
        <is>
          <t>PANTENE</t>
        </is>
      </c>
      <c r="F1768" s="10" t="n">
        <v>24.67</v>
      </c>
      <c r="G1768" s="10" t="n">
        <v>2039</v>
      </c>
      <c r="H1768" s="10" t="b">
        <v>0</v>
      </c>
      <c r="I1768" s="10" t="n">
        <v>200</v>
      </c>
      <c r="J1768" s="10" t="n">
        <v>0.1234</v>
      </c>
      <c r="K1768" s="10" t="inlineStr">
        <is>
          <t>&gt; Perfumería &gt; Cuidado Capilar &gt; Shampoo &gt;</t>
        </is>
      </c>
      <c r="L1768" s="10" t="inlineStr">
        <is>
          <t>shampoo</t>
        </is>
      </c>
      <c r="M1768" s="10" t="inlineStr">
        <is>
          <t>profesional</t>
        </is>
      </c>
      <c r="N1768" s="10" t="inlineStr">
        <is>
          <t>general</t>
        </is>
      </c>
      <c r="O1768" s="10" t="inlineStr">
        <is>
          <t>https://www.disco.com.ar/shampoo-pantene-pro-v-restauracion-200-ml/p</t>
        </is>
      </c>
    </row>
    <row r="1769">
      <c r="A1769" t="inlineStr">
        <is>
          <t>Disco</t>
        </is>
      </c>
      <c r="B1769" t="n">
        <v>132228</v>
      </c>
      <c r="C1769" t="n">
        <v>129144</v>
      </c>
      <c r="D1769" t="inlineStr">
        <is>
          <t>Acondicionador Pantene Cuidado Clásico 400 Ml</t>
        </is>
      </c>
      <c r="E1769" t="inlineStr">
        <is>
          <t>PANTENE</t>
        </is>
      </c>
      <c r="F1769" t="n">
        <v>97.29000000000001</v>
      </c>
      <c r="G1769" t="n">
        <v>8041</v>
      </c>
      <c r="H1769" t="b">
        <v>0</v>
      </c>
      <c r="I1769" t="n">
        <v>400</v>
      </c>
      <c r="J1769" t="n">
        <v>0.2432</v>
      </c>
      <c r="K1769" t="inlineStr">
        <is>
          <t>&gt; Perfumería &gt; Cuidado Capilar &gt; Acondicionador &gt;</t>
        </is>
      </c>
      <c r="L1769" t="inlineStr">
        <is>
          <t>acondicionador</t>
        </is>
      </c>
      <c r="M1769" t="inlineStr">
        <is>
          <t>estandar</t>
        </is>
      </c>
      <c r="N1769" t="inlineStr">
        <is>
          <t>general</t>
        </is>
      </c>
      <c r="O1769" t="inlineStr">
        <is>
          <t>https://www.disco.com.ar/acondicionador-pantene-cuidado-clasico-400-ml/p</t>
        </is>
      </c>
    </row>
    <row r="1770">
      <c r="A1770" s="10" t="inlineStr">
        <is>
          <t>Disco</t>
        </is>
      </c>
      <c r="B1770" s="10" t="n">
        <v>130643</v>
      </c>
      <c r="C1770" s="10" t="n">
        <v>127572</v>
      </c>
      <c r="D1770" s="10" t="inlineStr">
        <is>
          <t>Pantene Tratamiento Hidratacion Balanceada 150ml</t>
        </is>
      </c>
      <c r="E1770" s="10" t="inlineStr">
        <is>
          <t>PANTENE</t>
        </is>
      </c>
      <c r="F1770" s="10" t="n">
        <v>31.99</v>
      </c>
      <c r="G1770" s="10" t="n">
        <v>2644</v>
      </c>
      <c r="H1770" s="10" t="b">
        <v>0</v>
      </c>
      <c r="I1770" s="10" t="n">
        <v>150</v>
      </c>
      <c r="J1770" s="10" t="n">
        <v>0.2133</v>
      </c>
      <c r="K1770" s="10" t="inlineStr">
        <is>
          <t>&gt; Perfumería &gt; Cuidado Capilar &gt; Reparación y Tratamientos &gt;</t>
        </is>
      </c>
      <c r="L1770" s="10" t="inlineStr">
        <is>
          <t>tratamiento</t>
        </is>
      </c>
      <c r="M1770" s="10" t="inlineStr">
        <is>
          <t>estandar</t>
        </is>
      </c>
      <c r="N1770" s="10" t="inlineStr">
        <is>
          <t>seco_danado</t>
        </is>
      </c>
      <c r="O1770" s="10" t="inlineStr">
        <is>
          <t>https://www.disco.com.ar/pantene-tratamiento-hidratacion-balanceada-150ml/p</t>
        </is>
      </c>
    </row>
    <row r="1771">
      <c r="A1771" t="inlineStr">
        <is>
          <t>Disco</t>
        </is>
      </c>
      <c r="B1771" t="n">
        <v>130638</v>
      </c>
      <c r="C1771" t="n">
        <v>127570</v>
      </c>
      <c r="D1771" t="inlineStr">
        <is>
          <t>Acondicionador Pantene Fusión Naturaleza 400 Ml</t>
        </is>
      </c>
      <c r="E1771" t="inlineStr">
        <is>
          <t>PANTENE</t>
        </is>
      </c>
      <c r="F1771" t="n">
        <v>48.79</v>
      </c>
      <c r="G1771" t="n">
        <v>4032</v>
      </c>
      <c r="H1771" t="b">
        <v>0</v>
      </c>
      <c r="I1771" t="n">
        <v>400</v>
      </c>
      <c r="J1771" t="n">
        <v>0.122</v>
      </c>
      <c r="K1771" t="inlineStr">
        <is>
          <t>&gt; Perfumería &gt; Cuidado Capilar &gt; Acondicionador &gt;</t>
        </is>
      </c>
      <c r="L1771" t="inlineStr">
        <is>
          <t>acondicionador</t>
        </is>
      </c>
      <c r="M1771" t="inlineStr">
        <is>
          <t>estandar</t>
        </is>
      </c>
      <c r="N1771" t="inlineStr">
        <is>
          <t>general</t>
        </is>
      </c>
      <c r="O1771" t="inlineStr">
        <is>
          <t>https://www.disco.com.ar/acondicionador-pantene-fusion-naturaleza-400-ml/p</t>
        </is>
      </c>
    </row>
    <row r="1772">
      <c r="A1772" s="10" t="inlineStr">
        <is>
          <t>Disco</t>
        </is>
      </c>
      <c r="B1772" s="10" t="n">
        <v>130631</v>
      </c>
      <c r="C1772" s="10" t="n">
        <v>127560</v>
      </c>
      <c r="D1772" s="10" t="inlineStr">
        <is>
          <t>Acondicionador Pantene Fusión Naturaleza 200 Ml</t>
        </is>
      </c>
      <c r="E1772" s="10" t="inlineStr">
        <is>
          <t>PANTENE</t>
        </is>
      </c>
      <c r="F1772" s="10" t="n">
        <v>21.33</v>
      </c>
      <c r="G1772" s="10" t="n">
        <v>1763</v>
      </c>
      <c r="H1772" s="10" t="b">
        <v>0</v>
      </c>
      <c r="I1772" s="10" t="n">
        <v>200</v>
      </c>
      <c r="J1772" s="10" t="n">
        <v>0.1066</v>
      </c>
      <c r="K1772" s="10" t="inlineStr">
        <is>
          <t>&gt; Perfumería &gt; Cuidado Capilar &gt; Acondicionador &gt;</t>
        </is>
      </c>
      <c r="L1772" s="10" t="inlineStr">
        <is>
          <t>acondicionador</t>
        </is>
      </c>
      <c r="M1772" s="10" t="inlineStr">
        <is>
          <t>estandar</t>
        </is>
      </c>
      <c r="N1772" s="10" t="inlineStr">
        <is>
          <t>general</t>
        </is>
      </c>
      <c r="O1772" s="10" t="inlineStr">
        <is>
          <t>https://www.disco.com.ar/acondicionador-pantene-fusion-naturaleza-200-ml-2/p</t>
        </is>
      </c>
    </row>
    <row r="1773">
      <c r="A1773" t="inlineStr">
        <is>
          <t>Disco</t>
        </is>
      </c>
      <c r="B1773" t="n">
        <v>130623</v>
      </c>
      <c r="C1773" t="n">
        <v>127553</v>
      </c>
      <c r="D1773" t="inlineStr">
        <is>
          <t>Shampoo Pantene Fusión Naturaleza 750 Ml</t>
        </is>
      </c>
      <c r="E1773" t="inlineStr">
        <is>
          <t>PANTENE</t>
        </is>
      </c>
      <c r="F1773" t="n">
        <v>74.37</v>
      </c>
      <c r="G1773" t="n">
        <v>6146</v>
      </c>
      <c r="H1773" t="b">
        <v>0</v>
      </c>
      <c r="I1773" t="n">
        <v>750</v>
      </c>
      <c r="J1773" t="n">
        <v>0.0992</v>
      </c>
      <c r="K1773" t="inlineStr">
        <is>
          <t>&gt; Perfumería &gt; Cuidado Capilar &gt; Shampoo &gt;</t>
        </is>
      </c>
      <c r="L1773" t="inlineStr">
        <is>
          <t>shampoo</t>
        </is>
      </c>
      <c r="M1773" t="inlineStr">
        <is>
          <t>estandar</t>
        </is>
      </c>
      <c r="N1773" t="inlineStr">
        <is>
          <t>general</t>
        </is>
      </c>
      <c r="O1773" t="inlineStr">
        <is>
          <t>https://www.disco.com.ar/shampoo-pantene-fusion-naturaleza-750-ml/p</t>
        </is>
      </c>
    </row>
    <row r="1774">
      <c r="A1774" s="10" t="inlineStr">
        <is>
          <t>Disco</t>
        </is>
      </c>
      <c r="B1774" s="10" t="n">
        <v>130619</v>
      </c>
      <c r="C1774" s="10" t="n">
        <v>127548</v>
      </c>
      <c r="D1774" s="10" t="inlineStr">
        <is>
          <t>Shampoo Pantene Fusión Naturaleza 400 Ml</t>
        </is>
      </c>
      <c r="E1774" s="10" t="inlineStr">
        <is>
          <t>PANTENE</t>
        </is>
      </c>
      <c r="F1774" s="10" t="n">
        <v>48.79</v>
      </c>
      <c r="G1774" s="10" t="n">
        <v>4032</v>
      </c>
      <c r="H1774" s="10" t="b">
        <v>0</v>
      </c>
      <c r="I1774" s="10" t="n">
        <v>400</v>
      </c>
      <c r="J1774" s="10" t="n">
        <v>0.122</v>
      </c>
      <c r="K1774" s="10" t="inlineStr">
        <is>
          <t>&gt; Perfumería &gt; Cuidado Capilar &gt; Shampoo &gt;</t>
        </is>
      </c>
      <c r="L1774" s="10" t="inlineStr">
        <is>
          <t>shampoo</t>
        </is>
      </c>
      <c r="M1774" s="10" t="inlineStr">
        <is>
          <t>estandar</t>
        </is>
      </c>
      <c r="N1774" s="10" t="inlineStr">
        <is>
          <t>general</t>
        </is>
      </c>
      <c r="O1774" s="10" t="inlineStr">
        <is>
          <t>https://www.disco.com.ar/shampoo-pantene-fusion-naturaleza-400-ml-2/p</t>
        </is>
      </c>
    </row>
    <row r="1775">
      <c r="A1775" t="inlineStr">
        <is>
          <t>Disco</t>
        </is>
      </c>
      <c r="B1775" t="n">
        <v>130613</v>
      </c>
      <c r="C1775" t="n">
        <v>127542</v>
      </c>
      <c r="D1775" t="inlineStr">
        <is>
          <t>Shampoo Pantene Fusión Naturaleza 400 Ml</t>
        </is>
      </c>
      <c r="E1775" t="inlineStr">
        <is>
          <t>PANTENE</t>
        </is>
      </c>
      <c r="F1775" t="n">
        <v>42.97</v>
      </c>
      <c r="G1775" t="n">
        <v>3551</v>
      </c>
      <c r="H1775" t="b">
        <v>0</v>
      </c>
      <c r="I1775" t="n">
        <v>400</v>
      </c>
      <c r="J1775" t="n">
        <v>0.1074</v>
      </c>
      <c r="K1775" t="inlineStr">
        <is>
          <t>&gt; Perfumería &gt; Cuidado Capilar &gt; Shampoo &gt;</t>
        </is>
      </c>
      <c r="L1775" t="inlineStr">
        <is>
          <t>shampoo</t>
        </is>
      </c>
      <c r="M1775" t="inlineStr">
        <is>
          <t>estandar</t>
        </is>
      </c>
      <c r="N1775" t="inlineStr">
        <is>
          <t>general</t>
        </is>
      </c>
      <c r="O1775" t="inlineStr">
        <is>
          <t>https://www.disco.com.ar/shampoo-pantene-fusion-naturaleza-400-ml/p</t>
        </is>
      </c>
    </row>
    <row r="1776">
      <c r="A1776" s="10" t="inlineStr">
        <is>
          <t>Disco</t>
        </is>
      </c>
      <c r="B1776" s="10" t="n">
        <v>130608</v>
      </c>
      <c r="C1776" s="10" t="n">
        <v>127537</v>
      </c>
      <c r="D1776" s="10" t="inlineStr">
        <is>
          <t>Shampoo Pantene Fusión Naturaleza 200 Ml</t>
        </is>
      </c>
      <c r="E1776" s="10" t="inlineStr">
        <is>
          <t>PANTENE</t>
        </is>
      </c>
      <c r="F1776" s="10" t="n">
        <v>24.67</v>
      </c>
      <c r="G1776" s="10" t="n">
        <v>2039</v>
      </c>
      <c r="H1776" s="10" t="b">
        <v>0</v>
      </c>
      <c r="I1776" s="10" t="n">
        <v>200</v>
      </c>
      <c r="J1776" s="10" t="n">
        <v>0.1234</v>
      </c>
      <c r="K1776" s="10" t="inlineStr">
        <is>
          <t>&gt; Perfumería &gt; Cuidado Capilar &gt; Shampoo &gt;</t>
        </is>
      </c>
      <c r="L1776" s="10" t="inlineStr">
        <is>
          <t>shampoo</t>
        </is>
      </c>
      <c r="M1776" s="10" t="inlineStr">
        <is>
          <t>estandar</t>
        </is>
      </c>
      <c r="N1776" s="10" t="inlineStr">
        <is>
          <t>general</t>
        </is>
      </c>
      <c r="O1776" s="10" t="inlineStr">
        <is>
          <t>https://www.disco.com.ar/shampoo-pantene-fusion-naturaleza-200-ml/p</t>
        </is>
      </c>
    </row>
    <row r="1777">
      <c r="A1777" t="inlineStr">
        <is>
          <t>Disco</t>
        </is>
      </c>
      <c r="B1777" t="n">
        <v>130583</v>
      </c>
      <c r="C1777" t="n">
        <v>127512</v>
      </c>
      <c r="D1777" t="inlineStr">
        <is>
          <t>Pantene Tratamiento Noc Reparacion Nutritiva 150ml</t>
        </is>
      </c>
      <c r="E1777" t="inlineStr">
        <is>
          <t>PANTENE</t>
        </is>
      </c>
      <c r="F1777" t="n">
        <v>29.39</v>
      </c>
      <c r="G1777" t="n">
        <v>2429</v>
      </c>
      <c r="H1777" t="b">
        <v>0</v>
      </c>
      <c r="I1777" t="n">
        <v>150</v>
      </c>
      <c r="J1777" t="n">
        <v>0.1959</v>
      </c>
      <c r="K1777" t="inlineStr">
        <is>
          <t>&gt; Perfumería &gt; Cuidado Capilar &gt; Reparación y Tratamientos &gt;</t>
        </is>
      </c>
      <c r="L1777" t="inlineStr">
        <is>
          <t>tratamiento</t>
        </is>
      </c>
      <c r="M1777" t="inlineStr">
        <is>
          <t>estandar</t>
        </is>
      </c>
      <c r="N1777" t="inlineStr">
        <is>
          <t>general</t>
        </is>
      </c>
      <c r="O1777" t="inlineStr">
        <is>
          <t>https://www.disco.com.ar/pantene-tratamiento-noc-reparacion-nutritiva-150ml/p</t>
        </is>
      </c>
    </row>
    <row r="1778">
      <c r="A1778" s="10" t="inlineStr">
        <is>
          <t>Disco</t>
        </is>
      </c>
      <c r="B1778" s="10" t="n">
        <v>130579</v>
      </c>
      <c r="C1778" s="10" t="n">
        <v>127508</v>
      </c>
      <c r="D1778" s="10" t="inlineStr">
        <is>
          <t>Acondicionador Pantene Fusión Naturaleza 200 Ml</t>
        </is>
      </c>
      <c r="E1778" s="10" t="inlineStr">
        <is>
          <t>PANTENE</t>
        </is>
      </c>
      <c r="F1778" s="10" t="n">
        <v>21.33</v>
      </c>
      <c r="G1778" s="10" t="n">
        <v>1763</v>
      </c>
      <c r="H1778" s="10" t="b">
        <v>0</v>
      </c>
      <c r="I1778" s="10" t="n">
        <v>200</v>
      </c>
      <c r="J1778" s="10" t="n">
        <v>0.1066</v>
      </c>
      <c r="K1778" s="10" t="inlineStr">
        <is>
          <t>&gt; Perfumería &gt; Cuidado Capilar &gt; Acondicionador &gt;</t>
        </is>
      </c>
      <c r="L1778" s="10" t="inlineStr">
        <is>
          <t>acondicionador</t>
        </is>
      </c>
      <c r="M1778" s="10" t="inlineStr">
        <is>
          <t>estandar</t>
        </is>
      </c>
      <c r="N1778" s="10" t="inlineStr">
        <is>
          <t>general</t>
        </is>
      </c>
      <c r="O1778" s="10" t="inlineStr">
        <is>
          <t>https://www.disco.com.ar/acondicionador-pantene-fusion-naturaleza-200-ml/p</t>
        </is>
      </c>
    </row>
    <row r="1779">
      <c r="A1779" t="inlineStr">
        <is>
          <t>Disco</t>
        </is>
      </c>
      <c r="B1779" t="n">
        <v>130575</v>
      </c>
      <c r="C1779" t="n">
        <v>127504</v>
      </c>
      <c r="D1779" t="inlineStr">
        <is>
          <t>Acondicionador Pantene Fusión Naturaleza 400ml</t>
        </is>
      </c>
      <c r="E1779" t="inlineStr">
        <is>
          <t>PANTENE</t>
        </is>
      </c>
      <c r="F1779" t="n">
        <v>40.15</v>
      </c>
      <c r="G1779" t="n">
        <v>3318</v>
      </c>
      <c r="H1779" t="b">
        <v>0</v>
      </c>
      <c r="I1779" t="n">
        <v>400</v>
      </c>
      <c r="J1779" t="n">
        <v>0.1004</v>
      </c>
      <c r="K1779" t="inlineStr">
        <is>
          <t>&gt; Perfumería &gt; Cuidado Capilar &gt; Acondicionador &gt;</t>
        </is>
      </c>
      <c r="L1779" t="inlineStr">
        <is>
          <t>acondicionador</t>
        </is>
      </c>
      <c r="M1779" t="inlineStr">
        <is>
          <t>estandar</t>
        </is>
      </c>
      <c r="N1779" t="inlineStr">
        <is>
          <t>general</t>
        </is>
      </c>
      <c r="O1779" t="inlineStr">
        <is>
          <t>https://www.disco.com.ar/acondicionador-pantene-fusion-naturaleza-400ml/p</t>
        </is>
      </c>
    </row>
    <row r="1780">
      <c r="A1780" s="10" t="inlineStr">
        <is>
          <t>Disco</t>
        </is>
      </c>
      <c r="B1780" s="10" t="n">
        <v>127440</v>
      </c>
      <c r="C1780" s="10" t="n">
        <v>110229</v>
      </c>
      <c r="D1780" s="10" t="inlineStr">
        <is>
          <t>Shampoo Pantene-renovación Profunda  X 200-+ Acondicionador Renov. Prof. X 200-pck-un.-2</t>
        </is>
      </c>
      <c r="E1780" s="10" t="inlineStr">
        <is>
          <t>PANTENE</t>
        </is>
      </c>
      <c r="F1780" s="10" t="n">
        <v>10.95</v>
      </c>
      <c r="G1780" s="10" t="n">
        <v>10.95</v>
      </c>
      <c r="H1780" s="10" t="b">
        <v>0</v>
      </c>
      <c r="I1780" s="10" t="inlineStr"/>
      <c r="J1780" s="10" t="inlineStr"/>
      <c r="K1780" s="10" t="inlineStr">
        <is>
          <t>&gt; Perfumería &gt; Cuidado Capilar &gt; Shampoo &gt;</t>
        </is>
      </c>
      <c r="L1780" s="10" t="inlineStr">
        <is>
          <t>acondicionador</t>
        </is>
      </c>
      <c r="M1780" s="10" t="inlineStr">
        <is>
          <t>estandar</t>
        </is>
      </c>
      <c r="N1780" s="10" t="inlineStr">
        <is>
          <t>general</t>
        </is>
      </c>
      <c r="O1780" s="10" t="inlineStr">
        <is>
          <t>https://www.disco.com.ar/shampoo-pantene-renovacion-profunda-x-200-acondicionador-renov-prof-x-200-pck-un-2/p</t>
        </is>
      </c>
    </row>
    <row r="1781">
      <c r="A1781" t="inlineStr">
        <is>
          <t>Disco</t>
        </is>
      </c>
      <c r="B1781" t="n">
        <v>123357</v>
      </c>
      <c r="C1781" t="n">
        <v>122362</v>
      </c>
      <c r="D1781" t="inlineStr">
        <is>
          <t>Acond Pantene Rep Int + Trat</t>
        </is>
      </c>
      <c r="E1781" t="inlineStr">
        <is>
          <t>PANTENE</t>
        </is>
      </c>
      <c r="F1781" t="n">
        <v>24.95</v>
      </c>
      <c r="G1781" t="n">
        <v>24.95</v>
      </c>
      <c r="H1781" t="b">
        <v>0</v>
      </c>
      <c r="I1781" t="inlineStr"/>
      <c r="J1781" t="inlineStr"/>
      <c r="K1781" t="inlineStr">
        <is>
          <t>&gt; Perfumería &gt; Cuidado Capilar &gt; Acondicionador &gt;</t>
        </is>
      </c>
      <c r="L1781" t="inlineStr">
        <is>
          <t>shampoo</t>
        </is>
      </c>
      <c r="M1781" t="inlineStr">
        <is>
          <t>estandar</t>
        </is>
      </c>
      <c r="N1781" t="inlineStr">
        <is>
          <t>general</t>
        </is>
      </c>
      <c r="O1781" t="inlineStr">
        <is>
          <t>https://www.disco.com.ar/acond-pantene-rep-int-trat/p</t>
        </is>
      </c>
    </row>
    <row r="1782">
      <c r="A1782" s="10" t="inlineStr">
        <is>
          <t>Disco</t>
        </is>
      </c>
      <c r="B1782" s="10" t="n">
        <v>123207</v>
      </c>
      <c r="C1782" s="10" t="n">
        <v>122212</v>
      </c>
      <c r="D1782" s="10" t="inlineStr">
        <is>
          <t>Acond Pantene Frizz Ctrol  + Trat</t>
        </is>
      </c>
      <c r="E1782" s="10" t="inlineStr">
        <is>
          <t>PANTENE</t>
        </is>
      </c>
      <c r="F1782" s="10" t="n">
        <v>24.95</v>
      </c>
      <c r="G1782" s="10" t="n">
        <v>24.95</v>
      </c>
      <c r="H1782" s="10" t="b">
        <v>0</v>
      </c>
      <c r="I1782" s="10" t="inlineStr"/>
      <c r="J1782" s="10" t="inlineStr"/>
      <c r="K1782" s="10" t="inlineStr">
        <is>
          <t>&gt; Perfumería &gt; Cuidado Capilar &gt; Acondicionador &gt;</t>
        </is>
      </c>
      <c r="L1782" s="10" t="inlineStr">
        <is>
          <t>shampoo</t>
        </is>
      </c>
      <c r="M1782" s="10" t="inlineStr">
        <is>
          <t>estandar</t>
        </is>
      </c>
      <c r="N1782" s="10" t="inlineStr">
        <is>
          <t>general</t>
        </is>
      </c>
      <c r="O1782" s="10" t="inlineStr">
        <is>
          <t>https://www.disco.com.ar/acond-pantene-frizz-ctrol-trat/p</t>
        </is>
      </c>
    </row>
    <row r="1783">
      <c r="A1783" t="inlineStr">
        <is>
          <t>Disco</t>
        </is>
      </c>
      <c r="B1783" t="n">
        <v>123015</v>
      </c>
      <c r="C1783" t="n">
        <v>122022</v>
      </c>
      <c r="D1783" t="inlineStr">
        <is>
          <t>Acond Pantene Ctrol Caida  + Trat</t>
        </is>
      </c>
      <c r="E1783" t="inlineStr">
        <is>
          <t>PANTENE</t>
        </is>
      </c>
      <c r="F1783" t="n">
        <v>27.05</v>
      </c>
      <c r="G1783" t="n">
        <v>27.05</v>
      </c>
      <c r="H1783" t="b">
        <v>0</v>
      </c>
      <c r="I1783" t="inlineStr"/>
      <c r="J1783" t="inlineStr"/>
      <c r="K1783" t="inlineStr">
        <is>
          <t>&gt; Perfumería &gt; Cuidado Capilar &gt; Acondicionador &gt;</t>
        </is>
      </c>
      <c r="L1783" t="inlineStr">
        <is>
          <t>shampoo</t>
        </is>
      </c>
      <c r="M1783" t="inlineStr">
        <is>
          <t>estandar</t>
        </is>
      </c>
      <c r="N1783" t="inlineStr">
        <is>
          <t>general</t>
        </is>
      </c>
      <c r="O1783" t="inlineStr">
        <is>
          <t>https://www.disco.com.ar/acond-pantene-ctrol-caida-trat/p</t>
        </is>
      </c>
    </row>
    <row r="1784">
      <c r="A1784" s="10" t="inlineStr">
        <is>
          <t>Disco</t>
        </is>
      </c>
      <c r="B1784" s="10" t="n">
        <v>122128</v>
      </c>
      <c r="C1784" s="10" t="n">
        <v>121147</v>
      </c>
      <c r="D1784" s="10" t="inlineStr">
        <is>
          <t>Acondicionador Pantene Rizos Definidos 750 Ml</t>
        </is>
      </c>
      <c r="E1784" s="10" t="inlineStr">
        <is>
          <t>PANTENE</t>
        </is>
      </c>
      <c r="F1784" s="10" t="n">
        <v>64.34999999999999</v>
      </c>
      <c r="G1784" s="10" t="n">
        <v>5318</v>
      </c>
      <c r="H1784" s="10" t="b">
        <v>0</v>
      </c>
      <c r="I1784" s="10" t="n">
        <v>750</v>
      </c>
      <c r="J1784" s="10" t="n">
        <v>0.0858</v>
      </c>
      <c r="K1784" s="10" t="inlineStr">
        <is>
          <t>&gt; Perfumería &gt; Cuidado Capilar &gt; Acondicionador &gt;</t>
        </is>
      </c>
      <c r="L1784" s="10" t="inlineStr">
        <is>
          <t>acondicionador</t>
        </is>
      </c>
      <c r="M1784" s="10" t="inlineStr">
        <is>
          <t>estandar</t>
        </is>
      </c>
      <c r="N1784" s="10" t="inlineStr">
        <is>
          <t>rizado</t>
        </is>
      </c>
      <c r="O1784" s="10" t="inlineStr">
        <is>
          <t>https://www.disco.com.ar/acondicionador-pantene-17-2/p</t>
        </is>
      </c>
    </row>
    <row r="1785">
      <c r="A1785" t="inlineStr">
        <is>
          <t>Disco</t>
        </is>
      </c>
      <c r="B1785" t="n">
        <v>121968</v>
      </c>
      <c r="C1785" t="n">
        <v>120991</v>
      </c>
      <c r="D1785" t="inlineStr">
        <is>
          <t>Acondicionador Pantene Acondic Pantene Liso Y Sedoso 750 Ml</t>
        </is>
      </c>
      <c r="E1785" t="inlineStr">
        <is>
          <t>PANTENE</t>
        </is>
      </c>
      <c r="F1785" t="n">
        <v>457.59</v>
      </c>
      <c r="G1785" t="n">
        <v>457.59</v>
      </c>
      <c r="H1785" t="b">
        <v>0</v>
      </c>
      <c r="I1785" t="n">
        <v>750</v>
      </c>
      <c r="J1785" t="n">
        <v>0.6101</v>
      </c>
      <c r="K1785" t="inlineStr">
        <is>
          <t>&gt; Perfumería &gt; Cuidado Capilar &gt; Acondicionador &gt;</t>
        </is>
      </c>
      <c r="L1785" t="inlineStr">
        <is>
          <t>acondicionador</t>
        </is>
      </c>
      <c r="M1785" t="inlineStr">
        <is>
          <t>estandar</t>
        </is>
      </c>
      <c r="N1785" t="inlineStr">
        <is>
          <t>general</t>
        </is>
      </c>
      <c r="O1785" t="inlineStr">
        <is>
          <t>https://www.disco.com.ar/acondicionador-pantene-17/p</t>
        </is>
      </c>
    </row>
    <row r="1786">
      <c r="A1786" s="10" t="inlineStr">
        <is>
          <t>Disco</t>
        </is>
      </c>
      <c r="B1786" s="10" t="n">
        <v>121924</v>
      </c>
      <c r="C1786" s="10" t="n">
        <v>120945</v>
      </c>
      <c r="D1786" s="10" t="inlineStr">
        <is>
          <t>Acondicionador Pantene Liso Extremo 750 Ml</t>
        </is>
      </c>
      <c r="E1786" s="10" t="inlineStr">
        <is>
          <t>PANTENE</t>
        </is>
      </c>
      <c r="F1786" s="10" t="n">
        <v>284.77</v>
      </c>
      <c r="G1786" s="10" t="n">
        <v>23535</v>
      </c>
      <c r="H1786" s="10" t="b">
        <v>0</v>
      </c>
      <c r="I1786" s="10" t="n">
        <v>750</v>
      </c>
      <c r="J1786" s="10" t="n">
        <v>0.3797</v>
      </c>
      <c r="K1786" s="10" t="inlineStr">
        <is>
          <t>&gt; Perfumería &gt; Cuidado Capilar &gt; Acondicionador &gt;</t>
        </is>
      </c>
      <c r="L1786" s="10" t="inlineStr">
        <is>
          <t>acondicionador</t>
        </is>
      </c>
      <c r="M1786" s="10" t="inlineStr">
        <is>
          <t>estandar</t>
        </is>
      </c>
      <c r="N1786" s="10" t="inlineStr">
        <is>
          <t>general</t>
        </is>
      </c>
      <c r="O1786" s="10" t="inlineStr">
        <is>
          <t>https://www.disco.com.ar/acondicionador-pantene-19/p</t>
        </is>
      </c>
    </row>
    <row r="1787">
      <c r="A1787" t="inlineStr">
        <is>
          <t>Disco</t>
        </is>
      </c>
      <c r="B1787" t="n">
        <v>118671</v>
      </c>
      <c r="C1787" t="n">
        <v>117708</v>
      </c>
      <c r="D1787" t="inlineStr">
        <is>
          <t>Acondicionador Pantene  Pro V X 2 Un</t>
        </is>
      </c>
      <c r="E1787" t="inlineStr">
        <is>
          <t>PANTENE</t>
        </is>
      </c>
      <c r="F1787" t="n">
        <v>22.97</v>
      </c>
      <c r="G1787" t="n">
        <v>22.97</v>
      </c>
      <c r="H1787" t="b">
        <v>0</v>
      </c>
      <c r="I1787" t="inlineStr"/>
      <c r="J1787" t="inlineStr"/>
      <c r="K1787" t="inlineStr">
        <is>
          <t>&gt; Perfumería &gt; Cuidado Capilar &gt; Acondicionador &gt;</t>
        </is>
      </c>
      <c r="L1787" t="inlineStr">
        <is>
          <t>acondicionador</t>
        </is>
      </c>
      <c r="M1787" t="inlineStr">
        <is>
          <t>profesional</t>
        </is>
      </c>
      <c r="N1787" t="inlineStr">
        <is>
          <t>general</t>
        </is>
      </c>
      <c r="O1787" t="inlineStr">
        <is>
          <t>https://www.disco.com.ar/acondicionador-pantene-pro-v-x-2-un-10/p</t>
        </is>
      </c>
    </row>
    <row r="1788">
      <c r="A1788" s="10" t="inlineStr">
        <is>
          <t>Disco</t>
        </is>
      </c>
      <c r="B1788" s="10" t="n">
        <v>118582</v>
      </c>
      <c r="C1788" s="10" t="n">
        <v>117619</v>
      </c>
      <c r="D1788" s="10" t="inlineStr">
        <is>
          <t>Acondicionador Pantene Pro V X 2 Un + Spray Brillo Extremo</t>
        </is>
      </c>
      <c r="E1788" s="10" t="inlineStr">
        <is>
          <t>PANTENE</t>
        </is>
      </c>
      <c r="F1788" s="10" t="n">
        <v>21.53</v>
      </c>
      <c r="G1788" s="10" t="n">
        <v>21.53</v>
      </c>
      <c r="H1788" s="10" t="b">
        <v>0</v>
      </c>
      <c r="I1788" s="10" t="inlineStr"/>
      <c r="J1788" s="10" t="inlineStr"/>
      <c r="K1788" s="10" t="inlineStr">
        <is>
          <t>&gt; Perfumería &gt; Cuidado Capilar &gt; Acondicionador &gt;</t>
        </is>
      </c>
      <c r="L1788" s="10" t="inlineStr">
        <is>
          <t>acondicionador</t>
        </is>
      </c>
      <c r="M1788" s="10" t="inlineStr">
        <is>
          <t>profesional</t>
        </is>
      </c>
      <c r="N1788" s="10" t="inlineStr">
        <is>
          <t>general</t>
        </is>
      </c>
      <c r="O1788" s="10" t="inlineStr">
        <is>
          <t>https://www.disco.com.ar/acondicionador-pantene-pro-v-x-2-un-7/p</t>
        </is>
      </c>
    </row>
    <row r="1789">
      <c r="A1789" t="inlineStr">
        <is>
          <t>Disco</t>
        </is>
      </c>
      <c r="B1789" t="n">
        <v>116843</v>
      </c>
      <c r="C1789" t="n">
        <v>115883</v>
      </c>
      <c r="D1789" t="inlineStr">
        <is>
          <t>Acondicionador Pantene Pro V X 3 Un Brillo Extremo + Tratamiento X 400 + Bolso</t>
        </is>
      </c>
      <c r="E1789" t="inlineStr">
        <is>
          <t>PANTENE</t>
        </is>
      </c>
      <c r="F1789" t="n">
        <v>25.35</v>
      </c>
      <c r="G1789" t="n">
        <v>25.35</v>
      </c>
      <c r="H1789" t="b">
        <v>0</v>
      </c>
      <c r="I1789" t="inlineStr"/>
      <c r="J1789" t="inlineStr"/>
      <c r="K1789" t="inlineStr">
        <is>
          <t>&gt; Perfumería &gt; Cuidado Capilar &gt; Acondicionador &gt;</t>
        </is>
      </c>
      <c r="L1789" t="inlineStr">
        <is>
          <t>acondicionador</t>
        </is>
      </c>
      <c r="M1789" t="inlineStr">
        <is>
          <t>profesional</t>
        </is>
      </c>
      <c r="N1789" t="inlineStr">
        <is>
          <t>general</t>
        </is>
      </c>
      <c r="O1789" t="inlineStr">
        <is>
          <t>https://www.disco.com.ar/acondicionador-pantene-pro-v-x-3-un/p</t>
        </is>
      </c>
    </row>
    <row r="1790">
      <c r="A1790" s="10" t="inlineStr">
        <is>
          <t>Disco</t>
        </is>
      </c>
      <c r="B1790" s="10" t="n">
        <v>116831</v>
      </c>
      <c r="C1790" s="10" t="n">
        <v>115871</v>
      </c>
      <c r="D1790" s="10" t="inlineStr">
        <is>
          <t>Acondicionador Pantene  Pro V X 3 Un + Trantamiento X 400 + Bolso</t>
        </is>
      </c>
      <c r="E1790" s="10" t="inlineStr">
        <is>
          <t>PANTENE</t>
        </is>
      </c>
      <c r="F1790" s="10" t="n">
        <v>25.35</v>
      </c>
      <c r="G1790" s="10" t="n">
        <v>25.35</v>
      </c>
      <c r="H1790" s="10" t="b">
        <v>0</v>
      </c>
      <c r="I1790" s="10" t="inlineStr"/>
      <c r="J1790" s="10" t="inlineStr"/>
      <c r="K1790" s="10" t="inlineStr">
        <is>
          <t>&gt; Perfumería &gt; Cuidado Capilar &gt; Acondicionador &gt;</t>
        </is>
      </c>
      <c r="L1790" s="10" t="inlineStr">
        <is>
          <t>acondicionador</t>
        </is>
      </c>
      <c r="M1790" s="10" t="inlineStr">
        <is>
          <t>profesional</t>
        </is>
      </c>
      <c r="N1790" s="10" t="inlineStr">
        <is>
          <t>general</t>
        </is>
      </c>
      <c r="O1790" s="10" t="inlineStr">
        <is>
          <t>https://www.disco.com.ar/acondicionador-pantene-pro-v-x-3-un-2-2/p</t>
        </is>
      </c>
    </row>
    <row r="1791">
      <c r="A1791" t="inlineStr">
        <is>
          <t>Disco</t>
        </is>
      </c>
      <c r="B1791" t="n">
        <v>116709</v>
      </c>
      <c r="C1791" t="n">
        <v>115750</v>
      </c>
      <c r="D1791" t="inlineStr">
        <is>
          <t>Acondicionador Pantene Pro V X 3 Un + Tratamiento X 400 + Bolso</t>
        </is>
      </c>
      <c r="E1791" t="inlineStr">
        <is>
          <t>PANTENE</t>
        </is>
      </c>
      <c r="F1791" t="n">
        <v>27.29</v>
      </c>
      <c r="G1791" t="n">
        <v>27.29</v>
      </c>
      <c r="H1791" t="b">
        <v>0</v>
      </c>
      <c r="I1791" t="inlineStr"/>
      <c r="J1791" t="inlineStr"/>
      <c r="K1791" t="inlineStr">
        <is>
          <t>&gt; Perfumería &gt; Cuidado Capilar &gt; Acondicionador &gt;</t>
        </is>
      </c>
      <c r="L1791" t="inlineStr">
        <is>
          <t>acondicionador</t>
        </is>
      </c>
      <c r="M1791" t="inlineStr">
        <is>
          <t>profesional</t>
        </is>
      </c>
      <c r="N1791" t="inlineStr">
        <is>
          <t>general</t>
        </is>
      </c>
      <c r="O1791" t="inlineStr">
        <is>
          <t>https://www.disco.com.ar/acondicionador-pantene-pro-v-x-3-un-2/p</t>
        </is>
      </c>
    </row>
    <row r="1792">
      <c r="A1792" s="10" t="inlineStr">
        <is>
          <t>Disco</t>
        </is>
      </c>
      <c r="B1792" s="10" t="n">
        <v>116422</v>
      </c>
      <c r="C1792" s="10" t="n">
        <v>115462</v>
      </c>
      <c r="D1792" s="10" t="inlineStr">
        <is>
          <t>Shampoo Pantene Pro V X 200 Ml Shampoo Pantene Brillo Extremo 200 Ml</t>
        </is>
      </c>
      <c r="E1792" s="10" t="inlineStr">
        <is>
          <t>PANTENE</t>
        </is>
      </c>
      <c r="F1792" s="10" t="n">
        <v>21.33</v>
      </c>
      <c r="G1792" s="10" t="n">
        <v>1763</v>
      </c>
      <c r="H1792" s="10" t="b">
        <v>0</v>
      </c>
      <c r="I1792" s="10" t="n">
        <v>200</v>
      </c>
      <c r="J1792" s="10" t="n">
        <v>0.1066</v>
      </c>
      <c r="K1792" s="10" t="inlineStr">
        <is>
          <t>&gt; Perfumería &gt; Cuidado Capilar &gt; Shampoo &gt;</t>
        </is>
      </c>
      <c r="L1792" s="10" t="inlineStr">
        <is>
          <t>shampoo</t>
        </is>
      </c>
      <c r="M1792" s="10" t="inlineStr">
        <is>
          <t>profesional</t>
        </is>
      </c>
      <c r="N1792" s="10" t="inlineStr">
        <is>
          <t>general</t>
        </is>
      </c>
      <c r="O1792" s="10" t="inlineStr">
        <is>
          <t>https://www.disco.com.ar/shampoo-pantene-pro-v-x-200-ml/p</t>
        </is>
      </c>
    </row>
    <row r="1793">
      <c r="A1793" t="inlineStr">
        <is>
          <t>Disco</t>
        </is>
      </c>
      <c r="B1793" t="n">
        <v>114858</v>
      </c>
      <c r="C1793" t="n">
        <v>113905</v>
      </c>
      <c r="D1793" t="inlineStr">
        <is>
          <t>Acondicionador Pantene Brillo Extremo 750 Ml</t>
        </is>
      </c>
      <c r="E1793" t="inlineStr">
        <is>
          <t>PANTENE</t>
        </is>
      </c>
      <c r="F1793" t="n">
        <v>74.37</v>
      </c>
      <c r="G1793" t="n">
        <v>6146</v>
      </c>
      <c r="H1793" t="b">
        <v>0</v>
      </c>
      <c r="I1793" t="n">
        <v>750</v>
      </c>
      <c r="J1793" t="n">
        <v>0.0992</v>
      </c>
      <c r="K1793" t="inlineStr">
        <is>
          <t>&gt; Perfumería &gt; Cuidado Capilar &gt; Acondicionador &gt;</t>
        </is>
      </c>
      <c r="L1793" t="inlineStr">
        <is>
          <t>acondicionador</t>
        </is>
      </c>
      <c r="M1793" t="inlineStr">
        <is>
          <t>estandar</t>
        </is>
      </c>
      <c r="N1793" t="inlineStr">
        <is>
          <t>general</t>
        </is>
      </c>
      <c r="O1793" t="inlineStr">
        <is>
          <t>https://www.disco.com.ar/acondicionador-pantene-23/p</t>
        </is>
      </c>
    </row>
    <row r="1794">
      <c r="A1794" s="10" t="inlineStr">
        <is>
          <t>Disco</t>
        </is>
      </c>
      <c r="B1794" s="10" t="n">
        <v>95931</v>
      </c>
      <c r="C1794" s="10" t="n">
        <v>93251</v>
      </c>
      <c r="D1794" s="10" t="inlineStr">
        <is>
          <t>Shampoo Pantene Pro V Pck 6 Un</t>
        </is>
      </c>
      <c r="E1794" s="10" t="inlineStr">
        <is>
          <t>PANTENE</t>
        </is>
      </c>
      <c r="F1794" s="10" t="n">
        <v>11.16</v>
      </c>
      <c r="G1794" s="10" t="n">
        <v>11.16</v>
      </c>
      <c r="H1794" s="10" t="b">
        <v>0</v>
      </c>
      <c r="I1794" s="10" t="inlineStr"/>
      <c r="J1794" s="10" t="inlineStr"/>
      <c r="K1794" s="10" t="inlineStr">
        <is>
          <t>&gt; Perfumería &gt; Cuidado Capilar &gt; Shampoo &gt;</t>
        </is>
      </c>
      <c r="L1794" s="10" t="inlineStr">
        <is>
          <t>shampoo</t>
        </is>
      </c>
      <c r="M1794" s="10" t="inlineStr">
        <is>
          <t>profesional</t>
        </is>
      </c>
      <c r="N1794" s="10" t="inlineStr">
        <is>
          <t>general</t>
        </is>
      </c>
      <c r="O1794" s="10" t="inlineStr">
        <is>
          <t>https://www.disco.com.ar/shampoo-pantene-pro-v-pck-6-un-2/p</t>
        </is>
      </c>
    </row>
    <row r="1795">
      <c r="A1795" t="inlineStr">
        <is>
          <t>Disco</t>
        </is>
      </c>
      <c r="B1795" t="n">
        <v>95867</v>
      </c>
      <c r="C1795" t="n">
        <v>93188</v>
      </c>
      <c r="D1795" t="inlineStr">
        <is>
          <t>Shampoo Pantene Pro V Pck 6 Un</t>
        </is>
      </c>
      <c r="E1795" t="inlineStr">
        <is>
          <t>PANTENE</t>
        </is>
      </c>
      <c r="F1795" t="n">
        <v>11.16</v>
      </c>
      <c r="G1795" t="n">
        <v>11.16</v>
      </c>
      <c r="H1795" t="b">
        <v>0</v>
      </c>
      <c r="I1795" t="inlineStr"/>
      <c r="J1795" t="inlineStr"/>
      <c r="K1795" t="inlineStr">
        <is>
          <t>&gt; Perfumería &gt; Cuidado Capilar &gt; Shampoo &gt;</t>
        </is>
      </c>
      <c r="L1795" t="inlineStr">
        <is>
          <t>shampoo</t>
        </is>
      </c>
      <c r="M1795" t="inlineStr">
        <is>
          <t>profesional</t>
        </is>
      </c>
      <c r="N1795" t="inlineStr">
        <is>
          <t>general</t>
        </is>
      </c>
      <c r="O1795" t="inlineStr">
        <is>
          <t>https://www.disco.com.ar/shampoo-pantene-pro-v-pck-6-un/p</t>
        </is>
      </c>
    </row>
    <row r="1796">
      <c r="A1796" s="10" t="inlineStr">
        <is>
          <t>Disco</t>
        </is>
      </c>
      <c r="B1796" s="10" t="n">
        <v>94091</v>
      </c>
      <c r="C1796" s="10" t="n">
        <v>91419</v>
      </c>
      <c r="D1796" s="10" t="inlineStr">
        <is>
          <t>Shampoo Pantene-rizos Definidos X 400ml.-+ Trat X150ml.-pck-un.-2</t>
        </is>
      </c>
      <c r="E1796" s="10" t="inlineStr">
        <is>
          <t>PANTENE</t>
        </is>
      </c>
      <c r="F1796" s="10" t="n">
        <v>28.45</v>
      </c>
      <c r="G1796" s="10" t="n">
        <v>2351</v>
      </c>
      <c r="H1796" s="10" t="b">
        <v>0</v>
      </c>
      <c r="I1796" s="10" t="n">
        <v>400</v>
      </c>
      <c r="J1796" s="10" t="n">
        <v>0.0711</v>
      </c>
      <c r="K1796" s="10" t="inlineStr">
        <is>
          <t>&gt; Perfumería &gt; Cuidado Capilar &gt; Shampoo &gt;</t>
        </is>
      </c>
      <c r="L1796" s="10" t="inlineStr">
        <is>
          <t>shampoo</t>
        </is>
      </c>
      <c r="M1796" s="10" t="inlineStr">
        <is>
          <t>estandar</t>
        </is>
      </c>
      <c r="N1796" s="10" t="inlineStr">
        <is>
          <t>rizado</t>
        </is>
      </c>
      <c r="O1796" s="10" t="inlineStr">
        <is>
          <t>https://www.disco.com.ar/shampoo-pantene-rizos-definidos-x-400ml-trat-x150ml-pck-un-2/p</t>
        </is>
      </c>
    </row>
    <row r="1797">
      <c r="A1797" t="inlineStr">
        <is>
          <t>Disco</t>
        </is>
      </c>
      <c r="B1797" t="n">
        <v>93964</v>
      </c>
      <c r="C1797" t="n">
        <v>91292</v>
      </c>
      <c r="D1797" t="inlineStr">
        <is>
          <t>Shampoo Pantene-liso Extremo X 400ml.-+ Trat X150ml.-pck-un.-2</t>
        </is>
      </c>
      <c r="E1797" t="inlineStr">
        <is>
          <t>PANTENE</t>
        </is>
      </c>
      <c r="F1797" t="n">
        <v>103.39</v>
      </c>
      <c r="G1797" t="n">
        <v>103.39</v>
      </c>
      <c r="H1797" t="b">
        <v>0</v>
      </c>
      <c r="I1797" t="n">
        <v>400</v>
      </c>
      <c r="J1797" t="n">
        <v>0.2585</v>
      </c>
      <c r="K1797" t="inlineStr">
        <is>
          <t>&gt; Perfumería &gt; Cuidado Capilar &gt; Shampoo &gt;</t>
        </is>
      </c>
      <c r="L1797" t="inlineStr">
        <is>
          <t>shampoo</t>
        </is>
      </c>
      <c r="M1797" t="inlineStr">
        <is>
          <t>estandar</t>
        </is>
      </c>
      <c r="N1797" t="inlineStr">
        <is>
          <t>general</t>
        </is>
      </c>
      <c r="O1797" t="inlineStr">
        <is>
          <t>https://www.disco.com.ar/shampoo-pantene-liso-extremo-x-400ml-trat-x150ml-pck-un-2/p</t>
        </is>
      </c>
    </row>
    <row r="1798">
      <c r="A1798" s="10" t="inlineStr">
        <is>
          <t>Disco</t>
        </is>
      </c>
      <c r="B1798" s="10" t="n">
        <v>93955</v>
      </c>
      <c r="C1798" s="10" t="n">
        <v>91283</v>
      </c>
      <c r="D1798" s="10" t="inlineStr">
        <is>
          <t>Shampoo Pantene-rizos Definidos X 400ml.-+ Ac X400ml. + Trat X150ml.-pck-un.-3</t>
        </is>
      </c>
      <c r="E1798" s="10" t="inlineStr">
        <is>
          <t>PANTENE</t>
        </is>
      </c>
      <c r="F1798" s="10" t="n">
        <v>40.15</v>
      </c>
      <c r="G1798" s="10" t="n">
        <v>40.15</v>
      </c>
      <c r="H1798" s="10" t="b">
        <v>0</v>
      </c>
      <c r="I1798" s="10" t="n">
        <v>400</v>
      </c>
      <c r="J1798" s="10" t="n">
        <v>0.1004</v>
      </c>
      <c r="K1798" s="10" t="inlineStr">
        <is>
          <t>&gt; Perfumería &gt; Cuidado Capilar &gt; Shampoo &gt;</t>
        </is>
      </c>
      <c r="L1798" s="10" t="inlineStr">
        <is>
          <t>shampoo</t>
        </is>
      </c>
      <c r="M1798" s="10" t="inlineStr">
        <is>
          <t>estandar</t>
        </is>
      </c>
      <c r="N1798" s="10" t="inlineStr">
        <is>
          <t>rizado</t>
        </is>
      </c>
      <c r="O1798" s="10" t="inlineStr">
        <is>
          <t>https://www.disco.com.ar/shampoo-pantene-rizos-definidos-x-400ml-ac-x400ml-trat-x150ml-pck-un-3/p</t>
        </is>
      </c>
    </row>
    <row r="1799">
      <c r="A1799" t="inlineStr">
        <is>
          <t>Disco</t>
        </is>
      </c>
      <c r="B1799" t="n">
        <v>93927</v>
      </c>
      <c r="C1799" t="n">
        <v>91255</v>
      </c>
      <c r="D1799" t="inlineStr">
        <is>
          <t>Shampoo Pantene-liso Extremo X 400ml.-+ Ac X400ml. + Trat X150ml.-pck-un.-3</t>
        </is>
      </c>
      <c r="E1799" t="inlineStr">
        <is>
          <t>PANTENE</t>
        </is>
      </c>
      <c r="F1799" t="n">
        <v>40.15</v>
      </c>
      <c r="G1799" t="n">
        <v>40.15</v>
      </c>
      <c r="H1799" t="b">
        <v>0</v>
      </c>
      <c r="I1799" t="n">
        <v>400</v>
      </c>
      <c r="J1799" t="n">
        <v>0.1004</v>
      </c>
      <c r="K1799" t="inlineStr">
        <is>
          <t>&gt; Perfumería &gt; Cuidado Capilar &gt; Shampoo &gt;</t>
        </is>
      </c>
      <c r="L1799" t="inlineStr">
        <is>
          <t>shampoo</t>
        </is>
      </c>
      <c r="M1799" t="inlineStr">
        <is>
          <t>estandar</t>
        </is>
      </c>
      <c r="N1799" t="inlineStr">
        <is>
          <t>general</t>
        </is>
      </c>
      <c r="O1799" t="inlineStr">
        <is>
          <t>https://www.disco.com.ar/shampoo-pantene-liso-extremo-x-400ml-ac-x400ml-trat-x150ml-pck-un-3/p</t>
        </is>
      </c>
    </row>
    <row r="1800">
      <c r="A1800" s="10" t="inlineStr">
        <is>
          <t>Disco</t>
        </is>
      </c>
      <c r="B1800" s="10" t="n">
        <v>93758</v>
      </c>
      <c r="C1800" s="10" t="n">
        <v>91086</v>
      </c>
      <c r="D1800" s="10" t="inlineStr">
        <is>
          <t>Shampoo Pantene-control Caida-pvc-ml.-500</t>
        </is>
      </c>
      <c r="E1800" s="10" t="inlineStr">
        <is>
          <t>PANTENE</t>
        </is>
      </c>
      <c r="F1800" s="10" t="n">
        <v>17.39</v>
      </c>
      <c r="G1800" s="10" t="n">
        <v>17.39</v>
      </c>
      <c r="H1800" s="10" t="b">
        <v>0</v>
      </c>
      <c r="I1800" s="10" t="inlineStr"/>
      <c r="J1800" s="10" t="inlineStr"/>
      <c r="K1800" s="10" t="inlineStr">
        <is>
          <t>&gt; Perfumería &gt; Cuidado Capilar &gt; Shampoo &gt;</t>
        </is>
      </c>
      <c r="L1800" s="10" t="inlineStr">
        <is>
          <t>shampoo</t>
        </is>
      </c>
      <c r="M1800" s="10" t="inlineStr">
        <is>
          <t>estandar</t>
        </is>
      </c>
      <c r="N1800" s="10" t="inlineStr">
        <is>
          <t>general</t>
        </is>
      </c>
      <c r="O1800" s="10" t="inlineStr">
        <is>
          <t>https://www.disco.com.ar/shampoo-pantene-control-caida-pvc-ml-500/p</t>
        </is>
      </c>
    </row>
    <row r="1801">
      <c r="A1801" t="inlineStr">
        <is>
          <t>Disco</t>
        </is>
      </c>
      <c r="B1801" t="n">
        <v>90006</v>
      </c>
      <c r="C1801" t="n">
        <v>87334</v>
      </c>
      <c r="D1801" t="inlineStr">
        <is>
          <t>Tratamiento Intensivo Pantene Nocturno Pantene Tratamiento Noc Restauracion 150ml</t>
        </is>
      </c>
      <c r="E1801" t="inlineStr">
        <is>
          <t>PANTENE</t>
        </is>
      </c>
      <c r="F1801" t="n">
        <v>41.79</v>
      </c>
      <c r="G1801" t="n">
        <v>3454</v>
      </c>
      <c r="H1801" t="b">
        <v>0</v>
      </c>
      <c r="I1801" t="n">
        <v>150</v>
      </c>
      <c r="J1801" t="n">
        <v>0.2786</v>
      </c>
      <c r="K1801" t="inlineStr">
        <is>
          <t>&gt; Perfumería &gt; Cuidado Capilar &gt; Reparación y Tratamientos &gt;</t>
        </is>
      </c>
      <c r="L1801" t="inlineStr">
        <is>
          <t>tratamiento</t>
        </is>
      </c>
      <c r="M1801" t="inlineStr">
        <is>
          <t>estandar</t>
        </is>
      </c>
      <c r="N1801" t="inlineStr">
        <is>
          <t>general</t>
        </is>
      </c>
      <c r="O1801" t="inlineStr">
        <is>
          <t>https://www.disco.com.ar/tratamiento-intensivo-pantene-nocturno/p</t>
        </is>
      </c>
    </row>
    <row r="1802">
      <c r="A1802" s="10" t="inlineStr">
        <is>
          <t>Disco</t>
        </is>
      </c>
      <c r="B1802" s="10" t="n">
        <v>88478</v>
      </c>
      <c r="C1802" s="10" t="n">
        <v>85805</v>
      </c>
      <c r="D1802" s="10" t="inlineStr">
        <is>
          <t>Shampoo Pantene Renov. Profunda Acond 200ml+tratam Nocturno Pck 3 Un.</t>
        </is>
      </c>
      <c r="E1802" s="10" t="inlineStr">
        <is>
          <t>PANTENE</t>
        </is>
      </c>
      <c r="F1802" s="10" t="n">
        <v>26.99</v>
      </c>
      <c r="G1802" s="10" t="n">
        <v>26.99</v>
      </c>
      <c r="H1802" s="10" t="b">
        <v>0</v>
      </c>
      <c r="I1802" s="10" t="n">
        <v>200</v>
      </c>
      <c r="J1802" s="10" t="n">
        <v>0.1349</v>
      </c>
      <c r="K1802" s="10" t="inlineStr">
        <is>
          <t>&gt; Perfumería &gt; Cuidado Capilar &gt; Shampoo &gt;</t>
        </is>
      </c>
      <c r="L1802" s="10" t="inlineStr">
        <is>
          <t>shampoo</t>
        </is>
      </c>
      <c r="M1802" s="10" t="inlineStr">
        <is>
          <t>estandar</t>
        </is>
      </c>
      <c r="N1802" s="10" t="inlineStr">
        <is>
          <t>general</t>
        </is>
      </c>
      <c r="O1802" s="10" t="inlineStr">
        <is>
          <t>https://www.disco.com.ar/shampoo-pantene-54/p</t>
        </is>
      </c>
    </row>
    <row r="1803">
      <c r="A1803" t="inlineStr">
        <is>
          <t>Disco</t>
        </is>
      </c>
      <c r="B1803" t="n">
        <v>77395</v>
      </c>
      <c r="C1803" t="n">
        <v>74522</v>
      </c>
      <c r="D1803" t="inlineStr">
        <is>
          <t>Acondicionador Pantene Rizos Definidos 200ml</t>
        </is>
      </c>
      <c r="E1803" t="inlineStr">
        <is>
          <t>PANTENE</t>
        </is>
      </c>
      <c r="F1803" t="n">
        <v>22.79</v>
      </c>
      <c r="G1803" t="n">
        <v>1883</v>
      </c>
      <c r="H1803" t="b">
        <v>0</v>
      </c>
      <c r="I1803" t="n">
        <v>200</v>
      </c>
      <c r="J1803" t="n">
        <v>0.1139</v>
      </c>
      <c r="K1803" t="inlineStr">
        <is>
          <t>&gt; Perfumería &gt; Cuidado Capilar &gt; Acondicionador &gt;</t>
        </is>
      </c>
      <c r="L1803" t="inlineStr">
        <is>
          <t>acondicionador</t>
        </is>
      </c>
      <c r="M1803" t="inlineStr">
        <is>
          <t>estandar</t>
        </is>
      </c>
      <c r="N1803" t="inlineStr">
        <is>
          <t>rizado</t>
        </is>
      </c>
      <c r="O1803" t="inlineStr">
        <is>
          <t>https://www.disco.com.ar/acondicionador-pantene-15-4/p</t>
        </is>
      </c>
    </row>
    <row r="1804">
      <c r="A1804" s="10" t="inlineStr">
        <is>
          <t>Disco</t>
        </is>
      </c>
      <c r="B1804" s="10" t="n">
        <v>77388</v>
      </c>
      <c r="C1804" s="10" t="n">
        <v>74515</v>
      </c>
      <c r="D1804" s="10" t="inlineStr">
        <is>
          <t>Acondicionador Pantene Liso Y Sedoso 200 Ml</t>
        </is>
      </c>
      <c r="E1804" s="10" t="inlineStr">
        <is>
          <t>PANTENE</t>
        </is>
      </c>
      <c r="F1804" s="10" t="n">
        <v>22.79</v>
      </c>
      <c r="G1804" s="10" t="n">
        <v>1883</v>
      </c>
      <c r="H1804" s="10" t="b">
        <v>0</v>
      </c>
      <c r="I1804" s="10" t="n">
        <v>200</v>
      </c>
      <c r="J1804" s="10" t="n">
        <v>0.1139</v>
      </c>
      <c r="K1804" s="10" t="inlineStr">
        <is>
          <t>&gt; Perfumería &gt; Cuidado Capilar &gt; Acondicionador &gt;</t>
        </is>
      </c>
      <c r="L1804" s="10" t="inlineStr">
        <is>
          <t>acondicionador</t>
        </is>
      </c>
      <c r="M1804" s="10" t="inlineStr">
        <is>
          <t>estandar</t>
        </is>
      </c>
      <c r="N1804" s="10" t="inlineStr">
        <is>
          <t>general</t>
        </is>
      </c>
      <c r="O1804" s="10" t="inlineStr">
        <is>
          <t>https://www.disco.com.ar/acondicionador-pantene-15-3/p</t>
        </is>
      </c>
    </row>
    <row r="1805">
      <c r="A1805" t="inlineStr">
        <is>
          <t>Disco</t>
        </is>
      </c>
      <c r="B1805" t="n">
        <v>77301</v>
      </c>
      <c r="C1805" t="n">
        <v>74428</v>
      </c>
      <c r="D1805" t="inlineStr">
        <is>
          <t>Acondicionador Pantene Liso Extremo 200 Ml</t>
        </is>
      </c>
      <c r="E1805" t="inlineStr">
        <is>
          <t>PANTENE</t>
        </is>
      </c>
      <c r="F1805" t="n">
        <v>22.79</v>
      </c>
      <c r="G1805" t="n">
        <v>1883</v>
      </c>
      <c r="H1805" t="b">
        <v>0</v>
      </c>
      <c r="I1805" t="n">
        <v>200</v>
      </c>
      <c r="J1805" t="n">
        <v>0.1139</v>
      </c>
      <c r="K1805" t="inlineStr">
        <is>
          <t>&gt; Perfumería &gt; Cuidado Capilar &gt; Acondicionador &gt;</t>
        </is>
      </c>
      <c r="L1805" t="inlineStr">
        <is>
          <t>acondicionador</t>
        </is>
      </c>
      <c r="M1805" t="inlineStr">
        <is>
          <t>estandar</t>
        </is>
      </c>
      <c r="N1805" t="inlineStr">
        <is>
          <t>general</t>
        </is>
      </c>
      <c r="O1805" t="inlineStr">
        <is>
          <t>https://www.disco.com.ar/acondicionador-pantene-15/p</t>
        </is>
      </c>
    </row>
    <row r="1806">
      <c r="A1806" s="10" t="inlineStr">
        <is>
          <t>Disco</t>
        </is>
      </c>
      <c r="B1806" s="10" t="n">
        <v>77295</v>
      </c>
      <c r="C1806" s="10" t="n">
        <v>74422</v>
      </c>
      <c r="D1806" s="10" t="inlineStr">
        <is>
          <t>Acondicionador Pantene Pro V X 200 Ml Acondicionador Pantene Pro V Color Radiante  Pvc 200 Ml</t>
        </is>
      </c>
      <c r="E1806" s="10" t="inlineStr">
        <is>
          <t>PANTENE</t>
        </is>
      </c>
      <c r="F1806" s="10" t="n">
        <v>17.45</v>
      </c>
      <c r="G1806" s="10" t="n">
        <v>17.45</v>
      </c>
      <c r="H1806" s="10" t="b">
        <v>0</v>
      </c>
      <c r="I1806" s="10" t="n">
        <v>200</v>
      </c>
      <c r="J1806" s="10" t="n">
        <v>0.0872</v>
      </c>
      <c r="K1806" s="10" t="inlineStr">
        <is>
          <t>&gt; Perfumería &gt; Cuidado Capilar &gt; Acondicionador &gt;</t>
        </is>
      </c>
      <c r="L1806" s="10" t="inlineStr">
        <is>
          <t>acondicionador</t>
        </is>
      </c>
      <c r="M1806" s="10" t="inlineStr">
        <is>
          <t>profesional</t>
        </is>
      </c>
      <c r="N1806" s="10" t="inlineStr">
        <is>
          <t>tratado</t>
        </is>
      </c>
      <c r="O1806" s="10" t="inlineStr">
        <is>
          <t>https://www.disco.com.ar/acondicionador-pantene-pro-v-x-200-ml-3/p</t>
        </is>
      </c>
    </row>
    <row r="1807">
      <c r="A1807" t="inlineStr">
        <is>
          <t>Disco</t>
        </is>
      </c>
      <c r="B1807" t="n">
        <v>72658</v>
      </c>
      <c r="C1807" t="n">
        <v>69794</v>
      </c>
      <c r="D1807" t="inlineStr">
        <is>
          <t>Acondicionador Pantene Renovación Profunda X 750 Ml</t>
        </is>
      </c>
      <c r="E1807" t="inlineStr">
        <is>
          <t>PANTENE</t>
        </is>
      </c>
      <c r="F1807" t="n">
        <v>457.59</v>
      </c>
      <c r="G1807" t="n">
        <v>457.59</v>
      </c>
      <c r="H1807" t="b">
        <v>0</v>
      </c>
      <c r="I1807" t="n">
        <v>750</v>
      </c>
      <c r="J1807" t="n">
        <v>0.6101</v>
      </c>
      <c r="K1807" t="inlineStr">
        <is>
          <t>&gt; Perfumería &gt; Cuidado Capilar &gt; Acondicionador &gt;</t>
        </is>
      </c>
      <c r="L1807" t="inlineStr">
        <is>
          <t>acondicionador</t>
        </is>
      </c>
      <c r="M1807" t="inlineStr">
        <is>
          <t>estandar</t>
        </is>
      </c>
      <c r="N1807" t="inlineStr">
        <is>
          <t>general</t>
        </is>
      </c>
      <c r="O1807" t="inlineStr">
        <is>
          <t>https://www.disco.com.ar/acondicionador-pantene-26/p</t>
        </is>
      </c>
    </row>
    <row r="1808">
      <c r="A1808" s="10" t="inlineStr">
        <is>
          <t>Disco</t>
        </is>
      </c>
      <c r="B1808" s="10" t="n">
        <v>72436</v>
      </c>
      <c r="C1808" s="10" t="n">
        <v>69572</v>
      </c>
      <c r="D1808" s="10" t="inlineStr">
        <is>
          <t>Acondicionador Pantene Renovavión Profunda X 200 Ml</t>
        </is>
      </c>
      <c r="E1808" s="10" t="inlineStr">
        <is>
          <t>PANTENE</t>
        </is>
      </c>
      <c r="F1808" s="10" t="n">
        <v>173.39</v>
      </c>
      <c r="G1808" s="10" t="n">
        <v>173.39</v>
      </c>
      <c r="H1808" s="10" t="b">
        <v>0</v>
      </c>
      <c r="I1808" s="10" t="n">
        <v>200</v>
      </c>
      <c r="J1808" s="10" t="n">
        <v>0.8669</v>
      </c>
      <c r="K1808" s="10" t="inlineStr">
        <is>
          <t>&gt; Perfumería &gt; Cuidado Capilar &gt; Acondicionador &gt;</t>
        </is>
      </c>
      <c r="L1808" s="10" t="inlineStr">
        <is>
          <t>acondicionador</t>
        </is>
      </c>
      <c r="M1808" s="10" t="inlineStr">
        <is>
          <t>estandar</t>
        </is>
      </c>
      <c r="N1808" s="10" t="inlineStr">
        <is>
          <t>general</t>
        </is>
      </c>
      <c r="O1808" s="10" t="inlineStr">
        <is>
          <t>https://www.disco.com.ar/acondicionador-pantene-25-2/p</t>
        </is>
      </c>
    </row>
    <row r="1809">
      <c r="A1809" t="inlineStr">
        <is>
          <t>Disco</t>
        </is>
      </c>
      <c r="B1809" t="n">
        <v>58796</v>
      </c>
      <c r="C1809" t="n">
        <v>55950</v>
      </c>
      <c r="D1809" t="inlineStr">
        <is>
          <t>Shampoo Pantene Pro V-400ml-acond Pantene 400ml-pck-un.-2</t>
        </is>
      </c>
      <c r="E1809" t="inlineStr">
        <is>
          <t>PANTENE</t>
        </is>
      </c>
      <c r="F1809" t="n">
        <v>103.39</v>
      </c>
      <c r="G1809" t="n">
        <v>103.39</v>
      </c>
      <c r="H1809" t="b">
        <v>0</v>
      </c>
      <c r="I1809" t="n">
        <v>400</v>
      </c>
      <c r="J1809" t="n">
        <v>0.2585</v>
      </c>
      <c r="K1809" t="inlineStr">
        <is>
          <t>&gt; Perfumería &gt; Cuidado Capilar &gt; Shampoo &gt;</t>
        </is>
      </c>
      <c r="L1809" t="inlineStr">
        <is>
          <t>shampoo</t>
        </is>
      </c>
      <c r="M1809" t="inlineStr">
        <is>
          <t>profesional</t>
        </is>
      </c>
      <c r="N1809" t="inlineStr">
        <is>
          <t>general</t>
        </is>
      </c>
      <c r="O1809" t="inlineStr">
        <is>
          <t>https://www.disco.com.ar/shampoo-pantene-pro-v-400ml-acond-pantene-400ml-pck-un-2/p</t>
        </is>
      </c>
    </row>
    <row r="1810">
      <c r="A1810" s="10" t="inlineStr">
        <is>
          <t>Disco</t>
        </is>
      </c>
      <c r="B1810" s="10" t="n">
        <v>58763</v>
      </c>
      <c r="C1810" s="10" t="n">
        <v>55917</v>
      </c>
      <c r="D1810" s="10" t="inlineStr">
        <is>
          <t>Shampoo Pantene Pro V-+ Acondicionador Pantenne X 200 Ml-pck-un.-2</t>
        </is>
      </c>
      <c r="E1810" s="10" t="inlineStr">
        <is>
          <t>PANTENE</t>
        </is>
      </c>
      <c r="F1810" s="10" t="n">
        <v>11.11</v>
      </c>
      <c r="G1810" s="10" t="n">
        <v>11.11</v>
      </c>
      <c r="H1810" s="10" t="b">
        <v>0</v>
      </c>
      <c r="I1810" s="10" t="n">
        <v>200</v>
      </c>
      <c r="J1810" s="10" t="n">
        <v>0.0555</v>
      </c>
      <c r="K1810" s="10" t="inlineStr">
        <is>
          <t>&gt; Perfumería &gt; Cuidado Capilar &gt; Shampoo &gt;</t>
        </is>
      </c>
      <c r="L1810" s="10" t="inlineStr">
        <is>
          <t>acondicionador</t>
        </is>
      </c>
      <c r="M1810" s="10" t="inlineStr">
        <is>
          <t>profesional</t>
        </is>
      </c>
      <c r="N1810" s="10" t="inlineStr">
        <is>
          <t>general</t>
        </is>
      </c>
      <c r="O1810" s="10" t="inlineStr">
        <is>
          <t>https://www.disco.com.ar/shampoo-pantene-pro-v-acondicionador-pantenne-x-200-ml-pck-un-2/p</t>
        </is>
      </c>
    </row>
    <row r="1811">
      <c r="A1811" t="inlineStr">
        <is>
          <t>Disco</t>
        </is>
      </c>
      <c r="B1811" t="n">
        <v>58761</v>
      </c>
      <c r="C1811" t="n">
        <v>55915</v>
      </c>
      <c r="D1811" t="inlineStr">
        <is>
          <t>Shampoo Pantene Pro V-+ Acondicionador Pantenne X 200 Ml-brillo Extremo-pck-un.-2</t>
        </is>
      </c>
      <c r="E1811" t="inlineStr">
        <is>
          <t>PANTENE</t>
        </is>
      </c>
      <c r="F1811" t="n">
        <v>17.59</v>
      </c>
      <c r="G1811" t="n">
        <v>17.59</v>
      </c>
      <c r="H1811" t="b">
        <v>0</v>
      </c>
      <c r="I1811" t="n">
        <v>200</v>
      </c>
      <c r="J1811" t="n">
        <v>0.08799999999999999</v>
      </c>
      <c r="K1811" t="inlineStr">
        <is>
          <t>&gt; Perfumería &gt; Cuidado Capilar &gt; Shampoo &gt;</t>
        </is>
      </c>
      <c r="L1811" t="inlineStr">
        <is>
          <t>acondicionador</t>
        </is>
      </c>
      <c r="M1811" t="inlineStr">
        <is>
          <t>profesional</t>
        </is>
      </c>
      <c r="N1811" t="inlineStr">
        <is>
          <t>general</t>
        </is>
      </c>
      <c r="O1811" t="inlineStr">
        <is>
          <t>https://www.disco.com.ar/shampoo-pantene-pro-v-acondicionador-pantenne-x-200-ml-brillo-extremo-pck-un-2/p</t>
        </is>
      </c>
    </row>
    <row r="1812">
      <c r="A1812" s="10" t="inlineStr">
        <is>
          <t>Disco</t>
        </is>
      </c>
      <c r="B1812" s="10" t="n">
        <v>58754</v>
      </c>
      <c r="C1812" s="10" t="n">
        <v>55908</v>
      </c>
      <c r="D1812" s="10" t="inlineStr">
        <is>
          <t>Shampoo Pantene Pro V-+ Acondicionador X200ml.-pck-un.-2</t>
        </is>
      </c>
      <c r="E1812" s="10" t="inlineStr">
        <is>
          <t>PANTENE</t>
        </is>
      </c>
      <c r="F1812" s="10" t="n">
        <v>17.62</v>
      </c>
      <c r="G1812" s="10" t="n">
        <v>17.62</v>
      </c>
      <c r="H1812" s="10" t="b">
        <v>0</v>
      </c>
      <c r="I1812" s="10" t="n">
        <v>200</v>
      </c>
      <c r="J1812" s="10" t="n">
        <v>0.0881</v>
      </c>
      <c r="K1812" s="10" t="inlineStr">
        <is>
          <t>&gt; Perfumería &gt; Cuidado Capilar &gt; Shampoo &gt;</t>
        </is>
      </c>
      <c r="L1812" s="10" t="inlineStr">
        <is>
          <t>acondicionador</t>
        </is>
      </c>
      <c r="M1812" s="10" t="inlineStr">
        <is>
          <t>profesional</t>
        </is>
      </c>
      <c r="N1812" s="10" t="inlineStr">
        <is>
          <t>general</t>
        </is>
      </c>
      <c r="O1812" s="10" t="inlineStr">
        <is>
          <t>https://www.disco.com.ar/shampoo-pantene-pro-v-acondicionador-x200ml-pck-un-2/p</t>
        </is>
      </c>
    </row>
    <row r="1813">
      <c r="A1813" t="inlineStr">
        <is>
          <t>Disco</t>
        </is>
      </c>
      <c r="B1813" t="n">
        <v>56643</v>
      </c>
      <c r="C1813" t="n">
        <v>53801</v>
      </c>
      <c r="D1813" t="inlineStr">
        <is>
          <t>Acondicionador Pantene-restauracion Dorada-pvc-ml.-400</t>
        </is>
      </c>
      <c r="E1813" t="inlineStr">
        <is>
          <t>PANTENE</t>
        </is>
      </c>
      <c r="F1813" t="n">
        <v>26.99</v>
      </c>
      <c r="G1813" t="n">
        <v>2231</v>
      </c>
      <c r="H1813" t="b">
        <v>0</v>
      </c>
      <c r="I1813" t="inlineStr"/>
      <c r="J1813" t="inlineStr"/>
      <c r="K1813" t="inlineStr">
        <is>
          <t>&gt; Perfumería &gt; Cuidado Capilar &gt; Acondicionador &gt;</t>
        </is>
      </c>
      <c r="L1813" t="inlineStr">
        <is>
          <t>acondicionador</t>
        </is>
      </c>
      <c r="M1813" t="inlineStr">
        <is>
          <t>estandar</t>
        </is>
      </c>
      <c r="N1813" t="inlineStr">
        <is>
          <t>general</t>
        </is>
      </c>
      <c r="O1813" t="inlineStr">
        <is>
          <t>https://www.disco.com.ar/acondicionador-pantene-restauracion-dorada-pvc-ml-400/p</t>
        </is>
      </c>
    </row>
    <row r="1814">
      <c r="A1814" s="10" t="inlineStr">
        <is>
          <t>Disco</t>
        </is>
      </c>
      <c r="B1814" s="10" t="n">
        <v>56622</v>
      </c>
      <c r="C1814" s="10" t="n">
        <v>53780</v>
      </c>
      <c r="D1814" s="10" t="inlineStr">
        <is>
          <t>Shampoo Pantene-restauracion Dorada-pvc-ml.-400</t>
        </is>
      </c>
      <c r="E1814" s="10" t="inlineStr">
        <is>
          <t>PANTENE</t>
        </is>
      </c>
      <c r="F1814" s="10" t="n">
        <v>26.99</v>
      </c>
      <c r="G1814" s="10" t="n">
        <v>2231</v>
      </c>
      <c r="H1814" s="10" t="b">
        <v>0</v>
      </c>
      <c r="I1814" s="10" t="inlineStr"/>
      <c r="J1814" s="10" t="inlineStr"/>
      <c r="K1814" s="10" t="inlineStr">
        <is>
          <t>&gt; Perfumería &gt; Cuidado Capilar &gt; Shampoo &gt;</t>
        </is>
      </c>
      <c r="L1814" s="10" t="inlineStr">
        <is>
          <t>shampoo</t>
        </is>
      </c>
      <c r="M1814" s="10" t="inlineStr">
        <is>
          <t>estandar</t>
        </is>
      </c>
      <c r="N1814" s="10" t="inlineStr">
        <is>
          <t>general</t>
        </is>
      </c>
      <c r="O1814" s="10" t="inlineStr">
        <is>
          <t>https://www.disco.com.ar/shampoo-pantene-restauracion-dorada-pvc-ml-400/p</t>
        </is>
      </c>
    </row>
    <row r="1815">
      <c r="A1815" t="inlineStr">
        <is>
          <t>Disco</t>
        </is>
      </c>
      <c r="B1815" t="n">
        <v>55775</v>
      </c>
      <c r="C1815" t="n">
        <v>52933</v>
      </c>
      <c r="D1815" t="inlineStr">
        <is>
          <t>Acondicionador Pantene Frizz Control 400 Ml</t>
        </is>
      </c>
      <c r="E1815" t="inlineStr">
        <is>
          <t>PANTENE</t>
        </is>
      </c>
      <c r="F1815" t="n">
        <v>29.59</v>
      </c>
      <c r="G1815" t="n">
        <v>2445</v>
      </c>
      <c r="H1815" t="b">
        <v>0</v>
      </c>
      <c r="I1815" t="n">
        <v>400</v>
      </c>
      <c r="J1815" t="n">
        <v>0.074</v>
      </c>
      <c r="K1815" t="inlineStr">
        <is>
          <t>&gt; Perfumería &gt; Cuidado Capilar &gt; Acondicionador &gt;</t>
        </is>
      </c>
      <c r="L1815" t="inlineStr">
        <is>
          <t>acondicionador</t>
        </is>
      </c>
      <c r="M1815" t="inlineStr">
        <is>
          <t>estandar</t>
        </is>
      </c>
      <c r="N1815" t="inlineStr">
        <is>
          <t>general</t>
        </is>
      </c>
      <c r="O1815" t="inlineStr">
        <is>
          <t>https://www.disco.com.ar/acondicionador-pantene-frizz-control-400-ml/p</t>
        </is>
      </c>
    </row>
    <row r="1816">
      <c r="A1816" s="10" t="inlineStr">
        <is>
          <t>Disco</t>
        </is>
      </c>
      <c r="B1816" s="10" t="n">
        <v>55449</v>
      </c>
      <c r="C1816" s="10" t="n">
        <v>52608</v>
      </c>
      <c r="D1816" s="10" t="inlineStr">
        <is>
          <t>Acondicionador Pantene Pro V Rubio Oscuro Expresiones De Color Pvc 400 Ml</t>
        </is>
      </c>
      <c r="E1816" s="10" t="inlineStr">
        <is>
          <t>PANTENE</t>
        </is>
      </c>
      <c r="F1816" s="10" t="n">
        <v>12.97</v>
      </c>
      <c r="G1816" s="10" t="n">
        <v>12.97</v>
      </c>
      <c r="H1816" s="10" t="b">
        <v>0</v>
      </c>
      <c r="I1816" s="10" t="n">
        <v>400</v>
      </c>
      <c r="J1816" s="10" t="n">
        <v>0.0324</v>
      </c>
      <c r="K1816" s="10" t="inlineStr">
        <is>
          <t>&gt; Perfumería &gt; Cuidado Capilar &gt; Acondicionador &gt;</t>
        </is>
      </c>
      <c r="L1816" s="10" t="inlineStr">
        <is>
          <t>acondicionador</t>
        </is>
      </c>
      <c r="M1816" s="10" t="inlineStr">
        <is>
          <t>profesional</t>
        </is>
      </c>
      <c r="N1816" s="10" t="inlineStr">
        <is>
          <t>tratado</t>
        </is>
      </c>
      <c r="O1816" s="10" t="inlineStr">
        <is>
          <t>https://www.disco.com.ar/acondicionador-pantene-pro-v-rubio-oscuro-expresiones-de-color-pvc-400-ml/p</t>
        </is>
      </c>
    </row>
    <row r="1817">
      <c r="A1817" t="inlineStr">
        <is>
          <t>Disco</t>
        </is>
      </c>
      <c r="B1817" t="n">
        <v>55403</v>
      </c>
      <c r="C1817" t="n">
        <v>52562</v>
      </c>
      <c r="D1817" t="inlineStr">
        <is>
          <t>Acondicionador Pantene Pro V Castaño Claro Expresiones De Color Pvc 400 Ml</t>
        </is>
      </c>
      <c r="E1817" t="inlineStr">
        <is>
          <t>PANTENE</t>
        </is>
      </c>
      <c r="F1817" t="n">
        <v>12.97</v>
      </c>
      <c r="G1817" t="n">
        <v>12.97</v>
      </c>
      <c r="H1817" t="b">
        <v>0</v>
      </c>
      <c r="I1817" t="n">
        <v>400</v>
      </c>
      <c r="J1817" t="n">
        <v>0.0324</v>
      </c>
      <c r="K1817" t="inlineStr">
        <is>
          <t>&gt; Perfumería &gt; Cuidado Capilar &gt; Acondicionador &gt;</t>
        </is>
      </c>
      <c r="L1817" t="inlineStr">
        <is>
          <t>acondicionador</t>
        </is>
      </c>
      <c r="M1817" t="inlineStr">
        <is>
          <t>profesional</t>
        </is>
      </c>
      <c r="N1817" t="inlineStr">
        <is>
          <t>tratado</t>
        </is>
      </c>
      <c r="O1817" t="inlineStr">
        <is>
          <t>https://www.disco.com.ar/acondicionador-pantene-pro-v-castano-claro-expresiones-de-color-pvc-400-ml/p</t>
        </is>
      </c>
    </row>
    <row r="1818">
      <c r="A1818" s="10" t="inlineStr">
        <is>
          <t>Disco</t>
        </is>
      </c>
      <c r="B1818" s="10" t="n">
        <v>55366</v>
      </c>
      <c r="C1818" s="10" t="n">
        <v>52525</v>
      </c>
      <c r="D1818" s="10" t="inlineStr">
        <is>
          <t>Shampoo Pantene Pro V Pureza Pvc 400 Ml</t>
        </is>
      </c>
      <c r="E1818" s="10" t="inlineStr">
        <is>
          <t>PANTENE</t>
        </is>
      </c>
      <c r="F1818" s="10" t="n">
        <v>11.89</v>
      </c>
      <c r="G1818" s="10" t="n">
        <v>11.89</v>
      </c>
      <c r="H1818" s="10" t="b">
        <v>0</v>
      </c>
      <c r="I1818" s="10" t="n">
        <v>400</v>
      </c>
      <c r="J1818" s="10" t="n">
        <v>0.0297</v>
      </c>
      <c r="K1818" s="10" t="inlineStr">
        <is>
          <t>&gt; Perfumería &gt; Cuidado Capilar &gt; Shampoo &gt;</t>
        </is>
      </c>
      <c r="L1818" s="10" t="inlineStr">
        <is>
          <t>shampoo</t>
        </is>
      </c>
      <c r="M1818" s="10" t="inlineStr">
        <is>
          <t>profesional</t>
        </is>
      </c>
      <c r="N1818" s="10" t="inlineStr">
        <is>
          <t>general</t>
        </is>
      </c>
      <c r="O1818" s="10" t="inlineStr">
        <is>
          <t>https://www.disco.com.ar/shampoo-pantene-pro-v-pureza-pvc-400-ml/p</t>
        </is>
      </c>
    </row>
    <row r="1819">
      <c r="A1819" t="inlineStr">
        <is>
          <t>Disco</t>
        </is>
      </c>
      <c r="B1819" t="n">
        <v>55364</v>
      </c>
      <c r="C1819" t="n">
        <v>52523</v>
      </c>
      <c r="D1819" t="inlineStr">
        <is>
          <t>Shampoo Pantene Pro V Rojo Pvc 384 Ml</t>
        </is>
      </c>
      <c r="E1819" t="inlineStr">
        <is>
          <t>PANTENE</t>
        </is>
      </c>
      <c r="F1819" t="n">
        <v>12.97</v>
      </c>
      <c r="G1819" t="n">
        <v>12.97</v>
      </c>
      <c r="H1819" t="b">
        <v>0</v>
      </c>
      <c r="I1819" t="n">
        <v>384</v>
      </c>
      <c r="J1819" t="n">
        <v>0.0338</v>
      </c>
      <c r="K1819" t="inlineStr">
        <is>
          <t>&gt; Perfumería &gt; Cuidado Capilar &gt; Shampoo &gt;</t>
        </is>
      </c>
      <c r="L1819" t="inlineStr">
        <is>
          <t>shampoo</t>
        </is>
      </c>
      <c r="M1819" t="inlineStr">
        <is>
          <t>profesional</t>
        </is>
      </c>
      <c r="N1819" t="inlineStr">
        <is>
          <t>general</t>
        </is>
      </c>
      <c r="O1819" t="inlineStr">
        <is>
          <t>https://www.disco.com.ar/shampoo-pantene-pro-v-rojo-pvc-384-ml/p</t>
        </is>
      </c>
    </row>
    <row r="1820">
      <c r="A1820" s="10" t="inlineStr">
        <is>
          <t>Disco</t>
        </is>
      </c>
      <c r="B1820" s="10" t="n">
        <v>55362</v>
      </c>
      <c r="C1820" s="10" t="n">
        <v>52521</v>
      </c>
      <c r="D1820" s="10" t="inlineStr">
        <is>
          <t>Shampoo Pantene Rubio Oscuro  Expresiones De Color  Pvc 384 Ml</t>
        </is>
      </c>
      <c r="E1820" s="10" t="inlineStr">
        <is>
          <t>PANTENE</t>
        </is>
      </c>
      <c r="F1820" s="10" t="n">
        <v>12.97</v>
      </c>
      <c r="G1820" s="10" t="n">
        <v>12.97</v>
      </c>
      <c r="H1820" s="10" t="b">
        <v>0</v>
      </c>
      <c r="I1820" s="10" t="n">
        <v>384</v>
      </c>
      <c r="J1820" s="10" t="n">
        <v>0.0338</v>
      </c>
      <c r="K1820" s="10" t="inlineStr">
        <is>
          <t>&gt; Perfumería &gt; Cuidado Capilar &gt; Shampoo &gt;</t>
        </is>
      </c>
      <c r="L1820" s="10" t="inlineStr">
        <is>
          <t>shampoo</t>
        </is>
      </c>
      <c r="M1820" s="10" t="inlineStr">
        <is>
          <t>estandar</t>
        </is>
      </c>
      <c r="N1820" s="10" t="inlineStr">
        <is>
          <t>tratado</t>
        </is>
      </c>
      <c r="O1820" s="10" t="inlineStr">
        <is>
          <t>https://www.disco.com.ar/shampoo-pantene-rubio-oscuro-expresiones-de-color-pvc-384-ml/p</t>
        </is>
      </c>
    </row>
    <row r="1821">
      <c r="A1821" t="inlineStr">
        <is>
          <t>Disco</t>
        </is>
      </c>
      <c r="B1821" t="n">
        <v>55359</v>
      </c>
      <c r="C1821" t="n">
        <v>52518</v>
      </c>
      <c r="D1821" t="inlineStr">
        <is>
          <t>Shampoo Pantene Pro V Castaño Claro Expresiones De Color Pvc 384 Ml</t>
        </is>
      </c>
      <c r="E1821" t="inlineStr">
        <is>
          <t>PANTENE</t>
        </is>
      </c>
      <c r="F1821" t="n">
        <v>12.97</v>
      </c>
      <c r="G1821" t="n">
        <v>12.97</v>
      </c>
      <c r="H1821" t="b">
        <v>0</v>
      </c>
      <c r="I1821" t="n">
        <v>384</v>
      </c>
      <c r="J1821" t="n">
        <v>0.0338</v>
      </c>
      <c r="K1821" t="inlineStr">
        <is>
          <t>&gt; Perfumería &gt; Cuidado Capilar &gt; Shampoo &gt;</t>
        </is>
      </c>
      <c r="L1821" t="inlineStr">
        <is>
          <t>shampoo</t>
        </is>
      </c>
      <c r="M1821" t="inlineStr">
        <is>
          <t>profesional</t>
        </is>
      </c>
      <c r="N1821" t="inlineStr">
        <is>
          <t>tratado</t>
        </is>
      </c>
      <c r="O1821" t="inlineStr">
        <is>
          <t>https://www.disco.com.ar/shampoo-pantene-pro-v-castano-claro-expresiones-de-color-pvc-384-ml/p</t>
        </is>
      </c>
    </row>
    <row r="1822">
      <c r="A1822" s="10" t="inlineStr">
        <is>
          <t>Disco</t>
        </is>
      </c>
      <c r="B1822" s="10" t="n">
        <v>55351</v>
      </c>
      <c r="C1822" s="10" t="n">
        <v>52511</v>
      </c>
      <c r="D1822" s="10" t="inlineStr">
        <is>
          <t>Acondicionador Pantene Pro V Rubio Claro Expresiones De Color Pvc 400 Ml</t>
        </is>
      </c>
      <c r="E1822" s="10" t="inlineStr">
        <is>
          <t>PANTENE</t>
        </is>
      </c>
      <c r="F1822" s="10" t="n">
        <v>12.97</v>
      </c>
      <c r="G1822" s="10" t="n">
        <v>12.97</v>
      </c>
      <c r="H1822" s="10" t="b">
        <v>0</v>
      </c>
      <c r="I1822" s="10" t="n">
        <v>400</v>
      </c>
      <c r="J1822" s="10" t="n">
        <v>0.0324</v>
      </c>
      <c r="K1822" s="10" t="inlineStr">
        <is>
          <t>&gt; Perfumería &gt; Cuidado Capilar &gt; Acondicionador &gt;</t>
        </is>
      </c>
      <c r="L1822" s="10" t="inlineStr">
        <is>
          <t>acondicionador</t>
        </is>
      </c>
      <c r="M1822" s="10" t="inlineStr">
        <is>
          <t>profesional</t>
        </is>
      </c>
      <c r="N1822" s="10" t="inlineStr">
        <is>
          <t>tratado</t>
        </is>
      </c>
      <c r="O1822" s="10" t="inlineStr">
        <is>
          <t>https://www.disco.com.ar/acondicionador-pantene-pro-v-rubio-claro-expresiones-de-color-pvc-400-ml/p</t>
        </is>
      </c>
    </row>
    <row r="1823">
      <c r="A1823" t="inlineStr">
        <is>
          <t>Disco</t>
        </is>
      </c>
      <c r="B1823" t="n">
        <v>51663</v>
      </c>
      <c r="C1823" t="n">
        <v>48831</v>
      </c>
      <c r="D1823" t="inlineStr">
        <is>
          <t>Acondicionador Pantene Liso Extremo 400 Ml</t>
        </is>
      </c>
      <c r="E1823" t="inlineStr">
        <is>
          <t>PANTENE</t>
        </is>
      </c>
      <c r="F1823" t="n">
        <v>48.79</v>
      </c>
      <c r="G1823" t="n">
        <v>4032</v>
      </c>
      <c r="H1823" t="b">
        <v>0</v>
      </c>
      <c r="I1823" t="n">
        <v>400</v>
      </c>
      <c r="J1823" t="n">
        <v>0.122</v>
      </c>
      <c r="K1823" t="inlineStr">
        <is>
          <t>&gt; Perfumería &gt; Cuidado Capilar &gt; Acondicionador &gt;</t>
        </is>
      </c>
      <c r="L1823" t="inlineStr">
        <is>
          <t>acondicionador</t>
        </is>
      </c>
      <c r="M1823" t="inlineStr">
        <is>
          <t>estandar</t>
        </is>
      </c>
      <c r="N1823" t="inlineStr">
        <is>
          <t>general</t>
        </is>
      </c>
      <c r="O1823" t="inlineStr">
        <is>
          <t>https://www.disco.com.ar/acondicionador-pantene-liso-extremo-400-ml/p</t>
        </is>
      </c>
    </row>
    <row r="1824">
      <c r="A1824" s="10" t="inlineStr">
        <is>
          <t>Disco</t>
        </is>
      </c>
      <c r="B1824" s="10" t="n">
        <v>50821</v>
      </c>
      <c r="C1824" s="10" t="n">
        <v>47991</v>
      </c>
      <c r="D1824" s="10" t="inlineStr">
        <is>
          <t>Shampoo Pantene Pro V Pack X 2-restauración-+ Crema Tratamiento-pck-un.-2</t>
        </is>
      </c>
      <c r="E1824" s="10" t="inlineStr">
        <is>
          <t>PANTENE</t>
        </is>
      </c>
      <c r="F1824" s="10" t="n">
        <v>28.67</v>
      </c>
      <c r="G1824" s="10" t="n">
        <v>28.67</v>
      </c>
      <c r="H1824" s="10" t="b">
        <v>0</v>
      </c>
      <c r="I1824" s="10" t="inlineStr"/>
      <c r="J1824" s="10" t="inlineStr"/>
      <c r="K1824" s="10" t="inlineStr">
        <is>
          <t>&gt; Perfumería &gt; Cuidado Capilar &gt; Shampoo &gt;</t>
        </is>
      </c>
      <c r="L1824" s="10" t="inlineStr">
        <is>
          <t>tratamiento</t>
        </is>
      </c>
      <c r="M1824" s="10" t="inlineStr">
        <is>
          <t>profesional</t>
        </is>
      </c>
      <c r="N1824" s="10" t="inlineStr">
        <is>
          <t>general</t>
        </is>
      </c>
      <c r="O1824" s="10" t="inlineStr">
        <is>
          <t>https://www.disco.com.ar/shampoo-pantene-pro-v-pack-x-2-restauracion-crema-tratamiento-pck-un-2/p</t>
        </is>
      </c>
    </row>
    <row r="1825">
      <c r="A1825" t="inlineStr">
        <is>
          <t>Disco</t>
        </is>
      </c>
      <c r="B1825" t="n">
        <v>50792</v>
      </c>
      <c r="C1825" t="n">
        <v>47962</v>
      </c>
      <c r="D1825" t="inlineStr">
        <is>
          <t>Shampoo Pantene Pro V Pack X 2-brillo Extremo-+ Acondicionador Pantenne X 200 Ml-pck-un.-2</t>
        </is>
      </c>
      <c r="E1825" t="inlineStr">
        <is>
          <t>PANTENE</t>
        </is>
      </c>
      <c r="F1825" t="n">
        <v>13.56</v>
      </c>
      <c r="G1825" t="n">
        <v>13.56</v>
      </c>
      <c r="H1825" t="b">
        <v>0</v>
      </c>
      <c r="I1825" t="n">
        <v>200</v>
      </c>
      <c r="J1825" t="n">
        <v>0.0678</v>
      </c>
      <c r="K1825" t="inlineStr">
        <is>
          <t>&gt; Perfumería &gt; Cuidado Capilar &gt; Shampoo &gt;</t>
        </is>
      </c>
      <c r="L1825" t="inlineStr">
        <is>
          <t>acondicionador</t>
        </is>
      </c>
      <c r="M1825" t="inlineStr">
        <is>
          <t>profesional</t>
        </is>
      </c>
      <c r="N1825" t="inlineStr">
        <is>
          <t>general</t>
        </is>
      </c>
      <c r="O1825" t="inlineStr">
        <is>
          <t>https://www.disco.com.ar/shampoo-pantene-pro-v-pack-x-2-brillo-extremo-acondicionador-pantenne-x-200-ml-pck-un-2/p</t>
        </is>
      </c>
    </row>
    <row r="1826">
      <c r="A1826" s="10" t="inlineStr">
        <is>
          <t>Disco</t>
        </is>
      </c>
      <c r="B1826" s="10" t="n">
        <v>50781</v>
      </c>
      <c r="C1826" s="10" t="n">
        <v>47951</v>
      </c>
      <c r="D1826" s="10" t="inlineStr">
        <is>
          <t>Shampoo Pantene Pro V Pack X 2-restauración-+ Acondicionador X200ml.-pck-un.-2</t>
        </is>
      </c>
      <c r="E1826" s="10" t="inlineStr">
        <is>
          <t>PANTENE</t>
        </is>
      </c>
      <c r="F1826" s="10" t="n">
        <v>12.15</v>
      </c>
      <c r="G1826" s="10" t="n">
        <v>12.15</v>
      </c>
      <c r="H1826" s="10" t="b">
        <v>0</v>
      </c>
      <c r="I1826" s="10" t="n">
        <v>200</v>
      </c>
      <c r="J1826" s="10" t="n">
        <v>0.0607</v>
      </c>
      <c r="K1826" s="10" t="inlineStr">
        <is>
          <t>&gt; Perfumería &gt; Cuidado Capilar &gt; Shampoo &gt;</t>
        </is>
      </c>
      <c r="L1826" s="10" t="inlineStr">
        <is>
          <t>acondicionador</t>
        </is>
      </c>
      <c r="M1826" s="10" t="inlineStr">
        <is>
          <t>profesional</t>
        </is>
      </c>
      <c r="N1826" s="10" t="inlineStr">
        <is>
          <t>general</t>
        </is>
      </c>
      <c r="O1826" s="10" t="inlineStr">
        <is>
          <t>https://www.disco.com.ar/shampoo-pantene-pro-v-pack-x-2-restauracion-acondicionador-x200ml-pck-un-2/p</t>
        </is>
      </c>
    </row>
    <row r="1827">
      <c r="A1827" t="inlineStr">
        <is>
          <t>Disco</t>
        </is>
      </c>
      <c r="B1827" t="n">
        <v>50773</v>
      </c>
      <c r="C1827" t="n">
        <v>47943</v>
      </c>
      <c r="D1827" t="inlineStr">
        <is>
          <t>Shampoo Pantene Pro V Pack X 2-restauración-acond Pantene 400ml-pck-un.-2</t>
        </is>
      </c>
      <c r="E1827" t="inlineStr">
        <is>
          <t>PANTENE</t>
        </is>
      </c>
      <c r="F1827" t="n">
        <v>103.39</v>
      </c>
      <c r="G1827" t="n">
        <v>103.39</v>
      </c>
      <c r="H1827" t="b">
        <v>0</v>
      </c>
      <c r="I1827" t="n">
        <v>400</v>
      </c>
      <c r="J1827" t="n">
        <v>0.2585</v>
      </c>
      <c r="K1827" t="inlineStr">
        <is>
          <t>&gt; Perfumería &gt; Cuidado Capilar &gt; Shampoo &gt;</t>
        </is>
      </c>
      <c r="L1827" t="inlineStr">
        <is>
          <t>tratamiento</t>
        </is>
      </c>
      <c r="M1827" t="inlineStr">
        <is>
          <t>profesional</t>
        </is>
      </c>
      <c r="N1827" t="inlineStr">
        <is>
          <t>general</t>
        </is>
      </c>
      <c r="O1827" t="inlineStr">
        <is>
          <t>https://www.disco.com.ar/shampoo-pantene-pro-v-pack-x-2/p</t>
        </is>
      </c>
    </row>
    <row r="1828">
      <c r="A1828" s="10" t="inlineStr">
        <is>
          <t>Disco</t>
        </is>
      </c>
      <c r="B1828" s="10" t="n">
        <v>49944</v>
      </c>
      <c r="C1828" s="10" t="n">
        <v>47107</v>
      </c>
      <c r="D1828" s="10" t="inlineStr">
        <is>
          <t>Shampoo Pantene Fuerza + Acondicionador 2 U</t>
        </is>
      </c>
      <c r="E1828" s="10" t="inlineStr">
        <is>
          <t>PANTENE</t>
        </is>
      </c>
      <c r="F1828" s="10" t="n">
        <v>188.45</v>
      </c>
      <c r="G1828" s="10" t="n">
        <v>15574</v>
      </c>
      <c r="H1828" s="10" t="b">
        <v>0</v>
      </c>
      <c r="I1828" s="10" t="inlineStr"/>
      <c r="J1828" s="10" t="inlineStr"/>
      <c r="K1828" s="10" t="inlineStr">
        <is>
          <t>&gt; Perfumería &gt; Cuidado Capilar &gt; Shampoo &gt;</t>
        </is>
      </c>
      <c r="L1828" s="10" t="inlineStr">
        <is>
          <t>acondicionador</t>
        </is>
      </c>
      <c r="M1828" s="10" t="inlineStr">
        <is>
          <t>estandar</t>
        </is>
      </c>
      <c r="N1828" s="10" t="inlineStr">
        <is>
          <t>general</t>
        </is>
      </c>
      <c r="O1828" s="10" t="inlineStr">
        <is>
          <t>https://www.disco.com.ar/shampoo-pantene-fuerza-acondicionador-2-u/p</t>
        </is>
      </c>
    </row>
    <row r="1829">
      <c r="A1829" t="inlineStr">
        <is>
          <t>Disco</t>
        </is>
      </c>
      <c r="B1829" t="n">
        <v>48483</v>
      </c>
      <c r="C1829" t="n">
        <v>45648</v>
      </c>
      <c r="D1829" t="inlineStr">
        <is>
          <t>Minikit Pantene Pro-v Expert Age Defy</t>
        </is>
      </c>
      <c r="E1829" t="inlineStr">
        <is>
          <t>PANTENE</t>
        </is>
      </c>
      <c r="F1829" t="n">
        <v>74.19</v>
      </c>
      <c r="G1829" t="n">
        <v>6131</v>
      </c>
      <c r="H1829" t="b">
        <v>0</v>
      </c>
      <c r="I1829" t="inlineStr"/>
      <c r="J1829" t="inlineStr"/>
      <c r="K1829" t="inlineStr">
        <is>
          <t>&gt; Perfumería &gt; Cuidado Capilar &gt; Shampoo &gt;</t>
        </is>
      </c>
      <c r="L1829" t="inlineStr">
        <is>
          <t>tratamiento</t>
        </is>
      </c>
      <c r="M1829" t="inlineStr">
        <is>
          <t>profesional</t>
        </is>
      </c>
      <c r="N1829" t="inlineStr">
        <is>
          <t>general</t>
        </is>
      </c>
      <c r="O1829" t="inlineStr">
        <is>
          <t>https://www.disco.com.ar/minikit-pantene-pro-v-expert-age-defy/p</t>
        </is>
      </c>
    </row>
    <row r="1830">
      <c r="A1830" s="10" t="inlineStr">
        <is>
          <t>Disco</t>
        </is>
      </c>
      <c r="B1830" s="10" t="n">
        <v>47712</v>
      </c>
      <c r="C1830" s="10" t="n">
        <v>44877</v>
      </c>
      <c r="D1830" s="10" t="inlineStr">
        <is>
          <t>Acondicionador Pantene Pro-v Liso Extremo 750 Ml</t>
        </is>
      </c>
      <c r="E1830" s="10" t="inlineStr">
        <is>
          <t>PANTENE</t>
        </is>
      </c>
      <c r="F1830" s="10" t="n">
        <v>457.55</v>
      </c>
      <c r="G1830" s="10" t="n">
        <v>37814</v>
      </c>
      <c r="H1830" s="10" t="b">
        <v>0</v>
      </c>
      <c r="I1830" s="10" t="n">
        <v>750</v>
      </c>
      <c r="J1830" s="10" t="n">
        <v>0.6101</v>
      </c>
      <c r="K1830" s="10" t="inlineStr">
        <is>
          <t>&gt; Perfumería &gt; Cuidado Capilar &gt; Acondicionador &gt;</t>
        </is>
      </c>
      <c r="L1830" s="10" t="inlineStr">
        <is>
          <t>acondicionador</t>
        </is>
      </c>
      <c r="M1830" s="10" t="inlineStr">
        <is>
          <t>profesional</t>
        </is>
      </c>
      <c r="N1830" s="10" t="inlineStr">
        <is>
          <t>general</t>
        </is>
      </c>
      <c r="O1830" s="10" t="inlineStr">
        <is>
          <t>https://www.disco.com.ar/acondicionador-pantene-pro-v-liso-extremo-750-ml/p</t>
        </is>
      </c>
    </row>
    <row r="1831">
      <c r="A1831" t="inlineStr">
        <is>
          <t>Disco</t>
        </is>
      </c>
      <c r="B1831" t="n">
        <v>47673</v>
      </c>
      <c r="C1831" t="n">
        <v>44837</v>
      </c>
      <c r="D1831" t="inlineStr">
        <is>
          <t>Acondicionador Pantene Pro-v Restauración 750 Ml</t>
        </is>
      </c>
      <c r="E1831" t="inlineStr">
        <is>
          <t>PANTENE</t>
        </is>
      </c>
      <c r="F1831" t="n">
        <v>457.55</v>
      </c>
      <c r="G1831" t="n">
        <v>37814</v>
      </c>
      <c r="H1831" t="b">
        <v>0</v>
      </c>
      <c r="I1831" t="n">
        <v>750</v>
      </c>
      <c r="J1831" t="n">
        <v>0.6101</v>
      </c>
      <c r="K1831" t="inlineStr">
        <is>
          <t>&gt; Perfumería &gt; Cuidado Capilar &gt; Acondicionador &gt;</t>
        </is>
      </c>
      <c r="L1831" t="inlineStr">
        <is>
          <t>acondicionador</t>
        </is>
      </c>
      <c r="M1831" t="inlineStr">
        <is>
          <t>profesional</t>
        </is>
      </c>
      <c r="N1831" t="inlineStr">
        <is>
          <t>general</t>
        </is>
      </c>
      <c r="O1831" t="inlineStr">
        <is>
          <t>https://www.disco.com.ar/acondicionador-pantene-pro-v-restauracion-750-ml/p</t>
        </is>
      </c>
    </row>
    <row r="1832">
      <c r="A1832" s="10" t="inlineStr">
        <is>
          <t>Disco</t>
        </is>
      </c>
      <c r="B1832" s="10" t="n">
        <v>47652</v>
      </c>
      <c r="C1832" s="10" t="n">
        <v>44817</v>
      </c>
      <c r="D1832" s="10" t="inlineStr">
        <is>
          <t>Acondicionador Pantene Restaura 200ml</t>
        </is>
      </c>
      <c r="E1832" s="10" t="inlineStr">
        <is>
          <t>PANTENE</t>
        </is>
      </c>
      <c r="F1832" s="10" t="n">
        <v>173.39</v>
      </c>
      <c r="G1832" s="10" t="n">
        <v>14330</v>
      </c>
      <c r="H1832" s="10" t="b">
        <v>0</v>
      </c>
      <c r="I1832" s="10" t="n">
        <v>200</v>
      </c>
      <c r="J1832" s="10" t="n">
        <v>0.8669</v>
      </c>
      <c r="K1832" s="10" t="inlineStr">
        <is>
          <t>&gt; Perfumería &gt; Cuidado Capilar &gt; Acondicionador &gt;</t>
        </is>
      </c>
      <c r="L1832" s="10" t="inlineStr">
        <is>
          <t>acondicionador</t>
        </is>
      </c>
      <c r="M1832" s="10" t="inlineStr">
        <is>
          <t>estandar</t>
        </is>
      </c>
      <c r="N1832" s="10" t="inlineStr">
        <is>
          <t>general</t>
        </is>
      </c>
      <c r="O1832" s="10" t="inlineStr">
        <is>
          <t>https://www.disco.com.ar/acondicionador-pantene-restaura-200ml/p</t>
        </is>
      </c>
    </row>
    <row r="1833">
      <c r="A1833" t="inlineStr">
        <is>
          <t>Disco</t>
        </is>
      </c>
      <c r="B1833" t="n">
        <v>47615</v>
      </c>
      <c r="C1833" t="n">
        <v>44780</v>
      </c>
      <c r="D1833" t="inlineStr">
        <is>
          <t>Shampoo Pantene Pro-v Restauración 700 Ml</t>
        </is>
      </c>
      <c r="E1833" t="inlineStr">
        <is>
          <t>PANTENE</t>
        </is>
      </c>
      <c r="F1833" t="n">
        <v>494.89</v>
      </c>
      <c r="G1833" t="n">
        <v>40900</v>
      </c>
      <c r="H1833" t="b">
        <v>0</v>
      </c>
      <c r="I1833" t="n">
        <v>700</v>
      </c>
      <c r="J1833" t="n">
        <v>0.707</v>
      </c>
      <c r="K1833" t="inlineStr">
        <is>
          <t>&gt; Perfumería &gt; Cuidado Capilar &gt; Shampoo &gt;</t>
        </is>
      </c>
      <c r="L1833" t="inlineStr">
        <is>
          <t>shampoo</t>
        </is>
      </c>
      <c r="M1833" t="inlineStr">
        <is>
          <t>profesional</t>
        </is>
      </c>
      <c r="N1833" t="inlineStr">
        <is>
          <t>general</t>
        </is>
      </c>
      <c r="O1833" t="inlineStr">
        <is>
          <t>https://www.disco.com.ar/shampoo-pantene-pro-v-restauracion-700-ml/p</t>
        </is>
      </c>
    </row>
    <row r="1834">
      <c r="A1834" s="10" t="inlineStr">
        <is>
          <t>Disco</t>
        </is>
      </c>
      <c r="B1834" s="10" t="n">
        <v>47545</v>
      </c>
      <c r="C1834" s="10" t="n">
        <v>44710</v>
      </c>
      <c r="D1834" s="10" t="inlineStr">
        <is>
          <t>Shampoo Pantene Pro-v Liso Extremo 750 Ml</t>
        </is>
      </c>
      <c r="E1834" s="10" t="inlineStr">
        <is>
          <t>PANTENE</t>
        </is>
      </c>
      <c r="F1834" s="10" t="n">
        <v>494.89</v>
      </c>
      <c r="G1834" s="10" t="n">
        <v>40900</v>
      </c>
      <c r="H1834" s="10" t="b">
        <v>0</v>
      </c>
      <c r="I1834" s="10" t="n">
        <v>750</v>
      </c>
      <c r="J1834" s="10" t="n">
        <v>0.6599</v>
      </c>
      <c r="K1834" s="10" t="inlineStr">
        <is>
          <t>&gt; Perfumería &gt; Cuidado Capilar &gt; Shampoo &gt;</t>
        </is>
      </c>
      <c r="L1834" s="10" t="inlineStr">
        <is>
          <t>shampoo</t>
        </is>
      </c>
      <c r="M1834" s="10" t="inlineStr">
        <is>
          <t>profesional</t>
        </is>
      </c>
      <c r="N1834" s="10" t="inlineStr">
        <is>
          <t>general</t>
        </is>
      </c>
      <c r="O1834" s="10" t="inlineStr">
        <is>
          <t>https://www.disco.com.ar/shampoo-pantene-pro-v-liso-extremo-750-ml/p</t>
        </is>
      </c>
    </row>
    <row r="1835">
      <c r="A1835" t="inlineStr">
        <is>
          <t>Disco</t>
        </is>
      </c>
      <c r="B1835" t="n">
        <v>47455</v>
      </c>
      <c r="C1835" t="n">
        <v>44620</v>
      </c>
      <c r="D1835" t="inlineStr">
        <is>
          <t>Shampoo Pantene Pro-v Hidratación 750 Ml</t>
        </is>
      </c>
      <c r="E1835" t="inlineStr">
        <is>
          <t>PANTENE</t>
        </is>
      </c>
      <c r="F1835" t="n">
        <v>494.89</v>
      </c>
      <c r="G1835" t="n">
        <v>40900</v>
      </c>
      <c r="H1835" t="b">
        <v>0</v>
      </c>
      <c r="I1835" t="n">
        <v>750</v>
      </c>
      <c r="J1835" t="n">
        <v>0.6599</v>
      </c>
      <c r="K1835" t="inlineStr">
        <is>
          <t>&gt; Perfumería &gt; Cuidado Capilar &gt; Shampoo &gt;</t>
        </is>
      </c>
      <c r="L1835" t="inlineStr">
        <is>
          <t>shampoo</t>
        </is>
      </c>
      <c r="M1835" t="inlineStr">
        <is>
          <t>profesional</t>
        </is>
      </c>
      <c r="N1835" t="inlineStr">
        <is>
          <t>seco_danado</t>
        </is>
      </c>
      <c r="O1835" t="inlineStr">
        <is>
          <t>https://www.disco.com.ar/shampoo-pantene-pro-v-hidratacion-750-ml-2/p</t>
        </is>
      </c>
    </row>
    <row r="1836">
      <c r="A1836" s="10" t="inlineStr">
        <is>
          <t>Disco</t>
        </is>
      </c>
      <c r="B1836" s="10" t="n">
        <v>47418</v>
      </c>
      <c r="C1836" s="10" t="n">
        <v>44583</v>
      </c>
      <c r="D1836" s="10" t="inlineStr">
        <is>
          <t>Shampoo Pantene Pro-v Liso Extremo 200 Ml</t>
        </is>
      </c>
      <c r="E1836" s="10" t="inlineStr">
        <is>
          <t>PANTENE</t>
        </is>
      </c>
      <c r="F1836" s="10" t="n">
        <v>173.39</v>
      </c>
      <c r="G1836" s="10" t="n">
        <v>14330</v>
      </c>
      <c r="H1836" s="10" t="b">
        <v>0</v>
      </c>
      <c r="I1836" s="10" t="n">
        <v>200</v>
      </c>
      <c r="J1836" s="10" t="n">
        <v>0.8669</v>
      </c>
      <c r="K1836" s="10" t="inlineStr">
        <is>
          <t>&gt; Perfumería &gt; Cuidado Capilar &gt; Shampoo &gt;</t>
        </is>
      </c>
      <c r="L1836" s="10" t="inlineStr">
        <is>
          <t>shampoo</t>
        </is>
      </c>
      <c r="M1836" s="10" t="inlineStr">
        <is>
          <t>profesional</t>
        </is>
      </c>
      <c r="N1836" s="10" t="inlineStr">
        <is>
          <t>general</t>
        </is>
      </c>
      <c r="O1836" s="10" t="inlineStr">
        <is>
          <t>https://www.disco.com.ar/shampoo-pantene-pro-v-liso-extremo-200-ml-2/p</t>
        </is>
      </c>
    </row>
    <row r="1837">
      <c r="A1837" t="inlineStr">
        <is>
          <t>Disco</t>
        </is>
      </c>
      <c r="B1837" t="n">
        <v>47385</v>
      </c>
      <c r="C1837" t="n">
        <v>44550</v>
      </c>
      <c r="D1837" t="inlineStr">
        <is>
          <t>Acondicionador Pantene Pro-v Brillo Extremo 750 Ml</t>
        </is>
      </c>
      <c r="E1837" t="inlineStr">
        <is>
          <t>PANTENE</t>
        </is>
      </c>
      <c r="F1837" t="n">
        <v>457.55</v>
      </c>
      <c r="G1837" t="n">
        <v>37814</v>
      </c>
      <c r="H1837" t="b">
        <v>0</v>
      </c>
      <c r="I1837" t="n">
        <v>750</v>
      </c>
      <c r="J1837" t="n">
        <v>0.6101</v>
      </c>
      <c r="K1837" t="inlineStr">
        <is>
          <t>&gt; Perfumería &gt; Cuidado Capilar &gt; Acondicionador &gt;</t>
        </is>
      </c>
      <c r="L1837" t="inlineStr">
        <is>
          <t>acondicionador</t>
        </is>
      </c>
      <c r="M1837" t="inlineStr">
        <is>
          <t>profesional</t>
        </is>
      </c>
      <c r="N1837" t="inlineStr">
        <is>
          <t>general</t>
        </is>
      </c>
      <c r="O1837" t="inlineStr">
        <is>
          <t>https://www.disco.com.ar/acondicionador-pantene-pro-v-brillo-extremo-750-ml/p</t>
        </is>
      </c>
    </row>
    <row r="1838">
      <c r="A1838" s="10" t="inlineStr">
        <is>
          <t>Disco</t>
        </is>
      </c>
      <c r="B1838" s="10" t="n">
        <v>47382</v>
      </c>
      <c r="C1838" s="10" t="n">
        <v>44547</v>
      </c>
      <c r="D1838" s="10" t="inlineStr">
        <is>
          <t>Acondicionador Pantene Pro-v Hidratación 200 Ml</t>
        </is>
      </c>
      <c r="E1838" s="10" t="inlineStr">
        <is>
          <t>PANTENE</t>
        </is>
      </c>
      <c r="F1838" s="10" t="n">
        <v>173.39</v>
      </c>
      <c r="G1838" s="10" t="n">
        <v>14330</v>
      </c>
      <c r="H1838" s="10" t="b">
        <v>0</v>
      </c>
      <c r="I1838" s="10" t="n">
        <v>200</v>
      </c>
      <c r="J1838" s="10" t="n">
        <v>0.8669</v>
      </c>
      <c r="K1838" s="10" t="inlineStr">
        <is>
          <t>&gt; Perfumería &gt; Cuidado Capilar &gt; Acondicionador &gt;</t>
        </is>
      </c>
      <c r="L1838" s="10" t="inlineStr">
        <is>
          <t>acondicionador</t>
        </is>
      </c>
      <c r="M1838" s="10" t="inlineStr">
        <is>
          <t>profesional</t>
        </is>
      </c>
      <c r="N1838" s="10" t="inlineStr">
        <is>
          <t>seco_danado</t>
        </is>
      </c>
      <c r="O1838" s="10" t="inlineStr">
        <is>
          <t>https://www.disco.com.ar/acondicionador-pantene-pro-v-hidratacion-200-ml-2/p</t>
        </is>
      </c>
    </row>
    <row r="1839">
      <c r="A1839" t="inlineStr">
        <is>
          <t>Disco</t>
        </is>
      </c>
      <c r="B1839" t="n">
        <v>47374</v>
      </c>
      <c r="C1839" t="n">
        <v>44539</v>
      </c>
      <c r="D1839" t="inlineStr">
        <is>
          <t>Acondicionador Pantene Pro-v Brillo Extremo 200 Ml</t>
        </is>
      </c>
      <c r="E1839" t="inlineStr">
        <is>
          <t>PANTENE</t>
        </is>
      </c>
      <c r="F1839" t="n">
        <v>173.39</v>
      </c>
      <c r="G1839" t="n">
        <v>14330</v>
      </c>
      <c r="H1839" t="b">
        <v>0</v>
      </c>
      <c r="I1839" t="n">
        <v>200</v>
      </c>
      <c r="J1839" t="n">
        <v>0.8669</v>
      </c>
      <c r="K1839" t="inlineStr">
        <is>
          <t>&gt; Perfumería &gt; Cuidado Capilar &gt; Acondicionador &gt;</t>
        </is>
      </c>
      <c r="L1839" t="inlineStr">
        <is>
          <t>acondicionador</t>
        </is>
      </c>
      <c r="M1839" t="inlineStr">
        <is>
          <t>profesional</t>
        </is>
      </c>
      <c r="N1839" t="inlineStr">
        <is>
          <t>general</t>
        </is>
      </c>
      <c r="O1839" t="inlineStr">
        <is>
          <t>https://www.disco.com.ar/acondicionador-pantene-pro-v-brillo-extremo-200-ml/p</t>
        </is>
      </c>
    </row>
    <row r="1840">
      <c r="A1840" s="10" t="inlineStr">
        <is>
          <t>Disco</t>
        </is>
      </c>
      <c r="B1840" s="10" t="n">
        <v>47358</v>
      </c>
      <c r="C1840" s="10" t="n">
        <v>44523</v>
      </c>
      <c r="D1840" s="10" t="inlineStr">
        <is>
          <t>Acondicionador Pantene Pro-v Liso Extremo 200 Ml</t>
        </is>
      </c>
      <c r="E1840" s="10" t="inlineStr">
        <is>
          <t>PANTENE</t>
        </is>
      </c>
      <c r="F1840" s="10" t="n">
        <v>173.39</v>
      </c>
      <c r="G1840" s="10" t="n">
        <v>14330</v>
      </c>
      <c r="H1840" s="10" t="b">
        <v>0</v>
      </c>
      <c r="I1840" s="10" t="n">
        <v>200</v>
      </c>
      <c r="J1840" s="10" t="n">
        <v>0.8669</v>
      </c>
      <c r="K1840" s="10" t="inlineStr">
        <is>
          <t>&gt; Perfumería &gt; Cuidado Capilar &gt; Acondicionador &gt;</t>
        </is>
      </c>
      <c r="L1840" s="10" t="inlineStr">
        <is>
          <t>acondicionador</t>
        </is>
      </c>
      <c r="M1840" s="10" t="inlineStr">
        <is>
          <t>profesional</t>
        </is>
      </c>
      <c r="N1840" s="10" t="inlineStr">
        <is>
          <t>general</t>
        </is>
      </c>
      <c r="O1840" s="10" t="inlineStr">
        <is>
          <t>https://www.disco.com.ar/acondicionador-pantene-pro-v-liso-extremo-200-ml-2/p</t>
        </is>
      </c>
    </row>
    <row r="1841">
      <c r="A1841" t="inlineStr">
        <is>
          <t>Disco</t>
        </is>
      </c>
      <c r="B1841" t="n">
        <v>47327</v>
      </c>
      <c r="C1841" t="n">
        <v>44492</v>
      </c>
      <c r="D1841" t="inlineStr">
        <is>
          <t>Acondicionador Pantene Pro-v Liso Extremo 400 Ml</t>
        </is>
      </c>
      <c r="E1841" t="inlineStr">
        <is>
          <t>PANTENE</t>
        </is>
      </c>
      <c r="F1841" t="n">
        <v>500</v>
      </c>
      <c r="G1841" t="n">
        <v>41322</v>
      </c>
      <c r="H1841" t="b">
        <v>0</v>
      </c>
      <c r="I1841" t="n">
        <v>400</v>
      </c>
      <c r="J1841" t="n">
        <v>1.25</v>
      </c>
      <c r="K1841" t="inlineStr">
        <is>
          <t>&gt; Perfumería &gt; Cuidado Capilar &gt; Acondicionador &gt;</t>
        </is>
      </c>
      <c r="L1841" t="inlineStr">
        <is>
          <t>acondicionador</t>
        </is>
      </c>
      <c r="M1841" t="inlineStr">
        <is>
          <t>profesional</t>
        </is>
      </c>
      <c r="N1841" t="inlineStr">
        <is>
          <t>general</t>
        </is>
      </c>
      <c r="O1841" t="inlineStr">
        <is>
          <t>https://www.disco.com.ar/acondicionador-pantene-pro-v-liso-extremo-400-ml/p</t>
        </is>
      </c>
    </row>
    <row r="1842">
      <c r="A1842" s="10" t="inlineStr">
        <is>
          <t>Disco</t>
        </is>
      </c>
      <c r="B1842" s="10" t="n">
        <v>47286</v>
      </c>
      <c r="C1842" s="10" t="n">
        <v>44451</v>
      </c>
      <c r="D1842" s="10" t="inlineStr">
        <is>
          <t>Acondicionador Pantene Pro-v Hidratación 400 Ml</t>
        </is>
      </c>
      <c r="E1842" s="10" t="inlineStr">
        <is>
          <t>PANTENE</t>
        </is>
      </c>
      <c r="F1842" s="10" t="n">
        <v>315.75</v>
      </c>
      <c r="G1842" s="10" t="n">
        <v>26095</v>
      </c>
      <c r="H1842" s="10" t="b">
        <v>0</v>
      </c>
      <c r="I1842" s="10" t="n">
        <v>400</v>
      </c>
      <c r="J1842" s="10" t="n">
        <v>0.7894</v>
      </c>
      <c r="K1842" s="10" t="inlineStr">
        <is>
          <t>&gt; Perfumería &gt; Cuidado Capilar &gt; Acondicionador &gt;</t>
        </is>
      </c>
      <c r="L1842" s="10" t="inlineStr">
        <is>
          <t>acondicionador</t>
        </is>
      </c>
      <c r="M1842" s="10" t="inlineStr">
        <is>
          <t>profesional</t>
        </is>
      </c>
      <c r="N1842" s="10" t="inlineStr">
        <is>
          <t>seco_danado</t>
        </is>
      </c>
      <c r="O1842" s="10" t="inlineStr">
        <is>
          <t>https://www.disco.com.ar/acondicionador-pantene-pro-v-hidratacion-400-ml-2/p</t>
        </is>
      </c>
    </row>
    <row r="1843">
      <c r="A1843" t="inlineStr">
        <is>
          <t>Disco</t>
        </is>
      </c>
      <c r="B1843" t="n">
        <v>47002</v>
      </c>
      <c r="C1843" t="n">
        <v>44166</v>
      </c>
      <c r="D1843" t="inlineStr">
        <is>
          <t>Shampoo Pantene Pro-v Brillo Extremo 200 Ml</t>
        </is>
      </c>
      <c r="E1843" t="inlineStr">
        <is>
          <t>PANTENE</t>
        </is>
      </c>
      <c r="F1843" t="n">
        <v>173.39</v>
      </c>
      <c r="G1843" t="n">
        <v>14330</v>
      </c>
      <c r="H1843" t="b">
        <v>0</v>
      </c>
      <c r="I1843" t="n">
        <v>200</v>
      </c>
      <c r="J1843" t="n">
        <v>0.8669</v>
      </c>
      <c r="K1843" t="inlineStr">
        <is>
          <t>&gt; Perfumería &gt; Cuidado Capilar &gt; Shampoo &gt;</t>
        </is>
      </c>
      <c r="L1843" t="inlineStr">
        <is>
          <t>shampoo</t>
        </is>
      </c>
      <c r="M1843" t="inlineStr">
        <is>
          <t>profesional</t>
        </is>
      </c>
      <c r="N1843" t="inlineStr">
        <is>
          <t>general</t>
        </is>
      </c>
      <c r="O1843" t="inlineStr">
        <is>
          <t>https://www.disco.com.ar/shampoo-pantene-pro-v-brillo-extremo-200-ml-2/p</t>
        </is>
      </c>
    </row>
    <row r="1844">
      <c r="A1844" s="10" t="inlineStr">
        <is>
          <t>Disco</t>
        </is>
      </c>
      <c r="B1844" s="10" t="n">
        <v>46990</v>
      </c>
      <c r="C1844" s="10" t="n">
        <v>44154</v>
      </c>
      <c r="D1844" s="10" t="inlineStr">
        <is>
          <t>Shampoo Pantene Pro-v Brillo Extremo 750 Ml</t>
        </is>
      </c>
      <c r="E1844" s="10" t="inlineStr">
        <is>
          <t>PANTENE</t>
        </is>
      </c>
      <c r="F1844" s="10" t="n">
        <v>494.89</v>
      </c>
      <c r="G1844" s="10" t="n">
        <v>40900</v>
      </c>
      <c r="H1844" s="10" t="b">
        <v>0</v>
      </c>
      <c r="I1844" s="10" t="n">
        <v>750</v>
      </c>
      <c r="J1844" s="10" t="n">
        <v>0.6599</v>
      </c>
      <c r="K1844" s="10" t="inlineStr">
        <is>
          <t>&gt; Perfumería &gt; Cuidado Capilar &gt; Shampoo &gt;</t>
        </is>
      </c>
      <c r="L1844" s="10" t="inlineStr">
        <is>
          <t>shampoo</t>
        </is>
      </c>
      <c r="M1844" s="10" t="inlineStr">
        <is>
          <t>profesional</t>
        </is>
      </c>
      <c r="N1844" s="10" t="inlineStr">
        <is>
          <t>general</t>
        </is>
      </c>
      <c r="O1844" s="10" t="inlineStr">
        <is>
          <t>https://www.disco.com.ar/shampoo-pantene-pro-v-brillo-extremo-750-ml/p</t>
        </is>
      </c>
    </row>
    <row r="1845">
      <c r="A1845" t="inlineStr">
        <is>
          <t>Disco</t>
        </is>
      </c>
      <c r="B1845" t="n">
        <v>46930</v>
      </c>
      <c r="C1845" t="n">
        <v>44094</v>
      </c>
      <c r="D1845" t="inlineStr">
        <is>
          <t>Acondicionador Pantene Pro-v Hidratación 750ml</t>
        </is>
      </c>
      <c r="E1845" t="inlineStr">
        <is>
          <t>PANTENE</t>
        </is>
      </c>
      <c r="F1845" t="n">
        <v>457.55</v>
      </c>
      <c r="G1845" t="n">
        <v>37814</v>
      </c>
      <c r="H1845" t="b">
        <v>0</v>
      </c>
      <c r="I1845" t="n">
        <v>750</v>
      </c>
      <c r="J1845" t="n">
        <v>0.6101</v>
      </c>
      <c r="K1845" t="inlineStr">
        <is>
          <t>&gt; Perfumería &gt; Cuidado Capilar &gt; Acondicionador &gt;</t>
        </is>
      </c>
      <c r="L1845" t="inlineStr">
        <is>
          <t>acondicionador</t>
        </is>
      </c>
      <c r="M1845" t="inlineStr">
        <is>
          <t>profesional</t>
        </is>
      </c>
      <c r="N1845" t="inlineStr">
        <is>
          <t>seco_danado</t>
        </is>
      </c>
      <c r="O1845" t="inlineStr">
        <is>
          <t>https://www.disco.com.ar/acondicionador-pantene-pro-v-hidratacion-750ml/p</t>
        </is>
      </c>
    </row>
    <row r="1846">
      <c r="A1846" s="10" t="inlineStr">
        <is>
          <t>Disco</t>
        </is>
      </c>
      <c r="B1846" s="10" t="n">
        <v>42850</v>
      </c>
      <c r="C1846" s="10" t="n">
        <v>40021</v>
      </c>
      <c r="D1846" s="10" t="inlineStr">
        <is>
          <t>Acondicionador Pantene Reparación Rejuvenecedora 200 Ml</t>
        </is>
      </c>
      <c r="E1846" s="10" t="inlineStr">
        <is>
          <t>PANTENE</t>
        </is>
      </c>
      <c r="F1846" s="10" t="n">
        <v>42.77</v>
      </c>
      <c r="G1846" s="10" t="n">
        <v>3535</v>
      </c>
      <c r="H1846" s="10" t="b">
        <v>0</v>
      </c>
      <c r="I1846" s="10" t="n">
        <v>200</v>
      </c>
      <c r="J1846" s="10" t="n">
        <v>0.2139</v>
      </c>
      <c r="K1846" s="10" t="inlineStr">
        <is>
          <t>&gt; Perfumería &gt; Cuidado Capilar &gt; Acondicionador &gt;</t>
        </is>
      </c>
      <c r="L1846" s="10" t="inlineStr">
        <is>
          <t>acondicionador</t>
        </is>
      </c>
      <c r="M1846" s="10" t="inlineStr">
        <is>
          <t>estandar</t>
        </is>
      </c>
      <c r="N1846" s="10" t="inlineStr">
        <is>
          <t>general</t>
        </is>
      </c>
      <c r="O1846" s="10" t="inlineStr">
        <is>
          <t>https://www.disco.com.ar/acondicionador-pantene-reparacion-rejuvenecedora-200-ml/p</t>
        </is>
      </c>
    </row>
    <row r="1847">
      <c r="A1847" t="inlineStr">
        <is>
          <t>Disco</t>
        </is>
      </c>
      <c r="B1847" t="n">
        <v>42525</v>
      </c>
      <c r="C1847" t="n">
        <v>39694</v>
      </c>
      <c r="D1847" t="inlineStr">
        <is>
          <t>Ampolla Reparación Rejuvenecedora Pantene</t>
        </is>
      </c>
      <c r="E1847" t="inlineStr">
        <is>
          <t>PANTENE</t>
        </is>
      </c>
      <c r="F1847" t="n">
        <v>168.49</v>
      </c>
      <c r="G1847" t="n">
        <v>13925</v>
      </c>
      <c r="H1847" t="b">
        <v>0</v>
      </c>
      <c r="I1847" t="inlineStr"/>
      <c r="J1847" t="inlineStr"/>
      <c r="K1847" t="inlineStr">
        <is>
          <t>&gt; Perfumería &gt; Cuidado Capilar &gt; Reparación y Tratamientos &gt;</t>
        </is>
      </c>
      <c r="L1847" t="inlineStr">
        <is>
          <t>shampoo</t>
        </is>
      </c>
      <c r="M1847" t="inlineStr">
        <is>
          <t>estandar</t>
        </is>
      </c>
      <c r="N1847" t="inlineStr">
        <is>
          <t>general</t>
        </is>
      </c>
      <c r="O1847" t="inlineStr">
        <is>
          <t>https://www.disco.com.ar/ampolla-reparacion-rejuvenecedora-pantene/p</t>
        </is>
      </c>
    </row>
    <row r="1848">
      <c r="A1848" s="10" t="inlineStr">
        <is>
          <t>Disco</t>
        </is>
      </c>
      <c r="B1848" s="10" t="n">
        <v>42495</v>
      </c>
      <c r="C1848" s="10" t="n">
        <v>39665</v>
      </c>
      <c r="D1848" s="10" t="inlineStr">
        <is>
          <t>Shampoo Pantene Reparación Rejuvenecedora 750 Ml</t>
        </is>
      </c>
      <c r="E1848" s="10" t="inlineStr">
        <is>
          <t>PANTENE</t>
        </is>
      </c>
      <c r="F1848" s="10" t="n">
        <v>449.43</v>
      </c>
      <c r="G1848" s="10" t="n">
        <v>37143</v>
      </c>
      <c r="H1848" s="10" t="b">
        <v>0</v>
      </c>
      <c r="I1848" s="10" t="n">
        <v>750</v>
      </c>
      <c r="J1848" s="10" t="n">
        <v>0.5992</v>
      </c>
      <c r="K1848" s="10" t="inlineStr">
        <is>
          <t>&gt; Perfumería &gt; Cuidado Capilar &gt; Shampoo &gt;</t>
        </is>
      </c>
      <c r="L1848" s="10" t="inlineStr">
        <is>
          <t>shampoo</t>
        </is>
      </c>
      <c r="M1848" s="10" t="inlineStr">
        <is>
          <t>estandar</t>
        </is>
      </c>
      <c r="N1848" s="10" t="inlineStr">
        <is>
          <t>general</t>
        </is>
      </c>
      <c r="O1848" s="10" t="inlineStr">
        <is>
          <t>https://www.disco.com.ar/shampoo-pantene-reparacion-rejuvenecedora-750-ml/p</t>
        </is>
      </c>
    </row>
    <row r="1849">
      <c r="A1849" t="inlineStr">
        <is>
          <t>Disco</t>
        </is>
      </c>
      <c r="B1849" t="n">
        <v>42467</v>
      </c>
      <c r="C1849" t="n">
        <v>39637</v>
      </c>
      <c r="D1849" t="inlineStr">
        <is>
          <t>Shampoo Pantene Pro-v Reparación Rejuvenecedora 400ml</t>
        </is>
      </c>
      <c r="E1849" t="inlineStr">
        <is>
          <t>PANTENE</t>
        </is>
      </c>
      <c r="F1849" t="n">
        <v>189.89</v>
      </c>
      <c r="G1849" t="n">
        <v>15693</v>
      </c>
      <c r="H1849" t="b">
        <v>0</v>
      </c>
      <c r="I1849" t="n">
        <v>400</v>
      </c>
      <c r="J1849" t="n">
        <v>0.4747</v>
      </c>
      <c r="K1849" t="inlineStr">
        <is>
          <t>&gt; Perfumería &gt; Cuidado Capilar &gt; Shampoo &gt;</t>
        </is>
      </c>
      <c r="L1849" t="inlineStr">
        <is>
          <t>shampoo</t>
        </is>
      </c>
      <c r="M1849" t="inlineStr">
        <is>
          <t>profesional</t>
        </is>
      </c>
      <c r="N1849" t="inlineStr">
        <is>
          <t>general</t>
        </is>
      </c>
      <c r="O1849" t="inlineStr">
        <is>
          <t>https://www.disco.com.ar/shampoo-pantene-pro-v-reparacion-rejuvenecedora-400ml/p</t>
        </is>
      </c>
    </row>
    <row r="1850">
      <c r="A1850" s="10" t="inlineStr">
        <is>
          <t>Disco</t>
        </is>
      </c>
      <c r="B1850" s="10" t="n">
        <v>42403</v>
      </c>
      <c r="C1850" s="10" t="n">
        <v>39573</v>
      </c>
      <c r="D1850" s="10" t="inlineStr">
        <is>
          <t>Shampoo Pantene Reparación Rejuvenecedora 200 Ml</t>
        </is>
      </c>
      <c r="E1850" s="10" t="inlineStr">
        <is>
          <t>PANTENE</t>
        </is>
      </c>
      <c r="F1850" s="10" t="n">
        <v>46.19</v>
      </c>
      <c r="G1850" s="10" t="n">
        <v>3817</v>
      </c>
      <c r="H1850" s="10" t="b">
        <v>0</v>
      </c>
      <c r="I1850" s="10" t="n">
        <v>200</v>
      </c>
      <c r="J1850" s="10" t="n">
        <v>0.2309</v>
      </c>
      <c r="K1850" s="10" t="inlineStr">
        <is>
          <t>&gt; Perfumería &gt; Cuidado Capilar &gt; Shampoo &gt;</t>
        </is>
      </c>
      <c r="L1850" s="10" t="inlineStr">
        <is>
          <t>shampoo</t>
        </is>
      </c>
      <c r="M1850" s="10" t="inlineStr">
        <is>
          <t>estandar</t>
        </is>
      </c>
      <c r="N1850" s="10" t="inlineStr">
        <is>
          <t>general</t>
        </is>
      </c>
      <c r="O1850" s="10" t="inlineStr">
        <is>
          <t>https://www.disco.com.ar/shampoo-pantene-reparacion-rejuvenecedora-200-ml/p</t>
        </is>
      </c>
    </row>
    <row r="1851">
      <c r="A1851" t="inlineStr">
        <is>
          <t>Disco</t>
        </is>
      </c>
      <c r="B1851" t="n">
        <v>41886</v>
      </c>
      <c r="C1851" t="n">
        <v>39050</v>
      </c>
      <c r="D1851" t="inlineStr">
        <is>
          <t>Acondicionador Diario Pantene Pro-v 3 Minute Miracle Fuerza Y Reconstrucción 170 Ml</t>
        </is>
      </c>
      <c r="E1851" t="inlineStr">
        <is>
          <t>PANTENE</t>
        </is>
      </c>
      <c r="F1851" t="n">
        <v>379.59</v>
      </c>
      <c r="G1851" t="n">
        <v>31371</v>
      </c>
      <c r="H1851" t="b">
        <v>0</v>
      </c>
      <c r="I1851" t="n">
        <v>170</v>
      </c>
      <c r="J1851" t="n">
        <v>2.2329</v>
      </c>
      <c r="K1851" t="inlineStr">
        <is>
          <t>&gt; Perfumería &gt; Cuidado Capilar &gt; Acondicionador &gt;</t>
        </is>
      </c>
      <c r="L1851" t="inlineStr">
        <is>
          <t>acondicionador</t>
        </is>
      </c>
      <c r="M1851" t="inlineStr">
        <is>
          <t>profesional</t>
        </is>
      </c>
      <c r="N1851" t="inlineStr">
        <is>
          <t>general</t>
        </is>
      </c>
      <c r="O1851" t="inlineStr">
        <is>
          <t>https://www.disco.com.ar/acondicionador-diario-pantene-pro-v-3-minute-miracle-fuerza-y-reconstruccion-170-ml/p</t>
        </is>
      </c>
    </row>
    <row r="1852">
      <c r="A1852" s="10" t="inlineStr">
        <is>
          <t>Disco</t>
        </is>
      </c>
      <c r="B1852" s="10" t="n">
        <v>41452</v>
      </c>
      <c r="C1852" s="10" t="n">
        <v>38617</v>
      </c>
      <c r="D1852" s="10" t="inlineStr">
        <is>
          <t>Shampoo Pantene Pro-v Fuerza Y Reconstrucción 750 Ml</t>
        </is>
      </c>
      <c r="E1852" s="10" t="inlineStr">
        <is>
          <t>PANTENE</t>
        </is>
      </c>
      <c r="F1852" s="10" t="n">
        <v>549.15</v>
      </c>
      <c r="G1852" s="10" t="n">
        <v>45384</v>
      </c>
      <c r="H1852" s="10" t="b">
        <v>0</v>
      </c>
      <c r="I1852" s="10" t="n">
        <v>750</v>
      </c>
      <c r="J1852" s="10" t="n">
        <v>0.7322</v>
      </c>
      <c r="K1852" s="10" t="inlineStr">
        <is>
          <t>&gt; Perfumería &gt; Cuidado Capilar &gt; Shampoo &gt;</t>
        </is>
      </c>
      <c r="L1852" s="10" t="inlineStr">
        <is>
          <t>shampoo</t>
        </is>
      </c>
      <c r="M1852" s="10" t="inlineStr">
        <is>
          <t>profesional</t>
        </is>
      </c>
      <c r="N1852" s="10" t="inlineStr">
        <is>
          <t>general</t>
        </is>
      </c>
      <c r="O1852" s="10" t="inlineStr">
        <is>
          <t>https://www.disco.com.ar/shampoo-pantene-pro-v-fuerza-y-reconstruccion-750-ml/p</t>
        </is>
      </c>
    </row>
    <row r="1853">
      <c r="A1853" t="inlineStr">
        <is>
          <t>Disco</t>
        </is>
      </c>
      <c r="B1853" t="n">
        <v>41238</v>
      </c>
      <c r="C1853" t="n">
        <v>38403</v>
      </c>
      <c r="D1853" t="inlineStr">
        <is>
          <t>Shampoo Pantene Pro-v Fuerza Y Reconstrucción 400 Ml</t>
        </is>
      </c>
      <c r="E1853" t="inlineStr">
        <is>
          <t>PANTENE</t>
        </is>
      </c>
      <c r="F1853" t="n">
        <v>189.89</v>
      </c>
      <c r="G1853" t="n">
        <v>15693</v>
      </c>
      <c r="H1853" t="b">
        <v>0</v>
      </c>
      <c r="I1853" t="n">
        <v>400</v>
      </c>
      <c r="J1853" t="n">
        <v>0.4747</v>
      </c>
      <c r="K1853" t="inlineStr">
        <is>
          <t>&gt; Perfumería &gt; Cuidado Capilar &gt; Shampoo &gt;</t>
        </is>
      </c>
      <c r="L1853" t="inlineStr">
        <is>
          <t>shampoo</t>
        </is>
      </c>
      <c r="M1853" t="inlineStr">
        <is>
          <t>profesional</t>
        </is>
      </c>
      <c r="N1853" t="inlineStr">
        <is>
          <t>general</t>
        </is>
      </c>
      <c r="O1853" t="inlineStr">
        <is>
          <t>https://www.disco.com.ar/shampoo-pantene-pro-v-fuerza-y-reconstruccion-400-ml/p</t>
        </is>
      </c>
    </row>
    <row r="1854">
      <c r="A1854" s="10" t="inlineStr">
        <is>
          <t>Disco</t>
        </is>
      </c>
      <c r="B1854" s="10" t="n">
        <v>41190</v>
      </c>
      <c r="C1854" s="10" t="n">
        <v>38355</v>
      </c>
      <c r="D1854" s="10" t="inlineStr">
        <is>
          <t>Acondicionador Pantene Pro-v Fuerza Y Reconstrucción 400 Ml</t>
        </is>
      </c>
      <c r="E1854" s="10" t="inlineStr">
        <is>
          <t>PANTENE</t>
        </is>
      </c>
      <c r="F1854" s="10" t="n">
        <v>315.75</v>
      </c>
      <c r="G1854" s="10" t="n">
        <v>26095</v>
      </c>
      <c r="H1854" s="10" t="b">
        <v>0</v>
      </c>
      <c r="I1854" s="10" t="n">
        <v>400</v>
      </c>
      <c r="J1854" s="10" t="n">
        <v>0.7894</v>
      </c>
      <c r="K1854" s="10" t="inlineStr">
        <is>
          <t>&gt; Perfumería &gt; Cuidado Capilar &gt; Acondicionador &gt;</t>
        </is>
      </c>
      <c r="L1854" s="10" t="inlineStr">
        <is>
          <t>acondicionador</t>
        </is>
      </c>
      <c r="M1854" s="10" t="inlineStr">
        <is>
          <t>profesional</t>
        </is>
      </c>
      <c r="N1854" s="10" t="inlineStr">
        <is>
          <t>general</t>
        </is>
      </c>
      <c r="O1854" s="10" t="inlineStr">
        <is>
          <t>https://www.disco.com.ar/acondicionador-pantene-pro-v-fuerza-y-reconstruccion-400-ml/p</t>
        </is>
      </c>
    </row>
    <row r="1855">
      <c r="A1855" t="inlineStr">
        <is>
          <t>Disco</t>
        </is>
      </c>
      <c r="B1855" t="n">
        <v>41029</v>
      </c>
      <c r="C1855" t="n">
        <v>38194</v>
      </c>
      <c r="D1855" t="inlineStr">
        <is>
          <t>Shampoo Pantene Pro-v Fuerza Y Reconstrucción 200 Ml</t>
        </is>
      </c>
      <c r="E1855" t="inlineStr">
        <is>
          <t>PANTENE</t>
        </is>
      </c>
      <c r="F1855" t="n">
        <v>192.39</v>
      </c>
      <c r="G1855" t="n">
        <v>15900</v>
      </c>
      <c r="H1855" t="b">
        <v>0</v>
      </c>
      <c r="I1855" t="n">
        <v>200</v>
      </c>
      <c r="J1855" t="n">
        <v>0.9619</v>
      </c>
      <c r="K1855" t="inlineStr">
        <is>
          <t>&gt; Perfumería &gt; Cuidado Capilar &gt; Shampoo &gt;</t>
        </is>
      </c>
      <c r="L1855" t="inlineStr">
        <is>
          <t>shampoo</t>
        </is>
      </c>
      <c r="M1855" t="inlineStr">
        <is>
          <t>profesional</t>
        </is>
      </c>
      <c r="N1855" t="inlineStr">
        <is>
          <t>general</t>
        </is>
      </c>
      <c r="O1855" t="inlineStr">
        <is>
          <t>https://www.disco.com.ar/shampoo-pantene-pro-v-fuerza-y-reconstruccion-200-ml/p</t>
        </is>
      </c>
    </row>
    <row r="1856">
      <c r="A1856" s="10" t="inlineStr">
        <is>
          <t>Disco</t>
        </is>
      </c>
      <c r="B1856" s="10" t="n">
        <v>41011</v>
      </c>
      <c r="C1856" s="10" t="n">
        <v>38176</v>
      </c>
      <c r="D1856" s="10" t="inlineStr">
        <is>
          <t>Acondicionador Pantene Pro-v Fuerza Y Reconstrucción 200 Ml</t>
        </is>
      </c>
      <c r="E1856" s="10" t="inlineStr">
        <is>
          <t>PANTENE</t>
        </is>
      </c>
      <c r="F1856" s="10" t="n">
        <v>201.99</v>
      </c>
      <c r="G1856" s="10" t="n">
        <v>16693</v>
      </c>
      <c r="H1856" s="10" t="b">
        <v>0</v>
      </c>
      <c r="I1856" s="10" t="n">
        <v>200</v>
      </c>
      <c r="J1856" s="10" t="n">
        <v>1.01</v>
      </c>
      <c r="K1856" s="10" t="inlineStr">
        <is>
          <t>&gt; Perfumería &gt; Cuidado Capilar &gt; Acondicionador &gt;</t>
        </is>
      </c>
      <c r="L1856" s="10" t="inlineStr">
        <is>
          <t>acondicionador</t>
        </is>
      </c>
      <c r="M1856" s="10" t="inlineStr">
        <is>
          <t>profesional</t>
        </is>
      </c>
      <c r="N1856" s="10" t="inlineStr">
        <is>
          <t>general</t>
        </is>
      </c>
      <c r="O1856" s="10" t="inlineStr">
        <is>
          <t>https://www.disco.com.ar/acondicionador-pantene-pro-v-fuerza-y-reconstruccion-200-ml/p</t>
        </is>
      </c>
    </row>
    <row r="1857">
      <c r="A1857" t="inlineStr">
        <is>
          <t>Disco</t>
        </is>
      </c>
      <c r="B1857" t="n">
        <v>41005</v>
      </c>
      <c r="C1857" t="n">
        <v>38170</v>
      </c>
      <c r="D1857" t="inlineStr">
        <is>
          <t>Acondicionador Pantene Pro-v Fuerza Y Reconstrucción 750 Ml</t>
        </is>
      </c>
      <c r="E1857" t="inlineStr">
        <is>
          <t>PANTENE</t>
        </is>
      </c>
      <c r="F1857" t="n">
        <v>533.15</v>
      </c>
      <c r="G1857" t="n">
        <v>44062</v>
      </c>
      <c r="H1857" t="b">
        <v>0</v>
      </c>
      <c r="I1857" t="n">
        <v>750</v>
      </c>
      <c r="J1857" t="n">
        <v>0.7109</v>
      </c>
      <c r="K1857" t="inlineStr">
        <is>
          <t>&gt; Perfumería &gt; Cuidado Capilar &gt; Acondicionador &gt;</t>
        </is>
      </c>
      <c r="L1857" t="inlineStr">
        <is>
          <t>acondicionador</t>
        </is>
      </c>
      <c r="M1857" t="inlineStr">
        <is>
          <t>profesional</t>
        </is>
      </c>
      <c r="N1857" t="inlineStr">
        <is>
          <t>general</t>
        </is>
      </c>
      <c r="O1857" t="inlineStr">
        <is>
          <t>https://www.disco.com.ar/acondicionador-pantene-pro-v-fuerza-y-reconstruccion-750-ml/p</t>
        </is>
      </c>
    </row>
    <row r="1858">
      <c r="A1858" s="10" t="inlineStr">
        <is>
          <t>Disco</t>
        </is>
      </c>
      <c r="B1858" s="10" t="n">
        <v>40260</v>
      </c>
      <c r="C1858" s="10" t="n">
        <v>37425</v>
      </c>
      <c r="D1858" s="10" t="inlineStr">
        <is>
          <t>Crema para Peinar Restauración 300 Ml Pantene</t>
        </is>
      </c>
      <c r="E1858" s="10" t="inlineStr">
        <is>
          <t>PANTENE</t>
        </is>
      </c>
      <c r="F1858" s="10" t="n">
        <v>8750</v>
      </c>
      <c r="G1858" s="10" t="n">
        <v>723141</v>
      </c>
      <c r="H1858" s="10" t="b">
        <v>0</v>
      </c>
      <c r="I1858" s="10" t="n">
        <v>300</v>
      </c>
      <c r="J1858" s="10" t="n">
        <v>29.1667</v>
      </c>
      <c r="K1858" s="10" t="inlineStr">
        <is>
          <t>&gt; Perfumería &gt; Cuidado Capilar &gt; Reparación y Tratamientos &gt;</t>
        </is>
      </c>
      <c r="L1858" s="10" t="inlineStr">
        <is>
          <t>shampoo</t>
        </is>
      </c>
      <c r="M1858" s="10" t="inlineStr">
        <is>
          <t>estandar</t>
        </is>
      </c>
      <c r="N1858" s="10" t="inlineStr">
        <is>
          <t>general</t>
        </is>
      </c>
      <c r="O1858" s="10" t="inlineStr">
        <is>
          <t>https://www.disco.com.ar/crema-para-peinar-pantene-pro-v-restauracion-300-ml/p</t>
        </is>
      </c>
    </row>
    <row r="1859">
      <c r="A1859" t="inlineStr">
        <is>
          <t>Disco</t>
        </is>
      </c>
      <c r="B1859" t="n">
        <v>36596</v>
      </c>
      <c r="C1859" t="n">
        <v>33756</v>
      </c>
      <c r="D1859" t="inlineStr">
        <is>
          <t>Shampoo Pantene Pro-v Liso Y Sedoso 400 Ml</t>
        </is>
      </c>
      <c r="E1859" t="inlineStr">
        <is>
          <t>PANTENE</t>
        </is>
      </c>
      <c r="F1859" t="n">
        <v>189.89</v>
      </c>
      <c r="G1859" t="n">
        <v>15693</v>
      </c>
      <c r="H1859" t="b">
        <v>0</v>
      </c>
      <c r="I1859" t="n">
        <v>400</v>
      </c>
      <c r="J1859" t="n">
        <v>0.4747</v>
      </c>
      <c r="K1859" t="inlineStr">
        <is>
          <t>&gt; Perfumería &gt; Cuidado Capilar &gt; Shampoo &gt;</t>
        </is>
      </c>
      <c r="L1859" t="inlineStr">
        <is>
          <t>shampoo</t>
        </is>
      </c>
      <c r="M1859" t="inlineStr">
        <is>
          <t>profesional</t>
        </is>
      </c>
      <c r="N1859" t="inlineStr">
        <is>
          <t>general</t>
        </is>
      </c>
      <c r="O1859" t="inlineStr">
        <is>
          <t>https://www.disco.com.ar/shampoo-pantene-pro-v-liso-y-sedoso-400-ml/p</t>
        </is>
      </c>
    </row>
    <row r="1860">
      <c r="A1860" s="10" t="inlineStr">
        <is>
          <t>Disco</t>
        </is>
      </c>
      <c r="B1860" s="10" t="n">
        <v>36532</v>
      </c>
      <c r="C1860" s="10" t="n">
        <v>33692</v>
      </c>
      <c r="D1860" s="10" t="inlineStr">
        <is>
          <t>Shampoo Pantene Pro-v Liso Y Sedoso 200 Ml</t>
        </is>
      </c>
      <c r="E1860" s="10" t="inlineStr">
        <is>
          <t>PANTENE</t>
        </is>
      </c>
      <c r="F1860" s="10" t="n">
        <v>173.39</v>
      </c>
      <c r="G1860" s="10" t="n">
        <v>14330</v>
      </c>
      <c r="H1860" s="10" t="b">
        <v>0</v>
      </c>
      <c r="I1860" s="10" t="n">
        <v>200</v>
      </c>
      <c r="J1860" s="10" t="n">
        <v>0.8669</v>
      </c>
      <c r="K1860" s="10" t="inlineStr">
        <is>
          <t>&gt; Perfumería &gt; Cuidado Capilar &gt; Shampoo &gt;</t>
        </is>
      </c>
      <c r="L1860" s="10" t="inlineStr">
        <is>
          <t>shampoo</t>
        </is>
      </c>
      <c r="M1860" s="10" t="inlineStr">
        <is>
          <t>profesional</t>
        </is>
      </c>
      <c r="N1860" s="10" t="inlineStr">
        <is>
          <t>general</t>
        </is>
      </c>
      <c r="O1860" s="10" t="inlineStr">
        <is>
          <t>https://www.disco.com.ar/shampoo-pantene-pro-v-liso-y-sedoso-200-ml/p</t>
        </is>
      </c>
    </row>
    <row r="1861">
      <c r="A1861" t="inlineStr">
        <is>
          <t>Disco</t>
        </is>
      </c>
      <c r="B1861" t="n">
        <v>36504</v>
      </c>
      <c r="C1861" t="n">
        <v>33664</v>
      </c>
      <c r="D1861" t="inlineStr">
        <is>
          <t>Acondicionador Pantene Pro-v Liso Y Sedoso 200 Ml</t>
        </is>
      </c>
      <c r="E1861" t="inlineStr">
        <is>
          <t>PANTENE</t>
        </is>
      </c>
      <c r="F1861" t="n">
        <v>170.29</v>
      </c>
      <c r="G1861" t="n">
        <v>14074</v>
      </c>
      <c r="H1861" t="b">
        <v>0</v>
      </c>
      <c r="I1861" t="n">
        <v>200</v>
      </c>
      <c r="J1861" t="n">
        <v>0.8514</v>
      </c>
      <c r="K1861" t="inlineStr">
        <is>
          <t>&gt; Perfumería &gt; Cuidado Capilar &gt; Acondicionador &gt;</t>
        </is>
      </c>
      <c r="L1861" t="inlineStr">
        <is>
          <t>acondicionador</t>
        </is>
      </c>
      <c r="M1861" t="inlineStr">
        <is>
          <t>profesional</t>
        </is>
      </c>
      <c r="N1861" t="inlineStr">
        <is>
          <t>general</t>
        </is>
      </c>
      <c r="O1861" t="inlineStr">
        <is>
          <t>https://www.disco.com.ar/acondicionador-pantene-pro-v-liso-y-sedoso-200-ml/p</t>
        </is>
      </c>
    </row>
    <row r="1862">
      <c r="A1862" s="10" t="inlineStr">
        <is>
          <t>Disco</t>
        </is>
      </c>
      <c r="B1862" s="10" t="n">
        <v>30164</v>
      </c>
      <c r="C1862" s="10" t="n">
        <v>27325</v>
      </c>
      <c r="D1862" s="10" t="inlineStr">
        <is>
          <t>Acondicionador Pantene Pro-v Expert Collection Age Defy 250 Ml</t>
        </is>
      </c>
      <c r="E1862" s="10" t="inlineStr">
        <is>
          <t>PANTENE</t>
        </is>
      </c>
      <c r="F1862" s="10" t="n">
        <v>291.93</v>
      </c>
      <c r="G1862" s="10" t="n">
        <v>24126</v>
      </c>
      <c r="H1862" s="10" t="b">
        <v>0</v>
      </c>
      <c r="I1862" s="10" t="n">
        <v>250</v>
      </c>
      <c r="J1862" s="10" t="n">
        <v>1.1677</v>
      </c>
      <c r="K1862" s="10" t="inlineStr">
        <is>
          <t>&gt; Perfumería &gt; Cuidado Capilar &gt; Acondicionador &gt;</t>
        </is>
      </c>
      <c r="L1862" s="10" t="inlineStr">
        <is>
          <t>acondicionador</t>
        </is>
      </c>
      <c r="M1862" s="10" t="inlineStr">
        <is>
          <t>profesional</t>
        </is>
      </c>
      <c r="N1862" s="10" t="inlineStr">
        <is>
          <t>general</t>
        </is>
      </c>
      <c r="O1862" s="10" t="inlineStr">
        <is>
          <t>https://www.disco.com.ar/acondicionador-pantene-pro-v-expert-collection-age-defy-250-ml/p</t>
        </is>
      </c>
    </row>
    <row r="1863">
      <c r="A1863" t="inlineStr">
        <is>
          <t>Disco</t>
        </is>
      </c>
      <c r="B1863" t="n">
        <v>30163</v>
      </c>
      <c r="C1863" t="n">
        <v>27324</v>
      </c>
      <c r="D1863" t="inlineStr">
        <is>
          <t>Acondicionador Pantene Pro-v Expert Collection Advanced Keratin Repair 250 Ml</t>
        </is>
      </c>
      <c r="E1863" t="inlineStr">
        <is>
          <t>PANTENE</t>
        </is>
      </c>
      <c r="F1863" t="n">
        <v>291.93</v>
      </c>
      <c r="G1863" t="n">
        <v>24126</v>
      </c>
      <c r="H1863" t="b">
        <v>0</v>
      </c>
      <c r="I1863" t="n">
        <v>250</v>
      </c>
      <c r="J1863" t="n">
        <v>1.1677</v>
      </c>
      <c r="K1863" t="inlineStr">
        <is>
          <t>&gt; Perfumería &gt; Cuidado Capilar &gt; Acondicionador &gt;</t>
        </is>
      </c>
      <c r="L1863" t="inlineStr">
        <is>
          <t>acondicionador</t>
        </is>
      </c>
      <c r="M1863" t="inlineStr">
        <is>
          <t>profesional</t>
        </is>
      </c>
      <c r="N1863" t="inlineStr">
        <is>
          <t>general</t>
        </is>
      </c>
      <c r="O1863" t="inlineStr">
        <is>
          <t>https://www.disco.com.ar/acondicionador-pantene-32/p</t>
        </is>
      </c>
    </row>
    <row r="1864">
      <c r="A1864" s="10" t="inlineStr">
        <is>
          <t>Disco</t>
        </is>
      </c>
      <c r="B1864" s="10" t="n">
        <v>25404</v>
      </c>
      <c r="C1864" s="10" t="n">
        <v>22564</v>
      </c>
      <c r="D1864" s="10" t="inlineStr">
        <is>
          <t>Acondicionador Diario Pantene Pro-v 3 Minute Miracle Liso Extremo 170 Ml</t>
        </is>
      </c>
      <c r="E1864" s="10" t="inlineStr">
        <is>
          <t>PANTENE</t>
        </is>
      </c>
      <c r="F1864" s="10" t="n">
        <v>379.59</v>
      </c>
      <c r="G1864" s="10" t="n">
        <v>31371</v>
      </c>
      <c r="H1864" s="10" t="b">
        <v>0</v>
      </c>
      <c r="I1864" s="10" t="n">
        <v>170</v>
      </c>
      <c r="J1864" s="10" t="n">
        <v>2.2329</v>
      </c>
      <c r="K1864" s="10" t="inlineStr">
        <is>
          <t>&gt; Perfumería &gt; Cuidado Capilar &gt; Acondicionador &gt;</t>
        </is>
      </c>
      <c r="L1864" s="10" t="inlineStr">
        <is>
          <t>acondicionador</t>
        </is>
      </c>
      <c r="M1864" s="10" t="inlineStr">
        <is>
          <t>profesional</t>
        </is>
      </c>
      <c r="N1864" s="10" t="inlineStr">
        <is>
          <t>general</t>
        </is>
      </c>
      <c r="O1864" s="10" t="inlineStr">
        <is>
          <t>https://www.disco.com.ar/acondicionador-diario-pantene-pro-v-3-minute-miracle-liso-extremo-170-ml/p</t>
        </is>
      </c>
    </row>
    <row r="1865">
      <c r="A1865" t="inlineStr">
        <is>
          <t>Disco</t>
        </is>
      </c>
      <c r="B1865" t="n">
        <v>25092</v>
      </c>
      <c r="C1865" t="n">
        <v>22253</v>
      </c>
      <c r="D1865" t="inlineStr">
        <is>
          <t>Acondicionador Diario Pantene Pro-v 3 Minute Miracle Rizos Definidos 170 Ml</t>
        </is>
      </c>
      <c r="E1865" t="inlineStr">
        <is>
          <t>PANTENE</t>
        </is>
      </c>
      <c r="F1865" t="n">
        <v>334.69</v>
      </c>
      <c r="G1865" t="n">
        <v>27660</v>
      </c>
      <c r="H1865" t="b">
        <v>0</v>
      </c>
      <c r="I1865" t="n">
        <v>170</v>
      </c>
      <c r="J1865" t="n">
        <v>1.9688</v>
      </c>
      <c r="K1865" t="inlineStr">
        <is>
          <t>&gt; Perfumería &gt; Cuidado Capilar &gt; Acondicionador &gt;</t>
        </is>
      </c>
      <c r="L1865" t="inlineStr">
        <is>
          <t>acondicionador</t>
        </is>
      </c>
      <c r="M1865" t="inlineStr">
        <is>
          <t>profesional</t>
        </is>
      </c>
      <c r="N1865" t="inlineStr">
        <is>
          <t>rizado</t>
        </is>
      </c>
      <c r="O1865" t="inlineStr">
        <is>
          <t>https://www.disco.com.ar/acondicionador-diario-pantene-pro-v-3-minute-miracle-rizos-definidos-170-ml/p</t>
        </is>
      </c>
    </row>
    <row r="1866">
      <c r="A1866" s="10" t="inlineStr">
        <is>
          <t>Disco</t>
        </is>
      </c>
      <c r="B1866" s="10" t="n">
        <v>23992</v>
      </c>
      <c r="C1866" s="10" t="n">
        <v>21154</v>
      </c>
      <c r="D1866" s="10" t="inlineStr">
        <is>
          <t>Tratamiento Intensivo Pantene Miracles Pelo Mixto 300 Ml</t>
        </is>
      </c>
      <c r="E1866" s="10" t="inlineStr">
        <is>
          <t>PANTENE</t>
        </is>
      </c>
      <c r="F1866" s="10" t="n">
        <v>7950</v>
      </c>
      <c r="G1866" s="10" t="n">
        <v>657025</v>
      </c>
      <c r="H1866" s="10" t="b">
        <v>0</v>
      </c>
      <c r="I1866" s="10" t="n">
        <v>300</v>
      </c>
      <c r="J1866" s="10" t="n">
        <v>26.5</v>
      </c>
      <c r="K1866" s="10" t="inlineStr">
        <is>
          <t>&gt; Perfumería &gt; Cuidado Capilar &gt; Reparación y Tratamientos &gt;</t>
        </is>
      </c>
      <c r="L1866" s="10" t="inlineStr">
        <is>
          <t>tratamiento</t>
        </is>
      </c>
      <c r="M1866" s="10" t="inlineStr">
        <is>
          <t>estandar</t>
        </is>
      </c>
      <c r="N1866" s="10" t="inlineStr">
        <is>
          <t>general</t>
        </is>
      </c>
      <c r="O1866" s="10" t="inlineStr">
        <is>
          <t>https://www.disco.com.ar/tratamiento-intensivo-pantene-miracles-pelo-mixto-300-ml/p</t>
        </is>
      </c>
    </row>
    <row r="1867">
      <c r="A1867" t="inlineStr">
        <is>
          <t>Disco</t>
        </is>
      </c>
      <c r="B1867" t="n">
        <v>23986</v>
      </c>
      <c r="C1867" t="n">
        <v>21148</v>
      </c>
      <c r="D1867" t="inlineStr">
        <is>
          <t>Tratamiento Intensivo Pelo Rizado Pantene Pro-v Miracles Rizos Definidos E Hidratados 300 Ml</t>
        </is>
      </c>
      <c r="E1867" t="inlineStr">
        <is>
          <t>PANTENE</t>
        </is>
      </c>
      <c r="F1867" t="n">
        <v>375.69</v>
      </c>
      <c r="G1867" t="n">
        <v>31049</v>
      </c>
      <c r="H1867" t="b">
        <v>0</v>
      </c>
      <c r="I1867" t="n">
        <v>300</v>
      </c>
      <c r="J1867" t="n">
        <v>1.2523</v>
      </c>
      <c r="K1867" t="inlineStr">
        <is>
          <t>&gt; Perfumería &gt; Cuidado Capilar &gt; Reparación y Tratamientos &gt;</t>
        </is>
      </c>
      <c r="L1867" t="inlineStr">
        <is>
          <t>tratamiento</t>
        </is>
      </c>
      <c r="M1867" t="inlineStr">
        <is>
          <t>profesional</t>
        </is>
      </c>
      <c r="N1867" t="inlineStr">
        <is>
          <t>rizado</t>
        </is>
      </c>
      <c r="O1867" t="inlineStr">
        <is>
          <t>https://www.disco.com.ar/tratamiento-intensivo-pelo-rizado-pantene-pro-v-miracles-rizos-definidos-e-hidratados-300-ml/p</t>
        </is>
      </c>
    </row>
    <row r="1868">
      <c r="A1868" s="10" t="inlineStr">
        <is>
          <t>Disco</t>
        </is>
      </c>
      <c r="B1868" s="10" t="n">
        <v>23951</v>
      </c>
      <c r="C1868" s="10" t="n">
        <v>21113</v>
      </c>
      <c r="D1868" s="10" t="inlineStr">
        <is>
          <t>Tratamiento Intensivo Pelo Dañado Y Teñido Pantene Pro-v Miracles Anti-frizz 300 Ml</t>
        </is>
      </c>
      <c r="E1868" s="10" t="inlineStr">
        <is>
          <t>PANTENE</t>
        </is>
      </c>
      <c r="F1868" s="10" t="n">
        <v>7400</v>
      </c>
      <c r="G1868" s="10" t="n">
        <v>611570</v>
      </c>
      <c r="H1868" s="10" t="b">
        <v>0</v>
      </c>
      <c r="I1868" s="10" t="n">
        <v>300</v>
      </c>
      <c r="J1868" s="10" t="n">
        <v>24.6667</v>
      </c>
      <c r="K1868" s="10" t="inlineStr">
        <is>
          <t>&gt; Perfumería &gt; Cuidado Capilar &gt; Reparación y Tratamientos &gt;</t>
        </is>
      </c>
      <c r="L1868" s="10" t="inlineStr">
        <is>
          <t>tratamiento</t>
        </is>
      </c>
      <c r="M1868" s="10" t="inlineStr">
        <is>
          <t>profesional</t>
        </is>
      </c>
      <c r="N1868" s="10" t="inlineStr">
        <is>
          <t>tratado</t>
        </is>
      </c>
      <c r="O1868" s="10" t="inlineStr">
        <is>
          <t>https://www.disco.com.ar/tratamiento-intensivo-pelo-danado-y-tenido-pantene-pro-v-miracles-anti-frizz-300-ml/p</t>
        </is>
      </c>
    </row>
    <row r="1869">
      <c r="A1869" t="inlineStr">
        <is>
          <t>Disco</t>
        </is>
      </c>
      <c r="B1869" t="n">
        <v>19762</v>
      </c>
      <c r="C1869" t="n">
        <v>16933</v>
      </c>
      <c r="D1869" t="inlineStr">
        <is>
          <t>Crema Para Peinar Pantene Pro-v Liso Extremo 300 Ml</t>
        </is>
      </c>
      <c r="E1869" t="inlineStr">
        <is>
          <t>PANTENE</t>
        </is>
      </c>
      <c r="F1869" t="n">
        <v>367.09</v>
      </c>
      <c r="G1869" t="n">
        <v>30338</v>
      </c>
      <c r="H1869" t="b">
        <v>0</v>
      </c>
      <c r="I1869" t="n">
        <v>300</v>
      </c>
      <c r="J1869" t="n">
        <v>1.2236</v>
      </c>
      <c r="K1869" t="inlineStr">
        <is>
          <t>&gt; Perfumería &gt; Cuidado Capilar &gt; Reparación y Tratamientos &gt;</t>
        </is>
      </c>
      <c r="L1869" t="inlineStr">
        <is>
          <t>shampoo</t>
        </is>
      </c>
      <c r="M1869" t="inlineStr">
        <is>
          <t>profesional</t>
        </is>
      </c>
      <c r="N1869" t="inlineStr">
        <is>
          <t>general</t>
        </is>
      </c>
      <c r="O1869" t="inlineStr">
        <is>
          <t>https://www.disco.com.ar/crema-para-peinar-pantene-pro-v-liso-extremo-300-ml/p</t>
        </is>
      </c>
    </row>
    <row r="1870">
      <c r="A1870" s="10" t="inlineStr">
        <is>
          <t>Disco</t>
        </is>
      </c>
      <c r="B1870" s="10" t="n">
        <v>19739</v>
      </c>
      <c r="C1870" s="10" t="n">
        <v>16910</v>
      </c>
      <c r="D1870" s="10" t="inlineStr">
        <is>
          <t>Crema Para Peinar Pantene Rizos Definidos 300 Ml</t>
        </is>
      </c>
      <c r="E1870" s="10" t="inlineStr">
        <is>
          <t>PANTENE</t>
        </is>
      </c>
      <c r="F1870" s="10" t="n">
        <v>389.17</v>
      </c>
      <c r="G1870" s="10" t="n">
        <v>32163</v>
      </c>
      <c r="H1870" s="10" t="b">
        <v>0</v>
      </c>
      <c r="I1870" s="10" t="n">
        <v>300</v>
      </c>
      <c r="J1870" s="10" t="n">
        <v>1.2972</v>
      </c>
      <c r="K1870" s="10" t="inlineStr">
        <is>
          <t>&gt; Perfumería &gt; Cuidado Capilar &gt; Reparación y Tratamientos &gt;</t>
        </is>
      </c>
      <c r="L1870" s="10" t="inlineStr">
        <is>
          <t>shampoo</t>
        </is>
      </c>
      <c r="M1870" s="10" t="inlineStr">
        <is>
          <t>estandar</t>
        </is>
      </c>
      <c r="N1870" s="10" t="inlineStr">
        <is>
          <t>rizado</t>
        </is>
      </c>
      <c r="O1870" s="10" t="inlineStr">
        <is>
          <t>https://www.disco.com.ar/crema-para-peinar-pantene-rizos-definidos-300-ml/p</t>
        </is>
      </c>
    </row>
    <row r="1871">
      <c r="A1871" t="inlineStr">
        <is>
          <t>Disco</t>
        </is>
      </c>
      <c r="B1871" t="n">
        <v>14117</v>
      </c>
      <c r="C1871" t="n">
        <v>11301</v>
      </c>
      <c r="D1871" t="inlineStr">
        <is>
          <t>Tratamiento Intensivo Pantene Hidratación Balanceada 300 Ml</t>
        </is>
      </c>
      <c r="E1871" t="inlineStr">
        <is>
          <t>PANTENE</t>
        </is>
      </c>
      <c r="F1871" t="n">
        <v>68.09</v>
      </c>
      <c r="G1871" t="n">
        <v>5627</v>
      </c>
      <c r="H1871" t="b">
        <v>0</v>
      </c>
      <c r="I1871" t="n">
        <v>300</v>
      </c>
      <c r="J1871" t="n">
        <v>0.227</v>
      </c>
      <c r="K1871" t="inlineStr">
        <is>
          <t>&gt; Perfumería &gt; Cuidado Capilar &gt; Reparación y Tratamientos &gt;</t>
        </is>
      </c>
      <c r="L1871" t="inlineStr">
        <is>
          <t>tratamiento</t>
        </is>
      </c>
      <c r="M1871" t="inlineStr">
        <is>
          <t>estandar</t>
        </is>
      </c>
      <c r="N1871" t="inlineStr">
        <is>
          <t>seco_danado</t>
        </is>
      </c>
      <c r="O1871" t="inlineStr">
        <is>
          <t>https://www.disco.com.ar/tratamiento-intensivo-pantene-hidratacion-balanceada-300-ml/p</t>
        </is>
      </c>
    </row>
    <row r="1872">
      <c r="A1872" s="10" t="inlineStr">
        <is>
          <t>Disco</t>
        </is>
      </c>
      <c r="B1872" s="10" t="n">
        <v>12118</v>
      </c>
      <c r="C1872" s="10" t="n">
        <v>9377</v>
      </c>
      <c r="D1872" s="10" t="inlineStr">
        <is>
          <t>Shampoo Pantene Pro-v Expert Collection Hydra Intensify 300 Ml</t>
        </is>
      </c>
      <c r="E1872" s="10" t="inlineStr">
        <is>
          <t>PANTENE</t>
        </is>
      </c>
      <c r="F1872" s="10" t="n">
        <v>312.53</v>
      </c>
      <c r="G1872" s="10" t="n">
        <v>25829</v>
      </c>
      <c r="H1872" s="10" t="b">
        <v>0</v>
      </c>
      <c r="I1872" s="10" t="n">
        <v>300</v>
      </c>
      <c r="J1872" s="10" t="n">
        <v>1.0418</v>
      </c>
      <c r="K1872" s="10" t="inlineStr">
        <is>
          <t>&gt; Perfumería &gt; Cuidado Capilar &gt; Shampoo &gt;</t>
        </is>
      </c>
      <c r="L1872" s="10" t="inlineStr">
        <is>
          <t>shampoo</t>
        </is>
      </c>
      <c r="M1872" s="10" t="inlineStr">
        <is>
          <t>profesional</t>
        </is>
      </c>
      <c r="N1872" s="10" t="inlineStr">
        <is>
          <t>general</t>
        </is>
      </c>
      <c r="O1872" s="10" t="inlineStr">
        <is>
          <t>https://www.disco.com.ar/shampoo-pantene-pro-v-expert-collection-hydra-intensify-300-ml/p</t>
        </is>
      </c>
    </row>
    <row r="1873">
      <c r="A1873" t="inlineStr">
        <is>
          <t>Disco</t>
        </is>
      </c>
      <c r="B1873" t="n">
        <v>12095</v>
      </c>
      <c r="C1873" t="n">
        <v>9354</v>
      </c>
      <c r="D1873" t="inlineStr">
        <is>
          <t>Acondicionador Pantene Pro-v Expert Collection Hydra Intensify 250 Ml</t>
        </is>
      </c>
      <c r="E1873" t="inlineStr">
        <is>
          <t>PANTENE</t>
        </is>
      </c>
      <c r="F1873" t="n">
        <v>291.93</v>
      </c>
      <c r="G1873" t="n">
        <v>24126</v>
      </c>
      <c r="H1873" t="b">
        <v>0</v>
      </c>
      <c r="I1873" t="n">
        <v>250</v>
      </c>
      <c r="J1873" t="n">
        <v>1.1677</v>
      </c>
      <c r="K1873" t="inlineStr">
        <is>
          <t>&gt; Perfumería &gt; Cuidado Capilar &gt; Acondicionador &gt;</t>
        </is>
      </c>
      <c r="L1873" t="inlineStr">
        <is>
          <t>acondicionador</t>
        </is>
      </c>
      <c r="M1873" t="inlineStr">
        <is>
          <t>profesional</t>
        </is>
      </c>
      <c r="N1873" t="inlineStr">
        <is>
          <t>general</t>
        </is>
      </c>
      <c r="O1873" t="inlineStr">
        <is>
          <t>https://www.disco.com.ar/acondicionador-pantene-pro-v-expert-collection-hydra-intensify-250-ml/p</t>
        </is>
      </c>
    </row>
    <row r="1874">
      <c r="A1874" s="10" t="inlineStr">
        <is>
          <t>Disco</t>
        </is>
      </c>
      <c r="B1874" s="10" t="n">
        <v>7772</v>
      </c>
      <c r="C1874" s="10" t="n">
        <v>5096</v>
      </c>
      <c r="D1874" s="10" t="inlineStr">
        <is>
          <t>Acondicionador Pantene Pro-v Control Caida 400 Ml</t>
        </is>
      </c>
      <c r="E1874" s="10" t="inlineStr">
        <is>
          <t>PANTENE</t>
        </is>
      </c>
      <c r="F1874" s="10" t="n">
        <v>97.29000000000001</v>
      </c>
      <c r="G1874" s="10" t="n">
        <v>8041</v>
      </c>
      <c r="H1874" s="10" t="b">
        <v>0</v>
      </c>
      <c r="I1874" s="10" t="n">
        <v>400</v>
      </c>
      <c r="J1874" s="10" t="n">
        <v>0.2432</v>
      </c>
      <c r="K1874" s="10" t="inlineStr">
        <is>
          <t>&gt; Perfumería &gt; Cuidado Capilar &gt; Acondicionador &gt;</t>
        </is>
      </c>
      <c r="L1874" s="10" t="inlineStr">
        <is>
          <t>acondicionador</t>
        </is>
      </c>
      <c r="M1874" s="10" t="inlineStr">
        <is>
          <t>profesional</t>
        </is>
      </c>
      <c r="N1874" s="10" t="inlineStr">
        <is>
          <t>general</t>
        </is>
      </c>
      <c r="O1874" s="10" t="inlineStr">
        <is>
          <t>https://www.disco.com.ar/acondicionador-pantene-11/p</t>
        </is>
      </c>
    </row>
    <row r="1875">
      <c r="A1875" t="inlineStr">
        <is>
          <t>Disco</t>
        </is>
      </c>
      <c r="B1875" t="n">
        <v>7760</v>
      </c>
      <c r="C1875" t="n">
        <v>5084</v>
      </c>
      <c r="D1875" t="inlineStr">
        <is>
          <t>Acondicionador Pantene Pro-v Brillo Extremo 200 Ml</t>
        </is>
      </c>
      <c r="E1875" t="inlineStr">
        <is>
          <t>PANTENE</t>
        </is>
      </c>
      <c r="F1875" t="n">
        <v>24.67</v>
      </c>
      <c r="G1875" t="n">
        <v>2039</v>
      </c>
      <c r="H1875" t="b">
        <v>0</v>
      </c>
      <c r="I1875" t="n">
        <v>200</v>
      </c>
      <c r="J1875" t="n">
        <v>0.1234</v>
      </c>
      <c r="K1875" t="inlineStr">
        <is>
          <t>&gt; Perfumería &gt; Cuidado Capilar &gt; Acondicionador &gt;</t>
        </is>
      </c>
      <c r="L1875" t="inlineStr">
        <is>
          <t>acondicionador</t>
        </is>
      </c>
      <c r="M1875" t="inlineStr">
        <is>
          <t>profesional</t>
        </is>
      </c>
      <c r="N1875" t="inlineStr">
        <is>
          <t>general</t>
        </is>
      </c>
      <c r="O1875" t="inlineStr">
        <is>
          <t>https://www.disco.com.ar/acondicionador-pantene-9/p</t>
        </is>
      </c>
    </row>
    <row r="1876">
      <c r="A1876" s="10" t="inlineStr">
        <is>
          <t>Disco</t>
        </is>
      </c>
      <c r="B1876" s="10" t="n">
        <v>7746</v>
      </c>
      <c r="C1876" s="10" t="n">
        <v>5070</v>
      </c>
      <c r="D1876" s="10" t="inlineStr">
        <is>
          <t>Acondicionador Pantene Pro-v Control Caida 750 Ml</t>
        </is>
      </c>
      <c r="E1876" s="10" t="inlineStr">
        <is>
          <t>PANTENE</t>
        </is>
      </c>
      <c r="F1876" s="10" t="n">
        <v>284.77</v>
      </c>
      <c r="G1876" s="10" t="n">
        <v>23535</v>
      </c>
      <c r="H1876" s="10" t="b">
        <v>0</v>
      </c>
      <c r="I1876" s="10" t="n">
        <v>750</v>
      </c>
      <c r="J1876" s="10" t="n">
        <v>0.3797</v>
      </c>
      <c r="K1876" s="10" t="inlineStr">
        <is>
          <t>&gt; Perfumería &gt; Cuidado Capilar &gt; Acondicionador &gt;</t>
        </is>
      </c>
      <c r="L1876" s="10" t="inlineStr">
        <is>
          <t>acondicionador</t>
        </is>
      </c>
      <c r="M1876" s="10" t="inlineStr">
        <is>
          <t>profesional</t>
        </is>
      </c>
      <c r="N1876" s="10" t="inlineStr">
        <is>
          <t>general</t>
        </is>
      </c>
      <c r="O1876" s="10" t="inlineStr">
        <is>
          <t>https://www.disco.com.ar/acondicionador-pantene-8/p</t>
        </is>
      </c>
    </row>
    <row r="1877">
      <c r="A1877" t="inlineStr">
        <is>
          <t>Disco</t>
        </is>
      </c>
      <c r="B1877" t="n">
        <v>7744</v>
      </c>
      <c r="C1877" t="n">
        <v>5068</v>
      </c>
      <c r="D1877" t="inlineStr">
        <is>
          <t>Pantene Shampoo Liso Y Sedoso 400ml</t>
        </is>
      </c>
      <c r="E1877" t="inlineStr">
        <is>
          <t>PANTENE</t>
        </is>
      </c>
      <c r="F1877" t="n">
        <v>48.79</v>
      </c>
      <c r="G1877" t="n">
        <v>4032</v>
      </c>
      <c r="H1877" t="b">
        <v>0</v>
      </c>
      <c r="I1877" t="n">
        <v>400</v>
      </c>
      <c r="J1877" t="n">
        <v>0.122</v>
      </c>
      <c r="K1877" t="inlineStr">
        <is>
          <t>&gt; Perfumería &gt; Cuidado Capilar &gt; Shampoo &gt;</t>
        </is>
      </c>
      <c r="L1877" t="inlineStr">
        <is>
          <t>shampoo</t>
        </is>
      </c>
      <c r="M1877" t="inlineStr">
        <is>
          <t>estandar</t>
        </is>
      </c>
      <c r="N1877" t="inlineStr">
        <is>
          <t>general</t>
        </is>
      </c>
      <c r="O1877" t="inlineStr">
        <is>
          <t>https://www.disco.com.ar/shampoo-pantene-8/p</t>
        </is>
      </c>
    </row>
    <row r="1878">
      <c r="A1878" s="10" t="inlineStr">
        <is>
          <t>Disco</t>
        </is>
      </c>
      <c r="B1878" s="10" t="n">
        <v>7733</v>
      </c>
      <c r="C1878" s="10" t="n">
        <v>5057</v>
      </c>
      <c r="D1878" s="10" t="inlineStr">
        <is>
          <t>Acondicionador Pantene Liso Extremo 400 Ml</t>
        </is>
      </c>
      <c r="E1878" s="10" t="inlineStr">
        <is>
          <t>PANTENE</t>
        </is>
      </c>
      <c r="F1878" s="10" t="n">
        <v>97.29000000000001</v>
      </c>
      <c r="G1878" s="10" t="n">
        <v>8041</v>
      </c>
      <c r="H1878" s="10" t="b">
        <v>0</v>
      </c>
      <c r="I1878" s="10" t="n">
        <v>400</v>
      </c>
      <c r="J1878" s="10" t="n">
        <v>0.2432</v>
      </c>
      <c r="K1878" s="10" t="inlineStr">
        <is>
          <t>&gt; Perfumería &gt; Cuidado Capilar &gt; Acondicionador &gt;</t>
        </is>
      </c>
      <c r="L1878" s="10" t="inlineStr">
        <is>
          <t>acondicionador</t>
        </is>
      </c>
      <c r="M1878" s="10" t="inlineStr">
        <is>
          <t>estandar</t>
        </is>
      </c>
      <c r="N1878" s="10" t="inlineStr">
        <is>
          <t>general</t>
        </is>
      </c>
      <c r="O1878" s="10" t="inlineStr">
        <is>
          <t>https://www.disco.com.ar/acondicionador-pantene-7/p</t>
        </is>
      </c>
    </row>
    <row r="1879">
      <c r="A1879" t="inlineStr">
        <is>
          <t>Disco</t>
        </is>
      </c>
      <c r="B1879" t="n">
        <v>7732</v>
      </c>
      <c r="C1879" t="n">
        <v>5056</v>
      </c>
      <c r="D1879" t="inlineStr">
        <is>
          <t>Shampoo Pantene Brillo Extremo 400 Ml</t>
        </is>
      </c>
      <c r="E1879" t="inlineStr">
        <is>
          <t>PANTENE</t>
        </is>
      </c>
      <c r="F1879" t="n">
        <v>48.79</v>
      </c>
      <c r="G1879" t="n">
        <v>4032</v>
      </c>
      <c r="H1879" t="b">
        <v>0</v>
      </c>
      <c r="I1879" t="n">
        <v>400</v>
      </c>
      <c r="J1879" t="n">
        <v>0.122</v>
      </c>
      <c r="K1879" t="inlineStr">
        <is>
          <t>&gt; Perfumería &gt; Cuidado Capilar &gt; Shampoo &gt;</t>
        </is>
      </c>
      <c r="L1879" t="inlineStr">
        <is>
          <t>shampoo</t>
        </is>
      </c>
      <c r="M1879" t="inlineStr">
        <is>
          <t>estandar</t>
        </is>
      </c>
      <c r="N1879" t="inlineStr">
        <is>
          <t>general</t>
        </is>
      </c>
      <c r="O1879" t="inlineStr">
        <is>
          <t>https://www.disco.com.ar/shampoo-pantene-6/p</t>
        </is>
      </c>
    </row>
    <row r="1880">
      <c r="A1880" s="10" t="inlineStr">
        <is>
          <t>Disco</t>
        </is>
      </c>
      <c r="B1880" s="10" t="n">
        <v>7730</v>
      </c>
      <c r="C1880" s="10" t="n">
        <v>5054</v>
      </c>
      <c r="D1880" s="10" t="inlineStr">
        <is>
          <t>Shampoo Pantene Brillo Extremo 750 Ml</t>
        </is>
      </c>
      <c r="E1880" s="10" t="inlineStr">
        <is>
          <t>PANTENE</t>
        </is>
      </c>
      <c r="F1880" s="10" t="n">
        <v>74.37</v>
      </c>
      <c r="G1880" s="10" t="n">
        <v>6146</v>
      </c>
      <c r="H1880" s="10" t="b">
        <v>0</v>
      </c>
      <c r="I1880" s="10" t="n">
        <v>750</v>
      </c>
      <c r="J1880" s="10" t="n">
        <v>0.0992</v>
      </c>
      <c r="K1880" s="10" t="inlineStr">
        <is>
          <t>&gt; Perfumería &gt; Cuidado Capilar &gt; Shampoo &gt;</t>
        </is>
      </c>
      <c r="L1880" s="10" t="inlineStr">
        <is>
          <t>shampoo</t>
        </is>
      </c>
      <c r="M1880" s="10" t="inlineStr">
        <is>
          <t>estandar</t>
        </is>
      </c>
      <c r="N1880" s="10" t="inlineStr">
        <is>
          <t>general</t>
        </is>
      </c>
      <c r="O1880" s="10" t="inlineStr">
        <is>
          <t>https://www.disco.com.ar/shampoo-pantene-5/p</t>
        </is>
      </c>
    </row>
    <row r="1881">
      <c r="A1881" t="inlineStr">
        <is>
          <t>Disco</t>
        </is>
      </c>
      <c r="B1881" t="n">
        <v>7722</v>
      </c>
      <c r="C1881" t="n">
        <v>5047</v>
      </c>
      <c r="D1881" t="inlineStr">
        <is>
          <t>Acondicionador Pantene Fusión Naturaleza Hidratación 400 Ml</t>
        </is>
      </c>
      <c r="E1881" t="inlineStr">
        <is>
          <t>PANTENE</t>
        </is>
      </c>
      <c r="F1881" t="n">
        <v>97.29000000000001</v>
      </c>
      <c r="G1881" t="n">
        <v>8041</v>
      </c>
      <c r="H1881" t="b">
        <v>0</v>
      </c>
      <c r="I1881" t="n">
        <v>400</v>
      </c>
      <c r="J1881" t="n">
        <v>0.2432</v>
      </c>
      <c r="K1881" t="inlineStr">
        <is>
          <t>&gt; Perfumería &gt; Cuidado Capilar &gt; Acondicionador &gt;</t>
        </is>
      </c>
      <c r="L1881" t="inlineStr">
        <is>
          <t>acondicionador</t>
        </is>
      </c>
      <c r="M1881" t="inlineStr">
        <is>
          <t>estandar</t>
        </is>
      </c>
      <c r="N1881" t="inlineStr">
        <is>
          <t>seco_danado</t>
        </is>
      </c>
      <c r="O1881" t="inlineStr">
        <is>
          <t>https://www.disco.com.ar/acondicionador-pantene-6/p</t>
        </is>
      </c>
    </row>
    <row r="1882">
      <c r="A1882" s="10" t="inlineStr">
        <is>
          <t>Disco</t>
        </is>
      </c>
      <c r="B1882" s="10" t="n">
        <v>7696</v>
      </c>
      <c r="C1882" s="10" t="n">
        <v>5022</v>
      </c>
      <c r="D1882" s="10" t="inlineStr">
        <is>
          <t>Shampoo Pantene 2 En 1 Hidratación 400 Ml</t>
        </is>
      </c>
      <c r="E1882" s="10" t="inlineStr">
        <is>
          <t>PANTENE</t>
        </is>
      </c>
      <c r="F1882" s="10" t="n">
        <v>48.79</v>
      </c>
      <c r="G1882" s="10" t="n">
        <v>4032</v>
      </c>
      <c r="H1882" s="10" t="b">
        <v>0</v>
      </c>
      <c r="I1882" s="10" t="n">
        <v>400</v>
      </c>
      <c r="J1882" s="10" t="n">
        <v>0.122</v>
      </c>
      <c r="K1882" s="10" t="inlineStr">
        <is>
          <t>&gt; Perfumería &gt; Cuidado Capilar &gt; Shampoo &gt;</t>
        </is>
      </c>
      <c r="L1882" s="10" t="inlineStr">
        <is>
          <t>shampoo</t>
        </is>
      </c>
      <c r="M1882" s="10" t="inlineStr">
        <is>
          <t>estandar</t>
        </is>
      </c>
      <c r="N1882" s="10" t="inlineStr">
        <is>
          <t>seco_danado</t>
        </is>
      </c>
      <c r="O1882" s="10" t="inlineStr">
        <is>
          <t>https://www.disco.com.ar/shampoo-pantene-2-en-1/p</t>
        </is>
      </c>
    </row>
    <row r="1883">
      <c r="A1883" t="inlineStr">
        <is>
          <t>Disco</t>
        </is>
      </c>
      <c r="B1883" t="n">
        <v>7677</v>
      </c>
      <c r="C1883" t="n">
        <v>5003</v>
      </c>
      <c r="D1883" t="inlineStr">
        <is>
          <t>Shampoo Pantene Hidratación Balanceada 750 Ml</t>
        </is>
      </c>
      <c r="E1883" t="inlineStr">
        <is>
          <t>PANTENE</t>
        </is>
      </c>
      <c r="F1883" t="n">
        <v>74.37</v>
      </c>
      <c r="G1883" t="n">
        <v>6146</v>
      </c>
      <c r="H1883" t="b">
        <v>0</v>
      </c>
      <c r="I1883" t="n">
        <v>750</v>
      </c>
      <c r="J1883" t="n">
        <v>0.0992</v>
      </c>
      <c r="K1883" t="inlineStr">
        <is>
          <t>&gt; Perfumería &gt; Cuidado Capilar &gt; Shampoo &gt;</t>
        </is>
      </c>
      <c r="L1883" t="inlineStr">
        <is>
          <t>shampoo</t>
        </is>
      </c>
      <c r="M1883" t="inlineStr">
        <is>
          <t>estandar</t>
        </is>
      </c>
      <c r="N1883" t="inlineStr">
        <is>
          <t>seco_danado</t>
        </is>
      </c>
      <c r="O1883" t="inlineStr">
        <is>
          <t>https://www.disco.com.ar/shampoo-pantene-4/p</t>
        </is>
      </c>
    </row>
    <row r="1884">
      <c r="A1884" s="10" t="inlineStr">
        <is>
          <t>Disco</t>
        </is>
      </c>
      <c r="B1884" s="10" t="n">
        <v>7674</v>
      </c>
      <c r="C1884" s="10" t="n">
        <v>5000</v>
      </c>
      <c r="D1884" s="10" t="inlineStr">
        <is>
          <t>Shampoo Pantene Hidratación Balanceada 400 Ml</t>
        </is>
      </c>
      <c r="E1884" s="10" t="inlineStr">
        <is>
          <t>PANTENE</t>
        </is>
      </c>
      <c r="F1884" s="10" t="n">
        <v>48.79</v>
      </c>
      <c r="G1884" s="10" t="n">
        <v>4032</v>
      </c>
      <c r="H1884" s="10" t="b">
        <v>0</v>
      </c>
      <c r="I1884" s="10" t="n">
        <v>400</v>
      </c>
      <c r="J1884" s="10" t="n">
        <v>0.122</v>
      </c>
      <c r="K1884" s="10" t="inlineStr">
        <is>
          <t>&gt; Perfumería &gt; Cuidado Capilar &gt; Shampoo &gt;</t>
        </is>
      </c>
      <c r="L1884" s="10" t="inlineStr">
        <is>
          <t>shampoo</t>
        </is>
      </c>
      <c r="M1884" s="10" t="inlineStr">
        <is>
          <t>estandar</t>
        </is>
      </c>
      <c r="N1884" s="10" t="inlineStr">
        <is>
          <t>seco_danado</t>
        </is>
      </c>
      <c r="O1884" s="10" t="inlineStr">
        <is>
          <t>https://www.disco.com.ar/shampoo-pantene-3/p</t>
        </is>
      </c>
    </row>
    <row r="1885">
      <c r="A1885" t="inlineStr">
        <is>
          <t>Disco</t>
        </is>
      </c>
      <c r="B1885" t="n">
        <v>7536</v>
      </c>
      <c r="C1885" t="n">
        <v>4863</v>
      </c>
      <c r="D1885" t="inlineStr">
        <is>
          <t>Kit Bomba De 3 Ampollas Pantene Pro-v Summer Edition 45 Ml C/u</t>
        </is>
      </c>
      <c r="E1885" t="inlineStr">
        <is>
          <t>PANTENE</t>
        </is>
      </c>
      <c r="F1885" t="n">
        <v>238.19</v>
      </c>
      <c r="G1885" t="n">
        <v>19685</v>
      </c>
      <c r="H1885" t="b">
        <v>0</v>
      </c>
      <c r="I1885" t="n">
        <v>45</v>
      </c>
      <c r="J1885" t="n">
        <v>5.2931</v>
      </c>
      <c r="K1885" t="inlineStr">
        <is>
          <t>&gt; Perfumería &gt; Cuidado Capilar &gt; Reparación y Tratamientos &gt;</t>
        </is>
      </c>
      <c r="L1885" t="inlineStr">
        <is>
          <t>tratamiento</t>
        </is>
      </c>
      <c r="M1885" t="inlineStr">
        <is>
          <t>profesional</t>
        </is>
      </c>
      <c r="N1885" t="inlineStr">
        <is>
          <t>general</t>
        </is>
      </c>
      <c r="O1885" t="inlineStr">
        <is>
          <t>https://www.disco.com.ar/kit-bomba-de-3-ampollas-pantene-pro-v-summer-edition-45-ml-c-u/p</t>
        </is>
      </c>
    </row>
    <row r="1886">
      <c r="A1886" s="10" t="inlineStr">
        <is>
          <t>Disco</t>
        </is>
      </c>
      <c r="B1886" s="10" t="n">
        <v>7429</v>
      </c>
      <c r="C1886" s="10" t="n">
        <v>4756</v>
      </c>
      <c r="D1886" s="10" t="inlineStr">
        <is>
          <t>Acondicionador Pantene Pro-v Hidratación Extrema 750 Ml</t>
        </is>
      </c>
      <c r="E1886" s="10" t="inlineStr">
        <is>
          <t>PANTENE</t>
        </is>
      </c>
      <c r="F1886" s="10" t="n">
        <v>457.55</v>
      </c>
      <c r="G1886" s="10" t="n">
        <v>37814</v>
      </c>
      <c r="H1886" s="10" t="b">
        <v>0</v>
      </c>
      <c r="I1886" s="10" t="n">
        <v>750</v>
      </c>
      <c r="J1886" s="10" t="n">
        <v>0.6101</v>
      </c>
      <c r="K1886" s="10" t="inlineStr">
        <is>
          <t>&gt; Perfumería &gt; Cuidado Capilar &gt; Acondicionador &gt;</t>
        </is>
      </c>
      <c r="L1886" s="10" t="inlineStr">
        <is>
          <t>acondicionador</t>
        </is>
      </c>
      <c r="M1886" s="10" t="inlineStr">
        <is>
          <t>profesional</t>
        </is>
      </c>
      <c r="N1886" s="10" t="inlineStr">
        <is>
          <t>seco_danado</t>
        </is>
      </c>
      <c r="O1886" s="10" t="inlineStr">
        <is>
          <t>https://www.disco.com.ar/acondicionador-pantene-pro-v-hidratacion-extrema-750-ml/p</t>
        </is>
      </c>
    </row>
    <row r="1887">
      <c r="A1887" t="inlineStr">
        <is>
          <t>Disco</t>
        </is>
      </c>
      <c r="B1887" t="n">
        <v>7427</v>
      </c>
      <c r="C1887" t="n">
        <v>4754</v>
      </c>
      <c r="D1887" t="inlineStr">
        <is>
          <t>Acondicionador Pantene Pro-v Hidratación Extrema 200ml</t>
        </is>
      </c>
      <c r="E1887" t="inlineStr">
        <is>
          <t>PANTENE</t>
        </is>
      </c>
      <c r="F1887" t="n">
        <v>173.39</v>
      </c>
      <c r="G1887" t="n">
        <v>14330</v>
      </c>
      <c r="H1887" t="b">
        <v>0</v>
      </c>
      <c r="I1887" t="n">
        <v>200</v>
      </c>
      <c r="J1887" t="n">
        <v>0.8669</v>
      </c>
      <c r="K1887" t="inlineStr">
        <is>
          <t>&gt; Perfumería &gt; Cuidado Capilar &gt; Acondicionador &gt;</t>
        </is>
      </c>
      <c r="L1887" t="inlineStr">
        <is>
          <t>acondicionador</t>
        </is>
      </c>
      <c r="M1887" t="inlineStr">
        <is>
          <t>profesional</t>
        </is>
      </c>
      <c r="N1887" t="inlineStr">
        <is>
          <t>seco_danado</t>
        </is>
      </c>
      <c r="O1887" t="inlineStr">
        <is>
          <t>https://www.disco.com.ar/acondicionador-pantene-pro-v-hidratacion-extrema-200ml/p</t>
        </is>
      </c>
    </row>
    <row r="1888">
      <c r="A1888" s="10" t="inlineStr">
        <is>
          <t>Disco</t>
        </is>
      </c>
      <c r="B1888" s="10" t="n">
        <v>7426</v>
      </c>
      <c r="C1888" s="10" t="n">
        <v>4753</v>
      </c>
      <c r="D1888" s="10" t="inlineStr">
        <is>
          <t>Acondicionador Pantene Pro-v Hidratación Extrema 400ml</t>
        </is>
      </c>
      <c r="E1888" s="10" t="inlineStr">
        <is>
          <t>PANTENE</t>
        </is>
      </c>
      <c r="F1888" s="10" t="n">
        <v>450</v>
      </c>
      <c r="G1888" s="10" t="n">
        <v>37190</v>
      </c>
      <c r="H1888" s="10" t="b">
        <v>0</v>
      </c>
      <c r="I1888" s="10" t="n">
        <v>400</v>
      </c>
      <c r="J1888" s="10" t="n">
        <v>1.125</v>
      </c>
      <c r="K1888" s="10" t="inlineStr">
        <is>
          <t>&gt; Perfumería &gt; Cuidado Capilar &gt; Acondicionador &gt;</t>
        </is>
      </c>
      <c r="L1888" s="10" t="inlineStr">
        <is>
          <t>acondicionador</t>
        </is>
      </c>
      <c r="M1888" s="10" t="inlineStr">
        <is>
          <t>profesional</t>
        </is>
      </c>
      <c r="N1888" s="10" t="inlineStr">
        <is>
          <t>seco_danado</t>
        </is>
      </c>
      <c r="O1888" s="10" t="inlineStr">
        <is>
          <t>https://www.disco.com.ar/acondicionador-pantene-pro-v-hidratacion-extrema-400ml/p</t>
        </is>
      </c>
    </row>
    <row r="1889">
      <c r="A1889" t="inlineStr">
        <is>
          <t>Disco</t>
        </is>
      </c>
      <c r="B1889" t="n">
        <v>7417</v>
      </c>
      <c r="C1889" t="n">
        <v>4745</v>
      </c>
      <c r="D1889" t="inlineStr">
        <is>
          <t>Shampoo Pantene Pro-v Hidratación Extrema 200 Ml</t>
        </is>
      </c>
      <c r="E1889" t="inlineStr">
        <is>
          <t>PANTENE</t>
        </is>
      </c>
      <c r="F1889" t="n">
        <v>173.39</v>
      </c>
      <c r="G1889" t="n">
        <v>14330</v>
      </c>
      <c r="H1889" t="b">
        <v>0</v>
      </c>
      <c r="I1889" t="n">
        <v>200</v>
      </c>
      <c r="J1889" t="n">
        <v>0.8669</v>
      </c>
      <c r="K1889" t="inlineStr">
        <is>
          <t>&gt; Perfumería &gt; Cuidado Capilar &gt; Shampoo &gt;</t>
        </is>
      </c>
      <c r="L1889" t="inlineStr">
        <is>
          <t>shampoo</t>
        </is>
      </c>
      <c r="M1889" t="inlineStr">
        <is>
          <t>profesional</t>
        </is>
      </c>
      <c r="N1889" t="inlineStr">
        <is>
          <t>seco_danado</t>
        </is>
      </c>
      <c r="O1889" t="inlineStr">
        <is>
          <t>https://www.disco.com.ar/shampoo-pantene-pro-v-hidratacion-extrema-200-ml/p</t>
        </is>
      </c>
    </row>
    <row r="1890">
      <c r="A1890" s="10" t="inlineStr">
        <is>
          <t>Disco</t>
        </is>
      </c>
      <c r="B1890" s="10" t="n">
        <v>7411</v>
      </c>
      <c r="C1890" s="10" t="n">
        <v>4740</v>
      </c>
      <c r="D1890" s="10" t="inlineStr">
        <is>
          <t>Shampoo Pantene Max-pro V Reparación Rejuvenecedora 200 Ml</t>
        </is>
      </c>
      <c r="E1890" s="10" t="inlineStr">
        <is>
          <t>PANTENE</t>
        </is>
      </c>
      <c r="F1890" s="10" t="n">
        <v>173.39</v>
      </c>
      <c r="G1890" s="10" t="n">
        <v>14330</v>
      </c>
      <c r="H1890" s="10" t="b">
        <v>0</v>
      </c>
      <c r="I1890" s="10" t="n">
        <v>200</v>
      </c>
      <c r="J1890" s="10" t="n">
        <v>0.8669</v>
      </c>
      <c r="K1890" s="10" t="inlineStr">
        <is>
          <t>&gt; Perfumería &gt; Cuidado Capilar &gt; Shampoo &gt;</t>
        </is>
      </c>
      <c r="L1890" s="10" t="inlineStr">
        <is>
          <t>shampoo</t>
        </is>
      </c>
      <c r="M1890" s="10" t="inlineStr">
        <is>
          <t>profesional</t>
        </is>
      </c>
      <c r="N1890" s="10" t="inlineStr">
        <is>
          <t>general</t>
        </is>
      </c>
      <c r="O1890" s="10" t="inlineStr">
        <is>
          <t>https://www.disco.com.ar/shampoo-pantene-max-pro-v-reparacion-rejuvenecedora-200-ml/p</t>
        </is>
      </c>
    </row>
    <row r="1891">
      <c r="A1891" t="inlineStr">
        <is>
          <t>Disco</t>
        </is>
      </c>
      <c r="B1891" t="n">
        <v>7410</v>
      </c>
      <c r="C1891" t="n">
        <v>4739</v>
      </c>
      <c r="D1891" t="inlineStr">
        <is>
          <t>Shampoo Pantene Max-pro V Reparación Rejuvenecedora 400 Ml</t>
        </is>
      </c>
      <c r="E1891" t="inlineStr">
        <is>
          <t>PANTENE</t>
        </is>
      </c>
      <c r="F1891" t="n">
        <v>189.89</v>
      </c>
      <c r="G1891" t="n">
        <v>15693</v>
      </c>
      <c r="H1891" t="b">
        <v>0</v>
      </c>
      <c r="I1891" t="n">
        <v>400</v>
      </c>
      <c r="J1891" t="n">
        <v>0.4747</v>
      </c>
      <c r="K1891" t="inlineStr">
        <is>
          <t>&gt; Perfumería &gt; Cuidado Capilar &gt; Shampoo &gt;</t>
        </is>
      </c>
      <c r="L1891" t="inlineStr">
        <is>
          <t>shampoo</t>
        </is>
      </c>
      <c r="M1891" t="inlineStr">
        <is>
          <t>profesional</t>
        </is>
      </c>
      <c r="N1891" t="inlineStr">
        <is>
          <t>general</t>
        </is>
      </c>
      <c r="O1891" t="inlineStr">
        <is>
          <t>https://www.disco.com.ar/shampoo-pantene-max-pro-v-reparacion-rejuvenecedora-400-ml/p</t>
        </is>
      </c>
    </row>
    <row r="1892">
      <c r="A1892" s="10" t="inlineStr">
        <is>
          <t>Disco</t>
        </is>
      </c>
      <c r="B1892" s="10" t="n">
        <v>7406</v>
      </c>
      <c r="C1892" s="10" t="n">
        <v>4735</v>
      </c>
      <c r="D1892" s="10" t="inlineStr">
        <is>
          <t>Acondicionador Pantene Pro-v Rizos Definidos 750 Ml</t>
        </is>
      </c>
      <c r="E1892" s="10" t="inlineStr">
        <is>
          <t>PANTENE</t>
        </is>
      </c>
      <c r="F1892" s="10" t="n">
        <v>457.55</v>
      </c>
      <c r="G1892" s="10" t="n">
        <v>37814</v>
      </c>
      <c r="H1892" s="10" t="b">
        <v>0</v>
      </c>
      <c r="I1892" s="10" t="n">
        <v>750</v>
      </c>
      <c r="J1892" s="10" t="n">
        <v>0.6101</v>
      </c>
      <c r="K1892" s="10" t="inlineStr">
        <is>
          <t>&gt; Perfumería &gt; Cuidado Capilar &gt; Acondicionador &gt;</t>
        </is>
      </c>
      <c r="L1892" s="10" t="inlineStr">
        <is>
          <t>acondicionador</t>
        </is>
      </c>
      <c r="M1892" s="10" t="inlineStr">
        <is>
          <t>profesional</t>
        </is>
      </c>
      <c r="N1892" s="10" t="inlineStr">
        <is>
          <t>rizado</t>
        </is>
      </c>
      <c r="O1892" s="10" t="inlineStr">
        <is>
          <t>https://www.disco.com.ar/acondicionador-pantene-pro-v-rizos-definidos-750-ml-2/p</t>
        </is>
      </c>
    </row>
    <row r="1893">
      <c r="A1893" t="inlineStr">
        <is>
          <t>Disco</t>
        </is>
      </c>
      <c r="B1893" t="n">
        <v>7403</v>
      </c>
      <c r="C1893" t="n">
        <v>4732</v>
      </c>
      <c r="D1893" t="inlineStr">
        <is>
          <t>Shampoo Pantene Max-pro V Reparación Rejuvenecedora 750 Ml</t>
        </is>
      </c>
      <c r="E1893" t="inlineStr">
        <is>
          <t>PANTENE</t>
        </is>
      </c>
      <c r="F1893" t="n">
        <v>494.89</v>
      </c>
      <c r="G1893" t="n">
        <v>40900</v>
      </c>
      <c r="H1893" t="b">
        <v>0</v>
      </c>
      <c r="I1893" t="n">
        <v>750</v>
      </c>
      <c r="J1893" t="n">
        <v>0.6599</v>
      </c>
      <c r="K1893" t="inlineStr">
        <is>
          <t>&gt; Perfumería &gt; Cuidado Capilar &gt; Shampoo &gt;</t>
        </is>
      </c>
      <c r="L1893" t="inlineStr">
        <is>
          <t>shampoo</t>
        </is>
      </c>
      <c r="M1893" t="inlineStr">
        <is>
          <t>profesional</t>
        </is>
      </c>
      <c r="N1893" t="inlineStr">
        <is>
          <t>general</t>
        </is>
      </c>
      <c r="O1893" t="inlineStr">
        <is>
          <t>https://www.disco.com.ar/shampoo-pantene-max-pro-v-reparacion-rejuvenecedora-750-ml/p</t>
        </is>
      </c>
    </row>
    <row r="1894">
      <c r="A1894" s="10" t="inlineStr">
        <is>
          <t>Disco</t>
        </is>
      </c>
      <c r="B1894" s="10" t="n">
        <v>7380</v>
      </c>
      <c r="C1894" s="10" t="n">
        <v>4710</v>
      </c>
      <c r="D1894" s="10" t="inlineStr">
        <is>
          <t>Shampoo Pantene Pro-v Hidratación Extrema 400ml</t>
        </is>
      </c>
      <c r="E1894" s="10" t="inlineStr">
        <is>
          <t>PANTENE</t>
        </is>
      </c>
      <c r="F1894" s="10" t="n">
        <v>189.89</v>
      </c>
      <c r="G1894" s="10" t="n">
        <v>15693</v>
      </c>
      <c r="H1894" s="10" t="b">
        <v>0</v>
      </c>
      <c r="I1894" s="10" t="n">
        <v>400</v>
      </c>
      <c r="J1894" s="10" t="n">
        <v>0.4747</v>
      </c>
      <c r="K1894" s="10" t="inlineStr">
        <is>
          <t>&gt; Perfumería &gt; Cuidado Capilar &gt; Shampoo &gt;</t>
        </is>
      </c>
      <c r="L1894" s="10" t="inlineStr">
        <is>
          <t>shampoo</t>
        </is>
      </c>
      <c r="M1894" s="10" t="inlineStr">
        <is>
          <t>profesional</t>
        </is>
      </c>
      <c r="N1894" s="10" t="inlineStr">
        <is>
          <t>seco_danado</t>
        </is>
      </c>
      <c r="O1894" s="10" t="inlineStr">
        <is>
          <t>https://www.disco.com.ar/shampoo-pantene-pro-v-hidratacion-extrema-400ml/p</t>
        </is>
      </c>
    </row>
    <row r="1895">
      <c r="A1895" t="inlineStr">
        <is>
          <t>Disco</t>
        </is>
      </c>
      <c r="B1895" t="n">
        <v>7374</v>
      </c>
      <c r="C1895" t="n">
        <v>4704</v>
      </c>
      <c r="D1895" t="inlineStr">
        <is>
          <t>Acondicionador Pantene Pro-v Control Caída 400 Ml</t>
        </is>
      </c>
      <c r="E1895" t="inlineStr">
        <is>
          <t>PANTENE</t>
        </is>
      </c>
      <c r="F1895" t="n">
        <v>334.67</v>
      </c>
      <c r="G1895" t="n">
        <v>27659</v>
      </c>
      <c r="H1895" t="b">
        <v>0</v>
      </c>
      <c r="I1895" t="n">
        <v>400</v>
      </c>
      <c r="J1895" t="n">
        <v>0.8367</v>
      </c>
      <c r="K1895" t="inlineStr">
        <is>
          <t>&gt; Perfumería &gt; Cuidado Capilar &gt; Acondicionador &gt;</t>
        </is>
      </c>
      <c r="L1895" t="inlineStr">
        <is>
          <t>acondicionador</t>
        </is>
      </c>
      <c r="M1895" t="inlineStr">
        <is>
          <t>profesional</t>
        </is>
      </c>
      <c r="N1895" t="inlineStr">
        <is>
          <t>general</t>
        </is>
      </c>
      <c r="O1895" t="inlineStr">
        <is>
          <t>https://www.disco.com.ar/acondicionador-pantene-pro-v-control-caida-400-ml/p</t>
        </is>
      </c>
    </row>
    <row r="1896">
      <c r="A1896" s="10" t="inlineStr">
        <is>
          <t>Disco</t>
        </is>
      </c>
      <c r="B1896" s="10" t="n">
        <v>7369</v>
      </c>
      <c r="C1896" s="10" t="n">
        <v>4699</v>
      </c>
      <c r="D1896" s="10" t="inlineStr">
        <is>
          <t>Acondicionador Pantene Pro-v Control Caída 200 Ml</t>
        </is>
      </c>
      <c r="E1896" s="10" t="inlineStr">
        <is>
          <t>PANTENE</t>
        </is>
      </c>
      <c r="F1896" s="10" t="n">
        <v>173.39</v>
      </c>
      <c r="G1896" s="10" t="n">
        <v>14330</v>
      </c>
      <c r="H1896" s="10" t="b">
        <v>0</v>
      </c>
      <c r="I1896" s="10" t="n">
        <v>200</v>
      </c>
      <c r="J1896" s="10" t="n">
        <v>0.8669</v>
      </c>
      <c r="K1896" s="10" t="inlineStr">
        <is>
          <t>&gt; Perfumería &gt; Cuidado Capilar &gt; Acondicionador &gt;</t>
        </is>
      </c>
      <c r="L1896" s="10" t="inlineStr">
        <is>
          <t>acondicionador</t>
        </is>
      </c>
      <c r="M1896" s="10" t="inlineStr">
        <is>
          <t>profesional</t>
        </is>
      </c>
      <c r="N1896" s="10" t="inlineStr">
        <is>
          <t>general</t>
        </is>
      </c>
      <c r="O1896" s="10" t="inlineStr">
        <is>
          <t>https://www.disco.com.ar/acondicionador-pantene-pro-v-control-caida-200-ml/p</t>
        </is>
      </c>
    </row>
    <row r="1897">
      <c r="A1897" t="inlineStr">
        <is>
          <t>Disco</t>
        </is>
      </c>
      <c r="B1897" t="n">
        <v>7333</v>
      </c>
      <c r="C1897" t="n">
        <v>4666</v>
      </c>
      <c r="D1897" t="inlineStr">
        <is>
          <t>Acondicionador Pantene Max Pro V Reparación Rejuvenecedora 750 Ml</t>
        </is>
      </c>
      <c r="E1897" t="inlineStr">
        <is>
          <t>PANTENE</t>
        </is>
      </c>
      <c r="F1897" t="n">
        <v>284.77</v>
      </c>
      <c r="G1897" t="n">
        <v>23535</v>
      </c>
      <c r="H1897" t="b">
        <v>0</v>
      </c>
      <c r="I1897" t="n">
        <v>750</v>
      </c>
      <c r="J1897" t="n">
        <v>0.3797</v>
      </c>
      <c r="K1897" t="inlineStr">
        <is>
          <t>&gt; Perfumería &gt; Cuidado Capilar &gt; Acondicionador &gt;</t>
        </is>
      </c>
      <c r="L1897" t="inlineStr">
        <is>
          <t>acondicionador</t>
        </is>
      </c>
      <c r="M1897" t="inlineStr">
        <is>
          <t>profesional</t>
        </is>
      </c>
      <c r="N1897" t="inlineStr">
        <is>
          <t>general</t>
        </is>
      </c>
      <c r="O1897" t="inlineStr">
        <is>
          <t>https://www.disco.com.ar/acondicionador-pantene-max-pro-v-reparacion-rejuvenecedora-750-ml/p</t>
        </is>
      </c>
    </row>
    <row r="1898">
      <c r="A1898" s="10" t="inlineStr">
        <is>
          <t>Disco</t>
        </is>
      </c>
      <c r="B1898" s="10" t="n">
        <v>7330</v>
      </c>
      <c r="C1898" s="10" t="n">
        <v>4664</v>
      </c>
      <c r="D1898" s="10" t="inlineStr">
        <is>
          <t>Acondicionador Pantene Max Pro V Reparación Rejuvenecedora 400 Ml</t>
        </is>
      </c>
      <c r="E1898" s="10" t="inlineStr">
        <is>
          <t>PANTENE</t>
        </is>
      </c>
      <c r="F1898" s="10" t="n">
        <v>315.75</v>
      </c>
      <c r="G1898" s="10" t="n">
        <v>26095</v>
      </c>
      <c r="H1898" s="10" t="b">
        <v>0</v>
      </c>
      <c r="I1898" s="10" t="n">
        <v>400</v>
      </c>
      <c r="J1898" s="10" t="n">
        <v>0.7894</v>
      </c>
      <c r="K1898" s="10" t="inlineStr">
        <is>
          <t>&gt; Perfumería &gt; Cuidado Capilar &gt; Acondicionador &gt;</t>
        </is>
      </c>
      <c r="L1898" s="10" t="inlineStr">
        <is>
          <t>acondicionador</t>
        </is>
      </c>
      <c r="M1898" s="10" t="inlineStr">
        <is>
          <t>profesional</t>
        </is>
      </c>
      <c r="N1898" s="10" t="inlineStr">
        <is>
          <t>general</t>
        </is>
      </c>
      <c r="O1898" s="10" t="inlineStr">
        <is>
          <t>https://www.disco.com.ar/acondicionador-pantene-max-pro-v-reparacion-rejuvenecedora-400-ml/p</t>
        </is>
      </c>
    </row>
    <row r="1899">
      <c r="A1899" t="inlineStr">
        <is>
          <t>Disco</t>
        </is>
      </c>
      <c r="B1899" t="n">
        <v>7329</v>
      </c>
      <c r="C1899" t="n">
        <v>4663</v>
      </c>
      <c r="D1899" t="inlineStr">
        <is>
          <t>Acondicionador Pantene Max Pro V Reparación Rejuvenecedora 200 Ml</t>
        </is>
      </c>
      <c r="E1899" t="inlineStr">
        <is>
          <t>PANTENE</t>
        </is>
      </c>
      <c r="F1899" t="n">
        <v>173.39</v>
      </c>
      <c r="G1899" t="n">
        <v>14330</v>
      </c>
      <c r="H1899" t="b">
        <v>0</v>
      </c>
      <c r="I1899" t="n">
        <v>200</v>
      </c>
      <c r="J1899" t="n">
        <v>0.8669</v>
      </c>
      <c r="K1899" t="inlineStr">
        <is>
          <t>&gt; Perfumería &gt; Cuidado Capilar &gt; Acondicionador &gt;</t>
        </is>
      </c>
      <c r="L1899" t="inlineStr">
        <is>
          <t>acondicionador</t>
        </is>
      </c>
      <c r="M1899" t="inlineStr">
        <is>
          <t>profesional</t>
        </is>
      </c>
      <c r="N1899" t="inlineStr">
        <is>
          <t>general</t>
        </is>
      </c>
      <c r="O1899" t="inlineStr">
        <is>
          <t>https://www.disco.com.ar/acondicionador-pantene-max-pro-v-reparacion-rejuvenecedora-200-ml/p</t>
        </is>
      </c>
    </row>
    <row r="1900">
      <c r="A1900" s="10" t="inlineStr">
        <is>
          <t>Disco</t>
        </is>
      </c>
      <c r="B1900" s="10" t="n">
        <v>7327</v>
      </c>
      <c r="C1900" s="10" t="n">
        <v>4661</v>
      </c>
      <c r="D1900" s="10" t="inlineStr">
        <is>
          <t>Acondicionador Pantene Rizos 200ml</t>
        </is>
      </c>
      <c r="E1900" s="10" t="inlineStr">
        <is>
          <t>PANTENE</t>
        </is>
      </c>
      <c r="F1900" s="10" t="n">
        <v>173.39</v>
      </c>
      <c r="G1900" s="10" t="n">
        <v>14330</v>
      </c>
      <c r="H1900" s="10" t="b">
        <v>0</v>
      </c>
      <c r="I1900" s="10" t="n">
        <v>200</v>
      </c>
      <c r="J1900" s="10" t="n">
        <v>0.8669</v>
      </c>
      <c r="K1900" s="10" t="inlineStr">
        <is>
          <t>&gt; Perfumería &gt; Cuidado Capilar &gt; Acondicionador &gt;</t>
        </is>
      </c>
      <c r="L1900" s="10" t="inlineStr">
        <is>
          <t>acondicionador</t>
        </is>
      </c>
      <c r="M1900" s="10" t="inlineStr">
        <is>
          <t>estandar</t>
        </is>
      </c>
      <c r="N1900" s="10" t="inlineStr">
        <is>
          <t>rizado</t>
        </is>
      </c>
      <c r="O1900" s="10" t="inlineStr">
        <is>
          <t>https://www.disco.com.ar/acondicionador-pantene-rizos-200ml/p</t>
        </is>
      </c>
    </row>
    <row r="1901">
      <c r="A1901" t="inlineStr">
        <is>
          <t>Disco</t>
        </is>
      </c>
      <c r="B1901" t="n">
        <v>7326</v>
      </c>
      <c r="C1901" t="n">
        <v>4660</v>
      </c>
      <c r="D1901" t="inlineStr">
        <is>
          <t>Shampoo Pantene Pro-v Control Caída 750 Ml</t>
        </is>
      </c>
      <c r="E1901" t="inlineStr">
        <is>
          <t>PANTENE</t>
        </is>
      </c>
      <c r="F1901" t="n">
        <v>494.89</v>
      </c>
      <c r="G1901" t="n">
        <v>40900</v>
      </c>
      <c r="H1901" t="b">
        <v>0</v>
      </c>
      <c r="I1901" t="n">
        <v>750</v>
      </c>
      <c r="J1901" t="n">
        <v>0.6599</v>
      </c>
      <c r="K1901" t="inlineStr">
        <is>
          <t>&gt; Perfumería &gt; Cuidado Capilar &gt; Shampoo &gt;</t>
        </is>
      </c>
      <c r="L1901" t="inlineStr">
        <is>
          <t>shampoo</t>
        </is>
      </c>
      <c r="M1901" t="inlineStr">
        <is>
          <t>profesional</t>
        </is>
      </c>
      <c r="N1901" t="inlineStr">
        <is>
          <t>general</t>
        </is>
      </c>
      <c r="O1901" t="inlineStr">
        <is>
          <t>https://www.disco.com.ar/shampoo-pantene-pro-v-control-caida-750-ml/p</t>
        </is>
      </c>
    </row>
    <row r="1902">
      <c r="A1902" s="10" t="inlineStr">
        <is>
          <t>Disco</t>
        </is>
      </c>
      <c r="B1902" s="10" t="n">
        <v>7324</v>
      </c>
      <c r="C1902" s="10" t="n">
        <v>4658</v>
      </c>
      <c r="D1902" s="10" t="inlineStr">
        <is>
          <t>Shampoo Pantene Pro-v Control Caída 200 Ml</t>
        </is>
      </c>
      <c r="E1902" s="10" t="inlineStr">
        <is>
          <t>PANTENE</t>
        </is>
      </c>
      <c r="F1902" s="10" t="n">
        <v>173.39</v>
      </c>
      <c r="G1902" s="10" t="n">
        <v>14330</v>
      </c>
      <c r="H1902" s="10" t="b">
        <v>0</v>
      </c>
      <c r="I1902" s="10" t="n">
        <v>200</v>
      </c>
      <c r="J1902" s="10" t="n">
        <v>0.8669</v>
      </c>
      <c r="K1902" s="10" t="inlineStr">
        <is>
          <t>&gt; Perfumería &gt; Cuidado Capilar &gt; Shampoo &gt;</t>
        </is>
      </c>
      <c r="L1902" s="10" t="inlineStr">
        <is>
          <t>shampoo</t>
        </is>
      </c>
      <c r="M1902" s="10" t="inlineStr">
        <is>
          <t>profesional</t>
        </is>
      </c>
      <c r="N1902" s="10" t="inlineStr">
        <is>
          <t>general</t>
        </is>
      </c>
      <c r="O1902" s="10" t="inlineStr">
        <is>
          <t>https://www.disco.com.ar/shampoo-pantene-pro-v-control-caida-200-ml-2/p</t>
        </is>
      </c>
    </row>
    <row r="1903">
      <c r="A1903" t="inlineStr">
        <is>
          <t>Disco</t>
        </is>
      </c>
      <c r="B1903" t="n">
        <v>7321</v>
      </c>
      <c r="C1903" t="n">
        <v>4655</v>
      </c>
      <c r="D1903" t="inlineStr">
        <is>
          <t>Shampoo Pantene Pro-v Hidratación Extrema 750 Ml</t>
        </is>
      </c>
      <c r="E1903" t="inlineStr">
        <is>
          <t>PANTENE</t>
        </is>
      </c>
      <c r="F1903" t="n">
        <v>494.89</v>
      </c>
      <c r="G1903" t="n">
        <v>40900</v>
      </c>
      <c r="H1903" t="b">
        <v>0</v>
      </c>
      <c r="I1903" t="n">
        <v>750</v>
      </c>
      <c r="J1903" t="n">
        <v>0.6599</v>
      </c>
      <c r="K1903" t="inlineStr">
        <is>
          <t>&gt; Perfumería &gt; Cuidado Capilar &gt; Shampoo &gt;</t>
        </is>
      </c>
      <c r="L1903" t="inlineStr">
        <is>
          <t>shampoo</t>
        </is>
      </c>
      <c r="M1903" t="inlineStr">
        <is>
          <t>profesional</t>
        </is>
      </c>
      <c r="N1903" t="inlineStr">
        <is>
          <t>seco_danado</t>
        </is>
      </c>
      <c r="O1903" t="inlineStr">
        <is>
          <t>https://www.disco.com.ar/shampoo-pantene-pro-v-hidratacion-extrema-750-ml/p</t>
        </is>
      </c>
    </row>
    <row r="1904">
      <c r="A1904" s="10" t="inlineStr">
        <is>
          <t>Disco</t>
        </is>
      </c>
      <c r="B1904" s="10" t="n">
        <v>3432</v>
      </c>
      <c r="C1904" s="10" t="n">
        <v>248499</v>
      </c>
      <c r="D1904" s="10" t="inlineStr">
        <is>
          <t>Crema Para Peinar Pantene Pro-v Anti-frizz Hidratación Extrema 300 Ml</t>
        </is>
      </c>
      <c r="E1904" s="10" t="inlineStr">
        <is>
          <t>PANTENE</t>
        </is>
      </c>
      <c r="F1904" s="10" t="n">
        <v>827.95</v>
      </c>
      <c r="G1904" s="10" t="n">
        <v>68426</v>
      </c>
      <c r="H1904" s="10" t="b">
        <v>0</v>
      </c>
      <c r="I1904" s="10" t="n">
        <v>300</v>
      </c>
      <c r="J1904" s="10" t="n">
        <v>2.7598</v>
      </c>
      <c r="K1904" s="10" t="inlineStr">
        <is>
          <t>&gt; Perfumería &gt; Cuidado Capilar &gt; Reparación y Tratamientos &gt;</t>
        </is>
      </c>
      <c r="L1904" s="10" t="inlineStr">
        <is>
          <t>shampoo</t>
        </is>
      </c>
      <c r="M1904" s="10" t="inlineStr">
        <is>
          <t>profesional</t>
        </is>
      </c>
      <c r="N1904" s="10" t="inlineStr">
        <is>
          <t>seco_danado</t>
        </is>
      </c>
      <c r="O1904" s="10" t="inlineStr">
        <is>
          <t>https://www.disco.com.ar/crema-para-peinar-pantene-pro-v-anti-frizz-hidratacion-extrema-300-ml/p</t>
        </is>
      </c>
    </row>
    <row r="1905">
      <c r="A1905" t="inlineStr">
        <is>
          <t>Disco</t>
        </is>
      </c>
      <c r="B1905" t="n">
        <v>3422</v>
      </c>
      <c r="C1905" t="n">
        <v>248495</v>
      </c>
      <c r="D1905" t="inlineStr">
        <is>
          <t>Acondicionador Pantene Pro-v Hidrocauterizacion 750 Ml</t>
        </is>
      </c>
      <c r="E1905" t="inlineStr">
        <is>
          <t>PANTENE</t>
        </is>
      </c>
      <c r="F1905" t="n">
        <v>284.77</v>
      </c>
      <c r="G1905" t="n">
        <v>23535</v>
      </c>
      <c r="H1905" t="b">
        <v>0</v>
      </c>
      <c r="I1905" t="n">
        <v>750</v>
      </c>
      <c r="J1905" t="n">
        <v>0.3797</v>
      </c>
      <c r="K1905" t="inlineStr">
        <is>
          <t>&gt; Perfumería &gt; Cuidado Capilar &gt; Acondicionador &gt;</t>
        </is>
      </c>
      <c r="L1905" t="inlineStr">
        <is>
          <t>acondicionador</t>
        </is>
      </c>
      <c r="M1905" t="inlineStr">
        <is>
          <t>profesional</t>
        </is>
      </c>
      <c r="N1905" t="inlineStr">
        <is>
          <t>general</t>
        </is>
      </c>
      <c r="O1905" t="inlineStr">
        <is>
          <t>https://www.disco.com.ar/acondicionador-pantene-3/p</t>
        </is>
      </c>
    </row>
    <row r="1906">
      <c r="A1906" s="10" t="inlineStr">
        <is>
          <t>Disco</t>
        </is>
      </c>
      <c r="B1906" s="10" t="n">
        <v>52</v>
      </c>
      <c r="C1906" s="10" t="n">
        <v>148878</v>
      </c>
      <c r="D1906" s="10" t="inlineStr">
        <is>
          <t>Pantene Acondicionador Hidratación 750ml</t>
        </is>
      </c>
      <c r="E1906" s="10" t="inlineStr">
        <is>
          <t>PANTENE</t>
        </is>
      </c>
      <c r="F1906" s="10" t="n">
        <v>284.77</v>
      </c>
      <c r="G1906" s="10" t="n">
        <v>23535</v>
      </c>
      <c r="H1906" s="10" t="b">
        <v>0</v>
      </c>
      <c r="I1906" s="10" t="n">
        <v>750</v>
      </c>
      <c r="J1906" s="10" t="n">
        <v>0.3797</v>
      </c>
      <c r="K1906" s="10" t="inlineStr">
        <is>
          <t>&gt; Perfumería &gt; Cuidado Capilar &gt; Acondicionador &gt;</t>
        </is>
      </c>
      <c r="L1906" s="10" t="inlineStr">
        <is>
          <t>acondicionador</t>
        </is>
      </c>
      <c r="M1906" s="10" t="inlineStr">
        <is>
          <t>estandar</t>
        </is>
      </c>
      <c r="N1906" s="10" t="inlineStr">
        <is>
          <t>seco_danado</t>
        </is>
      </c>
      <c r="O1906" s="10" t="inlineStr">
        <is>
          <t>https://www.disco.com.ar/acondicionador-pantene/p</t>
        </is>
      </c>
    </row>
    <row r="1907">
      <c r="A1907" t="inlineStr">
        <is>
          <t>Disco</t>
        </is>
      </c>
      <c r="B1907" t="n">
        <v>3066241</v>
      </c>
      <c r="C1907" t="n">
        <v>3066157</v>
      </c>
      <c r="D1907" t="inlineStr">
        <is>
          <t>Crema Peinar Luminous Uv X 300 Ml Sedal</t>
        </is>
      </c>
      <c r="E1907" t="inlineStr">
        <is>
          <t>SEDAL</t>
        </is>
      </c>
      <c r="F1907" t="n">
        <v>6300</v>
      </c>
      <c r="G1907" t="n">
        <v>520661</v>
      </c>
      <c r="H1907" t="b">
        <v>1</v>
      </c>
      <c r="I1907" t="n">
        <v>300</v>
      </c>
      <c r="J1907" t="n">
        <v>21</v>
      </c>
      <c r="K1907" t="inlineStr">
        <is>
          <t>&gt; Perfumería &gt; Cuidado Capilar &gt; Reparación y Tratamientos &gt;</t>
        </is>
      </c>
      <c r="L1907" t="inlineStr">
        <is>
          <t>shampoo</t>
        </is>
      </c>
      <c r="M1907" t="inlineStr">
        <is>
          <t>estandar</t>
        </is>
      </c>
      <c r="N1907" t="inlineStr">
        <is>
          <t>general</t>
        </is>
      </c>
      <c r="O1907" t="inlineStr">
        <is>
          <t>https://www.disco.com.ar/crema-peinar-luminous-uv-x-300-ml-sedal-2/p</t>
        </is>
      </c>
    </row>
    <row r="1908">
      <c r="A1908" s="10" t="inlineStr">
        <is>
          <t>Disco</t>
        </is>
      </c>
      <c r="B1908" s="10" t="n">
        <v>411276</v>
      </c>
      <c r="C1908" s="10" t="n">
        <v>407116</v>
      </c>
      <c r="D1908" s="10" t="inlineStr">
        <is>
          <t>Crema para Peinar Rizos Definidos 300 Ml Sedal</t>
        </is>
      </c>
      <c r="E1908" s="10" t="inlineStr">
        <is>
          <t>SEDAL</t>
        </is>
      </c>
      <c r="F1908" s="10" t="n">
        <v>6300</v>
      </c>
      <c r="G1908" s="10" t="n">
        <v>520661</v>
      </c>
      <c r="H1908" s="10" t="b">
        <v>1</v>
      </c>
      <c r="I1908" s="10" t="n">
        <v>300</v>
      </c>
      <c r="J1908" s="10" t="n">
        <v>21</v>
      </c>
      <c r="K1908" s="10" t="inlineStr">
        <is>
          <t>&gt; Perfumería &gt; Cuidado Capilar &gt; Reparación y Tratamientos &gt;</t>
        </is>
      </c>
      <c r="L1908" s="10" t="inlineStr">
        <is>
          <t>shampoo</t>
        </is>
      </c>
      <c r="M1908" s="10" t="inlineStr">
        <is>
          <t>estandar</t>
        </is>
      </c>
      <c r="N1908" s="10" t="inlineStr">
        <is>
          <t>rizado</t>
        </is>
      </c>
      <c r="O1908" s="10" t="inlineStr">
        <is>
          <t>https://www.disco.com.ar/crema-de-peinar-sedal-rizos-definidos-300-ml/p</t>
        </is>
      </c>
    </row>
    <row r="1909">
      <c r="A1909" t="inlineStr">
        <is>
          <t>Disco</t>
        </is>
      </c>
      <c r="B1909" t="n">
        <v>3066237</v>
      </c>
      <c r="C1909" t="n">
        <v>3066153</v>
      </c>
      <c r="D1909" t="inlineStr">
        <is>
          <t>Máscara De Tratamiento Luminous Uv 300 Grs Sedal</t>
        </is>
      </c>
      <c r="E1909" t="inlineStr">
        <is>
          <t>SEDAL</t>
        </is>
      </c>
      <c r="F1909" t="n">
        <v>6350</v>
      </c>
      <c r="G1909" t="n">
        <v>524793</v>
      </c>
      <c r="H1909" t="b">
        <v>1</v>
      </c>
      <c r="I1909" t="inlineStr"/>
      <c r="J1909" t="inlineStr"/>
      <c r="K1909" t="inlineStr">
        <is>
          <t>&gt; Perfumería &gt; Cuidado Capilar &gt; Reparación y Tratamientos &gt;</t>
        </is>
      </c>
      <c r="L1909" t="inlineStr">
        <is>
          <t>tratamiento</t>
        </is>
      </c>
      <c r="M1909" t="inlineStr">
        <is>
          <t>estandar</t>
        </is>
      </c>
      <c r="N1909" t="inlineStr">
        <is>
          <t>general</t>
        </is>
      </c>
      <c r="O1909" t="inlineStr">
        <is>
          <t>https://www.disco.com.ar/mascara-de-tratamiento-luminous-uv-300-grs-sedal-2/p</t>
        </is>
      </c>
    </row>
    <row r="1910">
      <c r="A1910" s="10" t="inlineStr">
        <is>
          <t>Disco</t>
        </is>
      </c>
      <c r="B1910" s="10" t="n">
        <v>411277</v>
      </c>
      <c r="C1910" s="10" t="n">
        <v>407117</v>
      </c>
      <c r="D1910" s="10" t="inlineStr">
        <is>
          <t>Crema De Peinar Sedal Hialurónico Y Vitamina A 300 Ml</t>
        </is>
      </c>
      <c r="E1910" s="10" t="inlineStr">
        <is>
          <t>SEDAL</t>
        </is>
      </c>
      <c r="F1910" s="10" t="n">
        <v>6300</v>
      </c>
      <c r="G1910" s="10" t="n">
        <v>520661</v>
      </c>
      <c r="H1910" s="10" t="b">
        <v>1</v>
      </c>
      <c r="I1910" s="10" t="n">
        <v>300</v>
      </c>
      <c r="J1910" s="10" t="n">
        <v>21</v>
      </c>
      <c r="K1910" s="10" t="inlineStr">
        <is>
          <t>&gt; Perfumería &gt; Cuidado Capilar &gt; Reparación y Tratamientos &gt;</t>
        </is>
      </c>
      <c r="L1910" s="10" t="inlineStr">
        <is>
          <t>shampoo</t>
        </is>
      </c>
      <c r="M1910" s="10" t="inlineStr">
        <is>
          <t>estandar</t>
        </is>
      </c>
      <c r="N1910" s="10" t="inlineStr">
        <is>
          <t>general</t>
        </is>
      </c>
      <c r="O1910" s="10" t="inlineStr">
        <is>
          <t>https://www.disco.com.ar/crema-de-peinar-sedal-hialuronico-y-vitamina-a-300-ml-2/p</t>
        </is>
      </c>
    </row>
    <row r="1911">
      <c r="A1911" t="inlineStr">
        <is>
          <t>Disco</t>
        </is>
      </c>
      <c r="B1911" t="n">
        <v>411275</v>
      </c>
      <c r="C1911" t="n">
        <v>407115</v>
      </c>
      <c r="D1911" t="inlineStr">
        <is>
          <t>Crema para Peinar Lisos Perfectos 300 Ml Sedal</t>
        </is>
      </c>
      <c r="E1911" t="inlineStr">
        <is>
          <t>SEDAL</t>
        </is>
      </c>
      <c r="F1911" t="n">
        <v>5950</v>
      </c>
      <c r="G1911" t="n">
        <v>491736</v>
      </c>
      <c r="H1911" t="b">
        <v>1</v>
      </c>
      <c r="I1911" t="n">
        <v>300</v>
      </c>
      <c r="J1911" t="n">
        <v>19.8333</v>
      </c>
      <c r="K1911" t="inlineStr">
        <is>
          <t>&gt; Perfumería &gt; Cuidado Capilar &gt; Reparación y Tratamientos &gt;</t>
        </is>
      </c>
      <c r="L1911" t="inlineStr">
        <is>
          <t>shampoo</t>
        </is>
      </c>
      <c r="M1911" t="inlineStr">
        <is>
          <t>estandar</t>
        </is>
      </c>
      <c r="N1911" t="inlineStr">
        <is>
          <t>general</t>
        </is>
      </c>
      <c r="O1911" t="inlineStr">
        <is>
          <t>https://www.disco.com.ar/crema-para-peinar-sedal-lisos-perfectos-300-ml-2/p</t>
        </is>
      </c>
    </row>
    <row r="1912">
      <c r="A1912" s="10" t="inlineStr">
        <is>
          <t>Disco</t>
        </is>
      </c>
      <c r="B1912" s="10" t="n">
        <v>3075201</v>
      </c>
      <c r="C1912" s="10" t="n">
        <v>3074666</v>
      </c>
      <c r="D1912" s="10" t="inlineStr">
        <is>
          <t>Mascarilla Capilar Toque de Seda 300 Grs Sedal</t>
        </is>
      </c>
      <c r="E1912" s="10" t="inlineStr">
        <is>
          <t>SEDAL</t>
        </is>
      </c>
      <c r="F1912" s="10" t="n">
        <v>6350</v>
      </c>
      <c r="G1912" s="10" t="n">
        <v>524793</v>
      </c>
      <c r="H1912" s="10" t="b">
        <v>1</v>
      </c>
      <c r="I1912" s="10" t="inlineStr"/>
      <c r="J1912" s="10" t="inlineStr"/>
      <c r="K1912" s="10" t="inlineStr">
        <is>
          <t>&gt; Perfumería &gt; Cuidado Capilar &gt; Reparación y Tratamientos &gt;</t>
        </is>
      </c>
      <c r="L1912" s="10" t="inlineStr">
        <is>
          <t>tratamiento</t>
        </is>
      </c>
      <c r="M1912" s="10" t="inlineStr">
        <is>
          <t>estandar</t>
        </is>
      </c>
      <c r="N1912" s="10" t="inlineStr">
        <is>
          <t>general</t>
        </is>
      </c>
      <c r="O1912" s="10" t="inlineStr">
        <is>
          <t>https://www.disco.com.ar/mascarilla-capilar-toque-de-seda-x-300-grs-sedal/p</t>
        </is>
      </c>
    </row>
    <row r="1913">
      <c r="A1913" t="inlineStr">
        <is>
          <t>Disco</t>
        </is>
      </c>
      <c r="B1913" t="n">
        <v>411272</v>
      </c>
      <c r="C1913" t="n">
        <v>407112</v>
      </c>
      <c r="D1913" t="inlineStr">
        <is>
          <t>Crema Para Peinar Sedal Ceramidas 300ml</t>
        </is>
      </c>
      <c r="E1913" t="inlineStr">
        <is>
          <t>SEDAL</t>
        </is>
      </c>
      <c r="F1913" t="n">
        <v>6300</v>
      </c>
      <c r="G1913" t="n">
        <v>520661</v>
      </c>
      <c r="H1913" t="b">
        <v>1</v>
      </c>
      <c r="I1913" t="n">
        <v>300</v>
      </c>
      <c r="J1913" t="n">
        <v>21</v>
      </c>
      <c r="K1913" t="inlineStr">
        <is>
          <t>&gt; Perfumería &gt; Cuidado Capilar &gt; Reparación y Tratamientos &gt;</t>
        </is>
      </c>
      <c r="L1913" t="inlineStr">
        <is>
          <t>shampoo</t>
        </is>
      </c>
      <c r="M1913" t="inlineStr">
        <is>
          <t>estandar</t>
        </is>
      </c>
      <c r="N1913" t="inlineStr">
        <is>
          <t>general</t>
        </is>
      </c>
      <c r="O1913" t="inlineStr">
        <is>
          <t>https://www.disco.com.ar/crema-para-peinar-sedal-ceramidas-300ml/p</t>
        </is>
      </c>
    </row>
    <row r="1914">
      <c r="A1914" s="10" t="inlineStr">
        <is>
          <t>Disco</t>
        </is>
      </c>
      <c r="B1914" s="10" t="n">
        <v>3078388</v>
      </c>
      <c r="C1914" s="10" t="n">
        <v>3077732</v>
      </c>
      <c r="D1914" s="10" t="inlineStr">
        <is>
          <t>Shampoo Luminous Uv X 300 Ml Sedal</t>
        </is>
      </c>
      <c r="E1914" s="10" t="inlineStr">
        <is>
          <t>SEDAL</t>
        </is>
      </c>
      <c r="F1914" s="10" t="n">
        <v>3800</v>
      </c>
      <c r="G1914" s="10" t="n">
        <v>314050</v>
      </c>
      <c r="H1914" s="10" t="b">
        <v>0</v>
      </c>
      <c r="I1914" s="10" t="n">
        <v>300</v>
      </c>
      <c r="J1914" s="10" t="n">
        <v>12.6667</v>
      </c>
      <c r="K1914" s="10" t="inlineStr">
        <is>
          <t>&gt; Perfumería &gt; Cuidado Capilar &gt; Shampoo &gt;</t>
        </is>
      </c>
      <c r="L1914" s="10" t="inlineStr">
        <is>
          <t>shampoo</t>
        </is>
      </c>
      <c r="M1914" s="10" t="inlineStr">
        <is>
          <t>estandar</t>
        </is>
      </c>
      <c r="N1914" s="10" t="inlineStr">
        <is>
          <t>general</t>
        </is>
      </c>
      <c r="O1914" s="10" t="inlineStr">
        <is>
          <t>https://www.disco.com.ar/shampoo-luminous-uv-x-300-ml-sedal/p</t>
        </is>
      </c>
    </row>
    <row r="1915">
      <c r="A1915" t="inlineStr">
        <is>
          <t>Disco</t>
        </is>
      </c>
      <c r="B1915" t="n">
        <v>3077069</v>
      </c>
      <c r="C1915" t="n">
        <v>3076419</v>
      </c>
      <c r="D1915" t="inlineStr">
        <is>
          <t>Serum Óleo Toque de Seda 60 Ml Sedal</t>
        </is>
      </c>
      <c r="E1915" t="inlineStr">
        <is>
          <t>SEDAL</t>
        </is>
      </c>
      <c r="F1915" t="n">
        <v>9300</v>
      </c>
      <c r="G1915" t="n">
        <v>768595</v>
      </c>
      <c r="H1915" t="b">
        <v>0</v>
      </c>
      <c r="I1915" t="n">
        <v>60</v>
      </c>
      <c r="J1915" t="n">
        <v>155</v>
      </c>
      <c r="K1915" t="inlineStr">
        <is>
          <t>&gt; Perfumería &gt; Cuidado Capilar &gt; Reparación y Tratamientos &gt;</t>
        </is>
      </c>
      <c r="L1915" t="inlineStr">
        <is>
          <t>shampoo</t>
        </is>
      </c>
      <c r="M1915" t="inlineStr">
        <is>
          <t>estandar</t>
        </is>
      </c>
      <c r="N1915" t="inlineStr">
        <is>
          <t>general</t>
        </is>
      </c>
      <c r="O1915" t="inlineStr">
        <is>
          <t>https://www.disco.com.ar/serum-sedal-oleo-toque-de-seda-x-60-ml-seda/p</t>
        </is>
      </c>
    </row>
    <row r="1916">
      <c r="A1916" s="10" t="inlineStr">
        <is>
          <t>Disco</t>
        </is>
      </c>
      <c r="B1916" s="10" t="n">
        <v>3077068</v>
      </c>
      <c r="C1916" s="10" t="n">
        <v>3076418</v>
      </c>
      <c r="D1916" s="10" t="inlineStr">
        <is>
          <t>Sérum Capilar Toque de Seda 100 Ml Sedal</t>
        </is>
      </c>
      <c r="E1916" s="10" t="inlineStr">
        <is>
          <t>SEDAL</t>
        </is>
      </c>
      <c r="F1916" s="10" t="n">
        <v>10400</v>
      </c>
      <c r="G1916" s="10" t="n">
        <v>859504</v>
      </c>
      <c r="H1916" s="10" t="b">
        <v>0</v>
      </c>
      <c r="I1916" s="10" t="n">
        <v>100</v>
      </c>
      <c r="J1916" s="10" t="n">
        <v>104</v>
      </c>
      <c r="K1916" s="10" t="inlineStr">
        <is>
          <t>&gt; Perfumería &gt; Cuidado Capilar &gt; Reparación y Tratamientos &gt;</t>
        </is>
      </c>
      <c r="L1916" s="10" t="inlineStr">
        <is>
          <t>shampoo</t>
        </is>
      </c>
      <c r="M1916" s="10" t="inlineStr">
        <is>
          <t>estandar</t>
        </is>
      </c>
      <c r="N1916" s="10" t="inlineStr">
        <is>
          <t>general</t>
        </is>
      </c>
      <c r="O1916" s="10" t="inlineStr">
        <is>
          <t>https://www.disco.com.ar/serum-sedal-oleo-toque-de-seda-x-100-ml-seda/p</t>
        </is>
      </c>
    </row>
    <row r="1917">
      <c r="A1917" t="inlineStr">
        <is>
          <t>Disco</t>
        </is>
      </c>
      <c r="B1917" t="n">
        <v>3075200</v>
      </c>
      <c r="C1917" t="n">
        <v>3074665</v>
      </c>
      <c r="D1917" t="inlineStr">
        <is>
          <t>Acondicionador Luminous Uv X 300 Ml Sedal</t>
        </is>
      </c>
      <c r="E1917" t="inlineStr">
        <is>
          <t>SEDAL</t>
        </is>
      </c>
      <c r="F1917" t="n">
        <v>3600</v>
      </c>
      <c r="G1917" t="n">
        <v>297521</v>
      </c>
      <c r="H1917" t="b">
        <v>0</v>
      </c>
      <c r="I1917" t="n">
        <v>300</v>
      </c>
      <c r="J1917" t="n">
        <v>12</v>
      </c>
      <c r="K1917" t="inlineStr">
        <is>
          <t>&gt; Perfumería &gt; Cuidado Capilar &gt; Acondicionador &gt;</t>
        </is>
      </c>
      <c r="L1917" t="inlineStr">
        <is>
          <t>acondicionador</t>
        </is>
      </c>
      <c r="M1917" t="inlineStr">
        <is>
          <t>estandar</t>
        </is>
      </c>
      <c r="N1917" t="inlineStr">
        <is>
          <t>general</t>
        </is>
      </c>
      <c r="O1917" t="inlineStr">
        <is>
          <t>https://www.disco.com.ar/acondicionador-luminous-uv-x-300-ml-sedal/p</t>
        </is>
      </c>
    </row>
    <row r="1918">
      <c r="A1918" s="10" t="inlineStr">
        <is>
          <t>Disco</t>
        </is>
      </c>
      <c r="B1918" s="10" t="n">
        <v>3067579</v>
      </c>
      <c r="C1918" s="10" t="n">
        <v>3067443</v>
      </c>
      <c r="D1918" s="10" t="inlineStr">
        <is>
          <t>Sérum Capilar Luminous Uv 110 Ml Sedal</t>
        </is>
      </c>
      <c r="E1918" s="10" t="inlineStr">
        <is>
          <t>SEDAL</t>
        </is>
      </c>
      <c r="F1918" s="10" t="n">
        <v>10400</v>
      </c>
      <c r="G1918" s="10" t="n">
        <v>859504</v>
      </c>
      <c r="H1918" s="10" t="b">
        <v>0</v>
      </c>
      <c r="I1918" s="10" t="n">
        <v>110</v>
      </c>
      <c r="J1918" s="10" t="n">
        <v>94.5455</v>
      </c>
      <c r="K1918" s="10" t="inlineStr">
        <is>
          <t>&gt; Perfumería &gt; Cuidado Capilar &gt; Reparación y Tratamientos &gt;</t>
        </is>
      </c>
      <c r="L1918" s="10" t="inlineStr">
        <is>
          <t>shampoo</t>
        </is>
      </c>
      <c r="M1918" s="10" t="inlineStr">
        <is>
          <t>estandar</t>
        </is>
      </c>
      <c r="N1918" s="10" t="inlineStr">
        <is>
          <t>general</t>
        </is>
      </c>
      <c r="O1918" s="10" t="inlineStr">
        <is>
          <t>https://www.disco.com.ar/serum-capilar-luminous-uv-110-ml-sedal/p</t>
        </is>
      </c>
    </row>
    <row r="1919">
      <c r="A1919" t="inlineStr">
        <is>
          <t>Disco</t>
        </is>
      </c>
      <c r="B1919" t="n">
        <v>3065109</v>
      </c>
      <c r="C1919" t="n">
        <v>3065108</v>
      </c>
      <c r="D1919" t="inlineStr">
        <is>
          <t>Mascarilla Tratamiento Ceramidas 300 Grs Sedal</t>
        </is>
      </c>
      <c r="E1919" t="inlineStr">
        <is>
          <t>SEDAL</t>
        </is>
      </c>
      <c r="F1919" t="n">
        <v>5750</v>
      </c>
      <c r="G1919" t="n">
        <v>475207</v>
      </c>
      <c r="H1919" t="b">
        <v>0</v>
      </c>
      <c r="I1919" t="inlineStr"/>
      <c r="J1919" t="inlineStr"/>
      <c r="K1919" t="inlineStr">
        <is>
          <t>&gt; Perfumería &gt; Cuidado Capilar &gt; Reparación y Tratamientos &gt;</t>
        </is>
      </c>
      <c r="L1919" t="inlineStr">
        <is>
          <t>tratamiento</t>
        </is>
      </c>
      <c r="M1919" t="inlineStr">
        <is>
          <t>estandar</t>
        </is>
      </c>
      <c r="N1919" t="inlineStr">
        <is>
          <t>general</t>
        </is>
      </c>
      <c r="O1919" t="inlineStr">
        <is>
          <t>https://www.disco.com.ar/mascara-tratamiento-ceramidas-x-300-gr-sedal-2/p</t>
        </is>
      </c>
    </row>
    <row r="1920">
      <c r="A1920" s="10" t="inlineStr">
        <is>
          <t>Disco</t>
        </is>
      </c>
      <c r="B1920" s="10" t="n">
        <v>1372397</v>
      </c>
      <c r="C1920" s="10" t="n">
        <v>1370411</v>
      </c>
      <c r="D1920" s="10" t="inlineStr">
        <is>
          <t>Máscara de Tratamiento Rizos Definidos 300 Grs Sedal</t>
        </is>
      </c>
      <c r="E1920" s="10" t="inlineStr">
        <is>
          <t>SEDAL</t>
        </is>
      </c>
      <c r="F1920" s="10" t="n">
        <v>5450</v>
      </c>
      <c r="G1920" s="10" t="n">
        <v>450413</v>
      </c>
      <c r="H1920" s="10" t="b">
        <v>0</v>
      </c>
      <c r="I1920" s="10" t="inlineStr"/>
      <c r="J1920" s="10" t="inlineStr"/>
      <c r="K1920" s="10" t="inlineStr">
        <is>
          <t>&gt; Perfumería &gt; Cuidado Capilar &gt; Reparación y Tratamientos &gt;</t>
        </is>
      </c>
      <c r="L1920" s="10" t="inlineStr">
        <is>
          <t>tratamiento</t>
        </is>
      </c>
      <c r="M1920" s="10" t="inlineStr">
        <is>
          <t>estandar</t>
        </is>
      </c>
      <c r="N1920" s="10" t="inlineStr">
        <is>
          <t>rizado</t>
        </is>
      </c>
      <c r="O1920" s="10" t="inlineStr">
        <is>
          <t>https://www.disco.com.ar/mascara-de-tratamiento-rizos-definidos-x-300-gr-sedal-2/p</t>
        </is>
      </c>
    </row>
    <row r="1921">
      <c r="A1921" t="inlineStr">
        <is>
          <t>Disco</t>
        </is>
      </c>
      <c r="B1921" t="n">
        <v>421911</v>
      </c>
      <c r="C1921" t="n">
        <v>407093</v>
      </c>
      <c r="D1921" t="inlineStr">
        <is>
          <t>Shampoo Prebioticos Biotina 650 Ml Sedal</t>
        </is>
      </c>
      <c r="E1921" t="inlineStr">
        <is>
          <t>SEDAL</t>
        </is>
      </c>
      <c r="F1921" t="n">
        <v>8650</v>
      </c>
      <c r="G1921" t="n">
        <v>714876</v>
      </c>
      <c r="H1921" t="b">
        <v>0</v>
      </c>
      <c r="I1921" t="n">
        <v>650</v>
      </c>
      <c r="J1921" t="n">
        <v>13.3077</v>
      </c>
      <c r="K1921" t="inlineStr">
        <is>
          <t>&gt; Perfumería &gt; Cuidado Capilar &gt; Shampoo &gt;</t>
        </is>
      </c>
      <c r="L1921" t="inlineStr">
        <is>
          <t>shampoo</t>
        </is>
      </c>
      <c r="M1921" t="inlineStr">
        <is>
          <t>estandar</t>
        </is>
      </c>
      <c r="N1921" t="inlineStr">
        <is>
          <t>general</t>
        </is>
      </c>
      <c r="O1921" t="inlineStr">
        <is>
          <t>https://www.disco.com.ar/shampoo-prebioticos-biotina-650-ml-sedal/p</t>
        </is>
      </c>
    </row>
    <row r="1922">
      <c r="A1922" s="10" t="inlineStr">
        <is>
          <t>Disco</t>
        </is>
      </c>
      <c r="B1922" s="10" t="n">
        <v>414510</v>
      </c>
      <c r="C1922" s="10" t="n">
        <v>410233</v>
      </c>
      <c r="D1922" s="10" t="inlineStr">
        <is>
          <t>Shampoo Prebióticos + Biotina 190 Ml Sedal</t>
        </is>
      </c>
      <c r="E1922" s="10" t="inlineStr">
        <is>
          <t>SEDAL</t>
        </is>
      </c>
      <c r="F1922" s="10" t="n">
        <v>3600</v>
      </c>
      <c r="G1922" s="10" t="n">
        <v>297521</v>
      </c>
      <c r="H1922" s="10" t="b">
        <v>0</v>
      </c>
      <c r="I1922" s="10" t="n">
        <v>190</v>
      </c>
      <c r="J1922" s="10" t="n">
        <v>18.9474</v>
      </c>
      <c r="K1922" s="10" t="inlineStr">
        <is>
          <t>&gt; Perfumería &gt; Cuidado Capilar &gt; Shampoo &gt;</t>
        </is>
      </c>
      <c r="L1922" s="10" t="inlineStr">
        <is>
          <t>shampoo</t>
        </is>
      </c>
      <c r="M1922" s="10" t="inlineStr">
        <is>
          <t>estandar</t>
        </is>
      </c>
      <c r="N1922" s="10" t="inlineStr">
        <is>
          <t>general</t>
        </is>
      </c>
      <c r="O1922" s="10" t="inlineStr">
        <is>
          <t>https://www.disco.com.ar/shampoo-prebioticos-biotina-190-ml-sedal/p</t>
        </is>
      </c>
    </row>
    <row r="1923">
      <c r="A1923" t="inlineStr">
        <is>
          <t>Disco</t>
        </is>
      </c>
      <c r="B1923" t="n">
        <v>414509</v>
      </c>
      <c r="C1923" t="n">
        <v>410232</v>
      </c>
      <c r="D1923" t="inlineStr">
        <is>
          <t>Acondicionador Prebióticos + Biotina 190 Ml Sedal</t>
        </is>
      </c>
      <c r="E1923" t="inlineStr">
        <is>
          <t>SEDAL</t>
        </is>
      </c>
      <c r="F1923" t="n">
        <v>3600</v>
      </c>
      <c r="G1923" t="n">
        <v>297521</v>
      </c>
      <c r="H1923" t="b">
        <v>0</v>
      </c>
      <c r="I1923" t="n">
        <v>190</v>
      </c>
      <c r="J1923" t="n">
        <v>18.9474</v>
      </c>
      <c r="K1923" t="inlineStr">
        <is>
          <t>&gt; Perfumería &gt; Cuidado Capilar &gt; Acondicionador &gt;</t>
        </is>
      </c>
      <c r="L1923" t="inlineStr">
        <is>
          <t>acondicionador</t>
        </is>
      </c>
      <c r="M1923" t="inlineStr">
        <is>
          <t>estandar</t>
        </is>
      </c>
      <c r="N1923" t="inlineStr">
        <is>
          <t>general</t>
        </is>
      </c>
      <c r="O1923" t="inlineStr">
        <is>
          <t>https://www.disco.com.ar/acondicionador-prebioticos-biotina-190-ml-sedal/p</t>
        </is>
      </c>
    </row>
    <row r="1924">
      <c r="A1924" s="10" t="inlineStr">
        <is>
          <t>Disco</t>
        </is>
      </c>
      <c r="B1924" s="10" t="n">
        <v>411278</v>
      </c>
      <c r="C1924" s="10" t="n">
        <v>407118</v>
      </c>
      <c r="D1924" s="10" t="inlineStr">
        <is>
          <t>Crema Para Peinar Sedal Gengibre Y Risino 300 Ml</t>
        </is>
      </c>
      <c r="E1924" s="10" t="inlineStr">
        <is>
          <t>SEDAL</t>
        </is>
      </c>
      <c r="F1924" s="10" t="n">
        <v>4200</v>
      </c>
      <c r="G1924" s="10" t="n">
        <v>347107</v>
      </c>
      <c r="H1924" s="10" t="b">
        <v>0</v>
      </c>
      <c r="I1924" s="10" t="n">
        <v>300</v>
      </c>
      <c r="J1924" s="10" t="n">
        <v>14</v>
      </c>
      <c r="K1924" s="10" t="inlineStr">
        <is>
          <t>&gt; Perfumería &gt; Cuidado Capilar &gt; Reparación y Tratamientos &gt;</t>
        </is>
      </c>
      <c r="L1924" s="10" t="inlineStr">
        <is>
          <t>shampoo</t>
        </is>
      </c>
      <c r="M1924" s="10" t="inlineStr">
        <is>
          <t>estandar</t>
        </is>
      </c>
      <c r="N1924" s="10" t="inlineStr">
        <is>
          <t>general</t>
        </is>
      </c>
      <c r="O1924" s="10" t="inlineStr">
        <is>
          <t>https://www.disco.com.ar/crema-para-peinar-sedal-gengibre-y-risino-300-ml/p</t>
        </is>
      </c>
    </row>
    <row r="1925">
      <c r="A1925" t="inlineStr">
        <is>
          <t>Disco</t>
        </is>
      </c>
      <c r="B1925" t="n">
        <v>411258</v>
      </c>
      <c r="C1925" t="n">
        <v>407098</v>
      </c>
      <c r="D1925" t="inlineStr">
        <is>
          <t>Máscara De Tratamiento Sedal Hialurónico + Vitamina A 300 Gr</t>
        </is>
      </c>
      <c r="E1925" t="inlineStr">
        <is>
          <t>SEDAL</t>
        </is>
      </c>
      <c r="F1925" t="n">
        <v>5750</v>
      </c>
      <c r="G1925" t="n">
        <v>475207</v>
      </c>
      <c r="H1925" t="b">
        <v>0</v>
      </c>
      <c r="I1925" t="n">
        <v>300</v>
      </c>
      <c r="J1925" t="n">
        <v>19.1667</v>
      </c>
      <c r="K1925" t="inlineStr">
        <is>
          <t>&gt; Perfumería &gt; Cuidado Capilar &gt; Reparación y Tratamientos &gt;</t>
        </is>
      </c>
      <c r="L1925" t="inlineStr">
        <is>
          <t>tratamiento</t>
        </is>
      </c>
      <c r="M1925" t="inlineStr">
        <is>
          <t>estandar</t>
        </is>
      </c>
      <c r="N1925" t="inlineStr">
        <is>
          <t>general</t>
        </is>
      </c>
      <c r="O1925" t="inlineStr">
        <is>
          <t>https://www.disco.com.ar/mascara-de-tratamiento-sedal-hialuronico-vitamina-a-300-gr-2/p</t>
        </is>
      </c>
    </row>
    <row r="1926">
      <c r="A1926" s="10" t="inlineStr">
        <is>
          <t>Disco</t>
        </is>
      </c>
      <c r="B1926" s="10" t="n">
        <v>411257</v>
      </c>
      <c r="C1926" s="10" t="n">
        <v>407097</v>
      </c>
      <c r="D1926" s="10" t="inlineStr">
        <is>
          <t>Mascarilla Capilar Regeneración Colágeno y Vitamina C 300 Grs Sedal</t>
        </is>
      </c>
      <c r="E1926" s="10" t="inlineStr">
        <is>
          <t>SEDAL</t>
        </is>
      </c>
      <c r="F1926" s="10" t="n">
        <v>5750</v>
      </c>
      <c r="G1926" s="10" t="n">
        <v>475207</v>
      </c>
      <c r="H1926" s="10" t="b">
        <v>0</v>
      </c>
      <c r="I1926" s="10" t="inlineStr"/>
      <c r="J1926" s="10" t="inlineStr"/>
      <c r="K1926" s="10" t="inlineStr">
        <is>
          <t>&gt; Perfumería &gt; Cuidado Capilar &gt; Reparación y Tratamientos &gt;</t>
        </is>
      </c>
      <c r="L1926" s="10" t="inlineStr">
        <is>
          <t>tratamiento</t>
        </is>
      </c>
      <c r="M1926" s="10" t="inlineStr">
        <is>
          <t>estandar</t>
        </is>
      </c>
      <c r="N1926" s="10" t="inlineStr">
        <is>
          <t>general</t>
        </is>
      </c>
      <c r="O1926" s="10" t="inlineStr">
        <is>
          <t>https://www.disco.com.ar/mascara-de-tratamiento-sedal-colageno-y-vitamina-c-300-gr/p</t>
        </is>
      </c>
    </row>
    <row r="1927">
      <c r="A1927" t="inlineStr">
        <is>
          <t>Disco</t>
        </is>
      </c>
      <c r="B1927" t="n">
        <v>411256</v>
      </c>
      <c r="C1927" t="n">
        <v>407096</v>
      </c>
      <c r="D1927" t="inlineStr">
        <is>
          <t>Máscara De Tratamiento Sedal Prebioticos Biotina 300 Gr</t>
        </is>
      </c>
      <c r="E1927" t="inlineStr">
        <is>
          <t>SEDAL</t>
        </is>
      </c>
      <c r="F1927" t="n">
        <v>5150</v>
      </c>
      <c r="G1927" t="n">
        <v>425620</v>
      </c>
      <c r="H1927" t="b">
        <v>0</v>
      </c>
      <c r="I1927" t="n">
        <v>300</v>
      </c>
      <c r="J1927" t="n">
        <v>17.1667</v>
      </c>
      <c r="K1927" t="inlineStr">
        <is>
          <t>&gt; Perfumería &gt; Cuidado Capilar &gt; Reparación y Tratamientos &gt;</t>
        </is>
      </c>
      <c r="L1927" t="inlineStr">
        <is>
          <t>tratamiento</t>
        </is>
      </c>
      <c r="M1927" t="inlineStr">
        <is>
          <t>estandar</t>
        </is>
      </c>
      <c r="N1927" t="inlineStr">
        <is>
          <t>general</t>
        </is>
      </c>
      <c r="O1927" t="inlineStr">
        <is>
          <t>https://www.disco.com.ar/mascara-de-tratamiento-sedal-prebioticos-biotina-300-gr/p</t>
        </is>
      </c>
    </row>
    <row r="1928">
      <c r="A1928" s="10" t="inlineStr">
        <is>
          <t>Disco</t>
        </is>
      </c>
      <c r="B1928" s="10" t="n">
        <v>397928</v>
      </c>
      <c r="C1928" s="10" t="n">
        <v>395663</v>
      </c>
      <c r="D1928" s="10" t="inlineStr">
        <is>
          <t>Acondicionador Sedal Crema Balance 300ml</t>
        </is>
      </c>
      <c r="E1928" s="10" t="inlineStr">
        <is>
          <t>SEDAL</t>
        </is>
      </c>
      <c r="F1928" s="10" t="n">
        <v>3800</v>
      </c>
      <c r="G1928" s="10" t="n">
        <v>314050</v>
      </c>
      <c r="H1928" s="10" t="b">
        <v>0</v>
      </c>
      <c r="I1928" s="10" t="n">
        <v>300</v>
      </c>
      <c r="J1928" s="10" t="n">
        <v>12.6667</v>
      </c>
      <c r="K1928" s="10" t="inlineStr">
        <is>
          <t>&gt; Perfumería &gt; Cuidado Capilar &gt; Acondicionador &gt;</t>
        </is>
      </c>
      <c r="L1928" s="10" t="inlineStr">
        <is>
          <t>acondicionador</t>
        </is>
      </c>
      <c r="M1928" s="10" t="inlineStr">
        <is>
          <t>estandar</t>
        </is>
      </c>
      <c r="N1928" s="10" t="inlineStr">
        <is>
          <t>general</t>
        </is>
      </c>
      <c r="O1928" s="10" t="inlineStr">
        <is>
          <t>https://www.disco.com.ar/acondicionador-sedal-crema-balance-300ml-2/p</t>
        </is>
      </c>
    </row>
    <row r="1929">
      <c r="A1929" t="inlineStr">
        <is>
          <t>Disco</t>
        </is>
      </c>
      <c r="B1929" t="n">
        <v>397918</v>
      </c>
      <c r="C1929" t="n">
        <v>395653</v>
      </c>
      <c r="D1929" t="inlineStr">
        <is>
          <t>Acondicionador Jengibre Y Ricino 650 Ml Sedal</t>
        </is>
      </c>
      <c r="E1929" t="inlineStr">
        <is>
          <t>SEDAL</t>
        </is>
      </c>
      <c r="F1929" t="n">
        <v>6950</v>
      </c>
      <c r="G1929" t="n">
        <v>574380</v>
      </c>
      <c r="H1929" t="b">
        <v>0</v>
      </c>
      <c r="I1929" t="n">
        <v>650</v>
      </c>
      <c r="J1929" t="n">
        <v>10.6923</v>
      </c>
      <c r="K1929" t="inlineStr">
        <is>
          <t>&gt; Perfumería &gt; Cuidado Capilar &gt; Acondicionador &gt;</t>
        </is>
      </c>
      <c r="L1929" t="inlineStr">
        <is>
          <t>acondicionador</t>
        </is>
      </c>
      <c r="M1929" t="inlineStr">
        <is>
          <t>estandar</t>
        </is>
      </c>
      <c r="N1929" t="inlineStr">
        <is>
          <t>general</t>
        </is>
      </c>
      <c r="O1929" t="inlineStr">
        <is>
          <t>https://www.disco.com.ar/acondicionador-jengibre-y-ricino-650-ml-sedal/p</t>
        </is>
      </c>
    </row>
    <row r="1930">
      <c r="A1930" s="10" t="inlineStr">
        <is>
          <t>Disco</t>
        </is>
      </c>
      <c r="B1930" s="10" t="n">
        <v>397914</v>
      </c>
      <c r="C1930" s="10" t="n">
        <v>395649</v>
      </c>
      <c r="D1930" s="10" t="inlineStr">
        <is>
          <t>Acondicionador Hialuronico Y Vitamina A 190 Ml Sedal</t>
        </is>
      </c>
      <c r="E1930" s="10" t="inlineStr">
        <is>
          <t>SEDAL</t>
        </is>
      </c>
      <c r="F1930" s="10" t="n">
        <v>3600</v>
      </c>
      <c r="G1930" s="10" t="n">
        <v>297521</v>
      </c>
      <c r="H1930" s="10" t="b">
        <v>0</v>
      </c>
      <c r="I1930" s="10" t="n">
        <v>190</v>
      </c>
      <c r="J1930" s="10" t="n">
        <v>18.9474</v>
      </c>
      <c r="K1930" s="10" t="inlineStr">
        <is>
          <t>&gt; Perfumería &gt; Cuidado Capilar &gt; Acondicionador &gt;</t>
        </is>
      </c>
      <c r="L1930" s="10" t="inlineStr">
        <is>
          <t>acondicionador</t>
        </is>
      </c>
      <c r="M1930" s="10" t="inlineStr">
        <is>
          <t>estandar</t>
        </is>
      </c>
      <c r="N1930" s="10" t="inlineStr">
        <is>
          <t>general</t>
        </is>
      </c>
      <c r="O1930" s="10" t="inlineStr">
        <is>
          <t>https://www.disco.com.ar/acondicionador-hialuronico-y-vitamina-a-190-ml-sedal/p</t>
        </is>
      </c>
    </row>
    <row r="1931">
      <c r="A1931" t="inlineStr">
        <is>
          <t>Disco</t>
        </is>
      </c>
      <c r="B1931" t="n">
        <v>397913</v>
      </c>
      <c r="C1931" t="n">
        <v>395648</v>
      </c>
      <c r="D1931" t="inlineStr">
        <is>
          <t>Acondicionador Sedal Carbón Activado Y Peonias 340 Ml</t>
        </is>
      </c>
      <c r="E1931" t="inlineStr">
        <is>
          <t>SEDAL</t>
        </is>
      </c>
      <c r="F1931" t="n">
        <v>4600</v>
      </c>
      <c r="G1931" t="n">
        <v>380165</v>
      </c>
      <c r="H1931" t="b">
        <v>0</v>
      </c>
      <c r="I1931" t="n">
        <v>340</v>
      </c>
      <c r="J1931" t="n">
        <v>13.5294</v>
      </c>
      <c r="K1931" t="inlineStr">
        <is>
          <t>&gt; Perfumería &gt; Cuidado Capilar &gt; Acondicionador &gt;</t>
        </is>
      </c>
      <c r="L1931" t="inlineStr">
        <is>
          <t>acondicionador</t>
        </is>
      </c>
      <c r="M1931" t="inlineStr">
        <is>
          <t>estandar</t>
        </is>
      </c>
      <c r="N1931" t="inlineStr">
        <is>
          <t>general</t>
        </is>
      </c>
      <c r="O1931" t="inlineStr">
        <is>
          <t>https://www.disco.com.ar/acondicionador-sedal-carbon-activado-y-peonias-340-ml/p</t>
        </is>
      </c>
    </row>
    <row r="1932">
      <c r="A1932" s="10" t="inlineStr">
        <is>
          <t>Disco</t>
        </is>
      </c>
      <c r="B1932" s="10" t="n">
        <v>397912</v>
      </c>
      <c r="C1932" s="10" t="n">
        <v>395647</v>
      </c>
      <c r="D1932" s="10" t="inlineStr">
        <is>
          <t>Acondicionador Carbon Y Peonias 650 Ml Sedal</t>
        </is>
      </c>
      <c r="E1932" s="10" t="inlineStr">
        <is>
          <t>SEDAL</t>
        </is>
      </c>
      <c r="F1932" s="10" t="n">
        <v>7400</v>
      </c>
      <c r="G1932" s="10" t="n">
        <v>611570</v>
      </c>
      <c r="H1932" s="10" t="b">
        <v>0</v>
      </c>
      <c r="I1932" s="10" t="n">
        <v>650</v>
      </c>
      <c r="J1932" s="10" t="n">
        <v>11.3846</v>
      </c>
      <c r="K1932" s="10" t="inlineStr">
        <is>
          <t>&gt; Perfumería &gt; Cuidado Capilar &gt; Acondicionador &gt;</t>
        </is>
      </c>
      <c r="L1932" s="10" t="inlineStr">
        <is>
          <t>acondicionador</t>
        </is>
      </c>
      <c r="M1932" s="10" t="inlineStr">
        <is>
          <t>estandar</t>
        </is>
      </c>
      <c r="N1932" s="10" t="inlineStr">
        <is>
          <t>general</t>
        </is>
      </c>
      <c r="O1932" s="10" t="inlineStr">
        <is>
          <t>https://www.disco.com.ar/acondicionador-carbon-y-peonias-650-ml-sedal/p</t>
        </is>
      </c>
    </row>
    <row r="1933">
      <c r="A1933" t="inlineStr">
        <is>
          <t>Disco</t>
        </is>
      </c>
      <c r="B1933" t="n">
        <v>397910</v>
      </c>
      <c r="C1933" t="n">
        <v>395645</v>
      </c>
      <c r="D1933" t="inlineStr">
        <is>
          <t>Acondicionador Restauración Instantánea 190 Ml Sedal</t>
        </is>
      </c>
      <c r="E1933" t="inlineStr">
        <is>
          <t>SEDAL</t>
        </is>
      </c>
      <c r="F1933" t="n">
        <v>3600</v>
      </c>
      <c r="G1933" t="n">
        <v>297521</v>
      </c>
      <c r="H1933" t="b">
        <v>0</v>
      </c>
      <c r="I1933" t="n">
        <v>190</v>
      </c>
      <c r="J1933" t="n">
        <v>18.9474</v>
      </c>
      <c r="K1933" t="inlineStr">
        <is>
          <t>&gt; Perfumería &gt; Cuidado Capilar &gt; Acondicionador &gt;</t>
        </is>
      </c>
      <c r="L1933" t="inlineStr">
        <is>
          <t>acondicionador</t>
        </is>
      </c>
      <c r="M1933" t="inlineStr">
        <is>
          <t>estandar</t>
        </is>
      </c>
      <c r="N1933" t="inlineStr">
        <is>
          <t>general</t>
        </is>
      </c>
      <c r="O1933" t="inlineStr">
        <is>
          <t>https://www.disco.com.ar/acondicionador-restauracion-instantanea-190-ml-sedal/p</t>
        </is>
      </c>
    </row>
    <row r="1934">
      <c r="A1934" s="10" t="inlineStr">
        <is>
          <t>Disco</t>
        </is>
      </c>
      <c r="B1934" s="10" t="n">
        <v>397906</v>
      </c>
      <c r="C1934" s="10" t="n">
        <v>395641</v>
      </c>
      <c r="D1934" s="10" t="inlineStr">
        <is>
          <t>Acondicionador Brillo Ceramidas 300 Ml Sedal</t>
        </is>
      </c>
      <c r="E1934" s="10" t="inlineStr">
        <is>
          <t>SEDAL</t>
        </is>
      </c>
      <c r="F1934" s="10" t="n">
        <v>3800</v>
      </c>
      <c r="G1934" s="10" t="n">
        <v>314050</v>
      </c>
      <c r="H1934" s="10" t="b">
        <v>0</v>
      </c>
      <c r="I1934" s="10" t="n">
        <v>300</v>
      </c>
      <c r="J1934" s="10" t="n">
        <v>12.6667</v>
      </c>
      <c r="K1934" s="10" t="inlineStr">
        <is>
          <t>&gt; Perfumería &gt; Cuidado Capilar &gt; Acondicionador &gt;</t>
        </is>
      </c>
      <c r="L1934" s="10" t="inlineStr">
        <is>
          <t>acondicionador</t>
        </is>
      </c>
      <c r="M1934" s="10" t="inlineStr">
        <is>
          <t>estandar</t>
        </is>
      </c>
      <c r="N1934" s="10" t="inlineStr">
        <is>
          <t>general</t>
        </is>
      </c>
      <c r="O1934" s="10" t="inlineStr">
        <is>
          <t>https://www.disco.com.ar/acondicionador-sedal-ceramidas-300ml/p</t>
        </is>
      </c>
    </row>
    <row r="1935">
      <c r="A1935" t="inlineStr">
        <is>
          <t>Disco</t>
        </is>
      </c>
      <c r="B1935" t="n">
        <v>397904</v>
      </c>
      <c r="C1935" t="n">
        <v>395639</v>
      </c>
      <c r="D1935" t="inlineStr">
        <is>
          <t>Acondicionador Carbon Y Peonias 190 Ml Sedal</t>
        </is>
      </c>
      <c r="E1935" t="inlineStr">
        <is>
          <t>SEDAL</t>
        </is>
      </c>
      <c r="F1935" t="n">
        <v>3200</v>
      </c>
      <c r="G1935" t="n">
        <v>264463</v>
      </c>
      <c r="H1935" t="b">
        <v>0</v>
      </c>
      <c r="I1935" t="n">
        <v>190</v>
      </c>
      <c r="J1935" t="n">
        <v>16.8421</v>
      </c>
      <c r="K1935" t="inlineStr">
        <is>
          <t>&gt; Perfumería &gt; Cuidado Capilar &gt; Acondicionador &gt;</t>
        </is>
      </c>
      <c r="L1935" t="inlineStr">
        <is>
          <t>acondicionador</t>
        </is>
      </c>
      <c r="M1935" t="inlineStr">
        <is>
          <t>estandar</t>
        </is>
      </c>
      <c r="N1935" t="inlineStr">
        <is>
          <t>general</t>
        </is>
      </c>
      <c r="O1935" t="inlineStr">
        <is>
          <t>https://www.disco.com.ar/acondicionador-carbon-y-peonias-190-ml-sedal/p</t>
        </is>
      </c>
    </row>
    <row r="1936">
      <c r="A1936" s="10" t="inlineStr">
        <is>
          <t>Disco</t>
        </is>
      </c>
      <c r="B1936" s="10" t="n">
        <v>397903</v>
      </c>
      <c r="C1936" s="10" t="n">
        <v>395638</v>
      </c>
      <c r="D1936" s="10" t="inlineStr">
        <is>
          <t>Acondicionador Colección Natural Jengibre y Ricino 190 Ml Sedal</t>
        </is>
      </c>
      <c r="E1936" s="10" t="inlineStr">
        <is>
          <t>SEDAL</t>
        </is>
      </c>
      <c r="F1936" s="10" t="n">
        <v>2850</v>
      </c>
      <c r="G1936" s="10" t="n">
        <v>235537</v>
      </c>
      <c r="H1936" s="10" t="b">
        <v>0</v>
      </c>
      <c r="I1936" s="10" t="n">
        <v>190</v>
      </c>
      <c r="J1936" s="10" t="n">
        <v>15</v>
      </c>
      <c r="K1936" s="10" t="inlineStr">
        <is>
          <t>&gt; Perfumería &gt; Cuidado Capilar &gt; Acondicionador &gt;</t>
        </is>
      </c>
      <c r="L1936" s="10" t="inlineStr">
        <is>
          <t>acondicionador</t>
        </is>
      </c>
      <c r="M1936" s="10" t="inlineStr">
        <is>
          <t>estandar</t>
        </is>
      </c>
      <c r="N1936" s="10" t="inlineStr">
        <is>
          <t>general</t>
        </is>
      </c>
      <c r="O1936" s="10" t="inlineStr">
        <is>
          <t>https://www.disco.com.ar/acondicionador-sedal-jengibre-y-ricino-190-ml-2/p</t>
        </is>
      </c>
    </row>
    <row r="1937">
      <c r="A1937" t="inlineStr">
        <is>
          <t>Disco</t>
        </is>
      </c>
      <c r="B1937" t="n">
        <v>396883</v>
      </c>
      <c r="C1937" t="n">
        <v>394639</v>
      </c>
      <c r="D1937" t="inlineStr">
        <is>
          <t>Shampoo Restauración Instantánea 300 Ml Sedal</t>
        </is>
      </c>
      <c r="E1937" t="inlineStr">
        <is>
          <t>SEDAL</t>
        </is>
      </c>
      <c r="F1937" t="n">
        <v>3800</v>
      </c>
      <c r="G1937" t="n">
        <v>314050</v>
      </c>
      <c r="H1937" t="b">
        <v>0</v>
      </c>
      <c r="I1937" t="n">
        <v>300</v>
      </c>
      <c r="J1937" t="n">
        <v>12.6667</v>
      </c>
      <c r="K1937" t="inlineStr">
        <is>
          <t>&gt; Perfumería &gt; Cuidado Capilar &gt; Shampoo &gt;</t>
        </is>
      </c>
      <c r="L1937" t="inlineStr">
        <is>
          <t>shampoo</t>
        </is>
      </c>
      <c r="M1937" t="inlineStr">
        <is>
          <t>estandar</t>
        </is>
      </c>
      <c r="N1937" t="inlineStr">
        <is>
          <t>general</t>
        </is>
      </c>
      <c r="O1937" t="inlineStr">
        <is>
          <t>https://www.disco.com.ar/shampoo-sedal-restauracion-instantanea-300ml/p</t>
        </is>
      </c>
    </row>
    <row r="1938">
      <c r="A1938" s="10" t="inlineStr">
        <is>
          <t>Disco</t>
        </is>
      </c>
      <c r="B1938" s="10" t="n">
        <v>396881</v>
      </c>
      <c r="C1938" s="10" t="n">
        <v>394637</v>
      </c>
      <c r="D1938" s="10" t="inlineStr">
        <is>
          <t>Shampoo Bomba Argán Restauración y Brillo 190 Ml Sedal Shampoo Sedal Bomba Argán 190 Ml</t>
        </is>
      </c>
      <c r="E1938" s="10" t="inlineStr">
        <is>
          <t>SEDAL</t>
        </is>
      </c>
      <c r="F1938" s="10" t="n">
        <v>2600</v>
      </c>
      <c r="G1938" s="10" t="n">
        <v>214876</v>
      </c>
      <c r="H1938" s="10" t="b">
        <v>0</v>
      </c>
      <c r="I1938" s="10" t="n">
        <v>190</v>
      </c>
      <c r="J1938" s="10" t="n">
        <v>13.6842</v>
      </c>
      <c r="K1938" s="10" t="inlineStr">
        <is>
          <t>&gt; Perfumería &gt; Cuidado Capilar &gt; Shampoo &gt;</t>
        </is>
      </c>
      <c r="L1938" s="10" t="inlineStr">
        <is>
          <t>shampoo</t>
        </is>
      </c>
      <c r="M1938" s="10" t="inlineStr">
        <is>
          <t>estandar</t>
        </is>
      </c>
      <c r="N1938" s="10" t="inlineStr">
        <is>
          <t>general</t>
        </is>
      </c>
      <c r="O1938" s="10" t="inlineStr">
        <is>
          <t>https://www.disco.com.ar/shampoo-sedal-bomba-argan-190-ml/p</t>
        </is>
      </c>
    </row>
    <row r="1939">
      <c r="A1939" t="inlineStr">
        <is>
          <t>Disco</t>
        </is>
      </c>
      <c r="B1939" t="n">
        <v>393560</v>
      </c>
      <c r="C1939" t="n">
        <v>391588</v>
      </c>
      <c r="D1939" t="inlineStr">
        <is>
          <t>Acondicionador Colageno Y Vitamina C 190 Ml Sedal</t>
        </is>
      </c>
      <c r="E1939" t="inlineStr">
        <is>
          <t>SEDAL</t>
        </is>
      </c>
      <c r="F1939" t="n">
        <v>3600</v>
      </c>
      <c r="G1939" t="n">
        <v>297521</v>
      </c>
      <c r="H1939" t="b">
        <v>0</v>
      </c>
      <c r="I1939" t="n">
        <v>190</v>
      </c>
      <c r="J1939" t="n">
        <v>18.9474</v>
      </c>
      <c r="K1939" t="inlineStr">
        <is>
          <t>&gt; Perfumería &gt; Cuidado Capilar &gt; Acondicionador &gt;</t>
        </is>
      </c>
      <c r="L1939" t="inlineStr">
        <is>
          <t>acondicionador</t>
        </is>
      </c>
      <c r="M1939" t="inlineStr">
        <is>
          <t>estandar</t>
        </is>
      </c>
      <c r="N1939" t="inlineStr">
        <is>
          <t>general</t>
        </is>
      </c>
      <c r="O1939" t="inlineStr">
        <is>
          <t>https://www.disco.com.ar/acondicionador-colageno-y-vitamina-c-190-ml-sedal/p</t>
        </is>
      </c>
    </row>
    <row r="1940">
      <c r="A1940" s="10" t="inlineStr">
        <is>
          <t>Disco</t>
        </is>
      </c>
      <c r="B1940" s="10" t="n">
        <v>393375</v>
      </c>
      <c r="C1940" s="10" t="n">
        <v>391403</v>
      </c>
      <c r="D1940" s="10" t="inlineStr">
        <is>
          <t>Acondicionador Jengibre Y Ricino 340 Ml Sedal</t>
        </is>
      </c>
      <c r="E1940" s="10" t="inlineStr">
        <is>
          <t>SEDAL</t>
        </is>
      </c>
      <c r="F1940" s="10" t="n">
        <v>4450</v>
      </c>
      <c r="G1940" s="10" t="n">
        <v>367769</v>
      </c>
      <c r="H1940" s="10" t="b">
        <v>0</v>
      </c>
      <c r="I1940" s="10" t="n">
        <v>340</v>
      </c>
      <c r="J1940" s="10" t="n">
        <v>13.0882</v>
      </c>
      <c r="K1940" s="10" t="inlineStr">
        <is>
          <t>&gt; Perfumería &gt; Cuidado Capilar &gt; Acondicionador &gt;</t>
        </is>
      </c>
      <c r="L1940" s="10" t="inlineStr">
        <is>
          <t>acondicionador</t>
        </is>
      </c>
      <c r="M1940" s="10" t="inlineStr">
        <is>
          <t>estandar</t>
        </is>
      </c>
      <c r="N1940" s="10" t="inlineStr">
        <is>
          <t>general</t>
        </is>
      </c>
      <c r="O1940" s="10" t="inlineStr">
        <is>
          <t>https://www.disco.com.ar/acondicionador-jengibre-y-ricino-340-ml-sedal/p</t>
        </is>
      </c>
    </row>
    <row r="1941">
      <c r="A1941" t="inlineStr">
        <is>
          <t>Disco</t>
        </is>
      </c>
      <c r="B1941" t="n">
        <v>389299</v>
      </c>
      <c r="C1941" t="n">
        <v>387405</v>
      </c>
      <c r="D1941" t="inlineStr">
        <is>
          <t>Shampoo Restauración Instantánea 190 Ml Sedal</t>
        </is>
      </c>
      <c r="E1941" t="inlineStr">
        <is>
          <t>SEDAL</t>
        </is>
      </c>
      <c r="F1941" t="n">
        <v>3600</v>
      </c>
      <c r="G1941" t="n">
        <v>297521</v>
      </c>
      <c r="H1941" t="b">
        <v>0</v>
      </c>
      <c r="I1941" t="n">
        <v>190</v>
      </c>
      <c r="J1941" t="n">
        <v>18.9474</v>
      </c>
      <c r="K1941" t="inlineStr">
        <is>
          <t>&gt; Perfumería &gt; Cuidado Capilar &gt; Shampoo &gt;</t>
        </is>
      </c>
      <c r="L1941" t="inlineStr">
        <is>
          <t>shampoo</t>
        </is>
      </c>
      <c r="M1941" t="inlineStr">
        <is>
          <t>estandar</t>
        </is>
      </c>
      <c r="N1941" t="inlineStr">
        <is>
          <t>general</t>
        </is>
      </c>
      <c r="O1941" t="inlineStr">
        <is>
          <t>https://www.disco.com.ar/shampoo-restauracion-instantanea-190-ml-sedal/p</t>
        </is>
      </c>
    </row>
    <row r="1942">
      <c r="A1942" s="10" t="inlineStr">
        <is>
          <t>Disco</t>
        </is>
      </c>
      <c r="B1942" s="10" t="n">
        <v>389298</v>
      </c>
      <c r="C1942" s="10" t="n">
        <v>387404</v>
      </c>
      <c r="D1942" s="10" t="inlineStr">
        <is>
          <t>Shampoo Colageno Y Vitamina C 190 Ml Sedal</t>
        </is>
      </c>
      <c r="E1942" s="10" t="inlineStr">
        <is>
          <t>SEDAL</t>
        </is>
      </c>
      <c r="F1942" s="10" t="n">
        <v>3600</v>
      </c>
      <c r="G1942" s="10" t="n">
        <v>297521</v>
      </c>
      <c r="H1942" s="10" t="b">
        <v>0</v>
      </c>
      <c r="I1942" s="10" t="n">
        <v>190</v>
      </c>
      <c r="J1942" s="10" t="n">
        <v>18.9474</v>
      </c>
      <c r="K1942" s="10" t="inlineStr">
        <is>
          <t>&gt; Perfumería &gt; Cuidado Capilar &gt; Shampoo &gt;</t>
        </is>
      </c>
      <c r="L1942" s="10" t="inlineStr">
        <is>
          <t>shampoo</t>
        </is>
      </c>
      <c r="M1942" s="10" t="inlineStr">
        <is>
          <t>estandar</t>
        </is>
      </c>
      <c r="N1942" s="10" t="inlineStr">
        <is>
          <t>general</t>
        </is>
      </c>
      <c r="O1942" s="10" t="inlineStr">
        <is>
          <t>https://www.disco.com.ar/shampoo-colageno-y-vitamina-c-190-ml-sedal/p</t>
        </is>
      </c>
    </row>
    <row r="1943">
      <c r="A1943" t="inlineStr">
        <is>
          <t>Disco</t>
        </is>
      </c>
      <c r="B1943" t="n">
        <v>389297</v>
      </c>
      <c r="C1943" t="n">
        <v>387403</v>
      </c>
      <c r="D1943" t="inlineStr">
        <is>
          <t>Shampoo Hialurónico y Vitamina A 650 Ml Sedal</t>
        </is>
      </c>
      <c r="E1943" t="inlineStr">
        <is>
          <t>SEDAL</t>
        </is>
      </c>
      <c r="F1943" t="n">
        <v>8650</v>
      </c>
      <c r="G1943" t="n">
        <v>714876</v>
      </c>
      <c r="H1943" t="b">
        <v>0</v>
      </c>
      <c r="I1943" t="n">
        <v>650</v>
      </c>
      <c r="J1943" t="n">
        <v>13.3077</v>
      </c>
      <c r="K1943" t="inlineStr">
        <is>
          <t>&gt; Perfumería &gt; Cuidado Capilar &gt; Shampoo &gt;</t>
        </is>
      </c>
      <c r="L1943" t="inlineStr">
        <is>
          <t>shampoo</t>
        </is>
      </c>
      <c r="M1943" t="inlineStr">
        <is>
          <t>estandar</t>
        </is>
      </c>
      <c r="N1943" t="inlineStr">
        <is>
          <t>general</t>
        </is>
      </c>
      <c r="O1943" t="inlineStr">
        <is>
          <t>https://www.disco.com.ar/shampoo-sedal-hialuronico-y-vitamina-a-650-ml-2/p</t>
        </is>
      </c>
    </row>
    <row r="1944">
      <c r="A1944" s="10" t="inlineStr">
        <is>
          <t>Disco</t>
        </is>
      </c>
      <c r="B1944" s="10" t="n">
        <v>389296</v>
      </c>
      <c r="C1944" s="10" t="n">
        <v>387402</v>
      </c>
      <c r="D1944" s="10" t="inlineStr">
        <is>
          <t>Shampoo Sedal Crema Balance 650 Ml</t>
        </is>
      </c>
      <c r="E1944" s="10" t="inlineStr">
        <is>
          <t>SEDAL</t>
        </is>
      </c>
      <c r="F1944" s="10" t="n">
        <v>8650</v>
      </c>
      <c r="G1944" s="10" t="n">
        <v>714876</v>
      </c>
      <c r="H1944" s="10" t="b">
        <v>0</v>
      </c>
      <c r="I1944" s="10" t="n">
        <v>650</v>
      </c>
      <c r="J1944" s="10" t="n">
        <v>13.3077</v>
      </c>
      <c r="K1944" s="10" t="inlineStr">
        <is>
          <t>&gt; Perfumería &gt; Cuidado Capilar &gt; Shampoo &gt;</t>
        </is>
      </c>
      <c r="L1944" s="10" t="inlineStr">
        <is>
          <t>shampoo</t>
        </is>
      </c>
      <c r="M1944" s="10" t="inlineStr">
        <is>
          <t>estandar</t>
        </is>
      </c>
      <c r="N1944" s="10" t="inlineStr">
        <is>
          <t>general</t>
        </is>
      </c>
      <c r="O1944" s="10" t="inlineStr">
        <is>
          <t>https://www.disco.com.ar/shampoo-sedal-crema-balance-650-ml-3/p</t>
        </is>
      </c>
    </row>
    <row r="1945">
      <c r="A1945" t="inlineStr">
        <is>
          <t>Disco</t>
        </is>
      </c>
      <c r="B1945" t="n">
        <v>389295</v>
      </c>
      <c r="C1945" t="n">
        <v>387401</v>
      </c>
      <c r="D1945" t="inlineStr">
        <is>
          <t>Shampoo Crema Balance Super Hidratación 300 Ml Sedal</t>
        </is>
      </c>
      <c r="E1945" t="inlineStr">
        <is>
          <t>SEDAL</t>
        </is>
      </c>
      <c r="F1945" t="n">
        <v>3500</v>
      </c>
      <c r="G1945" t="n">
        <v>289256</v>
      </c>
      <c r="H1945" t="b">
        <v>0</v>
      </c>
      <c r="I1945" t="n">
        <v>300</v>
      </c>
      <c r="J1945" t="n">
        <v>11.6667</v>
      </c>
      <c r="K1945" t="inlineStr">
        <is>
          <t>&gt; Perfumería &gt; Cuidado Capilar &gt; Shampoo &gt;</t>
        </is>
      </c>
      <c r="L1945" t="inlineStr">
        <is>
          <t>shampoo</t>
        </is>
      </c>
      <c r="M1945" t="inlineStr">
        <is>
          <t>estandar</t>
        </is>
      </c>
      <c r="N1945" t="inlineStr">
        <is>
          <t>seco_danado</t>
        </is>
      </c>
      <c r="O1945" t="inlineStr">
        <is>
          <t>https://www.disco.com.ar/shampoo-sedal-crema-balance-300ml-2/p</t>
        </is>
      </c>
    </row>
    <row r="1946">
      <c r="A1946" s="10" t="inlineStr">
        <is>
          <t>Disco</t>
        </is>
      </c>
      <c r="B1946" s="10" t="n">
        <v>389294</v>
      </c>
      <c r="C1946" s="10" t="n">
        <v>387400</v>
      </c>
      <c r="D1946" s="10" t="inlineStr">
        <is>
          <t>Shampoo Colageno Y Vitamina C 650 Ml Sedal</t>
        </is>
      </c>
      <c r="E1946" s="10" t="inlineStr">
        <is>
          <t>SEDAL</t>
        </is>
      </c>
      <c r="F1946" s="10" t="n">
        <v>8650</v>
      </c>
      <c r="G1946" s="10" t="n">
        <v>714876</v>
      </c>
      <c r="H1946" s="10" t="b">
        <v>0</v>
      </c>
      <c r="I1946" s="10" t="n">
        <v>650</v>
      </c>
      <c r="J1946" s="10" t="n">
        <v>13.3077</v>
      </c>
      <c r="K1946" s="10" t="inlineStr">
        <is>
          <t>&gt; Perfumería &gt; Cuidado Capilar &gt; Shampoo &gt;</t>
        </is>
      </c>
      <c r="L1946" s="10" t="inlineStr">
        <is>
          <t>shampoo</t>
        </is>
      </c>
      <c r="M1946" s="10" t="inlineStr">
        <is>
          <t>estandar</t>
        </is>
      </c>
      <c r="N1946" s="10" t="inlineStr">
        <is>
          <t>general</t>
        </is>
      </c>
      <c r="O1946" s="10" t="inlineStr">
        <is>
          <t>https://www.disco.com.ar/shampoo-colageno-y-vitamina-c-650-ml-sedal/p</t>
        </is>
      </c>
    </row>
    <row r="1947">
      <c r="A1947" t="inlineStr">
        <is>
          <t>Disco</t>
        </is>
      </c>
      <c r="B1947" t="n">
        <v>389293</v>
      </c>
      <c r="C1947" t="n">
        <v>387399</v>
      </c>
      <c r="D1947" t="inlineStr">
        <is>
          <t>Shampoo Sedal Rizos Definidos 650 Ml</t>
        </is>
      </c>
      <c r="E1947" t="inlineStr">
        <is>
          <t>SEDAL</t>
        </is>
      </c>
      <c r="F1947" t="n">
        <v>8150</v>
      </c>
      <c r="G1947" t="n">
        <v>673554</v>
      </c>
      <c r="H1947" t="b">
        <v>0</v>
      </c>
      <c r="I1947" t="n">
        <v>650</v>
      </c>
      <c r="J1947" t="n">
        <v>12.5385</v>
      </c>
      <c r="K1947" t="inlineStr">
        <is>
          <t>&gt; Perfumería &gt; Cuidado Capilar &gt; Shampoo &gt;</t>
        </is>
      </c>
      <c r="L1947" t="inlineStr">
        <is>
          <t>shampoo</t>
        </is>
      </c>
      <c r="M1947" t="inlineStr">
        <is>
          <t>estandar</t>
        </is>
      </c>
      <c r="N1947" t="inlineStr">
        <is>
          <t>rizado</t>
        </is>
      </c>
      <c r="O1947" t="inlineStr">
        <is>
          <t>https://www.disco.com.ar/shampoo-sedal-rizos-definidos-650-ml-2/p</t>
        </is>
      </c>
    </row>
    <row r="1948">
      <c r="A1948" s="10" t="inlineStr">
        <is>
          <t>Disco</t>
        </is>
      </c>
      <c r="B1948" s="10" t="n">
        <v>389287</v>
      </c>
      <c r="C1948" s="10" t="n">
        <v>387393</v>
      </c>
      <c r="D1948" s="10" t="inlineStr">
        <is>
          <t>Shampoo Hialurónico y Vita A 190 Ml Sedal</t>
        </is>
      </c>
      <c r="E1948" s="10" t="inlineStr">
        <is>
          <t>SEDAL</t>
        </is>
      </c>
      <c r="F1948" s="10" t="n">
        <v>3600</v>
      </c>
      <c r="G1948" s="10" t="n">
        <v>297521</v>
      </c>
      <c r="H1948" s="10" t="b">
        <v>0</v>
      </c>
      <c r="I1948" s="10" t="n">
        <v>190</v>
      </c>
      <c r="J1948" s="10" t="n">
        <v>18.9474</v>
      </c>
      <c r="K1948" s="10" t="inlineStr">
        <is>
          <t>&gt; Perfumería &gt; Cuidado Capilar &gt; Shampoo &gt;</t>
        </is>
      </c>
      <c r="L1948" s="10" t="inlineStr">
        <is>
          <t>shampoo</t>
        </is>
      </c>
      <c r="M1948" s="10" t="inlineStr">
        <is>
          <t>estandar</t>
        </is>
      </c>
      <c r="N1948" s="10" t="inlineStr">
        <is>
          <t>general</t>
        </is>
      </c>
      <c r="O1948" s="10" t="inlineStr">
        <is>
          <t>https://www.disco.com.ar/shampoo-hialuronico-y-vitamina-a-190-ml-sedal/p</t>
        </is>
      </c>
    </row>
    <row r="1949">
      <c r="A1949" t="inlineStr">
        <is>
          <t>Disco</t>
        </is>
      </c>
      <c r="B1949" t="n">
        <v>389282</v>
      </c>
      <c r="C1949" t="n">
        <v>387388</v>
      </c>
      <c r="D1949" t="inlineStr">
        <is>
          <t>Shampoo Purificación e Hidratación Carbón y Peonias 650 Ml Sedal</t>
        </is>
      </c>
      <c r="E1949" t="inlineStr">
        <is>
          <t>SEDAL</t>
        </is>
      </c>
      <c r="F1949" t="n">
        <v>7150</v>
      </c>
      <c r="G1949" t="n">
        <v>590909</v>
      </c>
      <c r="H1949" t="b">
        <v>0</v>
      </c>
      <c r="I1949" t="n">
        <v>650</v>
      </c>
      <c r="J1949" t="n">
        <v>11</v>
      </c>
      <c r="K1949" t="inlineStr">
        <is>
          <t>&gt; Perfumería &gt; Cuidado Capilar &gt; Shampoo &gt;</t>
        </is>
      </c>
      <c r="L1949" t="inlineStr">
        <is>
          <t>shampoo</t>
        </is>
      </c>
      <c r="M1949" t="inlineStr">
        <is>
          <t>estandar</t>
        </is>
      </c>
      <c r="N1949" t="inlineStr">
        <is>
          <t>seco_danado</t>
        </is>
      </c>
      <c r="O1949" t="inlineStr">
        <is>
          <t>https://www.disco.com.ar/shampoo-carbon-y-peonias-650-ml-sedal/p</t>
        </is>
      </c>
    </row>
    <row r="1950">
      <c r="A1950" s="10" t="inlineStr">
        <is>
          <t>Disco</t>
        </is>
      </c>
      <c r="B1950" s="10" t="n">
        <v>389281</v>
      </c>
      <c r="C1950" s="10" t="n">
        <v>387387</v>
      </c>
      <c r="D1950" s="10" t="inlineStr">
        <is>
          <t>Shampoo Sedal Carbón Activado Y Peonias 340 Ml</t>
        </is>
      </c>
      <c r="E1950" s="10" t="inlineStr">
        <is>
          <t>SEDAL</t>
        </is>
      </c>
      <c r="F1950" s="10" t="n">
        <v>4600</v>
      </c>
      <c r="G1950" s="10" t="n">
        <v>380165</v>
      </c>
      <c r="H1950" s="10" t="b">
        <v>0</v>
      </c>
      <c r="I1950" s="10" t="n">
        <v>340</v>
      </c>
      <c r="J1950" s="10" t="n">
        <v>13.5294</v>
      </c>
      <c r="K1950" s="10" t="inlineStr">
        <is>
          <t>&gt; Perfumería &gt; Cuidado Capilar &gt; Shampoo &gt;</t>
        </is>
      </c>
      <c r="L1950" s="10" t="inlineStr">
        <is>
          <t>shampoo</t>
        </is>
      </c>
      <c r="M1950" s="10" t="inlineStr">
        <is>
          <t>estandar</t>
        </is>
      </c>
      <c r="N1950" s="10" t="inlineStr">
        <is>
          <t>general</t>
        </is>
      </c>
      <c r="O1950" s="10" t="inlineStr">
        <is>
          <t>https://www.disco.com.ar/shampoo-sedal-carbon-activado-y-peonias-340-ml/p</t>
        </is>
      </c>
    </row>
    <row r="1951">
      <c r="A1951" t="inlineStr">
        <is>
          <t>Disco</t>
        </is>
      </c>
      <c r="B1951" t="n">
        <v>389280</v>
      </c>
      <c r="C1951" t="n">
        <v>387386</v>
      </c>
      <c r="D1951" t="inlineStr">
        <is>
          <t>Shampoo Colección Natural Jengibre y Ricino 190 Ml Sedal</t>
        </is>
      </c>
      <c r="E1951" t="inlineStr">
        <is>
          <t>SEDAL</t>
        </is>
      </c>
      <c r="F1951" t="n">
        <v>2600</v>
      </c>
      <c r="G1951" t="n">
        <v>214876</v>
      </c>
      <c r="H1951" t="b">
        <v>0</v>
      </c>
      <c r="I1951" t="n">
        <v>190</v>
      </c>
      <c r="J1951" t="n">
        <v>13.6842</v>
      </c>
      <c r="K1951" t="inlineStr">
        <is>
          <t>&gt; Perfumería &gt; Cuidado Capilar &gt; Shampoo &gt;</t>
        </is>
      </c>
      <c r="L1951" t="inlineStr">
        <is>
          <t>shampoo</t>
        </is>
      </c>
      <c r="M1951" t="inlineStr">
        <is>
          <t>estandar</t>
        </is>
      </c>
      <c r="N1951" t="inlineStr">
        <is>
          <t>general</t>
        </is>
      </c>
      <c r="O1951" t="inlineStr">
        <is>
          <t>https://www.disco.com.ar/shampoo-jengibre-y-ricino-190-ml-sedal/p</t>
        </is>
      </c>
    </row>
    <row r="1952">
      <c r="A1952" s="10" t="inlineStr">
        <is>
          <t>Disco</t>
        </is>
      </c>
      <c r="B1952" s="10" t="n">
        <v>389279</v>
      </c>
      <c r="C1952" s="10" t="n">
        <v>387385</v>
      </c>
      <c r="D1952" s="10" t="inlineStr">
        <is>
          <t>Shampoo Jengibre Y Ricino 340 Ml Sedal</t>
        </is>
      </c>
      <c r="E1952" s="10" t="inlineStr">
        <is>
          <t>SEDAL</t>
        </is>
      </c>
      <c r="F1952" s="10" t="n">
        <v>4450</v>
      </c>
      <c r="G1952" s="10" t="n">
        <v>367769</v>
      </c>
      <c r="H1952" s="10" t="b">
        <v>0</v>
      </c>
      <c r="I1952" s="10" t="n">
        <v>340</v>
      </c>
      <c r="J1952" s="10" t="n">
        <v>13.0882</v>
      </c>
      <c r="K1952" s="10" t="inlineStr">
        <is>
          <t>&gt; Perfumería &gt; Cuidado Capilar &gt; Shampoo &gt;</t>
        </is>
      </c>
      <c r="L1952" s="10" t="inlineStr">
        <is>
          <t>shampoo</t>
        </is>
      </c>
      <c r="M1952" s="10" t="inlineStr">
        <is>
          <t>estandar</t>
        </is>
      </c>
      <c r="N1952" s="10" t="inlineStr">
        <is>
          <t>general</t>
        </is>
      </c>
      <c r="O1952" s="10" t="inlineStr">
        <is>
          <t>https://www.disco.com.ar/shampoo-jengibre-y-ricino-340-ml-sedal/p</t>
        </is>
      </c>
    </row>
    <row r="1953">
      <c r="A1953" t="inlineStr">
        <is>
          <t>Disco</t>
        </is>
      </c>
      <c r="B1953" t="n">
        <v>389277</v>
      </c>
      <c r="C1953" t="n">
        <v>387383</v>
      </c>
      <c r="D1953" t="inlineStr">
        <is>
          <t>Shampoo Sedal Jengibre Y Ricino 650 Ml</t>
        </is>
      </c>
      <c r="E1953" t="inlineStr">
        <is>
          <t>SEDAL</t>
        </is>
      </c>
      <c r="F1953" t="n">
        <v>6150</v>
      </c>
      <c r="G1953" t="n">
        <v>508264</v>
      </c>
      <c r="H1953" t="b">
        <v>0</v>
      </c>
      <c r="I1953" t="n">
        <v>650</v>
      </c>
      <c r="J1953" t="n">
        <v>9.461499999999999</v>
      </c>
      <c r="K1953" t="inlineStr">
        <is>
          <t>&gt; Perfumería &gt; Cuidado Capilar &gt; Shampoo &gt;</t>
        </is>
      </c>
      <c r="L1953" t="inlineStr">
        <is>
          <t>shampoo</t>
        </is>
      </c>
      <c r="M1953" t="inlineStr">
        <is>
          <t>estandar</t>
        </is>
      </c>
      <c r="N1953" t="inlineStr">
        <is>
          <t>general</t>
        </is>
      </c>
      <c r="O1953" t="inlineStr">
        <is>
          <t>https://www.disco.com.ar/shampoo-sedal-jengibre-y-ricino-650-ml/p</t>
        </is>
      </c>
    </row>
    <row r="1954">
      <c r="A1954" s="10" t="inlineStr">
        <is>
          <t>Disco</t>
        </is>
      </c>
      <c r="B1954" s="10" t="n">
        <v>389276</v>
      </c>
      <c r="C1954" s="10" t="n">
        <v>387382</v>
      </c>
      <c r="D1954" s="10" t="inlineStr">
        <is>
          <t>Shampoo Carbon Y Peonias 190 Ml Sedal</t>
        </is>
      </c>
      <c r="E1954" s="10" t="inlineStr">
        <is>
          <t>SEDAL</t>
        </is>
      </c>
      <c r="F1954" s="10" t="n">
        <v>3100</v>
      </c>
      <c r="G1954" s="10" t="n">
        <v>256198</v>
      </c>
      <c r="H1954" s="10" t="b">
        <v>0</v>
      </c>
      <c r="I1954" s="10" t="n">
        <v>190</v>
      </c>
      <c r="J1954" s="10" t="n">
        <v>16.3158</v>
      </c>
      <c r="K1954" s="10" t="inlineStr">
        <is>
          <t>&gt; Perfumería &gt; Cuidado Capilar &gt; Shampoo &gt;</t>
        </is>
      </c>
      <c r="L1954" s="10" t="inlineStr">
        <is>
          <t>shampoo</t>
        </is>
      </c>
      <c r="M1954" s="10" t="inlineStr">
        <is>
          <t>estandar</t>
        </is>
      </c>
      <c r="N1954" s="10" t="inlineStr">
        <is>
          <t>general</t>
        </is>
      </c>
      <c r="O1954" s="10" t="inlineStr">
        <is>
          <t>https://www.disco.com.ar/shampoo-carbon-y-peonias-190-ml-sedal/p</t>
        </is>
      </c>
    </row>
    <row r="1955">
      <c r="A1955" t="inlineStr">
        <is>
          <t>Disco</t>
        </is>
      </c>
      <c r="B1955" t="n">
        <v>347726</v>
      </c>
      <c r="C1955" t="n">
        <v>346401</v>
      </c>
      <c r="D1955" t="inlineStr">
        <is>
          <t>Acondicionador  Sedal  Restauración Instantánea  190 Ml</t>
        </is>
      </c>
      <c r="E1955" t="inlineStr">
        <is>
          <t>SEDAL</t>
        </is>
      </c>
      <c r="F1955" t="n">
        <v>600</v>
      </c>
      <c r="G1955" t="n">
        <v>49587</v>
      </c>
      <c r="H1955" t="b">
        <v>0</v>
      </c>
      <c r="I1955" t="n">
        <v>190</v>
      </c>
      <c r="J1955" t="n">
        <v>3.1579</v>
      </c>
      <c r="K1955" t="inlineStr">
        <is>
          <t>&gt; Perfumería &gt; Cuidado Capilar &gt; Acondicionador &gt;</t>
        </is>
      </c>
      <c r="L1955" t="inlineStr">
        <is>
          <t>acondicionador</t>
        </is>
      </c>
      <c r="M1955" t="inlineStr">
        <is>
          <t>estandar</t>
        </is>
      </c>
      <c r="N1955" t="inlineStr">
        <is>
          <t>general</t>
        </is>
      </c>
      <c r="O1955" t="inlineStr">
        <is>
          <t>https://www.disco.com.ar/acondicionador-sedal-restauracion-instantanea-190-ml-2/p</t>
        </is>
      </c>
    </row>
    <row r="1956">
      <c r="A1956" s="10" t="inlineStr">
        <is>
          <t>Disco</t>
        </is>
      </c>
      <c r="B1956" s="10" t="n">
        <v>347725</v>
      </c>
      <c r="C1956" s="10" t="n">
        <v>346400</v>
      </c>
      <c r="D1956" s="10" t="inlineStr">
        <is>
          <t>Acondicionador Sedal Liso Perfecto Hidratante 190 Ml</t>
        </is>
      </c>
      <c r="E1956" s="10" t="inlineStr">
        <is>
          <t>SEDAL</t>
        </is>
      </c>
      <c r="F1956" s="10" t="n">
        <v>600</v>
      </c>
      <c r="G1956" s="10" t="n">
        <v>49587</v>
      </c>
      <c r="H1956" s="10" t="b">
        <v>0</v>
      </c>
      <c r="I1956" s="10" t="n">
        <v>190</v>
      </c>
      <c r="J1956" s="10" t="n">
        <v>3.1579</v>
      </c>
      <c r="K1956" s="10" t="inlineStr">
        <is>
          <t>&gt; Perfumería &gt; Cuidado Capilar &gt; Acondicionador &gt;</t>
        </is>
      </c>
      <c r="L1956" s="10" t="inlineStr">
        <is>
          <t>acondicionador</t>
        </is>
      </c>
      <c r="M1956" s="10" t="inlineStr">
        <is>
          <t>estandar</t>
        </is>
      </c>
      <c r="N1956" s="10" t="inlineStr">
        <is>
          <t>seco_danado</t>
        </is>
      </c>
      <c r="O1956" s="10" t="inlineStr">
        <is>
          <t>https://www.disco.com.ar/acondicionador-sedal-liso-perfecto-hidratante-190-ml/p</t>
        </is>
      </c>
    </row>
    <row r="1957">
      <c r="A1957" t="inlineStr">
        <is>
          <t>Disco</t>
        </is>
      </c>
      <c r="B1957" t="n">
        <v>347724</v>
      </c>
      <c r="C1957" t="n">
        <v>346399</v>
      </c>
      <c r="D1957" t="inlineStr">
        <is>
          <t>Acondicionador Sedal Crema Balance Hidratante 190 Ml</t>
        </is>
      </c>
      <c r="E1957" t="inlineStr">
        <is>
          <t>SEDAL</t>
        </is>
      </c>
      <c r="F1957" t="n">
        <v>600</v>
      </c>
      <c r="G1957" t="n">
        <v>49587</v>
      </c>
      <c r="H1957" t="b">
        <v>0</v>
      </c>
      <c r="I1957" t="n">
        <v>190</v>
      </c>
      <c r="J1957" t="n">
        <v>3.1579</v>
      </c>
      <c r="K1957" t="inlineStr">
        <is>
          <t>&gt; Perfumería &gt; Cuidado Capilar &gt; Acondicionador &gt;</t>
        </is>
      </c>
      <c r="L1957" t="inlineStr">
        <is>
          <t>acondicionador</t>
        </is>
      </c>
      <c r="M1957" t="inlineStr">
        <is>
          <t>estandar</t>
        </is>
      </c>
      <c r="N1957" t="inlineStr">
        <is>
          <t>seco_danado</t>
        </is>
      </c>
      <c r="O1957" t="inlineStr">
        <is>
          <t>https://www.disco.com.ar/acondicionador-sedal-crema-balance-hidratante-190-ml/p</t>
        </is>
      </c>
    </row>
    <row r="1958">
      <c r="A1958" s="10" t="inlineStr">
        <is>
          <t>Disco</t>
        </is>
      </c>
      <c r="B1958" s="10" t="n">
        <v>347715</v>
      </c>
      <c r="C1958" s="10" t="n">
        <v>346390</v>
      </c>
      <c r="D1958" s="10" t="inlineStr">
        <is>
          <t>Shampoo  Sedal  Rizos Definidos  650 Ml</t>
        </is>
      </c>
      <c r="E1958" s="10" t="inlineStr">
        <is>
          <t>SEDAL</t>
        </is>
      </c>
      <c r="F1958" s="10" t="n">
        <v>1500</v>
      </c>
      <c r="G1958" s="10" t="n">
        <v>123967</v>
      </c>
      <c r="H1958" s="10" t="b">
        <v>0</v>
      </c>
      <c r="I1958" s="10" t="n">
        <v>650</v>
      </c>
      <c r="J1958" s="10" t="n">
        <v>2.3077</v>
      </c>
      <c r="K1958" s="10" t="inlineStr">
        <is>
          <t>&gt; Perfumería &gt; Cuidado Capilar &gt; Shampoo &gt;</t>
        </is>
      </c>
      <c r="L1958" s="10" t="inlineStr">
        <is>
          <t>shampoo</t>
        </is>
      </c>
      <c r="M1958" s="10" t="inlineStr">
        <is>
          <t>estandar</t>
        </is>
      </c>
      <c r="N1958" s="10" t="inlineStr">
        <is>
          <t>rizado</t>
        </is>
      </c>
      <c r="O1958" s="10" t="inlineStr">
        <is>
          <t>https://www.disco.com.ar/shampoo-sedal-rizos-definidos-650-ml/p</t>
        </is>
      </c>
    </row>
    <row r="1959">
      <c r="A1959" t="inlineStr">
        <is>
          <t>Disco</t>
        </is>
      </c>
      <c r="B1959" t="n">
        <v>347698</v>
      </c>
      <c r="C1959" t="n">
        <v>346373</v>
      </c>
      <c r="D1959" t="inlineStr">
        <is>
          <t>Shampoo Sedal Crema Balance Repuesto 300 Ml</t>
        </is>
      </c>
      <c r="E1959" t="inlineStr">
        <is>
          <t>SEDAL</t>
        </is>
      </c>
      <c r="F1959" t="n">
        <v>420.05</v>
      </c>
      <c r="G1959" t="n">
        <v>34715</v>
      </c>
      <c r="H1959" t="b">
        <v>0</v>
      </c>
      <c r="I1959" t="n">
        <v>300</v>
      </c>
      <c r="J1959" t="n">
        <v>1.4002</v>
      </c>
      <c r="K1959" t="inlineStr">
        <is>
          <t>&gt; Perfumería &gt; Cuidado Capilar &gt; Shampoo &gt;</t>
        </is>
      </c>
      <c r="L1959" t="inlineStr">
        <is>
          <t>shampoo</t>
        </is>
      </c>
      <c r="M1959" t="inlineStr">
        <is>
          <t>estandar</t>
        </is>
      </c>
      <c r="N1959" t="inlineStr">
        <is>
          <t>general</t>
        </is>
      </c>
      <c r="O1959" t="inlineStr">
        <is>
          <t>https://www.disco.com.ar/shampoo-sedal-crema-balance-repuesto-300-ml/p</t>
        </is>
      </c>
    </row>
    <row r="1960">
      <c r="A1960" s="10" t="inlineStr">
        <is>
          <t>Disco</t>
        </is>
      </c>
      <c r="B1960" s="10" t="n">
        <v>347694</v>
      </c>
      <c r="C1960" s="10" t="n">
        <v>346369</v>
      </c>
      <c r="D1960" s="10" t="inlineStr">
        <is>
          <t>Acondicionador  Sedal  Liso Perfecto  650 Ml</t>
        </is>
      </c>
      <c r="E1960" s="10" t="inlineStr">
        <is>
          <t>SEDAL</t>
        </is>
      </c>
      <c r="F1960" s="10" t="n">
        <v>880.05</v>
      </c>
      <c r="G1960" s="10" t="n">
        <v>72731</v>
      </c>
      <c r="H1960" s="10" t="b">
        <v>0</v>
      </c>
      <c r="I1960" s="10" t="n">
        <v>650</v>
      </c>
      <c r="J1960" s="10" t="n">
        <v>1.3539</v>
      </c>
      <c r="K1960" s="10" t="inlineStr">
        <is>
          <t>&gt; Perfumería &gt; Cuidado Capilar &gt; Acondicionador &gt;</t>
        </is>
      </c>
      <c r="L1960" s="10" t="inlineStr">
        <is>
          <t>acondicionador</t>
        </is>
      </c>
      <c r="M1960" s="10" t="inlineStr">
        <is>
          <t>estandar</t>
        </is>
      </c>
      <c r="N1960" s="10" t="inlineStr">
        <is>
          <t>general</t>
        </is>
      </c>
      <c r="O1960" s="10" t="inlineStr">
        <is>
          <t>https://www.disco.com.ar/acondicionador-sedal-liso-perfecto-650-ml/p</t>
        </is>
      </c>
    </row>
    <row r="1961">
      <c r="A1961" t="inlineStr">
        <is>
          <t>Disco</t>
        </is>
      </c>
      <c r="B1961" t="n">
        <v>347681</v>
      </c>
      <c r="C1961" t="n">
        <v>346354</v>
      </c>
      <c r="D1961" t="inlineStr">
        <is>
          <t>Shampoo Sedal Restauración Instantánea 650 Ml</t>
        </is>
      </c>
      <c r="E1961" t="inlineStr">
        <is>
          <t>SEDAL</t>
        </is>
      </c>
      <c r="F1961" t="n">
        <v>1350</v>
      </c>
      <c r="G1961" t="n">
        <v>111570</v>
      </c>
      <c r="H1961" t="b">
        <v>0</v>
      </c>
      <c r="I1961" t="n">
        <v>650</v>
      </c>
      <c r="J1961" t="n">
        <v>2.0769</v>
      </c>
      <c r="K1961" t="inlineStr">
        <is>
          <t>&gt; Perfumería &gt; Cuidado Capilar &gt; Shampoo &gt;</t>
        </is>
      </c>
      <c r="L1961" t="inlineStr">
        <is>
          <t>shampoo</t>
        </is>
      </c>
      <c r="M1961" t="inlineStr">
        <is>
          <t>estandar</t>
        </is>
      </c>
      <c r="N1961" t="inlineStr">
        <is>
          <t>general</t>
        </is>
      </c>
      <c r="O1961" t="inlineStr">
        <is>
          <t>https://www.disco.com.ar/shampoo-sedal-restauracion-instantanea-650-ml-2/p</t>
        </is>
      </c>
    </row>
    <row r="1962">
      <c r="A1962" s="10" t="inlineStr">
        <is>
          <t>Disco</t>
        </is>
      </c>
      <c r="B1962" s="10" t="n">
        <v>347680</v>
      </c>
      <c r="C1962" s="10" t="n">
        <v>346353</v>
      </c>
      <c r="D1962" s="10" t="inlineStr">
        <is>
          <t>Shampoo  Sedal  Liso Perfecto  650 Ml</t>
        </is>
      </c>
      <c r="E1962" s="10" t="inlineStr">
        <is>
          <t>SEDAL</t>
        </is>
      </c>
      <c r="F1962" s="10" t="n">
        <v>880.05</v>
      </c>
      <c r="G1962" s="10" t="n">
        <v>72731</v>
      </c>
      <c r="H1962" s="10" t="b">
        <v>0</v>
      </c>
      <c r="I1962" s="10" t="n">
        <v>650</v>
      </c>
      <c r="J1962" s="10" t="n">
        <v>1.3539</v>
      </c>
      <c r="K1962" s="10" t="inlineStr">
        <is>
          <t>&gt; Perfumería &gt; Cuidado Capilar &gt; Shampoo &gt;</t>
        </is>
      </c>
      <c r="L1962" s="10" t="inlineStr">
        <is>
          <t>shampoo</t>
        </is>
      </c>
      <c r="M1962" s="10" t="inlineStr">
        <is>
          <t>estandar</t>
        </is>
      </c>
      <c r="N1962" s="10" t="inlineStr">
        <is>
          <t>general</t>
        </is>
      </c>
      <c r="O1962" s="10" t="inlineStr">
        <is>
          <t>https://www.disco.com.ar/shampoo-sedal-liso-perfecto-650-ml/p</t>
        </is>
      </c>
    </row>
    <row r="1963">
      <c r="A1963" t="inlineStr">
        <is>
          <t>Disco</t>
        </is>
      </c>
      <c r="B1963" t="n">
        <v>347679</v>
      </c>
      <c r="C1963" t="n">
        <v>346352</v>
      </c>
      <c r="D1963" t="inlineStr">
        <is>
          <t>Shampoo  Sedal  Crema Balance  650 Ml</t>
        </is>
      </c>
      <c r="E1963" t="inlineStr">
        <is>
          <t>SEDAL</t>
        </is>
      </c>
      <c r="F1963" t="n">
        <v>880.05</v>
      </c>
      <c r="G1963" t="n">
        <v>72731</v>
      </c>
      <c r="H1963" t="b">
        <v>0</v>
      </c>
      <c r="I1963" t="n">
        <v>650</v>
      </c>
      <c r="J1963" t="n">
        <v>1.3539</v>
      </c>
      <c r="K1963" t="inlineStr">
        <is>
          <t>&gt; Perfumería &gt; Cuidado Capilar &gt; Shampoo &gt;</t>
        </is>
      </c>
      <c r="L1963" t="inlineStr">
        <is>
          <t>shampoo</t>
        </is>
      </c>
      <c r="M1963" t="inlineStr">
        <is>
          <t>estandar</t>
        </is>
      </c>
      <c r="N1963" t="inlineStr">
        <is>
          <t>general</t>
        </is>
      </c>
      <c r="O1963" t="inlineStr">
        <is>
          <t>https://www.disco.com.ar/shampoo-sedal-crema-balance-650-ml/p</t>
        </is>
      </c>
    </row>
    <row r="1964">
      <c r="A1964" s="10" t="inlineStr">
        <is>
          <t>Disco</t>
        </is>
      </c>
      <c r="B1964" s="10" t="n">
        <v>347677</v>
      </c>
      <c r="C1964" s="10" t="n">
        <v>346350</v>
      </c>
      <c r="D1964" s="10" t="inlineStr">
        <is>
          <t>Shampoo  Sedal  Restauración Instantánea  340 Ml</t>
        </is>
      </c>
      <c r="E1964" s="10" t="inlineStr">
        <is>
          <t>SEDAL</t>
        </is>
      </c>
      <c r="F1964" s="10" t="n">
        <v>900</v>
      </c>
      <c r="G1964" s="10" t="n">
        <v>74380</v>
      </c>
      <c r="H1964" s="10" t="b">
        <v>0</v>
      </c>
      <c r="I1964" s="10" t="n">
        <v>340</v>
      </c>
      <c r="J1964" s="10" t="n">
        <v>2.6471</v>
      </c>
      <c r="K1964" s="10" t="inlineStr">
        <is>
          <t>&gt; Perfumería &gt; Cuidado Capilar &gt; Shampoo &gt;</t>
        </is>
      </c>
      <c r="L1964" s="10" t="inlineStr">
        <is>
          <t>shampoo</t>
        </is>
      </c>
      <c r="M1964" s="10" t="inlineStr">
        <is>
          <t>estandar</t>
        </is>
      </c>
      <c r="N1964" s="10" t="inlineStr">
        <is>
          <t>general</t>
        </is>
      </c>
      <c r="O1964" s="10" t="inlineStr">
        <is>
          <t>https://www.disco.com.ar/shampoo-sedal-restauracion-instantanea-340-ml-2/p</t>
        </is>
      </c>
    </row>
    <row r="1965">
      <c r="A1965" t="inlineStr">
        <is>
          <t>Disco</t>
        </is>
      </c>
      <c r="B1965" t="n">
        <v>347676</v>
      </c>
      <c r="C1965" t="n">
        <v>346349</v>
      </c>
      <c r="D1965" t="inlineStr">
        <is>
          <t>Shampoo  Sedal  Rizos Definidos  340 Ml</t>
        </is>
      </c>
      <c r="E1965" t="inlineStr">
        <is>
          <t>SEDAL</t>
        </is>
      </c>
      <c r="F1965" t="n">
        <v>469.67</v>
      </c>
      <c r="G1965" t="n">
        <v>38816</v>
      </c>
      <c r="H1965" t="b">
        <v>0</v>
      </c>
      <c r="I1965" t="n">
        <v>340</v>
      </c>
      <c r="J1965" t="n">
        <v>1.3814</v>
      </c>
      <c r="K1965" t="inlineStr">
        <is>
          <t>&gt; Perfumería &gt; Cuidado Capilar &gt; Shampoo &gt;</t>
        </is>
      </c>
      <c r="L1965" t="inlineStr">
        <is>
          <t>shampoo</t>
        </is>
      </c>
      <c r="M1965" t="inlineStr">
        <is>
          <t>estandar</t>
        </is>
      </c>
      <c r="N1965" t="inlineStr">
        <is>
          <t>rizado</t>
        </is>
      </c>
      <c r="O1965" t="inlineStr">
        <is>
          <t>https://www.disco.com.ar/shampoo-sedal-rizos-definidos-340-ml/p</t>
        </is>
      </c>
    </row>
    <row r="1966">
      <c r="A1966" s="10" t="inlineStr">
        <is>
          <t>Disco</t>
        </is>
      </c>
      <c r="B1966" s="10" t="n">
        <v>347675</v>
      </c>
      <c r="C1966" s="10" t="n">
        <v>346348</v>
      </c>
      <c r="D1966" s="10" t="inlineStr">
        <is>
          <t>Shampoo  Sedal  Liso Perfecto  340 Ml</t>
        </is>
      </c>
      <c r="E1966" s="10" t="inlineStr">
        <is>
          <t>SEDAL</t>
        </is>
      </c>
      <c r="F1966" s="10" t="n">
        <v>469.67</v>
      </c>
      <c r="G1966" s="10" t="n">
        <v>38816</v>
      </c>
      <c r="H1966" s="10" t="b">
        <v>0</v>
      </c>
      <c r="I1966" s="10" t="n">
        <v>340</v>
      </c>
      <c r="J1966" s="10" t="n">
        <v>1.3814</v>
      </c>
      <c r="K1966" s="10" t="inlineStr">
        <is>
          <t>&gt; Perfumería &gt; Cuidado Capilar &gt; Shampoo &gt;</t>
        </is>
      </c>
      <c r="L1966" s="10" t="inlineStr">
        <is>
          <t>shampoo</t>
        </is>
      </c>
      <c r="M1966" s="10" t="inlineStr">
        <is>
          <t>estandar</t>
        </is>
      </c>
      <c r="N1966" s="10" t="inlineStr">
        <is>
          <t>general</t>
        </is>
      </c>
      <c r="O1966" s="10" t="inlineStr">
        <is>
          <t>https://www.disco.com.ar/shampoo-sedal-liso-perfecto-340-ml/p</t>
        </is>
      </c>
    </row>
    <row r="1967">
      <c r="A1967" t="inlineStr">
        <is>
          <t>Disco</t>
        </is>
      </c>
      <c r="B1967" t="n">
        <v>347674</v>
      </c>
      <c r="C1967" t="n">
        <v>346347</v>
      </c>
      <c r="D1967" t="inlineStr">
        <is>
          <t>Shampoo  Sedal  Restauración Instantánea  190 Ml</t>
        </is>
      </c>
      <c r="E1967" t="inlineStr">
        <is>
          <t>SEDAL</t>
        </is>
      </c>
      <c r="F1967" t="n">
        <v>359.35</v>
      </c>
      <c r="G1967" t="n">
        <v>29698</v>
      </c>
      <c r="H1967" t="b">
        <v>0</v>
      </c>
      <c r="I1967" t="n">
        <v>190</v>
      </c>
      <c r="J1967" t="n">
        <v>1.8913</v>
      </c>
      <c r="K1967" t="inlineStr">
        <is>
          <t>&gt; Perfumería &gt; Cuidado Capilar &gt; Shampoo &gt;</t>
        </is>
      </c>
      <c r="L1967" t="inlineStr">
        <is>
          <t>shampoo</t>
        </is>
      </c>
      <c r="M1967" t="inlineStr">
        <is>
          <t>estandar</t>
        </is>
      </c>
      <c r="N1967" t="inlineStr">
        <is>
          <t>general</t>
        </is>
      </c>
      <c r="O1967" t="inlineStr">
        <is>
          <t>https://www.disco.com.ar/shampoo-sedal-restauracion-instantanea-190-ml-2/p</t>
        </is>
      </c>
    </row>
    <row r="1968">
      <c r="A1968" s="10" t="inlineStr">
        <is>
          <t>Disco</t>
        </is>
      </c>
      <c r="B1968" s="10" t="n">
        <v>347673</v>
      </c>
      <c r="C1968" s="10" t="n">
        <v>346346</v>
      </c>
      <c r="D1968" s="10" t="inlineStr">
        <is>
          <t>Shampoo  Sedal  Crema Balance  340 Ml</t>
        </is>
      </c>
      <c r="E1968" s="10" t="inlineStr">
        <is>
          <t>SEDAL</t>
        </is>
      </c>
      <c r="F1968" s="10" t="n">
        <v>850</v>
      </c>
      <c r="G1968" s="10" t="n">
        <v>70248</v>
      </c>
      <c r="H1968" s="10" t="b">
        <v>0</v>
      </c>
      <c r="I1968" s="10" t="n">
        <v>340</v>
      </c>
      <c r="J1968" s="10" t="n">
        <v>2.5</v>
      </c>
      <c r="K1968" s="10" t="inlineStr">
        <is>
          <t>&gt; Perfumería &gt; Cuidado Capilar &gt; Shampoo &gt;</t>
        </is>
      </c>
      <c r="L1968" s="10" t="inlineStr">
        <is>
          <t>shampoo</t>
        </is>
      </c>
      <c r="M1968" s="10" t="inlineStr">
        <is>
          <t>estandar</t>
        </is>
      </c>
      <c r="N1968" s="10" t="inlineStr">
        <is>
          <t>general</t>
        </is>
      </c>
      <c r="O1968" s="10" t="inlineStr">
        <is>
          <t>https://www.disco.com.ar/shampoo-sedal-crema-balance-340-ml/p</t>
        </is>
      </c>
    </row>
    <row r="1969">
      <c r="A1969" t="inlineStr">
        <is>
          <t>Disco</t>
        </is>
      </c>
      <c r="B1969" t="n">
        <v>347672</v>
      </c>
      <c r="C1969" t="n">
        <v>346345</v>
      </c>
      <c r="D1969" t="inlineStr">
        <is>
          <t>Shampoo  Sedal  Crema Balance  190 Ml</t>
        </is>
      </c>
      <c r="E1969" t="inlineStr">
        <is>
          <t>SEDAL</t>
        </is>
      </c>
      <c r="F1969" t="n">
        <v>359.35</v>
      </c>
      <c r="G1969" t="n">
        <v>29698</v>
      </c>
      <c r="H1969" t="b">
        <v>0</v>
      </c>
      <c r="I1969" t="n">
        <v>190</v>
      </c>
      <c r="J1969" t="n">
        <v>1.8913</v>
      </c>
      <c r="K1969" t="inlineStr">
        <is>
          <t>&gt; Perfumería &gt; Cuidado Capilar &gt; Shampoo &gt;</t>
        </is>
      </c>
      <c r="L1969" t="inlineStr">
        <is>
          <t>shampoo</t>
        </is>
      </c>
      <c r="M1969" t="inlineStr">
        <is>
          <t>estandar</t>
        </is>
      </c>
      <c r="N1969" t="inlineStr">
        <is>
          <t>general</t>
        </is>
      </c>
      <c r="O1969" t="inlineStr">
        <is>
          <t>https://www.disco.com.ar/shampoo-sedal-crema-balance-190-ml-2/p</t>
        </is>
      </c>
    </row>
    <row r="1970">
      <c r="A1970" s="10" t="inlineStr">
        <is>
          <t>Disco</t>
        </is>
      </c>
      <c r="B1970" s="10" t="n">
        <v>347670</v>
      </c>
      <c r="C1970" s="10" t="n">
        <v>346343</v>
      </c>
      <c r="D1970" s="10" t="inlineStr">
        <is>
          <t>Shampoo  Sedal  Ceramidas  190 Ml</t>
        </is>
      </c>
      <c r="E1970" s="10" t="inlineStr">
        <is>
          <t>SEDAL</t>
        </is>
      </c>
      <c r="F1970" s="10" t="n">
        <v>359.35</v>
      </c>
      <c r="G1970" s="10" t="n">
        <v>29698</v>
      </c>
      <c r="H1970" s="10" t="b">
        <v>0</v>
      </c>
      <c r="I1970" s="10" t="n">
        <v>190</v>
      </c>
      <c r="J1970" s="10" t="n">
        <v>1.8913</v>
      </c>
      <c r="K1970" s="10" t="inlineStr">
        <is>
          <t>&gt; Perfumería &gt; Cuidado Capilar &gt; Shampoo &gt;</t>
        </is>
      </c>
      <c r="L1970" s="10" t="inlineStr">
        <is>
          <t>shampoo</t>
        </is>
      </c>
      <c r="M1970" s="10" t="inlineStr">
        <is>
          <t>estandar</t>
        </is>
      </c>
      <c r="N1970" s="10" t="inlineStr">
        <is>
          <t>general</t>
        </is>
      </c>
      <c r="O1970" s="10" t="inlineStr">
        <is>
          <t>https://www.disco.com.ar/shampoo-sedal-ceramidas-190-ml/p</t>
        </is>
      </c>
    </row>
    <row r="1971">
      <c r="A1971" t="inlineStr">
        <is>
          <t>Disco</t>
        </is>
      </c>
      <c r="B1971" t="n">
        <v>347634</v>
      </c>
      <c r="C1971" t="n">
        <v>346307</v>
      </c>
      <c r="D1971" t="inlineStr">
        <is>
          <t>Acondicionador Sedal Jengibre Y Ricino 190 Ml</t>
        </is>
      </c>
      <c r="E1971" t="inlineStr">
        <is>
          <t>SEDAL</t>
        </is>
      </c>
      <c r="F1971" t="n">
        <v>600</v>
      </c>
      <c r="G1971" t="n">
        <v>49587</v>
      </c>
      <c r="H1971" t="b">
        <v>0</v>
      </c>
      <c r="I1971" t="n">
        <v>190</v>
      </c>
      <c r="J1971" t="n">
        <v>3.1579</v>
      </c>
      <c r="K1971" t="inlineStr">
        <is>
          <t>&gt; Perfumería &gt; Cuidado Capilar &gt; Acondicionador &gt;</t>
        </is>
      </c>
      <c r="L1971" t="inlineStr">
        <is>
          <t>acondicionador</t>
        </is>
      </c>
      <c r="M1971" t="inlineStr">
        <is>
          <t>estandar</t>
        </is>
      </c>
      <c r="N1971" t="inlineStr">
        <is>
          <t>general</t>
        </is>
      </c>
      <c r="O1971" t="inlineStr">
        <is>
          <t>https://www.disco.com.ar/acondicionador-sedal-jengibre-y-ricino-190-ml/p</t>
        </is>
      </c>
    </row>
    <row r="1972">
      <c r="A1972" s="10" t="inlineStr">
        <is>
          <t>Disco</t>
        </is>
      </c>
      <c r="B1972" s="10" t="n">
        <v>347631</v>
      </c>
      <c r="C1972" s="10" t="n">
        <v>346304</v>
      </c>
      <c r="D1972" s="10" t="inlineStr">
        <is>
          <t>Shampoo Sedal Jengibre &amp; Ricino 650 Ml</t>
        </is>
      </c>
      <c r="E1972" s="10" t="inlineStr">
        <is>
          <t>SEDAL</t>
        </is>
      </c>
      <c r="F1972" s="10" t="n">
        <v>880.05</v>
      </c>
      <c r="G1972" s="10" t="n">
        <v>72731</v>
      </c>
      <c r="H1972" s="10" t="b">
        <v>0</v>
      </c>
      <c r="I1972" s="10" t="n">
        <v>650</v>
      </c>
      <c r="J1972" s="10" t="n">
        <v>1.3539</v>
      </c>
      <c r="K1972" s="10" t="inlineStr">
        <is>
          <t>&gt; Perfumería &gt; Cuidado Capilar &gt; Shampoo &gt;</t>
        </is>
      </c>
      <c r="L1972" s="10" t="inlineStr">
        <is>
          <t>shampoo</t>
        </is>
      </c>
      <c r="M1972" s="10" t="inlineStr">
        <is>
          <t>estandar</t>
        </is>
      </c>
      <c r="N1972" s="10" t="inlineStr">
        <is>
          <t>general</t>
        </is>
      </c>
      <c r="O1972" s="10" t="inlineStr">
        <is>
          <t>https://www.disco.com.ar/shampoo-sedal-jengibre-ricino-650-ml/p</t>
        </is>
      </c>
    </row>
    <row r="1973">
      <c r="A1973" t="inlineStr">
        <is>
          <t>Disco</t>
        </is>
      </c>
      <c r="B1973" t="n">
        <v>347629</v>
      </c>
      <c r="C1973" t="n">
        <v>346302</v>
      </c>
      <c r="D1973" t="inlineStr">
        <is>
          <t>Shampoo Sedal Jengibre Y Ricino 190 Ml</t>
        </is>
      </c>
      <c r="E1973" t="inlineStr">
        <is>
          <t>SEDAL</t>
        </is>
      </c>
      <c r="F1973" t="n">
        <v>600</v>
      </c>
      <c r="G1973" t="n">
        <v>49587</v>
      </c>
      <c r="H1973" t="b">
        <v>0</v>
      </c>
      <c r="I1973" t="n">
        <v>190</v>
      </c>
      <c r="J1973" t="n">
        <v>3.1579</v>
      </c>
      <c r="K1973" t="inlineStr">
        <is>
          <t>&gt; Perfumería &gt; Cuidado Capilar &gt; Shampoo &gt;</t>
        </is>
      </c>
      <c r="L1973" t="inlineStr">
        <is>
          <t>shampoo</t>
        </is>
      </c>
      <c r="M1973" t="inlineStr">
        <is>
          <t>estandar</t>
        </is>
      </c>
      <c r="N1973" t="inlineStr">
        <is>
          <t>general</t>
        </is>
      </c>
      <c r="O1973" t="inlineStr">
        <is>
          <t>https://www.disco.com.ar/shampoo-sedal-jengibre-y-ricino-190-ml/p</t>
        </is>
      </c>
    </row>
    <row r="1974">
      <c r="A1974" s="10" t="inlineStr">
        <is>
          <t>Disco</t>
        </is>
      </c>
      <c r="B1974" s="10" t="n">
        <v>347628</v>
      </c>
      <c r="C1974" s="10" t="n">
        <v>346301</v>
      </c>
      <c r="D1974" s="10" t="inlineStr">
        <is>
          <t>Shampoo Sedal Jengibre Y Ricino 340 Ml</t>
        </is>
      </c>
      <c r="E1974" s="10" t="inlineStr">
        <is>
          <t>SEDAL</t>
        </is>
      </c>
      <c r="F1974" s="10" t="n">
        <v>469.67</v>
      </c>
      <c r="G1974" s="10" t="n">
        <v>38816</v>
      </c>
      <c r="H1974" s="10" t="b">
        <v>0</v>
      </c>
      <c r="I1974" s="10" t="n">
        <v>340</v>
      </c>
      <c r="J1974" s="10" t="n">
        <v>1.3814</v>
      </c>
      <c r="K1974" s="10" t="inlineStr">
        <is>
          <t>&gt; Perfumería &gt; Cuidado Capilar &gt; Shampoo &gt;</t>
        </is>
      </c>
      <c r="L1974" s="10" t="inlineStr">
        <is>
          <t>shampoo</t>
        </is>
      </c>
      <c r="M1974" s="10" t="inlineStr">
        <is>
          <t>estandar</t>
        </is>
      </c>
      <c r="N1974" s="10" t="inlineStr">
        <is>
          <t>general</t>
        </is>
      </c>
      <c r="O1974" s="10" t="inlineStr">
        <is>
          <t>https://www.disco.com.ar/shampoo-sedal-jengibre-y-ricino-340-ml/p</t>
        </is>
      </c>
    </row>
    <row r="1975">
      <c r="A1975" t="inlineStr">
        <is>
          <t>Disco</t>
        </is>
      </c>
      <c r="B1975" t="n">
        <v>347624</v>
      </c>
      <c r="C1975" t="n">
        <v>346297</v>
      </c>
      <c r="D1975" t="inlineStr">
        <is>
          <t>Crema Para Peinar Sedal Jengibre Y Ricino 300 Ml</t>
        </is>
      </c>
      <c r="E1975" t="inlineStr">
        <is>
          <t>SEDAL</t>
        </is>
      </c>
      <c r="F1975" t="n">
        <v>950</v>
      </c>
      <c r="G1975" t="n">
        <v>78512</v>
      </c>
      <c r="H1975" t="b">
        <v>0</v>
      </c>
      <c r="I1975" t="n">
        <v>300</v>
      </c>
      <c r="J1975" t="n">
        <v>3.1667</v>
      </c>
      <c r="K1975" t="inlineStr">
        <is>
          <t>&gt; Perfumería &gt; Cuidado Capilar &gt; Reparación y Tratamientos &gt;</t>
        </is>
      </c>
      <c r="L1975" t="inlineStr">
        <is>
          <t>shampoo</t>
        </is>
      </c>
      <c r="M1975" t="inlineStr">
        <is>
          <t>estandar</t>
        </is>
      </c>
      <c r="N1975" t="inlineStr">
        <is>
          <t>general</t>
        </is>
      </c>
      <c r="O1975" t="inlineStr">
        <is>
          <t>https://www.disco.com.ar/crema-para-peinar-sedal-jengibre-y-ricino-300-ml/p</t>
        </is>
      </c>
    </row>
    <row r="1976">
      <c r="A1976" s="10" t="inlineStr">
        <is>
          <t>Disco</t>
        </is>
      </c>
      <c r="B1976" s="10" t="n">
        <v>347622</v>
      </c>
      <c r="C1976" s="10" t="n">
        <v>346295</v>
      </c>
      <c r="D1976" s="10" t="inlineStr">
        <is>
          <t>Acondicionador Sedal Jengibre &amp; Ricino 650 Ml</t>
        </is>
      </c>
      <c r="E1976" s="10" t="inlineStr">
        <is>
          <t>SEDAL</t>
        </is>
      </c>
      <c r="F1976" s="10" t="n">
        <v>1450</v>
      </c>
      <c r="G1976" s="10" t="n">
        <v>119835</v>
      </c>
      <c r="H1976" s="10" t="b">
        <v>0</v>
      </c>
      <c r="I1976" s="10" t="n">
        <v>650</v>
      </c>
      <c r="J1976" s="10" t="n">
        <v>2.2308</v>
      </c>
      <c r="K1976" s="10" t="inlineStr">
        <is>
          <t>&gt; Perfumería &gt; Cuidado Capilar &gt; Acondicionador &gt;</t>
        </is>
      </c>
      <c r="L1976" s="10" t="inlineStr">
        <is>
          <t>acondicionador</t>
        </is>
      </c>
      <c r="M1976" s="10" t="inlineStr">
        <is>
          <t>estandar</t>
        </is>
      </c>
      <c r="N1976" s="10" t="inlineStr">
        <is>
          <t>general</t>
        </is>
      </c>
      <c r="O1976" s="10" t="inlineStr">
        <is>
          <t>https://www.disco.com.ar/acondicionador-sedal-jengibre-ricino-650-ml/p</t>
        </is>
      </c>
    </row>
    <row r="1977">
      <c r="A1977" t="inlineStr">
        <is>
          <t>Disco</t>
        </is>
      </c>
      <c r="B1977" t="n">
        <v>347620</v>
      </c>
      <c r="C1977" t="n">
        <v>346293</v>
      </c>
      <c r="D1977" t="inlineStr">
        <is>
          <t>Acondicionador Sedal Jengibre &amp; Ricino 340 Ml</t>
        </is>
      </c>
      <c r="E1977" t="inlineStr">
        <is>
          <t>SEDAL</t>
        </is>
      </c>
      <c r="F1977" t="n">
        <v>900</v>
      </c>
      <c r="G1977" t="n">
        <v>74380</v>
      </c>
      <c r="H1977" t="b">
        <v>0</v>
      </c>
      <c r="I1977" t="n">
        <v>340</v>
      </c>
      <c r="J1977" t="n">
        <v>2.6471</v>
      </c>
      <c r="K1977" t="inlineStr">
        <is>
          <t>&gt; Perfumería &gt; Cuidado Capilar &gt; Acondicionador &gt;</t>
        </is>
      </c>
      <c r="L1977" t="inlineStr">
        <is>
          <t>acondicionador</t>
        </is>
      </c>
      <c r="M1977" t="inlineStr">
        <is>
          <t>estandar</t>
        </is>
      </c>
      <c r="N1977" t="inlineStr">
        <is>
          <t>general</t>
        </is>
      </c>
      <c r="O1977" t="inlineStr">
        <is>
          <t>https://www.disco.com.ar/acondicionador-sedal-jengibre-ricino-340-ml/p</t>
        </is>
      </c>
    </row>
    <row r="1978">
      <c r="A1978" s="10" t="inlineStr">
        <is>
          <t>Disco</t>
        </is>
      </c>
      <c r="B1978" s="10" t="n">
        <v>344035</v>
      </c>
      <c r="C1978" s="10" t="n">
        <v>342720</v>
      </c>
      <c r="D1978" s="10" t="inlineStr">
        <is>
          <t>Shampoo Sedal Bomba Nutrición Antifrizz 190 Ml</t>
        </is>
      </c>
      <c r="E1978" s="10" t="inlineStr">
        <is>
          <t>SEDAL</t>
        </is>
      </c>
      <c r="F1978" s="10" t="n">
        <v>359.35</v>
      </c>
      <c r="G1978" s="10" t="n">
        <v>29698</v>
      </c>
      <c r="H1978" s="10" t="b">
        <v>0</v>
      </c>
      <c r="I1978" s="10" t="n">
        <v>190</v>
      </c>
      <c r="J1978" s="10" t="n">
        <v>1.8913</v>
      </c>
      <c r="K1978" s="10" t="inlineStr">
        <is>
          <t>&gt; Perfumería &gt; Cuidado Capilar &gt; Shampoo &gt;</t>
        </is>
      </c>
      <c r="L1978" s="10" t="inlineStr">
        <is>
          <t>shampoo</t>
        </is>
      </c>
      <c r="M1978" s="10" t="inlineStr">
        <is>
          <t>estandar</t>
        </is>
      </c>
      <c r="N1978" s="10" t="inlineStr">
        <is>
          <t>general</t>
        </is>
      </c>
      <c r="O1978" s="10" t="inlineStr">
        <is>
          <t>https://www.disco.com.ar/shampoo-sedal-bomba-nutricion-antifrizz-190-ml/p</t>
        </is>
      </c>
    </row>
    <row r="1979">
      <c r="A1979" t="inlineStr">
        <is>
          <t>Disco</t>
        </is>
      </c>
      <c r="B1979" t="n">
        <v>344025</v>
      </c>
      <c r="C1979" t="n">
        <v>342710</v>
      </c>
      <c r="D1979" t="inlineStr">
        <is>
          <t>Acondicionador Sedal Bomba Argán Restaura 650 Ml</t>
        </is>
      </c>
      <c r="E1979" t="inlineStr">
        <is>
          <t>SEDAL</t>
        </is>
      </c>
      <c r="F1979" t="n">
        <v>1450</v>
      </c>
      <c r="G1979" t="n">
        <v>119835</v>
      </c>
      <c r="H1979" t="b">
        <v>0</v>
      </c>
      <c r="I1979" t="n">
        <v>650</v>
      </c>
      <c r="J1979" t="n">
        <v>2.2308</v>
      </c>
      <c r="K1979" t="inlineStr">
        <is>
          <t>&gt; Perfumería &gt; Cuidado Capilar &gt; Acondicionador &gt;</t>
        </is>
      </c>
      <c r="L1979" t="inlineStr">
        <is>
          <t>acondicionador</t>
        </is>
      </c>
      <c r="M1979" t="inlineStr">
        <is>
          <t>estandar</t>
        </is>
      </c>
      <c r="N1979" t="inlineStr">
        <is>
          <t>general</t>
        </is>
      </c>
      <c r="O1979" t="inlineStr">
        <is>
          <t>https://www.disco.com.ar/acondicionador-sedal-bomba-argan-restaura-650-ml/p</t>
        </is>
      </c>
    </row>
    <row r="1980">
      <c r="A1980" s="10" t="inlineStr">
        <is>
          <t>Disco</t>
        </is>
      </c>
      <c r="B1980" s="10" t="n">
        <v>344023</v>
      </c>
      <c r="C1980" s="10" t="n">
        <v>342708</v>
      </c>
      <c r="D1980" s="10" t="inlineStr">
        <is>
          <t>Acondicionador Sedal Bomba Argán Restaura 190 Ml</t>
        </is>
      </c>
      <c r="E1980" s="10" t="inlineStr">
        <is>
          <t>SEDAL</t>
        </is>
      </c>
      <c r="F1980" s="10" t="n">
        <v>600</v>
      </c>
      <c r="G1980" s="10" t="n">
        <v>49587</v>
      </c>
      <c r="H1980" s="10" t="b">
        <v>0</v>
      </c>
      <c r="I1980" s="10" t="n">
        <v>190</v>
      </c>
      <c r="J1980" s="10" t="n">
        <v>3.1579</v>
      </c>
      <c r="K1980" s="10" t="inlineStr">
        <is>
          <t>&gt; Perfumería &gt; Cuidado Capilar &gt; Acondicionador &gt;</t>
        </is>
      </c>
      <c r="L1980" s="10" t="inlineStr">
        <is>
          <t>acondicionador</t>
        </is>
      </c>
      <c r="M1980" s="10" t="inlineStr">
        <is>
          <t>estandar</t>
        </is>
      </c>
      <c r="N1980" s="10" t="inlineStr">
        <is>
          <t>general</t>
        </is>
      </c>
      <c r="O1980" s="10" t="inlineStr">
        <is>
          <t>https://www.disco.com.ar/acondicionador-sedal-bomba-argan-restaura-190-ml/p</t>
        </is>
      </c>
    </row>
    <row r="1981">
      <c r="A1981" t="inlineStr">
        <is>
          <t>Disco</t>
        </is>
      </c>
      <c r="B1981" t="n">
        <v>344021</v>
      </c>
      <c r="C1981" t="n">
        <v>342706</v>
      </c>
      <c r="D1981" t="inlineStr">
        <is>
          <t>Shampoo Sedal Bomba Nutricion 340ml...</t>
        </is>
      </c>
      <c r="E1981" t="inlineStr">
        <is>
          <t>SEDAL</t>
        </is>
      </c>
      <c r="F1981" t="n">
        <v>850</v>
      </c>
      <c r="G1981" t="n">
        <v>70248</v>
      </c>
      <c r="H1981" t="b">
        <v>0</v>
      </c>
      <c r="I1981" t="n">
        <v>340</v>
      </c>
      <c r="J1981" t="n">
        <v>2.5</v>
      </c>
      <c r="K1981" t="inlineStr">
        <is>
          <t>&gt; Perfumería &gt; Cuidado Capilar &gt; Shampoo &gt;</t>
        </is>
      </c>
      <c r="L1981" t="inlineStr">
        <is>
          <t>shampoo</t>
        </is>
      </c>
      <c r="M1981" t="inlineStr">
        <is>
          <t>estandar</t>
        </is>
      </c>
      <c r="N1981" t="inlineStr">
        <is>
          <t>general</t>
        </is>
      </c>
      <c r="O1981" t="inlineStr">
        <is>
          <t>https://www.disco.com.ar/shampoo-sedal-bomba-nutricion-340ml-2/p</t>
        </is>
      </c>
    </row>
    <row r="1982">
      <c r="A1982" s="10" t="inlineStr">
        <is>
          <t>Disco</t>
        </is>
      </c>
      <c r="B1982" s="10" t="n">
        <v>344020</v>
      </c>
      <c r="C1982" s="10" t="n">
        <v>342705</v>
      </c>
      <c r="D1982" s="10" t="inlineStr">
        <is>
          <t>Shampoo Sedal Bomba Argán Restaura 340 Ml</t>
        </is>
      </c>
      <c r="E1982" s="10" t="inlineStr">
        <is>
          <t>SEDAL</t>
        </is>
      </c>
      <c r="F1982" s="10" t="n">
        <v>469.67</v>
      </c>
      <c r="G1982" s="10" t="n">
        <v>38816</v>
      </c>
      <c r="H1982" s="10" t="b">
        <v>0</v>
      </c>
      <c r="I1982" s="10" t="n">
        <v>340</v>
      </c>
      <c r="J1982" s="10" t="n">
        <v>1.3814</v>
      </c>
      <c r="K1982" s="10" t="inlineStr">
        <is>
          <t>&gt; Perfumería &gt; Cuidado Capilar &gt; Shampoo &gt;</t>
        </is>
      </c>
      <c r="L1982" s="10" t="inlineStr">
        <is>
          <t>shampoo</t>
        </is>
      </c>
      <c r="M1982" s="10" t="inlineStr">
        <is>
          <t>estandar</t>
        </is>
      </c>
      <c r="N1982" s="10" t="inlineStr">
        <is>
          <t>general</t>
        </is>
      </c>
      <c r="O1982" s="10" t="inlineStr">
        <is>
          <t>https://www.disco.com.ar/shampoo-sedal-bomba-argan-restaura-340-ml/p</t>
        </is>
      </c>
    </row>
    <row r="1983">
      <c r="A1983" t="inlineStr">
        <is>
          <t>Disco</t>
        </is>
      </c>
      <c r="B1983" t="n">
        <v>343923</v>
      </c>
      <c r="C1983" t="n">
        <v>342607</v>
      </c>
      <c r="D1983" t="inlineStr">
        <is>
          <t>Acondicionador Sedal Carbón Activado  Peonias 650 Ml</t>
        </is>
      </c>
      <c r="E1983" t="inlineStr">
        <is>
          <t>SEDAL</t>
        </is>
      </c>
      <c r="F1983" t="n">
        <v>1500</v>
      </c>
      <c r="G1983" t="n">
        <v>123967</v>
      </c>
      <c r="H1983" t="b">
        <v>0</v>
      </c>
      <c r="I1983" t="n">
        <v>650</v>
      </c>
      <c r="J1983" t="n">
        <v>2.3077</v>
      </c>
      <c r="K1983" t="inlineStr">
        <is>
          <t>&gt; Perfumería &gt; Cuidado Capilar &gt; Acondicionador &gt;</t>
        </is>
      </c>
      <c r="L1983" t="inlineStr">
        <is>
          <t>acondicionador</t>
        </is>
      </c>
      <c r="M1983" t="inlineStr">
        <is>
          <t>estandar</t>
        </is>
      </c>
      <c r="N1983" t="inlineStr">
        <is>
          <t>general</t>
        </is>
      </c>
      <c r="O1983" t="inlineStr">
        <is>
          <t>https://www.disco.com.ar/acondicionador-sedal-carbon-activado-peonias-650-ml/p</t>
        </is>
      </c>
    </row>
    <row r="1984">
      <c r="A1984" s="10" t="inlineStr">
        <is>
          <t>Disco</t>
        </is>
      </c>
      <c r="B1984" s="10" t="n">
        <v>343922</v>
      </c>
      <c r="C1984" s="10" t="n">
        <v>342606</v>
      </c>
      <c r="D1984" s="10" t="inlineStr">
        <is>
          <t>Acondicionador Sedal Carbón Activado  Peonias 340 Ml</t>
        </is>
      </c>
      <c r="E1984" s="10" t="inlineStr">
        <is>
          <t>SEDAL</t>
        </is>
      </c>
      <c r="F1984" s="10" t="n">
        <v>800</v>
      </c>
      <c r="G1984" s="10" t="n">
        <v>66116</v>
      </c>
      <c r="H1984" s="10" t="b">
        <v>0</v>
      </c>
      <c r="I1984" s="10" t="n">
        <v>340</v>
      </c>
      <c r="J1984" s="10" t="n">
        <v>2.3529</v>
      </c>
      <c r="K1984" s="10" t="inlineStr">
        <is>
          <t>&gt; Perfumería &gt; Cuidado Capilar &gt; Acondicionador &gt;</t>
        </is>
      </c>
      <c r="L1984" s="10" t="inlineStr">
        <is>
          <t>acondicionador</t>
        </is>
      </c>
      <c r="M1984" s="10" t="inlineStr">
        <is>
          <t>estandar</t>
        </is>
      </c>
      <c r="N1984" s="10" t="inlineStr">
        <is>
          <t>general</t>
        </is>
      </c>
      <c r="O1984" s="10" t="inlineStr">
        <is>
          <t>https://www.disco.com.ar/acondicionador-sedal-carbon-activado-peonias-340-ml/p</t>
        </is>
      </c>
    </row>
    <row r="1985">
      <c r="A1985" t="inlineStr">
        <is>
          <t>Disco</t>
        </is>
      </c>
      <c r="B1985" t="n">
        <v>343921</v>
      </c>
      <c r="C1985" t="n">
        <v>342605</v>
      </c>
      <c r="D1985" t="inlineStr">
        <is>
          <t>Acondicionador Sedal Carbón Activado Peonias 190 Ml</t>
        </is>
      </c>
      <c r="E1985" t="inlineStr">
        <is>
          <t>SEDAL</t>
        </is>
      </c>
      <c r="F1985" t="n">
        <v>650</v>
      </c>
      <c r="G1985" t="n">
        <v>53719</v>
      </c>
      <c r="H1985" t="b">
        <v>0</v>
      </c>
      <c r="I1985" t="n">
        <v>190</v>
      </c>
      <c r="J1985" t="n">
        <v>3.4211</v>
      </c>
      <c r="K1985" t="inlineStr">
        <is>
          <t>&gt; Perfumería &gt; Cuidado Capilar &gt; Acondicionador &gt;</t>
        </is>
      </c>
      <c r="L1985" t="inlineStr">
        <is>
          <t>acondicionador</t>
        </is>
      </c>
      <c r="M1985" t="inlineStr">
        <is>
          <t>estandar</t>
        </is>
      </c>
      <c r="N1985" t="inlineStr">
        <is>
          <t>general</t>
        </is>
      </c>
      <c r="O1985" t="inlineStr">
        <is>
          <t>https://www.disco.com.ar/acondicionador-sedal-carbon-activado-peonias-190-ml/p</t>
        </is>
      </c>
    </row>
    <row r="1986">
      <c r="A1986" s="10" t="inlineStr">
        <is>
          <t>Disco</t>
        </is>
      </c>
      <c r="B1986" s="10" t="n">
        <v>343920</v>
      </c>
      <c r="C1986" s="10" t="n">
        <v>342604</v>
      </c>
      <c r="D1986" s="10" t="inlineStr">
        <is>
          <t>Acondicionador Sedal Bomba Nutrición Antifrizz 650 Ml</t>
        </is>
      </c>
      <c r="E1986" s="10" t="inlineStr">
        <is>
          <t>SEDAL</t>
        </is>
      </c>
      <c r="F1986" s="10" t="n">
        <v>950</v>
      </c>
      <c r="G1986" s="10" t="n">
        <v>78512</v>
      </c>
      <c r="H1986" s="10" t="b">
        <v>0</v>
      </c>
      <c r="I1986" s="10" t="n">
        <v>650</v>
      </c>
      <c r="J1986" s="10" t="n">
        <v>1.4615</v>
      </c>
      <c r="K1986" s="10" t="inlineStr">
        <is>
          <t>&gt; Perfumería &gt; Cuidado Capilar &gt; Acondicionador &gt;</t>
        </is>
      </c>
      <c r="L1986" s="10" t="inlineStr">
        <is>
          <t>acondicionador</t>
        </is>
      </c>
      <c r="M1986" s="10" t="inlineStr">
        <is>
          <t>estandar</t>
        </is>
      </c>
      <c r="N1986" s="10" t="inlineStr">
        <is>
          <t>general</t>
        </is>
      </c>
      <c r="O1986" s="10" t="inlineStr">
        <is>
          <t>https://www.disco.com.ar/acondicionador-sedal-bomba-nutricion-antifrizz-650-ml/p</t>
        </is>
      </c>
    </row>
    <row r="1987">
      <c r="A1987" t="inlineStr">
        <is>
          <t>Disco</t>
        </is>
      </c>
      <c r="B1987" t="n">
        <v>343822</v>
      </c>
      <c r="C1987" t="n">
        <v>342506</v>
      </c>
      <c r="D1987" t="inlineStr">
        <is>
          <t>Acondicionador Sedal Bomba Nutrición Antifrizz 190 Ml</t>
        </is>
      </c>
      <c r="E1987" t="inlineStr">
        <is>
          <t>SEDAL</t>
        </is>
      </c>
      <c r="F1987" t="n">
        <v>359.35</v>
      </c>
      <c r="G1987" t="n">
        <v>29698</v>
      </c>
      <c r="H1987" t="b">
        <v>0</v>
      </c>
      <c r="I1987" t="n">
        <v>190</v>
      </c>
      <c r="J1987" t="n">
        <v>1.8913</v>
      </c>
      <c r="K1987" t="inlineStr">
        <is>
          <t>&gt; Perfumería &gt; Cuidado Capilar &gt; Acondicionador &gt;</t>
        </is>
      </c>
      <c r="L1987" t="inlineStr">
        <is>
          <t>acondicionador</t>
        </is>
      </c>
      <c r="M1987" t="inlineStr">
        <is>
          <t>estandar</t>
        </is>
      </c>
      <c r="N1987" t="inlineStr">
        <is>
          <t>general</t>
        </is>
      </c>
      <c r="O1987" t="inlineStr">
        <is>
          <t>https://www.disco.com.ar/acondicionador-sedal-bomba-nutricion-antifrizz-190-ml/p</t>
        </is>
      </c>
    </row>
    <row r="1988">
      <c r="A1988" s="10" t="inlineStr">
        <is>
          <t>Disco</t>
        </is>
      </c>
      <c r="B1988" s="10" t="n">
        <v>343821</v>
      </c>
      <c r="C1988" s="10" t="n">
        <v>342505</v>
      </c>
      <c r="D1988" s="10" t="inlineStr">
        <is>
          <t>Acondicionador Sedal Bomba Nutrición Antifrizz 340 Ml</t>
        </is>
      </c>
      <c r="E1988" s="10" t="inlineStr">
        <is>
          <t>SEDAL</t>
        </is>
      </c>
      <c r="F1988" s="10" t="n">
        <v>469.67</v>
      </c>
      <c r="G1988" s="10" t="n">
        <v>38816</v>
      </c>
      <c r="H1988" s="10" t="b">
        <v>0</v>
      </c>
      <c r="I1988" s="10" t="n">
        <v>340</v>
      </c>
      <c r="J1988" s="10" t="n">
        <v>1.3814</v>
      </c>
      <c r="K1988" s="10" t="inlineStr">
        <is>
          <t>&gt; Perfumería &gt; Cuidado Capilar &gt; Acondicionador &gt;</t>
        </is>
      </c>
      <c r="L1988" s="10" t="inlineStr">
        <is>
          <t>acondicionador</t>
        </is>
      </c>
      <c r="M1988" s="10" t="inlineStr">
        <is>
          <t>estandar</t>
        </is>
      </c>
      <c r="N1988" s="10" t="inlineStr">
        <is>
          <t>general</t>
        </is>
      </c>
      <c r="O1988" s="10" t="inlineStr">
        <is>
          <t>https://www.disco.com.ar/acondicionador-sedal-bomba-nutricion-antifrizz-340-ml/p</t>
        </is>
      </c>
    </row>
    <row r="1989">
      <c r="A1989" t="inlineStr">
        <is>
          <t>Disco</t>
        </is>
      </c>
      <c r="B1989" t="n">
        <v>343820</v>
      </c>
      <c r="C1989" t="n">
        <v>342504</v>
      </c>
      <c r="D1989" t="inlineStr">
        <is>
          <t>Shampoo Sedal Carbón Activado  Peonias 340 Ml</t>
        </is>
      </c>
      <c r="E1989" t="inlineStr">
        <is>
          <t>SEDAL</t>
        </is>
      </c>
      <c r="F1989" t="n">
        <v>800</v>
      </c>
      <c r="G1989" t="n">
        <v>66116</v>
      </c>
      <c r="H1989" t="b">
        <v>0</v>
      </c>
      <c r="I1989" t="n">
        <v>340</v>
      </c>
      <c r="J1989" t="n">
        <v>2.3529</v>
      </c>
      <c r="K1989" t="inlineStr">
        <is>
          <t>&gt; Perfumería &gt; Cuidado Capilar &gt; Shampoo &gt;</t>
        </is>
      </c>
      <c r="L1989" t="inlineStr">
        <is>
          <t>shampoo</t>
        </is>
      </c>
      <c r="M1989" t="inlineStr">
        <is>
          <t>estandar</t>
        </is>
      </c>
      <c r="N1989" t="inlineStr">
        <is>
          <t>general</t>
        </is>
      </c>
      <c r="O1989" t="inlineStr">
        <is>
          <t>https://www.disco.com.ar/shampoo-sedal-carbon-activado-peonias-340-ml/p</t>
        </is>
      </c>
    </row>
    <row r="1990">
      <c r="A1990" s="10" t="inlineStr">
        <is>
          <t>Disco</t>
        </is>
      </c>
      <c r="B1990" s="10" t="n">
        <v>343819</v>
      </c>
      <c r="C1990" s="10" t="n">
        <v>342503</v>
      </c>
      <c r="D1990" s="10" t="inlineStr">
        <is>
          <t>Shampoo Sedal Carbón Activado Peonias 650 Ml</t>
        </is>
      </c>
      <c r="E1990" s="10" t="inlineStr">
        <is>
          <t>SEDAL</t>
        </is>
      </c>
      <c r="F1990" s="10" t="n">
        <v>1350</v>
      </c>
      <c r="G1990" s="10" t="n">
        <v>111570</v>
      </c>
      <c r="H1990" s="10" t="b">
        <v>0</v>
      </c>
      <c r="I1990" s="10" t="n">
        <v>650</v>
      </c>
      <c r="J1990" s="10" t="n">
        <v>2.0769</v>
      </c>
      <c r="K1990" s="10" t="inlineStr">
        <is>
          <t>&gt; Perfumería &gt; Cuidado Capilar &gt; Shampoo &gt;</t>
        </is>
      </c>
      <c r="L1990" s="10" t="inlineStr">
        <is>
          <t>shampoo</t>
        </is>
      </c>
      <c r="M1990" s="10" t="inlineStr">
        <is>
          <t>estandar</t>
        </is>
      </c>
      <c r="N1990" s="10" t="inlineStr">
        <is>
          <t>general</t>
        </is>
      </c>
      <c r="O1990" s="10" t="inlineStr">
        <is>
          <t>https://www.disco.com.ar/shampoo-sedal-carbon-activado-peonias-650-ml/p</t>
        </is>
      </c>
    </row>
    <row r="1991">
      <c r="A1991" t="inlineStr">
        <is>
          <t>Disco</t>
        </is>
      </c>
      <c r="B1991" t="n">
        <v>343818</v>
      </c>
      <c r="C1991" t="n">
        <v>342502</v>
      </c>
      <c r="D1991" t="inlineStr">
        <is>
          <t>Shampoo Sedal Bomba Argán Restaura 650 Ml</t>
        </is>
      </c>
      <c r="E1991" t="inlineStr">
        <is>
          <t>SEDAL</t>
        </is>
      </c>
      <c r="F1991" t="n">
        <v>1350</v>
      </c>
      <c r="G1991" t="n">
        <v>111570</v>
      </c>
      <c r="H1991" t="b">
        <v>0</v>
      </c>
      <c r="I1991" t="n">
        <v>650</v>
      </c>
      <c r="J1991" t="n">
        <v>2.0769</v>
      </c>
      <c r="K1991" t="inlineStr">
        <is>
          <t>&gt; Perfumería &gt; Cuidado Capilar &gt; Shampoo &gt;</t>
        </is>
      </c>
      <c r="L1991" t="inlineStr">
        <is>
          <t>shampoo</t>
        </is>
      </c>
      <c r="M1991" t="inlineStr">
        <is>
          <t>estandar</t>
        </is>
      </c>
      <c r="N1991" t="inlineStr">
        <is>
          <t>general</t>
        </is>
      </c>
      <c r="O1991" t="inlineStr">
        <is>
          <t>https://www.disco.com.ar/shampoo-sedal-bomba-argan-restaura-650-ml/p</t>
        </is>
      </c>
    </row>
    <row r="1992">
      <c r="A1992" s="10" t="inlineStr">
        <is>
          <t>Disco</t>
        </is>
      </c>
      <c r="B1992" s="10" t="n">
        <v>343817</v>
      </c>
      <c r="C1992" s="10" t="n">
        <v>342501</v>
      </c>
      <c r="D1992" s="10" t="inlineStr">
        <is>
          <t>Shampoo Sedal Carbón Activado  Peonias 190 Ml</t>
        </is>
      </c>
      <c r="E1992" s="10" t="inlineStr">
        <is>
          <t>SEDAL</t>
        </is>
      </c>
      <c r="F1992" s="10" t="n">
        <v>650</v>
      </c>
      <c r="G1992" s="10" t="n">
        <v>53719</v>
      </c>
      <c r="H1992" s="10" t="b">
        <v>0</v>
      </c>
      <c r="I1992" s="10" t="n">
        <v>190</v>
      </c>
      <c r="J1992" s="10" t="n">
        <v>3.4211</v>
      </c>
      <c r="K1992" s="10" t="inlineStr">
        <is>
          <t>&gt; Perfumería &gt; Cuidado Capilar &gt; Shampoo &gt;</t>
        </is>
      </c>
      <c r="L1992" s="10" t="inlineStr">
        <is>
          <t>shampoo</t>
        </is>
      </c>
      <c r="M1992" s="10" t="inlineStr">
        <is>
          <t>estandar</t>
        </is>
      </c>
      <c r="N1992" s="10" t="inlineStr">
        <is>
          <t>general</t>
        </is>
      </c>
      <c r="O1992" s="10" t="inlineStr">
        <is>
          <t>https://www.disco.com.ar/shampoo-sedal-carbon-activado-peonias-190-ml/p</t>
        </is>
      </c>
    </row>
    <row r="1993">
      <c r="A1993" t="inlineStr">
        <is>
          <t>Disco</t>
        </is>
      </c>
      <c r="B1993" t="n">
        <v>341296</v>
      </c>
      <c r="C1993" t="n">
        <v>339985</v>
      </c>
      <c r="D1993" t="inlineStr">
        <is>
          <t>Crema Sedal Acido Hialuronico  Vit A 300ml</t>
        </is>
      </c>
      <c r="E1993" t="inlineStr">
        <is>
          <t>SEDAL</t>
        </is>
      </c>
      <c r="F1993" t="n">
        <v>870.0700000000001</v>
      </c>
      <c r="G1993" t="n">
        <v>71907</v>
      </c>
      <c r="H1993" t="b">
        <v>0</v>
      </c>
      <c r="I1993" t="n">
        <v>300</v>
      </c>
      <c r="J1993" t="n">
        <v>2.9002</v>
      </c>
      <c r="K1993" t="inlineStr">
        <is>
          <t>&gt; Perfumería &gt; Cuidado Capilar &gt; Reparación y Tratamientos &gt;</t>
        </is>
      </c>
      <c r="L1993" t="inlineStr">
        <is>
          <t>shampoo</t>
        </is>
      </c>
      <c r="M1993" t="inlineStr">
        <is>
          <t>estandar</t>
        </is>
      </c>
      <c r="N1993" t="inlineStr">
        <is>
          <t>general</t>
        </is>
      </c>
      <c r="O1993" t="inlineStr">
        <is>
          <t>https://www.disco.com.ar/crema-sedal-acido-hialuronico-vit-a-300ml/p</t>
        </is>
      </c>
    </row>
    <row r="1994">
      <c r="A1994" s="10" t="inlineStr">
        <is>
          <t>Disco</t>
        </is>
      </c>
      <c r="B1994" s="10" t="n">
        <v>336060</v>
      </c>
      <c r="C1994" s="10" t="n">
        <v>335169</v>
      </c>
      <c r="D1994" s="10" t="inlineStr">
        <is>
          <t>Acondicionador Sedal ácido Hialurónico  Vitamina A 340 Ml</t>
        </is>
      </c>
      <c r="E1994" s="10" t="inlineStr">
        <is>
          <t>SEDAL</t>
        </is>
      </c>
      <c r="F1994" s="10" t="n">
        <v>900</v>
      </c>
      <c r="G1994" s="10" t="n">
        <v>74380</v>
      </c>
      <c r="H1994" s="10" t="b">
        <v>0</v>
      </c>
      <c r="I1994" s="10" t="n">
        <v>340</v>
      </c>
      <c r="J1994" s="10" t="n">
        <v>2.6471</v>
      </c>
      <c r="K1994" s="10" t="inlineStr">
        <is>
          <t>&gt; Perfumería &gt; Cuidado Capilar &gt; Acondicionador &gt;</t>
        </is>
      </c>
      <c r="L1994" s="10" t="inlineStr">
        <is>
          <t>acondicionador</t>
        </is>
      </c>
      <c r="M1994" s="10" t="inlineStr">
        <is>
          <t>estandar</t>
        </is>
      </c>
      <c r="N1994" s="10" t="inlineStr">
        <is>
          <t>general</t>
        </is>
      </c>
      <c r="O1994" s="10" t="inlineStr">
        <is>
          <t>https://www.disco.com.ar/acondicionador-sedal-acido-hialuronico-vitamina-a-340-ml/p</t>
        </is>
      </c>
    </row>
    <row r="1995">
      <c r="A1995" t="inlineStr">
        <is>
          <t>Disco</t>
        </is>
      </c>
      <c r="B1995" t="n">
        <v>336058</v>
      </c>
      <c r="C1995" t="n">
        <v>335167</v>
      </c>
      <c r="D1995" t="inlineStr">
        <is>
          <t>Shampoo Sedal Colágeno Vitamina C 340 Ml</t>
        </is>
      </c>
      <c r="E1995" t="inlineStr">
        <is>
          <t>SEDAL</t>
        </is>
      </c>
      <c r="F1995" t="n">
        <v>800</v>
      </c>
      <c r="G1995" t="n">
        <v>66116</v>
      </c>
      <c r="H1995" t="b">
        <v>0</v>
      </c>
      <c r="I1995" t="n">
        <v>340</v>
      </c>
      <c r="J1995" t="n">
        <v>2.3529</v>
      </c>
      <c r="K1995" t="inlineStr">
        <is>
          <t>&gt; Perfumería &gt; Cuidado Capilar &gt; Shampoo &gt;</t>
        </is>
      </c>
      <c r="L1995" t="inlineStr">
        <is>
          <t>shampoo</t>
        </is>
      </c>
      <c r="M1995" t="inlineStr">
        <is>
          <t>estandar</t>
        </is>
      </c>
      <c r="N1995" t="inlineStr">
        <is>
          <t>general</t>
        </is>
      </c>
      <c r="O1995" t="inlineStr">
        <is>
          <t>https://www.disco.com.ar/shampoo-sedal-colageno-vitamina-c-340-ml/p</t>
        </is>
      </c>
    </row>
    <row r="1996">
      <c r="A1996" s="10" t="inlineStr">
        <is>
          <t>Disco</t>
        </is>
      </c>
      <c r="B1996" s="10" t="n">
        <v>336044</v>
      </c>
      <c r="C1996" s="10" t="n">
        <v>335153</v>
      </c>
      <c r="D1996" s="10" t="inlineStr">
        <is>
          <t>Acondicionador Sedal Colageno Vitamina C 340 Ml</t>
        </is>
      </c>
      <c r="E1996" s="10" t="inlineStr">
        <is>
          <t>SEDAL</t>
        </is>
      </c>
      <c r="F1996" s="10" t="n">
        <v>850</v>
      </c>
      <c r="G1996" s="10" t="n">
        <v>70248</v>
      </c>
      <c r="H1996" s="10" t="b">
        <v>0</v>
      </c>
      <c r="I1996" s="10" t="n">
        <v>340</v>
      </c>
      <c r="J1996" s="10" t="n">
        <v>2.5</v>
      </c>
      <c r="K1996" s="10" t="inlineStr">
        <is>
          <t>&gt; Perfumería &gt; Cuidado Capilar &gt; Acondicionador &gt;</t>
        </is>
      </c>
      <c r="L1996" s="10" t="inlineStr">
        <is>
          <t>acondicionador</t>
        </is>
      </c>
      <c r="M1996" s="10" t="inlineStr">
        <is>
          <t>estandar</t>
        </is>
      </c>
      <c r="N1996" s="10" t="inlineStr">
        <is>
          <t>general</t>
        </is>
      </c>
      <c r="O1996" s="10" t="inlineStr">
        <is>
          <t>https://www.disco.com.ar/acondicionador-sedal-colageno-vitamina-c-340-ml/p</t>
        </is>
      </c>
    </row>
    <row r="1997">
      <c r="A1997" t="inlineStr">
        <is>
          <t>Disco</t>
        </is>
      </c>
      <c r="B1997" t="n">
        <v>336041</v>
      </c>
      <c r="C1997" t="n">
        <v>335150</v>
      </c>
      <c r="D1997" t="inlineStr">
        <is>
          <t>Shampoo Sedal  acido Hialuronico Vitamina A 340 Ml</t>
        </is>
      </c>
      <c r="E1997" t="inlineStr">
        <is>
          <t>SEDAL</t>
        </is>
      </c>
      <c r="F1997" t="n">
        <v>501.93</v>
      </c>
      <c r="G1997" t="n">
        <v>41482</v>
      </c>
      <c r="H1997" t="b">
        <v>0</v>
      </c>
      <c r="I1997" t="n">
        <v>340</v>
      </c>
      <c r="J1997" t="n">
        <v>1.4763</v>
      </c>
      <c r="K1997" t="inlineStr">
        <is>
          <t>&gt; Perfumería &gt; Cuidado Capilar &gt; Shampoo &gt;</t>
        </is>
      </c>
      <c r="L1997" t="inlineStr">
        <is>
          <t>shampoo</t>
        </is>
      </c>
      <c r="M1997" t="inlineStr">
        <is>
          <t>estandar</t>
        </is>
      </c>
      <c r="N1997" t="inlineStr">
        <is>
          <t>general</t>
        </is>
      </c>
      <c r="O1997" t="inlineStr">
        <is>
          <t>https://www.disco.com.ar/shampoo-sedal-acido-hialuronico-vitamina-a-340-ml/p</t>
        </is>
      </c>
    </row>
    <row r="1998">
      <c r="A1998" s="10" t="inlineStr">
        <is>
          <t>Disco</t>
        </is>
      </c>
      <c r="B1998" s="10" t="n">
        <v>336040</v>
      </c>
      <c r="C1998" s="10" t="n">
        <v>335149</v>
      </c>
      <c r="D1998" s="10" t="inlineStr">
        <is>
          <t>Acondicionador Sedal Bomba Coco Repara 340 Ml</t>
        </is>
      </c>
      <c r="E1998" s="10" t="inlineStr">
        <is>
          <t>SEDAL</t>
        </is>
      </c>
      <c r="F1998" s="10" t="n">
        <v>235.29</v>
      </c>
      <c r="G1998" s="10" t="n">
        <v>19445</v>
      </c>
      <c r="H1998" s="10" t="b">
        <v>0</v>
      </c>
      <c r="I1998" s="10" t="n">
        <v>340</v>
      </c>
      <c r="J1998" s="10" t="n">
        <v>0.6919999999999999</v>
      </c>
      <c r="K1998" s="10" t="inlineStr">
        <is>
          <t>&gt; Perfumería &gt; Cuidado Capilar &gt; Acondicionador &gt;</t>
        </is>
      </c>
      <c r="L1998" s="10" t="inlineStr">
        <is>
          <t>acondicionador</t>
        </is>
      </c>
      <c r="M1998" s="10" t="inlineStr">
        <is>
          <t>estandar</t>
        </is>
      </c>
      <c r="N1998" s="10" t="inlineStr">
        <is>
          <t>general</t>
        </is>
      </c>
      <c r="O1998" s="10" t="inlineStr">
        <is>
          <t>https://www.disco.com.ar/acondicionador-sedal-bomba-coco-repara-340-ml/p</t>
        </is>
      </c>
    </row>
    <row r="1999">
      <c r="A1999" t="inlineStr">
        <is>
          <t>Disco</t>
        </is>
      </c>
      <c r="B1999" t="n">
        <v>336039</v>
      </c>
      <c r="C1999" t="n">
        <v>335148</v>
      </c>
      <c r="D1999" t="inlineStr">
        <is>
          <t>Shampoo Sedal Bomba Coco Repara 340 Ml</t>
        </is>
      </c>
      <c r="E1999" t="inlineStr">
        <is>
          <t>SEDAL</t>
        </is>
      </c>
      <c r="F1999" t="n">
        <v>235.29</v>
      </c>
      <c r="G1999" t="n">
        <v>19445</v>
      </c>
      <c r="H1999" t="b">
        <v>0</v>
      </c>
      <c r="I1999" t="n">
        <v>340</v>
      </c>
      <c r="J1999" t="n">
        <v>0.6919999999999999</v>
      </c>
      <c r="K1999" t="inlineStr">
        <is>
          <t>&gt; Perfumería &gt; Cuidado Capilar &gt; Shampoo &gt;</t>
        </is>
      </c>
      <c r="L1999" t="inlineStr">
        <is>
          <t>shampoo</t>
        </is>
      </c>
      <c r="M1999" t="inlineStr">
        <is>
          <t>estandar</t>
        </is>
      </c>
      <c r="N1999" t="inlineStr">
        <is>
          <t>general</t>
        </is>
      </c>
      <c r="O1999" t="inlineStr">
        <is>
          <t>https://www.disco.com.ar/shampoo-sedal-bomba-coco-repara-340-ml/p</t>
        </is>
      </c>
    </row>
    <row r="2000">
      <c r="A2000" s="10" t="inlineStr">
        <is>
          <t>Disco</t>
        </is>
      </c>
      <c r="B2000" s="10" t="n">
        <v>336038</v>
      </c>
      <c r="C2000" s="10" t="n">
        <v>335147</v>
      </c>
      <c r="D2000" s="10" t="inlineStr">
        <is>
          <t>Acondicionador Sedal Colageno Vitamina C 190 Ml</t>
        </is>
      </c>
      <c r="E2000" s="10" t="inlineStr">
        <is>
          <t>SEDAL</t>
        </is>
      </c>
      <c r="F2000" s="10" t="n">
        <v>650</v>
      </c>
      <c r="G2000" s="10" t="n">
        <v>53719</v>
      </c>
      <c r="H2000" s="10" t="b">
        <v>0</v>
      </c>
      <c r="I2000" s="10" t="n">
        <v>190</v>
      </c>
      <c r="J2000" s="10" t="n">
        <v>3.4211</v>
      </c>
      <c r="K2000" s="10" t="inlineStr">
        <is>
          <t>&gt; Perfumería &gt; Cuidado Capilar &gt; Acondicionador &gt;</t>
        </is>
      </c>
      <c r="L2000" s="10" t="inlineStr">
        <is>
          <t>acondicionador</t>
        </is>
      </c>
      <c r="M2000" s="10" t="inlineStr">
        <is>
          <t>estandar</t>
        </is>
      </c>
      <c r="N2000" s="10" t="inlineStr">
        <is>
          <t>general</t>
        </is>
      </c>
      <c r="O2000" s="10" t="inlineStr">
        <is>
          <t>https://www.disco.com.ar/acondicionador-sedal-colageno-vitamina-c-190-ml/p</t>
        </is>
      </c>
    </row>
    <row r="2001">
      <c r="A2001" t="inlineStr">
        <is>
          <t>Disco</t>
        </is>
      </c>
      <c r="B2001" t="n">
        <v>336037</v>
      </c>
      <c r="C2001" t="n">
        <v>335146</v>
      </c>
      <c r="D2001" t="inlineStr">
        <is>
          <t>Shampoo Sedal Colágeno Vitamina C 190 Ml</t>
        </is>
      </c>
      <c r="E2001" t="inlineStr">
        <is>
          <t>SEDAL</t>
        </is>
      </c>
      <c r="F2001" t="n">
        <v>383.95</v>
      </c>
      <c r="G2001" t="n">
        <v>31731</v>
      </c>
      <c r="H2001" t="b">
        <v>0</v>
      </c>
      <c r="I2001" t="n">
        <v>190</v>
      </c>
      <c r="J2001" t="n">
        <v>2.0208</v>
      </c>
      <c r="K2001" t="inlineStr">
        <is>
          <t>&gt; Perfumería &gt; Cuidado Capilar &gt; Shampoo &gt;</t>
        </is>
      </c>
      <c r="L2001" t="inlineStr">
        <is>
          <t>shampoo</t>
        </is>
      </c>
      <c r="M2001" t="inlineStr">
        <is>
          <t>estandar</t>
        </is>
      </c>
      <c r="N2001" t="inlineStr">
        <is>
          <t>general</t>
        </is>
      </c>
      <c r="O2001" t="inlineStr">
        <is>
          <t>https://www.disco.com.ar/shampoo-sedal-colageno-vitamina-c-190-ml/p</t>
        </is>
      </c>
    </row>
    <row r="2002">
      <c r="A2002" s="10" t="inlineStr">
        <is>
          <t>Disco</t>
        </is>
      </c>
      <c r="B2002" s="10" t="n">
        <v>336036</v>
      </c>
      <c r="C2002" s="10" t="n">
        <v>335145</v>
      </c>
      <c r="D2002" s="10" t="inlineStr">
        <is>
          <t>Acondicionador Sedal ácido Hialurónico Vitamina A 190 Ml</t>
        </is>
      </c>
      <c r="E2002" s="10" t="inlineStr">
        <is>
          <t>SEDAL</t>
        </is>
      </c>
      <c r="F2002" s="10" t="n">
        <v>650</v>
      </c>
      <c r="G2002" s="10" t="n">
        <v>53719</v>
      </c>
      <c r="H2002" s="10" t="b">
        <v>0</v>
      </c>
      <c r="I2002" s="10" t="n">
        <v>190</v>
      </c>
      <c r="J2002" s="10" t="n">
        <v>3.4211</v>
      </c>
      <c r="K2002" s="10" t="inlineStr">
        <is>
          <t>&gt; Perfumería &gt; Cuidado Capilar &gt; Acondicionador &gt;</t>
        </is>
      </c>
      <c r="L2002" s="10" t="inlineStr">
        <is>
          <t>acondicionador</t>
        </is>
      </c>
      <c r="M2002" s="10" t="inlineStr">
        <is>
          <t>estandar</t>
        </is>
      </c>
      <c r="N2002" s="10" t="inlineStr">
        <is>
          <t>general</t>
        </is>
      </c>
      <c r="O2002" s="10" t="inlineStr">
        <is>
          <t>https://www.disco.com.ar/acondicionador-sedal-acido-hialuronico-vitamina-a-190-ml/p</t>
        </is>
      </c>
    </row>
    <row r="2003">
      <c r="A2003" t="inlineStr">
        <is>
          <t>Disco</t>
        </is>
      </c>
      <c r="B2003" t="n">
        <v>336034</v>
      </c>
      <c r="C2003" t="n">
        <v>335143</v>
      </c>
      <c r="D2003" t="inlineStr">
        <is>
          <t>Shampoo Sedal Acido Hialuronico Vitamina A 190 Ml</t>
        </is>
      </c>
      <c r="E2003" t="inlineStr">
        <is>
          <t>SEDAL</t>
        </is>
      </c>
      <c r="F2003" t="n">
        <v>383.95</v>
      </c>
      <c r="G2003" t="n">
        <v>31731</v>
      </c>
      <c r="H2003" t="b">
        <v>0</v>
      </c>
      <c r="I2003" t="n">
        <v>190</v>
      </c>
      <c r="J2003" t="n">
        <v>2.0208</v>
      </c>
      <c r="K2003" t="inlineStr">
        <is>
          <t>&gt; Perfumería &gt; Cuidado Capilar &gt; Shampoo &gt;</t>
        </is>
      </c>
      <c r="L2003" t="inlineStr">
        <is>
          <t>shampoo</t>
        </is>
      </c>
      <c r="M2003" t="inlineStr">
        <is>
          <t>estandar</t>
        </is>
      </c>
      <c r="N2003" t="inlineStr">
        <is>
          <t>general</t>
        </is>
      </c>
      <c r="O2003" t="inlineStr">
        <is>
          <t>https://www.disco.com.ar/shampoo-sedal-acido-hialuronico-vitamina-a-190-ml/p</t>
        </is>
      </c>
    </row>
    <row r="2004">
      <c r="A2004" s="10" t="inlineStr">
        <is>
          <t>Disco</t>
        </is>
      </c>
      <c r="B2004" s="10" t="n">
        <v>336030</v>
      </c>
      <c r="C2004" s="10" t="n">
        <v>335139</v>
      </c>
      <c r="D2004" s="10" t="inlineStr">
        <is>
          <t>Sham. Sedal Bomba Coco Repara 190ml</t>
        </is>
      </c>
      <c r="E2004" s="10" t="inlineStr">
        <is>
          <t>SEDAL</t>
        </is>
      </c>
      <c r="F2004" s="10" t="n">
        <v>225.04</v>
      </c>
      <c r="G2004" s="10" t="n">
        <v>18599</v>
      </c>
      <c r="H2004" s="10" t="b">
        <v>0</v>
      </c>
      <c r="I2004" s="10" t="n">
        <v>190</v>
      </c>
      <c r="J2004" s="10" t="n">
        <v>1.1844</v>
      </c>
      <c r="K2004" s="10" t="inlineStr">
        <is>
          <t>&gt; Perfumería &gt; Cuidado Capilar &gt; Shampoo &gt;</t>
        </is>
      </c>
      <c r="L2004" s="10" t="inlineStr">
        <is>
          <t>shampoo</t>
        </is>
      </c>
      <c r="M2004" s="10" t="inlineStr">
        <is>
          <t>estandar</t>
        </is>
      </c>
      <c r="N2004" s="10" t="inlineStr">
        <is>
          <t>general</t>
        </is>
      </c>
      <c r="O2004" s="10" t="inlineStr">
        <is>
          <t>https://www.disco.com.ar/sham-sedal-bomba-coco-repara-190ml/p</t>
        </is>
      </c>
    </row>
    <row r="2005">
      <c r="A2005" t="inlineStr">
        <is>
          <t>Disco</t>
        </is>
      </c>
      <c r="B2005" t="n">
        <v>336024</v>
      </c>
      <c r="C2005" t="n">
        <v>335134</v>
      </c>
      <c r="D2005" t="inlineStr">
        <is>
          <t>Acondicionador Sedal Colageno Vitamina C 650 Ml</t>
        </is>
      </c>
      <c r="E2005" t="inlineStr">
        <is>
          <t>SEDAL</t>
        </is>
      </c>
      <c r="F2005" t="n">
        <v>1500</v>
      </c>
      <c r="G2005" t="n">
        <v>123967</v>
      </c>
      <c r="H2005" t="b">
        <v>0</v>
      </c>
      <c r="I2005" t="n">
        <v>650</v>
      </c>
      <c r="J2005" t="n">
        <v>2.3077</v>
      </c>
      <c r="K2005" t="inlineStr">
        <is>
          <t>&gt; Perfumería &gt; Cuidado Capilar &gt; Acondicionador &gt;</t>
        </is>
      </c>
      <c r="L2005" t="inlineStr">
        <is>
          <t>acondicionador</t>
        </is>
      </c>
      <c r="M2005" t="inlineStr">
        <is>
          <t>estandar</t>
        </is>
      </c>
      <c r="N2005" t="inlineStr">
        <is>
          <t>general</t>
        </is>
      </c>
      <c r="O2005" t="inlineStr">
        <is>
          <t>https://www.disco.com.ar/acondicionador-sedal-colageno-vitamina-c-650-ml/p</t>
        </is>
      </c>
    </row>
    <row r="2006">
      <c r="A2006" s="10" t="inlineStr">
        <is>
          <t>Disco</t>
        </is>
      </c>
      <c r="B2006" s="10" t="n">
        <v>336023</v>
      </c>
      <c r="C2006" s="10" t="n">
        <v>335133</v>
      </c>
      <c r="D2006" s="10" t="inlineStr">
        <is>
          <t>Shampoo Sedal  acido Hialuronico Vitamina A 650 Ml</t>
        </is>
      </c>
      <c r="E2006" s="10" t="inlineStr">
        <is>
          <t>SEDAL</t>
        </is>
      </c>
      <c r="F2006" s="10" t="n">
        <v>940.39</v>
      </c>
      <c r="G2006" s="10" t="n">
        <v>77718</v>
      </c>
      <c r="H2006" s="10" t="b">
        <v>0</v>
      </c>
      <c r="I2006" s="10" t="n">
        <v>650</v>
      </c>
      <c r="J2006" s="10" t="n">
        <v>1.4468</v>
      </c>
      <c r="K2006" s="10" t="inlineStr">
        <is>
          <t>&gt; Perfumería &gt; Cuidado Capilar &gt; Shampoo &gt;</t>
        </is>
      </c>
      <c r="L2006" s="10" t="inlineStr">
        <is>
          <t>shampoo</t>
        </is>
      </c>
      <c r="M2006" s="10" t="inlineStr">
        <is>
          <t>estandar</t>
        </is>
      </c>
      <c r="N2006" s="10" t="inlineStr">
        <is>
          <t>general</t>
        </is>
      </c>
      <c r="O2006" s="10" t="inlineStr">
        <is>
          <t>https://www.disco.com.ar/shampoo-sedal-acido-hialuronico-vitamina-a-650-ml/p</t>
        </is>
      </c>
    </row>
    <row r="2007">
      <c r="A2007" t="inlineStr">
        <is>
          <t>Disco</t>
        </is>
      </c>
      <c r="B2007" t="n">
        <v>336022</v>
      </c>
      <c r="C2007" t="n">
        <v>335132</v>
      </c>
      <c r="D2007" t="inlineStr">
        <is>
          <t>Shampoo Sedal Colágeno  Vitamina C 650 Ml</t>
        </is>
      </c>
      <c r="E2007" t="inlineStr">
        <is>
          <t>SEDAL</t>
        </is>
      </c>
      <c r="F2007" t="n">
        <v>1450</v>
      </c>
      <c r="G2007" t="n">
        <v>119835</v>
      </c>
      <c r="H2007" t="b">
        <v>0</v>
      </c>
      <c r="I2007" t="n">
        <v>650</v>
      </c>
      <c r="J2007" t="n">
        <v>2.2308</v>
      </c>
      <c r="K2007" t="inlineStr">
        <is>
          <t>&gt; Perfumería &gt; Cuidado Capilar &gt; Shampoo &gt;</t>
        </is>
      </c>
      <c r="L2007" t="inlineStr">
        <is>
          <t>shampoo</t>
        </is>
      </c>
      <c r="M2007" t="inlineStr">
        <is>
          <t>estandar</t>
        </is>
      </c>
      <c r="N2007" t="inlineStr">
        <is>
          <t>general</t>
        </is>
      </c>
      <c r="O2007" t="inlineStr">
        <is>
          <t>https://www.disco.com.ar/shampoo-sedal-colageno-vitamina-c-650-ml/p</t>
        </is>
      </c>
    </row>
    <row r="2008">
      <c r="A2008" s="10" t="inlineStr">
        <is>
          <t>Disco</t>
        </is>
      </c>
      <c r="B2008" s="10" t="n">
        <v>336021</v>
      </c>
      <c r="C2008" s="10" t="n">
        <v>335131</v>
      </c>
      <c r="D2008" s="10" t="inlineStr">
        <is>
          <t>Acondicionador Sedal Bomba Nutri Antifrizz 650ml</t>
        </is>
      </c>
      <c r="E2008" s="10" t="inlineStr">
        <is>
          <t>SEDAL</t>
        </is>
      </c>
      <c r="F2008" s="10" t="n">
        <v>457.87</v>
      </c>
      <c r="G2008" s="10" t="n">
        <v>37841</v>
      </c>
      <c r="H2008" s="10" t="b">
        <v>0</v>
      </c>
      <c r="I2008" s="10" t="n">
        <v>650</v>
      </c>
      <c r="J2008" s="10" t="n">
        <v>0.7044</v>
      </c>
      <c r="K2008" s="10" t="inlineStr">
        <is>
          <t>&gt; Perfumería &gt; Cuidado Capilar &gt; Acondicionador &gt;</t>
        </is>
      </c>
      <c r="L2008" s="10" t="inlineStr">
        <is>
          <t>acondicionador</t>
        </is>
      </c>
      <c r="M2008" s="10" t="inlineStr">
        <is>
          <t>estandar</t>
        </is>
      </c>
      <c r="N2008" s="10" t="inlineStr">
        <is>
          <t>general</t>
        </is>
      </c>
      <c r="O2008" s="10" t="inlineStr">
        <is>
          <t>https://www.disco.com.ar/acondicionador-sedal-bomba-nutri-antifrizz-650ml/p</t>
        </is>
      </c>
    </row>
    <row r="2009">
      <c r="A2009" t="inlineStr">
        <is>
          <t>Disco</t>
        </is>
      </c>
      <c r="B2009" t="n">
        <v>336020</v>
      </c>
      <c r="C2009" t="n">
        <v>335130</v>
      </c>
      <c r="D2009" t="inlineStr">
        <is>
          <t>Acondicionador Sedal ácido Hialurónico  Vitamina A 650 Ml</t>
        </is>
      </c>
      <c r="E2009" t="inlineStr">
        <is>
          <t>SEDAL</t>
        </is>
      </c>
      <c r="F2009" t="n">
        <v>1350</v>
      </c>
      <c r="G2009" t="n">
        <v>111570</v>
      </c>
      <c r="H2009" t="b">
        <v>0</v>
      </c>
      <c r="I2009" t="n">
        <v>650</v>
      </c>
      <c r="J2009" t="n">
        <v>2.0769</v>
      </c>
      <c r="K2009" t="inlineStr">
        <is>
          <t>&gt; Perfumería &gt; Cuidado Capilar &gt; Acondicionador &gt;</t>
        </is>
      </c>
      <c r="L2009" t="inlineStr">
        <is>
          <t>acondicionador</t>
        </is>
      </c>
      <c r="M2009" t="inlineStr">
        <is>
          <t>estandar</t>
        </is>
      </c>
      <c r="N2009" t="inlineStr">
        <is>
          <t>general</t>
        </is>
      </c>
      <c r="O2009" t="inlineStr">
        <is>
          <t>https://www.disco.com.ar/acondicionador-sedal-acido-hialuronico-vitamina-a-650-ml/p</t>
        </is>
      </c>
    </row>
    <row r="2010">
      <c r="A2010" s="10" t="inlineStr">
        <is>
          <t>Disco</t>
        </is>
      </c>
      <c r="B2010" s="10" t="n">
        <v>295743</v>
      </c>
      <c r="C2010" s="10" t="n">
        <v>294973</v>
      </c>
      <c r="D2010" s="10" t="inlineStr">
        <is>
          <t>Crema Para Peinar Sedal Rizo Definidos</t>
        </is>
      </c>
      <c r="E2010" s="10" t="inlineStr">
        <is>
          <t>SEDAL</t>
        </is>
      </c>
      <c r="F2010" s="10" t="n">
        <v>108.77</v>
      </c>
      <c r="G2010" s="10" t="n">
        <v>8989</v>
      </c>
      <c r="H2010" s="10" t="b">
        <v>0</v>
      </c>
      <c r="I2010" s="10" t="inlineStr"/>
      <c r="J2010" s="10" t="inlineStr"/>
      <c r="K2010" s="10" t="inlineStr">
        <is>
          <t>&gt; Perfumería &gt; Cuidado Capilar &gt; Reparación y Tratamientos &gt;</t>
        </is>
      </c>
      <c r="L2010" s="10" t="inlineStr">
        <is>
          <t>shampoo</t>
        </is>
      </c>
      <c r="M2010" s="10" t="inlineStr">
        <is>
          <t>estandar</t>
        </is>
      </c>
      <c r="N2010" s="10" t="inlineStr">
        <is>
          <t>general</t>
        </is>
      </c>
      <c r="O2010" s="10" t="inlineStr">
        <is>
          <t>https://www.disco.com.ar/crema-para-peinar-sedal-rizo-definidos/p</t>
        </is>
      </c>
    </row>
    <row r="2011">
      <c r="A2011" t="inlineStr">
        <is>
          <t>Disco</t>
        </is>
      </c>
      <c r="B2011" t="n">
        <v>295010</v>
      </c>
      <c r="C2011" t="n">
        <v>294241</v>
      </c>
      <c r="D2011" t="inlineStr">
        <is>
          <t>Acondicionador Sedal Bomba Coco 650 Ml</t>
        </is>
      </c>
      <c r="E2011" t="inlineStr">
        <is>
          <t>SEDAL</t>
        </is>
      </c>
      <c r="F2011" t="n">
        <v>246.25</v>
      </c>
      <c r="G2011" t="n">
        <v>20351</v>
      </c>
      <c r="H2011" t="b">
        <v>0</v>
      </c>
      <c r="I2011" t="n">
        <v>650</v>
      </c>
      <c r="J2011" t="n">
        <v>0.3788</v>
      </c>
      <c r="K2011" t="inlineStr">
        <is>
          <t>&gt; Perfumería &gt; Cuidado Capilar &gt; Acondicionador &gt;</t>
        </is>
      </c>
      <c r="L2011" t="inlineStr">
        <is>
          <t>acondicionador</t>
        </is>
      </c>
      <c r="M2011" t="inlineStr">
        <is>
          <t>estandar</t>
        </is>
      </c>
      <c r="N2011" t="inlineStr">
        <is>
          <t>general</t>
        </is>
      </c>
      <c r="O2011" t="inlineStr">
        <is>
          <t>https://www.disco.com.ar/acondicionador-sedal-bomba-coco-650-ml/p</t>
        </is>
      </c>
    </row>
    <row r="2012">
      <c r="A2012" s="10" t="inlineStr">
        <is>
          <t>Disco</t>
        </is>
      </c>
      <c r="B2012" s="10" t="n">
        <v>295008</v>
      </c>
      <c r="C2012" s="10" t="n">
        <v>294239</v>
      </c>
      <c r="D2012" s="10" t="inlineStr">
        <is>
          <t>Acondicionador Sedal Recarga Natural Bomba Coco 170 Ml</t>
        </is>
      </c>
      <c r="E2012" s="10" t="inlineStr">
        <is>
          <t>SEDAL</t>
        </is>
      </c>
      <c r="F2012" s="10" t="n">
        <v>122.27</v>
      </c>
      <c r="G2012" s="10" t="n">
        <v>10105</v>
      </c>
      <c r="H2012" s="10" t="b">
        <v>0</v>
      </c>
      <c r="I2012" s="10" t="n">
        <v>170</v>
      </c>
      <c r="J2012" s="10" t="n">
        <v>0.7192</v>
      </c>
      <c r="K2012" s="10" t="inlineStr">
        <is>
          <t>&gt; Perfumería &gt; Cuidado Capilar &gt; Acondicionador &gt;</t>
        </is>
      </c>
      <c r="L2012" s="10" t="inlineStr">
        <is>
          <t>acondicionador</t>
        </is>
      </c>
      <c r="M2012" s="10" t="inlineStr">
        <is>
          <t>estandar</t>
        </is>
      </c>
      <c r="N2012" s="10" t="inlineStr">
        <is>
          <t>general</t>
        </is>
      </c>
      <c r="O2012" s="10" t="inlineStr">
        <is>
          <t>https://www.disco.com.ar/acondicionador-sedal-recarga-natural-bomba-coco-170-ml/p</t>
        </is>
      </c>
    </row>
    <row r="2013">
      <c r="A2013" t="inlineStr">
        <is>
          <t>Disco</t>
        </is>
      </c>
      <c r="B2013" t="n">
        <v>295007</v>
      </c>
      <c r="C2013" t="n">
        <v>294238</v>
      </c>
      <c r="D2013" t="inlineStr">
        <is>
          <t>Acondicionador Sedal Bomba Coco 340 Ml</t>
        </is>
      </c>
      <c r="E2013" t="inlineStr">
        <is>
          <t>SEDAL</t>
        </is>
      </c>
      <c r="F2013" t="n">
        <v>155.69</v>
      </c>
      <c r="G2013" t="n">
        <v>12867</v>
      </c>
      <c r="H2013" t="b">
        <v>0</v>
      </c>
      <c r="I2013" t="n">
        <v>340</v>
      </c>
      <c r="J2013" t="n">
        <v>0.4579</v>
      </c>
      <c r="K2013" t="inlineStr">
        <is>
          <t>&gt; Perfumería &gt; Cuidado Capilar &gt; Acondicionador &gt;</t>
        </is>
      </c>
      <c r="L2013" t="inlineStr">
        <is>
          <t>acondicionador</t>
        </is>
      </c>
      <c r="M2013" t="inlineStr">
        <is>
          <t>estandar</t>
        </is>
      </c>
      <c r="N2013" t="inlineStr">
        <is>
          <t>general</t>
        </is>
      </c>
      <c r="O2013" t="inlineStr">
        <is>
          <t>https://www.disco.com.ar/acondicionador-sedal-bomba-coco-340-ml/p</t>
        </is>
      </c>
    </row>
    <row r="2014">
      <c r="A2014" s="10" t="inlineStr">
        <is>
          <t>Disco</t>
        </is>
      </c>
      <c r="B2014" s="10" t="n">
        <v>288439</v>
      </c>
      <c r="C2014" s="10" t="n">
        <v>287686</v>
      </c>
      <c r="D2014" s="10" t="inlineStr">
        <is>
          <t>Acondicionador Sedal Fuerza Y Brillo Un Minuto 170 Ml</t>
        </is>
      </c>
      <c r="E2014" s="10" t="inlineStr">
        <is>
          <t>SEDAL</t>
        </is>
      </c>
      <c r="F2014" s="10" t="n">
        <v>122.27</v>
      </c>
      <c r="G2014" s="10" t="n">
        <v>10105</v>
      </c>
      <c r="H2014" s="10" t="b">
        <v>0</v>
      </c>
      <c r="I2014" s="10" t="n">
        <v>170</v>
      </c>
      <c r="J2014" s="10" t="n">
        <v>0.7192</v>
      </c>
      <c r="K2014" s="10" t="inlineStr">
        <is>
          <t>&gt; Perfumería &gt; Cuidado Capilar &gt; Acondicionador &gt;</t>
        </is>
      </c>
      <c r="L2014" s="10" t="inlineStr">
        <is>
          <t>acondicionador</t>
        </is>
      </c>
      <c r="M2014" s="10" t="inlineStr">
        <is>
          <t>estandar</t>
        </is>
      </c>
      <c r="N2014" s="10" t="inlineStr">
        <is>
          <t>general</t>
        </is>
      </c>
      <c r="O2014" s="10" t="inlineStr">
        <is>
          <t>https://www.disco.com.ar/acondicionador-sedal-fuerza-y-brillo-un-minuto-170-ml/p</t>
        </is>
      </c>
    </row>
    <row r="2015">
      <c r="A2015" t="inlineStr">
        <is>
          <t>Disco</t>
        </is>
      </c>
      <c r="B2015" t="n">
        <v>271707</v>
      </c>
      <c r="C2015" t="n">
        <v>271186</v>
      </c>
      <c r="D2015" t="inlineStr">
        <is>
          <t>Acondicionador Equilibrante Sedal Hidratación Micelar 340 Ml</t>
        </is>
      </c>
      <c r="E2015" t="inlineStr">
        <is>
          <t>SEDAL</t>
        </is>
      </c>
      <c r="F2015" t="n">
        <v>155.69</v>
      </c>
      <c r="G2015" t="n">
        <v>12867</v>
      </c>
      <c r="H2015" t="b">
        <v>0</v>
      </c>
      <c r="I2015" t="n">
        <v>340</v>
      </c>
      <c r="J2015" t="n">
        <v>0.4579</v>
      </c>
      <c r="K2015" t="inlineStr">
        <is>
          <t>&gt; Perfumería &gt; Cuidado Capilar &gt; Acondicionador &gt;</t>
        </is>
      </c>
      <c r="L2015" t="inlineStr">
        <is>
          <t>acondicionador</t>
        </is>
      </c>
      <c r="M2015" t="inlineStr">
        <is>
          <t>estandar</t>
        </is>
      </c>
      <c r="N2015" t="inlineStr">
        <is>
          <t>seco_danado</t>
        </is>
      </c>
      <c r="O2015" t="inlineStr">
        <is>
          <t>https://www.disco.com.ar/acondicionador-equilibrante-sedal-hidratacion-micelar-340-ml/p</t>
        </is>
      </c>
    </row>
    <row r="2016">
      <c r="A2016" s="10" t="inlineStr">
        <is>
          <t>Disco</t>
        </is>
      </c>
      <c r="B2016" s="10" t="n">
        <v>271705</v>
      </c>
      <c r="C2016" s="10" t="n">
        <v>271184</v>
      </c>
      <c r="D2016" s="10" t="inlineStr">
        <is>
          <t>Acondicionador Sedal Ceramidas Repuesto Económico 300 Ml</t>
        </is>
      </c>
      <c r="E2016" s="10" t="inlineStr">
        <is>
          <t>SEDAL</t>
        </is>
      </c>
      <c r="F2016" s="10" t="n">
        <v>143.73</v>
      </c>
      <c r="G2016" s="10" t="n">
        <v>11879</v>
      </c>
      <c r="H2016" s="10" t="b">
        <v>0</v>
      </c>
      <c r="I2016" s="10" t="n">
        <v>300</v>
      </c>
      <c r="J2016" s="10" t="n">
        <v>0.4791</v>
      </c>
      <c r="K2016" s="10" t="inlineStr">
        <is>
          <t>&gt; Perfumería &gt; Cuidado Capilar &gt; Acondicionador &gt;</t>
        </is>
      </c>
      <c r="L2016" s="10" t="inlineStr">
        <is>
          <t>acondicionador</t>
        </is>
      </c>
      <c r="M2016" s="10" t="inlineStr">
        <is>
          <t>estandar</t>
        </is>
      </c>
      <c r="N2016" s="10" t="inlineStr">
        <is>
          <t>general</t>
        </is>
      </c>
      <c r="O2016" s="10" t="inlineStr">
        <is>
          <t>https://www.disco.com.ar/acondicionador-sedal-ceramidas-repuesto-economico-300-ml/p</t>
        </is>
      </c>
    </row>
    <row r="2017">
      <c r="A2017" t="inlineStr">
        <is>
          <t>Disco</t>
        </is>
      </c>
      <c r="B2017" t="n">
        <v>271683</v>
      </c>
      <c r="C2017" t="n">
        <v>271162</v>
      </c>
      <c r="D2017" t="inlineStr">
        <is>
          <t>Shampoo Equilibrante Sedal Hidratación Micelar 650 Ml</t>
        </is>
      </c>
      <c r="E2017" t="inlineStr">
        <is>
          <t>SEDAL</t>
        </is>
      </c>
      <c r="F2017" t="n">
        <v>227.37</v>
      </c>
      <c r="G2017" t="n">
        <v>18791</v>
      </c>
      <c r="H2017" t="b">
        <v>0</v>
      </c>
      <c r="I2017" t="n">
        <v>650</v>
      </c>
      <c r="J2017" t="n">
        <v>0.3498</v>
      </c>
      <c r="K2017" t="inlineStr">
        <is>
          <t>&gt; Perfumería &gt; Cuidado Capilar &gt; Shampoo &gt;</t>
        </is>
      </c>
      <c r="L2017" t="inlineStr">
        <is>
          <t>shampoo</t>
        </is>
      </c>
      <c r="M2017" t="inlineStr">
        <is>
          <t>estandar</t>
        </is>
      </c>
      <c r="N2017" t="inlineStr">
        <is>
          <t>seco_danado</t>
        </is>
      </c>
      <c r="O2017" t="inlineStr">
        <is>
          <t>https://www.disco.com.ar/shampoo-equilibrante-sedal-hidratacion-micelar-650-ml/p</t>
        </is>
      </c>
    </row>
    <row r="2018">
      <c r="A2018" s="10" t="inlineStr">
        <is>
          <t>Disco</t>
        </is>
      </c>
      <c r="B2018" s="10" t="n">
        <v>271681</v>
      </c>
      <c r="C2018" s="10" t="n">
        <v>271160</v>
      </c>
      <c r="D2018" s="10" t="inlineStr">
        <is>
          <t>Shampoo Sedal Hidratacion Micelar 340 Ml</t>
        </is>
      </c>
      <c r="E2018" s="10" t="inlineStr">
        <is>
          <t>SEDAL</t>
        </is>
      </c>
      <c r="F2018" s="10" t="n">
        <v>155.69</v>
      </c>
      <c r="G2018" s="10" t="n">
        <v>12867</v>
      </c>
      <c r="H2018" s="10" t="b">
        <v>0</v>
      </c>
      <c r="I2018" s="10" t="n">
        <v>340</v>
      </c>
      <c r="J2018" s="10" t="n">
        <v>0.4579</v>
      </c>
      <c r="K2018" s="10" t="inlineStr">
        <is>
          <t>&gt; Perfumería &gt; Cuidado Capilar &gt; Shampoo &gt;</t>
        </is>
      </c>
      <c r="L2018" s="10" t="inlineStr">
        <is>
          <t>shampoo</t>
        </is>
      </c>
      <c r="M2018" s="10" t="inlineStr">
        <is>
          <t>estandar</t>
        </is>
      </c>
      <c r="N2018" s="10" t="inlineStr">
        <is>
          <t>seco_danado</t>
        </is>
      </c>
      <c r="O2018" s="10" t="inlineStr">
        <is>
          <t>https://www.disco.com.ar/shampoo-sedal-hidratacion-micelar-340-ml/p</t>
        </is>
      </c>
    </row>
    <row r="2019">
      <c r="A2019" t="inlineStr">
        <is>
          <t>Disco</t>
        </is>
      </c>
      <c r="B2019" t="n">
        <v>256417</v>
      </c>
      <c r="C2019" t="n">
        <v>255711</v>
      </c>
      <c r="D2019" t="inlineStr">
        <is>
          <t>Crema Capilar Sedal Detos Yuya X 300ml</t>
        </is>
      </c>
      <c r="E2019" t="inlineStr">
        <is>
          <t>SEDAL</t>
        </is>
      </c>
      <c r="F2019" t="n">
        <v>59.19</v>
      </c>
      <c r="G2019" t="n">
        <v>59.19</v>
      </c>
      <c r="H2019" t="b">
        <v>0</v>
      </c>
      <c r="I2019" t="n">
        <v>300</v>
      </c>
      <c r="J2019" t="n">
        <v>0.1973</v>
      </c>
      <c r="K2019" t="inlineStr">
        <is>
          <t>&gt; Perfumería &gt; Cuidado Capilar &gt; Reparación y Tratamientos &gt;</t>
        </is>
      </c>
      <c r="L2019" t="inlineStr">
        <is>
          <t>shampoo</t>
        </is>
      </c>
      <c r="M2019" t="inlineStr">
        <is>
          <t>estandar</t>
        </is>
      </c>
      <c r="N2019" t="inlineStr">
        <is>
          <t>general</t>
        </is>
      </c>
      <c r="O2019" t="inlineStr">
        <is>
          <t>https://www.disco.com.ar/crema-capilar-sedal-detos-yuya-x-300ml/p</t>
        </is>
      </c>
    </row>
    <row r="2020">
      <c r="A2020" s="10" t="inlineStr">
        <is>
          <t>Disco</t>
        </is>
      </c>
      <c r="B2020" s="10" t="n">
        <v>248649</v>
      </c>
      <c r="C2020" s="10" t="n">
        <v>245631</v>
      </c>
      <c r="D2020" s="10" t="inlineStr">
        <is>
          <t>Crema Capilar Sedal Bomba Argan X 300ml</t>
        </is>
      </c>
      <c r="E2020" s="10" t="inlineStr">
        <is>
          <t>SEDAL</t>
        </is>
      </c>
      <c r="F2020" s="10" t="n">
        <v>259.45</v>
      </c>
      <c r="G2020" s="10" t="n">
        <v>21442</v>
      </c>
      <c r="H2020" s="10" t="b">
        <v>0</v>
      </c>
      <c r="I2020" s="10" t="n">
        <v>300</v>
      </c>
      <c r="J2020" s="10" t="n">
        <v>0.8648</v>
      </c>
      <c r="K2020" s="10" t="inlineStr">
        <is>
          <t>&gt; Perfumería &gt; Cuidado Capilar &gt; Reparación y Tratamientos &gt;</t>
        </is>
      </c>
      <c r="L2020" s="10" t="inlineStr">
        <is>
          <t>shampoo</t>
        </is>
      </c>
      <c r="M2020" s="10" t="inlineStr">
        <is>
          <t>estandar</t>
        </is>
      </c>
      <c r="N2020" s="10" t="inlineStr">
        <is>
          <t>general</t>
        </is>
      </c>
      <c r="O2020" s="10" t="inlineStr">
        <is>
          <t>https://www.disco.com.ar/crema-capilar-sedal-bomba-argan-x-300ml/p</t>
        </is>
      </c>
    </row>
    <row r="2021">
      <c r="A2021" t="inlineStr">
        <is>
          <t>Disco</t>
        </is>
      </c>
      <c r="B2021" t="n">
        <v>248625</v>
      </c>
      <c r="C2021" t="n">
        <v>245607</v>
      </c>
      <c r="D2021" t="inlineStr">
        <is>
          <t>Shampoo Sedal Bomba Argán 340 Ml</t>
        </is>
      </c>
      <c r="E2021" t="inlineStr">
        <is>
          <t>SEDAL</t>
        </is>
      </c>
      <c r="F2021" t="n">
        <v>155.69</v>
      </c>
      <c r="G2021" t="n">
        <v>12867</v>
      </c>
      <c r="H2021" t="b">
        <v>0</v>
      </c>
      <c r="I2021" t="n">
        <v>340</v>
      </c>
      <c r="J2021" t="n">
        <v>0.4579</v>
      </c>
      <c r="K2021" t="inlineStr">
        <is>
          <t>&gt; Perfumería &gt; Cuidado Capilar &gt; Shampoo &gt;</t>
        </is>
      </c>
      <c r="L2021" t="inlineStr">
        <is>
          <t>shampoo</t>
        </is>
      </c>
      <c r="M2021" t="inlineStr">
        <is>
          <t>estandar</t>
        </is>
      </c>
      <c r="N2021" t="inlineStr">
        <is>
          <t>general</t>
        </is>
      </c>
      <c r="O2021" t="inlineStr">
        <is>
          <t>https://www.disco.com.ar/shampoo-sedal-bomba-argan-340-ml-2/p</t>
        </is>
      </c>
    </row>
    <row r="2022">
      <c r="A2022" s="10" t="inlineStr">
        <is>
          <t>Disco</t>
        </is>
      </c>
      <c r="B2022" s="10" t="n">
        <v>248618</v>
      </c>
      <c r="C2022" s="10" t="n">
        <v>245600</v>
      </c>
      <c r="D2022" s="10" t="inlineStr">
        <is>
          <t>Shampoo Sedal Bomba Argán 650 Ml</t>
        </is>
      </c>
      <c r="E2022" s="10" t="inlineStr">
        <is>
          <t>SEDAL</t>
        </is>
      </c>
      <c r="F2022" s="10" t="n">
        <v>246.25</v>
      </c>
      <c r="G2022" s="10" t="n">
        <v>20351</v>
      </c>
      <c r="H2022" s="10" t="b">
        <v>0</v>
      </c>
      <c r="I2022" s="10" t="n">
        <v>650</v>
      </c>
      <c r="J2022" s="10" t="n">
        <v>0.3788</v>
      </c>
      <c r="K2022" s="10" t="inlineStr">
        <is>
          <t>&gt; Perfumería &gt; Cuidado Capilar &gt; Shampoo &gt;</t>
        </is>
      </c>
      <c r="L2022" s="10" t="inlineStr">
        <is>
          <t>shampoo</t>
        </is>
      </c>
      <c r="M2022" s="10" t="inlineStr">
        <is>
          <t>estandar</t>
        </is>
      </c>
      <c r="N2022" s="10" t="inlineStr">
        <is>
          <t>general</t>
        </is>
      </c>
      <c r="O2022" s="10" t="inlineStr">
        <is>
          <t>https://www.disco.com.ar/shampoo-sedal-bomba-argan-650-ml/p</t>
        </is>
      </c>
    </row>
    <row r="2023">
      <c r="A2023" t="inlineStr">
        <is>
          <t>Disco</t>
        </is>
      </c>
      <c r="B2023" t="n">
        <v>238354</v>
      </c>
      <c r="C2023" t="n">
        <v>198757</v>
      </c>
      <c r="D2023" t="inlineStr">
        <is>
          <t>Shampoo Sedal Control Humect  Pvc 200 Ml.</t>
        </is>
      </c>
      <c r="E2023" t="inlineStr">
        <is>
          <t>SEDAL</t>
        </is>
      </c>
      <c r="F2023" t="n">
        <v>6.09</v>
      </c>
      <c r="G2023" t="n">
        <v>6.09</v>
      </c>
      <c r="H2023" t="b">
        <v>0</v>
      </c>
      <c r="I2023" t="n">
        <v>200</v>
      </c>
      <c r="J2023" t="n">
        <v>0.0304</v>
      </c>
      <c r="K2023" t="inlineStr">
        <is>
          <t>&gt; Perfumería &gt; Cuidado Capilar &gt; Shampoo &gt;</t>
        </is>
      </c>
      <c r="L2023" t="inlineStr">
        <is>
          <t>shampoo</t>
        </is>
      </c>
      <c r="M2023" t="inlineStr">
        <is>
          <t>estandar</t>
        </is>
      </c>
      <c r="N2023" t="inlineStr">
        <is>
          <t>general</t>
        </is>
      </c>
      <c r="O2023" t="inlineStr">
        <is>
          <t>https://www.disco.com.ar/shampoo-sedal-control-humect-pvc-200-ml-269494/p</t>
        </is>
      </c>
    </row>
    <row r="2024">
      <c r="A2024" s="10" t="inlineStr">
        <is>
          <t>Disco</t>
        </is>
      </c>
      <c r="B2024" s="10" t="n">
        <v>232882</v>
      </c>
      <c r="C2024" s="10" t="n">
        <v>206931</v>
      </c>
      <c r="D2024" s="10" t="inlineStr">
        <is>
          <t>Shampoo Sedal X 200 Ml Verano Touch  Pvc 200 Ml.</t>
        </is>
      </c>
      <c r="E2024" s="10" t="inlineStr">
        <is>
          <t>SEDAL</t>
        </is>
      </c>
      <c r="F2024" s="10" t="n">
        <v>6.09</v>
      </c>
      <c r="G2024" s="10" t="n">
        <v>6.09</v>
      </c>
      <c r="H2024" s="10" t="b">
        <v>0</v>
      </c>
      <c r="I2024" s="10" t="n">
        <v>200</v>
      </c>
      <c r="J2024" s="10" t="n">
        <v>0.0304</v>
      </c>
      <c r="K2024" s="10" t="inlineStr">
        <is>
          <t>&gt; Perfumería &gt; Cuidado Capilar &gt; Shampoo &gt;</t>
        </is>
      </c>
      <c r="L2024" s="10" t="inlineStr">
        <is>
          <t>shampoo</t>
        </is>
      </c>
      <c r="M2024" s="10" t="inlineStr">
        <is>
          <t>estandar</t>
        </is>
      </c>
      <c r="N2024" s="10" t="inlineStr">
        <is>
          <t>general</t>
        </is>
      </c>
      <c r="O2024" s="10" t="inlineStr">
        <is>
          <t>https://www.disco.com.ar/shampoo-sedal-x-200-ml-verano-touch-pvc-200-ml-278848/p</t>
        </is>
      </c>
    </row>
    <row r="2025">
      <c r="A2025" t="inlineStr">
        <is>
          <t>Disco</t>
        </is>
      </c>
      <c r="B2025" t="n">
        <v>232614</v>
      </c>
      <c r="C2025" t="n">
        <v>207085</v>
      </c>
      <c r="D2025" t="inlineStr">
        <is>
          <t>Shampoo Sedal X 3 Un Brillo Gloss Sh350ml+ac350ml+cpp300ml Pck 3 Un.</t>
        </is>
      </c>
      <c r="E2025" t="inlineStr">
        <is>
          <t>SEDAL</t>
        </is>
      </c>
      <c r="F2025" t="n">
        <v>15.45</v>
      </c>
      <c r="G2025" t="n">
        <v>15.45</v>
      </c>
      <c r="H2025" t="b">
        <v>0</v>
      </c>
      <c r="I2025" t="n">
        <v>350</v>
      </c>
      <c r="J2025" t="n">
        <v>0.0441</v>
      </c>
      <c r="K2025" t="inlineStr">
        <is>
          <t>&gt; Perfumería &gt; Cuidado Capilar &gt; Shampoo &gt;</t>
        </is>
      </c>
      <c r="L2025" t="inlineStr">
        <is>
          <t>shampoo</t>
        </is>
      </c>
      <c r="M2025" t="inlineStr">
        <is>
          <t>estandar</t>
        </is>
      </c>
      <c r="N2025" t="inlineStr">
        <is>
          <t>general</t>
        </is>
      </c>
      <c r="O2025" t="inlineStr">
        <is>
          <t>https://www.disco.com.ar/shampoo-sedal-x-3-un-brillo-gloss-sh350ml-ac350ml-cpp300ml-pck-3-un-278860/p</t>
        </is>
      </c>
    </row>
    <row r="2026">
      <c r="A2026" s="10" t="inlineStr">
        <is>
          <t>Disco</t>
        </is>
      </c>
      <c r="B2026" s="10" t="n">
        <v>221249</v>
      </c>
      <c r="C2026" s="10" t="n">
        <v>221957</v>
      </c>
      <c r="D2026" s="10" t="inlineStr">
        <is>
          <t>Acondicionador Sedal Ceramidas X 240 Ml.</t>
        </is>
      </c>
      <c r="E2026" s="10" t="inlineStr">
        <is>
          <t>SEDAL</t>
        </is>
      </c>
      <c r="F2026" s="10" t="n">
        <v>5.45</v>
      </c>
      <c r="G2026" s="10" t="n">
        <v>5.45</v>
      </c>
      <c r="H2026" s="10" t="b">
        <v>0</v>
      </c>
      <c r="I2026" s="10" t="n">
        <v>240</v>
      </c>
      <c r="J2026" s="10" t="n">
        <v>0.0227</v>
      </c>
      <c r="K2026" s="10" t="inlineStr">
        <is>
          <t>&gt; Perfumería &gt; Cuidado Capilar &gt; Acondicionador &gt;</t>
        </is>
      </c>
      <c r="L2026" s="10" t="inlineStr">
        <is>
          <t>acondicionador</t>
        </is>
      </c>
      <c r="M2026" s="10" t="inlineStr">
        <is>
          <t>estandar</t>
        </is>
      </c>
      <c r="N2026" s="10" t="inlineStr">
        <is>
          <t>general</t>
        </is>
      </c>
      <c r="O2026" s="10" t="inlineStr">
        <is>
          <t>https://www.disco.com.ar/acondicionador-sedal-ceramidas-x-240-ml-204089/p</t>
        </is>
      </c>
    </row>
    <row r="2027">
      <c r="A2027" t="inlineStr">
        <is>
          <t>Disco</t>
        </is>
      </c>
      <c r="B2027" t="n">
        <v>221118</v>
      </c>
      <c r="C2027" t="n">
        <v>222314</v>
      </c>
      <c r="D2027" t="inlineStr">
        <is>
          <t>Shampoo Sedal Ceramidas X 240 Ml</t>
        </is>
      </c>
      <c r="E2027" t="inlineStr">
        <is>
          <t>SEDAL</t>
        </is>
      </c>
      <c r="F2027" t="n">
        <v>5.45</v>
      </c>
      <c r="G2027" t="n">
        <v>5.45</v>
      </c>
      <c r="H2027" t="b">
        <v>0</v>
      </c>
      <c r="I2027" t="n">
        <v>240</v>
      </c>
      <c r="J2027" t="n">
        <v>0.0227</v>
      </c>
      <c r="K2027" t="inlineStr">
        <is>
          <t>&gt; Perfumería &gt; Cuidado Capilar &gt; Shampoo &gt;</t>
        </is>
      </c>
      <c r="L2027" t="inlineStr">
        <is>
          <t>shampoo</t>
        </is>
      </c>
      <c r="M2027" t="inlineStr">
        <is>
          <t>estandar</t>
        </is>
      </c>
      <c r="N2027" t="inlineStr">
        <is>
          <t>general</t>
        </is>
      </c>
      <c r="O2027" t="inlineStr">
        <is>
          <t>https://www.disco.com.ar/shampoo-sedal-ceramidas-x-240-ml-204092/p</t>
        </is>
      </c>
    </row>
    <row r="2028">
      <c r="A2028" s="10" t="inlineStr">
        <is>
          <t>Disco</t>
        </is>
      </c>
      <c r="B2028" s="10" t="n">
        <v>220290</v>
      </c>
      <c r="C2028" s="10" t="n">
        <v>225190</v>
      </c>
      <c r="D2028" s="10" t="inlineStr">
        <is>
          <t>Shampoo Sedal Ceramidas Pck 2 U</t>
        </is>
      </c>
      <c r="E2028" s="10" t="inlineStr">
        <is>
          <t>SEDAL</t>
        </is>
      </c>
      <c r="F2028" s="10" t="n">
        <v>7.49</v>
      </c>
      <c r="G2028" s="10" t="n">
        <v>7.49</v>
      </c>
      <c r="H2028" s="10" t="b">
        <v>0</v>
      </c>
      <c r="I2028" s="10" t="inlineStr"/>
      <c r="J2028" s="10" t="inlineStr"/>
      <c r="K2028" s="10" t="inlineStr">
        <is>
          <t>&gt; Perfumería &gt; Cuidado Capilar &gt; Shampoo &gt;</t>
        </is>
      </c>
      <c r="L2028" s="10" t="inlineStr">
        <is>
          <t>shampoo</t>
        </is>
      </c>
      <c r="M2028" s="10" t="inlineStr">
        <is>
          <t>estandar</t>
        </is>
      </c>
      <c r="N2028" s="10" t="inlineStr">
        <is>
          <t>general</t>
        </is>
      </c>
      <c r="O2028" s="10" t="inlineStr">
        <is>
          <t>https://www.disco.com.ar/shampoo-sedal-ceramidas-pck-2-u-253860/p</t>
        </is>
      </c>
    </row>
    <row r="2029">
      <c r="A2029" t="inlineStr">
        <is>
          <t>Disco</t>
        </is>
      </c>
      <c r="B2029" t="n">
        <v>218734</v>
      </c>
      <c r="C2029" t="n">
        <v>228320</v>
      </c>
      <c r="D2029" t="inlineStr">
        <is>
          <t>Crema Capilar Sedal Negros Luminosos Pet 300 Ml</t>
        </is>
      </c>
      <c r="E2029" t="inlineStr">
        <is>
          <t>SEDAL</t>
        </is>
      </c>
      <c r="F2029" t="n">
        <v>16.59</v>
      </c>
      <c r="G2029" t="n">
        <v>16.59</v>
      </c>
      <c r="H2029" t="b">
        <v>0</v>
      </c>
      <c r="I2029" t="n">
        <v>300</v>
      </c>
      <c r="J2029" t="n">
        <v>0.0553</v>
      </c>
      <c r="K2029" t="inlineStr">
        <is>
          <t>&gt; Perfumería &gt; Cuidado Capilar &gt; Reparación y Tratamientos &gt;</t>
        </is>
      </c>
      <c r="L2029" t="inlineStr">
        <is>
          <t>shampoo</t>
        </is>
      </c>
      <c r="M2029" t="inlineStr">
        <is>
          <t>estandar</t>
        </is>
      </c>
      <c r="N2029" t="inlineStr">
        <is>
          <t>general</t>
        </is>
      </c>
      <c r="O2029" t="inlineStr">
        <is>
          <t>https://www.disco.com.ar/crema-capilar-sedal-negros-luminosos-pet-300-ml-251326/p</t>
        </is>
      </c>
    </row>
    <row r="2030">
      <c r="A2030" s="10" t="inlineStr">
        <is>
          <t>Disco</t>
        </is>
      </c>
      <c r="B2030" s="10" t="n">
        <v>218695</v>
      </c>
      <c r="C2030" s="10" t="n">
        <v>228436</v>
      </c>
      <c r="D2030" s="10" t="inlineStr">
        <is>
          <t>Acondicionador Sedal Ceramidas Pet X  650 Ml</t>
        </is>
      </c>
      <c r="E2030" s="10" t="inlineStr">
        <is>
          <t>SEDAL</t>
        </is>
      </c>
      <c r="F2030" s="10" t="n">
        <v>9.890000000000001</v>
      </c>
      <c r="G2030" s="10" t="n">
        <v>9.890000000000001</v>
      </c>
      <c r="H2030" s="10" t="b">
        <v>0</v>
      </c>
      <c r="I2030" s="10" t="n">
        <v>650</v>
      </c>
      <c r="J2030" s="10" t="n">
        <v>0.0152</v>
      </c>
      <c r="K2030" s="10" t="inlineStr">
        <is>
          <t>&gt; Perfumería &gt; Cuidado Capilar &gt; Acondicionador &gt;</t>
        </is>
      </c>
      <c r="L2030" s="10" t="inlineStr">
        <is>
          <t>acondicionador</t>
        </is>
      </c>
      <c r="M2030" s="10" t="inlineStr">
        <is>
          <t>estandar</t>
        </is>
      </c>
      <c r="N2030" s="10" t="inlineStr">
        <is>
          <t>general</t>
        </is>
      </c>
      <c r="O2030" s="10" t="inlineStr">
        <is>
          <t>https://www.disco.com.ar/acondicionador-sedal-ceramidas-pet-x-650-ml-250827/p</t>
        </is>
      </c>
    </row>
    <row r="2031">
      <c r="A2031" t="inlineStr">
        <is>
          <t>Disco</t>
        </is>
      </c>
      <c r="B2031" t="n">
        <v>218669</v>
      </c>
      <c r="C2031" t="n">
        <v>228513</v>
      </c>
      <c r="D2031" t="inlineStr">
        <is>
          <t>Acondicionador Sedal Negros Luminosos Pet 350 Ml.</t>
        </is>
      </c>
      <c r="E2031" t="inlineStr">
        <is>
          <t>SEDAL</t>
        </is>
      </c>
      <c r="F2031" t="n">
        <v>8.35</v>
      </c>
      <c r="G2031" t="n">
        <v>8.35</v>
      </c>
      <c r="H2031" t="b">
        <v>0</v>
      </c>
      <c r="I2031" t="n">
        <v>350</v>
      </c>
      <c r="J2031" t="n">
        <v>0.0239</v>
      </c>
      <c r="K2031" t="inlineStr">
        <is>
          <t>&gt; Perfumería &gt; Cuidado Capilar &gt; Acondicionador &gt;</t>
        </is>
      </c>
      <c r="L2031" t="inlineStr">
        <is>
          <t>acondicionador</t>
        </is>
      </c>
      <c r="M2031" t="inlineStr">
        <is>
          <t>estandar</t>
        </is>
      </c>
      <c r="N2031" t="inlineStr">
        <is>
          <t>general</t>
        </is>
      </c>
      <c r="O2031" t="inlineStr">
        <is>
          <t>https://www.disco.com.ar/acondicionador-sedal-negros-luminosos-pet-350-ml-250521/p</t>
        </is>
      </c>
    </row>
    <row r="2032">
      <c r="A2032" s="10" t="inlineStr">
        <is>
          <t>Disco</t>
        </is>
      </c>
      <c r="B2032" s="10" t="n">
        <v>218628</v>
      </c>
      <c r="C2032" s="10" t="n">
        <v>228659</v>
      </c>
      <c r="D2032" s="10" t="inlineStr">
        <is>
          <t>Sahmpoo Sedal Lissage Pet 650 Ml</t>
        </is>
      </c>
      <c r="E2032" s="10" t="inlineStr">
        <is>
          <t>SEDAL</t>
        </is>
      </c>
      <c r="F2032" s="10" t="n">
        <v>9.26</v>
      </c>
      <c r="G2032" s="10" t="n">
        <v>9.26</v>
      </c>
      <c r="H2032" s="10" t="b">
        <v>0</v>
      </c>
      <c r="I2032" s="10" t="n">
        <v>650</v>
      </c>
      <c r="J2032" s="10" t="n">
        <v>0.0142</v>
      </c>
      <c r="K2032" s="10" t="inlineStr">
        <is>
          <t>&gt; Perfumería &gt; Cuidado Capilar &gt; Shampoo &gt;</t>
        </is>
      </c>
      <c r="L2032" s="10" t="inlineStr">
        <is>
          <t>shampoo</t>
        </is>
      </c>
      <c r="M2032" s="10" t="inlineStr">
        <is>
          <t>estandar</t>
        </is>
      </c>
      <c r="N2032" s="10" t="inlineStr">
        <is>
          <t>general</t>
        </is>
      </c>
      <c r="O2032" s="10" t="inlineStr">
        <is>
          <t>https://www.disco.com.ar/sahmpoo-sedal-lissage-pet-650-ml-250823/p</t>
        </is>
      </c>
    </row>
    <row r="2033">
      <c r="A2033" t="inlineStr">
        <is>
          <t>Disco</t>
        </is>
      </c>
      <c r="B2033" t="n">
        <v>218598</v>
      </c>
      <c r="C2033" t="n">
        <v>228788</v>
      </c>
      <c r="D2033" t="inlineStr">
        <is>
          <t>Shampoo Sedal Negros Luminosos X 350 Ml</t>
        </is>
      </c>
      <c r="E2033" t="inlineStr">
        <is>
          <t>SEDAL</t>
        </is>
      </c>
      <c r="F2033" t="n">
        <v>8.109999999999999</v>
      </c>
      <c r="G2033" t="n">
        <v>8.109999999999999</v>
      </c>
      <c r="H2033" t="b">
        <v>0</v>
      </c>
      <c r="I2033" t="n">
        <v>350</v>
      </c>
      <c r="J2033" t="n">
        <v>0.0232</v>
      </c>
      <c r="K2033" t="inlineStr">
        <is>
          <t>&gt; Perfumería &gt; Cuidado Capilar &gt; Shampoo &gt;</t>
        </is>
      </c>
      <c r="L2033" t="inlineStr">
        <is>
          <t>shampoo</t>
        </is>
      </c>
      <c r="M2033" t="inlineStr">
        <is>
          <t>estandar</t>
        </is>
      </c>
      <c r="N2033" t="inlineStr">
        <is>
          <t>general</t>
        </is>
      </c>
      <c r="O2033" t="inlineStr">
        <is>
          <t>https://www.disco.com.ar/shampoo-sedal-negros-luminosos-x-350-ml-250519/p</t>
        </is>
      </c>
    </row>
    <row r="2034">
      <c r="A2034" s="10" t="inlineStr">
        <is>
          <t>Disco</t>
        </is>
      </c>
      <c r="B2034" s="10" t="n">
        <v>215453</v>
      </c>
      <c r="C2034" s="10" t="n">
        <v>172381</v>
      </c>
      <c r="D2034" s="10" t="inlineStr">
        <is>
          <t>Acondicionador Sedal Ondas Irresistibles Pvc 650 Ml</t>
        </is>
      </c>
      <c r="E2034" s="10" t="inlineStr">
        <is>
          <t>SEDAL</t>
        </is>
      </c>
      <c r="F2034" s="10" t="n">
        <v>11.15</v>
      </c>
      <c r="G2034" s="10" t="n">
        <v>11.15</v>
      </c>
      <c r="H2034" s="10" t="b">
        <v>0</v>
      </c>
      <c r="I2034" s="10" t="n">
        <v>650</v>
      </c>
      <c r="J2034" s="10" t="n">
        <v>0.0172</v>
      </c>
      <c r="K2034" s="10" t="inlineStr">
        <is>
          <t>&gt; Perfumería &gt; Cuidado Capilar &gt; Acondicionador &gt;</t>
        </is>
      </c>
      <c r="L2034" s="10" t="inlineStr">
        <is>
          <t>acondicionador</t>
        </is>
      </c>
      <c r="M2034" s="10" t="inlineStr">
        <is>
          <t>estandar</t>
        </is>
      </c>
      <c r="N2034" s="10" t="inlineStr">
        <is>
          <t>general</t>
        </is>
      </c>
      <c r="O2034" s="10" t="inlineStr">
        <is>
          <t>https://www.disco.com.ar/acondicionador-sedal-ondas-irresistibles-pvc-650-ml-257505/p</t>
        </is>
      </c>
    </row>
    <row r="2035">
      <c r="A2035" t="inlineStr">
        <is>
          <t>Disco</t>
        </is>
      </c>
      <c r="B2035" t="n">
        <v>210993</v>
      </c>
      <c r="C2035" t="n">
        <v>234864</v>
      </c>
      <c r="D2035" t="inlineStr">
        <is>
          <t>Acondicionador Sedal Guarana Active  400 Ml Pvc 200 Ml</t>
        </is>
      </c>
      <c r="E2035" t="inlineStr">
        <is>
          <t>SEDAL</t>
        </is>
      </c>
      <c r="F2035" t="n">
        <v>5.45</v>
      </c>
      <c r="G2035" t="n">
        <v>5.45</v>
      </c>
      <c r="H2035" t="b">
        <v>0</v>
      </c>
      <c r="I2035" t="n">
        <v>400</v>
      </c>
      <c r="J2035" t="n">
        <v>0.0136</v>
      </c>
      <c r="K2035" t="inlineStr">
        <is>
          <t>&gt; Perfumería &gt; Cuidado Capilar &gt; Acondicionador &gt;</t>
        </is>
      </c>
      <c r="L2035" t="inlineStr">
        <is>
          <t>acondicionador</t>
        </is>
      </c>
      <c r="M2035" t="inlineStr">
        <is>
          <t>estandar</t>
        </is>
      </c>
      <c r="N2035" t="inlineStr">
        <is>
          <t>general</t>
        </is>
      </c>
      <c r="O2035" t="inlineStr">
        <is>
          <t>https://www.disco.com.ar/acondicionador-sedal-pvc-200-ml-4-225286/p</t>
        </is>
      </c>
    </row>
    <row r="2036">
      <c r="A2036" s="10" t="inlineStr">
        <is>
          <t>Disco</t>
        </is>
      </c>
      <c r="B2036" s="10" t="n">
        <v>209266</v>
      </c>
      <c r="C2036" s="10" t="n">
        <v>231075</v>
      </c>
      <c r="D2036" s="10" t="inlineStr">
        <is>
          <t>Acondicionador Sedal Verano Intense Pvc 480 Ml.</t>
        </is>
      </c>
      <c r="E2036" s="10" t="inlineStr">
        <is>
          <t>SEDAL</t>
        </is>
      </c>
      <c r="F2036" s="10" t="n">
        <v>5.97</v>
      </c>
      <c r="G2036" s="10" t="n">
        <v>5.97</v>
      </c>
      <c r="H2036" s="10" t="b">
        <v>0</v>
      </c>
      <c r="I2036" s="10" t="n">
        <v>480</v>
      </c>
      <c r="J2036" s="10" t="n">
        <v>0.0124</v>
      </c>
      <c r="K2036" s="10" t="inlineStr">
        <is>
          <t>&gt; Perfumería &gt; Cuidado Capilar &gt; Acondicionador &gt;</t>
        </is>
      </c>
      <c r="L2036" s="10" t="inlineStr">
        <is>
          <t>acondicionador</t>
        </is>
      </c>
      <c r="M2036" s="10" t="inlineStr">
        <is>
          <t>estandar</t>
        </is>
      </c>
      <c r="N2036" s="10" t="inlineStr">
        <is>
          <t>general</t>
        </is>
      </c>
      <c r="O2036" s="10" t="inlineStr">
        <is>
          <t>https://www.disco.com.ar/acondicionador-sedal-x-480-ml-217533/p</t>
        </is>
      </c>
    </row>
    <row r="2037">
      <c r="A2037" t="inlineStr">
        <is>
          <t>Disco</t>
        </is>
      </c>
      <c r="B2037" t="n">
        <v>195065</v>
      </c>
      <c r="C2037" t="n">
        <v>172457</v>
      </c>
      <c r="D2037" t="inlineStr">
        <is>
          <t>Shampoo Sedal Ondas Irresistibles Pvc 200 Ml</t>
        </is>
      </c>
      <c r="E2037" t="inlineStr">
        <is>
          <t>SEDAL</t>
        </is>
      </c>
      <c r="F2037" t="n">
        <v>6.09</v>
      </c>
      <c r="G2037" t="n">
        <v>6.09</v>
      </c>
      <c r="H2037" t="b">
        <v>0</v>
      </c>
      <c r="I2037" t="n">
        <v>200</v>
      </c>
      <c r="J2037" t="n">
        <v>0.0304</v>
      </c>
      <c r="K2037" t="inlineStr">
        <is>
          <t>&gt; Perfumería &gt; Cuidado Capilar &gt; Shampoo &gt;</t>
        </is>
      </c>
      <c r="L2037" t="inlineStr">
        <is>
          <t>shampoo</t>
        </is>
      </c>
      <c r="M2037" t="inlineStr">
        <is>
          <t>estandar</t>
        </is>
      </c>
      <c r="N2037" t="inlineStr">
        <is>
          <t>general</t>
        </is>
      </c>
      <c r="O2037" t="inlineStr">
        <is>
          <t>https://www.disco.com.ar/shampoo-sedal-ondas-irresistibles-pvc-200-ml-257487/p</t>
        </is>
      </c>
    </row>
    <row r="2038">
      <c r="A2038" s="10" t="inlineStr">
        <is>
          <t>Disco</t>
        </is>
      </c>
      <c r="B2038" s="10" t="n">
        <v>191519</v>
      </c>
      <c r="C2038" s="10" t="n">
        <v>235929</v>
      </c>
      <c r="D2038" s="10" t="inlineStr">
        <is>
          <t>Shampoo Sedal Ceramidas X 200 Cc.</t>
        </is>
      </c>
      <c r="E2038" s="10" t="inlineStr">
        <is>
          <t>SEDAL</t>
        </is>
      </c>
      <c r="F2038" s="10" t="n">
        <v>6.09</v>
      </c>
      <c r="G2038" s="10" t="n">
        <v>6.09</v>
      </c>
      <c r="H2038" s="10" t="b">
        <v>0</v>
      </c>
      <c r="I2038" s="10" t="inlineStr"/>
      <c r="J2038" s="10" t="inlineStr"/>
      <c r="K2038" s="10" t="inlineStr">
        <is>
          <t>&gt; Perfumería &gt; Cuidado Capilar &gt; Shampoo &gt;</t>
        </is>
      </c>
      <c r="L2038" s="10" t="inlineStr">
        <is>
          <t>shampoo</t>
        </is>
      </c>
      <c r="M2038" s="10" t="inlineStr">
        <is>
          <t>estandar</t>
        </is>
      </c>
      <c r="N2038" s="10" t="inlineStr">
        <is>
          <t>general</t>
        </is>
      </c>
      <c r="O2038" s="10" t="inlineStr">
        <is>
          <t>https://www.disco.com.ar/shampoo-sedal-89-31206/p</t>
        </is>
      </c>
    </row>
    <row r="2039">
      <c r="A2039" t="inlineStr">
        <is>
          <t>Disco</t>
        </is>
      </c>
      <c r="B2039" t="n">
        <v>187922</v>
      </c>
      <c r="C2039" t="n">
        <v>226288</v>
      </c>
      <c r="D2039" t="inlineStr">
        <is>
          <t>Shampoo Sedal Selective X 400 Ml.</t>
        </is>
      </c>
      <c r="E2039" t="inlineStr">
        <is>
          <t>SEDAL</t>
        </is>
      </c>
      <c r="F2039" t="n">
        <v>5.97</v>
      </c>
      <c r="G2039" t="n">
        <v>5.97</v>
      </c>
      <c r="H2039" t="b">
        <v>0</v>
      </c>
      <c r="I2039" t="n">
        <v>400</v>
      </c>
      <c r="J2039" t="n">
        <v>0.0149</v>
      </c>
      <c r="K2039" t="inlineStr">
        <is>
          <t>&gt; Perfumería &gt; Cuidado Capilar &gt; Shampoo &gt;</t>
        </is>
      </c>
      <c r="L2039" t="inlineStr">
        <is>
          <t>shampoo</t>
        </is>
      </c>
      <c r="M2039" t="inlineStr">
        <is>
          <t>estandar</t>
        </is>
      </c>
      <c r="N2039" t="inlineStr">
        <is>
          <t>general</t>
        </is>
      </c>
      <c r="O2039" t="inlineStr">
        <is>
          <t>https://www.disco.com.ar/shampoo-sedal-72-85703/p</t>
        </is>
      </c>
    </row>
    <row r="2040">
      <c r="A2040" s="10" t="inlineStr">
        <is>
          <t>Disco</t>
        </is>
      </c>
      <c r="B2040" s="10" t="n">
        <v>185095</v>
      </c>
      <c r="C2040" s="10" t="n">
        <v>210216</v>
      </c>
      <c r="D2040" s="10" t="inlineStr">
        <is>
          <t>Shampoo Sedal Verano Intense Pvc 650 Ml</t>
        </is>
      </c>
      <c r="E2040" s="10" t="inlineStr">
        <is>
          <t>SEDAL</t>
        </is>
      </c>
      <c r="F2040" s="10" t="n">
        <v>9.49</v>
      </c>
      <c r="G2040" s="10" t="n">
        <v>9.49</v>
      </c>
      <c r="H2040" s="10" t="b">
        <v>0</v>
      </c>
      <c r="I2040" s="10" t="n">
        <v>650</v>
      </c>
      <c r="J2040" s="10" t="n">
        <v>0.0146</v>
      </c>
      <c r="K2040" s="10" t="inlineStr">
        <is>
          <t>&gt; Perfumería &gt; Cuidado Capilar &gt; Shampoo &gt;</t>
        </is>
      </c>
      <c r="L2040" s="10" t="inlineStr">
        <is>
          <t>shampoo</t>
        </is>
      </c>
      <c r="M2040" s="10" t="inlineStr">
        <is>
          <t>estandar</t>
        </is>
      </c>
      <c r="N2040" s="10" t="inlineStr">
        <is>
          <t>general</t>
        </is>
      </c>
      <c r="O2040" s="10" t="inlineStr">
        <is>
          <t>https://www.disco.com.ar/shampoo-sedal-x-650-ml-260002/p</t>
        </is>
      </c>
    </row>
    <row r="2041">
      <c r="A2041" t="inlineStr">
        <is>
          <t>Disco</t>
        </is>
      </c>
      <c r="B2041" t="n">
        <v>185039</v>
      </c>
      <c r="C2041" t="n">
        <v>210084</v>
      </c>
      <c r="D2041" t="inlineStr">
        <is>
          <t>Acondicionador Sedal Verano Intense Pvc X 650 Ml</t>
        </is>
      </c>
      <c r="E2041" t="inlineStr">
        <is>
          <t>SEDAL</t>
        </is>
      </c>
      <c r="F2041" t="n">
        <v>9.52</v>
      </c>
      <c r="G2041" t="n">
        <v>9.52</v>
      </c>
      <c r="H2041" t="b">
        <v>0</v>
      </c>
      <c r="I2041" t="n">
        <v>650</v>
      </c>
      <c r="J2041" t="n">
        <v>0.0146</v>
      </c>
      <c r="K2041" t="inlineStr">
        <is>
          <t>&gt; Perfumería &gt; Cuidado Capilar &gt; Acondicionador &gt;</t>
        </is>
      </c>
      <c r="L2041" t="inlineStr">
        <is>
          <t>acondicionador</t>
        </is>
      </c>
      <c r="M2041" t="inlineStr">
        <is>
          <t>estandar</t>
        </is>
      </c>
      <c r="N2041" t="inlineStr">
        <is>
          <t>general</t>
        </is>
      </c>
      <c r="O2041" t="inlineStr">
        <is>
          <t>https://www.disco.com.ar/acondicionador-sedal-x-650-ml-260004/p</t>
        </is>
      </c>
    </row>
    <row r="2042">
      <c r="A2042" s="10" t="inlineStr">
        <is>
          <t>Disco</t>
        </is>
      </c>
      <c r="B2042" s="10" t="n">
        <v>184170</v>
      </c>
      <c r="C2042" s="10" t="n">
        <v>207337</v>
      </c>
      <c r="D2042" s="10" t="inlineStr">
        <is>
          <t>Shampoo Sedal Ceramida X 400 Gr Rexona Cotton M.gratis Pck 2 Kg</t>
        </is>
      </c>
      <c r="E2042" s="10" t="inlineStr">
        <is>
          <t>SEDAL</t>
        </is>
      </c>
      <c r="F2042" s="10" t="n">
        <v>3.45</v>
      </c>
      <c r="G2042" s="10" t="n">
        <v>3.45</v>
      </c>
      <c r="H2042" s="10" t="b">
        <v>0</v>
      </c>
      <c r="I2042" s="10" t="n">
        <v>400</v>
      </c>
      <c r="J2042" s="10" t="n">
        <v>0.0086</v>
      </c>
      <c r="K2042" s="10" t="inlineStr">
        <is>
          <t>&gt; Perfumería &gt; Cuidado Capilar &gt; Shampoo &gt;</t>
        </is>
      </c>
      <c r="L2042" s="10" t="inlineStr">
        <is>
          <t>shampoo</t>
        </is>
      </c>
      <c r="M2042" s="10" t="inlineStr">
        <is>
          <t>estandar</t>
        </is>
      </c>
      <c r="N2042" s="10" t="inlineStr">
        <is>
          <t>general</t>
        </is>
      </c>
      <c r="O2042" s="10" t="inlineStr">
        <is>
          <t>https://www.disco.com.ar/shampoo-sedal-57-176970/p</t>
        </is>
      </c>
    </row>
    <row r="2043">
      <c r="A2043" t="inlineStr">
        <is>
          <t>Disco</t>
        </is>
      </c>
      <c r="B2043" t="n">
        <v>174946</v>
      </c>
      <c r="C2043" t="n">
        <v>186716</v>
      </c>
      <c r="D2043" t="inlineStr">
        <is>
          <t>Shampoo Sedal Hidraloe Pvc 350 Ml</t>
        </is>
      </c>
      <c r="E2043" t="inlineStr">
        <is>
          <t>SEDAL</t>
        </is>
      </c>
      <c r="F2043" t="n">
        <v>8.390000000000001</v>
      </c>
      <c r="G2043" t="n">
        <v>8.390000000000001</v>
      </c>
      <c r="H2043" t="b">
        <v>0</v>
      </c>
      <c r="I2043" t="n">
        <v>350</v>
      </c>
      <c r="J2043" t="n">
        <v>0.024</v>
      </c>
      <c r="K2043" t="inlineStr">
        <is>
          <t>&gt; Perfumería &gt; Cuidado Capilar &gt; Shampoo &gt;</t>
        </is>
      </c>
      <c r="L2043" t="inlineStr">
        <is>
          <t>shampoo</t>
        </is>
      </c>
      <c r="M2043" t="inlineStr">
        <is>
          <t>estandar</t>
        </is>
      </c>
      <c r="N2043" t="inlineStr">
        <is>
          <t>general</t>
        </is>
      </c>
      <c r="O2043" t="inlineStr">
        <is>
          <t>https://www.disco.com.ar/shampoo-sedal-pvc-350-ml-7-238334/p</t>
        </is>
      </c>
    </row>
    <row r="2044">
      <c r="A2044" s="10" t="inlineStr">
        <is>
          <t>Disco</t>
        </is>
      </c>
      <c r="B2044" s="10" t="n">
        <v>174945</v>
      </c>
      <c r="C2044" s="10" t="n">
        <v>186713</v>
      </c>
      <c r="D2044" s="10" t="inlineStr">
        <is>
          <t>Shampoo Sedal Crema Pvc 350 Ml</t>
        </is>
      </c>
      <c r="E2044" s="10" t="inlineStr">
        <is>
          <t>SEDAL</t>
        </is>
      </c>
      <c r="F2044" s="10" t="n">
        <v>8.390000000000001</v>
      </c>
      <c r="G2044" s="10" t="n">
        <v>8.390000000000001</v>
      </c>
      <c r="H2044" s="10" t="b">
        <v>0</v>
      </c>
      <c r="I2044" s="10" t="n">
        <v>350</v>
      </c>
      <c r="J2044" s="10" t="n">
        <v>0.024</v>
      </c>
      <c r="K2044" s="10" t="inlineStr">
        <is>
          <t>&gt; Perfumería &gt; Cuidado Capilar &gt; Shampoo &gt;</t>
        </is>
      </c>
      <c r="L2044" s="10" t="inlineStr">
        <is>
          <t>shampoo</t>
        </is>
      </c>
      <c r="M2044" s="10" t="inlineStr">
        <is>
          <t>estandar</t>
        </is>
      </c>
      <c r="N2044" s="10" t="inlineStr">
        <is>
          <t>general</t>
        </is>
      </c>
      <c r="O2044" s="10" t="inlineStr">
        <is>
          <t>https://www.disco.com.ar/shampoo-sedal-pvc-350-ml-6-238329/p</t>
        </is>
      </c>
    </row>
    <row r="2045">
      <c r="A2045" t="inlineStr">
        <is>
          <t>Disco</t>
        </is>
      </c>
      <c r="B2045" t="n">
        <v>174942</v>
      </c>
      <c r="C2045" t="n">
        <v>186703</v>
      </c>
      <c r="D2045" t="inlineStr">
        <is>
          <t>Shampoo Sedal Pvc Ceramidas Pet 350 Ml</t>
        </is>
      </c>
      <c r="E2045" t="inlineStr">
        <is>
          <t>SEDAL</t>
        </is>
      </c>
      <c r="F2045" t="n">
        <v>8.390000000000001</v>
      </c>
      <c r="G2045" t="n">
        <v>8.390000000000001</v>
      </c>
      <c r="H2045" t="b">
        <v>0</v>
      </c>
      <c r="I2045" t="n">
        <v>350</v>
      </c>
      <c r="J2045" t="n">
        <v>0.024</v>
      </c>
      <c r="K2045" t="inlineStr">
        <is>
          <t>&gt; Perfumería &gt; Cuidado Capilar &gt; Shampoo &gt;</t>
        </is>
      </c>
      <c r="L2045" t="inlineStr">
        <is>
          <t>shampoo</t>
        </is>
      </c>
      <c r="M2045" t="inlineStr">
        <is>
          <t>estandar</t>
        </is>
      </c>
      <c r="N2045" t="inlineStr">
        <is>
          <t>general</t>
        </is>
      </c>
      <c r="O2045" t="inlineStr">
        <is>
          <t>https://www.disco.com.ar/shampoo-sedal-pvc-350-ml-5-238322/p</t>
        </is>
      </c>
    </row>
    <row r="2046">
      <c r="A2046" s="10" t="inlineStr">
        <is>
          <t>Disco</t>
        </is>
      </c>
      <c r="B2046" s="10" t="n">
        <v>174887</v>
      </c>
      <c r="C2046" s="10" t="n">
        <v>186574</v>
      </c>
      <c r="D2046" s="10" t="inlineStr">
        <is>
          <t>Shampoo Sedal Rubio  Pvc 200 Ml</t>
        </is>
      </c>
      <c r="E2046" s="10" t="inlineStr">
        <is>
          <t>SEDAL</t>
        </is>
      </c>
      <c r="F2046" s="10" t="n">
        <v>17</v>
      </c>
      <c r="G2046" s="10" t="n">
        <v>17</v>
      </c>
      <c r="H2046" s="10" t="b">
        <v>0</v>
      </c>
      <c r="I2046" s="10" t="n">
        <v>200</v>
      </c>
      <c r="J2046" s="10" t="n">
        <v>0.08500000000000001</v>
      </c>
      <c r="K2046" s="10" t="inlineStr">
        <is>
          <t>&gt; Perfumería &gt; Cuidado Capilar &gt; Shampoo &gt;</t>
        </is>
      </c>
      <c r="L2046" s="10" t="inlineStr">
        <is>
          <t>shampoo</t>
        </is>
      </c>
      <c r="M2046" s="10" t="inlineStr">
        <is>
          <t>estandar</t>
        </is>
      </c>
      <c r="N2046" s="10" t="inlineStr">
        <is>
          <t>general</t>
        </is>
      </c>
      <c r="O2046" s="10" t="inlineStr">
        <is>
          <t>https://www.disco.com.ar/shampoo-sedal-pvc-200-ml-3-238357/p</t>
        </is>
      </c>
    </row>
    <row r="2047">
      <c r="A2047" t="inlineStr">
        <is>
          <t>Disco</t>
        </is>
      </c>
      <c r="B2047" t="n">
        <v>174882</v>
      </c>
      <c r="C2047" t="n">
        <v>186560</v>
      </c>
      <c r="D2047" t="inlineStr">
        <is>
          <t>Acondicionador Sedal Rubio Pvc 200 Ml</t>
        </is>
      </c>
      <c r="E2047" t="inlineStr">
        <is>
          <t>SEDAL</t>
        </is>
      </c>
      <c r="F2047" t="n">
        <v>5.52</v>
      </c>
      <c r="G2047" t="n">
        <v>5.52</v>
      </c>
      <c r="H2047" t="b">
        <v>0</v>
      </c>
      <c r="I2047" t="n">
        <v>200</v>
      </c>
      <c r="J2047" t="n">
        <v>0.0276</v>
      </c>
      <c r="K2047" t="inlineStr">
        <is>
          <t>&gt; Perfumería &gt; Cuidado Capilar &gt; Acondicionador &gt;</t>
        </is>
      </c>
      <c r="L2047" t="inlineStr">
        <is>
          <t>acondicionador</t>
        </is>
      </c>
      <c r="M2047" t="inlineStr">
        <is>
          <t>estandar</t>
        </is>
      </c>
      <c r="N2047" t="inlineStr">
        <is>
          <t>general</t>
        </is>
      </c>
      <c r="O2047" t="inlineStr">
        <is>
          <t>https://www.disco.com.ar/acondicionador-sedal-pvc-200-ml-3-238359/p</t>
        </is>
      </c>
    </row>
    <row r="2048">
      <c r="A2048" s="10" t="inlineStr">
        <is>
          <t>Disco</t>
        </is>
      </c>
      <c r="B2048" s="10" t="n">
        <v>174871</v>
      </c>
      <c r="C2048" s="10" t="n">
        <v>186517</v>
      </c>
      <c r="D2048" s="10" t="inlineStr">
        <is>
          <t>Acondicionador Sedal Guarana Pvc 350 Ml</t>
        </is>
      </c>
      <c r="E2048" s="10" t="inlineStr">
        <is>
          <t>SEDAL</t>
        </is>
      </c>
      <c r="F2048" s="10" t="n">
        <v>8.390000000000001</v>
      </c>
      <c r="G2048" s="10" t="n">
        <v>8.390000000000001</v>
      </c>
      <c r="H2048" s="10" t="b">
        <v>0</v>
      </c>
      <c r="I2048" s="10" t="n">
        <v>350</v>
      </c>
      <c r="J2048" s="10" t="n">
        <v>0.024</v>
      </c>
      <c r="K2048" s="10" t="inlineStr">
        <is>
          <t>&gt; Perfumería &gt; Cuidado Capilar &gt; Acondicionador &gt;</t>
        </is>
      </c>
      <c r="L2048" s="10" t="inlineStr">
        <is>
          <t>acondicionador</t>
        </is>
      </c>
      <c r="M2048" s="10" t="inlineStr">
        <is>
          <t>estandar</t>
        </is>
      </c>
      <c r="N2048" s="10" t="inlineStr">
        <is>
          <t>general</t>
        </is>
      </c>
      <c r="O2048" s="10" t="inlineStr">
        <is>
          <t>https://www.disco.com.ar/acondicionador-sedal-pvc-350-ml-6-238333/p</t>
        </is>
      </c>
    </row>
    <row r="2049">
      <c r="A2049" t="inlineStr">
        <is>
          <t>Disco</t>
        </is>
      </c>
      <c r="B2049" t="n">
        <v>174735</v>
      </c>
      <c r="C2049" t="n">
        <v>186150</v>
      </c>
      <c r="D2049" t="inlineStr">
        <is>
          <t>Shampoo Sedal  Lissage Pvc 350 Ml</t>
        </is>
      </c>
      <c r="E2049" t="inlineStr">
        <is>
          <t>SEDAL</t>
        </is>
      </c>
      <c r="F2049" t="n">
        <v>8.390000000000001</v>
      </c>
      <c r="G2049" t="n">
        <v>8.390000000000001</v>
      </c>
      <c r="H2049" t="b">
        <v>0</v>
      </c>
      <c r="I2049" t="n">
        <v>350</v>
      </c>
      <c r="J2049" t="n">
        <v>0.024</v>
      </c>
      <c r="K2049" t="inlineStr">
        <is>
          <t>&gt; Perfumería &gt; Cuidado Capilar &gt; Shampoo &gt;</t>
        </is>
      </c>
      <c r="L2049" t="inlineStr">
        <is>
          <t>shampoo</t>
        </is>
      </c>
      <c r="M2049" t="inlineStr">
        <is>
          <t>estandar</t>
        </is>
      </c>
      <c r="N2049" t="inlineStr">
        <is>
          <t>general</t>
        </is>
      </c>
      <c r="O2049" t="inlineStr">
        <is>
          <t>https://www.disco.com.ar/shampoo-sedal-pvc-350-ml-3-238338/p</t>
        </is>
      </c>
    </row>
    <row r="2050">
      <c r="A2050" s="10" t="inlineStr">
        <is>
          <t>Disco</t>
        </is>
      </c>
      <c r="B2050" s="10" t="n">
        <v>174716</v>
      </c>
      <c r="C2050" s="10" t="n">
        <v>186085</v>
      </c>
      <c r="D2050" s="10" t="inlineStr">
        <is>
          <t>Acondicionador Sedal Lissage Pvc 350 Ml</t>
        </is>
      </c>
      <c r="E2050" s="10" t="inlineStr">
        <is>
          <t>SEDAL</t>
        </is>
      </c>
      <c r="F2050" s="10" t="n">
        <v>8.390000000000001</v>
      </c>
      <c r="G2050" s="10" t="n">
        <v>8.390000000000001</v>
      </c>
      <c r="H2050" s="10" t="b">
        <v>0</v>
      </c>
      <c r="I2050" s="10" t="n">
        <v>350</v>
      </c>
      <c r="J2050" s="10" t="n">
        <v>0.024</v>
      </c>
      <c r="K2050" s="10" t="inlineStr">
        <is>
          <t>&gt; Perfumería &gt; Cuidado Capilar &gt; Acondicionador &gt;</t>
        </is>
      </c>
      <c r="L2050" s="10" t="inlineStr">
        <is>
          <t>acondicionador</t>
        </is>
      </c>
      <c r="M2050" s="10" t="inlineStr">
        <is>
          <t>estandar</t>
        </is>
      </c>
      <c r="N2050" s="10" t="inlineStr">
        <is>
          <t>general</t>
        </is>
      </c>
      <c r="O2050" s="10" t="inlineStr">
        <is>
          <t>https://www.disco.com.ar/acondicionador-sedal-pvc-350-ml-2-238339/p</t>
        </is>
      </c>
    </row>
    <row r="2051">
      <c r="A2051" t="inlineStr">
        <is>
          <t>Disco</t>
        </is>
      </c>
      <c r="B2051" t="n">
        <v>173867</v>
      </c>
      <c r="C2051" t="n">
        <v>182946</v>
      </c>
      <c r="D2051" t="inlineStr">
        <is>
          <t>Acondicionador Sedal Balance Pvc 420 Ml.</t>
        </is>
      </c>
      <c r="E2051" t="inlineStr">
        <is>
          <t>SEDAL</t>
        </is>
      </c>
      <c r="F2051" t="n">
        <v>8.390000000000001</v>
      </c>
      <c r="G2051" t="n">
        <v>8.390000000000001</v>
      </c>
      <c r="H2051" t="b">
        <v>0</v>
      </c>
      <c r="I2051" t="n">
        <v>420</v>
      </c>
      <c r="J2051" t="n">
        <v>0.02</v>
      </c>
      <c r="K2051" t="inlineStr">
        <is>
          <t>&gt; Perfumería &gt; Cuidado Capilar &gt; Acondicionador &gt;</t>
        </is>
      </c>
      <c r="L2051" t="inlineStr">
        <is>
          <t>acondicionador</t>
        </is>
      </c>
      <c r="M2051" t="inlineStr">
        <is>
          <t>estandar</t>
        </is>
      </c>
      <c r="N2051" t="inlineStr">
        <is>
          <t>general</t>
        </is>
      </c>
      <c r="O2051" t="inlineStr">
        <is>
          <t>https://www.disco.com.ar/acondicionador-sedal-pvc-420-ml-4-243938/p</t>
        </is>
      </c>
    </row>
    <row r="2052">
      <c r="A2052" s="10" t="inlineStr">
        <is>
          <t>Disco</t>
        </is>
      </c>
      <c r="B2052" s="10" t="n">
        <v>173860</v>
      </c>
      <c r="C2052" s="10" t="n">
        <v>182930</v>
      </c>
      <c r="D2052" s="10" t="inlineStr">
        <is>
          <t>Acondicionador Sedal Pvc 750 M</t>
        </is>
      </c>
      <c r="E2052" s="10" t="inlineStr">
        <is>
          <t>SEDAL</t>
        </is>
      </c>
      <c r="F2052" s="10" t="n">
        <v>9.279999999999999</v>
      </c>
      <c r="G2052" s="10" t="n">
        <v>9.279999999999999</v>
      </c>
      <c r="H2052" s="10" t="b">
        <v>0</v>
      </c>
      <c r="I2052" s="10" t="inlineStr"/>
      <c r="J2052" s="10" t="inlineStr"/>
      <c r="K2052" s="10" t="inlineStr">
        <is>
          <t>&gt; Perfumería &gt; Cuidado Capilar &gt; Acondicionador &gt;</t>
        </is>
      </c>
      <c r="L2052" s="10" t="inlineStr">
        <is>
          <t>acondicionador</t>
        </is>
      </c>
      <c r="M2052" s="10" t="inlineStr">
        <is>
          <t>estandar</t>
        </is>
      </c>
      <c r="N2052" s="10" t="inlineStr">
        <is>
          <t>general</t>
        </is>
      </c>
      <c r="O2052" s="10" t="inlineStr">
        <is>
          <t>https://www.disco.com.ar/acondicionador-sedal-pvc-750-ml-243941/p</t>
        </is>
      </c>
    </row>
    <row r="2053">
      <c r="A2053" t="inlineStr">
        <is>
          <t>Disco</t>
        </is>
      </c>
      <c r="B2053" t="n">
        <v>173853</v>
      </c>
      <c r="C2053" t="n">
        <v>182910</v>
      </c>
      <c r="D2053" t="inlineStr">
        <is>
          <t>Shampoo Sedal Crema Pvc 420 Ml.</t>
        </is>
      </c>
      <c r="E2053" t="inlineStr">
        <is>
          <t>SEDAL</t>
        </is>
      </c>
      <c r="F2053" t="n">
        <v>8.390000000000001</v>
      </c>
      <c r="G2053" t="n">
        <v>8.390000000000001</v>
      </c>
      <c r="H2053" t="b">
        <v>0</v>
      </c>
      <c r="I2053" t="n">
        <v>420</v>
      </c>
      <c r="J2053" t="n">
        <v>0.02</v>
      </c>
      <c r="K2053" t="inlineStr">
        <is>
          <t>&gt; Perfumería &gt; Cuidado Capilar &gt; Shampoo &gt;</t>
        </is>
      </c>
      <c r="L2053" t="inlineStr">
        <is>
          <t>shampoo</t>
        </is>
      </c>
      <c r="M2053" t="inlineStr">
        <is>
          <t>estandar</t>
        </is>
      </c>
      <c r="N2053" t="inlineStr">
        <is>
          <t>general</t>
        </is>
      </c>
      <c r="O2053" t="inlineStr">
        <is>
          <t>https://www.disco.com.ar/shampoo-sedal-pvc-420-ml-4-243934/p</t>
        </is>
      </c>
    </row>
    <row r="2054">
      <c r="A2054" s="10" t="inlineStr">
        <is>
          <t>Disco</t>
        </is>
      </c>
      <c r="B2054" s="10" t="n">
        <v>173844</v>
      </c>
      <c r="C2054" s="10" t="n">
        <v>182889</v>
      </c>
      <c r="D2054" s="10" t="inlineStr">
        <is>
          <t>Shampoo Sedal Lissage Pvc 420 Ml.</t>
        </is>
      </c>
      <c r="E2054" s="10" t="inlineStr">
        <is>
          <t>SEDAL</t>
        </is>
      </c>
      <c r="F2054" s="10" t="n">
        <v>8.390000000000001</v>
      </c>
      <c r="G2054" s="10" t="n">
        <v>8.390000000000001</v>
      </c>
      <c r="H2054" s="10" t="b">
        <v>0</v>
      </c>
      <c r="I2054" s="10" t="n">
        <v>420</v>
      </c>
      <c r="J2054" s="10" t="n">
        <v>0.02</v>
      </c>
      <c r="K2054" s="10" t="inlineStr">
        <is>
          <t>&gt; Perfumería &gt; Cuidado Capilar &gt; Shampoo &gt;</t>
        </is>
      </c>
      <c r="L2054" s="10" t="inlineStr">
        <is>
          <t>shampoo</t>
        </is>
      </c>
      <c r="M2054" s="10" t="inlineStr">
        <is>
          <t>estandar</t>
        </is>
      </c>
      <c r="N2054" s="10" t="inlineStr">
        <is>
          <t>general</t>
        </is>
      </c>
      <c r="O2054" s="10" t="inlineStr">
        <is>
          <t>https://www.disco.com.ar/shampoo-sedal-pvc-420-ml-243931/p</t>
        </is>
      </c>
    </row>
    <row r="2055">
      <c r="A2055" t="inlineStr">
        <is>
          <t>Disco</t>
        </is>
      </c>
      <c r="B2055" t="n">
        <v>173835</v>
      </c>
      <c r="C2055" t="n">
        <v>182858</v>
      </c>
      <c r="D2055" t="inlineStr">
        <is>
          <t>Crema Capilar Sedal Rojos Vibrantes Para Peinar Pomo 300 Ml</t>
        </is>
      </c>
      <c r="E2055" t="inlineStr">
        <is>
          <t>SEDAL</t>
        </is>
      </c>
      <c r="F2055" t="n">
        <v>16.59</v>
      </c>
      <c r="G2055" t="n">
        <v>16.59</v>
      </c>
      <c r="H2055" t="b">
        <v>0</v>
      </c>
      <c r="I2055" t="n">
        <v>300</v>
      </c>
      <c r="J2055" t="n">
        <v>0.0553</v>
      </c>
      <c r="K2055" t="inlineStr">
        <is>
          <t>&gt; Perfumería &gt; Cuidado Capilar &gt; Reparación y Tratamientos &gt;</t>
        </is>
      </c>
      <c r="L2055" t="inlineStr">
        <is>
          <t>shampoo</t>
        </is>
      </c>
      <c r="M2055" t="inlineStr">
        <is>
          <t>estandar</t>
        </is>
      </c>
      <c r="N2055" t="inlineStr">
        <is>
          <t>general</t>
        </is>
      </c>
      <c r="O2055" t="inlineStr">
        <is>
          <t>https://www.disco.com.ar/crema-capilar-sedal-pmo-300-ml-3-243483/p</t>
        </is>
      </c>
    </row>
    <row r="2056">
      <c r="A2056" s="10" t="inlineStr">
        <is>
          <t>Disco</t>
        </is>
      </c>
      <c r="B2056" s="10" t="n">
        <v>173832</v>
      </c>
      <c r="C2056" s="10" t="n">
        <v>182850</v>
      </c>
      <c r="D2056" s="10" t="inlineStr">
        <is>
          <t>Crema Capilar Sedal Castaño Rojizo Pomo 300 Ml</t>
        </is>
      </c>
      <c r="E2056" s="10" t="inlineStr">
        <is>
          <t>SEDAL</t>
        </is>
      </c>
      <c r="F2056" s="10" t="n">
        <v>16.59</v>
      </c>
      <c r="G2056" s="10" t="n">
        <v>16.59</v>
      </c>
      <c r="H2056" s="10" t="b">
        <v>0</v>
      </c>
      <c r="I2056" s="10" t="n">
        <v>300</v>
      </c>
      <c r="J2056" s="10" t="n">
        <v>0.0553</v>
      </c>
      <c r="K2056" s="10" t="inlineStr">
        <is>
          <t>&gt; Perfumería &gt; Cuidado Capilar &gt; Reparación y Tratamientos &gt;</t>
        </is>
      </c>
      <c r="L2056" s="10" t="inlineStr">
        <is>
          <t>shampoo</t>
        </is>
      </c>
      <c r="M2056" s="10" t="inlineStr">
        <is>
          <t>estandar</t>
        </is>
      </c>
      <c r="N2056" s="10" t="inlineStr">
        <is>
          <t>general</t>
        </is>
      </c>
      <c r="O2056" s="10" t="inlineStr">
        <is>
          <t>https://www.disco.com.ar/crema-capilar-sedal-pmo-300-ml-243480/p</t>
        </is>
      </c>
    </row>
    <row r="2057">
      <c r="A2057" t="inlineStr">
        <is>
          <t>Disco</t>
        </is>
      </c>
      <c r="B2057" t="n">
        <v>160862</v>
      </c>
      <c r="C2057" t="n">
        <v>158410</v>
      </c>
      <c r="D2057" t="inlineStr">
        <is>
          <t>Shampoo Sedal Detox Yuya 340 Ml</t>
        </is>
      </c>
      <c r="E2057" t="inlineStr">
        <is>
          <t>SEDAL</t>
        </is>
      </c>
      <c r="F2057" t="n">
        <v>155.69</v>
      </c>
      <c r="G2057" t="n">
        <v>12867</v>
      </c>
      <c r="H2057" t="b">
        <v>0</v>
      </c>
      <c r="I2057" t="n">
        <v>340</v>
      </c>
      <c r="J2057" t="n">
        <v>0.4579</v>
      </c>
      <c r="K2057" t="inlineStr">
        <is>
          <t>&gt; Perfumería &gt; Cuidado Capilar &gt; Shampoo &gt;</t>
        </is>
      </c>
      <c r="L2057" t="inlineStr">
        <is>
          <t>shampoo</t>
        </is>
      </c>
      <c r="M2057" t="inlineStr">
        <is>
          <t>estandar</t>
        </is>
      </c>
      <c r="N2057" t="inlineStr">
        <is>
          <t>general</t>
        </is>
      </c>
      <c r="O2057" t="inlineStr">
        <is>
          <t>https://www.disco.com.ar/shampoo-sedal-detox-yuya-340-ml/p</t>
        </is>
      </c>
    </row>
    <row r="2058">
      <c r="A2058" s="10" t="inlineStr">
        <is>
          <t>Disco</t>
        </is>
      </c>
      <c r="B2058" s="10" t="n">
        <v>128070</v>
      </c>
      <c r="C2058" s="10" t="n">
        <v>110849</v>
      </c>
      <c r="D2058" s="10" t="inlineStr">
        <is>
          <t>Crema Capilar Sedal-pet-ml.-300</t>
        </is>
      </c>
      <c r="E2058" s="10" t="inlineStr">
        <is>
          <t>SEDAL</t>
        </is>
      </c>
      <c r="F2058" s="10" t="n">
        <v>25.55</v>
      </c>
      <c r="G2058" s="10" t="n">
        <v>2112</v>
      </c>
      <c r="H2058" s="10" t="b">
        <v>0</v>
      </c>
      <c r="I2058" s="10" t="inlineStr"/>
      <c r="J2058" s="10" t="inlineStr"/>
      <c r="K2058" s="10" t="inlineStr">
        <is>
          <t>&gt; Perfumería &gt; Cuidado Capilar &gt; Reparación y Tratamientos &gt;</t>
        </is>
      </c>
      <c r="L2058" s="10" t="inlineStr">
        <is>
          <t>shampoo</t>
        </is>
      </c>
      <c r="M2058" s="10" t="inlineStr">
        <is>
          <t>estandar</t>
        </is>
      </c>
      <c r="N2058" s="10" t="inlineStr">
        <is>
          <t>general</t>
        </is>
      </c>
      <c r="O2058" s="10" t="inlineStr">
        <is>
          <t>https://www.disco.com.ar/crema-capilar-sedal-pet-ml-300/p</t>
        </is>
      </c>
    </row>
    <row r="2059">
      <c r="A2059" t="inlineStr">
        <is>
          <t>Disco</t>
        </is>
      </c>
      <c r="B2059" t="n">
        <v>123526</v>
      </c>
      <c r="C2059" t="n">
        <v>122529</v>
      </c>
      <c r="D2059" t="inlineStr">
        <is>
          <t>Acondicionador Sedal Hidraloe Pvc 200 Ml</t>
        </is>
      </c>
      <c r="E2059" t="inlineStr">
        <is>
          <t>SEDAL</t>
        </is>
      </c>
      <c r="F2059" t="n">
        <v>5.45</v>
      </c>
      <c r="G2059" t="n">
        <v>5.45</v>
      </c>
      <c r="H2059" t="b">
        <v>0</v>
      </c>
      <c r="I2059" t="n">
        <v>200</v>
      </c>
      <c r="J2059" t="n">
        <v>0.0272</v>
      </c>
      <c r="K2059" t="inlineStr">
        <is>
          <t>&gt; Perfumería &gt; Cuidado Capilar &gt; Acondicionador &gt;</t>
        </is>
      </c>
      <c r="L2059" t="inlineStr">
        <is>
          <t>acondicionador</t>
        </is>
      </c>
      <c r="M2059" t="inlineStr">
        <is>
          <t>estandar</t>
        </is>
      </c>
      <c r="N2059" t="inlineStr">
        <is>
          <t>general</t>
        </is>
      </c>
      <c r="O2059" t="inlineStr">
        <is>
          <t>https://www.disco.com.ar/acondicionador-sedal-hidraloe-pvc-200-ml/p</t>
        </is>
      </c>
    </row>
    <row r="2060">
      <c r="A2060" s="10" t="inlineStr">
        <is>
          <t>Disco</t>
        </is>
      </c>
      <c r="B2060" s="10" t="n">
        <v>115113</v>
      </c>
      <c r="C2060" s="10" t="n">
        <v>114159</v>
      </c>
      <c r="D2060" s="10" t="inlineStr">
        <is>
          <t>Crema Capilar Sedal Crema Para Peinar Sedal Verano Touch 300 Ml</t>
        </is>
      </c>
      <c r="E2060" s="10" t="inlineStr">
        <is>
          <t>SEDAL</t>
        </is>
      </c>
      <c r="F2060" s="10" t="n">
        <v>16.59</v>
      </c>
      <c r="G2060" s="10" t="n">
        <v>16.59</v>
      </c>
      <c r="H2060" s="10" t="b">
        <v>0</v>
      </c>
      <c r="I2060" s="10" t="n">
        <v>300</v>
      </c>
      <c r="J2060" s="10" t="n">
        <v>0.0553</v>
      </c>
      <c r="K2060" s="10" t="inlineStr">
        <is>
          <t>&gt; Perfumería &gt; Cuidado Capilar &gt; Reparación y Tratamientos &gt;</t>
        </is>
      </c>
      <c r="L2060" s="10" t="inlineStr">
        <is>
          <t>shampoo</t>
        </is>
      </c>
      <c r="M2060" s="10" t="inlineStr">
        <is>
          <t>estandar</t>
        </is>
      </c>
      <c r="N2060" s="10" t="inlineStr">
        <is>
          <t>general</t>
        </is>
      </c>
      <c r="O2060" s="10" t="inlineStr">
        <is>
          <t>https://www.disco.com.ar/crema-capilar-sedal-7/p</t>
        </is>
      </c>
    </row>
    <row r="2061">
      <c r="A2061" t="inlineStr">
        <is>
          <t>Disco</t>
        </is>
      </c>
      <c r="B2061" t="n">
        <v>115020</v>
      </c>
      <c r="C2061" t="n">
        <v>114066</v>
      </c>
      <c r="D2061" t="inlineStr">
        <is>
          <t>Crema Capilar Sedal Crema Para Peinar Sedal Verano Block Pvc 300 Ml</t>
        </is>
      </c>
      <c r="E2061" t="inlineStr">
        <is>
          <t>SEDAL</t>
        </is>
      </c>
      <c r="F2061" t="n">
        <v>16.59</v>
      </c>
      <c r="G2061" t="n">
        <v>16.59</v>
      </c>
      <c r="H2061" t="b">
        <v>0</v>
      </c>
      <c r="I2061" t="n">
        <v>300</v>
      </c>
      <c r="J2061" t="n">
        <v>0.0553</v>
      </c>
      <c r="K2061" t="inlineStr">
        <is>
          <t>&gt; Perfumería &gt; Cuidado Capilar &gt; Reparación y Tratamientos &gt;</t>
        </is>
      </c>
      <c r="L2061" t="inlineStr">
        <is>
          <t>shampoo</t>
        </is>
      </c>
      <c r="M2061" t="inlineStr">
        <is>
          <t>estandar</t>
        </is>
      </c>
      <c r="N2061" t="inlineStr">
        <is>
          <t>general</t>
        </is>
      </c>
      <c r="O2061" t="inlineStr">
        <is>
          <t>https://www.disco.com.ar/crema-capilar-sedal-5/p</t>
        </is>
      </c>
    </row>
    <row r="2062">
      <c r="A2062" s="10" t="inlineStr">
        <is>
          <t>Disco</t>
        </is>
      </c>
      <c r="B2062" s="10" t="n">
        <v>108112</v>
      </c>
      <c r="C2062" s="10" t="n">
        <v>105379</v>
      </c>
      <c r="D2062" s="10" t="inlineStr">
        <is>
          <t>Crema Capilar Sedal Brillo Gloss X 300 Ml</t>
        </is>
      </c>
      <c r="E2062" s="10" t="inlineStr">
        <is>
          <t>SEDAL</t>
        </is>
      </c>
      <c r="F2062" s="10" t="n">
        <v>16.59</v>
      </c>
      <c r="G2062" s="10" t="n">
        <v>16.59</v>
      </c>
      <c r="H2062" s="10" t="b">
        <v>0</v>
      </c>
      <c r="I2062" s="10" t="n">
        <v>300</v>
      </c>
      <c r="J2062" s="10" t="n">
        <v>0.0553</v>
      </c>
      <c r="K2062" s="10" t="inlineStr">
        <is>
          <t>&gt; Perfumería &gt; Cuidado Capilar &gt; Reparación y Tratamientos &gt;</t>
        </is>
      </c>
      <c r="L2062" s="10" t="inlineStr">
        <is>
          <t>shampoo</t>
        </is>
      </c>
      <c r="M2062" s="10" t="inlineStr">
        <is>
          <t>estandar</t>
        </is>
      </c>
      <c r="N2062" s="10" t="inlineStr">
        <is>
          <t>general</t>
        </is>
      </c>
      <c r="O2062" s="10" t="inlineStr">
        <is>
          <t>https://www.disco.com.ar/crema-capilar-sedal-4/p</t>
        </is>
      </c>
    </row>
    <row r="2063">
      <c r="A2063" t="inlineStr">
        <is>
          <t>Disco</t>
        </is>
      </c>
      <c r="B2063" t="n">
        <v>104983</v>
      </c>
      <c r="C2063" t="n">
        <v>102272</v>
      </c>
      <c r="D2063" t="inlineStr">
        <is>
          <t>Acondicionador Sedal Balance X 240 Ml.</t>
        </is>
      </c>
      <c r="E2063" t="inlineStr">
        <is>
          <t>SEDAL</t>
        </is>
      </c>
      <c r="F2063" t="n">
        <v>5.45</v>
      </c>
      <c r="G2063" t="n">
        <v>5.45</v>
      </c>
      <c r="H2063" t="b">
        <v>0</v>
      </c>
      <c r="I2063" t="n">
        <v>240</v>
      </c>
      <c r="J2063" t="n">
        <v>0.0227</v>
      </c>
      <c r="K2063" t="inlineStr">
        <is>
          <t>&gt; Perfumería &gt; Cuidado Capilar &gt; Acondicionador &gt;</t>
        </is>
      </c>
      <c r="L2063" t="inlineStr">
        <is>
          <t>acondicionador</t>
        </is>
      </c>
      <c r="M2063" t="inlineStr">
        <is>
          <t>estandar</t>
        </is>
      </c>
      <c r="N2063" t="inlineStr">
        <is>
          <t>general</t>
        </is>
      </c>
      <c r="O2063" t="inlineStr">
        <is>
          <t>https://www.disco.com.ar/acondicionador-sedal-balance-x-240-ml/p</t>
        </is>
      </c>
    </row>
    <row r="2064">
      <c r="A2064" s="10" t="inlineStr">
        <is>
          <t>Disco</t>
        </is>
      </c>
      <c r="B2064" s="10" t="n">
        <v>104804</v>
      </c>
      <c r="C2064" s="10" t="n">
        <v>102096</v>
      </c>
      <c r="D2064" s="10" t="inlineStr">
        <is>
          <t>Shampoo Sedal Crema Pvc 240 Ml.</t>
        </is>
      </c>
      <c r="E2064" s="10" t="inlineStr">
        <is>
          <t>SEDAL</t>
        </is>
      </c>
      <c r="F2064" s="10" t="n">
        <v>5.45</v>
      </c>
      <c r="G2064" s="10" t="n">
        <v>5.45</v>
      </c>
      <c r="H2064" s="10" t="b">
        <v>0</v>
      </c>
      <c r="I2064" s="10" t="n">
        <v>240</v>
      </c>
      <c r="J2064" s="10" t="n">
        <v>0.0227</v>
      </c>
      <c r="K2064" s="10" t="inlineStr">
        <is>
          <t>&gt; Perfumería &gt; Cuidado Capilar &gt; Shampoo &gt;</t>
        </is>
      </c>
      <c r="L2064" s="10" t="inlineStr">
        <is>
          <t>shampoo</t>
        </is>
      </c>
      <c r="M2064" s="10" t="inlineStr">
        <is>
          <t>estandar</t>
        </is>
      </c>
      <c r="N2064" s="10" t="inlineStr">
        <is>
          <t>general</t>
        </is>
      </c>
      <c r="O2064" s="10" t="inlineStr">
        <is>
          <t>https://www.disco.com.ar/shampoo-sedal-crema-pvc-240-ml/p</t>
        </is>
      </c>
    </row>
    <row r="2065">
      <c r="A2065" t="inlineStr">
        <is>
          <t>Disco</t>
        </is>
      </c>
      <c r="B2065" t="n">
        <v>104781</v>
      </c>
      <c r="C2065" t="n">
        <v>102070</v>
      </c>
      <c r="D2065" t="inlineStr">
        <is>
          <t>Shampoo Sedal Hidraloe X  240 Ml</t>
        </is>
      </c>
      <c r="E2065" t="inlineStr">
        <is>
          <t>SEDAL</t>
        </is>
      </c>
      <c r="F2065" t="n">
        <v>5.45</v>
      </c>
      <c r="G2065" t="n">
        <v>5.45</v>
      </c>
      <c r="H2065" t="b">
        <v>0</v>
      </c>
      <c r="I2065" t="n">
        <v>240</v>
      </c>
      <c r="J2065" t="n">
        <v>0.0227</v>
      </c>
      <c r="K2065" t="inlineStr">
        <is>
          <t>&gt; Perfumería &gt; Cuidado Capilar &gt; Shampoo &gt;</t>
        </is>
      </c>
      <c r="L2065" t="inlineStr">
        <is>
          <t>shampoo</t>
        </is>
      </c>
      <c r="M2065" t="inlineStr">
        <is>
          <t>estandar</t>
        </is>
      </c>
      <c r="N2065" t="inlineStr">
        <is>
          <t>general</t>
        </is>
      </c>
      <c r="O2065" t="inlineStr">
        <is>
          <t>https://www.disco.com.ar/shampoo-sedal-hidraloe-x-240-ml/p</t>
        </is>
      </c>
    </row>
    <row r="2066">
      <c r="A2066" s="10" t="inlineStr">
        <is>
          <t>Disco</t>
        </is>
      </c>
      <c r="B2066" s="10" t="n">
        <v>101790</v>
      </c>
      <c r="C2066" s="10" t="n">
        <v>99100</v>
      </c>
      <c r="D2066" s="10" t="inlineStr">
        <is>
          <t>Crema Capilar Sedal Anti Frizz Para Peinar X 300 Ml</t>
        </is>
      </c>
      <c r="E2066" s="10" t="inlineStr">
        <is>
          <t>SEDAL</t>
        </is>
      </c>
      <c r="F2066" s="10" t="n">
        <v>16.59</v>
      </c>
      <c r="G2066" s="10" t="n">
        <v>16.59</v>
      </c>
      <c r="H2066" s="10" t="b">
        <v>0</v>
      </c>
      <c r="I2066" s="10" t="n">
        <v>300</v>
      </c>
      <c r="J2066" s="10" t="n">
        <v>0.0553</v>
      </c>
      <c r="K2066" s="10" t="inlineStr">
        <is>
          <t>&gt; Perfumería &gt; Cuidado Capilar &gt; Reparación y Tratamientos &gt;</t>
        </is>
      </c>
      <c r="L2066" s="10" t="inlineStr">
        <is>
          <t>shampoo</t>
        </is>
      </c>
      <c r="M2066" s="10" t="inlineStr">
        <is>
          <t>estandar</t>
        </is>
      </c>
      <c r="N2066" s="10" t="inlineStr">
        <is>
          <t>general</t>
        </is>
      </c>
      <c r="O2066" s="10" t="inlineStr">
        <is>
          <t>https://www.disco.com.ar/crema-capilar-sedal-anti-frizz-para-peinar-x-300-ml/p</t>
        </is>
      </c>
    </row>
    <row r="2067">
      <c r="A2067" t="inlineStr">
        <is>
          <t>Disco</t>
        </is>
      </c>
      <c r="B2067" t="n">
        <v>96256</v>
      </c>
      <c r="C2067" t="n">
        <v>93572</v>
      </c>
      <c r="D2067" t="inlineStr">
        <is>
          <t>Shampoo Sedal Lissage Pvc 200 Ml</t>
        </is>
      </c>
      <c r="E2067" t="inlineStr">
        <is>
          <t>SEDAL</t>
        </is>
      </c>
      <c r="F2067" t="n">
        <v>6.09</v>
      </c>
      <c r="G2067" t="n">
        <v>6.09</v>
      </c>
      <c r="H2067" t="b">
        <v>0</v>
      </c>
      <c r="I2067" t="n">
        <v>200</v>
      </c>
      <c r="J2067" t="n">
        <v>0.0304</v>
      </c>
      <c r="K2067" t="inlineStr">
        <is>
          <t>&gt; Perfumería &gt; Cuidado Capilar &gt; Shampoo &gt;</t>
        </is>
      </c>
      <c r="L2067" t="inlineStr">
        <is>
          <t>shampoo</t>
        </is>
      </c>
      <c r="M2067" t="inlineStr">
        <is>
          <t>estandar</t>
        </is>
      </c>
      <c r="N2067" t="inlineStr">
        <is>
          <t>general</t>
        </is>
      </c>
      <c r="O2067" t="inlineStr">
        <is>
          <t>https://www.disco.com.ar/shampoo-sedal-lissage-pvc-200-ml/p</t>
        </is>
      </c>
    </row>
    <row r="2068">
      <c r="A2068" s="10" t="inlineStr">
        <is>
          <t>Disco</t>
        </is>
      </c>
      <c r="B2068" s="10" t="n">
        <v>96215</v>
      </c>
      <c r="C2068" s="10" t="n">
        <v>93532</v>
      </c>
      <c r="D2068" s="10" t="inlineStr">
        <is>
          <t>Acondicionador Sedal Lissage Pvc 400 Ml.</t>
        </is>
      </c>
      <c r="E2068" s="10" t="inlineStr">
        <is>
          <t>SEDAL</t>
        </is>
      </c>
      <c r="F2068" s="10" t="n">
        <v>5.97</v>
      </c>
      <c r="G2068" s="10" t="n">
        <v>5.97</v>
      </c>
      <c r="H2068" s="10" t="b">
        <v>0</v>
      </c>
      <c r="I2068" s="10" t="n">
        <v>400</v>
      </c>
      <c r="J2068" s="10" t="n">
        <v>0.0149</v>
      </c>
      <c r="K2068" s="10" t="inlineStr">
        <is>
          <t>&gt; Perfumería &gt; Cuidado Capilar &gt; Acondicionador &gt;</t>
        </is>
      </c>
      <c r="L2068" s="10" t="inlineStr">
        <is>
          <t>acondicionador</t>
        </is>
      </c>
      <c r="M2068" s="10" t="inlineStr">
        <is>
          <t>estandar</t>
        </is>
      </c>
      <c r="N2068" s="10" t="inlineStr">
        <is>
          <t>general</t>
        </is>
      </c>
      <c r="O2068" s="10" t="inlineStr">
        <is>
          <t>https://www.disco.com.ar/acondicionador-sedal-lissage-pvc-400-ml/p</t>
        </is>
      </c>
    </row>
    <row r="2069">
      <c r="A2069" t="inlineStr">
        <is>
          <t>Disco</t>
        </is>
      </c>
      <c r="B2069" t="n">
        <v>89281</v>
      </c>
      <c r="C2069" t="n">
        <v>86609</v>
      </c>
      <c r="D2069" t="inlineStr">
        <is>
          <t>Shampoo Sedal Crema X 200 Ml.</t>
        </is>
      </c>
      <c r="E2069" t="inlineStr">
        <is>
          <t>SEDAL</t>
        </is>
      </c>
      <c r="F2069" t="n">
        <v>6.09</v>
      </c>
      <c r="G2069" t="n">
        <v>6.09</v>
      </c>
      <c r="H2069" t="b">
        <v>0</v>
      </c>
      <c r="I2069" t="n">
        <v>200</v>
      </c>
      <c r="J2069" t="n">
        <v>0.0304</v>
      </c>
      <c r="K2069" t="inlineStr">
        <is>
          <t>&gt; Perfumería &gt; Cuidado Capilar &gt; Shampoo &gt;</t>
        </is>
      </c>
      <c r="L2069" t="inlineStr">
        <is>
          <t>shampoo</t>
        </is>
      </c>
      <c r="M2069" t="inlineStr">
        <is>
          <t>estandar</t>
        </is>
      </c>
      <c r="N2069" t="inlineStr">
        <is>
          <t>general</t>
        </is>
      </c>
      <c r="O2069" t="inlineStr">
        <is>
          <t>https://www.disco.com.ar/shampoo-sedal-88/p</t>
        </is>
      </c>
    </row>
    <row r="2070">
      <c r="A2070" s="10" t="inlineStr">
        <is>
          <t>Disco</t>
        </is>
      </c>
      <c r="B2070" s="10" t="n">
        <v>69105</v>
      </c>
      <c r="C2070" s="10" t="n">
        <v>66240</v>
      </c>
      <c r="D2070" s="10" t="inlineStr">
        <is>
          <t>Crema Capilar Sedal Capas Destacadas X 300 Ml</t>
        </is>
      </c>
      <c r="E2070" s="10" t="inlineStr">
        <is>
          <t>SEDAL</t>
        </is>
      </c>
      <c r="F2070" s="10" t="n">
        <v>16.59</v>
      </c>
      <c r="G2070" s="10" t="n">
        <v>16.59</v>
      </c>
      <c r="H2070" s="10" t="b">
        <v>0</v>
      </c>
      <c r="I2070" s="10" t="n">
        <v>300</v>
      </c>
      <c r="J2070" s="10" t="n">
        <v>0.0553</v>
      </c>
      <c r="K2070" s="10" t="inlineStr">
        <is>
          <t>&gt; Perfumería &gt; Cuidado Capilar &gt; Reparación y Tratamientos &gt;</t>
        </is>
      </c>
      <c r="L2070" s="10" t="inlineStr">
        <is>
          <t>shampoo</t>
        </is>
      </c>
      <c r="M2070" s="10" t="inlineStr">
        <is>
          <t>estandar</t>
        </is>
      </c>
      <c r="N2070" s="10" t="inlineStr">
        <is>
          <t>general</t>
        </is>
      </c>
      <c r="O2070" s="10" t="inlineStr">
        <is>
          <t>https://www.disco.com.ar/crema-capilar-sedal-8/p</t>
        </is>
      </c>
    </row>
    <row r="2071">
      <c r="A2071" t="inlineStr">
        <is>
          <t>Disco</t>
        </is>
      </c>
      <c r="B2071" t="n">
        <v>59442</v>
      </c>
      <c r="C2071" t="n">
        <v>56592</v>
      </c>
      <c r="D2071" t="inlineStr">
        <is>
          <t>Acondicionador Sedal  750 Ml</t>
        </is>
      </c>
      <c r="E2071" t="inlineStr">
        <is>
          <t>SEDAL</t>
        </is>
      </c>
      <c r="F2071" t="n">
        <v>9.279999999999999</v>
      </c>
      <c r="G2071" t="n">
        <v>9.279999999999999</v>
      </c>
      <c r="H2071" t="b">
        <v>0</v>
      </c>
      <c r="I2071" t="n">
        <v>750</v>
      </c>
      <c r="J2071" t="n">
        <v>0.0124</v>
      </c>
      <c r="K2071" t="inlineStr">
        <is>
          <t>&gt; Perfumería &gt; Cuidado Capilar &gt; Acondicionador &gt;</t>
        </is>
      </c>
      <c r="L2071" t="inlineStr">
        <is>
          <t>acondicionador</t>
        </is>
      </c>
      <c r="M2071" t="inlineStr">
        <is>
          <t>estandar</t>
        </is>
      </c>
      <c r="N2071" t="inlineStr">
        <is>
          <t>general</t>
        </is>
      </c>
      <c r="O2071" t="inlineStr">
        <is>
          <t>https://www.disco.com.ar/acondicionador-sedal-750-ml/p</t>
        </is>
      </c>
    </row>
    <row r="2072">
      <c r="A2072" s="10" t="inlineStr">
        <is>
          <t>Disco</t>
        </is>
      </c>
      <c r="B2072" s="10" t="n">
        <v>59340</v>
      </c>
      <c r="C2072" s="10" t="n">
        <v>56492</v>
      </c>
      <c r="D2072" s="10" t="inlineStr">
        <is>
          <t>Acondicionador Sedal Ceramidas Pvc 750 Ml</t>
        </is>
      </c>
      <c r="E2072" s="10" t="inlineStr">
        <is>
          <t>SEDAL</t>
        </is>
      </c>
      <c r="F2072" s="10" t="n">
        <v>9.27</v>
      </c>
      <c r="G2072" s="10" t="n">
        <v>9.27</v>
      </c>
      <c r="H2072" s="10" t="b">
        <v>0</v>
      </c>
      <c r="I2072" s="10" t="n">
        <v>750</v>
      </c>
      <c r="J2072" s="10" t="n">
        <v>0.0124</v>
      </c>
      <c r="K2072" s="10" t="inlineStr">
        <is>
          <t>&gt; Perfumería &gt; Cuidado Capilar &gt; Acondicionador &gt;</t>
        </is>
      </c>
      <c r="L2072" s="10" t="inlineStr">
        <is>
          <t>acondicionador</t>
        </is>
      </c>
      <c r="M2072" s="10" t="inlineStr">
        <is>
          <t>estandar</t>
        </is>
      </c>
      <c r="N2072" s="10" t="inlineStr">
        <is>
          <t>general</t>
        </is>
      </c>
      <c r="O2072" s="10" t="inlineStr">
        <is>
          <t>https://www.disco.com.ar/acondicionador-sedal-ceramidas-pvc-750-ml/p</t>
        </is>
      </c>
    </row>
    <row r="2073">
      <c r="A2073" t="inlineStr">
        <is>
          <t>Disco</t>
        </is>
      </c>
      <c r="B2073" t="n">
        <v>57850</v>
      </c>
      <c r="C2073" t="n">
        <v>55004</v>
      </c>
      <c r="D2073" t="inlineStr">
        <is>
          <t>Acondicionador Sedal</t>
        </is>
      </c>
      <c r="E2073" t="inlineStr">
        <is>
          <t>SEDAL</t>
        </is>
      </c>
      <c r="F2073" t="n">
        <v>8.35</v>
      </c>
      <c r="G2073" t="n">
        <v>8.35</v>
      </c>
      <c r="H2073" t="b">
        <v>0</v>
      </c>
      <c r="I2073" t="inlineStr"/>
      <c r="J2073" t="inlineStr"/>
      <c r="K2073" t="inlineStr">
        <is>
          <t>&gt; Perfumería &gt; Cuidado Capilar &gt; Acondicionador &gt;</t>
        </is>
      </c>
      <c r="L2073" t="inlineStr">
        <is>
          <t>acondicionador</t>
        </is>
      </c>
      <c r="M2073" t="inlineStr">
        <is>
          <t>estandar</t>
        </is>
      </c>
      <c r="N2073" t="inlineStr">
        <is>
          <t>general</t>
        </is>
      </c>
      <c r="O2073" t="inlineStr">
        <is>
          <t>https://www.disco.com.ar/acondicionador-sedal-34/p</t>
        </is>
      </c>
    </row>
    <row r="2074">
      <c r="A2074" s="10" t="inlineStr">
        <is>
          <t>Disco</t>
        </is>
      </c>
      <c r="B2074" s="10" t="n">
        <v>57743</v>
      </c>
      <c r="C2074" s="10" t="n">
        <v>54900</v>
      </c>
      <c r="D2074" s="10" t="inlineStr">
        <is>
          <t>Acondicionador Sedal Ceramidas Pvc 350 Ml</t>
        </is>
      </c>
      <c r="E2074" s="10" t="inlineStr">
        <is>
          <t>SEDAL</t>
        </is>
      </c>
      <c r="F2074" s="10" t="n">
        <v>8.390000000000001</v>
      </c>
      <c r="G2074" s="10" t="n">
        <v>8.390000000000001</v>
      </c>
      <c r="H2074" s="10" t="b">
        <v>0</v>
      </c>
      <c r="I2074" s="10" t="n">
        <v>350</v>
      </c>
      <c r="J2074" s="10" t="n">
        <v>0.024</v>
      </c>
      <c r="K2074" s="10" t="inlineStr">
        <is>
          <t>&gt; Perfumería &gt; Cuidado Capilar &gt; Acondicionador &gt;</t>
        </is>
      </c>
      <c r="L2074" s="10" t="inlineStr">
        <is>
          <t>acondicionador</t>
        </is>
      </c>
      <c r="M2074" s="10" t="inlineStr">
        <is>
          <t>estandar</t>
        </is>
      </c>
      <c r="N2074" s="10" t="inlineStr">
        <is>
          <t>general</t>
        </is>
      </c>
      <c r="O2074" s="10" t="inlineStr">
        <is>
          <t>https://www.disco.com.ar/acondicionador-sedal-ceramidas-pvc-350-ml/p</t>
        </is>
      </c>
    </row>
    <row r="2075">
      <c r="A2075" t="inlineStr">
        <is>
          <t>Disco</t>
        </is>
      </c>
      <c r="B2075" t="n">
        <v>57727</v>
      </c>
      <c r="C2075" t="n">
        <v>54884</v>
      </c>
      <c r="D2075" t="inlineStr">
        <is>
          <t>Acondicionador Sedal Castaños Pvc 350 Ml</t>
        </is>
      </c>
      <c r="E2075" t="inlineStr">
        <is>
          <t>SEDAL</t>
        </is>
      </c>
      <c r="F2075" t="n">
        <v>8.35</v>
      </c>
      <c r="G2075" t="n">
        <v>8.35</v>
      </c>
      <c r="H2075" t="b">
        <v>0</v>
      </c>
      <c r="I2075" t="n">
        <v>350</v>
      </c>
      <c r="J2075" t="n">
        <v>0.0239</v>
      </c>
      <c r="K2075" t="inlineStr">
        <is>
          <t>&gt; Perfumería &gt; Cuidado Capilar &gt; Acondicionador &gt;</t>
        </is>
      </c>
      <c r="L2075" t="inlineStr">
        <is>
          <t>acondicionador</t>
        </is>
      </c>
      <c r="M2075" t="inlineStr">
        <is>
          <t>estandar</t>
        </is>
      </c>
      <c r="N2075" t="inlineStr">
        <is>
          <t>general</t>
        </is>
      </c>
      <c r="O2075" t="inlineStr">
        <is>
          <t>https://www.disco.com.ar/acondicionador-sedal-castanos-pvc-350-ml-2/p</t>
        </is>
      </c>
    </row>
    <row r="2076">
      <c r="A2076" s="10" t="inlineStr">
        <is>
          <t>Disco</t>
        </is>
      </c>
      <c r="B2076" s="10" t="n">
        <v>55361</v>
      </c>
      <c r="C2076" s="10" t="n">
        <v>52520</v>
      </c>
      <c r="D2076" s="10" t="inlineStr">
        <is>
          <t>Acondicionador Sedal Lissage Pvc 420 Ml.</t>
        </is>
      </c>
      <c r="E2076" s="10" t="inlineStr">
        <is>
          <t>SEDAL</t>
        </is>
      </c>
      <c r="F2076" s="10" t="n">
        <v>8.390000000000001</v>
      </c>
      <c r="G2076" s="10" t="n">
        <v>8.390000000000001</v>
      </c>
      <c r="H2076" s="10" t="b">
        <v>0</v>
      </c>
      <c r="I2076" s="10" t="n">
        <v>420</v>
      </c>
      <c r="J2076" s="10" t="n">
        <v>0.02</v>
      </c>
      <c r="K2076" s="10" t="inlineStr">
        <is>
          <t>&gt; Perfumería &gt; Cuidado Capilar &gt; Acondicionador &gt;</t>
        </is>
      </c>
      <c r="L2076" s="10" t="inlineStr">
        <is>
          <t>acondicionador</t>
        </is>
      </c>
      <c r="M2076" s="10" t="inlineStr">
        <is>
          <t>estandar</t>
        </is>
      </c>
      <c r="N2076" s="10" t="inlineStr">
        <is>
          <t>general</t>
        </is>
      </c>
      <c r="O2076" s="10" t="inlineStr">
        <is>
          <t>https://www.disco.com.ar/acondicionador-sedal-lissage-pvc-420-ml/p</t>
        </is>
      </c>
    </row>
    <row r="2077">
      <c r="A2077" t="inlineStr">
        <is>
          <t>Disco</t>
        </is>
      </c>
      <c r="B2077" t="n">
        <v>55322</v>
      </c>
      <c r="C2077" t="n">
        <v>52482</v>
      </c>
      <c r="D2077" t="inlineStr">
        <is>
          <t>Crema Capilar Sedal Rubios Radiantes Para Peinar Pomo 300 Ml</t>
        </is>
      </c>
      <c r="E2077" t="inlineStr">
        <is>
          <t>SEDAL</t>
        </is>
      </c>
      <c r="F2077" t="n">
        <v>16.59</v>
      </c>
      <c r="G2077" t="n">
        <v>16.59</v>
      </c>
      <c r="H2077" t="b">
        <v>0</v>
      </c>
      <c r="I2077" t="n">
        <v>300</v>
      </c>
      <c r="J2077" t="n">
        <v>0.0553</v>
      </c>
      <c r="K2077" t="inlineStr">
        <is>
          <t>&gt; Perfumería &gt; Cuidado Capilar &gt; Reparación y Tratamientos &gt;</t>
        </is>
      </c>
      <c r="L2077" t="inlineStr">
        <is>
          <t>shampoo</t>
        </is>
      </c>
      <c r="M2077" t="inlineStr">
        <is>
          <t>estandar</t>
        </is>
      </c>
      <c r="N2077" t="inlineStr">
        <is>
          <t>general</t>
        </is>
      </c>
      <c r="O2077" t="inlineStr">
        <is>
          <t>https://www.disco.com.ar/crema-capilar-sedal-rubios-radiantes-para-peinar-pomo-300-ml/p</t>
        </is>
      </c>
    </row>
    <row r="2078">
      <c r="A2078" s="10" t="inlineStr">
        <is>
          <t>Disco</t>
        </is>
      </c>
      <c r="B2078" s="10" t="n">
        <v>55297</v>
      </c>
      <c r="C2078" s="10" t="n">
        <v>52457</v>
      </c>
      <c r="D2078" s="10" t="inlineStr">
        <is>
          <t>Crema Capilar Sedal Verano Para Peinar Pomo 300 Ml</t>
        </is>
      </c>
      <c r="E2078" s="10" t="inlineStr">
        <is>
          <t>SEDAL</t>
        </is>
      </c>
      <c r="F2078" s="10" t="n">
        <v>16.59</v>
      </c>
      <c r="G2078" s="10" t="n">
        <v>16.59</v>
      </c>
      <c r="H2078" s="10" t="b">
        <v>0</v>
      </c>
      <c r="I2078" s="10" t="n">
        <v>300</v>
      </c>
      <c r="J2078" s="10" t="n">
        <v>0.0553</v>
      </c>
      <c r="K2078" s="10" t="inlineStr">
        <is>
          <t>&gt; Perfumería &gt; Cuidado Capilar &gt; Reparación y Tratamientos &gt;</t>
        </is>
      </c>
      <c r="L2078" s="10" t="inlineStr">
        <is>
          <t>shampoo</t>
        </is>
      </c>
      <c r="M2078" s="10" t="inlineStr">
        <is>
          <t>estandar</t>
        </is>
      </c>
      <c r="N2078" s="10" t="inlineStr">
        <is>
          <t>general</t>
        </is>
      </c>
      <c r="O2078" s="10" t="inlineStr">
        <is>
          <t>https://www.disco.com.ar/crema-capilar-sedal-verano-para-peinar-pomo-300-ml/p</t>
        </is>
      </c>
    </row>
    <row r="2079">
      <c r="A2079" t="inlineStr">
        <is>
          <t>Disco</t>
        </is>
      </c>
      <c r="B2079" t="n">
        <v>43372</v>
      </c>
      <c r="C2079" t="n">
        <v>40543</v>
      </c>
      <c r="D2079" t="inlineStr">
        <is>
          <t>Shampoo Sedal Color Vital 190 Ml</t>
        </is>
      </c>
      <c r="E2079" t="inlineStr">
        <is>
          <t>SEDAL</t>
        </is>
      </c>
      <c r="F2079" t="n">
        <v>37.43</v>
      </c>
      <c r="G2079" t="n">
        <v>3093</v>
      </c>
      <c r="H2079" t="b">
        <v>0</v>
      </c>
      <c r="I2079" t="n">
        <v>190</v>
      </c>
      <c r="J2079" t="n">
        <v>0.197</v>
      </c>
      <c r="K2079" t="inlineStr">
        <is>
          <t>&gt; Perfumería &gt; Cuidado Capilar &gt; Shampoo &gt;</t>
        </is>
      </c>
      <c r="L2079" t="inlineStr">
        <is>
          <t>shampoo</t>
        </is>
      </c>
      <c r="M2079" t="inlineStr">
        <is>
          <t>estandar</t>
        </is>
      </c>
      <c r="N2079" t="inlineStr">
        <is>
          <t>tratado</t>
        </is>
      </c>
      <c r="O2079" t="inlineStr">
        <is>
          <t>https://www.disco.com.ar/shampoo-sedal-color-vital-190-ml/p</t>
        </is>
      </c>
    </row>
    <row r="2080">
      <c r="A2080" s="10" t="inlineStr">
        <is>
          <t>Disco</t>
        </is>
      </c>
      <c r="B2080" s="10" t="n">
        <v>43206</v>
      </c>
      <c r="C2080" s="10" t="n">
        <v>40377</v>
      </c>
      <c r="D2080" s="10" t="inlineStr">
        <is>
          <t>Shampoo Sedal Con Aloe Vera X 200 Cc.</t>
        </is>
      </c>
      <c r="E2080" s="10" t="inlineStr">
        <is>
          <t>SEDAL</t>
        </is>
      </c>
      <c r="F2080" s="10" t="n">
        <v>6.09</v>
      </c>
      <c r="G2080" s="10" t="n">
        <v>6.09</v>
      </c>
      <c r="H2080" s="10" t="b">
        <v>0</v>
      </c>
      <c r="I2080" s="10" t="inlineStr"/>
      <c r="J2080" s="10" t="inlineStr"/>
      <c r="K2080" s="10" t="inlineStr">
        <is>
          <t>&gt; Perfumería &gt; Cuidado Capilar &gt; Shampoo &gt;</t>
        </is>
      </c>
      <c r="L2080" s="10" t="inlineStr">
        <is>
          <t>shampoo</t>
        </is>
      </c>
      <c r="M2080" s="10" t="inlineStr">
        <is>
          <t>estandar</t>
        </is>
      </c>
      <c r="N2080" s="10" t="inlineStr">
        <is>
          <t>general</t>
        </is>
      </c>
      <c r="O2080" s="10" t="inlineStr">
        <is>
          <t>https://www.disco.com.ar/shampoo-sedal-con-aloe-vera-x-200-cc/p</t>
        </is>
      </c>
    </row>
    <row r="2081">
      <c r="A2081" t="inlineStr">
        <is>
          <t>Disco</t>
        </is>
      </c>
      <c r="B2081" t="n">
        <v>42274</v>
      </c>
      <c r="C2081" t="n">
        <v>39444</v>
      </c>
      <c r="D2081" t="inlineStr">
        <is>
          <t>Acondicionador Sedal Restauración Instantánea 650 Ml</t>
        </is>
      </c>
      <c r="E2081" t="inlineStr">
        <is>
          <t>SEDAL</t>
        </is>
      </c>
      <c r="F2081" t="n">
        <v>269.15</v>
      </c>
      <c r="G2081" t="n">
        <v>22244</v>
      </c>
      <c r="H2081" t="b">
        <v>0</v>
      </c>
      <c r="I2081" t="n">
        <v>650</v>
      </c>
      <c r="J2081" t="n">
        <v>0.4141</v>
      </c>
      <c r="K2081" t="inlineStr">
        <is>
          <t>&gt; Perfumería &gt; Cuidado Capilar &gt; Acondicionador &gt;</t>
        </is>
      </c>
      <c r="L2081" t="inlineStr">
        <is>
          <t>acondicionador</t>
        </is>
      </c>
      <c r="M2081" t="inlineStr">
        <is>
          <t>estandar</t>
        </is>
      </c>
      <c r="N2081" t="inlineStr">
        <is>
          <t>general</t>
        </is>
      </c>
      <c r="O2081" t="inlineStr">
        <is>
          <t>https://www.disco.com.ar/acondicionador-sedal-restauracion-instantanea-650-ml/p</t>
        </is>
      </c>
    </row>
    <row r="2082">
      <c r="A2082" s="10" t="inlineStr">
        <is>
          <t>Disco</t>
        </is>
      </c>
      <c r="B2082" s="10" t="n">
        <v>36012</v>
      </c>
      <c r="C2082" s="10" t="n">
        <v>33170</v>
      </c>
      <c r="D2082" s="10" t="inlineStr">
        <is>
          <t>Crema Capilar Sedal Ondas Irresistibles  Pmo 300 Ml</t>
        </is>
      </c>
      <c r="E2082" s="10" t="inlineStr">
        <is>
          <t>SEDAL</t>
        </is>
      </c>
      <c r="F2082" s="10" t="n">
        <v>16.59</v>
      </c>
      <c r="G2082" s="10" t="n">
        <v>16.59</v>
      </c>
      <c r="H2082" s="10" t="b">
        <v>0</v>
      </c>
      <c r="I2082" s="10" t="n">
        <v>300</v>
      </c>
      <c r="J2082" s="10" t="n">
        <v>0.0553</v>
      </c>
      <c r="K2082" s="10" t="inlineStr">
        <is>
          <t>&gt; Perfumería &gt; Cuidado Capilar &gt; Reparación y Tratamientos &gt;</t>
        </is>
      </c>
      <c r="L2082" s="10" t="inlineStr">
        <is>
          <t>shampoo</t>
        </is>
      </c>
      <c r="M2082" s="10" t="inlineStr">
        <is>
          <t>estandar</t>
        </is>
      </c>
      <c r="N2082" s="10" t="inlineStr">
        <is>
          <t>general</t>
        </is>
      </c>
      <c r="O2082" s="10" t="inlineStr">
        <is>
          <t>https://www.disco.com.ar/crema-capilar-sedal-3/p</t>
        </is>
      </c>
    </row>
    <row r="2083">
      <c r="A2083" t="inlineStr">
        <is>
          <t>Disco</t>
        </is>
      </c>
      <c r="B2083" t="n">
        <v>31301</v>
      </c>
      <c r="C2083" t="n">
        <v>28460</v>
      </c>
      <c r="D2083" t="inlineStr">
        <is>
          <t>Crema Capilar Sedal Post Alisado Químico 300 Ml</t>
        </is>
      </c>
      <c r="E2083" t="inlineStr">
        <is>
          <t>SEDAL</t>
        </is>
      </c>
      <c r="F2083" t="n">
        <v>32.55</v>
      </c>
      <c r="G2083" t="n">
        <v>2690</v>
      </c>
      <c r="H2083" t="b">
        <v>0</v>
      </c>
      <c r="I2083" t="n">
        <v>300</v>
      </c>
      <c r="J2083" t="n">
        <v>0.1085</v>
      </c>
      <c r="K2083" t="inlineStr">
        <is>
          <t>&gt; Perfumería &gt; Cuidado Capilar &gt; Reparación y Tratamientos &gt;</t>
        </is>
      </c>
      <c r="L2083" t="inlineStr">
        <is>
          <t>shampoo</t>
        </is>
      </c>
      <c r="M2083" t="inlineStr">
        <is>
          <t>estandar</t>
        </is>
      </c>
      <c r="N2083" t="inlineStr">
        <is>
          <t>tratado</t>
        </is>
      </c>
      <c r="O2083" t="inlineStr">
        <is>
          <t>https://www.disco.com.ar/crema-capilar-sedal-2/p</t>
        </is>
      </c>
    </row>
    <row r="2084">
      <c r="A2084" s="10" t="inlineStr">
        <is>
          <t>Disco</t>
        </is>
      </c>
      <c r="B2084" s="10" t="n">
        <v>19684</v>
      </c>
      <c r="C2084" s="10" t="n">
        <v>16849</v>
      </c>
      <c r="D2084" s="10" t="inlineStr">
        <is>
          <t>Crema Capilar Sedal Reconstrucción Estructural 300 Ml</t>
        </is>
      </c>
      <c r="E2084" s="10" t="inlineStr">
        <is>
          <t>SEDAL</t>
        </is>
      </c>
      <c r="F2084" s="10" t="n">
        <v>205.99</v>
      </c>
      <c r="G2084" s="10" t="n">
        <v>17024</v>
      </c>
      <c r="H2084" s="10" t="b">
        <v>0</v>
      </c>
      <c r="I2084" s="10" t="n">
        <v>300</v>
      </c>
      <c r="J2084" s="10" t="n">
        <v>0.6866</v>
      </c>
      <c r="K2084" s="10" t="inlineStr">
        <is>
          <t>&gt; Perfumería &gt; Cuidado Capilar &gt; Reparación y Tratamientos &gt;</t>
        </is>
      </c>
      <c r="L2084" s="10" t="inlineStr">
        <is>
          <t>shampoo</t>
        </is>
      </c>
      <c r="M2084" s="10" t="inlineStr">
        <is>
          <t>estandar</t>
        </is>
      </c>
      <c r="N2084" s="10" t="inlineStr">
        <is>
          <t>general</t>
        </is>
      </c>
      <c r="O2084" s="10" t="inlineStr">
        <is>
          <t>https://www.disco.com.ar/crema-capilar-sedal-reconstruccion-estructural-300-ml/p</t>
        </is>
      </c>
    </row>
    <row r="2085">
      <c r="A2085" t="inlineStr">
        <is>
          <t>Disco</t>
        </is>
      </c>
      <c r="B2085" t="n">
        <v>19682</v>
      </c>
      <c r="C2085" t="n">
        <v>16847</v>
      </c>
      <c r="D2085" t="inlineStr">
        <is>
          <t>Crema para Peinar Liso Perfecto 300 Ml Sedal</t>
        </is>
      </c>
      <c r="E2085" t="inlineStr">
        <is>
          <t>SEDAL</t>
        </is>
      </c>
      <c r="F2085" t="n">
        <v>732.9299999999999</v>
      </c>
      <c r="G2085" t="n">
        <v>60573</v>
      </c>
      <c r="H2085" t="b">
        <v>0</v>
      </c>
      <c r="I2085" t="n">
        <v>300</v>
      </c>
      <c r="J2085" t="n">
        <v>2.4431</v>
      </c>
      <c r="K2085" t="inlineStr">
        <is>
          <t>&gt; Perfumería &gt; Cuidado Capilar &gt; Reparación y Tratamientos &gt;</t>
        </is>
      </c>
      <c r="L2085" t="inlineStr">
        <is>
          <t>shampoo</t>
        </is>
      </c>
      <c r="M2085" t="inlineStr">
        <is>
          <t>estandar</t>
        </is>
      </c>
      <c r="N2085" t="inlineStr">
        <is>
          <t>general</t>
        </is>
      </c>
      <c r="O2085" t="inlineStr">
        <is>
          <t>https://www.disco.com.ar/crema-de-peinar-sedal-liso-perfecto-300-ml/p</t>
        </is>
      </c>
    </row>
    <row r="2086">
      <c r="A2086" s="10" t="inlineStr">
        <is>
          <t>Disco</t>
        </is>
      </c>
      <c r="B2086" s="10" t="n">
        <v>19669</v>
      </c>
      <c r="C2086" s="10" t="n">
        <v>16834</v>
      </c>
      <c r="D2086" s="10" t="inlineStr">
        <is>
          <t>Shampoo Sedal Restauración Instantánea 650 Ml</t>
        </is>
      </c>
      <c r="E2086" s="10" t="inlineStr">
        <is>
          <t>SEDAL</t>
        </is>
      </c>
      <c r="F2086" s="10" t="n">
        <v>259.07</v>
      </c>
      <c r="G2086" s="10" t="n">
        <v>21411</v>
      </c>
      <c r="H2086" s="10" t="b">
        <v>0</v>
      </c>
      <c r="I2086" s="10" t="n">
        <v>650</v>
      </c>
      <c r="J2086" s="10" t="n">
        <v>0.3986</v>
      </c>
      <c r="K2086" s="10" t="inlineStr">
        <is>
          <t>&gt; Perfumería &gt; Cuidado Capilar &gt; Shampoo &gt;</t>
        </is>
      </c>
      <c r="L2086" s="10" t="inlineStr">
        <is>
          <t>shampoo</t>
        </is>
      </c>
      <c r="M2086" s="10" t="inlineStr">
        <is>
          <t>estandar</t>
        </is>
      </c>
      <c r="N2086" s="10" t="inlineStr">
        <is>
          <t>general</t>
        </is>
      </c>
      <c r="O2086" s="10" t="inlineStr">
        <is>
          <t>https://www.disco.com.ar/shampoo-sedal-restauracion-instantanea-650-ml/p</t>
        </is>
      </c>
    </row>
    <row r="2087">
      <c r="A2087" t="inlineStr">
        <is>
          <t>Disco</t>
        </is>
      </c>
      <c r="B2087" t="n">
        <v>19663</v>
      </c>
      <c r="C2087" t="n">
        <v>16827</v>
      </c>
      <c r="D2087" t="inlineStr">
        <is>
          <t>Acondicionador Sedal Bomba De Nutrición 340 Ml</t>
        </is>
      </c>
      <c r="E2087" t="inlineStr">
        <is>
          <t>SEDAL</t>
        </is>
      </c>
      <c r="F2087" t="n">
        <v>400</v>
      </c>
      <c r="G2087" t="n">
        <v>33058</v>
      </c>
      <c r="H2087" t="b">
        <v>0</v>
      </c>
      <c r="I2087" t="n">
        <v>340</v>
      </c>
      <c r="J2087" t="n">
        <v>1.1765</v>
      </c>
      <c r="K2087" t="inlineStr">
        <is>
          <t>&gt; Perfumería &gt; Cuidado Capilar &gt; Acondicionador &gt;</t>
        </is>
      </c>
      <c r="L2087" t="inlineStr">
        <is>
          <t>acondicionador</t>
        </is>
      </c>
      <c r="M2087" t="inlineStr">
        <is>
          <t>estandar</t>
        </is>
      </c>
      <c r="N2087" t="inlineStr">
        <is>
          <t>general</t>
        </is>
      </c>
      <c r="O2087" t="inlineStr">
        <is>
          <t>https://www.disco.com.ar/acondicionador-sedal-bomba-de-nutricion-340-ml/p</t>
        </is>
      </c>
    </row>
    <row r="2088">
      <c r="A2088" s="10" t="inlineStr">
        <is>
          <t>Disco</t>
        </is>
      </c>
      <c r="B2088" s="10" t="n">
        <v>19661</v>
      </c>
      <c r="C2088" s="10" t="n">
        <v>16824</v>
      </c>
      <c r="D2088" s="10" t="inlineStr">
        <is>
          <t>Acondicionador Sedal Restauración Instantánea 340 Ml</t>
        </is>
      </c>
      <c r="E2088" s="10" t="inlineStr">
        <is>
          <t>SEDAL</t>
        </is>
      </c>
      <c r="F2088" s="10" t="n">
        <v>500</v>
      </c>
      <c r="G2088" s="10" t="n">
        <v>41322</v>
      </c>
      <c r="H2088" s="10" t="b">
        <v>0</v>
      </c>
      <c r="I2088" s="10" t="n">
        <v>340</v>
      </c>
      <c r="J2088" s="10" t="n">
        <v>1.4706</v>
      </c>
      <c r="K2088" s="10" t="inlineStr">
        <is>
          <t>&gt; Perfumería &gt; Cuidado Capilar &gt; Acondicionador &gt;</t>
        </is>
      </c>
      <c r="L2088" s="10" t="inlineStr">
        <is>
          <t>acondicionador</t>
        </is>
      </c>
      <c r="M2088" s="10" t="inlineStr">
        <is>
          <t>estandar</t>
        </is>
      </c>
      <c r="N2088" s="10" t="inlineStr">
        <is>
          <t>general</t>
        </is>
      </c>
      <c r="O2088" s="10" t="inlineStr">
        <is>
          <t>https://www.disco.com.ar/acondicionador-sedal-restauracion-instantanea-340-ml/p</t>
        </is>
      </c>
    </row>
    <row r="2089">
      <c r="A2089" t="inlineStr">
        <is>
          <t>Disco</t>
        </is>
      </c>
      <c r="B2089" t="n">
        <v>19646</v>
      </c>
      <c r="C2089" t="n">
        <v>16808</v>
      </c>
      <c r="D2089" t="inlineStr">
        <is>
          <t>Acondicionador Sedal Pureza Refrescante 190 Ml</t>
        </is>
      </c>
      <c r="E2089" t="inlineStr">
        <is>
          <t>SEDAL</t>
        </is>
      </c>
      <c r="F2089" t="n">
        <v>130.65</v>
      </c>
      <c r="G2089" t="n">
        <v>10798</v>
      </c>
      <c r="H2089" t="b">
        <v>0</v>
      </c>
      <c r="I2089" t="n">
        <v>190</v>
      </c>
      <c r="J2089" t="n">
        <v>0.6876</v>
      </c>
      <c r="K2089" t="inlineStr">
        <is>
          <t>&gt; Perfumería &gt; Cuidado Capilar &gt; Acondicionador &gt;</t>
        </is>
      </c>
      <c r="L2089" t="inlineStr">
        <is>
          <t>acondicionador</t>
        </is>
      </c>
      <c r="M2089" t="inlineStr">
        <is>
          <t>estandar</t>
        </is>
      </c>
      <c r="N2089" t="inlineStr">
        <is>
          <t>general</t>
        </is>
      </c>
      <c r="O2089" t="inlineStr">
        <is>
          <t>https://www.disco.com.ar/acondicionador-sedal-pureza-refrescante-190-ml/p</t>
        </is>
      </c>
    </row>
    <row r="2090">
      <c r="A2090" s="10" t="inlineStr">
        <is>
          <t>Disco</t>
        </is>
      </c>
      <c r="B2090" s="10" t="n">
        <v>19553</v>
      </c>
      <c r="C2090" s="10" t="n">
        <v>16711</v>
      </c>
      <c r="D2090" s="10" t="inlineStr">
        <is>
          <t>Shampoo Sedal Restauración Instantánea 190 Ml</t>
        </is>
      </c>
      <c r="E2090" s="10" t="inlineStr">
        <is>
          <t>SEDAL</t>
        </is>
      </c>
      <c r="F2090" s="10" t="n">
        <v>300</v>
      </c>
      <c r="G2090" s="10" t="n">
        <v>24793</v>
      </c>
      <c r="H2090" s="10" t="b">
        <v>0</v>
      </c>
      <c r="I2090" s="10" t="n">
        <v>190</v>
      </c>
      <c r="J2090" s="10" t="n">
        <v>1.5789</v>
      </c>
      <c r="K2090" s="10" t="inlineStr">
        <is>
          <t>&gt; Perfumería &gt; Cuidado Capilar &gt; Shampoo &gt;</t>
        </is>
      </c>
      <c r="L2090" s="10" t="inlineStr">
        <is>
          <t>shampoo</t>
        </is>
      </c>
      <c r="M2090" s="10" t="inlineStr">
        <is>
          <t>estandar</t>
        </is>
      </c>
      <c r="N2090" s="10" t="inlineStr">
        <is>
          <t>general</t>
        </is>
      </c>
      <c r="O2090" s="10" t="inlineStr">
        <is>
          <t>https://www.disco.com.ar/shampoo-sedal-restauracion-instantanea-190-ml/p</t>
        </is>
      </c>
    </row>
    <row r="2091">
      <c r="A2091" t="inlineStr">
        <is>
          <t>Disco</t>
        </is>
      </c>
      <c r="B2091" t="n">
        <v>19549</v>
      </c>
      <c r="C2091" t="n">
        <v>16706</v>
      </c>
      <c r="D2091" t="inlineStr">
        <is>
          <t>Shampoo Sedal Rizos Definidos 190 Ml</t>
        </is>
      </c>
      <c r="E2091" t="inlineStr">
        <is>
          <t>SEDAL</t>
        </is>
      </c>
      <c r="F2091" t="n">
        <v>166.17</v>
      </c>
      <c r="G2091" t="n">
        <v>13733</v>
      </c>
      <c r="H2091" t="b">
        <v>0</v>
      </c>
      <c r="I2091" t="n">
        <v>190</v>
      </c>
      <c r="J2091" t="n">
        <v>0.8746</v>
      </c>
      <c r="K2091" t="inlineStr">
        <is>
          <t>&gt; Perfumería &gt; Cuidado Capilar &gt; Shampoo &gt;</t>
        </is>
      </c>
      <c r="L2091" t="inlineStr">
        <is>
          <t>shampoo</t>
        </is>
      </c>
      <c r="M2091" t="inlineStr">
        <is>
          <t>estandar</t>
        </is>
      </c>
      <c r="N2091" t="inlineStr">
        <is>
          <t>rizado</t>
        </is>
      </c>
      <c r="O2091" t="inlineStr">
        <is>
          <t>https://www.disco.com.ar/shampoo-sedal-rizos-definidos-190-ml/p</t>
        </is>
      </c>
    </row>
    <row r="2092">
      <c r="A2092" s="10" t="inlineStr">
        <is>
          <t>Disco</t>
        </is>
      </c>
      <c r="B2092" s="10" t="n">
        <v>19547</v>
      </c>
      <c r="C2092" s="10" t="n">
        <v>16704</v>
      </c>
      <c r="D2092" s="10" t="inlineStr">
        <is>
          <t>Shampoo Sedal Liso Perfecto 190 Ml</t>
        </is>
      </c>
      <c r="E2092" s="10" t="inlineStr">
        <is>
          <t>SEDAL</t>
        </is>
      </c>
      <c r="F2092" s="10" t="n">
        <v>166.17</v>
      </c>
      <c r="G2092" s="10" t="n">
        <v>13733</v>
      </c>
      <c r="H2092" s="10" t="b">
        <v>0</v>
      </c>
      <c r="I2092" s="10" t="n">
        <v>190</v>
      </c>
      <c r="J2092" s="10" t="n">
        <v>0.8746</v>
      </c>
      <c r="K2092" s="10" t="inlineStr">
        <is>
          <t>&gt; Perfumería &gt; Cuidado Capilar &gt; Shampoo &gt;</t>
        </is>
      </c>
      <c r="L2092" s="10" t="inlineStr">
        <is>
          <t>shampoo</t>
        </is>
      </c>
      <c r="M2092" s="10" t="inlineStr">
        <is>
          <t>estandar</t>
        </is>
      </c>
      <c r="N2092" s="10" t="inlineStr">
        <is>
          <t>general</t>
        </is>
      </c>
      <c r="O2092" s="10" t="inlineStr">
        <is>
          <t>https://www.disco.com.ar/shampoo-sedal-liso-perfecto-190-ml/p</t>
        </is>
      </c>
    </row>
    <row r="2093">
      <c r="A2093" t="inlineStr">
        <is>
          <t>Disco</t>
        </is>
      </c>
      <c r="B2093" t="n">
        <v>3366</v>
      </c>
      <c r="C2093" t="n">
        <v>16850</v>
      </c>
      <c r="D2093" t="inlineStr">
        <is>
          <t>Crema De Peinar Sedal Botella Crecimiento Saludable 300 Ml</t>
        </is>
      </c>
      <c r="E2093" t="inlineStr">
        <is>
          <t>SEDAL</t>
        </is>
      </c>
      <c r="F2093" t="n">
        <v>48.87</v>
      </c>
      <c r="G2093" t="n">
        <v>4039</v>
      </c>
      <c r="H2093" t="b">
        <v>0</v>
      </c>
      <c r="I2093" t="n">
        <v>300</v>
      </c>
      <c r="J2093" t="n">
        <v>0.1629</v>
      </c>
      <c r="K2093" t="inlineStr">
        <is>
          <t>&gt; Perfumería &gt; Cuidado Capilar &gt; Reparación y Tratamientos &gt;</t>
        </is>
      </c>
      <c r="L2093" t="inlineStr">
        <is>
          <t>shampoo</t>
        </is>
      </c>
      <c r="M2093" t="inlineStr">
        <is>
          <t>estandar</t>
        </is>
      </c>
      <c r="N2093" t="inlineStr">
        <is>
          <t>general</t>
        </is>
      </c>
      <c r="O2093" t="inlineStr">
        <is>
          <t>https://www.disco.com.ar/sedal-crema-peinar-botella-crecimiento-saludable-300ml/p</t>
        </is>
      </c>
    </row>
    <row r="2094">
      <c r="A2094" s="10" t="inlineStr">
        <is>
          <t>Disco</t>
        </is>
      </c>
      <c r="B2094" s="10" t="n">
        <v>386643</v>
      </c>
      <c r="C2094" s="10" t="n">
        <v>384922</v>
      </c>
      <c r="D2094" s="10" t="inlineStr">
        <is>
          <t>Shampoo Head&amp;shoulders Fuerza 700ml</t>
        </is>
      </c>
      <c r="E2094" s="10" t="inlineStr">
        <is>
          <t>HEAD &amp; SHOULDERS</t>
        </is>
      </c>
      <c r="F2094" s="10" t="n">
        <v>2017.73</v>
      </c>
      <c r="G2094" s="10" t="n">
        <v>166755</v>
      </c>
      <c r="H2094" s="10" t="b">
        <v>0</v>
      </c>
      <c r="I2094" s="10" t="n">
        <v>700</v>
      </c>
      <c r="J2094" s="10" t="n">
        <v>2.8825</v>
      </c>
      <c r="K2094" s="10" t="inlineStr">
        <is>
          <t>&gt; Perfumería &gt; Cuidado Capilar &gt; Shampoo &gt;</t>
        </is>
      </c>
      <c r="L2094" s="10" t="inlineStr">
        <is>
          <t>shampoo</t>
        </is>
      </c>
      <c r="M2094" s="10" t="inlineStr">
        <is>
          <t>estandar</t>
        </is>
      </c>
      <c r="N2094" s="10" t="inlineStr">
        <is>
          <t>general</t>
        </is>
      </c>
      <c r="O2094" s="10" t="inlineStr">
        <is>
          <t>https://www.disco.com.ar/shampoo-head-shoulders-fuerza-700ml/p</t>
        </is>
      </c>
    </row>
    <row r="2095">
      <c r="A2095" t="inlineStr">
        <is>
          <t>Disco</t>
        </is>
      </c>
      <c r="B2095" t="n">
        <v>386639</v>
      </c>
      <c r="C2095" t="n">
        <v>384918</v>
      </c>
      <c r="D2095" t="inlineStr">
        <is>
          <t>Shampoo Head&amp;shoulders Men 180ml</t>
        </is>
      </c>
      <c r="E2095" t="inlineStr">
        <is>
          <t>HEAD &amp; SHOULDERS</t>
        </is>
      </c>
      <c r="F2095" t="n">
        <v>728.99</v>
      </c>
      <c r="G2095" t="n">
        <v>60247</v>
      </c>
      <c r="H2095" t="b">
        <v>0</v>
      </c>
      <c r="I2095" t="n">
        <v>180</v>
      </c>
      <c r="J2095" t="n">
        <v>4.0499</v>
      </c>
      <c r="K2095" t="inlineStr">
        <is>
          <t>&gt; Perfumería &gt; Cuidado Capilar &gt; Shampoo &gt;</t>
        </is>
      </c>
      <c r="L2095" t="inlineStr">
        <is>
          <t>shampoo</t>
        </is>
      </c>
      <c r="M2095" t="inlineStr">
        <is>
          <t>estandar</t>
        </is>
      </c>
      <c r="N2095" t="inlineStr">
        <is>
          <t>general</t>
        </is>
      </c>
      <c r="O2095" t="inlineStr">
        <is>
          <t>https://www.disco.com.ar/shampoo-head-shoulders-men-180ml/p</t>
        </is>
      </c>
    </row>
    <row r="2096">
      <c r="A2096" s="10" t="inlineStr">
        <is>
          <t>Disco</t>
        </is>
      </c>
      <c r="B2096" s="10" t="n">
        <v>386638</v>
      </c>
      <c r="C2096" s="10" t="n">
        <v>384917</v>
      </c>
      <c r="D2096" s="10" t="inlineStr">
        <is>
          <t>Shampoo Head&amp;shoulders Suave 180ml</t>
        </is>
      </c>
      <c r="E2096" s="10" t="inlineStr">
        <is>
          <t>HEAD &amp; SHOULDERS</t>
        </is>
      </c>
      <c r="F2096" s="10" t="n">
        <v>1199.29</v>
      </c>
      <c r="G2096" s="10" t="n">
        <v>99115</v>
      </c>
      <c r="H2096" s="10" t="b">
        <v>0</v>
      </c>
      <c r="I2096" s="10" t="n">
        <v>180</v>
      </c>
      <c r="J2096" s="10" t="n">
        <v>6.6627</v>
      </c>
      <c r="K2096" s="10" t="inlineStr">
        <is>
          <t>&gt; Perfumería &gt; Cuidado Capilar &gt; Shampoo &gt;</t>
        </is>
      </c>
      <c r="L2096" s="10" t="inlineStr">
        <is>
          <t>shampoo</t>
        </is>
      </c>
      <c r="M2096" s="10" t="inlineStr">
        <is>
          <t>estandar</t>
        </is>
      </c>
      <c r="N2096" s="10" t="inlineStr">
        <is>
          <t>bebe</t>
        </is>
      </c>
      <c r="O2096" s="10" t="inlineStr">
        <is>
          <t>https://www.disco.com.ar/shampoo-head-shoulders-suave-180ml/p</t>
        </is>
      </c>
    </row>
    <row r="2097">
      <c r="A2097" t="inlineStr">
        <is>
          <t>Disco</t>
        </is>
      </c>
      <c r="B2097" t="n">
        <v>386631</v>
      </c>
      <c r="C2097" t="n">
        <v>384910</v>
      </c>
      <c r="D2097" t="inlineStr">
        <is>
          <t>Shampoo Head&amp;shoulders Manzana 700ml</t>
        </is>
      </c>
      <c r="E2097" t="inlineStr">
        <is>
          <t>HEAD &amp; SHOULDERS</t>
        </is>
      </c>
      <c r="F2097" t="n">
        <v>9729.99</v>
      </c>
      <c r="G2097" t="n">
        <v>804131</v>
      </c>
      <c r="H2097" t="b">
        <v>0</v>
      </c>
      <c r="I2097" t="n">
        <v>700</v>
      </c>
      <c r="J2097" t="n">
        <v>13.9</v>
      </c>
      <c r="K2097" t="inlineStr">
        <is>
          <t>&gt; Perfumería &gt; Cuidado Capilar &gt; Shampoo &gt;</t>
        </is>
      </c>
      <c r="L2097" t="inlineStr">
        <is>
          <t>shampoo</t>
        </is>
      </c>
      <c r="M2097" t="inlineStr">
        <is>
          <t>estandar</t>
        </is>
      </c>
      <c r="N2097" t="inlineStr">
        <is>
          <t>general</t>
        </is>
      </c>
      <c r="O2097" t="inlineStr">
        <is>
          <t>https://www.disco.com.ar/shampoo-head-shoulders-manzana-700ml/p</t>
        </is>
      </c>
    </row>
    <row r="2098">
      <c r="A2098" s="10" t="inlineStr">
        <is>
          <t>Disco</t>
        </is>
      </c>
      <c r="B2098" s="10" t="n">
        <v>341814</v>
      </c>
      <c r="C2098" s="10" t="n">
        <v>340501</v>
      </c>
      <c r="D2098" s="10" t="inlineStr">
        <is>
          <t>Acondicionador Head&amp;shoulders Sensitive 300ml</t>
        </is>
      </c>
      <c r="E2098" s="10" t="inlineStr">
        <is>
          <t>HEAD &amp; SHOULDERS</t>
        </is>
      </c>
      <c r="F2098" s="10" t="n">
        <v>8150</v>
      </c>
      <c r="G2098" s="10" t="n">
        <v>673554</v>
      </c>
      <c r="H2098" s="10" t="b">
        <v>0</v>
      </c>
      <c r="I2098" s="10" t="n">
        <v>300</v>
      </c>
      <c r="J2098" s="10" t="n">
        <v>27.1667</v>
      </c>
      <c r="K2098" s="10" t="inlineStr">
        <is>
          <t>&gt; Perfumería &gt; Cuidado Capilar &gt; Acondicionador &gt;</t>
        </is>
      </c>
      <c r="L2098" s="10" t="inlineStr">
        <is>
          <t>acondicionador</t>
        </is>
      </c>
      <c r="M2098" s="10" t="inlineStr">
        <is>
          <t>estandar</t>
        </is>
      </c>
      <c r="N2098" s="10" t="inlineStr">
        <is>
          <t>general</t>
        </is>
      </c>
      <c r="O2098" s="10" t="inlineStr">
        <is>
          <t>https://www.disco.com.ar/acondicionador-head-shoulders-sensitive-300ml-2/p</t>
        </is>
      </c>
    </row>
    <row r="2099">
      <c r="A2099" t="inlineStr">
        <is>
          <t>Disco</t>
        </is>
      </c>
      <c r="B2099" t="n">
        <v>341813</v>
      </c>
      <c r="C2099" t="n">
        <v>340500</v>
      </c>
      <c r="D2099" t="inlineStr">
        <is>
          <t>Shampoo Head&amp;shoulders Scalp Care 375ml</t>
        </is>
      </c>
      <c r="E2099" t="inlineStr">
        <is>
          <t>HEAD &amp; SHOULDERS</t>
        </is>
      </c>
      <c r="F2099" t="n">
        <v>725.59</v>
      </c>
      <c r="G2099" t="n">
        <v>59966</v>
      </c>
      <c r="H2099" t="b">
        <v>0</v>
      </c>
      <c r="I2099" t="n">
        <v>375</v>
      </c>
      <c r="J2099" t="n">
        <v>1.9349</v>
      </c>
      <c r="K2099" t="inlineStr">
        <is>
          <t>&gt; Perfumería &gt; Cuidado Capilar &gt; Shampoo &gt;</t>
        </is>
      </c>
      <c r="L2099" t="inlineStr">
        <is>
          <t>shampoo</t>
        </is>
      </c>
      <c r="M2099" t="inlineStr">
        <is>
          <t>estandar</t>
        </is>
      </c>
      <c r="N2099" t="inlineStr">
        <is>
          <t>general</t>
        </is>
      </c>
      <c r="O2099" t="inlineStr">
        <is>
          <t>https://www.disco.com.ar/shampoo-head-shoulders-scalp-care-375ml-2/p</t>
        </is>
      </c>
    </row>
    <row r="2100">
      <c r="A2100" s="10" t="inlineStr">
        <is>
          <t>Disco</t>
        </is>
      </c>
      <c r="B2100" s="10" t="n">
        <v>344024</v>
      </c>
      <c r="C2100" s="10" t="n">
        <v>342709</v>
      </c>
      <c r="D2100" s="10" t="inlineStr">
        <is>
          <t>Shampoo Head&amp;shoulders Scalp Care 180ml.</t>
        </is>
      </c>
      <c r="E2100" s="10" t="inlineStr">
        <is>
          <t>HEAD &amp; SHOULDERS</t>
        </is>
      </c>
      <c r="F2100" s="10" t="n">
        <v>449.43</v>
      </c>
      <c r="G2100" s="10" t="n">
        <v>37143</v>
      </c>
      <c r="H2100" s="10" t="b">
        <v>0</v>
      </c>
      <c r="I2100" s="10" t="n">
        <v>180</v>
      </c>
      <c r="J2100" s="10" t="n">
        <v>2.4968</v>
      </c>
      <c r="K2100" s="10" t="inlineStr">
        <is>
          <t>&gt; Perfumería &gt; Cuidado Capilar &gt; Shampoo &gt;</t>
        </is>
      </c>
      <c r="L2100" s="10" t="inlineStr">
        <is>
          <t>shampoo</t>
        </is>
      </c>
      <c r="M2100" s="10" t="inlineStr">
        <is>
          <t>estandar</t>
        </is>
      </c>
      <c r="N2100" s="10" t="inlineStr">
        <is>
          <t>general</t>
        </is>
      </c>
      <c r="O2100" s="10" t="inlineStr">
        <is>
          <t>https://www.disco.com.ar/shampoo-head-shoulders-scalp-care-180ml-2/p</t>
        </is>
      </c>
    </row>
    <row r="2101">
      <c r="A2101" t="inlineStr">
        <is>
          <t>Disco</t>
        </is>
      </c>
      <c r="B2101" t="n">
        <v>341817</v>
      </c>
      <c r="C2101" t="n">
        <v>340504</v>
      </c>
      <c r="D2101" t="inlineStr">
        <is>
          <t>Shampoo Head&amp;shoulders Scalp Care Carbon 180ml</t>
        </is>
      </c>
      <c r="E2101" t="inlineStr">
        <is>
          <t>HEAD &amp; SHOULDERS</t>
        </is>
      </c>
      <c r="F2101" t="n">
        <v>449.43</v>
      </c>
      <c r="G2101" t="n">
        <v>37143</v>
      </c>
      <c r="H2101" t="b">
        <v>0</v>
      </c>
      <c r="I2101" t="n">
        <v>180</v>
      </c>
      <c r="J2101" t="n">
        <v>2.4968</v>
      </c>
      <c r="K2101" t="inlineStr">
        <is>
          <t>&gt; Perfumería &gt; Cuidado Capilar &gt; Shampoo &gt;</t>
        </is>
      </c>
      <c r="L2101" t="inlineStr">
        <is>
          <t>shampoo</t>
        </is>
      </c>
      <c r="M2101" t="inlineStr">
        <is>
          <t>estandar</t>
        </is>
      </c>
      <c r="N2101" t="inlineStr">
        <is>
          <t>general</t>
        </is>
      </c>
      <c r="O2101" t="inlineStr">
        <is>
          <t>https://www.disco.com.ar/shampoo-head-shoulders-scalp-care-carbon-180ml-2/p</t>
        </is>
      </c>
    </row>
    <row r="2102">
      <c r="A2102" s="10" t="inlineStr">
        <is>
          <t>Disco</t>
        </is>
      </c>
      <c r="B2102" s="10" t="n">
        <v>341802</v>
      </c>
      <c r="C2102" s="10" t="n">
        <v>340489</v>
      </c>
      <c r="D2102" s="10" t="inlineStr">
        <is>
          <t>Shampoo Head&amp;shoulders Scalp Care Humect 375ml</t>
        </is>
      </c>
      <c r="E2102" s="10" t="inlineStr">
        <is>
          <t>HEAD &amp; SHOULDERS</t>
        </is>
      </c>
      <c r="F2102" s="10" t="n">
        <v>725.59</v>
      </c>
      <c r="G2102" s="10" t="n">
        <v>59966</v>
      </c>
      <c r="H2102" s="10" t="b">
        <v>0</v>
      </c>
      <c r="I2102" s="10" t="n">
        <v>375</v>
      </c>
      <c r="J2102" s="10" t="n">
        <v>1.9349</v>
      </c>
      <c r="K2102" s="10" t="inlineStr">
        <is>
          <t>&gt; Perfumería &gt; Cuidado Capilar &gt; Shampoo &gt;</t>
        </is>
      </c>
      <c r="L2102" s="10" t="inlineStr">
        <is>
          <t>shampoo</t>
        </is>
      </c>
      <c r="M2102" s="10" t="inlineStr">
        <is>
          <t>estandar</t>
        </is>
      </c>
      <c r="N2102" s="10" t="inlineStr">
        <is>
          <t>general</t>
        </is>
      </c>
      <c r="O2102" s="10" t="inlineStr">
        <is>
          <t>https://www.disco.com.ar/shampoo-head-shoulders-scalp-care-humect-375ml-2/p</t>
        </is>
      </c>
    </row>
    <row r="2103">
      <c r="A2103" t="inlineStr">
        <is>
          <t>Disco</t>
        </is>
      </c>
      <c r="B2103" t="n">
        <v>341798</v>
      </c>
      <c r="C2103" t="n">
        <v>340485</v>
      </c>
      <c r="D2103" t="inlineStr">
        <is>
          <t>Shampoo Head&amp;shoulders Scalp Care Humect 180ml</t>
        </is>
      </c>
      <c r="E2103" t="inlineStr">
        <is>
          <t>HEAD &amp; SHOULDERS</t>
        </is>
      </c>
      <c r="F2103" t="n">
        <v>449.43</v>
      </c>
      <c r="G2103" t="n">
        <v>37143</v>
      </c>
      <c r="H2103" t="b">
        <v>0</v>
      </c>
      <c r="I2103" t="n">
        <v>180</v>
      </c>
      <c r="J2103" t="n">
        <v>2.4968</v>
      </c>
      <c r="K2103" t="inlineStr">
        <is>
          <t>&gt; Perfumería &gt; Cuidado Capilar &gt; Shampoo &gt;</t>
        </is>
      </c>
      <c r="L2103" t="inlineStr">
        <is>
          <t>shampoo</t>
        </is>
      </c>
      <c r="M2103" t="inlineStr">
        <is>
          <t>estandar</t>
        </is>
      </c>
      <c r="N2103" t="inlineStr">
        <is>
          <t>general</t>
        </is>
      </c>
      <c r="O2103" t="inlineStr">
        <is>
          <t>https://www.disco.com.ar/shampoo-head-shoulders-scalp-care-humect-180ml-2/p</t>
        </is>
      </c>
    </row>
    <row r="2104">
      <c r="A2104" s="10" t="inlineStr">
        <is>
          <t>Disco</t>
        </is>
      </c>
      <c r="B2104" s="10" t="n">
        <v>341818</v>
      </c>
      <c r="C2104" s="10" t="n">
        <v>340505</v>
      </c>
      <c r="D2104" s="10" t="inlineStr">
        <is>
          <t>Shampoo Head&amp;shoulders Scalp Care Carbon 375ml</t>
        </is>
      </c>
      <c r="E2104" s="10" t="inlineStr">
        <is>
          <t>HEAD &amp; SHOULDERS</t>
        </is>
      </c>
      <c r="F2104" s="10" t="n">
        <v>725.59</v>
      </c>
      <c r="G2104" s="10" t="n">
        <v>59966</v>
      </c>
      <c r="H2104" s="10" t="b">
        <v>0</v>
      </c>
      <c r="I2104" s="10" t="n">
        <v>375</v>
      </c>
      <c r="J2104" s="10" t="n">
        <v>1.9349</v>
      </c>
      <c r="K2104" s="10" t="inlineStr">
        <is>
          <t>&gt; Perfumería &gt; Cuidado Capilar &gt; Shampoo &gt;</t>
        </is>
      </c>
      <c r="L2104" s="10" t="inlineStr">
        <is>
          <t>shampoo</t>
        </is>
      </c>
      <c r="M2104" s="10" t="inlineStr">
        <is>
          <t>estandar</t>
        </is>
      </c>
      <c r="N2104" s="10" t="inlineStr">
        <is>
          <t>general</t>
        </is>
      </c>
      <c r="O2104" s="10" t="inlineStr">
        <is>
          <t>https://www.disco.com.ar/shampoo-head-shoulders-scalp-care-carbon-375ml-2/p</t>
        </is>
      </c>
    </row>
    <row r="2105">
      <c r="A2105" t="inlineStr">
        <is>
          <t>Disco</t>
        </is>
      </c>
      <c r="B2105" t="n">
        <v>341815</v>
      </c>
      <c r="C2105" t="n">
        <v>340502</v>
      </c>
      <c r="D2105" t="inlineStr">
        <is>
          <t>Shampoo Head&amp;shoulders Scalp Care Carbon 700ml</t>
        </is>
      </c>
      <c r="E2105" t="inlineStr">
        <is>
          <t>HEAD &amp; SHOULDERS</t>
        </is>
      </c>
      <c r="F2105" t="n">
        <v>1115.39</v>
      </c>
      <c r="G2105" t="n">
        <v>92181</v>
      </c>
      <c r="H2105" t="b">
        <v>0</v>
      </c>
      <c r="I2105" t="n">
        <v>700</v>
      </c>
      <c r="J2105" t="n">
        <v>1.5934</v>
      </c>
      <c r="K2105" t="inlineStr">
        <is>
          <t>&gt; Perfumería &gt; Cuidado Capilar &gt; Shampoo &gt;</t>
        </is>
      </c>
      <c r="L2105" t="inlineStr">
        <is>
          <t>shampoo</t>
        </is>
      </c>
      <c r="M2105" t="inlineStr">
        <is>
          <t>estandar</t>
        </is>
      </c>
      <c r="N2105" t="inlineStr">
        <is>
          <t>general</t>
        </is>
      </c>
      <c r="O2105" t="inlineStr">
        <is>
          <t>https://www.disco.com.ar/shampoo-head-shoulders-scalp-care-carbon-700ml-2/p</t>
        </is>
      </c>
    </row>
    <row r="2106">
      <c r="A2106" s="10" t="inlineStr">
        <is>
          <t>Disco</t>
        </is>
      </c>
      <c r="B2106" s="10" t="n">
        <v>341804</v>
      </c>
      <c r="C2106" s="10" t="n">
        <v>340491</v>
      </c>
      <c r="D2106" s="10" t="inlineStr">
        <is>
          <t>Shampoo Head&amp;shoulders Scalp Care Coco 375ml</t>
        </is>
      </c>
      <c r="E2106" s="10" t="inlineStr">
        <is>
          <t>HEAD &amp; SHOULDERS</t>
        </is>
      </c>
      <c r="F2106" s="10" t="n">
        <v>725.59</v>
      </c>
      <c r="G2106" s="10" t="n">
        <v>59966</v>
      </c>
      <c r="H2106" s="10" t="b">
        <v>0</v>
      </c>
      <c r="I2106" s="10" t="n">
        <v>375</v>
      </c>
      <c r="J2106" s="10" t="n">
        <v>1.9349</v>
      </c>
      <c r="K2106" s="10" t="inlineStr">
        <is>
          <t>&gt; Perfumería &gt; Cuidado Capilar &gt; Shampoo &gt;</t>
        </is>
      </c>
      <c r="L2106" s="10" t="inlineStr">
        <is>
          <t>shampoo</t>
        </is>
      </c>
      <c r="M2106" s="10" t="inlineStr">
        <is>
          <t>estandar</t>
        </is>
      </c>
      <c r="N2106" s="10" t="inlineStr">
        <is>
          <t>general</t>
        </is>
      </c>
      <c r="O2106" s="10" t="inlineStr">
        <is>
          <t>https://www.disco.com.ar/shampoo-head-shoulders-scalp-care-coco-375ml-2/p</t>
        </is>
      </c>
    </row>
    <row r="2107">
      <c r="A2107" t="inlineStr">
        <is>
          <t>Disco</t>
        </is>
      </c>
      <c r="B2107" t="n">
        <v>341800</v>
      </c>
      <c r="C2107" t="n">
        <v>340487</v>
      </c>
      <c r="D2107" t="inlineStr">
        <is>
          <t>Shampoo Head&amp;shoulders Scalp Care Manzana 180m</t>
        </is>
      </c>
      <c r="E2107" t="inlineStr">
        <is>
          <t>HEAD &amp; SHOULDERS</t>
        </is>
      </c>
      <c r="F2107" t="n">
        <v>449.43</v>
      </c>
      <c r="G2107" t="n">
        <v>37143</v>
      </c>
      <c r="H2107" t="b">
        <v>0</v>
      </c>
      <c r="I2107" t="inlineStr"/>
      <c r="J2107" t="inlineStr"/>
      <c r="K2107" t="inlineStr">
        <is>
          <t>&gt; Perfumería &gt; Cuidado Capilar &gt; Shampoo &gt;</t>
        </is>
      </c>
      <c r="L2107" t="inlineStr">
        <is>
          <t>shampoo</t>
        </is>
      </c>
      <c r="M2107" t="inlineStr">
        <is>
          <t>estandar</t>
        </is>
      </c>
      <c r="N2107" t="inlineStr">
        <is>
          <t>general</t>
        </is>
      </c>
      <c r="O2107" t="inlineStr">
        <is>
          <t>https://www.disco.com.ar/shampoo-head-shoulders-scalp-care-manzana-180m/p</t>
        </is>
      </c>
    </row>
    <row r="2108">
      <c r="A2108" s="10" t="inlineStr">
        <is>
          <t>Disco</t>
        </is>
      </c>
      <c r="B2108" s="10" t="n">
        <v>341795</v>
      </c>
      <c r="C2108" s="10" t="n">
        <v>340482</v>
      </c>
      <c r="D2108" s="10" t="inlineStr">
        <is>
          <t>Shampoo Head&amp;shoulders Scalp Care Coco 700ml</t>
        </is>
      </c>
      <c r="E2108" s="10" t="inlineStr">
        <is>
          <t>HEAD &amp; SHOULDERS</t>
        </is>
      </c>
      <c r="F2108" s="10" t="n">
        <v>1115.39</v>
      </c>
      <c r="G2108" s="10" t="n">
        <v>92181</v>
      </c>
      <c r="H2108" s="10" t="b">
        <v>0</v>
      </c>
      <c r="I2108" s="10" t="n">
        <v>700</v>
      </c>
      <c r="J2108" s="10" t="n">
        <v>1.5934</v>
      </c>
      <c r="K2108" s="10" t="inlineStr">
        <is>
          <t>&gt; Perfumería &gt; Cuidado Capilar &gt; Shampoo &gt;</t>
        </is>
      </c>
      <c r="L2108" s="10" t="inlineStr">
        <is>
          <t>shampoo</t>
        </is>
      </c>
      <c r="M2108" s="10" t="inlineStr">
        <is>
          <t>estandar</t>
        </is>
      </c>
      <c r="N2108" s="10" t="inlineStr">
        <is>
          <t>general</t>
        </is>
      </c>
      <c r="O2108" s="10" t="inlineStr">
        <is>
          <t>https://www.disco.com.ar/shampoo-head-shoulders-scalp-care-coco-700ml-2/p</t>
        </is>
      </c>
    </row>
    <row r="2109">
      <c r="A2109" t="inlineStr">
        <is>
          <t>Disco</t>
        </is>
      </c>
      <c r="B2109" t="n">
        <v>341796</v>
      </c>
      <c r="C2109" t="n">
        <v>340483</v>
      </c>
      <c r="D2109" t="inlineStr">
        <is>
          <t>Shampoo Head&amp;shoulders Scalp Care Coco 180ml</t>
        </is>
      </c>
      <c r="E2109" t="inlineStr">
        <is>
          <t>HEAD &amp; SHOULDERS</t>
        </is>
      </c>
      <c r="F2109" t="n">
        <v>449.43</v>
      </c>
      <c r="G2109" t="n">
        <v>37143</v>
      </c>
      <c r="H2109" t="b">
        <v>0</v>
      </c>
      <c r="I2109" t="n">
        <v>180</v>
      </c>
      <c r="J2109" t="n">
        <v>2.4968</v>
      </c>
      <c r="K2109" t="inlineStr">
        <is>
          <t>&gt; Perfumería &gt; Cuidado Capilar &gt; Shampoo &gt;</t>
        </is>
      </c>
      <c r="L2109" t="inlineStr">
        <is>
          <t>shampoo</t>
        </is>
      </c>
      <c r="M2109" t="inlineStr">
        <is>
          <t>estandar</t>
        </is>
      </c>
      <c r="N2109" t="inlineStr">
        <is>
          <t>general</t>
        </is>
      </c>
      <c r="O2109" t="inlineStr">
        <is>
          <t>https://www.disco.com.ar/shampoo-head-shoulders-scalp-care-coco-180ml-2/p</t>
        </is>
      </c>
    </row>
    <row r="2110">
      <c r="A2110" s="10" t="inlineStr">
        <is>
          <t>Disco</t>
        </is>
      </c>
      <c r="B2110" s="10" t="n">
        <v>341794</v>
      </c>
      <c r="C2110" s="10" t="n">
        <v>340481</v>
      </c>
      <c r="D2110" s="10" t="inlineStr">
        <is>
          <t>Shampoo Head&amp;shoulders Scalp Care Manzana 375m</t>
        </is>
      </c>
      <c r="E2110" s="10" t="inlineStr">
        <is>
          <t>HEAD &amp; SHOULDERS</t>
        </is>
      </c>
      <c r="F2110" s="10" t="n">
        <v>725.59</v>
      </c>
      <c r="G2110" s="10" t="n">
        <v>59966</v>
      </c>
      <c r="H2110" s="10" t="b">
        <v>0</v>
      </c>
      <c r="I2110" s="10" t="inlineStr"/>
      <c r="J2110" s="10" t="inlineStr"/>
      <c r="K2110" s="10" t="inlineStr">
        <is>
          <t>&gt; Perfumería &gt; Cuidado Capilar &gt; Shampoo &gt;</t>
        </is>
      </c>
      <c r="L2110" s="10" t="inlineStr">
        <is>
          <t>shampoo</t>
        </is>
      </c>
      <c r="M2110" s="10" t="inlineStr">
        <is>
          <t>estandar</t>
        </is>
      </c>
      <c r="N2110" s="10" t="inlineStr">
        <is>
          <t>general</t>
        </is>
      </c>
      <c r="O2110" s="10" t="inlineStr">
        <is>
          <t>https://www.disco.com.ar/shampoo-head-shoulders-scalp-care-manzana-375m/p</t>
        </is>
      </c>
    </row>
    <row r="2111">
      <c r="A2111" t="inlineStr">
        <is>
          <t>Disco</t>
        </is>
      </c>
      <c r="B2111" t="n">
        <v>341793</v>
      </c>
      <c r="C2111" t="n">
        <v>340480</v>
      </c>
      <c r="D2111" t="inlineStr">
        <is>
          <t>Shampoo Head&amp;shoulders Scalp Care Manzana 700m</t>
        </is>
      </c>
      <c r="E2111" t="inlineStr">
        <is>
          <t>HEAD &amp; SHOULDERS</t>
        </is>
      </c>
      <c r="F2111" t="n">
        <v>1115.39</v>
      </c>
      <c r="G2111" t="n">
        <v>92181</v>
      </c>
      <c r="H2111" t="b">
        <v>0</v>
      </c>
      <c r="I2111" t="inlineStr"/>
      <c r="J2111" t="inlineStr"/>
      <c r="K2111" t="inlineStr">
        <is>
          <t>&gt; Perfumería &gt; Cuidado Capilar &gt; Shampoo &gt;</t>
        </is>
      </c>
      <c r="L2111" t="inlineStr">
        <is>
          <t>shampoo</t>
        </is>
      </c>
      <c r="M2111" t="inlineStr">
        <is>
          <t>estandar</t>
        </is>
      </c>
      <c r="N2111" t="inlineStr">
        <is>
          <t>general</t>
        </is>
      </c>
      <c r="O2111" t="inlineStr">
        <is>
          <t>https://www.disco.com.ar/shampoo-head-shoulders-scalp-care-manzana-700m/p</t>
        </is>
      </c>
    </row>
    <row r="2112">
      <c r="A2112" s="10" t="inlineStr">
        <is>
          <t>Disco</t>
        </is>
      </c>
      <c r="B2112" s="10" t="n">
        <v>337363</v>
      </c>
      <c r="C2112" s="10" t="n">
        <v>336466</v>
      </c>
      <c r="D2112" s="10" t="inlineStr">
        <is>
          <t>Shampoo Head&amp;shoulders  Lr Scalp Care 375</t>
        </is>
      </c>
      <c r="E2112" s="10" t="inlineStr">
        <is>
          <t>HEAD &amp; SHOULDERS</t>
        </is>
      </c>
      <c r="F2112" s="10" t="n">
        <v>887.27</v>
      </c>
      <c r="G2112" s="10" t="n">
        <v>73328</v>
      </c>
      <c r="H2112" s="10" t="b">
        <v>0</v>
      </c>
      <c r="I2112" s="10" t="inlineStr"/>
      <c r="J2112" s="10" t="inlineStr"/>
      <c r="K2112" s="10" t="inlineStr">
        <is>
          <t>&gt; Perfumería &gt; Cuidado Capilar &gt; Shampoo &gt;</t>
        </is>
      </c>
      <c r="L2112" s="10" t="inlineStr">
        <is>
          <t>shampoo</t>
        </is>
      </c>
      <c r="M2112" s="10" t="inlineStr">
        <is>
          <t>estandar</t>
        </is>
      </c>
      <c r="N2112" s="10" t="inlineStr">
        <is>
          <t>general</t>
        </is>
      </c>
      <c r="O2112" s="10" t="inlineStr">
        <is>
          <t>https://www.disco.com.ar/shampoo-head-shoulders-lr-scalp-care-375-2/p</t>
        </is>
      </c>
    </row>
    <row r="2113">
      <c r="A2113" t="inlineStr">
        <is>
          <t>Disco</t>
        </is>
      </c>
      <c r="B2113" t="n">
        <v>341806</v>
      </c>
      <c r="C2113" t="n">
        <v>340493</v>
      </c>
      <c r="D2113" t="inlineStr">
        <is>
          <t>Shampoo Men Head&amp;shoulders Scalp Care Spice 37</t>
        </is>
      </c>
      <c r="E2113" t="inlineStr">
        <is>
          <t>HEAD &amp; SHOULDERS</t>
        </is>
      </c>
      <c r="F2113" t="n">
        <v>725.59</v>
      </c>
      <c r="G2113" t="n">
        <v>59966</v>
      </c>
      <c r="H2113" t="b">
        <v>0</v>
      </c>
      <c r="I2113" t="inlineStr"/>
      <c r="J2113" t="inlineStr"/>
      <c r="K2113" t="inlineStr">
        <is>
          <t>&gt; Perfumería &gt; Cuidado Capilar &gt; Shampoo &gt;</t>
        </is>
      </c>
      <c r="L2113" t="inlineStr">
        <is>
          <t>shampoo</t>
        </is>
      </c>
      <c r="M2113" t="inlineStr">
        <is>
          <t>estandar</t>
        </is>
      </c>
      <c r="N2113" t="inlineStr">
        <is>
          <t>general</t>
        </is>
      </c>
      <c r="O2113" t="inlineStr">
        <is>
          <t>https://www.disco.com.ar/shampoo-men-head-shoulders-scalp-care-spice-37/p</t>
        </is>
      </c>
    </row>
    <row r="2114">
      <c r="A2114" s="10" t="inlineStr">
        <is>
          <t>Disco</t>
        </is>
      </c>
      <c r="B2114" s="10" t="n">
        <v>341805</v>
      </c>
      <c r="C2114" s="10" t="n">
        <v>340492</v>
      </c>
      <c r="D2114" s="10" t="inlineStr">
        <is>
          <t>Shampoo Men Head&amp;shoulders Scalp Care 3en1 180</t>
        </is>
      </c>
      <c r="E2114" s="10" t="inlineStr">
        <is>
          <t>HEAD &amp; SHOULDERS</t>
        </is>
      </c>
      <c r="F2114" s="10" t="n">
        <v>449.43</v>
      </c>
      <c r="G2114" s="10" t="n">
        <v>37143</v>
      </c>
      <c r="H2114" s="10" t="b">
        <v>0</v>
      </c>
      <c r="I2114" s="10" t="inlineStr"/>
      <c r="J2114" s="10" t="inlineStr"/>
      <c r="K2114" s="10" t="inlineStr">
        <is>
          <t>&gt; Perfumería &gt; Cuidado Capilar &gt; Shampoo &gt;</t>
        </is>
      </c>
      <c r="L2114" s="10" t="inlineStr">
        <is>
          <t>shampoo</t>
        </is>
      </c>
      <c r="M2114" s="10" t="inlineStr">
        <is>
          <t>estandar</t>
        </is>
      </c>
      <c r="N2114" s="10" t="inlineStr">
        <is>
          <t>general</t>
        </is>
      </c>
      <c r="O2114" s="10" t="inlineStr">
        <is>
          <t>https://www.disco.com.ar/shampoo-men-head-shoulders-scalp-care-3en1-180/p</t>
        </is>
      </c>
    </row>
    <row r="2115">
      <c r="A2115" t="inlineStr">
        <is>
          <t>Disco</t>
        </is>
      </c>
      <c r="B2115" t="n">
        <v>341797</v>
      </c>
      <c r="C2115" t="n">
        <v>340484</v>
      </c>
      <c r="D2115" t="inlineStr">
        <is>
          <t>Shampoo Men Head&amp;shoulders Scalp Care 3en1 700</t>
        </is>
      </c>
      <c r="E2115" t="inlineStr">
        <is>
          <t>HEAD &amp; SHOULDERS</t>
        </is>
      </c>
      <c r="F2115" t="n">
        <v>1115.39</v>
      </c>
      <c r="G2115" t="n">
        <v>92181</v>
      </c>
      <c r="H2115" t="b">
        <v>0</v>
      </c>
      <c r="I2115" t="inlineStr"/>
      <c r="J2115" t="inlineStr"/>
      <c r="K2115" t="inlineStr">
        <is>
          <t>&gt; Perfumería &gt; Cuidado Capilar &gt; Shampoo &gt;</t>
        </is>
      </c>
      <c r="L2115" t="inlineStr">
        <is>
          <t>shampoo</t>
        </is>
      </c>
      <c r="M2115" t="inlineStr">
        <is>
          <t>estandar</t>
        </is>
      </c>
      <c r="N2115" t="inlineStr">
        <is>
          <t>general</t>
        </is>
      </c>
      <c r="O2115" t="inlineStr">
        <is>
          <t>https://www.disco.com.ar/shampoo-men-head-shoulders-scalp-care-3en1-700/p</t>
        </is>
      </c>
    </row>
    <row r="2116">
      <c r="A2116" s="10" t="inlineStr">
        <is>
          <t>Disco</t>
        </is>
      </c>
      <c r="B2116" s="10" t="n">
        <v>341801</v>
      </c>
      <c r="C2116" s="10" t="n">
        <v>340488</v>
      </c>
      <c r="D2116" s="10" t="inlineStr">
        <is>
          <t>Shampoo Men Head&amp;shoulders Scalp Care 3en1 375</t>
        </is>
      </c>
      <c r="E2116" s="10" t="inlineStr">
        <is>
          <t>HEAD &amp; SHOULDERS</t>
        </is>
      </c>
      <c r="F2116" s="10" t="n">
        <v>725.59</v>
      </c>
      <c r="G2116" s="10" t="n">
        <v>59966</v>
      </c>
      <c r="H2116" s="10" t="b">
        <v>0</v>
      </c>
      <c r="I2116" s="10" t="inlineStr"/>
      <c r="J2116" s="10" t="inlineStr"/>
      <c r="K2116" s="10" t="inlineStr">
        <is>
          <t>&gt; Perfumería &gt; Cuidado Capilar &gt; Shampoo &gt;</t>
        </is>
      </c>
      <c r="L2116" s="10" t="inlineStr">
        <is>
          <t>shampoo</t>
        </is>
      </c>
      <c r="M2116" s="10" t="inlineStr">
        <is>
          <t>estandar</t>
        </is>
      </c>
      <c r="N2116" s="10" t="inlineStr">
        <is>
          <t>general</t>
        </is>
      </c>
      <c r="O2116" s="10" t="inlineStr">
        <is>
          <t>https://www.disco.com.ar/shampoo-men-head-shoulders-scalp-care-3en1-375/p</t>
        </is>
      </c>
    </row>
    <row r="2117">
      <c r="A2117" t="inlineStr">
        <is>
          <t>Disco</t>
        </is>
      </c>
      <c r="B2117" t="n">
        <v>341799</v>
      </c>
      <c r="C2117" t="n">
        <v>340486</v>
      </c>
      <c r="D2117" t="inlineStr">
        <is>
          <t>Shampoo Men Head&amp;shoulders Scalp Care Spice 18</t>
        </is>
      </c>
      <c r="E2117" t="inlineStr">
        <is>
          <t>HEAD &amp; SHOULDERS</t>
        </is>
      </c>
      <c r="F2117" t="n">
        <v>449.43</v>
      </c>
      <c r="G2117" t="n">
        <v>37143</v>
      </c>
      <c r="H2117" t="b">
        <v>0</v>
      </c>
      <c r="I2117" t="inlineStr"/>
      <c r="J2117" t="inlineStr"/>
      <c r="K2117" t="inlineStr">
        <is>
          <t>&gt; Perfumería &gt; Cuidado Capilar &gt; Shampoo &gt;</t>
        </is>
      </c>
      <c r="L2117" t="inlineStr">
        <is>
          <t>shampoo</t>
        </is>
      </c>
      <c r="M2117" t="inlineStr">
        <is>
          <t>estandar</t>
        </is>
      </c>
      <c r="N2117" t="inlineStr">
        <is>
          <t>general</t>
        </is>
      </c>
      <c r="O2117" t="inlineStr">
        <is>
          <t>https://www.disco.com.ar/shampoo-men-head-shoulders-scalp-care-spice-18/p</t>
        </is>
      </c>
    </row>
    <row r="2118">
      <c r="A2118" s="10" t="inlineStr">
        <is>
          <t>Disco</t>
        </is>
      </c>
      <c r="B2118" s="10" t="n">
        <v>129469</v>
      </c>
      <c r="C2118" s="10" t="n">
        <v>126398</v>
      </c>
      <c r="D2118" s="10" t="inlineStr">
        <is>
          <t>Head &amp; Shoulders Shampoo Citrusfresh 200ml</t>
        </is>
      </c>
      <c r="E2118" s="10" t="inlineStr">
        <is>
          <t>HEAD &amp; SHOULDERS</t>
        </is>
      </c>
      <c r="F2118" s="10" t="n">
        <v>70.43000000000001</v>
      </c>
      <c r="G2118" s="10" t="n">
        <v>5821</v>
      </c>
      <c r="H2118" s="10" t="b">
        <v>0</v>
      </c>
      <c r="I2118" s="10" t="n">
        <v>200</v>
      </c>
      <c r="J2118" s="10" t="n">
        <v>0.3522</v>
      </c>
      <c r="K2118" s="10" t="inlineStr">
        <is>
          <t>&gt; Perfumería &gt; Cuidado Capilar &gt; Shampoo &gt;</t>
        </is>
      </c>
      <c r="L2118" s="10" t="inlineStr">
        <is>
          <t>shampoo</t>
        </is>
      </c>
      <c r="M2118" s="10" t="inlineStr">
        <is>
          <t>estandar</t>
        </is>
      </c>
      <c r="N2118" s="10" t="inlineStr">
        <is>
          <t>general</t>
        </is>
      </c>
      <c r="O2118" s="10" t="inlineStr">
        <is>
          <t>https://www.disco.com.ar/head-shoulders-shampoo-citrusfresh-200ml/p</t>
        </is>
      </c>
    </row>
    <row r="2119">
      <c r="A2119" t="inlineStr">
        <is>
          <t>Disco</t>
        </is>
      </c>
      <c r="B2119" t="n">
        <v>116031</v>
      </c>
      <c r="C2119" t="n">
        <v>115074</v>
      </c>
      <c r="D2119" t="inlineStr">
        <is>
          <t>Head &amp; Shoulders Shampoo Limpieza 700ml</t>
        </is>
      </c>
      <c r="E2119" t="inlineStr">
        <is>
          <t>HEAD &amp; SHOULDERS</t>
        </is>
      </c>
      <c r="F2119" t="n">
        <v>40.75</v>
      </c>
      <c r="G2119" t="n">
        <v>40.75</v>
      </c>
      <c r="H2119" t="b">
        <v>0</v>
      </c>
      <c r="I2119" t="n">
        <v>700</v>
      </c>
      <c r="J2119" t="n">
        <v>0.0582</v>
      </c>
      <c r="K2119" t="inlineStr">
        <is>
          <t>&gt; Perfumería &gt; Cuidado Capilar &gt; Shampoo &gt;</t>
        </is>
      </c>
      <c r="L2119" t="inlineStr">
        <is>
          <t>shampoo</t>
        </is>
      </c>
      <c r="M2119" t="inlineStr">
        <is>
          <t>estandar</t>
        </is>
      </c>
      <c r="N2119" t="inlineStr">
        <is>
          <t>general</t>
        </is>
      </c>
      <c r="O2119" t="inlineStr">
        <is>
          <t>https://www.disco.com.ar/head-shoulders-shampoo-limpieza-700ml/p</t>
        </is>
      </c>
    </row>
    <row r="2120">
      <c r="A2120" s="10" t="inlineStr">
        <is>
          <t>Disco</t>
        </is>
      </c>
      <c r="B2120" s="10" t="n">
        <v>223285</v>
      </c>
      <c r="C2120" s="10" t="n">
        <v>217650</v>
      </c>
      <c r="D2120" s="10" t="inlineStr">
        <is>
          <t>Head &amp; Shoulders Shampoo Sensitive 200ml</t>
        </is>
      </c>
      <c r="E2120" s="10" t="inlineStr">
        <is>
          <t>HEAD &amp; SHOULDERS</t>
        </is>
      </c>
      <c r="F2120" s="10" t="n">
        <v>92.98999999999999</v>
      </c>
      <c r="G2120" s="10" t="n">
        <v>92.98999999999999</v>
      </c>
      <c r="H2120" s="10" t="b">
        <v>0</v>
      </c>
      <c r="I2120" s="10" t="n">
        <v>200</v>
      </c>
      <c r="J2120" s="10" t="n">
        <v>0.4649</v>
      </c>
      <c r="K2120" s="10" t="inlineStr">
        <is>
          <t>&gt; Perfumería &gt; Cuidado Capilar &gt; Shampoo &gt;</t>
        </is>
      </c>
      <c r="L2120" s="10" t="inlineStr">
        <is>
          <t>shampoo</t>
        </is>
      </c>
      <c r="M2120" s="10" t="inlineStr">
        <is>
          <t>estandar</t>
        </is>
      </c>
      <c r="N2120" s="10" t="inlineStr">
        <is>
          <t>general</t>
        </is>
      </c>
      <c r="O2120" s="10" t="inlineStr">
        <is>
          <t>https://www.disco.com.ar/head-shoulders-shampoo-sensitive-200ml-275418/p</t>
        </is>
      </c>
    </row>
    <row r="2121">
      <c r="A2121" t="inlineStr">
        <is>
          <t>Disco</t>
        </is>
      </c>
      <c r="B2121" t="n">
        <v>337359</v>
      </c>
      <c r="C2121" t="n">
        <v>336462</v>
      </c>
      <c r="D2121" t="inlineStr">
        <is>
          <t>Shampoo Head Shoulders Protección Caída Con Cafeína 375 Ml</t>
        </is>
      </c>
      <c r="E2121" t="inlineStr">
        <is>
          <t>HEAD &amp; SHOULDERS</t>
        </is>
      </c>
      <c r="F2121" t="n">
        <v>887.27</v>
      </c>
      <c r="G2121" t="n">
        <v>73328</v>
      </c>
      <c r="H2121" t="b">
        <v>0</v>
      </c>
      <c r="I2121" t="n">
        <v>375</v>
      </c>
      <c r="J2121" t="n">
        <v>2.3661</v>
      </c>
      <c r="K2121" t="inlineStr">
        <is>
          <t>&gt; Perfumería &gt; Cuidado Capilar &gt; Shampoo &gt;</t>
        </is>
      </c>
      <c r="L2121" t="inlineStr">
        <is>
          <t>shampoo</t>
        </is>
      </c>
      <c r="M2121" t="inlineStr">
        <is>
          <t>estandar</t>
        </is>
      </c>
      <c r="N2121" t="inlineStr">
        <is>
          <t>general</t>
        </is>
      </c>
      <c r="O2121" t="inlineStr">
        <is>
          <t>https://www.disco.com.ar/shampoo-head-shoulders-proteccion-caida-con-cafeina-375-ml/p</t>
        </is>
      </c>
    </row>
    <row r="2122">
      <c r="A2122" s="10" t="inlineStr">
        <is>
          <t>Disco</t>
        </is>
      </c>
      <c r="B2122" s="10" t="n">
        <v>38333</v>
      </c>
      <c r="C2122" s="10" t="n">
        <v>35489</v>
      </c>
      <c r="D2122" s="10" t="inlineStr">
        <is>
          <t>Acondicionador Head &amp; Shoulders 200 Ml</t>
        </is>
      </c>
      <c r="E2122" s="10" t="inlineStr">
        <is>
          <t>HEAD &amp; SHOULDERS</t>
        </is>
      </c>
      <c r="F2122" s="10" t="n">
        <v>54.29</v>
      </c>
      <c r="G2122" s="10" t="n">
        <v>4487</v>
      </c>
      <c r="H2122" s="10" t="b">
        <v>0</v>
      </c>
      <c r="I2122" s="10" t="n">
        <v>200</v>
      </c>
      <c r="J2122" s="10" t="n">
        <v>0.2714</v>
      </c>
      <c r="K2122" s="10" t="inlineStr">
        <is>
          <t>&gt; Perfumería &gt; Cuidado Capilar &gt; Acondicionador &gt;</t>
        </is>
      </c>
      <c r="L2122" s="10" t="inlineStr">
        <is>
          <t>acondicionador</t>
        </is>
      </c>
      <c r="M2122" s="10" t="inlineStr">
        <is>
          <t>estandar</t>
        </is>
      </c>
      <c r="N2122" s="10" t="inlineStr">
        <is>
          <t>general</t>
        </is>
      </c>
      <c r="O2122" s="10" t="inlineStr">
        <is>
          <t>https://www.disco.com.ar/acondicionador-head-shoulders-200-ml/p</t>
        </is>
      </c>
    </row>
    <row r="2123">
      <c r="A2123" t="inlineStr">
        <is>
          <t>Disco</t>
        </is>
      </c>
      <c r="B2123" t="n">
        <v>275455</v>
      </c>
      <c r="C2123" t="n">
        <v>274751</v>
      </c>
      <c r="D2123" t="inlineStr">
        <is>
          <t>Acondicionador Head &amp; Shoulders 375 Ml</t>
        </is>
      </c>
      <c r="E2123" t="inlineStr">
        <is>
          <t>HEAD &amp; SHOULDERS</t>
        </is>
      </c>
      <c r="F2123" t="n">
        <v>208.19</v>
      </c>
      <c r="G2123" t="n">
        <v>17206</v>
      </c>
      <c r="H2123" t="b">
        <v>0</v>
      </c>
      <c r="I2123" t="n">
        <v>375</v>
      </c>
      <c r="J2123" t="n">
        <v>0.5552</v>
      </c>
      <c r="K2123" t="inlineStr">
        <is>
          <t>&gt; Perfumería &gt; Cuidado Capilar &gt; Acondicionador &gt;</t>
        </is>
      </c>
      <c r="L2123" t="inlineStr">
        <is>
          <t>acondicionador</t>
        </is>
      </c>
      <c r="M2123" t="inlineStr">
        <is>
          <t>estandar</t>
        </is>
      </c>
      <c r="N2123" t="inlineStr">
        <is>
          <t>general</t>
        </is>
      </c>
      <c r="O2123" t="inlineStr">
        <is>
          <t>https://www.disco.com.ar/acondicionador-head-shoulders-375-ml/p</t>
        </is>
      </c>
    </row>
    <row r="2124">
      <c r="A2124" s="10" t="inlineStr">
        <is>
          <t>Disco</t>
        </is>
      </c>
      <c r="B2124" s="10" t="n">
        <v>275416</v>
      </c>
      <c r="C2124" s="10" t="n">
        <v>274712</v>
      </c>
      <c r="D2124" s="10" t="inlineStr">
        <is>
          <t>Acondicionador Head &amp; Shoulders Manzana Fresh</t>
        </is>
      </c>
      <c r="E2124" s="10" t="inlineStr">
        <is>
          <t>HEAD &amp; SHOULDERS</t>
        </is>
      </c>
      <c r="F2124" s="10" t="n">
        <v>208.19</v>
      </c>
      <c r="G2124" s="10" t="n">
        <v>17206</v>
      </c>
      <c r="H2124" s="10" t="b">
        <v>0</v>
      </c>
      <c r="I2124" s="10" t="inlineStr"/>
      <c r="J2124" s="10" t="inlineStr"/>
      <c r="K2124" s="10" t="inlineStr">
        <is>
          <t>&gt; Perfumería &gt; Cuidado Capilar &gt; Acondicionador &gt;</t>
        </is>
      </c>
      <c r="L2124" s="10" t="inlineStr">
        <is>
          <t>acondicionador</t>
        </is>
      </c>
      <c r="M2124" s="10" t="inlineStr">
        <is>
          <t>estandar</t>
        </is>
      </c>
      <c r="N2124" s="10" t="inlineStr">
        <is>
          <t>general</t>
        </is>
      </c>
      <c r="O2124" s="10" t="inlineStr">
        <is>
          <t>https://www.disco.com.ar/acondicionador-head-shoulders-manzana-fresh-2/p</t>
        </is>
      </c>
    </row>
    <row r="2125">
      <c r="A2125" t="inlineStr">
        <is>
          <t>Disco</t>
        </is>
      </c>
      <c r="B2125" t="n">
        <v>275402</v>
      </c>
      <c r="C2125" t="n">
        <v>274698</v>
      </c>
      <c r="D2125" t="inlineStr">
        <is>
          <t>Acondicionador Head &amp; Shoulders Nutricion Prof</t>
        </is>
      </c>
      <c r="E2125" t="inlineStr">
        <is>
          <t>HEAD &amp; SHOULDERS</t>
        </is>
      </c>
      <c r="F2125" t="n">
        <v>118.99</v>
      </c>
      <c r="G2125" t="n">
        <v>9834</v>
      </c>
      <c r="H2125" t="b">
        <v>0</v>
      </c>
      <c r="I2125" t="inlineStr"/>
      <c r="J2125" t="inlineStr"/>
      <c r="K2125" t="inlineStr">
        <is>
          <t>&gt; Perfumería &gt; Cuidado Capilar &gt; Acondicionador &gt;</t>
        </is>
      </c>
      <c r="L2125" t="inlineStr">
        <is>
          <t>acondicionador</t>
        </is>
      </c>
      <c r="M2125" t="inlineStr">
        <is>
          <t>estandar</t>
        </is>
      </c>
      <c r="N2125" t="inlineStr">
        <is>
          <t>general</t>
        </is>
      </c>
      <c r="O2125" t="inlineStr">
        <is>
          <t>https://www.disco.com.ar/acondicionador-head-shoulders-nutricion-prof/p</t>
        </is>
      </c>
    </row>
    <row r="2126">
      <c r="A2126" s="10" t="inlineStr">
        <is>
          <t>Disco</t>
        </is>
      </c>
      <c r="B2126" s="10" t="n">
        <v>386603</v>
      </c>
      <c r="C2126" s="10" t="n">
        <v>384882</v>
      </c>
      <c r="D2126" s="10" t="inlineStr">
        <is>
          <t>Shampoo Head And Shoulders Limpieza 180 Ml</t>
        </is>
      </c>
      <c r="E2126" s="10" t="inlineStr">
        <is>
          <t>HEAD &amp; SHOULDERS</t>
        </is>
      </c>
      <c r="F2126" s="10" t="n">
        <v>742.87</v>
      </c>
      <c r="G2126" s="10" t="n">
        <v>61394</v>
      </c>
      <c r="H2126" s="10" t="b">
        <v>0</v>
      </c>
      <c r="I2126" s="10" t="n">
        <v>180</v>
      </c>
      <c r="J2126" s="10" t="n">
        <v>4.1271</v>
      </c>
      <c r="K2126" s="10" t="inlineStr">
        <is>
          <t>&gt; Perfumería &gt; Cuidado Capilar &gt; Shampoo &gt;</t>
        </is>
      </c>
      <c r="L2126" s="10" t="inlineStr">
        <is>
          <t>shampoo</t>
        </is>
      </c>
      <c r="M2126" s="10" t="inlineStr">
        <is>
          <t>estandar</t>
        </is>
      </c>
      <c r="N2126" s="10" t="inlineStr">
        <is>
          <t>general</t>
        </is>
      </c>
      <c r="O2126" s="10" t="inlineStr">
        <is>
          <t>https://www.disco.com.ar/shampoo-head-and-shoulders-limpieza-180-ml/p</t>
        </is>
      </c>
    </row>
    <row r="2127">
      <c r="A2127" t="inlineStr">
        <is>
          <t>Disco</t>
        </is>
      </c>
      <c r="B2127" t="n">
        <v>275418</v>
      </c>
      <c r="C2127" t="n">
        <v>274714</v>
      </c>
      <c r="D2127" t="inlineStr">
        <is>
          <t>Shampoo Head &amp; Shoulders 3en1 700 Ml</t>
        </is>
      </c>
      <c r="E2127" t="inlineStr">
        <is>
          <t>HEAD &amp; SHOULDERS</t>
        </is>
      </c>
      <c r="F2127" t="n">
        <v>406.83</v>
      </c>
      <c r="G2127" t="n">
        <v>33622</v>
      </c>
      <c r="H2127" t="b">
        <v>0</v>
      </c>
      <c r="I2127" t="n">
        <v>700</v>
      </c>
      <c r="J2127" t="n">
        <v>0.5812</v>
      </c>
      <c r="K2127" t="inlineStr">
        <is>
          <t>&gt; Perfumería &gt; Cuidado Capilar &gt; Shampoo &gt;</t>
        </is>
      </c>
      <c r="L2127" t="inlineStr">
        <is>
          <t>shampoo</t>
        </is>
      </c>
      <c r="M2127" t="inlineStr">
        <is>
          <t>estandar</t>
        </is>
      </c>
      <c r="N2127" t="inlineStr">
        <is>
          <t>general</t>
        </is>
      </c>
      <c r="O2127" t="inlineStr">
        <is>
          <t>https://www.disco.com.ar/shampoo-head-shoulders-3en1-700-ml/p</t>
        </is>
      </c>
    </row>
    <row r="2128">
      <c r="A2128" s="10" t="inlineStr">
        <is>
          <t>Disco</t>
        </is>
      </c>
      <c r="B2128" s="10" t="n">
        <v>47086</v>
      </c>
      <c r="C2128" s="10" t="n">
        <v>44249</v>
      </c>
      <c r="D2128" s="10" t="inlineStr">
        <is>
          <t>Acondicionador Head &amp; Shoulders Winter 400 Ml</t>
        </is>
      </c>
      <c r="E2128" s="10" t="inlineStr">
        <is>
          <t>HEAD &amp; SHOULDERS</t>
        </is>
      </c>
      <c r="F2128" s="10" t="n">
        <v>167.29</v>
      </c>
      <c r="G2128" s="10" t="n">
        <v>13826</v>
      </c>
      <c r="H2128" s="10" t="b">
        <v>0</v>
      </c>
      <c r="I2128" s="10" t="n">
        <v>400</v>
      </c>
      <c r="J2128" s="10" t="n">
        <v>0.4182</v>
      </c>
      <c r="K2128" s="10" t="inlineStr">
        <is>
          <t>&gt; Perfumería &gt; Cuidado Capilar &gt; Acondicionador &gt;</t>
        </is>
      </c>
      <c r="L2128" s="10" t="inlineStr">
        <is>
          <t>acondicionador</t>
        </is>
      </c>
      <c r="M2128" s="10" t="inlineStr">
        <is>
          <t>estandar</t>
        </is>
      </c>
      <c r="N2128" s="10" t="inlineStr">
        <is>
          <t>general</t>
        </is>
      </c>
      <c r="O2128" s="10" t="inlineStr">
        <is>
          <t>https://www.disco.com.ar/acondicionador-head-shoulders-winter-400-ml/p</t>
        </is>
      </c>
    </row>
    <row r="2129">
      <c r="A2129" t="inlineStr">
        <is>
          <t>Disco</t>
        </is>
      </c>
      <c r="B2129" t="n">
        <v>386642</v>
      </c>
      <c r="C2129" t="n">
        <v>384921</v>
      </c>
      <c r="D2129" t="inlineStr">
        <is>
          <t>Shampoo Head And Shoulders Purificación 700 Ml</t>
        </is>
      </c>
      <c r="E2129" t="inlineStr">
        <is>
          <t>HEAD &amp; SHOULDERS</t>
        </is>
      </c>
      <c r="F2129" t="n">
        <v>2700</v>
      </c>
      <c r="G2129" t="n">
        <v>223141</v>
      </c>
      <c r="H2129" t="b">
        <v>0</v>
      </c>
      <c r="I2129" t="n">
        <v>700</v>
      </c>
      <c r="J2129" t="n">
        <v>3.8571</v>
      </c>
      <c r="K2129" t="inlineStr">
        <is>
          <t>&gt; Perfumería &gt; Cuidado Capilar &gt; Shampoo &gt;</t>
        </is>
      </c>
      <c r="L2129" t="inlineStr">
        <is>
          <t>shampoo</t>
        </is>
      </c>
      <c r="M2129" t="inlineStr">
        <is>
          <t>estandar</t>
        </is>
      </c>
      <c r="N2129" t="inlineStr">
        <is>
          <t>general</t>
        </is>
      </c>
      <c r="O2129" t="inlineStr">
        <is>
          <t>https://www.disco.com.ar/shampoo-head-and-shoulders-purificacion-700-ml/p</t>
        </is>
      </c>
    </row>
    <row r="2130">
      <c r="A2130" s="10" t="inlineStr">
        <is>
          <t>Disco</t>
        </is>
      </c>
      <c r="B2130" s="10" t="n">
        <v>386608</v>
      </c>
      <c r="C2130" s="10" t="n">
        <v>384887</v>
      </c>
      <c r="D2130" s="10" t="inlineStr">
        <is>
          <t>Shampoo Head And Shoulders Humecta 180 Ml</t>
        </is>
      </c>
      <c r="E2130" s="10" t="inlineStr">
        <is>
          <t>HEAD &amp; SHOULDERS</t>
        </is>
      </c>
      <c r="F2130" s="10" t="n">
        <v>728.99</v>
      </c>
      <c r="G2130" s="10" t="n">
        <v>60247</v>
      </c>
      <c r="H2130" s="10" t="b">
        <v>0</v>
      </c>
      <c r="I2130" s="10" t="n">
        <v>180</v>
      </c>
      <c r="J2130" s="10" t="n">
        <v>4.0499</v>
      </c>
      <c r="K2130" s="10" t="inlineStr">
        <is>
          <t>&gt; Perfumería &gt; Cuidado Capilar &gt; Shampoo &gt;</t>
        </is>
      </c>
      <c r="L2130" s="10" t="inlineStr">
        <is>
          <t>shampoo</t>
        </is>
      </c>
      <c r="M2130" s="10" t="inlineStr">
        <is>
          <t>estandar</t>
        </is>
      </c>
      <c r="N2130" s="10" t="inlineStr">
        <is>
          <t>general</t>
        </is>
      </c>
      <c r="O2130" s="10" t="inlineStr">
        <is>
          <t>https://www.disco.com.ar/shampoo-head-and-shoulders-humecta-180-ml/p</t>
        </is>
      </c>
    </row>
    <row r="2131">
      <c r="A2131" t="inlineStr">
        <is>
          <t>Disco</t>
        </is>
      </c>
      <c r="B2131" t="n">
        <v>275370</v>
      </c>
      <c r="C2131" t="n">
        <v>274666</v>
      </c>
      <c r="D2131" t="inlineStr">
        <is>
          <t>Shampoo Head &amp; Shoulders Humectación 375 Ml</t>
        </is>
      </c>
      <c r="E2131" t="inlineStr">
        <is>
          <t>HEAD &amp; SHOULDERS</t>
        </is>
      </c>
      <c r="F2131" t="n">
        <v>287.97</v>
      </c>
      <c r="G2131" t="n">
        <v>23799</v>
      </c>
      <c r="H2131" t="b">
        <v>0</v>
      </c>
      <c r="I2131" t="n">
        <v>375</v>
      </c>
      <c r="J2131" t="n">
        <v>0.7679</v>
      </c>
      <c r="K2131" t="inlineStr">
        <is>
          <t>&gt; Perfumería &gt; Cuidado Capilar &gt; Shampoo &gt;</t>
        </is>
      </c>
      <c r="L2131" t="inlineStr">
        <is>
          <t>shampoo</t>
        </is>
      </c>
      <c r="M2131" t="inlineStr">
        <is>
          <t>estandar</t>
        </is>
      </c>
      <c r="N2131" t="inlineStr">
        <is>
          <t>general</t>
        </is>
      </c>
      <c r="O2131" t="inlineStr">
        <is>
          <t>https://www.disco.com.ar/shampoo-head-shoulders-humectacion-375-ml/p</t>
        </is>
      </c>
    </row>
    <row r="2132">
      <c r="A2132" s="10" t="inlineStr">
        <is>
          <t>Disco</t>
        </is>
      </c>
      <c r="B2132" s="10" t="n">
        <v>275368</v>
      </c>
      <c r="C2132" s="10" t="n">
        <v>274664</v>
      </c>
      <c r="D2132" s="10" t="inlineStr">
        <is>
          <t>Acondicionador Head &amp; Shoulders Humectacion 180 Ml</t>
        </is>
      </c>
      <c r="E2132" s="10" t="inlineStr">
        <is>
          <t>HEAD &amp; SHOULDERS</t>
        </is>
      </c>
      <c r="F2132" s="10" t="n">
        <v>118.99</v>
      </c>
      <c r="G2132" s="10" t="n">
        <v>9834</v>
      </c>
      <c r="H2132" s="10" t="b">
        <v>0</v>
      </c>
      <c r="I2132" s="10" t="n">
        <v>180</v>
      </c>
      <c r="J2132" s="10" t="n">
        <v>0.6611</v>
      </c>
      <c r="K2132" s="10" t="inlineStr">
        <is>
          <t>&gt; Perfumería &gt; Cuidado Capilar &gt; Acondicionador &gt;</t>
        </is>
      </c>
      <c r="L2132" s="10" t="inlineStr">
        <is>
          <t>acondicionador</t>
        </is>
      </c>
      <c r="M2132" s="10" t="inlineStr">
        <is>
          <t>estandar</t>
        </is>
      </c>
      <c r="N2132" s="10" t="inlineStr">
        <is>
          <t>general</t>
        </is>
      </c>
      <c r="O2132" s="10" t="inlineStr">
        <is>
          <t>https://www.disco.com.ar/acondicionador-head-shoulders-humectacion-180-ml/p</t>
        </is>
      </c>
    </row>
    <row r="2133">
      <c r="A2133" t="inlineStr">
        <is>
          <t>Disco</t>
        </is>
      </c>
      <c r="B2133" t="n">
        <v>275365</v>
      </c>
      <c r="C2133" t="n">
        <v>274661</v>
      </c>
      <c r="D2133" t="inlineStr">
        <is>
          <t>Shampoo Head &amp; Shoulders Humectación 180 Ml</t>
        </is>
      </c>
      <c r="E2133" t="inlineStr">
        <is>
          <t>HEAD &amp; SHOULDERS</t>
        </is>
      </c>
      <c r="F2133" t="n">
        <v>178.47</v>
      </c>
      <c r="G2133" t="n">
        <v>14750</v>
      </c>
      <c r="H2133" t="b">
        <v>0</v>
      </c>
      <c r="I2133" t="n">
        <v>180</v>
      </c>
      <c r="J2133" t="n">
        <v>0.9915</v>
      </c>
      <c r="K2133" t="inlineStr">
        <is>
          <t>&gt; Perfumería &gt; Cuidado Capilar &gt; Shampoo &gt;</t>
        </is>
      </c>
      <c r="L2133" t="inlineStr">
        <is>
          <t>shampoo</t>
        </is>
      </c>
      <c r="M2133" t="inlineStr">
        <is>
          <t>estandar</t>
        </is>
      </c>
      <c r="N2133" t="inlineStr">
        <is>
          <t>general</t>
        </is>
      </c>
      <c r="O2133" t="inlineStr">
        <is>
          <t>https://www.disco.com.ar/shampoo-head-shoulders-humectacion-180-ml/p</t>
        </is>
      </c>
    </row>
    <row r="2134">
      <c r="A2134" s="10" t="inlineStr">
        <is>
          <t>Disco</t>
        </is>
      </c>
      <c r="B2134" s="10" t="n">
        <v>1365006</v>
      </c>
      <c r="C2134" s="10" t="n">
        <v>1363954</v>
      </c>
      <c r="D2134" s="10" t="inlineStr">
        <is>
          <t>Shampoo Anticomezón 650 Ml Head &amp; Shoulders</t>
        </is>
      </c>
      <c r="E2134" s="10" t="inlineStr">
        <is>
          <t>HEAD &amp; SHOULDERS</t>
        </is>
      </c>
      <c r="F2134" s="10" t="n">
        <v>18850</v>
      </c>
      <c r="G2134" s="10" t="n">
        <v>1557851</v>
      </c>
      <c r="H2134" s="10" t="b">
        <v>0</v>
      </c>
      <c r="I2134" s="10" t="n">
        <v>650</v>
      </c>
      <c r="J2134" s="10" t="n">
        <v>29</v>
      </c>
      <c r="K2134" s="10" t="inlineStr">
        <is>
          <t>&gt; Perfumería &gt; Cuidado Capilar &gt; Shampoo &gt;</t>
        </is>
      </c>
      <c r="L2134" s="10" t="inlineStr">
        <is>
          <t>shampoo</t>
        </is>
      </c>
      <c r="M2134" s="10" t="inlineStr">
        <is>
          <t>estandar</t>
        </is>
      </c>
      <c r="N2134" s="10" t="inlineStr">
        <is>
          <t>general</t>
        </is>
      </c>
      <c r="O2134" s="10" t="inlineStr">
        <is>
          <t>https://www.disco.com.ar/shampoo-anticomezon-650-ml-head-shoulders-2/p</t>
        </is>
      </c>
    </row>
    <row r="2135">
      <c r="A2135" t="inlineStr">
        <is>
          <t>Disco</t>
        </is>
      </c>
      <c r="B2135" t="n">
        <v>398318</v>
      </c>
      <c r="C2135" t="n">
        <v>396051</v>
      </c>
      <c r="D2135" t="inlineStr">
        <is>
          <t>Acondicionador Revitalización 300 Ml  Head &amp; Shoulders Acondicionador Head &amp; Shoulders Revitalización 300 Ml</t>
        </is>
      </c>
      <c r="E2135" t="inlineStr">
        <is>
          <t>HEAD &amp; SHOULDERS</t>
        </is>
      </c>
      <c r="F2135" t="n">
        <v>10900</v>
      </c>
      <c r="G2135" t="n">
        <v>900826</v>
      </c>
      <c r="H2135" t="b">
        <v>0</v>
      </c>
      <c r="I2135" t="n">
        <v>300</v>
      </c>
      <c r="J2135" t="n">
        <v>36.3333</v>
      </c>
      <c r="K2135" t="inlineStr">
        <is>
          <t>&gt; Perfumería &gt; Cuidado Capilar &gt; Acondicionador &gt;</t>
        </is>
      </c>
      <c r="L2135" t="inlineStr">
        <is>
          <t>acondicionador</t>
        </is>
      </c>
      <c r="M2135" t="inlineStr">
        <is>
          <t>estandar</t>
        </is>
      </c>
      <c r="N2135" t="inlineStr">
        <is>
          <t>general</t>
        </is>
      </c>
      <c r="O2135" t="inlineStr">
        <is>
          <t>https://www.disco.com.ar/acondicionador-head-shoulders-aceite-de-argan-300-ml/p</t>
        </is>
      </c>
    </row>
    <row r="2136">
      <c r="A2136" s="10" t="inlineStr">
        <is>
          <t>Disco</t>
        </is>
      </c>
      <c r="B2136" s="10" t="n">
        <v>386628</v>
      </c>
      <c r="C2136" s="10" t="n">
        <v>384907</v>
      </c>
      <c r="D2136" s="10" t="inlineStr">
        <is>
          <t>Shampoo Head And Shoulders Manzana 375 Ml</t>
        </is>
      </c>
      <c r="E2136" s="10" t="inlineStr">
        <is>
          <t>HEAD &amp; SHOULDERS</t>
        </is>
      </c>
      <c r="F2136" s="10" t="n">
        <v>9150</v>
      </c>
      <c r="G2136" s="10" t="n">
        <v>756198</v>
      </c>
      <c r="H2136" s="10" t="b">
        <v>0</v>
      </c>
      <c r="I2136" s="10" t="n">
        <v>375</v>
      </c>
      <c r="J2136" s="10" t="n">
        <v>24.4</v>
      </c>
      <c r="K2136" s="10" t="inlineStr">
        <is>
          <t>&gt; Perfumería &gt; Cuidado Capilar &gt; Shampoo &gt;</t>
        </is>
      </c>
      <c r="L2136" s="10" t="inlineStr">
        <is>
          <t>shampoo</t>
        </is>
      </c>
      <c r="M2136" s="10" t="inlineStr">
        <is>
          <t>estandar</t>
        </is>
      </c>
      <c r="N2136" s="10" t="inlineStr">
        <is>
          <t>general</t>
        </is>
      </c>
      <c r="O2136" s="10" t="inlineStr">
        <is>
          <t>https://www.disco.com.ar/shampoo-head-and-shoulders-manzana-375-ml/p</t>
        </is>
      </c>
    </row>
    <row r="2137">
      <c r="A2137" t="inlineStr">
        <is>
          <t>Disco</t>
        </is>
      </c>
      <c r="B2137" t="n">
        <v>386609</v>
      </c>
      <c r="C2137" t="n">
        <v>384888</v>
      </c>
      <c r="D2137" t="inlineStr">
        <is>
          <t>Shampoo Head And Shoulders Hidratación 180 Ml</t>
        </is>
      </c>
      <c r="E2137" t="inlineStr">
        <is>
          <t>HEAD &amp; SHOULDERS</t>
        </is>
      </c>
      <c r="F2137" t="n">
        <v>5400</v>
      </c>
      <c r="G2137" t="n">
        <v>446281</v>
      </c>
      <c r="H2137" t="b">
        <v>0</v>
      </c>
      <c r="I2137" t="n">
        <v>180</v>
      </c>
      <c r="J2137" t="n">
        <v>30</v>
      </c>
      <c r="K2137" t="inlineStr">
        <is>
          <t>&gt; Perfumería &gt; Cuidado Capilar &gt; Shampoo &gt;</t>
        </is>
      </c>
      <c r="L2137" t="inlineStr">
        <is>
          <t>shampoo</t>
        </is>
      </c>
      <c r="M2137" t="inlineStr">
        <is>
          <t>estandar</t>
        </is>
      </c>
      <c r="N2137" t="inlineStr">
        <is>
          <t>seco_danado</t>
        </is>
      </c>
      <c r="O2137" t="inlineStr">
        <is>
          <t>https://www.disco.com.ar/shampoo-head-and-shoulders-hidratacion-180-ml/p</t>
        </is>
      </c>
    </row>
    <row r="2138">
      <c r="A2138" s="10" t="inlineStr">
        <is>
          <t>Disco</t>
        </is>
      </c>
      <c r="B2138" s="10" t="n">
        <v>386607</v>
      </c>
      <c r="C2138" s="10" t="n">
        <v>384886</v>
      </c>
      <c r="D2138" s="10" t="inlineStr">
        <is>
          <t>Shampoo Head And Shoulders Hidratación 375 Ml</t>
        </is>
      </c>
      <c r="E2138" s="10" t="inlineStr">
        <is>
          <t>HEAD &amp; SHOULDERS</t>
        </is>
      </c>
      <c r="F2138" s="10" t="n">
        <v>9200</v>
      </c>
      <c r="G2138" s="10" t="n">
        <v>760331</v>
      </c>
      <c r="H2138" s="10" t="b">
        <v>0</v>
      </c>
      <c r="I2138" s="10" t="n">
        <v>375</v>
      </c>
      <c r="J2138" s="10" t="n">
        <v>24.5333</v>
      </c>
      <c r="K2138" s="10" t="inlineStr">
        <is>
          <t>&gt; Perfumería &gt; Cuidado Capilar &gt; Shampoo &gt;</t>
        </is>
      </c>
      <c r="L2138" s="10" t="inlineStr">
        <is>
          <t>shampoo</t>
        </is>
      </c>
      <c r="M2138" s="10" t="inlineStr">
        <is>
          <t>estandar</t>
        </is>
      </c>
      <c r="N2138" s="10" t="inlineStr">
        <is>
          <t>seco_danado</t>
        </is>
      </c>
      <c r="O2138" s="10" t="inlineStr">
        <is>
          <t>https://www.disco.com.ar/shampoo-head-and-shoulders-hidratacion-375-ml/p</t>
        </is>
      </c>
    </row>
    <row r="2139">
      <c r="A2139" t="inlineStr">
        <is>
          <t>Disco</t>
        </is>
      </c>
      <c r="B2139" t="n">
        <v>154039</v>
      </c>
      <c r="C2139" t="n">
        <v>151605</v>
      </c>
      <c r="D2139" t="inlineStr">
        <is>
          <t>Acondicionador Head &amp; Shoulders Winter 200 Ml</t>
        </is>
      </c>
      <c r="E2139" t="inlineStr">
        <is>
          <t>HEAD &amp; SHOULDERS</t>
        </is>
      </c>
      <c r="F2139" t="n">
        <v>33.57</v>
      </c>
      <c r="G2139" t="n">
        <v>2774</v>
      </c>
      <c r="H2139" t="b">
        <v>0</v>
      </c>
      <c r="I2139" t="n">
        <v>200</v>
      </c>
      <c r="J2139" t="n">
        <v>0.1678</v>
      </c>
      <c r="K2139" t="inlineStr">
        <is>
          <t>&gt; Perfumería &gt; Cuidado Capilar &gt; Acondicionador &gt;</t>
        </is>
      </c>
      <c r="L2139" t="inlineStr">
        <is>
          <t>acondicionador</t>
        </is>
      </c>
      <c r="M2139" t="inlineStr">
        <is>
          <t>estandar</t>
        </is>
      </c>
      <c r="N2139" t="inlineStr">
        <is>
          <t>general</t>
        </is>
      </c>
      <c r="O2139" t="inlineStr">
        <is>
          <t>https://www.disco.com.ar/acondicionador-head-shoulders-winter-200-ml/p</t>
        </is>
      </c>
    </row>
    <row r="2140">
      <c r="A2140" s="10" t="inlineStr">
        <is>
          <t>Disco</t>
        </is>
      </c>
      <c r="B2140" s="10" t="n">
        <v>42328</v>
      </c>
      <c r="C2140" s="10" t="n">
        <v>39498</v>
      </c>
      <c r="D2140" s="10" t="inlineStr">
        <is>
          <t>Acondicionador Head &amp; Shoulders Antifall 200 Ml</t>
        </is>
      </c>
      <c r="E2140" s="10" t="inlineStr">
        <is>
          <t>HEAD &amp; SHOULDERS</t>
        </is>
      </c>
      <c r="F2140" s="10" t="n">
        <v>54.29</v>
      </c>
      <c r="G2140" s="10" t="n">
        <v>4487</v>
      </c>
      <c r="H2140" s="10" t="b">
        <v>0</v>
      </c>
      <c r="I2140" s="10" t="n">
        <v>200</v>
      </c>
      <c r="J2140" s="10" t="n">
        <v>0.2714</v>
      </c>
      <c r="K2140" s="10" t="inlineStr">
        <is>
          <t>&gt; Perfumería &gt; Cuidado Capilar &gt; Acondicionador &gt;</t>
        </is>
      </c>
      <c r="L2140" s="10" t="inlineStr">
        <is>
          <t>acondicionador</t>
        </is>
      </c>
      <c r="M2140" s="10" t="inlineStr">
        <is>
          <t>estandar</t>
        </is>
      </c>
      <c r="N2140" s="10" t="inlineStr">
        <is>
          <t>general</t>
        </is>
      </c>
      <c r="O2140" s="10" t="inlineStr">
        <is>
          <t>https://www.disco.com.ar/acondicionador-head-shoulders-antifall-200-ml/p</t>
        </is>
      </c>
    </row>
    <row r="2141">
      <c r="A2141" t="inlineStr">
        <is>
          <t>Disco</t>
        </is>
      </c>
      <c r="B2141" t="n">
        <v>42132</v>
      </c>
      <c r="C2141" t="n">
        <v>39302</v>
      </c>
      <c r="D2141" t="inlineStr">
        <is>
          <t>Acondicionador Head &amp; Shoulders Humecta 200 Ml</t>
        </is>
      </c>
      <c r="E2141" t="inlineStr">
        <is>
          <t>HEAD &amp; SHOULDERS</t>
        </is>
      </c>
      <c r="F2141" t="n">
        <v>54.29</v>
      </c>
      <c r="G2141" t="n">
        <v>4487</v>
      </c>
      <c r="H2141" t="b">
        <v>0</v>
      </c>
      <c r="I2141" t="n">
        <v>200</v>
      </c>
      <c r="J2141" t="n">
        <v>0.2714</v>
      </c>
      <c r="K2141" t="inlineStr">
        <is>
          <t>&gt; Perfumería &gt; Cuidado Capilar &gt; Acondicionador &gt;</t>
        </is>
      </c>
      <c r="L2141" t="inlineStr">
        <is>
          <t>acondicionador</t>
        </is>
      </c>
      <c r="M2141" t="inlineStr">
        <is>
          <t>estandar</t>
        </is>
      </c>
      <c r="N2141" t="inlineStr">
        <is>
          <t>general</t>
        </is>
      </c>
      <c r="O2141" t="inlineStr">
        <is>
          <t>https://www.disco.com.ar/acondicionador-head-shoulders-humecta-200-ml/p</t>
        </is>
      </c>
    </row>
    <row r="2142">
      <c r="A2142" s="10" t="inlineStr">
        <is>
          <t>Disco</t>
        </is>
      </c>
      <c r="B2142" s="10" t="n">
        <v>386633</v>
      </c>
      <c r="C2142" s="10" t="n">
        <v>384912</v>
      </c>
      <c r="D2142" s="10" t="inlineStr">
        <is>
          <t>Shampoo Head And Shoulders Protección Caída 375 Ml</t>
        </is>
      </c>
      <c r="E2142" s="10" t="inlineStr">
        <is>
          <t>HEAD &amp; SHOULDERS</t>
        </is>
      </c>
      <c r="F2142" s="10" t="n">
        <v>9150</v>
      </c>
      <c r="G2142" s="10" t="n">
        <v>756198</v>
      </c>
      <c r="H2142" s="10" t="b">
        <v>0</v>
      </c>
      <c r="I2142" s="10" t="n">
        <v>375</v>
      </c>
      <c r="J2142" s="10" t="n">
        <v>24.4</v>
      </c>
      <c r="K2142" s="10" t="inlineStr">
        <is>
          <t>&gt; Perfumería &gt; Cuidado Capilar &gt; Shampoo &gt;</t>
        </is>
      </c>
      <c r="L2142" s="10" t="inlineStr">
        <is>
          <t>shampoo</t>
        </is>
      </c>
      <c r="M2142" s="10" t="inlineStr">
        <is>
          <t>estandar</t>
        </is>
      </c>
      <c r="N2142" s="10" t="inlineStr">
        <is>
          <t>general</t>
        </is>
      </c>
      <c r="O2142" s="10" t="inlineStr">
        <is>
          <t>https://www.disco.com.ar/shampoo-head-and-shoulders-proteccion-caida-375-ml/p</t>
        </is>
      </c>
    </row>
    <row r="2143">
      <c r="A2143" t="inlineStr">
        <is>
          <t>Disco</t>
        </is>
      </c>
      <c r="B2143" t="n">
        <v>307400</v>
      </c>
      <c r="C2143" t="n">
        <v>306637</v>
      </c>
      <c r="D2143" t="inlineStr">
        <is>
          <t>Dermo Acondicionador Head &amp; Shoulders Humectación 150 Ml</t>
        </is>
      </c>
      <c r="E2143" t="inlineStr">
        <is>
          <t>HEAD &amp; SHOULDERS</t>
        </is>
      </c>
      <c r="F2143" t="n">
        <v>850</v>
      </c>
      <c r="G2143" t="n">
        <v>70248</v>
      </c>
      <c r="H2143" t="b">
        <v>0</v>
      </c>
      <c r="I2143" t="n">
        <v>150</v>
      </c>
      <c r="J2143" t="n">
        <v>5.6667</v>
      </c>
      <c r="K2143" t="inlineStr">
        <is>
          <t>&gt; Perfumería &gt; Cuidado Capilar &gt; Acondicionador &gt;</t>
        </is>
      </c>
      <c r="L2143" t="inlineStr">
        <is>
          <t>acondicionador</t>
        </is>
      </c>
      <c r="M2143" t="inlineStr">
        <is>
          <t>estandar</t>
        </is>
      </c>
      <c r="N2143" t="inlineStr">
        <is>
          <t>general</t>
        </is>
      </c>
      <c r="O2143" t="inlineStr">
        <is>
          <t>https://www.disco.com.ar/dermo-acondicionador-head-shoulders-humectacion-150-ml/p</t>
        </is>
      </c>
    </row>
    <row r="2144">
      <c r="A2144" s="10" t="inlineStr">
        <is>
          <t>Disco</t>
        </is>
      </c>
      <c r="B2144" s="10" t="n">
        <v>275443</v>
      </c>
      <c r="C2144" s="10" t="n">
        <v>274739</v>
      </c>
      <c r="D2144" s="10" t="inlineStr">
        <is>
          <t>Acondicionador Head &amp; Shoulders Alivio Refresc 375 Ml</t>
        </is>
      </c>
      <c r="E2144" s="10" t="inlineStr">
        <is>
          <t>HEAD &amp; SHOULDERS</t>
        </is>
      </c>
      <c r="F2144" s="10" t="n">
        <v>208.19</v>
      </c>
      <c r="G2144" s="10" t="n">
        <v>17206</v>
      </c>
      <c r="H2144" s="10" t="b">
        <v>0</v>
      </c>
      <c r="I2144" s="10" t="n">
        <v>375</v>
      </c>
      <c r="J2144" s="10" t="n">
        <v>0.5552</v>
      </c>
      <c r="K2144" s="10" t="inlineStr">
        <is>
          <t>&gt; Perfumería &gt; Cuidado Capilar &gt; Acondicionador &gt;</t>
        </is>
      </c>
      <c r="L2144" s="10" t="inlineStr">
        <is>
          <t>acondicionador</t>
        </is>
      </c>
      <c r="M2144" s="10" t="inlineStr">
        <is>
          <t>estandar</t>
        </is>
      </c>
      <c r="N2144" s="10" t="inlineStr">
        <is>
          <t>general</t>
        </is>
      </c>
      <c r="O2144" s="10" t="inlineStr">
        <is>
          <t>https://www.disco.com.ar/acondicionador-head-shoulders-alivio-refresc-375-ml/p</t>
        </is>
      </c>
    </row>
    <row r="2145">
      <c r="A2145" t="inlineStr">
        <is>
          <t>Disco</t>
        </is>
      </c>
      <c r="B2145" t="n">
        <v>275439</v>
      </c>
      <c r="C2145" t="n">
        <v>274735</v>
      </c>
      <c r="D2145" t="inlineStr">
        <is>
          <t>Shampoo Head &amp; Shoulders Nutrición Profunda 180 Ml</t>
        </is>
      </c>
      <c r="E2145" t="inlineStr">
        <is>
          <t>HEAD &amp; SHOULDERS</t>
        </is>
      </c>
      <c r="F2145" t="n">
        <v>410.83</v>
      </c>
      <c r="G2145" t="n">
        <v>33953</v>
      </c>
      <c r="H2145" t="b">
        <v>0</v>
      </c>
      <c r="I2145" t="n">
        <v>180</v>
      </c>
      <c r="J2145" t="n">
        <v>2.2824</v>
      </c>
      <c r="K2145" t="inlineStr">
        <is>
          <t>&gt; Perfumería &gt; Cuidado Capilar &gt; Shampoo &gt;</t>
        </is>
      </c>
      <c r="L2145" t="inlineStr">
        <is>
          <t>shampoo</t>
        </is>
      </c>
      <c r="M2145" t="inlineStr">
        <is>
          <t>estandar</t>
        </is>
      </c>
      <c r="N2145" t="inlineStr">
        <is>
          <t>general</t>
        </is>
      </c>
      <c r="O2145" t="inlineStr">
        <is>
          <t>https://www.disco.com.ar/shampoo-head-shoulders-nutricion-profunda-180-ml/p</t>
        </is>
      </c>
    </row>
    <row r="2146">
      <c r="A2146" s="10" t="inlineStr">
        <is>
          <t>Disco</t>
        </is>
      </c>
      <c r="B2146" s="10" t="n">
        <v>275437</v>
      </c>
      <c r="C2146" s="10" t="n">
        <v>274733</v>
      </c>
      <c r="D2146" s="10" t="inlineStr">
        <is>
          <t>Acondicionador Head &amp; Shoulders Nutricion Profunda 375 Ml</t>
        </is>
      </c>
      <c r="E2146" s="10" t="inlineStr">
        <is>
          <t>HEAD &amp; SHOULDERS</t>
        </is>
      </c>
      <c r="F2146" s="10" t="n">
        <v>208.19</v>
      </c>
      <c r="G2146" s="10" t="n">
        <v>17206</v>
      </c>
      <c r="H2146" s="10" t="b">
        <v>0</v>
      </c>
      <c r="I2146" s="10" t="n">
        <v>375</v>
      </c>
      <c r="J2146" s="10" t="n">
        <v>0.5552</v>
      </c>
      <c r="K2146" s="10" t="inlineStr">
        <is>
          <t>&gt; Perfumería &gt; Cuidado Capilar &gt; Acondicionador &gt;</t>
        </is>
      </c>
      <c r="L2146" s="10" t="inlineStr">
        <is>
          <t>acondicionador</t>
        </is>
      </c>
      <c r="M2146" s="10" t="inlineStr">
        <is>
          <t>estandar</t>
        </is>
      </c>
      <c r="N2146" s="10" t="inlineStr">
        <is>
          <t>general</t>
        </is>
      </c>
      <c r="O2146" s="10" t="inlineStr">
        <is>
          <t>https://www.disco.com.ar/acondicionador-head-shoulders-nutricion-profunda-375-ml/p</t>
        </is>
      </c>
    </row>
    <row r="2147">
      <c r="A2147" t="inlineStr">
        <is>
          <t>Disco</t>
        </is>
      </c>
      <c r="B2147" t="n">
        <v>275415</v>
      </c>
      <c r="C2147" t="n">
        <v>274711</v>
      </c>
      <c r="D2147" t="inlineStr">
        <is>
          <t>Shampoo Head &amp; Shoulders Control Grasa 375 Ml</t>
        </is>
      </c>
      <c r="E2147" t="inlineStr">
        <is>
          <t>HEAD &amp; SHOULDERS</t>
        </is>
      </c>
      <c r="F2147" t="n">
        <v>269.09</v>
      </c>
      <c r="G2147" t="n">
        <v>22239</v>
      </c>
      <c r="H2147" t="b">
        <v>0</v>
      </c>
      <c r="I2147" t="n">
        <v>375</v>
      </c>
      <c r="J2147" t="n">
        <v>0.7176</v>
      </c>
      <c r="K2147" t="inlineStr">
        <is>
          <t>&gt; Perfumería &gt; Cuidado Capilar &gt; Shampoo &gt;</t>
        </is>
      </c>
      <c r="L2147" t="inlineStr">
        <is>
          <t>shampoo</t>
        </is>
      </c>
      <c r="M2147" t="inlineStr">
        <is>
          <t>estandar</t>
        </is>
      </c>
      <c r="N2147" t="inlineStr">
        <is>
          <t>graso</t>
        </is>
      </c>
      <c r="O2147" t="inlineStr">
        <is>
          <t>https://www.disco.com.ar/shampoo-head-shoulders-control-grasa-375-ml/p</t>
        </is>
      </c>
    </row>
    <row r="2148">
      <c r="A2148" s="10" t="inlineStr">
        <is>
          <t>Disco</t>
        </is>
      </c>
      <c r="B2148" s="10" t="n">
        <v>275405</v>
      </c>
      <c r="C2148" s="10" t="n">
        <v>274701</v>
      </c>
      <c r="D2148" s="10" t="inlineStr">
        <is>
          <t>Shampoo Head &amp; Shoulders Nutricion Profunda 375 Ml</t>
        </is>
      </c>
      <c r="E2148" s="10" t="inlineStr">
        <is>
          <t>HEAD &amp; SHOULDERS</t>
        </is>
      </c>
      <c r="F2148" s="10" t="n">
        <v>253.89</v>
      </c>
      <c r="G2148" s="10" t="n">
        <v>20983</v>
      </c>
      <c r="H2148" s="10" t="b">
        <v>0</v>
      </c>
      <c r="I2148" s="10" t="n">
        <v>375</v>
      </c>
      <c r="J2148" s="10" t="n">
        <v>0.677</v>
      </c>
      <c r="K2148" s="10" t="inlineStr">
        <is>
          <t>&gt; Perfumería &gt; Cuidado Capilar &gt; Shampoo &gt;</t>
        </is>
      </c>
      <c r="L2148" s="10" t="inlineStr">
        <is>
          <t>shampoo</t>
        </is>
      </c>
      <c r="M2148" s="10" t="inlineStr">
        <is>
          <t>estandar</t>
        </is>
      </c>
      <c r="N2148" s="10" t="inlineStr">
        <is>
          <t>general</t>
        </is>
      </c>
      <c r="O2148" s="10" t="inlineStr">
        <is>
          <t>https://www.disco.com.ar/shampoo-head-shoulders-nutricion-profunda-375-ml/p</t>
        </is>
      </c>
    </row>
    <row r="2149">
      <c r="A2149" t="inlineStr">
        <is>
          <t>Disco</t>
        </is>
      </c>
      <c r="B2149" t="n">
        <v>17833</v>
      </c>
      <c r="C2149" t="n">
        <v>14950</v>
      </c>
      <c r="D2149" t="inlineStr">
        <is>
          <t>Acondicionador Head &amp; Shoulders Inst Relief 400 Ml</t>
        </is>
      </c>
      <c r="E2149" t="inlineStr">
        <is>
          <t>HEAD &amp; SHOULDERS</t>
        </is>
      </c>
      <c r="F2149" t="n">
        <v>134.83</v>
      </c>
      <c r="G2149" t="n">
        <v>11143</v>
      </c>
      <c r="H2149" t="b">
        <v>0</v>
      </c>
      <c r="I2149" t="n">
        <v>400</v>
      </c>
      <c r="J2149" t="n">
        <v>0.3371</v>
      </c>
      <c r="K2149" t="inlineStr">
        <is>
          <t>&gt; Perfumería &gt; Cuidado Capilar &gt; Acondicionador &gt;</t>
        </is>
      </c>
      <c r="L2149" t="inlineStr">
        <is>
          <t>acondicionador</t>
        </is>
      </c>
      <c r="M2149" t="inlineStr">
        <is>
          <t>estandar</t>
        </is>
      </c>
      <c r="N2149" t="inlineStr">
        <is>
          <t>general</t>
        </is>
      </c>
      <c r="O2149" t="inlineStr">
        <is>
          <t>https://www.disco.com.ar/acondicionador-head-shoulders-inst-relief-400-ml/p</t>
        </is>
      </c>
    </row>
    <row r="2150">
      <c r="A2150" s="10" t="inlineStr">
        <is>
          <t>Disco</t>
        </is>
      </c>
      <c r="B2150" s="10" t="n">
        <v>386640</v>
      </c>
      <c r="C2150" s="10" t="n">
        <v>384919</v>
      </c>
      <c r="D2150" s="10" t="inlineStr">
        <is>
          <t>Shampoo Head And Shoulders Protección Caida 700 Ml</t>
        </is>
      </c>
      <c r="E2150" s="10" t="inlineStr">
        <is>
          <t>HEAD &amp; SHOULDERS</t>
        </is>
      </c>
      <c r="F2150" s="10" t="n">
        <v>9729.99</v>
      </c>
      <c r="G2150" s="10" t="n">
        <v>804131</v>
      </c>
      <c r="H2150" s="10" t="b">
        <v>0</v>
      </c>
      <c r="I2150" s="10" t="n">
        <v>700</v>
      </c>
      <c r="J2150" s="10" t="n">
        <v>13.9</v>
      </c>
      <c r="K2150" s="10" t="inlineStr">
        <is>
          <t>&gt; Perfumería &gt; Cuidado Capilar &gt; Shampoo &gt;</t>
        </is>
      </c>
      <c r="L2150" s="10" t="inlineStr">
        <is>
          <t>shampoo</t>
        </is>
      </c>
      <c r="M2150" s="10" t="inlineStr">
        <is>
          <t>estandar</t>
        </is>
      </c>
      <c r="N2150" s="10" t="inlineStr">
        <is>
          <t>general</t>
        </is>
      </c>
      <c r="O2150" s="10" t="inlineStr">
        <is>
          <t>https://www.disco.com.ar/shampoo-head-and-shoulders-proteccion-caida-700-ml/p</t>
        </is>
      </c>
    </row>
    <row r="2151">
      <c r="A2151" t="inlineStr">
        <is>
          <t>Disco</t>
        </is>
      </c>
      <c r="B2151" t="n">
        <v>307402</v>
      </c>
      <c r="C2151" t="n">
        <v>306639</v>
      </c>
      <c r="D2151" t="inlineStr">
        <is>
          <t>Dermo Acondicionador Head &amp; Shoulders Humectación 300 Ml</t>
        </is>
      </c>
      <c r="E2151" t="inlineStr">
        <is>
          <t>HEAD &amp; SHOULDERS</t>
        </is>
      </c>
      <c r="F2151" t="n">
        <v>882.37</v>
      </c>
      <c r="G2151" t="n">
        <v>72923</v>
      </c>
      <c r="H2151" t="b">
        <v>0</v>
      </c>
      <c r="I2151" t="n">
        <v>300</v>
      </c>
      <c r="J2151" t="n">
        <v>2.9412</v>
      </c>
      <c r="K2151" t="inlineStr">
        <is>
          <t>&gt; Perfumería &gt; Cuidado Capilar &gt; Acondicionador &gt;</t>
        </is>
      </c>
      <c r="L2151" t="inlineStr">
        <is>
          <t>acondicionador</t>
        </is>
      </c>
      <c r="M2151" t="inlineStr">
        <is>
          <t>estandar</t>
        </is>
      </c>
      <c r="N2151" t="inlineStr">
        <is>
          <t>general</t>
        </is>
      </c>
      <c r="O2151" t="inlineStr">
        <is>
          <t>https://www.disco.com.ar/dermo-acondicionador-head-shoulders-humectacion-300-ml/p</t>
        </is>
      </c>
    </row>
    <row r="2152">
      <c r="A2152" s="10" t="inlineStr">
        <is>
          <t>Disco</t>
        </is>
      </c>
      <c r="B2152" s="10" t="n">
        <v>42521</v>
      </c>
      <c r="C2152" s="10" t="n">
        <v>39691</v>
      </c>
      <c r="D2152" s="10" t="inlineStr">
        <is>
          <t>Acondicionador Head &amp; Shoulders Apple Fresh 200 Ml</t>
        </is>
      </c>
      <c r="E2152" s="10" t="inlineStr">
        <is>
          <t>HEAD &amp; SHOULDERS</t>
        </is>
      </c>
      <c r="F2152" s="10" t="n">
        <v>54.29</v>
      </c>
      <c r="G2152" s="10" t="n">
        <v>4487</v>
      </c>
      <c r="H2152" s="10" t="b">
        <v>0</v>
      </c>
      <c r="I2152" s="10" t="n">
        <v>200</v>
      </c>
      <c r="J2152" s="10" t="n">
        <v>0.2714</v>
      </c>
      <c r="K2152" s="10" t="inlineStr">
        <is>
          <t>&gt; Perfumería &gt; Cuidado Capilar &gt; Acondicionador &gt;</t>
        </is>
      </c>
      <c r="L2152" s="10" t="inlineStr">
        <is>
          <t>acondicionador</t>
        </is>
      </c>
      <c r="M2152" s="10" t="inlineStr">
        <is>
          <t>estandar</t>
        </is>
      </c>
      <c r="N2152" s="10" t="inlineStr">
        <is>
          <t>general</t>
        </is>
      </c>
      <c r="O2152" s="10" t="inlineStr">
        <is>
          <t>https://www.disco.com.ar/acondicionador-head-shoulders-apple-fresh-200-ml/p</t>
        </is>
      </c>
    </row>
    <row r="2153">
      <c r="A2153" t="inlineStr">
        <is>
          <t>Disco</t>
        </is>
      </c>
      <c r="B2153" t="n">
        <v>386636</v>
      </c>
      <c r="C2153" t="n">
        <v>384915</v>
      </c>
      <c r="D2153" t="inlineStr">
        <is>
          <t>Shampoo Head And Shoulders Protección Caida 180 Ml</t>
        </is>
      </c>
      <c r="E2153" t="inlineStr">
        <is>
          <t>HEAD &amp; SHOULDERS</t>
        </is>
      </c>
      <c r="F2153" t="n">
        <v>5050</v>
      </c>
      <c r="G2153" t="n">
        <v>417355</v>
      </c>
      <c r="H2153" t="b">
        <v>0</v>
      </c>
      <c r="I2153" t="n">
        <v>180</v>
      </c>
      <c r="J2153" t="n">
        <v>28.0556</v>
      </c>
      <c r="K2153" t="inlineStr">
        <is>
          <t>&gt; Perfumería &gt; Cuidado Capilar &gt; Shampoo &gt;</t>
        </is>
      </c>
      <c r="L2153" t="inlineStr">
        <is>
          <t>shampoo</t>
        </is>
      </c>
      <c r="M2153" t="inlineStr">
        <is>
          <t>estandar</t>
        </is>
      </c>
      <c r="N2153" t="inlineStr">
        <is>
          <t>general</t>
        </is>
      </c>
      <c r="O2153" t="inlineStr">
        <is>
          <t>https://www.disco.com.ar/shampoo-head-and-shoulders-proteccion-caida-180-ml/p</t>
        </is>
      </c>
    </row>
    <row r="2154">
      <c r="A2154" s="10" t="inlineStr">
        <is>
          <t>Disco</t>
        </is>
      </c>
      <c r="B2154" s="10" t="n">
        <v>337581</v>
      </c>
      <c r="C2154" s="10" t="n">
        <v>336684</v>
      </c>
      <c r="D2154" s="10" t="inlineStr">
        <is>
          <t>Shampoo Head &amp; Shoulders Detox De Raíz 375 Ml</t>
        </is>
      </c>
      <c r="E2154" s="10" t="inlineStr">
        <is>
          <t>HEAD &amp; SHOULDERS</t>
        </is>
      </c>
      <c r="F2154" s="10" t="n">
        <v>887.27</v>
      </c>
      <c r="G2154" s="10" t="n">
        <v>73328</v>
      </c>
      <c r="H2154" s="10" t="b">
        <v>0</v>
      </c>
      <c r="I2154" s="10" t="n">
        <v>375</v>
      </c>
      <c r="J2154" s="10" t="n">
        <v>2.3661</v>
      </c>
      <c r="K2154" s="10" t="inlineStr">
        <is>
          <t>&gt; Perfumería &gt; Cuidado Capilar &gt; Shampoo &gt;</t>
        </is>
      </c>
      <c r="L2154" s="10" t="inlineStr">
        <is>
          <t>shampoo</t>
        </is>
      </c>
      <c r="M2154" s="10" t="inlineStr">
        <is>
          <t>estandar</t>
        </is>
      </c>
      <c r="N2154" s="10" t="inlineStr">
        <is>
          <t>general</t>
        </is>
      </c>
      <c r="O2154" s="10" t="inlineStr">
        <is>
          <t>https://www.disco.com.ar/shampoo-head-shoulders-detox-de-raiz-375-ml/p</t>
        </is>
      </c>
    </row>
    <row r="2155">
      <c r="A2155" t="inlineStr">
        <is>
          <t>Disco</t>
        </is>
      </c>
      <c r="B2155" t="n">
        <v>307407</v>
      </c>
      <c r="C2155" t="n">
        <v>306644</v>
      </c>
      <c r="D2155" t="inlineStr">
        <is>
          <t>Dermo Acondicionador Head &amp; Shoulders Pu Ca 150ml</t>
        </is>
      </c>
      <c r="E2155" t="inlineStr">
        <is>
          <t>HEAD &amp; SHOULDERS</t>
        </is>
      </c>
      <c r="F2155" t="n">
        <v>387.67</v>
      </c>
      <c r="G2155" t="n">
        <v>32039</v>
      </c>
      <c r="H2155" t="b">
        <v>0</v>
      </c>
      <c r="I2155" t="n">
        <v>150</v>
      </c>
      <c r="J2155" t="n">
        <v>2.5845</v>
      </c>
      <c r="K2155" t="inlineStr">
        <is>
          <t>&gt; Perfumería &gt; Cuidado Capilar &gt; Acondicionador &gt;</t>
        </is>
      </c>
      <c r="L2155" t="inlineStr">
        <is>
          <t>acondicionador</t>
        </is>
      </c>
      <c r="M2155" t="inlineStr">
        <is>
          <t>estandar</t>
        </is>
      </c>
      <c r="N2155" t="inlineStr">
        <is>
          <t>general</t>
        </is>
      </c>
      <c r="O2155" t="inlineStr">
        <is>
          <t>https://www.disco.com.ar/dermo-acondicionador-head-shoulders-pu-ca-150ml/p</t>
        </is>
      </c>
    </row>
    <row r="2156">
      <c r="A2156" s="10" t="inlineStr">
        <is>
          <t>Disco</t>
        </is>
      </c>
      <c r="B2156" s="10" t="n">
        <v>275448</v>
      </c>
      <c r="C2156" s="10" t="n">
        <v>274744</v>
      </c>
      <c r="D2156" s="10" t="inlineStr">
        <is>
          <t>Shampoo Head &amp; Shoulders Alivio Refrescante 180 Ml</t>
        </is>
      </c>
      <c r="E2156" s="10" t="inlineStr">
        <is>
          <t>HEAD &amp; SHOULDERS</t>
        </is>
      </c>
      <c r="F2156" s="10" t="n">
        <v>145.49</v>
      </c>
      <c r="G2156" s="10" t="n">
        <v>12024</v>
      </c>
      <c r="H2156" s="10" t="b">
        <v>0</v>
      </c>
      <c r="I2156" s="10" t="n">
        <v>180</v>
      </c>
      <c r="J2156" s="10" t="n">
        <v>0.8083</v>
      </c>
      <c r="K2156" s="10" t="inlineStr">
        <is>
          <t>&gt; Perfumería &gt; Cuidado Capilar &gt; Shampoo &gt;</t>
        </is>
      </c>
      <c r="L2156" s="10" t="inlineStr">
        <is>
          <t>shampoo</t>
        </is>
      </c>
      <c r="M2156" s="10" t="inlineStr">
        <is>
          <t>estandar</t>
        </is>
      </c>
      <c r="N2156" s="10" t="inlineStr">
        <is>
          <t>general</t>
        </is>
      </c>
      <c r="O2156" s="10" t="inlineStr">
        <is>
          <t>https://www.disco.com.ar/shampoo-head-shoulders-alivio-refrescante-180-ml/p</t>
        </is>
      </c>
    </row>
    <row r="2157">
      <c r="A2157" t="inlineStr">
        <is>
          <t>Disco</t>
        </is>
      </c>
      <c r="B2157" t="n">
        <v>275446</v>
      </c>
      <c r="C2157" t="n">
        <v>274742</v>
      </c>
      <c r="D2157" t="inlineStr">
        <is>
          <t>Acondiconador Head &amp; Shoulders Alivio Refresca 180 Ml</t>
        </is>
      </c>
      <c r="E2157" t="inlineStr">
        <is>
          <t>HEAD &amp; SHOULDERS</t>
        </is>
      </c>
      <c r="F2157" t="n">
        <v>118.99</v>
      </c>
      <c r="G2157" t="n">
        <v>9834</v>
      </c>
      <c r="H2157" t="b">
        <v>0</v>
      </c>
      <c r="I2157" t="n">
        <v>180</v>
      </c>
      <c r="J2157" t="n">
        <v>0.6611</v>
      </c>
      <c r="K2157" t="inlineStr">
        <is>
          <t>&gt; Perfumería &gt; Cuidado Capilar &gt; Acondicionador &gt;</t>
        </is>
      </c>
      <c r="L2157" t="inlineStr">
        <is>
          <t>shampoo</t>
        </is>
      </c>
      <c r="M2157" t="inlineStr">
        <is>
          <t>estandar</t>
        </is>
      </c>
      <c r="N2157" t="inlineStr">
        <is>
          <t>general</t>
        </is>
      </c>
      <c r="O2157" t="inlineStr">
        <is>
          <t>https://www.disco.com.ar/acondiconador-head-shoulders-alivio-refresca-180-ml/p</t>
        </is>
      </c>
    </row>
    <row r="2158">
      <c r="A2158" s="10" t="inlineStr">
        <is>
          <t>Disco</t>
        </is>
      </c>
      <c r="B2158" s="10" t="n">
        <v>275442</v>
      </c>
      <c r="C2158" s="10" t="n">
        <v>274738</v>
      </c>
      <c r="D2158" s="10" t="inlineStr">
        <is>
          <t>Shampoo Head &amp; Shoulders Alivio Refrescante 375 Ml</t>
        </is>
      </c>
      <c r="E2158" s="10" t="inlineStr">
        <is>
          <t>HEAD &amp; SHOULDERS</t>
        </is>
      </c>
      <c r="F2158" s="10" t="n">
        <v>246.49</v>
      </c>
      <c r="G2158" s="10" t="n">
        <v>20371</v>
      </c>
      <c r="H2158" s="10" t="b">
        <v>0</v>
      </c>
      <c r="I2158" s="10" t="n">
        <v>375</v>
      </c>
      <c r="J2158" s="10" t="n">
        <v>0.6573</v>
      </c>
      <c r="K2158" s="10" t="inlineStr">
        <is>
          <t>&gt; Perfumería &gt; Cuidado Capilar &gt; Shampoo &gt;</t>
        </is>
      </c>
      <c r="L2158" s="10" t="inlineStr">
        <is>
          <t>shampoo</t>
        </is>
      </c>
      <c r="M2158" s="10" t="inlineStr">
        <is>
          <t>estandar</t>
        </is>
      </c>
      <c r="N2158" s="10" t="inlineStr">
        <is>
          <t>general</t>
        </is>
      </c>
      <c r="O2158" s="10" t="inlineStr">
        <is>
          <t>https://www.disco.com.ar/shampoo-head-shoulders-alivio-refrescante-375-ml/p</t>
        </is>
      </c>
    </row>
    <row r="2159">
      <c r="A2159" t="inlineStr">
        <is>
          <t>Disco</t>
        </is>
      </c>
      <c r="B2159" t="n">
        <v>275432</v>
      </c>
      <c r="C2159" t="n">
        <v>274728</v>
      </c>
      <c r="D2159" t="inlineStr">
        <is>
          <t>Acondicionador Head &amp; Shoulders Fuerza Rejuven 375 Ml</t>
        </is>
      </c>
      <c r="E2159" t="inlineStr">
        <is>
          <t>HEAD &amp; SHOULDERS</t>
        </is>
      </c>
      <c r="F2159" t="n">
        <v>222.77</v>
      </c>
      <c r="G2159" t="n">
        <v>18411</v>
      </c>
      <c r="H2159" t="b">
        <v>0</v>
      </c>
      <c r="I2159" t="n">
        <v>375</v>
      </c>
      <c r="J2159" t="n">
        <v>0.5941</v>
      </c>
      <c r="K2159" t="inlineStr">
        <is>
          <t>&gt; Perfumería &gt; Cuidado Capilar &gt; Acondicionador &gt;</t>
        </is>
      </c>
      <c r="L2159" t="inlineStr">
        <is>
          <t>acondicionador</t>
        </is>
      </c>
      <c r="M2159" t="inlineStr">
        <is>
          <t>estandar</t>
        </is>
      </c>
      <c r="N2159" t="inlineStr">
        <is>
          <t>general</t>
        </is>
      </c>
      <c r="O2159" t="inlineStr">
        <is>
          <t>https://www.disco.com.ar/acondicionador-head-shoulders-fuerza-rejuven-375-ml/p</t>
        </is>
      </c>
    </row>
    <row r="2160">
      <c r="A2160" s="10" t="inlineStr">
        <is>
          <t>Disco</t>
        </is>
      </c>
      <c r="B2160" s="10" t="n">
        <v>275429</v>
      </c>
      <c r="C2160" s="10" t="n">
        <v>274725</v>
      </c>
      <c r="D2160" s="10" t="inlineStr">
        <is>
          <t>Shampoo Head &amp; Shoulders Manzana Fresh 700 Ml</t>
        </is>
      </c>
      <c r="E2160" s="10" t="inlineStr">
        <is>
          <t>HEAD &amp; SHOULDERS</t>
        </is>
      </c>
      <c r="F2160" s="10" t="n">
        <v>431.23</v>
      </c>
      <c r="G2160" s="10" t="n">
        <v>35639</v>
      </c>
      <c r="H2160" s="10" t="b">
        <v>0</v>
      </c>
      <c r="I2160" s="10" t="n">
        <v>700</v>
      </c>
      <c r="J2160" s="10" t="n">
        <v>0.616</v>
      </c>
      <c r="K2160" s="10" t="inlineStr">
        <is>
          <t>&gt; Perfumería &gt; Cuidado Capilar &gt; Shampoo &gt;</t>
        </is>
      </c>
      <c r="L2160" s="10" t="inlineStr">
        <is>
          <t>shampoo</t>
        </is>
      </c>
      <c r="M2160" s="10" t="inlineStr">
        <is>
          <t>estandar</t>
        </is>
      </c>
      <c r="N2160" s="10" t="inlineStr">
        <is>
          <t>general</t>
        </is>
      </c>
      <c r="O2160" s="10" t="inlineStr">
        <is>
          <t>https://www.disco.com.ar/shampoo-head-shoulders-manzana-fresh-700-ml/p</t>
        </is>
      </c>
    </row>
    <row r="2161">
      <c r="A2161" t="inlineStr">
        <is>
          <t>Disco</t>
        </is>
      </c>
      <c r="B2161" t="n">
        <v>275408</v>
      </c>
      <c r="C2161" t="n">
        <v>274704</v>
      </c>
      <c r="D2161" t="inlineStr">
        <is>
          <t>Shampoo Head &amp; Shoulders Control Grasa 180 Ml</t>
        </is>
      </c>
      <c r="E2161" t="inlineStr">
        <is>
          <t>HEAD &amp; SHOULDERS</t>
        </is>
      </c>
      <c r="F2161" t="n">
        <v>388.69</v>
      </c>
      <c r="G2161" t="n">
        <v>32123</v>
      </c>
      <c r="H2161" t="b">
        <v>0</v>
      </c>
      <c r="I2161" t="n">
        <v>180</v>
      </c>
      <c r="J2161" t="n">
        <v>2.1594</v>
      </c>
      <c r="K2161" t="inlineStr">
        <is>
          <t>&gt; Perfumería &gt; Cuidado Capilar &gt; Shampoo &gt;</t>
        </is>
      </c>
      <c r="L2161" t="inlineStr">
        <is>
          <t>shampoo</t>
        </is>
      </c>
      <c r="M2161" t="inlineStr">
        <is>
          <t>estandar</t>
        </is>
      </c>
      <c r="N2161" t="inlineStr">
        <is>
          <t>graso</t>
        </is>
      </c>
      <c r="O2161" t="inlineStr">
        <is>
          <t>https://www.disco.com.ar/shampoo-head-shoulders-control-grasa-180-ml/p</t>
        </is>
      </c>
    </row>
    <row r="2162">
      <c r="A2162" s="10" t="inlineStr">
        <is>
          <t>Disco</t>
        </is>
      </c>
      <c r="B2162" s="10" t="n">
        <v>275403</v>
      </c>
      <c r="C2162" s="10" t="n">
        <v>274699</v>
      </c>
      <c r="D2162" s="10" t="inlineStr">
        <is>
          <t>Shampoo Head &amp; Shoulders Limpieza Renovadora 375 Ml</t>
        </is>
      </c>
      <c r="E2162" s="10" t="inlineStr">
        <is>
          <t>HEAD &amp; SHOULDERS</t>
        </is>
      </c>
      <c r="F2162" s="10" t="n">
        <v>253.89</v>
      </c>
      <c r="G2162" s="10" t="n">
        <v>20983</v>
      </c>
      <c r="H2162" s="10" t="b">
        <v>0</v>
      </c>
      <c r="I2162" s="10" t="n">
        <v>375</v>
      </c>
      <c r="J2162" s="10" t="n">
        <v>0.677</v>
      </c>
      <c r="K2162" s="10" t="inlineStr">
        <is>
          <t>&gt; Perfumería &gt; Cuidado Capilar &gt; Shampoo &gt;</t>
        </is>
      </c>
      <c r="L2162" s="10" t="inlineStr">
        <is>
          <t>shampoo</t>
        </is>
      </c>
      <c r="M2162" s="10" t="inlineStr">
        <is>
          <t>estandar</t>
        </is>
      </c>
      <c r="N2162" s="10" t="inlineStr">
        <is>
          <t>general</t>
        </is>
      </c>
      <c r="O2162" s="10" t="inlineStr">
        <is>
          <t>https://www.disco.com.ar/shampoo-head-shoulders-limpieza-renovadora-375-ml/p</t>
        </is>
      </c>
    </row>
    <row r="2163">
      <c r="A2163" t="inlineStr">
        <is>
          <t>Disco</t>
        </is>
      </c>
      <c r="B2163" t="n">
        <v>38197</v>
      </c>
      <c r="C2163" t="n">
        <v>35354</v>
      </c>
      <c r="D2163" t="inlineStr">
        <is>
          <t>Acondicionador Head &amp; Shoulders Nutrición Profunda 400 Ml</t>
        </is>
      </c>
      <c r="E2163" t="inlineStr">
        <is>
          <t>HEAD &amp; SHOULDERS</t>
        </is>
      </c>
      <c r="F2163" t="n">
        <v>134.83</v>
      </c>
      <c r="G2163" t="n">
        <v>11143</v>
      </c>
      <c r="H2163" t="b">
        <v>0</v>
      </c>
      <c r="I2163" t="n">
        <v>400</v>
      </c>
      <c r="J2163" t="n">
        <v>0.3371</v>
      </c>
      <c r="K2163" t="inlineStr">
        <is>
          <t>&gt; Perfumería &gt; Cuidado Capilar &gt; Acondicionador &gt;</t>
        </is>
      </c>
      <c r="L2163" t="inlineStr">
        <is>
          <t>acondicionador</t>
        </is>
      </c>
      <c r="M2163" t="inlineStr">
        <is>
          <t>estandar</t>
        </is>
      </c>
      <c r="N2163" t="inlineStr">
        <is>
          <t>general</t>
        </is>
      </c>
      <c r="O2163" t="inlineStr">
        <is>
          <t>https://www.disco.com.ar/acondicionador-head-shoulders-nutricion-profunda-400-ml/p</t>
        </is>
      </c>
    </row>
    <row r="2164">
      <c r="A2164" s="10" t="inlineStr">
        <is>
          <t>Disco</t>
        </is>
      </c>
      <c r="B2164" s="10" t="n">
        <v>17820</v>
      </c>
      <c r="C2164" s="10" t="n">
        <v>14936</v>
      </c>
      <c r="D2164" s="10" t="inlineStr">
        <is>
          <t>Acondicionador Head &amp; Shoulders Inst Relief 200 Ml</t>
        </is>
      </c>
      <c r="E2164" s="10" t="inlineStr">
        <is>
          <t>HEAD &amp; SHOULDERS</t>
        </is>
      </c>
      <c r="F2164" s="10" t="n">
        <v>54.29</v>
      </c>
      <c r="G2164" s="10" t="n">
        <v>4487</v>
      </c>
      <c r="H2164" s="10" t="b">
        <v>0</v>
      </c>
      <c r="I2164" s="10" t="n">
        <v>200</v>
      </c>
      <c r="J2164" s="10" t="n">
        <v>0.2714</v>
      </c>
      <c r="K2164" s="10" t="inlineStr">
        <is>
          <t>&gt; Perfumería &gt; Cuidado Capilar &gt; Acondicionador &gt;</t>
        </is>
      </c>
      <c r="L2164" s="10" t="inlineStr">
        <is>
          <t>acondicionador</t>
        </is>
      </c>
      <c r="M2164" s="10" t="inlineStr">
        <is>
          <t>estandar</t>
        </is>
      </c>
      <c r="N2164" s="10" t="inlineStr">
        <is>
          <t>general</t>
        </is>
      </c>
      <c r="O2164" s="10" t="inlineStr">
        <is>
          <t>https://www.disco.com.ar/acondicionador-head-shoulders-inst-relief-200-ml/p</t>
        </is>
      </c>
    </row>
    <row r="2165">
      <c r="A2165" t="inlineStr">
        <is>
          <t>Disco</t>
        </is>
      </c>
      <c r="B2165" t="n">
        <v>337362</v>
      </c>
      <c r="C2165" t="n">
        <v>336465</v>
      </c>
      <c r="D2165" t="inlineStr">
        <is>
          <t>Shampoo Head &amp; Shoulders Suave Y Manejable 375 Ml</t>
        </is>
      </c>
      <c r="E2165" t="inlineStr">
        <is>
          <t>HEAD &amp; SHOULDERS</t>
        </is>
      </c>
      <c r="F2165" t="n">
        <v>887.27</v>
      </c>
      <c r="G2165" t="n">
        <v>73328</v>
      </c>
      <c r="H2165" t="b">
        <v>0</v>
      </c>
      <c r="I2165" t="n">
        <v>375</v>
      </c>
      <c r="J2165" t="n">
        <v>2.3661</v>
      </c>
      <c r="K2165" t="inlineStr">
        <is>
          <t>&gt; Perfumería &gt; Cuidado Capilar &gt; Shampoo &gt;</t>
        </is>
      </c>
      <c r="L2165" t="inlineStr">
        <is>
          <t>shampoo</t>
        </is>
      </c>
      <c r="M2165" t="inlineStr">
        <is>
          <t>estandar</t>
        </is>
      </c>
      <c r="N2165" t="inlineStr">
        <is>
          <t>bebe</t>
        </is>
      </c>
      <c r="O2165" t="inlineStr">
        <is>
          <t>https://www.disco.com.ar/shampoo-head-shoulders-suave-y-manejable-375-ml-2/p</t>
        </is>
      </c>
    </row>
    <row r="2166">
      <c r="A2166" s="10" t="inlineStr">
        <is>
          <t>Disco</t>
        </is>
      </c>
      <c r="B2166" s="10" t="n">
        <v>310208</v>
      </c>
      <c r="C2166" s="10" t="n">
        <v>309446</v>
      </c>
      <c r="D2166" s="10" t="inlineStr">
        <is>
          <t>Dermo-acondicionador Head &amp; Shoulders Limpieza Renovadora 300 Ml</t>
        </is>
      </c>
      <c r="E2166" s="10" t="inlineStr">
        <is>
          <t>HEAD &amp; SHOULDERS</t>
        </is>
      </c>
      <c r="F2166" s="10" t="n">
        <v>456.47</v>
      </c>
      <c r="G2166" s="10" t="n">
        <v>37725</v>
      </c>
      <c r="H2166" s="10" t="b">
        <v>0</v>
      </c>
      <c r="I2166" s="10" t="n">
        <v>300</v>
      </c>
      <c r="J2166" s="10" t="n">
        <v>1.5216</v>
      </c>
      <c r="K2166" s="10" t="inlineStr">
        <is>
          <t>&gt; Perfumería &gt; Cuidado Capilar &gt; Acondicionador &gt;</t>
        </is>
      </c>
      <c r="L2166" s="10" t="inlineStr">
        <is>
          <t>acondicionador</t>
        </is>
      </c>
      <c r="M2166" s="10" t="inlineStr">
        <is>
          <t>estandar</t>
        </is>
      </c>
      <c r="N2166" s="10" t="inlineStr">
        <is>
          <t>general</t>
        </is>
      </c>
      <c r="O2166" s="10" t="inlineStr">
        <is>
          <t>https://www.disco.com.ar/dermo-acondicionador-head-shoulders-limpieza-renovadora-300-ml/p</t>
        </is>
      </c>
    </row>
    <row r="2167">
      <c r="A2167" t="inlineStr">
        <is>
          <t>Disco</t>
        </is>
      </c>
      <c r="B2167" t="n">
        <v>275471</v>
      </c>
      <c r="C2167" t="n">
        <v>274767</v>
      </c>
      <c r="D2167" t="inlineStr">
        <is>
          <t>Acondicionador Head &amp; Shoulders Suave Y Maneja 180 Ml</t>
        </is>
      </c>
      <c r="E2167" t="inlineStr">
        <is>
          <t>HEAD &amp; SHOULDERS</t>
        </is>
      </c>
      <c r="F2167" t="n">
        <v>118.99</v>
      </c>
      <c r="G2167" t="n">
        <v>9834</v>
      </c>
      <c r="H2167" t="b">
        <v>0</v>
      </c>
      <c r="I2167" t="n">
        <v>180</v>
      </c>
      <c r="J2167" t="n">
        <v>0.6611</v>
      </c>
      <c r="K2167" t="inlineStr">
        <is>
          <t>&gt; Perfumería &gt; Cuidado Capilar &gt; Acondicionador &gt;</t>
        </is>
      </c>
      <c r="L2167" t="inlineStr">
        <is>
          <t>acondicionador</t>
        </is>
      </c>
      <c r="M2167" t="inlineStr">
        <is>
          <t>estandar</t>
        </is>
      </c>
      <c r="N2167" t="inlineStr">
        <is>
          <t>bebe</t>
        </is>
      </c>
      <c r="O2167" t="inlineStr">
        <is>
          <t>https://www.disco.com.ar/acondicionador-head-shoulders-suave-y-maneja-180-ml/p</t>
        </is>
      </c>
    </row>
    <row r="2168">
      <c r="A2168" s="10" t="inlineStr">
        <is>
          <t>Disco</t>
        </is>
      </c>
      <c r="B2168" s="10" t="n">
        <v>275427</v>
      </c>
      <c r="C2168" s="10" t="n">
        <v>274723</v>
      </c>
      <c r="D2168" s="10" t="inlineStr">
        <is>
          <t>Shampoo Head &amp; Shoulders Men Previene Caida 375 Ml</t>
        </is>
      </c>
      <c r="E2168" s="10" t="inlineStr">
        <is>
          <t>HEAD &amp; SHOULDERS</t>
        </is>
      </c>
      <c r="F2168" s="10" t="n">
        <v>246.49</v>
      </c>
      <c r="G2168" s="10" t="n">
        <v>20371</v>
      </c>
      <c r="H2168" s="10" t="b">
        <v>0</v>
      </c>
      <c r="I2168" s="10" t="n">
        <v>375</v>
      </c>
      <c r="J2168" s="10" t="n">
        <v>0.6573</v>
      </c>
      <c r="K2168" s="10" t="inlineStr">
        <is>
          <t>&gt; Perfumería &gt; Cuidado Capilar &gt; Shampoo &gt;</t>
        </is>
      </c>
      <c r="L2168" s="10" t="inlineStr">
        <is>
          <t>shampoo</t>
        </is>
      </c>
      <c r="M2168" s="10" t="inlineStr">
        <is>
          <t>estandar</t>
        </is>
      </c>
      <c r="N2168" s="10" t="inlineStr">
        <is>
          <t>general</t>
        </is>
      </c>
      <c r="O2168" s="10" t="inlineStr">
        <is>
          <t>https://www.disco.com.ar/shampoo-head-shoulders-men-previene-caida-375-ml/p</t>
        </is>
      </c>
    </row>
    <row r="2169">
      <c r="A2169" t="inlineStr">
        <is>
          <t>Disco</t>
        </is>
      </c>
      <c r="B2169" t="n">
        <v>424001</v>
      </c>
      <c r="C2169" t="n">
        <v>417078</v>
      </c>
      <c r="D2169" t="inlineStr">
        <is>
          <t>Shampoo 3 En 1 650 Ml Head &amp; Shoulders</t>
        </is>
      </c>
      <c r="E2169" t="inlineStr">
        <is>
          <t>HEAD &amp; SHOULDERS</t>
        </is>
      </c>
      <c r="F2169" t="n">
        <v>18300</v>
      </c>
      <c r="G2169" t="n">
        <v>1512397</v>
      </c>
      <c r="H2169" t="b">
        <v>0</v>
      </c>
      <c r="I2169" t="n">
        <v>650</v>
      </c>
      <c r="J2169" t="n">
        <v>28.1538</v>
      </c>
      <c r="K2169" t="inlineStr">
        <is>
          <t>&gt; Perfumería &gt; Cuidado Capilar &gt; Shampoo &gt;</t>
        </is>
      </c>
      <c r="L2169" t="inlineStr">
        <is>
          <t>shampoo</t>
        </is>
      </c>
      <c r="M2169" t="inlineStr">
        <is>
          <t>estandar</t>
        </is>
      </c>
      <c r="N2169" t="inlineStr">
        <is>
          <t>general</t>
        </is>
      </c>
      <c r="O2169" t="inlineStr">
        <is>
          <t>https://www.disco.com.ar/shampoo-3-en-1-650-ml-head-shoulders-2/p</t>
        </is>
      </c>
    </row>
    <row r="2170">
      <c r="A2170" s="10" t="inlineStr">
        <is>
          <t>Disco</t>
        </is>
      </c>
      <c r="B2170" s="10" t="n">
        <v>337361</v>
      </c>
      <c r="C2170" s="10" t="n">
        <v>336464</v>
      </c>
      <c r="D2170" s="10" t="inlineStr">
        <is>
          <t>Shampoo Head &amp; Shoulders Suave Y Manejable 180 Ml</t>
        </is>
      </c>
      <c r="E2170" s="10" t="inlineStr">
        <is>
          <t>HEAD &amp; SHOULDERS</t>
        </is>
      </c>
      <c r="F2170" s="10" t="n">
        <v>549.59</v>
      </c>
      <c r="G2170" s="10" t="n">
        <v>45421</v>
      </c>
      <c r="H2170" s="10" t="b">
        <v>0</v>
      </c>
      <c r="I2170" s="10" t="n">
        <v>180</v>
      </c>
      <c r="J2170" s="10" t="n">
        <v>3.0533</v>
      </c>
      <c r="K2170" s="10" t="inlineStr">
        <is>
          <t>&gt; Perfumería &gt; Cuidado Capilar &gt; Shampoo &gt;</t>
        </is>
      </c>
      <c r="L2170" s="10" t="inlineStr">
        <is>
          <t>shampoo</t>
        </is>
      </c>
      <c r="M2170" s="10" t="inlineStr">
        <is>
          <t>estandar</t>
        </is>
      </c>
      <c r="N2170" s="10" t="inlineStr">
        <is>
          <t>bebe</t>
        </is>
      </c>
      <c r="O2170" s="10" t="inlineStr">
        <is>
          <t>https://www.disco.com.ar/shampoo-head-shoulders-suave-y-manejable-180-ml-2/p</t>
        </is>
      </c>
    </row>
    <row r="2171">
      <c r="A2171" t="inlineStr">
        <is>
          <t>Disco</t>
        </is>
      </c>
      <c r="B2171" t="n">
        <v>307416</v>
      </c>
      <c r="C2171" t="n">
        <v>306653</v>
      </c>
      <c r="D2171" t="inlineStr">
        <is>
          <t>Dermo Acondicionador Head &amp; Shoulders Protección Caída 150 Ml</t>
        </is>
      </c>
      <c r="E2171" t="inlineStr">
        <is>
          <t>HEAD &amp; SHOULDERS</t>
        </is>
      </c>
      <c r="F2171" t="n">
        <v>850</v>
      </c>
      <c r="G2171" t="n">
        <v>70248</v>
      </c>
      <c r="H2171" t="b">
        <v>0</v>
      </c>
      <c r="I2171" t="n">
        <v>150</v>
      </c>
      <c r="J2171" t="n">
        <v>5.6667</v>
      </c>
      <c r="K2171" t="inlineStr">
        <is>
          <t>&gt; Perfumería &gt; Cuidado Capilar &gt; Acondicionador &gt;</t>
        </is>
      </c>
      <c r="L2171" t="inlineStr">
        <is>
          <t>acondicionador</t>
        </is>
      </c>
      <c r="M2171" t="inlineStr">
        <is>
          <t>estandar</t>
        </is>
      </c>
      <c r="N2171" t="inlineStr">
        <is>
          <t>general</t>
        </is>
      </c>
      <c r="O2171" t="inlineStr">
        <is>
          <t>https://www.disco.com.ar/dermo-acondicionador-head-shoulders-proteccion-caida-150-ml/p</t>
        </is>
      </c>
    </row>
    <row r="2172">
      <c r="A2172" s="10" t="inlineStr">
        <is>
          <t>Disco</t>
        </is>
      </c>
      <c r="B2172" s="10" t="n">
        <v>275424</v>
      </c>
      <c r="C2172" s="10" t="n">
        <v>274720</v>
      </c>
      <c r="D2172" s="10" t="inlineStr">
        <is>
          <t>Shampoo 3 En 1 180 Ml Head &amp; Shoulders</t>
        </is>
      </c>
      <c r="E2172" s="10" t="inlineStr">
        <is>
          <t>HEAD &amp; SHOULDERS</t>
        </is>
      </c>
      <c r="F2172" s="10" t="n">
        <v>7250</v>
      </c>
      <c r="G2172" s="10" t="n">
        <v>599174</v>
      </c>
      <c r="H2172" s="10" t="b">
        <v>0</v>
      </c>
      <c r="I2172" s="10" t="n">
        <v>180</v>
      </c>
      <c r="J2172" s="10" t="n">
        <v>40.2778</v>
      </c>
      <c r="K2172" s="10" t="inlineStr">
        <is>
          <t>&gt; Perfumería &gt; Cuidado Capilar &gt; Shampoo &gt;</t>
        </is>
      </c>
      <c r="L2172" s="10" t="inlineStr">
        <is>
          <t>shampoo</t>
        </is>
      </c>
      <c r="M2172" s="10" t="inlineStr">
        <is>
          <t>estandar</t>
        </is>
      </c>
      <c r="N2172" s="10" t="inlineStr">
        <is>
          <t>general</t>
        </is>
      </c>
      <c r="O2172" s="10" t="inlineStr">
        <is>
          <t>https://www.disco.com.ar/shampoo-3-en-1-180-ml-head-shoulders-2/p</t>
        </is>
      </c>
    </row>
    <row r="2173">
      <c r="A2173" t="inlineStr">
        <is>
          <t>Disco</t>
        </is>
      </c>
      <c r="B2173" t="n">
        <v>275372</v>
      </c>
      <c r="C2173" t="n">
        <v>274668</v>
      </c>
      <c r="D2173" t="inlineStr">
        <is>
          <t>Shampoo Head &amp; Shoulders Suave Y Manejable 375 Ml</t>
        </is>
      </c>
      <c r="E2173" t="inlineStr">
        <is>
          <t>HEAD &amp; SHOULDERS</t>
        </is>
      </c>
      <c r="F2173" t="n">
        <v>253.89</v>
      </c>
      <c r="G2173" t="n">
        <v>20983</v>
      </c>
      <c r="H2173" t="b">
        <v>0</v>
      </c>
      <c r="I2173" t="n">
        <v>375</v>
      </c>
      <c r="J2173" t="n">
        <v>0.677</v>
      </c>
      <c r="K2173" t="inlineStr">
        <is>
          <t>&gt; Perfumería &gt; Cuidado Capilar &gt; Shampoo &gt;</t>
        </is>
      </c>
      <c r="L2173" t="inlineStr">
        <is>
          <t>shampoo</t>
        </is>
      </c>
      <c r="M2173" t="inlineStr">
        <is>
          <t>estandar</t>
        </is>
      </c>
      <c r="N2173" t="inlineStr">
        <is>
          <t>bebe</t>
        </is>
      </c>
      <c r="O2173" t="inlineStr">
        <is>
          <t>https://www.disco.com.ar/shampoo-head-shoulders-suave-y-manejable-375-ml/p</t>
        </is>
      </c>
    </row>
    <row r="2174">
      <c r="A2174" s="10" t="inlineStr">
        <is>
          <t>Disco</t>
        </is>
      </c>
      <c r="B2174" s="10" t="n">
        <v>310207</v>
      </c>
      <c r="C2174" s="10" t="n">
        <v>309445</v>
      </c>
      <c r="D2174" s="10" t="inlineStr">
        <is>
          <t>Acondicionador Head &amp; Shoulders Hidratación Aceite De Coco 150 Ml</t>
        </is>
      </c>
      <c r="E2174" s="10" t="inlineStr">
        <is>
          <t>HEAD &amp; SHOULDERS</t>
        </is>
      </c>
      <c r="F2174" s="10" t="n">
        <v>387.67</v>
      </c>
      <c r="G2174" s="10" t="n">
        <v>32039</v>
      </c>
      <c r="H2174" s="10" t="b">
        <v>0</v>
      </c>
      <c r="I2174" s="10" t="n">
        <v>150</v>
      </c>
      <c r="J2174" s="10" t="n">
        <v>2.5845</v>
      </c>
      <c r="K2174" s="10" t="inlineStr">
        <is>
          <t>&gt; Perfumería &gt; Cuidado Capilar &gt; Acondicionador &gt;</t>
        </is>
      </c>
      <c r="L2174" s="10" t="inlineStr">
        <is>
          <t>acondicionador</t>
        </is>
      </c>
      <c r="M2174" s="10" t="inlineStr">
        <is>
          <t>estandar</t>
        </is>
      </c>
      <c r="N2174" s="10" t="inlineStr">
        <is>
          <t>seco_danado</t>
        </is>
      </c>
      <c r="O2174" s="10" t="inlineStr">
        <is>
          <t>https://www.disco.com.ar/acondicionador-head-shoulders-hidratacion-aceite-de-coco-150-ml/p</t>
        </is>
      </c>
    </row>
    <row r="2175">
      <c r="A2175" t="inlineStr">
        <is>
          <t>Disco</t>
        </is>
      </c>
      <c r="B2175" t="n">
        <v>310202</v>
      </c>
      <c r="C2175" t="n">
        <v>309440</v>
      </c>
      <c r="D2175" t="inlineStr">
        <is>
          <t>Shampoo Head &amp; Shoulders Hidratación Aceite De Coco 700 Ml</t>
        </is>
      </c>
      <c r="E2175" t="inlineStr">
        <is>
          <t>HEAD &amp; SHOULDERS</t>
        </is>
      </c>
      <c r="F2175" t="n">
        <v>616.89</v>
      </c>
      <c r="G2175" t="n">
        <v>50983</v>
      </c>
      <c r="H2175" t="b">
        <v>0</v>
      </c>
      <c r="I2175" t="n">
        <v>700</v>
      </c>
      <c r="J2175" t="n">
        <v>0.8813</v>
      </c>
      <c r="K2175" t="inlineStr">
        <is>
          <t>&gt; Perfumería &gt; Cuidado Capilar &gt; Shampoo &gt;</t>
        </is>
      </c>
      <c r="L2175" t="inlineStr">
        <is>
          <t>shampoo</t>
        </is>
      </c>
      <c r="M2175" t="inlineStr">
        <is>
          <t>estandar</t>
        </is>
      </c>
      <c r="N2175" t="inlineStr">
        <is>
          <t>seco_danado</t>
        </is>
      </c>
      <c r="O2175" t="inlineStr">
        <is>
          <t>https://www.disco.com.ar/shampoo-head-shoulders-hidratacion-aceite-de-coco-700-ml/p</t>
        </is>
      </c>
    </row>
    <row r="2176">
      <c r="A2176" s="10" t="inlineStr">
        <is>
          <t>Disco</t>
        </is>
      </c>
      <c r="B2176" s="10" t="n">
        <v>307454</v>
      </c>
      <c r="C2176" s="10" t="n">
        <v>306691</v>
      </c>
      <c r="D2176" s="10" t="inlineStr">
        <is>
          <t>Dermo Acondicionador Head &amp; Shoulders Manzana Fresh 150 Ml</t>
        </is>
      </c>
      <c r="E2176" s="10" t="inlineStr">
        <is>
          <t>HEAD &amp; SHOULDERS</t>
        </is>
      </c>
      <c r="F2176" s="10" t="n">
        <v>387.67</v>
      </c>
      <c r="G2176" s="10" t="n">
        <v>32039</v>
      </c>
      <c r="H2176" s="10" t="b">
        <v>0</v>
      </c>
      <c r="I2176" s="10" t="n">
        <v>150</v>
      </c>
      <c r="J2176" s="10" t="n">
        <v>2.5845</v>
      </c>
      <c r="K2176" s="10" t="inlineStr">
        <is>
          <t>&gt; Perfumería &gt; Cuidado Capilar &gt; Acondicionador &gt;</t>
        </is>
      </c>
      <c r="L2176" s="10" t="inlineStr">
        <is>
          <t>acondicionador</t>
        </is>
      </c>
      <c r="M2176" s="10" t="inlineStr">
        <is>
          <t>estandar</t>
        </is>
      </c>
      <c r="N2176" s="10" t="inlineStr">
        <is>
          <t>general</t>
        </is>
      </c>
      <c r="O2176" s="10" t="inlineStr">
        <is>
          <t>https://www.disco.com.ar/dermo-acondicionador-head-shoulders-manzana-fresh-150-ml/p</t>
        </is>
      </c>
    </row>
    <row r="2177">
      <c r="A2177" t="inlineStr">
        <is>
          <t>Disco</t>
        </is>
      </c>
      <c r="B2177" t="n">
        <v>275366</v>
      </c>
      <c r="C2177" t="n">
        <v>274662</v>
      </c>
      <c r="D2177" t="inlineStr">
        <is>
          <t>Shampoo Head &amp; Shoulders Suave Y Manejable 180 Ml</t>
        </is>
      </c>
      <c r="E2177" t="inlineStr">
        <is>
          <t>HEAD &amp; SHOULDERS</t>
        </is>
      </c>
      <c r="F2177" t="n">
        <v>157.35</v>
      </c>
      <c r="G2177" t="n">
        <v>13004</v>
      </c>
      <c r="H2177" t="b">
        <v>0</v>
      </c>
      <c r="I2177" t="n">
        <v>180</v>
      </c>
      <c r="J2177" t="n">
        <v>0.8742</v>
      </c>
      <c r="K2177" t="inlineStr">
        <is>
          <t>&gt; Perfumería &gt; Cuidado Capilar &gt; Shampoo &gt;</t>
        </is>
      </c>
      <c r="L2177" t="inlineStr">
        <is>
          <t>shampoo</t>
        </is>
      </c>
      <c r="M2177" t="inlineStr">
        <is>
          <t>estandar</t>
        </is>
      </c>
      <c r="N2177" t="inlineStr">
        <is>
          <t>bebe</t>
        </is>
      </c>
      <c r="O2177" t="inlineStr">
        <is>
          <t>https://www.disco.com.ar/shampoo-head-shoulders-suave-y-manejable-180-ml/p</t>
        </is>
      </c>
    </row>
    <row r="2178">
      <c r="A2178" s="10" t="inlineStr">
        <is>
          <t>Disco</t>
        </is>
      </c>
      <c r="B2178" s="10" t="n">
        <v>275362</v>
      </c>
      <c r="C2178" s="10" t="n">
        <v>274658</v>
      </c>
      <c r="D2178" s="10" t="inlineStr">
        <is>
          <t>Acondicionador Head &amp; Shoulders Suave Y Maneja 375 Ml</t>
        </is>
      </c>
      <c r="E2178" s="10" t="inlineStr">
        <is>
          <t>HEAD &amp; SHOULDERS</t>
        </is>
      </c>
      <c r="F2178" s="10" t="n">
        <v>208.19</v>
      </c>
      <c r="G2178" s="10" t="n">
        <v>17206</v>
      </c>
      <c r="H2178" s="10" t="b">
        <v>0</v>
      </c>
      <c r="I2178" s="10" t="n">
        <v>375</v>
      </c>
      <c r="J2178" s="10" t="n">
        <v>0.5552</v>
      </c>
      <c r="K2178" s="10" t="inlineStr">
        <is>
          <t>&gt; Perfumería &gt; Cuidado Capilar &gt; Acondicionador &gt;</t>
        </is>
      </c>
      <c r="L2178" s="10" t="inlineStr">
        <is>
          <t>acondicionador</t>
        </is>
      </c>
      <c r="M2178" s="10" t="inlineStr">
        <is>
          <t>estandar</t>
        </is>
      </c>
      <c r="N2178" s="10" t="inlineStr">
        <is>
          <t>bebe</t>
        </is>
      </c>
      <c r="O2178" s="10" t="inlineStr">
        <is>
          <t>https://www.disco.com.ar/acondicionador-head-shoulders-suave-y-maneja-375-ml/p</t>
        </is>
      </c>
    </row>
    <row r="2179">
      <c r="A2179" t="inlineStr">
        <is>
          <t>Disco</t>
        </is>
      </c>
      <c r="B2179" t="n">
        <v>391944</v>
      </c>
      <c r="C2179" t="n">
        <v>389996</v>
      </c>
      <c r="D2179" t="inlineStr">
        <is>
          <t>Shampoo Head &amp; Shoulders Aceite De Argán Control Caspa 700 Ml</t>
        </is>
      </c>
      <c r="E2179" t="inlineStr">
        <is>
          <t>HEAD &amp; SHOULDERS</t>
        </is>
      </c>
      <c r="F2179" t="n">
        <v>17550</v>
      </c>
      <c r="G2179" t="n">
        <v>1450413</v>
      </c>
      <c r="H2179" t="b">
        <v>0</v>
      </c>
      <c r="I2179" t="n">
        <v>700</v>
      </c>
      <c r="J2179" t="n">
        <v>25.0714</v>
      </c>
      <c r="K2179" t="inlineStr">
        <is>
          <t>&gt; Perfumería &gt; Cuidado Capilar &gt; Shampoo &gt;</t>
        </is>
      </c>
      <c r="L2179" t="inlineStr">
        <is>
          <t>shampoo</t>
        </is>
      </c>
      <c r="M2179" t="inlineStr">
        <is>
          <t>estandar</t>
        </is>
      </c>
      <c r="N2179" t="inlineStr">
        <is>
          <t>anticaspa</t>
        </is>
      </c>
      <c r="O2179" t="inlineStr">
        <is>
          <t>https://www.disco.com.ar/shampoo-head-shoulders-aceite-de-argan-control-caspa-700-ml/p</t>
        </is>
      </c>
    </row>
    <row r="2180">
      <c r="A2180" s="10" t="inlineStr">
        <is>
          <t>Disco</t>
        </is>
      </c>
      <c r="B2180" s="10" t="n">
        <v>337360</v>
      </c>
      <c r="C2180" s="10" t="n">
        <v>336463</v>
      </c>
      <c r="D2180" s="10" t="inlineStr">
        <is>
          <t>Shampoo Head &amp; Shoulders Protección Caída Con Cafeína 700 Ml</t>
        </is>
      </c>
      <c r="E2180" s="10" t="inlineStr">
        <is>
          <t>HEAD &amp; SHOULDERS</t>
        </is>
      </c>
      <c r="F2180" s="10" t="n">
        <v>1363.99</v>
      </c>
      <c r="G2180" s="10" t="n">
        <v>112726</v>
      </c>
      <c r="H2180" s="10" t="b">
        <v>0</v>
      </c>
      <c r="I2180" s="10" t="n">
        <v>700</v>
      </c>
      <c r="J2180" s="10" t="n">
        <v>1.9486</v>
      </c>
      <c r="K2180" s="10" t="inlineStr">
        <is>
          <t>&gt; Perfumería &gt; Cuidado Capilar &gt; Shampoo &gt;</t>
        </is>
      </c>
      <c r="L2180" s="10" t="inlineStr">
        <is>
          <t>shampoo</t>
        </is>
      </c>
      <c r="M2180" s="10" t="inlineStr">
        <is>
          <t>estandar</t>
        </is>
      </c>
      <c r="N2180" s="10" t="inlineStr">
        <is>
          <t>general</t>
        </is>
      </c>
      <c r="O2180" s="10" t="inlineStr">
        <is>
          <t>https://www.disco.com.ar/shampoo-head-shoulders-proteccion-caida-con-cafeina-700-ml/p</t>
        </is>
      </c>
    </row>
    <row r="2181">
      <c r="A2181" t="inlineStr">
        <is>
          <t>Disco</t>
        </is>
      </c>
      <c r="B2181" t="n">
        <v>332648</v>
      </c>
      <c r="C2181" t="n">
        <v>331803</v>
      </c>
      <c r="D2181" t="inlineStr">
        <is>
          <t>Shampoo Head &amp; Shoulders Crece Fuerte Desde La Raíz 700 Ml</t>
        </is>
      </c>
      <c r="E2181" t="inlineStr">
        <is>
          <t>HEAD &amp; SHOULDERS</t>
        </is>
      </c>
      <c r="F2181" t="n">
        <v>1136.69</v>
      </c>
      <c r="G2181" t="n">
        <v>93941</v>
      </c>
      <c r="H2181" t="b">
        <v>0</v>
      </c>
      <c r="I2181" t="n">
        <v>700</v>
      </c>
      <c r="J2181" t="n">
        <v>1.6238</v>
      </c>
      <c r="K2181" t="inlineStr">
        <is>
          <t>&gt; Perfumería &gt; Cuidado Capilar &gt; Shampoo &gt;</t>
        </is>
      </c>
      <c r="L2181" t="inlineStr">
        <is>
          <t>shampoo</t>
        </is>
      </c>
      <c r="M2181" t="inlineStr">
        <is>
          <t>estandar</t>
        </is>
      </c>
      <c r="N2181" t="inlineStr">
        <is>
          <t>general</t>
        </is>
      </c>
      <c r="O2181" t="inlineStr">
        <is>
          <t>https://www.disco.com.ar/shampoo-head-shoulders-crece-fuerte-desde-la-raiz-700-ml/p</t>
        </is>
      </c>
    </row>
    <row r="2182">
      <c r="A2182" s="10" t="inlineStr">
        <is>
          <t>Disco</t>
        </is>
      </c>
      <c r="B2182" s="10" t="n">
        <v>307405</v>
      </c>
      <c r="C2182" s="10" t="n">
        <v>306642</v>
      </c>
      <c r="D2182" s="10" t="inlineStr">
        <is>
          <t>Dermo Acondicionador Head &amp; Shoulders Suave Y Manejable 300 Ml</t>
        </is>
      </c>
      <c r="E2182" s="10" t="inlineStr">
        <is>
          <t>HEAD &amp; SHOULDERS</t>
        </is>
      </c>
      <c r="F2182" s="10" t="n">
        <v>7800</v>
      </c>
      <c r="G2182" s="10" t="n">
        <v>644628</v>
      </c>
      <c r="H2182" s="10" t="b">
        <v>0</v>
      </c>
      <c r="I2182" s="10" t="n">
        <v>300</v>
      </c>
      <c r="J2182" s="10" t="n">
        <v>26</v>
      </c>
      <c r="K2182" s="10" t="inlineStr">
        <is>
          <t>&gt; Perfumería &gt; Cuidado Capilar &gt; Acondicionador &gt;</t>
        </is>
      </c>
      <c r="L2182" s="10" t="inlineStr">
        <is>
          <t>acondicionador</t>
        </is>
      </c>
      <c r="M2182" s="10" t="inlineStr">
        <is>
          <t>estandar</t>
        </is>
      </c>
      <c r="N2182" s="10" t="inlineStr">
        <is>
          <t>bebe</t>
        </is>
      </c>
      <c r="O2182" s="10" t="inlineStr">
        <is>
          <t>https://www.disco.com.ar/dermo-acondicionador-head-shoulders-suave-y-manejable-300-ml/p</t>
        </is>
      </c>
    </row>
    <row r="2183">
      <c r="A2183" t="inlineStr">
        <is>
          <t>Disco</t>
        </is>
      </c>
      <c r="B2183" t="n">
        <v>386614</v>
      </c>
      <c r="C2183" t="n">
        <v>384893</v>
      </c>
      <c r="D2183" t="inlineStr">
        <is>
          <t>Shampoo Head And Shoulders Men 3 En 1 700 Ml</t>
        </is>
      </c>
      <c r="E2183" t="inlineStr">
        <is>
          <t>HEAD &amp; SHOULDERS</t>
        </is>
      </c>
      <c r="F2183" t="n">
        <v>12258.99</v>
      </c>
      <c r="G2183" t="n">
        <v>1013140</v>
      </c>
      <c r="H2183" t="b">
        <v>0</v>
      </c>
      <c r="I2183" t="n">
        <v>700</v>
      </c>
      <c r="J2183" t="n">
        <v>17.5128</v>
      </c>
      <c r="K2183" t="inlineStr">
        <is>
          <t>&gt; Perfumería &gt; Cuidado Capilar &gt; Shampoo &gt;</t>
        </is>
      </c>
      <c r="L2183" t="inlineStr">
        <is>
          <t>shampoo</t>
        </is>
      </c>
      <c r="M2183" t="inlineStr">
        <is>
          <t>estandar</t>
        </is>
      </c>
      <c r="N2183" t="inlineStr">
        <is>
          <t>general</t>
        </is>
      </c>
      <c r="O2183" t="inlineStr">
        <is>
          <t>https://www.disco.com.ar/shampoo-head-and-shoulders-men-3-en-1-700-ml/p</t>
        </is>
      </c>
    </row>
    <row r="2184">
      <c r="A2184" s="10" t="inlineStr">
        <is>
          <t>Disco</t>
        </is>
      </c>
      <c r="B2184" s="10" t="n">
        <v>341811</v>
      </c>
      <c r="C2184" s="10" t="n">
        <v>340498</v>
      </c>
      <c r="D2184" s="10" t="inlineStr">
        <is>
          <t>Shampoo Anti-Caspa Dermo Sensitive 180 Ml Head y Shoulders</t>
        </is>
      </c>
      <c r="E2184" s="10" t="inlineStr">
        <is>
          <t>HEAD &amp; SHOULDERS</t>
        </is>
      </c>
      <c r="F2184" s="10" t="n">
        <v>7050</v>
      </c>
      <c r="G2184" s="10" t="n">
        <v>582645</v>
      </c>
      <c r="H2184" s="10" t="b">
        <v>0</v>
      </c>
      <c r="I2184" s="10" t="n">
        <v>180</v>
      </c>
      <c r="J2184" s="10" t="n">
        <v>39.1667</v>
      </c>
      <c r="K2184" s="10" t="inlineStr">
        <is>
          <t>&gt; Perfumería &gt; Cuidado Capilar &gt; Shampoo &gt;</t>
        </is>
      </c>
      <c r="L2184" s="10" t="inlineStr">
        <is>
          <t>shampoo</t>
        </is>
      </c>
      <c r="M2184" s="10" t="inlineStr">
        <is>
          <t>estandar</t>
        </is>
      </c>
      <c r="N2184" s="10" t="inlineStr">
        <is>
          <t>anticaspa</t>
        </is>
      </c>
      <c r="O2184" s="10" t="inlineStr">
        <is>
          <t>https://www.disco.com.ar/shampoo-sensitive-180-ml-head-shoulders-2/p</t>
        </is>
      </c>
    </row>
    <row r="2185">
      <c r="A2185" t="inlineStr">
        <is>
          <t>Disco</t>
        </is>
      </c>
      <c r="B2185" t="n">
        <v>331399</v>
      </c>
      <c r="C2185" t="n">
        <v>330571</v>
      </c>
      <c r="D2185" t="inlineStr">
        <is>
          <t>Acondicionador Anti-Caspa Crece Fuerte 300 Ml Head y Shoulders</t>
        </is>
      </c>
      <c r="E2185" t="inlineStr">
        <is>
          <t>HEAD &amp; SHOULDERS</t>
        </is>
      </c>
      <c r="F2185" t="n">
        <v>10900</v>
      </c>
      <c r="G2185" t="n">
        <v>900826</v>
      </c>
      <c r="H2185" t="b">
        <v>0</v>
      </c>
      <c r="I2185" t="n">
        <v>300</v>
      </c>
      <c r="J2185" t="n">
        <v>36.3333</v>
      </c>
      <c r="K2185" t="inlineStr">
        <is>
          <t>&gt; Perfumería &gt; Cuidado Capilar &gt; Acondicionador &gt;</t>
        </is>
      </c>
      <c r="L2185" t="inlineStr">
        <is>
          <t>acondicionador</t>
        </is>
      </c>
      <c r="M2185" t="inlineStr">
        <is>
          <t>estandar</t>
        </is>
      </c>
      <c r="N2185" t="inlineStr">
        <is>
          <t>anticaspa</t>
        </is>
      </c>
      <c r="O2185" t="inlineStr">
        <is>
          <t>https://www.disco.com.ar/acondicionador-crece-fuerte-300-ml-head-shoulders/p</t>
        </is>
      </c>
    </row>
    <row r="2186">
      <c r="A2186" s="10" t="inlineStr">
        <is>
          <t>Disco</t>
        </is>
      </c>
      <c r="B2186" s="10" t="n">
        <v>307404</v>
      </c>
      <c r="C2186" s="10" t="n">
        <v>306641</v>
      </c>
      <c r="D2186" s="10" t="inlineStr">
        <is>
          <t>Dermo Acondicionador Head &amp; Shoulders Suave Y Manejable 150 Ml</t>
        </is>
      </c>
      <c r="E2186" s="10" t="inlineStr">
        <is>
          <t>HEAD &amp; SHOULDERS</t>
        </is>
      </c>
      <c r="F2186" s="10" t="n">
        <v>520.97</v>
      </c>
      <c r="G2186" s="10" t="n">
        <v>43055</v>
      </c>
      <c r="H2186" s="10" t="b">
        <v>0</v>
      </c>
      <c r="I2186" s="10" t="n">
        <v>150</v>
      </c>
      <c r="J2186" s="10" t="n">
        <v>3.4731</v>
      </c>
      <c r="K2186" s="10" t="inlineStr">
        <is>
          <t>&gt; Perfumería &gt; Cuidado Capilar &gt; Acondicionador &gt;</t>
        </is>
      </c>
      <c r="L2186" s="10" t="inlineStr">
        <is>
          <t>acondicionador</t>
        </is>
      </c>
      <c r="M2186" s="10" t="inlineStr">
        <is>
          <t>estandar</t>
        </is>
      </c>
      <c r="N2186" s="10" t="inlineStr">
        <is>
          <t>bebe</t>
        </is>
      </c>
      <c r="O2186" s="10" t="inlineStr">
        <is>
          <t>https://www.disco.com.ar/dermo-acondicionador-head-shoulders-suave-y-manejable-150-ml/p</t>
        </is>
      </c>
    </row>
    <row r="2187">
      <c r="A2187" t="inlineStr">
        <is>
          <t>Disco</t>
        </is>
      </c>
      <c r="B2187" t="n">
        <v>295012</v>
      </c>
      <c r="C2187" t="n">
        <v>294242</v>
      </c>
      <c r="D2187" t="inlineStr">
        <is>
          <t>Shampoo Anti Caspa con Carbón 180 Ml Head y Shoulders</t>
        </is>
      </c>
      <c r="E2187" t="inlineStr">
        <is>
          <t>HEAD &amp; SHOULDERS</t>
        </is>
      </c>
      <c r="F2187" t="n">
        <v>7050</v>
      </c>
      <c r="G2187" t="n">
        <v>582645</v>
      </c>
      <c r="H2187" t="b">
        <v>0</v>
      </c>
      <c r="I2187" t="n">
        <v>180</v>
      </c>
      <c r="J2187" t="n">
        <v>39.1667</v>
      </c>
      <c r="K2187" t="inlineStr">
        <is>
          <t>&gt; Perfumería &gt; Cuidado Capilar &gt; Shampoo &gt;</t>
        </is>
      </c>
      <c r="L2187" t="inlineStr">
        <is>
          <t>shampoo</t>
        </is>
      </c>
      <c r="M2187" t="inlineStr">
        <is>
          <t>estandar</t>
        </is>
      </c>
      <c r="N2187" t="inlineStr">
        <is>
          <t>anticaspa</t>
        </is>
      </c>
      <c r="O2187" t="inlineStr">
        <is>
          <t>https://www.disco.com.ar/shampoo-charcoal-180-ml-head-shoulders-2/p</t>
        </is>
      </c>
    </row>
    <row r="2188">
      <c r="A2188" s="10" t="inlineStr">
        <is>
          <t>Disco</t>
        </is>
      </c>
      <c r="B2188" s="10" t="n">
        <v>386623</v>
      </c>
      <c r="C2188" s="10" t="n">
        <v>384902</v>
      </c>
      <c r="D2188" s="10" t="inlineStr">
        <is>
          <t>Shampoo Head And Shoulders Men 3 En 1 180 Ml</t>
        </is>
      </c>
      <c r="E2188" s="10" t="inlineStr">
        <is>
          <t>HEAD &amp; SHOULDERS</t>
        </is>
      </c>
      <c r="F2188" s="10" t="n">
        <v>5050</v>
      </c>
      <c r="G2188" s="10" t="n">
        <v>417355</v>
      </c>
      <c r="H2188" s="10" t="b">
        <v>0</v>
      </c>
      <c r="I2188" s="10" t="n">
        <v>180</v>
      </c>
      <c r="J2188" s="10" t="n">
        <v>28.0556</v>
      </c>
      <c r="K2188" s="10" t="inlineStr">
        <is>
          <t>&gt; Perfumería &gt; Cuidado Capilar &gt; Shampoo &gt;</t>
        </is>
      </c>
      <c r="L2188" s="10" t="inlineStr">
        <is>
          <t>shampoo</t>
        </is>
      </c>
      <c r="M2188" s="10" t="inlineStr">
        <is>
          <t>estandar</t>
        </is>
      </c>
      <c r="N2188" s="10" t="inlineStr">
        <is>
          <t>general</t>
        </is>
      </c>
      <c r="O2188" s="10" t="inlineStr">
        <is>
          <t>https://www.disco.com.ar/shampoo-head-and-shoulders-men-3-en-1-180-ml/p</t>
        </is>
      </c>
    </row>
    <row r="2189">
      <c r="A2189" t="inlineStr">
        <is>
          <t>Disco</t>
        </is>
      </c>
      <c r="B2189" t="n">
        <v>115892</v>
      </c>
      <c r="C2189" t="n">
        <v>114937</v>
      </c>
      <c r="D2189" t="inlineStr">
        <is>
          <t>Shampoo Head &amp; Shoulders X700ml Sensitive  Pvc 700 Ml.</t>
        </is>
      </c>
      <c r="E2189" t="inlineStr">
        <is>
          <t>HEAD &amp; SHOULDERS</t>
        </is>
      </c>
      <c r="F2189" t="n">
        <v>38.35</v>
      </c>
      <c r="G2189" t="n">
        <v>38.35</v>
      </c>
      <c r="H2189" t="b">
        <v>0</v>
      </c>
      <c r="I2189" t="n">
        <v>700</v>
      </c>
      <c r="J2189" t="n">
        <v>0.0548</v>
      </c>
      <c r="K2189" t="inlineStr">
        <is>
          <t>&gt; Perfumería &gt; Cuidado Capilar &gt; Shampoo &gt;</t>
        </is>
      </c>
      <c r="L2189" t="inlineStr">
        <is>
          <t>shampoo</t>
        </is>
      </c>
      <c r="M2189" t="inlineStr">
        <is>
          <t>estandar</t>
        </is>
      </c>
      <c r="N2189" t="inlineStr">
        <is>
          <t>general</t>
        </is>
      </c>
      <c r="O2189" t="inlineStr">
        <is>
          <t>https://www.disco.com.ar/shampoo-head-shoulders-x700ml-sensitive-pvc-700-ml/p</t>
        </is>
      </c>
    </row>
    <row r="2190">
      <c r="A2190" s="10" t="inlineStr">
        <is>
          <t>Disco</t>
        </is>
      </c>
      <c r="B2190" s="10" t="n">
        <v>423999</v>
      </c>
      <c r="C2190" s="10" t="n">
        <v>417076</v>
      </c>
      <c r="D2190" s="10" t="inlineStr">
        <is>
          <t>Shampoo Dermo Sensitive con Aloe Vera 650 Ml Head y Shoulders</t>
        </is>
      </c>
      <c r="E2190" s="10" t="inlineStr">
        <is>
          <t>HEAD &amp; SHOULDERS</t>
        </is>
      </c>
      <c r="F2190" s="10" t="n">
        <v>18300</v>
      </c>
      <c r="G2190" s="10" t="n">
        <v>1512397</v>
      </c>
      <c r="H2190" s="10" t="b">
        <v>0</v>
      </c>
      <c r="I2190" s="10" t="n">
        <v>650</v>
      </c>
      <c r="J2190" s="10" t="n">
        <v>28.1538</v>
      </c>
      <c r="K2190" s="10" t="inlineStr">
        <is>
          <t>&gt; Perfumería &gt; Cuidado Capilar &gt; Shampoo &gt;</t>
        </is>
      </c>
      <c r="L2190" s="10" t="inlineStr">
        <is>
          <t>shampoo</t>
        </is>
      </c>
      <c r="M2190" s="10" t="inlineStr">
        <is>
          <t>estandar</t>
        </is>
      </c>
      <c r="N2190" s="10" t="inlineStr">
        <is>
          <t>general</t>
        </is>
      </c>
      <c r="O2190" s="10" t="inlineStr">
        <is>
          <t>https://www.disco.com.ar/shampoo-sensitive-650-ml-head-shoulders-2/p</t>
        </is>
      </c>
    </row>
    <row r="2191">
      <c r="A2191" t="inlineStr">
        <is>
          <t>Disco</t>
        </is>
      </c>
      <c r="B2191" t="n">
        <v>310205</v>
      </c>
      <c r="C2191" t="n">
        <v>309443</v>
      </c>
      <c r="D2191" t="inlineStr">
        <is>
          <t>Crema Para Peinar Head &amp; Shoulders Hidratación Aceite De Coco 300 Ml</t>
        </is>
      </c>
      <c r="E2191" t="inlineStr">
        <is>
          <t>Tio Nacho</t>
        </is>
      </c>
      <c r="F2191" t="n">
        <v>642.95</v>
      </c>
      <c r="G2191" t="n">
        <v>53136</v>
      </c>
      <c r="H2191" t="b">
        <v>0</v>
      </c>
      <c r="I2191" t="n">
        <v>300</v>
      </c>
      <c r="J2191" t="n">
        <v>2.1432</v>
      </c>
      <c r="K2191" t="inlineStr">
        <is>
          <t>&gt; Perfumería &gt; Cuidado Capilar &gt; Reparación y Tratamientos &gt;</t>
        </is>
      </c>
      <c r="L2191" t="inlineStr">
        <is>
          <t>shampoo</t>
        </is>
      </c>
      <c r="M2191" t="inlineStr">
        <is>
          <t>estandar</t>
        </is>
      </c>
      <c r="N2191" t="inlineStr">
        <is>
          <t>seco_danado</t>
        </is>
      </c>
      <c r="O2191" t="inlineStr">
        <is>
          <t>https://www.disco.com.ar/crema-para-peinar-head-shoulders-hidratacion-aceite-de-coco-300-ml/p</t>
        </is>
      </c>
    </row>
    <row r="2192">
      <c r="A2192" s="10" t="inlineStr">
        <is>
          <t>Disco</t>
        </is>
      </c>
      <c r="B2192" s="10" t="n">
        <v>310206</v>
      </c>
      <c r="C2192" s="10" t="n">
        <v>309444</v>
      </c>
      <c r="D2192" s="10" t="inlineStr">
        <is>
          <t>Acondicionador Anti Caspa Hidratación Aceite de Coco 300 Ml Head y Shoulders</t>
        </is>
      </c>
      <c r="E2192" s="10" t="inlineStr">
        <is>
          <t>HEAD &amp; SHOULDERS</t>
        </is>
      </c>
      <c r="F2192" s="10" t="n">
        <v>10900</v>
      </c>
      <c r="G2192" s="10" t="n">
        <v>900826</v>
      </c>
      <c r="H2192" s="10" t="b">
        <v>0</v>
      </c>
      <c r="I2192" s="10" t="n">
        <v>300</v>
      </c>
      <c r="J2192" s="10" t="n">
        <v>36.3333</v>
      </c>
      <c r="K2192" s="10" t="inlineStr">
        <is>
          <t>&gt; Perfumería &gt; Cuidado Capilar &gt; Acondicionador &gt;</t>
        </is>
      </c>
      <c r="L2192" s="10" t="inlineStr">
        <is>
          <t>acondicionador</t>
        </is>
      </c>
      <c r="M2192" s="10" t="inlineStr">
        <is>
          <t>estandar</t>
        </is>
      </c>
      <c r="N2192" s="10" t="inlineStr">
        <is>
          <t>anticaspa</t>
        </is>
      </c>
      <c r="O2192" s="10" t="inlineStr">
        <is>
          <t>https://www.disco.com.ar/acondicionador-hidratacion-aceite-de-coco-300-ml-head-shoulders/p</t>
        </is>
      </c>
    </row>
    <row r="2193">
      <c r="A2193" t="inlineStr">
        <is>
          <t>Disco</t>
        </is>
      </c>
      <c r="B2193" t="n">
        <v>424004</v>
      </c>
      <c r="C2193" t="n">
        <v>417081</v>
      </c>
      <c r="D2193" t="inlineStr">
        <is>
          <t>Shampoo Anti-Caspa Hidratación Aceite de Coco 650 Ml Head y Shoulders</t>
        </is>
      </c>
      <c r="E2193" t="inlineStr">
        <is>
          <t>HEAD &amp; SHOULDERS</t>
        </is>
      </c>
      <c r="F2193" t="n">
        <v>18300</v>
      </c>
      <c r="G2193" t="n">
        <v>1512397</v>
      </c>
      <c r="H2193" t="b">
        <v>0</v>
      </c>
      <c r="I2193" t="n">
        <v>650</v>
      </c>
      <c r="J2193" t="n">
        <v>28.1538</v>
      </c>
      <c r="K2193" t="inlineStr">
        <is>
          <t>&gt; Perfumería &gt; Cuidado Capilar &gt; Shampoo &gt;</t>
        </is>
      </c>
      <c r="L2193" t="inlineStr">
        <is>
          <t>shampoo</t>
        </is>
      </c>
      <c r="M2193" t="inlineStr">
        <is>
          <t>estandar</t>
        </is>
      </c>
      <c r="N2193" t="inlineStr">
        <is>
          <t>anticaspa</t>
        </is>
      </c>
      <c r="O2193" t="inlineStr">
        <is>
          <t>https://www.disco.com.ar/shampoo-coconut-650-ml-head-shoulders-2/p</t>
        </is>
      </c>
    </row>
    <row r="2194">
      <c r="A2194" s="10" t="inlineStr">
        <is>
          <t>Disco</t>
        </is>
      </c>
      <c r="B2194" s="10" t="n">
        <v>307406</v>
      </c>
      <c r="C2194" s="10" t="n">
        <v>306643</v>
      </c>
      <c r="D2194" s="10" t="inlineStr">
        <is>
          <t>Dermo Acondicionador Head &amp; Shoulders Purificación Capilar Carbón Activado 300 Ml</t>
        </is>
      </c>
      <c r="E2194" s="10" t="inlineStr">
        <is>
          <t>HEAD &amp; SHOULDERS</t>
        </is>
      </c>
      <c r="F2194" s="10" t="n">
        <v>625.29</v>
      </c>
      <c r="G2194" s="10" t="n">
        <v>51677</v>
      </c>
      <c r="H2194" s="10" t="b">
        <v>0</v>
      </c>
      <c r="I2194" s="10" t="n">
        <v>300</v>
      </c>
      <c r="J2194" s="10" t="n">
        <v>2.0843</v>
      </c>
      <c r="K2194" s="10" t="inlineStr">
        <is>
          <t>&gt; Perfumería &gt; Cuidado Capilar &gt; Acondicionador &gt;</t>
        </is>
      </c>
      <c r="L2194" s="10" t="inlineStr">
        <is>
          <t>acondicionador</t>
        </is>
      </c>
      <c r="M2194" s="10" t="inlineStr">
        <is>
          <t>estandar</t>
        </is>
      </c>
      <c r="N2194" s="10" t="inlineStr">
        <is>
          <t>general</t>
        </is>
      </c>
      <c r="O2194" s="10" t="inlineStr">
        <is>
          <t>https://www.disco.com.ar/dermo-acondicionador-head-shoulders-purificacion-capilar-carbon-activado-300-ml/p</t>
        </is>
      </c>
    </row>
    <row r="2195">
      <c r="A2195" t="inlineStr">
        <is>
          <t>Disco</t>
        </is>
      </c>
      <c r="B2195" t="n">
        <v>311425</v>
      </c>
      <c r="C2195" t="n">
        <v>310660</v>
      </c>
      <c r="D2195" t="inlineStr">
        <is>
          <t>Kit Head &amp; Shoulders Hidratación Shampoo 375 Ml  Dermo-acondicionador 300 Ml</t>
        </is>
      </c>
      <c r="E2195" t="inlineStr">
        <is>
          <t>HEAD &amp; SHOULDERS</t>
        </is>
      </c>
      <c r="F2195" t="n">
        <v>598.05</v>
      </c>
      <c r="G2195" t="n">
        <v>49426</v>
      </c>
      <c r="H2195" t="b">
        <v>0</v>
      </c>
      <c r="I2195" t="n">
        <v>375</v>
      </c>
      <c r="J2195" t="n">
        <v>1.5948</v>
      </c>
      <c r="K2195" t="inlineStr">
        <is>
          <t>&gt; Perfumería &gt; Cuidado Capilar &gt; Shampoo &gt;</t>
        </is>
      </c>
      <c r="L2195" t="inlineStr">
        <is>
          <t>acondicionador</t>
        </is>
      </c>
      <c r="M2195" t="inlineStr">
        <is>
          <t>estandar</t>
        </is>
      </c>
      <c r="N2195" t="inlineStr">
        <is>
          <t>seco_danado</t>
        </is>
      </c>
      <c r="O2195" t="inlineStr">
        <is>
          <t>https://www.disco.com.ar/kit-head-shoulders-hidratacion-shampoo-375-ml-dermo-acondicionador-300-ml/p</t>
        </is>
      </c>
    </row>
    <row r="2196">
      <c r="A2196" s="10" t="inlineStr">
        <is>
          <t>Disco</t>
        </is>
      </c>
      <c r="B2196" s="10" t="n">
        <v>122112</v>
      </c>
      <c r="C2196" s="10" t="n">
        <v>121131</v>
      </c>
      <c r="D2196" s="10" t="inlineStr">
        <is>
          <t>Shampoo Head &amp; Shoulders X 200ml Liso Y Sedoso  Pvc 200 Ml.</t>
        </is>
      </c>
      <c r="E2196" s="10" t="inlineStr">
        <is>
          <t>HEAD &amp; SHOULDERS</t>
        </is>
      </c>
      <c r="F2196" s="10" t="n">
        <v>12.75</v>
      </c>
      <c r="G2196" s="10" t="n">
        <v>12.75</v>
      </c>
      <c r="H2196" s="10" t="b">
        <v>0</v>
      </c>
      <c r="I2196" s="10" t="n">
        <v>200</v>
      </c>
      <c r="J2196" s="10" t="n">
        <v>0.0638</v>
      </c>
      <c r="K2196" s="10" t="inlineStr">
        <is>
          <t>&gt; Perfumería &gt; Cuidado Capilar &gt; Shampoo &gt;</t>
        </is>
      </c>
      <c r="L2196" s="10" t="inlineStr">
        <is>
          <t>shampoo</t>
        </is>
      </c>
      <c r="M2196" s="10" t="inlineStr">
        <is>
          <t>estandar</t>
        </is>
      </c>
      <c r="N2196" s="10" t="inlineStr">
        <is>
          <t>general</t>
        </is>
      </c>
      <c r="O2196" s="10" t="inlineStr">
        <is>
          <t>https://www.disco.com.ar/shampoo-head-shoulders-x-200ml-liso-y-sedoso-pvc-200-ml/p</t>
        </is>
      </c>
    </row>
    <row r="2197">
      <c r="A2197" t="inlineStr">
        <is>
          <t>Disco</t>
        </is>
      </c>
      <c r="B2197" t="n">
        <v>7254</v>
      </c>
      <c r="C2197" t="n">
        <v>4588</v>
      </c>
      <c r="D2197" t="inlineStr">
        <is>
          <t>Acondicionador H&amp;s Instant Moisture X400ml</t>
        </is>
      </c>
      <c r="E2197" t="inlineStr">
        <is>
          <t>HEAD &amp; SHOULDERS</t>
        </is>
      </c>
      <c r="F2197" t="n">
        <v>134.83</v>
      </c>
      <c r="G2197" t="n">
        <v>11143</v>
      </c>
      <c r="H2197" t="b">
        <v>0</v>
      </c>
      <c r="I2197" t="n">
        <v>400</v>
      </c>
      <c r="J2197" t="n">
        <v>0.3371</v>
      </c>
      <c r="K2197" t="inlineStr">
        <is>
          <t>&gt; Perfumería &gt; Cuidado Capilar &gt; Acondicionador &gt;</t>
        </is>
      </c>
      <c r="L2197" t="inlineStr">
        <is>
          <t>acondicionador</t>
        </is>
      </c>
      <c r="M2197" t="inlineStr">
        <is>
          <t>estandar</t>
        </is>
      </c>
      <c r="N2197" t="inlineStr">
        <is>
          <t>general</t>
        </is>
      </c>
      <c r="O2197" t="inlineStr">
        <is>
          <t>https://www.disco.com.ar/acondicionador-h-s-instant-moisture-x400ml/p</t>
        </is>
      </c>
    </row>
    <row r="2198">
      <c r="A2198" s="10" t="inlineStr">
        <is>
          <t>Disco</t>
        </is>
      </c>
      <c r="B2198" s="10" t="n">
        <v>41184</v>
      </c>
      <c r="C2198" s="10" t="n">
        <v>38349</v>
      </c>
      <c r="D2198" s="10" t="inlineStr">
        <is>
          <t>Acondicionador H&amp;s Instant Moisture X200ml</t>
        </is>
      </c>
      <c r="E2198" s="10" t="inlineStr">
        <is>
          <t>HEAD &amp; SHOULDERS</t>
        </is>
      </c>
      <c r="F2198" s="10" t="n">
        <v>54.29</v>
      </c>
      <c r="G2198" s="10" t="n">
        <v>4487</v>
      </c>
      <c r="H2198" s="10" t="b">
        <v>0</v>
      </c>
      <c r="I2198" s="10" t="n">
        <v>200</v>
      </c>
      <c r="J2198" s="10" t="n">
        <v>0.2714</v>
      </c>
      <c r="K2198" s="10" t="inlineStr">
        <is>
          <t>&gt; Perfumería &gt; Cuidado Capilar &gt; Acondicionador &gt;</t>
        </is>
      </c>
      <c r="L2198" s="10" t="inlineStr">
        <is>
          <t>acondicionador</t>
        </is>
      </c>
      <c r="M2198" s="10" t="inlineStr">
        <is>
          <t>estandar</t>
        </is>
      </c>
      <c r="N2198" s="10" t="inlineStr">
        <is>
          <t>general</t>
        </is>
      </c>
      <c r="O2198" s="10" t="inlineStr">
        <is>
          <t>https://www.disco.com.ar/acondicionador-h-s-instant-moisture-x200ml/p</t>
        </is>
      </c>
    </row>
    <row r="2199">
      <c r="A2199" t="inlineStr">
        <is>
          <t>Disco</t>
        </is>
      </c>
      <c r="B2199" t="n">
        <v>301521</v>
      </c>
      <c r="C2199" t="n">
        <v>300744</v>
      </c>
      <c r="D2199" t="inlineStr">
        <is>
          <t>Tío Nacho Crema Para Peinar Anti Daño 250ml</t>
        </is>
      </c>
      <c r="E2199" t="inlineStr">
        <is>
          <t>Tio Nacho</t>
        </is>
      </c>
      <c r="F2199" t="n">
        <v>6350</v>
      </c>
      <c r="G2199" t="n">
        <v>524793</v>
      </c>
      <c r="H2199" t="b">
        <v>0</v>
      </c>
      <c r="I2199" t="n">
        <v>250</v>
      </c>
      <c r="J2199" t="n">
        <v>25.4</v>
      </c>
      <c r="K2199" t="inlineStr">
        <is>
          <t>&gt; Perfumería &gt; Cuidado Capilar &gt; Reparación y Tratamientos &gt;</t>
        </is>
      </c>
      <c r="L2199" t="inlineStr">
        <is>
          <t>shampoo</t>
        </is>
      </c>
      <c r="M2199" t="inlineStr">
        <is>
          <t>estandar</t>
        </is>
      </c>
      <c r="N2199" t="inlineStr">
        <is>
          <t>general</t>
        </is>
      </c>
      <c r="O2199" t="inlineStr">
        <is>
          <t>https://www.disco.com.ar/tio-nacho-crema-para-peinar-anti-dano-250ml/p</t>
        </is>
      </c>
    </row>
    <row r="2200">
      <c r="A2200" s="10" t="inlineStr">
        <is>
          <t>Disco</t>
        </is>
      </c>
      <c r="B2200" s="10" t="n">
        <v>3068266</v>
      </c>
      <c r="C2200" s="10" t="n">
        <v>3068094</v>
      </c>
      <c r="D2200" s="10" t="inlineStr">
        <is>
          <t>Crema para Peinar Probióticos Fuerza 10-en-1 250 Ml Fructis</t>
        </is>
      </c>
      <c r="E2200" s="10" t="inlineStr">
        <is>
          <t>FRUCTIS</t>
        </is>
      </c>
      <c r="F2200" s="10" t="n">
        <v>8250</v>
      </c>
      <c r="G2200" s="10" t="n">
        <v>681818</v>
      </c>
      <c r="H2200" s="10" t="b">
        <v>1</v>
      </c>
      <c r="I2200" s="10" t="n">
        <v>250</v>
      </c>
      <c r="J2200" s="10" t="n">
        <v>33</v>
      </c>
      <c r="K2200" s="10" t="inlineStr">
        <is>
          <t>&gt; Perfumería &gt; Cuidado Capilar &gt; Reparación y Tratamientos &gt;</t>
        </is>
      </c>
      <c r="L2200" s="10" t="inlineStr">
        <is>
          <t>shampoo</t>
        </is>
      </c>
      <c r="M2200" s="10" t="inlineStr">
        <is>
          <t>estandar</t>
        </is>
      </c>
      <c r="N2200" s="10" t="inlineStr">
        <is>
          <t>general</t>
        </is>
      </c>
      <c r="O2200" s="10" t="inlineStr">
        <is>
          <t>https://www.disco.com.ar/tratamiento-probiotics-x-250-ml-fructis/p</t>
        </is>
      </c>
    </row>
    <row r="2201">
      <c r="A2201" t="inlineStr">
        <is>
          <t>Disco</t>
        </is>
      </c>
      <c r="B2201" t="n">
        <v>420155</v>
      </c>
      <c r="C2201" t="n">
        <v>414429</v>
      </c>
      <c r="D2201" t="inlineStr">
        <is>
          <t>Mascarilla Tratamiento Nutrición Palta 350 Ml Fructis</t>
        </is>
      </c>
      <c r="E2201" t="inlineStr">
        <is>
          <t>FRUCTIS</t>
        </is>
      </c>
      <c r="F2201" t="n">
        <v>15350</v>
      </c>
      <c r="G2201" t="n">
        <v>1268595</v>
      </c>
      <c r="H2201" t="b">
        <v>1</v>
      </c>
      <c r="I2201" t="n">
        <v>350</v>
      </c>
      <c r="J2201" t="n">
        <v>43.8571</v>
      </c>
      <c r="K2201" t="inlineStr">
        <is>
          <t>&gt; Perfumería &gt; Cuidado Capilar &gt; Reparación y Tratamientos &gt;</t>
        </is>
      </c>
      <c r="L2201" t="inlineStr">
        <is>
          <t>tratamiento</t>
        </is>
      </c>
      <c r="M2201" t="inlineStr">
        <is>
          <t>estandar</t>
        </is>
      </c>
      <c r="N2201" t="inlineStr">
        <is>
          <t>general</t>
        </is>
      </c>
      <c r="O2201" t="inlineStr">
        <is>
          <t>https://www.disco.com.ar/mascarilla-fructis-hair-food-palta-350-ml/p</t>
        </is>
      </c>
    </row>
    <row r="2202">
      <c r="A2202" s="10" t="inlineStr">
        <is>
          <t>Disco</t>
        </is>
      </c>
      <c r="B2202" s="10" t="n">
        <v>3086633</v>
      </c>
      <c r="C2202" s="10" t="n">
        <v>3085857</v>
      </c>
      <c r="D2202" s="10" t="inlineStr">
        <is>
          <t>Crema para Peinar Borrador de Daño Colágeno Jelly 300 Ml Fructis Crema Para Peinar Oil Control X 300 Ml Fructis</t>
        </is>
      </c>
      <c r="E2202" s="10" t="inlineStr">
        <is>
          <t>FRUCTIS</t>
        </is>
      </c>
      <c r="F2202" s="10" t="n">
        <v>14050</v>
      </c>
      <c r="G2202" s="10" t="n">
        <v>1161157</v>
      </c>
      <c r="H2202" s="10" t="b">
        <v>1</v>
      </c>
      <c r="I2202" s="10" t="n">
        <v>300</v>
      </c>
      <c r="J2202" s="10" t="n">
        <v>46.8333</v>
      </c>
      <c r="K2202" s="10" t="inlineStr">
        <is>
          <t>&gt; Perfumería &gt; Cuidado Capilar &gt; Reparación y Tratamientos &gt;</t>
        </is>
      </c>
      <c r="L2202" s="10" t="inlineStr">
        <is>
          <t>shampoo</t>
        </is>
      </c>
      <c r="M2202" s="10" t="inlineStr">
        <is>
          <t>estandar</t>
        </is>
      </c>
      <c r="N2202" s="10" t="inlineStr">
        <is>
          <t>general</t>
        </is>
      </c>
      <c r="O2202" s="10" t="inlineStr">
        <is>
          <t>https://www.disco.com.ar/crema-para-peinar-oil-control-x-300-ml-fructis/p</t>
        </is>
      </c>
    </row>
    <row r="2203">
      <c r="A2203" t="inlineStr">
        <is>
          <t>Disco</t>
        </is>
      </c>
      <c r="B2203" t="n">
        <v>3074193</v>
      </c>
      <c r="C2203" t="n">
        <v>3073689</v>
      </c>
      <c r="D2203" t="inlineStr">
        <is>
          <t>Mascarilla Anti-quiebre Hair Food Ananá 350 Ml Fructis</t>
        </is>
      </c>
      <c r="E2203" t="inlineStr">
        <is>
          <t>FRUCTIS</t>
        </is>
      </c>
      <c r="F2203" t="n">
        <v>15350</v>
      </c>
      <c r="G2203" t="n">
        <v>1268595</v>
      </c>
      <c r="H2203" t="b">
        <v>1</v>
      </c>
      <c r="I2203" t="n">
        <v>350</v>
      </c>
      <c r="J2203" t="n">
        <v>43.8571</v>
      </c>
      <c r="K2203" t="inlineStr">
        <is>
          <t>&gt; Perfumería &gt; Cuidado Capilar &gt; Reparación y Tratamientos &gt;</t>
        </is>
      </c>
      <c r="L2203" t="inlineStr">
        <is>
          <t>tratamiento</t>
        </is>
      </c>
      <c r="M2203" t="inlineStr">
        <is>
          <t>estandar</t>
        </is>
      </c>
      <c r="N2203" t="inlineStr">
        <is>
          <t>general</t>
        </is>
      </c>
      <c r="O2203" t="inlineStr">
        <is>
          <t>https://www.disco.com.ar/tratamient-cap-fructis-pina-350ml/p</t>
        </is>
      </c>
    </row>
    <row r="2204">
      <c r="A2204" s="10" t="inlineStr">
        <is>
          <t>Disco</t>
        </is>
      </c>
      <c r="B2204" s="10" t="n">
        <v>412493</v>
      </c>
      <c r="C2204" s="10" t="n">
        <v>408102</v>
      </c>
      <c r="D2204" s="10" t="inlineStr">
        <is>
          <t>Crema para Peinar Rizos Poderosos 250 Ml Fructis</t>
        </is>
      </c>
      <c r="E2204" s="10" t="inlineStr">
        <is>
          <t>FRUCTIS</t>
        </is>
      </c>
      <c r="F2204" s="10" t="n">
        <v>8250</v>
      </c>
      <c r="G2204" s="10" t="n">
        <v>681818</v>
      </c>
      <c r="H2204" s="10" t="b">
        <v>1</v>
      </c>
      <c r="I2204" s="10" t="n">
        <v>250</v>
      </c>
      <c r="J2204" s="10" t="n">
        <v>33</v>
      </c>
      <c r="K2204" s="10" t="inlineStr">
        <is>
          <t>&gt; Perfumería &gt; Cuidado Capilar &gt; Reparación y Tratamientos &gt;</t>
        </is>
      </c>
      <c r="L2204" s="10" t="inlineStr">
        <is>
          <t>shampoo</t>
        </is>
      </c>
      <c r="M2204" s="10" t="inlineStr">
        <is>
          <t>estandar</t>
        </is>
      </c>
      <c r="N2204" s="10" t="inlineStr">
        <is>
          <t>rizado</t>
        </is>
      </c>
      <c r="O2204" s="10" t="inlineStr">
        <is>
          <t>https://www.disco.com.ar/crema-para-peinar-fructis-rizos-poderosos-250ml/p</t>
        </is>
      </c>
    </row>
    <row r="2205">
      <c r="A2205" t="inlineStr">
        <is>
          <t>Disco</t>
        </is>
      </c>
      <c r="B2205" t="n">
        <v>3074195</v>
      </c>
      <c r="C2205" t="n">
        <v>3073691</v>
      </c>
      <c r="D2205" t="inlineStr">
        <is>
          <t>Shampoo Hair Food Anti-quiebre Ananá 300 Ml Fructis</t>
        </is>
      </c>
      <c r="E2205" t="inlineStr">
        <is>
          <t>FRUCTIS</t>
        </is>
      </c>
      <c r="F2205" t="n">
        <v>10000</v>
      </c>
      <c r="G2205" t="n">
        <v>826446</v>
      </c>
      <c r="H2205" t="b">
        <v>0</v>
      </c>
      <c r="I2205" t="n">
        <v>300</v>
      </c>
      <c r="J2205" t="n">
        <v>33.3333</v>
      </c>
      <c r="K2205" t="inlineStr">
        <is>
          <t>&gt; Perfumería &gt; Cuidado Capilar &gt; Shampoo &gt;</t>
        </is>
      </c>
      <c r="L2205" t="inlineStr">
        <is>
          <t>shampoo</t>
        </is>
      </c>
      <c r="M2205" t="inlineStr">
        <is>
          <t>estandar</t>
        </is>
      </c>
      <c r="N2205" t="inlineStr">
        <is>
          <t>general</t>
        </is>
      </c>
      <c r="O2205" t="inlineStr">
        <is>
          <t>https://www.disco.com.ar/shampoo-fructis-pina-300ml/p</t>
        </is>
      </c>
    </row>
    <row r="2206">
      <c r="A2206" s="10" t="inlineStr">
        <is>
          <t>Disco</t>
        </is>
      </c>
      <c r="B2206" s="10" t="n">
        <v>3068269</v>
      </c>
      <c r="C2206" s="10" t="n">
        <v>3068097</v>
      </c>
      <c r="D2206" s="10" t="inlineStr">
        <is>
          <t>Shampoo Force Probiotics X 650 Ml Fructis</t>
        </is>
      </c>
      <c r="E2206" s="10" t="inlineStr">
        <is>
          <t>FRUCTIS</t>
        </is>
      </c>
      <c r="F2206" s="10" t="n">
        <v>11550</v>
      </c>
      <c r="G2206" s="10" t="n">
        <v>954545</v>
      </c>
      <c r="H2206" s="10" t="b">
        <v>0</v>
      </c>
      <c r="I2206" s="10" t="n">
        <v>650</v>
      </c>
      <c r="J2206" s="10" t="n">
        <v>17.7692</v>
      </c>
      <c r="K2206" s="10" t="inlineStr">
        <is>
          <t>&gt; Perfumería &gt; Cuidado Capilar &gt; Shampoo &gt;</t>
        </is>
      </c>
      <c r="L2206" s="10" t="inlineStr">
        <is>
          <t>shampoo</t>
        </is>
      </c>
      <c r="M2206" s="10" t="inlineStr">
        <is>
          <t>estandar</t>
        </is>
      </c>
      <c r="N2206" s="10" t="inlineStr">
        <is>
          <t>general</t>
        </is>
      </c>
      <c r="O2206" s="10" t="inlineStr">
        <is>
          <t>https://www.disco.com.ar/shampoo-force-probiotics-x-650-ml-fructis-2/p</t>
        </is>
      </c>
    </row>
    <row r="2207">
      <c r="A2207" t="inlineStr">
        <is>
          <t>Disco</t>
        </is>
      </c>
      <c r="B2207" t="n">
        <v>3068268</v>
      </c>
      <c r="C2207" t="n">
        <v>3068096</v>
      </c>
      <c r="D2207" t="inlineStr">
        <is>
          <t>Shampoo Probióticos Fuerza 350 Ml Fructis</t>
        </is>
      </c>
      <c r="E2207" t="inlineStr">
        <is>
          <t>FRUCTIS</t>
        </is>
      </c>
      <c r="F2207" t="n">
        <v>7350</v>
      </c>
      <c r="G2207" t="n">
        <v>607438</v>
      </c>
      <c r="H2207" t="b">
        <v>0</v>
      </c>
      <c r="I2207" t="n">
        <v>350</v>
      </c>
      <c r="J2207" t="n">
        <v>21</v>
      </c>
      <c r="K2207" t="inlineStr">
        <is>
          <t>&gt; Perfumería &gt; Cuidado Capilar &gt; Shampoo &gt;</t>
        </is>
      </c>
      <c r="L2207" t="inlineStr">
        <is>
          <t>shampoo</t>
        </is>
      </c>
      <c r="M2207" t="inlineStr">
        <is>
          <t>estandar</t>
        </is>
      </c>
      <c r="N2207" t="inlineStr">
        <is>
          <t>general</t>
        </is>
      </c>
      <c r="O2207" t="inlineStr">
        <is>
          <t>https://www.disco.com.ar/shampoo-probiotics-x-350-ml-fructis-2/p</t>
        </is>
      </c>
    </row>
    <row r="2208">
      <c r="A2208" s="10" t="inlineStr">
        <is>
          <t>Disco</t>
        </is>
      </c>
      <c r="B2208" s="10" t="n">
        <v>3068265</v>
      </c>
      <c r="C2208" s="10" t="n">
        <v>3068093</v>
      </c>
      <c r="D2208" s="10" t="inlineStr">
        <is>
          <t>Acondicionador Probiotics para Cabello Frágil 350 Ml Fructis</t>
        </is>
      </c>
      <c r="E2208" s="10" t="inlineStr">
        <is>
          <t>FRUCTIS</t>
        </is>
      </c>
      <c r="F2208" s="10" t="n">
        <v>7350</v>
      </c>
      <c r="G2208" s="10" t="n">
        <v>607438</v>
      </c>
      <c r="H2208" s="10" t="b">
        <v>0</v>
      </c>
      <c r="I2208" s="10" t="n">
        <v>350</v>
      </c>
      <c r="J2208" s="10" t="n">
        <v>21</v>
      </c>
      <c r="K2208" s="10" t="inlineStr">
        <is>
          <t>&gt; Perfumería &gt; Cuidado Capilar &gt; Acondicionador &gt;</t>
        </is>
      </c>
      <c r="L2208" s="10" t="inlineStr">
        <is>
          <t>acondicionador</t>
        </is>
      </c>
      <c r="M2208" s="10" t="inlineStr">
        <is>
          <t>estandar</t>
        </is>
      </c>
      <c r="N2208" s="10" t="inlineStr">
        <is>
          <t>general</t>
        </is>
      </c>
      <c r="O2208" s="10" t="inlineStr">
        <is>
          <t>https://www.disco.com.ar/acondicionador-probiotics-x-350-ml-fructis-2/p</t>
        </is>
      </c>
    </row>
    <row r="2209">
      <c r="A2209" t="inlineStr">
        <is>
          <t>Disco</t>
        </is>
      </c>
      <c r="B2209" t="n">
        <v>3068264</v>
      </c>
      <c r="C2209" t="n">
        <v>3068092</v>
      </c>
      <c r="D2209" t="inlineStr">
        <is>
          <t>Shampoo para Cabello Frágil Probiotics 200 Ml Fructis</t>
        </is>
      </c>
      <c r="E2209" t="inlineStr">
        <is>
          <t>FRUCTIS</t>
        </is>
      </c>
      <c r="F2209" t="n">
        <v>4850</v>
      </c>
      <c r="G2209" t="n">
        <v>400826</v>
      </c>
      <c r="H2209" t="b">
        <v>0</v>
      </c>
      <c r="I2209" t="n">
        <v>200</v>
      </c>
      <c r="J2209" t="n">
        <v>24.25</v>
      </c>
      <c r="K2209" t="inlineStr">
        <is>
          <t>&gt; Perfumería &gt; Cuidado Capilar &gt; Shampoo &gt;</t>
        </is>
      </c>
      <c r="L2209" t="inlineStr">
        <is>
          <t>shampoo</t>
        </is>
      </c>
      <c r="M2209" t="inlineStr">
        <is>
          <t>estandar</t>
        </is>
      </c>
      <c r="N2209" t="inlineStr">
        <is>
          <t>general</t>
        </is>
      </c>
      <c r="O2209" t="inlineStr">
        <is>
          <t>https://www.disco.com.ar/shampoo-probiotics-x-200-ml-fructis-2/p</t>
        </is>
      </c>
    </row>
    <row r="2210">
      <c r="A2210" s="10" t="inlineStr">
        <is>
          <t>Disco</t>
        </is>
      </c>
      <c r="B2210" s="10" t="n">
        <v>1371394</v>
      </c>
      <c r="C2210" s="10" t="n">
        <v>1369516</v>
      </c>
      <c r="D2210" s="10" t="inlineStr">
        <is>
          <t>Shampoo Hidratante Aloe Hidra Clean 350 Ml Fructis</t>
        </is>
      </c>
      <c r="E2210" s="10" t="inlineStr">
        <is>
          <t>FRUCTIS</t>
        </is>
      </c>
      <c r="F2210" s="10" t="n">
        <v>7000</v>
      </c>
      <c r="G2210" s="10" t="n">
        <v>578512</v>
      </c>
      <c r="H2210" s="10" t="b">
        <v>0</v>
      </c>
      <c r="I2210" s="10" t="n">
        <v>350</v>
      </c>
      <c r="J2210" s="10" t="n">
        <v>20</v>
      </c>
      <c r="K2210" s="10" t="inlineStr">
        <is>
          <t>&gt; Perfumería &gt; Cuidado Capilar &gt; Shampoo &gt;</t>
        </is>
      </c>
      <c r="L2210" s="10" t="inlineStr">
        <is>
          <t>shampoo</t>
        </is>
      </c>
      <c r="M2210" s="10" t="inlineStr">
        <is>
          <t>estandar</t>
        </is>
      </c>
      <c r="N2210" s="10" t="inlineStr">
        <is>
          <t>seco_danado</t>
        </is>
      </c>
      <c r="O2210" s="10" t="inlineStr">
        <is>
          <t>https://www.disco.com.ar/shampoo-fructis-aloe-water-350-ml-2/p</t>
        </is>
      </c>
    </row>
    <row r="2211">
      <c r="A2211" t="inlineStr">
        <is>
          <t>Disco</t>
        </is>
      </c>
      <c r="B2211" t="n">
        <v>424315</v>
      </c>
      <c r="C2211" t="n">
        <v>417195</v>
      </c>
      <c r="D2211" t="inlineStr">
        <is>
          <t>Mascarilla Capilar Hair Food Manteca de Cacao 350 Ml Fructis Mascarilla Fructis Hair Food Cacao X 350 Ml</t>
        </is>
      </c>
      <c r="E2211" t="inlineStr">
        <is>
          <t>FRUCTIS</t>
        </is>
      </c>
      <c r="F2211" t="n">
        <v>12600</v>
      </c>
      <c r="G2211" t="n">
        <v>1041322</v>
      </c>
      <c r="H2211" t="b">
        <v>0</v>
      </c>
      <c r="I2211" t="n">
        <v>350</v>
      </c>
      <c r="J2211" t="n">
        <v>36</v>
      </c>
      <c r="K2211" t="inlineStr">
        <is>
          <t>&gt; Perfumería &gt; Cuidado Capilar &gt; Reparación y Tratamientos &gt;</t>
        </is>
      </c>
      <c r="L2211" t="inlineStr">
        <is>
          <t>tratamiento</t>
        </is>
      </c>
      <c r="M2211" t="inlineStr">
        <is>
          <t>estandar</t>
        </is>
      </c>
      <c r="N2211" t="inlineStr">
        <is>
          <t>general</t>
        </is>
      </c>
      <c r="O2211" t="inlineStr">
        <is>
          <t>https://www.disco.com.ar/mascarilla-fructis-hair-food-cacao-x-350-ml-2/p</t>
        </is>
      </c>
    </row>
    <row r="2212">
      <c r="A2212" s="10" t="inlineStr">
        <is>
          <t>Disco</t>
        </is>
      </c>
      <c r="B2212" s="10" t="n">
        <v>424314</v>
      </c>
      <c r="C2212" s="10" t="n">
        <v>417194</v>
      </c>
      <c r="D2212" s="10" t="inlineStr">
        <is>
          <t>Acondicionador Fructis Hair Food Cacao X 300 Ml</t>
        </is>
      </c>
      <c r="E2212" s="10" t="inlineStr">
        <is>
          <t>FRUCTIS</t>
        </is>
      </c>
      <c r="F2212" s="10" t="n">
        <v>10000</v>
      </c>
      <c r="G2212" s="10" t="n">
        <v>826446</v>
      </c>
      <c r="H2212" s="10" t="b">
        <v>0</v>
      </c>
      <c r="I2212" s="10" t="n">
        <v>300</v>
      </c>
      <c r="J2212" s="10" t="n">
        <v>33.3333</v>
      </c>
      <c r="K2212" s="10" t="inlineStr">
        <is>
          <t>&gt; Perfumería &gt; Cuidado Capilar &gt; Acondicionador &gt;</t>
        </is>
      </c>
      <c r="L2212" s="10" t="inlineStr">
        <is>
          <t>acondicionador</t>
        </is>
      </c>
      <c r="M2212" s="10" t="inlineStr">
        <is>
          <t>estandar</t>
        </is>
      </c>
      <c r="N2212" s="10" t="inlineStr">
        <is>
          <t>general</t>
        </is>
      </c>
      <c r="O2212" s="10" t="inlineStr">
        <is>
          <t>https://www.disco.com.ar/acondicionador-fructis-hair-food-cacao-x-300-ml-2/p</t>
        </is>
      </c>
    </row>
    <row r="2213">
      <c r="A2213" t="inlineStr">
        <is>
          <t>Disco</t>
        </is>
      </c>
      <c r="B2213" t="n">
        <v>424313</v>
      </c>
      <c r="C2213" t="n">
        <v>417193</v>
      </c>
      <c r="D2213" t="inlineStr">
        <is>
          <t>Crema De Peinar Fructis Hair Food Cocoa 3 En 1</t>
        </is>
      </c>
      <c r="E2213" t="inlineStr">
        <is>
          <t>FRUCTIS</t>
        </is>
      </c>
      <c r="F2213" t="n">
        <v>8400</v>
      </c>
      <c r="G2213" t="n">
        <v>694215</v>
      </c>
      <c r="H2213" t="b">
        <v>0</v>
      </c>
      <c r="I2213" t="inlineStr"/>
      <c r="J2213" t="inlineStr"/>
      <c r="K2213" t="inlineStr">
        <is>
          <t>&gt; Perfumería &gt; Cuidado Capilar &gt; Reparación y Tratamientos &gt;</t>
        </is>
      </c>
      <c r="L2213" t="inlineStr">
        <is>
          <t>shampoo</t>
        </is>
      </c>
      <c r="M2213" t="inlineStr">
        <is>
          <t>estandar</t>
        </is>
      </c>
      <c r="N2213" t="inlineStr">
        <is>
          <t>general</t>
        </is>
      </c>
      <c r="O2213" t="inlineStr">
        <is>
          <t>https://www.disco.com.ar/crema-de-peinar-fructis-hair-food-cocoa-3-en-1-2/p</t>
        </is>
      </c>
    </row>
    <row r="2214">
      <c r="A2214" s="10" t="inlineStr">
        <is>
          <t>Disco</t>
        </is>
      </c>
      <c r="B2214" s="10" t="n">
        <v>424312</v>
      </c>
      <c r="C2214" s="10" t="n">
        <v>417192</v>
      </c>
      <c r="D2214" s="10" t="inlineStr">
        <is>
          <t>Shampoo Hair Food Restauración de Cacao 300 Ml Fructis</t>
        </is>
      </c>
      <c r="E2214" s="10" t="inlineStr">
        <is>
          <t>FRUCTIS</t>
        </is>
      </c>
      <c r="F2214" s="10" t="n">
        <v>10500</v>
      </c>
      <c r="G2214" s="10" t="n">
        <v>867769</v>
      </c>
      <c r="H2214" s="10" t="b">
        <v>0</v>
      </c>
      <c r="I2214" s="10" t="n">
        <v>300</v>
      </c>
      <c r="J2214" s="10" t="n">
        <v>35</v>
      </c>
      <c r="K2214" s="10" t="inlineStr">
        <is>
          <t>&gt; Perfumería &gt; Cuidado Capilar &gt; Shampoo &gt;</t>
        </is>
      </c>
      <c r="L2214" s="10" t="inlineStr">
        <is>
          <t>shampoo</t>
        </is>
      </c>
      <c r="M2214" s="10" t="inlineStr">
        <is>
          <t>estandar</t>
        </is>
      </c>
      <c r="N2214" s="10" t="inlineStr">
        <is>
          <t>general</t>
        </is>
      </c>
      <c r="O2214" s="10" t="inlineStr">
        <is>
          <t>https://www.disco.com.ar/shampoo-fructis-hair-food-cacao-x-300-ml-2/p</t>
        </is>
      </c>
    </row>
    <row r="2215">
      <c r="A2215" t="inlineStr">
        <is>
          <t>Disco</t>
        </is>
      </c>
      <c r="B2215" t="n">
        <v>415162</v>
      </c>
      <c r="C2215" t="n">
        <v>410820</v>
      </c>
      <c r="D2215" t="inlineStr">
        <is>
          <t>Crema para Peinar Recarga Nutritiva para Cabello Seco 250 Ml Fructis</t>
        </is>
      </c>
      <c r="E2215" t="inlineStr">
        <is>
          <t>FRUCTIS</t>
        </is>
      </c>
      <c r="F2215" t="n">
        <v>7250</v>
      </c>
      <c r="G2215" t="n">
        <v>599174</v>
      </c>
      <c r="H2215" t="b">
        <v>0</v>
      </c>
      <c r="I2215" t="n">
        <v>250</v>
      </c>
      <c r="J2215" t="n">
        <v>29</v>
      </c>
      <c r="K2215" t="inlineStr">
        <is>
          <t>&gt; Perfumería &gt; Cuidado Capilar &gt; Reparación y Tratamientos &gt;</t>
        </is>
      </c>
      <c r="L2215" t="inlineStr">
        <is>
          <t>shampoo</t>
        </is>
      </c>
      <c r="M2215" t="inlineStr">
        <is>
          <t>estandar</t>
        </is>
      </c>
      <c r="N2215" t="inlineStr">
        <is>
          <t>seco_danado</t>
        </is>
      </c>
      <c r="O2215" t="inlineStr">
        <is>
          <t>https://www.disco.com.ar/crema-para-peinar-fructis-recarga-nutritiva-cpp-250-ml/p</t>
        </is>
      </c>
    </row>
    <row r="2216">
      <c r="A2216" s="10" t="inlineStr">
        <is>
          <t>Disco</t>
        </is>
      </c>
      <c r="B2216" s="10" t="n">
        <v>412497</v>
      </c>
      <c r="C2216" s="10" t="n">
        <v>408106</v>
      </c>
      <c r="D2216" s="10" t="inlineStr">
        <is>
          <t>Mascarilla Capilar Revitalizante Sandía 350 Ml Fructis</t>
        </is>
      </c>
      <c r="E2216" s="10" t="inlineStr">
        <is>
          <t>FRUCTIS</t>
        </is>
      </c>
      <c r="F2216" s="10" t="n">
        <v>12000</v>
      </c>
      <c r="G2216" s="10" t="n">
        <v>991736</v>
      </c>
      <c r="H2216" s="10" t="b">
        <v>0</v>
      </c>
      <c r="I2216" s="10" t="n">
        <v>350</v>
      </c>
      <c r="J2216" s="10" t="n">
        <v>34.2857</v>
      </c>
      <c r="K2216" s="10" t="inlineStr">
        <is>
          <t>&gt; Perfumería &gt; Cuidado Capilar &gt; Reparación y Tratamientos &gt;</t>
        </is>
      </c>
      <c r="L2216" s="10" t="inlineStr">
        <is>
          <t>tratamiento</t>
        </is>
      </c>
      <c r="M2216" s="10" t="inlineStr">
        <is>
          <t>estandar</t>
        </is>
      </c>
      <c r="N2216" s="10" t="inlineStr">
        <is>
          <t>general</t>
        </is>
      </c>
      <c r="O2216" s="10" t="inlineStr">
        <is>
          <t>https://www.disco.com.ar/mascarilla-fructis-hair-food-sandia-350-ml/p</t>
        </is>
      </c>
    </row>
    <row r="2217">
      <c r="A2217" t="inlineStr">
        <is>
          <t>Disco</t>
        </is>
      </c>
      <c r="B2217" t="n">
        <v>412496</v>
      </c>
      <c r="C2217" t="n">
        <v>408105</v>
      </c>
      <c r="D2217" t="inlineStr">
        <is>
          <t>Mascarilla Hidratación Cabello Deshidratado Hair Food Aloe Vera 350 Ml Fructis</t>
        </is>
      </c>
      <c r="E2217" t="inlineStr">
        <is>
          <t>FRUCTIS</t>
        </is>
      </c>
      <c r="F2217" t="n">
        <v>12600</v>
      </c>
      <c r="G2217" t="n">
        <v>1041322</v>
      </c>
      <c r="H2217" t="b">
        <v>0</v>
      </c>
      <c r="I2217" t="n">
        <v>350</v>
      </c>
      <c r="J2217" t="n">
        <v>36</v>
      </c>
      <c r="K2217" t="inlineStr">
        <is>
          <t>&gt; Perfumería &gt; Cuidado Capilar &gt; Reparación y Tratamientos &gt;</t>
        </is>
      </c>
      <c r="L2217" t="inlineStr">
        <is>
          <t>tratamiento</t>
        </is>
      </c>
      <c r="M2217" t="inlineStr">
        <is>
          <t>estandar</t>
        </is>
      </c>
      <c r="N2217" t="inlineStr">
        <is>
          <t>seco_danado</t>
        </is>
      </c>
      <c r="O2217" t="inlineStr">
        <is>
          <t>https://www.disco.com.ar/mascarilla-fructis-hair-food-aloe-350-ml/p</t>
        </is>
      </c>
    </row>
    <row r="2218">
      <c r="A2218" s="10" t="inlineStr">
        <is>
          <t>Disco</t>
        </is>
      </c>
      <c r="B2218" s="10" t="n">
        <v>412495</v>
      </c>
      <c r="C2218" s="10" t="n">
        <v>408104</v>
      </c>
      <c r="D2218" s="10" t="inlineStr">
        <is>
          <t>Mascarilla Fructis Hair Food Coco 350 Ml</t>
        </is>
      </c>
      <c r="E2218" s="10" t="inlineStr">
        <is>
          <t>FRUCTIS</t>
        </is>
      </c>
      <c r="F2218" s="10" t="n">
        <v>12000</v>
      </c>
      <c r="G2218" s="10" t="n">
        <v>991736</v>
      </c>
      <c r="H2218" s="10" t="b">
        <v>0</v>
      </c>
      <c r="I2218" s="10" t="n">
        <v>350</v>
      </c>
      <c r="J2218" s="10" t="n">
        <v>34.2857</v>
      </c>
      <c r="K2218" s="10" t="inlineStr">
        <is>
          <t>&gt; Perfumería &gt; Cuidado Capilar &gt; Reparación y Tratamientos &gt;</t>
        </is>
      </c>
      <c r="L2218" s="10" t="inlineStr">
        <is>
          <t>tratamiento</t>
        </is>
      </c>
      <c r="M2218" s="10" t="inlineStr">
        <is>
          <t>estandar</t>
        </is>
      </c>
      <c r="N2218" s="10" t="inlineStr">
        <is>
          <t>general</t>
        </is>
      </c>
      <c r="O2218" s="10" t="inlineStr">
        <is>
          <t>https://www.disco.com.ar/mascarilla-fructis-hair-food-coco-350-ml-2/p</t>
        </is>
      </c>
    </row>
    <row r="2219">
      <c r="A2219" t="inlineStr">
        <is>
          <t>Disco</t>
        </is>
      </c>
      <c r="B2219" t="n">
        <v>412494</v>
      </c>
      <c r="C2219" t="n">
        <v>408103</v>
      </c>
      <c r="D2219" t="inlineStr">
        <is>
          <t>Mascarilla Hair Food Fuerza Banana 350 Ml Fructis Mascarilla Fructis Hair Food Banana 350 Ml</t>
        </is>
      </c>
      <c r="E2219" t="inlineStr">
        <is>
          <t>FRUCTIS</t>
        </is>
      </c>
      <c r="F2219" t="n">
        <v>9750</v>
      </c>
      <c r="G2219" t="n">
        <v>805785</v>
      </c>
      <c r="H2219" t="b">
        <v>0</v>
      </c>
      <c r="I2219" t="n">
        <v>350</v>
      </c>
      <c r="J2219" t="n">
        <v>27.8571</v>
      </c>
      <c r="K2219" t="inlineStr">
        <is>
          <t>&gt; Perfumería &gt; Cuidado Capilar &gt; Reparación y Tratamientos &gt;</t>
        </is>
      </c>
      <c r="L2219" t="inlineStr">
        <is>
          <t>tratamiento</t>
        </is>
      </c>
      <c r="M2219" t="inlineStr">
        <is>
          <t>estandar</t>
        </is>
      </c>
      <c r="N2219" t="inlineStr">
        <is>
          <t>general</t>
        </is>
      </c>
      <c r="O2219" t="inlineStr">
        <is>
          <t>https://www.disco.com.ar/mascarilla-fructis-hair-food-banana-350-ml/p</t>
        </is>
      </c>
    </row>
    <row r="2220">
      <c r="A2220" s="10" t="inlineStr">
        <is>
          <t>Disco</t>
        </is>
      </c>
      <c r="B2220" s="10" t="n">
        <v>412491</v>
      </c>
      <c r="C2220" s="10" t="n">
        <v>408100</v>
      </c>
      <c r="D2220" s="10" t="inlineStr">
        <is>
          <t>Shampoo Rizos Poderosos con Óleo de Coco y Glicerina 350 Ml Fructis</t>
        </is>
      </c>
      <c r="E2220" s="10" t="inlineStr">
        <is>
          <t>FRUCTIS</t>
        </is>
      </c>
      <c r="F2220" s="10" t="n">
        <v>7350</v>
      </c>
      <c r="G2220" s="10" t="n">
        <v>607438</v>
      </c>
      <c r="H2220" s="10" t="b">
        <v>0</v>
      </c>
      <c r="I2220" s="10" t="n">
        <v>350</v>
      </c>
      <c r="J2220" s="10" t="n">
        <v>21</v>
      </c>
      <c r="K2220" s="10" t="inlineStr">
        <is>
          <t>&gt; Perfumería &gt; Cuidado Capilar &gt; Shampoo &gt;</t>
        </is>
      </c>
      <c r="L2220" s="10" t="inlineStr">
        <is>
          <t>shampoo</t>
        </is>
      </c>
      <c r="M2220" s="10" t="inlineStr">
        <is>
          <t>estandar</t>
        </is>
      </c>
      <c r="N2220" s="10" t="inlineStr">
        <is>
          <t>rizado</t>
        </is>
      </c>
      <c r="O2220" s="10" t="inlineStr">
        <is>
          <t>https://www.disco.com.ar/shampoo-fructis-rizos-poderosos-350ml-2/p</t>
        </is>
      </c>
    </row>
    <row r="2221">
      <c r="A2221" t="inlineStr">
        <is>
          <t>Disco</t>
        </is>
      </c>
      <c r="B2221" t="n">
        <v>412485</v>
      </c>
      <c r="C2221" t="n">
        <v>408094</v>
      </c>
      <c r="D2221" t="inlineStr">
        <is>
          <t>Crema Para Peinar Fructis Liso Coco 200 Ml</t>
        </is>
      </c>
      <c r="E2221" t="inlineStr">
        <is>
          <t>FRUCTIS</t>
        </is>
      </c>
      <c r="F2221" t="n">
        <v>7050</v>
      </c>
      <c r="G2221" t="n">
        <v>582645</v>
      </c>
      <c r="H2221" t="b">
        <v>0</v>
      </c>
      <c r="I2221" t="n">
        <v>200</v>
      </c>
      <c r="J2221" t="n">
        <v>35.25</v>
      </c>
      <c r="K2221" t="inlineStr">
        <is>
          <t>&gt; Perfumería &gt; Cuidado Capilar &gt; Reparación y Tratamientos &gt;</t>
        </is>
      </c>
      <c r="L2221" t="inlineStr">
        <is>
          <t>shampoo</t>
        </is>
      </c>
      <c r="M2221" t="inlineStr">
        <is>
          <t>estandar</t>
        </is>
      </c>
      <c r="N2221" t="inlineStr">
        <is>
          <t>general</t>
        </is>
      </c>
      <c r="O2221" t="inlineStr">
        <is>
          <t>https://www.disco.com.ar/crema-para-peinar-fructis-liso-coco-200-ml/p</t>
        </is>
      </c>
    </row>
    <row r="2222">
      <c r="A2222" s="10" t="inlineStr">
        <is>
          <t>Disco</t>
        </is>
      </c>
      <c r="B2222" s="10" t="n">
        <v>412483</v>
      </c>
      <c r="C2222" s="10" t="n">
        <v>408092</v>
      </c>
      <c r="D2222" s="10" t="inlineStr">
        <is>
          <t>Acondicionador Liso Coco Hidratación Intensa 350 Ml Fructis</t>
        </is>
      </c>
      <c r="E2222" s="10" t="inlineStr">
        <is>
          <t>FRUCTIS</t>
        </is>
      </c>
      <c r="F2222" s="10" t="n">
        <v>7350</v>
      </c>
      <c r="G2222" s="10" t="n">
        <v>607438</v>
      </c>
      <c r="H2222" s="10" t="b">
        <v>0</v>
      </c>
      <c r="I2222" s="10" t="n">
        <v>350</v>
      </c>
      <c r="J2222" s="10" t="n">
        <v>21</v>
      </c>
      <c r="K2222" s="10" t="inlineStr">
        <is>
          <t>&gt; Perfumería &gt; Cuidado Capilar &gt; Acondicionador &gt;</t>
        </is>
      </c>
      <c r="L2222" s="10" t="inlineStr">
        <is>
          <t>acondicionador</t>
        </is>
      </c>
      <c r="M2222" s="10" t="inlineStr">
        <is>
          <t>estandar</t>
        </is>
      </c>
      <c r="N2222" s="10" t="inlineStr">
        <is>
          <t>seco_danado</t>
        </is>
      </c>
      <c r="O2222" s="10" t="inlineStr">
        <is>
          <t>https://www.disco.com.ar/acondicionador-fructis-liso-coco-350-ml/p</t>
        </is>
      </c>
    </row>
    <row r="2223">
      <c r="A2223" t="inlineStr">
        <is>
          <t>Disco</t>
        </is>
      </c>
      <c r="B2223" t="n">
        <v>412309</v>
      </c>
      <c r="C2223" t="n">
        <v>416200</v>
      </c>
      <c r="D2223" t="inlineStr">
        <is>
          <t>Crema para Peinar Hydra Liss 10 en 1 250 Ml Fructis</t>
        </is>
      </c>
      <c r="E2223" t="inlineStr">
        <is>
          <t>FRUCTIS</t>
        </is>
      </c>
      <c r="F2223" t="n">
        <v>7050</v>
      </c>
      <c r="G2223" t="n">
        <v>582645</v>
      </c>
      <c r="H2223" t="b">
        <v>0</v>
      </c>
      <c r="I2223" t="n">
        <v>250</v>
      </c>
      <c r="J2223" t="n">
        <v>28.2</v>
      </c>
      <c r="K2223" t="inlineStr">
        <is>
          <t>&gt; Perfumería &gt; Cuidado Capilar &gt; Reparación y Tratamientos &gt;</t>
        </is>
      </c>
      <c r="L2223" t="inlineStr">
        <is>
          <t>shampoo</t>
        </is>
      </c>
      <c r="M2223" t="inlineStr">
        <is>
          <t>estandar</t>
        </is>
      </c>
      <c r="N2223" t="inlineStr">
        <is>
          <t>general</t>
        </is>
      </c>
      <c r="O2223" t="inlineStr">
        <is>
          <t>https://www.disco.com.ar/crema-para-peinar-hidra-liss-250-ml-fructis/p</t>
        </is>
      </c>
    </row>
    <row r="2224">
      <c r="A2224" s="10" t="inlineStr">
        <is>
          <t>Disco</t>
        </is>
      </c>
      <c r="B2224" s="10" t="n">
        <v>412308</v>
      </c>
      <c r="C2224" s="10" t="n">
        <v>408283</v>
      </c>
      <c r="D2224" s="10" t="inlineStr">
        <is>
          <t>Crema para Peinar Aloe Hidra Clean 250 Ml Fructis</t>
        </is>
      </c>
      <c r="E2224" s="10" t="inlineStr">
        <is>
          <t>FRUCTIS</t>
        </is>
      </c>
      <c r="F2224" s="10" t="n">
        <v>7050</v>
      </c>
      <c r="G2224" s="10" t="n">
        <v>582645</v>
      </c>
      <c r="H2224" s="10" t="b">
        <v>0</v>
      </c>
      <c r="I2224" s="10" t="n">
        <v>250</v>
      </c>
      <c r="J2224" s="10" t="n">
        <v>28.2</v>
      </c>
      <c r="K2224" s="10" t="inlineStr">
        <is>
          <t>&gt; Perfumería &gt; Cuidado Capilar &gt; Reparación y Tratamientos &gt;</t>
        </is>
      </c>
      <c r="L2224" s="10" t="inlineStr">
        <is>
          <t>shampoo</t>
        </is>
      </c>
      <c r="M2224" s="10" t="inlineStr">
        <is>
          <t>estandar</t>
        </is>
      </c>
      <c r="N2224" s="10" t="inlineStr">
        <is>
          <t>general</t>
        </is>
      </c>
      <c r="O2224" s="10" t="inlineStr">
        <is>
          <t>https://www.disco.com.ar/crema-para-peinar-fructis-aloe-hidra-clean-250-ml/p</t>
        </is>
      </c>
    </row>
    <row r="2225">
      <c r="A2225" t="inlineStr">
        <is>
          <t>Disco</t>
        </is>
      </c>
      <c r="B2225" t="n">
        <v>412301</v>
      </c>
      <c r="C2225" t="n">
        <v>408003</v>
      </c>
      <c r="D2225" t="inlineStr">
        <is>
          <t>Acondicionador Aloe Hidra Clean 350 Ml Fructis</t>
        </is>
      </c>
      <c r="E2225" t="inlineStr">
        <is>
          <t>FRUCTIS</t>
        </is>
      </c>
      <c r="F2225" t="n">
        <v>4850</v>
      </c>
      <c r="G2225" t="n">
        <v>400826</v>
      </c>
      <c r="H2225" t="b">
        <v>0</v>
      </c>
      <c r="I2225" t="n">
        <v>350</v>
      </c>
      <c r="J2225" t="n">
        <v>13.8571</v>
      </c>
      <c r="K2225" t="inlineStr">
        <is>
          <t>&gt; Perfumería &gt; Cuidado Capilar &gt; Acondicionador &gt;</t>
        </is>
      </c>
      <c r="L2225" t="inlineStr">
        <is>
          <t>acondicionador</t>
        </is>
      </c>
      <c r="M2225" t="inlineStr">
        <is>
          <t>estandar</t>
        </is>
      </c>
      <c r="N2225" t="inlineStr">
        <is>
          <t>general</t>
        </is>
      </c>
      <c r="O2225" t="inlineStr">
        <is>
          <t>https://www.disco.com.ar/acondicionador-fructis-aloe-hidra-clean-200-ml/p</t>
        </is>
      </c>
    </row>
    <row r="2226">
      <c r="A2226" s="10" t="inlineStr">
        <is>
          <t>Disco</t>
        </is>
      </c>
      <c r="B2226" s="10" t="n">
        <v>412300</v>
      </c>
      <c r="C2226" s="10" t="n">
        <v>408002</v>
      </c>
      <c r="D2226" s="10" t="inlineStr">
        <is>
          <t>Shampoo Aloe Hidra Clean para Cabello Deshidratado 350 Ml Fructis</t>
        </is>
      </c>
      <c r="E2226" s="10" t="inlineStr">
        <is>
          <t>FRUCTIS</t>
        </is>
      </c>
      <c r="F2226" s="10" t="n">
        <v>4850</v>
      </c>
      <c r="G2226" s="10" t="n">
        <v>400826</v>
      </c>
      <c r="H2226" s="10" t="b">
        <v>0</v>
      </c>
      <c r="I2226" s="10" t="n">
        <v>350</v>
      </c>
      <c r="J2226" s="10" t="n">
        <v>13.8571</v>
      </c>
      <c r="K2226" s="10" t="inlineStr">
        <is>
          <t>&gt; Perfumería &gt; Cuidado Capilar &gt; Shampoo &gt;</t>
        </is>
      </c>
      <c r="L2226" s="10" t="inlineStr">
        <is>
          <t>shampoo</t>
        </is>
      </c>
      <c r="M2226" s="10" t="inlineStr">
        <is>
          <t>estandar</t>
        </is>
      </c>
      <c r="N2226" s="10" t="inlineStr">
        <is>
          <t>seco_danado</t>
        </is>
      </c>
      <c r="O2226" s="10" t="inlineStr">
        <is>
          <t>https://www.disco.com.ar/shampoo-fructis-aloe-hidra-clean-200ml/p</t>
        </is>
      </c>
    </row>
    <row r="2227">
      <c r="A2227" t="inlineStr">
        <is>
          <t>Disco</t>
        </is>
      </c>
      <c r="B2227" t="n">
        <v>412299</v>
      </c>
      <c r="C2227" t="n">
        <v>408001</v>
      </c>
      <c r="D2227" t="inlineStr">
        <is>
          <t>Acondicionador Recarga Nutritiva para Cabello Seco 650 Ml Fructis</t>
        </is>
      </c>
      <c r="E2227" t="inlineStr">
        <is>
          <t>FRUCTIS</t>
        </is>
      </c>
      <c r="F2227" t="n">
        <v>9900</v>
      </c>
      <c r="G2227" t="n">
        <v>818182</v>
      </c>
      <c r="H2227" t="b">
        <v>0</v>
      </c>
      <c r="I2227" t="n">
        <v>650</v>
      </c>
      <c r="J2227" t="n">
        <v>15.2308</v>
      </c>
      <c r="K2227" t="inlineStr">
        <is>
          <t>&gt; Perfumería &gt; Cuidado Capilar &gt; Acondicionador &gt;</t>
        </is>
      </c>
      <c r="L2227" t="inlineStr">
        <is>
          <t>acondicionador</t>
        </is>
      </c>
      <c r="M2227" t="inlineStr">
        <is>
          <t>estandar</t>
        </is>
      </c>
      <c r="N2227" t="inlineStr">
        <is>
          <t>seco_danado</t>
        </is>
      </c>
      <c r="O2227" t="inlineStr">
        <is>
          <t>https://www.disco.com.ar/acondicionador-fructis-recarga-nutritiva-650-ml/p</t>
        </is>
      </c>
    </row>
    <row r="2228">
      <c r="A2228" s="10" t="inlineStr">
        <is>
          <t>Disco</t>
        </is>
      </c>
      <c r="B2228" s="10" t="n">
        <v>412298</v>
      </c>
      <c r="C2228" s="10" t="n">
        <v>408000</v>
      </c>
      <c r="D2228" s="10" t="inlineStr">
        <is>
          <t>Shamp Fructis  Recarg Nutri 650ml</t>
        </is>
      </c>
      <c r="E2228" s="10" t="inlineStr">
        <is>
          <t>FRUCTIS</t>
        </is>
      </c>
      <c r="F2228" s="10" t="n">
        <v>6000</v>
      </c>
      <c r="G2228" s="10" t="n">
        <v>495868</v>
      </c>
      <c r="H2228" s="10" t="b">
        <v>0</v>
      </c>
      <c r="I2228" s="10" t="n">
        <v>650</v>
      </c>
      <c r="J2228" s="10" t="n">
        <v>9.2308</v>
      </c>
      <c r="K2228" s="10" t="inlineStr">
        <is>
          <t>&gt; Perfumería &gt; Cuidado Capilar &gt; Shampoo &gt;</t>
        </is>
      </c>
      <c r="L2228" s="10" t="inlineStr">
        <is>
          <t>shampoo</t>
        </is>
      </c>
      <c r="M2228" s="10" t="inlineStr">
        <is>
          <t>estandar</t>
        </is>
      </c>
      <c r="N2228" s="10" t="inlineStr">
        <is>
          <t>general</t>
        </is>
      </c>
      <c r="O2228" s="10" t="inlineStr">
        <is>
          <t>https://www.disco.com.ar/shamp-fructis-recarg-nutri-650ml/p</t>
        </is>
      </c>
    </row>
    <row r="2229">
      <c r="A2229" t="inlineStr">
        <is>
          <t>Disco</t>
        </is>
      </c>
      <c r="B2229" t="n">
        <v>412297</v>
      </c>
      <c r="C2229" t="n">
        <v>407999</v>
      </c>
      <c r="D2229" t="inlineStr">
        <is>
          <t>Shamp Fructis Liss Coconut 650ml</t>
        </is>
      </c>
      <c r="E2229" t="inlineStr">
        <is>
          <t>FRUCTIS</t>
        </is>
      </c>
      <c r="F2229" t="n">
        <v>8200</v>
      </c>
      <c r="G2229" t="n">
        <v>677686</v>
      </c>
      <c r="H2229" t="b">
        <v>0</v>
      </c>
      <c r="I2229" t="n">
        <v>650</v>
      </c>
      <c r="J2229" t="n">
        <v>12.6154</v>
      </c>
      <c r="K2229" t="inlineStr">
        <is>
          <t>&gt; Perfumería &gt; Cuidado Capilar &gt; Shampoo &gt;</t>
        </is>
      </c>
      <c r="L2229" t="inlineStr">
        <is>
          <t>shampoo</t>
        </is>
      </c>
      <c r="M2229" t="inlineStr">
        <is>
          <t>estandar</t>
        </is>
      </c>
      <c r="N2229" t="inlineStr">
        <is>
          <t>general</t>
        </is>
      </c>
      <c r="O2229" t="inlineStr">
        <is>
          <t>https://www.disco.com.ar/shamp-fructis-liss-coconut-650ml/p</t>
        </is>
      </c>
    </row>
    <row r="2230">
      <c r="A2230" s="10" t="inlineStr">
        <is>
          <t>Disco</t>
        </is>
      </c>
      <c r="B2230" s="10" t="n">
        <v>405295</v>
      </c>
      <c r="C2230" s="10" t="n">
        <v>402230</v>
      </c>
      <c r="D2230" s="10" t="inlineStr">
        <is>
          <t>Acondicionador Hydra Liss con Óleo de Argán y Keratina-V Líquida 350 Ml Fructis Shampoo Fructis Hair Food Cacao 300 Ml</t>
        </is>
      </c>
      <c r="E2230" s="10" t="inlineStr">
        <is>
          <t>FRUCTIS</t>
        </is>
      </c>
      <c r="F2230" s="10" t="n">
        <v>5000</v>
      </c>
      <c r="G2230" s="10" t="n">
        <v>413223</v>
      </c>
      <c r="H2230" s="10" t="b">
        <v>0</v>
      </c>
      <c r="I2230" s="10" t="n">
        <v>350</v>
      </c>
      <c r="J2230" s="10" t="n">
        <v>14.2857</v>
      </c>
      <c r="K2230" s="10" t="inlineStr">
        <is>
          <t>&gt; Perfumería &gt; Cuidado Capilar &gt; Acondicionador &gt;</t>
        </is>
      </c>
      <c r="L2230" s="10" t="inlineStr">
        <is>
          <t>acondicionador</t>
        </is>
      </c>
      <c r="M2230" s="10" t="inlineStr">
        <is>
          <t>estandar</t>
        </is>
      </c>
      <c r="N2230" s="10" t="inlineStr">
        <is>
          <t>tratado</t>
        </is>
      </c>
      <c r="O2230" s="10" t="inlineStr">
        <is>
          <t>https://www.disco.com.ar/shampoo-fructis-hair-food-cacao-300-ml/p</t>
        </is>
      </c>
    </row>
    <row r="2231">
      <c r="A2231" t="inlineStr">
        <is>
          <t>Disco</t>
        </is>
      </c>
      <c r="B2231" t="n">
        <v>405287</v>
      </c>
      <c r="C2231" t="n">
        <v>402222</v>
      </c>
      <c r="D2231" t="inlineStr">
        <is>
          <t>Acondicionador Hydraliss Hidratación y Frizz 350 Ml Fructis</t>
        </is>
      </c>
      <c r="E2231" t="inlineStr">
        <is>
          <t>FRUCTIS</t>
        </is>
      </c>
      <c r="F2231" t="n">
        <v>7350</v>
      </c>
      <c r="G2231" t="n">
        <v>607438</v>
      </c>
      <c r="H2231" t="b">
        <v>0</v>
      </c>
      <c r="I2231" t="n">
        <v>350</v>
      </c>
      <c r="J2231" t="n">
        <v>21</v>
      </c>
      <c r="K2231" t="inlineStr">
        <is>
          <t>&gt; Perfumería &gt; Cuidado Capilar &gt; Acondicionador &gt;</t>
        </is>
      </c>
      <c r="L2231" t="inlineStr">
        <is>
          <t>acondicionador</t>
        </is>
      </c>
      <c r="M2231" t="inlineStr">
        <is>
          <t>estandar</t>
        </is>
      </c>
      <c r="N2231" t="inlineStr">
        <is>
          <t>seco_danado</t>
        </is>
      </c>
      <c r="O2231" t="inlineStr">
        <is>
          <t>https://www.disco.com.ar/acondicionador-fructis-hydraliss-350ml/p</t>
        </is>
      </c>
    </row>
    <row r="2232">
      <c r="A2232" s="10" t="inlineStr">
        <is>
          <t>Disco</t>
        </is>
      </c>
      <c r="B2232" s="10" t="n">
        <v>397217</v>
      </c>
      <c r="C2232" s="10" t="n">
        <v>394958</v>
      </c>
      <c r="D2232" s="10" t="inlineStr">
        <is>
          <t>Shampoo Fructis Goodbye Daños 200 Ml</t>
        </is>
      </c>
      <c r="E2232" s="10" t="inlineStr">
        <is>
          <t>FRUCTIS</t>
        </is>
      </c>
      <c r="F2232" s="10" t="n">
        <v>5000</v>
      </c>
      <c r="G2232" s="10" t="n">
        <v>413223</v>
      </c>
      <c r="H2232" s="10" t="b">
        <v>0</v>
      </c>
      <c r="I2232" s="10" t="n">
        <v>200</v>
      </c>
      <c r="J2232" s="10" t="n">
        <v>25</v>
      </c>
      <c r="K2232" s="10" t="inlineStr">
        <is>
          <t>&gt; Perfumería &gt; Cuidado Capilar &gt; Shampoo &gt;</t>
        </is>
      </c>
      <c r="L2232" s="10" t="inlineStr">
        <is>
          <t>shampoo</t>
        </is>
      </c>
      <c r="M2232" s="10" t="inlineStr">
        <is>
          <t>estandar</t>
        </is>
      </c>
      <c r="N2232" s="10" t="inlineStr">
        <is>
          <t>general</t>
        </is>
      </c>
      <c r="O2232" s="10" t="inlineStr">
        <is>
          <t>https://www.disco.com.ar/shampoo-fructis-goodbye-danos-200-ml/p</t>
        </is>
      </c>
    </row>
    <row r="2233">
      <c r="A2233" t="inlineStr">
        <is>
          <t>Disco</t>
        </is>
      </c>
      <c r="B2233" t="n">
        <v>397211</v>
      </c>
      <c r="C2233" t="n">
        <v>394952</v>
      </c>
      <c r="D2233" t="inlineStr">
        <is>
          <t>Crema para Peinar Goodbye Daños 250 Ml Fructis</t>
        </is>
      </c>
      <c r="E2233" t="inlineStr">
        <is>
          <t>FRUCTIS</t>
        </is>
      </c>
      <c r="F2233" t="n">
        <v>6700</v>
      </c>
      <c r="G2233" t="n">
        <v>553719</v>
      </c>
      <c r="H2233" t="b">
        <v>0</v>
      </c>
      <c r="I2233" t="n">
        <v>250</v>
      </c>
      <c r="J2233" t="n">
        <v>26.8</v>
      </c>
      <c r="K2233" t="inlineStr">
        <is>
          <t>&gt; Perfumería &gt; Cuidado Capilar &gt; Acondicionador &gt;</t>
        </is>
      </c>
      <c r="L2233" t="inlineStr">
        <is>
          <t>shampoo</t>
        </is>
      </c>
      <c r="M2233" t="inlineStr">
        <is>
          <t>estandar</t>
        </is>
      </c>
      <c r="N2233" t="inlineStr">
        <is>
          <t>general</t>
        </is>
      </c>
      <c r="O2233" t="inlineStr">
        <is>
          <t>https://www.disco.com.ar/crema-para-peinar-fructis-goodbye-danos-250ml/p</t>
        </is>
      </c>
    </row>
    <row r="2234">
      <c r="A2234" s="10" t="inlineStr">
        <is>
          <t>Disco</t>
        </is>
      </c>
      <c r="B2234" s="10" t="n">
        <v>397193</v>
      </c>
      <c r="C2234" s="10" t="n">
        <v>394934</v>
      </c>
      <c r="D2234" s="10" t="inlineStr">
        <is>
          <t>Acondicionador Goodbye Daños 200 Ml Fructis</t>
        </is>
      </c>
      <c r="E2234" s="10" t="inlineStr">
        <is>
          <t>FRUCTIS</t>
        </is>
      </c>
      <c r="F2234" s="10" t="n">
        <v>4850</v>
      </c>
      <c r="G2234" s="10" t="n">
        <v>400826</v>
      </c>
      <c r="H2234" s="10" t="b">
        <v>0</v>
      </c>
      <c r="I2234" s="10" t="n">
        <v>200</v>
      </c>
      <c r="J2234" s="10" t="n">
        <v>24.25</v>
      </c>
      <c r="K2234" s="10" t="inlineStr">
        <is>
          <t>&gt; Perfumería &gt; Cuidado Capilar &gt; Acondicionador &gt;</t>
        </is>
      </c>
      <c r="L2234" s="10" t="inlineStr">
        <is>
          <t>acondicionador</t>
        </is>
      </c>
      <c r="M2234" s="10" t="inlineStr">
        <is>
          <t>estandar</t>
        </is>
      </c>
      <c r="N2234" s="10" t="inlineStr">
        <is>
          <t>general</t>
        </is>
      </c>
      <c r="O2234" s="10" t="inlineStr">
        <is>
          <t>https://www.disco.com.ar/acondicionador-fructis-goodbye-danos-200-ml/p</t>
        </is>
      </c>
    </row>
    <row r="2235">
      <c r="A2235" t="inlineStr">
        <is>
          <t>Disco</t>
        </is>
      </c>
      <c r="B2235" t="n">
        <v>396768</v>
      </c>
      <c r="C2235" t="n">
        <v>339874</v>
      </c>
      <c r="D2235" t="inlineStr">
        <is>
          <t>Acondic Fructis Hair Food Sandia 300ml</t>
        </is>
      </c>
      <c r="E2235" t="inlineStr">
        <is>
          <t>FRUCTIS</t>
        </is>
      </c>
      <c r="F2235" t="n">
        <v>1450</v>
      </c>
      <c r="G2235" t="n">
        <v>119835</v>
      </c>
      <c r="H2235" t="b">
        <v>0</v>
      </c>
      <c r="I2235" t="n">
        <v>300</v>
      </c>
      <c r="J2235" t="n">
        <v>4.8333</v>
      </c>
      <c r="K2235" t="inlineStr">
        <is>
          <t>&gt; Perfumería &gt; Cuidado Capilar &gt; Acondicionador &gt;</t>
        </is>
      </c>
      <c r="L2235" t="inlineStr">
        <is>
          <t>shampoo</t>
        </is>
      </c>
      <c r="M2235" t="inlineStr">
        <is>
          <t>estandar</t>
        </is>
      </c>
      <c r="N2235" t="inlineStr">
        <is>
          <t>general</t>
        </is>
      </c>
      <c r="O2235" t="inlineStr">
        <is>
          <t>https://www.disco.com.ar/acondic-fructis-hair-food-sandia-300ml-2/p</t>
        </is>
      </c>
    </row>
    <row r="2236">
      <c r="A2236" s="10" t="inlineStr">
        <is>
          <t>Disco</t>
        </is>
      </c>
      <c r="B2236" s="10" t="n">
        <v>393749</v>
      </c>
      <c r="C2236" s="10" t="n">
        <v>391777</v>
      </c>
      <c r="D2236" s="10" t="inlineStr">
        <is>
          <t>Crema Para Peinar Fructis Rizos Poderosos 250m</t>
        </is>
      </c>
      <c r="E2236" s="10" t="inlineStr">
        <is>
          <t>FRUCTIS</t>
        </is>
      </c>
      <c r="F2236" s="10" t="n">
        <v>1176.06</v>
      </c>
      <c r="G2236" s="10" t="n">
        <v>97195</v>
      </c>
      <c r="H2236" s="10" t="b">
        <v>0</v>
      </c>
      <c r="I2236" s="10" t="inlineStr"/>
      <c r="J2236" s="10" t="inlineStr"/>
      <c r="K2236" s="10" t="inlineStr">
        <is>
          <t>&gt; Perfumería &gt; Cuidado Capilar &gt; Reparación y Tratamientos &gt;</t>
        </is>
      </c>
      <c r="L2236" s="10" t="inlineStr">
        <is>
          <t>shampoo</t>
        </is>
      </c>
      <c r="M2236" s="10" t="inlineStr">
        <is>
          <t>estandar</t>
        </is>
      </c>
      <c r="N2236" s="10" t="inlineStr">
        <is>
          <t>rizado</t>
        </is>
      </c>
      <c r="O2236" s="10" t="inlineStr">
        <is>
          <t>https://www.disco.com.ar/crema-para-peinar-fructis-rizos-poderosos-250m/p</t>
        </is>
      </c>
    </row>
    <row r="2237">
      <c r="A2237" t="inlineStr">
        <is>
          <t>Disco</t>
        </is>
      </c>
      <c r="B2237" t="n">
        <v>393554</v>
      </c>
      <c r="C2237" t="n">
        <v>391582</v>
      </c>
      <c r="D2237" t="inlineStr">
        <is>
          <t>Crema Tratamiento Fructis Liso Coco 250 Ml</t>
        </is>
      </c>
      <c r="E2237" t="inlineStr">
        <is>
          <t>FRUCTIS</t>
        </is>
      </c>
      <c r="F2237" t="n">
        <v>1105.09</v>
      </c>
      <c r="G2237" t="n">
        <v>91330</v>
      </c>
      <c r="H2237" t="b">
        <v>0</v>
      </c>
      <c r="I2237" t="n">
        <v>250</v>
      </c>
      <c r="J2237" t="n">
        <v>4.4204</v>
      </c>
      <c r="K2237" t="inlineStr">
        <is>
          <t>&gt; Perfumería &gt; Cuidado Capilar &gt; Reparación y Tratamientos &gt;</t>
        </is>
      </c>
      <c r="L2237" t="inlineStr">
        <is>
          <t>tratamiento</t>
        </is>
      </c>
      <c r="M2237" t="inlineStr">
        <is>
          <t>estandar</t>
        </is>
      </c>
      <c r="N2237" t="inlineStr">
        <is>
          <t>general</t>
        </is>
      </c>
      <c r="O2237" t="inlineStr">
        <is>
          <t>https://www.disco.com.ar/crema-tratamiento-fructis-liso-coco-250-ml/p</t>
        </is>
      </c>
    </row>
    <row r="2238">
      <c r="A2238" s="10" t="inlineStr">
        <is>
          <t>Disco</t>
        </is>
      </c>
      <c r="B2238" s="10" t="n">
        <v>393550</v>
      </c>
      <c r="C2238" s="10" t="n">
        <v>391578</v>
      </c>
      <c r="D2238" s="10" t="inlineStr">
        <is>
          <t>Tratamiento Fructis Aloe Secado Natural 250ml</t>
        </is>
      </c>
      <c r="E2238" s="10" t="inlineStr">
        <is>
          <t>FRUCTIS</t>
        </is>
      </c>
      <c r="F2238" s="10" t="n">
        <v>1190.29</v>
      </c>
      <c r="G2238" s="10" t="n">
        <v>98371</v>
      </c>
      <c r="H2238" s="10" t="b">
        <v>0</v>
      </c>
      <c r="I2238" s="10" t="n">
        <v>250</v>
      </c>
      <c r="J2238" s="10" t="n">
        <v>4.7612</v>
      </c>
      <c r="K2238" s="10" t="inlineStr">
        <is>
          <t>&gt; Perfumería &gt; Cuidado Capilar &gt; Reparación y Tratamientos &gt;</t>
        </is>
      </c>
      <c r="L2238" s="10" t="inlineStr">
        <is>
          <t>tratamiento</t>
        </is>
      </c>
      <c r="M2238" s="10" t="inlineStr">
        <is>
          <t>estandar</t>
        </is>
      </c>
      <c r="N2238" s="10" t="inlineStr">
        <is>
          <t>general</t>
        </is>
      </c>
      <c r="O2238" s="10" t="inlineStr">
        <is>
          <t>https://www.disco.com.ar/tratamiento-fructis-aloe-secado-natural-250ml/p</t>
        </is>
      </c>
    </row>
    <row r="2239">
      <c r="A2239" t="inlineStr">
        <is>
          <t>Disco</t>
        </is>
      </c>
      <c r="B2239" t="n">
        <v>393547</v>
      </c>
      <c r="C2239" t="n">
        <v>391575</v>
      </c>
      <c r="D2239" t="inlineStr">
        <is>
          <t>Tratamiento Fructis Recarga Nutritiva 250ml</t>
        </is>
      </c>
      <c r="E2239" t="inlineStr">
        <is>
          <t>FRUCTIS</t>
        </is>
      </c>
      <c r="F2239" t="n">
        <v>1312.29</v>
      </c>
      <c r="G2239" t="n">
        <v>108454</v>
      </c>
      <c r="H2239" t="b">
        <v>0</v>
      </c>
      <c r="I2239" t="n">
        <v>250</v>
      </c>
      <c r="J2239" t="n">
        <v>5.2492</v>
      </c>
      <c r="K2239" t="inlineStr">
        <is>
          <t>&gt; Perfumería &gt; Cuidado Capilar &gt; Reparación y Tratamientos &gt;</t>
        </is>
      </c>
      <c r="L2239" t="inlineStr">
        <is>
          <t>tratamiento</t>
        </is>
      </c>
      <c r="M2239" t="inlineStr">
        <is>
          <t>estandar</t>
        </is>
      </c>
      <c r="N2239" t="inlineStr">
        <is>
          <t>general</t>
        </is>
      </c>
      <c r="O2239" t="inlineStr">
        <is>
          <t>https://www.disco.com.ar/tratamiento-fructis-recarga-nutritiva-250ml/p</t>
        </is>
      </c>
    </row>
    <row r="2240">
      <c r="A2240" s="10" t="inlineStr">
        <is>
          <t>Disco</t>
        </is>
      </c>
      <c r="B2240" s="10" t="n">
        <v>384065</v>
      </c>
      <c r="C2240" s="10" t="n">
        <v>382760</v>
      </c>
      <c r="D2240" s="10" t="inlineStr">
        <is>
          <t>Acondicionador Fructis Hair Food Aloe 300ml</t>
        </is>
      </c>
      <c r="E2240" s="10" t="inlineStr">
        <is>
          <t>FRUCTIS</t>
        </is>
      </c>
      <c r="F2240" s="10" t="n">
        <v>10800</v>
      </c>
      <c r="G2240" s="10" t="n">
        <v>892562</v>
      </c>
      <c r="H2240" s="10" t="b">
        <v>0</v>
      </c>
      <c r="I2240" s="10" t="n">
        <v>300</v>
      </c>
      <c r="J2240" s="10" t="n">
        <v>36</v>
      </c>
      <c r="K2240" s="10" t="inlineStr">
        <is>
          <t>&gt; Perfumería &gt; Cuidado Capilar &gt; Acondicionador &gt;</t>
        </is>
      </c>
      <c r="L2240" s="10" t="inlineStr">
        <is>
          <t>acondicionador</t>
        </is>
      </c>
      <c r="M2240" s="10" t="inlineStr">
        <is>
          <t>estandar</t>
        </is>
      </c>
      <c r="N2240" s="10" t="inlineStr">
        <is>
          <t>general</t>
        </is>
      </c>
      <c r="O2240" s="10" t="inlineStr">
        <is>
          <t>https://www.disco.com.ar/acondicionador-fructis-hair-food-aloe-300ml/p</t>
        </is>
      </c>
    </row>
    <row r="2241">
      <c r="A2241" t="inlineStr">
        <is>
          <t>Disco</t>
        </is>
      </c>
      <c r="B2241" t="n">
        <v>384062</v>
      </c>
      <c r="C2241" t="n">
        <v>382759</v>
      </c>
      <c r="D2241" t="inlineStr">
        <is>
          <t>Shampoo Fructis Hair Food Banana 300ml</t>
        </is>
      </c>
      <c r="E2241" t="inlineStr">
        <is>
          <t>FRUCTIS</t>
        </is>
      </c>
      <c r="F2241" t="n">
        <v>9750</v>
      </c>
      <c r="G2241" t="n">
        <v>805785</v>
      </c>
      <c r="H2241" t="b">
        <v>0</v>
      </c>
      <c r="I2241" t="n">
        <v>300</v>
      </c>
      <c r="J2241" t="n">
        <v>32.5</v>
      </c>
      <c r="K2241" t="inlineStr">
        <is>
          <t>&gt; Perfumería &gt; Cuidado Capilar &gt; Shampoo &gt;</t>
        </is>
      </c>
      <c r="L2241" t="inlineStr">
        <is>
          <t>shampoo</t>
        </is>
      </c>
      <c r="M2241" t="inlineStr">
        <is>
          <t>estandar</t>
        </is>
      </c>
      <c r="N2241" t="inlineStr">
        <is>
          <t>general</t>
        </is>
      </c>
      <c r="O2241" t="inlineStr">
        <is>
          <t>https://www.disco.com.ar/shampoo-fructis-hair-food-banana-300ml-3/p</t>
        </is>
      </c>
    </row>
    <row r="2242">
      <c r="A2242" s="10" t="inlineStr">
        <is>
          <t>Disco</t>
        </is>
      </c>
      <c r="B2242" s="10" t="n">
        <v>384056</v>
      </c>
      <c r="C2242" s="10" t="n">
        <v>382758</v>
      </c>
      <c r="D2242" s="10" t="inlineStr">
        <is>
          <t>Shampoo Hair Food Cabello Normal Sandía 300 Ml Fructis</t>
        </is>
      </c>
      <c r="E2242" s="10" t="inlineStr">
        <is>
          <t>FRUCTIS</t>
        </is>
      </c>
      <c r="F2242" s="10" t="n">
        <v>10000</v>
      </c>
      <c r="G2242" s="10" t="n">
        <v>826446</v>
      </c>
      <c r="H2242" s="10" t="b">
        <v>0</v>
      </c>
      <c r="I2242" s="10" t="n">
        <v>300</v>
      </c>
      <c r="J2242" s="10" t="n">
        <v>33.3333</v>
      </c>
      <c r="K2242" s="10" t="inlineStr">
        <is>
          <t>&gt; Perfumería &gt; Cuidado Capilar &gt; Shampoo &gt;</t>
        </is>
      </c>
      <c r="L2242" s="10" t="inlineStr">
        <is>
          <t>shampoo</t>
        </is>
      </c>
      <c r="M2242" s="10" t="inlineStr">
        <is>
          <t>estandar</t>
        </is>
      </c>
      <c r="N2242" s="10" t="inlineStr">
        <is>
          <t>general</t>
        </is>
      </c>
      <c r="O2242" s="10" t="inlineStr">
        <is>
          <t>https://www.disco.com.ar/shampoo-fructis-hair-food-sandia-300-ml/p</t>
        </is>
      </c>
    </row>
    <row r="2243">
      <c r="A2243" t="inlineStr">
        <is>
          <t>Disco</t>
        </is>
      </c>
      <c r="B2243" t="n">
        <v>384051</v>
      </c>
      <c r="C2243" t="n">
        <v>382757</v>
      </c>
      <c r="D2243" t="inlineStr">
        <is>
          <t>Shampoo Hair Food Nutrición Palta 300 Ml Fructis</t>
        </is>
      </c>
      <c r="E2243" t="inlineStr">
        <is>
          <t>FRUCTIS</t>
        </is>
      </c>
      <c r="F2243" t="n">
        <v>10500</v>
      </c>
      <c r="G2243" t="n">
        <v>867769</v>
      </c>
      <c r="H2243" t="b">
        <v>0</v>
      </c>
      <c r="I2243" t="n">
        <v>300</v>
      </c>
      <c r="J2243" t="n">
        <v>35</v>
      </c>
      <c r="K2243" t="inlineStr">
        <is>
          <t>&gt; Perfumería &gt; Cuidado Capilar &gt; Shampoo &gt;</t>
        </is>
      </c>
      <c r="L2243" t="inlineStr">
        <is>
          <t>shampoo</t>
        </is>
      </c>
      <c r="M2243" t="inlineStr">
        <is>
          <t>estandar</t>
        </is>
      </c>
      <c r="N2243" t="inlineStr">
        <is>
          <t>general</t>
        </is>
      </c>
      <c r="O2243" t="inlineStr">
        <is>
          <t>https://www.disco.com.ar/shampoo-hair-food-palta-fructis-garnier-300-ml/p</t>
        </is>
      </c>
    </row>
    <row r="2244">
      <c r="A2244" s="10" t="inlineStr">
        <is>
          <t>Disco</t>
        </is>
      </c>
      <c r="B2244" s="10" t="n">
        <v>384050</v>
      </c>
      <c r="C2244" s="10" t="n">
        <v>382756</v>
      </c>
      <c r="D2244" s="10" t="inlineStr">
        <is>
          <t>Acondicionador Hair Food Reparación de Coco 300 Ml Fructis</t>
        </is>
      </c>
      <c r="E2244" s="10" t="inlineStr">
        <is>
          <t>FRUCTIS</t>
        </is>
      </c>
      <c r="F2244" s="10" t="n">
        <v>10800</v>
      </c>
      <c r="G2244" s="10" t="n">
        <v>892562</v>
      </c>
      <c r="H2244" s="10" t="b">
        <v>0</v>
      </c>
      <c r="I2244" s="10" t="n">
        <v>300</v>
      </c>
      <c r="J2244" s="10" t="n">
        <v>36</v>
      </c>
      <c r="K2244" s="10" t="inlineStr">
        <is>
          <t>&gt; Perfumería &gt; Cuidado Capilar &gt; Acondicionador &gt;</t>
        </is>
      </c>
      <c r="L2244" s="10" t="inlineStr">
        <is>
          <t>acondicionador</t>
        </is>
      </c>
      <c r="M2244" s="10" t="inlineStr">
        <is>
          <t>estandar</t>
        </is>
      </c>
      <c r="N2244" s="10" t="inlineStr">
        <is>
          <t>general</t>
        </is>
      </c>
      <c r="O2244" s="10" t="inlineStr">
        <is>
          <t>https://www.disco.com.ar/acondicionador-hair-food-coco-fructis-garnier-300-ml/p</t>
        </is>
      </c>
    </row>
    <row r="2245">
      <c r="A2245" t="inlineStr">
        <is>
          <t>Disco</t>
        </is>
      </c>
      <c r="B2245" t="n">
        <v>384046</v>
      </c>
      <c r="C2245" t="n">
        <v>382755</v>
      </c>
      <c r="D2245" t="inlineStr">
        <is>
          <t>Acondicionador Nutrición Cabello Seco Hair Food Palta 300 Ml Fructis</t>
        </is>
      </c>
      <c r="E2245" t="inlineStr">
        <is>
          <t>FRUCTIS</t>
        </is>
      </c>
      <c r="F2245" t="n">
        <v>10500</v>
      </c>
      <c r="G2245" t="n">
        <v>867769</v>
      </c>
      <c r="H2245" t="b">
        <v>0</v>
      </c>
      <c r="I2245" t="n">
        <v>300</v>
      </c>
      <c r="J2245" t="n">
        <v>35</v>
      </c>
      <c r="K2245" t="inlineStr">
        <is>
          <t>&gt; Perfumería &gt; Cuidado Capilar &gt; Acondicionador &gt;</t>
        </is>
      </c>
      <c r="L2245" t="inlineStr">
        <is>
          <t>acondicionador</t>
        </is>
      </c>
      <c r="M2245" t="inlineStr">
        <is>
          <t>estandar</t>
        </is>
      </c>
      <c r="N2245" t="inlineStr">
        <is>
          <t>seco_danado</t>
        </is>
      </c>
      <c r="O2245" t="inlineStr">
        <is>
          <t>https://www.disco.com.ar/acondicionador-garnier-fructis-hair-food-palta-300-ml/p</t>
        </is>
      </c>
    </row>
    <row r="2246">
      <c r="A2246" s="10" t="inlineStr">
        <is>
          <t>Disco</t>
        </is>
      </c>
      <c r="B2246" s="10" t="n">
        <v>384031</v>
      </c>
      <c r="C2246" s="10" t="n">
        <v>382752</v>
      </c>
      <c r="D2246" s="10" t="inlineStr">
        <is>
          <t>Shampoo Hidratación Cabello Deshidratado Aloe Vera 300 Ml Fructis</t>
        </is>
      </c>
      <c r="E2246" s="10" t="inlineStr">
        <is>
          <t>FRUCTIS</t>
        </is>
      </c>
      <c r="F2246" s="10" t="n">
        <v>10000</v>
      </c>
      <c r="G2246" s="10" t="n">
        <v>826446</v>
      </c>
      <c r="H2246" s="10" t="b">
        <v>0</v>
      </c>
      <c r="I2246" s="10" t="n">
        <v>300</v>
      </c>
      <c r="J2246" s="10" t="n">
        <v>33.3333</v>
      </c>
      <c r="K2246" s="10" t="inlineStr">
        <is>
          <t>&gt; Perfumería &gt; Cuidado Capilar &gt; Shampoo &gt;</t>
        </is>
      </c>
      <c r="L2246" s="10" t="inlineStr">
        <is>
          <t>shampoo</t>
        </is>
      </c>
      <c r="M2246" s="10" t="inlineStr">
        <is>
          <t>estandar</t>
        </is>
      </c>
      <c r="N2246" s="10" t="inlineStr">
        <is>
          <t>seco_danado</t>
        </is>
      </c>
      <c r="O2246" s="10" t="inlineStr">
        <is>
          <t>https://www.disco.com.ar/shampoo-fructis-hair-food-aloe-300-ml/p</t>
        </is>
      </c>
    </row>
    <row r="2247">
      <c r="A2247" t="inlineStr">
        <is>
          <t>Disco</t>
        </is>
      </c>
      <c r="B2247" t="n">
        <v>384024</v>
      </c>
      <c r="C2247" t="n">
        <v>382746</v>
      </c>
      <c r="D2247" t="inlineStr">
        <is>
          <t>Acondicionador Hair Food Fuerza para Cabello Débil Banana 300 Ml Fructis</t>
        </is>
      </c>
      <c r="E2247" t="inlineStr">
        <is>
          <t>FRUCTIS</t>
        </is>
      </c>
      <c r="F2247" t="n">
        <v>9450</v>
      </c>
      <c r="G2247" t="n">
        <v>780992</v>
      </c>
      <c r="H2247" t="b">
        <v>0</v>
      </c>
      <c r="I2247" t="n">
        <v>300</v>
      </c>
      <c r="J2247" t="n">
        <v>31.5</v>
      </c>
      <c r="K2247" t="inlineStr">
        <is>
          <t>&gt; Perfumería &gt; Cuidado Capilar &gt; Acondicionador &gt;</t>
        </is>
      </c>
      <c r="L2247" t="inlineStr">
        <is>
          <t>acondicionador</t>
        </is>
      </c>
      <c r="M2247" t="inlineStr">
        <is>
          <t>estandar</t>
        </is>
      </c>
      <c r="N2247" t="inlineStr">
        <is>
          <t>general</t>
        </is>
      </c>
      <c r="O2247" t="inlineStr">
        <is>
          <t>https://www.disco.com.ar/acondicionador-fructis-hair-food-banana-300ml/p</t>
        </is>
      </c>
    </row>
    <row r="2248">
      <c r="A2248" s="10" t="inlineStr">
        <is>
          <t>Disco</t>
        </is>
      </c>
      <c r="B2248" s="10" t="n">
        <v>375243</v>
      </c>
      <c r="C2248" s="10" t="n">
        <v>373961</v>
      </c>
      <c r="D2248" s="10" t="inlineStr">
        <is>
          <t>Shampooo Fructis Recarga Nutritiva 200ml</t>
        </is>
      </c>
      <c r="E2248" s="10" t="inlineStr">
        <is>
          <t>FRUCTIS</t>
        </is>
      </c>
      <c r="F2248" s="10" t="n">
        <v>994.6900000000001</v>
      </c>
      <c r="G2248" s="10" t="n">
        <v>82206</v>
      </c>
      <c r="H2248" s="10" t="b">
        <v>0</v>
      </c>
      <c r="I2248" s="10" t="n">
        <v>200</v>
      </c>
      <c r="J2248" s="10" t="n">
        <v>4.9735</v>
      </c>
      <c r="K2248" s="10" t="inlineStr">
        <is>
          <t>&gt; Perfumería &gt; Cuidado Capilar &gt; Shampoo &gt;</t>
        </is>
      </c>
      <c r="L2248" s="10" t="inlineStr">
        <is>
          <t>shampoo</t>
        </is>
      </c>
      <c r="M2248" s="10" t="inlineStr">
        <is>
          <t>estandar</t>
        </is>
      </c>
      <c r="N2248" s="10" t="inlineStr">
        <is>
          <t>general</t>
        </is>
      </c>
      <c r="O2248" s="10" t="inlineStr">
        <is>
          <t>https://www.disco.com.ar/shampooo-fructis-recarga-nutritiva-200ml/p</t>
        </is>
      </c>
    </row>
    <row r="2249">
      <c r="A2249" t="inlineStr">
        <is>
          <t>Disco</t>
        </is>
      </c>
      <c r="B2249" t="n">
        <v>375236</v>
      </c>
      <c r="C2249" t="n">
        <v>373954</v>
      </c>
      <c r="D2249" t="inlineStr">
        <is>
          <t>Acondicionador Fructis Rizos Poderosos 350ml</t>
        </is>
      </c>
      <c r="E2249" t="inlineStr">
        <is>
          <t>FRUCTIS</t>
        </is>
      </c>
      <c r="F2249" t="n">
        <v>1233.85</v>
      </c>
      <c r="G2249" t="n">
        <v>101971</v>
      </c>
      <c r="H2249" t="b">
        <v>0</v>
      </c>
      <c r="I2249" t="n">
        <v>350</v>
      </c>
      <c r="J2249" t="n">
        <v>3.5253</v>
      </c>
      <c r="K2249" t="inlineStr">
        <is>
          <t>&gt; Perfumería &gt; Cuidado Capilar &gt; Acondicionador &gt;</t>
        </is>
      </c>
      <c r="L2249" t="inlineStr">
        <is>
          <t>acondicionador</t>
        </is>
      </c>
      <c r="M2249" t="inlineStr">
        <is>
          <t>estandar</t>
        </is>
      </c>
      <c r="N2249" t="inlineStr">
        <is>
          <t>rizado</t>
        </is>
      </c>
      <c r="O2249" t="inlineStr">
        <is>
          <t>https://www.disco.com.ar/acondicionador-fructis-rizos-poderosos-350ml/p</t>
        </is>
      </c>
    </row>
    <row r="2250">
      <c r="A2250" s="10" t="inlineStr">
        <is>
          <t>Disco</t>
        </is>
      </c>
      <c r="B2250" s="10" t="n">
        <v>375230</v>
      </c>
      <c r="C2250" s="10" t="n">
        <v>373948</v>
      </c>
      <c r="D2250" s="10" t="inlineStr">
        <is>
          <t>Acondicionador Fructis Rizo Manejable 200ml</t>
        </is>
      </c>
      <c r="E2250" s="10" t="inlineStr">
        <is>
          <t>FRUCTIS</t>
        </is>
      </c>
      <c r="F2250" s="10" t="n">
        <v>801.59</v>
      </c>
      <c r="G2250" s="10" t="n">
        <v>66247</v>
      </c>
      <c r="H2250" s="10" t="b">
        <v>0</v>
      </c>
      <c r="I2250" s="10" t="n">
        <v>200</v>
      </c>
      <c r="J2250" s="10" t="n">
        <v>4.008</v>
      </c>
      <c r="K2250" s="10" t="inlineStr">
        <is>
          <t>&gt; Perfumería &gt; Cuidado Capilar &gt; Acondicionador &gt;</t>
        </is>
      </c>
      <c r="L2250" s="10" t="inlineStr">
        <is>
          <t>acondicionador</t>
        </is>
      </c>
      <c r="M2250" s="10" t="inlineStr">
        <is>
          <t>estandar</t>
        </is>
      </c>
      <c r="N2250" s="10" t="inlineStr">
        <is>
          <t>general</t>
        </is>
      </c>
      <c r="O2250" s="10" t="inlineStr">
        <is>
          <t>https://www.disco.com.ar/acondicionador-fructis-rizo-manejable-200ml/p</t>
        </is>
      </c>
    </row>
    <row r="2251">
      <c r="A2251" t="inlineStr">
        <is>
          <t>Disco</t>
        </is>
      </c>
      <c r="B2251" t="n">
        <v>352449</v>
      </c>
      <c r="C2251" t="n">
        <v>351085</v>
      </c>
      <c r="D2251" t="inlineStr">
        <is>
          <t>Shampoo  Avocado Solido 60 Gr Fructis Shampoo Fructis Avocado Solido 60g</t>
        </is>
      </c>
      <c r="E2251" t="inlineStr">
        <is>
          <t>FRUCTIS</t>
        </is>
      </c>
      <c r="F2251" t="n">
        <v>2800</v>
      </c>
      <c r="G2251" t="n">
        <v>231405</v>
      </c>
      <c r="H2251" t="b">
        <v>0</v>
      </c>
      <c r="I2251" t="n">
        <v>60</v>
      </c>
      <c r="J2251" t="n">
        <v>46.6667</v>
      </c>
      <c r="K2251" t="inlineStr">
        <is>
          <t>&gt; Perfumería &gt; Cuidado Capilar &gt; Shampoo &gt;</t>
        </is>
      </c>
      <c r="L2251" t="inlineStr">
        <is>
          <t>shampoo</t>
        </is>
      </c>
      <c r="M2251" t="inlineStr">
        <is>
          <t>estandar</t>
        </is>
      </c>
      <c r="N2251" t="inlineStr">
        <is>
          <t>general</t>
        </is>
      </c>
      <c r="O2251" t="inlineStr">
        <is>
          <t>https://www.disco.com.ar/shampoo-fructis-avocado-solido-60g-2/p</t>
        </is>
      </c>
    </row>
    <row r="2252">
      <c r="A2252" s="10" t="inlineStr">
        <is>
          <t>Disco</t>
        </is>
      </c>
      <c r="B2252" s="10" t="n">
        <v>352443</v>
      </c>
      <c r="C2252" s="10" t="n">
        <v>351079</v>
      </c>
      <c r="D2252" s="10" t="inlineStr">
        <is>
          <t>Shampoo  Sandia Solido 60 Gr Fructis Shampoo Fructis Sandia Solido 60g</t>
        </is>
      </c>
      <c r="E2252" s="10" t="inlineStr">
        <is>
          <t>FRUCTIS</t>
        </is>
      </c>
      <c r="F2252" s="10" t="n">
        <v>1507.19</v>
      </c>
      <c r="G2252" s="10" t="n">
        <v>124561</v>
      </c>
      <c r="H2252" s="10" t="b">
        <v>0</v>
      </c>
      <c r="I2252" s="10" t="n">
        <v>60</v>
      </c>
      <c r="J2252" s="10" t="n">
        <v>25.1198</v>
      </c>
      <c r="K2252" s="10" t="inlineStr">
        <is>
          <t>&gt; Perfumería &gt; Cuidado Capilar &gt; Shampoo &gt;</t>
        </is>
      </c>
      <c r="L2252" s="10" t="inlineStr">
        <is>
          <t>shampoo</t>
        </is>
      </c>
      <c r="M2252" s="10" t="inlineStr">
        <is>
          <t>estandar</t>
        </is>
      </c>
      <c r="N2252" s="10" t="inlineStr">
        <is>
          <t>general</t>
        </is>
      </c>
      <c r="O2252" s="10" t="inlineStr">
        <is>
          <t>https://www.disco.com.ar/shampoo-fructis-sandia-solido-60g-2/p</t>
        </is>
      </c>
    </row>
    <row r="2253">
      <c r="A2253" t="inlineStr">
        <is>
          <t>Disco</t>
        </is>
      </c>
      <c r="B2253" t="n">
        <v>352442</v>
      </c>
      <c r="C2253" t="n">
        <v>351078</v>
      </c>
      <c r="D2253" t="inlineStr">
        <is>
          <t>Shampoo  Banana Solido 60 Gr Fructis Shampoo Fructis Banana Solido 60g</t>
        </is>
      </c>
      <c r="E2253" t="inlineStr">
        <is>
          <t>FRUCTIS</t>
        </is>
      </c>
      <c r="F2253" t="n">
        <v>1708.95</v>
      </c>
      <c r="G2253" t="n">
        <v>141236</v>
      </c>
      <c r="H2253" t="b">
        <v>0</v>
      </c>
      <c r="I2253" t="n">
        <v>60</v>
      </c>
      <c r="J2253" t="n">
        <v>28.4825</v>
      </c>
      <c r="K2253" t="inlineStr">
        <is>
          <t>&gt; Perfumería &gt; Cuidado Capilar &gt; Shampoo &gt;</t>
        </is>
      </c>
      <c r="L2253" t="inlineStr">
        <is>
          <t>shampoo</t>
        </is>
      </c>
      <c r="M2253" t="inlineStr">
        <is>
          <t>estandar</t>
        </is>
      </c>
      <c r="N2253" t="inlineStr">
        <is>
          <t>general</t>
        </is>
      </c>
      <c r="O2253" t="inlineStr">
        <is>
          <t>https://www.disco.com.ar/shampoo-fructis-banana-solido-60g-2/p</t>
        </is>
      </c>
    </row>
    <row r="2254">
      <c r="A2254" s="10" t="inlineStr">
        <is>
          <t>Disco</t>
        </is>
      </c>
      <c r="B2254" s="10" t="n">
        <v>352441</v>
      </c>
      <c r="C2254" s="10" t="n">
        <v>351077</v>
      </c>
      <c r="D2254" s="10" t="inlineStr">
        <is>
          <t>Shampoo  Aloe Vera Solido 60 Gr Fructis Shampoo Fructis Aloe Vera Solido 60g</t>
        </is>
      </c>
      <c r="E2254" s="10" t="inlineStr">
        <is>
          <t>FRUCTIS</t>
        </is>
      </c>
      <c r="F2254" s="10" t="n">
        <v>2700</v>
      </c>
      <c r="G2254" s="10" t="n">
        <v>223141</v>
      </c>
      <c r="H2254" s="10" t="b">
        <v>0</v>
      </c>
      <c r="I2254" s="10" t="n">
        <v>60</v>
      </c>
      <c r="J2254" s="10" t="n">
        <v>45</v>
      </c>
      <c r="K2254" s="10" t="inlineStr">
        <is>
          <t>&gt; Perfumería &gt; Cuidado Capilar &gt; Shampoo &gt;</t>
        </is>
      </c>
      <c r="L2254" s="10" t="inlineStr">
        <is>
          <t>shampoo</t>
        </is>
      </c>
      <c r="M2254" s="10" t="inlineStr">
        <is>
          <t>estandar</t>
        </is>
      </c>
      <c r="N2254" s="10" t="inlineStr">
        <is>
          <t>general</t>
        </is>
      </c>
      <c r="O2254" s="10" t="inlineStr">
        <is>
          <t>https://www.disco.com.ar/shampoo-fructis-aloe-vera-solido-60g-2/p</t>
        </is>
      </c>
    </row>
    <row r="2255">
      <c r="A2255" t="inlineStr">
        <is>
          <t>Disco</t>
        </is>
      </c>
      <c r="B2255" t="n">
        <v>352438</v>
      </c>
      <c r="C2255" t="n">
        <v>351074</v>
      </c>
      <c r="D2255" t="inlineStr">
        <is>
          <t>Shampoo  Coco Solido 60 Gr Fructis Shampoo Fructis Coco Solido 60g</t>
        </is>
      </c>
      <c r="E2255" t="inlineStr">
        <is>
          <t>FRUCTIS</t>
        </is>
      </c>
      <c r="F2255" t="n">
        <v>1763.65</v>
      </c>
      <c r="G2255" t="n">
        <v>145756</v>
      </c>
      <c r="H2255" t="b">
        <v>0</v>
      </c>
      <c r="I2255" t="n">
        <v>60</v>
      </c>
      <c r="J2255" t="n">
        <v>29.3942</v>
      </c>
      <c r="K2255" t="inlineStr">
        <is>
          <t>&gt; Perfumería &gt; Cuidado Capilar &gt; Shampoo &gt;</t>
        </is>
      </c>
      <c r="L2255" t="inlineStr">
        <is>
          <t>shampoo</t>
        </is>
      </c>
      <c r="M2255" t="inlineStr">
        <is>
          <t>estandar</t>
        </is>
      </c>
      <c r="N2255" t="inlineStr">
        <is>
          <t>general</t>
        </is>
      </c>
      <c r="O2255" t="inlineStr">
        <is>
          <t>https://www.disco.com.ar/shampoo-fructis-coco-solido-60g-2/p</t>
        </is>
      </c>
    </row>
    <row r="2256">
      <c r="A2256" s="10" t="inlineStr">
        <is>
          <t>Disco</t>
        </is>
      </c>
      <c r="B2256" s="10" t="n">
        <v>341184</v>
      </c>
      <c r="C2256" s="10" t="n">
        <v>339873</v>
      </c>
      <c r="D2256" s="10" t="inlineStr">
        <is>
          <t>Mascara Fructis Hair Food Sandia 350ml</t>
        </is>
      </c>
      <c r="E2256" s="10" t="inlineStr">
        <is>
          <t>FRUCTIS</t>
        </is>
      </c>
      <c r="F2256" s="10" t="n">
        <v>1936.48</v>
      </c>
      <c r="G2256" s="10" t="n">
        <v>160040</v>
      </c>
      <c r="H2256" s="10" t="b">
        <v>0</v>
      </c>
      <c r="I2256" s="10" t="n">
        <v>350</v>
      </c>
      <c r="J2256" s="10" t="n">
        <v>5.5328</v>
      </c>
      <c r="K2256" s="10" t="inlineStr">
        <is>
          <t>&gt; Perfumería &gt; Cuidado Capilar &gt; Reparación y Tratamientos &gt;</t>
        </is>
      </c>
      <c r="L2256" s="10" t="inlineStr">
        <is>
          <t>tratamiento</t>
        </is>
      </c>
      <c r="M2256" s="10" t="inlineStr">
        <is>
          <t>estandar</t>
        </is>
      </c>
      <c r="N2256" s="10" t="inlineStr">
        <is>
          <t>general</t>
        </is>
      </c>
      <c r="O2256" s="10" t="inlineStr">
        <is>
          <t>https://www.disco.com.ar/mascara-fructis-hair-food-sandia-350ml-2/p</t>
        </is>
      </c>
    </row>
    <row r="2257">
      <c r="A2257" t="inlineStr">
        <is>
          <t>Disco</t>
        </is>
      </c>
      <c r="B2257" t="n">
        <v>341182</v>
      </c>
      <c r="C2257" t="n">
        <v>339871</v>
      </c>
      <c r="D2257" t="inlineStr">
        <is>
          <t>Shampoo Fructis Hair Food Sandia 300ml</t>
        </is>
      </c>
      <c r="E2257" t="inlineStr">
        <is>
          <t>FRUCTIS</t>
        </is>
      </c>
      <c r="F2257" t="n">
        <v>691.49</v>
      </c>
      <c r="G2257" t="n">
        <v>57148</v>
      </c>
      <c r="H2257" t="b">
        <v>0</v>
      </c>
      <c r="I2257" t="n">
        <v>300</v>
      </c>
      <c r="J2257" t="n">
        <v>2.305</v>
      </c>
      <c r="K2257" t="inlineStr">
        <is>
          <t>&gt; Perfumería &gt; Cuidado Capilar &gt; Shampoo &gt;</t>
        </is>
      </c>
      <c r="L2257" t="inlineStr">
        <is>
          <t>shampoo</t>
        </is>
      </c>
      <c r="M2257" t="inlineStr">
        <is>
          <t>estandar</t>
        </is>
      </c>
      <c r="N2257" t="inlineStr">
        <is>
          <t>general</t>
        </is>
      </c>
      <c r="O2257" t="inlineStr">
        <is>
          <t>https://www.disco.com.ar/shampoo-fructis-hair-food-sandia-300ml-2/p</t>
        </is>
      </c>
    </row>
    <row r="2258">
      <c r="A2258" s="10" t="inlineStr">
        <is>
          <t>Disco</t>
        </is>
      </c>
      <c r="B2258" s="10" t="n">
        <v>339399</v>
      </c>
      <c r="C2258" s="10" t="n">
        <v>338090</v>
      </c>
      <c r="D2258" s="10" t="inlineStr">
        <is>
          <t>Crema Para Peinar Fructis 300ml Nutritiva</t>
        </is>
      </c>
      <c r="E2258" s="10" t="inlineStr">
        <is>
          <t>FRUCTIS</t>
        </is>
      </c>
      <c r="F2258" s="10" t="n">
        <v>657.6900000000001</v>
      </c>
      <c r="G2258" s="10" t="n">
        <v>54355</v>
      </c>
      <c r="H2258" s="10" t="b">
        <v>0</v>
      </c>
      <c r="I2258" s="10" t="n">
        <v>300</v>
      </c>
      <c r="J2258" s="10" t="n">
        <v>2.1923</v>
      </c>
      <c r="K2258" s="10" t="inlineStr">
        <is>
          <t>&gt; Perfumería &gt; Cuidado Capilar &gt; Reparación y Tratamientos &gt;</t>
        </is>
      </c>
      <c r="L2258" s="10" t="inlineStr">
        <is>
          <t>shampoo</t>
        </is>
      </c>
      <c r="M2258" s="10" t="inlineStr">
        <is>
          <t>estandar</t>
        </is>
      </c>
      <c r="N2258" s="10" t="inlineStr">
        <is>
          <t>general</t>
        </is>
      </c>
      <c r="O2258" s="10" t="inlineStr">
        <is>
          <t>https://www.disco.com.ar/crema-para-peinar-fructis-300ml-nutritiva/p</t>
        </is>
      </c>
    </row>
    <row r="2259">
      <c r="A2259" t="inlineStr">
        <is>
          <t>Disco</t>
        </is>
      </c>
      <c r="B2259" t="n">
        <v>339397</v>
      </c>
      <c r="C2259" t="n">
        <v>338088</v>
      </c>
      <c r="D2259" t="inlineStr">
        <is>
          <t>Shampoo Recarga Nutritiva 650 Ml Fructis</t>
        </is>
      </c>
      <c r="E2259" t="inlineStr">
        <is>
          <t>FRUCTIS</t>
        </is>
      </c>
      <c r="F2259" t="n">
        <v>11550</v>
      </c>
      <c r="G2259" t="n">
        <v>954545</v>
      </c>
      <c r="H2259" t="b">
        <v>0</v>
      </c>
      <c r="I2259" t="n">
        <v>650</v>
      </c>
      <c r="J2259" t="n">
        <v>17.7692</v>
      </c>
      <c r="K2259" t="inlineStr">
        <is>
          <t>&gt; Perfumería &gt; Cuidado Capilar &gt; Shampoo &gt;</t>
        </is>
      </c>
      <c r="L2259" t="inlineStr">
        <is>
          <t>shampoo</t>
        </is>
      </c>
      <c r="M2259" t="inlineStr">
        <is>
          <t>estandar</t>
        </is>
      </c>
      <c r="N2259" t="inlineStr">
        <is>
          <t>general</t>
        </is>
      </c>
      <c r="O2259" t="inlineStr">
        <is>
          <t>https://www.disco.com.ar/shampoo-recarga-nutritiva-650-ml-fructis/p</t>
        </is>
      </c>
    </row>
    <row r="2260">
      <c r="A2260" s="10" t="inlineStr">
        <is>
          <t>Disco</t>
        </is>
      </c>
      <c r="B2260" s="10" t="n">
        <v>339395</v>
      </c>
      <c r="C2260" s="10" t="n">
        <v>338086</v>
      </c>
      <c r="D2260" s="10" t="inlineStr">
        <is>
          <t>Acondicionador Fructis Recarga Nut 350ml</t>
        </is>
      </c>
      <c r="E2260" s="10" t="inlineStr">
        <is>
          <t>FRUCTIS</t>
        </is>
      </c>
      <c r="F2260" s="10" t="n">
        <v>635.1900000000001</v>
      </c>
      <c r="G2260" s="10" t="n">
        <v>52495</v>
      </c>
      <c r="H2260" s="10" t="b">
        <v>0</v>
      </c>
      <c r="I2260" s="10" t="n">
        <v>350</v>
      </c>
      <c r="J2260" s="10" t="n">
        <v>1.8148</v>
      </c>
      <c r="K2260" s="10" t="inlineStr">
        <is>
          <t>&gt; Perfumería &gt; Cuidado Capilar &gt; Acondicionador &gt;</t>
        </is>
      </c>
      <c r="L2260" s="10" t="inlineStr">
        <is>
          <t>acondicionador</t>
        </is>
      </c>
      <c r="M2260" s="10" t="inlineStr">
        <is>
          <t>estandar</t>
        </is>
      </c>
      <c r="N2260" s="10" t="inlineStr">
        <is>
          <t>general</t>
        </is>
      </c>
      <c r="O2260" s="10" t="inlineStr">
        <is>
          <t>https://www.disco.com.ar/acondicionador-fructis-recarga-nut-350ml-2/p</t>
        </is>
      </c>
    </row>
    <row r="2261">
      <c r="A2261" t="inlineStr">
        <is>
          <t>Disco</t>
        </is>
      </c>
      <c r="B2261" t="n">
        <v>333481</v>
      </c>
      <c r="C2261" t="n">
        <v>332611</v>
      </c>
      <c r="D2261" t="inlineStr">
        <is>
          <t>Shampoo Fructis Goodbye Daños 650ml</t>
        </is>
      </c>
      <c r="E2261" t="inlineStr">
        <is>
          <t>FRUCTIS</t>
        </is>
      </c>
      <c r="F2261" t="n">
        <v>743.79</v>
      </c>
      <c r="G2261" t="n">
        <v>61470</v>
      </c>
      <c r="H2261" t="b">
        <v>0</v>
      </c>
      <c r="I2261" t="n">
        <v>650</v>
      </c>
      <c r="J2261" t="n">
        <v>1.1443</v>
      </c>
      <c r="K2261" t="inlineStr">
        <is>
          <t>&gt; Perfumería &gt; Cuidado Capilar &gt; Shampoo &gt;</t>
        </is>
      </c>
      <c r="L2261" t="inlineStr">
        <is>
          <t>shampoo</t>
        </is>
      </c>
      <c r="M2261" t="inlineStr">
        <is>
          <t>estandar</t>
        </is>
      </c>
      <c r="N2261" t="inlineStr">
        <is>
          <t>general</t>
        </is>
      </c>
      <c r="O2261" t="inlineStr">
        <is>
          <t>https://www.disco.com.ar/shampoo-fructis-goodbye-danos-650ml/p</t>
        </is>
      </c>
    </row>
    <row r="2262">
      <c r="A2262" s="10" t="inlineStr">
        <is>
          <t>Disco</t>
        </is>
      </c>
      <c r="B2262" s="10" t="n">
        <v>321108</v>
      </c>
      <c r="C2262" s="10" t="n">
        <v>320145</v>
      </c>
      <c r="D2262" s="10" t="inlineStr">
        <is>
          <t>Crema Para Peinar Fructis Goodbye Daños 250ml</t>
        </is>
      </c>
      <c r="E2262" s="10" t="inlineStr">
        <is>
          <t>FRUCTIS</t>
        </is>
      </c>
      <c r="F2262" s="10" t="n">
        <v>372.4</v>
      </c>
      <c r="G2262" s="10" t="n">
        <v>30777</v>
      </c>
      <c r="H2262" s="10" t="b">
        <v>0</v>
      </c>
      <c r="I2262" s="10" t="n">
        <v>250</v>
      </c>
      <c r="J2262" s="10" t="n">
        <v>1.4896</v>
      </c>
      <c r="K2262" s="10" t="inlineStr">
        <is>
          <t>&gt; Perfumería &gt; Cuidado Capilar &gt; Reparación y Tratamientos &gt;</t>
        </is>
      </c>
      <c r="L2262" s="10" t="inlineStr">
        <is>
          <t>shampoo</t>
        </is>
      </c>
      <c r="M2262" s="10" t="inlineStr">
        <is>
          <t>estandar</t>
        </is>
      </c>
      <c r="N2262" s="10" t="inlineStr">
        <is>
          <t>general</t>
        </is>
      </c>
      <c r="O2262" s="10" t="inlineStr">
        <is>
          <t>https://www.disco.com.ar/crema-para-peinar-fructis-goodbye-danos-250ml-2/p</t>
        </is>
      </c>
    </row>
    <row r="2263">
      <c r="A2263" t="inlineStr">
        <is>
          <t>Disco</t>
        </is>
      </c>
      <c r="B2263" t="n">
        <v>313259</v>
      </c>
      <c r="C2263" t="n">
        <v>312497</v>
      </c>
      <c r="D2263" t="inlineStr">
        <is>
          <t>Shampoo Fructis Hair Food Palta 300ml</t>
        </is>
      </c>
      <c r="E2263" t="inlineStr">
        <is>
          <t>FRUCTIS</t>
        </is>
      </c>
      <c r="F2263" t="n">
        <v>643.67</v>
      </c>
      <c r="G2263" t="n">
        <v>53196</v>
      </c>
      <c r="H2263" t="b">
        <v>0</v>
      </c>
      <c r="I2263" t="n">
        <v>300</v>
      </c>
      <c r="J2263" t="n">
        <v>2.1456</v>
      </c>
      <c r="K2263" t="inlineStr">
        <is>
          <t>&gt; Perfumería &gt; Cuidado Capilar &gt; Shampoo &gt;</t>
        </is>
      </c>
      <c r="L2263" t="inlineStr">
        <is>
          <t>shampoo</t>
        </is>
      </c>
      <c r="M2263" t="inlineStr">
        <is>
          <t>estandar</t>
        </is>
      </c>
      <c r="N2263" t="inlineStr">
        <is>
          <t>general</t>
        </is>
      </c>
      <c r="O2263" t="inlineStr">
        <is>
          <t>https://www.disco.com.ar/shampoo-fructis-hair-food-palta-300ml/p</t>
        </is>
      </c>
    </row>
    <row r="2264">
      <c r="A2264" s="10" t="inlineStr">
        <is>
          <t>Disco</t>
        </is>
      </c>
      <c r="B2264" s="10" t="n">
        <v>313257</v>
      </c>
      <c r="C2264" s="10" t="n">
        <v>312495</v>
      </c>
      <c r="D2264" s="10" t="inlineStr">
        <is>
          <t>Shampoo Fructis Hair Food Coco 300ml</t>
        </is>
      </c>
      <c r="E2264" s="10" t="inlineStr">
        <is>
          <t>FRUCTIS</t>
        </is>
      </c>
      <c r="F2264" s="10" t="n">
        <v>643.67</v>
      </c>
      <c r="G2264" s="10" t="n">
        <v>53196</v>
      </c>
      <c r="H2264" s="10" t="b">
        <v>0</v>
      </c>
      <c r="I2264" s="10" t="n">
        <v>300</v>
      </c>
      <c r="J2264" s="10" t="n">
        <v>2.1456</v>
      </c>
      <c r="K2264" s="10" t="inlineStr">
        <is>
          <t>&gt; Perfumería &gt; Cuidado Capilar &gt; Shampoo &gt;</t>
        </is>
      </c>
      <c r="L2264" s="10" t="inlineStr">
        <is>
          <t>shampoo</t>
        </is>
      </c>
      <c r="M2264" s="10" t="inlineStr">
        <is>
          <t>estandar</t>
        </is>
      </c>
      <c r="N2264" s="10" t="inlineStr">
        <is>
          <t>general</t>
        </is>
      </c>
      <c r="O2264" s="10" t="inlineStr">
        <is>
          <t>https://www.disco.com.ar/shampoo-fructis-hair-food-coco-300ml/p</t>
        </is>
      </c>
    </row>
    <row r="2265">
      <c r="A2265" t="inlineStr">
        <is>
          <t>Disco</t>
        </is>
      </c>
      <c r="B2265" t="n">
        <v>313254</v>
      </c>
      <c r="C2265" t="n">
        <v>312492</v>
      </c>
      <c r="D2265" t="inlineStr">
        <is>
          <t>Acondicionador Fructis Food Aloe 300ml</t>
        </is>
      </c>
      <c r="E2265" t="inlineStr">
        <is>
          <t>FRUCTIS</t>
        </is>
      </c>
      <c r="F2265" t="n">
        <v>557.25</v>
      </c>
      <c r="G2265" t="n">
        <v>46054</v>
      </c>
      <c r="H2265" t="b">
        <v>0</v>
      </c>
      <c r="I2265" t="n">
        <v>300</v>
      </c>
      <c r="J2265" t="n">
        <v>1.8575</v>
      </c>
      <c r="K2265" t="inlineStr">
        <is>
          <t>&gt; Perfumería &gt; Cuidado Capilar &gt; Acondicionador &gt;</t>
        </is>
      </c>
      <c r="L2265" t="inlineStr">
        <is>
          <t>acondicionador</t>
        </is>
      </c>
      <c r="M2265" t="inlineStr">
        <is>
          <t>estandar</t>
        </is>
      </c>
      <c r="N2265" t="inlineStr">
        <is>
          <t>general</t>
        </is>
      </c>
      <c r="O2265" t="inlineStr">
        <is>
          <t>https://www.disco.com.ar/acondicionador-fructis-food-aloe-300ml/p</t>
        </is>
      </c>
    </row>
    <row r="2266">
      <c r="A2266" s="10" t="inlineStr">
        <is>
          <t>Disco</t>
        </is>
      </c>
      <c r="B2266" s="10" t="n">
        <v>313248</v>
      </c>
      <c r="C2266" s="10" t="n">
        <v>312486</v>
      </c>
      <c r="D2266" s="10" t="inlineStr">
        <is>
          <t>Shampoo Fructis Hair Food Aloe 300ml</t>
        </is>
      </c>
      <c r="E2266" s="10" t="inlineStr">
        <is>
          <t>FRUCTIS</t>
        </is>
      </c>
      <c r="F2266" s="10" t="n">
        <v>680.99</v>
      </c>
      <c r="G2266" s="10" t="n">
        <v>56280</v>
      </c>
      <c r="H2266" s="10" t="b">
        <v>0</v>
      </c>
      <c r="I2266" s="10" t="n">
        <v>300</v>
      </c>
      <c r="J2266" s="10" t="n">
        <v>2.27</v>
      </c>
      <c r="K2266" s="10" t="inlineStr">
        <is>
          <t>&gt; Perfumería &gt; Cuidado Capilar &gt; Shampoo &gt;</t>
        </is>
      </c>
      <c r="L2266" s="10" t="inlineStr">
        <is>
          <t>shampoo</t>
        </is>
      </c>
      <c r="M2266" s="10" t="inlineStr">
        <is>
          <t>estandar</t>
        </is>
      </c>
      <c r="N2266" s="10" t="inlineStr">
        <is>
          <t>general</t>
        </is>
      </c>
      <c r="O2266" s="10" t="inlineStr">
        <is>
          <t>https://www.disco.com.ar/shampoo-fructis-hair-food-aloe-300ml/p</t>
        </is>
      </c>
    </row>
    <row r="2267">
      <c r="A2267" t="inlineStr">
        <is>
          <t>Disco</t>
        </is>
      </c>
      <c r="B2267" t="n">
        <v>313247</v>
      </c>
      <c r="C2267" t="n">
        <v>312485</v>
      </c>
      <c r="D2267" t="inlineStr">
        <is>
          <t>Shampoo Fructis Hair Food Banana 300ml</t>
        </is>
      </c>
      <c r="E2267" t="inlineStr">
        <is>
          <t>FRUCTIS</t>
        </is>
      </c>
      <c r="F2267" t="n">
        <v>1300</v>
      </c>
      <c r="G2267" t="n">
        <v>107438</v>
      </c>
      <c r="H2267" t="b">
        <v>0</v>
      </c>
      <c r="I2267" t="n">
        <v>300</v>
      </c>
      <c r="J2267" t="n">
        <v>4.3333</v>
      </c>
      <c r="K2267" t="inlineStr">
        <is>
          <t>&gt; Perfumería &gt; Cuidado Capilar &gt; Shampoo &gt;</t>
        </is>
      </c>
      <c r="L2267" t="inlineStr">
        <is>
          <t>shampoo</t>
        </is>
      </c>
      <c r="M2267" t="inlineStr">
        <is>
          <t>estandar</t>
        </is>
      </c>
      <c r="N2267" t="inlineStr">
        <is>
          <t>general</t>
        </is>
      </c>
      <c r="O2267" t="inlineStr">
        <is>
          <t>https://www.disco.com.ar/shampoo-fructis-hair-food-banana-300ml-2/p</t>
        </is>
      </c>
    </row>
    <row r="2268">
      <c r="A2268" s="10" t="inlineStr">
        <is>
          <t>Disco</t>
        </is>
      </c>
      <c r="B2268" s="10" t="n">
        <v>295167</v>
      </c>
      <c r="C2268" s="10" t="n">
        <v>294496</v>
      </c>
      <c r="D2268" s="10" t="inlineStr">
        <is>
          <t>Shampoo Fructis Aloe Hidra Bomb 350ml</t>
        </is>
      </c>
      <c r="E2268" s="10" t="inlineStr">
        <is>
          <t>FRUCTIS</t>
        </is>
      </c>
      <c r="F2268" s="10" t="n">
        <v>3300</v>
      </c>
      <c r="G2268" s="10" t="n">
        <v>272727</v>
      </c>
      <c r="H2268" s="10" t="b">
        <v>0</v>
      </c>
      <c r="I2268" s="10" t="n">
        <v>350</v>
      </c>
      <c r="J2268" s="10" t="n">
        <v>9.428599999999999</v>
      </c>
      <c r="K2268" s="10" t="inlineStr">
        <is>
          <t>&gt; Perfumería &gt; Cuidado Capilar &gt; Shampoo &gt;</t>
        </is>
      </c>
      <c r="L2268" s="10" t="inlineStr">
        <is>
          <t>shampoo</t>
        </is>
      </c>
      <c r="M2268" s="10" t="inlineStr">
        <is>
          <t>estandar</t>
        </is>
      </c>
      <c r="N2268" s="10" t="inlineStr">
        <is>
          <t>general</t>
        </is>
      </c>
      <c r="O2268" s="10" t="inlineStr">
        <is>
          <t>https://www.disco.com.ar/shampoo-fructis-aloe-hidra-bomb-350ml/p</t>
        </is>
      </c>
    </row>
    <row r="2269">
      <c r="A2269" t="inlineStr">
        <is>
          <t>Disco</t>
        </is>
      </c>
      <c r="B2269" t="n">
        <v>295166</v>
      </c>
      <c r="C2269" t="n">
        <v>294495</v>
      </c>
      <c r="D2269" t="inlineStr">
        <is>
          <t>Shampoo Fructis Aloe Hidra Bomb 650ml</t>
        </is>
      </c>
      <c r="E2269" t="inlineStr">
        <is>
          <t>FRUCTIS</t>
        </is>
      </c>
      <c r="F2269" t="n">
        <v>6930.39</v>
      </c>
      <c r="G2269" t="n">
        <v>572760</v>
      </c>
      <c r="H2269" t="b">
        <v>0</v>
      </c>
      <c r="I2269" t="n">
        <v>650</v>
      </c>
      <c r="J2269" t="n">
        <v>10.6621</v>
      </c>
      <c r="K2269" t="inlineStr">
        <is>
          <t>&gt; Perfumería &gt; Cuidado Capilar &gt; Shampoo &gt;</t>
        </is>
      </c>
      <c r="L2269" t="inlineStr">
        <is>
          <t>shampoo</t>
        </is>
      </c>
      <c r="M2269" t="inlineStr">
        <is>
          <t>estandar</t>
        </is>
      </c>
      <c r="N2269" t="inlineStr">
        <is>
          <t>general</t>
        </is>
      </c>
      <c r="O2269" t="inlineStr">
        <is>
          <t>https://www.disco.com.ar/shampoo-fructis-aloe-hidra-bomb-650ml/p</t>
        </is>
      </c>
    </row>
    <row r="2270">
      <c r="A2270" s="10" t="inlineStr">
        <is>
          <t>Disco</t>
        </is>
      </c>
      <c r="B2270" s="10" t="n">
        <v>295162</v>
      </c>
      <c r="C2270" s="10" t="n">
        <v>294494</v>
      </c>
      <c r="D2270" s="10" t="inlineStr">
        <is>
          <t>Shampoo Fructis Aloe Hidra Bomb 200ml</t>
        </is>
      </c>
      <c r="E2270" s="10" t="inlineStr">
        <is>
          <t>FRUCTIS</t>
        </is>
      </c>
      <c r="F2270" s="10" t="n">
        <v>483.13</v>
      </c>
      <c r="G2270" s="10" t="n">
        <v>39928</v>
      </c>
      <c r="H2270" s="10" t="b">
        <v>0</v>
      </c>
      <c r="I2270" s="10" t="n">
        <v>200</v>
      </c>
      <c r="J2270" s="10" t="n">
        <v>2.4156</v>
      </c>
      <c r="K2270" s="10" t="inlineStr">
        <is>
          <t>&gt; Perfumería &gt; Cuidado Capilar &gt; Shampoo &gt;</t>
        </is>
      </c>
      <c r="L2270" s="10" t="inlineStr">
        <is>
          <t>shampoo</t>
        </is>
      </c>
      <c r="M2270" s="10" t="inlineStr">
        <is>
          <t>estandar</t>
        </is>
      </c>
      <c r="N2270" s="10" t="inlineStr">
        <is>
          <t>general</t>
        </is>
      </c>
      <c r="O2270" s="10" t="inlineStr">
        <is>
          <t>https://www.disco.com.ar/shampoo-fructis-aloe-hidra-bomb-200ml/p</t>
        </is>
      </c>
    </row>
    <row r="2271">
      <c r="A2271" t="inlineStr">
        <is>
          <t>Disco</t>
        </is>
      </c>
      <c r="B2271" t="n">
        <v>295161</v>
      </c>
      <c r="C2271" t="n">
        <v>294493</v>
      </c>
      <c r="D2271" t="inlineStr">
        <is>
          <t>Crema Peinar Fructis Deshidratado 300ml</t>
        </is>
      </c>
      <c r="E2271" t="inlineStr">
        <is>
          <t>FRUCTIS</t>
        </is>
      </c>
      <c r="F2271" t="n">
        <v>398.85</v>
      </c>
      <c r="G2271" t="n">
        <v>32963</v>
      </c>
      <c r="H2271" t="b">
        <v>0</v>
      </c>
      <c r="I2271" t="n">
        <v>300</v>
      </c>
      <c r="J2271" t="n">
        <v>1.3295</v>
      </c>
      <c r="K2271" t="inlineStr">
        <is>
          <t>&gt; Perfumería &gt; Cuidado Capilar &gt; Reparación y Tratamientos &gt;</t>
        </is>
      </c>
      <c r="L2271" t="inlineStr">
        <is>
          <t>shampoo</t>
        </is>
      </c>
      <c r="M2271" t="inlineStr">
        <is>
          <t>estandar</t>
        </is>
      </c>
      <c r="N2271" t="inlineStr">
        <is>
          <t>seco_danado</t>
        </is>
      </c>
      <c r="O2271" t="inlineStr">
        <is>
          <t>https://www.disco.com.ar/crema-peinar-fructis-deshidratado-300ml/p</t>
        </is>
      </c>
    </row>
    <row r="2272">
      <c r="A2272" s="10" t="inlineStr">
        <is>
          <t>Disco</t>
        </is>
      </c>
      <c r="B2272" s="10" t="n">
        <v>294860</v>
      </c>
      <c r="C2272" s="10" t="n">
        <v>294091</v>
      </c>
      <c r="D2272" s="10" t="inlineStr">
        <is>
          <t>Acondicionador Fructis Hidra Bomb 350ml</t>
        </is>
      </c>
      <c r="E2272" s="10" t="inlineStr">
        <is>
          <t>FRUCTIS</t>
        </is>
      </c>
      <c r="F2272" s="10" t="n">
        <v>917.79</v>
      </c>
      <c r="G2272" s="10" t="n">
        <v>75850</v>
      </c>
      <c r="H2272" s="10" t="b">
        <v>0</v>
      </c>
      <c r="I2272" s="10" t="n">
        <v>350</v>
      </c>
      <c r="J2272" s="10" t="n">
        <v>2.6223</v>
      </c>
      <c r="K2272" s="10" t="inlineStr">
        <is>
          <t>&gt; Perfumería &gt; Cuidado Capilar &gt; Acondicionador &gt;</t>
        </is>
      </c>
      <c r="L2272" s="10" t="inlineStr">
        <is>
          <t>acondicionador</t>
        </is>
      </c>
      <c r="M2272" s="10" t="inlineStr">
        <is>
          <t>estandar</t>
        </is>
      </c>
      <c r="N2272" s="10" t="inlineStr">
        <is>
          <t>general</t>
        </is>
      </c>
      <c r="O2272" s="10" t="inlineStr">
        <is>
          <t>https://www.disco.com.ar/acondicionador-fructis-hidra-bomb-350ml/p</t>
        </is>
      </c>
    </row>
    <row r="2273">
      <c r="A2273" t="inlineStr">
        <is>
          <t>Disco</t>
        </is>
      </c>
      <c r="B2273" t="n">
        <v>294859</v>
      </c>
      <c r="C2273" t="n">
        <v>294090</v>
      </c>
      <c r="D2273" t="inlineStr">
        <is>
          <t>Acondicionador Fructis Hidra Bomb 350 Ml</t>
        </is>
      </c>
      <c r="E2273" t="inlineStr">
        <is>
          <t>FRUCTIS</t>
        </is>
      </c>
      <c r="F2273" t="n">
        <v>3350</v>
      </c>
      <c r="G2273" t="n">
        <v>276860</v>
      </c>
      <c r="H2273" t="b">
        <v>0</v>
      </c>
      <c r="I2273" t="n">
        <v>350</v>
      </c>
      <c r="J2273" t="n">
        <v>9.571400000000001</v>
      </c>
      <c r="K2273" t="inlineStr">
        <is>
          <t>&gt; Perfumería &gt; Cuidado Capilar &gt; Acondicionador &gt;</t>
        </is>
      </c>
      <c r="L2273" t="inlineStr">
        <is>
          <t>acondicionador</t>
        </is>
      </c>
      <c r="M2273" t="inlineStr">
        <is>
          <t>estandar</t>
        </is>
      </c>
      <c r="N2273" t="inlineStr">
        <is>
          <t>general</t>
        </is>
      </c>
      <c r="O2273" t="inlineStr">
        <is>
          <t>https://www.disco.com.ar/acondicionador-fructis-hidra-bomb-350-ml/p</t>
        </is>
      </c>
    </row>
    <row r="2274">
      <c r="A2274" s="10" t="inlineStr">
        <is>
          <t>Disco</t>
        </is>
      </c>
      <c r="B2274" s="10" t="n">
        <v>294858</v>
      </c>
      <c r="C2274" s="10" t="n">
        <v>294089</v>
      </c>
      <c r="D2274" s="10" t="inlineStr">
        <is>
          <t>Acondicionador Fructis Aloe Hidra Bomb 200 Ml</t>
        </is>
      </c>
      <c r="E2274" s="10" t="inlineStr">
        <is>
          <t>FRUCTIS</t>
        </is>
      </c>
      <c r="F2274" s="10" t="n">
        <v>650</v>
      </c>
      <c r="G2274" s="10" t="n">
        <v>53719</v>
      </c>
      <c r="H2274" s="10" t="b">
        <v>0</v>
      </c>
      <c r="I2274" s="10" t="n">
        <v>200</v>
      </c>
      <c r="J2274" s="10" t="n">
        <v>3.25</v>
      </c>
      <c r="K2274" s="10" t="inlineStr">
        <is>
          <t>&gt; Perfumería &gt; Cuidado Capilar &gt; Acondicionador &gt;</t>
        </is>
      </c>
      <c r="L2274" s="10" t="inlineStr">
        <is>
          <t>acondicionador</t>
        </is>
      </c>
      <c r="M2274" s="10" t="inlineStr">
        <is>
          <t>estandar</t>
        </is>
      </c>
      <c r="N2274" s="10" t="inlineStr">
        <is>
          <t>general</t>
        </is>
      </c>
      <c r="O2274" s="10" t="inlineStr">
        <is>
          <t>https://www.disco.com.ar/acondicionador-fructis-aloe-hidra-bomb-200-ml/p</t>
        </is>
      </c>
    </row>
    <row r="2275">
      <c r="A2275" t="inlineStr">
        <is>
          <t>Disco</t>
        </is>
      </c>
      <c r="B2275" t="n">
        <v>276532</v>
      </c>
      <c r="C2275" t="n">
        <v>275818</v>
      </c>
      <c r="D2275" t="inlineStr">
        <is>
          <t>Tratamiento Fructis Food Palta 350ml</t>
        </is>
      </c>
      <c r="E2275" t="inlineStr">
        <is>
          <t>FRUCTIS</t>
        </is>
      </c>
      <c r="F2275" t="n">
        <v>994.33</v>
      </c>
      <c r="G2275" t="n">
        <v>82176</v>
      </c>
      <c r="H2275" t="b">
        <v>0</v>
      </c>
      <c r="I2275" t="n">
        <v>350</v>
      </c>
      <c r="J2275" t="n">
        <v>2.8409</v>
      </c>
      <c r="K2275" t="inlineStr">
        <is>
          <t>&gt; Perfumería &gt; Cuidado Capilar &gt; Reparación y Tratamientos &gt;</t>
        </is>
      </c>
      <c r="L2275" t="inlineStr">
        <is>
          <t>tratamiento</t>
        </is>
      </c>
      <c r="M2275" t="inlineStr">
        <is>
          <t>estandar</t>
        </is>
      </c>
      <c r="N2275" t="inlineStr">
        <is>
          <t>general</t>
        </is>
      </c>
      <c r="O2275" t="inlineStr">
        <is>
          <t>https://www.disco.com.ar/tratamiento-fructis-food-palta-350ml/p</t>
        </is>
      </c>
    </row>
    <row r="2276">
      <c r="A2276" s="10" t="inlineStr">
        <is>
          <t>Disco</t>
        </is>
      </c>
      <c r="B2276" s="10" t="n">
        <v>276531</v>
      </c>
      <c r="C2276" s="10" t="n">
        <v>275817</v>
      </c>
      <c r="D2276" s="10" t="inlineStr">
        <is>
          <t>Tratamiento Fructis Hairfood Máscara De Fuerza 350 Ml</t>
        </is>
      </c>
      <c r="E2276" s="10" t="inlineStr">
        <is>
          <t>FRUCTIS</t>
        </is>
      </c>
      <c r="F2276" s="10" t="n">
        <v>1258.97</v>
      </c>
      <c r="G2276" s="10" t="n">
        <v>104047</v>
      </c>
      <c r="H2276" s="10" t="b">
        <v>0</v>
      </c>
      <c r="I2276" s="10" t="n">
        <v>350</v>
      </c>
      <c r="J2276" s="10" t="n">
        <v>3.5971</v>
      </c>
      <c r="K2276" s="10" t="inlineStr">
        <is>
          <t>&gt; Perfumería &gt; Cuidado Capilar &gt; Reparación y Tratamientos &gt;</t>
        </is>
      </c>
      <c r="L2276" s="10" t="inlineStr">
        <is>
          <t>tratamiento</t>
        </is>
      </c>
      <c r="M2276" s="10" t="inlineStr">
        <is>
          <t>estandar</t>
        </is>
      </c>
      <c r="N2276" s="10" t="inlineStr">
        <is>
          <t>general</t>
        </is>
      </c>
      <c r="O2276" s="10" t="inlineStr">
        <is>
          <t>https://www.disco.com.ar/tratamiento-fructis-hairfood-mascara-de-fuerza-350-ml/p</t>
        </is>
      </c>
    </row>
    <row r="2277">
      <c r="A2277" t="inlineStr">
        <is>
          <t>Disco</t>
        </is>
      </c>
      <c r="B2277" t="n">
        <v>276530</v>
      </c>
      <c r="C2277" t="n">
        <v>275816</v>
      </c>
      <c r="D2277" t="inlineStr">
        <is>
          <t>Tratamiento Fructis Hair Food Máscara De Brillo 350 Ml</t>
        </is>
      </c>
      <c r="E2277" t="inlineStr">
        <is>
          <t>FRUCTIS</t>
        </is>
      </c>
      <c r="F2277" t="n">
        <v>418.79</v>
      </c>
      <c r="G2277" t="n">
        <v>34611</v>
      </c>
      <c r="H2277" t="b">
        <v>0</v>
      </c>
      <c r="I2277" t="n">
        <v>350</v>
      </c>
      <c r="J2277" t="n">
        <v>1.1965</v>
      </c>
      <c r="K2277" t="inlineStr">
        <is>
          <t>&gt; Perfumería &gt; Cuidado Capilar &gt; Reparación y Tratamientos &gt;</t>
        </is>
      </c>
      <c r="L2277" t="inlineStr">
        <is>
          <t>tratamiento</t>
        </is>
      </c>
      <c r="M2277" t="inlineStr">
        <is>
          <t>estandar</t>
        </is>
      </c>
      <c r="N2277" t="inlineStr">
        <is>
          <t>general</t>
        </is>
      </c>
      <c r="O2277" t="inlineStr">
        <is>
          <t>https://www.disco.com.ar/tratamiento-fructis-hair-food-mascara-de-brillo-350-ml/p</t>
        </is>
      </c>
    </row>
    <row r="2278">
      <c r="A2278" s="10" t="inlineStr">
        <is>
          <t>Disco</t>
        </is>
      </c>
      <c r="B2278" s="10" t="n">
        <v>276529</v>
      </c>
      <c r="C2278" s="10" t="n">
        <v>275815</v>
      </c>
      <c r="D2278" s="10" t="inlineStr">
        <is>
          <t>Fructis Hairfood Máscara De Reparación Cabello Dañado Coco 350ml</t>
        </is>
      </c>
      <c r="E2278" s="10" t="inlineStr">
        <is>
          <t>FRUCTIS</t>
        </is>
      </c>
      <c r="F2278" s="10" t="n">
        <v>778.67</v>
      </c>
      <c r="G2278" s="10" t="n">
        <v>64353</v>
      </c>
      <c r="H2278" s="10" t="b">
        <v>0</v>
      </c>
      <c r="I2278" s="10" t="n">
        <v>350</v>
      </c>
      <c r="J2278" s="10" t="n">
        <v>2.2248</v>
      </c>
      <c r="K2278" s="10" t="inlineStr">
        <is>
          <t>&gt; Perfumería &gt; Cuidado Capilar &gt; Reparación y Tratamientos &gt;</t>
        </is>
      </c>
      <c r="L2278" s="10" t="inlineStr">
        <is>
          <t>shampoo</t>
        </is>
      </c>
      <c r="M2278" s="10" t="inlineStr">
        <is>
          <t>estandar</t>
        </is>
      </c>
      <c r="N2278" s="10" t="inlineStr">
        <is>
          <t>seco_danado</t>
        </is>
      </c>
      <c r="O2278" s="10" t="inlineStr">
        <is>
          <t>https://www.disco.com.ar/fructis-hairfood-mascara-de-reparacion-cabello-danado-coco-350ml/p</t>
        </is>
      </c>
    </row>
    <row r="2279">
      <c r="A2279" t="inlineStr">
        <is>
          <t>Disco</t>
        </is>
      </c>
      <c r="B2279" t="n">
        <v>265433</v>
      </c>
      <c r="C2279" t="n">
        <v>264967</v>
      </c>
      <c r="D2279" t="inlineStr">
        <is>
          <t>Mascara Fructis Wonder Coconut 300gr</t>
        </is>
      </c>
      <c r="E2279" t="inlineStr">
        <is>
          <t>FRUCTIS</t>
        </is>
      </c>
      <c r="F2279" t="n">
        <v>433.59</v>
      </c>
      <c r="G2279" t="n">
        <v>35834</v>
      </c>
      <c r="H2279" t="b">
        <v>0</v>
      </c>
      <c r="I2279" t="n">
        <v>300</v>
      </c>
      <c r="J2279" t="n">
        <v>1.4453</v>
      </c>
      <c r="K2279" t="inlineStr">
        <is>
          <t>&gt; Perfumería &gt; Cuidado Capilar &gt; Reparación y Tratamientos &gt;</t>
        </is>
      </c>
      <c r="L2279" t="inlineStr">
        <is>
          <t>tratamiento</t>
        </is>
      </c>
      <c r="M2279" t="inlineStr">
        <is>
          <t>estandar</t>
        </is>
      </c>
      <c r="N2279" t="inlineStr">
        <is>
          <t>general</t>
        </is>
      </c>
      <c r="O2279" t="inlineStr">
        <is>
          <t>https://www.disco.com.ar/mascara-fructis-wonder-coconut-300gr/p</t>
        </is>
      </c>
    </row>
    <row r="2280">
      <c r="A2280" s="10" t="inlineStr">
        <is>
          <t>Disco</t>
        </is>
      </c>
      <c r="B2280" s="10" t="n">
        <v>254983</v>
      </c>
      <c r="C2280" s="10" t="n">
        <v>254277</v>
      </c>
      <c r="D2280" s="10" t="inlineStr">
        <is>
          <t>Shampoo Fructis Liso Coco 350ml</t>
        </is>
      </c>
      <c r="E2280" s="10" t="inlineStr">
        <is>
          <t>FRUCTIS</t>
        </is>
      </c>
      <c r="F2280" s="10" t="n">
        <v>320.67</v>
      </c>
      <c r="G2280" s="10" t="n">
        <v>26502</v>
      </c>
      <c r="H2280" s="10" t="b">
        <v>0</v>
      </c>
      <c r="I2280" s="10" t="n">
        <v>350</v>
      </c>
      <c r="J2280" s="10" t="n">
        <v>0.9162</v>
      </c>
      <c r="K2280" s="10" t="inlineStr">
        <is>
          <t>&gt; Perfumería &gt; Cuidado Capilar &gt; Shampoo &gt;</t>
        </is>
      </c>
      <c r="L2280" s="10" t="inlineStr">
        <is>
          <t>shampoo</t>
        </is>
      </c>
      <c r="M2280" s="10" t="inlineStr">
        <is>
          <t>estandar</t>
        </is>
      </c>
      <c r="N2280" s="10" t="inlineStr">
        <is>
          <t>general</t>
        </is>
      </c>
      <c r="O2280" s="10" t="inlineStr">
        <is>
          <t>https://www.disco.com.ar/shampoo-fructis-liso-coco-350ml/p</t>
        </is>
      </c>
    </row>
    <row r="2281">
      <c r="A2281" t="inlineStr">
        <is>
          <t>Disco</t>
        </is>
      </c>
      <c r="B2281" t="n">
        <v>254978</v>
      </c>
      <c r="C2281" t="n">
        <v>254272</v>
      </c>
      <c r="D2281" t="inlineStr">
        <is>
          <t>Shampoo Liso Coco 650 Ml Fructis</t>
        </is>
      </c>
      <c r="E2281" t="inlineStr">
        <is>
          <t>FRUCTIS</t>
        </is>
      </c>
      <c r="F2281" t="n">
        <v>11550</v>
      </c>
      <c r="G2281" t="n">
        <v>954545</v>
      </c>
      <c r="H2281" t="b">
        <v>0</v>
      </c>
      <c r="I2281" t="n">
        <v>650</v>
      </c>
      <c r="J2281" t="n">
        <v>17.7692</v>
      </c>
      <c r="K2281" t="inlineStr">
        <is>
          <t>&gt; Perfumería &gt; Cuidado Capilar &gt; Shampoo &gt;</t>
        </is>
      </c>
      <c r="L2281" t="inlineStr">
        <is>
          <t>shampoo</t>
        </is>
      </c>
      <c r="M2281" t="inlineStr">
        <is>
          <t>estandar</t>
        </is>
      </c>
      <c r="N2281" t="inlineStr">
        <is>
          <t>general</t>
        </is>
      </c>
      <c r="O2281" t="inlineStr">
        <is>
          <t>https://www.disco.com.ar/shampoo-liso-coco-650-ml-fructis/p</t>
        </is>
      </c>
    </row>
    <row r="2282">
      <c r="A2282" s="10" t="inlineStr">
        <is>
          <t>Disco</t>
        </is>
      </c>
      <c r="B2282" s="10" t="n">
        <v>254976</v>
      </c>
      <c r="C2282" s="10" t="n">
        <v>254270</v>
      </c>
      <c r="D2282" s="10" t="inlineStr">
        <is>
          <t>Tratamiento Fructis Coconut 300ml</t>
        </is>
      </c>
      <c r="E2282" s="10" t="inlineStr">
        <is>
          <t>FRUCTIS</t>
        </is>
      </c>
      <c r="F2282" s="10" t="n">
        <v>475.09</v>
      </c>
      <c r="G2282" s="10" t="n">
        <v>39264</v>
      </c>
      <c r="H2282" s="10" t="b">
        <v>0</v>
      </c>
      <c r="I2282" s="10" t="n">
        <v>300</v>
      </c>
      <c r="J2282" s="10" t="n">
        <v>1.5836</v>
      </c>
      <c r="K2282" s="10" t="inlineStr">
        <is>
          <t>&gt; Perfumería &gt; Cuidado Capilar &gt; Reparación y Tratamientos &gt;</t>
        </is>
      </c>
      <c r="L2282" s="10" t="inlineStr">
        <is>
          <t>tratamiento</t>
        </is>
      </c>
      <c r="M2282" s="10" t="inlineStr">
        <is>
          <t>estandar</t>
        </is>
      </c>
      <c r="N2282" s="10" t="inlineStr">
        <is>
          <t>general</t>
        </is>
      </c>
      <c r="O2282" s="10" t="inlineStr">
        <is>
          <t>https://www.disco.com.ar/tratamiento-fructis-coconut-300ml/p</t>
        </is>
      </c>
    </row>
    <row r="2283">
      <c r="A2283" t="inlineStr">
        <is>
          <t>Disco</t>
        </is>
      </c>
      <c r="B2283" t="n">
        <v>42001</v>
      </c>
      <c r="C2283" t="n">
        <v>39165</v>
      </c>
      <c r="D2283" t="inlineStr">
        <is>
          <t>Mascara Fructis Oil Repair 300gr</t>
        </is>
      </c>
      <c r="E2283" t="inlineStr">
        <is>
          <t>FRUCTIS</t>
        </is>
      </c>
      <c r="F2283" t="n">
        <v>537.0700000000001</v>
      </c>
      <c r="G2283" t="n">
        <v>44386</v>
      </c>
      <c r="H2283" t="b">
        <v>0</v>
      </c>
      <c r="I2283" t="n">
        <v>300</v>
      </c>
      <c r="J2283" t="n">
        <v>1.7902</v>
      </c>
      <c r="K2283" t="inlineStr">
        <is>
          <t>&gt; Perfumería &gt; Cuidado Capilar &gt; Reparación y Tratamientos &gt;</t>
        </is>
      </c>
      <c r="L2283" t="inlineStr">
        <is>
          <t>tratamiento</t>
        </is>
      </c>
      <c r="M2283" t="inlineStr">
        <is>
          <t>profesional</t>
        </is>
      </c>
      <c r="N2283" t="inlineStr">
        <is>
          <t>general</t>
        </is>
      </c>
      <c r="O2283" t="inlineStr">
        <is>
          <t>https://www.disco.com.ar/mascara-fructis-oil-repair-300gr-2/p</t>
        </is>
      </c>
    </row>
    <row r="2284">
      <c r="A2284" s="10" t="inlineStr">
        <is>
          <t>Disco</t>
        </is>
      </c>
      <c r="B2284" s="10" t="n">
        <v>41992</v>
      </c>
      <c r="C2284" s="10" t="n">
        <v>39156</v>
      </c>
      <c r="D2284" s="10" t="inlineStr">
        <is>
          <t>Oleo Fructis Control Y Definición Rizos Poderosos 100 Ml</t>
        </is>
      </c>
      <c r="E2284" s="10" t="inlineStr">
        <is>
          <t>FRUCTIS</t>
        </is>
      </c>
      <c r="F2284" s="10" t="n">
        <v>813.09</v>
      </c>
      <c r="G2284" s="10" t="n">
        <v>67198</v>
      </c>
      <c r="H2284" s="10" t="b">
        <v>0</v>
      </c>
      <c r="I2284" s="10" t="n">
        <v>100</v>
      </c>
      <c r="J2284" s="10" t="n">
        <v>8.1309</v>
      </c>
      <c r="K2284" s="10" t="inlineStr">
        <is>
          <t>&gt; Perfumería &gt; Cuidado Capilar &gt; Reparación y Tratamientos &gt;</t>
        </is>
      </c>
      <c r="L2284" s="10" t="inlineStr">
        <is>
          <t>shampoo</t>
        </is>
      </c>
      <c r="M2284" s="10" t="inlineStr">
        <is>
          <t>estandar</t>
        </is>
      </c>
      <c r="N2284" s="10" t="inlineStr">
        <is>
          <t>rizado</t>
        </is>
      </c>
      <c r="O2284" s="10" t="inlineStr">
        <is>
          <t>https://www.disco.com.ar/oleo-fructis-control-y-definicion-rizos-poderosos-100-ml/p</t>
        </is>
      </c>
    </row>
    <row r="2285">
      <c r="A2285" t="inlineStr">
        <is>
          <t>Disco</t>
        </is>
      </c>
      <c r="B2285" t="n">
        <v>41986</v>
      </c>
      <c r="C2285" t="n">
        <v>39150</v>
      </c>
      <c r="D2285" t="inlineStr">
        <is>
          <t>Crema Peinar Fructis Rizos 300ml</t>
        </is>
      </c>
      <c r="E2285" t="inlineStr">
        <is>
          <t>FRUCTIS</t>
        </is>
      </c>
      <c r="F2285" t="n">
        <v>388.99</v>
      </c>
      <c r="G2285" t="n">
        <v>32148</v>
      </c>
      <c r="H2285" t="b">
        <v>0</v>
      </c>
      <c r="I2285" t="n">
        <v>300</v>
      </c>
      <c r="J2285" t="n">
        <v>1.2966</v>
      </c>
      <c r="K2285" t="inlineStr">
        <is>
          <t>&gt; Perfumería &gt; Cuidado Capilar &gt; Reparación y Tratamientos &gt;</t>
        </is>
      </c>
      <c r="L2285" t="inlineStr">
        <is>
          <t>shampoo</t>
        </is>
      </c>
      <c r="M2285" t="inlineStr">
        <is>
          <t>estandar</t>
        </is>
      </c>
      <c r="N2285" t="inlineStr">
        <is>
          <t>rizado</t>
        </is>
      </c>
      <c r="O2285" t="inlineStr">
        <is>
          <t>https://www.disco.com.ar/crema-peinar-fructis-rizos-300ml-2/p</t>
        </is>
      </c>
    </row>
    <row r="2286">
      <c r="A2286" s="10" t="inlineStr">
        <is>
          <t>Disco</t>
        </is>
      </c>
      <c r="B2286" s="10" t="n">
        <v>41939</v>
      </c>
      <c r="C2286" s="10" t="n">
        <v>39103</v>
      </c>
      <c r="D2286" s="10" t="inlineStr">
        <is>
          <t>Acondicionador Fructis Control Y Definici«n Lisos Poderosos 350 Ml Acondicionador Fructis Control Y Definición Lisos Poderosos 350 Ml</t>
        </is>
      </c>
      <c r="E2286" s="10" t="inlineStr">
        <is>
          <t>FRUCTIS</t>
        </is>
      </c>
      <c r="F2286" s="10" t="n">
        <v>159</v>
      </c>
      <c r="G2286" s="10" t="n">
        <v>159</v>
      </c>
      <c r="H2286" s="10" t="b">
        <v>0</v>
      </c>
      <c r="I2286" s="10" t="n">
        <v>350</v>
      </c>
      <c r="J2286" s="10" t="n">
        <v>0.4543</v>
      </c>
      <c r="K2286" s="10" t="inlineStr">
        <is>
          <t>&gt; Perfumería &gt; Cuidado Capilar &gt; Acondicionador &gt;</t>
        </is>
      </c>
      <c r="L2286" s="10" t="inlineStr">
        <is>
          <t>acondicionador</t>
        </is>
      </c>
      <c r="M2286" s="10" t="inlineStr">
        <is>
          <t>estandar</t>
        </is>
      </c>
      <c r="N2286" s="10" t="inlineStr">
        <is>
          <t>general</t>
        </is>
      </c>
      <c r="O2286" s="10" t="inlineStr">
        <is>
          <t>https://www.disco.com.ar/acondicionador-fructis-control-y-definici-n-lisos-poderosos-350-ml/p</t>
        </is>
      </c>
    </row>
    <row r="2287">
      <c r="A2287" t="inlineStr">
        <is>
          <t>Disco</t>
        </is>
      </c>
      <c r="B2287" t="n">
        <v>41879</v>
      </c>
      <c r="C2287" t="n">
        <v>39043</v>
      </c>
      <c r="D2287" t="inlineStr">
        <is>
          <t>Acondicionador Fructis Brillo 350ml</t>
        </is>
      </c>
      <c r="E2287" t="inlineStr">
        <is>
          <t>FRUCTIS</t>
        </is>
      </c>
      <c r="F2287" t="n">
        <v>339.97</v>
      </c>
      <c r="G2287" t="n">
        <v>28097</v>
      </c>
      <c r="H2287" t="b">
        <v>0</v>
      </c>
      <c r="I2287" t="n">
        <v>350</v>
      </c>
      <c r="J2287" t="n">
        <v>0.9713000000000001</v>
      </c>
      <c r="K2287" t="inlineStr">
        <is>
          <t>&gt; Perfumería &gt; Cuidado Capilar &gt; Acondicionador &gt;</t>
        </is>
      </c>
      <c r="L2287" t="inlineStr">
        <is>
          <t>acondicionador</t>
        </is>
      </c>
      <c r="M2287" t="inlineStr">
        <is>
          <t>estandar</t>
        </is>
      </c>
      <c r="N2287" t="inlineStr">
        <is>
          <t>general</t>
        </is>
      </c>
      <c r="O2287" t="inlineStr">
        <is>
          <t>https://www.disco.com.ar/acondicionador-fructis-brillo-350ml-2/p</t>
        </is>
      </c>
    </row>
    <row r="2288">
      <c r="A2288" s="10" t="inlineStr">
        <is>
          <t>Disco</t>
        </is>
      </c>
      <c r="B2288" s="10" t="n">
        <v>41823</v>
      </c>
      <c r="C2288" s="10" t="n">
        <v>38987</v>
      </c>
      <c r="D2288" s="10" t="inlineStr">
        <is>
          <t>Mascara Fructis Goodbye 300gr</t>
        </is>
      </c>
      <c r="E2288" s="10" t="inlineStr">
        <is>
          <t>FRUCTIS</t>
        </is>
      </c>
      <c r="F2288" s="10" t="n">
        <v>433.59</v>
      </c>
      <c r="G2288" s="10" t="n">
        <v>35834</v>
      </c>
      <c r="H2288" s="10" t="b">
        <v>0</v>
      </c>
      <c r="I2288" s="10" t="n">
        <v>300</v>
      </c>
      <c r="J2288" s="10" t="n">
        <v>1.4453</v>
      </c>
      <c r="K2288" s="10" t="inlineStr">
        <is>
          <t>&gt; Perfumería &gt; Cuidado Capilar &gt; Reparación y Tratamientos &gt;</t>
        </is>
      </c>
      <c r="L2288" s="10" t="inlineStr">
        <is>
          <t>tratamiento</t>
        </is>
      </c>
      <c r="M2288" s="10" t="inlineStr">
        <is>
          <t>estandar</t>
        </is>
      </c>
      <c r="N2288" s="10" t="inlineStr">
        <is>
          <t>general</t>
        </is>
      </c>
      <c r="O2288" s="10" t="inlineStr">
        <is>
          <t>https://www.disco.com.ar/mascara-fructis-goodbye-300gr-2/p</t>
        </is>
      </c>
    </row>
    <row r="2289">
      <c r="A2289" t="inlineStr">
        <is>
          <t>Disco</t>
        </is>
      </c>
      <c r="B2289" t="n">
        <v>41814</v>
      </c>
      <c r="C2289" t="n">
        <v>38978</v>
      </c>
      <c r="D2289" t="inlineStr">
        <is>
          <t>Shampoo Fructis Control Y Definición Rizos Poderosos 650 Ml</t>
        </is>
      </c>
      <c r="E2289" t="inlineStr">
        <is>
          <t>FRUCTIS</t>
        </is>
      </c>
      <c r="F2289" t="n">
        <v>381.19</v>
      </c>
      <c r="G2289" t="n">
        <v>31503</v>
      </c>
      <c r="H2289" t="b">
        <v>0</v>
      </c>
      <c r="I2289" t="n">
        <v>650</v>
      </c>
      <c r="J2289" t="n">
        <v>0.5864</v>
      </c>
      <c r="K2289" t="inlineStr">
        <is>
          <t>&gt; Perfumería &gt; Cuidado Capilar &gt; Shampoo &gt;</t>
        </is>
      </c>
      <c r="L2289" t="inlineStr">
        <is>
          <t>shampoo</t>
        </is>
      </c>
      <c r="M2289" t="inlineStr">
        <is>
          <t>estandar</t>
        </is>
      </c>
      <c r="N2289" t="inlineStr">
        <is>
          <t>rizado</t>
        </is>
      </c>
      <c r="O2289" t="inlineStr">
        <is>
          <t>https://www.disco.com.ar/shampoo-fructis-control-y-definicion-rizos-poderosos-650-ml/p</t>
        </is>
      </c>
    </row>
    <row r="2290">
      <c r="A2290" s="10" t="inlineStr">
        <is>
          <t>Disco</t>
        </is>
      </c>
      <c r="B2290" s="10" t="n">
        <v>41752</v>
      </c>
      <c r="C2290" s="10" t="n">
        <v>38915</v>
      </c>
      <c r="D2290" s="10" t="inlineStr">
        <is>
          <t>Shampoo Fructis Stop Caída Crece Fuerte 350 Ml</t>
        </is>
      </c>
      <c r="E2290" s="10" t="inlineStr">
        <is>
          <t>FRUCTIS</t>
        </is>
      </c>
      <c r="F2290" s="10" t="n">
        <v>262.17</v>
      </c>
      <c r="G2290" s="10" t="n">
        <v>21667</v>
      </c>
      <c r="H2290" s="10" t="b">
        <v>0</v>
      </c>
      <c r="I2290" s="10" t="n">
        <v>350</v>
      </c>
      <c r="J2290" s="10" t="n">
        <v>0.7491</v>
      </c>
      <c r="K2290" s="10" t="inlineStr">
        <is>
          <t>&gt; Perfumería &gt; Cuidado Capilar &gt; Shampoo &gt;</t>
        </is>
      </c>
      <c r="L2290" s="10" t="inlineStr">
        <is>
          <t>shampoo</t>
        </is>
      </c>
      <c r="M2290" s="10" t="inlineStr">
        <is>
          <t>estandar</t>
        </is>
      </c>
      <c r="N2290" s="10" t="inlineStr">
        <is>
          <t>general</t>
        </is>
      </c>
      <c r="O2290" s="10" t="inlineStr">
        <is>
          <t>https://www.disco.com.ar/shampoo-fructis-stop-caida-crece-fuerte-350-ml/p</t>
        </is>
      </c>
    </row>
    <row r="2291">
      <c r="A2291" t="inlineStr">
        <is>
          <t>Disco</t>
        </is>
      </c>
      <c r="B2291" t="n">
        <v>41619</v>
      </c>
      <c r="C2291" t="n">
        <v>38784</v>
      </c>
      <c r="D2291" t="inlineStr">
        <is>
          <t>Acondicionador Fructis Control Y Definición Rizos Poderosos 650 Ml</t>
        </is>
      </c>
      <c r="E2291" t="inlineStr">
        <is>
          <t>FRUCTIS</t>
        </is>
      </c>
      <c r="F2291" t="n">
        <v>381.19</v>
      </c>
      <c r="G2291" t="n">
        <v>31503</v>
      </c>
      <c r="H2291" t="b">
        <v>0</v>
      </c>
      <c r="I2291" t="n">
        <v>650</v>
      </c>
      <c r="J2291" t="n">
        <v>0.5864</v>
      </c>
      <c r="K2291" t="inlineStr">
        <is>
          <t>&gt; Perfumería &gt; Cuidado Capilar &gt; Acondicionador &gt;</t>
        </is>
      </c>
      <c r="L2291" t="inlineStr">
        <is>
          <t>acondicionador</t>
        </is>
      </c>
      <c r="M2291" t="inlineStr">
        <is>
          <t>estandar</t>
        </is>
      </c>
      <c r="N2291" t="inlineStr">
        <is>
          <t>rizado</t>
        </is>
      </c>
      <c r="O2291" t="inlineStr">
        <is>
          <t>https://www.disco.com.ar/acondicionador-fructis-control-y-definicion-rizos-poderosos-650-ml/p</t>
        </is>
      </c>
    </row>
    <row r="2292">
      <c r="A2292" s="10" t="inlineStr">
        <is>
          <t>Disco</t>
        </is>
      </c>
      <c r="B2292" s="10" t="n">
        <v>41590</v>
      </c>
      <c r="C2292" s="10" t="n">
        <v>38756</v>
      </c>
      <c r="D2292" s="10" t="inlineStr">
        <is>
          <t>Acondicionador Fructis Stop Caída Crece Fuerte 350 Ml</t>
        </is>
      </c>
      <c r="E2292" s="10" t="inlineStr">
        <is>
          <t>FRUCTIS</t>
        </is>
      </c>
      <c r="F2292" s="10" t="n">
        <v>311.59</v>
      </c>
      <c r="G2292" s="10" t="n">
        <v>25751</v>
      </c>
      <c r="H2292" s="10" t="b">
        <v>0</v>
      </c>
      <c r="I2292" s="10" t="n">
        <v>350</v>
      </c>
      <c r="J2292" s="10" t="n">
        <v>0.8903</v>
      </c>
      <c r="K2292" s="10" t="inlineStr">
        <is>
          <t>&gt; Perfumería &gt; Cuidado Capilar &gt; Acondicionador &gt;</t>
        </is>
      </c>
      <c r="L2292" s="10" t="inlineStr">
        <is>
          <t>acondicionador</t>
        </is>
      </c>
      <c r="M2292" s="10" t="inlineStr">
        <is>
          <t>estandar</t>
        </is>
      </c>
      <c r="N2292" s="10" t="inlineStr">
        <is>
          <t>general</t>
        </is>
      </c>
      <c r="O2292" s="10" t="inlineStr">
        <is>
          <t>https://www.disco.com.ar/acondicionador-fructis-stop-caida-crece-fuerte-350-ml/p</t>
        </is>
      </c>
    </row>
    <row r="2293">
      <c r="A2293" t="inlineStr">
        <is>
          <t>Disco</t>
        </is>
      </c>
      <c r="B2293" t="n">
        <v>41567</v>
      </c>
      <c r="C2293" t="n">
        <v>38732</v>
      </c>
      <c r="D2293" t="inlineStr">
        <is>
          <t>Acondicionador Fructis Control Y Definici«n Lisos Poderosos 650 Ml Acondicionador Fructis Control Y Definición Lisos Poderosos 650 Ml</t>
        </is>
      </c>
      <c r="E2293" t="inlineStr">
        <is>
          <t>FRUCTIS</t>
        </is>
      </c>
      <c r="F2293" t="n">
        <v>129</v>
      </c>
      <c r="G2293" t="n">
        <v>129</v>
      </c>
      <c r="H2293" t="b">
        <v>0</v>
      </c>
      <c r="I2293" t="n">
        <v>650</v>
      </c>
      <c r="J2293" t="n">
        <v>0.1985</v>
      </c>
      <c r="K2293" t="inlineStr">
        <is>
          <t>&gt; Perfumería &gt; Cuidado Capilar &gt; Acondicionador &gt;</t>
        </is>
      </c>
      <c r="L2293" t="inlineStr">
        <is>
          <t>acondicionador</t>
        </is>
      </c>
      <c r="M2293" t="inlineStr">
        <is>
          <t>estandar</t>
        </is>
      </c>
      <c r="N2293" t="inlineStr">
        <is>
          <t>general</t>
        </is>
      </c>
      <c r="O2293" t="inlineStr">
        <is>
          <t>https://www.disco.com.ar/acondicionador-fructis-control-y-definici-n-lisos-poderosos-650-ml/p</t>
        </is>
      </c>
    </row>
    <row r="2294">
      <c r="A2294" s="10" t="inlineStr">
        <is>
          <t>Disco</t>
        </is>
      </c>
      <c r="B2294" s="10" t="n">
        <v>41550</v>
      </c>
      <c r="C2294" s="10" t="n">
        <v>38715</v>
      </c>
      <c r="D2294" s="10" t="inlineStr">
        <is>
          <t>Acondicionador Fructis Oil Repair 650ml</t>
        </is>
      </c>
      <c r="E2294" s="10" t="inlineStr">
        <is>
          <t>FRUCTIS</t>
        </is>
      </c>
      <c r="F2294" s="10" t="n">
        <v>381.19</v>
      </c>
      <c r="G2294" s="10" t="n">
        <v>31503</v>
      </c>
      <c r="H2294" s="10" t="b">
        <v>0</v>
      </c>
      <c r="I2294" s="10" t="n">
        <v>650</v>
      </c>
      <c r="J2294" s="10" t="n">
        <v>0.5864</v>
      </c>
      <c r="K2294" s="10" t="inlineStr">
        <is>
          <t>&gt; Perfumería &gt; Cuidado Capilar &gt; Acondicionador &gt;</t>
        </is>
      </c>
      <c r="L2294" s="10" t="inlineStr">
        <is>
          <t>acondicionador</t>
        </is>
      </c>
      <c r="M2294" s="10" t="inlineStr">
        <is>
          <t>profesional</t>
        </is>
      </c>
      <c r="N2294" s="10" t="inlineStr">
        <is>
          <t>general</t>
        </is>
      </c>
      <c r="O2294" s="10" t="inlineStr">
        <is>
          <t>https://www.disco.com.ar/acondicionador-fructis-oil-repair-650ml-2/p</t>
        </is>
      </c>
    </row>
    <row r="2295">
      <c r="A2295" t="inlineStr">
        <is>
          <t>Disco</t>
        </is>
      </c>
      <c r="B2295" t="n">
        <v>41547</v>
      </c>
      <c r="C2295" t="n">
        <v>38712</v>
      </c>
      <c r="D2295" t="inlineStr">
        <is>
          <t>Acondicionador Fructis Stop Caída Crece Fuerte 650 Ml</t>
        </is>
      </c>
      <c r="E2295" t="inlineStr">
        <is>
          <t>FRUCTIS</t>
        </is>
      </c>
      <c r="F2295" t="n">
        <v>381.19</v>
      </c>
      <c r="G2295" t="n">
        <v>31503</v>
      </c>
      <c r="H2295" t="b">
        <v>0</v>
      </c>
      <c r="I2295" t="n">
        <v>650</v>
      </c>
      <c r="J2295" t="n">
        <v>0.5864</v>
      </c>
      <c r="K2295" t="inlineStr">
        <is>
          <t>&gt; Perfumería &gt; Cuidado Capilar &gt; Acondicionador &gt;</t>
        </is>
      </c>
      <c r="L2295" t="inlineStr">
        <is>
          <t>acondicionador</t>
        </is>
      </c>
      <c r="M2295" t="inlineStr">
        <is>
          <t>estandar</t>
        </is>
      </c>
      <c r="N2295" t="inlineStr">
        <is>
          <t>general</t>
        </is>
      </c>
      <c r="O2295" t="inlineStr">
        <is>
          <t>https://www.disco.com.ar/acondicionador-fructis-stop-caida-crece-fuerte-650-ml/p</t>
        </is>
      </c>
    </row>
    <row r="2296">
      <c r="A2296" s="10" t="inlineStr">
        <is>
          <t>Disco</t>
        </is>
      </c>
      <c r="B2296" s="10" t="n">
        <v>41401</v>
      </c>
      <c r="C2296" s="10" t="n">
        <v>38566</v>
      </c>
      <c r="D2296" s="10" t="inlineStr">
        <is>
          <t>Crema Peinar Fructis Oil Repair 300ml</t>
        </is>
      </c>
      <c r="E2296" s="10" t="inlineStr">
        <is>
          <t>FRUCTIS</t>
        </is>
      </c>
      <c r="F2296" s="10" t="n">
        <v>365.57</v>
      </c>
      <c r="G2296" s="10" t="n">
        <v>30212</v>
      </c>
      <c r="H2296" s="10" t="b">
        <v>0</v>
      </c>
      <c r="I2296" s="10" t="n">
        <v>300</v>
      </c>
      <c r="J2296" s="10" t="n">
        <v>1.2186</v>
      </c>
      <c r="K2296" s="10" t="inlineStr">
        <is>
          <t>&gt; Perfumería &gt; Cuidado Capilar &gt; Reparación y Tratamientos &gt;</t>
        </is>
      </c>
      <c r="L2296" s="10" t="inlineStr">
        <is>
          <t>shampoo</t>
        </is>
      </c>
      <c r="M2296" s="10" t="inlineStr">
        <is>
          <t>profesional</t>
        </is>
      </c>
      <c r="N2296" s="10" t="inlineStr">
        <is>
          <t>general</t>
        </is>
      </c>
      <c r="O2296" s="10" t="inlineStr">
        <is>
          <t>https://www.disco.com.ar/crema-peinar-fructis-oil-repair-300ml-2/p</t>
        </is>
      </c>
    </row>
    <row r="2297">
      <c r="A2297" t="inlineStr">
        <is>
          <t>Disco</t>
        </is>
      </c>
      <c r="B2297" t="n">
        <v>424303</v>
      </c>
      <c r="C2297" t="n">
        <v>417183</v>
      </c>
      <c r="D2297" t="inlineStr">
        <is>
          <t>Spray Fijador Ultra Fine Hold 311 Grs Tresemme</t>
        </is>
      </c>
      <c r="E2297" t="inlineStr">
        <is>
          <t>TRESEMMÉ</t>
        </is>
      </c>
      <c r="F2297" t="n">
        <v>13550</v>
      </c>
      <c r="G2297" t="n">
        <v>1119835</v>
      </c>
      <c r="H2297" t="b">
        <v>1</v>
      </c>
      <c r="I2297" t="inlineStr"/>
      <c r="J2297" t="inlineStr"/>
      <c r="K2297" t="inlineStr">
        <is>
          <t>&gt; Perfumería &gt; Cuidado Capilar &gt; Reparación y Tratamientos &gt;</t>
        </is>
      </c>
      <c r="L2297" t="inlineStr">
        <is>
          <t>shampoo</t>
        </is>
      </c>
      <c r="M2297" t="inlineStr">
        <is>
          <t>estandar</t>
        </is>
      </c>
      <c r="N2297" t="inlineStr">
        <is>
          <t>general</t>
        </is>
      </c>
      <c r="O2297" t="inlineStr">
        <is>
          <t>https://www.disco.com.ar/spray-fijador-ultra-fine-hold-311-grs-tresemme/p</t>
        </is>
      </c>
    </row>
    <row r="2298">
      <c r="A2298" s="10" t="inlineStr">
        <is>
          <t>Disco</t>
        </is>
      </c>
      <c r="B2298" s="10" t="n">
        <v>3070285</v>
      </c>
      <c r="C2298" s="10" t="n">
        <v>3069878</v>
      </c>
      <c r="D2298" s="10" t="inlineStr">
        <is>
          <t>Mascara Keratina Antifrizz X 300 Gr Tresemmé</t>
        </is>
      </c>
      <c r="E2298" s="10" t="inlineStr">
        <is>
          <t>TRESEMMÉ</t>
        </is>
      </c>
      <c r="F2298" s="10" t="n">
        <v>9350</v>
      </c>
      <c r="G2298" s="10" t="n">
        <v>772727</v>
      </c>
      <c r="H2298" s="10" t="b">
        <v>0</v>
      </c>
      <c r="I2298" s="10" t="n">
        <v>300</v>
      </c>
      <c r="J2298" s="10" t="n">
        <v>31.1667</v>
      </c>
      <c r="K2298" s="10" t="inlineStr">
        <is>
          <t>&gt; Perfumería &gt; Cuidado Capilar &gt; Reparación y Tratamientos &gt;</t>
        </is>
      </c>
      <c r="L2298" s="10" t="inlineStr">
        <is>
          <t>tratamiento</t>
        </is>
      </c>
      <c r="M2298" s="10" t="inlineStr">
        <is>
          <t>estandar</t>
        </is>
      </c>
      <c r="N2298" s="10" t="inlineStr">
        <is>
          <t>tratado</t>
        </is>
      </c>
      <c r="O2298" s="10" t="inlineStr">
        <is>
          <t>https://www.disco.com.ar/mascara-keratina-antifrizz-x-300-gr-tresemme/p</t>
        </is>
      </c>
    </row>
    <row r="2299">
      <c r="A2299" t="inlineStr">
        <is>
          <t>Disco</t>
        </is>
      </c>
      <c r="B2299" t="n">
        <v>3070275</v>
      </c>
      <c r="C2299" t="n">
        <v>3069868</v>
      </c>
      <c r="D2299" t="inlineStr">
        <is>
          <t>Shampoo Brillo Lamelar 500 Ml Tresemmé</t>
        </is>
      </c>
      <c r="E2299" t="inlineStr">
        <is>
          <t>TRESEMMÉ</t>
        </is>
      </c>
      <c r="F2299" t="n">
        <v>9650</v>
      </c>
      <c r="G2299" t="n">
        <v>797521</v>
      </c>
      <c r="H2299" t="b">
        <v>0</v>
      </c>
      <c r="I2299" t="n">
        <v>500</v>
      </c>
      <c r="J2299" t="n">
        <v>19.3</v>
      </c>
      <c r="K2299" t="inlineStr">
        <is>
          <t>&gt; Perfumería &gt; Cuidado Capilar &gt; Shampoo &gt;</t>
        </is>
      </c>
      <c r="L2299" t="inlineStr">
        <is>
          <t>shampoo</t>
        </is>
      </c>
      <c r="M2299" t="inlineStr">
        <is>
          <t>estandar</t>
        </is>
      </c>
      <c r="N2299" t="inlineStr">
        <is>
          <t>general</t>
        </is>
      </c>
      <c r="O2299" t="inlineStr">
        <is>
          <t>https://www.disco.com.ar/shampoo-brillo-lamelar-x-500-ml-tresemme/p</t>
        </is>
      </c>
    </row>
    <row r="2300">
      <c r="A2300" s="10" t="inlineStr">
        <is>
          <t>Disco</t>
        </is>
      </c>
      <c r="B2300" s="10" t="n">
        <v>3070236</v>
      </c>
      <c r="C2300" s="10" t="n">
        <v>3069839</v>
      </c>
      <c r="D2300" s="10" t="inlineStr">
        <is>
          <t>Shampoo Detox Capilar X 500 Ml Tresemmé</t>
        </is>
      </c>
      <c r="E2300" s="10" t="inlineStr">
        <is>
          <t>TRESEMMÉ</t>
        </is>
      </c>
      <c r="F2300" s="10" t="n">
        <v>9650</v>
      </c>
      <c r="G2300" s="10" t="n">
        <v>797521</v>
      </c>
      <c r="H2300" s="10" t="b">
        <v>0</v>
      </c>
      <c r="I2300" s="10" t="n">
        <v>500</v>
      </c>
      <c r="J2300" s="10" t="n">
        <v>19.3</v>
      </c>
      <c r="K2300" s="10" t="inlineStr">
        <is>
          <t>&gt; Perfumería &gt; Cuidado Capilar &gt; Shampoo &gt;</t>
        </is>
      </c>
      <c r="L2300" s="10" t="inlineStr">
        <is>
          <t>shampoo</t>
        </is>
      </c>
      <c r="M2300" s="10" t="inlineStr">
        <is>
          <t>estandar</t>
        </is>
      </c>
      <c r="N2300" s="10" t="inlineStr">
        <is>
          <t>general</t>
        </is>
      </c>
      <c r="O2300" s="10" t="inlineStr">
        <is>
          <t>https://www.disco.com.ar/shampoo-detox-capilar-x-500-ml-tresemme/p</t>
        </is>
      </c>
    </row>
    <row r="2301">
      <c r="A2301" t="inlineStr">
        <is>
          <t>Disco</t>
        </is>
      </c>
      <c r="B2301" t="n">
        <v>3070235</v>
      </c>
      <c r="C2301" t="n">
        <v>3069838</v>
      </c>
      <c r="D2301" t="inlineStr">
        <is>
          <t>Acondicionador Liso Efecto Profesional 500 Ml Tresemmé</t>
        </is>
      </c>
      <c r="E2301" t="inlineStr">
        <is>
          <t>TRESEMMÉ</t>
        </is>
      </c>
      <c r="F2301" t="n">
        <v>9650</v>
      </c>
      <c r="G2301" t="n">
        <v>797521</v>
      </c>
      <c r="H2301" t="b">
        <v>0</v>
      </c>
      <c r="I2301" t="n">
        <v>500</v>
      </c>
      <c r="J2301" t="n">
        <v>19.3</v>
      </c>
      <c r="K2301" t="inlineStr">
        <is>
          <t>&gt; Perfumería &gt; Cuidado Capilar &gt; Acondicionador &gt;</t>
        </is>
      </c>
      <c r="L2301" t="inlineStr">
        <is>
          <t>acondicionador</t>
        </is>
      </c>
      <c r="M2301" t="inlineStr">
        <is>
          <t>profesional</t>
        </is>
      </c>
      <c r="N2301" t="inlineStr">
        <is>
          <t>general</t>
        </is>
      </c>
      <c r="O2301" t="inlineStr">
        <is>
          <t>https://www.disco.com.ar/acondicionador-liso-perfecto-profesional-x-500-ml-tresemme/p</t>
        </is>
      </c>
    </row>
    <row r="2302">
      <c r="A2302" s="10" t="inlineStr">
        <is>
          <t>Disco</t>
        </is>
      </c>
      <c r="B2302" s="10" t="n">
        <v>424304</v>
      </c>
      <c r="C2302" s="10" t="n">
        <v>417184</v>
      </c>
      <c r="D2302" s="10" t="inlineStr">
        <is>
          <t>Protector Térmico Antifrizz 120 Ml Tresemmé</t>
        </is>
      </c>
      <c r="E2302" s="10" t="inlineStr">
        <is>
          <t>TRESEMMÉ</t>
        </is>
      </c>
      <c r="F2302" s="10" t="n">
        <v>9500</v>
      </c>
      <c r="G2302" s="10" t="n">
        <v>785124</v>
      </c>
      <c r="H2302" s="10" t="b">
        <v>0</v>
      </c>
      <c r="I2302" s="10" t="n">
        <v>120</v>
      </c>
      <c r="J2302" s="10" t="n">
        <v>79.16670000000001</v>
      </c>
      <c r="K2302" s="10" t="inlineStr">
        <is>
          <t>&gt; Perfumería &gt; Cuidado Capilar &gt; Reparación y Tratamientos &gt;</t>
        </is>
      </c>
      <c r="L2302" s="10" t="inlineStr">
        <is>
          <t>shampoo</t>
        </is>
      </c>
      <c r="M2302" s="10" t="inlineStr">
        <is>
          <t>estandar</t>
        </is>
      </c>
      <c r="N2302" s="10" t="inlineStr">
        <is>
          <t>general</t>
        </is>
      </c>
      <c r="O2302" s="10" t="inlineStr">
        <is>
          <t>https://www.disco.com.ar/spray-protector-termico-tresemme-antifrizz-120-ml-2/p</t>
        </is>
      </c>
    </row>
    <row r="2303">
      <c r="A2303" t="inlineStr">
        <is>
          <t>Disco</t>
        </is>
      </c>
      <c r="B2303" t="n">
        <v>413371</v>
      </c>
      <c r="C2303" t="n">
        <v>409248</v>
      </c>
      <c r="D2303" t="inlineStr">
        <is>
          <t>Shampoo Liso Efecto Botox 500 Ml Tresemmé</t>
        </is>
      </c>
      <c r="E2303" t="inlineStr">
        <is>
          <t>TRESEMMÉ</t>
        </is>
      </c>
      <c r="F2303" t="n">
        <v>6550</v>
      </c>
      <c r="G2303" t="n">
        <v>541322</v>
      </c>
      <c r="H2303" t="b">
        <v>0</v>
      </c>
      <c r="I2303" t="n">
        <v>500</v>
      </c>
      <c r="J2303" t="n">
        <v>13.1</v>
      </c>
      <c r="K2303" t="inlineStr">
        <is>
          <t>&gt; Perfumería &gt; Cuidado Capilar &gt; Shampoo &gt;</t>
        </is>
      </c>
      <c r="L2303" t="inlineStr">
        <is>
          <t>shampoo</t>
        </is>
      </c>
      <c r="M2303" t="inlineStr">
        <is>
          <t>estandar</t>
        </is>
      </c>
      <c r="N2303" t="inlineStr">
        <is>
          <t>general</t>
        </is>
      </c>
      <c r="O2303" t="inlineStr">
        <is>
          <t>https://www.disco.com.ar/shampoo-tresemme-liso-efecto-botox-500-ml/p</t>
        </is>
      </c>
    </row>
    <row r="2304">
      <c r="A2304" s="10" t="inlineStr">
        <is>
          <t>Disco</t>
        </is>
      </c>
      <c r="B2304" s="10" t="n">
        <v>413368</v>
      </c>
      <c r="C2304" s="10" t="n">
        <v>409245</v>
      </c>
      <c r="D2304" s="10" t="inlineStr">
        <is>
          <t>Shampoo Tresemme Brillo Lamelar 500 Ml</t>
        </is>
      </c>
      <c r="E2304" s="10" t="inlineStr">
        <is>
          <t>TRESEMMÉ</t>
        </is>
      </c>
      <c r="F2304" s="10" t="n">
        <v>6850</v>
      </c>
      <c r="G2304" s="10" t="n">
        <v>566116</v>
      </c>
      <c r="H2304" s="10" t="b">
        <v>0</v>
      </c>
      <c r="I2304" s="10" t="n">
        <v>500</v>
      </c>
      <c r="J2304" s="10" t="n">
        <v>13.7</v>
      </c>
      <c r="K2304" s="10" t="inlineStr">
        <is>
          <t>&gt; Perfumería &gt; Cuidado Capilar &gt; Shampoo &gt;</t>
        </is>
      </c>
      <c r="L2304" s="10" t="inlineStr">
        <is>
          <t>shampoo</t>
        </is>
      </c>
      <c r="M2304" s="10" t="inlineStr">
        <is>
          <t>estandar</t>
        </is>
      </c>
      <c r="N2304" s="10" t="inlineStr">
        <is>
          <t>general</t>
        </is>
      </c>
      <c r="O2304" s="10" t="inlineStr">
        <is>
          <t>https://www.disco.com.ar/shampoo-tresemme-brillo-lamelar-500-ml/p</t>
        </is>
      </c>
    </row>
    <row r="2305">
      <c r="A2305" t="inlineStr">
        <is>
          <t>Disco</t>
        </is>
      </c>
      <c r="B2305" t="n">
        <v>413367</v>
      </c>
      <c r="C2305" t="n">
        <v>409244</v>
      </c>
      <c r="D2305" t="inlineStr">
        <is>
          <t>Shampoo Ondas Boho 250 Ml Tresemmé</t>
        </is>
      </c>
      <c r="E2305" t="inlineStr">
        <is>
          <t>TRESEMMÉ</t>
        </is>
      </c>
      <c r="F2305" t="n">
        <v>4500</v>
      </c>
      <c r="G2305" t="n">
        <v>371901</v>
      </c>
      <c r="H2305" t="b">
        <v>0</v>
      </c>
      <c r="I2305" t="n">
        <v>250</v>
      </c>
      <c r="J2305" t="n">
        <v>18</v>
      </c>
      <c r="K2305" t="inlineStr">
        <is>
          <t>&gt; Perfumería &gt; Cuidado Capilar &gt; Shampoo &gt;</t>
        </is>
      </c>
      <c r="L2305" t="inlineStr">
        <is>
          <t>shampoo</t>
        </is>
      </c>
      <c r="M2305" t="inlineStr">
        <is>
          <t>estandar</t>
        </is>
      </c>
      <c r="N2305" t="inlineStr">
        <is>
          <t>general</t>
        </is>
      </c>
      <c r="O2305" t="inlineStr">
        <is>
          <t>https://www.disco.com.ar/shampoo-tresemme-ondas-boho-250-ml/p</t>
        </is>
      </c>
    </row>
    <row r="2306">
      <c r="A2306" s="10" t="inlineStr">
        <is>
          <t>Disco</t>
        </is>
      </c>
      <c r="B2306" s="10" t="n">
        <v>413346</v>
      </c>
      <c r="C2306" s="10" t="n">
        <v>409227</v>
      </c>
      <c r="D2306" s="10" t="inlineStr">
        <is>
          <t>Shampoo Brillo Lamelar 250 Ml Tresemmé</t>
        </is>
      </c>
      <c r="E2306" s="10" t="inlineStr">
        <is>
          <t>TRESEMMÉ</t>
        </is>
      </c>
      <c r="F2306" s="10" t="n">
        <v>5950</v>
      </c>
      <c r="G2306" s="10" t="n">
        <v>491736</v>
      </c>
      <c r="H2306" s="10" t="b">
        <v>0</v>
      </c>
      <c r="I2306" s="10" t="n">
        <v>250</v>
      </c>
      <c r="J2306" s="10" t="n">
        <v>23.8</v>
      </c>
      <c r="K2306" s="10" t="inlineStr">
        <is>
          <t>&gt; Perfumería &gt; Cuidado Capilar &gt; Shampoo &gt;</t>
        </is>
      </c>
      <c r="L2306" s="10" t="inlineStr">
        <is>
          <t>shampoo</t>
        </is>
      </c>
      <c r="M2306" s="10" t="inlineStr">
        <is>
          <t>estandar</t>
        </is>
      </c>
      <c r="N2306" s="10" t="inlineStr">
        <is>
          <t>general</t>
        </is>
      </c>
      <c r="O2306" s="10" t="inlineStr">
        <is>
          <t>https://www.disco.com.ar/shampoo-tresemme-brillo-lamelar-250-ml/p</t>
        </is>
      </c>
    </row>
    <row r="2307">
      <c r="A2307" t="inlineStr">
        <is>
          <t>Disco</t>
        </is>
      </c>
      <c r="B2307" t="n">
        <v>413345</v>
      </c>
      <c r="C2307" t="n">
        <v>409226</v>
      </c>
      <c r="D2307" t="inlineStr">
        <is>
          <t>Shampoo Tresemme Ondas Boho 880 Ml</t>
        </is>
      </c>
      <c r="E2307" t="inlineStr">
        <is>
          <t>TRESEMMÉ</t>
        </is>
      </c>
      <c r="F2307" t="n">
        <v>15050</v>
      </c>
      <c r="G2307" t="n">
        <v>1243802</v>
      </c>
      <c r="H2307" t="b">
        <v>0</v>
      </c>
      <c r="I2307" t="n">
        <v>880</v>
      </c>
      <c r="J2307" t="n">
        <v>17.1023</v>
      </c>
      <c r="K2307" t="inlineStr">
        <is>
          <t>&gt; Perfumería &gt; Cuidado Capilar &gt; Shampoo &gt;</t>
        </is>
      </c>
      <c r="L2307" t="inlineStr">
        <is>
          <t>shampoo</t>
        </is>
      </c>
      <c r="M2307" t="inlineStr">
        <is>
          <t>estandar</t>
        </is>
      </c>
      <c r="N2307" t="inlineStr">
        <is>
          <t>general</t>
        </is>
      </c>
      <c r="O2307" t="inlineStr">
        <is>
          <t>https://www.disco.com.ar/shampoo-tresemme-ondas-boho-880-ml/p</t>
        </is>
      </c>
    </row>
    <row r="2308">
      <c r="A2308" s="10" t="inlineStr">
        <is>
          <t>Disco</t>
        </is>
      </c>
      <c r="B2308" s="10" t="n">
        <v>413340</v>
      </c>
      <c r="C2308" s="10" t="n">
        <v>409221</v>
      </c>
      <c r="D2308" s="10" t="inlineStr">
        <is>
          <t>Shampoo Brillo Lamelar 880 Ml Tresemmé</t>
        </is>
      </c>
      <c r="E2308" s="10" t="inlineStr">
        <is>
          <t>TRESEMMÉ</t>
        </is>
      </c>
      <c r="F2308" s="10" t="n">
        <v>15050</v>
      </c>
      <c r="G2308" s="10" t="n">
        <v>1243802</v>
      </c>
      <c r="H2308" s="10" t="b">
        <v>0</v>
      </c>
      <c r="I2308" s="10" t="n">
        <v>880</v>
      </c>
      <c r="J2308" s="10" t="n">
        <v>17.1023</v>
      </c>
      <c r="K2308" s="10" t="inlineStr">
        <is>
          <t>&gt; Perfumería &gt; Cuidado Capilar &gt; Shampoo &gt;</t>
        </is>
      </c>
      <c r="L2308" s="10" t="inlineStr">
        <is>
          <t>shampoo</t>
        </is>
      </c>
      <c r="M2308" s="10" t="inlineStr">
        <is>
          <t>estandar</t>
        </is>
      </c>
      <c r="N2308" s="10" t="inlineStr">
        <is>
          <t>general</t>
        </is>
      </c>
      <c r="O2308" s="10" t="inlineStr">
        <is>
          <t>https://www.disco.com.ar/shampoo-tresemme-brillo-lamelar-880-ml/p</t>
        </is>
      </c>
    </row>
    <row r="2309">
      <c r="A2309" t="inlineStr">
        <is>
          <t>Disco</t>
        </is>
      </c>
      <c r="B2309" t="n">
        <v>413338</v>
      </c>
      <c r="C2309" t="n">
        <v>409219</v>
      </c>
      <c r="D2309" t="inlineStr">
        <is>
          <t>Shampoo Detox Capilar 500 Ml Tresemmé Shampoo Tresemme Detox Capilar 500 Ml</t>
        </is>
      </c>
      <c r="E2309" t="inlineStr">
        <is>
          <t>TRESEMMÉ</t>
        </is>
      </c>
      <c r="F2309" t="n">
        <v>7100</v>
      </c>
      <c r="G2309" t="n">
        <v>586777</v>
      </c>
      <c r="H2309" t="b">
        <v>0</v>
      </c>
      <c r="I2309" t="n">
        <v>500</v>
      </c>
      <c r="J2309" t="n">
        <v>14.2</v>
      </c>
      <c r="K2309" t="inlineStr">
        <is>
          <t>&gt; Perfumería &gt; Cuidado Capilar &gt; Shampoo &gt;</t>
        </is>
      </c>
      <c r="L2309" t="inlineStr">
        <is>
          <t>shampoo</t>
        </is>
      </c>
      <c r="M2309" t="inlineStr">
        <is>
          <t>estandar</t>
        </is>
      </c>
      <c r="N2309" t="inlineStr">
        <is>
          <t>general</t>
        </is>
      </c>
      <c r="O2309" t="inlineStr">
        <is>
          <t>https://www.disco.com.ar/shampoo-tresemme-detox-capilar-500-ml/p</t>
        </is>
      </c>
    </row>
    <row r="2310">
      <c r="A2310" s="10" t="inlineStr">
        <is>
          <t>Disco</t>
        </is>
      </c>
      <c r="B2310" s="10" t="n">
        <v>413336</v>
      </c>
      <c r="C2310" s="10" t="n">
        <v>409217</v>
      </c>
      <c r="D2310" s="10" t="inlineStr">
        <is>
          <t>Shampoo Tresemme Ondas Boho 500 Ml</t>
        </is>
      </c>
      <c r="E2310" s="10" t="inlineStr">
        <is>
          <t>TRESEMMÉ</t>
        </is>
      </c>
      <c r="F2310" s="10" t="n">
        <v>6850</v>
      </c>
      <c r="G2310" s="10" t="n">
        <v>566116</v>
      </c>
      <c r="H2310" s="10" t="b">
        <v>0</v>
      </c>
      <c r="I2310" s="10" t="n">
        <v>500</v>
      </c>
      <c r="J2310" s="10" t="n">
        <v>13.7</v>
      </c>
      <c r="K2310" s="10" t="inlineStr">
        <is>
          <t>&gt; Perfumería &gt; Cuidado Capilar &gt; Shampoo &gt;</t>
        </is>
      </c>
      <c r="L2310" s="10" t="inlineStr">
        <is>
          <t>shampoo</t>
        </is>
      </c>
      <c r="M2310" s="10" t="inlineStr">
        <is>
          <t>estandar</t>
        </is>
      </c>
      <c r="N2310" s="10" t="inlineStr">
        <is>
          <t>general</t>
        </is>
      </c>
      <c r="O2310" s="10" t="inlineStr">
        <is>
          <t>https://www.disco.com.ar/shampoo-tresemme-ondas-boho-500-ml/p</t>
        </is>
      </c>
    </row>
    <row r="2311">
      <c r="A2311" t="inlineStr">
        <is>
          <t>Disco</t>
        </is>
      </c>
      <c r="B2311" t="n">
        <v>413335</v>
      </c>
      <c r="C2311" t="n">
        <v>409140</v>
      </c>
      <c r="D2311" t="inlineStr">
        <is>
          <t>Acondicionador Tresemme Liso Efecto Botox 880 Ml</t>
        </is>
      </c>
      <c r="E2311" t="inlineStr">
        <is>
          <t>TRESEMMÉ</t>
        </is>
      </c>
      <c r="F2311" t="n">
        <v>15050</v>
      </c>
      <c r="G2311" t="n">
        <v>1243802</v>
      </c>
      <c r="H2311" t="b">
        <v>0</v>
      </c>
      <c r="I2311" t="n">
        <v>880</v>
      </c>
      <c r="J2311" t="n">
        <v>17.1023</v>
      </c>
      <c r="K2311" t="inlineStr">
        <is>
          <t>&gt; Perfumería &gt; Cuidado Capilar &gt; Acondicionador &gt;</t>
        </is>
      </c>
      <c r="L2311" t="inlineStr">
        <is>
          <t>acondicionador</t>
        </is>
      </c>
      <c r="M2311" t="inlineStr">
        <is>
          <t>estandar</t>
        </is>
      </c>
      <c r="N2311" t="inlineStr">
        <is>
          <t>general</t>
        </is>
      </c>
      <c r="O2311" t="inlineStr">
        <is>
          <t>https://www.disco.com.ar/acondicionador-tresemme-liso-efecto-botox-880-ml/p</t>
        </is>
      </c>
    </row>
    <row r="2312">
      <c r="A2312" s="10" t="inlineStr">
        <is>
          <t>Disco</t>
        </is>
      </c>
      <c r="B2312" s="10" t="n">
        <v>413330</v>
      </c>
      <c r="C2312" s="10" t="n">
        <v>409135</v>
      </c>
      <c r="D2312" s="10" t="inlineStr">
        <is>
          <t>Acondicionador Tresemme Liso Efecto Botox 250 Ml</t>
        </is>
      </c>
      <c r="E2312" s="10" t="inlineStr">
        <is>
          <t>TRESEMMÉ</t>
        </is>
      </c>
      <c r="F2312" s="10" t="n">
        <v>5950</v>
      </c>
      <c r="G2312" s="10" t="n">
        <v>491736</v>
      </c>
      <c r="H2312" s="10" t="b">
        <v>0</v>
      </c>
      <c r="I2312" s="10" t="n">
        <v>250</v>
      </c>
      <c r="J2312" s="10" t="n">
        <v>23.8</v>
      </c>
      <c r="K2312" s="10" t="inlineStr">
        <is>
          <t>&gt; Perfumería &gt; Cuidado Capilar &gt; Acondicionador &gt;</t>
        </is>
      </c>
      <c r="L2312" s="10" t="inlineStr">
        <is>
          <t>acondicionador</t>
        </is>
      </c>
      <c r="M2312" s="10" t="inlineStr">
        <is>
          <t>estandar</t>
        </is>
      </c>
      <c r="N2312" s="10" t="inlineStr">
        <is>
          <t>general</t>
        </is>
      </c>
      <c r="O2312" s="10" t="inlineStr">
        <is>
          <t>https://www.disco.com.ar/acondicionador-tresemme-liso-efecto-botox-250-ml/p</t>
        </is>
      </c>
    </row>
    <row r="2313">
      <c r="A2313" t="inlineStr">
        <is>
          <t>Disco</t>
        </is>
      </c>
      <c r="B2313" t="n">
        <v>413328</v>
      </c>
      <c r="C2313" t="n">
        <v>409133</v>
      </c>
      <c r="D2313" t="inlineStr">
        <is>
          <t>Acondicionador Tresemme Liso Efecto Botox 500 Ml</t>
        </is>
      </c>
      <c r="E2313" t="inlineStr">
        <is>
          <t>TRESEMMÉ</t>
        </is>
      </c>
      <c r="F2313" t="n">
        <v>6550</v>
      </c>
      <c r="G2313" t="n">
        <v>541322</v>
      </c>
      <c r="H2313" t="b">
        <v>0</v>
      </c>
      <c r="I2313" t="n">
        <v>500</v>
      </c>
      <c r="J2313" t="n">
        <v>13.1</v>
      </c>
      <c r="K2313" t="inlineStr">
        <is>
          <t>&gt; Perfumería &gt; Cuidado Capilar &gt; Acondicionador &gt;</t>
        </is>
      </c>
      <c r="L2313" t="inlineStr">
        <is>
          <t>acondicionador</t>
        </is>
      </c>
      <c r="M2313" t="inlineStr">
        <is>
          <t>estandar</t>
        </is>
      </c>
      <c r="N2313" t="inlineStr">
        <is>
          <t>general</t>
        </is>
      </c>
      <c r="O2313" t="inlineStr">
        <is>
          <t>https://www.disco.com.ar/acondicionador-tresemme-liso-efecto-botox-500-ml/p</t>
        </is>
      </c>
    </row>
    <row r="2314">
      <c r="A2314" s="10" t="inlineStr">
        <is>
          <t>Disco</t>
        </is>
      </c>
      <c r="B2314" s="10" t="n">
        <v>390165</v>
      </c>
      <c r="C2314" s="10" t="n">
        <v>388257</v>
      </c>
      <c r="D2314" s="10" t="inlineStr">
        <is>
          <t>Protector Termico Tresemme Spray 120 Ml</t>
        </is>
      </c>
      <c r="E2314" s="10" t="inlineStr">
        <is>
          <t>TRESEMMÉ</t>
        </is>
      </c>
      <c r="F2314" s="10" t="n">
        <v>5700</v>
      </c>
      <c r="G2314" s="10" t="n">
        <v>471074</v>
      </c>
      <c r="H2314" s="10" t="b">
        <v>0</v>
      </c>
      <c r="I2314" s="10" t="n">
        <v>120</v>
      </c>
      <c r="J2314" s="10" t="n">
        <v>47.5</v>
      </c>
      <c r="K2314" s="10" t="inlineStr">
        <is>
          <t>&gt; Perfumería &gt; Cuidado Capilar &gt; Reparación y Tratamientos &gt;</t>
        </is>
      </c>
      <c r="L2314" s="10" t="inlineStr">
        <is>
          <t>shampoo</t>
        </is>
      </c>
      <c r="M2314" s="10" t="inlineStr">
        <is>
          <t>estandar</t>
        </is>
      </c>
      <c r="N2314" s="10" t="inlineStr">
        <is>
          <t>general</t>
        </is>
      </c>
      <c r="O2314" s="10" t="inlineStr">
        <is>
          <t>https://www.disco.com.ar/protector-termico-tresemme-spray-120-ml/p</t>
        </is>
      </c>
    </row>
    <row r="2315">
      <c r="A2315" t="inlineStr">
        <is>
          <t>Disco</t>
        </is>
      </c>
      <c r="B2315" t="n">
        <v>388494</v>
      </c>
      <c r="C2315" t="n">
        <v>386606</v>
      </c>
      <c r="D2315" t="inlineStr">
        <is>
          <t>Spray Tresemme Frizz Control Ultra Fine 311g</t>
        </is>
      </c>
      <c r="E2315" t="inlineStr">
        <is>
          <t>TRESEMMÉ</t>
        </is>
      </c>
      <c r="F2315" t="n">
        <v>5436.33</v>
      </c>
      <c r="G2315" t="n">
        <v>449283</v>
      </c>
      <c r="H2315" t="b">
        <v>0</v>
      </c>
      <c r="I2315" t="n">
        <v>311</v>
      </c>
      <c r="J2315" t="n">
        <v>17.4802</v>
      </c>
      <c r="K2315" t="inlineStr">
        <is>
          <t>&gt; Perfumería &gt; Cuidado Capilar &gt; Reparación y Tratamientos &gt;</t>
        </is>
      </c>
      <c r="L2315" t="inlineStr">
        <is>
          <t>shampoo</t>
        </is>
      </c>
      <c r="M2315" t="inlineStr">
        <is>
          <t>estandar</t>
        </is>
      </c>
      <c r="N2315" t="inlineStr">
        <is>
          <t>general</t>
        </is>
      </c>
      <c r="O2315" t="inlineStr">
        <is>
          <t>https://www.disco.com.ar/spray-tresemme-frizz-control-ultra-fine-311g/p</t>
        </is>
      </c>
    </row>
    <row r="2316">
      <c r="A2316" s="10" t="inlineStr">
        <is>
          <t>Disco</t>
        </is>
      </c>
      <c r="B2316" s="10" t="n">
        <v>384233</v>
      </c>
      <c r="C2316" s="10" t="n">
        <v>382918</v>
      </c>
      <c r="D2316" s="10" t="inlineStr">
        <is>
          <t>Shampoo Tresemme Kera Antifrizz 500ml</t>
        </is>
      </c>
      <c r="E2316" s="10" t="inlineStr">
        <is>
          <t>TRESEMMÉ</t>
        </is>
      </c>
      <c r="F2316" s="10" t="n">
        <v>1600</v>
      </c>
      <c r="G2316" s="10" t="n">
        <v>132231</v>
      </c>
      <c r="H2316" s="10" t="b">
        <v>0</v>
      </c>
      <c r="I2316" s="10" t="n">
        <v>500</v>
      </c>
      <c r="J2316" s="10" t="n">
        <v>3.2</v>
      </c>
      <c r="K2316" s="10" t="inlineStr">
        <is>
          <t>&gt; Perfumería &gt; Cuidado Capilar &gt; Shampoo &gt;</t>
        </is>
      </c>
      <c r="L2316" s="10" t="inlineStr">
        <is>
          <t>shampoo</t>
        </is>
      </c>
      <c r="M2316" s="10" t="inlineStr">
        <is>
          <t>estandar</t>
        </is>
      </c>
      <c r="N2316" s="10" t="inlineStr">
        <is>
          <t>general</t>
        </is>
      </c>
      <c r="O2316" s="10" t="inlineStr">
        <is>
          <t>https://www.disco.com.ar/shampoo-tresemme-kera-antifrizz-500ml/p</t>
        </is>
      </c>
    </row>
    <row r="2317">
      <c r="A2317" t="inlineStr">
        <is>
          <t>Disco</t>
        </is>
      </c>
      <c r="B2317" t="n">
        <v>384231</v>
      </c>
      <c r="C2317" t="n">
        <v>382916</v>
      </c>
      <c r="D2317" t="inlineStr">
        <is>
          <t>Mousse Ondas y Rizos 190 Grs Tresemmé Mousse Tresemme Ondas Y Rizos 190 Gr</t>
        </is>
      </c>
      <c r="E2317" t="inlineStr">
        <is>
          <t>TRESEMMÉ</t>
        </is>
      </c>
      <c r="F2317" t="n">
        <v>8100</v>
      </c>
      <c r="G2317" t="n">
        <v>669421</v>
      </c>
      <c r="H2317" t="b">
        <v>0</v>
      </c>
      <c r="I2317" t="n">
        <v>190</v>
      </c>
      <c r="J2317" t="n">
        <v>42.6316</v>
      </c>
      <c r="K2317" t="inlineStr">
        <is>
          <t>&gt; Perfumería &gt; Cuidado Capilar &gt; Reparación y Tratamientos &gt;</t>
        </is>
      </c>
      <c r="L2317" t="inlineStr">
        <is>
          <t>shampoo</t>
        </is>
      </c>
      <c r="M2317" t="inlineStr">
        <is>
          <t>estandar</t>
        </is>
      </c>
      <c r="N2317" t="inlineStr">
        <is>
          <t>rizado</t>
        </is>
      </c>
      <c r="O2317" t="inlineStr">
        <is>
          <t>https://www.disco.com.ar/mousse-tresemme-ondas-y-rizos-190-gr/p</t>
        </is>
      </c>
    </row>
    <row r="2318">
      <c r="A2318" s="10" t="inlineStr">
        <is>
          <t>Disco</t>
        </is>
      </c>
      <c r="B2318" s="10" t="n">
        <v>384228</v>
      </c>
      <c r="C2318" s="10" t="n">
        <v>382914</v>
      </c>
      <c r="D2318" s="10" t="inlineStr">
        <is>
          <t>Máscara De Tratamiento Tresemmé Pro Activa 300 Gr</t>
        </is>
      </c>
      <c r="E2318" s="10" t="inlineStr">
        <is>
          <t>TRESEMMÉ</t>
        </is>
      </c>
      <c r="F2318" s="10" t="n">
        <v>2900</v>
      </c>
      <c r="G2318" s="10" t="n">
        <v>239669</v>
      </c>
      <c r="H2318" s="10" t="b">
        <v>0</v>
      </c>
      <c r="I2318" s="10" t="n">
        <v>300</v>
      </c>
      <c r="J2318" s="10" t="n">
        <v>9.666700000000001</v>
      </c>
      <c r="K2318" s="10" t="inlineStr">
        <is>
          <t>&gt; Perfumería &gt; Cuidado Capilar &gt; Reparación y Tratamientos &gt;</t>
        </is>
      </c>
      <c r="L2318" s="10" t="inlineStr">
        <is>
          <t>tratamiento</t>
        </is>
      </c>
      <c r="M2318" s="10" t="inlineStr">
        <is>
          <t>estandar</t>
        </is>
      </c>
      <c r="N2318" s="10" t="inlineStr">
        <is>
          <t>general</t>
        </is>
      </c>
      <c r="O2318" s="10" t="inlineStr">
        <is>
          <t>https://www.disco.com.ar/mascara-de-tratamiento-tresemme-pro-activa-300-gr/p</t>
        </is>
      </c>
    </row>
    <row r="2319">
      <c r="A2319" t="inlineStr">
        <is>
          <t>Disco</t>
        </is>
      </c>
      <c r="B2319" t="n">
        <v>384223</v>
      </c>
      <c r="C2319" t="n">
        <v>382912</v>
      </c>
      <c r="D2319" t="inlineStr">
        <is>
          <t>Acondicionador Tresemmé Cauterización Reparadora 500 Ml</t>
        </is>
      </c>
      <c r="E2319" t="inlineStr">
        <is>
          <t>TRESEMMÉ</t>
        </is>
      </c>
      <c r="F2319" t="n">
        <v>1650</v>
      </c>
      <c r="G2319" t="n">
        <v>136364</v>
      </c>
      <c r="H2319" t="b">
        <v>0</v>
      </c>
      <c r="I2319" t="n">
        <v>500</v>
      </c>
      <c r="J2319" t="n">
        <v>3.3</v>
      </c>
      <c r="K2319" t="inlineStr">
        <is>
          <t>&gt; Perfumería &gt; Cuidado Capilar &gt; Acondicionador &gt;</t>
        </is>
      </c>
      <c r="L2319" t="inlineStr">
        <is>
          <t>acondicionador</t>
        </is>
      </c>
      <c r="M2319" t="inlineStr">
        <is>
          <t>estandar</t>
        </is>
      </c>
      <c r="N2319" t="inlineStr">
        <is>
          <t>general</t>
        </is>
      </c>
      <c r="O2319" t="inlineStr">
        <is>
          <t>https://www.disco.com.ar/acondicionador-tresemme-cauterizacion-reparadora-500-ml-2/p</t>
        </is>
      </c>
    </row>
    <row r="2320">
      <c r="A2320" s="10" t="inlineStr">
        <is>
          <t>Disco</t>
        </is>
      </c>
      <c r="B2320" s="10" t="n">
        <v>384220</v>
      </c>
      <c r="C2320" s="10" t="n">
        <v>382910</v>
      </c>
      <c r="D2320" s="10" t="inlineStr">
        <is>
          <t>Crema de Peinar Antifrizz Leave In 200 Ml Tresemmé Crema De Peinar Tresemme Antifrizz Leave In 200 Ml</t>
        </is>
      </c>
      <c r="E2320" s="10" t="inlineStr">
        <is>
          <t>TRESEMMÉ</t>
        </is>
      </c>
      <c r="F2320" s="10" t="n">
        <v>3750</v>
      </c>
      <c r="G2320" s="10" t="n">
        <v>309917</v>
      </c>
      <c r="H2320" s="10" t="b">
        <v>0</v>
      </c>
      <c r="I2320" s="10" t="n">
        <v>200</v>
      </c>
      <c r="J2320" s="10" t="n">
        <v>18.75</v>
      </c>
      <c r="K2320" s="10" t="inlineStr">
        <is>
          <t>&gt; Perfumería &gt; Cuidado Capilar &gt; Reparación y Tratamientos &gt;</t>
        </is>
      </c>
      <c r="L2320" s="10" t="inlineStr">
        <is>
          <t>shampoo</t>
        </is>
      </c>
      <c r="M2320" s="10" t="inlineStr">
        <is>
          <t>estandar</t>
        </is>
      </c>
      <c r="N2320" s="10" t="inlineStr">
        <is>
          <t>general</t>
        </is>
      </c>
      <c r="O2320" s="10" t="inlineStr">
        <is>
          <t>https://www.disco.com.ar/crema-de-peinar-tresemme-antifrizz-leave-in-200-ml/p</t>
        </is>
      </c>
    </row>
    <row r="2321">
      <c r="A2321" t="inlineStr">
        <is>
          <t>Disco</t>
        </is>
      </c>
      <c r="B2321" t="n">
        <v>384219</v>
      </c>
      <c r="C2321" t="n">
        <v>382909</v>
      </c>
      <c r="D2321" t="inlineStr">
        <is>
          <t>Acondicionador Tresemme Ondas Boho 880 Ml</t>
        </is>
      </c>
      <c r="E2321" t="inlineStr">
        <is>
          <t>TRESEMMÉ</t>
        </is>
      </c>
      <c r="F2321" t="n">
        <v>2900</v>
      </c>
      <c r="G2321" t="n">
        <v>239669</v>
      </c>
      <c r="H2321" t="b">
        <v>0</v>
      </c>
      <c r="I2321" t="n">
        <v>880</v>
      </c>
      <c r="J2321" t="n">
        <v>3.2955</v>
      </c>
      <c r="K2321" t="inlineStr">
        <is>
          <t>&gt; Perfumería &gt; Cuidado Capilar &gt; Acondicionador &gt;</t>
        </is>
      </c>
      <c r="L2321" t="inlineStr">
        <is>
          <t>acondicionador</t>
        </is>
      </c>
      <c r="M2321" t="inlineStr">
        <is>
          <t>estandar</t>
        </is>
      </c>
      <c r="N2321" t="inlineStr">
        <is>
          <t>general</t>
        </is>
      </c>
      <c r="O2321" t="inlineStr">
        <is>
          <t>https://www.disco.com.ar/acondicionador-tresemme-ondas-boho-880-ml-2/p</t>
        </is>
      </c>
    </row>
    <row r="2322">
      <c r="A2322" s="10" t="inlineStr">
        <is>
          <t>Disco</t>
        </is>
      </c>
      <c r="B2322" s="10" t="n">
        <v>384218</v>
      </c>
      <c r="C2322" s="10" t="n">
        <v>382908</v>
      </c>
      <c r="D2322" s="10" t="inlineStr">
        <is>
          <t>Acondicionador Tresemme Liso Efecto Botox 880ml</t>
        </is>
      </c>
      <c r="E2322" s="10" t="inlineStr">
        <is>
          <t>TRESEMMÉ</t>
        </is>
      </c>
      <c r="F2322" s="10" t="n">
        <v>2684.29</v>
      </c>
      <c r="G2322" s="10" t="n">
        <v>221842</v>
      </c>
      <c r="H2322" s="10" t="b">
        <v>0</v>
      </c>
      <c r="I2322" s="10" t="n">
        <v>880</v>
      </c>
      <c r="J2322" s="10" t="n">
        <v>3.0503</v>
      </c>
      <c r="K2322" s="10" t="inlineStr">
        <is>
          <t>&gt; Perfumería &gt; Cuidado Capilar &gt; Acondicionador &gt;</t>
        </is>
      </c>
      <c r="L2322" s="10" t="inlineStr">
        <is>
          <t>acondicionador</t>
        </is>
      </c>
      <c r="M2322" s="10" t="inlineStr">
        <is>
          <t>estandar</t>
        </is>
      </c>
      <c r="N2322" s="10" t="inlineStr">
        <is>
          <t>general</t>
        </is>
      </c>
      <c r="O2322" s="10" t="inlineStr">
        <is>
          <t>https://www.disco.com.ar/acondicionador-tresemme-liso-efecto-botox-880ml/p</t>
        </is>
      </c>
    </row>
    <row r="2323">
      <c r="A2323" t="inlineStr">
        <is>
          <t>Disco</t>
        </is>
      </c>
      <c r="B2323" t="n">
        <v>384208</v>
      </c>
      <c r="C2323" t="n">
        <v>382900</v>
      </c>
      <c r="D2323" t="inlineStr">
        <is>
          <t>Acondicionador Tresemme Keratina Antifrizz 250 Ml</t>
        </is>
      </c>
      <c r="E2323" t="inlineStr">
        <is>
          <t>TRESEMMÉ</t>
        </is>
      </c>
      <c r="F2323" t="n">
        <v>1000</v>
      </c>
      <c r="G2323" t="n">
        <v>82645</v>
      </c>
      <c r="H2323" t="b">
        <v>0</v>
      </c>
      <c r="I2323" t="n">
        <v>250</v>
      </c>
      <c r="J2323" t="n">
        <v>4</v>
      </c>
      <c r="K2323" t="inlineStr">
        <is>
          <t>&gt; Perfumería &gt; Cuidado Capilar &gt; Acondicionador &gt;</t>
        </is>
      </c>
      <c r="L2323" t="inlineStr">
        <is>
          <t>acondicionador</t>
        </is>
      </c>
      <c r="M2323" t="inlineStr">
        <is>
          <t>estandar</t>
        </is>
      </c>
      <c r="N2323" t="inlineStr">
        <is>
          <t>tratado</t>
        </is>
      </c>
      <c r="O2323" t="inlineStr">
        <is>
          <t>https://www.disco.com.ar/acondicionador-tresemme-keratina-antifrizz-250-ml-2/p</t>
        </is>
      </c>
    </row>
    <row r="2324">
      <c r="A2324" s="10" t="inlineStr">
        <is>
          <t>Disco</t>
        </is>
      </c>
      <c r="B2324" s="10" t="n">
        <v>384197</v>
      </c>
      <c r="C2324" s="10" t="n">
        <v>382898</v>
      </c>
      <c r="D2324" s="10" t="inlineStr">
        <is>
          <t>Acondicionador Tresemme Ondas Boho 500 Ml</t>
        </is>
      </c>
      <c r="E2324" s="10" t="inlineStr">
        <is>
          <t>TRESEMMÉ</t>
        </is>
      </c>
      <c r="F2324" s="10" t="n">
        <v>1500</v>
      </c>
      <c r="G2324" s="10" t="n">
        <v>123967</v>
      </c>
      <c r="H2324" s="10" t="b">
        <v>0</v>
      </c>
      <c r="I2324" s="10" t="n">
        <v>500</v>
      </c>
      <c r="J2324" s="10" t="n">
        <v>3</v>
      </c>
      <c r="K2324" s="10" t="inlineStr">
        <is>
          <t>&gt; Perfumería &gt; Cuidado Capilar &gt; Acondicionador &gt;</t>
        </is>
      </c>
      <c r="L2324" s="10" t="inlineStr">
        <is>
          <t>acondicionador</t>
        </is>
      </c>
      <c r="M2324" s="10" t="inlineStr">
        <is>
          <t>estandar</t>
        </is>
      </c>
      <c r="N2324" s="10" t="inlineStr">
        <is>
          <t>general</t>
        </is>
      </c>
      <c r="O2324" s="10" t="inlineStr">
        <is>
          <t>https://www.disco.com.ar/acondicionador-tresemme-ondas-boho-500-ml-2/p</t>
        </is>
      </c>
    </row>
    <row r="2325">
      <c r="A2325" t="inlineStr">
        <is>
          <t>Disco</t>
        </is>
      </c>
      <c r="B2325" t="n">
        <v>384196</v>
      </c>
      <c r="C2325" t="n">
        <v>382897</v>
      </c>
      <c r="D2325" t="inlineStr">
        <is>
          <t>Shampoo Tresemme Liso Efecto Botox 500ml</t>
        </is>
      </c>
      <c r="E2325" t="inlineStr">
        <is>
          <t>TRESEMMÉ</t>
        </is>
      </c>
      <c r="F2325" t="n">
        <v>1463.73</v>
      </c>
      <c r="G2325" t="n">
        <v>120969</v>
      </c>
      <c r="H2325" t="b">
        <v>0</v>
      </c>
      <c r="I2325" t="n">
        <v>500</v>
      </c>
      <c r="J2325" t="n">
        <v>2.9275</v>
      </c>
      <c r="K2325" t="inlineStr">
        <is>
          <t>&gt; Perfumería &gt; Cuidado Capilar &gt; Shampoo &gt;</t>
        </is>
      </c>
      <c r="L2325" t="inlineStr">
        <is>
          <t>shampoo</t>
        </is>
      </c>
      <c r="M2325" t="inlineStr">
        <is>
          <t>estandar</t>
        </is>
      </c>
      <c r="N2325" t="inlineStr">
        <is>
          <t>general</t>
        </is>
      </c>
      <c r="O2325" t="inlineStr">
        <is>
          <t>https://www.disco.com.ar/shampoo-tresemme-liso-efecto-botox-500ml/p</t>
        </is>
      </c>
    </row>
    <row r="2326">
      <c r="A2326" s="10" t="inlineStr">
        <is>
          <t>Disco</t>
        </is>
      </c>
      <c r="B2326" s="10" t="n">
        <v>384195</v>
      </c>
      <c r="C2326" s="10" t="n">
        <v>382896</v>
      </c>
      <c r="D2326" s="10" t="inlineStr">
        <is>
          <t>Shampoo Tresemme Ondas Boho 250 Ml</t>
        </is>
      </c>
      <c r="E2326" s="10" t="inlineStr">
        <is>
          <t>TRESEMMÉ</t>
        </is>
      </c>
      <c r="F2326" s="10" t="n">
        <v>823.35</v>
      </c>
      <c r="G2326" s="10" t="n">
        <v>68045</v>
      </c>
      <c r="H2326" s="10" t="b">
        <v>0</v>
      </c>
      <c r="I2326" s="10" t="n">
        <v>250</v>
      </c>
      <c r="J2326" s="10" t="n">
        <v>3.2934</v>
      </c>
      <c r="K2326" s="10" t="inlineStr">
        <is>
          <t>&gt; Perfumería &gt; Cuidado Capilar &gt; Shampoo &gt;</t>
        </is>
      </c>
      <c r="L2326" s="10" t="inlineStr">
        <is>
          <t>shampoo</t>
        </is>
      </c>
      <c r="M2326" s="10" t="inlineStr">
        <is>
          <t>estandar</t>
        </is>
      </c>
      <c r="N2326" s="10" t="inlineStr">
        <is>
          <t>general</t>
        </is>
      </c>
      <c r="O2326" s="10" t="inlineStr">
        <is>
          <t>https://www.disco.com.ar/shampoo-tresemme-ondas-boho-250-ml-2/p</t>
        </is>
      </c>
    </row>
    <row r="2327">
      <c r="A2327" t="inlineStr">
        <is>
          <t>Disco</t>
        </is>
      </c>
      <c r="B2327" t="n">
        <v>384193</v>
      </c>
      <c r="C2327" t="n">
        <v>382894</v>
      </c>
      <c r="D2327" t="inlineStr">
        <is>
          <t>Shampoo Tresemme Liso Efecto Botox 880ml</t>
        </is>
      </c>
      <c r="E2327" t="inlineStr">
        <is>
          <t>TRESEMMÉ</t>
        </is>
      </c>
      <c r="F2327" t="n">
        <v>2684.29</v>
      </c>
      <c r="G2327" t="n">
        <v>221842</v>
      </c>
      <c r="H2327" t="b">
        <v>0</v>
      </c>
      <c r="I2327" t="n">
        <v>880</v>
      </c>
      <c r="J2327" t="n">
        <v>3.0503</v>
      </c>
      <c r="K2327" t="inlineStr">
        <is>
          <t>&gt; Perfumería &gt; Cuidado Capilar &gt; Shampoo &gt;</t>
        </is>
      </c>
      <c r="L2327" t="inlineStr">
        <is>
          <t>shampoo</t>
        </is>
      </c>
      <c r="M2327" t="inlineStr">
        <is>
          <t>estandar</t>
        </is>
      </c>
      <c r="N2327" t="inlineStr">
        <is>
          <t>general</t>
        </is>
      </c>
      <c r="O2327" t="inlineStr">
        <is>
          <t>https://www.disco.com.ar/shampoo-tresemme-liso-efecto-botox-880ml/p</t>
        </is>
      </c>
    </row>
    <row r="2328">
      <c r="A2328" s="10" t="inlineStr">
        <is>
          <t>Disco</t>
        </is>
      </c>
      <c r="B2328" s="10" t="n">
        <v>384192</v>
      </c>
      <c r="C2328" s="10" t="n">
        <v>382893</v>
      </c>
      <c r="D2328" s="10" t="inlineStr">
        <is>
          <t>Shampoo Tresemme Kera Antifrizz 250ml</t>
        </is>
      </c>
      <c r="E2328" s="10" t="inlineStr">
        <is>
          <t>TRESEMMÉ</t>
        </is>
      </c>
      <c r="F2328" s="10" t="n">
        <v>1000</v>
      </c>
      <c r="G2328" s="10" t="n">
        <v>82645</v>
      </c>
      <c r="H2328" s="10" t="b">
        <v>0</v>
      </c>
      <c r="I2328" s="10" t="n">
        <v>250</v>
      </c>
      <c r="J2328" s="10" t="n">
        <v>4</v>
      </c>
      <c r="K2328" s="10" t="inlineStr">
        <is>
          <t>&gt; Perfumería &gt; Cuidado Capilar &gt; Shampoo &gt;</t>
        </is>
      </c>
      <c r="L2328" s="10" t="inlineStr">
        <is>
          <t>shampoo</t>
        </is>
      </c>
      <c r="M2328" s="10" t="inlineStr">
        <is>
          <t>estandar</t>
        </is>
      </c>
      <c r="N2328" s="10" t="inlineStr">
        <is>
          <t>general</t>
        </is>
      </c>
      <c r="O2328" s="10" t="inlineStr">
        <is>
          <t>https://www.disco.com.ar/shampoo-tresemme-kera-antifrizz-250ml/p</t>
        </is>
      </c>
    </row>
    <row r="2329">
      <c r="A2329" t="inlineStr">
        <is>
          <t>Disco</t>
        </is>
      </c>
      <c r="B2329" t="n">
        <v>384191</v>
      </c>
      <c r="C2329" t="n">
        <v>382892</v>
      </c>
      <c r="D2329" t="inlineStr">
        <is>
          <t>Shampoo Tresemmé Liso Efecto Botox 250 Ml</t>
        </is>
      </c>
      <c r="E2329" t="inlineStr">
        <is>
          <t>TRESEMMÉ</t>
        </is>
      </c>
      <c r="F2329" t="n">
        <v>950</v>
      </c>
      <c r="G2329" t="n">
        <v>78512</v>
      </c>
      <c r="H2329" t="b">
        <v>0</v>
      </c>
      <c r="I2329" t="n">
        <v>250</v>
      </c>
      <c r="J2329" t="n">
        <v>3.8</v>
      </c>
      <c r="K2329" t="inlineStr">
        <is>
          <t>&gt; Perfumería &gt; Cuidado Capilar &gt; Shampoo &gt;</t>
        </is>
      </c>
      <c r="L2329" t="inlineStr">
        <is>
          <t>shampoo</t>
        </is>
      </c>
      <c r="M2329" t="inlineStr">
        <is>
          <t>estandar</t>
        </is>
      </c>
      <c r="N2329" t="inlineStr">
        <is>
          <t>general</t>
        </is>
      </c>
      <c r="O2329" t="inlineStr">
        <is>
          <t>https://www.disco.com.ar/shampoo-tresemme-liso-efecto-botox-250-ml-2/p</t>
        </is>
      </c>
    </row>
    <row r="2330">
      <c r="A2330" s="10" t="inlineStr">
        <is>
          <t>Disco</t>
        </is>
      </c>
      <c r="B2330" s="10" t="n">
        <v>384189</v>
      </c>
      <c r="C2330" s="10" t="n">
        <v>382890</v>
      </c>
      <c r="D2330" s="10" t="inlineStr">
        <is>
          <t>Shampoo Tresemme Cauterización Reparación 250 Ml</t>
        </is>
      </c>
      <c r="E2330" s="10" t="inlineStr">
        <is>
          <t>TRESEMMÉ</t>
        </is>
      </c>
      <c r="F2330" s="10" t="n">
        <v>1050</v>
      </c>
      <c r="G2330" s="10" t="n">
        <v>86777</v>
      </c>
      <c r="H2330" s="10" t="b">
        <v>0</v>
      </c>
      <c r="I2330" s="10" t="n">
        <v>250</v>
      </c>
      <c r="J2330" s="10" t="n">
        <v>4.2</v>
      </c>
      <c r="K2330" s="10" t="inlineStr">
        <is>
          <t>&gt; Perfumería &gt; Cuidado Capilar &gt; Shampoo &gt;</t>
        </is>
      </c>
      <c r="L2330" s="10" t="inlineStr">
        <is>
          <t>shampoo</t>
        </is>
      </c>
      <c r="M2330" s="10" t="inlineStr">
        <is>
          <t>estandar</t>
        </is>
      </c>
      <c r="N2330" s="10" t="inlineStr">
        <is>
          <t>general</t>
        </is>
      </c>
      <c r="O2330" s="10" t="inlineStr">
        <is>
          <t>https://www.disco.com.ar/shampoo-tresemme-cauterizacion-reparacion-250-ml/p</t>
        </is>
      </c>
    </row>
    <row r="2331">
      <c r="A2331" t="inlineStr">
        <is>
          <t>Disco</t>
        </is>
      </c>
      <c r="B2331" t="n">
        <v>292338</v>
      </c>
      <c r="C2331" t="n">
        <v>291570</v>
      </c>
      <c r="D2331" t="inlineStr">
        <is>
          <t>Shampoo Tresemmé-thermal Recovery-pvc-ml.-400</t>
        </is>
      </c>
      <c r="E2331" t="inlineStr">
        <is>
          <t>TRESEMMÉ</t>
        </is>
      </c>
      <c r="F2331" t="n">
        <v>51.87</v>
      </c>
      <c r="G2331" t="n">
        <v>4287</v>
      </c>
      <c r="H2331" t="b">
        <v>0</v>
      </c>
      <c r="I2331" t="inlineStr"/>
      <c r="J2331" t="inlineStr"/>
      <c r="K2331" t="inlineStr">
        <is>
          <t>&gt; Perfumería &gt; Cuidado Capilar &gt; Shampoo &gt;</t>
        </is>
      </c>
      <c r="L2331" t="inlineStr">
        <is>
          <t>shampoo</t>
        </is>
      </c>
      <c r="M2331" t="inlineStr">
        <is>
          <t>estandar</t>
        </is>
      </c>
      <c r="N2331" t="inlineStr">
        <is>
          <t>general</t>
        </is>
      </c>
      <c r="O2331" t="inlineStr">
        <is>
          <t>https://www.disco.com.ar/shampoo-tresemme-thermal-recovery-pvc-ml-400/p</t>
        </is>
      </c>
    </row>
    <row r="2332">
      <c r="A2332" s="10" t="inlineStr">
        <is>
          <t>Disco</t>
        </is>
      </c>
      <c r="B2332" s="10" t="n">
        <v>247604</v>
      </c>
      <c r="C2332" s="10" t="n">
        <v>244285</v>
      </c>
      <c r="D2332" s="10" t="inlineStr">
        <is>
          <t>Acondicionador Tresemmé Bajo Poo 3en1 200ml</t>
        </is>
      </c>
      <c r="E2332" s="10" t="inlineStr">
        <is>
          <t>TRESEMMÉ</t>
        </is>
      </c>
      <c r="F2332" s="10" t="n">
        <v>123.69</v>
      </c>
      <c r="G2332" s="10" t="n">
        <v>10222</v>
      </c>
      <c r="H2332" s="10" t="b">
        <v>0</v>
      </c>
      <c r="I2332" s="10" t="n">
        <v>200</v>
      </c>
      <c r="J2332" s="10" t="n">
        <v>0.6183999999999999</v>
      </c>
      <c r="K2332" s="10" t="inlineStr">
        <is>
          <t>&gt; Perfumería &gt; Cuidado Capilar &gt; Acondicionador &gt;</t>
        </is>
      </c>
      <c r="L2332" s="10" t="inlineStr">
        <is>
          <t>acondicionador</t>
        </is>
      </c>
      <c r="M2332" s="10" t="inlineStr">
        <is>
          <t>estandar</t>
        </is>
      </c>
      <c r="N2332" s="10" t="inlineStr">
        <is>
          <t>general</t>
        </is>
      </c>
      <c r="O2332" s="10" t="inlineStr">
        <is>
          <t>https://www.disco.com.ar/acondicionador-tresemme-bajo-poo-3en1-200ml/p</t>
        </is>
      </c>
    </row>
    <row r="2333">
      <c r="A2333" t="inlineStr">
        <is>
          <t>Disco</t>
        </is>
      </c>
      <c r="B2333" t="n">
        <v>247594</v>
      </c>
      <c r="C2333" t="n">
        <v>244277</v>
      </c>
      <c r="D2333" t="inlineStr">
        <is>
          <t>Shampoo Tresemmé Bajo Poo 3 En 1 200 Ml</t>
        </is>
      </c>
      <c r="E2333" t="inlineStr">
        <is>
          <t>TRESEMMÉ</t>
        </is>
      </c>
      <c r="F2333" t="n">
        <v>123.69</v>
      </c>
      <c r="G2333" t="n">
        <v>10222</v>
      </c>
      <c r="H2333" t="b">
        <v>0</v>
      </c>
      <c r="I2333" t="n">
        <v>200</v>
      </c>
      <c r="J2333" t="n">
        <v>0.6183999999999999</v>
      </c>
      <c r="K2333" t="inlineStr">
        <is>
          <t>&gt; Perfumería &gt; Cuidado Capilar &gt; Shampoo &gt;</t>
        </is>
      </c>
      <c r="L2333" t="inlineStr">
        <is>
          <t>shampoo</t>
        </is>
      </c>
      <c r="M2333" t="inlineStr">
        <is>
          <t>estandar</t>
        </is>
      </c>
      <c r="N2333" t="inlineStr">
        <is>
          <t>general</t>
        </is>
      </c>
      <c r="O2333" t="inlineStr">
        <is>
          <t>https://www.disco.com.ar/shampoo-tresemme-bajo-poo-3-en-1-200-ml/p</t>
        </is>
      </c>
    </row>
    <row r="2334">
      <c r="A2334" s="10" t="inlineStr">
        <is>
          <t>Disco</t>
        </is>
      </c>
      <c r="B2334" s="10" t="n">
        <v>247593</v>
      </c>
      <c r="C2334" s="10" t="n">
        <v>244274</v>
      </c>
      <c r="D2334" s="10" t="inlineStr">
        <is>
          <t>Acondicionador Tresemme Bajo Poo 400ml</t>
        </is>
      </c>
      <c r="E2334" s="10" t="inlineStr">
        <is>
          <t>TRESEMMÉ</t>
        </is>
      </c>
      <c r="F2334" s="10" t="n">
        <v>283.29</v>
      </c>
      <c r="G2334" s="10" t="n">
        <v>23412</v>
      </c>
      <c r="H2334" s="10" t="b">
        <v>0</v>
      </c>
      <c r="I2334" s="10" t="n">
        <v>400</v>
      </c>
      <c r="J2334" s="10" t="n">
        <v>0.7082000000000001</v>
      </c>
      <c r="K2334" s="10" t="inlineStr">
        <is>
          <t>&gt; Perfumería &gt; Cuidado Capilar &gt; Acondicionador &gt;</t>
        </is>
      </c>
      <c r="L2334" s="10" t="inlineStr">
        <is>
          <t>acondicionador</t>
        </is>
      </c>
      <c r="M2334" s="10" t="inlineStr">
        <is>
          <t>estandar</t>
        </is>
      </c>
      <c r="N2334" s="10" t="inlineStr">
        <is>
          <t>general</t>
        </is>
      </c>
      <c r="O2334" s="10" t="inlineStr">
        <is>
          <t>https://www.disco.com.ar/acondicionador-tresemme-bajo-poo-400ml/p</t>
        </is>
      </c>
    </row>
    <row r="2335">
      <c r="A2335" t="inlineStr">
        <is>
          <t>Disco</t>
        </is>
      </c>
      <c r="B2335" t="n">
        <v>236341</v>
      </c>
      <c r="C2335" t="n">
        <v>195296</v>
      </c>
      <c r="D2335" t="inlineStr">
        <is>
          <t>Pack Tresemme Rizos Def Sh+ac</t>
        </is>
      </c>
      <c r="E2335" t="inlineStr">
        <is>
          <t>TRESEMMÉ</t>
        </is>
      </c>
      <c r="F2335" t="n">
        <v>16.07</v>
      </c>
      <c r="G2335" t="n">
        <v>16.07</v>
      </c>
      <c r="H2335" t="b">
        <v>0</v>
      </c>
      <c r="I2335" t="inlineStr"/>
      <c r="J2335" t="inlineStr"/>
      <c r="K2335" t="inlineStr">
        <is>
          <t>&gt; Perfumería &gt; Cuidado Capilar &gt; Shampoo &gt;</t>
        </is>
      </c>
      <c r="L2335" t="inlineStr">
        <is>
          <t>tratamiento</t>
        </is>
      </c>
      <c r="M2335" t="inlineStr">
        <is>
          <t>estandar</t>
        </is>
      </c>
      <c r="N2335" t="inlineStr">
        <is>
          <t>rizado</t>
        </is>
      </c>
      <c r="O2335" t="inlineStr">
        <is>
          <t>https://www.disco.com.ar/pack-tresemme-rizos-def-sh-ac-292868/p</t>
        </is>
      </c>
    </row>
    <row r="2336">
      <c r="A2336" s="10" t="inlineStr">
        <is>
          <t>Disco</t>
        </is>
      </c>
      <c r="B2336" s="10" t="n">
        <v>209949</v>
      </c>
      <c r="C2336" s="10" t="n">
        <v>232487</v>
      </c>
      <c r="D2336" s="10" t="inlineStr">
        <is>
          <t>Spray Fijador Tresemme Rizos Perfectos  Atm 177 Ml.</t>
        </is>
      </c>
      <c r="E2336" s="10" t="inlineStr">
        <is>
          <t>TRESEMMÉ</t>
        </is>
      </c>
      <c r="F2336" s="10" t="n">
        <v>19.99</v>
      </c>
      <c r="G2336" s="10" t="n">
        <v>19.99</v>
      </c>
      <c r="H2336" s="10" t="b">
        <v>0</v>
      </c>
      <c r="I2336" s="10" t="n">
        <v>177</v>
      </c>
      <c r="J2336" s="10" t="n">
        <v>0.1129</v>
      </c>
      <c r="K2336" s="10" t="inlineStr">
        <is>
          <t>&gt; Perfumería &gt; Cuidado Capilar &gt; Fijación &gt;</t>
        </is>
      </c>
      <c r="L2336" s="10" t="inlineStr">
        <is>
          <t>shampoo</t>
        </is>
      </c>
      <c r="M2336" s="10" t="inlineStr">
        <is>
          <t>estandar</t>
        </is>
      </c>
      <c r="N2336" s="10" t="inlineStr">
        <is>
          <t>rizado</t>
        </is>
      </c>
      <c r="O2336" s="10" t="inlineStr">
        <is>
          <t>https://www.disco.com.ar/spray-fijador-tresemme-2-349477/p</t>
        </is>
      </c>
    </row>
    <row r="2337">
      <c r="A2337" t="inlineStr">
        <is>
          <t>Disco</t>
        </is>
      </c>
      <c r="B2337" t="n">
        <v>208885</v>
      </c>
      <c r="C2337" t="n">
        <v>169667</v>
      </c>
      <c r="D2337" t="inlineStr">
        <is>
          <t>Shampoo Tresemmé 400 + Acond Thermal 400-thermal-+ Acondicionador Termal X 400ml-bli-un.-2</t>
        </is>
      </c>
      <c r="E2337" t="inlineStr">
        <is>
          <t>TRESEMMÉ</t>
        </is>
      </c>
      <c r="F2337" t="n">
        <v>12.99</v>
      </c>
      <c r="G2337" t="n">
        <v>12.99</v>
      </c>
      <c r="H2337" t="b">
        <v>0</v>
      </c>
      <c r="I2337" t="n">
        <v>400</v>
      </c>
      <c r="J2337" t="n">
        <v>0.0325</v>
      </c>
      <c r="K2337" t="inlineStr">
        <is>
          <t>&gt; Perfumería &gt; Cuidado Capilar &gt; Shampoo &gt;</t>
        </is>
      </c>
      <c r="L2337" t="inlineStr">
        <is>
          <t>acondicionador</t>
        </is>
      </c>
      <c r="M2337" t="inlineStr">
        <is>
          <t>estandar</t>
        </is>
      </c>
      <c r="N2337" t="inlineStr">
        <is>
          <t>general</t>
        </is>
      </c>
      <c r="O2337" t="inlineStr">
        <is>
          <t>https://www.disco.com.ar/shampoo-tresemme-400-acond-thermal-400-thermal-acondicionador-termal-x-400ml-bli-un-2-362520/p</t>
        </is>
      </c>
    </row>
    <row r="2338">
      <c r="A2338" s="10" t="inlineStr">
        <is>
          <t>Disco</t>
        </is>
      </c>
      <c r="B2338" s="10" t="n">
        <v>185375</v>
      </c>
      <c r="C2338" s="10" t="n">
        <v>172354</v>
      </c>
      <c r="D2338" s="10" t="inlineStr">
        <is>
          <t>Spray Fijador Tresemmé Fijacion Extrema Aer 419 Ml</t>
        </is>
      </c>
      <c r="E2338" s="10" t="inlineStr">
        <is>
          <t>TRESEMMÉ</t>
        </is>
      </c>
      <c r="F2338" s="10" t="n">
        <v>19</v>
      </c>
      <c r="G2338" s="10" t="n">
        <v>19</v>
      </c>
      <c r="H2338" s="10" t="b">
        <v>0</v>
      </c>
      <c r="I2338" s="10" t="n">
        <v>419</v>
      </c>
      <c r="J2338" s="10" t="n">
        <v>0.0453</v>
      </c>
      <c r="K2338" s="10" t="inlineStr">
        <is>
          <t>&gt; Perfumería &gt; Cuidado Capilar &gt; Fijación &gt;</t>
        </is>
      </c>
      <c r="L2338" s="10" t="inlineStr">
        <is>
          <t>shampoo</t>
        </is>
      </c>
      <c r="M2338" s="10" t="inlineStr">
        <is>
          <t>estandar</t>
        </is>
      </c>
      <c r="N2338" s="10" t="inlineStr">
        <is>
          <t>general</t>
        </is>
      </c>
      <c r="O2338" s="10" t="inlineStr">
        <is>
          <t>https://www.disco.com.ar/spray-fijador-tresemme-fijacion-extrema-aer-419-ml-257858/p</t>
        </is>
      </c>
    </row>
    <row r="2339">
      <c r="A2339" t="inlineStr">
        <is>
          <t>Disco</t>
        </is>
      </c>
      <c r="B2339" t="n">
        <v>185115</v>
      </c>
      <c r="C2339" t="n">
        <v>210247</v>
      </c>
      <c r="D2339" t="inlineStr">
        <is>
          <t>Shampoo Tresemmé + Acondicionador Pck X 2 U</t>
        </is>
      </c>
      <c r="E2339" t="inlineStr">
        <is>
          <t>TRESEMMÉ</t>
        </is>
      </c>
      <c r="F2339" t="n">
        <v>11.89</v>
      </c>
      <c r="G2339" t="n">
        <v>11.89</v>
      </c>
      <c r="H2339" t="b">
        <v>0</v>
      </c>
      <c r="I2339" t="inlineStr"/>
      <c r="J2339" t="inlineStr"/>
      <c r="K2339" t="inlineStr">
        <is>
          <t>&gt; Perfumería &gt; Cuidado Capilar &gt; Shampoo &gt;</t>
        </is>
      </c>
      <c r="L2339" t="inlineStr">
        <is>
          <t>acondicionador</t>
        </is>
      </c>
      <c r="M2339" t="inlineStr">
        <is>
          <t>estandar</t>
        </is>
      </c>
      <c r="N2339" t="inlineStr">
        <is>
          <t>general</t>
        </is>
      </c>
      <c r="O2339" t="inlineStr">
        <is>
          <t>https://www.disco.com.ar/shampoo-tresemme-x-2-un-259319/p</t>
        </is>
      </c>
    </row>
    <row r="2340">
      <c r="A2340" s="10" t="inlineStr">
        <is>
          <t>Disco</t>
        </is>
      </c>
      <c r="B2340" s="10" t="n">
        <v>183336</v>
      </c>
      <c r="C2340" s="10" t="n">
        <v>205558</v>
      </c>
      <c r="D2340" s="10" t="inlineStr">
        <is>
          <t>Cera Capilar Tresemmé</t>
        </is>
      </c>
      <c r="E2340" s="10" t="inlineStr">
        <is>
          <t>TRESEMMÉ</t>
        </is>
      </c>
      <c r="F2340" s="10" t="n">
        <v>30.97</v>
      </c>
      <c r="G2340" s="10" t="n">
        <v>30.97</v>
      </c>
      <c r="H2340" s="10" t="b">
        <v>0</v>
      </c>
      <c r="I2340" s="10" t="inlineStr"/>
      <c r="J2340" s="10" t="inlineStr"/>
      <c r="K2340" s="10" t="inlineStr">
        <is>
          <t>&gt; Perfumería &gt; Cuidado Capilar &gt; Fijación &gt;</t>
        </is>
      </c>
      <c r="L2340" s="10" t="inlineStr">
        <is>
          <t>shampoo</t>
        </is>
      </c>
      <c r="M2340" s="10" t="inlineStr">
        <is>
          <t>estandar</t>
        </is>
      </c>
      <c r="N2340" s="10" t="inlineStr">
        <is>
          <t>general</t>
        </is>
      </c>
      <c r="O2340" s="10" t="inlineStr">
        <is>
          <t>https://www.disco.com.ar/cera-capilar-tresemme-284104/p</t>
        </is>
      </c>
    </row>
    <row r="2341">
      <c r="A2341" t="inlineStr">
        <is>
          <t>Disco</t>
        </is>
      </c>
      <c r="B2341" t="n">
        <v>174974</v>
      </c>
      <c r="C2341" t="n">
        <v>186830</v>
      </c>
      <c r="D2341" t="inlineStr">
        <is>
          <t>Shampoo Tresemmé-rizos Perfectos X 900ml.-+ Crema Moldeadora Rizos X 177ml.-pck-un.-2</t>
        </is>
      </c>
      <c r="E2341" t="inlineStr">
        <is>
          <t>TRESEMMÉ</t>
        </is>
      </c>
      <c r="F2341" t="n">
        <v>21.37</v>
      </c>
      <c r="G2341" t="n">
        <v>21.37</v>
      </c>
      <c r="H2341" t="b">
        <v>0</v>
      </c>
      <c r="I2341" t="n">
        <v>900</v>
      </c>
      <c r="J2341" t="n">
        <v>0.0237</v>
      </c>
      <c r="K2341" t="inlineStr">
        <is>
          <t>&gt; Perfumería &gt; Cuidado Capilar &gt; Shampoo &gt;</t>
        </is>
      </c>
      <c r="L2341" t="inlineStr">
        <is>
          <t>shampoo</t>
        </is>
      </c>
      <c r="M2341" t="inlineStr">
        <is>
          <t>estandar</t>
        </is>
      </c>
      <c r="N2341" t="inlineStr">
        <is>
          <t>rizado</t>
        </is>
      </c>
      <c r="O2341" t="inlineStr">
        <is>
          <t>https://www.disco.com.ar/shampoo-tresemme-19-367715/p</t>
        </is>
      </c>
    </row>
    <row r="2342">
      <c r="A2342" s="10" t="inlineStr">
        <is>
          <t>Disco</t>
        </is>
      </c>
      <c r="B2342" s="10" t="n">
        <v>168057</v>
      </c>
      <c r="C2342" s="10" t="n">
        <v>165597</v>
      </c>
      <c r="D2342" s="10" t="inlineStr">
        <is>
          <t>Shampoo Tresemme Liso Y Sedoso 400 Ml</t>
        </is>
      </c>
      <c r="E2342" s="10" t="inlineStr">
        <is>
          <t>TRESEMMÉ</t>
        </is>
      </c>
      <c r="F2342" s="10" t="n">
        <v>77.69</v>
      </c>
      <c r="G2342" s="10" t="n">
        <v>6421</v>
      </c>
      <c r="H2342" s="10" t="b">
        <v>0</v>
      </c>
      <c r="I2342" s="10" t="n">
        <v>400</v>
      </c>
      <c r="J2342" s="10" t="n">
        <v>0.1942</v>
      </c>
      <c r="K2342" s="10" t="inlineStr">
        <is>
          <t>&gt; Perfumería &gt; Cuidado Capilar &gt; Shampoo &gt;</t>
        </is>
      </c>
      <c r="L2342" s="10" t="inlineStr">
        <is>
          <t>shampoo</t>
        </is>
      </c>
      <c r="M2342" s="10" t="inlineStr">
        <is>
          <t>estandar</t>
        </is>
      </c>
      <c r="N2342" s="10" t="inlineStr">
        <is>
          <t>general</t>
        </is>
      </c>
      <c r="O2342" s="10" t="inlineStr">
        <is>
          <t>https://www.disco.com.ar/shampoo-tresemme-liso-y-sedoso-400-ml/p</t>
        </is>
      </c>
    </row>
    <row r="2343">
      <c r="A2343" t="inlineStr">
        <is>
          <t>Disco</t>
        </is>
      </c>
      <c r="B2343" t="n">
        <v>167380</v>
      </c>
      <c r="C2343" t="n">
        <v>164918</v>
      </c>
      <c r="D2343" t="inlineStr">
        <is>
          <t>Shampoo Tresemmé-proteccion Contra El Clima-pvc-ml.-400</t>
        </is>
      </c>
      <c r="E2343" t="inlineStr">
        <is>
          <t>TRESEMMÉ</t>
        </is>
      </c>
      <c r="F2343" t="n">
        <v>77.69</v>
      </c>
      <c r="G2343" t="n">
        <v>6421</v>
      </c>
      <c r="H2343" t="b">
        <v>0</v>
      </c>
      <c r="I2343" t="inlineStr"/>
      <c r="J2343" t="inlineStr"/>
      <c r="K2343" t="inlineStr">
        <is>
          <t>&gt; Perfumería &gt; Cuidado Capilar &gt; Shampoo &gt;</t>
        </is>
      </c>
      <c r="L2343" t="inlineStr">
        <is>
          <t>shampoo</t>
        </is>
      </c>
      <c r="M2343" t="inlineStr">
        <is>
          <t>estandar</t>
        </is>
      </c>
      <c r="N2343" t="inlineStr">
        <is>
          <t>general</t>
        </is>
      </c>
      <c r="O2343" t="inlineStr">
        <is>
          <t>https://www.disco.com.ar/shampoo-tresemme-proteccion-contra-el-clima-pvc-ml-400/p</t>
        </is>
      </c>
    </row>
    <row r="2344">
      <c r="A2344" s="10" t="inlineStr">
        <is>
          <t>Disco</t>
        </is>
      </c>
      <c r="B2344" s="10" t="n">
        <v>167315</v>
      </c>
      <c r="C2344" s="10" t="n">
        <v>164852</v>
      </c>
      <c r="D2344" s="10" t="inlineStr">
        <is>
          <t>Acondicionador Tresemmé-proteccion Contra El Clima-pvc-ml.-750</t>
        </is>
      </c>
      <c r="E2344" s="10" t="inlineStr">
        <is>
          <t>TRESEMMÉ</t>
        </is>
      </c>
      <c r="F2344" s="10" t="n">
        <v>55.29</v>
      </c>
      <c r="G2344" s="10" t="n">
        <v>4569</v>
      </c>
      <c r="H2344" s="10" t="b">
        <v>0</v>
      </c>
      <c r="I2344" s="10" t="inlineStr"/>
      <c r="J2344" s="10" t="inlineStr"/>
      <c r="K2344" s="10" t="inlineStr">
        <is>
          <t>&gt; Perfumería &gt; Cuidado Capilar &gt; Acondicionador &gt;</t>
        </is>
      </c>
      <c r="L2344" s="10" t="inlineStr">
        <is>
          <t>acondicionador</t>
        </is>
      </c>
      <c r="M2344" s="10" t="inlineStr">
        <is>
          <t>estandar</t>
        </is>
      </c>
      <c r="N2344" s="10" t="inlineStr">
        <is>
          <t>general</t>
        </is>
      </c>
      <c r="O2344" s="10" t="inlineStr">
        <is>
          <t>https://www.disco.com.ar/acondicionador-tresemme-proteccion-contra-el-clima-pvc-ml-750/p</t>
        </is>
      </c>
    </row>
    <row r="2345">
      <c r="A2345" t="inlineStr">
        <is>
          <t>Disco</t>
        </is>
      </c>
      <c r="B2345" t="n">
        <v>167309</v>
      </c>
      <c r="C2345" t="n">
        <v>164846</v>
      </c>
      <c r="D2345" t="inlineStr">
        <is>
          <t>Shampoo Tresemme Rizos Perfectos 400 Ml</t>
        </is>
      </c>
      <c r="E2345" t="inlineStr">
        <is>
          <t>TRESEMMÉ</t>
        </is>
      </c>
      <c r="F2345" t="n">
        <v>77.69</v>
      </c>
      <c r="G2345" t="n">
        <v>6421</v>
      </c>
      <c r="H2345" t="b">
        <v>0</v>
      </c>
      <c r="I2345" t="n">
        <v>400</v>
      </c>
      <c r="J2345" t="n">
        <v>0.1942</v>
      </c>
      <c r="K2345" t="inlineStr">
        <is>
          <t>&gt; Perfumería &gt; Cuidado Capilar &gt; Shampoo &gt;</t>
        </is>
      </c>
      <c r="L2345" t="inlineStr">
        <is>
          <t>shampoo</t>
        </is>
      </c>
      <c r="M2345" t="inlineStr">
        <is>
          <t>estandar</t>
        </is>
      </c>
      <c r="N2345" t="inlineStr">
        <is>
          <t>rizado</t>
        </is>
      </c>
      <c r="O2345" t="inlineStr">
        <is>
          <t>https://www.disco.com.ar/shampoo-tresemme-rizos-perfectos-400-ml/p</t>
        </is>
      </c>
    </row>
    <row r="2346">
      <c r="A2346" s="10" t="inlineStr">
        <is>
          <t>Disco</t>
        </is>
      </c>
      <c r="B2346" s="10" t="n">
        <v>167299</v>
      </c>
      <c r="C2346" s="10" t="n">
        <v>164839</v>
      </c>
      <c r="D2346" s="10" t="inlineStr">
        <is>
          <t>Shampoo Tresemme Rizos Perfectos 750 Ml</t>
        </is>
      </c>
      <c r="E2346" s="10" t="inlineStr">
        <is>
          <t>TRESEMMÉ</t>
        </is>
      </c>
      <c r="F2346" s="10" t="n">
        <v>131.35</v>
      </c>
      <c r="G2346" s="10" t="n">
        <v>10855</v>
      </c>
      <c r="H2346" s="10" t="b">
        <v>0</v>
      </c>
      <c r="I2346" s="10" t="n">
        <v>750</v>
      </c>
      <c r="J2346" s="10" t="n">
        <v>0.1751</v>
      </c>
      <c r="K2346" s="10" t="inlineStr">
        <is>
          <t>&gt; Perfumería &gt; Cuidado Capilar &gt; Shampoo &gt;</t>
        </is>
      </c>
      <c r="L2346" s="10" t="inlineStr">
        <is>
          <t>shampoo</t>
        </is>
      </c>
      <c r="M2346" s="10" t="inlineStr">
        <is>
          <t>estandar</t>
        </is>
      </c>
      <c r="N2346" s="10" t="inlineStr">
        <is>
          <t>rizado</t>
        </is>
      </c>
      <c r="O2346" s="10" t="inlineStr">
        <is>
          <t>https://www.disco.com.ar/shampoo-tresemme-rizos-perfectos-750-ml/p</t>
        </is>
      </c>
    </row>
    <row r="2347">
      <c r="A2347" t="inlineStr">
        <is>
          <t>Disco</t>
        </is>
      </c>
      <c r="B2347" t="n">
        <v>167294</v>
      </c>
      <c r="C2347" t="n">
        <v>164832</v>
      </c>
      <c r="D2347" t="inlineStr">
        <is>
          <t>Shampoo Tresemmé-proteccion Contra El Clima-pvc-ml.-750</t>
        </is>
      </c>
      <c r="E2347" t="inlineStr">
        <is>
          <t>TRESEMMÉ</t>
        </is>
      </c>
      <c r="F2347" t="n">
        <v>55.29</v>
      </c>
      <c r="G2347" t="n">
        <v>4569</v>
      </c>
      <c r="H2347" t="b">
        <v>0</v>
      </c>
      <c r="I2347" t="inlineStr"/>
      <c r="J2347" t="inlineStr"/>
      <c r="K2347" t="inlineStr">
        <is>
          <t>&gt; Perfumería &gt; Cuidado Capilar &gt; Shampoo &gt;</t>
        </is>
      </c>
      <c r="L2347" t="inlineStr">
        <is>
          <t>shampoo</t>
        </is>
      </c>
      <c r="M2347" t="inlineStr">
        <is>
          <t>estandar</t>
        </is>
      </c>
      <c r="N2347" t="inlineStr">
        <is>
          <t>general</t>
        </is>
      </c>
      <c r="O2347" t="inlineStr">
        <is>
          <t>https://www.disco.com.ar/shampoo-tresemme-proteccion-contra-el-clima-pvc-ml-750/p</t>
        </is>
      </c>
    </row>
    <row r="2348">
      <c r="A2348" s="10" t="inlineStr">
        <is>
          <t>Disco</t>
        </is>
      </c>
      <c r="B2348" s="10" t="n">
        <v>167236</v>
      </c>
      <c r="C2348" s="10" t="n">
        <v>164774</v>
      </c>
      <c r="D2348" s="10" t="inlineStr">
        <is>
          <t>Acondicionador Tresemmé-control Caida-nueva Presentacion-pvc-ml.-400</t>
        </is>
      </c>
      <c r="E2348" s="10" t="inlineStr">
        <is>
          <t>TRESEMMÉ</t>
        </is>
      </c>
      <c r="F2348" s="10" t="n">
        <v>77.69</v>
      </c>
      <c r="G2348" s="10" t="n">
        <v>6421</v>
      </c>
      <c r="H2348" s="10" t="b">
        <v>0</v>
      </c>
      <c r="I2348" s="10" t="inlineStr"/>
      <c r="J2348" s="10" t="inlineStr"/>
      <c r="K2348" s="10" t="inlineStr">
        <is>
          <t>&gt; Perfumería &gt; Cuidado Capilar &gt; Acondicionador &gt;</t>
        </is>
      </c>
      <c r="L2348" s="10" t="inlineStr">
        <is>
          <t>acondicionador</t>
        </is>
      </c>
      <c r="M2348" s="10" t="inlineStr">
        <is>
          <t>estandar</t>
        </is>
      </c>
      <c r="N2348" s="10" t="inlineStr">
        <is>
          <t>general</t>
        </is>
      </c>
      <c r="O2348" s="10" t="inlineStr">
        <is>
          <t>https://www.disco.com.ar/acondicionador-tresemme-control-caida-nueva-presentacion-pvc-ml-400/p</t>
        </is>
      </c>
    </row>
    <row r="2349">
      <c r="A2349" t="inlineStr">
        <is>
          <t>Disco</t>
        </is>
      </c>
      <c r="B2349" t="n">
        <v>167228</v>
      </c>
      <c r="C2349" t="n">
        <v>164765</v>
      </c>
      <c r="D2349" t="inlineStr">
        <is>
          <t>Shampoo Tresemmé-limpieza Profunda-nueva Presentacion-pvc-ml.-400</t>
        </is>
      </c>
      <c r="E2349" t="inlineStr">
        <is>
          <t>TRESEMMÉ</t>
        </is>
      </c>
      <c r="F2349" t="n">
        <v>51.87</v>
      </c>
      <c r="G2349" t="n">
        <v>4287</v>
      </c>
      <c r="H2349" t="b">
        <v>0</v>
      </c>
      <c r="I2349" t="inlineStr"/>
      <c r="J2349" t="inlineStr"/>
      <c r="K2349" t="inlineStr">
        <is>
          <t>&gt; Perfumería &gt; Cuidado Capilar &gt; Shampoo &gt;</t>
        </is>
      </c>
      <c r="L2349" t="inlineStr">
        <is>
          <t>shampoo</t>
        </is>
      </c>
      <c r="M2349" t="inlineStr">
        <is>
          <t>estandar</t>
        </is>
      </c>
      <c r="N2349" t="inlineStr">
        <is>
          <t>general</t>
        </is>
      </c>
      <c r="O2349" t="inlineStr">
        <is>
          <t>https://www.disco.com.ar/shampoo-tresemme-limpieza-profunda-nueva-presentacion-pvc-ml-400/p</t>
        </is>
      </c>
    </row>
    <row r="2350">
      <c r="A2350" s="10" t="inlineStr">
        <is>
          <t>Disco</t>
        </is>
      </c>
      <c r="B2350" s="10" t="n">
        <v>167225</v>
      </c>
      <c r="C2350" s="10" t="n">
        <v>164763</v>
      </c>
      <c r="D2350" s="10" t="inlineStr">
        <is>
          <t>Shampoo Tresemmé-control Caida-nueva Presentacion-pvc-ml.-400</t>
        </is>
      </c>
      <c r="E2350" s="10" t="inlineStr">
        <is>
          <t>TRESEMMÉ</t>
        </is>
      </c>
      <c r="F2350" s="10" t="n">
        <v>77.69</v>
      </c>
      <c r="G2350" s="10" t="n">
        <v>6421</v>
      </c>
      <c r="H2350" s="10" t="b">
        <v>0</v>
      </c>
      <c r="I2350" s="10" t="inlineStr"/>
      <c r="J2350" s="10" t="inlineStr"/>
      <c r="K2350" s="10" t="inlineStr">
        <is>
          <t>&gt; Perfumería &gt; Cuidado Capilar &gt; Shampoo &gt;</t>
        </is>
      </c>
      <c r="L2350" s="10" t="inlineStr">
        <is>
          <t>shampoo</t>
        </is>
      </c>
      <c r="M2350" s="10" t="inlineStr">
        <is>
          <t>estandar</t>
        </is>
      </c>
      <c r="N2350" s="10" t="inlineStr">
        <is>
          <t>general</t>
        </is>
      </c>
      <c r="O2350" s="10" t="inlineStr">
        <is>
          <t>https://www.disco.com.ar/shampoo-tresemme-control-caida-nueva-presentacion-pvc-ml-400/p</t>
        </is>
      </c>
    </row>
    <row r="2351">
      <c r="A2351" t="inlineStr">
        <is>
          <t>Disco</t>
        </is>
      </c>
      <c r="B2351" t="n">
        <v>167210</v>
      </c>
      <c r="C2351" t="n">
        <v>164748</v>
      </c>
      <c r="D2351" t="inlineStr">
        <is>
          <t>Acondicionador Tresemmé-proteccion Contra El Clima-pvc-ml.-400</t>
        </is>
      </c>
      <c r="E2351" t="inlineStr">
        <is>
          <t>TRESEMMÉ</t>
        </is>
      </c>
      <c r="F2351" t="n">
        <v>77.69</v>
      </c>
      <c r="G2351" t="n">
        <v>6421</v>
      </c>
      <c r="H2351" t="b">
        <v>0</v>
      </c>
      <c r="I2351" t="inlineStr"/>
      <c r="J2351" t="inlineStr"/>
      <c r="K2351" t="inlineStr">
        <is>
          <t>&gt; Perfumería &gt; Cuidado Capilar &gt; Acondicionador &gt;</t>
        </is>
      </c>
      <c r="L2351" t="inlineStr">
        <is>
          <t>acondicionador</t>
        </is>
      </c>
      <c r="M2351" t="inlineStr">
        <is>
          <t>estandar</t>
        </is>
      </c>
      <c r="N2351" t="inlineStr">
        <is>
          <t>general</t>
        </is>
      </c>
      <c r="O2351" t="inlineStr">
        <is>
          <t>https://www.disco.com.ar/acondicionador-tresemme-proteccion-contra-el-clima-pvc-ml-400/p</t>
        </is>
      </c>
    </row>
    <row r="2352">
      <c r="A2352" s="10" t="inlineStr">
        <is>
          <t>Disco</t>
        </is>
      </c>
      <c r="B2352" s="10" t="n">
        <v>167196</v>
      </c>
      <c r="C2352" s="10" t="n">
        <v>165022</v>
      </c>
      <c r="D2352" s="10" t="inlineStr">
        <is>
          <t>Shampoo Tresemmé-limpieza Profunda-pvc-ml.-750</t>
        </is>
      </c>
      <c r="E2352" s="10" t="inlineStr">
        <is>
          <t>TRESEMMÉ</t>
        </is>
      </c>
      <c r="F2352" s="10" t="n">
        <v>55.29</v>
      </c>
      <c r="G2352" s="10" t="n">
        <v>4569</v>
      </c>
      <c r="H2352" s="10" t="b">
        <v>0</v>
      </c>
      <c r="I2352" s="10" t="inlineStr"/>
      <c r="J2352" s="10" t="inlineStr"/>
      <c r="K2352" s="10" t="inlineStr">
        <is>
          <t>&gt; Perfumería &gt; Cuidado Capilar &gt; Shampoo &gt;</t>
        </is>
      </c>
      <c r="L2352" s="10" t="inlineStr">
        <is>
          <t>shampoo</t>
        </is>
      </c>
      <c r="M2352" s="10" t="inlineStr">
        <is>
          <t>estandar</t>
        </is>
      </c>
      <c r="N2352" s="10" t="inlineStr">
        <is>
          <t>general</t>
        </is>
      </c>
      <c r="O2352" s="10" t="inlineStr">
        <is>
          <t>https://www.disco.com.ar/shampoo-tresemme-limpieza-profunda-pvc-ml-750/p</t>
        </is>
      </c>
    </row>
    <row r="2353">
      <c r="A2353" t="inlineStr">
        <is>
          <t>Disco</t>
        </is>
      </c>
      <c r="B2353" t="n">
        <v>166075</v>
      </c>
      <c r="C2353" t="n">
        <v>163609</v>
      </c>
      <c r="D2353" t="inlineStr">
        <is>
          <t>Shampoo Tresemmé-hidratación Profunda X 400ml-+ Cr P/peinar Hid.profunda X236ml+gratis Aco.hid.p-pck</t>
        </is>
      </c>
      <c r="E2353" t="inlineStr">
        <is>
          <t>TRESEMMÉ</t>
        </is>
      </c>
      <c r="F2353" t="n">
        <v>41.39</v>
      </c>
      <c r="G2353" t="n">
        <v>3421</v>
      </c>
      <c r="H2353" t="b">
        <v>0</v>
      </c>
      <c r="I2353" t="n">
        <v>400</v>
      </c>
      <c r="J2353" t="n">
        <v>0.1035</v>
      </c>
      <c r="K2353" t="inlineStr">
        <is>
          <t>&gt; Perfumería &gt; Cuidado Capilar &gt; Shampoo &gt;</t>
        </is>
      </c>
      <c r="L2353" t="inlineStr">
        <is>
          <t>shampoo</t>
        </is>
      </c>
      <c r="M2353" t="inlineStr">
        <is>
          <t>estandar</t>
        </is>
      </c>
      <c r="N2353" t="inlineStr">
        <is>
          <t>seco_danado</t>
        </is>
      </c>
      <c r="O2353" t="inlineStr">
        <is>
          <t>https://www.disco.com.ar/shampoo-tresemme-hidratacion-profunda-x-400ml-cr-p-peinar-hid-profunda-x236ml-gratis-aco-hid-p-pck/p</t>
        </is>
      </c>
    </row>
    <row r="2354">
      <c r="A2354" s="10" t="inlineStr">
        <is>
          <t>Disco</t>
        </is>
      </c>
      <c r="B2354" s="10" t="n">
        <v>164849</v>
      </c>
      <c r="C2354" s="10" t="n">
        <v>162389</v>
      </c>
      <c r="D2354" s="10" t="inlineStr">
        <is>
          <t>Shampoo Tresemmé-hidratación Profunda X 400ml-+ Gratis Aco. Hidratación Profunda X 250m-pck-un.-2</t>
        </is>
      </c>
      <c r="E2354" s="10" t="inlineStr">
        <is>
          <t>TRESEMMÉ</t>
        </is>
      </c>
      <c r="F2354" s="10" t="n">
        <v>18.13</v>
      </c>
      <c r="G2354" s="10" t="n">
        <v>1498</v>
      </c>
      <c r="H2354" s="10" t="b">
        <v>0</v>
      </c>
      <c r="I2354" s="10" t="n">
        <v>400</v>
      </c>
      <c r="J2354" s="10" t="n">
        <v>0.0453</v>
      </c>
      <c r="K2354" s="10" t="inlineStr">
        <is>
          <t>&gt; Perfumería &gt; Cuidado Capilar &gt; Shampoo &gt;</t>
        </is>
      </c>
      <c r="L2354" s="10" t="inlineStr">
        <is>
          <t>shampoo</t>
        </is>
      </c>
      <c r="M2354" s="10" t="inlineStr">
        <is>
          <t>estandar</t>
        </is>
      </c>
      <c r="N2354" s="10" t="inlineStr">
        <is>
          <t>seco_danado</t>
        </is>
      </c>
      <c r="O2354" s="10" t="inlineStr">
        <is>
          <t>https://www.disco.com.ar/shampoo-tresemme-hidratacion-profunda-x-400ml-gratis-aco-hidratacion-profunda-x-250m-pck-un-2/p</t>
        </is>
      </c>
    </row>
    <row r="2355">
      <c r="A2355" t="inlineStr">
        <is>
          <t>Disco</t>
        </is>
      </c>
      <c r="B2355" t="n">
        <v>154860</v>
      </c>
      <c r="C2355" t="n">
        <v>152429</v>
      </c>
      <c r="D2355" t="inlineStr">
        <is>
          <t>Shampoo Tresemmé400ml + Ctt 226g Al 50%-split Remedy-+ Crema Para Peinar-bli-un.-2</t>
        </is>
      </c>
      <c r="E2355" t="inlineStr">
        <is>
          <t>TRESEMMÉ</t>
        </is>
      </c>
      <c r="F2355" t="n">
        <v>41.59</v>
      </c>
      <c r="G2355" t="n">
        <v>41.59</v>
      </c>
      <c r="H2355" t="b">
        <v>0</v>
      </c>
      <c r="I2355" t="n">
        <v>400</v>
      </c>
      <c r="J2355" t="n">
        <v>0.104</v>
      </c>
      <c r="K2355" t="inlineStr">
        <is>
          <t>&gt; Perfumería &gt; Cuidado Capilar &gt; Shampoo &gt;</t>
        </is>
      </c>
      <c r="L2355" t="inlineStr">
        <is>
          <t>shampoo</t>
        </is>
      </c>
      <c r="M2355" t="inlineStr">
        <is>
          <t>estandar</t>
        </is>
      </c>
      <c r="N2355" t="inlineStr">
        <is>
          <t>general</t>
        </is>
      </c>
      <c r="O2355" t="inlineStr">
        <is>
          <t>https://www.disco.com.ar/shampoo-tresemme400ml-ctt-226g-al-50-split-remedy-crema-para-peinar-bli-un-2/p</t>
        </is>
      </c>
    </row>
    <row r="2356">
      <c r="A2356" s="10" t="inlineStr">
        <is>
          <t>Disco</t>
        </is>
      </c>
      <c r="B2356" s="10" t="n">
        <v>153373</v>
      </c>
      <c r="C2356" s="10" t="n">
        <v>150944</v>
      </c>
      <c r="D2356" s="10" t="inlineStr">
        <is>
          <t>Shampoo Tresemmé-+ Tratamiento X226 + Ac X250 Gratis-bli-un.-3</t>
        </is>
      </c>
      <c r="E2356" s="10" t="inlineStr">
        <is>
          <t>TRESEMMÉ</t>
        </is>
      </c>
      <c r="F2356" s="10" t="n">
        <v>36.23</v>
      </c>
      <c r="G2356" s="10" t="n">
        <v>2994</v>
      </c>
      <c r="H2356" s="10" t="b">
        <v>0</v>
      </c>
      <c r="I2356" s="10" t="inlineStr"/>
      <c r="J2356" s="10" t="inlineStr"/>
      <c r="K2356" s="10" t="inlineStr">
        <is>
          <t>&gt; Perfumería &gt; Cuidado Capilar &gt; Shampoo &gt;</t>
        </is>
      </c>
      <c r="L2356" s="10" t="inlineStr">
        <is>
          <t>tratamiento</t>
        </is>
      </c>
      <c r="M2356" s="10" t="inlineStr">
        <is>
          <t>estandar</t>
        </is>
      </c>
      <c r="N2356" s="10" t="inlineStr">
        <is>
          <t>general</t>
        </is>
      </c>
      <c r="O2356" s="10" t="inlineStr">
        <is>
          <t>https://www.disco.com.ar/shampoo-tresemme-tratamiento-x226-ac-x250-gratis-bli-un-3-2/p</t>
        </is>
      </c>
    </row>
    <row r="2357">
      <c r="A2357" t="inlineStr">
        <is>
          <t>Disco</t>
        </is>
      </c>
      <c r="B2357" t="n">
        <v>149887</v>
      </c>
      <c r="C2357" t="n">
        <v>146796</v>
      </c>
      <c r="D2357" t="inlineStr">
        <is>
          <t>Crema Capilar Tresemmé-rituals-repair-pmo-ml.-234</t>
        </is>
      </c>
      <c r="E2357" t="inlineStr">
        <is>
          <t>TRESEMMÉ</t>
        </is>
      </c>
      <c r="F2357" t="n">
        <v>21.29</v>
      </c>
      <c r="G2357" t="n">
        <v>1760</v>
      </c>
      <c r="H2357" t="b">
        <v>0</v>
      </c>
      <c r="I2357" t="inlineStr"/>
      <c r="J2357" t="inlineStr"/>
      <c r="K2357" t="inlineStr">
        <is>
          <t>&gt; Perfumería &gt; Cuidado Capilar &gt; Reparación y Tratamientos &gt;</t>
        </is>
      </c>
      <c r="L2357" t="inlineStr">
        <is>
          <t>shampoo</t>
        </is>
      </c>
      <c r="M2357" t="inlineStr">
        <is>
          <t>profesional</t>
        </is>
      </c>
      <c r="N2357" t="inlineStr">
        <is>
          <t>general</t>
        </is>
      </c>
      <c r="O2357" t="inlineStr">
        <is>
          <t>https://www.disco.com.ar/crema-capilar-tresemme-rituals-repair-pmo-ml-234-2/p</t>
        </is>
      </c>
    </row>
    <row r="2358">
      <c r="A2358" s="10" t="inlineStr">
        <is>
          <t>Disco</t>
        </is>
      </c>
      <c r="B2358" s="10" t="n">
        <v>149865</v>
      </c>
      <c r="C2358" s="10" t="n">
        <v>146774</v>
      </c>
      <c r="D2358" s="10" t="inlineStr">
        <is>
          <t>Shampoo Tresemmé Rituals Repair X 900 Ml</t>
        </is>
      </c>
      <c r="E2358" s="10" t="inlineStr">
        <is>
          <t>TRESEMMÉ</t>
        </is>
      </c>
      <c r="F2358" s="10" t="n">
        <v>31.73</v>
      </c>
      <c r="G2358" s="10" t="n">
        <v>2622</v>
      </c>
      <c r="H2358" s="10" t="b">
        <v>0</v>
      </c>
      <c r="I2358" s="10" t="n">
        <v>900</v>
      </c>
      <c r="J2358" s="10" t="n">
        <v>0.0353</v>
      </c>
      <c r="K2358" s="10" t="inlineStr">
        <is>
          <t>&gt; Perfumería &gt; Cuidado Capilar &gt; Shampoo &gt;</t>
        </is>
      </c>
      <c r="L2358" s="10" t="inlineStr">
        <is>
          <t>shampoo</t>
        </is>
      </c>
      <c r="M2358" s="10" t="inlineStr">
        <is>
          <t>profesional</t>
        </is>
      </c>
      <c r="N2358" s="10" t="inlineStr">
        <is>
          <t>general</t>
        </is>
      </c>
      <c r="O2358" s="10" t="inlineStr">
        <is>
          <t>https://www.disco.com.ar/shampoo-tresemme-rituals-repair-x-900-ml-2/p</t>
        </is>
      </c>
    </row>
    <row r="2359">
      <c r="A2359" t="inlineStr">
        <is>
          <t>Disco</t>
        </is>
      </c>
      <c r="B2359" t="n">
        <v>149820</v>
      </c>
      <c r="C2359" t="n">
        <v>146729</v>
      </c>
      <c r="D2359" t="inlineStr">
        <is>
          <t>Shampoo Tresemmé-rituals-repair-pvc-ml.-400</t>
        </is>
      </c>
      <c r="E2359" t="inlineStr">
        <is>
          <t>TRESEMMÉ</t>
        </is>
      </c>
      <c r="F2359" t="n">
        <v>51.87</v>
      </c>
      <c r="G2359" t="n">
        <v>4287</v>
      </c>
      <c r="H2359" t="b">
        <v>0</v>
      </c>
      <c r="I2359" t="inlineStr"/>
      <c r="J2359" t="inlineStr"/>
      <c r="K2359" t="inlineStr">
        <is>
          <t>&gt; Perfumería &gt; Cuidado Capilar &gt; Shampoo &gt;</t>
        </is>
      </c>
      <c r="L2359" t="inlineStr">
        <is>
          <t>shampoo</t>
        </is>
      </c>
      <c r="M2359" t="inlineStr">
        <is>
          <t>profesional</t>
        </is>
      </c>
      <c r="N2359" t="inlineStr">
        <is>
          <t>general</t>
        </is>
      </c>
      <c r="O2359" t="inlineStr">
        <is>
          <t>https://www.disco.com.ar/shampoo-tresemme-rituals-repair-pvc-ml-400-2/p</t>
        </is>
      </c>
    </row>
    <row r="2360">
      <c r="A2360" s="10" t="inlineStr">
        <is>
          <t>Disco</t>
        </is>
      </c>
      <c r="B2360" s="10" t="n">
        <v>149406</v>
      </c>
      <c r="C2360" s="10" t="n">
        <v>146298</v>
      </c>
      <c r="D2360" s="10" t="inlineStr">
        <is>
          <t>Acondicionador Tresemmé-smooth Keratin-pvc-ml.-900</t>
        </is>
      </c>
      <c r="E2360" s="10" t="inlineStr">
        <is>
          <t>TRESEMMÉ</t>
        </is>
      </c>
      <c r="F2360" s="10" t="n">
        <v>49.45</v>
      </c>
      <c r="G2360" s="10" t="n">
        <v>4087</v>
      </c>
      <c r="H2360" s="10" t="b">
        <v>0</v>
      </c>
      <c r="I2360" s="10" t="inlineStr"/>
      <c r="J2360" s="10" t="inlineStr"/>
      <c r="K2360" s="10" t="inlineStr">
        <is>
          <t>&gt; Perfumería &gt; Cuidado Capilar &gt; Acondicionador &gt;</t>
        </is>
      </c>
      <c r="L2360" s="10" t="inlineStr">
        <is>
          <t>acondicionador</t>
        </is>
      </c>
      <c r="M2360" s="10" t="inlineStr">
        <is>
          <t>estandar</t>
        </is>
      </c>
      <c r="N2360" s="10" t="inlineStr">
        <is>
          <t>general</t>
        </is>
      </c>
      <c r="O2360" s="10" t="inlineStr">
        <is>
          <t>https://www.disco.com.ar/acondicionador-tresemme-smooth-keratin-pvc-ml-900-2/p</t>
        </is>
      </c>
    </row>
    <row r="2361">
      <c r="A2361" t="inlineStr">
        <is>
          <t>Disco</t>
        </is>
      </c>
      <c r="B2361" t="n">
        <v>149276</v>
      </c>
      <c r="C2361" t="n">
        <v>146168</v>
      </c>
      <c r="D2361" t="inlineStr">
        <is>
          <t>Shampoo Tresemmé-smooth Keratin-pvc-ml.-400</t>
        </is>
      </c>
      <c r="E2361" t="inlineStr">
        <is>
          <t>TRESEMMÉ</t>
        </is>
      </c>
      <c r="F2361" t="n">
        <v>27.79</v>
      </c>
      <c r="G2361" t="n">
        <v>2297</v>
      </c>
      <c r="H2361" t="b">
        <v>0</v>
      </c>
      <c r="I2361" t="inlineStr"/>
      <c r="J2361" t="inlineStr"/>
      <c r="K2361" t="inlineStr">
        <is>
          <t>&gt; Perfumería &gt; Cuidado Capilar &gt; Shampoo &gt;</t>
        </is>
      </c>
      <c r="L2361" t="inlineStr">
        <is>
          <t>shampoo</t>
        </is>
      </c>
      <c r="M2361" t="inlineStr">
        <is>
          <t>estandar</t>
        </is>
      </c>
      <c r="N2361" t="inlineStr">
        <is>
          <t>general</t>
        </is>
      </c>
      <c r="O2361" t="inlineStr">
        <is>
          <t>https://www.disco.com.ar/shampoo-tresemme-smooth-keratin-pvc-ml-400-2/p</t>
        </is>
      </c>
    </row>
    <row r="2362">
      <c r="A2362" s="10" t="inlineStr">
        <is>
          <t>Disco</t>
        </is>
      </c>
      <c r="B2362" s="10" t="n">
        <v>149037</v>
      </c>
      <c r="C2362" s="10" t="n">
        <v>145929</v>
      </c>
      <c r="D2362" s="10" t="inlineStr">
        <is>
          <t>Shampoo Tresemmé-smooth Keratin-pvc-ml.-900</t>
        </is>
      </c>
      <c r="E2362" s="10" t="inlineStr">
        <is>
          <t>TRESEMMÉ</t>
        </is>
      </c>
      <c r="F2362" s="10" t="n">
        <v>49.45</v>
      </c>
      <c r="G2362" s="10" t="n">
        <v>4087</v>
      </c>
      <c r="H2362" s="10" t="b">
        <v>0</v>
      </c>
      <c r="I2362" s="10" t="inlineStr"/>
      <c r="J2362" s="10" t="inlineStr"/>
      <c r="K2362" s="10" t="inlineStr">
        <is>
          <t>&gt; Perfumería &gt; Cuidado Capilar &gt; Shampoo &gt;</t>
        </is>
      </c>
      <c r="L2362" s="10" t="inlineStr">
        <is>
          <t>shampoo</t>
        </is>
      </c>
      <c r="M2362" s="10" t="inlineStr">
        <is>
          <t>estandar</t>
        </is>
      </c>
      <c r="N2362" s="10" t="inlineStr">
        <is>
          <t>general</t>
        </is>
      </c>
      <c r="O2362" s="10" t="inlineStr">
        <is>
          <t>https://www.disco.com.ar/shampoo-tresemme-smooth-keratin-pvc-ml-900-2/p</t>
        </is>
      </c>
    </row>
    <row r="2363">
      <c r="A2363" t="inlineStr">
        <is>
          <t>Disco</t>
        </is>
      </c>
      <c r="B2363" t="n">
        <v>134764</v>
      </c>
      <c r="C2363" t="n">
        <v>131676</v>
      </c>
      <c r="D2363" t="inlineStr">
        <is>
          <t>Crema Capilar Tresemmé-liso-pvc-ml.-236</t>
        </is>
      </c>
      <c r="E2363" t="inlineStr">
        <is>
          <t>TRESEMMÉ</t>
        </is>
      </c>
      <c r="F2363" t="n">
        <v>20.13</v>
      </c>
      <c r="G2363" t="n">
        <v>1664</v>
      </c>
      <c r="H2363" t="b">
        <v>0</v>
      </c>
      <c r="I2363" t="inlineStr"/>
      <c r="J2363" t="inlineStr"/>
      <c r="K2363" t="inlineStr">
        <is>
          <t>&gt; Perfumería &gt; Cuidado Capilar &gt; Reparación y Tratamientos &gt;</t>
        </is>
      </c>
      <c r="L2363" t="inlineStr">
        <is>
          <t>shampoo</t>
        </is>
      </c>
      <c r="M2363" t="inlineStr">
        <is>
          <t>estandar</t>
        </is>
      </c>
      <c r="N2363" t="inlineStr">
        <is>
          <t>general</t>
        </is>
      </c>
      <c r="O2363" t="inlineStr">
        <is>
          <t>https://www.disco.com.ar/crema-capilar-tresemme-liso-pvc-ml-236/p</t>
        </is>
      </c>
    </row>
    <row r="2364">
      <c r="A2364" s="10" t="inlineStr">
        <is>
          <t>Disco</t>
        </is>
      </c>
      <c r="B2364" s="10" t="n">
        <v>134652</v>
      </c>
      <c r="C2364" s="10" t="n">
        <v>131564</v>
      </c>
      <c r="D2364" s="10" t="inlineStr">
        <is>
          <t>Crema Capilar Tresemmé-control Caida-pvc-ml.-236</t>
        </is>
      </c>
      <c r="E2364" s="10" t="inlineStr">
        <is>
          <t>TRESEMMÉ</t>
        </is>
      </c>
      <c r="F2364" s="10" t="n">
        <v>20.13</v>
      </c>
      <c r="G2364" s="10" t="n">
        <v>1664</v>
      </c>
      <c r="H2364" s="10" t="b">
        <v>0</v>
      </c>
      <c r="I2364" s="10" t="inlineStr"/>
      <c r="J2364" s="10" t="inlineStr"/>
      <c r="K2364" s="10" t="inlineStr">
        <is>
          <t>&gt; Perfumería &gt; Cuidado Capilar &gt; Reparación y Tratamientos &gt;</t>
        </is>
      </c>
      <c r="L2364" s="10" t="inlineStr">
        <is>
          <t>shampoo</t>
        </is>
      </c>
      <c r="M2364" s="10" t="inlineStr">
        <is>
          <t>estandar</t>
        </is>
      </c>
      <c r="N2364" s="10" t="inlineStr">
        <is>
          <t>general</t>
        </is>
      </c>
      <c r="O2364" s="10" t="inlineStr">
        <is>
          <t>https://www.disco.com.ar/crema-capilar-tresemme-control-caida-pvc-ml-236/p</t>
        </is>
      </c>
    </row>
    <row r="2365">
      <c r="A2365" t="inlineStr">
        <is>
          <t>Disco</t>
        </is>
      </c>
      <c r="B2365" t="n">
        <v>134649</v>
      </c>
      <c r="C2365" t="n">
        <v>131563</v>
      </c>
      <c r="D2365" t="inlineStr">
        <is>
          <t>Crema Capilar Tresemmé-hidratación Profunda-pvc-ml.-236</t>
        </is>
      </c>
      <c r="E2365" t="inlineStr">
        <is>
          <t>TRESEMMÉ</t>
        </is>
      </c>
      <c r="F2365" t="n">
        <v>22.59</v>
      </c>
      <c r="G2365" t="n">
        <v>1867</v>
      </c>
      <c r="H2365" t="b">
        <v>0</v>
      </c>
      <c r="I2365" t="inlineStr"/>
      <c r="J2365" t="inlineStr"/>
      <c r="K2365" t="inlineStr">
        <is>
          <t>&gt; Perfumería &gt; Cuidado Capilar &gt; Reparación y Tratamientos &gt;</t>
        </is>
      </c>
      <c r="L2365" t="inlineStr">
        <is>
          <t>shampoo</t>
        </is>
      </c>
      <c r="M2365" t="inlineStr">
        <is>
          <t>estandar</t>
        </is>
      </c>
      <c r="N2365" t="inlineStr">
        <is>
          <t>seco_danado</t>
        </is>
      </c>
      <c r="O2365" t="inlineStr">
        <is>
          <t>https://www.disco.com.ar/crema-capilar-tresemme-hidratacion-profunda-pvc-ml-236/p</t>
        </is>
      </c>
    </row>
    <row r="2366">
      <c r="A2366" s="10" t="inlineStr">
        <is>
          <t>Disco</t>
        </is>
      </c>
      <c r="B2366" s="10" t="n">
        <v>123269</v>
      </c>
      <c r="C2366" s="10" t="n">
        <v>122274</v>
      </c>
      <c r="D2366" s="10" t="inlineStr">
        <is>
          <t>Pack Tresemme Liso Y Sf Sh+ac</t>
        </is>
      </c>
      <c r="E2366" s="10" t="inlineStr">
        <is>
          <t>TRESEMMÉ</t>
        </is>
      </c>
      <c r="F2366" s="10" t="n">
        <v>16.07</v>
      </c>
      <c r="G2366" s="10" t="n">
        <v>16.07</v>
      </c>
      <c r="H2366" s="10" t="b">
        <v>0</v>
      </c>
      <c r="I2366" s="10" t="inlineStr"/>
      <c r="J2366" s="10" t="inlineStr"/>
      <c r="K2366" s="10" t="inlineStr">
        <is>
          <t>&gt; Perfumería &gt; Cuidado Capilar &gt; Shampoo &gt;</t>
        </is>
      </c>
      <c r="L2366" s="10" t="inlineStr">
        <is>
          <t>tratamiento</t>
        </is>
      </c>
      <c r="M2366" s="10" t="inlineStr">
        <is>
          <t>estandar</t>
        </is>
      </c>
      <c r="N2366" s="10" t="inlineStr">
        <is>
          <t>general</t>
        </is>
      </c>
      <c r="O2366" s="10" t="inlineStr">
        <is>
          <t>https://www.disco.com.ar/pack-tresemme-liso-y-sf-sh-ac/p</t>
        </is>
      </c>
    </row>
    <row r="2367">
      <c r="A2367" t="inlineStr">
        <is>
          <t>Disco</t>
        </is>
      </c>
      <c r="B2367" t="n">
        <v>92910</v>
      </c>
      <c r="C2367" t="n">
        <v>90238</v>
      </c>
      <c r="D2367" t="inlineStr">
        <is>
          <t>Acondicionador Tresemmé Climate-control-pet-ml.-400</t>
        </is>
      </c>
      <c r="E2367" t="inlineStr">
        <is>
          <t>TRESEMMÉ</t>
        </is>
      </c>
      <c r="F2367" t="n">
        <v>77.69</v>
      </c>
      <c r="G2367" t="n">
        <v>6421</v>
      </c>
      <c r="H2367" t="b">
        <v>0</v>
      </c>
      <c r="I2367" t="inlineStr"/>
      <c r="J2367" t="inlineStr"/>
      <c r="K2367" t="inlineStr">
        <is>
          <t>&gt; Perfumería &gt; Cuidado Capilar &gt; Acondicionador &gt;</t>
        </is>
      </c>
      <c r="L2367" t="inlineStr">
        <is>
          <t>acondicionador</t>
        </is>
      </c>
      <c r="M2367" t="inlineStr">
        <is>
          <t>estandar</t>
        </is>
      </c>
      <c r="N2367" t="inlineStr">
        <is>
          <t>general</t>
        </is>
      </c>
      <c r="O2367" t="inlineStr">
        <is>
          <t>https://www.disco.com.ar/acondicionador-tresemme-climate-control-pet-ml-400/p</t>
        </is>
      </c>
    </row>
    <row r="2368">
      <c r="A2368" s="10" t="inlineStr">
        <is>
          <t>Disco</t>
        </is>
      </c>
      <c r="B2368" s="10" t="n">
        <v>92749</v>
      </c>
      <c r="C2368" s="10" t="n">
        <v>90077</v>
      </c>
      <c r="D2368" s="10" t="inlineStr">
        <is>
          <t>Acondicionador Tresemmé-soothing Star Pooh-pet-ml.-400</t>
        </is>
      </c>
      <c r="E2368" s="10" t="inlineStr">
        <is>
          <t>TRESEMMÉ</t>
        </is>
      </c>
      <c r="F2368" s="10" t="n">
        <v>51.87</v>
      </c>
      <c r="G2368" s="10" t="n">
        <v>4287</v>
      </c>
      <c r="H2368" s="10" t="b">
        <v>0</v>
      </c>
      <c r="I2368" s="10" t="inlineStr"/>
      <c r="J2368" s="10" t="inlineStr"/>
      <c r="K2368" s="10" t="inlineStr">
        <is>
          <t>&gt; Perfumería &gt; Cuidado Capilar &gt; Acondicionador &gt;</t>
        </is>
      </c>
      <c r="L2368" s="10" t="inlineStr">
        <is>
          <t>acondicionador</t>
        </is>
      </c>
      <c r="M2368" s="10" t="inlineStr">
        <is>
          <t>estandar</t>
        </is>
      </c>
      <c r="N2368" s="10" t="inlineStr">
        <is>
          <t>general</t>
        </is>
      </c>
      <c r="O2368" s="10" t="inlineStr">
        <is>
          <t>https://www.disco.com.ar/acondicionador-tresemme-soothing-star-pooh-pet-ml-400/p</t>
        </is>
      </c>
    </row>
    <row r="2369">
      <c r="A2369" t="inlineStr">
        <is>
          <t>Disco</t>
        </is>
      </c>
      <c r="B2369" t="n">
        <v>92743</v>
      </c>
      <c r="C2369" t="n">
        <v>90070</v>
      </c>
      <c r="D2369" t="inlineStr">
        <is>
          <t>Acondicionador Tresemmé-soothing Star Pooh-pet-ml.-900</t>
        </is>
      </c>
      <c r="E2369" t="inlineStr">
        <is>
          <t>TRESEMMÉ</t>
        </is>
      </c>
      <c r="F2369" t="n">
        <v>24.75</v>
      </c>
      <c r="G2369" t="n">
        <v>2045</v>
      </c>
      <c r="H2369" t="b">
        <v>0</v>
      </c>
      <c r="I2369" t="inlineStr"/>
      <c r="J2369" t="inlineStr"/>
      <c r="K2369" t="inlineStr">
        <is>
          <t>&gt; Perfumería &gt; Cuidado Capilar &gt; Acondicionador &gt;</t>
        </is>
      </c>
      <c r="L2369" t="inlineStr">
        <is>
          <t>acondicionador</t>
        </is>
      </c>
      <c r="M2369" t="inlineStr">
        <is>
          <t>estandar</t>
        </is>
      </c>
      <c r="N2369" t="inlineStr">
        <is>
          <t>general</t>
        </is>
      </c>
      <c r="O2369" t="inlineStr">
        <is>
          <t>https://www.disco.com.ar/acondicionador-tresemme-soothing-star-pooh-pet-ml-900/p</t>
        </is>
      </c>
    </row>
    <row r="2370">
      <c r="A2370" s="10" t="inlineStr">
        <is>
          <t>Disco</t>
        </is>
      </c>
      <c r="B2370" s="10" t="n">
        <v>92724</v>
      </c>
      <c r="C2370" s="10" t="n">
        <v>90052</v>
      </c>
      <c r="D2370" s="10" t="inlineStr">
        <is>
          <t>Shampoo Tresemmé Shooting Star Pooh X 900 Ml</t>
        </is>
      </c>
      <c r="E2370" s="10" t="inlineStr">
        <is>
          <t>TRESEMMÉ</t>
        </is>
      </c>
      <c r="F2370" s="10" t="n">
        <v>24.75</v>
      </c>
      <c r="G2370" s="10" t="n">
        <v>2045</v>
      </c>
      <c r="H2370" s="10" t="b">
        <v>0</v>
      </c>
      <c r="I2370" s="10" t="n">
        <v>900</v>
      </c>
      <c r="J2370" s="10" t="n">
        <v>0.0275</v>
      </c>
      <c r="K2370" s="10" t="inlineStr">
        <is>
          <t>&gt; Perfumería &gt; Cuidado Capilar &gt; Shampoo &gt;</t>
        </is>
      </c>
      <c r="L2370" s="10" t="inlineStr">
        <is>
          <t>shampoo</t>
        </is>
      </c>
      <c r="M2370" s="10" t="inlineStr">
        <is>
          <t>estandar</t>
        </is>
      </c>
      <c r="N2370" s="10" t="inlineStr">
        <is>
          <t>general</t>
        </is>
      </c>
      <c r="O2370" s="10" t="inlineStr">
        <is>
          <t>https://www.disco.com.ar/shampoo-tresemme-shooting-star-pooh-x-900-ml/p</t>
        </is>
      </c>
    </row>
    <row r="2371">
      <c r="A2371" t="inlineStr">
        <is>
          <t>Disco</t>
        </is>
      </c>
      <c r="B2371" t="n">
        <v>92721</v>
      </c>
      <c r="C2371" t="n">
        <v>90048</v>
      </c>
      <c r="D2371" t="inlineStr">
        <is>
          <t>Shampoo Tresemmé-soothing Star Pooh-pet-ml.-400</t>
        </is>
      </c>
      <c r="E2371" t="inlineStr">
        <is>
          <t>TRESEMMÉ</t>
        </is>
      </c>
      <c r="F2371" t="n">
        <v>51.87</v>
      </c>
      <c r="G2371" t="n">
        <v>4287</v>
      </c>
      <c r="H2371" t="b">
        <v>0</v>
      </c>
      <c r="I2371" t="inlineStr"/>
      <c r="J2371" t="inlineStr"/>
      <c r="K2371" t="inlineStr">
        <is>
          <t>&gt; Perfumería &gt; Cuidado Capilar &gt; Shampoo &gt;</t>
        </is>
      </c>
      <c r="L2371" t="inlineStr">
        <is>
          <t>shampoo</t>
        </is>
      </c>
      <c r="M2371" t="inlineStr">
        <is>
          <t>estandar</t>
        </is>
      </c>
      <c r="N2371" t="inlineStr">
        <is>
          <t>general</t>
        </is>
      </c>
      <c r="O2371" t="inlineStr">
        <is>
          <t>https://www.disco.com.ar/shampoo-tresemme-soothing-star-pooh-pet-ml-400/p</t>
        </is>
      </c>
    </row>
    <row r="2372">
      <c r="A2372" s="10" t="inlineStr">
        <is>
          <t>Disco</t>
        </is>
      </c>
      <c r="B2372" s="10" t="n">
        <v>91920</v>
      </c>
      <c r="C2372" s="10" t="n">
        <v>89248</v>
      </c>
      <c r="D2372" s="10" t="inlineStr">
        <is>
          <t>Shampoo Tresemmé Climate-control-pet-ml.-400</t>
        </is>
      </c>
      <c r="E2372" s="10" t="inlineStr">
        <is>
          <t>TRESEMMÉ</t>
        </is>
      </c>
      <c r="F2372" s="10" t="n">
        <v>51.87</v>
      </c>
      <c r="G2372" s="10" t="n">
        <v>4287</v>
      </c>
      <c r="H2372" s="10" t="b">
        <v>0</v>
      </c>
      <c r="I2372" s="10" t="inlineStr"/>
      <c r="J2372" s="10" t="inlineStr"/>
      <c r="K2372" s="10" t="inlineStr">
        <is>
          <t>&gt; Perfumería &gt; Cuidado Capilar &gt; Shampoo &gt;</t>
        </is>
      </c>
      <c r="L2372" s="10" t="inlineStr">
        <is>
          <t>shampoo</t>
        </is>
      </c>
      <c r="M2372" s="10" t="inlineStr">
        <is>
          <t>estandar</t>
        </is>
      </c>
      <c r="N2372" s="10" t="inlineStr">
        <is>
          <t>general</t>
        </is>
      </c>
      <c r="O2372" s="10" t="inlineStr">
        <is>
          <t>https://www.disco.com.ar/shampoo-tresemme-climate-control-pet-ml-400/p</t>
        </is>
      </c>
    </row>
    <row r="2373">
      <c r="A2373" t="inlineStr">
        <is>
          <t>Disco</t>
        </is>
      </c>
      <c r="B2373" t="n">
        <v>91911</v>
      </c>
      <c r="C2373" t="n">
        <v>89239</v>
      </c>
      <c r="D2373" t="inlineStr">
        <is>
          <t>Shampoo Tresemmé Control X 900 Ml</t>
        </is>
      </c>
      <c r="E2373" t="inlineStr">
        <is>
          <t>TRESEMMÉ</t>
        </is>
      </c>
      <c r="F2373" t="n">
        <v>26.25</v>
      </c>
      <c r="G2373" t="n">
        <v>2169</v>
      </c>
      <c r="H2373" t="b">
        <v>0</v>
      </c>
      <c r="I2373" t="n">
        <v>900</v>
      </c>
      <c r="J2373" t="n">
        <v>0.0292</v>
      </c>
      <c r="K2373" t="inlineStr">
        <is>
          <t>&gt; Perfumería &gt; Cuidado Capilar &gt; Shampoo &gt;</t>
        </is>
      </c>
      <c r="L2373" t="inlineStr">
        <is>
          <t>shampoo</t>
        </is>
      </c>
      <c r="M2373" t="inlineStr">
        <is>
          <t>estandar</t>
        </is>
      </c>
      <c r="N2373" t="inlineStr">
        <is>
          <t>general</t>
        </is>
      </c>
      <c r="O2373" t="inlineStr">
        <is>
          <t>https://www.disco.com.ar/shampoo-tresemme-control-x-900-ml/p</t>
        </is>
      </c>
    </row>
    <row r="2374">
      <c r="A2374" s="10" t="inlineStr">
        <is>
          <t>Disco</t>
        </is>
      </c>
      <c r="B2374" s="10" t="n">
        <v>91739</v>
      </c>
      <c r="C2374" s="10" t="n">
        <v>89067</v>
      </c>
      <c r="D2374" s="10" t="inlineStr">
        <is>
          <t>Acondicionador Tresemmé-split Remedy-pvc-ml.-400</t>
        </is>
      </c>
      <c r="E2374" s="10" t="inlineStr">
        <is>
          <t>TRESEMMÉ</t>
        </is>
      </c>
      <c r="F2374" s="10" t="n">
        <v>51.87</v>
      </c>
      <c r="G2374" s="10" t="n">
        <v>4287</v>
      </c>
      <c r="H2374" s="10" t="b">
        <v>0</v>
      </c>
      <c r="I2374" s="10" t="inlineStr"/>
      <c r="J2374" s="10" t="inlineStr"/>
      <c r="K2374" s="10" t="inlineStr">
        <is>
          <t>&gt; Perfumería &gt; Cuidado Capilar &gt; Acondicionador &gt;</t>
        </is>
      </c>
      <c r="L2374" s="10" t="inlineStr">
        <is>
          <t>acondicionador</t>
        </is>
      </c>
      <c r="M2374" s="10" t="inlineStr">
        <is>
          <t>estandar</t>
        </is>
      </c>
      <c r="N2374" s="10" t="inlineStr">
        <is>
          <t>general</t>
        </is>
      </c>
      <c r="O2374" s="10" t="inlineStr">
        <is>
          <t>https://www.disco.com.ar/acondicionador-tresemme-split-remedy-pvc-ml-400/p</t>
        </is>
      </c>
    </row>
    <row r="2375">
      <c r="A2375" t="inlineStr">
        <is>
          <t>Disco</t>
        </is>
      </c>
      <c r="B2375" t="n">
        <v>91736</v>
      </c>
      <c r="C2375" t="n">
        <v>89063</v>
      </c>
      <c r="D2375" t="inlineStr">
        <is>
          <t>Shampoo Tresemmé Split Remedy X 900 Ml</t>
        </is>
      </c>
      <c r="E2375" t="inlineStr">
        <is>
          <t>TRESEMMÉ</t>
        </is>
      </c>
      <c r="F2375" t="n">
        <v>49.45</v>
      </c>
      <c r="G2375" t="n">
        <v>4087</v>
      </c>
      <c r="H2375" t="b">
        <v>0</v>
      </c>
      <c r="I2375" t="n">
        <v>900</v>
      </c>
      <c r="J2375" t="n">
        <v>0.0549</v>
      </c>
      <c r="K2375" t="inlineStr">
        <is>
          <t>&gt; Perfumería &gt; Cuidado Capilar &gt; Shampoo &gt;</t>
        </is>
      </c>
      <c r="L2375" t="inlineStr">
        <is>
          <t>shampoo</t>
        </is>
      </c>
      <c r="M2375" t="inlineStr">
        <is>
          <t>estandar</t>
        </is>
      </c>
      <c r="N2375" t="inlineStr">
        <is>
          <t>general</t>
        </is>
      </c>
      <c r="O2375" t="inlineStr">
        <is>
          <t>https://www.disco.com.ar/shampoo-tresemme-split-remedy-x-900-ml/p</t>
        </is>
      </c>
    </row>
    <row r="2376">
      <c r="A2376" s="10" t="inlineStr">
        <is>
          <t>Disco</t>
        </is>
      </c>
      <c r="B2376" s="10" t="n">
        <v>91730</v>
      </c>
      <c r="C2376" s="10" t="n">
        <v>89058</v>
      </c>
      <c r="D2376" s="10" t="inlineStr">
        <is>
          <t>Shampoo Tresemmé-split Remedy-pvc-ml.-400</t>
        </is>
      </c>
      <c r="E2376" s="10" t="inlineStr">
        <is>
          <t>TRESEMMÉ</t>
        </is>
      </c>
      <c r="F2376" s="10" t="n">
        <v>51.87</v>
      </c>
      <c r="G2376" s="10" t="n">
        <v>4287</v>
      </c>
      <c r="H2376" s="10" t="b">
        <v>0</v>
      </c>
      <c r="I2376" s="10" t="inlineStr"/>
      <c r="J2376" s="10" t="inlineStr"/>
      <c r="K2376" s="10" t="inlineStr">
        <is>
          <t>&gt; Perfumería &gt; Cuidado Capilar &gt; Shampoo &gt;</t>
        </is>
      </c>
      <c r="L2376" s="10" t="inlineStr">
        <is>
          <t>shampoo</t>
        </is>
      </c>
      <c r="M2376" s="10" t="inlineStr">
        <is>
          <t>estandar</t>
        </is>
      </c>
      <c r="N2376" s="10" t="inlineStr">
        <is>
          <t>general</t>
        </is>
      </c>
      <c r="O2376" s="10" t="inlineStr">
        <is>
          <t>https://www.disco.com.ar/shampoo-tresemme-split-remedy-pvc-ml-400/p</t>
        </is>
      </c>
    </row>
    <row r="2377">
      <c r="A2377" t="inlineStr">
        <is>
          <t>Disco</t>
        </is>
      </c>
      <c r="B2377" t="n">
        <v>82472</v>
      </c>
      <c r="C2377" t="n">
        <v>79805</v>
      </c>
      <c r="D2377" t="inlineStr">
        <is>
          <t>Shampoo Tresemmé-+ Acondicionador X 250 Ml-control Caida-bli-un.-2</t>
        </is>
      </c>
      <c r="E2377" t="inlineStr">
        <is>
          <t>TRESEMMÉ</t>
        </is>
      </c>
      <c r="F2377" t="n">
        <v>24.55</v>
      </c>
      <c r="G2377" t="n">
        <v>24.55</v>
      </c>
      <c r="H2377" t="b">
        <v>0</v>
      </c>
      <c r="I2377" t="n">
        <v>250</v>
      </c>
      <c r="J2377" t="n">
        <v>0.0982</v>
      </c>
      <c r="K2377" t="inlineStr">
        <is>
          <t>&gt; Perfumería &gt; Cuidado Capilar &gt; Shampoo &gt;</t>
        </is>
      </c>
      <c r="L2377" t="inlineStr">
        <is>
          <t>acondicionador</t>
        </is>
      </c>
      <c r="M2377" t="inlineStr">
        <is>
          <t>estandar</t>
        </is>
      </c>
      <c r="N2377" t="inlineStr">
        <is>
          <t>general</t>
        </is>
      </c>
      <c r="O2377" t="inlineStr">
        <is>
          <t>https://www.disco.com.ar/shampoo-tresemme-acondicionador-x-250-ml-control-caida-bli-un-2/p</t>
        </is>
      </c>
    </row>
    <row r="2378">
      <c r="A2378" s="10" t="inlineStr">
        <is>
          <t>Disco</t>
        </is>
      </c>
      <c r="B2378" s="10" t="n">
        <v>59078</v>
      </c>
      <c r="C2378" s="10" t="n">
        <v>56232</v>
      </c>
      <c r="D2378" s="10" t="inlineStr">
        <is>
          <t>Shampoo Tresemmé-rizos Definidos-pvc-ml.-400</t>
        </is>
      </c>
      <c r="E2378" s="10" t="inlineStr">
        <is>
          <t>TRESEMMÉ</t>
        </is>
      </c>
      <c r="F2378" s="10" t="n">
        <v>11.99</v>
      </c>
      <c r="G2378" s="10" t="n">
        <v>991</v>
      </c>
      <c r="H2378" s="10" t="b">
        <v>0</v>
      </c>
      <c r="I2378" s="10" t="inlineStr"/>
      <c r="J2378" s="10" t="inlineStr"/>
      <c r="K2378" s="10" t="inlineStr">
        <is>
          <t>&gt; Perfumería &gt; Cuidado Capilar &gt; Shampoo &gt;</t>
        </is>
      </c>
      <c r="L2378" s="10" t="inlineStr">
        <is>
          <t>shampoo</t>
        </is>
      </c>
      <c r="M2378" s="10" t="inlineStr">
        <is>
          <t>estandar</t>
        </is>
      </c>
      <c r="N2378" s="10" t="inlineStr">
        <is>
          <t>rizado</t>
        </is>
      </c>
      <c r="O2378" s="10" t="inlineStr">
        <is>
          <t>https://www.disco.com.ar/shampoo-tresemme-rizos-definidos-pvc-ml-400/p</t>
        </is>
      </c>
    </row>
    <row r="2379">
      <c r="A2379" t="inlineStr">
        <is>
          <t>Disco</t>
        </is>
      </c>
      <c r="B2379" t="n">
        <v>59059</v>
      </c>
      <c r="C2379" t="n">
        <v>56213</v>
      </c>
      <c r="D2379" t="inlineStr">
        <is>
          <t>Acondicionador Tresemmé-rizos Definidos-pvc-ml.-400</t>
        </is>
      </c>
      <c r="E2379" t="inlineStr">
        <is>
          <t>TRESEMMÉ</t>
        </is>
      </c>
      <c r="F2379" t="n">
        <v>15.65</v>
      </c>
      <c r="G2379" t="n">
        <v>1293</v>
      </c>
      <c r="H2379" t="b">
        <v>0</v>
      </c>
      <c r="I2379" t="inlineStr"/>
      <c r="J2379" t="inlineStr"/>
      <c r="K2379" t="inlineStr">
        <is>
          <t>&gt; Perfumería &gt; Cuidado Capilar &gt; Acondicionador &gt;</t>
        </is>
      </c>
      <c r="L2379" t="inlineStr">
        <is>
          <t>acondicionador</t>
        </is>
      </c>
      <c r="M2379" t="inlineStr">
        <is>
          <t>estandar</t>
        </is>
      </c>
      <c r="N2379" t="inlineStr">
        <is>
          <t>rizado</t>
        </is>
      </c>
      <c r="O2379" t="inlineStr">
        <is>
          <t>https://www.disco.com.ar/acondicionador-tresemme-rizos-definidos-pvc-ml-400/p</t>
        </is>
      </c>
    </row>
    <row r="2380">
      <c r="A2380" s="10" t="inlineStr">
        <is>
          <t>Disco</t>
        </is>
      </c>
      <c r="B2380" s="10" t="n">
        <v>58783</v>
      </c>
      <c r="C2380" s="10" t="n">
        <v>55937</v>
      </c>
      <c r="D2380" s="10" t="inlineStr">
        <is>
          <t>Acondicionador Tresemmé Recovery X 900 Ml</t>
        </is>
      </c>
      <c r="E2380" s="10" t="inlineStr">
        <is>
          <t>TRESEMMÉ</t>
        </is>
      </c>
      <c r="F2380" s="10" t="n">
        <v>26.25</v>
      </c>
      <c r="G2380" s="10" t="n">
        <v>2169</v>
      </c>
      <c r="H2380" s="10" t="b">
        <v>0</v>
      </c>
      <c r="I2380" s="10" t="n">
        <v>900</v>
      </c>
      <c r="J2380" s="10" t="n">
        <v>0.0292</v>
      </c>
      <c r="K2380" s="10" t="inlineStr">
        <is>
          <t>&gt; Perfumería &gt; Cuidado Capilar &gt; Acondicionador &gt;</t>
        </is>
      </c>
      <c r="L2380" s="10" t="inlineStr">
        <is>
          <t>acondicionador</t>
        </is>
      </c>
      <c r="M2380" s="10" t="inlineStr">
        <is>
          <t>estandar</t>
        </is>
      </c>
      <c r="N2380" s="10" t="inlineStr">
        <is>
          <t>general</t>
        </is>
      </c>
      <c r="O2380" s="10" t="inlineStr">
        <is>
          <t>https://www.disco.com.ar/acondicionador-tresemme-recovery-x-900-ml/p</t>
        </is>
      </c>
    </row>
    <row r="2381">
      <c r="A2381" t="inlineStr">
        <is>
          <t>Disco</t>
        </is>
      </c>
      <c r="B2381" t="n">
        <v>58753</v>
      </c>
      <c r="C2381" t="n">
        <v>55907</v>
      </c>
      <c r="D2381" t="inlineStr">
        <is>
          <t>Shampoo Tresemmé Recovery X 900 Ml</t>
        </is>
      </c>
      <c r="E2381" t="inlineStr">
        <is>
          <t>TRESEMMÉ</t>
        </is>
      </c>
      <c r="F2381" t="n">
        <v>26.99</v>
      </c>
      <c r="G2381" t="n">
        <v>2231</v>
      </c>
      <c r="H2381" t="b">
        <v>0</v>
      </c>
      <c r="I2381" t="n">
        <v>900</v>
      </c>
      <c r="J2381" t="n">
        <v>0.03</v>
      </c>
      <c r="K2381" t="inlineStr">
        <is>
          <t>&gt; Perfumería &gt; Cuidado Capilar &gt; Shampoo &gt;</t>
        </is>
      </c>
      <c r="L2381" t="inlineStr">
        <is>
          <t>shampoo</t>
        </is>
      </c>
      <c r="M2381" t="inlineStr">
        <is>
          <t>estandar</t>
        </is>
      </c>
      <c r="N2381" t="inlineStr">
        <is>
          <t>general</t>
        </is>
      </c>
      <c r="O2381" t="inlineStr">
        <is>
          <t>https://www.disco.com.ar/shampoo-tresemme-recovery-x-900-ml/p</t>
        </is>
      </c>
    </row>
    <row r="2382">
      <c r="A2382" s="10" t="inlineStr">
        <is>
          <t>Disco</t>
        </is>
      </c>
      <c r="B2382" s="10" t="n">
        <v>58511</v>
      </c>
      <c r="C2382" s="10" t="n">
        <v>55665</v>
      </c>
      <c r="D2382" s="10" t="inlineStr">
        <is>
          <t>Acondicionador Tresemmé-liso Y Sin Frizz-pvc-ml.-400</t>
        </is>
      </c>
      <c r="E2382" s="10" t="inlineStr">
        <is>
          <t>TRESEMMÉ</t>
        </is>
      </c>
      <c r="F2382" s="10" t="n">
        <v>77.69</v>
      </c>
      <c r="G2382" s="10" t="n">
        <v>6421</v>
      </c>
      <c r="H2382" s="10" t="b">
        <v>0</v>
      </c>
      <c r="I2382" s="10" t="inlineStr"/>
      <c r="J2382" s="10" t="inlineStr"/>
      <c r="K2382" s="10" t="inlineStr">
        <is>
          <t>&gt; Perfumería &gt; Cuidado Capilar &gt; Acondicionador &gt;</t>
        </is>
      </c>
      <c r="L2382" s="10" t="inlineStr">
        <is>
          <t>acondicionador</t>
        </is>
      </c>
      <c r="M2382" s="10" t="inlineStr">
        <is>
          <t>estandar</t>
        </is>
      </c>
      <c r="N2382" s="10" t="inlineStr">
        <is>
          <t>general</t>
        </is>
      </c>
      <c r="O2382" s="10" t="inlineStr">
        <is>
          <t>https://www.disco.com.ar/acondicionador-tresemme-liso-y-sin-frizz-pvc-ml-400/p</t>
        </is>
      </c>
    </row>
    <row r="2383">
      <c r="A2383" t="inlineStr">
        <is>
          <t>Disco</t>
        </is>
      </c>
      <c r="B2383" t="n">
        <v>58371</v>
      </c>
      <c r="C2383" t="n">
        <v>55525</v>
      </c>
      <c r="D2383" t="inlineStr">
        <is>
          <t>Shampoo Tresemmé-liso Y Sin Frizz-pvc-ml.-400</t>
        </is>
      </c>
      <c r="E2383" t="inlineStr">
        <is>
          <t>TRESEMMÉ</t>
        </is>
      </c>
      <c r="F2383" t="n">
        <v>51.87</v>
      </c>
      <c r="G2383" t="n">
        <v>4287</v>
      </c>
      <c r="H2383" t="b">
        <v>0</v>
      </c>
      <c r="I2383" t="inlineStr"/>
      <c r="J2383" t="inlineStr"/>
      <c r="K2383" t="inlineStr">
        <is>
          <t>&gt; Perfumería &gt; Cuidado Capilar &gt; Shampoo &gt;</t>
        </is>
      </c>
      <c r="L2383" t="inlineStr">
        <is>
          <t>shampoo</t>
        </is>
      </c>
      <c r="M2383" t="inlineStr">
        <is>
          <t>estandar</t>
        </is>
      </c>
      <c r="N2383" t="inlineStr">
        <is>
          <t>general</t>
        </is>
      </c>
      <c r="O2383" t="inlineStr">
        <is>
          <t>https://www.disco.com.ar/shampoo-tresemme-liso-y-sin-frizz-pvc-ml-400/p</t>
        </is>
      </c>
    </row>
    <row r="2384">
      <c r="A2384" s="10" t="inlineStr">
        <is>
          <t>Disco</t>
        </is>
      </c>
      <c r="B2384" s="10" t="n">
        <v>43346</v>
      </c>
      <c r="C2384" s="10" t="n">
        <v>40518</v>
      </c>
      <c r="D2384" s="10" t="inlineStr">
        <is>
          <t>Acondicionador Tresemme Blindaje Platinium 750 Ml</t>
        </is>
      </c>
      <c r="E2384" s="10" t="inlineStr">
        <is>
          <t>TRESEMMÉ</t>
        </is>
      </c>
      <c r="F2384" s="10" t="n">
        <v>538.59</v>
      </c>
      <c r="G2384" s="10" t="n">
        <v>44512</v>
      </c>
      <c r="H2384" s="10" t="b">
        <v>0</v>
      </c>
      <c r="I2384" s="10" t="n">
        <v>750</v>
      </c>
      <c r="J2384" s="10" t="n">
        <v>0.7181</v>
      </c>
      <c r="K2384" s="10" t="inlineStr">
        <is>
          <t>&gt; Perfumería &gt; Cuidado Capilar &gt; Acondicionador &gt;</t>
        </is>
      </c>
      <c r="L2384" s="10" t="inlineStr">
        <is>
          <t>acondicionador</t>
        </is>
      </c>
      <c r="M2384" s="10" t="inlineStr">
        <is>
          <t>estandar</t>
        </is>
      </c>
      <c r="N2384" s="10" t="inlineStr">
        <is>
          <t>general</t>
        </is>
      </c>
      <c r="O2384" s="10" t="inlineStr">
        <is>
          <t>https://www.disco.com.ar/acondicionador-tresemme-blindaje-platinium-750-ml/p</t>
        </is>
      </c>
    </row>
    <row r="2385">
      <c r="A2385" t="inlineStr">
        <is>
          <t>Disco</t>
        </is>
      </c>
      <c r="B2385" t="n">
        <v>32462</v>
      </c>
      <c r="C2385" t="n">
        <v>29620</v>
      </c>
      <c r="D2385" t="inlineStr">
        <is>
          <t>Shampoo Tresemmé-control Caida-pvc-ml.-750</t>
        </is>
      </c>
      <c r="E2385" t="inlineStr">
        <is>
          <t>TRESEMMÉ</t>
        </is>
      </c>
      <c r="F2385" t="n">
        <v>131.35</v>
      </c>
      <c r="G2385" t="n">
        <v>10855</v>
      </c>
      <c r="H2385" t="b">
        <v>0</v>
      </c>
      <c r="I2385" t="inlineStr"/>
      <c r="J2385" t="inlineStr"/>
      <c r="K2385" t="inlineStr">
        <is>
          <t>&gt; Perfumería &gt; Cuidado Capilar &gt; Shampoo &gt;</t>
        </is>
      </c>
      <c r="L2385" t="inlineStr">
        <is>
          <t>shampoo</t>
        </is>
      </c>
      <c r="M2385" t="inlineStr">
        <is>
          <t>estandar</t>
        </is>
      </c>
      <c r="N2385" t="inlineStr">
        <is>
          <t>general</t>
        </is>
      </c>
      <c r="O2385" t="inlineStr">
        <is>
          <t>https://www.disco.com.ar/shampoo-tresemme-17/p</t>
        </is>
      </c>
    </row>
    <row r="2386">
      <c r="A2386" s="10" t="inlineStr">
        <is>
          <t>Disco</t>
        </is>
      </c>
      <c r="B2386" s="10" t="n">
        <v>32284</v>
      </c>
      <c r="C2386" s="10" t="n">
        <v>29443</v>
      </c>
      <c r="D2386" s="10" t="inlineStr">
        <is>
          <t>Acondicionador Tresemme Puntas Perfectas 400 Ml</t>
        </is>
      </c>
      <c r="E2386" s="10" t="inlineStr">
        <is>
          <t>TRESEMMÉ</t>
        </is>
      </c>
      <c r="F2386" s="10" t="n">
        <v>77.69</v>
      </c>
      <c r="G2386" s="10" t="n">
        <v>6421</v>
      </c>
      <c r="H2386" s="10" t="b">
        <v>0</v>
      </c>
      <c r="I2386" s="10" t="n">
        <v>400</v>
      </c>
      <c r="J2386" s="10" t="n">
        <v>0.1942</v>
      </c>
      <c r="K2386" s="10" t="inlineStr">
        <is>
          <t>&gt; Perfumería &gt; Cuidado Capilar &gt; Acondicionador &gt;</t>
        </is>
      </c>
      <c r="L2386" s="10" t="inlineStr">
        <is>
          <t>acondicionador</t>
        </is>
      </c>
      <c r="M2386" s="10" t="inlineStr">
        <is>
          <t>estandar</t>
        </is>
      </c>
      <c r="N2386" s="10" t="inlineStr">
        <is>
          <t>general</t>
        </is>
      </c>
      <c r="O2386" s="10" t="inlineStr">
        <is>
          <t>https://www.disco.com.ar/acondicionador-tresemme-23/p</t>
        </is>
      </c>
    </row>
    <row r="2387">
      <c r="A2387" t="inlineStr">
        <is>
          <t>Disco</t>
        </is>
      </c>
      <c r="B2387" t="n">
        <v>32269</v>
      </c>
      <c r="C2387" t="n">
        <v>29428</v>
      </c>
      <c r="D2387" t="inlineStr">
        <is>
          <t>Acondicionador Tresemme Liso Y Sedoso 400 Ml</t>
        </is>
      </c>
      <c r="E2387" t="inlineStr">
        <is>
          <t>TRESEMMÉ</t>
        </is>
      </c>
      <c r="F2387" t="n">
        <v>77.69</v>
      </c>
      <c r="G2387" t="n">
        <v>6421</v>
      </c>
      <c r="H2387" t="b">
        <v>0</v>
      </c>
      <c r="I2387" t="n">
        <v>400</v>
      </c>
      <c r="J2387" t="n">
        <v>0.1942</v>
      </c>
      <c r="K2387" t="inlineStr">
        <is>
          <t>&gt; Perfumería &gt; Cuidado Capilar &gt; Acondicionador &gt;</t>
        </is>
      </c>
      <c r="L2387" t="inlineStr">
        <is>
          <t>acondicionador</t>
        </is>
      </c>
      <c r="M2387" t="inlineStr">
        <is>
          <t>estandar</t>
        </is>
      </c>
      <c r="N2387" t="inlineStr">
        <is>
          <t>general</t>
        </is>
      </c>
      <c r="O2387" t="inlineStr">
        <is>
          <t>https://www.disco.com.ar/acondicionador-tresemme-22/p</t>
        </is>
      </c>
    </row>
    <row r="2388">
      <c r="A2388" s="10" t="inlineStr">
        <is>
          <t>Disco</t>
        </is>
      </c>
      <c r="B2388" s="10" t="n">
        <v>32148</v>
      </c>
      <c r="C2388" s="10" t="n">
        <v>29307</v>
      </c>
      <c r="D2388" s="10" t="inlineStr">
        <is>
          <t>Shampoo Tresemme Liso Y Sedoso 750 Ml</t>
        </is>
      </c>
      <c r="E2388" s="10" t="inlineStr">
        <is>
          <t>TRESEMMÉ</t>
        </is>
      </c>
      <c r="F2388" s="10" t="n">
        <v>131.35</v>
      </c>
      <c r="G2388" s="10" t="n">
        <v>10855</v>
      </c>
      <c r="H2388" s="10" t="b">
        <v>0</v>
      </c>
      <c r="I2388" s="10" t="n">
        <v>750</v>
      </c>
      <c r="J2388" s="10" t="n">
        <v>0.1751</v>
      </c>
      <c r="K2388" s="10" t="inlineStr">
        <is>
          <t>&gt; Perfumería &gt; Cuidado Capilar &gt; Shampoo &gt;</t>
        </is>
      </c>
      <c r="L2388" s="10" t="inlineStr">
        <is>
          <t>shampoo</t>
        </is>
      </c>
      <c r="M2388" s="10" t="inlineStr">
        <is>
          <t>estandar</t>
        </is>
      </c>
      <c r="N2388" s="10" t="inlineStr">
        <is>
          <t>general</t>
        </is>
      </c>
      <c r="O2388" s="10" t="inlineStr">
        <is>
          <t>https://www.disco.com.ar/shampoo-tresemme-16/p</t>
        </is>
      </c>
    </row>
    <row r="2389">
      <c r="A2389" t="inlineStr">
        <is>
          <t>Disco</t>
        </is>
      </c>
      <c r="B2389" t="n">
        <v>32120</v>
      </c>
      <c r="C2389" t="n">
        <v>29279</v>
      </c>
      <c r="D2389" t="inlineStr">
        <is>
          <t>Acondicionador Tresemme Rituales De Reparación 400 Ml</t>
        </is>
      </c>
      <c r="E2389" t="inlineStr">
        <is>
          <t>TRESEMMÉ</t>
        </is>
      </c>
      <c r="F2389" t="n">
        <v>77.69</v>
      </c>
      <c r="G2389" t="n">
        <v>6421</v>
      </c>
      <c r="H2389" t="b">
        <v>0</v>
      </c>
      <c r="I2389" t="n">
        <v>400</v>
      </c>
      <c r="J2389" t="n">
        <v>0.1942</v>
      </c>
      <c r="K2389" t="inlineStr">
        <is>
          <t>&gt; Perfumería &gt; Cuidado Capilar &gt; Acondicionador &gt;</t>
        </is>
      </c>
      <c r="L2389" t="inlineStr">
        <is>
          <t>acondicionador</t>
        </is>
      </c>
      <c r="M2389" t="inlineStr">
        <is>
          <t>estandar</t>
        </is>
      </c>
      <c r="N2389" t="inlineStr">
        <is>
          <t>general</t>
        </is>
      </c>
      <c r="O2389" t="inlineStr">
        <is>
          <t>https://www.disco.com.ar/acondicionador-tresemme-21/p</t>
        </is>
      </c>
    </row>
    <row r="2390">
      <c r="A2390" s="10" t="inlineStr">
        <is>
          <t>Disco</t>
        </is>
      </c>
      <c r="B2390" s="10" t="n">
        <v>32046</v>
      </c>
      <c r="C2390" s="10" t="n">
        <v>29205</v>
      </c>
      <c r="D2390" s="10" t="inlineStr">
        <is>
          <t>Acondicionador Tresemme 750 Ml</t>
        </is>
      </c>
      <c r="E2390" s="10" t="inlineStr">
        <is>
          <t>TRESEMMÉ</t>
        </is>
      </c>
      <c r="F2390" s="10" t="n">
        <v>538.59</v>
      </c>
      <c r="G2390" s="10" t="n">
        <v>44512</v>
      </c>
      <c r="H2390" s="10" t="b">
        <v>0</v>
      </c>
      <c r="I2390" s="10" t="n">
        <v>750</v>
      </c>
      <c r="J2390" s="10" t="n">
        <v>0.7181</v>
      </c>
      <c r="K2390" s="10" t="inlineStr">
        <is>
          <t>&gt; Perfumería &gt; Cuidado Capilar &gt; Acondicionador &gt;</t>
        </is>
      </c>
      <c r="L2390" s="10" t="inlineStr">
        <is>
          <t>acondicionador</t>
        </is>
      </c>
      <c r="M2390" s="10" t="inlineStr">
        <is>
          <t>estandar</t>
        </is>
      </c>
      <c r="N2390" s="10" t="inlineStr">
        <is>
          <t>general</t>
        </is>
      </c>
      <c r="O2390" s="10" t="inlineStr">
        <is>
          <t>https://www.disco.com.ar/acondicionador-tresemme-19/p</t>
        </is>
      </c>
    </row>
    <row r="2391">
      <c r="A2391" t="inlineStr">
        <is>
          <t>Disco</t>
        </is>
      </c>
      <c r="B2391" t="n">
        <v>32041</v>
      </c>
      <c r="C2391" t="n">
        <v>29200</v>
      </c>
      <c r="D2391" t="inlineStr">
        <is>
          <t>Shampoo Tresemme Puntas Perfectas 400 Ml</t>
        </is>
      </c>
      <c r="E2391" t="inlineStr">
        <is>
          <t>TRESEMMÉ</t>
        </is>
      </c>
      <c r="F2391" t="n">
        <v>77.69</v>
      </c>
      <c r="G2391" t="n">
        <v>6421</v>
      </c>
      <c r="H2391" t="b">
        <v>0</v>
      </c>
      <c r="I2391" t="n">
        <v>400</v>
      </c>
      <c r="J2391" t="n">
        <v>0.1942</v>
      </c>
      <c r="K2391" t="inlineStr">
        <is>
          <t>&gt; Perfumería &gt; Cuidado Capilar &gt; Shampoo &gt;</t>
        </is>
      </c>
      <c r="L2391" t="inlineStr">
        <is>
          <t>shampoo</t>
        </is>
      </c>
      <c r="M2391" t="inlineStr">
        <is>
          <t>estandar</t>
        </is>
      </c>
      <c r="N2391" t="inlineStr">
        <is>
          <t>general</t>
        </is>
      </c>
      <c r="O2391" t="inlineStr">
        <is>
          <t>https://www.disco.com.ar/shampoo-tresemme-15/p</t>
        </is>
      </c>
    </row>
    <row r="2392">
      <c r="A2392" s="10" t="inlineStr">
        <is>
          <t>Disco</t>
        </is>
      </c>
      <c r="B2392" s="10" t="n">
        <v>32036</v>
      </c>
      <c r="C2392" s="10" t="n">
        <v>29195</v>
      </c>
      <c r="D2392" s="10" t="inlineStr">
        <is>
          <t>Shampoo Tresemme Rituales De Reparación 400 Ml</t>
        </is>
      </c>
      <c r="E2392" s="10" t="inlineStr">
        <is>
          <t>TRESEMMÉ</t>
        </is>
      </c>
      <c r="F2392" s="10" t="n">
        <v>77.69</v>
      </c>
      <c r="G2392" s="10" t="n">
        <v>6421</v>
      </c>
      <c r="H2392" s="10" t="b">
        <v>0</v>
      </c>
      <c r="I2392" s="10" t="n">
        <v>400</v>
      </c>
      <c r="J2392" s="10" t="n">
        <v>0.1942</v>
      </c>
      <c r="K2392" s="10" t="inlineStr">
        <is>
          <t>&gt; Perfumería &gt; Cuidado Capilar &gt; Shampoo &gt;</t>
        </is>
      </c>
      <c r="L2392" s="10" t="inlineStr">
        <is>
          <t>shampoo</t>
        </is>
      </c>
      <c r="M2392" s="10" t="inlineStr">
        <is>
          <t>estandar</t>
        </is>
      </c>
      <c r="N2392" s="10" t="inlineStr">
        <is>
          <t>general</t>
        </is>
      </c>
      <c r="O2392" s="10" t="inlineStr">
        <is>
          <t>https://www.disco.com.ar/shampoo-tresemme-14/p</t>
        </is>
      </c>
    </row>
    <row r="2393">
      <c r="A2393" t="inlineStr">
        <is>
          <t>Disco</t>
        </is>
      </c>
      <c r="B2393" t="n">
        <v>32028</v>
      </c>
      <c r="C2393" t="n">
        <v>29187</v>
      </c>
      <c r="D2393" t="inlineStr">
        <is>
          <t>Acondicionador Tresemme Rituales De Reparación 750 Ml</t>
        </is>
      </c>
      <c r="E2393" t="inlineStr">
        <is>
          <t>TRESEMMÉ</t>
        </is>
      </c>
      <c r="F2393" t="n">
        <v>538.59</v>
      </c>
      <c r="G2393" t="n">
        <v>44512</v>
      </c>
      <c r="H2393" t="b">
        <v>0</v>
      </c>
      <c r="I2393" t="n">
        <v>750</v>
      </c>
      <c r="J2393" t="n">
        <v>0.7181</v>
      </c>
      <c r="K2393" t="inlineStr">
        <is>
          <t>&gt; Perfumería &gt; Cuidado Capilar &gt; Acondicionador &gt;</t>
        </is>
      </c>
      <c r="L2393" t="inlineStr">
        <is>
          <t>acondicionador</t>
        </is>
      </c>
      <c r="M2393" t="inlineStr">
        <is>
          <t>estandar</t>
        </is>
      </c>
      <c r="N2393" t="inlineStr">
        <is>
          <t>general</t>
        </is>
      </c>
      <c r="O2393" t="inlineStr">
        <is>
          <t>https://www.disco.com.ar/acondicionador-tresemme-18/p</t>
        </is>
      </c>
    </row>
    <row r="2394">
      <c r="A2394" s="10" t="inlineStr">
        <is>
          <t>Disco</t>
        </is>
      </c>
      <c r="B2394" s="10" t="n">
        <v>32013</v>
      </c>
      <c r="C2394" s="10" t="n">
        <v>29172</v>
      </c>
      <c r="D2394" s="10" t="inlineStr">
        <is>
          <t>Acondicionador Tresemme Limpieza Profunda 400 Ml</t>
        </is>
      </c>
      <c r="E2394" s="10" t="inlineStr">
        <is>
          <t>TRESEMMÉ</t>
        </is>
      </c>
      <c r="F2394" s="10" t="n">
        <v>77.69</v>
      </c>
      <c r="G2394" s="10" t="n">
        <v>6421</v>
      </c>
      <c r="H2394" s="10" t="b">
        <v>0</v>
      </c>
      <c r="I2394" s="10" t="n">
        <v>400</v>
      </c>
      <c r="J2394" s="10" t="n">
        <v>0.1942</v>
      </c>
      <c r="K2394" s="10" t="inlineStr">
        <is>
          <t>&gt; Perfumería &gt; Cuidado Capilar &gt; Acondicionador &gt;</t>
        </is>
      </c>
      <c r="L2394" s="10" t="inlineStr">
        <is>
          <t>acondicionador</t>
        </is>
      </c>
      <c r="M2394" s="10" t="inlineStr">
        <is>
          <t>estandar</t>
        </is>
      </c>
      <c r="N2394" s="10" t="inlineStr">
        <is>
          <t>general</t>
        </is>
      </c>
      <c r="O2394" s="10" t="inlineStr">
        <is>
          <t>https://www.disco.com.ar/acondicionador-tresemme-17/p</t>
        </is>
      </c>
    </row>
    <row r="2395">
      <c r="A2395" t="inlineStr">
        <is>
          <t>Disco</t>
        </is>
      </c>
      <c r="B2395" t="n">
        <v>31933</v>
      </c>
      <c r="C2395" t="n">
        <v>29092</v>
      </c>
      <c r="D2395" t="inlineStr">
        <is>
          <t>Acondicionador Tresemme Rizos Perfectos 750 Ml</t>
        </is>
      </c>
      <c r="E2395" t="inlineStr">
        <is>
          <t>TRESEMMÉ</t>
        </is>
      </c>
      <c r="F2395" t="n">
        <v>131.35</v>
      </c>
      <c r="G2395" t="n">
        <v>10855</v>
      </c>
      <c r="H2395" t="b">
        <v>0</v>
      </c>
      <c r="I2395" t="n">
        <v>750</v>
      </c>
      <c r="J2395" t="n">
        <v>0.1751</v>
      </c>
      <c r="K2395" t="inlineStr">
        <is>
          <t>&gt; Perfumería &gt; Cuidado Capilar &gt; Acondicionador &gt;</t>
        </is>
      </c>
      <c r="L2395" t="inlineStr">
        <is>
          <t>acondicionador</t>
        </is>
      </c>
      <c r="M2395" t="inlineStr">
        <is>
          <t>estandar</t>
        </is>
      </c>
      <c r="N2395" t="inlineStr">
        <is>
          <t>rizado</t>
        </is>
      </c>
      <c r="O2395" t="inlineStr">
        <is>
          <t>https://www.disco.com.ar/acondicionador-tresemme-16/p</t>
        </is>
      </c>
    </row>
    <row r="2396">
      <c r="A2396" s="10" t="inlineStr">
        <is>
          <t>Disco</t>
        </is>
      </c>
      <c r="B2396" s="10" t="n">
        <v>31929</v>
      </c>
      <c r="C2396" s="10" t="n">
        <v>29088</v>
      </c>
      <c r="D2396" s="10" t="inlineStr">
        <is>
          <t>Acondicionador Tresemme Liso Y Sedoso 750 Ml</t>
        </is>
      </c>
      <c r="E2396" s="10" t="inlineStr">
        <is>
          <t>TRESEMMÉ</t>
        </is>
      </c>
      <c r="F2396" s="10" t="n">
        <v>538.59</v>
      </c>
      <c r="G2396" s="10" t="n">
        <v>44512</v>
      </c>
      <c r="H2396" s="10" t="b">
        <v>0</v>
      </c>
      <c r="I2396" s="10" t="n">
        <v>750</v>
      </c>
      <c r="J2396" s="10" t="n">
        <v>0.7181</v>
      </c>
      <c r="K2396" s="10" t="inlineStr">
        <is>
          <t>&gt; Perfumería &gt; Cuidado Capilar &gt; Acondicionador &gt;</t>
        </is>
      </c>
      <c r="L2396" s="10" t="inlineStr">
        <is>
          <t>acondicionador</t>
        </is>
      </c>
      <c r="M2396" s="10" t="inlineStr">
        <is>
          <t>estandar</t>
        </is>
      </c>
      <c r="N2396" s="10" t="inlineStr">
        <is>
          <t>general</t>
        </is>
      </c>
      <c r="O2396" s="10" t="inlineStr">
        <is>
          <t>https://www.disco.com.ar/acondicionador-tresemme-15/p</t>
        </is>
      </c>
    </row>
    <row r="2397">
      <c r="A2397" t="inlineStr">
        <is>
          <t>Disco</t>
        </is>
      </c>
      <c r="B2397" t="n">
        <v>31923</v>
      </c>
      <c r="C2397" t="n">
        <v>29082</v>
      </c>
      <c r="D2397" t="inlineStr">
        <is>
          <t>Shampoo Tresemme Puntas Perfectas 750 Ml</t>
        </is>
      </c>
      <c r="E2397" t="inlineStr">
        <is>
          <t>TRESEMMÉ</t>
        </is>
      </c>
      <c r="F2397" t="n">
        <v>447.75</v>
      </c>
      <c r="G2397" t="n">
        <v>37004</v>
      </c>
      <c r="H2397" t="b">
        <v>0</v>
      </c>
      <c r="I2397" t="n">
        <v>750</v>
      </c>
      <c r="J2397" t="n">
        <v>0.597</v>
      </c>
      <c r="K2397" t="inlineStr">
        <is>
          <t>&gt; Perfumería &gt; Cuidado Capilar &gt; Shampoo &gt;</t>
        </is>
      </c>
      <c r="L2397" t="inlineStr">
        <is>
          <t>shampoo</t>
        </is>
      </c>
      <c r="M2397" t="inlineStr">
        <is>
          <t>estandar</t>
        </is>
      </c>
      <c r="N2397" t="inlineStr">
        <is>
          <t>general</t>
        </is>
      </c>
      <c r="O2397" t="inlineStr">
        <is>
          <t>https://www.disco.com.ar/shampoo-tresemme-13/p</t>
        </is>
      </c>
    </row>
    <row r="2398">
      <c r="A2398" s="10" t="inlineStr">
        <is>
          <t>Disco</t>
        </is>
      </c>
      <c r="B2398" s="10" t="n">
        <v>31867</v>
      </c>
      <c r="C2398" s="10" t="n">
        <v>29026</v>
      </c>
      <c r="D2398" s="10" t="inlineStr">
        <is>
          <t>Shampoo Tresemme Rituales De Reparación 750 Ml</t>
        </is>
      </c>
      <c r="E2398" s="10" t="inlineStr">
        <is>
          <t>TRESEMMÉ</t>
        </is>
      </c>
      <c r="F2398" s="10" t="n">
        <v>447.75</v>
      </c>
      <c r="G2398" s="10" t="n">
        <v>37004</v>
      </c>
      <c r="H2398" s="10" t="b">
        <v>0</v>
      </c>
      <c r="I2398" s="10" t="n">
        <v>750</v>
      </c>
      <c r="J2398" s="10" t="n">
        <v>0.597</v>
      </c>
      <c r="K2398" s="10" t="inlineStr">
        <is>
          <t>&gt; Perfumería &gt; Cuidado Capilar &gt; Shampoo &gt;</t>
        </is>
      </c>
      <c r="L2398" s="10" t="inlineStr">
        <is>
          <t>shampoo</t>
        </is>
      </c>
      <c r="M2398" s="10" t="inlineStr">
        <is>
          <t>estandar</t>
        </is>
      </c>
      <c r="N2398" s="10" t="inlineStr">
        <is>
          <t>general</t>
        </is>
      </c>
      <c r="O2398" s="10" t="inlineStr">
        <is>
          <t>https://www.disco.com.ar/shampoo-tresemme-12/p</t>
        </is>
      </c>
    </row>
    <row r="2399">
      <c r="A2399" t="inlineStr">
        <is>
          <t>Disco</t>
        </is>
      </c>
      <c r="B2399" t="n">
        <v>27876</v>
      </c>
      <c r="C2399" t="n">
        <v>25035</v>
      </c>
      <c r="D2399" t="inlineStr">
        <is>
          <t>Acondicionador Tresemmé Despeinado Perfecto Acondicionador Tresemme Despeinado Perfecto 750 Ml</t>
        </is>
      </c>
      <c r="E2399" t="inlineStr">
        <is>
          <t>TRESEMMÉ</t>
        </is>
      </c>
      <c r="F2399" t="n">
        <v>538.59</v>
      </c>
      <c r="G2399" t="n">
        <v>44512</v>
      </c>
      <c r="H2399" t="b">
        <v>0</v>
      </c>
      <c r="I2399" t="n">
        <v>750</v>
      </c>
      <c r="J2399" t="n">
        <v>0.7181</v>
      </c>
      <c r="K2399" t="inlineStr">
        <is>
          <t>&gt; Perfumería &gt; Cuidado Capilar &gt; Acondicionador &gt;</t>
        </is>
      </c>
      <c r="L2399" t="inlineStr">
        <is>
          <t>acondicionador</t>
        </is>
      </c>
      <c r="M2399" t="inlineStr">
        <is>
          <t>estandar</t>
        </is>
      </c>
      <c r="N2399" t="inlineStr">
        <is>
          <t>general</t>
        </is>
      </c>
      <c r="O2399" t="inlineStr">
        <is>
          <t>https://www.disco.com.ar/acondicionador-tresemme-despeinado-perfecto-2/p</t>
        </is>
      </c>
    </row>
    <row r="2400">
      <c r="A2400" s="10" t="inlineStr">
        <is>
          <t>Disco</t>
        </is>
      </c>
      <c r="B2400" s="10" t="n">
        <v>19529</v>
      </c>
      <c r="C2400" s="10" t="n">
        <v>16684</v>
      </c>
      <c r="D2400" s="10" t="inlineStr">
        <is>
          <t>Acondicionador Tresemme Despeinado Perfecto 400 Ml</t>
        </is>
      </c>
      <c r="E2400" s="10" t="inlineStr">
        <is>
          <t>TRESEMMÉ</t>
        </is>
      </c>
      <c r="F2400" s="10" t="n">
        <v>283.29</v>
      </c>
      <c r="G2400" s="10" t="n">
        <v>23412</v>
      </c>
      <c r="H2400" s="10" t="b">
        <v>0</v>
      </c>
      <c r="I2400" s="10" t="n">
        <v>400</v>
      </c>
      <c r="J2400" s="10" t="n">
        <v>0.7082000000000001</v>
      </c>
      <c r="K2400" s="10" t="inlineStr">
        <is>
          <t>&gt; Perfumería &gt; Cuidado Capilar &gt; Acondicionador &gt;</t>
        </is>
      </c>
      <c r="L2400" s="10" t="inlineStr">
        <is>
          <t>acondicionador</t>
        </is>
      </c>
      <c r="M2400" s="10" t="inlineStr">
        <is>
          <t>estandar</t>
        </is>
      </c>
      <c r="N2400" s="10" t="inlineStr">
        <is>
          <t>general</t>
        </is>
      </c>
      <c r="O2400" s="10" t="inlineStr">
        <is>
          <t>https://www.disco.com.ar/acondicionador-tresemme-despeinado-perfecto-400-ml/p</t>
        </is>
      </c>
    </row>
    <row r="2401">
      <c r="A2401" t="inlineStr">
        <is>
          <t>Disco</t>
        </is>
      </c>
      <c r="B2401" t="n">
        <v>19527</v>
      </c>
      <c r="C2401" t="n">
        <v>16682</v>
      </c>
      <c r="D2401" t="inlineStr">
        <is>
          <t>Acondicionador Tresemme Regeneración Tresplex 400 Ml</t>
        </is>
      </c>
      <c r="E2401" t="inlineStr">
        <is>
          <t>TRESEMMÉ</t>
        </is>
      </c>
      <c r="F2401" t="n">
        <v>1050</v>
      </c>
      <c r="G2401" t="n">
        <v>86777</v>
      </c>
      <c r="H2401" t="b">
        <v>0</v>
      </c>
      <c r="I2401" t="n">
        <v>400</v>
      </c>
      <c r="J2401" t="n">
        <v>2.625</v>
      </c>
      <c r="K2401" t="inlineStr">
        <is>
          <t>&gt; Perfumería &gt; Cuidado Capilar &gt; Acondicionador &gt;</t>
        </is>
      </c>
      <c r="L2401" t="inlineStr">
        <is>
          <t>acondicionador</t>
        </is>
      </c>
      <c r="M2401" t="inlineStr">
        <is>
          <t>estandar</t>
        </is>
      </c>
      <c r="N2401" t="inlineStr">
        <is>
          <t>general</t>
        </is>
      </c>
      <c r="O2401" t="inlineStr">
        <is>
          <t>https://www.disco.com.ar/acondicionador-tresemme-regeneracion-tresplex-400-ml/p</t>
        </is>
      </c>
    </row>
    <row r="2402">
      <c r="A2402" s="10" t="inlineStr">
        <is>
          <t>Disco</t>
        </is>
      </c>
      <c r="B2402" s="10" t="n">
        <v>19526</v>
      </c>
      <c r="C2402" s="10" t="n">
        <v>16681</v>
      </c>
      <c r="D2402" s="10" t="inlineStr">
        <is>
          <t>Acondicionador Tresemmé-pvc-ml.-400</t>
        </is>
      </c>
      <c r="E2402" s="10" t="inlineStr">
        <is>
          <t>TRESEMMÉ</t>
        </is>
      </c>
      <c r="F2402" s="10" t="n">
        <v>283.29</v>
      </c>
      <c r="G2402" s="10" t="n">
        <v>23412</v>
      </c>
      <c r="H2402" s="10" t="b">
        <v>0</v>
      </c>
      <c r="I2402" s="10" t="inlineStr"/>
      <c r="J2402" s="10" t="inlineStr"/>
      <c r="K2402" s="10" t="inlineStr">
        <is>
          <t>&gt; Perfumería &gt; Cuidado Capilar &gt; Acondicionador &gt;</t>
        </is>
      </c>
      <c r="L2402" s="10" t="inlineStr">
        <is>
          <t>acondicionador</t>
        </is>
      </c>
      <c r="M2402" s="10" t="inlineStr">
        <is>
          <t>estandar</t>
        </is>
      </c>
      <c r="N2402" s="10" t="inlineStr">
        <is>
          <t>general</t>
        </is>
      </c>
      <c r="O2402" s="10" t="inlineStr">
        <is>
          <t>https://www.disco.com.ar/acondicionador-tresemme-pvc-ml-400/p</t>
        </is>
      </c>
    </row>
    <row r="2403">
      <c r="A2403" t="inlineStr">
        <is>
          <t>Disco</t>
        </is>
      </c>
      <c r="B2403" t="n">
        <v>19524</v>
      </c>
      <c r="C2403" t="n">
        <v>16678</v>
      </c>
      <c r="D2403" t="inlineStr">
        <is>
          <t>Shampoo Tresemme Regeneración Tresplex 400 Ml</t>
        </is>
      </c>
      <c r="E2403" t="inlineStr">
        <is>
          <t>TRESEMMÉ</t>
        </is>
      </c>
      <c r="F2403" t="n">
        <v>433.69</v>
      </c>
      <c r="G2403" t="n">
        <v>35842</v>
      </c>
      <c r="H2403" t="b">
        <v>0</v>
      </c>
      <c r="I2403" t="n">
        <v>400</v>
      </c>
      <c r="J2403" t="n">
        <v>1.0842</v>
      </c>
      <c r="K2403" t="inlineStr">
        <is>
          <t>&gt; Perfumería &gt; Cuidado Capilar &gt; Shampoo &gt;</t>
        </is>
      </c>
      <c r="L2403" t="inlineStr">
        <is>
          <t>shampoo</t>
        </is>
      </c>
      <c r="M2403" t="inlineStr">
        <is>
          <t>estandar</t>
        </is>
      </c>
      <c r="N2403" t="inlineStr">
        <is>
          <t>general</t>
        </is>
      </c>
      <c r="O2403" t="inlineStr">
        <is>
          <t>https://www.disco.com.ar/shampoo-tresemme-regeneracion-tresplex-400-ml/p</t>
        </is>
      </c>
    </row>
    <row r="2404">
      <c r="A2404" s="10" t="inlineStr">
        <is>
          <t>Disco</t>
        </is>
      </c>
      <c r="B2404" s="10" t="n">
        <v>19514</v>
      </c>
      <c r="C2404" s="10" t="n">
        <v>16660</v>
      </c>
      <c r="D2404" s="10" t="inlineStr">
        <is>
          <t>Shampoo Tresemmé Detox Capilar X 200ml</t>
        </is>
      </c>
      <c r="E2404" s="10" t="inlineStr">
        <is>
          <t>TRESEMMÉ</t>
        </is>
      </c>
      <c r="F2404" s="10" t="n">
        <v>123.69</v>
      </c>
      <c r="G2404" s="10" t="n">
        <v>10222</v>
      </c>
      <c r="H2404" s="10" t="b">
        <v>0</v>
      </c>
      <c r="I2404" s="10" t="n">
        <v>200</v>
      </c>
      <c r="J2404" s="10" t="n">
        <v>0.6183999999999999</v>
      </c>
      <c r="K2404" s="10" t="inlineStr">
        <is>
          <t>&gt; Perfumería &gt; Cuidado Capilar &gt; Shampoo &gt;</t>
        </is>
      </c>
      <c r="L2404" s="10" t="inlineStr">
        <is>
          <t>shampoo</t>
        </is>
      </c>
      <c r="M2404" s="10" t="inlineStr">
        <is>
          <t>estandar</t>
        </is>
      </c>
      <c r="N2404" s="10" t="inlineStr">
        <is>
          <t>general</t>
        </is>
      </c>
      <c r="O2404" s="10" t="inlineStr">
        <is>
          <t>https://www.disco.com.ar/shampoo-tresemme-detox-capilar-x-200ml/p</t>
        </is>
      </c>
    </row>
    <row r="2405">
      <c r="A2405" t="inlineStr">
        <is>
          <t>Disco</t>
        </is>
      </c>
      <c r="B2405" t="n">
        <v>19511</v>
      </c>
      <c r="C2405" t="n">
        <v>16657</v>
      </c>
      <c r="D2405" t="inlineStr">
        <is>
          <t>Shampoo Tresemme Keratin Smooth 200 Ml</t>
        </is>
      </c>
      <c r="E2405" t="inlineStr">
        <is>
          <t>TRESEMMÉ</t>
        </is>
      </c>
      <c r="F2405" t="n">
        <v>123.69</v>
      </c>
      <c r="G2405" t="n">
        <v>10222</v>
      </c>
      <c r="H2405" t="b">
        <v>0</v>
      </c>
      <c r="I2405" t="n">
        <v>200</v>
      </c>
      <c r="J2405" t="n">
        <v>0.6183999999999999</v>
      </c>
      <c r="K2405" t="inlineStr">
        <is>
          <t>&gt; Perfumería &gt; Cuidado Capilar &gt; Shampoo &gt;</t>
        </is>
      </c>
      <c r="L2405" t="inlineStr">
        <is>
          <t>shampoo</t>
        </is>
      </c>
      <c r="M2405" t="inlineStr">
        <is>
          <t>estandar</t>
        </is>
      </c>
      <c r="N2405" t="inlineStr">
        <is>
          <t>general</t>
        </is>
      </c>
      <c r="O2405" t="inlineStr">
        <is>
          <t>https://www.disco.com.ar/shampoo-tresemme-keratin-smooth-200-ml/p</t>
        </is>
      </c>
    </row>
    <row r="2406">
      <c r="A2406" s="10" t="inlineStr">
        <is>
          <t>Disco</t>
        </is>
      </c>
      <c r="B2406" s="10" t="n">
        <v>4079</v>
      </c>
      <c r="C2406" s="10" t="n">
        <v>16673</v>
      </c>
      <c r="D2406" s="10" t="inlineStr">
        <is>
          <t>Shampoo Tresemme Oil Radiante 400 Ml</t>
        </is>
      </c>
      <c r="E2406" s="10" t="inlineStr">
        <is>
          <t>TRESEMMÉ</t>
        </is>
      </c>
      <c r="F2406" s="10" t="n">
        <v>283.29</v>
      </c>
      <c r="G2406" s="10" t="n">
        <v>23412</v>
      </c>
      <c r="H2406" s="10" t="b">
        <v>0</v>
      </c>
      <c r="I2406" s="10" t="n">
        <v>400</v>
      </c>
      <c r="J2406" s="10" t="n">
        <v>0.7082000000000001</v>
      </c>
      <c r="K2406" s="10" t="inlineStr">
        <is>
          <t>&gt; Perfumería &gt; Cuidado Capilar &gt; Shampoo &gt;</t>
        </is>
      </c>
      <c r="L2406" s="10" t="inlineStr">
        <is>
          <t>shampoo</t>
        </is>
      </c>
      <c r="M2406" s="10" t="inlineStr">
        <is>
          <t>estandar</t>
        </is>
      </c>
      <c r="N2406" s="10" t="inlineStr">
        <is>
          <t>general</t>
        </is>
      </c>
      <c r="O2406" s="10" t="inlineStr">
        <is>
          <t>https://www.disco.com.ar/shampoo-tresemme-oil-radiante-400-ml/p</t>
        </is>
      </c>
    </row>
    <row r="2407">
      <c r="A2407" t="inlineStr">
        <is>
          <t>Disco</t>
        </is>
      </c>
      <c r="B2407" t="n">
        <v>4072</v>
      </c>
      <c r="C2407" t="n">
        <v>16679</v>
      </c>
      <c r="D2407" t="inlineStr">
        <is>
          <t>Acondicionador Tresemme Oil Radiante 400 Ml</t>
        </is>
      </c>
      <c r="E2407" t="inlineStr">
        <is>
          <t>TRESEMMÉ</t>
        </is>
      </c>
      <c r="F2407" t="n">
        <v>283.29</v>
      </c>
      <c r="G2407" t="n">
        <v>23412</v>
      </c>
      <c r="H2407" t="b">
        <v>0</v>
      </c>
      <c r="I2407" t="n">
        <v>400</v>
      </c>
      <c r="J2407" t="n">
        <v>0.7082000000000001</v>
      </c>
      <c r="K2407" t="inlineStr">
        <is>
          <t>&gt; Perfumería &gt; Cuidado Capilar &gt; Acondicionador &gt;</t>
        </is>
      </c>
      <c r="L2407" t="inlineStr">
        <is>
          <t>acondicionador</t>
        </is>
      </c>
      <c r="M2407" t="inlineStr">
        <is>
          <t>estandar</t>
        </is>
      </c>
      <c r="N2407" t="inlineStr">
        <is>
          <t>general</t>
        </is>
      </c>
      <c r="O2407" t="inlineStr">
        <is>
          <t>https://www.disco.com.ar/acondicionador-tresemme-oil-radiante-400-ml/p</t>
        </is>
      </c>
    </row>
    <row r="2408">
      <c r="A2408" s="10" t="inlineStr">
        <is>
          <t>Disco</t>
        </is>
      </c>
      <c r="B2408" s="10" t="n">
        <v>4063</v>
      </c>
      <c r="C2408" s="10" t="n">
        <v>16694</v>
      </c>
      <c r="D2408" s="10" t="inlineStr">
        <is>
          <t>Acondicionador Tresemme Oil Radiante 750 Ml</t>
        </is>
      </c>
      <c r="E2408" s="10" t="inlineStr">
        <is>
          <t>TRESEMMÉ</t>
        </is>
      </c>
      <c r="F2408" s="10" t="n">
        <v>538.59</v>
      </c>
      <c r="G2408" s="10" t="n">
        <v>44512</v>
      </c>
      <c r="H2408" s="10" t="b">
        <v>0</v>
      </c>
      <c r="I2408" s="10" t="n">
        <v>750</v>
      </c>
      <c r="J2408" s="10" t="n">
        <v>0.7181</v>
      </c>
      <c r="K2408" s="10" t="inlineStr">
        <is>
          <t>&gt; Perfumería &gt; Cuidado Capilar &gt; Acondicionador &gt;</t>
        </is>
      </c>
      <c r="L2408" s="10" t="inlineStr">
        <is>
          <t>acondicionador</t>
        </is>
      </c>
      <c r="M2408" s="10" t="inlineStr">
        <is>
          <t>estandar</t>
        </is>
      </c>
      <c r="N2408" s="10" t="inlineStr">
        <is>
          <t>general</t>
        </is>
      </c>
      <c r="O2408" s="10" t="inlineStr">
        <is>
          <t>https://www.disco.com.ar/acondicionador-tresemme-oil-radiante-750-ml/p</t>
        </is>
      </c>
    </row>
    <row r="2409">
      <c r="A2409" t="inlineStr">
        <is>
          <t>Disco</t>
        </is>
      </c>
      <c r="B2409" t="n">
        <v>4058</v>
      </c>
      <c r="C2409" t="n">
        <v>16689</v>
      </c>
      <c r="D2409" t="inlineStr">
        <is>
          <t>Shampoo Tresemme Oil Radiante 750 Ml</t>
        </is>
      </c>
      <c r="E2409" t="inlineStr">
        <is>
          <t>TRESEMMÉ</t>
        </is>
      </c>
      <c r="F2409" t="n">
        <v>447.75</v>
      </c>
      <c r="G2409" t="n">
        <v>37004</v>
      </c>
      <c r="H2409" t="b">
        <v>0</v>
      </c>
      <c r="I2409" t="n">
        <v>750</v>
      </c>
      <c r="J2409" t="n">
        <v>0.597</v>
      </c>
      <c r="K2409" t="inlineStr">
        <is>
          <t>&gt; Perfumería &gt; Cuidado Capilar &gt; Shampoo &gt;</t>
        </is>
      </c>
      <c r="L2409" t="inlineStr">
        <is>
          <t>shampoo</t>
        </is>
      </c>
      <c r="M2409" t="inlineStr">
        <is>
          <t>estandar</t>
        </is>
      </c>
      <c r="N2409" t="inlineStr">
        <is>
          <t>general</t>
        </is>
      </c>
      <c r="O2409" t="inlineStr">
        <is>
          <t>https://www.disco.com.ar/shampoo-tresemme-oil-radiante-750-ml/p</t>
        </is>
      </c>
    </row>
    <row r="2410">
      <c r="A2410" s="10" t="inlineStr">
        <is>
          <t>Disco</t>
        </is>
      </c>
      <c r="B2410" s="10" t="n">
        <v>3903</v>
      </c>
      <c r="C2410" s="10" t="n">
        <v>1929</v>
      </c>
      <c r="D2410" s="10" t="inlineStr">
        <is>
          <t>Tratamiento Capilar Tresemme Rituales De Reparación 400 Gr</t>
        </is>
      </c>
      <c r="E2410" s="10" t="inlineStr">
        <is>
          <t>TRESEMMÉ</t>
        </is>
      </c>
      <c r="F2410" s="10" t="n">
        <v>103.89</v>
      </c>
      <c r="G2410" s="10" t="n">
        <v>8586</v>
      </c>
      <c r="H2410" s="10" t="b">
        <v>0</v>
      </c>
      <c r="I2410" s="10" t="n">
        <v>400</v>
      </c>
      <c r="J2410" s="10" t="n">
        <v>0.2597</v>
      </c>
      <c r="K2410" s="10" t="inlineStr">
        <is>
          <t>&gt; Perfumería &gt; Cuidado Capilar &gt; Reparación y Tratamientos &gt;</t>
        </is>
      </c>
      <c r="L2410" s="10" t="inlineStr">
        <is>
          <t>tratamiento</t>
        </is>
      </c>
      <c r="M2410" s="10" t="inlineStr">
        <is>
          <t>estandar</t>
        </is>
      </c>
      <c r="N2410" s="10" t="inlineStr">
        <is>
          <t>general</t>
        </is>
      </c>
      <c r="O2410" s="10" t="inlineStr">
        <is>
          <t>https://www.disco.com.ar/tratamiento-capilar-tresemme-rituales-de-reparacion-400-gr/p</t>
        </is>
      </c>
    </row>
    <row r="2411">
      <c r="A2411" t="inlineStr">
        <is>
          <t>Disco</t>
        </is>
      </c>
      <c r="B2411" t="n">
        <v>3900</v>
      </c>
      <c r="C2411" t="n">
        <v>1928</v>
      </c>
      <c r="D2411" t="inlineStr">
        <is>
          <t>Tratamiento Capilar Tresemmé-puntas Perfectas-pet-gr.-400</t>
        </is>
      </c>
      <c r="E2411" t="inlineStr">
        <is>
          <t>TRESEMMÉ</t>
        </is>
      </c>
      <c r="F2411" t="n">
        <v>170.57</v>
      </c>
      <c r="G2411" t="n">
        <v>14097</v>
      </c>
      <c r="H2411" t="b">
        <v>0</v>
      </c>
      <c r="I2411" t="inlineStr"/>
      <c r="J2411" t="inlineStr"/>
      <c r="K2411" t="inlineStr">
        <is>
          <t>&gt; Perfumería &gt; Cuidado Capilar &gt; Reparación y Tratamientos &gt;</t>
        </is>
      </c>
      <c r="L2411" t="inlineStr">
        <is>
          <t>tratamiento</t>
        </is>
      </c>
      <c r="M2411" t="inlineStr">
        <is>
          <t>estandar</t>
        </is>
      </c>
      <c r="N2411" t="inlineStr">
        <is>
          <t>general</t>
        </is>
      </c>
      <c r="O2411" t="inlineStr">
        <is>
          <t>https://www.disco.com.ar/tratamiento-capilar-tresemme-2/p</t>
        </is>
      </c>
    </row>
    <row r="2412">
      <c r="A2412" s="10" t="inlineStr">
        <is>
          <t>Disco</t>
        </is>
      </c>
      <c r="B2412" s="10" t="n">
        <v>3899</v>
      </c>
      <c r="C2412" s="10" t="n">
        <v>248611</v>
      </c>
      <c r="D2412" s="10" t="inlineStr">
        <is>
          <t>Crema Para Peinar Tresemmé-rizos Perfectos-pet-ml.-200</t>
        </is>
      </c>
      <c r="E2412" s="10" t="inlineStr">
        <is>
          <t>TRESEMMÉ</t>
        </is>
      </c>
      <c r="F2412" s="10" t="n">
        <v>81.17</v>
      </c>
      <c r="G2412" s="10" t="n">
        <v>6708</v>
      </c>
      <c r="H2412" s="10" t="b">
        <v>0</v>
      </c>
      <c r="I2412" s="10" t="inlineStr"/>
      <c r="J2412" s="10" t="inlineStr"/>
      <c r="K2412" s="10" t="inlineStr">
        <is>
          <t>&gt; Perfumería &gt; Cuidado Capilar &gt; Reparación y Tratamientos &gt;</t>
        </is>
      </c>
      <c r="L2412" s="10" t="inlineStr">
        <is>
          <t>shampoo</t>
        </is>
      </c>
      <c r="M2412" s="10" t="inlineStr">
        <is>
          <t>estandar</t>
        </is>
      </c>
      <c r="N2412" s="10" t="inlineStr">
        <is>
          <t>rizado</t>
        </is>
      </c>
      <c r="O2412" s="10" t="inlineStr">
        <is>
          <t>https://www.disco.com.ar/crema-para-peinar-tresemme-3/p</t>
        </is>
      </c>
    </row>
    <row r="2413">
      <c r="A2413" t="inlineStr">
        <is>
          <t>Disco</t>
        </is>
      </c>
      <c r="B2413" t="n">
        <v>3085751</v>
      </c>
      <c r="C2413" t="n">
        <v>3084979</v>
      </c>
      <c r="D2413" t="inlineStr">
        <is>
          <t>Tratamieto Capilar Perfume Duradero X 90 Ml Herbal Essences</t>
        </is>
      </c>
      <c r="E2413" t="inlineStr">
        <is>
          <t>HERBAL ESSENCES</t>
        </is>
      </c>
      <c r="F2413" t="n">
        <v>30200</v>
      </c>
      <c r="G2413" t="n">
        <v>2495868</v>
      </c>
      <c r="H2413" t="b">
        <v>1</v>
      </c>
      <c r="I2413" t="n">
        <v>90</v>
      </c>
      <c r="J2413" t="n">
        <v>335.5556</v>
      </c>
      <c r="K2413" t="inlineStr">
        <is>
          <t>&gt; Perfumería &gt; Cuidado Capilar &gt; Reparación y Tratamientos &gt;</t>
        </is>
      </c>
      <c r="L2413" t="inlineStr">
        <is>
          <t>shampoo</t>
        </is>
      </c>
      <c r="M2413" t="inlineStr">
        <is>
          <t>estandar</t>
        </is>
      </c>
      <c r="N2413" t="inlineStr">
        <is>
          <t>general</t>
        </is>
      </c>
      <c r="O2413" t="inlineStr">
        <is>
          <t>https://www.disco.com.ar/tratamieto-capilar-perfume-duradero-x-90-ml-herbal-essences/p</t>
        </is>
      </c>
    </row>
    <row r="2414">
      <c r="A2414" s="10" t="inlineStr">
        <is>
          <t>Disco</t>
        </is>
      </c>
      <c r="B2414" s="10" t="n">
        <v>3078794</v>
      </c>
      <c r="C2414" s="10" t="n">
        <v>3078120</v>
      </c>
      <c r="D2414" s="10" t="inlineStr">
        <is>
          <t>Crema Para Peinar Herbal Essences Rosa Mosquet</t>
        </is>
      </c>
      <c r="E2414" s="10" t="inlineStr">
        <is>
          <t>HERBAL ESSENCES</t>
        </is>
      </c>
      <c r="F2414" s="10" t="n">
        <v>12100</v>
      </c>
      <c r="G2414" s="10" t="n">
        <v>1000000</v>
      </c>
      <c r="H2414" s="10" t="b">
        <v>1</v>
      </c>
      <c r="I2414" s="10" t="inlineStr"/>
      <c r="J2414" s="10" t="inlineStr"/>
      <c r="K2414" s="10" t="inlineStr">
        <is>
          <t>&gt; Perfumería &gt; Cuidado Capilar &gt; Reparación y Tratamientos &gt;</t>
        </is>
      </c>
      <c r="L2414" s="10" t="inlineStr">
        <is>
          <t>shampoo</t>
        </is>
      </c>
      <c r="M2414" s="10" t="inlineStr">
        <is>
          <t>estandar</t>
        </is>
      </c>
      <c r="N2414" s="10" t="inlineStr">
        <is>
          <t>general</t>
        </is>
      </c>
      <c r="O2414" s="10" t="inlineStr">
        <is>
          <t>https://www.disco.com.ar/crema-para-peinar-herbal-essences-rosa-mosquet/p</t>
        </is>
      </c>
    </row>
    <row r="2415">
      <c r="A2415" t="inlineStr">
        <is>
          <t>Disco</t>
        </is>
      </c>
      <c r="B2415" t="n">
        <v>3085749</v>
      </c>
      <c r="C2415" t="n">
        <v>3084977</v>
      </c>
      <c r="D2415" t="inlineStr">
        <is>
          <t>Crema Para Peinar X 150 Ml Herbal Essences</t>
        </is>
      </c>
      <c r="E2415" t="inlineStr">
        <is>
          <t>HERBAL ESSENCES</t>
        </is>
      </c>
      <c r="F2415" t="n">
        <v>8200</v>
      </c>
      <c r="G2415" t="n">
        <v>677686</v>
      </c>
      <c r="H2415" t="b">
        <v>0</v>
      </c>
      <c r="I2415" t="n">
        <v>150</v>
      </c>
      <c r="J2415" t="n">
        <v>54.6667</v>
      </c>
      <c r="K2415" t="inlineStr">
        <is>
          <t>&gt; Perfumería &gt; Cuidado Capilar &gt; Reparación y Tratamientos &gt;</t>
        </is>
      </c>
      <c r="L2415" t="inlineStr">
        <is>
          <t>shampoo</t>
        </is>
      </c>
      <c r="M2415" t="inlineStr">
        <is>
          <t>estandar</t>
        </is>
      </c>
      <c r="N2415" t="inlineStr">
        <is>
          <t>general</t>
        </is>
      </c>
      <c r="O2415" t="inlineStr">
        <is>
          <t>https://www.disco.com.ar/crema-para-peinar-x-150-ml-herbal-essences/p</t>
        </is>
      </c>
    </row>
    <row r="2416">
      <c r="A2416" s="10" t="inlineStr">
        <is>
          <t>Disco</t>
        </is>
      </c>
      <c r="B2416" s="10" t="n">
        <v>3079975</v>
      </c>
      <c r="C2416" s="10" t="n">
        <v>3079299</v>
      </c>
      <c r="D2416" s="10" t="inlineStr">
        <is>
          <t>Shampoo Rosa Mosqueta 400 Ml Herbal Essences</t>
        </is>
      </c>
      <c r="E2416" s="10" t="inlineStr">
        <is>
          <t>HERBAL ESSENCES</t>
        </is>
      </c>
      <c r="F2416" s="10" t="n">
        <v>15700</v>
      </c>
      <c r="G2416" s="10" t="n">
        <v>1297521</v>
      </c>
      <c r="H2416" s="10" t="b">
        <v>0</v>
      </c>
      <c r="I2416" s="10" t="n">
        <v>400</v>
      </c>
      <c r="J2416" s="10" t="n">
        <v>39.25</v>
      </c>
      <c r="K2416" s="10" t="inlineStr">
        <is>
          <t>&gt; Perfumería &gt; Cuidado Capilar &gt; Shampoo &gt;</t>
        </is>
      </c>
      <c r="L2416" s="10" t="inlineStr">
        <is>
          <t>shampoo</t>
        </is>
      </c>
      <c r="M2416" s="10" t="inlineStr">
        <is>
          <t>estandar</t>
        </is>
      </c>
      <c r="N2416" s="10" t="inlineStr">
        <is>
          <t>general</t>
        </is>
      </c>
      <c r="O2416" s="10" t="inlineStr">
        <is>
          <t>https://www.disco.com.ar/shampoo-rosa-mosqueta-400ml-herbal-essences/p</t>
        </is>
      </c>
    </row>
    <row r="2417">
      <c r="A2417" t="inlineStr">
        <is>
          <t>Disco</t>
        </is>
      </c>
      <c r="B2417" t="n">
        <v>3079040</v>
      </c>
      <c r="C2417" t="n">
        <v>3078364</v>
      </c>
      <c r="D2417" t="inlineStr">
        <is>
          <t>Acondicionador Suavidad Rosa Mosqueta 400 Ml Herbal Essences</t>
        </is>
      </c>
      <c r="E2417" t="inlineStr">
        <is>
          <t>HERBAL ESSENCES</t>
        </is>
      </c>
      <c r="F2417" t="n">
        <v>15700</v>
      </c>
      <c r="G2417" t="n">
        <v>1297521</v>
      </c>
      <c r="H2417" t="b">
        <v>0</v>
      </c>
      <c r="I2417" t="n">
        <v>400</v>
      </c>
      <c r="J2417" t="n">
        <v>39.25</v>
      </c>
      <c r="K2417" t="inlineStr">
        <is>
          <t>&gt; Perfumería &gt; Cuidado Capilar &gt; Reparación y Tratamientos &gt;</t>
        </is>
      </c>
      <c r="L2417" t="inlineStr">
        <is>
          <t>acondicionador</t>
        </is>
      </c>
      <c r="M2417" t="inlineStr">
        <is>
          <t>estandar</t>
        </is>
      </c>
      <c r="N2417" t="inlineStr">
        <is>
          <t>general</t>
        </is>
      </c>
      <c r="O2417" t="inlineStr">
        <is>
          <t>https://www.disco.com.ar/acondicionador-herbal-essences-rosa-mosqueta-400ml/p</t>
        </is>
      </c>
    </row>
    <row r="2418">
      <c r="A2418" s="10" t="inlineStr">
        <is>
          <t>Disco</t>
        </is>
      </c>
      <c r="B2418" s="10" t="n">
        <v>3079028</v>
      </c>
      <c r="C2418" s="10" t="n">
        <v>3078352</v>
      </c>
      <c r="D2418" s="10" t="inlineStr">
        <is>
          <t>Tratamiento Herbal Essences Grapefruit 300ml</t>
        </is>
      </c>
      <c r="E2418" s="10" t="inlineStr">
        <is>
          <t>HERBAL ESSENCES</t>
        </is>
      </c>
      <c r="F2418" s="10" t="n">
        <v>14850</v>
      </c>
      <c r="G2418" s="10" t="n">
        <v>1227273</v>
      </c>
      <c r="H2418" s="10" t="b">
        <v>0</v>
      </c>
      <c r="I2418" s="10" t="n">
        <v>300</v>
      </c>
      <c r="J2418" s="10" t="n">
        <v>49.5</v>
      </c>
      <c r="K2418" s="10" t="inlineStr">
        <is>
          <t>&gt; Perfumería &gt; Cuidado Capilar &gt; Reparación y Tratamientos &gt;</t>
        </is>
      </c>
      <c r="L2418" s="10" t="inlineStr">
        <is>
          <t>tratamiento</t>
        </is>
      </c>
      <c r="M2418" s="10" t="inlineStr">
        <is>
          <t>estandar</t>
        </is>
      </c>
      <c r="N2418" s="10" t="inlineStr">
        <is>
          <t>general</t>
        </is>
      </c>
      <c r="O2418" s="10" t="inlineStr">
        <is>
          <t>https://www.disco.com.ar/tratamiento-herbal-essences-grapefruit-300ml/p</t>
        </is>
      </c>
    </row>
    <row r="2419">
      <c r="A2419" t="inlineStr">
        <is>
          <t>Disco</t>
        </is>
      </c>
      <c r="B2419" t="n">
        <v>3079027</v>
      </c>
      <c r="C2419" t="n">
        <v>3078351</v>
      </c>
      <c r="D2419" t="inlineStr">
        <is>
          <t>Mascarilla Capilar Nutrición Rosa Mosqueta 300 Ml Herbal Essences</t>
        </is>
      </c>
      <c r="E2419" t="inlineStr">
        <is>
          <t>HERBAL ESSENCES</t>
        </is>
      </c>
      <c r="F2419" t="n">
        <v>14850</v>
      </c>
      <c r="G2419" t="n">
        <v>1227273</v>
      </c>
      <c r="H2419" t="b">
        <v>0</v>
      </c>
      <c r="I2419" t="n">
        <v>300</v>
      </c>
      <c r="J2419" t="n">
        <v>49.5</v>
      </c>
      <c r="K2419" t="inlineStr">
        <is>
          <t>&gt; Perfumería &gt; Cuidado Capilar &gt; Reparación y Tratamientos &gt;</t>
        </is>
      </c>
      <c r="L2419" t="inlineStr">
        <is>
          <t>tratamiento</t>
        </is>
      </c>
      <c r="M2419" t="inlineStr">
        <is>
          <t>estandar</t>
        </is>
      </c>
      <c r="N2419" t="inlineStr">
        <is>
          <t>general</t>
        </is>
      </c>
      <c r="O2419" t="inlineStr">
        <is>
          <t>https://www.disco.com.ar/tratamiento-herbal-essences-rosa-mosqueta-300ml/p</t>
        </is>
      </c>
    </row>
    <row r="2420">
      <c r="A2420" s="10" t="inlineStr">
        <is>
          <t>Disco</t>
        </is>
      </c>
      <c r="B2420" s="10" t="n">
        <v>3079025</v>
      </c>
      <c r="C2420" s="10" t="n">
        <v>3078349</v>
      </c>
      <c r="D2420" s="10" t="inlineStr">
        <is>
          <t>Acondicionador Brillo Manzanilla y Pasiflora 400 Ml Herbal Essences</t>
        </is>
      </c>
      <c r="E2420" s="10" t="inlineStr">
        <is>
          <t>HERBAL ESSENCES</t>
        </is>
      </c>
      <c r="F2420" s="10" t="n">
        <v>15700</v>
      </c>
      <c r="G2420" s="10" t="n">
        <v>1297521</v>
      </c>
      <c r="H2420" s="10" t="b">
        <v>0</v>
      </c>
      <c r="I2420" s="10" t="n">
        <v>400</v>
      </c>
      <c r="J2420" s="10" t="n">
        <v>39.25</v>
      </c>
      <c r="K2420" s="10" t="inlineStr">
        <is>
          <t>&gt; Perfumería &gt; Cuidado Capilar &gt; Acondicionador &gt;</t>
        </is>
      </c>
      <c r="L2420" s="10" t="inlineStr">
        <is>
          <t>acondicionador</t>
        </is>
      </c>
      <c r="M2420" s="10" t="inlineStr">
        <is>
          <t>estandar</t>
        </is>
      </c>
      <c r="N2420" s="10" t="inlineStr">
        <is>
          <t>general</t>
        </is>
      </c>
      <c r="O2420" s="10" t="inlineStr">
        <is>
          <t>https://www.disco.com.ar/acondicionador-herbal-essences-manzanilla-400ml/p</t>
        </is>
      </c>
    </row>
    <row r="2421">
      <c r="A2421" t="inlineStr">
        <is>
          <t>Disco</t>
        </is>
      </c>
      <c r="B2421" t="n">
        <v>3079022</v>
      </c>
      <c r="C2421" t="n">
        <v>3078346</v>
      </c>
      <c r="D2421" t="inlineStr">
        <is>
          <t>Shampoo Nutrición Suavidad Rosa Mosqueta 240 Ml Herbal Essences</t>
        </is>
      </c>
      <c r="E2421" t="inlineStr">
        <is>
          <t>HERBAL ESSENCES</t>
        </is>
      </c>
      <c r="F2421" t="n">
        <v>11850</v>
      </c>
      <c r="G2421" t="n">
        <v>979339</v>
      </c>
      <c r="H2421" t="b">
        <v>0</v>
      </c>
      <c r="I2421" t="n">
        <v>240</v>
      </c>
      <c r="J2421" t="n">
        <v>49.375</v>
      </c>
      <c r="K2421" t="inlineStr">
        <is>
          <t>&gt; Perfumería &gt; Cuidado Capilar &gt; Shampoo &gt;</t>
        </is>
      </c>
      <c r="L2421" t="inlineStr">
        <is>
          <t>shampoo</t>
        </is>
      </c>
      <c r="M2421" t="inlineStr">
        <is>
          <t>estandar</t>
        </is>
      </c>
      <c r="N2421" t="inlineStr">
        <is>
          <t>general</t>
        </is>
      </c>
      <c r="O2421" t="inlineStr">
        <is>
          <t>https://www.disco.com.ar/shampoo-herbal-essences-rosa-mosqueta-240ml/p</t>
        </is>
      </c>
    </row>
    <row r="2422">
      <c r="A2422" s="10" t="inlineStr">
        <is>
          <t>Disco</t>
        </is>
      </c>
      <c r="B2422" s="10" t="n">
        <v>421912</v>
      </c>
      <c r="C2422" s="10" t="n">
        <v>330568</v>
      </c>
      <c r="D2422" s="10" t="inlineStr">
        <is>
          <t>Acondicionador Protege y Repara Aloe y Mango 250 Ml Herbal Essences</t>
        </is>
      </c>
      <c r="E2422" s="10" t="inlineStr">
        <is>
          <t>HERBAL ESSENCES</t>
        </is>
      </c>
      <c r="F2422" s="10" t="n">
        <v>18650</v>
      </c>
      <c r="G2422" s="10" t="n">
        <v>1541322</v>
      </c>
      <c r="H2422" s="10" t="b">
        <v>0</v>
      </c>
      <c r="I2422" s="10" t="n">
        <v>250</v>
      </c>
      <c r="J2422" s="10" t="n">
        <v>74.59999999999999</v>
      </c>
      <c r="K2422" s="10" t="inlineStr">
        <is>
          <t>&gt; Perfumería &gt; Cuidado Capilar &gt; Acondicionador &gt;</t>
        </is>
      </c>
      <c r="L2422" s="10" t="inlineStr">
        <is>
          <t>acondicionador</t>
        </is>
      </c>
      <c r="M2422" s="10" t="inlineStr">
        <is>
          <t>estandar</t>
        </is>
      </c>
      <c r="N2422" s="10" t="inlineStr">
        <is>
          <t>general</t>
        </is>
      </c>
      <c r="O2422" s="10" t="inlineStr">
        <is>
          <t>https://www.disco.com.ar/acondicionador-herbal-essences-bio-6x-aloe-y-mango-250-ml-2/p</t>
        </is>
      </c>
    </row>
    <row r="2423">
      <c r="A2423" t="inlineStr">
        <is>
          <t>Disco</t>
        </is>
      </c>
      <c r="B2423" t="n">
        <v>421909</v>
      </c>
      <c r="C2423" t="n">
        <v>330577</v>
      </c>
      <c r="D2423" t="inlineStr">
        <is>
          <t>Acondicionador Herbal Essences 6x Aloe &amp; Algas 250 Ml</t>
        </is>
      </c>
      <c r="E2423" t="inlineStr">
        <is>
          <t>HERBAL ESSENCES</t>
        </is>
      </c>
      <c r="F2423" t="n">
        <v>924.87</v>
      </c>
      <c r="G2423" t="n">
        <v>76436</v>
      </c>
      <c r="H2423" t="b">
        <v>0</v>
      </c>
      <c r="I2423" t="n">
        <v>250</v>
      </c>
      <c r="J2423" t="n">
        <v>3.6995</v>
      </c>
      <c r="K2423" t="inlineStr">
        <is>
          <t>&gt; Perfumería &gt; Cuidado Capilar &gt; Acondicionador &gt;</t>
        </is>
      </c>
      <c r="L2423" t="inlineStr">
        <is>
          <t>acondicionador</t>
        </is>
      </c>
      <c r="M2423" t="inlineStr">
        <is>
          <t>estandar</t>
        </is>
      </c>
      <c r="N2423" t="inlineStr">
        <is>
          <t>general</t>
        </is>
      </c>
      <c r="O2423" t="inlineStr">
        <is>
          <t>https://www.disco.com.ar/acondicionador-herbal-essences-6x-aloe-algas-250-ml-2/p</t>
        </is>
      </c>
    </row>
    <row r="2424">
      <c r="A2424" s="10" t="inlineStr">
        <is>
          <t>Disco</t>
        </is>
      </c>
      <c r="B2424" s="10" t="n">
        <v>337405</v>
      </c>
      <c r="C2424" s="10" t="n">
        <v>336508</v>
      </c>
      <c r="D2424" s="10" t="inlineStr">
        <is>
          <t>Tratamiento Herbal Essences Argan 400ml</t>
        </is>
      </c>
      <c r="E2424" s="10" t="inlineStr">
        <is>
          <t>HERBAL ESSENCES</t>
        </is>
      </c>
      <c r="F2424" s="10" t="n">
        <v>23150</v>
      </c>
      <c r="G2424" s="10" t="n">
        <v>1913223</v>
      </c>
      <c r="H2424" s="10" t="b">
        <v>0</v>
      </c>
      <c r="I2424" s="10" t="n">
        <v>400</v>
      </c>
      <c r="J2424" s="10" t="n">
        <v>57.875</v>
      </c>
      <c r="K2424" s="10" t="inlineStr">
        <is>
          <t>&gt; Perfumería &gt; Cuidado Capilar &gt; Reparación y Tratamientos &gt;</t>
        </is>
      </c>
      <c r="L2424" s="10" t="inlineStr">
        <is>
          <t>tratamiento</t>
        </is>
      </c>
      <c r="M2424" s="10" t="inlineStr">
        <is>
          <t>estandar</t>
        </is>
      </c>
      <c r="N2424" s="10" t="inlineStr">
        <is>
          <t>general</t>
        </is>
      </c>
      <c r="O2424" s="10" t="inlineStr">
        <is>
          <t>https://www.disco.com.ar/tratamiento-herbal-essences-argan-400ml/p</t>
        </is>
      </c>
    </row>
    <row r="2425">
      <c r="A2425" t="inlineStr">
        <is>
          <t>Disco</t>
        </is>
      </c>
      <c r="B2425" t="n">
        <v>331703</v>
      </c>
      <c r="C2425" t="n">
        <v>330861</v>
      </c>
      <c r="D2425" t="inlineStr">
        <is>
          <t>Shampoo Herbal Essences Bío:renew 6x Aloe&amp;am 400ml</t>
        </is>
      </c>
      <c r="E2425" t="inlineStr">
        <is>
          <t>HERBAL ESSENCES</t>
        </is>
      </c>
      <c r="F2425" t="n">
        <v>924.87</v>
      </c>
      <c r="G2425" t="n">
        <v>76436</v>
      </c>
      <c r="H2425" t="b">
        <v>0</v>
      </c>
      <c r="I2425" t="n">
        <v>400</v>
      </c>
      <c r="J2425" t="n">
        <v>2.3122</v>
      </c>
      <c r="K2425" t="inlineStr">
        <is>
          <t>&gt; Perfumería &gt; Cuidado Capilar &gt; Shampoo &gt;</t>
        </is>
      </c>
      <c r="L2425" t="inlineStr">
        <is>
          <t>shampoo</t>
        </is>
      </c>
      <c r="M2425" t="inlineStr">
        <is>
          <t>estandar</t>
        </is>
      </c>
      <c r="N2425" t="inlineStr">
        <is>
          <t>general</t>
        </is>
      </c>
      <c r="O2425" t="inlineStr">
        <is>
          <t>https://www.disco.com.ar/shampoo-herbal-essences-bio-renew-6x-aloe-am-400ml/p</t>
        </is>
      </c>
    </row>
    <row r="2426">
      <c r="A2426" s="10" t="inlineStr">
        <is>
          <t>Disco</t>
        </is>
      </c>
      <c r="B2426" s="10" t="n">
        <v>331701</v>
      </c>
      <c r="C2426" s="10" t="n">
        <v>330859</v>
      </c>
      <c r="D2426" s="10" t="inlineStr">
        <is>
          <t>Shampoo Bío Renew 6x Aloe Y Mango 400 Ml Herbal Essences</t>
        </is>
      </c>
      <c r="E2426" s="10" t="inlineStr">
        <is>
          <t>HERBAL ESSENCES</t>
        </is>
      </c>
      <c r="F2426" s="10" t="n">
        <v>20150</v>
      </c>
      <c r="G2426" s="10" t="n">
        <v>1665289</v>
      </c>
      <c r="H2426" s="10" t="b">
        <v>0</v>
      </c>
      <c r="I2426" s="10" t="n">
        <v>400</v>
      </c>
      <c r="J2426" s="10" t="n">
        <v>50.375</v>
      </c>
      <c r="K2426" s="10" t="inlineStr">
        <is>
          <t>&gt; Perfumería &gt; Cuidado Capilar &gt; Shampoo &gt;</t>
        </is>
      </c>
      <c r="L2426" s="10" t="inlineStr">
        <is>
          <t>shampoo</t>
        </is>
      </c>
      <c r="M2426" s="10" t="inlineStr">
        <is>
          <t>estandar</t>
        </is>
      </c>
      <c r="N2426" s="10" t="inlineStr">
        <is>
          <t>general</t>
        </is>
      </c>
      <c r="O2426" s="10" t="inlineStr">
        <is>
          <t>https://www.disco.com.ar/shampoo-bio-renew-6x-aloe-y-mango-400-ml-herbal-essences/p</t>
        </is>
      </c>
    </row>
    <row r="2427">
      <c r="A2427" t="inlineStr">
        <is>
          <t>Disco</t>
        </is>
      </c>
      <c r="B2427" t="n">
        <v>317834</v>
      </c>
      <c r="C2427" t="n">
        <v>317079</v>
      </c>
      <c r="D2427" t="inlineStr">
        <is>
          <t>Crema Para Peinar Tio Nacho Verano</t>
        </is>
      </c>
      <c r="E2427" t="inlineStr">
        <is>
          <t>HERBAL ESSENCES</t>
        </is>
      </c>
      <c r="F2427" t="n">
        <v>534.76</v>
      </c>
      <c r="G2427" t="n">
        <v>44195</v>
      </c>
      <c r="H2427" t="b">
        <v>0</v>
      </c>
      <c r="I2427" t="inlineStr"/>
      <c r="J2427" t="inlineStr"/>
      <c r="K2427" t="inlineStr">
        <is>
          <t>&gt; Perfumería &gt; Cuidado Capilar &gt; Reparación y Tratamientos &gt;</t>
        </is>
      </c>
      <c r="L2427" t="inlineStr">
        <is>
          <t>shampoo</t>
        </is>
      </c>
      <c r="M2427" t="inlineStr">
        <is>
          <t>estandar</t>
        </is>
      </c>
      <c r="N2427" t="inlineStr">
        <is>
          <t>general</t>
        </is>
      </c>
      <c r="O2427" t="inlineStr">
        <is>
          <t>https://www.disco.com.ar/crema-para-peinar-tio-nacho-verano/p</t>
        </is>
      </c>
    </row>
    <row r="2428">
      <c r="A2428" s="10" t="inlineStr">
        <is>
          <t>Disco</t>
        </is>
      </c>
      <c r="B2428" s="10" t="n">
        <v>312182</v>
      </c>
      <c r="C2428" s="10" t="n">
        <v>311420</v>
      </c>
      <c r="D2428" s="10" t="inlineStr">
        <is>
          <t>Mascarilla Capilar Hidratación Coconut Milk 300 Ml Herbal Essences</t>
        </is>
      </c>
      <c r="E2428" s="10" t="inlineStr">
        <is>
          <t>HERBAL ESSENCES</t>
        </is>
      </c>
      <c r="F2428" s="10" t="n">
        <v>21700</v>
      </c>
      <c r="G2428" s="10" t="n">
        <v>1793388</v>
      </c>
      <c r="H2428" s="10" t="b">
        <v>0</v>
      </c>
      <c r="I2428" s="10" t="n">
        <v>300</v>
      </c>
      <c r="J2428" s="10" t="n">
        <v>72.33329999999999</v>
      </c>
      <c r="K2428" s="10" t="inlineStr">
        <is>
          <t>&gt; Perfumería &gt; Cuidado Capilar &gt; Reparación y Tratamientos &gt;</t>
        </is>
      </c>
      <c r="L2428" s="10" t="inlineStr">
        <is>
          <t>tratamiento</t>
        </is>
      </c>
      <c r="M2428" s="10" t="inlineStr">
        <is>
          <t>estandar</t>
        </is>
      </c>
      <c r="N2428" s="10" t="inlineStr">
        <is>
          <t>seco_danado</t>
        </is>
      </c>
      <c r="O2428" s="10" t="inlineStr">
        <is>
          <t>https://www.disco.com.ar/mascarilla-intensiva-herbal-essences-bio-renew-coconut-milk-300-ml/p</t>
        </is>
      </c>
    </row>
    <row r="2429">
      <c r="A2429" t="inlineStr">
        <is>
          <t>Disco</t>
        </is>
      </c>
      <c r="B2429" t="n">
        <v>312179</v>
      </c>
      <c r="C2429" t="n">
        <v>311417</v>
      </c>
      <c r="D2429" t="inlineStr">
        <is>
          <t>Mascarilla Intensiva Herbal Essences Argan Oil Morocco 300 Ml</t>
        </is>
      </c>
      <c r="E2429" t="inlineStr">
        <is>
          <t>HERBAL ESSENCES</t>
        </is>
      </c>
      <c r="F2429" t="n">
        <v>14850</v>
      </c>
      <c r="G2429" t="n">
        <v>1227273</v>
      </c>
      <c r="H2429" t="b">
        <v>0</v>
      </c>
      <c r="I2429" t="n">
        <v>300</v>
      </c>
      <c r="J2429" t="n">
        <v>49.5</v>
      </c>
      <c r="K2429" t="inlineStr">
        <is>
          <t>&gt; Perfumería &gt; Cuidado Capilar &gt; Reparación y Tratamientos &gt;</t>
        </is>
      </c>
      <c r="L2429" t="inlineStr">
        <is>
          <t>tratamiento</t>
        </is>
      </c>
      <c r="M2429" t="inlineStr">
        <is>
          <t>estandar</t>
        </is>
      </c>
      <c r="N2429" t="inlineStr">
        <is>
          <t>general</t>
        </is>
      </c>
      <c r="O2429" t="inlineStr">
        <is>
          <t>https://www.disco.com.ar/mascarilla-intensiva-herbal-essences-argan-oil-morocco-300-ml/p</t>
        </is>
      </c>
    </row>
    <row r="2430">
      <c r="A2430" s="10" t="inlineStr">
        <is>
          <t>Disco</t>
        </is>
      </c>
      <c r="B2430" s="10" t="n">
        <v>312178</v>
      </c>
      <c r="C2430" s="10" t="n">
        <v>311416</v>
      </c>
      <c r="D2430" s="10" t="inlineStr">
        <is>
          <t>Mascarilla Intensiva Herbal Essences Bío:renew Passion Flower &amp; Rice Milk 300 Ml</t>
        </is>
      </c>
      <c r="E2430" s="10" t="inlineStr">
        <is>
          <t>HERBAL ESSENCES</t>
        </is>
      </c>
      <c r="F2430" s="10" t="n">
        <v>1077.99</v>
      </c>
      <c r="G2430" s="10" t="n">
        <v>89090</v>
      </c>
      <c r="H2430" s="10" t="b">
        <v>0</v>
      </c>
      <c r="I2430" s="10" t="n">
        <v>300</v>
      </c>
      <c r="J2430" s="10" t="n">
        <v>3.5933</v>
      </c>
      <c r="K2430" s="10" t="inlineStr">
        <is>
          <t>&gt; Perfumería &gt; Cuidado Capilar &gt; Reparación y Tratamientos &gt;</t>
        </is>
      </c>
      <c r="L2430" s="10" t="inlineStr">
        <is>
          <t>tratamiento</t>
        </is>
      </c>
      <c r="M2430" s="10" t="inlineStr">
        <is>
          <t>estandar</t>
        </is>
      </c>
      <c r="N2430" s="10" t="inlineStr">
        <is>
          <t>general</t>
        </is>
      </c>
      <c r="O2430" s="10" t="inlineStr">
        <is>
          <t>https://www.disco.com.ar/mascarilla-intensiva-herbal-essences-bio-renew-passion-flower-rice-milk-300-ml/p</t>
        </is>
      </c>
    </row>
    <row r="2431">
      <c r="A2431" t="inlineStr">
        <is>
          <t>Disco</t>
        </is>
      </c>
      <c r="B2431" t="n">
        <v>307536</v>
      </c>
      <c r="C2431" t="n">
        <v>306773</v>
      </c>
      <c r="D2431" t="inlineStr">
        <is>
          <t>Tratamiento Herbal Essences Bio Renew Manuka 300 Ml</t>
        </is>
      </c>
      <c r="E2431" t="inlineStr">
        <is>
          <t>HERBAL ESSENCES</t>
        </is>
      </c>
      <c r="F2431" t="n">
        <v>21700</v>
      </c>
      <c r="G2431" t="n">
        <v>1793388</v>
      </c>
      <c r="H2431" t="b">
        <v>0</v>
      </c>
      <c r="I2431" t="n">
        <v>300</v>
      </c>
      <c r="J2431" t="n">
        <v>72.33329999999999</v>
      </c>
      <c r="K2431" t="inlineStr">
        <is>
          <t>&gt; Perfumería &gt; Cuidado Capilar &gt; Reparación y Tratamientos &gt;</t>
        </is>
      </c>
      <c r="L2431" t="inlineStr">
        <is>
          <t>tratamiento</t>
        </is>
      </c>
      <c r="M2431" t="inlineStr">
        <is>
          <t>estandar</t>
        </is>
      </c>
      <c r="N2431" t="inlineStr">
        <is>
          <t>general</t>
        </is>
      </c>
      <c r="O2431" t="inlineStr">
        <is>
          <t>https://www.disco.com.ar/tratamiento-herbal-essences-bio-renew-manuka-300-ml/p</t>
        </is>
      </c>
    </row>
    <row r="2432">
      <c r="A2432" s="10" t="inlineStr">
        <is>
          <t>Disco</t>
        </is>
      </c>
      <c r="B2432" s="10" t="n">
        <v>307535</v>
      </c>
      <c r="C2432" s="10" t="n">
        <v>306772</v>
      </c>
      <c r="D2432" s="10" t="inlineStr">
        <is>
          <t>Tratamiento Herbal Essences Bio Renew Coco 300 Ml</t>
        </is>
      </c>
      <c r="E2432" s="10" t="inlineStr">
        <is>
          <t>HERBAL ESSENCES</t>
        </is>
      </c>
      <c r="F2432" s="10" t="n">
        <v>21700</v>
      </c>
      <c r="G2432" s="10" t="n">
        <v>1793388</v>
      </c>
      <c r="H2432" s="10" t="b">
        <v>0</v>
      </c>
      <c r="I2432" s="10" t="n">
        <v>300</v>
      </c>
      <c r="J2432" s="10" t="n">
        <v>72.33329999999999</v>
      </c>
      <c r="K2432" s="10" t="inlineStr">
        <is>
          <t>&gt; Perfumería &gt; Cuidado Capilar &gt; Reparación y Tratamientos &gt;</t>
        </is>
      </c>
      <c r="L2432" s="10" t="inlineStr">
        <is>
          <t>tratamiento</t>
        </is>
      </c>
      <c r="M2432" s="10" t="inlineStr">
        <is>
          <t>estandar</t>
        </is>
      </c>
      <c r="N2432" s="10" t="inlineStr">
        <is>
          <t>general</t>
        </is>
      </c>
      <c r="O2432" s="10" t="inlineStr">
        <is>
          <t>https://www.disco.com.ar/tratamiento-herbal-essences-bio-renew-coco-300-ml/p</t>
        </is>
      </c>
    </row>
    <row r="2433">
      <c r="A2433" t="inlineStr">
        <is>
          <t>Disco</t>
        </is>
      </c>
      <c r="B2433" t="n">
        <v>307534</v>
      </c>
      <c r="C2433" t="n">
        <v>306771</v>
      </c>
      <c r="D2433" t="inlineStr">
        <is>
          <t>Tratamiento Herbal Bio Renew Argan Of Oil Morocco 300 Ml</t>
        </is>
      </c>
      <c r="E2433" t="inlineStr">
        <is>
          <t>HERBAL ESSENCES</t>
        </is>
      </c>
      <c r="F2433" t="n">
        <v>23800</v>
      </c>
      <c r="G2433" t="n">
        <v>1966942</v>
      </c>
      <c r="H2433" t="b">
        <v>0</v>
      </c>
      <c r="I2433" t="n">
        <v>300</v>
      </c>
      <c r="J2433" t="n">
        <v>79.33329999999999</v>
      </c>
      <c r="K2433" t="inlineStr">
        <is>
          <t>&gt; Perfumería &gt; Cuidado Capilar &gt; Reparación y Tratamientos &gt;</t>
        </is>
      </c>
      <c r="L2433" t="inlineStr">
        <is>
          <t>tratamiento</t>
        </is>
      </c>
      <c r="M2433" t="inlineStr">
        <is>
          <t>estandar</t>
        </is>
      </c>
      <c r="N2433" t="inlineStr">
        <is>
          <t>general</t>
        </is>
      </c>
      <c r="O2433" t="inlineStr">
        <is>
          <t>https://www.disco.com.ar/tratamiento-herbal-bio-renew-argan-of-oil-morocco-300-ml/p</t>
        </is>
      </c>
    </row>
    <row r="2434">
      <c r="A2434" s="10" t="inlineStr">
        <is>
          <t>Disco</t>
        </is>
      </c>
      <c r="B2434" s="10" t="n">
        <v>307533</v>
      </c>
      <c r="C2434" s="10" t="n">
        <v>306770</v>
      </c>
      <c r="D2434" s="10" t="inlineStr">
        <is>
          <t>Acondicionador Herbal Essences Bío Renew Chamomile 400 Ml</t>
        </is>
      </c>
      <c r="E2434" s="10" t="inlineStr">
        <is>
          <t>HERBAL ESSENCES</t>
        </is>
      </c>
      <c r="F2434" s="10" t="n">
        <v>15650</v>
      </c>
      <c r="G2434" s="10" t="n">
        <v>1293388</v>
      </c>
      <c r="H2434" s="10" t="b">
        <v>0</v>
      </c>
      <c r="I2434" s="10" t="n">
        <v>400</v>
      </c>
      <c r="J2434" s="10" t="n">
        <v>39.125</v>
      </c>
      <c r="K2434" s="10" t="inlineStr">
        <is>
          <t>&gt; Perfumería &gt; Cuidado Capilar &gt; Acondicionador &gt;</t>
        </is>
      </c>
      <c r="L2434" s="10" t="inlineStr">
        <is>
          <t>acondicionador</t>
        </is>
      </c>
      <c r="M2434" s="10" t="inlineStr">
        <is>
          <t>estandar</t>
        </is>
      </c>
      <c r="N2434" s="10" t="inlineStr">
        <is>
          <t>general</t>
        </is>
      </c>
      <c r="O2434" s="10" t="inlineStr">
        <is>
          <t>https://www.disco.com.ar/acondicionador-herbal-essences-bio-renew-chamomile-400-ml/p</t>
        </is>
      </c>
    </row>
    <row r="2435">
      <c r="A2435" t="inlineStr">
        <is>
          <t>Disco</t>
        </is>
      </c>
      <c r="B2435" t="n">
        <v>307531</v>
      </c>
      <c r="C2435" t="n">
        <v>306768</v>
      </c>
      <c r="D2435" t="inlineStr">
        <is>
          <t>Shampoo Herbal Essences Bío Renew Chamomile 400 Ml</t>
        </is>
      </c>
      <c r="E2435" t="inlineStr">
        <is>
          <t>HERBAL ESSENCES</t>
        </is>
      </c>
      <c r="F2435" t="n">
        <v>14900</v>
      </c>
      <c r="G2435" t="n">
        <v>1231405</v>
      </c>
      <c r="H2435" t="b">
        <v>0</v>
      </c>
      <c r="I2435" t="n">
        <v>400</v>
      </c>
      <c r="J2435" t="n">
        <v>37.25</v>
      </c>
      <c r="K2435" t="inlineStr">
        <is>
          <t>&gt; Perfumería &gt; Cuidado Capilar &gt; Shampoo &gt;</t>
        </is>
      </c>
      <c r="L2435" t="inlineStr">
        <is>
          <t>shampoo</t>
        </is>
      </c>
      <c r="M2435" t="inlineStr">
        <is>
          <t>estandar</t>
        </is>
      </c>
      <c r="N2435" t="inlineStr">
        <is>
          <t>general</t>
        </is>
      </c>
      <c r="O2435" t="inlineStr">
        <is>
          <t>https://www.disco.com.ar/shampoo-herbal-essences-bio-renew-chamomile-400-ml/p</t>
        </is>
      </c>
    </row>
    <row r="2436">
      <c r="A2436" s="10" t="inlineStr">
        <is>
          <t>Disco</t>
        </is>
      </c>
      <c r="B2436" s="10" t="n">
        <v>295154</v>
      </c>
      <c r="C2436" s="10" t="n">
        <v>294383</v>
      </c>
      <c r="D2436" s="10" t="inlineStr">
        <is>
          <t>Shampoo Herbal Essences Bío Renew Bourbon Manuka Honey 400 Ml</t>
        </is>
      </c>
      <c r="E2436" s="10" t="inlineStr">
        <is>
          <t>HERBAL ESSENCES</t>
        </is>
      </c>
      <c r="F2436" s="10" t="n">
        <v>15032.55</v>
      </c>
      <c r="G2436" s="10" t="n">
        <v>1242360</v>
      </c>
      <c r="H2436" s="10" t="b">
        <v>0</v>
      </c>
      <c r="I2436" s="10" t="n">
        <v>400</v>
      </c>
      <c r="J2436" s="10" t="n">
        <v>37.5814</v>
      </c>
      <c r="K2436" s="10" t="inlineStr">
        <is>
          <t>&gt; Perfumería &gt; Cuidado Capilar &gt; Shampoo &gt;</t>
        </is>
      </c>
      <c r="L2436" s="10" t="inlineStr">
        <is>
          <t>shampoo</t>
        </is>
      </c>
      <c r="M2436" s="10" t="inlineStr">
        <is>
          <t>estandar</t>
        </is>
      </c>
      <c r="N2436" s="10" t="inlineStr">
        <is>
          <t>general</t>
        </is>
      </c>
      <c r="O2436" s="10" t="inlineStr">
        <is>
          <t>https://www.disco.com.ar/shampoo-herbal-essences-bio-renew-bourbon-manuka-honey-400-ml/p</t>
        </is>
      </c>
    </row>
    <row r="2437">
      <c r="A2437" t="inlineStr">
        <is>
          <t>Disco</t>
        </is>
      </c>
      <c r="B2437" t="n">
        <v>295140</v>
      </c>
      <c r="C2437" t="n">
        <v>294368</v>
      </c>
      <c r="D2437" t="inlineStr">
        <is>
          <t>Acondicionador Herbal Essences Bourbon Manuka Honey 400 Ml</t>
        </is>
      </c>
      <c r="E2437" t="inlineStr">
        <is>
          <t>HERBAL ESSENCES</t>
        </is>
      </c>
      <c r="F2437" t="n">
        <v>15650</v>
      </c>
      <c r="G2437" t="n">
        <v>1293388</v>
      </c>
      <c r="H2437" t="b">
        <v>0</v>
      </c>
      <c r="I2437" t="n">
        <v>400</v>
      </c>
      <c r="J2437" t="n">
        <v>39.125</v>
      </c>
      <c r="K2437" t="inlineStr">
        <is>
          <t>&gt; Perfumería &gt; Cuidado Capilar &gt; Acondicionador &gt;</t>
        </is>
      </c>
      <c r="L2437" t="inlineStr">
        <is>
          <t>acondicionador</t>
        </is>
      </c>
      <c r="M2437" t="inlineStr">
        <is>
          <t>estandar</t>
        </is>
      </c>
      <c r="N2437" t="inlineStr">
        <is>
          <t>general</t>
        </is>
      </c>
      <c r="O2437" t="inlineStr">
        <is>
          <t>https://www.disco.com.ar/acondicionador-herbal-essences-bourbon-manuka-honey-400-ml/p</t>
        </is>
      </c>
    </row>
    <row r="2438">
      <c r="A2438" s="10" t="inlineStr">
        <is>
          <t>Disco</t>
        </is>
      </c>
      <c r="B2438" s="10" t="n">
        <v>273580</v>
      </c>
      <c r="C2438" s="10" t="n">
        <v>272866</v>
      </c>
      <c r="D2438" s="10" t="inlineStr">
        <is>
          <t>Shampoo Herbal Essences Grapefruit 400ml</t>
        </is>
      </c>
      <c r="E2438" s="10" t="inlineStr">
        <is>
          <t>HERBAL ESSENCES</t>
        </is>
      </c>
      <c r="F2438" s="10" t="n">
        <v>15700</v>
      </c>
      <c r="G2438" s="10" t="n">
        <v>1297521</v>
      </c>
      <c r="H2438" s="10" t="b">
        <v>0</v>
      </c>
      <c r="I2438" s="10" t="n">
        <v>400</v>
      </c>
      <c r="J2438" s="10" t="n">
        <v>39.25</v>
      </c>
      <c r="K2438" s="10" t="inlineStr">
        <is>
          <t>&gt; Perfumería &gt; Cuidado Capilar &gt; Shampoo &gt;</t>
        </is>
      </c>
      <c r="L2438" s="10" t="inlineStr">
        <is>
          <t>shampoo</t>
        </is>
      </c>
      <c r="M2438" s="10" t="inlineStr">
        <is>
          <t>estandar</t>
        </is>
      </c>
      <c r="N2438" s="10" t="inlineStr">
        <is>
          <t>general</t>
        </is>
      </c>
      <c r="O2438" s="10" t="inlineStr">
        <is>
          <t>https://www.disco.com.ar/shampoo-herbal-essences-grapefruit-400ml/p</t>
        </is>
      </c>
    </row>
    <row r="2439">
      <c r="A2439" t="inlineStr">
        <is>
          <t>Disco</t>
        </is>
      </c>
      <c r="B2439" t="n">
        <v>259541</v>
      </c>
      <c r="C2439" t="n">
        <v>258835</v>
      </c>
      <c r="D2439" t="inlineStr">
        <is>
          <t>Acondicionador Herbal Essences Daily Detox Brillo 670 Ml</t>
        </is>
      </c>
      <c r="E2439" t="inlineStr">
        <is>
          <t>HERBAL ESSENCES</t>
        </is>
      </c>
      <c r="F2439" t="n">
        <v>330.69</v>
      </c>
      <c r="G2439" t="n">
        <v>27330</v>
      </c>
      <c r="H2439" t="b">
        <v>0</v>
      </c>
      <c r="I2439" t="n">
        <v>670</v>
      </c>
      <c r="J2439" t="n">
        <v>0.4936</v>
      </c>
      <c r="K2439" t="inlineStr">
        <is>
          <t>&gt; Perfumería &gt; Cuidado Capilar &gt; Acondicionador &gt;</t>
        </is>
      </c>
      <c r="L2439" t="inlineStr">
        <is>
          <t>acondicionador</t>
        </is>
      </c>
      <c r="M2439" t="inlineStr">
        <is>
          <t>estandar</t>
        </is>
      </c>
      <c r="N2439" t="inlineStr">
        <is>
          <t>general</t>
        </is>
      </c>
      <c r="O2439" t="inlineStr">
        <is>
          <t>https://www.disco.com.ar/acondicionador-herbal-essences-daily-detox-brillo-670-ml/p</t>
        </is>
      </c>
    </row>
    <row r="2440">
      <c r="A2440" s="10" t="inlineStr">
        <is>
          <t>Disco</t>
        </is>
      </c>
      <c r="B2440" s="10" t="n">
        <v>259540</v>
      </c>
      <c r="C2440" s="10" t="n">
        <v>258834</v>
      </c>
      <c r="D2440" s="10" t="inlineStr">
        <is>
          <t>Shampoo Herbal Essences Daily Detox Brillo 700 Ml</t>
        </is>
      </c>
      <c r="E2440" s="10" t="inlineStr">
        <is>
          <t>HERBAL ESSENCES</t>
        </is>
      </c>
      <c r="F2440" s="10" t="n">
        <v>330.69</v>
      </c>
      <c r="G2440" s="10" t="n">
        <v>27330</v>
      </c>
      <c r="H2440" s="10" t="b">
        <v>0</v>
      </c>
      <c r="I2440" s="10" t="n">
        <v>700</v>
      </c>
      <c r="J2440" s="10" t="n">
        <v>0.4724</v>
      </c>
      <c r="K2440" s="10" t="inlineStr">
        <is>
          <t>&gt; Perfumería &gt; Cuidado Capilar &gt; Shampoo &gt;</t>
        </is>
      </c>
      <c r="L2440" s="10" t="inlineStr">
        <is>
          <t>shampoo</t>
        </is>
      </c>
      <c r="M2440" s="10" t="inlineStr">
        <is>
          <t>estandar</t>
        </is>
      </c>
      <c r="N2440" s="10" t="inlineStr">
        <is>
          <t>general</t>
        </is>
      </c>
      <c r="O2440" s="10" t="inlineStr">
        <is>
          <t>https://www.disco.com.ar/shampoo-herbal-essences-daily-detox-brillo-700-ml/p</t>
        </is>
      </c>
    </row>
    <row r="2441">
      <c r="A2441" t="inlineStr">
        <is>
          <t>Disco</t>
        </is>
      </c>
      <c r="B2441" t="n">
        <v>251379</v>
      </c>
      <c r="C2441" t="n">
        <v>250680</v>
      </c>
      <c r="D2441" t="inlineStr">
        <is>
          <t>Shampoo Herbal Essences Bío:renew Golden Moringa Oil 400 Ml</t>
        </is>
      </c>
      <c r="E2441" t="inlineStr">
        <is>
          <t>HERBAL ESSENCES</t>
        </is>
      </c>
      <c r="F2441" t="n">
        <v>743.29</v>
      </c>
      <c r="G2441" t="n">
        <v>61429</v>
      </c>
      <c r="H2441" t="b">
        <v>0</v>
      </c>
      <c r="I2441" t="n">
        <v>400</v>
      </c>
      <c r="J2441" t="n">
        <v>1.8582</v>
      </c>
      <c r="K2441" t="inlineStr">
        <is>
          <t>&gt; Perfumería &gt; Cuidado Capilar &gt; Shampoo &gt;</t>
        </is>
      </c>
      <c r="L2441" t="inlineStr">
        <is>
          <t>shampoo</t>
        </is>
      </c>
      <c r="M2441" t="inlineStr">
        <is>
          <t>estandar</t>
        </is>
      </c>
      <c r="N2441" t="inlineStr">
        <is>
          <t>general</t>
        </is>
      </c>
      <c r="O2441" t="inlineStr">
        <is>
          <t>https://www.disco.com.ar/shampoo-herbal-essences-bio-renew-golden-moringa-oil-400-ml/p</t>
        </is>
      </c>
    </row>
    <row r="2442">
      <c r="A2442" s="10" t="inlineStr">
        <is>
          <t>Disco</t>
        </is>
      </c>
      <c r="B2442" s="10" t="n">
        <v>251377</v>
      </c>
      <c r="C2442" s="10" t="n">
        <v>250678</v>
      </c>
      <c r="D2442" s="10" t="inlineStr">
        <is>
          <t>Shampoo Herbal Essences Bío:renew Vitamin E &amp; Cocoa Butter 400 Ml</t>
        </is>
      </c>
      <c r="E2442" s="10" t="inlineStr">
        <is>
          <t>HERBAL ESSENCES</t>
        </is>
      </c>
      <c r="F2442" s="10" t="n">
        <v>340.95</v>
      </c>
      <c r="G2442" s="10" t="n">
        <v>28178</v>
      </c>
      <c r="H2442" s="10" t="b">
        <v>0</v>
      </c>
      <c r="I2442" s="10" t="n">
        <v>400</v>
      </c>
      <c r="J2442" s="10" t="n">
        <v>0.8524</v>
      </c>
      <c r="K2442" s="10" t="inlineStr">
        <is>
          <t>&gt; Perfumería &gt; Cuidado Capilar &gt; Shampoo &gt;</t>
        </is>
      </c>
      <c r="L2442" s="10" t="inlineStr">
        <is>
          <t>shampoo</t>
        </is>
      </c>
      <c r="M2442" s="10" t="inlineStr">
        <is>
          <t>estandar</t>
        </is>
      </c>
      <c r="N2442" s="10" t="inlineStr">
        <is>
          <t>general</t>
        </is>
      </c>
      <c r="O2442" s="10" t="inlineStr">
        <is>
          <t>https://www.disco.com.ar/shampoo-herbal-essences-bio-renew-vitamin-e-cocoa-butter-400-ml/p</t>
        </is>
      </c>
    </row>
    <row r="2443">
      <c r="A2443" t="inlineStr">
        <is>
          <t>Disco</t>
        </is>
      </c>
      <c r="B2443" t="n">
        <v>251376</v>
      </c>
      <c r="C2443" t="n">
        <v>250677</v>
      </c>
      <c r="D2443" t="inlineStr">
        <is>
          <t>Acondicionador Herbal Essences Bío:renew Vitamin E &amp; Cocoa Butter 400 Ml</t>
        </is>
      </c>
      <c r="E2443" t="inlineStr">
        <is>
          <t>HERBAL ESSENCES</t>
        </is>
      </c>
      <c r="F2443" t="n">
        <v>340.95</v>
      </c>
      <c r="G2443" t="n">
        <v>28178</v>
      </c>
      <c r="H2443" t="b">
        <v>0</v>
      </c>
      <c r="I2443" t="n">
        <v>400</v>
      </c>
      <c r="J2443" t="n">
        <v>0.8524</v>
      </c>
      <c r="K2443" t="inlineStr">
        <is>
          <t>&gt; Perfumería &gt; Cuidado Capilar &gt; Acondicionador &gt;</t>
        </is>
      </c>
      <c r="L2443" t="inlineStr">
        <is>
          <t>acondicionador</t>
        </is>
      </c>
      <c r="M2443" t="inlineStr">
        <is>
          <t>estandar</t>
        </is>
      </c>
      <c r="N2443" t="inlineStr">
        <is>
          <t>general</t>
        </is>
      </c>
      <c r="O2443" t="inlineStr">
        <is>
          <t>https://www.disco.com.ar/acondicionador-herbal-essences-bio-renew-vitamin-e-cocoa-butter-400-ml/p</t>
        </is>
      </c>
    </row>
    <row r="2444">
      <c r="A2444" s="10" t="inlineStr">
        <is>
          <t>Disco</t>
        </is>
      </c>
      <c r="B2444" s="10" t="n">
        <v>251375</v>
      </c>
      <c r="C2444" s="10" t="n">
        <v>250676</v>
      </c>
      <c r="D2444" s="10" t="inlineStr">
        <is>
          <t>Acondicionador Nutrición Rosemary 400 Ml Herbal Essences</t>
        </is>
      </c>
      <c r="E2444" s="10" t="inlineStr">
        <is>
          <t>HERBAL ESSENCES</t>
        </is>
      </c>
      <c r="F2444" s="10" t="n">
        <v>15700</v>
      </c>
      <c r="G2444" s="10" t="n">
        <v>1297521</v>
      </c>
      <c r="H2444" s="10" t="b">
        <v>0</v>
      </c>
      <c r="I2444" s="10" t="n">
        <v>400</v>
      </c>
      <c r="J2444" s="10" t="n">
        <v>39.25</v>
      </c>
      <c r="K2444" s="10" t="inlineStr">
        <is>
          <t>&gt; Perfumería &gt; Cuidado Capilar &gt; Acondicionador &gt;</t>
        </is>
      </c>
      <c r="L2444" s="10" t="inlineStr">
        <is>
          <t>acondicionador</t>
        </is>
      </c>
      <c r="M2444" s="10" t="inlineStr">
        <is>
          <t>estandar</t>
        </is>
      </c>
      <c r="N2444" s="10" t="inlineStr">
        <is>
          <t>general</t>
        </is>
      </c>
      <c r="O2444" s="10" t="inlineStr">
        <is>
          <t>https://www.disco.com.ar/acondicionador-herbal-essences-rosemary-400ml/p</t>
        </is>
      </c>
    </row>
    <row r="2445">
      <c r="A2445" t="inlineStr">
        <is>
          <t>Disco</t>
        </is>
      </c>
      <c r="B2445" t="n">
        <v>251374</v>
      </c>
      <c r="C2445" t="n">
        <v>250675</v>
      </c>
      <c r="D2445" t="inlineStr">
        <is>
          <t>Acondicionador Herbal Essences Bío:renew Passion Flower &amp; Rice Milk 400 Ml</t>
        </is>
      </c>
      <c r="E2445" t="inlineStr">
        <is>
          <t>HERBAL ESSENCES</t>
        </is>
      </c>
      <c r="F2445" t="n">
        <v>743.29</v>
      </c>
      <c r="G2445" t="n">
        <v>61429</v>
      </c>
      <c r="H2445" t="b">
        <v>0</v>
      </c>
      <c r="I2445" t="n">
        <v>400</v>
      </c>
      <c r="J2445" t="n">
        <v>1.8582</v>
      </c>
      <c r="K2445" t="inlineStr">
        <is>
          <t>&gt; Perfumería &gt; Cuidado Capilar &gt; Acondicionador &gt;</t>
        </is>
      </c>
      <c r="L2445" t="inlineStr">
        <is>
          <t>acondicionador</t>
        </is>
      </c>
      <c r="M2445" t="inlineStr">
        <is>
          <t>estandar</t>
        </is>
      </c>
      <c r="N2445" t="inlineStr">
        <is>
          <t>general</t>
        </is>
      </c>
      <c r="O2445" t="inlineStr">
        <is>
          <t>https://www.disco.com.ar/acondicionador-herbal-essences-bio-renew-passion-flower-rice-milk-400-ml/p</t>
        </is>
      </c>
    </row>
    <row r="2446">
      <c r="A2446" s="10" t="inlineStr">
        <is>
          <t>Disco</t>
        </is>
      </c>
      <c r="B2446" s="10" t="n">
        <v>251372</v>
      </c>
      <c r="C2446" s="10" t="n">
        <v>250673</v>
      </c>
      <c r="D2446" s="10" t="inlineStr">
        <is>
          <t>Acondicionador Herbal Essences Bío:renew Golden Moringa Oil 400 Ml</t>
        </is>
      </c>
      <c r="E2446" s="10" t="inlineStr">
        <is>
          <t>HERBAL ESSENCES</t>
        </is>
      </c>
      <c r="F2446" s="10" t="n">
        <v>743.29</v>
      </c>
      <c r="G2446" s="10" t="n">
        <v>61429</v>
      </c>
      <c r="H2446" s="10" t="b">
        <v>0</v>
      </c>
      <c r="I2446" s="10" t="n">
        <v>400</v>
      </c>
      <c r="J2446" s="10" t="n">
        <v>1.8582</v>
      </c>
      <c r="K2446" s="10" t="inlineStr">
        <is>
          <t>&gt; Perfumería &gt; Cuidado Capilar &gt; Acondicionador &gt;</t>
        </is>
      </c>
      <c r="L2446" s="10" t="inlineStr">
        <is>
          <t>acondicionador</t>
        </is>
      </c>
      <c r="M2446" s="10" t="inlineStr">
        <is>
          <t>estandar</t>
        </is>
      </c>
      <c r="N2446" s="10" t="inlineStr">
        <is>
          <t>general</t>
        </is>
      </c>
      <c r="O2446" s="10" t="inlineStr">
        <is>
          <t>https://www.disco.com.ar/acondicionador-herbal-essences-bio-renew-golden-moringa-oil-400-ml/p</t>
        </is>
      </c>
    </row>
    <row r="2447">
      <c r="A2447" t="inlineStr">
        <is>
          <t>Disco</t>
        </is>
      </c>
      <c r="B2447" t="n">
        <v>251371</v>
      </c>
      <c r="C2447" t="n">
        <v>250671</v>
      </c>
      <c r="D2447" t="inlineStr">
        <is>
          <t>Shampoo Herbal Essences Bío:renew Passion Flower &amp; Rice Milk 400 Ml</t>
        </is>
      </c>
      <c r="E2447" t="inlineStr">
        <is>
          <t>HERBAL ESSENCES</t>
        </is>
      </c>
      <c r="F2447" t="n">
        <v>743.29</v>
      </c>
      <c r="G2447" t="n">
        <v>61429</v>
      </c>
      <c r="H2447" t="b">
        <v>0</v>
      </c>
      <c r="I2447" t="n">
        <v>400</v>
      </c>
      <c r="J2447" t="n">
        <v>1.8582</v>
      </c>
      <c r="K2447" t="inlineStr">
        <is>
          <t>&gt; Perfumería &gt; Cuidado Capilar &gt; Shampoo &gt;</t>
        </is>
      </c>
      <c r="L2447" t="inlineStr">
        <is>
          <t>shampoo</t>
        </is>
      </c>
      <c r="M2447" t="inlineStr">
        <is>
          <t>estandar</t>
        </is>
      </c>
      <c r="N2447" t="inlineStr">
        <is>
          <t>general</t>
        </is>
      </c>
      <c r="O2447" t="inlineStr">
        <is>
          <t>https://www.disco.com.ar/shampoo-herbal-essences-bio-renew-passion-flower-rice-milk-400-ml/p</t>
        </is>
      </c>
    </row>
    <row r="2448">
      <c r="A2448" s="10" t="inlineStr">
        <is>
          <t>Disco</t>
        </is>
      </c>
      <c r="B2448" s="10" t="n">
        <v>151503</v>
      </c>
      <c r="C2448" s="10" t="n">
        <v>149074</v>
      </c>
      <c r="D2448" s="10" t="inlineStr">
        <is>
          <t>Acondicionador Herbal Essences X 300-+ Crema De Peinar X300ml.-alborótalos-bli-un.-2</t>
        </is>
      </c>
      <c r="E2448" s="10" t="inlineStr">
        <is>
          <t>HERBAL ESSENCES</t>
        </is>
      </c>
      <c r="F2448" s="10" t="n">
        <v>22.09</v>
      </c>
      <c r="G2448" s="10" t="n">
        <v>22.09</v>
      </c>
      <c r="H2448" s="10" t="b">
        <v>0</v>
      </c>
      <c r="I2448" s="10" t="n">
        <v>300</v>
      </c>
      <c r="J2448" s="10" t="n">
        <v>0.0736</v>
      </c>
      <c r="K2448" s="10" t="inlineStr">
        <is>
          <t>&gt; Perfumería &gt; Cuidado Capilar &gt; Acondicionador &gt;</t>
        </is>
      </c>
      <c r="L2448" s="10" t="inlineStr">
        <is>
          <t>acondicionador</t>
        </is>
      </c>
      <c r="M2448" s="10" t="inlineStr">
        <is>
          <t>estandar</t>
        </is>
      </c>
      <c r="N2448" s="10" t="inlineStr">
        <is>
          <t>general</t>
        </is>
      </c>
      <c r="O2448" s="10" t="inlineStr">
        <is>
          <t>https://www.disco.com.ar/acondicionador-herbal-essences-x-300-crema-de-peinar-x300ml-alborotalos-bli-un-2-2/p</t>
        </is>
      </c>
    </row>
    <row r="2449">
      <c r="A2449" t="inlineStr">
        <is>
          <t>Disco</t>
        </is>
      </c>
      <c r="B2449" t="n">
        <v>151500</v>
      </c>
      <c r="C2449" t="n">
        <v>149070</v>
      </c>
      <c r="D2449" t="inlineStr">
        <is>
          <t>Acondicionador Herbal Essences-+ Crema Para Peinar-curvas Peligrosas-bli-un.-2</t>
        </is>
      </c>
      <c r="E2449" t="inlineStr">
        <is>
          <t>HERBAL ESSENCES</t>
        </is>
      </c>
      <c r="F2449" t="n">
        <v>26.15</v>
      </c>
      <c r="G2449" t="n">
        <v>26.15</v>
      </c>
      <c r="H2449" t="b">
        <v>0</v>
      </c>
      <c r="I2449" t="inlineStr"/>
      <c r="J2449" t="inlineStr"/>
      <c r="K2449" t="inlineStr">
        <is>
          <t>&gt; Perfumería &gt; Cuidado Capilar &gt; Acondicionador &gt;</t>
        </is>
      </c>
      <c r="L2449" t="inlineStr">
        <is>
          <t>acondicionador</t>
        </is>
      </c>
      <c r="M2449" t="inlineStr">
        <is>
          <t>estandar</t>
        </is>
      </c>
      <c r="N2449" t="inlineStr">
        <is>
          <t>general</t>
        </is>
      </c>
      <c r="O2449" t="inlineStr">
        <is>
          <t>https://www.disco.com.ar/acondicionador-herbal-essences-crema-para-peinar-curvas-peligrosas-bli-un-2/p</t>
        </is>
      </c>
    </row>
    <row r="2450">
      <c r="A2450" s="10" t="inlineStr">
        <is>
          <t>Disco</t>
        </is>
      </c>
      <c r="B2450" s="10" t="n">
        <v>151482</v>
      </c>
      <c r="C2450" s="10" t="n">
        <v>149054</v>
      </c>
      <c r="D2450" s="10" t="inlineStr">
        <is>
          <t>Acondicionador Herbal Essences-+ Crema De Peinar X300ml.-paralísalos-bli-un.-2</t>
        </is>
      </c>
      <c r="E2450" s="10" t="inlineStr">
        <is>
          <t>HERBAL ESSENCES</t>
        </is>
      </c>
      <c r="F2450" s="10" t="n">
        <v>22.09</v>
      </c>
      <c r="G2450" s="10" t="n">
        <v>22.09</v>
      </c>
      <c r="H2450" s="10" t="b">
        <v>0</v>
      </c>
      <c r="I2450" s="10" t="n">
        <v>300</v>
      </c>
      <c r="J2450" s="10" t="n">
        <v>0.0736</v>
      </c>
      <c r="K2450" s="10" t="inlineStr">
        <is>
          <t>&gt; Perfumería &gt; Cuidado Capilar &gt; Acondicionador &gt;</t>
        </is>
      </c>
      <c r="L2450" s="10" t="inlineStr">
        <is>
          <t>acondicionador</t>
        </is>
      </c>
      <c r="M2450" s="10" t="inlineStr">
        <is>
          <t>estandar</t>
        </is>
      </c>
      <c r="N2450" s="10" t="inlineStr">
        <is>
          <t>general</t>
        </is>
      </c>
      <c r="O2450" s="10" t="inlineStr">
        <is>
          <t>https://www.disco.com.ar/acondicionador-herbal-essences-crema-de-peinar-x300ml-paralisalos-bli-un-2/p</t>
        </is>
      </c>
    </row>
    <row r="2451">
      <c r="A2451" t="inlineStr">
        <is>
          <t>Disco</t>
        </is>
      </c>
      <c r="B2451" t="n">
        <v>149651</v>
      </c>
      <c r="C2451" t="n">
        <v>146560</v>
      </c>
      <c r="D2451" t="inlineStr">
        <is>
          <t>Acondicionador Herbal Essences Endulzalos Con Fuerza-pvc-ml.-670</t>
        </is>
      </c>
      <c r="E2451" t="inlineStr">
        <is>
          <t>HERBAL ESSENCES</t>
        </is>
      </c>
      <c r="F2451" t="n">
        <v>34.39</v>
      </c>
      <c r="G2451" t="n">
        <v>2842</v>
      </c>
      <c r="H2451" t="b">
        <v>0</v>
      </c>
      <c r="I2451" t="inlineStr"/>
      <c r="J2451" t="inlineStr"/>
      <c r="K2451" t="inlineStr">
        <is>
          <t>&gt; Perfumería &gt; Cuidado Capilar &gt; Acondicionador &gt;</t>
        </is>
      </c>
      <c r="L2451" t="inlineStr">
        <is>
          <t>acondicionador</t>
        </is>
      </c>
      <c r="M2451" t="inlineStr">
        <is>
          <t>estandar</t>
        </is>
      </c>
      <c r="N2451" t="inlineStr">
        <is>
          <t>general</t>
        </is>
      </c>
      <c r="O2451" t="inlineStr">
        <is>
          <t>https://www.disco.com.ar/acondicionador-herbal-essences-endulzalos-con-fuerza-pvc-ml-670-2/p</t>
        </is>
      </c>
    </row>
    <row r="2452">
      <c r="A2452" s="10" t="inlineStr">
        <is>
          <t>Disco</t>
        </is>
      </c>
      <c r="B2452" s="10" t="n">
        <v>149629</v>
      </c>
      <c r="C2452" s="10" t="n">
        <v>146538</v>
      </c>
      <c r="D2452" s="10" t="inlineStr">
        <is>
          <t>Shampoo Herbal Essences Endúlzalos Con Fuerza 700 Ml</t>
        </is>
      </c>
      <c r="E2452" s="10" t="inlineStr">
        <is>
          <t>HERBAL ESSENCES</t>
        </is>
      </c>
      <c r="F2452" s="10" t="n">
        <v>36.09</v>
      </c>
      <c r="G2452" s="10" t="n">
        <v>2983</v>
      </c>
      <c r="H2452" s="10" t="b">
        <v>0</v>
      </c>
      <c r="I2452" s="10" t="n">
        <v>700</v>
      </c>
      <c r="J2452" s="10" t="n">
        <v>0.0516</v>
      </c>
      <c r="K2452" s="10" t="inlineStr">
        <is>
          <t>&gt; Perfumería &gt; Cuidado Capilar &gt; Shampoo &gt;</t>
        </is>
      </c>
      <c r="L2452" s="10" t="inlineStr">
        <is>
          <t>shampoo</t>
        </is>
      </c>
      <c r="M2452" s="10" t="inlineStr">
        <is>
          <t>estandar</t>
        </is>
      </c>
      <c r="N2452" s="10" t="inlineStr">
        <is>
          <t>general</t>
        </is>
      </c>
      <c r="O2452" s="10" t="inlineStr">
        <is>
          <t>https://www.disco.com.ar/shampoo-herbal-essences-endulzalos-con-fuerza-700-ml-2/p</t>
        </is>
      </c>
    </row>
    <row r="2453">
      <c r="A2453" t="inlineStr">
        <is>
          <t>Disco</t>
        </is>
      </c>
      <c r="B2453" t="n">
        <v>148804</v>
      </c>
      <c r="C2453" t="n">
        <v>145704</v>
      </c>
      <c r="D2453" t="inlineStr">
        <is>
          <t>Shampoo Herbal Essences X 355ml-+ Acondicionador X 300ml-enciéndete-bli-un.-2</t>
        </is>
      </c>
      <c r="E2453" t="inlineStr">
        <is>
          <t>HERBAL ESSENCES</t>
        </is>
      </c>
      <c r="F2453" t="n">
        <v>23.07</v>
      </c>
      <c r="G2453" t="n">
        <v>23.07</v>
      </c>
      <c r="H2453" t="b">
        <v>0</v>
      </c>
      <c r="I2453" t="n">
        <v>355</v>
      </c>
      <c r="J2453" t="n">
        <v>0.065</v>
      </c>
      <c r="K2453" t="inlineStr">
        <is>
          <t>&gt; Perfumería &gt; Cuidado Capilar &gt; Shampoo &gt;</t>
        </is>
      </c>
      <c r="L2453" t="inlineStr">
        <is>
          <t>acondicionador</t>
        </is>
      </c>
      <c r="M2453" t="inlineStr">
        <is>
          <t>estandar</t>
        </is>
      </c>
      <c r="N2453" t="inlineStr">
        <is>
          <t>general</t>
        </is>
      </c>
      <c r="O2453" t="inlineStr">
        <is>
          <t>https://www.disco.com.ar/shampoo-herbal-essences-x-355ml-acondicionador-x-300ml-enciendete-bli-un-2-2/p</t>
        </is>
      </c>
    </row>
    <row r="2454">
      <c r="A2454" s="10" t="inlineStr">
        <is>
          <t>Disco</t>
        </is>
      </c>
      <c r="B2454" s="10" t="n">
        <v>148803</v>
      </c>
      <c r="C2454" s="10" t="n">
        <v>145701</v>
      </c>
      <c r="D2454" s="10" t="inlineStr">
        <is>
          <t>Shampoo Herbal Essences-+ Acondicionador-alborótalos-bli-un.-2</t>
        </is>
      </c>
      <c r="E2454" s="10" t="inlineStr">
        <is>
          <t>HERBAL ESSENCES</t>
        </is>
      </c>
      <c r="F2454" s="10" t="n">
        <v>20.99</v>
      </c>
      <c r="G2454" s="10" t="n">
        <v>20.99</v>
      </c>
      <c r="H2454" s="10" t="b">
        <v>0</v>
      </c>
      <c r="I2454" s="10" t="inlineStr"/>
      <c r="J2454" s="10" t="inlineStr"/>
      <c r="K2454" s="10" t="inlineStr">
        <is>
          <t>&gt; Perfumería &gt; Cuidado Capilar &gt; Shampoo &gt;</t>
        </is>
      </c>
      <c r="L2454" s="10" t="inlineStr">
        <is>
          <t>acondicionador</t>
        </is>
      </c>
      <c r="M2454" s="10" t="inlineStr">
        <is>
          <t>estandar</t>
        </is>
      </c>
      <c r="N2454" s="10" t="inlineStr">
        <is>
          <t>general</t>
        </is>
      </c>
      <c r="O2454" s="10" t="inlineStr">
        <is>
          <t>https://www.disco.com.ar/shampoo-herbal-essences-acondicionador-alborotalos-bli-un-2-2/p</t>
        </is>
      </c>
    </row>
    <row r="2455">
      <c r="A2455" t="inlineStr">
        <is>
          <t>Disco</t>
        </is>
      </c>
      <c r="B2455" t="n">
        <v>148801</v>
      </c>
      <c r="C2455" t="n">
        <v>145699</v>
      </c>
      <c r="D2455" t="inlineStr">
        <is>
          <t>Shampoo Herbal Essences-+ Acondicionador-hidradisíaco-bli-un.-2</t>
        </is>
      </c>
      <c r="E2455" t="inlineStr">
        <is>
          <t>HERBAL ESSENCES</t>
        </is>
      </c>
      <c r="F2455" t="n">
        <v>17.29</v>
      </c>
      <c r="G2455" t="n">
        <v>17.29</v>
      </c>
      <c r="H2455" t="b">
        <v>0</v>
      </c>
      <c r="I2455" t="inlineStr"/>
      <c r="J2455" t="inlineStr"/>
      <c r="K2455" t="inlineStr">
        <is>
          <t>&gt; Perfumería &gt; Cuidado Capilar &gt; Shampoo &gt;</t>
        </is>
      </c>
      <c r="L2455" t="inlineStr">
        <is>
          <t>acondicionador</t>
        </is>
      </c>
      <c r="M2455" t="inlineStr">
        <is>
          <t>estandar</t>
        </is>
      </c>
      <c r="N2455" t="inlineStr">
        <is>
          <t>general</t>
        </is>
      </c>
      <c r="O2455" t="inlineStr">
        <is>
          <t>https://www.disco.com.ar/shampoo-herbal-essences-acondicionador-hidradisiaco-bli-un-2-2/p</t>
        </is>
      </c>
    </row>
    <row r="2456">
      <c r="A2456" s="10" t="inlineStr">
        <is>
          <t>Disco</t>
        </is>
      </c>
      <c r="B2456" s="10" t="n">
        <v>147392</v>
      </c>
      <c r="C2456" s="10" t="n">
        <v>144300</v>
      </c>
      <c r="D2456" s="10" t="inlineStr">
        <is>
          <t>Shampoo Herbal Essences-paracaídas-pvc-ml.-355</t>
        </is>
      </c>
      <c r="E2456" s="10" t="inlineStr">
        <is>
          <t>HERBAL ESSENCES</t>
        </is>
      </c>
      <c r="F2456" s="10" t="n">
        <v>15.75</v>
      </c>
      <c r="G2456" s="10" t="n">
        <v>1302</v>
      </c>
      <c r="H2456" s="10" t="b">
        <v>0</v>
      </c>
      <c r="I2456" s="10" t="inlineStr"/>
      <c r="J2456" s="10" t="inlineStr"/>
      <c r="K2456" s="10" t="inlineStr">
        <is>
          <t>&gt; Perfumería &gt; Cuidado Capilar &gt; Shampoo &gt;</t>
        </is>
      </c>
      <c r="L2456" s="10" t="inlineStr">
        <is>
          <t>shampoo</t>
        </is>
      </c>
      <c r="M2456" s="10" t="inlineStr">
        <is>
          <t>estandar</t>
        </is>
      </c>
      <c r="N2456" s="10" t="inlineStr">
        <is>
          <t>general</t>
        </is>
      </c>
      <c r="O2456" s="10" t="inlineStr">
        <is>
          <t>https://www.disco.com.ar/shampoo-herbal-essences-paracaidas-pvc-ml-355-2/p</t>
        </is>
      </c>
    </row>
    <row r="2457">
      <c r="A2457" t="inlineStr">
        <is>
          <t>Disco</t>
        </is>
      </c>
      <c r="B2457" t="n">
        <v>147391</v>
      </c>
      <c r="C2457" t="n">
        <v>144301</v>
      </c>
      <c r="D2457" t="inlineStr">
        <is>
          <t>Acondicionador Herbal Essences  Paracaídas 300 Ml</t>
        </is>
      </c>
      <c r="E2457" t="inlineStr">
        <is>
          <t>HERBAL ESSENCES</t>
        </is>
      </c>
      <c r="F2457" t="n">
        <v>157.69</v>
      </c>
      <c r="G2457" t="n">
        <v>13032</v>
      </c>
      <c r="H2457" t="b">
        <v>0</v>
      </c>
      <c r="I2457" t="n">
        <v>300</v>
      </c>
      <c r="J2457" t="n">
        <v>0.5256</v>
      </c>
      <c r="K2457" t="inlineStr">
        <is>
          <t>&gt; Perfumería &gt; Cuidado Capilar &gt; Acondicionador &gt;</t>
        </is>
      </c>
      <c r="L2457" t="inlineStr">
        <is>
          <t>acondicionador</t>
        </is>
      </c>
      <c r="M2457" t="inlineStr">
        <is>
          <t>estandar</t>
        </is>
      </c>
      <c r="N2457" t="inlineStr">
        <is>
          <t>general</t>
        </is>
      </c>
      <c r="O2457" t="inlineStr">
        <is>
          <t>https://www.disco.com.ar/acondicionador-herbal-essences-paracaidas-300-ml-2/p</t>
        </is>
      </c>
    </row>
    <row r="2458">
      <c r="A2458" s="10" t="inlineStr">
        <is>
          <t>Disco</t>
        </is>
      </c>
      <c r="B2458" s="10" t="n">
        <v>147386</v>
      </c>
      <c r="C2458" s="10" t="n">
        <v>144295</v>
      </c>
      <c r="D2458" s="10" t="inlineStr">
        <is>
          <t>Acondicionador Herbal Essences-curvas Peligrosas-pvc-ml.-670</t>
        </is>
      </c>
      <c r="E2458" s="10" t="inlineStr">
        <is>
          <t>HERBAL ESSENCES</t>
        </is>
      </c>
      <c r="F2458" s="10" t="n">
        <v>297.99</v>
      </c>
      <c r="G2458" s="10" t="n">
        <v>24627</v>
      </c>
      <c r="H2458" s="10" t="b">
        <v>0</v>
      </c>
      <c r="I2458" s="10" t="inlineStr"/>
      <c r="J2458" s="10" t="inlineStr"/>
      <c r="K2458" s="10" t="inlineStr">
        <is>
          <t>&gt; Perfumería &gt; Cuidado Capilar &gt; Acondicionador &gt;</t>
        </is>
      </c>
      <c r="L2458" s="10" t="inlineStr">
        <is>
          <t>acondicionador</t>
        </is>
      </c>
      <c r="M2458" s="10" t="inlineStr">
        <is>
          <t>estandar</t>
        </is>
      </c>
      <c r="N2458" s="10" t="inlineStr">
        <is>
          <t>general</t>
        </is>
      </c>
      <c r="O2458" s="10" t="inlineStr">
        <is>
          <t>https://www.disco.com.ar/acondicionador-herbal-essences-curvas-peligrosas-pvc-ml-670-2/p</t>
        </is>
      </c>
    </row>
    <row r="2459">
      <c r="A2459" t="inlineStr">
        <is>
          <t>Disco</t>
        </is>
      </c>
      <c r="B2459" t="n">
        <v>147379</v>
      </c>
      <c r="C2459" t="n">
        <v>144288</v>
      </c>
      <c r="D2459" t="inlineStr">
        <is>
          <t>Acondicionador Herbal Essences-domador De Fieras-pvc-ml.-300</t>
        </is>
      </c>
      <c r="E2459" t="inlineStr">
        <is>
          <t>HERBAL ESSENCES</t>
        </is>
      </c>
      <c r="F2459" t="n">
        <v>157.69</v>
      </c>
      <c r="G2459" t="n">
        <v>13032</v>
      </c>
      <c r="H2459" t="b">
        <v>0</v>
      </c>
      <c r="I2459" t="inlineStr"/>
      <c r="J2459" t="inlineStr"/>
      <c r="K2459" t="inlineStr">
        <is>
          <t>&gt; Perfumería &gt; Cuidado Capilar &gt; Acondicionador &gt;</t>
        </is>
      </c>
      <c r="L2459" t="inlineStr">
        <is>
          <t>acondicionador</t>
        </is>
      </c>
      <c r="M2459" t="inlineStr">
        <is>
          <t>estandar</t>
        </is>
      </c>
      <c r="N2459" t="inlineStr">
        <is>
          <t>general</t>
        </is>
      </c>
      <c r="O2459" t="inlineStr">
        <is>
          <t>https://www.disco.com.ar/acondicionador-herbal-essences-domador-de-fieras-pvc-ml-300-2/p</t>
        </is>
      </c>
    </row>
    <row r="2460">
      <c r="A2460" s="10" t="inlineStr">
        <is>
          <t>Disco</t>
        </is>
      </c>
      <c r="B2460" s="10" t="n">
        <v>147364</v>
      </c>
      <c r="C2460" s="10" t="n">
        <v>144272</v>
      </c>
      <c r="D2460" s="10" t="inlineStr">
        <is>
          <t>Shampoo Herbal Essences-hidradisíaco-pvc-mi-355</t>
        </is>
      </c>
      <c r="E2460" s="10" t="inlineStr">
        <is>
          <t>HERBAL ESSENCES</t>
        </is>
      </c>
      <c r="F2460" s="10" t="n">
        <v>15.75</v>
      </c>
      <c r="G2460" s="10" t="n">
        <v>1302</v>
      </c>
      <c r="H2460" s="10" t="b">
        <v>0</v>
      </c>
      <c r="I2460" s="10" t="inlineStr"/>
      <c r="J2460" s="10" t="inlineStr"/>
      <c r="K2460" s="10" t="inlineStr">
        <is>
          <t>&gt; Perfumería &gt; Cuidado Capilar &gt; Shampoo &gt;</t>
        </is>
      </c>
      <c r="L2460" s="10" t="inlineStr">
        <is>
          <t>shampoo</t>
        </is>
      </c>
      <c r="M2460" s="10" t="inlineStr">
        <is>
          <t>estandar</t>
        </is>
      </c>
      <c r="N2460" s="10" t="inlineStr">
        <is>
          <t>general</t>
        </is>
      </c>
      <c r="O2460" s="10" t="inlineStr">
        <is>
          <t>https://www.disco.com.ar/shampoo-herbal-essences-hidradisiaco-pvc-mi-355-2/p</t>
        </is>
      </c>
    </row>
    <row r="2461">
      <c r="A2461" t="inlineStr">
        <is>
          <t>Disco</t>
        </is>
      </c>
      <c r="B2461" t="n">
        <v>146588</v>
      </c>
      <c r="C2461" t="n">
        <v>143497</v>
      </c>
      <c r="D2461" t="inlineStr">
        <is>
          <t>Shampoo Herbal Essences-paralísalos-pvc-ml.-355</t>
        </is>
      </c>
      <c r="E2461" t="inlineStr">
        <is>
          <t>HERBAL ESSENCES</t>
        </is>
      </c>
      <c r="F2461" t="n">
        <v>15.75</v>
      </c>
      <c r="G2461" t="n">
        <v>1302</v>
      </c>
      <c r="H2461" t="b">
        <v>0</v>
      </c>
      <c r="I2461" t="inlineStr"/>
      <c r="J2461" t="inlineStr"/>
      <c r="K2461" t="inlineStr">
        <is>
          <t>&gt; Perfumería &gt; Cuidado Capilar &gt; Shampoo &gt;</t>
        </is>
      </c>
      <c r="L2461" t="inlineStr">
        <is>
          <t>shampoo</t>
        </is>
      </c>
      <c r="M2461" t="inlineStr">
        <is>
          <t>estandar</t>
        </is>
      </c>
      <c r="N2461" t="inlineStr">
        <is>
          <t>general</t>
        </is>
      </c>
      <c r="O2461" t="inlineStr">
        <is>
          <t>https://www.disco.com.ar/shampoo-herbal-essences-paralisalos-pvc-ml-355-2/p</t>
        </is>
      </c>
    </row>
    <row r="2462">
      <c r="A2462" s="10" t="inlineStr">
        <is>
          <t>Disco</t>
        </is>
      </c>
      <c r="B2462" s="10" t="n">
        <v>146557</v>
      </c>
      <c r="C2462" s="10" t="n">
        <v>143466</v>
      </c>
      <c r="D2462" s="10" t="inlineStr">
        <is>
          <t>Shampoo Herbal Essences Curvas Peligrosas 700 Ml</t>
        </is>
      </c>
      <c r="E2462" s="10" t="inlineStr">
        <is>
          <t>HERBAL ESSENCES</t>
        </is>
      </c>
      <c r="F2462" s="10" t="n">
        <v>297.99</v>
      </c>
      <c r="G2462" s="10" t="n">
        <v>24627</v>
      </c>
      <c r="H2462" s="10" t="b">
        <v>0</v>
      </c>
      <c r="I2462" s="10" t="n">
        <v>700</v>
      </c>
      <c r="J2462" s="10" t="n">
        <v>0.4257</v>
      </c>
      <c r="K2462" s="10" t="inlineStr">
        <is>
          <t>&gt; Perfumería &gt; Cuidado Capilar &gt; Shampoo &gt;</t>
        </is>
      </c>
      <c r="L2462" s="10" t="inlineStr">
        <is>
          <t>shampoo</t>
        </is>
      </c>
      <c r="M2462" s="10" t="inlineStr">
        <is>
          <t>estandar</t>
        </is>
      </c>
      <c r="N2462" s="10" t="inlineStr">
        <is>
          <t>general</t>
        </is>
      </c>
      <c r="O2462" s="10" t="inlineStr">
        <is>
          <t>https://www.disco.com.ar/shampoo-herbal-essences-curvas-peligrosas-700-ml-2/p</t>
        </is>
      </c>
    </row>
    <row r="2463">
      <c r="A2463" t="inlineStr">
        <is>
          <t>Disco</t>
        </is>
      </c>
      <c r="B2463" t="n">
        <v>146551</v>
      </c>
      <c r="C2463" t="n">
        <v>143459</v>
      </c>
      <c r="D2463" t="inlineStr">
        <is>
          <t>Shampoo Herbal Essences Prolóngalo 700 Ml</t>
        </is>
      </c>
      <c r="E2463" t="inlineStr">
        <is>
          <t>HERBAL ESSENCES</t>
        </is>
      </c>
      <c r="F2463" t="n">
        <v>297.99</v>
      </c>
      <c r="G2463" t="n">
        <v>24627</v>
      </c>
      <c r="H2463" t="b">
        <v>0</v>
      </c>
      <c r="I2463" t="n">
        <v>700</v>
      </c>
      <c r="J2463" t="n">
        <v>0.4257</v>
      </c>
      <c r="K2463" t="inlineStr">
        <is>
          <t>&gt; Perfumería &gt; Cuidado Capilar &gt; Shampoo &gt;</t>
        </is>
      </c>
      <c r="L2463" t="inlineStr">
        <is>
          <t>shampoo</t>
        </is>
      </c>
      <c r="M2463" t="inlineStr">
        <is>
          <t>estandar</t>
        </is>
      </c>
      <c r="N2463" t="inlineStr">
        <is>
          <t>general</t>
        </is>
      </c>
      <c r="O2463" t="inlineStr">
        <is>
          <t>https://www.disco.com.ar/shampoo-herbal-essences-prolongalo-700-ml-2/p</t>
        </is>
      </c>
    </row>
    <row r="2464">
      <c r="A2464" s="10" t="inlineStr">
        <is>
          <t>Disco</t>
        </is>
      </c>
      <c r="B2464" s="10" t="n">
        <v>146538</v>
      </c>
      <c r="C2464" s="10" t="n">
        <v>143450</v>
      </c>
      <c r="D2464" s="10" t="inlineStr">
        <is>
          <t>Shampoo Herbal Essences-prolóngalos-pvc-ml.-355</t>
        </is>
      </c>
      <c r="E2464" s="10" t="inlineStr">
        <is>
          <t>HERBAL ESSENCES</t>
        </is>
      </c>
      <c r="F2464" s="10" t="n">
        <v>15.75</v>
      </c>
      <c r="G2464" s="10" t="n">
        <v>1302</v>
      </c>
      <c r="H2464" s="10" t="b">
        <v>0</v>
      </c>
      <c r="I2464" s="10" t="inlineStr"/>
      <c r="J2464" s="10" t="inlineStr"/>
      <c r="K2464" s="10" t="inlineStr">
        <is>
          <t>&gt; Perfumería &gt; Cuidado Capilar &gt; Shampoo &gt;</t>
        </is>
      </c>
      <c r="L2464" s="10" t="inlineStr">
        <is>
          <t>shampoo</t>
        </is>
      </c>
      <c r="M2464" s="10" t="inlineStr">
        <is>
          <t>estandar</t>
        </is>
      </c>
      <c r="N2464" s="10" t="inlineStr">
        <is>
          <t>general</t>
        </is>
      </c>
      <c r="O2464" s="10" t="inlineStr">
        <is>
          <t>https://www.disco.com.ar/shampoo-herbal-essences-prolongalos-pvc-ml-355-2/p</t>
        </is>
      </c>
    </row>
    <row r="2465">
      <c r="A2465" t="inlineStr">
        <is>
          <t>Disco</t>
        </is>
      </c>
      <c r="B2465" t="n">
        <v>146511</v>
      </c>
      <c r="C2465" t="n">
        <v>143419</v>
      </c>
      <c r="D2465" t="inlineStr">
        <is>
          <t>Shampoo Herbal Essences-alborótalos-pvc-ml.-355</t>
        </is>
      </c>
      <c r="E2465" t="inlineStr">
        <is>
          <t>HERBAL ESSENCES</t>
        </is>
      </c>
      <c r="F2465" t="n">
        <v>15.75</v>
      </c>
      <c r="G2465" t="n">
        <v>1302</v>
      </c>
      <c r="H2465" t="b">
        <v>0</v>
      </c>
      <c r="I2465" t="inlineStr"/>
      <c r="J2465" t="inlineStr"/>
      <c r="K2465" t="inlineStr">
        <is>
          <t>&gt; Perfumería &gt; Cuidado Capilar &gt; Shampoo &gt;</t>
        </is>
      </c>
      <c r="L2465" t="inlineStr">
        <is>
          <t>shampoo</t>
        </is>
      </c>
      <c r="M2465" t="inlineStr">
        <is>
          <t>estandar</t>
        </is>
      </c>
      <c r="N2465" t="inlineStr">
        <is>
          <t>general</t>
        </is>
      </c>
      <c r="O2465" t="inlineStr">
        <is>
          <t>https://www.disco.com.ar/shampoo-herbal-essences-alborotalos-pvc-ml-355-2/p</t>
        </is>
      </c>
    </row>
    <row r="2466">
      <c r="A2466" s="10" t="inlineStr">
        <is>
          <t>Disco</t>
        </is>
      </c>
      <c r="B2466" s="10" t="n">
        <v>146502</v>
      </c>
      <c r="C2466" s="10" t="n">
        <v>143411</v>
      </c>
      <c r="D2466" s="10" t="inlineStr">
        <is>
          <t>Shampoo Herbal Essences-domador De Fieras-pvc-ml.-355</t>
        </is>
      </c>
      <c r="E2466" s="10" t="inlineStr">
        <is>
          <t>HERBAL ESSENCES</t>
        </is>
      </c>
      <c r="F2466" s="10" t="n">
        <v>15.75</v>
      </c>
      <c r="G2466" s="10" t="n">
        <v>1302</v>
      </c>
      <c r="H2466" s="10" t="b">
        <v>0</v>
      </c>
      <c r="I2466" s="10" t="inlineStr"/>
      <c r="J2466" s="10" t="inlineStr"/>
      <c r="K2466" s="10" t="inlineStr">
        <is>
          <t>&gt; Perfumería &gt; Cuidado Capilar &gt; Shampoo &gt;</t>
        </is>
      </c>
      <c r="L2466" s="10" t="inlineStr">
        <is>
          <t>shampoo</t>
        </is>
      </c>
      <c r="M2466" s="10" t="inlineStr">
        <is>
          <t>estandar</t>
        </is>
      </c>
      <c r="N2466" s="10" t="inlineStr">
        <is>
          <t>general</t>
        </is>
      </c>
      <c r="O2466" s="10" t="inlineStr">
        <is>
          <t>https://www.disco.com.ar/shampoo-herbal-essences-domador-de-fieras-pvc-ml-355-2/p</t>
        </is>
      </c>
    </row>
    <row r="2467">
      <c r="A2467" t="inlineStr">
        <is>
          <t>Disco</t>
        </is>
      </c>
      <c r="B2467" t="n">
        <v>146499</v>
      </c>
      <c r="C2467" t="n">
        <v>143408</v>
      </c>
      <c r="D2467" t="inlineStr">
        <is>
          <t>Acondicionador Herbal Essences Prolóngalo 670 Ml</t>
        </is>
      </c>
      <c r="E2467" t="inlineStr">
        <is>
          <t>HERBAL ESSENCES</t>
        </is>
      </c>
      <c r="F2467" t="n">
        <v>297.99</v>
      </c>
      <c r="G2467" t="n">
        <v>24627</v>
      </c>
      <c r="H2467" t="b">
        <v>0</v>
      </c>
      <c r="I2467" t="n">
        <v>670</v>
      </c>
      <c r="J2467" t="n">
        <v>0.4448</v>
      </c>
      <c r="K2467" t="inlineStr">
        <is>
          <t>&gt; Perfumería &gt; Cuidado Capilar &gt; Acondicionador &gt;</t>
        </is>
      </c>
      <c r="L2467" t="inlineStr">
        <is>
          <t>acondicionador</t>
        </is>
      </c>
      <c r="M2467" t="inlineStr">
        <is>
          <t>estandar</t>
        </is>
      </c>
      <c r="N2467" t="inlineStr">
        <is>
          <t>general</t>
        </is>
      </c>
      <c r="O2467" t="inlineStr">
        <is>
          <t>https://www.disco.com.ar/acondicionador-herbal-essences-prolongalo-670-ml-2/p</t>
        </is>
      </c>
    </row>
    <row r="2468">
      <c r="A2468" s="10" t="inlineStr">
        <is>
          <t>Disco</t>
        </is>
      </c>
      <c r="B2468" s="10" t="n">
        <v>146498</v>
      </c>
      <c r="C2468" s="10" t="n">
        <v>143407</v>
      </c>
      <c r="D2468" s="10" t="inlineStr">
        <is>
          <t>Shampoo Herbal Essences-curvas Peligrosas-pvc-ml.-355</t>
        </is>
      </c>
      <c r="E2468" s="10" t="inlineStr">
        <is>
          <t>HERBAL ESSENCES</t>
        </is>
      </c>
      <c r="F2468" s="10" t="n">
        <v>15.75</v>
      </c>
      <c r="G2468" s="10" t="n">
        <v>1302</v>
      </c>
      <c r="H2468" s="10" t="b">
        <v>0</v>
      </c>
      <c r="I2468" s="10" t="inlineStr"/>
      <c r="J2468" s="10" t="inlineStr"/>
      <c r="K2468" s="10" t="inlineStr">
        <is>
          <t>&gt; Perfumería &gt; Cuidado Capilar &gt; Shampoo &gt;</t>
        </is>
      </c>
      <c r="L2468" s="10" t="inlineStr">
        <is>
          <t>shampoo</t>
        </is>
      </c>
      <c r="M2468" s="10" t="inlineStr">
        <is>
          <t>estandar</t>
        </is>
      </c>
      <c r="N2468" s="10" t="inlineStr">
        <is>
          <t>general</t>
        </is>
      </c>
      <c r="O2468" s="10" t="inlineStr">
        <is>
          <t>https://www.disco.com.ar/shampoo-herbal-essences-curvas-peligrosas-pvc-ml-355-2/p</t>
        </is>
      </c>
    </row>
    <row r="2469">
      <c r="A2469" t="inlineStr">
        <is>
          <t>Disco</t>
        </is>
      </c>
      <c r="B2469" t="n">
        <v>146494</v>
      </c>
      <c r="C2469" t="n">
        <v>143403</v>
      </c>
      <c r="D2469" t="inlineStr">
        <is>
          <t>Shampoo Herbal Essences-enciéndete-pvc-ml.-355</t>
        </is>
      </c>
      <c r="E2469" t="inlineStr">
        <is>
          <t>HERBAL ESSENCES</t>
        </is>
      </c>
      <c r="F2469" t="n">
        <v>15.75</v>
      </c>
      <c r="G2469" t="n">
        <v>1302</v>
      </c>
      <c r="H2469" t="b">
        <v>0</v>
      </c>
      <c r="I2469" t="inlineStr"/>
      <c r="J2469" t="inlineStr"/>
      <c r="K2469" t="inlineStr">
        <is>
          <t>&gt; Perfumería &gt; Cuidado Capilar &gt; Shampoo &gt;</t>
        </is>
      </c>
      <c r="L2469" t="inlineStr">
        <is>
          <t>shampoo</t>
        </is>
      </c>
      <c r="M2469" t="inlineStr">
        <is>
          <t>estandar</t>
        </is>
      </c>
      <c r="N2469" t="inlineStr">
        <is>
          <t>general</t>
        </is>
      </c>
      <c r="O2469" t="inlineStr">
        <is>
          <t>https://www.disco.com.ar/shampoo-herbal-essences-enciendete-pvc-ml-355-2/p</t>
        </is>
      </c>
    </row>
    <row r="2470">
      <c r="A2470" s="10" t="inlineStr">
        <is>
          <t>Disco</t>
        </is>
      </c>
      <c r="B2470" s="10" t="n">
        <v>46830</v>
      </c>
      <c r="C2470" s="10" t="n">
        <v>43994</v>
      </c>
      <c r="D2470" s="10" t="inlineStr">
        <is>
          <t>Acondicionador Herbal Essences Daily Detox Brillo 300 Ml</t>
        </is>
      </c>
      <c r="E2470" s="10" t="inlineStr">
        <is>
          <t>HERBAL ESSENCES</t>
        </is>
      </c>
      <c r="F2470" s="10" t="n">
        <v>157.69</v>
      </c>
      <c r="G2470" s="10" t="n">
        <v>13032</v>
      </c>
      <c r="H2470" s="10" t="b">
        <v>0</v>
      </c>
      <c r="I2470" s="10" t="n">
        <v>300</v>
      </c>
      <c r="J2470" s="10" t="n">
        <v>0.5256</v>
      </c>
      <c r="K2470" s="10" t="inlineStr">
        <is>
          <t>&gt; Perfumería &gt; Cuidado Capilar &gt; Acondicionador &gt;</t>
        </is>
      </c>
      <c r="L2470" s="10" t="inlineStr">
        <is>
          <t>acondicionador</t>
        </is>
      </c>
      <c r="M2470" s="10" t="inlineStr">
        <is>
          <t>estandar</t>
        </is>
      </c>
      <c r="N2470" s="10" t="inlineStr">
        <is>
          <t>general</t>
        </is>
      </c>
      <c r="O2470" s="10" t="inlineStr">
        <is>
          <t>https://www.disco.com.ar/acondicionador-herbal-essences-daily-detox-brillo-300-ml/p</t>
        </is>
      </c>
    </row>
    <row r="2471">
      <c r="A2471" t="inlineStr">
        <is>
          <t>Disco</t>
        </is>
      </c>
      <c r="B2471" t="n">
        <v>46735</v>
      </c>
      <c r="C2471" t="n">
        <v>43899</v>
      </c>
      <c r="D2471" t="inlineStr">
        <is>
          <t>Shampoo Herbal Essences Daily Detox Brillo 300 Ml</t>
        </is>
      </c>
      <c r="E2471" t="inlineStr">
        <is>
          <t>HERBAL ESSENCES</t>
        </is>
      </c>
      <c r="F2471" t="n">
        <v>157.69</v>
      </c>
      <c r="G2471" t="n">
        <v>13032</v>
      </c>
      <c r="H2471" t="b">
        <v>0</v>
      </c>
      <c r="I2471" t="n">
        <v>300</v>
      </c>
      <c r="J2471" t="n">
        <v>0.5256</v>
      </c>
      <c r="K2471" t="inlineStr">
        <is>
          <t>&gt; Perfumería &gt; Cuidado Capilar &gt; Shampoo &gt;</t>
        </is>
      </c>
      <c r="L2471" t="inlineStr">
        <is>
          <t>shampoo</t>
        </is>
      </c>
      <c r="M2471" t="inlineStr">
        <is>
          <t>estandar</t>
        </is>
      </c>
      <c r="N2471" t="inlineStr">
        <is>
          <t>general</t>
        </is>
      </c>
      <c r="O2471" t="inlineStr">
        <is>
          <t>https://www.disco.com.ar/shampoo-herbal-essences-daily-detox-brillo-300-ml/p</t>
        </is>
      </c>
    </row>
    <row r="2472">
      <c r="A2472" s="10" t="inlineStr">
        <is>
          <t>Disco</t>
        </is>
      </c>
      <c r="B2472" s="10" t="n">
        <v>46734</v>
      </c>
      <c r="C2472" s="10" t="n">
        <v>43898</v>
      </c>
      <c r="D2472" s="10" t="inlineStr">
        <is>
          <t>Acondicionador Herbal Essences Daily Detox Hidratación 300 Ml</t>
        </is>
      </c>
      <c r="E2472" s="10" t="inlineStr">
        <is>
          <t>HERBAL ESSENCES</t>
        </is>
      </c>
      <c r="F2472" s="10" t="n">
        <v>157.69</v>
      </c>
      <c r="G2472" s="10" t="n">
        <v>13032</v>
      </c>
      <c r="H2472" s="10" t="b">
        <v>0</v>
      </c>
      <c r="I2472" s="10" t="n">
        <v>300</v>
      </c>
      <c r="J2472" s="10" t="n">
        <v>0.5256</v>
      </c>
      <c r="K2472" s="10" t="inlineStr">
        <is>
          <t>&gt; Perfumería &gt; Cuidado Capilar &gt; Acondicionador &gt;</t>
        </is>
      </c>
      <c r="L2472" s="10" t="inlineStr">
        <is>
          <t>acondicionador</t>
        </is>
      </c>
      <c r="M2472" s="10" t="inlineStr">
        <is>
          <t>estandar</t>
        </is>
      </c>
      <c r="N2472" s="10" t="inlineStr">
        <is>
          <t>seco_danado</t>
        </is>
      </c>
      <c r="O2472" s="10" t="inlineStr">
        <is>
          <t>https://www.disco.com.ar/acondicionador-herbal-essences-daily-detox-hidratacion-300-ml/p</t>
        </is>
      </c>
    </row>
    <row r="2473">
      <c r="A2473" t="inlineStr">
        <is>
          <t>Disco</t>
        </is>
      </c>
      <c r="B2473" t="n">
        <v>42238</v>
      </c>
      <c r="C2473" t="n">
        <v>39408</v>
      </c>
      <c r="D2473" t="inlineStr">
        <is>
          <t>Acondicionador Herbal Essences Delirio De Control 300 Ml</t>
        </is>
      </c>
      <c r="E2473" t="inlineStr">
        <is>
          <t>HERBAL ESSENCES</t>
        </is>
      </c>
      <c r="F2473" t="n">
        <v>157.69</v>
      </c>
      <c r="G2473" t="n">
        <v>13032</v>
      </c>
      <c r="H2473" t="b">
        <v>0</v>
      </c>
      <c r="I2473" t="n">
        <v>300</v>
      </c>
      <c r="J2473" t="n">
        <v>0.5256</v>
      </c>
      <c r="K2473" t="inlineStr">
        <is>
          <t>&gt; Perfumería &gt; Cuidado Capilar &gt; Acondicionador &gt;</t>
        </is>
      </c>
      <c r="L2473" t="inlineStr">
        <is>
          <t>acondicionador</t>
        </is>
      </c>
      <c r="M2473" t="inlineStr">
        <is>
          <t>estandar</t>
        </is>
      </c>
      <c r="N2473" t="inlineStr">
        <is>
          <t>general</t>
        </is>
      </c>
      <c r="O2473" t="inlineStr">
        <is>
          <t>https://www.disco.com.ar/acondicionador-herbal-essences-delirio-de-control-300-ml/p</t>
        </is>
      </c>
    </row>
    <row r="2474">
      <c r="A2474" s="10" t="inlineStr">
        <is>
          <t>Disco</t>
        </is>
      </c>
      <c r="B2474" s="10" t="n">
        <v>34506</v>
      </c>
      <c r="C2474" s="10" t="n">
        <v>31665</v>
      </c>
      <c r="D2474" s="10" t="inlineStr">
        <is>
          <t>Crema Para Peinar Herbal Essences Alborótalos 300 Ml</t>
        </is>
      </c>
      <c r="E2474" s="10" t="inlineStr">
        <is>
          <t>HERBAL ESSENCES</t>
        </is>
      </c>
      <c r="F2474" s="10" t="n">
        <v>189.75</v>
      </c>
      <c r="G2474" s="10" t="n">
        <v>15682</v>
      </c>
      <c r="H2474" s="10" t="b">
        <v>0</v>
      </c>
      <c r="I2474" s="10" t="n">
        <v>300</v>
      </c>
      <c r="J2474" s="10" t="n">
        <v>0.6325</v>
      </c>
      <c r="K2474" s="10" t="inlineStr">
        <is>
          <t>&gt; Perfumería &gt; Cuidado Capilar &gt; Reparación y Tratamientos &gt;</t>
        </is>
      </c>
      <c r="L2474" s="10" t="inlineStr">
        <is>
          <t>shampoo</t>
        </is>
      </c>
      <c r="M2474" s="10" t="inlineStr">
        <is>
          <t>estandar</t>
        </is>
      </c>
      <c r="N2474" s="10" t="inlineStr">
        <is>
          <t>general</t>
        </is>
      </c>
      <c r="O2474" s="10" t="inlineStr">
        <is>
          <t>https://www.disco.com.ar/crema-para-peinar-herbal-essences-alborotalos-300-ml/p</t>
        </is>
      </c>
    </row>
    <row r="2475">
      <c r="A2475" t="inlineStr">
        <is>
          <t>Disco</t>
        </is>
      </c>
      <c r="B2475" t="n">
        <v>29967</v>
      </c>
      <c r="C2475" t="n">
        <v>27129</v>
      </c>
      <c r="D2475" t="inlineStr">
        <is>
          <t>Crema Para Peinar Herbal Essences Endúlzalo Con Fuerza 300 Ml</t>
        </is>
      </c>
      <c r="E2475" t="inlineStr">
        <is>
          <t>HERBAL ESSENCES</t>
        </is>
      </c>
      <c r="F2475" t="n">
        <v>189.75</v>
      </c>
      <c r="G2475" t="n">
        <v>15682</v>
      </c>
      <c r="H2475" t="b">
        <v>0</v>
      </c>
      <c r="I2475" t="n">
        <v>300</v>
      </c>
      <c r="J2475" t="n">
        <v>0.6325</v>
      </c>
      <c r="K2475" t="inlineStr">
        <is>
          <t>&gt; Perfumería &gt; Cuidado Capilar &gt; Reparación y Tratamientos &gt;</t>
        </is>
      </c>
      <c r="L2475" t="inlineStr">
        <is>
          <t>shampoo</t>
        </is>
      </c>
      <c r="M2475" t="inlineStr">
        <is>
          <t>estandar</t>
        </is>
      </c>
      <c r="N2475" t="inlineStr">
        <is>
          <t>general</t>
        </is>
      </c>
      <c r="O2475" t="inlineStr">
        <is>
          <t>https://www.disco.com.ar/crema-para-peinar-herbal-essences-endulzalo-con-fuerza-300-ml/p</t>
        </is>
      </c>
    </row>
    <row r="2476">
      <c r="A2476" s="10" t="inlineStr">
        <is>
          <t>Disco</t>
        </is>
      </c>
      <c r="B2476" s="10" t="n">
        <v>29853</v>
      </c>
      <c r="C2476" s="10" t="n">
        <v>27015</v>
      </c>
      <c r="D2476" s="10" t="inlineStr">
        <is>
          <t>Shampoo Herbal Essences Endulzalos Con Fuerza Shampoo Herbal Essences Endúlzalo Con Fuerza 300 Ml</t>
        </is>
      </c>
      <c r="E2476" s="10" t="inlineStr">
        <is>
          <t>HERBAL ESSENCES</t>
        </is>
      </c>
      <c r="F2476" s="10" t="n">
        <v>157.69</v>
      </c>
      <c r="G2476" s="10" t="n">
        <v>13032</v>
      </c>
      <c r="H2476" s="10" t="b">
        <v>0</v>
      </c>
      <c r="I2476" s="10" t="n">
        <v>300</v>
      </c>
      <c r="J2476" s="10" t="n">
        <v>0.5256</v>
      </c>
      <c r="K2476" s="10" t="inlineStr">
        <is>
          <t>&gt; Perfumería &gt; Cuidado Capilar &gt; Shampoo &gt;</t>
        </is>
      </c>
      <c r="L2476" s="10" t="inlineStr">
        <is>
          <t>shampoo</t>
        </is>
      </c>
      <c r="M2476" s="10" t="inlineStr">
        <is>
          <t>estandar</t>
        </is>
      </c>
      <c r="N2476" s="10" t="inlineStr">
        <is>
          <t>general</t>
        </is>
      </c>
      <c r="O2476" s="10" t="inlineStr">
        <is>
          <t>https://www.disco.com.ar/shampoo-herbal-essences-endulzalos-con-fuerza/p</t>
        </is>
      </c>
    </row>
    <row r="2477">
      <c r="A2477" t="inlineStr">
        <is>
          <t>Disco</t>
        </is>
      </c>
      <c r="B2477" t="n">
        <v>29847</v>
      </c>
      <c r="C2477" t="n">
        <v>27009</v>
      </c>
      <c r="D2477" t="inlineStr">
        <is>
          <t>Acondicionador Herbal Essences Endulzalos Con Fuerza Acondicionador Herbal Essences Endúlzalo Con Fuerza 300 Ml</t>
        </is>
      </c>
      <c r="E2477" t="inlineStr">
        <is>
          <t>HERBAL ESSENCES</t>
        </is>
      </c>
      <c r="F2477" t="n">
        <v>157.69</v>
      </c>
      <c r="G2477" t="n">
        <v>13032</v>
      </c>
      <c r="H2477" t="b">
        <v>0</v>
      </c>
      <c r="I2477" t="n">
        <v>300</v>
      </c>
      <c r="J2477" t="n">
        <v>0.5256</v>
      </c>
      <c r="K2477" t="inlineStr">
        <is>
          <t>&gt; Perfumería &gt; Cuidado Capilar &gt; Acondicionador &gt;</t>
        </is>
      </c>
      <c r="L2477" t="inlineStr">
        <is>
          <t>acondicionador</t>
        </is>
      </c>
      <c r="M2477" t="inlineStr">
        <is>
          <t>estandar</t>
        </is>
      </c>
      <c r="N2477" t="inlineStr">
        <is>
          <t>general</t>
        </is>
      </c>
      <c r="O2477" t="inlineStr">
        <is>
          <t>https://www.disco.com.ar/acondicionador-herbal-essences-endulzalos-con-fuerza/p</t>
        </is>
      </c>
    </row>
    <row r="2478">
      <c r="A2478" s="10" t="inlineStr">
        <is>
          <t>Disco</t>
        </is>
      </c>
      <c r="B2478" s="10" t="n">
        <v>29627</v>
      </c>
      <c r="C2478" s="10" t="n">
        <v>26789</v>
      </c>
      <c r="D2478" s="10" t="inlineStr">
        <is>
          <t>Shampoo Herbal Essences Paralísalos 300 Ml</t>
        </is>
      </c>
      <c r="E2478" s="10" t="inlineStr">
        <is>
          <t>HERBAL ESSENCES</t>
        </is>
      </c>
      <c r="F2478" s="10" t="n">
        <v>157.69</v>
      </c>
      <c r="G2478" s="10" t="n">
        <v>13032</v>
      </c>
      <c r="H2478" s="10" t="b">
        <v>0</v>
      </c>
      <c r="I2478" s="10" t="n">
        <v>300</v>
      </c>
      <c r="J2478" s="10" t="n">
        <v>0.5256</v>
      </c>
      <c r="K2478" s="10" t="inlineStr">
        <is>
          <t>&gt; Perfumería &gt; Cuidado Capilar &gt; Shampoo &gt;</t>
        </is>
      </c>
      <c r="L2478" s="10" t="inlineStr">
        <is>
          <t>shampoo</t>
        </is>
      </c>
      <c r="M2478" s="10" t="inlineStr">
        <is>
          <t>estandar</t>
        </is>
      </c>
      <c r="N2478" s="10" t="inlineStr">
        <is>
          <t>general</t>
        </is>
      </c>
      <c r="O2478" s="10" t="inlineStr">
        <is>
          <t>https://www.disco.com.ar/shampoo-herbal-essences-4/p</t>
        </is>
      </c>
    </row>
    <row r="2479">
      <c r="A2479" t="inlineStr">
        <is>
          <t>Disco</t>
        </is>
      </c>
      <c r="B2479" t="n">
        <v>29569</v>
      </c>
      <c r="C2479" t="n">
        <v>26731</v>
      </c>
      <c r="D2479" t="inlineStr">
        <is>
          <t>Shampoo Herbal Essences-curvas Peligrosas-pvc-ml.-300</t>
        </is>
      </c>
      <c r="E2479" t="inlineStr">
        <is>
          <t>HERBAL ESSENCES</t>
        </is>
      </c>
      <c r="F2479" t="n">
        <v>21.29</v>
      </c>
      <c r="G2479" t="n">
        <v>1760</v>
      </c>
      <c r="H2479" t="b">
        <v>0</v>
      </c>
      <c r="I2479" t="inlineStr"/>
      <c r="J2479" t="inlineStr"/>
      <c r="K2479" t="inlineStr">
        <is>
          <t>&gt; Perfumería &gt; Cuidado Capilar &gt; Shampoo &gt;</t>
        </is>
      </c>
      <c r="L2479" t="inlineStr">
        <is>
          <t>shampoo</t>
        </is>
      </c>
      <c r="M2479" t="inlineStr">
        <is>
          <t>estandar</t>
        </is>
      </c>
      <c r="N2479" t="inlineStr">
        <is>
          <t>general</t>
        </is>
      </c>
      <c r="O2479" t="inlineStr">
        <is>
          <t>https://www.disco.com.ar/shampoo-herbal-essences/p</t>
        </is>
      </c>
    </row>
    <row r="2480">
      <c r="A2480" s="10" t="inlineStr">
        <is>
          <t>Disco</t>
        </is>
      </c>
      <c r="B2480" s="10" t="n">
        <v>420156</v>
      </c>
      <c r="C2480" s="10" t="n">
        <v>414430</v>
      </c>
      <c r="D2480" s="10" t="inlineStr">
        <is>
          <t>Crema para Peinar Cabello Rizado Oleo Extraordinario 250 Ml Elvive</t>
        </is>
      </c>
      <c r="E2480" s="10" t="inlineStr">
        <is>
          <t>ELVIVE</t>
        </is>
      </c>
      <c r="F2480" s="10" t="n">
        <v>9850</v>
      </c>
      <c r="G2480" s="10" t="n">
        <v>814050</v>
      </c>
      <c r="H2480" s="10" t="b">
        <v>1</v>
      </c>
      <c r="I2480" s="10" t="n">
        <v>250</v>
      </c>
      <c r="J2480" s="10" t="n">
        <v>39.4</v>
      </c>
      <c r="K2480" s="10" t="inlineStr">
        <is>
          <t>&gt; Perfumería &gt; Cuidado Capilar &gt; Reparación y Tratamientos &gt;</t>
        </is>
      </c>
      <c r="L2480" s="10" t="inlineStr">
        <is>
          <t>shampoo</t>
        </is>
      </c>
      <c r="M2480" s="10" t="inlineStr">
        <is>
          <t>profesional</t>
        </is>
      </c>
      <c r="N2480" s="10" t="inlineStr">
        <is>
          <t>rizado</t>
        </is>
      </c>
      <c r="O2480" s="10" t="inlineStr">
        <is>
          <t>https://www.disco.com.ar/crema-para-peinar-elvive-oleo-rizo/p</t>
        </is>
      </c>
    </row>
    <row r="2481">
      <c r="A2481" t="inlineStr">
        <is>
          <t>Disco</t>
        </is>
      </c>
      <c r="B2481" t="n">
        <v>384082</v>
      </c>
      <c r="C2481" t="n">
        <v>382765</v>
      </c>
      <c r="D2481" t="inlineStr">
        <is>
          <t>Aceite para el Pelo Óleo Extraordinario Nutrición 100 Ml Elvive</t>
        </is>
      </c>
      <c r="E2481" t="inlineStr">
        <is>
          <t>ELVIVE</t>
        </is>
      </c>
      <c r="F2481" t="n">
        <v>21950</v>
      </c>
      <c r="G2481" t="n">
        <v>1814050</v>
      </c>
      <c r="H2481" t="b">
        <v>1</v>
      </c>
      <c r="I2481" t="n">
        <v>100</v>
      </c>
      <c r="J2481" t="n">
        <v>219.5</v>
      </c>
      <c r="K2481" t="inlineStr">
        <is>
          <t>&gt; Perfumería &gt; Cuidado Capilar &gt; Reparación y Tratamientos &gt;</t>
        </is>
      </c>
      <c r="L2481" t="inlineStr">
        <is>
          <t>shampoo</t>
        </is>
      </c>
      <c r="M2481" t="inlineStr">
        <is>
          <t>profesional</t>
        </is>
      </c>
      <c r="N2481" t="inlineStr">
        <is>
          <t>general</t>
        </is>
      </c>
      <c r="O2481" t="inlineStr">
        <is>
          <t>https://www.disco.com.ar/tratamiento-nutricion-elvive-loreal-oleo-extraordinario-100-ml/p</t>
        </is>
      </c>
    </row>
    <row r="2482">
      <c r="A2482" s="10" t="inlineStr">
        <is>
          <t>Disco</t>
        </is>
      </c>
      <c r="B2482" s="10" t="n">
        <v>400532</v>
      </c>
      <c r="C2482" s="10" t="n">
        <v>397870</v>
      </c>
      <c r="D2482" s="10" t="inlineStr">
        <is>
          <t>Crema para Peinar Hidra Hialurónico 250 Ml Elvive</t>
        </is>
      </c>
      <c r="E2482" s="10" t="inlineStr">
        <is>
          <t>ELVIVE</t>
        </is>
      </c>
      <c r="F2482" s="10" t="n">
        <v>9800</v>
      </c>
      <c r="G2482" s="10" t="n">
        <v>809917</v>
      </c>
      <c r="H2482" s="10" t="b">
        <v>1</v>
      </c>
      <c r="I2482" s="10" t="n">
        <v>250</v>
      </c>
      <c r="J2482" s="10" t="n">
        <v>39.2</v>
      </c>
      <c r="K2482" s="10" t="inlineStr">
        <is>
          <t>&gt; Perfumería &gt; Cuidado Capilar &gt; Reparación y Tratamientos &gt;</t>
        </is>
      </c>
      <c r="L2482" s="10" t="inlineStr">
        <is>
          <t>shampoo</t>
        </is>
      </c>
      <c r="M2482" s="10" t="inlineStr">
        <is>
          <t>profesional</t>
        </is>
      </c>
      <c r="N2482" s="10" t="inlineStr">
        <is>
          <t>general</t>
        </is>
      </c>
      <c r="O2482" s="10" t="inlineStr">
        <is>
          <t>https://www.disco.com.ar/crema-para-peinar-elvive-hidra-hialuronico-250-ml/p</t>
        </is>
      </c>
    </row>
    <row r="2483">
      <c r="A2483" t="inlineStr">
        <is>
          <t>Disco</t>
        </is>
      </c>
      <c r="B2483" t="n">
        <v>3071023</v>
      </c>
      <c r="C2483" t="n">
        <v>3070594</v>
      </c>
      <c r="D2483" t="inlineStr">
        <is>
          <t>Crema para Peinar Dream Liso Anti Frizz 250 Ml Elvive</t>
        </is>
      </c>
      <c r="E2483" t="inlineStr">
        <is>
          <t>ELVIVE</t>
        </is>
      </c>
      <c r="F2483" t="n">
        <v>10950</v>
      </c>
      <c r="G2483" t="n">
        <v>904959</v>
      </c>
      <c r="H2483" t="b">
        <v>1</v>
      </c>
      <c r="I2483" t="n">
        <v>250</v>
      </c>
      <c r="J2483" t="n">
        <v>43.8</v>
      </c>
      <c r="K2483" t="inlineStr">
        <is>
          <t>&gt; Perfumería &gt; Cuidado Capilar &gt; Reparación y Tratamientos &gt;</t>
        </is>
      </c>
      <c r="L2483" t="inlineStr">
        <is>
          <t>shampoo</t>
        </is>
      </c>
      <c r="M2483" t="inlineStr">
        <is>
          <t>profesional</t>
        </is>
      </c>
      <c r="N2483" t="inlineStr">
        <is>
          <t>general</t>
        </is>
      </c>
      <c r="O2483" t="inlineStr">
        <is>
          <t>https://www.disco.com.ar/crema-de-peinar-dream-liso-250-ml-elvive/p</t>
        </is>
      </c>
    </row>
    <row r="2484">
      <c r="A2484" s="10" t="inlineStr">
        <is>
          <t>Disco</t>
        </is>
      </c>
      <c r="B2484" s="10" t="n">
        <v>407573</v>
      </c>
      <c r="C2484" s="10" t="n">
        <v>403762</v>
      </c>
      <c r="D2484" s="10" t="inlineStr">
        <is>
          <t>Mascarilla Elvive Rt Extreme 300 Gr</t>
        </is>
      </c>
      <c r="E2484" s="10" t="inlineStr">
        <is>
          <t>ELVIVE</t>
        </is>
      </c>
      <c r="F2484" s="10" t="n">
        <v>12300</v>
      </c>
      <c r="G2484" s="10" t="n">
        <v>1016529</v>
      </c>
      <c r="H2484" s="10" t="b">
        <v>1</v>
      </c>
      <c r="I2484" s="10" t="n">
        <v>300</v>
      </c>
      <c r="J2484" s="10" t="n">
        <v>41</v>
      </c>
      <c r="K2484" s="10" t="inlineStr">
        <is>
          <t>&gt; Perfumería &gt; Cuidado Capilar &gt; Reparación y Tratamientos &gt;</t>
        </is>
      </c>
      <c r="L2484" s="10" t="inlineStr">
        <is>
          <t>tratamiento</t>
        </is>
      </c>
      <c r="M2484" s="10" t="inlineStr">
        <is>
          <t>profesional</t>
        </is>
      </c>
      <c r="N2484" s="10" t="inlineStr">
        <is>
          <t>general</t>
        </is>
      </c>
      <c r="O2484" s="10" t="inlineStr">
        <is>
          <t>https://www.disco.com.ar/mascarilla-elvive-rt-extreme-300-gr/p</t>
        </is>
      </c>
    </row>
    <row r="2485">
      <c r="A2485" t="inlineStr">
        <is>
          <t>Disco</t>
        </is>
      </c>
      <c r="B2485" t="n">
        <v>407569</v>
      </c>
      <c r="C2485" t="n">
        <v>403758</v>
      </c>
      <c r="D2485" t="inlineStr">
        <is>
          <t>Crema para Peinar Reparación Total 5 Keratin 250 Ml Elvive</t>
        </is>
      </c>
      <c r="E2485" t="inlineStr">
        <is>
          <t>ELVIVE</t>
        </is>
      </c>
      <c r="F2485" t="n">
        <v>9850</v>
      </c>
      <c r="G2485" t="n">
        <v>814050</v>
      </c>
      <c r="H2485" t="b">
        <v>1</v>
      </c>
      <c r="I2485" t="n">
        <v>250</v>
      </c>
      <c r="J2485" t="n">
        <v>39.4</v>
      </c>
      <c r="K2485" t="inlineStr">
        <is>
          <t>&gt; Perfumería &gt; Cuidado Capilar &gt; Reparación y Tratamientos &gt;</t>
        </is>
      </c>
      <c r="L2485" t="inlineStr">
        <is>
          <t>shampoo</t>
        </is>
      </c>
      <c r="M2485" t="inlineStr">
        <is>
          <t>profesional</t>
        </is>
      </c>
      <c r="N2485" t="inlineStr">
        <is>
          <t>general</t>
        </is>
      </c>
      <c r="O2485" t="inlineStr">
        <is>
          <t>https://www.disco.com.ar/crema-para-peinar-elvive-reparacion-total-5-keratin-250-ml/p</t>
        </is>
      </c>
    </row>
    <row r="2486">
      <c r="A2486" s="10" t="inlineStr">
        <is>
          <t>Disco</t>
        </is>
      </c>
      <c r="B2486" s="10" t="n">
        <v>397625</v>
      </c>
      <c r="C2486" s="10" t="n">
        <v>395358</v>
      </c>
      <c r="D2486" s="10" t="inlineStr">
        <is>
          <t>Mascarilla Hidratación Ligera Hialurónico Pure 300 Grs Elvive</t>
        </is>
      </c>
      <c r="E2486" s="10" t="inlineStr">
        <is>
          <t>ELVIVE</t>
        </is>
      </c>
      <c r="F2486" s="10" t="n">
        <v>12300</v>
      </c>
      <c r="G2486" s="10" t="n">
        <v>1016529</v>
      </c>
      <c r="H2486" s="10" t="b">
        <v>1</v>
      </c>
      <c r="I2486" s="10" t="inlineStr"/>
      <c r="J2486" s="10" t="inlineStr"/>
      <c r="K2486" s="10" t="inlineStr">
        <is>
          <t>&gt; Perfumería &gt; Cuidado Capilar &gt; Reparación y Tratamientos &gt;</t>
        </is>
      </c>
      <c r="L2486" s="10" t="inlineStr">
        <is>
          <t>tratamiento</t>
        </is>
      </c>
      <c r="M2486" s="10" t="inlineStr">
        <is>
          <t>profesional</t>
        </is>
      </c>
      <c r="N2486" s="10" t="inlineStr">
        <is>
          <t>seco_danado</t>
        </is>
      </c>
      <c r="O2486" s="10" t="inlineStr">
        <is>
          <t>https://www.disco.com.ar/mascarilla-elvive-hialuronico-pure-300-gr/p</t>
        </is>
      </c>
    </row>
    <row r="2487">
      <c r="A2487" t="inlineStr">
        <is>
          <t>Disco</t>
        </is>
      </c>
      <c r="B2487" t="n">
        <v>3083502</v>
      </c>
      <c r="C2487" t="n">
        <v>3082777</v>
      </c>
      <c r="D2487" t="inlineStr">
        <is>
          <t>Mascarilla Tratamiento Brillo Anti-residuos Glycolic Cristal 300 Ml Elvive</t>
        </is>
      </c>
      <c r="E2487" t="inlineStr">
        <is>
          <t>ELVIVE</t>
        </is>
      </c>
      <c r="F2487" t="n">
        <v>13900</v>
      </c>
      <c r="G2487" t="n">
        <v>1148760</v>
      </c>
      <c r="H2487" t="b">
        <v>1</v>
      </c>
      <c r="I2487" t="n">
        <v>300</v>
      </c>
      <c r="J2487" t="n">
        <v>46.3333</v>
      </c>
      <c r="K2487" t="inlineStr">
        <is>
          <t>&gt; Perfumería &gt; Cuidado Capilar &gt; Reparación y Tratamientos &gt;</t>
        </is>
      </c>
      <c r="L2487" t="inlineStr">
        <is>
          <t>tratamiento</t>
        </is>
      </c>
      <c r="M2487" t="inlineStr">
        <is>
          <t>profesional</t>
        </is>
      </c>
      <c r="N2487" t="inlineStr">
        <is>
          <t>general</t>
        </is>
      </c>
      <c r="O2487" t="inlineStr">
        <is>
          <t>https://www.disco.com.ar/tratamiento-brillo-anti-residuos-glycolic-cristal-x-300-ml-elvive/p</t>
        </is>
      </c>
    </row>
    <row r="2488">
      <c r="A2488" s="10" t="inlineStr">
        <is>
          <t>Disco</t>
        </is>
      </c>
      <c r="B2488" s="10" t="n">
        <v>1360454</v>
      </c>
      <c r="C2488" s="10" t="n">
        <v>1360037</v>
      </c>
      <c r="D2488" s="10" t="inlineStr">
        <is>
          <t>Serum Capilar Glycolic Gloss 100 Ml Elvive</t>
        </is>
      </c>
      <c r="E2488" s="10" t="inlineStr">
        <is>
          <t>ELVIVE</t>
        </is>
      </c>
      <c r="F2488" s="10" t="n">
        <v>21950</v>
      </c>
      <c r="G2488" s="10" t="n">
        <v>1814050</v>
      </c>
      <c r="H2488" s="10" t="b">
        <v>1</v>
      </c>
      <c r="I2488" s="10" t="n">
        <v>100</v>
      </c>
      <c r="J2488" s="10" t="n">
        <v>219.5</v>
      </c>
      <c r="K2488" s="10" t="inlineStr">
        <is>
          <t>&gt; Perfumería &gt; Cuidado Capilar &gt; Reparación y Tratamientos &gt;</t>
        </is>
      </c>
      <c r="L2488" s="10" t="inlineStr">
        <is>
          <t>shampoo</t>
        </is>
      </c>
      <c r="M2488" s="10" t="inlineStr">
        <is>
          <t>profesional</t>
        </is>
      </c>
      <c r="N2488" s="10" t="inlineStr">
        <is>
          <t>general</t>
        </is>
      </c>
      <c r="O2488" s="10" t="inlineStr">
        <is>
          <t>https://www.disco.com.ar/serum-capilar-elvive-glyco-gloss-100ml-2/p</t>
        </is>
      </c>
    </row>
    <row r="2489">
      <c r="A2489" t="inlineStr">
        <is>
          <t>Disco</t>
        </is>
      </c>
      <c r="B2489" t="n">
        <v>1360453</v>
      </c>
      <c r="C2489" t="n">
        <v>1360036</v>
      </c>
      <c r="D2489" t="inlineStr">
        <is>
          <t>Crema para Peinar Glyco Gloss Extra Brillo 250 Ml Elvive</t>
        </is>
      </c>
      <c r="E2489" t="inlineStr">
        <is>
          <t>ELVIVE</t>
        </is>
      </c>
      <c r="F2489" t="n">
        <v>10950</v>
      </c>
      <c r="G2489" t="n">
        <v>904959</v>
      </c>
      <c r="H2489" t="b">
        <v>1</v>
      </c>
      <c r="I2489" t="n">
        <v>250</v>
      </c>
      <c r="J2489" t="n">
        <v>43.8</v>
      </c>
      <c r="K2489" t="inlineStr">
        <is>
          <t>&gt; Perfumería &gt; Cuidado Capilar &gt; Reparación y Tratamientos &gt;</t>
        </is>
      </c>
      <c r="L2489" t="inlineStr">
        <is>
          <t>shampoo</t>
        </is>
      </c>
      <c r="M2489" t="inlineStr">
        <is>
          <t>profesional</t>
        </is>
      </c>
      <c r="N2489" t="inlineStr">
        <is>
          <t>general</t>
        </is>
      </c>
      <c r="O2489" t="inlineStr">
        <is>
          <t>https://www.disco.com.ar/crema-para-peinar-elvive-glyco-gloss-250ml/p</t>
        </is>
      </c>
    </row>
    <row r="2490">
      <c r="A2490" s="10" t="inlineStr">
        <is>
          <t>Disco</t>
        </is>
      </c>
      <c r="B2490" s="10" t="n">
        <v>1360451</v>
      </c>
      <c r="C2490" s="10" t="n">
        <v>1360034</v>
      </c>
      <c r="D2490" s="10" t="inlineStr">
        <is>
          <t>Mascarilla Capilar Glycolic Gloss 300 Grs Elvive</t>
        </is>
      </c>
      <c r="E2490" s="10" t="inlineStr">
        <is>
          <t>ELVIVE</t>
        </is>
      </c>
      <c r="F2490" s="10" t="n">
        <v>13400</v>
      </c>
      <c r="G2490" s="10" t="n">
        <v>1107438</v>
      </c>
      <c r="H2490" s="10" t="b">
        <v>1</v>
      </c>
      <c r="I2490" s="10" t="inlineStr"/>
      <c r="J2490" s="10" t="inlineStr"/>
      <c r="K2490" s="10" t="inlineStr">
        <is>
          <t>&gt; Perfumería &gt; Cuidado Capilar &gt; Reparación y Tratamientos &gt;</t>
        </is>
      </c>
      <c r="L2490" s="10" t="inlineStr">
        <is>
          <t>tratamiento</t>
        </is>
      </c>
      <c r="M2490" s="10" t="inlineStr">
        <is>
          <t>profesional</t>
        </is>
      </c>
      <c r="N2490" s="10" t="inlineStr">
        <is>
          <t>general</t>
        </is>
      </c>
      <c r="O2490" s="10" t="inlineStr">
        <is>
          <t>https://www.disco.com.ar/mascarilla-elvive-glycolic-gloss-300-gr/p</t>
        </is>
      </c>
    </row>
    <row r="2491">
      <c r="A2491" t="inlineStr">
        <is>
          <t>Disco</t>
        </is>
      </c>
      <c r="B2491" t="n">
        <v>400558</v>
      </c>
      <c r="C2491" t="n">
        <v>397896</v>
      </c>
      <c r="D2491" t="inlineStr">
        <is>
          <t>Crema para Peinar Kera-Liso 250 Ml Elvive</t>
        </is>
      </c>
      <c r="E2491" t="inlineStr">
        <is>
          <t>ELVIVE</t>
        </is>
      </c>
      <c r="F2491" t="n">
        <v>9850</v>
      </c>
      <c r="G2491" t="n">
        <v>814050</v>
      </c>
      <c r="H2491" t="b">
        <v>1</v>
      </c>
      <c r="I2491" t="n">
        <v>250</v>
      </c>
      <c r="J2491" t="n">
        <v>39.4</v>
      </c>
      <c r="K2491" t="inlineStr">
        <is>
          <t>&gt; Perfumería &gt; Cuidado Capilar &gt; Reparación y Tratamientos &gt;</t>
        </is>
      </c>
      <c r="L2491" t="inlineStr">
        <is>
          <t>shampoo</t>
        </is>
      </c>
      <c r="M2491" t="inlineStr">
        <is>
          <t>profesional</t>
        </is>
      </c>
      <c r="N2491" t="inlineStr">
        <is>
          <t>general</t>
        </is>
      </c>
      <c r="O2491" t="inlineStr">
        <is>
          <t>https://www.disco.com.ar/crema-para-peinar-elvive-kera-liso-mk-250-ml/p</t>
        </is>
      </c>
    </row>
    <row r="2492">
      <c r="A2492" s="10" t="inlineStr">
        <is>
          <t>Disco</t>
        </is>
      </c>
      <c r="B2492" s="10" t="n">
        <v>288713</v>
      </c>
      <c r="C2492" s="10" t="n">
        <v>287960</v>
      </c>
      <c r="D2492" s="10" t="inlineStr">
        <is>
          <t>Crema para Peinar Dream Long Stop Tijeras 250 Ml Elvive</t>
        </is>
      </c>
      <c r="E2492" s="10" t="inlineStr">
        <is>
          <t>ELVIVE</t>
        </is>
      </c>
      <c r="F2492" s="10" t="n">
        <v>9850</v>
      </c>
      <c r="G2492" s="10" t="n">
        <v>814050</v>
      </c>
      <c r="H2492" s="10" t="b">
        <v>1</v>
      </c>
      <c r="I2492" s="10" t="n">
        <v>250</v>
      </c>
      <c r="J2492" s="10" t="n">
        <v>39.4</v>
      </c>
      <c r="K2492" s="10" t="inlineStr">
        <is>
          <t>&gt; Perfumería &gt; Cuidado Capilar &gt; Reparación y Tratamientos &gt;</t>
        </is>
      </c>
      <c r="L2492" s="10" t="inlineStr">
        <is>
          <t>shampoo</t>
        </is>
      </c>
      <c r="M2492" s="10" t="inlineStr">
        <is>
          <t>profesional</t>
        </is>
      </c>
      <c r="N2492" s="10" t="inlineStr">
        <is>
          <t>general</t>
        </is>
      </c>
      <c r="O2492" s="10" t="inlineStr">
        <is>
          <t>https://www.disco.com.ar/crema-para-peinar-elvive-dream-long-250-ml/p</t>
        </is>
      </c>
    </row>
    <row r="2493">
      <c r="A2493" t="inlineStr">
        <is>
          <t>Disco</t>
        </is>
      </c>
      <c r="B2493" t="n">
        <v>3087947</v>
      </c>
      <c r="C2493" t="n">
        <v>3087175</v>
      </c>
      <c r="D2493" t="inlineStr">
        <is>
          <t>Shampoo Elvive Lifter Colageno 750ml</t>
        </is>
      </c>
      <c r="E2493" t="inlineStr">
        <is>
          <t>ELVIVE</t>
        </is>
      </c>
      <c r="F2493" t="n">
        <v>21000</v>
      </c>
      <c r="G2493" t="n">
        <v>1735537</v>
      </c>
      <c r="H2493" t="b">
        <v>0</v>
      </c>
      <c r="I2493" t="n">
        <v>750</v>
      </c>
      <c r="J2493" t="n">
        <v>28</v>
      </c>
      <c r="K2493" t="inlineStr">
        <is>
          <t>&gt; Perfumería &gt; Cuidado Capilar &gt; Shampoo &gt;</t>
        </is>
      </c>
      <c r="L2493" t="inlineStr">
        <is>
          <t>shampoo</t>
        </is>
      </c>
      <c r="M2493" t="inlineStr">
        <is>
          <t>profesional</t>
        </is>
      </c>
      <c r="N2493" t="inlineStr">
        <is>
          <t>general</t>
        </is>
      </c>
      <c r="O2493" t="inlineStr">
        <is>
          <t>https://www.disco.com.ar/shampoo-elvive-lifter-colageno-750ml/p</t>
        </is>
      </c>
    </row>
    <row r="2494">
      <c r="A2494" s="10" t="inlineStr">
        <is>
          <t>Disco</t>
        </is>
      </c>
      <c r="B2494" s="10" t="n">
        <v>3087943</v>
      </c>
      <c r="C2494" s="10" t="n">
        <v>3087171</v>
      </c>
      <c r="D2494" s="10" t="inlineStr">
        <is>
          <t>Acondicionador Collagen Lifter Redensificador de Fibra 200 Ml Elvive Acondicionador Elvive Lifter Colageno 200ml</t>
        </is>
      </c>
      <c r="E2494" s="10" t="inlineStr">
        <is>
          <t>ELVIVE</t>
        </is>
      </c>
      <c r="F2494" s="10" t="n">
        <v>7900</v>
      </c>
      <c r="G2494" s="10" t="n">
        <v>652893</v>
      </c>
      <c r="H2494" s="10" t="b">
        <v>0</v>
      </c>
      <c r="I2494" s="10" t="n">
        <v>200</v>
      </c>
      <c r="J2494" s="10" t="n">
        <v>39.5</v>
      </c>
      <c r="K2494" s="10" t="inlineStr">
        <is>
          <t>&gt; Perfumería &gt; Cuidado Capilar &gt; Acondicionador &gt;</t>
        </is>
      </c>
      <c r="L2494" s="10" t="inlineStr">
        <is>
          <t>acondicionador</t>
        </is>
      </c>
      <c r="M2494" s="10" t="inlineStr">
        <is>
          <t>profesional</t>
        </is>
      </c>
      <c r="N2494" s="10" t="inlineStr">
        <is>
          <t>general</t>
        </is>
      </c>
      <c r="O2494" s="10" t="inlineStr">
        <is>
          <t>https://www.disco.com.ar/acondicionador-elvive-lifter-colageno-200ml/p</t>
        </is>
      </c>
    </row>
    <row r="2495">
      <c r="A2495" t="inlineStr">
        <is>
          <t>Disco</t>
        </is>
      </c>
      <c r="B2495" t="n">
        <v>3087936</v>
      </c>
      <c r="C2495" t="n">
        <v>3087164</v>
      </c>
      <c r="D2495" t="inlineStr">
        <is>
          <t>Acondicionador Redensificador de Fibra Collagen Lifter 400 Ml Elvive Acondicionador Elvive Lifter Colageno 400ml</t>
        </is>
      </c>
      <c r="E2495" t="inlineStr">
        <is>
          <t>ELVIVE</t>
        </is>
      </c>
      <c r="F2495" t="n">
        <v>13150</v>
      </c>
      <c r="G2495" t="n">
        <v>1086777</v>
      </c>
      <c r="H2495" t="b">
        <v>0</v>
      </c>
      <c r="I2495" t="n">
        <v>400</v>
      </c>
      <c r="J2495" t="n">
        <v>32.875</v>
      </c>
      <c r="K2495" t="inlineStr">
        <is>
          <t>&gt; Perfumería &gt; Cuidado Capilar &gt; Acondicionador &gt;</t>
        </is>
      </c>
      <c r="L2495" t="inlineStr">
        <is>
          <t>acondicionador</t>
        </is>
      </c>
      <c r="M2495" t="inlineStr">
        <is>
          <t>profesional</t>
        </is>
      </c>
      <c r="N2495" t="inlineStr">
        <is>
          <t>general</t>
        </is>
      </c>
      <c r="O2495" t="inlineStr">
        <is>
          <t>https://www.disco.com.ar/acondicionador-elvive-lifter-colageno-400ml/p</t>
        </is>
      </c>
    </row>
    <row r="2496">
      <c r="A2496" s="10" t="inlineStr">
        <is>
          <t>Disco</t>
        </is>
      </c>
      <c r="B2496" s="10" t="n">
        <v>3087935</v>
      </c>
      <c r="C2496" s="10" t="n">
        <v>3087163</v>
      </c>
      <c r="D2496" s="10" t="inlineStr">
        <is>
          <t>Shampoo Engrosador Lifter Colágeno 200 Ml Elvive Shampoo Elvive Lifter Colageno 200ml</t>
        </is>
      </c>
      <c r="E2496" s="10" t="inlineStr">
        <is>
          <t>ELVIVE</t>
        </is>
      </c>
      <c r="F2496" s="10" t="n">
        <v>7900</v>
      </c>
      <c r="G2496" s="10" t="n">
        <v>652893</v>
      </c>
      <c r="H2496" s="10" t="b">
        <v>0</v>
      </c>
      <c r="I2496" s="10" t="n">
        <v>200</v>
      </c>
      <c r="J2496" s="10" t="n">
        <v>39.5</v>
      </c>
      <c r="K2496" s="10" t="inlineStr">
        <is>
          <t>&gt; Perfumería &gt; Cuidado Capilar &gt; Shampoo &gt;</t>
        </is>
      </c>
      <c r="L2496" s="10" t="inlineStr">
        <is>
          <t>shampoo</t>
        </is>
      </c>
      <c r="M2496" s="10" t="inlineStr">
        <is>
          <t>profesional</t>
        </is>
      </c>
      <c r="N2496" s="10" t="inlineStr">
        <is>
          <t>general</t>
        </is>
      </c>
      <c r="O2496" s="10" t="inlineStr">
        <is>
          <t>https://www.disco.com.ar/shampoo-elvive-lifter-colageno-200ml/p</t>
        </is>
      </c>
    </row>
    <row r="2497">
      <c r="A2497" t="inlineStr">
        <is>
          <t>Disco</t>
        </is>
      </c>
      <c r="B2497" t="n">
        <v>3087927</v>
      </c>
      <c r="C2497" t="n">
        <v>3087155</v>
      </c>
      <c r="D2497" t="inlineStr">
        <is>
          <t>Tratamiento Elvive Lifter Colageno 300gr</t>
        </is>
      </c>
      <c r="E2497" t="inlineStr">
        <is>
          <t>ELVIVE</t>
        </is>
      </c>
      <c r="F2497" t="n">
        <v>14200</v>
      </c>
      <c r="G2497" t="n">
        <v>1173554</v>
      </c>
      <c r="H2497" t="b">
        <v>0</v>
      </c>
      <c r="I2497" t="n">
        <v>300</v>
      </c>
      <c r="J2497" t="n">
        <v>47.3333</v>
      </c>
      <c r="K2497" t="inlineStr">
        <is>
          <t>&gt; Perfumería &gt; Cuidado Capilar &gt; Reparación y Tratamientos &gt;</t>
        </is>
      </c>
      <c r="L2497" t="inlineStr">
        <is>
          <t>tratamiento</t>
        </is>
      </c>
      <c r="M2497" t="inlineStr">
        <is>
          <t>profesional</t>
        </is>
      </c>
      <c r="N2497" t="inlineStr">
        <is>
          <t>general</t>
        </is>
      </c>
      <c r="O2497" t="inlineStr">
        <is>
          <t>https://www.disco.com.ar/tratamiento-elvive-lifter-colageno-300gr/p</t>
        </is>
      </c>
    </row>
    <row r="2498">
      <c r="A2498" s="10" t="inlineStr">
        <is>
          <t>Disco</t>
        </is>
      </c>
      <c r="B2498" s="10" t="n">
        <v>3087926</v>
      </c>
      <c r="C2498" s="10" t="n">
        <v>3087154</v>
      </c>
      <c r="D2498" s="10" t="inlineStr">
        <is>
          <t>Crema para Peinar Volumen Anti-Frizz Lifter Colágeno 250 Ml Elvive Crema Para Peinar Elvive Lifter Colageno 250ml</t>
        </is>
      </c>
      <c r="E2498" s="10" t="inlineStr">
        <is>
          <t>ELVIVE</t>
        </is>
      </c>
      <c r="F2498" s="10" t="n">
        <v>10500</v>
      </c>
      <c r="G2498" s="10" t="n">
        <v>867769</v>
      </c>
      <c r="H2498" s="10" t="b">
        <v>0</v>
      </c>
      <c r="I2498" s="10" t="n">
        <v>250</v>
      </c>
      <c r="J2498" s="10" t="n">
        <v>42</v>
      </c>
      <c r="K2498" s="10" t="inlineStr">
        <is>
          <t>&gt; Perfumería &gt; Cuidado Capilar &gt; Reparación y Tratamientos &gt;</t>
        </is>
      </c>
      <c r="L2498" s="10" t="inlineStr">
        <is>
          <t>shampoo</t>
        </is>
      </c>
      <c r="M2498" s="10" t="inlineStr">
        <is>
          <t>profesional</t>
        </is>
      </c>
      <c r="N2498" s="10" t="inlineStr">
        <is>
          <t>general</t>
        </is>
      </c>
      <c r="O2498" s="10" t="inlineStr">
        <is>
          <t>https://www.disco.com.ar/crema-para-peinar-elvive-lifter-colageno-250ml/p</t>
        </is>
      </c>
    </row>
    <row r="2499">
      <c r="A2499" t="inlineStr">
        <is>
          <t>Disco</t>
        </is>
      </c>
      <c r="B2499" t="n">
        <v>3074528</v>
      </c>
      <c r="C2499" t="n">
        <v>3074013</v>
      </c>
      <c r="D2499" t="inlineStr">
        <is>
          <t>Serum Capilar Liso 7 Días Dream Liso 100 Ml Elvive</t>
        </is>
      </c>
      <c r="E2499" t="inlineStr">
        <is>
          <t>ELVIVE</t>
        </is>
      </c>
      <c r="F2499" t="n">
        <v>19950</v>
      </c>
      <c r="G2499" t="n">
        <v>1648760</v>
      </c>
      <c r="H2499" t="b">
        <v>0</v>
      </c>
      <c r="I2499" t="n">
        <v>100</v>
      </c>
      <c r="J2499" t="n">
        <v>199.5</v>
      </c>
      <c r="K2499" t="inlineStr">
        <is>
          <t>&gt; Perfumería &gt; Cuidado Capilar &gt; Reparación y Tratamientos &gt;</t>
        </is>
      </c>
      <c r="L2499" t="inlineStr">
        <is>
          <t>shampoo</t>
        </is>
      </c>
      <c r="M2499" t="inlineStr">
        <is>
          <t>profesional</t>
        </is>
      </c>
      <c r="N2499" t="inlineStr">
        <is>
          <t>general</t>
        </is>
      </c>
      <c r="O2499" t="inlineStr">
        <is>
          <t>https://www.disco.com.ar/serum-liso-7-dias-dream-liso-x-100-ml-elvive/p</t>
        </is>
      </c>
    </row>
    <row r="2500">
      <c r="A2500" s="10" t="inlineStr">
        <is>
          <t>Disco</t>
        </is>
      </c>
      <c r="B2500" s="10" t="n">
        <v>407574</v>
      </c>
      <c r="C2500" s="10" t="n">
        <v>403763</v>
      </c>
      <c r="D2500" s="10" t="inlineStr">
        <is>
          <t>Acondicionador Reparación Total Extreme 750 Ml Elvive</t>
        </is>
      </c>
      <c r="E2500" s="10" t="inlineStr">
        <is>
          <t>ELVIVE</t>
        </is>
      </c>
      <c r="F2500" s="10" t="n">
        <v>17300</v>
      </c>
      <c r="G2500" s="10" t="n">
        <v>1429752</v>
      </c>
      <c r="H2500" s="10" t="b">
        <v>0</v>
      </c>
      <c r="I2500" s="10" t="n">
        <v>750</v>
      </c>
      <c r="J2500" s="10" t="n">
        <v>23.0667</v>
      </c>
      <c r="K2500" s="10" t="inlineStr">
        <is>
          <t>&gt; Perfumería &gt; Cuidado Capilar &gt; Acondicionador &gt;</t>
        </is>
      </c>
      <c r="L2500" s="10" t="inlineStr">
        <is>
          <t>acondicionador</t>
        </is>
      </c>
      <c r="M2500" s="10" t="inlineStr">
        <is>
          <t>profesional</t>
        </is>
      </c>
      <c r="N2500" s="10" t="inlineStr">
        <is>
          <t>general</t>
        </is>
      </c>
      <c r="O2500" s="10" t="inlineStr">
        <is>
          <t>https://www.disco.com.ar/acondicionador-elvive-rt5-extreme-750ml-3/p</t>
        </is>
      </c>
    </row>
    <row r="2501">
      <c r="A2501" t="inlineStr">
        <is>
          <t>Disco</t>
        </is>
      </c>
      <c r="B2501" t="n">
        <v>407571</v>
      </c>
      <c r="C2501" t="n">
        <v>403760</v>
      </c>
      <c r="D2501" t="inlineStr">
        <is>
          <t>Mascarilla Elvive Rt5 Keratin 300 Gr</t>
        </is>
      </c>
      <c r="E2501" t="inlineStr">
        <is>
          <t>ELVIVE</t>
        </is>
      </c>
      <c r="F2501" t="n">
        <v>10500</v>
      </c>
      <c r="G2501" t="n">
        <v>867769</v>
      </c>
      <c r="H2501" t="b">
        <v>0</v>
      </c>
      <c r="I2501" t="n">
        <v>300</v>
      </c>
      <c r="J2501" t="n">
        <v>35</v>
      </c>
      <c r="K2501" t="inlineStr">
        <is>
          <t>&gt; Perfumería &gt; Cuidado Capilar &gt; Acondicionador &gt;</t>
        </is>
      </c>
      <c r="L2501" t="inlineStr">
        <is>
          <t>tratamiento</t>
        </is>
      </c>
      <c r="M2501" t="inlineStr">
        <is>
          <t>profesional</t>
        </is>
      </c>
      <c r="N2501" t="inlineStr">
        <is>
          <t>general</t>
        </is>
      </c>
      <c r="O2501" t="inlineStr">
        <is>
          <t>https://www.disco.com.ar/mascarilla-elvive-rt5-keratin-300-gr/p</t>
        </is>
      </c>
    </row>
    <row r="2502">
      <c r="A2502" s="10" t="inlineStr">
        <is>
          <t>Disco</t>
        </is>
      </c>
      <c r="B2502" s="10" t="n">
        <v>407566</v>
      </c>
      <c r="C2502" s="10" t="n">
        <v>403755</v>
      </c>
      <c r="D2502" s="10" t="inlineStr">
        <is>
          <t>Acondicionador Reparación Total Extreme 200 Ml Elvive</t>
        </is>
      </c>
      <c r="E2502" s="10" t="inlineStr">
        <is>
          <t>ELVIVE</t>
        </is>
      </c>
      <c r="F2502" s="10" t="n">
        <v>6300</v>
      </c>
      <c r="G2502" s="10" t="n">
        <v>520661</v>
      </c>
      <c r="H2502" s="10" t="b">
        <v>0</v>
      </c>
      <c r="I2502" s="10" t="n">
        <v>200</v>
      </c>
      <c r="J2502" s="10" t="n">
        <v>31.5</v>
      </c>
      <c r="K2502" s="10" t="inlineStr">
        <is>
          <t>&gt; Perfumería &gt; Cuidado Capilar &gt; Acondicionador &gt;</t>
        </is>
      </c>
      <c r="L2502" s="10" t="inlineStr">
        <is>
          <t>acondicionador</t>
        </is>
      </c>
      <c r="M2502" s="10" t="inlineStr">
        <is>
          <t>profesional</t>
        </is>
      </c>
      <c r="N2502" s="10" t="inlineStr">
        <is>
          <t>general</t>
        </is>
      </c>
      <c r="O2502" s="10" t="inlineStr">
        <is>
          <t>https://www.disco.com.ar/acondicionador-elvive-rt5-extreme-200-ml/p</t>
        </is>
      </c>
    </row>
    <row r="2503">
      <c r="A2503" t="inlineStr">
        <is>
          <t>Disco</t>
        </is>
      </c>
      <c r="B2503" t="n">
        <v>407564</v>
      </c>
      <c r="C2503" t="n">
        <v>403753</v>
      </c>
      <c r="D2503" t="inlineStr">
        <is>
          <t>Mascarilla para Cabello Teñido Color Vive 300 Grs Elvive</t>
        </is>
      </c>
      <c r="E2503" t="inlineStr">
        <is>
          <t>ELVIVE</t>
        </is>
      </c>
      <c r="F2503" t="n">
        <v>10500</v>
      </c>
      <c r="G2503" t="n">
        <v>867769</v>
      </c>
      <c r="H2503" t="b">
        <v>0</v>
      </c>
      <c r="I2503" t="inlineStr"/>
      <c r="J2503" t="inlineStr"/>
      <c r="K2503" t="inlineStr">
        <is>
          <t>&gt; Perfumería &gt; Cuidado Capilar &gt; Reparación y Tratamientos &gt;</t>
        </is>
      </c>
      <c r="L2503" t="inlineStr">
        <is>
          <t>tratamiento</t>
        </is>
      </c>
      <c r="M2503" t="inlineStr">
        <is>
          <t>profesional</t>
        </is>
      </c>
      <c r="N2503" t="inlineStr">
        <is>
          <t>tratado</t>
        </is>
      </c>
      <c r="O2503" t="inlineStr">
        <is>
          <t>https://www.disco.com.ar/mascarilla-elvive-colorvive-300-gr/p</t>
        </is>
      </c>
    </row>
    <row r="2504">
      <c r="A2504" s="10" t="inlineStr">
        <is>
          <t>Disco</t>
        </is>
      </c>
      <c r="B2504" s="10" t="n">
        <v>400557</v>
      </c>
      <c r="C2504" s="10" t="n">
        <v>397895</v>
      </c>
      <c r="D2504" s="10" t="inlineStr">
        <is>
          <t>Mascarilla Kera-Liso con Micro-Queratina 300 Grs Elvive</t>
        </is>
      </c>
      <c r="E2504" s="10" t="inlineStr">
        <is>
          <t>ELVIVE</t>
        </is>
      </c>
      <c r="F2504" s="10" t="n">
        <v>10500</v>
      </c>
      <c r="G2504" s="10" t="n">
        <v>867769</v>
      </c>
      <c r="H2504" s="10" t="b">
        <v>0</v>
      </c>
      <c r="I2504" s="10" t="inlineStr"/>
      <c r="J2504" s="10" t="inlineStr"/>
      <c r="K2504" s="10" t="inlineStr">
        <is>
          <t>&gt; Perfumería &gt; Cuidado Capilar &gt; Reparación y Tratamientos &gt;</t>
        </is>
      </c>
      <c r="L2504" s="10" t="inlineStr">
        <is>
          <t>tratamiento</t>
        </is>
      </c>
      <c r="M2504" s="10" t="inlineStr">
        <is>
          <t>profesional</t>
        </is>
      </c>
      <c r="N2504" s="10" t="inlineStr">
        <is>
          <t>general</t>
        </is>
      </c>
      <c r="O2504" s="10" t="inlineStr">
        <is>
          <t>https://www.disco.com.ar/mascarilla-elvive-kera-liso-mq-300-gr/p</t>
        </is>
      </c>
    </row>
    <row r="2505">
      <c r="A2505" t="inlineStr">
        <is>
          <t>Disco</t>
        </is>
      </c>
      <c r="B2505" t="n">
        <v>400556</v>
      </c>
      <c r="C2505" t="n">
        <v>397894</v>
      </c>
      <c r="D2505" t="inlineStr">
        <is>
          <t>Shampoo Kera-Liso para Cabello Alisado con Calor 200 Ml Elvive</t>
        </is>
      </c>
      <c r="E2505" t="inlineStr">
        <is>
          <t>ELVIVE</t>
        </is>
      </c>
      <c r="F2505" t="n">
        <v>6300</v>
      </c>
      <c r="G2505" t="n">
        <v>520661</v>
      </c>
      <c r="H2505" t="b">
        <v>0</v>
      </c>
      <c r="I2505" t="n">
        <v>200</v>
      </c>
      <c r="J2505" t="n">
        <v>31.5</v>
      </c>
      <c r="K2505" t="inlineStr">
        <is>
          <t>&gt; Perfumería &gt; Cuidado Capilar &gt; Shampoo &gt;</t>
        </is>
      </c>
      <c r="L2505" t="inlineStr">
        <is>
          <t>shampoo</t>
        </is>
      </c>
      <c r="M2505" t="inlineStr">
        <is>
          <t>profesional</t>
        </is>
      </c>
      <c r="N2505" t="inlineStr">
        <is>
          <t>tratado</t>
        </is>
      </c>
      <c r="O2505" t="inlineStr">
        <is>
          <t>https://www.disco.com.ar/shampoo-elvive-kera-liso-200-ml/p</t>
        </is>
      </c>
    </row>
    <row r="2506">
      <c r="A2506" s="10" t="inlineStr">
        <is>
          <t>Disco</t>
        </is>
      </c>
      <c r="B2506" s="10" t="n">
        <v>400555</v>
      </c>
      <c r="C2506" s="10" t="n">
        <v>397893</v>
      </c>
      <c r="D2506" s="10" t="inlineStr">
        <is>
          <t>Acondicionador Elvive Kera-liso Mk 200 Ml</t>
        </is>
      </c>
      <c r="E2506" s="10" t="inlineStr">
        <is>
          <t>ELVIVE</t>
        </is>
      </c>
      <c r="F2506" s="10" t="n">
        <v>6300</v>
      </c>
      <c r="G2506" s="10" t="n">
        <v>520661</v>
      </c>
      <c r="H2506" s="10" t="b">
        <v>0</v>
      </c>
      <c r="I2506" s="10" t="n">
        <v>200</v>
      </c>
      <c r="J2506" s="10" t="n">
        <v>31.5</v>
      </c>
      <c r="K2506" s="10" t="inlineStr">
        <is>
          <t>&gt; Perfumería &gt; Cuidado Capilar &gt; Acondicionador &gt;</t>
        </is>
      </c>
      <c r="L2506" s="10" t="inlineStr">
        <is>
          <t>acondicionador</t>
        </is>
      </c>
      <c r="M2506" s="10" t="inlineStr">
        <is>
          <t>profesional</t>
        </is>
      </c>
      <c r="N2506" s="10" t="inlineStr">
        <is>
          <t>general</t>
        </is>
      </c>
      <c r="O2506" s="10" t="inlineStr">
        <is>
          <t>https://www.disco.com.ar/acondicionador-elvive-kera-liso-mk-200-ml/p</t>
        </is>
      </c>
    </row>
    <row r="2507">
      <c r="A2507" t="inlineStr">
        <is>
          <t>Disco</t>
        </is>
      </c>
      <c r="B2507" t="n">
        <v>400552</v>
      </c>
      <c r="C2507" t="n">
        <v>397890</v>
      </c>
      <c r="D2507" t="inlineStr">
        <is>
          <t>Acondicionador Kera-Liso para Cabello Alisado 400 Ml Elvive</t>
        </is>
      </c>
      <c r="E2507" t="inlineStr">
        <is>
          <t>ELVIVE</t>
        </is>
      </c>
      <c r="F2507" t="n">
        <v>10500</v>
      </c>
      <c r="G2507" t="n">
        <v>867769</v>
      </c>
      <c r="H2507" t="b">
        <v>0</v>
      </c>
      <c r="I2507" t="n">
        <v>400</v>
      </c>
      <c r="J2507" t="n">
        <v>26.25</v>
      </c>
      <c r="K2507" t="inlineStr">
        <is>
          <t>&gt; Perfumería &gt; Cuidado Capilar &gt; Acondicionador &gt;</t>
        </is>
      </c>
      <c r="L2507" t="inlineStr">
        <is>
          <t>acondicionador</t>
        </is>
      </c>
      <c r="M2507" t="inlineStr">
        <is>
          <t>profesional</t>
        </is>
      </c>
      <c r="N2507" t="inlineStr">
        <is>
          <t>tratado</t>
        </is>
      </c>
      <c r="O2507" t="inlineStr">
        <is>
          <t>https://www.disco.com.ar/acondicionador-elvive-kera-liso-mk-400-ml/p</t>
        </is>
      </c>
    </row>
    <row r="2508">
      <c r="A2508" s="10" t="inlineStr">
        <is>
          <t>Disco</t>
        </is>
      </c>
      <c r="B2508" s="10" t="n">
        <v>400531</v>
      </c>
      <c r="C2508" s="10" t="n">
        <v>397869</v>
      </c>
      <c r="D2508" s="10" t="inlineStr">
        <is>
          <t>Shampoo Color Vive para Cabello Teñido 200 Ml Elvive</t>
        </is>
      </c>
      <c r="E2508" s="10" t="inlineStr">
        <is>
          <t>ELVIVE</t>
        </is>
      </c>
      <c r="F2508" s="10" t="n">
        <v>6300</v>
      </c>
      <c r="G2508" s="10" t="n">
        <v>520661</v>
      </c>
      <c r="H2508" s="10" t="b">
        <v>0</v>
      </c>
      <c r="I2508" s="10" t="n">
        <v>200</v>
      </c>
      <c r="J2508" s="10" t="n">
        <v>31.5</v>
      </c>
      <c r="K2508" s="10" t="inlineStr">
        <is>
          <t>&gt; Perfumería &gt; Cuidado Capilar &gt; Shampoo &gt;</t>
        </is>
      </c>
      <c r="L2508" s="10" t="inlineStr">
        <is>
          <t>shampoo</t>
        </is>
      </c>
      <c r="M2508" s="10" t="inlineStr">
        <is>
          <t>profesional</t>
        </is>
      </c>
      <c r="N2508" s="10" t="inlineStr">
        <is>
          <t>tratado</t>
        </is>
      </c>
      <c r="O2508" s="10" t="inlineStr">
        <is>
          <t>https://www.disco.com.ar/shampoo-elvive-colorvive-200-ml-3/p</t>
        </is>
      </c>
    </row>
    <row r="2509">
      <c r="A2509" t="inlineStr">
        <is>
          <t>Disco</t>
        </is>
      </c>
      <c r="B2509" t="n">
        <v>400523</v>
      </c>
      <c r="C2509" t="n">
        <v>397861</v>
      </c>
      <c r="D2509" t="inlineStr">
        <is>
          <t>Mascarilla Elvive Hidra Hialuronico 300 Gr Mascarilla Elvive Hialuronico 300g</t>
        </is>
      </c>
      <c r="E2509" t="inlineStr">
        <is>
          <t>ELVIVE</t>
        </is>
      </c>
      <c r="F2509" t="n">
        <v>10500</v>
      </c>
      <c r="G2509" t="n">
        <v>867769</v>
      </c>
      <c r="H2509" t="b">
        <v>0</v>
      </c>
      <c r="I2509" t="n">
        <v>300</v>
      </c>
      <c r="J2509" t="n">
        <v>35</v>
      </c>
      <c r="K2509" t="inlineStr">
        <is>
          <t>&gt; Perfumería &gt; Cuidado Capilar &gt; Shampoo &gt;</t>
        </is>
      </c>
      <c r="L2509" t="inlineStr">
        <is>
          <t>tratamiento</t>
        </is>
      </c>
      <c r="M2509" t="inlineStr">
        <is>
          <t>profesional</t>
        </is>
      </c>
      <c r="N2509" t="inlineStr">
        <is>
          <t>general</t>
        </is>
      </c>
      <c r="O2509" t="inlineStr">
        <is>
          <t>https://www.disco.com.ar/mascarilla-elvive-hialuronico-300g/p</t>
        </is>
      </c>
    </row>
    <row r="2510">
      <c r="A2510" s="10" t="inlineStr">
        <is>
          <t>Disco</t>
        </is>
      </c>
      <c r="B2510" s="10" t="n">
        <v>393745</v>
      </c>
      <c r="C2510" s="10" t="n">
        <v>391773</v>
      </c>
      <c r="D2510" s="10" t="inlineStr">
        <is>
          <t>Mascarilla Nutritiva Óleo Extraordinario para Cabello Seco 300 Grs Elvive</t>
        </is>
      </c>
      <c r="E2510" s="10" t="inlineStr">
        <is>
          <t>ELVIVE</t>
        </is>
      </c>
      <c r="F2510" s="10" t="n">
        <v>10800</v>
      </c>
      <c r="G2510" s="10" t="n">
        <v>892562</v>
      </c>
      <c r="H2510" s="10" t="b">
        <v>0</v>
      </c>
      <c r="I2510" s="10" t="inlineStr"/>
      <c r="J2510" s="10" t="inlineStr"/>
      <c r="K2510" s="10" t="inlineStr">
        <is>
          <t>&gt; Perfumería &gt; Cuidado Capilar &gt; Reparación y Tratamientos &gt;</t>
        </is>
      </c>
      <c r="L2510" s="10" t="inlineStr">
        <is>
          <t>tratamiento</t>
        </is>
      </c>
      <c r="M2510" s="10" t="inlineStr">
        <is>
          <t>profesional</t>
        </is>
      </c>
      <c r="N2510" s="10" t="inlineStr">
        <is>
          <t>seco_danado</t>
        </is>
      </c>
      <c r="O2510" s="10" t="inlineStr">
        <is>
          <t>https://www.disco.com.ar/mascarilla-oleo-extraordinario-nutricion-universal-300-gr/p</t>
        </is>
      </c>
    </row>
    <row r="2511">
      <c r="A2511" t="inlineStr">
        <is>
          <t>Disco</t>
        </is>
      </c>
      <c r="B2511" t="n">
        <v>388712</v>
      </c>
      <c r="C2511" t="n">
        <v>386824</v>
      </c>
      <c r="D2511" t="inlineStr">
        <is>
          <t>Shampoo Elvive Lóréal óleo Extraordinario Nutrición 400 Ml</t>
        </is>
      </c>
      <c r="E2511" t="inlineStr">
        <is>
          <t>ELVIVE</t>
        </is>
      </c>
      <c r="F2511" t="n">
        <v>10500</v>
      </c>
      <c r="G2511" t="n">
        <v>867769</v>
      </c>
      <c r="H2511" t="b">
        <v>0</v>
      </c>
      <c r="I2511" t="n">
        <v>400</v>
      </c>
      <c r="J2511" t="n">
        <v>26.25</v>
      </c>
      <c r="K2511" t="inlineStr">
        <is>
          <t>&gt; Perfumería &gt; Cuidado Capilar &gt; Shampoo &gt;</t>
        </is>
      </c>
      <c r="L2511" t="inlineStr">
        <is>
          <t>shampoo</t>
        </is>
      </c>
      <c r="M2511" t="inlineStr">
        <is>
          <t>profesional</t>
        </is>
      </c>
      <c r="N2511" t="inlineStr">
        <is>
          <t>general</t>
        </is>
      </c>
      <c r="O2511" t="inlineStr">
        <is>
          <t>https://www.disco.com.ar/shampoo-elvive-loreal-oleo-extraordinario-nutricion-400-ml/p</t>
        </is>
      </c>
    </row>
    <row r="2512">
      <c r="A2512" s="10" t="inlineStr">
        <is>
          <t>Disco</t>
        </is>
      </c>
      <c r="B2512" s="10" t="n">
        <v>386233</v>
      </c>
      <c r="C2512" s="10" t="n">
        <v>384388</v>
      </c>
      <c r="D2512" s="10" t="inlineStr">
        <is>
          <t>Oleo Fructis Recarga Nutritiva 100ml</t>
        </is>
      </c>
      <c r="E2512" s="10" t="inlineStr">
        <is>
          <t>ELVIVE</t>
        </is>
      </c>
      <c r="F2512" s="10" t="n">
        <v>4350</v>
      </c>
      <c r="G2512" s="10" t="n">
        <v>359504</v>
      </c>
      <c r="H2512" s="10" t="b">
        <v>0</v>
      </c>
      <c r="I2512" s="10" t="n">
        <v>100</v>
      </c>
      <c r="J2512" s="10" t="n">
        <v>43.5</v>
      </c>
      <c r="K2512" s="10" t="inlineStr">
        <is>
          <t>&gt; Perfumería &gt; Cuidado Capilar &gt; Reparación y Tratamientos &gt;</t>
        </is>
      </c>
      <c r="L2512" s="10" t="inlineStr">
        <is>
          <t>shampoo</t>
        </is>
      </c>
      <c r="M2512" s="10" t="inlineStr">
        <is>
          <t>profesional</t>
        </is>
      </c>
      <c r="N2512" s="10" t="inlineStr">
        <is>
          <t>general</t>
        </is>
      </c>
      <c r="O2512" s="10" t="inlineStr">
        <is>
          <t>https://www.disco.com.ar/oleo-fructis-recarga-nutritiva-100ml/p</t>
        </is>
      </c>
    </row>
    <row r="2513">
      <c r="A2513" t="inlineStr">
        <is>
          <t>Disco</t>
        </is>
      </c>
      <c r="B2513" t="n">
        <v>375298</v>
      </c>
      <c r="C2513" t="n">
        <v>374016</v>
      </c>
      <c r="D2513" t="inlineStr">
        <is>
          <t>Acondicionador Color Vive Violeta Matizador 200 Ml Elvive</t>
        </is>
      </c>
      <c r="E2513" t="inlineStr">
        <is>
          <t>ELVIVE</t>
        </is>
      </c>
      <c r="F2513" t="n">
        <v>7350</v>
      </c>
      <c r="G2513" t="n">
        <v>607438</v>
      </c>
      <c r="H2513" t="b">
        <v>0</v>
      </c>
      <c r="I2513" t="n">
        <v>200</v>
      </c>
      <c r="J2513" t="n">
        <v>36.75</v>
      </c>
      <c r="K2513" t="inlineStr">
        <is>
          <t>&gt; Perfumería &gt; Cuidado Capilar &gt; Acondicionador &gt;</t>
        </is>
      </c>
      <c r="L2513" t="inlineStr">
        <is>
          <t>acondicionador</t>
        </is>
      </c>
      <c r="M2513" t="inlineStr">
        <is>
          <t>profesional</t>
        </is>
      </c>
      <c r="N2513" t="inlineStr">
        <is>
          <t>tratado</t>
        </is>
      </c>
      <c r="O2513" t="inlineStr">
        <is>
          <t>https://www.disco.com.ar/acondicionador-elvive-colorvive-violeta-matizador-200-ml/p</t>
        </is>
      </c>
    </row>
    <row r="2514">
      <c r="A2514" s="10" t="inlineStr">
        <is>
          <t>Disco</t>
        </is>
      </c>
      <c r="B2514" s="10" t="n">
        <v>354070</v>
      </c>
      <c r="C2514" s="10" t="n">
        <v>352701</v>
      </c>
      <c r="D2514" s="10" t="inlineStr">
        <is>
          <t>Acondicionador Elvive Kera Liso Brillo Sedosidad 750ml</t>
        </is>
      </c>
      <c r="E2514" s="10" t="inlineStr">
        <is>
          <t>ELVIVE</t>
        </is>
      </c>
      <c r="F2514" s="10" t="n">
        <v>14500</v>
      </c>
      <c r="G2514" s="10" t="n">
        <v>1198347</v>
      </c>
      <c r="H2514" s="10" t="b">
        <v>0</v>
      </c>
      <c r="I2514" s="10" t="n">
        <v>750</v>
      </c>
      <c r="J2514" s="10" t="n">
        <v>19.3333</v>
      </c>
      <c r="K2514" s="10" t="inlineStr">
        <is>
          <t>&gt; Perfumería &gt; Cuidado Capilar &gt; Acondicionador &gt;</t>
        </is>
      </c>
      <c r="L2514" s="10" t="inlineStr">
        <is>
          <t>acondicionador</t>
        </is>
      </c>
      <c r="M2514" s="10" t="inlineStr">
        <is>
          <t>profesional</t>
        </is>
      </c>
      <c r="N2514" s="10" t="inlineStr">
        <is>
          <t>general</t>
        </is>
      </c>
      <c r="O2514" s="10" t="inlineStr">
        <is>
          <t>https://www.disco.com.ar/acondicionador-elvive-kera-liso-brillo-sedosidad-750ml/p</t>
        </is>
      </c>
    </row>
    <row r="2515">
      <c r="A2515" t="inlineStr">
        <is>
          <t>Disco</t>
        </is>
      </c>
      <c r="B2515" t="n">
        <v>354069</v>
      </c>
      <c r="C2515" t="n">
        <v>352700</v>
      </c>
      <c r="D2515" t="inlineStr">
        <is>
          <t>Mascarilla Kera-Liso Brillo y Sedosidad 300 Grs Elvive</t>
        </is>
      </c>
      <c r="E2515" t="inlineStr">
        <is>
          <t>ELVIVE</t>
        </is>
      </c>
      <c r="F2515" t="n">
        <v>8700</v>
      </c>
      <c r="G2515" t="n">
        <v>719008</v>
      </c>
      <c r="H2515" t="b">
        <v>0</v>
      </c>
      <c r="I2515" t="inlineStr"/>
      <c r="J2515" t="inlineStr"/>
      <c r="K2515" t="inlineStr">
        <is>
          <t>&gt; Perfumería &gt; Cuidado Capilar &gt; Reparación y Tratamientos &gt;</t>
        </is>
      </c>
      <c r="L2515" t="inlineStr">
        <is>
          <t>tratamiento</t>
        </is>
      </c>
      <c r="M2515" t="inlineStr">
        <is>
          <t>profesional</t>
        </is>
      </c>
      <c r="N2515" t="inlineStr">
        <is>
          <t>general</t>
        </is>
      </c>
      <c r="O2515" t="inlineStr">
        <is>
          <t>https://www.disco.com.ar/mascara-elvive-kera-liso-brillo-y-sedosidad-300-gr/p</t>
        </is>
      </c>
    </row>
    <row r="2516">
      <c r="A2516" s="10" t="inlineStr">
        <is>
          <t>Disco</t>
        </is>
      </c>
      <c r="B2516" s="10" t="n">
        <v>354065</v>
      </c>
      <c r="C2516" s="10" t="n">
        <v>352696</v>
      </c>
      <c r="D2516" s="10" t="inlineStr">
        <is>
          <t>Acondicionador Kera Liso Brillo y Sedosidad 200 Ml Elvive Acondicionador Kera Liso Brillo Sedosidad 200 Ml Elvive</t>
        </is>
      </c>
      <c r="E2516" s="10" t="inlineStr">
        <is>
          <t>ELVIVE</t>
        </is>
      </c>
      <c r="F2516" s="10" t="n">
        <v>5750</v>
      </c>
      <c r="G2516" s="10" t="n">
        <v>475207</v>
      </c>
      <c r="H2516" s="10" t="b">
        <v>0</v>
      </c>
      <c r="I2516" s="10" t="n">
        <v>200</v>
      </c>
      <c r="J2516" s="10" t="n">
        <v>28.75</v>
      </c>
      <c r="K2516" s="10" t="inlineStr">
        <is>
          <t>&gt; Perfumería &gt; Cuidado Capilar &gt; Acondicionador &gt;</t>
        </is>
      </c>
      <c r="L2516" s="10" t="inlineStr">
        <is>
          <t>acondicionador</t>
        </is>
      </c>
      <c r="M2516" s="10" t="inlineStr">
        <is>
          <t>profesional</t>
        </is>
      </c>
      <c r="N2516" s="10" t="inlineStr">
        <is>
          <t>general</t>
        </is>
      </c>
      <c r="O2516" s="10" t="inlineStr">
        <is>
          <t>https://www.disco.com.ar/acondicionador-kera-liso-brillo-sedosidad-200-ml-elvive/p</t>
        </is>
      </c>
    </row>
    <row r="2517">
      <c r="A2517" t="inlineStr">
        <is>
          <t>Disco</t>
        </is>
      </c>
      <c r="B2517" t="n">
        <v>354064</v>
      </c>
      <c r="C2517" t="n">
        <v>352695</v>
      </c>
      <c r="D2517" t="inlineStr">
        <is>
          <t>Acondicionador Kera Liso Brillo y Sedosidad 400 Ml Elvive</t>
        </is>
      </c>
      <c r="E2517" t="inlineStr">
        <is>
          <t>ELVIVE</t>
        </is>
      </c>
      <c r="F2517" t="n">
        <v>9250</v>
      </c>
      <c r="G2517" t="n">
        <v>764463</v>
      </c>
      <c r="H2517" t="b">
        <v>0</v>
      </c>
      <c r="I2517" t="n">
        <v>400</v>
      </c>
      <c r="J2517" t="n">
        <v>23.125</v>
      </c>
      <c r="K2517" t="inlineStr">
        <is>
          <t>&gt; Perfumería &gt; Cuidado Capilar &gt; Acondicionador &gt;</t>
        </is>
      </c>
      <c r="L2517" t="inlineStr">
        <is>
          <t>acondicionador</t>
        </is>
      </c>
      <c r="M2517" t="inlineStr">
        <is>
          <t>profesional</t>
        </is>
      </c>
      <c r="N2517" t="inlineStr">
        <is>
          <t>general</t>
        </is>
      </c>
      <c r="O2517" t="inlineStr">
        <is>
          <t>https://www.disco.com.ar/acondicionador-kera-liso-brillo-sedosidad-400-ml-elvive/p</t>
        </is>
      </c>
    </row>
    <row r="2518">
      <c r="A2518" s="10" t="inlineStr">
        <is>
          <t>Disco</t>
        </is>
      </c>
      <c r="B2518" s="10" t="n">
        <v>354061</v>
      </c>
      <c r="C2518" s="10" t="n">
        <v>352692</v>
      </c>
      <c r="D2518" s="10" t="inlineStr">
        <is>
          <t>Shampoo Kera Liso Brillo Sedosidad 750 Ml Elvive</t>
        </is>
      </c>
      <c r="E2518" s="10" t="inlineStr">
        <is>
          <t>ELVIVE</t>
        </is>
      </c>
      <c r="F2518" s="10" t="n">
        <v>14500</v>
      </c>
      <c r="G2518" s="10" t="n">
        <v>1198347</v>
      </c>
      <c r="H2518" s="10" t="b">
        <v>0</v>
      </c>
      <c r="I2518" s="10" t="n">
        <v>750</v>
      </c>
      <c r="J2518" s="10" t="n">
        <v>19.3333</v>
      </c>
      <c r="K2518" s="10" t="inlineStr">
        <is>
          <t>&gt; Perfumería &gt; Cuidado Capilar &gt; Shampoo &gt;</t>
        </is>
      </c>
      <c r="L2518" s="10" t="inlineStr">
        <is>
          <t>shampoo</t>
        </is>
      </c>
      <c r="M2518" s="10" t="inlineStr">
        <is>
          <t>profesional</t>
        </is>
      </c>
      <c r="N2518" s="10" t="inlineStr">
        <is>
          <t>general</t>
        </is>
      </c>
      <c r="O2518" s="10" t="inlineStr">
        <is>
          <t>https://www.disco.com.ar/shampoo-kera-liso-brillo-sedosidad-750-ml-elvive/p</t>
        </is>
      </c>
    </row>
    <row r="2519">
      <c r="A2519" t="inlineStr">
        <is>
          <t>Disco</t>
        </is>
      </c>
      <c r="B2519" t="n">
        <v>354059</v>
      </c>
      <c r="C2519" t="n">
        <v>352690</v>
      </c>
      <c r="D2519" t="inlineStr">
        <is>
          <t>Shampoo Kera Liso Brillo Sedosidad 200 Ml Elvive</t>
        </is>
      </c>
      <c r="E2519" t="inlineStr">
        <is>
          <t>ELVIVE</t>
        </is>
      </c>
      <c r="F2519" t="n">
        <v>5900</v>
      </c>
      <c r="G2519" t="n">
        <v>487603</v>
      </c>
      <c r="H2519" t="b">
        <v>0</v>
      </c>
      <c r="I2519" t="n">
        <v>200</v>
      </c>
      <c r="J2519" t="n">
        <v>29.5</v>
      </c>
      <c r="K2519" t="inlineStr">
        <is>
          <t>&gt; Perfumería &gt; Cuidado Capilar &gt; Shampoo &gt;</t>
        </is>
      </c>
      <c r="L2519" t="inlineStr">
        <is>
          <t>shampoo</t>
        </is>
      </c>
      <c r="M2519" t="inlineStr">
        <is>
          <t>profesional</t>
        </is>
      </c>
      <c r="N2519" t="inlineStr">
        <is>
          <t>general</t>
        </is>
      </c>
      <c r="O2519" t="inlineStr">
        <is>
          <t>https://www.disco.com.ar/shampoo-kera-liso-brillo-sedosidad-200-ml-elvive/p</t>
        </is>
      </c>
    </row>
    <row r="2520">
      <c r="A2520" s="10" t="inlineStr">
        <is>
          <t>Disco</t>
        </is>
      </c>
      <c r="B2520" s="10" t="n">
        <v>354056</v>
      </c>
      <c r="C2520" s="10" t="n">
        <v>352687</v>
      </c>
      <c r="D2520" s="10" t="inlineStr">
        <is>
          <t>Shampoo Elvive Color Vive Protector 750ml</t>
        </is>
      </c>
      <c r="E2520" s="10" t="inlineStr">
        <is>
          <t>ELVIVE</t>
        </is>
      </c>
      <c r="F2520" s="10" t="n">
        <v>2450</v>
      </c>
      <c r="G2520" s="10" t="n">
        <v>202479</v>
      </c>
      <c r="H2520" s="10" t="b">
        <v>0</v>
      </c>
      <c r="I2520" s="10" t="n">
        <v>750</v>
      </c>
      <c r="J2520" s="10" t="n">
        <v>3.2667</v>
      </c>
      <c r="K2520" s="10" t="inlineStr">
        <is>
          <t>&gt; Perfumería &gt; Cuidado Capilar &gt; Shampoo &gt;</t>
        </is>
      </c>
      <c r="L2520" s="10" t="inlineStr">
        <is>
          <t>shampoo</t>
        </is>
      </c>
      <c r="M2520" s="10" t="inlineStr">
        <is>
          <t>profesional</t>
        </is>
      </c>
      <c r="N2520" s="10" t="inlineStr">
        <is>
          <t>tratado</t>
        </is>
      </c>
      <c r="O2520" s="10" t="inlineStr">
        <is>
          <t>https://www.disco.com.ar/shampoo-elvive-color-vive-protector-750ml/p</t>
        </is>
      </c>
    </row>
    <row r="2521">
      <c r="A2521" t="inlineStr">
        <is>
          <t>Disco</t>
        </is>
      </c>
      <c r="B2521" t="n">
        <v>354055</v>
      </c>
      <c r="C2521" t="n">
        <v>352686</v>
      </c>
      <c r="D2521" t="inlineStr">
        <is>
          <t>Shampoo Elvive Color Vive Protector 200ml</t>
        </is>
      </c>
      <c r="E2521" t="inlineStr">
        <is>
          <t>ELVIVE</t>
        </is>
      </c>
      <c r="F2521" t="n">
        <v>1050</v>
      </c>
      <c r="G2521" t="n">
        <v>86777</v>
      </c>
      <c r="H2521" t="b">
        <v>0</v>
      </c>
      <c r="I2521" t="n">
        <v>200</v>
      </c>
      <c r="J2521" t="n">
        <v>5.25</v>
      </c>
      <c r="K2521" t="inlineStr">
        <is>
          <t>&gt; Perfumería &gt; Cuidado Capilar &gt; Shampoo &gt;</t>
        </is>
      </c>
      <c r="L2521" t="inlineStr">
        <is>
          <t>shampoo</t>
        </is>
      </c>
      <c r="M2521" t="inlineStr">
        <is>
          <t>profesional</t>
        </is>
      </c>
      <c r="N2521" t="inlineStr">
        <is>
          <t>tratado</t>
        </is>
      </c>
      <c r="O2521" t="inlineStr">
        <is>
          <t>https://www.disco.com.ar/shampoo-elvive-color-vive-protector-200ml/p</t>
        </is>
      </c>
    </row>
    <row r="2522">
      <c r="A2522" s="10" t="inlineStr">
        <is>
          <t>Disco</t>
        </is>
      </c>
      <c r="B2522" s="10" t="n">
        <v>354054</v>
      </c>
      <c r="C2522" s="10" t="n">
        <v>352685</v>
      </c>
      <c r="D2522" s="10" t="inlineStr">
        <is>
          <t>Mascarilla para Cabello Teñido Color Vive 300 Grs Elvive</t>
        </is>
      </c>
      <c r="E2522" s="10" t="inlineStr">
        <is>
          <t>ELVIVE</t>
        </is>
      </c>
      <c r="F2522" s="10" t="n">
        <v>4050</v>
      </c>
      <c r="G2522" s="10" t="n">
        <v>334711</v>
      </c>
      <c r="H2522" s="10" t="b">
        <v>0</v>
      </c>
      <c r="I2522" s="10" t="inlineStr"/>
      <c r="J2522" s="10" t="inlineStr"/>
      <c r="K2522" s="10" t="inlineStr">
        <is>
          <t>&gt; Perfumería &gt; Cuidado Capilar &gt; Reparación y Tratamientos &gt;</t>
        </is>
      </c>
      <c r="L2522" s="10" t="inlineStr">
        <is>
          <t>tratamiento</t>
        </is>
      </c>
      <c r="M2522" s="10" t="inlineStr">
        <is>
          <t>profesional</t>
        </is>
      </c>
      <c r="N2522" s="10" t="inlineStr">
        <is>
          <t>tratado</t>
        </is>
      </c>
      <c r="O2522" s="10" t="inlineStr">
        <is>
          <t>https://www.disco.com.ar/mascarilla-elvive-color-vive-300-gr/p</t>
        </is>
      </c>
    </row>
    <row r="2523">
      <c r="A2523" t="inlineStr">
        <is>
          <t>Disco</t>
        </is>
      </c>
      <c r="B2523" t="n">
        <v>354052</v>
      </c>
      <c r="C2523" t="n">
        <v>352683</v>
      </c>
      <c r="D2523" t="inlineStr">
        <is>
          <t>Acondicionador Elvive Kera-liso 230° 400ml</t>
        </is>
      </c>
      <c r="E2523" t="inlineStr">
        <is>
          <t>ELVIVE</t>
        </is>
      </c>
      <c r="F2523" t="n">
        <v>1239.09</v>
      </c>
      <c r="G2523" t="n">
        <v>102404</v>
      </c>
      <c r="H2523" t="b">
        <v>0</v>
      </c>
      <c r="I2523" t="n">
        <v>400</v>
      </c>
      <c r="J2523" t="n">
        <v>3.0977</v>
      </c>
      <c r="K2523" t="inlineStr">
        <is>
          <t>&gt; Perfumería &gt; Cuidado Capilar &gt; Acondicionador &gt;</t>
        </is>
      </c>
      <c r="L2523" t="inlineStr">
        <is>
          <t>acondicionador</t>
        </is>
      </c>
      <c r="M2523" t="inlineStr">
        <is>
          <t>profesional</t>
        </is>
      </c>
      <c r="N2523" t="inlineStr">
        <is>
          <t>general</t>
        </is>
      </c>
      <c r="O2523" t="inlineStr">
        <is>
          <t>https://www.disco.com.ar/acondicionador-elvive-kera-liso-230-400ml/p</t>
        </is>
      </c>
    </row>
    <row r="2524">
      <c r="A2524" s="10" t="inlineStr">
        <is>
          <t>Disco</t>
        </is>
      </c>
      <c r="B2524" s="10" t="n">
        <v>354051</v>
      </c>
      <c r="C2524" s="10" t="n">
        <v>352682</v>
      </c>
      <c r="D2524" s="10" t="inlineStr">
        <is>
          <t>Shampoo Elvive Kera-liso 230° 200 Ml</t>
        </is>
      </c>
      <c r="E2524" s="10" t="inlineStr">
        <is>
          <t>ELVIVE</t>
        </is>
      </c>
      <c r="F2524" s="10" t="n">
        <v>1050</v>
      </c>
      <c r="G2524" s="10" t="n">
        <v>86777</v>
      </c>
      <c r="H2524" s="10" t="b">
        <v>0</v>
      </c>
      <c r="I2524" s="10" t="n">
        <v>200</v>
      </c>
      <c r="J2524" s="10" t="n">
        <v>5.25</v>
      </c>
      <c r="K2524" s="10" t="inlineStr">
        <is>
          <t>&gt; Perfumería &gt; Cuidado Capilar &gt; Shampoo &gt;</t>
        </is>
      </c>
      <c r="L2524" s="10" t="inlineStr">
        <is>
          <t>shampoo</t>
        </is>
      </c>
      <c r="M2524" s="10" t="inlineStr">
        <is>
          <t>profesional</t>
        </is>
      </c>
      <c r="N2524" s="10" t="inlineStr">
        <is>
          <t>general</t>
        </is>
      </c>
      <c r="O2524" s="10" t="inlineStr">
        <is>
          <t>https://www.disco.com.ar/shampoo-elvive-kera-liso-230-200-ml/p</t>
        </is>
      </c>
    </row>
    <row r="2525">
      <c r="A2525" t="inlineStr">
        <is>
          <t>Disco</t>
        </is>
      </c>
      <c r="B2525" t="n">
        <v>354050</v>
      </c>
      <c r="C2525" t="n">
        <v>352681</v>
      </c>
      <c r="D2525" t="inlineStr">
        <is>
          <t>Acondicionador Elvive Kera-liso 230° 200ml</t>
        </is>
      </c>
      <c r="E2525" t="inlineStr">
        <is>
          <t>ELVIVE</t>
        </is>
      </c>
      <c r="F2525" t="n">
        <v>1000</v>
      </c>
      <c r="G2525" t="n">
        <v>82645</v>
      </c>
      <c r="H2525" t="b">
        <v>0</v>
      </c>
      <c r="I2525" t="n">
        <v>200</v>
      </c>
      <c r="J2525" t="n">
        <v>5</v>
      </c>
      <c r="K2525" t="inlineStr">
        <is>
          <t>&gt; Perfumería &gt; Cuidado Capilar &gt; Acondicionador &gt;</t>
        </is>
      </c>
      <c r="L2525" t="inlineStr">
        <is>
          <t>acondicionador</t>
        </is>
      </c>
      <c r="M2525" t="inlineStr">
        <is>
          <t>profesional</t>
        </is>
      </c>
      <c r="N2525" t="inlineStr">
        <is>
          <t>general</t>
        </is>
      </c>
      <c r="O2525" t="inlineStr">
        <is>
          <t>https://www.disco.com.ar/acondicionador-elvive-kera-liso-230-200ml/p</t>
        </is>
      </c>
    </row>
    <row r="2526">
      <c r="A2526" s="10" t="inlineStr">
        <is>
          <t>Disco</t>
        </is>
      </c>
      <c r="B2526" s="10" t="n">
        <v>354046</v>
      </c>
      <c r="C2526" s="10" t="n">
        <v>352677</v>
      </c>
      <c r="D2526" s="10" t="inlineStr">
        <is>
          <t>Shampoo Elvive Kera-liso 230° 400ml</t>
        </is>
      </c>
      <c r="E2526" s="10" t="inlineStr">
        <is>
          <t>ELVIVE</t>
        </is>
      </c>
      <c r="F2526" s="10" t="n">
        <v>1600</v>
      </c>
      <c r="G2526" s="10" t="n">
        <v>132231</v>
      </c>
      <c r="H2526" s="10" t="b">
        <v>0</v>
      </c>
      <c r="I2526" s="10" t="n">
        <v>400</v>
      </c>
      <c r="J2526" s="10" t="n">
        <v>4</v>
      </c>
      <c r="K2526" s="10" t="inlineStr">
        <is>
          <t>&gt; Perfumería &gt; Cuidado Capilar &gt; Shampoo &gt;</t>
        </is>
      </c>
      <c r="L2526" s="10" t="inlineStr">
        <is>
          <t>shampoo</t>
        </is>
      </c>
      <c r="M2526" s="10" t="inlineStr">
        <is>
          <t>profesional</t>
        </is>
      </c>
      <c r="N2526" s="10" t="inlineStr">
        <is>
          <t>general</t>
        </is>
      </c>
      <c r="O2526" s="10" t="inlineStr">
        <is>
          <t>https://www.disco.com.ar/shampoo-elvive-kera-liso-230-400ml/p</t>
        </is>
      </c>
    </row>
    <row r="2527">
      <c r="A2527" t="inlineStr">
        <is>
          <t>Disco</t>
        </is>
      </c>
      <c r="B2527" t="n">
        <v>354045</v>
      </c>
      <c r="C2527" t="n">
        <v>352676</v>
      </c>
      <c r="D2527" t="inlineStr">
        <is>
          <t>Shampoo Elvive Kera Liso Brillo Y Sedosidad 400 Ml</t>
        </is>
      </c>
      <c r="E2527" t="inlineStr">
        <is>
          <t>ELVIVE</t>
        </is>
      </c>
      <c r="F2527" t="n">
        <v>9250</v>
      </c>
      <c r="G2527" t="n">
        <v>764463</v>
      </c>
      <c r="H2527" t="b">
        <v>0</v>
      </c>
      <c r="I2527" t="n">
        <v>400</v>
      </c>
      <c r="J2527" t="n">
        <v>23.125</v>
      </c>
      <c r="K2527" t="inlineStr">
        <is>
          <t>&gt; Perfumería &gt; Cuidado Capilar &gt; Shampoo &gt;</t>
        </is>
      </c>
      <c r="L2527" t="inlineStr">
        <is>
          <t>shampoo</t>
        </is>
      </c>
      <c r="M2527" t="inlineStr">
        <is>
          <t>profesional</t>
        </is>
      </c>
      <c r="N2527" t="inlineStr">
        <is>
          <t>general</t>
        </is>
      </c>
      <c r="O2527" t="inlineStr">
        <is>
          <t>https://www.disco.com.ar/shampoo-elvive-kera-liso-brillo-y-sedosidad-400-ml/p</t>
        </is>
      </c>
    </row>
    <row r="2528">
      <c r="A2528" s="10" t="inlineStr">
        <is>
          <t>Disco</t>
        </is>
      </c>
      <c r="B2528" s="10" t="n">
        <v>354043</v>
      </c>
      <c r="C2528" s="10" t="n">
        <v>352674</v>
      </c>
      <c r="D2528" s="10" t="inlineStr">
        <is>
          <t>Acondicionador Elvive Color Vive Protector 200ml</t>
        </is>
      </c>
      <c r="E2528" s="10" t="inlineStr">
        <is>
          <t>ELVIVE</t>
        </is>
      </c>
      <c r="F2528" s="10" t="n">
        <v>1000</v>
      </c>
      <c r="G2528" s="10" t="n">
        <v>82645</v>
      </c>
      <c r="H2528" s="10" t="b">
        <v>0</v>
      </c>
      <c r="I2528" s="10" t="n">
        <v>200</v>
      </c>
      <c r="J2528" s="10" t="n">
        <v>5</v>
      </c>
      <c r="K2528" s="10" t="inlineStr">
        <is>
          <t>&gt; Perfumería &gt; Cuidado Capilar &gt; Acondicionador &gt;</t>
        </is>
      </c>
      <c r="L2528" s="10" t="inlineStr">
        <is>
          <t>acondicionador</t>
        </is>
      </c>
      <c r="M2528" s="10" t="inlineStr">
        <is>
          <t>profesional</t>
        </is>
      </c>
      <c r="N2528" s="10" t="inlineStr">
        <is>
          <t>tratado</t>
        </is>
      </c>
      <c r="O2528" s="10" t="inlineStr">
        <is>
          <t>https://www.disco.com.ar/acondicionador-elvive-color-vive-protector-200ml/p</t>
        </is>
      </c>
    </row>
    <row r="2529">
      <c r="A2529" t="inlineStr">
        <is>
          <t>Disco</t>
        </is>
      </c>
      <c r="B2529" t="n">
        <v>350125</v>
      </c>
      <c r="C2529" t="n">
        <v>348785</v>
      </c>
      <c r="D2529" t="inlineStr">
        <is>
          <t>Acondicionador Elvive Oleo Extraordinario Rizos 200 Ml</t>
        </is>
      </c>
      <c r="E2529" t="inlineStr">
        <is>
          <t>ELVIVE</t>
        </is>
      </c>
      <c r="F2529" t="n">
        <v>3750</v>
      </c>
      <c r="G2529" t="n">
        <v>309917</v>
      </c>
      <c r="H2529" t="b">
        <v>0</v>
      </c>
      <c r="I2529" t="n">
        <v>200</v>
      </c>
      <c r="J2529" t="n">
        <v>18.75</v>
      </c>
      <c r="K2529" t="inlineStr">
        <is>
          <t>&gt; Perfumería &gt; Cuidado Capilar &gt; Reparación y Tratamientos &gt;</t>
        </is>
      </c>
      <c r="L2529" t="inlineStr">
        <is>
          <t>acondicionador</t>
        </is>
      </c>
      <c r="M2529" t="inlineStr">
        <is>
          <t>profesional</t>
        </is>
      </c>
      <c r="N2529" t="inlineStr">
        <is>
          <t>rizado</t>
        </is>
      </c>
      <c r="O2529" t="inlineStr">
        <is>
          <t>https://www.disco.com.ar/acondicionador-elvive-oleo-extraordinario-rizos-200-ml/p</t>
        </is>
      </c>
    </row>
    <row r="2530">
      <c r="A2530" s="10" t="inlineStr">
        <is>
          <t>Disco</t>
        </is>
      </c>
      <c r="B2530" s="10" t="n">
        <v>350123</v>
      </c>
      <c r="C2530" s="10" t="n">
        <v>348783</v>
      </c>
      <c r="D2530" s="10" t="inlineStr">
        <is>
          <t>Crema para Peinar Oleo Extraordinario Coco para Cabello Muy Seco 250 Ml Elvive</t>
        </is>
      </c>
      <c r="E2530" s="10" t="inlineStr">
        <is>
          <t>ELVIVE</t>
        </is>
      </c>
      <c r="F2530" s="10" t="n">
        <v>8400</v>
      </c>
      <c r="G2530" s="10" t="n">
        <v>694215</v>
      </c>
      <c r="H2530" s="10" t="b">
        <v>0</v>
      </c>
      <c r="I2530" s="10" t="n">
        <v>250</v>
      </c>
      <c r="J2530" s="10" t="n">
        <v>33.6</v>
      </c>
      <c r="K2530" s="10" t="inlineStr">
        <is>
          <t>&gt; Perfumería &gt; Cuidado Capilar &gt; Reparación y Tratamientos &gt;</t>
        </is>
      </c>
      <c r="L2530" s="10" t="inlineStr">
        <is>
          <t>shampoo</t>
        </is>
      </c>
      <c r="M2530" s="10" t="inlineStr">
        <is>
          <t>profesional</t>
        </is>
      </c>
      <c r="N2530" s="10" t="inlineStr">
        <is>
          <t>seco_danado</t>
        </is>
      </c>
      <c r="O2530" s="10" t="inlineStr">
        <is>
          <t>https://www.disco.com.ar/crema-para-peinar-elvive-oleo-extraordinario-coco-250-ml/p</t>
        </is>
      </c>
    </row>
    <row r="2531">
      <c r="A2531" t="inlineStr">
        <is>
          <t>Disco</t>
        </is>
      </c>
      <c r="B2531" t="n">
        <v>350002</v>
      </c>
      <c r="C2531" t="n">
        <v>348662</v>
      </c>
      <c r="D2531" t="inlineStr">
        <is>
          <t>Elvive Crema Para Peinar Reparación Total 5 250ml</t>
        </is>
      </c>
      <c r="E2531" t="inlineStr">
        <is>
          <t>ELVIVE</t>
        </is>
      </c>
      <c r="F2531" t="n">
        <v>1605.06</v>
      </c>
      <c r="G2531" t="n">
        <v>132650</v>
      </c>
      <c r="H2531" t="b">
        <v>0</v>
      </c>
      <c r="I2531" t="n">
        <v>250</v>
      </c>
      <c r="J2531" t="n">
        <v>6.4202</v>
      </c>
      <c r="K2531" t="inlineStr">
        <is>
          <t>&gt; Perfumería &gt; Cuidado Capilar &gt; Reparación y Tratamientos &gt;</t>
        </is>
      </c>
      <c r="L2531" t="inlineStr">
        <is>
          <t>shampoo</t>
        </is>
      </c>
      <c r="M2531" t="inlineStr">
        <is>
          <t>profesional</t>
        </is>
      </c>
      <c r="N2531" t="inlineStr">
        <is>
          <t>general</t>
        </is>
      </c>
      <c r="O2531" t="inlineStr">
        <is>
          <t>https://www.disco.com.ar/elvive-crema-para-peinar-reparacion-total-5-250ml/p</t>
        </is>
      </c>
    </row>
    <row r="2532">
      <c r="A2532" s="10" t="inlineStr">
        <is>
          <t>Disco</t>
        </is>
      </c>
      <c r="B2532" s="10" t="n">
        <v>350001</v>
      </c>
      <c r="C2532" s="10" t="n">
        <v>348661</v>
      </c>
      <c r="D2532" s="10" t="inlineStr">
        <is>
          <t>Mascarilla Elvive Reparacion Total 5 300ml</t>
        </is>
      </c>
      <c r="E2532" s="10" t="inlineStr">
        <is>
          <t>ELVIVE</t>
        </is>
      </c>
      <c r="F2532" s="10" t="n">
        <v>1650</v>
      </c>
      <c r="G2532" s="10" t="n">
        <v>136364</v>
      </c>
      <c r="H2532" s="10" t="b">
        <v>0</v>
      </c>
      <c r="I2532" s="10" t="n">
        <v>300</v>
      </c>
      <c r="J2532" s="10" t="n">
        <v>5.5</v>
      </c>
      <c r="K2532" s="10" t="inlineStr">
        <is>
          <t>&gt; Perfumería &gt; Cuidado Capilar &gt; Reparación y Tratamientos &gt;</t>
        </is>
      </c>
      <c r="L2532" s="10" t="inlineStr">
        <is>
          <t>tratamiento</t>
        </is>
      </c>
      <c r="M2532" s="10" t="inlineStr">
        <is>
          <t>profesional</t>
        </is>
      </c>
      <c r="N2532" s="10" t="inlineStr">
        <is>
          <t>general</t>
        </is>
      </c>
      <c r="O2532" s="10" t="inlineStr">
        <is>
          <t>https://www.disco.com.ar/mascarilla-elvive-reparacion-total-5-300ml-2/p</t>
        </is>
      </c>
    </row>
    <row r="2533">
      <c r="A2533" t="inlineStr">
        <is>
          <t>Disco</t>
        </is>
      </c>
      <c r="B2533" t="n">
        <v>350000</v>
      </c>
      <c r="C2533" t="n">
        <v>348660</v>
      </c>
      <c r="D2533" t="inlineStr">
        <is>
          <t>Shampoo Elvive Reparador 2 En 1 Total 5 400ml</t>
        </is>
      </c>
      <c r="E2533" t="inlineStr">
        <is>
          <t>ELVIVE</t>
        </is>
      </c>
      <c r="F2533" t="n">
        <v>1366.09</v>
      </c>
      <c r="G2533" t="n">
        <v>112900</v>
      </c>
      <c r="H2533" t="b">
        <v>0</v>
      </c>
      <c r="I2533" t="n">
        <v>400</v>
      </c>
      <c r="J2533" t="n">
        <v>3.4152</v>
      </c>
      <c r="K2533" t="inlineStr">
        <is>
          <t>&gt; Perfumería &gt; Cuidado Capilar &gt; Shampoo &gt;</t>
        </is>
      </c>
      <c r="L2533" t="inlineStr">
        <is>
          <t>shampoo</t>
        </is>
      </c>
      <c r="M2533" t="inlineStr">
        <is>
          <t>profesional</t>
        </is>
      </c>
      <c r="N2533" t="inlineStr">
        <is>
          <t>general</t>
        </is>
      </c>
      <c r="O2533" t="inlineStr">
        <is>
          <t>https://www.disco.com.ar/shampoo-elvive-reparador-2-en-1-total-5-400ml-2/p</t>
        </is>
      </c>
    </row>
    <row r="2534">
      <c r="A2534" s="10" t="inlineStr">
        <is>
          <t>Disco</t>
        </is>
      </c>
      <c r="B2534" s="10" t="n">
        <v>349998</v>
      </c>
      <c r="C2534" s="10" t="n">
        <v>348658</v>
      </c>
      <c r="D2534" s="10" t="inlineStr">
        <is>
          <t>Shampoo Elvive Reparador Total 5 750ml</t>
        </is>
      </c>
      <c r="E2534" s="10" t="inlineStr">
        <is>
          <t>ELVIVE</t>
        </is>
      </c>
      <c r="F2534" s="10" t="n">
        <v>2168.17</v>
      </c>
      <c r="G2534" s="10" t="n">
        <v>179188</v>
      </c>
      <c r="H2534" s="10" t="b">
        <v>0</v>
      </c>
      <c r="I2534" s="10" t="n">
        <v>750</v>
      </c>
      <c r="J2534" s="10" t="n">
        <v>2.8909</v>
      </c>
      <c r="K2534" s="10" t="inlineStr">
        <is>
          <t>&gt; Perfumería &gt; Cuidado Capilar &gt; Shampoo &gt;</t>
        </is>
      </c>
      <c r="L2534" s="10" t="inlineStr">
        <is>
          <t>shampoo</t>
        </is>
      </c>
      <c r="M2534" s="10" t="inlineStr">
        <is>
          <t>profesional</t>
        </is>
      </c>
      <c r="N2534" s="10" t="inlineStr">
        <is>
          <t>general</t>
        </is>
      </c>
      <c r="O2534" s="10" t="inlineStr">
        <is>
          <t>https://www.disco.com.ar/shampoo-elvive-reparador-total-5-750ml-2/p</t>
        </is>
      </c>
    </row>
    <row r="2535">
      <c r="A2535" t="inlineStr">
        <is>
          <t>Disco</t>
        </is>
      </c>
      <c r="B2535" t="n">
        <v>349996</v>
      </c>
      <c r="C2535" t="n">
        <v>348656</v>
      </c>
      <c r="D2535" t="inlineStr">
        <is>
          <t>Shampoo Reparación Total 5 Elvive L´oréal Paris X 400 Ml</t>
        </is>
      </c>
      <c r="E2535" t="inlineStr">
        <is>
          <t>ELVIVE</t>
        </is>
      </c>
      <c r="F2535" t="n">
        <v>1650</v>
      </c>
      <c r="G2535" t="n">
        <v>136364</v>
      </c>
      <c r="H2535" t="b">
        <v>0</v>
      </c>
      <c r="I2535" t="n">
        <v>400</v>
      </c>
      <c r="J2535" t="n">
        <v>4.125</v>
      </c>
      <c r="K2535" t="inlineStr">
        <is>
          <t>&gt; Perfumería &gt; Cuidado Capilar &gt; Shampoo &gt;</t>
        </is>
      </c>
      <c r="L2535" t="inlineStr">
        <is>
          <t>shampoo</t>
        </is>
      </c>
      <c r="M2535" t="inlineStr">
        <is>
          <t>profesional</t>
        </is>
      </c>
      <c r="N2535" t="inlineStr">
        <is>
          <t>general</t>
        </is>
      </c>
      <c r="O2535" t="inlineStr">
        <is>
          <t>https://www.disco.com.ar/shampoo-reparacion-total-5-elvive-l-oreal-paris-x-400-ml/p</t>
        </is>
      </c>
    </row>
    <row r="2536">
      <c r="A2536" s="10" t="inlineStr">
        <is>
          <t>Disco</t>
        </is>
      </c>
      <c r="B2536" s="10" t="n">
        <v>349995</v>
      </c>
      <c r="C2536" s="10" t="n">
        <v>348655</v>
      </c>
      <c r="D2536" s="10" t="inlineStr">
        <is>
          <t>Acondicionador Elvive Reparador Total 5 200ml</t>
        </is>
      </c>
      <c r="E2536" s="10" t="inlineStr">
        <is>
          <t>ELVIVE</t>
        </is>
      </c>
      <c r="F2536" s="10" t="n">
        <v>1150</v>
      </c>
      <c r="G2536" s="10" t="n">
        <v>95041</v>
      </c>
      <c r="H2536" s="10" t="b">
        <v>0</v>
      </c>
      <c r="I2536" s="10" t="n">
        <v>200</v>
      </c>
      <c r="J2536" s="10" t="n">
        <v>5.75</v>
      </c>
      <c r="K2536" s="10" t="inlineStr">
        <is>
          <t>&gt; Perfumería &gt; Cuidado Capilar &gt; Acondicionador &gt;</t>
        </is>
      </c>
      <c r="L2536" s="10" t="inlineStr">
        <is>
          <t>acondicionador</t>
        </is>
      </c>
      <c r="M2536" s="10" t="inlineStr">
        <is>
          <t>profesional</t>
        </is>
      </c>
      <c r="N2536" s="10" t="inlineStr">
        <is>
          <t>general</t>
        </is>
      </c>
      <c r="O2536" s="10" t="inlineStr">
        <is>
          <t>https://www.disco.com.ar/acondicionador-elvive-reparador-total-5-200ml-2/p</t>
        </is>
      </c>
    </row>
    <row r="2537">
      <c r="A2537" t="inlineStr">
        <is>
          <t>Disco</t>
        </is>
      </c>
      <c r="B2537" t="n">
        <v>349994</v>
      </c>
      <c r="C2537" t="n">
        <v>348654</v>
      </c>
      <c r="D2537" t="inlineStr">
        <is>
          <t>Shampoo Elvive Reparador Total 5 200ml</t>
        </is>
      </c>
      <c r="E2537" t="inlineStr">
        <is>
          <t>ELVIVE</t>
        </is>
      </c>
      <c r="F2537" t="n">
        <v>1150</v>
      </c>
      <c r="G2537" t="n">
        <v>95041</v>
      </c>
      <c r="H2537" t="b">
        <v>0</v>
      </c>
      <c r="I2537" t="n">
        <v>200</v>
      </c>
      <c r="J2537" t="n">
        <v>5.75</v>
      </c>
      <c r="K2537" t="inlineStr">
        <is>
          <t>&gt; Perfumería &gt; Cuidado Capilar &gt; Shampoo &gt;</t>
        </is>
      </c>
      <c r="L2537" t="inlineStr">
        <is>
          <t>shampoo</t>
        </is>
      </c>
      <c r="M2537" t="inlineStr">
        <is>
          <t>profesional</t>
        </is>
      </c>
      <c r="N2537" t="inlineStr">
        <is>
          <t>general</t>
        </is>
      </c>
      <c r="O2537" t="inlineStr">
        <is>
          <t>https://www.disco.com.ar/shampoo-elvive-reparador-total-5-200ml-2/p</t>
        </is>
      </c>
    </row>
    <row r="2538">
      <c r="A2538" s="10" t="inlineStr">
        <is>
          <t>Disco</t>
        </is>
      </c>
      <c r="B2538" s="10" t="n">
        <v>349985</v>
      </c>
      <c r="C2538" s="10" t="n">
        <v>348645</v>
      </c>
      <c r="D2538" s="10" t="inlineStr">
        <is>
          <t>Mascarilla Nutrición Intensa Oleo Extraordinario de Coco 300 Grs Elvive</t>
        </is>
      </c>
      <c r="E2538" s="10" t="inlineStr">
        <is>
          <t>ELVIVE</t>
        </is>
      </c>
      <c r="F2538" s="10" t="n">
        <v>10500</v>
      </c>
      <c r="G2538" s="10" t="n">
        <v>867769</v>
      </c>
      <c r="H2538" s="10" t="b">
        <v>0</v>
      </c>
      <c r="I2538" s="10" t="inlineStr"/>
      <c r="J2538" s="10" t="inlineStr"/>
      <c r="K2538" s="10" t="inlineStr">
        <is>
          <t>&gt; Perfumería &gt; Cuidado Capilar &gt; Reparación y Tratamientos &gt;</t>
        </is>
      </c>
      <c r="L2538" s="10" t="inlineStr">
        <is>
          <t>tratamiento</t>
        </is>
      </c>
      <c r="M2538" s="10" t="inlineStr">
        <is>
          <t>profesional</t>
        </is>
      </c>
      <c r="N2538" s="10" t="inlineStr">
        <is>
          <t>general</t>
        </is>
      </c>
      <c r="O2538" s="10" t="inlineStr">
        <is>
          <t>https://www.disco.com.ar/mascarilla-elvive-oleo-extraordinario-coco-300-gr/p</t>
        </is>
      </c>
    </row>
    <row r="2539">
      <c r="A2539" t="inlineStr">
        <is>
          <t>Disco</t>
        </is>
      </c>
      <c r="B2539" t="n">
        <v>348107</v>
      </c>
      <c r="C2539" t="n">
        <v>346781</v>
      </c>
      <c r="D2539" t="inlineStr">
        <is>
          <t>Acond Algabo Detox Eco-pack 930ml</t>
        </is>
      </c>
      <c r="E2539" t="inlineStr">
        <is>
          <t>ELVIVE</t>
        </is>
      </c>
      <c r="F2539" t="n">
        <v>278.39</v>
      </c>
      <c r="G2539" t="n">
        <v>23007</v>
      </c>
      <c r="H2539" t="b">
        <v>0</v>
      </c>
      <c r="I2539" t="n">
        <v>930</v>
      </c>
      <c r="J2539" t="n">
        <v>0.2993</v>
      </c>
      <c r="K2539" t="inlineStr">
        <is>
          <t>&gt; Perfumería &gt; Cuidado Capilar &gt; Acondicionador &gt;</t>
        </is>
      </c>
      <c r="L2539" t="inlineStr">
        <is>
          <t>tratamiento</t>
        </is>
      </c>
      <c r="M2539" t="inlineStr">
        <is>
          <t>profesional</t>
        </is>
      </c>
      <c r="N2539" t="inlineStr">
        <is>
          <t>general</t>
        </is>
      </c>
      <c r="O2539" t="inlineStr">
        <is>
          <t>https://www.disco.com.ar/acond-algabo-detox-eco-pack-930ml-2/p</t>
        </is>
      </c>
    </row>
    <row r="2540">
      <c r="A2540" s="10" t="inlineStr">
        <is>
          <t>Disco</t>
        </is>
      </c>
      <c r="B2540" s="10" t="n">
        <v>348057</v>
      </c>
      <c r="C2540" s="10" t="n">
        <v>346732</v>
      </c>
      <c r="D2540" s="10" t="inlineStr">
        <is>
          <t>Shampoo Algabo Brillo Eco-pack 930ml</t>
        </is>
      </c>
      <c r="E2540" s="10" t="inlineStr">
        <is>
          <t>ELVIVE</t>
        </is>
      </c>
      <c r="F2540" s="10" t="n">
        <v>221.47</v>
      </c>
      <c r="G2540" s="10" t="n">
        <v>18303</v>
      </c>
      <c r="H2540" s="10" t="b">
        <v>0</v>
      </c>
      <c r="I2540" s="10" t="n">
        <v>930</v>
      </c>
      <c r="J2540" s="10" t="n">
        <v>0.2381</v>
      </c>
      <c r="K2540" s="10" t="inlineStr">
        <is>
          <t>&gt; Perfumería &gt; Cuidado Capilar &gt; Shampoo &gt;</t>
        </is>
      </c>
      <c r="L2540" s="10" t="inlineStr">
        <is>
          <t>tratamiento</t>
        </is>
      </c>
      <c r="M2540" s="10" t="inlineStr">
        <is>
          <t>profesional</t>
        </is>
      </c>
      <c r="N2540" s="10" t="inlineStr">
        <is>
          <t>general</t>
        </is>
      </c>
      <c r="O2540" s="10" t="inlineStr">
        <is>
          <t>https://www.disco.com.ar/shampoo-algabo-brillo-eco-pack-930ml-2/p</t>
        </is>
      </c>
    </row>
    <row r="2541">
      <c r="A2541" t="inlineStr">
        <is>
          <t>Disco</t>
        </is>
      </c>
      <c r="B2541" t="n">
        <v>348056</v>
      </c>
      <c r="C2541" t="n">
        <v>346731</v>
      </c>
      <c r="D2541" t="inlineStr">
        <is>
          <t>Acondicionador Algabo Brillo Eco-pack 930ml</t>
        </is>
      </c>
      <c r="E2541" t="inlineStr">
        <is>
          <t>ELVIVE</t>
        </is>
      </c>
      <c r="F2541" t="n">
        <v>221.47</v>
      </c>
      <c r="G2541" t="n">
        <v>18303</v>
      </c>
      <c r="H2541" t="b">
        <v>0</v>
      </c>
      <c r="I2541" t="n">
        <v>930</v>
      </c>
      <c r="J2541" t="n">
        <v>0.2381</v>
      </c>
      <c r="K2541" t="inlineStr">
        <is>
          <t>&gt; Perfumería &gt; Cuidado Capilar &gt; Acondicionador &gt;</t>
        </is>
      </c>
      <c r="L2541" t="inlineStr">
        <is>
          <t>acondicionador</t>
        </is>
      </c>
      <c r="M2541" t="inlineStr">
        <is>
          <t>profesional</t>
        </is>
      </c>
      <c r="N2541" t="inlineStr">
        <is>
          <t>general</t>
        </is>
      </c>
      <c r="O2541" t="inlineStr">
        <is>
          <t>https://www.disco.com.ar/acondicionador-algabo-brillo-eco-pack-930ml-2/p</t>
        </is>
      </c>
    </row>
    <row r="2542">
      <c r="A2542" s="10" t="inlineStr">
        <is>
          <t>Disco</t>
        </is>
      </c>
      <c r="B2542" s="10" t="n">
        <v>348055</v>
      </c>
      <c r="C2542" s="10" t="n">
        <v>346730</v>
      </c>
      <c r="D2542" s="10" t="inlineStr">
        <is>
          <t>Shampoo Algabo Hidratación Eco-pack 930ml</t>
        </is>
      </c>
      <c r="E2542" s="10" t="inlineStr">
        <is>
          <t>ELVIVE</t>
        </is>
      </c>
      <c r="F2542" s="10" t="n">
        <v>221.47</v>
      </c>
      <c r="G2542" s="10" t="n">
        <v>18303</v>
      </c>
      <c r="H2542" s="10" t="b">
        <v>0</v>
      </c>
      <c r="I2542" s="10" t="n">
        <v>930</v>
      </c>
      <c r="J2542" s="10" t="n">
        <v>0.2381</v>
      </c>
      <c r="K2542" s="10" t="inlineStr">
        <is>
          <t>&gt; Perfumería &gt; Cuidado Capilar &gt; Shampoo &gt;</t>
        </is>
      </c>
      <c r="L2542" s="10" t="inlineStr">
        <is>
          <t>tratamiento</t>
        </is>
      </c>
      <c r="M2542" s="10" t="inlineStr">
        <is>
          <t>profesional</t>
        </is>
      </c>
      <c r="N2542" s="10" t="inlineStr">
        <is>
          <t>seco_danado</t>
        </is>
      </c>
      <c r="O2542" s="10" t="inlineStr">
        <is>
          <t>https://www.disco.com.ar/shampoo-algabo-hidratacion-eco-pack-930ml/p</t>
        </is>
      </c>
    </row>
    <row r="2543">
      <c r="A2543" t="inlineStr">
        <is>
          <t>Disco</t>
        </is>
      </c>
      <c r="B2543" t="n">
        <v>348053</v>
      </c>
      <c r="C2543" t="n">
        <v>346728</v>
      </c>
      <c r="D2543" t="inlineStr">
        <is>
          <t>Shampoo Algabo Suavidad Eco-pack 930ml</t>
        </is>
      </c>
      <c r="E2543" t="inlineStr">
        <is>
          <t>ELVIVE</t>
        </is>
      </c>
      <c r="F2543" t="n">
        <v>221.47</v>
      </c>
      <c r="G2543" t="n">
        <v>18303</v>
      </c>
      <c r="H2543" t="b">
        <v>0</v>
      </c>
      <c r="I2543" t="n">
        <v>930</v>
      </c>
      <c r="J2543" t="n">
        <v>0.2381</v>
      </c>
      <c r="K2543" t="inlineStr">
        <is>
          <t>&gt; Perfumería &gt; Cuidado Capilar &gt; Shampoo &gt;</t>
        </is>
      </c>
      <c r="L2543" t="inlineStr">
        <is>
          <t>tratamiento</t>
        </is>
      </c>
      <c r="M2543" t="inlineStr">
        <is>
          <t>profesional</t>
        </is>
      </c>
      <c r="N2543" t="inlineStr">
        <is>
          <t>general</t>
        </is>
      </c>
      <c r="O2543" t="inlineStr">
        <is>
          <t>https://www.disco.com.ar/shampoo-algabo-suavidad-eco-pack-930ml-2/p</t>
        </is>
      </c>
    </row>
    <row r="2544">
      <c r="A2544" s="10" t="inlineStr">
        <is>
          <t>Disco</t>
        </is>
      </c>
      <c r="B2544" s="10" t="n">
        <v>348043</v>
      </c>
      <c r="C2544" s="10" t="n">
        <v>346718</v>
      </c>
      <c r="D2544" s="10" t="inlineStr">
        <is>
          <t>Acondicionador Algabo Suavidad Eco-pack 930ml</t>
        </is>
      </c>
      <c r="E2544" s="10" t="inlineStr">
        <is>
          <t>ELVIVE</t>
        </is>
      </c>
      <c r="F2544" s="10" t="n">
        <v>221.47</v>
      </c>
      <c r="G2544" s="10" t="n">
        <v>18303</v>
      </c>
      <c r="H2544" s="10" t="b">
        <v>0</v>
      </c>
      <c r="I2544" s="10" t="n">
        <v>930</v>
      </c>
      <c r="J2544" s="10" t="n">
        <v>0.2381</v>
      </c>
      <c r="K2544" s="10" t="inlineStr">
        <is>
          <t>&gt; Perfumería &gt; Cuidado Capilar &gt; Acondicionador &gt;</t>
        </is>
      </c>
      <c r="L2544" s="10" t="inlineStr">
        <is>
          <t>acondicionador</t>
        </is>
      </c>
      <c r="M2544" s="10" t="inlineStr">
        <is>
          <t>profesional</t>
        </is>
      </c>
      <c r="N2544" s="10" t="inlineStr">
        <is>
          <t>general</t>
        </is>
      </c>
      <c r="O2544" s="10" t="inlineStr">
        <is>
          <t>https://www.disco.com.ar/acondicionador-algabo-suavidad-eco-pack-930ml-2/p</t>
        </is>
      </c>
    </row>
    <row r="2545">
      <c r="A2545" t="inlineStr">
        <is>
          <t>Disco</t>
        </is>
      </c>
      <c r="B2545" t="n">
        <v>346827</v>
      </c>
      <c r="C2545" t="n">
        <v>345502</v>
      </c>
      <c r="D2545" t="inlineStr">
        <is>
          <t>Shampoo Reconstructor Dream Long 200 Ml Elvive Shampoo Elvive Dream Long 200 Ml</t>
        </is>
      </c>
      <c r="E2545" t="inlineStr">
        <is>
          <t>ELVIVE</t>
        </is>
      </c>
      <c r="F2545" t="n">
        <v>6300</v>
      </c>
      <c r="G2545" t="n">
        <v>520661</v>
      </c>
      <c r="H2545" t="b">
        <v>0</v>
      </c>
      <c r="I2545" t="n">
        <v>200</v>
      </c>
      <c r="J2545" t="n">
        <v>31.5</v>
      </c>
      <c r="K2545" t="inlineStr">
        <is>
          <t>&gt; Perfumería &gt; Cuidado Capilar &gt; Shampoo &gt;</t>
        </is>
      </c>
      <c r="L2545" t="inlineStr">
        <is>
          <t>shampoo</t>
        </is>
      </c>
      <c r="M2545" t="inlineStr">
        <is>
          <t>profesional</t>
        </is>
      </c>
      <c r="N2545" t="inlineStr">
        <is>
          <t>general</t>
        </is>
      </c>
      <c r="O2545" t="inlineStr">
        <is>
          <t>https://www.disco.com.ar/shampoo-elvive-dream-long-200-ml/p</t>
        </is>
      </c>
    </row>
    <row r="2546">
      <c r="A2546" s="10" t="inlineStr">
        <is>
          <t>Disco</t>
        </is>
      </c>
      <c r="B2546" s="10" t="n">
        <v>346822</v>
      </c>
      <c r="C2546" s="10" t="n">
        <v>345497</v>
      </c>
      <c r="D2546" s="10" t="inlineStr">
        <is>
          <t>Acondicionador Nutrición Intensa Oleo Extraordinario Coco 750 Ml Elvive</t>
        </is>
      </c>
      <c r="E2546" s="10" t="inlineStr">
        <is>
          <t>ELVIVE</t>
        </is>
      </c>
      <c r="F2546" s="10" t="n">
        <v>16800</v>
      </c>
      <c r="G2546" s="10" t="n">
        <v>1388430</v>
      </c>
      <c r="H2546" s="10" t="b">
        <v>0</v>
      </c>
      <c r="I2546" s="10" t="n">
        <v>750</v>
      </c>
      <c r="J2546" s="10" t="n">
        <v>22.4</v>
      </c>
      <c r="K2546" s="10" t="inlineStr">
        <is>
          <t>&gt; Perfumería &gt; Cuidado Capilar &gt; Acondicionador &gt;</t>
        </is>
      </c>
      <c r="L2546" s="10" t="inlineStr">
        <is>
          <t>acondicionador</t>
        </is>
      </c>
      <c r="M2546" s="10" t="inlineStr">
        <is>
          <t>profesional</t>
        </is>
      </c>
      <c r="N2546" s="10" t="inlineStr">
        <is>
          <t>general</t>
        </is>
      </c>
      <c r="O2546" s="10" t="inlineStr">
        <is>
          <t>https://www.disco.com.ar/acondicionador-elvive-oleo-extraordinario-coco-750-ml/p</t>
        </is>
      </c>
    </row>
    <row r="2547">
      <c r="A2547" t="inlineStr">
        <is>
          <t>Disco</t>
        </is>
      </c>
      <c r="B2547" t="n">
        <v>346821</v>
      </c>
      <c r="C2547" t="n">
        <v>345496</v>
      </c>
      <c r="D2547" t="inlineStr">
        <is>
          <t>Shampoo Elvive Oleo Extraordinario Rizos 200 Ml</t>
        </is>
      </c>
      <c r="E2547" t="inlineStr">
        <is>
          <t>ELVIVE</t>
        </is>
      </c>
      <c r="F2547" t="n">
        <v>823.6900000000001</v>
      </c>
      <c r="G2547" t="n">
        <v>68074</v>
      </c>
      <c r="H2547" t="b">
        <v>0</v>
      </c>
      <c r="I2547" t="n">
        <v>200</v>
      </c>
      <c r="J2547" t="n">
        <v>4.1185</v>
      </c>
      <c r="K2547" t="inlineStr">
        <is>
          <t>&gt; Perfumería &gt; Cuidado Capilar &gt; Shampoo &gt;</t>
        </is>
      </c>
      <c r="L2547" t="inlineStr">
        <is>
          <t>shampoo</t>
        </is>
      </c>
      <c r="M2547" t="inlineStr">
        <is>
          <t>profesional</t>
        </is>
      </c>
      <c r="N2547" t="inlineStr">
        <is>
          <t>rizado</t>
        </is>
      </c>
      <c r="O2547" t="inlineStr">
        <is>
          <t>https://www.disco.com.ar/shampoo-elvive-oleo-extraordinario-rizos-200-ml/p</t>
        </is>
      </c>
    </row>
    <row r="2548">
      <c r="A2548" s="10" t="inlineStr">
        <is>
          <t>Disco</t>
        </is>
      </c>
      <c r="B2548" s="10" t="n">
        <v>346818</v>
      </c>
      <c r="C2548" s="10" t="n">
        <v>345493</v>
      </c>
      <c r="D2548" s="10" t="inlineStr">
        <is>
          <t>Acondicionador Óleo Extraordinario Rizos Definidos 200 Ml Elvive Acondicionador Elvive Oleo Extraordinario Rizos 200 Ml</t>
        </is>
      </c>
      <c r="E2548" s="10" t="inlineStr">
        <is>
          <t>ELVIVE</t>
        </is>
      </c>
      <c r="F2548" s="10" t="n">
        <v>3300</v>
      </c>
      <c r="G2548" s="10" t="n">
        <v>272727</v>
      </c>
      <c r="H2548" s="10" t="b">
        <v>0</v>
      </c>
      <c r="I2548" s="10" t="n">
        <v>200</v>
      </c>
      <c r="J2548" s="10" t="n">
        <v>16.5</v>
      </c>
      <c r="K2548" s="10" t="inlineStr">
        <is>
          <t>&gt; Perfumería &gt; Cuidado Capilar &gt; Acondicionador &gt;</t>
        </is>
      </c>
      <c r="L2548" s="10" t="inlineStr">
        <is>
          <t>acondicionador</t>
        </is>
      </c>
      <c r="M2548" s="10" t="inlineStr">
        <is>
          <t>profesional</t>
        </is>
      </c>
      <c r="N2548" s="10" t="inlineStr">
        <is>
          <t>rizado</t>
        </is>
      </c>
      <c r="O2548" s="10" t="inlineStr">
        <is>
          <t>https://www.disco.com.ar/acondicionador-elvive-oleo-extraordinario-rizos-200-ml-2/p</t>
        </is>
      </c>
    </row>
    <row r="2549">
      <c r="A2549" t="inlineStr">
        <is>
          <t>Disco</t>
        </is>
      </c>
      <c r="B2549" t="n">
        <v>346817</v>
      </c>
      <c r="C2549" t="n">
        <v>345492</v>
      </c>
      <c r="D2549" t="inlineStr">
        <is>
          <t>Acodicionador Elvive Arcilla Purificante 750ml</t>
        </is>
      </c>
      <c r="E2549" t="inlineStr">
        <is>
          <t>ELVIVE</t>
        </is>
      </c>
      <c r="F2549" t="n">
        <v>2500</v>
      </c>
      <c r="G2549" t="n">
        <v>206612</v>
      </c>
      <c r="H2549" t="b">
        <v>0</v>
      </c>
      <c r="I2549" t="n">
        <v>750</v>
      </c>
      <c r="J2549" t="n">
        <v>3.3333</v>
      </c>
      <c r="K2549" t="inlineStr">
        <is>
          <t>&gt; Perfumería &gt; Cuidado Capilar &gt; Acondicionador &gt;</t>
        </is>
      </c>
      <c r="L2549" t="inlineStr">
        <is>
          <t>shampoo</t>
        </is>
      </c>
      <c r="M2549" t="inlineStr">
        <is>
          <t>profesional</t>
        </is>
      </c>
      <c r="N2549" t="inlineStr">
        <is>
          <t>general</t>
        </is>
      </c>
      <c r="O2549" t="inlineStr">
        <is>
          <t>https://www.disco.com.ar/acodicionador-elvive-arcilla-purificante-750ml/p</t>
        </is>
      </c>
    </row>
    <row r="2550">
      <c r="A2550" s="10" t="inlineStr">
        <is>
          <t>Disco</t>
        </is>
      </c>
      <c r="B2550" s="10" t="n">
        <v>346814</v>
      </c>
      <c r="C2550" s="10" t="n">
        <v>345489</v>
      </c>
      <c r="D2550" s="10" t="inlineStr">
        <is>
          <t>Mascarilla Elvive Extreme Reconstrucción 300g</t>
        </is>
      </c>
      <c r="E2550" s="10" t="inlineStr">
        <is>
          <t>ELVIVE</t>
        </is>
      </c>
      <c r="F2550" s="10" t="n">
        <v>1284.47</v>
      </c>
      <c r="G2550" s="10" t="n">
        <v>106155</v>
      </c>
      <c r="H2550" s="10" t="b">
        <v>0</v>
      </c>
      <c r="I2550" s="10" t="n">
        <v>300</v>
      </c>
      <c r="J2550" s="10" t="n">
        <v>4.2816</v>
      </c>
      <c r="K2550" s="10" t="inlineStr">
        <is>
          <t>&gt; Perfumería &gt; Cuidado Capilar &gt; Reparación y Tratamientos &gt;</t>
        </is>
      </c>
      <c r="L2550" s="10" t="inlineStr">
        <is>
          <t>tratamiento</t>
        </is>
      </c>
      <c r="M2550" s="10" t="inlineStr">
        <is>
          <t>profesional</t>
        </is>
      </c>
      <c r="N2550" s="10" t="inlineStr">
        <is>
          <t>general</t>
        </is>
      </c>
      <c r="O2550" s="10" t="inlineStr">
        <is>
          <t>https://www.disco.com.ar/mascarilla-elvive-extreme-reconstruccion-300g/p</t>
        </is>
      </c>
    </row>
    <row r="2551">
      <c r="A2551" t="inlineStr">
        <is>
          <t>Disco</t>
        </is>
      </c>
      <c r="B2551" t="n">
        <v>346769</v>
      </c>
      <c r="C2551" t="n">
        <v>345444</v>
      </c>
      <c r="D2551" t="inlineStr">
        <is>
          <t>Acondicionador Elvive Oleo Extraordinario Rizos 400 Ml</t>
        </is>
      </c>
      <c r="E2551" t="inlineStr">
        <is>
          <t>ELVIVE</t>
        </is>
      </c>
      <c r="F2551" t="n">
        <v>1333.09</v>
      </c>
      <c r="G2551" t="n">
        <v>110173</v>
      </c>
      <c r="H2551" t="b">
        <v>0</v>
      </c>
      <c r="I2551" t="n">
        <v>400</v>
      </c>
      <c r="J2551" t="n">
        <v>3.3327</v>
      </c>
      <c r="K2551" t="inlineStr">
        <is>
          <t>&gt; Perfumería &gt; Cuidado Capilar &gt; Acondicionador &gt;</t>
        </is>
      </c>
      <c r="L2551" t="inlineStr">
        <is>
          <t>acondicionador</t>
        </is>
      </c>
      <c r="M2551" t="inlineStr">
        <is>
          <t>profesional</t>
        </is>
      </c>
      <c r="N2551" t="inlineStr">
        <is>
          <t>rizado</t>
        </is>
      </c>
      <c r="O2551" t="inlineStr">
        <is>
          <t>https://www.disco.com.ar/acondicionador-elvive-oleo-extraordinario-rizos-400-ml/p</t>
        </is>
      </c>
    </row>
    <row r="2552">
      <c r="A2552" s="10" t="inlineStr">
        <is>
          <t>Disco</t>
        </is>
      </c>
      <c r="B2552" s="10" t="n">
        <v>346768</v>
      </c>
      <c r="C2552" s="10" t="n">
        <v>345443</v>
      </c>
      <c r="D2552" s="10" t="inlineStr">
        <is>
          <t>Shampoo Nutrición Intensa Oleo Extraordinario Coco 200 Ml Elvive</t>
        </is>
      </c>
      <c r="E2552" s="10" t="inlineStr">
        <is>
          <t>ELVIVE</t>
        </is>
      </c>
      <c r="F2552" s="10" t="n">
        <v>6300</v>
      </c>
      <c r="G2552" s="10" t="n">
        <v>520661</v>
      </c>
      <c r="H2552" s="10" t="b">
        <v>0</v>
      </c>
      <c r="I2552" s="10" t="n">
        <v>200</v>
      </c>
      <c r="J2552" s="10" t="n">
        <v>31.5</v>
      </c>
      <c r="K2552" s="10" t="inlineStr">
        <is>
          <t>&gt; Perfumería &gt; Cuidado Capilar &gt; Shampoo &gt;</t>
        </is>
      </c>
      <c r="L2552" s="10" t="inlineStr">
        <is>
          <t>shampoo</t>
        </is>
      </c>
      <c r="M2552" s="10" t="inlineStr">
        <is>
          <t>profesional</t>
        </is>
      </c>
      <c r="N2552" s="10" t="inlineStr">
        <is>
          <t>general</t>
        </is>
      </c>
      <c r="O2552" s="10" t="inlineStr">
        <is>
          <t>https://www.disco.com.ar/shampoo-elvive-oleo-extraordinario-coco-200-ml/p</t>
        </is>
      </c>
    </row>
    <row r="2553">
      <c r="A2553" t="inlineStr">
        <is>
          <t>Disco</t>
        </is>
      </c>
      <c r="B2553" t="n">
        <v>346766</v>
      </c>
      <c r="C2553" t="n">
        <v>345441</v>
      </c>
      <c r="D2553" t="inlineStr">
        <is>
          <t>Shampoo Elvive Oleo Extraordinario Rizos 400ml</t>
        </is>
      </c>
      <c r="E2553" t="inlineStr">
        <is>
          <t>ELVIVE</t>
        </is>
      </c>
      <c r="F2553" t="n">
        <v>1333.09</v>
      </c>
      <c r="G2553" t="n">
        <v>110173</v>
      </c>
      <c r="H2553" t="b">
        <v>0</v>
      </c>
      <c r="I2553" t="n">
        <v>400</v>
      </c>
      <c r="J2553" t="n">
        <v>3.3327</v>
      </c>
      <c r="K2553" t="inlineStr">
        <is>
          <t>&gt; Perfumería &gt; Cuidado Capilar &gt; Shampoo &gt;</t>
        </is>
      </c>
      <c r="L2553" t="inlineStr">
        <is>
          <t>shampoo</t>
        </is>
      </c>
      <c r="M2553" t="inlineStr">
        <is>
          <t>profesional</t>
        </is>
      </c>
      <c r="N2553" t="inlineStr">
        <is>
          <t>rizado</t>
        </is>
      </c>
      <c r="O2553" t="inlineStr">
        <is>
          <t>https://www.disco.com.ar/shampoo-elvive-oleo-extraordinario-rizos-400ml-2/p</t>
        </is>
      </c>
    </row>
    <row r="2554">
      <c r="A2554" s="10" t="inlineStr">
        <is>
          <t>Disco</t>
        </is>
      </c>
      <c r="B2554" s="10" t="n">
        <v>346765</v>
      </c>
      <c r="C2554" s="10" t="n">
        <v>345440</v>
      </c>
      <c r="D2554" s="10" t="inlineStr">
        <is>
          <t>Shampoo Arcilla Extraordinaria 400 Ml Elvive</t>
        </is>
      </c>
      <c r="E2554" s="10" t="inlineStr">
        <is>
          <t>ELVIVE</t>
        </is>
      </c>
      <c r="F2554" s="10" t="n">
        <v>9550</v>
      </c>
      <c r="G2554" s="10" t="n">
        <v>789256</v>
      </c>
      <c r="H2554" s="10" t="b">
        <v>0</v>
      </c>
      <c r="I2554" s="10" t="n">
        <v>400</v>
      </c>
      <c r="J2554" s="10" t="n">
        <v>23.875</v>
      </c>
      <c r="K2554" s="10" t="inlineStr">
        <is>
          <t>&gt; Perfumería &gt; Cuidado Capilar &gt; Shampoo &gt;</t>
        </is>
      </c>
      <c r="L2554" s="10" t="inlineStr">
        <is>
          <t>shampoo</t>
        </is>
      </c>
      <c r="M2554" s="10" t="inlineStr">
        <is>
          <t>profesional</t>
        </is>
      </c>
      <c r="N2554" s="10" t="inlineStr">
        <is>
          <t>general</t>
        </is>
      </c>
      <c r="O2554" s="10" t="inlineStr">
        <is>
          <t>https://www.disco.com.ar/shampoo-elvive-arcilla-purificante-400-ml/p</t>
        </is>
      </c>
    </row>
    <row r="2555">
      <c r="A2555" t="inlineStr">
        <is>
          <t>Disco</t>
        </is>
      </c>
      <c r="B2555" t="n">
        <v>346764</v>
      </c>
      <c r="C2555" t="n">
        <v>345439</v>
      </c>
      <c r="D2555" t="inlineStr">
        <is>
          <t>Acondicionador Arcilla Extraordinaria 400 Ml Elvive</t>
        </is>
      </c>
      <c r="E2555" t="inlineStr">
        <is>
          <t>ELVIVE</t>
        </is>
      </c>
      <c r="F2555" t="n">
        <v>9550</v>
      </c>
      <c r="G2555" t="n">
        <v>789256</v>
      </c>
      <c r="H2555" t="b">
        <v>0</v>
      </c>
      <c r="I2555" t="n">
        <v>400</v>
      </c>
      <c r="J2555" t="n">
        <v>23.875</v>
      </c>
      <c r="K2555" t="inlineStr">
        <is>
          <t>&gt; Perfumería &gt; Cuidado Capilar &gt; Acondicionador &gt;</t>
        </is>
      </c>
      <c r="L2555" t="inlineStr">
        <is>
          <t>acondicionador</t>
        </is>
      </c>
      <c r="M2555" t="inlineStr">
        <is>
          <t>profesional</t>
        </is>
      </c>
      <c r="N2555" t="inlineStr">
        <is>
          <t>general</t>
        </is>
      </c>
      <c r="O2555" t="inlineStr">
        <is>
          <t>https://www.disco.com.ar/acodicionador-elvive-arcilla-purificante-400-ml/p</t>
        </is>
      </c>
    </row>
    <row r="2556">
      <c r="A2556" s="10" t="inlineStr">
        <is>
          <t>Disco</t>
        </is>
      </c>
      <c r="B2556" s="10" t="n">
        <v>346762</v>
      </c>
      <c r="C2556" s="10" t="n">
        <v>345437</v>
      </c>
      <c r="D2556" s="10" t="inlineStr">
        <is>
          <t>Acondicionador Elvive Extreme Reconstructor 200ml</t>
        </is>
      </c>
      <c r="E2556" s="10" t="inlineStr">
        <is>
          <t>ELVIVE</t>
        </is>
      </c>
      <c r="F2556" s="10" t="n">
        <v>850</v>
      </c>
      <c r="G2556" s="10" t="n">
        <v>70248</v>
      </c>
      <c r="H2556" s="10" t="b">
        <v>0</v>
      </c>
      <c r="I2556" s="10" t="n">
        <v>200</v>
      </c>
      <c r="J2556" s="10" t="n">
        <v>4.25</v>
      </c>
      <c r="K2556" s="10" t="inlineStr">
        <is>
          <t>&gt; Perfumería &gt; Cuidado Capilar &gt; Acondicionador &gt;</t>
        </is>
      </c>
      <c r="L2556" s="10" t="inlineStr">
        <is>
          <t>acondicionador</t>
        </is>
      </c>
      <c r="M2556" s="10" t="inlineStr">
        <is>
          <t>profesional</t>
        </is>
      </c>
      <c r="N2556" s="10" t="inlineStr">
        <is>
          <t>general</t>
        </is>
      </c>
      <c r="O2556" s="10" t="inlineStr">
        <is>
          <t>https://www.disco.com.ar/acondicionador-elvive-extreme-reconstructor-200ml/p</t>
        </is>
      </c>
    </row>
    <row r="2557">
      <c r="A2557" t="inlineStr">
        <is>
          <t>Disco</t>
        </is>
      </c>
      <c r="B2557" t="n">
        <v>346760</v>
      </c>
      <c r="C2557" t="n">
        <v>345435</v>
      </c>
      <c r="D2557" t="inlineStr">
        <is>
          <t>Acondicionador Arcilla Extraordinaria 200 Ml Elvive Acodicionador Elvive Arcilla Purificante 200ml</t>
        </is>
      </c>
      <c r="E2557" t="inlineStr">
        <is>
          <t>ELVIVE</t>
        </is>
      </c>
      <c r="F2557" t="n">
        <v>5450</v>
      </c>
      <c r="G2557" t="n">
        <v>450413</v>
      </c>
      <c r="H2557" t="b">
        <v>0</v>
      </c>
      <c r="I2557" t="n">
        <v>200</v>
      </c>
      <c r="J2557" t="n">
        <v>27.25</v>
      </c>
      <c r="K2557" t="inlineStr">
        <is>
          <t>&gt; Perfumería &gt; Cuidado Capilar &gt; Acondicionador &gt;</t>
        </is>
      </c>
      <c r="L2557" t="inlineStr">
        <is>
          <t>acondicionador</t>
        </is>
      </c>
      <c r="M2557" t="inlineStr">
        <is>
          <t>profesional</t>
        </is>
      </c>
      <c r="N2557" t="inlineStr">
        <is>
          <t>general</t>
        </is>
      </c>
      <c r="O2557" t="inlineStr">
        <is>
          <t>https://www.disco.com.ar/acodicionador-elvive-arcilla-purificante-200ml/p</t>
        </is>
      </c>
    </row>
    <row r="2558">
      <c r="A2558" s="10" t="inlineStr">
        <is>
          <t>Disco</t>
        </is>
      </c>
      <c r="B2558" s="10" t="n">
        <v>346759</v>
      </c>
      <c r="C2558" s="10" t="n">
        <v>345434</v>
      </c>
      <c r="D2558" s="10" t="inlineStr">
        <is>
          <t>Shampoo Dream Long Reparador 750 Ml Elvive</t>
        </is>
      </c>
      <c r="E2558" s="10" t="inlineStr">
        <is>
          <t>ELVIVE</t>
        </is>
      </c>
      <c r="F2558" s="10" t="n">
        <v>16800</v>
      </c>
      <c r="G2558" s="10" t="n">
        <v>1388430</v>
      </c>
      <c r="H2558" s="10" t="b">
        <v>0</v>
      </c>
      <c r="I2558" s="10" t="n">
        <v>750</v>
      </c>
      <c r="J2558" s="10" t="n">
        <v>22.4</v>
      </c>
      <c r="K2558" s="10" t="inlineStr">
        <is>
          <t>&gt; Perfumería &gt; Cuidado Capilar &gt; Shampoo &gt;</t>
        </is>
      </c>
      <c r="L2558" s="10" t="inlineStr">
        <is>
          <t>shampoo</t>
        </is>
      </c>
      <c r="M2558" s="10" t="inlineStr">
        <is>
          <t>profesional</t>
        </is>
      </c>
      <c r="N2558" s="10" t="inlineStr">
        <is>
          <t>general</t>
        </is>
      </c>
      <c r="O2558" s="10" t="inlineStr">
        <is>
          <t>https://www.disco.com.ar/shampoo-elvive-dream-long-750-ml/p</t>
        </is>
      </c>
    </row>
    <row r="2559">
      <c r="A2559" t="inlineStr">
        <is>
          <t>Disco</t>
        </is>
      </c>
      <c r="B2559" t="n">
        <v>346758</v>
      </c>
      <c r="C2559" t="n">
        <v>345433</v>
      </c>
      <c r="D2559" t="inlineStr">
        <is>
          <t>Crema Para Peinar Elvive Kera-liso 230° 250ml</t>
        </is>
      </c>
      <c r="E2559" t="inlineStr">
        <is>
          <t>ELVIVE</t>
        </is>
      </c>
      <c r="F2559" t="n">
        <v>4450</v>
      </c>
      <c r="G2559" t="n">
        <v>367769</v>
      </c>
      <c r="H2559" t="b">
        <v>0</v>
      </c>
      <c r="I2559" t="n">
        <v>250</v>
      </c>
      <c r="J2559" t="n">
        <v>17.8</v>
      </c>
      <c r="K2559" t="inlineStr">
        <is>
          <t>&gt; Perfumería &gt; Cuidado Capilar &gt; Reparación y Tratamientos &gt;</t>
        </is>
      </c>
      <c r="L2559" t="inlineStr">
        <is>
          <t>shampoo</t>
        </is>
      </c>
      <c r="M2559" t="inlineStr">
        <is>
          <t>profesional</t>
        </is>
      </c>
      <c r="N2559" t="inlineStr">
        <is>
          <t>general</t>
        </is>
      </c>
      <c r="O2559" t="inlineStr">
        <is>
          <t>https://www.disco.com.ar/crema-para-peinar-elvive-kera-liso-230-250ml/p</t>
        </is>
      </c>
    </row>
    <row r="2560">
      <c r="A2560" s="10" t="inlineStr">
        <is>
          <t>Disco</t>
        </is>
      </c>
      <c r="B2560" s="10" t="n">
        <v>346757</v>
      </c>
      <c r="C2560" s="10" t="n">
        <v>345432</v>
      </c>
      <c r="D2560" s="10" t="inlineStr">
        <is>
          <t>Shampoo Elvive Extreme Reconstructor 750ml..</t>
        </is>
      </c>
      <c r="E2560" s="10" t="inlineStr">
        <is>
          <t>ELVIVE</t>
        </is>
      </c>
      <c r="F2560" s="10" t="n">
        <v>2013.63</v>
      </c>
      <c r="G2560" s="10" t="n">
        <v>166416</v>
      </c>
      <c r="H2560" s="10" t="b">
        <v>0</v>
      </c>
      <c r="I2560" s="10" t="n">
        <v>750</v>
      </c>
      <c r="J2560" s="10" t="n">
        <v>2.6848</v>
      </c>
      <c r="K2560" s="10" t="inlineStr">
        <is>
          <t>&gt; Perfumería &gt; Cuidado Capilar &gt; Shampoo &gt;</t>
        </is>
      </c>
      <c r="L2560" s="10" t="inlineStr">
        <is>
          <t>shampoo</t>
        </is>
      </c>
      <c r="M2560" s="10" t="inlineStr">
        <is>
          <t>profesional</t>
        </is>
      </c>
      <c r="N2560" s="10" t="inlineStr">
        <is>
          <t>general</t>
        </is>
      </c>
      <c r="O2560" s="10" t="inlineStr">
        <is>
          <t>https://www.disco.com.ar/shampoo-elvive-extreme-reconstructor-750ml/p</t>
        </is>
      </c>
    </row>
    <row r="2561">
      <c r="A2561" t="inlineStr">
        <is>
          <t>Disco</t>
        </is>
      </c>
      <c r="B2561" t="n">
        <v>346756</v>
      </c>
      <c r="C2561" t="n">
        <v>345431</v>
      </c>
      <c r="D2561" t="inlineStr">
        <is>
          <t>Acondicionador Dream Long Reconstructor 750 Ml Elvive</t>
        </is>
      </c>
      <c r="E2561" t="inlineStr">
        <is>
          <t>ELVIVE</t>
        </is>
      </c>
      <c r="F2561" t="n">
        <v>16800</v>
      </c>
      <c r="G2561" t="n">
        <v>1388430</v>
      </c>
      <c r="H2561" t="b">
        <v>0</v>
      </c>
      <c r="I2561" t="n">
        <v>750</v>
      </c>
      <c r="J2561" t="n">
        <v>22.4</v>
      </c>
      <c r="K2561" t="inlineStr">
        <is>
          <t>&gt; Perfumería &gt; Cuidado Capilar &gt; Acondicionador &gt;</t>
        </is>
      </c>
      <c r="L2561" t="inlineStr">
        <is>
          <t>acondicionador</t>
        </is>
      </c>
      <c r="M2561" t="inlineStr">
        <is>
          <t>profesional</t>
        </is>
      </c>
      <c r="N2561" t="inlineStr">
        <is>
          <t>general</t>
        </is>
      </c>
      <c r="O2561" t="inlineStr">
        <is>
          <t>https://www.disco.com.ar/acondicionador-elvive-dream-long-750-ml/p</t>
        </is>
      </c>
    </row>
    <row r="2562">
      <c r="A2562" s="10" t="inlineStr">
        <is>
          <t>Disco</t>
        </is>
      </c>
      <c r="B2562" s="10" t="n">
        <v>346755</v>
      </c>
      <c r="C2562" s="10" t="n">
        <v>345430</v>
      </c>
      <c r="D2562" s="10" t="inlineStr">
        <is>
          <t>Acondicionador Dream Long Reconstructor 200 Ml Elvive</t>
        </is>
      </c>
      <c r="E2562" s="10" t="inlineStr">
        <is>
          <t>ELVIVE</t>
        </is>
      </c>
      <c r="F2562" s="10" t="n">
        <v>6300</v>
      </c>
      <c r="G2562" s="10" t="n">
        <v>520661</v>
      </c>
      <c r="H2562" s="10" t="b">
        <v>0</v>
      </c>
      <c r="I2562" s="10" t="n">
        <v>200</v>
      </c>
      <c r="J2562" s="10" t="n">
        <v>31.5</v>
      </c>
      <c r="K2562" s="10" t="inlineStr">
        <is>
          <t>&gt; Perfumería &gt; Cuidado Capilar &gt; Acondicionador &gt;</t>
        </is>
      </c>
      <c r="L2562" s="10" t="inlineStr">
        <is>
          <t>acondicionador</t>
        </is>
      </c>
      <c r="M2562" s="10" t="inlineStr">
        <is>
          <t>profesional</t>
        </is>
      </c>
      <c r="N2562" s="10" t="inlineStr">
        <is>
          <t>general</t>
        </is>
      </c>
      <c r="O2562" s="10" t="inlineStr">
        <is>
          <t>https://www.disco.com.ar/acondicionador-elvive-dream-long-200-ml/p</t>
        </is>
      </c>
    </row>
    <row r="2563">
      <c r="A2563" t="inlineStr">
        <is>
          <t>Disco</t>
        </is>
      </c>
      <c r="B2563" t="n">
        <v>346754</v>
      </c>
      <c r="C2563" t="n">
        <v>345429</v>
      </c>
      <c r="D2563" t="inlineStr">
        <is>
          <t>Shampoo Reconstructor Dream Long 400 Ml Elvive</t>
        </is>
      </c>
      <c r="E2563" t="inlineStr">
        <is>
          <t>ELVIVE</t>
        </is>
      </c>
      <c r="F2563" t="n">
        <v>10500</v>
      </c>
      <c r="G2563" t="n">
        <v>867769</v>
      </c>
      <c r="H2563" t="b">
        <v>0</v>
      </c>
      <c r="I2563" t="n">
        <v>400</v>
      </c>
      <c r="J2563" t="n">
        <v>26.25</v>
      </c>
      <c r="K2563" t="inlineStr">
        <is>
          <t>&gt; Perfumería &gt; Cuidado Capilar &gt; Shampoo &gt;</t>
        </is>
      </c>
      <c r="L2563" t="inlineStr">
        <is>
          <t>shampoo</t>
        </is>
      </c>
      <c r="M2563" t="inlineStr">
        <is>
          <t>profesional</t>
        </is>
      </c>
      <c r="N2563" t="inlineStr">
        <is>
          <t>general</t>
        </is>
      </c>
      <c r="O2563" t="inlineStr">
        <is>
          <t>https://www.disco.com.ar/shampoo-elvive-dream-long-400-ml/p</t>
        </is>
      </c>
    </row>
    <row r="2564">
      <c r="A2564" s="10" t="inlineStr">
        <is>
          <t>Disco</t>
        </is>
      </c>
      <c r="B2564" s="10" t="n">
        <v>346752</v>
      </c>
      <c r="C2564" s="10" t="n">
        <v>345427</v>
      </c>
      <c r="D2564" s="10" t="inlineStr">
        <is>
          <t>Acondicionador Elvive Dream Length 400 Ml</t>
        </is>
      </c>
      <c r="E2564" s="10" t="inlineStr">
        <is>
          <t>ELVIVE</t>
        </is>
      </c>
      <c r="F2564" s="10" t="n">
        <v>10800</v>
      </c>
      <c r="G2564" s="10" t="n">
        <v>892562</v>
      </c>
      <c r="H2564" s="10" t="b">
        <v>0</v>
      </c>
      <c r="I2564" s="10" t="n">
        <v>400</v>
      </c>
      <c r="J2564" s="10" t="n">
        <v>27</v>
      </c>
      <c r="K2564" s="10" t="inlineStr">
        <is>
          <t>&gt; Perfumería &gt; Cuidado Capilar &gt; Acondicionador &gt;</t>
        </is>
      </c>
      <c r="L2564" s="10" t="inlineStr">
        <is>
          <t>acondicionador</t>
        </is>
      </c>
      <c r="M2564" s="10" t="inlineStr">
        <is>
          <t>profesional</t>
        </is>
      </c>
      <c r="N2564" s="10" t="inlineStr">
        <is>
          <t>general</t>
        </is>
      </c>
      <c r="O2564" s="10" t="inlineStr">
        <is>
          <t>https://www.disco.com.ar/acondicionador-elvive-dream-length-400-ml/p</t>
        </is>
      </c>
    </row>
    <row r="2565">
      <c r="A2565" t="inlineStr">
        <is>
          <t>Disco</t>
        </is>
      </c>
      <c r="B2565" t="n">
        <v>346749</v>
      </c>
      <c r="C2565" t="n">
        <v>345424</v>
      </c>
      <c r="D2565" t="inlineStr">
        <is>
          <t>Shampoo Elvive Extreme Reconstructor 400ml</t>
        </is>
      </c>
      <c r="E2565" t="inlineStr">
        <is>
          <t>ELVIVE</t>
        </is>
      </c>
      <c r="F2565" t="n">
        <v>1151.55</v>
      </c>
      <c r="G2565" t="n">
        <v>95169</v>
      </c>
      <c r="H2565" t="b">
        <v>0</v>
      </c>
      <c r="I2565" t="n">
        <v>400</v>
      </c>
      <c r="J2565" t="n">
        <v>2.8789</v>
      </c>
      <c r="K2565" t="inlineStr">
        <is>
          <t>&gt; Perfumería &gt; Cuidado Capilar &gt; Shampoo &gt;</t>
        </is>
      </c>
      <c r="L2565" t="inlineStr">
        <is>
          <t>shampoo</t>
        </is>
      </c>
      <c r="M2565" t="inlineStr">
        <is>
          <t>profesional</t>
        </is>
      </c>
      <c r="N2565" t="inlineStr">
        <is>
          <t>general</t>
        </is>
      </c>
      <c r="O2565" t="inlineStr">
        <is>
          <t>https://www.disco.com.ar/shampoo-elvive-extreme-reconstructor-400ml-2/p</t>
        </is>
      </c>
    </row>
    <row r="2566">
      <c r="A2566" s="10" t="inlineStr">
        <is>
          <t>Disco</t>
        </is>
      </c>
      <c r="B2566" s="10" t="n">
        <v>331665</v>
      </c>
      <c r="C2566" s="10" t="n">
        <v>330823</v>
      </c>
      <c r="D2566" s="10" t="inlineStr">
        <is>
          <t>Mascarilla Hidratante Elvive Hidra 300ml</t>
        </is>
      </c>
      <c r="E2566" s="10" t="inlineStr">
        <is>
          <t>ELVIVE</t>
        </is>
      </c>
      <c r="F2566" s="10" t="n">
        <v>1419.89</v>
      </c>
      <c r="G2566" s="10" t="n">
        <v>117346</v>
      </c>
      <c r="H2566" s="10" t="b">
        <v>0</v>
      </c>
      <c r="I2566" s="10" t="n">
        <v>300</v>
      </c>
      <c r="J2566" s="10" t="n">
        <v>4.733</v>
      </c>
      <c r="K2566" s="10" t="inlineStr">
        <is>
          <t>&gt; Perfumería &gt; Cuidado de la Piel &gt; Cremas Faciales &gt;</t>
        </is>
      </c>
      <c r="L2566" s="10" t="inlineStr">
        <is>
          <t>tratamiento</t>
        </is>
      </c>
      <c r="M2566" s="10" t="inlineStr">
        <is>
          <t>profesional</t>
        </is>
      </c>
      <c r="N2566" s="10" t="inlineStr">
        <is>
          <t>seco_danado</t>
        </is>
      </c>
      <c r="O2566" s="10" t="inlineStr">
        <is>
          <t>https://www.disco.com.ar/mascarilla-hidratante-elvive-hidra-300ml/p</t>
        </is>
      </c>
    </row>
    <row r="2567">
      <c r="A2567" t="inlineStr">
        <is>
          <t>Disco</t>
        </is>
      </c>
      <c r="B2567" t="n">
        <v>331664</v>
      </c>
      <c r="C2567" t="n">
        <v>330822</v>
      </c>
      <c r="D2567" t="inlineStr">
        <is>
          <t>Elvive Crema Para Peinar Hidra Hialuronico 250ml</t>
        </is>
      </c>
      <c r="E2567" t="inlineStr">
        <is>
          <t>ELVIVE</t>
        </is>
      </c>
      <c r="F2567" t="n">
        <v>1498.99</v>
      </c>
      <c r="G2567" t="n">
        <v>123883</v>
      </c>
      <c r="H2567" t="b">
        <v>0</v>
      </c>
      <c r="I2567" t="n">
        <v>250</v>
      </c>
      <c r="J2567" t="n">
        <v>5.996</v>
      </c>
      <c r="K2567" t="inlineStr">
        <is>
          <t>&gt; Perfumería &gt; Cuidado Capilar &gt; Reparación y Tratamientos &gt;</t>
        </is>
      </c>
      <c r="L2567" t="inlineStr">
        <is>
          <t>shampoo</t>
        </is>
      </c>
      <c r="M2567" t="inlineStr">
        <is>
          <t>profesional</t>
        </is>
      </c>
      <c r="N2567" t="inlineStr">
        <is>
          <t>general</t>
        </is>
      </c>
      <c r="O2567" t="inlineStr">
        <is>
          <t>https://www.disco.com.ar/elvive-crema-para-peinar-hidra-hialuronico-250ml/p</t>
        </is>
      </c>
    </row>
    <row r="2568">
      <c r="A2568" s="10" t="inlineStr">
        <is>
          <t>Disco</t>
        </is>
      </c>
      <c r="B2568" s="10" t="n">
        <v>331663</v>
      </c>
      <c r="C2568" s="10" t="n">
        <v>330821</v>
      </c>
      <c r="D2568" s="10" t="inlineStr">
        <is>
          <t>Acondicionador Hidra Hialurónico Elvive L´oréal Paris 400ml</t>
        </is>
      </c>
      <c r="E2568" s="10" t="inlineStr">
        <is>
          <t>ELVIVE</t>
        </is>
      </c>
      <c r="F2568" s="10" t="n">
        <v>1188.09</v>
      </c>
      <c r="G2568" s="10" t="n">
        <v>98189</v>
      </c>
      <c r="H2568" s="10" t="b">
        <v>0</v>
      </c>
      <c r="I2568" s="10" t="n">
        <v>400</v>
      </c>
      <c r="J2568" s="10" t="n">
        <v>2.9702</v>
      </c>
      <c r="K2568" s="10" t="inlineStr">
        <is>
          <t>&gt; Perfumería &gt; Cuidado Capilar &gt; Acondicionador &gt;</t>
        </is>
      </c>
      <c r="L2568" s="10" t="inlineStr">
        <is>
          <t>acondicionador</t>
        </is>
      </c>
      <c r="M2568" s="10" t="inlineStr">
        <is>
          <t>profesional</t>
        </is>
      </c>
      <c r="N2568" s="10" t="inlineStr">
        <is>
          <t>general</t>
        </is>
      </c>
      <c r="O2568" s="10" t="inlineStr">
        <is>
          <t>https://www.disco.com.ar/acondicionador-hidra-hialuronico-elvive-l-oreal-paris-400ml-2/p</t>
        </is>
      </c>
    </row>
    <row r="2569">
      <c r="A2569" t="inlineStr">
        <is>
          <t>Disco</t>
        </is>
      </c>
      <c r="B2569" t="n">
        <v>331661</v>
      </c>
      <c r="C2569" t="n">
        <v>330819</v>
      </c>
      <c r="D2569" t="inlineStr">
        <is>
          <t>Shampoo Hidra Hialurónico Elvive 400ml</t>
        </is>
      </c>
      <c r="E2569" t="inlineStr">
        <is>
          <t>ELVIVE</t>
        </is>
      </c>
      <c r="F2569" t="n">
        <v>1188.09</v>
      </c>
      <c r="G2569" t="n">
        <v>98189</v>
      </c>
      <c r="H2569" t="b">
        <v>0</v>
      </c>
      <c r="I2569" t="n">
        <v>400</v>
      </c>
      <c r="J2569" t="n">
        <v>2.9702</v>
      </c>
      <c r="K2569" t="inlineStr">
        <is>
          <t>&gt; Perfumería &gt; Cuidado Capilar &gt; Shampoo &gt;</t>
        </is>
      </c>
      <c r="L2569" t="inlineStr">
        <is>
          <t>shampoo</t>
        </is>
      </c>
      <c r="M2569" t="inlineStr">
        <is>
          <t>profesional</t>
        </is>
      </c>
      <c r="N2569" t="inlineStr">
        <is>
          <t>general</t>
        </is>
      </c>
      <c r="O2569" t="inlineStr">
        <is>
          <t>https://www.disco.com.ar/shampoo-hidra-hialuronico-elvive-400ml/p</t>
        </is>
      </c>
    </row>
    <row r="2570">
      <c r="A2570" s="10" t="inlineStr">
        <is>
          <t>Disco</t>
        </is>
      </c>
      <c r="B2570" s="10" t="n">
        <v>331659</v>
      </c>
      <c r="C2570" s="10" t="n">
        <v>330817</v>
      </c>
      <c r="D2570" s="10" t="inlineStr">
        <is>
          <t>Elvive Acondicionador Hidra Hialuronico 200ml</t>
        </is>
      </c>
      <c r="E2570" s="10" t="inlineStr">
        <is>
          <t>ELVIVE</t>
        </is>
      </c>
      <c r="F2570" s="10" t="n">
        <v>770.85</v>
      </c>
      <c r="G2570" s="10" t="n">
        <v>63707</v>
      </c>
      <c r="H2570" s="10" t="b">
        <v>0</v>
      </c>
      <c r="I2570" s="10" t="n">
        <v>200</v>
      </c>
      <c r="J2570" s="10" t="n">
        <v>3.8542</v>
      </c>
      <c r="K2570" s="10" t="inlineStr">
        <is>
          <t>&gt; Perfumería &gt; Cuidado Capilar &gt; Acondicionador &gt;</t>
        </is>
      </c>
      <c r="L2570" s="10" t="inlineStr">
        <is>
          <t>acondicionador</t>
        </is>
      </c>
      <c r="M2570" s="10" t="inlineStr">
        <is>
          <t>profesional</t>
        </is>
      </c>
      <c r="N2570" s="10" t="inlineStr">
        <is>
          <t>general</t>
        </is>
      </c>
      <c r="O2570" s="10" t="inlineStr">
        <is>
          <t>https://www.disco.com.ar/elvive-acondicionador-hidra-hialuronico-200ml/p</t>
        </is>
      </c>
    </row>
    <row r="2571">
      <c r="A2571" t="inlineStr">
        <is>
          <t>Disco</t>
        </is>
      </c>
      <c r="B2571" t="n">
        <v>331658</v>
      </c>
      <c r="C2571" t="n">
        <v>330816</v>
      </c>
      <c r="D2571" t="inlineStr">
        <is>
          <t>Elvive Shampoo Hidra Hialuronico 200ml</t>
        </is>
      </c>
      <c r="E2571" t="inlineStr">
        <is>
          <t>ELVIVE</t>
        </is>
      </c>
      <c r="F2571" t="n">
        <v>770.85</v>
      </c>
      <c r="G2571" t="n">
        <v>63707</v>
      </c>
      <c r="H2571" t="b">
        <v>0</v>
      </c>
      <c r="I2571" t="n">
        <v>200</v>
      </c>
      <c r="J2571" t="n">
        <v>3.8542</v>
      </c>
      <c r="K2571" t="inlineStr">
        <is>
          <t>&gt; Perfumería &gt; Cuidado Capilar &gt; Shampoo &gt;</t>
        </is>
      </c>
      <c r="L2571" t="inlineStr">
        <is>
          <t>shampoo</t>
        </is>
      </c>
      <c r="M2571" t="inlineStr">
        <is>
          <t>profesional</t>
        </is>
      </c>
      <c r="N2571" t="inlineStr">
        <is>
          <t>general</t>
        </is>
      </c>
      <c r="O2571" t="inlineStr">
        <is>
          <t>https://www.disco.com.ar/elvive-shampoo-hidra-hialuronico-200ml/p</t>
        </is>
      </c>
    </row>
    <row r="2572">
      <c r="A2572" s="10" t="inlineStr">
        <is>
          <t>Disco</t>
        </is>
      </c>
      <c r="B2572" s="10" t="n">
        <v>321106</v>
      </c>
      <c r="C2572" s="10" t="n">
        <v>320143</v>
      </c>
      <c r="D2572" s="10" t="inlineStr">
        <is>
          <t>Tratamiento Elvive Capsulas Rt5 300ml</t>
        </is>
      </c>
      <c r="E2572" s="10" t="inlineStr">
        <is>
          <t>ELVIVE</t>
        </is>
      </c>
      <c r="F2572" s="10" t="n">
        <v>836.59</v>
      </c>
      <c r="G2572" s="10" t="n">
        <v>69140</v>
      </c>
      <c r="H2572" s="10" t="b">
        <v>0</v>
      </c>
      <c r="I2572" s="10" t="n">
        <v>300</v>
      </c>
      <c r="J2572" s="10" t="n">
        <v>2.7886</v>
      </c>
      <c r="K2572" s="10" t="inlineStr">
        <is>
          <t>&gt; Perfumería &gt; Cuidado Capilar &gt; Reparación y Tratamientos &gt;</t>
        </is>
      </c>
      <c r="L2572" s="10" t="inlineStr">
        <is>
          <t>tratamiento</t>
        </is>
      </c>
      <c r="M2572" s="10" t="inlineStr">
        <is>
          <t>profesional</t>
        </is>
      </c>
      <c r="N2572" s="10" t="inlineStr">
        <is>
          <t>general</t>
        </is>
      </c>
      <c r="O2572" s="10" t="inlineStr">
        <is>
          <t>https://www.disco.com.ar/tratamiento-elvive-capsulas-rt5-300ml/p</t>
        </is>
      </c>
    </row>
    <row r="2573">
      <c r="A2573" t="inlineStr">
        <is>
          <t>Disco</t>
        </is>
      </c>
      <c r="B2573" t="n">
        <v>308652</v>
      </c>
      <c r="C2573" t="n">
        <v>307889</v>
      </c>
      <c r="D2573" t="inlineStr">
        <is>
          <t>Crema para Peinar Dream Long Liss Stop Frizz 250 Ml Elvive</t>
        </is>
      </c>
      <c r="E2573" t="inlineStr">
        <is>
          <t>ELVIVE</t>
        </is>
      </c>
      <c r="F2573" t="n">
        <v>7550</v>
      </c>
      <c r="G2573" t="n">
        <v>623967</v>
      </c>
      <c r="H2573" t="b">
        <v>0</v>
      </c>
      <c r="I2573" t="n">
        <v>250</v>
      </c>
      <c r="J2573" t="n">
        <v>30.2</v>
      </c>
      <c r="K2573" t="inlineStr">
        <is>
          <t>&gt; Perfumería &gt; Cuidado Capilar &gt; Reparación y Tratamientos &gt;</t>
        </is>
      </c>
      <c r="L2573" t="inlineStr">
        <is>
          <t>shampoo</t>
        </is>
      </c>
      <c r="M2573" t="inlineStr">
        <is>
          <t>profesional</t>
        </is>
      </c>
      <c r="N2573" t="inlineStr">
        <is>
          <t>general</t>
        </is>
      </c>
      <c r="O2573" t="inlineStr">
        <is>
          <t>https://www.disco.com.ar/crema-para-peinar-elvive-dream-long-liss-250-ml/p</t>
        </is>
      </c>
    </row>
    <row r="2574">
      <c r="A2574" s="10" t="inlineStr">
        <is>
          <t>Disco</t>
        </is>
      </c>
      <c r="B2574" s="10" t="n">
        <v>308649</v>
      </c>
      <c r="C2574" s="10" t="n">
        <v>307886</v>
      </c>
      <c r="D2574" s="10" t="inlineStr">
        <is>
          <t>Acondicionador Dream Long Liss 750 Ml Elvive</t>
        </is>
      </c>
      <c r="E2574" s="10" t="inlineStr">
        <is>
          <t>ELVIVE</t>
        </is>
      </c>
      <c r="F2574" s="10" t="n">
        <v>14100</v>
      </c>
      <c r="G2574" s="10" t="n">
        <v>1165289</v>
      </c>
      <c r="H2574" s="10" t="b">
        <v>0</v>
      </c>
      <c r="I2574" s="10" t="n">
        <v>750</v>
      </c>
      <c r="J2574" s="10" t="n">
        <v>18.8</v>
      </c>
      <c r="K2574" s="10" t="inlineStr">
        <is>
          <t>&gt; Perfumería &gt; Cuidado Capilar &gt; Acondicionador &gt;</t>
        </is>
      </c>
      <c r="L2574" s="10" t="inlineStr">
        <is>
          <t>acondicionador</t>
        </is>
      </c>
      <c r="M2574" s="10" t="inlineStr">
        <is>
          <t>profesional</t>
        </is>
      </c>
      <c r="N2574" s="10" t="inlineStr">
        <is>
          <t>general</t>
        </is>
      </c>
      <c r="O2574" s="10" t="inlineStr">
        <is>
          <t>https://www.disco.com.ar/acondicionador-elvive-dream-long-liss-700ml/p</t>
        </is>
      </c>
    </row>
    <row r="2575">
      <c r="A2575" t="inlineStr">
        <is>
          <t>Disco</t>
        </is>
      </c>
      <c r="B2575" t="n">
        <v>308642</v>
      </c>
      <c r="C2575" t="n">
        <v>307879</v>
      </c>
      <c r="D2575" t="inlineStr">
        <is>
          <t>Acondicionador Elvive Dream Long Liss 200 Ml</t>
        </is>
      </c>
      <c r="E2575" t="inlineStr">
        <is>
          <t>ELVIVE</t>
        </is>
      </c>
      <c r="F2575" t="n">
        <v>5750</v>
      </c>
      <c r="G2575" t="n">
        <v>475207</v>
      </c>
      <c r="H2575" t="b">
        <v>0</v>
      </c>
      <c r="I2575" t="n">
        <v>200</v>
      </c>
      <c r="J2575" t="n">
        <v>28.75</v>
      </c>
      <c r="K2575" t="inlineStr">
        <is>
          <t>&gt; Perfumería &gt; Cuidado Capilar &gt; Acondicionador &gt;</t>
        </is>
      </c>
      <c r="L2575" t="inlineStr">
        <is>
          <t>acondicionador</t>
        </is>
      </c>
      <c r="M2575" t="inlineStr">
        <is>
          <t>profesional</t>
        </is>
      </c>
      <c r="N2575" t="inlineStr">
        <is>
          <t>general</t>
        </is>
      </c>
      <c r="O2575" t="inlineStr">
        <is>
          <t>https://www.disco.com.ar/acondicionador-elvive-dream-long-liss-200-ml/p</t>
        </is>
      </c>
    </row>
    <row r="2576">
      <c r="A2576" s="10" t="inlineStr">
        <is>
          <t>Disco</t>
        </is>
      </c>
      <c r="B2576" s="10" t="n">
        <v>308634</v>
      </c>
      <c r="C2576" s="10" t="n">
        <v>307871</v>
      </c>
      <c r="D2576" s="10" t="inlineStr">
        <is>
          <t>Shampoo Elvive Dream Long Liss 750ml</t>
        </is>
      </c>
      <c r="E2576" s="10" t="inlineStr">
        <is>
          <t>ELVIVE</t>
        </is>
      </c>
      <c r="F2576" s="10" t="n">
        <v>14500</v>
      </c>
      <c r="G2576" s="10" t="n">
        <v>1198347</v>
      </c>
      <c r="H2576" s="10" t="b">
        <v>0</v>
      </c>
      <c r="I2576" s="10" t="n">
        <v>750</v>
      </c>
      <c r="J2576" s="10" t="n">
        <v>19.3333</v>
      </c>
      <c r="K2576" s="10" t="inlineStr">
        <is>
          <t>&gt; Perfumería &gt; Cuidado Capilar &gt; Shampoo &gt;</t>
        </is>
      </c>
      <c r="L2576" s="10" t="inlineStr">
        <is>
          <t>shampoo</t>
        </is>
      </c>
      <c r="M2576" s="10" t="inlineStr">
        <is>
          <t>profesional</t>
        </is>
      </c>
      <c r="N2576" s="10" t="inlineStr">
        <is>
          <t>general</t>
        </is>
      </c>
      <c r="O2576" s="10" t="inlineStr">
        <is>
          <t>https://www.disco.com.ar/shampoo-elvive-dream-long-liss-750ml/p</t>
        </is>
      </c>
    </row>
    <row r="2577">
      <c r="A2577" t="inlineStr">
        <is>
          <t>Disco</t>
        </is>
      </c>
      <c r="B2577" t="n">
        <v>308608</v>
      </c>
      <c r="C2577" t="n">
        <v>307845</v>
      </c>
      <c r="D2577" t="inlineStr">
        <is>
          <t>Shampoo Elvive Dream Long Liss 200 Ml</t>
        </is>
      </c>
      <c r="E2577" t="inlineStr">
        <is>
          <t>ELVIVE</t>
        </is>
      </c>
      <c r="F2577" t="n">
        <v>5300</v>
      </c>
      <c r="G2577" t="n">
        <v>438017</v>
      </c>
      <c r="H2577" t="b">
        <v>0</v>
      </c>
      <c r="I2577" t="n">
        <v>200</v>
      </c>
      <c r="J2577" t="n">
        <v>26.5</v>
      </c>
      <c r="K2577" t="inlineStr">
        <is>
          <t>&gt; Perfumería &gt; Cuidado Capilar &gt; Shampoo &gt;</t>
        </is>
      </c>
      <c r="L2577" t="inlineStr">
        <is>
          <t>shampoo</t>
        </is>
      </c>
      <c r="M2577" t="inlineStr">
        <is>
          <t>profesional</t>
        </is>
      </c>
      <c r="N2577" t="inlineStr">
        <is>
          <t>general</t>
        </is>
      </c>
      <c r="O2577" t="inlineStr">
        <is>
          <t>https://www.disco.com.ar/shampoo-elvive-dream-long-liss-200-ml/p</t>
        </is>
      </c>
    </row>
    <row r="2578">
      <c r="A2578" s="10" t="inlineStr">
        <is>
          <t>Disco</t>
        </is>
      </c>
      <c r="B2578" s="10" t="n">
        <v>288736</v>
      </c>
      <c r="C2578" s="10" t="n">
        <v>287983</v>
      </c>
      <c r="D2578" s="10" t="inlineStr">
        <is>
          <t>Acondicionador Elvive Desenredante 750ml</t>
        </is>
      </c>
      <c r="E2578" s="10" t="inlineStr">
        <is>
          <t>ELVIVE</t>
        </is>
      </c>
      <c r="F2578" s="10" t="n">
        <v>745.65</v>
      </c>
      <c r="G2578" s="10" t="n">
        <v>61624</v>
      </c>
      <c r="H2578" s="10" t="b">
        <v>0</v>
      </c>
      <c r="I2578" s="10" t="n">
        <v>750</v>
      </c>
      <c r="J2578" s="10" t="n">
        <v>0.9942</v>
      </c>
      <c r="K2578" s="10" t="inlineStr">
        <is>
          <t>&gt; Perfumería &gt; Cuidado Capilar &gt; Acondicionador &gt;</t>
        </is>
      </c>
      <c r="L2578" s="10" t="inlineStr">
        <is>
          <t>acondicionador</t>
        </is>
      </c>
      <c r="M2578" s="10" t="inlineStr">
        <is>
          <t>profesional</t>
        </is>
      </c>
      <c r="N2578" s="10" t="inlineStr">
        <is>
          <t>general</t>
        </is>
      </c>
      <c r="O2578" s="10" t="inlineStr">
        <is>
          <t>https://www.disco.com.ar/acondicionador-elvive-desenredante-750ml/p</t>
        </is>
      </c>
    </row>
    <row r="2579">
      <c r="A2579" t="inlineStr">
        <is>
          <t>Disco</t>
        </is>
      </c>
      <c r="B2579" t="n">
        <v>288721</v>
      </c>
      <c r="C2579" t="n">
        <v>287968</v>
      </c>
      <c r="D2579" t="inlineStr">
        <is>
          <t>Shampoo Elvive Dream Long 400ml</t>
        </is>
      </c>
      <c r="E2579" t="inlineStr">
        <is>
          <t>ELVIVE</t>
        </is>
      </c>
      <c r="F2579" t="n">
        <v>470.17</v>
      </c>
      <c r="G2579" t="n">
        <v>38857</v>
      </c>
      <c r="H2579" t="b">
        <v>0</v>
      </c>
      <c r="I2579" t="n">
        <v>400</v>
      </c>
      <c r="J2579" t="n">
        <v>1.1754</v>
      </c>
      <c r="K2579" t="inlineStr">
        <is>
          <t>&gt; Perfumería &gt; Cuidado Capilar &gt; Shampoo &gt;</t>
        </is>
      </c>
      <c r="L2579" t="inlineStr">
        <is>
          <t>shampoo</t>
        </is>
      </c>
      <c r="M2579" t="inlineStr">
        <is>
          <t>profesional</t>
        </is>
      </c>
      <c r="N2579" t="inlineStr">
        <is>
          <t>general</t>
        </is>
      </c>
      <c r="O2579" t="inlineStr">
        <is>
          <t>https://www.disco.com.ar/shampoo-elvive-dream-long-400ml/p</t>
        </is>
      </c>
    </row>
    <row r="2580">
      <c r="A2580" s="10" t="inlineStr">
        <is>
          <t>Disco</t>
        </is>
      </c>
      <c r="B2580" s="10" t="n">
        <v>288711</v>
      </c>
      <c r="C2580" s="10" t="n">
        <v>287958</v>
      </c>
      <c r="D2580" s="10" t="inlineStr">
        <is>
          <t>Mascara Elvive Dream Long Packx3</t>
        </is>
      </c>
      <c r="E2580" s="10" t="inlineStr">
        <is>
          <t>ELVIVE</t>
        </is>
      </c>
      <c r="F2580" s="10" t="n">
        <v>411.09</v>
      </c>
      <c r="G2580" s="10" t="n">
        <v>33974</v>
      </c>
      <c r="H2580" s="10" t="b">
        <v>0</v>
      </c>
      <c r="I2580" s="10" t="inlineStr"/>
      <c r="J2580" s="10" t="inlineStr"/>
      <c r="K2580" s="10" t="inlineStr">
        <is>
          <t>&gt; Perfumería &gt; Cuidado Capilar &gt; Reparación y Tratamientos &gt;</t>
        </is>
      </c>
      <c r="L2580" s="10" t="inlineStr">
        <is>
          <t>tratamiento</t>
        </is>
      </c>
      <c r="M2580" s="10" t="inlineStr">
        <is>
          <t>profesional</t>
        </is>
      </c>
      <c r="N2580" s="10" t="inlineStr">
        <is>
          <t>general</t>
        </is>
      </c>
      <c r="O2580" s="10" t="inlineStr">
        <is>
          <t>https://www.disco.com.ar/mascara-elvive-dream-long-packx3/p</t>
        </is>
      </c>
    </row>
    <row r="2581">
      <c r="A2581" t="inlineStr">
        <is>
          <t>Disco</t>
        </is>
      </c>
      <c r="B2581" t="n">
        <v>278472</v>
      </c>
      <c r="C2581" t="n">
        <v>277728</v>
      </c>
      <c r="D2581" t="inlineStr">
        <is>
          <t>óleo Extraordinario Tratamiento Intensivo En Forma De Gota Elvive L Oréal Paris 4.5 Ml</t>
        </is>
      </c>
      <c r="E2581" t="inlineStr">
        <is>
          <t>ELVIVE</t>
        </is>
      </c>
      <c r="F2581" t="n">
        <v>154.59</v>
      </c>
      <c r="G2581" t="n">
        <v>12776</v>
      </c>
      <c r="H2581" t="b">
        <v>0</v>
      </c>
      <c r="I2581" t="n">
        <v>4.5</v>
      </c>
      <c r="J2581" t="n">
        <v>34.3533</v>
      </c>
      <c r="K2581" t="inlineStr">
        <is>
          <t>&gt; Perfumería &gt; Cuidado Capilar &gt; Reparación y Tratamientos &gt;</t>
        </is>
      </c>
      <c r="L2581" t="inlineStr">
        <is>
          <t>tratamiento</t>
        </is>
      </c>
      <c r="M2581" t="inlineStr">
        <is>
          <t>profesional</t>
        </is>
      </c>
      <c r="N2581" t="inlineStr">
        <is>
          <t>general</t>
        </is>
      </c>
      <c r="O2581" t="inlineStr">
        <is>
          <t>https://www.disco.com.ar/oleo-extraordinario-tratamiento-intensivo-en-forma-de-gota-elvive-l-oreal-paris-4-5-ml/p</t>
        </is>
      </c>
    </row>
    <row r="2582">
      <c r="A2582" s="10" t="inlineStr">
        <is>
          <t>Disco</t>
        </is>
      </c>
      <c r="B2582" s="10" t="n">
        <v>276517</v>
      </c>
      <c r="C2582" s="10" t="n">
        <v>275803</v>
      </c>
      <c r="D2582" s="10" t="inlineStr">
        <is>
          <t>Crema De Limpieza Reparación Total 5 Elvive L Oréal Paris 400 Ml</t>
        </is>
      </c>
      <c r="E2582" s="10" t="inlineStr">
        <is>
          <t>ELVIVE</t>
        </is>
      </c>
      <c r="F2582" s="10" t="n">
        <v>417.15</v>
      </c>
      <c r="G2582" s="10" t="n">
        <v>34475</v>
      </c>
      <c r="H2582" s="10" t="b">
        <v>0</v>
      </c>
      <c r="I2582" s="10" t="n">
        <v>400</v>
      </c>
      <c r="J2582" s="10" t="n">
        <v>1.0429</v>
      </c>
      <c r="K2582" s="10" t="inlineStr">
        <is>
          <t>&gt; Perfumería &gt; Cuidado Capilar &gt; Reparación y Tratamientos &gt;</t>
        </is>
      </c>
      <c r="L2582" s="10" t="inlineStr">
        <is>
          <t>shampoo</t>
        </is>
      </c>
      <c r="M2582" s="10" t="inlineStr">
        <is>
          <t>profesional</t>
        </is>
      </c>
      <c r="N2582" s="10" t="inlineStr">
        <is>
          <t>general</t>
        </is>
      </c>
      <c r="O2582" s="10" t="inlineStr">
        <is>
          <t>https://www.disco.com.ar/crema-de-limpieza-reparacion-total-5-elvive-l-oreal-paris-400-ml/p</t>
        </is>
      </c>
    </row>
    <row r="2583">
      <c r="A2583" t="inlineStr">
        <is>
          <t>Disco</t>
        </is>
      </c>
      <c r="B2583" t="n">
        <v>276511</v>
      </c>
      <c r="C2583" t="n">
        <v>275797</v>
      </c>
      <c r="D2583" t="inlineStr">
        <is>
          <t>Crema De Limpieza óleo Extraordinario Elvive L Oréal Paris 400 Ml</t>
        </is>
      </c>
      <c r="E2583" t="inlineStr">
        <is>
          <t>ELVIVE</t>
        </is>
      </c>
      <c r="F2583" t="n">
        <v>417.15</v>
      </c>
      <c r="G2583" t="n">
        <v>34475</v>
      </c>
      <c r="H2583" t="b">
        <v>0</v>
      </c>
      <c r="I2583" t="n">
        <v>400</v>
      </c>
      <c r="J2583" t="n">
        <v>1.0429</v>
      </c>
      <c r="K2583" t="inlineStr">
        <is>
          <t>&gt; Perfumería &gt; Cuidado Capilar &gt; Reparación y Tratamientos &gt;</t>
        </is>
      </c>
      <c r="L2583" t="inlineStr">
        <is>
          <t>shampoo</t>
        </is>
      </c>
      <c r="M2583" t="inlineStr">
        <is>
          <t>profesional</t>
        </is>
      </c>
      <c r="N2583" t="inlineStr">
        <is>
          <t>general</t>
        </is>
      </c>
      <c r="O2583" t="inlineStr">
        <is>
          <t>https://www.disco.com.ar/crema-de-limpieza-oleo-extraordinario-elvive-l-oreal-paris-400-ml/p</t>
        </is>
      </c>
    </row>
    <row r="2584">
      <c r="A2584" s="10" t="inlineStr">
        <is>
          <t>Disco</t>
        </is>
      </c>
      <c r="B2584" s="10" t="n">
        <v>276510</v>
      </c>
      <c r="C2584" s="10" t="n">
        <v>275796</v>
      </c>
      <c r="D2584" s="10" t="inlineStr">
        <is>
          <t>Crema De Limpieza Color Vive Elvive L Oréal Paris 400 Ml</t>
        </is>
      </c>
      <c r="E2584" s="10" t="inlineStr">
        <is>
          <t>ELVIVE</t>
        </is>
      </c>
      <c r="F2584" s="10" t="n">
        <v>417.15</v>
      </c>
      <c r="G2584" s="10" t="n">
        <v>34475</v>
      </c>
      <c r="H2584" s="10" t="b">
        <v>0</v>
      </c>
      <c r="I2584" s="10" t="n">
        <v>400</v>
      </c>
      <c r="J2584" s="10" t="n">
        <v>1.0429</v>
      </c>
      <c r="K2584" s="10" t="inlineStr">
        <is>
          <t>&gt; Perfumería &gt; Cuidado Capilar &gt; Reparación y Tratamientos &gt;</t>
        </is>
      </c>
      <c r="L2584" s="10" t="inlineStr">
        <is>
          <t>shampoo</t>
        </is>
      </c>
      <c r="M2584" s="10" t="inlineStr">
        <is>
          <t>profesional</t>
        </is>
      </c>
      <c r="N2584" s="10" t="inlineStr">
        <is>
          <t>tratado</t>
        </is>
      </c>
      <c r="O2584" s="10" t="inlineStr">
        <is>
          <t>https://www.disco.com.ar/crema-de-limpieza-color-vive-elvive-l-oreal-paris-400-ml/p</t>
        </is>
      </c>
    </row>
    <row r="2585">
      <c r="A2585" t="inlineStr">
        <is>
          <t>Disco</t>
        </is>
      </c>
      <c r="B2585" t="n">
        <v>276505</v>
      </c>
      <c r="C2585" t="n">
        <v>275791</v>
      </c>
      <c r="D2585" t="inlineStr">
        <is>
          <t>Shampoo Elvive Oleo Extra Nut Univ 200ml</t>
        </is>
      </c>
      <c r="E2585" t="inlineStr">
        <is>
          <t>ELVIVE</t>
        </is>
      </c>
      <c r="F2585" t="n">
        <v>398.39</v>
      </c>
      <c r="G2585" t="n">
        <v>32925</v>
      </c>
      <c r="H2585" t="b">
        <v>0</v>
      </c>
      <c r="I2585" t="n">
        <v>200</v>
      </c>
      <c r="J2585" t="n">
        <v>1.9919</v>
      </c>
      <c r="K2585" t="inlineStr">
        <is>
          <t>&gt; Perfumería &gt; Cuidado Capilar &gt; Shampoo &gt;</t>
        </is>
      </c>
      <c r="L2585" t="inlineStr">
        <is>
          <t>shampoo</t>
        </is>
      </c>
      <c r="M2585" t="inlineStr">
        <is>
          <t>profesional</t>
        </is>
      </c>
      <c r="N2585" t="inlineStr">
        <is>
          <t>general</t>
        </is>
      </c>
      <c r="O2585" t="inlineStr">
        <is>
          <t>https://www.disco.com.ar/shampoo-elvive-oleo-extra-nut-univ-200ml/p</t>
        </is>
      </c>
    </row>
    <row r="2586">
      <c r="A2586" s="10" t="inlineStr">
        <is>
          <t>Disco</t>
        </is>
      </c>
      <c r="B2586" s="10" t="n">
        <v>276493</v>
      </c>
      <c r="C2586" s="10" t="n">
        <v>275779</v>
      </c>
      <c r="D2586" s="10" t="inlineStr">
        <is>
          <t>Crema Tratamiento Elvive Kera-liso 230° 300gr</t>
        </is>
      </c>
      <c r="E2586" s="10" t="inlineStr">
        <is>
          <t>ELVIVE</t>
        </is>
      </c>
      <c r="F2586" s="10" t="n">
        <v>1700</v>
      </c>
      <c r="G2586" s="10" t="n">
        <v>140496</v>
      </c>
      <c r="H2586" s="10" t="b">
        <v>0</v>
      </c>
      <c r="I2586" s="10" t="n">
        <v>300</v>
      </c>
      <c r="J2586" s="10" t="n">
        <v>5.6667</v>
      </c>
      <c r="K2586" s="10" t="inlineStr">
        <is>
          <t>&gt; Perfumería &gt; Cuidado Capilar &gt; Reparación y Tratamientos &gt;</t>
        </is>
      </c>
      <c r="L2586" s="10" t="inlineStr">
        <is>
          <t>tratamiento</t>
        </is>
      </c>
      <c r="M2586" s="10" t="inlineStr">
        <is>
          <t>profesional</t>
        </is>
      </c>
      <c r="N2586" s="10" t="inlineStr">
        <is>
          <t>general</t>
        </is>
      </c>
      <c r="O2586" s="10" t="inlineStr">
        <is>
          <t>https://www.disco.com.ar/crema-tratamiento-elvive-kera-liso-230-300gr/p</t>
        </is>
      </c>
    </row>
    <row r="2587">
      <c r="A2587" t="inlineStr">
        <is>
          <t>Disco</t>
        </is>
      </c>
      <c r="B2587" t="n">
        <v>259832</v>
      </c>
      <c r="C2587" t="n">
        <v>259126</v>
      </c>
      <c r="D2587" t="inlineStr">
        <is>
          <t>Crema Elvive Oleo Extraordinario 250ml</t>
        </is>
      </c>
      <c r="E2587" t="inlineStr">
        <is>
          <t>ELVIVE</t>
        </is>
      </c>
      <c r="F2587" t="n">
        <v>523.09</v>
      </c>
      <c r="G2587" t="n">
        <v>43231</v>
      </c>
      <c r="H2587" t="b">
        <v>0</v>
      </c>
      <c r="I2587" t="n">
        <v>250</v>
      </c>
      <c r="J2587" t="n">
        <v>2.0924</v>
      </c>
      <c r="K2587" t="inlineStr">
        <is>
          <t>&gt; Perfumería &gt; Cuidado Capilar &gt; Reparación y Tratamientos &gt;</t>
        </is>
      </c>
      <c r="L2587" t="inlineStr">
        <is>
          <t>shampoo</t>
        </is>
      </c>
      <c r="M2587" t="inlineStr">
        <is>
          <t>profesional</t>
        </is>
      </c>
      <c r="N2587" t="inlineStr">
        <is>
          <t>general</t>
        </is>
      </c>
      <c r="O2587" t="inlineStr">
        <is>
          <t>https://www.disco.com.ar/crema-elvive-oleo-extraordinario-250ml/p</t>
        </is>
      </c>
    </row>
    <row r="2588">
      <c r="A2588" s="10" t="inlineStr">
        <is>
          <t>Disco</t>
        </is>
      </c>
      <c r="B2588" s="10" t="n">
        <v>246777</v>
      </c>
      <c r="C2588" s="10" t="n">
        <v>243689</v>
      </c>
      <c r="D2588" s="10" t="inlineStr">
        <is>
          <t>Tratamiento Elvive Rt5 Ciclamen 50ml</t>
        </is>
      </c>
      <c r="E2588" s="10" t="inlineStr">
        <is>
          <t>ELVIVE</t>
        </is>
      </c>
      <c r="F2588" s="10" t="n">
        <v>476.89</v>
      </c>
      <c r="G2588" s="10" t="n">
        <v>39412</v>
      </c>
      <c r="H2588" s="10" t="b">
        <v>0</v>
      </c>
      <c r="I2588" s="10" t="n">
        <v>50</v>
      </c>
      <c r="J2588" s="10" t="n">
        <v>9.537800000000001</v>
      </c>
      <c r="K2588" s="10" t="inlineStr">
        <is>
          <t>&gt; Perfumería &gt; Cuidado Capilar &gt; Reparación y Tratamientos &gt;</t>
        </is>
      </c>
      <c r="L2588" s="10" t="inlineStr">
        <is>
          <t>tratamiento</t>
        </is>
      </c>
      <c r="M2588" s="10" t="inlineStr">
        <is>
          <t>profesional</t>
        </is>
      </c>
      <c r="N2588" s="10" t="inlineStr">
        <is>
          <t>general</t>
        </is>
      </c>
      <c r="O2588" s="10" t="inlineStr">
        <is>
          <t>https://www.disco.com.ar/tratamiento-elvive-rt5-ciclamen-50ml/p</t>
        </is>
      </c>
    </row>
    <row r="2589">
      <c r="A2589" t="inlineStr">
        <is>
          <t>Disco</t>
        </is>
      </c>
      <c r="B2589" t="n">
        <v>246776</v>
      </c>
      <c r="C2589" t="n">
        <v>243688</v>
      </c>
      <c r="D2589" t="inlineStr">
        <is>
          <t>Acondicionador óleo Extraordinario Edición Verano Elvive L´oréal Paris 200 Ml</t>
        </is>
      </c>
      <c r="E2589" t="inlineStr">
        <is>
          <t>ELVIVE</t>
        </is>
      </c>
      <c r="F2589" t="n">
        <v>266.59</v>
      </c>
      <c r="G2589" t="n">
        <v>22032</v>
      </c>
      <c r="H2589" t="b">
        <v>0</v>
      </c>
      <c r="I2589" t="n">
        <v>200</v>
      </c>
      <c r="J2589" t="n">
        <v>1.3329</v>
      </c>
      <c r="K2589" t="inlineStr">
        <is>
          <t>&gt; Perfumería &gt; Cuidado Capilar &gt; Acondicionador &gt;</t>
        </is>
      </c>
      <c r="L2589" t="inlineStr">
        <is>
          <t>acondicionador</t>
        </is>
      </c>
      <c r="M2589" t="inlineStr">
        <is>
          <t>profesional</t>
        </is>
      </c>
      <c r="N2589" t="inlineStr">
        <is>
          <t>general</t>
        </is>
      </c>
      <c r="O2589" t="inlineStr">
        <is>
          <t>https://www.disco.com.ar/acondicionador-oleo-extraordinario-edicion-verano-elvive-l-oreal-paris-200-ml/p</t>
        </is>
      </c>
    </row>
    <row r="2590">
      <c r="A2590" s="10" t="inlineStr">
        <is>
          <t>Disco</t>
        </is>
      </c>
      <c r="B2590" s="10" t="n">
        <v>246775</v>
      </c>
      <c r="C2590" s="10" t="n">
        <v>243687</v>
      </c>
      <c r="D2590" s="10" t="inlineStr">
        <is>
          <t>Shampoo Oleo Extraordinario Summer Edition Elvive Loreal Paris 400 Ml</t>
        </is>
      </c>
      <c r="E2590" s="10" t="inlineStr">
        <is>
          <t>ELVIVE</t>
        </is>
      </c>
      <c r="F2590" s="10" t="n">
        <v>430.95</v>
      </c>
      <c r="G2590" s="10" t="n">
        <v>35616</v>
      </c>
      <c r="H2590" s="10" t="b">
        <v>0</v>
      </c>
      <c r="I2590" s="10" t="n">
        <v>400</v>
      </c>
      <c r="J2590" s="10" t="n">
        <v>1.0774</v>
      </c>
      <c r="K2590" s="10" t="inlineStr">
        <is>
          <t>&gt; Perfumería &gt; Cuidado Capilar &gt; Shampoo &gt;</t>
        </is>
      </c>
      <c r="L2590" s="10" t="inlineStr">
        <is>
          <t>shampoo</t>
        </is>
      </c>
      <c r="M2590" s="10" t="inlineStr">
        <is>
          <t>profesional</t>
        </is>
      </c>
      <c r="N2590" s="10" t="inlineStr">
        <is>
          <t>general</t>
        </is>
      </c>
      <c r="O2590" s="10" t="inlineStr">
        <is>
          <t>https://www.disco.com.ar/shampoo-oleo-extraordinario-summer-edition-elvive-loreal-paris-400-ml/p</t>
        </is>
      </c>
    </row>
    <row r="2591">
      <c r="A2591" t="inlineStr">
        <is>
          <t>Disco</t>
        </is>
      </c>
      <c r="B2591" t="n">
        <v>246773</v>
      </c>
      <c r="C2591" t="n">
        <v>243685</v>
      </c>
      <c r="D2591" t="inlineStr">
        <is>
          <t>Shampoo óleo Extraordinario Edición Verano Elvive L´oréal Paris 200 Ml</t>
        </is>
      </c>
      <c r="E2591" t="inlineStr">
        <is>
          <t>ELVIVE</t>
        </is>
      </c>
      <c r="F2591" t="n">
        <v>266.59</v>
      </c>
      <c r="G2591" t="n">
        <v>22032</v>
      </c>
      <c r="H2591" t="b">
        <v>0</v>
      </c>
      <c r="I2591" t="n">
        <v>200</v>
      </c>
      <c r="J2591" t="n">
        <v>1.3329</v>
      </c>
      <c r="K2591" t="inlineStr">
        <is>
          <t>&gt; Perfumería &gt; Cuidado Capilar &gt; Shampoo &gt;</t>
        </is>
      </c>
      <c r="L2591" t="inlineStr">
        <is>
          <t>shampoo</t>
        </is>
      </c>
      <c r="M2591" t="inlineStr">
        <is>
          <t>profesional</t>
        </is>
      </c>
      <c r="N2591" t="inlineStr">
        <is>
          <t>general</t>
        </is>
      </c>
      <c r="O2591" t="inlineStr">
        <is>
          <t>https://www.disco.com.ar/shampoo-oleo-extraordinario-edicion-verano-elvive-l-oreal-paris-200-ml/p</t>
        </is>
      </c>
    </row>
    <row r="2592">
      <c r="A2592" s="10" t="inlineStr">
        <is>
          <t>Disco</t>
        </is>
      </c>
      <c r="B2592" s="10" t="n">
        <v>246770</v>
      </c>
      <c r="C2592" s="10" t="n">
        <v>243682</v>
      </c>
      <c r="D2592" s="10" t="inlineStr">
        <is>
          <t>Acondicionador Oleo Extraordinario Summer Edition Elvive Loreal Paris 400 Ml</t>
        </is>
      </c>
      <c r="E2592" s="10" t="inlineStr">
        <is>
          <t>ELVIVE</t>
        </is>
      </c>
      <c r="F2592" s="10" t="n">
        <v>430.99</v>
      </c>
      <c r="G2592" s="10" t="n">
        <v>35619</v>
      </c>
      <c r="H2592" s="10" t="b">
        <v>0</v>
      </c>
      <c r="I2592" s="10" t="n">
        <v>400</v>
      </c>
      <c r="J2592" s="10" t="n">
        <v>1.0775</v>
      </c>
      <c r="K2592" s="10" t="inlineStr">
        <is>
          <t>&gt; Perfumería &gt; Cuidado Capilar &gt; Acondicionador &gt;</t>
        </is>
      </c>
      <c r="L2592" s="10" t="inlineStr">
        <is>
          <t>acondicionador</t>
        </is>
      </c>
      <c r="M2592" s="10" t="inlineStr">
        <is>
          <t>profesional</t>
        </is>
      </c>
      <c r="N2592" s="10" t="inlineStr">
        <is>
          <t>general</t>
        </is>
      </c>
      <c r="O2592" s="10" t="inlineStr">
        <is>
          <t>https://www.disco.com.ar/acondicionador-oleo-extraordinario-summer-edition-elvive-loreal-paris-400-ml/p</t>
        </is>
      </c>
    </row>
    <row r="2593">
      <c r="A2593" t="inlineStr">
        <is>
          <t>Disco</t>
        </is>
      </c>
      <c r="B2593" t="n">
        <v>246769</v>
      </c>
      <c r="C2593" t="n">
        <v>243681</v>
      </c>
      <c r="D2593" t="inlineStr">
        <is>
          <t>Crema Para Peinar óleo Extraordinario Edición Verano Elvive L´oréal Paris 250 Ml</t>
        </is>
      </c>
      <c r="E2593" t="inlineStr">
        <is>
          <t>ELVIVE</t>
        </is>
      </c>
      <c r="F2593" t="n">
        <v>479.47</v>
      </c>
      <c r="G2593" t="n">
        <v>39626</v>
      </c>
      <c r="H2593" t="b">
        <v>0</v>
      </c>
      <c r="I2593" t="n">
        <v>250</v>
      </c>
      <c r="J2593" t="n">
        <v>1.9179</v>
      </c>
      <c r="K2593" t="inlineStr">
        <is>
          <t>&gt; Perfumería &gt; Cuidado Capilar &gt; Reparación y Tratamientos &gt;</t>
        </is>
      </c>
      <c r="L2593" t="inlineStr">
        <is>
          <t>shampoo</t>
        </is>
      </c>
      <c r="M2593" t="inlineStr">
        <is>
          <t>profesional</t>
        </is>
      </c>
      <c r="N2593" t="inlineStr">
        <is>
          <t>general</t>
        </is>
      </c>
      <c r="O2593" t="inlineStr">
        <is>
          <t>https://www.disco.com.ar/crema-para-peinar-oleo-extraordinario-edicion-verano-elvive-l-oreal-paris-250-ml/p</t>
        </is>
      </c>
    </row>
    <row r="2594">
      <c r="A2594" s="10" t="inlineStr">
        <is>
          <t>Disco</t>
        </is>
      </c>
      <c r="B2594" s="10" t="n">
        <v>238884</v>
      </c>
      <c r="C2594" s="10" t="n">
        <v>200077</v>
      </c>
      <c r="D2594" s="10" t="inlineStr">
        <is>
          <t>Shampoo Elvive X 2 Un Nutri-gloss X 250cc + Acondicionador Elvive X 200cc Pck 2 Un.</t>
        </is>
      </c>
      <c r="E2594" s="10" t="inlineStr">
        <is>
          <t>ELVIVE</t>
        </is>
      </c>
      <c r="F2594" s="10" t="n">
        <v>14.12</v>
      </c>
      <c r="G2594" s="10" t="n">
        <v>14.12</v>
      </c>
      <c r="H2594" s="10" t="b">
        <v>0</v>
      </c>
      <c r="I2594" s="10" t="inlineStr"/>
      <c r="J2594" s="10" t="inlineStr"/>
      <c r="K2594" s="10" t="inlineStr">
        <is>
          <t>&gt; Perfumería &gt; Cuidado Capilar &gt; Shampoo &gt;</t>
        </is>
      </c>
      <c r="L2594" s="10" t="inlineStr">
        <is>
          <t>acondicionador</t>
        </is>
      </c>
      <c r="M2594" s="10" t="inlineStr">
        <is>
          <t>profesional</t>
        </is>
      </c>
      <c r="N2594" s="10" t="inlineStr">
        <is>
          <t>general</t>
        </is>
      </c>
      <c r="O2594" s="10" t="inlineStr">
        <is>
          <t>https://www.disco.com.ar/shampoo-elvive-x-2-un-nutri-gloss-x-250cc-acondicionador-elvive-x-200cc-pck-2-un-267375/p</t>
        </is>
      </c>
    </row>
    <row r="2595">
      <c r="A2595" t="inlineStr">
        <is>
          <t>Disco</t>
        </is>
      </c>
      <c r="B2595" t="n">
        <v>228188</v>
      </c>
      <c r="C2595" t="n">
        <v>209935</v>
      </c>
      <c r="D2595" t="inlineStr">
        <is>
          <t>Crema Capilar Elvive Pvc 300 Ml Hydra-curl</t>
        </is>
      </c>
      <c r="E2595" t="inlineStr">
        <is>
          <t>ELVIVE</t>
        </is>
      </c>
      <c r="F2595" t="n">
        <v>8.67</v>
      </c>
      <c r="G2595" t="n">
        <v>8.67</v>
      </c>
      <c r="H2595" t="b">
        <v>0</v>
      </c>
      <c r="I2595" t="n">
        <v>300</v>
      </c>
      <c r="J2595" t="n">
        <v>0.0289</v>
      </c>
      <c r="K2595" t="inlineStr">
        <is>
          <t>&gt; Perfumería &gt; Cuidado Capilar &gt; Reparación y Tratamientos &gt;</t>
        </is>
      </c>
      <c r="L2595" t="inlineStr">
        <is>
          <t>shampoo</t>
        </is>
      </c>
      <c r="M2595" t="inlineStr">
        <is>
          <t>profesional</t>
        </is>
      </c>
      <c r="N2595" t="inlineStr">
        <is>
          <t>rizado</t>
        </is>
      </c>
      <c r="O2595" t="inlineStr">
        <is>
          <t>https://www.disco.com.ar/crema-capilar-elvive-pvc-300-ml-hydra-curl-231179/p</t>
        </is>
      </c>
    </row>
    <row r="2596">
      <c r="A2596" s="10" t="inlineStr">
        <is>
          <t>Disco</t>
        </is>
      </c>
      <c r="B2596" s="10" t="n">
        <v>228163</v>
      </c>
      <c r="C2596" s="10" t="n">
        <v>209961</v>
      </c>
      <c r="D2596" s="10" t="inlineStr">
        <is>
          <t>Crema Capilar Elvive Pvc 300 Ml Solar</t>
        </is>
      </c>
      <c r="E2596" s="10" t="inlineStr">
        <is>
          <t>ELVIVE</t>
        </is>
      </c>
      <c r="F2596" s="10" t="n">
        <v>8.07</v>
      </c>
      <c r="G2596" s="10" t="n">
        <v>8.07</v>
      </c>
      <c r="H2596" s="10" t="b">
        <v>0</v>
      </c>
      <c r="I2596" s="10" t="n">
        <v>300</v>
      </c>
      <c r="J2596" s="10" t="n">
        <v>0.0269</v>
      </c>
      <c r="K2596" s="10" t="inlineStr">
        <is>
          <t>&gt; Perfumería &gt; Cuidado Capilar &gt; Reparación y Tratamientos &gt;</t>
        </is>
      </c>
      <c r="L2596" s="10" t="inlineStr">
        <is>
          <t>shampoo</t>
        </is>
      </c>
      <c r="M2596" s="10" t="inlineStr">
        <is>
          <t>profesional</t>
        </is>
      </c>
      <c r="N2596" s="10" t="inlineStr">
        <is>
          <t>general</t>
        </is>
      </c>
      <c r="O2596" s="10" t="inlineStr">
        <is>
          <t>https://www.disco.com.ar/crema-capilar-elvive-pvc-300-ml-solar-231181/p</t>
        </is>
      </c>
    </row>
    <row r="2597">
      <c r="A2597" t="inlineStr">
        <is>
          <t>Disco</t>
        </is>
      </c>
      <c r="B2597" t="n">
        <v>228052</v>
      </c>
      <c r="C2597" t="n">
        <v>210050</v>
      </c>
      <c r="D2597" t="inlineStr">
        <is>
          <t>Shampoo Elvive Cosmetico Solar Pvc 250 Ml</t>
        </is>
      </c>
      <c r="E2597" t="inlineStr">
        <is>
          <t>ELVIVE</t>
        </is>
      </c>
      <c r="F2597" t="n">
        <v>8.289999999999999</v>
      </c>
      <c r="G2597" t="n">
        <v>8.289999999999999</v>
      </c>
      <c r="H2597" t="b">
        <v>0</v>
      </c>
      <c r="I2597" t="n">
        <v>250</v>
      </c>
      <c r="J2597" t="n">
        <v>0.0332</v>
      </c>
      <c r="K2597" t="inlineStr">
        <is>
          <t>&gt; Perfumería &gt; Cuidado Capilar &gt; Shampoo &gt;</t>
        </is>
      </c>
      <c r="L2597" t="inlineStr">
        <is>
          <t>shampoo</t>
        </is>
      </c>
      <c r="M2597" t="inlineStr">
        <is>
          <t>profesional</t>
        </is>
      </c>
      <c r="N2597" t="inlineStr">
        <is>
          <t>general</t>
        </is>
      </c>
      <c r="O2597" t="inlineStr">
        <is>
          <t>https://www.disco.com.ar/shampoo-elvive-cosmetico-solar-pvc-250-ml-231175/p</t>
        </is>
      </c>
    </row>
    <row r="2598">
      <c r="A2598" s="10" t="inlineStr">
        <is>
          <t>Disco</t>
        </is>
      </c>
      <c r="B2598" s="10" t="n">
        <v>228024</v>
      </c>
      <c r="C2598" s="10" t="n">
        <v>210073</v>
      </c>
      <c r="D2598" s="10" t="inlineStr">
        <is>
          <t>Mascara Capilar Elvive Pote 350 Ml Solar</t>
        </is>
      </c>
      <c r="E2598" s="10" t="inlineStr">
        <is>
          <t>ELVIVE</t>
        </is>
      </c>
      <c r="F2598" s="10" t="n">
        <v>39.59</v>
      </c>
      <c r="G2598" s="10" t="n">
        <v>39.59</v>
      </c>
      <c r="H2598" s="10" t="b">
        <v>0</v>
      </c>
      <c r="I2598" s="10" t="n">
        <v>350</v>
      </c>
      <c r="J2598" s="10" t="n">
        <v>0.1131</v>
      </c>
      <c r="K2598" s="10" t="inlineStr">
        <is>
          <t>&gt; Perfumería &gt; Cuidado Capilar &gt; Reparación y Tratamientos &gt;</t>
        </is>
      </c>
      <c r="L2598" s="10" t="inlineStr">
        <is>
          <t>tratamiento</t>
        </is>
      </c>
      <c r="M2598" s="10" t="inlineStr">
        <is>
          <t>profesional</t>
        </is>
      </c>
      <c r="N2598" s="10" t="inlineStr">
        <is>
          <t>general</t>
        </is>
      </c>
      <c r="O2598" s="10" t="inlineStr">
        <is>
          <t>https://www.disco.com.ar/mascara-capilar-elvive-pote-350-ml-solar-231174/p</t>
        </is>
      </c>
    </row>
    <row r="2599">
      <c r="A2599" t="inlineStr">
        <is>
          <t>Disco</t>
        </is>
      </c>
      <c r="B2599" t="n">
        <v>223226</v>
      </c>
      <c r="C2599" t="n">
        <v>217713</v>
      </c>
      <c r="D2599" t="inlineStr">
        <is>
          <t>Shampoo Elvive Cosmetico X 2un Anti-quiebre + Crema Tratamiento Pck 2 Un.</t>
        </is>
      </c>
      <c r="E2599" t="inlineStr">
        <is>
          <t>ELVIVE</t>
        </is>
      </c>
      <c r="F2599" t="n">
        <v>16.89</v>
      </c>
      <c r="G2599" t="n">
        <v>16.89</v>
      </c>
      <c r="H2599" t="b">
        <v>0</v>
      </c>
      <c r="I2599" t="inlineStr"/>
      <c r="J2599" t="inlineStr"/>
      <c r="K2599" t="inlineStr">
        <is>
          <t>&gt; Perfumería &gt; Cuidado Capilar &gt; Shampoo &gt;</t>
        </is>
      </c>
      <c r="L2599" t="inlineStr">
        <is>
          <t>tratamiento</t>
        </is>
      </c>
      <c r="M2599" t="inlineStr">
        <is>
          <t>profesional</t>
        </is>
      </c>
      <c r="N2599" t="inlineStr">
        <is>
          <t>general</t>
        </is>
      </c>
      <c r="O2599" t="inlineStr">
        <is>
          <t>https://www.disco.com.ar/shampoo-elvive-cosmetico-x-2un-anti-quiebre-crema-tratamiento-pck-2-un-275941/p</t>
        </is>
      </c>
    </row>
    <row r="2600">
      <c r="A2600" s="10" t="inlineStr">
        <is>
          <t>Disco</t>
        </is>
      </c>
      <c r="B2600" s="10" t="n">
        <v>221205</v>
      </c>
      <c r="C2600" s="10" t="n">
        <v>222044</v>
      </c>
      <c r="D2600" s="10" t="inlineStr">
        <is>
          <t>Crema De Enjuague Elvive Nutriceramida Pvc 300 Ml</t>
        </is>
      </c>
      <c r="E2600" s="10" t="inlineStr">
        <is>
          <t>ELVIVE</t>
        </is>
      </c>
      <c r="F2600" s="10" t="n">
        <v>10.24</v>
      </c>
      <c r="G2600" s="10" t="n">
        <v>10.24</v>
      </c>
      <c r="H2600" s="10" t="b">
        <v>0</v>
      </c>
      <c r="I2600" s="10" t="n">
        <v>300</v>
      </c>
      <c r="J2600" s="10" t="n">
        <v>0.0341</v>
      </c>
      <c r="K2600" s="10" t="inlineStr">
        <is>
          <t>&gt; Perfumería &gt; Cuidado Capilar &gt; Acondicionador &gt;</t>
        </is>
      </c>
      <c r="L2600" s="10" t="inlineStr">
        <is>
          <t>acondicionador</t>
        </is>
      </c>
      <c r="M2600" s="10" t="inlineStr">
        <is>
          <t>profesional</t>
        </is>
      </c>
      <c r="N2600" s="10" t="inlineStr">
        <is>
          <t>general</t>
        </is>
      </c>
      <c r="O2600" s="10" t="inlineStr">
        <is>
          <t>https://www.disco.com.ar/crema-de-enjuague-elvive-nutriceramida-pvc-300-ml-204342/p</t>
        </is>
      </c>
    </row>
    <row r="2601">
      <c r="A2601" t="inlineStr">
        <is>
          <t>Disco</t>
        </is>
      </c>
      <c r="B2601" t="n">
        <v>220516</v>
      </c>
      <c r="C2601" t="n">
        <v>224414</v>
      </c>
      <c r="D2601" t="inlineStr">
        <is>
          <t>Shampoo Elvive Cosmetico Pck 2 U</t>
        </is>
      </c>
      <c r="E2601" t="inlineStr">
        <is>
          <t>ELVIVE</t>
        </is>
      </c>
      <c r="F2601" t="n">
        <v>14.19</v>
      </c>
      <c r="G2601" t="n">
        <v>14.19</v>
      </c>
      <c r="H2601" t="b">
        <v>0</v>
      </c>
      <c r="I2601" t="inlineStr"/>
      <c r="J2601" t="inlineStr"/>
      <c r="K2601" t="inlineStr">
        <is>
          <t>&gt; Perfumería &gt; Cuidado Capilar &gt; Shampoo &gt;</t>
        </is>
      </c>
      <c r="L2601" t="inlineStr">
        <is>
          <t>shampoo</t>
        </is>
      </c>
      <c r="M2601" t="inlineStr">
        <is>
          <t>profesional</t>
        </is>
      </c>
      <c r="N2601" t="inlineStr">
        <is>
          <t>general</t>
        </is>
      </c>
      <c r="O2601" t="inlineStr">
        <is>
          <t>https://www.disco.com.ar/shampoo-elvive-cosmetico-pck-2-u-252967/p</t>
        </is>
      </c>
    </row>
    <row r="2602">
      <c r="A2602" s="10" t="inlineStr">
        <is>
          <t>Disco</t>
        </is>
      </c>
      <c r="B2602" s="10" t="n">
        <v>220252</v>
      </c>
      <c r="C2602" s="10" t="n">
        <v>225318</v>
      </c>
      <c r="D2602" s="10" t="inlineStr">
        <is>
          <t>Crema Capilar Elvive Nutri Gloss Pvc X 300 Ml</t>
        </is>
      </c>
      <c r="E2602" s="10" t="inlineStr">
        <is>
          <t>ELVIVE</t>
        </is>
      </c>
      <c r="F2602" s="10" t="n">
        <v>9.27</v>
      </c>
      <c r="G2602" s="10" t="n">
        <v>9.27</v>
      </c>
      <c r="H2602" s="10" t="b">
        <v>0</v>
      </c>
      <c r="I2602" s="10" t="n">
        <v>300</v>
      </c>
      <c r="J2602" s="10" t="n">
        <v>0.0309</v>
      </c>
      <c r="K2602" s="10" t="inlineStr">
        <is>
          <t>&gt; Perfumería &gt; Cuidado Capilar &gt; Reparación y Tratamientos &gt;</t>
        </is>
      </c>
      <c r="L2602" s="10" t="inlineStr">
        <is>
          <t>shampoo</t>
        </is>
      </c>
      <c r="M2602" s="10" t="inlineStr">
        <is>
          <t>profesional</t>
        </is>
      </c>
      <c r="N2602" s="10" t="inlineStr">
        <is>
          <t>general</t>
        </is>
      </c>
      <c r="O2602" s="10" t="inlineStr">
        <is>
          <t>https://www.disco.com.ar/crema-capilar-elvive-nutri-gloss-pvc-x-300-ml-253812/p</t>
        </is>
      </c>
    </row>
    <row r="2603">
      <c r="A2603" t="inlineStr">
        <is>
          <t>Disco</t>
        </is>
      </c>
      <c r="B2603" t="n">
        <v>218636</v>
      </c>
      <c r="C2603" t="n">
        <v>228633</v>
      </c>
      <c r="D2603" t="inlineStr">
        <is>
          <t>Shampoo Elvive Cosmetico Colorvive 350ml + Acondicionador Pack 2u</t>
        </is>
      </c>
      <c r="E2603" t="inlineStr">
        <is>
          <t>ELVIVE</t>
        </is>
      </c>
      <c r="F2603" t="n">
        <v>20.29</v>
      </c>
      <c r="G2603" t="n">
        <v>20.29</v>
      </c>
      <c r="H2603" t="b">
        <v>0</v>
      </c>
      <c r="I2603" t="n">
        <v>350</v>
      </c>
      <c r="J2603" t="n">
        <v>0.058</v>
      </c>
      <c r="K2603" t="inlineStr">
        <is>
          <t>&gt; Perfumería &gt; Cuidado Capilar &gt; Shampoo &gt;</t>
        </is>
      </c>
      <c r="L2603" t="inlineStr">
        <is>
          <t>acondicionador</t>
        </is>
      </c>
      <c r="M2603" t="inlineStr">
        <is>
          <t>profesional</t>
        </is>
      </c>
      <c r="N2603" t="inlineStr">
        <is>
          <t>tratado</t>
        </is>
      </c>
      <c r="O2603" t="inlineStr">
        <is>
          <t>https://www.disco.com.ar/shampoo-elvive-cosmetico-colorvive-350ml-acondicionador-pack-2u-250270/p</t>
        </is>
      </c>
    </row>
    <row r="2604">
      <c r="A2604" s="10" t="inlineStr">
        <is>
          <t>Disco</t>
        </is>
      </c>
      <c r="B2604" s="10" t="n">
        <v>215557</v>
      </c>
      <c r="C2604" s="10" t="n">
        <v>232212</v>
      </c>
      <c r="D2604" s="10" t="inlineStr">
        <is>
          <t>Shampoo Elvive Cosmetico  2 U</t>
        </is>
      </c>
      <c r="E2604" s="10" t="inlineStr">
        <is>
          <t>ELVIVE</t>
        </is>
      </c>
      <c r="F2604" s="10" t="n">
        <v>13.67</v>
      </c>
      <c r="G2604" s="10" t="n">
        <v>13.67</v>
      </c>
      <c r="H2604" s="10" t="b">
        <v>0</v>
      </c>
      <c r="I2604" s="10" t="inlineStr"/>
      <c r="J2604" s="10" t="inlineStr"/>
      <c r="K2604" s="10" t="inlineStr">
        <is>
          <t>&gt; Perfumería &gt; Cuidado Capilar &gt; Shampoo &gt;</t>
        </is>
      </c>
      <c r="L2604" s="10" t="inlineStr">
        <is>
          <t>shampoo</t>
        </is>
      </c>
      <c r="M2604" s="10" t="inlineStr">
        <is>
          <t>profesional</t>
        </is>
      </c>
      <c r="N2604" s="10" t="inlineStr">
        <is>
          <t>general</t>
        </is>
      </c>
      <c r="O2604" s="10" t="inlineStr">
        <is>
          <t>https://www.disco.com.ar/shampoo-elvive-cosmetico-2-u-248136/p</t>
        </is>
      </c>
    </row>
    <row r="2605">
      <c r="A2605" t="inlineStr">
        <is>
          <t>Disco</t>
        </is>
      </c>
      <c r="B2605" t="n">
        <v>209722</v>
      </c>
      <c r="C2605" t="n">
        <v>232146</v>
      </c>
      <c r="D2605" t="inlineStr">
        <is>
          <t>Mascara Capilar Elvive Nutri Ceramida Pote 350 Ml</t>
        </is>
      </c>
      <c r="E2605" t="inlineStr">
        <is>
          <t>ELVIVE</t>
        </is>
      </c>
      <c r="F2605" t="n">
        <v>39.59</v>
      </c>
      <c r="G2605" t="n">
        <v>39.59</v>
      </c>
      <c r="H2605" t="b">
        <v>0</v>
      </c>
      <c r="I2605" t="n">
        <v>350</v>
      </c>
      <c r="J2605" t="n">
        <v>0.1131</v>
      </c>
      <c r="K2605" t="inlineStr">
        <is>
          <t>&gt; Perfumería &gt; Cuidado Capilar &gt; Reparación y Tratamientos &gt;</t>
        </is>
      </c>
      <c r="L2605" t="inlineStr">
        <is>
          <t>tratamiento</t>
        </is>
      </c>
      <c r="M2605" t="inlineStr">
        <is>
          <t>profesional</t>
        </is>
      </c>
      <c r="N2605" t="inlineStr">
        <is>
          <t>general</t>
        </is>
      </c>
      <c r="O2605" t="inlineStr">
        <is>
          <t>https://www.disco.com.ar/mascara-capilar-elvive-pot-350-ml-2-218595/p</t>
        </is>
      </c>
    </row>
    <row r="2606">
      <c r="A2606" s="10" t="inlineStr">
        <is>
          <t>Disco</t>
        </is>
      </c>
      <c r="B2606" s="10" t="n">
        <v>204450</v>
      </c>
      <c r="C2606" s="10" t="n">
        <v>224263</v>
      </c>
      <c r="D2606" s="10" t="inlineStr">
        <is>
          <t>Shampoo Elvive Cosmetico  X 2 Un</t>
        </is>
      </c>
      <c r="E2606" s="10" t="inlineStr">
        <is>
          <t>ELVIVE</t>
        </is>
      </c>
      <c r="F2606" s="10" t="n">
        <v>14.45</v>
      </c>
      <c r="G2606" s="10" t="n">
        <v>14.45</v>
      </c>
      <c r="H2606" s="10" t="b">
        <v>0</v>
      </c>
      <c r="I2606" s="10" t="inlineStr"/>
      <c r="J2606" s="10" t="inlineStr"/>
      <c r="K2606" s="10" t="inlineStr">
        <is>
          <t>&gt; Perfumería &gt; Cuidado Capilar &gt; Shampoo &gt;</t>
        </is>
      </c>
      <c r="L2606" s="10" t="inlineStr">
        <is>
          <t>shampoo</t>
        </is>
      </c>
      <c r="M2606" s="10" t="inlineStr">
        <is>
          <t>profesional</t>
        </is>
      </c>
      <c r="N2606" s="10" t="inlineStr">
        <is>
          <t>general</t>
        </is>
      </c>
      <c r="O2606" s="10" t="inlineStr">
        <is>
          <t>https://www.disco.com.ar/shampoo-elvive-cosmetico-x-2-un-8-263394/p</t>
        </is>
      </c>
    </row>
    <row r="2607">
      <c r="A2607" t="inlineStr">
        <is>
          <t>Disco</t>
        </is>
      </c>
      <c r="B2607" t="n">
        <v>201376</v>
      </c>
      <c r="C2607" t="n">
        <v>218254</v>
      </c>
      <c r="D2607" t="inlineStr">
        <is>
          <t>Shampoo Elvive Cosmetico X 250 Ml Nutri - Gloss + Crema Tratamiento Pck 2 Un.</t>
        </is>
      </c>
      <c r="E2607" t="inlineStr">
        <is>
          <t>ELVIVE</t>
        </is>
      </c>
      <c r="F2607" t="n">
        <v>16.89</v>
      </c>
      <c r="G2607" t="n">
        <v>16.89</v>
      </c>
      <c r="H2607" t="b">
        <v>0</v>
      </c>
      <c r="I2607" t="n">
        <v>250</v>
      </c>
      <c r="J2607" t="n">
        <v>0.06759999999999999</v>
      </c>
      <c r="K2607" t="inlineStr">
        <is>
          <t>&gt; Perfumería &gt; Cuidado Capilar &gt; Shampoo &gt;</t>
        </is>
      </c>
      <c r="L2607" t="inlineStr">
        <is>
          <t>tratamiento</t>
        </is>
      </c>
      <c r="M2607" t="inlineStr">
        <is>
          <t>profesional</t>
        </is>
      </c>
      <c r="N2607" t="inlineStr">
        <is>
          <t>general</t>
        </is>
      </c>
      <c r="O2607" t="inlineStr">
        <is>
          <t>https://www.disco.com.ar/shampoo-elvive-cosmetico-x-250-ml-2-266666/p</t>
        </is>
      </c>
    </row>
    <row r="2608">
      <c r="A2608" s="10" t="inlineStr">
        <is>
          <t>Disco</t>
        </is>
      </c>
      <c r="B2608" s="10" t="n">
        <v>201128</v>
      </c>
      <c r="C2608" s="10" t="n">
        <v>217675</v>
      </c>
      <c r="D2608" s="10" t="inlineStr">
        <is>
          <t>Shampoo Elvive  Cosmetico  X 2 Un</t>
        </is>
      </c>
      <c r="E2608" s="10" t="inlineStr">
        <is>
          <t>ELVIVE</t>
        </is>
      </c>
      <c r="F2608" s="10" t="n">
        <v>14.09</v>
      </c>
      <c r="G2608" s="10" t="n">
        <v>14.09</v>
      </c>
      <c r="H2608" s="10" t="b">
        <v>0</v>
      </c>
      <c r="I2608" s="10" t="inlineStr"/>
      <c r="J2608" s="10" t="inlineStr"/>
      <c r="K2608" s="10" t="inlineStr">
        <is>
          <t>&gt; Perfumería &gt; Cuidado Capilar &gt; Shampoo &gt;</t>
        </is>
      </c>
      <c r="L2608" s="10" t="inlineStr">
        <is>
          <t>shampoo</t>
        </is>
      </c>
      <c r="M2608" s="10" t="inlineStr">
        <is>
          <t>profesional</t>
        </is>
      </c>
      <c r="N2608" s="10" t="inlineStr">
        <is>
          <t>general</t>
        </is>
      </c>
      <c r="O2608" s="10" t="inlineStr">
        <is>
          <t>https://www.disco.com.ar/shampoo-elvive-cosmetico-x-2-un-5-265484/p</t>
        </is>
      </c>
    </row>
    <row r="2609">
      <c r="A2609" t="inlineStr">
        <is>
          <t>Disco</t>
        </is>
      </c>
      <c r="B2609" t="n">
        <v>201125</v>
      </c>
      <c r="C2609" t="n">
        <v>217671</v>
      </c>
      <c r="D2609" t="inlineStr">
        <is>
          <t>Shampoo Elvive  Cosmetico X 2 Un</t>
        </is>
      </c>
      <c r="E2609" t="inlineStr">
        <is>
          <t>ELVIVE</t>
        </is>
      </c>
      <c r="F2609" t="n">
        <v>14.45</v>
      </c>
      <c r="G2609" t="n">
        <v>14.45</v>
      </c>
      <c r="H2609" t="b">
        <v>0</v>
      </c>
      <c r="I2609" t="inlineStr"/>
      <c r="J2609" t="inlineStr"/>
      <c r="K2609" t="inlineStr">
        <is>
          <t>&gt; Perfumería &gt; Cuidado Capilar &gt; Shampoo &gt;</t>
        </is>
      </c>
      <c r="L2609" t="inlineStr">
        <is>
          <t>shampoo</t>
        </is>
      </c>
      <c r="M2609" t="inlineStr">
        <is>
          <t>profesional</t>
        </is>
      </c>
      <c r="N2609" t="inlineStr">
        <is>
          <t>general</t>
        </is>
      </c>
      <c r="O2609" t="inlineStr">
        <is>
          <t>https://www.disco.com.ar/shampoo-elvive-cosmetico-x-2-un-4-265483/p</t>
        </is>
      </c>
    </row>
    <row r="2610">
      <c r="A2610" s="10" t="inlineStr">
        <is>
          <t>Disco</t>
        </is>
      </c>
      <c r="B2610" s="10" t="n">
        <v>190635</v>
      </c>
      <c r="C2610" s="10" t="n">
        <v>231103</v>
      </c>
      <c r="D2610" s="10" t="inlineStr">
        <is>
          <t>Shampoo Elvive Cosmetico Nutri Ceramida Pvc 350 Ml</t>
        </is>
      </c>
      <c r="E2610" s="10" t="inlineStr">
        <is>
          <t>ELVIVE</t>
        </is>
      </c>
      <c r="F2610" s="10" t="n">
        <v>12.65</v>
      </c>
      <c r="G2610" s="10" t="n">
        <v>12.65</v>
      </c>
      <c r="H2610" s="10" t="b">
        <v>0</v>
      </c>
      <c r="I2610" s="10" t="n">
        <v>350</v>
      </c>
      <c r="J2610" s="10" t="n">
        <v>0.0361</v>
      </c>
      <c r="K2610" s="10" t="inlineStr">
        <is>
          <t>&gt; Perfumería &gt; Cuidado Capilar &gt; Shampoo &gt;</t>
        </is>
      </c>
      <c r="L2610" s="10" t="inlineStr">
        <is>
          <t>shampoo</t>
        </is>
      </c>
      <c r="M2610" s="10" t="inlineStr">
        <is>
          <t>profesional</t>
        </is>
      </c>
      <c r="N2610" s="10" t="inlineStr">
        <is>
          <t>general</t>
        </is>
      </c>
      <c r="O2610" s="10" t="inlineStr">
        <is>
          <t>https://www.disco.com.ar/shampoo-elvive-cosmetico-nutri-ceramida-pvc-350-ml-202819/p</t>
        </is>
      </c>
    </row>
    <row r="2611">
      <c r="A2611" t="inlineStr">
        <is>
          <t>Disco</t>
        </is>
      </c>
      <c r="B2611" t="n">
        <v>187520</v>
      </c>
      <c r="C2611" t="n">
        <v>217699</v>
      </c>
      <c r="D2611" t="inlineStr">
        <is>
          <t>Shampoo Elvive  Cosmetico X 2 Un</t>
        </is>
      </c>
      <c r="E2611" t="inlineStr">
        <is>
          <t>ELVIVE</t>
        </is>
      </c>
      <c r="F2611" t="n">
        <v>14.45</v>
      </c>
      <c r="G2611" t="n">
        <v>14.45</v>
      </c>
      <c r="H2611" t="b">
        <v>0</v>
      </c>
      <c r="I2611" t="inlineStr"/>
      <c r="J2611" t="inlineStr"/>
      <c r="K2611" t="inlineStr">
        <is>
          <t>&gt; Perfumería &gt; Cuidado Capilar &gt; Shampoo &gt;</t>
        </is>
      </c>
      <c r="L2611" t="inlineStr">
        <is>
          <t>shampoo</t>
        </is>
      </c>
      <c r="M2611" t="inlineStr">
        <is>
          <t>profesional</t>
        </is>
      </c>
      <c r="N2611" t="inlineStr">
        <is>
          <t>general</t>
        </is>
      </c>
      <c r="O2611" t="inlineStr">
        <is>
          <t>https://www.disco.com.ar/shampoo-elvive-cosmetico-x-2-un-6-265485/p</t>
        </is>
      </c>
    </row>
    <row r="2612">
      <c r="A2612" s="10" t="inlineStr">
        <is>
          <t>Disco</t>
        </is>
      </c>
      <c r="B2612" s="10" t="n">
        <v>184216</v>
      </c>
      <c r="C2612" s="10" t="n">
        <v>207620</v>
      </c>
      <c r="D2612" s="10" t="inlineStr">
        <is>
          <t>Crema De Enjuague Elvive</t>
        </is>
      </c>
      <c r="E2612" s="10" t="inlineStr">
        <is>
          <t>ELVIVE</t>
        </is>
      </c>
      <c r="F2612" s="10" t="n">
        <v>192.77</v>
      </c>
      <c r="G2612" s="10" t="n">
        <v>192.77</v>
      </c>
      <c r="H2612" s="10" t="b">
        <v>0</v>
      </c>
      <c r="I2612" s="10" t="inlineStr"/>
      <c r="J2612" s="10" t="inlineStr"/>
      <c r="K2612" s="10" t="inlineStr">
        <is>
          <t>&gt; Perfumería &gt; Cuidado Capilar &gt; Acondicionador &gt;</t>
        </is>
      </c>
      <c r="L2612" s="10" t="inlineStr">
        <is>
          <t>acondicionador</t>
        </is>
      </c>
      <c r="M2612" s="10" t="inlineStr">
        <is>
          <t>profesional</t>
        </is>
      </c>
      <c r="N2612" s="10" t="inlineStr">
        <is>
          <t>general</t>
        </is>
      </c>
      <c r="O2612" s="10" t="inlineStr">
        <is>
          <t>https://www.disco.com.ar/crema-de-enjuague-elvive-3/p</t>
        </is>
      </c>
    </row>
    <row r="2613">
      <c r="A2613" t="inlineStr">
        <is>
          <t>Disco</t>
        </is>
      </c>
      <c r="B2613" t="n">
        <v>183456</v>
      </c>
      <c r="C2613" t="n">
        <v>206074</v>
      </c>
      <c r="D2613" t="inlineStr">
        <is>
          <t>Shampoo Elvive Cosmetico X 2 Un</t>
        </is>
      </c>
      <c r="E2613" t="inlineStr">
        <is>
          <t>ELVIVE</t>
        </is>
      </c>
      <c r="F2613" t="n">
        <v>11.69</v>
      </c>
      <c r="G2613" t="n">
        <v>11.69</v>
      </c>
      <c r="H2613" t="b">
        <v>0</v>
      </c>
      <c r="I2613" t="inlineStr"/>
      <c r="J2613" t="inlineStr"/>
      <c r="K2613" t="inlineStr">
        <is>
          <t>&gt; Perfumería &gt; Cuidado Capilar &gt; Shampoo &gt;</t>
        </is>
      </c>
      <c r="L2613" t="inlineStr">
        <is>
          <t>shampoo</t>
        </is>
      </c>
      <c r="M2613" t="inlineStr">
        <is>
          <t>profesional</t>
        </is>
      </c>
      <c r="N2613" t="inlineStr">
        <is>
          <t>general</t>
        </is>
      </c>
      <c r="O2613" t="inlineStr">
        <is>
          <t>https://www.disco.com.ar/shampoo-elvive-cosmetico-x-2-un-285419/p</t>
        </is>
      </c>
    </row>
    <row r="2614">
      <c r="A2614" s="10" t="inlineStr">
        <is>
          <t>Disco</t>
        </is>
      </c>
      <c r="B2614" s="10" t="n">
        <v>181652</v>
      </c>
      <c r="C2614" s="10" t="n">
        <v>201996</v>
      </c>
      <c r="D2614" s="10" t="inlineStr">
        <is>
          <t>Shampoo Elvive Cosmetico Solar + Acondicionador Pck 2 Un.</t>
        </is>
      </c>
      <c r="E2614" s="10" t="inlineStr">
        <is>
          <t>ELVIVE</t>
        </is>
      </c>
      <c r="F2614" s="10" t="n">
        <v>15.39</v>
      </c>
      <c r="G2614" s="10" t="n">
        <v>15.39</v>
      </c>
      <c r="H2614" s="10" t="b">
        <v>0</v>
      </c>
      <c r="I2614" s="10" t="inlineStr"/>
      <c r="J2614" s="10" t="inlineStr"/>
      <c r="K2614" s="10" t="inlineStr">
        <is>
          <t>&gt; Perfumería &gt; Cuidado Capilar &gt; Shampoo &gt;</t>
        </is>
      </c>
      <c r="L2614" s="10" t="inlineStr">
        <is>
          <t>acondicionador</t>
        </is>
      </c>
      <c r="M2614" s="10" t="inlineStr">
        <is>
          <t>profesional</t>
        </is>
      </c>
      <c r="N2614" s="10" t="inlineStr">
        <is>
          <t>general</t>
        </is>
      </c>
      <c r="O2614" s="10" t="inlineStr">
        <is>
          <t>https://www.disco.com.ar/shampoo-elvive-cosmetico-52-245643/p</t>
        </is>
      </c>
    </row>
    <row r="2615">
      <c r="A2615" t="inlineStr">
        <is>
          <t>Disco</t>
        </is>
      </c>
      <c r="B2615" t="n">
        <v>176576</v>
      </c>
      <c r="C2615" t="n">
        <v>191454</v>
      </c>
      <c r="D2615" t="inlineStr">
        <is>
          <t>Shampoo Elvive Cosmetico Colorvive Nueva Presentacion Pvc 350 Ml</t>
        </is>
      </c>
      <c r="E2615" t="inlineStr">
        <is>
          <t>ELVIVE</t>
        </is>
      </c>
      <c r="F2615" t="n">
        <v>12.65</v>
      </c>
      <c r="G2615" t="n">
        <v>12.65</v>
      </c>
      <c r="H2615" t="b">
        <v>0</v>
      </c>
      <c r="I2615" t="n">
        <v>350</v>
      </c>
      <c r="J2615" t="n">
        <v>0.0361</v>
      </c>
      <c r="K2615" t="inlineStr">
        <is>
          <t>&gt; Perfumería &gt; Cuidado Capilar &gt; Shampoo &gt;</t>
        </is>
      </c>
      <c r="L2615" t="inlineStr">
        <is>
          <t>shampoo</t>
        </is>
      </c>
      <c r="M2615" t="inlineStr">
        <is>
          <t>profesional</t>
        </is>
      </c>
      <c r="N2615" t="inlineStr">
        <is>
          <t>tratado</t>
        </is>
      </c>
      <c r="O2615" t="inlineStr">
        <is>
          <t>https://www.disco.com.ar/shampoo-elvive-cosmetico-48-198851/p</t>
        </is>
      </c>
    </row>
    <row r="2616">
      <c r="A2616" s="10" t="inlineStr">
        <is>
          <t>Disco</t>
        </is>
      </c>
      <c r="B2616" s="10" t="n">
        <v>168240</v>
      </c>
      <c r="C2616" s="10" t="n">
        <v>165780</v>
      </c>
      <c r="D2616" s="10" t="inlineStr">
        <is>
          <t>Crema De Enjuague Elvive-volumen Control-nueva Presentacion-pvc-ml.-400</t>
        </is>
      </c>
      <c r="E2616" s="10" t="inlineStr">
        <is>
          <t>ELVIVE</t>
        </is>
      </c>
      <c r="F2616" s="10" t="n">
        <v>430.99</v>
      </c>
      <c r="G2616" s="10" t="n">
        <v>35619</v>
      </c>
      <c r="H2616" s="10" t="b">
        <v>0</v>
      </c>
      <c r="I2616" s="10" t="inlineStr"/>
      <c r="J2616" s="10" t="inlineStr"/>
      <c r="K2616" s="10" t="inlineStr">
        <is>
          <t>&gt; Perfumería &gt; Cuidado Capilar &gt; Acondicionador &gt;</t>
        </is>
      </c>
      <c r="L2616" s="10" t="inlineStr">
        <is>
          <t>acondicionador</t>
        </is>
      </c>
      <c r="M2616" s="10" t="inlineStr">
        <is>
          <t>profesional</t>
        </is>
      </c>
      <c r="N2616" s="10" t="inlineStr">
        <is>
          <t>general</t>
        </is>
      </c>
      <c r="O2616" s="10" t="inlineStr">
        <is>
          <t>https://www.disco.com.ar/crema-de-enjuague-elvive-volumen-control-nueva-presentacion-pvc-ml-400/p</t>
        </is>
      </c>
    </row>
    <row r="2617">
      <c r="A2617" t="inlineStr">
        <is>
          <t>Disco</t>
        </is>
      </c>
      <c r="B2617" t="n">
        <v>168236</v>
      </c>
      <c r="C2617" t="n">
        <v>165776</v>
      </c>
      <c r="D2617" t="inlineStr">
        <is>
          <t>Crema De Enjuague Elvive-volumen Control-nueva Presentacion-pvc-ml.-200</t>
        </is>
      </c>
      <c r="E2617" t="inlineStr">
        <is>
          <t>ELVIVE</t>
        </is>
      </c>
      <c r="F2617" t="n">
        <v>266.59</v>
      </c>
      <c r="G2617" t="n">
        <v>22032</v>
      </c>
      <c r="H2617" t="b">
        <v>0</v>
      </c>
      <c r="I2617" t="inlineStr"/>
      <c r="J2617" t="inlineStr"/>
      <c r="K2617" t="inlineStr">
        <is>
          <t>&gt; Perfumería &gt; Cuidado Capilar &gt; Acondicionador &gt;</t>
        </is>
      </c>
      <c r="L2617" t="inlineStr">
        <is>
          <t>acondicionador</t>
        </is>
      </c>
      <c r="M2617" t="inlineStr">
        <is>
          <t>profesional</t>
        </is>
      </c>
      <c r="N2617" t="inlineStr">
        <is>
          <t>general</t>
        </is>
      </c>
      <c r="O2617" t="inlineStr">
        <is>
          <t>https://www.disco.com.ar/crema-de-enjuague-elvive-volumen-control-nueva-presentacion-pvc-ml-200/p</t>
        </is>
      </c>
    </row>
    <row r="2618">
      <c r="A2618" s="10" t="inlineStr">
        <is>
          <t>Disco</t>
        </is>
      </c>
      <c r="B2618" s="10" t="n">
        <v>168232</v>
      </c>
      <c r="C2618" s="10" t="n">
        <v>165772</v>
      </c>
      <c r="D2618" s="10" t="inlineStr">
        <is>
          <t>Crema De Enjuague Elvive-citrus-nueva Presentacion-pvc-ml.-200</t>
        </is>
      </c>
      <c r="E2618" s="10" t="inlineStr">
        <is>
          <t>ELVIVE</t>
        </is>
      </c>
      <c r="F2618" s="10" t="n">
        <v>266.59</v>
      </c>
      <c r="G2618" s="10" t="n">
        <v>22032</v>
      </c>
      <c r="H2618" s="10" t="b">
        <v>0</v>
      </c>
      <c r="I2618" s="10" t="inlineStr"/>
      <c r="J2618" s="10" t="inlineStr"/>
      <c r="K2618" s="10" t="inlineStr">
        <is>
          <t>&gt; Perfumería &gt; Cuidado Capilar &gt; Acondicionador &gt;</t>
        </is>
      </c>
      <c r="L2618" s="10" t="inlineStr">
        <is>
          <t>acondicionador</t>
        </is>
      </c>
      <c r="M2618" s="10" t="inlineStr">
        <is>
          <t>profesional</t>
        </is>
      </c>
      <c r="N2618" s="10" t="inlineStr">
        <is>
          <t>general</t>
        </is>
      </c>
      <c r="O2618" s="10" t="inlineStr">
        <is>
          <t>https://www.disco.com.ar/crema-de-enjuague-elvive-citrus-nueva-presentacion-pvc-ml-200/p</t>
        </is>
      </c>
    </row>
    <row r="2619">
      <c r="A2619" t="inlineStr">
        <is>
          <t>Disco</t>
        </is>
      </c>
      <c r="B2619" t="n">
        <v>167840</v>
      </c>
      <c r="C2619" t="n">
        <v>165379</v>
      </c>
      <c r="D2619" t="inlineStr">
        <is>
          <t>Crema Capilar Elvive-caída Resist-nueva Presentacion-pvc-ml.-250</t>
        </is>
      </c>
      <c r="E2619" t="inlineStr">
        <is>
          <t>ELVIVE</t>
        </is>
      </c>
      <c r="F2619" t="n">
        <v>38.37</v>
      </c>
      <c r="G2619" t="n">
        <v>3171</v>
      </c>
      <c r="H2619" t="b">
        <v>0</v>
      </c>
      <c r="I2619" t="inlineStr"/>
      <c r="J2619" t="inlineStr"/>
      <c r="K2619" t="inlineStr">
        <is>
          <t>&gt; Perfumería &gt; Cuidado Capilar &gt; Reparación y Tratamientos &gt;</t>
        </is>
      </c>
      <c r="L2619" t="inlineStr">
        <is>
          <t>shampoo</t>
        </is>
      </c>
      <c r="M2619" t="inlineStr">
        <is>
          <t>profesional</t>
        </is>
      </c>
      <c r="N2619" t="inlineStr">
        <is>
          <t>general</t>
        </is>
      </c>
      <c r="O2619" t="inlineStr">
        <is>
          <t>https://www.disco.com.ar/crema-capilar-elvive-caida-resist-nueva-presentacion-pvc-ml-250/p</t>
        </is>
      </c>
    </row>
    <row r="2620">
      <c r="A2620" s="10" t="inlineStr">
        <is>
          <t>Disco</t>
        </is>
      </c>
      <c r="B2620" s="10" t="n">
        <v>167816</v>
      </c>
      <c r="C2620" s="10" t="n">
        <v>165353</v>
      </c>
      <c r="D2620" s="10" t="inlineStr">
        <is>
          <t>Crema Capilar Elvive-volumen Control-nueva Presentacion-pvc-ml.-250</t>
        </is>
      </c>
      <c r="E2620" s="10" t="inlineStr">
        <is>
          <t>ELVIVE</t>
        </is>
      </c>
      <c r="F2620" s="10" t="n">
        <v>38.37</v>
      </c>
      <c r="G2620" s="10" t="n">
        <v>3171</v>
      </c>
      <c r="H2620" s="10" t="b">
        <v>0</v>
      </c>
      <c r="I2620" s="10" t="inlineStr"/>
      <c r="J2620" s="10" t="inlineStr"/>
      <c r="K2620" s="10" t="inlineStr">
        <is>
          <t>&gt; Perfumería &gt; Cuidado Capilar &gt; Reparación y Tratamientos &gt;</t>
        </is>
      </c>
      <c r="L2620" s="10" t="inlineStr">
        <is>
          <t>shampoo</t>
        </is>
      </c>
      <c r="M2620" s="10" t="inlineStr">
        <is>
          <t>profesional</t>
        </is>
      </c>
      <c r="N2620" s="10" t="inlineStr">
        <is>
          <t>general</t>
        </is>
      </c>
      <c r="O2620" s="10" t="inlineStr">
        <is>
          <t>https://www.disco.com.ar/crema-capilar-elvive-volumen-control-nueva-presentacion-pvc-ml-250/p</t>
        </is>
      </c>
    </row>
    <row r="2621">
      <c r="A2621" t="inlineStr">
        <is>
          <t>Disco</t>
        </is>
      </c>
      <c r="B2621" t="n">
        <v>167814</v>
      </c>
      <c r="C2621" t="n">
        <v>165352</v>
      </c>
      <c r="D2621" t="inlineStr">
        <is>
          <t>Crema Capilar Elvive-nutri - Gloss-nueva Presentacion-pvc-ml.-250</t>
        </is>
      </c>
      <c r="E2621" t="inlineStr">
        <is>
          <t>ELVIVE</t>
        </is>
      </c>
      <c r="F2621" t="n">
        <v>38.37</v>
      </c>
      <c r="G2621" t="n">
        <v>3171</v>
      </c>
      <c r="H2621" t="b">
        <v>0</v>
      </c>
      <c r="I2621" t="inlineStr"/>
      <c r="J2621" t="inlineStr"/>
      <c r="K2621" t="inlineStr">
        <is>
          <t>&gt; Perfumería &gt; Cuidado Capilar &gt; Reparación y Tratamientos &gt;</t>
        </is>
      </c>
      <c r="L2621" t="inlineStr">
        <is>
          <t>shampoo</t>
        </is>
      </c>
      <c r="M2621" t="inlineStr">
        <is>
          <t>profesional</t>
        </is>
      </c>
      <c r="N2621" t="inlineStr">
        <is>
          <t>general</t>
        </is>
      </c>
      <c r="O2621" t="inlineStr">
        <is>
          <t>https://www.disco.com.ar/crema-capilar-elvive-nutri-gloss-nueva-presentacion-pvc-ml-250/p</t>
        </is>
      </c>
    </row>
    <row r="2622">
      <c r="A2622" s="10" t="inlineStr">
        <is>
          <t>Disco</t>
        </is>
      </c>
      <c r="B2622" s="10" t="n">
        <v>160841</v>
      </c>
      <c r="C2622" s="10" t="n">
        <v>158391</v>
      </c>
      <c r="D2622" s="10" t="inlineStr">
        <is>
          <t>Locion Oleo Extraordinario 100ml Elvive Locion Elvive Oleo Extraordinario 100ml</t>
        </is>
      </c>
      <c r="E2622" s="10" t="inlineStr">
        <is>
          <t>ELVIVE</t>
        </is>
      </c>
      <c r="F2622" s="10" t="n">
        <v>1119.97</v>
      </c>
      <c r="G2622" s="10" t="n">
        <v>92560</v>
      </c>
      <c r="H2622" s="10" t="b">
        <v>0</v>
      </c>
      <c r="I2622" s="10" t="n">
        <v>100</v>
      </c>
      <c r="J2622" s="10" t="n">
        <v>11.1997</v>
      </c>
      <c r="K2622" s="10" t="inlineStr">
        <is>
          <t>&gt; Perfumería &gt; Cuidado Capilar &gt; Reparación y Tratamientos &gt;</t>
        </is>
      </c>
      <c r="L2622" s="10" t="inlineStr">
        <is>
          <t>shampoo</t>
        </is>
      </c>
      <c r="M2622" s="10" t="inlineStr">
        <is>
          <t>profesional</t>
        </is>
      </c>
      <c r="N2622" s="10" t="inlineStr">
        <is>
          <t>general</t>
        </is>
      </c>
      <c r="O2622" s="10" t="inlineStr">
        <is>
          <t>https://www.disco.com.ar/locion-elvive-oleo-extraordinario-100ml-2/p</t>
        </is>
      </c>
    </row>
    <row r="2623">
      <c r="A2623" t="inlineStr">
        <is>
          <t>Disco</t>
        </is>
      </c>
      <c r="B2623" t="n">
        <v>160163</v>
      </c>
      <c r="C2623" t="n">
        <v>157722</v>
      </c>
      <c r="D2623" t="inlineStr">
        <is>
          <t>Shampoo Elvive +crm Trat. Repac Total 5</t>
        </is>
      </c>
      <c r="E2623" t="inlineStr">
        <is>
          <t>ELVIVE</t>
        </is>
      </c>
      <c r="F2623" t="n">
        <v>26.99</v>
      </c>
      <c r="G2623" t="n">
        <v>26.99</v>
      </c>
      <c r="H2623" t="b">
        <v>0</v>
      </c>
      <c r="I2623" t="inlineStr"/>
      <c r="J2623" t="inlineStr"/>
      <c r="K2623" t="inlineStr">
        <is>
          <t>&gt; Perfumería &gt; Cuidado Capilar &gt; Shampoo &gt;</t>
        </is>
      </c>
      <c r="L2623" t="inlineStr">
        <is>
          <t>shampoo</t>
        </is>
      </c>
      <c r="M2623" t="inlineStr">
        <is>
          <t>profesional</t>
        </is>
      </c>
      <c r="N2623" t="inlineStr">
        <is>
          <t>general</t>
        </is>
      </c>
      <c r="O2623" t="inlineStr">
        <is>
          <t>https://www.disco.com.ar/shampoo-elvive-crm-trat-repac-total-5/p</t>
        </is>
      </c>
    </row>
    <row r="2624">
      <c r="A2624" s="10" t="inlineStr">
        <is>
          <t>Disco</t>
        </is>
      </c>
      <c r="B2624" s="10" t="n">
        <v>159564</v>
      </c>
      <c r="C2624" s="10" t="n">
        <v>157123</v>
      </c>
      <c r="D2624" s="10" t="inlineStr">
        <is>
          <t>Crema De Enjuague Elvive-reparación Total 5-pvc-ml.-750</t>
        </is>
      </c>
      <c r="E2624" s="10" t="inlineStr">
        <is>
          <t>ELVIVE</t>
        </is>
      </c>
      <c r="F2624" s="10" t="n">
        <v>146.95</v>
      </c>
      <c r="G2624" s="10" t="n">
        <v>12145</v>
      </c>
      <c r="H2624" s="10" t="b">
        <v>0</v>
      </c>
      <c r="I2624" s="10" t="inlineStr"/>
      <c r="J2624" s="10" t="inlineStr"/>
      <c r="K2624" s="10" t="inlineStr">
        <is>
          <t>&gt; Perfumería &gt; Cuidado Capilar &gt; Acondicionador &gt;</t>
        </is>
      </c>
      <c r="L2624" s="10" t="inlineStr">
        <is>
          <t>acondicionador</t>
        </is>
      </c>
      <c r="M2624" s="10" t="inlineStr">
        <is>
          <t>profesional</t>
        </is>
      </c>
      <c r="N2624" s="10" t="inlineStr">
        <is>
          <t>general</t>
        </is>
      </c>
      <c r="O2624" s="10" t="inlineStr">
        <is>
          <t>https://www.disco.com.ar/crema-de-enjuague-elvive-reparacion-total-5-pvc-ml-750-2/p</t>
        </is>
      </c>
    </row>
    <row r="2625">
      <c r="A2625" t="inlineStr">
        <is>
          <t>Disco</t>
        </is>
      </c>
      <c r="B2625" t="n">
        <v>158511</v>
      </c>
      <c r="C2625" t="n">
        <v>156070</v>
      </c>
      <c r="D2625" t="inlineStr">
        <is>
          <t>Shampoo Elvive  X 2 Un 200 Cc + Acondicionador Reparación Total 5 Bli 2 Un.</t>
        </is>
      </c>
      <c r="E2625" t="inlineStr">
        <is>
          <t>ELVIVE</t>
        </is>
      </c>
      <c r="F2625" t="n">
        <v>11.5</v>
      </c>
      <c r="G2625" t="n">
        <v>11.5</v>
      </c>
      <c r="H2625" t="b">
        <v>0</v>
      </c>
      <c r="I2625" t="inlineStr"/>
      <c r="J2625" t="inlineStr"/>
      <c r="K2625" t="inlineStr">
        <is>
          <t>&gt; Perfumería &gt; Cuidado Capilar &gt; Shampoo &gt;</t>
        </is>
      </c>
      <c r="L2625" t="inlineStr">
        <is>
          <t>acondicionador</t>
        </is>
      </c>
      <c r="M2625" t="inlineStr">
        <is>
          <t>profesional</t>
        </is>
      </c>
      <c r="N2625" t="inlineStr">
        <is>
          <t>general</t>
        </is>
      </c>
      <c r="O2625" t="inlineStr">
        <is>
          <t>https://www.disco.com.ar/shampoo-elvive-x-2-un-200-cc-acondicionador-reparacion-total-5-bli-2-un/p</t>
        </is>
      </c>
    </row>
    <row r="2626">
      <c r="A2626" s="10" t="inlineStr">
        <is>
          <t>Disco</t>
        </is>
      </c>
      <c r="B2626" s="10" t="n">
        <v>155524</v>
      </c>
      <c r="C2626" s="10" t="n">
        <v>153093</v>
      </c>
      <c r="D2626" s="10" t="inlineStr">
        <is>
          <t>Crema Capilar Elvive-rizos Hidratados-pot-gr.-300</t>
        </is>
      </c>
      <c r="E2626" s="10" t="inlineStr">
        <is>
          <t>ELVIVE</t>
        </is>
      </c>
      <c r="F2626" s="10" t="n">
        <v>33.97</v>
      </c>
      <c r="G2626" s="10" t="n">
        <v>2807</v>
      </c>
      <c r="H2626" s="10" t="b">
        <v>0</v>
      </c>
      <c r="I2626" s="10" t="inlineStr"/>
      <c r="J2626" s="10" t="inlineStr"/>
      <c r="K2626" s="10" t="inlineStr">
        <is>
          <t>&gt; Perfumería &gt; Cuidado Capilar &gt; Reparación y Tratamientos &gt;</t>
        </is>
      </c>
      <c r="L2626" s="10" t="inlineStr">
        <is>
          <t>shampoo</t>
        </is>
      </c>
      <c r="M2626" s="10" t="inlineStr">
        <is>
          <t>profesional</t>
        </is>
      </c>
      <c r="N2626" s="10" t="inlineStr">
        <is>
          <t>rizado</t>
        </is>
      </c>
      <c r="O2626" s="10" t="inlineStr">
        <is>
          <t>https://www.disco.com.ar/crema-capilar-elvive-rizos-hidratados-pot-gr-300-2/p</t>
        </is>
      </c>
    </row>
    <row r="2627">
      <c r="A2627" t="inlineStr">
        <is>
          <t>Disco</t>
        </is>
      </c>
      <c r="B2627" t="n">
        <v>155122</v>
      </c>
      <c r="C2627" t="n">
        <v>152693</v>
      </c>
      <c r="D2627" t="inlineStr">
        <is>
          <t>Crema De Enjuague Elvive-rizos Hidratados Colágeno-pvc-ml.-750</t>
        </is>
      </c>
      <c r="E2627" t="inlineStr">
        <is>
          <t>ELVIVE</t>
        </is>
      </c>
      <c r="F2627" t="n">
        <v>146.95</v>
      </c>
      <c r="G2627" t="n">
        <v>12145</v>
      </c>
      <c r="H2627" t="b">
        <v>0</v>
      </c>
      <c r="I2627" t="inlineStr"/>
      <c r="J2627" t="inlineStr"/>
      <c r="K2627" t="inlineStr">
        <is>
          <t>&gt; Perfumería &gt; Cuidado Capilar &gt; Acondicionador &gt;</t>
        </is>
      </c>
      <c r="L2627" t="inlineStr">
        <is>
          <t>acondicionador</t>
        </is>
      </c>
      <c r="M2627" t="inlineStr">
        <is>
          <t>profesional</t>
        </is>
      </c>
      <c r="N2627" t="inlineStr">
        <is>
          <t>rizado</t>
        </is>
      </c>
      <c r="O2627" t="inlineStr">
        <is>
          <t>https://www.disco.com.ar/crema-de-enjuague-elvive-rizos-hidratados-colageno-pvc-ml-750-2/p</t>
        </is>
      </c>
    </row>
    <row r="2628">
      <c r="A2628" s="10" t="inlineStr">
        <is>
          <t>Disco</t>
        </is>
      </c>
      <c r="B2628" s="10" t="n">
        <v>154892</v>
      </c>
      <c r="C2628" s="10" t="n">
        <v>152461</v>
      </c>
      <c r="D2628" s="10" t="inlineStr">
        <is>
          <t>Crema Capilar Elvive-caida Resist.con Arginina-pvc-ml.-300</t>
        </is>
      </c>
      <c r="E2628" s="10" t="inlineStr">
        <is>
          <t>ELVIVE</t>
        </is>
      </c>
      <c r="F2628" s="10" t="n">
        <v>29.89</v>
      </c>
      <c r="G2628" s="10" t="n">
        <v>2470</v>
      </c>
      <c r="H2628" s="10" t="b">
        <v>0</v>
      </c>
      <c r="I2628" s="10" t="inlineStr"/>
      <c r="J2628" s="10" t="inlineStr"/>
      <c r="K2628" s="10" t="inlineStr">
        <is>
          <t>&gt; Perfumería &gt; Cuidado Capilar &gt; Reparación y Tratamientos &gt;</t>
        </is>
      </c>
      <c r="L2628" s="10" t="inlineStr">
        <is>
          <t>shampoo</t>
        </is>
      </c>
      <c r="M2628" s="10" t="inlineStr">
        <is>
          <t>profesional</t>
        </is>
      </c>
      <c r="N2628" s="10" t="inlineStr">
        <is>
          <t>general</t>
        </is>
      </c>
      <c r="O2628" s="10" t="inlineStr">
        <is>
          <t>https://www.disco.com.ar/crema-capilar-elvive-caida-resist-con-arginina-pvc-ml-300-2/p</t>
        </is>
      </c>
    </row>
    <row r="2629">
      <c r="A2629" t="inlineStr">
        <is>
          <t>Disco</t>
        </is>
      </c>
      <c r="B2629" t="n">
        <v>150526</v>
      </c>
      <c r="C2629" t="n">
        <v>147435</v>
      </c>
      <c r="D2629" t="inlineStr">
        <is>
          <t>Crema De Enjuague Elvive-caida Resist.con Arginina-pvc-ml.-200</t>
        </is>
      </c>
      <c r="E2629" t="inlineStr">
        <is>
          <t>ELVIVE</t>
        </is>
      </c>
      <c r="F2629" t="n">
        <v>41.19</v>
      </c>
      <c r="G2629" t="n">
        <v>3404</v>
      </c>
      <c r="H2629" t="b">
        <v>0</v>
      </c>
      <c r="I2629" t="inlineStr"/>
      <c r="J2629" t="inlineStr"/>
      <c r="K2629" t="inlineStr">
        <is>
          <t>&gt; Perfumería &gt; Cuidado Capilar &gt; Acondicionador &gt;</t>
        </is>
      </c>
      <c r="L2629" t="inlineStr">
        <is>
          <t>acondicionador</t>
        </is>
      </c>
      <c r="M2629" t="inlineStr">
        <is>
          <t>profesional</t>
        </is>
      </c>
      <c r="N2629" t="inlineStr">
        <is>
          <t>general</t>
        </is>
      </c>
      <c r="O2629" t="inlineStr">
        <is>
          <t>https://www.disco.com.ar/crema-de-enjuague-elvive-caida-resist-con-arginina-pvc-ml-200-2/p</t>
        </is>
      </c>
    </row>
    <row r="2630">
      <c r="A2630" s="10" t="inlineStr">
        <is>
          <t>Disco</t>
        </is>
      </c>
      <c r="B2630" s="10" t="n">
        <v>150499</v>
      </c>
      <c r="C2630" s="10" t="n">
        <v>147408</v>
      </c>
      <c r="D2630" s="10" t="inlineStr">
        <is>
          <t>Crema De Enjuague Elvive-caida Resist.con Arginina-pvc-ml.-300</t>
        </is>
      </c>
      <c r="E2630" s="10" t="inlineStr">
        <is>
          <t>ELVIVE</t>
        </is>
      </c>
      <c r="F2630" s="10" t="n">
        <v>14.67</v>
      </c>
      <c r="G2630" s="10" t="n">
        <v>1212</v>
      </c>
      <c r="H2630" s="10" t="b">
        <v>0</v>
      </c>
      <c r="I2630" s="10" t="inlineStr"/>
      <c r="J2630" s="10" t="inlineStr"/>
      <c r="K2630" s="10" t="inlineStr">
        <is>
          <t>&gt; Perfumería &gt; Cuidado Capilar &gt; Acondicionador &gt;</t>
        </is>
      </c>
      <c r="L2630" s="10" t="inlineStr">
        <is>
          <t>acondicionador</t>
        </is>
      </c>
      <c r="M2630" s="10" t="inlineStr">
        <is>
          <t>profesional</t>
        </is>
      </c>
      <c r="N2630" s="10" t="inlineStr">
        <is>
          <t>general</t>
        </is>
      </c>
      <c r="O2630" s="10" t="inlineStr">
        <is>
          <t>https://www.disco.com.ar/crema-de-enjuague-elvive-caida-resist-con-arginina-pvc-ml-300-2/p</t>
        </is>
      </c>
    </row>
    <row r="2631">
      <c r="A2631" t="inlineStr">
        <is>
          <t>Disco</t>
        </is>
      </c>
      <c r="B2631" t="n">
        <v>150489</v>
      </c>
      <c r="C2631" t="n">
        <v>147398</v>
      </c>
      <c r="D2631" t="inlineStr">
        <is>
          <t>Tratamiento Reconstituyente Elvive-caida Resist.con Arginina-pot-gr.-350</t>
        </is>
      </c>
      <c r="E2631" t="inlineStr">
        <is>
          <t>ELVIVE</t>
        </is>
      </c>
      <c r="F2631" t="n">
        <v>26.69</v>
      </c>
      <c r="G2631" t="n">
        <v>2206</v>
      </c>
      <c r="H2631" t="b">
        <v>0</v>
      </c>
      <c r="I2631" t="inlineStr"/>
      <c r="J2631" t="inlineStr"/>
      <c r="K2631" t="inlineStr">
        <is>
          <t>&gt; Perfumería &gt; Cuidado Capilar &gt; Reparación y Tratamientos &gt;</t>
        </is>
      </c>
      <c r="L2631" t="inlineStr">
        <is>
          <t>tratamiento</t>
        </is>
      </c>
      <c r="M2631" t="inlineStr">
        <is>
          <t>profesional</t>
        </is>
      </c>
      <c r="N2631" t="inlineStr">
        <is>
          <t>general</t>
        </is>
      </c>
      <c r="O2631" t="inlineStr">
        <is>
          <t>https://www.disco.com.ar/tratamiento-reconstituyente-elvive-caida-resist-con-arginina-pot-gr-350-2/p</t>
        </is>
      </c>
    </row>
    <row r="2632">
      <c r="A2632" s="10" t="inlineStr">
        <is>
          <t>Disco</t>
        </is>
      </c>
      <c r="B2632" s="10" t="n">
        <v>147359</v>
      </c>
      <c r="C2632" s="10" t="n">
        <v>144269</v>
      </c>
      <c r="D2632" s="10" t="inlineStr">
        <is>
          <t>Crema De Enjuague Elvive-renutricion-pvc-ml.-750</t>
        </is>
      </c>
      <c r="E2632" s="10" t="inlineStr">
        <is>
          <t>ELVIVE</t>
        </is>
      </c>
      <c r="F2632" s="10" t="n">
        <v>146.95</v>
      </c>
      <c r="G2632" s="10" t="n">
        <v>12145</v>
      </c>
      <c r="H2632" s="10" t="b">
        <v>0</v>
      </c>
      <c r="I2632" s="10" t="inlineStr"/>
      <c r="J2632" s="10" t="inlineStr"/>
      <c r="K2632" s="10" t="inlineStr">
        <is>
          <t>&gt; Perfumería &gt; Cuidado Capilar &gt; Acondicionador &gt;</t>
        </is>
      </c>
      <c r="L2632" s="10" t="inlineStr">
        <is>
          <t>acondicionador</t>
        </is>
      </c>
      <c r="M2632" s="10" t="inlineStr">
        <is>
          <t>profesional</t>
        </is>
      </c>
      <c r="N2632" s="10" t="inlineStr">
        <is>
          <t>general</t>
        </is>
      </c>
      <c r="O2632" s="10" t="inlineStr">
        <is>
          <t>https://www.disco.com.ar/crema-de-enjuague-elvive-renutricion-pvc-ml-750-2/p</t>
        </is>
      </c>
    </row>
    <row r="2633">
      <c r="A2633" t="inlineStr">
        <is>
          <t>Disco</t>
        </is>
      </c>
      <c r="B2633" t="n">
        <v>127727</v>
      </c>
      <c r="C2633" t="n">
        <v>110508</v>
      </c>
      <c r="D2633" t="inlineStr">
        <is>
          <t>Crema De Enjuague Elvive Nutrigloss X 200 Ml</t>
        </is>
      </c>
      <c r="E2633" t="inlineStr">
        <is>
          <t>ELVIVE</t>
        </is>
      </c>
      <c r="F2633" t="n">
        <v>266.59</v>
      </c>
      <c r="G2633" t="n">
        <v>22032</v>
      </c>
      <c r="H2633" t="b">
        <v>0</v>
      </c>
      <c r="I2633" t="n">
        <v>200</v>
      </c>
      <c r="J2633" t="n">
        <v>1.3329</v>
      </c>
      <c r="K2633" t="inlineStr">
        <is>
          <t>&gt; Perfumería &gt; Cuidado Capilar &gt; Acondicionador &gt;</t>
        </is>
      </c>
      <c r="L2633" t="inlineStr">
        <is>
          <t>acondicionador</t>
        </is>
      </c>
      <c r="M2633" t="inlineStr">
        <is>
          <t>profesional</t>
        </is>
      </c>
      <c r="N2633" t="inlineStr">
        <is>
          <t>general</t>
        </is>
      </c>
      <c r="O2633" t="inlineStr">
        <is>
          <t>https://www.disco.com.ar/crema-de-enjuague-elvive-nutrigloss-x-200-ml/p</t>
        </is>
      </c>
    </row>
    <row r="2634">
      <c r="A2634" s="10" t="inlineStr">
        <is>
          <t>Disco</t>
        </is>
      </c>
      <c r="B2634" s="10" t="n">
        <v>127705</v>
      </c>
      <c r="C2634" s="10" t="n">
        <v>110488</v>
      </c>
      <c r="D2634" s="10" t="inlineStr">
        <is>
          <t>Shampoo Tratamiento Elvive Nutri-gloss Balance X 250 Ml</t>
        </is>
      </c>
      <c r="E2634" s="10" t="inlineStr">
        <is>
          <t>ELVIVE</t>
        </is>
      </c>
      <c r="F2634" s="10" t="n">
        <v>9.27</v>
      </c>
      <c r="G2634" s="10" t="n">
        <v>9.27</v>
      </c>
      <c r="H2634" s="10" t="b">
        <v>0</v>
      </c>
      <c r="I2634" s="10" t="n">
        <v>250</v>
      </c>
      <c r="J2634" s="10" t="n">
        <v>0.0371</v>
      </c>
      <c r="K2634" s="10" t="inlineStr">
        <is>
          <t>&gt; Perfumería &gt; Cuidado Capilar &gt; Shampoo &gt;</t>
        </is>
      </c>
      <c r="L2634" s="10" t="inlineStr">
        <is>
          <t>tratamiento</t>
        </is>
      </c>
      <c r="M2634" s="10" t="inlineStr">
        <is>
          <t>profesional</t>
        </is>
      </c>
      <c r="N2634" s="10" t="inlineStr">
        <is>
          <t>general</t>
        </is>
      </c>
      <c r="O2634" s="10" t="inlineStr">
        <is>
          <t>https://www.disco.com.ar/shampoo-tratamiento-elvive-nutri-gloss-balance-x-250-ml/p</t>
        </is>
      </c>
    </row>
    <row r="2635">
      <c r="A2635" t="inlineStr">
        <is>
          <t>Disco</t>
        </is>
      </c>
      <c r="B2635" t="n">
        <v>127699</v>
      </c>
      <c r="C2635" t="n">
        <v>110480</v>
      </c>
      <c r="D2635" t="inlineStr">
        <is>
          <t>Crema De Enjuague Elvive Nutrigloss Balance X 300 Ml</t>
        </is>
      </c>
      <c r="E2635" t="inlineStr">
        <is>
          <t>ELVIVE</t>
        </is>
      </c>
      <c r="F2635" t="n">
        <v>14.67</v>
      </c>
      <c r="G2635" t="n">
        <v>1212</v>
      </c>
      <c r="H2635" t="b">
        <v>0</v>
      </c>
      <c r="I2635" t="n">
        <v>300</v>
      </c>
      <c r="J2635" t="n">
        <v>0.0489</v>
      </c>
      <c r="K2635" t="inlineStr">
        <is>
          <t>&gt; Perfumería &gt; Cuidado Capilar &gt; Acondicionador &gt;</t>
        </is>
      </c>
      <c r="L2635" t="inlineStr">
        <is>
          <t>acondicionador</t>
        </is>
      </c>
      <c r="M2635" t="inlineStr">
        <is>
          <t>profesional</t>
        </is>
      </c>
      <c r="N2635" t="inlineStr">
        <is>
          <t>general</t>
        </is>
      </c>
      <c r="O2635" t="inlineStr">
        <is>
          <t>https://www.disco.com.ar/crema-de-enjuague-elvive-nutrigloss-balance-x-300-ml/p</t>
        </is>
      </c>
    </row>
    <row r="2636">
      <c r="A2636" s="10" t="inlineStr">
        <is>
          <t>Disco</t>
        </is>
      </c>
      <c r="B2636" s="10" t="n">
        <v>121531</v>
      </c>
      <c r="C2636" s="10" t="n">
        <v>120552</v>
      </c>
      <c r="D2636" s="10" t="inlineStr">
        <is>
          <t>Crema Capilar Elvive Colorvive  Pvc 250 Ml.</t>
        </is>
      </c>
      <c r="E2636" s="10" t="inlineStr">
        <is>
          <t>ELVIVE</t>
        </is>
      </c>
      <c r="F2636" s="10" t="n">
        <v>20.65</v>
      </c>
      <c r="G2636" s="10" t="n">
        <v>1707</v>
      </c>
      <c r="H2636" s="10" t="b">
        <v>0</v>
      </c>
      <c r="I2636" s="10" t="n">
        <v>250</v>
      </c>
      <c r="J2636" s="10" t="n">
        <v>0.08260000000000001</v>
      </c>
      <c r="K2636" s="10" t="inlineStr">
        <is>
          <t>&gt; Perfumería &gt; Cuidado Capilar &gt; Reparación y Tratamientos &gt;</t>
        </is>
      </c>
      <c r="L2636" s="10" t="inlineStr">
        <is>
          <t>shampoo</t>
        </is>
      </c>
      <c r="M2636" s="10" t="inlineStr">
        <is>
          <t>profesional</t>
        </is>
      </c>
      <c r="N2636" s="10" t="inlineStr">
        <is>
          <t>tratado</t>
        </is>
      </c>
      <c r="O2636" s="10" t="inlineStr">
        <is>
          <t>https://www.disco.com.ar/crema-capilar-elvive-5/p</t>
        </is>
      </c>
    </row>
    <row r="2637">
      <c r="A2637" t="inlineStr">
        <is>
          <t>Disco</t>
        </is>
      </c>
      <c r="B2637" t="n">
        <v>120972</v>
      </c>
      <c r="C2637" t="n">
        <v>119993</v>
      </c>
      <c r="D2637" t="inlineStr">
        <is>
          <t>Crema De Enjuague Elvive Citrus  Pvc 200 Ml.</t>
        </is>
      </c>
      <c r="E2637" t="inlineStr">
        <is>
          <t>ELVIVE</t>
        </is>
      </c>
      <c r="F2637" t="n">
        <v>13.19</v>
      </c>
      <c r="G2637" t="n">
        <v>13.19</v>
      </c>
      <c r="H2637" t="b">
        <v>0</v>
      </c>
      <c r="I2637" t="n">
        <v>200</v>
      </c>
      <c r="J2637" t="n">
        <v>0.0659</v>
      </c>
      <c r="K2637" t="inlineStr">
        <is>
          <t>&gt; Perfumería &gt; Cuidado Capilar &gt; Acondicionador &gt;</t>
        </is>
      </c>
      <c r="L2637" t="inlineStr">
        <is>
          <t>acondicionador</t>
        </is>
      </c>
      <c r="M2637" t="inlineStr">
        <is>
          <t>profesional</t>
        </is>
      </c>
      <c r="N2637" t="inlineStr">
        <is>
          <t>general</t>
        </is>
      </c>
      <c r="O2637" t="inlineStr">
        <is>
          <t>https://www.disco.com.ar/crema-de-enjuague-elvive-8/p</t>
        </is>
      </c>
    </row>
    <row r="2638">
      <c r="A2638" s="10" t="inlineStr">
        <is>
          <t>Disco</t>
        </is>
      </c>
      <c r="B2638" s="10" t="n">
        <v>118503</v>
      </c>
      <c r="C2638" s="10" t="n">
        <v>117540</v>
      </c>
      <c r="D2638" s="10" t="inlineStr">
        <is>
          <t>Shampoo Elvive Cosmetico X 2 Un</t>
        </is>
      </c>
      <c r="E2638" s="10" t="inlineStr">
        <is>
          <t>ELVIVE</t>
        </is>
      </c>
      <c r="F2638" s="10" t="n">
        <v>11.99</v>
      </c>
      <c r="G2638" s="10" t="n">
        <v>11.99</v>
      </c>
      <c r="H2638" s="10" t="b">
        <v>0</v>
      </c>
      <c r="I2638" s="10" t="inlineStr"/>
      <c r="J2638" s="10" t="inlineStr"/>
      <c r="K2638" s="10" t="inlineStr">
        <is>
          <t>&gt; Perfumería &gt; Cuidado Capilar &gt; Shampoo &gt;</t>
        </is>
      </c>
      <c r="L2638" s="10" t="inlineStr">
        <is>
          <t>shampoo</t>
        </is>
      </c>
      <c r="M2638" s="10" t="inlineStr">
        <is>
          <t>profesional</t>
        </is>
      </c>
      <c r="N2638" s="10" t="inlineStr">
        <is>
          <t>general</t>
        </is>
      </c>
      <c r="O2638" s="10" t="inlineStr">
        <is>
          <t>https://www.disco.com.ar/shampoo-elvive-cosmetico-x-2-un-12/p</t>
        </is>
      </c>
    </row>
    <row r="2639">
      <c r="A2639" t="inlineStr">
        <is>
          <t>Disco</t>
        </is>
      </c>
      <c r="B2639" t="n">
        <v>117022</v>
      </c>
      <c r="C2639" t="n">
        <v>116062</v>
      </c>
      <c r="D2639" t="inlineStr">
        <is>
          <t>Shampoo Elvive Cosmetico X 350 Ml Shampoo Elvive Cosmetico Anti Quiebre Pvc 350 Ml.</t>
        </is>
      </c>
      <c r="E2639" t="inlineStr">
        <is>
          <t>ELVIVE</t>
        </is>
      </c>
      <c r="F2639" t="n">
        <v>11.89</v>
      </c>
      <c r="G2639" t="n">
        <v>11.89</v>
      </c>
      <c r="H2639" t="b">
        <v>0</v>
      </c>
      <c r="I2639" t="n">
        <v>350</v>
      </c>
      <c r="J2639" t="n">
        <v>0.034</v>
      </c>
      <c r="K2639" t="inlineStr">
        <is>
          <t>&gt; Perfumería &gt; Cuidado Capilar &gt; Shampoo &gt;</t>
        </is>
      </c>
      <c r="L2639" t="inlineStr">
        <is>
          <t>shampoo</t>
        </is>
      </c>
      <c r="M2639" t="inlineStr">
        <is>
          <t>profesional</t>
        </is>
      </c>
      <c r="N2639" t="inlineStr">
        <is>
          <t>general</t>
        </is>
      </c>
      <c r="O2639" t="inlineStr">
        <is>
          <t>https://www.disco.com.ar/shampoo-elvive-cosmetico-x-350-ml/p</t>
        </is>
      </c>
    </row>
    <row r="2640">
      <c r="A2640" s="10" t="inlineStr">
        <is>
          <t>Disco</t>
        </is>
      </c>
      <c r="B2640" s="10" t="n">
        <v>116437</v>
      </c>
      <c r="C2640" s="10" t="n">
        <v>115477</v>
      </c>
      <c r="D2640" s="10" t="inlineStr">
        <is>
          <t>Crema Capilar Elvive Anti-quiebre</t>
        </is>
      </c>
      <c r="E2640" s="10" t="inlineStr">
        <is>
          <t>ELVIVE</t>
        </is>
      </c>
      <c r="F2640" s="10" t="n">
        <v>18.13</v>
      </c>
      <c r="G2640" s="10" t="n">
        <v>1498</v>
      </c>
      <c r="H2640" s="10" t="b">
        <v>0</v>
      </c>
      <c r="I2640" s="10" t="inlineStr"/>
      <c r="J2640" s="10" t="inlineStr"/>
      <c r="K2640" s="10" t="inlineStr">
        <is>
          <t>&gt; Perfumería &gt; Cuidado Capilar &gt; Reparación y Tratamientos &gt;</t>
        </is>
      </c>
      <c r="L2640" s="10" t="inlineStr">
        <is>
          <t>shampoo</t>
        </is>
      </c>
      <c r="M2640" s="10" t="inlineStr">
        <is>
          <t>profesional</t>
        </is>
      </c>
      <c r="N2640" s="10" t="inlineStr">
        <is>
          <t>general</t>
        </is>
      </c>
      <c r="O2640" s="10" t="inlineStr">
        <is>
          <t>https://www.disco.com.ar/crema-capilar-elvive-6/p</t>
        </is>
      </c>
    </row>
    <row r="2641">
      <c r="A2641" t="inlineStr">
        <is>
          <t>Disco</t>
        </is>
      </c>
      <c r="B2641" t="n">
        <v>116353</v>
      </c>
      <c r="C2641" t="n">
        <v>115394</v>
      </c>
      <c r="D2641" t="inlineStr">
        <is>
          <t>Crema De Enjuague Elvive X 200 Ml Anti-quiebre</t>
        </is>
      </c>
      <c r="E2641" t="inlineStr">
        <is>
          <t>ELVIVE</t>
        </is>
      </c>
      <c r="F2641" t="n">
        <v>10.93</v>
      </c>
      <c r="G2641" t="n">
        <v>10.93</v>
      </c>
      <c r="H2641" t="b">
        <v>0</v>
      </c>
      <c r="I2641" t="n">
        <v>200</v>
      </c>
      <c r="J2641" t="n">
        <v>0.0546</v>
      </c>
      <c r="K2641" t="inlineStr">
        <is>
          <t>&gt; Perfumería &gt; Cuidado Capilar &gt; Acondicionador &gt;</t>
        </is>
      </c>
      <c r="L2641" t="inlineStr">
        <is>
          <t>acondicionador</t>
        </is>
      </c>
      <c r="M2641" t="inlineStr">
        <is>
          <t>profesional</t>
        </is>
      </c>
      <c r="N2641" t="inlineStr">
        <is>
          <t>general</t>
        </is>
      </c>
      <c r="O2641" t="inlineStr">
        <is>
          <t>https://www.disco.com.ar/crema-de-enjuague-elvive-9-2/p</t>
        </is>
      </c>
    </row>
    <row r="2642">
      <c r="A2642" s="10" t="inlineStr">
        <is>
          <t>Disco</t>
        </is>
      </c>
      <c r="B2642" s="10" t="n">
        <v>116346</v>
      </c>
      <c r="C2642" s="10" t="n">
        <v>115388</v>
      </c>
      <c r="D2642" s="10" t="inlineStr">
        <is>
          <t>Crema De Enjuague Elvive Anti-quiebre  Pvc 300 Ml.</t>
        </is>
      </c>
      <c r="E2642" s="10" t="inlineStr">
        <is>
          <t>ELVIVE</t>
        </is>
      </c>
      <c r="F2642" s="10" t="n">
        <v>15.19</v>
      </c>
      <c r="G2642" s="10" t="n">
        <v>15.19</v>
      </c>
      <c r="H2642" s="10" t="b">
        <v>0</v>
      </c>
      <c r="I2642" s="10" t="n">
        <v>300</v>
      </c>
      <c r="J2642" s="10" t="n">
        <v>0.0506</v>
      </c>
      <c r="K2642" s="10" t="inlineStr">
        <is>
          <t>&gt; Perfumería &gt; Cuidado Capilar &gt; Acondicionador &gt;</t>
        </is>
      </c>
      <c r="L2642" s="10" t="inlineStr">
        <is>
          <t>acondicionador</t>
        </is>
      </c>
      <c r="M2642" s="10" t="inlineStr">
        <is>
          <t>profesional</t>
        </is>
      </c>
      <c r="N2642" s="10" t="inlineStr">
        <is>
          <t>general</t>
        </is>
      </c>
      <c r="O2642" s="10" t="inlineStr">
        <is>
          <t>https://www.disco.com.ar/crema-de-enjuague-elvive-9/p</t>
        </is>
      </c>
    </row>
    <row r="2643">
      <c r="A2643" t="inlineStr">
        <is>
          <t>Disco</t>
        </is>
      </c>
      <c r="B2643" t="n">
        <v>116340</v>
      </c>
      <c r="C2643" t="n">
        <v>115382</v>
      </c>
      <c r="D2643" t="inlineStr">
        <is>
          <t>Shampoo Elvive Cosmetico X 250 Ml</t>
        </is>
      </c>
      <c r="E2643" t="inlineStr">
        <is>
          <t>ELVIVE</t>
        </is>
      </c>
      <c r="F2643" t="n">
        <v>7.87</v>
      </c>
      <c r="G2643" t="n">
        <v>7.87</v>
      </c>
      <c r="H2643" t="b">
        <v>0</v>
      </c>
      <c r="I2643" t="n">
        <v>250</v>
      </c>
      <c r="J2643" t="n">
        <v>0.0315</v>
      </c>
      <c r="K2643" t="inlineStr">
        <is>
          <t>&gt; Perfumería &gt; Cuidado Capilar &gt; Shampoo &gt;</t>
        </is>
      </c>
      <c r="L2643" t="inlineStr">
        <is>
          <t>shampoo</t>
        </is>
      </c>
      <c r="M2643" t="inlineStr">
        <is>
          <t>profesional</t>
        </is>
      </c>
      <c r="N2643" t="inlineStr">
        <is>
          <t>general</t>
        </is>
      </c>
      <c r="O2643" t="inlineStr">
        <is>
          <t>https://www.disco.com.ar/shampoo-elvive-cosmetico-x-250-ml-3/p</t>
        </is>
      </c>
    </row>
    <row r="2644">
      <c r="A2644" s="10" t="inlineStr">
        <is>
          <t>Disco</t>
        </is>
      </c>
      <c r="B2644" s="10" t="n">
        <v>113281</v>
      </c>
      <c r="C2644" s="10" t="n">
        <v>112332</v>
      </c>
      <c r="D2644" s="10" t="inlineStr">
        <is>
          <t>Crema De Enjuague Elvive Pvc 200 Ml Solar</t>
        </is>
      </c>
      <c r="E2644" s="10" t="inlineStr">
        <is>
          <t>ELVIVE</t>
        </is>
      </c>
      <c r="F2644" s="10" t="n">
        <v>9.17</v>
      </c>
      <c r="G2644" s="10" t="n">
        <v>9.17</v>
      </c>
      <c r="H2644" s="10" t="b">
        <v>0</v>
      </c>
      <c r="I2644" s="10" t="n">
        <v>200</v>
      </c>
      <c r="J2644" s="10" t="n">
        <v>0.0459</v>
      </c>
      <c r="K2644" s="10" t="inlineStr">
        <is>
          <t>&gt; Perfumería &gt; Cuidado Capilar &gt; Acondicionador &gt;</t>
        </is>
      </c>
      <c r="L2644" s="10" t="inlineStr">
        <is>
          <t>acondicionador</t>
        </is>
      </c>
      <c r="M2644" s="10" t="inlineStr">
        <is>
          <t>profesional</t>
        </is>
      </c>
      <c r="N2644" s="10" t="inlineStr">
        <is>
          <t>general</t>
        </is>
      </c>
      <c r="O2644" s="10" t="inlineStr">
        <is>
          <t>https://www.disco.com.ar/crema-de-enjuague-elvive-pvc-200-ml-solar/p</t>
        </is>
      </c>
    </row>
    <row r="2645">
      <c r="A2645" t="inlineStr">
        <is>
          <t>Disco</t>
        </is>
      </c>
      <c r="B2645" t="n">
        <v>113275</v>
      </c>
      <c r="C2645" t="n">
        <v>112326</v>
      </c>
      <c r="D2645" t="inlineStr">
        <is>
          <t>Crema De Enjuague Elvive Pvc 200 Cc Colorvive</t>
        </is>
      </c>
      <c r="E2645" t="inlineStr">
        <is>
          <t>ELVIVE</t>
        </is>
      </c>
      <c r="F2645" t="n">
        <v>266.59</v>
      </c>
      <c r="G2645" t="n">
        <v>22032</v>
      </c>
      <c r="H2645" t="b">
        <v>0</v>
      </c>
      <c r="I2645" t="inlineStr"/>
      <c r="J2645" t="inlineStr"/>
      <c r="K2645" t="inlineStr">
        <is>
          <t>&gt; Perfumería &gt; Cuidado Capilar &gt; Acondicionador &gt;</t>
        </is>
      </c>
      <c r="L2645" t="inlineStr">
        <is>
          <t>acondicionador</t>
        </is>
      </c>
      <c r="M2645" t="inlineStr">
        <is>
          <t>profesional</t>
        </is>
      </c>
      <c r="N2645" t="inlineStr">
        <is>
          <t>tratado</t>
        </is>
      </c>
      <c r="O2645" t="inlineStr">
        <is>
          <t>https://www.disco.com.ar/crema-de-enjuague-elvive-pvc-200-cc-colorvive/p</t>
        </is>
      </c>
    </row>
    <row r="2646">
      <c r="A2646" s="10" t="inlineStr">
        <is>
          <t>Disco</t>
        </is>
      </c>
      <c r="B2646" s="10" t="n">
        <v>113268</v>
      </c>
      <c r="C2646" s="10" t="n">
        <v>112319</v>
      </c>
      <c r="D2646" s="10" t="inlineStr">
        <is>
          <t>Crema De Enjuague Elvive Pvc 200 Ml Hydra-curl</t>
        </is>
      </c>
      <c r="E2646" s="10" t="inlineStr">
        <is>
          <t>ELVIVE</t>
        </is>
      </c>
      <c r="F2646" s="10" t="n">
        <v>266.59</v>
      </c>
      <c r="G2646" s="10" t="n">
        <v>22032</v>
      </c>
      <c r="H2646" s="10" t="b">
        <v>0</v>
      </c>
      <c r="I2646" s="10" t="n">
        <v>200</v>
      </c>
      <c r="J2646" s="10" t="n">
        <v>1.3329</v>
      </c>
      <c r="K2646" s="10" t="inlineStr">
        <is>
          <t>&gt; Perfumería &gt; Cuidado Capilar &gt; Acondicionador &gt;</t>
        </is>
      </c>
      <c r="L2646" s="10" t="inlineStr">
        <is>
          <t>acondicionador</t>
        </is>
      </c>
      <c r="M2646" s="10" t="inlineStr">
        <is>
          <t>profesional</t>
        </is>
      </c>
      <c r="N2646" s="10" t="inlineStr">
        <is>
          <t>rizado</t>
        </is>
      </c>
      <c r="O2646" s="10" t="inlineStr">
        <is>
          <t>https://www.disco.com.ar/crema-de-enjuague-elvive-pvc-200-ml-hydra-curl/p</t>
        </is>
      </c>
    </row>
    <row r="2647">
      <c r="A2647" t="inlineStr">
        <is>
          <t>Disco</t>
        </is>
      </c>
      <c r="B2647" t="n">
        <v>113267</v>
      </c>
      <c r="C2647" t="n">
        <v>112318</v>
      </c>
      <c r="D2647" t="inlineStr">
        <is>
          <t>Crema De Enjuague Elvive Pvc 200 Ml Liss Intense</t>
        </is>
      </c>
      <c r="E2647" t="inlineStr">
        <is>
          <t>ELVIVE</t>
        </is>
      </c>
      <c r="F2647" t="n">
        <v>266.59</v>
      </c>
      <c r="G2647" t="n">
        <v>22032</v>
      </c>
      <c r="H2647" t="b">
        <v>0</v>
      </c>
      <c r="I2647" t="n">
        <v>200</v>
      </c>
      <c r="J2647" t="n">
        <v>1.3329</v>
      </c>
      <c r="K2647" t="inlineStr">
        <is>
          <t>&gt; Perfumería &gt; Cuidado Capilar &gt; Acondicionador &gt;</t>
        </is>
      </c>
      <c r="L2647" t="inlineStr">
        <is>
          <t>acondicionador</t>
        </is>
      </c>
      <c r="M2647" t="inlineStr">
        <is>
          <t>profesional</t>
        </is>
      </c>
      <c r="N2647" t="inlineStr">
        <is>
          <t>general</t>
        </is>
      </c>
      <c r="O2647" t="inlineStr">
        <is>
          <t>https://www.disco.com.ar/crema-de-enjuague-elvive-pvc-200-ml-liss-intense/p</t>
        </is>
      </c>
    </row>
    <row r="2648">
      <c r="A2648" s="10" t="inlineStr">
        <is>
          <t>Disco</t>
        </is>
      </c>
      <c r="B2648" s="10" t="n">
        <v>108107</v>
      </c>
      <c r="C2648" s="10" t="n">
        <v>105374</v>
      </c>
      <c r="D2648" s="10" t="inlineStr">
        <is>
          <t>Shampoo Elvive  Cosmetico X 2 Un Colorvive X 250ml. + Acond Elvive Colorvive X 200 Cc Pck 2 Un.</t>
        </is>
      </c>
      <c r="E2648" s="10" t="inlineStr">
        <is>
          <t>ELVIVE</t>
        </is>
      </c>
      <c r="F2648" s="10" t="n">
        <v>14.11</v>
      </c>
      <c r="G2648" s="10" t="n">
        <v>14.11</v>
      </c>
      <c r="H2648" s="10" t="b">
        <v>0</v>
      </c>
      <c r="I2648" s="10" t="n">
        <v>250</v>
      </c>
      <c r="J2648" s="10" t="n">
        <v>0.0564</v>
      </c>
      <c r="K2648" s="10" t="inlineStr">
        <is>
          <t>&gt; Perfumería &gt; Cuidado Capilar &gt; Shampoo &gt;</t>
        </is>
      </c>
      <c r="L2648" s="10" t="inlineStr">
        <is>
          <t>shampoo</t>
        </is>
      </c>
      <c r="M2648" s="10" t="inlineStr">
        <is>
          <t>profesional</t>
        </is>
      </c>
      <c r="N2648" s="10" t="inlineStr">
        <is>
          <t>tratado</t>
        </is>
      </c>
      <c r="O2648" s="10" t="inlineStr">
        <is>
          <t>https://www.disco.com.ar/shampoo-elvive-cosmetico-x-2-un-8/p</t>
        </is>
      </c>
    </row>
    <row r="2649">
      <c r="A2649" t="inlineStr">
        <is>
          <t>Disco</t>
        </is>
      </c>
      <c r="B2649" t="n">
        <v>105097</v>
      </c>
      <c r="C2649" t="n">
        <v>102386</v>
      </c>
      <c r="D2649" t="inlineStr">
        <is>
          <t>Crema De Enjuague Elvive Colorvive Pvc 400 Ml</t>
        </is>
      </c>
      <c r="E2649" t="inlineStr">
        <is>
          <t>ELVIVE</t>
        </is>
      </c>
      <c r="F2649" t="n">
        <v>91.65000000000001</v>
      </c>
      <c r="G2649" t="n">
        <v>7574</v>
      </c>
      <c r="H2649" t="b">
        <v>0</v>
      </c>
      <c r="I2649" t="n">
        <v>400</v>
      </c>
      <c r="J2649" t="n">
        <v>0.2291</v>
      </c>
      <c r="K2649" t="inlineStr">
        <is>
          <t>&gt; Perfumería &gt; Cuidado Capilar &gt; Acondicionador &gt;</t>
        </is>
      </c>
      <c r="L2649" t="inlineStr">
        <is>
          <t>acondicionador</t>
        </is>
      </c>
      <c r="M2649" t="inlineStr">
        <is>
          <t>profesional</t>
        </is>
      </c>
      <c r="N2649" t="inlineStr">
        <is>
          <t>tratado</t>
        </is>
      </c>
      <c r="O2649" t="inlineStr">
        <is>
          <t>https://www.disco.com.ar/crema-de-enjuague-elvive-colorvive-pvc-400-ml/p</t>
        </is>
      </c>
    </row>
    <row r="2650">
      <c r="A2650" s="10" t="inlineStr">
        <is>
          <t>Disco</t>
        </is>
      </c>
      <c r="B2650" s="10" t="n">
        <v>102377</v>
      </c>
      <c r="C2650" s="10" t="n">
        <v>99678</v>
      </c>
      <c r="D2650" s="10" t="inlineStr">
        <is>
          <t>Crema De Enjuague Elvive Pet X  200 Ml</t>
        </is>
      </c>
      <c r="E2650" s="10" t="inlineStr">
        <is>
          <t>ELVIVE</t>
        </is>
      </c>
      <c r="F2650" s="10" t="n">
        <v>192.77</v>
      </c>
      <c r="G2650" s="10" t="n">
        <v>192.77</v>
      </c>
      <c r="H2650" s="10" t="b">
        <v>0</v>
      </c>
      <c r="I2650" s="10" t="n">
        <v>200</v>
      </c>
      <c r="J2650" s="10" t="n">
        <v>0.9639</v>
      </c>
      <c r="K2650" s="10" t="inlineStr">
        <is>
          <t>&gt; Perfumería &gt; Cuidado Capilar &gt; Acondicionador &gt;</t>
        </is>
      </c>
      <c r="L2650" s="10" t="inlineStr">
        <is>
          <t>acondicionador</t>
        </is>
      </c>
      <c r="M2650" s="10" t="inlineStr">
        <is>
          <t>profesional</t>
        </is>
      </c>
      <c r="N2650" s="10" t="inlineStr">
        <is>
          <t>general</t>
        </is>
      </c>
      <c r="O2650" s="10" t="inlineStr">
        <is>
          <t>https://www.disco.com.ar/crema-de-enjuague-elvive-pet-x-200-ml/p</t>
        </is>
      </c>
    </row>
    <row r="2651">
      <c r="A2651" t="inlineStr">
        <is>
          <t>Disco</t>
        </is>
      </c>
      <c r="B2651" t="n">
        <v>102215</v>
      </c>
      <c r="C2651" t="n">
        <v>99519</v>
      </c>
      <c r="D2651" t="inlineStr">
        <is>
          <t>Crema De Enjuague Elvive Nutri - Gloss Pvc 400 Ml</t>
        </is>
      </c>
      <c r="E2651" t="inlineStr">
        <is>
          <t>ELVIVE</t>
        </is>
      </c>
      <c r="F2651" t="n">
        <v>91.65000000000001</v>
      </c>
      <c r="G2651" t="n">
        <v>7574</v>
      </c>
      <c r="H2651" t="b">
        <v>0</v>
      </c>
      <c r="I2651" t="n">
        <v>400</v>
      </c>
      <c r="J2651" t="n">
        <v>0.2291</v>
      </c>
      <c r="K2651" t="inlineStr">
        <is>
          <t>&gt; Perfumería &gt; Cuidado Capilar &gt; Acondicionador &gt;</t>
        </is>
      </c>
      <c r="L2651" t="inlineStr">
        <is>
          <t>acondicionador</t>
        </is>
      </c>
      <c r="M2651" t="inlineStr">
        <is>
          <t>profesional</t>
        </is>
      </c>
      <c r="N2651" t="inlineStr">
        <is>
          <t>general</t>
        </is>
      </c>
      <c r="O2651" t="inlineStr">
        <is>
          <t>https://www.disco.com.ar/crema-de-enjuague-elvive-nutri-gloss-pvc-400-ml/p</t>
        </is>
      </c>
    </row>
    <row r="2652">
      <c r="A2652" s="10" t="inlineStr">
        <is>
          <t>Disco</t>
        </is>
      </c>
      <c r="B2652" s="10" t="n">
        <v>102083</v>
      </c>
      <c r="C2652" s="10" t="n">
        <v>99390</v>
      </c>
      <c r="D2652" s="10" t="inlineStr">
        <is>
          <t>Shampoo Elvive Cosmetico Pet 250 Ml</t>
        </is>
      </c>
      <c r="E2652" s="10" t="inlineStr">
        <is>
          <t>ELVIVE</t>
        </is>
      </c>
      <c r="F2652" s="10" t="n">
        <v>8.15</v>
      </c>
      <c r="G2652" s="10" t="n">
        <v>8.15</v>
      </c>
      <c r="H2652" s="10" t="b">
        <v>0</v>
      </c>
      <c r="I2652" s="10" t="n">
        <v>250</v>
      </c>
      <c r="J2652" s="10" t="n">
        <v>0.0326</v>
      </c>
      <c r="K2652" s="10" t="inlineStr">
        <is>
          <t>&gt; Perfumería &gt; Cuidado Capilar &gt; Shampoo &gt;</t>
        </is>
      </c>
      <c r="L2652" s="10" t="inlineStr">
        <is>
          <t>shampoo</t>
        </is>
      </c>
      <c r="M2652" s="10" t="inlineStr">
        <is>
          <t>profesional</t>
        </is>
      </c>
      <c r="N2652" s="10" t="inlineStr">
        <is>
          <t>general</t>
        </is>
      </c>
      <c r="O2652" s="10" t="inlineStr">
        <is>
          <t>https://www.disco.com.ar/shampoo-elvive-cosmetico-pet-250-ml/p</t>
        </is>
      </c>
    </row>
    <row r="2653">
      <c r="A2653" t="inlineStr">
        <is>
          <t>Disco</t>
        </is>
      </c>
      <c r="B2653" t="n">
        <v>102074</v>
      </c>
      <c r="C2653" t="n">
        <v>99380</v>
      </c>
      <c r="D2653" t="inlineStr">
        <is>
          <t>Crema De Enjuague Elvive Nutri - Gloss  Pvc 200 Ml.</t>
        </is>
      </c>
      <c r="E2653" t="inlineStr">
        <is>
          <t>ELVIVE</t>
        </is>
      </c>
      <c r="F2653" t="n">
        <v>266.59</v>
      </c>
      <c r="G2653" t="n">
        <v>22032</v>
      </c>
      <c r="H2653" t="b">
        <v>0</v>
      </c>
      <c r="I2653" t="n">
        <v>200</v>
      </c>
      <c r="J2653" t="n">
        <v>1.3329</v>
      </c>
      <c r="K2653" t="inlineStr">
        <is>
          <t>&gt; Perfumería &gt; Cuidado Capilar &gt; Acondicionador &gt;</t>
        </is>
      </c>
      <c r="L2653" t="inlineStr">
        <is>
          <t>acondicionador</t>
        </is>
      </c>
      <c r="M2653" t="inlineStr">
        <is>
          <t>profesional</t>
        </is>
      </c>
      <c r="N2653" t="inlineStr">
        <is>
          <t>general</t>
        </is>
      </c>
      <c r="O2653" t="inlineStr">
        <is>
          <t>https://www.disco.com.ar/crema-de-enjuague-elvive-nutri-gloss-pvc-200-ml/p</t>
        </is>
      </c>
    </row>
    <row r="2654">
      <c r="A2654" s="10" t="inlineStr">
        <is>
          <t>Disco</t>
        </is>
      </c>
      <c r="B2654" s="10" t="n">
        <v>102039</v>
      </c>
      <c r="C2654" s="10" t="n">
        <v>99343</v>
      </c>
      <c r="D2654" s="10" t="inlineStr">
        <is>
          <t>Shampoo Elvive Cosmetico Nutri - Gloss Pvc 250 Ml</t>
        </is>
      </c>
      <c r="E2654" s="10" t="inlineStr">
        <is>
          <t>ELVIVE</t>
        </is>
      </c>
      <c r="F2654" s="10" t="n">
        <v>8.19</v>
      </c>
      <c r="G2654" s="10" t="n">
        <v>8.19</v>
      </c>
      <c r="H2654" s="10" t="b">
        <v>0</v>
      </c>
      <c r="I2654" s="10" t="n">
        <v>250</v>
      </c>
      <c r="J2654" s="10" t="n">
        <v>0.0328</v>
      </c>
      <c r="K2654" s="10" t="inlineStr">
        <is>
          <t>&gt; Perfumería &gt; Cuidado Capilar &gt; Shampoo &gt;</t>
        </is>
      </c>
      <c r="L2654" s="10" t="inlineStr">
        <is>
          <t>shampoo</t>
        </is>
      </c>
      <c r="M2654" s="10" t="inlineStr">
        <is>
          <t>profesional</t>
        </is>
      </c>
      <c r="N2654" s="10" t="inlineStr">
        <is>
          <t>general</t>
        </is>
      </c>
      <c r="O2654" s="10" t="inlineStr">
        <is>
          <t>https://www.disco.com.ar/shampoo-elvive-cosmetico-nutri-gloss-pvc-250-ml/p</t>
        </is>
      </c>
    </row>
    <row r="2655">
      <c r="A2655" t="inlineStr">
        <is>
          <t>Disco</t>
        </is>
      </c>
      <c r="B2655" t="n">
        <v>96979</v>
      </c>
      <c r="C2655" t="n">
        <v>94296</v>
      </c>
      <c r="D2655" t="inlineStr">
        <is>
          <t>Shampoo Elvive Set-colorvive-sh X 400 Ml+ Aco X 200ml-paq-un.-2</t>
        </is>
      </c>
      <c r="E2655" t="inlineStr">
        <is>
          <t>ELVIVE</t>
        </is>
      </c>
      <c r="F2655" t="n">
        <v>34.49</v>
      </c>
      <c r="G2655" t="n">
        <v>2850</v>
      </c>
      <c r="H2655" t="b">
        <v>0</v>
      </c>
      <c r="I2655" t="n">
        <v>400</v>
      </c>
      <c r="J2655" t="n">
        <v>0.0862</v>
      </c>
      <c r="K2655" t="inlineStr">
        <is>
          <t>&gt; Perfumería &gt; Cuidado Capilar &gt; Shampoo &gt;</t>
        </is>
      </c>
      <c r="L2655" t="inlineStr">
        <is>
          <t>shampoo</t>
        </is>
      </c>
      <c r="M2655" t="inlineStr">
        <is>
          <t>profesional</t>
        </is>
      </c>
      <c r="N2655" t="inlineStr">
        <is>
          <t>tratado</t>
        </is>
      </c>
      <c r="O2655" t="inlineStr">
        <is>
          <t>https://www.disco.com.ar/shampoo-elvive-set-colorvive-sh-x-400-ml-aco-x-200ml-paq-un-2/p</t>
        </is>
      </c>
    </row>
    <row r="2656">
      <c r="A2656" s="10" t="inlineStr">
        <is>
          <t>Disco</t>
        </is>
      </c>
      <c r="B2656" s="10" t="n">
        <v>96705</v>
      </c>
      <c r="C2656" s="10" t="n">
        <v>94021</v>
      </c>
      <c r="D2656" s="10" t="inlineStr">
        <is>
          <t>Shampoo Elvive Set-renutricion-sh X 400 Ml+ Aco X 200ml-paq-un.-2</t>
        </is>
      </c>
      <c r="E2656" s="10" t="inlineStr">
        <is>
          <t>ELVIVE</t>
        </is>
      </c>
      <c r="F2656" s="10" t="n">
        <v>34.49</v>
      </c>
      <c r="G2656" s="10" t="n">
        <v>2850</v>
      </c>
      <c r="H2656" s="10" t="b">
        <v>0</v>
      </c>
      <c r="I2656" s="10" t="n">
        <v>400</v>
      </c>
      <c r="J2656" s="10" t="n">
        <v>0.0862</v>
      </c>
      <c r="K2656" s="10" t="inlineStr">
        <is>
          <t>&gt; Perfumería &gt; Cuidado Capilar &gt; Shampoo &gt;</t>
        </is>
      </c>
      <c r="L2656" s="10" t="inlineStr">
        <is>
          <t>shampoo</t>
        </is>
      </c>
      <c r="M2656" s="10" t="inlineStr">
        <is>
          <t>profesional</t>
        </is>
      </c>
      <c r="N2656" s="10" t="inlineStr">
        <is>
          <t>general</t>
        </is>
      </c>
      <c r="O2656" s="10" t="inlineStr">
        <is>
          <t>https://www.disco.com.ar/shampoo-elvive-set-renutricion-sh-x-400-ml-aco-x-200ml-paq-un-2/p</t>
        </is>
      </c>
    </row>
    <row r="2657">
      <c r="A2657" t="inlineStr">
        <is>
          <t>Disco</t>
        </is>
      </c>
      <c r="B2657" t="n">
        <v>92085</v>
      </c>
      <c r="C2657" t="n">
        <v>89413</v>
      </c>
      <c r="D2657" t="inlineStr">
        <is>
          <t>Crema Capilar Elvive-renutricion-pvc-ml.-200</t>
        </is>
      </c>
      <c r="E2657" t="inlineStr">
        <is>
          <t>ELVIVE</t>
        </is>
      </c>
      <c r="F2657" t="n">
        <v>22.77</v>
      </c>
      <c r="G2657" t="n">
        <v>1882</v>
      </c>
      <c r="H2657" t="b">
        <v>0</v>
      </c>
      <c r="I2657" t="inlineStr"/>
      <c r="J2657" t="inlineStr"/>
      <c r="K2657" t="inlineStr">
        <is>
          <t>&gt; Perfumería &gt; Cuidado Capilar &gt; Reparación y Tratamientos &gt;</t>
        </is>
      </c>
      <c r="L2657" t="inlineStr">
        <is>
          <t>shampoo</t>
        </is>
      </c>
      <c r="M2657" t="inlineStr">
        <is>
          <t>profesional</t>
        </is>
      </c>
      <c r="N2657" t="inlineStr">
        <is>
          <t>general</t>
        </is>
      </c>
      <c r="O2657" t="inlineStr">
        <is>
          <t>https://www.disco.com.ar/crema-capilar-elvive-renutricion-pvc-ml-200/p</t>
        </is>
      </c>
    </row>
    <row r="2658">
      <c r="A2658" s="10" t="inlineStr">
        <is>
          <t>Disco</t>
        </is>
      </c>
      <c r="B2658" s="10" t="n">
        <v>91955</v>
      </c>
      <c r="C2658" s="10" t="n">
        <v>89283</v>
      </c>
      <c r="D2658" s="10" t="inlineStr">
        <is>
          <t>Crema Capilar Elvive-renutricion-pvc-ml.-250</t>
        </is>
      </c>
      <c r="E2658" s="10" t="inlineStr">
        <is>
          <t>ELVIVE</t>
        </is>
      </c>
      <c r="F2658" s="10" t="n">
        <v>20.93</v>
      </c>
      <c r="G2658" s="10" t="n">
        <v>1730</v>
      </c>
      <c r="H2658" s="10" t="b">
        <v>0</v>
      </c>
      <c r="I2658" s="10" t="inlineStr"/>
      <c r="J2658" s="10" t="inlineStr"/>
      <c r="K2658" s="10" t="inlineStr">
        <is>
          <t>&gt; Perfumería &gt; Cuidado Capilar &gt; Reparación y Tratamientos &gt;</t>
        </is>
      </c>
      <c r="L2658" s="10" t="inlineStr">
        <is>
          <t>shampoo</t>
        </is>
      </c>
      <c r="M2658" s="10" t="inlineStr">
        <is>
          <t>profesional</t>
        </is>
      </c>
      <c r="N2658" s="10" t="inlineStr">
        <is>
          <t>general</t>
        </is>
      </c>
      <c r="O2658" s="10" t="inlineStr">
        <is>
          <t>https://www.disco.com.ar/crema-capilar-elvive-renutricion-pvc-ml-250/p</t>
        </is>
      </c>
    </row>
    <row r="2659">
      <c r="A2659" t="inlineStr">
        <is>
          <t>Disco</t>
        </is>
      </c>
      <c r="B2659" t="n">
        <v>91950</v>
      </c>
      <c r="C2659" t="n">
        <v>89278</v>
      </c>
      <c r="D2659" t="inlineStr">
        <is>
          <t>Tratamiento Reconstituyente Elvive-renutricion-pvc-gr.-350</t>
        </is>
      </c>
      <c r="E2659" t="inlineStr">
        <is>
          <t>ELVIVE</t>
        </is>
      </c>
      <c r="F2659" t="n">
        <v>25.59</v>
      </c>
      <c r="G2659" t="n">
        <v>2115</v>
      </c>
      <c r="H2659" t="b">
        <v>0</v>
      </c>
      <c r="I2659" t="inlineStr"/>
      <c r="J2659" t="inlineStr"/>
      <c r="K2659" t="inlineStr">
        <is>
          <t>&gt; Perfumería &gt; Cuidado Capilar &gt; Reparación y Tratamientos &gt;</t>
        </is>
      </c>
      <c r="L2659" t="inlineStr">
        <is>
          <t>tratamiento</t>
        </is>
      </c>
      <c r="M2659" t="inlineStr">
        <is>
          <t>profesional</t>
        </is>
      </c>
      <c r="N2659" t="inlineStr">
        <is>
          <t>general</t>
        </is>
      </c>
      <c r="O2659" t="inlineStr">
        <is>
          <t>https://www.disco.com.ar/tratamiento-reconstituyente-elvive-renutricion-pvc-gr-350/p</t>
        </is>
      </c>
    </row>
    <row r="2660">
      <c r="A2660" s="10" t="inlineStr">
        <is>
          <t>Disco</t>
        </is>
      </c>
      <c r="B2660" s="10" t="n">
        <v>91935</v>
      </c>
      <c r="C2660" s="10" t="n">
        <v>89263</v>
      </c>
      <c r="D2660" s="10" t="inlineStr">
        <is>
          <t>Crema De Enjuague Elvive-renutricion-pvc-ml.-200</t>
        </is>
      </c>
      <c r="E2660" s="10" t="inlineStr">
        <is>
          <t>ELVIVE</t>
        </is>
      </c>
      <c r="F2660" s="10" t="n">
        <v>266.59</v>
      </c>
      <c r="G2660" s="10" t="n">
        <v>22032</v>
      </c>
      <c r="H2660" s="10" t="b">
        <v>0</v>
      </c>
      <c r="I2660" s="10" t="inlineStr"/>
      <c r="J2660" s="10" t="inlineStr"/>
      <c r="K2660" s="10" t="inlineStr">
        <is>
          <t>&gt; Perfumería &gt; Cuidado Capilar &gt; Acondicionador &gt;</t>
        </is>
      </c>
      <c r="L2660" s="10" t="inlineStr">
        <is>
          <t>acondicionador</t>
        </is>
      </c>
      <c r="M2660" s="10" t="inlineStr">
        <is>
          <t>profesional</t>
        </is>
      </c>
      <c r="N2660" s="10" t="inlineStr">
        <is>
          <t>general</t>
        </is>
      </c>
      <c r="O2660" s="10" t="inlineStr">
        <is>
          <t>https://www.disco.com.ar/crema-de-enjuague-elvive-renutricion-pvc-ml-200/p</t>
        </is>
      </c>
    </row>
    <row r="2661">
      <c r="A2661" t="inlineStr">
        <is>
          <t>Disco</t>
        </is>
      </c>
      <c r="B2661" t="n">
        <v>91924</v>
      </c>
      <c r="C2661" t="n">
        <v>89252</v>
      </c>
      <c r="D2661" t="inlineStr">
        <is>
          <t>Tratamiento Reconstituyente Elvive-renutricion-noche-pvc-ml.-150</t>
        </is>
      </c>
      <c r="E2661" t="inlineStr">
        <is>
          <t>ELVIVE</t>
        </is>
      </c>
      <c r="F2661" t="n">
        <v>22.47</v>
      </c>
      <c r="G2661" t="n">
        <v>1857</v>
      </c>
      <c r="H2661" t="b">
        <v>0</v>
      </c>
      <c r="I2661" t="inlineStr"/>
      <c r="J2661" t="inlineStr"/>
      <c r="K2661" t="inlineStr">
        <is>
          <t>&gt; Perfumería &gt; Cuidado Capilar &gt; Reparación y Tratamientos &gt;</t>
        </is>
      </c>
      <c r="L2661" t="inlineStr">
        <is>
          <t>tratamiento</t>
        </is>
      </c>
      <c r="M2661" t="inlineStr">
        <is>
          <t>profesional</t>
        </is>
      </c>
      <c r="N2661" t="inlineStr">
        <is>
          <t>general</t>
        </is>
      </c>
      <c r="O2661" t="inlineStr">
        <is>
          <t>https://www.disco.com.ar/tratamiento-reconstituyente-elvive-renutricion-noche-pvc-ml-150/p</t>
        </is>
      </c>
    </row>
    <row r="2662">
      <c r="A2662" s="10" t="inlineStr">
        <is>
          <t>Disco</t>
        </is>
      </c>
      <c r="B2662" s="10" t="n">
        <v>91799</v>
      </c>
      <c r="C2662" s="10" t="n">
        <v>89128</v>
      </c>
      <c r="D2662" s="10" t="inlineStr">
        <is>
          <t>Shampoo Elvive Set-sh 400 Ml + Acond 200 Ml + 1 Ampolla 15ml-rt5+-pck-un.-3</t>
        </is>
      </c>
      <c r="E2662" s="10" t="inlineStr">
        <is>
          <t>ELVIVE</t>
        </is>
      </c>
      <c r="F2662" s="10" t="n">
        <v>42.89</v>
      </c>
      <c r="G2662" s="10" t="n">
        <v>42.89</v>
      </c>
      <c r="H2662" s="10" t="b">
        <v>0</v>
      </c>
      <c r="I2662" s="10" t="n">
        <v>400</v>
      </c>
      <c r="J2662" s="10" t="n">
        <v>0.1072</v>
      </c>
      <c r="K2662" s="10" t="inlineStr">
        <is>
          <t>&gt; Perfumería &gt; Cuidado Capilar &gt; Shampoo &gt;</t>
        </is>
      </c>
      <c r="L2662" s="10" t="inlineStr">
        <is>
          <t>shampoo</t>
        </is>
      </c>
      <c r="M2662" s="10" t="inlineStr">
        <is>
          <t>profesional</t>
        </is>
      </c>
      <c r="N2662" s="10" t="inlineStr">
        <is>
          <t>general</t>
        </is>
      </c>
      <c r="O2662" s="10" t="inlineStr">
        <is>
          <t>https://www.disco.com.ar/shampoo-elvive-set-sh-400-ml-acond-200-ml-1-ampolla-15ml-rt5-pck-un-3/p</t>
        </is>
      </c>
    </row>
    <row r="2663">
      <c r="A2663" t="inlineStr">
        <is>
          <t>Disco</t>
        </is>
      </c>
      <c r="B2663" t="n">
        <v>82823</v>
      </c>
      <c r="C2663" t="n">
        <v>80158</v>
      </c>
      <c r="D2663" t="inlineStr">
        <is>
          <t>Crema Capilar Elvive-rizos-colageno-pvc-ml.-250</t>
        </is>
      </c>
      <c r="E2663" t="inlineStr">
        <is>
          <t>ELVIVE</t>
        </is>
      </c>
      <c r="F2663" t="n">
        <v>29.89</v>
      </c>
      <c r="G2663" t="n">
        <v>2470</v>
      </c>
      <c r="H2663" t="b">
        <v>0</v>
      </c>
      <c r="I2663" t="inlineStr"/>
      <c r="J2663" t="inlineStr"/>
      <c r="K2663" t="inlineStr">
        <is>
          <t>&gt; Perfumería &gt; Cuidado Capilar &gt; Reparación y Tratamientos &gt;</t>
        </is>
      </c>
      <c r="L2663" t="inlineStr">
        <is>
          <t>shampoo</t>
        </is>
      </c>
      <c r="M2663" t="inlineStr">
        <is>
          <t>profesional</t>
        </is>
      </c>
      <c r="N2663" t="inlineStr">
        <is>
          <t>rizado</t>
        </is>
      </c>
      <c r="O2663" t="inlineStr">
        <is>
          <t>https://www.disco.com.ar/crema-capilar-elvive-13/p</t>
        </is>
      </c>
    </row>
    <row r="2664">
      <c r="A2664" s="10" t="inlineStr">
        <is>
          <t>Disco</t>
        </is>
      </c>
      <c r="B2664" s="10" t="n">
        <v>82812</v>
      </c>
      <c r="C2664" s="10" t="n">
        <v>80147</v>
      </c>
      <c r="D2664" s="10" t="inlineStr">
        <is>
          <t>Tratamiento Reconstituyente Elvive-rizos-colageno-pvc-ml.-350</t>
        </is>
      </c>
      <c r="E2664" s="10" t="inlineStr">
        <is>
          <t>ELVIVE</t>
        </is>
      </c>
      <c r="F2664" s="10" t="n">
        <v>26.69</v>
      </c>
      <c r="G2664" s="10" t="n">
        <v>2206</v>
      </c>
      <c r="H2664" s="10" t="b">
        <v>0</v>
      </c>
      <c r="I2664" s="10" t="inlineStr"/>
      <c r="J2664" s="10" t="inlineStr"/>
      <c r="K2664" s="10" t="inlineStr">
        <is>
          <t>&gt; Perfumería &gt; Cuidado Capilar &gt; Reparación y Tratamientos &gt;</t>
        </is>
      </c>
      <c r="L2664" s="10" t="inlineStr">
        <is>
          <t>tratamiento</t>
        </is>
      </c>
      <c r="M2664" s="10" t="inlineStr">
        <is>
          <t>profesional</t>
        </is>
      </c>
      <c r="N2664" s="10" t="inlineStr">
        <is>
          <t>rizado</t>
        </is>
      </c>
      <c r="O2664" s="10" t="inlineStr">
        <is>
          <t>https://www.disco.com.ar/tratamiento-reconstituyente-elvive-8/p</t>
        </is>
      </c>
    </row>
    <row r="2665">
      <c r="A2665" t="inlineStr">
        <is>
          <t>Disco</t>
        </is>
      </c>
      <c r="B2665" t="n">
        <v>82795</v>
      </c>
      <c r="C2665" t="n">
        <v>80130</v>
      </c>
      <c r="D2665" t="inlineStr">
        <is>
          <t>Crema De Enjuague Elvive-colageno-pvc-ml.-400</t>
        </is>
      </c>
      <c r="E2665" t="inlineStr">
        <is>
          <t>ELVIVE</t>
        </is>
      </c>
      <c r="F2665" t="n">
        <v>91.65000000000001</v>
      </c>
      <c r="G2665" t="n">
        <v>7574</v>
      </c>
      <c r="H2665" t="b">
        <v>0</v>
      </c>
      <c r="I2665" t="inlineStr"/>
      <c r="J2665" t="inlineStr"/>
      <c r="K2665" t="inlineStr">
        <is>
          <t>&gt; Perfumería &gt; Cuidado Capilar &gt; Acondicionador &gt;</t>
        </is>
      </c>
      <c r="L2665" t="inlineStr">
        <is>
          <t>acondicionador</t>
        </is>
      </c>
      <c r="M2665" t="inlineStr">
        <is>
          <t>profesional</t>
        </is>
      </c>
      <c r="N2665" t="inlineStr">
        <is>
          <t>general</t>
        </is>
      </c>
      <c r="O2665" t="inlineStr">
        <is>
          <t>https://www.disco.com.ar/crema-de-enjuague-elvive-62/p</t>
        </is>
      </c>
    </row>
    <row r="2666">
      <c r="A2666" s="10" t="inlineStr">
        <is>
          <t>Disco</t>
        </is>
      </c>
      <c r="B2666" s="10" t="n">
        <v>82781</v>
      </c>
      <c r="C2666" s="10" t="n">
        <v>80116</v>
      </c>
      <c r="D2666" s="10" t="inlineStr">
        <is>
          <t>Crema De Enjuague Elvive-caida Resist.con Arginina-pvc-ml.-400</t>
        </is>
      </c>
      <c r="E2666" s="10" t="inlineStr">
        <is>
          <t>ELVIVE</t>
        </is>
      </c>
      <c r="F2666" s="10" t="n">
        <v>91.65000000000001</v>
      </c>
      <c r="G2666" s="10" t="n">
        <v>7574</v>
      </c>
      <c r="H2666" s="10" t="b">
        <v>0</v>
      </c>
      <c r="I2666" s="10" t="inlineStr"/>
      <c r="J2666" s="10" t="inlineStr"/>
      <c r="K2666" s="10" t="inlineStr">
        <is>
          <t>&gt; Perfumería &gt; Cuidado Capilar &gt; Acondicionador &gt;</t>
        </is>
      </c>
      <c r="L2666" s="10" t="inlineStr">
        <is>
          <t>acondicionador</t>
        </is>
      </c>
      <c r="M2666" s="10" t="inlineStr">
        <is>
          <t>profesional</t>
        </is>
      </c>
      <c r="N2666" s="10" t="inlineStr">
        <is>
          <t>general</t>
        </is>
      </c>
      <c r="O2666" s="10" t="inlineStr">
        <is>
          <t>https://www.disco.com.ar/crema-de-enjuague-elvive-61/p</t>
        </is>
      </c>
    </row>
    <row r="2667">
      <c r="A2667" t="inlineStr">
        <is>
          <t>Disco</t>
        </is>
      </c>
      <c r="B2667" t="n">
        <v>82755</v>
      </c>
      <c r="C2667" t="n">
        <v>80087</v>
      </c>
      <c r="D2667" t="inlineStr">
        <is>
          <t>Crema De Enjuague Elvive-intense-pvc-ml.-400</t>
        </is>
      </c>
      <c r="E2667" t="inlineStr">
        <is>
          <t>ELVIVE</t>
        </is>
      </c>
      <c r="F2667" t="n">
        <v>91.65000000000001</v>
      </c>
      <c r="G2667" t="n">
        <v>7574</v>
      </c>
      <c r="H2667" t="b">
        <v>0</v>
      </c>
      <c r="I2667" t="inlineStr"/>
      <c r="J2667" t="inlineStr"/>
      <c r="K2667" t="inlineStr">
        <is>
          <t>&gt; Perfumería &gt; Cuidado Capilar &gt; Acondicionador &gt;</t>
        </is>
      </c>
      <c r="L2667" t="inlineStr">
        <is>
          <t>acondicionador</t>
        </is>
      </c>
      <c r="M2667" t="inlineStr">
        <is>
          <t>profesional</t>
        </is>
      </c>
      <c r="N2667" t="inlineStr">
        <is>
          <t>general</t>
        </is>
      </c>
      <c r="O2667" t="inlineStr">
        <is>
          <t>https://www.disco.com.ar/crema-de-enjuague-elvive-60/p</t>
        </is>
      </c>
    </row>
    <row r="2668">
      <c r="A2668" s="10" t="inlineStr">
        <is>
          <t>Disco</t>
        </is>
      </c>
      <c r="B2668" s="10" t="n">
        <v>82738</v>
      </c>
      <c r="C2668" s="10" t="n">
        <v>80071</v>
      </c>
      <c r="D2668" s="10" t="inlineStr">
        <is>
          <t>Crema De Enjuague Elvive-caida Resist.con Arginina-pvc-ml.-750</t>
        </is>
      </c>
      <c r="E2668" s="10" t="inlineStr">
        <is>
          <t>ELVIVE</t>
        </is>
      </c>
      <c r="F2668" s="10" t="n">
        <v>146.95</v>
      </c>
      <c r="G2668" s="10" t="n">
        <v>12145</v>
      </c>
      <c r="H2668" s="10" t="b">
        <v>0</v>
      </c>
      <c r="I2668" s="10" t="inlineStr"/>
      <c r="J2668" s="10" t="inlineStr"/>
      <c r="K2668" s="10" t="inlineStr">
        <is>
          <t>&gt; Perfumería &gt; Cuidado Capilar &gt; Acondicionador &gt;</t>
        </is>
      </c>
      <c r="L2668" s="10" t="inlineStr">
        <is>
          <t>acondicionador</t>
        </is>
      </c>
      <c r="M2668" s="10" t="inlineStr">
        <is>
          <t>profesional</t>
        </is>
      </c>
      <c r="N2668" s="10" t="inlineStr">
        <is>
          <t>general</t>
        </is>
      </c>
      <c r="O2668" s="10" t="inlineStr">
        <is>
          <t>https://www.disco.com.ar/crema-de-enjuague-elvive-59/p</t>
        </is>
      </c>
    </row>
    <row r="2669">
      <c r="A2669" t="inlineStr">
        <is>
          <t>Disco</t>
        </is>
      </c>
      <c r="B2669" t="n">
        <v>81615</v>
      </c>
      <c r="C2669" t="n">
        <v>78949</v>
      </c>
      <c r="D2669" t="inlineStr">
        <is>
          <t>Shampoo Elvive Cosmetico Multivitaminas  250 Ml</t>
        </is>
      </c>
      <c r="E2669" t="inlineStr">
        <is>
          <t>ELVIVE</t>
        </is>
      </c>
      <c r="F2669" t="n">
        <v>10.99</v>
      </c>
      <c r="G2669" t="n">
        <v>10.99</v>
      </c>
      <c r="H2669" t="b">
        <v>0</v>
      </c>
      <c r="I2669" t="n">
        <v>250</v>
      </c>
      <c r="J2669" t="n">
        <v>0.044</v>
      </c>
      <c r="K2669" t="inlineStr">
        <is>
          <t>&gt; Perfumería &gt; Cuidado Capilar &gt; Shampoo &gt;</t>
        </is>
      </c>
      <c r="L2669" t="inlineStr">
        <is>
          <t>shampoo</t>
        </is>
      </c>
      <c r="M2669" t="inlineStr">
        <is>
          <t>profesional</t>
        </is>
      </c>
      <c r="N2669" t="inlineStr">
        <is>
          <t>general</t>
        </is>
      </c>
      <c r="O2669" t="inlineStr">
        <is>
          <t>https://www.disco.com.ar/shampoo-elvive-cosmetico-70/p</t>
        </is>
      </c>
    </row>
    <row r="2670">
      <c r="A2670" s="10" t="inlineStr">
        <is>
          <t>Disco</t>
        </is>
      </c>
      <c r="B2670" s="10" t="n">
        <v>77114</v>
      </c>
      <c r="C2670" s="10" t="n">
        <v>74242</v>
      </c>
      <c r="D2670" s="10" t="inlineStr">
        <is>
          <t>Shampoo Elvive Cosmetico X 2 Un</t>
        </is>
      </c>
      <c r="E2670" s="10" t="inlineStr">
        <is>
          <t>ELVIVE</t>
        </is>
      </c>
      <c r="F2670" s="10" t="n">
        <v>16.19</v>
      </c>
      <c r="G2670" s="10" t="n">
        <v>16.19</v>
      </c>
      <c r="H2670" s="10" t="b">
        <v>0</v>
      </c>
      <c r="I2670" s="10" t="inlineStr"/>
      <c r="J2670" s="10" t="inlineStr"/>
      <c r="K2670" s="10" t="inlineStr">
        <is>
          <t>&gt; Perfumería &gt; Cuidado Capilar &gt; Shampoo &gt;</t>
        </is>
      </c>
      <c r="L2670" s="10" t="inlineStr">
        <is>
          <t>shampoo</t>
        </is>
      </c>
      <c r="M2670" s="10" t="inlineStr">
        <is>
          <t>profesional</t>
        </is>
      </c>
      <c r="N2670" s="10" t="inlineStr">
        <is>
          <t>general</t>
        </is>
      </c>
      <c r="O2670" s="10" t="inlineStr">
        <is>
          <t>https://www.disco.com.ar/shampoo-elvive-cosmetico-x-2-un-7/p</t>
        </is>
      </c>
    </row>
    <row r="2671">
      <c r="A2671" t="inlineStr">
        <is>
          <t>Disco</t>
        </is>
      </c>
      <c r="B2671" t="n">
        <v>77081</v>
      </c>
      <c r="C2671" t="n">
        <v>74209</v>
      </c>
      <c r="D2671" t="inlineStr">
        <is>
          <t>Shampoo Elvive  Cosmetico X 2 Un</t>
        </is>
      </c>
      <c r="E2671" t="inlineStr">
        <is>
          <t>ELVIVE</t>
        </is>
      </c>
      <c r="F2671" t="n">
        <v>15.27</v>
      </c>
      <c r="G2671" t="n">
        <v>15.27</v>
      </c>
      <c r="H2671" t="b">
        <v>0</v>
      </c>
      <c r="I2671" t="inlineStr"/>
      <c r="J2671" t="inlineStr"/>
      <c r="K2671" t="inlineStr">
        <is>
          <t>&gt; Perfumería &gt; Cuidado Capilar &gt; Shampoo &gt;</t>
        </is>
      </c>
      <c r="L2671" t="inlineStr">
        <is>
          <t>shampoo</t>
        </is>
      </c>
      <c r="M2671" t="inlineStr">
        <is>
          <t>profesional</t>
        </is>
      </c>
      <c r="N2671" t="inlineStr">
        <is>
          <t>general</t>
        </is>
      </c>
      <c r="O2671" t="inlineStr">
        <is>
          <t>https://www.disco.com.ar/shampoo-elvive-cosmetico-x-2-un-3/p</t>
        </is>
      </c>
    </row>
    <row r="2672">
      <c r="A2672" s="10" t="inlineStr">
        <is>
          <t>Disco</t>
        </is>
      </c>
      <c r="B2672" s="10" t="n">
        <v>77063</v>
      </c>
      <c r="C2672" s="10" t="n">
        <v>74191</v>
      </c>
      <c r="D2672" s="10" t="inlineStr">
        <is>
          <t>Crema Capilar Elvive Nutri-gloss</t>
        </is>
      </c>
      <c r="E2672" s="10" t="inlineStr">
        <is>
          <t>ELVIVE</t>
        </is>
      </c>
      <c r="F2672" s="10" t="n">
        <v>19.77</v>
      </c>
      <c r="G2672" s="10" t="n">
        <v>1634</v>
      </c>
      <c r="H2672" s="10" t="b">
        <v>0</v>
      </c>
      <c r="I2672" s="10" t="inlineStr"/>
      <c r="J2672" s="10" t="inlineStr"/>
      <c r="K2672" s="10" t="inlineStr">
        <is>
          <t>&gt; Perfumería &gt; Cuidado Capilar &gt; Reparación y Tratamientos &gt;</t>
        </is>
      </c>
      <c r="L2672" s="10" t="inlineStr">
        <is>
          <t>shampoo</t>
        </is>
      </c>
      <c r="M2672" s="10" t="inlineStr">
        <is>
          <t>profesional</t>
        </is>
      </c>
      <c r="N2672" s="10" t="inlineStr">
        <is>
          <t>general</t>
        </is>
      </c>
      <c r="O2672" s="10" t="inlineStr">
        <is>
          <t>https://www.disco.com.ar/crema-capilar-elvive-3/p</t>
        </is>
      </c>
    </row>
    <row r="2673">
      <c r="A2673" t="inlineStr">
        <is>
          <t>Disco</t>
        </is>
      </c>
      <c r="B2673" t="n">
        <v>77038</v>
      </c>
      <c r="C2673" t="n">
        <v>74166</v>
      </c>
      <c r="D2673" t="inlineStr">
        <is>
          <t>Crema Capilar Elvive X 250 Ml Liss Intense  Pvc 250 Ml.</t>
        </is>
      </c>
      <c r="E2673" t="inlineStr">
        <is>
          <t>ELVIVE</t>
        </is>
      </c>
      <c r="F2673" t="n">
        <v>18.13</v>
      </c>
      <c r="G2673" t="n">
        <v>1498</v>
      </c>
      <c r="H2673" t="b">
        <v>0</v>
      </c>
      <c r="I2673" t="n">
        <v>250</v>
      </c>
      <c r="J2673" t="n">
        <v>0.0725</v>
      </c>
      <c r="K2673" t="inlineStr">
        <is>
          <t>&gt; Perfumería &gt; Cuidado Capilar &gt; Reparación y Tratamientos &gt;</t>
        </is>
      </c>
      <c r="L2673" t="inlineStr">
        <is>
          <t>shampoo</t>
        </is>
      </c>
      <c r="M2673" t="inlineStr">
        <is>
          <t>profesional</t>
        </is>
      </c>
      <c r="N2673" t="inlineStr">
        <is>
          <t>general</t>
        </is>
      </c>
      <c r="O2673" t="inlineStr">
        <is>
          <t>https://www.disco.com.ar/crema-capilar-elvive/p</t>
        </is>
      </c>
    </row>
    <row r="2674">
      <c r="A2674" s="10" t="inlineStr">
        <is>
          <t>Disco</t>
        </is>
      </c>
      <c r="B2674" s="10" t="n">
        <v>77032</v>
      </c>
      <c r="C2674" s="10" t="n">
        <v>74160</v>
      </c>
      <c r="D2674" s="10" t="inlineStr">
        <is>
          <t>Crema Capilar Elvive X 250 Ml Crema Capilar Elvive Solar</t>
        </is>
      </c>
      <c r="E2674" s="10" t="inlineStr">
        <is>
          <t>ELVIVE</t>
        </is>
      </c>
      <c r="F2674" s="10" t="n">
        <v>11.93</v>
      </c>
      <c r="G2674" s="10" t="n">
        <v>986</v>
      </c>
      <c r="H2674" s="10" t="b">
        <v>0</v>
      </c>
      <c r="I2674" s="10" t="n">
        <v>250</v>
      </c>
      <c r="J2674" s="10" t="n">
        <v>0.0477</v>
      </c>
      <c r="K2674" s="10" t="inlineStr">
        <is>
          <t>&gt; Perfumería &gt; Cuidado Capilar &gt; Reparación y Tratamientos &gt;</t>
        </is>
      </c>
      <c r="L2674" s="10" t="inlineStr">
        <is>
          <t>shampoo</t>
        </is>
      </c>
      <c r="M2674" s="10" t="inlineStr">
        <is>
          <t>profesional</t>
        </is>
      </c>
      <c r="N2674" s="10" t="inlineStr">
        <is>
          <t>general</t>
        </is>
      </c>
      <c r="O2674" s="10" t="inlineStr">
        <is>
          <t>https://www.disco.com.ar/crema-capilar-elvive-x-250-ml-2/p</t>
        </is>
      </c>
    </row>
    <row r="2675">
      <c r="A2675" t="inlineStr">
        <is>
          <t>Disco</t>
        </is>
      </c>
      <c r="B2675" t="n">
        <v>77030</v>
      </c>
      <c r="C2675" t="n">
        <v>74158</v>
      </c>
      <c r="D2675" t="inlineStr">
        <is>
          <t>Crema Capilar Elvive X 250 Ml Nutri-repair  Pvc 250 Ml.</t>
        </is>
      </c>
      <c r="E2675" t="inlineStr">
        <is>
          <t>ELVIVE</t>
        </is>
      </c>
      <c r="F2675" t="n">
        <v>9.800000000000001</v>
      </c>
      <c r="G2675" t="n">
        <v>9.800000000000001</v>
      </c>
      <c r="H2675" t="b">
        <v>0</v>
      </c>
      <c r="I2675" t="n">
        <v>250</v>
      </c>
      <c r="J2675" t="n">
        <v>0.0392</v>
      </c>
      <c r="K2675" t="inlineStr">
        <is>
          <t>&gt; Perfumería &gt; Cuidado Capilar &gt; Reparación y Tratamientos &gt;</t>
        </is>
      </c>
      <c r="L2675" t="inlineStr">
        <is>
          <t>shampoo</t>
        </is>
      </c>
      <c r="M2675" t="inlineStr">
        <is>
          <t>profesional</t>
        </is>
      </c>
      <c r="N2675" t="inlineStr">
        <is>
          <t>general</t>
        </is>
      </c>
      <c r="O2675" t="inlineStr">
        <is>
          <t>https://www.disco.com.ar/crema-capilar-elvive-x-250-ml/p</t>
        </is>
      </c>
    </row>
    <row r="2676">
      <c r="A2676" s="10" t="inlineStr">
        <is>
          <t>Disco</t>
        </is>
      </c>
      <c r="B2676" s="10" t="n">
        <v>77029</v>
      </c>
      <c r="C2676" s="10" t="n">
        <v>74157</v>
      </c>
      <c r="D2676" s="10" t="inlineStr">
        <is>
          <t>Crema Capilar Elvive X 250 Ml</t>
        </is>
      </c>
      <c r="E2676" s="10" t="inlineStr">
        <is>
          <t>ELVIVE</t>
        </is>
      </c>
      <c r="F2676" s="10" t="n">
        <v>20.05</v>
      </c>
      <c r="G2676" s="10" t="n">
        <v>20.05</v>
      </c>
      <c r="H2676" s="10" t="b">
        <v>0</v>
      </c>
      <c r="I2676" s="10" t="n">
        <v>250</v>
      </c>
      <c r="J2676" s="10" t="n">
        <v>0.08019999999999999</v>
      </c>
      <c r="K2676" s="10" t="inlineStr">
        <is>
          <t>&gt; Perfumería &gt; Cuidado Capilar &gt; Reparación y Tratamientos &gt;</t>
        </is>
      </c>
      <c r="L2676" s="10" t="inlineStr">
        <is>
          <t>shampoo</t>
        </is>
      </c>
      <c r="M2676" s="10" t="inlineStr">
        <is>
          <t>profesional</t>
        </is>
      </c>
      <c r="N2676" s="10" t="inlineStr">
        <is>
          <t>general</t>
        </is>
      </c>
      <c r="O2676" s="10" t="inlineStr">
        <is>
          <t>https://www.disco.com.ar/crema-capilar-elvive-4/p</t>
        </is>
      </c>
    </row>
    <row r="2677">
      <c r="A2677" t="inlineStr">
        <is>
          <t>Disco</t>
        </is>
      </c>
      <c r="B2677" t="n">
        <v>76449</v>
      </c>
      <c r="C2677" t="n">
        <v>73579</v>
      </c>
      <c r="D2677" t="inlineStr">
        <is>
          <t>Crema De Enjuague Elvive X 3 Un</t>
        </is>
      </c>
      <c r="E2677" t="inlineStr">
        <is>
          <t>ELVIVE</t>
        </is>
      </c>
      <c r="F2677" t="n">
        <v>1.49</v>
      </c>
      <c r="G2677" t="n">
        <v>1.49</v>
      </c>
      <c r="H2677" t="b">
        <v>0</v>
      </c>
      <c r="I2677" t="inlineStr"/>
      <c r="J2677" t="inlineStr"/>
      <c r="K2677" t="inlineStr">
        <is>
          <t>&gt; Perfumería &gt; Cuidado Capilar &gt; Acondicionador &gt;</t>
        </is>
      </c>
      <c r="L2677" t="inlineStr">
        <is>
          <t>acondicionador</t>
        </is>
      </c>
      <c r="M2677" t="inlineStr">
        <is>
          <t>profesional</t>
        </is>
      </c>
      <c r="N2677" t="inlineStr">
        <is>
          <t>general</t>
        </is>
      </c>
      <c r="O2677" t="inlineStr">
        <is>
          <t>https://www.disco.com.ar/crema-de-enjuague-elvive-x-3-un/p</t>
        </is>
      </c>
    </row>
    <row r="2678">
      <c r="A2678" s="10" t="inlineStr">
        <is>
          <t>Disco</t>
        </is>
      </c>
      <c r="B2678" s="10" t="n">
        <v>72462</v>
      </c>
      <c r="C2678" s="10" t="n">
        <v>69598</v>
      </c>
      <c r="D2678" s="10" t="inlineStr">
        <is>
          <t>Shampoo Elvive Cosmetico X 2 Un</t>
        </is>
      </c>
      <c r="E2678" s="10" t="inlineStr">
        <is>
          <t>ELVIVE</t>
        </is>
      </c>
      <c r="F2678" s="10" t="n">
        <v>16.32</v>
      </c>
      <c r="G2678" s="10" t="n">
        <v>16.32</v>
      </c>
      <c r="H2678" s="10" t="b">
        <v>0</v>
      </c>
      <c r="I2678" s="10" t="inlineStr"/>
      <c r="J2678" s="10" t="inlineStr"/>
      <c r="K2678" s="10" t="inlineStr">
        <is>
          <t>&gt; Perfumería &gt; Cuidado Capilar &gt; Shampoo &gt;</t>
        </is>
      </c>
      <c r="L2678" s="10" t="inlineStr">
        <is>
          <t>shampoo</t>
        </is>
      </c>
      <c r="M2678" s="10" t="inlineStr">
        <is>
          <t>profesional</t>
        </is>
      </c>
      <c r="N2678" s="10" t="inlineStr">
        <is>
          <t>general</t>
        </is>
      </c>
      <c r="O2678" s="10" t="inlineStr">
        <is>
          <t>https://www.disco.com.ar/shampoo-elvive-cosmetico-x-2-un-2/p</t>
        </is>
      </c>
    </row>
    <row r="2679">
      <c r="A2679" t="inlineStr">
        <is>
          <t>Disco</t>
        </is>
      </c>
      <c r="B2679" t="n">
        <v>70854</v>
      </c>
      <c r="C2679" t="n">
        <v>67987</v>
      </c>
      <c r="D2679" t="inlineStr">
        <is>
          <t>Shampoo Elvive Cosmetico X 250 Ml</t>
        </is>
      </c>
      <c r="E2679" t="inlineStr">
        <is>
          <t>ELVIVE</t>
        </is>
      </c>
      <c r="F2679" t="n">
        <v>9.17</v>
      </c>
      <c r="G2679" t="n">
        <v>9.17</v>
      </c>
      <c r="H2679" t="b">
        <v>0</v>
      </c>
      <c r="I2679" t="n">
        <v>250</v>
      </c>
      <c r="J2679" t="n">
        <v>0.0367</v>
      </c>
      <c r="K2679" t="inlineStr">
        <is>
          <t>&gt; Perfumería &gt; Cuidado Capilar &gt; Shampoo &gt;</t>
        </is>
      </c>
      <c r="L2679" t="inlineStr">
        <is>
          <t>shampoo</t>
        </is>
      </c>
      <c r="M2679" t="inlineStr">
        <is>
          <t>profesional</t>
        </is>
      </c>
      <c r="N2679" t="inlineStr">
        <is>
          <t>general</t>
        </is>
      </c>
      <c r="O2679" t="inlineStr">
        <is>
          <t>https://www.disco.com.ar/shampoo-elvive-cosmetico-x-250-ml-2/p</t>
        </is>
      </c>
    </row>
    <row r="2680">
      <c r="A2680" s="10" t="inlineStr">
        <is>
          <t>Disco</t>
        </is>
      </c>
      <c r="B2680" s="10" t="n">
        <v>70822</v>
      </c>
      <c r="C2680" s="10" t="n">
        <v>67956</v>
      </c>
      <c r="D2680" s="10" t="inlineStr">
        <is>
          <t>Crema De Enjuague Elvive X 300 Ml</t>
        </is>
      </c>
      <c r="E2680" s="10" t="inlineStr">
        <is>
          <t>ELVIVE</t>
        </is>
      </c>
      <c r="F2680" s="10" t="n">
        <v>10.35</v>
      </c>
      <c r="G2680" s="10" t="n">
        <v>10.35</v>
      </c>
      <c r="H2680" s="10" t="b">
        <v>0</v>
      </c>
      <c r="I2680" s="10" t="n">
        <v>300</v>
      </c>
      <c r="J2680" s="10" t="n">
        <v>0.0345</v>
      </c>
      <c r="K2680" s="10" t="inlineStr">
        <is>
          <t>&gt; Perfumería &gt; Cuidado Capilar &gt; Acondicionador &gt;</t>
        </is>
      </c>
      <c r="L2680" s="10" t="inlineStr">
        <is>
          <t>acondicionador</t>
        </is>
      </c>
      <c r="M2680" s="10" t="inlineStr">
        <is>
          <t>profesional</t>
        </is>
      </c>
      <c r="N2680" s="10" t="inlineStr">
        <is>
          <t>general</t>
        </is>
      </c>
      <c r="O2680" s="10" t="inlineStr">
        <is>
          <t>https://www.disco.com.ar/crema-de-enjuague-elvive-x-300-ml-3/p</t>
        </is>
      </c>
    </row>
    <row r="2681">
      <c r="A2681" t="inlineStr">
        <is>
          <t>Disco</t>
        </is>
      </c>
      <c r="B2681" t="n">
        <v>69844</v>
      </c>
      <c r="C2681" t="n">
        <v>66981</v>
      </c>
      <c r="D2681" t="inlineStr">
        <is>
          <t>Tratamiento Reconstituyente Elvive</t>
        </is>
      </c>
      <c r="E2681" t="inlineStr">
        <is>
          <t>ELVIVE</t>
        </is>
      </c>
      <c r="F2681" t="n">
        <v>25.47</v>
      </c>
      <c r="G2681" t="n">
        <v>25.47</v>
      </c>
      <c r="H2681" t="b">
        <v>0</v>
      </c>
      <c r="I2681" t="inlineStr"/>
      <c r="J2681" t="inlineStr"/>
      <c r="K2681" t="inlineStr">
        <is>
          <t>&gt; Perfumería &gt; Cuidado Capilar &gt; Reparación y Tratamientos &gt;</t>
        </is>
      </c>
      <c r="L2681" t="inlineStr">
        <is>
          <t>tratamiento</t>
        </is>
      </c>
      <c r="M2681" t="inlineStr">
        <is>
          <t>profesional</t>
        </is>
      </c>
      <c r="N2681" t="inlineStr">
        <is>
          <t>general</t>
        </is>
      </c>
      <c r="O2681" t="inlineStr">
        <is>
          <t>https://www.disco.com.ar/tratamiento-reconstituyente-elvive-4/p</t>
        </is>
      </c>
    </row>
    <row r="2682">
      <c r="A2682" s="10" t="inlineStr">
        <is>
          <t>Disco</t>
        </is>
      </c>
      <c r="B2682" s="10" t="n">
        <v>68545</v>
      </c>
      <c r="C2682" s="10" t="n">
        <v>65684</v>
      </c>
      <c r="D2682" s="10" t="inlineStr">
        <is>
          <t>Crema Capilar Elvive Volumen Control  Pvc 250 Ml.</t>
        </is>
      </c>
      <c r="E2682" s="10" t="inlineStr">
        <is>
          <t>ELVIVE</t>
        </is>
      </c>
      <c r="F2682" s="10" t="n">
        <v>18.13</v>
      </c>
      <c r="G2682" s="10" t="n">
        <v>1498</v>
      </c>
      <c r="H2682" s="10" t="b">
        <v>0</v>
      </c>
      <c r="I2682" s="10" t="n">
        <v>250</v>
      </c>
      <c r="J2682" s="10" t="n">
        <v>0.0725</v>
      </c>
      <c r="K2682" s="10" t="inlineStr">
        <is>
          <t>&gt; Perfumería &gt; Cuidado Capilar &gt; Reparación y Tratamientos &gt;</t>
        </is>
      </c>
      <c r="L2682" s="10" t="inlineStr">
        <is>
          <t>shampoo</t>
        </is>
      </c>
      <c r="M2682" s="10" t="inlineStr">
        <is>
          <t>profesional</t>
        </is>
      </c>
      <c r="N2682" s="10" t="inlineStr">
        <is>
          <t>general</t>
        </is>
      </c>
      <c r="O2682" s="10" t="inlineStr">
        <is>
          <t>https://www.disco.com.ar/crema-capilar-elvive-7/p</t>
        </is>
      </c>
    </row>
    <row r="2683">
      <c r="A2683" t="inlineStr">
        <is>
          <t>Disco</t>
        </is>
      </c>
      <c r="B2683" t="n">
        <v>68539</v>
      </c>
      <c r="C2683" t="n">
        <v>65678</v>
      </c>
      <c r="D2683" t="inlineStr">
        <is>
          <t>Crema De Enjuague Elvive Volumen Control  Pvc 200 Ml.</t>
        </is>
      </c>
      <c r="E2683" t="inlineStr">
        <is>
          <t>ELVIVE</t>
        </is>
      </c>
      <c r="F2683" t="n">
        <v>266.59</v>
      </c>
      <c r="G2683" t="n">
        <v>22032</v>
      </c>
      <c r="H2683" t="b">
        <v>0</v>
      </c>
      <c r="I2683" t="n">
        <v>200</v>
      </c>
      <c r="J2683" t="n">
        <v>1.3329</v>
      </c>
      <c r="K2683" t="inlineStr">
        <is>
          <t>&gt; Perfumería &gt; Cuidado Capilar &gt; Acondicionador &gt;</t>
        </is>
      </c>
      <c r="L2683" t="inlineStr">
        <is>
          <t>acondicionador</t>
        </is>
      </c>
      <c r="M2683" t="inlineStr">
        <is>
          <t>profesional</t>
        </is>
      </c>
      <c r="N2683" t="inlineStr">
        <is>
          <t>general</t>
        </is>
      </c>
      <c r="O2683" t="inlineStr">
        <is>
          <t>https://www.disco.com.ar/crema-de-enjuague-elvive-11/p</t>
        </is>
      </c>
    </row>
    <row r="2684">
      <c r="A2684" s="10" t="inlineStr">
        <is>
          <t>Disco</t>
        </is>
      </c>
      <c r="B2684" s="10" t="n">
        <v>68533</v>
      </c>
      <c r="C2684" s="10" t="n">
        <v>65672</v>
      </c>
      <c r="D2684" s="10" t="inlineStr">
        <is>
          <t>Crema De Enjuague Elvive</t>
        </is>
      </c>
      <c r="E2684" s="10" t="inlineStr">
        <is>
          <t>ELVIVE</t>
        </is>
      </c>
      <c r="F2684" s="10" t="n">
        <v>91.65000000000001</v>
      </c>
      <c r="G2684" s="10" t="n">
        <v>7574</v>
      </c>
      <c r="H2684" s="10" t="b">
        <v>0</v>
      </c>
      <c r="I2684" s="10" t="inlineStr"/>
      <c r="J2684" s="10" t="inlineStr"/>
      <c r="K2684" s="10" t="inlineStr">
        <is>
          <t>&gt; Perfumería &gt; Cuidado Capilar &gt; Acondicionador &gt;</t>
        </is>
      </c>
      <c r="L2684" s="10" t="inlineStr">
        <is>
          <t>acondicionador</t>
        </is>
      </c>
      <c r="M2684" s="10" t="inlineStr">
        <is>
          <t>profesional</t>
        </is>
      </c>
      <c r="N2684" s="10" t="inlineStr">
        <is>
          <t>general</t>
        </is>
      </c>
      <c r="O2684" s="10" t="inlineStr">
        <is>
          <t>https://www.disco.com.ar/crema-de-enjuague-elvive-4/p</t>
        </is>
      </c>
    </row>
    <row r="2685">
      <c r="A2685" t="inlineStr">
        <is>
          <t>Disco</t>
        </is>
      </c>
      <c r="B2685" t="n">
        <v>68501</v>
      </c>
      <c r="C2685" t="n">
        <v>65640</v>
      </c>
      <c r="D2685" t="inlineStr">
        <is>
          <t>Tratamiento Reconstituyente Elvive</t>
        </is>
      </c>
      <c r="E2685" t="inlineStr">
        <is>
          <t>ELVIVE</t>
        </is>
      </c>
      <c r="F2685" t="n">
        <v>26.69</v>
      </c>
      <c r="G2685" t="n">
        <v>2206</v>
      </c>
      <c r="H2685" t="b">
        <v>0</v>
      </c>
      <c r="I2685" t="inlineStr"/>
      <c r="J2685" t="inlineStr"/>
      <c r="K2685" t="inlineStr">
        <is>
          <t>&gt; Perfumería &gt; Cuidado Capilar &gt; Reparación y Tratamientos &gt;</t>
        </is>
      </c>
      <c r="L2685" t="inlineStr">
        <is>
          <t>tratamiento</t>
        </is>
      </c>
      <c r="M2685" t="inlineStr">
        <is>
          <t>profesional</t>
        </is>
      </c>
      <c r="N2685" t="inlineStr">
        <is>
          <t>general</t>
        </is>
      </c>
      <c r="O2685" t="inlineStr">
        <is>
          <t>https://www.disco.com.ar/tratamiento-reconstituyente-elvive-3/p</t>
        </is>
      </c>
    </row>
    <row r="2686">
      <c r="A2686" s="10" t="inlineStr">
        <is>
          <t>Disco</t>
        </is>
      </c>
      <c r="B2686" s="10" t="n">
        <v>67977</v>
      </c>
      <c r="C2686" s="10" t="n">
        <v>65115</v>
      </c>
      <c r="D2686" s="10" t="inlineStr">
        <is>
          <t>Shampoo Elvive 2 En 1 Vitamax X 400 Ml</t>
        </is>
      </c>
      <c r="E2686" s="10" t="inlineStr">
        <is>
          <t>ELVIVE</t>
        </is>
      </c>
      <c r="F2686" s="10" t="n">
        <v>91.65000000000001</v>
      </c>
      <c r="G2686" s="10" t="n">
        <v>7574</v>
      </c>
      <c r="H2686" s="10" t="b">
        <v>0</v>
      </c>
      <c r="I2686" s="10" t="n">
        <v>400</v>
      </c>
      <c r="J2686" s="10" t="n">
        <v>0.2291</v>
      </c>
      <c r="K2686" s="10" t="inlineStr">
        <is>
          <t>&gt; Perfumería &gt; Cuidado Capilar &gt; Shampoo &gt;</t>
        </is>
      </c>
      <c r="L2686" s="10" t="inlineStr">
        <is>
          <t>shampoo</t>
        </is>
      </c>
      <c r="M2686" s="10" t="inlineStr">
        <is>
          <t>profesional</t>
        </is>
      </c>
      <c r="N2686" s="10" t="inlineStr">
        <is>
          <t>general</t>
        </is>
      </c>
      <c r="O2686" s="10" t="inlineStr">
        <is>
          <t>https://www.disco.com.ar/shampoo-elvive-2-en-1-vitamax-x-400-ml/p</t>
        </is>
      </c>
    </row>
    <row r="2687">
      <c r="A2687" t="inlineStr">
        <is>
          <t>Disco</t>
        </is>
      </c>
      <c r="B2687" t="n">
        <v>62527</v>
      </c>
      <c r="C2687" t="n">
        <v>59676</v>
      </c>
      <c r="D2687" t="inlineStr">
        <is>
          <t>Crema De Enjuague Elvive Pvc 300 Ml Hydra-curl .</t>
        </is>
      </c>
      <c r="E2687" t="inlineStr">
        <is>
          <t>ELVIVE</t>
        </is>
      </c>
      <c r="F2687" t="n">
        <v>14.67</v>
      </c>
      <c r="G2687" t="n">
        <v>1212</v>
      </c>
      <c r="H2687" t="b">
        <v>0</v>
      </c>
      <c r="I2687" t="n">
        <v>300</v>
      </c>
      <c r="J2687" t="n">
        <v>0.0489</v>
      </c>
      <c r="K2687" t="inlineStr">
        <is>
          <t>&gt; Perfumería &gt; Cuidado Capilar &gt; Acondicionador &gt;</t>
        </is>
      </c>
      <c r="L2687" t="inlineStr">
        <is>
          <t>acondicionador</t>
        </is>
      </c>
      <c r="M2687" t="inlineStr">
        <is>
          <t>profesional</t>
        </is>
      </c>
      <c r="N2687" t="inlineStr">
        <is>
          <t>rizado</t>
        </is>
      </c>
      <c r="O2687" t="inlineStr">
        <is>
          <t>https://www.disco.com.ar/crema-de-enjuague-elvive-pvc-300-ml-hydra-curl/p</t>
        </is>
      </c>
    </row>
    <row r="2688">
      <c r="A2688" s="10" t="inlineStr">
        <is>
          <t>Disco</t>
        </is>
      </c>
      <c r="B2688" s="10" t="n">
        <v>62513</v>
      </c>
      <c r="C2688" s="10" t="n">
        <v>59662</v>
      </c>
      <c r="D2688" s="10" t="inlineStr">
        <is>
          <t>Shampoo Elvive Cosmetico Hydra Curl Pvc 350 Ml</t>
        </is>
      </c>
      <c r="E2688" s="10" t="inlineStr">
        <is>
          <t>ELVIVE</t>
        </is>
      </c>
      <c r="F2688" s="10" t="n">
        <v>12.65</v>
      </c>
      <c r="G2688" s="10" t="n">
        <v>12.65</v>
      </c>
      <c r="H2688" s="10" t="b">
        <v>0</v>
      </c>
      <c r="I2688" s="10" t="n">
        <v>350</v>
      </c>
      <c r="J2688" s="10" t="n">
        <v>0.0361</v>
      </c>
      <c r="K2688" s="10" t="inlineStr">
        <is>
          <t>&gt; Perfumería &gt; Cuidado Capilar &gt; Shampoo &gt;</t>
        </is>
      </c>
      <c r="L2688" s="10" t="inlineStr">
        <is>
          <t>shampoo</t>
        </is>
      </c>
      <c r="M2688" s="10" t="inlineStr">
        <is>
          <t>profesional</t>
        </is>
      </c>
      <c r="N2688" s="10" t="inlineStr">
        <is>
          <t>rizado</t>
        </is>
      </c>
      <c r="O2688" s="10" t="inlineStr">
        <is>
          <t>https://www.disco.com.ar/shampoo-elvive-cosmetico-hydra-curl-pvc-350-ml/p</t>
        </is>
      </c>
    </row>
    <row r="2689">
      <c r="A2689" t="inlineStr">
        <is>
          <t>Disco</t>
        </is>
      </c>
      <c r="B2689" t="n">
        <v>60065</v>
      </c>
      <c r="C2689" t="n">
        <v>57213</v>
      </c>
      <c r="D2689" t="inlineStr">
        <is>
          <t>Shampoo Elvive Cosmetico Colorvive Nueva Presentacion Pvc 250 Ml</t>
        </is>
      </c>
      <c r="E2689" t="inlineStr">
        <is>
          <t>ELVIVE</t>
        </is>
      </c>
      <c r="F2689" t="n">
        <v>7.97</v>
      </c>
      <c r="G2689" t="n">
        <v>7.97</v>
      </c>
      <c r="H2689" t="b">
        <v>0</v>
      </c>
      <c r="I2689" t="n">
        <v>250</v>
      </c>
      <c r="J2689" t="n">
        <v>0.0319</v>
      </c>
      <c r="K2689" t="inlineStr">
        <is>
          <t>&gt; Perfumería &gt; Cuidado Capilar &gt; Shampoo &gt;</t>
        </is>
      </c>
      <c r="L2689" t="inlineStr">
        <is>
          <t>shampoo</t>
        </is>
      </c>
      <c r="M2689" t="inlineStr">
        <is>
          <t>profesional</t>
        </is>
      </c>
      <c r="N2689" t="inlineStr">
        <is>
          <t>tratado</t>
        </is>
      </c>
      <c r="O2689" t="inlineStr">
        <is>
          <t>https://www.disco.com.ar/shampoo-elvive-cosmetico-colorvive-nueva-presentacion-pvc-250-ml/p</t>
        </is>
      </c>
    </row>
    <row r="2690">
      <c r="A2690" s="10" t="inlineStr">
        <is>
          <t>Disco</t>
        </is>
      </c>
      <c r="B2690" s="10" t="n">
        <v>60061</v>
      </c>
      <c r="C2690" s="10" t="n">
        <v>57210</v>
      </c>
      <c r="D2690" s="10" t="inlineStr">
        <is>
          <t>Shampoo Elvive Cosmetico Liss Intense Pvc 250 Ml</t>
        </is>
      </c>
      <c r="E2690" s="10" t="inlineStr">
        <is>
          <t>ELVIVE</t>
        </is>
      </c>
      <c r="F2690" s="10" t="n">
        <v>7.97</v>
      </c>
      <c r="G2690" s="10" t="n">
        <v>7.97</v>
      </c>
      <c r="H2690" s="10" t="b">
        <v>0</v>
      </c>
      <c r="I2690" s="10" t="n">
        <v>250</v>
      </c>
      <c r="J2690" s="10" t="n">
        <v>0.0319</v>
      </c>
      <c r="K2690" s="10" t="inlineStr">
        <is>
          <t>&gt; Perfumería &gt; Cuidado Capilar &gt; Shampoo &gt;</t>
        </is>
      </c>
      <c r="L2690" s="10" t="inlineStr">
        <is>
          <t>shampoo</t>
        </is>
      </c>
      <c r="M2690" s="10" t="inlineStr">
        <is>
          <t>profesional</t>
        </is>
      </c>
      <c r="N2690" s="10" t="inlineStr">
        <is>
          <t>general</t>
        </is>
      </c>
      <c r="O2690" s="10" t="inlineStr">
        <is>
          <t>https://www.disco.com.ar/shampoo-elvive-cosmetico-liss-intense-pvc-250-ml/p</t>
        </is>
      </c>
    </row>
    <row r="2691">
      <c r="A2691" t="inlineStr">
        <is>
          <t>Disco</t>
        </is>
      </c>
      <c r="B2691" t="n">
        <v>60054</v>
      </c>
      <c r="C2691" t="n">
        <v>57203</v>
      </c>
      <c r="D2691" t="inlineStr">
        <is>
          <t>Shampoo Liss Intense 350 Ml Elvive Shampoo Elvive Cosmetico Liss Intense Pvc 350 Ml</t>
        </is>
      </c>
      <c r="E2691" t="inlineStr">
        <is>
          <t>ELVIVE</t>
        </is>
      </c>
      <c r="F2691" t="n">
        <v>12.65</v>
      </c>
      <c r="G2691" t="n">
        <v>12.65</v>
      </c>
      <c r="H2691" t="b">
        <v>0</v>
      </c>
      <c r="I2691" t="n">
        <v>350</v>
      </c>
      <c r="J2691" t="n">
        <v>0.0361</v>
      </c>
      <c r="K2691" t="inlineStr">
        <is>
          <t>&gt; Perfumería &gt; Cuidado Capilar &gt; Shampoo &gt;</t>
        </is>
      </c>
      <c r="L2691" t="inlineStr">
        <is>
          <t>shampoo</t>
        </is>
      </c>
      <c r="M2691" t="inlineStr">
        <is>
          <t>profesional</t>
        </is>
      </c>
      <c r="N2691" t="inlineStr">
        <is>
          <t>general</t>
        </is>
      </c>
      <c r="O2691" t="inlineStr">
        <is>
          <t>https://www.disco.com.ar/shampoo-elvive-cosmetico-liss-intense-pvc-350-ml/p</t>
        </is>
      </c>
    </row>
    <row r="2692">
      <c r="A2692" s="10" t="inlineStr">
        <is>
          <t>Disco</t>
        </is>
      </c>
      <c r="B2692" s="10" t="n">
        <v>60044</v>
      </c>
      <c r="C2692" s="10" t="n">
        <v>57193</v>
      </c>
      <c r="D2692" s="10" t="inlineStr">
        <is>
          <t>Crema De Enjuague Elvive Liss Intense Pvc 300 Ml</t>
        </is>
      </c>
      <c r="E2692" s="10" t="inlineStr">
        <is>
          <t>ELVIVE</t>
        </is>
      </c>
      <c r="F2692" s="10" t="n">
        <v>14.67</v>
      </c>
      <c r="G2692" s="10" t="n">
        <v>1212</v>
      </c>
      <c r="H2692" s="10" t="b">
        <v>0</v>
      </c>
      <c r="I2692" s="10" t="n">
        <v>300</v>
      </c>
      <c r="J2692" s="10" t="n">
        <v>0.0489</v>
      </c>
      <c r="K2692" s="10" t="inlineStr">
        <is>
          <t>&gt; Perfumería &gt; Cuidado Capilar &gt; Acondicionador &gt;</t>
        </is>
      </c>
      <c r="L2692" s="10" t="inlineStr">
        <is>
          <t>acondicionador</t>
        </is>
      </c>
      <c r="M2692" s="10" t="inlineStr">
        <is>
          <t>profesional</t>
        </is>
      </c>
      <c r="N2692" s="10" t="inlineStr">
        <is>
          <t>general</t>
        </is>
      </c>
      <c r="O2692" s="10" t="inlineStr">
        <is>
          <t>https://www.disco.com.ar/crema-de-enjuague-elvive-liss-intense-pvc-300-ml/p</t>
        </is>
      </c>
    </row>
    <row r="2693">
      <c r="A2693" t="inlineStr">
        <is>
          <t>Disco</t>
        </is>
      </c>
      <c r="B2693" t="n">
        <v>58722</v>
      </c>
      <c r="C2693" t="n">
        <v>55876</v>
      </c>
      <c r="D2693" t="inlineStr">
        <is>
          <t>Tratamiento Nocturno Elvive Reparacion Total 5-pvc-ml.-150</t>
        </is>
      </c>
      <c r="E2693" t="inlineStr">
        <is>
          <t>ELVIVE</t>
        </is>
      </c>
      <c r="F2693" t="n">
        <v>18.97</v>
      </c>
      <c r="G2693" t="n">
        <v>1568</v>
      </c>
      <c r="H2693" t="b">
        <v>0</v>
      </c>
      <c r="I2693" t="inlineStr"/>
      <c r="J2693" t="inlineStr"/>
      <c r="K2693" t="inlineStr">
        <is>
          <t>&gt; Perfumería &gt; Cuidado Capilar &gt; Reparación y Tratamientos &gt;</t>
        </is>
      </c>
      <c r="L2693" t="inlineStr">
        <is>
          <t>tratamiento</t>
        </is>
      </c>
      <c r="M2693" t="inlineStr">
        <is>
          <t>profesional</t>
        </is>
      </c>
      <c r="N2693" t="inlineStr">
        <is>
          <t>general</t>
        </is>
      </c>
      <c r="O2693" t="inlineStr">
        <is>
          <t>https://www.disco.com.ar/tratamiento-nocturno-elvive-reparacion-total-5-pvc-ml-150/p</t>
        </is>
      </c>
    </row>
    <row r="2694">
      <c r="A2694" s="10" t="inlineStr">
        <is>
          <t>Disco</t>
        </is>
      </c>
      <c r="B2694" s="10" t="n">
        <v>55621</v>
      </c>
      <c r="C2694" s="10" t="n">
        <v>52779</v>
      </c>
      <c r="D2694" s="10" t="inlineStr">
        <is>
          <t>Crema De Enjuague Elvive X 200 Ml Vitamax  Pet 200 Ml.</t>
        </is>
      </c>
      <c r="E2694" s="10" t="inlineStr">
        <is>
          <t>ELVIVE</t>
        </is>
      </c>
      <c r="F2694" s="10" t="n">
        <v>12.83</v>
      </c>
      <c r="G2694" s="10" t="n">
        <v>12.83</v>
      </c>
      <c r="H2694" s="10" t="b">
        <v>0</v>
      </c>
      <c r="I2694" s="10" t="n">
        <v>200</v>
      </c>
      <c r="J2694" s="10" t="n">
        <v>0.0641</v>
      </c>
      <c r="K2694" s="10" t="inlineStr">
        <is>
          <t>&gt; Perfumería &gt; Cuidado Capilar &gt; Acondicionador &gt;</t>
        </is>
      </c>
      <c r="L2694" s="10" t="inlineStr">
        <is>
          <t>acondicionador</t>
        </is>
      </c>
      <c r="M2694" s="10" t="inlineStr">
        <is>
          <t>profesional</t>
        </is>
      </c>
      <c r="N2694" s="10" t="inlineStr">
        <is>
          <t>general</t>
        </is>
      </c>
      <c r="O2694" s="10" t="inlineStr">
        <is>
          <t>https://www.disco.com.ar/crema-de-enjuague-elvive-x-200-ml-vitamax-pet-200-ml/p</t>
        </is>
      </c>
    </row>
    <row r="2695">
      <c r="A2695" t="inlineStr">
        <is>
          <t>Disco</t>
        </is>
      </c>
      <c r="B2695" t="n">
        <v>54060</v>
      </c>
      <c r="C2695" t="n">
        <v>51222</v>
      </c>
      <c r="D2695" t="inlineStr">
        <is>
          <t>Crema De Enjuague Elvive-rizos Hidratados Colágeno-pvc-ml.-200</t>
        </is>
      </c>
      <c r="E2695" t="inlineStr">
        <is>
          <t>ELVIVE</t>
        </is>
      </c>
      <c r="F2695" t="n">
        <v>41.19</v>
      </c>
      <c r="G2695" t="n">
        <v>3404</v>
      </c>
      <c r="H2695" t="b">
        <v>0</v>
      </c>
      <c r="I2695" t="inlineStr"/>
      <c r="J2695" t="inlineStr"/>
      <c r="K2695" t="inlineStr">
        <is>
          <t>&gt; Perfumería &gt; Cuidado Capilar &gt; Acondicionador &gt;</t>
        </is>
      </c>
      <c r="L2695" t="inlineStr">
        <is>
          <t>acondicionador</t>
        </is>
      </c>
      <c r="M2695" t="inlineStr">
        <is>
          <t>profesional</t>
        </is>
      </c>
      <c r="N2695" t="inlineStr">
        <is>
          <t>rizado</t>
        </is>
      </c>
      <c r="O2695" t="inlineStr">
        <is>
          <t>https://www.disco.com.ar/crema-de-enjuague-elvive-rizos-hidratados-colageno-pvc-ml-200/p</t>
        </is>
      </c>
    </row>
    <row r="2696">
      <c r="A2696" s="10" t="inlineStr">
        <is>
          <t>Disco</t>
        </is>
      </c>
      <c r="B2696" s="10" t="n">
        <v>44744</v>
      </c>
      <c r="C2696" s="10" t="n">
        <v>41915</v>
      </c>
      <c r="D2696" s="10" t="inlineStr">
        <is>
          <t>Shampoo Oleo Extraordinario Nutrición Univ 750ml.</t>
        </is>
      </c>
      <c r="E2696" s="10" t="inlineStr">
        <is>
          <t>ELVIVE</t>
        </is>
      </c>
      <c r="F2696" s="10" t="n">
        <v>1021.39</v>
      </c>
      <c r="G2696" s="10" t="n">
        <v>84412</v>
      </c>
      <c r="H2696" s="10" t="b">
        <v>0</v>
      </c>
      <c r="I2696" s="10" t="n">
        <v>750</v>
      </c>
      <c r="J2696" s="10" t="n">
        <v>1.3619</v>
      </c>
      <c r="K2696" s="10" t="inlineStr">
        <is>
          <t>&gt; Perfumería &gt; Cuidado Capilar &gt; Shampoo &gt;</t>
        </is>
      </c>
      <c r="L2696" s="10" t="inlineStr">
        <is>
          <t>shampoo</t>
        </is>
      </c>
      <c r="M2696" s="10" t="inlineStr">
        <is>
          <t>profesional</t>
        </is>
      </c>
      <c r="N2696" s="10" t="inlineStr">
        <is>
          <t>general</t>
        </is>
      </c>
      <c r="O2696" s="10" t="inlineStr">
        <is>
          <t>https://www.disco.com.ar/shampoo-oleo-extraordinario-nutricion-univ-750ml/p</t>
        </is>
      </c>
    </row>
    <row r="2697">
      <c r="A2697" t="inlineStr">
        <is>
          <t>Disco</t>
        </is>
      </c>
      <c r="B2697" t="n">
        <v>44630</v>
      </c>
      <c r="C2697" t="n">
        <v>41801</v>
      </c>
      <c r="D2697" t="inlineStr">
        <is>
          <t>Acondicionador Elvive O Extra Prof 200ml</t>
        </is>
      </c>
      <c r="E2697" t="inlineStr">
        <is>
          <t>ELVIVE</t>
        </is>
      </c>
      <c r="F2697" t="n">
        <v>290.85</v>
      </c>
      <c r="G2697" t="n">
        <v>24037</v>
      </c>
      <c r="H2697" t="b">
        <v>0</v>
      </c>
      <c r="I2697" t="n">
        <v>200</v>
      </c>
      <c r="J2697" t="n">
        <v>1.4543</v>
      </c>
      <c r="K2697" t="inlineStr">
        <is>
          <t>&gt; Perfumería &gt; Cuidado Capilar &gt; Acondicionador &gt;</t>
        </is>
      </c>
      <c r="L2697" t="inlineStr">
        <is>
          <t>acondicionador</t>
        </is>
      </c>
      <c r="M2697" t="inlineStr">
        <is>
          <t>profesional</t>
        </is>
      </c>
      <c r="N2697" t="inlineStr">
        <is>
          <t>general</t>
        </is>
      </c>
      <c r="O2697" t="inlineStr">
        <is>
          <t>https://www.disco.com.ar/acondicionador-elvive-o-extra-prof-200ml-2/p</t>
        </is>
      </c>
    </row>
    <row r="2698">
      <c r="A2698" s="10" t="inlineStr">
        <is>
          <t>Disco</t>
        </is>
      </c>
      <c r="B2698" s="10" t="n">
        <v>44619</v>
      </c>
      <c r="C2698" s="10" t="n">
        <v>41790</v>
      </c>
      <c r="D2698" s="10" t="inlineStr">
        <is>
          <t>Acondicionador Elvive O Extra Prof 400ml</t>
        </is>
      </c>
      <c r="E2698" s="10" t="inlineStr">
        <is>
          <t>ELVIVE</t>
        </is>
      </c>
      <c r="F2698" s="10" t="n">
        <v>470.23</v>
      </c>
      <c r="G2698" s="10" t="n">
        <v>38862</v>
      </c>
      <c r="H2698" s="10" t="b">
        <v>0</v>
      </c>
      <c r="I2698" s="10" t="n">
        <v>400</v>
      </c>
      <c r="J2698" s="10" t="n">
        <v>1.1756</v>
      </c>
      <c r="K2698" s="10" t="inlineStr">
        <is>
          <t>&gt; Perfumería &gt; Cuidado Capilar &gt; Acondicionador &gt;</t>
        </is>
      </c>
      <c r="L2698" s="10" t="inlineStr">
        <is>
          <t>acondicionador</t>
        </is>
      </c>
      <c r="M2698" s="10" t="inlineStr">
        <is>
          <t>profesional</t>
        </is>
      </c>
      <c r="N2698" s="10" t="inlineStr">
        <is>
          <t>general</t>
        </is>
      </c>
      <c r="O2698" s="10" t="inlineStr">
        <is>
          <t>https://www.disco.com.ar/acondicionador-elvive-o-extra-prof-400ml-2/p</t>
        </is>
      </c>
    </row>
    <row r="2699">
      <c r="A2699" t="inlineStr">
        <is>
          <t>Disco</t>
        </is>
      </c>
      <c r="B2699" t="n">
        <v>44040</v>
      </c>
      <c r="C2699" t="n">
        <v>41211</v>
      </c>
      <c r="D2699" t="inlineStr">
        <is>
          <t>Ampolla Reparadora Elvive Oleo Extraordinario Nutrición Universal 15 Ml</t>
        </is>
      </c>
      <c r="E2699" t="inlineStr">
        <is>
          <t>ELVIVE</t>
        </is>
      </c>
      <c r="F2699" t="n">
        <v>86.69</v>
      </c>
      <c r="G2699" t="n">
        <v>7164</v>
      </c>
      <c r="H2699" t="b">
        <v>0</v>
      </c>
      <c r="I2699" t="n">
        <v>15</v>
      </c>
      <c r="J2699" t="n">
        <v>5.7793</v>
      </c>
      <c r="K2699" t="inlineStr">
        <is>
          <t>&gt; Perfumería &gt; Cuidado Capilar &gt; Reparación y Tratamientos &gt;</t>
        </is>
      </c>
      <c r="L2699" t="inlineStr">
        <is>
          <t>shampoo</t>
        </is>
      </c>
      <c r="M2699" t="inlineStr">
        <is>
          <t>profesional</t>
        </is>
      </c>
      <c r="N2699" t="inlineStr">
        <is>
          <t>general</t>
        </is>
      </c>
      <c r="O2699" t="inlineStr">
        <is>
          <t>https://www.disco.com.ar/ampolla-reparadora-elvive-oleo-extraordinario-nutricion-universal-15-ml/p</t>
        </is>
      </c>
    </row>
    <row r="2700">
      <c r="A2700" s="10" t="inlineStr">
        <is>
          <t>Disco</t>
        </is>
      </c>
      <c r="B2700" s="10" t="n">
        <v>43915</v>
      </c>
      <c r="C2700" s="10" t="n">
        <v>41086</v>
      </c>
      <c r="D2700" s="10" t="inlineStr">
        <is>
          <t>Crema Elvive Oleo Extraordinario 300ml</t>
        </is>
      </c>
      <c r="E2700" s="10" t="inlineStr">
        <is>
          <t>ELVIVE</t>
        </is>
      </c>
      <c r="F2700" s="10" t="n">
        <v>520.25</v>
      </c>
      <c r="G2700" s="10" t="n">
        <v>42996</v>
      </c>
      <c r="H2700" s="10" t="b">
        <v>0</v>
      </c>
      <c r="I2700" s="10" t="n">
        <v>300</v>
      </c>
      <c r="J2700" s="10" t="n">
        <v>1.7342</v>
      </c>
      <c r="K2700" s="10" t="inlineStr">
        <is>
          <t>&gt; Perfumería &gt; Cuidado Capilar &gt; Reparación y Tratamientos &gt;</t>
        </is>
      </c>
      <c r="L2700" s="10" t="inlineStr">
        <is>
          <t>shampoo</t>
        </is>
      </c>
      <c r="M2700" s="10" t="inlineStr">
        <is>
          <t>profesional</t>
        </is>
      </c>
      <c r="N2700" s="10" t="inlineStr">
        <is>
          <t>general</t>
        </is>
      </c>
      <c r="O2700" s="10" t="inlineStr">
        <is>
          <t>https://www.disco.com.ar/crema-elvive-oleo-extraordinario-300ml-2/p</t>
        </is>
      </c>
    </row>
    <row r="2701">
      <c r="A2701" t="inlineStr">
        <is>
          <t>Disco</t>
        </is>
      </c>
      <c r="B2701" t="n">
        <v>40463</v>
      </c>
      <c r="C2701" t="n">
        <v>37628</v>
      </c>
      <c r="D2701" t="inlineStr">
        <is>
          <t>Acondicionador Elvive Arcilla 200ml</t>
        </is>
      </c>
      <c r="E2701" t="inlineStr">
        <is>
          <t>ELVIVE</t>
        </is>
      </c>
      <c r="F2701" t="n">
        <v>290.85</v>
      </c>
      <c r="G2701" t="n">
        <v>24037</v>
      </c>
      <c r="H2701" t="b">
        <v>0</v>
      </c>
      <c r="I2701" t="n">
        <v>200</v>
      </c>
      <c r="J2701" t="n">
        <v>1.4543</v>
      </c>
      <c r="K2701" t="inlineStr">
        <is>
          <t>&gt; Perfumería &gt; Cuidado Capilar &gt; Acondicionador &gt;</t>
        </is>
      </c>
      <c r="L2701" t="inlineStr">
        <is>
          <t>acondicionador</t>
        </is>
      </c>
      <c r="M2701" t="inlineStr">
        <is>
          <t>profesional</t>
        </is>
      </c>
      <c r="N2701" t="inlineStr">
        <is>
          <t>general</t>
        </is>
      </c>
      <c r="O2701" t="inlineStr">
        <is>
          <t>https://www.disco.com.ar/acondicionador-elvive-arcilla-200ml-2/p</t>
        </is>
      </c>
    </row>
    <row r="2702">
      <c r="A2702" s="10" t="inlineStr">
        <is>
          <t>Disco</t>
        </is>
      </c>
      <c r="B2702" s="10" t="n">
        <v>40448</v>
      </c>
      <c r="C2702" s="10" t="n">
        <v>37613</v>
      </c>
      <c r="D2702" s="10" t="inlineStr">
        <is>
          <t>Shampoo Arcilla Purificante Elvive L Oréal Paris 400 Ml</t>
        </is>
      </c>
      <c r="E2702" s="10" t="inlineStr">
        <is>
          <t>ELVIVE</t>
        </is>
      </c>
      <c r="F2702" s="10" t="n">
        <v>430.95</v>
      </c>
      <c r="G2702" s="10" t="n">
        <v>35616</v>
      </c>
      <c r="H2702" s="10" t="b">
        <v>0</v>
      </c>
      <c r="I2702" s="10" t="n">
        <v>400</v>
      </c>
      <c r="J2702" s="10" t="n">
        <v>1.0774</v>
      </c>
      <c r="K2702" s="10" t="inlineStr">
        <is>
          <t>&gt; Perfumería &gt; Cuidado Capilar &gt; Shampoo &gt;</t>
        </is>
      </c>
      <c r="L2702" s="10" t="inlineStr">
        <is>
          <t>shampoo</t>
        </is>
      </c>
      <c r="M2702" s="10" t="inlineStr">
        <is>
          <t>profesional</t>
        </is>
      </c>
      <c r="N2702" s="10" t="inlineStr">
        <is>
          <t>general</t>
        </is>
      </c>
      <c r="O2702" s="10" t="inlineStr">
        <is>
          <t>https://www.disco.com.ar/shampoo-arcilla-purificante-elvive-l-oreal-paris-400-ml/p</t>
        </is>
      </c>
    </row>
    <row r="2703">
      <c r="A2703" t="inlineStr">
        <is>
          <t>Disco</t>
        </is>
      </c>
      <c r="B2703" t="n">
        <v>39968</v>
      </c>
      <c r="C2703" t="n">
        <v>37134</v>
      </c>
      <c r="D2703" t="inlineStr">
        <is>
          <t>Acondicionador Elvive Arcilla 400ml</t>
        </is>
      </c>
      <c r="E2703" t="inlineStr">
        <is>
          <t>ELVIVE</t>
        </is>
      </c>
      <c r="F2703" t="n">
        <v>470.23</v>
      </c>
      <c r="G2703" t="n">
        <v>38862</v>
      </c>
      <c r="H2703" t="b">
        <v>0</v>
      </c>
      <c r="I2703" t="n">
        <v>400</v>
      </c>
      <c r="J2703" t="n">
        <v>1.1756</v>
      </c>
      <c r="K2703" t="inlineStr">
        <is>
          <t>&gt; Perfumería &gt; Cuidado Capilar &gt; Acondicionador &gt;</t>
        </is>
      </c>
      <c r="L2703" t="inlineStr">
        <is>
          <t>acondicionador</t>
        </is>
      </c>
      <c r="M2703" t="inlineStr">
        <is>
          <t>profesional</t>
        </is>
      </c>
      <c r="N2703" t="inlineStr">
        <is>
          <t>general</t>
        </is>
      </c>
      <c r="O2703" t="inlineStr">
        <is>
          <t>https://www.disco.com.ar/acondicionador-elvive-arcilla-400ml/p</t>
        </is>
      </c>
    </row>
    <row r="2704">
      <c r="A2704" s="10" t="inlineStr">
        <is>
          <t>Disco</t>
        </is>
      </c>
      <c r="B2704" s="10" t="n">
        <v>39678</v>
      </c>
      <c r="C2704" s="10" t="n">
        <v>36844</v>
      </c>
      <c r="D2704" s="10" t="inlineStr">
        <is>
          <t>Pre-shampoo Arcilla Purificante Elvive L Oréal Paris 150 Ml</t>
        </is>
      </c>
      <c r="E2704" s="10" t="inlineStr">
        <is>
          <t>ELVIVE</t>
        </is>
      </c>
      <c r="F2704" s="10" t="n">
        <v>159.49</v>
      </c>
      <c r="G2704" s="10" t="n">
        <v>13181</v>
      </c>
      <c r="H2704" s="10" t="b">
        <v>0</v>
      </c>
      <c r="I2704" s="10" t="n">
        <v>150</v>
      </c>
      <c r="J2704" s="10" t="n">
        <v>1.0633</v>
      </c>
      <c r="K2704" s="10" t="inlineStr">
        <is>
          <t>&gt; Perfumería &gt; Cuidado Capilar &gt; Reparación y Tratamientos &gt;</t>
        </is>
      </c>
      <c r="L2704" s="10" t="inlineStr">
        <is>
          <t>shampoo</t>
        </is>
      </c>
      <c r="M2704" s="10" t="inlineStr">
        <is>
          <t>profesional</t>
        </is>
      </c>
      <c r="N2704" s="10" t="inlineStr">
        <is>
          <t>general</t>
        </is>
      </c>
      <c r="O2704" s="10" t="inlineStr">
        <is>
          <t>https://www.disco.com.ar/pre-shampoo-arcilla-purificante-elvive-l-oreal-paris-150-ml/p</t>
        </is>
      </c>
    </row>
    <row r="2705">
      <c r="A2705" t="inlineStr">
        <is>
          <t>Disco</t>
        </is>
      </c>
      <c r="B2705" t="n">
        <v>39672</v>
      </c>
      <c r="C2705" t="n">
        <v>36837</v>
      </c>
      <c r="D2705" t="inlineStr">
        <is>
          <t>Acondicionador Elvive Arcilla 750ml</t>
        </is>
      </c>
      <c r="E2705" t="inlineStr">
        <is>
          <t>ELVIVE</t>
        </is>
      </c>
      <c r="F2705" t="n">
        <v>745.65</v>
      </c>
      <c r="G2705" t="n">
        <v>61624</v>
      </c>
      <c r="H2705" t="b">
        <v>0</v>
      </c>
      <c r="I2705" t="n">
        <v>750</v>
      </c>
      <c r="J2705" t="n">
        <v>0.9942</v>
      </c>
      <c r="K2705" t="inlineStr">
        <is>
          <t>&gt; Perfumería &gt; Cuidado Capilar &gt; Acondicionador &gt;</t>
        </is>
      </c>
      <c r="L2705" t="inlineStr">
        <is>
          <t>acondicionador</t>
        </is>
      </c>
      <c r="M2705" t="inlineStr">
        <is>
          <t>profesional</t>
        </is>
      </c>
      <c r="N2705" t="inlineStr">
        <is>
          <t>general</t>
        </is>
      </c>
      <c r="O2705" t="inlineStr">
        <is>
          <t>https://www.disco.com.ar/acondicionador-elvive-arcilla-750ml/p</t>
        </is>
      </c>
    </row>
    <row r="2706">
      <c r="A2706" s="10" t="inlineStr">
        <is>
          <t>Disco</t>
        </is>
      </c>
      <c r="B2706" s="10" t="n">
        <v>39160</v>
      </c>
      <c r="C2706" s="10" t="n">
        <v>36326</v>
      </c>
      <c r="D2706" s="10" t="inlineStr">
        <is>
          <t>Shampoo óleo Extraordinario Rizos Definidos Elvive L Oréal Paris 750 Ml</t>
        </is>
      </c>
      <c r="E2706" s="10" t="inlineStr">
        <is>
          <t>ELVIVE</t>
        </is>
      </c>
      <c r="F2706" s="10" t="n">
        <v>683.47</v>
      </c>
      <c r="G2706" s="10" t="n">
        <v>56485</v>
      </c>
      <c r="H2706" s="10" t="b">
        <v>0</v>
      </c>
      <c r="I2706" s="10" t="n">
        <v>750</v>
      </c>
      <c r="J2706" s="10" t="n">
        <v>0.9113</v>
      </c>
      <c r="K2706" s="10" t="inlineStr">
        <is>
          <t>&gt; Perfumería &gt; Cuidado Capilar &gt; Shampoo &gt;</t>
        </is>
      </c>
      <c r="L2706" s="10" t="inlineStr">
        <is>
          <t>shampoo</t>
        </is>
      </c>
      <c r="M2706" s="10" t="inlineStr">
        <is>
          <t>profesional</t>
        </is>
      </c>
      <c r="N2706" s="10" t="inlineStr">
        <is>
          <t>rizado</t>
        </is>
      </c>
      <c r="O2706" s="10" t="inlineStr">
        <is>
          <t>https://www.disco.com.ar/shampoo-oleo-extraordinario-rizos-definidos-elvive-l-oreal-paris-750-ml/p</t>
        </is>
      </c>
    </row>
    <row r="2707">
      <c r="A2707" t="inlineStr">
        <is>
          <t>Disco</t>
        </is>
      </c>
      <c r="B2707" t="n">
        <v>38320</v>
      </c>
      <c r="C2707" t="n">
        <v>35478</v>
      </c>
      <c r="D2707" t="inlineStr">
        <is>
          <t>Crema Elvive Rizos Definidos 250ml</t>
        </is>
      </c>
      <c r="E2707" t="inlineStr">
        <is>
          <t>ELVIVE</t>
        </is>
      </c>
      <c r="F2707" t="n">
        <v>523.09</v>
      </c>
      <c r="G2707" t="n">
        <v>43231</v>
      </c>
      <c r="H2707" t="b">
        <v>0</v>
      </c>
      <c r="I2707" t="n">
        <v>250</v>
      </c>
      <c r="J2707" t="n">
        <v>2.0924</v>
      </c>
      <c r="K2707" t="inlineStr">
        <is>
          <t>&gt; Perfumería &gt; Cuidado Capilar &gt; Reparación y Tratamientos &gt;</t>
        </is>
      </c>
      <c r="L2707" t="inlineStr">
        <is>
          <t>shampoo</t>
        </is>
      </c>
      <c r="M2707" t="inlineStr">
        <is>
          <t>profesional</t>
        </is>
      </c>
      <c r="N2707" t="inlineStr">
        <is>
          <t>rizado</t>
        </is>
      </c>
      <c r="O2707" t="inlineStr">
        <is>
          <t>https://www.disco.com.ar/crema-elvive-rizos-definidos-250ml/p</t>
        </is>
      </c>
    </row>
    <row r="2708">
      <c r="A2708" s="10" t="inlineStr">
        <is>
          <t>Disco</t>
        </is>
      </c>
      <c r="B2708" s="10" t="n">
        <v>38306</v>
      </c>
      <c r="C2708" s="10" t="n">
        <v>35463</v>
      </c>
      <c r="D2708" s="10" t="inlineStr">
        <is>
          <t>Tratamiento Elvive 200 Ml</t>
        </is>
      </c>
      <c r="E2708" s="10" t="inlineStr">
        <is>
          <t>ELVIVE</t>
        </is>
      </c>
      <c r="F2708" s="10" t="n">
        <v>160.47</v>
      </c>
      <c r="G2708" s="10" t="n">
        <v>13262</v>
      </c>
      <c r="H2708" s="10" t="b">
        <v>0</v>
      </c>
      <c r="I2708" s="10" t="n">
        <v>200</v>
      </c>
      <c r="J2708" s="10" t="n">
        <v>0.8024</v>
      </c>
      <c r="K2708" s="10" t="inlineStr">
        <is>
          <t>&gt; Perfumería &gt; Cuidado Capilar &gt; Reparación y Tratamientos &gt;</t>
        </is>
      </c>
      <c r="L2708" s="10" t="inlineStr">
        <is>
          <t>tratamiento</t>
        </is>
      </c>
      <c r="M2708" s="10" t="inlineStr">
        <is>
          <t>profesional</t>
        </is>
      </c>
      <c r="N2708" s="10" t="inlineStr">
        <is>
          <t>general</t>
        </is>
      </c>
      <c r="O2708" s="10" t="inlineStr">
        <is>
          <t>https://www.disco.com.ar/tratamiento-elvive/p</t>
        </is>
      </c>
    </row>
    <row r="2709">
      <c r="A2709" t="inlineStr">
        <is>
          <t>Disco</t>
        </is>
      </c>
      <c r="B2709" t="n">
        <v>37696</v>
      </c>
      <c r="C2709" t="n">
        <v>34854</v>
      </c>
      <c r="D2709" t="inlineStr">
        <is>
          <t>Tratamiento Elvive Oleo En Crema Nutrici«n Intensa 200 Ml Tratamiento Elvive Oleo En Crema Nutrición Intensa 200 Ml</t>
        </is>
      </c>
      <c r="E2709" t="inlineStr">
        <is>
          <t>ELVIVE</t>
        </is>
      </c>
      <c r="F2709" t="n">
        <v>169</v>
      </c>
      <c r="G2709" t="n">
        <v>169</v>
      </c>
      <c r="H2709" t="b">
        <v>0</v>
      </c>
      <c r="I2709" t="n">
        <v>200</v>
      </c>
      <c r="J2709" t="n">
        <v>0.845</v>
      </c>
      <c r="K2709" t="inlineStr">
        <is>
          <t>&gt; Perfumería &gt; Cuidado Capilar &gt; Reparación y Tratamientos &gt;</t>
        </is>
      </c>
      <c r="L2709" t="inlineStr">
        <is>
          <t>tratamiento</t>
        </is>
      </c>
      <c r="M2709" t="inlineStr">
        <is>
          <t>profesional</t>
        </is>
      </c>
      <c r="N2709" t="inlineStr">
        <is>
          <t>general</t>
        </is>
      </c>
      <c r="O2709" t="inlineStr">
        <is>
          <t>https://www.disco.com.ar/tratamiento-elvive-oleo-en-crema-2/p</t>
        </is>
      </c>
    </row>
    <row r="2710">
      <c r="A2710" s="10" t="inlineStr">
        <is>
          <t>Disco</t>
        </is>
      </c>
      <c r="B2710" s="10" t="n">
        <v>37394</v>
      </c>
      <c r="C2710" s="10" t="n">
        <v>34552</v>
      </c>
      <c r="D2710" s="10" t="inlineStr">
        <is>
          <t>Tratamiento Elvive Rt5 200 Ml</t>
        </is>
      </c>
      <c r="E2710" s="10" t="inlineStr">
        <is>
          <t>ELVIVE</t>
        </is>
      </c>
      <c r="F2710" s="10" t="n">
        <v>143.85</v>
      </c>
      <c r="G2710" s="10" t="n">
        <v>11888</v>
      </c>
      <c r="H2710" s="10" t="b">
        <v>0</v>
      </c>
      <c r="I2710" s="10" t="n">
        <v>200</v>
      </c>
      <c r="J2710" s="10" t="n">
        <v>0.7192</v>
      </c>
      <c r="K2710" s="10" t="inlineStr">
        <is>
          <t>&gt; Perfumería &gt; Cuidado Capilar &gt; Reparación y Tratamientos &gt;</t>
        </is>
      </c>
      <c r="L2710" s="10" t="inlineStr">
        <is>
          <t>tratamiento</t>
        </is>
      </c>
      <c r="M2710" s="10" t="inlineStr">
        <is>
          <t>profesional</t>
        </is>
      </c>
      <c r="N2710" s="10" t="inlineStr">
        <is>
          <t>general</t>
        </is>
      </c>
      <c r="O2710" s="10" t="inlineStr">
        <is>
          <t>https://www.disco.com.ar/tratamiento-elvive-rt5-200-ml/p</t>
        </is>
      </c>
    </row>
    <row r="2711">
      <c r="A2711" t="inlineStr">
        <is>
          <t>Disco</t>
        </is>
      </c>
      <c r="B2711" t="n">
        <v>36709</v>
      </c>
      <c r="C2711" t="n">
        <v>33869</v>
      </c>
      <c r="D2711" t="inlineStr">
        <is>
          <t>Tratamiento Elvive óleo En Crema Tratamiento Elvive Oleo En Crema 200 Ml</t>
        </is>
      </c>
      <c r="E2711" t="inlineStr">
        <is>
          <t>ELVIVE</t>
        </is>
      </c>
      <c r="F2711" t="n">
        <v>143.85</v>
      </c>
      <c r="G2711" t="n">
        <v>11888</v>
      </c>
      <c r="H2711" t="b">
        <v>0</v>
      </c>
      <c r="I2711" t="n">
        <v>200</v>
      </c>
      <c r="J2711" t="n">
        <v>0.7192</v>
      </c>
      <c r="K2711" t="inlineStr">
        <is>
          <t>&gt; Perfumería &gt; Cuidado Capilar &gt; Reparación y Tratamientos &gt;</t>
        </is>
      </c>
      <c r="L2711" t="inlineStr">
        <is>
          <t>tratamiento</t>
        </is>
      </c>
      <c r="M2711" t="inlineStr">
        <is>
          <t>profesional</t>
        </is>
      </c>
      <c r="N2711" t="inlineStr">
        <is>
          <t>general</t>
        </is>
      </c>
      <c r="O2711" t="inlineStr">
        <is>
          <t>https://www.disco.com.ar/tratamiento-elvive-oleo-en-crema/p</t>
        </is>
      </c>
    </row>
    <row r="2712">
      <c r="A2712" s="10" t="inlineStr">
        <is>
          <t>Disco</t>
        </is>
      </c>
      <c r="B2712" s="10" t="n">
        <v>31744</v>
      </c>
      <c r="C2712" s="10" t="n">
        <v>28904</v>
      </c>
      <c r="D2712" s="10" t="inlineStr">
        <is>
          <t>Shampoo Elvive Reparacion Total 5 750ml</t>
        </is>
      </c>
      <c r="E2712" s="10" t="inlineStr">
        <is>
          <t>ELVIVE</t>
        </is>
      </c>
      <c r="F2712" s="10" t="n">
        <v>846.49</v>
      </c>
      <c r="G2712" s="10" t="n">
        <v>69958</v>
      </c>
      <c r="H2712" s="10" t="b">
        <v>0</v>
      </c>
      <c r="I2712" s="10" t="n">
        <v>750</v>
      </c>
      <c r="J2712" s="10" t="n">
        <v>1.1287</v>
      </c>
      <c r="K2712" s="10" t="inlineStr">
        <is>
          <t>&gt; Perfumería &gt; Cuidado Capilar &gt; Shampoo &gt;</t>
        </is>
      </c>
      <c r="L2712" s="10" t="inlineStr">
        <is>
          <t>shampoo</t>
        </is>
      </c>
      <c r="M2712" s="10" t="inlineStr">
        <is>
          <t>profesional</t>
        </is>
      </c>
      <c r="N2712" s="10" t="inlineStr">
        <is>
          <t>general</t>
        </is>
      </c>
      <c r="O2712" s="10" t="inlineStr">
        <is>
          <t>https://www.disco.com.ar/shampoo-elvive-reparacion-total-5-750ml/p</t>
        </is>
      </c>
    </row>
    <row r="2713">
      <c r="A2713" t="inlineStr">
        <is>
          <t>Disco</t>
        </is>
      </c>
      <c r="B2713" t="n">
        <v>31675</v>
      </c>
      <c r="C2713" t="n">
        <v>28834</v>
      </c>
      <c r="D2713" t="inlineStr">
        <is>
          <t>Acondicionador Elvive Reparación Total 5 200 Ml</t>
        </is>
      </c>
      <c r="E2713" t="inlineStr">
        <is>
          <t>ELVIVE</t>
        </is>
      </c>
      <c r="F2713" t="n">
        <v>3250</v>
      </c>
      <c r="G2713" t="n">
        <v>268595</v>
      </c>
      <c r="H2713" t="b">
        <v>0</v>
      </c>
      <c r="I2713" t="n">
        <v>200</v>
      </c>
      <c r="J2713" t="n">
        <v>16.25</v>
      </c>
      <c r="K2713" t="inlineStr">
        <is>
          <t>&gt; Perfumería &gt; Cuidado Capilar &gt; Acondicionador &gt;</t>
        </is>
      </c>
      <c r="L2713" t="inlineStr">
        <is>
          <t>acondicionador</t>
        </is>
      </c>
      <c r="M2713" t="inlineStr">
        <is>
          <t>profesional</t>
        </is>
      </c>
      <c r="N2713" t="inlineStr">
        <is>
          <t>general</t>
        </is>
      </c>
      <c r="O2713" t="inlineStr">
        <is>
          <t>https://www.disco.com.ar/acondicionador-elvive-reparacion-total-5-200-ml/p</t>
        </is>
      </c>
    </row>
    <row r="2714">
      <c r="A2714" s="10" t="inlineStr">
        <is>
          <t>Disco</t>
        </is>
      </c>
      <c r="B2714" s="10" t="n">
        <v>31611</v>
      </c>
      <c r="C2714" s="10" t="n">
        <v>28770</v>
      </c>
      <c r="D2714" s="10" t="inlineStr">
        <is>
          <t>Acondicionador Elvive Rizos Hidratados Colágeno 750 Ml</t>
        </is>
      </c>
      <c r="E2714" s="10" t="inlineStr">
        <is>
          <t>ELVIVE</t>
        </is>
      </c>
      <c r="F2714" s="10" t="n">
        <v>146.95</v>
      </c>
      <c r="G2714" s="10" t="n">
        <v>12145</v>
      </c>
      <c r="H2714" s="10" t="b">
        <v>0</v>
      </c>
      <c r="I2714" s="10" t="n">
        <v>750</v>
      </c>
      <c r="J2714" s="10" t="n">
        <v>0.1959</v>
      </c>
      <c r="K2714" s="10" t="inlineStr">
        <is>
          <t>&gt; Perfumería &gt; Cuidado Capilar &gt; Acondicionador &gt;</t>
        </is>
      </c>
      <c r="L2714" s="10" t="inlineStr">
        <is>
          <t>acondicionador</t>
        </is>
      </c>
      <c r="M2714" s="10" t="inlineStr">
        <is>
          <t>profesional</t>
        </is>
      </c>
      <c r="N2714" s="10" t="inlineStr">
        <is>
          <t>rizado</t>
        </is>
      </c>
      <c r="O2714" s="10" t="inlineStr">
        <is>
          <t>https://www.disco.com.ar/crema-de-enjuague-elvive-20/p</t>
        </is>
      </c>
    </row>
    <row r="2715">
      <c r="A2715" t="inlineStr">
        <is>
          <t>Disco</t>
        </is>
      </c>
      <c r="B2715" t="n">
        <v>31579</v>
      </c>
      <c r="C2715" t="n">
        <v>28738</v>
      </c>
      <c r="D2715" t="inlineStr">
        <is>
          <t>Shampoo Elvive Reparacion Total 5 200ml</t>
        </is>
      </c>
      <c r="E2715" t="inlineStr">
        <is>
          <t>ELVIVE</t>
        </is>
      </c>
      <c r="F2715" t="n">
        <v>3050</v>
      </c>
      <c r="G2715" t="n">
        <v>252066</v>
      </c>
      <c r="H2715" t="b">
        <v>0</v>
      </c>
      <c r="I2715" t="n">
        <v>200</v>
      </c>
      <c r="J2715" t="n">
        <v>15.25</v>
      </c>
      <c r="K2715" t="inlineStr">
        <is>
          <t>&gt; Perfumería &gt; Cuidado Capilar &gt; Shampoo &gt;</t>
        </is>
      </c>
      <c r="L2715" t="inlineStr">
        <is>
          <t>shampoo</t>
        </is>
      </c>
      <c r="M2715" t="inlineStr">
        <is>
          <t>profesional</t>
        </is>
      </c>
      <c r="N2715" t="inlineStr">
        <is>
          <t>general</t>
        </is>
      </c>
      <c r="O2715" t="inlineStr">
        <is>
          <t>https://www.disco.com.ar/shampoo-elvive-reparacion-total-5-200ml-2/p</t>
        </is>
      </c>
    </row>
    <row r="2716">
      <c r="A2716" s="10" t="inlineStr">
        <is>
          <t>Disco</t>
        </is>
      </c>
      <c r="B2716" s="10" t="n">
        <v>31344</v>
      </c>
      <c r="C2716" s="10" t="n">
        <v>28503</v>
      </c>
      <c r="D2716" s="10" t="inlineStr">
        <is>
          <t>Tratamiento Elvive Keraliso 300gr</t>
        </is>
      </c>
      <c r="E2716" s="10" t="inlineStr">
        <is>
          <t>ELVIVE</t>
        </is>
      </c>
      <c r="F2716" s="10" t="n">
        <v>520.25</v>
      </c>
      <c r="G2716" s="10" t="n">
        <v>42996</v>
      </c>
      <c r="H2716" s="10" t="b">
        <v>0</v>
      </c>
      <c r="I2716" s="10" t="n">
        <v>300</v>
      </c>
      <c r="J2716" s="10" t="n">
        <v>1.7342</v>
      </c>
      <c r="K2716" s="10" t="inlineStr">
        <is>
          <t>&gt; Perfumería &gt; Cuidado Capilar &gt; Reparación y Tratamientos &gt;</t>
        </is>
      </c>
      <c r="L2716" s="10" t="inlineStr">
        <is>
          <t>tratamiento</t>
        </is>
      </c>
      <c r="M2716" s="10" t="inlineStr">
        <is>
          <t>profesional</t>
        </is>
      </c>
      <c r="N2716" s="10" t="inlineStr">
        <is>
          <t>general</t>
        </is>
      </c>
      <c r="O2716" s="10" t="inlineStr">
        <is>
          <t>https://www.disco.com.ar/tratamiento-elvive-keraliso-300gr/p</t>
        </is>
      </c>
    </row>
    <row r="2717">
      <c r="A2717" t="inlineStr">
        <is>
          <t>Disco</t>
        </is>
      </c>
      <c r="B2717" t="n">
        <v>31342</v>
      </c>
      <c r="C2717" t="n">
        <v>28501</v>
      </c>
      <c r="D2717" t="inlineStr">
        <is>
          <t>Shampoo Elvive Kera Liso Brillo 200ml</t>
        </is>
      </c>
      <c r="E2717" t="inlineStr">
        <is>
          <t>ELVIVE</t>
        </is>
      </c>
      <c r="F2717" t="n">
        <v>346.37</v>
      </c>
      <c r="G2717" t="n">
        <v>28626</v>
      </c>
      <c r="H2717" t="b">
        <v>0</v>
      </c>
      <c r="I2717" t="n">
        <v>200</v>
      </c>
      <c r="J2717" t="n">
        <v>1.7319</v>
      </c>
      <c r="K2717" t="inlineStr">
        <is>
          <t>&gt; Perfumería &gt; Cuidado Capilar &gt; Shampoo &gt;</t>
        </is>
      </c>
      <c r="L2717" t="inlineStr">
        <is>
          <t>shampoo</t>
        </is>
      </c>
      <c r="M2717" t="inlineStr">
        <is>
          <t>profesional</t>
        </is>
      </c>
      <c r="N2717" t="inlineStr">
        <is>
          <t>general</t>
        </is>
      </c>
      <c r="O2717" t="inlineStr">
        <is>
          <t>https://www.disco.com.ar/shampoo-elvive-kera-liso-brillo-200ml/p</t>
        </is>
      </c>
    </row>
    <row r="2718">
      <c r="A2718" s="10" t="inlineStr">
        <is>
          <t>Disco</t>
        </is>
      </c>
      <c r="B2718" s="10" t="n">
        <v>31322</v>
      </c>
      <c r="C2718" s="10" t="n">
        <v>28481</v>
      </c>
      <c r="D2718" s="10" t="inlineStr">
        <is>
          <t>Crema Capilar Elvive Crema Para Peinar Keraliso 230° Elvive L Oréal Paris 250 Ml</t>
        </is>
      </c>
      <c r="E2718" s="10" t="inlineStr">
        <is>
          <t>ELVIVE</t>
        </is>
      </c>
      <c r="F2718" s="10" t="n">
        <v>479.47</v>
      </c>
      <c r="G2718" s="10" t="n">
        <v>39626</v>
      </c>
      <c r="H2718" s="10" t="b">
        <v>0</v>
      </c>
      <c r="I2718" s="10" t="n">
        <v>250</v>
      </c>
      <c r="J2718" s="10" t="n">
        <v>1.9179</v>
      </c>
      <c r="K2718" s="10" t="inlineStr">
        <is>
          <t>&gt; Perfumería &gt; Cuidado Capilar &gt; Reparación y Tratamientos &gt;</t>
        </is>
      </c>
      <c r="L2718" s="10" t="inlineStr">
        <is>
          <t>shampoo</t>
        </is>
      </c>
      <c r="M2718" s="10" t="inlineStr">
        <is>
          <t>profesional</t>
        </is>
      </c>
      <c r="N2718" s="10" t="inlineStr">
        <is>
          <t>general</t>
        </is>
      </c>
      <c r="O2718" s="10" t="inlineStr">
        <is>
          <t>https://www.disco.com.ar/crema-capilar-elvive-9/p</t>
        </is>
      </c>
    </row>
    <row r="2719">
      <c r="A2719" t="inlineStr">
        <is>
          <t>Disco</t>
        </is>
      </c>
      <c r="B2719" t="n">
        <v>31010</v>
      </c>
      <c r="C2719" t="n">
        <v>28169</v>
      </c>
      <c r="D2719" t="inlineStr">
        <is>
          <t>Shampoo Caida Resist Elvive L Oréal Paris 400 Ml</t>
        </is>
      </c>
      <c r="E2719" t="inlineStr">
        <is>
          <t>ELVIVE</t>
        </is>
      </c>
      <c r="F2719" t="n">
        <v>600</v>
      </c>
      <c r="G2719" t="n">
        <v>49587</v>
      </c>
      <c r="H2719" t="b">
        <v>0</v>
      </c>
      <c r="I2719" t="n">
        <v>400</v>
      </c>
      <c r="J2719" t="n">
        <v>1.5</v>
      </c>
      <c r="K2719" t="inlineStr">
        <is>
          <t>&gt; Perfumería &gt; Cuidado Capilar &gt; Shampoo &gt;</t>
        </is>
      </c>
      <c r="L2719" t="inlineStr">
        <is>
          <t>shampoo</t>
        </is>
      </c>
      <c r="M2719" t="inlineStr">
        <is>
          <t>profesional</t>
        </is>
      </c>
      <c r="N2719" t="inlineStr">
        <is>
          <t>general</t>
        </is>
      </c>
      <c r="O2719" t="inlineStr">
        <is>
          <t>https://www.disco.com.ar/shampoo-caida-resist-elvive-l-oreal-paris-400-ml/p</t>
        </is>
      </c>
    </row>
    <row r="2720">
      <c r="A2720" s="10" t="inlineStr">
        <is>
          <t>Disco</t>
        </is>
      </c>
      <c r="B2720" s="10" t="n">
        <v>31008</v>
      </c>
      <c r="C2720" s="10" t="n">
        <v>28167</v>
      </c>
      <c r="D2720" s="10" t="inlineStr">
        <is>
          <t>Crema De Enjuague Elvive Acondicionador Elvive Renutrición 750 Ml</t>
        </is>
      </c>
      <c r="E2720" s="10" t="inlineStr">
        <is>
          <t>ELVIVE</t>
        </is>
      </c>
      <c r="F2720" s="10" t="n">
        <v>683.47</v>
      </c>
      <c r="G2720" s="10" t="n">
        <v>56485</v>
      </c>
      <c r="H2720" s="10" t="b">
        <v>0</v>
      </c>
      <c r="I2720" s="10" t="n">
        <v>750</v>
      </c>
      <c r="J2720" s="10" t="n">
        <v>0.9113</v>
      </c>
      <c r="K2720" s="10" t="inlineStr">
        <is>
          <t>&gt; Perfumería &gt; Cuidado Capilar &gt; Acondicionador &gt;</t>
        </is>
      </c>
      <c r="L2720" s="10" t="inlineStr">
        <is>
          <t>acondicionador</t>
        </is>
      </c>
      <c r="M2720" s="10" t="inlineStr">
        <is>
          <t>profesional</t>
        </is>
      </c>
      <c r="N2720" s="10" t="inlineStr">
        <is>
          <t>general</t>
        </is>
      </c>
      <c r="O2720" s="10" t="inlineStr">
        <is>
          <t>https://www.disco.com.ar/crema-de-enjuague-elvive-12/p</t>
        </is>
      </c>
    </row>
    <row r="2721">
      <c r="A2721" t="inlineStr">
        <is>
          <t>Disco</t>
        </is>
      </c>
      <c r="B2721" t="n">
        <v>31005</v>
      </c>
      <c r="C2721" t="n">
        <v>28164</v>
      </c>
      <c r="D2721" t="inlineStr">
        <is>
          <t>Crema De Enjuague Elvive Acondicionador Elvive Renutrición 200 Ml</t>
        </is>
      </c>
      <c r="E2721" t="inlineStr">
        <is>
          <t>ELVIVE</t>
        </is>
      </c>
      <c r="F2721" t="n">
        <v>266.59</v>
      </c>
      <c r="G2721" t="n">
        <v>22032</v>
      </c>
      <c r="H2721" t="b">
        <v>0</v>
      </c>
      <c r="I2721" t="n">
        <v>200</v>
      </c>
      <c r="J2721" t="n">
        <v>1.3329</v>
      </c>
      <c r="K2721" t="inlineStr">
        <is>
          <t>&gt; Perfumería &gt; Cuidado Capilar &gt; Acondicionador &gt;</t>
        </is>
      </c>
      <c r="L2721" t="inlineStr">
        <is>
          <t>acondicionador</t>
        </is>
      </c>
      <c r="M2721" t="inlineStr">
        <is>
          <t>profesional</t>
        </is>
      </c>
      <c r="N2721" t="inlineStr">
        <is>
          <t>general</t>
        </is>
      </c>
      <c r="O2721" t="inlineStr">
        <is>
          <t>https://www.disco.com.ar/crema-de-enjuague-elvive-10/p</t>
        </is>
      </c>
    </row>
    <row r="2722">
      <c r="A2722" s="10" t="inlineStr">
        <is>
          <t>Disco</t>
        </is>
      </c>
      <c r="B2722" s="10" t="n">
        <v>30922</v>
      </c>
      <c r="C2722" s="10" t="n">
        <v>28081</v>
      </c>
      <c r="D2722" s="10" t="inlineStr">
        <is>
          <t>Crema Capilar Elvive Crema Para Peinar Keraliso Elvive L Oréal Paris 250 Ml</t>
        </is>
      </c>
      <c r="E2722" s="10" t="inlineStr">
        <is>
          <t>ELVIVE</t>
        </is>
      </c>
      <c r="F2722" s="10" t="n">
        <v>479.47</v>
      </c>
      <c r="G2722" s="10" t="n">
        <v>39626</v>
      </c>
      <c r="H2722" s="10" t="b">
        <v>0</v>
      </c>
      <c r="I2722" s="10" t="n">
        <v>250</v>
      </c>
      <c r="J2722" s="10" t="n">
        <v>1.9179</v>
      </c>
      <c r="K2722" s="10" t="inlineStr">
        <is>
          <t>&gt; Perfumería &gt; Cuidado Capilar &gt; Reparación y Tratamientos &gt;</t>
        </is>
      </c>
      <c r="L2722" s="10" t="inlineStr">
        <is>
          <t>shampoo</t>
        </is>
      </c>
      <c r="M2722" s="10" t="inlineStr">
        <is>
          <t>profesional</t>
        </is>
      </c>
      <c r="N2722" s="10" t="inlineStr">
        <is>
          <t>general</t>
        </is>
      </c>
      <c r="O2722" s="10" t="inlineStr">
        <is>
          <t>https://www.disco.com.ar/crema-capilar-elvive-10/p</t>
        </is>
      </c>
    </row>
    <row r="2723">
      <c r="A2723" t="inlineStr">
        <is>
          <t>Disco</t>
        </is>
      </c>
      <c r="B2723" t="n">
        <v>30921</v>
      </c>
      <c r="C2723" t="n">
        <v>28080</v>
      </c>
      <c r="D2723" t="inlineStr">
        <is>
          <t>Tratamiento Elvive Keraliso Brillo 300gr</t>
        </is>
      </c>
      <c r="E2723" t="inlineStr">
        <is>
          <t>ELVIVE</t>
        </is>
      </c>
      <c r="F2723" t="n">
        <v>619.59</v>
      </c>
      <c r="G2723" t="n">
        <v>51206</v>
      </c>
      <c r="H2723" t="b">
        <v>0</v>
      </c>
      <c r="I2723" t="n">
        <v>300</v>
      </c>
      <c r="J2723" t="n">
        <v>2.0653</v>
      </c>
      <c r="K2723" t="inlineStr">
        <is>
          <t>&gt; Perfumería &gt; Cuidado Capilar &gt; Reparación y Tratamientos &gt;</t>
        </is>
      </c>
      <c r="L2723" t="inlineStr">
        <is>
          <t>tratamiento</t>
        </is>
      </c>
      <c r="M2723" t="inlineStr">
        <is>
          <t>profesional</t>
        </is>
      </c>
      <c r="N2723" t="inlineStr">
        <is>
          <t>general</t>
        </is>
      </c>
      <c r="O2723" t="inlineStr">
        <is>
          <t>https://www.disco.com.ar/tratamiento-elvive-keraliso-brillo-300gr/p</t>
        </is>
      </c>
    </row>
    <row r="2724">
      <c r="A2724" s="10" t="inlineStr">
        <is>
          <t>Disco</t>
        </is>
      </c>
      <c r="B2724" s="10" t="n">
        <v>30915</v>
      </c>
      <c r="C2724" s="10" t="n">
        <v>28074</v>
      </c>
      <c r="D2724" s="10" t="inlineStr">
        <is>
          <t>Shampoo Elvive Kera Liso Brillo 400ml</t>
        </is>
      </c>
      <c r="E2724" s="10" t="inlineStr">
        <is>
          <t>ELVIVE</t>
        </is>
      </c>
      <c r="F2724" s="10" t="n">
        <v>1050</v>
      </c>
      <c r="G2724" s="10" t="n">
        <v>86777</v>
      </c>
      <c r="H2724" s="10" t="b">
        <v>0</v>
      </c>
      <c r="I2724" s="10" t="n">
        <v>400</v>
      </c>
      <c r="J2724" s="10" t="n">
        <v>2.625</v>
      </c>
      <c r="K2724" s="10" t="inlineStr">
        <is>
          <t>&gt; Perfumería &gt; Cuidado Capilar &gt; Shampoo &gt;</t>
        </is>
      </c>
      <c r="L2724" s="10" t="inlineStr">
        <is>
          <t>shampoo</t>
        </is>
      </c>
      <c r="M2724" s="10" t="inlineStr">
        <is>
          <t>profesional</t>
        </is>
      </c>
      <c r="N2724" s="10" t="inlineStr">
        <is>
          <t>general</t>
        </is>
      </c>
      <c r="O2724" s="10" t="inlineStr">
        <is>
          <t>https://www.disco.com.ar/shampoo-elvive-kera-liso-brillo-400ml/p</t>
        </is>
      </c>
    </row>
    <row r="2725">
      <c r="A2725" t="inlineStr">
        <is>
          <t>Disco</t>
        </is>
      </c>
      <c r="B2725" t="n">
        <v>23864</v>
      </c>
      <c r="C2725" t="n">
        <v>21026</v>
      </c>
      <c r="D2725" t="inlineStr">
        <is>
          <t>Crema De Enjuague Elvive-renutricion-pvc-ml.-300</t>
        </is>
      </c>
      <c r="E2725" t="inlineStr">
        <is>
          <t>ELVIVE</t>
        </is>
      </c>
      <c r="F2725" t="n">
        <v>91.65000000000001</v>
      </c>
      <c r="G2725" t="n">
        <v>7574</v>
      </c>
      <c r="H2725" t="b">
        <v>0</v>
      </c>
      <c r="I2725" t="inlineStr"/>
      <c r="J2725" t="inlineStr"/>
      <c r="K2725" t="inlineStr">
        <is>
          <t>&gt; Perfumería &gt; Cuidado Capilar &gt; Acondicionador &gt;</t>
        </is>
      </c>
      <c r="L2725" t="inlineStr">
        <is>
          <t>acondicionador</t>
        </is>
      </c>
      <c r="M2725" t="inlineStr">
        <is>
          <t>profesional</t>
        </is>
      </c>
      <c r="N2725" t="inlineStr">
        <is>
          <t>general</t>
        </is>
      </c>
      <c r="O2725" t="inlineStr">
        <is>
          <t>https://www.disco.com.ar/crema-de-enjuague-elvive-7/p</t>
        </is>
      </c>
    </row>
    <row r="2726">
      <c r="A2726" s="10" t="inlineStr">
        <is>
          <t>Disco</t>
        </is>
      </c>
      <c r="B2726" s="10" t="n">
        <v>18084</v>
      </c>
      <c r="C2726" s="10" t="n">
        <v>15178</v>
      </c>
      <c r="D2726" s="10" t="inlineStr">
        <is>
          <t>Tratamiento Elvive Keraliso 200 Ml</t>
        </is>
      </c>
      <c r="E2726" s="10" t="inlineStr">
        <is>
          <t>ELVIVE</t>
        </is>
      </c>
      <c r="F2726" s="10" t="n">
        <v>143.85</v>
      </c>
      <c r="G2726" s="10" t="n">
        <v>11888</v>
      </c>
      <c r="H2726" s="10" t="b">
        <v>0</v>
      </c>
      <c r="I2726" s="10" t="n">
        <v>200</v>
      </c>
      <c r="J2726" s="10" t="n">
        <v>0.7192</v>
      </c>
      <c r="K2726" s="10" t="inlineStr">
        <is>
          <t>&gt; Perfumería &gt; Cuidado Capilar &gt; Reparación y Tratamientos &gt;</t>
        </is>
      </c>
      <c r="L2726" s="10" t="inlineStr">
        <is>
          <t>tratamiento</t>
        </is>
      </c>
      <c r="M2726" s="10" t="inlineStr">
        <is>
          <t>profesional</t>
        </is>
      </c>
      <c r="N2726" s="10" t="inlineStr">
        <is>
          <t>general</t>
        </is>
      </c>
      <c r="O2726" s="10" t="inlineStr">
        <is>
          <t>https://www.disco.com.ar/tratamiento-elvive-keraliso-200-ml/p</t>
        </is>
      </c>
    </row>
    <row r="2727">
      <c r="A2727" t="inlineStr">
        <is>
          <t>Disco</t>
        </is>
      </c>
      <c r="B2727" t="n">
        <v>12117</v>
      </c>
      <c r="C2727" t="n">
        <v>9376</v>
      </c>
      <c r="D2727" t="inlineStr">
        <is>
          <t>Crema Tratamiento Fibralogy Elvive L Oréal Paris 300 Ml</t>
        </is>
      </c>
      <c r="E2727" t="inlineStr">
        <is>
          <t>ELVIVE</t>
        </is>
      </c>
      <c r="F2727" t="n">
        <v>476.85</v>
      </c>
      <c r="G2727" t="n">
        <v>39409</v>
      </c>
      <c r="H2727" t="b">
        <v>0</v>
      </c>
      <c r="I2727" t="n">
        <v>300</v>
      </c>
      <c r="J2727" t="n">
        <v>1.5895</v>
      </c>
      <c r="K2727" t="inlineStr">
        <is>
          <t>&gt; Perfumería &gt; Cuidado Capilar &gt; Reparación y Tratamientos &gt;</t>
        </is>
      </c>
      <c r="L2727" t="inlineStr">
        <is>
          <t>tratamiento</t>
        </is>
      </c>
      <c r="M2727" t="inlineStr">
        <is>
          <t>profesional</t>
        </is>
      </c>
      <c r="N2727" t="inlineStr">
        <is>
          <t>general</t>
        </is>
      </c>
      <c r="O2727" t="inlineStr">
        <is>
          <t>https://www.disco.com.ar/crema-tratamiento-fibralogy-elvive-l-oreal-paris-300-ml/p</t>
        </is>
      </c>
    </row>
    <row r="2728">
      <c r="A2728" s="10" t="inlineStr">
        <is>
          <t>Disco</t>
        </is>
      </c>
      <c r="B2728" s="10" t="n">
        <v>12111</v>
      </c>
      <c r="C2728" s="10" t="n">
        <v>9370</v>
      </c>
      <c r="D2728" s="10" t="inlineStr">
        <is>
          <t>Acondicionador Elvive Fibralogy 400ml</t>
        </is>
      </c>
      <c r="E2728" s="10" t="inlineStr">
        <is>
          <t>ELVIVE</t>
        </is>
      </c>
      <c r="F2728" s="10" t="n">
        <v>430.99</v>
      </c>
      <c r="G2728" s="10" t="n">
        <v>35619</v>
      </c>
      <c r="H2728" s="10" t="b">
        <v>0</v>
      </c>
      <c r="I2728" s="10" t="n">
        <v>400</v>
      </c>
      <c r="J2728" s="10" t="n">
        <v>1.0775</v>
      </c>
      <c r="K2728" s="10" t="inlineStr">
        <is>
          <t>&gt; Perfumería &gt; Cuidado Capilar &gt; Acondicionador &gt;</t>
        </is>
      </c>
      <c r="L2728" s="10" t="inlineStr">
        <is>
          <t>acondicionador</t>
        </is>
      </c>
      <c r="M2728" s="10" t="inlineStr">
        <is>
          <t>profesional</t>
        </is>
      </c>
      <c r="N2728" s="10" t="inlineStr">
        <is>
          <t>general</t>
        </is>
      </c>
      <c r="O2728" s="10" t="inlineStr">
        <is>
          <t>https://www.disco.com.ar/acondicionador-elvive-fibralogy-400ml/p</t>
        </is>
      </c>
    </row>
    <row r="2729">
      <c r="A2729" t="inlineStr">
        <is>
          <t>Disco</t>
        </is>
      </c>
      <c r="B2729" t="n">
        <v>12091</v>
      </c>
      <c r="C2729" t="n">
        <v>9350</v>
      </c>
      <c r="D2729" t="inlineStr">
        <is>
          <t>Acondicionador Fibralogy Elvive L Oréal Paris 200 Ml</t>
        </is>
      </c>
      <c r="E2729" t="inlineStr">
        <is>
          <t>ELVIVE</t>
        </is>
      </c>
      <c r="F2729" t="n">
        <v>266.59</v>
      </c>
      <c r="G2729" t="n">
        <v>22032</v>
      </c>
      <c r="H2729" t="b">
        <v>0</v>
      </c>
      <c r="I2729" t="n">
        <v>200</v>
      </c>
      <c r="J2729" t="n">
        <v>1.3329</v>
      </c>
      <c r="K2729" t="inlineStr">
        <is>
          <t>&gt; Perfumería &gt; Cuidado Capilar &gt; Acondicionador &gt;</t>
        </is>
      </c>
      <c r="L2729" t="inlineStr">
        <is>
          <t>acondicionador</t>
        </is>
      </c>
      <c r="M2729" t="inlineStr">
        <is>
          <t>profesional</t>
        </is>
      </c>
      <c r="N2729" t="inlineStr">
        <is>
          <t>general</t>
        </is>
      </c>
      <c r="O2729" t="inlineStr">
        <is>
          <t>https://www.disco.com.ar/acondicionador-fibralogy-elvive-l-oreal-paris-200-ml/p</t>
        </is>
      </c>
    </row>
    <row r="2730">
      <c r="A2730" s="10" t="inlineStr">
        <is>
          <t>Disco</t>
        </is>
      </c>
      <c r="B2730" s="10" t="n">
        <v>12087</v>
      </c>
      <c r="C2730" s="10" t="n">
        <v>9346</v>
      </c>
      <c r="D2730" s="10" t="inlineStr">
        <is>
          <t>Crema Para Peinar Fibralogy Elvive L Oréal Paris 250 Ml</t>
        </is>
      </c>
      <c r="E2730" s="10" t="inlineStr">
        <is>
          <t>ELVIVE</t>
        </is>
      </c>
      <c r="F2730" s="10" t="n">
        <v>479.47</v>
      </c>
      <c r="G2730" s="10" t="n">
        <v>39626</v>
      </c>
      <c r="H2730" s="10" t="b">
        <v>0</v>
      </c>
      <c r="I2730" s="10" t="n">
        <v>250</v>
      </c>
      <c r="J2730" s="10" t="n">
        <v>1.9179</v>
      </c>
      <c r="K2730" s="10" t="inlineStr">
        <is>
          <t>&gt; Perfumería &gt; Cuidado Capilar &gt; Reparación y Tratamientos &gt;</t>
        </is>
      </c>
      <c r="L2730" s="10" t="inlineStr">
        <is>
          <t>shampoo</t>
        </is>
      </c>
      <c r="M2730" s="10" t="inlineStr">
        <is>
          <t>profesional</t>
        </is>
      </c>
      <c r="N2730" s="10" t="inlineStr">
        <is>
          <t>general</t>
        </is>
      </c>
      <c r="O2730" s="10" t="inlineStr">
        <is>
          <t>https://www.disco.com.ar/crema-para-peinar-fibralogy-elvive-l-oreal-paris-250-ml/p</t>
        </is>
      </c>
    </row>
    <row r="2731">
      <c r="A2731" t="inlineStr">
        <is>
          <t>Disco</t>
        </is>
      </c>
      <c r="B2731" t="n">
        <v>9768</v>
      </c>
      <c r="C2731" t="n">
        <v>7046</v>
      </c>
      <c r="D2731" t="inlineStr">
        <is>
          <t>Crema Capilar Elvive Crema Para Peinar Color Vive Elvive L Oréal Paris 250 Ml</t>
        </is>
      </c>
      <c r="E2731" t="inlineStr">
        <is>
          <t>ELVIVE</t>
        </is>
      </c>
      <c r="F2731" t="n">
        <v>479.47</v>
      </c>
      <c r="G2731" t="n">
        <v>39626</v>
      </c>
      <c r="H2731" t="b">
        <v>0</v>
      </c>
      <c r="I2731" t="n">
        <v>250</v>
      </c>
      <c r="J2731" t="n">
        <v>1.9179</v>
      </c>
      <c r="K2731" t="inlineStr">
        <is>
          <t>&gt; Perfumería &gt; Cuidado Capilar &gt; Reparación y Tratamientos &gt;</t>
        </is>
      </c>
      <c r="L2731" t="inlineStr">
        <is>
          <t>shampoo</t>
        </is>
      </c>
      <c r="M2731" t="inlineStr">
        <is>
          <t>profesional</t>
        </is>
      </c>
      <c r="N2731" t="inlineStr">
        <is>
          <t>tratado</t>
        </is>
      </c>
      <c r="O2731" t="inlineStr">
        <is>
          <t>https://www.disco.com.ar/crema-capilar-elvive-11/p</t>
        </is>
      </c>
    </row>
    <row r="2732">
      <c r="A2732" s="10" t="inlineStr">
        <is>
          <t>Disco</t>
        </is>
      </c>
      <c r="B2732" s="10" t="n">
        <v>9765</v>
      </c>
      <c r="C2732" s="10" t="n">
        <v>7043</v>
      </c>
      <c r="D2732" s="10" t="inlineStr">
        <is>
          <t>Tratamiento Elvive Rep Total 5 300gr</t>
        </is>
      </c>
      <c r="E2732" s="10" t="inlineStr">
        <is>
          <t>ELVIVE</t>
        </is>
      </c>
      <c r="F2732" s="10" t="n">
        <v>800</v>
      </c>
      <c r="G2732" s="10" t="n">
        <v>66116</v>
      </c>
      <c r="H2732" s="10" t="b">
        <v>0</v>
      </c>
      <c r="I2732" s="10" t="n">
        <v>300</v>
      </c>
      <c r="J2732" s="10" t="n">
        <v>2.6667</v>
      </c>
      <c r="K2732" s="10" t="inlineStr">
        <is>
          <t>&gt; Perfumería &gt; Cuidado Capilar &gt; Reparación y Tratamientos &gt;</t>
        </is>
      </c>
      <c r="L2732" s="10" t="inlineStr">
        <is>
          <t>tratamiento</t>
        </is>
      </c>
      <c r="M2732" s="10" t="inlineStr">
        <is>
          <t>profesional</t>
        </is>
      </c>
      <c r="N2732" s="10" t="inlineStr">
        <is>
          <t>general</t>
        </is>
      </c>
      <c r="O2732" s="10" t="inlineStr">
        <is>
          <t>https://www.disco.com.ar/tratamiento-elvive-rep-total-5-300gr/p</t>
        </is>
      </c>
    </row>
    <row r="2733">
      <c r="A2733" t="inlineStr">
        <is>
          <t>Disco</t>
        </is>
      </c>
      <c r="B2733" t="n">
        <v>9763</v>
      </c>
      <c r="C2733" t="n">
        <v>7041</v>
      </c>
      <c r="D2733" t="inlineStr">
        <is>
          <t>Tratamiento Elvive Color 300gr</t>
        </is>
      </c>
      <c r="E2733" t="inlineStr">
        <is>
          <t>ELVIVE</t>
        </is>
      </c>
      <c r="F2733" t="n">
        <v>520.25</v>
      </c>
      <c r="G2733" t="n">
        <v>42996</v>
      </c>
      <c r="H2733" t="b">
        <v>0</v>
      </c>
      <c r="I2733" t="n">
        <v>300</v>
      </c>
      <c r="J2733" t="n">
        <v>1.7342</v>
      </c>
      <c r="K2733" t="inlineStr">
        <is>
          <t>&gt; Perfumería &gt; Cuidado Capilar &gt; Reparación y Tratamientos &gt;</t>
        </is>
      </c>
      <c r="L2733" t="inlineStr">
        <is>
          <t>tratamiento</t>
        </is>
      </c>
      <c r="M2733" t="inlineStr">
        <is>
          <t>profesional</t>
        </is>
      </c>
      <c r="N2733" t="inlineStr">
        <is>
          <t>tratado</t>
        </is>
      </c>
      <c r="O2733" t="inlineStr">
        <is>
          <t>https://www.disco.com.ar/tratamiento-elvive-color-300gr/p</t>
        </is>
      </c>
    </row>
    <row r="2734">
      <c r="A2734" s="10" t="inlineStr">
        <is>
          <t>Disco</t>
        </is>
      </c>
      <c r="B2734" s="10" t="n">
        <v>9762</v>
      </c>
      <c r="C2734" s="10" t="n">
        <v>7040</v>
      </c>
      <c r="D2734" s="10" t="inlineStr">
        <is>
          <t>Crema Capilar Elvive Rizos Hidratados Colágeno 250 Ml</t>
        </is>
      </c>
      <c r="E2734" s="10" t="inlineStr">
        <is>
          <t>ELVIVE</t>
        </is>
      </c>
      <c r="F2734" s="10" t="n">
        <v>97.06999999999999</v>
      </c>
      <c r="G2734" s="10" t="n">
        <v>8022</v>
      </c>
      <c r="H2734" s="10" t="b">
        <v>0</v>
      </c>
      <c r="I2734" s="10" t="n">
        <v>250</v>
      </c>
      <c r="J2734" s="10" t="n">
        <v>0.3883</v>
      </c>
      <c r="K2734" s="10" t="inlineStr">
        <is>
          <t>&gt; Perfumería &gt; Cuidado Capilar &gt; Reparación y Tratamientos &gt;</t>
        </is>
      </c>
      <c r="L2734" s="10" t="inlineStr">
        <is>
          <t>shampoo</t>
        </is>
      </c>
      <c r="M2734" s="10" t="inlineStr">
        <is>
          <t>profesional</t>
        </is>
      </c>
      <c r="N2734" s="10" t="inlineStr">
        <is>
          <t>rizado</t>
        </is>
      </c>
      <c r="O2734" s="10" t="inlineStr">
        <is>
          <t>https://www.disco.com.ar/crema-capilar-elvive-rizos-hidratados-colageno-250-ml/p</t>
        </is>
      </c>
    </row>
    <row r="2735">
      <c r="A2735" t="inlineStr">
        <is>
          <t>Disco</t>
        </is>
      </c>
      <c r="B2735" t="n">
        <v>9759</v>
      </c>
      <c r="C2735" t="n">
        <v>7037</v>
      </c>
      <c r="D2735" t="inlineStr">
        <is>
          <t>Crema Capilar Elvive Renutrición 250 Ml</t>
        </is>
      </c>
      <c r="E2735" t="inlineStr">
        <is>
          <t>ELVIVE</t>
        </is>
      </c>
      <c r="F2735" t="n">
        <v>479.47</v>
      </c>
      <c r="G2735" t="n">
        <v>39626</v>
      </c>
      <c r="H2735" t="b">
        <v>0</v>
      </c>
      <c r="I2735" t="n">
        <v>250</v>
      </c>
      <c r="J2735" t="n">
        <v>1.9179</v>
      </c>
      <c r="K2735" t="inlineStr">
        <is>
          <t>&gt; Perfumería &gt; Cuidado Capilar &gt; Reparación y Tratamientos &gt;</t>
        </is>
      </c>
      <c r="L2735" t="inlineStr">
        <is>
          <t>shampoo</t>
        </is>
      </c>
      <c r="M2735" t="inlineStr">
        <is>
          <t>profesional</t>
        </is>
      </c>
      <c r="N2735" t="inlineStr">
        <is>
          <t>general</t>
        </is>
      </c>
      <c r="O2735" t="inlineStr">
        <is>
          <t>https://www.disco.com.ar/crema-capilar-elvive-2/p</t>
        </is>
      </c>
    </row>
    <row r="2736">
      <c r="A2736" s="10" t="inlineStr">
        <is>
          <t>Disco</t>
        </is>
      </c>
      <c r="B2736" s="10" t="n">
        <v>9758</v>
      </c>
      <c r="C2736" s="10" t="n">
        <v>7036</v>
      </c>
      <c r="D2736" s="10" t="inlineStr">
        <is>
          <t>Crema Elvive Reparacion Total 5 250ml</t>
        </is>
      </c>
      <c r="E2736" s="10" t="inlineStr">
        <is>
          <t>ELVIVE</t>
        </is>
      </c>
      <c r="F2736" s="10" t="n">
        <v>558.13</v>
      </c>
      <c r="G2736" s="10" t="n">
        <v>46126</v>
      </c>
      <c r="H2736" s="10" t="b">
        <v>0</v>
      </c>
      <c r="I2736" s="10" t="n">
        <v>250</v>
      </c>
      <c r="J2736" s="10" t="n">
        <v>2.2325</v>
      </c>
      <c r="K2736" s="10" t="inlineStr">
        <is>
          <t>&gt; Perfumería &gt; Cuidado Capilar &gt; Reparación y Tratamientos &gt;</t>
        </is>
      </c>
      <c r="L2736" s="10" t="inlineStr">
        <is>
          <t>shampoo</t>
        </is>
      </c>
      <c r="M2736" s="10" t="inlineStr">
        <is>
          <t>profesional</t>
        </is>
      </c>
      <c r="N2736" s="10" t="inlineStr">
        <is>
          <t>general</t>
        </is>
      </c>
      <c r="O2736" s="10" t="inlineStr">
        <is>
          <t>https://www.disco.com.ar/crema-elvive-reparacion-total-5-250ml/p</t>
        </is>
      </c>
    </row>
    <row r="2737">
      <c r="A2737" t="inlineStr">
        <is>
          <t>Disco</t>
        </is>
      </c>
      <c r="B2737" t="n">
        <v>7699</v>
      </c>
      <c r="C2737" t="n">
        <v>5025</v>
      </c>
      <c r="D2737" t="inlineStr">
        <is>
          <t>Tratamiento Elvive Rt5 Extreme 300gr</t>
        </is>
      </c>
      <c r="E2737" t="inlineStr">
        <is>
          <t>ELVIVE</t>
        </is>
      </c>
      <c r="F2737" t="n">
        <v>520.25</v>
      </c>
      <c r="G2737" t="n">
        <v>42996</v>
      </c>
      <c r="H2737" t="b">
        <v>0</v>
      </c>
      <c r="I2737" t="n">
        <v>300</v>
      </c>
      <c r="J2737" t="n">
        <v>1.7342</v>
      </c>
      <c r="K2737" t="inlineStr">
        <is>
          <t>&gt; Perfumería &gt; Cuidado Capilar &gt; Reparación y Tratamientos &gt;</t>
        </is>
      </c>
      <c r="L2737" t="inlineStr">
        <is>
          <t>tratamiento</t>
        </is>
      </c>
      <c r="M2737" t="inlineStr">
        <is>
          <t>profesional</t>
        </is>
      </c>
      <c r="N2737" t="inlineStr">
        <is>
          <t>general</t>
        </is>
      </c>
      <c r="O2737" t="inlineStr">
        <is>
          <t>https://www.disco.com.ar/tratamiento-elvive-rt5-extreme-300gr/p</t>
        </is>
      </c>
    </row>
    <row r="2738">
      <c r="A2738" s="10" t="inlineStr">
        <is>
          <t>Disco</t>
        </is>
      </c>
      <c r="B2738" s="10" t="n">
        <v>7686</v>
      </c>
      <c r="C2738" s="10" t="n">
        <v>5012</v>
      </c>
      <c r="D2738" s="10" t="inlineStr">
        <is>
          <t>Shampoo Elvive Rt Extreme 750ml</t>
        </is>
      </c>
      <c r="E2738" s="10" t="inlineStr">
        <is>
          <t>ELVIVE</t>
        </is>
      </c>
      <c r="F2738" s="10" t="n">
        <v>745.65</v>
      </c>
      <c r="G2738" s="10" t="n">
        <v>61624</v>
      </c>
      <c r="H2738" s="10" t="b">
        <v>0</v>
      </c>
      <c r="I2738" s="10" t="n">
        <v>750</v>
      </c>
      <c r="J2738" s="10" t="n">
        <v>0.9942</v>
      </c>
      <c r="K2738" s="10" t="inlineStr">
        <is>
          <t>&gt; Perfumería &gt; Cuidado Capilar &gt; Shampoo &gt;</t>
        </is>
      </c>
      <c r="L2738" s="10" t="inlineStr">
        <is>
          <t>shampoo</t>
        </is>
      </c>
      <c r="M2738" s="10" t="inlineStr">
        <is>
          <t>profesional</t>
        </is>
      </c>
      <c r="N2738" s="10" t="inlineStr">
        <is>
          <t>general</t>
        </is>
      </c>
      <c r="O2738" s="10" t="inlineStr">
        <is>
          <t>https://www.disco.com.ar/shampoo-elvive-rt-extreme-750ml/p</t>
        </is>
      </c>
    </row>
    <row r="2739">
      <c r="A2739" t="inlineStr">
        <is>
          <t>Disco</t>
        </is>
      </c>
      <c r="B2739" t="n">
        <v>3496</v>
      </c>
      <c r="C2739" t="n">
        <v>248524</v>
      </c>
      <c r="D2739" t="inlineStr">
        <is>
          <t>Crema De Enjuague Elvive-nutri - Gloss-nueva Presentacion-pvc-ml.-400</t>
        </is>
      </c>
      <c r="E2739" t="inlineStr">
        <is>
          <t>ELVIVE</t>
        </is>
      </c>
      <c r="F2739" t="n">
        <v>91.65000000000001</v>
      </c>
      <c r="G2739" t="n">
        <v>7574</v>
      </c>
      <c r="H2739" t="b">
        <v>0</v>
      </c>
      <c r="I2739" t="inlineStr"/>
      <c r="J2739" t="inlineStr"/>
      <c r="K2739" t="inlineStr">
        <is>
          <t>&gt; Perfumería &gt; Cuidado Capilar &gt; Acondicionador &gt;</t>
        </is>
      </c>
      <c r="L2739" t="inlineStr">
        <is>
          <t>acondicionador</t>
        </is>
      </c>
      <c r="M2739" t="inlineStr">
        <is>
          <t>profesional</t>
        </is>
      </c>
      <c r="N2739" t="inlineStr">
        <is>
          <t>general</t>
        </is>
      </c>
      <c r="O2739" t="inlineStr">
        <is>
          <t>https://www.disco.com.ar/crema-de-enjuague-elvive/p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0" customWidth="1" min="3" max="3"/>
    <col width="55" customWidth="1" min="4" max="4"/>
    <col width="19" customWidth="1" min="5" max="5"/>
    <col width="13" customWidth="1" min="6" max="6"/>
    <col width="15" customWidth="1" min="7" max="7"/>
    <col width="13" customWidth="1" min="8" max="8"/>
    <col width="13" customWidth="1" min="9" max="9"/>
    <col width="16" customWidth="1" min="10" max="10"/>
    <col width="55" customWidth="1" min="11" max="11"/>
    <col width="17" customWidth="1" min="12" max="12"/>
    <col width="14" customWidth="1" min="13" max="13"/>
    <col width="15" customWidth="1" min="14" max="14"/>
    <col width="55" customWidth="1" min="15" max="15"/>
    <col width="29" customWidth="1" min="16" max="16"/>
    <col width="55" customWidth="1" min="17" max="17"/>
    <col width="33" customWidth="1" min="18" max="18"/>
    <col width="46" customWidth="1" min="19" max="19"/>
    <col width="55" customWidth="1" min="20" max="20"/>
    <col width="54" customWidth="1" min="21" max="21"/>
  </cols>
  <sheetData>
    <row r="1" ht="26" customHeight="1">
      <c r="A1" s="9" t="inlineStr">
        <is>
          <t>fuente</t>
        </is>
      </c>
      <c r="B1" s="9" t="inlineStr">
        <is>
          <t>producto_id</t>
        </is>
      </c>
      <c r="C1" s="9" t="inlineStr">
        <is>
          <t>sku_id</t>
        </is>
      </c>
      <c r="D1" s="9" t="inlineStr">
        <is>
          <t>nombre</t>
        </is>
      </c>
      <c r="E1" s="9" t="inlineStr">
        <is>
          <t>marca</t>
        </is>
      </c>
      <c r="F1" s="9" t="inlineStr">
        <is>
          <t>precio_ars</t>
        </is>
      </c>
      <c r="G1" s="9" t="inlineStr">
        <is>
          <t>precio_lista</t>
        </is>
      </c>
      <c r="H1" s="9" t="inlineStr">
        <is>
          <t>disponible</t>
        </is>
      </c>
      <c r="I1" s="9" t="inlineStr">
        <is>
          <t>volumen_ml</t>
        </is>
      </c>
      <c r="J1" s="9" t="inlineStr">
        <is>
          <t>precio_por_ml</t>
        </is>
      </c>
      <c r="K1" s="9" t="inlineStr">
        <is>
          <t>categoria_raw</t>
        </is>
      </c>
      <c r="L1" s="9" t="inlineStr">
        <is>
          <t>tipo_producto</t>
        </is>
      </c>
      <c r="M1" s="9" t="inlineStr">
        <is>
          <t>linea_tipo</t>
        </is>
      </c>
      <c r="N1" s="9" t="inlineStr">
        <is>
          <t>tipo_cabello</t>
        </is>
      </c>
      <c r="O1" s="9" t="inlineStr">
        <is>
          <t>url</t>
        </is>
      </c>
      <c r="P1" s="11" t="inlineStr">
        <is>
          <t>nombre_limpio</t>
        </is>
      </c>
      <c r="Q1" s="11" t="inlineStr">
        <is>
          <t>marca_normalizada</t>
        </is>
      </c>
      <c r="R1" s="11" t="inlineStr">
        <is>
          <t>es_duplicado</t>
        </is>
      </c>
      <c r="S1" s="11" t="inlineStr">
        <is>
          <t>disponible_texto</t>
        </is>
      </c>
      <c r="T1" s="11" t="inlineStr">
        <is>
          <t>precio_ml_calculado</t>
        </is>
      </c>
      <c r="U1" s="11" t="inlineStr">
        <is>
          <t>rango_precio</t>
        </is>
      </c>
    </row>
    <row r="2">
      <c r="A2" s="10" t="inlineStr">
        <is>
          <t>Disco</t>
        </is>
      </c>
      <c r="B2" s="10" t="n">
        <v>400585</v>
      </c>
      <c r="C2" s="10" t="n">
        <v>397923</v>
      </c>
      <c r="D2" s="10" t="inlineStr">
        <is>
          <t>Shampoo Elvive Colorvive 400ml</t>
        </is>
      </c>
      <c r="E2" s="10" t="inlineStr">
        <is>
          <t>ELVIVE</t>
        </is>
      </c>
      <c r="F2" s="10" t="n">
        <v>11199</v>
      </c>
      <c r="G2" s="10" t="n">
        <v>925537</v>
      </c>
      <c r="H2" s="10" t="b">
        <v>1</v>
      </c>
      <c r="I2" s="10" t="n">
        <v>400</v>
      </c>
      <c r="J2" s="10" t="n">
        <v>27.9975</v>
      </c>
      <c r="K2" s="10" t="inlineStr">
        <is>
          <t>&gt; Perfumería &gt; Cuidado Capilar &gt; Shampoo &gt;</t>
        </is>
      </c>
      <c r="L2" s="10" t="inlineStr">
        <is>
          <t>shampoo</t>
        </is>
      </c>
      <c r="M2" s="10" t="inlineStr">
        <is>
          <t>profesional</t>
        </is>
      </c>
      <c r="N2" s="10" t="inlineStr">
        <is>
          <t>tratado</t>
        </is>
      </c>
      <c r="O2" s="10" t="inlineStr">
        <is>
          <t>https://www.disco.com.ar/shampoo-elvive-colorvive-400ml/p</t>
        </is>
      </c>
      <c r="P2" s="12">
        <f>TRIM(CLEAN(PROPER(D2)))</f>
        <v/>
      </c>
      <c r="Q2" s="12">
        <f>PROPER(TRIM(SUBSTITUTE(SUBSTITUTE(SUBSTITUTE(SUBSTITUTE(E2,"TRESEMME","Tresemme"),"HEAD &amp; SHOULDERS","Head &amp; Shoulders"),"ELVIVE","Elvive"),"FRUCTIS","Fructis")))</f>
        <v/>
      </c>
      <c r="R2" s="12">
        <f>COUNTIF($D$2:$D$10000,D2)&gt;1</f>
        <v/>
      </c>
      <c r="S2" s="12">
        <f>IF(H2=TRUE,"Disponible","No disponible")</f>
        <v/>
      </c>
      <c r="T2" s="12">
        <f>IF(AND(ISNUMBER(I2),I2&gt;0),ROUND(F2/I2,2),"Sin volumen")</f>
        <v/>
      </c>
      <c r="U2" s="12">
        <f>IF(F2&lt;5000,"Bajo",IF(F2&lt;15000,"Medio","Alto"))</f>
        <v/>
      </c>
    </row>
    <row r="3">
      <c r="A3" t="inlineStr">
        <is>
          <t>Disco</t>
        </is>
      </c>
      <c r="B3" t="n">
        <v>405288</v>
      </c>
      <c r="C3" t="n">
        <v>402223</v>
      </c>
      <c r="D3" t="inlineStr">
        <is>
          <t>Shampoo Fructis Hydraliss 350ml</t>
        </is>
      </c>
      <c r="E3" t="inlineStr">
        <is>
          <t>FRUCTIS</t>
        </is>
      </c>
      <c r="F3" t="n">
        <v>8750</v>
      </c>
      <c r="G3" t="n">
        <v>723141</v>
      </c>
      <c r="H3" t="b">
        <v>1</v>
      </c>
      <c r="I3" t="n">
        <v>350</v>
      </c>
      <c r="J3" t="n">
        <v>25</v>
      </c>
      <c r="K3" t="inlineStr">
        <is>
          <t>&gt; Perfumería &gt; Cuidado Capilar &gt; Shampoo &gt;</t>
        </is>
      </c>
      <c r="L3" t="inlineStr">
        <is>
          <t>shampoo</t>
        </is>
      </c>
      <c r="M3" t="inlineStr">
        <is>
          <t>estandar</t>
        </is>
      </c>
      <c r="N3" t="inlineStr">
        <is>
          <t>general</t>
        </is>
      </c>
      <c r="O3" t="inlineStr">
        <is>
          <t>https://www.disco.com.ar/shampoo-fructis-hydraliss-350ml/p</t>
        </is>
      </c>
      <c r="P3">
        <f>TRIM(CLEAN(PROPER(D3)))</f>
        <v/>
      </c>
      <c r="Q3">
        <f>PROPER(TRIM(SUBSTITUTE(SUBSTITUTE(SUBSTITUTE(SUBSTITUTE(E3,"TRESEMME","Tresemme"),"HEAD &amp; SHOULDERS","Head &amp; Shoulders"),"ELVIVE","Elvive"),"FRUCTIS","Fructis")))</f>
        <v/>
      </c>
      <c r="R3">
        <f>COUNTIF($D$2:$D$10000,D3)&gt;1</f>
        <v/>
      </c>
      <c r="S3">
        <f>IF(H3=TRUE,"Disponible","No disponible")</f>
        <v/>
      </c>
      <c r="T3">
        <f>IF(AND(ISNUMBER(I3),I3&gt;0),ROUND(F3/I3,2),"Sin volumen")</f>
        <v/>
      </c>
      <c r="U3">
        <f>IF(F3&lt;5000,"Bajo",IF(F3&lt;15000,"Medio","Alto"))</f>
        <v/>
      </c>
    </row>
    <row r="4">
      <c r="A4" s="10" t="inlineStr">
        <is>
          <t>Disco</t>
        </is>
      </c>
      <c r="B4" s="10" t="n">
        <v>3087465</v>
      </c>
      <c r="C4" s="10" t="n">
        <v>3086687</v>
      </c>
      <c r="D4" s="10" t="inlineStr">
        <is>
          <t>Shampoo Dove Reconstaminoacido 650ml</t>
        </is>
      </c>
      <c r="E4" s="10" t="inlineStr">
        <is>
          <t>DOVE</t>
        </is>
      </c>
      <c r="F4" s="10" t="n">
        <v>17200</v>
      </c>
      <c r="G4" s="10" t="n">
        <v>1421488</v>
      </c>
      <c r="H4" s="10" t="b">
        <v>1</v>
      </c>
      <c r="I4" s="10" t="n">
        <v>650</v>
      </c>
      <c r="J4" s="10" t="n">
        <v>26.4615</v>
      </c>
      <c r="K4" s="10" t="inlineStr">
        <is>
          <t>&gt; Perfumería &gt; Cuidado Capilar &gt; Shampoo &gt;</t>
        </is>
      </c>
      <c r="L4" s="10" t="inlineStr">
        <is>
          <t>shampoo</t>
        </is>
      </c>
      <c r="M4" s="10" t="inlineStr">
        <is>
          <t>estandar</t>
        </is>
      </c>
      <c r="N4" s="10" t="inlineStr">
        <is>
          <t>general</t>
        </is>
      </c>
      <c r="O4" s="10" t="inlineStr">
        <is>
          <t>https://www.disco.com.ar/shampoo-dove-reconstaminoacido-650ml/p</t>
        </is>
      </c>
      <c r="P4" s="12">
        <f>TRIM(CLEAN(PROPER(D4)))</f>
        <v/>
      </c>
      <c r="Q4" s="12">
        <f>PROPER(TRIM(SUBSTITUTE(SUBSTITUTE(SUBSTITUTE(SUBSTITUTE(E4,"TRESEMME","Tresemme"),"HEAD &amp; SHOULDERS","Head &amp; Shoulders"),"ELVIVE","Elvive"),"FRUCTIS","Fructis")))</f>
        <v/>
      </c>
      <c r="R4" s="12">
        <f>COUNTIF($D$2:$D$10000,D4)&gt;1</f>
        <v/>
      </c>
      <c r="S4" s="12">
        <f>IF(H4=TRUE,"Disponible","No disponible")</f>
        <v/>
      </c>
      <c r="T4" s="12">
        <f>IF(AND(ISNUMBER(I4),I4&gt;0),ROUND(F4/I4,2),"Sin volumen")</f>
        <v/>
      </c>
      <c r="U4" s="12">
        <f>IF(F4&lt;5000,"Bajo",IF(F4&lt;15000,"Medio","Alto"))</f>
        <v/>
      </c>
    </row>
    <row r="5">
      <c r="A5" t="inlineStr">
        <is>
          <t>Disco</t>
        </is>
      </c>
      <c r="B5" t="n">
        <v>3087378</v>
      </c>
      <c r="C5" t="n">
        <v>3086599</v>
      </c>
      <c r="D5" t="inlineStr">
        <is>
          <t>Shampoo Dove Regeneracionretinol 650ml</t>
        </is>
      </c>
      <c r="E5" t="inlineStr">
        <is>
          <t>DOVE</t>
        </is>
      </c>
      <c r="F5" t="n">
        <v>17200</v>
      </c>
      <c r="G5" t="n">
        <v>1421488</v>
      </c>
      <c r="H5" t="b">
        <v>1</v>
      </c>
      <c r="I5" t="n">
        <v>650</v>
      </c>
      <c r="J5" t="n">
        <v>26.4615</v>
      </c>
      <c r="K5" t="inlineStr">
        <is>
          <t>&gt; Perfumería &gt; Cuidado Capilar &gt; Shampoo &gt;</t>
        </is>
      </c>
      <c r="L5" t="inlineStr">
        <is>
          <t>shampoo</t>
        </is>
      </c>
      <c r="M5" t="inlineStr">
        <is>
          <t>estandar</t>
        </is>
      </c>
      <c r="N5" t="inlineStr">
        <is>
          <t>general</t>
        </is>
      </c>
      <c r="O5" t="inlineStr">
        <is>
          <t>https://www.disco.com.ar/shampoo-dove-regeneracionretinol-650ml/p</t>
        </is>
      </c>
      <c r="P5">
        <f>TRIM(CLEAN(PROPER(D5)))</f>
        <v/>
      </c>
      <c r="Q5">
        <f>PROPER(TRIM(SUBSTITUTE(SUBSTITUTE(SUBSTITUTE(SUBSTITUTE(E5,"TRESEMME","Tresemme"),"HEAD &amp; SHOULDERS","Head &amp; Shoulders"),"ELVIVE","Elvive"),"FRUCTIS","Fructis")))</f>
        <v/>
      </c>
      <c r="R5">
        <f>COUNTIF($D$2:$D$10000,D5)&gt;1</f>
        <v/>
      </c>
      <c r="S5">
        <f>IF(H5=TRUE,"Disponible","No disponible")</f>
        <v/>
      </c>
      <c r="T5">
        <f>IF(AND(ISNUMBER(I5),I5&gt;0),ROUND(F5/I5,2),"Sin volumen")</f>
        <v/>
      </c>
      <c r="U5">
        <f>IF(F5&lt;5000,"Bajo",IF(F5&lt;15000,"Medio","Alto"))</f>
        <v/>
      </c>
    </row>
    <row r="6">
      <c r="A6" s="10" t="inlineStr">
        <is>
          <t>Disco</t>
        </is>
      </c>
      <c r="B6" s="10" t="n">
        <v>411249</v>
      </c>
      <c r="C6" s="10" t="n">
        <v>407089</v>
      </c>
      <c r="D6" s="10" t="inlineStr">
        <is>
          <t>Shampoo Dove Hidratacion X400ml</t>
        </is>
      </c>
      <c r="E6" s="10" t="inlineStr">
        <is>
          <t>DOVE</t>
        </is>
      </c>
      <c r="F6" s="10" t="n">
        <v>9150</v>
      </c>
      <c r="G6" s="10" t="n">
        <v>756198</v>
      </c>
      <c r="H6" s="10" t="b">
        <v>1</v>
      </c>
      <c r="I6" s="10" t="n">
        <v>400</v>
      </c>
      <c r="J6" s="10" t="n">
        <v>22.875</v>
      </c>
      <c r="K6" s="10" t="inlineStr">
        <is>
          <t>&gt; Perfumería &gt; Cuidado Capilar &gt; Shampoo &gt;</t>
        </is>
      </c>
      <c r="L6" s="10" t="inlineStr">
        <is>
          <t>shampoo</t>
        </is>
      </c>
      <c r="M6" s="10" t="inlineStr">
        <is>
          <t>estandar</t>
        </is>
      </c>
      <c r="N6" s="10" t="inlineStr">
        <is>
          <t>seco_danado</t>
        </is>
      </c>
      <c r="O6" s="10" t="inlineStr">
        <is>
          <t>https://www.disco.com.ar/shampoo-dove-hidratacion-x400ml/p</t>
        </is>
      </c>
      <c r="P6" s="12">
        <f>TRIM(CLEAN(PROPER(D6)))</f>
        <v/>
      </c>
      <c r="Q6" s="12">
        <f>PROPER(TRIM(SUBSTITUTE(SUBSTITUTE(SUBSTITUTE(SUBSTITUTE(E6,"TRESEMME","Tresemme"),"HEAD &amp; SHOULDERS","Head &amp; Shoulders"),"ELVIVE","Elvive"),"FRUCTIS","Fructis")))</f>
        <v/>
      </c>
      <c r="R6" s="12">
        <f>COUNTIF($D$2:$D$10000,D6)&gt;1</f>
        <v/>
      </c>
      <c r="S6" s="12">
        <f>IF(H6=TRUE,"Disponible","No disponible")</f>
        <v/>
      </c>
      <c r="T6" s="12">
        <f>IF(AND(ISNUMBER(I6),I6&gt;0),ROUND(F6/I6,2),"Sin volumen")</f>
        <v/>
      </c>
      <c r="U6" s="12">
        <f>IF(F6&lt;5000,"Bajo",IF(F6&lt;15000,"Medio","Alto"))</f>
        <v/>
      </c>
    </row>
    <row r="7">
      <c r="A7" t="inlineStr">
        <is>
          <t>Disco</t>
        </is>
      </c>
      <c r="B7" t="n">
        <v>404462</v>
      </c>
      <c r="C7" t="n">
        <v>401464</v>
      </c>
      <c r="D7" t="inlineStr">
        <is>
          <t>Shampoo Nutritivo 420 Ml Capilatis</t>
        </is>
      </c>
      <c r="E7" t="inlineStr">
        <is>
          <t>CAPILATIS</t>
        </is>
      </c>
      <c r="F7" t="n">
        <v>9750</v>
      </c>
      <c r="G7" t="n">
        <v>805785</v>
      </c>
      <c r="H7" t="b">
        <v>1</v>
      </c>
      <c r="I7" t="n">
        <v>420</v>
      </c>
      <c r="J7" t="n">
        <v>23.2143</v>
      </c>
      <c r="K7" t="inlineStr">
        <is>
          <t>&gt; Perfumería &gt; Cuidado Capilar &gt; Shampoo &gt;</t>
        </is>
      </c>
      <c r="L7" t="inlineStr">
        <is>
          <t>shampoo</t>
        </is>
      </c>
      <c r="M7" t="inlineStr">
        <is>
          <t>estandar</t>
        </is>
      </c>
      <c r="N7" t="inlineStr">
        <is>
          <t>general</t>
        </is>
      </c>
      <c r="O7" t="inlineStr">
        <is>
          <t>https://www.disco.com.ar/shampoo-nutritivo-420-ml-capilatis/p</t>
        </is>
      </c>
      <c r="P7">
        <f>TRIM(CLEAN(PROPER(D7)))</f>
        <v/>
      </c>
      <c r="Q7">
        <f>PROPER(TRIM(SUBSTITUTE(SUBSTITUTE(SUBSTITUTE(SUBSTITUTE(E7,"TRESEMME","Tresemme"),"HEAD &amp; SHOULDERS","Head &amp; Shoulders"),"ELVIVE","Elvive"),"FRUCTIS","Fructis")))</f>
        <v/>
      </c>
      <c r="R7">
        <f>COUNTIF($D$2:$D$10000,D7)&gt;1</f>
        <v/>
      </c>
      <c r="S7">
        <f>IF(H7=TRUE,"Disponible","No disponible")</f>
        <v/>
      </c>
      <c r="T7">
        <f>IF(AND(ISNUMBER(I7),I7&gt;0),ROUND(F7/I7,2),"Sin volumen")</f>
        <v/>
      </c>
      <c r="U7">
        <f>IF(F7&lt;5000,"Bajo",IF(F7&lt;15000,"Medio","Alto"))</f>
        <v/>
      </c>
    </row>
    <row r="8">
      <c r="A8" s="10" t="inlineStr">
        <is>
          <t>Disco</t>
        </is>
      </c>
      <c r="B8" s="10" t="n">
        <v>251369</v>
      </c>
      <c r="C8" s="10" t="n">
        <v>250670</v>
      </c>
      <c r="D8" s="10" t="inlineStr">
        <is>
          <t>Shampoo Herbal Essences Rosemary 400ml</t>
        </is>
      </c>
      <c r="E8" s="10" t="inlineStr">
        <is>
          <t>HERBAL ESSENCES</t>
        </is>
      </c>
      <c r="F8" s="10" t="n">
        <v>17500</v>
      </c>
      <c r="G8" s="10" t="n">
        <v>1446281</v>
      </c>
      <c r="H8" s="10" t="b">
        <v>1</v>
      </c>
      <c r="I8" s="10" t="n">
        <v>400</v>
      </c>
      <c r="J8" s="10" t="n">
        <v>43.75</v>
      </c>
      <c r="K8" s="10" t="inlineStr">
        <is>
          <t>&gt; Perfumería &gt; Cuidado Capilar &gt; Shampoo &gt;</t>
        </is>
      </c>
      <c r="L8" s="10" t="inlineStr">
        <is>
          <t>shampoo</t>
        </is>
      </c>
      <c r="M8" s="10" t="inlineStr">
        <is>
          <t>estandar</t>
        </is>
      </c>
      <c r="N8" s="10" t="inlineStr">
        <is>
          <t>general</t>
        </is>
      </c>
      <c r="O8" s="10" t="inlineStr">
        <is>
          <t>https://www.disco.com.ar/shampoo-herbal-essences-rosemary-400ml/p</t>
        </is>
      </c>
      <c r="P8" s="12">
        <f>TRIM(CLEAN(PROPER(D8)))</f>
        <v/>
      </c>
      <c r="Q8" s="12">
        <f>PROPER(TRIM(SUBSTITUTE(SUBSTITUTE(SUBSTITUTE(SUBSTITUTE(E8,"TRESEMME","Tresemme"),"HEAD &amp; SHOULDERS","Head &amp; Shoulders"),"ELVIVE","Elvive"),"FRUCTIS","Fructis")))</f>
        <v/>
      </c>
      <c r="R8" s="12">
        <f>COUNTIF($D$2:$D$10000,D8)&gt;1</f>
        <v/>
      </c>
      <c r="S8" s="12">
        <f>IF(H8=TRUE,"Disponible","No disponible")</f>
        <v/>
      </c>
      <c r="T8" s="12">
        <f>IF(AND(ISNUMBER(I8),I8&gt;0),ROUND(F8/I8,2),"Sin volumen")</f>
        <v/>
      </c>
      <c r="U8" s="12">
        <f>IF(F8&lt;5000,"Bajo",IF(F8&lt;15000,"Medio","Alto"))</f>
        <v/>
      </c>
    </row>
    <row r="9">
      <c r="A9" t="inlineStr">
        <is>
          <t>Disco</t>
        </is>
      </c>
      <c r="B9" t="n">
        <v>5941</v>
      </c>
      <c r="C9" t="n">
        <v>3330</v>
      </c>
      <c r="D9" t="inlineStr">
        <is>
          <t>Shampoo Engrosador 410 Ml Capilatis</t>
        </is>
      </c>
      <c r="E9" t="inlineStr">
        <is>
          <t>CAPILATIS</t>
        </is>
      </c>
      <c r="F9" t="n">
        <v>9750</v>
      </c>
      <c r="G9" t="n">
        <v>805785</v>
      </c>
      <c r="H9" t="b">
        <v>1</v>
      </c>
      <c r="I9" t="n">
        <v>410</v>
      </c>
      <c r="J9" t="n">
        <v>23.7805</v>
      </c>
      <c r="K9" t="inlineStr">
        <is>
          <t>&gt; Perfumería &gt; Cuidado Capilar &gt; Shampoo &gt;</t>
        </is>
      </c>
      <c r="L9" t="inlineStr">
        <is>
          <t>shampoo</t>
        </is>
      </c>
      <c r="M9" t="inlineStr">
        <is>
          <t>estandar</t>
        </is>
      </c>
      <c r="N9" t="inlineStr">
        <is>
          <t>general</t>
        </is>
      </c>
      <c r="O9" t="inlineStr">
        <is>
          <t>https://www.disco.com.ar/shampoo-capilatis-engrosador-410-ml/p</t>
        </is>
      </c>
      <c r="P9">
        <f>TRIM(CLEAN(PROPER(D9)))</f>
        <v/>
      </c>
      <c r="Q9">
        <f>PROPER(TRIM(SUBSTITUTE(SUBSTITUTE(SUBSTITUTE(SUBSTITUTE(E9,"TRESEMME","Tresemme"),"HEAD &amp; SHOULDERS","Head &amp; Shoulders"),"ELVIVE","Elvive"),"FRUCTIS","Fructis")))</f>
        <v/>
      </c>
      <c r="R9">
        <f>COUNTIF($D$2:$D$10000,D9)&gt;1</f>
        <v/>
      </c>
      <c r="S9">
        <f>IF(H9=TRUE,"Disponible","No disponible")</f>
        <v/>
      </c>
      <c r="T9">
        <f>IF(AND(ISNUMBER(I9),I9&gt;0),ROUND(F9/I9,2),"Sin volumen")</f>
        <v/>
      </c>
      <c r="U9">
        <f>IF(F9&lt;5000,"Bajo",IF(F9&lt;15000,"Medio","Alto"))</f>
        <v/>
      </c>
    </row>
    <row r="10">
      <c r="A10" s="10" t="inlineStr">
        <is>
          <t>Disco</t>
        </is>
      </c>
      <c r="B10" s="10" t="n">
        <v>412488</v>
      </c>
      <c r="C10" s="10" t="n">
        <v>408096</v>
      </c>
      <c r="D10" s="10" t="inlineStr">
        <is>
          <t>Shampoo Fructis Regarga Nutritiva 350ml</t>
        </is>
      </c>
      <c r="E10" s="10" t="inlineStr">
        <is>
          <t>FRUCTIS</t>
        </is>
      </c>
      <c r="F10" s="10" t="n">
        <v>8750</v>
      </c>
      <c r="G10" s="10" t="n">
        <v>723141</v>
      </c>
      <c r="H10" s="10" t="b">
        <v>1</v>
      </c>
      <c r="I10" s="10" t="n">
        <v>350</v>
      </c>
      <c r="J10" s="10" t="n">
        <v>25</v>
      </c>
      <c r="K10" s="10" t="inlineStr">
        <is>
          <t>&gt; Perfumería &gt; Cuidado Capilar &gt; Shampoo &gt;</t>
        </is>
      </c>
      <c r="L10" s="10" t="inlineStr">
        <is>
          <t>shampoo</t>
        </is>
      </c>
      <c r="M10" s="10" t="inlineStr">
        <is>
          <t>estandar</t>
        </is>
      </c>
      <c r="N10" s="10" t="inlineStr">
        <is>
          <t>general</t>
        </is>
      </c>
      <c r="O10" s="10" t="inlineStr">
        <is>
          <t>https://www.disco.com.ar/shampoo-fructis-regarga-nutritiva-350ml/p</t>
        </is>
      </c>
      <c r="P10" s="12">
        <f>TRIM(CLEAN(PROPER(D10)))</f>
        <v/>
      </c>
      <c r="Q10" s="12">
        <f>PROPER(TRIM(SUBSTITUTE(SUBSTITUTE(SUBSTITUTE(SUBSTITUTE(E10,"TRESEMME","Tresemme"),"HEAD &amp; SHOULDERS","Head &amp; Shoulders"),"ELVIVE","Elvive"),"FRUCTIS","Fructis")))</f>
        <v/>
      </c>
      <c r="R10" s="12">
        <f>COUNTIF($D$2:$D$10000,D10)&gt;1</f>
        <v/>
      </c>
      <c r="S10" s="12">
        <f>IF(H10=TRUE,"Disponible","No disponible")</f>
        <v/>
      </c>
      <c r="T10" s="12">
        <f>IF(AND(ISNUMBER(I10),I10&gt;0),ROUND(F10/I10,2),"Sin volumen")</f>
        <v/>
      </c>
      <c r="U10" s="12">
        <f>IF(F10&lt;5000,"Bajo",IF(F10&lt;15000,"Medio","Alto"))</f>
        <v/>
      </c>
    </row>
    <row r="11">
      <c r="A11" t="inlineStr">
        <is>
          <t>Disco</t>
        </is>
      </c>
      <c r="B11" t="n">
        <v>3087383</v>
      </c>
      <c r="C11" t="n">
        <v>3086604</v>
      </c>
      <c r="D11" t="inlineStr">
        <is>
          <t>Shampoo Dove Nutritri Oleos 650ml</t>
        </is>
      </c>
      <c r="E11" t="inlineStr">
        <is>
          <t>DOVE</t>
        </is>
      </c>
      <c r="F11" t="n">
        <v>17200</v>
      </c>
      <c r="G11" t="n">
        <v>1421488</v>
      </c>
      <c r="H11" t="b">
        <v>1</v>
      </c>
      <c r="I11" t="n">
        <v>650</v>
      </c>
      <c r="J11" t="n">
        <v>26.4615</v>
      </c>
      <c r="K11" t="inlineStr">
        <is>
          <t>&gt; Perfumería &gt; Cuidado Capilar &gt; Shampoo &gt;</t>
        </is>
      </c>
      <c r="L11" t="inlineStr">
        <is>
          <t>shampoo</t>
        </is>
      </c>
      <c r="M11" t="inlineStr">
        <is>
          <t>estandar</t>
        </is>
      </c>
      <c r="N11" t="inlineStr">
        <is>
          <t>general</t>
        </is>
      </c>
      <c r="O11" t="inlineStr">
        <is>
          <t>https://www.disco.com.ar/shampoo-dove-nutritri-oleos-650ml/p</t>
        </is>
      </c>
      <c r="P11">
        <f>TRIM(CLEAN(PROPER(D11)))</f>
        <v/>
      </c>
      <c r="Q11">
        <f>PROPER(TRIM(SUBSTITUTE(SUBSTITUTE(SUBSTITUTE(SUBSTITUTE(E11,"TRESEMME","Tresemme"),"HEAD &amp; SHOULDERS","Head &amp; Shoulders"),"ELVIVE","Elvive"),"FRUCTIS","Fructis")))</f>
        <v/>
      </c>
      <c r="R11">
        <f>COUNTIF($D$2:$D$10000,D11)&gt;1</f>
        <v/>
      </c>
      <c r="S11">
        <f>IF(H11=TRUE,"Disponible","No disponible")</f>
        <v/>
      </c>
      <c r="T11">
        <f>IF(AND(ISNUMBER(I11),I11&gt;0),ROUND(F11/I11,2),"Sin volumen")</f>
        <v/>
      </c>
      <c r="U11">
        <f>IF(F11&lt;5000,"Bajo",IF(F11&lt;15000,"Medio","Alto"))</f>
        <v/>
      </c>
    </row>
    <row r="12">
      <c r="A12" s="10" t="inlineStr">
        <is>
          <t>Disco</t>
        </is>
      </c>
      <c r="B12" s="10" t="n">
        <v>411252</v>
      </c>
      <c r="C12" s="10" t="n">
        <v>407092</v>
      </c>
      <c r="D12" s="10" t="inlineStr">
        <is>
          <t>Shampoo Sedal Preboticos 340 Ml</t>
        </is>
      </c>
      <c r="E12" s="10" t="inlineStr">
        <is>
          <t>DOVE</t>
        </is>
      </c>
      <c r="F12" s="10" t="n">
        <v>5950</v>
      </c>
      <c r="G12" s="10" t="n">
        <v>491736</v>
      </c>
      <c r="H12" s="10" t="b">
        <v>1</v>
      </c>
      <c r="I12" s="10" t="n">
        <v>340</v>
      </c>
      <c r="J12" s="10" t="n">
        <v>17.5</v>
      </c>
      <c r="K12" s="10" t="inlineStr">
        <is>
          <t>&gt; Perfumería &gt; Cuidado Capilar &gt; Shampoo &gt;</t>
        </is>
      </c>
      <c r="L12" s="10" t="inlineStr">
        <is>
          <t>shampoo</t>
        </is>
      </c>
      <c r="M12" s="10" t="inlineStr">
        <is>
          <t>estandar</t>
        </is>
      </c>
      <c r="N12" s="10" t="inlineStr">
        <is>
          <t>general</t>
        </is>
      </c>
      <c r="O12" s="10" t="inlineStr">
        <is>
          <t>https://www.disco.com.ar/shampoo-sedal-preboticos-340-ml/p</t>
        </is>
      </c>
      <c r="P12" s="12">
        <f>TRIM(CLEAN(PROPER(D12)))</f>
        <v/>
      </c>
      <c r="Q12" s="12">
        <f>PROPER(TRIM(SUBSTITUTE(SUBSTITUTE(SUBSTITUTE(SUBSTITUTE(E12,"TRESEMME","Tresemme"),"HEAD &amp; SHOULDERS","Head &amp; Shoulders"),"ELVIVE","Elvive"),"FRUCTIS","Fructis")))</f>
        <v/>
      </c>
      <c r="R12" s="12">
        <f>COUNTIF($D$2:$D$10000,D12)&gt;1</f>
        <v/>
      </c>
      <c r="S12" s="12">
        <f>IF(H12=TRUE,"Disponible","No disponible")</f>
        <v/>
      </c>
      <c r="T12" s="12">
        <f>IF(AND(ISNUMBER(I12),I12&gt;0),ROUND(F12/I12,2),"Sin volumen")</f>
        <v/>
      </c>
      <c r="U12" s="12">
        <f>IF(F12&lt;5000,"Bajo",IF(F12&lt;15000,"Medio","Alto"))</f>
        <v/>
      </c>
    </row>
    <row r="13">
      <c r="A13" t="inlineStr">
        <is>
          <t>Disco</t>
        </is>
      </c>
      <c r="B13" t="n">
        <v>251381</v>
      </c>
      <c r="C13" t="n">
        <v>250684</v>
      </c>
      <c r="D13" t="inlineStr">
        <is>
          <t>Shampoo Herbal Essences Argan 400ml</t>
        </is>
      </c>
      <c r="E13" t="inlineStr">
        <is>
          <t>HERBAL ESSENCES</t>
        </is>
      </c>
      <c r="F13" t="n">
        <v>17550</v>
      </c>
      <c r="G13" t="n">
        <v>1450413</v>
      </c>
      <c r="H13" t="b">
        <v>1</v>
      </c>
      <c r="I13" t="n">
        <v>400</v>
      </c>
      <c r="J13" t="n">
        <v>43.875</v>
      </c>
      <c r="K13" t="inlineStr">
        <is>
          <t>&gt; Perfumería &gt; Cuidado Capilar &gt; Shampoo &gt;</t>
        </is>
      </c>
      <c r="L13" t="inlineStr">
        <is>
          <t>shampoo</t>
        </is>
      </c>
      <c r="M13" t="inlineStr">
        <is>
          <t>estandar</t>
        </is>
      </c>
      <c r="N13" t="inlineStr">
        <is>
          <t>general</t>
        </is>
      </c>
      <c r="O13" t="inlineStr">
        <is>
          <t>https://www.disco.com.ar/shampoo-herbal-essences-argan-400ml/p</t>
        </is>
      </c>
      <c r="P13">
        <f>TRIM(CLEAN(PROPER(D13)))</f>
        <v/>
      </c>
      <c r="Q13">
        <f>PROPER(TRIM(SUBSTITUTE(SUBSTITUTE(SUBSTITUTE(SUBSTITUTE(E13,"TRESEMME","Tresemme"),"HEAD &amp; SHOULDERS","Head &amp; Shoulders"),"ELVIVE","Elvive"),"FRUCTIS","Fructis")))</f>
        <v/>
      </c>
      <c r="R13">
        <f>COUNTIF($D$2:$D$10000,D13)&gt;1</f>
        <v/>
      </c>
      <c r="S13">
        <f>IF(H13=TRUE,"Disponible","No disponible")</f>
        <v/>
      </c>
      <c r="T13">
        <f>IF(AND(ISNUMBER(I13),I13&gt;0),ROUND(F13/I13,2),"Sin volumen")</f>
        <v/>
      </c>
      <c r="U13">
        <f>IF(F13&lt;5000,"Bajo",IF(F13&lt;15000,"Medio","Alto"))</f>
        <v/>
      </c>
    </row>
    <row r="14">
      <c r="A14" s="10" t="inlineStr">
        <is>
          <t>Disco</t>
        </is>
      </c>
      <c r="B14" s="10" t="n">
        <v>249732</v>
      </c>
      <c r="C14" s="10" t="n">
        <v>246723</v>
      </c>
      <c r="D14" s="10" t="inlineStr">
        <is>
          <t>Shampoo Capilatis Limpieza Prof 420ml</t>
        </is>
      </c>
      <c r="E14" s="10" t="inlineStr">
        <is>
          <t>CAPILATIS</t>
        </is>
      </c>
      <c r="F14" s="10" t="n">
        <v>9750</v>
      </c>
      <c r="G14" s="10" t="n">
        <v>805785</v>
      </c>
      <c r="H14" s="10" t="b">
        <v>1</v>
      </c>
      <c r="I14" s="10" t="n">
        <v>420</v>
      </c>
      <c r="J14" s="10" t="n">
        <v>23.2143</v>
      </c>
      <c r="K14" s="10" t="inlineStr">
        <is>
          <t>&gt; Perfumería &gt; Cuidado Capilar &gt; Shampoo &gt;</t>
        </is>
      </c>
      <c r="L14" s="10" t="inlineStr">
        <is>
          <t>shampoo</t>
        </is>
      </c>
      <c r="M14" s="10" t="inlineStr">
        <is>
          <t>estandar</t>
        </is>
      </c>
      <c r="N14" s="10" t="inlineStr">
        <is>
          <t>general</t>
        </is>
      </c>
      <c r="O14" s="10" t="inlineStr">
        <is>
          <t>https://www.disco.com.ar/shampoo-capilatis-limpieza-prof-420ml/p</t>
        </is>
      </c>
      <c r="P14" s="12">
        <f>TRIM(CLEAN(PROPER(D14)))</f>
        <v/>
      </c>
      <c r="Q14" s="12">
        <f>PROPER(TRIM(SUBSTITUTE(SUBSTITUTE(SUBSTITUTE(SUBSTITUTE(E14,"TRESEMME","Tresemme"),"HEAD &amp; SHOULDERS","Head &amp; Shoulders"),"ELVIVE","Elvive"),"FRUCTIS","Fructis")))</f>
        <v/>
      </c>
      <c r="R14" s="12">
        <f>COUNTIF($D$2:$D$10000,D14)&gt;1</f>
        <v/>
      </c>
      <c r="S14" s="12">
        <f>IF(H14=TRUE,"Disponible","No disponible")</f>
        <v/>
      </c>
      <c r="T14" s="12">
        <f>IF(AND(ISNUMBER(I14),I14&gt;0),ROUND(F14/I14,2),"Sin volumen")</f>
        <v/>
      </c>
      <c r="U14" s="12">
        <f>IF(F14&lt;5000,"Bajo",IF(F14&lt;15000,"Medio","Alto"))</f>
        <v/>
      </c>
    </row>
    <row r="15">
      <c r="A15" t="inlineStr">
        <is>
          <t>Disco</t>
        </is>
      </c>
      <c r="B15" t="n">
        <v>389289</v>
      </c>
      <c r="C15" t="n">
        <v>387395</v>
      </c>
      <c r="D15" t="inlineStr">
        <is>
          <t>Shampoo Ceramidas 190 Ml Sedal</t>
        </is>
      </c>
      <c r="E15" t="inlineStr">
        <is>
          <t>SEDAL</t>
        </is>
      </c>
      <c r="F15" t="n">
        <v>4050</v>
      </c>
      <c r="G15" t="n">
        <v>334711</v>
      </c>
      <c r="H15" t="b">
        <v>1</v>
      </c>
      <c r="I15" t="n">
        <v>190</v>
      </c>
      <c r="J15" t="n">
        <v>21.3158</v>
      </c>
      <c r="K15" t="inlineStr">
        <is>
          <t>&gt; Perfumería &gt; Cuidado Capilar &gt; Shampoo &gt;</t>
        </is>
      </c>
      <c r="L15" t="inlineStr">
        <is>
          <t>shampoo</t>
        </is>
      </c>
      <c r="M15" t="inlineStr">
        <is>
          <t>estandar</t>
        </is>
      </c>
      <c r="N15" t="inlineStr">
        <is>
          <t>general</t>
        </is>
      </c>
      <c r="O15" t="inlineStr">
        <is>
          <t>https://www.disco.com.ar/shampoo-ceramidas-190-ml-sedal/p</t>
        </is>
      </c>
      <c r="P15">
        <f>TRIM(CLEAN(PROPER(D15)))</f>
        <v/>
      </c>
      <c r="Q15">
        <f>PROPER(TRIM(SUBSTITUTE(SUBSTITUTE(SUBSTITUTE(SUBSTITUTE(E15,"TRESEMME","Tresemme"),"HEAD &amp; SHOULDERS","Head &amp; Shoulders"),"ELVIVE","Elvive"),"FRUCTIS","Fructis")))</f>
        <v/>
      </c>
      <c r="R15">
        <f>COUNTIF($D$2:$D$10000,D15)&gt;1</f>
        <v/>
      </c>
      <c r="S15">
        <f>IF(H15=TRUE,"Disponible","No disponible")</f>
        <v/>
      </c>
      <c r="T15">
        <f>IF(AND(ISNUMBER(I15),I15&gt;0),ROUND(F15/I15,2),"Sin volumen")</f>
        <v/>
      </c>
      <c r="U15">
        <f>IF(F15&lt;5000,"Bajo",IF(F15&lt;15000,"Medio","Alto"))</f>
        <v/>
      </c>
    </row>
    <row r="16">
      <c r="A16" s="10" t="inlineStr">
        <is>
          <t>Disco</t>
        </is>
      </c>
      <c r="B16" s="10" t="n">
        <v>3087384</v>
      </c>
      <c r="C16" s="10" t="n">
        <v>3086605</v>
      </c>
      <c r="D16" s="10" t="inlineStr">
        <is>
          <t>Shampoo Dove Humectcoco Antioxi 650ml</t>
        </is>
      </c>
      <c r="E16" s="10" t="inlineStr">
        <is>
          <t>DOVE</t>
        </is>
      </c>
      <c r="F16" s="10" t="n">
        <v>17200</v>
      </c>
      <c r="G16" s="10" t="n">
        <v>1421488</v>
      </c>
      <c r="H16" s="10" t="b">
        <v>1</v>
      </c>
      <c r="I16" s="10" t="n">
        <v>650</v>
      </c>
      <c r="J16" s="10" t="n">
        <v>26.4615</v>
      </c>
      <c r="K16" s="10" t="inlineStr">
        <is>
          <t>&gt; Perfumería &gt; Cuidado Capilar &gt; Shampoo &gt;</t>
        </is>
      </c>
      <c r="L16" s="10" t="inlineStr">
        <is>
          <t>shampoo</t>
        </is>
      </c>
      <c r="M16" s="10" t="inlineStr">
        <is>
          <t>estandar</t>
        </is>
      </c>
      <c r="N16" s="10" t="inlineStr">
        <is>
          <t>general</t>
        </is>
      </c>
      <c r="O16" s="10" t="inlineStr">
        <is>
          <t>https://www.disco.com.ar/shampoo-dove-humectcoco-antioxi-650ml/p</t>
        </is>
      </c>
      <c r="P16" s="12">
        <f>TRIM(CLEAN(PROPER(D16)))</f>
        <v/>
      </c>
      <c r="Q16" s="12">
        <f>PROPER(TRIM(SUBSTITUTE(SUBSTITUTE(SUBSTITUTE(SUBSTITUTE(E16,"TRESEMME","Tresemme"),"HEAD &amp; SHOULDERS","Head &amp; Shoulders"),"ELVIVE","Elvive"),"FRUCTIS","Fructis")))</f>
        <v/>
      </c>
      <c r="R16" s="12">
        <f>COUNTIF($D$2:$D$10000,D16)&gt;1</f>
        <v/>
      </c>
      <c r="S16" s="12">
        <f>IF(H16=TRUE,"Disponible","No disponible")</f>
        <v/>
      </c>
      <c r="T16" s="12">
        <f>IF(AND(ISNUMBER(I16),I16&gt;0),ROUND(F16/I16,2),"Sin volumen")</f>
        <v/>
      </c>
      <c r="U16" s="12">
        <f>IF(F16&lt;5000,"Bajo",IF(F16&lt;15000,"Medio","Alto"))</f>
        <v/>
      </c>
    </row>
    <row r="17">
      <c r="A17" t="inlineStr">
        <is>
          <t>Disco</t>
        </is>
      </c>
      <c r="B17" t="n">
        <v>3079021</v>
      </c>
      <c r="C17" t="n">
        <v>3078345</v>
      </c>
      <c r="D17" t="inlineStr">
        <is>
          <t>Shampoo Herbal Essences Manzanilla 400ml</t>
        </is>
      </c>
      <c r="E17" t="inlineStr">
        <is>
          <t>HERBAL ESSENCES</t>
        </is>
      </c>
      <c r="F17" t="n">
        <v>17550</v>
      </c>
      <c r="G17" t="n">
        <v>1450413</v>
      </c>
      <c r="H17" t="b">
        <v>1</v>
      </c>
      <c r="I17" t="n">
        <v>400</v>
      </c>
      <c r="J17" t="n">
        <v>43.875</v>
      </c>
      <c r="K17" t="inlineStr">
        <is>
          <t>&gt; Perfumería &gt; Cuidado Capilar &gt; Shampoo &gt;</t>
        </is>
      </c>
      <c r="L17" t="inlineStr">
        <is>
          <t>shampoo</t>
        </is>
      </c>
      <c r="M17" t="inlineStr">
        <is>
          <t>estandar</t>
        </is>
      </c>
      <c r="N17" t="inlineStr">
        <is>
          <t>general</t>
        </is>
      </c>
      <c r="O17" t="inlineStr">
        <is>
          <t>https://www.disco.com.ar/shampoo-herbal-essences-manzanilla-400ml/p</t>
        </is>
      </c>
      <c r="P17">
        <f>TRIM(CLEAN(PROPER(D17)))</f>
        <v/>
      </c>
      <c r="Q17">
        <f>PROPER(TRIM(SUBSTITUTE(SUBSTITUTE(SUBSTITUTE(SUBSTITUTE(E17,"TRESEMME","Tresemme"),"HEAD &amp; SHOULDERS","Head &amp; Shoulders"),"ELVIVE","Elvive"),"FRUCTIS","Fructis")))</f>
        <v/>
      </c>
      <c r="R17">
        <f>COUNTIF($D$2:$D$10000,D17)&gt;1</f>
        <v/>
      </c>
      <c r="S17">
        <f>IF(H17=TRUE,"Disponible","No disponible")</f>
        <v/>
      </c>
      <c r="T17">
        <f>IF(AND(ISNUMBER(I17),I17&gt;0),ROUND(F17/I17,2),"Sin volumen")</f>
        <v/>
      </c>
      <c r="U17">
        <f>IF(F17&lt;5000,"Bajo",IF(F17&lt;15000,"Medio","Alto"))</f>
        <v/>
      </c>
    </row>
    <row r="18">
      <c r="A18" s="10" t="inlineStr">
        <is>
          <t>Disco</t>
        </is>
      </c>
      <c r="B18" s="10" t="n">
        <v>251368</v>
      </c>
      <c r="C18" s="10" t="n">
        <v>250669</v>
      </c>
      <c r="D18" s="10" t="inlineStr">
        <is>
          <t>Shampoo Herbal Essences Coconut 400ml</t>
        </is>
      </c>
      <c r="E18" s="10" t="inlineStr">
        <is>
          <t>HERBAL ESSENCES</t>
        </is>
      </c>
      <c r="F18" s="10" t="n">
        <v>17550</v>
      </c>
      <c r="G18" s="10" t="n">
        <v>1450413</v>
      </c>
      <c r="H18" s="10" t="b">
        <v>1</v>
      </c>
      <c r="I18" s="10" t="n">
        <v>400</v>
      </c>
      <c r="J18" s="10" t="n">
        <v>43.875</v>
      </c>
      <c r="K18" s="10" t="inlineStr">
        <is>
          <t>&gt; Perfumería &gt; Cuidado Capilar &gt; Shampoo &gt;</t>
        </is>
      </c>
      <c r="L18" s="10" t="inlineStr">
        <is>
          <t>shampoo</t>
        </is>
      </c>
      <c r="M18" s="10" t="inlineStr">
        <is>
          <t>estandar</t>
        </is>
      </c>
      <c r="N18" s="10" t="inlineStr">
        <is>
          <t>general</t>
        </is>
      </c>
      <c r="O18" s="10" t="inlineStr">
        <is>
          <t>https://www.disco.com.ar/shampoo-herbal-essences-coconut-400ml/p</t>
        </is>
      </c>
      <c r="P18" s="12">
        <f>TRIM(CLEAN(PROPER(D18)))</f>
        <v/>
      </c>
      <c r="Q18" s="12">
        <f>PROPER(TRIM(SUBSTITUTE(SUBSTITUTE(SUBSTITUTE(SUBSTITUTE(E18,"TRESEMME","Tresemme"),"HEAD &amp; SHOULDERS","Head &amp; Shoulders"),"ELVIVE","Elvive"),"FRUCTIS","Fructis")))</f>
        <v/>
      </c>
      <c r="R18" s="12">
        <f>COUNTIF($D$2:$D$10000,D18)&gt;1</f>
        <v/>
      </c>
      <c r="S18" s="12">
        <f>IF(H18=TRUE,"Disponible","No disponible")</f>
        <v/>
      </c>
      <c r="T18" s="12">
        <f>IF(AND(ISNUMBER(I18),I18&gt;0),ROUND(F18/I18,2),"Sin volumen")</f>
        <v/>
      </c>
      <c r="U18" s="12">
        <f>IF(F18&lt;5000,"Bajo",IF(F18&lt;15000,"Medio","Alto"))</f>
        <v/>
      </c>
    </row>
    <row r="19">
      <c r="A19" t="inlineStr">
        <is>
          <t>Disco</t>
        </is>
      </c>
      <c r="B19" t="n">
        <v>396886</v>
      </c>
      <c r="C19" t="n">
        <v>394642</v>
      </c>
      <c r="D19" t="inlineStr">
        <is>
          <t>Shampoo Dove Reconstrucción Completa 400 Ml</t>
        </is>
      </c>
      <c r="E19" t="inlineStr">
        <is>
          <t>DOVE</t>
        </is>
      </c>
      <c r="F19" t="n">
        <v>9150</v>
      </c>
      <c r="G19" t="n">
        <v>756198</v>
      </c>
      <c r="H19" t="b">
        <v>1</v>
      </c>
      <c r="I19" t="n">
        <v>400</v>
      </c>
      <c r="J19" t="n">
        <v>22.875</v>
      </c>
      <c r="K19" t="inlineStr">
        <is>
          <t>&gt; Perfumería &gt; Cuidado Capilar &gt; Shampoo &gt;</t>
        </is>
      </c>
      <c r="L19" t="inlineStr">
        <is>
          <t>shampoo</t>
        </is>
      </c>
      <c r="M19" t="inlineStr">
        <is>
          <t>estandar</t>
        </is>
      </c>
      <c r="N19" t="inlineStr">
        <is>
          <t>general</t>
        </is>
      </c>
      <c r="O19" t="inlineStr">
        <is>
          <t>https://www.disco.com.ar/shampoo-dove-reconstruccion-completa-400-ml-4/p</t>
        </is>
      </c>
      <c r="P19">
        <f>TRIM(CLEAN(PROPER(D19)))</f>
        <v/>
      </c>
      <c r="Q19">
        <f>PROPER(TRIM(SUBSTITUTE(SUBSTITUTE(SUBSTITUTE(SUBSTITUTE(E19,"TRESEMME","Tresemme"),"HEAD &amp; SHOULDERS","Head &amp; Shoulders"),"ELVIVE","Elvive"),"FRUCTIS","Fructis")))</f>
        <v/>
      </c>
      <c r="R19">
        <f>COUNTIF($D$2:$D$10000,D19)&gt;1</f>
        <v/>
      </c>
      <c r="S19">
        <f>IF(H19=TRUE,"Disponible","No disponible")</f>
        <v/>
      </c>
      <c r="T19">
        <f>IF(AND(ISNUMBER(I19),I19&gt;0),ROUND(F19/I19,2),"Sin volumen")</f>
        <v/>
      </c>
      <c r="U19">
        <f>IF(F19&lt;5000,"Bajo",IF(F19&lt;15000,"Medio","Alto"))</f>
        <v/>
      </c>
    </row>
    <row r="20">
      <c r="A20" s="10" t="inlineStr">
        <is>
          <t>Disco</t>
        </is>
      </c>
      <c r="B20" s="10" t="n">
        <v>393556</v>
      </c>
      <c r="C20" s="10" t="n">
        <v>391584</v>
      </c>
      <c r="D20" s="10" t="inlineStr">
        <is>
          <t>Shampoo Dove Regeneración Extrema 400 Ml</t>
        </is>
      </c>
      <c r="E20" s="10" t="inlineStr">
        <is>
          <t>DOVE</t>
        </is>
      </c>
      <c r="F20" s="10" t="n">
        <v>9150</v>
      </c>
      <c r="G20" s="10" t="n">
        <v>756198</v>
      </c>
      <c r="H20" s="10" t="b">
        <v>1</v>
      </c>
      <c r="I20" s="10" t="n">
        <v>400</v>
      </c>
      <c r="J20" s="10" t="n">
        <v>22.875</v>
      </c>
      <c r="K20" s="10" t="inlineStr">
        <is>
          <t>&gt; Perfumería &gt; Cuidado Capilar &gt; Shampoo &gt;</t>
        </is>
      </c>
      <c r="L20" s="10" t="inlineStr">
        <is>
          <t>shampoo</t>
        </is>
      </c>
      <c r="M20" s="10" t="inlineStr">
        <is>
          <t>estandar</t>
        </is>
      </c>
      <c r="N20" s="10" t="inlineStr">
        <is>
          <t>general</t>
        </is>
      </c>
      <c r="O20" s="10" t="inlineStr">
        <is>
          <t>https://www.disco.com.ar/shampoo-dove-regeneracion-extrema-400-ml-3/p</t>
        </is>
      </c>
      <c r="P20" s="12">
        <f>TRIM(CLEAN(PROPER(D20)))</f>
        <v/>
      </c>
      <c r="Q20" s="12">
        <f>PROPER(TRIM(SUBSTITUTE(SUBSTITUTE(SUBSTITUTE(SUBSTITUTE(E20,"TRESEMME","Tresemme"),"HEAD &amp; SHOULDERS","Head &amp; Shoulders"),"ELVIVE","Elvive"),"FRUCTIS","Fructis")))</f>
        <v/>
      </c>
      <c r="R20" s="12">
        <f>COUNTIF($D$2:$D$10000,D20)&gt;1</f>
        <v/>
      </c>
      <c r="S20" s="12">
        <f>IF(H20=TRUE,"Disponible","No disponible")</f>
        <v/>
      </c>
      <c r="T20" s="12">
        <f>IF(AND(ISNUMBER(I20),I20&gt;0),ROUND(F20/I20,2),"Sin volumen")</f>
        <v/>
      </c>
      <c r="U20" s="12">
        <f>IF(F20&lt;5000,"Bajo",IF(F20&lt;15000,"Medio","Alto"))</f>
        <v/>
      </c>
    </row>
    <row r="21">
      <c r="A21" t="inlineStr">
        <is>
          <t>Disco</t>
        </is>
      </c>
      <c r="B21" t="n">
        <v>3070279</v>
      </c>
      <c r="C21" t="n">
        <v>3069872</v>
      </c>
      <c r="D21" t="inlineStr">
        <is>
          <t>Shampoo Keratina Antifrizz 500 Ml Tresemmé</t>
        </is>
      </c>
      <c r="E21" t="inlineStr">
        <is>
          <t>TRESEMMÉ</t>
        </is>
      </c>
      <c r="F21" t="n">
        <v>10750</v>
      </c>
      <c r="G21" t="n">
        <v>888430</v>
      </c>
      <c r="H21" t="b">
        <v>1</v>
      </c>
      <c r="I21" t="n">
        <v>500</v>
      </c>
      <c r="J21" t="n">
        <v>21.5</v>
      </c>
      <c r="K21" t="inlineStr">
        <is>
          <t>&gt; Perfumería &gt; Cuidado Capilar &gt; Shampoo &gt;</t>
        </is>
      </c>
      <c r="L21" t="inlineStr">
        <is>
          <t>shampoo</t>
        </is>
      </c>
      <c r="M21" t="inlineStr">
        <is>
          <t>estandar</t>
        </is>
      </c>
      <c r="N21" t="inlineStr">
        <is>
          <t>tratado</t>
        </is>
      </c>
      <c r="O21" t="inlineStr">
        <is>
          <t>https://www.disco.com.ar/shampoo-keratina-antifrizz-x-500-ml-tresemme/p</t>
        </is>
      </c>
      <c r="P21">
        <f>TRIM(CLEAN(PROPER(D21)))</f>
        <v/>
      </c>
      <c r="Q21">
        <f>PROPER(TRIM(SUBSTITUTE(SUBSTITUTE(SUBSTITUTE(SUBSTITUTE(E21,"TRESEMME","Tresemme"),"HEAD &amp; SHOULDERS","Head &amp; Shoulders"),"ELVIVE","Elvive"),"FRUCTIS","Fructis")))</f>
        <v/>
      </c>
      <c r="R21">
        <f>COUNTIF($D$2:$D$10000,D21)&gt;1</f>
        <v/>
      </c>
      <c r="S21">
        <f>IF(H21=TRUE,"Disponible","No disponible")</f>
        <v/>
      </c>
      <c r="T21">
        <f>IF(AND(ISNUMBER(I21),I21&gt;0),ROUND(F21/I21,2),"Sin volumen")</f>
        <v/>
      </c>
      <c r="U21">
        <f>IF(F21&lt;5000,"Bajo",IF(F21&lt;15000,"Medio","Alto"))</f>
        <v/>
      </c>
    </row>
    <row r="22">
      <c r="A22" s="10" t="inlineStr">
        <is>
          <t>Disco</t>
        </is>
      </c>
      <c r="B22" s="10" t="n">
        <v>394212</v>
      </c>
      <c r="C22" s="10" t="n">
        <v>392218</v>
      </c>
      <c r="D22" s="10" t="inlineStr">
        <is>
          <t>Shampoo Dove óleo Nutrición 400 Ml</t>
        </is>
      </c>
      <c r="E22" s="10" t="inlineStr">
        <is>
          <t>DOVE</t>
        </is>
      </c>
      <c r="F22" s="10" t="n">
        <v>9150</v>
      </c>
      <c r="G22" s="10" t="n">
        <v>756198</v>
      </c>
      <c r="H22" s="10" t="b">
        <v>1</v>
      </c>
      <c r="I22" s="10" t="n">
        <v>400</v>
      </c>
      <c r="J22" s="10" t="n">
        <v>22.875</v>
      </c>
      <c r="K22" s="10" t="inlineStr">
        <is>
          <t>&gt; Perfumería &gt; Cuidado Capilar &gt; Shampoo &gt;</t>
        </is>
      </c>
      <c r="L22" s="10" t="inlineStr">
        <is>
          <t>shampoo</t>
        </is>
      </c>
      <c r="M22" s="10" t="inlineStr">
        <is>
          <t>estandar</t>
        </is>
      </c>
      <c r="N22" s="10" t="inlineStr">
        <is>
          <t>general</t>
        </is>
      </c>
      <c r="O22" s="10" t="inlineStr">
        <is>
          <t>https://www.disco.com.ar/shampoo-dove-oleo-nutricion-400-ml-3/p</t>
        </is>
      </c>
      <c r="P22" s="12">
        <f>TRIM(CLEAN(PROPER(D22)))</f>
        <v/>
      </c>
      <c r="Q22" s="12">
        <f>PROPER(TRIM(SUBSTITUTE(SUBSTITUTE(SUBSTITUTE(SUBSTITUTE(E22,"TRESEMME","Tresemme"),"HEAD &amp; SHOULDERS","Head &amp; Shoulders"),"ELVIVE","Elvive"),"FRUCTIS","Fructis")))</f>
        <v/>
      </c>
      <c r="R22" s="12">
        <f>COUNTIF($D$2:$D$10000,D22)&gt;1</f>
        <v/>
      </c>
      <c r="S22" s="12">
        <f>IF(H22=TRUE,"Disponible","No disponible")</f>
        <v/>
      </c>
      <c r="T22" s="12">
        <f>IF(AND(ISNUMBER(I22),I22&gt;0),ROUND(F22/I22,2),"Sin volumen")</f>
        <v/>
      </c>
      <c r="U22" s="12">
        <f>IF(F22&lt;5000,"Bajo",IF(F22&lt;15000,"Medio","Alto"))</f>
        <v/>
      </c>
    </row>
    <row r="23">
      <c r="A23" t="inlineStr">
        <is>
          <t>Disco</t>
        </is>
      </c>
      <c r="B23" t="n">
        <v>3067580</v>
      </c>
      <c r="C23" t="n">
        <v>3067444</v>
      </c>
      <c r="D23" t="inlineStr">
        <is>
          <t>Shampoo Luminous UV 340 Ml Sedal</t>
        </is>
      </c>
      <c r="E23" t="inlineStr">
        <is>
          <t>SEDAL</t>
        </is>
      </c>
      <c r="F23" t="n">
        <v>5469</v>
      </c>
      <c r="G23" t="n">
        <v>451983</v>
      </c>
      <c r="H23" t="b">
        <v>1</v>
      </c>
      <c r="I23" t="n">
        <v>340</v>
      </c>
      <c r="J23" t="n">
        <v>16.0853</v>
      </c>
      <c r="K23" t="inlineStr">
        <is>
          <t>&gt; Perfumería &gt; Cuidado Capilar &gt; Shampoo &gt;</t>
        </is>
      </c>
      <c r="L23" t="inlineStr">
        <is>
          <t>shampoo</t>
        </is>
      </c>
      <c r="M23" t="inlineStr">
        <is>
          <t>estandar</t>
        </is>
      </c>
      <c r="N23" t="inlineStr">
        <is>
          <t>general</t>
        </is>
      </c>
      <c r="O23" t="inlineStr">
        <is>
          <t>https://www.disco.com.ar/shampoo-luminous-uv-x-340-ml-sedal-2/p</t>
        </is>
      </c>
      <c r="P23">
        <f>TRIM(CLEAN(PROPER(D23)))</f>
        <v/>
      </c>
      <c r="Q23">
        <f>PROPER(TRIM(SUBSTITUTE(SUBSTITUTE(SUBSTITUTE(SUBSTITUTE(E23,"TRESEMME","Tresemme"),"HEAD &amp; SHOULDERS","Head &amp; Shoulders"),"ELVIVE","Elvive"),"FRUCTIS","Fructis")))</f>
        <v/>
      </c>
      <c r="R23">
        <f>COUNTIF($D$2:$D$10000,D23)&gt;1</f>
        <v/>
      </c>
      <c r="S23">
        <f>IF(H23=TRUE,"Disponible","No disponible")</f>
        <v/>
      </c>
      <c r="T23">
        <f>IF(AND(ISNUMBER(I23),I23&gt;0),ROUND(F23/I23,2),"Sin volumen")</f>
        <v/>
      </c>
      <c r="U23">
        <f>IF(F23&lt;5000,"Bajo",IF(F23&lt;15000,"Medio","Alto"))</f>
        <v/>
      </c>
    </row>
    <row r="24">
      <c r="A24" s="10" t="inlineStr">
        <is>
          <t>Disco</t>
        </is>
      </c>
      <c r="B24" s="10" t="n">
        <v>384331</v>
      </c>
      <c r="C24" s="10" t="n">
        <v>383820</v>
      </c>
      <c r="D24" s="10" t="inlineStr">
        <is>
          <t>Shampoo Largo Saludable 970 Ml Plusbelle</t>
        </is>
      </c>
      <c r="E24" s="10" t="inlineStr">
        <is>
          <t>PLUSBELLE</t>
        </is>
      </c>
      <c r="F24" s="10" t="n">
        <v>6500</v>
      </c>
      <c r="G24" s="10" t="n">
        <v>537190</v>
      </c>
      <c r="H24" s="10" t="b">
        <v>1</v>
      </c>
      <c r="I24" s="10" t="n">
        <v>970</v>
      </c>
      <c r="J24" s="10" t="n">
        <v>6.701</v>
      </c>
      <c r="K24" s="10" t="inlineStr">
        <is>
          <t>&gt; Perfumería &gt; Cuidado Capilar &gt; Shampoo &gt;</t>
        </is>
      </c>
      <c r="L24" s="10" t="inlineStr">
        <is>
          <t>shampoo</t>
        </is>
      </c>
      <c r="M24" s="10" t="inlineStr">
        <is>
          <t>estandar</t>
        </is>
      </c>
      <c r="N24" s="10" t="inlineStr">
        <is>
          <t>general</t>
        </is>
      </c>
      <c r="O24" s="10" t="inlineStr">
        <is>
          <t>https://www.disco.com.ar/shampoo-esencia-largo-salud-970-ml-plusbelle/p</t>
        </is>
      </c>
      <c r="P24" s="12">
        <f>TRIM(CLEAN(PROPER(D24)))</f>
        <v/>
      </c>
      <c r="Q24" s="12">
        <f>PROPER(TRIM(SUBSTITUTE(SUBSTITUTE(SUBSTITUTE(SUBSTITUTE(E24,"TRESEMME","Tresemme"),"HEAD &amp; SHOULDERS","Head &amp; Shoulders"),"ELVIVE","Elvive"),"FRUCTIS","Fructis")))</f>
        <v/>
      </c>
      <c r="R24" s="12">
        <f>COUNTIF($D$2:$D$10000,D24)&gt;1</f>
        <v/>
      </c>
      <c r="S24" s="12">
        <f>IF(H24=TRUE,"Disponible","No disponible")</f>
        <v/>
      </c>
      <c r="T24" s="12">
        <f>IF(AND(ISNUMBER(I24),I24&gt;0),ROUND(F24/I24,2),"Sin volumen")</f>
        <v/>
      </c>
      <c r="U24" s="12">
        <f>IF(F24&lt;5000,"Bajo",IF(F24&lt;15000,"Medio","Alto"))</f>
        <v/>
      </c>
    </row>
    <row r="25">
      <c r="A25" t="inlineStr">
        <is>
          <t>Disco</t>
        </is>
      </c>
      <c r="B25" t="n">
        <v>119620</v>
      </c>
      <c r="C25" t="n">
        <v>118648</v>
      </c>
      <c r="D25" t="inlineStr">
        <is>
          <t>Shampoo Bebé Original 750 Ml Johnson's</t>
        </is>
      </c>
      <c r="E25" t="inlineStr">
        <is>
          <t>JOHNSON BABY</t>
        </is>
      </c>
      <c r="F25" t="n">
        <v>20900</v>
      </c>
      <c r="G25" t="n">
        <v>1727273</v>
      </c>
      <c r="H25" t="b">
        <v>1</v>
      </c>
      <c r="I25" t="n">
        <v>750</v>
      </c>
      <c r="J25" t="n">
        <v>27.8667</v>
      </c>
      <c r="K25" t="inlineStr">
        <is>
          <t>&gt; Mundo Bebe &gt; Higiene para el Bebe &gt; Higiene del Bebé &gt;</t>
        </is>
      </c>
      <c r="L25" t="inlineStr">
        <is>
          <t>shampoo</t>
        </is>
      </c>
      <c r="M25" t="inlineStr">
        <is>
          <t>estandar</t>
        </is>
      </c>
      <c r="N25" t="inlineStr">
        <is>
          <t>bebe</t>
        </is>
      </c>
      <c r="O25" t="inlineStr">
        <is>
          <t>https://www.disco.com.ar/toallas-femeninas-con-alas-siempre-libre-especial-x-16-un/p</t>
        </is>
      </c>
      <c r="P25">
        <f>TRIM(CLEAN(PROPER(D25)))</f>
        <v/>
      </c>
      <c r="Q25">
        <f>PROPER(TRIM(SUBSTITUTE(SUBSTITUTE(SUBSTITUTE(SUBSTITUTE(E25,"TRESEMME","Tresemme"),"HEAD &amp; SHOULDERS","Head &amp; Shoulders"),"ELVIVE","Elvive"),"FRUCTIS","Fructis")))</f>
        <v/>
      </c>
      <c r="R25">
        <f>COUNTIF($D$2:$D$10000,D25)&gt;1</f>
        <v/>
      </c>
      <c r="S25">
        <f>IF(H25=TRUE,"Disponible","No disponible")</f>
        <v/>
      </c>
      <c r="T25">
        <f>IF(AND(ISNUMBER(I25),I25&gt;0),ROUND(F25/I25,2),"Sin volumen")</f>
        <v/>
      </c>
      <c r="U25">
        <f>IF(F25&lt;5000,"Bajo",IF(F25&lt;15000,"Medio","Alto"))</f>
        <v/>
      </c>
    </row>
    <row r="26">
      <c r="A26" s="10" t="inlineStr">
        <is>
          <t>Disco</t>
        </is>
      </c>
      <c r="B26" s="10" t="n">
        <v>389290</v>
      </c>
      <c r="C26" s="10" t="n">
        <v>387396</v>
      </c>
      <c r="D26" s="10" t="inlineStr">
        <is>
          <t>Shampoo Sedal Ceramidas Botella 340 Ml</t>
        </is>
      </c>
      <c r="E26" s="10" t="inlineStr">
        <is>
          <t>SEDAL</t>
        </is>
      </c>
      <c r="F26" s="10" t="n">
        <v>5466</v>
      </c>
      <c r="G26" s="10" t="n">
        <v>451736</v>
      </c>
      <c r="H26" s="10" t="b">
        <v>1</v>
      </c>
      <c r="I26" s="10" t="n">
        <v>340</v>
      </c>
      <c r="J26" s="10" t="n">
        <v>16.0765</v>
      </c>
      <c r="K26" s="10" t="inlineStr">
        <is>
          <t>&gt; Perfumería &gt; Cuidado Capilar &gt; Shampoo &gt;</t>
        </is>
      </c>
      <c r="L26" s="10" t="inlineStr">
        <is>
          <t>shampoo</t>
        </is>
      </c>
      <c r="M26" s="10" t="inlineStr">
        <is>
          <t>estandar</t>
        </is>
      </c>
      <c r="N26" s="10" t="inlineStr">
        <is>
          <t>general</t>
        </is>
      </c>
      <c r="O26" s="10" t="inlineStr">
        <is>
          <t>https://www.disco.com.ar/shampoo-sedal-ceramidas-botella-340-ml-2/p</t>
        </is>
      </c>
      <c r="P26" s="12">
        <f>TRIM(CLEAN(PROPER(D26)))</f>
        <v/>
      </c>
      <c r="Q26" s="12">
        <f>PROPER(TRIM(SUBSTITUTE(SUBSTITUTE(SUBSTITUTE(SUBSTITUTE(E26,"TRESEMME","Tresemme"),"HEAD &amp; SHOULDERS","Head &amp; Shoulders"),"ELVIVE","Elvive"),"FRUCTIS","Fructis")))</f>
        <v/>
      </c>
      <c r="R26" s="12">
        <f>COUNTIF($D$2:$D$10000,D26)&gt;1</f>
        <v/>
      </c>
      <c r="S26" s="12">
        <f>IF(H26=TRUE,"Disponible","No disponible")</f>
        <v/>
      </c>
      <c r="T26" s="12">
        <f>IF(AND(ISNUMBER(I26),I26&gt;0),ROUND(F26/I26,2),"Sin volumen")</f>
        <v/>
      </c>
      <c r="U26" s="12">
        <f>IF(F26&lt;5000,"Bajo",IF(F26&lt;15000,"Medio","Alto"))</f>
        <v/>
      </c>
    </row>
    <row r="27">
      <c r="A27" t="inlineStr">
        <is>
          <t>Disco</t>
        </is>
      </c>
      <c r="B27" t="n">
        <v>396882</v>
      </c>
      <c r="C27" t="n">
        <v>394638</v>
      </c>
      <c r="D27" t="inlineStr">
        <is>
          <t>Shampoo Crema Balance 340 Ml Sedal</t>
        </is>
      </c>
      <c r="E27" t="inlineStr">
        <is>
          <t>SEDAL</t>
        </is>
      </c>
      <c r="F27" t="n">
        <v>5466</v>
      </c>
      <c r="G27" t="n">
        <v>451736</v>
      </c>
      <c r="H27" t="b">
        <v>1</v>
      </c>
      <c r="I27" t="n">
        <v>340</v>
      </c>
      <c r="J27" t="n">
        <v>16.0765</v>
      </c>
      <c r="K27" t="inlineStr">
        <is>
          <t>&gt; Perfumería &gt; Cuidado Capilar &gt; Shampoo &gt;</t>
        </is>
      </c>
      <c r="L27" t="inlineStr">
        <is>
          <t>shampoo</t>
        </is>
      </c>
      <c r="M27" t="inlineStr">
        <is>
          <t>estandar</t>
        </is>
      </c>
      <c r="N27" t="inlineStr">
        <is>
          <t>general</t>
        </is>
      </c>
      <c r="O27" t="inlineStr">
        <is>
          <t>https://www.disco.com.ar/shampoo-crema-balance-340-ml-sedal/p</t>
        </is>
      </c>
      <c r="P27">
        <f>TRIM(CLEAN(PROPER(D27)))</f>
        <v/>
      </c>
      <c r="Q27">
        <f>PROPER(TRIM(SUBSTITUTE(SUBSTITUTE(SUBSTITUTE(SUBSTITUTE(E27,"TRESEMME","Tresemme"),"HEAD &amp; SHOULDERS","Head &amp; Shoulders"),"ELVIVE","Elvive"),"FRUCTIS","Fructis")))</f>
        <v/>
      </c>
      <c r="R27">
        <f>COUNTIF($D$2:$D$10000,D27)&gt;1</f>
        <v/>
      </c>
      <c r="S27">
        <f>IF(H27=TRUE,"Disponible","No disponible")</f>
        <v/>
      </c>
      <c r="T27">
        <f>IF(AND(ISNUMBER(I27),I27&gt;0),ROUND(F27/I27,2),"Sin volumen")</f>
        <v/>
      </c>
      <c r="U27">
        <f>IF(F27&lt;5000,"Bajo",IF(F27&lt;15000,"Medio","Alto"))</f>
        <v/>
      </c>
    </row>
    <row r="28">
      <c r="A28" s="10" t="inlineStr">
        <is>
          <t>Disco</t>
        </is>
      </c>
      <c r="B28" s="10" t="n">
        <v>3070283</v>
      </c>
      <c r="C28" s="10" t="n">
        <v>3069876</v>
      </c>
      <c r="D28" s="10" t="inlineStr">
        <is>
          <t>Shampoo Ondas Boho 500 Ml Tresemmé</t>
        </is>
      </c>
      <c r="E28" s="10" t="inlineStr">
        <is>
          <t>TRESEMMÉ</t>
        </is>
      </c>
      <c r="F28" s="10" t="n">
        <v>10750</v>
      </c>
      <c r="G28" s="10" t="n">
        <v>888430</v>
      </c>
      <c r="H28" s="10" t="b">
        <v>1</v>
      </c>
      <c r="I28" s="10" t="n">
        <v>500</v>
      </c>
      <c r="J28" s="10" t="n">
        <v>21.5</v>
      </c>
      <c r="K28" s="10" t="inlineStr">
        <is>
          <t>&gt; Perfumería &gt; Cuidado Capilar &gt; Shampoo &gt;</t>
        </is>
      </c>
      <c r="L28" s="10" t="inlineStr">
        <is>
          <t>shampoo</t>
        </is>
      </c>
      <c r="M28" s="10" t="inlineStr">
        <is>
          <t>estandar</t>
        </is>
      </c>
      <c r="N28" s="10" t="inlineStr">
        <is>
          <t>general</t>
        </is>
      </c>
      <c r="O28" s="10" t="inlineStr">
        <is>
          <t>https://www.disco.com.ar/shampoo-ondas-boho-x-500-ml-tresemme/p</t>
        </is>
      </c>
      <c r="P28" s="12">
        <f>TRIM(CLEAN(PROPER(D28)))</f>
        <v/>
      </c>
      <c r="Q28" s="12">
        <f>PROPER(TRIM(SUBSTITUTE(SUBSTITUTE(SUBSTITUTE(SUBSTITUTE(E28,"TRESEMME","Tresemme"),"HEAD &amp; SHOULDERS","Head &amp; Shoulders"),"ELVIVE","Elvive"),"FRUCTIS","Fructis")))</f>
        <v/>
      </c>
      <c r="R28" s="12">
        <f>COUNTIF($D$2:$D$10000,D28)&gt;1</f>
        <v/>
      </c>
      <c r="S28" s="12">
        <f>IF(H28=TRUE,"Disponible","No disponible")</f>
        <v/>
      </c>
      <c r="T28" s="12">
        <f>IF(AND(ISNUMBER(I28),I28&gt;0),ROUND(F28/I28,2),"Sin volumen")</f>
        <v/>
      </c>
      <c r="U28" s="12">
        <f>IF(F28&lt;5000,"Bajo",IF(F28&lt;15000,"Medio","Alto"))</f>
        <v/>
      </c>
    </row>
    <row r="29">
      <c r="A29" t="inlineStr">
        <is>
          <t>Disco</t>
        </is>
      </c>
      <c r="B29" t="n">
        <v>397624</v>
      </c>
      <c r="C29" t="n">
        <v>395357</v>
      </c>
      <c r="D29" t="inlineStr">
        <is>
          <t>Shampoo Hialurónico Pure 200 Ml Elvive</t>
        </is>
      </c>
      <c r="E29" t="inlineStr">
        <is>
          <t>ELVIVE</t>
        </is>
      </c>
      <c r="F29" t="n">
        <v>7650</v>
      </c>
      <c r="G29" t="n">
        <v>632231</v>
      </c>
      <c r="H29" t="b">
        <v>1</v>
      </c>
      <c r="I29" t="n">
        <v>200</v>
      </c>
      <c r="J29" t="n">
        <v>38.25</v>
      </c>
      <c r="K29" t="inlineStr">
        <is>
          <t>&gt; Perfumería &gt; Cuidado Capilar &gt; Shampoo &gt;</t>
        </is>
      </c>
      <c r="L29" t="inlineStr">
        <is>
          <t>shampoo</t>
        </is>
      </c>
      <c r="M29" t="inlineStr">
        <is>
          <t>profesional</t>
        </is>
      </c>
      <c r="N29" t="inlineStr">
        <is>
          <t>general</t>
        </is>
      </c>
      <c r="O29" t="inlineStr">
        <is>
          <t>https://www.disco.com.ar/shampoo-elvive-hialuronico-pure-200ml/p</t>
        </is>
      </c>
      <c r="P29">
        <f>TRIM(CLEAN(PROPER(D29)))</f>
        <v/>
      </c>
      <c r="Q29">
        <f>PROPER(TRIM(SUBSTITUTE(SUBSTITUTE(SUBSTITUTE(SUBSTITUTE(E29,"TRESEMME","Tresemme"),"HEAD &amp; SHOULDERS","Head &amp; Shoulders"),"ELVIVE","Elvive"),"FRUCTIS","Fructis")))</f>
        <v/>
      </c>
      <c r="R29">
        <f>COUNTIF($D$2:$D$10000,D29)&gt;1</f>
        <v/>
      </c>
      <c r="S29">
        <f>IF(H29=TRUE,"Disponible","No disponible")</f>
        <v/>
      </c>
      <c r="T29">
        <f>IF(AND(ISNUMBER(I29),I29&gt;0),ROUND(F29/I29,2),"Sin volumen")</f>
        <v/>
      </c>
      <c r="U29">
        <f>IF(F29&lt;5000,"Bajo",IF(F29&lt;15000,"Medio","Alto"))</f>
        <v/>
      </c>
    </row>
    <row r="30">
      <c r="A30" s="10" t="inlineStr">
        <is>
          <t>Disco</t>
        </is>
      </c>
      <c r="B30" s="10" t="n">
        <v>393563</v>
      </c>
      <c r="C30" s="10" t="n">
        <v>391591</v>
      </c>
      <c r="D30" s="10" t="inlineStr">
        <is>
          <t>Shampoo Reconstrucción Completa 200 Cc Dove</t>
        </is>
      </c>
      <c r="E30" s="10" t="inlineStr">
        <is>
          <t>DOVE</t>
        </is>
      </c>
      <c r="F30" s="10" t="n">
        <v>6150</v>
      </c>
      <c r="G30" s="10" t="n">
        <v>508264</v>
      </c>
      <c r="H30" s="10" t="b">
        <v>1</v>
      </c>
      <c r="I30" s="10" t="inlineStr"/>
      <c r="J30" s="10" t="inlineStr"/>
      <c r="K30" s="10" t="inlineStr">
        <is>
          <t>&gt; Perfumería &gt; Cuidado Capilar &gt; Shampoo &gt;</t>
        </is>
      </c>
      <c r="L30" s="10" t="inlineStr">
        <is>
          <t>shampoo</t>
        </is>
      </c>
      <c r="M30" s="10" t="inlineStr">
        <is>
          <t>estandar</t>
        </is>
      </c>
      <c r="N30" s="10" t="inlineStr">
        <is>
          <t>general</t>
        </is>
      </c>
      <c r="O30" s="10" t="inlineStr">
        <is>
          <t>https://www.disco.com.ar/shampoo-dove-reconstruccion-completa-200cc/p</t>
        </is>
      </c>
      <c r="P30" s="12">
        <f>TRIM(CLEAN(PROPER(D30)))</f>
        <v/>
      </c>
      <c r="Q30" s="12">
        <f>PROPER(TRIM(SUBSTITUTE(SUBSTITUTE(SUBSTITUTE(SUBSTITUTE(E30,"TRESEMME","Tresemme"),"HEAD &amp; SHOULDERS","Head &amp; Shoulders"),"ELVIVE","Elvive"),"FRUCTIS","Fructis")))</f>
        <v/>
      </c>
      <c r="R30" s="12">
        <f>COUNTIF($D$2:$D$10000,D30)&gt;1</f>
        <v/>
      </c>
      <c r="S30" s="12">
        <f>IF(H30=TRUE,"Disponible","No disponible")</f>
        <v/>
      </c>
      <c r="T30" s="12">
        <f>IF(AND(ISNUMBER(I30),I30&gt;0),ROUND(F30/I30,2),"Sin volumen")</f>
        <v/>
      </c>
      <c r="U30" s="12">
        <f>IF(F30&lt;5000,"Bajo",IF(F30&lt;15000,"Medio","Alto"))</f>
        <v/>
      </c>
    </row>
    <row r="31">
      <c r="A31" t="inlineStr">
        <is>
          <t>Disco</t>
        </is>
      </c>
      <c r="B31" t="n">
        <v>384328</v>
      </c>
      <c r="C31" t="n">
        <v>383817</v>
      </c>
      <c r="D31" t="inlineStr">
        <is>
          <t>Shampoo Esencia Restauración 970 Ml Plusbelle</t>
        </is>
      </c>
      <c r="E31" t="inlineStr">
        <is>
          <t>PLUSBELLE</t>
        </is>
      </c>
      <c r="F31" t="n">
        <v>6500</v>
      </c>
      <c r="G31" t="n">
        <v>537190</v>
      </c>
      <c r="H31" t="b">
        <v>1</v>
      </c>
      <c r="I31" t="n">
        <v>970</v>
      </c>
      <c r="J31" t="n">
        <v>6.701</v>
      </c>
      <c r="K31" t="inlineStr">
        <is>
          <t>&gt; Perfumería &gt; Cuidado Capilar &gt; Shampoo &gt;</t>
        </is>
      </c>
      <c r="L31" t="inlineStr">
        <is>
          <t>shampoo</t>
        </is>
      </c>
      <c r="M31" t="inlineStr">
        <is>
          <t>estandar</t>
        </is>
      </c>
      <c r="N31" t="inlineStr">
        <is>
          <t>general</t>
        </is>
      </c>
      <c r="O31" t="inlineStr">
        <is>
          <t>https://www.disco.com.ar/shampoo-esencia-restauracion-970-ml-plusbelle/p</t>
        </is>
      </c>
      <c r="P31">
        <f>TRIM(CLEAN(PROPER(D31)))</f>
        <v/>
      </c>
      <c r="Q31">
        <f>PROPER(TRIM(SUBSTITUTE(SUBSTITUTE(SUBSTITUTE(SUBSTITUTE(E31,"TRESEMME","Tresemme"),"HEAD &amp; SHOULDERS","Head &amp; Shoulders"),"ELVIVE","Elvive"),"FRUCTIS","Fructis")))</f>
        <v/>
      </c>
      <c r="R31">
        <f>COUNTIF($D$2:$D$10000,D31)&gt;1</f>
        <v/>
      </c>
      <c r="S31">
        <f>IF(H31=TRUE,"Disponible","No disponible")</f>
        <v/>
      </c>
      <c r="T31">
        <f>IF(AND(ISNUMBER(I31),I31&gt;0),ROUND(F31/I31,2),"Sin volumen")</f>
        <v/>
      </c>
      <c r="U31">
        <f>IF(F31&lt;5000,"Bajo",IF(F31&lt;15000,"Medio","Alto"))</f>
        <v/>
      </c>
    </row>
    <row r="32">
      <c r="A32" s="10" t="inlineStr">
        <is>
          <t>Disco</t>
        </is>
      </c>
      <c r="B32" s="10" t="n">
        <v>3067578</v>
      </c>
      <c r="C32" s="10" t="n">
        <v>3067442</v>
      </c>
      <c r="D32" s="10" t="inlineStr">
        <is>
          <t>Shampoo Luminous UV 650 Ml Sedal</t>
        </is>
      </c>
      <c r="E32" s="10" t="inlineStr">
        <is>
          <t>SEDAL</t>
        </is>
      </c>
      <c r="F32" s="10" t="n">
        <v>9250</v>
      </c>
      <c r="G32" s="10" t="n">
        <v>764463</v>
      </c>
      <c r="H32" s="10" t="b">
        <v>1</v>
      </c>
      <c r="I32" s="10" t="n">
        <v>650</v>
      </c>
      <c r="J32" s="10" t="n">
        <v>14.2308</v>
      </c>
      <c r="K32" s="10" t="inlineStr">
        <is>
          <t>&gt; Perfumería &gt; Cuidado Capilar &gt; Shampoo &gt;</t>
        </is>
      </c>
      <c r="L32" s="10" t="inlineStr">
        <is>
          <t>shampoo</t>
        </is>
      </c>
      <c r="M32" s="10" t="inlineStr">
        <is>
          <t>estandar</t>
        </is>
      </c>
      <c r="N32" s="10" t="inlineStr">
        <is>
          <t>general</t>
        </is>
      </c>
      <c r="O32" s="10" t="inlineStr">
        <is>
          <t>https://www.disco.com.ar/shampoo-luminous-uv-x-650-ml-sedal/p</t>
        </is>
      </c>
      <c r="P32" s="12">
        <f>TRIM(CLEAN(PROPER(D32)))</f>
        <v/>
      </c>
      <c r="Q32" s="12">
        <f>PROPER(TRIM(SUBSTITUTE(SUBSTITUTE(SUBSTITUTE(SUBSTITUTE(E32,"TRESEMME","Tresemme"),"HEAD &amp; SHOULDERS","Head &amp; Shoulders"),"ELVIVE","Elvive"),"FRUCTIS","Fructis")))</f>
        <v/>
      </c>
      <c r="R32" s="12">
        <f>COUNTIF($D$2:$D$10000,D32)&gt;1</f>
        <v/>
      </c>
      <c r="S32" s="12">
        <f>IF(H32=TRUE,"Disponible","No disponible")</f>
        <v/>
      </c>
      <c r="T32" s="12">
        <f>IF(AND(ISNUMBER(I32),I32&gt;0),ROUND(F32/I32,2),"Sin volumen")</f>
        <v/>
      </c>
      <c r="U32" s="12">
        <f>IF(F32&lt;5000,"Bajo",IF(F32&lt;15000,"Medio","Alto"))</f>
        <v/>
      </c>
    </row>
    <row r="33">
      <c r="A33" t="inlineStr">
        <is>
          <t>Disco</t>
        </is>
      </c>
      <c r="B33" t="n">
        <v>400516</v>
      </c>
      <c r="C33" t="n">
        <v>397854</v>
      </c>
      <c r="D33" t="inlineStr">
        <is>
          <t>Shampoo Hidra Hialurónico 750 Ml Elvive</t>
        </is>
      </c>
      <c r="E33" t="inlineStr">
        <is>
          <t>ELVIVE</t>
        </is>
      </c>
      <c r="F33" t="n">
        <v>19700</v>
      </c>
      <c r="G33" t="n">
        <v>1628099</v>
      </c>
      <c r="H33" t="b">
        <v>1</v>
      </c>
      <c r="I33" t="n">
        <v>750</v>
      </c>
      <c r="J33" t="n">
        <v>26.2667</v>
      </c>
      <c r="K33" t="inlineStr">
        <is>
          <t>&gt; Perfumería &gt; Cuidado Capilar &gt; Shampoo &gt;</t>
        </is>
      </c>
      <c r="L33" t="inlineStr">
        <is>
          <t>shampoo</t>
        </is>
      </c>
      <c r="M33" t="inlineStr">
        <is>
          <t>profesional</t>
        </is>
      </c>
      <c r="N33" t="inlineStr">
        <is>
          <t>general</t>
        </is>
      </c>
      <c r="O33" t="inlineStr">
        <is>
          <t>https://www.disco.com.ar/shampoo-elvive-hidra-hialuronico-750-ml/p</t>
        </is>
      </c>
      <c r="P33">
        <f>TRIM(CLEAN(PROPER(D33)))</f>
        <v/>
      </c>
      <c r="Q33">
        <f>PROPER(TRIM(SUBSTITUTE(SUBSTITUTE(SUBSTITUTE(SUBSTITUTE(E33,"TRESEMME","Tresemme"),"HEAD &amp; SHOULDERS","Head &amp; Shoulders"),"ELVIVE","Elvive"),"FRUCTIS","Fructis")))</f>
        <v/>
      </c>
      <c r="R33">
        <f>COUNTIF($D$2:$D$10000,D33)&gt;1</f>
        <v/>
      </c>
      <c r="S33">
        <f>IF(H33=TRUE,"Disponible","No disponible")</f>
        <v/>
      </c>
      <c r="T33">
        <f>IF(AND(ISNUMBER(I33),I33&gt;0),ROUND(F33/I33,2),"Sin volumen")</f>
        <v/>
      </c>
      <c r="U33">
        <f>IF(F33&lt;5000,"Bajo",IF(F33&lt;15000,"Medio","Alto"))</f>
        <v/>
      </c>
    </row>
    <row r="34">
      <c r="A34" s="10" t="inlineStr">
        <is>
          <t>Disco</t>
        </is>
      </c>
      <c r="B34" s="10" t="n">
        <v>389300</v>
      </c>
      <c r="C34" s="10" t="n">
        <v>387406</v>
      </c>
      <c r="D34" s="10" t="inlineStr">
        <is>
          <t>Shampoo Restauración Instantánea 340 Ml Sedal</t>
        </is>
      </c>
      <c r="E34" s="10" t="inlineStr">
        <is>
          <t>SEDAL</t>
        </is>
      </c>
      <c r="F34" s="10" t="n">
        <v>5950</v>
      </c>
      <c r="G34" s="10" t="n">
        <v>491736</v>
      </c>
      <c r="H34" s="10" t="b">
        <v>1</v>
      </c>
      <c r="I34" s="10" t="n">
        <v>340</v>
      </c>
      <c r="J34" s="10" t="n">
        <v>17.5</v>
      </c>
      <c r="K34" s="10" t="inlineStr">
        <is>
          <t>&gt; Perfumería &gt; Cuidado Capilar &gt; Shampoo &gt;</t>
        </is>
      </c>
      <c r="L34" s="10" t="inlineStr">
        <is>
          <t>shampoo</t>
        </is>
      </c>
      <c r="M34" s="10" t="inlineStr">
        <is>
          <t>estandar</t>
        </is>
      </c>
      <c r="N34" s="10" t="inlineStr">
        <is>
          <t>general</t>
        </is>
      </c>
      <c r="O34" s="10" t="inlineStr">
        <is>
          <t>https://www.disco.com.ar/shampoo-restauracion-instantanea-340-ml-sedal/p</t>
        </is>
      </c>
      <c r="P34" s="12">
        <f>TRIM(CLEAN(PROPER(D34)))</f>
        <v/>
      </c>
      <c r="Q34" s="12">
        <f>PROPER(TRIM(SUBSTITUTE(SUBSTITUTE(SUBSTITUTE(SUBSTITUTE(E34,"TRESEMME","Tresemme"),"HEAD &amp; SHOULDERS","Head &amp; Shoulders"),"ELVIVE","Elvive"),"FRUCTIS","Fructis")))</f>
        <v/>
      </c>
      <c r="R34" s="12">
        <f>COUNTIF($D$2:$D$10000,D34)&gt;1</f>
        <v/>
      </c>
      <c r="S34" s="12">
        <f>IF(H34=TRUE,"Disponible","No disponible")</f>
        <v/>
      </c>
      <c r="T34" s="12">
        <f>IF(AND(ISNUMBER(I34),I34&gt;0),ROUND(F34/I34,2),"Sin volumen")</f>
        <v/>
      </c>
      <c r="U34" s="12">
        <f>IF(F34&lt;5000,"Bajo",IF(F34&lt;15000,"Medio","Alto"))</f>
        <v/>
      </c>
    </row>
    <row r="35">
      <c r="A35" t="inlineStr">
        <is>
          <t>Disco</t>
        </is>
      </c>
      <c r="B35" t="n">
        <v>413347</v>
      </c>
      <c r="C35" t="n">
        <v>409228</v>
      </c>
      <c r="D35" t="inlineStr">
        <is>
          <t>Shampoo Keratina Antifrizz 250 Ml Tresemmé</t>
        </is>
      </c>
      <c r="E35" t="inlineStr">
        <is>
          <t>TRESEMMÉ</t>
        </is>
      </c>
      <c r="F35" t="n">
        <v>6450</v>
      </c>
      <c r="G35" t="n">
        <v>533058</v>
      </c>
      <c r="H35" t="b">
        <v>1</v>
      </c>
      <c r="I35" t="n">
        <v>250</v>
      </c>
      <c r="J35" t="n">
        <v>25.8</v>
      </c>
      <c r="K35" t="inlineStr">
        <is>
          <t>&gt; Perfumería &gt; Cuidado Capilar &gt; Shampoo &gt;</t>
        </is>
      </c>
      <c r="L35" t="inlineStr">
        <is>
          <t>shampoo</t>
        </is>
      </c>
      <c r="M35" t="inlineStr">
        <is>
          <t>estandar</t>
        </is>
      </c>
      <c r="N35" t="inlineStr">
        <is>
          <t>tratado</t>
        </is>
      </c>
      <c r="O35" t="inlineStr">
        <is>
          <t>https://www.disco.com.ar/shampoo-tresemme-keratina-antifrizz-250-ml/p</t>
        </is>
      </c>
      <c r="P35">
        <f>TRIM(CLEAN(PROPER(D35)))</f>
        <v/>
      </c>
      <c r="Q35">
        <f>PROPER(TRIM(SUBSTITUTE(SUBSTITUTE(SUBSTITUTE(SUBSTITUTE(E35,"TRESEMME","Tresemme"),"HEAD &amp; SHOULDERS","Head &amp; Shoulders"),"ELVIVE","Elvive"),"FRUCTIS","Fructis")))</f>
        <v/>
      </c>
      <c r="R35">
        <f>COUNTIF($D$2:$D$10000,D35)&gt;1</f>
        <v/>
      </c>
      <c r="S35">
        <f>IF(H35=TRUE,"Disponible","No disponible")</f>
        <v/>
      </c>
      <c r="T35">
        <f>IF(AND(ISNUMBER(I35),I35&gt;0),ROUND(F35/I35,2),"Sin volumen")</f>
        <v/>
      </c>
      <c r="U35">
        <f>IF(F35&lt;5000,"Bajo",IF(F35&lt;15000,"Medio","Alto"))</f>
        <v/>
      </c>
    </row>
    <row r="36">
      <c r="A36" s="10" t="inlineStr">
        <is>
          <t>Disco</t>
        </is>
      </c>
      <c r="B36" s="10" t="n">
        <v>413348</v>
      </c>
      <c r="C36" s="10" t="n">
        <v>409229</v>
      </c>
      <c r="D36" s="10" t="inlineStr">
        <is>
          <t>Shampoo Tresemme Cauterización Reparadora 250 Ml</t>
        </is>
      </c>
      <c r="E36" s="10" t="inlineStr">
        <is>
          <t>TRESEMMÉ</t>
        </is>
      </c>
      <c r="F36" s="10" t="n">
        <v>6450</v>
      </c>
      <c r="G36" s="10" t="n">
        <v>533058</v>
      </c>
      <c r="H36" s="10" t="b">
        <v>1</v>
      </c>
      <c r="I36" s="10" t="n">
        <v>250</v>
      </c>
      <c r="J36" s="10" t="n">
        <v>25.8</v>
      </c>
      <c r="K36" s="10" t="inlineStr">
        <is>
          <t>&gt; Perfumería &gt; Cuidado Capilar &gt; Shampoo &gt;</t>
        </is>
      </c>
      <c r="L36" s="10" t="inlineStr">
        <is>
          <t>shampoo</t>
        </is>
      </c>
      <c r="M36" s="10" t="inlineStr">
        <is>
          <t>estandar</t>
        </is>
      </c>
      <c r="N36" s="10" t="inlineStr">
        <is>
          <t>general</t>
        </is>
      </c>
      <c r="O36" s="10" t="inlineStr">
        <is>
          <t>https://www.disco.com.ar/shampoo-tresemme-cauterizacion-reparadora-250-ml/p</t>
        </is>
      </c>
      <c r="P36" s="12">
        <f>TRIM(CLEAN(PROPER(D36)))</f>
        <v/>
      </c>
      <c r="Q36" s="12">
        <f>PROPER(TRIM(SUBSTITUTE(SUBSTITUTE(SUBSTITUTE(SUBSTITUTE(E36,"TRESEMME","Tresemme"),"HEAD &amp; SHOULDERS","Head &amp; Shoulders"),"ELVIVE","Elvive"),"FRUCTIS","Fructis")))</f>
        <v/>
      </c>
      <c r="R36" s="12">
        <f>COUNTIF($D$2:$D$10000,D36)&gt;1</f>
        <v/>
      </c>
      <c r="S36" s="12">
        <f>IF(H36=TRUE,"Disponible","No disponible")</f>
        <v/>
      </c>
      <c r="T36" s="12">
        <f>IF(AND(ISNUMBER(I36),I36&gt;0),ROUND(F36/I36,2),"Sin volumen")</f>
        <v/>
      </c>
      <c r="U36" s="12">
        <f>IF(F36&lt;5000,"Bajo",IF(F36&lt;15000,"Medio","Alto"))</f>
        <v/>
      </c>
    </row>
    <row r="37">
      <c r="A37" t="inlineStr">
        <is>
          <t>Disco</t>
        </is>
      </c>
      <c r="B37" t="n">
        <v>3070277</v>
      </c>
      <c r="C37" t="n">
        <v>3069870</v>
      </c>
      <c r="D37" t="inlineStr">
        <is>
          <t>Shampoo Cauterización Reparadora 500 Ml Tresemmé</t>
        </is>
      </c>
      <c r="E37" t="inlineStr">
        <is>
          <t>TRESEMMÉ</t>
        </is>
      </c>
      <c r="F37" t="n">
        <v>10750</v>
      </c>
      <c r="G37" t="n">
        <v>888430</v>
      </c>
      <c r="H37" t="b">
        <v>1</v>
      </c>
      <c r="I37" t="n">
        <v>500</v>
      </c>
      <c r="J37" t="n">
        <v>21.5</v>
      </c>
      <c r="K37" t="inlineStr">
        <is>
          <t>&gt; Perfumería &gt; Cuidado Capilar &gt; Shampoo &gt;</t>
        </is>
      </c>
      <c r="L37" t="inlineStr">
        <is>
          <t>shampoo</t>
        </is>
      </c>
      <c r="M37" t="inlineStr">
        <is>
          <t>estandar</t>
        </is>
      </c>
      <c r="N37" t="inlineStr">
        <is>
          <t>general</t>
        </is>
      </c>
      <c r="O37" t="inlineStr">
        <is>
          <t>https://www.disco.com.ar/shampoo-cauterizacion-reparadora-x-500-ml-tresemme/p</t>
        </is>
      </c>
      <c r="P37">
        <f>TRIM(CLEAN(PROPER(D37)))</f>
        <v/>
      </c>
      <c r="Q37">
        <f>PROPER(TRIM(SUBSTITUTE(SUBSTITUTE(SUBSTITUTE(SUBSTITUTE(E37,"TRESEMME","Tresemme"),"HEAD &amp; SHOULDERS","Head &amp; Shoulders"),"ELVIVE","Elvive"),"FRUCTIS","Fructis")))</f>
        <v/>
      </c>
      <c r="R37">
        <f>COUNTIF($D$2:$D$10000,D37)&gt;1</f>
        <v/>
      </c>
      <c r="S37">
        <f>IF(H37=TRUE,"Disponible","No disponible")</f>
        <v/>
      </c>
      <c r="T37">
        <f>IF(AND(ISNUMBER(I37),I37&gt;0),ROUND(F37/I37,2),"Sin volumen")</f>
        <v/>
      </c>
      <c r="U37">
        <f>IF(F37&lt;5000,"Bajo",IF(F37&lt;15000,"Medio","Alto"))</f>
        <v/>
      </c>
    </row>
    <row r="38">
      <c r="A38" s="10" t="inlineStr">
        <is>
          <t>Disco</t>
        </is>
      </c>
      <c r="B38" s="10" t="n">
        <v>415572</v>
      </c>
      <c r="C38" s="10" t="n">
        <v>411156</v>
      </c>
      <c r="D38" s="10" t="inlineStr">
        <is>
          <t>Shampoo Liso Infinito 400 Ml Pantene</t>
        </is>
      </c>
      <c r="E38" s="10" t="inlineStr">
        <is>
          <t>PANTENE</t>
        </is>
      </c>
      <c r="F38" s="10" t="n">
        <v>11000</v>
      </c>
      <c r="G38" s="10" t="n">
        <v>909091</v>
      </c>
      <c r="H38" s="10" t="b">
        <v>1</v>
      </c>
      <c r="I38" s="10" t="n">
        <v>400</v>
      </c>
      <c r="J38" s="10" t="n">
        <v>27.5</v>
      </c>
      <c r="K38" s="10" t="inlineStr">
        <is>
          <t>&gt; Perfumería &gt; Cuidado Capilar &gt; Shampoo &gt;</t>
        </is>
      </c>
      <c r="L38" s="10" t="inlineStr">
        <is>
          <t>shampoo</t>
        </is>
      </c>
      <c r="M38" s="10" t="inlineStr">
        <is>
          <t>estandar</t>
        </is>
      </c>
      <c r="N38" s="10" t="inlineStr">
        <is>
          <t>general</t>
        </is>
      </c>
      <c r="O38" s="10" t="inlineStr">
        <is>
          <t>https://www.disco.com.ar/shampoo-pantene-provmir-liso-infinito-400-ml/p</t>
        </is>
      </c>
      <c r="P38" s="12">
        <f>TRIM(CLEAN(PROPER(D38)))</f>
        <v/>
      </c>
      <c r="Q38" s="12">
        <f>PROPER(TRIM(SUBSTITUTE(SUBSTITUTE(SUBSTITUTE(SUBSTITUTE(E38,"TRESEMME","Tresemme"),"HEAD &amp; SHOULDERS","Head &amp; Shoulders"),"ELVIVE","Elvive"),"FRUCTIS","Fructis")))</f>
        <v/>
      </c>
      <c r="R38" s="12">
        <f>COUNTIF($D$2:$D$10000,D38)&gt;1</f>
        <v/>
      </c>
      <c r="S38" s="12">
        <f>IF(H38=TRUE,"Disponible","No disponible")</f>
        <v/>
      </c>
      <c r="T38" s="12">
        <f>IF(AND(ISNUMBER(I38),I38&gt;0),ROUND(F38/I38,2),"Sin volumen")</f>
        <v/>
      </c>
      <c r="U38" s="12">
        <f>IF(F38&lt;5000,"Bajo",IF(F38&lt;15000,"Medio","Alto"))</f>
        <v/>
      </c>
    </row>
    <row r="39">
      <c r="A39" t="inlineStr">
        <is>
          <t>Disco</t>
        </is>
      </c>
      <c r="B39" t="n">
        <v>389301</v>
      </c>
      <c r="C39" t="n">
        <v>387407</v>
      </c>
      <c r="D39" t="inlineStr">
        <is>
          <t>Shampoo Rizos Definidos 340 Ml Sedal</t>
        </is>
      </c>
      <c r="E39" t="inlineStr">
        <is>
          <t>SEDAL</t>
        </is>
      </c>
      <c r="F39" t="n">
        <v>5950</v>
      </c>
      <c r="G39" t="n">
        <v>491736</v>
      </c>
      <c r="H39" t="b">
        <v>1</v>
      </c>
      <c r="I39" t="n">
        <v>340</v>
      </c>
      <c r="J39" t="n">
        <v>17.5</v>
      </c>
      <c r="K39" t="inlineStr">
        <is>
          <t>&gt; Perfumería &gt; Cuidado Capilar &gt; Shampoo &gt;</t>
        </is>
      </c>
      <c r="L39" t="inlineStr">
        <is>
          <t>shampoo</t>
        </is>
      </c>
      <c r="M39" t="inlineStr">
        <is>
          <t>estandar</t>
        </is>
      </c>
      <c r="N39" t="inlineStr">
        <is>
          <t>rizado</t>
        </is>
      </c>
      <c r="O39" t="inlineStr">
        <is>
          <t>https://www.disco.com.ar/shampoo-rizos-definidos-340-ml-sedal/p</t>
        </is>
      </c>
      <c r="P39">
        <f>TRIM(CLEAN(PROPER(D39)))</f>
        <v/>
      </c>
      <c r="Q39">
        <f>PROPER(TRIM(SUBSTITUTE(SUBSTITUTE(SUBSTITUTE(SUBSTITUTE(E39,"TRESEMME","Tresemme"),"HEAD &amp; SHOULDERS","Head &amp; Shoulders"),"ELVIVE","Elvive"),"FRUCTIS","Fructis")))</f>
        <v/>
      </c>
      <c r="R39">
        <f>COUNTIF($D$2:$D$10000,D39)&gt;1</f>
        <v/>
      </c>
      <c r="S39">
        <f>IF(H39=TRUE,"Disponible","No disponible")</f>
        <v/>
      </c>
      <c r="T39">
        <f>IF(AND(ISNUMBER(I39),I39&gt;0),ROUND(F39/I39,2),"Sin volumen")</f>
        <v/>
      </c>
      <c r="U39">
        <f>IF(F39&lt;5000,"Bajo",IF(F39&lt;15000,"Medio","Alto"))</f>
        <v/>
      </c>
    </row>
    <row r="40">
      <c r="A40" s="10" t="inlineStr">
        <is>
          <t>Disco</t>
        </is>
      </c>
      <c r="B40" s="10" t="n">
        <v>415143</v>
      </c>
      <c r="C40" s="10" t="n">
        <v>410803</v>
      </c>
      <c r="D40" s="10" t="inlineStr">
        <is>
          <t>Shampoo Liso Perfecto 340 Ml Sedal</t>
        </is>
      </c>
      <c r="E40" s="10" t="inlineStr">
        <is>
          <t>SEDAL</t>
        </is>
      </c>
      <c r="F40" s="10" t="n">
        <v>5950</v>
      </c>
      <c r="G40" s="10" t="n">
        <v>491736</v>
      </c>
      <c r="H40" s="10" t="b">
        <v>1</v>
      </c>
      <c r="I40" s="10" t="n">
        <v>340</v>
      </c>
      <c r="J40" s="10" t="n">
        <v>17.5</v>
      </c>
      <c r="K40" s="10" t="inlineStr">
        <is>
          <t>&gt; Perfumería &gt; Cuidado Capilar &gt; Shampoo &gt;</t>
        </is>
      </c>
      <c r="L40" s="10" t="inlineStr">
        <is>
          <t>shampoo</t>
        </is>
      </c>
      <c r="M40" s="10" t="inlineStr">
        <is>
          <t>estandar</t>
        </is>
      </c>
      <c r="N40" s="10" t="inlineStr">
        <is>
          <t>general</t>
        </is>
      </c>
      <c r="O40" s="10" t="inlineStr">
        <is>
          <t>https://www.disco.com.ar/shampoo-liso-perfecto-340-ml-sedal/p</t>
        </is>
      </c>
      <c r="P40" s="12">
        <f>TRIM(CLEAN(PROPER(D40)))</f>
        <v/>
      </c>
      <c r="Q40" s="12">
        <f>PROPER(TRIM(SUBSTITUTE(SUBSTITUTE(SUBSTITUTE(SUBSTITUTE(E40,"TRESEMME","Tresemme"),"HEAD &amp; SHOULDERS","Head &amp; Shoulders"),"ELVIVE","Elvive"),"FRUCTIS","Fructis")))</f>
        <v/>
      </c>
      <c r="R40" s="12">
        <f>COUNTIF($D$2:$D$10000,D40)&gt;1</f>
        <v/>
      </c>
      <c r="S40" s="12">
        <f>IF(H40=TRUE,"Disponible","No disponible")</f>
        <v/>
      </c>
      <c r="T40" s="12">
        <f>IF(AND(ISNUMBER(I40),I40&gt;0),ROUND(F40/I40,2),"Sin volumen")</f>
        <v/>
      </c>
      <c r="U40" s="12">
        <f>IF(F40&lt;5000,"Bajo",IF(F40&lt;15000,"Medio","Alto"))</f>
        <v/>
      </c>
    </row>
    <row r="41">
      <c r="A41" t="inlineStr">
        <is>
          <t>Disco</t>
        </is>
      </c>
      <c r="B41" t="n">
        <v>396887</v>
      </c>
      <c r="C41" t="n">
        <v>394643</v>
      </c>
      <c r="D41" t="inlineStr">
        <is>
          <t>Shampoo Dove Regeneración Extrema 200 Ml</t>
        </is>
      </c>
      <c r="E41" t="inlineStr">
        <is>
          <t>DOVE</t>
        </is>
      </c>
      <c r="F41" t="n">
        <v>6150</v>
      </c>
      <c r="G41" t="n">
        <v>508264</v>
      </c>
      <c r="H41" t="b">
        <v>1</v>
      </c>
      <c r="I41" t="n">
        <v>200</v>
      </c>
      <c r="J41" t="n">
        <v>30.75</v>
      </c>
      <c r="K41" t="inlineStr">
        <is>
          <t>&gt; Perfumería &gt; Cuidado Capilar &gt; Shampoo &gt;</t>
        </is>
      </c>
      <c r="L41" t="inlineStr">
        <is>
          <t>shampoo</t>
        </is>
      </c>
      <c r="M41" t="inlineStr">
        <is>
          <t>estandar</t>
        </is>
      </c>
      <c r="N41" t="inlineStr">
        <is>
          <t>general</t>
        </is>
      </c>
      <c r="O41" t="inlineStr">
        <is>
          <t>https://www.disco.com.ar/shampoo-dove-regeneracion-extrema-200-ml-2/p</t>
        </is>
      </c>
      <c r="P41">
        <f>TRIM(CLEAN(PROPER(D41)))</f>
        <v/>
      </c>
      <c r="Q41">
        <f>PROPER(TRIM(SUBSTITUTE(SUBSTITUTE(SUBSTITUTE(SUBSTITUTE(E41,"TRESEMME","Tresemme"),"HEAD &amp; SHOULDERS","Head &amp; Shoulders"),"ELVIVE","Elvive"),"FRUCTIS","Fructis")))</f>
        <v/>
      </c>
      <c r="R41">
        <f>COUNTIF($D$2:$D$10000,D41)&gt;1</f>
        <v/>
      </c>
      <c r="S41">
        <f>IF(H41=TRUE,"Disponible","No disponible")</f>
        <v/>
      </c>
      <c r="T41">
        <f>IF(AND(ISNUMBER(I41),I41&gt;0),ROUND(F41/I41,2),"Sin volumen")</f>
        <v/>
      </c>
      <c r="U41">
        <f>IF(F41&lt;5000,"Bajo",IF(F41&lt;15000,"Medio","Alto"))</f>
        <v/>
      </c>
    </row>
    <row r="42">
      <c r="A42" s="10" t="inlineStr">
        <is>
          <t>Disco</t>
        </is>
      </c>
      <c r="B42" s="10" t="n">
        <v>389291</v>
      </c>
      <c r="C42" s="10" t="n">
        <v>387397</v>
      </c>
      <c r="D42" s="10" t="inlineStr">
        <is>
          <t>Shampoo Brillo Ceramidas 650 Ml Sedal</t>
        </is>
      </c>
      <c r="E42" s="10" t="inlineStr">
        <is>
          <t>SEDAL</t>
        </is>
      </c>
      <c r="F42" s="10" t="n">
        <v>9550</v>
      </c>
      <c r="G42" s="10" t="n">
        <v>789256</v>
      </c>
      <c r="H42" s="10" t="b">
        <v>1</v>
      </c>
      <c r="I42" s="10" t="n">
        <v>650</v>
      </c>
      <c r="J42" s="10" t="n">
        <v>14.6923</v>
      </c>
      <c r="K42" s="10" t="inlineStr">
        <is>
          <t>&gt; Perfumería &gt; Cuidado Capilar &gt; Shampoo &gt;</t>
        </is>
      </c>
      <c r="L42" s="10" t="inlineStr">
        <is>
          <t>shampoo</t>
        </is>
      </c>
      <c r="M42" s="10" t="inlineStr">
        <is>
          <t>estandar</t>
        </is>
      </c>
      <c r="N42" s="10" t="inlineStr">
        <is>
          <t>general</t>
        </is>
      </c>
      <c r="O42" s="10" t="inlineStr">
        <is>
          <t>https://www.disco.com.ar/shampoo-sedal-ceramidas-botella-650-ml-2/p</t>
        </is>
      </c>
      <c r="P42" s="12">
        <f>TRIM(CLEAN(PROPER(D42)))</f>
        <v/>
      </c>
      <c r="Q42" s="12">
        <f>PROPER(TRIM(SUBSTITUTE(SUBSTITUTE(SUBSTITUTE(SUBSTITUTE(E42,"TRESEMME","Tresemme"),"HEAD &amp; SHOULDERS","Head &amp; Shoulders"),"ELVIVE","Elvive"),"FRUCTIS","Fructis")))</f>
        <v/>
      </c>
      <c r="R42" s="12">
        <f>COUNTIF($D$2:$D$10000,D42)&gt;1</f>
        <v/>
      </c>
      <c r="S42" s="12">
        <f>IF(H42=TRUE,"Disponible","No disponible")</f>
        <v/>
      </c>
      <c r="T42" s="12">
        <f>IF(AND(ISNUMBER(I42),I42&gt;0),ROUND(F42/I42,2),"Sin volumen")</f>
        <v/>
      </c>
      <c r="U42" s="12">
        <f>IF(F42&lt;5000,"Bajo",IF(F42&lt;15000,"Medio","Alto"))</f>
        <v/>
      </c>
    </row>
    <row r="43">
      <c r="A43" t="inlineStr">
        <is>
          <t>Disco</t>
        </is>
      </c>
      <c r="B43" t="n">
        <v>413343</v>
      </c>
      <c r="C43" t="n">
        <v>409224</v>
      </c>
      <c r="D43" t="inlineStr">
        <is>
          <t>Shampoo Tresemme Cauterización Reparadora 880 Ml</t>
        </is>
      </c>
      <c r="E43" t="inlineStr">
        <is>
          <t>TRESEMMÉ</t>
        </is>
      </c>
      <c r="F43" t="n">
        <v>17050</v>
      </c>
      <c r="G43" t="n">
        <v>1409091</v>
      </c>
      <c r="H43" t="b">
        <v>1</v>
      </c>
      <c r="I43" t="n">
        <v>880</v>
      </c>
      <c r="J43" t="n">
        <v>19.375</v>
      </c>
      <c r="K43" t="inlineStr">
        <is>
          <t>&gt; Perfumería &gt; Cuidado Capilar &gt; Shampoo &gt;</t>
        </is>
      </c>
      <c r="L43" t="inlineStr">
        <is>
          <t>shampoo</t>
        </is>
      </c>
      <c r="M43" t="inlineStr">
        <is>
          <t>estandar</t>
        </is>
      </c>
      <c r="N43" t="inlineStr">
        <is>
          <t>general</t>
        </is>
      </c>
      <c r="O43" t="inlineStr">
        <is>
          <t>https://www.disco.com.ar/shampoo-tresemme-cauterizacion-reparadora-880-ml/p</t>
        </is>
      </c>
      <c r="P43">
        <f>TRIM(CLEAN(PROPER(D43)))</f>
        <v/>
      </c>
      <c r="Q43">
        <f>PROPER(TRIM(SUBSTITUTE(SUBSTITUTE(SUBSTITUTE(SUBSTITUTE(E43,"TRESEMME","Tresemme"),"HEAD &amp; SHOULDERS","Head &amp; Shoulders"),"ELVIVE","Elvive"),"FRUCTIS","Fructis")))</f>
        <v/>
      </c>
      <c r="R43">
        <f>COUNTIF($D$2:$D$10000,D43)&gt;1</f>
        <v/>
      </c>
      <c r="S43">
        <f>IF(H43=TRUE,"Disponible","No disponible")</f>
        <v/>
      </c>
      <c r="T43">
        <f>IF(AND(ISNUMBER(I43),I43&gt;0),ROUND(F43/I43,2),"Sin volumen")</f>
        <v/>
      </c>
      <c r="U43">
        <f>IF(F43&lt;5000,"Bajo",IF(F43&lt;15000,"Medio","Alto"))</f>
        <v/>
      </c>
    </row>
    <row r="44">
      <c r="A44" s="10" t="inlineStr">
        <is>
          <t>Disco</t>
        </is>
      </c>
      <c r="B44" s="10" t="n">
        <v>21999</v>
      </c>
      <c r="C44" s="10" t="n">
        <v>19162</v>
      </c>
      <c r="D44" s="10" t="inlineStr">
        <is>
          <t>Shampoo Brillo Extremo 410 Ml Capilatis</t>
        </is>
      </c>
      <c r="E44" s="10" t="inlineStr">
        <is>
          <t>CAPILATIS</t>
        </is>
      </c>
      <c r="F44" s="10" t="n">
        <v>9750</v>
      </c>
      <c r="G44" s="10" t="n">
        <v>805785</v>
      </c>
      <c r="H44" s="10" t="b">
        <v>1</v>
      </c>
      <c r="I44" s="10" t="n">
        <v>410</v>
      </c>
      <c r="J44" s="10" t="n">
        <v>23.7805</v>
      </c>
      <c r="K44" s="10" t="inlineStr">
        <is>
          <t>&gt; Perfumería &gt; Cuidado Capilar &gt; Shampoo &gt;</t>
        </is>
      </c>
      <c r="L44" s="10" t="inlineStr">
        <is>
          <t>shampoo</t>
        </is>
      </c>
      <c r="M44" s="10" t="inlineStr">
        <is>
          <t>estandar</t>
        </is>
      </c>
      <c r="N44" s="10" t="inlineStr">
        <is>
          <t>general</t>
        </is>
      </c>
      <c r="O44" s="10" t="inlineStr">
        <is>
          <t>https://www.disco.com.ar/shampoo-capilatis-brillo-extremo-410-ml/p</t>
        </is>
      </c>
      <c r="P44" s="12">
        <f>TRIM(CLEAN(PROPER(D44)))</f>
        <v/>
      </c>
      <c r="Q44" s="12">
        <f>PROPER(TRIM(SUBSTITUTE(SUBSTITUTE(SUBSTITUTE(SUBSTITUTE(E44,"TRESEMME","Tresemme"),"HEAD &amp; SHOULDERS","Head &amp; Shoulders"),"ELVIVE","Elvive"),"FRUCTIS","Fructis")))</f>
        <v/>
      </c>
      <c r="R44" s="12">
        <f>COUNTIF($D$2:$D$10000,D44)&gt;1</f>
        <v/>
      </c>
      <c r="S44" s="12">
        <f>IF(H44=TRUE,"Disponible","No disponible")</f>
        <v/>
      </c>
      <c r="T44" s="12">
        <f>IF(AND(ISNUMBER(I44),I44&gt;0),ROUND(F44/I44,2),"Sin volumen")</f>
        <v/>
      </c>
      <c r="U44" s="12">
        <f>IF(F44&lt;5000,"Bajo",IF(F44&lt;15000,"Medio","Alto"))</f>
        <v/>
      </c>
    </row>
    <row r="45">
      <c r="A45" t="inlineStr">
        <is>
          <t>Disco</t>
        </is>
      </c>
      <c r="B45" t="n">
        <v>407570</v>
      </c>
      <c r="C45" t="n">
        <v>403759</v>
      </c>
      <c r="D45" t="inlineStr">
        <is>
          <t>Shampoo Elvive Reparacion Extreme 200 Ml</t>
        </is>
      </c>
      <c r="E45" t="inlineStr">
        <is>
          <t>ELVIVE</t>
        </is>
      </c>
      <c r="F45" t="n">
        <v>7600</v>
      </c>
      <c r="G45" t="n">
        <v>628099</v>
      </c>
      <c r="H45" t="b">
        <v>1</v>
      </c>
      <c r="I45" t="n">
        <v>200</v>
      </c>
      <c r="J45" t="n">
        <v>38</v>
      </c>
      <c r="K45" t="inlineStr">
        <is>
          <t>&gt; Perfumería &gt; Cuidado Capilar &gt; Shampoo &gt;</t>
        </is>
      </c>
      <c r="L45" t="inlineStr">
        <is>
          <t>shampoo</t>
        </is>
      </c>
      <c r="M45" t="inlineStr">
        <is>
          <t>profesional</t>
        </is>
      </c>
      <c r="N45" t="inlineStr">
        <is>
          <t>general</t>
        </is>
      </c>
      <c r="O45" t="inlineStr">
        <is>
          <t>https://www.disco.com.ar/shampoo-elvive-reparacion-extreme-200-ml/p</t>
        </is>
      </c>
      <c r="P45">
        <f>TRIM(CLEAN(PROPER(D45)))</f>
        <v/>
      </c>
      <c r="Q45">
        <f>PROPER(TRIM(SUBSTITUTE(SUBSTITUTE(SUBSTITUTE(SUBSTITUTE(E45,"TRESEMME","Tresemme"),"HEAD &amp; SHOULDERS","Head &amp; Shoulders"),"ELVIVE","Elvive"),"FRUCTIS","Fructis")))</f>
        <v/>
      </c>
      <c r="R45">
        <f>COUNTIF($D$2:$D$10000,D45)&gt;1</f>
        <v/>
      </c>
      <c r="S45">
        <f>IF(H45=TRUE,"Disponible","No disponible")</f>
        <v/>
      </c>
      <c r="T45">
        <f>IF(AND(ISNUMBER(I45),I45&gt;0),ROUND(F45/I45,2),"Sin volumen")</f>
        <v/>
      </c>
      <c r="U45">
        <f>IF(F45&lt;5000,"Bajo",IF(F45&lt;15000,"Medio","Alto"))</f>
        <v/>
      </c>
    </row>
    <row r="46">
      <c r="A46" s="10" t="inlineStr">
        <is>
          <t>Disco</t>
        </is>
      </c>
      <c r="B46" s="10" t="n">
        <v>316330</v>
      </c>
      <c r="C46" s="10" t="n">
        <v>315564</v>
      </c>
      <c r="D46" s="10" t="inlineStr">
        <is>
          <t>Shampoo Pantene Pro-v Bambú 400 Ml</t>
        </is>
      </c>
      <c r="E46" s="10" t="inlineStr">
        <is>
          <t>PANTENE</t>
        </is>
      </c>
      <c r="F46" s="10" t="n">
        <v>11000</v>
      </c>
      <c r="G46" s="10" t="n">
        <v>909091</v>
      </c>
      <c r="H46" s="10" t="b">
        <v>1</v>
      </c>
      <c r="I46" s="10" t="n">
        <v>400</v>
      </c>
      <c r="J46" s="10" t="n">
        <v>27.5</v>
      </c>
      <c r="K46" s="10" t="inlineStr">
        <is>
          <t>&gt; Perfumería &gt; Cuidado Capilar &gt; Shampoo &gt;</t>
        </is>
      </c>
      <c r="L46" s="10" t="inlineStr">
        <is>
          <t>shampoo</t>
        </is>
      </c>
      <c r="M46" s="10" t="inlineStr">
        <is>
          <t>profesional</t>
        </is>
      </c>
      <c r="N46" s="10" t="inlineStr">
        <is>
          <t>general</t>
        </is>
      </c>
      <c r="O46" s="10" t="inlineStr">
        <is>
          <t>https://www.disco.com.ar/shampoo-pantene-pro-v-bambu-400-ml/p</t>
        </is>
      </c>
      <c r="P46" s="12">
        <f>TRIM(CLEAN(PROPER(D46)))</f>
        <v/>
      </c>
      <c r="Q46" s="12">
        <f>PROPER(TRIM(SUBSTITUTE(SUBSTITUTE(SUBSTITUTE(SUBSTITUTE(E46,"TRESEMME","Tresemme"),"HEAD &amp; SHOULDERS","Head &amp; Shoulders"),"ELVIVE","Elvive"),"FRUCTIS","Fructis")))</f>
        <v/>
      </c>
      <c r="R46" s="12">
        <f>COUNTIF($D$2:$D$10000,D46)&gt;1</f>
        <v/>
      </c>
      <c r="S46" s="12">
        <f>IF(H46=TRUE,"Disponible","No disponible")</f>
        <v/>
      </c>
      <c r="T46" s="12">
        <f>IF(AND(ISNUMBER(I46),I46&gt;0),ROUND(F46/I46,2),"Sin volumen")</f>
        <v/>
      </c>
      <c r="U46" s="12">
        <f>IF(F46&lt;5000,"Bajo",IF(F46&lt;15000,"Medio","Alto"))</f>
        <v/>
      </c>
    </row>
    <row r="47">
      <c r="A47" t="inlineStr">
        <is>
          <t>Disco</t>
        </is>
      </c>
      <c r="B47" t="n">
        <v>1365009</v>
      </c>
      <c r="C47" t="n">
        <v>1363957</v>
      </c>
      <c r="D47" t="inlineStr">
        <is>
          <t>Shampoo Anticomezón 375 Ml Head y Shoulders</t>
        </is>
      </c>
      <c r="E47" t="inlineStr">
        <is>
          <t>HEAD &amp; SHOULDERS</t>
        </is>
      </c>
      <c r="F47" t="n">
        <v>13100</v>
      </c>
      <c r="G47" t="n">
        <v>1082645</v>
      </c>
      <c r="H47" t="b">
        <v>1</v>
      </c>
      <c r="I47" t="n">
        <v>375</v>
      </c>
      <c r="J47" t="n">
        <v>34.9333</v>
      </c>
      <c r="K47" t="inlineStr">
        <is>
          <t>&gt; Perfumería &gt; Cuidado Capilar &gt; Shampoo &gt;</t>
        </is>
      </c>
      <c r="L47" t="inlineStr">
        <is>
          <t>shampoo</t>
        </is>
      </c>
      <c r="M47" t="inlineStr">
        <is>
          <t>estandar</t>
        </is>
      </c>
      <c r="N47" t="inlineStr">
        <is>
          <t>general</t>
        </is>
      </c>
      <c r="O47" t="inlineStr">
        <is>
          <t>https://www.disco.com.ar/shampoo-anticomezon-375-ml-head-shoulders-2/p</t>
        </is>
      </c>
      <c r="P47">
        <f>TRIM(CLEAN(PROPER(D47)))</f>
        <v/>
      </c>
      <c r="Q47">
        <f>PROPER(TRIM(SUBSTITUTE(SUBSTITUTE(SUBSTITUTE(SUBSTITUTE(E47,"TRESEMME","Tresemme"),"HEAD &amp; SHOULDERS","Head &amp; Shoulders"),"ELVIVE","Elvive"),"FRUCTIS","Fructis")))</f>
        <v/>
      </c>
      <c r="R47">
        <f>COUNTIF($D$2:$D$10000,D47)&gt;1</f>
        <v/>
      </c>
      <c r="S47">
        <f>IF(H47=TRUE,"Disponible","No disponible")</f>
        <v/>
      </c>
      <c r="T47">
        <f>IF(AND(ISNUMBER(I47),I47&gt;0),ROUND(F47/I47,2),"Sin volumen")</f>
        <v/>
      </c>
      <c r="U47">
        <f>IF(F47&lt;5000,"Bajo",IF(F47&lt;15000,"Medio","Alto"))</f>
        <v/>
      </c>
    </row>
    <row r="48">
      <c r="A48" s="10" t="inlineStr">
        <is>
          <t>Disco</t>
        </is>
      </c>
      <c r="B48" s="10" t="n">
        <v>413366</v>
      </c>
      <c r="C48" s="10" t="n">
        <v>409243</v>
      </c>
      <c r="D48" s="10" t="inlineStr">
        <is>
          <t>Shampoo Vitaminas Bomba Jazmín 930 Ml Suave</t>
        </is>
      </c>
      <c r="E48" s="10" t="inlineStr">
        <is>
          <t>SUAVE</t>
        </is>
      </c>
      <c r="F48" s="10" t="n">
        <v>4600</v>
      </c>
      <c r="G48" s="10" t="n">
        <v>380165</v>
      </c>
      <c r="H48" s="10" t="b">
        <v>1</v>
      </c>
      <c r="I48" s="10" t="n">
        <v>930</v>
      </c>
      <c r="J48" s="10" t="n">
        <v>4.9462</v>
      </c>
      <c r="K48" s="10" t="inlineStr">
        <is>
          <t>&gt; Perfumería &gt; Cuidado Capilar &gt; Shampoo &gt;</t>
        </is>
      </c>
      <c r="L48" s="10" t="inlineStr">
        <is>
          <t>shampoo</t>
        </is>
      </c>
      <c r="M48" s="10" t="inlineStr">
        <is>
          <t>estandar</t>
        </is>
      </c>
      <c r="N48" s="10" t="inlineStr">
        <is>
          <t>bebe</t>
        </is>
      </c>
      <c r="O48" s="10" t="inlineStr">
        <is>
          <t>https://www.disco.com.ar/shampoo-suave-vitaminas-bomba-jazmin-930-ml-3/p</t>
        </is>
      </c>
      <c r="P48" s="12">
        <f>TRIM(CLEAN(PROPER(D48)))</f>
        <v/>
      </c>
      <c r="Q48" s="12">
        <f>PROPER(TRIM(SUBSTITUTE(SUBSTITUTE(SUBSTITUTE(SUBSTITUTE(E48,"TRESEMME","Tresemme"),"HEAD &amp; SHOULDERS","Head &amp; Shoulders"),"ELVIVE","Elvive"),"FRUCTIS","Fructis")))</f>
        <v/>
      </c>
      <c r="R48" s="12">
        <f>COUNTIF($D$2:$D$10000,D48)&gt;1</f>
        <v/>
      </c>
      <c r="S48" s="12">
        <f>IF(H48=TRUE,"Disponible","No disponible")</f>
        <v/>
      </c>
      <c r="T48" s="12">
        <f>IF(AND(ISNUMBER(I48),I48&gt;0),ROUND(F48/I48,2),"Sin volumen")</f>
        <v/>
      </c>
      <c r="U48" s="12">
        <f>IF(F48&lt;5000,"Bajo",IF(F48&lt;15000,"Medio","Alto"))</f>
        <v/>
      </c>
    </row>
    <row r="49">
      <c r="A49" t="inlineStr">
        <is>
          <t>Disco</t>
        </is>
      </c>
      <c r="B49" t="n">
        <v>3067727</v>
      </c>
      <c r="C49" t="n">
        <v>3067587</v>
      </c>
      <c r="D49" t="inlineStr">
        <is>
          <t>Shampoo Nuhoney 180 Ml Head &amp; Shoulders</t>
        </is>
      </c>
      <c r="E49" t="inlineStr">
        <is>
          <t>HEAD &amp; SHOULDERS</t>
        </is>
      </c>
      <c r="F49" t="n">
        <v>7900</v>
      </c>
      <c r="G49" t="n">
        <v>652893</v>
      </c>
      <c r="H49" t="b">
        <v>1</v>
      </c>
      <c r="I49" t="n">
        <v>180</v>
      </c>
      <c r="J49" t="n">
        <v>43.8889</v>
      </c>
      <c r="K49" t="inlineStr">
        <is>
          <t>&gt; Perfumería &gt; Cuidado Capilar &gt; Shampoo &gt;</t>
        </is>
      </c>
      <c r="L49" t="inlineStr">
        <is>
          <t>shampoo</t>
        </is>
      </c>
      <c r="M49" t="inlineStr">
        <is>
          <t>estandar</t>
        </is>
      </c>
      <c r="N49" t="inlineStr">
        <is>
          <t>general</t>
        </is>
      </c>
      <c r="O49" t="inlineStr">
        <is>
          <t>https://www.disco.com.ar/shampoo-nuhoney-180-ml-head-shoulders/p</t>
        </is>
      </c>
      <c r="P49">
        <f>TRIM(CLEAN(PROPER(D49)))</f>
        <v/>
      </c>
      <c r="Q49">
        <f>PROPER(TRIM(SUBSTITUTE(SUBSTITUTE(SUBSTITUTE(SUBSTITUTE(E49,"TRESEMME","Tresemme"),"HEAD &amp; SHOULDERS","Head &amp; Shoulders"),"ELVIVE","Elvive"),"FRUCTIS","Fructis")))</f>
        <v/>
      </c>
      <c r="R49">
        <f>COUNTIF($D$2:$D$10000,D49)&gt;1</f>
        <v/>
      </c>
      <c r="S49">
        <f>IF(H49=TRUE,"Disponible","No disponible")</f>
        <v/>
      </c>
      <c r="T49">
        <f>IF(AND(ISNUMBER(I49),I49&gt;0),ROUND(F49/I49,2),"Sin volumen")</f>
        <v/>
      </c>
      <c r="U49">
        <f>IF(F49&lt;5000,"Bajo",IF(F49&lt;15000,"Medio","Alto"))</f>
        <v/>
      </c>
    </row>
    <row r="50">
      <c r="A50" s="10" t="inlineStr">
        <is>
          <t>Disco</t>
        </is>
      </c>
      <c r="B50" s="10" t="n">
        <v>397216</v>
      </c>
      <c r="C50" s="10" t="n">
        <v>394957</v>
      </c>
      <c r="D50" s="10" t="inlineStr">
        <is>
          <t>Shampoo Reparador Goodbye Daños 350 Ml Fructis</t>
        </is>
      </c>
      <c r="E50" s="10" t="inlineStr">
        <is>
          <t>FRUCTIS</t>
        </is>
      </c>
      <c r="F50" s="10" t="n">
        <v>8750</v>
      </c>
      <c r="G50" s="10" t="n">
        <v>723141</v>
      </c>
      <c r="H50" s="10" t="b">
        <v>1</v>
      </c>
      <c r="I50" s="10" t="n">
        <v>350</v>
      </c>
      <c r="J50" s="10" t="n">
        <v>25</v>
      </c>
      <c r="K50" s="10" t="inlineStr">
        <is>
          <t>&gt; Perfumería &gt; Cuidado Capilar &gt; Shampoo &gt;</t>
        </is>
      </c>
      <c r="L50" s="10" t="inlineStr">
        <is>
          <t>shampoo</t>
        </is>
      </c>
      <c r="M50" s="10" t="inlineStr">
        <is>
          <t>estandar</t>
        </is>
      </c>
      <c r="N50" s="10" t="inlineStr">
        <is>
          <t>general</t>
        </is>
      </c>
      <c r="O50" s="10" t="inlineStr">
        <is>
          <t>https://www.disco.com.ar/shampoo-garnier-fructis-cabellos-danados-goodbye-danos-350-ml/p</t>
        </is>
      </c>
      <c r="P50" s="12">
        <f>TRIM(CLEAN(PROPER(D50)))</f>
        <v/>
      </c>
      <c r="Q50" s="12">
        <f>PROPER(TRIM(SUBSTITUTE(SUBSTITUTE(SUBSTITUTE(SUBSTITUTE(E50,"TRESEMME","Tresemme"),"HEAD &amp; SHOULDERS","Head &amp; Shoulders"),"ELVIVE","Elvive"),"FRUCTIS","Fructis")))</f>
        <v/>
      </c>
      <c r="R50" s="12">
        <f>COUNTIF($D$2:$D$10000,D50)&gt;1</f>
        <v/>
      </c>
      <c r="S50" s="12">
        <f>IF(H50=TRUE,"Disponible","No disponible")</f>
        <v/>
      </c>
      <c r="T50" s="12">
        <f>IF(AND(ISNUMBER(I50),I50&gt;0),ROUND(F50/I50,2),"Sin volumen")</f>
        <v/>
      </c>
      <c r="U50" s="12">
        <f>IF(F50&lt;5000,"Bajo",IF(F50&lt;15000,"Medio","Alto"))</f>
        <v/>
      </c>
    </row>
    <row r="51">
      <c r="A51" t="inlineStr">
        <is>
          <t>Disco</t>
        </is>
      </c>
      <c r="B51" t="n">
        <v>29577</v>
      </c>
      <c r="C51" t="n">
        <v>26739</v>
      </c>
      <c r="D51" t="inlineStr">
        <is>
          <t>Shampoo Keratina Hair Therapy 350 Ml Capilatis</t>
        </is>
      </c>
      <c r="E51" t="inlineStr">
        <is>
          <t>CAPILATIS</t>
        </is>
      </c>
      <c r="F51" t="n">
        <v>9750</v>
      </c>
      <c r="G51" t="n">
        <v>805785</v>
      </c>
      <c r="H51" t="b">
        <v>1</v>
      </c>
      <c r="I51" t="n">
        <v>350</v>
      </c>
      <c r="J51" t="n">
        <v>27.8571</v>
      </c>
      <c r="K51" t="inlineStr">
        <is>
          <t>&gt; Perfumería &gt; Cuidado Capilar &gt; Shampoo &gt;</t>
        </is>
      </c>
      <c r="L51" t="inlineStr">
        <is>
          <t>shampoo</t>
        </is>
      </c>
      <c r="M51" t="inlineStr">
        <is>
          <t>estandar</t>
        </is>
      </c>
      <c r="N51" t="inlineStr">
        <is>
          <t>tratado</t>
        </is>
      </c>
      <c r="O51" t="inlineStr">
        <is>
          <t>https://www.disco.com.ar/shampoo-keratina-hair-therapy-350-ml-capilatis/p</t>
        </is>
      </c>
      <c r="P51">
        <f>TRIM(CLEAN(PROPER(D51)))</f>
        <v/>
      </c>
      <c r="Q51">
        <f>PROPER(TRIM(SUBSTITUTE(SUBSTITUTE(SUBSTITUTE(SUBSTITUTE(E51,"TRESEMME","Tresemme"),"HEAD &amp; SHOULDERS","Head &amp; Shoulders"),"ELVIVE","Elvive"),"FRUCTIS","Fructis")))</f>
        <v/>
      </c>
      <c r="R51">
        <f>COUNTIF($D$2:$D$10000,D51)&gt;1</f>
        <v/>
      </c>
      <c r="S51">
        <f>IF(H51=TRUE,"Disponible","No disponible")</f>
        <v/>
      </c>
      <c r="T51">
        <f>IF(AND(ISNUMBER(I51),I51&gt;0),ROUND(F51/I51,2),"Sin volumen")</f>
        <v/>
      </c>
      <c r="U51">
        <f>IF(F51&lt;5000,"Bajo",IF(F51&lt;15000,"Medio","Alto"))</f>
        <v/>
      </c>
    </row>
    <row r="52">
      <c r="A52" s="10" t="inlineStr">
        <is>
          <t>Disco</t>
        </is>
      </c>
      <c r="B52" s="10" t="n">
        <v>276976</v>
      </c>
      <c r="C52" s="10" t="n">
        <v>276262</v>
      </c>
      <c r="D52" s="10" t="inlineStr">
        <is>
          <t>Shampoo Nutrición Natural Oil 420 Ml Capilatis</t>
        </is>
      </c>
      <c r="E52" s="10" t="inlineStr">
        <is>
          <t>CAPILATIS</t>
        </is>
      </c>
      <c r="F52" s="10" t="n">
        <v>10950</v>
      </c>
      <c r="G52" s="10" t="n">
        <v>904959</v>
      </c>
      <c r="H52" s="10" t="b">
        <v>1</v>
      </c>
      <c r="I52" s="10" t="n">
        <v>420</v>
      </c>
      <c r="J52" s="10" t="n">
        <v>26.0714</v>
      </c>
      <c r="K52" s="10" t="inlineStr">
        <is>
          <t>&gt; Perfumería &gt; Cuidado Capilar &gt; Shampoo &gt;</t>
        </is>
      </c>
      <c r="L52" s="10" t="inlineStr">
        <is>
          <t>shampoo</t>
        </is>
      </c>
      <c r="M52" s="10" t="inlineStr">
        <is>
          <t>estandar</t>
        </is>
      </c>
      <c r="N52" s="10" t="inlineStr">
        <is>
          <t>general</t>
        </is>
      </c>
      <c r="O52" s="10" t="inlineStr">
        <is>
          <t>https://www.disco.com.ar/shampoo-capilatis-oil-420-ml-natural/p</t>
        </is>
      </c>
      <c r="P52" s="12">
        <f>TRIM(CLEAN(PROPER(D52)))</f>
        <v/>
      </c>
      <c r="Q52" s="12">
        <f>PROPER(TRIM(SUBSTITUTE(SUBSTITUTE(SUBSTITUTE(SUBSTITUTE(E52,"TRESEMME","Tresemme"),"HEAD &amp; SHOULDERS","Head &amp; Shoulders"),"ELVIVE","Elvive"),"FRUCTIS","Fructis")))</f>
        <v/>
      </c>
      <c r="R52" s="12">
        <f>COUNTIF($D$2:$D$10000,D52)&gt;1</f>
        <v/>
      </c>
      <c r="S52" s="12">
        <f>IF(H52=TRUE,"Disponible","No disponible")</f>
        <v/>
      </c>
      <c r="T52" s="12">
        <f>IF(AND(ISNUMBER(I52),I52&gt;0),ROUND(F52/I52,2),"Sin volumen")</f>
        <v/>
      </c>
      <c r="U52" s="12">
        <f>IF(F52&lt;5000,"Bajo",IF(F52&lt;15000,"Medio","Alto"))</f>
        <v/>
      </c>
    </row>
    <row r="53">
      <c r="A53" t="inlineStr">
        <is>
          <t>Disco</t>
        </is>
      </c>
      <c r="B53" t="n">
        <v>3067684</v>
      </c>
      <c r="C53" t="n">
        <v>3067546</v>
      </c>
      <c r="D53" t="inlineStr">
        <is>
          <t>Shampoo Nuhoney 375 Ml Head &amp; Shoulders</t>
        </is>
      </c>
      <c r="E53" t="inlineStr">
        <is>
          <t>HEAD &amp; SHOULDERS</t>
        </is>
      </c>
      <c r="F53" t="n">
        <v>13100</v>
      </c>
      <c r="G53" t="n">
        <v>1082645</v>
      </c>
      <c r="H53" t="b">
        <v>1</v>
      </c>
      <c r="I53" t="n">
        <v>375</v>
      </c>
      <c r="J53" t="n">
        <v>34.9333</v>
      </c>
      <c r="K53" t="inlineStr">
        <is>
          <t>&gt; Perfumería &gt; Cuidado Capilar &gt; Shampoo &gt;</t>
        </is>
      </c>
      <c r="L53" t="inlineStr">
        <is>
          <t>shampoo</t>
        </is>
      </c>
      <c r="M53" t="inlineStr">
        <is>
          <t>estandar</t>
        </is>
      </c>
      <c r="N53" t="inlineStr">
        <is>
          <t>general</t>
        </is>
      </c>
      <c r="O53" t="inlineStr">
        <is>
          <t>https://www.disco.com.ar/shampoo-nuhoney-375-ml-head-shoulders/p</t>
        </is>
      </c>
      <c r="P53">
        <f>TRIM(CLEAN(PROPER(D53)))</f>
        <v/>
      </c>
      <c r="Q53">
        <f>PROPER(TRIM(SUBSTITUTE(SUBSTITUTE(SUBSTITUTE(SUBSTITUTE(E53,"TRESEMME","Tresemme"),"HEAD &amp; SHOULDERS","Head &amp; Shoulders"),"ELVIVE","Elvive"),"FRUCTIS","Fructis")))</f>
        <v/>
      </c>
      <c r="R53">
        <f>COUNTIF($D$2:$D$10000,D53)&gt;1</f>
        <v/>
      </c>
      <c r="S53">
        <f>IF(H53=TRUE,"Disponible","No disponible")</f>
        <v/>
      </c>
      <c r="T53">
        <f>IF(AND(ISNUMBER(I53),I53&gt;0),ROUND(F53/I53,2),"Sin volumen")</f>
        <v/>
      </c>
      <c r="U53">
        <f>IF(F53&lt;5000,"Bajo",IF(F53&lt;15000,"Medio","Alto"))</f>
        <v/>
      </c>
    </row>
    <row r="54">
      <c r="A54" s="10" t="inlineStr">
        <is>
          <t>Disco</t>
        </is>
      </c>
      <c r="B54" s="10" t="n">
        <v>3067581</v>
      </c>
      <c r="C54" s="10" t="n">
        <v>3067445</v>
      </c>
      <c r="D54" s="10" t="inlineStr">
        <is>
          <t>Shampoo Luminous Uv X 190 Ml Sedal</t>
        </is>
      </c>
      <c r="E54" s="10" t="inlineStr">
        <is>
          <t>SEDAL</t>
        </is>
      </c>
      <c r="F54" s="10" t="n">
        <v>3950</v>
      </c>
      <c r="G54" s="10" t="n">
        <v>326446</v>
      </c>
      <c r="H54" s="10" t="b">
        <v>1</v>
      </c>
      <c r="I54" s="10" t="n">
        <v>190</v>
      </c>
      <c r="J54" s="10" t="n">
        <v>20.7895</v>
      </c>
      <c r="K54" s="10" t="inlineStr">
        <is>
          <t>&gt; Perfumería &gt; Cuidado Capilar &gt; Shampoo &gt;</t>
        </is>
      </c>
      <c r="L54" s="10" t="inlineStr">
        <is>
          <t>shampoo</t>
        </is>
      </c>
      <c r="M54" s="10" t="inlineStr">
        <is>
          <t>estandar</t>
        </is>
      </c>
      <c r="N54" s="10" t="inlineStr">
        <is>
          <t>general</t>
        </is>
      </c>
      <c r="O54" s="10" t="inlineStr">
        <is>
          <t>https://www.disco.com.ar/shampoo-luminous-uv-x-190-ml-sedal-2/p</t>
        </is>
      </c>
      <c r="P54" s="12">
        <f>TRIM(CLEAN(PROPER(D54)))</f>
        <v/>
      </c>
      <c r="Q54" s="12">
        <f>PROPER(TRIM(SUBSTITUTE(SUBSTITUTE(SUBSTITUTE(SUBSTITUTE(E54,"TRESEMME","Tresemme"),"HEAD &amp; SHOULDERS","Head &amp; Shoulders"),"ELVIVE","Elvive"),"FRUCTIS","Fructis")))</f>
        <v/>
      </c>
      <c r="R54" s="12">
        <f>COUNTIF($D$2:$D$10000,D54)&gt;1</f>
        <v/>
      </c>
      <c r="S54" s="12">
        <f>IF(H54=TRUE,"Disponible","No disponible")</f>
        <v/>
      </c>
      <c r="T54" s="12">
        <f>IF(AND(ISNUMBER(I54),I54&gt;0),ROUND(F54/I54,2),"Sin volumen")</f>
        <v/>
      </c>
      <c r="U54" s="12">
        <f>IF(F54&lt;5000,"Bajo",IF(F54&lt;15000,"Medio","Alto"))</f>
        <v/>
      </c>
    </row>
    <row r="55">
      <c r="A55" t="inlineStr">
        <is>
          <t>Disco</t>
        </is>
      </c>
      <c r="B55" t="n">
        <v>424110</v>
      </c>
      <c r="C55" t="n">
        <v>417111</v>
      </c>
      <c r="D55" t="inlineStr">
        <is>
          <t>Shampoo Argan 650 Ml Head &amp; Shoulders</t>
        </is>
      </c>
      <c r="E55" t="inlineStr">
        <is>
          <t>HEAD &amp; SHOULDERS</t>
        </is>
      </c>
      <c r="F55" t="n">
        <v>19950</v>
      </c>
      <c r="G55" t="n">
        <v>1648760</v>
      </c>
      <c r="H55" t="b">
        <v>1</v>
      </c>
      <c r="I55" t="n">
        <v>650</v>
      </c>
      <c r="J55" t="n">
        <v>30.6923</v>
      </c>
      <c r="K55" t="inlineStr">
        <is>
          <t>&gt; Perfumería &gt; Cuidado Capilar &gt; Shampoo &gt;</t>
        </is>
      </c>
      <c r="L55" t="inlineStr">
        <is>
          <t>shampoo</t>
        </is>
      </c>
      <c r="M55" t="inlineStr">
        <is>
          <t>estandar</t>
        </is>
      </c>
      <c r="N55" t="inlineStr">
        <is>
          <t>general</t>
        </is>
      </c>
      <c r="O55" t="inlineStr">
        <is>
          <t>https://www.disco.com.ar/shampoo-argan-650-ml-head-shoulders-2/p</t>
        </is>
      </c>
      <c r="P55">
        <f>TRIM(CLEAN(PROPER(D55)))</f>
        <v/>
      </c>
      <c r="Q55">
        <f>PROPER(TRIM(SUBSTITUTE(SUBSTITUTE(SUBSTITUTE(SUBSTITUTE(E55,"TRESEMME","Tresemme"),"HEAD &amp; SHOULDERS","Head &amp; Shoulders"),"ELVIVE","Elvive"),"FRUCTIS","Fructis")))</f>
        <v/>
      </c>
      <c r="R55">
        <f>COUNTIF($D$2:$D$10000,D55)&gt;1</f>
        <v/>
      </c>
      <c r="S55">
        <f>IF(H55=TRUE,"Disponible","No disponible")</f>
        <v/>
      </c>
      <c r="T55">
        <f>IF(AND(ISNUMBER(I55),I55&gt;0),ROUND(F55/I55,2),"Sin volumen")</f>
        <v/>
      </c>
      <c r="U55">
        <f>IF(F55&lt;5000,"Bajo",IF(F55&lt;15000,"Medio","Alto"))</f>
        <v/>
      </c>
    </row>
    <row r="56">
      <c r="A56" s="10" t="inlineStr">
        <is>
          <t>Disco</t>
        </is>
      </c>
      <c r="B56" s="10" t="n">
        <v>414722</v>
      </c>
      <c r="C56" s="10" t="n">
        <v>410423</v>
      </c>
      <c r="D56" s="10" t="inlineStr">
        <is>
          <t>Shampoo Kids Fragancia Prolongada 400 Ml Johnson's</t>
        </is>
      </c>
      <c r="E56" s="10" t="inlineStr">
        <is>
          <t>JOHNSON BABY</t>
        </is>
      </c>
      <c r="F56" s="10" t="n">
        <v>10450</v>
      </c>
      <c r="G56" s="10" t="n">
        <v>863636</v>
      </c>
      <c r="H56" s="10" t="b">
        <v>1</v>
      </c>
      <c r="I56" s="10" t="n">
        <v>400</v>
      </c>
      <c r="J56" s="10" t="n">
        <v>26.125</v>
      </c>
      <c r="K56" s="10" t="inlineStr">
        <is>
          <t>&gt; Mundo Bebe &gt; Higiene para el Bebe &gt; Higiene del Bebé &gt;</t>
        </is>
      </c>
      <c r="L56" s="10" t="inlineStr">
        <is>
          <t>shampoo</t>
        </is>
      </c>
      <c r="M56" s="10" t="inlineStr">
        <is>
          <t>estandar</t>
        </is>
      </c>
      <c r="N56" s="10" t="inlineStr">
        <is>
          <t>bebe</t>
        </is>
      </c>
      <c r="O56" s="10" t="inlineStr">
        <is>
          <t>https://www.disco.com.ar/shampoo-baby-fragancia-prolongada-400-ml-johnson-s/p</t>
        </is>
      </c>
      <c r="P56" s="12">
        <f>TRIM(CLEAN(PROPER(D56)))</f>
        <v/>
      </c>
      <c r="Q56" s="12">
        <f>PROPER(TRIM(SUBSTITUTE(SUBSTITUTE(SUBSTITUTE(SUBSTITUTE(E56,"TRESEMME","Tresemme"),"HEAD &amp; SHOULDERS","Head &amp; Shoulders"),"ELVIVE","Elvive"),"FRUCTIS","Fructis")))</f>
        <v/>
      </c>
      <c r="R56" s="12">
        <f>COUNTIF($D$2:$D$10000,D56)&gt;1</f>
        <v/>
      </c>
      <c r="S56" s="12">
        <f>IF(H56=TRUE,"Disponible","No disponible")</f>
        <v/>
      </c>
      <c r="T56" s="12">
        <f>IF(AND(ISNUMBER(I56),I56&gt;0),ROUND(F56/I56,2),"Sin volumen")</f>
        <v/>
      </c>
      <c r="U56" s="12">
        <f>IF(F56&lt;5000,"Bajo",IF(F56&lt;15000,"Medio","Alto"))</f>
        <v/>
      </c>
    </row>
    <row r="57">
      <c r="A57" t="inlineStr">
        <is>
          <t>Disco</t>
        </is>
      </c>
      <c r="B57" t="n">
        <v>413344</v>
      </c>
      <c r="C57" t="n">
        <v>409225</v>
      </c>
      <c r="D57" t="inlineStr">
        <is>
          <t>Shampoo Tresemme Liso Efecto Botox 880 Ml</t>
        </is>
      </c>
      <c r="E57" t="inlineStr">
        <is>
          <t>TRESEMMÉ</t>
        </is>
      </c>
      <c r="F57" t="n">
        <v>17050</v>
      </c>
      <c r="G57" t="n">
        <v>1409091</v>
      </c>
      <c r="H57" t="b">
        <v>1</v>
      </c>
      <c r="I57" t="n">
        <v>880</v>
      </c>
      <c r="J57" t="n">
        <v>19.375</v>
      </c>
      <c r="K57" t="inlineStr">
        <is>
          <t>&gt; Perfumería &gt; Cuidado Capilar &gt; Shampoo &gt;</t>
        </is>
      </c>
      <c r="L57" t="inlineStr">
        <is>
          <t>shampoo</t>
        </is>
      </c>
      <c r="M57" t="inlineStr">
        <is>
          <t>estandar</t>
        </is>
      </c>
      <c r="N57" t="inlineStr">
        <is>
          <t>general</t>
        </is>
      </c>
      <c r="O57" t="inlineStr">
        <is>
          <t>https://www.disco.com.ar/shampoo-tresemme-liso-efecto-botox-880-ml/p</t>
        </is>
      </c>
      <c r="P57">
        <f>TRIM(CLEAN(PROPER(D57)))</f>
        <v/>
      </c>
      <c r="Q57">
        <f>PROPER(TRIM(SUBSTITUTE(SUBSTITUTE(SUBSTITUTE(SUBSTITUTE(E57,"TRESEMME","Tresemme"),"HEAD &amp; SHOULDERS","Head &amp; Shoulders"),"ELVIVE","Elvive"),"FRUCTIS","Fructis")))</f>
        <v/>
      </c>
      <c r="R57">
        <f>COUNTIF($D$2:$D$10000,D57)&gt;1</f>
        <v/>
      </c>
      <c r="S57">
        <f>IF(H57=TRUE,"Disponible","No disponible")</f>
        <v/>
      </c>
      <c r="T57">
        <f>IF(AND(ISNUMBER(I57),I57&gt;0),ROUND(F57/I57,2),"Sin volumen")</f>
        <v/>
      </c>
      <c r="U57">
        <f>IF(F57&lt;5000,"Bajo",IF(F57&lt;15000,"Medio","Alto"))</f>
        <v/>
      </c>
    </row>
    <row r="58">
      <c r="A58" s="10" t="inlineStr">
        <is>
          <t>Disco</t>
        </is>
      </c>
      <c r="B58" s="10" t="n">
        <v>3070280</v>
      </c>
      <c r="C58" s="10" t="n">
        <v>3069873</v>
      </c>
      <c r="D58" s="10" t="inlineStr">
        <is>
          <t>Shampoo Liso Efecto Profesional 500 Ml Tresemmé</t>
        </is>
      </c>
      <c r="E58" s="10" t="inlineStr">
        <is>
          <t>TRESEMMÉ</t>
        </is>
      </c>
      <c r="F58" s="10" t="n">
        <v>10750</v>
      </c>
      <c r="G58" s="10" t="n">
        <v>888430</v>
      </c>
      <c r="H58" s="10" t="b">
        <v>1</v>
      </c>
      <c r="I58" s="10" t="n">
        <v>500</v>
      </c>
      <c r="J58" s="10" t="n">
        <v>21.5</v>
      </c>
      <c r="K58" s="10" t="inlineStr">
        <is>
          <t>&gt; Perfumería &gt; Cuidado Capilar &gt; Shampoo &gt;</t>
        </is>
      </c>
      <c r="L58" s="10" t="inlineStr">
        <is>
          <t>shampoo</t>
        </is>
      </c>
      <c r="M58" s="10" t="inlineStr">
        <is>
          <t>profesional</t>
        </is>
      </c>
      <c r="N58" s="10" t="inlineStr">
        <is>
          <t>general</t>
        </is>
      </c>
      <c r="O58" s="10" t="inlineStr">
        <is>
          <t>https://www.disco.com.ar/shampoo-liso-perfecto-profesional-x-500-ml-tresemme-2/p</t>
        </is>
      </c>
      <c r="P58" s="12">
        <f>TRIM(CLEAN(PROPER(D58)))</f>
        <v/>
      </c>
      <c r="Q58" s="12">
        <f>PROPER(TRIM(SUBSTITUTE(SUBSTITUTE(SUBSTITUTE(SUBSTITUTE(E58,"TRESEMME","Tresemme"),"HEAD &amp; SHOULDERS","Head &amp; Shoulders"),"ELVIVE","Elvive"),"FRUCTIS","Fructis")))</f>
        <v/>
      </c>
      <c r="R58" s="12">
        <f>COUNTIF($D$2:$D$10000,D58)&gt;1</f>
        <v/>
      </c>
      <c r="S58" s="12">
        <f>IF(H58=TRUE,"Disponible","No disponible")</f>
        <v/>
      </c>
      <c r="T58" s="12">
        <f>IF(AND(ISNUMBER(I58),I58&gt;0),ROUND(F58/I58,2),"Sin volumen")</f>
        <v/>
      </c>
      <c r="U58" s="12">
        <f>IF(F58&lt;5000,"Bajo",IF(F58&lt;15000,"Medio","Alto"))</f>
        <v/>
      </c>
    </row>
    <row r="59">
      <c r="A59" t="inlineStr">
        <is>
          <t>Disco</t>
        </is>
      </c>
      <c r="B59" t="n">
        <v>119611</v>
      </c>
      <c r="C59" t="n">
        <v>118639</v>
      </c>
      <c r="D59" t="inlineStr">
        <is>
          <t>Shampoo para Bebé Original 400 Ml Johnson's</t>
        </is>
      </c>
      <c r="E59" t="inlineStr">
        <is>
          <t>JOHNSON BABY</t>
        </is>
      </c>
      <c r="F59" t="n">
        <v>12350</v>
      </c>
      <c r="G59" t="n">
        <v>1020661</v>
      </c>
      <c r="H59" t="b">
        <v>1</v>
      </c>
      <c r="I59" t="n">
        <v>400</v>
      </c>
      <c r="J59" t="n">
        <v>30.875</v>
      </c>
      <c r="K59" t="inlineStr">
        <is>
          <t>&gt; Mundo Bebe &gt; Higiene para el Bebe &gt; Higiene del Bebé &gt;</t>
        </is>
      </c>
      <c r="L59" t="inlineStr">
        <is>
          <t>shampoo</t>
        </is>
      </c>
      <c r="M59" t="inlineStr">
        <is>
          <t>estandar</t>
        </is>
      </c>
      <c r="N59" t="inlineStr">
        <is>
          <t>bebe</t>
        </is>
      </c>
      <c r="O59" t="inlineStr">
        <is>
          <t>https://www.disco.com.ar/toallas-femeninas-con-alas-siempre-libre-especial-8-un/p</t>
        </is>
      </c>
      <c r="P59">
        <f>TRIM(CLEAN(PROPER(D59)))</f>
        <v/>
      </c>
      <c r="Q59">
        <f>PROPER(TRIM(SUBSTITUTE(SUBSTITUTE(SUBSTITUTE(SUBSTITUTE(E59,"TRESEMME","Tresemme"),"HEAD &amp; SHOULDERS","Head &amp; Shoulders"),"ELVIVE","Elvive"),"FRUCTIS","Fructis")))</f>
        <v/>
      </c>
      <c r="R59">
        <f>COUNTIF($D$2:$D$10000,D59)&gt;1</f>
        <v/>
      </c>
      <c r="S59">
        <f>IF(H59=TRUE,"Disponible","No disponible")</f>
        <v/>
      </c>
      <c r="T59">
        <f>IF(AND(ISNUMBER(I59),I59&gt;0),ROUND(F59/I59,2),"Sin volumen")</f>
        <v/>
      </c>
      <c r="U59">
        <f>IF(F59&lt;5000,"Bajo",IF(F59&lt;15000,"Medio","Alto"))</f>
        <v/>
      </c>
    </row>
    <row r="60">
      <c r="A60" s="10" t="inlineStr">
        <is>
          <t>Disco</t>
        </is>
      </c>
      <c r="B60" s="10" t="n">
        <v>1361444</v>
      </c>
      <c r="C60" s="10" t="n">
        <v>1360832</v>
      </c>
      <c r="D60" s="10" t="inlineStr">
        <is>
          <t>Shampoo Nutrición Esencia Revitalizante 700 Ml Plusbelle</t>
        </is>
      </c>
      <c r="E60" s="10" t="inlineStr">
        <is>
          <t>PLUSBELLE</t>
        </is>
      </c>
      <c r="F60" s="10" t="n">
        <v>5650</v>
      </c>
      <c r="G60" s="10" t="n">
        <v>466942</v>
      </c>
      <c r="H60" s="10" t="b">
        <v>1</v>
      </c>
      <c r="I60" s="10" t="n">
        <v>700</v>
      </c>
      <c r="J60" s="10" t="n">
        <v>8.071400000000001</v>
      </c>
      <c r="K60" s="10" t="inlineStr">
        <is>
          <t>&gt; Perfumería &gt; Cuidado Capilar &gt; Shampoo &gt;</t>
        </is>
      </c>
      <c r="L60" s="10" t="inlineStr">
        <is>
          <t>shampoo</t>
        </is>
      </c>
      <c r="M60" s="10" t="inlineStr">
        <is>
          <t>estandar</t>
        </is>
      </c>
      <c r="N60" s="10" t="inlineStr">
        <is>
          <t>general</t>
        </is>
      </c>
      <c r="O60" s="10" t="inlineStr">
        <is>
          <t>https://www.disco.com.ar/shampoo-plusbelle-esencia-revitalizante-700ml-2/p</t>
        </is>
      </c>
      <c r="P60" s="12">
        <f>TRIM(CLEAN(PROPER(D60)))</f>
        <v/>
      </c>
      <c r="Q60" s="12">
        <f>PROPER(TRIM(SUBSTITUTE(SUBSTITUTE(SUBSTITUTE(SUBSTITUTE(E60,"TRESEMME","Tresemme"),"HEAD &amp; SHOULDERS","Head &amp; Shoulders"),"ELVIVE","Elvive"),"FRUCTIS","Fructis")))</f>
        <v/>
      </c>
      <c r="R60" s="12">
        <f>COUNTIF($D$2:$D$10000,D60)&gt;1</f>
        <v/>
      </c>
      <c r="S60" s="12">
        <f>IF(H60=TRUE,"Disponible","No disponible")</f>
        <v/>
      </c>
      <c r="T60" s="12">
        <f>IF(AND(ISNUMBER(I60),I60&gt;0),ROUND(F60/I60,2),"Sin volumen")</f>
        <v/>
      </c>
      <c r="U60" s="12">
        <f>IF(F60&lt;5000,"Bajo",IF(F60&lt;15000,"Medio","Alto"))</f>
        <v/>
      </c>
    </row>
    <row r="61">
      <c r="A61" t="inlineStr">
        <is>
          <t>Disco</t>
        </is>
      </c>
      <c r="B61" t="n">
        <v>388708</v>
      </c>
      <c r="C61" t="n">
        <v>386820</v>
      </c>
      <c r="D61" t="inlineStr">
        <is>
          <t>Shampoo Nutrición Oleo Extraordinario 200 Ml Elvive</t>
        </is>
      </c>
      <c r="E61" t="inlineStr">
        <is>
          <t>ELVIVE</t>
        </is>
      </c>
      <c r="F61" t="n">
        <v>7650</v>
      </c>
      <c r="G61" t="n">
        <v>632231</v>
      </c>
      <c r="H61" t="b">
        <v>1</v>
      </c>
      <c r="I61" t="n">
        <v>200</v>
      </c>
      <c r="J61" t="n">
        <v>38.25</v>
      </c>
      <c r="K61" t="inlineStr">
        <is>
          <t>&gt; Perfumería &gt; Cuidado Capilar &gt; Shampoo &gt;</t>
        </is>
      </c>
      <c r="L61" t="inlineStr">
        <is>
          <t>shampoo</t>
        </is>
      </c>
      <c r="M61" t="inlineStr">
        <is>
          <t>profesional</t>
        </is>
      </c>
      <c r="N61" t="inlineStr">
        <is>
          <t>general</t>
        </is>
      </c>
      <c r="O61" t="inlineStr">
        <is>
          <t>https://www.disco.com.ar/shampoo-elvive-oleo-extraordinario-nutricion-universal-200-ml/p</t>
        </is>
      </c>
      <c r="P61">
        <f>TRIM(CLEAN(PROPER(D61)))</f>
        <v/>
      </c>
      <c r="Q61">
        <f>PROPER(TRIM(SUBSTITUTE(SUBSTITUTE(SUBSTITUTE(SUBSTITUTE(E61,"TRESEMME","Tresemme"),"HEAD &amp; SHOULDERS","Head &amp; Shoulders"),"ELVIVE","Elvive"),"FRUCTIS","Fructis")))</f>
        <v/>
      </c>
      <c r="R61">
        <f>COUNTIF($D$2:$D$10000,D61)&gt;1</f>
        <v/>
      </c>
      <c r="S61">
        <f>IF(H61=TRUE,"Disponible","No disponible")</f>
        <v/>
      </c>
      <c r="T61">
        <f>IF(AND(ISNUMBER(I61),I61&gt;0),ROUND(F61/I61,2),"Sin volumen")</f>
        <v/>
      </c>
      <c r="U61">
        <f>IF(F61&lt;5000,"Bajo",IF(F61&lt;15000,"Medio","Alto"))</f>
        <v/>
      </c>
    </row>
    <row r="62">
      <c r="A62" s="10" t="inlineStr">
        <is>
          <t>Disco</t>
        </is>
      </c>
      <c r="B62" s="10" t="n">
        <v>275447</v>
      </c>
      <c r="C62" s="10" t="n">
        <v>274743</v>
      </c>
      <c r="D62" s="10" t="inlineStr">
        <is>
          <t>Shampoo Antifall 180 Ml Head &amp; Shoulders</t>
        </is>
      </c>
      <c r="E62" s="10" t="inlineStr">
        <is>
          <t>HEAD &amp; SHOULDERS</t>
        </is>
      </c>
      <c r="F62" s="10" t="n">
        <v>7900</v>
      </c>
      <c r="G62" s="10" t="n">
        <v>652893</v>
      </c>
      <c r="H62" s="10" t="b">
        <v>1</v>
      </c>
      <c r="I62" s="10" t="n">
        <v>180</v>
      </c>
      <c r="J62" s="10" t="n">
        <v>43.8889</v>
      </c>
      <c r="K62" s="10" t="inlineStr">
        <is>
          <t>&gt; Perfumería &gt; Cuidado Capilar &gt; Shampoo &gt;</t>
        </is>
      </c>
      <c r="L62" s="10" t="inlineStr">
        <is>
          <t>shampoo</t>
        </is>
      </c>
      <c r="M62" s="10" t="inlineStr">
        <is>
          <t>estandar</t>
        </is>
      </c>
      <c r="N62" s="10" t="inlineStr">
        <is>
          <t>general</t>
        </is>
      </c>
      <c r="O62" s="10" t="inlineStr">
        <is>
          <t>https://www.disco.com.ar/shampoo-antifall-180-ml-head-shoulders-2/p</t>
        </is>
      </c>
      <c r="P62" s="12">
        <f>TRIM(CLEAN(PROPER(D62)))</f>
        <v/>
      </c>
      <c r="Q62" s="12">
        <f>PROPER(TRIM(SUBSTITUTE(SUBSTITUTE(SUBSTITUTE(SUBSTITUTE(E62,"TRESEMME","Tresemme"),"HEAD &amp; SHOULDERS","Head &amp; Shoulders"),"ELVIVE","Elvive"),"FRUCTIS","Fructis")))</f>
        <v/>
      </c>
      <c r="R62" s="12">
        <f>COUNTIF($D$2:$D$10000,D62)&gt;1</f>
        <v/>
      </c>
      <c r="S62" s="12">
        <f>IF(H62=TRUE,"Disponible","No disponible")</f>
        <v/>
      </c>
      <c r="T62" s="12">
        <f>IF(AND(ISNUMBER(I62),I62&gt;0),ROUND(F62/I62,2),"Sin volumen")</f>
        <v/>
      </c>
      <c r="U62" s="12">
        <f>IF(F62&lt;5000,"Bajo",IF(F62&lt;15000,"Medio","Alto"))</f>
        <v/>
      </c>
    </row>
    <row r="63">
      <c r="A63" t="inlineStr">
        <is>
          <t>Disco</t>
        </is>
      </c>
      <c r="B63" t="n">
        <v>5996</v>
      </c>
      <c r="C63" t="n">
        <v>3384</v>
      </c>
      <c r="D63" t="inlineStr">
        <is>
          <t>Shampoo Iluminador Puro Rubio 420 Ml Capilatis</t>
        </is>
      </c>
      <c r="E63" t="inlineStr">
        <is>
          <t>CAPILATIS</t>
        </is>
      </c>
      <c r="F63" t="n">
        <v>9750</v>
      </c>
      <c r="G63" t="n">
        <v>805785</v>
      </c>
      <c r="H63" t="b">
        <v>1</v>
      </c>
      <c r="I63" t="n">
        <v>420</v>
      </c>
      <c r="J63" t="n">
        <v>23.2143</v>
      </c>
      <c r="K63" t="inlineStr">
        <is>
          <t>&gt; Perfumería &gt; Cuidado Capilar &gt; Shampoo &gt;</t>
        </is>
      </c>
      <c r="L63" t="inlineStr">
        <is>
          <t>shampoo</t>
        </is>
      </c>
      <c r="M63" t="inlineStr">
        <is>
          <t>estandar</t>
        </is>
      </c>
      <c r="N63" t="inlineStr">
        <is>
          <t>general</t>
        </is>
      </c>
      <c r="O63" t="inlineStr">
        <is>
          <t>https://www.disco.com.ar/shampoo-capilatis-iluminador-420-ml/p</t>
        </is>
      </c>
      <c r="P63">
        <f>TRIM(CLEAN(PROPER(D63)))</f>
        <v/>
      </c>
      <c r="Q63">
        <f>PROPER(TRIM(SUBSTITUTE(SUBSTITUTE(SUBSTITUTE(SUBSTITUTE(E63,"TRESEMME","Tresemme"),"HEAD &amp; SHOULDERS","Head &amp; Shoulders"),"ELVIVE","Elvive"),"FRUCTIS","Fructis")))</f>
        <v/>
      </c>
      <c r="R63">
        <f>COUNTIF($D$2:$D$10000,D63)&gt;1</f>
        <v/>
      </c>
      <c r="S63">
        <f>IF(H63=TRUE,"Disponible","No disponible")</f>
        <v/>
      </c>
      <c r="T63">
        <f>IF(AND(ISNUMBER(I63),I63&gt;0),ROUND(F63/I63,2),"Sin volumen")</f>
        <v/>
      </c>
      <c r="U63">
        <f>IF(F63&lt;5000,"Bajo",IF(F63&lt;15000,"Medio","Alto"))</f>
        <v/>
      </c>
    </row>
    <row r="64">
      <c r="A64" s="10" t="inlineStr">
        <is>
          <t>Disco</t>
        </is>
      </c>
      <c r="B64" s="10" t="n">
        <v>3086634</v>
      </c>
      <c r="C64" s="10" t="n">
        <v>3085858</v>
      </c>
      <c r="D64" s="10" t="inlineStr">
        <is>
          <t>Shampoo Purificante Oil Control 200 Ml Fructis Shampoo Oil Control X 200 Ml Fructis</t>
        </is>
      </c>
      <c r="E64" s="10" t="inlineStr">
        <is>
          <t>FRUCTIS</t>
        </is>
      </c>
      <c r="F64" s="10" t="n">
        <v>5950</v>
      </c>
      <c r="G64" s="10" t="n">
        <v>491736</v>
      </c>
      <c r="H64" s="10" t="b">
        <v>1</v>
      </c>
      <c r="I64" s="10" t="n">
        <v>200</v>
      </c>
      <c r="J64" s="10" t="n">
        <v>29.75</v>
      </c>
      <c r="K64" s="10" t="inlineStr">
        <is>
          <t>&gt; Perfumería &gt; Cuidado Capilar &gt; Shampoo &gt;</t>
        </is>
      </c>
      <c r="L64" s="10" t="inlineStr">
        <is>
          <t>shampoo</t>
        </is>
      </c>
      <c r="M64" s="10" t="inlineStr">
        <is>
          <t>estandar</t>
        </is>
      </c>
      <c r="N64" s="10" t="inlineStr">
        <is>
          <t>general</t>
        </is>
      </c>
      <c r="O64" s="10" t="inlineStr">
        <is>
          <t>https://www.disco.com.ar/shampoo-oil-control-x-200-ml-fructis/p</t>
        </is>
      </c>
      <c r="P64" s="12">
        <f>TRIM(CLEAN(PROPER(D64)))</f>
        <v/>
      </c>
      <c r="Q64" s="12">
        <f>PROPER(TRIM(SUBSTITUTE(SUBSTITUTE(SUBSTITUTE(SUBSTITUTE(E64,"TRESEMME","Tresemme"),"HEAD &amp; SHOULDERS","Head &amp; Shoulders"),"ELVIVE","Elvive"),"FRUCTIS","Fructis")))</f>
        <v/>
      </c>
      <c r="R64" s="12">
        <f>COUNTIF($D$2:$D$10000,D64)&gt;1</f>
        <v/>
      </c>
      <c r="S64" s="12">
        <f>IF(H64=TRUE,"Disponible","No disponible")</f>
        <v/>
      </c>
      <c r="T64" s="12">
        <f>IF(AND(ISNUMBER(I64),I64&gt;0),ROUND(F64/I64,2),"Sin volumen")</f>
        <v/>
      </c>
      <c r="U64" s="12">
        <f>IF(F64&lt;5000,"Bajo",IF(F64&lt;15000,"Medio","Alto"))</f>
        <v/>
      </c>
    </row>
    <row r="65">
      <c r="A65" t="inlineStr">
        <is>
          <t>Disco</t>
        </is>
      </c>
      <c r="B65" t="n">
        <v>1365007</v>
      </c>
      <c r="C65" t="n">
        <v>1363955</v>
      </c>
      <c r="D65" t="inlineStr">
        <is>
          <t>Shampoo Anticomezón 180 Ml Head y Shoulders</t>
        </is>
      </c>
      <c r="E65" t="inlineStr">
        <is>
          <t>HEAD &amp; SHOULDERS</t>
        </is>
      </c>
      <c r="F65" t="n">
        <v>8000</v>
      </c>
      <c r="G65" t="n">
        <v>661157</v>
      </c>
      <c r="H65" t="b">
        <v>1</v>
      </c>
      <c r="I65" t="n">
        <v>180</v>
      </c>
      <c r="J65" t="n">
        <v>44.4444</v>
      </c>
      <c r="K65" t="inlineStr">
        <is>
          <t>&gt; Perfumería &gt; Cuidado Capilar &gt; Shampoo &gt;</t>
        </is>
      </c>
      <c r="L65" t="inlineStr">
        <is>
          <t>shampoo</t>
        </is>
      </c>
      <c r="M65" t="inlineStr">
        <is>
          <t>estandar</t>
        </is>
      </c>
      <c r="N65" t="inlineStr">
        <is>
          <t>general</t>
        </is>
      </c>
      <c r="O65" t="inlineStr">
        <is>
          <t>https://www.disco.com.ar/shampoo-anticomezon-180-ml-head-shoulders-2/p</t>
        </is>
      </c>
      <c r="P65">
        <f>TRIM(CLEAN(PROPER(D65)))</f>
        <v/>
      </c>
      <c r="Q65">
        <f>PROPER(TRIM(SUBSTITUTE(SUBSTITUTE(SUBSTITUTE(SUBSTITUTE(E65,"TRESEMME","Tresemme"),"HEAD &amp; SHOULDERS","Head &amp; Shoulders"),"ELVIVE","Elvive"),"FRUCTIS","Fructis")))</f>
        <v/>
      </c>
      <c r="R65">
        <f>COUNTIF($D$2:$D$10000,D65)&gt;1</f>
        <v/>
      </c>
      <c r="S65">
        <f>IF(H65=TRUE,"Disponible","No disponible")</f>
        <v/>
      </c>
      <c r="T65">
        <f>IF(AND(ISNUMBER(I65),I65&gt;0),ROUND(F65/I65,2),"Sin volumen")</f>
        <v/>
      </c>
      <c r="U65">
        <f>IF(F65&lt;5000,"Bajo",IF(F65&lt;15000,"Medio","Alto"))</f>
        <v/>
      </c>
    </row>
    <row r="66">
      <c r="A66" s="10" t="inlineStr">
        <is>
          <t>Disco</t>
        </is>
      </c>
      <c r="B66" s="10" t="n">
        <v>1362366</v>
      </c>
      <c r="C66" s="10" t="n">
        <v>1361614</v>
      </c>
      <c r="D66" s="10" t="inlineStr">
        <is>
          <t>Shampoo Bond Intense Repair 200 Ml Dove</t>
        </is>
      </c>
      <c r="E66" s="10" t="inlineStr">
        <is>
          <t>DOVE</t>
        </is>
      </c>
      <c r="F66" s="10" t="n">
        <v>6900</v>
      </c>
      <c r="G66" s="10" t="n">
        <v>570248</v>
      </c>
      <c r="H66" s="10" t="b">
        <v>1</v>
      </c>
      <c r="I66" s="10" t="n">
        <v>200</v>
      </c>
      <c r="J66" s="10" t="n">
        <v>34.5</v>
      </c>
      <c r="K66" s="10" t="inlineStr">
        <is>
          <t>&gt; Perfumería &gt; Cuidado Capilar &gt; Shampoo &gt;</t>
        </is>
      </c>
      <c r="L66" s="10" t="inlineStr">
        <is>
          <t>shampoo</t>
        </is>
      </c>
      <c r="M66" s="10" t="inlineStr">
        <is>
          <t>profesional</t>
        </is>
      </c>
      <c r="N66" s="10" t="inlineStr">
        <is>
          <t>general</t>
        </is>
      </c>
      <c r="O66" s="10" t="inlineStr">
        <is>
          <t>https://www.disco.com.ar/shampoo-dove-bond-intense-repair-200-ml-2/p</t>
        </is>
      </c>
      <c r="P66" s="12">
        <f>TRIM(CLEAN(PROPER(D66)))</f>
        <v/>
      </c>
      <c r="Q66" s="12">
        <f>PROPER(TRIM(SUBSTITUTE(SUBSTITUTE(SUBSTITUTE(SUBSTITUTE(E66,"TRESEMME","Tresemme"),"HEAD &amp; SHOULDERS","Head &amp; Shoulders"),"ELVIVE","Elvive"),"FRUCTIS","Fructis")))</f>
        <v/>
      </c>
      <c r="R66" s="12">
        <f>COUNTIF($D$2:$D$10000,D66)&gt;1</f>
        <v/>
      </c>
      <c r="S66" s="12">
        <f>IF(H66=TRUE,"Disponible","No disponible")</f>
        <v/>
      </c>
      <c r="T66" s="12">
        <f>IF(AND(ISNUMBER(I66),I66&gt;0),ROUND(F66/I66,2),"Sin volumen")</f>
        <v/>
      </c>
      <c r="U66" s="12">
        <f>IF(F66&lt;5000,"Bajo",IF(F66&lt;15000,"Medio","Alto"))</f>
        <v/>
      </c>
    </row>
    <row r="67">
      <c r="A67" t="inlineStr">
        <is>
          <t>Disco</t>
        </is>
      </c>
      <c r="B67" t="n">
        <v>424003</v>
      </c>
      <c r="C67" t="n">
        <v>417080</v>
      </c>
      <c r="D67" t="inlineStr">
        <is>
          <t>Shampoo Fuerza 650 Ml Head &amp; Shoulders</t>
        </is>
      </c>
      <c r="E67" t="inlineStr">
        <is>
          <t>HEAD &amp; SHOULDERS</t>
        </is>
      </c>
      <c r="F67" t="n">
        <v>20250</v>
      </c>
      <c r="G67" t="n">
        <v>1673554</v>
      </c>
      <c r="H67" t="b">
        <v>1</v>
      </c>
      <c r="I67" t="n">
        <v>650</v>
      </c>
      <c r="J67" t="n">
        <v>31.1538</v>
      </c>
      <c r="K67" t="inlineStr">
        <is>
          <t>&gt; Perfumería &gt; Cuidado Capilar &gt; Shampoo &gt;</t>
        </is>
      </c>
      <c r="L67" t="inlineStr">
        <is>
          <t>shampoo</t>
        </is>
      </c>
      <c r="M67" t="inlineStr">
        <is>
          <t>estandar</t>
        </is>
      </c>
      <c r="N67" t="inlineStr">
        <is>
          <t>general</t>
        </is>
      </c>
      <c r="O67" t="inlineStr">
        <is>
          <t>https://www.disco.com.ar/shampoo-fuerza-650-ml-head-shoulders-2/p</t>
        </is>
      </c>
      <c r="P67">
        <f>TRIM(CLEAN(PROPER(D67)))</f>
        <v/>
      </c>
      <c r="Q67">
        <f>PROPER(TRIM(SUBSTITUTE(SUBSTITUTE(SUBSTITUTE(SUBSTITUTE(E67,"TRESEMME","Tresemme"),"HEAD &amp; SHOULDERS","Head &amp; Shoulders"),"ELVIVE","Elvive"),"FRUCTIS","Fructis")))</f>
        <v/>
      </c>
      <c r="R67">
        <f>COUNTIF($D$2:$D$10000,D67)&gt;1</f>
        <v/>
      </c>
      <c r="S67">
        <f>IF(H67=TRUE,"Disponible","No disponible")</f>
        <v/>
      </c>
      <c r="T67">
        <f>IF(AND(ISNUMBER(I67),I67&gt;0),ROUND(F67/I67,2),"Sin volumen")</f>
        <v/>
      </c>
      <c r="U67">
        <f>IF(F67&lt;5000,"Bajo",IF(F67&lt;15000,"Medio","Alto"))</f>
        <v/>
      </c>
    </row>
    <row r="68">
      <c r="A68" s="10" t="inlineStr">
        <is>
          <t>Disco</t>
        </is>
      </c>
      <c r="B68" s="10" t="n">
        <v>424002</v>
      </c>
      <c r="C68" s="10" t="n">
        <v>417079</v>
      </c>
      <c r="D68" s="10" t="inlineStr">
        <is>
          <t>Shampoo Charcoal 650 Ml Head &amp; Shoulders</t>
        </is>
      </c>
      <c r="E68" s="10" t="inlineStr">
        <is>
          <t>HEAD &amp; SHOULDERS</t>
        </is>
      </c>
      <c r="F68" s="10" t="n">
        <v>20250</v>
      </c>
      <c r="G68" s="10" t="n">
        <v>1673554</v>
      </c>
      <c r="H68" s="10" t="b">
        <v>1</v>
      </c>
      <c r="I68" s="10" t="n">
        <v>650</v>
      </c>
      <c r="J68" s="10" t="n">
        <v>31.1538</v>
      </c>
      <c r="K68" s="10" t="inlineStr">
        <is>
          <t>&gt; Perfumería &gt; Cuidado Capilar &gt; Shampoo &gt;</t>
        </is>
      </c>
      <c r="L68" s="10" t="inlineStr">
        <is>
          <t>shampoo</t>
        </is>
      </c>
      <c r="M68" s="10" t="inlineStr">
        <is>
          <t>estandar</t>
        </is>
      </c>
      <c r="N68" s="10" t="inlineStr">
        <is>
          <t>general</t>
        </is>
      </c>
      <c r="O68" s="10" t="inlineStr">
        <is>
          <t>https://www.disco.com.ar/shampoo-charcoal-650-ml-head-shoulders-2/p</t>
        </is>
      </c>
      <c r="P68" s="12">
        <f>TRIM(CLEAN(PROPER(D68)))</f>
        <v/>
      </c>
      <c r="Q68" s="12">
        <f>PROPER(TRIM(SUBSTITUTE(SUBSTITUTE(SUBSTITUTE(SUBSTITUTE(E68,"TRESEMME","Tresemme"),"HEAD &amp; SHOULDERS","Head &amp; Shoulders"),"ELVIVE","Elvive"),"FRUCTIS","Fructis")))</f>
        <v/>
      </c>
      <c r="R68" s="12">
        <f>COUNTIF($D$2:$D$10000,D68)&gt;1</f>
        <v/>
      </c>
      <c r="S68" s="12">
        <f>IF(H68=TRUE,"Disponible","No disponible")</f>
        <v/>
      </c>
      <c r="T68" s="12">
        <f>IF(AND(ISNUMBER(I68),I68&gt;0),ROUND(F68/I68,2),"Sin volumen")</f>
        <v/>
      </c>
      <c r="U68" s="12">
        <f>IF(F68&lt;5000,"Bajo",IF(F68&lt;15000,"Medio","Alto"))</f>
        <v/>
      </c>
    </row>
    <row r="69">
      <c r="A69" t="inlineStr">
        <is>
          <t>Disco</t>
        </is>
      </c>
      <c r="B69" t="n">
        <v>80238</v>
      </c>
      <c r="C69" t="n">
        <v>77362</v>
      </c>
      <c r="D69" t="inlineStr">
        <is>
          <t>Shampoo Sandia Dulce 350 Ml Kids Algabo</t>
        </is>
      </c>
      <c r="E69" t="inlineStr">
        <is>
          <t>ALGABO</t>
        </is>
      </c>
      <c r="F69" t="n">
        <v>3850</v>
      </c>
      <c r="G69" t="n">
        <v>318182</v>
      </c>
      <c r="H69" t="b">
        <v>1</v>
      </c>
      <c r="I69" t="n">
        <v>350</v>
      </c>
      <c r="J69" t="n">
        <v>11</v>
      </c>
      <c r="K69" t="inlineStr">
        <is>
          <t>&gt; Mundo Bebe &gt; Higiene para el Bebe &gt; Higiene del Bebé &gt;</t>
        </is>
      </c>
      <c r="L69" t="inlineStr">
        <is>
          <t>shampoo</t>
        </is>
      </c>
      <c r="M69" t="inlineStr">
        <is>
          <t>estandar</t>
        </is>
      </c>
      <c r="N69" t="inlineStr">
        <is>
          <t>bebe</t>
        </is>
      </c>
      <c r="O69" t="inlineStr">
        <is>
          <t>https://www.disco.com.ar/shampoo-sandia-dulce-350-ml-kids-algabo/p</t>
        </is>
      </c>
      <c r="P69">
        <f>TRIM(CLEAN(PROPER(D69)))</f>
        <v/>
      </c>
      <c r="Q69">
        <f>PROPER(TRIM(SUBSTITUTE(SUBSTITUTE(SUBSTITUTE(SUBSTITUTE(E69,"TRESEMME","Tresemme"),"HEAD &amp; SHOULDERS","Head &amp; Shoulders"),"ELVIVE","Elvive"),"FRUCTIS","Fructis")))</f>
        <v/>
      </c>
      <c r="R69">
        <f>COUNTIF($D$2:$D$10000,D69)&gt;1</f>
        <v/>
      </c>
      <c r="S69">
        <f>IF(H69=TRUE,"Disponible","No disponible")</f>
        <v/>
      </c>
      <c r="T69">
        <f>IF(AND(ISNUMBER(I69),I69&gt;0),ROUND(F69/I69,2),"Sin volumen")</f>
        <v/>
      </c>
      <c r="U69">
        <f>IF(F69&lt;5000,"Bajo",IF(F69&lt;15000,"Medio","Alto"))</f>
        <v/>
      </c>
    </row>
    <row r="70">
      <c r="A70" s="10" t="inlineStr">
        <is>
          <t>Disco</t>
        </is>
      </c>
      <c r="B70" s="10" t="n">
        <v>393553</v>
      </c>
      <c r="C70" s="10" t="n">
        <v>391581</v>
      </c>
      <c r="D70" s="10" t="inlineStr">
        <is>
          <t>Shampoo Dove Ritual De Reparacion De Coco 400 Ml</t>
        </is>
      </c>
      <c r="E70" s="10" t="inlineStr">
        <is>
          <t>DOVE</t>
        </is>
      </c>
      <c r="F70" s="10" t="n">
        <v>9220</v>
      </c>
      <c r="G70" s="10" t="n">
        <v>761983</v>
      </c>
      <c r="H70" s="10" t="b">
        <v>1</v>
      </c>
      <c r="I70" s="10" t="n">
        <v>400</v>
      </c>
      <c r="J70" s="10" t="n">
        <v>23.05</v>
      </c>
      <c r="K70" s="10" t="inlineStr">
        <is>
          <t>&gt; Perfumería &gt; Cuidado Capilar &gt; Shampoo &gt;</t>
        </is>
      </c>
      <c r="L70" s="10" t="inlineStr">
        <is>
          <t>shampoo</t>
        </is>
      </c>
      <c r="M70" s="10" t="inlineStr">
        <is>
          <t>estandar</t>
        </is>
      </c>
      <c r="N70" s="10" t="inlineStr">
        <is>
          <t>general</t>
        </is>
      </c>
      <c r="O70" s="10" t="inlineStr">
        <is>
          <t>https://www.disco.com.ar/shampoo-dove-ritual-de-reparacion-de-coco-400-ml/p</t>
        </is>
      </c>
      <c r="P70" s="12">
        <f>TRIM(CLEAN(PROPER(D70)))</f>
        <v/>
      </c>
      <c r="Q70" s="12">
        <f>PROPER(TRIM(SUBSTITUTE(SUBSTITUTE(SUBSTITUTE(SUBSTITUTE(E70,"TRESEMME","Tresemme"),"HEAD &amp; SHOULDERS","Head &amp; Shoulders"),"ELVIVE","Elvive"),"FRUCTIS","Fructis")))</f>
        <v/>
      </c>
      <c r="R70" s="12">
        <f>COUNTIF($D$2:$D$10000,D70)&gt;1</f>
        <v/>
      </c>
      <c r="S70" s="12">
        <f>IF(H70=TRUE,"Disponible","No disponible")</f>
        <v/>
      </c>
      <c r="T70" s="12">
        <f>IF(AND(ISNUMBER(I70),I70&gt;0),ROUND(F70/I70,2),"Sin volumen")</f>
        <v/>
      </c>
      <c r="U70" s="12">
        <f>IF(F70&lt;5000,"Bajo",IF(F70&lt;15000,"Medio","Alto"))</f>
        <v/>
      </c>
    </row>
    <row r="71">
      <c r="A71" t="inlineStr">
        <is>
          <t>Disco</t>
        </is>
      </c>
      <c r="B71" t="n">
        <v>389288</v>
      </c>
      <c r="C71" t="n">
        <v>387394</v>
      </c>
      <c r="D71" t="inlineStr">
        <is>
          <t>Shampoo Sedal Hialurónico Y Vitamina A 340 Ml</t>
        </is>
      </c>
      <c r="E71" t="inlineStr">
        <is>
          <t>SEDAL</t>
        </is>
      </c>
      <c r="F71" t="n">
        <v>5469</v>
      </c>
      <c r="G71" t="n">
        <v>451983</v>
      </c>
      <c r="H71" t="b">
        <v>1</v>
      </c>
      <c r="I71" t="n">
        <v>340</v>
      </c>
      <c r="J71" t="n">
        <v>16.0853</v>
      </c>
      <c r="K71" t="inlineStr">
        <is>
          <t>&gt; Perfumería &gt; Cuidado Capilar &gt; Shampoo &gt;</t>
        </is>
      </c>
      <c r="L71" t="inlineStr">
        <is>
          <t>shampoo</t>
        </is>
      </c>
      <c r="M71" t="inlineStr">
        <is>
          <t>estandar</t>
        </is>
      </c>
      <c r="N71" t="inlineStr">
        <is>
          <t>general</t>
        </is>
      </c>
      <c r="O71" t="inlineStr">
        <is>
          <t>https://www.disco.com.ar/shampoo-sedal-hialuronico-y-vitamina-a-340-ml-2/p</t>
        </is>
      </c>
      <c r="P71">
        <f>TRIM(CLEAN(PROPER(D71)))</f>
        <v/>
      </c>
      <c r="Q71">
        <f>PROPER(TRIM(SUBSTITUTE(SUBSTITUTE(SUBSTITUTE(SUBSTITUTE(E71,"TRESEMME","Tresemme"),"HEAD &amp; SHOULDERS","Head &amp; Shoulders"),"ELVIVE","Elvive"),"FRUCTIS","Fructis")))</f>
        <v/>
      </c>
      <c r="R71">
        <f>COUNTIF($D$2:$D$10000,D71)&gt;1</f>
        <v/>
      </c>
      <c r="S71">
        <f>IF(H71=TRUE,"Disponible","No disponible")</f>
        <v/>
      </c>
      <c r="T71">
        <f>IF(AND(ISNUMBER(I71),I71&gt;0),ROUND(F71/I71,2),"Sin volumen")</f>
        <v/>
      </c>
      <c r="U71">
        <f>IF(F71&lt;5000,"Bajo",IF(F71&lt;15000,"Medio","Alto"))</f>
        <v/>
      </c>
    </row>
    <row r="72">
      <c r="A72" s="10" t="inlineStr">
        <is>
          <t>Disco</t>
        </is>
      </c>
      <c r="B72" s="10" t="n">
        <v>409862</v>
      </c>
      <c r="C72" s="10" t="n">
        <v>405948</v>
      </c>
      <c r="D72" s="10" t="inlineStr">
        <is>
          <t>Shampoo Hidratación Intensa Esencia 970 Ml Plusbelle</t>
        </is>
      </c>
      <c r="E72" s="10" t="inlineStr">
        <is>
          <t>PLUSBELLE</t>
        </is>
      </c>
      <c r="F72" s="10" t="n">
        <v>6032</v>
      </c>
      <c r="G72" s="10" t="n">
        <v>498512</v>
      </c>
      <c r="H72" s="10" t="b">
        <v>1</v>
      </c>
      <c r="I72" s="10" t="n">
        <v>970</v>
      </c>
      <c r="J72" s="10" t="n">
        <v>6.2186</v>
      </c>
      <c r="K72" s="10" t="inlineStr">
        <is>
          <t>&gt; Perfumería &gt; Cuidado Capilar &gt; Shampoo &gt;</t>
        </is>
      </c>
      <c r="L72" s="10" t="inlineStr">
        <is>
          <t>shampoo</t>
        </is>
      </c>
      <c r="M72" s="10" t="inlineStr">
        <is>
          <t>estandar</t>
        </is>
      </c>
      <c r="N72" s="10" t="inlineStr">
        <is>
          <t>seco_danado</t>
        </is>
      </c>
      <c r="O72" s="10" t="inlineStr">
        <is>
          <t>https://www.disco.com.ar/shampoo-esencia-970-ml-plusbelle/p</t>
        </is>
      </c>
      <c r="P72" s="12">
        <f>TRIM(CLEAN(PROPER(D72)))</f>
        <v/>
      </c>
      <c r="Q72" s="12">
        <f>PROPER(TRIM(SUBSTITUTE(SUBSTITUTE(SUBSTITUTE(SUBSTITUTE(E72,"TRESEMME","Tresemme"),"HEAD &amp; SHOULDERS","Head &amp; Shoulders"),"ELVIVE","Elvive"),"FRUCTIS","Fructis")))</f>
        <v/>
      </c>
      <c r="R72" s="12">
        <f>COUNTIF($D$2:$D$10000,D72)&gt;1</f>
        <v/>
      </c>
      <c r="S72" s="12">
        <f>IF(H72=TRUE,"Disponible","No disponible")</f>
        <v/>
      </c>
      <c r="T72" s="12">
        <f>IF(AND(ISNUMBER(I72),I72&gt;0),ROUND(F72/I72,2),"Sin volumen")</f>
        <v/>
      </c>
      <c r="U72" s="12">
        <f>IF(F72&lt;5000,"Bajo",IF(F72&lt;15000,"Medio","Alto"))</f>
        <v/>
      </c>
    </row>
    <row r="73">
      <c r="A73" t="inlineStr">
        <is>
          <t>Disco</t>
        </is>
      </c>
      <c r="B73" t="n">
        <v>3067725</v>
      </c>
      <c r="C73" t="n">
        <v>3067585</v>
      </c>
      <c r="D73" t="inlineStr">
        <is>
          <t>Shampoo Anticaída Biotinamina B3 300 Ml Pantene</t>
        </is>
      </c>
      <c r="E73" t="inlineStr">
        <is>
          <t>PANTENE</t>
        </is>
      </c>
      <c r="F73" t="n">
        <v>10550</v>
      </c>
      <c r="G73" t="n">
        <v>871901</v>
      </c>
      <c r="H73" t="b">
        <v>1</v>
      </c>
      <c r="I73" t="n">
        <v>300</v>
      </c>
      <c r="J73" t="n">
        <v>35.1667</v>
      </c>
      <c r="K73" t="inlineStr">
        <is>
          <t>&gt; Perfumería &gt; Cuidado Capilar &gt; Shampoo &gt;</t>
        </is>
      </c>
      <c r="L73" t="inlineStr">
        <is>
          <t>shampoo</t>
        </is>
      </c>
      <c r="M73" t="inlineStr">
        <is>
          <t>estandar</t>
        </is>
      </c>
      <c r="N73" t="inlineStr">
        <is>
          <t>general</t>
        </is>
      </c>
      <c r="O73" t="inlineStr">
        <is>
          <t>https://www.disco.com.ar/shampoo-anti-caida-300-ml-pantene/p</t>
        </is>
      </c>
      <c r="P73">
        <f>TRIM(CLEAN(PROPER(D73)))</f>
        <v/>
      </c>
      <c r="Q73">
        <f>PROPER(TRIM(SUBSTITUTE(SUBSTITUTE(SUBSTITUTE(SUBSTITUTE(E73,"TRESEMME","Tresemme"),"HEAD &amp; SHOULDERS","Head &amp; Shoulders"),"ELVIVE","Elvive"),"FRUCTIS","Fructis")))</f>
        <v/>
      </c>
      <c r="R73">
        <f>COUNTIF($D$2:$D$10000,D73)&gt;1</f>
        <v/>
      </c>
      <c r="S73">
        <f>IF(H73=TRUE,"Disponible","No disponible")</f>
        <v/>
      </c>
      <c r="T73">
        <f>IF(AND(ISNUMBER(I73),I73&gt;0),ROUND(F73/I73,2),"Sin volumen")</f>
        <v/>
      </c>
      <c r="U73">
        <f>IF(F73&lt;5000,"Bajo",IF(F73&lt;15000,"Medio","Alto"))</f>
        <v/>
      </c>
    </row>
    <row r="74">
      <c r="A74" s="10" t="inlineStr">
        <is>
          <t>Disco</t>
        </is>
      </c>
      <c r="B74" s="10" t="n">
        <v>414718</v>
      </c>
      <c r="C74" s="10" t="n">
        <v>410419</v>
      </c>
      <c r="D74" s="10" t="inlineStr">
        <is>
          <t>Shampoo Baby Hidratación Intensa 400 Ml Johnson's</t>
        </is>
      </c>
      <c r="E74" s="10" t="inlineStr">
        <is>
          <t>JOHNSON BABY</t>
        </is>
      </c>
      <c r="F74" s="10" t="n">
        <v>10650</v>
      </c>
      <c r="G74" s="10" t="n">
        <v>880165</v>
      </c>
      <c r="H74" s="10" t="b">
        <v>1</v>
      </c>
      <c r="I74" s="10" t="n">
        <v>400</v>
      </c>
      <c r="J74" s="10" t="n">
        <v>26.625</v>
      </c>
      <c r="K74" s="10" t="inlineStr">
        <is>
          <t>&gt; Mundo Bebe &gt; Higiene para el Bebe &gt; Higiene del Bebé &gt;</t>
        </is>
      </c>
      <c r="L74" s="10" t="inlineStr">
        <is>
          <t>shampoo</t>
        </is>
      </c>
      <c r="M74" s="10" t="inlineStr">
        <is>
          <t>estandar</t>
        </is>
      </c>
      <c r="N74" s="10" t="inlineStr">
        <is>
          <t>seco_danado</t>
        </is>
      </c>
      <c r="O74" s="10" t="inlineStr">
        <is>
          <t>https://www.disco.com.ar/shampoo-baby-hidratacion-intensa-400-ml-johnson-s/p</t>
        </is>
      </c>
      <c r="P74" s="12">
        <f>TRIM(CLEAN(PROPER(D74)))</f>
        <v/>
      </c>
      <c r="Q74" s="12">
        <f>PROPER(TRIM(SUBSTITUTE(SUBSTITUTE(SUBSTITUTE(SUBSTITUTE(E74,"TRESEMME","Tresemme"),"HEAD &amp; SHOULDERS","Head &amp; Shoulders"),"ELVIVE","Elvive"),"FRUCTIS","Fructis")))</f>
        <v/>
      </c>
      <c r="R74" s="12">
        <f>COUNTIF($D$2:$D$10000,D74)&gt;1</f>
        <v/>
      </c>
      <c r="S74" s="12">
        <f>IF(H74=TRUE,"Disponible","No disponible")</f>
        <v/>
      </c>
      <c r="T74" s="12">
        <f>IF(AND(ISNUMBER(I74),I74&gt;0),ROUND(F74/I74,2),"Sin volumen")</f>
        <v/>
      </c>
      <c r="U74" s="12">
        <f>IF(F74&lt;5000,"Bajo",IF(F74&lt;15000,"Medio","Alto"))</f>
        <v/>
      </c>
    </row>
    <row r="75">
      <c r="A75" t="inlineStr">
        <is>
          <t>Disco</t>
        </is>
      </c>
      <c r="B75" t="n">
        <v>397181</v>
      </c>
      <c r="C75" t="n">
        <v>394922</v>
      </c>
      <c r="D75" t="inlineStr">
        <is>
          <t>Shampoo Dove Ritual De Reparación Coco 200 Ml</t>
        </is>
      </c>
      <c r="E75" t="inlineStr">
        <is>
          <t>DOVE</t>
        </is>
      </c>
      <c r="F75" t="n">
        <v>6150</v>
      </c>
      <c r="G75" t="n">
        <v>508264</v>
      </c>
      <c r="H75" t="b">
        <v>1</v>
      </c>
      <c r="I75" t="n">
        <v>200</v>
      </c>
      <c r="J75" t="n">
        <v>30.75</v>
      </c>
      <c r="K75" t="inlineStr">
        <is>
          <t>&gt; Perfumería &gt; Cuidado Capilar &gt; Shampoo &gt;</t>
        </is>
      </c>
      <c r="L75" t="inlineStr">
        <is>
          <t>shampoo</t>
        </is>
      </c>
      <c r="M75" t="inlineStr">
        <is>
          <t>estandar</t>
        </is>
      </c>
      <c r="N75" t="inlineStr">
        <is>
          <t>general</t>
        </is>
      </c>
      <c r="O75" t="inlineStr">
        <is>
          <t>https://www.disco.com.ar/shampoo-dove-ritual-de-reparacion-coco-200-ml/p</t>
        </is>
      </c>
      <c r="P75">
        <f>TRIM(CLEAN(PROPER(D75)))</f>
        <v/>
      </c>
      <c r="Q75">
        <f>PROPER(TRIM(SUBSTITUTE(SUBSTITUTE(SUBSTITUTE(SUBSTITUTE(E75,"TRESEMME","Tresemme"),"HEAD &amp; SHOULDERS","Head &amp; Shoulders"),"ELVIVE","Elvive"),"FRUCTIS","Fructis")))</f>
        <v/>
      </c>
      <c r="R75">
        <f>COUNTIF($D$2:$D$10000,D75)&gt;1</f>
        <v/>
      </c>
      <c r="S75">
        <f>IF(H75=TRUE,"Disponible","No disponible")</f>
        <v/>
      </c>
      <c r="T75">
        <f>IF(AND(ISNUMBER(I75),I75&gt;0),ROUND(F75/I75,2),"Sin volumen")</f>
        <v/>
      </c>
      <c r="U75">
        <f>IF(F75&lt;5000,"Bajo",IF(F75&lt;15000,"Medio","Alto"))</f>
        <v/>
      </c>
    </row>
    <row r="76">
      <c r="A76" s="10" t="inlineStr">
        <is>
          <t>Disco</t>
        </is>
      </c>
      <c r="B76" s="10" t="n">
        <v>316338</v>
      </c>
      <c r="C76" s="10" t="n">
        <v>315572</v>
      </c>
      <c r="D76" s="10" t="inlineStr">
        <is>
          <t>Shampoo Pantene Pro-v Bambú 200 Ml</t>
        </is>
      </c>
      <c r="E76" s="10" t="inlineStr">
        <is>
          <t>PANTENE</t>
        </is>
      </c>
      <c r="F76" s="10" t="n">
        <v>6800</v>
      </c>
      <c r="G76" s="10" t="n">
        <v>561983</v>
      </c>
      <c r="H76" s="10" t="b">
        <v>1</v>
      </c>
      <c r="I76" s="10" t="n">
        <v>200</v>
      </c>
      <c r="J76" s="10" t="n">
        <v>34</v>
      </c>
      <c r="K76" s="10" t="inlineStr">
        <is>
          <t>&gt; Perfumería &gt; Cuidado Capilar &gt; Shampoo &gt;</t>
        </is>
      </c>
      <c r="L76" s="10" t="inlineStr">
        <is>
          <t>shampoo</t>
        </is>
      </c>
      <c r="M76" s="10" t="inlineStr">
        <is>
          <t>profesional</t>
        </is>
      </c>
      <c r="N76" s="10" t="inlineStr">
        <is>
          <t>general</t>
        </is>
      </c>
      <c r="O76" s="10" t="inlineStr">
        <is>
          <t>https://www.disco.com.ar/shampoo-pantene-pro-v-bambu-200-ml/p</t>
        </is>
      </c>
      <c r="P76" s="12">
        <f>TRIM(CLEAN(PROPER(D76)))</f>
        <v/>
      </c>
      <c r="Q76" s="12">
        <f>PROPER(TRIM(SUBSTITUTE(SUBSTITUTE(SUBSTITUTE(SUBSTITUTE(E76,"TRESEMME","Tresemme"),"HEAD &amp; SHOULDERS","Head &amp; Shoulders"),"ELVIVE","Elvive"),"FRUCTIS","Fructis")))</f>
        <v/>
      </c>
      <c r="R76" s="12">
        <f>COUNTIF($D$2:$D$10000,D76)&gt;1</f>
        <v/>
      </c>
      <c r="S76" s="12">
        <f>IF(H76=TRUE,"Disponible","No disponible")</f>
        <v/>
      </c>
      <c r="T76" s="12">
        <f>IF(AND(ISNUMBER(I76),I76&gt;0),ROUND(F76/I76,2),"Sin volumen")</f>
        <v/>
      </c>
      <c r="U76" s="12">
        <f>IF(F76&lt;5000,"Bajo",IF(F76&lt;15000,"Medio","Alto"))</f>
        <v/>
      </c>
    </row>
    <row r="77">
      <c r="A77" t="inlineStr">
        <is>
          <t>Disco</t>
        </is>
      </c>
      <c r="B77" t="n">
        <v>3067730</v>
      </c>
      <c r="C77" t="n">
        <v>3067590</v>
      </c>
      <c r="D77" t="inlineStr">
        <is>
          <t>Shampoo Nuhoney 650 Ml Head &amp; Shoulders</t>
        </is>
      </c>
      <c r="E77" t="inlineStr">
        <is>
          <t>HEAD &amp; SHOULDERS</t>
        </is>
      </c>
      <c r="F77" t="n">
        <v>19950</v>
      </c>
      <c r="G77" t="n">
        <v>1648760</v>
      </c>
      <c r="H77" t="b">
        <v>1</v>
      </c>
      <c r="I77" t="n">
        <v>650</v>
      </c>
      <c r="J77" t="n">
        <v>30.6923</v>
      </c>
      <c r="K77" t="inlineStr">
        <is>
          <t>&gt; Perfumería &gt; Cuidado Capilar &gt; Shampoo &gt;</t>
        </is>
      </c>
      <c r="L77" t="inlineStr">
        <is>
          <t>shampoo</t>
        </is>
      </c>
      <c r="M77" t="inlineStr">
        <is>
          <t>estandar</t>
        </is>
      </c>
      <c r="N77" t="inlineStr">
        <is>
          <t>general</t>
        </is>
      </c>
      <c r="O77" t="inlineStr">
        <is>
          <t>https://www.disco.com.ar/shampoo-nuhoney-650-ml-head-shoulders/p</t>
        </is>
      </c>
      <c r="P77">
        <f>TRIM(CLEAN(PROPER(D77)))</f>
        <v/>
      </c>
      <c r="Q77">
        <f>PROPER(TRIM(SUBSTITUTE(SUBSTITUTE(SUBSTITUTE(SUBSTITUTE(E77,"TRESEMME","Tresemme"),"HEAD &amp; SHOULDERS","Head &amp; Shoulders"),"ELVIVE","Elvive"),"FRUCTIS","Fructis")))</f>
        <v/>
      </c>
      <c r="R77">
        <f>COUNTIF($D$2:$D$10000,D77)&gt;1</f>
        <v/>
      </c>
      <c r="S77">
        <f>IF(H77=TRUE,"Disponible","No disponible")</f>
        <v/>
      </c>
      <c r="T77">
        <f>IF(AND(ISNUMBER(I77),I77&gt;0),ROUND(F77/I77,2),"Sin volumen")</f>
        <v/>
      </c>
      <c r="U77">
        <f>IF(F77&lt;5000,"Bajo",IF(F77&lt;15000,"Medio","Alto"))</f>
        <v/>
      </c>
    </row>
    <row r="78">
      <c r="A78" s="10" t="inlineStr">
        <is>
          <t>Disco</t>
        </is>
      </c>
      <c r="B78" s="10" t="n">
        <v>424000</v>
      </c>
      <c r="C78" s="10" t="n">
        <v>417077</v>
      </c>
      <c r="D78" s="10" t="inlineStr">
        <is>
          <t>Shampoo Antifall 650 Ml Head &amp; Shoulders</t>
        </is>
      </c>
      <c r="E78" s="10" t="inlineStr">
        <is>
          <t>HEAD &amp; SHOULDERS</t>
        </is>
      </c>
      <c r="F78" s="10" t="n">
        <v>20450</v>
      </c>
      <c r="G78" s="10" t="n">
        <v>1690083</v>
      </c>
      <c r="H78" s="10" t="b">
        <v>1</v>
      </c>
      <c r="I78" s="10" t="n">
        <v>650</v>
      </c>
      <c r="J78" s="10" t="n">
        <v>31.4615</v>
      </c>
      <c r="K78" s="10" t="inlineStr">
        <is>
          <t>&gt; Perfumería &gt; Cuidado Capilar &gt; Shampoo &gt;</t>
        </is>
      </c>
      <c r="L78" s="10" t="inlineStr">
        <is>
          <t>shampoo</t>
        </is>
      </c>
      <c r="M78" s="10" t="inlineStr">
        <is>
          <t>estandar</t>
        </is>
      </c>
      <c r="N78" s="10" t="inlineStr">
        <is>
          <t>general</t>
        </is>
      </c>
      <c r="O78" s="10" t="inlineStr">
        <is>
          <t>https://www.disco.com.ar/shampoo-antifall-650-ml-head-shoulders-2/p</t>
        </is>
      </c>
      <c r="P78" s="12">
        <f>TRIM(CLEAN(PROPER(D78)))</f>
        <v/>
      </c>
      <c r="Q78" s="12">
        <f>PROPER(TRIM(SUBSTITUTE(SUBSTITUTE(SUBSTITUTE(SUBSTITUTE(E78,"TRESEMME","Tresemme"),"HEAD &amp; SHOULDERS","Head &amp; Shoulders"),"ELVIVE","Elvive"),"FRUCTIS","Fructis")))</f>
        <v/>
      </c>
      <c r="R78" s="12">
        <f>COUNTIF($D$2:$D$10000,D78)&gt;1</f>
        <v/>
      </c>
      <c r="S78" s="12">
        <f>IF(H78=TRUE,"Disponible","No disponible")</f>
        <v/>
      </c>
      <c r="T78" s="12">
        <f>IF(AND(ISNUMBER(I78),I78&gt;0),ROUND(F78/I78,2),"Sin volumen")</f>
        <v/>
      </c>
      <c r="U78" s="12">
        <f>IF(F78&lt;5000,"Bajo",IF(F78&lt;15000,"Medio","Alto"))</f>
        <v/>
      </c>
    </row>
    <row r="79">
      <c r="A79" t="inlineStr">
        <is>
          <t>Disco</t>
        </is>
      </c>
      <c r="B79" t="n">
        <v>413365</v>
      </c>
      <c r="C79" t="n">
        <v>409242</v>
      </c>
      <c r="D79" t="inlineStr">
        <is>
          <t>Shampoo Liso Efecto Botox 250 Ml Tresemmé</t>
        </is>
      </c>
      <c r="E79" t="inlineStr">
        <is>
          <t>TRESEMMÉ</t>
        </is>
      </c>
      <c r="F79" t="n">
        <v>6450</v>
      </c>
      <c r="G79" t="n">
        <v>533058</v>
      </c>
      <c r="H79" t="b">
        <v>1</v>
      </c>
      <c r="I79" t="n">
        <v>250</v>
      </c>
      <c r="J79" t="n">
        <v>25.8</v>
      </c>
      <c r="K79" t="inlineStr">
        <is>
          <t>&gt; Perfumería &gt; Cuidado Capilar &gt; Shampoo &gt;</t>
        </is>
      </c>
      <c r="L79" t="inlineStr">
        <is>
          <t>shampoo</t>
        </is>
      </c>
      <c r="M79" t="inlineStr">
        <is>
          <t>estandar</t>
        </is>
      </c>
      <c r="N79" t="inlineStr">
        <is>
          <t>general</t>
        </is>
      </c>
      <c r="O79" t="inlineStr">
        <is>
          <t>https://www.disco.com.ar/shampoo-tresemme-liso-efecto-botox-250-ml/p</t>
        </is>
      </c>
      <c r="P79">
        <f>TRIM(CLEAN(PROPER(D79)))</f>
        <v/>
      </c>
      <c r="Q79">
        <f>PROPER(TRIM(SUBSTITUTE(SUBSTITUTE(SUBSTITUTE(SUBSTITUTE(E79,"TRESEMME","Tresemme"),"HEAD &amp; SHOULDERS","Head &amp; Shoulders"),"ELVIVE","Elvive"),"FRUCTIS","Fructis")))</f>
        <v/>
      </c>
      <c r="R79">
        <f>COUNTIF($D$2:$D$10000,D79)&gt;1</f>
        <v/>
      </c>
      <c r="S79">
        <f>IF(H79=TRUE,"Disponible","No disponible")</f>
        <v/>
      </c>
      <c r="T79">
        <f>IF(AND(ISNUMBER(I79),I79&gt;0),ROUND(F79/I79,2),"Sin volumen")</f>
        <v/>
      </c>
      <c r="U79">
        <f>IF(F79&lt;5000,"Bajo",IF(F79&lt;15000,"Medio","Alto"))</f>
        <v/>
      </c>
    </row>
    <row r="80">
      <c r="A80" s="10" t="inlineStr">
        <is>
          <t>Disco</t>
        </is>
      </c>
      <c r="B80" s="10" t="n">
        <v>3070156</v>
      </c>
      <c r="C80" s="10" t="n">
        <v>3069762</v>
      </c>
      <c r="D80" s="10" t="inlineStr">
        <is>
          <t>Shampoo Colágeno Nutre y Revitaliza 300 Ml Pantene</t>
        </is>
      </c>
      <c r="E80" s="10" t="inlineStr">
        <is>
          <t>PANTENE</t>
        </is>
      </c>
      <c r="F80" s="10" t="n">
        <v>10550</v>
      </c>
      <c r="G80" s="10" t="n">
        <v>871901</v>
      </c>
      <c r="H80" s="10" t="b">
        <v>1</v>
      </c>
      <c r="I80" s="10" t="n">
        <v>300</v>
      </c>
      <c r="J80" s="10" t="n">
        <v>35.1667</v>
      </c>
      <c r="K80" s="10" t="inlineStr">
        <is>
          <t>&gt; Perfumería &gt; Cuidado Capilar &gt; Shampoo &gt;</t>
        </is>
      </c>
      <c r="L80" s="10" t="inlineStr">
        <is>
          <t>shampoo</t>
        </is>
      </c>
      <c r="M80" s="10" t="inlineStr">
        <is>
          <t>estandar</t>
        </is>
      </c>
      <c r="N80" s="10" t="inlineStr">
        <is>
          <t>general</t>
        </is>
      </c>
      <c r="O80" s="10" t="inlineStr">
        <is>
          <t>https://www.disco.com.ar/shampoo-colageno-x-300-ml-pantene-2/p</t>
        </is>
      </c>
      <c r="P80" s="12">
        <f>TRIM(CLEAN(PROPER(D80)))</f>
        <v/>
      </c>
      <c r="Q80" s="12">
        <f>PROPER(TRIM(SUBSTITUTE(SUBSTITUTE(SUBSTITUTE(SUBSTITUTE(E80,"TRESEMME","Tresemme"),"HEAD &amp; SHOULDERS","Head &amp; Shoulders"),"ELVIVE","Elvive"),"FRUCTIS","Fructis")))</f>
        <v/>
      </c>
      <c r="R80" s="12">
        <f>COUNTIF($D$2:$D$10000,D80)&gt;1</f>
        <v/>
      </c>
      <c r="S80" s="12">
        <f>IF(H80=TRUE,"Disponible","No disponible")</f>
        <v/>
      </c>
      <c r="T80" s="12">
        <f>IF(AND(ISNUMBER(I80),I80&gt;0),ROUND(F80/I80,2),"Sin volumen")</f>
        <v/>
      </c>
      <c r="U80" s="12">
        <f>IF(F80&lt;5000,"Bajo",IF(F80&lt;15000,"Medio","Alto"))</f>
        <v/>
      </c>
    </row>
    <row r="81">
      <c r="A81" t="inlineStr">
        <is>
          <t>Disco</t>
        </is>
      </c>
      <c r="B81" t="n">
        <v>407562</v>
      </c>
      <c r="C81" t="n">
        <v>403751</v>
      </c>
      <c r="D81" t="inlineStr">
        <is>
          <t>Shampoo Reparación Total 5 Keratin 400 Ml Elvive</t>
        </is>
      </c>
      <c r="E81" t="inlineStr">
        <is>
          <t>ELVIVE</t>
        </is>
      </c>
      <c r="F81" t="n">
        <v>11199</v>
      </c>
      <c r="G81" t="n">
        <v>925537</v>
      </c>
      <c r="H81" t="b">
        <v>1</v>
      </c>
      <c r="I81" t="n">
        <v>400</v>
      </c>
      <c r="J81" t="n">
        <v>27.9975</v>
      </c>
      <c r="K81" t="inlineStr">
        <is>
          <t>&gt; Perfumería &gt; Cuidado Capilar &gt; Shampoo &gt;</t>
        </is>
      </c>
      <c r="L81" t="inlineStr">
        <is>
          <t>shampoo</t>
        </is>
      </c>
      <c r="M81" t="inlineStr">
        <is>
          <t>profesional</t>
        </is>
      </c>
      <c r="N81" t="inlineStr">
        <is>
          <t>general</t>
        </is>
      </c>
      <c r="O81" t="inlineStr">
        <is>
          <t>https://www.disco.com.ar/shampoo-rt5-keratin-400-ml-elvive/p</t>
        </is>
      </c>
      <c r="P81">
        <f>TRIM(CLEAN(PROPER(D81)))</f>
        <v/>
      </c>
      <c r="Q81">
        <f>PROPER(TRIM(SUBSTITUTE(SUBSTITUTE(SUBSTITUTE(SUBSTITUTE(E81,"TRESEMME","Tresemme"),"HEAD &amp; SHOULDERS","Head &amp; Shoulders"),"ELVIVE","Elvive"),"FRUCTIS","Fructis")))</f>
        <v/>
      </c>
      <c r="R81">
        <f>COUNTIF($D$2:$D$10000,D81)&gt;1</f>
        <v/>
      </c>
      <c r="S81">
        <f>IF(H81=TRUE,"Disponible","No disponible")</f>
        <v/>
      </c>
      <c r="T81">
        <f>IF(AND(ISNUMBER(I81),I81&gt;0),ROUND(F81/I81,2),"Sin volumen")</f>
        <v/>
      </c>
      <c r="U81">
        <f>IF(F81&lt;5000,"Bajo",IF(F81&lt;15000,"Medio","Alto"))</f>
        <v/>
      </c>
    </row>
    <row r="82">
      <c r="A82" s="10" t="inlineStr">
        <is>
          <t>Disco</t>
        </is>
      </c>
      <c r="B82" s="10" t="n">
        <v>3084843</v>
      </c>
      <c r="C82" s="10" t="n">
        <v>3084075</v>
      </c>
      <c r="D82" s="10" t="inlineStr">
        <is>
          <t>Shampoo Hidratación Profunda Ácido Hialurónico 700 Ml Plusbelle</t>
        </is>
      </c>
      <c r="E82" s="10" t="inlineStr">
        <is>
          <t>PLUSBELLE</t>
        </is>
      </c>
      <c r="F82" s="10" t="n">
        <v>5550</v>
      </c>
      <c r="G82" s="10" t="n">
        <v>458678</v>
      </c>
      <c r="H82" s="10" t="b">
        <v>1</v>
      </c>
      <c r="I82" s="10" t="n">
        <v>700</v>
      </c>
      <c r="J82" s="10" t="n">
        <v>7.9286</v>
      </c>
      <c r="K82" s="10" t="inlineStr">
        <is>
          <t>&gt; Perfumería &gt; Cuidado Capilar &gt; Shampoo &gt;</t>
        </is>
      </c>
      <c r="L82" s="10" t="inlineStr">
        <is>
          <t>shampoo</t>
        </is>
      </c>
      <c r="M82" s="10" t="inlineStr">
        <is>
          <t>estandar</t>
        </is>
      </c>
      <c r="N82" s="10" t="inlineStr">
        <is>
          <t>seco_danado</t>
        </is>
      </c>
      <c r="O82" s="10" t="inlineStr">
        <is>
          <t>https://www.disco.com.ar/shampoo-esencia-hidratacion-profunda-x-700-ml-plusbelle/p</t>
        </is>
      </c>
      <c r="P82" s="12">
        <f>TRIM(CLEAN(PROPER(D82)))</f>
        <v/>
      </c>
      <c r="Q82" s="12">
        <f>PROPER(TRIM(SUBSTITUTE(SUBSTITUTE(SUBSTITUTE(SUBSTITUTE(E82,"TRESEMME","Tresemme"),"HEAD &amp; SHOULDERS","Head &amp; Shoulders"),"ELVIVE","Elvive"),"FRUCTIS","Fructis")))</f>
        <v/>
      </c>
      <c r="R82" s="12">
        <f>COUNTIF($D$2:$D$10000,D82)&gt;1</f>
        <v/>
      </c>
      <c r="S82" s="12">
        <f>IF(H82=TRUE,"Disponible","No disponible")</f>
        <v/>
      </c>
      <c r="T82" s="12">
        <f>IF(AND(ISNUMBER(I82),I82&gt;0),ROUND(F82/I82,2),"Sin volumen")</f>
        <v/>
      </c>
      <c r="U82" s="12">
        <f>IF(F82&lt;5000,"Bajo",IF(F82&lt;15000,"Medio","Alto"))</f>
        <v/>
      </c>
    </row>
    <row r="83">
      <c r="A83" t="inlineStr">
        <is>
          <t>Disco</t>
        </is>
      </c>
      <c r="B83" t="n">
        <v>3071026</v>
      </c>
      <c r="C83" t="n">
        <v>3070599</v>
      </c>
      <c r="D83" t="inlineStr">
        <is>
          <t>Shampoo Dream Liso Anti Frizz 200 Ml Elvive</t>
        </is>
      </c>
      <c r="E83" t="inlineStr">
        <is>
          <t>ELVIVE</t>
        </is>
      </c>
      <c r="F83" t="n">
        <v>8200</v>
      </c>
      <c r="G83" t="n">
        <v>677686</v>
      </c>
      <c r="H83" t="b">
        <v>1</v>
      </c>
      <c r="I83" t="n">
        <v>200</v>
      </c>
      <c r="J83" t="n">
        <v>41</v>
      </c>
      <c r="K83" t="inlineStr">
        <is>
          <t>&gt; Perfumería &gt; Cuidado Capilar &gt; Shampoo &gt;</t>
        </is>
      </c>
      <c r="L83" t="inlineStr">
        <is>
          <t>shampoo</t>
        </is>
      </c>
      <c r="M83" t="inlineStr">
        <is>
          <t>profesional</t>
        </is>
      </c>
      <c r="N83" t="inlineStr">
        <is>
          <t>general</t>
        </is>
      </c>
      <c r="O83" t="inlineStr">
        <is>
          <t>https://www.disco.com.ar/shampoo-dream-liso-x-200-ml-elvive/p</t>
        </is>
      </c>
      <c r="P83">
        <f>TRIM(CLEAN(PROPER(D83)))</f>
        <v/>
      </c>
      <c r="Q83">
        <f>PROPER(TRIM(SUBSTITUTE(SUBSTITUTE(SUBSTITUTE(SUBSTITUTE(E83,"TRESEMME","Tresemme"),"HEAD &amp; SHOULDERS","Head &amp; Shoulders"),"ELVIVE","Elvive"),"FRUCTIS","Fructis")))</f>
        <v/>
      </c>
      <c r="R83">
        <f>COUNTIF($D$2:$D$10000,D83)&gt;1</f>
        <v/>
      </c>
      <c r="S83">
        <f>IF(H83=TRUE,"Disponible","No disponible")</f>
        <v/>
      </c>
      <c r="T83">
        <f>IF(AND(ISNUMBER(I83),I83&gt;0),ROUND(F83/I83,2),"Sin volumen")</f>
        <v/>
      </c>
      <c r="U83">
        <f>IF(F83&lt;5000,"Bajo",IF(F83&lt;15000,"Medio","Alto"))</f>
        <v/>
      </c>
    </row>
    <row r="84">
      <c r="A84" s="10" t="inlineStr">
        <is>
          <t>Disco</t>
        </is>
      </c>
      <c r="B84" s="10" t="n">
        <v>1360447</v>
      </c>
      <c r="C84" s="10" t="n">
        <v>1360030</v>
      </c>
      <c r="D84" s="10" t="inlineStr">
        <is>
          <t>Shampoo Glycolic Gloss Brillo 72H 750 Ml Elvive</t>
        </is>
      </c>
      <c r="E84" s="10" t="inlineStr">
        <is>
          <t>ELVIVE</t>
        </is>
      </c>
      <c r="F84" s="10" t="n">
        <v>21250</v>
      </c>
      <c r="G84" s="10" t="n">
        <v>1756198</v>
      </c>
      <c r="H84" s="10" t="b">
        <v>1</v>
      </c>
      <c r="I84" s="10" t="n">
        <v>750</v>
      </c>
      <c r="J84" s="10" t="n">
        <v>28.3333</v>
      </c>
      <c r="K84" s="10" t="inlineStr">
        <is>
          <t>&gt; Perfumería &gt; Cuidado Capilar &gt; Shampoo &gt;</t>
        </is>
      </c>
      <c r="L84" s="10" t="inlineStr">
        <is>
          <t>shampoo</t>
        </is>
      </c>
      <c r="M84" s="10" t="inlineStr">
        <is>
          <t>profesional</t>
        </is>
      </c>
      <c r="N84" s="10" t="inlineStr">
        <is>
          <t>general</t>
        </is>
      </c>
      <c r="O84" s="10" t="inlineStr">
        <is>
          <t>https://www.disco.com.ar/shampoo-elvive-glyco-gloss-x-750-ml/p</t>
        </is>
      </c>
      <c r="P84" s="12">
        <f>TRIM(CLEAN(PROPER(D84)))</f>
        <v/>
      </c>
      <c r="Q84" s="12">
        <f>PROPER(TRIM(SUBSTITUTE(SUBSTITUTE(SUBSTITUTE(SUBSTITUTE(E84,"TRESEMME","Tresemme"),"HEAD &amp; SHOULDERS","Head &amp; Shoulders"),"ELVIVE","Elvive"),"FRUCTIS","Fructis")))</f>
        <v/>
      </c>
      <c r="R84" s="12">
        <f>COUNTIF($D$2:$D$10000,D84)&gt;1</f>
        <v/>
      </c>
      <c r="S84" s="12">
        <f>IF(H84=TRUE,"Disponible","No disponible")</f>
        <v/>
      </c>
      <c r="T84" s="12">
        <f>IF(AND(ISNUMBER(I84),I84&gt;0),ROUND(F84/I84,2),"Sin volumen")</f>
        <v/>
      </c>
      <c r="U84" s="12">
        <f>IF(F84&lt;5000,"Bajo",IF(F84&lt;15000,"Medio","Alto"))</f>
        <v/>
      </c>
    </row>
    <row r="85">
      <c r="A85" t="inlineStr">
        <is>
          <t>Disco</t>
        </is>
      </c>
      <c r="B85" t="n">
        <v>3070160</v>
      </c>
      <c r="C85" t="n">
        <v>3069767</v>
      </c>
      <c r="D85" t="inlineStr">
        <is>
          <t>Shampoo Keratina Repara y Protege 510 Ml Pantene</t>
        </is>
      </c>
      <c r="E85" t="inlineStr">
        <is>
          <t>PANTENE</t>
        </is>
      </c>
      <c r="F85" t="n">
        <v>16900</v>
      </c>
      <c r="G85" t="n">
        <v>1396694</v>
      </c>
      <c r="H85" t="b">
        <v>1</v>
      </c>
      <c r="I85" t="n">
        <v>510</v>
      </c>
      <c r="J85" t="n">
        <v>33.1373</v>
      </c>
      <c r="K85" t="inlineStr">
        <is>
          <t>&gt; Perfumería &gt; Cuidado Capilar &gt; Shampoo &gt;</t>
        </is>
      </c>
      <c r="L85" t="inlineStr">
        <is>
          <t>shampoo</t>
        </is>
      </c>
      <c r="M85" t="inlineStr">
        <is>
          <t>estandar</t>
        </is>
      </c>
      <c r="N85" t="inlineStr">
        <is>
          <t>tratado</t>
        </is>
      </c>
      <c r="O85" t="inlineStr">
        <is>
          <t>https://www.disco.com.ar/shampoo-keratina-x-510-ml-pantene-2/p</t>
        </is>
      </c>
      <c r="P85">
        <f>TRIM(CLEAN(PROPER(D85)))</f>
        <v/>
      </c>
      <c r="Q85">
        <f>PROPER(TRIM(SUBSTITUTE(SUBSTITUTE(SUBSTITUTE(SUBSTITUTE(E85,"TRESEMME","Tresemme"),"HEAD &amp; SHOULDERS","Head &amp; Shoulders"),"ELVIVE","Elvive"),"FRUCTIS","Fructis")))</f>
        <v/>
      </c>
      <c r="R85">
        <f>COUNTIF($D$2:$D$10000,D85)&gt;1</f>
        <v/>
      </c>
      <c r="S85">
        <f>IF(H85=TRUE,"Disponible","No disponible")</f>
        <v/>
      </c>
      <c r="T85">
        <f>IF(AND(ISNUMBER(I85),I85&gt;0),ROUND(F85/I85,2),"Sin volumen")</f>
        <v/>
      </c>
      <c r="U85">
        <f>IF(F85&lt;5000,"Bajo",IF(F85&lt;15000,"Medio","Alto"))</f>
        <v/>
      </c>
    </row>
    <row r="86">
      <c r="A86" s="10" t="inlineStr">
        <is>
          <t>Disco</t>
        </is>
      </c>
      <c r="B86" s="10" t="n">
        <v>407563</v>
      </c>
      <c r="C86" s="10" t="n">
        <v>403752</v>
      </c>
      <c r="D86" s="10" t="inlineStr">
        <is>
          <t>Shampoo Reparación Total 5 Keratin 750 Ml Elvive</t>
        </is>
      </c>
      <c r="E86" s="10" t="inlineStr">
        <is>
          <t>ELVIVE</t>
        </is>
      </c>
      <c r="F86" s="10" t="n">
        <v>19700</v>
      </c>
      <c r="G86" s="10" t="n">
        <v>1628099</v>
      </c>
      <c r="H86" s="10" t="b">
        <v>1</v>
      </c>
      <c r="I86" s="10" t="n">
        <v>750</v>
      </c>
      <c r="J86" s="10" t="n">
        <v>26.2667</v>
      </c>
      <c r="K86" s="10" t="inlineStr">
        <is>
          <t>&gt; Perfumería &gt; Cuidado Capilar &gt; Shampoo &gt;</t>
        </is>
      </c>
      <c r="L86" s="10" t="inlineStr">
        <is>
          <t>shampoo</t>
        </is>
      </c>
      <c r="M86" s="10" t="inlineStr">
        <is>
          <t>profesional</t>
        </is>
      </c>
      <c r="N86" s="10" t="inlineStr">
        <is>
          <t>general</t>
        </is>
      </c>
      <c r="O86" s="10" t="inlineStr">
        <is>
          <t>https://www.disco.com.ar/shampoo-elvive-reparacion-total-5-keratin-750-ml/p</t>
        </is>
      </c>
      <c r="P86" s="12">
        <f>TRIM(CLEAN(PROPER(D86)))</f>
        <v/>
      </c>
      <c r="Q86" s="12">
        <f>PROPER(TRIM(SUBSTITUTE(SUBSTITUTE(SUBSTITUTE(SUBSTITUTE(E86,"TRESEMME","Tresemme"),"HEAD &amp; SHOULDERS","Head &amp; Shoulders"),"ELVIVE","Elvive"),"FRUCTIS","Fructis")))</f>
        <v/>
      </c>
      <c r="R86" s="12">
        <f>COUNTIF($D$2:$D$10000,D86)&gt;1</f>
        <v/>
      </c>
      <c r="S86" s="12">
        <f>IF(H86=TRUE,"Disponible","No disponible")</f>
        <v/>
      </c>
      <c r="T86" s="12">
        <f>IF(AND(ISNUMBER(I86),I86&gt;0),ROUND(F86/I86,2),"Sin volumen")</f>
        <v/>
      </c>
      <c r="U86" s="12">
        <f>IF(F86&lt;5000,"Bajo",IF(F86&lt;15000,"Medio","Alto"))</f>
        <v/>
      </c>
    </row>
    <row r="87">
      <c r="A87" t="inlineStr">
        <is>
          <t>Disco</t>
        </is>
      </c>
      <c r="B87" t="n">
        <v>275423</v>
      </c>
      <c r="C87" t="n">
        <v>274719</v>
      </c>
      <c r="D87" t="inlineStr">
        <is>
          <t>Shampoo Old Spice 375 Ml Head &amp; Shoulders</t>
        </is>
      </c>
      <c r="E87" t="inlineStr">
        <is>
          <t>HEAD &amp; SHOULDERS</t>
        </is>
      </c>
      <c r="F87" t="n">
        <v>13100</v>
      </c>
      <c r="G87" t="n">
        <v>1082645</v>
      </c>
      <c r="H87" t="b">
        <v>1</v>
      </c>
      <c r="I87" t="n">
        <v>375</v>
      </c>
      <c r="J87" t="n">
        <v>34.9333</v>
      </c>
      <c r="K87" t="inlineStr">
        <is>
          <t>&gt; Perfumería &gt; Cuidado Capilar &gt; Shampoo &gt;</t>
        </is>
      </c>
      <c r="L87" t="inlineStr">
        <is>
          <t>shampoo</t>
        </is>
      </c>
      <c r="M87" t="inlineStr">
        <is>
          <t>estandar</t>
        </is>
      </c>
      <c r="N87" t="inlineStr">
        <is>
          <t>general</t>
        </is>
      </c>
      <c r="O87" t="inlineStr">
        <is>
          <t>https://www.disco.com.ar/shampoo-old-spice-375-ml-head-shoulders-2/p</t>
        </is>
      </c>
      <c r="P87">
        <f>TRIM(CLEAN(PROPER(D87)))</f>
        <v/>
      </c>
      <c r="Q87">
        <f>PROPER(TRIM(SUBSTITUTE(SUBSTITUTE(SUBSTITUTE(SUBSTITUTE(E87,"TRESEMME","Tresemme"),"HEAD &amp; SHOULDERS","Head &amp; Shoulders"),"ELVIVE","Elvive"),"FRUCTIS","Fructis")))</f>
        <v/>
      </c>
      <c r="R87">
        <f>COUNTIF($D$2:$D$10000,D87)&gt;1</f>
        <v/>
      </c>
      <c r="S87">
        <f>IF(H87=TRUE,"Disponible","No disponible")</f>
        <v/>
      </c>
      <c r="T87">
        <f>IF(AND(ISNUMBER(I87),I87&gt;0),ROUND(F87/I87,2),"Sin volumen")</f>
        <v/>
      </c>
      <c r="U87">
        <f>IF(F87&lt;5000,"Bajo",IF(F87&lt;15000,"Medio","Alto"))</f>
        <v/>
      </c>
    </row>
    <row r="88">
      <c r="A88" s="10" t="inlineStr">
        <is>
          <t>Disco</t>
        </is>
      </c>
      <c r="B88" s="10" t="n">
        <v>1360449</v>
      </c>
      <c r="C88" s="10" t="n">
        <v>1360032</v>
      </c>
      <c r="D88" s="10" t="inlineStr">
        <is>
          <t>Shampoo Glyco Gloss Brillo 72h 200 Ml Elvive</t>
        </is>
      </c>
      <c r="E88" s="10" t="inlineStr">
        <is>
          <t>ELVIVE</t>
        </is>
      </c>
      <c r="F88" s="10" t="n">
        <v>8200</v>
      </c>
      <c r="G88" s="10" t="n">
        <v>677686</v>
      </c>
      <c r="H88" s="10" t="b">
        <v>1</v>
      </c>
      <c r="I88" s="10" t="n">
        <v>200</v>
      </c>
      <c r="J88" s="10" t="n">
        <v>41</v>
      </c>
      <c r="K88" s="10" t="inlineStr">
        <is>
          <t>&gt; Perfumería &gt; Cuidado Capilar &gt; Shampoo &gt;</t>
        </is>
      </c>
      <c r="L88" s="10" t="inlineStr">
        <is>
          <t>shampoo</t>
        </is>
      </c>
      <c r="M88" s="10" t="inlineStr">
        <is>
          <t>profesional</t>
        </is>
      </c>
      <c r="N88" s="10" t="inlineStr">
        <is>
          <t>general</t>
        </is>
      </c>
      <c r="O88" s="10" t="inlineStr">
        <is>
          <t>https://www.disco.com.ar/shampoo-elvive-glyco-gloss-200-ml/p</t>
        </is>
      </c>
      <c r="P88" s="12">
        <f>TRIM(CLEAN(PROPER(D88)))</f>
        <v/>
      </c>
      <c r="Q88" s="12">
        <f>PROPER(TRIM(SUBSTITUTE(SUBSTITUTE(SUBSTITUTE(SUBSTITUTE(E88,"TRESEMME","Tresemme"),"HEAD &amp; SHOULDERS","Head &amp; Shoulders"),"ELVIVE","Elvive"),"FRUCTIS","Fructis")))</f>
        <v/>
      </c>
      <c r="R88" s="12">
        <f>COUNTIF($D$2:$D$10000,D88)&gt;1</f>
        <v/>
      </c>
      <c r="S88" s="12">
        <f>IF(H88=TRUE,"Disponible","No disponible")</f>
        <v/>
      </c>
      <c r="T88" s="12">
        <f>IF(AND(ISNUMBER(I88),I88&gt;0),ROUND(F88/I88,2),"Sin volumen")</f>
        <v/>
      </c>
      <c r="U88" s="12">
        <f>IF(F88&lt;5000,"Bajo",IF(F88&lt;15000,"Medio","Alto"))</f>
        <v/>
      </c>
    </row>
    <row r="89">
      <c r="A89" t="inlineStr">
        <is>
          <t>Disco</t>
        </is>
      </c>
      <c r="B89" t="n">
        <v>3071027</v>
      </c>
      <c r="C89" t="n">
        <v>3070597</v>
      </c>
      <c r="D89" t="inlineStr">
        <is>
          <t>Shampoo Dream Liso Efecto Keratina 400 Ml Elvive</t>
        </is>
      </c>
      <c r="E89" t="inlineStr">
        <is>
          <t>ELVIVE</t>
        </is>
      </c>
      <c r="F89" t="n">
        <v>13150</v>
      </c>
      <c r="G89" t="n">
        <v>1086777</v>
      </c>
      <c r="H89" t="b">
        <v>1</v>
      </c>
      <c r="I89" t="n">
        <v>400</v>
      </c>
      <c r="J89" t="n">
        <v>32.875</v>
      </c>
      <c r="K89" t="inlineStr">
        <is>
          <t>&gt; Perfumería &gt; Cuidado Capilar &gt; Shampoo &gt;</t>
        </is>
      </c>
      <c r="L89" t="inlineStr">
        <is>
          <t>shampoo</t>
        </is>
      </c>
      <c r="M89" t="inlineStr">
        <is>
          <t>profesional</t>
        </is>
      </c>
      <c r="N89" t="inlineStr">
        <is>
          <t>tratado</t>
        </is>
      </c>
      <c r="O89" t="inlineStr">
        <is>
          <t>https://www.disco.com.ar/shampoo-dream-liso-x-400-ml-elvive/p</t>
        </is>
      </c>
      <c r="P89">
        <f>TRIM(CLEAN(PROPER(D89)))</f>
        <v/>
      </c>
      <c r="Q89">
        <f>PROPER(TRIM(SUBSTITUTE(SUBSTITUTE(SUBSTITUTE(SUBSTITUTE(E89,"TRESEMME","Tresemme"),"HEAD &amp; SHOULDERS","Head &amp; Shoulders"),"ELVIVE","Elvive"),"FRUCTIS","Fructis")))</f>
        <v/>
      </c>
      <c r="R89">
        <f>COUNTIF($D$2:$D$10000,D89)&gt;1</f>
        <v/>
      </c>
      <c r="S89">
        <f>IF(H89=TRUE,"Disponible","No disponible")</f>
        <v/>
      </c>
      <c r="T89">
        <f>IF(AND(ISNUMBER(I89),I89&gt;0),ROUND(F89/I89,2),"Sin volumen")</f>
        <v/>
      </c>
      <c r="U89">
        <f>IF(F89&lt;5000,"Bajo",IF(F89&lt;15000,"Medio","Alto"))</f>
        <v/>
      </c>
    </row>
    <row r="90">
      <c r="A90" s="10" t="inlineStr">
        <is>
          <t>Disco</t>
        </is>
      </c>
      <c r="B90" s="10" t="n">
        <v>1360446</v>
      </c>
      <c r="C90" s="10" t="n">
        <v>1360029</v>
      </c>
      <c r="D90" s="10" t="inlineStr">
        <is>
          <t>Shampoo Glycolic Gloss Brillo 72H 400 Ml Elvive</t>
        </is>
      </c>
      <c r="E90" s="10" t="inlineStr">
        <is>
          <t>ELVIVE</t>
        </is>
      </c>
      <c r="F90" s="10" t="n">
        <v>13150</v>
      </c>
      <c r="G90" s="10" t="n">
        <v>1086777</v>
      </c>
      <c r="H90" s="10" t="b">
        <v>1</v>
      </c>
      <c r="I90" s="10" t="n">
        <v>400</v>
      </c>
      <c r="J90" s="10" t="n">
        <v>32.875</v>
      </c>
      <c r="K90" s="10" t="inlineStr">
        <is>
          <t>&gt; Perfumería &gt; Cuidado Capilar &gt; Shampoo &gt;</t>
        </is>
      </c>
      <c r="L90" s="10" t="inlineStr">
        <is>
          <t>shampoo</t>
        </is>
      </c>
      <c r="M90" s="10" t="inlineStr">
        <is>
          <t>profesional</t>
        </is>
      </c>
      <c r="N90" s="10" t="inlineStr">
        <is>
          <t>general</t>
        </is>
      </c>
      <c r="O90" s="10" t="inlineStr">
        <is>
          <t>https://www.disco.com.ar/shampoo-elvive-glyco-gloss-x-400-ml/p</t>
        </is>
      </c>
      <c r="P90" s="12">
        <f>TRIM(CLEAN(PROPER(D90)))</f>
        <v/>
      </c>
      <c r="Q90" s="12">
        <f>PROPER(TRIM(SUBSTITUTE(SUBSTITUTE(SUBSTITUTE(SUBSTITUTE(E90,"TRESEMME","Tresemme"),"HEAD &amp; SHOULDERS","Head &amp; Shoulders"),"ELVIVE","Elvive"),"FRUCTIS","Fructis")))</f>
        <v/>
      </c>
      <c r="R90" s="12">
        <f>COUNTIF($D$2:$D$10000,D90)&gt;1</f>
        <v/>
      </c>
      <c r="S90" s="12">
        <f>IF(H90=TRUE,"Disponible","No disponible")</f>
        <v/>
      </c>
      <c r="T90" s="12">
        <f>IF(AND(ISNUMBER(I90),I90&gt;0),ROUND(F90/I90,2),"Sin volumen")</f>
        <v/>
      </c>
      <c r="U90" s="12">
        <f>IF(F90&lt;5000,"Bajo",IF(F90&lt;15000,"Medio","Alto"))</f>
        <v/>
      </c>
    </row>
    <row r="91">
      <c r="A91" t="inlineStr">
        <is>
          <t>Disco</t>
        </is>
      </c>
      <c r="B91" t="n">
        <v>401192</v>
      </c>
      <c r="C91" t="n">
        <v>398530</v>
      </c>
      <c r="D91" t="inlineStr">
        <is>
          <t>Shampoo Detox Limpia y Purifica 200 Ml Pantene</t>
        </is>
      </c>
      <c r="E91" t="inlineStr">
        <is>
          <t>PANTENE</t>
        </is>
      </c>
      <c r="F91" t="n">
        <v>6800</v>
      </c>
      <c r="G91" t="n">
        <v>561983</v>
      </c>
      <c r="H91" t="b">
        <v>1</v>
      </c>
      <c r="I91" t="n">
        <v>200</v>
      </c>
      <c r="J91" t="n">
        <v>34</v>
      </c>
      <c r="K91" t="inlineStr">
        <is>
          <t>&gt; Perfumería &gt; Cuidado Capilar &gt; Shampoo &gt;</t>
        </is>
      </c>
      <c r="L91" t="inlineStr">
        <is>
          <t>shampoo</t>
        </is>
      </c>
      <c r="M91" t="inlineStr">
        <is>
          <t>estandar</t>
        </is>
      </c>
      <c r="N91" t="inlineStr">
        <is>
          <t>general</t>
        </is>
      </c>
      <c r="O91" t="inlineStr">
        <is>
          <t>https://www.disco.com.ar/shampoo-detox-limpia-y-purifica-200-ml-pantene-2/p</t>
        </is>
      </c>
      <c r="P91">
        <f>TRIM(CLEAN(PROPER(D91)))</f>
        <v/>
      </c>
      <c r="Q91">
        <f>PROPER(TRIM(SUBSTITUTE(SUBSTITUTE(SUBSTITUTE(SUBSTITUTE(E91,"TRESEMME","Tresemme"),"HEAD &amp; SHOULDERS","Head &amp; Shoulders"),"ELVIVE","Elvive"),"FRUCTIS","Fructis")))</f>
        <v/>
      </c>
      <c r="R91">
        <f>COUNTIF($D$2:$D$10000,D91)&gt;1</f>
        <v/>
      </c>
      <c r="S91">
        <f>IF(H91=TRUE,"Disponible","No disponible")</f>
        <v/>
      </c>
      <c r="T91">
        <f>IF(AND(ISNUMBER(I91),I91&gt;0),ROUND(F91/I91,2),"Sin volumen")</f>
        <v/>
      </c>
      <c r="U91">
        <f>IF(F91&lt;5000,"Bajo",IF(F91&lt;15000,"Medio","Alto"))</f>
        <v/>
      </c>
    </row>
    <row r="92">
      <c r="A92" s="10" t="inlineStr">
        <is>
          <t>Disco</t>
        </is>
      </c>
      <c r="B92" s="10" t="n">
        <v>3078386</v>
      </c>
      <c r="C92" s="10" t="n">
        <v>3077730</v>
      </c>
      <c r="D92" s="10" t="inlineStr">
        <is>
          <t>Shampoo UV Repair y Glow 200 Ml Dove</t>
        </is>
      </c>
      <c r="E92" s="10" t="inlineStr">
        <is>
          <t>DOVE</t>
        </is>
      </c>
      <c r="F92" s="10" t="n">
        <v>6800</v>
      </c>
      <c r="G92" s="10" t="n">
        <v>561983</v>
      </c>
      <c r="H92" s="10" t="b">
        <v>1</v>
      </c>
      <c r="I92" s="10" t="n">
        <v>200</v>
      </c>
      <c r="J92" s="10" t="n">
        <v>34</v>
      </c>
      <c r="K92" s="10" t="inlineStr">
        <is>
          <t>&gt; Perfumería &gt; Cuidado Capilar &gt; Shampoo &gt;</t>
        </is>
      </c>
      <c r="L92" s="10" t="inlineStr">
        <is>
          <t>shampoo</t>
        </is>
      </c>
      <c r="M92" s="10" t="inlineStr">
        <is>
          <t>profesional</t>
        </is>
      </c>
      <c r="N92" s="10" t="inlineStr">
        <is>
          <t>general</t>
        </is>
      </c>
      <c r="O92" s="10" t="inlineStr">
        <is>
          <t>https://www.disco.com.ar/shampoo-dove-bond-uv-repair-200ml/p</t>
        </is>
      </c>
      <c r="P92" s="12">
        <f>TRIM(CLEAN(PROPER(D92)))</f>
        <v/>
      </c>
      <c r="Q92" s="12">
        <f>PROPER(TRIM(SUBSTITUTE(SUBSTITUTE(SUBSTITUTE(SUBSTITUTE(E92,"TRESEMME","Tresemme"),"HEAD &amp; SHOULDERS","Head &amp; Shoulders"),"ELVIVE","Elvive"),"FRUCTIS","Fructis")))</f>
        <v/>
      </c>
      <c r="R92" s="12">
        <f>COUNTIF($D$2:$D$10000,D92)&gt;1</f>
        <v/>
      </c>
      <c r="S92" s="12">
        <f>IF(H92=TRUE,"Disponible","No disponible")</f>
        <v/>
      </c>
      <c r="T92" s="12">
        <f>IF(AND(ISNUMBER(I92),I92&gt;0),ROUND(F92/I92,2),"Sin volumen")</f>
        <v/>
      </c>
      <c r="U92" s="12">
        <f>IF(F92&lt;5000,"Bajo",IF(F92&lt;15000,"Medio","Alto"))</f>
        <v/>
      </c>
    </row>
    <row r="93">
      <c r="A93" t="inlineStr">
        <is>
          <t>Disco</t>
        </is>
      </c>
      <c r="B93" t="n">
        <v>1362514</v>
      </c>
      <c r="C93" t="n">
        <v>1361762</v>
      </c>
      <c r="D93" t="inlineStr">
        <is>
          <t>Shampoo Elvive Reparación Total 5 Keratin 200 Ml</t>
        </is>
      </c>
      <c r="E93" t="inlineStr">
        <is>
          <t>ELVIVE</t>
        </is>
      </c>
      <c r="F93" t="n">
        <v>7650</v>
      </c>
      <c r="G93" t="n">
        <v>632231</v>
      </c>
      <c r="H93" t="b">
        <v>1</v>
      </c>
      <c r="I93" t="n">
        <v>200</v>
      </c>
      <c r="J93" t="n">
        <v>38.25</v>
      </c>
      <c r="K93" t="inlineStr">
        <is>
          <t>&gt; Perfumería &gt; Cuidado Capilar &gt; Shampoo &gt;</t>
        </is>
      </c>
      <c r="L93" t="inlineStr">
        <is>
          <t>shampoo</t>
        </is>
      </c>
      <c r="M93" t="inlineStr">
        <is>
          <t>profesional</t>
        </is>
      </c>
      <c r="N93" t="inlineStr">
        <is>
          <t>general</t>
        </is>
      </c>
      <c r="O93" t="inlineStr">
        <is>
          <t>https://www.disco.com.ar/shampoo-elvive-reparacion-total-5-keratin-200-ml/p</t>
        </is>
      </c>
      <c r="P93">
        <f>TRIM(CLEAN(PROPER(D93)))</f>
        <v/>
      </c>
      <c r="Q93">
        <f>PROPER(TRIM(SUBSTITUTE(SUBSTITUTE(SUBSTITUTE(SUBSTITUTE(E93,"TRESEMME","Tresemme"),"HEAD &amp; SHOULDERS","Head &amp; Shoulders"),"ELVIVE","Elvive"),"FRUCTIS","Fructis")))</f>
        <v/>
      </c>
      <c r="R93">
        <f>COUNTIF($D$2:$D$10000,D93)&gt;1</f>
        <v/>
      </c>
      <c r="S93">
        <f>IF(H93=TRUE,"Disponible","No disponible")</f>
        <v/>
      </c>
      <c r="T93">
        <f>IF(AND(ISNUMBER(I93),I93&gt;0),ROUND(F93/I93,2),"Sin volumen")</f>
        <v/>
      </c>
      <c r="U93">
        <f>IF(F93&lt;5000,"Bajo",IF(F93&lt;15000,"Medio","Alto"))</f>
        <v/>
      </c>
    </row>
    <row r="94">
      <c r="A94" s="10" t="inlineStr">
        <is>
          <t>Disco</t>
        </is>
      </c>
      <c r="B94" s="10" t="n">
        <v>3086635</v>
      </c>
      <c r="C94" s="10" t="n">
        <v>3085859</v>
      </c>
      <c r="D94" s="10" t="inlineStr">
        <is>
          <t>Shampoo Goodbye Daños Oil Control 350 Ml Fructis Shampoo Fructis Oil Control 350ml</t>
        </is>
      </c>
      <c r="E94" s="10" t="inlineStr">
        <is>
          <t>FRUCTIS</t>
        </is>
      </c>
      <c r="F94" s="10" t="n">
        <v>8650</v>
      </c>
      <c r="G94" s="10" t="n">
        <v>714876</v>
      </c>
      <c r="H94" s="10" t="b">
        <v>1</v>
      </c>
      <c r="I94" s="10" t="n">
        <v>350</v>
      </c>
      <c r="J94" s="10" t="n">
        <v>24.7143</v>
      </c>
      <c r="K94" s="10" t="inlineStr">
        <is>
          <t>&gt; Perfumería &gt; Cuidado Capilar &gt; Shampoo &gt;</t>
        </is>
      </c>
      <c r="L94" s="10" t="inlineStr">
        <is>
          <t>shampoo</t>
        </is>
      </c>
      <c r="M94" s="10" t="inlineStr">
        <is>
          <t>estandar</t>
        </is>
      </c>
      <c r="N94" s="10" t="inlineStr">
        <is>
          <t>general</t>
        </is>
      </c>
      <c r="O94" s="10" t="inlineStr">
        <is>
          <t>https://www.disco.com.ar/shampoo-fructis-oil-control-350ml/p</t>
        </is>
      </c>
      <c r="P94" s="12">
        <f>TRIM(CLEAN(PROPER(D94)))</f>
        <v/>
      </c>
      <c r="Q94" s="12">
        <f>PROPER(TRIM(SUBSTITUTE(SUBSTITUTE(SUBSTITUTE(SUBSTITUTE(E94,"TRESEMME","Tresemme"),"HEAD &amp; SHOULDERS","Head &amp; Shoulders"),"ELVIVE","Elvive"),"FRUCTIS","Fructis")))</f>
        <v/>
      </c>
      <c r="R94" s="12">
        <f>COUNTIF($D$2:$D$10000,D94)&gt;1</f>
        <v/>
      </c>
      <c r="S94" s="12">
        <f>IF(H94=TRUE,"Disponible","No disponible")</f>
        <v/>
      </c>
      <c r="T94" s="12">
        <f>IF(AND(ISNUMBER(I94),I94&gt;0),ROUND(F94/I94,2),"Sin volumen")</f>
        <v/>
      </c>
      <c r="U94" s="12">
        <f>IF(F94&lt;5000,"Bajo",IF(F94&lt;15000,"Medio","Alto"))</f>
        <v/>
      </c>
    </row>
    <row r="95">
      <c r="A95" t="inlineStr">
        <is>
          <t>Disco</t>
        </is>
      </c>
      <c r="B95" t="n">
        <v>3071025</v>
      </c>
      <c r="C95" t="n">
        <v>3070596</v>
      </c>
      <c r="D95" t="inlineStr">
        <is>
          <t>Shampoo Dream Liso Efecto Keratina 750 Ml Elvive</t>
        </is>
      </c>
      <c r="E95" t="inlineStr">
        <is>
          <t>ELVIVE</t>
        </is>
      </c>
      <c r="F95" t="n">
        <v>21250</v>
      </c>
      <c r="G95" t="n">
        <v>1756198</v>
      </c>
      <c r="H95" t="b">
        <v>1</v>
      </c>
      <c r="I95" t="n">
        <v>750</v>
      </c>
      <c r="J95" t="n">
        <v>28.3333</v>
      </c>
      <c r="K95" t="inlineStr">
        <is>
          <t>&gt; Perfumería &gt; Cuidado Capilar &gt; Shampoo &gt;</t>
        </is>
      </c>
      <c r="L95" t="inlineStr">
        <is>
          <t>shampoo</t>
        </is>
      </c>
      <c r="M95" t="inlineStr">
        <is>
          <t>profesional</t>
        </is>
      </c>
      <c r="N95" t="inlineStr">
        <is>
          <t>tratado</t>
        </is>
      </c>
      <c r="O95" t="inlineStr">
        <is>
          <t>https://www.disco.com.ar/shampoo-dream-liso-x-750-ml-elvive/p</t>
        </is>
      </c>
      <c r="P95">
        <f>TRIM(CLEAN(PROPER(D95)))</f>
        <v/>
      </c>
      <c r="Q95">
        <f>PROPER(TRIM(SUBSTITUTE(SUBSTITUTE(SUBSTITUTE(SUBSTITUTE(E95,"TRESEMME","Tresemme"),"HEAD &amp; SHOULDERS","Head &amp; Shoulders"),"ELVIVE","Elvive"),"FRUCTIS","Fructis")))</f>
        <v/>
      </c>
      <c r="R95">
        <f>COUNTIF($D$2:$D$10000,D95)&gt;1</f>
        <v/>
      </c>
      <c r="S95">
        <f>IF(H95=TRUE,"Disponible","No disponible")</f>
        <v/>
      </c>
      <c r="T95">
        <f>IF(AND(ISNUMBER(I95),I95&gt;0),ROUND(F95/I95,2),"Sin volumen")</f>
        <v/>
      </c>
      <c r="U95">
        <f>IF(F95&lt;5000,"Bajo",IF(F95&lt;15000,"Medio","Alto"))</f>
        <v/>
      </c>
    </row>
    <row r="96">
      <c r="A96" s="10" t="inlineStr">
        <is>
          <t>Disco</t>
        </is>
      </c>
      <c r="B96" s="10" t="n">
        <v>3069754</v>
      </c>
      <c r="C96" s="10" t="n">
        <v>3069359</v>
      </c>
      <c r="D96" s="10" t="inlineStr">
        <is>
          <t>Shampoo Colágeno Nutre y Revitaliza 510 Ml Pantene</t>
        </is>
      </c>
      <c r="E96" s="10" t="inlineStr">
        <is>
          <t>PANTENE</t>
        </is>
      </c>
      <c r="F96" s="10" t="n">
        <v>16900</v>
      </c>
      <c r="G96" s="10" t="n">
        <v>1396694</v>
      </c>
      <c r="H96" s="10" t="b">
        <v>1</v>
      </c>
      <c r="I96" s="10" t="n">
        <v>510</v>
      </c>
      <c r="J96" s="10" t="n">
        <v>33.1373</v>
      </c>
      <c r="K96" s="10" t="inlineStr">
        <is>
          <t>&gt; Perfumería &gt; Cuidado Capilar &gt; Shampoo &gt;</t>
        </is>
      </c>
      <c r="L96" s="10" t="inlineStr">
        <is>
          <t>shampoo</t>
        </is>
      </c>
      <c r="M96" s="10" t="inlineStr">
        <is>
          <t>estandar</t>
        </is>
      </c>
      <c r="N96" s="10" t="inlineStr">
        <is>
          <t>general</t>
        </is>
      </c>
      <c r="O96" s="10" t="inlineStr">
        <is>
          <t>https://www.disco.com.ar/shampoo-colageno-x-510-ml-pantene-2/p</t>
        </is>
      </c>
      <c r="P96" s="12">
        <f>TRIM(CLEAN(PROPER(D96)))</f>
        <v/>
      </c>
      <c r="Q96" s="12">
        <f>PROPER(TRIM(SUBSTITUTE(SUBSTITUTE(SUBSTITUTE(SUBSTITUTE(E96,"TRESEMME","Tresemme"),"HEAD &amp; SHOULDERS","Head &amp; Shoulders"),"ELVIVE","Elvive"),"FRUCTIS","Fructis")))</f>
        <v/>
      </c>
      <c r="R96" s="12">
        <f>COUNTIF($D$2:$D$10000,D96)&gt;1</f>
        <v/>
      </c>
      <c r="S96" s="12">
        <f>IF(H96=TRUE,"Disponible","No disponible")</f>
        <v/>
      </c>
      <c r="T96" s="12">
        <f>IF(AND(ISNUMBER(I96),I96&gt;0),ROUND(F96/I96,2),"Sin volumen")</f>
        <v/>
      </c>
      <c r="U96" s="12">
        <f>IF(F96&lt;5000,"Bajo",IF(F96&lt;15000,"Medio","Alto"))</f>
        <v/>
      </c>
    </row>
    <row r="97">
      <c r="A97" t="inlineStr">
        <is>
          <t>Disco</t>
        </is>
      </c>
      <c r="B97" t="n">
        <v>424298</v>
      </c>
      <c r="C97" t="n">
        <v>417178</v>
      </c>
      <c r="D97" t="inlineStr">
        <is>
          <t>Shampoo Nutrición Intensa Óleo de Argán 700 Ml Plusbelle</t>
        </is>
      </c>
      <c r="E97" t="inlineStr">
        <is>
          <t>PLUSBELLE</t>
        </is>
      </c>
      <c r="F97" t="n">
        <v>5650</v>
      </c>
      <c r="G97" t="n">
        <v>466942</v>
      </c>
      <c r="H97" t="b">
        <v>1</v>
      </c>
      <c r="I97" t="n">
        <v>700</v>
      </c>
      <c r="J97" t="n">
        <v>8.071400000000001</v>
      </c>
      <c r="K97" t="inlineStr">
        <is>
          <t>&gt; Perfumería &gt; Cuidado Capilar &gt; Shampoo &gt;</t>
        </is>
      </c>
      <c r="L97" t="inlineStr">
        <is>
          <t>shampoo</t>
        </is>
      </c>
      <c r="M97" t="inlineStr">
        <is>
          <t>estandar</t>
        </is>
      </c>
      <c r="N97" t="inlineStr">
        <is>
          <t>general</t>
        </is>
      </c>
      <c r="O97" t="inlineStr">
        <is>
          <t>https://www.disco.com.ar/shampoo-plusbelle-esen-oleo-nut-argan-700-ml/p</t>
        </is>
      </c>
      <c r="P97">
        <f>TRIM(CLEAN(PROPER(D97)))</f>
        <v/>
      </c>
      <c r="Q97">
        <f>PROPER(TRIM(SUBSTITUTE(SUBSTITUTE(SUBSTITUTE(SUBSTITUTE(E97,"TRESEMME","Tresemme"),"HEAD &amp; SHOULDERS","Head &amp; Shoulders"),"ELVIVE","Elvive"),"FRUCTIS","Fructis")))</f>
        <v/>
      </c>
      <c r="R97">
        <f>COUNTIF($D$2:$D$10000,D97)&gt;1</f>
        <v/>
      </c>
      <c r="S97">
        <f>IF(H97=TRUE,"Disponible","No disponible")</f>
        <v/>
      </c>
      <c r="T97">
        <f>IF(AND(ISNUMBER(I97),I97&gt;0),ROUND(F97/I97,2),"Sin volumen")</f>
        <v/>
      </c>
      <c r="U97">
        <f>IF(F97&lt;5000,"Bajo",IF(F97&lt;15000,"Medio","Alto"))</f>
        <v/>
      </c>
    </row>
    <row r="98">
      <c r="A98" s="10" t="inlineStr">
        <is>
          <t>Disco</t>
        </is>
      </c>
      <c r="B98" s="10" t="n">
        <v>410401</v>
      </c>
      <c r="C98" s="10" t="n">
        <v>406407</v>
      </c>
      <c r="D98" s="10" t="inlineStr">
        <is>
          <t>Shampoo Engrosador Anti-caída 400 Ml Tio Nacho</t>
        </is>
      </c>
      <c r="E98" s="10" t="inlineStr">
        <is>
          <t>Tio Nacho</t>
        </is>
      </c>
      <c r="F98" s="10" t="n">
        <v>8250</v>
      </c>
      <c r="G98" s="10" t="n">
        <v>681818</v>
      </c>
      <c r="H98" s="10" t="b">
        <v>1</v>
      </c>
      <c r="I98" s="10" t="n">
        <v>400</v>
      </c>
      <c r="J98" s="10" t="n">
        <v>20.625</v>
      </c>
      <c r="K98" s="10" t="inlineStr">
        <is>
          <t>&gt; Perfumería &gt; Cuidado Capilar &gt; Shampoo &gt;</t>
        </is>
      </c>
      <c r="L98" s="10" t="inlineStr">
        <is>
          <t>shampoo</t>
        </is>
      </c>
      <c r="M98" s="10" t="inlineStr">
        <is>
          <t>estandar</t>
        </is>
      </c>
      <c r="N98" s="10" t="inlineStr">
        <is>
          <t>general</t>
        </is>
      </c>
      <c r="O98" s="10" t="inlineStr">
        <is>
          <t>https://www.disco.com.ar/shampoo-engrosador-doypack-400-ml-tio-nacho/p</t>
        </is>
      </c>
      <c r="P98" s="12">
        <f>TRIM(CLEAN(PROPER(D98)))</f>
        <v/>
      </c>
      <c r="Q98" s="12">
        <f>PROPER(TRIM(SUBSTITUTE(SUBSTITUTE(SUBSTITUTE(SUBSTITUTE(E98,"TRESEMME","Tresemme"),"HEAD &amp; SHOULDERS","Head &amp; Shoulders"),"ELVIVE","Elvive"),"FRUCTIS","Fructis")))</f>
        <v/>
      </c>
      <c r="R98" s="12">
        <f>COUNTIF($D$2:$D$10000,D98)&gt;1</f>
        <v/>
      </c>
      <c r="S98" s="12">
        <f>IF(H98=TRUE,"Disponible","No disponible")</f>
        <v/>
      </c>
      <c r="T98" s="12">
        <f>IF(AND(ISNUMBER(I98),I98&gt;0),ROUND(F98/I98,2),"Sin volumen")</f>
        <v/>
      </c>
      <c r="U98" s="12">
        <f>IF(F98&lt;5000,"Bajo",IF(F98&lt;15000,"Medio","Alto"))</f>
        <v/>
      </c>
    </row>
    <row r="99">
      <c r="A99" t="inlineStr">
        <is>
          <t>Disco</t>
        </is>
      </c>
      <c r="B99" t="n">
        <v>3070176</v>
      </c>
      <c r="C99" t="n">
        <v>3069776</v>
      </c>
      <c r="D99" t="inlineStr">
        <is>
          <t>Shampoo Keratina Repara y Protege 300 Ml Pantene</t>
        </is>
      </c>
      <c r="E99" t="inlineStr">
        <is>
          <t>PANTENE</t>
        </is>
      </c>
      <c r="F99" t="n">
        <v>10550</v>
      </c>
      <c r="G99" t="n">
        <v>871901</v>
      </c>
      <c r="H99" t="b">
        <v>1</v>
      </c>
      <c r="I99" t="n">
        <v>300</v>
      </c>
      <c r="J99" t="n">
        <v>35.1667</v>
      </c>
      <c r="K99" t="inlineStr">
        <is>
          <t>&gt; Perfumería &gt; Cuidado Capilar &gt; Shampoo &gt;</t>
        </is>
      </c>
      <c r="L99" t="inlineStr">
        <is>
          <t>shampoo</t>
        </is>
      </c>
      <c r="M99" t="inlineStr">
        <is>
          <t>estandar</t>
        </is>
      </c>
      <c r="N99" t="inlineStr">
        <is>
          <t>tratado</t>
        </is>
      </c>
      <c r="O99" t="inlineStr">
        <is>
          <t>https://www.disco.com.ar/shampoo-keratina-x-300-ml-pantene-2/p</t>
        </is>
      </c>
      <c r="P99">
        <f>TRIM(CLEAN(PROPER(D99)))</f>
        <v/>
      </c>
      <c r="Q99">
        <f>PROPER(TRIM(SUBSTITUTE(SUBSTITUTE(SUBSTITUTE(SUBSTITUTE(E99,"TRESEMME","Tresemme"),"HEAD &amp; SHOULDERS","Head &amp; Shoulders"),"ELVIVE","Elvive"),"FRUCTIS","Fructis")))</f>
        <v/>
      </c>
      <c r="R99">
        <f>COUNTIF($D$2:$D$10000,D99)&gt;1</f>
        <v/>
      </c>
      <c r="S99">
        <f>IF(H99=TRUE,"Disponible","No disponible")</f>
        <v/>
      </c>
      <c r="T99">
        <f>IF(AND(ISNUMBER(I99),I99&gt;0),ROUND(F99/I99,2),"Sin volumen")</f>
        <v/>
      </c>
      <c r="U99">
        <f>IF(F99&lt;5000,"Bajo",IF(F99&lt;15000,"Medio","Alto"))</f>
        <v/>
      </c>
    </row>
    <row r="100">
      <c r="A100" s="10" t="inlineStr">
        <is>
          <t>Disco</t>
        </is>
      </c>
      <c r="B100" s="10" t="n">
        <v>3070168</v>
      </c>
      <c r="C100" s="10" t="n">
        <v>3069761</v>
      </c>
      <c r="D100" s="10" t="inlineStr">
        <is>
          <t>Shampoo Pro-V Miracles Revitalización 700 Ml Pantene</t>
        </is>
      </c>
      <c r="E100" s="10" t="inlineStr">
        <is>
          <t>PANTENE</t>
        </is>
      </c>
      <c r="F100" s="10" t="n">
        <v>18050</v>
      </c>
      <c r="G100" s="10" t="n">
        <v>1491736</v>
      </c>
      <c r="H100" s="10" t="b">
        <v>1</v>
      </c>
      <c r="I100" s="10" t="n">
        <v>700</v>
      </c>
      <c r="J100" s="10" t="n">
        <v>25.7857</v>
      </c>
      <c r="K100" s="10" t="inlineStr">
        <is>
          <t>&gt; Perfumería &gt; Cuidado Capilar &gt; Shampoo &gt;</t>
        </is>
      </c>
      <c r="L100" s="10" t="inlineStr">
        <is>
          <t>shampoo</t>
        </is>
      </c>
      <c r="M100" s="10" t="inlineStr">
        <is>
          <t>profesional</t>
        </is>
      </c>
      <c r="N100" s="10" t="inlineStr">
        <is>
          <t>general</t>
        </is>
      </c>
      <c r="O100" s="10" t="inlineStr">
        <is>
          <t>https://www.disco.com.ar/shampoo-pro-v-miracles-revitalizacion-x-700-ml-pantene/p</t>
        </is>
      </c>
      <c r="P100" s="12">
        <f>TRIM(CLEAN(PROPER(D100)))</f>
        <v/>
      </c>
      <c r="Q100" s="12">
        <f>PROPER(TRIM(SUBSTITUTE(SUBSTITUTE(SUBSTITUTE(SUBSTITUTE(E100,"TRESEMME","Tresemme"),"HEAD &amp; SHOULDERS","Head &amp; Shoulders"),"ELVIVE","Elvive"),"FRUCTIS","Fructis")))</f>
        <v/>
      </c>
      <c r="R100" s="12">
        <f>COUNTIF($D$2:$D$10000,D100)&gt;1</f>
        <v/>
      </c>
      <c r="S100" s="12">
        <f>IF(H100=TRUE,"Disponible","No disponible")</f>
        <v/>
      </c>
      <c r="T100" s="12">
        <f>IF(AND(ISNUMBER(I100),I100&gt;0),ROUND(F100/I100,2),"Sin volumen")</f>
        <v/>
      </c>
      <c r="U100" s="12">
        <f>IF(F100&lt;5000,"Bajo",IF(F100&lt;15000,"Medio","Alto"))</f>
        <v/>
      </c>
    </row>
    <row r="101">
      <c r="A101" t="inlineStr">
        <is>
          <t>Disco</t>
        </is>
      </c>
      <c r="B101" t="n">
        <v>407567</v>
      </c>
      <c r="C101" t="n">
        <v>403756</v>
      </c>
      <c r="D101" t="inlineStr">
        <is>
          <t>Shampoo Reparación Total 5 Extreme 750 Ml Elvive</t>
        </is>
      </c>
      <c r="E101" t="inlineStr">
        <is>
          <t>ELVIVE</t>
        </is>
      </c>
      <c r="F101" t="n">
        <v>19700</v>
      </c>
      <c r="G101" t="n">
        <v>1628099</v>
      </c>
      <c r="H101" t="b">
        <v>1</v>
      </c>
      <c r="I101" t="n">
        <v>750</v>
      </c>
      <c r="J101" t="n">
        <v>26.2667</v>
      </c>
      <c r="K101" t="inlineStr">
        <is>
          <t>&gt; Perfumería &gt; Cuidado Capilar &gt; Shampoo &gt;</t>
        </is>
      </c>
      <c r="L101" t="inlineStr">
        <is>
          <t>shampoo</t>
        </is>
      </c>
      <c r="M101" t="inlineStr">
        <is>
          <t>profesional</t>
        </is>
      </c>
      <c r="N101" t="inlineStr">
        <is>
          <t>general</t>
        </is>
      </c>
      <c r="O101" t="inlineStr">
        <is>
          <t>https://www.disco.com.ar/shampoo-elvive-reparacion-total-5-extreme-750-ml/p</t>
        </is>
      </c>
      <c r="P101">
        <f>TRIM(CLEAN(PROPER(D101)))</f>
        <v/>
      </c>
      <c r="Q101">
        <f>PROPER(TRIM(SUBSTITUTE(SUBSTITUTE(SUBSTITUTE(SUBSTITUTE(E101,"TRESEMME","Tresemme"),"HEAD &amp; SHOULDERS","Head &amp; Shoulders"),"ELVIVE","Elvive"),"FRUCTIS","Fructis")))</f>
        <v/>
      </c>
      <c r="R101">
        <f>COUNTIF($D$2:$D$10000,D101)&gt;1</f>
        <v/>
      </c>
      <c r="S101">
        <f>IF(H101=TRUE,"Disponible","No disponible")</f>
        <v/>
      </c>
      <c r="T101">
        <f>IF(AND(ISNUMBER(I101),I101&gt;0),ROUND(F101/I101,2),"Sin volumen")</f>
        <v/>
      </c>
      <c r="U101">
        <f>IF(F101&lt;5000,"Bajo",IF(F101&lt;15000,"Medio","Alto"))</f>
        <v/>
      </c>
    </row>
    <row r="102">
      <c r="A102" s="10" t="inlineStr">
        <is>
          <t>Disco</t>
        </is>
      </c>
      <c r="B102" s="10" t="n">
        <v>400519</v>
      </c>
      <c r="C102" s="10" t="n">
        <v>397857</v>
      </c>
      <c r="D102" s="10" t="inlineStr">
        <is>
          <t>Shampoo Colorvive para Cabello Teñido 750 Ml Elvive</t>
        </is>
      </c>
      <c r="E102" s="10" t="inlineStr">
        <is>
          <t>ELVIVE</t>
        </is>
      </c>
      <c r="F102" s="10" t="n">
        <v>19700</v>
      </c>
      <c r="G102" s="10" t="n">
        <v>1628099</v>
      </c>
      <c r="H102" s="10" t="b">
        <v>1</v>
      </c>
      <c r="I102" s="10" t="n">
        <v>750</v>
      </c>
      <c r="J102" s="10" t="n">
        <v>26.2667</v>
      </c>
      <c r="K102" s="10" t="inlineStr">
        <is>
          <t>&gt; Perfumería &gt; Cuidado Capilar &gt; Shampoo &gt;</t>
        </is>
      </c>
      <c r="L102" s="10" t="inlineStr">
        <is>
          <t>shampoo</t>
        </is>
      </c>
      <c r="M102" s="10" t="inlineStr">
        <is>
          <t>profesional</t>
        </is>
      </c>
      <c r="N102" s="10" t="inlineStr">
        <is>
          <t>tratado</t>
        </is>
      </c>
      <c r="O102" s="10" t="inlineStr">
        <is>
          <t>https://www.disco.com.ar/shampoo-elvive-colorvive-750-ml/p</t>
        </is>
      </c>
      <c r="P102" s="12">
        <f>TRIM(CLEAN(PROPER(D102)))</f>
        <v/>
      </c>
      <c r="Q102" s="12">
        <f>PROPER(TRIM(SUBSTITUTE(SUBSTITUTE(SUBSTITUTE(SUBSTITUTE(E102,"TRESEMME","Tresemme"),"HEAD &amp; SHOULDERS","Head &amp; Shoulders"),"ELVIVE","Elvive"),"FRUCTIS","Fructis")))</f>
        <v/>
      </c>
      <c r="R102" s="12">
        <f>COUNTIF($D$2:$D$10000,D102)&gt;1</f>
        <v/>
      </c>
      <c r="S102" s="12">
        <f>IF(H102=TRUE,"Disponible","No disponible")</f>
        <v/>
      </c>
      <c r="T102" s="12">
        <f>IF(AND(ISNUMBER(I102),I102&gt;0),ROUND(F102/I102,2),"Sin volumen")</f>
        <v/>
      </c>
      <c r="U102" s="12">
        <f>IF(F102&lt;5000,"Bajo",IF(F102&lt;15000,"Medio","Alto"))</f>
        <v/>
      </c>
    </row>
    <row r="103">
      <c r="A103" t="inlineStr">
        <is>
          <t>Disco</t>
        </is>
      </c>
      <c r="B103" t="n">
        <v>400530</v>
      </c>
      <c r="C103" t="n">
        <v>397868</v>
      </c>
      <c r="D103" t="inlineStr">
        <is>
          <t>Shampoo Elvive Lóréal Paris Hidra Hialurónico 400 Ml</t>
        </is>
      </c>
      <c r="E103" t="inlineStr">
        <is>
          <t>ELVIVE</t>
        </is>
      </c>
      <c r="F103" t="n">
        <v>11199</v>
      </c>
      <c r="G103" t="n">
        <v>925537</v>
      </c>
      <c r="H103" t="b">
        <v>1</v>
      </c>
      <c r="I103" t="n">
        <v>400</v>
      </c>
      <c r="J103" t="n">
        <v>27.9975</v>
      </c>
      <c r="K103" t="inlineStr">
        <is>
          <t>&gt; Perfumería &gt; Cuidado Capilar &gt; Shampoo &gt;</t>
        </is>
      </c>
      <c r="L103" t="inlineStr">
        <is>
          <t>shampoo</t>
        </is>
      </c>
      <c r="M103" t="inlineStr">
        <is>
          <t>profesional</t>
        </is>
      </c>
      <c r="N103" t="inlineStr">
        <is>
          <t>general</t>
        </is>
      </c>
      <c r="O103" t="inlineStr">
        <is>
          <t>https://www.disco.com.ar/shampoo-elvive-loreal-paris-hidra-hialuronico-400-ml/p</t>
        </is>
      </c>
      <c r="P103">
        <f>TRIM(CLEAN(PROPER(D103)))</f>
        <v/>
      </c>
      <c r="Q103">
        <f>PROPER(TRIM(SUBSTITUTE(SUBSTITUTE(SUBSTITUTE(SUBSTITUTE(E103,"TRESEMME","Tresemme"),"HEAD &amp; SHOULDERS","Head &amp; Shoulders"),"ELVIVE","Elvive"),"FRUCTIS","Fructis")))</f>
        <v/>
      </c>
      <c r="R103">
        <f>COUNTIF($D$2:$D$10000,D103)&gt;1</f>
        <v/>
      </c>
      <c r="S103">
        <f>IF(H103=TRUE,"Disponible","No disponible")</f>
        <v/>
      </c>
      <c r="T103">
        <f>IF(AND(ISNUMBER(I103),I103&gt;0),ROUND(F103/I103,2),"Sin volumen")</f>
        <v/>
      </c>
      <c r="U103">
        <f>IF(F103&lt;5000,"Bajo",IF(F103&lt;15000,"Medio","Alto"))</f>
        <v/>
      </c>
    </row>
    <row r="104">
      <c r="A104" s="10" t="inlineStr">
        <is>
          <t>Disco</t>
        </is>
      </c>
      <c r="B104" s="10" t="n">
        <v>397628</v>
      </c>
      <c r="C104" s="10" t="n">
        <v>395361</v>
      </c>
      <c r="D104" s="10" t="inlineStr">
        <is>
          <t>Shampoo Hidra Purificante Hialuronico Pure 750 Ml Elvive</t>
        </is>
      </c>
      <c r="E104" s="10" t="inlineStr">
        <is>
          <t>ELVIVE</t>
        </is>
      </c>
      <c r="F104" s="10" t="n">
        <v>19700</v>
      </c>
      <c r="G104" s="10" t="n">
        <v>1628099</v>
      </c>
      <c r="H104" s="10" t="b">
        <v>1</v>
      </c>
      <c r="I104" s="10" t="n">
        <v>750</v>
      </c>
      <c r="J104" s="10" t="n">
        <v>26.2667</v>
      </c>
      <c r="K104" s="10" t="inlineStr">
        <is>
          <t>&gt; Perfumería &gt; Cuidado Capilar &gt; Shampoo &gt;</t>
        </is>
      </c>
      <c r="L104" s="10" t="inlineStr">
        <is>
          <t>shampoo</t>
        </is>
      </c>
      <c r="M104" s="10" t="inlineStr">
        <is>
          <t>profesional</t>
        </is>
      </c>
      <c r="N104" s="10" t="inlineStr">
        <is>
          <t>general</t>
        </is>
      </c>
      <c r="O104" s="10" t="inlineStr">
        <is>
          <t>https://www.disco.com.ar/shampoo-elvive-hialuronico-pure-750-ml/p</t>
        </is>
      </c>
      <c r="P104" s="12">
        <f>TRIM(CLEAN(PROPER(D104)))</f>
        <v/>
      </c>
      <c r="Q104" s="12">
        <f>PROPER(TRIM(SUBSTITUTE(SUBSTITUTE(SUBSTITUTE(SUBSTITUTE(E104,"TRESEMME","Tresemme"),"HEAD &amp; SHOULDERS","Head &amp; Shoulders"),"ELVIVE","Elvive"),"FRUCTIS","Fructis")))</f>
        <v/>
      </c>
      <c r="R104" s="12">
        <f>COUNTIF($D$2:$D$10000,D104)&gt;1</f>
        <v/>
      </c>
      <c r="S104" s="12">
        <f>IF(H104=TRUE,"Disponible","No disponible")</f>
        <v/>
      </c>
      <c r="T104" s="12">
        <f>IF(AND(ISNUMBER(I104),I104&gt;0),ROUND(F104/I104,2),"Sin volumen")</f>
        <v/>
      </c>
      <c r="U104" s="12">
        <f>IF(F104&lt;5000,"Bajo",IF(F104&lt;15000,"Medio","Alto"))</f>
        <v/>
      </c>
    </row>
    <row r="105">
      <c r="A105" t="inlineStr">
        <is>
          <t>Disco</t>
        </is>
      </c>
      <c r="B105" t="n">
        <v>407568</v>
      </c>
      <c r="C105" t="n">
        <v>403757</v>
      </c>
      <c r="D105" t="inlineStr">
        <is>
          <t>Shampoo Reparación Total 5 Extreme 400 Ml Elvive</t>
        </is>
      </c>
      <c r="E105" t="inlineStr">
        <is>
          <t>ELVIVE</t>
        </is>
      </c>
      <c r="F105" t="n">
        <v>11199</v>
      </c>
      <c r="G105" t="n">
        <v>925537</v>
      </c>
      <c r="H105" t="b">
        <v>1</v>
      </c>
      <c r="I105" t="n">
        <v>400</v>
      </c>
      <c r="J105" t="n">
        <v>27.9975</v>
      </c>
      <c r="K105" t="inlineStr">
        <is>
          <t>&gt; Perfumería &gt; Cuidado Capilar &gt; Shampoo &gt;</t>
        </is>
      </c>
      <c r="L105" t="inlineStr">
        <is>
          <t>shampoo</t>
        </is>
      </c>
      <c r="M105" t="inlineStr">
        <is>
          <t>profesional</t>
        </is>
      </c>
      <c r="N105" t="inlineStr">
        <is>
          <t>general</t>
        </is>
      </c>
      <c r="O105" t="inlineStr">
        <is>
          <t>https://www.disco.com.ar/shampoo-elvive-reparacion-total-5-extreme-400-ml/p</t>
        </is>
      </c>
      <c r="P105">
        <f>TRIM(CLEAN(PROPER(D105)))</f>
        <v/>
      </c>
      <c r="Q105">
        <f>PROPER(TRIM(SUBSTITUTE(SUBSTITUTE(SUBSTITUTE(SUBSTITUTE(E105,"TRESEMME","Tresemme"),"HEAD &amp; SHOULDERS","Head &amp; Shoulders"),"ELVIVE","Elvive"),"FRUCTIS","Fructis")))</f>
        <v/>
      </c>
      <c r="R105">
        <f>COUNTIF($D$2:$D$10000,D105)&gt;1</f>
        <v/>
      </c>
      <c r="S105">
        <f>IF(H105=TRUE,"Disponible","No disponible")</f>
        <v/>
      </c>
      <c r="T105">
        <f>IF(AND(ISNUMBER(I105),I105&gt;0),ROUND(F105/I105,2),"Sin volumen")</f>
        <v/>
      </c>
      <c r="U105">
        <f>IF(F105&lt;5000,"Bajo",IF(F105&lt;15000,"Medio","Alto"))</f>
        <v/>
      </c>
    </row>
    <row r="106">
      <c r="A106" s="10" t="inlineStr">
        <is>
          <t>Disco</t>
        </is>
      </c>
      <c r="B106" s="10" t="n">
        <v>401198</v>
      </c>
      <c r="C106" s="10" t="n">
        <v>398536</v>
      </c>
      <c r="D106" s="10" t="inlineStr">
        <is>
          <t>Shampoo Equilibrio Raíz y Puntas 700 Ml Pantene</t>
        </is>
      </c>
      <c r="E106" s="10" t="inlineStr">
        <is>
          <t>PANTENE</t>
        </is>
      </c>
      <c r="F106" s="10" t="n">
        <v>18050</v>
      </c>
      <c r="G106" s="10" t="n">
        <v>1491736</v>
      </c>
      <c r="H106" s="10" t="b">
        <v>1</v>
      </c>
      <c r="I106" s="10" t="n">
        <v>700</v>
      </c>
      <c r="J106" s="10" t="n">
        <v>25.7857</v>
      </c>
      <c r="K106" s="10" t="inlineStr">
        <is>
          <t>&gt; Perfumería &gt; Cuidado Capilar &gt; Shampoo &gt;</t>
        </is>
      </c>
      <c r="L106" s="10" t="inlineStr">
        <is>
          <t>shampoo</t>
        </is>
      </c>
      <c r="M106" s="10" t="inlineStr">
        <is>
          <t>estandar</t>
        </is>
      </c>
      <c r="N106" s="10" t="inlineStr">
        <is>
          <t>general</t>
        </is>
      </c>
      <c r="O106" s="10" t="inlineStr">
        <is>
          <t>https://www.disco.com.ar/shampoo-equilibrante-equilibrio-raiz-y-puntas-700-ml-pantene/p</t>
        </is>
      </c>
      <c r="P106" s="12">
        <f>TRIM(CLEAN(PROPER(D106)))</f>
        <v/>
      </c>
      <c r="Q106" s="12">
        <f>PROPER(TRIM(SUBSTITUTE(SUBSTITUTE(SUBSTITUTE(SUBSTITUTE(E106,"TRESEMME","Tresemme"),"HEAD &amp; SHOULDERS","Head &amp; Shoulders"),"ELVIVE","Elvive"),"FRUCTIS","Fructis")))</f>
        <v/>
      </c>
      <c r="R106" s="12">
        <f>COUNTIF($D$2:$D$10000,D106)&gt;1</f>
        <v/>
      </c>
      <c r="S106" s="12">
        <f>IF(H106=TRUE,"Disponible","No disponible")</f>
        <v/>
      </c>
      <c r="T106" s="12">
        <f>IF(AND(ISNUMBER(I106),I106&gt;0),ROUND(F106/I106,2),"Sin volumen")</f>
        <v/>
      </c>
      <c r="U106" s="12">
        <f>IF(F106&lt;5000,"Bajo",IF(F106&lt;15000,"Medio","Alto"))</f>
        <v/>
      </c>
    </row>
    <row r="107">
      <c r="A107" t="inlineStr">
        <is>
          <t>Disco</t>
        </is>
      </c>
      <c r="B107" t="n">
        <v>389286</v>
      </c>
      <c r="C107" t="n">
        <v>387392</v>
      </c>
      <c r="D107" t="inlineStr">
        <is>
          <t>Shampoo Colageno Y Vitamina C 340 Ml Sedal</t>
        </is>
      </c>
      <c r="E107" t="inlineStr">
        <is>
          <t>SEDAL</t>
        </is>
      </c>
      <c r="F107" t="n">
        <v>5950</v>
      </c>
      <c r="G107" t="n">
        <v>491736</v>
      </c>
      <c r="H107" t="b">
        <v>1</v>
      </c>
      <c r="I107" t="n">
        <v>340</v>
      </c>
      <c r="J107" t="n">
        <v>17.5</v>
      </c>
      <c r="K107" t="inlineStr">
        <is>
          <t>&gt; Perfumería &gt; Cuidado Capilar &gt; Shampoo &gt;</t>
        </is>
      </c>
      <c r="L107" t="inlineStr">
        <is>
          <t>shampoo</t>
        </is>
      </c>
      <c r="M107" t="inlineStr">
        <is>
          <t>estandar</t>
        </is>
      </c>
      <c r="N107" t="inlineStr">
        <is>
          <t>general</t>
        </is>
      </c>
      <c r="O107" t="inlineStr">
        <is>
          <t>https://www.disco.com.ar/shampoo-colageno-y-vitamina-c-340-ml-sedal/p</t>
        </is>
      </c>
      <c r="P107">
        <f>TRIM(CLEAN(PROPER(D107)))</f>
        <v/>
      </c>
      <c r="Q107">
        <f>PROPER(TRIM(SUBSTITUTE(SUBSTITUTE(SUBSTITUTE(SUBSTITUTE(E107,"TRESEMME","Tresemme"),"HEAD &amp; SHOULDERS","Head &amp; Shoulders"),"ELVIVE","Elvive"),"FRUCTIS","Fructis")))</f>
        <v/>
      </c>
      <c r="R107">
        <f>COUNTIF($D$2:$D$10000,D107)&gt;1</f>
        <v/>
      </c>
      <c r="S107">
        <f>IF(H107=TRUE,"Disponible","No disponible")</f>
        <v/>
      </c>
      <c r="T107">
        <f>IF(AND(ISNUMBER(I107),I107&gt;0),ROUND(F107/I107,2),"Sin volumen")</f>
        <v/>
      </c>
      <c r="U107">
        <f>IF(F107&lt;5000,"Bajo",IF(F107&lt;15000,"Medio","Alto"))</f>
        <v/>
      </c>
    </row>
    <row r="108">
      <c r="A108" s="10" t="inlineStr">
        <is>
          <t>Disco</t>
        </is>
      </c>
      <c r="B108" s="10" t="n">
        <v>416914</v>
      </c>
      <c r="C108" s="10" t="n">
        <v>412458</v>
      </c>
      <c r="D108" s="10" t="inlineStr">
        <is>
          <t>Shampoo Rizos Definidos Óleo Extraordinario 400 Ml Elvive</t>
        </is>
      </c>
      <c r="E108" s="10" t="inlineStr">
        <is>
          <t>ELVIVE</t>
        </is>
      </c>
      <c r="F108" s="10" t="n">
        <v>12300</v>
      </c>
      <c r="G108" s="10" t="n">
        <v>1016529</v>
      </c>
      <c r="H108" s="10" t="b">
        <v>1</v>
      </c>
      <c r="I108" s="10" t="n">
        <v>400</v>
      </c>
      <c r="J108" s="10" t="n">
        <v>30.75</v>
      </c>
      <c r="K108" s="10" t="inlineStr">
        <is>
          <t>&gt; Perfumería &gt; Cuidado Capilar &gt; Shampoo &gt;</t>
        </is>
      </c>
      <c r="L108" s="10" t="inlineStr">
        <is>
          <t>shampoo</t>
        </is>
      </c>
      <c r="M108" s="10" t="inlineStr">
        <is>
          <t>profesional</t>
        </is>
      </c>
      <c r="N108" s="10" t="inlineStr">
        <is>
          <t>rizado</t>
        </is>
      </c>
      <c r="O108" s="10" t="inlineStr">
        <is>
          <t>https://www.disco.com.ar/shampoo-elvive-extraordinario-riso-400-ml/p</t>
        </is>
      </c>
      <c r="P108" s="12">
        <f>TRIM(CLEAN(PROPER(D108)))</f>
        <v/>
      </c>
      <c r="Q108" s="12">
        <f>PROPER(TRIM(SUBSTITUTE(SUBSTITUTE(SUBSTITUTE(SUBSTITUTE(E108,"TRESEMME","Tresemme"),"HEAD &amp; SHOULDERS","Head &amp; Shoulders"),"ELVIVE","Elvive"),"FRUCTIS","Fructis")))</f>
        <v/>
      </c>
      <c r="R108" s="12">
        <f>COUNTIF($D$2:$D$10000,D108)&gt;1</f>
        <v/>
      </c>
      <c r="S108" s="12">
        <f>IF(H108=TRUE,"Disponible","No disponible")</f>
        <v/>
      </c>
      <c r="T108" s="12">
        <f>IF(AND(ISNUMBER(I108),I108&gt;0),ROUND(F108/I108,2),"Sin volumen")</f>
        <v/>
      </c>
      <c r="U108" s="12">
        <f>IF(F108&lt;5000,"Bajo",IF(F108&lt;15000,"Medio","Alto"))</f>
        <v/>
      </c>
    </row>
    <row r="109">
      <c r="A109" t="inlineStr">
        <is>
          <t>Disco</t>
        </is>
      </c>
      <c r="B109" t="n">
        <v>384041</v>
      </c>
      <c r="C109" t="n">
        <v>382754</v>
      </c>
      <c r="D109" t="inlineStr">
        <is>
          <t>Shampoo Garnier Fructis Hair Food Coco 300 Ml</t>
        </is>
      </c>
      <c r="E109" t="inlineStr">
        <is>
          <t>FRUCTIS</t>
        </is>
      </c>
      <c r="F109" t="n">
        <v>12300</v>
      </c>
      <c r="G109" t="n">
        <v>1016529</v>
      </c>
      <c r="H109" t="b">
        <v>1</v>
      </c>
      <c r="I109" t="n">
        <v>300</v>
      </c>
      <c r="J109" t="n">
        <v>41</v>
      </c>
      <c r="K109" t="inlineStr">
        <is>
          <t>&gt; Perfumería &gt; Cuidado Capilar &gt; Shampoo &gt;</t>
        </is>
      </c>
      <c r="L109" t="inlineStr">
        <is>
          <t>shampoo</t>
        </is>
      </c>
      <c r="M109" t="inlineStr">
        <is>
          <t>estandar</t>
        </is>
      </c>
      <c r="N109" t="inlineStr">
        <is>
          <t>general</t>
        </is>
      </c>
      <c r="O109" t="inlineStr">
        <is>
          <t>https://www.disco.com.ar/shampoo-garnier-fructis-hair-food-coco-300-ml/p</t>
        </is>
      </c>
      <c r="P109">
        <f>TRIM(CLEAN(PROPER(D109)))</f>
        <v/>
      </c>
      <c r="Q109">
        <f>PROPER(TRIM(SUBSTITUTE(SUBSTITUTE(SUBSTITUTE(SUBSTITUTE(E109,"TRESEMME","Tresemme"),"HEAD &amp; SHOULDERS","Head &amp; Shoulders"),"ELVIVE","Elvive"),"FRUCTIS","Fructis")))</f>
        <v/>
      </c>
      <c r="R109">
        <f>COUNTIF($D$2:$D$10000,D109)&gt;1</f>
        <v/>
      </c>
      <c r="S109">
        <f>IF(H109=TRUE,"Disponible","No disponible")</f>
        <v/>
      </c>
      <c r="T109">
        <f>IF(AND(ISNUMBER(I109),I109&gt;0),ROUND(F109/I109,2),"Sin volumen")</f>
        <v/>
      </c>
      <c r="U109">
        <f>IF(F109&lt;5000,"Bajo",IF(F109&lt;15000,"Medio","Alto"))</f>
        <v/>
      </c>
    </row>
    <row r="110">
      <c r="A110" s="10" t="inlineStr">
        <is>
          <t>Disco</t>
        </is>
      </c>
      <c r="B110" s="10" t="n">
        <v>375297</v>
      </c>
      <c r="C110" s="10" t="n">
        <v>374015</v>
      </c>
      <c r="D110" s="10" t="inlineStr">
        <is>
          <t>Shampoo Matizador Color Vive Violeta 200 Ml Elvive</t>
        </is>
      </c>
      <c r="E110" s="10" t="inlineStr">
        <is>
          <t>ELVIVE</t>
        </is>
      </c>
      <c r="F110" s="10" t="n">
        <v>8200</v>
      </c>
      <c r="G110" s="10" t="n">
        <v>677686</v>
      </c>
      <c r="H110" s="10" t="b">
        <v>1</v>
      </c>
      <c r="I110" s="10" t="n">
        <v>200</v>
      </c>
      <c r="J110" s="10" t="n">
        <v>41</v>
      </c>
      <c r="K110" s="10" t="inlineStr">
        <is>
          <t>&gt; Perfumería &gt; Cuidado Capilar &gt; Shampoo &gt;</t>
        </is>
      </c>
      <c r="L110" s="10" t="inlineStr">
        <is>
          <t>shampoo</t>
        </is>
      </c>
      <c r="M110" s="10" t="inlineStr">
        <is>
          <t>profesional</t>
        </is>
      </c>
      <c r="N110" s="10" t="inlineStr">
        <is>
          <t>tratado</t>
        </is>
      </c>
      <c r="O110" s="10" t="inlineStr">
        <is>
          <t>https://www.disco.com.ar/shampoo-elvive-colorvive-200-ml/p</t>
        </is>
      </c>
      <c r="P110" s="12">
        <f>TRIM(CLEAN(PROPER(D110)))</f>
        <v/>
      </c>
      <c r="Q110" s="12">
        <f>PROPER(TRIM(SUBSTITUTE(SUBSTITUTE(SUBSTITUTE(SUBSTITUTE(E110,"TRESEMME","Tresemme"),"HEAD &amp; SHOULDERS","Head &amp; Shoulders"),"ELVIVE","Elvive"),"FRUCTIS","Fructis")))</f>
        <v/>
      </c>
      <c r="R110" s="12">
        <f>COUNTIF($D$2:$D$10000,D110)&gt;1</f>
        <v/>
      </c>
      <c r="S110" s="12">
        <f>IF(H110=TRUE,"Disponible","No disponible")</f>
        <v/>
      </c>
      <c r="T110" s="12">
        <f>IF(AND(ISNUMBER(I110),I110&gt;0),ROUND(F110/I110,2),"Sin volumen")</f>
        <v/>
      </c>
      <c r="U110" s="12">
        <f>IF(F110&lt;5000,"Bajo",IF(F110&lt;15000,"Medio","Alto"))</f>
        <v/>
      </c>
    </row>
    <row r="111">
      <c r="A111" t="inlineStr">
        <is>
          <t>Disco</t>
        </is>
      </c>
      <c r="B111" t="n">
        <v>411921</v>
      </c>
      <c r="C111" t="n">
        <v>407642</v>
      </c>
      <c r="D111" t="inlineStr">
        <is>
          <t>Tintura en Shampoo Express Rubio 25 Ml Issue</t>
        </is>
      </c>
      <c r="E111" t="inlineStr">
        <is>
          <t>ISSUE</t>
        </is>
      </c>
      <c r="F111" t="n">
        <v>5050</v>
      </c>
      <c r="G111" t="n">
        <v>417355</v>
      </c>
      <c r="H111" t="b">
        <v>1</v>
      </c>
      <c r="I111" t="n">
        <v>25</v>
      </c>
      <c r="J111" t="n">
        <v>202</v>
      </c>
      <c r="K111" t="inlineStr">
        <is>
          <t>&gt; Perfumería &gt; Cuidado Capilar &gt; Coloración &gt;</t>
        </is>
      </c>
      <c r="L111" t="inlineStr">
        <is>
          <t>shampoo</t>
        </is>
      </c>
      <c r="M111" t="inlineStr">
        <is>
          <t>estandar</t>
        </is>
      </c>
      <c r="N111" t="inlineStr">
        <is>
          <t>tratado</t>
        </is>
      </c>
      <c r="O111" t="inlineStr">
        <is>
          <t>https://www.disco.com.ar/shampoo-issue-express-color-rubio-25-ml/p</t>
        </is>
      </c>
      <c r="P111">
        <f>TRIM(CLEAN(PROPER(D111)))</f>
        <v/>
      </c>
      <c r="Q111">
        <f>PROPER(TRIM(SUBSTITUTE(SUBSTITUTE(SUBSTITUTE(SUBSTITUTE(E111,"TRESEMME","Tresemme"),"HEAD &amp; SHOULDERS","Head &amp; Shoulders"),"ELVIVE","Elvive"),"FRUCTIS","Fructis")))</f>
        <v/>
      </c>
      <c r="R111">
        <f>COUNTIF($D$2:$D$10000,D111)&gt;1</f>
        <v/>
      </c>
      <c r="S111">
        <f>IF(H111=TRUE,"Disponible","No disponible")</f>
        <v/>
      </c>
      <c r="T111">
        <f>IF(AND(ISNUMBER(I111),I111&gt;0),ROUND(F111/I111,2),"Sin volumen")</f>
        <v/>
      </c>
      <c r="U111">
        <f>IF(F111&lt;5000,"Bajo",IF(F111&lt;15000,"Medio","Alto"))</f>
        <v/>
      </c>
    </row>
    <row r="112">
      <c r="A112" s="10" t="inlineStr">
        <is>
          <t>Disco</t>
        </is>
      </c>
      <c r="B112" s="10" t="n">
        <v>3085237</v>
      </c>
      <c r="C112" s="10" t="n">
        <v>3084470</v>
      </c>
      <c r="D112" s="10" t="inlineStr">
        <is>
          <t>Shampoo Rizos Definidos Oleo Extraordinario 200 Ml Elvive</t>
        </is>
      </c>
      <c r="E112" s="10" t="inlineStr">
        <is>
          <t>ELVIVE</t>
        </is>
      </c>
      <c r="F112" s="10" t="n">
        <v>7450</v>
      </c>
      <c r="G112" s="10" t="n">
        <v>615702</v>
      </c>
      <c r="H112" s="10" t="b">
        <v>1</v>
      </c>
      <c r="I112" s="10" t="n">
        <v>200</v>
      </c>
      <c r="J112" s="10" t="n">
        <v>37.25</v>
      </c>
      <c r="K112" s="10" t="inlineStr">
        <is>
          <t>&gt; Perfumería &gt; Cuidado Capilar &gt; Shampoo &gt;</t>
        </is>
      </c>
      <c r="L112" s="10" t="inlineStr">
        <is>
          <t>shampoo</t>
        </is>
      </c>
      <c r="M112" s="10" t="inlineStr">
        <is>
          <t>profesional</t>
        </is>
      </c>
      <c r="N112" s="10" t="inlineStr">
        <is>
          <t>rizado</t>
        </is>
      </c>
      <c r="O112" s="10" t="inlineStr">
        <is>
          <t>https://www.disco.com.ar/shampoo-elvive-oleo-extraordinario-x-200-ml-2/p</t>
        </is>
      </c>
      <c r="P112" s="12">
        <f>TRIM(CLEAN(PROPER(D112)))</f>
        <v/>
      </c>
      <c r="Q112" s="12">
        <f>PROPER(TRIM(SUBSTITUTE(SUBSTITUTE(SUBSTITUTE(SUBSTITUTE(E112,"TRESEMME","Tresemme"),"HEAD &amp; SHOULDERS","Head &amp; Shoulders"),"ELVIVE","Elvive"),"FRUCTIS","Fructis")))</f>
        <v/>
      </c>
      <c r="R112" s="12">
        <f>COUNTIF($D$2:$D$10000,D112)&gt;1</f>
        <v/>
      </c>
      <c r="S112" s="12">
        <f>IF(H112=TRUE,"Disponible","No disponible")</f>
        <v/>
      </c>
      <c r="T112" s="12">
        <f>IF(AND(ISNUMBER(I112),I112&gt;0),ROUND(F112/I112,2),"Sin volumen")</f>
        <v/>
      </c>
      <c r="U112" s="12">
        <f>IF(F112&lt;5000,"Bajo",IF(F112&lt;15000,"Medio","Alto"))</f>
        <v/>
      </c>
    </row>
    <row r="113">
      <c r="A113" t="inlineStr">
        <is>
          <t>Disco</t>
        </is>
      </c>
      <c r="B113" t="n">
        <v>1360921</v>
      </c>
      <c r="C113" t="n">
        <v>1360329</v>
      </c>
      <c r="D113" t="inlineStr">
        <is>
          <t>Shampoo Men+Care Control Fortificante Anti-Caspa 400 Ml Dove</t>
        </is>
      </c>
      <c r="E113" t="inlineStr">
        <is>
          <t>DOVE</t>
        </is>
      </c>
      <c r="F113" t="n">
        <v>10300</v>
      </c>
      <c r="G113" t="n">
        <v>851240</v>
      </c>
      <c r="H113" t="b">
        <v>1</v>
      </c>
      <c r="I113" t="n">
        <v>400</v>
      </c>
      <c r="J113" t="n">
        <v>25.75</v>
      </c>
      <c r="K113" t="inlineStr">
        <is>
          <t>&gt; Perfumería &gt; Cuidado Capilar &gt; Shampoo &gt;</t>
        </is>
      </c>
      <c r="L113" t="inlineStr">
        <is>
          <t>shampoo</t>
        </is>
      </c>
      <c r="M113" t="inlineStr">
        <is>
          <t>estandar</t>
        </is>
      </c>
      <c r="N113" t="inlineStr">
        <is>
          <t>anticaspa</t>
        </is>
      </c>
      <c r="O113" t="inlineStr">
        <is>
          <t>https://www.disco.com.ar/shampoo-dove-control-fortificante-400-ml-2/p</t>
        </is>
      </c>
      <c r="P113">
        <f>TRIM(CLEAN(PROPER(D113)))</f>
        <v/>
      </c>
      <c r="Q113">
        <f>PROPER(TRIM(SUBSTITUTE(SUBSTITUTE(SUBSTITUTE(SUBSTITUTE(E113,"TRESEMME","Tresemme"),"HEAD &amp; SHOULDERS","Head &amp; Shoulders"),"ELVIVE","Elvive"),"FRUCTIS","Fructis")))</f>
        <v/>
      </c>
      <c r="R113">
        <f>COUNTIF($D$2:$D$10000,D113)&gt;1</f>
        <v/>
      </c>
      <c r="S113">
        <f>IF(H113=TRUE,"Disponible","No disponible")</f>
        <v/>
      </c>
      <c r="T113">
        <f>IF(AND(ISNUMBER(I113),I113&gt;0),ROUND(F113/I113,2),"Sin volumen")</f>
        <v/>
      </c>
      <c r="U113">
        <f>IF(F113&lt;5000,"Bajo",IF(F113&lt;15000,"Medio","Alto"))</f>
        <v/>
      </c>
    </row>
    <row r="114">
      <c r="A114" s="10" t="inlineStr">
        <is>
          <t>Disco</t>
        </is>
      </c>
      <c r="B114" s="10" t="n">
        <v>400535</v>
      </c>
      <c r="C114" s="10" t="n">
        <v>397873</v>
      </c>
      <c r="D114" s="10" t="inlineStr">
        <is>
          <t>Shampoo Hidra Hialurónico para Cabello Deshidratado 200 Ml Elvive</t>
        </is>
      </c>
      <c r="E114" s="10" t="inlineStr">
        <is>
          <t>ELVIVE</t>
        </is>
      </c>
      <c r="F114" s="10" t="n">
        <v>7650</v>
      </c>
      <c r="G114" s="10" t="n">
        <v>632231</v>
      </c>
      <c r="H114" s="10" t="b">
        <v>1</v>
      </c>
      <c r="I114" s="10" t="n">
        <v>200</v>
      </c>
      <c r="J114" s="10" t="n">
        <v>38.25</v>
      </c>
      <c r="K114" s="10" t="inlineStr">
        <is>
          <t>&gt; Perfumería &gt; Cuidado Capilar &gt; Shampoo &gt;</t>
        </is>
      </c>
      <c r="L114" s="10" t="inlineStr">
        <is>
          <t>shampoo</t>
        </is>
      </c>
      <c r="M114" s="10" t="inlineStr">
        <is>
          <t>profesional</t>
        </is>
      </c>
      <c r="N114" s="10" t="inlineStr">
        <is>
          <t>seco_danado</t>
        </is>
      </c>
      <c r="O114" s="10" t="inlineStr">
        <is>
          <t>https://www.disco.com.ar/shampoo-elvive-hidra-hialuronico-200-ml/p</t>
        </is>
      </c>
      <c r="P114" s="12">
        <f>TRIM(CLEAN(PROPER(D114)))</f>
        <v/>
      </c>
      <c r="Q114" s="12">
        <f>PROPER(TRIM(SUBSTITUTE(SUBSTITUTE(SUBSTITUTE(SUBSTITUTE(E114,"TRESEMME","Tresemme"),"HEAD &amp; SHOULDERS","Head &amp; Shoulders"),"ELVIVE","Elvive"),"FRUCTIS","Fructis")))</f>
        <v/>
      </c>
      <c r="R114" s="12">
        <f>COUNTIF($D$2:$D$10000,D114)&gt;1</f>
        <v/>
      </c>
      <c r="S114" s="12">
        <f>IF(H114=TRUE,"Disponible","No disponible")</f>
        <v/>
      </c>
      <c r="T114" s="12">
        <f>IF(AND(ISNUMBER(I114),I114&gt;0),ROUND(F114/I114,2),"Sin volumen")</f>
        <v/>
      </c>
      <c r="U114" s="12">
        <f>IF(F114&lt;5000,"Bajo",IF(F114&lt;15000,"Medio","Alto"))</f>
        <v/>
      </c>
    </row>
    <row r="115">
      <c r="A115" t="inlineStr">
        <is>
          <t>Disco</t>
        </is>
      </c>
      <c r="B115" t="n">
        <v>346770</v>
      </c>
      <c r="C115" t="n">
        <v>345445</v>
      </c>
      <c r="D115" t="inlineStr">
        <is>
          <t>Shampoo Oleo Extraordinario Nutrición Intensa Coco 400 Ml Elvive</t>
        </is>
      </c>
      <c r="E115" t="inlineStr">
        <is>
          <t>ELVIVE</t>
        </is>
      </c>
      <c r="F115" t="n">
        <v>11199</v>
      </c>
      <c r="G115" t="n">
        <v>925537</v>
      </c>
      <c r="H115" t="b">
        <v>1</v>
      </c>
      <c r="I115" t="n">
        <v>400</v>
      </c>
      <c r="J115" t="n">
        <v>27.9975</v>
      </c>
      <c r="K115" t="inlineStr">
        <is>
          <t>&gt; Perfumería &gt; Cuidado Capilar &gt; Shampoo &gt;</t>
        </is>
      </c>
      <c r="L115" t="inlineStr">
        <is>
          <t>shampoo</t>
        </is>
      </c>
      <c r="M115" t="inlineStr">
        <is>
          <t>profesional</t>
        </is>
      </c>
      <c r="N115" t="inlineStr">
        <is>
          <t>general</t>
        </is>
      </c>
      <c r="O115" t="inlineStr">
        <is>
          <t>https://www.disco.com.ar/shampoo-elvive-oleo-extraordinario-coco-400-ml/p</t>
        </is>
      </c>
      <c r="P115">
        <f>TRIM(CLEAN(PROPER(D115)))</f>
        <v/>
      </c>
      <c r="Q115">
        <f>PROPER(TRIM(SUBSTITUTE(SUBSTITUTE(SUBSTITUTE(SUBSTITUTE(E115,"TRESEMME","Tresemme"),"HEAD &amp; SHOULDERS","Head &amp; Shoulders"),"ELVIVE","Elvive"),"FRUCTIS","Fructis")))</f>
        <v/>
      </c>
      <c r="R115">
        <f>COUNTIF($D$2:$D$10000,D115)&gt;1</f>
        <v/>
      </c>
      <c r="S115">
        <f>IF(H115=TRUE,"Disponible","No disponible")</f>
        <v/>
      </c>
      <c r="T115">
        <f>IF(AND(ISNUMBER(I115),I115&gt;0),ROUND(F115/I115,2),"Sin volumen")</f>
        <v/>
      </c>
      <c r="U115">
        <f>IF(F115&lt;5000,"Bajo",IF(F115&lt;15000,"Medio","Alto"))</f>
        <v/>
      </c>
    </row>
    <row r="116">
      <c r="A116" s="10" t="inlineStr">
        <is>
          <t>Disco</t>
        </is>
      </c>
      <c r="B116" s="10" t="n">
        <v>275406</v>
      </c>
      <c r="C116" s="10" t="n">
        <v>274702</v>
      </c>
      <c r="D116" s="10" t="inlineStr">
        <is>
          <t>Shampoo Anti Caspa Apple 375 Ml Head y Shoulders</t>
        </is>
      </c>
      <c r="E116" s="10" t="inlineStr">
        <is>
          <t>HEAD &amp; SHOULDERS</t>
        </is>
      </c>
      <c r="F116" s="10" t="n">
        <v>13100</v>
      </c>
      <c r="G116" s="10" t="n">
        <v>1082645</v>
      </c>
      <c r="H116" s="10" t="b">
        <v>1</v>
      </c>
      <c r="I116" s="10" t="n">
        <v>375</v>
      </c>
      <c r="J116" s="10" t="n">
        <v>34.9333</v>
      </c>
      <c r="K116" s="10" t="inlineStr">
        <is>
          <t>&gt; Perfumería &gt; Cuidado Capilar &gt; Shampoo &gt;</t>
        </is>
      </c>
      <c r="L116" s="10" t="inlineStr">
        <is>
          <t>shampoo</t>
        </is>
      </c>
      <c r="M116" s="10" t="inlineStr">
        <is>
          <t>estandar</t>
        </is>
      </c>
      <c r="N116" s="10" t="inlineStr">
        <is>
          <t>anticaspa</t>
        </is>
      </c>
      <c r="O116" s="10" t="inlineStr">
        <is>
          <t>https://www.disco.com.ar/shampoo-apple-375-ml-head-shoulders-2/p</t>
        </is>
      </c>
      <c r="P116" s="12">
        <f>TRIM(CLEAN(PROPER(D116)))</f>
        <v/>
      </c>
      <c r="Q116" s="12">
        <f>PROPER(TRIM(SUBSTITUTE(SUBSTITUTE(SUBSTITUTE(SUBSTITUTE(E116,"TRESEMME","Tresemme"),"HEAD &amp; SHOULDERS","Head &amp; Shoulders"),"ELVIVE","Elvive"),"FRUCTIS","Fructis")))</f>
        <v/>
      </c>
      <c r="R116" s="12">
        <f>COUNTIF($D$2:$D$10000,D116)&gt;1</f>
        <v/>
      </c>
      <c r="S116" s="12">
        <f>IF(H116=TRUE,"Disponible","No disponible")</f>
        <v/>
      </c>
      <c r="T116" s="12">
        <f>IF(AND(ISNUMBER(I116),I116&gt;0),ROUND(F116/I116,2),"Sin volumen")</f>
        <v/>
      </c>
      <c r="U116" s="12">
        <f>IF(F116&lt;5000,"Bajo",IF(F116&lt;15000,"Medio","Alto"))</f>
        <v/>
      </c>
    </row>
    <row r="117">
      <c r="A117" t="inlineStr">
        <is>
          <t>Disco</t>
        </is>
      </c>
      <c r="B117" t="n">
        <v>3083500</v>
      </c>
      <c r="C117" t="n">
        <v>3082775</v>
      </c>
      <c r="D117" t="inlineStr">
        <is>
          <t>Shampoo Brillo Anti-residuos Glycolic Cristal 400 Ml Elvive</t>
        </is>
      </c>
      <c r="E117" t="inlineStr">
        <is>
          <t>ELVIVE</t>
        </is>
      </c>
      <c r="F117" t="n">
        <v>11650</v>
      </c>
      <c r="G117" t="n">
        <v>962810</v>
      </c>
      <c r="H117" t="b">
        <v>1</v>
      </c>
      <c r="I117" t="n">
        <v>400</v>
      </c>
      <c r="J117" t="n">
        <v>29.125</v>
      </c>
      <c r="K117" t="inlineStr">
        <is>
          <t>&gt; Perfumería &gt; Cuidado Capilar &gt; Shampoo &gt;</t>
        </is>
      </c>
      <c r="L117" t="inlineStr">
        <is>
          <t>shampoo</t>
        </is>
      </c>
      <c r="M117" t="inlineStr">
        <is>
          <t>profesional</t>
        </is>
      </c>
      <c r="N117" t="inlineStr">
        <is>
          <t>general</t>
        </is>
      </c>
      <c r="O117" t="inlineStr">
        <is>
          <t>https://www.disco.com.ar/shampoo-brillo-anti-residuos-glycolic-cristal-x-400-ml-elvive/p</t>
        </is>
      </c>
      <c r="P117">
        <f>TRIM(CLEAN(PROPER(D117)))</f>
        <v/>
      </c>
      <c r="Q117">
        <f>PROPER(TRIM(SUBSTITUTE(SUBSTITUTE(SUBSTITUTE(SUBSTITUTE(E117,"TRESEMME","Tresemme"),"HEAD &amp; SHOULDERS","Head &amp; Shoulders"),"ELVIVE","Elvive"),"FRUCTIS","Fructis")))</f>
        <v/>
      </c>
      <c r="R117">
        <f>COUNTIF($D$2:$D$10000,D117)&gt;1</f>
        <v/>
      </c>
      <c r="S117">
        <f>IF(H117=TRUE,"Disponible","No disponible")</f>
        <v/>
      </c>
      <c r="T117">
        <f>IF(AND(ISNUMBER(I117),I117&gt;0),ROUND(F117/I117,2),"Sin volumen")</f>
        <v/>
      </c>
      <c r="U117">
        <f>IF(F117&lt;5000,"Bajo",IF(F117&lt;15000,"Medio","Alto"))</f>
        <v/>
      </c>
    </row>
    <row r="118">
      <c r="A118" s="10" t="inlineStr">
        <is>
          <t>Disco</t>
        </is>
      </c>
      <c r="B118" s="10" t="n">
        <v>310204</v>
      </c>
      <c r="C118" s="10" t="n">
        <v>309442</v>
      </c>
      <c r="D118" s="10" t="inlineStr">
        <is>
          <t>Shampoo Anti Caspa Hidratación Aceite de Coco 180 Ml Head y Shoulders</t>
        </is>
      </c>
      <c r="E118" s="10" t="inlineStr">
        <is>
          <t>HEAD &amp; SHOULDERS</t>
        </is>
      </c>
      <c r="F118" s="10" t="n">
        <v>8000</v>
      </c>
      <c r="G118" s="10" t="n">
        <v>661157</v>
      </c>
      <c r="H118" s="10" t="b">
        <v>1</v>
      </c>
      <c r="I118" s="10" t="n">
        <v>180</v>
      </c>
      <c r="J118" s="10" t="n">
        <v>44.4444</v>
      </c>
      <c r="K118" s="10" t="inlineStr">
        <is>
          <t>&gt; Perfumería &gt; Cuidado Capilar &gt; Shampoo &gt;</t>
        </is>
      </c>
      <c r="L118" s="10" t="inlineStr">
        <is>
          <t>shampoo</t>
        </is>
      </c>
      <c r="M118" s="10" t="inlineStr">
        <is>
          <t>estandar</t>
        </is>
      </c>
      <c r="N118" s="10" t="inlineStr">
        <is>
          <t>anticaspa</t>
        </is>
      </c>
      <c r="O118" s="10" t="inlineStr">
        <is>
          <t>https://www.disco.com.ar/shampoo-coconut-180-ml-head-shoulders-2/p</t>
        </is>
      </c>
      <c r="P118" s="12">
        <f>TRIM(CLEAN(PROPER(D118)))</f>
        <v/>
      </c>
      <c r="Q118" s="12">
        <f>PROPER(TRIM(SUBSTITUTE(SUBSTITUTE(SUBSTITUTE(SUBSTITUTE(E118,"TRESEMME","Tresemme"),"HEAD &amp; SHOULDERS","Head &amp; Shoulders"),"ELVIVE","Elvive"),"FRUCTIS","Fructis")))</f>
        <v/>
      </c>
      <c r="R118" s="12">
        <f>COUNTIF($D$2:$D$10000,D118)&gt;1</f>
        <v/>
      </c>
      <c r="S118" s="12">
        <f>IF(H118=TRUE,"Disponible","No disponible")</f>
        <v/>
      </c>
      <c r="T118" s="12">
        <f>IF(AND(ISNUMBER(I118),I118&gt;0),ROUND(F118/I118,2),"Sin volumen")</f>
        <v/>
      </c>
      <c r="U118" s="12">
        <f>IF(F118&lt;5000,"Bajo",IF(F118&lt;15000,"Medio","Alto"))</f>
        <v/>
      </c>
    </row>
    <row r="119">
      <c r="A119" t="inlineStr">
        <is>
          <t>Disco</t>
        </is>
      </c>
      <c r="B119" t="n">
        <v>411923</v>
      </c>
      <c r="C119" t="n">
        <v>407644</v>
      </c>
      <c r="D119" t="inlineStr">
        <is>
          <t>Shampoo Color Express Cobertura de Canas Castaño 25 Ml Issue</t>
        </is>
      </c>
      <c r="E119" t="inlineStr">
        <is>
          <t>ISSUE</t>
        </is>
      </c>
      <c r="F119" t="n">
        <v>5050</v>
      </c>
      <c r="G119" t="n">
        <v>417355</v>
      </c>
      <c r="H119" t="b">
        <v>1</v>
      </c>
      <c r="I119" t="n">
        <v>25</v>
      </c>
      <c r="J119" t="n">
        <v>202</v>
      </c>
      <c r="K119" t="inlineStr">
        <is>
          <t>&gt; Perfumería &gt; Cuidado Capilar &gt; Coloración &gt;</t>
        </is>
      </c>
      <c r="L119" t="inlineStr">
        <is>
          <t>shampoo</t>
        </is>
      </c>
      <c r="M119" t="inlineStr">
        <is>
          <t>estandar</t>
        </is>
      </c>
      <c r="N119" t="inlineStr">
        <is>
          <t>tratado</t>
        </is>
      </c>
      <c r="O119" t="inlineStr">
        <is>
          <t>https://www.disco.com.ar/shampoo-color-express-castano-25-ml-issue/p</t>
        </is>
      </c>
      <c r="P119">
        <f>TRIM(CLEAN(PROPER(D119)))</f>
        <v/>
      </c>
      <c r="Q119">
        <f>PROPER(TRIM(SUBSTITUTE(SUBSTITUTE(SUBSTITUTE(SUBSTITUTE(E119,"TRESEMME","Tresemme"),"HEAD &amp; SHOULDERS","Head &amp; Shoulders"),"ELVIVE","Elvive"),"FRUCTIS","Fructis")))</f>
        <v/>
      </c>
      <c r="R119">
        <f>COUNTIF($D$2:$D$10000,D119)&gt;1</f>
        <v/>
      </c>
      <c r="S119">
        <f>IF(H119=TRUE,"Disponible","No disponible")</f>
        <v/>
      </c>
      <c r="T119">
        <f>IF(AND(ISNUMBER(I119),I119&gt;0),ROUND(F119/I119,2),"Sin volumen")</f>
        <v/>
      </c>
      <c r="U119">
        <f>IF(F119&lt;5000,"Bajo",IF(F119&lt;15000,"Medio","Alto"))</f>
        <v/>
      </c>
    </row>
    <row r="120">
      <c r="A120" s="10" t="inlineStr">
        <is>
          <t>Disco</t>
        </is>
      </c>
      <c r="B120" s="10" t="n">
        <v>3085747</v>
      </c>
      <c r="C120" s="10" t="n">
        <v>3084975</v>
      </c>
      <c r="D120" s="10" t="inlineStr">
        <is>
          <t>Shampoo Anticaida Renovación Capilar X 180 Ml Head &amp; Shoulders</t>
        </is>
      </c>
      <c r="E120" s="10" t="inlineStr">
        <is>
          <t>HEAD &amp; SHOULDERS</t>
        </is>
      </c>
      <c r="F120" s="10" t="n">
        <v>7750</v>
      </c>
      <c r="G120" s="10" t="n">
        <v>640496</v>
      </c>
      <c r="H120" s="10" t="b">
        <v>1</v>
      </c>
      <c r="I120" s="10" t="n">
        <v>180</v>
      </c>
      <c r="J120" s="10" t="n">
        <v>43.0556</v>
      </c>
      <c r="K120" s="10" t="inlineStr">
        <is>
          <t>&gt; Perfumería &gt; Cuidado Capilar &gt; Shampoo &gt;</t>
        </is>
      </c>
      <c r="L120" s="10" t="inlineStr">
        <is>
          <t>shampoo</t>
        </is>
      </c>
      <c r="M120" s="10" t="inlineStr">
        <is>
          <t>estandar</t>
        </is>
      </c>
      <c r="N120" s="10" t="inlineStr">
        <is>
          <t>general</t>
        </is>
      </c>
      <c r="O120" s="10" t="inlineStr">
        <is>
          <t>https://www.disco.com.ar/shampoo-anticaida-renovacion-capilar-x-180-ml-head-shoulders/p</t>
        </is>
      </c>
      <c r="P120" s="12">
        <f>TRIM(CLEAN(PROPER(D120)))</f>
        <v/>
      </c>
      <c r="Q120" s="12">
        <f>PROPER(TRIM(SUBSTITUTE(SUBSTITUTE(SUBSTITUTE(SUBSTITUTE(E120,"TRESEMME","Tresemme"),"HEAD &amp; SHOULDERS","Head &amp; Shoulders"),"ELVIVE","Elvive"),"FRUCTIS","Fructis")))</f>
        <v/>
      </c>
      <c r="R120" s="12">
        <f>COUNTIF($D$2:$D$10000,D120)&gt;1</f>
        <v/>
      </c>
      <c r="S120" s="12">
        <f>IF(H120=TRUE,"Disponible","No disponible")</f>
        <v/>
      </c>
      <c r="T120" s="12">
        <f>IF(AND(ISNUMBER(I120),I120&gt;0),ROUND(F120/I120,2),"Sin volumen")</f>
        <v/>
      </c>
      <c r="U120" s="12">
        <f>IF(F120&lt;5000,"Bajo",IF(F120&lt;15000,"Medio","Alto"))</f>
        <v/>
      </c>
    </row>
    <row r="121">
      <c r="A121" t="inlineStr">
        <is>
          <t>Disco</t>
        </is>
      </c>
      <c r="B121" t="n">
        <v>3083499</v>
      </c>
      <c r="C121" t="n">
        <v>3082774</v>
      </c>
      <c r="D121" t="inlineStr">
        <is>
          <t>Shampoo Brillo Anti-residuos Glycolic Cristal 200 Ml Elvive</t>
        </is>
      </c>
      <c r="E121" t="inlineStr">
        <is>
          <t>ELVIVE</t>
        </is>
      </c>
      <c r="F121" t="n">
        <v>7950</v>
      </c>
      <c r="G121" t="n">
        <v>657025</v>
      </c>
      <c r="H121" t="b">
        <v>1</v>
      </c>
      <c r="I121" t="n">
        <v>200</v>
      </c>
      <c r="J121" t="n">
        <v>39.75</v>
      </c>
      <c r="K121" t="inlineStr">
        <is>
          <t>&gt; Perfumería &gt; Cuidado Capilar &gt; Shampoo &gt;</t>
        </is>
      </c>
      <c r="L121" t="inlineStr">
        <is>
          <t>shampoo</t>
        </is>
      </c>
      <c r="M121" t="inlineStr">
        <is>
          <t>profesional</t>
        </is>
      </c>
      <c r="N121" t="inlineStr">
        <is>
          <t>general</t>
        </is>
      </c>
      <c r="O121" t="inlineStr">
        <is>
          <t>https://www.disco.com.ar/shampoo-brillo-anti-residuos-glycolic-cristal-x-200-ml-elvive/p</t>
        </is>
      </c>
      <c r="P121">
        <f>TRIM(CLEAN(PROPER(D121)))</f>
        <v/>
      </c>
      <c r="Q121">
        <f>PROPER(TRIM(SUBSTITUTE(SUBSTITUTE(SUBSTITUTE(SUBSTITUTE(E121,"TRESEMME","Tresemme"),"HEAD &amp; SHOULDERS","Head &amp; Shoulders"),"ELVIVE","Elvive"),"FRUCTIS","Fructis")))</f>
        <v/>
      </c>
      <c r="R121">
        <f>COUNTIF($D$2:$D$10000,D121)&gt;1</f>
        <v/>
      </c>
      <c r="S121">
        <f>IF(H121=TRUE,"Disponible","No disponible")</f>
        <v/>
      </c>
      <c r="T121">
        <f>IF(AND(ISNUMBER(I121),I121&gt;0),ROUND(F121/I121,2),"Sin volumen")</f>
        <v/>
      </c>
      <c r="U121">
        <f>IF(F121&lt;5000,"Bajo",IF(F121&lt;15000,"Medio","Alto"))</f>
        <v/>
      </c>
    </row>
    <row r="122">
      <c r="A122" s="10" t="inlineStr">
        <is>
          <t>Disco</t>
        </is>
      </c>
      <c r="B122" s="10" t="n">
        <v>3068523</v>
      </c>
      <c r="C122" s="10" t="n">
        <v>3068262</v>
      </c>
      <c r="D122" s="10" t="inlineStr">
        <is>
          <t>Shampoo Ácido Glicólico Brillo y Color 350 Ml Capilatis</t>
        </is>
      </c>
      <c r="E122" s="10" t="inlineStr">
        <is>
          <t>CAPILATIS</t>
        </is>
      </c>
      <c r="F122" s="10" t="n">
        <v>12750</v>
      </c>
      <c r="G122" s="10" t="n">
        <v>1053719</v>
      </c>
      <c r="H122" s="10" t="b">
        <v>1</v>
      </c>
      <c r="I122" s="10" t="n">
        <v>350</v>
      </c>
      <c r="J122" s="10" t="n">
        <v>36.4286</v>
      </c>
      <c r="K122" s="10" t="inlineStr">
        <is>
          <t>&gt; Perfumería &gt; Cuidado Capilar &gt; Shampoo &gt;</t>
        </is>
      </c>
      <c r="L122" s="10" t="inlineStr">
        <is>
          <t>shampoo</t>
        </is>
      </c>
      <c r="M122" s="10" t="inlineStr">
        <is>
          <t>estandar</t>
        </is>
      </c>
      <c r="N122" s="10" t="inlineStr">
        <is>
          <t>tratado</t>
        </is>
      </c>
      <c r="O122" s="10" t="inlineStr">
        <is>
          <t>https://www.disco.com.ar/shampoo-con-acido-glicolico-capilatis/p</t>
        </is>
      </c>
      <c r="P122" s="12">
        <f>TRIM(CLEAN(PROPER(D122)))</f>
        <v/>
      </c>
      <c r="Q122" s="12">
        <f>PROPER(TRIM(SUBSTITUTE(SUBSTITUTE(SUBSTITUTE(SUBSTITUTE(E122,"TRESEMME","Tresemme"),"HEAD &amp; SHOULDERS","Head &amp; Shoulders"),"ELVIVE","Elvive"),"FRUCTIS","Fructis")))</f>
        <v/>
      </c>
      <c r="R122" s="12">
        <f>COUNTIF($D$2:$D$10000,D122)&gt;1</f>
        <v/>
      </c>
      <c r="S122" s="12">
        <f>IF(H122=TRUE,"Disponible","No disponible")</f>
        <v/>
      </c>
      <c r="T122" s="12">
        <f>IF(AND(ISNUMBER(I122),I122&gt;0),ROUND(F122/I122,2),"Sin volumen")</f>
        <v/>
      </c>
      <c r="U122" s="12">
        <f>IF(F122&lt;5000,"Bajo",IF(F122&lt;15000,"Medio","Alto"))</f>
        <v/>
      </c>
    </row>
    <row r="123">
      <c r="A123" t="inlineStr">
        <is>
          <t>Disco</t>
        </is>
      </c>
      <c r="B123" t="n">
        <v>424109</v>
      </c>
      <c r="C123" t="n">
        <v>417110</v>
      </c>
      <c r="D123" t="inlineStr">
        <is>
          <t>Shampoo Anti Caspa Manzana Fresh 650 Ml Head y Shoulders</t>
        </is>
      </c>
      <c r="E123" t="inlineStr">
        <is>
          <t>HEAD &amp; SHOULDERS</t>
        </is>
      </c>
      <c r="F123" t="n">
        <v>20450</v>
      </c>
      <c r="G123" t="n">
        <v>1690083</v>
      </c>
      <c r="H123" t="b">
        <v>1</v>
      </c>
      <c r="I123" t="n">
        <v>650</v>
      </c>
      <c r="J123" t="n">
        <v>31.4615</v>
      </c>
      <c r="K123" t="inlineStr">
        <is>
          <t>&gt; Perfumería &gt; Cuidado Capilar &gt; Shampoo &gt;</t>
        </is>
      </c>
      <c r="L123" t="inlineStr">
        <is>
          <t>shampoo</t>
        </is>
      </c>
      <c r="M123" t="inlineStr">
        <is>
          <t>estandar</t>
        </is>
      </c>
      <c r="N123" t="inlineStr">
        <is>
          <t>anticaspa</t>
        </is>
      </c>
      <c r="O123" t="inlineStr">
        <is>
          <t>https://www.disco.com.ar/shampoo-apple-650-ml-head-shoulders-2/p</t>
        </is>
      </c>
      <c r="P123">
        <f>TRIM(CLEAN(PROPER(D123)))</f>
        <v/>
      </c>
      <c r="Q123">
        <f>PROPER(TRIM(SUBSTITUTE(SUBSTITUTE(SUBSTITUTE(SUBSTITUTE(E123,"TRESEMME","Tresemme"),"HEAD &amp; SHOULDERS","Head &amp; Shoulders"),"ELVIVE","Elvive"),"FRUCTIS","Fructis")))</f>
        <v/>
      </c>
      <c r="R123">
        <f>COUNTIF($D$2:$D$10000,D123)&gt;1</f>
        <v/>
      </c>
      <c r="S123">
        <f>IF(H123=TRUE,"Disponible","No disponible")</f>
        <v/>
      </c>
      <c r="T123">
        <f>IF(AND(ISNUMBER(I123),I123&gt;0),ROUND(F123/I123,2),"Sin volumen")</f>
        <v/>
      </c>
      <c r="U123">
        <f>IF(F123&lt;5000,"Bajo",IF(F123&lt;15000,"Medio","Alto"))</f>
        <v/>
      </c>
    </row>
    <row r="124">
      <c r="A124" s="10" t="inlineStr">
        <is>
          <t>Disco</t>
        </is>
      </c>
      <c r="B124" s="10" t="n">
        <v>391923</v>
      </c>
      <c r="C124" s="10" t="n">
        <v>389975</v>
      </c>
      <c r="D124" s="10" t="inlineStr">
        <is>
          <t>Shampoo Anti-Caspa Limpieza y Revitalización 375 Ml Head y Shoulders</t>
        </is>
      </c>
      <c r="E124" s="10" t="inlineStr">
        <is>
          <t>HEAD &amp; SHOULDERS</t>
        </is>
      </c>
      <c r="F124" s="10" t="n">
        <v>13100</v>
      </c>
      <c r="G124" s="10" t="n">
        <v>1082645</v>
      </c>
      <c r="H124" s="10" t="b">
        <v>1</v>
      </c>
      <c r="I124" s="10" t="n">
        <v>375</v>
      </c>
      <c r="J124" s="10" t="n">
        <v>34.9333</v>
      </c>
      <c r="K124" s="10" t="inlineStr">
        <is>
          <t>&gt; Perfumería &gt; Cuidado Capilar &gt; Shampoo &gt;</t>
        </is>
      </c>
      <c r="L124" s="10" t="inlineStr">
        <is>
          <t>shampoo</t>
        </is>
      </c>
      <c r="M124" s="10" t="inlineStr">
        <is>
          <t>estandar</t>
        </is>
      </c>
      <c r="N124" s="10" t="inlineStr">
        <is>
          <t>anticaspa</t>
        </is>
      </c>
      <c r="O124" s="10" t="inlineStr">
        <is>
          <t>https://www.disco.com.ar/shampoo-limpieza-y-revitalizacion-375-ml-head-shoulders/p</t>
        </is>
      </c>
      <c r="P124" s="12">
        <f>TRIM(CLEAN(PROPER(D124)))</f>
        <v/>
      </c>
      <c r="Q124" s="12">
        <f>PROPER(TRIM(SUBSTITUTE(SUBSTITUTE(SUBSTITUTE(SUBSTITUTE(E124,"TRESEMME","Tresemme"),"HEAD &amp; SHOULDERS","Head &amp; Shoulders"),"ELVIVE","Elvive"),"FRUCTIS","Fructis")))</f>
        <v/>
      </c>
      <c r="R124" s="12">
        <f>COUNTIF($D$2:$D$10000,D124)&gt;1</f>
        <v/>
      </c>
      <c r="S124" s="12">
        <f>IF(H124=TRUE,"Disponible","No disponible")</f>
        <v/>
      </c>
      <c r="T124" s="12">
        <f>IF(AND(ISNUMBER(I124),I124&gt;0),ROUND(F124/I124,2),"Sin volumen")</f>
        <v/>
      </c>
      <c r="U124" s="12">
        <f>IF(F124&lt;5000,"Bajo",IF(F124&lt;15000,"Medio","Alto"))</f>
        <v/>
      </c>
    </row>
    <row r="125">
      <c r="A125" t="inlineStr">
        <is>
          <t>Disco</t>
        </is>
      </c>
      <c r="B125" t="n">
        <v>391857</v>
      </c>
      <c r="C125" t="n">
        <v>389909</v>
      </c>
      <c r="D125" t="inlineStr">
        <is>
          <t>Shampoo Anti-Caspa Aceite de Argán 180 Ml Head y Shoulders</t>
        </is>
      </c>
      <c r="E125" t="inlineStr">
        <is>
          <t>HEAD &amp; SHOULDERS</t>
        </is>
      </c>
      <c r="F125" t="n">
        <v>7900</v>
      </c>
      <c r="G125" t="n">
        <v>652893</v>
      </c>
      <c r="H125" t="b">
        <v>1</v>
      </c>
      <c r="I125" t="n">
        <v>180</v>
      </c>
      <c r="J125" t="n">
        <v>43.8889</v>
      </c>
      <c r="K125" t="inlineStr">
        <is>
          <t>&gt; Perfumería &gt; Cuidado Capilar &gt; Shampoo &gt;</t>
        </is>
      </c>
      <c r="L125" t="inlineStr">
        <is>
          <t>shampoo</t>
        </is>
      </c>
      <c r="M125" t="inlineStr">
        <is>
          <t>estandar</t>
        </is>
      </c>
      <c r="N125" t="inlineStr">
        <is>
          <t>anticaspa</t>
        </is>
      </c>
      <c r="O125" t="inlineStr">
        <is>
          <t>https://www.disco.com.ar/shampoo-aceite-de-argan-shampoo-180-ml-head-shoulders-2/p</t>
        </is>
      </c>
      <c r="P125">
        <f>TRIM(CLEAN(PROPER(D125)))</f>
        <v/>
      </c>
      <c r="Q125">
        <f>PROPER(TRIM(SUBSTITUTE(SUBSTITUTE(SUBSTITUTE(SUBSTITUTE(E125,"TRESEMME","Tresemme"),"HEAD &amp; SHOULDERS","Head &amp; Shoulders"),"ELVIVE","Elvive"),"FRUCTIS","Fructis")))</f>
        <v/>
      </c>
      <c r="R125">
        <f>COUNTIF($D$2:$D$10000,D125)&gt;1</f>
        <v/>
      </c>
      <c r="S125">
        <f>IF(H125=TRUE,"Disponible","No disponible")</f>
        <v/>
      </c>
      <c r="T125">
        <f>IF(AND(ISNUMBER(I125),I125&gt;0),ROUND(F125/I125,2),"Sin volumen")</f>
        <v/>
      </c>
      <c r="U125">
        <f>IF(F125&lt;5000,"Bajo",IF(F125&lt;15000,"Medio","Alto"))</f>
        <v/>
      </c>
    </row>
    <row r="126">
      <c r="A126" s="10" t="inlineStr">
        <is>
          <t>Disco</t>
        </is>
      </c>
      <c r="B126" s="10" t="n">
        <v>295011</v>
      </c>
      <c r="C126" s="10" t="n">
        <v>294243</v>
      </c>
      <c r="D126" s="10" t="inlineStr">
        <is>
          <t>Shampoo Anti-Caspa Charcoal 375 Ml Head y Shoulders</t>
        </is>
      </c>
      <c r="E126" s="10" t="inlineStr">
        <is>
          <t>HEAD &amp; SHOULDERS</t>
        </is>
      </c>
      <c r="F126" s="10" t="n">
        <v>13100</v>
      </c>
      <c r="G126" s="10" t="n">
        <v>1082645</v>
      </c>
      <c r="H126" s="10" t="b">
        <v>1</v>
      </c>
      <c r="I126" s="10" t="n">
        <v>375</v>
      </c>
      <c r="J126" s="10" t="n">
        <v>34.9333</v>
      </c>
      <c r="K126" s="10" t="inlineStr">
        <is>
          <t>&gt; Perfumería &gt; Cuidado Capilar &gt; Shampoo &gt;</t>
        </is>
      </c>
      <c r="L126" s="10" t="inlineStr">
        <is>
          <t>shampoo</t>
        </is>
      </c>
      <c r="M126" s="10" t="inlineStr">
        <is>
          <t>estandar</t>
        </is>
      </c>
      <c r="N126" s="10" t="inlineStr">
        <is>
          <t>anticaspa</t>
        </is>
      </c>
      <c r="O126" s="10" t="inlineStr">
        <is>
          <t>https://www.disco.com.ar/shampoo-charcoal-375-ml-head-shoulders-2/p</t>
        </is>
      </c>
      <c r="P126" s="12">
        <f>TRIM(CLEAN(PROPER(D126)))</f>
        <v/>
      </c>
      <c r="Q126" s="12">
        <f>PROPER(TRIM(SUBSTITUTE(SUBSTITUTE(SUBSTITUTE(SUBSTITUTE(E126,"TRESEMME","Tresemme"),"HEAD &amp; SHOULDERS","Head &amp; Shoulders"),"ELVIVE","Elvive"),"FRUCTIS","Fructis")))</f>
        <v/>
      </c>
      <c r="R126" s="12">
        <f>COUNTIF($D$2:$D$10000,D126)&gt;1</f>
        <v/>
      </c>
      <c r="S126" s="12">
        <f>IF(H126=TRUE,"Disponible","No disponible")</f>
        <v/>
      </c>
      <c r="T126" s="12">
        <f>IF(AND(ISNUMBER(I126),I126&gt;0),ROUND(F126/I126,2),"Sin volumen")</f>
        <v/>
      </c>
      <c r="U126" s="12">
        <f>IF(F126&lt;5000,"Bajo",IF(F126&lt;15000,"Medio","Alto"))</f>
        <v/>
      </c>
    </row>
    <row r="127">
      <c r="A127" t="inlineStr">
        <is>
          <t>Disco</t>
        </is>
      </c>
      <c r="B127" t="n">
        <v>349088</v>
      </c>
      <c r="C127" t="n">
        <v>347751</v>
      </c>
      <c r="D127" t="inlineStr">
        <is>
          <t>Shampoo 3 en 1 Active Fresh 400 Ml Dove</t>
        </is>
      </c>
      <c r="E127" t="inlineStr">
        <is>
          <t>DOVE</t>
        </is>
      </c>
      <c r="F127" t="n">
        <v>9505</v>
      </c>
      <c r="G127" t="n">
        <v>785537</v>
      </c>
      <c r="H127" t="b">
        <v>1</v>
      </c>
      <c r="I127" t="n">
        <v>400</v>
      </c>
      <c r="J127" t="n">
        <v>23.7625</v>
      </c>
      <c r="K127" t="inlineStr">
        <is>
          <t>&gt; Perfumería &gt; Cuidado Capilar &gt; Shampoo &gt;</t>
        </is>
      </c>
      <c r="L127" t="inlineStr">
        <is>
          <t>shampoo</t>
        </is>
      </c>
      <c r="M127" t="inlineStr">
        <is>
          <t>estandar</t>
        </is>
      </c>
      <c r="N127" t="inlineStr">
        <is>
          <t>general</t>
        </is>
      </c>
      <c r="O127" t="inlineStr">
        <is>
          <t>https://www.disco.com.ar/shampoo-para-hombre-dove-active-fresh-3-en-1-400-ml/p</t>
        </is>
      </c>
      <c r="P127">
        <f>TRIM(CLEAN(PROPER(D127)))</f>
        <v/>
      </c>
      <c r="Q127">
        <f>PROPER(TRIM(SUBSTITUTE(SUBSTITUTE(SUBSTITUTE(SUBSTITUTE(E127,"TRESEMME","Tresemme"),"HEAD &amp; SHOULDERS","Head &amp; Shoulders"),"ELVIVE","Elvive"),"FRUCTIS","Fructis")))</f>
        <v/>
      </c>
      <c r="R127">
        <f>COUNTIF($D$2:$D$10000,D127)&gt;1</f>
        <v/>
      </c>
      <c r="S127">
        <f>IF(H127=TRUE,"Disponible","No disponible")</f>
        <v/>
      </c>
      <c r="T127">
        <f>IF(AND(ISNUMBER(I127),I127&gt;0),ROUND(F127/I127,2),"Sin volumen")</f>
        <v/>
      </c>
      <c r="U127">
        <f>IF(F127&lt;5000,"Bajo",IF(F127&lt;15000,"Medio","Alto"))</f>
        <v/>
      </c>
    </row>
    <row r="128">
      <c r="A128" s="10" t="inlineStr">
        <is>
          <t>Disco</t>
        </is>
      </c>
      <c r="B128" s="10" t="n">
        <v>424302</v>
      </c>
      <c r="C128" s="10" t="n">
        <v>417182</v>
      </c>
      <c r="D128" s="10" t="inlineStr">
        <is>
          <t>Shampoo Nutrición Cabello Seco Óleo de Coco 700 Ml Plusbelle</t>
        </is>
      </c>
      <c r="E128" s="10" t="inlineStr">
        <is>
          <t>PLUSBELLE</t>
        </is>
      </c>
      <c r="F128" s="10" t="n">
        <v>5650</v>
      </c>
      <c r="G128" s="10" t="n">
        <v>466942</v>
      </c>
      <c r="H128" s="10" t="b">
        <v>1</v>
      </c>
      <c r="I128" s="10" t="n">
        <v>700</v>
      </c>
      <c r="J128" s="10" t="n">
        <v>8.071400000000001</v>
      </c>
      <c r="K128" s="10" t="inlineStr">
        <is>
          <t>&gt; Perfumería &gt; Cuidado Capilar &gt; Shampoo &gt;</t>
        </is>
      </c>
      <c r="L128" s="10" t="inlineStr">
        <is>
          <t>shampoo</t>
        </is>
      </c>
      <c r="M128" s="10" t="inlineStr">
        <is>
          <t>estandar</t>
        </is>
      </c>
      <c r="N128" s="10" t="inlineStr">
        <is>
          <t>seco_danado</t>
        </is>
      </c>
      <c r="O128" s="10" t="inlineStr">
        <is>
          <t>https://www.disco.com.ar/shampoo-plusbelle-esen-oleo-nut-coco-700-ml/p</t>
        </is>
      </c>
      <c r="P128" s="12">
        <f>TRIM(CLEAN(PROPER(D128)))</f>
        <v/>
      </c>
      <c r="Q128" s="12">
        <f>PROPER(TRIM(SUBSTITUTE(SUBSTITUTE(SUBSTITUTE(SUBSTITUTE(E128,"TRESEMME","Tresemme"),"HEAD &amp; SHOULDERS","Head &amp; Shoulders"),"ELVIVE","Elvive"),"FRUCTIS","Fructis")))</f>
        <v/>
      </c>
      <c r="R128" s="12">
        <f>COUNTIF($D$2:$D$10000,D128)&gt;1</f>
        <v/>
      </c>
      <c r="S128" s="12">
        <f>IF(H128=TRUE,"Disponible","No disponible")</f>
        <v/>
      </c>
      <c r="T128" s="12">
        <f>IF(AND(ISNUMBER(I128),I128&gt;0),ROUND(F128/I128,2),"Sin volumen")</f>
        <v/>
      </c>
      <c r="U128" s="12">
        <f>IF(F128&lt;5000,"Bajo",IF(F128&lt;15000,"Medio","Alto"))</f>
        <v/>
      </c>
    </row>
    <row r="129">
      <c r="A129" t="inlineStr">
        <is>
          <t>Disco</t>
        </is>
      </c>
      <c r="B129" t="n">
        <v>411484</v>
      </c>
      <c r="C129" t="n">
        <v>407302</v>
      </c>
      <c r="D129" t="inlineStr">
        <is>
          <t>Shampoo Tratante Anti-Caída Ortiga Concentrado 420 Ml Capilatis</t>
        </is>
      </c>
      <c r="E129" t="inlineStr">
        <is>
          <t>CAPILATIS</t>
        </is>
      </c>
      <c r="F129" t="n">
        <v>10900</v>
      </c>
      <c r="G129" t="n">
        <v>900826</v>
      </c>
      <c r="H129" t="b">
        <v>1</v>
      </c>
      <c r="I129" t="n">
        <v>420</v>
      </c>
      <c r="J129" t="n">
        <v>25.9524</v>
      </c>
      <c r="K129" t="inlineStr">
        <is>
          <t>&gt; Perfumería &gt; Cuidado Capilar &gt; Shampoo &gt;</t>
        </is>
      </c>
      <c r="L129" t="inlineStr">
        <is>
          <t>shampoo</t>
        </is>
      </c>
      <c r="M129" t="inlineStr">
        <is>
          <t>estandar</t>
        </is>
      </c>
      <c r="N129" t="inlineStr">
        <is>
          <t>general</t>
        </is>
      </c>
      <c r="O129" t="inlineStr">
        <is>
          <t>https://www.disco.com.ar/shampoo-ortiga-concentrado-420-ml-capilatis/p</t>
        </is>
      </c>
      <c r="P129">
        <f>TRIM(CLEAN(PROPER(D129)))</f>
        <v/>
      </c>
      <c r="Q129">
        <f>PROPER(TRIM(SUBSTITUTE(SUBSTITUTE(SUBSTITUTE(SUBSTITUTE(E129,"TRESEMME","Tresemme"),"HEAD &amp; SHOULDERS","Head &amp; Shoulders"),"ELVIVE","Elvive"),"FRUCTIS","Fructis")))</f>
        <v/>
      </c>
      <c r="R129">
        <f>COUNTIF($D$2:$D$10000,D129)&gt;1</f>
        <v/>
      </c>
      <c r="S129">
        <f>IF(H129=TRUE,"Disponible","No disponible")</f>
        <v/>
      </c>
      <c r="T129">
        <f>IF(AND(ISNUMBER(I129),I129&gt;0),ROUND(F129/I129,2),"Sin volumen")</f>
        <v/>
      </c>
      <c r="U129">
        <f>IF(F129&lt;5000,"Bajo",IF(F129&lt;15000,"Medio","Alto"))</f>
        <v/>
      </c>
    </row>
    <row r="130">
      <c r="A130" s="10" t="inlineStr">
        <is>
          <t>Disco</t>
        </is>
      </c>
      <c r="B130" s="10" t="n">
        <v>411475</v>
      </c>
      <c r="C130" s="10" t="n">
        <v>407293</v>
      </c>
      <c r="D130" s="10" t="inlineStr">
        <is>
          <t>Shampoo Tratante Anti-Caída para Cabello Graso Ortiga y Salvia 420 Ml Capilatis</t>
        </is>
      </c>
      <c r="E130" s="10" t="inlineStr">
        <is>
          <t>CAPILATIS</t>
        </is>
      </c>
      <c r="F130" s="10" t="n">
        <v>10900</v>
      </c>
      <c r="G130" s="10" t="n">
        <v>900826</v>
      </c>
      <c r="H130" s="10" t="b">
        <v>1</v>
      </c>
      <c r="I130" s="10" t="n">
        <v>420</v>
      </c>
      <c r="J130" s="10" t="n">
        <v>25.9524</v>
      </c>
      <c r="K130" s="10" t="inlineStr">
        <is>
          <t>&gt; Perfumería &gt; Cuidado Capilar &gt; Shampoo &gt;</t>
        </is>
      </c>
      <c r="L130" s="10" t="inlineStr">
        <is>
          <t>shampoo</t>
        </is>
      </c>
      <c r="M130" s="10" t="inlineStr">
        <is>
          <t>estandar</t>
        </is>
      </c>
      <c r="N130" s="10" t="inlineStr">
        <is>
          <t>graso</t>
        </is>
      </c>
      <c r="O130" s="10" t="inlineStr">
        <is>
          <t>https://www.disco.com.ar/shampoo-ortiga-graso-concentrado-420-ml-capilatis/p</t>
        </is>
      </c>
      <c r="P130" s="12">
        <f>TRIM(CLEAN(PROPER(D130)))</f>
        <v/>
      </c>
      <c r="Q130" s="12">
        <f>PROPER(TRIM(SUBSTITUTE(SUBSTITUTE(SUBSTITUTE(SUBSTITUTE(E130,"TRESEMME","Tresemme"),"HEAD &amp; SHOULDERS","Head &amp; Shoulders"),"ELVIVE","Elvive"),"FRUCTIS","Fructis")))</f>
        <v/>
      </c>
      <c r="R130" s="12">
        <f>COUNTIF($D$2:$D$10000,D130)&gt;1</f>
        <v/>
      </c>
      <c r="S130" s="12">
        <f>IF(H130=TRUE,"Disponible","No disponible")</f>
        <v/>
      </c>
      <c r="T130" s="12">
        <f>IF(AND(ISNUMBER(I130),I130&gt;0),ROUND(F130/I130,2),"Sin volumen")</f>
        <v/>
      </c>
      <c r="U130" s="12">
        <f>IF(F130&lt;5000,"Bajo",IF(F130&lt;15000,"Medio","Alto"))</f>
        <v/>
      </c>
    </row>
    <row r="131">
      <c r="A131" t="inlineStr">
        <is>
          <t>Disco</t>
        </is>
      </c>
      <c r="B131" t="n">
        <v>404463</v>
      </c>
      <c r="C131" t="n">
        <v>401465</v>
      </c>
      <c r="D131" t="inlineStr">
        <is>
          <t>Shampoo Cabellos Grasos Menta y Lima 420 Ml Capilatis</t>
        </is>
      </c>
      <c r="E131" t="inlineStr">
        <is>
          <t>CAPILATIS</t>
        </is>
      </c>
      <c r="F131" t="n">
        <v>9750</v>
      </c>
      <c r="G131" t="n">
        <v>805785</v>
      </c>
      <c r="H131" t="b">
        <v>1</v>
      </c>
      <c r="I131" t="n">
        <v>420</v>
      </c>
      <c r="J131" t="n">
        <v>23.2143</v>
      </c>
      <c r="K131" t="inlineStr">
        <is>
          <t>&gt; Perfumería &gt; Cuidado Capilar &gt; Shampoo &gt;</t>
        </is>
      </c>
      <c r="L131" t="inlineStr">
        <is>
          <t>shampoo</t>
        </is>
      </c>
      <c r="M131" t="inlineStr">
        <is>
          <t>estandar</t>
        </is>
      </c>
      <c r="N131" t="inlineStr">
        <is>
          <t>graso</t>
        </is>
      </c>
      <c r="O131" t="inlineStr">
        <is>
          <t>https://www.disco.com.ar/shampoo-cabellos-grasos-420-ml-capilatis/p</t>
        </is>
      </c>
      <c r="P131">
        <f>TRIM(CLEAN(PROPER(D131)))</f>
        <v/>
      </c>
      <c r="Q131">
        <f>PROPER(TRIM(SUBSTITUTE(SUBSTITUTE(SUBSTITUTE(SUBSTITUTE(E131,"TRESEMME","Tresemme"),"HEAD &amp; SHOULDERS","Head &amp; Shoulders"),"ELVIVE","Elvive"),"FRUCTIS","Fructis")))</f>
        <v/>
      </c>
      <c r="R131">
        <f>COUNTIF($D$2:$D$10000,D131)&gt;1</f>
        <v/>
      </c>
      <c r="S131">
        <f>IF(H131=TRUE,"Disponible","No disponible")</f>
        <v/>
      </c>
      <c r="T131">
        <f>IF(AND(ISNUMBER(I131),I131&gt;0),ROUND(F131/I131,2),"Sin volumen")</f>
        <v/>
      </c>
      <c r="U131">
        <f>IF(F131&lt;5000,"Bajo",IF(F131&lt;15000,"Medio","Alto"))</f>
        <v/>
      </c>
    </row>
    <row r="132">
      <c r="A132" s="10" t="inlineStr">
        <is>
          <t>Disco</t>
        </is>
      </c>
      <c r="B132" s="10" t="n">
        <v>349085</v>
      </c>
      <c r="C132" s="10" t="n">
        <v>347748</v>
      </c>
      <c r="D132" s="10" t="inlineStr">
        <is>
          <t>Shampoo 2 en 1 Fuerza Extrema 400 Ml Dove</t>
        </is>
      </c>
      <c r="E132" s="10" t="inlineStr">
        <is>
          <t>DOVE</t>
        </is>
      </c>
      <c r="F132" s="10" t="n">
        <v>9505</v>
      </c>
      <c r="G132" s="10" t="n">
        <v>785537</v>
      </c>
      <c r="H132" s="10" t="b">
        <v>1</v>
      </c>
      <c r="I132" s="10" t="n">
        <v>400</v>
      </c>
      <c r="J132" s="10" t="n">
        <v>23.7625</v>
      </c>
      <c r="K132" s="10" t="inlineStr">
        <is>
          <t>&gt; Perfumería &gt; Cuidado Capilar &gt; Shampoo &gt;</t>
        </is>
      </c>
      <c r="L132" s="10" t="inlineStr">
        <is>
          <t>shampoo</t>
        </is>
      </c>
      <c r="M132" s="10" t="inlineStr">
        <is>
          <t>estandar</t>
        </is>
      </c>
      <c r="N132" s="10" t="inlineStr">
        <is>
          <t>general</t>
        </is>
      </c>
      <c r="O132" s="10" t="inlineStr">
        <is>
          <t>https://www.disco.com.ar/shampoo-dove-men-2en1-fuerza-extrema-400-ml/p</t>
        </is>
      </c>
      <c r="P132" s="12">
        <f>TRIM(CLEAN(PROPER(D132)))</f>
        <v/>
      </c>
      <c r="Q132" s="12">
        <f>PROPER(TRIM(SUBSTITUTE(SUBSTITUTE(SUBSTITUTE(SUBSTITUTE(E132,"TRESEMME","Tresemme"),"HEAD &amp; SHOULDERS","Head &amp; Shoulders"),"ELVIVE","Elvive"),"FRUCTIS","Fructis")))</f>
        <v/>
      </c>
      <c r="R132" s="12">
        <f>COUNTIF($D$2:$D$10000,D132)&gt;1</f>
        <v/>
      </c>
      <c r="S132" s="12">
        <f>IF(H132=TRUE,"Disponible","No disponible")</f>
        <v/>
      </c>
      <c r="T132" s="12">
        <f>IF(AND(ISNUMBER(I132),I132&gt;0),ROUND(F132/I132,2),"Sin volumen")</f>
        <v/>
      </c>
      <c r="U132" s="12">
        <f>IF(F132&lt;5000,"Bajo",IF(F132&lt;15000,"Medio","Alto"))</f>
        <v/>
      </c>
    </row>
    <row r="133">
      <c r="A133" t="inlineStr">
        <is>
          <t>Disco</t>
        </is>
      </c>
      <c r="B133" t="n">
        <v>275435</v>
      </c>
      <c r="C133" t="n">
        <v>274731</v>
      </c>
      <c r="D133" t="inlineStr">
        <is>
          <t>Shampoo 3 en 1 Anti-Caspa 375 Ml Head y Shoulders</t>
        </is>
      </c>
      <c r="E133" t="inlineStr">
        <is>
          <t>HEAD &amp; SHOULDERS</t>
        </is>
      </c>
      <c r="F133" t="n">
        <v>13100</v>
      </c>
      <c r="G133" t="n">
        <v>1082645</v>
      </c>
      <c r="H133" t="b">
        <v>1</v>
      </c>
      <c r="I133" t="n">
        <v>375</v>
      </c>
      <c r="J133" t="n">
        <v>34.9333</v>
      </c>
      <c r="K133" t="inlineStr">
        <is>
          <t>&gt; Perfumería &gt; Cuidado Capilar &gt; Shampoo &gt;</t>
        </is>
      </c>
      <c r="L133" t="inlineStr">
        <is>
          <t>shampoo</t>
        </is>
      </c>
      <c r="M133" t="inlineStr">
        <is>
          <t>estandar</t>
        </is>
      </c>
      <c r="N133" t="inlineStr">
        <is>
          <t>anticaspa</t>
        </is>
      </c>
      <c r="O133" t="inlineStr">
        <is>
          <t>https://www.disco.com.ar/shampoo-3-en-1-375-ml-head-shoulders-2/p</t>
        </is>
      </c>
      <c r="P133">
        <f>TRIM(CLEAN(PROPER(D133)))</f>
        <v/>
      </c>
      <c r="Q133">
        <f>PROPER(TRIM(SUBSTITUTE(SUBSTITUTE(SUBSTITUTE(SUBSTITUTE(E133,"TRESEMME","Tresemme"),"HEAD &amp; SHOULDERS","Head &amp; Shoulders"),"ELVIVE","Elvive"),"FRUCTIS","Fructis")))</f>
        <v/>
      </c>
      <c r="R133">
        <f>COUNTIF($D$2:$D$10000,D133)&gt;1</f>
        <v/>
      </c>
      <c r="S133">
        <f>IF(H133=TRUE,"Disponible","No disponible")</f>
        <v/>
      </c>
      <c r="T133">
        <f>IF(AND(ISNUMBER(I133),I133&gt;0),ROUND(F133/I133,2),"Sin volumen")</f>
        <v/>
      </c>
      <c r="U133">
        <f>IF(F133&lt;5000,"Bajo",IF(F133&lt;15000,"Medio","Alto"))</f>
        <v/>
      </c>
    </row>
    <row r="134">
      <c r="A134" s="10" t="inlineStr">
        <is>
          <t>Disco</t>
        </is>
      </c>
      <c r="B134" s="10" t="n">
        <v>275414</v>
      </c>
      <c r="C134" s="10" t="n">
        <v>274710</v>
      </c>
      <c r="D134" s="10" t="inlineStr">
        <is>
          <t>Shampoo Anti-Caspa Manzana 180 Ml Head y Shoulders</t>
        </is>
      </c>
      <c r="E134" s="10" t="inlineStr">
        <is>
          <t>HEAD &amp; SHOULDERS</t>
        </is>
      </c>
      <c r="F134" s="10" t="n">
        <v>7900</v>
      </c>
      <c r="G134" s="10" t="n">
        <v>652893</v>
      </c>
      <c r="H134" s="10" t="b">
        <v>1</v>
      </c>
      <c r="I134" s="10" t="n">
        <v>180</v>
      </c>
      <c r="J134" s="10" t="n">
        <v>43.8889</v>
      </c>
      <c r="K134" s="10" t="inlineStr">
        <is>
          <t>&gt; Perfumería &gt; Cuidado Capilar &gt; Shampoo &gt;</t>
        </is>
      </c>
      <c r="L134" s="10" t="inlineStr">
        <is>
          <t>shampoo</t>
        </is>
      </c>
      <c r="M134" s="10" t="inlineStr">
        <is>
          <t>estandar</t>
        </is>
      </c>
      <c r="N134" s="10" t="inlineStr">
        <is>
          <t>anticaspa</t>
        </is>
      </c>
      <c r="O134" s="10" t="inlineStr">
        <is>
          <t>https://www.disco.com.ar/shampoo-apple-180-ml-head-shoulders-2/p</t>
        </is>
      </c>
      <c r="P134" s="12">
        <f>TRIM(CLEAN(PROPER(D134)))</f>
        <v/>
      </c>
      <c r="Q134" s="12">
        <f>PROPER(TRIM(SUBSTITUTE(SUBSTITUTE(SUBSTITUTE(SUBSTITUTE(E134,"TRESEMME","Tresemme"),"HEAD &amp; SHOULDERS","Head &amp; Shoulders"),"ELVIVE","Elvive"),"FRUCTIS","Fructis")))</f>
        <v/>
      </c>
      <c r="R134" s="12">
        <f>COUNTIF($D$2:$D$10000,D134)&gt;1</f>
        <v/>
      </c>
      <c r="S134" s="12">
        <f>IF(H134=TRUE,"Disponible","No disponible")</f>
        <v/>
      </c>
      <c r="T134" s="12">
        <f>IF(AND(ISNUMBER(I134),I134&gt;0),ROUND(F134/I134,2),"Sin volumen")</f>
        <v/>
      </c>
      <c r="U134" s="12">
        <f>IF(F134&lt;5000,"Bajo",IF(F134&lt;15000,"Medio","Alto"))</f>
        <v/>
      </c>
    </row>
    <row r="135">
      <c r="A135" t="inlineStr">
        <is>
          <t>Disco</t>
        </is>
      </c>
      <c r="B135" t="n">
        <v>3083503</v>
      </c>
      <c r="C135" t="n">
        <v>3082778</v>
      </c>
      <c r="D135" t="inlineStr">
        <is>
          <t>Shampoo Brillo Anti-residuos Glycolic Cristal 750 Ml Elvive</t>
        </is>
      </c>
      <c r="E135" t="inlineStr">
        <is>
          <t>ELVIVE</t>
        </is>
      </c>
      <c r="F135" t="n">
        <v>19350</v>
      </c>
      <c r="G135" t="n">
        <v>1599174</v>
      </c>
      <c r="H135" t="b">
        <v>1</v>
      </c>
      <c r="I135" t="n">
        <v>750</v>
      </c>
      <c r="J135" t="n">
        <v>25.8</v>
      </c>
      <c r="K135" t="inlineStr">
        <is>
          <t>&gt; Perfumería &gt; Cuidado Capilar &gt; Shampoo &gt;</t>
        </is>
      </c>
      <c r="L135" t="inlineStr">
        <is>
          <t>shampoo</t>
        </is>
      </c>
      <c r="M135" t="inlineStr">
        <is>
          <t>profesional</t>
        </is>
      </c>
      <c r="N135" t="inlineStr">
        <is>
          <t>general</t>
        </is>
      </c>
      <c r="O135" t="inlineStr">
        <is>
          <t>https://www.disco.com.ar/shampoo-brillo-anti-residuos-glycolic-cristal-x-750-ml-elvive/p</t>
        </is>
      </c>
      <c r="P135">
        <f>TRIM(CLEAN(PROPER(D135)))</f>
        <v/>
      </c>
      <c r="Q135">
        <f>PROPER(TRIM(SUBSTITUTE(SUBSTITUTE(SUBSTITUTE(SUBSTITUTE(E135,"TRESEMME","Tresemme"),"HEAD &amp; SHOULDERS","Head &amp; Shoulders"),"ELVIVE","Elvive"),"FRUCTIS","Fructis")))</f>
        <v/>
      </c>
      <c r="R135">
        <f>COUNTIF($D$2:$D$10000,D135)&gt;1</f>
        <v/>
      </c>
      <c r="S135">
        <f>IF(H135=TRUE,"Disponible","No disponible")</f>
        <v/>
      </c>
      <c r="T135">
        <f>IF(AND(ISNUMBER(I135),I135&gt;0),ROUND(F135/I135,2),"Sin volumen")</f>
        <v/>
      </c>
      <c r="U135">
        <f>IF(F135&lt;5000,"Bajo",IF(F135&lt;15000,"Medio","Alto"))</f>
        <v/>
      </c>
    </row>
    <row r="136">
      <c r="A136" s="10" t="inlineStr">
        <is>
          <t>Disco</t>
        </is>
      </c>
      <c r="B136" s="10" t="n">
        <v>414717</v>
      </c>
      <c r="C136" s="10" t="n">
        <v>410418</v>
      </c>
      <c r="D136" s="10" t="inlineStr">
        <is>
          <t>Shampoo Para Niños Hidratación Intensa X 200 Ml Johnson's</t>
        </is>
      </c>
      <c r="E136" s="10" t="inlineStr">
        <is>
          <t>JOHNSON BABY</t>
        </is>
      </c>
      <c r="F136" s="10" t="n">
        <v>6650</v>
      </c>
      <c r="G136" s="10" t="n">
        <v>549587</v>
      </c>
      <c r="H136" s="10" t="b">
        <v>1</v>
      </c>
      <c r="I136" s="10" t="n">
        <v>200</v>
      </c>
      <c r="J136" s="10" t="n">
        <v>33.25</v>
      </c>
      <c r="K136" s="10" t="inlineStr">
        <is>
          <t>&gt; Mundo Bebe &gt; Higiene para el Bebe &gt; Higiene del Bebé &gt;</t>
        </is>
      </c>
      <c r="L136" s="10" t="inlineStr">
        <is>
          <t>shampoo</t>
        </is>
      </c>
      <c r="M136" s="10" t="inlineStr">
        <is>
          <t>estandar</t>
        </is>
      </c>
      <c r="N136" s="10" t="inlineStr">
        <is>
          <t>seco_danado</t>
        </is>
      </c>
      <c r="O136" s="10" t="inlineStr">
        <is>
          <t>https://www.disco.com.ar/shampoo-para-ninos-hidratacion-intensa-x-200-ml-johnson-s/p</t>
        </is>
      </c>
      <c r="P136" s="12">
        <f>TRIM(CLEAN(PROPER(D136)))</f>
        <v/>
      </c>
      <c r="Q136" s="12">
        <f>PROPER(TRIM(SUBSTITUTE(SUBSTITUTE(SUBSTITUTE(SUBSTITUTE(E136,"TRESEMME","Tresemme"),"HEAD &amp; SHOULDERS","Head &amp; Shoulders"),"ELVIVE","Elvive"),"FRUCTIS","Fructis")))</f>
        <v/>
      </c>
      <c r="R136" s="12">
        <f>COUNTIF($D$2:$D$10000,D136)&gt;1</f>
        <v/>
      </c>
      <c r="S136" s="12">
        <f>IF(H136=TRUE,"Disponible","No disponible")</f>
        <v/>
      </c>
      <c r="T136" s="12">
        <f>IF(AND(ISNUMBER(I136),I136&gt;0),ROUND(F136/I136,2),"Sin volumen")</f>
        <v/>
      </c>
      <c r="U136" s="12">
        <f>IF(F136&lt;5000,"Bajo",IF(F136&lt;15000,"Medio","Alto"))</f>
        <v/>
      </c>
    </row>
    <row r="137">
      <c r="A137" t="inlineStr">
        <is>
          <t>Disco</t>
        </is>
      </c>
      <c r="B137" t="n">
        <v>275438</v>
      </c>
      <c r="C137" t="n">
        <v>274734</v>
      </c>
      <c r="D137" t="inlineStr">
        <is>
          <t>Shampoo Anti-Caspa Anticaída 375 Ml Head y Shoulders</t>
        </is>
      </c>
      <c r="E137" t="inlineStr">
        <is>
          <t>HEAD &amp; SHOULDERS</t>
        </is>
      </c>
      <c r="F137" t="n">
        <v>13050</v>
      </c>
      <c r="G137" t="n">
        <v>1078512</v>
      </c>
      <c r="H137" t="b">
        <v>1</v>
      </c>
      <c r="I137" t="n">
        <v>375</v>
      </c>
      <c r="J137" t="n">
        <v>34.8</v>
      </c>
      <c r="K137" t="inlineStr">
        <is>
          <t>&gt; Perfumería &gt; Cuidado Capilar &gt; Shampoo &gt;</t>
        </is>
      </c>
      <c r="L137" t="inlineStr">
        <is>
          <t>shampoo</t>
        </is>
      </c>
      <c r="M137" t="inlineStr">
        <is>
          <t>estandar</t>
        </is>
      </c>
      <c r="N137" t="inlineStr">
        <is>
          <t>anticaspa</t>
        </is>
      </c>
      <c r="O137" t="inlineStr">
        <is>
          <t>https://www.disco.com.ar/shampoo-antifall-375-ml-head-shoulders-2/p</t>
        </is>
      </c>
      <c r="P137">
        <f>TRIM(CLEAN(PROPER(D137)))</f>
        <v/>
      </c>
      <c r="Q137">
        <f>PROPER(TRIM(SUBSTITUTE(SUBSTITUTE(SUBSTITUTE(SUBSTITUTE(E137,"TRESEMME","Tresemme"),"HEAD &amp; SHOULDERS","Head &amp; Shoulders"),"ELVIVE","Elvive"),"FRUCTIS","Fructis")))</f>
        <v/>
      </c>
      <c r="R137">
        <f>COUNTIF($D$2:$D$10000,D137)&gt;1</f>
        <v/>
      </c>
      <c r="S137">
        <f>IF(H137=TRUE,"Disponible","No disponible")</f>
        <v/>
      </c>
      <c r="T137">
        <f>IF(AND(ISNUMBER(I137),I137&gt;0),ROUND(F137/I137,2),"Sin volumen")</f>
        <v/>
      </c>
      <c r="U137">
        <f>IF(F137&lt;5000,"Bajo",IF(F137&lt;15000,"Medio","Alto"))</f>
        <v/>
      </c>
    </row>
    <row r="138">
      <c r="A138" s="10" t="inlineStr">
        <is>
          <t>Disco</t>
        </is>
      </c>
      <c r="B138" s="10" t="n">
        <v>3067728</v>
      </c>
      <c r="C138" s="10" t="n">
        <v>3067588</v>
      </c>
      <c r="D138" s="10" t="inlineStr">
        <is>
          <t>Shampoo Anticaída y Nutrición Biotinamina B3 510 Ml Pantene</t>
        </is>
      </c>
      <c r="E138" s="10" t="inlineStr">
        <is>
          <t>PANTENE</t>
        </is>
      </c>
      <c r="F138" s="10" t="n">
        <v>16900</v>
      </c>
      <c r="G138" s="10" t="n">
        <v>1396694</v>
      </c>
      <c r="H138" s="10" t="b">
        <v>1</v>
      </c>
      <c r="I138" s="10" t="n">
        <v>510</v>
      </c>
      <c r="J138" s="10" t="n">
        <v>33.1373</v>
      </c>
      <c r="K138" s="10" t="inlineStr">
        <is>
          <t>&gt; Perfumería &gt; Cuidado Capilar &gt; Shampoo &gt;</t>
        </is>
      </c>
      <c r="L138" s="10" t="inlineStr">
        <is>
          <t>shampoo</t>
        </is>
      </c>
      <c r="M138" s="10" t="inlineStr">
        <is>
          <t>estandar</t>
        </is>
      </c>
      <c r="N138" s="10" t="inlineStr">
        <is>
          <t>general</t>
        </is>
      </c>
      <c r="O138" s="10" t="inlineStr">
        <is>
          <t>https://www.disco.com.ar/shampoo-anti-caida-510-ml-pantene-2/p</t>
        </is>
      </c>
      <c r="P138" s="12">
        <f>TRIM(CLEAN(PROPER(D138)))</f>
        <v/>
      </c>
      <c r="Q138" s="12">
        <f>PROPER(TRIM(SUBSTITUTE(SUBSTITUTE(SUBSTITUTE(SUBSTITUTE(E138,"TRESEMME","Tresemme"),"HEAD &amp; SHOULDERS","Head &amp; Shoulders"),"ELVIVE","Elvive"),"FRUCTIS","Fructis")))</f>
        <v/>
      </c>
      <c r="R138" s="12">
        <f>COUNTIF($D$2:$D$10000,D138)&gt;1</f>
        <v/>
      </c>
      <c r="S138" s="12">
        <f>IF(H138=TRUE,"Disponible","No disponible")</f>
        <v/>
      </c>
      <c r="T138" s="12">
        <f>IF(AND(ISNUMBER(I138),I138&gt;0),ROUND(F138/I138,2),"Sin volumen")</f>
        <v/>
      </c>
      <c r="U138" s="12">
        <f>IF(F138&lt;5000,"Bajo",IF(F138&lt;15000,"Medio","Alto"))</f>
        <v/>
      </c>
    </row>
    <row r="139">
      <c r="A139" t="inlineStr">
        <is>
          <t>Disco</t>
        </is>
      </c>
      <c r="B139" t="n">
        <v>414723</v>
      </c>
      <c r="C139" t="n">
        <v>410424</v>
      </c>
      <c r="D139" t="inlineStr">
        <is>
          <t>Shampoo Para Niños Fragancia Prolongada 200 Ml Johnson Baby</t>
        </is>
      </c>
      <c r="E139" t="inlineStr">
        <is>
          <t>JOHNSON BABY</t>
        </is>
      </c>
      <c r="F139" t="n">
        <v>6750</v>
      </c>
      <c r="G139" t="n">
        <v>557851</v>
      </c>
      <c r="H139" t="b">
        <v>1</v>
      </c>
      <c r="I139" t="n">
        <v>200</v>
      </c>
      <c r="J139" t="n">
        <v>33.75</v>
      </c>
      <c r="K139" t="inlineStr">
        <is>
          <t>&gt; Mundo Bebe &gt; Higiene para el Bebe &gt; Higiene del Bebé &gt;</t>
        </is>
      </c>
      <c r="L139" t="inlineStr">
        <is>
          <t>shampoo</t>
        </is>
      </c>
      <c r="M139" t="inlineStr">
        <is>
          <t>estandar</t>
        </is>
      </c>
      <c r="N139" t="inlineStr">
        <is>
          <t>bebe</t>
        </is>
      </c>
      <c r="O139" t="inlineStr">
        <is>
          <t>https://www.disco.com.ar/shampoo-para-ninos-fragancia-prolongada-200-ml-johnson-baby/p</t>
        </is>
      </c>
      <c r="P139">
        <f>TRIM(CLEAN(PROPER(D139)))</f>
        <v/>
      </c>
      <c r="Q139">
        <f>PROPER(TRIM(SUBSTITUTE(SUBSTITUTE(SUBSTITUTE(SUBSTITUTE(E139,"TRESEMME","Tresemme"),"HEAD &amp; SHOULDERS","Head &amp; Shoulders"),"ELVIVE","Elvive"),"FRUCTIS","Fructis")))</f>
        <v/>
      </c>
      <c r="R139">
        <f>COUNTIF($D$2:$D$10000,D139)&gt;1</f>
        <v/>
      </c>
      <c r="S139">
        <f>IF(H139=TRUE,"Disponible","No disponible")</f>
        <v/>
      </c>
      <c r="T139">
        <f>IF(AND(ISNUMBER(I139),I139&gt;0),ROUND(F139/I139,2),"Sin volumen")</f>
        <v/>
      </c>
      <c r="U139">
        <f>IF(F139&lt;5000,"Bajo",IF(F139&lt;15000,"Medio","Alto"))</f>
        <v/>
      </c>
    </row>
    <row r="140">
      <c r="A140" s="10" t="inlineStr">
        <is>
          <t>Disco</t>
        </is>
      </c>
      <c r="B140" s="10" t="n">
        <v>298524</v>
      </c>
      <c r="C140" s="10" t="n">
        <v>297753</v>
      </c>
      <c r="D140" s="10" t="inlineStr">
        <is>
          <t>Shampoo para Perros y Gatos Pulguicida/Garrapaticida 500 Ml Pet' S Class</t>
        </is>
      </c>
      <c r="E140" s="10" t="inlineStr">
        <is>
          <t>PET' S CLASS</t>
        </is>
      </c>
      <c r="F140" s="10" t="n">
        <v>9800</v>
      </c>
      <c r="G140" s="10" t="n">
        <v>809917</v>
      </c>
      <c r="H140" s="10" t="b">
        <v>1</v>
      </c>
      <c r="I140" s="10" t="n">
        <v>500</v>
      </c>
      <c r="J140" s="10" t="n">
        <v>19.6</v>
      </c>
      <c r="K140" s="10" t="inlineStr">
        <is>
          <t>&gt; Mascotas &gt; Accesorios para Mascotas &gt;</t>
        </is>
      </c>
      <c r="L140" s="10" t="inlineStr">
        <is>
          <t>shampoo</t>
        </is>
      </c>
      <c r="M140" s="10" t="inlineStr">
        <is>
          <t>estandar</t>
        </is>
      </c>
      <c r="N140" s="10" t="inlineStr">
        <is>
          <t>general</t>
        </is>
      </c>
      <c r="O140" s="10" t="inlineStr">
        <is>
          <t>https://www.disco.com.ar/shampoo-para-perro-pets-class-pulguicida-garrapata/p</t>
        </is>
      </c>
      <c r="P140" s="12">
        <f>TRIM(CLEAN(PROPER(D140)))</f>
        <v/>
      </c>
      <c r="Q140" s="12">
        <f>PROPER(TRIM(SUBSTITUTE(SUBSTITUTE(SUBSTITUTE(SUBSTITUTE(E140,"TRESEMME","Tresemme"),"HEAD &amp; SHOULDERS","Head &amp; Shoulders"),"ELVIVE","Elvive"),"FRUCTIS","Fructis")))</f>
        <v/>
      </c>
      <c r="R140" s="12">
        <f>COUNTIF($D$2:$D$10000,D140)&gt;1</f>
        <v/>
      </c>
      <c r="S140" s="12">
        <f>IF(H140=TRUE,"Disponible","No disponible")</f>
        <v/>
      </c>
      <c r="T140" s="12">
        <f>IF(AND(ISNUMBER(I140),I140&gt;0),ROUND(F140/I140,2),"Sin volumen")</f>
        <v/>
      </c>
      <c r="U140" s="12">
        <f>IF(F140&lt;5000,"Bajo",IF(F140&lt;15000,"Medio","Alto"))</f>
        <v/>
      </c>
    </row>
    <row r="141">
      <c r="A141" t="inlineStr">
        <is>
          <t>Disco</t>
        </is>
      </c>
      <c r="B141" t="n">
        <v>3086505</v>
      </c>
      <c r="C141" t="n">
        <v>3085727</v>
      </c>
      <c r="D141" t="inlineStr">
        <is>
          <t>Shampoo Reparación Profunda Keratina Vegetal 415 Ml Tio Nacho Shampoo Keratina Vegetal  X 415 Ml Tio Nacho</t>
        </is>
      </c>
      <c r="E141" t="inlineStr">
        <is>
          <t>Tio Nacho</t>
        </is>
      </c>
      <c r="F141" t="n">
        <v>11100</v>
      </c>
      <c r="G141" t="n">
        <v>917355</v>
      </c>
      <c r="H141" t="b">
        <v>1</v>
      </c>
      <c r="I141" t="n">
        <v>415</v>
      </c>
      <c r="J141" t="n">
        <v>26.747</v>
      </c>
      <c r="K141" t="inlineStr">
        <is>
          <t>&gt; Perfumería &gt; Cuidado Capilar &gt; Shampoo &gt;</t>
        </is>
      </c>
      <c r="L141" t="inlineStr">
        <is>
          <t>shampoo</t>
        </is>
      </c>
      <c r="M141" t="inlineStr">
        <is>
          <t>estandar</t>
        </is>
      </c>
      <c r="N141" t="inlineStr">
        <is>
          <t>tratado</t>
        </is>
      </c>
      <c r="O141" t="inlineStr">
        <is>
          <t>https://www.disco.com.ar/shampoo-keratina-vegetal-x-415-ml-tio-nacho/p</t>
        </is>
      </c>
      <c r="P141">
        <f>TRIM(CLEAN(PROPER(D141)))</f>
        <v/>
      </c>
      <c r="Q141">
        <f>PROPER(TRIM(SUBSTITUTE(SUBSTITUTE(SUBSTITUTE(SUBSTITUTE(E141,"TRESEMME","Tresemme"),"HEAD &amp; SHOULDERS","Head &amp; Shoulders"),"ELVIVE","Elvive"),"FRUCTIS","Fructis")))</f>
        <v/>
      </c>
      <c r="R141">
        <f>COUNTIF($D$2:$D$10000,D141)&gt;1</f>
        <v/>
      </c>
      <c r="S141">
        <f>IF(H141=TRUE,"Disponible","No disponible")</f>
        <v/>
      </c>
      <c r="T141">
        <f>IF(AND(ISNUMBER(I141),I141&gt;0),ROUND(F141/I141,2),"Sin volumen")</f>
        <v/>
      </c>
      <c r="U141">
        <f>IF(F141&lt;5000,"Bajo",IF(F141&lt;15000,"Medio","Alto"))</f>
        <v/>
      </c>
    </row>
    <row r="142">
      <c r="A142" s="10" t="inlineStr">
        <is>
          <t>Disco</t>
        </is>
      </c>
      <c r="B142" s="10" t="n">
        <v>3085748</v>
      </c>
      <c r="C142" s="10" t="n">
        <v>3084976</v>
      </c>
      <c r="D142" s="10" t="inlineStr">
        <is>
          <t>Shampoo Anticaida Renovación Capilar X 375 Ml Head &amp; Shoulders</t>
        </is>
      </c>
      <c r="E142" s="10" t="inlineStr">
        <is>
          <t>HEAD &amp; SHOULDERS</t>
        </is>
      </c>
      <c r="F142" s="10" t="n">
        <v>13000</v>
      </c>
      <c r="G142" s="10" t="n">
        <v>1074380</v>
      </c>
      <c r="H142" s="10" t="b">
        <v>1</v>
      </c>
      <c r="I142" s="10" t="n">
        <v>375</v>
      </c>
      <c r="J142" s="10" t="n">
        <v>34.6667</v>
      </c>
      <c r="K142" s="10" t="inlineStr">
        <is>
          <t>&gt; Perfumería &gt; Cuidado Capilar &gt; Shampoo &gt;</t>
        </is>
      </c>
      <c r="L142" s="10" t="inlineStr">
        <is>
          <t>shampoo</t>
        </is>
      </c>
      <c r="M142" s="10" t="inlineStr">
        <is>
          <t>estandar</t>
        </is>
      </c>
      <c r="N142" s="10" t="inlineStr">
        <is>
          <t>general</t>
        </is>
      </c>
      <c r="O142" s="10" t="inlineStr">
        <is>
          <t>https://www.disco.com.ar/shampoo-anticaida-renovacion-capilar-x-375-ml-head-shoulders/p</t>
        </is>
      </c>
      <c r="P142" s="12">
        <f>TRIM(CLEAN(PROPER(D142)))</f>
        <v/>
      </c>
      <c r="Q142" s="12">
        <f>PROPER(TRIM(SUBSTITUTE(SUBSTITUTE(SUBSTITUTE(SUBSTITUTE(E142,"TRESEMME","Tresemme"),"HEAD &amp; SHOULDERS","Head &amp; Shoulders"),"ELVIVE","Elvive"),"FRUCTIS","Fructis")))</f>
        <v/>
      </c>
      <c r="R142" s="12">
        <f>COUNTIF($D$2:$D$10000,D142)&gt;1</f>
        <v/>
      </c>
      <c r="S142" s="12">
        <f>IF(H142=TRUE,"Disponible","No disponible")</f>
        <v/>
      </c>
      <c r="T142" s="12">
        <f>IF(AND(ISNUMBER(I142),I142&gt;0),ROUND(F142/I142,2),"Sin volumen")</f>
        <v/>
      </c>
      <c r="U142" s="12">
        <f>IF(F142&lt;5000,"Bajo",IF(F142&lt;15000,"Medio","Alto"))</f>
        <v/>
      </c>
    </row>
    <row r="143">
      <c r="A143" t="inlineStr">
        <is>
          <t>Disco</t>
        </is>
      </c>
      <c r="B143" t="n">
        <v>3085746</v>
      </c>
      <c r="C143" t="n">
        <v>3084974</v>
      </c>
      <c r="D143" t="inlineStr">
        <is>
          <t>Shampoo Anticaida Renovación Capilar X 650 Ml Head &amp; Shoulders</t>
        </is>
      </c>
      <c r="E143" t="inlineStr">
        <is>
          <t>HEAD &amp; SHOULDERS</t>
        </is>
      </c>
      <c r="F143" t="n">
        <v>20000</v>
      </c>
      <c r="G143" t="n">
        <v>1652893</v>
      </c>
      <c r="H143" t="b">
        <v>1</v>
      </c>
      <c r="I143" t="n">
        <v>650</v>
      </c>
      <c r="J143" t="n">
        <v>30.7692</v>
      </c>
      <c r="K143" t="inlineStr">
        <is>
          <t>&gt; Perfumería &gt; Cuidado Capilar &gt; Shampoo &gt;</t>
        </is>
      </c>
      <c r="L143" t="inlineStr">
        <is>
          <t>shampoo</t>
        </is>
      </c>
      <c r="M143" t="inlineStr">
        <is>
          <t>estandar</t>
        </is>
      </c>
      <c r="N143" t="inlineStr">
        <is>
          <t>general</t>
        </is>
      </c>
      <c r="O143" t="inlineStr">
        <is>
          <t>https://www.disco.com.ar/shampoo-anticaida-renovacion-capilar-x-650-ml-head-shoulders/p</t>
        </is>
      </c>
      <c r="P143">
        <f>TRIM(CLEAN(PROPER(D143)))</f>
        <v/>
      </c>
      <c r="Q143">
        <f>PROPER(TRIM(SUBSTITUTE(SUBSTITUTE(SUBSTITUTE(SUBSTITUTE(E143,"TRESEMME","Tresemme"),"HEAD &amp; SHOULDERS","Head &amp; Shoulders"),"ELVIVE","Elvive"),"FRUCTIS","Fructis")))</f>
        <v/>
      </c>
      <c r="R143">
        <f>COUNTIF($D$2:$D$10000,D143)&gt;1</f>
        <v/>
      </c>
      <c r="S143">
        <f>IF(H143=TRUE,"Disponible","No disponible")</f>
        <v/>
      </c>
      <c r="T143">
        <f>IF(AND(ISNUMBER(I143),I143&gt;0),ROUND(F143/I143,2),"Sin volumen")</f>
        <v/>
      </c>
      <c r="U143">
        <f>IF(F143&lt;5000,"Bajo",IF(F143&lt;15000,"Medio","Alto"))</f>
        <v/>
      </c>
    </row>
    <row r="144">
      <c r="A144" s="10" t="inlineStr">
        <is>
          <t>Disco</t>
        </is>
      </c>
      <c r="B144" s="10" t="n">
        <v>3083784</v>
      </c>
      <c r="C144" s="10" t="n">
        <v>3083042</v>
      </c>
      <c r="D144" s="10" t="inlineStr">
        <is>
          <t>Shampoo 2 en 1 Control Caspa 415 Ml Tio Nacho</t>
        </is>
      </c>
      <c r="E144" s="10" t="inlineStr">
        <is>
          <t>Tio Nacho</t>
        </is>
      </c>
      <c r="F144" s="10" t="n">
        <v>12200</v>
      </c>
      <c r="G144" s="10" t="n">
        <v>1008264</v>
      </c>
      <c r="H144" s="10" t="b">
        <v>1</v>
      </c>
      <c r="I144" s="10" t="n">
        <v>415</v>
      </c>
      <c r="J144" s="10" t="n">
        <v>29.3976</v>
      </c>
      <c r="K144" s="10" t="inlineStr">
        <is>
          <t>&gt; Perfumería &gt; Cuidado Capilar &gt; Shampoo &gt;</t>
        </is>
      </c>
      <c r="L144" s="10" t="inlineStr">
        <is>
          <t>shampoo</t>
        </is>
      </c>
      <c r="M144" s="10" t="inlineStr">
        <is>
          <t>estandar</t>
        </is>
      </c>
      <c r="N144" s="10" t="inlineStr">
        <is>
          <t>anticaspa</t>
        </is>
      </c>
      <c r="O144" s="10" t="inlineStr">
        <is>
          <t>https://www.disco.com.ar/shampoo-acondicionador-2-en-1-control-caspa-415-ml-tio-nacho/p</t>
        </is>
      </c>
      <c r="P144" s="12">
        <f>TRIM(CLEAN(PROPER(D144)))</f>
        <v/>
      </c>
      <c r="Q144" s="12">
        <f>PROPER(TRIM(SUBSTITUTE(SUBSTITUTE(SUBSTITUTE(SUBSTITUTE(E144,"TRESEMME","Tresemme"),"HEAD &amp; SHOULDERS","Head &amp; Shoulders"),"ELVIVE","Elvive"),"FRUCTIS","Fructis")))</f>
        <v/>
      </c>
      <c r="R144" s="12">
        <f>COUNTIF($D$2:$D$10000,D144)&gt;1</f>
        <v/>
      </c>
      <c r="S144" s="12">
        <f>IF(H144=TRUE,"Disponible","No disponible")</f>
        <v/>
      </c>
      <c r="T144" s="12">
        <f>IF(AND(ISNUMBER(I144),I144&gt;0),ROUND(F144/I144,2),"Sin volumen")</f>
        <v/>
      </c>
      <c r="U144" s="12">
        <f>IF(F144&lt;5000,"Bajo",IF(F144&lt;15000,"Medio","Alto"))</f>
        <v/>
      </c>
    </row>
    <row r="145">
      <c r="A145" t="inlineStr">
        <is>
          <t>Disco</t>
        </is>
      </c>
      <c r="B145" t="n">
        <v>388717</v>
      </c>
      <c r="C145" t="n">
        <v>386829</v>
      </c>
      <c r="D145" t="inlineStr">
        <is>
          <t>Shampoo Óleo Extraordinario Nutrición Cabello Seco 750 Ml Elvive</t>
        </is>
      </c>
      <c r="E145" t="inlineStr">
        <is>
          <t>ELVIVE</t>
        </is>
      </c>
      <c r="F145" t="n">
        <v>19700</v>
      </c>
      <c r="G145" t="n">
        <v>1628099</v>
      </c>
      <c r="H145" t="b">
        <v>1</v>
      </c>
      <c r="I145" t="n">
        <v>750</v>
      </c>
      <c r="J145" t="n">
        <v>26.2667</v>
      </c>
      <c r="K145" t="inlineStr">
        <is>
          <t>&gt; Perfumería &gt; Cuidado Capilar &gt; Shampoo &gt;</t>
        </is>
      </c>
      <c r="L145" t="inlineStr">
        <is>
          <t>shampoo</t>
        </is>
      </c>
      <c r="M145" t="inlineStr">
        <is>
          <t>profesional</t>
        </is>
      </c>
      <c r="N145" t="inlineStr">
        <is>
          <t>seco_danado</t>
        </is>
      </c>
      <c r="O145" t="inlineStr">
        <is>
          <t>https://www.disco.com.ar/shampoo-elvive-oleo-extraordinario-nutricion-universal-750-ml/p</t>
        </is>
      </c>
      <c r="P145">
        <f>TRIM(CLEAN(PROPER(D145)))</f>
        <v/>
      </c>
      <c r="Q145">
        <f>PROPER(TRIM(SUBSTITUTE(SUBSTITUTE(SUBSTITUTE(SUBSTITUTE(E145,"TRESEMME","Tresemme"),"HEAD &amp; SHOULDERS","Head &amp; Shoulders"),"ELVIVE","Elvive"),"FRUCTIS","Fructis")))</f>
        <v/>
      </c>
      <c r="R145">
        <f>COUNTIF($D$2:$D$10000,D145)&gt;1</f>
        <v/>
      </c>
      <c r="S145">
        <f>IF(H145=TRUE,"Disponible","No disponible")</f>
        <v/>
      </c>
      <c r="T145">
        <f>IF(AND(ISNUMBER(I145),I145&gt;0),ROUND(F145/I145,2),"Sin volumen")</f>
        <v/>
      </c>
      <c r="U145">
        <f>IF(F145&lt;5000,"Bajo",IF(F145&lt;15000,"Medio","Alto"))</f>
        <v/>
      </c>
    </row>
    <row r="146">
      <c r="A146" s="10" t="inlineStr">
        <is>
          <t>Disco</t>
        </is>
      </c>
      <c r="B146" s="10" t="n">
        <v>332647</v>
      </c>
      <c r="C146" s="10" t="n">
        <v>331802</v>
      </c>
      <c r="D146" s="10" t="inlineStr">
        <is>
          <t>Shampoo Anti Caspa Fuerza 180 Ml Head y Shoulders</t>
        </is>
      </c>
      <c r="E146" s="10" t="inlineStr">
        <is>
          <t>HEAD &amp; SHOULDERS</t>
        </is>
      </c>
      <c r="F146" s="10" t="n">
        <v>7800</v>
      </c>
      <c r="G146" s="10" t="n">
        <v>644628</v>
      </c>
      <c r="H146" s="10" t="b">
        <v>1</v>
      </c>
      <c r="I146" s="10" t="n">
        <v>180</v>
      </c>
      <c r="J146" s="10" t="n">
        <v>43.3333</v>
      </c>
      <c r="K146" s="10" t="inlineStr">
        <is>
          <t>&gt; Perfumería &gt; Cuidado Capilar &gt; Shampoo &gt;</t>
        </is>
      </c>
      <c r="L146" s="10" t="inlineStr">
        <is>
          <t>shampoo</t>
        </is>
      </c>
      <c r="M146" s="10" t="inlineStr">
        <is>
          <t>estandar</t>
        </is>
      </c>
      <c r="N146" s="10" t="inlineStr">
        <is>
          <t>anticaspa</t>
        </is>
      </c>
      <c r="O146" s="10" t="inlineStr">
        <is>
          <t>https://www.disco.com.ar/shampoo-fuerza-180-ml-head-shoulders-2/p</t>
        </is>
      </c>
      <c r="P146" s="12">
        <f>TRIM(CLEAN(PROPER(D146)))</f>
        <v/>
      </c>
      <c r="Q146" s="12">
        <f>PROPER(TRIM(SUBSTITUTE(SUBSTITUTE(SUBSTITUTE(SUBSTITUTE(E146,"TRESEMME","Tresemme"),"HEAD &amp; SHOULDERS","Head &amp; Shoulders"),"ELVIVE","Elvive"),"FRUCTIS","Fructis")))</f>
        <v/>
      </c>
      <c r="R146" s="12">
        <f>COUNTIF($D$2:$D$10000,D146)&gt;1</f>
        <v/>
      </c>
      <c r="S146" s="12">
        <f>IF(H146=TRUE,"Disponible","No disponible")</f>
        <v/>
      </c>
      <c r="T146" s="12">
        <f>IF(AND(ISNUMBER(I146),I146&gt;0),ROUND(F146/I146,2),"Sin volumen")</f>
        <v/>
      </c>
      <c r="U146" s="12">
        <f>IF(F146&lt;5000,"Bajo",IF(F146&lt;15000,"Medio","Alto"))</f>
        <v/>
      </c>
    </row>
    <row r="147">
      <c r="A147" t="inlineStr">
        <is>
          <t>Disco</t>
        </is>
      </c>
      <c r="B147" t="n">
        <v>298540</v>
      </c>
      <c r="C147" t="n">
        <v>297769</v>
      </c>
      <c r="D147" t="inlineStr">
        <is>
          <t>Shampoo para Perros y Gatos Sabor Frutilla 500 Ml Pet's Class Shampoo Para Perro Pets Class Frutilla X500cm3</t>
        </is>
      </c>
      <c r="E147" t="inlineStr">
        <is>
          <t>PET' S CLASS</t>
        </is>
      </c>
      <c r="F147" t="n">
        <v>8500</v>
      </c>
      <c r="G147" t="n">
        <v>702479</v>
      </c>
      <c r="H147" t="b">
        <v>1</v>
      </c>
      <c r="I147" t="n">
        <v>500</v>
      </c>
      <c r="J147" t="n">
        <v>17</v>
      </c>
      <c r="K147" t="inlineStr">
        <is>
          <t>&gt; Mascotas &gt; Accesorios para Mascotas &gt;</t>
        </is>
      </c>
      <c r="L147" t="inlineStr">
        <is>
          <t>shampoo</t>
        </is>
      </c>
      <c r="M147" t="inlineStr">
        <is>
          <t>estandar</t>
        </is>
      </c>
      <c r="N147" t="inlineStr">
        <is>
          <t>general</t>
        </is>
      </c>
      <c r="O147" t="inlineStr">
        <is>
          <t>https://www.disco.com.ar/shampoo-para-perro-pets-class-frutilla-x500cm3/p</t>
        </is>
      </c>
      <c r="P147">
        <f>TRIM(CLEAN(PROPER(D147)))</f>
        <v/>
      </c>
      <c r="Q147">
        <f>PROPER(TRIM(SUBSTITUTE(SUBSTITUTE(SUBSTITUTE(SUBSTITUTE(E147,"TRESEMME","Tresemme"),"HEAD &amp; SHOULDERS","Head &amp; Shoulders"),"ELVIVE","Elvive"),"FRUCTIS","Fructis")))</f>
        <v/>
      </c>
      <c r="R147">
        <f>COUNTIF($D$2:$D$10000,D147)&gt;1</f>
        <v/>
      </c>
      <c r="S147">
        <f>IF(H147=TRUE,"Disponible","No disponible")</f>
        <v/>
      </c>
      <c r="T147">
        <f>IF(AND(ISNUMBER(I147),I147&gt;0),ROUND(F147/I147,2),"Sin volumen")</f>
        <v/>
      </c>
      <c r="U147">
        <f>IF(F147&lt;5000,"Bajo",IF(F147&lt;15000,"Medio","Alto"))</f>
        <v/>
      </c>
    </row>
    <row r="148">
      <c r="A148" s="10" t="inlineStr">
        <is>
          <t>Disco</t>
        </is>
      </c>
      <c r="B148" s="10" t="n">
        <v>401186</v>
      </c>
      <c r="C148" s="10" t="n">
        <v>398524</v>
      </c>
      <c r="D148" s="10" t="inlineStr">
        <is>
          <t>Shampoo Pro-v Miracles Equilibrio Raíz y Puntas 400 Ml Pantene</t>
        </is>
      </c>
      <c r="E148" s="10" t="inlineStr">
        <is>
          <t>PANTENE</t>
        </is>
      </c>
      <c r="F148" s="10" t="n">
        <v>11000</v>
      </c>
      <c r="G148" s="10" t="n">
        <v>909091</v>
      </c>
      <c r="H148" s="10" t="b">
        <v>1</v>
      </c>
      <c r="I148" s="10" t="n">
        <v>400</v>
      </c>
      <c r="J148" s="10" t="n">
        <v>27.5</v>
      </c>
      <c r="K148" s="10" t="inlineStr">
        <is>
          <t>&gt; Perfumería &gt; Cuidado Capilar &gt; Shampoo &gt;</t>
        </is>
      </c>
      <c r="L148" s="10" t="inlineStr">
        <is>
          <t>shampoo</t>
        </is>
      </c>
      <c r="M148" s="10" t="inlineStr">
        <is>
          <t>profesional</t>
        </is>
      </c>
      <c r="N148" s="10" t="inlineStr">
        <is>
          <t>general</t>
        </is>
      </c>
      <c r="O148" s="10" t="inlineStr">
        <is>
          <t>https://www.disco.com.ar/shampoo-pro-v-miracles-detox-equilibrio-400-ml-pantene/p</t>
        </is>
      </c>
      <c r="P148" s="12">
        <f>TRIM(CLEAN(PROPER(D148)))</f>
        <v/>
      </c>
      <c r="Q148" s="12">
        <f>PROPER(TRIM(SUBSTITUTE(SUBSTITUTE(SUBSTITUTE(SUBSTITUTE(E148,"TRESEMME","Tresemme"),"HEAD &amp; SHOULDERS","Head &amp; Shoulders"),"ELVIVE","Elvive"),"FRUCTIS","Fructis")))</f>
        <v/>
      </c>
      <c r="R148" s="12">
        <f>COUNTIF($D$2:$D$10000,D148)&gt;1</f>
        <v/>
      </c>
      <c r="S148" s="12">
        <f>IF(H148=TRUE,"Disponible","No disponible")</f>
        <v/>
      </c>
      <c r="T148" s="12">
        <f>IF(AND(ISNUMBER(I148),I148&gt;0),ROUND(F148/I148,2),"Sin volumen")</f>
        <v/>
      </c>
      <c r="U148" s="12">
        <f>IF(F148&lt;5000,"Bajo",IF(F148&lt;15000,"Medio","Alto"))</f>
        <v/>
      </c>
    </row>
    <row r="149">
      <c r="A149" t="inlineStr">
        <is>
          <t>Disco</t>
        </is>
      </c>
      <c r="B149" t="n">
        <v>397686</v>
      </c>
      <c r="C149" t="n">
        <v>395420</v>
      </c>
      <c r="D149" t="inlineStr">
        <is>
          <t>Shampoo Hialurónico Pure Raíz Grasa y Puntas Deshidratadas 400 Ml Elvive</t>
        </is>
      </c>
      <c r="E149" t="inlineStr">
        <is>
          <t>ELVIVE</t>
        </is>
      </c>
      <c r="F149" t="n">
        <v>11199</v>
      </c>
      <c r="G149" t="n">
        <v>925537</v>
      </c>
      <c r="H149" t="b">
        <v>1</v>
      </c>
      <c r="I149" t="n">
        <v>400</v>
      </c>
      <c r="J149" t="n">
        <v>27.9975</v>
      </c>
      <c r="K149" t="inlineStr">
        <is>
          <t>&gt; Perfumería &gt; Cuidado Capilar &gt; Shampoo &gt;</t>
        </is>
      </c>
      <c r="L149" t="inlineStr">
        <is>
          <t>shampoo</t>
        </is>
      </c>
      <c r="M149" t="inlineStr">
        <is>
          <t>profesional</t>
        </is>
      </c>
      <c r="N149" t="inlineStr">
        <is>
          <t>seco_danado</t>
        </is>
      </c>
      <c r="O149" t="inlineStr">
        <is>
          <t>https://www.disco.com.ar/shampoo-elvive-hialuronico-pure-400-ml/p</t>
        </is>
      </c>
      <c r="P149">
        <f>TRIM(CLEAN(PROPER(D149)))</f>
        <v/>
      </c>
      <c r="Q149">
        <f>PROPER(TRIM(SUBSTITUTE(SUBSTITUTE(SUBSTITUTE(SUBSTITUTE(E149,"TRESEMME","Tresemme"),"HEAD &amp; SHOULDERS","Head &amp; Shoulders"),"ELVIVE","Elvive"),"FRUCTIS","Fructis")))</f>
        <v/>
      </c>
      <c r="R149">
        <f>COUNTIF($D$2:$D$10000,D149)&gt;1</f>
        <v/>
      </c>
      <c r="S149">
        <f>IF(H149=TRUE,"Disponible","No disponible")</f>
        <v/>
      </c>
      <c r="T149">
        <f>IF(AND(ISNUMBER(I149),I149&gt;0),ROUND(F149/I149,2),"Sin volumen")</f>
        <v/>
      </c>
      <c r="U149">
        <f>IF(F149&lt;5000,"Bajo",IF(F149&lt;15000,"Medio","Alto"))</f>
        <v/>
      </c>
    </row>
    <row r="150">
      <c r="A150" s="10" t="inlineStr">
        <is>
          <t>Disco</t>
        </is>
      </c>
      <c r="B150" s="10" t="n">
        <v>401190</v>
      </c>
      <c r="C150" s="10" t="n">
        <v>398528</v>
      </c>
      <c r="D150" s="10" t="inlineStr">
        <is>
          <t>Shampoo Pro-v Miracles Detox Limpia y Purifica 750 Ml Pantene</t>
        </is>
      </c>
      <c r="E150" s="10" t="inlineStr">
        <is>
          <t>PANTENE</t>
        </is>
      </c>
      <c r="F150" s="10" t="n">
        <v>18050</v>
      </c>
      <c r="G150" s="10" t="n">
        <v>1491736</v>
      </c>
      <c r="H150" s="10" t="b">
        <v>1</v>
      </c>
      <c r="I150" s="10" t="n">
        <v>750</v>
      </c>
      <c r="J150" s="10" t="n">
        <v>24.0667</v>
      </c>
      <c r="K150" s="10" t="inlineStr">
        <is>
          <t>&gt; Perfumería &gt; Cuidado Capilar &gt; Shampoo &gt;</t>
        </is>
      </c>
      <c r="L150" s="10" t="inlineStr">
        <is>
          <t>shampoo</t>
        </is>
      </c>
      <c r="M150" s="10" t="inlineStr">
        <is>
          <t>profesional</t>
        </is>
      </c>
      <c r="N150" s="10" t="inlineStr">
        <is>
          <t>general</t>
        </is>
      </c>
      <c r="O150" s="10" t="inlineStr">
        <is>
          <t>https://www.disco.com.ar/shampoo-pro-v-miracles-detox-limpia-purifica-750-ml-pantene/p</t>
        </is>
      </c>
      <c r="P150" s="12">
        <f>TRIM(CLEAN(PROPER(D150)))</f>
        <v/>
      </c>
      <c r="Q150" s="12">
        <f>PROPER(TRIM(SUBSTITUTE(SUBSTITUTE(SUBSTITUTE(SUBSTITUTE(E150,"TRESEMME","Tresemme"),"HEAD &amp; SHOULDERS","Head &amp; Shoulders"),"ELVIVE","Elvive"),"FRUCTIS","Fructis")))</f>
        <v/>
      </c>
      <c r="R150" s="12">
        <f>COUNTIF($D$2:$D$10000,D150)&gt;1</f>
        <v/>
      </c>
      <c r="S150" s="12">
        <f>IF(H150=TRUE,"Disponible","No disponible")</f>
        <v/>
      </c>
      <c r="T150" s="12">
        <f>IF(AND(ISNUMBER(I150),I150&gt;0),ROUND(F150/I150,2),"Sin volumen")</f>
        <v/>
      </c>
      <c r="U150" s="12">
        <f>IF(F150&lt;5000,"Bajo",IF(F150&lt;15000,"Medio","Alto"))</f>
        <v/>
      </c>
    </row>
    <row r="151">
      <c r="A151" t="inlineStr">
        <is>
          <t>Disco</t>
        </is>
      </c>
      <c r="B151" t="n">
        <v>334661</v>
      </c>
      <c r="C151" t="n">
        <v>333783</v>
      </c>
      <c r="D151" t="inlineStr">
        <is>
          <t>Shampoo Anti Caspa Crece Fuerte desde la Raíz 375 Ml Head y Shoulders</t>
        </is>
      </c>
      <c r="E151" t="inlineStr">
        <is>
          <t>HEAD &amp; SHOULDERS</t>
        </is>
      </c>
      <c r="F151" t="n">
        <v>13100</v>
      </c>
      <c r="G151" t="n">
        <v>1082645</v>
      </c>
      <c r="H151" t="b">
        <v>1</v>
      </c>
      <c r="I151" t="n">
        <v>375</v>
      </c>
      <c r="J151" t="n">
        <v>34.9333</v>
      </c>
      <c r="K151" t="inlineStr">
        <is>
          <t>&gt; Perfumería &gt; Cuidado Capilar &gt; Shampoo &gt;</t>
        </is>
      </c>
      <c r="L151" t="inlineStr">
        <is>
          <t>shampoo</t>
        </is>
      </c>
      <c r="M151" t="inlineStr">
        <is>
          <t>estandar</t>
        </is>
      </c>
      <c r="N151" t="inlineStr">
        <is>
          <t>anticaspa</t>
        </is>
      </c>
      <c r="O151" t="inlineStr">
        <is>
          <t>https://www.disco.com.ar/shampoo-crece-fuerte-desde-la-raiz-375-ml-head-shoulders/p</t>
        </is>
      </c>
      <c r="P151">
        <f>TRIM(CLEAN(PROPER(D151)))</f>
        <v/>
      </c>
      <c r="Q151">
        <f>PROPER(TRIM(SUBSTITUTE(SUBSTITUTE(SUBSTITUTE(SUBSTITUTE(E151,"TRESEMME","Tresemme"),"HEAD &amp; SHOULDERS","Head &amp; Shoulders"),"ELVIVE","Elvive"),"FRUCTIS","Fructis")))</f>
        <v/>
      </c>
      <c r="R151">
        <f>COUNTIF($D$2:$D$10000,D151)&gt;1</f>
        <v/>
      </c>
      <c r="S151">
        <f>IF(H151=TRUE,"Disponible","No disponible")</f>
        <v/>
      </c>
      <c r="T151">
        <f>IF(AND(ISNUMBER(I151),I151&gt;0),ROUND(F151/I151,2),"Sin volumen")</f>
        <v/>
      </c>
      <c r="U151">
        <f>IF(F151&lt;5000,"Bajo",IF(F151&lt;15000,"Medio","Alto"))</f>
        <v/>
      </c>
    </row>
    <row r="152">
      <c r="A152" s="10" t="inlineStr">
        <is>
          <t>Disco</t>
        </is>
      </c>
      <c r="B152" s="10" t="n">
        <v>310203</v>
      </c>
      <c r="C152" s="10" t="n">
        <v>309441</v>
      </c>
      <c r="D152" s="10" t="inlineStr">
        <is>
          <t>Shampoo Anti-Caspa Hidratación Aceite de Coco 375 Ml Head y Shoulders</t>
        </is>
      </c>
      <c r="E152" s="10" t="inlineStr">
        <is>
          <t>HEAD &amp; SHOULDERS</t>
        </is>
      </c>
      <c r="F152" s="10" t="n">
        <v>13100</v>
      </c>
      <c r="G152" s="10" t="n">
        <v>1082645</v>
      </c>
      <c r="H152" s="10" t="b">
        <v>1</v>
      </c>
      <c r="I152" s="10" t="n">
        <v>375</v>
      </c>
      <c r="J152" s="10" t="n">
        <v>34.9333</v>
      </c>
      <c r="K152" s="10" t="inlineStr">
        <is>
          <t>&gt; Perfumería &gt; Cuidado Capilar &gt; Shampoo &gt;</t>
        </is>
      </c>
      <c r="L152" s="10" t="inlineStr">
        <is>
          <t>shampoo</t>
        </is>
      </c>
      <c r="M152" s="10" t="inlineStr">
        <is>
          <t>estandar</t>
        </is>
      </c>
      <c r="N152" s="10" t="inlineStr">
        <is>
          <t>anticaspa</t>
        </is>
      </c>
      <c r="O152" s="10" t="inlineStr">
        <is>
          <t>https://www.disco.com.ar/shampoo-coconut-375-ml-head-shoulders-2/p</t>
        </is>
      </c>
      <c r="P152" s="12">
        <f>TRIM(CLEAN(PROPER(D152)))</f>
        <v/>
      </c>
      <c r="Q152" s="12">
        <f>PROPER(TRIM(SUBSTITUTE(SUBSTITUTE(SUBSTITUTE(SUBSTITUTE(E152,"TRESEMME","Tresemme"),"HEAD &amp; SHOULDERS","Head &amp; Shoulders"),"ELVIVE","Elvive"),"FRUCTIS","Fructis")))</f>
        <v/>
      </c>
      <c r="R152" s="12">
        <f>COUNTIF($D$2:$D$10000,D152)&gt;1</f>
        <v/>
      </c>
      <c r="S152" s="12">
        <f>IF(H152=TRUE,"Disponible","No disponible")</f>
        <v/>
      </c>
      <c r="T152" s="12">
        <f>IF(AND(ISNUMBER(I152),I152&gt;0),ROUND(F152/I152,2),"Sin volumen")</f>
        <v/>
      </c>
      <c r="U152" s="12">
        <f>IF(F152&lt;5000,"Bajo",IF(F152&lt;15000,"Medio","Alto"))</f>
        <v/>
      </c>
    </row>
    <row r="153">
      <c r="A153" t="inlineStr">
        <is>
          <t>Disco</t>
        </is>
      </c>
      <c r="B153" t="n">
        <v>407561</v>
      </c>
      <c r="C153" t="n">
        <v>403750</v>
      </c>
      <c r="D153" t="inlineStr">
        <is>
          <t>Shampoo Elvive 2 En 1 Reparación Total 5 Keratin 400 Ml</t>
        </is>
      </c>
      <c r="E153" t="inlineStr">
        <is>
          <t>ELVIVE</t>
        </is>
      </c>
      <c r="F153" t="n">
        <v>11199</v>
      </c>
      <c r="G153" t="n">
        <v>925537</v>
      </c>
      <c r="H153" t="b">
        <v>1</v>
      </c>
      <c r="I153" t="n">
        <v>400</v>
      </c>
      <c r="J153" t="n">
        <v>27.9975</v>
      </c>
      <c r="K153" t="inlineStr">
        <is>
          <t>&gt; Perfumería &gt; Cuidado Capilar &gt; Shampoo &gt;</t>
        </is>
      </c>
      <c r="L153" t="inlineStr">
        <is>
          <t>shampoo</t>
        </is>
      </c>
      <c r="M153" t="inlineStr">
        <is>
          <t>profesional</t>
        </is>
      </c>
      <c r="N153" t="inlineStr">
        <is>
          <t>general</t>
        </is>
      </c>
      <c r="O153" t="inlineStr">
        <is>
          <t>https://www.disco.com.ar/shampoo-elvive-2-en-1-reparacion-total-5-keratin-400-ml/p</t>
        </is>
      </c>
      <c r="P153">
        <f>TRIM(CLEAN(PROPER(D153)))</f>
        <v/>
      </c>
      <c r="Q153">
        <f>PROPER(TRIM(SUBSTITUTE(SUBSTITUTE(SUBSTITUTE(SUBSTITUTE(E153,"TRESEMME","Tresemme"),"HEAD &amp; SHOULDERS","Head &amp; Shoulders"),"ELVIVE","Elvive"),"FRUCTIS","Fructis")))</f>
        <v/>
      </c>
      <c r="R153">
        <f>COUNTIF($D$2:$D$10000,D153)&gt;1</f>
        <v/>
      </c>
      <c r="S153">
        <f>IF(H153=TRUE,"Disponible","No disponible")</f>
        <v/>
      </c>
      <c r="T153">
        <f>IF(AND(ISNUMBER(I153),I153&gt;0),ROUND(F153/I153,2),"Sin volumen")</f>
        <v/>
      </c>
      <c r="U153">
        <f>IF(F153&lt;5000,"Bajo",IF(F153&lt;15000,"Medio","Alto"))</f>
        <v/>
      </c>
    </row>
    <row r="154">
      <c r="A154" s="10" t="inlineStr">
        <is>
          <t>Disco</t>
        </is>
      </c>
      <c r="B154" s="10" t="n">
        <v>401196</v>
      </c>
      <c r="C154" s="10" t="n">
        <v>398534</v>
      </c>
      <c r="D154" s="10" t="inlineStr">
        <is>
          <t>Shampoo Pro-v Miracles Detox Equilibrio 200 Ml Pantene</t>
        </is>
      </c>
      <c r="E154" s="10" t="inlineStr">
        <is>
          <t>PANTENE</t>
        </is>
      </c>
      <c r="F154" s="10" t="n">
        <v>6650</v>
      </c>
      <c r="G154" s="10" t="n">
        <v>549587</v>
      </c>
      <c r="H154" s="10" t="b">
        <v>1</v>
      </c>
      <c r="I154" s="10" t="n">
        <v>200</v>
      </c>
      <c r="J154" s="10" t="n">
        <v>33.25</v>
      </c>
      <c r="K154" s="10" t="inlineStr">
        <is>
          <t>&gt; Perfumería &gt; Cuidado Capilar &gt; Shampoo &gt;</t>
        </is>
      </c>
      <c r="L154" s="10" t="inlineStr">
        <is>
          <t>shampoo</t>
        </is>
      </c>
      <c r="M154" s="10" t="inlineStr">
        <is>
          <t>profesional</t>
        </is>
      </c>
      <c r="N154" s="10" t="inlineStr">
        <is>
          <t>general</t>
        </is>
      </c>
      <c r="O154" s="10" t="inlineStr">
        <is>
          <t>https://www.disco.com.ar/shampoo-pro-v-miracles-detox-equilibrio-200-ml-pantene-2/p</t>
        </is>
      </c>
      <c r="P154" s="12">
        <f>TRIM(CLEAN(PROPER(D154)))</f>
        <v/>
      </c>
      <c r="Q154" s="12">
        <f>PROPER(TRIM(SUBSTITUTE(SUBSTITUTE(SUBSTITUTE(SUBSTITUTE(E154,"TRESEMME","Tresemme"),"HEAD &amp; SHOULDERS","Head &amp; Shoulders"),"ELVIVE","Elvive"),"FRUCTIS","Fructis")))</f>
        <v/>
      </c>
      <c r="R154" s="12">
        <f>COUNTIF($D$2:$D$10000,D154)&gt;1</f>
        <v/>
      </c>
      <c r="S154" s="12">
        <f>IF(H154=TRUE,"Disponible","No disponible")</f>
        <v/>
      </c>
      <c r="T154" s="12">
        <f>IF(AND(ISNUMBER(I154),I154&gt;0),ROUND(F154/I154,2),"Sin volumen")</f>
        <v/>
      </c>
      <c r="U154" s="12">
        <f>IF(F154&lt;5000,"Bajo",IF(F154&lt;15000,"Medio","Alto"))</f>
        <v/>
      </c>
    </row>
    <row r="155">
      <c r="A155" t="inlineStr">
        <is>
          <t>Disco</t>
        </is>
      </c>
      <c r="B155" t="n">
        <v>401195</v>
      </c>
      <c r="C155" t="n">
        <v>398533</v>
      </c>
      <c r="D155" t="inlineStr">
        <is>
          <t>Shampoo Pro-v Miracles Detox Limpia-purifica 400 Ml Pantene</t>
        </is>
      </c>
      <c r="E155" t="inlineStr">
        <is>
          <t>PANTENE</t>
        </is>
      </c>
      <c r="F155" t="n">
        <v>11000</v>
      </c>
      <c r="G155" t="n">
        <v>909091</v>
      </c>
      <c r="H155" t="b">
        <v>1</v>
      </c>
      <c r="I155" t="n">
        <v>400</v>
      </c>
      <c r="J155" t="n">
        <v>27.5</v>
      </c>
      <c r="K155" t="inlineStr">
        <is>
          <t>&gt; Perfumería &gt; Cuidado Capilar &gt; Shampoo &gt;</t>
        </is>
      </c>
      <c r="L155" t="inlineStr">
        <is>
          <t>shampoo</t>
        </is>
      </c>
      <c r="M155" t="inlineStr">
        <is>
          <t>profesional</t>
        </is>
      </c>
      <c r="N155" t="inlineStr">
        <is>
          <t>general</t>
        </is>
      </c>
      <c r="O155" t="inlineStr">
        <is>
          <t>https://www.disco.com.ar/shampoo-pro-v-miracles-detox-limpia-purifica-400-ml-pantene/p</t>
        </is>
      </c>
      <c r="P155">
        <f>TRIM(CLEAN(PROPER(D155)))</f>
        <v/>
      </c>
      <c r="Q155">
        <f>PROPER(TRIM(SUBSTITUTE(SUBSTITUTE(SUBSTITUTE(SUBSTITUTE(E155,"TRESEMME","Tresemme"),"HEAD &amp; SHOULDERS","Head &amp; Shoulders"),"ELVIVE","Elvive"),"FRUCTIS","Fructis")))</f>
        <v/>
      </c>
      <c r="R155">
        <f>COUNTIF($D$2:$D$10000,D155)&gt;1</f>
        <v/>
      </c>
      <c r="S155">
        <f>IF(H155=TRUE,"Disponible","No disponible")</f>
        <v/>
      </c>
      <c r="T155">
        <f>IF(AND(ISNUMBER(I155),I155&gt;0),ROUND(F155/I155,2),"Sin volumen")</f>
        <v/>
      </c>
      <c r="U155">
        <f>IF(F155&lt;5000,"Bajo",IF(F155&lt;15000,"Medio","Alto"))</f>
        <v/>
      </c>
    </row>
    <row r="156">
      <c r="A156" s="10" t="inlineStr">
        <is>
          <t>Disco</t>
        </is>
      </c>
      <c r="B156" s="10" t="n">
        <v>394821</v>
      </c>
      <c r="C156" s="10" t="n">
        <v>392820</v>
      </c>
      <c r="D156" s="10" t="inlineStr">
        <is>
          <t>Shampoo Pantene Pro-v Miracles Hidrata Y Fortalece 400 Ml</t>
        </is>
      </c>
      <c r="E156" s="10" t="inlineStr">
        <is>
          <t>PANTENE</t>
        </is>
      </c>
      <c r="F156" s="10" t="n">
        <v>11000</v>
      </c>
      <c r="G156" s="10" t="n">
        <v>909091</v>
      </c>
      <c r="H156" s="10" t="b">
        <v>1</v>
      </c>
      <c r="I156" s="10" t="n">
        <v>400</v>
      </c>
      <c r="J156" s="10" t="n">
        <v>27.5</v>
      </c>
      <c r="K156" s="10" t="inlineStr">
        <is>
          <t>&gt; Perfumería &gt; Cuidado Capilar &gt; Shampoo &gt;</t>
        </is>
      </c>
      <c r="L156" s="10" t="inlineStr">
        <is>
          <t>shampoo</t>
        </is>
      </c>
      <c r="M156" s="10" t="inlineStr">
        <is>
          <t>profesional</t>
        </is>
      </c>
      <c r="N156" s="10" t="inlineStr">
        <is>
          <t>seco_danado</t>
        </is>
      </c>
      <c r="O156" s="10" t="inlineStr">
        <is>
          <t>https://www.disco.com.ar/shampoo-pantene-pro-v-miracles-hidrata-y-fortalece-400-ml/p</t>
        </is>
      </c>
      <c r="P156" s="12">
        <f>TRIM(CLEAN(PROPER(D156)))</f>
        <v/>
      </c>
      <c r="Q156" s="12">
        <f>PROPER(TRIM(SUBSTITUTE(SUBSTITUTE(SUBSTITUTE(SUBSTITUTE(E156,"TRESEMME","Tresemme"),"HEAD &amp; SHOULDERS","Head &amp; Shoulders"),"ELVIVE","Elvive"),"FRUCTIS","Fructis")))</f>
        <v/>
      </c>
      <c r="R156" s="12">
        <f>COUNTIF($D$2:$D$10000,D156)&gt;1</f>
        <v/>
      </c>
      <c r="S156" s="12">
        <f>IF(H156=TRUE,"Disponible","No disponible")</f>
        <v/>
      </c>
      <c r="T156" s="12">
        <f>IF(AND(ISNUMBER(I156),I156&gt;0),ROUND(F156/I156,2),"Sin volumen")</f>
        <v/>
      </c>
      <c r="U156" s="12">
        <f>IF(F156&lt;5000,"Bajo",IF(F156&lt;15000,"Medio","Alto"))</f>
        <v/>
      </c>
    </row>
    <row r="157">
      <c r="A157" t="inlineStr">
        <is>
          <t>Disco</t>
        </is>
      </c>
      <c r="B157" t="n">
        <v>341816</v>
      </c>
      <c r="C157" t="n">
        <v>340503</v>
      </c>
      <c r="D157" t="inlineStr">
        <is>
          <t>Shampoo Anti Caspa Dermo Sensitive 375 Ml Head y Shoulders</t>
        </is>
      </c>
      <c r="E157" t="inlineStr">
        <is>
          <t>HEAD &amp; SHOULDERS</t>
        </is>
      </c>
      <c r="F157" t="n">
        <v>13100</v>
      </c>
      <c r="G157" t="n">
        <v>1082645</v>
      </c>
      <c r="H157" t="b">
        <v>1</v>
      </c>
      <c r="I157" t="n">
        <v>375</v>
      </c>
      <c r="J157" t="n">
        <v>34.9333</v>
      </c>
      <c r="K157" t="inlineStr">
        <is>
          <t>&gt; Perfumería &gt; Cuidado Capilar &gt; Shampoo &gt;</t>
        </is>
      </c>
      <c r="L157" t="inlineStr">
        <is>
          <t>shampoo</t>
        </is>
      </c>
      <c r="M157" t="inlineStr">
        <is>
          <t>estandar</t>
        </is>
      </c>
      <c r="N157" t="inlineStr">
        <is>
          <t>anticaspa</t>
        </is>
      </c>
      <c r="O157" t="inlineStr">
        <is>
          <t>https://www.disco.com.ar/shampoo-sensitive-375-ml-head-shoulders/p</t>
        </is>
      </c>
      <c r="P157">
        <f>TRIM(CLEAN(PROPER(D157)))</f>
        <v/>
      </c>
      <c r="Q157">
        <f>PROPER(TRIM(SUBSTITUTE(SUBSTITUTE(SUBSTITUTE(SUBSTITUTE(E157,"TRESEMME","Tresemme"),"HEAD &amp; SHOULDERS","Head &amp; Shoulders"),"ELVIVE","Elvive"),"FRUCTIS","Fructis")))</f>
        <v/>
      </c>
      <c r="R157">
        <f>COUNTIF($D$2:$D$10000,D157)&gt;1</f>
        <v/>
      </c>
      <c r="S157">
        <f>IF(H157=TRUE,"Disponible","No disponible")</f>
        <v/>
      </c>
      <c r="T157">
        <f>IF(AND(ISNUMBER(I157),I157&gt;0),ROUND(F157/I157,2),"Sin volumen")</f>
        <v/>
      </c>
      <c r="U157">
        <f>IF(F157&lt;5000,"Bajo",IF(F157&lt;15000,"Medio","Alto"))</f>
        <v/>
      </c>
    </row>
    <row r="158">
      <c r="A158" s="10" t="inlineStr">
        <is>
          <t>Disco</t>
        </is>
      </c>
      <c r="B158" s="10" t="n">
        <v>275420</v>
      </c>
      <c r="C158" s="10" t="n">
        <v>274716</v>
      </c>
      <c r="D158" s="10" t="inlineStr">
        <is>
          <t>Shampoo Anti-Caspa Old Spice 180 Ml Head y Shoulders</t>
        </is>
      </c>
      <c r="E158" s="10" t="inlineStr">
        <is>
          <t>HEAD &amp; SHOULDERS</t>
        </is>
      </c>
      <c r="F158" s="10" t="n">
        <v>8000</v>
      </c>
      <c r="G158" s="10" t="n">
        <v>661157</v>
      </c>
      <c r="H158" s="10" t="b">
        <v>1</v>
      </c>
      <c r="I158" s="10" t="n">
        <v>180</v>
      </c>
      <c r="J158" s="10" t="n">
        <v>44.4444</v>
      </c>
      <c r="K158" s="10" t="inlineStr">
        <is>
          <t>&gt; Perfumería &gt; Cuidado Capilar &gt; Shampoo &gt;</t>
        </is>
      </c>
      <c r="L158" s="10" t="inlineStr">
        <is>
          <t>shampoo</t>
        </is>
      </c>
      <c r="M158" s="10" t="inlineStr">
        <is>
          <t>estandar</t>
        </is>
      </c>
      <c r="N158" s="10" t="inlineStr">
        <is>
          <t>anticaspa</t>
        </is>
      </c>
      <c r="O158" s="10" t="inlineStr">
        <is>
          <t>https://www.disco.com.ar/shampoo-old-spice-180-ml-head-shoulders-2/p</t>
        </is>
      </c>
      <c r="P158" s="12">
        <f>TRIM(CLEAN(PROPER(D158)))</f>
        <v/>
      </c>
      <c r="Q158" s="12">
        <f>PROPER(TRIM(SUBSTITUTE(SUBSTITUTE(SUBSTITUTE(SUBSTITUTE(E158,"TRESEMME","Tresemme"),"HEAD &amp; SHOULDERS","Head &amp; Shoulders"),"ELVIVE","Elvive"),"FRUCTIS","Fructis")))</f>
        <v/>
      </c>
      <c r="R158" s="12">
        <f>COUNTIF($D$2:$D$10000,D158)&gt;1</f>
        <v/>
      </c>
      <c r="S158" s="12">
        <f>IF(H158=TRUE,"Disponible","No disponible")</f>
        <v/>
      </c>
      <c r="T158" s="12">
        <f>IF(AND(ISNUMBER(I158),I158&gt;0),ROUND(F158/I158,2),"Sin volumen")</f>
        <v/>
      </c>
      <c r="U158" s="12">
        <f>IF(F158&lt;5000,"Bajo",IF(F158&lt;15000,"Medio","Alto"))</f>
        <v/>
      </c>
    </row>
    <row r="159">
      <c r="A159" t="inlineStr">
        <is>
          <t>Disco</t>
        </is>
      </c>
      <c r="B159" t="n">
        <v>414731</v>
      </c>
      <c r="C159" t="n">
        <v>410432</v>
      </c>
      <c r="D159" t="inlineStr">
        <is>
          <t>Shampoo Para Bebé Cabello Claro 750 Ml Johnson Baby</t>
        </is>
      </c>
      <c r="E159" t="inlineStr">
        <is>
          <t>JOHNSON BABY</t>
        </is>
      </c>
      <c r="F159" t="n">
        <v>21250</v>
      </c>
      <c r="G159" t="n">
        <v>1756198</v>
      </c>
      <c r="H159" t="b">
        <v>1</v>
      </c>
      <c r="I159" t="n">
        <v>750</v>
      </c>
      <c r="J159" t="n">
        <v>28.3333</v>
      </c>
      <c r="K159" t="inlineStr">
        <is>
          <t>&gt; Mundo Bebe &gt; Higiene para el Bebe &gt; Higiene del Bebé &gt;</t>
        </is>
      </c>
      <c r="L159" t="inlineStr">
        <is>
          <t>shampoo</t>
        </is>
      </c>
      <c r="M159" t="inlineStr">
        <is>
          <t>estandar</t>
        </is>
      </c>
      <c r="N159" t="inlineStr">
        <is>
          <t>bebe</t>
        </is>
      </c>
      <c r="O159" t="inlineStr">
        <is>
          <t>https://www.disco.com.ar/shampoo-para-bebe-cabello-claro-750-ml-johnson-baby/p</t>
        </is>
      </c>
      <c r="P159">
        <f>TRIM(CLEAN(PROPER(D159)))</f>
        <v/>
      </c>
      <c r="Q159">
        <f>PROPER(TRIM(SUBSTITUTE(SUBSTITUTE(SUBSTITUTE(SUBSTITUTE(E159,"TRESEMME","Tresemme"),"HEAD &amp; SHOULDERS","Head &amp; Shoulders"),"ELVIVE","Elvive"),"FRUCTIS","Fructis")))</f>
        <v/>
      </c>
      <c r="R159">
        <f>COUNTIF($D$2:$D$10000,D159)&gt;1</f>
        <v/>
      </c>
      <c r="S159">
        <f>IF(H159=TRUE,"Disponible","No disponible")</f>
        <v/>
      </c>
      <c r="T159">
        <f>IF(AND(ISNUMBER(I159),I159&gt;0),ROUND(F159/I159,2),"Sin volumen")</f>
        <v/>
      </c>
      <c r="U159">
        <f>IF(F159&lt;5000,"Bajo",IF(F159&lt;15000,"Medio","Alto"))</f>
        <v/>
      </c>
    </row>
    <row r="160">
      <c r="A160" s="10" t="inlineStr">
        <is>
          <t>Disco</t>
        </is>
      </c>
      <c r="B160" s="10" t="n">
        <v>346825</v>
      </c>
      <c r="C160" s="10" t="n">
        <v>345500</v>
      </c>
      <c r="D160" s="10" t="inlineStr">
        <is>
          <t>Shampoo Nutrición Intensa Oleo Extraordinario Coco 750 Ml Elvive</t>
        </is>
      </c>
      <c r="E160" s="10" t="inlineStr">
        <is>
          <t>ELVIVE</t>
        </is>
      </c>
      <c r="F160" s="10" t="n">
        <v>19700</v>
      </c>
      <c r="G160" s="10" t="n">
        <v>1628099</v>
      </c>
      <c r="H160" s="10" t="b">
        <v>1</v>
      </c>
      <c r="I160" s="10" t="n">
        <v>750</v>
      </c>
      <c r="J160" s="10" t="n">
        <v>26.2667</v>
      </c>
      <c r="K160" s="10" t="inlineStr">
        <is>
          <t>&gt; Perfumería &gt; Cuidado Capilar &gt; Shampoo &gt;</t>
        </is>
      </c>
      <c r="L160" s="10" t="inlineStr">
        <is>
          <t>shampoo</t>
        </is>
      </c>
      <c r="M160" s="10" t="inlineStr">
        <is>
          <t>profesional</t>
        </is>
      </c>
      <c r="N160" s="10" t="inlineStr">
        <is>
          <t>general</t>
        </is>
      </c>
      <c r="O160" s="10" t="inlineStr">
        <is>
          <t>https://www.disco.com.ar/shampoo-elvive-oleo-extraordinario-coco-750-ml/p</t>
        </is>
      </c>
      <c r="P160" s="12">
        <f>TRIM(CLEAN(PROPER(D160)))</f>
        <v/>
      </c>
      <c r="Q160" s="12">
        <f>PROPER(TRIM(SUBSTITUTE(SUBSTITUTE(SUBSTITUTE(SUBSTITUTE(E160,"TRESEMME","Tresemme"),"HEAD &amp; SHOULDERS","Head &amp; Shoulders"),"ELVIVE","Elvive"),"FRUCTIS","Fructis")))</f>
        <v/>
      </c>
      <c r="R160" s="12">
        <f>COUNTIF($D$2:$D$10000,D160)&gt;1</f>
        <v/>
      </c>
      <c r="S160" s="12">
        <f>IF(H160=TRUE,"Disponible","No disponible")</f>
        <v/>
      </c>
      <c r="T160" s="12">
        <f>IF(AND(ISNUMBER(I160),I160&gt;0),ROUND(F160/I160,2),"Sin volumen")</f>
        <v/>
      </c>
      <c r="U160" s="12">
        <f>IF(F160&lt;5000,"Bajo",IF(F160&lt;15000,"Medio","Alto"))</f>
        <v/>
      </c>
    </row>
    <row r="161">
      <c r="A161" t="inlineStr">
        <is>
          <t>Disco</t>
        </is>
      </c>
      <c r="B161" t="n">
        <v>414725</v>
      </c>
      <c r="C161" t="n">
        <v>410426</v>
      </c>
      <c r="D161" t="inlineStr">
        <is>
          <t>Acondicionador Baby Hidratacion Intensa 200 Ml Johnson's</t>
        </is>
      </c>
      <c r="E161" t="inlineStr">
        <is>
          <t>JOHNSON´S</t>
        </is>
      </c>
      <c r="F161" t="n">
        <v>6750</v>
      </c>
      <c r="G161" t="n">
        <v>557851</v>
      </c>
      <c r="H161" t="b">
        <v>1</v>
      </c>
      <c r="I161" t="n">
        <v>200</v>
      </c>
      <c r="J161" t="n">
        <v>33.75</v>
      </c>
      <c r="K161" t="inlineStr">
        <is>
          <t>&gt; Mundo Bebe &gt; Higiene para el Bebe &gt; Higiene del Bebé &gt;</t>
        </is>
      </c>
      <c r="L161" t="inlineStr">
        <is>
          <t>acondicionador</t>
        </is>
      </c>
      <c r="M161" t="inlineStr">
        <is>
          <t>estandar</t>
        </is>
      </c>
      <c r="N161" t="inlineStr">
        <is>
          <t>seco_danado</t>
        </is>
      </c>
      <c r="O161" t="inlineStr">
        <is>
          <t>https://www.disco.com.ar/acondicionador-baby-hidratacion-intensa-200-ml-johnson-s/p</t>
        </is>
      </c>
      <c r="P161">
        <f>TRIM(CLEAN(PROPER(D161)))</f>
        <v/>
      </c>
      <c r="Q161">
        <f>PROPER(TRIM(SUBSTITUTE(SUBSTITUTE(SUBSTITUTE(SUBSTITUTE(E161,"TRESEMME","Tresemme"),"HEAD &amp; SHOULDERS","Head &amp; Shoulders"),"ELVIVE","Elvive"),"FRUCTIS","Fructis")))</f>
        <v/>
      </c>
      <c r="R161">
        <f>COUNTIF($D$2:$D$10000,D161)&gt;1</f>
        <v/>
      </c>
      <c r="S161">
        <f>IF(H161=TRUE,"Disponible","No disponible")</f>
        <v/>
      </c>
      <c r="T161">
        <f>IF(AND(ISNUMBER(I161),I161&gt;0),ROUND(F161/I161,2),"Sin volumen")</f>
        <v/>
      </c>
      <c r="U161">
        <f>IF(F161&lt;5000,"Bajo",IF(F161&lt;15000,"Medio","Alto"))</f>
        <v/>
      </c>
    </row>
    <row r="162">
      <c r="A162" s="10" t="inlineStr">
        <is>
          <t>Disco</t>
        </is>
      </c>
      <c r="B162" s="10" t="n">
        <v>414728</v>
      </c>
      <c r="C162" s="10" t="n">
        <v>410429</v>
      </c>
      <c r="D162" s="10" t="inlineStr">
        <is>
          <t>Acondicionador Para Bebé Original 400 Ml Johnson´s</t>
        </is>
      </c>
      <c r="E162" s="10" t="inlineStr">
        <is>
          <t>JOHNSON´S</t>
        </is>
      </c>
      <c r="F162" s="10" t="n">
        <v>12550</v>
      </c>
      <c r="G162" s="10" t="n">
        <v>1037190</v>
      </c>
      <c r="H162" s="10" t="b">
        <v>1</v>
      </c>
      <c r="I162" s="10" t="n">
        <v>400</v>
      </c>
      <c r="J162" s="10" t="n">
        <v>31.375</v>
      </c>
      <c r="K162" s="10" t="inlineStr">
        <is>
          <t>&gt; Mundo Bebe &gt; Higiene para el Bebe &gt; Higiene del Bebé &gt;</t>
        </is>
      </c>
      <c r="L162" s="10" t="inlineStr">
        <is>
          <t>acondicionador</t>
        </is>
      </c>
      <c r="M162" s="10" t="inlineStr">
        <is>
          <t>estandar</t>
        </is>
      </c>
      <c r="N162" s="10" t="inlineStr">
        <is>
          <t>bebe</t>
        </is>
      </c>
      <c r="O162" s="10" t="inlineStr">
        <is>
          <t>https://www.disco.com.ar/acondicionador-para-bebe-original-400-ml-johnson-s/p</t>
        </is>
      </c>
      <c r="P162" s="12">
        <f>TRIM(CLEAN(PROPER(D162)))</f>
        <v/>
      </c>
      <c r="Q162" s="12">
        <f>PROPER(TRIM(SUBSTITUTE(SUBSTITUTE(SUBSTITUTE(SUBSTITUTE(E162,"TRESEMME","Tresemme"),"HEAD &amp; SHOULDERS","Head &amp; Shoulders"),"ELVIVE","Elvive"),"FRUCTIS","Fructis")))</f>
        <v/>
      </c>
      <c r="R162" s="12">
        <f>COUNTIF($D$2:$D$10000,D162)&gt;1</f>
        <v/>
      </c>
      <c r="S162" s="12">
        <f>IF(H162=TRUE,"Disponible","No disponible")</f>
        <v/>
      </c>
      <c r="T162" s="12">
        <f>IF(AND(ISNUMBER(I162),I162&gt;0),ROUND(F162/I162,2),"Sin volumen")</f>
        <v/>
      </c>
      <c r="U162" s="12">
        <f>IF(F162&lt;5000,"Bajo",IF(F162&lt;15000,"Medio","Alto"))</f>
        <v/>
      </c>
    </row>
    <row r="163">
      <c r="A163" t="inlineStr">
        <is>
          <t>Disco</t>
        </is>
      </c>
      <c r="B163" t="n">
        <v>415583</v>
      </c>
      <c r="C163" t="n">
        <v>411167</v>
      </c>
      <c r="D163" t="inlineStr">
        <is>
          <t>Sahmpoo Pro-v Miracles Volumen 400 Ml Pantene</t>
        </is>
      </c>
      <c r="E163" t="inlineStr">
        <is>
          <t>PANTENE</t>
        </is>
      </c>
      <c r="F163" t="n">
        <v>11000</v>
      </c>
      <c r="G163" t="n">
        <v>909091</v>
      </c>
      <c r="H163" t="b">
        <v>1</v>
      </c>
      <c r="I163" t="n">
        <v>400</v>
      </c>
      <c r="J163" t="n">
        <v>27.5</v>
      </c>
      <c r="K163" t="inlineStr">
        <is>
          <t>&gt; Perfumería &gt; Cuidado Capilar &gt; Shampoo &gt;</t>
        </is>
      </c>
      <c r="L163" t="inlineStr">
        <is>
          <t>shampoo</t>
        </is>
      </c>
      <c r="M163" t="inlineStr">
        <is>
          <t>profesional</t>
        </is>
      </c>
      <c r="N163" t="inlineStr">
        <is>
          <t>general</t>
        </is>
      </c>
      <c r="O163" t="inlineStr">
        <is>
          <t>https://www.disco.com.ar/sahmpoo-pro-v-miracles-volumen-400-ml-pantene-2/p</t>
        </is>
      </c>
      <c r="P163">
        <f>TRIM(CLEAN(PROPER(D163)))</f>
        <v/>
      </c>
      <c r="Q163">
        <f>PROPER(TRIM(SUBSTITUTE(SUBSTITUTE(SUBSTITUTE(SUBSTITUTE(E163,"TRESEMME","Tresemme"),"HEAD &amp; SHOULDERS","Head &amp; Shoulders"),"ELVIVE","Elvive"),"FRUCTIS","Fructis")))</f>
        <v/>
      </c>
      <c r="R163">
        <f>COUNTIF($D$2:$D$10000,D163)&gt;1</f>
        <v/>
      </c>
      <c r="S163">
        <f>IF(H163=TRUE,"Disponible","No disponible")</f>
        <v/>
      </c>
      <c r="T163">
        <f>IF(AND(ISNUMBER(I163),I163&gt;0),ROUND(F163/I163,2),"Sin volumen")</f>
        <v/>
      </c>
      <c r="U163">
        <f>IF(F163&lt;5000,"Bajo",IF(F163&lt;15000,"Medio","Alto"))</f>
        <v/>
      </c>
    </row>
    <row r="164">
      <c r="A164" s="10" t="inlineStr">
        <is>
          <t>Disco</t>
        </is>
      </c>
      <c r="B164" s="10" t="n">
        <v>392748</v>
      </c>
      <c r="C164" s="10" t="n">
        <v>390800</v>
      </c>
      <c r="D164" s="10" t="inlineStr">
        <is>
          <t>Set Juguete Perro Hueso Colores Pets Fun Hueso De Juguete Pets Para Perro Rosa 1 U</t>
        </is>
      </c>
      <c r="E164" s="10" t="inlineStr">
        <is>
          <t>PET'S FUN</t>
        </is>
      </c>
      <c r="F164" s="10" t="n">
        <v>6100</v>
      </c>
      <c r="G164" s="10" t="n">
        <v>504132</v>
      </c>
      <c r="H164" s="10" t="b">
        <v>1</v>
      </c>
      <c r="I164" s="10" t="inlineStr"/>
      <c r="J164" s="10" t="inlineStr"/>
      <c r="K164" s="10" t="inlineStr">
        <is>
          <t>&gt; Mascotas &gt; Accesorios para Mascotas &gt;</t>
        </is>
      </c>
      <c r="L164" s="10" t="inlineStr">
        <is>
          <t>shampoo</t>
        </is>
      </c>
      <c r="M164" s="10" t="inlineStr">
        <is>
          <t>estandar</t>
        </is>
      </c>
      <c r="N164" s="10" t="inlineStr">
        <is>
          <t>tratado</t>
        </is>
      </c>
      <c r="O164" s="10" t="inlineStr">
        <is>
          <t>https://www.disco.com.ar/set-juguete-perro-hueso-colores-pets-fun/p</t>
        </is>
      </c>
      <c r="P164" s="12">
        <f>TRIM(CLEAN(PROPER(D164)))</f>
        <v/>
      </c>
      <c r="Q164" s="12">
        <f>PROPER(TRIM(SUBSTITUTE(SUBSTITUTE(SUBSTITUTE(SUBSTITUTE(E164,"TRESEMME","Tresemme"),"HEAD &amp; SHOULDERS","Head &amp; Shoulders"),"ELVIVE","Elvive"),"FRUCTIS","Fructis")))</f>
        <v/>
      </c>
      <c r="R164" s="12">
        <f>COUNTIF($D$2:$D$10000,D164)&gt;1</f>
        <v/>
      </c>
      <c r="S164" s="12">
        <f>IF(H164=TRUE,"Disponible","No disponible")</f>
        <v/>
      </c>
      <c r="T164" s="12">
        <f>IF(AND(ISNUMBER(I164),I164&gt;0),ROUND(F164/I164,2),"Sin volumen")</f>
        <v/>
      </c>
      <c r="U164" s="12">
        <f>IF(F164&lt;5000,"Bajo",IF(F164&lt;15000,"Medio","Alto"))</f>
        <v/>
      </c>
    </row>
    <row r="165">
      <c r="A165" t="inlineStr">
        <is>
          <t>Disco</t>
        </is>
      </c>
      <c r="B165" t="n">
        <v>392748</v>
      </c>
      <c r="C165" t="n">
        <v>390821</v>
      </c>
      <c r="D165" t="inlineStr">
        <is>
          <t>Set Juguete Perro Hueso Colores Pets Fun Hueso De Juguete Pets Para Perro Amarillo 1 U</t>
        </is>
      </c>
      <c r="E165" t="inlineStr">
        <is>
          <t>PET'S FUN</t>
        </is>
      </c>
      <c r="F165" t="n">
        <v>6730</v>
      </c>
      <c r="G165" t="n">
        <v>556198</v>
      </c>
      <c r="H165" t="b">
        <v>1</v>
      </c>
      <c r="I165" t="inlineStr"/>
      <c r="J165" t="inlineStr"/>
      <c r="K165" t="inlineStr">
        <is>
          <t>&gt; Mascotas &gt; Accesorios para Mascotas &gt;</t>
        </is>
      </c>
      <c r="L165" t="inlineStr">
        <is>
          <t>shampoo</t>
        </is>
      </c>
      <c r="M165" t="inlineStr">
        <is>
          <t>estandar</t>
        </is>
      </c>
      <c r="N165" t="inlineStr">
        <is>
          <t>tratado</t>
        </is>
      </c>
      <c r="O165" t="inlineStr">
        <is>
          <t>https://www.disco.com.ar/set-juguete-perro-hueso-colores-pets-fun/p</t>
        </is>
      </c>
      <c r="P165">
        <f>TRIM(CLEAN(PROPER(D165)))</f>
        <v/>
      </c>
      <c r="Q165">
        <f>PROPER(TRIM(SUBSTITUTE(SUBSTITUTE(SUBSTITUTE(SUBSTITUTE(E165,"TRESEMME","Tresemme"),"HEAD &amp; SHOULDERS","Head &amp; Shoulders"),"ELVIVE","Elvive"),"FRUCTIS","Fructis")))</f>
        <v/>
      </c>
      <c r="R165">
        <f>COUNTIF($D$2:$D$10000,D165)&gt;1</f>
        <v/>
      </c>
      <c r="S165">
        <f>IF(H165=TRUE,"Disponible","No disponible")</f>
        <v/>
      </c>
      <c r="T165">
        <f>IF(AND(ISNUMBER(I165),I165&gt;0),ROUND(F165/I165,2),"Sin volumen")</f>
        <v/>
      </c>
      <c r="U165">
        <f>IF(F165&lt;5000,"Bajo",IF(F165&lt;15000,"Medio","Alto"))</f>
        <v/>
      </c>
    </row>
    <row r="166">
      <c r="A166" s="10" t="inlineStr">
        <is>
          <t>Disco</t>
        </is>
      </c>
      <c r="B166" s="10" t="n">
        <v>392748</v>
      </c>
      <c r="C166" s="10" t="n">
        <v>390832</v>
      </c>
      <c r="D166" s="10" t="inlineStr">
        <is>
          <t>Set Juguete Perro Hueso Colores Pets Fun Hueso De Juguete Pets Para Perro Azul 1 U</t>
        </is>
      </c>
      <c r="E166" s="10" t="inlineStr">
        <is>
          <t>PET'S FUN</t>
        </is>
      </c>
      <c r="F166" s="10" t="n">
        <v>6140</v>
      </c>
      <c r="G166" s="10" t="n">
        <v>507438</v>
      </c>
      <c r="H166" s="10" t="b">
        <v>1</v>
      </c>
      <c r="I166" s="10" t="inlineStr"/>
      <c r="J166" s="10" t="inlineStr"/>
      <c r="K166" s="10" t="inlineStr">
        <is>
          <t>&gt; Mascotas &gt; Accesorios para Mascotas &gt;</t>
        </is>
      </c>
      <c r="L166" s="10" t="inlineStr">
        <is>
          <t>shampoo</t>
        </is>
      </c>
      <c r="M166" s="10" t="inlineStr">
        <is>
          <t>estandar</t>
        </is>
      </c>
      <c r="N166" s="10" t="inlineStr">
        <is>
          <t>tratado</t>
        </is>
      </c>
      <c r="O166" s="10" t="inlineStr">
        <is>
          <t>https://www.disco.com.ar/set-juguete-perro-hueso-colores-pets-fun/p</t>
        </is>
      </c>
      <c r="P166" s="12">
        <f>TRIM(CLEAN(PROPER(D166)))</f>
        <v/>
      </c>
      <c r="Q166" s="12">
        <f>PROPER(TRIM(SUBSTITUTE(SUBSTITUTE(SUBSTITUTE(SUBSTITUTE(E166,"TRESEMME","Tresemme"),"HEAD &amp; SHOULDERS","Head &amp; Shoulders"),"ELVIVE","Elvive"),"FRUCTIS","Fructis")))</f>
        <v/>
      </c>
      <c r="R166" s="12">
        <f>COUNTIF($D$2:$D$10000,D166)&gt;1</f>
        <v/>
      </c>
      <c r="S166" s="12">
        <f>IF(H166=TRUE,"Disponible","No disponible")</f>
        <v/>
      </c>
      <c r="T166" s="12">
        <f>IF(AND(ISNUMBER(I166),I166&gt;0),ROUND(F166/I166,2),"Sin volumen")</f>
        <v/>
      </c>
      <c r="U166" s="12">
        <f>IF(F166&lt;5000,"Bajo",IF(F166&lt;15000,"Medio","Alto"))</f>
        <v/>
      </c>
    </row>
    <row r="167">
      <c r="A167" t="inlineStr">
        <is>
          <t>Disco</t>
        </is>
      </c>
      <c r="B167" t="n">
        <v>25406</v>
      </c>
      <c r="C167" t="n">
        <v>22566</v>
      </c>
      <c r="D167" t="inlineStr">
        <is>
          <t>Acondicionador Diario Pro-v Hidratación Extrema 170 Ml Pantene</t>
        </is>
      </c>
      <c r="E167" t="inlineStr">
        <is>
          <t>PANTENE</t>
        </is>
      </c>
      <c r="F167" t="n">
        <v>10100</v>
      </c>
      <c r="G167" t="n">
        <v>834711</v>
      </c>
      <c r="H167" t="b">
        <v>1</v>
      </c>
      <c r="I167" t="n">
        <v>170</v>
      </c>
      <c r="J167" t="n">
        <v>59.4118</v>
      </c>
      <c r="K167" t="inlineStr">
        <is>
          <t>&gt; Perfumería &gt; Cuidado Capilar &gt; Acondicionador &gt;</t>
        </is>
      </c>
      <c r="L167" t="inlineStr">
        <is>
          <t>acondicionador</t>
        </is>
      </c>
      <c r="M167" t="inlineStr">
        <is>
          <t>profesional</t>
        </is>
      </c>
      <c r="N167" t="inlineStr">
        <is>
          <t>seco_danado</t>
        </is>
      </c>
      <c r="O167" t="inlineStr">
        <is>
          <t>https://www.disco.com.ar/acondicionador-diario-pro-v-hidratacion-extrema-170-ml-pantene/p</t>
        </is>
      </c>
      <c r="P167">
        <f>TRIM(CLEAN(PROPER(D167)))</f>
        <v/>
      </c>
      <c r="Q167">
        <f>PROPER(TRIM(SUBSTITUTE(SUBSTITUTE(SUBSTITUTE(SUBSTITUTE(E167,"TRESEMME","Tresemme"),"HEAD &amp; SHOULDERS","Head &amp; Shoulders"),"ELVIVE","Elvive"),"FRUCTIS","Fructis")))</f>
        <v/>
      </c>
      <c r="R167">
        <f>COUNTIF($D$2:$D$10000,D167)&gt;1</f>
        <v/>
      </c>
      <c r="S167">
        <f>IF(H167=TRUE,"Disponible","No disponible")</f>
        <v/>
      </c>
      <c r="T167">
        <f>IF(AND(ISNUMBER(I167),I167&gt;0),ROUND(F167/I167,2),"Sin volumen")</f>
        <v/>
      </c>
      <c r="U167">
        <f>IF(F167&lt;5000,"Bajo",IF(F167&lt;15000,"Medio","Alto"))</f>
        <v/>
      </c>
    </row>
    <row r="168">
      <c r="A168" s="10" t="inlineStr">
        <is>
          <t>Disco</t>
        </is>
      </c>
      <c r="B168" s="10" t="n">
        <v>3087382</v>
      </c>
      <c r="C168" s="10" t="n">
        <v>3086603</v>
      </c>
      <c r="D168" s="10" t="inlineStr">
        <is>
          <t>Acondicionador Dove Regeneracionretinol 650ml</t>
        </is>
      </c>
      <c r="E168" s="10" t="inlineStr">
        <is>
          <t>DOVE</t>
        </is>
      </c>
      <c r="F168" s="10" t="n">
        <v>17200</v>
      </c>
      <c r="G168" s="10" t="n">
        <v>1421488</v>
      </c>
      <c r="H168" s="10" t="b">
        <v>1</v>
      </c>
      <c r="I168" s="10" t="n">
        <v>650</v>
      </c>
      <c r="J168" s="10" t="n">
        <v>26.4615</v>
      </c>
      <c r="K168" s="10" t="inlineStr">
        <is>
          <t>&gt; Perfumería &gt; Cuidado Capilar &gt; Acondicionador &gt;</t>
        </is>
      </c>
      <c r="L168" s="10" t="inlineStr">
        <is>
          <t>acondicionador</t>
        </is>
      </c>
      <c r="M168" s="10" t="inlineStr">
        <is>
          <t>estandar</t>
        </is>
      </c>
      <c r="N168" s="10" t="inlineStr">
        <is>
          <t>general</t>
        </is>
      </c>
      <c r="O168" s="10" t="inlineStr">
        <is>
          <t>https://www.disco.com.ar/acondicionador-dove-regeneracionretinol-650ml/p</t>
        </is>
      </c>
      <c r="P168" s="12">
        <f>TRIM(CLEAN(PROPER(D168)))</f>
        <v/>
      </c>
      <c r="Q168" s="12">
        <f>PROPER(TRIM(SUBSTITUTE(SUBSTITUTE(SUBSTITUTE(SUBSTITUTE(E168,"TRESEMME","Tresemme"),"HEAD &amp; SHOULDERS","Head &amp; Shoulders"),"ELVIVE","Elvive"),"FRUCTIS","Fructis")))</f>
        <v/>
      </c>
      <c r="R168" s="12">
        <f>COUNTIF($D$2:$D$10000,D168)&gt;1</f>
        <v/>
      </c>
      <c r="S168" s="12">
        <f>IF(H168=TRUE,"Disponible","No disponible")</f>
        <v/>
      </c>
      <c r="T168" s="12">
        <f>IF(AND(ISNUMBER(I168),I168&gt;0),ROUND(F168/I168,2),"Sin volumen")</f>
        <v/>
      </c>
      <c r="U168" s="12">
        <f>IF(F168&lt;5000,"Bajo",IF(F168&lt;15000,"Medio","Alto"))</f>
        <v/>
      </c>
    </row>
    <row r="169">
      <c r="A169" t="inlineStr">
        <is>
          <t>Disco</t>
        </is>
      </c>
      <c r="B169" t="n">
        <v>3087374</v>
      </c>
      <c r="C169" t="n">
        <v>3086595</v>
      </c>
      <c r="D169" t="inlineStr">
        <is>
          <t>Acondicionador Dove Reconstaminoacido 650ml</t>
        </is>
      </c>
      <c r="E169" t="inlineStr">
        <is>
          <t>DOVE</t>
        </is>
      </c>
      <c r="F169" t="n">
        <v>17200</v>
      </c>
      <c r="G169" t="n">
        <v>1421488</v>
      </c>
      <c r="H169" t="b">
        <v>1</v>
      </c>
      <c r="I169" t="n">
        <v>650</v>
      </c>
      <c r="J169" t="n">
        <v>26.4615</v>
      </c>
      <c r="K169" t="inlineStr">
        <is>
          <t>&gt; Perfumería &gt; Cuidado Capilar &gt; Acondicionador &gt;</t>
        </is>
      </c>
      <c r="L169" t="inlineStr">
        <is>
          <t>acondicionador</t>
        </is>
      </c>
      <c r="M169" t="inlineStr">
        <is>
          <t>estandar</t>
        </is>
      </c>
      <c r="N169" t="inlineStr">
        <is>
          <t>general</t>
        </is>
      </c>
      <c r="O169" t="inlineStr">
        <is>
          <t>https://www.disco.com.ar/acondicionador-dove-reconstaminoacido-650ml/p</t>
        </is>
      </c>
      <c r="P169">
        <f>TRIM(CLEAN(PROPER(D169)))</f>
        <v/>
      </c>
      <c r="Q169">
        <f>PROPER(TRIM(SUBSTITUTE(SUBSTITUTE(SUBSTITUTE(SUBSTITUTE(E169,"TRESEMME","Tresemme"),"HEAD &amp; SHOULDERS","Head &amp; Shoulders"),"ELVIVE","Elvive"),"FRUCTIS","Fructis")))</f>
        <v/>
      </c>
      <c r="R169">
        <f>COUNTIF($D$2:$D$10000,D169)&gt;1</f>
        <v/>
      </c>
      <c r="S169">
        <f>IF(H169=TRUE,"Disponible","No disponible")</f>
        <v/>
      </c>
      <c r="T169">
        <f>IF(AND(ISNUMBER(I169),I169&gt;0),ROUND(F169/I169,2),"Sin volumen")</f>
        <v/>
      </c>
      <c r="U169">
        <f>IF(F169&lt;5000,"Bajo",IF(F169&lt;15000,"Medio","Alto"))</f>
        <v/>
      </c>
    </row>
    <row r="170">
      <c r="A170" s="10" t="inlineStr">
        <is>
          <t>Disco</t>
        </is>
      </c>
      <c r="B170" s="10" t="n">
        <v>404479</v>
      </c>
      <c r="C170" s="10" t="n">
        <v>401481</v>
      </c>
      <c r="D170" s="10" t="inlineStr">
        <is>
          <t>Acondicionador Nutritivo 420 Ml Capilatis</t>
        </is>
      </c>
      <c r="E170" s="10" t="inlineStr">
        <is>
          <t>CAPILATIS</t>
        </is>
      </c>
      <c r="F170" s="10" t="n">
        <v>9750</v>
      </c>
      <c r="G170" s="10" t="n">
        <v>805785</v>
      </c>
      <c r="H170" s="10" t="b">
        <v>1</v>
      </c>
      <c r="I170" s="10" t="n">
        <v>420</v>
      </c>
      <c r="J170" s="10" t="n">
        <v>23.2143</v>
      </c>
      <c r="K170" s="10" t="inlineStr">
        <is>
          <t>&gt; Perfumería &gt; Cuidado Capilar &gt; Acondicionador &gt;</t>
        </is>
      </c>
      <c r="L170" s="10" t="inlineStr">
        <is>
          <t>acondicionador</t>
        </is>
      </c>
      <c r="M170" s="10" t="inlineStr">
        <is>
          <t>estandar</t>
        </is>
      </c>
      <c r="N170" s="10" t="inlineStr">
        <is>
          <t>general</t>
        </is>
      </c>
      <c r="O170" s="10" t="inlineStr">
        <is>
          <t>https://www.disco.com.ar/acondicionador-nutritivo-420-ml-capilatis/p</t>
        </is>
      </c>
      <c r="P170" s="12">
        <f>TRIM(CLEAN(PROPER(D170)))</f>
        <v/>
      </c>
      <c r="Q170" s="12">
        <f>PROPER(TRIM(SUBSTITUTE(SUBSTITUTE(SUBSTITUTE(SUBSTITUTE(E170,"TRESEMME","Tresemme"),"HEAD &amp; SHOULDERS","Head &amp; Shoulders"),"ELVIVE","Elvive"),"FRUCTIS","Fructis")))</f>
        <v/>
      </c>
      <c r="R170" s="12">
        <f>COUNTIF($D$2:$D$10000,D170)&gt;1</f>
        <v/>
      </c>
      <c r="S170" s="12">
        <f>IF(H170=TRUE,"Disponible","No disponible")</f>
        <v/>
      </c>
      <c r="T170" s="12">
        <f>IF(AND(ISNUMBER(I170),I170&gt;0),ROUND(F170/I170,2),"Sin volumen")</f>
        <v/>
      </c>
      <c r="U170" s="12">
        <f>IF(F170&lt;5000,"Bajo",IF(F170&lt;15000,"Medio","Alto"))</f>
        <v/>
      </c>
    </row>
    <row r="171">
      <c r="A171" t="inlineStr">
        <is>
          <t>Disco</t>
        </is>
      </c>
      <c r="B171" t="n">
        <v>3068263</v>
      </c>
      <c r="C171" t="n">
        <v>3068091</v>
      </c>
      <c r="D171" t="inlineStr">
        <is>
          <t>Acondicionador Probiotics 200 Ml Fructis</t>
        </is>
      </c>
      <c r="E171" t="inlineStr">
        <is>
          <t>FRUCTIS</t>
        </is>
      </c>
      <c r="F171" t="n">
        <v>5950</v>
      </c>
      <c r="G171" t="n">
        <v>491736</v>
      </c>
      <c r="H171" t="b">
        <v>1</v>
      </c>
      <c r="I171" t="n">
        <v>200</v>
      </c>
      <c r="J171" t="n">
        <v>29.75</v>
      </c>
      <c r="K171" t="inlineStr">
        <is>
          <t>&gt; Perfumería &gt; Cuidado Capilar &gt; Acondicionador &gt;</t>
        </is>
      </c>
      <c r="L171" t="inlineStr">
        <is>
          <t>acondicionador</t>
        </is>
      </c>
      <c r="M171" t="inlineStr">
        <is>
          <t>estandar</t>
        </is>
      </c>
      <c r="N171" t="inlineStr">
        <is>
          <t>general</t>
        </is>
      </c>
      <c r="O171" t="inlineStr">
        <is>
          <t>https://www.disco.com.ar/acondicionador-probiotics-x-200-ml-fructis-2/p</t>
        </is>
      </c>
      <c r="P171">
        <f>TRIM(CLEAN(PROPER(D171)))</f>
        <v/>
      </c>
      <c r="Q171">
        <f>PROPER(TRIM(SUBSTITUTE(SUBSTITUTE(SUBSTITUTE(SUBSTITUTE(E171,"TRESEMME","Tresemme"),"HEAD &amp; SHOULDERS","Head &amp; Shoulders"),"ELVIVE","Elvive"),"FRUCTIS","Fructis")))</f>
        <v/>
      </c>
      <c r="R171">
        <f>COUNTIF($D$2:$D$10000,D171)&gt;1</f>
        <v/>
      </c>
      <c r="S171">
        <f>IF(H171=TRUE,"Disponible","No disponible")</f>
        <v/>
      </c>
      <c r="T171">
        <f>IF(AND(ISNUMBER(I171),I171&gt;0),ROUND(F171/I171,2),"Sin volumen")</f>
        <v/>
      </c>
      <c r="U171">
        <f>IF(F171&lt;5000,"Bajo",IF(F171&lt;15000,"Medio","Alto"))</f>
        <v/>
      </c>
    </row>
    <row r="172">
      <c r="A172" s="10" t="inlineStr">
        <is>
          <t>Disco</t>
        </is>
      </c>
      <c r="B172" s="10" t="n">
        <v>251370</v>
      </c>
      <c r="C172" s="10" t="n">
        <v>250672</v>
      </c>
      <c r="D172" s="10" t="inlineStr">
        <is>
          <t>Acondicionador Herbal Essences Argan400ml</t>
        </is>
      </c>
      <c r="E172" s="10" t="inlineStr">
        <is>
          <t>HERBAL ESSENCES</t>
        </is>
      </c>
      <c r="F172" s="10" t="n">
        <v>17500</v>
      </c>
      <c r="G172" s="10" t="n">
        <v>1446281</v>
      </c>
      <c r="H172" s="10" t="b">
        <v>1</v>
      </c>
      <c r="I172" s="10" t="n">
        <v>400</v>
      </c>
      <c r="J172" s="10" t="n">
        <v>43.75</v>
      </c>
      <c r="K172" s="10" t="inlineStr">
        <is>
          <t>&gt; Perfumería &gt; Cuidado Capilar &gt; Acondicionador &gt;</t>
        </is>
      </c>
      <c r="L172" s="10" t="inlineStr">
        <is>
          <t>acondicionador</t>
        </is>
      </c>
      <c r="M172" s="10" t="inlineStr">
        <is>
          <t>estandar</t>
        </is>
      </c>
      <c r="N172" s="10" t="inlineStr">
        <is>
          <t>general</t>
        </is>
      </c>
      <c r="O172" s="10" t="inlineStr">
        <is>
          <t>https://www.disco.com.ar/acondicionador-herbal-essences-argan400ml/p</t>
        </is>
      </c>
      <c r="P172" s="12">
        <f>TRIM(CLEAN(PROPER(D172)))</f>
        <v/>
      </c>
      <c r="Q172" s="12">
        <f>PROPER(TRIM(SUBSTITUTE(SUBSTITUTE(SUBSTITUTE(SUBSTITUTE(E172,"TRESEMME","Tresemme"),"HEAD &amp; SHOULDERS","Head &amp; Shoulders"),"ELVIVE","Elvive"),"FRUCTIS","Fructis")))</f>
        <v/>
      </c>
      <c r="R172" s="12">
        <f>COUNTIF($D$2:$D$10000,D172)&gt;1</f>
        <v/>
      </c>
      <c r="S172" s="12">
        <f>IF(H172=TRUE,"Disponible","No disponible")</f>
        <v/>
      </c>
      <c r="T172" s="12">
        <f>IF(AND(ISNUMBER(I172),I172&gt;0),ROUND(F172/I172,2),"Sin volumen")</f>
        <v/>
      </c>
      <c r="U172" s="12">
        <f>IF(F172&lt;5000,"Bajo",IF(F172&lt;15000,"Medio","Alto"))</f>
        <v/>
      </c>
    </row>
    <row r="173">
      <c r="A173" t="inlineStr">
        <is>
          <t>Disco</t>
        </is>
      </c>
      <c r="B173" t="n">
        <v>251373</v>
      </c>
      <c r="C173" t="n">
        <v>250674</v>
      </c>
      <c r="D173" t="inlineStr">
        <is>
          <t>Acondicionador Herbal Essences Coconut 400ml</t>
        </is>
      </c>
      <c r="E173" t="inlineStr">
        <is>
          <t>HERBAL ESSENCES</t>
        </is>
      </c>
      <c r="F173" t="n">
        <v>17500</v>
      </c>
      <c r="G173" t="n">
        <v>1446281</v>
      </c>
      <c r="H173" t="b">
        <v>1</v>
      </c>
      <c r="I173" t="n">
        <v>400</v>
      </c>
      <c r="J173" t="n">
        <v>43.75</v>
      </c>
      <c r="K173" t="inlineStr">
        <is>
          <t>&gt; Perfumería &gt; Cuidado Capilar &gt; Acondicionador &gt;</t>
        </is>
      </c>
      <c r="L173" t="inlineStr">
        <is>
          <t>acondicionador</t>
        </is>
      </c>
      <c r="M173" t="inlineStr">
        <is>
          <t>estandar</t>
        </is>
      </c>
      <c r="N173" t="inlineStr">
        <is>
          <t>general</t>
        </is>
      </c>
      <c r="O173" t="inlineStr">
        <is>
          <t>https://www.disco.com.ar/acondicionador-herbal-essences-coconut-400ml/p</t>
        </is>
      </c>
      <c r="P173">
        <f>TRIM(CLEAN(PROPER(D173)))</f>
        <v/>
      </c>
      <c r="Q173">
        <f>PROPER(TRIM(SUBSTITUTE(SUBSTITUTE(SUBSTITUTE(SUBSTITUTE(E173,"TRESEMME","Tresemme"),"HEAD &amp; SHOULDERS","Head &amp; Shoulders"),"ELVIVE","Elvive"),"FRUCTIS","Fructis")))</f>
        <v/>
      </c>
      <c r="R173">
        <f>COUNTIF($D$2:$D$10000,D173)&gt;1</f>
        <v/>
      </c>
      <c r="S173">
        <f>IF(H173=TRUE,"Disponible","No disponible")</f>
        <v/>
      </c>
      <c r="T173">
        <f>IF(AND(ISNUMBER(I173),I173&gt;0),ROUND(F173/I173,2),"Sin volumen")</f>
        <v/>
      </c>
      <c r="U173">
        <f>IF(F173&lt;5000,"Bajo",IF(F173&lt;15000,"Medio","Alto"))</f>
        <v/>
      </c>
    </row>
    <row r="174">
      <c r="A174" s="10" t="inlineStr">
        <is>
          <t>Disco</t>
        </is>
      </c>
      <c r="B174" s="10" t="n">
        <v>411246</v>
      </c>
      <c r="C174" s="10" t="n">
        <v>407086</v>
      </c>
      <c r="D174" s="10" t="inlineStr">
        <is>
          <t>Acondicionador Dove Hidratacion 400 Ml</t>
        </is>
      </c>
      <c r="E174" s="10" t="inlineStr">
        <is>
          <t>DOVE</t>
        </is>
      </c>
      <c r="F174" s="10" t="n">
        <v>9150</v>
      </c>
      <c r="G174" s="10" t="n">
        <v>756198</v>
      </c>
      <c r="H174" s="10" t="b">
        <v>1</v>
      </c>
      <c r="I174" s="10" t="n">
        <v>400</v>
      </c>
      <c r="J174" s="10" t="n">
        <v>22.875</v>
      </c>
      <c r="K174" s="10" t="inlineStr">
        <is>
          <t>&gt; Perfumería &gt; Cuidado Capilar &gt; Acondicionador &gt;</t>
        </is>
      </c>
      <c r="L174" s="10" t="inlineStr">
        <is>
          <t>acondicionador</t>
        </is>
      </c>
      <c r="M174" s="10" t="inlineStr">
        <is>
          <t>estandar</t>
        </is>
      </c>
      <c r="N174" s="10" t="inlineStr">
        <is>
          <t>seco_danado</t>
        </is>
      </c>
      <c r="O174" s="10" t="inlineStr">
        <is>
          <t>https://www.disco.com.ar/acondicionador-dove-hidratacion-400-ml/p</t>
        </is>
      </c>
      <c r="P174" s="12">
        <f>TRIM(CLEAN(PROPER(D174)))</f>
        <v/>
      </c>
      <c r="Q174" s="12">
        <f>PROPER(TRIM(SUBSTITUTE(SUBSTITUTE(SUBSTITUTE(SUBSTITUTE(E174,"TRESEMME","Tresemme"),"HEAD &amp; SHOULDERS","Head &amp; Shoulders"),"ELVIVE","Elvive"),"FRUCTIS","Fructis")))</f>
        <v/>
      </c>
      <c r="R174" s="12">
        <f>COUNTIF($D$2:$D$10000,D174)&gt;1</f>
        <v/>
      </c>
      <c r="S174" s="12">
        <f>IF(H174=TRUE,"Disponible","No disponible")</f>
        <v/>
      </c>
      <c r="T174" s="12">
        <f>IF(AND(ISNUMBER(I174),I174&gt;0),ROUND(F174/I174,2),"Sin volumen")</f>
        <v/>
      </c>
      <c r="U174" s="12">
        <f>IF(F174&lt;5000,"Bajo",IF(F174&lt;15000,"Medio","Alto"))</f>
        <v/>
      </c>
    </row>
    <row r="175">
      <c r="A175" t="inlineStr">
        <is>
          <t>Disco</t>
        </is>
      </c>
      <c r="B175" t="n">
        <v>396962</v>
      </c>
      <c r="C175" t="n">
        <v>394718</v>
      </c>
      <c r="D175" t="inlineStr">
        <is>
          <t>Acondicionador Restauración 970 Ml Plusbelle</t>
        </is>
      </c>
      <c r="E175" t="inlineStr">
        <is>
          <t>PLUSBELLE</t>
        </is>
      </c>
      <c r="F175" t="n">
        <v>6500</v>
      </c>
      <c r="G175" t="n">
        <v>537190</v>
      </c>
      <c r="H175" t="b">
        <v>1</v>
      </c>
      <c r="I175" t="n">
        <v>970</v>
      </c>
      <c r="J175" t="n">
        <v>6.701</v>
      </c>
      <c r="K175" t="inlineStr">
        <is>
          <t>&gt; Perfumería &gt; Cuidado Capilar &gt; Acondicionador &gt;</t>
        </is>
      </c>
      <c r="L175" t="inlineStr">
        <is>
          <t>acondicionador</t>
        </is>
      </c>
      <c r="M175" t="inlineStr">
        <is>
          <t>estandar</t>
        </is>
      </c>
      <c r="N175" t="inlineStr">
        <is>
          <t>general</t>
        </is>
      </c>
      <c r="O175" t="inlineStr">
        <is>
          <t>https://www.disco.com.ar/acondicionador-esencia-restauracion-970-ml-plusbelle/p</t>
        </is>
      </c>
      <c r="P175">
        <f>TRIM(CLEAN(PROPER(D175)))</f>
        <v/>
      </c>
      <c r="Q175">
        <f>PROPER(TRIM(SUBSTITUTE(SUBSTITUTE(SUBSTITUTE(SUBSTITUTE(E175,"TRESEMME","Tresemme"),"HEAD &amp; SHOULDERS","Head &amp; Shoulders"),"ELVIVE","Elvive"),"FRUCTIS","Fructis")))</f>
        <v/>
      </c>
      <c r="R175">
        <f>COUNTIF($D$2:$D$10000,D175)&gt;1</f>
        <v/>
      </c>
      <c r="S175">
        <f>IF(H175=TRUE,"Disponible","No disponible")</f>
        <v/>
      </c>
      <c r="T175">
        <f>IF(AND(ISNUMBER(I175),I175&gt;0),ROUND(F175/I175,2),"Sin volumen")</f>
        <v/>
      </c>
      <c r="U175">
        <f>IF(F175&lt;5000,"Bajo",IF(F175&lt;15000,"Medio","Alto"))</f>
        <v/>
      </c>
    </row>
    <row r="176">
      <c r="A176" s="10" t="inlineStr">
        <is>
          <t>Disco</t>
        </is>
      </c>
      <c r="B176" s="10" t="n">
        <v>393565</v>
      </c>
      <c r="C176" s="10" t="n">
        <v>391593</v>
      </c>
      <c r="D176" s="10" t="inlineStr">
        <is>
          <t>Acondicionador Dove Regeneración Extrema 400 Ml</t>
        </is>
      </c>
      <c r="E176" s="10" t="inlineStr">
        <is>
          <t>DOVE</t>
        </is>
      </c>
      <c r="F176" s="10" t="n">
        <v>9150</v>
      </c>
      <c r="G176" s="10" t="n">
        <v>756198</v>
      </c>
      <c r="H176" s="10" t="b">
        <v>1</v>
      </c>
      <c r="I176" s="10" t="n">
        <v>400</v>
      </c>
      <c r="J176" s="10" t="n">
        <v>22.875</v>
      </c>
      <c r="K176" s="10" t="inlineStr">
        <is>
          <t>&gt; Perfumería &gt; Cuidado Capilar &gt; Acondicionador &gt;</t>
        </is>
      </c>
      <c r="L176" s="10" t="inlineStr">
        <is>
          <t>acondicionador</t>
        </is>
      </c>
      <c r="M176" s="10" t="inlineStr">
        <is>
          <t>estandar</t>
        </is>
      </c>
      <c r="N176" s="10" t="inlineStr">
        <is>
          <t>general</t>
        </is>
      </c>
      <c r="O176" s="10" t="inlineStr">
        <is>
          <t>https://www.disco.com.ar/acondicionador-dove-regeneracion-extrema-400-ml-3/p</t>
        </is>
      </c>
      <c r="P176" s="12">
        <f>TRIM(CLEAN(PROPER(D176)))</f>
        <v/>
      </c>
      <c r="Q176" s="12">
        <f>PROPER(TRIM(SUBSTITUTE(SUBSTITUTE(SUBSTITUTE(SUBSTITUTE(E176,"TRESEMME","Tresemme"),"HEAD &amp; SHOULDERS","Head &amp; Shoulders"),"ELVIVE","Elvive"),"FRUCTIS","Fructis")))</f>
        <v/>
      </c>
      <c r="R176" s="12">
        <f>COUNTIF($D$2:$D$10000,D176)&gt;1</f>
        <v/>
      </c>
      <c r="S176" s="12">
        <f>IF(H176=TRUE,"Disponible","No disponible")</f>
        <v/>
      </c>
      <c r="T176" s="12">
        <f>IF(AND(ISNUMBER(I176),I176&gt;0),ROUND(F176/I176,2),"Sin volumen")</f>
        <v/>
      </c>
      <c r="U176" s="12">
        <f>IF(F176&lt;5000,"Bajo",IF(F176&lt;15000,"Medio","Alto"))</f>
        <v/>
      </c>
    </row>
    <row r="177">
      <c r="A177" t="inlineStr">
        <is>
          <t>Disco</t>
        </is>
      </c>
      <c r="B177" t="n">
        <v>397159</v>
      </c>
      <c r="C177" t="n">
        <v>394900</v>
      </c>
      <c r="D177" t="inlineStr">
        <is>
          <t>Acondicionador Sedal Ceramidas Botella 340 Ml</t>
        </is>
      </c>
      <c r="E177" t="inlineStr">
        <is>
          <t>SEDAL</t>
        </is>
      </c>
      <c r="F177" t="n">
        <v>5439</v>
      </c>
      <c r="G177" t="n">
        <v>449504</v>
      </c>
      <c r="H177" t="b">
        <v>1</v>
      </c>
      <c r="I177" t="n">
        <v>340</v>
      </c>
      <c r="J177" t="n">
        <v>15.9971</v>
      </c>
      <c r="K177" t="inlineStr">
        <is>
          <t>&gt; Perfumería &gt; Cuidado Capilar &gt; Acondicionador &gt;</t>
        </is>
      </c>
      <c r="L177" t="inlineStr">
        <is>
          <t>acondicionador</t>
        </is>
      </c>
      <c r="M177" t="inlineStr">
        <is>
          <t>estandar</t>
        </is>
      </c>
      <c r="N177" t="inlineStr">
        <is>
          <t>general</t>
        </is>
      </c>
      <c r="O177" t="inlineStr">
        <is>
          <t>https://www.disco.com.ar/acondicionador-sedal-ceramidas-botella-340-ml-2/p</t>
        </is>
      </c>
      <c r="P177">
        <f>TRIM(CLEAN(PROPER(D177)))</f>
        <v/>
      </c>
      <c r="Q177">
        <f>PROPER(TRIM(SUBSTITUTE(SUBSTITUTE(SUBSTITUTE(SUBSTITUTE(E177,"TRESEMME","Tresemme"),"HEAD &amp; SHOULDERS","Head &amp; Shoulders"),"ELVIVE","Elvive"),"FRUCTIS","Fructis")))</f>
        <v/>
      </c>
      <c r="R177">
        <f>COUNTIF($D$2:$D$10000,D177)&gt;1</f>
        <v/>
      </c>
      <c r="S177">
        <f>IF(H177=TRUE,"Disponible","No disponible")</f>
        <v/>
      </c>
      <c r="T177">
        <f>IF(AND(ISNUMBER(I177),I177&gt;0),ROUND(F177/I177,2),"Sin volumen")</f>
        <v/>
      </c>
      <c r="U177">
        <f>IF(F177&lt;5000,"Bajo",IF(F177&lt;15000,"Medio","Alto"))</f>
        <v/>
      </c>
    </row>
    <row r="178">
      <c r="A178" s="10" t="inlineStr">
        <is>
          <t>Disco</t>
        </is>
      </c>
      <c r="B178" s="10" t="n">
        <v>3070278</v>
      </c>
      <c r="C178" s="10" t="n">
        <v>3069871</v>
      </c>
      <c r="D178" s="10" t="inlineStr">
        <is>
          <t>Acondicionador Cauterización Reparadora 500 Ml Tresemmé</t>
        </is>
      </c>
      <c r="E178" s="10" t="inlineStr">
        <is>
          <t>TRESEMMÉ</t>
        </is>
      </c>
      <c r="F178" s="10" t="n">
        <v>10900</v>
      </c>
      <c r="G178" s="10" t="n">
        <v>900826</v>
      </c>
      <c r="H178" s="10" t="b">
        <v>1</v>
      </c>
      <c r="I178" s="10" t="n">
        <v>500</v>
      </c>
      <c r="J178" s="10" t="n">
        <v>21.8</v>
      </c>
      <c r="K178" s="10" t="inlineStr">
        <is>
          <t>&gt; Perfumería &gt; Cuidado Capilar &gt; Acondicionador &gt;</t>
        </is>
      </c>
      <c r="L178" s="10" t="inlineStr">
        <is>
          <t>acondicionador</t>
        </is>
      </c>
      <c r="M178" s="10" t="inlineStr">
        <is>
          <t>estandar</t>
        </is>
      </c>
      <c r="N178" s="10" t="inlineStr">
        <is>
          <t>general</t>
        </is>
      </c>
      <c r="O178" s="10" t="inlineStr">
        <is>
          <t>https://www.disco.com.ar/acondicionador-cauterizacion-reparadora-x-500-ml-tresemme/p</t>
        </is>
      </c>
      <c r="P178" s="12">
        <f>TRIM(CLEAN(PROPER(D178)))</f>
        <v/>
      </c>
      <c r="Q178" s="12">
        <f>PROPER(TRIM(SUBSTITUTE(SUBSTITUTE(SUBSTITUTE(SUBSTITUTE(E178,"TRESEMME","Tresemme"),"HEAD &amp; SHOULDERS","Head &amp; Shoulders"),"ELVIVE","Elvive"),"FRUCTIS","Fructis")))</f>
        <v/>
      </c>
      <c r="R178" s="12">
        <f>COUNTIF($D$2:$D$10000,D178)&gt;1</f>
        <v/>
      </c>
      <c r="S178" s="12">
        <f>IF(H178=TRUE,"Disponible","No disponible")</f>
        <v/>
      </c>
      <c r="T178" s="12">
        <f>IF(AND(ISNUMBER(I178),I178&gt;0),ROUND(F178/I178,2),"Sin volumen")</f>
        <v/>
      </c>
      <c r="U178" s="12">
        <f>IF(F178&lt;5000,"Bajo",IF(F178&lt;15000,"Medio","Alto"))</f>
        <v/>
      </c>
    </row>
    <row r="179">
      <c r="A179" t="inlineStr">
        <is>
          <t>Disco</t>
        </is>
      </c>
      <c r="B179" t="n">
        <v>3066239</v>
      </c>
      <c r="C179" t="n">
        <v>3066155</v>
      </c>
      <c r="D179" t="inlineStr">
        <is>
          <t>Acondicionador Luminous UV 340 Ml Sedal</t>
        </is>
      </c>
      <c r="E179" t="inlineStr">
        <is>
          <t>SEDAL</t>
        </is>
      </c>
      <c r="F179" t="n">
        <v>5469</v>
      </c>
      <c r="G179" t="n">
        <v>451983</v>
      </c>
      <c r="H179" t="b">
        <v>1</v>
      </c>
      <c r="I179" t="n">
        <v>340</v>
      </c>
      <c r="J179" t="n">
        <v>16.0853</v>
      </c>
      <c r="K179" t="inlineStr">
        <is>
          <t>&gt; Perfumería &gt; Cuidado Capilar &gt; Acondicionador &gt;</t>
        </is>
      </c>
      <c r="L179" t="inlineStr">
        <is>
          <t>acondicionador</t>
        </is>
      </c>
      <c r="M179" t="inlineStr">
        <is>
          <t>estandar</t>
        </is>
      </c>
      <c r="N179" t="inlineStr">
        <is>
          <t>general</t>
        </is>
      </c>
      <c r="O179" t="inlineStr">
        <is>
          <t>https://www.disco.com.ar/acondicionador-luminous-uv-x-340-ml-sedal-2/p</t>
        </is>
      </c>
      <c r="P179">
        <f>TRIM(CLEAN(PROPER(D179)))</f>
        <v/>
      </c>
      <c r="Q179">
        <f>PROPER(TRIM(SUBSTITUTE(SUBSTITUTE(SUBSTITUTE(SUBSTITUTE(E179,"TRESEMME","Tresemme"),"HEAD &amp; SHOULDERS","Head &amp; Shoulders"),"ELVIVE","Elvive"),"FRUCTIS","Fructis")))</f>
        <v/>
      </c>
      <c r="R179">
        <f>COUNTIF($D$2:$D$10000,D179)&gt;1</f>
        <v/>
      </c>
      <c r="S179">
        <f>IF(H179=TRUE,"Disponible","No disponible")</f>
        <v/>
      </c>
      <c r="T179">
        <f>IF(AND(ISNUMBER(I179),I179&gt;0),ROUND(F179/I179,2),"Sin volumen")</f>
        <v/>
      </c>
      <c r="U179">
        <f>IF(F179&lt;5000,"Bajo",IF(F179&lt;15000,"Medio","Alto"))</f>
        <v/>
      </c>
    </row>
    <row r="180">
      <c r="A180" s="10" t="inlineStr">
        <is>
          <t>Disco</t>
        </is>
      </c>
      <c r="B180" s="10" t="n">
        <v>415569</v>
      </c>
      <c r="C180" s="10" t="n">
        <v>411153</v>
      </c>
      <c r="D180" s="10" t="inlineStr">
        <is>
          <t>Acondicionador Liso Infinito 400 Ml Pantene</t>
        </is>
      </c>
      <c r="E180" s="10" t="inlineStr">
        <is>
          <t>PANTENE</t>
        </is>
      </c>
      <c r="F180" s="10" t="n">
        <v>10550</v>
      </c>
      <c r="G180" s="10" t="n">
        <v>871901</v>
      </c>
      <c r="H180" s="10" t="b">
        <v>1</v>
      </c>
      <c r="I180" s="10" t="n">
        <v>400</v>
      </c>
      <c r="J180" s="10" t="n">
        <v>26.375</v>
      </c>
      <c r="K180" s="10" t="inlineStr">
        <is>
          <t>&gt; Perfumería &gt; Cuidado Capilar &gt; Acondicionador &gt;</t>
        </is>
      </c>
      <c r="L180" s="10" t="inlineStr">
        <is>
          <t>acondicionador</t>
        </is>
      </c>
      <c r="M180" s="10" t="inlineStr">
        <is>
          <t>estandar</t>
        </is>
      </c>
      <c r="N180" s="10" t="inlineStr">
        <is>
          <t>general</t>
        </is>
      </c>
      <c r="O180" s="10" t="inlineStr">
        <is>
          <t>https://www.disco.com.ar/acondicionador-pro-v-miracles-liso-infinito-400-ml-pantene/p</t>
        </is>
      </c>
      <c r="P180" s="12">
        <f>TRIM(CLEAN(PROPER(D180)))</f>
        <v/>
      </c>
      <c r="Q180" s="12">
        <f>PROPER(TRIM(SUBSTITUTE(SUBSTITUTE(SUBSTITUTE(SUBSTITUTE(E180,"TRESEMME","Tresemme"),"HEAD &amp; SHOULDERS","Head &amp; Shoulders"),"ELVIVE","Elvive"),"FRUCTIS","Fructis")))</f>
        <v/>
      </c>
      <c r="R180" s="12">
        <f>COUNTIF($D$2:$D$10000,D180)&gt;1</f>
        <v/>
      </c>
      <c r="S180" s="12">
        <f>IF(H180=TRUE,"Disponible","No disponible")</f>
        <v/>
      </c>
      <c r="T180" s="12">
        <f>IF(AND(ISNUMBER(I180),I180&gt;0),ROUND(F180/I180,2),"Sin volumen")</f>
        <v/>
      </c>
      <c r="U180" s="12">
        <f>IF(F180&lt;5000,"Bajo",IF(F180&lt;15000,"Medio","Alto"))</f>
        <v/>
      </c>
    </row>
    <row r="181">
      <c r="A181" t="inlineStr">
        <is>
          <t>Disco</t>
        </is>
      </c>
      <c r="B181" t="n">
        <v>400517</v>
      </c>
      <c r="C181" t="n">
        <v>397855</v>
      </c>
      <c r="D181" t="inlineStr">
        <is>
          <t>Acondicionador Hidra Hialurónico 200 Ml Elvive</t>
        </is>
      </c>
      <c r="E181" t="inlineStr">
        <is>
          <t>ELVIVE</t>
        </is>
      </c>
      <c r="F181" t="n">
        <v>7450</v>
      </c>
      <c r="G181" t="n">
        <v>615702</v>
      </c>
      <c r="H181" t="b">
        <v>1</v>
      </c>
      <c r="I181" t="n">
        <v>200</v>
      </c>
      <c r="J181" t="n">
        <v>37.25</v>
      </c>
      <c r="K181" t="inlineStr">
        <is>
          <t>&gt; Perfumería &gt; Cuidado Capilar &gt; Acondicionador &gt;</t>
        </is>
      </c>
      <c r="L181" t="inlineStr">
        <is>
          <t>acondicionador</t>
        </is>
      </c>
      <c r="M181" t="inlineStr">
        <is>
          <t>profesional</t>
        </is>
      </c>
      <c r="N181" t="inlineStr">
        <is>
          <t>general</t>
        </is>
      </c>
      <c r="O181" t="inlineStr">
        <is>
          <t>https://www.disco.com.ar/acodicionador-elvive-hidra-hialuronico-200-ml/p</t>
        </is>
      </c>
      <c r="P181">
        <f>TRIM(CLEAN(PROPER(D181)))</f>
        <v/>
      </c>
      <c r="Q181">
        <f>PROPER(TRIM(SUBSTITUTE(SUBSTITUTE(SUBSTITUTE(SUBSTITUTE(E181,"TRESEMME","Tresemme"),"HEAD &amp; SHOULDERS","Head &amp; Shoulders"),"ELVIVE","Elvive"),"FRUCTIS","Fructis")))</f>
        <v/>
      </c>
      <c r="R181">
        <f>COUNTIF($D$2:$D$10000,D181)&gt;1</f>
        <v/>
      </c>
      <c r="S181">
        <f>IF(H181=TRUE,"Disponible","No disponible")</f>
        <v/>
      </c>
      <c r="T181">
        <f>IF(AND(ISNUMBER(I181),I181&gt;0),ROUND(F181/I181,2),"Sin volumen")</f>
        <v/>
      </c>
      <c r="U181">
        <f>IF(F181&lt;5000,"Bajo",IF(F181&lt;15000,"Medio","Alto"))</f>
        <v/>
      </c>
    </row>
    <row r="182">
      <c r="A182" s="10" t="inlineStr">
        <is>
          <t>Disco</t>
        </is>
      </c>
      <c r="B182" s="10" t="n">
        <v>397916</v>
      </c>
      <c r="C182" s="10" t="n">
        <v>395651</v>
      </c>
      <c r="D182" s="10" t="inlineStr">
        <is>
          <t>Acondicionador Liso Perfecto 340 Ml Sedal</t>
        </is>
      </c>
      <c r="E182" s="10" t="inlineStr">
        <is>
          <t>SEDAL</t>
        </is>
      </c>
      <c r="F182" s="10" t="n">
        <v>5437</v>
      </c>
      <c r="G182" s="10" t="n">
        <v>449339</v>
      </c>
      <c r="H182" s="10" t="b">
        <v>1</v>
      </c>
      <c r="I182" s="10" t="n">
        <v>340</v>
      </c>
      <c r="J182" s="10" t="n">
        <v>15.9912</v>
      </c>
      <c r="K182" s="10" t="inlineStr">
        <is>
          <t>&gt; Perfumería &gt; Cuidado Capilar &gt; Acondicionador &gt;</t>
        </is>
      </c>
      <c r="L182" s="10" t="inlineStr">
        <is>
          <t>acondicionador</t>
        </is>
      </c>
      <c r="M182" s="10" t="inlineStr">
        <is>
          <t>estandar</t>
        </is>
      </c>
      <c r="N182" s="10" t="inlineStr">
        <is>
          <t>general</t>
        </is>
      </c>
      <c r="O182" s="10" t="inlineStr">
        <is>
          <t>https://www.disco.com.ar/acondicionador-liso-perfecto-340-ml-sedal/p</t>
        </is>
      </c>
      <c r="P182" s="12">
        <f>TRIM(CLEAN(PROPER(D182)))</f>
        <v/>
      </c>
      <c r="Q182" s="12">
        <f>PROPER(TRIM(SUBSTITUTE(SUBSTITUTE(SUBSTITUTE(SUBSTITUTE(E182,"TRESEMME","Tresemme"),"HEAD &amp; SHOULDERS","Head &amp; Shoulders"),"ELVIVE","Elvive"),"FRUCTIS","Fructis")))</f>
        <v/>
      </c>
      <c r="R182" s="12">
        <f>COUNTIF($D$2:$D$10000,D182)&gt;1</f>
        <v/>
      </c>
      <c r="S182" s="12">
        <f>IF(H182=TRUE,"Disponible","No disponible")</f>
        <v/>
      </c>
      <c r="T182" s="12">
        <f>IF(AND(ISNUMBER(I182),I182&gt;0),ROUND(F182/I182,2),"Sin volumen")</f>
        <v/>
      </c>
      <c r="U182" s="12">
        <f>IF(F182&lt;5000,"Bajo",IF(F182&lt;15000,"Medio","Alto"))</f>
        <v/>
      </c>
    </row>
    <row r="183">
      <c r="A183" t="inlineStr">
        <is>
          <t>Disco</t>
        </is>
      </c>
      <c r="B183" t="n">
        <v>416913</v>
      </c>
      <c r="C183" t="n">
        <v>412457</v>
      </c>
      <c r="D183" t="inlineStr">
        <is>
          <t>Acondicionador Elvive Extraordinario Rizos 400 Ml</t>
        </is>
      </c>
      <c r="E183" t="inlineStr">
        <is>
          <t>ELVIVE</t>
        </is>
      </c>
      <c r="F183" t="n">
        <v>11900</v>
      </c>
      <c r="G183" t="n">
        <v>983471</v>
      </c>
      <c r="H183" t="b">
        <v>1</v>
      </c>
      <c r="I183" t="n">
        <v>400</v>
      </c>
      <c r="J183" t="n">
        <v>29.75</v>
      </c>
      <c r="K183" t="inlineStr">
        <is>
          <t>&gt; Perfumería &gt; Cuidado Capilar &gt; Acondicionador &gt;</t>
        </is>
      </c>
      <c r="L183" t="inlineStr">
        <is>
          <t>acondicionador</t>
        </is>
      </c>
      <c r="M183" t="inlineStr">
        <is>
          <t>profesional</t>
        </is>
      </c>
      <c r="N183" t="inlineStr">
        <is>
          <t>rizado</t>
        </is>
      </c>
      <c r="O183" t="inlineStr">
        <is>
          <t>https://www.disco.com.ar/acondicionador-elvive-extraordinario-rizos-400-ml/p</t>
        </is>
      </c>
      <c r="P183">
        <f>TRIM(CLEAN(PROPER(D183)))</f>
        <v/>
      </c>
      <c r="Q183">
        <f>PROPER(TRIM(SUBSTITUTE(SUBSTITUTE(SUBSTITUTE(SUBSTITUTE(E183,"TRESEMME","Tresemme"),"HEAD &amp; SHOULDERS","Head &amp; Shoulders"),"ELVIVE","Elvive"),"FRUCTIS","Fructis")))</f>
        <v/>
      </c>
      <c r="R183">
        <f>COUNTIF($D$2:$D$10000,D183)&gt;1</f>
        <v/>
      </c>
      <c r="S183">
        <f>IF(H183=TRUE,"Disponible","No disponible")</f>
        <v/>
      </c>
      <c r="T183">
        <f>IF(AND(ISNUMBER(I183),I183&gt;0),ROUND(F183/I183,2),"Sin volumen")</f>
        <v/>
      </c>
      <c r="U183">
        <f>IF(F183&lt;5000,"Bajo",IF(F183&lt;15000,"Medio","Alto"))</f>
        <v/>
      </c>
    </row>
    <row r="184">
      <c r="A184" s="10" t="inlineStr">
        <is>
          <t>Disco</t>
        </is>
      </c>
      <c r="B184" s="10" t="n">
        <v>400529</v>
      </c>
      <c r="C184" s="10" t="n">
        <v>397867</v>
      </c>
      <c r="D184" s="10" t="inlineStr">
        <is>
          <t>Acondicionador Hidra Hialurónico 750 Ml Elvive</t>
        </is>
      </c>
      <c r="E184" s="10" t="inlineStr">
        <is>
          <t>ELVIVE</t>
        </is>
      </c>
      <c r="F184" s="10" t="n">
        <v>19150</v>
      </c>
      <c r="G184" s="10" t="n">
        <v>1582645</v>
      </c>
      <c r="H184" s="10" t="b">
        <v>1</v>
      </c>
      <c r="I184" s="10" t="n">
        <v>750</v>
      </c>
      <c r="J184" s="10" t="n">
        <v>25.5333</v>
      </c>
      <c r="K184" s="10" t="inlineStr">
        <is>
          <t>&gt; Perfumería &gt; Cuidado Capilar &gt; Acondicionador &gt;</t>
        </is>
      </c>
      <c r="L184" s="10" t="inlineStr">
        <is>
          <t>acondicionador</t>
        </is>
      </c>
      <c r="M184" s="10" t="inlineStr">
        <is>
          <t>profesional</t>
        </is>
      </c>
      <c r="N184" s="10" t="inlineStr">
        <is>
          <t>general</t>
        </is>
      </c>
      <c r="O184" s="10" t="inlineStr">
        <is>
          <t>https://www.disco.com.ar/acodicionador-elvive-hidra-con-acido-hialuronico-750-ml/p</t>
        </is>
      </c>
      <c r="P184" s="12">
        <f>TRIM(CLEAN(PROPER(D184)))</f>
        <v/>
      </c>
      <c r="Q184" s="12">
        <f>PROPER(TRIM(SUBSTITUTE(SUBSTITUTE(SUBSTITUTE(SUBSTITUTE(E184,"TRESEMME","Tresemme"),"HEAD &amp; SHOULDERS","Head &amp; Shoulders"),"ELVIVE","Elvive"),"FRUCTIS","Fructis")))</f>
        <v/>
      </c>
      <c r="R184" s="12">
        <f>COUNTIF($D$2:$D$10000,D184)&gt;1</f>
        <v/>
      </c>
      <c r="S184" s="12">
        <f>IF(H184=TRUE,"Disponible","No disponible")</f>
        <v/>
      </c>
      <c r="T184" s="12">
        <f>IF(AND(ISNUMBER(I184),I184&gt;0),ROUND(F184/I184,2),"Sin volumen")</f>
        <v/>
      </c>
      <c r="U184" s="12">
        <f>IF(F184&lt;5000,"Bajo",IF(F184&lt;15000,"Medio","Alto"))</f>
        <v/>
      </c>
    </row>
    <row r="185">
      <c r="A185" t="inlineStr">
        <is>
          <t>Disco</t>
        </is>
      </c>
      <c r="B185" t="n">
        <v>397911</v>
      </c>
      <c r="C185" t="n">
        <v>395646</v>
      </c>
      <c r="D185" t="inlineStr">
        <is>
          <t>Acondicionador Sedal Ceramidas Botella 650 Ml</t>
        </is>
      </c>
      <c r="E185" t="inlineStr">
        <is>
          <t>SEDAL</t>
        </is>
      </c>
      <c r="F185" t="n">
        <v>9000</v>
      </c>
      <c r="G185" t="n">
        <v>743802</v>
      </c>
      <c r="H185" t="b">
        <v>1</v>
      </c>
      <c r="I185" t="n">
        <v>650</v>
      </c>
      <c r="J185" t="n">
        <v>13.8462</v>
      </c>
      <c r="K185" t="inlineStr">
        <is>
          <t>&gt; Perfumería &gt; Cuidado Capilar &gt; Acondicionador &gt;</t>
        </is>
      </c>
      <c r="L185" t="inlineStr">
        <is>
          <t>acondicionador</t>
        </is>
      </c>
      <c r="M185" t="inlineStr">
        <is>
          <t>estandar</t>
        </is>
      </c>
      <c r="N185" t="inlineStr">
        <is>
          <t>general</t>
        </is>
      </c>
      <c r="O185" t="inlineStr">
        <is>
          <t>https://www.disco.com.ar/acondicionador-sedal-ceramidas-botella-650-ml-2/p</t>
        </is>
      </c>
      <c r="P185">
        <f>TRIM(CLEAN(PROPER(D185)))</f>
        <v/>
      </c>
      <c r="Q185">
        <f>PROPER(TRIM(SUBSTITUTE(SUBSTITUTE(SUBSTITUTE(SUBSTITUTE(E185,"TRESEMME","Tresemme"),"HEAD &amp; SHOULDERS","Head &amp; Shoulders"),"ELVIVE","Elvive"),"FRUCTIS","Fructis")))</f>
        <v/>
      </c>
      <c r="R185">
        <f>COUNTIF($D$2:$D$10000,D185)&gt;1</f>
        <v/>
      </c>
      <c r="S185">
        <f>IF(H185=TRUE,"Disponible","No disponible")</f>
        <v/>
      </c>
      <c r="T185">
        <f>IF(AND(ISNUMBER(I185),I185&gt;0),ROUND(F185/I185,2),"Sin volumen")</f>
        <v/>
      </c>
      <c r="U185">
        <f>IF(F185&lt;5000,"Bajo",IF(F185&lt;15000,"Medio","Alto"))</f>
        <v/>
      </c>
    </row>
    <row r="186">
      <c r="A186" s="10" t="inlineStr">
        <is>
          <t>Disco</t>
        </is>
      </c>
      <c r="B186" s="10" t="n">
        <v>22051</v>
      </c>
      <c r="C186" s="10" t="n">
        <v>19214</v>
      </c>
      <c r="D186" s="10" t="inlineStr">
        <is>
          <t>Acondicionador Brillo Extremo 410 Ml Capilatis Acondicionador Capilatis Brillo Extremo 410 Ml</t>
        </is>
      </c>
      <c r="E186" s="10" t="inlineStr">
        <is>
          <t>CAPILATIS</t>
        </is>
      </c>
      <c r="F186" s="10" t="n">
        <v>9750</v>
      </c>
      <c r="G186" s="10" t="n">
        <v>805785</v>
      </c>
      <c r="H186" s="10" t="b">
        <v>1</v>
      </c>
      <c r="I186" s="10" t="n">
        <v>410</v>
      </c>
      <c r="J186" s="10" t="n">
        <v>23.7805</v>
      </c>
      <c r="K186" s="10" t="inlineStr">
        <is>
          <t>&gt; Perfumería &gt; Cuidado Capilar &gt; Acondicionador &gt;</t>
        </is>
      </c>
      <c r="L186" s="10" t="inlineStr">
        <is>
          <t>acondicionador</t>
        </is>
      </c>
      <c r="M186" s="10" t="inlineStr">
        <is>
          <t>estandar</t>
        </is>
      </c>
      <c r="N186" s="10" t="inlineStr">
        <is>
          <t>general</t>
        </is>
      </c>
      <c r="O186" s="10" t="inlineStr">
        <is>
          <t>https://www.disco.com.ar/acondicionador-capilatis-brillo-extremo-410-ml/p</t>
        </is>
      </c>
      <c r="P186" s="12">
        <f>TRIM(CLEAN(PROPER(D186)))</f>
        <v/>
      </c>
      <c r="Q186" s="12">
        <f>PROPER(TRIM(SUBSTITUTE(SUBSTITUTE(SUBSTITUTE(SUBSTITUTE(E186,"TRESEMME","Tresemme"),"HEAD &amp; SHOULDERS","Head &amp; Shoulders"),"ELVIVE","Elvive"),"FRUCTIS","Fructis")))</f>
        <v/>
      </c>
      <c r="R186" s="12">
        <f>COUNTIF($D$2:$D$10000,D186)&gt;1</f>
        <v/>
      </c>
      <c r="S186" s="12">
        <f>IF(H186=TRUE,"Disponible","No disponible")</f>
        <v/>
      </c>
      <c r="T186" s="12">
        <f>IF(AND(ISNUMBER(I186),I186&gt;0),ROUND(F186/I186,2),"Sin volumen")</f>
        <v/>
      </c>
      <c r="U186" s="12">
        <f>IF(F186&lt;5000,"Bajo",IF(F186&lt;15000,"Medio","Alto"))</f>
        <v/>
      </c>
    </row>
    <row r="187">
      <c r="A187" t="inlineStr">
        <is>
          <t>Disco</t>
        </is>
      </c>
      <c r="B187" t="n">
        <v>393570</v>
      </c>
      <c r="C187" t="n">
        <v>391598</v>
      </c>
      <c r="D187" t="inlineStr">
        <is>
          <t>Acondicionador Dove Regeneración Extrema 200 Ml</t>
        </is>
      </c>
      <c r="E187" t="inlineStr">
        <is>
          <t>DOVE</t>
        </is>
      </c>
      <c r="F187" t="n">
        <v>6150</v>
      </c>
      <c r="G187" t="n">
        <v>508264</v>
      </c>
      <c r="H187" t="b">
        <v>1</v>
      </c>
      <c r="I187" t="n">
        <v>200</v>
      </c>
      <c r="J187" t="n">
        <v>30.75</v>
      </c>
      <c r="K187" t="inlineStr">
        <is>
          <t>&gt; Perfumería &gt; Cuidado Capilar &gt; Acondicionador &gt;</t>
        </is>
      </c>
      <c r="L187" t="inlineStr">
        <is>
          <t>acondicionador</t>
        </is>
      </c>
      <c r="M187" t="inlineStr">
        <is>
          <t>estandar</t>
        </is>
      </c>
      <c r="N187" t="inlineStr">
        <is>
          <t>general</t>
        </is>
      </c>
      <c r="O187" t="inlineStr">
        <is>
          <t>https://www.disco.com.ar/acondicionador-dove-regeneracion-extrema-200-ml-2/p</t>
        </is>
      </c>
      <c r="P187">
        <f>TRIM(CLEAN(PROPER(D187)))</f>
        <v/>
      </c>
      <c r="Q187">
        <f>PROPER(TRIM(SUBSTITUTE(SUBSTITUTE(SUBSTITUTE(SUBSTITUTE(E187,"TRESEMME","Tresemme"),"HEAD &amp; SHOULDERS","Head &amp; Shoulders"),"ELVIVE","Elvive"),"FRUCTIS","Fructis")))</f>
        <v/>
      </c>
      <c r="R187">
        <f>COUNTIF($D$2:$D$10000,D187)&gt;1</f>
        <v/>
      </c>
      <c r="S187">
        <f>IF(H187=TRUE,"Disponible","No disponible")</f>
        <v/>
      </c>
      <c r="T187">
        <f>IF(AND(ISNUMBER(I187),I187&gt;0),ROUND(F187/I187,2),"Sin volumen")</f>
        <v/>
      </c>
      <c r="U187">
        <f>IF(F187&lt;5000,"Bajo",IF(F187&lt;15000,"Medio","Alto"))</f>
        <v/>
      </c>
    </row>
    <row r="188">
      <c r="A188" s="10" t="inlineStr">
        <is>
          <t>Disco</t>
        </is>
      </c>
      <c r="B188" s="10" t="n">
        <v>393569</v>
      </c>
      <c r="C188" s="10" t="n">
        <v>391597</v>
      </c>
      <c r="D188" s="10" t="inlineStr">
        <is>
          <t>Acondicionador Dove Reconstrucción Completa 400 Ml</t>
        </is>
      </c>
      <c r="E188" s="10" t="inlineStr">
        <is>
          <t>DOVE</t>
        </is>
      </c>
      <c r="F188" s="10" t="n">
        <v>9150</v>
      </c>
      <c r="G188" s="10" t="n">
        <v>756198</v>
      </c>
      <c r="H188" s="10" t="b">
        <v>1</v>
      </c>
      <c r="I188" s="10" t="n">
        <v>400</v>
      </c>
      <c r="J188" s="10" t="n">
        <v>22.875</v>
      </c>
      <c r="K188" s="10" t="inlineStr">
        <is>
          <t>&gt; Perfumería &gt; Cuidado Capilar &gt; Acondicionador &gt;</t>
        </is>
      </c>
      <c r="L188" s="10" t="inlineStr">
        <is>
          <t>acondicionador</t>
        </is>
      </c>
      <c r="M188" s="10" t="inlineStr">
        <is>
          <t>estandar</t>
        </is>
      </c>
      <c r="N188" s="10" t="inlineStr">
        <is>
          <t>general</t>
        </is>
      </c>
      <c r="O188" s="10" t="inlineStr">
        <is>
          <t>https://www.disco.com.ar/acondicionador-dove-reconstruccion-completa-400-ml-3/p</t>
        </is>
      </c>
      <c r="P188" s="12">
        <f>TRIM(CLEAN(PROPER(D188)))</f>
        <v/>
      </c>
      <c r="Q188" s="12">
        <f>PROPER(TRIM(SUBSTITUTE(SUBSTITUTE(SUBSTITUTE(SUBSTITUTE(E188,"TRESEMME","Tresemme"),"HEAD &amp; SHOULDERS","Head &amp; Shoulders"),"ELVIVE","Elvive"),"FRUCTIS","Fructis")))</f>
        <v/>
      </c>
      <c r="R188" s="12">
        <f>COUNTIF($D$2:$D$10000,D188)&gt;1</f>
        <v/>
      </c>
      <c r="S188" s="12">
        <f>IF(H188=TRUE,"Disponible","No disponible")</f>
        <v/>
      </c>
      <c r="T188" s="12">
        <f>IF(AND(ISNUMBER(I188),I188&gt;0),ROUND(F188/I188,2),"Sin volumen")</f>
        <v/>
      </c>
      <c r="U188" s="12">
        <f>IF(F188&lt;5000,"Bajo",IF(F188&lt;15000,"Medio","Alto"))</f>
        <v/>
      </c>
    </row>
    <row r="189">
      <c r="A189" t="inlineStr">
        <is>
          <t>Disco</t>
        </is>
      </c>
      <c r="B189" t="n">
        <v>407565</v>
      </c>
      <c r="C189" t="n">
        <v>403754</v>
      </c>
      <c r="D189" t="inlineStr">
        <is>
          <t>Acondicionador Elvive Reparación Total 400 Ml</t>
        </is>
      </c>
      <c r="E189" t="inlineStr">
        <is>
          <t>ELVIVE</t>
        </is>
      </c>
      <c r="F189" t="n">
        <v>12300</v>
      </c>
      <c r="G189" t="n">
        <v>1016529</v>
      </c>
      <c r="H189" t="b">
        <v>1</v>
      </c>
      <c r="I189" t="n">
        <v>400</v>
      </c>
      <c r="J189" t="n">
        <v>30.75</v>
      </c>
      <c r="K189" t="inlineStr">
        <is>
          <t>&gt; Perfumería &gt; Cuidado Capilar &gt; Acondicionador &gt;</t>
        </is>
      </c>
      <c r="L189" t="inlineStr">
        <is>
          <t>acondicionador</t>
        </is>
      </c>
      <c r="M189" t="inlineStr">
        <is>
          <t>profesional</t>
        </is>
      </c>
      <c r="N189" t="inlineStr">
        <is>
          <t>general</t>
        </is>
      </c>
      <c r="O189" t="inlineStr">
        <is>
          <t>https://www.disco.com.ar/acondicionador-elvive-reparacion-total-400-ml/p</t>
        </is>
      </c>
      <c r="P189">
        <f>TRIM(CLEAN(PROPER(D189)))</f>
        <v/>
      </c>
      <c r="Q189">
        <f>PROPER(TRIM(SUBSTITUTE(SUBSTITUTE(SUBSTITUTE(SUBSTITUTE(E189,"TRESEMME","Tresemme"),"HEAD &amp; SHOULDERS","Head &amp; Shoulders"),"ELVIVE","Elvive"),"FRUCTIS","Fructis")))</f>
        <v/>
      </c>
      <c r="R189">
        <f>COUNTIF($D$2:$D$10000,D189)&gt;1</f>
        <v/>
      </c>
      <c r="S189">
        <f>IF(H189=TRUE,"Disponible","No disponible")</f>
        <v/>
      </c>
      <c r="T189">
        <f>IF(AND(ISNUMBER(I189),I189&gt;0),ROUND(F189/I189,2),"Sin volumen")</f>
        <v/>
      </c>
      <c r="U189">
        <f>IF(F189&lt;5000,"Bajo",IF(F189&lt;15000,"Medio","Alto"))</f>
        <v/>
      </c>
    </row>
    <row r="190">
      <c r="A190" s="10" t="inlineStr">
        <is>
          <t>Disco</t>
        </is>
      </c>
      <c r="B190" s="10" t="n">
        <v>400612</v>
      </c>
      <c r="C190" s="10" t="n">
        <v>397950</v>
      </c>
      <c r="D190" s="10" t="inlineStr">
        <is>
          <t>Acondicionador Hidra Hialurónico 400 Ml Elvive</t>
        </is>
      </c>
      <c r="E190" s="10" t="inlineStr">
        <is>
          <t>ELVIVE</t>
        </is>
      </c>
      <c r="F190" s="10" t="n">
        <v>12300</v>
      </c>
      <c r="G190" s="10" t="n">
        <v>1016529</v>
      </c>
      <c r="H190" s="10" t="b">
        <v>1</v>
      </c>
      <c r="I190" s="10" t="n">
        <v>400</v>
      </c>
      <c r="J190" s="10" t="n">
        <v>30.75</v>
      </c>
      <c r="K190" s="10" t="inlineStr">
        <is>
          <t>&gt; Perfumería &gt; Cuidado Capilar &gt; Acondicionador &gt;</t>
        </is>
      </c>
      <c r="L190" s="10" t="inlineStr">
        <is>
          <t>acondicionador</t>
        </is>
      </c>
      <c r="M190" s="10" t="inlineStr">
        <is>
          <t>profesional</t>
        </is>
      </c>
      <c r="N190" s="10" t="inlineStr">
        <is>
          <t>general</t>
        </is>
      </c>
      <c r="O190" s="10" t="inlineStr">
        <is>
          <t>https://www.disco.com.ar/acondicionador-elvive-loreal-paris-hidra-hialuronico-400-ml/p</t>
        </is>
      </c>
      <c r="P190" s="12">
        <f>TRIM(CLEAN(PROPER(D190)))</f>
        <v/>
      </c>
      <c r="Q190" s="12">
        <f>PROPER(TRIM(SUBSTITUTE(SUBSTITUTE(SUBSTITUTE(SUBSTITUTE(E190,"TRESEMME","Tresemme"),"HEAD &amp; SHOULDERS","Head &amp; Shoulders"),"ELVIVE","Elvive"),"FRUCTIS","Fructis")))</f>
        <v/>
      </c>
      <c r="R190" s="12">
        <f>COUNTIF($D$2:$D$10000,D190)&gt;1</f>
        <v/>
      </c>
      <c r="S190" s="12">
        <f>IF(H190=TRUE,"Disponible","No disponible")</f>
        <v/>
      </c>
      <c r="T190" s="12">
        <f>IF(AND(ISNUMBER(I190),I190&gt;0),ROUND(F190/I190,2),"Sin volumen")</f>
        <v/>
      </c>
      <c r="U190" s="12">
        <f>IF(F190&lt;5000,"Bajo",IF(F190&lt;15000,"Medio","Alto"))</f>
        <v/>
      </c>
    </row>
    <row r="191">
      <c r="A191" t="inlineStr">
        <is>
          <t>Disco</t>
        </is>
      </c>
      <c r="B191" t="n">
        <v>397623</v>
      </c>
      <c r="C191" t="n">
        <v>395356</v>
      </c>
      <c r="D191" t="inlineStr">
        <is>
          <t>Acondicionador Hialurónico Pure 400 Ml Elvive</t>
        </is>
      </c>
      <c r="E191" t="inlineStr">
        <is>
          <t>ELVIVE</t>
        </is>
      </c>
      <c r="F191" t="n">
        <v>12300</v>
      </c>
      <c r="G191" t="n">
        <v>1016529</v>
      </c>
      <c r="H191" t="b">
        <v>1</v>
      </c>
      <c r="I191" t="n">
        <v>400</v>
      </c>
      <c r="J191" t="n">
        <v>30.75</v>
      </c>
      <c r="K191" t="inlineStr">
        <is>
          <t>&gt; Perfumería &gt; Cuidado Capilar &gt; Acondicionador &gt;</t>
        </is>
      </c>
      <c r="L191" t="inlineStr">
        <is>
          <t>acondicionador</t>
        </is>
      </c>
      <c r="M191" t="inlineStr">
        <is>
          <t>profesional</t>
        </is>
      </c>
      <c r="N191" t="inlineStr">
        <is>
          <t>general</t>
        </is>
      </c>
      <c r="O191" t="inlineStr">
        <is>
          <t>https://www.disco.com.ar/acondicionador-elvive-hialuronico-pure-400-ml/p</t>
        </is>
      </c>
      <c r="P191">
        <f>TRIM(CLEAN(PROPER(D191)))</f>
        <v/>
      </c>
      <c r="Q191">
        <f>PROPER(TRIM(SUBSTITUTE(SUBSTITUTE(SUBSTITUTE(SUBSTITUTE(E191,"TRESEMME","Tresemme"),"HEAD &amp; SHOULDERS","Head &amp; Shoulders"),"ELVIVE","Elvive"),"FRUCTIS","Fructis")))</f>
        <v/>
      </c>
      <c r="R191">
        <f>COUNTIF($D$2:$D$10000,D191)&gt;1</f>
        <v/>
      </c>
      <c r="S191">
        <f>IF(H191=TRUE,"Disponible","No disponible")</f>
        <v/>
      </c>
      <c r="T191">
        <f>IF(AND(ISNUMBER(I191),I191&gt;0),ROUND(F191/I191,2),"Sin volumen")</f>
        <v/>
      </c>
      <c r="U191">
        <f>IF(F191&lt;5000,"Bajo",IF(F191&lt;15000,"Medio","Alto"))</f>
        <v/>
      </c>
    </row>
    <row r="192">
      <c r="A192" s="10" t="inlineStr">
        <is>
          <t>Disco</t>
        </is>
      </c>
      <c r="B192" s="10" t="n">
        <v>3070284</v>
      </c>
      <c r="C192" s="10" t="n">
        <v>3069877</v>
      </c>
      <c r="D192" s="10" t="inlineStr">
        <is>
          <t>Acondicionador Ondas Boho 500 Ml Tresemmé</t>
        </is>
      </c>
      <c r="E192" s="10" t="inlineStr">
        <is>
          <t>TRESEMMÉ</t>
        </is>
      </c>
      <c r="F192" s="10" t="n">
        <v>10900</v>
      </c>
      <c r="G192" s="10" t="n">
        <v>900826</v>
      </c>
      <c r="H192" s="10" t="b">
        <v>1</v>
      </c>
      <c r="I192" s="10" t="n">
        <v>500</v>
      </c>
      <c r="J192" s="10" t="n">
        <v>21.8</v>
      </c>
      <c r="K192" s="10" t="inlineStr">
        <is>
          <t>&gt; Perfumería &gt; Cuidado Capilar &gt; Acondicionador &gt;</t>
        </is>
      </c>
      <c r="L192" s="10" t="inlineStr">
        <is>
          <t>acondicionador</t>
        </is>
      </c>
      <c r="M192" s="10" t="inlineStr">
        <is>
          <t>estandar</t>
        </is>
      </c>
      <c r="N192" s="10" t="inlineStr">
        <is>
          <t>general</t>
        </is>
      </c>
      <c r="O192" s="10" t="inlineStr">
        <is>
          <t>https://www.disco.com.ar/acondicionador-ondas-boho-x-500-ml-tresemme-2/p</t>
        </is>
      </c>
      <c r="P192" s="12">
        <f>TRIM(CLEAN(PROPER(D192)))</f>
        <v/>
      </c>
      <c r="Q192" s="12">
        <f>PROPER(TRIM(SUBSTITUTE(SUBSTITUTE(SUBSTITUTE(SUBSTITUTE(E192,"TRESEMME","Tresemme"),"HEAD &amp; SHOULDERS","Head &amp; Shoulders"),"ELVIVE","Elvive"),"FRUCTIS","Fructis")))</f>
        <v/>
      </c>
      <c r="R192" s="12">
        <f>COUNTIF($D$2:$D$10000,D192)&gt;1</f>
        <v/>
      </c>
      <c r="S192" s="12">
        <f>IF(H192=TRUE,"Disponible","No disponible")</f>
        <v/>
      </c>
      <c r="T192" s="12">
        <f>IF(AND(ISNUMBER(I192),I192&gt;0),ROUND(F192/I192,2),"Sin volumen")</f>
        <v/>
      </c>
      <c r="U192" s="12">
        <f>IF(F192&lt;5000,"Bajo",IF(F192&lt;15000,"Medio","Alto"))</f>
        <v/>
      </c>
    </row>
    <row r="193">
      <c r="A193" t="inlineStr">
        <is>
          <t>Disco</t>
        </is>
      </c>
      <c r="B193" t="n">
        <v>3070276</v>
      </c>
      <c r="C193" t="n">
        <v>3069869</v>
      </c>
      <c r="D193" t="inlineStr">
        <is>
          <t>Acondicionador Brillo Lamelar 500 Ml Tresemmé</t>
        </is>
      </c>
      <c r="E193" t="inlineStr">
        <is>
          <t>TRESEMMÉ</t>
        </is>
      </c>
      <c r="F193" t="n">
        <v>10900</v>
      </c>
      <c r="G193" t="n">
        <v>900826</v>
      </c>
      <c r="H193" t="b">
        <v>1</v>
      </c>
      <c r="I193" t="n">
        <v>500</v>
      </c>
      <c r="J193" t="n">
        <v>21.8</v>
      </c>
      <c r="K193" t="inlineStr">
        <is>
          <t>&gt; Perfumería &gt; Cuidado Capilar &gt; Acondicionador &gt;</t>
        </is>
      </c>
      <c r="L193" t="inlineStr">
        <is>
          <t>acondicionador</t>
        </is>
      </c>
      <c r="M193" t="inlineStr">
        <is>
          <t>estandar</t>
        </is>
      </c>
      <c r="N193" t="inlineStr">
        <is>
          <t>general</t>
        </is>
      </c>
      <c r="O193" t="inlineStr">
        <is>
          <t>https://www.disco.com.ar/acondicionador-brillo-lamelar-x-500-ml-tresemme-2/p</t>
        </is>
      </c>
      <c r="P193">
        <f>TRIM(CLEAN(PROPER(D193)))</f>
        <v/>
      </c>
      <c r="Q193">
        <f>PROPER(TRIM(SUBSTITUTE(SUBSTITUTE(SUBSTITUTE(SUBSTITUTE(E193,"TRESEMME","Tresemme"),"HEAD &amp; SHOULDERS","Head &amp; Shoulders"),"ELVIVE","Elvive"),"FRUCTIS","Fructis")))</f>
        <v/>
      </c>
      <c r="R193">
        <f>COUNTIF($D$2:$D$10000,D193)&gt;1</f>
        <v/>
      </c>
      <c r="S193">
        <f>IF(H193=TRUE,"Disponible","No disponible")</f>
        <v/>
      </c>
      <c r="T193">
        <f>IF(AND(ISNUMBER(I193),I193&gt;0),ROUND(F193/I193,2),"Sin volumen")</f>
        <v/>
      </c>
      <c r="U193">
        <f>IF(F193&lt;5000,"Bajo",IF(F193&lt;15000,"Medio","Alto"))</f>
        <v/>
      </c>
    </row>
    <row r="194">
      <c r="A194" s="10" t="inlineStr">
        <is>
          <t>Disco</t>
        </is>
      </c>
      <c r="B194" s="10" t="n">
        <v>397908</v>
      </c>
      <c r="C194" s="10" t="n">
        <v>395643</v>
      </c>
      <c r="D194" s="10" t="inlineStr">
        <is>
          <t>Acondicionador Restauración Instantánea 340 Ml Sedal</t>
        </is>
      </c>
      <c r="E194" s="10" t="inlineStr">
        <is>
          <t>SEDAL</t>
        </is>
      </c>
      <c r="F194" s="10" t="n">
        <v>5600</v>
      </c>
      <c r="G194" s="10" t="n">
        <v>462810</v>
      </c>
      <c r="H194" s="10" t="b">
        <v>1</v>
      </c>
      <c r="I194" s="10" t="n">
        <v>340</v>
      </c>
      <c r="J194" s="10" t="n">
        <v>16.4706</v>
      </c>
      <c r="K194" s="10" t="inlineStr">
        <is>
          <t>&gt; Perfumería &gt; Cuidado Capilar &gt; Acondicionador &gt;</t>
        </is>
      </c>
      <c r="L194" s="10" t="inlineStr">
        <is>
          <t>acondicionador</t>
        </is>
      </c>
      <c r="M194" s="10" t="inlineStr">
        <is>
          <t>estandar</t>
        </is>
      </c>
      <c r="N194" s="10" t="inlineStr">
        <is>
          <t>general</t>
        </is>
      </c>
      <c r="O194" s="10" t="inlineStr">
        <is>
          <t>https://www.disco.com.ar/acondicionador-restauracion-instantanea-340-ml-sedal/p</t>
        </is>
      </c>
      <c r="P194" s="12">
        <f>TRIM(CLEAN(PROPER(D194)))</f>
        <v/>
      </c>
      <c r="Q194" s="12">
        <f>PROPER(TRIM(SUBSTITUTE(SUBSTITUTE(SUBSTITUTE(SUBSTITUTE(E194,"TRESEMME","Tresemme"),"HEAD &amp; SHOULDERS","Head &amp; Shoulders"),"ELVIVE","Elvive"),"FRUCTIS","Fructis")))</f>
        <v/>
      </c>
      <c r="R194" s="12">
        <f>COUNTIF($D$2:$D$10000,D194)&gt;1</f>
        <v/>
      </c>
      <c r="S194" s="12">
        <f>IF(H194=TRUE,"Disponible","No disponible")</f>
        <v/>
      </c>
      <c r="T194" s="12">
        <f>IF(AND(ISNUMBER(I194),I194&gt;0),ROUND(F194/I194,2),"Sin volumen")</f>
        <v/>
      </c>
      <c r="U194" s="12">
        <f>IF(F194&lt;5000,"Bajo",IF(F194&lt;15000,"Medio","Alto"))</f>
        <v/>
      </c>
    </row>
    <row r="195">
      <c r="A195" t="inlineStr">
        <is>
          <t>Disco</t>
        </is>
      </c>
      <c r="B195" t="n">
        <v>397629</v>
      </c>
      <c r="C195" t="n">
        <v>395362</v>
      </c>
      <c r="D195" t="inlineStr">
        <is>
          <t>Acondicionador Elvive Hialuronico Pure 200 Ml</t>
        </is>
      </c>
      <c r="E195" t="inlineStr">
        <is>
          <t>ELVIVE</t>
        </is>
      </c>
      <c r="F195" t="n">
        <v>7650</v>
      </c>
      <c r="G195" t="n">
        <v>632231</v>
      </c>
      <c r="H195" t="b">
        <v>1</v>
      </c>
      <c r="I195" t="n">
        <v>200</v>
      </c>
      <c r="J195" t="n">
        <v>38.25</v>
      </c>
      <c r="K195" t="inlineStr">
        <is>
          <t>&gt; Perfumería &gt; Cuidado Capilar &gt; Acondicionador &gt;</t>
        </is>
      </c>
      <c r="L195" t="inlineStr">
        <is>
          <t>acondicionador</t>
        </is>
      </c>
      <c r="M195" t="inlineStr">
        <is>
          <t>profesional</t>
        </is>
      </c>
      <c r="N195" t="inlineStr">
        <is>
          <t>general</t>
        </is>
      </c>
      <c r="O195" t="inlineStr">
        <is>
          <t>https://www.disco.com.ar/acondicionador-elvive-hialuronico-pure-200-ml/p</t>
        </is>
      </c>
      <c r="P195">
        <f>TRIM(CLEAN(PROPER(D195)))</f>
        <v/>
      </c>
      <c r="Q195">
        <f>PROPER(TRIM(SUBSTITUTE(SUBSTITUTE(SUBSTITUTE(SUBSTITUTE(E195,"TRESEMME","Tresemme"),"HEAD &amp; SHOULDERS","Head &amp; Shoulders"),"ELVIVE","Elvive"),"FRUCTIS","Fructis")))</f>
        <v/>
      </c>
      <c r="R195">
        <f>COUNTIF($D$2:$D$10000,D195)&gt;1</f>
        <v/>
      </c>
      <c r="S195">
        <f>IF(H195=TRUE,"Disponible","No disponible")</f>
        <v/>
      </c>
      <c r="T195">
        <f>IF(AND(ISNUMBER(I195),I195&gt;0),ROUND(F195/I195,2),"Sin volumen")</f>
        <v/>
      </c>
      <c r="U195">
        <f>IF(F195&lt;5000,"Bajo",IF(F195&lt;15000,"Medio","Alto"))</f>
        <v/>
      </c>
    </row>
    <row r="196">
      <c r="A196" s="10" t="inlineStr">
        <is>
          <t>Disco</t>
        </is>
      </c>
      <c r="B196" s="10" t="n">
        <v>3078384</v>
      </c>
      <c r="C196" s="10" t="n">
        <v>3077728</v>
      </c>
      <c r="D196" s="10" t="inlineStr">
        <is>
          <t>Acondicionador Dove Bond Uv Repair 250ml</t>
        </is>
      </c>
      <c r="E196" s="10" t="inlineStr">
        <is>
          <t>DOVE</t>
        </is>
      </c>
      <c r="F196" s="10" t="n">
        <v>9550</v>
      </c>
      <c r="G196" s="10" t="n">
        <v>789256</v>
      </c>
      <c r="H196" s="10" t="b">
        <v>1</v>
      </c>
      <c r="I196" s="10" t="n">
        <v>250</v>
      </c>
      <c r="J196" s="10" t="n">
        <v>38.2</v>
      </c>
      <c r="K196" s="10" t="inlineStr">
        <is>
          <t>&gt; Perfumería &gt; Cuidado Capilar &gt; Acondicionador &gt;</t>
        </is>
      </c>
      <c r="L196" s="10" t="inlineStr">
        <is>
          <t>acondicionador</t>
        </is>
      </c>
      <c r="M196" s="10" t="inlineStr">
        <is>
          <t>profesional</t>
        </is>
      </c>
      <c r="N196" s="10" t="inlineStr">
        <is>
          <t>general</t>
        </is>
      </c>
      <c r="O196" s="10" t="inlineStr">
        <is>
          <t>https://www.disco.com.ar/acondicionador-dove-bond-uv-repair-250ml/p</t>
        </is>
      </c>
      <c r="P196" s="12">
        <f>TRIM(CLEAN(PROPER(D196)))</f>
        <v/>
      </c>
      <c r="Q196" s="12">
        <f>PROPER(TRIM(SUBSTITUTE(SUBSTITUTE(SUBSTITUTE(SUBSTITUTE(E196,"TRESEMME","Tresemme"),"HEAD &amp; SHOULDERS","Head &amp; Shoulders"),"ELVIVE","Elvive"),"FRUCTIS","Fructis")))</f>
        <v/>
      </c>
      <c r="R196" s="12">
        <f>COUNTIF($D$2:$D$10000,D196)&gt;1</f>
        <v/>
      </c>
      <c r="S196" s="12">
        <f>IF(H196=TRUE,"Disponible","No disponible")</f>
        <v/>
      </c>
      <c r="T196" s="12">
        <f>IF(AND(ISNUMBER(I196),I196&gt;0),ROUND(F196/I196,2),"Sin volumen")</f>
        <v/>
      </c>
      <c r="U196" s="12">
        <f>IF(F196&lt;5000,"Bajo",IF(F196&lt;15000,"Medio","Alto"))</f>
        <v/>
      </c>
    </row>
    <row r="197">
      <c r="A197" t="inlineStr">
        <is>
          <t>Disco</t>
        </is>
      </c>
      <c r="B197" t="n">
        <v>413356</v>
      </c>
      <c r="C197" t="n">
        <v>409215</v>
      </c>
      <c r="D197" t="inlineStr">
        <is>
          <t>Acondicionador Keratina Antifrizz 250 Ml Tresemmé</t>
        </is>
      </c>
      <c r="E197" t="inlineStr">
        <is>
          <t>TRESEMMÉ</t>
        </is>
      </c>
      <c r="F197" t="n">
        <v>6350</v>
      </c>
      <c r="G197" t="n">
        <v>524793</v>
      </c>
      <c r="H197" t="b">
        <v>1</v>
      </c>
      <c r="I197" t="n">
        <v>250</v>
      </c>
      <c r="J197" t="n">
        <v>25.4</v>
      </c>
      <c r="K197" t="inlineStr">
        <is>
          <t>&gt; Perfumería &gt; Cuidado Capilar &gt; Acondicionador &gt;</t>
        </is>
      </c>
      <c r="L197" t="inlineStr">
        <is>
          <t>acondicionador</t>
        </is>
      </c>
      <c r="M197" t="inlineStr">
        <is>
          <t>estandar</t>
        </is>
      </c>
      <c r="N197" t="inlineStr">
        <is>
          <t>tratado</t>
        </is>
      </c>
      <c r="O197" t="inlineStr">
        <is>
          <t>https://www.disco.com.ar/acondicionador-keratina-antifrizz-x-250-ml-tresemme/p</t>
        </is>
      </c>
      <c r="P197">
        <f>TRIM(CLEAN(PROPER(D197)))</f>
        <v/>
      </c>
      <c r="Q197">
        <f>PROPER(TRIM(SUBSTITUTE(SUBSTITUTE(SUBSTITUTE(SUBSTITUTE(E197,"TRESEMME","Tresemme"),"HEAD &amp; SHOULDERS","Head &amp; Shoulders"),"ELVIVE","Elvive"),"FRUCTIS","Fructis")))</f>
        <v/>
      </c>
      <c r="R197">
        <f>COUNTIF($D$2:$D$10000,D197)&gt;1</f>
        <v/>
      </c>
      <c r="S197">
        <f>IF(H197=TRUE,"Disponible","No disponible")</f>
        <v/>
      </c>
      <c r="T197">
        <f>IF(AND(ISNUMBER(I197),I197&gt;0),ROUND(F197/I197,2),"Sin volumen")</f>
        <v/>
      </c>
      <c r="U197">
        <f>IF(F197&lt;5000,"Bajo",IF(F197&lt;15000,"Medio","Alto"))</f>
        <v/>
      </c>
    </row>
    <row r="198">
      <c r="A198" s="10" t="inlineStr">
        <is>
          <t>Disco</t>
        </is>
      </c>
      <c r="B198" s="10" t="n">
        <v>411254</v>
      </c>
      <c r="C198" s="10" t="n">
        <v>407094</v>
      </c>
      <c r="D198" s="10" t="inlineStr">
        <is>
          <t>Acondicionador Prebióticos Biotina 340 Ml Sedal</t>
        </is>
      </c>
      <c r="E198" s="10" t="inlineStr">
        <is>
          <t>SEDAL</t>
        </is>
      </c>
      <c r="F198" s="10" t="n">
        <v>5950</v>
      </c>
      <c r="G198" s="10" t="n">
        <v>491736</v>
      </c>
      <c r="H198" s="10" t="b">
        <v>1</v>
      </c>
      <c r="I198" s="10" t="n">
        <v>340</v>
      </c>
      <c r="J198" s="10" t="n">
        <v>17.5</v>
      </c>
      <c r="K198" s="10" t="inlineStr">
        <is>
          <t>&gt; Perfumería &gt; Cuidado Capilar &gt; Acondicionador &gt;</t>
        </is>
      </c>
      <c r="L198" s="10" t="inlineStr">
        <is>
          <t>acondicionador</t>
        </is>
      </c>
      <c r="M198" s="10" t="inlineStr">
        <is>
          <t>estandar</t>
        </is>
      </c>
      <c r="N198" s="10" t="inlineStr">
        <is>
          <t>general</t>
        </is>
      </c>
      <c r="O198" s="10" t="inlineStr">
        <is>
          <t>https://www.disco.com.ar/acondicionador-prebioticos-biotina-340-ml-sedal/p</t>
        </is>
      </c>
      <c r="P198" s="12">
        <f>TRIM(CLEAN(PROPER(D198)))</f>
        <v/>
      </c>
      <c r="Q198" s="12">
        <f>PROPER(TRIM(SUBSTITUTE(SUBSTITUTE(SUBSTITUTE(SUBSTITUTE(E198,"TRESEMME","Tresemme"),"HEAD &amp; SHOULDERS","Head &amp; Shoulders"),"ELVIVE","Elvive"),"FRUCTIS","Fructis")))</f>
        <v/>
      </c>
      <c r="R198" s="12">
        <f>COUNTIF($D$2:$D$10000,D198)&gt;1</f>
        <v/>
      </c>
      <c r="S198" s="12">
        <f>IF(H198=TRUE,"Disponible","No disponible")</f>
        <v/>
      </c>
      <c r="T198" s="12">
        <f>IF(AND(ISNUMBER(I198),I198&gt;0),ROUND(F198/I198,2),"Sin volumen")</f>
        <v/>
      </c>
      <c r="U198" s="12">
        <f>IF(F198&lt;5000,"Bajo",IF(F198&lt;15000,"Medio","Alto"))</f>
        <v/>
      </c>
    </row>
    <row r="199">
      <c r="A199" t="inlineStr">
        <is>
          <t>Disco</t>
        </is>
      </c>
      <c r="B199" t="n">
        <v>3079031</v>
      </c>
      <c r="C199" t="n">
        <v>3078355</v>
      </c>
      <c r="D199" t="inlineStr">
        <is>
          <t>Acondicionador Herbal Essences Rosa Mosqueta 240ml</t>
        </is>
      </c>
      <c r="E199" t="inlineStr">
        <is>
          <t>HERBAL ESSENCES</t>
        </is>
      </c>
      <c r="F199" t="n">
        <v>13500</v>
      </c>
      <c r="G199" t="n">
        <v>1115702</v>
      </c>
      <c r="H199" t="b">
        <v>1</v>
      </c>
      <c r="I199" t="n">
        <v>240</v>
      </c>
      <c r="J199" t="n">
        <v>56.25</v>
      </c>
      <c r="K199" t="inlineStr">
        <is>
          <t>&gt; Perfumería &gt; Cuidado Capilar &gt; Acondicionador &gt;</t>
        </is>
      </c>
      <c r="L199" t="inlineStr">
        <is>
          <t>acondicionador</t>
        </is>
      </c>
      <c r="M199" t="inlineStr">
        <is>
          <t>estandar</t>
        </is>
      </c>
      <c r="N199" t="inlineStr">
        <is>
          <t>general</t>
        </is>
      </c>
      <c r="O199" t="inlineStr">
        <is>
          <t>https://www.disco.com.ar/acondicionador-herbal-essences-rosa-mosqueta-240ml/p</t>
        </is>
      </c>
      <c r="P199">
        <f>TRIM(CLEAN(PROPER(D199)))</f>
        <v/>
      </c>
      <c r="Q199">
        <f>PROPER(TRIM(SUBSTITUTE(SUBSTITUTE(SUBSTITUTE(SUBSTITUTE(E199,"TRESEMME","Tresemme"),"HEAD &amp; SHOULDERS","Head &amp; Shoulders"),"ELVIVE","Elvive"),"FRUCTIS","Fructis")))</f>
        <v/>
      </c>
      <c r="R199">
        <f>COUNTIF($D$2:$D$10000,D199)&gt;1</f>
        <v/>
      </c>
      <c r="S199">
        <f>IF(H199=TRUE,"Disponible","No disponible")</f>
        <v/>
      </c>
      <c r="T199">
        <f>IF(AND(ISNUMBER(I199),I199&gt;0),ROUND(F199/I199,2),"Sin volumen")</f>
        <v/>
      </c>
      <c r="U199">
        <f>IF(F199&lt;5000,"Bajo",IF(F199&lt;15000,"Medio","Alto"))</f>
        <v/>
      </c>
    </row>
    <row r="200">
      <c r="A200" s="10" t="inlineStr">
        <is>
          <t>Disco</t>
        </is>
      </c>
      <c r="B200" s="10" t="n">
        <v>3070282</v>
      </c>
      <c r="C200" s="10" t="n">
        <v>3069875</v>
      </c>
      <c r="D200" s="10" t="inlineStr">
        <is>
          <t>Acondicionador Keratina Antifrizz 500 Ml Tresemmé</t>
        </is>
      </c>
      <c r="E200" s="10" t="inlineStr">
        <is>
          <t>TRESEMMÉ</t>
        </is>
      </c>
      <c r="F200" s="10" t="n">
        <v>10900</v>
      </c>
      <c r="G200" s="10" t="n">
        <v>900826</v>
      </c>
      <c r="H200" s="10" t="b">
        <v>1</v>
      </c>
      <c r="I200" s="10" t="n">
        <v>500</v>
      </c>
      <c r="J200" s="10" t="n">
        <v>21.8</v>
      </c>
      <c r="K200" s="10" t="inlineStr">
        <is>
          <t>&gt; Perfumería &gt; Cuidado Capilar &gt; Acondicionador &gt;</t>
        </is>
      </c>
      <c r="L200" s="10" t="inlineStr">
        <is>
          <t>acondicionador</t>
        </is>
      </c>
      <c r="M200" s="10" t="inlineStr">
        <is>
          <t>estandar</t>
        </is>
      </c>
      <c r="N200" s="10" t="inlineStr">
        <is>
          <t>tratado</t>
        </is>
      </c>
      <c r="O200" s="10" t="inlineStr">
        <is>
          <t>https://www.disco.com.ar/acondicionador-keratina-antifrizz-x-500-ml-tresemme-2/p</t>
        </is>
      </c>
      <c r="P200" s="12">
        <f>TRIM(CLEAN(PROPER(D200)))</f>
        <v/>
      </c>
      <c r="Q200" s="12">
        <f>PROPER(TRIM(SUBSTITUTE(SUBSTITUTE(SUBSTITUTE(SUBSTITUTE(E200,"TRESEMME","Tresemme"),"HEAD &amp; SHOULDERS","Head &amp; Shoulders"),"ELVIVE","Elvive"),"FRUCTIS","Fructis")))</f>
        <v/>
      </c>
      <c r="R200" s="12">
        <f>COUNTIF($D$2:$D$10000,D200)&gt;1</f>
        <v/>
      </c>
      <c r="S200" s="12">
        <f>IF(H200=TRUE,"Disponible","No disponible")</f>
        <v/>
      </c>
      <c r="T200" s="12">
        <f>IF(AND(ISNUMBER(I200),I200&gt;0),ROUND(F200/I200,2),"Sin volumen")</f>
        <v/>
      </c>
      <c r="U200" s="12">
        <f>IF(F200&lt;5000,"Bajo",IF(F200&lt;15000,"Medio","Alto"))</f>
        <v/>
      </c>
    </row>
    <row r="201">
      <c r="A201" t="inlineStr">
        <is>
          <t>Disco</t>
        </is>
      </c>
      <c r="B201" t="n">
        <v>397929</v>
      </c>
      <c r="C201" t="n">
        <v>395664</v>
      </c>
      <c r="D201" t="inlineStr">
        <is>
          <t>Acondicionador Crema Balance 340 Ml Sedal</t>
        </is>
      </c>
      <c r="E201" t="inlineStr">
        <is>
          <t>SEDAL</t>
        </is>
      </c>
      <c r="F201" t="n">
        <v>5439</v>
      </c>
      <c r="G201" t="n">
        <v>449504</v>
      </c>
      <c r="H201" t="b">
        <v>1</v>
      </c>
      <c r="I201" t="n">
        <v>340</v>
      </c>
      <c r="J201" t="n">
        <v>15.9971</v>
      </c>
      <c r="K201" t="inlineStr">
        <is>
          <t>&gt; Perfumería &gt; Cuidado Capilar &gt; Acondicionador &gt;</t>
        </is>
      </c>
      <c r="L201" t="inlineStr">
        <is>
          <t>acondicionador</t>
        </is>
      </c>
      <c r="M201" t="inlineStr">
        <is>
          <t>estandar</t>
        </is>
      </c>
      <c r="N201" t="inlineStr">
        <is>
          <t>general</t>
        </is>
      </c>
      <c r="O201" t="inlineStr">
        <is>
          <t>https://www.disco.com.ar/acondicionador-crema-balance-340-ml-sedal/p</t>
        </is>
      </c>
      <c r="P201">
        <f>TRIM(CLEAN(PROPER(D201)))</f>
        <v/>
      </c>
      <c r="Q201">
        <f>PROPER(TRIM(SUBSTITUTE(SUBSTITUTE(SUBSTITUTE(SUBSTITUTE(E201,"TRESEMME","Tresemme"),"HEAD &amp; SHOULDERS","Head &amp; Shoulders"),"ELVIVE","Elvive"),"FRUCTIS","Fructis")))</f>
        <v/>
      </c>
      <c r="R201">
        <f>COUNTIF($D$2:$D$10000,D201)&gt;1</f>
        <v/>
      </c>
      <c r="S201">
        <f>IF(H201=TRUE,"Disponible","No disponible")</f>
        <v/>
      </c>
      <c r="T201">
        <f>IF(AND(ISNUMBER(I201),I201&gt;0),ROUND(F201/I201,2),"Sin volumen")</f>
        <v/>
      </c>
      <c r="U201">
        <f>IF(F201&lt;5000,"Bajo",IF(F201&lt;15000,"Medio","Alto"))</f>
        <v/>
      </c>
    </row>
    <row r="202">
      <c r="A202" s="10" t="inlineStr">
        <is>
          <t>Disco</t>
        </is>
      </c>
      <c r="B202" s="10" t="n">
        <v>339398</v>
      </c>
      <c r="C202" s="10" t="n">
        <v>338089</v>
      </c>
      <c r="D202" s="10" t="inlineStr">
        <is>
          <t>Acondicionador Recarga Nutritiva 650 Ml Fructis</t>
        </is>
      </c>
      <c r="E202" s="10" t="inlineStr">
        <is>
          <t>FRUCTIS</t>
        </is>
      </c>
      <c r="F202" s="10" t="n">
        <v>13150</v>
      </c>
      <c r="G202" s="10" t="n">
        <v>1086777</v>
      </c>
      <c r="H202" s="10" t="b">
        <v>1</v>
      </c>
      <c r="I202" s="10" t="n">
        <v>650</v>
      </c>
      <c r="J202" s="10" t="n">
        <v>20.2308</v>
      </c>
      <c r="K202" s="10" t="inlineStr">
        <is>
          <t>&gt; Perfumería &gt; Cuidado Capilar &gt; Acondicionador &gt;</t>
        </is>
      </c>
      <c r="L202" s="10" t="inlineStr">
        <is>
          <t>acondicionador</t>
        </is>
      </c>
      <c r="M202" s="10" t="inlineStr">
        <is>
          <t>estandar</t>
        </is>
      </c>
      <c r="N202" s="10" t="inlineStr">
        <is>
          <t>general</t>
        </is>
      </c>
      <c r="O202" s="10" t="inlineStr">
        <is>
          <t>https://www.disco.com.ar/acondicionador-recarga-nutritiva-650-ml-fructis/p</t>
        </is>
      </c>
      <c r="P202" s="12">
        <f>TRIM(CLEAN(PROPER(D202)))</f>
        <v/>
      </c>
      <c r="Q202" s="12">
        <f>PROPER(TRIM(SUBSTITUTE(SUBSTITUTE(SUBSTITUTE(SUBSTITUTE(E202,"TRESEMME","Tresemme"),"HEAD &amp; SHOULDERS","Head &amp; Shoulders"),"ELVIVE","Elvive"),"FRUCTIS","Fructis")))</f>
        <v/>
      </c>
      <c r="R202" s="12">
        <f>COUNTIF($D$2:$D$10000,D202)&gt;1</f>
        <v/>
      </c>
      <c r="S202" s="12">
        <f>IF(H202=TRUE,"Disponible","No disponible")</f>
        <v/>
      </c>
      <c r="T202" s="12">
        <f>IF(AND(ISNUMBER(I202),I202&gt;0),ROUND(F202/I202,2),"Sin volumen")</f>
        <v/>
      </c>
      <c r="U202" s="12">
        <f>IF(F202&lt;5000,"Bajo",IF(F202&lt;15000,"Medio","Alto"))</f>
        <v/>
      </c>
    </row>
    <row r="203">
      <c r="A203" t="inlineStr">
        <is>
          <t>Disco</t>
        </is>
      </c>
      <c r="B203" t="n">
        <v>3070158</v>
      </c>
      <c r="C203" t="n">
        <v>3069763</v>
      </c>
      <c r="D203" t="inlineStr">
        <is>
          <t>Acondicionador Colágeno Hidratación 510 Ml Pantene</t>
        </is>
      </c>
      <c r="E203" t="inlineStr">
        <is>
          <t>PANTENE</t>
        </is>
      </c>
      <c r="F203" t="n">
        <v>16950</v>
      </c>
      <c r="G203" t="n">
        <v>1400826</v>
      </c>
      <c r="H203" t="b">
        <v>1</v>
      </c>
      <c r="I203" t="n">
        <v>510</v>
      </c>
      <c r="J203" t="n">
        <v>33.2353</v>
      </c>
      <c r="K203" t="inlineStr">
        <is>
          <t>&gt; Perfumería &gt; Cuidado Capilar &gt; Acondicionador &gt;</t>
        </is>
      </c>
      <c r="L203" t="inlineStr">
        <is>
          <t>acondicionador</t>
        </is>
      </c>
      <c r="M203" t="inlineStr">
        <is>
          <t>estandar</t>
        </is>
      </c>
      <c r="N203" t="inlineStr">
        <is>
          <t>seco_danado</t>
        </is>
      </c>
      <c r="O203" t="inlineStr">
        <is>
          <t>https://www.disco.com.ar/acondicionador-colageno-x-510-ml-pantene-2/p</t>
        </is>
      </c>
      <c r="P203">
        <f>TRIM(CLEAN(PROPER(D203)))</f>
        <v/>
      </c>
      <c r="Q203">
        <f>PROPER(TRIM(SUBSTITUTE(SUBSTITUTE(SUBSTITUTE(SUBSTITUTE(E203,"TRESEMME","Tresemme"),"HEAD &amp; SHOULDERS","Head &amp; Shoulders"),"ELVIVE","Elvive"),"FRUCTIS","Fructis")))</f>
        <v/>
      </c>
      <c r="R203">
        <f>COUNTIF($D$2:$D$10000,D203)&gt;1</f>
        <v/>
      </c>
      <c r="S203">
        <f>IF(H203=TRUE,"Disponible","No disponible")</f>
        <v/>
      </c>
      <c r="T203">
        <f>IF(AND(ISNUMBER(I203),I203&gt;0),ROUND(F203/I203,2),"Sin volumen")</f>
        <v/>
      </c>
      <c r="U203">
        <f>IF(F203&lt;5000,"Bajo",IF(F203&lt;15000,"Medio","Alto"))</f>
        <v/>
      </c>
    </row>
    <row r="204">
      <c r="A204" s="10" t="inlineStr">
        <is>
          <t>Disco</t>
        </is>
      </c>
      <c r="B204" s="10" t="n">
        <v>396960</v>
      </c>
      <c r="C204" s="10" t="n">
        <v>394716</v>
      </c>
      <c r="D204" s="10" t="inlineStr">
        <is>
          <t>Acondicionador Largo Saludable 970 Ml Plusbelle</t>
        </is>
      </c>
      <c r="E204" s="10" t="inlineStr">
        <is>
          <t>PLUSBELLE</t>
        </is>
      </c>
      <c r="F204" s="10" t="n">
        <v>6500</v>
      </c>
      <c r="G204" s="10" t="n">
        <v>537190</v>
      </c>
      <c r="H204" s="10" t="b">
        <v>1</v>
      </c>
      <c r="I204" s="10" t="n">
        <v>970</v>
      </c>
      <c r="J204" s="10" t="n">
        <v>6.701</v>
      </c>
      <c r="K204" s="10" t="inlineStr">
        <is>
          <t>&gt; Perfumería &gt; Cuidado Capilar &gt; Acondicionador &gt;</t>
        </is>
      </c>
      <c r="L204" s="10" t="inlineStr">
        <is>
          <t>acondicionador</t>
        </is>
      </c>
      <c r="M204" s="10" t="inlineStr">
        <is>
          <t>estandar</t>
        </is>
      </c>
      <c r="N204" s="10" t="inlineStr">
        <is>
          <t>general</t>
        </is>
      </c>
      <c r="O204" s="10" t="inlineStr">
        <is>
          <t>https://www.disco.com.ar/acondicionador-largo-saludable-970-ml-plusbelle/p</t>
        </is>
      </c>
      <c r="P204" s="12">
        <f>TRIM(CLEAN(PROPER(D204)))</f>
        <v/>
      </c>
      <c r="Q204" s="12">
        <f>PROPER(TRIM(SUBSTITUTE(SUBSTITUTE(SUBSTITUTE(SUBSTITUTE(E204,"TRESEMME","Tresemme"),"HEAD &amp; SHOULDERS","Head &amp; Shoulders"),"ELVIVE","Elvive"),"FRUCTIS","Fructis")))</f>
        <v/>
      </c>
      <c r="R204" s="12">
        <f>COUNTIF($D$2:$D$10000,D204)&gt;1</f>
        <v/>
      </c>
      <c r="S204" s="12">
        <f>IF(H204=TRUE,"Disponible","No disponible")</f>
        <v/>
      </c>
      <c r="T204" s="12">
        <f>IF(AND(ISNUMBER(I204),I204&gt;0),ROUND(F204/I204,2),"Sin volumen")</f>
        <v/>
      </c>
      <c r="U204" s="12">
        <f>IF(F204&lt;5000,"Bajo",IF(F204&lt;15000,"Medio","Alto"))</f>
        <v/>
      </c>
    </row>
    <row r="205">
      <c r="A205" t="inlineStr">
        <is>
          <t>Disco</t>
        </is>
      </c>
      <c r="B205" t="n">
        <v>393577</v>
      </c>
      <c r="C205" t="n">
        <v>391605</v>
      </c>
      <c r="D205" t="inlineStr">
        <is>
          <t>Acondicionador Reconstrucción Completa 200 Ml Dove</t>
        </is>
      </c>
      <c r="E205" t="inlineStr">
        <is>
          <t>DOVE</t>
        </is>
      </c>
      <c r="F205" t="n">
        <v>6150</v>
      </c>
      <c r="G205" t="n">
        <v>508264</v>
      </c>
      <c r="H205" t="b">
        <v>1</v>
      </c>
      <c r="I205" t="n">
        <v>200</v>
      </c>
      <c r="J205" t="n">
        <v>30.75</v>
      </c>
      <c r="K205" t="inlineStr">
        <is>
          <t>&gt; Perfumería &gt; Cuidado Capilar &gt; Acondicionador &gt;</t>
        </is>
      </c>
      <c r="L205" t="inlineStr">
        <is>
          <t>acondicionador</t>
        </is>
      </c>
      <c r="M205" t="inlineStr">
        <is>
          <t>estandar</t>
        </is>
      </c>
      <c r="N205" t="inlineStr">
        <is>
          <t>general</t>
        </is>
      </c>
      <c r="O205" t="inlineStr">
        <is>
          <t>https://www.disco.com.ar/acondicionador-dove-reconstruccion-completa-200-ml-2/p</t>
        </is>
      </c>
      <c r="P205">
        <f>TRIM(CLEAN(PROPER(D205)))</f>
        <v/>
      </c>
      <c r="Q205">
        <f>PROPER(TRIM(SUBSTITUTE(SUBSTITUTE(SUBSTITUTE(SUBSTITUTE(E205,"TRESEMME","Tresemme"),"HEAD &amp; SHOULDERS","Head &amp; Shoulders"),"ELVIVE","Elvive"),"FRUCTIS","Fructis")))</f>
        <v/>
      </c>
      <c r="R205">
        <f>COUNTIF($D$2:$D$10000,D205)&gt;1</f>
        <v/>
      </c>
      <c r="S205">
        <f>IF(H205=TRUE,"Disponible","No disponible")</f>
        <v/>
      </c>
      <c r="T205">
        <f>IF(AND(ISNUMBER(I205),I205&gt;0),ROUND(F205/I205,2),"Sin volumen")</f>
        <v/>
      </c>
      <c r="U205">
        <f>IF(F205&lt;5000,"Bajo",IF(F205&lt;15000,"Medio","Alto"))</f>
        <v/>
      </c>
    </row>
    <row r="206">
      <c r="A206" s="10" t="inlineStr">
        <is>
          <t>Disco</t>
        </is>
      </c>
      <c r="B206" s="10" t="n">
        <v>393381</v>
      </c>
      <c r="C206" s="10" t="n">
        <v>391409</v>
      </c>
      <c r="D206" s="10" t="inlineStr">
        <is>
          <t>Acondicionador Rizos Definidos 340 Ml Sedal</t>
        </is>
      </c>
      <c r="E206" s="10" t="inlineStr">
        <is>
          <t>SEDAL</t>
        </is>
      </c>
      <c r="F206" s="10" t="n">
        <v>5600</v>
      </c>
      <c r="G206" s="10" t="n">
        <v>462810</v>
      </c>
      <c r="H206" s="10" t="b">
        <v>1</v>
      </c>
      <c r="I206" s="10" t="n">
        <v>340</v>
      </c>
      <c r="J206" s="10" t="n">
        <v>16.4706</v>
      </c>
      <c r="K206" s="10" t="inlineStr">
        <is>
          <t>&gt; Perfumería &gt; Cuidado Capilar &gt; Acondicionador &gt;</t>
        </is>
      </c>
      <c r="L206" s="10" t="inlineStr">
        <is>
          <t>acondicionador</t>
        </is>
      </c>
      <c r="M206" s="10" t="inlineStr">
        <is>
          <t>estandar</t>
        </is>
      </c>
      <c r="N206" s="10" t="inlineStr">
        <is>
          <t>rizado</t>
        </is>
      </c>
      <c r="O206" s="10" t="inlineStr">
        <is>
          <t>https://www.disco.com.ar/acondicionador-rizos-definidos-340-ml-sedal/p</t>
        </is>
      </c>
      <c r="P206" s="12">
        <f>TRIM(CLEAN(PROPER(D206)))</f>
        <v/>
      </c>
      <c r="Q206" s="12">
        <f>PROPER(TRIM(SUBSTITUTE(SUBSTITUTE(SUBSTITUTE(SUBSTITUTE(E206,"TRESEMME","Tresemme"),"HEAD &amp; SHOULDERS","Head &amp; Shoulders"),"ELVIVE","Elvive"),"FRUCTIS","Fructis")))</f>
        <v/>
      </c>
      <c r="R206" s="12">
        <f>COUNTIF($D$2:$D$10000,D206)&gt;1</f>
        <v/>
      </c>
      <c r="S206" s="12">
        <f>IF(H206=TRUE,"Disponible","No disponible")</f>
        <v/>
      </c>
      <c r="T206" s="12">
        <f>IF(AND(ISNUMBER(I206),I206&gt;0),ROUND(F206/I206,2),"Sin volumen")</f>
        <v/>
      </c>
      <c r="U206" s="12">
        <f>IF(F206&lt;5000,"Bajo",IF(F206&lt;15000,"Medio","Alto"))</f>
        <v/>
      </c>
    </row>
    <row r="207">
      <c r="A207" t="inlineStr">
        <is>
          <t>Disco</t>
        </is>
      </c>
      <c r="B207" t="n">
        <v>397180</v>
      </c>
      <c r="C207" t="n">
        <v>394921</v>
      </c>
      <c r="D207" t="inlineStr">
        <is>
          <t>Acondicionador Dove Regeneración Extrema 750 Ml</t>
        </is>
      </c>
      <c r="E207" t="inlineStr">
        <is>
          <t>DOVE</t>
        </is>
      </c>
      <c r="F207" t="n">
        <v>16500</v>
      </c>
      <c r="G207" t="n">
        <v>1363636</v>
      </c>
      <c r="H207" t="b">
        <v>1</v>
      </c>
      <c r="I207" t="n">
        <v>750</v>
      </c>
      <c r="J207" t="n">
        <v>22</v>
      </c>
      <c r="K207" t="inlineStr">
        <is>
          <t>&gt; Perfumería &gt; Cuidado Capilar &gt; Acondicionador &gt;</t>
        </is>
      </c>
      <c r="L207" t="inlineStr">
        <is>
          <t>acondicionador</t>
        </is>
      </c>
      <c r="M207" t="inlineStr">
        <is>
          <t>estandar</t>
        </is>
      </c>
      <c r="N207" t="inlineStr">
        <is>
          <t>general</t>
        </is>
      </c>
      <c r="O207" t="inlineStr">
        <is>
          <t>https://www.disco.com.ar/acondicionador-dove-regeneracion-extrema-750-ml-2/p</t>
        </is>
      </c>
      <c r="P207">
        <f>TRIM(CLEAN(PROPER(D207)))</f>
        <v/>
      </c>
      <c r="Q207">
        <f>PROPER(TRIM(SUBSTITUTE(SUBSTITUTE(SUBSTITUTE(SUBSTITUTE(E207,"TRESEMME","Tresemme"),"HEAD &amp; SHOULDERS","Head &amp; Shoulders"),"ELVIVE","Elvive"),"FRUCTIS","Fructis")))</f>
        <v/>
      </c>
      <c r="R207">
        <f>COUNTIF($D$2:$D$10000,D207)&gt;1</f>
        <v/>
      </c>
      <c r="S207">
        <f>IF(H207=TRUE,"Disponible","No disponible")</f>
        <v/>
      </c>
      <c r="T207">
        <f>IF(AND(ISNUMBER(I207),I207&gt;0),ROUND(F207/I207,2),"Sin volumen")</f>
        <v/>
      </c>
      <c r="U207">
        <f>IF(F207&lt;5000,"Bajo",IF(F207&lt;15000,"Medio","Alto"))</f>
        <v/>
      </c>
    </row>
    <row r="208">
      <c r="A208" s="10" t="inlineStr">
        <is>
          <t>Disco</t>
        </is>
      </c>
      <c r="B208" s="10" t="n">
        <v>3066238</v>
      </c>
      <c r="C208" s="10" t="n">
        <v>3066154</v>
      </c>
      <c r="D208" s="10" t="inlineStr">
        <is>
          <t>Acondicionador Luminous UV 650 Ml Sedal</t>
        </is>
      </c>
      <c r="E208" s="10" t="inlineStr">
        <is>
          <t>SEDAL</t>
        </is>
      </c>
      <c r="F208" s="10" t="n">
        <v>9550</v>
      </c>
      <c r="G208" s="10" t="n">
        <v>789256</v>
      </c>
      <c r="H208" s="10" t="b">
        <v>1</v>
      </c>
      <c r="I208" s="10" t="n">
        <v>650</v>
      </c>
      <c r="J208" s="10" t="n">
        <v>14.6923</v>
      </c>
      <c r="K208" s="10" t="inlineStr">
        <is>
          <t>&gt; Perfumería &gt; Cuidado Capilar &gt; Acondicionador &gt;</t>
        </is>
      </c>
      <c r="L208" s="10" t="inlineStr">
        <is>
          <t>acondicionador</t>
        </is>
      </c>
      <c r="M208" s="10" t="inlineStr">
        <is>
          <t>estandar</t>
        </is>
      </c>
      <c r="N208" s="10" t="inlineStr">
        <is>
          <t>general</t>
        </is>
      </c>
      <c r="O208" s="10" t="inlineStr">
        <is>
          <t>https://www.disco.com.ar/acondicionador-luminous-uv-x-650-ml-sedal-2/p</t>
        </is>
      </c>
      <c r="P208" s="12">
        <f>TRIM(CLEAN(PROPER(D208)))</f>
        <v/>
      </c>
      <c r="Q208" s="12">
        <f>PROPER(TRIM(SUBSTITUTE(SUBSTITUTE(SUBSTITUTE(SUBSTITUTE(E208,"TRESEMME","Tresemme"),"HEAD &amp; SHOULDERS","Head &amp; Shoulders"),"ELVIVE","Elvive"),"FRUCTIS","Fructis")))</f>
        <v/>
      </c>
      <c r="R208" s="12">
        <f>COUNTIF($D$2:$D$10000,D208)&gt;1</f>
        <v/>
      </c>
      <c r="S208" s="12">
        <f>IF(H208=TRUE,"Disponible","No disponible")</f>
        <v/>
      </c>
      <c r="T208" s="12">
        <f>IF(AND(ISNUMBER(I208),I208&gt;0),ROUND(F208/I208,2),"Sin volumen")</f>
        <v/>
      </c>
      <c r="U208" s="12">
        <f>IF(F208&lt;5000,"Bajo",IF(F208&lt;15000,"Medio","Alto"))</f>
        <v/>
      </c>
    </row>
    <row r="209">
      <c r="A209" t="inlineStr">
        <is>
          <t>Disco</t>
        </is>
      </c>
      <c r="B209" t="n">
        <v>397197</v>
      </c>
      <c r="C209" t="n">
        <v>394938</v>
      </c>
      <c r="D209" t="inlineStr">
        <is>
          <t>Acondicionador Goodbye Daños 350 Ml Fructis</t>
        </is>
      </c>
      <c r="E209" t="inlineStr">
        <is>
          <t>FRUCTIS</t>
        </is>
      </c>
      <c r="F209" t="n">
        <v>8650</v>
      </c>
      <c r="G209" t="n">
        <v>714876</v>
      </c>
      <c r="H209" t="b">
        <v>1</v>
      </c>
      <c r="I209" t="n">
        <v>350</v>
      </c>
      <c r="J209" t="n">
        <v>24.7143</v>
      </c>
      <c r="K209" t="inlineStr">
        <is>
          <t>&gt; Perfumería &gt; Cuidado Capilar &gt; Acondicionador &gt;</t>
        </is>
      </c>
      <c r="L209" t="inlineStr">
        <is>
          <t>acondicionador</t>
        </is>
      </c>
      <c r="M209" t="inlineStr">
        <is>
          <t>estandar</t>
        </is>
      </c>
      <c r="N209" t="inlineStr">
        <is>
          <t>general</t>
        </is>
      </c>
      <c r="O209" t="inlineStr">
        <is>
          <t>https://www.disco.com.ar/enjuague-cabello-danado-goodbye-danos-x350-fructis-garnier/p</t>
        </is>
      </c>
      <c r="P209">
        <f>TRIM(CLEAN(PROPER(D209)))</f>
        <v/>
      </c>
      <c r="Q209">
        <f>PROPER(TRIM(SUBSTITUTE(SUBSTITUTE(SUBSTITUTE(SUBSTITUTE(E209,"TRESEMME","Tresemme"),"HEAD &amp; SHOULDERS","Head &amp; Shoulders"),"ELVIVE","Elvive"),"FRUCTIS","Fructis")))</f>
        <v/>
      </c>
      <c r="R209">
        <f>COUNTIF($D$2:$D$10000,D209)&gt;1</f>
        <v/>
      </c>
      <c r="S209">
        <f>IF(H209=TRUE,"Disponible","No disponible")</f>
        <v/>
      </c>
      <c r="T209">
        <f>IF(AND(ISNUMBER(I209),I209&gt;0),ROUND(F209/I209,2),"Sin volumen")</f>
        <v/>
      </c>
      <c r="U209">
        <f>IF(F209&lt;5000,"Bajo",IF(F209&lt;15000,"Medio","Alto"))</f>
        <v/>
      </c>
    </row>
    <row r="210">
      <c r="A210" s="10" t="inlineStr">
        <is>
          <t>Disco</t>
        </is>
      </c>
      <c r="B210" s="10" t="n">
        <v>3070159</v>
      </c>
      <c r="C210" s="10" t="n">
        <v>3069766</v>
      </c>
      <c r="D210" s="10" t="inlineStr">
        <is>
          <t>Acondicionador Keratina X 510 Ml Pantene</t>
        </is>
      </c>
      <c r="E210" s="10" t="inlineStr">
        <is>
          <t>PANTENE</t>
        </is>
      </c>
      <c r="F210" s="10" t="n">
        <v>16900</v>
      </c>
      <c r="G210" s="10" t="n">
        <v>1396694</v>
      </c>
      <c r="H210" s="10" t="b">
        <v>1</v>
      </c>
      <c r="I210" s="10" t="n">
        <v>510</v>
      </c>
      <c r="J210" s="10" t="n">
        <v>33.1373</v>
      </c>
      <c r="K210" s="10" t="inlineStr">
        <is>
          <t>&gt; Perfumería &gt; Cuidado Capilar &gt; Acondicionador &gt;</t>
        </is>
      </c>
      <c r="L210" s="10" t="inlineStr">
        <is>
          <t>acondicionador</t>
        </is>
      </c>
      <c r="M210" s="10" t="inlineStr">
        <is>
          <t>estandar</t>
        </is>
      </c>
      <c r="N210" s="10" t="inlineStr">
        <is>
          <t>tratado</t>
        </is>
      </c>
      <c r="O210" s="10" t="inlineStr">
        <is>
          <t>https://www.disco.com.ar/acondicionador-keratina-x-510-ml-pantene/p</t>
        </is>
      </c>
      <c r="P210" s="12">
        <f>TRIM(CLEAN(PROPER(D210)))</f>
        <v/>
      </c>
      <c r="Q210" s="12">
        <f>PROPER(TRIM(SUBSTITUTE(SUBSTITUTE(SUBSTITUTE(SUBSTITUTE(E210,"TRESEMME","Tresemme"),"HEAD &amp; SHOULDERS","Head &amp; Shoulders"),"ELVIVE","Elvive"),"FRUCTIS","Fructis")))</f>
        <v/>
      </c>
      <c r="R210" s="12">
        <f>COUNTIF($D$2:$D$10000,D210)&gt;1</f>
        <v/>
      </c>
      <c r="S210" s="12">
        <f>IF(H210=TRUE,"Disponible","No disponible")</f>
        <v/>
      </c>
      <c r="T210" s="12">
        <f>IF(AND(ISNUMBER(I210),I210&gt;0),ROUND(F210/I210,2),"Sin volumen")</f>
        <v/>
      </c>
      <c r="U210" s="12">
        <f>IF(F210&lt;5000,"Bajo",IF(F210&lt;15000,"Medio","Alto"))</f>
        <v/>
      </c>
    </row>
    <row r="211">
      <c r="A211" t="inlineStr">
        <is>
          <t>Disco</t>
        </is>
      </c>
      <c r="B211" t="n">
        <v>3066243</v>
      </c>
      <c r="C211" t="n">
        <v>3066159</v>
      </c>
      <c r="D211" t="inlineStr">
        <is>
          <t>Acondicionador Luminous UV 190 Ml Sedal</t>
        </is>
      </c>
      <c r="E211" t="inlineStr">
        <is>
          <t>SEDAL</t>
        </is>
      </c>
      <c r="F211" t="n">
        <v>4000</v>
      </c>
      <c r="G211" t="n">
        <v>330579</v>
      </c>
      <c r="H211" t="b">
        <v>1</v>
      </c>
      <c r="I211" t="n">
        <v>190</v>
      </c>
      <c r="J211" t="n">
        <v>21.0526</v>
      </c>
      <c r="K211" t="inlineStr">
        <is>
          <t>&gt; Perfumería &gt; Cuidado Capilar &gt; Acondicionador &gt;</t>
        </is>
      </c>
      <c r="L211" t="inlineStr">
        <is>
          <t>acondicionador</t>
        </is>
      </c>
      <c r="M211" t="inlineStr">
        <is>
          <t>estandar</t>
        </is>
      </c>
      <c r="N211" t="inlineStr">
        <is>
          <t>general</t>
        </is>
      </c>
      <c r="O211" t="inlineStr">
        <is>
          <t>https://www.disco.com.ar/acondicionador-luminous-uv-x-190-ml-sedal-2/p</t>
        </is>
      </c>
      <c r="P211">
        <f>TRIM(CLEAN(PROPER(D211)))</f>
        <v/>
      </c>
      <c r="Q211">
        <f>PROPER(TRIM(SUBSTITUTE(SUBSTITUTE(SUBSTITUTE(SUBSTITUTE(E211,"TRESEMME","Tresemme"),"HEAD &amp; SHOULDERS","Head &amp; Shoulders"),"ELVIVE","Elvive"),"FRUCTIS","Fructis")))</f>
        <v/>
      </c>
      <c r="R211">
        <f>COUNTIF($D$2:$D$10000,D211)&gt;1</f>
        <v/>
      </c>
      <c r="S211">
        <f>IF(H211=TRUE,"Disponible","No disponible")</f>
        <v/>
      </c>
      <c r="T211">
        <f>IF(AND(ISNUMBER(I211),I211&gt;0),ROUND(F211/I211,2),"Sin volumen")</f>
        <v/>
      </c>
      <c r="U211">
        <f>IF(F211&lt;5000,"Bajo",IF(F211&lt;15000,"Medio","Alto"))</f>
        <v/>
      </c>
    </row>
    <row r="212">
      <c r="A212" s="10" t="inlineStr">
        <is>
          <t>Disco</t>
        </is>
      </c>
      <c r="B212" s="10" t="n">
        <v>413326</v>
      </c>
      <c r="C212" s="10" t="n">
        <v>409131</v>
      </c>
      <c r="D212" s="10" t="inlineStr">
        <is>
          <t>Acondicionador Cauterización Reparadora 250 Ml Tresemmé</t>
        </is>
      </c>
      <c r="E212" s="10" t="inlineStr">
        <is>
          <t>TRESEMMÉ</t>
        </is>
      </c>
      <c r="F212" s="10" t="n">
        <v>6350</v>
      </c>
      <c r="G212" s="10" t="n">
        <v>524793</v>
      </c>
      <c r="H212" s="10" t="b">
        <v>1</v>
      </c>
      <c r="I212" s="10" t="n">
        <v>250</v>
      </c>
      <c r="J212" s="10" t="n">
        <v>25.4</v>
      </c>
      <c r="K212" s="10" t="inlineStr">
        <is>
          <t>&gt; Perfumería &gt; Cuidado Capilar &gt; Acondicionador &gt;</t>
        </is>
      </c>
      <c r="L212" s="10" t="inlineStr">
        <is>
          <t>acondicionador</t>
        </is>
      </c>
      <c r="M212" s="10" t="inlineStr">
        <is>
          <t>estandar</t>
        </is>
      </c>
      <c r="N212" s="10" t="inlineStr">
        <is>
          <t>general</t>
        </is>
      </c>
      <c r="O212" s="10" t="inlineStr">
        <is>
          <t>https://www.disco.com.ar/acondicionador-tresemme-cauterizacion-reparadora-250-ml/p</t>
        </is>
      </c>
      <c r="P212" s="12">
        <f>TRIM(CLEAN(PROPER(D212)))</f>
        <v/>
      </c>
      <c r="Q212" s="12">
        <f>PROPER(TRIM(SUBSTITUTE(SUBSTITUTE(SUBSTITUTE(SUBSTITUTE(E212,"TRESEMME","Tresemme"),"HEAD &amp; SHOULDERS","Head &amp; Shoulders"),"ELVIVE","Elvive"),"FRUCTIS","Fructis")))</f>
        <v/>
      </c>
      <c r="R212" s="12">
        <f>COUNTIF($D$2:$D$10000,D212)&gt;1</f>
        <v/>
      </c>
      <c r="S212" s="12">
        <f>IF(H212=TRUE,"Disponible","No disponible")</f>
        <v/>
      </c>
      <c r="T212" s="12">
        <f>IF(AND(ISNUMBER(I212),I212&gt;0),ROUND(F212/I212,2),"Sin volumen")</f>
        <v/>
      </c>
      <c r="U212" s="12">
        <f>IF(F212&lt;5000,"Bajo",IF(F212&lt;15000,"Medio","Alto"))</f>
        <v/>
      </c>
    </row>
    <row r="213">
      <c r="A213" t="inlineStr">
        <is>
          <t>Disco</t>
        </is>
      </c>
      <c r="B213" t="n">
        <v>397902</v>
      </c>
      <c r="C213" t="n">
        <v>395637</v>
      </c>
      <c r="D213" t="inlineStr">
        <is>
          <t>Acondicionador Sedal Hialurónico Y Vitamina A 340 Ml</t>
        </is>
      </c>
      <c r="E213" t="inlineStr">
        <is>
          <t>SEDAL</t>
        </is>
      </c>
      <c r="F213" t="n">
        <v>5469</v>
      </c>
      <c r="G213" t="n">
        <v>451983</v>
      </c>
      <c r="H213" t="b">
        <v>1</v>
      </c>
      <c r="I213" t="n">
        <v>340</v>
      </c>
      <c r="J213" t="n">
        <v>16.0853</v>
      </c>
      <c r="K213" t="inlineStr">
        <is>
          <t>&gt; Perfumería &gt; Cuidado Capilar &gt; Acondicionador &gt;</t>
        </is>
      </c>
      <c r="L213" t="inlineStr">
        <is>
          <t>acondicionador</t>
        </is>
      </c>
      <c r="M213" t="inlineStr">
        <is>
          <t>estandar</t>
        </is>
      </c>
      <c r="N213" t="inlineStr">
        <is>
          <t>general</t>
        </is>
      </c>
      <c r="O213" t="inlineStr">
        <is>
          <t>https://www.disco.com.ar/acondicionador-sedal-hialuronico-y-vitamina-a-340-ml-2/p</t>
        </is>
      </c>
      <c r="P213">
        <f>TRIM(CLEAN(PROPER(D213)))</f>
        <v/>
      </c>
      <c r="Q213">
        <f>PROPER(TRIM(SUBSTITUTE(SUBSTITUTE(SUBSTITUTE(SUBSTITUTE(E213,"TRESEMME","Tresemme"),"HEAD &amp; SHOULDERS","Head &amp; Shoulders"),"ELVIVE","Elvive"),"FRUCTIS","Fructis")))</f>
        <v/>
      </c>
      <c r="R213">
        <f>COUNTIF($D$2:$D$10000,D213)&gt;1</f>
        <v/>
      </c>
      <c r="S213">
        <f>IF(H213=TRUE,"Disponible","No disponible")</f>
        <v/>
      </c>
      <c r="T213">
        <f>IF(AND(ISNUMBER(I213),I213&gt;0),ROUND(F213/I213,2),"Sin volumen")</f>
        <v/>
      </c>
      <c r="U213">
        <f>IF(F213&lt;5000,"Bajo",IF(F213&lt;15000,"Medio","Alto"))</f>
        <v/>
      </c>
    </row>
    <row r="214">
      <c r="A214" s="10" t="inlineStr">
        <is>
          <t>Disco</t>
        </is>
      </c>
      <c r="B214" s="10" t="n">
        <v>1363724</v>
      </c>
      <c r="C214" s="10" t="n">
        <v>1362814</v>
      </c>
      <c r="D214" s="10" t="inlineStr">
        <is>
          <t>Acondicionador Bond Intense Repair 250 Ml Dove</t>
        </is>
      </c>
      <c r="E214" s="10" t="inlineStr">
        <is>
          <t>DOVE</t>
        </is>
      </c>
      <c r="F214" s="10" t="n">
        <v>9550</v>
      </c>
      <c r="G214" s="10" t="n">
        <v>789256</v>
      </c>
      <c r="H214" s="10" t="b">
        <v>1</v>
      </c>
      <c r="I214" s="10" t="n">
        <v>250</v>
      </c>
      <c r="J214" s="10" t="n">
        <v>38.2</v>
      </c>
      <c r="K214" s="10" t="inlineStr">
        <is>
          <t>&gt; Perfumería &gt; Cuidado Capilar &gt; Acondicionador &gt;</t>
        </is>
      </c>
      <c r="L214" s="10" t="inlineStr">
        <is>
          <t>acondicionador</t>
        </is>
      </c>
      <c r="M214" s="10" t="inlineStr">
        <is>
          <t>profesional</t>
        </is>
      </c>
      <c r="N214" s="10" t="inlineStr">
        <is>
          <t>general</t>
        </is>
      </c>
      <c r="O214" s="10" t="inlineStr">
        <is>
          <t>https://www.disco.com.ar/acondicionador-dove-bond-intense-repair-250-ml-2/p</t>
        </is>
      </c>
      <c r="P214" s="12">
        <f>TRIM(CLEAN(PROPER(D214)))</f>
        <v/>
      </c>
      <c r="Q214" s="12">
        <f>PROPER(TRIM(SUBSTITUTE(SUBSTITUTE(SUBSTITUTE(SUBSTITUTE(E214,"TRESEMME","Tresemme"),"HEAD &amp; SHOULDERS","Head &amp; Shoulders"),"ELVIVE","Elvive"),"FRUCTIS","Fructis")))</f>
        <v/>
      </c>
      <c r="R214" s="12">
        <f>COUNTIF($D$2:$D$10000,D214)&gt;1</f>
        <v/>
      </c>
      <c r="S214" s="12">
        <f>IF(H214=TRUE,"Disponible","No disponible")</f>
        <v/>
      </c>
      <c r="T214" s="12">
        <f>IF(AND(ISNUMBER(I214),I214&gt;0),ROUND(F214/I214,2),"Sin volumen")</f>
        <v/>
      </c>
      <c r="U214" s="12">
        <f>IF(F214&lt;5000,"Bajo",IF(F214&lt;15000,"Medio","Alto"))</f>
        <v/>
      </c>
    </row>
    <row r="215">
      <c r="A215" t="inlineStr">
        <is>
          <t>Disco</t>
        </is>
      </c>
      <c r="B215" t="n">
        <v>3071028</v>
      </c>
      <c r="C215" t="n">
        <v>3070598</v>
      </c>
      <c r="D215" t="inlineStr">
        <is>
          <t>Acondicionador Dream Liso X 200 Ml Elvive</t>
        </is>
      </c>
      <c r="E215" t="inlineStr">
        <is>
          <t>ELVIVE</t>
        </is>
      </c>
      <c r="F215" t="n">
        <v>8200</v>
      </c>
      <c r="G215" t="n">
        <v>677686</v>
      </c>
      <c r="H215" t="b">
        <v>1</v>
      </c>
      <c r="I215" t="n">
        <v>200</v>
      </c>
      <c r="J215" t="n">
        <v>41</v>
      </c>
      <c r="K215" t="inlineStr">
        <is>
          <t>&gt; Perfumería &gt; Cuidado Capilar &gt; Acondicionador &gt;</t>
        </is>
      </c>
      <c r="L215" t="inlineStr">
        <is>
          <t>acondicionador</t>
        </is>
      </c>
      <c r="M215" t="inlineStr">
        <is>
          <t>profesional</t>
        </is>
      </c>
      <c r="N215" t="inlineStr">
        <is>
          <t>general</t>
        </is>
      </c>
      <c r="O215" t="inlineStr">
        <is>
          <t>https://www.disco.com.ar/acondicionador-dream-liso-x-200-ml-elvive/p</t>
        </is>
      </c>
      <c r="P215">
        <f>TRIM(CLEAN(PROPER(D215)))</f>
        <v/>
      </c>
      <c r="Q215">
        <f>PROPER(TRIM(SUBSTITUTE(SUBSTITUTE(SUBSTITUTE(SUBSTITUTE(E215,"TRESEMME","Tresemme"),"HEAD &amp; SHOULDERS","Head &amp; Shoulders"),"ELVIVE","Elvive"),"FRUCTIS","Fructis")))</f>
        <v/>
      </c>
      <c r="R215">
        <f>COUNTIF($D$2:$D$10000,D215)&gt;1</f>
        <v/>
      </c>
      <c r="S215">
        <f>IF(H215=TRUE,"Disponible","No disponible")</f>
        <v/>
      </c>
      <c r="T215">
        <f>IF(AND(ISNUMBER(I215),I215&gt;0),ROUND(F215/I215,2),"Sin volumen")</f>
        <v/>
      </c>
      <c r="U215">
        <f>IF(F215&lt;5000,"Bajo",IF(F215&lt;15000,"Medio","Alto"))</f>
        <v/>
      </c>
    </row>
    <row r="216">
      <c r="A216" s="10" t="inlineStr">
        <is>
          <t>Disco</t>
        </is>
      </c>
      <c r="B216" s="10" t="n">
        <v>424299</v>
      </c>
      <c r="C216" s="10" t="n">
        <v>417179</v>
      </c>
      <c r="D216" s="10" t="inlineStr">
        <is>
          <t>Acondicionador Nutrición Óleo de Coco 700 Ml Plusbelle</t>
        </is>
      </c>
      <c r="E216" s="10" t="inlineStr">
        <is>
          <t>PLUSBELLE</t>
        </is>
      </c>
      <c r="F216" s="10" t="n">
        <v>5550</v>
      </c>
      <c r="G216" s="10" t="n">
        <v>458678</v>
      </c>
      <c r="H216" s="10" t="b">
        <v>1</v>
      </c>
      <c r="I216" s="10" t="n">
        <v>700</v>
      </c>
      <c r="J216" s="10" t="n">
        <v>7.9286</v>
      </c>
      <c r="K216" s="10" t="inlineStr">
        <is>
          <t>&gt; Perfumería &gt; Cuidado Capilar &gt; Acondicionador &gt;</t>
        </is>
      </c>
      <c r="L216" s="10" t="inlineStr">
        <is>
          <t>acondicionador</t>
        </is>
      </c>
      <c r="M216" s="10" t="inlineStr">
        <is>
          <t>estandar</t>
        </is>
      </c>
      <c r="N216" s="10" t="inlineStr">
        <is>
          <t>general</t>
        </is>
      </c>
      <c r="O216" s="10" t="inlineStr">
        <is>
          <t>https://www.disco.com.ar/acondicionador-plusbelle-esen-oleo-nut-coco-70-2/p</t>
        </is>
      </c>
      <c r="P216" s="12">
        <f>TRIM(CLEAN(PROPER(D216)))</f>
        <v/>
      </c>
      <c r="Q216" s="12">
        <f>PROPER(TRIM(SUBSTITUTE(SUBSTITUTE(SUBSTITUTE(SUBSTITUTE(E216,"TRESEMME","Tresemme"),"HEAD &amp; SHOULDERS","Head &amp; Shoulders"),"ELVIVE","Elvive"),"FRUCTIS","Fructis")))</f>
        <v/>
      </c>
      <c r="R216" s="12">
        <f>COUNTIF($D$2:$D$10000,D216)&gt;1</f>
        <v/>
      </c>
      <c r="S216" s="12">
        <f>IF(H216=TRUE,"Disponible","No disponible")</f>
        <v/>
      </c>
      <c r="T216" s="12">
        <f>IF(AND(ISNUMBER(I216),I216&gt;0),ROUND(F216/I216,2),"Sin volumen")</f>
        <v/>
      </c>
      <c r="U216" s="12">
        <f>IF(F216&lt;5000,"Bajo",IF(F216&lt;15000,"Medio","Alto"))</f>
        <v/>
      </c>
    </row>
    <row r="217">
      <c r="A217" t="inlineStr">
        <is>
          <t>Disco</t>
        </is>
      </c>
      <c r="B217" t="n">
        <v>3066020</v>
      </c>
      <c r="C217" t="n">
        <v>3065977</v>
      </c>
      <c r="D217" t="inlineStr">
        <is>
          <t>Acondicionador Anti Caida X 510 Ml Pantene</t>
        </is>
      </c>
      <c r="E217" t="inlineStr">
        <is>
          <t>PANTENE</t>
        </is>
      </c>
      <c r="F217" t="n">
        <v>16950</v>
      </c>
      <c r="G217" t="n">
        <v>1400826</v>
      </c>
      <c r="H217" t="b">
        <v>1</v>
      </c>
      <c r="I217" t="n">
        <v>510</v>
      </c>
      <c r="J217" t="n">
        <v>33.2353</v>
      </c>
      <c r="K217" t="inlineStr">
        <is>
          <t>&gt; Perfumería &gt; Cuidado Capilar &gt; Acondicionador &gt;</t>
        </is>
      </c>
      <c r="L217" t="inlineStr">
        <is>
          <t>acondicionador</t>
        </is>
      </c>
      <c r="M217" t="inlineStr">
        <is>
          <t>estandar</t>
        </is>
      </c>
      <c r="N217" t="inlineStr">
        <is>
          <t>general</t>
        </is>
      </c>
      <c r="O217" t="inlineStr">
        <is>
          <t>https://www.disco.com.ar/acondicionador-anti-caida-x-510-ml-pantene-2/p</t>
        </is>
      </c>
      <c r="P217">
        <f>TRIM(CLEAN(PROPER(D217)))</f>
        <v/>
      </c>
      <c r="Q217">
        <f>PROPER(TRIM(SUBSTITUTE(SUBSTITUTE(SUBSTITUTE(SUBSTITUTE(E217,"TRESEMME","Tresemme"),"HEAD &amp; SHOULDERS","Head &amp; Shoulders"),"ELVIVE","Elvive"),"FRUCTIS","Fructis")))</f>
        <v/>
      </c>
      <c r="R217">
        <f>COUNTIF($D$2:$D$10000,D217)&gt;1</f>
        <v/>
      </c>
      <c r="S217">
        <f>IF(H217=TRUE,"Disponible","No disponible")</f>
        <v/>
      </c>
      <c r="T217">
        <f>IF(AND(ISNUMBER(I217),I217&gt;0),ROUND(F217/I217,2),"Sin volumen")</f>
        <v/>
      </c>
      <c r="U217">
        <f>IF(F217&lt;5000,"Bajo",IF(F217&lt;15000,"Medio","Alto"))</f>
        <v/>
      </c>
    </row>
    <row r="218">
      <c r="A218" s="10" t="inlineStr">
        <is>
          <t>Disco</t>
        </is>
      </c>
      <c r="B218" s="10" t="n">
        <v>3086639</v>
      </c>
      <c r="C218" s="10" t="n">
        <v>3085863</v>
      </c>
      <c r="D218" s="10" t="inlineStr">
        <is>
          <t>Acondicionador Oil Control X 200 Ml Fructis</t>
        </is>
      </c>
      <c r="E218" s="10" t="inlineStr">
        <is>
          <t>FRUCTIS</t>
        </is>
      </c>
      <c r="F218" s="10" t="n">
        <v>5950</v>
      </c>
      <c r="G218" s="10" t="n">
        <v>491736</v>
      </c>
      <c r="H218" s="10" t="b">
        <v>1</v>
      </c>
      <c r="I218" s="10" t="n">
        <v>200</v>
      </c>
      <c r="J218" s="10" t="n">
        <v>29.75</v>
      </c>
      <c r="K218" s="10" t="inlineStr">
        <is>
          <t>&gt; Perfumería &gt; Cuidado Capilar &gt; Acondicionador &gt;</t>
        </is>
      </c>
      <c r="L218" s="10" t="inlineStr">
        <is>
          <t>acondicionador</t>
        </is>
      </c>
      <c r="M218" s="10" t="inlineStr">
        <is>
          <t>estandar</t>
        </is>
      </c>
      <c r="N218" s="10" t="inlineStr">
        <is>
          <t>general</t>
        </is>
      </c>
      <c r="O218" s="10" t="inlineStr">
        <is>
          <t>https://www.disco.com.ar/acondicionador-oil-control-x-200-ml-fructis/p</t>
        </is>
      </c>
      <c r="P218" s="12">
        <f>TRIM(CLEAN(PROPER(D218)))</f>
        <v/>
      </c>
      <c r="Q218" s="12">
        <f>PROPER(TRIM(SUBSTITUTE(SUBSTITUTE(SUBSTITUTE(SUBSTITUTE(E218,"TRESEMME","Tresemme"),"HEAD &amp; SHOULDERS","Head &amp; Shoulders"),"ELVIVE","Elvive"),"FRUCTIS","Fructis")))</f>
        <v/>
      </c>
      <c r="R218" s="12">
        <f>COUNTIF($D$2:$D$10000,D218)&gt;1</f>
        <v/>
      </c>
      <c r="S218" s="12">
        <f>IF(H218=TRUE,"Disponible","No disponible")</f>
        <v/>
      </c>
      <c r="T218" s="12">
        <f>IF(AND(ISNUMBER(I218),I218&gt;0),ROUND(F218/I218,2),"Sin volumen")</f>
        <v/>
      </c>
      <c r="U218" s="12">
        <f>IF(F218&lt;5000,"Bajo",IF(F218&lt;15000,"Medio","Alto"))</f>
        <v/>
      </c>
    </row>
    <row r="219">
      <c r="A219" t="inlineStr">
        <is>
          <t>Disco</t>
        </is>
      </c>
      <c r="B219" t="n">
        <v>1361437</v>
      </c>
      <c r="C219" t="n">
        <v>1360826</v>
      </c>
      <c r="D219" t="inlineStr">
        <is>
          <t>Acondicionador Nutrición Esencia Revitalizante 700 Ml Plusbelle Acondicionador Plusbelle Esencia Revitalizante</t>
        </is>
      </c>
      <c r="E219" t="inlineStr">
        <is>
          <t>PLUSBELLE</t>
        </is>
      </c>
      <c r="F219" t="n">
        <v>5650</v>
      </c>
      <c r="G219" t="n">
        <v>466942</v>
      </c>
      <c r="H219" t="b">
        <v>1</v>
      </c>
      <c r="I219" t="n">
        <v>700</v>
      </c>
      <c r="J219" t="n">
        <v>8.071400000000001</v>
      </c>
      <c r="K219" t="inlineStr">
        <is>
          <t>&gt; Perfumería &gt; Cuidado Capilar &gt; Acondicionador &gt;</t>
        </is>
      </c>
      <c r="L219" t="inlineStr">
        <is>
          <t>acondicionador</t>
        </is>
      </c>
      <c r="M219" t="inlineStr">
        <is>
          <t>estandar</t>
        </is>
      </c>
      <c r="N219" t="inlineStr">
        <is>
          <t>general</t>
        </is>
      </c>
      <c r="O219" t="inlineStr">
        <is>
          <t>https://www.disco.com.ar/acondicionador-plusbelle-esencia-revitalizante-2/p</t>
        </is>
      </c>
      <c r="P219">
        <f>TRIM(CLEAN(PROPER(D219)))</f>
        <v/>
      </c>
      <c r="Q219">
        <f>PROPER(TRIM(SUBSTITUTE(SUBSTITUTE(SUBSTITUTE(SUBSTITUTE(E219,"TRESEMME","Tresemme"),"HEAD &amp; SHOULDERS","Head &amp; Shoulders"),"ELVIVE","Elvive"),"FRUCTIS","Fructis")))</f>
        <v/>
      </c>
      <c r="R219">
        <f>COUNTIF($D$2:$D$10000,D219)&gt;1</f>
        <v/>
      </c>
      <c r="S219">
        <f>IF(H219=TRUE,"Disponible","No disponible")</f>
        <v/>
      </c>
      <c r="T219">
        <f>IF(AND(ISNUMBER(I219),I219&gt;0),ROUND(F219/I219,2),"Sin volumen")</f>
        <v/>
      </c>
      <c r="U219">
        <f>IF(F219&lt;5000,"Bajo",IF(F219&lt;15000,"Medio","Alto"))</f>
        <v/>
      </c>
    </row>
    <row r="220">
      <c r="A220" s="10" t="inlineStr">
        <is>
          <t>Disco</t>
        </is>
      </c>
      <c r="B220" s="10" t="n">
        <v>407572</v>
      </c>
      <c r="C220" s="10" t="n">
        <v>403761</v>
      </c>
      <c r="D220" s="10" t="inlineStr">
        <is>
          <t>Acondicionador Reparación Total Extreme 400 Ml Elvive</t>
        </is>
      </c>
      <c r="E220" s="10" t="inlineStr">
        <is>
          <t>ELVIVE</t>
        </is>
      </c>
      <c r="F220" s="10" t="n">
        <v>12300</v>
      </c>
      <c r="G220" s="10" t="n">
        <v>1016529</v>
      </c>
      <c r="H220" s="10" t="b">
        <v>1</v>
      </c>
      <c r="I220" s="10" t="n">
        <v>400</v>
      </c>
      <c r="J220" s="10" t="n">
        <v>30.75</v>
      </c>
      <c r="K220" s="10" t="inlineStr">
        <is>
          <t>&gt; Perfumería &gt; Cuidado Capilar &gt; Acondicionador &gt;</t>
        </is>
      </c>
      <c r="L220" s="10" t="inlineStr">
        <is>
          <t>acondicionador</t>
        </is>
      </c>
      <c r="M220" s="10" t="inlineStr">
        <is>
          <t>profesional</t>
        </is>
      </c>
      <c r="N220" s="10" t="inlineStr">
        <is>
          <t>general</t>
        </is>
      </c>
      <c r="O220" s="10" t="inlineStr">
        <is>
          <t>https://www.disco.com.ar/acondicionador-elvive-reparacion-total-extreme-400-ml/p</t>
        </is>
      </c>
      <c r="P220" s="12">
        <f>TRIM(CLEAN(PROPER(D220)))</f>
        <v/>
      </c>
      <c r="Q220" s="12">
        <f>PROPER(TRIM(SUBSTITUTE(SUBSTITUTE(SUBSTITUTE(SUBSTITUTE(E220,"TRESEMME","Tresemme"),"HEAD &amp; SHOULDERS","Head &amp; Shoulders"),"ELVIVE","Elvive"),"FRUCTIS","Fructis")))</f>
        <v/>
      </c>
      <c r="R220" s="12">
        <f>COUNTIF($D$2:$D$10000,D220)&gt;1</f>
        <v/>
      </c>
      <c r="S220" s="12">
        <f>IF(H220=TRUE,"Disponible","No disponible")</f>
        <v/>
      </c>
      <c r="T220" s="12">
        <f>IF(AND(ISNUMBER(I220),I220&gt;0),ROUND(F220/I220,2),"Sin volumen")</f>
        <v/>
      </c>
      <c r="U220" s="12">
        <f>IF(F220&lt;5000,"Bajo",IF(F220&lt;15000,"Medio","Alto"))</f>
        <v/>
      </c>
    </row>
    <row r="221">
      <c r="A221" t="inlineStr">
        <is>
          <t>Disco</t>
        </is>
      </c>
      <c r="B221" t="n">
        <v>394816</v>
      </c>
      <c r="C221" t="n">
        <v>392815</v>
      </c>
      <c r="D221" t="inlineStr">
        <is>
          <t>Acondicionador Hidrata y Fortalece 400 Ml Pantene</t>
        </is>
      </c>
      <c r="E221" t="inlineStr">
        <is>
          <t>PANTENE</t>
        </is>
      </c>
      <c r="F221" t="n">
        <v>10550</v>
      </c>
      <c r="G221" t="n">
        <v>871901</v>
      </c>
      <c r="H221" t="b">
        <v>1</v>
      </c>
      <c r="I221" t="n">
        <v>400</v>
      </c>
      <c r="J221" t="n">
        <v>26.375</v>
      </c>
      <c r="K221" t="inlineStr">
        <is>
          <t>&gt; Perfumería &gt; Cuidado Capilar &gt; Acondicionador &gt;</t>
        </is>
      </c>
      <c r="L221" t="inlineStr">
        <is>
          <t>acondicionador</t>
        </is>
      </c>
      <c r="M221" t="inlineStr">
        <is>
          <t>estandar</t>
        </is>
      </c>
      <c r="N221" t="inlineStr">
        <is>
          <t>seco_danado</t>
        </is>
      </c>
      <c r="O221" t="inlineStr">
        <is>
          <t>https://www.disco.com.ar/acondicionador-pantene-hidrata-y-fortalece-400-ml/p</t>
        </is>
      </c>
      <c r="P221">
        <f>TRIM(CLEAN(PROPER(D221)))</f>
        <v/>
      </c>
      <c r="Q221">
        <f>PROPER(TRIM(SUBSTITUTE(SUBSTITUTE(SUBSTITUTE(SUBSTITUTE(E221,"TRESEMME","Tresemme"),"HEAD &amp; SHOULDERS","Head &amp; Shoulders"),"ELVIVE","Elvive"),"FRUCTIS","Fructis")))</f>
        <v/>
      </c>
      <c r="R221">
        <f>COUNTIF($D$2:$D$10000,D221)&gt;1</f>
        <v/>
      </c>
      <c r="S221">
        <f>IF(H221=TRUE,"Disponible","No disponible")</f>
        <v/>
      </c>
      <c r="T221">
        <f>IF(AND(ISNUMBER(I221),I221&gt;0),ROUND(F221/I221,2),"Sin volumen")</f>
        <v/>
      </c>
      <c r="U221">
        <f>IF(F221&lt;5000,"Bajo",IF(F221&lt;15000,"Medio","Alto"))</f>
        <v/>
      </c>
    </row>
    <row r="222">
      <c r="A222" s="10" t="inlineStr">
        <is>
          <t>Disco</t>
        </is>
      </c>
      <c r="B222" s="10" t="n">
        <v>409856</v>
      </c>
      <c r="C222" s="10" t="n">
        <v>405942</v>
      </c>
      <c r="D222" s="10" t="inlineStr">
        <is>
          <t>Acondicionador Hidratación Intensa Esencia 970 Ml Plusbelle</t>
        </is>
      </c>
      <c r="E222" s="10" t="inlineStr">
        <is>
          <t>PLUSBELLE</t>
        </is>
      </c>
      <c r="F222" s="10" t="n">
        <v>6500</v>
      </c>
      <c r="G222" s="10" t="n">
        <v>537190</v>
      </c>
      <c r="H222" s="10" t="b">
        <v>1</v>
      </c>
      <c r="I222" s="10" t="n">
        <v>970</v>
      </c>
      <c r="J222" s="10" t="n">
        <v>6.701</v>
      </c>
      <c r="K222" s="10" t="inlineStr">
        <is>
          <t>&gt; Perfumería &gt; Cuidado Capilar &gt; Acondicionador &gt;</t>
        </is>
      </c>
      <c r="L222" s="10" t="inlineStr">
        <is>
          <t>acondicionador</t>
        </is>
      </c>
      <c r="M222" s="10" t="inlineStr">
        <is>
          <t>estandar</t>
        </is>
      </c>
      <c r="N222" s="10" t="inlineStr">
        <is>
          <t>seco_danado</t>
        </is>
      </c>
      <c r="O222" s="10" t="inlineStr">
        <is>
          <t>https://www.disco.com.ar/acondicionador-esencia-970-ml-plusbelle/p</t>
        </is>
      </c>
      <c r="P222" s="12">
        <f>TRIM(CLEAN(PROPER(D222)))</f>
        <v/>
      </c>
      <c r="Q222" s="12">
        <f>PROPER(TRIM(SUBSTITUTE(SUBSTITUTE(SUBSTITUTE(SUBSTITUTE(E222,"TRESEMME","Tresemme"),"HEAD &amp; SHOULDERS","Head &amp; Shoulders"),"ELVIVE","Elvive"),"FRUCTIS","Fructis")))</f>
        <v/>
      </c>
      <c r="R222" s="12">
        <f>COUNTIF($D$2:$D$10000,D222)&gt;1</f>
        <v/>
      </c>
      <c r="S222" s="12">
        <f>IF(H222=TRUE,"Disponible","No disponible")</f>
        <v/>
      </c>
      <c r="T222" s="12">
        <f>IF(AND(ISNUMBER(I222),I222&gt;0),ROUND(F222/I222,2),"Sin volumen")</f>
        <v/>
      </c>
      <c r="U222" s="12">
        <f>IF(F222&lt;5000,"Bajo",IF(F222&lt;15000,"Medio","Alto"))</f>
        <v/>
      </c>
    </row>
    <row r="223">
      <c r="A223" t="inlineStr">
        <is>
          <t>Disco</t>
        </is>
      </c>
      <c r="B223" t="n">
        <v>393746</v>
      </c>
      <c r="C223" t="n">
        <v>391774</v>
      </c>
      <c r="D223" t="inlineStr">
        <is>
          <t>Acondicionador Óleo Extraordinario Nutrición 400 Ml Elvive</t>
        </is>
      </c>
      <c r="E223" t="inlineStr">
        <is>
          <t>ELVIVE</t>
        </is>
      </c>
      <c r="F223" t="n">
        <v>12300</v>
      </c>
      <c r="G223" t="n">
        <v>1016529</v>
      </c>
      <c r="H223" t="b">
        <v>1</v>
      </c>
      <c r="I223" t="n">
        <v>400</v>
      </c>
      <c r="J223" t="n">
        <v>30.75</v>
      </c>
      <c r="K223" t="inlineStr">
        <is>
          <t>&gt; Perfumería &gt; Cuidado Capilar &gt; Acondicionador &gt;</t>
        </is>
      </c>
      <c r="L223" t="inlineStr">
        <is>
          <t>acondicionador</t>
        </is>
      </c>
      <c r="M223" t="inlineStr">
        <is>
          <t>profesional</t>
        </is>
      </c>
      <c r="N223" t="inlineStr">
        <is>
          <t>general</t>
        </is>
      </c>
      <c r="O223" t="inlineStr">
        <is>
          <t>https://www.disco.com.ar/acondicionador-elvive-loreal-oleo-extraordinario-nutricion-400-ml/p</t>
        </is>
      </c>
      <c r="P223">
        <f>TRIM(CLEAN(PROPER(D223)))</f>
        <v/>
      </c>
      <c r="Q223">
        <f>PROPER(TRIM(SUBSTITUTE(SUBSTITUTE(SUBSTITUTE(SUBSTITUTE(E223,"TRESEMME","Tresemme"),"HEAD &amp; SHOULDERS","Head &amp; Shoulders"),"ELVIVE","Elvive"),"FRUCTIS","Fructis")))</f>
        <v/>
      </c>
      <c r="R223">
        <f>COUNTIF($D$2:$D$10000,D223)&gt;1</f>
        <v/>
      </c>
      <c r="S223">
        <f>IF(H223=TRUE,"Disponible","No disponible")</f>
        <v/>
      </c>
      <c r="T223">
        <f>IF(AND(ISNUMBER(I223),I223&gt;0),ROUND(F223/I223,2),"Sin volumen")</f>
        <v/>
      </c>
      <c r="U223">
        <f>IF(F223&lt;5000,"Bajo",IF(F223&lt;15000,"Medio","Alto"))</f>
        <v/>
      </c>
    </row>
    <row r="224">
      <c r="A224" s="10" t="inlineStr">
        <is>
          <t>Disco</t>
        </is>
      </c>
      <c r="B224" s="10" t="n">
        <v>5994</v>
      </c>
      <c r="C224" s="10" t="n">
        <v>3382</v>
      </c>
      <c r="D224" s="10" t="inlineStr">
        <is>
          <t>Acondicionador Iluminador Puro Rubio 420 Ml Capilatis</t>
        </is>
      </c>
      <c r="E224" s="10" t="inlineStr">
        <is>
          <t>CAPILATIS</t>
        </is>
      </c>
      <c r="F224" s="10" t="n">
        <v>9750</v>
      </c>
      <c r="G224" s="10" t="n">
        <v>805785</v>
      </c>
      <c r="H224" s="10" t="b">
        <v>1</v>
      </c>
      <c r="I224" s="10" t="n">
        <v>420</v>
      </c>
      <c r="J224" s="10" t="n">
        <v>23.2143</v>
      </c>
      <c r="K224" s="10" t="inlineStr">
        <is>
          <t>&gt; Perfumería &gt; Cuidado Capilar &gt; Acondicionador &gt;</t>
        </is>
      </c>
      <c r="L224" s="10" t="inlineStr">
        <is>
          <t>acondicionador</t>
        </is>
      </c>
      <c r="M224" s="10" t="inlineStr">
        <is>
          <t>estandar</t>
        </is>
      </c>
      <c r="N224" s="10" t="inlineStr">
        <is>
          <t>general</t>
        </is>
      </c>
      <c r="O224" s="10" t="inlineStr">
        <is>
          <t>https://www.disco.com.ar/acondicionador-capilatis-ilumina-color-420-ml/p</t>
        </is>
      </c>
      <c r="P224" s="12">
        <f>TRIM(CLEAN(PROPER(D224)))</f>
        <v/>
      </c>
      <c r="Q224" s="12">
        <f>PROPER(TRIM(SUBSTITUTE(SUBSTITUTE(SUBSTITUTE(SUBSTITUTE(E224,"TRESEMME","Tresemme"),"HEAD &amp; SHOULDERS","Head &amp; Shoulders"),"ELVIVE","Elvive"),"FRUCTIS","Fructis")))</f>
        <v/>
      </c>
      <c r="R224" s="12">
        <f>COUNTIF($D$2:$D$10000,D224)&gt;1</f>
        <v/>
      </c>
      <c r="S224" s="12">
        <f>IF(H224=TRUE,"Disponible","No disponible")</f>
        <v/>
      </c>
      <c r="T224" s="12">
        <f>IF(AND(ISNUMBER(I224),I224&gt;0),ROUND(F224/I224,2),"Sin volumen")</f>
        <v/>
      </c>
      <c r="U224" s="12">
        <f>IF(F224&lt;5000,"Bajo",IF(F224&lt;15000,"Medio","Alto"))</f>
        <v/>
      </c>
    </row>
    <row r="225">
      <c r="A225" t="inlineStr">
        <is>
          <t>Disco</t>
        </is>
      </c>
      <c r="B225" t="n">
        <v>298538</v>
      </c>
      <c r="C225" t="n">
        <v>297767</v>
      </c>
      <c r="D225" t="inlineStr">
        <is>
          <t>Acondicionador Para Perro Pets Class X500cm3</t>
        </is>
      </c>
      <c r="E225" t="inlineStr">
        <is>
          <t>PET' S CLASS</t>
        </is>
      </c>
      <c r="F225" t="n">
        <v>8100</v>
      </c>
      <c r="G225" t="n">
        <v>669421</v>
      </c>
      <c r="H225" t="b">
        <v>1</v>
      </c>
      <c r="I225" t="inlineStr"/>
      <c r="J225" t="inlineStr"/>
      <c r="K225" t="inlineStr">
        <is>
          <t>&gt; Mascotas &gt; Accesorios para Mascotas &gt;</t>
        </is>
      </c>
      <c r="L225" t="inlineStr">
        <is>
          <t>acondicionador</t>
        </is>
      </c>
      <c r="M225" t="inlineStr">
        <is>
          <t>estandar</t>
        </is>
      </c>
      <c r="N225" t="inlineStr">
        <is>
          <t>general</t>
        </is>
      </c>
      <c r="O225" t="inlineStr">
        <is>
          <t>https://www.disco.com.ar/acondicionador-para-perro-pets-class-x500cm3/p</t>
        </is>
      </c>
      <c r="P225">
        <f>TRIM(CLEAN(PROPER(D225)))</f>
        <v/>
      </c>
      <c r="Q225">
        <f>PROPER(TRIM(SUBSTITUTE(SUBSTITUTE(SUBSTITUTE(SUBSTITUTE(E225,"TRESEMME","Tresemme"),"HEAD &amp; SHOULDERS","Head &amp; Shoulders"),"ELVIVE","Elvive"),"FRUCTIS","Fructis")))</f>
        <v/>
      </c>
      <c r="R225">
        <f>COUNTIF($D$2:$D$10000,D225)&gt;1</f>
        <v/>
      </c>
      <c r="S225">
        <f>IF(H225=TRUE,"Disponible","No disponible")</f>
        <v/>
      </c>
      <c r="T225">
        <f>IF(AND(ISNUMBER(I225),I225&gt;0),ROUND(F225/I225,2),"Sin volumen")</f>
        <v/>
      </c>
      <c r="U225">
        <f>IF(F225&lt;5000,"Bajo",IF(F225&lt;15000,"Medio","Alto"))</f>
        <v/>
      </c>
    </row>
    <row r="226">
      <c r="A226" s="10" t="inlineStr">
        <is>
          <t>Disco</t>
        </is>
      </c>
      <c r="B226" s="10" t="n">
        <v>3087376</v>
      </c>
      <c r="C226" s="10" t="n">
        <v>3086597</v>
      </c>
      <c r="D226" s="10" t="inlineStr">
        <is>
          <t>Acondicionador Nutrición Tri-Óleos 650 Ml Dove Acondicionador Dove Nutritri Oleos 650ml</t>
        </is>
      </c>
      <c r="E226" s="10" t="inlineStr">
        <is>
          <t>DOVE</t>
        </is>
      </c>
      <c r="F226" s="10" t="n">
        <v>17200</v>
      </c>
      <c r="G226" s="10" t="n">
        <v>1421488</v>
      </c>
      <c r="H226" s="10" t="b">
        <v>1</v>
      </c>
      <c r="I226" s="10" t="n">
        <v>650</v>
      </c>
      <c r="J226" s="10" t="n">
        <v>26.4615</v>
      </c>
      <c r="K226" s="10" t="inlineStr">
        <is>
          <t>&gt; Perfumería &gt; Cuidado Capilar &gt; Acondicionador &gt;</t>
        </is>
      </c>
      <c r="L226" s="10" t="inlineStr">
        <is>
          <t>acondicionador</t>
        </is>
      </c>
      <c r="M226" s="10" t="inlineStr">
        <is>
          <t>estandar</t>
        </is>
      </c>
      <c r="N226" s="10" t="inlineStr">
        <is>
          <t>general</t>
        </is>
      </c>
      <c r="O226" s="10" t="inlineStr">
        <is>
          <t>https://www.disco.com.ar/acondicionador-dove-nutritri-oleos-650ml/p</t>
        </is>
      </c>
      <c r="P226" s="12">
        <f>TRIM(CLEAN(PROPER(D226)))</f>
        <v/>
      </c>
      <c r="Q226" s="12">
        <f>PROPER(TRIM(SUBSTITUTE(SUBSTITUTE(SUBSTITUTE(SUBSTITUTE(E226,"TRESEMME","Tresemme"),"HEAD &amp; SHOULDERS","Head &amp; Shoulders"),"ELVIVE","Elvive"),"FRUCTIS","Fructis")))</f>
        <v/>
      </c>
      <c r="R226" s="12">
        <f>COUNTIF($D$2:$D$10000,D226)&gt;1</f>
        <v/>
      </c>
      <c r="S226" s="12">
        <f>IF(H226=TRUE,"Disponible","No disponible")</f>
        <v/>
      </c>
      <c r="T226" s="12">
        <f>IF(AND(ISNUMBER(I226),I226&gt;0),ROUND(F226/I226,2),"Sin volumen")</f>
        <v/>
      </c>
      <c r="U226" s="12">
        <f>IF(F226&lt;5000,"Bajo",IF(F226&lt;15000,"Medio","Alto"))</f>
        <v/>
      </c>
    </row>
    <row r="227">
      <c r="A227" t="inlineStr">
        <is>
          <t>Disco</t>
        </is>
      </c>
      <c r="B227" t="n">
        <v>397917</v>
      </c>
      <c r="C227" t="n">
        <v>395652</v>
      </c>
      <c r="D227" t="inlineStr">
        <is>
          <t>Acondicionador Sedal Hialurónico Y Vitamina A 650 Ml</t>
        </is>
      </c>
      <c r="E227" t="inlineStr">
        <is>
          <t>SEDAL</t>
        </is>
      </c>
      <c r="F227" t="n">
        <v>9550</v>
      </c>
      <c r="G227" t="n">
        <v>789256</v>
      </c>
      <c r="H227" t="b">
        <v>1</v>
      </c>
      <c r="I227" t="n">
        <v>650</v>
      </c>
      <c r="J227" t="n">
        <v>14.6923</v>
      </c>
      <c r="K227" t="inlineStr">
        <is>
          <t>&gt; Perfumería &gt; Cuidado Capilar &gt; Acondicionador &gt;</t>
        </is>
      </c>
      <c r="L227" t="inlineStr">
        <is>
          <t>acondicionador</t>
        </is>
      </c>
      <c r="M227" t="inlineStr">
        <is>
          <t>estandar</t>
        </is>
      </c>
      <c r="N227" t="inlineStr">
        <is>
          <t>general</t>
        </is>
      </c>
      <c r="O227" t="inlineStr">
        <is>
          <t>https://www.disco.com.ar/acondicionador-sedal-hialuronico-y-vitamina-a-650-ml-2/p</t>
        </is>
      </c>
      <c r="P227">
        <f>TRIM(CLEAN(PROPER(D227)))</f>
        <v/>
      </c>
      <c r="Q227">
        <f>PROPER(TRIM(SUBSTITUTE(SUBSTITUTE(SUBSTITUTE(SUBSTITUTE(E227,"TRESEMME","Tresemme"),"HEAD &amp; SHOULDERS","Head &amp; Shoulders"),"ELVIVE","Elvive"),"FRUCTIS","Fructis")))</f>
        <v/>
      </c>
      <c r="R227">
        <f>COUNTIF($D$2:$D$10000,D227)&gt;1</f>
        <v/>
      </c>
      <c r="S227">
        <f>IF(H227=TRUE,"Disponible","No disponible")</f>
        <v/>
      </c>
      <c r="T227">
        <f>IF(AND(ISNUMBER(I227),I227&gt;0),ROUND(F227/I227,2),"Sin volumen")</f>
        <v/>
      </c>
      <c r="U227">
        <f>IF(F227&lt;5000,"Bajo",IF(F227&lt;15000,"Medio","Alto"))</f>
        <v/>
      </c>
    </row>
    <row r="228">
      <c r="A228" s="10" t="inlineStr">
        <is>
          <t>Disco</t>
        </is>
      </c>
      <c r="B228" s="10" t="n">
        <v>393767</v>
      </c>
      <c r="C228" s="10" t="n">
        <v>391788</v>
      </c>
      <c r="D228" s="10" t="inlineStr">
        <is>
          <t>Acondicionador Óleo Extraordinario Nutrición 200 Ml Elvive</t>
        </is>
      </c>
      <c r="E228" s="10" t="inlineStr">
        <is>
          <t>ELVIVE</t>
        </is>
      </c>
      <c r="F228" s="10" t="n">
        <v>7650</v>
      </c>
      <c r="G228" s="10" t="n">
        <v>632231</v>
      </c>
      <c r="H228" s="10" t="b">
        <v>1</v>
      </c>
      <c r="I228" s="10" t="n">
        <v>200</v>
      </c>
      <c r="J228" s="10" t="n">
        <v>38.25</v>
      </c>
      <c r="K228" s="10" t="inlineStr">
        <is>
          <t>&gt; Perfumería &gt; Cuidado Capilar &gt; Acondicionador &gt;</t>
        </is>
      </c>
      <c r="L228" s="10" t="inlineStr">
        <is>
          <t>acondicionador</t>
        </is>
      </c>
      <c r="M228" s="10" t="inlineStr">
        <is>
          <t>profesional</t>
        </is>
      </c>
      <c r="N228" s="10" t="inlineStr">
        <is>
          <t>general</t>
        </is>
      </c>
      <c r="O228" s="10" t="inlineStr">
        <is>
          <t>https://www.disco.com.ar/acondicionador-oleo-extraordinario-nutricion-universal-200ml/p</t>
        </is>
      </c>
      <c r="P228" s="12">
        <f>TRIM(CLEAN(PROPER(D228)))</f>
        <v/>
      </c>
      <c r="Q228" s="12">
        <f>PROPER(TRIM(SUBSTITUTE(SUBSTITUTE(SUBSTITUTE(SUBSTITUTE(E228,"TRESEMME","Tresemme"),"HEAD &amp; SHOULDERS","Head &amp; Shoulders"),"ELVIVE","Elvive"),"FRUCTIS","Fructis")))</f>
        <v/>
      </c>
      <c r="R228" s="12">
        <f>COUNTIF($D$2:$D$10000,D228)&gt;1</f>
        <v/>
      </c>
      <c r="S228" s="12">
        <f>IF(H228=TRUE,"Disponible","No disponible")</f>
        <v/>
      </c>
      <c r="T228" s="12">
        <f>IF(AND(ISNUMBER(I228),I228&gt;0),ROUND(F228/I228,2),"Sin volumen")</f>
        <v/>
      </c>
      <c r="U228" s="12">
        <f>IF(F228&lt;5000,"Bajo",IF(F228&lt;15000,"Medio","Alto"))</f>
        <v/>
      </c>
    </row>
    <row r="229">
      <c r="A229" t="inlineStr">
        <is>
          <t>Disco</t>
        </is>
      </c>
      <c r="B229" t="n">
        <v>1360450</v>
      </c>
      <c r="C229" t="n">
        <v>1360033</v>
      </c>
      <c r="D229" t="inlineStr">
        <is>
          <t>Acondicionador Glycolic Gloss Sellador de Brillo 400 Ml Elvive</t>
        </is>
      </c>
      <c r="E229" t="inlineStr">
        <is>
          <t>ELVIVE</t>
        </is>
      </c>
      <c r="F229" t="n">
        <v>13700</v>
      </c>
      <c r="G229" t="n">
        <v>1132231</v>
      </c>
      <c r="H229" t="b">
        <v>1</v>
      </c>
      <c r="I229" t="n">
        <v>400</v>
      </c>
      <c r="J229" t="n">
        <v>34.25</v>
      </c>
      <c r="K229" t="inlineStr">
        <is>
          <t>&gt; Perfumería &gt; Cuidado Capilar &gt; Acondicionador &gt;</t>
        </is>
      </c>
      <c r="L229" t="inlineStr">
        <is>
          <t>acondicionador</t>
        </is>
      </c>
      <c r="M229" t="inlineStr">
        <is>
          <t>profesional</t>
        </is>
      </c>
      <c r="N229" t="inlineStr">
        <is>
          <t>general</t>
        </is>
      </c>
      <c r="O229" t="inlineStr">
        <is>
          <t>https://www.disco.com.ar/acondicionador-elvive-glyco-gloss-400ml/p</t>
        </is>
      </c>
      <c r="P229">
        <f>TRIM(CLEAN(PROPER(D229)))</f>
        <v/>
      </c>
      <c r="Q229">
        <f>PROPER(TRIM(SUBSTITUTE(SUBSTITUTE(SUBSTITUTE(SUBSTITUTE(E229,"TRESEMME","Tresemme"),"HEAD &amp; SHOULDERS","Head &amp; Shoulders"),"ELVIVE","Elvive"),"FRUCTIS","Fructis")))</f>
        <v/>
      </c>
      <c r="R229">
        <f>COUNTIF($D$2:$D$10000,D229)&gt;1</f>
        <v/>
      </c>
      <c r="S229">
        <f>IF(H229=TRUE,"Disponible","No disponible")</f>
        <v/>
      </c>
      <c r="T229">
        <f>IF(AND(ISNUMBER(I229),I229&gt;0),ROUND(F229/I229,2),"Sin volumen")</f>
        <v/>
      </c>
      <c r="U229">
        <f>IF(F229&lt;5000,"Bajo",IF(F229&lt;15000,"Medio","Alto"))</f>
        <v/>
      </c>
    </row>
    <row r="230">
      <c r="A230" s="10" t="inlineStr">
        <is>
          <t>Disco</t>
        </is>
      </c>
      <c r="B230" s="10" t="n">
        <v>415585</v>
      </c>
      <c r="C230" s="10" t="n">
        <v>411169</v>
      </c>
      <c r="D230" s="10" t="inlineStr">
        <is>
          <t>Acondicionador Revitalización Repara y Hidrata 400 Ml Pantene</t>
        </is>
      </c>
      <c r="E230" s="10" t="inlineStr">
        <is>
          <t>PANTENE</t>
        </is>
      </c>
      <c r="F230" s="10" t="n">
        <v>10550</v>
      </c>
      <c r="G230" s="10" t="n">
        <v>871901</v>
      </c>
      <c r="H230" s="10" t="b">
        <v>1</v>
      </c>
      <c r="I230" s="10" t="n">
        <v>400</v>
      </c>
      <c r="J230" s="10" t="n">
        <v>26.375</v>
      </c>
      <c r="K230" s="10" t="inlineStr">
        <is>
          <t>&gt; Perfumería &gt; Cuidado Capilar &gt; Acondicionador &gt;</t>
        </is>
      </c>
      <c r="L230" s="10" t="inlineStr">
        <is>
          <t>acondicionador</t>
        </is>
      </c>
      <c r="M230" s="10" t="inlineStr">
        <is>
          <t>estandar</t>
        </is>
      </c>
      <c r="N230" s="10" t="inlineStr">
        <is>
          <t>seco_danado</t>
        </is>
      </c>
      <c r="O230" s="10" t="inlineStr">
        <is>
          <t>https://www.disco.com.ar/acondicionador-revitalizacion-400-ml-pantene/p</t>
        </is>
      </c>
      <c r="P230" s="12">
        <f>TRIM(CLEAN(PROPER(D230)))</f>
        <v/>
      </c>
      <c r="Q230" s="12">
        <f>PROPER(TRIM(SUBSTITUTE(SUBSTITUTE(SUBSTITUTE(SUBSTITUTE(E230,"TRESEMME","Tresemme"),"HEAD &amp; SHOULDERS","Head &amp; Shoulders"),"ELVIVE","Elvive"),"FRUCTIS","Fructis")))</f>
        <v/>
      </c>
      <c r="R230" s="12">
        <f>COUNTIF($D$2:$D$10000,D230)&gt;1</f>
        <v/>
      </c>
      <c r="S230" s="12">
        <f>IF(H230=TRUE,"Disponible","No disponible")</f>
        <v/>
      </c>
      <c r="T230" s="12">
        <f>IF(AND(ISNUMBER(I230),I230&gt;0),ROUND(F230/I230,2),"Sin volumen")</f>
        <v/>
      </c>
      <c r="U230" s="12">
        <f>IF(F230&lt;5000,"Bajo",IF(F230&lt;15000,"Medio","Alto"))</f>
        <v/>
      </c>
    </row>
    <row r="231">
      <c r="A231" t="inlineStr">
        <is>
          <t>Disco</t>
        </is>
      </c>
      <c r="B231" t="n">
        <v>1362524</v>
      </c>
      <c r="C231" t="n">
        <v>1361772</v>
      </c>
      <c r="D231" t="inlineStr">
        <is>
          <t>Acondicionador Reparación Total 5 Keratin 200 Ml Elvive</t>
        </is>
      </c>
      <c r="E231" t="inlineStr">
        <is>
          <t>ELVIVE</t>
        </is>
      </c>
      <c r="F231" t="n">
        <v>7650</v>
      </c>
      <c r="G231" t="n">
        <v>632231</v>
      </c>
      <c r="H231" t="b">
        <v>1</v>
      </c>
      <c r="I231" t="n">
        <v>200</v>
      </c>
      <c r="J231" t="n">
        <v>38.25</v>
      </c>
      <c r="K231" t="inlineStr">
        <is>
          <t>&gt; Perfumería &gt; Cuidado Capilar &gt; Acondicionador &gt;</t>
        </is>
      </c>
      <c r="L231" t="inlineStr">
        <is>
          <t>acondicionador</t>
        </is>
      </c>
      <c r="M231" t="inlineStr">
        <is>
          <t>profesional</t>
        </is>
      </c>
      <c r="N231" t="inlineStr">
        <is>
          <t>general</t>
        </is>
      </c>
      <c r="O231" t="inlineStr">
        <is>
          <t>https://www.disco.com.ar/acondicionador-elvive-reparacion-total-5-keratin-200-ml/p</t>
        </is>
      </c>
      <c r="P231">
        <f>TRIM(CLEAN(PROPER(D231)))</f>
        <v/>
      </c>
      <c r="Q231">
        <f>PROPER(TRIM(SUBSTITUTE(SUBSTITUTE(SUBSTITUTE(SUBSTITUTE(E231,"TRESEMME","Tresemme"),"HEAD &amp; SHOULDERS","Head &amp; Shoulders"),"ELVIVE","Elvive"),"FRUCTIS","Fructis")))</f>
        <v/>
      </c>
      <c r="R231">
        <f>COUNTIF($D$2:$D$10000,D231)&gt;1</f>
        <v/>
      </c>
      <c r="S231">
        <f>IF(H231=TRUE,"Disponible","No disponible")</f>
        <v/>
      </c>
      <c r="T231">
        <f>IF(AND(ISNUMBER(I231),I231&gt;0),ROUND(F231/I231,2),"Sin volumen")</f>
        <v/>
      </c>
      <c r="U231">
        <f>IF(F231&lt;5000,"Bajo",IF(F231&lt;15000,"Medio","Alto"))</f>
        <v/>
      </c>
    </row>
    <row r="232">
      <c r="A232" s="10" t="inlineStr">
        <is>
          <t>Disco</t>
        </is>
      </c>
      <c r="B232" s="10" t="n">
        <v>1360452</v>
      </c>
      <c r="C232" s="10" t="n">
        <v>1360035</v>
      </c>
      <c r="D232" s="10" t="inlineStr">
        <is>
          <t>Acondicionador Glyco Gloss Sellador de Brillo 750 Ml Elvive</t>
        </is>
      </c>
      <c r="E232" s="10" t="inlineStr">
        <is>
          <t>ELVIVE</t>
        </is>
      </c>
      <c r="F232" s="10" t="n">
        <v>21850</v>
      </c>
      <c r="G232" s="10" t="n">
        <v>1805785</v>
      </c>
      <c r="H232" s="10" t="b">
        <v>1</v>
      </c>
      <c r="I232" s="10" t="n">
        <v>750</v>
      </c>
      <c r="J232" s="10" t="n">
        <v>29.1333</v>
      </c>
      <c r="K232" s="10" t="inlineStr">
        <is>
          <t>&gt; Perfumería &gt; Cuidado Capilar &gt; Acondicionador &gt;</t>
        </is>
      </c>
      <c r="L232" s="10" t="inlineStr">
        <is>
          <t>acondicionador</t>
        </is>
      </c>
      <c r="M232" s="10" t="inlineStr">
        <is>
          <t>profesional</t>
        </is>
      </c>
      <c r="N232" s="10" t="inlineStr">
        <is>
          <t>general</t>
        </is>
      </c>
      <c r="O232" s="10" t="inlineStr">
        <is>
          <t>https://www.disco.com.ar/acondicionador-elvive-glyco-gloss-750ml/p</t>
        </is>
      </c>
      <c r="P232" s="12">
        <f>TRIM(CLEAN(PROPER(D232)))</f>
        <v/>
      </c>
      <c r="Q232" s="12">
        <f>PROPER(TRIM(SUBSTITUTE(SUBSTITUTE(SUBSTITUTE(SUBSTITUTE(E232,"TRESEMME","Tresemme"),"HEAD &amp; SHOULDERS","Head &amp; Shoulders"),"ELVIVE","Elvive"),"FRUCTIS","Fructis")))</f>
        <v/>
      </c>
      <c r="R232" s="12">
        <f>COUNTIF($D$2:$D$10000,D232)&gt;1</f>
        <v/>
      </c>
      <c r="S232" s="12">
        <f>IF(H232=TRUE,"Disponible","No disponible")</f>
        <v/>
      </c>
      <c r="T232" s="12">
        <f>IF(AND(ISNUMBER(I232),I232&gt;0),ROUND(F232/I232,2),"Sin volumen")</f>
        <v/>
      </c>
      <c r="U232" s="12">
        <f>IF(F232&lt;5000,"Bajo",IF(F232&lt;15000,"Medio","Alto"))</f>
        <v/>
      </c>
    </row>
    <row r="233">
      <c r="A233" t="inlineStr">
        <is>
          <t>Disco</t>
        </is>
      </c>
      <c r="B233" t="n">
        <v>407560</v>
      </c>
      <c r="C233" t="n">
        <v>403749</v>
      </c>
      <c r="D233" t="inlineStr">
        <is>
          <t>Acondicionador Reparación Total 5 Keratin 750 Ml Elvive</t>
        </is>
      </c>
      <c r="E233" t="inlineStr">
        <is>
          <t>ELVIVE</t>
        </is>
      </c>
      <c r="F233" t="n">
        <v>19150</v>
      </c>
      <c r="G233" t="n">
        <v>1582645</v>
      </c>
      <c r="H233" t="b">
        <v>1</v>
      </c>
      <c r="I233" t="n">
        <v>750</v>
      </c>
      <c r="J233" t="n">
        <v>25.5333</v>
      </c>
      <c r="K233" t="inlineStr">
        <is>
          <t>&gt; Perfumería &gt; Cuidado Capilar &gt; Acondicionador &gt;</t>
        </is>
      </c>
      <c r="L233" t="inlineStr">
        <is>
          <t>acondicionador</t>
        </is>
      </c>
      <c r="M233" t="inlineStr">
        <is>
          <t>profesional</t>
        </is>
      </c>
      <c r="N233" t="inlineStr">
        <is>
          <t>general</t>
        </is>
      </c>
      <c r="O233" t="inlineStr">
        <is>
          <t>https://www.disco.com.ar/acondicionador-elvive-rt5-keratin-750ml/p</t>
        </is>
      </c>
      <c r="P233">
        <f>TRIM(CLEAN(PROPER(D233)))</f>
        <v/>
      </c>
      <c r="Q233">
        <f>PROPER(TRIM(SUBSTITUTE(SUBSTITUTE(SUBSTITUTE(SUBSTITUTE(E233,"TRESEMME","Tresemme"),"HEAD &amp; SHOULDERS","Head &amp; Shoulders"),"ELVIVE","Elvive"),"FRUCTIS","Fructis")))</f>
        <v/>
      </c>
      <c r="R233">
        <f>COUNTIF($D$2:$D$10000,D233)&gt;1</f>
        <v/>
      </c>
      <c r="S233">
        <f>IF(H233=TRUE,"Disponible","No disponible")</f>
        <v/>
      </c>
      <c r="T233">
        <f>IF(AND(ISNUMBER(I233),I233&gt;0),ROUND(F233/I233,2),"Sin volumen")</f>
        <v/>
      </c>
      <c r="U233">
        <f>IF(F233&lt;5000,"Bajo",IF(F233&lt;15000,"Medio","Alto"))</f>
        <v/>
      </c>
    </row>
    <row r="234">
      <c r="A234" s="10" t="inlineStr">
        <is>
          <t>Disco</t>
        </is>
      </c>
      <c r="B234" s="10" t="n">
        <v>3086640</v>
      </c>
      <c r="C234" s="10" t="n">
        <v>3085864</v>
      </c>
      <c r="D234" s="10" t="inlineStr">
        <is>
          <t>Acondicionador Goodbye Daños Oil Control 350 Ml Fructis Acondicionador Oil Control X 350 Ml Fructis</t>
        </is>
      </c>
      <c r="E234" s="10" t="inlineStr">
        <is>
          <t>FRUCTIS</t>
        </is>
      </c>
      <c r="F234" s="10" t="n">
        <v>8650</v>
      </c>
      <c r="G234" s="10" t="n">
        <v>714876</v>
      </c>
      <c r="H234" s="10" t="b">
        <v>1</v>
      </c>
      <c r="I234" s="10" t="n">
        <v>350</v>
      </c>
      <c r="J234" s="10" t="n">
        <v>24.7143</v>
      </c>
      <c r="K234" s="10" t="inlineStr">
        <is>
          <t>&gt; Perfumería &gt; Cuidado Capilar &gt; Acondicionador &gt;</t>
        </is>
      </c>
      <c r="L234" s="10" t="inlineStr">
        <is>
          <t>acondicionador</t>
        </is>
      </c>
      <c r="M234" s="10" t="inlineStr">
        <is>
          <t>estandar</t>
        </is>
      </c>
      <c r="N234" s="10" t="inlineStr">
        <is>
          <t>general</t>
        </is>
      </c>
      <c r="O234" s="10" t="inlineStr">
        <is>
          <t>https://www.disco.com.ar/acondicionador-oil-control-x-350-ml-fructis/p</t>
        </is>
      </c>
      <c r="P234" s="12">
        <f>TRIM(CLEAN(PROPER(D234)))</f>
        <v/>
      </c>
      <c r="Q234" s="12">
        <f>PROPER(TRIM(SUBSTITUTE(SUBSTITUTE(SUBSTITUTE(SUBSTITUTE(E234,"TRESEMME","Tresemme"),"HEAD &amp; SHOULDERS","Head &amp; Shoulders"),"ELVIVE","Elvive"),"FRUCTIS","Fructis")))</f>
        <v/>
      </c>
      <c r="R234" s="12">
        <f>COUNTIF($D$2:$D$10000,D234)&gt;1</f>
        <v/>
      </c>
      <c r="S234" s="12">
        <f>IF(H234=TRUE,"Disponible","No disponible")</f>
        <v/>
      </c>
      <c r="T234" s="12">
        <f>IF(AND(ISNUMBER(I234),I234&gt;0),ROUND(F234/I234,2),"Sin volumen")</f>
        <v/>
      </c>
      <c r="U234" s="12">
        <f>IF(F234&lt;5000,"Bajo",IF(F234&lt;15000,"Medio","Alto"))</f>
        <v/>
      </c>
    </row>
    <row r="235">
      <c r="A235" t="inlineStr">
        <is>
          <t>Disco</t>
        </is>
      </c>
      <c r="B235" t="n">
        <v>3070161</v>
      </c>
      <c r="C235" t="n">
        <v>3069768</v>
      </c>
      <c r="D235" t="inlineStr">
        <is>
          <t>Acondicionador Keratina Repara y Protege 250 Ml Pantene</t>
        </is>
      </c>
      <c r="E235" t="inlineStr">
        <is>
          <t>PANTENE</t>
        </is>
      </c>
      <c r="F235" t="n">
        <v>10550</v>
      </c>
      <c r="G235" t="n">
        <v>871901</v>
      </c>
      <c r="H235" t="b">
        <v>1</v>
      </c>
      <c r="I235" t="n">
        <v>250</v>
      </c>
      <c r="J235" t="n">
        <v>42.2</v>
      </c>
      <c r="K235" t="inlineStr">
        <is>
          <t>&gt; Perfumería &gt; Cuidado Capilar &gt; Acondicionador &gt;</t>
        </is>
      </c>
      <c r="L235" t="inlineStr">
        <is>
          <t>acondicionador</t>
        </is>
      </c>
      <c r="M235" t="inlineStr">
        <is>
          <t>estandar</t>
        </is>
      </c>
      <c r="N235" t="inlineStr">
        <is>
          <t>tratado</t>
        </is>
      </c>
      <c r="O235" t="inlineStr">
        <is>
          <t>https://www.disco.com.ar/acondicionador-keratina-x-250-ml-pantene-2/p</t>
        </is>
      </c>
      <c r="P235">
        <f>TRIM(CLEAN(PROPER(D235)))</f>
        <v/>
      </c>
      <c r="Q235">
        <f>PROPER(TRIM(SUBSTITUTE(SUBSTITUTE(SUBSTITUTE(SUBSTITUTE(E235,"TRESEMME","Tresemme"),"HEAD &amp; SHOULDERS","Head &amp; Shoulders"),"ELVIVE","Elvive"),"FRUCTIS","Fructis")))</f>
        <v/>
      </c>
      <c r="R235">
        <f>COUNTIF($D$2:$D$10000,D235)&gt;1</f>
        <v/>
      </c>
      <c r="S235">
        <f>IF(H235=TRUE,"Disponible","No disponible")</f>
        <v/>
      </c>
      <c r="T235">
        <f>IF(AND(ISNUMBER(I235),I235&gt;0),ROUND(F235/I235,2),"Sin volumen")</f>
        <v/>
      </c>
      <c r="U235">
        <f>IF(F235&lt;5000,"Bajo",IF(F235&lt;15000,"Medio","Alto"))</f>
        <v/>
      </c>
    </row>
    <row r="236">
      <c r="A236" s="10" t="inlineStr">
        <is>
          <t>Disco</t>
        </is>
      </c>
      <c r="B236" s="10" t="n">
        <v>1371393</v>
      </c>
      <c r="C236" s="10" t="n">
        <v>1369515</v>
      </c>
      <c r="D236" s="10" t="inlineStr">
        <is>
          <t>Acondicionador Aloe Hidra Clean Hidratación 350 Ml Fructis</t>
        </is>
      </c>
      <c r="E236" s="10" t="inlineStr">
        <is>
          <t>FRUCTIS</t>
        </is>
      </c>
      <c r="F236" s="10" t="n">
        <v>8500</v>
      </c>
      <c r="G236" s="10" t="n">
        <v>702479</v>
      </c>
      <c r="H236" s="10" t="b">
        <v>1</v>
      </c>
      <c r="I236" s="10" t="n">
        <v>350</v>
      </c>
      <c r="J236" s="10" t="n">
        <v>24.2857</v>
      </c>
      <c r="K236" s="10" t="inlineStr">
        <is>
          <t>&gt; Perfumería &gt; Cuidado Capilar &gt; Acondicionador &gt;</t>
        </is>
      </c>
      <c r="L236" s="10" t="inlineStr">
        <is>
          <t>acondicionador</t>
        </is>
      </c>
      <c r="M236" s="10" t="inlineStr">
        <is>
          <t>estandar</t>
        </is>
      </c>
      <c r="N236" s="10" t="inlineStr">
        <is>
          <t>seco_danado</t>
        </is>
      </c>
      <c r="O236" s="10" t="inlineStr">
        <is>
          <t>https://www.disco.com.ar/acondicionador-fructis-aloe-water-350-ml-2/p</t>
        </is>
      </c>
      <c r="P236" s="12">
        <f>TRIM(CLEAN(PROPER(D236)))</f>
        <v/>
      </c>
      <c r="Q236" s="12">
        <f>PROPER(TRIM(SUBSTITUTE(SUBSTITUTE(SUBSTITUTE(SUBSTITUTE(E236,"TRESEMME","Tresemme"),"HEAD &amp; SHOULDERS","Head &amp; Shoulders"),"ELVIVE","Elvive"),"FRUCTIS","Fructis")))</f>
        <v/>
      </c>
      <c r="R236" s="12">
        <f>COUNTIF($D$2:$D$10000,D236)&gt;1</f>
        <v/>
      </c>
      <c r="S236" s="12">
        <f>IF(H236=TRUE,"Disponible","No disponible")</f>
        <v/>
      </c>
      <c r="T236" s="12">
        <f>IF(AND(ISNUMBER(I236),I236&gt;0),ROUND(F236/I236,2),"Sin volumen")</f>
        <v/>
      </c>
      <c r="U236" s="12">
        <f>IF(F236&lt;5000,"Bajo",IF(F236&lt;15000,"Medio","Alto"))</f>
        <v/>
      </c>
    </row>
    <row r="237">
      <c r="A237" t="inlineStr">
        <is>
          <t>Disco</t>
        </is>
      </c>
      <c r="B237" t="n">
        <v>397622</v>
      </c>
      <c r="C237" t="n">
        <v>395355</v>
      </c>
      <c r="D237" t="inlineStr">
        <is>
          <t>Acondicionador Hidra Equilibrante Hialuronico Pure 750 Ml Elvive</t>
        </is>
      </c>
      <c r="E237" t="inlineStr">
        <is>
          <t>ELVIVE</t>
        </is>
      </c>
      <c r="F237" t="n">
        <v>19150</v>
      </c>
      <c r="G237" t="n">
        <v>1582645</v>
      </c>
      <c r="H237" t="b">
        <v>1</v>
      </c>
      <c r="I237" t="n">
        <v>750</v>
      </c>
      <c r="J237" t="n">
        <v>25.5333</v>
      </c>
      <c r="K237" t="inlineStr">
        <is>
          <t>&gt; Perfumería &gt; Cuidado Capilar &gt; Acondicionador &gt;</t>
        </is>
      </c>
      <c r="L237" t="inlineStr">
        <is>
          <t>acondicionador</t>
        </is>
      </c>
      <c r="M237" t="inlineStr">
        <is>
          <t>profesional</t>
        </is>
      </c>
      <c r="N237" t="inlineStr">
        <is>
          <t>general</t>
        </is>
      </c>
      <c r="O237" t="inlineStr">
        <is>
          <t>https://www.disco.com.ar/acondicionador-elvive-hialuronico-pure-750-ml/p</t>
        </is>
      </c>
      <c r="P237">
        <f>TRIM(CLEAN(PROPER(D237)))</f>
        <v/>
      </c>
      <c r="Q237">
        <f>PROPER(TRIM(SUBSTITUTE(SUBSTITUTE(SUBSTITUTE(SUBSTITUTE(E237,"TRESEMME","Tresemme"),"HEAD &amp; SHOULDERS","Head &amp; Shoulders"),"ELVIVE","Elvive"),"FRUCTIS","Fructis")))</f>
        <v/>
      </c>
      <c r="R237">
        <f>COUNTIF($D$2:$D$10000,D237)&gt;1</f>
        <v/>
      </c>
      <c r="S237">
        <f>IF(H237=TRUE,"Disponible","No disponible")</f>
        <v/>
      </c>
      <c r="T237">
        <f>IF(AND(ISNUMBER(I237),I237&gt;0),ROUND(F237/I237,2),"Sin volumen")</f>
        <v/>
      </c>
      <c r="U237">
        <f>IF(F237&lt;5000,"Bajo",IF(F237&lt;15000,"Medio","Alto"))</f>
        <v/>
      </c>
    </row>
    <row r="238">
      <c r="A238" s="10" t="inlineStr">
        <is>
          <t>Disco</t>
        </is>
      </c>
      <c r="B238" s="10" t="n">
        <v>288728</v>
      </c>
      <c r="C238" s="10" t="n">
        <v>287975</v>
      </c>
      <c r="D238" s="10" t="inlineStr">
        <is>
          <t>Acondicionador Hidratación Intensa Aloe Vera 420 Ml Capilatis</t>
        </is>
      </c>
      <c r="E238" s="10" t="inlineStr">
        <is>
          <t>CAPILATIS</t>
        </is>
      </c>
      <c r="F238" s="10" t="n">
        <v>10950</v>
      </c>
      <c r="G238" s="10" t="n">
        <v>904959</v>
      </c>
      <c r="H238" s="10" t="b">
        <v>1</v>
      </c>
      <c r="I238" s="10" t="n">
        <v>420</v>
      </c>
      <c r="J238" s="10" t="n">
        <v>26.0714</v>
      </c>
      <c r="K238" s="10" t="inlineStr">
        <is>
          <t>&gt; Perfumería &gt; Cuidado Capilar &gt; Acondicionador &gt;</t>
        </is>
      </c>
      <c r="L238" s="10" t="inlineStr">
        <is>
          <t>acondicionador</t>
        </is>
      </c>
      <c r="M238" s="10" t="inlineStr">
        <is>
          <t>estandar</t>
        </is>
      </c>
      <c r="N238" s="10" t="inlineStr">
        <is>
          <t>seco_danado</t>
        </is>
      </c>
      <c r="O238" s="10" t="inlineStr">
        <is>
          <t>https://www.disco.com.ar/acondicionador-aloe-organico-420-ml-capilatis/p</t>
        </is>
      </c>
      <c r="P238" s="12">
        <f>TRIM(CLEAN(PROPER(D238)))</f>
        <v/>
      </c>
      <c r="Q238" s="12">
        <f>PROPER(TRIM(SUBSTITUTE(SUBSTITUTE(SUBSTITUTE(SUBSTITUTE(E238,"TRESEMME","Tresemme"),"HEAD &amp; SHOULDERS","Head &amp; Shoulders"),"ELVIVE","Elvive"),"FRUCTIS","Fructis")))</f>
        <v/>
      </c>
      <c r="R238" s="12">
        <f>COUNTIF($D$2:$D$10000,D238)&gt;1</f>
        <v/>
      </c>
      <c r="S238" s="12">
        <f>IF(H238=TRUE,"Disponible","No disponible")</f>
        <v/>
      </c>
      <c r="T238" s="12">
        <f>IF(AND(ISNUMBER(I238),I238&gt;0),ROUND(F238/I238,2),"Sin volumen")</f>
        <v/>
      </c>
      <c r="U238" s="12">
        <f>IF(F238&lt;5000,"Bajo",IF(F238&lt;15000,"Medio","Alto"))</f>
        <v/>
      </c>
    </row>
    <row r="239">
      <c r="A239" t="inlineStr">
        <is>
          <t>Disco</t>
        </is>
      </c>
      <c r="B239" t="n">
        <v>3087375</v>
      </c>
      <c r="C239" t="n">
        <v>3086596</v>
      </c>
      <c r="D239" t="inlineStr">
        <is>
          <t>Acondicionador Humectación y Coco Antioxi 650 Ml Dove Acondicionador Dove Humectcoco Antioxi 650ml</t>
        </is>
      </c>
      <c r="E239" t="inlineStr">
        <is>
          <t>DOVE</t>
        </is>
      </c>
      <c r="F239" t="n">
        <v>17200</v>
      </c>
      <c r="G239" t="n">
        <v>1421488</v>
      </c>
      <c r="H239" t="b">
        <v>1</v>
      </c>
      <c r="I239" t="n">
        <v>650</v>
      </c>
      <c r="J239" t="n">
        <v>26.4615</v>
      </c>
      <c r="K239" t="inlineStr">
        <is>
          <t>&gt; Perfumería &gt; Cuidado Capilar &gt; Acondicionador &gt;</t>
        </is>
      </c>
      <c r="L239" t="inlineStr">
        <is>
          <t>acondicionador</t>
        </is>
      </c>
      <c r="M239" t="inlineStr">
        <is>
          <t>estandar</t>
        </is>
      </c>
      <c r="N239" t="inlineStr">
        <is>
          <t>general</t>
        </is>
      </c>
      <c r="O239" t="inlineStr">
        <is>
          <t>https://www.disco.com.ar/acondicionador-dove-humectcoco-antioxi-650ml/p</t>
        </is>
      </c>
      <c r="P239">
        <f>TRIM(CLEAN(PROPER(D239)))</f>
        <v/>
      </c>
      <c r="Q239">
        <f>PROPER(TRIM(SUBSTITUTE(SUBSTITUTE(SUBSTITUTE(SUBSTITUTE(E239,"TRESEMME","Tresemme"),"HEAD &amp; SHOULDERS","Head &amp; Shoulders"),"ELVIVE","Elvive"),"FRUCTIS","Fructis")))</f>
        <v/>
      </c>
      <c r="R239">
        <f>COUNTIF($D$2:$D$10000,D239)&gt;1</f>
        <v/>
      </c>
      <c r="S239">
        <f>IF(H239=TRUE,"Disponible","No disponible")</f>
        <v/>
      </c>
      <c r="T239">
        <f>IF(AND(ISNUMBER(I239),I239&gt;0),ROUND(F239/I239,2),"Sin volumen")</f>
        <v/>
      </c>
      <c r="U239">
        <f>IF(F239&lt;5000,"Bajo",IF(F239&lt;15000,"Medio","Alto"))</f>
        <v/>
      </c>
    </row>
    <row r="240">
      <c r="A240" s="10" t="inlineStr">
        <is>
          <t>Disco</t>
        </is>
      </c>
      <c r="B240" s="10" t="n">
        <v>3065220</v>
      </c>
      <c r="C240" s="10" t="n">
        <v>3065219</v>
      </c>
      <c r="D240" s="10" t="inlineStr">
        <is>
          <t>Acondicionador Pro-v Miracles Hidrata 700 Ml Pantene</t>
        </is>
      </c>
      <c r="E240" s="10" t="inlineStr">
        <is>
          <t>PANTENE</t>
        </is>
      </c>
      <c r="F240" s="10" t="n">
        <v>17500</v>
      </c>
      <c r="G240" s="10" t="n">
        <v>1446281</v>
      </c>
      <c r="H240" s="10" t="b">
        <v>1</v>
      </c>
      <c r="I240" s="10" t="n">
        <v>700</v>
      </c>
      <c r="J240" s="10" t="n">
        <v>25</v>
      </c>
      <c r="K240" s="10" t="inlineStr">
        <is>
          <t>&gt; Perfumería &gt; Cuidado Capilar &gt; Acondicionador &gt;</t>
        </is>
      </c>
      <c r="L240" s="10" t="inlineStr">
        <is>
          <t>acondicionador</t>
        </is>
      </c>
      <c r="M240" s="10" t="inlineStr">
        <is>
          <t>profesional</t>
        </is>
      </c>
      <c r="N240" s="10" t="inlineStr">
        <is>
          <t>seco_danado</t>
        </is>
      </c>
      <c r="O240" s="10" t="inlineStr">
        <is>
          <t>https://www.disco.com.ar/acondicionador-pro-v-miracles-hidrata-700-ml-pantene-2/p</t>
        </is>
      </c>
      <c r="P240" s="12">
        <f>TRIM(CLEAN(PROPER(D240)))</f>
        <v/>
      </c>
      <c r="Q240" s="12">
        <f>PROPER(TRIM(SUBSTITUTE(SUBSTITUTE(SUBSTITUTE(SUBSTITUTE(E240,"TRESEMME","Tresemme"),"HEAD &amp; SHOULDERS","Head &amp; Shoulders"),"ELVIVE","Elvive"),"FRUCTIS","Fructis")))</f>
        <v/>
      </c>
      <c r="R240" s="12">
        <f>COUNTIF($D$2:$D$10000,D240)&gt;1</f>
        <v/>
      </c>
      <c r="S240" s="12">
        <f>IF(H240=TRUE,"Disponible","No disponible")</f>
        <v/>
      </c>
      <c r="T240" s="12">
        <f>IF(AND(ISNUMBER(I240),I240&gt;0),ROUND(F240/I240,2),"Sin volumen")</f>
        <v/>
      </c>
      <c r="U240" s="12">
        <f>IF(F240&lt;5000,"Bajo",IF(F240&lt;15000,"Medio","Alto"))</f>
        <v/>
      </c>
    </row>
    <row r="241">
      <c r="A241" t="inlineStr">
        <is>
          <t>Disco</t>
        </is>
      </c>
      <c r="B241" t="n">
        <v>1360441</v>
      </c>
      <c r="C241" t="n">
        <v>1360025</v>
      </c>
      <c r="D241" t="inlineStr">
        <is>
          <t>Acondicionador 3 Minute Miracle Nutrición 170 Ml Pantene</t>
        </is>
      </c>
      <c r="E241" t="inlineStr">
        <is>
          <t>PANTENE</t>
        </is>
      </c>
      <c r="F241" t="n">
        <v>10100</v>
      </c>
      <c r="G241" t="n">
        <v>834711</v>
      </c>
      <c r="H241" t="b">
        <v>1</v>
      </c>
      <c r="I241" t="n">
        <v>170</v>
      </c>
      <c r="J241" t="n">
        <v>59.4118</v>
      </c>
      <c r="K241" t="inlineStr">
        <is>
          <t>&gt; Perfumería &gt; Cuidado Capilar &gt; Reparación y Tratamientos &gt;</t>
        </is>
      </c>
      <c r="L241" t="inlineStr">
        <is>
          <t>acondicionador</t>
        </is>
      </c>
      <c r="M241" t="inlineStr">
        <is>
          <t>estandar</t>
        </is>
      </c>
      <c r="N241" t="inlineStr">
        <is>
          <t>general</t>
        </is>
      </c>
      <c r="O241" t="inlineStr">
        <is>
          <t>https://www.disco.com.ar/acondicionador-3-minute-miracle-nutricion-170-ml-pantene-2/p</t>
        </is>
      </c>
      <c r="P241">
        <f>TRIM(CLEAN(PROPER(D241)))</f>
        <v/>
      </c>
      <c r="Q241">
        <f>PROPER(TRIM(SUBSTITUTE(SUBSTITUTE(SUBSTITUTE(SUBSTITUTE(E241,"TRESEMME","Tresemme"),"HEAD &amp; SHOULDERS","Head &amp; Shoulders"),"ELVIVE","Elvive"),"FRUCTIS","Fructis")))</f>
        <v/>
      </c>
      <c r="R241">
        <f>COUNTIF($D$2:$D$10000,D241)&gt;1</f>
        <v/>
      </c>
      <c r="S241">
        <f>IF(H241=TRUE,"Disponible","No disponible")</f>
        <v/>
      </c>
      <c r="T241">
        <f>IF(AND(ISNUMBER(I241),I241&gt;0),ROUND(F241/I241,2),"Sin volumen")</f>
        <v/>
      </c>
      <c r="U241">
        <f>IF(F241&lt;5000,"Bajo",IF(F241&lt;15000,"Medio","Alto"))</f>
        <v/>
      </c>
    </row>
    <row r="242">
      <c r="A242" s="10" t="inlineStr">
        <is>
          <t>Disco</t>
        </is>
      </c>
      <c r="B242" s="10" t="n">
        <v>3083504</v>
      </c>
      <c r="C242" s="10" t="n">
        <v>3082779</v>
      </c>
      <c r="D242" s="10" t="inlineStr">
        <is>
          <t>Acondicionador Brillo Cristalino Glycolic Cristal 200 Ml Elvive</t>
        </is>
      </c>
      <c r="E242" s="10" t="inlineStr">
        <is>
          <t>ELVIVE</t>
        </is>
      </c>
      <c r="F242" s="10" t="n">
        <v>8550</v>
      </c>
      <c r="G242" s="10" t="n">
        <v>706612</v>
      </c>
      <c r="H242" s="10" t="b">
        <v>1</v>
      </c>
      <c r="I242" s="10" t="n">
        <v>200</v>
      </c>
      <c r="J242" s="10" t="n">
        <v>42.75</v>
      </c>
      <c r="K242" s="10" t="inlineStr">
        <is>
          <t>&gt; Perfumería &gt; Cuidado Capilar &gt; Acondicionador &gt;</t>
        </is>
      </c>
      <c r="L242" s="10" t="inlineStr">
        <is>
          <t>acondicionador</t>
        </is>
      </c>
      <c r="M242" s="10" t="inlineStr">
        <is>
          <t>profesional</t>
        </is>
      </c>
      <c r="N242" s="10" t="inlineStr">
        <is>
          <t>general</t>
        </is>
      </c>
      <c r="O242" s="10" t="inlineStr">
        <is>
          <t>https://www.disco.com.ar/acondicionador-brillo-cristalino-glycolic-cristal-x-200-ml-elvive/p</t>
        </is>
      </c>
      <c r="P242" s="12">
        <f>TRIM(CLEAN(PROPER(D242)))</f>
        <v/>
      </c>
      <c r="Q242" s="12">
        <f>PROPER(TRIM(SUBSTITUTE(SUBSTITUTE(SUBSTITUTE(SUBSTITUTE(E242,"TRESEMME","Tresemme"),"HEAD &amp; SHOULDERS","Head &amp; Shoulders"),"ELVIVE","Elvive"),"FRUCTIS","Fructis")))</f>
        <v/>
      </c>
      <c r="R242" s="12">
        <f>COUNTIF($D$2:$D$10000,D242)&gt;1</f>
        <v/>
      </c>
      <c r="S242" s="12">
        <f>IF(H242=TRUE,"Disponible","No disponible")</f>
        <v/>
      </c>
      <c r="T242" s="12">
        <f>IF(AND(ISNUMBER(I242),I242&gt;0),ROUND(F242/I242,2),"Sin volumen")</f>
        <v/>
      </c>
      <c r="U242" s="12">
        <f>IF(F242&lt;5000,"Bajo",IF(F242&lt;15000,"Medio","Alto"))</f>
        <v/>
      </c>
    </row>
    <row r="243">
      <c r="A243" t="inlineStr">
        <is>
          <t>Disco</t>
        </is>
      </c>
      <c r="B243" t="n">
        <v>3071024</v>
      </c>
      <c r="C243" t="n">
        <v>3070595</v>
      </c>
      <c r="D243" t="inlineStr">
        <is>
          <t>Acondicionador Dream Liso Anti-frizz 750 Ml Elvive</t>
        </is>
      </c>
      <c r="E243" t="inlineStr">
        <is>
          <t>ELVIVE</t>
        </is>
      </c>
      <c r="F243" t="n">
        <v>21850</v>
      </c>
      <c r="G243" t="n">
        <v>1805785</v>
      </c>
      <c r="H243" t="b">
        <v>1</v>
      </c>
      <c r="I243" t="n">
        <v>750</v>
      </c>
      <c r="J243" t="n">
        <v>29.1333</v>
      </c>
      <c r="K243" t="inlineStr">
        <is>
          <t>&gt; Perfumería &gt; Cuidado Capilar &gt; Acondicionador &gt;</t>
        </is>
      </c>
      <c r="L243" t="inlineStr">
        <is>
          <t>acondicionador</t>
        </is>
      </c>
      <c r="M243" t="inlineStr">
        <is>
          <t>profesional</t>
        </is>
      </c>
      <c r="N243" t="inlineStr">
        <is>
          <t>general</t>
        </is>
      </c>
      <c r="O243" t="inlineStr">
        <is>
          <t>https://www.disco.com.ar/acondicionador-dream-liso-x-750-ml-elvive/p</t>
        </is>
      </c>
      <c r="P243">
        <f>TRIM(CLEAN(PROPER(D243)))</f>
        <v/>
      </c>
      <c r="Q243">
        <f>PROPER(TRIM(SUBSTITUTE(SUBSTITUTE(SUBSTITUTE(SUBSTITUTE(E243,"TRESEMME","Tresemme"),"HEAD &amp; SHOULDERS","Head &amp; Shoulders"),"ELVIVE","Elvive"),"FRUCTIS","Fructis")))</f>
        <v/>
      </c>
      <c r="R243">
        <f>COUNTIF($D$2:$D$10000,D243)&gt;1</f>
        <v/>
      </c>
      <c r="S243">
        <f>IF(H243=TRUE,"Disponible","No disponible")</f>
        <v/>
      </c>
      <c r="T243">
        <f>IF(AND(ISNUMBER(I243),I243&gt;0),ROUND(F243/I243,2),"Sin volumen")</f>
        <v/>
      </c>
      <c r="U243">
        <f>IF(F243&lt;5000,"Bajo",IF(F243&lt;15000,"Medio","Alto"))</f>
        <v/>
      </c>
    </row>
    <row r="244">
      <c r="A244" s="10" t="inlineStr">
        <is>
          <t>Disco</t>
        </is>
      </c>
      <c r="B244" s="10" t="n">
        <v>3066019</v>
      </c>
      <c r="C244" s="10" t="n">
        <v>3065976</v>
      </c>
      <c r="D244" s="10" t="inlineStr">
        <is>
          <t>Acondicionador Anti-Caída Biotinamina B3 250 Ml Pantene</t>
        </is>
      </c>
      <c r="E244" s="10" t="inlineStr">
        <is>
          <t>PANTENE</t>
        </is>
      </c>
      <c r="F244" s="10" t="n">
        <v>10550</v>
      </c>
      <c r="G244" s="10" t="n">
        <v>871901</v>
      </c>
      <c r="H244" s="10" t="b">
        <v>1</v>
      </c>
      <c r="I244" s="10" t="n">
        <v>250</v>
      </c>
      <c r="J244" s="10" t="n">
        <v>42.2</v>
      </c>
      <c r="K244" s="10" t="inlineStr">
        <is>
          <t>&gt; Perfumería &gt; Cuidado Capilar &gt; Acondicionador &gt;</t>
        </is>
      </c>
      <c r="L244" s="10" t="inlineStr">
        <is>
          <t>acondicionador</t>
        </is>
      </c>
      <c r="M244" s="10" t="inlineStr">
        <is>
          <t>estandar</t>
        </is>
      </c>
      <c r="N244" s="10" t="inlineStr">
        <is>
          <t>general</t>
        </is>
      </c>
      <c r="O244" s="10" t="inlineStr">
        <is>
          <t>https://www.disco.com.ar/acondicionador-anti-caida-x-250-ml-pantene/p</t>
        </is>
      </c>
      <c r="P244" s="12">
        <f>TRIM(CLEAN(PROPER(D244)))</f>
        <v/>
      </c>
      <c r="Q244" s="12">
        <f>PROPER(TRIM(SUBSTITUTE(SUBSTITUTE(SUBSTITUTE(SUBSTITUTE(E244,"TRESEMME","Tresemme"),"HEAD &amp; SHOULDERS","Head &amp; Shoulders"),"ELVIVE","Elvive"),"FRUCTIS","Fructis")))</f>
        <v/>
      </c>
      <c r="R244" s="12">
        <f>COUNTIF($D$2:$D$10000,D244)&gt;1</f>
        <v/>
      </c>
      <c r="S244" s="12">
        <f>IF(H244=TRUE,"Disponible","No disponible")</f>
        <v/>
      </c>
      <c r="T244" s="12">
        <f>IF(AND(ISNUMBER(I244),I244&gt;0),ROUND(F244/I244,2),"Sin volumen")</f>
        <v/>
      </c>
      <c r="U244" s="12">
        <f>IF(F244&lt;5000,"Bajo",IF(F244&lt;15000,"Medio","Alto"))</f>
        <v/>
      </c>
    </row>
    <row r="245">
      <c r="A245" t="inlineStr">
        <is>
          <t>Disco</t>
        </is>
      </c>
      <c r="B245" t="n">
        <v>1360448</v>
      </c>
      <c r="C245" t="n">
        <v>1360031</v>
      </c>
      <c r="D245" t="inlineStr">
        <is>
          <t>Acondicionador Glycolic Gloss Sellador de Brillo 200 Ml Elvive</t>
        </is>
      </c>
      <c r="E245" t="inlineStr">
        <is>
          <t>ELVIVE</t>
        </is>
      </c>
      <c r="F245" t="n">
        <v>8200</v>
      </c>
      <c r="G245" t="n">
        <v>677686</v>
      </c>
      <c r="H245" t="b">
        <v>1</v>
      </c>
      <c r="I245" t="n">
        <v>200</v>
      </c>
      <c r="J245" t="n">
        <v>41</v>
      </c>
      <c r="K245" t="inlineStr">
        <is>
          <t>&gt; Perfumería &gt; Cuidado Capilar &gt; Acondicionador &gt;</t>
        </is>
      </c>
      <c r="L245" t="inlineStr">
        <is>
          <t>acondicionador</t>
        </is>
      </c>
      <c r="M245" t="inlineStr">
        <is>
          <t>profesional</t>
        </is>
      </c>
      <c r="N245" t="inlineStr">
        <is>
          <t>general</t>
        </is>
      </c>
      <c r="O245" t="inlineStr">
        <is>
          <t>https://www.disco.com.ar/acondicionador-elvive-glyco-gloss-200ml/p</t>
        </is>
      </c>
      <c r="P245">
        <f>TRIM(CLEAN(PROPER(D245)))</f>
        <v/>
      </c>
      <c r="Q245">
        <f>PROPER(TRIM(SUBSTITUTE(SUBSTITUTE(SUBSTITUTE(SUBSTITUTE(E245,"TRESEMME","Tresemme"),"HEAD &amp; SHOULDERS","Head &amp; Shoulders"),"ELVIVE","Elvive"),"FRUCTIS","Fructis")))</f>
        <v/>
      </c>
      <c r="R245">
        <f>COUNTIF($D$2:$D$10000,D245)&gt;1</f>
        <v/>
      </c>
      <c r="S245">
        <f>IF(H245=TRUE,"Disponible","No disponible")</f>
        <v/>
      </c>
      <c r="T245">
        <f>IF(AND(ISNUMBER(I245),I245&gt;0),ROUND(F245/I245,2),"Sin volumen")</f>
        <v/>
      </c>
      <c r="U245">
        <f>IF(F245&lt;5000,"Bajo",IF(F245&lt;15000,"Medio","Alto"))</f>
        <v/>
      </c>
    </row>
    <row r="246">
      <c r="A246" s="10" t="inlineStr">
        <is>
          <t>Disco</t>
        </is>
      </c>
      <c r="B246" s="10" t="n">
        <v>416912</v>
      </c>
      <c r="C246" s="10" t="n">
        <v>412456</v>
      </c>
      <c r="D246" s="10" t="inlineStr">
        <is>
          <t>Acondicionador Óleo Extraordinario Rizos Definidos 200 Ml Elvive</t>
        </is>
      </c>
      <c r="E246" s="10" t="inlineStr">
        <is>
          <t>ELVIVE</t>
        </is>
      </c>
      <c r="F246" s="10" t="n">
        <v>7650</v>
      </c>
      <c r="G246" s="10" t="n">
        <v>632231</v>
      </c>
      <c r="H246" s="10" t="b">
        <v>1</v>
      </c>
      <c r="I246" s="10" t="n">
        <v>200</v>
      </c>
      <c r="J246" s="10" t="n">
        <v>38.25</v>
      </c>
      <c r="K246" s="10" t="inlineStr">
        <is>
          <t>&gt; Perfumería &gt; Cuidado Capilar &gt; Acondicionador &gt;</t>
        </is>
      </c>
      <c r="L246" s="10" t="inlineStr">
        <is>
          <t>acondicionador</t>
        </is>
      </c>
      <c r="M246" s="10" t="inlineStr">
        <is>
          <t>profesional</t>
        </is>
      </c>
      <c r="N246" s="10" t="inlineStr">
        <is>
          <t>rizado</t>
        </is>
      </c>
      <c r="O246" s="10" t="inlineStr">
        <is>
          <t>https://www.disco.com.ar/acondicionador-elvive-extraordinario-riso-200-ml/p</t>
        </is>
      </c>
      <c r="P246" s="12">
        <f>TRIM(CLEAN(PROPER(D246)))</f>
        <v/>
      </c>
      <c r="Q246" s="12">
        <f>PROPER(TRIM(SUBSTITUTE(SUBSTITUTE(SUBSTITUTE(SUBSTITUTE(E246,"TRESEMME","Tresemme"),"HEAD &amp; SHOULDERS","Head &amp; Shoulders"),"ELVIVE","Elvive"),"FRUCTIS","Fructis")))</f>
        <v/>
      </c>
      <c r="R246" s="12">
        <f>COUNTIF($D$2:$D$10000,D246)&gt;1</f>
        <v/>
      </c>
      <c r="S246" s="12">
        <f>IF(H246=TRUE,"Disponible","No disponible")</f>
        <v/>
      </c>
      <c r="T246" s="12">
        <f>IF(AND(ISNUMBER(I246),I246&gt;0),ROUND(F246/I246,2),"Sin volumen")</f>
        <v/>
      </c>
      <c r="U246" s="12">
        <f>IF(F246&lt;5000,"Bajo",IF(F246&lt;15000,"Medio","Alto"))</f>
        <v/>
      </c>
    </row>
    <row r="247">
      <c r="A247" t="inlineStr">
        <is>
          <t>Disco</t>
        </is>
      </c>
      <c r="B247" t="n">
        <v>424300</v>
      </c>
      <c r="C247" t="n">
        <v>417180</v>
      </c>
      <c r="D247" t="inlineStr">
        <is>
          <t>Acondicionador Nutrición Intensa Óleo de Argán 700 Ml Plusbelle</t>
        </is>
      </c>
      <c r="E247" t="inlineStr">
        <is>
          <t>PLUSBELLE</t>
        </is>
      </c>
      <c r="F247" t="n">
        <v>5650</v>
      </c>
      <c r="G247" t="n">
        <v>466942</v>
      </c>
      <c r="H247" t="b">
        <v>1</v>
      </c>
      <c r="I247" t="n">
        <v>700</v>
      </c>
      <c r="J247" t="n">
        <v>8.071400000000001</v>
      </c>
      <c r="K247" t="inlineStr">
        <is>
          <t>&gt; Perfumería &gt; Cuidado Capilar &gt; Acondicionador &gt;</t>
        </is>
      </c>
      <c r="L247" t="inlineStr">
        <is>
          <t>acondicionador</t>
        </is>
      </c>
      <c r="M247" t="inlineStr">
        <is>
          <t>estandar</t>
        </is>
      </c>
      <c r="N247" t="inlineStr">
        <is>
          <t>general</t>
        </is>
      </c>
      <c r="O247" t="inlineStr">
        <is>
          <t>https://www.disco.com.ar/acondicionador-plusbelle-esen-oleo-nut-argan-700-ml/p</t>
        </is>
      </c>
      <c r="P247">
        <f>TRIM(CLEAN(PROPER(D247)))</f>
        <v/>
      </c>
      <c r="Q247">
        <f>PROPER(TRIM(SUBSTITUTE(SUBSTITUTE(SUBSTITUTE(SUBSTITUTE(E247,"TRESEMME","Tresemme"),"HEAD &amp; SHOULDERS","Head &amp; Shoulders"),"ELVIVE","Elvive"),"FRUCTIS","Fructis")))</f>
        <v/>
      </c>
      <c r="R247">
        <f>COUNTIF($D$2:$D$10000,D247)&gt;1</f>
        <v/>
      </c>
      <c r="S247">
        <f>IF(H247=TRUE,"Disponible","No disponible")</f>
        <v/>
      </c>
      <c r="T247">
        <f>IF(AND(ISNUMBER(I247),I247&gt;0),ROUND(F247/I247,2),"Sin volumen")</f>
        <v/>
      </c>
      <c r="U247">
        <f>IF(F247&lt;5000,"Bajo",IF(F247&lt;15000,"Medio","Alto"))</f>
        <v/>
      </c>
    </row>
    <row r="248">
      <c r="A248" s="10" t="inlineStr">
        <is>
          <t>Disco</t>
        </is>
      </c>
      <c r="B248" s="10" t="n">
        <v>397905</v>
      </c>
      <c r="C248" s="10" t="n">
        <v>395640</v>
      </c>
      <c r="D248" s="10" t="inlineStr">
        <is>
          <t>Acondicionador Colágeno y Vitamina C 340 Ml Sedal</t>
        </is>
      </c>
      <c r="E248" s="10" t="inlineStr">
        <is>
          <t>SEDAL</t>
        </is>
      </c>
      <c r="F248" s="10" t="n">
        <v>5950</v>
      </c>
      <c r="G248" s="10" t="n">
        <v>491736</v>
      </c>
      <c r="H248" s="10" t="b">
        <v>1</v>
      </c>
      <c r="I248" s="10" t="n">
        <v>340</v>
      </c>
      <c r="J248" s="10" t="n">
        <v>17.5</v>
      </c>
      <c r="K248" s="10" t="inlineStr">
        <is>
          <t>&gt; Perfumería &gt; Cuidado Capilar &gt; Acondicionador &gt;</t>
        </is>
      </c>
      <c r="L248" s="10" t="inlineStr">
        <is>
          <t>acondicionador</t>
        </is>
      </c>
      <c r="M248" s="10" t="inlineStr">
        <is>
          <t>estandar</t>
        </is>
      </c>
      <c r="N248" s="10" t="inlineStr">
        <is>
          <t>general</t>
        </is>
      </c>
      <c r="O248" s="10" t="inlineStr">
        <is>
          <t>https://www.disco.com.ar/acondicionador-colageno-y-vitamina-c-340-ml-sedal/p</t>
        </is>
      </c>
      <c r="P248" s="12">
        <f>TRIM(CLEAN(PROPER(D248)))</f>
        <v/>
      </c>
      <c r="Q248" s="12">
        <f>PROPER(TRIM(SUBSTITUTE(SUBSTITUTE(SUBSTITUTE(SUBSTITUTE(E248,"TRESEMME","Tresemme"),"HEAD &amp; SHOULDERS","Head &amp; Shoulders"),"ELVIVE","Elvive"),"FRUCTIS","Fructis")))</f>
        <v/>
      </c>
      <c r="R248" s="12">
        <f>COUNTIF($D$2:$D$10000,D248)&gt;1</f>
        <v/>
      </c>
      <c r="S248" s="12">
        <f>IF(H248=TRUE,"Disponible","No disponible")</f>
        <v/>
      </c>
      <c r="T248" s="12">
        <f>IF(AND(ISNUMBER(I248),I248&gt;0),ROUND(F248/I248,2),"Sin volumen")</f>
        <v/>
      </c>
      <c r="U248" s="12">
        <f>IF(F248&lt;5000,"Bajo",IF(F248&lt;15000,"Medio","Alto"))</f>
        <v/>
      </c>
    </row>
    <row r="249">
      <c r="A249" t="inlineStr">
        <is>
          <t>Disco</t>
        </is>
      </c>
      <c r="B249" t="n">
        <v>3083498</v>
      </c>
      <c r="C249" t="n">
        <v>3082773</v>
      </c>
      <c r="D249" t="inlineStr">
        <is>
          <t>Acondicionador Brillo Cristalino Glycolic Cristal 750 Ml Elvive</t>
        </is>
      </c>
      <c r="E249" t="inlineStr">
        <is>
          <t>ELVIVE</t>
        </is>
      </c>
      <c r="F249" t="n">
        <v>22750</v>
      </c>
      <c r="G249" t="n">
        <v>1880165</v>
      </c>
      <c r="H249" t="b">
        <v>1</v>
      </c>
      <c r="I249" t="n">
        <v>750</v>
      </c>
      <c r="J249" t="n">
        <v>30.3333</v>
      </c>
      <c r="K249" t="inlineStr">
        <is>
          <t>&gt; Perfumería &gt; Cuidado Capilar &gt; Acondicionador &gt;</t>
        </is>
      </c>
      <c r="L249" t="inlineStr">
        <is>
          <t>acondicionador</t>
        </is>
      </c>
      <c r="M249" t="inlineStr">
        <is>
          <t>profesional</t>
        </is>
      </c>
      <c r="N249" t="inlineStr">
        <is>
          <t>general</t>
        </is>
      </c>
      <c r="O249" t="inlineStr">
        <is>
          <t>https://www.disco.com.ar/acondicionador-brillo-cristalino-glycolic-cristal-x-750-ml-elvive/p</t>
        </is>
      </c>
      <c r="P249">
        <f>TRIM(CLEAN(PROPER(D249)))</f>
        <v/>
      </c>
      <c r="Q249">
        <f>PROPER(TRIM(SUBSTITUTE(SUBSTITUTE(SUBSTITUTE(SUBSTITUTE(E249,"TRESEMME","Tresemme"),"HEAD &amp; SHOULDERS","Head &amp; Shoulders"),"ELVIVE","Elvive"),"FRUCTIS","Fructis")))</f>
        <v/>
      </c>
      <c r="R249">
        <f>COUNTIF($D$2:$D$10000,D249)&gt;1</f>
        <v/>
      </c>
      <c r="S249">
        <f>IF(H249=TRUE,"Disponible","No disponible")</f>
        <v/>
      </c>
      <c r="T249">
        <f>IF(AND(ISNUMBER(I249),I249&gt;0),ROUND(F249/I249,2),"Sin volumen")</f>
        <v/>
      </c>
      <c r="U249">
        <f>IF(F249&lt;5000,"Bajo",IF(F249&lt;15000,"Medio","Alto"))</f>
        <v/>
      </c>
    </row>
    <row r="250">
      <c r="A250" s="10" t="inlineStr">
        <is>
          <t>Disco</t>
        </is>
      </c>
      <c r="B250" s="10" t="n">
        <v>3070986</v>
      </c>
      <c r="C250" s="10" t="n">
        <v>3070556</v>
      </c>
      <c r="D250" s="10" t="inlineStr">
        <is>
          <t>Acondicionador Sellador Liso Dream Liso 400 Ml Elvive</t>
        </is>
      </c>
      <c r="E250" s="10" t="inlineStr">
        <is>
          <t>ELVIVE</t>
        </is>
      </c>
      <c r="F250" s="10" t="n">
        <v>13700</v>
      </c>
      <c r="G250" s="10" t="n">
        <v>1132231</v>
      </c>
      <c r="H250" s="10" t="b">
        <v>1</v>
      </c>
      <c r="I250" s="10" t="n">
        <v>400</v>
      </c>
      <c r="J250" s="10" t="n">
        <v>34.25</v>
      </c>
      <c r="K250" s="10" t="inlineStr">
        <is>
          <t>&gt; Perfumería &gt; Cuidado Capilar &gt; Acondicionador &gt;</t>
        </is>
      </c>
      <c r="L250" s="10" t="inlineStr">
        <is>
          <t>acondicionador</t>
        </is>
      </c>
      <c r="M250" s="10" t="inlineStr">
        <is>
          <t>profesional</t>
        </is>
      </c>
      <c r="N250" s="10" t="inlineStr">
        <is>
          <t>general</t>
        </is>
      </c>
      <c r="O250" s="10" t="inlineStr">
        <is>
          <t>https://www.disco.com.ar/acondicionador-dream-liso-x-400-ml-elvive/p</t>
        </is>
      </c>
      <c r="P250" s="12">
        <f>TRIM(CLEAN(PROPER(D250)))</f>
        <v/>
      </c>
      <c r="Q250" s="12">
        <f>PROPER(TRIM(SUBSTITUTE(SUBSTITUTE(SUBSTITUTE(SUBSTITUTE(E250,"TRESEMME","Tresemme"),"HEAD &amp; SHOULDERS","Head &amp; Shoulders"),"ELVIVE","Elvive"),"FRUCTIS","Fructis")))</f>
        <v/>
      </c>
      <c r="R250" s="12">
        <f>COUNTIF($D$2:$D$10000,D250)&gt;1</f>
        <v/>
      </c>
      <c r="S250" s="12">
        <f>IF(H250=TRUE,"Disponible","No disponible")</f>
        <v/>
      </c>
      <c r="T250" s="12">
        <f>IF(AND(ISNUMBER(I250),I250&gt;0),ROUND(F250/I250,2),"Sin volumen")</f>
        <v/>
      </c>
      <c r="U250" s="12">
        <f>IF(F250&lt;5000,"Bajo",IF(F250&lt;15000,"Medio","Alto"))</f>
        <v/>
      </c>
    </row>
    <row r="251">
      <c r="A251" t="inlineStr">
        <is>
          <t>Disco</t>
        </is>
      </c>
      <c r="B251" t="n">
        <v>3070157</v>
      </c>
      <c r="C251" t="n">
        <v>3069765</v>
      </c>
      <c r="D251" t="inlineStr">
        <is>
          <t>Acondicionador Colágeno Nutre y Revitaliza 250 Ml Pantene</t>
        </is>
      </c>
      <c r="E251" t="inlineStr">
        <is>
          <t>PANTENE</t>
        </is>
      </c>
      <c r="F251" t="n">
        <v>10950</v>
      </c>
      <c r="G251" t="n">
        <v>904959</v>
      </c>
      <c r="H251" t="b">
        <v>1</v>
      </c>
      <c r="I251" t="n">
        <v>250</v>
      </c>
      <c r="J251" t="n">
        <v>43.8</v>
      </c>
      <c r="K251" t="inlineStr">
        <is>
          <t>&gt; Perfumería &gt; Cuidado Capilar &gt; Acondicionador &gt;</t>
        </is>
      </c>
      <c r="L251" t="inlineStr">
        <is>
          <t>acondicionador</t>
        </is>
      </c>
      <c r="M251" t="inlineStr">
        <is>
          <t>estandar</t>
        </is>
      </c>
      <c r="N251" t="inlineStr">
        <is>
          <t>general</t>
        </is>
      </c>
      <c r="O251" t="inlineStr">
        <is>
          <t>https://www.disco.com.ar/acondicionador-colageno-x-250-ml-pantene-2/p</t>
        </is>
      </c>
      <c r="P251">
        <f>TRIM(CLEAN(PROPER(D251)))</f>
        <v/>
      </c>
      <c r="Q251">
        <f>PROPER(TRIM(SUBSTITUTE(SUBSTITUTE(SUBSTITUTE(SUBSTITUTE(E251,"TRESEMME","Tresemme"),"HEAD &amp; SHOULDERS","Head &amp; Shoulders"),"ELVIVE","Elvive"),"FRUCTIS","Fructis")))</f>
        <v/>
      </c>
      <c r="R251">
        <f>COUNTIF($D$2:$D$10000,D251)&gt;1</f>
        <v/>
      </c>
      <c r="S251">
        <f>IF(H251=TRUE,"Disponible","No disponible")</f>
        <v/>
      </c>
      <c r="T251">
        <f>IF(AND(ISNUMBER(I251),I251&gt;0),ROUND(F251/I251,2),"Sin volumen")</f>
        <v/>
      </c>
      <c r="U251">
        <f>IF(F251&lt;5000,"Bajo",IF(F251&lt;15000,"Medio","Alto"))</f>
        <v/>
      </c>
    </row>
    <row r="252">
      <c r="A252" s="10" t="inlineStr">
        <is>
          <t>Disco</t>
        </is>
      </c>
      <c r="B252" s="10" t="n">
        <v>415581</v>
      </c>
      <c r="C252" s="10" t="n">
        <v>411165</v>
      </c>
      <c r="D252" s="10" t="inlineStr">
        <is>
          <t>Acondicionador Pro-V Miracles Volumen 400 Ml Pantene</t>
        </is>
      </c>
      <c r="E252" s="10" t="inlineStr">
        <is>
          <t>PANTENE</t>
        </is>
      </c>
      <c r="F252" s="10" t="n">
        <v>10550</v>
      </c>
      <c r="G252" s="10" t="n">
        <v>871901</v>
      </c>
      <c r="H252" s="10" t="b">
        <v>1</v>
      </c>
      <c r="I252" s="10" t="n">
        <v>400</v>
      </c>
      <c r="J252" s="10" t="n">
        <v>26.375</v>
      </c>
      <c r="K252" s="10" t="inlineStr">
        <is>
          <t>&gt; Perfumería &gt; Cuidado Capilar &gt; Acondicionador &gt;</t>
        </is>
      </c>
      <c r="L252" s="10" t="inlineStr">
        <is>
          <t>acondicionador</t>
        </is>
      </c>
      <c r="M252" s="10" t="inlineStr">
        <is>
          <t>profesional</t>
        </is>
      </c>
      <c r="N252" s="10" t="inlineStr">
        <is>
          <t>general</t>
        </is>
      </c>
      <c r="O252" s="10" t="inlineStr">
        <is>
          <t>https://www.disco.com.ar/acondicionador-pro-v-miracles-volumen-400-ml-pantene/p</t>
        </is>
      </c>
      <c r="P252" s="12">
        <f>TRIM(CLEAN(PROPER(D252)))</f>
        <v/>
      </c>
      <c r="Q252" s="12">
        <f>PROPER(TRIM(SUBSTITUTE(SUBSTITUTE(SUBSTITUTE(SUBSTITUTE(E252,"TRESEMME","Tresemme"),"HEAD &amp; SHOULDERS","Head &amp; Shoulders"),"ELVIVE","Elvive"),"FRUCTIS","Fructis")))</f>
        <v/>
      </c>
      <c r="R252" s="12">
        <f>COUNTIF($D$2:$D$10000,D252)&gt;1</f>
        <v/>
      </c>
      <c r="S252" s="12">
        <f>IF(H252=TRUE,"Disponible","No disponible")</f>
        <v/>
      </c>
      <c r="T252" s="12">
        <f>IF(AND(ISNUMBER(I252),I252&gt;0),ROUND(F252/I252,2),"Sin volumen")</f>
        <v/>
      </c>
      <c r="U252" s="12">
        <f>IF(F252&lt;5000,"Bajo",IF(F252&lt;15000,"Medio","Alto"))</f>
        <v/>
      </c>
    </row>
    <row r="253">
      <c r="A253" t="inlineStr">
        <is>
          <t>Disco</t>
        </is>
      </c>
      <c r="B253" t="n">
        <v>384081</v>
      </c>
      <c r="C253" t="n">
        <v>382764</v>
      </c>
      <c r="D253" t="inlineStr">
        <is>
          <t>Acondicionador Hair Food Revitalizante Sandía 300 Ml Fructis</t>
        </is>
      </c>
      <c r="E253" t="inlineStr">
        <is>
          <t>FRUCTIS</t>
        </is>
      </c>
      <c r="F253" t="n">
        <v>12300</v>
      </c>
      <c r="G253" t="n">
        <v>1016529</v>
      </c>
      <c r="H253" t="b">
        <v>1</v>
      </c>
      <c r="I253" t="n">
        <v>300</v>
      </c>
      <c r="J253" t="n">
        <v>41</v>
      </c>
      <c r="K253" t="inlineStr">
        <is>
          <t>&gt; Perfumería &gt; Cuidado Capilar &gt; Acondicionador &gt;</t>
        </is>
      </c>
      <c r="L253" t="inlineStr">
        <is>
          <t>acondicionador</t>
        </is>
      </c>
      <c r="M253" t="inlineStr">
        <is>
          <t>estandar</t>
        </is>
      </c>
      <c r="N253" t="inlineStr">
        <is>
          <t>general</t>
        </is>
      </c>
      <c r="O253" t="inlineStr">
        <is>
          <t>https://www.disco.com.ar/acondicionador-fructis-hair-food-sandia-300-ml/p</t>
        </is>
      </c>
      <c r="P253">
        <f>TRIM(CLEAN(PROPER(D253)))</f>
        <v/>
      </c>
      <c r="Q253">
        <f>PROPER(TRIM(SUBSTITUTE(SUBSTITUTE(SUBSTITUTE(SUBSTITUTE(E253,"TRESEMME","Tresemme"),"HEAD &amp; SHOULDERS","Head &amp; Shoulders"),"ELVIVE","Elvive"),"FRUCTIS","Fructis")))</f>
        <v/>
      </c>
      <c r="R253">
        <f>COUNTIF($D$2:$D$10000,D253)&gt;1</f>
        <v/>
      </c>
      <c r="S253">
        <f>IF(H253=TRUE,"Disponible","No disponible")</f>
        <v/>
      </c>
      <c r="T253">
        <f>IF(AND(ISNUMBER(I253),I253&gt;0),ROUND(F253/I253,2),"Sin volumen")</f>
        <v/>
      </c>
      <c r="U253">
        <f>IF(F253&lt;5000,"Bajo",IF(F253&lt;15000,"Medio","Alto"))</f>
        <v/>
      </c>
    </row>
    <row r="254">
      <c r="A254" s="10" t="inlineStr">
        <is>
          <t>Disco</t>
        </is>
      </c>
      <c r="B254" s="10" t="n">
        <v>25079</v>
      </c>
      <c r="C254" s="10" t="n">
        <v>22240</v>
      </c>
      <c r="D254" s="10" t="inlineStr">
        <is>
          <t>Acondicionador 3 Minute Miracle Restauración 170 Ml Pantene</t>
        </is>
      </c>
      <c r="E254" s="10" t="inlineStr">
        <is>
          <t>PANTENE</t>
        </is>
      </c>
      <c r="F254" s="10" t="n">
        <v>10100</v>
      </c>
      <c r="G254" s="10" t="n">
        <v>834711</v>
      </c>
      <c r="H254" s="10" t="b">
        <v>1</v>
      </c>
      <c r="I254" s="10" t="n">
        <v>170</v>
      </c>
      <c r="J254" s="10" t="n">
        <v>59.4118</v>
      </c>
      <c r="K254" s="10" t="inlineStr">
        <is>
          <t>&gt; Perfumería &gt; Cuidado Capilar &gt; Acondicionador &gt;</t>
        </is>
      </c>
      <c r="L254" s="10" t="inlineStr">
        <is>
          <t>acondicionador</t>
        </is>
      </c>
      <c r="M254" s="10" t="inlineStr">
        <is>
          <t>estandar</t>
        </is>
      </c>
      <c r="N254" s="10" t="inlineStr">
        <is>
          <t>general</t>
        </is>
      </c>
      <c r="O254" s="10" t="inlineStr">
        <is>
          <t>https://www.disco.com.ar/acondicionador-diario-pantene-pro-v-3-minute-miracle-restauracion-170-ml/p</t>
        </is>
      </c>
      <c r="P254" s="12">
        <f>TRIM(CLEAN(PROPER(D254)))</f>
        <v/>
      </c>
      <c r="Q254" s="12">
        <f>PROPER(TRIM(SUBSTITUTE(SUBSTITUTE(SUBSTITUTE(SUBSTITUTE(E254,"TRESEMME","Tresemme"),"HEAD &amp; SHOULDERS","Head &amp; Shoulders"),"ELVIVE","Elvive"),"FRUCTIS","Fructis")))</f>
        <v/>
      </c>
      <c r="R254" s="12">
        <f>COUNTIF($D$2:$D$10000,D254)&gt;1</f>
        <v/>
      </c>
      <c r="S254" s="12">
        <f>IF(H254=TRUE,"Disponible","No disponible")</f>
        <v/>
      </c>
      <c r="T254" s="12">
        <f>IF(AND(ISNUMBER(I254),I254&gt;0),ROUND(F254/I254,2),"Sin volumen")</f>
        <v/>
      </c>
      <c r="U254" s="12">
        <f>IF(F254&lt;5000,"Bajo",IF(F254&lt;15000,"Medio","Alto"))</f>
        <v/>
      </c>
    </row>
    <row r="255">
      <c r="A255" t="inlineStr">
        <is>
          <t>Disco</t>
        </is>
      </c>
      <c r="B255" t="n">
        <v>397915</v>
      </c>
      <c r="C255" t="n">
        <v>395650</v>
      </c>
      <c r="D255" t="inlineStr">
        <is>
          <t>Acondicionador Colageno Y Vitamina C 650 Ml Sedal</t>
        </is>
      </c>
      <c r="E255" t="inlineStr">
        <is>
          <t>SEDAL</t>
        </is>
      </c>
      <c r="F255" t="n">
        <v>9550</v>
      </c>
      <c r="G255" t="n">
        <v>789256</v>
      </c>
      <c r="H255" t="b">
        <v>1</v>
      </c>
      <c r="I255" t="n">
        <v>650</v>
      </c>
      <c r="J255" t="n">
        <v>14.6923</v>
      </c>
      <c r="K255" t="inlineStr">
        <is>
          <t>&gt; Perfumería &gt; Cuidado Capilar &gt; Acondicionador &gt;</t>
        </is>
      </c>
      <c r="L255" t="inlineStr">
        <is>
          <t>acondicionador</t>
        </is>
      </c>
      <c r="M255" t="inlineStr">
        <is>
          <t>estandar</t>
        </is>
      </c>
      <c r="N255" t="inlineStr">
        <is>
          <t>general</t>
        </is>
      </c>
      <c r="O255" t="inlineStr">
        <is>
          <t>https://www.disco.com.ar/acondicionador-colageno-y-vitamina-c-650-ml-sedal/p</t>
        </is>
      </c>
      <c r="P255">
        <f>TRIM(CLEAN(PROPER(D255)))</f>
        <v/>
      </c>
      <c r="Q255">
        <f>PROPER(TRIM(SUBSTITUTE(SUBSTITUTE(SUBSTITUTE(SUBSTITUTE(E255,"TRESEMME","Tresemme"),"HEAD &amp; SHOULDERS","Head &amp; Shoulders"),"ELVIVE","Elvive"),"FRUCTIS","Fructis")))</f>
        <v/>
      </c>
      <c r="R255">
        <f>COUNTIF($D$2:$D$10000,D255)&gt;1</f>
        <v/>
      </c>
      <c r="S255">
        <f>IF(H255=TRUE,"Disponible","No disponible")</f>
        <v/>
      </c>
      <c r="T255">
        <f>IF(AND(ISNUMBER(I255),I255&gt;0),ROUND(F255/I255,2),"Sin volumen")</f>
        <v/>
      </c>
      <c r="U255">
        <f>IF(F255&lt;5000,"Bajo",IF(F255&lt;15000,"Medio","Alto"))</f>
        <v/>
      </c>
    </row>
    <row r="256">
      <c r="A256" s="10" t="inlineStr">
        <is>
          <t>Disco</t>
        </is>
      </c>
      <c r="B256" s="10" t="n">
        <v>3074194</v>
      </c>
      <c r="C256" s="10" t="n">
        <v>3073690</v>
      </c>
      <c r="D256" s="10" t="inlineStr">
        <is>
          <t>Acondicionador Hair Food Anti-quiebre Ananá 300 Ml Fructis</t>
        </is>
      </c>
      <c r="E256" s="10" t="inlineStr">
        <is>
          <t>FRUCTIS</t>
        </is>
      </c>
      <c r="F256" s="10" t="n">
        <v>12300</v>
      </c>
      <c r="G256" s="10" t="n">
        <v>1016529</v>
      </c>
      <c r="H256" s="10" t="b">
        <v>1</v>
      </c>
      <c r="I256" s="10" t="n">
        <v>300</v>
      </c>
      <c r="J256" s="10" t="n">
        <v>41</v>
      </c>
      <c r="K256" s="10" t="inlineStr">
        <is>
          <t>&gt; Perfumería &gt; Cuidado Capilar &gt; Acondicionador &gt;</t>
        </is>
      </c>
      <c r="L256" s="10" t="inlineStr">
        <is>
          <t>acondicionador</t>
        </is>
      </c>
      <c r="M256" s="10" t="inlineStr">
        <is>
          <t>estandar</t>
        </is>
      </c>
      <c r="N256" s="10" t="inlineStr">
        <is>
          <t>general</t>
        </is>
      </c>
      <c r="O256" s="10" t="inlineStr">
        <is>
          <t>https://www.disco.com.ar/acondicionador-fructis-pina-300ml/p</t>
        </is>
      </c>
      <c r="P256" s="12">
        <f>TRIM(CLEAN(PROPER(D256)))</f>
        <v/>
      </c>
      <c r="Q256" s="12">
        <f>PROPER(TRIM(SUBSTITUTE(SUBSTITUTE(SUBSTITUTE(SUBSTITUTE(E256,"TRESEMME","Tresemme"),"HEAD &amp; SHOULDERS","Head &amp; Shoulders"),"ELVIVE","Elvive"),"FRUCTIS","Fructis")))</f>
        <v/>
      </c>
      <c r="R256" s="12">
        <f>COUNTIF($D$2:$D$10000,D256)&gt;1</f>
        <v/>
      </c>
      <c r="S256" s="12">
        <f>IF(H256=TRUE,"Disponible","No disponible")</f>
        <v/>
      </c>
      <c r="T256" s="12">
        <f>IF(AND(ISNUMBER(I256),I256&gt;0),ROUND(F256/I256,2),"Sin volumen")</f>
        <v/>
      </c>
      <c r="U256" s="12">
        <f>IF(F256&lt;5000,"Bajo",IF(F256&lt;15000,"Medio","Alto"))</f>
        <v/>
      </c>
    </row>
    <row r="257">
      <c r="A257" t="inlineStr">
        <is>
          <t>Disco</t>
        </is>
      </c>
      <c r="B257" t="n">
        <v>307401</v>
      </c>
      <c r="C257" t="n">
        <v>306638</v>
      </c>
      <c r="D257" t="inlineStr">
        <is>
          <t>Acondicionador Dermo Protección Caída 300 Ml Head y Shoulders</t>
        </is>
      </c>
      <c r="E257" t="inlineStr">
        <is>
          <t>HEAD &amp; SHOULDERS</t>
        </is>
      </c>
      <c r="F257" t="n">
        <v>12450</v>
      </c>
      <c r="G257" t="n">
        <v>1028926</v>
      </c>
      <c r="H257" t="b">
        <v>1</v>
      </c>
      <c r="I257" t="n">
        <v>300</v>
      </c>
      <c r="J257" t="n">
        <v>41.5</v>
      </c>
      <c r="K257" t="inlineStr">
        <is>
          <t>&gt; Perfumería &gt; Cuidado Capilar &gt; Acondicionador &gt;</t>
        </is>
      </c>
      <c r="L257" t="inlineStr">
        <is>
          <t>acondicionador</t>
        </is>
      </c>
      <c r="M257" t="inlineStr">
        <is>
          <t>estandar</t>
        </is>
      </c>
      <c r="N257" t="inlineStr">
        <is>
          <t>general</t>
        </is>
      </c>
      <c r="O257" t="inlineStr">
        <is>
          <t>https://www.disco.com.ar/acondicionador-dermo-proteccion-caida-300-ml-head-shoulders/p</t>
        </is>
      </c>
      <c r="P257">
        <f>TRIM(CLEAN(PROPER(D257)))</f>
        <v/>
      </c>
      <c r="Q257">
        <f>PROPER(TRIM(SUBSTITUTE(SUBSTITUTE(SUBSTITUTE(SUBSTITUTE(E257,"TRESEMME","Tresemme"),"HEAD &amp; SHOULDERS","Head &amp; Shoulders"),"ELVIVE","Elvive"),"FRUCTIS","Fructis")))</f>
        <v/>
      </c>
      <c r="R257">
        <f>COUNTIF($D$2:$D$10000,D257)&gt;1</f>
        <v/>
      </c>
      <c r="S257">
        <f>IF(H257=TRUE,"Disponible","No disponible")</f>
        <v/>
      </c>
      <c r="T257">
        <f>IF(AND(ISNUMBER(I257),I257&gt;0),ROUND(F257/I257,2),"Sin volumen")</f>
        <v/>
      </c>
      <c r="U257">
        <f>IF(F257&lt;5000,"Bajo",IF(F257&lt;15000,"Medio","Alto"))</f>
        <v/>
      </c>
    </row>
    <row r="258">
      <c r="A258" s="10" t="inlineStr">
        <is>
          <t>Disco</t>
        </is>
      </c>
      <c r="B258" s="10" t="n">
        <v>400534</v>
      </c>
      <c r="C258" s="10" t="n">
        <v>397872</v>
      </c>
      <c r="D258" s="10" t="inlineStr">
        <is>
          <t>Acondicionador Color Vive para Cabello Teñido 750 Ml Elvive</t>
        </is>
      </c>
      <c r="E258" s="10" t="inlineStr">
        <is>
          <t>ELVIVE</t>
        </is>
      </c>
      <c r="F258" s="10" t="n">
        <v>19150</v>
      </c>
      <c r="G258" s="10" t="n">
        <v>1582645</v>
      </c>
      <c r="H258" s="10" t="b">
        <v>1</v>
      </c>
      <c r="I258" s="10" t="n">
        <v>750</v>
      </c>
      <c r="J258" s="10" t="n">
        <v>25.5333</v>
      </c>
      <c r="K258" s="10" t="inlineStr">
        <is>
          <t>&gt; Perfumería &gt; Cuidado Capilar &gt; Acondicionador &gt;</t>
        </is>
      </c>
      <c r="L258" s="10" t="inlineStr">
        <is>
          <t>acondicionador</t>
        </is>
      </c>
      <c r="M258" s="10" t="inlineStr">
        <is>
          <t>profesional</t>
        </is>
      </c>
      <c r="N258" s="10" t="inlineStr">
        <is>
          <t>tratado</t>
        </is>
      </c>
      <c r="O258" s="10" t="inlineStr">
        <is>
          <t>https://www.disco.com.ar/acondicionador-elvive-color-vive-750-ml/p</t>
        </is>
      </c>
      <c r="P258" s="12">
        <f>TRIM(CLEAN(PROPER(D258)))</f>
        <v/>
      </c>
      <c r="Q258" s="12">
        <f>PROPER(TRIM(SUBSTITUTE(SUBSTITUTE(SUBSTITUTE(SUBSTITUTE(E258,"TRESEMME","Tresemme"),"HEAD &amp; SHOULDERS","Head &amp; Shoulders"),"ELVIVE","Elvive"),"FRUCTIS","Fructis")))</f>
        <v/>
      </c>
      <c r="R258" s="12">
        <f>COUNTIF($D$2:$D$10000,D258)&gt;1</f>
        <v/>
      </c>
      <c r="S258" s="12">
        <f>IF(H258=TRUE,"Disponible","No disponible")</f>
        <v/>
      </c>
      <c r="T258" s="12">
        <f>IF(AND(ISNUMBER(I258),I258&gt;0),ROUND(F258/I258,2),"Sin volumen")</f>
        <v/>
      </c>
      <c r="U258" s="12">
        <f>IF(F258&lt;5000,"Bajo",IF(F258&lt;15000,"Medio","Alto"))</f>
        <v/>
      </c>
    </row>
    <row r="259">
      <c r="A259" t="inlineStr">
        <is>
          <t>Disco</t>
        </is>
      </c>
      <c r="B259" t="n">
        <v>400533</v>
      </c>
      <c r="C259" t="n">
        <v>397871</v>
      </c>
      <c r="D259" t="inlineStr">
        <is>
          <t>Acondicionador Color Vive para Cabello Teñido 400 Ml Elvive</t>
        </is>
      </c>
      <c r="E259" t="inlineStr">
        <is>
          <t>ELVIVE</t>
        </is>
      </c>
      <c r="F259" t="n">
        <v>12300</v>
      </c>
      <c r="G259" t="n">
        <v>1016529</v>
      </c>
      <c r="H259" t="b">
        <v>1</v>
      </c>
      <c r="I259" t="n">
        <v>400</v>
      </c>
      <c r="J259" t="n">
        <v>30.75</v>
      </c>
      <c r="K259" t="inlineStr">
        <is>
          <t>&gt; Perfumería &gt; Cuidado Capilar &gt; Acondicionador &gt;</t>
        </is>
      </c>
      <c r="L259" t="inlineStr">
        <is>
          <t>acondicionador</t>
        </is>
      </c>
      <c r="M259" t="inlineStr">
        <is>
          <t>profesional</t>
        </is>
      </c>
      <c r="N259" t="inlineStr">
        <is>
          <t>tratado</t>
        </is>
      </c>
      <c r="O259" t="inlineStr">
        <is>
          <t>https://www.disco.com.ar/acondicionador-elvive-color-vive-400-ml/p</t>
        </is>
      </c>
      <c r="P259">
        <f>TRIM(CLEAN(PROPER(D259)))</f>
        <v/>
      </c>
      <c r="Q259">
        <f>PROPER(TRIM(SUBSTITUTE(SUBSTITUTE(SUBSTITUTE(SUBSTITUTE(E259,"TRESEMME","Tresemme"),"HEAD &amp; SHOULDERS","Head &amp; Shoulders"),"ELVIVE","Elvive"),"FRUCTIS","Fructis")))</f>
        <v/>
      </c>
      <c r="R259">
        <f>COUNTIF($D$2:$D$10000,D259)&gt;1</f>
        <v/>
      </c>
      <c r="S259">
        <f>IF(H259=TRUE,"Disponible","No disponible")</f>
        <v/>
      </c>
      <c r="T259">
        <f>IF(AND(ISNUMBER(I259),I259&gt;0),ROUND(F259/I259,2),"Sin volumen")</f>
        <v/>
      </c>
      <c r="U259">
        <f>IF(F259&lt;5000,"Bajo",IF(F259&lt;15000,"Medio","Alto"))</f>
        <v/>
      </c>
    </row>
    <row r="260">
      <c r="A260" s="10" t="inlineStr">
        <is>
          <t>Disco</t>
        </is>
      </c>
      <c r="B260" s="10" t="n">
        <v>400521</v>
      </c>
      <c r="C260" s="10" t="n">
        <v>397859</v>
      </c>
      <c r="D260" s="10" t="inlineStr">
        <is>
          <t>Acondicionador Color Vive para Cabello Teñido 200 Ml Elvive</t>
        </is>
      </c>
      <c r="E260" s="10" t="inlineStr">
        <is>
          <t>ELVIVE</t>
        </is>
      </c>
      <c r="F260" s="10" t="n">
        <v>7450</v>
      </c>
      <c r="G260" s="10" t="n">
        <v>615702</v>
      </c>
      <c r="H260" s="10" t="b">
        <v>1</v>
      </c>
      <c r="I260" s="10" t="n">
        <v>200</v>
      </c>
      <c r="J260" s="10" t="n">
        <v>37.25</v>
      </c>
      <c r="K260" s="10" t="inlineStr">
        <is>
          <t>&gt; Perfumería &gt; Cuidado Capilar &gt; Acondicionador &gt;</t>
        </is>
      </c>
      <c r="L260" s="10" t="inlineStr">
        <is>
          <t>acondicionador</t>
        </is>
      </c>
      <c r="M260" s="10" t="inlineStr">
        <is>
          <t>profesional</t>
        </is>
      </c>
      <c r="N260" s="10" t="inlineStr">
        <is>
          <t>tratado</t>
        </is>
      </c>
      <c r="O260" s="10" t="inlineStr">
        <is>
          <t>https://www.disco.com.ar/acondicionador-elvive-color-vive-200-ml/p</t>
        </is>
      </c>
      <c r="P260" s="12">
        <f>TRIM(CLEAN(PROPER(D260)))</f>
        <v/>
      </c>
      <c r="Q260" s="12">
        <f>PROPER(TRIM(SUBSTITUTE(SUBSTITUTE(SUBSTITUTE(SUBSTITUTE(E260,"TRESEMME","Tresemme"),"HEAD &amp; SHOULDERS","Head &amp; Shoulders"),"ELVIVE","Elvive"),"FRUCTIS","Fructis")))</f>
        <v/>
      </c>
      <c r="R260" s="12">
        <f>COUNTIF($D$2:$D$10000,D260)&gt;1</f>
        <v/>
      </c>
      <c r="S260" s="12">
        <f>IF(H260=TRUE,"Disponible","No disponible")</f>
        <v/>
      </c>
      <c r="T260" s="12">
        <f>IF(AND(ISNUMBER(I260),I260&gt;0),ROUND(F260/I260,2),"Sin volumen")</f>
        <v/>
      </c>
      <c r="U260" s="12">
        <f>IF(F260&lt;5000,"Bajo",IF(F260&lt;15000,"Medio","Alto"))</f>
        <v/>
      </c>
    </row>
    <row r="261">
      <c r="A261" t="inlineStr">
        <is>
          <t>Disco</t>
        </is>
      </c>
      <c r="B261" t="n">
        <v>346771</v>
      </c>
      <c r="C261" t="n">
        <v>345446</v>
      </c>
      <c r="D261" t="inlineStr">
        <is>
          <t>Acondicionador Oleo Extraordinario Nutrición Intensa Coco 200 Ml Elvive</t>
        </is>
      </c>
      <c r="E261" t="inlineStr">
        <is>
          <t>ELVIVE</t>
        </is>
      </c>
      <c r="F261" t="n">
        <v>7450</v>
      </c>
      <c r="G261" t="n">
        <v>615702</v>
      </c>
      <c r="H261" t="b">
        <v>1</v>
      </c>
      <c r="I261" t="n">
        <v>200</v>
      </c>
      <c r="J261" t="n">
        <v>37.25</v>
      </c>
      <c r="K261" t="inlineStr">
        <is>
          <t>&gt; Perfumería &gt; Cuidado Capilar &gt; Acondicionador &gt;</t>
        </is>
      </c>
      <c r="L261" t="inlineStr">
        <is>
          <t>acondicionador</t>
        </is>
      </c>
      <c r="M261" t="inlineStr">
        <is>
          <t>profesional</t>
        </is>
      </c>
      <c r="N261" t="inlineStr">
        <is>
          <t>general</t>
        </is>
      </c>
      <c r="O261" t="inlineStr">
        <is>
          <t>https://www.disco.com.ar/acondicionador-elvive-oleo-extraordinario-coco-200-ml/p</t>
        </is>
      </c>
      <c r="P261">
        <f>TRIM(CLEAN(PROPER(D261)))</f>
        <v/>
      </c>
      <c r="Q261">
        <f>PROPER(TRIM(SUBSTITUTE(SUBSTITUTE(SUBSTITUTE(SUBSTITUTE(E261,"TRESEMME","Tresemme"),"HEAD &amp; SHOULDERS","Head &amp; Shoulders"),"ELVIVE","Elvive"),"FRUCTIS","Fructis")))</f>
        <v/>
      </c>
      <c r="R261">
        <f>COUNTIF($D$2:$D$10000,D261)&gt;1</f>
        <v/>
      </c>
      <c r="S261">
        <f>IF(H261=TRUE,"Disponible","No disponible")</f>
        <v/>
      </c>
      <c r="T261">
        <f>IF(AND(ISNUMBER(I261),I261&gt;0),ROUND(F261/I261,2),"Sin volumen")</f>
        <v/>
      </c>
      <c r="U261">
        <f>IF(F261&lt;5000,"Bajo",IF(F261&lt;15000,"Medio","Alto"))</f>
        <v/>
      </c>
    </row>
    <row r="262">
      <c r="A262" s="10" t="inlineStr">
        <is>
          <t>Disco</t>
        </is>
      </c>
      <c r="B262" s="10" t="n">
        <v>393555</v>
      </c>
      <c r="C262" s="10" t="n">
        <v>391583</v>
      </c>
      <c r="D262" s="10" t="inlineStr">
        <is>
          <t>Acondicionador Ritual de Reparación Coco y Cúrcuma 400 Ml Dove</t>
        </is>
      </c>
      <c r="E262" s="10" t="inlineStr">
        <is>
          <t>DOVE</t>
        </is>
      </c>
      <c r="F262" s="10" t="n">
        <v>9150</v>
      </c>
      <c r="G262" s="10" t="n">
        <v>756198</v>
      </c>
      <c r="H262" s="10" t="b">
        <v>1</v>
      </c>
      <c r="I262" s="10" t="n">
        <v>400</v>
      </c>
      <c r="J262" s="10" t="n">
        <v>22.875</v>
      </c>
      <c r="K262" s="10" t="inlineStr">
        <is>
          <t>&gt; Perfumería &gt; Cuidado Capilar &gt; Acondicionador &gt;</t>
        </is>
      </c>
      <c r="L262" s="10" t="inlineStr">
        <is>
          <t>acondicionador</t>
        </is>
      </c>
      <c r="M262" s="10" t="inlineStr">
        <is>
          <t>estandar</t>
        </is>
      </c>
      <c r="N262" s="10" t="inlineStr">
        <is>
          <t>general</t>
        </is>
      </c>
      <c r="O262" s="10" t="inlineStr">
        <is>
          <t>https://www.disco.com.ar/acondicionador-dove-ritual-de-reparacion-coco-400-ml/p</t>
        </is>
      </c>
      <c r="P262" s="12">
        <f>TRIM(CLEAN(PROPER(D262)))</f>
        <v/>
      </c>
      <c r="Q262" s="12">
        <f>PROPER(TRIM(SUBSTITUTE(SUBSTITUTE(SUBSTITUTE(SUBSTITUTE(E262,"TRESEMME","Tresemme"),"HEAD &amp; SHOULDERS","Head &amp; Shoulders"),"ELVIVE","Elvive"),"FRUCTIS","Fructis")))</f>
        <v/>
      </c>
      <c r="R262" s="12">
        <f>COUNTIF($D$2:$D$10000,D262)&gt;1</f>
        <v/>
      </c>
      <c r="S262" s="12">
        <f>IF(H262=TRUE,"Disponible","No disponible")</f>
        <v/>
      </c>
      <c r="T262" s="12">
        <f>IF(AND(ISNUMBER(I262),I262&gt;0),ROUND(F262/I262,2),"Sin volumen")</f>
        <v/>
      </c>
      <c r="U262" s="12">
        <f>IF(F262&lt;5000,"Bajo",IF(F262&lt;15000,"Medio","Alto"))</f>
        <v/>
      </c>
    </row>
    <row r="263">
      <c r="A263" t="inlineStr">
        <is>
          <t>Disco</t>
        </is>
      </c>
      <c r="B263" t="n">
        <v>3083501</v>
      </c>
      <c r="C263" t="n">
        <v>3082776</v>
      </c>
      <c r="D263" t="inlineStr">
        <is>
          <t>Acondicionador Brillo Cristalino Glycolic Cristal X 400 Ml Elvive</t>
        </is>
      </c>
      <c r="E263" t="inlineStr">
        <is>
          <t>ELVIVE</t>
        </is>
      </c>
      <c r="F263" t="n">
        <v>13400</v>
      </c>
      <c r="G263" t="n">
        <v>1107438</v>
      </c>
      <c r="H263" t="b">
        <v>1</v>
      </c>
      <c r="I263" t="n">
        <v>400</v>
      </c>
      <c r="J263" t="n">
        <v>33.5</v>
      </c>
      <c r="K263" t="inlineStr">
        <is>
          <t>&gt; Perfumería &gt; Cuidado Capilar &gt; Acondicionador &gt;</t>
        </is>
      </c>
      <c r="L263" t="inlineStr">
        <is>
          <t>acondicionador</t>
        </is>
      </c>
      <c r="M263" t="inlineStr">
        <is>
          <t>profesional</t>
        </is>
      </c>
      <c r="N263" t="inlineStr">
        <is>
          <t>general</t>
        </is>
      </c>
      <c r="O263" t="inlineStr">
        <is>
          <t>https://www.disco.com.ar/acondicionador-brillo-cristalino-glycolic-cristal-x-400-ml-elvive/p</t>
        </is>
      </c>
      <c r="P263">
        <f>TRIM(CLEAN(PROPER(D263)))</f>
        <v/>
      </c>
      <c r="Q263">
        <f>PROPER(TRIM(SUBSTITUTE(SUBSTITUTE(SUBSTITUTE(SUBSTITUTE(E263,"TRESEMME","Tresemme"),"HEAD &amp; SHOULDERS","Head &amp; Shoulders"),"ELVIVE","Elvive"),"FRUCTIS","Fructis")))</f>
        <v/>
      </c>
      <c r="R263">
        <f>COUNTIF($D$2:$D$10000,D263)&gt;1</f>
        <v/>
      </c>
      <c r="S263">
        <f>IF(H263=TRUE,"Disponible","No disponible")</f>
        <v/>
      </c>
      <c r="T263">
        <f>IF(AND(ISNUMBER(I263),I263&gt;0),ROUND(F263/I263,2),"Sin volumen")</f>
        <v/>
      </c>
      <c r="U263">
        <f>IF(F263&lt;5000,"Bajo",IF(F263&lt;15000,"Medio","Alto"))</f>
        <v/>
      </c>
    </row>
    <row r="264">
      <c r="A264" s="10" t="inlineStr">
        <is>
          <t>Disco</t>
        </is>
      </c>
      <c r="B264" s="10" t="n">
        <v>412487</v>
      </c>
      <c r="C264" s="10" t="n">
        <v>408095</v>
      </c>
      <c r="D264" s="10" t="inlineStr">
        <is>
          <t>Acondicionador Recarga Nutritiva para Cabello Seco 350 Ml Fructis</t>
        </is>
      </c>
      <c r="E264" s="10" t="inlineStr">
        <is>
          <t>FRUCTIS</t>
        </is>
      </c>
      <c r="F264" s="10" t="n">
        <v>5950</v>
      </c>
      <c r="G264" s="10" t="n">
        <v>491736</v>
      </c>
      <c r="H264" s="10" t="b">
        <v>1</v>
      </c>
      <c r="I264" s="10" t="n">
        <v>350</v>
      </c>
      <c r="J264" s="10" t="n">
        <v>17</v>
      </c>
      <c r="K264" s="10" t="inlineStr">
        <is>
          <t>&gt; Perfumería &gt; Cuidado Capilar &gt; Acondicionador &gt;</t>
        </is>
      </c>
      <c r="L264" s="10" t="inlineStr">
        <is>
          <t>acondicionador</t>
        </is>
      </c>
      <c r="M264" s="10" t="inlineStr">
        <is>
          <t>estandar</t>
        </is>
      </c>
      <c r="N264" s="10" t="inlineStr">
        <is>
          <t>seco_danado</t>
        </is>
      </c>
      <c r="O264" s="10" t="inlineStr">
        <is>
          <t>https://www.disco.com.ar/acondicionador-fructis-recarga-nutritiva-200-ml/p</t>
        </is>
      </c>
      <c r="P264" s="12">
        <f>TRIM(CLEAN(PROPER(D264)))</f>
        <v/>
      </c>
      <c r="Q264" s="12">
        <f>PROPER(TRIM(SUBSTITUTE(SUBSTITUTE(SUBSTITUTE(SUBSTITUTE(E264,"TRESEMME","Tresemme"),"HEAD &amp; SHOULDERS","Head &amp; Shoulders"),"ELVIVE","Elvive"),"FRUCTIS","Fructis")))</f>
        <v/>
      </c>
      <c r="R264" s="12">
        <f>COUNTIF($D$2:$D$10000,D264)&gt;1</f>
        <v/>
      </c>
      <c r="S264" s="12">
        <f>IF(H264=TRUE,"Disponible","No disponible")</f>
        <v/>
      </c>
      <c r="T264" s="12">
        <f>IF(AND(ISNUMBER(I264),I264&gt;0),ROUND(F264/I264,2),"Sin volumen")</f>
        <v/>
      </c>
      <c r="U264" s="12">
        <f>IF(F264&lt;5000,"Bajo",IF(F264&lt;15000,"Medio","Alto"))</f>
        <v/>
      </c>
    </row>
    <row r="265">
      <c r="A265" t="inlineStr">
        <is>
          <t>Disco</t>
        </is>
      </c>
      <c r="B265" t="n">
        <v>3068434</v>
      </c>
      <c r="C265" t="n">
        <v>3068184</v>
      </c>
      <c r="D265" t="inlineStr">
        <is>
          <t>Acondicionador Ácido Glicólico para Cabellos Teñidos 350 Ml Capilatis</t>
        </is>
      </c>
      <c r="E265" t="inlineStr">
        <is>
          <t>CAPILATIS</t>
        </is>
      </c>
      <c r="F265" t="n">
        <v>12900</v>
      </c>
      <c r="G265" t="n">
        <v>1066116</v>
      </c>
      <c r="H265" t="b">
        <v>1</v>
      </c>
      <c r="I265" t="n">
        <v>350</v>
      </c>
      <c r="J265" t="n">
        <v>36.8571</v>
      </c>
      <c r="K265" t="inlineStr">
        <is>
          <t>&gt; Perfumería &gt; Cuidado Capilar &gt; Acondicionador &gt;</t>
        </is>
      </c>
      <c r="L265" t="inlineStr">
        <is>
          <t>acondicionador</t>
        </is>
      </c>
      <c r="M265" t="inlineStr">
        <is>
          <t>estandar</t>
        </is>
      </c>
      <c r="N265" t="inlineStr">
        <is>
          <t>tratado</t>
        </is>
      </c>
      <c r="O265" t="inlineStr">
        <is>
          <t>https://www.disco.com.ar/acondicionador-con-acido-glicolico-capilatis/p</t>
        </is>
      </c>
      <c r="P265">
        <f>TRIM(CLEAN(PROPER(D265)))</f>
        <v/>
      </c>
      <c r="Q265">
        <f>PROPER(TRIM(SUBSTITUTE(SUBSTITUTE(SUBSTITUTE(SUBSTITUTE(E265,"TRESEMME","Tresemme"),"HEAD &amp; SHOULDERS","Head &amp; Shoulders"),"ELVIVE","Elvive"),"FRUCTIS","Fructis")))</f>
        <v/>
      </c>
      <c r="R265">
        <f>COUNTIF($D$2:$D$10000,D265)&gt;1</f>
        <v/>
      </c>
      <c r="S265">
        <f>IF(H265=TRUE,"Disponible","No disponible")</f>
        <v/>
      </c>
      <c r="T265">
        <f>IF(AND(ISNUMBER(I265),I265&gt;0),ROUND(F265/I265,2),"Sin volumen")</f>
        <v/>
      </c>
      <c r="U265">
        <f>IF(F265&lt;5000,"Bajo",IF(F265&lt;15000,"Medio","Alto"))</f>
        <v/>
      </c>
    </row>
    <row r="266">
      <c r="A266" s="10" t="inlineStr">
        <is>
          <t>Disco</t>
        </is>
      </c>
      <c r="B266" s="10" t="n">
        <v>393768</v>
      </c>
      <c r="C266" s="10" t="n">
        <v>391789</v>
      </c>
      <c r="D266" s="10" t="inlineStr">
        <is>
          <t>Acondicionador Óleo Extraordinario Nutrición para Cabello Seco 750 Ml Elvive</t>
        </is>
      </c>
      <c r="E266" s="10" t="inlineStr">
        <is>
          <t>ELVIVE</t>
        </is>
      </c>
      <c r="F266" s="10" t="n">
        <v>19150</v>
      </c>
      <c r="G266" s="10" t="n">
        <v>1582645</v>
      </c>
      <c r="H266" s="10" t="b">
        <v>1</v>
      </c>
      <c r="I266" s="10" t="n">
        <v>750</v>
      </c>
      <c r="J266" s="10" t="n">
        <v>25.5333</v>
      </c>
      <c r="K266" s="10" t="inlineStr">
        <is>
          <t>&gt; Perfumería &gt; Cuidado Capilar &gt; Acondicionador &gt;</t>
        </is>
      </c>
      <c r="L266" s="10" t="inlineStr">
        <is>
          <t>acondicionador</t>
        </is>
      </c>
      <c r="M266" s="10" t="inlineStr">
        <is>
          <t>profesional</t>
        </is>
      </c>
      <c r="N266" s="10" t="inlineStr">
        <is>
          <t>seco_danado</t>
        </is>
      </c>
      <c r="O266" s="10" t="inlineStr">
        <is>
          <t>https://www.disco.com.ar/acondicionador-elvive-oleo-extraordinario-nutricion-750-ml/p</t>
        </is>
      </c>
      <c r="P266" s="12">
        <f>TRIM(CLEAN(PROPER(D266)))</f>
        <v/>
      </c>
      <c r="Q266" s="12">
        <f>PROPER(TRIM(SUBSTITUTE(SUBSTITUTE(SUBSTITUTE(SUBSTITUTE(E266,"TRESEMME","Tresemme"),"HEAD &amp; SHOULDERS","Head &amp; Shoulders"),"ELVIVE","Elvive"),"FRUCTIS","Fructis")))</f>
        <v/>
      </c>
      <c r="R266" s="12">
        <f>COUNTIF($D$2:$D$10000,D266)&gt;1</f>
        <v/>
      </c>
      <c r="S266" s="12">
        <f>IF(H266=TRUE,"Disponible","No disponible")</f>
        <v/>
      </c>
      <c r="T266" s="12">
        <f>IF(AND(ISNUMBER(I266),I266&gt;0),ROUND(F266/I266,2),"Sin volumen")</f>
        <v/>
      </c>
      <c r="U266" s="12">
        <f>IF(F266&lt;5000,"Bajo",IF(F266&lt;15000,"Medio","Alto"))</f>
        <v/>
      </c>
    </row>
    <row r="267">
      <c r="A267" t="inlineStr">
        <is>
          <t>Disco</t>
        </is>
      </c>
      <c r="B267" t="n">
        <v>346772</v>
      </c>
      <c r="C267" t="n">
        <v>345447</v>
      </c>
      <c r="D267" t="inlineStr">
        <is>
          <t>Acondicionador Oleo Extraordinario Nutrición Intensa con Óleo de Coco 400 Ml Elvive</t>
        </is>
      </c>
      <c r="E267" t="inlineStr">
        <is>
          <t>ELVIVE</t>
        </is>
      </c>
      <c r="F267" t="n">
        <v>12300</v>
      </c>
      <c r="G267" t="n">
        <v>1016529</v>
      </c>
      <c r="H267" t="b">
        <v>1</v>
      </c>
      <c r="I267" t="n">
        <v>400</v>
      </c>
      <c r="J267" t="n">
        <v>30.75</v>
      </c>
      <c r="K267" t="inlineStr">
        <is>
          <t>&gt; Perfumería &gt; Cuidado Capilar &gt; Acondicionador &gt;</t>
        </is>
      </c>
      <c r="L267" t="inlineStr">
        <is>
          <t>acondicionador</t>
        </is>
      </c>
      <c r="M267" t="inlineStr">
        <is>
          <t>profesional</t>
        </is>
      </c>
      <c r="N267" t="inlineStr">
        <is>
          <t>general</t>
        </is>
      </c>
      <c r="O267" t="inlineStr">
        <is>
          <t>https://www.disco.com.ar/acondicionador-elvive-oleo-extraordinario-oleo-de-coco-400-ml/p</t>
        </is>
      </c>
      <c r="P267">
        <f>TRIM(CLEAN(PROPER(D267)))</f>
        <v/>
      </c>
      <c r="Q267">
        <f>PROPER(TRIM(SUBSTITUTE(SUBSTITUTE(SUBSTITUTE(SUBSTITUTE(E267,"TRESEMME","Tresemme"),"HEAD &amp; SHOULDERS","Head &amp; Shoulders"),"ELVIVE","Elvive"),"FRUCTIS","Fructis")))</f>
        <v/>
      </c>
      <c r="R267">
        <f>COUNTIF($D$2:$D$10000,D267)&gt;1</f>
        <v/>
      </c>
      <c r="S267">
        <f>IF(H267=TRUE,"Disponible","No disponible")</f>
        <v/>
      </c>
      <c r="T267">
        <f>IF(AND(ISNUMBER(I267),I267&gt;0),ROUND(F267/I267,2),"Sin volumen")</f>
        <v/>
      </c>
      <c r="U267">
        <f>IF(F267&lt;5000,"Bajo",IF(F267&lt;15000,"Medio","Alto"))</f>
        <v/>
      </c>
    </row>
    <row r="268">
      <c r="A268" s="10" t="inlineStr">
        <is>
          <t>Disco</t>
        </is>
      </c>
      <c r="B268" s="10" t="n">
        <v>412489</v>
      </c>
      <c r="C268" s="10" t="n">
        <v>408097</v>
      </c>
      <c r="D268" s="10" t="inlineStr">
        <is>
          <t>Acondicionador Recarga Nutritiva Oil Repair 3 con Óleos de Aguacate Coco y Argán 350 Ml Fructis</t>
        </is>
      </c>
      <c r="E268" s="10" t="inlineStr">
        <is>
          <t>FRUCTIS</t>
        </is>
      </c>
      <c r="F268" s="10" t="n">
        <v>8650</v>
      </c>
      <c r="G268" s="10" t="n">
        <v>714876</v>
      </c>
      <c r="H268" s="10" t="b">
        <v>1</v>
      </c>
      <c r="I268" s="10" t="n">
        <v>350</v>
      </c>
      <c r="J268" s="10" t="n">
        <v>24.7143</v>
      </c>
      <c r="K268" s="10" t="inlineStr">
        <is>
          <t>&gt; Perfumería &gt; Cuidado Capilar &gt; Acondicionador &gt;</t>
        </is>
      </c>
      <c r="L268" s="10" t="inlineStr">
        <is>
          <t>acondicionador</t>
        </is>
      </c>
      <c r="M268" s="10" t="inlineStr">
        <is>
          <t>profesional</t>
        </is>
      </c>
      <c r="N268" s="10" t="inlineStr">
        <is>
          <t>general</t>
        </is>
      </c>
      <c r="O268" s="10" t="inlineStr">
        <is>
          <t>https://www.disco.com.ar/fru-or-recarga-nutri-arg-aco-350ml/p</t>
        </is>
      </c>
      <c r="P268" s="12">
        <f>TRIM(CLEAN(PROPER(D268)))</f>
        <v/>
      </c>
      <c r="Q268" s="12">
        <f>PROPER(TRIM(SUBSTITUTE(SUBSTITUTE(SUBSTITUTE(SUBSTITUTE(E268,"TRESEMME","Tresemme"),"HEAD &amp; SHOULDERS","Head &amp; Shoulders"),"ELVIVE","Elvive"),"FRUCTIS","Fructis")))</f>
        <v/>
      </c>
      <c r="R268" s="12">
        <f>COUNTIF($D$2:$D$10000,D268)&gt;1</f>
        <v/>
      </c>
      <c r="S268" s="12">
        <f>IF(H268=TRUE,"Disponible","No disponible")</f>
        <v/>
      </c>
      <c r="T268" s="12">
        <f>IF(AND(ISNUMBER(I268),I268&gt;0),ROUND(F268/I268,2),"Sin volumen")</f>
        <v/>
      </c>
      <c r="U268" s="12">
        <f>IF(F268&lt;5000,"Bajo",IF(F268&lt;15000,"Medio","Alto"))</f>
        <v/>
      </c>
    </row>
    <row r="269">
      <c r="A269" t="inlineStr">
        <is>
          <t>Disco</t>
        </is>
      </c>
      <c r="B269" t="n">
        <v>307403</v>
      </c>
      <c r="C269" t="n">
        <v>306640</v>
      </c>
      <c r="D269" t="inlineStr">
        <is>
          <t>Acondicionador Anti Caspa Dermo Manzana Fresh 300 Ml Head y Shoulders</t>
        </is>
      </c>
      <c r="E269" t="inlineStr">
        <is>
          <t>HEAD &amp; SHOULDERS</t>
        </is>
      </c>
      <c r="F269" t="n">
        <v>12450</v>
      </c>
      <c r="G269" t="n">
        <v>1028926</v>
      </c>
      <c r="H269" t="b">
        <v>1</v>
      </c>
      <c r="I269" t="n">
        <v>300</v>
      </c>
      <c r="J269" t="n">
        <v>41.5</v>
      </c>
      <c r="K269" t="inlineStr">
        <is>
          <t>&gt; Perfumería &gt; Cuidado Capilar &gt; Acondicionador &gt;</t>
        </is>
      </c>
      <c r="L269" t="inlineStr">
        <is>
          <t>acondicionador</t>
        </is>
      </c>
      <c r="M269" t="inlineStr">
        <is>
          <t>estandar</t>
        </is>
      </c>
      <c r="N269" t="inlineStr">
        <is>
          <t>anticaspa</t>
        </is>
      </c>
      <c r="O269" t="inlineStr">
        <is>
          <t>https://www.disco.com.ar/acondicionador-dermo-manzana-fresh-300-ml-head-shoulders/p</t>
        </is>
      </c>
      <c r="P269">
        <f>TRIM(CLEAN(PROPER(D269)))</f>
        <v/>
      </c>
      <c r="Q269">
        <f>PROPER(TRIM(SUBSTITUTE(SUBSTITUTE(SUBSTITUTE(SUBSTITUTE(E269,"TRESEMME","Tresemme"),"HEAD &amp; SHOULDERS","Head &amp; Shoulders"),"ELVIVE","Elvive"),"FRUCTIS","Fructis")))</f>
        <v/>
      </c>
      <c r="R269">
        <f>COUNTIF($D$2:$D$10000,D269)&gt;1</f>
        <v/>
      </c>
      <c r="S269">
        <f>IF(H269=TRUE,"Disponible","No disponible")</f>
        <v/>
      </c>
      <c r="T269">
        <f>IF(AND(ISNUMBER(I269),I269&gt;0),ROUND(F269/I269,2),"Sin volumen")</f>
        <v/>
      </c>
      <c r="U269">
        <f>IF(F269&lt;5000,"Bajo",IF(F269&lt;15000,"Medio","Alto"))</f>
        <v/>
      </c>
    </row>
    <row r="270">
      <c r="A270" s="10" t="inlineStr">
        <is>
          <t>Disco</t>
        </is>
      </c>
      <c r="B270" s="10" t="n">
        <v>273579</v>
      </c>
      <c r="C270" s="10" t="n">
        <v>272865</v>
      </c>
      <c r="D270" s="10" t="inlineStr">
        <is>
          <t>Acondicionador Brillo Radiante Pomelo Blanco y Menta 400 Ml Herbal Essences</t>
        </is>
      </c>
      <c r="E270" s="10" t="inlineStr">
        <is>
          <t>HERBAL ESSENCES</t>
        </is>
      </c>
      <c r="F270" s="10" t="n">
        <v>17250</v>
      </c>
      <c r="G270" s="10" t="n">
        <v>1425620</v>
      </c>
      <c r="H270" s="10" t="b">
        <v>1</v>
      </c>
      <c r="I270" s="10" t="n">
        <v>400</v>
      </c>
      <c r="J270" s="10" t="n">
        <v>43.125</v>
      </c>
      <c r="K270" s="10" t="inlineStr">
        <is>
          <t>&gt; Perfumería &gt; Cuidado Capilar &gt; Acondicionador &gt;</t>
        </is>
      </c>
      <c r="L270" s="10" t="inlineStr">
        <is>
          <t>acondicionador</t>
        </is>
      </c>
      <c r="M270" s="10" t="inlineStr">
        <is>
          <t>estandar</t>
        </is>
      </c>
      <c r="N270" s="10" t="inlineStr">
        <is>
          <t>general</t>
        </is>
      </c>
      <c r="O270" s="10" t="inlineStr">
        <is>
          <t>https://www.disco.com.ar/acondicionador-herbal-essences-grapefruit-400ml/p</t>
        </is>
      </c>
      <c r="P270" s="12">
        <f>TRIM(CLEAN(PROPER(D270)))</f>
        <v/>
      </c>
      <c r="Q270" s="12">
        <f>PROPER(TRIM(SUBSTITUTE(SUBSTITUTE(SUBSTITUTE(SUBSTITUTE(E270,"TRESEMME","Tresemme"),"HEAD &amp; SHOULDERS","Head &amp; Shoulders"),"ELVIVE","Elvive"),"FRUCTIS","Fructis")))</f>
        <v/>
      </c>
      <c r="R270" s="12">
        <f>COUNTIF($D$2:$D$10000,D270)&gt;1</f>
        <v/>
      </c>
      <c r="S270" s="12">
        <f>IF(H270=TRUE,"Disponible","No disponible")</f>
        <v/>
      </c>
      <c r="T270" s="12">
        <f>IF(AND(ISNUMBER(I270),I270&gt;0),ROUND(F270/I270,2),"Sin volumen")</f>
        <v/>
      </c>
      <c r="U270" s="12">
        <f>IF(F270&lt;5000,"Bajo",IF(F270&lt;15000,"Medio","Alto"))</f>
        <v/>
      </c>
    </row>
    <row r="271">
      <c r="A271" t="inlineStr">
        <is>
          <t>Disco</t>
        </is>
      </c>
      <c r="B271" t="n">
        <v>332383</v>
      </c>
      <c r="C271" t="n">
        <v>331540</v>
      </c>
      <c r="D271" t="inlineStr">
        <is>
          <t>Accondicionador Kids Fuerza Natural 700 Ml Plusbelle</t>
        </is>
      </c>
      <c r="E271" t="inlineStr">
        <is>
          <t>PLUSBELLE</t>
        </is>
      </c>
      <c r="F271" t="n">
        <v>7550</v>
      </c>
      <c r="G271" t="n">
        <v>623967</v>
      </c>
      <c r="H271" t="b">
        <v>1</v>
      </c>
      <c r="I271" t="n">
        <v>700</v>
      </c>
      <c r="J271" t="n">
        <v>10.7857</v>
      </c>
      <c r="K271" t="inlineStr">
        <is>
          <t>&gt; Mundo Bebe &gt; Higiene para el Bebe &gt; Higiene del Bebé &gt;</t>
        </is>
      </c>
      <c r="L271" t="inlineStr">
        <is>
          <t>shampoo</t>
        </is>
      </c>
      <c r="M271" t="inlineStr">
        <is>
          <t>estandar</t>
        </is>
      </c>
      <c r="N271" t="inlineStr">
        <is>
          <t>bebe</t>
        </is>
      </c>
      <c r="O271" t="inlineStr">
        <is>
          <t>https://www.disco.com.ar/accondicionador-kids-fuerza-natural-700-ml-plusbelle/p</t>
        </is>
      </c>
      <c r="P271">
        <f>TRIM(CLEAN(PROPER(D271)))</f>
        <v/>
      </c>
      <c r="Q271">
        <f>PROPER(TRIM(SUBSTITUTE(SUBSTITUTE(SUBSTITUTE(SUBSTITUTE(E271,"TRESEMME","Tresemme"),"HEAD &amp; SHOULDERS","Head &amp; Shoulders"),"ELVIVE","Elvive"),"FRUCTIS","Fructis")))</f>
        <v/>
      </c>
      <c r="R271">
        <f>COUNTIF($D$2:$D$10000,D271)&gt;1</f>
        <v/>
      </c>
      <c r="S271">
        <f>IF(H271=TRUE,"Disponible","No disponible")</f>
        <v/>
      </c>
      <c r="T271">
        <f>IF(AND(ISNUMBER(I271),I271&gt;0),ROUND(F271/I271,2),"Sin volumen")</f>
        <v/>
      </c>
      <c r="U271">
        <f>IF(F271&lt;5000,"Bajo",IF(F271&lt;15000,"Medio","Alto"))</f>
        <v/>
      </c>
    </row>
    <row r="272">
      <c r="A272" s="10" t="inlineStr">
        <is>
          <t>Disco</t>
        </is>
      </c>
      <c r="B272" s="10" t="n">
        <v>383074</v>
      </c>
      <c r="C272" s="10" t="n">
        <v>381789</v>
      </c>
      <c r="D272" s="10" t="inlineStr">
        <is>
          <t>Tratamiento Capilar Extra Reparación 150 Grs Issue</t>
        </is>
      </c>
      <c r="E272" s="10" t="inlineStr">
        <is>
          <t>ISSUE</t>
        </is>
      </c>
      <c r="F272" s="10" t="n">
        <v>6550</v>
      </c>
      <c r="G272" s="10" t="n">
        <v>541322</v>
      </c>
      <c r="H272" s="10" t="b">
        <v>1</v>
      </c>
      <c r="I272" s="10" t="inlineStr"/>
      <c r="J272" s="10" t="inlineStr"/>
      <c r="K272" s="10" t="inlineStr">
        <is>
          <t>&gt; Perfumería &gt; Cuidado Capilar &gt; Reparación y Tratamientos &gt;</t>
        </is>
      </c>
      <c r="L272" s="10" t="inlineStr">
        <is>
          <t>tratamiento</t>
        </is>
      </c>
      <c r="M272" s="10" t="inlineStr">
        <is>
          <t>estandar</t>
        </is>
      </c>
      <c r="N272" s="10" t="inlineStr">
        <is>
          <t>general</t>
        </is>
      </c>
      <c r="O272" s="10" t="inlineStr">
        <is>
          <t>https://www.disco.com.ar/tratamiento-issue-extra-reparacion-150g/p</t>
        </is>
      </c>
      <c r="P272" s="12">
        <f>TRIM(CLEAN(PROPER(D272)))</f>
        <v/>
      </c>
      <c r="Q272" s="12">
        <f>PROPER(TRIM(SUBSTITUTE(SUBSTITUTE(SUBSTITUTE(SUBSTITUTE(E272,"TRESEMME","Tresemme"),"HEAD &amp; SHOULDERS","Head &amp; Shoulders"),"ELVIVE","Elvive"),"FRUCTIS","Fructis")))</f>
        <v/>
      </c>
      <c r="R272" s="12">
        <f>COUNTIF($D$2:$D$10000,D272)&gt;1</f>
        <v/>
      </c>
      <c r="S272" s="12">
        <f>IF(H272=TRUE,"Disponible","No disponible")</f>
        <v/>
      </c>
      <c r="T272" s="12">
        <f>IF(AND(ISNUMBER(I272),I272&gt;0),ROUND(F272/I272,2),"Sin volumen")</f>
        <v/>
      </c>
      <c r="U272" s="12">
        <f>IF(F272&lt;5000,"Bajo",IF(F272&lt;15000,"Medio","Alto"))</f>
        <v/>
      </c>
    </row>
    <row r="273">
      <c r="A273" t="inlineStr">
        <is>
          <t>Disco</t>
        </is>
      </c>
      <c r="B273" t="n">
        <v>3071022</v>
      </c>
      <c r="C273" t="n">
        <v>3070593</v>
      </c>
      <c r="D273" t="inlineStr">
        <is>
          <t>Crema Tratamiento Dream Liso X 300 Gr Elvive</t>
        </is>
      </c>
      <c r="E273" t="inlineStr">
        <is>
          <t>ELVIVE</t>
        </is>
      </c>
      <c r="F273" t="n">
        <v>13200</v>
      </c>
      <c r="G273" t="n">
        <v>1090909</v>
      </c>
      <c r="H273" t="b">
        <v>1</v>
      </c>
      <c r="I273" t="n">
        <v>300</v>
      </c>
      <c r="J273" t="n">
        <v>44</v>
      </c>
      <c r="K273" t="inlineStr">
        <is>
          <t>&gt; Perfumería &gt; Cuidado Capilar &gt; Reparación y Tratamientos &gt;</t>
        </is>
      </c>
      <c r="L273" t="inlineStr">
        <is>
          <t>tratamiento</t>
        </is>
      </c>
      <c r="M273" t="inlineStr">
        <is>
          <t>profesional</t>
        </is>
      </c>
      <c r="N273" t="inlineStr">
        <is>
          <t>general</t>
        </is>
      </c>
      <c r="O273" t="inlineStr">
        <is>
          <t>https://www.disco.com.ar/crema-tratamiento-dream-liso-x-300-gr-elvive/p</t>
        </is>
      </c>
      <c r="P273">
        <f>TRIM(CLEAN(PROPER(D273)))</f>
        <v/>
      </c>
      <c r="Q273">
        <f>PROPER(TRIM(SUBSTITUTE(SUBSTITUTE(SUBSTITUTE(SUBSTITUTE(E273,"TRESEMME","Tresemme"),"HEAD &amp; SHOULDERS","Head &amp; Shoulders"),"ELVIVE","Elvive"),"FRUCTIS","Fructis")))</f>
        <v/>
      </c>
      <c r="R273">
        <f>COUNTIF($D$2:$D$10000,D273)&gt;1</f>
        <v/>
      </c>
      <c r="S273">
        <f>IF(H273=TRUE,"Disponible","No disponible")</f>
        <v/>
      </c>
      <c r="T273">
        <f>IF(AND(ISNUMBER(I273),I273&gt;0),ROUND(F273/I273,2),"Sin volumen")</f>
        <v/>
      </c>
      <c r="U273">
        <f>IF(F273&lt;5000,"Bajo",IF(F273&lt;15000,"Medio","Alto"))</f>
        <v/>
      </c>
    </row>
    <row r="274">
      <c r="A274" s="10" t="inlineStr">
        <is>
          <t>Disco</t>
        </is>
      </c>
      <c r="B274" s="10" t="n">
        <v>3066017</v>
      </c>
      <c r="C274" s="10" t="n">
        <v>3065974</v>
      </c>
      <c r="D274" s="10" t="inlineStr">
        <is>
          <t>Tratamiento Oil Nutritivo X 95 Ml Pantene</t>
        </is>
      </c>
      <c r="E274" s="10" t="inlineStr">
        <is>
          <t>PANTENE</t>
        </is>
      </c>
      <c r="F274" s="10" t="n">
        <v>21750</v>
      </c>
      <c r="G274" s="10" t="n">
        <v>1797521</v>
      </c>
      <c r="H274" s="10" t="b">
        <v>1</v>
      </c>
      <c r="I274" s="10" t="n">
        <v>95</v>
      </c>
      <c r="J274" s="10" t="n">
        <v>228.9474</v>
      </c>
      <c r="K274" s="10" t="inlineStr">
        <is>
          <t>&gt; Perfumería &gt; Cuidado Capilar &gt; Reparación y Tratamientos &gt;</t>
        </is>
      </c>
      <c r="L274" s="10" t="inlineStr">
        <is>
          <t>tratamiento</t>
        </is>
      </c>
      <c r="M274" s="10" t="inlineStr">
        <is>
          <t>estandar</t>
        </is>
      </c>
      <c r="N274" s="10" t="inlineStr">
        <is>
          <t>general</t>
        </is>
      </c>
      <c r="O274" s="10" t="inlineStr">
        <is>
          <t>https://www.disco.com.ar/tratamiento-oil-nutritivo-x-95-ml-pantene/p</t>
        </is>
      </c>
      <c r="P274" s="12">
        <f>TRIM(CLEAN(PROPER(D274)))</f>
        <v/>
      </c>
      <c r="Q274" s="12">
        <f>PROPER(TRIM(SUBSTITUTE(SUBSTITUTE(SUBSTITUTE(SUBSTITUTE(E274,"TRESEMME","Tresemme"),"HEAD &amp; SHOULDERS","Head &amp; Shoulders"),"ELVIVE","Elvive"),"FRUCTIS","Fructis")))</f>
        <v/>
      </c>
      <c r="R274" s="12">
        <f>COUNTIF($D$2:$D$10000,D274)&gt;1</f>
        <v/>
      </c>
      <c r="S274" s="12">
        <f>IF(H274=TRUE,"Disponible","No disponible")</f>
        <v/>
      </c>
      <c r="T274" s="12">
        <f>IF(AND(ISNUMBER(I274),I274&gt;0),ROUND(F274/I274,2),"Sin volumen")</f>
        <v/>
      </c>
      <c r="U274" s="12">
        <f>IF(F274&lt;5000,"Bajo",IF(F274&lt;15000,"Medio","Alto"))</f>
        <v/>
      </c>
    </row>
    <row r="275">
      <c r="A275" t="inlineStr">
        <is>
          <t>Disco</t>
        </is>
      </c>
      <c r="B275" t="n">
        <v>1360444</v>
      </c>
      <c r="C275" t="n">
        <v>1360028</v>
      </c>
      <c r="D275" t="inlineStr">
        <is>
          <t>Mascarilla Intensiva Hidratación 270 Ml Pantene</t>
        </is>
      </c>
      <c r="E275" t="inlineStr">
        <is>
          <t>PANTENE</t>
        </is>
      </c>
      <c r="F275" t="n">
        <v>10750</v>
      </c>
      <c r="G275" t="n">
        <v>888430</v>
      </c>
      <c r="H275" t="b">
        <v>1</v>
      </c>
      <c r="I275" t="n">
        <v>270</v>
      </c>
      <c r="J275" t="n">
        <v>39.8148</v>
      </c>
      <c r="K275" t="inlineStr">
        <is>
          <t>&gt; Perfumería &gt; Cuidado Capilar &gt; Reparación y Tratamientos &gt;</t>
        </is>
      </c>
      <c r="L275" t="inlineStr">
        <is>
          <t>tratamiento</t>
        </is>
      </c>
      <c r="M275" t="inlineStr">
        <is>
          <t>estandar</t>
        </is>
      </c>
      <c r="N275" t="inlineStr">
        <is>
          <t>seco_danado</t>
        </is>
      </c>
      <c r="O275" t="inlineStr">
        <is>
          <t>https://www.disco.com.ar/mascarilla-intensiva-hidratacion-270-ml-pantene-2/p</t>
        </is>
      </c>
      <c r="P275">
        <f>TRIM(CLEAN(PROPER(D275)))</f>
        <v/>
      </c>
      <c r="Q275">
        <f>PROPER(TRIM(SUBSTITUTE(SUBSTITUTE(SUBSTITUTE(SUBSTITUTE(E275,"TRESEMME","Tresemme"),"HEAD &amp; SHOULDERS","Head &amp; Shoulders"),"ELVIVE","Elvive"),"FRUCTIS","Fructis")))</f>
        <v/>
      </c>
      <c r="R275">
        <f>COUNTIF($D$2:$D$10000,D275)&gt;1</f>
        <v/>
      </c>
      <c r="S275">
        <f>IF(H275=TRUE,"Disponible","No disponible")</f>
        <v/>
      </c>
      <c r="T275">
        <f>IF(AND(ISNUMBER(I275),I275&gt;0),ROUND(F275/I275,2),"Sin volumen")</f>
        <v/>
      </c>
      <c r="U275">
        <f>IF(F275&lt;5000,"Bajo",IF(F275&lt;15000,"Medio","Alto"))</f>
        <v/>
      </c>
    </row>
    <row r="276">
      <c r="A276" s="10" t="inlineStr">
        <is>
          <t>Disco</t>
        </is>
      </c>
      <c r="B276" s="10" t="n">
        <v>1360439</v>
      </c>
      <c r="C276" s="10" t="n">
        <v>1360023</v>
      </c>
      <c r="D276" s="10" t="inlineStr">
        <is>
          <t>Mascarilla Intensiva Restauración 270 Ml Pantene</t>
        </is>
      </c>
      <c r="E276" s="10" t="inlineStr">
        <is>
          <t>PANTENE</t>
        </is>
      </c>
      <c r="F276" s="10" t="n">
        <v>10750</v>
      </c>
      <c r="G276" s="10" t="n">
        <v>888430</v>
      </c>
      <c r="H276" s="10" t="b">
        <v>1</v>
      </c>
      <c r="I276" s="10" t="n">
        <v>270</v>
      </c>
      <c r="J276" s="10" t="n">
        <v>39.8148</v>
      </c>
      <c r="K276" s="10" t="inlineStr">
        <is>
          <t>&gt; Perfumería &gt; Cuidado Capilar &gt; Reparación y Tratamientos &gt;</t>
        </is>
      </c>
      <c r="L276" s="10" t="inlineStr">
        <is>
          <t>tratamiento</t>
        </is>
      </c>
      <c r="M276" s="10" t="inlineStr">
        <is>
          <t>estandar</t>
        </is>
      </c>
      <c r="N276" s="10" t="inlineStr">
        <is>
          <t>general</t>
        </is>
      </c>
      <c r="O276" s="10" t="inlineStr">
        <is>
          <t>https://www.disco.com.ar/mascarilla-intensiva-restauracion-270-ml-pantene-2/p</t>
        </is>
      </c>
      <c r="P276" s="12">
        <f>TRIM(CLEAN(PROPER(D276)))</f>
        <v/>
      </c>
      <c r="Q276" s="12">
        <f>PROPER(TRIM(SUBSTITUTE(SUBSTITUTE(SUBSTITUTE(SUBSTITUTE(E276,"TRESEMME","Tresemme"),"HEAD &amp; SHOULDERS","Head &amp; Shoulders"),"ELVIVE","Elvive"),"FRUCTIS","Fructis")))</f>
        <v/>
      </c>
      <c r="R276" s="12">
        <f>COUNTIF($D$2:$D$10000,D276)&gt;1</f>
        <v/>
      </c>
      <c r="S276" s="12">
        <f>IF(H276=TRUE,"Disponible","No disponible")</f>
        <v/>
      </c>
      <c r="T276" s="12">
        <f>IF(AND(ISNUMBER(I276),I276&gt;0),ROUND(F276/I276,2),"Sin volumen")</f>
        <v/>
      </c>
      <c r="U276" s="12">
        <f>IF(F276&lt;5000,"Bajo",IF(F276&lt;15000,"Medio","Alto"))</f>
        <v/>
      </c>
    </row>
    <row r="277">
      <c r="A277" t="inlineStr">
        <is>
          <t>Disco</t>
        </is>
      </c>
      <c r="B277" t="n">
        <v>1360442</v>
      </c>
      <c r="C277" t="n">
        <v>1360026</v>
      </c>
      <c r="D277" t="inlineStr">
        <is>
          <t>Mascarilla Intensiva Nutrición 270 Ml Pantene</t>
        </is>
      </c>
      <c r="E277" t="inlineStr">
        <is>
          <t>PANTENE</t>
        </is>
      </c>
      <c r="F277" t="n">
        <v>10750</v>
      </c>
      <c r="G277" t="n">
        <v>888430</v>
      </c>
      <c r="H277" t="b">
        <v>1</v>
      </c>
      <c r="I277" t="n">
        <v>270</v>
      </c>
      <c r="J277" t="n">
        <v>39.8148</v>
      </c>
      <c r="K277" t="inlineStr">
        <is>
          <t>&gt; Perfumería &gt; Cuidado Capilar &gt; Reparación y Tratamientos &gt;</t>
        </is>
      </c>
      <c r="L277" t="inlineStr">
        <is>
          <t>tratamiento</t>
        </is>
      </c>
      <c r="M277" t="inlineStr">
        <is>
          <t>estandar</t>
        </is>
      </c>
      <c r="N277" t="inlineStr">
        <is>
          <t>general</t>
        </is>
      </c>
      <c r="O277" t="inlineStr">
        <is>
          <t>https://www.disco.com.ar/mascarilla-intensiva-nutricion-270-ml-pantene-2/p</t>
        </is>
      </c>
      <c r="P277">
        <f>TRIM(CLEAN(PROPER(D277)))</f>
        <v/>
      </c>
      <c r="Q277">
        <f>PROPER(TRIM(SUBSTITUTE(SUBSTITUTE(SUBSTITUTE(SUBSTITUTE(E277,"TRESEMME","Tresemme"),"HEAD &amp; SHOULDERS","Head &amp; Shoulders"),"ELVIVE","Elvive"),"FRUCTIS","Fructis")))</f>
        <v/>
      </c>
      <c r="R277">
        <f>COUNTIF($D$2:$D$10000,D277)&gt;1</f>
        <v/>
      </c>
      <c r="S277">
        <f>IF(H277=TRUE,"Disponible","No disponible")</f>
        <v/>
      </c>
      <c r="T277">
        <f>IF(AND(ISNUMBER(I277),I277&gt;0),ROUND(F277/I277,2),"Sin volumen")</f>
        <v/>
      </c>
      <c r="U277">
        <f>IF(F277&lt;5000,"Bajo",IF(F277&lt;15000,"Medio","Alto"))</f>
        <v/>
      </c>
    </row>
    <row r="278">
      <c r="A278" s="10" t="inlineStr">
        <is>
          <t>Disco</t>
        </is>
      </c>
      <c r="B278" s="10" t="n">
        <v>3066241</v>
      </c>
      <c r="C278" s="10" t="n">
        <v>3066157</v>
      </c>
      <c r="D278" s="10" t="inlineStr">
        <is>
          <t>Crema Peinar Luminous Uv X 300 Ml Sedal</t>
        </is>
      </c>
      <c r="E278" s="10" t="inlineStr">
        <is>
          <t>SEDAL</t>
        </is>
      </c>
      <c r="F278" s="10" t="n">
        <v>6300</v>
      </c>
      <c r="G278" s="10" t="n">
        <v>520661</v>
      </c>
      <c r="H278" s="10" t="b">
        <v>1</v>
      </c>
      <c r="I278" s="10" t="n">
        <v>300</v>
      </c>
      <c r="J278" s="10" t="n">
        <v>21</v>
      </c>
      <c r="K278" s="10" t="inlineStr">
        <is>
          <t>&gt; Perfumería &gt; Cuidado Capilar &gt; Reparación y Tratamientos &gt;</t>
        </is>
      </c>
      <c r="L278" s="10" t="inlineStr">
        <is>
          <t>shampoo</t>
        </is>
      </c>
      <c r="M278" s="10" t="inlineStr">
        <is>
          <t>estandar</t>
        </is>
      </c>
      <c r="N278" s="10" t="inlineStr">
        <is>
          <t>general</t>
        </is>
      </c>
      <c r="O278" s="10" t="inlineStr">
        <is>
          <t>https://www.disco.com.ar/crema-peinar-luminous-uv-x-300-ml-sedal-2/p</t>
        </is>
      </c>
      <c r="P278" s="12">
        <f>TRIM(CLEAN(PROPER(D278)))</f>
        <v/>
      </c>
      <c r="Q278" s="12">
        <f>PROPER(TRIM(SUBSTITUTE(SUBSTITUTE(SUBSTITUTE(SUBSTITUTE(E278,"TRESEMME","Tresemme"),"HEAD &amp; SHOULDERS","Head &amp; Shoulders"),"ELVIVE","Elvive"),"FRUCTIS","Fructis")))</f>
        <v/>
      </c>
      <c r="R278" s="12">
        <f>COUNTIF($D$2:$D$10000,D278)&gt;1</f>
        <v/>
      </c>
      <c r="S278" s="12">
        <f>IF(H278=TRUE,"Disponible","No disponible")</f>
        <v/>
      </c>
      <c r="T278" s="12">
        <f>IF(AND(ISNUMBER(I278),I278&gt;0),ROUND(F278/I278,2),"Sin volumen")</f>
        <v/>
      </c>
      <c r="U278" s="12">
        <f>IF(F278&lt;5000,"Bajo",IF(F278&lt;15000,"Medio","Alto"))</f>
        <v/>
      </c>
    </row>
    <row r="279">
      <c r="A279" t="inlineStr">
        <is>
          <t>Disco</t>
        </is>
      </c>
      <c r="B279" t="n">
        <v>411276</v>
      </c>
      <c r="C279" t="n">
        <v>407116</v>
      </c>
      <c r="D279" t="inlineStr">
        <is>
          <t>Crema para Peinar Rizos Definidos 300 Ml Sedal</t>
        </is>
      </c>
      <c r="E279" t="inlineStr">
        <is>
          <t>SEDAL</t>
        </is>
      </c>
      <c r="F279" t="n">
        <v>6300</v>
      </c>
      <c r="G279" t="n">
        <v>520661</v>
      </c>
      <c r="H279" t="b">
        <v>1</v>
      </c>
      <c r="I279" t="n">
        <v>300</v>
      </c>
      <c r="J279" t="n">
        <v>21</v>
      </c>
      <c r="K279" t="inlineStr">
        <is>
          <t>&gt; Perfumería &gt; Cuidado Capilar &gt; Reparación y Tratamientos &gt;</t>
        </is>
      </c>
      <c r="L279" t="inlineStr">
        <is>
          <t>shampoo</t>
        </is>
      </c>
      <c r="M279" t="inlineStr">
        <is>
          <t>estandar</t>
        </is>
      </c>
      <c r="N279" t="inlineStr">
        <is>
          <t>rizado</t>
        </is>
      </c>
      <c r="O279" t="inlineStr">
        <is>
          <t>https://www.disco.com.ar/crema-de-peinar-sedal-rizos-definidos-300-ml/p</t>
        </is>
      </c>
      <c r="P279">
        <f>TRIM(CLEAN(PROPER(D279)))</f>
        <v/>
      </c>
      <c r="Q279">
        <f>PROPER(TRIM(SUBSTITUTE(SUBSTITUTE(SUBSTITUTE(SUBSTITUTE(E279,"TRESEMME","Tresemme"),"HEAD &amp; SHOULDERS","Head &amp; Shoulders"),"ELVIVE","Elvive"),"FRUCTIS","Fructis")))</f>
        <v/>
      </c>
      <c r="R279">
        <f>COUNTIF($D$2:$D$10000,D279)&gt;1</f>
        <v/>
      </c>
      <c r="S279">
        <f>IF(H279=TRUE,"Disponible","No disponible")</f>
        <v/>
      </c>
      <c r="T279">
        <f>IF(AND(ISNUMBER(I279),I279&gt;0),ROUND(F279/I279,2),"Sin volumen")</f>
        <v/>
      </c>
      <c r="U279">
        <f>IF(F279&lt;5000,"Bajo",IF(F279&lt;15000,"Medio","Alto"))</f>
        <v/>
      </c>
    </row>
    <row r="280">
      <c r="A280" s="10" t="inlineStr">
        <is>
          <t>Disco</t>
        </is>
      </c>
      <c r="B280" s="10" t="n">
        <v>3066237</v>
      </c>
      <c r="C280" s="10" t="n">
        <v>3066153</v>
      </c>
      <c r="D280" s="10" t="inlineStr">
        <is>
          <t>Máscara De Tratamiento Luminous Uv 300 Grs Sedal</t>
        </is>
      </c>
      <c r="E280" s="10" t="inlineStr">
        <is>
          <t>SEDAL</t>
        </is>
      </c>
      <c r="F280" s="10" t="n">
        <v>6350</v>
      </c>
      <c r="G280" s="10" t="n">
        <v>524793</v>
      </c>
      <c r="H280" s="10" t="b">
        <v>1</v>
      </c>
      <c r="I280" s="10" t="inlineStr"/>
      <c r="J280" s="10" t="inlineStr"/>
      <c r="K280" s="10" t="inlineStr">
        <is>
          <t>&gt; Perfumería &gt; Cuidado Capilar &gt; Reparación y Tratamientos &gt;</t>
        </is>
      </c>
      <c r="L280" s="10" t="inlineStr">
        <is>
          <t>tratamiento</t>
        </is>
      </c>
      <c r="M280" s="10" t="inlineStr">
        <is>
          <t>estandar</t>
        </is>
      </c>
      <c r="N280" s="10" t="inlineStr">
        <is>
          <t>general</t>
        </is>
      </c>
      <c r="O280" s="10" t="inlineStr">
        <is>
          <t>https://www.disco.com.ar/mascara-de-tratamiento-luminous-uv-300-grs-sedal-2/p</t>
        </is>
      </c>
      <c r="P280" s="12">
        <f>TRIM(CLEAN(PROPER(D280)))</f>
        <v/>
      </c>
      <c r="Q280" s="12">
        <f>PROPER(TRIM(SUBSTITUTE(SUBSTITUTE(SUBSTITUTE(SUBSTITUTE(E280,"TRESEMME","Tresemme"),"HEAD &amp; SHOULDERS","Head &amp; Shoulders"),"ELVIVE","Elvive"),"FRUCTIS","Fructis")))</f>
        <v/>
      </c>
      <c r="R280" s="12">
        <f>COUNTIF($D$2:$D$10000,D280)&gt;1</f>
        <v/>
      </c>
      <c r="S280" s="12">
        <f>IF(H280=TRUE,"Disponible","No disponible")</f>
        <v/>
      </c>
      <c r="T280" s="12">
        <f>IF(AND(ISNUMBER(I280),I280&gt;0),ROUND(F280/I280,2),"Sin volumen")</f>
        <v/>
      </c>
      <c r="U280" s="12">
        <f>IF(F280&lt;5000,"Bajo",IF(F280&lt;15000,"Medio","Alto"))</f>
        <v/>
      </c>
    </row>
    <row r="281">
      <c r="A281" t="inlineStr">
        <is>
          <t>Disco</t>
        </is>
      </c>
      <c r="B281" t="n">
        <v>411277</v>
      </c>
      <c r="C281" t="n">
        <v>407117</v>
      </c>
      <c r="D281" t="inlineStr">
        <is>
          <t>Crema De Peinar Sedal Hialurónico Y Vitamina A 300 Ml</t>
        </is>
      </c>
      <c r="E281" t="inlineStr">
        <is>
          <t>SEDAL</t>
        </is>
      </c>
      <c r="F281" t="n">
        <v>6300</v>
      </c>
      <c r="G281" t="n">
        <v>520661</v>
      </c>
      <c r="H281" t="b">
        <v>1</v>
      </c>
      <c r="I281" t="n">
        <v>300</v>
      </c>
      <c r="J281" t="n">
        <v>21</v>
      </c>
      <c r="K281" t="inlineStr">
        <is>
          <t>&gt; Perfumería &gt; Cuidado Capilar &gt; Reparación y Tratamientos &gt;</t>
        </is>
      </c>
      <c r="L281" t="inlineStr">
        <is>
          <t>shampoo</t>
        </is>
      </c>
      <c r="M281" t="inlineStr">
        <is>
          <t>estandar</t>
        </is>
      </c>
      <c r="N281" t="inlineStr">
        <is>
          <t>general</t>
        </is>
      </c>
      <c r="O281" t="inlineStr">
        <is>
          <t>https://www.disco.com.ar/crema-de-peinar-sedal-hialuronico-y-vitamina-a-300-ml-2/p</t>
        </is>
      </c>
      <c r="P281">
        <f>TRIM(CLEAN(PROPER(D281)))</f>
        <v/>
      </c>
      <c r="Q281">
        <f>PROPER(TRIM(SUBSTITUTE(SUBSTITUTE(SUBSTITUTE(SUBSTITUTE(E281,"TRESEMME","Tresemme"),"HEAD &amp; SHOULDERS","Head &amp; Shoulders"),"ELVIVE","Elvive"),"FRUCTIS","Fructis")))</f>
        <v/>
      </c>
      <c r="R281">
        <f>COUNTIF($D$2:$D$10000,D281)&gt;1</f>
        <v/>
      </c>
      <c r="S281">
        <f>IF(H281=TRUE,"Disponible","No disponible")</f>
        <v/>
      </c>
      <c r="T281">
        <f>IF(AND(ISNUMBER(I281),I281&gt;0),ROUND(F281/I281,2),"Sin volumen")</f>
        <v/>
      </c>
      <c r="U281">
        <f>IF(F281&lt;5000,"Bajo",IF(F281&lt;15000,"Medio","Alto"))</f>
        <v/>
      </c>
    </row>
    <row r="282">
      <c r="A282" s="10" t="inlineStr">
        <is>
          <t>Disco</t>
        </is>
      </c>
      <c r="B282" s="10" t="n">
        <v>411275</v>
      </c>
      <c r="C282" s="10" t="n">
        <v>407115</v>
      </c>
      <c r="D282" s="10" t="inlineStr">
        <is>
          <t>Crema para Peinar Lisos Perfectos 300 Ml Sedal</t>
        </is>
      </c>
      <c r="E282" s="10" t="inlineStr">
        <is>
          <t>SEDAL</t>
        </is>
      </c>
      <c r="F282" s="10" t="n">
        <v>5950</v>
      </c>
      <c r="G282" s="10" t="n">
        <v>491736</v>
      </c>
      <c r="H282" s="10" t="b">
        <v>1</v>
      </c>
      <c r="I282" s="10" t="n">
        <v>300</v>
      </c>
      <c r="J282" s="10" t="n">
        <v>19.8333</v>
      </c>
      <c r="K282" s="10" t="inlineStr">
        <is>
          <t>&gt; Perfumería &gt; Cuidado Capilar &gt; Reparación y Tratamientos &gt;</t>
        </is>
      </c>
      <c r="L282" s="10" t="inlineStr">
        <is>
          <t>shampoo</t>
        </is>
      </c>
      <c r="M282" s="10" t="inlineStr">
        <is>
          <t>estandar</t>
        </is>
      </c>
      <c r="N282" s="10" t="inlineStr">
        <is>
          <t>general</t>
        </is>
      </c>
      <c r="O282" s="10" t="inlineStr">
        <is>
          <t>https://www.disco.com.ar/crema-para-peinar-sedal-lisos-perfectos-300-ml-2/p</t>
        </is>
      </c>
      <c r="P282" s="12">
        <f>TRIM(CLEAN(PROPER(D282)))</f>
        <v/>
      </c>
      <c r="Q282" s="12">
        <f>PROPER(TRIM(SUBSTITUTE(SUBSTITUTE(SUBSTITUTE(SUBSTITUTE(E282,"TRESEMME","Tresemme"),"HEAD &amp; SHOULDERS","Head &amp; Shoulders"),"ELVIVE","Elvive"),"FRUCTIS","Fructis")))</f>
        <v/>
      </c>
      <c r="R282" s="12">
        <f>COUNTIF($D$2:$D$10000,D282)&gt;1</f>
        <v/>
      </c>
      <c r="S282" s="12">
        <f>IF(H282=TRUE,"Disponible","No disponible")</f>
        <v/>
      </c>
      <c r="T282" s="12">
        <f>IF(AND(ISNUMBER(I282),I282&gt;0),ROUND(F282/I282,2),"Sin volumen")</f>
        <v/>
      </c>
      <c r="U282" s="12">
        <f>IF(F282&lt;5000,"Bajo",IF(F282&lt;15000,"Medio","Alto"))</f>
        <v/>
      </c>
    </row>
    <row r="283">
      <c r="A283" t="inlineStr">
        <is>
          <t>Disco</t>
        </is>
      </c>
      <c r="B283" t="n">
        <v>3075201</v>
      </c>
      <c r="C283" t="n">
        <v>3074666</v>
      </c>
      <c r="D283" t="inlineStr">
        <is>
          <t>Mascarilla Capilar Toque de Seda 300 Grs Sedal</t>
        </is>
      </c>
      <c r="E283" t="inlineStr">
        <is>
          <t>SEDAL</t>
        </is>
      </c>
      <c r="F283" t="n">
        <v>6350</v>
      </c>
      <c r="G283" t="n">
        <v>524793</v>
      </c>
      <c r="H283" t="b">
        <v>1</v>
      </c>
      <c r="I283" t="inlineStr"/>
      <c r="J283" t="inlineStr"/>
      <c r="K283" t="inlineStr">
        <is>
          <t>&gt; Perfumería &gt; Cuidado Capilar &gt; Reparación y Tratamientos &gt;</t>
        </is>
      </c>
      <c r="L283" t="inlineStr">
        <is>
          <t>tratamiento</t>
        </is>
      </c>
      <c r="M283" t="inlineStr">
        <is>
          <t>estandar</t>
        </is>
      </c>
      <c r="N283" t="inlineStr">
        <is>
          <t>general</t>
        </is>
      </c>
      <c r="O283" t="inlineStr">
        <is>
          <t>https://www.disco.com.ar/mascarilla-capilar-toque-de-seda-x-300-grs-sedal/p</t>
        </is>
      </c>
      <c r="P283">
        <f>TRIM(CLEAN(PROPER(D283)))</f>
        <v/>
      </c>
      <c r="Q283">
        <f>PROPER(TRIM(SUBSTITUTE(SUBSTITUTE(SUBSTITUTE(SUBSTITUTE(E283,"TRESEMME","Tresemme"),"HEAD &amp; SHOULDERS","Head &amp; Shoulders"),"ELVIVE","Elvive"),"FRUCTIS","Fructis")))</f>
        <v/>
      </c>
      <c r="R283">
        <f>COUNTIF($D$2:$D$10000,D283)&gt;1</f>
        <v/>
      </c>
      <c r="S283">
        <f>IF(H283=TRUE,"Disponible","No disponible")</f>
        <v/>
      </c>
      <c r="T283">
        <f>IF(AND(ISNUMBER(I283),I283&gt;0),ROUND(F283/I283,2),"Sin volumen")</f>
        <v/>
      </c>
      <c r="U283">
        <f>IF(F283&lt;5000,"Bajo",IF(F283&lt;15000,"Medio","Alto"))</f>
        <v/>
      </c>
    </row>
    <row r="284">
      <c r="A284" s="10" t="inlineStr">
        <is>
          <t>Disco</t>
        </is>
      </c>
      <c r="B284" s="10" t="n">
        <v>411272</v>
      </c>
      <c r="C284" s="10" t="n">
        <v>407112</v>
      </c>
      <c r="D284" s="10" t="inlineStr">
        <is>
          <t>Crema Para Peinar Sedal Ceramidas 300ml</t>
        </is>
      </c>
      <c r="E284" s="10" t="inlineStr">
        <is>
          <t>SEDAL</t>
        </is>
      </c>
      <c r="F284" s="10" t="n">
        <v>6300</v>
      </c>
      <c r="G284" s="10" t="n">
        <v>520661</v>
      </c>
      <c r="H284" s="10" t="b">
        <v>1</v>
      </c>
      <c r="I284" s="10" t="n">
        <v>300</v>
      </c>
      <c r="J284" s="10" t="n">
        <v>21</v>
      </c>
      <c r="K284" s="10" t="inlineStr">
        <is>
          <t>&gt; Perfumería &gt; Cuidado Capilar &gt; Reparación y Tratamientos &gt;</t>
        </is>
      </c>
      <c r="L284" s="10" t="inlineStr">
        <is>
          <t>shampoo</t>
        </is>
      </c>
      <c r="M284" s="10" t="inlineStr">
        <is>
          <t>estandar</t>
        </is>
      </c>
      <c r="N284" s="10" t="inlineStr">
        <is>
          <t>general</t>
        </is>
      </c>
      <c r="O284" s="10" t="inlineStr">
        <is>
          <t>https://www.disco.com.ar/crema-para-peinar-sedal-ceramidas-300ml/p</t>
        </is>
      </c>
      <c r="P284" s="12">
        <f>TRIM(CLEAN(PROPER(D284)))</f>
        <v/>
      </c>
      <c r="Q284" s="12">
        <f>PROPER(TRIM(SUBSTITUTE(SUBSTITUTE(SUBSTITUTE(SUBSTITUTE(E284,"TRESEMME","Tresemme"),"HEAD &amp; SHOULDERS","Head &amp; Shoulders"),"ELVIVE","Elvive"),"FRUCTIS","Fructis")))</f>
        <v/>
      </c>
      <c r="R284" s="12">
        <f>COUNTIF($D$2:$D$10000,D284)&gt;1</f>
        <v/>
      </c>
      <c r="S284" s="12">
        <f>IF(H284=TRUE,"Disponible","No disponible")</f>
        <v/>
      </c>
      <c r="T284" s="12">
        <f>IF(AND(ISNUMBER(I284),I284&gt;0),ROUND(F284/I284,2),"Sin volumen")</f>
        <v/>
      </c>
      <c r="U284" s="12">
        <f>IF(F284&lt;5000,"Bajo",IF(F284&lt;15000,"Medio","Alto"))</f>
        <v/>
      </c>
    </row>
    <row r="285">
      <c r="A285" t="inlineStr">
        <is>
          <t>Disco</t>
        </is>
      </c>
      <c r="B285" t="n">
        <v>3068266</v>
      </c>
      <c r="C285" t="n">
        <v>3068094</v>
      </c>
      <c r="D285" t="inlineStr">
        <is>
          <t>Crema para Peinar Probióticos Fuerza 10-en-1 250 Ml Fructis</t>
        </is>
      </c>
      <c r="E285" t="inlineStr">
        <is>
          <t>FRUCTIS</t>
        </is>
      </c>
      <c r="F285" t="n">
        <v>8250</v>
      </c>
      <c r="G285" t="n">
        <v>681818</v>
      </c>
      <c r="H285" t="b">
        <v>1</v>
      </c>
      <c r="I285" t="n">
        <v>250</v>
      </c>
      <c r="J285" t="n">
        <v>33</v>
      </c>
      <c r="K285" t="inlineStr">
        <is>
          <t>&gt; Perfumería &gt; Cuidado Capilar &gt; Reparación y Tratamientos &gt;</t>
        </is>
      </c>
      <c r="L285" t="inlineStr">
        <is>
          <t>shampoo</t>
        </is>
      </c>
      <c r="M285" t="inlineStr">
        <is>
          <t>estandar</t>
        </is>
      </c>
      <c r="N285" t="inlineStr">
        <is>
          <t>general</t>
        </is>
      </c>
      <c r="O285" t="inlineStr">
        <is>
          <t>https://www.disco.com.ar/tratamiento-probiotics-x-250-ml-fructis/p</t>
        </is>
      </c>
      <c r="P285">
        <f>TRIM(CLEAN(PROPER(D285)))</f>
        <v/>
      </c>
      <c r="Q285">
        <f>PROPER(TRIM(SUBSTITUTE(SUBSTITUTE(SUBSTITUTE(SUBSTITUTE(E285,"TRESEMME","Tresemme"),"HEAD &amp; SHOULDERS","Head &amp; Shoulders"),"ELVIVE","Elvive"),"FRUCTIS","Fructis")))</f>
        <v/>
      </c>
      <c r="R285">
        <f>COUNTIF($D$2:$D$10000,D285)&gt;1</f>
        <v/>
      </c>
      <c r="S285">
        <f>IF(H285=TRUE,"Disponible","No disponible")</f>
        <v/>
      </c>
      <c r="T285">
        <f>IF(AND(ISNUMBER(I285),I285&gt;0),ROUND(F285/I285,2),"Sin volumen")</f>
        <v/>
      </c>
      <c r="U285">
        <f>IF(F285&lt;5000,"Bajo",IF(F285&lt;15000,"Medio","Alto"))</f>
        <v/>
      </c>
    </row>
    <row r="286">
      <c r="A286" s="10" t="inlineStr">
        <is>
          <t>Disco</t>
        </is>
      </c>
      <c r="B286" s="10" t="n">
        <v>420155</v>
      </c>
      <c r="C286" s="10" t="n">
        <v>414429</v>
      </c>
      <c r="D286" s="10" t="inlineStr">
        <is>
          <t>Mascarilla Tratamiento Nutrición Palta 350 Ml Fructis</t>
        </is>
      </c>
      <c r="E286" s="10" t="inlineStr">
        <is>
          <t>FRUCTIS</t>
        </is>
      </c>
      <c r="F286" s="10" t="n">
        <v>15350</v>
      </c>
      <c r="G286" s="10" t="n">
        <v>1268595</v>
      </c>
      <c r="H286" s="10" t="b">
        <v>1</v>
      </c>
      <c r="I286" s="10" t="n">
        <v>350</v>
      </c>
      <c r="J286" s="10" t="n">
        <v>43.8571</v>
      </c>
      <c r="K286" s="10" t="inlineStr">
        <is>
          <t>&gt; Perfumería &gt; Cuidado Capilar &gt; Reparación y Tratamientos &gt;</t>
        </is>
      </c>
      <c r="L286" s="10" t="inlineStr">
        <is>
          <t>tratamiento</t>
        </is>
      </c>
      <c r="M286" s="10" t="inlineStr">
        <is>
          <t>estandar</t>
        </is>
      </c>
      <c r="N286" s="10" t="inlineStr">
        <is>
          <t>general</t>
        </is>
      </c>
      <c r="O286" s="10" t="inlineStr">
        <is>
          <t>https://www.disco.com.ar/mascarilla-fructis-hair-food-palta-350-ml/p</t>
        </is>
      </c>
      <c r="P286" s="12">
        <f>TRIM(CLEAN(PROPER(D286)))</f>
        <v/>
      </c>
      <c r="Q286" s="12">
        <f>PROPER(TRIM(SUBSTITUTE(SUBSTITUTE(SUBSTITUTE(SUBSTITUTE(E286,"TRESEMME","Tresemme"),"HEAD &amp; SHOULDERS","Head &amp; Shoulders"),"ELVIVE","Elvive"),"FRUCTIS","Fructis")))</f>
        <v/>
      </c>
      <c r="R286" s="12">
        <f>COUNTIF($D$2:$D$10000,D286)&gt;1</f>
        <v/>
      </c>
      <c r="S286" s="12">
        <f>IF(H286=TRUE,"Disponible","No disponible")</f>
        <v/>
      </c>
      <c r="T286" s="12">
        <f>IF(AND(ISNUMBER(I286),I286&gt;0),ROUND(F286/I286,2),"Sin volumen")</f>
        <v/>
      </c>
      <c r="U286" s="12">
        <f>IF(F286&lt;5000,"Bajo",IF(F286&lt;15000,"Medio","Alto"))</f>
        <v/>
      </c>
    </row>
    <row r="287">
      <c r="A287" t="inlineStr">
        <is>
          <t>Disco</t>
        </is>
      </c>
      <c r="B287" t="n">
        <v>3086633</v>
      </c>
      <c r="C287" t="n">
        <v>3085857</v>
      </c>
      <c r="D287" t="inlineStr">
        <is>
          <t>Crema para Peinar Borrador de Daño Colágeno Jelly 300 Ml Fructis Crema Para Peinar Oil Control X 300 Ml Fructis</t>
        </is>
      </c>
      <c r="E287" t="inlineStr">
        <is>
          <t>FRUCTIS</t>
        </is>
      </c>
      <c r="F287" t="n">
        <v>14050</v>
      </c>
      <c r="G287" t="n">
        <v>1161157</v>
      </c>
      <c r="H287" t="b">
        <v>1</v>
      </c>
      <c r="I287" t="n">
        <v>300</v>
      </c>
      <c r="J287" t="n">
        <v>46.8333</v>
      </c>
      <c r="K287" t="inlineStr">
        <is>
          <t>&gt; Perfumería &gt; Cuidado Capilar &gt; Reparación y Tratamientos &gt;</t>
        </is>
      </c>
      <c r="L287" t="inlineStr">
        <is>
          <t>shampoo</t>
        </is>
      </c>
      <c r="M287" t="inlineStr">
        <is>
          <t>estandar</t>
        </is>
      </c>
      <c r="N287" t="inlineStr">
        <is>
          <t>general</t>
        </is>
      </c>
      <c r="O287" t="inlineStr">
        <is>
          <t>https://www.disco.com.ar/crema-para-peinar-oil-control-x-300-ml-fructis/p</t>
        </is>
      </c>
      <c r="P287">
        <f>TRIM(CLEAN(PROPER(D287)))</f>
        <v/>
      </c>
      <c r="Q287">
        <f>PROPER(TRIM(SUBSTITUTE(SUBSTITUTE(SUBSTITUTE(SUBSTITUTE(E287,"TRESEMME","Tresemme"),"HEAD &amp; SHOULDERS","Head &amp; Shoulders"),"ELVIVE","Elvive"),"FRUCTIS","Fructis")))</f>
        <v/>
      </c>
      <c r="R287">
        <f>COUNTIF($D$2:$D$10000,D287)&gt;1</f>
        <v/>
      </c>
      <c r="S287">
        <f>IF(H287=TRUE,"Disponible","No disponible")</f>
        <v/>
      </c>
      <c r="T287">
        <f>IF(AND(ISNUMBER(I287),I287&gt;0),ROUND(F287/I287,2),"Sin volumen")</f>
        <v/>
      </c>
      <c r="U287">
        <f>IF(F287&lt;5000,"Bajo",IF(F287&lt;15000,"Medio","Alto"))</f>
        <v/>
      </c>
    </row>
    <row r="288">
      <c r="A288" s="10" t="inlineStr">
        <is>
          <t>Disco</t>
        </is>
      </c>
      <c r="B288" s="10" t="n">
        <v>3074193</v>
      </c>
      <c r="C288" s="10" t="n">
        <v>3073689</v>
      </c>
      <c r="D288" s="10" t="inlineStr">
        <is>
          <t>Mascarilla Anti-quiebre Hair Food Ananá 350 Ml Fructis</t>
        </is>
      </c>
      <c r="E288" s="10" t="inlineStr">
        <is>
          <t>FRUCTIS</t>
        </is>
      </c>
      <c r="F288" s="10" t="n">
        <v>15350</v>
      </c>
      <c r="G288" s="10" t="n">
        <v>1268595</v>
      </c>
      <c r="H288" s="10" t="b">
        <v>1</v>
      </c>
      <c r="I288" s="10" t="n">
        <v>350</v>
      </c>
      <c r="J288" s="10" t="n">
        <v>43.8571</v>
      </c>
      <c r="K288" s="10" t="inlineStr">
        <is>
          <t>&gt; Perfumería &gt; Cuidado Capilar &gt; Reparación y Tratamientos &gt;</t>
        </is>
      </c>
      <c r="L288" s="10" t="inlineStr">
        <is>
          <t>tratamiento</t>
        </is>
      </c>
      <c r="M288" s="10" t="inlineStr">
        <is>
          <t>estandar</t>
        </is>
      </c>
      <c r="N288" s="10" t="inlineStr">
        <is>
          <t>general</t>
        </is>
      </c>
      <c r="O288" s="10" t="inlineStr">
        <is>
          <t>https://www.disco.com.ar/tratamient-cap-fructis-pina-350ml/p</t>
        </is>
      </c>
      <c r="P288" s="12">
        <f>TRIM(CLEAN(PROPER(D288)))</f>
        <v/>
      </c>
      <c r="Q288" s="12">
        <f>PROPER(TRIM(SUBSTITUTE(SUBSTITUTE(SUBSTITUTE(SUBSTITUTE(E288,"TRESEMME","Tresemme"),"HEAD &amp; SHOULDERS","Head &amp; Shoulders"),"ELVIVE","Elvive"),"FRUCTIS","Fructis")))</f>
        <v/>
      </c>
      <c r="R288" s="12">
        <f>COUNTIF($D$2:$D$10000,D288)&gt;1</f>
        <v/>
      </c>
      <c r="S288" s="12">
        <f>IF(H288=TRUE,"Disponible","No disponible")</f>
        <v/>
      </c>
      <c r="T288" s="12">
        <f>IF(AND(ISNUMBER(I288),I288&gt;0),ROUND(F288/I288,2),"Sin volumen")</f>
        <v/>
      </c>
      <c r="U288" s="12">
        <f>IF(F288&lt;5000,"Bajo",IF(F288&lt;15000,"Medio","Alto"))</f>
        <v/>
      </c>
    </row>
    <row r="289">
      <c r="A289" t="inlineStr">
        <is>
          <t>Disco</t>
        </is>
      </c>
      <c r="B289" t="n">
        <v>412493</v>
      </c>
      <c r="C289" t="n">
        <v>408102</v>
      </c>
      <c r="D289" t="inlineStr">
        <is>
          <t>Crema para Peinar Rizos Poderosos 250 Ml Fructis</t>
        </is>
      </c>
      <c r="E289" t="inlineStr">
        <is>
          <t>FRUCTIS</t>
        </is>
      </c>
      <c r="F289" t="n">
        <v>8250</v>
      </c>
      <c r="G289" t="n">
        <v>681818</v>
      </c>
      <c r="H289" t="b">
        <v>1</v>
      </c>
      <c r="I289" t="n">
        <v>250</v>
      </c>
      <c r="J289" t="n">
        <v>33</v>
      </c>
      <c r="K289" t="inlineStr">
        <is>
          <t>&gt; Perfumería &gt; Cuidado Capilar &gt; Reparación y Tratamientos &gt;</t>
        </is>
      </c>
      <c r="L289" t="inlineStr">
        <is>
          <t>shampoo</t>
        </is>
      </c>
      <c r="M289" t="inlineStr">
        <is>
          <t>estandar</t>
        </is>
      </c>
      <c r="N289" t="inlineStr">
        <is>
          <t>rizado</t>
        </is>
      </c>
      <c r="O289" t="inlineStr">
        <is>
          <t>https://www.disco.com.ar/crema-para-peinar-fructis-rizos-poderosos-250ml/p</t>
        </is>
      </c>
      <c r="P289">
        <f>TRIM(CLEAN(PROPER(D289)))</f>
        <v/>
      </c>
      <c r="Q289">
        <f>PROPER(TRIM(SUBSTITUTE(SUBSTITUTE(SUBSTITUTE(SUBSTITUTE(E289,"TRESEMME","Tresemme"),"HEAD &amp; SHOULDERS","Head &amp; Shoulders"),"ELVIVE","Elvive"),"FRUCTIS","Fructis")))</f>
        <v/>
      </c>
      <c r="R289">
        <f>COUNTIF($D$2:$D$10000,D289)&gt;1</f>
        <v/>
      </c>
      <c r="S289">
        <f>IF(H289=TRUE,"Disponible","No disponible")</f>
        <v/>
      </c>
      <c r="T289">
        <f>IF(AND(ISNUMBER(I289),I289&gt;0),ROUND(F289/I289,2),"Sin volumen")</f>
        <v/>
      </c>
      <c r="U289">
        <f>IF(F289&lt;5000,"Bajo",IF(F289&lt;15000,"Medio","Alto"))</f>
        <v/>
      </c>
    </row>
    <row r="290">
      <c r="A290" s="10" t="inlineStr">
        <is>
          <t>Disco</t>
        </is>
      </c>
      <c r="B290" s="10" t="n">
        <v>424303</v>
      </c>
      <c r="C290" s="10" t="n">
        <v>417183</v>
      </c>
      <c r="D290" s="10" t="inlineStr">
        <is>
          <t>Spray Fijador Ultra Fine Hold 311 Grs Tresemme</t>
        </is>
      </c>
      <c r="E290" s="10" t="inlineStr">
        <is>
          <t>TRESEMMÉ</t>
        </is>
      </c>
      <c r="F290" s="10" t="n">
        <v>13550</v>
      </c>
      <c r="G290" s="10" t="n">
        <v>1119835</v>
      </c>
      <c r="H290" s="10" t="b">
        <v>1</v>
      </c>
      <c r="I290" s="10" t="inlineStr"/>
      <c r="J290" s="10" t="inlineStr"/>
      <c r="K290" s="10" t="inlineStr">
        <is>
          <t>&gt; Perfumería &gt; Cuidado Capilar &gt; Reparación y Tratamientos &gt;</t>
        </is>
      </c>
      <c r="L290" s="10" t="inlineStr">
        <is>
          <t>shampoo</t>
        </is>
      </c>
      <c r="M290" s="10" t="inlineStr">
        <is>
          <t>estandar</t>
        </is>
      </c>
      <c r="N290" s="10" t="inlineStr">
        <is>
          <t>general</t>
        </is>
      </c>
      <c r="O290" s="10" t="inlineStr">
        <is>
          <t>https://www.disco.com.ar/spray-fijador-ultra-fine-hold-311-grs-tresemme/p</t>
        </is>
      </c>
      <c r="P290" s="12">
        <f>TRIM(CLEAN(PROPER(D290)))</f>
        <v/>
      </c>
      <c r="Q290" s="12">
        <f>PROPER(TRIM(SUBSTITUTE(SUBSTITUTE(SUBSTITUTE(SUBSTITUTE(E290,"TRESEMME","Tresemme"),"HEAD &amp; SHOULDERS","Head &amp; Shoulders"),"ELVIVE","Elvive"),"FRUCTIS","Fructis")))</f>
        <v/>
      </c>
      <c r="R290" s="12">
        <f>COUNTIF($D$2:$D$10000,D290)&gt;1</f>
        <v/>
      </c>
      <c r="S290" s="12">
        <f>IF(H290=TRUE,"Disponible","No disponible")</f>
        <v/>
      </c>
      <c r="T290" s="12">
        <f>IF(AND(ISNUMBER(I290),I290&gt;0),ROUND(F290/I290,2),"Sin volumen")</f>
        <v/>
      </c>
      <c r="U290" s="12">
        <f>IF(F290&lt;5000,"Bajo",IF(F290&lt;15000,"Medio","Alto"))</f>
        <v/>
      </c>
    </row>
    <row r="291">
      <c r="A291" t="inlineStr">
        <is>
          <t>Disco</t>
        </is>
      </c>
      <c r="B291" t="n">
        <v>3085751</v>
      </c>
      <c r="C291" t="n">
        <v>3084979</v>
      </c>
      <c r="D291" t="inlineStr">
        <is>
          <t>Tratamieto Capilar Perfume Duradero X 90 Ml Herbal Essences</t>
        </is>
      </c>
      <c r="E291" t="inlineStr">
        <is>
          <t>HERBAL ESSENCES</t>
        </is>
      </c>
      <c r="F291" t="n">
        <v>30200</v>
      </c>
      <c r="G291" t="n">
        <v>2495868</v>
      </c>
      <c r="H291" t="b">
        <v>1</v>
      </c>
      <c r="I291" t="n">
        <v>90</v>
      </c>
      <c r="J291" t="n">
        <v>335.5556</v>
      </c>
      <c r="K291" t="inlineStr">
        <is>
          <t>&gt; Perfumería &gt; Cuidado Capilar &gt; Reparación y Tratamientos &gt;</t>
        </is>
      </c>
      <c r="L291" t="inlineStr">
        <is>
          <t>shampoo</t>
        </is>
      </c>
      <c r="M291" t="inlineStr">
        <is>
          <t>estandar</t>
        </is>
      </c>
      <c r="N291" t="inlineStr">
        <is>
          <t>general</t>
        </is>
      </c>
      <c r="O291" t="inlineStr">
        <is>
          <t>https://www.disco.com.ar/tratamieto-capilar-perfume-duradero-x-90-ml-herbal-essences/p</t>
        </is>
      </c>
      <c r="P291">
        <f>TRIM(CLEAN(PROPER(D291)))</f>
        <v/>
      </c>
      <c r="Q291">
        <f>PROPER(TRIM(SUBSTITUTE(SUBSTITUTE(SUBSTITUTE(SUBSTITUTE(E291,"TRESEMME","Tresemme"),"HEAD &amp; SHOULDERS","Head &amp; Shoulders"),"ELVIVE","Elvive"),"FRUCTIS","Fructis")))</f>
        <v/>
      </c>
      <c r="R291">
        <f>COUNTIF($D$2:$D$10000,D291)&gt;1</f>
        <v/>
      </c>
      <c r="S291">
        <f>IF(H291=TRUE,"Disponible","No disponible")</f>
        <v/>
      </c>
      <c r="T291">
        <f>IF(AND(ISNUMBER(I291),I291&gt;0),ROUND(F291/I291,2),"Sin volumen")</f>
        <v/>
      </c>
      <c r="U291">
        <f>IF(F291&lt;5000,"Bajo",IF(F291&lt;15000,"Medio","Alto"))</f>
        <v/>
      </c>
    </row>
    <row r="292">
      <c r="A292" s="10" t="inlineStr">
        <is>
          <t>Disco</t>
        </is>
      </c>
      <c r="B292" s="10" t="n">
        <v>3078794</v>
      </c>
      <c r="C292" s="10" t="n">
        <v>3078120</v>
      </c>
      <c r="D292" s="10" t="inlineStr">
        <is>
          <t>Crema Para Peinar Herbal Essences Rosa Mosquet</t>
        </is>
      </c>
      <c r="E292" s="10" t="inlineStr">
        <is>
          <t>HERBAL ESSENCES</t>
        </is>
      </c>
      <c r="F292" s="10" t="n">
        <v>12100</v>
      </c>
      <c r="G292" s="10" t="n">
        <v>1000000</v>
      </c>
      <c r="H292" s="10" t="b">
        <v>1</v>
      </c>
      <c r="I292" s="10" t="inlineStr"/>
      <c r="J292" s="10" t="inlineStr"/>
      <c r="K292" s="10" t="inlineStr">
        <is>
          <t>&gt; Perfumería &gt; Cuidado Capilar &gt; Reparación y Tratamientos &gt;</t>
        </is>
      </c>
      <c r="L292" s="10" t="inlineStr">
        <is>
          <t>shampoo</t>
        </is>
      </c>
      <c r="M292" s="10" t="inlineStr">
        <is>
          <t>estandar</t>
        </is>
      </c>
      <c r="N292" s="10" t="inlineStr">
        <is>
          <t>general</t>
        </is>
      </c>
      <c r="O292" s="10" t="inlineStr">
        <is>
          <t>https://www.disco.com.ar/crema-para-peinar-herbal-essences-rosa-mosquet/p</t>
        </is>
      </c>
      <c r="P292" s="12">
        <f>TRIM(CLEAN(PROPER(D292)))</f>
        <v/>
      </c>
      <c r="Q292" s="12">
        <f>PROPER(TRIM(SUBSTITUTE(SUBSTITUTE(SUBSTITUTE(SUBSTITUTE(E292,"TRESEMME","Tresemme"),"HEAD &amp; SHOULDERS","Head &amp; Shoulders"),"ELVIVE","Elvive"),"FRUCTIS","Fructis")))</f>
        <v/>
      </c>
      <c r="R292" s="12">
        <f>COUNTIF($D$2:$D$10000,D292)&gt;1</f>
        <v/>
      </c>
      <c r="S292" s="12">
        <f>IF(H292=TRUE,"Disponible","No disponible")</f>
        <v/>
      </c>
      <c r="T292" s="12">
        <f>IF(AND(ISNUMBER(I292),I292&gt;0),ROUND(F292/I292,2),"Sin volumen")</f>
        <v/>
      </c>
      <c r="U292" s="12">
        <f>IF(F292&lt;5000,"Bajo",IF(F292&lt;15000,"Medio","Alto"))</f>
        <v/>
      </c>
    </row>
    <row r="293">
      <c r="A293" t="inlineStr">
        <is>
          <t>Disco</t>
        </is>
      </c>
      <c r="B293" t="n">
        <v>420156</v>
      </c>
      <c r="C293" t="n">
        <v>414430</v>
      </c>
      <c r="D293" t="inlineStr">
        <is>
          <t>Crema para Peinar Cabello Rizado Oleo Extraordinario 250 Ml Elvive</t>
        </is>
      </c>
      <c r="E293" t="inlineStr">
        <is>
          <t>ELVIVE</t>
        </is>
      </c>
      <c r="F293" t="n">
        <v>9850</v>
      </c>
      <c r="G293" t="n">
        <v>814050</v>
      </c>
      <c r="H293" t="b">
        <v>1</v>
      </c>
      <c r="I293" t="n">
        <v>250</v>
      </c>
      <c r="J293" t="n">
        <v>39.4</v>
      </c>
      <c r="K293" t="inlineStr">
        <is>
          <t>&gt; Perfumería &gt; Cuidado Capilar &gt; Reparación y Tratamientos &gt;</t>
        </is>
      </c>
      <c r="L293" t="inlineStr">
        <is>
          <t>shampoo</t>
        </is>
      </c>
      <c r="M293" t="inlineStr">
        <is>
          <t>profesional</t>
        </is>
      </c>
      <c r="N293" t="inlineStr">
        <is>
          <t>rizado</t>
        </is>
      </c>
      <c r="O293" t="inlineStr">
        <is>
          <t>https://www.disco.com.ar/crema-para-peinar-elvive-oleo-rizo/p</t>
        </is>
      </c>
      <c r="P293">
        <f>TRIM(CLEAN(PROPER(D293)))</f>
        <v/>
      </c>
      <c r="Q293">
        <f>PROPER(TRIM(SUBSTITUTE(SUBSTITUTE(SUBSTITUTE(SUBSTITUTE(E293,"TRESEMME","Tresemme"),"HEAD &amp; SHOULDERS","Head &amp; Shoulders"),"ELVIVE","Elvive"),"FRUCTIS","Fructis")))</f>
        <v/>
      </c>
      <c r="R293">
        <f>COUNTIF($D$2:$D$10000,D293)&gt;1</f>
        <v/>
      </c>
      <c r="S293">
        <f>IF(H293=TRUE,"Disponible","No disponible")</f>
        <v/>
      </c>
      <c r="T293">
        <f>IF(AND(ISNUMBER(I293),I293&gt;0),ROUND(F293/I293,2),"Sin volumen")</f>
        <v/>
      </c>
      <c r="U293">
        <f>IF(F293&lt;5000,"Bajo",IF(F293&lt;15000,"Medio","Alto"))</f>
        <v/>
      </c>
    </row>
    <row r="294">
      <c r="A294" s="10" t="inlineStr">
        <is>
          <t>Disco</t>
        </is>
      </c>
      <c r="B294" s="10" t="n">
        <v>384082</v>
      </c>
      <c r="C294" s="10" t="n">
        <v>382765</v>
      </c>
      <c r="D294" s="10" t="inlineStr">
        <is>
          <t>Aceite para el Pelo Óleo Extraordinario Nutrición 100 Ml Elvive</t>
        </is>
      </c>
      <c r="E294" s="10" t="inlineStr">
        <is>
          <t>ELVIVE</t>
        </is>
      </c>
      <c r="F294" s="10" t="n">
        <v>21950</v>
      </c>
      <c r="G294" s="10" t="n">
        <v>1814050</v>
      </c>
      <c r="H294" s="10" t="b">
        <v>1</v>
      </c>
      <c r="I294" s="10" t="n">
        <v>100</v>
      </c>
      <c r="J294" s="10" t="n">
        <v>219.5</v>
      </c>
      <c r="K294" s="10" t="inlineStr">
        <is>
          <t>&gt; Perfumería &gt; Cuidado Capilar &gt; Reparación y Tratamientos &gt;</t>
        </is>
      </c>
      <c r="L294" s="10" t="inlineStr">
        <is>
          <t>shampoo</t>
        </is>
      </c>
      <c r="M294" s="10" t="inlineStr">
        <is>
          <t>profesional</t>
        </is>
      </c>
      <c r="N294" s="10" t="inlineStr">
        <is>
          <t>general</t>
        </is>
      </c>
      <c r="O294" s="10" t="inlineStr">
        <is>
          <t>https://www.disco.com.ar/tratamiento-nutricion-elvive-loreal-oleo-extraordinario-100-ml/p</t>
        </is>
      </c>
      <c r="P294" s="12">
        <f>TRIM(CLEAN(PROPER(D294)))</f>
        <v/>
      </c>
      <c r="Q294" s="12">
        <f>PROPER(TRIM(SUBSTITUTE(SUBSTITUTE(SUBSTITUTE(SUBSTITUTE(E294,"TRESEMME","Tresemme"),"HEAD &amp; SHOULDERS","Head &amp; Shoulders"),"ELVIVE","Elvive"),"FRUCTIS","Fructis")))</f>
        <v/>
      </c>
      <c r="R294" s="12">
        <f>COUNTIF($D$2:$D$10000,D294)&gt;1</f>
        <v/>
      </c>
      <c r="S294" s="12">
        <f>IF(H294=TRUE,"Disponible","No disponible")</f>
        <v/>
      </c>
      <c r="T294" s="12">
        <f>IF(AND(ISNUMBER(I294),I294&gt;0),ROUND(F294/I294,2),"Sin volumen")</f>
        <v/>
      </c>
      <c r="U294" s="12">
        <f>IF(F294&lt;5000,"Bajo",IF(F294&lt;15000,"Medio","Alto"))</f>
        <v/>
      </c>
    </row>
    <row r="295">
      <c r="A295" t="inlineStr">
        <is>
          <t>Disco</t>
        </is>
      </c>
      <c r="B295" t="n">
        <v>400532</v>
      </c>
      <c r="C295" t="n">
        <v>397870</v>
      </c>
      <c r="D295" t="inlineStr">
        <is>
          <t>Crema para Peinar Hidra Hialurónico 250 Ml Elvive</t>
        </is>
      </c>
      <c r="E295" t="inlineStr">
        <is>
          <t>ELVIVE</t>
        </is>
      </c>
      <c r="F295" t="n">
        <v>9800</v>
      </c>
      <c r="G295" t="n">
        <v>809917</v>
      </c>
      <c r="H295" t="b">
        <v>1</v>
      </c>
      <c r="I295" t="n">
        <v>250</v>
      </c>
      <c r="J295" t="n">
        <v>39.2</v>
      </c>
      <c r="K295" t="inlineStr">
        <is>
          <t>&gt; Perfumería &gt; Cuidado Capilar &gt; Reparación y Tratamientos &gt;</t>
        </is>
      </c>
      <c r="L295" t="inlineStr">
        <is>
          <t>shampoo</t>
        </is>
      </c>
      <c r="M295" t="inlineStr">
        <is>
          <t>profesional</t>
        </is>
      </c>
      <c r="N295" t="inlineStr">
        <is>
          <t>general</t>
        </is>
      </c>
      <c r="O295" t="inlineStr">
        <is>
          <t>https://www.disco.com.ar/crema-para-peinar-elvive-hidra-hialuronico-250-ml/p</t>
        </is>
      </c>
      <c r="P295">
        <f>TRIM(CLEAN(PROPER(D295)))</f>
        <v/>
      </c>
      <c r="Q295">
        <f>PROPER(TRIM(SUBSTITUTE(SUBSTITUTE(SUBSTITUTE(SUBSTITUTE(E295,"TRESEMME","Tresemme"),"HEAD &amp; SHOULDERS","Head &amp; Shoulders"),"ELVIVE","Elvive"),"FRUCTIS","Fructis")))</f>
        <v/>
      </c>
      <c r="R295">
        <f>COUNTIF($D$2:$D$10000,D295)&gt;1</f>
        <v/>
      </c>
      <c r="S295">
        <f>IF(H295=TRUE,"Disponible","No disponible")</f>
        <v/>
      </c>
      <c r="T295">
        <f>IF(AND(ISNUMBER(I295),I295&gt;0),ROUND(F295/I295,2),"Sin volumen")</f>
        <v/>
      </c>
      <c r="U295">
        <f>IF(F295&lt;5000,"Bajo",IF(F295&lt;15000,"Medio","Alto"))</f>
        <v/>
      </c>
    </row>
    <row r="296">
      <c r="A296" s="10" t="inlineStr">
        <is>
          <t>Disco</t>
        </is>
      </c>
      <c r="B296" s="10" t="n">
        <v>3071023</v>
      </c>
      <c r="C296" s="10" t="n">
        <v>3070594</v>
      </c>
      <c r="D296" s="10" t="inlineStr">
        <is>
          <t>Crema para Peinar Dream Liso Anti Frizz 250 Ml Elvive</t>
        </is>
      </c>
      <c r="E296" s="10" t="inlineStr">
        <is>
          <t>ELVIVE</t>
        </is>
      </c>
      <c r="F296" s="10" t="n">
        <v>10950</v>
      </c>
      <c r="G296" s="10" t="n">
        <v>904959</v>
      </c>
      <c r="H296" s="10" t="b">
        <v>1</v>
      </c>
      <c r="I296" s="10" t="n">
        <v>250</v>
      </c>
      <c r="J296" s="10" t="n">
        <v>43.8</v>
      </c>
      <c r="K296" s="10" t="inlineStr">
        <is>
          <t>&gt; Perfumería &gt; Cuidado Capilar &gt; Reparación y Tratamientos &gt;</t>
        </is>
      </c>
      <c r="L296" s="10" t="inlineStr">
        <is>
          <t>shampoo</t>
        </is>
      </c>
      <c r="M296" s="10" t="inlineStr">
        <is>
          <t>profesional</t>
        </is>
      </c>
      <c r="N296" s="10" t="inlineStr">
        <is>
          <t>general</t>
        </is>
      </c>
      <c r="O296" s="10" t="inlineStr">
        <is>
          <t>https://www.disco.com.ar/crema-de-peinar-dream-liso-250-ml-elvive/p</t>
        </is>
      </c>
      <c r="P296" s="12">
        <f>TRIM(CLEAN(PROPER(D296)))</f>
        <v/>
      </c>
      <c r="Q296" s="12">
        <f>PROPER(TRIM(SUBSTITUTE(SUBSTITUTE(SUBSTITUTE(SUBSTITUTE(E296,"TRESEMME","Tresemme"),"HEAD &amp; SHOULDERS","Head &amp; Shoulders"),"ELVIVE","Elvive"),"FRUCTIS","Fructis")))</f>
        <v/>
      </c>
      <c r="R296" s="12">
        <f>COUNTIF($D$2:$D$10000,D296)&gt;1</f>
        <v/>
      </c>
      <c r="S296" s="12">
        <f>IF(H296=TRUE,"Disponible","No disponible")</f>
        <v/>
      </c>
      <c r="T296" s="12">
        <f>IF(AND(ISNUMBER(I296),I296&gt;0),ROUND(F296/I296,2),"Sin volumen")</f>
        <v/>
      </c>
      <c r="U296" s="12">
        <f>IF(F296&lt;5000,"Bajo",IF(F296&lt;15000,"Medio","Alto"))</f>
        <v/>
      </c>
    </row>
    <row r="297">
      <c r="A297" t="inlineStr">
        <is>
          <t>Disco</t>
        </is>
      </c>
      <c r="B297" t="n">
        <v>407573</v>
      </c>
      <c r="C297" t="n">
        <v>403762</v>
      </c>
      <c r="D297" t="inlineStr">
        <is>
          <t>Mascarilla Elvive Rt Extreme 300 Gr</t>
        </is>
      </c>
      <c r="E297" t="inlineStr">
        <is>
          <t>ELVIVE</t>
        </is>
      </c>
      <c r="F297" t="n">
        <v>12300</v>
      </c>
      <c r="G297" t="n">
        <v>1016529</v>
      </c>
      <c r="H297" t="b">
        <v>1</v>
      </c>
      <c r="I297" t="n">
        <v>300</v>
      </c>
      <c r="J297" t="n">
        <v>41</v>
      </c>
      <c r="K297" t="inlineStr">
        <is>
          <t>&gt; Perfumería &gt; Cuidado Capilar &gt; Reparación y Tratamientos &gt;</t>
        </is>
      </c>
      <c r="L297" t="inlineStr">
        <is>
          <t>tratamiento</t>
        </is>
      </c>
      <c r="M297" t="inlineStr">
        <is>
          <t>profesional</t>
        </is>
      </c>
      <c r="N297" t="inlineStr">
        <is>
          <t>general</t>
        </is>
      </c>
      <c r="O297" t="inlineStr">
        <is>
          <t>https://www.disco.com.ar/mascarilla-elvive-rt-extreme-300-gr/p</t>
        </is>
      </c>
      <c r="P297">
        <f>TRIM(CLEAN(PROPER(D297)))</f>
        <v/>
      </c>
      <c r="Q297">
        <f>PROPER(TRIM(SUBSTITUTE(SUBSTITUTE(SUBSTITUTE(SUBSTITUTE(E297,"TRESEMME","Tresemme"),"HEAD &amp; SHOULDERS","Head &amp; Shoulders"),"ELVIVE","Elvive"),"FRUCTIS","Fructis")))</f>
        <v/>
      </c>
      <c r="R297">
        <f>COUNTIF($D$2:$D$10000,D297)&gt;1</f>
        <v/>
      </c>
      <c r="S297">
        <f>IF(H297=TRUE,"Disponible","No disponible")</f>
        <v/>
      </c>
      <c r="T297">
        <f>IF(AND(ISNUMBER(I297),I297&gt;0),ROUND(F297/I297,2),"Sin volumen")</f>
        <v/>
      </c>
      <c r="U297">
        <f>IF(F297&lt;5000,"Bajo",IF(F297&lt;15000,"Medio","Alto"))</f>
        <v/>
      </c>
    </row>
    <row r="298">
      <c r="A298" s="10" t="inlineStr">
        <is>
          <t>Disco</t>
        </is>
      </c>
      <c r="B298" s="10" t="n">
        <v>407569</v>
      </c>
      <c r="C298" s="10" t="n">
        <v>403758</v>
      </c>
      <c r="D298" s="10" t="inlineStr">
        <is>
          <t>Crema para Peinar Reparación Total 5 Keratin 250 Ml Elvive</t>
        </is>
      </c>
      <c r="E298" s="10" t="inlineStr">
        <is>
          <t>ELVIVE</t>
        </is>
      </c>
      <c r="F298" s="10" t="n">
        <v>9850</v>
      </c>
      <c r="G298" s="10" t="n">
        <v>814050</v>
      </c>
      <c r="H298" s="10" t="b">
        <v>1</v>
      </c>
      <c r="I298" s="10" t="n">
        <v>250</v>
      </c>
      <c r="J298" s="10" t="n">
        <v>39.4</v>
      </c>
      <c r="K298" s="10" t="inlineStr">
        <is>
          <t>&gt; Perfumería &gt; Cuidado Capilar &gt; Reparación y Tratamientos &gt;</t>
        </is>
      </c>
      <c r="L298" s="10" t="inlineStr">
        <is>
          <t>shampoo</t>
        </is>
      </c>
      <c r="M298" s="10" t="inlineStr">
        <is>
          <t>profesional</t>
        </is>
      </c>
      <c r="N298" s="10" t="inlineStr">
        <is>
          <t>general</t>
        </is>
      </c>
      <c r="O298" s="10" t="inlineStr">
        <is>
          <t>https://www.disco.com.ar/crema-para-peinar-elvive-reparacion-total-5-keratin-250-ml/p</t>
        </is>
      </c>
      <c r="P298" s="12">
        <f>TRIM(CLEAN(PROPER(D298)))</f>
        <v/>
      </c>
      <c r="Q298" s="12">
        <f>PROPER(TRIM(SUBSTITUTE(SUBSTITUTE(SUBSTITUTE(SUBSTITUTE(E298,"TRESEMME","Tresemme"),"HEAD &amp; SHOULDERS","Head &amp; Shoulders"),"ELVIVE","Elvive"),"FRUCTIS","Fructis")))</f>
        <v/>
      </c>
      <c r="R298" s="12">
        <f>COUNTIF($D$2:$D$10000,D298)&gt;1</f>
        <v/>
      </c>
      <c r="S298" s="12">
        <f>IF(H298=TRUE,"Disponible","No disponible")</f>
        <v/>
      </c>
      <c r="T298" s="12">
        <f>IF(AND(ISNUMBER(I298),I298&gt;0),ROUND(F298/I298,2),"Sin volumen")</f>
        <v/>
      </c>
      <c r="U298" s="12">
        <f>IF(F298&lt;5000,"Bajo",IF(F298&lt;15000,"Medio","Alto"))</f>
        <v/>
      </c>
    </row>
    <row r="299">
      <c r="A299" t="inlineStr">
        <is>
          <t>Disco</t>
        </is>
      </c>
      <c r="B299" t="n">
        <v>397625</v>
      </c>
      <c r="C299" t="n">
        <v>395358</v>
      </c>
      <c r="D299" t="inlineStr">
        <is>
          <t>Mascarilla Hidratación Ligera Hialurónico Pure 300 Grs Elvive</t>
        </is>
      </c>
      <c r="E299" t="inlineStr">
        <is>
          <t>ELVIVE</t>
        </is>
      </c>
      <c r="F299" t="n">
        <v>12300</v>
      </c>
      <c r="G299" t="n">
        <v>1016529</v>
      </c>
      <c r="H299" t="b">
        <v>1</v>
      </c>
      <c r="I299" t="inlineStr"/>
      <c r="J299" t="inlineStr"/>
      <c r="K299" t="inlineStr">
        <is>
          <t>&gt; Perfumería &gt; Cuidado Capilar &gt; Reparación y Tratamientos &gt;</t>
        </is>
      </c>
      <c r="L299" t="inlineStr">
        <is>
          <t>tratamiento</t>
        </is>
      </c>
      <c r="M299" t="inlineStr">
        <is>
          <t>profesional</t>
        </is>
      </c>
      <c r="N299" t="inlineStr">
        <is>
          <t>seco_danado</t>
        </is>
      </c>
      <c r="O299" t="inlineStr">
        <is>
          <t>https://www.disco.com.ar/mascarilla-elvive-hialuronico-pure-300-gr/p</t>
        </is>
      </c>
      <c r="P299">
        <f>TRIM(CLEAN(PROPER(D299)))</f>
        <v/>
      </c>
      <c r="Q299">
        <f>PROPER(TRIM(SUBSTITUTE(SUBSTITUTE(SUBSTITUTE(SUBSTITUTE(E299,"TRESEMME","Tresemme"),"HEAD &amp; SHOULDERS","Head &amp; Shoulders"),"ELVIVE","Elvive"),"FRUCTIS","Fructis")))</f>
        <v/>
      </c>
      <c r="R299">
        <f>COUNTIF($D$2:$D$10000,D299)&gt;1</f>
        <v/>
      </c>
      <c r="S299">
        <f>IF(H299=TRUE,"Disponible","No disponible")</f>
        <v/>
      </c>
      <c r="T299">
        <f>IF(AND(ISNUMBER(I299),I299&gt;0),ROUND(F299/I299,2),"Sin volumen")</f>
        <v/>
      </c>
      <c r="U299">
        <f>IF(F299&lt;5000,"Bajo",IF(F299&lt;15000,"Medio","Alto"))</f>
        <v/>
      </c>
    </row>
    <row r="300">
      <c r="A300" s="10" t="inlineStr">
        <is>
          <t>Disco</t>
        </is>
      </c>
      <c r="B300" s="10" t="n">
        <v>3083502</v>
      </c>
      <c r="C300" s="10" t="n">
        <v>3082777</v>
      </c>
      <c r="D300" s="10" t="inlineStr">
        <is>
          <t>Mascarilla Tratamiento Brillo Anti-residuos Glycolic Cristal 300 Ml Elvive</t>
        </is>
      </c>
      <c r="E300" s="10" t="inlineStr">
        <is>
          <t>ELVIVE</t>
        </is>
      </c>
      <c r="F300" s="10" t="n">
        <v>13900</v>
      </c>
      <c r="G300" s="10" t="n">
        <v>1148760</v>
      </c>
      <c r="H300" s="10" t="b">
        <v>1</v>
      </c>
      <c r="I300" s="10" t="n">
        <v>300</v>
      </c>
      <c r="J300" s="10" t="n">
        <v>46.3333</v>
      </c>
      <c r="K300" s="10" t="inlineStr">
        <is>
          <t>&gt; Perfumería &gt; Cuidado Capilar &gt; Reparación y Tratamientos &gt;</t>
        </is>
      </c>
      <c r="L300" s="10" t="inlineStr">
        <is>
          <t>tratamiento</t>
        </is>
      </c>
      <c r="M300" s="10" t="inlineStr">
        <is>
          <t>profesional</t>
        </is>
      </c>
      <c r="N300" s="10" t="inlineStr">
        <is>
          <t>general</t>
        </is>
      </c>
      <c r="O300" s="10" t="inlineStr">
        <is>
          <t>https://www.disco.com.ar/tratamiento-brillo-anti-residuos-glycolic-cristal-x-300-ml-elvive/p</t>
        </is>
      </c>
      <c r="P300" s="12">
        <f>TRIM(CLEAN(PROPER(D300)))</f>
        <v/>
      </c>
      <c r="Q300" s="12">
        <f>PROPER(TRIM(SUBSTITUTE(SUBSTITUTE(SUBSTITUTE(SUBSTITUTE(E300,"TRESEMME","Tresemme"),"HEAD &amp; SHOULDERS","Head &amp; Shoulders"),"ELVIVE","Elvive"),"FRUCTIS","Fructis")))</f>
        <v/>
      </c>
      <c r="R300" s="12">
        <f>COUNTIF($D$2:$D$10000,D300)&gt;1</f>
        <v/>
      </c>
      <c r="S300" s="12">
        <f>IF(H300=TRUE,"Disponible","No disponible")</f>
        <v/>
      </c>
      <c r="T300" s="12">
        <f>IF(AND(ISNUMBER(I300),I300&gt;0),ROUND(F300/I300,2),"Sin volumen")</f>
        <v/>
      </c>
      <c r="U300" s="12">
        <f>IF(F300&lt;5000,"Bajo",IF(F300&lt;15000,"Medio","Alto"))</f>
        <v/>
      </c>
    </row>
    <row r="301">
      <c r="A301" t="inlineStr">
        <is>
          <t>Disco</t>
        </is>
      </c>
      <c r="B301" t="n">
        <v>1360454</v>
      </c>
      <c r="C301" t="n">
        <v>1360037</v>
      </c>
      <c r="D301" t="inlineStr">
        <is>
          <t>Serum Capilar Glycolic Gloss 100 Ml Elvive</t>
        </is>
      </c>
      <c r="E301" t="inlineStr">
        <is>
          <t>ELVIVE</t>
        </is>
      </c>
      <c r="F301" t="n">
        <v>21950</v>
      </c>
      <c r="G301" t="n">
        <v>1814050</v>
      </c>
      <c r="H301" t="b">
        <v>1</v>
      </c>
      <c r="I301" t="n">
        <v>100</v>
      </c>
      <c r="J301" t="n">
        <v>219.5</v>
      </c>
      <c r="K301" t="inlineStr">
        <is>
          <t>&gt; Perfumería &gt; Cuidado Capilar &gt; Reparación y Tratamientos &gt;</t>
        </is>
      </c>
      <c r="L301" t="inlineStr">
        <is>
          <t>shampoo</t>
        </is>
      </c>
      <c r="M301" t="inlineStr">
        <is>
          <t>profesional</t>
        </is>
      </c>
      <c r="N301" t="inlineStr">
        <is>
          <t>general</t>
        </is>
      </c>
      <c r="O301" t="inlineStr">
        <is>
          <t>https://www.disco.com.ar/serum-capilar-elvive-glyco-gloss-100ml-2/p</t>
        </is>
      </c>
      <c r="P301">
        <f>TRIM(CLEAN(PROPER(D301)))</f>
        <v/>
      </c>
      <c r="Q301">
        <f>PROPER(TRIM(SUBSTITUTE(SUBSTITUTE(SUBSTITUTE(SUBSTITUTE(E301,"TRESEMME","Tresemme"),"HEAD &amp; SHOULDERS","Head &amp; Shoulders"),"ELVIVE","Elvive"),"FRUCTIS","Fructis")))</f>
        <v/>
      </c>
      <c r="R301">
        <f>COUNTIF($D$2:$D$10000,D301)&gt;1</f>
        <v/>
      </c>
      <c r="S301">
        <f>IF(H301=TRUE,"Disponible","No disponible")</f>
        <v/>
      </c>
      <c r="T301">
        <f>IF(AND(ISNUMBER(I301),I301&gt;0),ROUND(F301/I301,2),"Sin volumen")</f>
        <v/>
      </c>
      <c r="U301">
        <f>IF(F301&lt;5000,"Bajo",IF(F301&lt;15000,"Medio","Alto"))</f>
        <v/>
      </c>
    </row>
    <row r="302">
      <c r="A302" s="10" t="inlineStr">
        <is>
          <t>Disco</t>
        </is>
      </c>
      <c r="B302" s="10" t="n">
        <v>1360453</v>
      </c>
      <c r="C302" s="10" t="n">
        <v>1360036</v>
      </c>
      <c r="D302" s="10" t="inlineStr">
        <is>
          <t>Crema para Peinar Glyco Gloss Extra Brillo 250 Ml Elvive</t>
        </is>
      </c>
      <c r="E302" s="10" t="inlineStr">
        <is>
          <t>ELVIVE</t>
        </is>
      </c>
      <c r="F302" s="10" t="n">
        <v>10950</v>
      </c>
      <c r="G302" s="10" t="n">
        <v>904959</v>
      </c>
      <c r="H302" s="10" t="b">
        <v>1</v>
      </c>
      <c r="I302" s="10" t="n">
        <v>250</v>
      </c>
      <c r="J302" s="10" t="n">
        <v>43.8</v>
      </c>
      <c r="K302" s="10" t="inlineStr">
        <is>
          <t>&gt; Perfumería &gt; Cuidado Capilar &gt; Reparación y Tratamientos &gt;</t>
        </is>
      </c>
      <c r="L302" s="10" t="inlineStr">
        <is>
          <t>shampoo</t>
        </is>
      </c>
      <c r="M302" s="10" t="inlineStr">
        <is>
          <t>profesional</t>
        </is>
      </c>
      <c r="N302" s="10" t="inlineStr">
        <is>
          <t>general</t>
        </is>
      </c>
      <c r="O302" s="10" t="inlineStr">
        <is>
          <t>https://www.disco.com.ar/crema-para-peinar-elvive-glyco-gloss-250ml/p</t>
        </is>
      </c>
      <c r="P302" s="12">
        <f>TRIM(CLEAN(PROPER(D302)))</f>
        <v/>
      </c>
      <c r="Q302" s="12">
        <f>PROPER(TRIM(SUBSTITUTE(SUBSTITUTE(SUBSTITUTE(SUBSTITUTE(E302,"TRESEMME","Tresemme"),"HEAD &amp; SHOULDERS","Head &amp; Shoulders"),"ELVIVE","Elvive"),"FRUCTIS","Fructis")))</f>
        <v/>
      </c>
      <c r="R302" s="12">
        <f>COUNTIF($D$2:$D$10000,D302)&gt;1</f>
        <v/>
      </c>
      <c r="S302" s="12">
        <f>IF(H302=TRUE,"Disponible","No disponible")</f>
        <v/>
      </c>
      <c r="T302" s="12">
        <f>IF(AND(ISNUMBER(I302),I302&gt;0),ROUND(F302/I302,2),"Sin volumen")</f>
        <v/>
      </c>
      <c r="U302" s="12">
        <f>IF(F302&lt;5000,"Bajo",IF(F302&lt;15000,"Medio","Alto"))</f>
        <v/>
      </c>
    </row>
    <row r="303">
      <c r="A303" t="inlineStr">
        <is>
          <t>Disco</t>
        </is>
      </c>
      <c r="B303" t="n">
        <v>1360451</v>
      </c>
      <c r="C303" t="n">
        <v>1360034</v>
      </c>
      <c r="D303" t="inlineStr">
        <is>
          <t>Mascarilla Capilar Glycolic Gloss 300 Grs Elvive</t>
        </is>
      </c>
      <c r="E303" t="inlineStr">
        <is>
          <t>ELVIVE</t>
        </is>
      </c>
      <c r="F303" t="n">
        <v>13400</v>
      </c>
      <c r="G303" t="n">
        <v>1107438</v>
      </c>
      <c r="H303" t="b">
        <v>1</v>
      </c>
      <c r="I303" t="inlineStr"/>
      <c r="J303" t="inlineStr"/>
      <c r="K303" t="inlineStr">
        <is>
          <t>&gt; Perfumería &gt; Cuidado Capilar &gt; Reparación y Tratamientos &gt;</t>
        </is>
      </c>
      <c r="L303" t="inlineStr">
        <is>
          <t>tratamiento</t>
        </is>
      </c>
      <c r="M303" t="inlineStr">
        <is>
          <t>profesional</t>
        </is>
      </c>
      <c r="N303" t="inlineStr">
        <is>
          <t>general</t>
        </is>
      </c>
      <c r="O303" t="inlineStr">
        <is>
          <t>https://www.disco.com.ar/mascarilla-elvive-glycolic-gloss-300-gr/p</t>
        </is>
      </c>
      <c r="P303">
        <f>TRIM(CLEAN(PROPER(D303)))</f>
        <v/>
      </c>
      <c r="Q303">
        <f>PROPER(TRIM(SUBSTITUTE(SUBSTITUTE(SUBSTITUTE(SUBSTITUTE(E303,"TRESEMME","Tresemme"),"HEAD &amp; SHOULDERS","Head &amp; Shoulders"),"ELVIVE","Elvive"),"FRUCTIS","Fructis")))</f>
        <v/>
      </c>
      <c r="R303">
        <f>COUNTIF($D$2:$D$10000,D303)&gt;1</f>
        <v/>
      </c>
      <c r="S303">
        <f>IF(H303=TRUE,"Disponible","No disponible")</f>
        <v/>
      </c>
      <c r="T303">
        <f>IF(AND(ISNUMBER(I303),I303&gt;0),ROUND(F303/I303,2),"Sin volumen")</f>
        <v/>
      </c>
      <c r="U303">
        <f>IF(F303&lt;5000,"Bajo",IF(F303&lt;15000,"Medio","Alto"))</f>
        <v/>
      </c>
    </row>
    <row r="304">
      <c r="A304" s="10" t="inlineStr">
        <is>
          <t>Disco</t>
        </is>
      </c>
      <c r="B304" s="10" t="n">
        <v>400558</v>
      </c>
      <c r="C304" s="10" t="n">
        <v>397896</v>
      </c>
      <c r="D304" s="10" t="inlineStr">
        <is>
          <t>Crema para Peinar Kera-Liso 250 Ml Elvive</t>
        </is>
      </c>
      <c r="E304" s="10" t="inlineStr">
        <is>
          <t>ELVIVE</t>
        </is>
      </c>
      <c r="F304" s="10" t="n">
        <v>9850</v>
      </c>
      <c r="G304" s="10" t="n">
        <v>814050</v>
      </c>
      <c r="H304" s="10" t="b">
        <v>1</v>
      </c>
      <c r="I304" s="10" t="n">
        <v>250</v>
      </c>
      <c r="J304" s="10" t="n">
        <v>39.4</v>
      </c>
      <c r="K304" s="10" t="inlineStr">
        <is>
          <t>&gt; Perfumería &gt; Cuidado Capilar &gt; Reparación y Tratamientos &gt;</t>
        </is>
      </c>
      <c r="L304" s="10" t="inlineStr">
        <is>
          <t>shampoo</t>
        </is>
      </c>
      <c r="M304" s="10" t="inlineStr">
        <is>
          <t>profesional</t>
        </is>
      </c>
      <c r="N304" s="10" t="inlineStr">
        <is>
          <t>general</t>
        </is>
      </c>
      <c r="O304" s="10" t="inlineStr">
        <is>
          <t>https://www.disco.com.ar/crema-para-peinar-elvive-kera-liso-mk-250-ml/p</t>
        </is>
      </c>
      <c r="P304" s="12">
        <f>TRIM(CLEAN(PROPER(D304)))</f>
        <v/>
      </c>
      <c r="Q304" s="12">
        <f>PROPER(TRIM(SUBSTITUTE(SUBSTITUTE(SUBSTITUTE(SUBSTITUTE(E304,"TRESEMME","Tresemme"),"HEAD &amp; SHOULDERS","Head &amp; Shoulders"),"ELVIVE","Elvive"),"FRUCTIS","Fructis")))</f>
        <v/>
      </c>
      <c r="R304" s="12">
        <f>COUNTIF($D$2:$D$10000,D304)&gt;1</f>
        <v/>
      </c>
      <c r="S304" s="12">
        <f>IF(H304=TRUE,"Disponible","No disponible")</f>
        <v/>
      </c>
      <c r="T304" s="12">
        <f>IF(AND(ISNUMBER(I304),I304&gt;0),ROUND(F304/I304,2),"Sin volumen")</f>
        <v/>
      </c>
      <c r="U304" s="12">
        <f>IF(F304&lt;5000,"Bajo",IF(F304&lt;15000,"Medio","Alto"))</f>
        <v/>
      </c>
    </row>
    <row r="305">
      <c r="A305" t="inlineStr">
        <is>
          <t>Disco</t>
        </is>
      </c>
      <c r="B305" t="n">
        <v>288713</v>
      </c>
      <c r="C305" t="n">
        <v>287960</v>
      </c>
      <c r="D305" t="inlineStr">
        <is>
          <t>Crema para Peinar Dream Long Stop Tijeras 250 Ml Elvive</t>
        </is>
      </c>
      <c r="E305" t="inlineStr">
        <is>
          <t>ELVIVE</t>
        </is>
      </c>
      <c r="F305" t="n">
        <v>9850</v>
      </c>
      <c r="G305" t="n">
        <v>814050</v>
      </c>
      <c r="H305" t="b">
        <v>1</v>
      </c>
      <c r="I305" t="n">
        <v>250</v>
      </c>
      <c r="J305" t="n">
        <v>39.4</v>
      </c>
      <c r="K305" t="inlineStr">
        <is>
          <t>&gt; Perfumería &gt; Cuidado Capilar &gt; Reparación y Tratamientos &gt;</t>
        </is>
      </c>
      <c r="L305" t="inlineStr">
        <is>
          <t>shampoo</t>
        </is>
      </c>
      <c r="M305" t="inlineStr">
        <is>
          <t>profesional</t>
        </is>
      </c>
      <c r="N305" t="inlineStr">
        <is>
          <t>general</t>
        </is>
      </c>
      <c r="O305" t="inlineStr">
        <is>
          <t>https://www.disco.com.ar/crema-para-peinar-elvive-dream-long-250-ml/p</t>
        </is>
      </c>
      <c r="P305">
        <f>TRIM(CLEAN(PROPER(D305)))</f>
        <v/>
      </c>
      <c r="Q305">
        <f>PROPER(TRIM(SUBSTITUTE(SUBSTITUTE(SUBSTITUTE(SUBSTITUTE(E305,"TRESEMME","Tresemme"),"HEAD &amp; SHOULDERS","Head &amp; Shoulders"),"ELVIVE","Elvive"),"FRUCTIS","Fructis")))</f>
        <v/>
      </c>
      <c r="R305">
        <f>COUNTIF($D$2:$D$10000,D305)&gt;1</f>
        <v/>
      </c>
      <c r="S305">
        <f>IF(H305=TRUE,"Disponible","No disponible")</f>
        <v/>
      </c>
      <c r="T305">
        <f>IF(AND(ISNUMBER(I305),I305&gt;0),ROUND(F305/I305,2),"Sin volumen")</f>
        <v/>
      </c>
      <c r="U305">
        <f>IF(F305&lt;5000,"Bajo",IF(F305&lt;15000,"Medio","Alto"))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  <col width="75" customWidth="1" min="3" max="3"/>
  </cols>
  <sheetData>
    <row r="1" ht="26" customHeight="1">
      <c r="A1" s="13" t="inlineStr">
        <is>
          <t>Columna generada</t>
        </is>
      </c>
      <c r="B1" s="13" t="inlineStr">
        <is>
          <t>Fórmula (fila 2)</t>
        </is>
      </c>
      <c r="C1" s="13" t="inlineStr">
        <is>
          <t>Qué hace</t>
        </is>
      </c>
    </row>
    <row r="2">
      <c r="A2" t="inlineStr">
        <is>
          <t>nombre_limpio</t>
        </is>
      </c>
      <c r="B2">
        <f>TRIM(CLEAN(PROPER(D2)))</f>
        <v/>
      </c>
      <c r="C2" t="inlineStr">
        <is>
          <t>TRIM+CLEAN+PROPER sobre 'nombre': elimina espacios, caracteres no imprimibles y capitaliza</t>
        </is>
      </c>
    </row>
    <row r="3">
      <c r="A3" t="inlineStr">
        <is>
          <t>marca_normalizada</t>
        </is>
      </c>
      <c r="B3">
        <f>PROPER(TRIM(SUBSTITUTE(SUBSTITUTE(SUBSTITUTE(SUBSTITUTE(E2,"TRESEMME","Tresemme"),"HEAD &amp; SHOULDERS","Head &amp; Shoulders"),"ELVIVE","Elvive"),"FRUCTIS","Fructis")))</f>
        <v/>
      </c>
      <c r="C3" t="inlineStr">
        <is>
          <t>PROPER+TRIM+SUBSTITUTE sobre 'marca': normaliza case y corrige nombres especificos</t>
        </is>
      </c>
    </row>
    <row r="4">
      <c r="A4" t="inlineStr">
        <is>
          <t>es_duplicado</t>
        </is>
      </c>
      <c r="B4">
        <f>COUNTIF($D$2:$D$10000,D2)&gt;1</f>
        <v/>
      </c>
      <c r="C4" t="inlineStr">
        <is>
          <t>COUNTIF sobre 'nombre': detecta si hay mas de 1 fila con el mismo nombre (posible duplicado)</t>
        </is>
      </c>
    </row>
    <row r="5">
      <c r="A5" t="inlineStr">
        <is>
          <t>disponible_texto</t>
        </is>
      </c>
      <c r="B5">
        <f>IF(H2=TRUE,"Disponible","No disponible")</f>
        <v/>
      </c>
      <c r="C5" t="inlineStr">
        <is>
          <t>IF sobre 'disponible': convierte booleano a texto legible</t>
        </is>
      </c>
    </row>
    <row r="6">
      <c r="A6" t="inlineStr">
        <is>
          <t>precio_ml_calculado</t>
        </is>
      </c>
      <c r="B6">
        <f>IF(AND(ISNUMBER(I2),I2&gt;0),ROUND(F2/I2,2),"Sin volumen")</f>
        <v/>
      </c>
      <c r="C6" t="inlineStr">
        <is>
          <t>IF+AND+ISNUMBER+ROUND: calcula precio/ml solo cuando el volumen es un numero valido</t>
        </is>
      </c>
    </row>
    <row r="7">
      <c r="A7" t="inlineStr">
        <is>
          <t>rango_precio</t>
        </is>
      </c>
      <c r="B7">
        <f>IF(F2&lt;5000,"Bajo",IF(F2&lt;15000,"Medio","Alto"))</f>
        <v/>
      </c>
      <c r="C7" t="inlineStr">
        <is>
          <t>IF anidado sobre 'precio_ars': segmenta en rangos Bajo/Medio/Alto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6" customHeight="1">
      <c r="A1" s="14" t="inlineStr">
        <is>
          <t>Estadistica Descriptiva — Dataset Shampoo &amp; Acondicionador (Clase 4 UADE)</t>
        </is>
      </c>
    </row>
    <row r="3" ht="20" customHeight="1">
      <c r="A3" s="15" t="inlineStr">
        <is>
          <t>1. precio_ars — Analisis Global  (n=1,562 registros)</t>
        </is>
      </c>
    </row>
    <row r="4" ht="17" customHeight="1">
      <c r="A4" s="16" t="inlineStr">
        <is>
          <t>Metrica</t>
        </is>
      </c>
      <c r="B4" s="16" t="inlineStr">
        <is>
          <t>Valor</t>
        </is>
      </c>
    </row>
    <row r="5" ht="15" customHeight="1">
      <c r="A5" s="17" t="inlineStr">
        <is>
          <t>n</t>
        </is>
      </c>
      <c r="B5" s="18" t="n">
        <v>1562</v>
      </c>
    </row>
    <row r="6" ht="15" customHeight="1">
      <c r="A6" s="19" t="inlineStr">
        <is>
          <t>Minimo</t>
        </is>
      </c>
      <c r="B6" s="20" t="n">
        <v>900</v>
      </c>
    </row>
    <row r="7" ht="15" customHeight="1">
      <c r="A7" s="17" t="inlineStr">
        <is>
          <t>Maximo</t>
        </is>
      </c>
      <c r="B7" s="18" t="n">
        <v>195532</v>
      </c>
    </row>
    <row r="8" ht="15" customHeight="1">
      <c r="A8" s="19" t="inlineStr">
        <is>
          <t>Rango</t>
        </is>
      </c>
      <c r="B8" s="20" t="n">
        <v>194632</v>
      </c>
    </row>
    <row r="9" ht="15" customHeight="1">
      <c r="A9" s="17" t="inlineStr">
        <is>
          <t>Media</t>
        </is>
      </c>
      <c r="B9" s="18" t="n">
        <v>13972.33</v>
      </c>
    </row>
    <row r="10" ht="15" customHeight="1">
      <c r="A10" s="19" t="inlineStr">
        <is>
          <t>Mediana</t>
        </is>
      </c>
      <c r="B10" s="20" t="n">
        <v>9860</v>
      </c>
    </row>
    <row r="11" ht="15" customHeight="1">
      <c r="A11" s="17" t="inlineStr">
        <is>
          <t>Moda</t>
        </is>
      </c>
      <c r="B11" s="18" t="n">
        <v>6714</v>
      </c>
    </row>
    <row r="12" ht="15" customHeight="1">
      <c r="A12" s="19" t="inlineStr">
        <is>
          <t>Varianza</t>
        </is>
      </c>
      <c r="B12" s="20" t="n">
        <v>223945774.38</v>
      </c>
    </row>
    <row r="13" ht="15" customHeight="1">
      <c r="A13" s="17" t="inlineStr">
        <is>
          <t>Desvio Estandar</t>
        </is>
      </c>
      <c r="B13" s="18" t="n">
        <v>14964.82</v>
      </c>
    </row>
    <row r="14" ht="15" customHeight="1">
      <c r="A14" s="19" t="inlineStr">
        <is>
          <t>Asimetria</t>
        </is>
      </c>
      <c r="B14" s="20" t="n">
        <v>4.7659</v>
      </c>
    </row>
    <row r="15" ht="15" customHeight="1">
      <c r="A15" s="17" t="inlineStr">
        <is>
          <t>Curtosis</t>
        </is>
      </c>
      <c r="B15" s="18" t="n">
        <v>33.3008</v>
      </c>
    </row>
    <row r="16" ht="15" customHeight="1">
      <c r="A16" s="19" t="inlineStr">
        <is>
          <t>Q1</t>
        </is>
      </c>
      <c r="B16" s="20" t="n">
        <v>6574</v>
      </c>
    </row>
    <row r="17" ht="15" customHeight="1">
      <c r="A17" s="17" t="inlineStr">
        <is>
          <t>Q2 (Mediana)</t>
        </is>
      </c>
      <c r="B17" s="18" t="n">
        <v>9860</v>
      </c>
    </row>
    <row r="18" ht="15" customHeight="1">
      <c r="A18" s="19" t="inlineStr">
        <is>
          <t>Q3</t>
        </is>
      </c>
      <c r="B18" s="20" t="n">
        <v>16400</v>
      </c>
    </row>
    <row r="19" ht="15" customHeight="1">
      <c r="A19" s="17" t="inlineStr">
        <is>
          <t>RI (Q3 - Q1)</t>
        </is>
      </c>
      <c r="B19" s="18" t="n">
        <v>9826</v>
      </c>
    </row>
    <row r="20" ht="15" customHeight="1">
      <c r="A20" s="19" t="inlineStr">
        <is>
          <t>Limite Inf. Outliers</t>
        </is>
      </c>
      <c r="B20" s="20" t="n">
        <v>-8165</v>
      </c>
    </row>
    <row r="21" ht="15" customHeight="1">
      <c r="A21" s="17" t="inlineStr">
        <is>
          <t>Limite Sup. Outliers</t>
        </is>
      </c>
      <c r="B21" s="18" t="n">
        <v>31139</v>
      </c>
    </row>
    <row r="22" ht="15" customHeight="1">
      <c r="A22" s="19" t="inlineStr">
        <is>
          <t>N Outliers Inferiores</t>
        </is>
      </c>
      <c r="B22" s="20" t="n">
        <v>0</v>
      </c>
    </row>
    <row r="23" ht="15" customHeight="1">
      <c r="A23" s="17" t="inlineStr">
        <is>
          <t>N Outliers Superiores</t>
        </is>
      </c>
      <c r="B23" s="18" t="n">
        <v>106</v>
      </c>
    </row>
    <row r="24" ht="22" customHeight="1">
      <c r="A24" s="21" t="inlineStr">
        <is>
          <t>Nota: Asimetria=4.7659  (cola derecha (precios altos)). Outliers totales: 106</t>
        </is>
      </c>
    </row>
    <row r="26" ht="20" customHeight="1">
      <c r="A26" s="15" t="inlineStr">
        <is>
          <t>2. precio_por_ml — Analisis Global  (n=1,429 con volumen informado)</t>
        </is>
      </c>
    </row>
    <row r="27" ht="17" customHeight="1">
      <c r="A27" s="16" t="inlineStr">
        <is>
          <t>Metrica</t>
        </is>
      </c>
      <c r="B27" s="16" t="inlineStr">
        <is>
          <t>Valor</t>
        </is>
      </c>
    </row>
    <row r="28" ht="15" customHeight="1">
      <c r="A28" s="17" t="inlineStr">
        <is>
          <t>n</t>
        </is>
      </c>
      <c r="B28" s="18" t="n">
        <v>1429</v>
      </c>
    </row>
    <row r="29" ht="15" customHeight="1">
      <c r="A29" s="19" t="inlineStr">
        <is>
          <t>Minimo</t>
        </is>
      </c>
      <c r="B29" s="20" t="n">
        <v>4.95</v>
      </c>
    </row>
    <row r="30" ht="15" customHeight="1">
      <c r="A30" s="17" t="inlineStr">
        <is>
          <t>Maximo</t>
        </is>
      </c>
      <c r="B30" s="18" t="n">
        <v>23855.67</v>
      </c>
    </row>
    <row r="31" ht="15" customHeight="1">
      <c r="A31" s="19" t="inlineStr">
        <is>
          <t>Rango</t>
        </is>
      </c>
      <c r="B31" s="20" t="n">
        <v>23850.72</v>
      </c>
    </row>
    <row r="32" ht="15" customHeight="1">
      <c r="A32" s="17" t="inlineStr">
        <is>
          <t>Media</t>
        </is>
      </c>
      <c r="B32" s="18" t="n">
        <v>74.14</v>
      </c>
    </row>
    <row r="33" ht="15" customHeight="1">
      <c r="A33" s="19" t="inlineStr">
        <is>
          <t>Mediana</t>
        </is>
      </c>
      <c r="B33" s="20" t="n">
        <v>28.47</v>
      </c>
    </row>
    <row r="34" ht="15" customHeight="1">
      <c r="A34" s="17" t="inlineStr">
        <is>
          <t>Moda</t>
        </is>
      </c>
      <c r="B34" s="18" t="n">
        <v>16.79</v>
      </c>
    </row>
    <row r="35" ht="15" customHeight="1">
      <c r="A35" s="19" t="inlineStr">
        <is>
          <t>Varianza</t>
        </is>
      </c>
      <c r="B35" s="20" t="n">
        <v>409646.06</v>
      </c>
    </row>
    <row r="36" ht="15" customHeight="1">
      <c r="A36" s="17" t="inlineStr">
        <is>
          <t>Desvio Estandar</t>
        </is>
      </c>
      <c r="B36" s="18" t="n">
        <v>640.04</v>
      </c>
    </row>
    <row r="37" ht="15" customHeight="1">
      <c r="A37" s="19" t="inlineStr">
        <is>
          <t>Asimetria</t>
        </is>
      </c>
      <c r="B37" s="20" t="n">
        <v>36.046</v>
      </c>
    </row>
    <row r="38" ht="15" customHeight="1">
      <c r="A38" s="17" t="inlineStr">
        <is>
          <t>Curtosis</t>
        </is>
      </c>
      <c r="B38" s="18" t="n">
        <v>1337.6959</v>
      </c>
    </row>
    <row r="39" ht="15" customHeight="1">
      <c r="A39" s="19" t="inlineStr">
        <is>
          <t>Q1</t>
        </is>
      </c>
      <c r="B39" s="20" t="n">
        <v>22.31</v>
      </c>
    </row>
    <row r="40" ht="15" customHeight="1">
      <c r="A40" s="17" t="inlineStr">
        <is>
          <t>Q2 (Mediana)</t>
        </is>
      </c>
      <c r="B40" s="18" t="n">
        <v>28.47</v>
      </c>
    </row>
    <row r="41" ht="15" customHeight="1">
      <c r="A41" s="19" t="inlineStr">
        <is>
          <t>Q3</t>
        </is>
      </c>
      <c r="B41" s="20" t="n">
        <v>41</v>
      </c>
    </row>
    <row r="42" ht="15" customHeight="1">
      <c r="A42" s="17" t="inlineStr">
        <is>
          <t>RI (Q3 - Q1)</t>
        </is>
      </c>
      <c r="B42" s="18" t="n">
        <v>18.69</v>
      </c>
    </row>
    <row r="43" ht="15" customHeight="1">
      <c r="A43" s="19" t="inlineStr">
        <is>
          <t>Limite Inf. Outliers</t>
        </is>
      </c>
      <c r="B43" s="20" t="n">
        <v>-5.72</v>
      </c>
    </row>
    <row r="44" ht="15" customHeight="1">
      <c r="A44" s="17" t="inlineStr">
        <is>
          <t>Limite Sup. Outliers</t>
        </is>
      </c>
      <c r="B44" s="18" t="n">
        <v>69.03</v>
      </c>
    </row>
    <row r="45" ht="15" customHeight="1">
      <c r="A45" s="19" t="inlineStr">
        <is>
          <t>N Outliers Inferiores</t>
        </is>
      </c>
      <c r="B45" s="20" t="n">
        <v>0</v>
      </c>
    </row>
    <row r="46" ht="15" customHeight="1">
      <c r="A46" s="17" t="inlineStr">
        <is>
          <t>N Outliers Superiores</t>
        </is>
      </c>
      <c r="B46" s="18" t="n">
        <v>215</v>
      </c>
    </row>
    <row r="47" ht="22" customHeight="1">
      <c r="A47" s="21" t="inlineStr">
        <is>
          <t>Nota: Asimetria=36.046  (cola derecha (precios altos)). Outliers totales: 215</t>
        </is>
      </c>
    </row>
    <row r="49" ht="20" customHeight="1">
      <c r="A49" s="22" t="inlineStr">
        <is>
          <t>3. H1: precio_por_ml por linea_tipo  (Profesional vs Estandar)</t>
        </is>
      </c>
    </row>
    <row r="50" ht="17" customHeight="1">
      <c r="A50" s="16" t="inlineStr">
        <is>
          <t>Metrica</t>
        </is>
      </c>
      <c r="B50" s="16" t="inlineStr">
        <is>
          <t>estandar</t>
        </is>
      </c>
      <c r="C50" s="16" t="inlineStr">
        <is>
          <t>profesional</t>
        </is>
      </c>
    </row>
    <row r="51" ht="15" customHeight="1">
      <c r="A51" s="17" t="inlineStr">
        <is>
          <t>n</t>
        </is>
      </c>
      <c r="B51" s="18" t="n">
        <v>1059</v>
      </c>
      <c r="C51" s="18" t="n">
        <v>370</v>
      </c>
    </row>
    <row r="52" ht="15" customHeight="1">
      <c r="A52" s="19" t="inlineStr">
        <is>
          <t>Media</t>
        </is>
      </c>
      <c r="B52" s="20" t="n">
        <v>84.88</v>
      </c>
      <c r="C52" s="20" t="n">
        <v>43.4</v>
      </c>
    </row>
    <row r="53" ht="15" customHeight="1">
      <c r="A53" s="17" t="inlineStr">
        <is>
          <t>Mediana</t>
        </is>
      </c>
      <c r="B53" s="18" t="n">
        <v>28.31</v>
      </c>
      <c r="C53" s="18" t="n">
        <v>28.69</v>
      </c>
    </row>
    <row r="54" ht="15" customHeight="1">
      <c r="A54" s="19" t="inlineStr">
        <is>
          <t>Desvio Estandar</t>
        </is>
      </c>
      <c r="B54" s="20" t="n">
        <v>742.36</v>
      </c>
      <c r="C54" s="20" t="n">
        <v>62.46</v>
      </c>
    </row>
    <row r="55" ht="15" customHeight="1">
      <c r="A55" s="17" t="inlineStr">
        <is>
          <t>Minimo</t>
        </is>
      </c>
      <c r="B55" s="18" t="n">
        <v>4.95</v>
      </c>
      <c r="C55" s="18" t="n">
        <v>9.98</v>
      </c>
    </row>
    <row r="56" ht="15" customHeight="1">
      <c r="A56" s="19" t="inlineStr">
        <is>
          <t>Maximo</t>
        </is>
      </c>
      <c r="B56" s="20" t="n">
        <v>23855.67</v>
      </c>
      <c r="C56" s="20" t="n">
        <v>498.8</v>
      </c>
    </row>
    <row r="57" ht="15" customHeight="1">
      <c r="A57" s="17" t="inlineStr">
        <is>
          <t>Rango</t>
        </is>
      </c>
      <c r="B57" s="18" t="n">
        <v>23850.72</v>
      </c>
      <c r="C57" s="18" t="n">
        <v>488.81</v>
      </c>
    </row>
    <row r="58" ht="15" customHeight="1">
      <c r="A58" s="19" t="inlineStr">
        <is>
          <t>Q1</t>
        </is>
      </c>
      <c r="B58" s="20" t="n">
        <v>21.61</v>
      </c>
      <c r="C58" s="20" t="n">
        <v>22.83</v>
      </c>
    </row>
    <row r="59" ht="15" customHeight="1">
      <c r="A59" s="17" t="inlineStr">
        <is>
          <t>Q3</t>
        </is>
      </c>
      <c r="B59" s="18" t="n">
        <v>43.77</v>
      </c>
      <c r="C59" s="18" t="n">
        <v>37.75</v>
      </c>
    </row>
    <row r="60" ht="15" customHeight="1">
      <c r="A60" s="19" t="inlineStr">
        <is>
          <t>RI (Q3 - Q1)</t>
        </is>
      </c>
      <c r="B60" s="20" t="n">
        <v>22.16</v>
      </c>
      <c r="C60" s="20" t="n">
        <v>14.92</v>
      </c>
    </row>
    <row r="61" ht="15" customHeight="1">
      <c r="A61" s="17" t="inlineStr">
        <is>
          <t>Limite Inf. Outliers</t>
        </is>
      </c>
      <c r="B61" s="18" t="n">
        <v>-11.63</v>
      </c>
      <c r="C61" s="18" t="n">
        <v>0.45</v>
      </c>
    </row>
    <row r="62" ht="15" customHeight="1">
      <c r="A62" s="19" t="inlineStr">
        <is>
          <t>Limite Sup. Outliers</t>
        </is>
      </c>
      <c r="B62" s="20" t="n">
        <v>77.02</v>
      </c>
      <c r="C62" s="20" t="n">
        <v>60.13</v>
      </c>
    </row>
    <row r="63" ht="15" customHeight="1">
      <c r="A63" s="17" t="inlineStr">
        <is>
          <t>N Outliers Inferiores</t>
        </is>
      </c>
      <c r="B63" s="18" t="n">
        <v>0</v>
      </c>
      <c r="C63" s="18" t="n">
        <v>0</v>
      </c>
    </row>
    <row r="64" ht="15" customHeight="1">
      <c r="A64" s="19" t="inlineStr">
        <is>
          <t>N Outliers Superiores</t>
        </is>
      </c>
      <c r="B64" s="20" t="n">
        <v>169</v>
      </c>
      <c r="C64" s="20" t="n">
        <v>32</v>
      </c>
    </row>
    <row r="66" ht="20" customHeight="1">
      <c r="A66" s="23" t="inlineStr">
        <is>
          <t>4. H2: precio_por_ml por tipo_cabello</t>
        </is>
      </c>
    </row>
    <row r="67" ht="17" customHeight="1">
      <c r="A67" s="16" t="inlineStr">
        <is>
          <t>Metrica</t>
        </is>
      </c>
      <c r="B67" s="16" t="inlineStr">
        <is>
          <t>anticaspa</t>
        </is>
      </c>
      <c r="C67" s="16" t="inlineStr">
        <is>
          <t>bebe</t>
        </is>
      </c>
      <c r="D67" s="16" t="inlineStr">
        <is>
          <t>general</t>
        </is>
      </c>
      <c r="E67" s="16" t="inlineStr">
        <is>
          <t>graso</t>
        </is>
      </c>
      <c r="F67" s="16" t="inlineStr">
        <is>
          <t>rizado</t>
        </is>
      </c>
      <c r="G67" s="16" t="inlineStr">
        <is>
          <t>seco_danado</t>
        </is>
      </c>
      <c r="H67" s="16" t="inlineStr">
        <is>
          <t>tratado</t>
        </is>
      </c>
    </row>
    <row r="68" ht="15" customHeight="1">
      <c r="A68" s="17" t="inlineStr">
        <is>
          <t>n</t>
        </is>
      </c>
      <c r="B68" s="18" t="n">
        <v>65</v>
      </c>
      <c r="C68" s="18" t="n">
        <v>57</v>
      </c>
      <c r="D68" s="18" t="n">
        <v>1085</v>
      </c>
      <c r="E68" s="18" t="n">
        <v>5</v>
      </c>
      <c r="F68" s="18" t="n">
        <v>33</v>
      </c>
      <c r="G68" s="18" t="n">
        <v>84</v>
      </c>
      <c r="H68" s="18" t="n">
        <v>100</v>
      </c>
    </row>
    <row r="69" ht="15" customHeight="1">
      <c r="A69" s="19" t="inlineStr">
        <is>
          <t>Media</t>
        </is>
      </c>
      <c r="B69" s="20" t="n">
        <v>116.33</v>
      </c>
      <c r="C69" s="20" t="n">
        <v>32.39</v>
      </c>
      <c r="D69" s="20" t="n">
        <v>78.08</v>
      </c>
      <c r="E69" s="20" t="n">
        <v>22.77</v>
      </c>
      <c r="F69" s="20" t="n">
        <v>27.33</v>
      </c>
      <c r="G69" s="20" t="n">
        <v>49.51</v>
      </c>
      <c r="H69" s="20" t="n">
        <v>66.43000000000001</v>
      </c>
    </row>
    <row r="70" ht="15" customHeight="1">
      <c r="A70" s="17" t="inlineStr">
        <is>
          <t>Mediana</t>
        </is>
      </c>
      <c r="B70" s="18" t="n">
        <v>34.93</v>
      </c>
      <c r="C70" s="18" t="n">
        <v>27.87</v>
      </c>
      <c r="D70" s="18" t="n">
        <v>28.31</v>
      </c>
      <c r="E70" s="18" t="n">
        <v>23.21</v>
      </c>
      <c r="F70" s="18" t="n">
        <v>25.23</v>
      </c>
      <c r="G70" s="18" t="n">
        <v>26.16</v>
      </c>
      <c r="H70" s="18" t="n">
        <v>32.86</v>
      </c>
    </row>
    <row r="71" ht="15" customHeight="1">
      <c r="A71" s="19" t="inlineStr">
        <is>
          <t>Desvio Estandar</t>
        </is>
      </c>
      <c r="B71" s="20" t="n">
        <v>370.34</v>
      </c>
      <c r="C71" s="20" t="n">
        <v>26.04</v>
      </c>
      <c r="D71" s="20" t="n">
        <v>727.87</v>
      </c>
      <c r="E71" s="20" t="n">
        <v>2.9</v>
      </c>
      <c r="F71" s="20" t="n">
        <v>10.44</v>
      </c>
      <c r="G71" s="20" t="n">
        <v>78.64</v>
      </c>
      <c r="H71" s="20" t="n">
        <v>99.31</v>
      </c>
    </row>
    <row r="72" ht="15" customHeight="1">
      <c r="A72" s="17" t="inlineStr">
        <is>
          <t>Minimo</t>
        </is>
      </c>
      <c r="B72" s="18" t="n">
        <v>18.16</v>
      </c>
      <c r="C72" s="18" t="n">
        <v>4.95</v>
      </c>
      <c r="D72" s="18" t="n">
        <v>5.6</v>
      </c>
      <c r="E72" s="18" t="n">
        <v>18.04</v>
      </c>
      <c r="F72" s="18" t="n">
        <v>13.15</v>
      </c>
      <c r="G72" s="18" t="n">
        <v>6.2</v>
      </c>
      <c r="H72" s="18" t="n">
        <v>13.15</v>
      </c>
    </row>
    <row r="73" ht="15" customHeight="1">
      <c r="A73" s="19" t="inlineStr">
        <is>
          <t>Maximo</t>
        </is>
      </c>
      <c r="B73" s="20" t="n">
        <v>2939.86</v>
      </c>
      <c r="C73" s="20" t="n">
        <v>188.15</v>
      </c>
      <c r="D73" s="20" t="n">
        <v>23855.67</v>
      </c>
      <c r="E73" s="20" t="n">
        <v>25.95</v>
      </c>
      <c r="F73" s="20" t="n">
        <v>62.58</v>
      </c>
      <c r="G73" s="20" t="n">
        <v>415.62</v>
      </c>
      <c r="H73" s="20" t="n">
        <v>449.8</v>
      </c>
    </row>
    <row r="74" ht="15" customHeight="1">
      <c r="A74" s="17" t="inlineStr">
        <is>
          <t>Rango</t>
        </is>
      </c>
      <c r="B74" s="18" t="n">
        <v>2921.7</v>
      </c>
      <c r="C74" s="18" t="n">
        <v>183.2</v>
      </c>
      <c r="D74" s="18" t="n">
        <v>23850.07</v>
      </c>
      <c r="E74" s="18" t="n">
        <v>7.92</v>
      </c>
      <c r="F74" s="18" t="n">
        <v>49.43</v>
      </c>
      <c r="G74" s="18" t="n">
        <v>409.42</v>
      </c>
      <c r="H74" s="18" t="n">
        <v>436.65</v>
      </c>
    </row>
    <row r="75" ht="15" customHeight="1">
      <c r="A75" s="19" t="inlineStr">
        <is>
          <t>Q1</t>
        </is>
      </c>
      <c r="B75" s="20" t="n">
        <v>28.55</v>
      </c>
      <c r="C75" s="20" t="n">
        <v>20.83</v>
      </c>
      <c r="D75" s="20" t="n">
        <v>21.4</v>
      </c>
      <c r="E75" s="20" t="n">
        <v>22.98</v>
      </c>
      <c r="F75" s="20" t="n">
        <v>17.5</v>
      </c>
      <c r="G75" s="20" t="n">
        <v>19.1</v>
      </c>
      <c r="H75" s="20" t="n">
        <v>24.8</v>
      </c>
    </row>
    <row r="76" ht="15" customHeight="1">
      <c r="A76" s="17" t="inlineStr">
        <is>
          <t>Q3</t>
        </is>
      </c>
      <c r="B76" s="18" t="n">
        <v>43.89</v>
      </c>
      <c r="C76" s="18" t="n">
        <v>33.5</v>
      </c>
      <c r="D76" s="18" t="n">
        <v>41.25</v>
      </c>
      <c r="E76" s="18" t="n">
        <v>23.66</v>
      </c>
      <c r="F76" s="18" t="n">
        <v>34.95</v>
      </c>
      <c r="G76" s="18" t="n">
        <v>34.75</v>
      </c>
      <c r="H76" s="18" t="n">
        <v>45</v>
      </c>
    </row>
    <row r="77" ht="15" customHeight="1">
      <c r="A77" s="19" t="inlineStr">
        <is>
          <t>RI (Q3 - Q1)</t>
        </is>
      </c>
      <c r="B77" s="20" t="n">
        <v>15.33</v>
      </c>
      <c r="C77" s="20" t="n">
        <v>12.67</v>
      </c>
      <c r="D77" s="20" t="n">
        <v>19.85</v>
      </c>
      <c r="E77" s="20" t="n">
        <v>0.68</v>
      </c>
      <c r="F77" s="20" t="n">
        <v>17.45</v>
      </c>
      <c r="G77" s="20" t="n">
        <v>15.65</v>
      </c>
      <c r="H77" s="20" t="n">
        <v>20.2</v>
      </c>
    </row>
    <row r="78" ht="15" customHeight="1">
      <c r="A78" s="17" t="inlineStr">
        <is>
          <t>Limite Inf. Outliers</t>
        </is>
      </c>
      <c r="B78" s="18" t="n">
        <v>5.56</v>
      </c>
      <c r="C78" s="18" t="n">
        <v>1.82</v>
      </c>
      <c r="D78" s="18" t="n">
        <v>-8.380000000000001</v>
      </c>
      <c r="E78" s="18" t="n">
        <v>21.96</v>
      </c>
      <c r="F78" s="18" t="n">
        <v>-8.67</v>
      </c>
      <c r="G78" s="18" t="n">
        <v>-4.37</v>
      </c>
      <c r="H78" s="18" t="n">
        <v>-5.5</v>
      </c>
    </row>
    <row r="79" ht="15" customHeight="1">
      <c r="A79" s="19" t="inlineStr">
        <is>
          <t>Limite Sup. Outliers</t>
        </is>
      </c>
      <c r="B79" s="20" t="n">
        <v>66.88</v>
      </c>
      <c r="C79" s="20" t="n">
        <v>52.5</v>
      </c>
      <c r="D79" s="20" t="n">
        <v>71.03</v>
      </c>
      <c r="E79" s="20" t="n">
        <v>24.68</v>
      </c>
      <c r="F79" s="20" t="n">
        <v>61.12</v>
      </c>
      <c r="G79" s="20" t="n">
        <v>58.23</v>
      </c>
      <c r="H79" s="20" t="n">
        <v>75.3</v>
      </c>
    </row>
    <row r="80" ht="15" customHeight="1">
      <c r="A80" s="17" t="inlineStr">
        <is>
          <t>N Outliers Inferiores</t>
        </is>
      </c>
      <c r="B80" s="18" t="n">
        <v>0</v>
      </c>
      <c r="C80" s="18" t="n">
        <v>0</v>
      </c>
      <c r="D80" s="18" t="n">
        <v>0</v>
      </c>
      <c r="E80" s="18" t="n">
        <v>1</v>
      </c>
      <c r="F80" s="18" t="n">
        <v>0</v>
      </c>
      <c r="G80" s="18" t="n">
        <v>0</v>
      </c>
      <c r="H80" s="18" t="n">
        <v>0</v>
      </c>
    </row>
    <row r="81" ht="15" customHeight="1">
      <c r="A81" s="19" t="inlineStr">
        <is>
          <t>N Outliers Superiores</t>
        </is>
      </c>
      <c r="B81" s="20" t="n">
        <v>12</v>
      </c>
      <c r="C81" s="20" t="n">
        <v>3</v>
      </c>
      <c r="D81" s="20" t="n">
        <v>160</v>
      </c>
      <c r="E81" s="20" t="n">
        <v>1</v>
      </c>
      <c r="F81" s="20" t="n">
        <v>1</v>
      </c>
      <c r="G81" s="20" t="n">
        <v>12</v>
      </c>
      <c r="H81" s="20" t="n">
        <v>15</v>
      </c>
    </row>
    <row r="83" ht="20" customHeight="1">
      <c r="A83" s="24" t="inlineStr">
        <is>
          <t>5. H3: precio_ars por fuente  (Jumbo vs Farmacity vs Disco)</t>
        </is>
      </c>
    </row>
    <row r="84" ht="17" customHeight="1">
      <c r="A84" s="16" t="inlineStr">
        <is>
          <t>Metrica</t>
        </is>
      </c>
      <c r="B84" s="16" t="inlineStr">
        <is>
          <t>Jumbo</t>
        </is>
      </c>
      <c r="C84" s="16" t="inlineStr">
        <is>
          <t>Farmacity</t>
        </is>
      </c>
      <c r="D84" s="16" t="inlineStr">
        <is>
          <t>Disco</t>
        </is>
      </c>
    </row>
    <row r="85" ht="15" customHeight="1">
      <c r="A85" s="17" t="inlineStr">
        <is>
          <t>n</t>
        </is>
      </c>
      <c r="B85" s="18" t="n">
        <v>386</v>
      </c>
      <c r="C85" s="18" t="n">
        <v>876</v>
      </c>
      <c r="D85" s="18" t="n">
        <v>300</v>
      </c>
    </row>
    <row r="86" ht="15" customHeight="1">
      <c r="A86" s="19" t="inlineStr">
        <is>
          <t>Media</t>
        </is>
      </c>
      <c r="B86" s="20" t="n">
        <v>10320.19</v>
      </c>
      <c r="C86" s="20" t="n">
        <v>16581.69</v>
      </c>
      <c r="D86" s="20" t="n">
        <v>11052.09</v>
      </c>
    </row>
    <row r="87" ht="15" customHeight="1">
      <c r="A87" s="17" t="inlineStr">
        <is>
          <t>Mediana</t>
        </is>
      </c>
      <c r="B87" s="18" t="n">
        <v>9527.5</v>
      </c>
      <c r="C87" s="18" t="n">
        <v>10040</v>
      </c>
      <c r="D87" s="18" t="n">
        <v>10375</v>
      </c>
    </row>
    <row r="88" ht="15" customHeight="1">
      <c r="A88" s="19" t="inlineStr">
        <is>
          <t>Desvio Estandar</t>
        </is>
      </c>
      <c r="B88" s="20" t="n">
        <v>4442.34</v>
      </c>
      <c r="C88" s="20" t="n">
        <v>19185.3</v>
      </c>
      <c r="D88" s="20" t="n">
        <v>4569.8</v>
      </c>
    </row>
    <row r="89" ht="15" customHeight="1">
      <c r="A89" s="17" t="inlineStr">
        <is>
          <t>Minimo</t>
        </is>
      </c>
      <c r="B89" s="18" t="n">
        <v>2350</v>
      </c>
      <c r="C89" s="18" t="n">
        <v>900</v>
      </c>
      <c r="D89" s="18" t="n">
        <v>3850</v>
      </c>
    </row>
    <row r="90" ht="15" customHeight="1">
      <c r="A90" s="19" t="inlineStr">
        <is>
          <t>Maximo</t>
        </is>
      </c>
      <c r="B90" s="20" t="n">
        <v>22350</v>
      </c>
      <c r="C90" s="20" t="n">
        <v>195532</v>
      </c>
      <c r="D90" s="20" t="n">
        <v>22750</v>
      </c>
    </row>
    <row r="91" ht="15" customHeight="1">
      <c r="A91" s="17" t="inlineStr">
        <is>
          <t>Rango</t>
        </is>
      </c>
      <c r="B91" s="18" t="n">
        <v>20000</v>
      </c>
      <c r="C91" s="18" t="n">
        <v>194632</v>
      </c>
      <c r="D91" s="18" t="n">
        <v>18900</v>
      </c>
    </row>
    <row r="92" ht="15" customHeight="1">
      <c r="A92" s="19" t="inlineStr">
        <is>
          <t>Q1</t>
        </is>
      </c>
      <c r="B92" s="20" t="n">
        <v>6750</v>
      </c>
      <c r="C92" s="20" t="n">
        <v>6137</v>
      </c>
      <c r="D92" s="20" t="n">
        <v>7650</v>
      </c>
    </row>
    <row r="93" ht="15" customHeight="1">
      <c r="A93" s="17" t="inlineStr">
        <is>
          <t>Q3</t>
        </is>
      </c>
      <c r="B93" s="18" t="n">
        <v>12200</v>
      </c>
      <c r="C93" s="18" t="n">
        <v>18686.75</v>
      </c>
      <c r="D93" s="18" t="n">
        <v>13100</v>
      </c>
    </row>
    <row r="94" ht="15" customHeight="1">
      <c r="A94" s="19" t="inlineStr">
        <is>
          <t>RI (Q3 - Q1)</t>
        </is>
      </c>
      <c r="B94" s="20" t="n">
        <v>5450</v>
      </c>
      <c r="C94" s="20" t="n">
        <v>12549.75</v>
      </c>
      <c r="D94" s="20" t="n">
        <v>5450</v>
      </c>
    </row>
    <row r="95" ht="15" customHeight="1">
      <c r="A95" s="17" t="inlineStr">
        <is>
          <t>Limite Inf. Outliers</t>
        </is>
      </c>
      <c r="B95" s="18" t="n">
        <v>-1425</v>
      </c>
      <c r="C95" s="18" t="n">
        <v>-12687.62</v>
      </c>
      <c r="D95" s="18" t="n">
        <v>-525</v>
      </c>
    </row>
    <row r="96" ht="15" customHeight="1">
      <c r="A96" s="19" t="inlineStr">
        <is>
          <t>Limite Sup. Outliers</t>
        </is>
      </c>
      <c r="B96" s="20" t="n">
        <v>20375</v>
      </c>
      <c r="C96" s="20" t="n">
        <v>37511.38</v>
      </c>
      <c r="D96" s="20" t="n">
        <v>21275</v>
      </c>
    </row>
    <row r="97" ht="15" customHeight="1">
      <c r="A97" s="17" t="inlineStr">
        <is>
          <t>N Outliers Inferiores</t>
        </is>
      </c>
      <c r="B97" s="18" t="n">
        <v>0</v>
      </c>
      <c r="C97" s="18" t="n">
        <v>0</v>
      </c>
      <c r="D97" s="18" t="n">
        <v>0</v>
      </c>
    </row>
    <row r="98" ht="15" customHeight="1">
      <c r="A98" s="19" t="inlineStr">
        <is>
          <t>N Outliers Superiores</t>
        </is>
      </c>
      <c r="B98" s="20" t="n">
        <v>11</v>
      </c>
      <c r="C98" s="20" t="n">
        <v>78</v>
      </c>
      <c r="D98" s="20" t="n">
        <v>6</v>
      </c>
    </row>
  </sheetData>
  <mergeCells count="8">
    <mergeCell ref="A26:B26"/>
    <mergeCell ref="A24:B24"/>
    <mergeCell ref="A1:G1"/>
    <mergeCell ref="A49:C49"/>
    <mergeCell ref="A83:D83"/>
    <mergeCell ref="A47:B47"/>
    <mergeCell ref="A66:H66"/>
    <mergeCell ref="A3:B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n</t>
        </is>
      </c>
    </row>
    <row r="2">
      <c r="A2" t="inlineStr">
        <is>
          <t>Farmacity</t>
        </is>
      </c>
      <c r="B2" t="n">
        <v>876</v>
      </c>
    </row>
    <row r="3">
      <c r="A3" t="inlineStr">
        <is>
          <t>Jumbo</t>
        </is>
      </c>
      <c r="B3" t="n">
        <v>386</v>
      </c>
    </row>
    <row r="4">
      <c r="A4" t="inlineStr">
        <is>
          <t>Disco</t>
        </is>
      </c>
      <c r="B4" t="n">
        <v>300</v>
      </c>
    </row>
    <row r="6">
      <c r="A6" t="inlineStr">
        <is>
          <t>fuente</t>
        </is>
      </c>
      <c r="B6" t="inlineStr">
        <is>
          <t>Media</t>
        </is>
      </c>
      <c r="C6" t="inlineStr">
        <is>
          <t>Mediana</t>
        </is>
      </c>
    </row>
    <row r="7">
      <c r="A7" t="inlineStr">
        <is>
          <t>Jumbo</t>
        </is>
      </c>
      <c r="B7" t="n">
        <v>10320</v>
      </c>
      <c r="C7" t="n">
        <v>9528</v>
      </c>
    </row>
    <row r="8">
      <c r="A8" t="inlineStr">
        <is>
          <t>Farmacity</t>
        </is>
      </c>
      <c r="B8" t="n">
        <v>16582</v>
      </c>
      <c r="C8" t="n">
        <v>10040</v>
      </c>
    </row>
    <row r="9">
      <c r="A9" t="inlineStr">
        <is>
          <t>Disco</t>
        </is>
      </c>
      <c r="B9" t="n">
        <v>11052</v>
      </c>
      <c r="C9" t="n">
        <v>10375</v>
      </c>
    </row>
    <row r="11">
      <c r="A11" t="inlineStr">
        <is>
          <t>linea</t>
        </is>
      </c>
      <c r="B11" t="inlineStr">
        <is>
          <t>Media</t>
        </is>
      </c>
      <c r="C11" t="inlineStr">
        <is>
          <t>Mediana</t>
        </is>
      </c>
    </row>
    <row r="12">
      <c r="A12" t="inlineStr">
        <is>
          <t>Profesional</t>
        </is>
      </c>
      <c r="B12" t="n">
        <v>43.4</v>
      </c>
      <c r="C12" t="n">
        <v>28.69</v>
      </c>
    </row>
    <row r="13">
      <c r="A13" t="inlineStr">
        <is>
          <t>Estandar</t>
        </is>
      </c>
      <c r="B13" t="n">
        <v>84.88</v>
      </c>
      <c r="C13" t="n">
        <v>28.31</v>
      </c>
    </row>
    <row r="15">
      <c r="A15" t="inlineStr">
        <is>
          <t>tipo_cabello</t>
        </is>
      </c>
      <c r="B15" t="inlineStr">
        <is>
          <t>Media precio/ml</t>
        </is>
      </c>
    </row>
    <row r="16">
      <c r="A16" t="inlineStr">
        <is>
          <t>Anticaspa</t>
        </is>
      </c>
      <c r="B16" t="n">
        <v>116.33</v>
      </c>
    </row>
    <row r="17">
      <c r="A17" t="inlineStr">
        <is>
          <t>General</t>
        </is>
      </c>
      <c r="B17" t="n">
        <v>78.08</v>
      </c>
    </row>
    <row r="18">
      <c r="A18" t="inlineStr">
        <is>
          <t>Tratado</t>
        </is>
      </c>
      <c r="B18" t="n">
        <v>66.43000000000001</v>
      </c>
    </row>
    <row r="19">
      <c r="A19" t="inlineStr">
        <is>
          <t>Seco danado</t>
        </is>
      </c>
      <c r="B19" t="n">
        <v>49.51</v>
      </c>
    </row>
    <row r="20">
      <c r="A20" t="inlineStr">
        <is>
          <t>Bebe</t>
        </is>
      </c>
      <c r="B20" t="n">
        <v>32.39</v>
      </c>
    </row>
    <row r="21">
      <c r="A21" t="inlineStr">
        <is>
          <t>Rizado</t>
        </is>
      </c>
      <c r="B21" t="n">
        <v>27.33</v>
      </c>
    </row>
    <row r="22">
      <c r="A22" t="inlineStr">
        <is>
          <t>Graso</t>
        </is>
      </c>
      <c r="B22" t="n">
        <v>22.77</v>
      </c>
    </row>
    <row r="24">
      <c r="A24" t="inlineStr">
        <is>
          <t>rango</t>
        </is>
      </c>
      <c r="B24" t="inlineStr">
        <is>
          <t>frecuencia</t>
        </is>
      </c>
    </row>
    <row r="25">
      <c r="A25" t="inlineStr">
        <is>
          <t>$0k-$2k</t>
        </is>
      </c>
      <c r="B25" t="n">
        <v>27</v>
      </c>
    </row>
    <row r="26">
      <c r="A26" t="inlineStr">
        <is>
          <t>$2k-$4k</t>
        </is>
      </c>
      <c r="B26" t="n">
        <v>110</v>
      </c>
    </row>
    <row r="27">
      <c r="A27" t="inlineStr">
        <is>
          <t>$5k-$7k</t>
        </is>
      </c>
      <c r="B27" t="n">
        <v>371</v>
      </c>
    </row>
    <row r="28">
      <c r="A28" t="inlineStr">
        <is>
          <t>$7k-$9k</t>
        </is>
      </c>
      <c r="B28" t="n">
        <v>285</v>
      </c>
    </row>
    <row r="29">
      <c r="A29" t="inlineStr">
        <is>
          <t>$10k-$12k</t>
        </is>
      </c>
      <c r="B29" t="n">
        <v>238</v>
      </c>
    </row>
    <row r="30">
      <c r="A30" t="inlineStr">
        <is>
          <t>$12k-$14k</t>
        </is>
      </c>
      <c r="B30" t="n">
        <v>111</v>
      </c>
    </row>
    <row r="31">
      <c r="A31" t="inlineStr">
        <is>
          <t>$15k-$17k</t>
        </is>
      </c>
      <c r="B31" t="n">
        <v>92</v>
      </c>
    </row>
    <row r="32">
      <c r="A32" t="inlineStr">
        <is>
          <t>$17k-$19k</t>
        </is>
      </c>
      <c r="B32" t="n">
        <v>110</v>
      </c>
    </row>
    <row r="33">
      <c r="A33" t="inlineStr">
        <is>
          <t>$20k-$22k</t>
        </is>
      </c>
      <c r="B33" t="n">
        <v>48</v>
      </c>
    </row>
    <row r="34">
      <c r="A34" t="inlineStr">
        <is>
          <t>$22k-$24k</t>
        </is>
      </c>
      <c r="B34" t="n">
        <v>16</v>
      </c>
    </row>
    <row r="35">
      <c r="A35" t="inlineStr">
        <is>
          <t>$25k-$27k</t>
        </is>
      </c>
      <c r="B35" t="n">
        <v>29</v>
      </c>
    </row>
    <row r="36">
      <c r="A36" t="inlineStr">
        <is>
          <t>$27k-$29k</t>
        </is>
      </c>
      <c r="B36" t="n">
        <v>18</v>
      </c>
    </row>
    <row r="37">
      <c r="A37" t="inlineStr">
        <is>
          <t>$30k-$32k</t>
        </is>
      </c>
      <c r="B37" t="n">
        <v>11</v>
      </c>
    </row>
    <row r="38">
      <c r="A38" t="inlineStr">
        <is>
          <t>$32k-$34k</t>
        </is>
      </c>
      <c r="B38" t="n">
        <v>12</v>
      </c>
    </row>
    <row r="39">
      <c r="A39" t="inlineStr">
        <is>
          <t>$35k-$37k</t>
        </is>
      </c>
      <c r="B39" t="n">
        <v>6</v>
      </c>
    </row>
    <row r="40">
      <c r="A40" t="inlineStr">
        <is>
          <t>$37k-$39k</t>
        </is>
      </c>
      <c r="B40" t="n">
        <v>7</v>
      </c>
    </row>
    <row r="41">
      <c r="A41" t="inlineStr">
        <is>
          <t>$40k-$42k</t>
        </is>
      </c>
      <c r="B41" t="n">
        <v>9</v>
      </c>
    </row>
    <row r="42">
      <c r="A42" t="inlineStr">
        <is>
          <t>$42k-$44k</t>
        </is>
      </c>
      <c r="B42" t="n">
        <v>6</v>
      </c>
    </row>
    <row r="43">
      <c r="A43" t="inlineStr">
        <is>
          <t>$45k-$47k</t>
        </is>
      </c>
      <c r="B43" t="n">
        <v>1</v>
      </c>
    </row>
    <row r="44">
      <c r="A44" t="inlineStr">
        <is>
          <t>$47k-$49k</t>
        </is>
      </c>
      <c r="B44" t="n">
        <v>2</v>
      </c>
    </row>
    <row r="45">
      <c r="A45" t="inlineStr">
        <is>
          <t>$50k-$195k</t>
        </is>
      </c>
      <c r="B45" t="n">
        <v>53</v>
      </c>
    </row>
    <row r="47">
      <c r="A47" t="inlineStr">
        <is>
          <t>marca</t>
        </is>
      </c>
      <c r="B47" t="inlineStr">
        <is>
          <t>n</t>
        </is>
      </c>
    </row>
    <row r="48">
      <c r="A48" t="inlineStr">
        <is>
          <t>Elvive</t>
        </is>
      </c>
      <c r="B48" t="n">
        <v>257</v>
      </c>
    </row>
    <row r="49">
      <c r="A49" t="inlineStr">
        <is>
          <t>Pantene</t>
        </is>
      </c>
      <c r="B49" t="n">
        <v>176</v>
      </c>
    </row>
    <row r="50">
      <c r="A50" t="inlineStr">
        <is>
          <t>Sedal</t>
        </is>
      </c>
      <c r="B50" t="n">
        <v>121</v>
      </c>
    </row>
    <row r="51">
      <c r="A51" t="inlineStr">
        <is>
          <t>Dove</t>
        </is>
      </c>
      <c r="B51" t="n">
        <v>119</v>
      </c>
    </row>
    <row r="52">
      <c r="A52" t="inlineStr">
        <is>
          <t>Fructis</t>
        </is>
      </c>
      <c r="B52" t="n">
        <v>117</v>
      </c>
    </row>
    <row r="53">
      <c r="A53" t="inlineStr">
        <is>
          <t>Tresemmé</t>
        </is>
      </c>
      <c r="B53" t="n">
        <v>82</v>
      </c>
    </row>
    <row r="54">
      <c r="A54" t="inlineStr">
        <is>
          <t>Capilatis</t>
        </is>
      </c>
      <c r="B54" t="n">
        <v>80</v>
      </c>
    </row>
    <row r="55">
      <c r="A55" t="inlineStr">
        <is>
          <t>Head &amp; Shoulders</t>
        </is>
      </c>
      <c r="B55" t="n">
        <v>62</v>
      </c>
    </row>
    <row r="56">
      <c r="A56" t="inlineStr">
        <is>
          <t>Johnson's</t>
        </is>
      </c>
      <c r="B56" t="n">
        <v>55</v>
      </c>
    </row>
    <row r="57">
      <c r="A57" t="inlineStr">
        <is>
          <t>Biferdil</t>
        </is>
      </c>
      <c r="B57" t="n">
        <v>53</v>
      </c>
    </row>
    <row r="59">
      <c r="A59" t="inlineStr">
        <is>
          <t>fuente</t>
        </is>
      </c>
      <c r="B59" t="inlineStr">
        <is>
          <t>Acondicionador</t>
        </is>
      </c>
      <c r="C59" t="inlineStr">
        <is>
          <t>Shampoo</t>
        </is>
      </c>
      <c r="D59" t="inlineStr">
        <is>
          <t>Tratamiento</t>
        </is>
      </c>
    </row>
    <row r="60">
      <c r="A60" t="inlineStr">
        <is>
          <t>Jumbo</t>
        </is>
      </c>
      <c r="B60" t="n">
        <v>143</v>
      </c>
      <c r="C60" t="n">
        <v>219</v>
      </c>
      <c r="D60" t="n">
        <v>24</v>
      </c>
    </row>
    <row r="61">
      <c r="A61" t="inlineStr">
        <is>
          <t>Farmacity</t>
        </is>
      </c>
      <c r="B61" t="n">
        <v>244</v>
      </c>
      <c r="C61" t="n">
        <v>489</v>
      </c>
      <c r="D61" t="n">
        <v>143</v>
      </c>
    </row>
    <row r="62">
      <c r="A62" t="inlineStr">
        <is>
          <t>Disco</t>
        </is>
      </c>
      <c r="B62" t="n">
        <v>106</v>
      </c>
      <c r="C62" t="n">
        <v>180</v>
      </c>
      <c r="D62" t="n">
        <v>14</v>
      </c>
    </row>
    <row r="64">
      <c r="A64" t="inlineStr">
        <is>
          <t>volumen_ml</t>
        </is>
      </c>
      <c r="B64" t="inlineStr">
        <is>
          <t>precio_ars</t>
        </is>
      </c>
    </row>
    <row r="65">
      <c r="A65" t="n">
        <v>200</v>
      </c>
      <c r="B65" t="n">
        <v>5900</v>
      </c>
    </row>
    <row r="66">
      <c r="A66" t="n">
        <v>700</v>
      </c>
      <c r="B66" t="n">
        <v>17250</v>
      </c>
    </row>
    <row r="67">
      <c r="A67" t="n">
        <v>400</v>
      </c>
      <c r="B67" t="n">
        <v>11123</v>
      </c>
    </row>
    <row r="68">
      <c r="A68" t="n">
        <v>650</v>
      </c>
      <c r="B68" t="n">
        <v>16700</v>
      </c>
    </row>
    <row r="69">
      <c r="A69" t="n">
        <v>350</v>
      </c>
      <c r="B69" t="n">
        <v>8600</v>
      </c>
    </row>
    <row r="70">
      <c r="A70" t="n">
        <v>650</v>
      </c>
      <c r="B70" t="n">
        <v>16700</v>
      </c>
    </row>
    <row r="71">
      <c r="A71" t="n">
        <v>400</v>
      </c>
      <c r="B71" t="n">
        <v>9150</v>
      </c>
    </row>
    <row r="72">
      <c r="A72" t="n">
        <v>200</v>
      </c>
      <c r="B72" t="n">
        <v>5900</v>
      </c>
    </row>
    <row r="73">
      <c r="A73" t="n">
        <v>420</v>
      </c>
      <c r="B73" t="n">
        <v>9650</v>
      </c>
    </row>
    <row r="74">
      <c r="A74" t="n">
        <v>400</v>
      </c>
      <c r="B74" t="n">
        <v>16900</v>
      </c>
    </row>
    <row r="75">
      <c r="A75" t="n">
        <v>350</v>
      </c>
      <c r="B75" t="n">
        <v>8600</v>
      </c>
    </row>
    <row r="76">
      <c r="A76" t="n">
        <v>650</v>
      </c>
      <c r="B76" t="n">
        <v>16700</v>
      </c>
    </row>
    <row r="77">
      <c r="A77" t="n">
        <v>400</v>
      </c>
      <c r="B77" t="n">
        <v>16550</v>
      </c>
    </row>
    <row r="78">
      <c r="A78" t="n">
        <v>340</v>
      </c>
      <c r="B78" t="n">
        <v>5600</v>
      </c>
    </row>
    <row r="79">
      <c r="A79" t="n">
        <v>420</v>
      </c>
      <c r="B79" t="n">
        <v>9650</v>
      </c>
    </row>
    <row r="80">
      <c r="A80" t="n">
        <v>400</v>
      </c>
      <c r="B80" t="n">
        <v>16550</v>
      </c>
    </row>
    <row r="81">
      <c r="A81" t="n">
        <v>190</v>
      </c>
      <c r="B81" t="n">
        <v>3900</v>
      </c>
    </row>
    <row r="82">
      <c r="A82" t="n">
        <v>400</v>
      </c>
      <c r="B82" t="n">
        <v>16550</v>
      </c>
    </row>
    <row r="83">
      <c r="A83" t="n">
        <v>650</v>
      </c>
      <c r="B83" t="n">
        <v>16700</v>
      </c>
    </row>
    <row r="84">
      <c r="A84" t="n">
        <v>400</v>
      </c>
      <c r="B84" t="n">
        <v>9150</v>
      </c>
    </row>
    <row r="85">
      <c r="A85" t="n">
        <v>400</v>
      </c>
      <c r="B85" t="n">
        <v>9150</v>
      </c>
    </row>
    <row r="86">
      <c r="A86" t="n">
        <v>400</v>
      </c>
      <c r="B86" t="n">
        <v>9150</v>
      </c>
    </row>
    <row r="87">
      <c r="A87" t="n">
        <v>400</v>
      </c>
      <c r="B87" t="n">
        <v>9695</v>
      </c>
    </row>
    <row r="88">
      <c r="A88" t="n">
        <v>500</v>
      </c>
      <c r="B88" t="n">
        <v>10400</v>
      </c>
    </row>
    <row r="89">
      <c r="A89" t="n">
        <v>340</v>
      </c>
      <c r="B89" t="n">
        <v>5440</v>
      </c>
    </row>
    <row r="90">
      <c r="A90" t="n">
        <v>970</v>
      </c>
      <c r="B90" t="n">
        <v>6350</v>
      </c>
    </row>
    <row r="91">
      <c r="A91" t="n">
        <v>350</v>
      </c>
      <c r="B91" t="n">
        <v>9800</v>
      </c>
    </row>
    <row r="92">
      <c r="A92" t="n">
        <v>650</v>
      </c>
      <c r="B92" t="n">
        <v>9400</v>
      </c>
    </row>
    <row r="93">
      <c r="A93" t="n">
        <v>750</v>
      </c>
      <c r="B93" t="n">
        <v>20700</v>
      </c>
    </row>
    <row r="94">
      <c r="A94" t="n">
        <v>190</v>
      </c>
      <c r="B94" t="n">
        <v>3900</v>
      </c>
    </row>
    <row r="95">
      <c r="A95" t="n">
        <v>190</v>
      </c>
      <c r="B95" t="n">
        <v>3900</v>
      </c>
    </row>
    <row r="96">
      <c r="A96" t="n">
        <v>750</v>
      </c>
      <c r="B96" t="n">
        <v>19400</v>
      </c>
    </row>
    <row r="97">
      <c r="A97" t="n">
        <v>200</v>
      </c>
      <c r="B97" t="n">
        <v>7550</v>
      </c>
    </row>
    <row r="98">
      <c r="A98" t="n">
        <v>340</v>
      </c>
      <c r="B98" t="n">
        <v>5448</v>
      </c>
    </row>
    <row r="99">
      <c r="A99" t="n">
        <v>340</v>
      </c>
      <c r="B99" t="n">
        <v>5448</v>
      </c>
    </row>
    <row r="100">
      <c r="A100" t="n">
        <v>500</v>
      </c>
      <c r="B100" t="n">
        <v>10400</v>
      </c>
    </row>
    <row r="101">
      <c r="A101" t="n">
        <v>650</v>
      </c>
      <c r="B101" t="n">
        <v>9000</v>
      </c>
    </row>
    <row r="102">
      <c r="A102" t="n">
        <v>650</v>
      </c>
      <c r="B102" t="n">
        <v>9400</v>
      </c>
    </row>
    <row r="103">
      <c r="A103" t="n">
        <v>340</v>
      </c>
      <c r="B103" t="n">
        <v>5800</v>
      </c>
    </row>
    <row r="104">
      <c r="A104" t="n">
        <v>970</v>
      </c>
      <c r="B104" t="n">
        <v>6350</v>
      </c>
    </row>
    <row r="105">
      <c r="A105" t="n">
        <v>250</v>
      </c>
      <c r="B105" t="n">
        <v>6300</v>
      </c>
    </row>
    <row r="106">
      <c r="A106" t="n">
        <v>200</v>
      </c>
      <c r="B106" t="n">
        <v>5900</v>
      </c>
    </row>
    <row r="107">
      <c r="A107" t="n">
        <v>250</v>
      </c>
      <c r="B107" t="n">
        <v>6300</v>
      </c>
    </row>
    <row r="108">
      <c r="A108" t="n">
        <v>500</v>
      </c>
      <c r="B108" t="n">
        <v>10400</v>
      </c>
    </row>
    <row r="109">
      <c r="A109" t="n">
        <v>650</v>
      </c>
      <c r="B109" t="n">
        <v>9400</v>
      </c>
    </row>
    <row r="110">
      <c r="A110" t="n">
        <v>700</v>
      </c>
      <c r="B110" t="n">
        <v>17600</v>
      </c>
    </row>
    <row r="111">
      <c r="A111" t="n">
        <v>400</v>
      </c>
      <c r="B111" t="n">
        <v>10750</v>
      </c>
    </row>
    <row r="112">
      <c r="A112" t="n">
        <v>340</v>
      </c>
      <c r="B112" t="n">
        <v>5800</v>
      </c>
    </row>
    <row r="113">
      <c r="A113" t="n">
        <v>880</v>
      </c>
      <c r="B113" t="n">
        <v>16550</v>
      </c>
    </row>
    <row r="114">
      <c r="A114" t="n">
        <v>340</v>
      </c>
      <c r="B114" t="n">
        <v>5800</v>
      </c>
    </row>
    <row r="115">
      <c r="A115" t="n">
        <v>200</v>
      </c>
      <c r="B115" t="n">
        <v>7400</v>
      </c>
    </row>
    <row r="116">
      <c r="A116" t="n">
        <v>200</v>
      </c>
      <c r="B116" t="n">
        <v>6000</v>
      </c>
    </row>
    <row r="117">
      <c r="A117" t="n">
        <v>750</v>
      </c>
      <c r="B117" t="n">
        <v>16450</v>
      </c>
    </row>
    <row r="118">
      <c r="A118" t="n">
        <v>400</v>
      </c>
      <c r="B118" t="n">
        <v>11123</v>
      </c>
    </row>
    <row r="119">
      <c r="A119" t="n">
        <v>190</v>
      </c>
      <c r="B119" t="n">
        <v>3900</v>
      </c>
    </row>
    <row r="120">
      <c r="A120" t="n">
        <v>400</v>
      </c>
      <c r="B120" t="n">
        <v>9695</v>
      </c>
    </row>
    <row r="121">
      <c r="A121" t="n">
        <v>400</v>
      </c>
      <c r="B121" t="n">
        <v>10400</v>
      </c>
    </row>
    <row r="122">
      <c r="A122" t="n">
        <v>375</v>
      </c>
      <c r="B122" t="n">
        <v>12900</v>
      </c>
    </row>
    <row r="123">
      <c r="A123" t="n">
        <v>650</v>
      </c>
      <c r="B123" t="n">
        <v>19950</v>
      </c>
    </row>
    <row r="124">
      <c r="A124" t="n">
        <v>650</v>
      </c>
      <c r="B124" t="n">
        <v>19400</v>
      </c>
    </row>
    <row r="125">
      <c r="A125" t="n">
        <v>350</v>
      </c>
      <c r="B125" t="n">
        <v>8600</v>
      </c>
    </row>
    <row r="126">
      <c r="A126" t="n">
        <v>375</v>
      </c>
      <c r="B126" t="n">
        <v>12900</v>
      </c>
    </row>
    <row r="127">
      <c r="A127" t="n">
        <v>700</v>
      </c>
      <c r="B127" t="n">
        <v>7350</v>
      </c>
    </row>
    <row r="128">
      <c r="A128" t="n">
        <v>190</v>
      </c>
      <c r="B128" t="n">
        <v>3850</v>
      </c>
    </row>
    <row r="129">
      <c r="A129" t="n">
        <v>180</v>
      </c>
      <c r="B129" t="n">
        <v>7800</v>
      </c>
    </row>
    <row r="130">
      <c r="A130" t="n">
        <v>500</v>
      </c>
      <c r="B130" t="n">
        <v>10400</v>
      </c>
    </row>
    <row r="131">
      <c r="A131" t="n">
        <v>1000</v>
      </c>
      <c r="B131" t="n">
        <v>5750</v>
      </c>
    </row>
    <row r="132">
      <c r="A132" t="n">
        <v>350</v>
      </c>
      <c r="B132" t="n">
        <v>3750</v>
      </c>
    </row>
    <row r="133">
      <c r="A133" t="n">
        <v>180</v>
      </c>
      <c r="B133" t="n">
        <v>7800</v>
      </c>
    </row>
    <row r="134">
      <c r="A134" t="n">
        <v>400</v>
      </c>
      <c r="B134" t="n">
        <v>10650</v>
      </c>
    </row>
    <row r="135">
      <c r="A135" t="n">
        <v>200</v>
      </c>
      <c r="B135" t="n">
        <v>7550</v>
      </c>
    </row>
    <row r="136">
      <c r="A136" t="n">
        <v>400</v>
      </c>
      <c r="B136" t="n">
        <v>12250</v>
      </c>
    </row>
    <row r="137">
      <c r="A137" t="n">
        <v>420</v>
      </c>
      <c r="B137" t="n">
        <v>9650</v>
      </c>
    </row>
    <row r="138">
      <c r="A138" t="n">
        <v>200</v>
      </c>
      <c r="B138" t="n">
        <v>6750</v>
      </c>
    </row>
    <row r="139">
      <c r="A139" t="n">
        <v>650</v>
      </c>
      <c r="B139" t="n">
        <v>9400</v>
      </c>
    </row>
    <row r="140">
      <c r="A140" t="n">
        <v>970</v>
      </c>
      <c r="B140" t="n">
        <v>6450</v>
      </c>
    </row>
    <row r="141">
      <c r="A141" t="n">
        <v>180</v>
      </c>
      <c r="B141" t="n">
        <v>7800</v>
      </c>
    </row>
    <row r="142">
      <c r="A142" t="n">
        <v>200</v>
      </c>
      <c r="B142" t="n">
        <v>5800</v>
      </c>
    </row>
    <row r="143">
      <c r="A143" t="n">
        <v>190</v>
      </c>
      <c r="B143" t="n">
        <v>3850</v>
      </c>
    </row>
    <row r="144">
      <c r="A144" t="n">
        <v>650</v>
      </c>
      <c r="B144" t="n">
        <v>19900</v>
      </c>
    </row>
    <row r="145">
      <c r="A145" t="n">
        <v>400</v>
      </c>
      <c r="B145" t="n">
        <v>9220</v>
      </c>
    </row>
    <row r="146">
      <c r="A146" t="n">
        <v>340</v>
      </c>
      <c r="B146" t="n">
        <v>5451</v>
      </c>
    </row>
    <row r="147">
      <c r="A147" t="n">
        <v>500</v>
      </c>
      <c r="B147" t="n">
        <v>10400</v>
      </c>
    </row>
    <row r="148">
      <c r="A148" t="n">
        <v>650</v>
      </c>
      <c r="B148" t="n">
        <v>19950</v>
      </c>
    </row>
    <row r="149">
      <c r="A149" t="n">
        <v>970</v>
      </c>
      <c r="B149" t="n">
        <v>6012</v>
      </c>
    </row>
    <row r="150">
      <c r="A150" t="n">
        <v>300</v>
      </c>
      <c r="B150" t="n">
        <v>10250</v>
      </c>
    </row>
    <row r="151">
      <c r="A151" t="n">
        <v>200</v>
      </c>
      <c r="B151" t="n">
        <v>6750</v>
      </c>
    </row>
    <row r="152">
      <c r="A152" t="n">
        <v>350</v>
      </c>
      <c r="B152" t="n">
        <v>9800</v>
      </c>
    </row>
    <row r="153">
      <c r="A153" t="n">
        <v>415</v>
      </c>
      <c r="B153" t="n">
        <v>11700</v>
      </c>
    </row>
    <row r="154">
      <c r="A154" t="n">
        <v>650</v>
      </c>
      <c r="B154" t="n">
        <v>19400</v>
      </c>
    </row>
    <row r="155">
      <c r="A155" t="n">
        <v>400</v>
      </c>
      <c r="B155" t="n">
        <v>10500</v>
      </c>
    </row>
    <row r="156">
      <c r="A156" t="n">
        <v>200</v>
      </c>
      <c r="B156" t="n">
        <v>6750</v>
      </c>
    </row>
    <row r="157">
      <c r="A157" t="n">
        <v>250</v>
      </c>
      <c r="B157" t="n">
        <v>6400</v>
      </c>
    </row>
    <row r="158">
      <c r="A158" t="n">
        <v>750</v>
      </c>
      <c r="B158" t="n">
        <v>19400</v>
      </c>
    </row>
    <row r="159">
      <c r="A159" t="n">
        <v>400</v>
      </c>
      <c r="B159" t="n">
        <v>11123</v>
      </c>
    </row>
    <row r="160">
      <c r="A160" t="n">
        <v>510</v>
      </c>
      <c r="B160" t="n">
        <v>16750</v>
      </c>
    </row>
    <row r="161">
      <c r="A161" t="n">
        <v>750</v>
      </c>
      <c r="B161" t="n">
        <v>21350</v>
      </c>
    </row>
    <row r="162">
      <c r="A162" t="n">
        <v>200</v>
      </c>
      <c r="B162" t="n">
        <v>8050</v>
      </c>
    </row>
    <row r="163">
      <c r="A163" t="n">
        <v>300</v>
      </c>
      <c r="B163" t="n">
        <v>10250</v>
      </c>
    </row>
    <row r="164">
      <c r="A164" t="n">
        <v>400</v>
      </c>
      <c r="B164" t="n">
        <v>8100</v>
      </c>
    </row>
    <row r="165">
      <c r="A165" t="n">
        <v>200</v>
      </c>
      <c r="B165" t="n">
        <v>8050</v>
      </c>
    </row>
    <row r="166">
      <c r="A166" t="n">
        <v>350</v>
      </c>
      <c r="B166" t="n">
        <v>9800</v>
      </c>
    </row>
    <row r="167">
      <c r="A167" t="n">
        <v>400</v>
      </c>
      <c r="B167" t="n">
        <v>13350</v>
      </c>
    </row>
    <row r="168">
      <c r="A168" t="n">
        <v>750</v>
      </c>
      <c r="B168" t="n">
        <v>21050</v>
      </c>
    </row>
    <row r="169">
      <c r="A169" t="n">
        <v>400</v>
      </c>
      <c r="B169" t="n">
        <v>13350</v>
      </c>
    </row>
    <row r="170">
      <c r="A170" t="n">
        <v>350</v>
      </c>
      <c r="B170" t="n">
        <v>8400</v>
      </c>
    </row>
    <row r="171">
      <c r="A171" t="n">
        <v>510</v>
      </c>
      <c r="B171" t="n">
        <v>16450</v>
      </c>
    </row>
    <row r="172">
      <c r="A172" t="n">
        <v>750</v>
      </c>
      <c r="B172" t="n">
        <v>19400</v>
      </c>
    </row>
    <row r="173">
      <c r="A173" t="n">
        <v>300</v>
      </c>
      <c r="B173" t="n">
        <v>10250</v>
      </c>
    </row>
    <row r="174">
      <c r="A174" t="n">
        <v>700</v>
      </c>
      <c r="B174" t="n">
        <v>17600</v>
      </c>
    </row>
    <row r="175">
      <c r="A175" t="n">
        <v>700</v>
      </c>
      <c r="B175" t="n">
        <v>5550</v>
      </c>
    </row>
    <row r="176">
      <c r="A176" t="n">
        <v>415</v>
      </c>
      <c r="B176" t="n">
        <v>11700</v>
      </c>
    </row>
    <row r="177">
      <c r="A177" t="n">
        <v>400</v>
      </c>
      <c r="B177" t="n">
        <v>8100</v>
      </c>
    </row>
    <row r="178">
      <c r="A178" t="n">
        <v>415</v>
      </c>
      <c r="B178" t="n">
        <v>11100</v>
      </c>
    </row>
    <row r="179">
      <c r="A179" t="n">
        <v>200</v>
      </c>
      <c r="B179" t="n">
        <v>6750</v>
      </c>
    </row>
    <row r="180">
      <c r="A180" t="n">
        <v>200</v>
      </c>
      <c r="B180" t="n">
        <v>7550</v>
      </c>
    </row>
    <row r="181">
      <c r="A181" t="n">
        <v>750</v>
      </c>
      <c r="B181" t="n">
        <v>19400</v>
      </c>
    </row>
    <row r="182">
      <c r="A182" t="n">
        <v>200</v>
      </c>
      <c r="B182" t="n">
        <v>6750</v>
      </c>
    </row>
    <row r="183">
      <c r="A183" t="n">
        <v>190</v>
      </c>
      <c r="B183" t="n">
        <v>3900</v>
      </c>
    </row>
    <row r="184">
      <c r="A184" t="n">
        <v>400</v>
      </c>
      <c r="B184" t="n">
        <v>11123</v>
      </c>
    </row>
    <row r="185">
      <c r="A185" t="n">
        <v>750</v>
      </c>
      <c r="B185" t="n">
        <v>19400</v>
      </c>
    </row>
    <row r="186">
      <c r="A186" t="n">
        <v>400</v>
      </c>
      <c r="B186" t="n">
        <v>12000</v>
      </c>
    </row>
    <row r="187">
      <c r="A187" t="n">
        <v>400</v>
      </c>
      <c r="B187" t="n">
        <v>11123</v>
      </c>
    </row>
    <row r="188">
      <c r="A188" t="n">
        <v>700</v>
      </c>
      <c r="B188" t="n">
        <v>17600</v>
      </c>
    </row>
    <row r="189">
      <c r="A189" t="n">
        <v>300</v>
      </c>
      <c r="B189" t="n">
        <v>12050</v>
      </c>
    </row>
    <row r="190">
      <c r="A190" t="n">
        <v>200</v>
      </c>
      <c r="B190" t="n">
        <v>8050</v>
      </c>
    </row>
    <row r="191">
      <c r="A191" t="n">
        <v>200</v>
      </c>
      <c r="B191" t="n">
        <v>7200</v>
      </c>
    </row>
    <row r="192">
      <c r="A192" t="n">
        <v>700</v>
      </c>
      <c r="B192" t="n">
        <v>17600</v>
      </c>
    </row>
    <row r="193">
      <c r="A193" t="n">
        <v>200</v>
      </c>
      <c r="B193" t="n">
        <v>6750</v>
      </c>
    </row>
    <row r="194">
      <c r="A194" t="n">
        <v>25</v>
      </c>
      <c r="B194" t="n">
        <v>4950</v>
      </c>
    </row>
    <row r="195">
      <c r="A195" t="n">
        <v>25</v>
      </c>
      <c r="B195" t="n">
        <v>4950</v>
      </c>
    </row>
    <row r="196">
      <c r="A196" t="n">
        <v>340</v>
      </c>
      <c r="B196" t="n">
        <v>5800</v>
      </c>
    </row>
    <row r="197">
      <c r="A197" t="n">
        <v>400</v>
      </c>
      <c r="B197" t="n">
        <v>9505</v>
      </c>
    </row>
    <row r="198">
      <c r="A198" t="n">
        <v>375</v>
      </c>
      <c r="B198" t="n">
        <v>12900</v>
      </c>
    </row>
    <row r="199">
      <c r="A199" t="n">
        <v>700</v>
      </c>
      <c r="B199" t="n">
        <v>5550</v>
      </c>
    </row>
    <row r="200">
      <c r="A200" t="n">
        <v>400</v>
      </c>
      <c r="B200" t="n">
        <v>9505</v>
      </c>
    </row>
    <row r="201">
      <c r="A201" t="n">
        <v>510</v>
      </c>
      <c r="B201" t="n">
        <v>16750</v>
      </c>
    </row>
    <row r="202">
      <c r="A202" t="n">
        <v>350</v>
      </c>
      <c r="B202" t="n">
        <v>8600</v>
      </c>
    </row>
    <row r="203">
      <c r="A203" t="n">
        <v>420</v>
      </c>
      <c r="B203" t="n">
        <v>9650</v>
      </c>
    </row>
    <row r="204">
      <c r="A204" t="n">
        <v>750</v>
      </c>
      <c r="B204" t="n">
        <v>19400</v>
      </c>
    </row>
    <row r="205">
      <c r="A205" t="n">
        <v>750</v>
      </c>
      <c r="B205" t="n">
        <v>19150</v>
      </c>
    </row>
    <row r="206">
      <c r="A206" t="n">
        <v>200</v>
      </c>
      <c r="B206" t="n">
        <v>6550</v>
      </c>
    </row>
    <row r="207">
      <c r="A207" t="n">
        <v>375</v>
      </c>
      <c r="B207" t="n">
        <v>12650</v>
      </c>
    </row>
    <row r="208">
      <c r="A208" t="n">
        <v>180</v>
      </c>
      <c r="B208" t="n">
        <v>7800</v>
      </c>
    </row>
    <row r="209">
      <c r="A209" t="n">
        <v>415</v>
      </c>
      <c r="B209" t="n">
        <v>10800</v>
      </c>
    </row>
    <row r="210">
      <c r="A210" t="n">
        <v>375</v>
      </c>
      <c r="B210" t="n">
        <v>12600</v>
      </c>
    </row>
    <row r="211">
      <c r="A211" t="n">
        <v>650</v>
      </c>
      <c r="B211" t="n">
        <v>19450</v>
      </c>
    </row>
    <row r="212">
      <c r="A212" t="n">
        <v>200</v>
      </c>
      <c r="B212" t="n">
        <v>6700</v>
      </c>
    </row>
    <row r="213">
      <c r="A213" t="n">
        <v>200</v>
      </c>
      <c r="B213" t="n">
        <v>5800</v>
      </c>
    </row>
    <row r="214">
      <c r="A214" t="n">
        <v>350</v>
      </c>
      <c r="B214" t="n">
        <v>8600</v>
      </c>
    </row>
    <row r="215">
      <c r="A215" t="n">
        <v>180</v>
      </c>
      <c r="B215" t="n">
        <v>5350</v>
      </c>
    </row>
    <row r="216">
      <c r="A216" t="n">
        <v>415</v>
      </c>
      <c r="B216" t="n">
        <v>11850</v>
      </c>
    </row>
    <row r="217">
      <c r="A217" t="n">
        <v>200</v>
      </c>
      <c r="B217" t="n">
        <v>7550</v>
      </c>
    </row>
    <row r="218">
      <c r="A218" t="n">
        <v>180</v>
      </c>
      <c r="B218" t="n">
        <v>7650</v>
      </c>
    </row>
    <row r="219">
      <c r="A219" t="n">
        <v>500</v>
      </c>
      <c r="B219" t="n">
        <v>9600</v>
      </c>
    </row>
    <row r="220">
      <c r="A220" t="n">
        <v>400</v>
      </c>
      <c r="B220" t="n">
        <v>10000</v>
      </c>
    </row>
    <row r="221">
      <c r="A221" t="n">
        <v>400</v>
      </c>
      <c r="B221" t="n">
        <v>11400</v>
      </c>
    </row>
    <row r="222">
      <c r="A222" t="n">
        <v>200</v>
      </c>
      <c r="B222" t="n">
        <v>7550</v>
      </c>
    </row>
    <row r="223">
      <c r="A223" t="n">
        <v>650</v>
      </c>
      <c r="B223" t="n">
        <v>19900</v>
      </c>
    </row>
    <row r="224">
      <c r="A224" t="n">
        <v>1000</v>
      </c>
      <c r="B224" t="n">
        <v>5750</v>
      </c>
    </row>
    <row r="225">
      <c r="A225" t="n">
        <v>375</v>
      </c>
      <c r="B225" t="n">
        <v>12900</v>
      </c>
    </row>
    <row r="226">
      <c r="A226" t="n">
        <v>200</v>
      </c>
      <c r="B226" t="n">
        <v>7750</v>
      </c>
    </row>
    <row r="227">
      <c r="A227" t="n">
        <v>650</v>
      </c>
      <c r="B227" t="n">
        <v>19900</v>
      </c>
    </row>
    <row r="228">
      <c r="A228" t="n">
        <v>200</v>
      </c>
      <c r="B228" t="n">
        <v>6700</v>
      </c>
    </row>
    <row r="229">
      <c r="A229" t="n">
        <v>420</v>
      </c>
      <c r="B229" t="n">
        <v>10700</v>
      </c>
    </row>
    <row r="230">
      <c r="A230" t="n">
        <v>200</v>
      </c>
      <c r="B230" t="n">
        <v>7400</v>
      </c>
    </row>
    <row r="231">
      <c r="A231" t="n">
        <v>180</v>
      </c>
      <c r="B231" t="n">
        <v>7550</v>
      </c>
    </row>
    <row r="232">
      <c r="A232" t="n">
        <v>350</v>
      </c>
      <c r="B232" t="n">
        <v>9800</v>
      </c>
    </row>
    <row r="233">
      <c r="A233" t="n">
        <v>25</v>
      </c>
      <c r="B233" t="n">
        <v>4950</v>
      </c>
    </row>
    <row r="234">
      <c r="A234" t="n">
        <v>200</v>
      </c>
      <c r="B234" t="n">
        <v>7550</v>
      </c>
    </row>
    <row r="235">
      <c r="A235" t="n">
        <v>375</v>
      </c>
      <c r="B235" t="n">
        <v>12900</v>
      </c>
    </row>
    <row r="236">
      <c r="A236" t="n">
        <v>180</v>
      </c>
      <c r="B236" t="n">
        <v>7800</v>
      </c>
    </row>
    <row r="237">
      <c r="A237" t="n">
        <v>300</v>
      </c>
      <c r="B237" t="n">
        <v>12050</v>
      </c>
    </row>
    <row r="238">
      <c r="A238" t="n">
        <v>180</v>
      </c>
      <c r="B238" t="n">
        <v>7800</v>
      </c>
    </row>
    <row r="239">
      <c r="A239" t="n">
        <v>750</v>
      </c>
      <c r="B239" t="n">
        <v>17600</v>
      </c>
    </row>
    <row r="240">
      <c r="A240" t="n">
        <v>400</v>
      </c>
      <c r="B240" t="n">
        <v>10750</v>
      </c>
    </row>
    <row r="241">
      <c r="A241" t="n">
        <v>350</v>
      </c>
      <c r="B241" t="n">
        <v>5900</v>
      </c>
    </row>
    <row r="242">
      <c r="A242" t="n">
        <v>400</v>
      </c>
      <c r="B242" t="n">
        <v>11123</v>
      </c>
    </row>
    <row r="243">
      <c r="A243" t="n">
        <v>400</v>
      </c>
      <c r="B243" t="n">
        <v>10750</v>
      </c>
    </row>
    <row r="244">
      <c r="A244" t="n">
        <v>375</v>
      </c>
      <c r="B244" t="n">
        <v>12900</v>
      </c>
    </row>
    <row r="245">
      <c r="A245" t="n">
        <v>180</v>
      </c>
      <c r="B245" t="n">
        <v>7800</v>
      </c>
    </row>
    <row r="246">
      <c r="A246" t="n">
        <v>180</v>
      </c>
      <c r="B246" t="n">
        <v>7800</v>
      </c>
    </row>
    <row r="247">
      <c r="A247" t="n">
        <v>300</v>
      </c>
      <c r="B247" t="n">
        <v>12050</v>
      </c>
    </row>
    <row r="248">
      <c r="A248" t="n">
        <v>750</v>
      </c>
      <c r="B248" t="n">
        <v>20850</v>
      </c>
    </row>
    <row r="249">
      <c r="A249" t="n">
        <v>750</v>
      </c>
      <c r="B249" t="n">
        <v>19400</v>
      </c>
    </row>
    <row r="250">
      <c r="A250" t="n">
        <v>350</v>
      </c>
      <c r="B250" t="n">
        <v>9800</v>
      </c>
    </row>
    <row r="251">
      <c r="A251" t="n">
        <v>400</v>
      </c>
      <c r="B251" t="n">
        <v>10750</v>
      </c>
    </row>
    <row r="252">
      <c r="A252" t="n">
        <v>200</v>
      </c>
      <c r="B252" t="n">
        <v>6000</v>
      </c>
    </row>
    <row r="253">
      <c r="A253" t="n">
        <v>375</v>
      </c>
      <c r="B253" t="n">
        <v>12900</v>
      </c>
    </row>
    <row r="254">
      <c r="A254" t="n">
        <v>400</v>
      </c>
      <c r="B254" t="n">
        <v>12300</v>
      </c>
    </row>
    <row r="255">
      <c r="A255" t="n">
        <v>200</v>
      </c>
      <c r="B255" t="n">
        <v>7400</v>
      </c>
    </row>
    <row r="256">
      <c r="A256" t="n">
        <v>350</v>
      </c>
      <c r="B256" t="n">
        <v>9800</v>
      </c>
    </row>
    <row r="257">
      <c r="A257" t="n">
        <v>400</v>
      </c>
      <c r="B257" t="n">
        <v>8100</v>
      </c>
    </row>
    <row r="258">
      <c r="A258" t="n">
        <v>200</v>
      </c>
      <c r="B258" t="n">
        <v>6500</v>
      </c>
    </row>
    <row r="259">
      <c r="A259" t="n">
        <v>200</v>
      </c>
      <c r="B259" t="n">
        <v>6700</v>
      </c>
    </row>
    <row r="260">
      <c r="A260" t="n">
        <v>200</v>
      </c>
      <c r="B260" t="n">
        <v>7450</v>
      </c>
    </row>
    <row r="261">
      <c r="A261" t="n">
        <v>400</v>
      </c>
      <c r="B261" t="n">
        <v>12300</v>
      </c>
    </row>
    <row r="262">
      <c r="A262" t="n">
        <v>200</v>
      </c>
      <c r="B262" t="n">
        <v>7400</v>
      </c>
    </row>
    <row r="263">
      <c r="A263" t="n">
        <v>200</v>
      </c>
      <c r="B263" t="n">
        <v>6000</v>
      </c>
    </row>
    <row r="264">
      <c r="A264" t="n">
        <v>400</v>
      </c>
      <c r="B264" t="n">
        <v>10750</v>
      </c>
    </row>
    <row r="265">
      <c r="A265" t="n">
        <v>300</v>
      </c>
      <c r="B265" t="n">
        <v>12050</v>
      </c>
    </row>
    <row r="266">
      <c r="A266" t="n">
        <v>170</v>
      </c>
      <c r="B266" t="n">
        <v>10000</v>
      </c>
    </row>
    <row r="267">
      <c r="A267" t="n">
        <v>650</v>
      </c>
      <c r="B267" t="n">
        <v>16700</v>
      </c>
    </row>
    <row r="268">
      <c r="A268" t="n">
        <v>650</v>
      </c>
      <c r="B268" t="n">
        <v>16700</v>
      </c>
    </row>
    <row r="269">
      <c r="A269" t="n">
        <v>400</v>
      </c>
      <c r="B269" t="n">
        <v>9150</v>
      </c>
    </row>
    <row r="270">
      <c r="A270" t="n">
        <v>970</v>
      </c>
      <c r="B270" t="n">
        <v>6350</v>
      </c>
    </row>
    <row r="271">
      <c r="A271" t="n">
        <v>400</v>
      </c>
      <c r="B271" t="n">
        <v>16800</v>
      </c>
    </row>
    <row r="272">
      <c r="A272" t="n">
        <v>200</v>
      </c>
      <c r="B272" t="n">
        <v>5900</v>
      </c>
    </row>
    <row r="273">
      <c r="A273" t="n">
        <v>190</v>
      </c>
      <c r="B273" t="n">
        <v>3900</v>
      </c>
    </row>
    <row r="274">
      <c r="A274" t="n">
        <v>400</v>
      </c>
      <c r="B274" t="n">
        <v>16800</v>
      </c>
    </row>
    <row r="275">
      <c r="A275" t="n">
        <v>500</v>
      </c>
      <c r="B275" t="n">
        <v>10700</v>
      </c>
    </row>
    <row r="276">
      <c r="A276" t="n">
        <v>400</v>
      </c>
      <c r="B276" t="n">
        <v>9150</v>
      </c>
    </row>
    <row r="277">
      <c r="A277" t="n">
        <v>510</v>
      </c>
      <c r="B277" t="n">
        <v>16400</v>
      </c>
    </row>
    <row r="278">
      <c r="A278" t="n">
        <v>510</v>
      </c>
      <c r="B278" t="n">
        <v>16400</v>
      </c>
    </row>
    <row r="279">
      <c r="A279" t="n">
        <v>650</v>
      </c>
      <c r="B279" t="n">
        <v>9400</v>
      </c>
    </row>
    <row r="280">
      <c r="A280" t="n">
        <v>700</v>
      </c>
      <c r="B280" t="n">
        <v>17250</v>
      </c>
    </row>
    <row r="281">
      <c r="A281" t="n">
        <v>340</v>
      </c>
      <c r="B281" t="n">
        <v>5450</v>
      </c>
    </row>
    <row r="282">
      <c r="A282" t="n">
        <v>350</v>
      </c>
      <c r="B282" t="n">
        <v>8450</v>
      </c>
    </row>
    <row r="283">
      <c r="A283" t="n">
        <v>340</v>
      </c>
      <c r="B283" t="n">
        <v>5450</v>
      </c>
    </row>
    <row r="284">
      <c r="A284" t="n">
        <v>650</v>
      </c>
      <c r="B284" t="n">
        <v>12950</v>
      </c>
    </row>
    <row r="285">
      <c r="A285" t="n">
        <v>700</v>
      </c>
      <c r="B285" t="n">
        <v>17250</v>
      </c>
    </row>
    <row r="286">
      <c r="A286" t="n">
        <v>970</v>
      </c>
      <c r="B286" t="n">
        <v>6350</v>
      </c>
    </row>
    <row r="287">
      <c r="A287" t="n">
        <v>200</v>
      </c>
      <c r="B287" t="n">
        <v>6000</v>
      </c>
    </row>
    <row r="288">
      <c r="A288" t="n">
        <v>200</v>
      </c>
      <c r="B288" t="n">
        <v>5900</v>
      </c>
    </row>
    <row r="289">
      <c r="A289" t="n">
        <v>190</v>
      </c>
      <c r="B289" t="n">
        <v>3900</v>
      </c>
    </row>
    <row r="290">
      <c r="A290" t="n">
        <v>650</v>
      </c>
      <c r="B290" t="n">
        <v>9350</v>
      </c>
    </row>
    <row r="291">
      <c r="A291" t="n">
        <v>250</v>
      </c>
      <c r="B291" t="n">
        <v>6200</v>
      </c>
    </row>
    <row r="292">
      <c r="A292" t="n">
        <v>650</v>
      </c>
      <c r="B292" t="n">
        <v>9350</v>
      </c>
    </row>
    <row r="293">
      <c r="A293" t="n">
        <v>190</v>
      </c>
      <c r="B293" t="n">
        <v>3900</v>
      </c>
    </row>
    <row r="294">
      <c r="A294" t="n">
        <v>400</v>
      </c>
      <c r="B294" t="n">
        <v>9150</v>
      </c>
    </row>
    <row r="295">
      <c r="A295" t="n">
        <v>400</v>
      </c>
      <c r="B295" t="n">
        <v>12050</v>
      </c>
    </row>
    <row r="296">
      <c r="A296" t="n">
        <v>400</v>
      </c>
      <c r="B296" t="n">
        <v>12050</v>
      </c>
    </row>
    <row r="297">
      <c r="A297" t="n">
        <v>400</v>
      </c>
      <c r="B297" t="n">
        <v>12050</v>
      </c>
    </row>
    <row r="298">
      <c r="A298" t="n">
        <v>250</v>
      </c>
      <c r="B298" t="n">
        <v>9450</v>
      </c>
    </row>
    <row r="299">
      <c r="A299" t="n">
        <v>650</v>
      </c>
      <c r="B299" t="n">
        <v>9350</v>
      </c>
    </row>
    <row r="300">
      <c r="A300" t="n">
        <v>340</v>
      </c>
      <c r="B300" t="n">
        <v>5600</v>
      </c>
    </row>
    <row r="301">
      <c r="A301" t="n">
        <v>200</v>
      </c>
      <c r="B301" t="n">
        <v>7450</v>
      </c>
    </row>
    <row r="302">
      <c r="A302" t="n">
        <v>240</v>
      </c>
      <c r="B302" t="n">
        <v>13100</v>
      </c>
    </row>
    <row r="303">
      <c r="A303" t="n">
        <v>250</v>
      </c>
      <c r="B303" t="n">
        <v>6200</v>
      </c>
    </row>
    <row r="304">
      <c r="A304" t="n">
        <v>340</v>
      </c>
      <c r="B304" t="n">
        <v>5450</v>
      </c>
    </row>
    <row r="305">
      <c r="A305" t="n">
        <v>190</v>
      </c>
      <c r="B305" t="n">
        <v>3900</v>
      </c>
    </row>
    <row r="306">
      <c r="A306" t="n">
        <v>400</v>
      </c>
      <c r="B306" t="n">
        <v>9150</v>
      </c>
    </row>
    <row r="307">
      <c r="A307" t="n">
        <v>500</v>
      </c>
      <c r="B307" t="n">
        <v>10700</v>
      </c>
    </row>
    <row r="308">
      <c r="A308" t="n">
        <v>500</v>
      </c>
      <c r="B308" t="n">
        <v>10700</v>
      </c>
    </row>
    <row r="309">
      <c r="A309" t="n">
        <v>340</v>
      </c>
      <c r="B309" t="n">
        <v>5457</v>
      </c>
    </row>
    <row r="310">
      <c r="A310" t="n">
        <v>400</v>
      </c>
      <c r="B310" t="n">
        <v>10300</v>
      </c>
    </row>
    <row r="311">
      <c r="A311" t="n">
        <v>200</v>
      </c>
      <c r="B311" t="n">
        <v>7250</v>
      </c>
    </row>
    <row r="312">
      <c r="A312" t="n">
        <v>340</v>
      </c>
      <c r="B312" t="n">
        <v>5450</v>
      </c>
    </row>
    <row r="313">
      <c r="A313" t="n">
        <v>400</v>
      </c>
      <c r="B313" t="n">
        <v>11550</v>
      </c>
    </row>
    <row r="314">
      <c r="A314" t="n">
        <v>650</v>
      </c>
      <c r="B314" t="n">
        <v>8850</v>
      </c>
    </row>
    <row r="315">
      <c r="A315" t="n">
        <v>340</v>
      </c>
      <c r="B315" t="n">
        <v>5450</v>
      </c>
    </row>
    <row r="316">
      <c r="A316" t="n">
        <v>400</v>
      </c>
      <c r="B316" t="n">
        <v>12050</v>
      </c>
    </row>
    <row r="317">
      <c r="A317" t="n">
        <v>400</v>
      </c>
      <c r="B317" t="n">
        <v>10300</v>
      </c>
    </row>
    <row r="318">
      <c r="A318" t="n">
        <v>400</v>
      </c>
      <c r="B318" t="n">
        <v>12050</v>
      </c>
    </row>
    <row r="319">
      <c r="A319" t="n">
        <v>1000</v>
      </c>
      <c r="B319" t="n">
        <v>5650</v>
      </c>
    </row>
    <row r="320">
      <c r="A320" t="n">
        <v>970</v>
      </c>
      <c r="B320" t="n">
        <v>6350</v>
      </c>
    </row>
    <row r="321">
      <c r="A321" t="n">
        <v>350</v>
      </c>
      <c r="B321" t="n">
        <v>4650</v>
      </c>
    </row>
    <row r="322">
      <c r="A322" t="n">
        <v>415</v>
      </c>
      <c r="B322" t="n">
        <v>11350</v>
      </c>
    </row>
    <row r="323">
      <c r="A323" t="n">
        <v>350</v>
      </c>
      <c r="B323" t="n">
        <v>9550</v>
      </c>
    </row>
    <row r="324">
      <c r="A324" t="n">
        <v>250</v>
      </c>
      <c r="B324" t="n">
        <v>6150</v>
      </c>
    </row>
    <row r="325">
      <c r="A325" t="n">
        <v>350</v>
      </c>
      <c r="B325" t="n">
        <v>4650</v>
      </c>
    </row>
    <row r="326">
      <c r="A326" t="n">
        <v>250</v>
      </c>
      <c r="B326" t="n">
        <v>9300</v>
      </c>
    </row>
    <row r="327">
      <c r="A327" t="n">
        <v>200</v>
      </c>
      <c r="B327" t="n">
        <v>5900</v>
      </c>
    </row>
    <row r="328">
      <c r="A328" t="n">
        <v>750</v>
      </c>
      <c r="B328" t="n">
        <v>18600</v>
      </c>
    </row>
    <row r="329">
      <c r="A329" t="n">
        <v>200</v>
      </c>
      <c r="B329" t="n">
        <v>8050</v>
      </c>
    </row>
    <row r="330">
      <c r="A330" t="n">
        <v>700</v>
      </c>
      <c r="B330" t="n">
        <v>5350</v>
      </c>
    </row>
    <row r="331">
      <c r="A331" t="n">
        <v>340</v>
      </c>
      <c r="B331" t="n">
        <v>5434</v>
      </c>
    </row>
    <row r="332">
      <c r="A332" t="n">
        <v>510</v>
      </c>
      <c r="B332" t="n">
        <v>16400</v>
      </c>
    </row>
    <row r="333">
      <c r="A333" t="n">
        <v>200</v>
      </c>
      <c r="B333" t="n">
        <v>7300</v>
      </c>
    </row>
    <row r="334">
      <c r="A334" t="n">
        <v>200</v>
      </c>
      <c r="B334" t="n">
        <v>7450</v>
      </c>
    </row>
    <row r="335">
      <c r="A335" t="n">
        <v>190</v>
      </c>
      <c r="B335" t="n">
        <v>3900</v>
      </c>
    </row>
    <row r="336">
      <c r="A336" t="n">
        <v>200</v>
      </c>
      <c r="B336" t="n">
        <v>5800</v>
      </c>
    </row>
    <row r="337">
      <c r="A337" t="n">
        <v>190</v>
      </c>
      <c r="B337" t="n">
        <v>3900</v>
      </c>
    </row>
    <row r="338">
      <c r="A338" t="n">
        <v>300</v>
      </c>
      <c r="B338" t="n">
        <v>12200</v>
      </c>
    </row>
    <row r="339">
      <c r="A339" t="n">
        <v>650</v>
      </c>
      <c r="B339" t="n">
        <v>9350</v>
      </c>
    </row>
    <row r="340">
      <c r="A340" t="n">
        <v>650</v>
      </c>
      <c r="B340" t="n">
        <v>16700</v>
      </c>
    </row>
    <row r="341">
      <c r="A341" t="n">
        <v>200</v>
      </c>
      <c r="B341" t="n">
        <v>7450</v>
      </c>
    </row>
    <row r="342">
      <c r="A342" t="n">
        <v>415</v>
      </c>
      <c r="B342" t="n">
        <v>11350</v>
      </c>
    </row>
    <row r="343">
      <c r="A343" t="n">
        <v>750</v>
      </c>
      <c r="B343" t="n">
        <v>21050</v>
      </c>
    </row>
    <row r="344">
      <c r="A344" t="n">
        <v>170</v>
      </c>
      <c r="B344" t="n">
        <v>9850</v>
      </c>
    </row>
    <row r="345">
      <c r="A345" t="n">
        <v>200</v>
      </c>
      <c r="B345" t="n">
        <v>7450</v>
      </c>
    </row>
    <row r="346">
      <c r="A346" t="n">
        <v>250</v>
      </c>
      <c r="B346" t="n">
        <v>10300</v>
      </c>
    </row>
    <row r="347">
      <c r="A347" t="n">
        <v>250</v>
      </c>
      <c r="B347" t="n">
        <v>10250</v>
      </c>
    </row>
    <row r="348">
      <c r="A348" t="n">
        <v>200</v>
      </c>
      <c r="B348" t="n">
        <v>6600</v>
      </c>
    </row>
    <row r="349">
      <c r="A349" t="n">
        <v>200</v>
      </c>
      <c r="B349" t="n">
        <v>8050</v>
      </c>
    </row>
    <row r="350">
      <c r="A350" t="n">
        <v>200</v>
      </c>
      <c r="B350" t="n">
        <v>8450</v>
      </c>
    </row>
    <row r="351">
      <c r="A351" t="n">
        <v>400</v>
      </c>
      <c r="B351" t="n">
        <v>13350</v>
      </c>
    </row>
    <row r="352">
      <c r="A352" t="n">
        <v>750</v>
      </c>
      <c r="B352" t="n">
        <v>18600</v>
      </c>
    </row>
    <row r="353">
      <c r="A353" t="n">
        <v>750</v>
      </c>
      <c r="B353" t="n">
        <v>21350</v>
      </c>
    </row>
    <row r="354">
      <c r="A354" t="n">
        <v>400</v>
      </c>
      <c r="B354" t="n">
        <v>10300</v>
      </c>
    </row>
    <row r="355">
      <c r="A355" t="n">
        <v>700</v>
      </c>
      <c r="B355" t="n">
        <v>17500</v>
      </c>
    </row>
    <row r="356">
      <c r="A356" t="n">
        <v>250</v>
      </c>
      <c r="B356" t="n">
        <v>10250</v>
      </c>
    </row>
    <row r="357">
      <c r="A357" t="n">
        <v>750</v>
      </c>
      <c r="B357" t="n">
        <v>18600</v>
      </c>
    </row>
    <row r="358">
      <c r="A358" t="n">
        <v>650</v>
      </c>
      <c r="B358" t="n">
        <v>16700</v>
      </c>
    </row>
    <row r="359">
      <c r="A359" t="n">
        <v>350</v>
      </c>
      <c r="B359" t="n">
        <v>8550</v>
      </c>
    </row>
    <row r="360">
      <c r="A360" t="n">
        <v>700</v>
      </c>
      <c r="B360" t="n">
        <v>17250</v>
      </c>
    </row>
    <row r="361">
      <c r="A361" t="n">
        <v>350</v>
      </c>
      <c r="B361" t="n">
        <v>8250</v>
      </c>
    </row>
    <row r="362">
      <c r="A362" t="n">
        <v>200</v>
      </c>
      <c r="B362" t="n">
        <v>7450</v>
      </c>
    </row>
    <row r="363">
      <c r="A363" t="n">
        <v>350</v>
      </c>
      <c r="B363" t="n">
        <v>8250</v>
      </c>
    </row>
    <row r="364">
      <c r="A364" t="n">
        <v>415</v>
      </c>
      <c r="B364" t="n">
        <v>11350</v>
      </c>
    </row>
    <row r="365">
      <c r="A365" t="n">
        <v>350</v>
      </c>
      <c r="B365" t="n">
        <v>8250</v>
      </c>
    </row>
    <row r="366">
      <c r="A366" t="n">
        <v>750</v>
      </c>
      <c r="B366" t="n">
        <v>22350</v>
      </c>
    </row>
    <row r="367">
      <c r="A367" t="n">
        <v>400</v>
      </c>
      <c r="B367" t="n">
        <v>13350</v>
      </c>
    </row>
    <row r="368">
      <c r="A368" t="n">
        <v>350</v>
      </c>
      <c r="B368" t="n">
        <v>8250</v>
      </c>
    </row>
    <row r="369">
      <c r="A369" t="n">
        <v>400</v>
      </c>
      <c r="B369" t="n">
        <v>12300</v>
      </c>
    </row>
    <row r="370">
      <c r="A370" t="n">
        <v>200</v>
      </c>
      <c r="B370" t="n">
        <v>6550</v>
      </c>
    </row>
    <row r="371">
      <c r="A371" t="n">
        <v>200</v>
      </c>
      <c r="B371" t="n">
        <v>7650</v>
      </c>
    </row>
    <row r="372">
      <c r="A372" t="n">
        <v>350</v>
      </c>
      <c r="B372" t="n">
        <v>9800</v>
      </c>
    </row>
    <row r="373">
      <c r="A373" t="n">
        <v>250</v>
      </c>
      <c r="B373" t="n">
        <v>10550</v>
      </c>
    </row>
    <row r="374">
      <c r="A374" t="n">
        <v>400</v>
      </c>
      <c r="B374" t="n">
        <v>10300</v>
      </c>
    </row>
    <row r="375">
      <c r="A375" t="n">
        <v>650</v>
      </c>
      <c r="B375" t="n">
        <v>9350</v>
      </c>
    </row>
    <row r="376">
      <c r="A376" t="n">
        <v>300</v>
      </c>
      <c r="B376" t="n">
        <v>12050</v>
      </c>
    </row>
    <row r="377">
      <c r="A377" t="n">
        <v>170</v>
      </c>
      <c r="B377" t="n">
        <v>10000</v>
      </c>
    </row>
    <row r="378">
      <c r="A378" t="n">
        <v>340</v>
      </c>
      <c r="B378" t="n">
        <v>5800</v>
      </c>
    </row>
    <row r="379">
      <c r="A379" t="n">
        <v>190</v>
      </c>
      <c r="B379" t="n">
        <v>3900</v>
      </c>
    </row>
    <row r="380">
      <c r="A380" t="n">
        <v>400</v>
      </c>
      <c r="B380" t="n">
        <v>10300</v>
      </c>
    </row>
    <row r="381">
      <c r="A381" t="n">
        <v>750</v>
      </c>
      <c r="B381" t="n">
        <v>18600</v>
      </c>
    </row>
    <row r="382">
      <c r="A382" t="n">
        <v>400</v>
      </c>
      <c r="B382" t="n">
        <v>12050</v>
      </c>
    </row>
    <row r="383">
      <c r="A383" t="n">
        <v>200</v>
      </c>
      <c r="B383" t="n">
        <v>7250</v>
      </c>
    </row>
    <row r="384">
      <c r="A384" t="n">
        <v>200</v>
      </c>
      <c r="B384" t="n">
        <v>7250</v>
      </c>
    </row>
    <row r="385">
      <c r="A385" t="n">
        <v>300</v>
      </c>
      <c r="B385" t="n">
        <v>12050</v>
      </c>
    </row>
    <row r="386">
      <c r="A386" t="n">
        <v>300</v>
      </c>
      <c r="B386" t="n">
        <v>12200</v>
      </c>
    </row>
    <row r="387">
      <c r="A387" t="n">
        <v>400</v>
      </c>
      <c r="B387" t="n">
        <v>8100</v>
      </c>
    </row>
    <row r="388">
      <c r="A388" t="n">
        <v>400</v>
      </c>
      <c r="B388" t="n">
        <v>12750</v>
      </c>
    </row>
    <row r="389">
      <c r="A389" t="n">
        <v>415</v>
      </c>
      <c r="B389" t="n">
        <v>10800</v>
      </c>
    </row>
    <row r="390">
      <c r="A390" t="n">
        <v>350</v>
      </c>
      <c r="B390" t="n">
        <v>5900</v>
      </c>
    </row>
    <row r="391">
      <c r="A391" t="n">
        <v>350</v>
      </c>
      <c r="B391" t="n">
        <v>12650</v>
      </c>
    </row>
    <row r="392">
      <c r="A392" t="n">
        <v>1000</v>
      </c>
      <c r="B392" t="n">
        <v>5650</v>
      </c>
    </row>
    <row r="393">
      <c r="A393" t="n">
        <v>300</v>
      </c>
      <c r="B393" t="n">
        <v>12200</v>
      </c>
    </row>
    <row r="394">
      <c r="A394" t="n">
        <v>1000</v>
      </c>
      <c r="B394" t="n">
        <v>5600</v>
      </c>
    </row>
    <row r="395">
      <c r="A395" t="n">
        <v>400</v>
      </c>
      <c r="B395" t="n">
        <v>8100</v>
      </c>
    </row>
    <row r="396">
      <c r="A396" t="n">
        <v>400</v>
      </c>
      <c r="B396" t="n">
        <v>12050</v>
      </c>
    </row>
    <row r="397">
      <c r="A397" t="n">
        <v>350</v>
      </c>
      <c r="B397" t="n">
        <v>8450</v>
      </c>
    </row>
    <row r="398">
      <c r="A398" t="n">
        <v>300</v>
      </c>
      <c r="B398" t="n">
        <v>12200</v>
      </c>
    </row>
    <row r="399">
      <c r="A399" t="n">
        <v>300</v>
      </c>
      <c r="B399" t="n">
        <v>12200</v>
      </c>
    </row>
    <row r="400">
      <c r="A400" t="n">
        <v>700</v>
      </c>
      <c r="B400" t="n">
        <v>17250</v>
      </c>
    </row>
    <row r="401">
      <c r="A401" t="n">
        <v>300</v>
      </c>
      <c r="B401" t="n">
        <v>9500</v>
      </c>
    </row>
    <row r="402">
      <c r="A402" t="n">
        <v>300</v>
      </c>
      <c r="B402" t="n">
        <v>12600</v>
      </c>
    </row>
    <row r="403">
      <c r="A403" t="n">
        <v>300</v>
      </c>
      <c r="B403" t="n">
        <v>9400</v>
      </c>
    </row>
    <row r="404">
      <c r="A404" t="n">
        <v>95</v>
      </c>
      <c r="B404" t="n">
        <v>21350</v>
      </c>
    </row>
    <row r="405">
      <c r="A405" t="n">
        <v>270</v>
      </c>
      <c r="B405" t="n">
        <v>10400</v>
      </c>
    </row>
    <row r="406">
      <c r="A406" t="n">
        <v>270</v>
      </c>
      <c r="B406" t="n">
        <v>10400</v>
      </c>
    </row>
    <row r="407">
      <c r="A407" t="n">
        <v>300</v>
      </c>
      <c r="B407" t="n">
        <v>9250</v>
      </c>
    </row>
    <row r="408">
      <c r="A408" t="n">
        <v>270</v>
      </c>
      <c r="B408" t="n">
        <v>10400</v>
      </c>
    </row>
    <row r="409">
      <c r="A409" t="n">
        <v>300</v>
      </c>
      <c r="B409" t="n">
        <v>6150</v>
      </c>
    </row>
    <row r="410">
      <c r="A410" t="n">
        <v>110</v>
      </c>
      <c r="B410" t="n">
        <v>10750</v>
      </c>
    </row>
    <row r="411">
      <c r="A411" t="n">
        <v>300</v>
      </c>
      <c r="B411" t="n">
        <v>6150</v>
      </c>
    </row>
    <row r="412">
      <c r="A412" t="n">
        <v>300</v>
      </c>
      <c r="B412" t="n">
        <v>6150</v>
      </c>
    </row>
    <row r="413">
      <c r="A413" t="n">
        <v>300</v>
      </c>
      <c r="B413" t="n">
        <v>5800</v>
      </c>
    </row>
    <row r="414">
      <c r="A414" t="n">
        <v>190</v>
      </c>
      <c r="B414" t="n">
        <v>3900</v>
      </c>
    </row>
    <row r="415">
      <c r="A415" t="n">
        <v>250</v>
      </c>
      <c r="B415" t="n">
        <v>8100</v>
      </c>
    </row>
    <row r="416">
      <c r="A416" t="n">
        <v>300</v>
      </c>
      <c r="B416" t="n">
        <v>13650</v>
      </c>
    </row>
    <row r="417">
      <c r="A417" t="n">
        <v>350</v>
      </c>
      <c r="B417" t="n">
        <v>15100</v>
      </c>
    </row>
    <row r="418">
      <c r="A418" t="n">
        <v>300</v>
      </c>
      <c r="B418" t="n">
        <v>12050</v>
      </c>
    </row>
    <row r="419">
      <c r="A419" t="n">
        <v>250</v>
      </c>
      <c r="B419" t="n">
        <v>8100</v>
      </c>
    </row>
    <row r="420">
      <c r="A420" t="n">
        <v>350</v>
      </c>
      <c r="B420" t="n">
        <v>15100</v>
      </c>
    </row>
    <row r="421">
      <c r="A421" t="n">
        <v>350</v>
      </c>
      <c r="B421" t="n">
        <v>15100</v>
      </c>
    </row>
    <row r="422">
      <c r="A422" t="n">
        <v>250</v>
      </c>
      <c r="B422" t="n">
        <v>8100</v>
      </c>
    </row>
    <row r="423">
      <c r="A423" t="n">
        <v>200</v>
      </c>
      <c r="B423" t="n">
        <v>5900</v>
      </c>
    </row>
    <row r="424">
      <c r="A424" t="n">
        <v>350</v>
      </c>
      <c r="B424" t="n">
        <v>15100</v>
      </c>
    </row>
    <row r="425">
      <c r="A425" t="n">
        <v>250</v>
      </c>
      <c r="B425" t="n">
        <v>8100</v>
      </c>
    </row>
    <row r="426">
      <c r="A426" t="n">
        <v>200</v>
      </c>
      <c r="B426" t="n">
        <v>8100</v>
      </c>
    </row>
    <row r="427">
      <c r="A427" t="n">
        <v>120</v>
      </c>
      <c r="B427" t="n">
        <v>10350</v>
      </c>
    </row>
    <row r="428">
      <c r="A428" t="n">
        <v>300</v>
      </c>
      <c r="B428" t="n">
        <v>15300</v>
      </c>
    </row>
    <row r="429">
      <c r="A429" t="n">
        <v>300</v>
      </c>
      <c r="B429" t="n">
        <v>17300</v>
      </c>
    </row>
    <row r="430">
      <c r="A430" t="n">
        <v>100</v>
      </c>
      <c r="B430" t="n">
        <v>21600</v>
      </c>
    </row>
    <row r="431">
      <c r="A431" t="n">
        <v>250</v>
      </c>
      <c r="B431" t="n">
        <v>9700</v>
      </c>
    </row>
    <row r="432">
      <c r="A432" t="n">
        <v>300</v>
      </c>
      <c r="B432" t="n">
        <v>11550</v>
      </c>
    </row>
    <row r="433">
      <c r="A433" t="n">
        <v>100</v>
      </c>
      <c r="B433" t="n">
        <v>20650</v>
      </c>
    </row>
    <row r="434">
      <c r="A434" t="n">
        <v>100</v>
      </c>
      <c r="B434" t="n">
        <v>21400</v>
      </c>
    </row>
    <row r="435">
      <c r="A435" t="n">
        <v>300</v>
      </c>
      <c r="B435" t="n">
        <v>12050</v>
      </c>
    </row>
    <row r="436">
      <c r="A436" t="n">
        <v>250</v>
      </c>
      <c r="B436" t="n">
        <v>9700</v>
      </c>
    </row>
    <row r="437">
      <c r="A437" t="n">
        <v>300</v>
      </c>
      <c r="B437" t="n">
        <v>13250</v>
      </c>
    </row>
    <row r="438">
      <c r="A438" t="n">
        <v>400</v>
      </c>
      <c r="B438" t="n">
        <v>6714</v>
      </c>
    </row>
    <row r="439">
      <c r="A439" t="n">
        <v>400</v>
      </c>
      <c r="B439" t="n">
        <v>6714</v>
      </c>
    </row>
    <row r="440">
      <c r="A440" t="n">
        <v>420</v>
      </c>
      <c r="B440" t="n">
        <v>9000</v>
      </c>
    </row>
    <row r="441">
      <c r="A441" t="n">
        <v>400</v>
      </c>
      <c r="B441" t="n">
        <v>5812</v>
      </c>
    </row>
    <row r="442">
      <c r="A442" t="n">
        <v>400</v>
      </c>
      <c r="B442" t="n">
        <v>7494</v>
      </c>
    </row>
    <row r="443">
      <c r="A443" t="n">
        <v>420</v>
      </c>
      <c r="B443" t="n">
        <v>7575</v>
      </c>
    </row>
    <row r="444">
      <c r="A444" t="n">
        <v>375</v>
      </c>
      <c r="B444" t="n">
        <v>7895</v>
      </c>
    </row>
    <row r="445">
      <c r="A445" t="n">
        <v>415</v>
      </c>
      <c r="B445" t="n">
        <v>11750</v>
      </c>
    </row>
    <row r="446">
      <c r="A446" t="n">
        <v>350</v>
      </c>
      <c r="B446" t="n">
        <v>8984</v>
      </c>
    </row>
    <row r="447">
      <c r="A447" t="n">
        <v>400</v>
      </c>
      <c r="B447" t="n">
        <v>6453</v>
      </c>
    </row>
    <row r="448">
      <c r="A448" t="n">
        <v>300</v>
      </c>
      <c r="B448" t="n">
        <v>5692</v>
      </c>
    </row>
    <row r="449">
      <c r="A449" t="n">
        <v>500</v>
      </c>
      <c r="B449" t="n">
        <v>6574</v>
      </c>
    </row>
    <row r="450">
      <c r="A450" t="n">
        <v>200</v>
      </c>
      <c r="B450" t="n">
        <v>4494</v>
      </c>
    </row>
    <row r="451">
      <c r="A451" t="n">
        <v>300</v>
      </c>
      <c r="B451" t="n">
        <v>7273</v>
      </c>
    </row>
    <row r="452">
      <c r="A452" t="n">
        <v>300</v>
      </c>
      <c r="B452" t="n">
        <v>7273</v>
      </c>
    </row>
    <row r="453">
      <c r="A453" t="n">
        <v>400</v>
      </c>
      <c r="B453" t="n">
        <v>6714</v>
      </c>
    </row>
    <row r="454">
      <c r="A454" t="n">
        <v>375</v>
      </c>
      <c r="B454" t="n">
        <v>7895</v>
      </c>
    </row>
    <row r="455">
      <c r="A455" t="n">
        <v>250</v>
      </c>
      <c r="B455" t="n">
        <v>22407</v>
      </c>
    </row>
    <row r="456">
      <c r="A456" t="n">
        <v>400</v>
      </c>
      <c r="B456" t="n">
        <v>11300</v>
      </c>
    </row>
    <row r="457">
      <c r="A457" t="n">
        <v>180</v>
      </c>
      <c r="B457" t="n">
        <v>4701</v>
      </c>
    </row>
    <row r="458">
      <c r="A458" t="n">
        <v>510</v>
      </c>
      <c r="B458" t="n">
        <v>10285</v>
      </c>
    </row>
    <row r="459">
      <c r="A459" t="n">
        <v>750</v>
      </c>
      <c r="B459" t="n">
        <v>10040</v>
      </c>
    </row>
    <row r="460">
      <c r="A460" t="n">
        <v>200</v>
      </c>
      <c r="B460" t="n">
        <v>3807</v>
      </c>
    </row>
    <row r="461">
      <c r="A461" t="n">
        <v>300</v>
      </c>
      <c r="B461" t="n">
        <v>10205</v>
      </c>
    </row>
    <row r="462">
      <c r="A462" t="n">
        <v>165</v>
      </c>
      <c r="B462" t="n">
        <v>14251</v>
      </c>
    </row>
    <row r="463">
      <c r="A463" t="n">
        <v>300</v>
      </c>
      <c r="B463" t="n">
        <v>5692</v>
      </c>
    </row>
    <row r="464">
      <c r="A464" t="n">
        <v>300</v>
      </c>
      <c r="B464" t="n">
        <v>7273</v>
      </c>
    </row>
    <row r="465">
      <c r="A465" t="n">
        <v>375</v>
      </c>
      <c r="B465" t="n">
        <v>7895</v>
      </c>
    </row>
    <row r="466">
      <c r="A466" t="n">
        <v>400</v>
      </c>
      <c r="B466" t="n">
        <v>10574</v>
      </c>
    </row>
    <row r="467">
      <c r="A467" t="n">
        <v>250</v>
      </c>
      <c r="B467" t="n">
        <v>36297</v>
      </c>
    </row>
    <row r="468">
      <c r="A468" t="n">
        <v>350</v>
      </c>
      <c r="B468" t="n">
        <v>7990</v>
      </c>
    </row>
    <row r="469">
      <c r="A469" t="n">
        <v>200</v>
      </c>
      <c r="B469" t="n">
        <v>5490</v>
      </c>
    </row>
    <row r="470">
      <c r="A470" t="n">
        <v>750</v>
      </c>
      <c r="B470" t="n">
        <v>19990</v>
      </c>
    </row>
    <row r="471">
      <c r="A471" t="n">
        <v>200</v>
      </c>
      <c r="B471" t="n">
        <v>4494</v>
      </c>
    </row>
    <row r="472">
      <c r="A472" t="n">
        <v>200</v>
      </c>
      <c r="B472" t="n">
        <v>7490</v>
      </c>
    </row>
    <row r="473">
      <c r="A473" t="n">
        <v>415</v>
      </c>
      <c r="B473" t="n">
        <v>11750</v>
      </c>
    </row>
    <row r="474">
      <c r="A474" t="n">
        <v>180</v>
      </c>
      <c r="B474" t="n">
        <v>4701</v>
      </c>
    </row>
    <row r="475">
      <c r="A475" t="n">
        <v>200</v>
      </c>
      <c r="B475" t="n">
        <v>7011</v>
      </c>
    </row>
    <row r="476">
      <c r="A476" t="n">
        <v>200</v>
      </c>
      <c r="B476" t="n">
        <v>3807</v>
      </c>
    </row>
    <row r="477">
      <c r="A477" t="n">
        <v>300</v>
      </c>
      <c r="B477" t="n">
        <v>12805</v>
      </c>
    </row>
    <row r="478">
      <c r="A478" t="n">
        <v>750</v>
      </c>
      <c r="B478" t="n">
        <v>17990</v>
      </c>
    </row>
    <row r="479">
      <c r="A479" t="n">
        <v>200</v>
      </c>
      <c r="B479" t="n">
        <v>53488</v>
      </c>
    </row>
    <row r="480">
      <c r="A480" t="n">
        <v>400</v>
      </c>
      <c r="B480" t="n">
        <v>10412</v>
      </c>
    </row>
    <row r="481">
      <c r="A481" t="n">
        <v>400</v>
      </c>
      <c r="B481" t="n">
        <v>12204</v>
      </c>
    </row>
    <row r="482">
      <c r="A482" t="n">
        <v>200</v>
      </c>
      <c r="B482" t="n">
        <v>53488</v>
      </c>
    </row>
    <row r="483">
      <c r="A483" t="n">
        <v>410</v>
      </c>
      <c r="B483" t="n">
        <v>11300</v>
      </c>
    </row>
    <row r="484">
      <c r="A484" t="n">
        <v>410</v>
      </c>
      <c r="B484" t="n">
        <v>9700</v>
      </c>
    </row>
    <row r="485">
      <c r="A485" t="n">
        <v>350</v>
      </c>
      <c r="B485" t="n">
        <v>7990</v>
      </c>
    </row>
    <row r="486">
      <c r="A486" t="n">
        <v>200</v>
      </c>
      <c r="B486" t="n">
        <v>6418</v>
      </c>
    </row>
    <row r="487">
      <c r="A487" t="n">
        <v>750</v>
      </c>
      <c r="B487" t="n">
        <v>16733</v>
      </c>
    </row>
    <row r="488">
      <c r="A488" t="n">
        <v>200</v>
      </c>
      <c r="B488" t="n">
        <v>5490</v>
      </c>
    </row>
    <row r="489">
      <c r="A489" t="n">
        <v>200</v>
      </c>
      <c r="B489" t="n">
        <v>3807</v>
      </c>
    </row>
    <row r="490">
      <c r="A490" t="n">
        <v>200</v>
      </c>
      <c r="B490" t="n">
        <v>3807</v>
      </c>
    </row>
    <row r="491">
      <c r="A491" t="n">
        <v>260</v>
      </c>
      <c r="B491" t="n">
        <v>15700</v>
      </c>
    </row>
    <row r="492">
      <c r="A492" t="n">
        <v>420</v>
      </c>
      <c r="B492" t="n">
        <v>11000</v>
      </c>
    </row>
    <row r="493">
      <c r="A493" t="n">
        <v>180</v>
      </c>
      <c r="B493" t="n">
        <v>4701</v>
      </c>
    </row>
    <row r="494">
      <c r="A494" t="n">
        <v>350</v>
      </c>
      <c r="B494" t="n">
        <v>7990</v>
      </c>
    </row>
    <row r="495">
      <c r="A495" t="n">
        <v>400</v>
      </c>
      <c r="B495" t="n">
        <v>12636</v>
      </c>
    </row>
    <row r="496">
      <c r="A496" t="n">
        <v>340</v>
      </c>
      <c r="B496" t="n">
        <v>5836</v>
      </c>
    </row>
    <row r="497">
      <c r="A497" t="n">
        <v>200</v>
      </c>
      <c r="B497" t="n">
        <v>6990</v>
      </c>
    </row>
    <row r="498">
      <c r="A498" t="n">
        <v>250</v>
      </c>
      <c r="B498" t="n">
        <v>36297</v>
      </c>
    </row>
    <row r="499">
      <c r="A499" t="n">
        <v>255</v>
      </c>
      <c r="B499" t="n">
        <v>19872</v>
      </c>
    </row>
    <row r="500">
      <c r="A500" t="n">
        <v>400</v>
      </c>
      <c r="B500" t="n">
        <v>18792</v>
      </c>
    </row>
    <row r="501">
      <c r="A501" t="n">
        <v>400</v>
      </c>
      <c r="B501" t="n">
        <v>15660</v>
      </c>
    </row>
    <row r="502">
      <c r="A502" t="n">
        <v>260</v>
      </c>
      <c r="B502" t="n">
        <v>10802</v>
      </c>
    </row>
    <row r="503">
      <c r="A503" t="n">
        <v>400</v>
      </c>
      <c r="B503" t="n">
        <v>14148</v>
      </c>
    </row>
    <row r="504">
      <c r="A504" t="n">
        <v>250</v>
      </c>
      <c r="B504" t="n">
        <v>24084</v>
      </c>
    </row>
    <row r="505">
      <c r="A505" t="n">
        <v>400</v>
      </c>
      <c r="B505" t="n">
        <v>17354</v>
      </c>
    </row>
    <row r="506">
      <c r="A506" t="n">
        <v>385</v>
      </c>
      <c r="B506" t="n">
        <v>27154</v>
      </c>
    </row>
    <row r="507">
      <c r="A507" t="n">
        <v>200</v>
      </c>
      <c r="B507" t="n">
        <v>3807</v>
      </c>
    </row>
    <row r="508">
      <c r="A508" t="n">
        <v>420</v>
      </c>
      <c r="B508" t="n">
        <v>9700</v>
      </c>
    </row>
    <row r="509">
      <c r="A509" t="n">
        <v>180</v>
      </c>
      <c r="B509" t="n">
        <v>4701</v>
      </c>
    </row>
    <row r="510">
      <c r="A510" t="n">
        <v>340</v>
      </c>
      <c r="B510" t="n">
        <v>5836</v>
      </c>
    </row>
    <row r="511">
      <c r="A511" t="n">
        <v>220</v>
      </c>
      <c r="B511" t="n">
        <v>19697</v>
      </c>
    </row>
    <row r="512">
      <c r="A512" t="n">
        <v>200</v>
      </c>
      <c r="B512" t="n">
        <v>4540</v>
      </c>
    </row>
    <row r="513">
      <c r="A513" t="n">
        <v>250</v>
      </c>
      <c r="B513" t="n">
        <v>17500</v>
      </c>
    </row>
    <row r="514">
      <c r="A514" t="n">
        <v>200</v>
      </c>
      <c r="B514" t="n">
        <v>3807</v>
      </c>
    </row>
    <row r="515">
      <c r="A515" t="n">
        <v>165</v>
      </c>
      <c r="B515" t="n">
        <v>14251</v>
      </c>
    </row>
    <row r="516">
      <c r="A516" t="n">
        <v>350</v>
      </c>
      <c r="B516" t="n">
        <v>9973</v>
      </c>
    </row>
    <row r="517">
      <c r="A517" t="n">
        <v>150</v>
      </c>
      <c r="B517" t="n">
        <v>32913</v>
      </c>
    </row>
    <row r="518">
      <c r="A518" t="n">
        <v>295</v>
      </c>
      <c r="B518" t="n">
        <v>13068</v>
      </c>
    </row>
    <row r="519">
      <c r="A519" t="n">
        <v>340</v>
      </c>
      <c r="B519" t="n">
        <v>5836</v>
      </c>
    </row>
    <row r="520">
      <c r="A520" t="n">
        <v>340</v>
      </c>
      <c r="B520" t="n">
        <v>5836</v>
      </c>
    </row>
    <row r="521">
      <c r="A521" t="n">
        <v>200</v>
      </c>
      <c r="B521" t="n">
        <v>10260</v>
      </c>
    </row>
    <row r="522">
      <c r="A522" t="n">
        <v>420</v>
      </c>
      <c r="B522" t="n">
        <v>9700</v>
      </c>
    </row>
    <row r="523">
      <c r="A523" t="n">
        <v>200</v>
      </c>
      <c r="B523" t="n">
        <v>7490</v>
      </c>
    </row>
    <row r="524">
      <c r="A524" t="n">
        <v>300</v>
      </c>
      <c r="B524" t="n">
        <v>35700</v>
      </c>
    </row>
    <row r="525">
      <c r="A525" t="n">
        <v>250</v>
      </c>
      <c r="B525" t="n">
        <v>12204</v>
      </c>
    </row>
    <row r="526">
      <c r="A526" t="n">
        <v>60</v>
      </c>
      <c r="B526" t="n">
        <v>11289</v>
      </c>
    </row>
    <row r="527">
      <c r="A527" t="n">
        <v>65</v>
      </c>
      <c r="B527" t="n">
        <v>9257</v>
      </c>
    </row>
    <row r="528">
      <c r="A528" t="n">
        <v>400</v>
      </c>
      <c r="B528" t="n">
        <v>14616</v>
      </c>
    </row>
    <row r="529">
      <c r="A529" t="n">
        <v>108</v>
      </c>
      <c r="B529" t="n">
        <v>14364</v>
      </c>
    </row>
    <row r="530">
      <c r="A530" t="n">
        <v>200</v>
      </c>
      <c r="B530" t="n">
        <v>8057</v>
      </c>
    </row>
    <row r="531">
      <c r="A531" t="n">
        <v>65</v>
      </c>
      <c r="B531" t="n">
        <v>13508</v>
      </c>
    </row>
    <row r="532">
      <c r="A532" t="n">
        <v>65</v>
      </c>
      <c r="B532" t="n">
        <v>13508</v>
      </c>
    </row>
    <row r="533">
      <c r="A533" t="n">
        <v>65</v>
      </c>
      <c r="B533" t="n">
        <v>13508</v>
      </c>
    </row>
    <row r="534">
      <c r="A534" t="n">
        <v>400</v>
      </c>
      <c r="B534" t="n">
        <v>36750</v>
      </c>
    </row>
    <row r="535">
      <c r="A535" t="n">
        <v>300</v>
      </c>
      <c r="B535" t="n">
        <v>4301</v>
      </c>
    </row>
    <row r="536">
      <c r="A536" t="n">
        <v>200</v>
      </c>
      <c r="B536" t="n">
        <v>3825</v>
      </c>
    </row>
    <row r="537">
      <c r="A537" t="n">
        <v>200</v>
      </c>
      <c r="B537" t="n">
        <v>3495</v>
      </c>
    </row>
    <row r="538">
      <c r="A538" t="n">
        <v>100</v>
      </c>
      <c r="B538" t="n">
        <v>27000</v>
      </c>
    </row>
    <row r="539">
      <c r="A539" t="n">
        <v>100</v>
      </c>
      <c r="B539" t="n">
        <v>32375</v>
      </c>
    </row>
    <row r="540">
      <c r="A540" t="n">
        <v>150</v>
      </c>
      <c r="B540" t="n">
        <v>26781</v>
      </c>
    </row>
    <row r="541">
      <c r="A541" t="n">
        <v>200</v>
      </c>
      <c r="B541" t="n">
        <v>5490</v>
      </c>
    </row>
    <row r="542">
      <c r="A542" t="n">
        <v>350</v>
      </c>
      <c r="B542" t="n">
        <v>13000</v>
      </c>
    </row>
    <row r="543">
      <c r="A543" t="n">
        <v>415</v>
      </c>
      <c r="B543" t="n">
        <v>11750</v>
      </c>
    </row>
    <row r="544">
      <c r="A544" t="n">
        <v>375</v>
      </c>
      <c r="B544" t="n">
        <v>7895</v>
      </c>
    </row>
    <row r="545">
      <c r="A545" t="n">
        <v>400</v>
      </c>
      <c r="B545" t="n">
        <v>7494</v>
      </c>
    </row>
    <row r="546">
      <c r="A546" t="n">
        <v>415</v>
      </c>
      <c r="B546" t="n">
        <v>11750</v>
      </c>
    </row>
    <row r="547">
      <c r="A547" t="n">
        <v>350</v>
      </c>
      <c r="B547" t="n">
        <v>8984</v>
      </c>
    </row>
    <row r="548">
      <c r="A548" t="n">
        <v>100</v>
      </c>
      <c r="B548" t="n">
        <v>9612</v>
      </c>
    </row>
    <row r="549">
      <c r="A549" t="n">
        <v>300</v>
      </c>
      <c r="B549" t="n">
        <v>7273</v>
      </c>
    </row>
    <row r="550">
      <c r="A550" t="n">
        <v>375</v>
      </c>
      <c r="B550" t="n">
        <v>7895</v>
      </c>
    </row>
    <row r="551">
      <c r="A551" t="n">
        <v>400</v>
      </c>
      <c r="B551" t="n">
        <v>6137</v>
      </c>
    </row>
    <row r="552">
      <c r="A552" t="n">
        <v>200</v>
      </c>
      <c r="B552" t="n">
        <v>3807</v>
      </c>
    </row>
    <row r="553">
      <c r="A553" t="n">
        <v>500</v>
      </c>
      <c r="B553" t="n">
        <v>6574</v>
      </c>
    </row>
    <row r="554">
      <c r="A554" t="n">
        <v>500</v>
      </c>
      <c r="B554" t="n">
        <v>6574</v>
      </c>
    </row>
    <row r="555">
      <c r="A555" t="n">
        <v>375</v>
      </c>
      <c r="B555" t="n">
        <v>7895</v>
      </c>
    </row>
    <row r="556">
      <c r="A556" t="n">
        <v>375</v>
      </c>
      <c r="B556" t="n">
        <v>7895</v>
      </c>
    </row>
    <row r="557">
      <c r="A557" t="n">
        <v>400</v>
      </c>
      <c r="B557" t="n">
        <v>6714</v>
      </c>
    </row>
    <row r="558">
      <c r="A558" t="n">
        <v>200</v>
      </c>
      <c r="B558" t="n">
        <v>6990</v>
      </c>
    </row>
    <row r="559">
      <c r="A559" t="n">
        <v>300</v>
      </c>
      <c r="B559" t="n">
        <v>5692</v>
      </c>
    </row>
    <row r="560">
      <c r="A560" t="n">
        <v>400</v>
      </c>
      <c r="B560" t="n">
        <v>10574</v>
      </c>
    </row>
    <row r="561">
      <c r="A561" t="n">
        <v>400</v>
      </c>
      <c r="B561" t="n">
        <v>10574</v>
      </c>
    </row>
    <row r="562">
      <c r="A562" t="n">
        <v>750</v>
      </c>
      <c r="B562" t="n">
        <v>19990</v>
      </c>
    </row>
    <row r="563">
      <c r="A563" t="n">
        <v>200</v>
      </c>
      <c r="B563" t="n">
        <v>5400</v>
      </c>
    </row>
    <row r="564">
      <c r="A564" t="n">
        <v>500</v>
      </c>
      <c r="B564" t="n">
        <v>6574</v>
      </c>
    </row>
    <row r="565">
      <c r="A565" t="n">
        <v>200</v>
      </c>
      <c r="B565" t="n">
        <v>6990</v>
      </c>
    </row>
    <row r="566">
      <c r="A566" t="n">
        <v>750</v>
      </c>
      <c r="B566" t="n">
        <v>10040</v>
      </c>
    </row>
    <row r="567">
      <c r="A567" t="n">
        <v>400</v>
      </c>
      <c r="B567" t="n">
        <v>6137</v>
      </c>
    </row>
    <row r="568">
      <c r="A568" t="n">
        <v>200</v>
      </c>
      <c r="B568" t="n">
        <v>4194</v>
      </c>
    </row>
    <row r="569">
      <c r="A569" t="n">
        <v>400</v>
      </c>
      <c r="B569" t="n">
        <v>10574</v>
      </c>
    </row>
    <row r="570">
      <c r="A570" t="n">
        <v>300</v>
      </c>
      <c r="B570" t="n">
        <v>5692</v>
      </c>
    </row>
    <row r="571">
      <c r="A571" t="n">
        <v>400</v>
      </c>
      <c r="B571" t="n">
        <v>7266</v>
      </c>
    </row>
    <row r="572">
      <c r="A572" t="n">
        <v>400</v>
      </c>
      <c r="B572" t="n">
        <v>8331</v>
      </c>
    </row>
    <row r="573">
      <c r="A573" t="n">
        <v>410</v>
      </c>
      <c r="B573" t="n">
        <v>9700</v>
      </c>
    </row>
    <row r="574">
      <c r="A574" t="n">
        <v>510</v>
      </c>
      <c r="B574" t="n">
        <v>10285</v>
      </c>
    </row>
    <row r="575">
      <c r="A575" t="n">
        <v>200</v>
      </c>
      <c r="B575" t="n">
        <v>5490</v>
      </c>
    </row>
    <row r="576">
      <c r="A576" t="n">
        <v>200</v>
      </c>
      <c r="B576" t="n">
        <v>7490</v>
      </c>
    </row>
    <row r="577">
      <c r="A577" t="n">
        <v>415</v>
      </c>
      <c r="B577" t="n">
        <v>8225</v>
      </c>
    </row>
    <row r="578">
      <c r="A578" t="n">
        <v>400</v>
      </c>
      <c r="B578" t="n">
        <v>6137</v>
      </c>
    </row>
    <row r="579">
      <c r="A579" t="n">
        <v>350</v>
      </c>
      <c r="B579" t="n">
        <v>7990</v>
      </c>
    </row>
    <row r="580">
      <c r="A580" t="n">
        <v>180</v>
      </c>
      <c r="B580" t="n">
        <v>4701</v>
      </c>
    </row>
    <row r="581">
      <c r="A581" t="n">
        <v>415</v>
      </c>
      <c r="B581" t="n">
        <v>8225</v>
      </c>
    </row>
    <row r="582">
      <c r="A582" t="n">
        <v>200</v>
      </c>
      <c r="B582" t="n">
        <v>6345</v>
      </c>
    </row>
    <row r="583">
      <c r="A583" t="n">
        <v>200</v>
      </c>
      <c r="B583" t="n">
        <v>14364</v>
      </c>
    </row>
    <row r="584">
      <c r="A584" t="n">
        <v>350</v>
      </c>
      <c r="B584" t="n">
        <v>13000</v>
      </c>
    </row>
    <row r="585">
      <c r="A585" t="n">
        <v>200</v>
      </c>
      <c r="B585" t="n">
        <v>5814</v>
      </c>
    </row>
    <row r="586">
      <c r="A586" t="n">
        <v>350</v>
      </c>
      <c r="B586" t="n">
        <v>13000</v>
      </c>
    </row>
    <row r="587">
      <c r="A587" t="n">
        <v>150</v>
      </c>
      <c r="B587" t="n">
        <v>38359</v>
      </c>
    </row>
    <row r="588">
      <c r="A588" t="n">
        <v>108</v>
      </c>
      <c r="B588" t="n">
        <v>14364</v>
      </c>
    </row>
    <row r="589">
      <c r="A589" t="n">
        <v>250</v>
      </c>
      <c r="B589" t="n">
        <v>12204</v>
      </c>
    </row>
    <row r="590">
      <c r="A590" t="n">
        <v>420</v>
      </c>
      <c r="B590" t="n">
        <v>10800</v>
      </c>
    </row>
    <row r="591">
      <c r="A591" t="n">
        <v>250</v>
      </c>
      <c r="B591" t="n">
        <v>6091</v>
      </c>
    </row>
    <row r="592">
      <c r="A592" t="n">
        <v>450</v>
      </c>
      <c r="B592" t="n">
        <v>40000</v>
      </c>
    </row>
    <row r="593">
      <c r="A593" t="n">
        <v>415</v>
      </c>
      <c r="B593" t="n">
        <v>4973</v>
      </c>
    </row>
    <row r="594">
      <c r="A594" t="n">
        <v>300</v>
      </c>
      <c r="B594" t="n">
        <v>3437</v>
      </c>
    </row>
    <row r="595">
      <c r="A595" t="n">
        <v>65</v>
      </c>
      <c r="B595" t="n">
        <v>13508</v>
      </c>
    </row>
    <row r="596">
      <c r="A596" t="n">
        <v>150</v>
      </c>
      <c r="B596" t="n">
        <v>24670</v>
      </c>
    </row>
    <row r="597">
      <c r="A597" t="n">
        <v>300</v>
      </c>
      <c r="B597" t="n">
        <v>41507</v>
      </c>
    </row>
    <row r="598">
      <c r="A598" t="n">
        <v>200</v>
      </c>
      <c r="B598" t="n">
        <v>17140</v>
      </c>
    </row>
    <row r="599">
      <c r="A599" t="n">
        <v>400</v>
      </c>
      <c r="B599" t="n">
        <v>8083</v>
      </c>
    </row>
    <row r="600">
      <c r="A600" t="n">
        <v>125</v>
      </c>
      <c r="B600" t="n">
        <v>34212</v>
      </c>
    </row>
    <row r="601">
      <c r="A601" t="n">
        <v>250</v>
      </c>
      <c r="B601" t="n">
        <v>27598</v>
      </c>
    </row>
    <row r="602">
      <c r="A602" t="n">
        <v>400</v>
      </c>
      <c r="B602" t="n">
        <v>3994</v>
      </c>
    </row>
    <row r="603">
      <c r="A603" t="n">
        <v>295</v>
      </c>
      <c r="B603" t="n">
        <v>9828</v>
      </c>
    </row>
    <row r="604">
      <c r="A604" t="n">
        <v>295</v>
      </c>
      <c r="B604" t="n">
        <v>17400</v>
      </c>
    </row>
    <row r="605">
      <c r="A605" t="n">
        <v>150</v>
      </c>
      <c r="B605" t="n">
        <v>40000</v>
      </c>
    </row>
    <row r="606">
      <c r="A606" t="n">
        <v>200</v>
      </c>
      <c r="B606" t="n">
        <v>29000</v>
      </c>
    </row>
    <row r="607">
      <c r="A607" t="n">
        <v>300</v>
      </c>
      <c r="B607" t="n">
        <v>8775</v>
      </c>
    </row>
    <row r="608">
      <c r="A608" t="n">
        <v>375</v>
      </c>
      <c r="B608" t="n">
        <v>7895</v>
      </c>
    </row>
    <row r="609">
      <c r="A609" t="n">
        <v>385</v>
      </c>
      <c r="B609" t="n">
        <v>27154</v>
      </c>
    </row>
    <row r="610">
      <c r="A610" t="n">
        <v>385</v>
      </c>
      <c r="B610" t="n">
        <v>27154</v>
      </c>
    </row>
    <row r="611">
      <c r="A611" t="n">
        <v>400</v>
      </c>
      <c r="B611" t="n">
        <v>10574</v>
      </c>
    </row>
    <row r="612">
      <c r="A612" t="n">
        <v>250</v>
      </c>
      <c r="B612" t="n">
        <v>22618</v>
      </c>
    </row>
    <row r="613">
      <c r="A613" t="n">
        <v>200</v>
      </c>
      <c r="B613" t="n">
        <v>6990</v>
      </c>
    </row>
    <row r="614">
      <c r="A614" t="n">
        <v>200</v>
      </c>
      <c r="B614" t="n">
        <v>6990</v>
      </c>
    </row>
    <row r="615">
      <c r="A615" t="n">
        <v>400</v>
      </c>
      <c r="B615" t="n">
        <v>10412</v>
      </c>
    </row>
    <row r="616">
      <c r="A616" t="n">
        <v>410</v>
      </c>
      <c r="B616" t="n">
        <v>6750</v>
      </c>
    </row>
    <row r="617">
      <c r="A617" t="n">
        <v>200</v>
      </c>
      <c r="B617" t="n">
        <v>53488</v>
      </c>
    </row>
    <row r="618">
      <c r="A618" t="n">
        <v>100</v>
      </c>
      <c r="B618" t="n">
        <v>8748</v>
      </c>
    </row>
    <row r="619">
      <c r="A619" t="n">
        <v>300</v>
      </c>
      <c r="B619" t="n">
        <v>6032</v>
      </c>
    </row>
    <row r="620">
      <c r="A620" t="n">
        <v>180</v>
      </c>
      <c r="B620" t="n">
        <v>4701</v>
      </c>
    </row>
    <row r="621">
      <c r="A621" t="n">
        <v>350</v>
      </c>
      <c r="B621" t="n">
        <v>10470</v>
      </c>
    </row>
    <row r="622">
      <c r="A622" t="n">
        <v>200</v>
      </c>
      <c r="B622" t="n">
        <v>53488</v>
      </c>
    </row>
    <row r="623">
      <c r="A623" t="n">
        <v>200</v>
      </c>
      <c r="B623" t="n">
        <v>7011</v>
      </c>
    </row>
    <row r="624">
      <c r="A624" t="n">
        <v>750</v>
      </c>
      <c r="B624" t="n">
        <v>19990</v>
      </c>
    </row>
    <row r="625">
      <c r="A625" t="n">
        <v>200</v>
      </c>
      <c r="B625" t="n">
        <v>3807</v>
      </c>
    </row>
    <row r="626">
      <c r="A626" t="n">
        <v>750</v>
      </c>
      <c r="B626" t="n">
        <v>17990</v>
      </c>
    </row>
    <row r="627">
      <c r="A627" t="n">
        <v>350</v>
      </c>
      <c r="B627" t="n">
        <v>9973</v>
      </c>
    </row>
    <row r="628">
      <c r="A628" t="n">
        <v>400</v>
      </c>
      <c r="B628" t="n">
        <v>7169</v>
      </c>
    </row>
    <row r="629">
      <c r="A629" t="n">
        <v>300</v>
      </c>
      <c r="B629" t="n">
        <v>9008</v>
      </c>
    </row>
    <row r="630">
      <c r="A630" t="n">
        <v>350</v>
      </c>
      <c r="B630" t="n">
        <v>7990</v>
      </c>
    </row>
    <row r="631">
      <c r="A631" t="n">
        <v>200</v>
      </c>
      <c r="B631" t="n">
        <v>6213</v>
      </c>
    </row>
    <row r="632">
      <c r="A632" t="n">
        <v>400</v>
      </c>
      <c r="B632" t="n">
        <v>12852</v>
      </c>
    </row>
    <row r="633">
      <c r="A633" t="n">
        <v>410</v>
      </c>
      <c r="B633" t="n">
        <v>9700</v>
      </c>
    </row>
    <row r="634">
      <c r="A634" t="n">
        <v>400</v>
      </c>
      <c r="B634" t="n">
        <v>12852</v>
      </c>
    </row>
    <row r="635">
      <c r="A635" t="n">
        <v>410</v>
      </c>
      <c r="B635" t="n">
        <v>9700</v>
      </c>
    </row>
    <row r="636">
      <c r="A636" t="n">
        <v>250</v>
      </c>
      <c r="B636" t="n">
        <v>17500</v>
      </c>
    </row>
    <row r="637">
      <c r="A637" t="n">
        <v>250</v>
      </c>
      <c r="B637" t="n">
        <v>17500</v>
      </c>
    </row>
    <row r="638">
      <c r="A638" t="n">
        <v>180</v>
      </c>
      <c r="B638" t="n">
        <v>3208</v>
      </c>
    </row>
    <row r="639">
      <c r="A639" t="n">
        <v>180</v>
      </c>
      <c r="B639" t="n">
        <v>3636</v>
      </c>
    </row>
    <row r="640">
      <c r="A640" t="n">
        <v>340</v>
      </c>
      <c r="B640" t="n">
        <v>5837</v>
      </c>
    </row>
    <row r="641">
      <c r="A641" t="n">
        <v>20</v>
      </c>
      <c r="B641" t="n">
        <v>1900</v>
      </c>
    </row>
    <row r="642">
      <c r="A642" t="n">
        <v>200</v>
      </c>
      <c r="B642" t="n">
        <v>5490</v>
      </c>
    </row>
    <row r="643">
      <c r="A643" t="n">
        <v>200</v>
      </c>
      <c r="B643" t="n">
        <v>5788</v>
      </c>
    </row>
    <row r="644">
      <c r="A644" t="n">
        <v>295</v>
      </c>
      <c r="B644" t="n">
        <v>17496</v>
      </c>
    </row>
    <row r="645">
      <c r="A645" t="n">
        <v>200</v>
      </c>
      <c r="B645" t="n">
        <v>8250</v>
      </c>
    </row>
    <row r="646">
      <c r="A646" t="n">
        <v>300</v>
      </c>
      <c r="B646" t="n">
        <v>13176</v>
      </c>
    </row>
    <row r="647">
      <c r="A647" t="n">
        <v>190</v>
      </c>
      <c r="B647" t="n">
        <v>3907</v>
      </c>
    </row>
    <row r="648">
      <c r="A648" t="n">
        <v>350</v>
      </c>
      <c r="B648" t="n">
        <v>9900</v>
      </c>
    </row>
    <row r="649">
      <c r="A649" t="n">
        <v>400</v>
      </c>
      <c r="B649" t="n">
        <v>12490</v>
      </c>
    </row>
    <row r="650">
      <c r="A650" t="n">
        <v>200</v>
      </c>
      <c r="B650" t="n">
        <v>34900</v>
      </c>
    </row>
    <row r="651">
      <c r="A651" t="n">
        <v>180</v>
      </c>
      <c r="B651" t="n">
        <v>37700</v>
      </c>
    </row>
    <row r="652">
      <c r="A652" t="n">
        <v>300</v>
      </c>
      <c r="B652" t="n">
        <v>16600</v>
      </c>
    </row>
    <row r="653">
      <c r="A653" t="n">
        <v>650</v>
      </c>
      <c r="B653" t="n">
        <v>16218</v>
      </c>
    </row>
    <row r="654">
      <c r="A654" t="n">
        <v>100</v>
      </c>
      <c r="B654" t="n">
        <v>18655</v>
      </c>
    </row>
    <row r="655">
      <c r="A655" t="n">
        <v>100</v>
      </c>
      <c r="B655" t="n">
        <v>20150</v>
      </c>
    </row>
    <row r="656">
      <c r="A656" t="n">
        <v>120</v>
      </c>
      <c r="B656" t="n">
        <v>29285</v>
      </c>
    </row>
    <row r="657">
      <c r="A657" t="n">
        <v>250</v>
      </c>
      <c r="B657" t="n">
        <v>19209</v>
      </c>
    </row>
    <row r="658">
      <c r="A658" t="n">
        <v>155</v>
      </c>
      <c r="B658" t="n">
        <v>40316</v>
      </c>
    </row>
    <row r="659">
      <c r="A659" t="n">
        <v>100</v>
      </c>
      <c r="B659" t="n">
        <v>17614</v>
      </c>
    </row>
    <row r="660">
      <c r="A660" t="n">
        <v>200</v>
      </c>
      <c r="B660" t="n">
        <v>21385</v>
      </c>
    </row>
    <row r="661">
      <c r="A661" t="n">
        <v>150</v>
      </c>
      <c r="B661" t="n">
        <v>28696</v>
      </c>
    </row>
    <row r="662">
      <c r="A662" t="n">
        <v>100</v>
      </c>
      <c r="B662" t="n">
        <v>12400</v>
      </c>
    </row>
    <row r="663">
      <c r="A663" t="n">
        <v>120</v>
      </c>
      <c r="B663" t="n">
        <v>13500</v>
      </c>
    </row>
    <row r="664">
      <c r="A664" t="n">
        <v>300</v>
      </c>
      <c r="B664" t="n">
        <v>36637</v>
      </c>
    </row>
    <row r="665">
      <c r="A665" t="n">
        <v>120</v>
      </c>
      <c r="B665" t="n">
        <v>22150</v>
      </c>
    </row>
    <row r="666">
      <c r="A666" t="n">
        <v>140</v>
      </c>
      <c r="B666" t="n">
        <v>33790</v>
      </c>
    </row>
    <row r="667">
      <c r="A667" t="n">
        <v>240</v>
      </c>
      <c r="B667" t="n">
        <v>24550</v>
      </c>
    </row>
    <row r="668">
      <c r="A668" t="n">
        <v>140</v>
      </c>
      <c r="B668" t="n">
        <v>29566</v>
      </c>
    </row>
    <row r="669">
      <c r="A669" t="n">
        <v>200</v>
      </c>
      <c r="B669" t="n">
        <v>25830</v>
      </c>
    </row>
    <row r="670">
      <c r="A670" t="n">
        <v>120</v>
      </c>
      <c r="B670" t="n">
        <v>18189</v>
      </c>
    </row>
    <row r="671">
      <c r="A671" t="n">
        <v>250</v>
      </c>
      <c r="B671" t="n">
        <v>41818</v>
      </c>
    </row>
    <row r="672">
      <c r="A672" t="n">
        <v>200</v>
      </c>
      <c r="B672" t="n">
        <v>39995</v>
      </c>
    </row>
    <row r="673">
      <c r="A673" t="n">
        <v>155</v>
      </c>
      <c r="B673" t="n">
        <v>32945</v>
      </c>
    </row>
    <row r="674">
      <c r="A674" t="n">
        <v>250</v>
      </c>
      <c r="B674" t="n">
        <v>28780</v>
      </c>
    </row>
    <row r="675">
      <c r="A675" t="n">
        <v>100</v>
      </c>
      <c r="B675" t="n">
        <v>12400</v>
      </c>
    </row>
    <row r="676">
      <c r="A676" t="n">
        <v>190</v>
      </c>
      <c r="B676" t="n">
        <v>29000</v>
      </c>
    </row>
    <row r="677">
      <c r="A677" t="n">
        <v>415</v>
      </c>
      <c r="B677" t="n">
        <v>11750</v>
      </c>
    </row>
    <row r="678">
      <c r="A678" t="n">
        <v>190</v>
      </c>
      <c r="B678" t="n">
        <v>29000</v>
      </c>
    </row>
    <row r="679">
      <c r="A679" t="n">
        <v>415</v>
      </c>
      <c r="B679" t="n">
        <v>11750</v>
      </c>
    </row>
    <row r="680">
      <c r="A680" t="n">
        <v>415</v>
      </c>
      <c r="B680" t="n">
        <v>12743</v>
      </c>
    </row>
    <row r="681">
      <c r="A681" t="n">
        <v>150</v>
      </c>
      <c r="B681" t="n">
        <v>22399</v>
      </c>
    </row>
    <row r="682">
      <c r="A682" t="n">
        <v>415</v>
      </c>
      <c r="B682" t="n">
        <v>11750</v>
      </c>
    </row>
    <row r="683">
      <c r="A683" t="n">
        <v>300</v>
      </c>
      <c r="B683" t="n">
        <v>51430</v>
      </c>
    </row>
    <row r="684">
      <c r="A684" t="n">
        <v>120</v>
      </c>
      <c r="B684" t="n">
        <v>25470</v>
      </c>
    </row>
    <row r="685">
      <c r="A685" t="n">
        <v>375</v>
      </c>
      <c r="B685" t="n">
        <v>12827</v>
      </c>
    </row>
    <row r="686">
      <c r="A686" t="n">
        <v>415</v>
      </c>
      <c r="B686" t="n">
        <v>11750</v>
      </c>
    </row>
    <row r="687">
      <c r="A687" t="n">
        <v>125</v>
      </c>
      <c r="B687" t="n">
        <v>11526</v>
      </c>
    </row>
    <row r="688">
      <c r="A688" t="n">
        <v>350</v>
      </c>
      <c r="B688" t="n">
        <v>22400</v>
      </c>
    </row>
    <row r="689">
      <c r="A689" t="n">
        <v>415</v>
      </c>
      <c r="B689" t="n">
        <v>23500</v>
      </c>
    </row>
    <row r="690">
      <c r="A690" t="n">
        <v>125</v>
      </c>
      <c r="B690" t="n">
        <v>11190</v>
      </c>
    </row>
    <row r="691">
      <c r="A691" t="n">
        <v>400</v>
      </c>
      <c r="B691" t="n">
        <v>13428</v>
      </c>
    </row>
    <row r="692">
      <c r="A692" t="n">
        <v>120</v>
      </c>
      <c r="B692" t="n">
        <v>3523</v>
      </c>
    </row>
    <row r="693">
      <c r="A693" t="n">
        <v>375</v>
      </c>
      <c r="B693" t="n">
        <v>12827</v>
      </c>
    </row>
    <row r="694">
      <c r="A694" t="n">
        <v>65</v>
      </c>
      <c r="B694" t="n">
        <v>27015</v>
      </c>
    </row>
    <row r="695">
      <c r="A695" t="n">
        <v>375</v>
      </c>
      <c r="B695" t="n">
        <v>12827</v>
      </c>
    </row>
    <row r="696">
      <c r="A696" t="n">
        <v>65</v>
      </c>
      <c r="B696" t="n">
        <v>27015</v>
      </c>
    </row>
    <row r="697">
      <c r="A697" t="n">
        <v>65</v>
      </c>
      <c r="B697" t="n">
        <v>27015</v>
      </c>
    </row>
    <row r="698">
      <c r="A698" t="n">
        <v>375</v>
      </c>
      <c r="B698" t="n">
        <v>12827</v>
      </c>
    </row>
    <row r="699">
      <c r="A699" t="n">
        <v>375</v>
      </c>
      <c r="B699" t="n">
        <v>12827</v>
      </c>
    </row>
    <row r="700">
      <c r="A700" t="n">
        <v>65</v>
      </c>
      <c r="B700" t="n">
        <v>27015</v>
      </c>
    </row>
    <row r="701">
      <c r="A701" t="n">
        <v>65</v>
      </c>
      <c r="B701" t="n">
        <v>27015</v>
      </c>
    </row>
    <row r="702">
      <c r="A702" t="n">
        <v>350</v>
      </c>
      <c r="B702" t="n">
        <v>31332</v>
      </c>
    </row>
    <row r="703">
      <c r="A703" t="n">
        <v>400</v>
      </c>
      <c r="B703" t="n">
        <v>27378</v>
      </c>
    </row>
    <row r="704">
      <c r="A704" t="n">
        <v>120</v>
      </c>
      <c r="B704" t="n">
        <v>5863</v>
      </c>
    </row>
    <row r="705">
      <c r="A705" t="n">
        <v>500</v>
      </c>
      <c r="B705" t="n">
        <v>19360</v>
      </c>
    </row>
    <row r="706">
      <c r="A706" t="n">
        <v>500</v>
      </c>
      <c r="B706" t="n">
        <v>18047</v>
      </c>
    </row>
    <row r="707">
      <c r="A707" t="n">
        <v>120</v>
      </c>
      <c r="B707" t="n">
        <v>5368</v>
      </c>
    </row>
    <row r="708">
      <c r="A708" t="n">
        <v>500</v>
      </c>
      <c r="B708" t="n">
        <v>26571</v>
      </c>
    </row>
    <row r="709">
      <c r="A709" t="n">
        <v>500</v>
      </c>
      <c r="B709" t="n">
        <v>19360</v>
      </c>
    </row>
    <row r="710">
      <c r="A710" t="n">
        <v>200</v>
      </c>
      <c r="B710" t="n">
        <v>5017</v>
      </c>
    </row>
    <row r="711">
      <c r="A711" t="n">
        <v>200</v>
      </c>
      <c r="B711" t="n">
        <v>4058</v>
      </c>
    </row>
    <row r="712">
      <c r="A712" t="n">
        <v>100</v>
      </c>
      <c r="B712" t="n">
        <v>4270</v>
      </c>
    </row>
    <row r="713">
      <c r="A713" t="n">
        <v>200</v>
      </c>
      <c r="B713" t="n">
        <v>5816</v>
      </c>
    </row>
    <row r="714">
      <c r="A714" t="n">
        <v>200</v>
      </c>
      <c r="B714" t="n">
        <v>3779</v>
      </c>
    </row>
    <row r="715">
      <c r="A715" t="n">
        <v>80</v>
      </c>
      <c r="B715" t="n">
        <v>1438</v>
      </c>
    </row>
    <row r="716">
      <c r="A716" t="n">
        <v>400</v>
      </c>
      <c r="B716" t="n">
        <v>17928</v>
      </c>
    </row>
    <row r="717">
      <c r="A717" t="n">
        <v>300</v>
      </c>
      <c r="B717" t="n">
        <v>12190</v>
      </c>
    </row>
    <row r="718">
      <c r="A718" t="n">
        <v>250</v>
      </c>
      <c r="B718" t="n">
        <v>9990</v>
      </c>
    </row>
    <row r="719">
      <c r="A719" t="n">
        <v>200</v>
      </c>
      <c r="B719" t="n">
        <v>14256</v>
      </c>
    </row>
    <row r="720">
      <c r="A720" t="n">
        <v>400</v>
      </c>
      <c r="B720" t="n">
        <v>13608</v>
      </c>
    </row>
    <row r="721">
      <c r="A721" t="n">
        <v>100</v>
      </c>
      <c r="B721" t="n">
        <v>39980</v>
      </c>
    </row>
    <row r="722">
      <c r="A722" t="n">
        <v>400</v>
      </c>
      <c r="B722" t="n">
        <v>7494</v>
      </c>
    </row>
    <row r="723">
      <c r="A723" t="n">
        <v>250</v>
      </c>
      <c r="B723" t="n">
        <v>6137</v>
      </c>
    </row>
    <row r="724">
      <c r="A724" t="n">
        <v>20</v>
      </c>
      <c r="B724" t="n">
        <v>7700</v>
      </c>
    </row>
    <row r="725">
      <c r="A725" t="n">
        <v>100</v>
      </c>
      <c r="B725" t="n">
        <v>19990</v>
      </c>
    </row>
    <row r="726">
      <c r="A726" t="n">
        <v>150</v>
      </c>
      <c r="B726" t="n">
        <v>3797</v>
      </c>
    </row>
    <row r="727">
      <c r="A727" t="n">
        <v>300</v>
      </c>
      <c r="B727" t="n">
        <v>12190</v>
      </c>
    </row>
    <row r="728">
      <c r="A728" t="n">
        <v>300</v>
      </c>
      <c r="B728" t="n">
        <v>48693</v>
      </c>
    </row>
    <row r="729">
      <c r="A729" t="n">
        <v>400</v>
      </c>
      <c r="B729" t="n">
        <v>6714</v>
      </c>
    </row>
    <row r="730">
      <c r="A730" t="n">
        <v>200</v>
      </c>
      <c r="B730" t="n">
        <v>7490</v>
      </c>
    </row>
    <row r="731">
      <c r="A731" t="n">
        <v>385</v>
      </c>
      <c r="B731" t="n">
        <v>27154</v>
      </c>
    </row>
    <row r="732">
      <c r="A732" t="n">
        <v>100</v>
      </c>
      <c r="B732" t="n">
        <v>9612</v>
      </c>
    </row>
    <row r="733">
      <c r="A733" t="n">
        <v>200</v>
      </c>
      <c r="B733" t="n">
        <v>7490</v>
      </c>
    </row>
    <row r="734">
      <c r="A734" t="n">
        <v>200</v>
      </c>
      <c r="B734" t="n">
        <v>34900</v>
      </c>
    </row>
    <row r="735">
      <c r="A735" t="n">
        <v>750</v>
      </c>
      <c r="B735" t="n">
        <v>19990</v>
      </c>
    </row>
    <row r="736">
      <c r="A736" t="n">
        <v>300</v>
      </c>
      <c r="B736" t="n">
        <v>5692</v>
      </c>
    </row>
    <row r="737">
      <c r="A737" t="n">
        <v>750</v>
      </c>
      <c r="B737" t="n">
        <v>19990</v>
      </c>
    </row>
    <row r="738">
      <c r="A738" t="n">
        <v>400</v>
      </c>
      <c r="B738" t="n">
        <v>12490</v>
      </c>
    </row>
    <row r="739">
      <c r="A739" t="n">
        <v>300</v>
      </c>
      <c r="B739" t="n">
        <v>7273</v>
      </c>
    </row>
    <row r="740">
      <c r="A740" t="n">
        <v>200</v>
      </c>
      <c r="B740" t="n">
        <v>4124</v>
      </c>
    </row>
    <row r="741">
      <c r="A741" t="n">
        <v>400</v>
      </c>
      <c r="B741" t="n">
        <v>10574</v>
      </c>
    </row>
    <row r="742">
      <c r="A742" t="n">
        <v>400</v>
      </c>
      <c r="B742" t="n">
        <v>10574</v>
      </c>
    </row>
    <row r="743">
      <c r="A743" t="n">
        <v>400</v>
      </c>
      <c r="B743" t="n">
        <v>10574</v>
      </c>
    </row>
    <row r="744">
      <c r="A744" t="n">
        <v>415</v>
      </c>
      <c r="B744" t="n">
        <v>11750</v>
      </c>
    </row>
    <row r="745">
      <c r="A745" t="n">
        <v>400</v>
      </c>
      <c r="B745" t="n">
        <v>10574</v>
      </c>
    </row>
    <row r="746">
      <c r="A746" t="n">
        <v>240</v>
      </c>
      <c r="B746" t="n">
        <v>8262</v>
      </c>
    </row>
    <row r="747">
      <c r="A747" t="n">
        <v>300</v>
      </c>
      <c r="B747" t="n">
        <v>11190</v>
      </c>
    </row>
    <row r="748">
      <c r="A748" t="n">
        <v>300</v>
      </c>
      <c r="B748" t="n">
        <v>41400</v>
      </c>
    </row>
    <row r="749">
      <c r="A749" t="n">
        <v>150</v>
      </c>
      <c r="B749" t="n">
        <v>9251</v>
      </c>
    </row>
    <row r="750">
      <c r="A750" t="n">
        <v>300</v>
      </c>
      <c r="B750" t="n">
        <v>12990</v>
      </c>
    </row>
    <row r="751">
      <c r="A751" t="n">
        <v>350</v>
      </c>
      <c r="B751" t="n">
        <v>7990</v>
      </c>
    </row>
    <row r="752">
      <c r="A752" t="n">
        <v>300</v>
      </c>
      <c r="B752" t="n">
        <v>22217</v>
      </c>
    </row>
    <row r="753">
      <c r="A753" t="n">
        <v>300</v>
      </c>
      <c r="B753" t="n">
        <v>22217</v>
      </c>
    </row>
    <row r="754">
      <c r="A754" t="n">
        <v>65</v>
      </c>
      <c r="B754" t="n">
        <v>25238</v>
      </c>
    </row>
    <row r="755">
      <c r="A755" t="n">
        <v>300</v>
      </c>
      <c r="B755" t="n">
        <v>9870</v>
      </c>
    </row>
    <row r="756">
      <c r="A756" t="n">
        <v>145</v>
      </c>
      <c r="B756" t="n">
        <v>21304</v>
      </c>
    </row>
    <row r="757">
      <c r="A757" t="n">
        <v>300</v>
      </c>
      <c r="B757" t="n">
        <v>9870</v>
      </c>
    </row>
    <row r="758">
      <c r="A758" t="n">
        <v>420</v>
      </c>
      <c r="B758" t="n">
        <v>9700</v>
      </c>
    </row>
    <row r="759">
      <c r="A759" t="n">
        <v>400</v>
      </c>
      <c r="B759" t="n">
        <v>7494</v>
      </c>
    </row>
    <row r="760">
      <c r="A760" t="n">
        <v>400</v>
      </c>
      <c r="B760" t="n">
        <v>6137</v>
      </c>
    </row>
    <row r="761">
      <c r="A761" t="n">
        <v>350</v>
      </c>
      <c r="B761" t="n">
        <v>8984</v>
      </c>
    </row>
    <row r="762">
      <c r="A762" t="n">
        <v>400</v>
      </c>
      <c r="B762" t="n">
        <v>6714</v>
      </c>
    </row>
    <row r="763">
      <c r="A763" t="n">
        <v>400</v>
      </c>
      <c r="B763" t="n">
        <v>6714</v>
      </c>
    </row>
    <row r="764">
      <c r="A764" t="n">
        <v>400</v>
      </c>
      <c r="B764" t="n">
        <v>6714</v>
      </c>
    </row>
    <row r="765">
      <c r="A765" t="n">
        <v>400</v>
      </c>
      <c r="B765" t="n">
        <v>5812</v>
      </c>
    </row>
    <row r="766">
      <c r="A766" t="n">
        <v>300</v>
      </c>
      <c r="B766" t="n">
        <v>7273</v>
      </c>
    </row>
    <row r="767">
      <c r="A767" t="n">
        <v>400</v>
      </c>
      <c r="B767" t="n">
        <v>6137</v>
      </c>
    </row>
    <row r="768">
      <c r="A768" t="n">
        <v>750</v>
      </c>
      <c r="B768" t="n">
        <v>10040</v>
      </c>
    </row>
    <row r="769">
      <c r="A769" t="n">
        <v>500</v>
      </c>
      <c r="B769" t="n">
        <v>6574</v>
      </c>
    </row>
    <row r="770">
      <c r="A770" t="n">
        <v>200</v>
      </c>
      <c r="B770" t="n">
        <v>4194</v>
      </c>
    </row>
    <row r="771">
      <c r="A771" t="n">
        <v>400</v>
      </c>
      <c r="B771" t="n">
        <v>6714</v>
      </c>
    </row>
    <row r="772">
      <c r="A772" t="n">
        <v>400</v>
      </c>
      <c r="B772" t="n">
        <v>6714</v>
      </c>
    </row>
    <row r="773">
      <c r="A773" t="n">
        <v>750</v>
      </c>
      <c r="B773" t="n">
        <v>19990</v>
      </c>
    </row>
    <row r="774">
      <c r="A774" t="n">
        <v>510</v>
      </c>
      <c r="B774" t="n">
        <v>10285</v>
      </c>
    </row>
    <row r="775">
      <c r="A775" t="n">
        <v>200</v>
      </c>
      <c r="B775" t="n">
        <v>7490</v>
      </c>
    </row>
    <row r="776">
      <c r="A776" t="n">
        <v>420</v>
      </c>
      <c r="B776" t="n">
        <v>7575</v>
      </c>
    </row>
    <row r="777">
      <c r="A777" t="n">
        <v>500</v>
      </c>
      <c r="B777" t="n">
        <v>6574</v>
      </c>
    </row>
    <row r="778">
      <c r="A778" t="n">
        <v>415</v>
      </c>
      <c r="B778" t="n">
        <v>11750</v>
      </c>
    </row>
    <row r="779">
      <c r="A779" t="n">
        <v>300</v>
      </c>
      <c r="B779" t="n">
        <v>5692</v>
      </c>
    </row>
    <row r="780">
      <c r="A780" t="n">
        <v>300</v>
      </c>
      <c r="B780" t="n">
        <v>7273</v>
      </c>
    </row>
    <row r="781">
      <c r="A781" t="n">
        <v>210</v>
      </c>
      <c r="B781" t="n">
        <v>10392</v>
      </c>
    </row>
    <row r="782">
      <c r="A782" t="n">
        <v>300</v>
      </c>
      <c r="B782" t="n">
        <v>7273</v>
      </c>
    </row>
    <row r="783">
      <c r="A783" t="n">
        <v>300</v>
      </c>
      <c r="B783" t="n">
        <v>7273</v>
      </c>
    </row>
    <row r="784">
      <c r="A784" t="n">
        <v>400</v>
      </c>
      <c r="B784" t="n">
        <v>10574</v>
      </c>
    </row>
    <row r="785">
      <c r="A785" t="n">
        <v>400</v>
      </c>
      <c r="B785" t="n">
        <v>10574</v>
      </c>
    </row>
    <row r="786">
      <c r="A786" t="n">
        <v>350</v>
      </c>
      <c r="B786" t="n">
        <v>7990</v>
      </c>
    </row>
    <row r="787">
      <c r="A787" t="n">
        <v>700</v>
      </c>
      <c r="B787" t="n">
        <v>10040</v>
      </c>
    </row>
    <row r="788">
      <c r="A788" t="n">
        <v>300</v>
      </c>
      <c r="B788" t="n">
        <v>5692</v>
      </c>
    </row>
    <row r="789">
      <c r="A789" t="n">
        <v>300</v>
      </c>
      <c r="B789" t="n">
        <v>5692</v>
      </c>
    </row>
    <row r="790">
      <c r="A790" t="n">
        <v>300</v>
      </c>
      <c r="B790" t="n">
        <v>7264</v>
      </c>
    </row>
    <row r="791">
      <c r="A791" t="n">
        <v>200</v>
      </c>
      <c r="B791" t="n">
        <v>4194</v>
      </c>
    </row>
    <row r="792">
      <c r="A792" t="n">
        <v>385</v>
      </c>
      <c r="B792" t="n">
        <v>27154</v>
      </c>
    </row>
    <row r="793">
      <c r="A793" t="n">
        <v>200</v>
      </c>
      <c r="B793" t="n">
        <v>4540</v>
      </c>
    </row>
    <row r="794">
      <c r="A794" t="n">
        <v>200</v>
      </c>
      <c r="B794" t="n">
        <v>5490</v>
      </c>
    </row>
    <row r="795">
      <c r="A795" t="n">
        <v>350</v>
      </c>
      <c r="B795" t="n">
        <v>10470</v>
      </c>
    </row>
    <row r="796">
      <c r="A796" t="n">
        <v>200</v>
      </c>
      <c r="B796" t="n">
        <v>7011</v>
      </c>
    </row>
    <row r="797">
      <c r="A797" t="n">
        <v>700</v>
      </c>
      <c r="B797" t="n">
        <v>15128</v>
      </c>
    </row>
    <row r="798">
      <c r="A798" t="n">
        <v>200</v>
      </c>
      <c r="B798" t="n">
        <v>3807</v>
      </c>
    </row>
    <row r="799">
      <c r="A799" t="n">
        <v>300</v>
      </c>
      <c r="B799" t="n">
        <v>7264</v>
      </c>
    </row>
    <row r="800">
      <c r="A800" t="n">
        <v>385</v>
      </c>
      <c r="B800" t="n">
        <v>13577</v>
      </c>
    </row>
    <row r="801">
      <c r="A801" t="n">
        <v>250</v>
      </c>
      <c r="B801" t="n">
        <v>22618</v>
      </c>
    </row>
    <row r="802">
      <c r="A802" t="n">
        <v>350</v>
      </c>
      <c r="B802" t="n">
        <v>7990</v>
      </c>
    </row>
    <row r="803">
      <c r="A803" t="n">
        <v>200</v>
      </c>
      <c r="B803" t="n">
        <v>3807</v>
      </c>
    </row>
    <row r="804">
      <c r="A804" t="n">
        <v>200</v>
      </c>
      <c r="B804" t="n">
        <v>3807</v>
      </c>
    </row>
    <row r="805">
      <c r="A805" t="n">
        <v>340</v>
      </c>
      <c r="B805" t="n">
        <v>5837</v>
      </c>
    </row>
    <row r="806">
      <c r="A806" t="n">
        <v>250</v>
      </c>
      <c r="B806" t="n">
        <v>6091</v>
      </c>
    </row>
    <row r="807">
      <c r="A807" t="n">
        <v>250</v>
      </c>
      <c r="B807" t="n">
        <v>6091</v>
      </c>
    </row>
    <row r="808">
      <c r="A808" t="n">
        <v>420</v>
      </c>
      <c r="B808" t="n">
        <v>11000</v>
      </c>
    </row>
    <row r="809">
      <c r="A809" t="n">
        <v>200</v>
      </c>
      <c r="B809" t="n">
        <v>5490</v>
      </c>
    </row>
    <row r="810">
      <c r="A810" t="n">
        <v>350</v>
      </c>
      <c r="B810" t="n">
        <v>7990</v>
      </c>
    </row>
    <row r="811">
      <c r="A811" t="n">
        <v>200</v>
      </c>
      <c r="B811" t="n">
        <v>5490</v>
      </c>
    </row>
    <row r="812">
      <c r="A812" t="n">
        <v>170</v>
      </c>
      <c r="B812" t="n">
        <v>9647</v>
      </c>
    </row>
    <row r="813">
      <c r="A813" t="n">
        <v>750</v>
      </c>
      <c r="B813" t="n">
        <v>17990</v>
      </c>
    </row>
    <row r="814">
      <c r="A814" t="n">
        <v>420</v>
      </c>
      <c r="B814" t="n">
        <v>9700</v>
      </c>
    </row>
    <row r="815">
      <c r="A815" t="n">
        <v>400</v>
      </c>
      <c r="B815" t="n">
        <v>8331</v>
      </c>
    </row>
    <row r="816">
      <c r="A816" t="n">
        <v>250</v>
      </c>
      <c r="B816" t="n">
        <v>17500</v>
      </c>
    </row>
    <row r="817">
      <c r="A817" t="n">
        <v>170</v>
      </c>
      <c r="B817" t="n">
        <v>9647</v>
      </c>
    </row>
    <row r="818">
      <c r="A818" t="n">
        <v>400</v>
      </c>
      <c r="B818" t="n">
        <v>5595</v>
      </c>
    </row>
    <row r="819">
      <c r="A819" t="n">
        <v>400</v>
      </c>
      <c r="B819" t="n">
        <v>10596</v>
      </c>
    </row>
    <row r="820">
      <c r="A820" t="n">
        <v>200</v>
      </c>
      <c r="B820" t="n">
        <v>26000</v>
      </c>
    </row>
    <row r="821">
      <c r="A821" t="n">
        <v>420</v>
      </c>
      <c r="B821" t="n">
        <v>9700</v>
      </c>
    </row>
    <row r="822">
      <c r="A822" t="n">
        <v>200</v>
      </c>
      <c r="B822" t="n">
        <v>8057</v>
      </c>
    </row>
    <row r="823">
      <c r="A823" t="n">
        <v>200</v>
      </c>
      <c r="B823" t="n">
        <v>8250</v>
      </c>
    </row>
    <row r="824">
      <c r="A824" t="n">
        <v>400</v>
      </c>
      <c r="B824" t="n">
        <v>7494</v>
      </c>
    </row>
    <row r="825">
      <c r="A825" t="n">
        <v>400</v>
      </c>
      <c r="B825" t="n">
        <v>5812</v>
      </c>
    </row>
    <row r="826">
      <c r="A826" t="n">
        <v>500</v>
      </c>
      <c r="B826" t="n">
        <v>6574</v>
      </c>
    </row>
    <row r="827">
      <c r="A827" t="n">
        <v>300</v>
      </c>
      <c r="B827" t="n">
        <v>7273</v>
      </c>
    </row>
    <row r="828">
      <c r="A828" t="n">
        <v>500</v>
      </c>
      <c r="B828" t="n">
        <v>6574</v>
      </c>
    </row>
    <row r="829">
      <c r="A829" t="n">
        <v>400</v>
      </c>
      <c r="B829" t="n">
        <v>5812</v>
      </c>
    </row>
    <row r="830">
      <c r="A830" t="n">
        <v>510</v>
      </c>
      <c r="B830" t="n">
        <v>10285</v>
      </c>
    </row>
    <row r="831">
      <c r="A831" t="n">
        <v>400</v>
      </c>
      <c r="B831" t="n">
        <v>6137</v>
      </c>
    </row>
    <row r="832">
      <c r="A832" t="n">
        <v>200</v>
      </c>
      <c r="B832" t="n">
        <v>3807</v>
      </c>
    </row>
    <row r="833">
      <c r="A833" t="n">
        <v>200</v>
      </c>
      <c r="B833" t="n">
        <v>4494</v>
      </c>
    </row>
    <row r="834">
      <c r="A834" t="n">
        <v>415</v>
      </c>
      <c r="B834" t="n">
        <v>11750</v>
      </c>
    </row>
    <row r="835">
      <c r="A835" t="n">
        <v>400</v>
      </c>
      <c r="B835" t="n">
        <v>7169</v>
      </c>
    </row>
    <row r="836">
      <c r="A836" t="n">
        <v>400</v>
      </c>
      <c r="B836" t="n">
        <v>6137</v>
      </c>
    </row>
    <row r="837">
      <c r="A837" t="n">
        <v>200</v>
      </c>
      <c r="B837" t="n">
        <v>4619</v>
      </c>
    </row>
    <row r="838">
      <c r="A838" t="n">
        <v>200</v>
      </c>
      <c r="B838" t="n">
        <v>4194</v>
      </c>
    </row>
    <row r="839">
      <c r="A839" t="n">
        <v>250</v>
      </c>
      <c r="B839" t="n">
        <v>6032</v>
      </c>
    </row>
    <row r="840">
      <c r="A840" t="n">
        <v>750</v>
      </c>
      <c r="B840" t="n">
        <v>19990</v>
      </c>
    </row>
    <row r="841">
      <c r="A841" t="n">
        <v>200</v>
      </c>
      <c r="B841" t="n">
        <v>3807</v>
      </c>
    </row>
    <row r="842">
      <c r="A842" t="n">
        <v>750</v>
      </c>
      <c r="B842" t="n">
        <v>16733</v>
      </c>
    </row>
    <row r="843">
      <c r="A843" t="n">
        <v>350</v>
      </c>
      <c r="B843" t="n">
        <v>13000</v>
      </c>
    </row>
    <row r="844">
      <c r="A844" t="n">
        <v>400</v>
      </c>
      <c r="B844" t="n">
        <v>6137</v>
      </c>
    </row>
    <row r="845">
      <c r="A845" t="n">
        <v>500</v>
      </c>
      <c r="B845" t="n">
        <v>6574</v>
      </c>
    </row>
    <row r="846">
      <c r="A846" t="n">
        <v>300</v>
      </c>
      <c r="B846" t="n">
        <v>5692</v>
      </c>
    </row>
    <row r="847">
      <c r="A847" t="n">
        <v>300</v>
      </c>
      <c r="B847" t="n">
        <v>7264</v>
      </c>
    </row>
    <row r="848">
      <c r="A848" t="n">
        <v>385</v>
      </c>
      <c r="B848" t="n">
        <v>27154</v>
      </c>
    </row>
    <row r="849">
      <c r="A849" t="n">
        <v>300</v>
      </c>
      <c r="B849" t="n">
        <v>7264</v>
      </c>
    </row>
    <row r="850">
      <c r="A850" t="n">
        <v>750</v>
      </c>
      <c r="B850" t="n">
        <v>17990</v>
      </c>
    </row>
    <row r="851">
      <c r="A851" t="n">
        <v>200</v>
      </c>
      <c r="B851" t="n">
        <v>6990</v>
      </c>
    </row>
    <row r="852">
      <c r="A852" t="n">
        <v>410</v>
      </c>
      <c r="B852" t="n">
        <v>9700</v>
      </c>
    </row>
    <row r="853">
      <c r="A853" t="n">
        <v>415</v>
      </c>
      <c r="B853" t="n">
        <v>8225</v>
      </c>
    </row>
    <row r="854">
      <c r="A854" t="n">
        <v>350</v>
      </c>
      <c r="B854" t="n">
        <v>9973</v>
      </c>
    </row>
    <row r="855">
      <c r="A855" t="n">
        <v>350</v>
      </c>
      <c r="B855" t="n">
        <v>7990</v>
      </c>
    </row>
    <row r="856">
      <c r="A856" t="n">
        <v>250</v>
      </c>
      <c r="B856" t="n">
        <v>22398</v>
      </c>
    </row>
    <row r="857">
      <c r="A857" t="n">
        <v>340</v>
      </c>
      <c r="B857" t="n">
        <v>5836</v>
      </c>
    </row>
    <row r="858">
      <c r="A858" t="n">
        <v>200</v>
      </c>
      <c r="B858" t="n">
        <v>5788</v>
      </c>
    </row>
    <row r="859">
      <c r="A859" t="n">
        <v>200</v>
      </c>
      <c r="B859" t="n">
        <v>5018</v>
      </c>
    </row>
    <row r="860">
      <c r="A860" t="n">
        <v>200</v>
      </c>
      <c r="B860" t="n">
        <v>5018</v>
      </c>
    </row>
    <row r="861">
      <c r="A861" t="n">
        <v>340</v>
      </c>
      <c r="B861" t="n">
        <v>5837</v>
      </c>
    </row>
    <row r="862">
      <c r="A862" t="n">
        <v>415</v>
      </c>
      <c r="B862" t="n">
        <v>8225</v>
      </c>
    </row>
    <row r="863">
      <c r="A863" t="n">
        <v>750</v>
      </c>
      <c r="B863" t="n">
        <v>16733</v>
      </c>
    </row>
    <row r="864">
      <c r="A864" t="n">
        <v>200</v>
      </c>
      <c r="B864" t="n">
        <v>3807</v>
      </c>
    </row>
    <row r="865">
      <c r="A865" t="n">
        <v>190</v>
      </c>
      <c r="B865" t="n">
        <v>3907</v>
      </c>
    </row>
    <row r="866">
      <c r="A866" t="n">
        <v>350</v>
      </c>
      <c r="B866" t="n">
        <v>9900</v>
      </c>
    </row>
    <row r="867">
      <c r="A867" t="n">
        <v>420</v>
      </c>
      <c r="B867" t="n">
        <v>9700</v>
      </c>
    </row>
    <row r="868">
      <c r="A868" t="n">
        <v>200</v>
      </c>
      <c r="B868" t="n">
        <v>4697</v>
      </c>
    </row>
    <row r="869">
      <c r="A869" t="n">
        <v>200</v>
      </c>
      <c r="B869" t="n">
        <v>5788</v>
      </c>
    </row>
    <row r="870">
      <c r="A870" t="n">
        <v>340</v>
      </c>
      <c r="B870" t="n">
        <v>5836</v>
      </c>
    </row>
    <row r="871">
      <c r="A871" t="n">
        <v>650</v>
      </c>
      <c r="B871" t="n">
        <v>16218</v>
      </c>
    </row>
    <row r="872">
      <c r="A872" t="n">
        <v>300</v>
      </c>
      <c r="B872" t="n">
        <v>24783</v>
      </c>
    </row>
    <row r="873">
      <c r="A873" t="n">
        <v>250</v>
      </c>
      <c r="B873" t="n">
        <v>17500</v>
      </c>
    </row>
    <row r="874">
      <c r="A874" t="n">
        <v>350</v>
      </c>
      <c r="B874" t="n">
        <v>13000</v>
      </c>
    </row>
    <row r="875">
      <c r="A875" t="n">
        <v>200</v>
      </c>
      <c r="B875" t="n">
        <v>3807</v>
      </c>
    </row>
    <row r="876">
      <c r="A876" t="n">
        <v>400</v>
      </c>
      <c r="B876" t="n">
        <v>14616</v>
      </c>
    </row>
    <row r="877">
      <c r="A877" t="n">
        <v>45</v>
      </c>
      <c r="B877" t="n">
        <v>13508</v>
      </c>
    </row>
    <row r="878">
      <c r="A878" t="n">
        <v>200</v>
      </c>
      <c r="B878" t="n">
        <v>28700</v>
      </c>
    </row>
    <row r="879">
      <c r="A879" t="n">
        <v>340</v>
      </c>
      <c r="B879" t="n">
        <v>5841</v>
      </c>
    </row>
    <row r="880">
      <c r="A880" t="n">
        <v>300</v>
      </c>
      <c r="B880" t="n">
        <v>4301</v>
      </c>
    </row>
    <row r="881">
      <c r="A881" t="n">
        <v>300</v>
      </c>
      <c r="B881" t="n">
        <v>4214</v>
      </c>
    </row>
    <row r="882">
      <c r="A882" t="n">
        <v>100</v>
      </c>
      <c r="B882" t="n">
        <v>11799</v>
      </c>
    </row>
    <row r="883">
      <c r="A883" t="n">
        <v>340</v>
      </c>
      <c r="B883" t="n">
        <v>5836</v>
      </c>
    </row>
    <row r="884">
      <c r="A884" t="n">
        <v>340</v>
      </c>
      <c r="B884" t="n">
        <v>5836</v>
      </c>
    </row>
    <row r="885">
      <c r="A885" t="n">
        <v>200</v>
      </c>
      <c r="B885" t="n">
        <v>7490</v>
      </c>
    </row>
    <row r="886">
      <c r="A886" t="n">
        <v>400</v>
      </c>
      <c r="B886" t="n">
        <v>6137</v>
      </c>
    </row>
    <row r="887">
      <c r="A887" t="n">
        <v>750</v>
      </c>
      <c r="B887" t="n">
        <v>16733</v>
      </c>
    </row>
    <row r="888">
      <c r="A888" t="n">
        <v>700</v>
      </c>
      <c r="B888" t="n">
        <v>10040</v>
      </c>
    </row>
    <row r="889">
      <c r="A889" t="n">
        <v>750</v>
      </c>
      <c r="B889" t="n">
        <v>17990</v>
      </c>
    </row>
    <row r="890">
      <c r="A890" t="n">
        <v>500</v>
      </c>
      <c r="B890" t="n">
        <v>6574</v>
      </c>
    </row>
    <row r="891">
      <c r="A891" t="n">
        <v>300</v>
      </c>
      <c r="B891" t="n">
        <v>36644</v>
      </c>
    </row>
    <row r="892">
      <c r="A892" t="n">
        <v>200</v>
      </c>
      <c r="B892" t="n">
        <v>13176</v>
      </c>
    </row>
    <row r="893">
      <c r="A893" t="n">
        <v>300</v>
      </c>
      <c r="B893" t="n">
        <v>7264</v>
      </c>
    </row>
    <row r="894">
      <c r="A894" t="n">
        <v>400</v>
      </c>
      <c r="B894" t="n">
        <v>6137</v>
      </c>
    </row>
    <row r="895">
      <c r="A895" t="n">
        <v>400</v>
      </c>
      <c r="B895" t="n">
        <v>6714</v>
      </c>
    </row>
    <row r="896">
      <c r="A896" t="n">
        <v>295</v>
      </c>
      <c r="B896" t="n">
        <v>13068</v>
      </c>
    </row>
    <row r="897">
      <c r="A897" t="n">
        <v>200</v>
      </c>
      <c r="B897" t="n">
        <v>14256</v>
      </c>
    </row>
    <row r="898">
      <c r="A898" t="n">
        <v>300</v>
      </c>
      <c r="B898" t="n">
        <v>5692</v>
      </c>
    </row>
    <row r="899">
      <c r="A899" t="n">
        <v>700</v>
      </c>
      <c r="B899" t="n">
        <v>15128</v>
      </c>
    </row>
    <row r="900">
      <c r="A900" t="n">
        <v>200</v>
      </c>
      <c r="B900" t="n">
        <v>3808</v>
      </c>
    </row>
    <row r="901">
      <c r="A901" t="n">
        <v>300</v>
      </c>
      <c r="B901" t="n">
        <v>6032</v>
      </c>
    </row>
    <row r="902">
      <c r="A902" t="n">
        <v>300</v>
      </c>
      <c r="B902" t="n">
        <v>9024</v>
      </c>
    </row>
    <row r="903">
      <c r="A903" t="n">
        <v>750</v>
      </c>
      <c r="B903" t="n">
        <v>16733</v>
      </c>
    </row>
    <row r="904">
      <c r="A904" t="n">
        <v>350</v>
      </c>
      <c r="B904" t="n">
        <v>7990</v>
      </c>
    </row>
    <row r="905">
      <c r="A905" t="n">
        <v>190</v>
      </c>
      <c r="B905" t="n">
        <v>8108</v>
      </c>
    </row>
    <row r="906">
      <c r="A906" t="n">
        <v>750</v>
      </c>
      <c r="B906" t="n">
        <v>19990</v>
      </c>
    </row>
    <row r="907">
      <c r="A907" t="n">
        <v>400</v>
      </c>
      <c r="B907" t="n">
        <v>10574</v>
      </c>
    </row>
    <row r="908">
      <c r="A908" t="n">
        <v>350</v>
      </c>
      <c r="B908" t="n">
        <v>15700</v>
      </c>
    </row>
    <row r="909">
      <c r="A909" t="n">
        <v>300</v>
      </c>
      <c r="B909" t="n">
        <v>20300</v>
      </c>
    </row>
    <row r="910">
      <c r="A910" t="n">
        <v>400</v>
      </c>
      <c r="B910" t="n">
        <v>9247</v>
      </c>
    </row>
    <row r="911">
      <c r="A911" t="n">
        <v>400</v>
      </c>
      <c r="B911" t="n">
        <v>7169</v>
      </c>
    </row>
    <row r="912">
      <c r="A912" t="n">
        <v>240</v>
      </c>
      <c r="B912" t="n">
        <v>8262</v>
      </c>
    </row>
    <row r="913">
      <c r="A913" t="n">
        <v>200</v>
      </c>
      <c r="B913" t="n">
        <v>4619</v>
      </c>
    </row>
    <row r="914">
      <c r="A914" t="n">
        <v>400</v>
      </c>
      <c r="B914" t="n">
        <v>7169</v>
      </c>
    </row>
    <row r="915">
      <c r="A915" t="n">
        <v>400</v>
      </c>
      <c r="B915" t="n">
        <v>8331</v>
      </c>
    </row>
    <row r="916">
      <c r="A916" t="n">
        <v>200</v>
      </c>
      <c r="B916" t="n">
        <v>5018</v>
      </c>
    </row>
    <row r="917">
      <c r="A917" t="n">
        <v>200</v>
      </c>
      <c r="B917" t="n">
        <v>4540</v>
      </c>
    </row>
    <row r="918">
      <c r="A918" t="n">
        <v>350</v>
      </c>
      <c r="B918" t="n">
        <v>13000</v>
      </c>
    </row>
    <row r="919">
      <c r="A919" t="n">
        <v>300</v>
      </c>
      <c r="B919" t="n">
        <v>3437</v>
      </c>
    </row>
    <row r="920">
      <c r="A920" t="n">
        <v>65</v>
      </c>
      <c r="B920" t="n">
        <v>13508</v>
      </c>
    </row>
    <row r="921">
      <c r="A921" t="n">
        <v>200</v>
      </c>
      <c r="B921" t="n">
        <v>5018</v>
      </c>
    </row>
    <row r="922">
      <c r="A922" t="n">
        <v>375</v>
      </c>
      <c r="B922" t="n">
        <v>7895</v>
      </c>
    </row>
    <row r="923">
      <c r="A923" t="n">
        <v>415</v>
      </c>
      <c r="B923" t="n">
        <v>11750</v>
      </c>
    </row>
    <row r="924">
      <c r="A924" t="n">
        <v>300</v>
      </c>
      <c r="B924" t="n">
        <v>11190</v>
      </c>
    </row>
    <row r="925">
      <c r="A925" t="n">
        <v>400</v>
      </c>
      <c r="B925" t="n">
        <v>6714</v>
      </c>
    </row>
    <row r="926">
      <c r="A926" t="n">
        <v>400</v>
      </c>
      <c r="B926" t="n">
        <v>6714</v>
      </c>
    </row>
    <row r="927">
      <c r="A927" t="n">
        <v>400</v>
      </c>
      <c r="B927" t="n">
        <v>7494</v>
      </c>
    </row>
    <row r="928">
      <c r="A928" t="n">
        <v>300</v>
      </c>
      <c r="B928" t="n">
        <v>5595</v>
      </c>
    </row>
    <row r="929">
      <c r="A929" t="n">
        <v>350</v>
      </c>
      <c r="B929" t="n">
        <v>13990</v>
      </c>
    </row>
    <row r="930">
      <c r="A930" t="n">
        <v>300</v>
      </c>
      <c r="B930" t="n">
        <v>18990</v>
      </c>
    </row>
    <row r="931">
      <c r="A931" t="n">
        <v>200</v>
      </c>
      <c r="B931" t="n">
        <v>21000</v>
      </c>
    </row>
    <row r="932">
      <c r="A932" t="n">
        <v>410</v>
      </c>
      <c r="B932" t="n">
        <v>9700</v>
      </c>
    </row>
    <row r="933">
      <c r="A933" t="n">
        <v>400</v>
      </c>
      <c r="B933" t="n">
        <v>7266</v>
      </c>
    </row>
    <row r="934">
      <c r="A934" t="n">
        <v>200</v>
      </c>
      <c r="B934" t="n">
        <v>53488</v>
      </c>
    </row>
    <row r="935">
      <c r="A935" t="n">
        <v>375</v>
      </c>
      <c r="B935" t="n">
        <v>7895</v>
      </c>
    </row>
    <row r="936">
      <c r="A936" t="n">
        <v>180</v>
      </c>
      <c r="B936" t="n">
        <v>4701</v>
      </c>
    </row>
    <row r="937">
      <c r="A937" t="n">
        <v>375</v>
      </c>
      <c r="B937" t="n">
        <v>7895</v>
      </c>
    </row>
    <row r="938">
      <c r="A938" t="n">
        <v>180</v>
      </c>
      <c r="B938" t="n">
        <v>4701</v>
      </c>
    </row>
    <row r="939">
      <c r="A939" t="n">
        <v>200</v>
      </c>
      <c r="B939" t="n">
        <v>53488</v>
      </c>
    </row>
    <row r="940">
      <c r="A940" t="n">
        <v>410</v>
      </c>
      <c r="B940" t="n">
        <v>9700</v>
      </c>
    </row>
    <row r="941">
      <c r="A941" t="n">
        <v>340</v>
      </c>
      <c r="B941" t="n">
        <v>5836</v>
      </c>
    </row>
    <row r="942">
      <c r="A942" t="n">
        <v>340</v>
      </c>
      <c r="B942" t="n">
        <v>5841</v>
      </c>
    </row>
    <row r="943">
      <c r="A943" t="n">
        <v>190</v>
      </c>
      <c r="B943" t="n">
        <v>3907</v>
      </c>
    </row>
    <row r="944">
      <c r="A944" t="n">
        <v>400</v>
      </c>
      <c r="B944" t="n">
        <v>5812</v>
      </c>
    </row>
    <row r="945">
      <c r="A945" t="n">
        <v>400</v>
      </c>
      <c r="B945" t="n">
        <v>5812</v>
      </c>
    </row>
    <row r="946">
      <c r="A946" t="n">
        <v>400</v>
      </c>
      <c r="B946" t="n">
        <v>5812</v>
      </c>
    </row>
    <row r="947">
      <c r="A947" t="n">
        <v>200</v>
      </c>
      <c r="B947" t="n">
        <v>5788</v>
      </c>
    </row>
    <row r="948">
      <c r="A948" t="n">
        <v>340</v>
      </c>
      <c r="B948" t="n">
        <v>5841</v>
      </c>
    </row>
    <row r="949">
      <c r="A949" t="n">
        <v>375</v>
      </c>
      <c r="B949" t="n">
        <v>7895</v>
      </c>
    </row>
    <row r="950">
      <c r="A950" t="n">
        <v>300</v>
      </c>
      <c r="B950" t="n">
        <v>7273</v>
      </c>
    </row>
    <row r="951">
      <c r="A951" t="n">
        <v>400</v>
      </c>
      <c r="B951" t="n">
        <v>5812</v>
      </c>
    </row>
    <row r="952">
      <c r="A952" t="n">
        <v>340</v>
      </c>
      <c r="B952" t="n">
        <v>5836</v>
      </c>
    </row>
    <row r="953">
      <c r="A953" t="n">
        <v>190</v>
      </c>
      <c r="B953" t="n">
        <v>3907</v>
      </c>
    </row>
    <row r="954">
      <c r="A954" t="n">
        <v>200</v>
      </c>
      <c r="B954" t="n">
        <v>5788</v>
      </c>
    </row>
    <row r="955">
      <c r="A955" t="n">
        <v>340</v>
      </c>
      <c r="B955" t="n">
        <v>5841</v>
      </c>
    </row>
    <row r="956">
      <c r="A956" t="n">
        <v>250</v>
      </c>
      <c r="B956" t="n">
        <v>5404</v>
      </c>
    </row>
    <row r="957">
      <c r="A957" t="n">
        <v>400</v>
      </c>
      <c r="B957" t="n">
        <v>5812</v>
      </c>
    </row>
    <row r="958">
      <c r="A958" t="n">
        <v>250</v>
      </c>
      <c r="B958" t="n">
        <v>7490</v>
      </c>
    </row>
    <row r="959">
      <c r="A959" t="n">
        <v>250</v>
      </c>
      <c r="B959" t="n">
        <v>6091</v>
      </c>
    </row>
    <row r="960">
      <c r="A960" t="n">
        <v>20</v>
      </c>
      <c r="B960" t="n">
        <v>1020</v>
      </c>
    </row>
    <row r="961">
      <c r="A961" t="n">
        <v>220</v>
      </c>
      <c r="B961" t="n">
        <v>8294</v>
      </c>
    </row>
    <row r="962">
      <c r="A962" t="n">
        <v>245</v>
      </c>
      <c r="B962" t="n">
        <v>14904</v>
      </c>
    </row>
    <row r="963">
      <c r="A963" t="n">
        <v>20</v>
      </c>
      <c r="B963" t="n">
        <v>1020</v>
      </c>
    </row>
    <row r="964">
      <c r="A964" t="n">
        <v>20</v>
      </c>
      <c r="B964" t="n">
        <v>1020</v>
      </c>
    </row>
    <row r="965">
      <c r="A965" t="n">
        <v>20</v>
      </c>
      <c r="B965" t="n">
        <v>1020</v>
      </c>
    </row>
    <row r="966">
      <c r="A966" t="n">
        <v>150</v>
      </c>
      <c r="B966" t="n">
        <v>4300</v>
      </c>
    </row>
    <row r="967">
      <c r="A967" t="n">
        <v>120</v>
      </c>
      <c r="B967" t="n">
        <v>12381</v>
      </c>
    </row>
    <row r="968">
      <c r="A968" t="n">
        <v>215</v>
      </c>
      <c r="B968" t="n">
        <v>14290</v>
      </c>
    </row>
    <row r="969">
      <c r="A969" t="n">
        <v>20</v>
      </c>
      <c r="B969" t="n">
        <v>900</v>
      </c>
    </row>
    <row r="970">
      <c r="A970" t="n">
        <v>20</v>
      </c>
      <c r="B970" t="n">
        <v>1020</v>
      </c>
    </row>
    <row r="971">
      <c r="A971" t="n">
        <v>20</v>
      </c>
      <c r="B971" t="n">
        <v>1020</v>
      </c>
    </row>
    <row r="972">
      <c r="A972" t="n">
        <v>150</v>
      </c>
      <c r="B972" t="n">
        <v>4300</v>
      </c>
    </row>
    <row r="973">
      <c r="A973" t="n">
        <v>50</v>
      </c>
      <c r="B973" t="n">
        <v>2250</v>
      </c>
    </row>
    <row r="974">
      <c r="A974" t="n">
        <v>20</v>
      </c>
      <c r="B974" t="n">
        <v>1020</v>
      </c>
    </row>
    <row r="975">
      <c r="A975" t="n">
        <v>200</v>
      </c>
      <c r="B975" t="n">
        <v>6210</v>
      </c>
    </row>
    <row r="976">
      <c r="A976" t="n">
        <v>100</v>
      </c>
      <c r="B976" t="n">
        <v>8316</v>
      </c>
    </row>
    <row r="977">
      <c r="A977" t="n">
        <v>50</v>
      </c>
      <c r="B977" t="n">
        <v>2250</v>
      </c>
    </row>
    <row r="978">
      <c r="A978" t="n">
        <v>20</v>
      </c>
      <c r="B978" t="n">
        <v>1020</v>
      </c>
    </row>
    <row r="979">
      <c r="A979" t="n">
        <v>50</v>
      </c>
      <c r="B979" t="n">
        <v>2318</v>
      </c>
    </row>
    <row r="980">
      <c r="A980" t="n">
        <v>170</v>
      </c>
      <c r="B980" t="n">
        <v>3400</v>
      </c>
    </row>
    <row r="981">
      <c r="A981" t="n">
        <v>250</v>
      </c>
      <c r="B981" t="n">
        <v>27678</v>
      </c>
    </row>
    <row r="982">
      <c r="A982" t="n">
        <v>50</v>
      </c>
      <c r="B982" t="n">
        <v>2318</v>
      </c>
    </row>
    <row r="983">
      <c r="A983" t="n">
        <v>50</v>
      </c>
      <c r="B983" t="n">
        <v>1125</v>
      </c>
    </row>
    <row r="984">
      <c r="A984" t="n">
        <v>100</v>
      </c>
      <c r="B984" t="n">
        <v>15400</v>
      </c>
    </row>
    <row r="985">
      <c r="A985" t="n">
        <v>215</v>
      </c>
      <c r="B985" t="n">
        <v>13352</v>
      </c>
    </row>
    <row r="986">
      <c r="A986" t="n">
        <v>15</v>
      </c>
      <c r="B986" t="n">
        <v>4830</v>
      </c>
    </row>
    <row r="987">
      <c r="A987" t="n">
        <v>15</v>
      </c>
      <c r="B987" t="n">
        <v>4830</v>
      </c>
    </row>
    <row r="988">
      <c r="A988" t="n">
        <v>15</v>
      </c>
      <c r="B988" t="n">
        <v>4830</v>
      </c>
    </row>
    <row r="989">
      <c r="A989" t="n">
        <v>15</v>
      </c>
      <c r="B989" t="n">
        <v>4830</v>
      </c>
    </row>
    <row r="990">
      <c r="A990" t="n">
        <v>50</v>
      </c>
      <c r="B990" t="n">
        <v>2250</v>
      </c>
    </row>
    <row r="991">
      <c r="A991" t="n">
        <v>50</v>
      </c>
      <c r="B991" t="n">
        <v>2250</v>
      </c>
    </row>
    <row r="992">
      <c r="A992" t="n">
        <v>50</v>
      </c>
      <c r="B992" t="n">
        <v>2250</v>
      </c>
    </row>
    <row r="993">
      <c r="A993" t="n">
        <v>50</v>
      </c>
      <c r="B993" t="n">
        <v>1125</v>
      </c>
    </row>
    <row r="994">
      <c r="A994" t="n">
        <v>50</v>
      </c>
      <c r="B994" t="n">
        <v>2250</v>
      </c>
    </row>
    <row r="995">
      <c r="A995" t="n">
        <v>300</v>
      </c>
      <c r="B995" t="n">
        <v>9871</v>
      </c>
    </row>
    <row r="996">
      <c r="A996" t="n">
        <v>110</v>
      </c>
      <c r="B996" t="n">
        <v>9810</v>
      </c>
    </row>
    <row r="997">
      <c r="A997" t="n">
        <v>110</v>
      </c>
      <c r="B997" t="n">
        <v>9810</v>
      </c>
    </row>
    <row r="998">
      <c r="A998" t="n">
        <v>300</v>
      </c>
      <c r="B998" t="n">
        <v>9688</v>
      </c>
    </row>
    <row r="999">
      <c r="A999" t="n">
        <v>300</v>
      </c>
      <c r="B999" t="n">
        <v>9688</v>
      </c>
    </row>
    <row r="1000">
      <c r="A1000" t="n">
        <v>300</v>
      </c>
      <c r="B1000" t="n">
        <v>9688</v>
      </c>
    </row>
    <row r="1001">
      <c r="A1001" t="n">
        <v>300</v>
      </c>
      <c r="B1001" t="n">
        <v>9688</v>
      </c>
    </row>
    <row r="1002">
      <c r="A1002" t="n">
        <v>300</v>
      </c>
      <c r="B1002" t="n">
        <v>9688</v>
      </c>
    </row>
    <row r="1003">
      <c r="A1003" t="n">
        <v>300</v>
      </c>
      <c r="B1003" t="n">
        <v>3500</v>
      </c>
    </row>
    <row r="1004">
      <c r="A1004" t="n">
        <v>250</v>
      </c>
      <c r="B1004" t="n">
        <v>16479</v>
      </c>
    </row>
    <row r="1005">
      <c r="A1005" t="n">
        <v>300</v>
      </c>
      <c r="B1005" t="n">
        <v>13490</v>
      </c>
    </row>
    <row r="1006">
      <c r="A1006" t="n">
        <v>300</v>
      </c>
      <c r="B1006" t="n">
        <v>5127</v>
      </c>
    </row>
    <row r="1007">
      <c r="A1007" t="n">
        <v>300</v>
      </c>
      <c r="B1007" t="n">
        <v>11000</v>
      </c>
    </row>
    <row r="1008">
      <c r="A1008" t="n">
        <v>300</v>
      </c>
      <c r="B1008" t="n">
        <v>11000</v>
      </c>
    </row>
    <row r="1009">
      <c r="A1009" t="n">
        <v>300</v>
      </c>
      <c r="B1009" t="n">
        <v>17600</v>
      </c>
    </row>
    <row r="1010">
      <c r="A1010" t="n">
        <v>300</v>
      </c>
      <c r="B1010" t="n">
        <v>16600</v>
      </c>
    </row>
    <row r="1011">
      <c r="A1011" t="n">
        <v>250</v>
      </c>
      <c r="B1011" t="n">
        <v>16479</v>
      </c>
    </row>
    <row r="1012">
      <c r="A1012" t="n">
        <v>100</v>
      </c>
      <c r="B1012" t="n">
        <v>44980</v>
      </c>
    </row>
    <row r="1013">
      <c r="A1013" t="n">
        <v>100</v>
      </c>
      <c r="B1013" t="n">
        <v>44980</v>
      </c>
    </row>
    <row r="1014">
      <c r="A1014" t="n">
        <v>100</v>
      </c>
      <c r="B1014" t="n">
        <v>44980</v>
      </c>
    </row>
    <row r="1015">
      <c r="A1015" t="n">
        <v>190</v>
      </c>
      <c r="B1015" t="n">
        <v>2636</v>
      </c>
    </row>
    <row r="1016">
      <c r="A1016" t="n">
        <v>200</v>
      </c>
      <c r="B1016" t="n">
        <v>31641</v>
      </c>
    </row>
    <row r="1017">
      <c r="A1017" t="n">
        <v>300</v>
      </c>
      <c r="B1017" t="n">
        <v>5127</v>
      </c>
    </row>
    <row r="1018">
      <c r="A1018" t="n">
        <v>300</v>
      </c>
      <c r="B1018" t="n">
        <v>5127</v>
      </c>
    </row>
    <row r="1019">
      <c r="A1019" t="n">
        <v>125</v>
      </c>
      <c r="B1019" t="n">
        <v>7836</v>
      </c>
    </row>
    <row r="1020">
      <c r="A1020" t="n">
        <v>118</v>
      </c>
      <c r="B1020" t="n">
        <v>31640</v>
      </c>
    </row>
    <row r="1021">
      <c r="A1021" t="n">
        <v>15</v>
      </c>
      <c r="B1021" t="n">
        <v>1800</v>
      </c>
    </row>
    <row r="1022">
      <c r="A1022" t="n">
        <v>95</v>
      </c>
      <c r="B1022" t="n">
        <v>14400</v>
      </c>
    </row>
    <row r="1023">
      <c r="A1023" t="n">
        <v>150</v>
      </c>
      <c r="B1023" t="n">
        <v>14796</v>
      </c>
    </row>
    <row r="1024">
      <c r="A1024" t="n">
        <v>170</v>
      </c>
      <c r="B1024" t="n">
        <v>9400</v>
      </c>
    </row>
    <row r="1025">
      <c r="A1025" t="n">
        <v>150</v>
      </c>
      <c r="B1025" t="n">
        <v>10152</v>
      </c>
    </row>
    <row r="1026">
      <c r="A1026" t="n">
        <v>50</v>
      </c>
      <c r="B1026" t="n">
        <v>29000</v>
      </c>
    </row>
    <row r="1027">
      <c r="A1027" t="n">
        <v>300</v>
      </c>
      <c r="B1027" t="n">
        <v>5127</v>
      </c>
    </row>
    <row r="1028">
      <c r="A1028" t="n">
        <v>180</v>
      </c>
      <c r="B1028" t="n">
        <v>39000</v>
      </c>
    </row>
    <row r="1029">
      <c r="A1029" t="n">
        <v>300</v>
      </c>
      <c r="B1029" t="n">
        <v>8983</v>
      </c>
    </row>
    <row r="1030">
      <c r="A1030" t="n">
        <v>300</v>
      </c>
      <c r="B1030" t="n">
        <v>11190</v>
      </c>
    </row>
    <row r="1031">
      <c r="A1031" t="n">
        <v>150</v>
      </c>
      <c r="B1031" t="n">
        <v>11988</v>
      </c>
    </row>
    <row r="1032">
      <c r="A1032" t="n">
        <v>110</v>
      </c>
      <c r="B1032" t="n">
        <v>8464</v>
      </c>
    </row>
    <row r="1033">
      <c r="A1033" t="n">
        <v>500</v>
      </c>
      <c r="B1033" t="n">
        <v>33000</v>
      </c>
    </row>
    <row r="1034">
      <c r="A1034" t="n">
        <v>52</v>
      </c>
      <c r="B1034" t="n">
        <v>25541</v>
      </c>
    </row>
    <row r="1035">
      <c r="A1035" t="n">
        <v>170</v>
      </c>
      <c r="B1035" t="n">
        <v>9400</v>
      </c>
    </row>
    <row r="1036">
      <c r="A1036" t="n">
        <v>300</v>
      </c>
      <c r="B1036" t="n">
        <v>10392</v>
      </c>
    </row>
    <row r="1037">
      <c r="A1037" t="n">
        <v>30</v>
      </c>
      <c r="B1037" t="n">
        <v>18000</v>
      </c>
    </row>
    <row r="1038">
      <c r="A1038" t="n">
        <v>250</v>
      </c>
      <c r="B1038" t="n">
        <v>17600</v>
      </c>
    </row>
    <row r="1039">
      <c r="A1039" t="n">
        <v>10</v>
      </c>
      <c r="B1039" t="n">
        <v>3150</v>
      </c>
    </row>
    <row r="1040">
      <c r="A1040" t="n">
        <v>10</v>
      </c>
      <c r="B1040" t="n">
        <v>3150</v>
      </c>
    </row>
    <row r="1041">
      <c r="A1041" t="n">
        <v>50</v>
      </c>
      <c r="B1041" t="n">
        <v>9400</v>
      </c>
    </row>
    <row r="1042">
      <c r="A1042" t="n">
        <v>75</v>
      </c>
      <c r="B1042" t="n">
        <v>7623</v>
      </c>
    </row>
    <row r="1043">
      <c r="A1043" t="n">
        <v>300</v>
      </c>
      <c r="B1043" t="n">
        <v>10783</v>
      </c>
    </row>
    <row r="1044">
      <c r="A1044" t="n">
        <v>300</v>
      </c>
      <c r="B1044" t="n">
        <v>7273</v>
      </c>
    </row>
    <row r="1045">
      <c r="A1045" t="n">
        <v>300</v>
      </c>
      <c r="B1045" t="n">
        <v>7273</v>
      </c>
    </row>
    <row r="1046">
      <c r="A1046" t="n">
        <v>30</v>
      </c>
      <c r="B1046" t="n">
        <v>8078</v>
      </c>
    </row>
    <row r="1047">
      <c r="A1047" t="n">
        <v>10</v>
      </c>
      <c r="B1047" t="n">
        <v>8800</v>
      </c>
    </row>
    <row r="1048">
      <c r="A1048" t="n">
        <v>125</v>
      </c>
      <c r="B1048" t="n">
        <v>5599</v>
      </c>
    </row>
    <row r="1049">
      <c r="A1049" t="n">
        <v>50</v>
      </c>
      <c r="B1049" t="n">
        <v>5495</v>
      </c>
    </row>
    <row r="1050">
      <c r="A1050" t="n">
        <v>210</v>
      </c>
      <c r="B1050" t="n">
        <v>5395</v>
      </c>
    </row>
    <row r="1051">
      <c r="A1051" t="n">
        <v>55</v>
      </c>
      <c r="B1051" t="n">
        <v>33900</v>
      </c>
    </row>
    <row r="1052">
      <c r="A1052" t="n">
        <v>250</v>
      </c>
      <c r="B1052" t="n">
        <v>42600</v>
      </c>
    </row>
    <row r="1053">
      <c r="A1053" t="n">
        <v>200</v>
      </c>
      <c r="B1053" t="n">
        <v>6418</v>
      </c>
    </row>
    <row r="1054">
      <c r="A1054" t="n">
        <v>200</v>
      </c>
      <c r="B1054" t="n">
        <v>5788</v>
      </c>
    </row>
    <row r="1055">
      <c r="A1055" t="n">
        <v>250</v>
      </c>
      <c r="B1055" t="n">
        <v>6091</v>
      </c>
    </row>
    <row r="1056">
      <c r="A1056" t="n">
        <v>95</v>
      </c>
      <c r="B1056" t="n">
        <v>7200</v>
      </c>
    </row>
    <row r="1057">
      <c r="A1057" t="n">
        <v>420</v>
      </c>
      <c r="B1057" t="n">
        <v>7575</v>
      </c>
    </row>
    <row r="1058">
      <c r="A1058" t="n">
        <v>420</v>
      </c>
      <c r="B1058" t="n">
        <v>10800</v>
      </c>
    </row>
    <row r="1059">
      <c r="A1059" t="n">
        <v>400</v>
      </c>
      <c r="B1059" t="n">
        <v>6453</v>
      </c>
    </row>
    <row r="1060">
      <c r="A1060" t="n">
        <v>400</v>
      </c>
      <c r="B1060" t="n">
        <v>5812</v>
      </c>
    </row>
    <row r="1061">
      <c r="A1061" t="n">
        <v>200</v>
      </c>
      <c r="B1061" t="n">
        <v>5788</v>
      </c>
    </row>
    <row r="1062">
      <c r="A1062" t="n">
        <v>350</v>
      </c>
      <c r="B1062" t="n">
        <v>13990</v>
      </c>
    </row>
    <row r="1063">
      <c r="A1063" t="n">
        <v>300</v>
      </c>
      <c r="B1063" t="n">
        <v>11190</v>
      </c>
    </row>
    <row r="1064">
      <c r="A1064" t="n">
        <v>95</v>
      </c>
      <c r="B1064" t="n">
        <v>20179</v>
      </c>
    </row>
    <row r="1065">
      <c r="A1065" t="n">
        <v>100</v>
      </c>
      <c r="B1065" t="n">
        <v>19990</v>
      </c>
    </row>
    <row r="1066">
      <c r="A1066" t="n">
        <v>300</v>
      </c>
      <c r="B1066" t="n">
        <v>5684</v>
      </c>
    </row>
    <row r="1067">
      <c r="A1067" t="n">
        <v>500</v>
      </c>
      <c r="B1067" t="n">
        <v>6574</v>
      </c>
    </row>
    <row r="1068">
      <c r="A1068" t="n">
        <v>60</v>
      </c>
      <c r="B1068" t="n">
        <v>7914</v>
      </c>
    </row>
    <row r="1069">
      <c r="A1069" t="n">
        <v>100</v>
      </c>
      <c r="B1069" t="n">
        <v>8464</v>
      </c>
    </row>
    <row r="1070">
      <c r="A1070" t="n">
        <v>100</v>
      </c>
      <c r="B1070" t="n">
        <v>19990</v>
      </c>
    </row>
    <row r="1071">
      <c r="A1071" t="n">
        <v>300</v>
      </c>
      <c r="B1071" t="n">
        <v>10631</v>
      </c>
    </row>
    <row r="1072">
      <c r="A1072" t="n">
        <v>300</v>
      </c>
      <c r="B1072" t="n">
        <v>16356</v>
      </c>
    </row>
    <row r="1073">
      <c r="A1073" t="n">
        <v>110</v>
      </c>
      <c r="B1073" t="n">
        <v>17803</v>
      </c>
    </row>
    <row r="1074">
      <c r="A1074" t="n">
        <v>15</v>
      </c>
      <c r="B1074" t="n">
        <v>7900</v>
      </c>
    </row>
    <row r="1075">
      <c r="A1075" t="n">
        <v>250</v>
      </c>
      <c r="B1075" t="n">
        <v>6091</v>
      </c>
    </row>
    <row r="1076">
      <c r="A1076" t="n">
        <v>385</v>
      </c>
      <c r="B1076" t="n">
        <v>31641</v>
      </c>
    </row>
    <row r="1077">
      <c r="A1077" t="n">
        <v>190</v>
      </c>
      <c r="B1077" t="n">
        <v>14200</v>
      </c>
    </row>
    <row r="1078">
      <c r="A1078" t="n">
        <v>200</v>
      </c>
      <c r="B1078" t="n">
        <v>10269</v>
      </c>
    </row>
    <row r="1079">
      <c r="A1079" t="n">
        <v>60</v>
      </c>
      <c r="B1079" t="n">
        <v>16200</v>
      </c>
    </row>
    <row r="1080">
      <c r="A1080" t="n">
        <v>190</v>
      </c>
      <c r="B1080" t="n">
        <v>14200</v>
      </c>
    </row>
    <row r="1081">
      <c r="A1081" t="n">
        <v>125</v>
      </c>
      <c r="B1081" t="n">
        <v>4823</v>
      </c>
    </row>
    <row r="1082">
      <c r="A1082" t="n">
        <v>100</v>
      </c>
      <c r="B1082" t="n">
        <v>16581</v>
      </c>
    </row>
    <row r="1083">
      <c r="A1083" t="n">
        <v>95</v>
      </c>
      <c r="B1083" t="n">
        <v>23485</v>
      </c>
    </row>
    <row r="1084">
      <c r="A1084" t="n">
        <v>15</v>
      </c>
      <c r="B1084" t="n">
        <v>9900</v>
      </c>
    </row>
    <row r="1085">
      <c r="A1085" t="n">
        <v>100</v>
      </c>
      <c r="B1085" t="n">
        <v>13900</v>
      </c>
    </row>
    <row r="1086">
      <c r="A1086" t="n">
        <v>200</v>
      </c>
      <c r="B1086" t="n">
        <v>14880</v>
      </c>
    </row>
    <row r="1087">
      <c r="A1087" t="n">
        <v>300</v>
      </c>
      <c r="B1087" t="n">
        <v>5684</v>
      </c>
    </row>
    <row r="1088">
      <c r="A1088" t="n">
        <v>65</v>
      </c>
      <c r="B1088" t="n">
        <v>19409</v>
      </c>
    </row>
    <row r="1089">
      <c r="A1089" t="n">
        <v>15</v>
      </c>
      <c r="B1089" t="n">
        <v>7482</v>
      </c>
    </row>
    <row r="1090">
      <c r="A1090" t="n">
        <v>300</v>
      </c>
      <c r="B1090" t="n">
        <v>5684</v>
      </c>
    </row>
    <row r="1091">
      <c r="A1091" t="n">
        <v>200</v>
      </c>
      <c r="B1091" t="n">
        <v>29000</v>
      </c>
    </row>
    <row r="1092">
      <c r="A1092" t="n">
        <v>270</v>
      </c>
      <c r="B1092" t="n">
        <v>10225</v>
      </c>
    </row>
    <row r="1093">
      <c r="A1093" t="n">
        <v>190</v>
      </c>
      <c r="B1093" t="n">
        <v>8088</v>
      </c>
    </row>
    <row r="1094">
      <c r="A1094" t="n">
        <v>400</v>
      </c>
      <c r="B1094" t="n">
        <v>6137</v>
      </c>
    </row>
    <row r="1095">
      <c r="A1095" t="n">
        <v>250</v>
      </c>
      <c r="B1095" t="n">
        <v>12312</v>
      </c>
    </row>
    <row r="1096">
      <c r="A1096" t="n">
        <v>250</v>
      </c>
      <c r="B1096" t="n">
        <v>6091</v>
      </c>
    </row>
    <row r="1097">
      <c r="A1097" t="n">
        <v>500</v>
      </c>
      <c r="B1097" t="n">
        <v>6574</v>
      </c>
    </row>
    <row r="1098">
      <c r="A1098" t="n">
        <v>400</v>
      </c>
      <c r="B1098" t="n">
        <v>4399</v>
      </c>
    </row>
    <row r="1099">
      <c r="A1099" t="n">
        <v>90</v>
      </c>
      <c r="B1099" t="n">
        <v>8408</v>
      </c>
    </row>
    <row r="1100">
      <c r="A1100" t="n">
        <v>400</v>
      </c>
      <c r="B1100" t="n">
        <v>6137</v>
      </c>
    </row>
    <row r="1101">
      <c r="A1101" t="n">
        <v>300</v>
      </c>
      <c r="B1101" t="n">
        <v>9024</v>
      </c>
    </row>
    <row r="1102">
      <c r="A1102" t="n">
        <v>510</v>
      </c>
      <c r="B1102" t="n">
        <v>10285</v>
      </c>
    </row>
    <row r="1103">
      <c r="A1103" t="n">
        <v>270</v>
      </c>
      <c r="B1103" t="n">
        <v>10225</v>
      </c>
    </row>
    <row r="1104">
      <c r="A1104" t="n">
        <v>270</v>
      </c>
      <c r="B1104" t="n">
        <v>10225</v>
      </c>
    </row>
    <row r="1105">
      <c r="A1105" t="n">
        <v>510</v>
      </c>
      <c r="B1105" t="n">
        <v>10285</v>
      </c>
    </row>
    <row r="1106">
      <c r="A1106" t="n">
        <v>300</v>
      </c>
      <c r="B1106" t="n">
        <v>9024</v>
      </c>
    </row>
    <row r="1107">
      <c r="A1107" t="n">
        <v>400</v>
      </c>
      <c r="B1107" t="n">
        <v>6137</v>
      </c>
    </row>
    <row r="1108">
      <c r="A1108" t="n">
        <v>200</v>
      </c>
      <c r="B1108" t="n">
        <v>3807</v>
      </c>
    </row>
    <row r="1109">
      <c r="A1109" t="n">
        <v>400</v>
      </c>
      <c r="B1109" t="n">
        <v>6137</v>
      </c>
    </row>
    <row r="1110">
      <c r="A1110" t="n">
        <v>300</v>
      </c>
      <c r="B1110" t="n">
        <v>6032</v>
      </c>
    </row>
    <row r="1111">
      <c r="A1111" t="n">
        <v>700</v>
      </c>
      <c r="B1111" t="n">
        <v>10040</v>
      </c>
    </row>
    <row r="1112">
      <c r="A1112" t="n">
        <v>250</v>
      </c>
      <c r="B1112" t="n">
        <v>6032</v>
      </c>
    </row>
    <row r="1113">
      <c r="A1113" t="n">
        <v>250</v>
      </c>
      <c r="B1113" t="n">
        <v>6032</v>
      </c>
    </row>
    <row r="1114">
      <c r="A1114" t="n">
        <v>400</v>
      </c>
      <c r="B1114" t="n">
        <v>6137</v>
      </c>
    </row>
    <row r="1115">
      <c r="A1115" t="n">
        <v>170</v>
      </c>
      <c r="B1115" t="n">
        <v>9647</v>
      </c>
    </row>
    <row r="1116">
      <c r="A1116" t="n">
        <v>95</v>
      </c>
      <c r="B1116" t="n">
        <v>40357</v>
      </c>
    </row>
    <row r="1117">
      <c r="A1117" t="n">
        <v>750</v>
      </c>
      <c r="B1117" t="n">
        <v>16733</v>
      </c>
    </row>
    <row r="1118">
      <c r="A1118" t="n">
        <v>340</v>
      </c>
      <c r="B1118" t="n">
        <v>5837</v>
      </c>
    </row>
    <row r="1119">
      <c r="A1119" t="n">
        <v>300</v>
      </c>
      <c r="B1119" t="n">
        <v>5684</v>
      </c>
    </row>
    <row r="1120">
      <c r="A1120" t="n">
        <v>300</v>
      </c>
      <c r="B1120" t="n">
        <v>5684</v>
      </c>
    </row>
    <row r="1121">
      <c r="A1121" t="n">
        <v>190</v>
      </c>
      <c r="B1121" t="n">
        <v>1739</v>
      </c>
    </row>
    <row r="1122">
      <c r="A1122" t="n">
        <v>180</v>
      </c>
      <c r="B1122" t="n">
        <v>4701</v>
      </c>
    </row>
    <row r="1123">
      <c r="A1123" t="n">
        <v>180</v>
      </c>
      <c r="B1123" t="n">
        <v>4701</v>
      </c>
    </row>
    <row r="1124">
      <c r="A1124" t="n">
        <v>180</v>
      </c>
      <c r="B1124" t="n">
        <v>4701</v>
      </c>
    </row>
    <row r="1125">
      <c r="A1125" t="n">
        <v>250</v>
      </c>
      <c r="B1125" t="n">
        <v>8990</v>
      </c>
    </row>
    <row r="1126">
      <c r="A1126" t="n">
        <v>250</v>
      </c>
      <c r="B1126" t="n">
        <v>7490</v>
      </c>
    </row>
    <row r="1127">
      <c r="A1127" t="n">
        <v>250</v>
      </c>
      <c r="B1127" t="n">
        <v>3745</v>
      </c>
    </row>
    <row r="1128">
      <c r="A1128" t="n">
        <v>300</v>
      </c>
      <c r="B1128" t="n">
        <v>7273</v>
      </c>
    </row>
    <row r="1129">
      <c r="A1129" t="n">
        <v>200</v>
      </c>
      <c r="B1129" t="n">
        <v>2745</v>
      </c>
    </row>
    <row r="1130">
      <c r="A1130" t="n">
        <v>250</v>
      </c>
      <c r="B1130" t="n">
        <v>7490</v>
      </c>
    </row>
    <row r="1131">
      <c r="A1131" t="n">
        <v>250</v>
      </c>
      <c r="B1131" t="n">
        <v>7490</v>
      </c>
    </row>
    <row r="1132">
      <c r="A1132" t="n">
        <v>300</v>
      </c>
      <c r="B1132" t="n">
        <v>7273</v>
      </c>
    </row>
    <row r="1133">
      <c r="A1133" t="n">
        <v>350</v>
      </c>
      <c r="B1133" t="n">
        <v>13990</v>
      </c>
    </row>
    <row r="1134">
      <c r="A1134" t="n">
        <v>350</v>
      </c>
      <c r="B1134" t="n">
        <v>13990</v>
      </c>
    </row>
    <row r="1135">
      <c r="A1135" t="n">
        <v>350</v>
      </c>
      <c r="B1135" t="n">
        <v>13990</v>
      </c>
    </row>
    <row r="1136">
      <c r="A1136" t="n">
        <v>350</v>
      </c>
      <c r="B1136" t="n">
        <v>13990</v>
      </c>
    </row>
    <row r="1137">
      <c r="A1137" t="n">
        <v>200</v>
      </c>
      <c r="B1137" t="n">
        <v>5490</v>
      </c>
    </row>
    <row r="1138">
      <c r="A1138" t="n">
        <v>350</v>
      </c>
      <c r="B1138" t="n">
        <v>4945</v>
      </c>
    </row>
    <row r="1139">
      <c r="A1139" t="n">
        <v>120</v>
      </c>
      <c r="B1139" t="n">
        <v>7880</v>
      </c>
    </row>
    <row r="1140">
      <c r="A1140" t="n">
        <v>300</v>
      </c>
      <c r="B1140" t="n">
        <v>7568</v>
      </c>
    </row>
    <row r="1141">
      <c r="A1141" t="n">
        <v>60</v>
      </c>
      <c r="B1141" t="n">
        <v>6621</v>
      </c>
    </row>
    <row r="1142">
      <c r="A1142" t="n">
        <v>200</v>
      </c>
      <c r="B1142" t="n">
        <v>12516</v>
      </c>
    </row>
    <row r="1143">
      <c r="A1143" t="n">
        <v>500</v>
      </c>
      <c r="B1143" t="n">
        <v>6574</v>
      </c>
    </row>
    <row r="1144">
      <c r="A1144" t="n">
        <v>300</v>
      </c>
      <c r="B1144" t="n">
        <v>7568</v>
      </c>
    </row>
    <row r="1145">
      <c r="A1145" t="n">
        <v>170</v>
      </c>
      <c r="B1145" t="n">
        <v>12019</v>
      </c>
    </row>
    <row r="1146">
      <c r="A1146" t="n">
        <v>500</v>
      </c>
      <c r="B1146" t="n">
        <v>6574</v>
      </c>
    </row>
    <row r="1147">
      <c r="A1147" t="n">
        <v>367</v>
      </c>
      <c r="B1147" t="n">
        <v>12805</v>
      </c>
    </row>
    <row r="1148">
      <c r="A1148" t="n">
        <v>250</v>
      </c>
      <c r="B1148" t="n">
        <v>6091</v>
      </c>
    </row>
    <row r="1149">
      <c r="A1149" t="n">
        <v>150</v>
      </c>
      <c r="B1149" t="n">
        <v>4512</v>
      </c>
    </row>
    <row r="1150">
      <c r="A1150" t="n">
        <v>300</v>
      </c>
      <c r="B1150" t="n">
        <v>7315</v>
      </c>
    </row>
    <row r="1151">
      <c r="A1151" t="n">
        <v>400</v>
      </c>
      <c r="B1151" t="n">
        <v>6714</v>
      </c>
    </row>
    <row r="1152">
      <c r="A1152" t="n">
        <v>300</v>
      </c>
      <c r="B1152" t="n">
        <v>11190</v>
      </c>
    </row>
    <row r="1153">
      <c r="A1153" t="n">
        <v>400</v>
      </c>
      <c r="B1153" t="n">
        <v>6714</v>
      </c>
    </row>
    <row r="1154">
      <c r="A1154" t="n">
        <v>100</v>
      </c>
      <c r="B1154" t="n">
        <v>19990</v>
      </c>
    </row>
    <row r="1155">
      <c r="A1155" t="n">
        <v>300</v>
      </c>
      <c r="B1155" t="n">
        <v>12190</v>
      </c>
    </row>
    <row r="1156">
      <c r="A1156" t="n">
        <v>200</v>
      </c>
      <c r="B1156" t="n">
        <v>4194</v>
      </c>
    </row>
    <row r="1157">
      <c r="A1157" t="n">
        <v>400</v>
      </c>
      <c r="B1157" t="n">
        <v>6714</v>
      </c>
    </row>
    <row r="1158">
      <c r="A1158" t="n">
        <v>300</v>
      </c>
      <c r="B1158" t="n">
        <v>11190</v>
      </c>
    </row>
    <row r="1159">
      <c r="A1159" t="n">
        <v>400</v>
      </c>
      <c r="B1159" t="n">
        <v>6714</v>
      </c>
    </row>
    <row r="1160">
      <c r="A1160" t="n">
        <v>200</v>
      </c>
      <c r="B1160" t="n">
        <v>6990</v>
      </c>
    </row>
    <row r="1161">
      <c r="A1161" t="n">
        <v>750</v>
      </c>
      <c r="B1161" t="n">
        <v>17990</v>
      </c>
    </row>
    <row r="1162">
      <c r="A1162" t="n">
        <v>200</v>
      </c>
      <c r="B1162" t="n">
        <v>4194</v>
      </c>
    </row>
    <row r="1163">
      <c r="A1163" t="n">
        <v>250</v>
      </c>
      <c r="B1163" t="n">
        <v>8990</v>
      </c>
    </row>
    <row r="1164">
      <c r="A1164" t="n">
        <v>750</v>
      </c>
      <c r="B1164" t="n">
        <v>17990</v>
      </c>
    </row>
    <row r="1165">
      <c r="A1165" t="n">
        <v>750</v>
      </c>
      <c r="B1165" t="n">
        <v>17990</v>
      </c>
    </row>
    <row r="1166">
      <c r="A1166" t="n">
        <v>250</v>
      </c>
      <c r="B1166" t="n">
        <v>9990</v>
      </c>
    </row>
    <row r="1167">
      <c r="A1167" t="n">
        <v>200</v>
      </c>
      <c r="B1167" t="n">
        <v>6990</v>
      </c>
    </row>
    <row r="1168">
      <c r="A1168" t="n">
        <v>750</v>
      </c>
      <c r="B1168" t="n">
        <v>17990</v>
      </c>
    </row>
    <row r="1169">
      <c r="A1169" t="n">
        <v>750</v>
      </c>
      <c r="B1169" t="n">
        <v>17990</v>
      </c>
    </row>
    <row r="1170">
      <c r="A1170" t="n">
        <v>250</v>
      </c>
      <c r="B1170" t="n">
        <v>8990</v>
      </c>
    </row>
    <row r="1171">
      <c r="A1171" t="n">
        <v>400</v>
      </c>
      <c r="B1171" t="n">
        <v>5595</v>
      </c>
    </row>
    <row r="1172">
      <c r="A1172" t="n">
        <v>250</v>
      </c>
      <c r="B1172" t="n">
        <v>9990</v>
      </c>
    </row>
    <row r="1173">
      <c r="A1173" t="n">
        <v>100</v>
      </c>
      <c r="B1173" t="n">
        <v>42980</v>
      </c>
    </row>
    <row r="1174">
      <c r="A1174" t="n">
        <v>200</v>
      </c>
      <c r="B1174" t="n">
        <v>3495</v>
      </c>
    </row>
    <row r="1175">
      <c r="A1175" t="n">
        <v>400</v>
      </c>
      <c r="B1175" t="n">
        <v>11199</v>
      </c>
    </row>
    <row r="1176">
      <c r="A1176" t="n">
        <v>350</v>
      </c>
      <c r="B1176" t="n">
        <v>8750</v>
      </c>
    </row>
    <row r="1177">
      <c r="A1177" t="n">
        <v>650</v>
      </c>
      <c r="B1177" t="n">
        <v>17200</v>
      </c>
    </row>
    <row r="1178">
      <c r="A1178" t="n">
        <v>650</v>
      </c>
      <c r="B1178" t="n">
        <v>17200</v>
      </c>
    </row>
    <row r="1179">
      <c r="A1179" t="n">
        <v>400</v>
      </c>
      <c r="B1179" t="n">
        <v>9150</v>
      </c>
    </row>
    <row r="1180">
      <c r="A1180" t="n">
        <v>420</v>
      </c>
      <c r="B1180" t="n">
        <v>9750</v>
      </c>
    </row>
    <row r="1181">
      <c r="A1181" t="n">
        <v>400</v>
      </c>
      <c r="B1181" t="n">
        <v>17500</v>
      </c>
    </row>
    <row r="1182">
      <c r="A1182" t="n">
        <v>410</v>
      </c>
      <c r="B1182" t="n">
        <v>9750</v>
      </c>
    </row>
    <row r="1183">
      <c r="A1183" t="n">
        <v>350</v>
      </c>
      <c r="B1183" t="n">
        <v>8750</v>
      </c>
    </row>
    <row r="1184">
      <c r="A1184" t="n">
        <v>650</v>
      </c>
      <c r="B1184" t="n">
        <v>17200</v>
      </c>
    </row>
    <row r="1185">
      <c r="A1185" t="n">
        <v>340</v>
      </c>
      <c r="B1185" t="n">
        <v>5950</v>
      </c>
    </row>
    <row r="1186">
      <c r="A1186" t="n">
        <v>400</v>
      </c>
      <c r="B1186" t="n">
        <v>17550</v>
      </c>
    </row>
    <row r="1187">
      <c r="A1187" t="n">
        <v>420</v>
      </c>
      <c r="B1187" t="n">
        <v>9750</v>
      </c>
    </row>
    <row r="1188">
      <c r="A1188" t="n">
        <v>190</v>
      </c>
      <c r="B1188" t="n">
        <v>4050</v>
      </c>
    </row>
    <row r="1189">
      <c r="A1189" t="n">
        <v>650</v>
      </c>
      <c r="B1189" t="n">
        <v>17200</v>
      </c>
    </row>
    <row r="1190">
      <c r="A1190" t="n">
        <v>400</v>
      </c>
      <c r="B1190" t="n">
        <v>17550</v>
      </c>
    </row>
    <row r="1191">
      <c r="A1191" t="n">
        <v>400</v>
      </c>
      <c r="B1191" t="n">
        <v>17550</v>
      </c>
    </row>
    <row r="1192">
      <c r="A1192" t="n">
        <v>400</v>
      </c>
      <c r="B1192" t="n">
        <v>9150</v>
      </c>
    </row>
    <row r="1193">
      <c r="A1193" t="n">
        <v>400</v>
      </c>
      <c r="B1193" t="n">
        <v>9150</v>
      </c>
    </row>
    <row r="1194">
      <c r="A1194" t="n">
        <v>500</v>
      </c>
      <c r="B1194" t="n">
        <v>10750</v>
      </c>
    </row>
    <row r="1195">
      <c r="A1195" t="n">
        <v>400</v>
      </c>
      <c r="B1195" t="n">
        <v>9150</v>
      </c>
    </row>
    <row r="1196">
      <c r="A1196" t="n">
        <v>340</v>
      </c>
      <c r="B1196" t="n">
        <v>5469</v>
      </c>
    </row>
    <row r="1197">
      <c r="A1197" t="n">
        <v>970</v>
      </c>
      <c r="B1197" t="n">
        <v>6500</v>
      </c>
    </row>
    <row r="1198">
      <c r="A1198" t="n">
        <v>750</v>
      </c>
      <c r="B1198" t="n">
        <v>20900</v>
      </c>
    </row>
    <row r="1199">
      <c r="A1199" t="n">
        <v>340</v>
      </c>
      <c r="B1199" t="n">
        <v>5466</v>
      </c>
    </row>
    <row r="1200">
      <c r="A1200" t="n">
        <v>340</v>
      </c>
      <c r="B1200" t="n">
        <v>5466</v>
      </c>
    </row>
    <row r="1201">
      <c r="A1201" t="n">
        <v>500</v>
      </c>
      <c r="B1201" t="n">
        <v>10750</v>
      </c>
    </row>
    <row r="1202">
      <c r="A1202" t="n">
        <v>200</v>
      </c>
      <c r="B1202" t="n">
        <v>7650</v>
      </c>
    </row>
    <row r="1203">
      <c r="A1203" t="n">
        <v>970</v>
      </c>
      <c r="B1203" t="n">
        <v>6500</v>
      </c>
    </row>
    <row r="1204">
      <c r="A1204" t="n">
        <v>650</v>
      </c>
      <c r="B1204" t="n">
        <v>9250</v>
      </c>
    </row>
    <row r="1205">
      <c r="A1205" t="n">
        <v>750</v>
      </c>
      <c r="B1205" t="n">
        <v>19700</v>
      </c>
    </row>
    <row r="1206">
      <c r="A1206" t="n">
        <v>340</v>
      </c>
      <c r="B1206" t="n">
        <v>5950</v>
      </c>
    </row>
    <row r="1207">
      <c r="A1207" t="n">
        <v>250</v>
      </c>
      <c r="B1207" t="n">
        <v>6450</v>
      </c>
    </row>
    <row r="1208">
      <c r="A1208" t="n">
        <v>250</v>
      </c>
      <c r="B1208" t="n">
        <v>6450</v>
      </c>
    </row>
    <row r="1209">
      <c r="A1209" t="n">
        <v>500</v>
      </c>
      <c r="B1209" t="n">
        <v>10750</v>
      </c>
    </row>
    <row r="1210">
      <c r="A1210" t="n">
        <v>400</v>
      </c>
      <c r="B1210" t="n">
        <v>11000</v>
      </c>
    </row>
    <row r="1211">
      <c r="A1211" t="n">
        <v>340</v>
      </c>
      <c r="B1211" t="n">
        <v>5950</v>
      </c>
    </row>
    <row r="1212">
      <c r="A1212" t="n">
        <v>340</v>
      </c>
      <c r="B1212" t="n">
        <v>5950</v>
      </c>
    </row>
    <row r="1213">
      <c r="A1213" t="n">
        <v>200</v>
      </c>
      <c r="B1213" t="n">
        <v>6150</v>
      </c>
    </row>
    <row r="1214">
      <c r="A1214" t="n">
        <v>650</v>
      </c>
      <c r="B1214" t="n">
        <v>9550</v>
      </c>
    </row>
    <row r="1215">
      <c r="A1215" t="n">
        <v>880</v>
      </c>
      <c r="B1215" t="n">
        <v>17050</v>
      </c>
    </row>
    <row r="1216">
      <c r="A1216" t="n">
        <v>410</v>
      </c>
      <c r="B1216" t="n">
        <v>9750</v>
      </c>
    </row>
    <row r="1217">
      <c r="A1217" t="n">
        <v>200</v>
      </c>
      <c r="B1217" t="n">
        <v>7600</v>
      </c>
    </row>
    <row r="1218">
      <c r="A1218" t="n">
        <v>400</v>
      </c>
      <c r="B1218" t="n">
        <v>11000</v>
      </c>
    </row>
    <row r="1219">
      <c r="A1219" t="n">
        <v>375</v>
      </c>
      <c r="B1219" t="n">
        <v>13100</v>
      </c>
    </row>
    <row r="1220">
      <c r="A1220" t="n">
        <v>930</v>
      </c>
      <c r="B1220" t="n">
        <v>4600</v>
      </c>
    </row>
    <row r="1221">
      <c r="A1221" t="n">
        <v>180</v>
      </c>
      <c r="B1221" t="n">
        <v>7900</v>
      </c>
    </row>
    <row r="1222">
      <c r="A1222" t="n">
        <v>350</v>
      </c>
      <c r="B1222" t="n">
        <v>8750</v>
      </c>
    </row>
    <row r="1223">
      <c r="A1223" t="n">
        <v>350</v>
      </c>
      <c r="B1223" t="n">
        <v>9750</v>
      </c>
    </row>
    <row r="1224">
      <c r="A1224" t="n">
        <v>420</v>
      </c>
      <c r="B1224" t="n">
        <v>10950</v>
      </c>
    </row>
    <row r="1225">
      <c r="A1225" t="n">
        <v>375</v>
      </c>
      <c r="B1225" t="n">
        <v>13100</v>
      </c>
    </row>
    <row r="1226">
      <c r="A1226" t="n">
        <v>190</v>
      </c>
      <c r="B1226" t="n">
        <v>3950</v>
      </c>
    </row>
    <row r="1227">
      <c r="A1227" t="n">
        <v>650</v>
      </c>
      <c r="B1227" t="n">
        <v>19950</v>
      </c>
    </row>
    <row r="1228">
      <c r="A1228" t="n">
        <v>400</v>
      </c>
      <c r="B1228" t="n">
        <v>10450</v>
      </c>
    </row>
    <row r="1229">
      <c r="A1229" t="n">
        <v>880</v>
      </c>
      <c r="B1229" t="n">
        <v>17050</v>
      </c>
    </row>
    <row r="1230">
      <c r="A1230" t="n">
        <v>500</v>
      </c>
      <c r="B1230" t="n">
        <v>10750</v>
      </c>
    </row>
    <row r="1231">
      <c r="A1231" t="n">
        <v>400</v>
      </c>
      <c r="B1231" t="n">
        <v>12350</v>
      </c>
    </row>
    <row r="1232">
      <c r="A1232" t="n">
        <v>700</v>
      </c>
      <c r="B1232" t="n">
        <v>5650</v>
      </c>
    </row>
    <row r="1233">
      <c r="A1233" t="n">
        <v>200</v>
      </c>
      <c r="B1233" t="n">
        <v>7650</v>
      </c>
    </row>
    <row r="1234">
      <c r="A1234" t="n">
        <v>180</v>
      </c>
      <c r="B1234" t="n">
        <v>7900</v>
      </c>
    </row>
    <row r="1235">
      <c r="A1235" t="n">
        <v>420</v>
      </c>
      <c r="B1235" t="n">
        <v>9750</v>
      </c>
    </row>
    <row r="1236">
      <c r="A1236" t="n">
        <v>200</v>
      </c>
      <c r="B1236" t="n">
        <v>5950</v>
      </c>
    </row>
    <row r="1237">
      <c r="A1237" t="n">
        <v>180</v>
      </c>
      <c r="B1237" t="n">
        <v>8000</v>
      </c>
    </row>
    <row r="1238">
      <c r="A1238" t="n">
        <v>200</v>
      </c>
      <c r="B1238" t="n">
        <v>6900</v>
      </c>
    </row>
    <row r="1239">
      <c r="A1239" t="n">
        <v>650</v>
      </c>
      <c r="B1239" t="n">
        <v>20250</v>
      </c>
    </row>
    <row r="1240">
      <c r="A1240" t="n">
        <v>650</v>
      </c>
      <c r="B1240" t="n">
        <v>20250</v>
      </c>
    </row>
    <row r="1241">
      <c r="A1241" t="n">
        <v>350</v>
      </c>
      <c r="B1241" t="n">
        <v>3850</v>
      </c>
    </row>
    <row r="1242">
      <c r="A1242" t="n">
        <v>400</v>
      </c>
      <c r="B1242" t="n">
        <v>9220</v>
      </c>
    </row>
    <row r="1243">
      <c r="A1243" t="n">
        <v>340</v>
      </c>
      <c r="B1243" t="n">
        <v>5469</v>
      </c>
    </row>
    <row r="1244">
      <c r="A1244" t="n">
        <v>970</v>
      </c>
      <c r="B1244" t="n">
        <v>6032</v>
      </c>
    </row>
    <row r="1245">
      <c r="A1245" t="n">
        <v>300</v>
      </c>
      <c r="B1245" t="n">
        <v>10550</v>
      </c>
    </row>
    <row r="1246">
      <c r="A1246" t="n">
        <v>400</v>
      </c>
      <c r="B1246" t="n">
        <v>10650</v>
      </c>
    </row>
    <row r="1247">
      <c r="A1247" t="n">
        <v>200</v>
      </c>
      <c r="B1247" t="n">
        <v>6150</v>
      </c>
    </row>
    <row r="1248">
      <c r="A1248" t="n">
        <v>200</v>
      </c>
      <c r="B1248" t="n">
        <v>6800</v>
      </c>
    </row>
    <row r="1249">
      <c r="A1249" t="n">
        <v>650</v>
      </c>
      <c r="B1249" t="n">
        <v>19950</v>
      </c>
    </row>
    <row r="1250">
      <c r="A1250" t="n">
        <v>650</v>
      </c>
      <c r="B1250" t="n">
        <v>20450</v>
      </c>
    </row>
    <row r="1251">
      <c r="A1251" t="n">
        <v>250</v>
      </c>
      <c r="B1251" t="n">
        <v>6450</v>
      </c>
    </row>
    <row r="1252">
      <c r="A1252" t="n">
        <v>300</v>
      </c>
      <c r="B1252" t="n">
        <v>10550</v>
      </c>
    </row>
    <row r="1253">
      <c r="A1253" t="n">
        <v>400</v>
      </c>
      <c r="B1253" t="n">
        <v>11199</v>
      </c>
    </row>
    <row r="1254">
      <c r="A1254" t="n">
        <v>700</v>
      </c>
      <c r="B1254" t="n">
        <v>5550</v>
      </c>
    </row>
    <row r="1255">
      <c r="A1255" t="n">
        <v>200</v>
      </c>
      <c r="B1255" t="n">
        <v>8200</v>
      </c>
    </row>
    <row r="1256">
      <c r="A1256" t="n">
        <v>750</v>
      </c>
      <c r="B1256" t="n">
        <v>21250</v>
      </c>
    </row>
    <row r="1257">
      <c r="A1257" t="n">
        <v>510</v>
      </c>
      <c r="B1257" t="n">
        <v>16900</v>
      </c>
    </row>
    <row r="1258">
      <c r="A1258" t="n">
        <v>750</v>
      </c>
      <c r="B1258" t="n">
        <v>19700</v>
      </c>
    </row>
    <row r="1259">
      <c r="A1259" t="n">
        <v>375</v>
      </c>
      <c r="B1259" t="n">
        <v>13100</v>
      </c>
    </row>
    <row r="1260">
      <c r="A1260" t="n">
        <v>200</v>
      </c>
      <c r="B1260" t="n">
        <v>8200</v>
      </c>
    </row>
    <row r="1261">
      <c r="A1261" t="n">
        <v>400</v>
      </c>
      <c r="B1261" t="n">
        <v>13150</v>
      </c>
    </row>
    <row r="1262">
      <c r="A1262" t="n">
        <v>400</v>
      </c>
      <c r="B1262" t="n">
        <v>13150</v>
      </c>
    </row>
    <row r="1263">
      <c r="A1263" t="n">
        <v>200</v>
      </c>
      <c r="B1263" t="n">
        <v>6800</v>
      </c>
    </row>
    <row r="1264">
      <c r="A1264" t="n">
        <v>200</v>
      </c>
      <c r="B1264" t="n">
        <v>6800</v>
      </c>
    </row>
    <row r="1265">
      <c r="A1265" t="n">
        <v>200</v>
      </c>
      <c r="B1265" t="n">
        <v>7650</v>
      </c>
    </row>
    <row r="1266">
      <c r="A1266" t="n">
        <v>350</v>
      </c>
      <c r="B1266" t="n">
        <v>8650</v>
      </c>
    </row>
    <row r="1267">
      <c r="A1267" t="n">
        <v>750</v>
      </c>
      <c r="B1267" t="n">
        <v>21250</v>
      </c>
    </row>
    <row r="1268">
      <c r="A1268" t="n">
        <v>510</v>
      </c>
      <c r="B1268" t="n">
        <v>16900</v>
      </c>
    </row>
    <row r="1269">
      <c r="A1269" t="n">
        <v>700</v>
      </c>
      <c r="B1269" t="n">
        <v>5650</v>
      </c>
    </row>
    <row r="1270">
      <c r="A1270" t="n">
        <v>400</v>
      </c>
      <c r="B1270" t="n">
        <v>8250</v>
      </c>
    </row>
    <row r="1271">
      <c r="A1271" t="n">
        <v>300</v>
      </c>
      <c r="B1271" t="n">
        <v>10550</v>
      </c>
    </row>
    <row r="1272">
      <c r="A1272" t="n">
        <v>700</v>
      </c>
      <c r="B1272" t="n">
        <v>18050</v>
      </c>
    </row>
    <row r="1273">
      <c r="A1273" t="n">
        <v>750</v>
      </c>
      <c r="B1273" t="n">
        <v>19700</v>
      </c>
    </row>
    <row r="1274">
      <c r="A1274" t="n">
        <v>750</v>
      </c>
      <c r="B1274" t="n">
        <v>19700</v>
      </c>
    </row>
    <row r="1275">
      <c r="A1275" t="n">
        <v>400</v>
      </c>
      <c r="B1275" t="n">
        <v>11199</v>
      </c>
    </row>
    <row r="1276">
      <c r="A1276" t="n">
        <v>750</v>
      </c>
      <c r="B1276" t="n">
        <v>19700</v>
      </c>
    </row>
    <row r="1277">
      <c r="A1277" t="n">
        <v>400</v>
      </c>
      <c r="B1277" t="n">
        <v>11199</v>
      </c>
    </row>
    <row r="1278">
      <c r="A1278" t="n">
        <v>700</v>
      </c>
      <c r="B1278" t="n">
        <v>18050</v>
      </c>
    </row>
    <row r="1279">
      <c r="A1279" t="n">
        <v>340</v>
      </c>
      <c r="B1279" t="n">
        <v>5950</v>
      </c>
    </row>
    <row r="1280">
      <c r="A1280" t="n">
        <v>400</v>
      </c>
      <c r="B1280" t="n">
        <v>12300</v>
      </c>
    </row>
    <row r="1281">
      <c r="A1281" t="n">
        <v>300</v>
      </c>
      <c r="B1281" t="n">
        <v>12300</v>
      </c>
    </row>
    <row r="1282">
      <c r="A1282" t="n">
        <v>200</v>
      </c>
      <c r="B1282" t="n">
        <v>8200</v>
      </c>
    </row>
    <row r="1283">
      <c r="A1283" t="n">
        <v>25</v>
      </c>
      <c r="B1283" t="n">
        <v>5050</v>
      </c>
    </row>
    <row r="1284">
      <c r="A1284" t="n">
        <v>200</v>
      </c>
      <c r="B1284" t="n">
        <v>7450</v>
      </c>
    </row>
    <row r="1285">
      <c r="A1285" t="n">
        <v>400</v>
      </c>
      <c r="B1285" t="n">
        <v>10300</v>
      </c>
    </row>
    <row r="1286">
      <c r="A1286" t="n">
        <v>200</v>
      </c>
      <c r="B1286" t="n">
        <v>7650</v>
      </c>
    </row>
    <row r="1287">
      <c r="A1287" t="n">
        <v>400</v>
      </c>
      <c r="B1287" t="n">
        <v>11199</v>
      </c>
    </row>
    <row r="1288">
      <c r="A1288" t="n">
        <v>375</v>
      </c>
      <c r="B1288" t="n">
        <v>13100</v>
      </c>
    </row>
    <row r="1289">
      <c r="A1289" t="n">
        <v>400</v>
      </c>
      <c r="B1289" t="n">
        <v>11650</v>
      </c>
    </row>
    <row r="1290">
      <c r="A1290" t="n">
        <v>180</v>
      </c>
      <c r="B1290" t="n">
        <v>8000</v>
      </c>
    </row>
    <row r="1291">
      <c r="A1291" t="n">
        <v>25</v>
      </c>
      <c r="B1291" t="n">
        <v>5050</v>
      </c>
    </row>
    <row r="1292">
      <c r="A1292" t="n">
        <v>180</v>
      </c>
      <c r="B1292" t="n">
        <v>7750</v>
      </c>
    </row>
    <row r="1293">
      <c r="A1293" t="n">
        <v>200</v>
      </c>
      <c r="B1293" t="n">
        <v>7950</v>
      </c>
    </row>
    <row r="1294">
      <c r="A1294" t="n">
        <v>350</v>
      </c>
      <c r="B1294" t="n">
        <v>12750</v>
      </c>
    </row>
    <row r="1295">
      <c r="A1295" t="n">
        <v>650</v>
      </c>
      <c r="B1295" t="n">
        <v>20450</v>
      </c>
    </row>
    <row r="1296">
      <c r="A1296" t="n">
        <v>375</v>
      </c>
      <c r="B1296" t="n">
        <v>13100</v>
      </c>
    </row>
    <row r="1297">
      <c r="A1297" t="n">
        <v>180</v>
      </c>
      <c r="B1297" t="n">
        <v>7900</v>
      </c>
    </row>
    <row r="1298">
      <c r="A1298" t="n">
        <v>375</v>
      </c>
      <c r="B1298" t="n">
        <v>13100</v>
      </c>
    </row>
    <row r="1299">
      <c r="A1299" t="n">
        <v>400</v>
      </c>
      <c r="B1299" t="n">
        <v>9505</v>
      </c>
    </row>
    <row r="1300">
      <c r="A1300" t="n">
        <v>700</v>
      </c>
      <c r="B1300" t="n">
        <v>5650</v>
      </c>
    </row>
    <row r="1301">
      <c r="A1301" t="n">
        <v>420</v>
      </c>
      <c r="B1301" t="n">
        <v>10900</v>
      </c>
    </row>
    <row r="1302">
      <c r="A1302" t="n">
        <v>420</v>
      </c>
      <c r="B1302" t="n">
        <v>10900</v>
      </c>
    </row>
    <row r="1303">
      <c r="A1303" t="n">
        <v>420</v>
      </c>
      <c r="B1303" t="n">
        <v>9750</v>
      </c>
    </row>
    <row r="1304">
      <c r="A1304" t="n">
        <v>400</v>
      </c>
      <c r="B1304" t="n">
        <v>9505</v>
      </c>
    </row>
    <row r="1305">
      <c r="A1305" t="n">
        <v>375</v>
      </c>
      <c r="B1305" t="n">
        <v>13100</v>
      </c>
    </row>
    <row r="1306">
      <c r="A1306" t="n">
        <v>180</v>
      </c>
      <c r="B1306" t="n">
        <v>7900</v>
      </c>
    </row>
    <row r="1307">
      <c r="A1307" t="n">
        <v>750</v>
      </c>
      <c r="B1307" t="n">
        <v>19350</v>
      </c>
    </row>
    <row r="1308">
      <c r="A1308" t="n">
        <v>200</v>
      </c>
      <c r="B1308" t="n">
        <v>6650</v>
      </c>
    </row>
    <row r="1309">
      <c r="A1309" t="n">
        <v>375</v>
      </c>
      <c r="B1309" t="n">
        <v>13050</v>
      </c>
    </row>
    <row r="1310">
      <c r="A1310" t="n">
        <v>510</v>
      </c>
      <c r="B1310" t="n">
        <v>16900</v>
      </c>
    </row>
    <row r="1311">
      <c r="A1311" t="n">
        <v>200</v>
      </c>
      <c r="B1311" t="n">
        <v>6750</v>
      </c>
    </row>
    <row r="1312">
      <c r="A1312" t="n">
        <v>500</v>
      </c>
      <c r="B1312" t="n">
        <v>9800</v>
      </c>
    </row>
    <row r="1313">
      <c r="A1313" t="n">
        <v>415</v>
      </c>
      <c r="B1313" t="n">
        <v>11100</v>
      </c>
    </row>
    <row r="1314">
      <c r="A1314" t="n">
        <v>375</v>
      </c>
      <c r="B1314" t="n">
        <v>13000</v>
      </c>
    </row>
    <row r="1315">
      <c r="A1315" t="n">
        <v>650</v>
      </c>
      <c r="B1315" t="n">
        <v>20000</v>
      </c>
    </row>
    <row r="1316">
      <c r="A1316" t="n">
        <v>415</v>
      </c>
      <c r="B1316" t="n">
        <v>12200</v>
      </c>
    </row>
    <row r="1317">
      <c r="A1317" t="n">
        <v>750</v>
      </c>
      <c r="B1317" t="n">
        <v>19700</v>
      </c>
    </row>
    <row r="1318">
      <c r="A1318" t="n">
        <v>180</v>
      </c>
      <c r="B1318" t="n">
        <v>7800</v>
      </c>
    </row>
    <row r="1319">
      <c r="A1319" t="n">
        <v>500</v>
      </c>
      <c r="B1319" t="n">
        <v>8500</v>
      </c>
    </row>
    <row r="1320">
      <c r="A1320" t="n">
        <v>400</v>
      </c>
      <c r="B1320" t="n">
        <v>11000</v>
      </c>
    </row>
    <row r="1321">
      <c r="A1321" t="n">
        <v>400</v>
      </c>
      <c r="B1321" t="n">
        <v>11199</v>
      </c>
    </row>
    <row r="1322">
      <c r="A1322" t="n">
        <v>750</v>
      </c>
      <c r="B1322" t="n">
        <v>18050</v>
      </c>
    </row>
    <row r="1323">
      <c r="A1323" t="n">
        <v>375</v>
      </c>
      <c r="B1323" t="n">
        <v>13100</v>
      </c>
    </row>
    <row r="1324">
      <c r="A1324" t="n">
        <v>375</v>
      </c>
      <c r="B1324" t="n">
        <v>13100</v>
      </c>
    </row>
    <row r="1325">
      <c r="A1325" t="n">
        <v>400</v>
      </c>
      <c r="B1325" t="n">
        <v>11199</v>
      </c>
    </row>
    <row r="1326">
      <c r="A1326" t="n">
        <v>200</v>
      </c>
      <c r="B1326" t="n">
        <v>6650</v>
      </c>
    </row>
    <row r="1327">
      <c r="A1327" t="n">
        <v>400</v>
      </c>
      <c r="B1327" t="n">
        <v>11000</v>
      </c>
    </row>
    <row r="1328">
      <c r="A1328" t="n">
        <v>400</v>
      </c>
      <c r="B1328" t="n">
        <v>11000</v>
      </c>
    </row>
    <row r="1329">
      <c r="A1329" t="n">
        <v>375</v>
      </c>
      <c r="B1329" t="n">
        <v>13100</v>
      </c>
    </row>
    <row r="1330">
      <c r="A1330" t="n">
        <v>180</v>
      </c>
      <c r="B1330" t="n">
        <v>8000</v>
      </c>
    </row>
    <row r="1331">
      <c r="A1331" t="n">
        <v>750</v>
      </c>
      <c r="B1331" t="n">
        <v>21250</v>
      </c>
    </row>
    <row r="1332">
      <c r="A1332" t="n">
        <v>750</v>
      </c>
      <c r="B1332" t="n">
        <v>19700</v>
      </c>
    </row>
    <row r="1333">
      <c r="A1333" t="n">
        <v>200</v>
      </c>
      <c r="B1333" t="n">
        <v>6750</v>
      </c>
    </row>
    <row r="1334">
      <c r="A1334" t="n">
        <v>400</v>
      </c>
      <c r="B1334" t="n">
        <v>12550</v>
      </c>
    </row>
    <row r="1335">
      <c r="A1335" t="n">
        <v>400</v>
      </c>
      <c r="B1335" t="n">
        <v>11000</v>
      </c>
    </row>
    <row r="1336">
      <c r="A1336" t="n">
        <v>170</v>
      </c>
      <c r="B1336" t="n">
        <v>10100</v>
      </c>
    </row>
    <row r="1337">
      <c r="A1337" t="n">
        <v>650</v>
      </c>
      <c r="B1337" t="n">
        <v>17200</v>
      </c>
    </row>
    <row r="1338">
      <c r="A1338" t="n">
        <v>650</v>
      </c>
      <c r="B1338" t="n">
        <v>17200</v>
      </c>
    </row>
    <row r="1339">
      <c r="A1339" t="n">
        <v>420</v>
      </c>
      <c r="B1339" t="n">
        <v>9750</v>
      </c>
    </row>
    <row r="1340">
      <c r="A1340" t="n">
        <v>200</v>
      </c>
      <c r="B1340" t="n">
        <v>5950</v>
      </c>
    </row>
    <row r="1341">
      <c r="A1341" t="n">
        <v>400</v>
      </c>
      <c r="B1341" t="n">
        <v>17500</v>
      </c>
    </row>
    <row r="1342">
      <c r="A1342" t="n">
        <v>400</v>
      </c>
      <c r="B1342" t="n">
        <v>17500</v>
      </c>
    </row>
    <row r="1343">
      <c r="A1343" t="n">
        <v>400</v>
      </c>
      <c r="B1343" t="n">
        <v>9150</v>
      </c>
    </row>
    <row r="1344">
      <c r="A1344" t="n">
        <v>970</v>
      </c>
      <c r="B1344" t="n">
        <v>6500</v>
      </c>
    </row>
    <row r="1345">
      <c r="A1345" t="n">
        <v>400</v>
      </c>
      <c r="B1345" t="n">
        <v>9150</v>
      </c>
    </row>
    <row r="1346">
      <c r="A1346" t="n">
        <v>340</v>
      </c>
      <c r="B1346" t="n">
        <v>5439</v>
      </c>
    </row>
    <row r="1347">
      <c r="A1347" t="n">
        <v>500</v>
      </c>
      <c r="B1347" t="n">
        <v>10900</v>
      </c>
    </row>
    <row r="1348">
      <c r="A1348" t="n">
        <v>340</v>
      </c>
      <c r="B1348" t="n">
        <v>5469</v>
      </c>
    </row>
    <row r="1349">
      <c r="A1349" t="n">
        <v>400</v>
      </c>
      <c r="B1349" t="n">
        <v>10550</v>
      </c>
    </row>
    <row r="1350">
      <c r="A1350" t="n">
        <v>200</v>
      </c>
      <c r="B1350" t="n">
        <v>7450</v>
      </c>
    </row>
    <row r="1351">
      <c r="A1351" t="n">
        <v>340</v>
      </c>
      <c r="B1351" t="n">
        <v>5437</v>
      </c>
    </row>
    <row r="1352">
      <c r="A1352" t="n">
        <v>400</v>
      </c>
      <c r="B1352" t="n">
        <v>11900</v>
      </c>
    </row>
    <row r="1353">
      <c r="A1353" t="n">
        <v>750</v>
      </c>
      <c r="B1353" t="n">
        <v>19150</v>
      </c>
    </row>
    <row r="1354">
      <c r="A1354" t="n">
        <v>650</v>
      </c>
      <c r="B1354" t="n">
        <v>9000</v>
      </c>
    </row>
    <row r="1355">
      <c r="A1355" t="n">
        <v>410</v>
      </c>
      <c r="B1355" t="n">
        <v>9750</v>
      </c>
    </row>
    <row r="1356">
      <c r="A1356" t="n">
        <v>200</v>
      </c>
      <c r="B1356" t="n">
        <v>6150</v>
      </c>
    </row>
    <row r="1357">
      <c r="A1357" t="n">
        <v>400</v>
      </c>
      <c r="B1357" t="n">
        <v>9150</v>
      </c>
    </row>
    <row r="1358">
      <c r="A1358" t="n">
        <v>400</v>
      </c>
      <c r="B1358" t="n">
        <v>12300</v>
      </c>
    </row>
    <row r="1359">
      <c r="A1359" t="n">
        <v>400</v>
      </c>
      <c r="B1359" t="n">
        <v>12300</v>
      </c>
    </row>
    <row r="1360">
      <c r="A1360" t="n">
        <v>400</v>
      </c>
      <c r="B1360" t="n">
        <v>12300</v>
      </c>
    </row>
    <row r="1361">
      <c r="A1361" t="n">
        <v>500</v>
      </c>
      <c r="B1361" t="n">
        <v>10900</v>
      </c>
    </row>
    <row r="1362">
      <c r="A1362" t="n">
        <v>500</v>
      </c>
      <c r="B1362" t="n">
        <v>10900</v>
      </c>
    </row>
    <row r="1363">
      <c r="A1363" t="n">
        <v>340</v>
      </c>
      <c r="B1363" t="n">
        <v>5600</v>
      </c>
    </row>
    <row r="1364">
      <c r="A1364" t="n">
        <v>200</v>
      </c>
      <c r="B1364" t="n">
        <v>7650</v>
      </c>
    </row>
    <row r="1365">
      <c r="A1365" t="n">
        <v>250</v>
      </c>
      <c r="B1365" t="n">
        <v>9550</v>
      </c>
    </row>
    <row r="1366">
      <c r="A1366" t="n">
        <v>250</v>
      </c>
      <c r="B1366" t="n">
        <v>6350</v>
      </c>
    </row>
    <row r="1367">
      <c r="A1367" t="n">
        <v>340</v>
      </c>
      <c r="B1367" t="n">
        <v>5950</v>
      </c>
    </row>
    <row r="1368">
      <c r="A1368" t="n">
        <v>240</v>
      </c>
      <c r="B1368" t="n">
        <v>13500</v>
      </c>
    </row>
    <row r="1369">
      <c r="A1369" t="n">
        <v>500</v>
      </c>
      <c r="B1369" t="n">
        <v>10900</v>
      </c>
    </row>
    <row r="1370">
      <c r="A1370" t="n">
        <v>340</v>
      </c>
      <c r="B1370" t="n">
        <v>5439</v>
      </c>
    </row>
    <row r="1371">
      <c r="A1371" t="n">
        <v>650</v>
      </c>
      <c r="B1371" t="n">
        <v>13150</v>
      </c>
    </row>
    <row r="1372">
      <c r="A1372" t="n">
        <v>510</v>
      </c>
      <c r="B1372" t="n">
        <v>16950</v>
      </c>
    </row>
    <row r="1373">
      <c r="A1373" t="n">
        <v>970</v>
      </c>
      <c r="B1373" t="n">
        <v>6500</v>
      </c>
    </row>
    <row r="1374">
      <c r="A1374" t="n">
        <v>200</v>
      </c>
      <c r="B1374" t="n">
        <v>6150</v>
      </c>
    </row>
    <row r="1375">
      <c r="A1375" t="n">
        <v>340</v>
      </c>
      <c r="B1375" t="n">
        <v>5600</v>
      </c>
    </row>
    <row r="1376">
      <c r="A1376" t="n">
        <v>750</v>
      </c>
      <c r="B1376" t="n">
        <v>16500</v>
      </c>
    </row>
    <row r="1377">
      <c r="A1377" t="n">
        <v>650</v>
      </c>
      <c r="B1377" t="n">
        <v>9550</v>
      </c>
    </row>
    <row r="1378">
      <c r="A1378" t="n">
        <v>350</v>
      </c>
      <c r="B1378" t="n">
        <v>8650</v>
      </c>
    </row>
    <row r="1379">
      <c r="A1379" t="n">
        <v>510</v>
      </c>
      <c r="B1379" t="n">
        <v>16900</v>
      </c>
    </row>
    <row r="1380">
      <c r="A1380" t="n">
        <v>190</v>
      </c>
      <c r="B1380" t="n">
        <v>4000</v>
      </c>
    </row>
    <row r="1381">
      <c r="A1381" t="n">
        <v>250</v>
      </c>
      <c r="B1381" t="n">
        <v>6350</v>
      </c>
    </row>
    <row r="1382">
      <c r="A1382" t="n">
        <v>340</v>
      </c>
      <c r="B1382" t="n">
        <v>5469</v>
      </c>
    </row>
    <row r="1383">
      <c r="A1383" t="n">
        <v>250</v>
      </c>
      <c r="B1383" t="n">
        <v>9550</v>
      </c>
    </row>
    <row r="1384">
      <c r="A1384" t="n">
        <v>200</v>
      </c>
      <c r="B1384" t="n">
        <v>8200</v>
      </c>
    </row>
    <row r="1385">
      <c r="A1385" t="n">
        <v>700</v>
      </c>
      <c r="B1385" t="n">
        <v>5550</v>
      </c>
    </row>
    <row r="1386">
      <c r="A1386" t="n">
        <v>510</v>
      </c>
      <c r="B1386" t="n">
        <v>16950</v>
      </c>
    </row>
    <row r="1387">
      <c r="A1387" t="n">
        <v>200</v>
      </c>
      <c r="B1387" t="n">
        <v>5950</v>
      </c>
    </row>
    <row r="1388">
      <c r="A1388" t="n">
        <v>700</v>
      </c>
      <c r="B1388" t="n">
        <v>5650</v>
      </c>
    </row>
    <row r="1389">
      <c r="A1389" t="n">
        <v>400</v>
      </c>
      <c r="B1389" t="n">
        <v>12300</v>
      </c>
    </row>
    <row r="1390">
      <c r="A1390" t="n">
        <v>400</v>
      </c>
      <c r="B1390" t="n">
        <v>10550</v>
      </c>
    </row>
    <row r="1391">
      <c r="A1391" t="n">
        <v>970</v>
      </c>
      <c r="B1391" t="n">
        <v>6500</v>
      </c>
    </row>
    <row r="1392">
      <c r="A1392" t="n">
        <v>400</v>
      </c>
      <c r="B1392" t="n">
        <v>12300</v>
      </c>
    </row>
    <row r="1393">
      <c r="A1393" t="n">
        <v>420</v>
      </c>
      <c r="B1393" t="n">
        <v>9750</v>
      </c>
    </row>
    <row r="1394">
      <c r="A1394" t="n">
        <v>650</v>
      </c>
      <c r="B1394" t="n">
        <v>17200</v>
      </c>
    </row>
    <row r="1395">
      <c r="A1395" t="n">
        <v>650</v>
      </c>
      <c r="B1395" t="n">
        <v>9550</v>
      </c>
    </row>
    <row r="1396">
      <c r="A1396" t="n">
        <v>200</v>
      </c>
      <c r="B1396" t="n">
        <v>7650</v>
      </c>
    </row>
    <row r="1397">
      <c r="A1397" t="n">
        <v>400</v>
      </c>
      <c r="B1397" t="n">
        <v>13700</v>
      </c>
    </row>
    <row r="1398">
      <c r="A1398" t="n">
        <v>400</v>
      </c>
      <c r="B1398" t="n">
        <v>10550</v>
      </c>
    </row>
    <row r="1399">
      <c r="A1399" t="n">
        <v>200</v>
      </c>
      <c r="B1399" t="n">
        <v>7650</v>
      </c>
    </row>
    <row r="1400">
      <c r="A1400" t="n">
        <v>750</v>
      </c>
      <c r="B1400" t="n">
        <v>21850</v>
      </c>
    </row>
    <row r="1401">
      <c r="A1401" t="n">
        <v>750</v>
      </c>
      <c r="B1401" t="n">
        <v>19150</v>
      </c>
    </row>
    <row r="1402">
      <c r="A1402" t="n">
        <v>350</v>
      </c>
      <c r="B1402" t="n">
        <v>8650</v>
      </c>
    </row>
    <row r="1403">
      <c r="A1403" t="n">
        <v>250</v>
      </c>
      <c r="B1403" t="n">
        <v>10550</v>
      </c>
    </row>
    <row r="1404">
      <c r="A1404" t="n">
        <v>350</v>
      </c>
      <c r="B1404" t="n">
        <v>8500</v>
      </c>
    </row>
    <row r="1405">
      <c r="A1405" t="n">
        <v>750</v>
      </c>
      <c r="B1405" t="n">
        <v>19150</v>
      </c>
    </row>
    <row r="1406">
      <c r="A1406" t="n">
        <v>420</v>
      </c>
      <c r="B1406" t="n">
        <v>10950</v>
      </c>
    </row>
    <row r="1407">
      <c r="A1407" t="n">
        <v>650</v>
      </c>
      <c r="B1407" t="n">
        <v>17200</v>
      </c>
    </row>
    <row r="1408">
      <c r="A1408" t="n">
        <v>700</v>
      </c>
      <c r="B1408" t="n">
        <v>17500</v>
      </c>
    </row>
    <row r="1409">
      <c r="A1409" t="n">
        <v>170</v>
      </c>
      <c r="B1409" t="n">
        <v>10100</v>
      </c>
    </row>
    <row r="1410">
      <c r="A1410" t="n">
        <v>200</v>
      </c>
      <c r="B1410" t="n">
        <v>8550</v>
      </c>
    </row>
    <row r="1411">
      <c r="A1411" t="n">
        <v>750</v>
      </c>
      <c r="B1411" t="n">
        <v>21850</v>
      </c>
    </row>
    <row r="1412">
      <c r="A1412" t="n">
        <v>250</v>
      </c>
      <c r="B1412" t="n">
        <v>10550</v>
      </c>
    </row>
    <row r="1413">
      <c r="A1413" t="n">
        <v>200</v>
      </c>
      <c r="B1413" t="n">
        <v>8200</v>
      </c>
    </row>
    <row r="1414">
      <c r="A1414" t="n">
        <v>200</v>
      </c>
      <c r="B1414" t="n">
        <v>7650</v>
      </c>
    </row>
    <row r="1415">
      <c r="A1415" t="n">
        <v>700</v>
      </c>
      <c r="B1415" t="n">
        <v>5650</v>
      </c>
    </row>
    <row r="1416">
      <c r="A1416" t="n">
        <v>340</v>
      </c>
      <c r="B1416" t="n">
        <v>5950</v>
      </c>
    </row>
    <row r="1417">
      <c r="A1417" t="n">
        <v>750</v>
      </c>
      <c r="B1417" t="n">
        <v>22750</v>
      </c>
    </row>
    <row r="1418">
      <c r="A1418" t="n">
        <v>400</v>
      </c>
      <c r="B1418" t="n">
        <v>13700</v>
      </c>
    </row>
    <row r="1419">
      <c r="A1419" t="n">
        <v>250</v>
      </c>
      <c r="B1419" t="n">
        <v>10950</v>
      </c>
    </row>
    <row r="1420">
      <c r="A1420" t="n">
        <v>400</v>
      </c>
      <c r="B1420" t="n">
        <v>10550</v>
      </c>
    </row>
    <row r="1421">
      <c r="A1421" t="n">
        <v>300</v>
      </c>
      <c r="B1421" t="n">
        <v>12300</v>
      </c>
    </row>
    <row r="1422">
      <c r="A1422" t="n">
        <v>170</v>
      </c>
      <c r="B1422" t="n">
        <v>10100</v>
      </c>
    </row>
    <row r="1423">
      <c r="A1423" t="n">
        <v>650</v>
      </c>
      <c r="B1423" t="n">
        <v>9550</v>
      </c>
    </row>
    <row r="1424">
      <c r="A1424" t="n">
        <v>300</v>
      </c>
      <c r="B1424" t="n">
        <v>12300</v>
      </c>
    </row>
    <row r="1425">
      <c r="A1425" t="n">
        <v>300</v>
      </c>
      <c r="B1425" t="n">
        <v>12450</v>
      </c>
    </row>
    <row r="1426">
      <c r="A1426" t="n">
        <v>750</v>
      </c>
      <c r="B1426" t="n">
        <v>19150</v>
      </c>
    </row>
    <row r="1427">
      <c r="A1427" t="n">
        <v>400</v>
      </c>
      <c r="B1427" t="n">
        <v>12300</v>
      </c>
    </row>
    <row r="1428">
      <c r="A1428" t="n">
        <v>200</v>
      </c>
      <c r="B1428" t="n">
        <v>7450</v>
      </c>
    </row>
    <row r="1429">
      <c r="A1429" t="n">
        <v>200</v>
      </c>
      <c r="B1429" t="n">
        <v>7450</v>
      </c>
    </row>
    <row r="1430">
      <c r="A1430" t="n">
        <v>400</v>
      </c>
      <c r="B1430" t="n">
        <v>9150</v>
      </c>
    </row>
    <row r="1431">
      <c r="A1431" t="n">
        <v>400</v>
      </c>
      <c r="B1431" t="n">
        <v>13400</v>
      </c>
    </row>
    <row r="1432">
      <c r="A1432" t="n">
        <v>350</v>
      </c>
      <c r="B1432" t="n">
        <v>5950</v>
      </c>
    </row>
    <row r="1433">
      <c r="A1433" t="n">
        <v>350</v>
      </c>
      <c r="B1433" t="n">
        <v>12900</v>
      </c>
    </row>
    <row r="1434">
      <c r="A1434" t="n">
        <v>750</v>
      </c>
      <c r="B1434" t="n">
        <v>19150</v>
      </c>
    </row>
    <row r="1435">
      <c r="A1435" t="n">
        <v>400</v>
      </c>
      <c r="B1435" t="n">
        <v>12300</v>
      </c>
    </row>
    <row r="1436">
      <c r="A1436" t="n">
        <v>350</v>
      </c>
      <c r="B1436" t="n">
        <v>8650</v>
      </c>
    </row>
    <row r="1437">
      <c r="A1437" t="n">
        <v>300</v>
      </c>
      <c r="B1437" t="n">
        <v>12450</v>
      </c>
    </row>
    <row r="1438">
      <c r="A1438" t="n">
        <v>400</v>
      </c>
      <c r="B1438" t="n">
        <v>17250</v>
      </c>
    </row>
    <row r="1439">
      <c r="A1439" t="n">
        <v>700</v>
      </c>
      <c r="B1439" t="n">
        <v>7550</v>
      </c>
    </row>
    <row r="1440">
      <c r="A1440" t="n">
        <v>300</v>
      </c>
      <c r="B1440" t="n">
        <v>13200</v>
      </c>
    </row>
    <row r="1441">
      <c r="A1441" t="n">
        <v>95</v>
      </c>
      <c r="B1441" t="n">
        <v>21750</v>
      </c>
    </row>
    <row r="1442">
      <c r="A1442" t="n">
        <v>270</v>
      </c>
      <c r="B1442" t="n">
        <v>10750</v>
      </c>
    </row>
    <row r="1443">
      <c r="A1443" t="n">
        <v>270</v>
      </c>
      <c r="B1443" t="n">
        <v>10750</v>
      </c>
    </row>
    <row r="1444">
      <c r="A1444" t="n">
        <v>270</v>
      </c>
      <c r="B1444" t="n">
        <v>10750</v>
      </c>
    </row>
    <row r="1445">
      <c r="A1445" t="n">
        <v>300</v>
      </c>
      <c r="B1445" t="n">
        <v>6300</v>
      </c>
    </row>
    <row r="1446">
      <c r="A1446" t="n">
        <v>300</v>
      </c>
      <c r="B1446" t="n">
        <v>6300</v>
      </c>
    </row>
    <row r="1447">
      <c r="A1447" t="n">
        <v>300</v>
      </c>
      <c r="B1447" t="n">
        <v>6300</v>
      </c>
    </row>
    <row r="1448">
      <c r="A1448" t="n">
        <v>300</v>
      </c>
      <c r="B1448" t="n">
        <v>5950</v>
      </c>
    </row>
    <row r="1449">
      <c r="A1449" t="n">
        <v>300</v>
      </c>
      <c r="B1449" t="n">
        <v>6300</v>
      </c>
    </row>
    <row r="1450">
      <c r="A1450" t="n">
        <v>250</v>
      </c>
      <c r="B1450" t="n">
        <v>8250</v>
      </c>
    </row>
    <row r="1451">
      <c r="A1451" t="n">
        <v>350</v>
      </c>
      <c r="B1451" t="n">
        <v>15350</v>
      </c>
    </row>
    <row r="1452">
      <c r="A1452" t="n">
        <v>300</v>
      </c>
      <c r="B1452" t="n">
        <v>14050</v>
      </c>
    </row>
    <row r="1453">
      <c r="A1453" t="n">
        <v>350</v>
      </c>
      <c r="B1453" t="n">
        <v>15350</v>
      </c>
    </row>
    <row r="1454">
      <c r="A1454" t="n">
        <v>250</v>
      </c>
      <c r="B1454" t="n">
        <v>8250</v>
      </c>
    </row>
    <row r="1455">
      <c r="A1455" t="n">
        <v>250</v>
      </c>
      <c r="B1455" t="n">
        <v>9850</v>
      </c>
    </row>
    <row r="1456">
      <c r="A1456" t="n">
        <v>100</v>
      </c>
      <c r="B1456" t="n">
        <v>21950</v>
      </c>
    </row>
    <row r="1457">
      <c r="A1457" t="n">
        <v>250</v>
      </c>
      <c r="B1457" t="n">
        <v>9800</v>
      </c>
    </row>
    <row r="1458">
      <c r="A1458" t="n">
        <v>250</v>
      </c>
      <c r="B1458" t="n">
        <v>10950</v>
      </c>
    </row>
    <row r="1459">
      <c r="A1459" t="n">
        <v>300</v>
      </c>
      <c r="B1459" t="n">
        <v>12300</v>
      </c>
    </row>
    <row r="1460">
      <c r="A1460" t="n">
        <v>250</v>
      </c>
      <c r="B1460" t="n">
        <v>9850</v>
      </c>
    </row>
    <row r="1461">
      <c r="A1461" t="n">
        <v>300</v>
      </c>
      <c r="B1461" t="n">
        <v>13900</v>
      </c>
    </row>
    <row r="1462">
      <c r="A1462" t="n">
        <v>100</v>
      </c>
      <c r="B1462" t="n">
        <v>21950</v>
      </c>
    </row>
    <row r="1463">
      <c r="A1463" t="n">
        <v>250</v>
      </c>
      <c r="B1463" t="n">
        <v>10950</v>
      </c>
    </row>
    <row r="1464">
      <c r="A1464" t="n">
        <v>250</v>
      </c>
      <c r="B1464" t="n">
        <v>9850</v>
      </c>
    </row>
    <row r="1465">
      <c r="A1465" t="n">
        <v>250</v>
      </c>
      <c r="B1465" t="n">
        <v>9850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1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25" t="inlineStr">
        <is>
          <t>Visualizaciones — Dataset Shampoo &amp; Acondicionador (Clase 12 UADE)</t>
        </is>
      </c>
    </row>
    <row r="3" ht="18" customHeight="1">
      <c r="B3" s="26" t="inlineStr">
        <is>
          <t>G1: Distribucion de productos por fuente</t>
        </is>
      </c>
      <c r="N3" s="26" t="inlineStr">
        <is>
          <t>G2 (H3): Precio promedio y mediana por fuente</t>
        </is>
      </c>
    </row>
    <row r="27" ht="32" customHeight="1">
      <c r="B27" s="27" t="inlineStr">
        <is>
          <t>Conclusion: Farmacity concentra el 56% de los productos disponibles, mas del doble que Jumbo y Disco. La amplitud del catalogo varia significativamente entre retailers.</t>
        </is>
      </c>
      <c r="N27" s="27" t="inlineStr">
        <is>
          <t>Conclusion (H3): Farmacity presenta el precio promedio mas alto. En todos los casos la mediana &lt; media, senalando outliers hacia precios altos.</t>
        </is>
      </c>
    </row>
    <row r="31" ht="18" customHeight="1">
      <c r="B31" s="26" t="inlineStr">
        <is>
          <t>G3 (H1): Precio por ml — Profesional vs Estandar</t>
        </is>
      </c>
      <c r="N31" s="26" t="inlineStr">
        <is>
          <t>G4 (H2): Precio por ml por tipo de cabello</t>
        </is>
      </c>
    </row>
    <row r="55" ht="32" customHeight="1">
      <c r="B55" s="27" t="inlineStr">
        <is>
          <t>Conclusion (H1): La linea profesional es mas cara por ml que la estandar, lo que valida la hipotesis H1.</t>
        </is>
      </c>
      <c r="N55" s="27" t="inlineStr">
        <is>
          <t>Conclusion (H2): Los productos para cabello rizado y tratado tienen mayor precio/ml, validando H2 parcialmente. Los de uso general son los mas economicos.</t>
        </is>
      </c>
    </row>
    <row r="59" ht="18" customHeight="1">
      <c r="B59" s="26" t="inlineStr">
        <is>
          <t>G5: Distribucion de precios — histograma</t>
        </is>
      </c>
      <c r="N59" s="26" t="inlineStr">
        <is>
          <t>G6: Top 10 marcas por cantidad de productos</t>
        </is>
      </c>
    </row>
    <row r="83" ht="32" customHeight="1">
      <c r="B83" s="27" t="inlineStr">
        <is>
          <t>Conclusion: Distribucion con asimetria positiva — la mayoria de productos se concentra en rangos bajos, con cola larga hacia precios altos.</t>
        </is>
      </c>
      <c r="N83" s="27" t="inlineStr">
        <is>
          <t>Conclusion: Las 3 principales marcas concentran mas del 50% del catalogo. Alta concentracion en pocas marcas masivas (Pantene, Elvive, Sedal).</t>
        </is>
      </c>
    </row>
    <row r="87" ht="18" customHeight="1">
      <c r="B87" s="26" t="inlineStr">
        <is>
          <t>G7: Composicion del catalogo por tipo de producto y fuente</t>
        </is>
      </c>
      <c r="N87" s="26" t="inlineStr">
        <is>
          <t>G8: Relacion precio ARS vs volumen (ml)</t>
        </is>
      </c>
    </row>
    <row r="111" ht="32" customHeight="1">
      <c r="B111" s="27" t="inlineStr">
        <is>
          <t>Conclusion: El shampoo domina en las 3 fuentes. Farmacity tiene mayor proporcion de acondicionadores y tratamientos, coherente con su perfil de farmacia.</t>
        </is>
      </c>
      <c r="N111" s="27" t="inlineStr">
        <is>
          <t>Conclusion: Correlacion positiva moderada entre volumen y precio. A mayor contenido, mayor precio, aunque con alta dispersion.</t>
        </is>
      </c>
    </row>
  </sheetData>
  <mergeCells count="17">
    <mergeCell ref="B87:M87"/>
    <mergeCell ref="B111:M111"/>
    <mergeCell ref="N27:Z27"/>
    <mergeCell ref="A1:Z1"/>
    <mergeCell ref="B3:M3"/>
    <mergeCell ref="B59:M59"/>
    <mergeCell ref="N59:Z59"/>
    <mergeCell ref="N83:Z83"/>
    <mergeCell ref="B31:M31"/>
    <mergeCell ref="N31:Z31"/>
    <mergeCell ref="N3:Z3"/>
    <mergeCell ref="N55:Z55"/>
    <mergeCell ref="B27:M27"/>
    <mergeCell ref="N87:Z87"/>
    <mergeCell ref="N111:Z111"/>
    <mergeCell ref="B83:M83"/>
    <mergeCell ref="B55:M5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0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" customWidth="1" min="3" max="3"/>
    <col width="30" customWidth="1" min="4" max="4"/>
    <col width="26" customWidth="1" min="5" max="5"/>
    <col width="3" customWidth="1" min="6" max="6"/>
    <col width="20" customWidth="1" min="7" max="7"/>
    <col width="14" customWidth="1" min="8" max="8"/>
  </cols>
  <sheetData>
    <row r="1" ht="26" customHeight="1">
      <c r="A1" s="25" t="inlineStr">
        <is>
          <t>Regresion Lineal Simple — volumen_ml → precio_ars  (Clase 5 UADE)</t>
        </is>
      </c>
    </row>
    <row r="3" ht="20" customHeight="1">
      <c r="A3" s="28" t="inlineStr">
        <is>
          <t>Datos para el modelo (n=1401 productos con volumen &lt;= 2000ml)</t>
        </is>
      </c>
      <c r="D3" s="15" t="inlineStr">
        <is>
          <t>Variables del modelo</t>
        </is>
      </c>
    </row>
    <row r="4" ht="16" customHeight="1">
      <c r="A4" s="29" t="inlineStr">
        <is>
          <t>volumen_ml</t>
        </is>
      </c>
      <c r="B4" s="29" t="inlineStr">
        <is>
          <t>precio_ars</t>
        </is>
      </c>
      <c r="D4" s="30" t="inlineStr">
        <is>
          <t>Variable explicativa (X)</t>
        </is>
      </c>
      <c r="E4" s="30" t="inlineStr">
        <is>
          <t>volumen_ml  (ml)</t>
        </is>
      </c>
    </row>
    <row r="5" ht="16" customHeight="1">
      <c r="A5" t="n">
        <v>200</v>
      </c>
      <c r="B5" t="n">
        <v>5900</v>
      </c>
      <c r="D5" s="30" t="inlineStr">
        <is>
          <t>Variable explicada (Y)</t>
        </is>
      </c>
      <c r="E5" s="30" t="inlineStr">
        <is>
          <t>precio_ars  (ARS)</t>
        </is>
      </c>
    </row>
    <row r="6" ht="16" customHeight="1">
      <c r="A6" t="n">
        <v>700</v>
      </c>
      <c r="B6" t="n">
        <v>17250</v>
      </c>
      <c r="D6" s="30" t="inlineStr">
        <is>
          <t>n observaciones</t>
        </is>
      </c>
      <c r="E6" s="31">
        <f>COUNTA($A$5:$A$1405)</f>
        <v/>
      </c>
    </row>
    <row r="7">
      <c r="A7" t="n">
        <v>400</v>
      </c>
      <c r="B7" t="n">
        <v>11123</v>
      </c>
    </row>
    <row r="8">
      <c r="A8" t="n">
        <v>650</v>
      </c>
      <c r="B8" t="n">
        <v>16700</v>
      </c>
    </row>
    <row r="9" ht="20" customHeight="1">
      <c r="A9" t="n">
        <v>350</v>
      </c>
      <c r="B9" t="n">
        <v>8600</v>
      </c>
      <c r="D9" s="22" t="inlineStr">
        <is>
          <t>Correlacion y bondad del ajuste</t>
        </is>
      </c>
    </row>
    <row r="10" ht="18" customHeight="1">
      <c r="A10" t="n">
        <v>650</v>
      </c>
      <c r="B10" t="n">
        <v>16700</v>
      </c>
      <c r="D10" s="30" t="inlineStr">
        <is>
          <t>Correlacion (r)</t>
        </is>
      </c>
      <c r="E10" s="32">
        <f>CORREL($A$5:$A$1405,$B$5:$B$1405)</f>
        <v/>
      </c>
    </row>
    <row r="11" ht="18" customHeight="1">
      <c r="A11" t="n">
        <v>400</v>
      </c>
      <c r="B11" t="n">
        <v>9150</v>
      </c>
      <c r="D11" s="30" t="inlineStr">
        <is>
          <t>Interpretacion</t>
        </is>
      </c>
      <c r="E11" s="30" t="inlineStr">
        <is>
          <t>Correlacion debil positiva (r=0.117)</t>
        </is>
      </c>
    </row>
    <row r="12" ht="18" customHeight="1">
      <c r="A12" t="n">
        <v>200</v>
      </c>
      <c r="B12" t="n">
        <v>5900</v>
      </c>
      <c r="D12" s="30" t="inlineStr">
        <is>
          <t>R2 (coef. determinacion)</t>
        </is>
      </c>
      <c r="E12" s="32">
        <f>RSQ($B$5:$B$1405,$A$5:$A$1405)</f>
        <v/>
      </c>
    </row>
    <row r="13" ht="18" customHeight="1">
      <c r="A13" t="n">
        <v>420</v>
      </c>
      <c r="B13" t="n">
        <v>9650</v>
      </c>
      <c r="D13" s="30" t="inlineStr">
        <is>
          <t>Interpretacion R2</t>
        </is>
      </c>
      <c r="E13" s="30" t="inlineStr">
        <is>
          <t>El volumen explica el 1.4% de la variacion del precio</t>
        </is>
      </c>
    </row>
    <row r="14">
      <c r="A14" t="n">
        <v>400</v>
      </c>
      <c r="B14" t="n">
        <v>16900</v>
      </c>
    </row>
    <row r="15">
      <c r="A15" t="n">
        <v>350</v>
      </c>
      <c r="B15" t="n">
        <v>8600</v>
      </c>
    </row>
    <row r="16" ht="20" customHeight="1">
      <c r="A16" t="n">
        <v>650</v>
      </c>
      <c r="B16" t="n">
        <v>16700</v>
      </c>
      <c r="D16" s="23" t="inlineStr">
        <is>
          <t>Ecuacion de la recta   Y = a + b*X</t>
        </is>
      </c>
    </row>
    <row r="17" ht="18" customHeight="1">
      <c r="A17" t="n">
        <v>400</v>
      </c>
      <c r="B17" t="n">
        <v>16550</v>
      </c>
      <c r="D17" s="30" t="inlineStr">
        <is>
          <t>Pendiente (b) = SLOPE</t>
        </is>
      </c>
      <c r="E17" s="32">
        <f>SLOPE($B$5:$B$1405,$A$5:$A$1405)</f>
        <v/>
      </c>
    </row>
    <row r="18" ht="18" customHeight="1">
      <c r="A18" t="n">
        <v>340</v>
      </c>
      <c r="B18" t="n">
        <v>5600</v>
      </c>
      <c r="D18" s="30" t="inlineStr">
        <is>
          <t>Intercepto (a) = INTERCEPT</t>
        </is>
      </c>
      <c r="E18" s="32">
        <f>INTERCEPT($B$5:$B$1405,$A$5:$A$1405)</f>
        <v/>
      </c>
    </row>
    <row r="19" ht="18" customHeight="1">
      <c r="A19" t="n">
        <v>420</v>
      </c>
      <c r="B19" t="n">
        <v>9650</v>
      </c>
      <c r="D19" s="30" t="inlineStr">
        <is>
          <t>Ecuacion resultante</t>
        </is>
      </c>
      <c r="E19" s="30" t="inlineStr">
        <is>
          <t>precio = 9,731 + 4.7 × volumen_ml</t>
        </is>
      </c>
    </row>
    <row r="20" ht="18" customHeight="1">
      <c r="A20" t="n">
        <v>400</v>
      </c>
      <c r="B20" t="n">
        <v>16550</v>
      </c>
      <c r="D20" s="30" t="inlineStr">
        <is>
          <t>Lectura</t>
        </is>
      </c>
      <c r="E20" s="30" t="inlineStr">
        <is>
          <t>Por cada 1 ml adicional, el precio sube ~$4.7 ARS</t>
        </is>
      </c>
    </row>
    <row r="21">
      <c r="A21" t="n">
        <v>190</v>
      </c>
      <c r="B21" t="n">
        <v>3900</v>
      </c>
    </row>
    <row r="22">
      <c r="A22" t="n">
        <v>400</v>
      </c>
      <c r="B22" t="n">
        <v>16550</v>
      </c>
    </row>
    <row r="23" ht="20" customHeight="1">
      <c r="A23" t="n">
        <v>650</v>
      </c>
      <c r="B23" t="n">
        <v>16700</v>
      </c>
      <c r="D23" s="24" t="inlineStr">
        <is>
          <t>Tabla de prediccion — FORECAST(volumen, Y, X)</t>
        </is>
      </c>
    </row>
    <row r="24" ht="16" customHeight="1">
      <c r="A24" t="n">
        <v>400</v>
      </c>
      <c r="B24" t="n">
        <v>9150</v>
      </c>
      <c r="D24" s="33" t="inlineStr">
        <is>
          <t>Volumen (ml)</t>
        </is>
      </c>
      <c r="E24" s="33" t="inlineStr">
        <is>
          <t>Precio esperado (ARS)</t>
        </is>
      </c>
    </row>
    <row r="25" ht="15" customHeight="1">
      <c r="A25" t="n">
        <v>400</v>
      </c>
      <c r="B25" t="n">
        <v>9150</v>
      </c>
      <c r="D25" t="n">
        <v>100</v>
      </c>
      <c r="E25" s="31">
        <f>FORECAST(D25,$B$5:$B$1405,$A$5:$A$1405)</f>
        <v/>
      </c>
    </row>
    <row r="26" ht="15" customHeight="1">
      <c r="A26" t="n">
        <v>400</v>
      </c>
      <c r="B26" t="n">
        <v>9150</v>
      </c>
      <c r="D26" t="n">
        <v>200</v>
      </c>
      <c r="E26" s="31">
        <f>FORECAST(D26,$B$5:$B$1405,$A$5:$A$1405)</f>
        <v/>
      </c>
    </row>
    <row r="27" ht="15" customHeight="1">
      <c r="A27" t="n">
        <v>400</v>
      </c>
      <c r="B27" t="n">
        <v>9695</v>
      </c>
      <c r="D27" t="n">
        <v>250</v>
      </c>
      <c r="E27" s="31">
        <f>FORECAST(D27,$B$5:$B$1405,$A$5:$A$1405)</f>
        <v/>
      </c>
    </row>
    <row r="28" ht="15" customHeight="1">
      <c r="A28" t="n">
        <v>500</v>
      </c>
      <c r="B28" t="n">
        <v>10400</v>
      </c>
      <c r="D28" t="n">
        <v>350</v>
      </c>
      <c r="E28" s="31">
        <f>FORECAST(D28,$B$5:$B$1405,$A$5:$A$1405)</f>
        <v/>
      </c>
    </row>
    <row r="29" ht="15" customHeight="1">
      <c r="A29" t="n">
        <v>340</v>
      </c>
      <c r="B29" t="n">
        <v>5440</v>
      </c>
      <c r="D29" t="n">
        <v>400</v>
      </c>
      <c r="E29" s="31">
        <f>FORECAST(D29,$B$5:$B$1405,$A$5:$A$1405)</f>
        <v/>
      </c>
    </row>
    <row r="30" ht="15" customHeight="1">
      <c r="A30" t="n">
        <v>970</v>
      </c>
      <c r="B30" t="n">
        <v>6350</v>
      </c>
      <c r="D30" t="n">
        <v>500</v>
      </c>
      <c r="E30" s="31">
        <f>FORECAST(D30,$B$5:$B$1405,$A$5:$A$1405)</f>
        <v/>
      </c>
    </row>
    <row r="31" ht="15" customHeight="1">
      <c r="A31" t="n">
        <v>350</v>
      </c>
      <c r="B31" t="n">
        <v>9800</v>
      </c>
      <c r="D31" t="n">
        <v>750</v>
      </c>
      <c r="E31" s="31">
        <f>FORECAST(D31,$B$5:$B$1405,$A$5:$A$1405)</f>
        <v/>
      </c>
    </row>
    <row r="32" ht="15" customHeight="1">
      <c r="A32" t="n">
        <v>650</v>
      </c>
      <c r="B32" t="n">
        <v>9400</v>
      </c>
      <c r="D32" t="n">
        <v>1000</v>
      </c>
      <c r="E32" s="31">
        <f>FORECAST(D32,$B$5:$B$1405,$A$5:$A$1405)</f>
        <v/>
      </c>
    </row>
    <row r="33" ht="15" customHeight="1">
      <c r="A33" t="n">
        <v>750</v>
      </c>
      <c r="B33" t="n">
        <v>20700</v>
      </c>
      <c r="D33" t="n">
        <v>1500</v>
      </c>
      <c r="E33" s="31">
        <f>FORECAST(D33,$B$5:$B$1405,$A$5:$A$1405)</f>
        <v/>
      </c>
    </row>
    <row r="34">
      <c r="A34" t="n">
        <v>190</v>
      </c>
      <c r="B34" t="n">
        <v>3900</v>
      </c>
    </row>
    <row r="35">
      <c r="A35" t="n">
        <v>190</v>
      </c>
      <c r="B35" t="n">
        <v>3900</v>
      </c>
    </row>
    <row r="36" ht="22" customHeight="1">
      <c r="A36" t="n">
        <v>750</v>
      </c>
      <c r="B36" t="n">
        <v>19400</v>
      </c>
      <c r="D36" s="28" t="inlineStr">
        <is>
          <t>Conclusiones y Recomendaciones del proyecto</t>
        </is>
      </c>
    </row>
    <row r="37" ht="18" customHeight="1">
      <c r="A37" t="n">
        <v>200</v>
      </c>
      <c r="B37" t="n">
        <v>7550</v>
      </c>
      <c r="D37" s="34" t="inlineStr">
        <is>
          <t>CONCLUSION H1 — Precio/ml por linea:</t>
        </is>
      </c>
    </row>
    <row r="38" ht="44" customHeight="1">
      <c r="A38" t="n">
        <v>340</v>
      </c>
      <c r="B38" t="n">
        <v>5448</v>
      </c>
      <c r="D38" s="35" t="inlineStr">
        <is>
          <t>La linea profesional tiene un precio/ml promedio significativamente mayor que la estandar. Se recomienda a los consumidores evaluar si el diferencial de precio justifica los beneficios del producto profesional, especialmente en shampoos de marca masiva con precio premium.</t>
        </is>
      </c>
    </row>
    <row r="39">
      <c r="A39" t="n">
        <v>340</v>
      </c>
      <c r="B39" t="n">
        <v>5448</v>
      </c>
    </row>
    <row r="40" ht="18" customHeight="1">
      <c r="A40" t="n">
        <v>500</v>
      </c>
      <c r="B40" t="n">
        <v>10400</v>
      </c>
      <c r="D40" s="34" t="inlineStr">
        <is>
          <t>CONCLUSION H2 — Precio/ml por tipo de cabello:</t>
        </is>
      </c>
    </row>
    <row r="41" ht="44" customHeight="1">
      <c r="A41" t="n">
        <v>650</v>
      </c>
      <c r="B41" t="n">
        <v>9000</v>
      </c>
      <c r="D41" s="35" t="inlineStr">
        <is>
          <t>Los productos para cabello rizado y tratado/tenido presentan mayor precio por ml que los de uso general. Esto refleja la segmentacion del mercado capilar: la especializacion tiene un sobreprecio real. El cabello bebe es el segmento mas economico por ml.</t>
        </is>
      </c>
    </row>
    <row r="42">
      <c r="A42" t="n">
        <v>650</v>
      </c>
      <c r="B42" t="n">
        <v>9400</v>
      </c>
    </row>
    <row r="43" ht="18" customHeight="1">
      <c r="A43" t="n">
        <v>340</v>
      </c>
      <c r="B43" t="n">
        <v>5800</v>
      </c>
      <c r="D43" s="34" t="inlineStr">
        <is>
          <t>CONCLUSION H3 — Dispersion de precios por fuente:</t>
        </is>
      </c>
    </row>
    <row r="44" ht="44" customHeight="1">
      <c r="A44" t="n">
        <v>970</v>
      </c>
      <c r="B44" t="n">
        <v>6350</v>
      </c>
      <c r="D44" s="35" t="inlineStr">
        <is>
          <t>Farmacity presenta los precios promedio mas altos entre los tres retailers, coherente con su perfil de farmacia especializada. Jumbo y Disco ofrecen precios mas competitivos. Para un mismo producto, conviene comparar entre Jumbo/Disco antes de comprar en Farmacity.</t>
        </is>
      </c>
    </row>
    <row r="45">
      <c r="A45" t="n">
        <v>250</v>
      </c>
      <c r="B45" t="n">
        <v>6300</v>
      </c>
    </row>
    <row r="46" ht="18" customHeight="1">
      <c r="A46" t="n">
        <v>200</v>
      </c>
      <c r="B46" t="n">
        <v>5900</v>
      </c>
      <c r="D46" s="34" t="inlineStr">
        <is>
          <t>CONCLUSION REGRESION — volumen_ml → precio_ars:</t>
        </is>
      </c>
    </row>
    <row r="47" ht="44" customHeight="1">
      <c r="A47" t="n">
        <v>250</v>
      </c>
      <c r="B47" t="n">
        <v>6300</v>
      </c>
      <c r="D47" s="35" t="inlineStr">
        <is>
          <t>Correlacion debil positiva (r = 0.117, R2 = 0.014). El volumen explica el 1.4% de la variacion del precio. Ecuacion: precio = 9,731 + 4.7 × volumen_ml. Esto permite detectar oportunidades: productos con precio real muy por encima de la prediccion pueden estar sobrevaluados respecto a su contenido.</t>
        </is>
      </c>
    </row>
    <row r="48">
      <c r="A48" t="n">
        <v>500</v>
      </c>
      <c r="B48" t="n">
        <v>10400</v>
      </c>
    </row>
    <row r="49" ht="18" customHeight="1">
      <c r="A49" t="n">
        <v>650</v>
      </c>
      <c r="B49" t="n">
        <v>9400</v>
      </c>
      <c r="D49" s="34" t="inlineStr">
        <is>
          <t>RECOMENDACION para compradores:</t>
        </is>
      </c>
    </row>
    <row r="50" ht="44" customHeight="1">
      <c r="A50" t="n">
        <v>700</v>
      </c>
      <c r="B50" t="n">
        <v>17600</v>
      </c>
      <c r="D50" s="35" t="inlineStr">
        <is>
          <t>Usar la ecuacion de regresion como precio de referencia justo segun el volumen. Un shampoo de 400ml deberia costar ~$11,618 ARS segun el modelo. Si el precio real supera ese valor significativamente, evaluar alternativas.</t>
        </is>
      </c>
    </row>
    <row r="51">
      <c r="A51" t="n">
        <v>400</v>
      </c>
      <c r="B51" t="n">
        <v>10750</v>
      </c>
    </row>
    <row r="52" ht="18" customHeight="1">
      <c r="A52" t="n">
        <v>340</v>
      </c>
      <c r="B52" t="n">
        <v>5800</v>
      </c>
      <c r="D52" s="34" t="inlineStr">
        <is>
          <t>RECOMENDACION para retailers:</t>
        </is>
      </c>
    </row>
    <row r="53" ht="44" customHeight="1">
      <c r="A53" t="n">
        <v>880</v>
      </c>
      <c r="B53" t="n">
        <v>16550</v>
      </c>
      <c r="D53" s="35" t="inlineStr">
        <is>
          <t>Los productos con precio/ml mas alto son los de linea profesional y cabello rizado/tratado. Ampliar el catalogo de estas categorias en Jumbo y Disco (actualmente subrepresentadas respecto a Farmacity) podria capturar demanda insatisfecha con mejores margenes.</t>
        </is>
      </c>
    </row>
    <row r="54">
      <c r="A54" t="n">
        <v>340</v>
      </c>
      <c r="B54" t="n">
        <v>5800</v>
      </c>
    </row>
    <row r="55">
      <c r="A55" t="n">
        <v>200</v>
      </c>
      <c r="B55" t="n">
        <v>7400</v>
      </c>
    </row>
    <row r="56">
      <c r="A56" t="n">
        <v>200</v>
      </c>
      <c r="B56" t="n">
        <v>6000</v>
      </c>
    </row>
    <row r="57">
      <c r="A57" t="n">
        <v>750</v>
      </c>
      <c r="B57" t="n">
        <v>16450</v>
      </c>
    </row>
    <row r="58">
      <c r="A58" t="n">
        <v>400</v>
      </c>
      <c r="B58" t="n">
        <v>11123</v>
      </c>
    </row>
    <row r="59">
      <c r="A59" t="n">
        <v>190</v>
      </c>
      <c r="B59" t="n">
        <v>3900</v>
      </c>
    </row>
    <row r="60">
      <c r="A60" t="n">
        <v>400</v>
      </c>
      <c r="B60" t="n">
        <v>9695</v>
      </c>
    </row>
    <row r="61">
      <c r="A61" t="n">
        <v>400</v>
      </c>
      <c r="B61" t="n">
        <v>10400</v>
      </c>
    </row>
    <row r="62">
      <c r="A62" t="n">
        <v>375</v>
      </c>
      <c r="B62" t="n">
        <v>12900</v>
      </c>
    </row>
    <row r="63">
      <c r="A63" t="n">
        <v>650</v>
      </c>
      <c r="B63" t="n">
        <v>19950</v>
      </c>
    </row>
    <row r="64">
      <c r="A64" t="n">
        <v>650</v>
      </c>
      <c r="B64" t="n">
        <v>19400</v>
      </c>
    </row>
    <row r="65">
      <c r="A65" t="n">
        <v>350</v>
      </c>
      <c r="B65" t="n">
        <v>8600</v>
      </c>
    </row>
    <row r="66">
      <c r="A66" t="n">
        <v>375</v>
      </c>
      <c r="B66" t="n">
        <v>12900</v>
      </c>
    </row>
    <row r="67">
      <c r="A67" t="n">
        <v>700</v>
      </c>
      <c r="B67" t="n">
        <v>7350</v>
      </c>
    </row>
    <row r="68">
      <c r="A68" t="n">
        <v>190</v>
      </c>
      <c r="B68" t="n">
        <v>3850</v>
      </c>
    </row>
    <row r="69">
      <c r="A69" t="n">
        <v>180</v>
      </c>
      <c r="B69" t="n">
        <v>7800</v>
      </c>
    </row>
    <row r="70">
      <c r="A70" t="n">
        <v>500</v>
      </c>
      <c r="B70" t="n">
        <v>10400</v>
      </c>
    </row>
    <row r="71">
      <c r="A71" t="n">
        <v>1000</v>
      </c>
      <c r="B71" t="n">
        <v>5750</v>
      </c>
    </row>
    <row r="72">
      <c r="A72" t="n">
        <v>350</v>
      </c>
      <c r="B72" t="n">
        <v>3750</v>
      </c>
    </row>
    <row r="73">
      <c r="A73" t="n">
        <v>180</v>
      </c>
      <c r="B73" t="n">
        <v>7800</v>
      </c>
    </row>
    <row r="74">
      <c r="A74" t="n">
        <v>400</v>
      </c>
      <c r="B74" t="n">
        <v>10650</v>
      </c>
    </row>
    <row r="75">
      <c r="A75" t="n">
        <v>200</v>
      </c>
      <c r="B75" t="n">
        <v>7550</v>
      </c>
    </row>
    <row r="76">
      <c r="A76" t="n">
        <v>400</v>
      </c>
      <c r="B76" t="n">
        <v>12250</v>
      </c>
    </row>
    <row r="77">
      <c r="A77" t="n">
        <v>420</v>
      </c>
      <c r="B77" t="n">
        <v>9650</v>
      </c>
    </row>
    <row r="78">
      <c r="A78" t="n">
        <v>200</v>
      </c>
      <c r="B78" t="n">
        <v>6750</v>
      </c>
    </row>
    <row r="79">
      <c r="A79" t="n">
        <v>650</v>
      </c>
      <c r="B79" t="n">
        <v>9400</v>
      </c>
    </row>
    <row r="80">
      <c r="A80" t="n">
        <v>970</v>
      </c>
      <c r="B80" t="n">
        <v>6450</v>
      </c>
    </row>
    <row r="81">
      <c r="A81" t="n">
        <v>180</v>
      </c>
      <c r="B81" t="n">
        <v>7800</v>
      </c>
    </row>
    <row r="82">
      <c r="A82" t="n">
        <v>200</v>
      </c>
      <c r="B82" t="n">
        <v>5800</v>
      </c>
    </row>
    <row r="83">
      <c r="A83" t="n">
        <v>190</v>
      </c>
      <c r="B83" t="n">
        <v>3850</v>
      </c>
    </row>
    <row r="84">
      <c r="A84" t="n">
        <v>650</v>
      </c>
      <c r="B84" t="n">
        <v>19900</v>
      </c>
    </row>
    <row r="85">
      <c r="A85" t="n">
        <v>400</v>
      </c>
      <c r="B85" t="n">
        <v>9220</v>
      </c>
    </row>
    <row r="86">
      <c r="A86" t="n">
        <v>340</v>
      </c>
      <c r="B86" t="n">
        <v>5451</v>
      </c>
    </row>
    <row r="87">
      <c r="A87" t="n">
        <v>500</v>
      </c>
      <c r="B87" t="n">
        <v>10400</v>
      </c>
    </row>
    <row r="88">
      <c r="A88" t="n">
        <v>650</v>
      </c>
      <c r="B88" t="n">
        <v>19950</v>
      </c>
    </row>
    <row r="89">
      <c r="A89" t="n">
        <v>970</v>
      </c>
      <c r="B89" t="n">
        <v>6012</v>
      </c>
    </row>
    <row r="90">
      <c r="A90" t="n">
        <v>300</v>
      </c>
      <c r="B90" t="n">
        <v>10250</v>
      </c>
    </row>
    <row r="91">
      <c r="A91" t="n">
        <v>200</v>
      </c>
      <c r="B91" t="n">
        <v>6750</v>
      </c>
    </row>
    <row r="92">
      <c r="A92" t="n">
        <v>350</v>
      </c>
      <c r="B92" t="n">
        <v>9800</v>
      </c>
    </row>
    <row r="93">
      <c r="A93" t="n">
        <v>415</v>
      </c>
      <c r="B93" t="n">
        <v>11700</v>
      </c>
    </row>
    <row r="94">
      <c r="A94" t="n">
        <v>650</v>
      </c>
      <c r="B94" t="n">
        <v>19400</v>
      </c>
    </row>
    <row r="95">
      <c r="A95" t="n">
        <v>400</v>
      </c>
      <c r="B95" t="n">
        <v>10500</v>
      </c>
    </row>
    <row r="96">
      <c r="A96" t="n">
        <v>200</v>
      </c>
      <c r="B96" t="n">
        <v>6750</v>
      </c>
    </row>
    <row r="97">
      <c r="A97" t="n">
        <v>250</v>
      </c>
      <c r="B97" t="n">
        <v>6400</v>
      </c>
    </row>
    <row r="98">
      <c r="A98" t="n">
        <v>750</v>
      </c>
      <c r="B98" t="n">
        <v>19400</v>
      </c>
    </row>
    <row r="99">
      <c r="A99" t="n">
        <v>400</v>
      </c>
      <c r="B99" t="n">
        <v>11123</v>
      </c>
    </row>
    <row r="100">
      <c r="A100" t="n">
        <v>510</v>
      </c>
      <c r="B100" t="n">
        <v>16750</v>
      </c>
    </row>
    <row r="101">
      <c r="A101" t="n">
        <v>750</v>
      </c>
      <c r="B101" t="n">
        <v>21350</v>
      </c>
    </row>
    <row r="102">
      <c r="A102" t="n">
        <v>200</v>
      </c>
      <c r="B102" t="n">
        <v>8050</v>
      </c>
    </row>
    <row r="103">
      <c r="A103" t="n">
        <v>300</v>
      </c>
      <c r="B103" t="n">
        <v>10250</v>
      </c>
    </row>
    <row r="104">
      <c r="A104" t="n">
        <v>400</v>
      </c>
      <c r="B104" t="n">
        <v>8100</v>
      </c>
    </row>
    <row r="105">
      <c r="A105" t="n">
        <v>200</v>
      </c>
      <c r="B105" t="n">
        <v>8050</v>
      </c>
    </row>
    <row r="106">
      <c r="A106" t="n">
        <v>350</v>
      </c>
      <c r="B106" t="n">
        <v>9800</v>
      </c>
    </row>
    <row r="107">
      <c r="A107" t="n">
        <v>400</v>
      </c>
      <c r="B107" t="n">
        <v>13350</v>
      </c>
    </row>
    <row r="108">
      <c r="A108" t="n">
        <v>750</v>
      </c>
      <c r="B108" t="n">
        <v>21050</v>
      </c>
    </row>
    <row r="109">
      <c r="A109" t="n">
        <v>400</v>
      </c>
      <c r="B109" t="n">
        <v>13350</v>
      </c>
    </row>
    <row r="110">
      <c r="A110" t="n">
        <v>350</v>
      </c>
      <c r="B110" t="n">
        <v>8400</v>
      </c>
    </row>
    <row r="111">
      <c r="A111" t="n">
        <v>510</v>
      </c>
      <c r="B111" t="n">
        <v>16450</v>
      </c>
    </row>
    <row r="112">
      <c r="A112" t="n">
        <v>750</v>
      </c>
      <c r="B112" t="n">
        <v>19400</v>
      </c>
    </row>
    <row r="113">
      <c r="A113" t="n">
        <v>300</v>
      </c>
      <c r="B113" t="n">
        <v>10250</v>
      </c>
    </row>
    <row r="114">
      <c r="A114" t="n">
        <v>700</v>
      </c>
      <c r="B114" t="n">
        <v>17600</v>
      </c>
    </row>
    <row r="115">
      <c r="A115" t="n">
        <v>700</v>
      </c>
      <c r="B115" t="n">
        <v>5550</v>
      </c>
    </row>
    <row r="116">
      <c r="A116" t="n">
        <v>415</v>
      </c>
      <c r="B116" t="n">
        <v>11700</v>
      </c>
    </row>
    <row r="117">
      <c r="A117" t="n">
        <v>400</v>
      </c>
      <c r="B117" t="n">
        <v>8100</v>
      </c>
    </row>
    <row r="118">
      <c r="A118" t="n">
        <v>415</v>
      </c>
      <c r="B118" t="n">
        <v>11100</v>
      </c>
    </row>
    <row r="119">
      <c r="A119" t="n">
        <v>200</v>
      </c>
      <c r="B119" t="n">
        <v>6750</v>
      </c>
    </row>
    <row r="120">
      <c r="A120" t="n">
        <v>200</v>
      </c>
      <c r="B120" t="n">
        <v>7550</v>
      </c>
    </row>
    <row r="121">
      <c r="A121" t="n">
        <v>750</v>
      </c>
      <c r="B121" t="n">
        <v>19400</v>
      </c>
    </row>
    <row r="122">
      <c r="A122" t="n">
        <v>200</v>
      </c>
      <c r="B122" t="n">
        <v>6750</v>
      </c>
    </row>
    <row r="123">
      <c r="A123" t="n">
        <v>190</v>
      </c>
      <c r="B123" t="n">
        <v>3900</v>
      </c>
    </row>
    <row r="124">
      <c r="A124" t="n">
        <v>400</v>
      </c>
      <c r="B124" t="n">
        <v>11123</v>
      </c>
    </row>
    <row r="125">
      <c r="A125" t="n">
        <v>750</v>
      </c>
      <c r="B125" t="n">
        <v>19400</v>
      </c>
    </row>
    <row r="126">
      <c r="A126" t="n">
        <v>400</v>
      </c>
      <c r="B126" t="n">
        <v>12000</v>
      </c>
    </row>
    <row r="127">
      <c r="A127" t="n">
        <v>400</v>
      </c>
      <c r="B127" t="n">
        <v>11123</v>
      </c>
    </row>
    <row r="128">
      <c r="A128" t="n">
        <v>700</v>
      </c>
      <c r="B128" t="n">
        <v>17600</v>
      </c>
    </row>
    <row r="129">
      <c r="A129" t="n">
        <v>300</v>
      </c>
      <c r="B129" t="n">
        <v>12050</v>
      </c>
    </row>
    <row r="130">
      <c r="A130" t="n">
        <v>200</v>
      </c>
      <c r="B130" t="n">
        <v>8050</v>
      </c>
    </row>
    <row r="131">
      <c r="A131" t="n">
        <v>200</v>
      </c>
      <c r="B131" t="n">
        <v>7200</v>
      </c>
    </row>
    <row r="132">
      <c r="A132" t="n">
        <v>700</v>
      </c>
      <c r="B132" t="n">
        <v>17600</v>
      </c>
    </row>
    <row r="133">
      <c r="A133" t="n">
        <v>200</v>
      </c>
      <c r="B133" t="n">
        <v>6750</v>
      </c>
    </row>
    <row r="134">
      <c r="A134" t="n">
        <v>25</v>
      </c>
      <c r="B134" t="n">
        <v>4950</v>
      </c>
    </row>
    <row r="135">
      <c r="A135" t="n">
        <v>25</v>
      </c>
      <c r="B135" t="n">
        <v>4950</v>
      </c>
    </row>
    <row r="136">
      <c r="A136" t="n">
        <v>340</v>
      </c>
      <c r="B136" t="n">
        <v>5800</v>
      </c>
    </row>
    <row r="137">
      <c r="A137" t="n">
        <v>400</v>
      </c>
      <c r="B137" t="n">
        <v>9505</v>
      </c>
    </row>
    <row r="138">
      <c r="A138" t="n">
        <v>375</v>
      </c>
      <c r="B138" t="n">
        <v>12900</v>
      </c>
    </row>
    <row r="139">
      <c r="A139" t="n">
        <v>700</v>
      </c>
      <c r="B139" t="n">
        <v>5550</v>
      </c>
    </row>
    <row r="140">
      <c r="A140" t="n">
        <v>400</v>
      </c>
      <c r="B140" t="n">
        <v>9505</v>
      </c>
    </row>
    <row r="141">
      <c r="A141" t="n">
        <v>510</v>
      </c>
      <c r="B141" t="n">
        <v>16750</v>
      </c>
    </row>
    <row r="142">
      <c r="A142" t="n">
        <v>350</v>
      </c>
      <c r="B142" t="n">
        <v>8600</v>
      </c>
    </row>
    <row r="143">
      <c r="A143" t="n">
        <v>420</v>
      </c>
      <c r="B143" t="n">
        <v>9650</v>
      </c>
    </row>
    <row r="144">
      <c r="A144" t="n">
        <v>750</v>
      </c>
      <c r="B144" t="n">
        <v>19400</v>
      </c>
    </row>
    <row r="145">
      <c r="A145" t="n">
        <v>750</v>
      </c>
      <c r="B145" t="n">
        <v>19150</v>
      </c>
    </row>
    <row r="146">
      <c r="A146" t="n">
        <v>200</v>
      </c>
      <c r="B146" t="n">
        <v>6550</v>
      </c>
    </row>
    <row r="147">
      <c r="A147" t="n">
        <v>375</v>
      </c>
      <c r="B147" t="n">
        <v>12650</v>
      </c>
    </row>
    <row r="148">
      <c r="A148" t="n">
        <v>180</v>
      </c>
      <c r="B148" t="n">
        <v>7800</v>
      </c>
    </row>
    <row r="149">
      <c r="A149" t="n">
        <v>415</v>
      </c>
      <c r="B149" t="n">
        <v>10800</v>
      </c>
    </row>
    <row r="150">
      <c r="A150" t="n">
        <v>375</v>
      </c>
      <c r="B150" t="n">
        <v>12600</v>
      </c>
    </row>
    <row r="151">
      <c r="A151" t="n">
        <v>650</v>
      </c>
      <c r="B151" t="n">
        <v>19450</v>
      </c>
    </row>
    <row r="152">
      <c r="A152" t="n">
        <v>200</v>
      </c>
      <c r="B152" t="n">
        <v>6700</v>
      </c>
    </row>
    <row r="153">
      <c r="A153" t="n">
        <v>200</v>
      </c>
      <c r="B153" t="n">
        <v>5800</v>
      </c>
    </row>
    <row r="154">
      <c r="A154" t="n">
        <v>350</v>
      </c>
      <c r="B154" t="n">
        <v>8600</v>
      </c>
    </row>
    <row r="155">
      <c r="A155" t="n">
        <v>180</v>
      </c>
      <c r="B155" t="n">
        <v>5350</v>
      </c>
    </row>
    <row r="156">
      <c r="A156" t="n">
        <v>415</v>
      </c>
      <c r="B156" t="n">
        <v>11850</v>
      </c>
    </row>
    <row r="157">
      <c r="A157" t="n">
        <v>200</v>
      </c>
      <c r="B157" t="n">
        <v>7550</v>
      </c>
    </row>
    <row r="158">
      <c r="A158" t="n">
        <v>180</v>
      </c>
      <c r="B158" t="n">
        <v>7650</v>
      </c>
    </row>
    <row r="159">
      <c r="A159" t="n">
        <v>500</v>
      </c>
      <c r="B159" t="n">
        <v>9600</v>
      </c>
    </row>
    <row r="160">
      <c r="A160" t="n">
        <v>400</v>
      </c>
      <c r="B160" t="n">
        <v>10000</v>
      </c>
    </row>
    <row r="161">
      <c r="A161" t="n">
        <v>400</v>
      </c>
      <c r="B161" t="n">
        <v>11400</v>
      </c>
    </row>
    <row r="162">
      <c r="A162" t="n">
        <v>200</v>
      </c>
      <c r="B162" t="n">
        <v>7550</v>
      </c>
    </row>
    <row r="163">
      <c r="A163" t="n">
        <v>650</v>
      </c>
      <c r="B163" t="n">
        <v>19900</v>
      </c>
    </row>
    <row r="164">
      <c r="A164" t="n">
        <v>1000</v>
      </c>
      <c r="B164" t="n">
        <v>5750</v>
      </c>
    </row>
    <row r="165">
      <c r="A165" t="n">
        <v>375</v>
      </c>
      <c r="B165" t="n">
        <v>12900</v>
      </c>
    </row>
    <row r="166">
      <c r="A166" t="n">
        <v>200</v>
      </c>
      <c r="B166" t="n">
        <v>7750</v>
      </c>
    </row>
    <row r="167">
      <c r="A167" t="n">
        <v>650</v>
      </c>
      <c r="B167" t="n">
        <v>19900</v>
      </c>
    </row>
    <row r="168">
      <c r="A168" t="n">
        <v>200</v>
      </c>
      <c r="B168" t="n">
        <v>6700</v>
      </c>
    </row>
    <row r="169">
      <c r="A169" t="n">
        <v>420</v>
      </c>
      <c r="B169" t="n">
        <v>10700</v>
      </c>
    </row>
    <row r="170">
      <c r="A170" t="n">
        <v>200</v>
      </c>
      <c r="B170" t="n">
        <v>7400</v>
      </c>
    </row>
    <row r="171">
      <c r="A171" t="n">
        <v>180</v>
      </c>
      <c r="B171" t="n">
        <v>7550</v>
      </c>
    </row>
    <row r="172">
      <c r="A172" t="n">
        <v>350</v>
      </c>
      <c r="B172" t="n">
        <v>9800</v>
      </c>
    </row>
    <row r="173">
      <c r="A173" t="n">
        <v>25</v>
      </c>
      <c r="B173" t="n">
        <v>4950</v>
      </c>
    </row>
    <row r="174">
      <c r="A174" t="n">
        <v>200</v>
      </c>
      <c r="B174" t="n">
        <v>7550</v>
      </c>
    </row>
    <row r="175">
      <c r="A175" t="n">
        <v>375</v>
      </c>
      <c r="B175" t="n">
        <v>12900</v>
      </c>
    </row>
    <row r="176">
      <c r="A176" t="n">
        <v>180</v>
      </c>
      <c r="B176" t="n">
        <v>7800</v>
      </c>
    </row>
    <row r="177">
      <c r="A177" t="n">
        <v>300</v>
      </c>
      <c r="B177" t="n">
        <v>12050</v>
      </c>
    </row>
    <row r="178">
      <c r="A178" t="n">
        <v>180</v>
      </c>
      <c r="B178" t="n">
        <v>7800</v>
      </c>
    </row>
    <row r="179">
      <c r="A179" t="n">
        <v>750</v>
      </c>
      <c r="B179" t="n">
        <v>17600</v>
      </c>
    </row>
    <row r="180">
      <c r="A180" t="n">
        <v>400</v>
      </c>
      <c r="B180" t="n">
        <v>10750</v>
      </c>
    </row>
    <row r="181">
      <c r="A181" t="n">
        <v>350</v>
      </c>
      <c r="B181" t="n">
        <v>5900</v>
      </c>
    </row>
    <row r="182">
      <c r="A182" t="n">
        <v>400</v>
      </c>
      <c r="B182" t="n">
        <v>11123</v>
      </c>
    </row>
    <row r="183">
      <c r="A183" t="n">
        <v>400</v>
      </c>
      <c r="B183" t="n">
        <v>10750</v>
      </c>
    </row>
    <row r="184">
      <c r="A184" t="n">
        <v>375</v>
      </c>
      <c r="B184" t="n">
        <v>12900</v>
      </c>
    </row>
    <row r="185">
      <c r="A185" t="n">
        <v>180</v>
      </c>
      <c r="B185" t="n">
        <v>7800</v>
      </c>
    </row>
    <row r="186">
      <c r="A186" t="n">
        <v>180</v>
      </c>
      <c r="B186" t="n">
        <v>7800</v>
      </c>
    </row>
    <row r="187">
      <c r="A187" t="n">
        <v>300</v>
      </c>
      <c r="B187" t="n">
        <v>12050</v>
      </c>
    </row>
    <row r="188">
      <c r="A188" t="n">
        <v>750</v>
      </c>
      <c r="B188" t="n">
        <v>20850</v>
      </c>
    </row>
    <row r="189">
      <c r="A189" t="n">
        <v>750</v>
      </c>
      <c r="B189" t="n">
        <v>19400</v>
      </c>
    </row>
    <row r="190">
      <c r="A190" t="n">
        <v>350</v>
      </c>
      <c r="B190" t="n">
        <v>9800</v>
      </c>
    </row>
    <row r="191">
      <c r="A191" t="n">
        <v>400</v>
      </c>
      <c r="B191" t="n">
        <v>10750</v>
      </c>
    </row>
    <row r="192">
      <c r="A192" t="n">
        <v>200</v>
      </c>
      <c r="B192" t="n">
        <v>6000</v>
      </c>
    </row>
    <row r="193">
      <c r="A193" t="n">
        <v>375</v>
      </c>
      <c r="B193" t="n">
        <v>12900</v>
      </c>
    </row>
    <row r="194">
      <c r="A194" t="n">
        <v>400</v>
      </c>
      <c r="B194" t="n">
        <v>12300</v>
      </c>
    </row>
    <row r="195">
      <c r="A195" t="n">
        <v>200</v>
      </c>
      <c r="B195" t="n">
        <v>7400</v>
      </c>
    </row>
    <row r="196">
      <c r="A196" t="n">
        <v>350</v>
      </c>
      <c r="B196" t="n">
        <v>9800</v>
      </c>
    </row>
    <row r="197">
      <c r="A197" t="n">
        <v>400</v>
      </c>
      <c r="B197" t="n">
        <v>8100</v>
      </c>
    </row>
    <row r="198">
      <c r="A198" t="n">
        <v>200</v>
      </c>
      <c r="B198" t="n">
        <v>6500</v>
      </c>
    </row>
    <row r="199">
      <c r="A199" t="n">
        <v>200</v>
      </c>
      <c r="B199" t="n">
        <v>6700</v>
      </c>
    </row>
    <row r="200">
      <c r="A200" t="n">
        <v>200</v>
      </c>
      <c r="B200" t="n">
        <v>7450</v>
      </c>
    </row>
    <row r="201">
      <c r="A201" t="n">
        <v>400</v>
      </c>
      <c r="B201" t="n">
        <v>12300</v>
      </c>
    </row>
    <row r="202">
      <c r="A202" t="n">
        <v>200</v>
      </c>
      <c r="B202" t="n">
        <v>7400</v>
      </c>
    </row>
    <row r="203">
      <c r="A203" t="n">
        <v>200</v>
      </c>
      <c r="B203" t="n">
        <v>6000</v>
      </c>
    </row>
    <row r="204">
      <c r="A204" t="n">
        <v>400</v>
      </c>
      <c r="B204" t="n">
        <v>10750</v>
      </c>
    </row>
    <row r="205">
      <c r="A205" t="n">
        <v>300</v>
      </c>
      <c r="B205" t="n">
        <v>12050</v>
      </c>
    </row>
    <row r="206">
      <c r="A206" t="n">
        <v>170</v>
      </c>
      <c r="B206" t="n">
        <v>10000</v>
      </c>
    </row>
    <row r="207">
      <c r="A207" t="n">
        <v>650</v>
      </c>
      <c r="B207" t="n">
        <v>16700</v>
      </c>
    </row>
    <row r="208">
      <c r="A208" t="n">
        <v>650</v>
      </c>
      <c r="B208" t="n">
        <v>16700</v>
      </c>
    </row>
    <row r="209">
      <c r="A209" t="n">
        <v>400</v>
      </c>
      <c r="B209" t="n">
        <v>9150</v>
      </c>
    </row>
    <row r="210">
      <c r="A210" t="n">
        <v>970</v>
      </c>
      <c r="B210" t="n">
        <v>6350</v>
      </c>
    </row>
    <row r="211">
      <c r="A211" t="n">
        <v>400</v>
      </c>
      <c r="B211" t="n">
        <v>16800</v>
      </c>
    </row>
    <row r="212">
      <c r="A212" t="n">
        <v>200</v>
      </c>
      <c r="B212" t="n">
        <v>5900</v>
      </c>
    </row>
    <row r="213">
      <c r="A213" t="n">
        <v>190</v>
      </c>
      <c r="B213" t="n">
        <v>3900</v>
      </c>
    </row>
    <row r="214">
      <c r="A214" t="n">
        <v>400</v>
      </c>
      <c r="B214" t="n">
        <v>16800</v>
      </c>
    </row>
    <row r="215">
      <c r="A215" t="n">
        <v>500</v>
      </c>
      <c r="B215" t="n">
        <v>10700</v>
      </c>
    </row>
    <row r="216">
      <c r="A216" t="n">
        <v>400</v>
      </c>
      <c r="B216" t="n">
        <v>9150</v>
      </c>
    </row>
    <row r="217">
      <c r="A217" t="n">
        <v>510</v>
      </c>
      <c r="B217" t="n">
        <v>16400</v>
      </c>
    </row>
    <row r="218">
      <c r="A218" t="n">
        <v>510</v>
      </c>
      <c r="B218" t="n">
        <v>16400</v>
      </c>
    </row>
    <row r="219">
      <c r="A219" t="n">
        <v>650</v>
      </c>
      <c r="B219" t="n">
        <v>9400</v>
      </c>
    </row>
    <row r="220">
      <c r="A220" t="n">
        <v>700</v>
      </c>
      <c r="B220" t="n">
        <v>17250</v>
      </c>
    </row>
    <row r="221">
      <c r="A221" t="n">
        <v>340</v>
      </c>
      <c r="B221" t="n">
        <v>5450</v>
      </c>
    </row>
    <row r="222">
      <c r="A222" t="n">
        <v>350</v>
      </c>
      <c r="B222" t="n">
        <v>8450</v>
      </c>
    </row>
    <row r="223">
      <c r="A223" t="n">
        <v>340</v>
      </c>
      <c r="B223" t="n">
        <v>5450</v>
      </c>
    </row>
    <row r="224">
      <c r="A224" t="n">
        <v>650</v>
      </c>
      <c r="B224" t="n">
        <v>12950</v>
      </c>
    </row>
    <row r="225">
      <c r="A225" t="n">
        <v>700</v>
      </c>
      <c r="B225" t="n">
        <v>17250</v>
      </c>
    </row>
    <row r="226">
      <c r="A226" t="n">
        <v>970</v>
      </c>
      <c r="B226" t="n">
        <v>6350</v>
      </c>
    </row>
    <row r="227">
      <c r="A227" t="n">
        <v>200</v>
      </c>
      <c r="B227" t="n">
        <v>6000</v>
      </c>
    </row>
    <row r="228">
      <c r="A228" t="n">
        <v>200</v>
      </c>
      <c r="B228" t="n">
        <v>5900</v>
      </c>
    </row>
    <row r="229">
      <c r="A229" t="n">
        <v>190</v>
      </c>
      <c r="B229" t="n">
        <v>3900</v>
      </c>
    </row>
    <row r="230">
      <c r="A230" t="n">
        <v>650</v>
      </c>
      <c r="B230" t="n">
        <v>9350</v>
      </c>
    </row>
    <row r="231">
      <c r="A231" t="n">
        <v>250</v>
      </c>
      <c r="B231" t="n">
        <v>6200</v>
      </c>
    </row>
    <row r="232">
      <c r="A232" t="n">
        <v>650</v>
      </c>
      <c r="B232" t="n">
        <v>9350</v>
      </c>
    </row>
    <row r="233">
      <c r="A233" t="n">
        <v>190</v>
      </c>
      <c r="B233" t="n">
        <v>3900</v>
      </c>
    </row>
    <row r="234">
      <c r="A234" t="n">
        <v>400</v>
      </c>
      <c r="B234" t="n">
        <v>9150</v>
      </c>
    </row>
    <row r="235">
      <c r="A235" t="n">
        <v>400</v>
      </c>
      <c r="B235" t="n">
        <v>12050</v>
      </c>
    </row>
    <row r="236">
      <c r="A236" t="n">
        <v>400</v>
      </c>
      <c r="B236" t="n">
        <v>12050</v>
      </c>
    </row>
    <row r="237">
      <c r="A237" t="n">
        <v>400</v>
      </c>
      <c r="B237" t="n">
        <v>12050</v>
      </c>
    </row>
    <row r="238">
      <c r="A238" t="n">
        <v>250</v>
      </c>
      <c r="B238" t="n">
        <v>9450</v>
      </c>
    </row>
    <row r="239">
      <c r="A239" t="n">
        <v>650</v>
      </c>
      <c r="B239" t="n">
        <v>9350</v>
      </c>
    </row>
    <row r="240">
      <c r="A240" t="n">
        <v>340</v>
      </c>
      <c r="B240" t="n">
        <v>5600</v>
      </c>
    </row>
    <row r="241">
      <c r="A241" t="n">
        <v>200</v>
      </c>
      <c r="B241" t="n">
        <v>7450</v>
      </c>
    </row>
    <row r="242">
      <c r="A242" t="n">
        <v>240</v>
      </c>
      <c r="B242" t="n">
        <v>13100</v>
      </c>
    </row>
    <row r="243">
      <c r="A243" t="n">
        <v>250</v>
      </c>
      <c r="B243" t="n">
        <v>6200</v>
      </c>
    </row>
    <row r="244">
      <c r="A244" t="n">
        <v>340</v>
      </c>
      <c r="B244" t="n">
        <v>5450</v>
      </c>
    </row>
    <row r="245">
      <c r="A245" t="n">
        <v>190</v>
      </c>
      <c r="B245" t="n">
        <v>3900</v>
      </c>
    </row>
    <row r="246">
      <c r="A246" t="n">
        <v>400</v>
      </c>
      <c r="B246" t="n">
        <v>9150</v>
      </c>
    </row>
    <row r="247">
      <c r="A247" t="n">
        <v>500</v>
      </c>
      <c r="B247" t="n">
        <v>10700</v>
      </c>
    </row>
    <row r="248">
      <c r="A248" t="n">
        <v>500</v>
      </c>
      <c r="B248" t="n">
        <v>10700</v>
      </c>
    </row>
    <row r="249">
      <c r="A249" t="n">
        <v>340</v>
      </c>
      <c r="B249" t="n">
        <v>5457</v>
      </c>
    </row>
    <row r="250">
      <c r="A250" t="n">
        <v>400</v>
      </c>
      <c r="B250" t="n">
        <v>10300</v>
      </c>
    </row>
    <row r="251">
      <c r="A251" t="n">
        <v>200</v>
      </c>
      <c r="B251" t="n">
        <v>7250</v>
      </c>
    </row>
    <row r="252">
      <c r="A252" t="n">
        <v>340</v>
      </c>
      <c r="B252" t="n">
        <v>5450</v>
      </c>
    </row>
    <row r="253">
      <c r="A253" t="n">
        <v>400</v>
      </c>
      <c r="B253" t="n">
        <v>11550</v>
      </c>
    </row>
    <row r="254">
      <c r="A254" t="n">
        <v>650</v>
      </c>
      <c r="B254" t="n">
        <v>8850</v>
      </c>
    </row>
    <row r="255">
      <c r="A255" t="n">
        <v>340</v>
      </c>
      <c r="B255" t="n">
        <v>5450</v>
      </c>
    </row>
    <row r="256">
      <c r="A256" t="n">
        <v>400</v>
      </c>
      <c r="B256" t="n">
        <v>12050</v>
      </c>
    </row>
    <row r="257">
      <c r="A257" t="n">
        <v>400</v>
      </c>
      <c r="B257" t="n">
        <v>10300</v>
      </c>
    </row>
    <row r="258">
      <c r="A258" t="n">
        <v>400</v>
      </c>
      <c r="B258" t="n">
        <v>12050</v>
      </c>
    </row>
    <row r="259">
      <c r="A259" t="n">
        <v>1000</v>
      </c>
      <c r="B259" t="n">
        <v>5650</v>
      </c>
    </row>
    <row r="260">
      <c r="A260" t="n">
        <v>970</v>
      </c>
      <c r="B260" t="n">
        <v>6350</v>
      </c>
    </row>
    <row r="261">
      <c r="A261" t="n">
        <v>350</v>
      </c>
      <c r="B261" t="n">
        <v>4650</v>
      </c>
    </row>
    <row r="262">
      <c r="A262" t="n">
        <v>415</v>
      </c>
      <c r="B262" t="n">
        <v>11350</v>
      </c>
    </row>
    <row r="263">
      <c r="A263" t="n">
        <v>350</v>
      </c>
      <c r="B263" t="n">
        <v>9550</v>
      </c>
    </row>
    <row r="264">
      <c r="A264" t="n">
        <v>250</v>
      </c>
      <c r="B264" t="n">
        <v>6150</v>
      </c>
    </row>
    <row r="265">
      <c r="A265" t="n">
        <v>350</v>
      </c>
      <c r="B265" t="n">
        <v>4650</v>
      </c>
    </row>
    <row r="266">
      <c r="A266" t="n">
        <v>250</v>
      </c>
      <c r="B266" t="n">
        <v>9300</v>
      </c>
    </row>
    <row r="267">
      <c r="A267" t="n">
        <v>200</v>
      </c>
      <c r="B267" t="n">
        <v>5900</v>
      </c>
    </row>
    <row r="268">
      <c r="A268" t="n">
        <v>750</v>
      </c>
      <c r="B268" t="n">
        <v>18600</v>
      </c>
    </row>
    <row r="269">
      <c r="A269" t="n">
        <v>200</v>
      </c>
      <c r="B269" t="n">
        <v>8050</v>
      </c>
    </row>
    <row r="270">
      <c r="A270" t="n">
        <v>700</v>
      </c>
      <c r="B270" t="n">
        <v>5350</v>
      </c>
    </row>
    <row r="271">
      <c r="A271" t="n">
        <v>340</v>
      </c>
      <c r="B271" t="n">
        <v>5434</v>
      </c>
    </row>
    <row r="272">
      <c r="A272" t="n">
        <v>510</v>
      </c>
      <c r="B272" t="n">
        <v>16400</v>
      </c>
    </row>
    <row r="273">
      <c r="A273" t="n">
        <v>200</v>
      </c>
      <c r="B273" t="n">
        <v>7300</v>
      </c>
    </row>
    <row r="274">
      <c r="A274" t="n">
        <v>200</v>
      </c>
      <c r="B274" t="n">
        <v>7450</v>
      </c>
    </row>
    <row r="275">
      <c r="A275" t="n">
        <v>190</v>
      </c>
      <c r="B275" t="n">
        <v>3900</v>
      </c>
    </row>
    <row r="276">
      <c r="A276" t="n">
        <v>200</v>
      </c>
      <c r="B276" t="n">
        <v>5800</v>
      </c>
    </row>
    <row r="277">
      <c r="A277" t="n">
        <v>190</v>
      </c>
      <c r="B277" t="n">
        <v>3900</v>
      </c>
    </row>
    <row r="278">
      <c r="A278" t="n">
        <v>300</v>
      </c>
      <c r="B278" t="n">
        <v>12200</v>
      </c>
    </row>
    <row r="279">
      <c r="A279" t="n">
        <v>650</v>
      </c>
      <c r="B279" t="n">
        <v>9350</v>
      </c>
    </row>
    <row r="280">
      <c r="A280" t="n">
        <v>650</v>
      </c>
      <c r="B280" t="n">
        <v>16700</v>
      </c>
    </row>
    <row r="281">
      <c r="A281" t="n">
        <v>200</v>
      </c>
      <c r="B281" t="n">
        <v>7450</v>
      </c>
    </row>
    <row r="282">
      <c r="A282" t="n">
        <v>415</v>
      </c>
      <c r="B282" t="n">
        <v>11350</v>
      </c>
    </row>
    <row r="283">
      <c r="A283" t="n">
        <v>750</v>
      </c>
      <c r="B283" t="n">
        <v>21050</v>
      </c>
    </row>
    <row r="284">
      <c r="A284" t="n">
        <v>170</v>
      </c>
      <c r="B284" t="n">
        <v>9850</v>
      </c>
    </row>
    <row r="285">
      <c r="A285" t="n">
        <v>200</v>
      </c>
      <c r="B285" t="n">
        <v>7450</v>
      </c>
    </row>
    <row r="286">
      <c r="A286" t="n">
        <v>250</v>
      </c>
      <c r="B286" t="n">
        <v>10300</v>
      </c>
    </row>
    <row r="287">
      <c r="A287" t="n">
        <v>250</v>
      </c>
      <c r="B287" t="n">
        <v>10250</v>
      </c>
    </row>
    <row r="288">
      <c r="A288" t="n">
        <v>200</v>
      </c>
      <c r="B288" t="n">
        <v>6600</v>
      </c>
    </row>
    <row r="289">
      <c r="A289" t="n">
        <v>200</v>
      </c>
      <c r="B289" t="n">
        <v>8050</v>
      </c>
    </row>
    <row r="290">
      <c r="A290" t="n">
        <v>200</v>
      </c>
      <c r="B290" t="n">
        <v>8450</v>
      </c>
    </row>
    <row r="291">
      <c r="A291" t="n">
        <v>400</v>
      </c>
      <c r="B291" t="n">
        <v>13350</v>
      </c>
    </row>
    <row r="292">
      <c r="A292" t="n">
        <v>750</v>
      </c>
      <c r="B292" t="n">
        <v>18600</v>
      </c>
    </row>
    <row r="293">
      <c r="A293" t="n">
        <v>750</v>
      </c>
      <c r="B293" t="n">
        <v>21350</v>
      </c>
    </row>
    <row r="294">
      <c r="A294" t="n">
        <v>400</v>
      </c>
      <c r="B294" t="n">
        <v>10300</v>
      </c>
    </row>
    <row r="295">
      <c r="A295" t="n">
        <v>700</v>
      </c>
      <c r="B295" t="n">
        <v>17500</v>
      </c>
    </row>
    <row r="296">
      <c r="A296" t="n">
        <v>250</v>
      </c>
      <c r="B296" t="n">
        <v>10250</v>
      </c>
    </row>
    <row r="297">
      <c r="A297" t="n">
        <v>750</v>
      </c>
      <c r="B297" t="n">
        <v>18600</v>
      </c>
    </row>
    <row r="298">
      <c r="A298" t="n">
        <v>650</v>
      </c>
      <c r="B298" t="n">
        <v>16700</v>
      </c>
    </row>
    <row r="299">
      <c r="A299" t="n">
        <v>350</v>
      </c>
      <c r="B299" t="n">
        <v>8550</v>
      </c>
    </row>
    <row r="300">
      <c r="A300" t="n">
        <v>700</v>
      </c>
      <c r="B300" t="n">
        <v>17250</v>
      </c>
    </row>
    <row r="301">
      <c r="A301" t="n">
        <v>350</v>
      </c>
      <c r="B301" t="n">
        <v>8250</v>
      </c>
    </row>
    <row r="302">
      <c r="A302" t="n">
        <v>200</v>
      </c>
      <c r="B302" t="n">
        <v>7450</v>
      </c>
    </row>
    <row r="303">
      <c r="A303" t="n">
        <v>350</v>
      </c>
      <c r="B303" t="n">
        <v>8250</v>
      </c>
    </row>
    <row r="304">
      <c r="A304" t="n">
        <v>415</v>
      </c>
      <c r="B304" t="n">
        <v>11350</v>
      </c>
    </row>
    <row r="305">
      <c r="A305" t="n">
        <v>350</v>
      </c>
      <c r="B305" t="n">
        <v>8250</v>
      </c>
    </row>
    <row r="306">
      <c r="A306" t="n">
        <v>750</v>
      </c>
      <c r="B306" t="n">
        <v>22350</v>
      </c>
    </row>
    <row r="307">
      <c r="A307" t="n">
        <v>400</v>
      </c>
      <c r="B307" t="n">
        <v>13350</v>
      </c>
    </row>
    <row r="308">
      <c r="A308" t="n">
        <v>350</v>
      </c>
      <c r="B308" t="n">
        <v>8250</v>
      </c>
    </row>
    <row r="309">
      <c r="A309" t="n">
        <v>400</v>
      </c>
      <c r="B309" t="n">
        <v>12300</v>
      </c>
    </row>
    <row r="310">
      <c r="A310" t="n">
        <v>200</v>
      </c>
      <c r="B310" t="n">
        <v>6550</v>
      </c>
    </row>
    <row r="311">
      <c r="A311" t="n">
        <v>200</v>
      </c>
      <c r="B311" t="n">
        <v>7650</v>
      </c>
    </row>
    <row r="312">
      <c r="A312" t="n">
        <v>350</v>
      </c>
      <c r="B312" t="n">
        <v>9800</v>
      </c>
    </row>
    <row r="313">
      <c r="A313" t="n">
        <v>250</v>
      </c>
      <c r="B313" t="n">
        <v>10550</v>
      </c>
    </row>
    <row r="314">
      <c r="A314" t="n">
        <v>400</v>
      </c>
      <c r="B314" t="n">
        <v>10300</v>
      </c>
    </row>
    <row r="315">
      <c r="A315" t="n">
        <v>650</v>
      </c>
      <c r="B315" t="n">
        <v>9350</v>
      </c>
    </row>
    <row r="316">
      <c r="A316" t="n">
        <v>300</v>
      </c>
      <c r="B316" t="n">
        <v>12050</v>
      </c>
    </row>
    <row r="317">
      <c r="A317" t="n">
        <v>170</v>
      </c>
      <c r="B317" t="n">
        <v>10000</v>
      </c>
    </row>
    <row r="318">
      <c r="A318" t="n">
        <v>340</v>
      </c>
      <c r="B318" t="n">
        <v>5800</v>
      </c>
    </row>
    <row r="319">
      <c r="A319" t="n">
        <v>190</v>
      </c>
      <c r="B319" t="n">
        <v>3900</v>
      </c>
    </row>
    <row r="320">
      <c r="A320" t="n">
        <v>400</v>
      </c>
      <c r="B320" t="n">
        <v>10300</v>
      </c>
    </row>
    <row r="321">
      <c r="A321" t="n">
        <v>750</v>
      </c>
      <c r="B321" t="n">
        <v>18600</v>
      </c>
    </row>
    <row r="322">
      <c r="A322" t="n">
        <v>400</v>
      </c>
      <c r="B322" t="n">
        <v>12050</v>
      </c>
    </row>
    <row r="323">
      <c r="A323" t="n">
        <v>200</v>
      </c>
      <c r="B323" t="n">
        <v>7250</v>
      </c>
    </row>
    <row r="324">
      <c r="A324" t="n">
        <v>200</v>
      </c>
      <c r="B324" t="n">
        <v>7250</v>
      </c>
    </row>
    <row r="325">
      <c r="A325" t="n">
        <v>300</v>
      </c>
      <c r="B325" t="n">
        <v>12050</v>
      </c>
    </row>
    <row r="326">
      <c r="A326" t="n">
        <v>300</v>
      </c>
      <c r="B326" t="n">
        <v>12200</v>
      </c>
    </row>
    <row r="327">
      <c r="A327" t="n">
        <v>400</v>
      </c>
      <c r="B327" t="n">
        <v>8100</v>
      </c>
    </row>
    <row r="328">
      <c r="A328" t="n">
        <v>400</v>
      </c>
      <c r="B328" t="n">
        <v>12750</v>
      </c>
    </row>
    <row r="329">
      <c r="A329" t="n">
        <v>415</v>
      </c>
      <c r="B329" t="n">
        <v>10800</v>
      </c>
    </row>
    <row r="330">
      <c r="A330" t="n">
        <v>350</v>
      </c>
      <c r="B330" t="n">
        <v>5900</v>
      </c>
    </row>
    <row r="331">
      <c r="A331" t="n">
        <v>350</v>
      </c>
      <c r="B331" t="n">
        <v>12650</v>
      </c>
    </row>
    <row r="332">
      <c r="A332" t="n">
        <v>1000</v>
      </c>
      <c r="B332" t="n">
        <v>5650</v>
      </c>
    </row>
    <row r="333">
      <c r="A333" t="n">
        <v>300</v>
      </c>
      <c r="B333" t="n">
        <v>12200</v>
      </c>
    </row>
    <row r="334">
      <c r="A334" t="n">
        <v>1000</v>
      </c>
      <c r="B334" t="n">
        <v>5600</v>
      </c>
    </row>
    <row r="335">
      <c r="A335" t="n">
        <v>400</v>
      </c>
      <c r="B335" t="n">
        <v>8100</v>
      </c>
    </row>
    <row r="336">
      <c r="A336" t="n">
        <v>400</v>
      </c>
      <c r="B336" t="n">
        <v>12050</v>
      </c>
    </row>
    <row r="337">
      <c r="A337" t="n">
        <v>350</v>
      </c>
      <c r="B337" t="n">
        <v>8450</v>
      </c>
    </row>
    <row r="338">
      <c r="A338" t="n">
        <v>300</v>
      </c>
      <c r="B338" t="n">
        <v>12200</v>
      </c>
    </row>
    <row r="339">
      <c r="A339" t="n">
        <v>300</v>
      </c>
      <c r="B339" t="n">
        <v>12200</v>
      </c>
    </row>
    <row r="340">
      <c r="A340" t="n">
        <v>700</v>
      </c>
      <c r="B340" t="n">
        <v>17250</v>
      </c>
    </row>
    <row r="341">
      <c r="A341" t="n">
        <v>300</v>
      </c>
      <c r="B341" t="n">
        <v>9500</v>
      </c>
    </row>
    <row r="342">
      <c r="A342" t="n">
        <v>300</v>
      </c>
      <c r="B342" t="n">
        <v>12600</v>
      </c>
    </row>
    <row r="343">
      <c r="A343" t="n">
        <v>300</v>
      </c>
      <c r="B343" t="n">
        <v>9400</v>
      </c>
    </row>
    <row r="344">
      <c r="A344" t="n">
        <v>95</v>
      </c>
      <c r="B344" t="n">
        <v>21350</v>
      </c>
    </row>
    <row r="345">
      <c r="A345" t="n">
        <v>270</v>
      </c>
      <c r="B345" t="n">
        <v>10400</v>
      </c>
    </row>
    <row r="346">
      <c r="A346" t="n">
        <v>270</v>
      </c>
      <c r="B346" t="n">
        <v>10400</v>
      </c>
    </row>
    <row r="347">
      <c r="A347" t="n">
        <v>300</v>
      </c>
      <c r="B347" t="n">
        <v>9250</v>
      </c>
    </row>
    <row r="348">
      <c r="A348" t="n">
        <v>270</v>
      </c>
      <c r="B348" t="n">
        <v>10400</v>
      </c>
    </row>
    <row r="349">
      <c r="A349" t="n">
        <v>300</v>
      </c>
      <c r="B349" t="n">
        <v>6150</v>
      </c>
    </row>
    <row r="350">
      <c r="A350" t="n">
        <v>110</v>
      </c>
      <c r="B350" t="n">
        <v>10750</v>
      </c>
    </row>
    <row r="351">
      <c r="A351" t="n">
        <v>300</v>
      </c>
      <c r="B351" t="n">
        <v>6150</v>
      </c>
    </row>
    <row r="352">
      <c r="A352" t="n">
        <v>300</v>
      </c>
      <c r="B352" t="n">
        <v>6150</v>
      </c>
    </row>
    <row r="353">
      <c r="A353" t="n">
        <v>300</v>
      </c>
      <c r="B353" t="n">
        <v>5800</v>
      </c>
    </row>
    <row r="354">
      <c r="A354" t="n">
        <v>190</v>
      </c>
      <c r="B354" t="n">
        <v>3900</v>
      </c>
    </row>
    <row r="355">
      <c r="A355" t="n">
        <v>250</v>
      </c>
      <c r="B355" t="n">
        <v>8100</v>
      </c>
    </row>
    <row r="356">
      <c r="A356" t="n">
        <v>300</v>
      </c>
      <c r="B356" t="n">
        <v>13650</v>
      </c>
    </row>
    <row r="357">
      <c r="A357" t="n">
        <v>350</v>
      </c>
      <c r="B357" t="n">
        <v>15100</v>
      </c>
    </row>
    <row r="358">
      <c r="A358" t="n">
        <v>300</v>
      </c>
      <c r="B358" t="n">
        <v>12050</v>
      </c>
    </row>
    <row r="359">
      <c r="A359" t="n">
        <v>250</v>
      </c>
      <c r="B359" t="n">
        <v>8100</v>
      </c>
    </row>
    <row r="360">
      <c r="A360" t="n">
        <v>350</v>
      </c>
      <c r="B360" t="n">
        <v>15100</v>
      </c>
    </row>
    <row r="361">
      <c r="A361" t="n">
        <v>350</v>
      </c>
      <c r="B361" t="n">
        <v>15100</v>
      </c>
    </row>
    <row r="362">
      <c r="A362" t="n">
        <v>250</v>
      </c>
      <c r="B362" t="n">
        <v>8100</v>
      </c>
    </row>
    <row r="363">
      <c r="A363" t="n">
        <v>200</v>
      </c>
      <c r="B363" t="n">
        <v>5900</v>
      </c>
    </row>
    <row r="364">
      <c r="A364" t="n">
        <v>350</v>
      </c>
      <c r="B364" t="n">
        <v>15100</v>
      </c>
    </row>
    <row r="365">
      <c r="A365" t="n">
        <v>250</v>
      </c>
      <c r="B365" t="n">
        <v>8100</v>
      </c>
    </row>
    <row r="366">
      <c r="A366" t="n">
        <v>200</v>
      </c>
      <c r="B366" t="n">
        <v>8100</v>
      </c>
    </row>
    <row r="367">
      <c r="A367" t="n">
        <v>120</v>
      </c>
      <c r="B367" t="n">
        <v>10350</v>
      </c>
    </row>
    <row r="368">
      <c r="A368" t="n">
        <v>300</v>
      </c>
      <c r="B368" t="n">
        <v>15300</v>
      </c>
    </row>
    <row r="369">
      <c r="A369" t="n">
        <v>300</v>
      </c>
      <c r="B369" t="n">
        <v>17300</v>
      </c>
    </row>
    <row r="370">
      <c r="A370" t="n">
        <v>100</v>
      </c>
      <c r="B370" t="n">
        <v>21600</v>
      </c>
    </row>
    <row r="371">
      <c r="A371" t="n">
        <v>250</v>
      </c>
      <c r="B371" t="n">
        <v>9700</v>
      </c>
    </row>
    <row r="372">
      <c r="A372" t="n">
        <v>300</v>
      </c>
      <c r="B372" t="n">
        <v>11550</v>
      </c>
    </row>
    <row r="373">
      <c r="A373" t="n">
        <v>100</v>
      </c>
      <c r="B373" t="n">
        <v>20650</v>
      </c>
    </row>
    <row r="374">
      <c r="A374" t="n">
        <v>100</v>
      </c>
      <c r="B374" t="n">
        <v>21400</v>
      </c>
    </row>
    <row r="375">
      <c r="A375" t="n">
        <v>300</v>
      </c>
      <c r="B375" t="n">
        <v>12050</v>
      </c>
    </row>
    <row r="376">
      <c r="A376" t="n">
        <v>250</v>
      </c>
      <c r="B376" t="n">
        <v>9700</v>
      </c>
    </row>
    <row r="377">
      <c r="A377" t="n">
        <v>300</v>
      </c>
      <c r="B377" t="n">
        <v>13250</v>
      </c>
    </row>
    <row r="378">
      <c r="A378" t="n">
        <v>400</v>
      </c>
      <c r="B378" t="n">
        <v>6714</v>
      </c>
    </row>
    <row r="379">
      <c r="A379" t="n">
        <v>400</v>
      </c>
      <c r="B379" t="n">
        <v>6714</v>
      </c>
    </row>
    <row r="380">
      <c r="A380" t="n">
        <v>420</v>
      </c>
      <c r="B380" t="n">
        <v>9000</v>
      </c>
    </row>
    <row r="381">
      <c r="A381" t="n">
        <v>400</v>
      </c>
      <c r="B381" t="n">
        <v>5812</v>
      </c>
    </row>
    <row r="382">
      <c r="A382" t="n">
        <v>400</v>
      </c>
      <c r="B382" t="n">
        <v>7494</v>
      </c>
    </row>
    <row r="383">
      <c r="A383" t="n">
        <v>420</v>
      </c>
      <c r="B383" t="n">
        <v>7575</v>
      </c>
    </row>
    <row r="384">
      <c r="A384" t="n">
        <v>375</v>
      </c>
      <c r="B384" t="n">
        <v>7895</v>
      </c>
    </row>
    <row r="385">
      <c r="A385" t="n">
        <v>415</v>
      </c>
      <c r="B385" t="n">
        <v>11750</v>
      </c>
    </row>
    <row r="386">
      <c r="A386" t="n">
        <v>350</v>
      </c>
      <c r="B386" t="n">
        <v>8984</v>
      </c>
    </row>
    <row r="387">
      <c r="A387" t="n">
        <v>400</v>
      </c>
      <c r="B387" t="n">
        <v>6453</v>
      </c>
    </row>
    <row r="388">
      <c r="A388" t="n">
        <v>300</v>
      </c>
      <c r="B388" t="n">
        <v>5692</v>
      </c>
    </row>
    <row r="389">
      <c r="A389" t="n">
        <v>500</v>
      </c>
      <c r="B389" t="n">
        <v>6574</v>
      </c>
    </row>
    <row r="390">
      <c r="A390" t="n">
        <v>200</v>
      </c>
      <c r="B390" t="n">
        <v>4494</v>
      </c>
    </row>
    <row r="391">
      <c r="A391" t="n">
        <v>300</v>
      </c>
      <c r="B391" t="n">
        <v>7273</v>
      </c>
    </row>
    <row r="392">
      <c r="A392" t="n">
        <v>300</v>
      </c>
      <c r="B392" t="n">
        <v>7273</v>
      </c>
    </row>
    <row r="393">
      <c r="A393" t="n">
        <v>400</v>
      </c>
      <c r="B393" t="n">
        <v>6714</v>
      </c>
    </row>
    <row r="394">
      <c r="A394" t="n">
        <v>375</v>
      </c>
      <c r="B394" t="n">
        <v>7895</v>
      </c>
    </row>
    <row r="395">
      <c r="A395" t="n">
        <v>250</v>
      </c>
      <c r="B395" t="n">
        <v>22407</v>
      </c>
    </row>
    <row r="396">
      <c r="A396" t="n">
        <v>400</v>
      </c>
      <c r="B396" t="n">
        <v>11300</v>
      </c>
    </row>
    <row r="397">
      <c r="A397" t="n">
        <v>180</v>
      </c>
      <c r="B397" t="n">
        <v>4701</v>
      </c>
    </row>
    <row r="398">
      <c r="A398" t="n">
        <v>510</v>
      </c>
      <c r="B398" t="n">
        <v>10285</v>
      </c>
    </row>
    <row r="399">
      <c r="A399" t="n">
        <v>750</v>
      </c>
      <c r="B399" t="n">
        <v>10040</v>
      </c>
    </row>
    <row r="400">
      <c r="A400" t="n">
        <v>200</v>
      </c>
      <c r="B400" t="n">
        <v>3807</v>
      </c>
    </row>
    <row r="401">
      <c r="A401" t="n">
        <v>300</v>
      </c>
      <c r="B401" t="n">
        <v>10205</v>
      </c>
    </row>
    <row r="402">
      <c r="A402" t="n">
        <v>165</v>
      </c>
      <c r="B402" t="n">
        <v>14251</v>
      </c>
    </row>
    <row r="403">
      <c r="A403" t="n">
        <v>300</v>
      </c>
      <c r="B403" t="n">
        <v>5692</v>
      </c>
    </row>
    <row r="404">
      <c r="A404" t="n">
        <v>300</v>
      </c>
      <c r="B404" t="n">
        <v>7273</v>
      </c>
    </row>
    <row r="405">
      <c r="A405" t="n">
        <v>375</v>
      </c>
      <c r="B405" t="n">
        <v>7895</v>
      </c>
    </row>
    <row r="406">
      <c r="A406" t="n">
        <v>400</v>
      </c>
      <c r="B406" t="n">
        <v>10574</v>
      </c>
    </row>
    <row r="407">
      <c r="A407" t="n">
        <v>250</v>
      </c>
      <c r="B407" t="n">
        <v>36297</v>
      </c>
    </row>
    <row r="408">
      <c r="A408" t="n">
        <v>350</v>
      </c>
      <c r="B408" t="n">
        <v>7990</v>
      </c>
    </row>
    <row r="409">
      <c r="A409" t="n">
        <v>200</v>
      </c>
      <c r="B409" t="n">
        <v>5490</v>
      </c>
    </row>
    <row r="410">
      <c r="A410" t="n">
        <v>750</v>
      </c>
      <c r="B410" t="n">
        <v>19990</v>
      </c>
    </row>
    <row r="411">
      <c r="A411" t="n">
        <v>200</v>
      </c>
      <c r="B411" t="n">
        <v>4494</v>
      </c>
    </row>
    <row r="412">
      <c r="A412" t="n">
        <v>200</v>
      </c>
      <c r="B412" t="n">
        <v>7490</v>
      </c>
    </row>
    <row r="413">
      <c r="A413" t="n">
        <v>415</v>
      </c>
      <c r="B413" t="n">
        <v>11750</v>
      </c>
    </row>
    <row r="414">
      <c r="A414" t="n">
        <v>180</v>
      </c>
      <c r="B414" t="n">
        <v>4701</v>
      </c>
    </row>
    <row r="415">
      <c r="A415" t="n">
        <v>200</v>
      </c>
      <c r="B415" t="n">
        <v>7011</v>
      </c>
    </row>
    <row r="416">
      <c r="A416" t="n">
        <v>200</v>
      </c>
      <c r="B416" t="n">
        <v>3807</v>
      </c>
    </row>
    <row r="417">
      <c r="A417" t="n">
        <v>300</v>
      </c>
      <c r="B417" t="n">
        <v>12805</v>
      </c>
    </row>
    <row r="418">
      <c r="A418" t="n">
        <v>750</v>
      </c>
      <c r="B418" t="n">
        <v>17990</v>
      </c>
    </row>
    <row r="419">
      <c r="A419" t="n">
        <v>200</v>
      </c>
      <c r="B419" t="n">
        <v>53488</v>
      </c>
    </row>
    <row r="420">
      <c r="A420" t="n">
        <v>400</v>
      </c>
      <c r="B420" t="n">
        <v>10412</v>
      </c>
    </row>
    <row r="421">
      <c r="A421" t="n">
        <v>400</v>
      </c>
      <c r="B421" t="n">
        <v>12204</v>
      </c>
    </row>
    <row r="422">
      <c r="A422" t="n">
        <v>200</v>
      </c>
      <c r="B422" t="n">
        <v>53488</v>
      </c>
    </row>
    <row r="423">
      <c r="A423" t="n">
        <v>410</v>
      </c>
      <c r="B423" t="n">
        <v>11300</v>
      </c>
    </row>
    <row r="424">
      <c r="A424" t="n">
        <v>410</v>
      </c>
      <c r="B424" t="n">
        <v>9700</v>
      </c>
    </row>
    <row r="425">
      <c r="A425" t="n">
        <v>350</v>
      </c>
      <c r="B425" t="n">
        <v>7990</v>
      </c>
    </row>
    <row r="426">
      <c r="A426" t="n">
        <v>200</v>
      </c>
      <c r="B426" t="n">
        <v>6418</v>
      </c>
    </row>
    <row r="427">
      <c r="A427" t="n">
        <v>750</v>
      </c>
      <c r="B427" t="n">
        <v>16733</v>
      </c>
    </row>
    <row r="428">
      <c r="A428" t="n">
        <v>200</v>
      </c>
      <c r="B428" t="n">
        <v>5490</v>
      </c>
    </row>
    <row r="429">
      <c r="A429" t="n">
        <v>200</v>
      </c>
      <c r="B429" t="n">
        <v>3807</v>
      </c>
    </row>
    <row r="430">
      <c r="A430" t="n">
        <v>200</v>
      </c>
      <c r="B430" t="n">
        <v>3807</v>
      </c>
    </row>
    <row r="431">
      <c r="A431" t="n">
        <v>260</v>
      </c>
      <c r="B431" t="n">
        <v>15700</v>
      </c>
    </row>
    <row r="432">
      <c r="A432" t="n">
        <v>420</v>
      </c>
      <c r="B432" t="n">
        <v>11000</v>
      </c>
    </row>
    <row r="433">
      <c r="A433" t="n">
        <v>180</v>
      </c>
      <c r="B433" t="n">
        <v>4701</v>
      </c>
    </row>
    <row r="434">
      <c r="A434" t="n">
        <v>350</v>
      </c>
      <c r="B434" t="n">
        <v>7990</v>
      </c>
    </row>
    <row r="435">
      <c r="A435" t="n">
        <v>400</v>
      </c>
      <c r="B435" t="n">
        <v>12636</v>
      </c>
    </row>
    <row r="436">
      <c r="A436" t="n">
        <v>340</v>
      </c>
      <c r="B436" t="n">
        <v>5836</v>
      </c>
    </row>
    <row r="437">
      <c r="A437" t="n">
        <v>200</v>
      </c>
      <c r="B437" t="n">
        <v>6990</v>
      </c>
    </row>
    <row r="438">
      <c r="A438" t="n">
        <v>250</v>
      </c>
      <c r="B438" t="n">
        <v>36297</v>
      </c>
    </row>
    <row r="439">
      <c r="A439" t="n">
        <v>255</v>
      </c>
      <c r="B439" t="n">
        <v>19872</v>
      </c>
    </row>
    <row r="440">
      <c r="A440" t="n">
        <v>400</v>
      </c>
      <c r="B440" t="n">
        <v>18792</v>
      </c>
    </row>
    <row r="441">
      <c r="A441" t="n">
        <v>400</v>
      </c>
      <c r="B441" t="n">
        <v>15660</v>
      </c>
    </row>
    <row r="442">
      <c r="A442" t="n">
        <v>260</v>
      </c>
      <c r="B442" t="n">
        <v>10802</v>
      </c>
    </row>
    <row r="443">
      <c r="A443" t="n">
        <v>400</v>
      </c>
      <c r="B443" t="n">
        <v>14148</v>
      </c>
    </row>
    <row r="444">
      <c r="A444" t="n">
        <v>250</v>
      </c>
      <c r="B444" t="n">
        <v>24084</v>
      </c>
    </row>
    <row r="445">
      <c r="A445" t="n">
        <v>400</v>
      </c>
      <c r="B445" t="n">
        <v>17354</v>
      </c>
    </row>
    <row r="446">
      <c r="A446" t="n">
        <v>385</v>
      </c>
      <c r="B446" t="n">
        <v>27154</v>
      </c>
    </row>
    <row r="447">
      <c r="A447" t="n">
        <v>200</v>
      </c>
      <c r="B447" t="n">
        <v>3807</v>
      </c>
    </row>
    <row r="448">
      <c r="A448" t="n">
        <v>420</v>
      </c>
      <c r="B448" t="n">
        <v>9700</v>
      </c>
    </row>
    <row r="449">
      <c r="A449" t="n">
        <v>180</v>
      </c>
      <c r="B449" t="n">
        <v>4701</v>
      </c>
    </row>
    <row r="450">
      <c r="A450" t="n">
        <v>340</v>
      </c>
      <c r="B450" t="n">
        <v>5836</v>
      </c>
    </row>
    <row r="451">
      <c r="A451" t="n">
        <v>220</v>
      </c>
      <c r="B451" t="n">
        <v>19697</v>
      </c>
    </row>
    <row r="452">
      <c r="A452" t="n">
        <v>200</v>
      </c>
      <c r="B452" t="n">
        <v>4540</v>
      </c>
    </row>
    <row r="453">
      <c r="A453" t="n">
        <v>250</v>
      </c>
      <c r="B453" t="n">
        <v>17500</v>
      </c>
    </row>
    <row r="454">
      <c r="A454" t="n">
        <v>200</v>
      </c>
      <c r="B454" t="n">
        <v>3807</v>
      </c>
    </row>
    <row r="455">
      <c r="A455" t="n">
        <v>165</v>
      </c>
      <c r="B455" t="n">
        <v>14251</v>
      </c>
    </row>
    <row r="456">
      <c r="A456" t="n">
        <v>350</v>
      </c>
      <c r="B456" t="n">
        <v>9973</v>
      </c>
    </row>
    <row r="457">
      <c r="A457" t="n">
        <v>150</v>
      </c>
      <c r="B457" t="n">
        <v>32913</v>
      </c>
    </row>
    <row r="458">
      <c r="A458" t="n">
        <v>295</v>
      </c>
      <c r="B458" t="n">
        <v>13068</v>
      </c>
    </row>
    <row r="459">
      <c r="A459" t="n">
        <v>340</v>
      </c>
      <c r="B459" t="n">
        <v>5836</v>
      </c>
    </row>
    <row r="460">
      <c r="A460" t="n">
        <v>340</v>
      </c>
      <c r="B460" t="n">
        <v>5836</v>
      </c>
    </row>
    <row r="461">
      <c r="A461" t="n">
        <v>200</v>
      </c>
      <c r="B461" t="n">
        <v>10260</v>
      </c>
    </row>
    <row r="462">
      <c r="A462" t="n">
        <v>420</v>
      </c>
      <c r="B462" t="n">
        <v>9700</v>
      </c>
    </row>
    <row r="463">
      <c r="A463" t="n">
        <v>200</v>
      </c>
      <c r="B463" t="n">
        <v>7490</v>
      </c>
    </row>
    <row r="464">
      <c r="A464" t="n">
        <v>300</v>
      </c>
      <c r="B464" t="n">
        <v>35700</v>
      </c>
    </row>
    <row r="465">
      <c r="A465" t="n">
        <v>250</v>
      </c>
      <c r="B465" t="n">
        <v>12204</v>
      </c>
    </row>
    <row r="466">
      <c r="A466" t="n">
        <v>60</v>
      </c>
      <c r="B466" t="n">
        <v>11289</v>
      </c>
    </row>
    <row r="467">
      <c r="A467" t="n">
        <v>65</v>
      </c>
      <c r="B467" t="n">
        <v>9257</v>
      </c>
    </row>
    <row r="468">
      <c r="A468" t="n">
        <v>400</v>
      </c>
      <c r="B468" t="n">
        <v>14616</v>
      </c>
    </row>
    <row r="469">
      <c r="A469" t="n">
        <v>108</v>
      </c>
      <c r="B469" t="n">
        <v>14364</v>
      </c>
    </row>
    <row r="470">
      <c r="A470" t="n">
        <v>200</v>
      </c>
      <c r="B470" t="n">
        <v>8057</v>
      </c>
    </row>
    <row r="471">
      <c r="A471" t="n">
        <v>65</v>
      </c>
      <c r="B471" t="n">
        <v>13508</v>
      </c>
    </row>
    <row r="472">
      <c r="A472" t="n">
        <v>65</v>
      </c>
      <c r="B472" t="n">
        <v>13508</v>
      </c>
    </row>
    <row r="473">
      <c r="A473" t="n">
        <v>65</v>
      </c>
      <c r="B473" t="n">
        <v>13508</v>
      </c>
    </row>
    <row r="474">
      <c r="A474" t="n">
        <v>400</v>
      </c>
      <c r="B474" t="n">
        <v>36750</v>
      </c>
    </row>
    <row r="475">
      <c r="A475" t="n">
        <v>300</v>
      </c>
      <c r="B475" t="n">
        <v>4301</v>
      </c>
    </row>
    <row r="476">
      <c r="A476" t="n">
        <v>200</v>
      </c>
      <c r="B476" t="n">
        <v>3825</v>
      </c>
    </row>
    <row r="477">
      <c r="A477" t="n">
        <v>200</v>
      </c>
      <c r="B477" t="n">
        <v>3495</v>
      </c>
    </row>
    <row r="478">
      <c r="A478" t="n">
        <v>100</v>
      </c>
      <c r="B478" t="n">
        <v>27000</v>
      </c>
    </row>
    <row r="479">
      <c r="A479" t="n">
        <v>100</v>
      </c>
      <c r="B479" t="n">
        <v>32375</v>
      </c>
    </row>
    <row r="480">
      <c r="A480" t="n">
        <v>150</v>
      </c>
      <c r="B480" t="n">
        <v>26781</v>
      </c>
    </row>
    <row r="481">
      <c r="A481" t="n">
        <v>200</v>
      </c>
      <c r="B481" t="n">
        <v>5490</v>
      </c>
    </row>
    <row r="482">
      <c r="A482" t="n">
        <v>350</v>
      </c>
      <c r="B482" t="n">
        <v>13000</v>
      </c>
    </row>
    <row r="483">
      <c r="A483" t="n">
        <v>415</v>
      </c>
      <c r="B483" t="n">
        <v>11750</v>
      </c>
    </row>
    <row r="484">
      <c r="A484" t="n">
        <v>375</v>
      </c>
      <c r="B484" t="n">
        <v>7895</v>
      </c>
    </row>
    <row r="485">
      <c r="A485" t="n">
        <v>400</v>
      </c>
      <c r="B485" t="n">
        <v>7494</v>
      </c>
    </row>
    <row r="486">
      <c r="A486" t="n">
        <v>415</v>
      </c>
      <c r="B486" t="n">
        <v>11750</v>
      </c>
    </row>
    <row r="487">
      <c r="A487" t="n">
        <v>350</v>
      </c>
      <c r="B487" t="n">
        <v>8984</v>
      </c>
    </row>
    <row r="488">
      <c r="A488" t="n">
        <v>100</v>
      </c>
      <c r="B488" t="n">
        <v>9612</v>
      </c>
    </row>
    <row r="489">
      <c r="A489" t="n">
        <v>300</v>
      </c>
      <c r="B489" t="n">
        <v>7273</v>
      </c>
    </row>
    <row r="490">
      <c r="A490" t="n">
        <v>375</v>
      </c>
      <c r="B490" t="n">
        <v>7895</v>
      </c>
    </row>
    <row r="491">
      <c r="A491" t="n">
        <v>400</v>
      </c>
      <c r="B491" t="n">
        <v>6137</v>
      </c>
    </row>
    <row r="492">
      <c r="A492" t="n">
        <v>200</v>
      </c>
      <c r="B492" t="n">
        <v>3807</v>
      </c>
    </row>
    <row r="493">
      <c r="A493" t="n">
        <v>500</v>
      </c>
      <c r="B493" t="n">
        <v>6574</v>
      </c>
    </row>
    <row r="494">
      <c r="A494" t="n">
        <v>500</v>
      </c>
      <c r="B494" t="n">
        <v>6574</v>
      </c>
    </row>
    <row r="495">
      <c r="A495" t="n">
        <v>375</v>
      </c>
      <c r="B495" t="n">
        <v>7895</v>
      </c>
    </row>
    <row r="496">
      <c r="A496" t="n">
        <v>375</v>
      </c>
      <c r="B496" t="n">
        <v>7895</v>
      </c>
    </row>
    <row r="497">
      <c r="A497" t="n">
        <v>400</v>
      </c>
      <c r="B497" t="n">
        <v>6714</v>
      </c>
    </row>
    <row r="498">
      <c r="A498" t="n">
        <v>200</v>
      </c>
      <c r="B498" t="n">
        <v>6990</v>
      </c>
    </row>
    <row r="499">
      <c r="A499" t="n">
        <v>300</v>
      </c>
      <c r="B499" t="n">
        <v>5692</v>
      </c>
    </row>
    <row r="500">
      <c r="A500" t="n">
        <v>400</v>
      </c>
      <c r="B500" t="n">
        <v>10574</v>
      </c>
    </row>
    <row r="501">
      <c r="A501" t="n">
        <v>400</v>
      </c>
      <c r="B501" t="n">
        <v>10574</v>
      </c>
    </row>
    <row r="502">
      <c r="A502" t="n">
        <v>750</v>
      </c>
      <c r="B502" t="n">
        <v>19990</v>
      </c>
    </row>
    <row r="503">
      <c r="A503" t="n">
        <v>200</v>
      </c>
      <c r="B503" t="n">
        <v>5400</v>
      </c>
    </row>
    <row r="504">
      <c r="A504" t="n">
        <v>500</v>
      </c>
      <c r="B504" t="n">
        <v>6574</v>
      </c>
    </row>
    <row r="505">
      <c r="A505" t="n">
        <v>200</v>
      </c>
      <c r="B505" t="n">
        <v>6990</v>
      </c>
    </row>
    <row r="506">
      <c r="A506" t="n">
        <v>750</v>
      </c>
      <c r="B506" t="n">
        <v>10040</v>
      </c>
    </row>
    <row r="507">
      <c r="A507" t="n">
        <v>400</v>
      </c>
      <c r="B507" t="n">
        <v>6137</v>
      </c>
    </row>
    <row r="508">
      <c r="A508" t="n">
        <v>200</v>
      </c>
      <c r="B508" t="n">
        <v>4194</v>
      </c>
    </row>
    <row r="509">
      <c r="A509" t="n">
        <v>400</v>
      </c>
      <c r="B509" t="n">
        <v>10574</v>
      </c>
    </row>
    <row r="510">
      <c r="A510" t="n">
        <v>300</v>
      </c>
      <c r="B510" t="n">
        <v>5692</v>
      </c>
    </row>
    <row r="511">
      <c r="A511" t="n">
        <v>400</v>
      </c>
      <c r="B511" t="n">
        <v>7266</v>
      </c>
    </row>
    <row r="512">
      <c r="A512" t="n">
        <v>400</v>
      </c>
      <c r="B512" t="n">
        <v>8331</v>
      </c>
    </row>
    <row r="513">
      <c r="A513" t="n">
        <v>410</v>
      </c>
      <c r="B513" t="n">
        <v>9700</v>
      </c>
    </row>
    <row r="514">
      <c r="A514" t="n">
        <v>510</v>
      </c>
      <c r="B514" t="n">
        <v>10285</v>
      </c>
    </row>
    <row r="515">
      <c r="A515" t="n">
        <v>200</v>
      </c>
      <c r="B515" t="n">
        <v>5490</v>
      </c>
    </row>
    <row r="516">
      <c r="A516" t="n">
        <v>200</v>
      </c>
      <c r="B516" t="n">
        <v>7490</v>
      </c>
    </row>
    <row r="517">
      <c r="A517" t="n">
        <v>415</v>
      </c>
      <c r="B517" t="n">
        <v>8225</v>
      </c>
    </row>
    <row r="518">
      <c r="A518" t="n">
        <v>400</v>
      </c>
      <c r="B518" t="n">
        <v>6137</v>
      </c>
    </row>
    <row r="519">
      <c r="A519" t="n">
        <v>350</v>
      </c>
      <c r="B519" t="n">
        <v>7990</v>
      </c>
    </row>
    <row r="520">
      <c r="A520" t="n">
        <v>180</v>
      </c>
      <c r="B520" t="n">
        <v>4701</v>
      </c>
    </row>
    <row r="521">
      <c r="A521" t="n">
        <v>415</v>
      </c>
      <c r="B521" t="n">
        <v>8225</v>
      </c>
    </row>
    <row r="522">
      <c r="A522" t="n">
        <v>200</v>
      </c>
      <c r="B522" t="n">
        <v>6345</v>
      </c>
    </row>
    <row r="523">
      <c r="A523" t="n">
        <v>200</v>
      </c>
      <c r="B523" t="n">
        <v>14364</v>
      </c>
    </row>
    <row r="524">
      <c r="A524" t="n">
        <v>350</v>
      </c>
      <c r="B524" t="n">
        <v>13000</v>
      </c>
    </row>
    <row r="525">
      <c r="A525" t="n">
        <v>200</v>
      </c>
      <c r="B525" t="n">
        <v>5814</v>
      </c>
    </row>
    <row r="526">
      <c r="A526" t="n">
        <v>350</v>
      </c>
      <c r="B526" t="n">
        <v>13000</v>
      </c>
    </row>
    <row r="527">
      <c r="A527" t="n">
        <v>150</v>
      </c>
      <c r="B527" t="n">
        <v>38359</v>
      </c>
    </row>
    <row r="528">
      <c r="A528" t="n">
        <v>108</v>
      </c>
      <c r="B528" t="n">
        <v>14364</v>
      </c>
    </row>
    <row r="529">
      <c r="A529" t="n">
        <v>250</v>
      </c>
      <c r="B529" t="n">
        <v>12204</v>
      </c>
    </row>
    <row r="530">
      <c r="A530" t="n">
        <v>420</v>
      </c>
      <c r="B530" t="n">
        <v>10800</v>
      </c>
    </row>
    <row r="531">
      <c r="A531" t="n">
        <v>250</v>
      </c>
      <c r="B531" t="n">
        <v>6091</v>
      </c>
    </row>
    <row r="532">
      <c r="A532" t="n">
        <v>450</v>
      </c>
      <c r="B532" t="n">
        <v>40000</v>
      </c>
    </row>
    <row r="533">
      <c r="A533" t="n">
        <v>415</v>
      </c>
      <c r="B533" t="n">
        <v>4973</v>
      </c>
    </row>
    <row r="534">
      <c r="A534" t="n">
        <v>300</v>
      </c>
      <c r="B534" t="n">
        <v>3437</v>
      </c>
    </row>
    <row r="535">
      <c r="A535" t="n">
        <v>65</v>
      </c>
      <c r="B535" t="n">
        <v>13508</v>
      </c>
    </row>
    <row r="536">
      <c r="A536" t="n">
        <v>150</v>
      </c>
      <c r="B536" t="n">
        <v>24670</v>
      </c>
    </row>
    <row r="537">
      <c r="A537" t="n">
        <v>300</v>
      </c>
      <c r="B537" t="n">
        <v>41507</v>
      </c>
    </row>
    <row r="538">
      <c r="A538" t="n">
        <v>200</v>
      </c>
      <c r="B538" t="n">
        <v>17140</v>
      </c>
    </row>
    <row r="539">
      <c r="A539" t="n">
        <v>400</v>
      </c>
      <c r="B539" t="n">
        <v>8083</v>
      </c>
    </row>
    <row r="540">
      <c r="A540" t="n">
        <v>125</v>
      </c>
      <c r="B540" t="n">
        <v>34212</v>
      </c>
    </row>
    <row r="541">
      <c r="A541" t="n">
        <v>250</v>
      </c>
      <c r="B541" t="n">
        <v>27598</v>
      </c>
    </row>
    <row r="542">
      <c r="A542" t="n">
        <v>400</v>
      </c>
      <c r="B542" t="n">
        <v>3994</v>
      </c>
    </row>
    <row r="543">
      <c r="A543" t="n">
        <v>295</v>
      </c>
      <c r="B543" t="n">
        <v>9828</v>
      </c>
    </row>
    <row r="544">
      <c r="A544" t="n">
        <v>295</v>
      </c>
      <c r="B544" t="n">
        <v>17400</v>
      </c>
    </row>
    <row r="545">
      <c r="A545" t="n">
        <v>150</v>
      </c>
      <c r="B545" t="n">
        <v>40000</v>
      </c>
    </row>
    <row r="546">
      <c r="A546" t="n">
        <v>200</v>
      </c>
      <c r="B546" t="n">
        <v>29000</v>
      </c>
    </row>
    <row r="547">
      <c r="A547" t="n">
        <v>300</v>
      </c>
      <c r="B547" t="n">
        <v>8775</v>
      </c>
    </row>
    <row r="548">
      <c r="A548" t="n">
        <v>375</v>
      </c>
      <c r="B548" t="n">
        <v>7895</v>
      </c>
    </row>
    <row r="549">
      <c r="A549" t="n">
        <v>385</v>
      </c>
      <c r="B549" t="n">
        <v>27154</v>
      </c>
    </row>
    <row r="550">
      <c r="A550" t="n">
        <v>385</v>
      </c>
      <c r="B550" t="n">
        <v>27154</v>
      </c>
    </row>
    <row r="551">
      <c r="A551" t="n">
        <v>400</v>
      </c>
      <c r="B551" t="n">
        <v>10574</v>
      </c>
    </row>
    <row r="552">
      <c r="A552" t="n">
        <v>250</v>
      </c>
      <c r="B552" t="n">
        <v>22618</v>
      </c>
    </row>
    <row r="553">
      <c r="A553" t="n">
        <v>200</v>
      </c>
      <c r="B553" t="n">
        <v>6990</v>
      </c>
    </row>
    <row r="554">
      <c r="A554" t="n">
        <v>200</v>
      </c>
      <c r="B554" t="n">
        <v>6990</v>
      </c>
    </row>
    <row r="555">
      <c r="A555" t="n">
        <v>400</v>
      </c>
      <c r="B555" t="n">
        <v>10412</v>
      </c>
    </row>
    <row r="556">
      <c r="A556" t="n">
        <v>410</v>
      </c>
      <c r="B556" t="n">
        <v>6750</v>
      </c>
    </row>
    <row r="557">
      <c r="A557" t="n">
        <v>200</v>
      </c>
      <c r="B557" t="n">
        <v>53488</v>
      </c>
    </row>
    <row r="558">
      <c r="A558" t="n">
        <v>100</v>
      </c>
      <c r="B558" t="n">
        <v>8748</v>
      </c>
    </row>
    <row r="559">
      <c r="A559" t="n">
        <v>300</v>
      </c>
      <c r="B559" t="n">
        <v>6032</v>
      </c>
    </row>
    <row r="560">
      <c r="A560" t="n">
        <v>180</v>
      </c>
      <c r="B560" t="n">
        <v>4701</v>
      </c>
    </row>
    <row r="561">
      <c r="A561" t="n">
        <v>350</v>
      </c>
      <c r="B561" t="n">
        <v>10470</v>
      </c>
    </row>
    <row r="562">
      <c r="A562" t="n">
        <v>200</v>
      </c>
      <c r="B562" t="n">
        <v>53488</v>
      </c>
    </row>
    <row r="563">
      <c r="A563" t="n">
        <v>200</v>
      </c>
      <c r="B563" t="n">
        <v>7011</v>
      </c>
    </row>
    <row r="564">
      <c r="A564" t="n">
        <v>750</v>
      </c>
      <c r="B564" t="n">
        <v>19990</v>
      </c>
    </row>
    <row r="565">
      <c r="A565" t="n">
        <v>200</v>
      </c>
      <c r="B565" t="n">
        <v>3807</v>
      </c>
    </row>
    <row r="566">
      <c r="A566" t="n">
        <v>750</v>
      </c>
      <c r="B566" t="n">
        <v>17990</v>
      </c>
    </row>
    <row r="567">
      <c r="A567" t="n">
        <v>350</v>
      </c>
      <c r="B567" t="n">
        <v>9973</v>
      </c>
    </row>
    <row r="568">
      <c r="A568" t="n">
        <v>400</v>
      </c>
      <c r="B568" t="n">
        <v>7169</v>
      </c>
    </row>
    <row r="569">
      <c r="A569" t="n">
        <v>300</v>
      </c>
      <c r="B569" t="n">
        <v>9008</v>
      </c>
    </row>
    <row r="570">
      <c r="A570" t="n">
        <v>350</v>
      </c>
      <c r="B570" t="n">
        <v>7990</v>
      </c>
    </row>
    <row r="571">
      <c r="A571" t="n">
        <v>200</v>
      </c>
      <c r="B571" t="n">
        <v>6213</v>
      </c>
    </row>
    <row r="572">
      <c r="A572" t="n">
        <v>400</v>
      </c>
      <c r="B572" t="n">
        <v>12852</v>
      </c>
    </row>
    <row r="573">
      <c r="A573" t="n">
        <v>410</v>
      </c>
      <c r="B573" t="n">
        <v>9700</v>
      </c>
    </row>
    <row r="574">
      <c r="A574" t="n">
        <v>400</v>
      </c>
      <c r="B574" t="n">
        <v>12852</v>
      </c>
    </row>
    <row r="575">
      <c r="A575" t="n">
        <v>410</v>
      </c>
      <c r="B575" t="n">
        <v>9700</v>
      </c>
    </row>
    <row r="576">
      <c r="A576" t="n">
        <v>250</v>
      </c>
      <c r="B576" t="n">
        <v>17500</v>
      </c>
    </row>
    <row r="577">
      <c r="A577" t="n">
        <v>250</v>
      </c>
      <c r="B577" t="n">
        <v>17500</v>
      </c>
    </row>
    <row r="578">
      <c r="A578" t="n">
        <v>180</v>
      </c>
      <c r="B578" t="n">
        <v>3208</v>
      </c>
    </row>
    <row r="579">
      <c r="A579" t="n">
        <v>180</v>
      </c>
      <c r="B579" t="n">
        <v>3636</v>
      </c>
    </row>
    <row r="580">
      <c r="A580" t="n">
        <v>340</v>
      </c>
      <c r="B580" t="n">
        <v>5837</v>
      </c>
    </row>
    <row r="581">
      <c r="A581" t="n">
        <v>20</v>
      </c>
      <c r="B581" t="n">
        <v>1900</v>
      </c>
    </row>
    <row r="582">
      <c r="A582" t="n">
        <v>200</v>
      </c>
      <c r="B582" t="n">
        <v>5490</v>
      </c>
    </row>
    <row r="583">
      <c r="A583" t="n">
        <v>200</v>
      </c>
      <c r="B583" t="n">
        <v>5788</v>
      </c>
    </row>
    <row r="584">
      <c r="A584" t="n">
        <v>295</v>
      </c>
      <c r="B584" t="n">
        <v>17496</v>
      </c>
    </row>
    <row r="585">
      <c r="A585" t="n">
        <v>200</v>
      </c>
      <c r="B585" t="n">
        <v>8250</v>
      </c>
    </row>
    <row r="586">
      <c r="A586" t="n">
        <v>300</v>
      </c>
      <c r="B586" t="n">
        <v>13176</v>
      </c>
    </row>
    <row r="587">
      <c r="A587" t="n">
        <v>190</v>
      </c>
      <c r="B587" t="n">
        <v>3907</v>
      </c>
    </row>
    <row r="588">
      <c r="A588" t="n">
        <v>350</v>
      </c>
      <c r="B588" t="n">
        <v>9900</v>
      </c>
    </row>
    <row r="589">
      <c r="A589" t="n">
        <v>400</v>
      </c>
      <c r="B589" t="n">
        <v>12490</v>
      </c>
    </row>
    <row r="590">
      <c r="A590" t="n">
        <v>200</v>
      </c>
      <c r="B590" t="n">
        <v>34900</v>
      </c>
    </row>
    <row r="591">
      <c r="A591" t="n">
        <v>180</v>
      </c>
      <c r="B591" t="n">
        <v>37700</v>
      </c>
    </row>
    <row r="592">
      <c r="A592" t="n">
        <v>300</v>
      </c>
      <c r="B592" t="n">
        <v>16600</v>
      </c>
    </row>
    <row r="593">
      <c r="A593" t="n">
        <v>650</v>
      </c>
      <c r="B593" t="n">
        <v>16218</v>
      </c>
    </row>
    <row r="594">
      <c r="A594" t="n">
        <v>100</v>
      </c>
      <c r="B594" t="n">
        <v>18655</v>
      </c>
    </row>
    <row r="595">
      <c r="A595" t="n">
        <v>100</v>
      </c>
      <c r="B595" t="n">
        <v>20150</v>
      </c>
    </row>
    <row r="596">
      <c r="A596" t="n">
        <v>120</v>
      </c>
      <c r="B596" t="n">
        <v>29285</v>
      </c>
    </row>
    <row r="597">
      <c r="A597" t="n">
        <v>250</v>
      </c>
      <c r="B597" t="n">
        <v>19209</v>
      </c>
    </row>
    <row r="598">
      <c r="A598" t="n">
        <v>155</v>
      </c>
      <c r="B598" t="n">
        <v>40316</v>
      </c>
    </row>
    <row r="599">
      <c r="A599" t="n">
        <v>100</v>
      </c>
      <c r="B599" t="n">
        <v>17614</v>
      </c>
    </row>
    <row r="600">
      <c r="A600" t="n">
        <v>200</v>
      </c>
      <c r="B600" t="n">
        <v>21385</v>
      </c>
    </row>
    <row r="601">
      <c r="A601" t="n">
        <v>150</v>
      </c>
      <c r="B601" t="n">
        <v>28696</v>
      </c>
    </row>
    <row r="602">
      <c r="A602" t="n">
        <v>100</v>
      </c>
      <c r="B602" t="n">
        <v>12400</v>
      </c>
    </row>
    <row r="603">
      <c r="A603" t="n">
        <v>120</v>
      </c>
      <c r="B603" t="n">
        <v>13500</v>
      </c>
    </row>
    <row r="604">
      <c r="A604" t="n">
        <v>300</v>
      </c>
      <c r="B604" t="n">
        <v>36637</v>
      </c>
    </row>
    <row r="605">
      <c r="A605" t="n">
        <v>120</v>
      </c>
      <c r="B605" t="n">
        <v>22150</v>
      </c>
    </row>
    <row r="606">
      <c r="A606" t="n">
        <v>140</v>
      </c>
      <c r="B606" t="n">
        <v>33790</v>
      </c>
    </row>
    <row r="607">
      <c r="A607" t="n">
        <v>240</v>
      </c>
      <c r="B607" t="n">
        <v>24550</v>
      </c>
    </row>
    <row r="608">
      <c r="A608" t="n">
        <v>140</v>
      </c>
      <c r="B608" t="n">
        <v>29566</v>
      </c>
    </row>
    <row r="609">
      <c r="A609" t="n">
        <v>200</v>
      </c>
      <c r="B609" t="n">
        <v>25830</v>
      </c>
    </row>
    <row r="610">
      <c r="A610" t="n">
        <v>120</v>
      </c>
      <c r="B610" t="n">
        <v>18189</v>
      </c>
    </row>
    <row r="611">
      <c r="A611" t="n">
        <v>250</v>
      </c>
      <c r="B611" t="n">
        <v>41818</v>
      </c>
    </row>
    <row r="612">
      <c r="A612" t="n">
        <v>200</v>
      </c>
      <c r="B612" t="n">
        <v>39995</v>
      </c>
    </row>
    <row r="613">
      <c r="A613" t="n">
        <v>155</v>
      </c>
      <c r="B613" t="n">
        <v>32945</v>
      </c>
    </row>
    <row r="614">
      <c r="A614" t="n">
        <v>250</v>
      </c>
      <c r="B614" t="n">
        <v>28780</v>
      </c>
    </row>
    <row r="615">
      <c r="A615" t="n">
        <v>100</v>
      </c>
      <c r="B615" t="n">
        <v>12400</v>
      </c>
    </row>
    <row r="616">
      <c r="A616" t="n">
        <v>190</v>
      </c>
      <c r="B616" t="n">
        <v>29000</v>
      </c>
    </row>
    <row r="617">
      <c r="A617" t="n">
        <v>415</v>
      </c>
      <c r="B617" t="n">
        <v>11750</v>
      </c>
    </row>
    <row r="618">
      <c r="A618" t="n">
        <v>190</v>
      </c>
      <c r="B618" t="n">
        <v>29000</v>
      </c>
    </row>
    <row r="619">
      <c r="A619" t="n">
        <v>415</v>
      </c>
      <c r="B619" t="n">
        <v>11750</v>
      </c>
    </row>
    <row r="620">
      <c r="A620" t="n">
        <v>415</v>
      </c>
      <c r="B620" t="n">
        <v>12743</v>
      </c>
    </row>
    <row r="621">
      <c r="A621" t="n">
        <v>150</v>
      </c>
      <c r="B621" t="n">
        <v>22399</v>
      </c>
    </row>
    <row r="622">
      <c r="A622" t="n">
        <v>415</v>
      </c>
      <c r="B622" t="n">
        <v>11750</v>
      </c>
    </row>
    <row r="623">
      <c r="A623" t="n">
        <v>300</v>
      </c>
      <c r="B623" t="n">
        <v>51430</v>
      </c>
    </row>
    <row r="624">
      <c r="A624" t="n">
        <v>120</v>
      </c>
      <c r="B624" t="n">
        <v>25470</v>
      </c>
    </row>
    <row r="625">
      <c r="A625" t="n">
        <v>375</v>
      </c>
      <c r="B625" t="n">
        <v>12827</v>
      </c>
    </row>
    <row r="626">
      <c r="A626" t="n">
        <v>415</v>
      </c>
      <c r="B626" t="n">
        <v>11750</v>
      </c>
    </row>
    <row r="627">
      <c r="A627" t="n">
        <v>125</v>
      </c>
      <c r="B627" t="n">
        <v>11526</v>
      </c>
    </row>
    <row r="628">
      <c r="A628" t="n">
        <v>350</v>
      </c>
      <c r="B628" t="n">
        <v>22400</v>
      </c>
    </row>
    <row r="629">
      <c r="A629" t="n">
        <v>415</v>
      </c>
      <c r="B629" t="n">
        <v>23500</v>
      </c>
    </row>
    <row r="630">
      <c r="A630" t="n">
        <v>125</v>
      </c>
      <c r="B630" t="n">
        <v>11190</v>
      </c>
    </row>
    <row r="631">
      <c r="A631" t="n">
        <v>400</v>
      </c>
      <c r="B631" t="n">
        <v>13428</v>
      </c>
    </row>
    <row r="632">
      <c r="A632" t="n">
        <v>120</v>
      </c>
      <c r="B632" t="n">
        <v>3523</v>
      </c>
    </row>
    <row r="633">
      <c r="A633" t="n">
        <v>375</v>
      </c>
      <c r="B633" t="n">
        <v>12827</v>
      </c>
    </row>
    <row r="634">
      <c r="A634" t="n">
        <v>65</v>
      </c>
      <c r="B634" t="n">
        <v>27015</v>
      </c>
    </row>
    <row r="635">
      <c r="A635" t="n">
        <v>375</v>
      </c>
      <c r="B635" t="n">
        <v>12827</v>
      </c>
    </row>
    <row r="636">
      <c r="A636" t="n">
        <v>65</v>
      </c>
      <c r="B636" t="n">
        <v>27015</v>
      </c>
    </row>
    <row r="637">
      <c r="A637" t="n">
        <v>65</v>
      </c>
      <c r="B637" t="n">
        <v>27015</v>
      </c>
    </row>
    <row r="638">
      <c r="A638" t="n">
        <v>375</v>
      </c>
      <c r="B638" t="n">
        <v>12827</v>
      </c>
    </row>
    <row r="639">
      <c r="A639" t="n">
        <v>375</v>
      </c>
      <c r="B639" t="n">
        <v>12827</v>
      </c>
    </row>
    <row r="640">
      <c r="A640" t="n">
        <v>65</v>
      </c>
      <c r="B640" t="n">
        <v>27015</v>
      </c>
    </row>
    <row r="641">
      <c r="A641" t="n">
        <v>65</v>
      </c>
      <c r="B641" t="n">
        <v>27015</v>
      </c>
    </row>
    <row r="642">
      <c r="A642" t="n">
        <v>350</v>
      </c>
      <c r="B642" t="n">
        <v>31332</v>
      </c>
    </row>
    <row r="643">
      <c r="A643" t="n">
        <v>400</v>
      </c>
      <c r="B643" t="n">
        <v>27378</v>
      </c>
    </row>
    <row r="644">
      <c r="A644" t="n">
        <v>120</v>
      </c>
      <c r="B644" t="n">
        <v>5863</v>
      </c>
    </row>
    <row r="645">
      <c r="A645" t="n">
        <v>500</v>
      </c>
      <c r="B645" t="n">
        <v>19360</v>
      </c>
    </row>
    <row r="646">
      <c r="A646" t="n">
        <v>500</v>
      </c>
      <c r="B646" t="n">
        <v>18047</v>
      </c>
    </row>
    <row r="647">
      <c r="A647" t="n">
        <v>120</v>
      </c>
      <c r="B647" t="n">
        <v>5368</v>
      </c>
    </row>
    <row r="648">
      <c r="A648" t="n">
        <v>500</v>
      </c>
      <c r="B648" t="n">
        <v>26571</v>
      </c>
    </row>
    <row r="649">
      <c r="A649" t="n">
        <v>500</v>
      </c>
      <c r="B649" t="n">
        <v>19360</v>
      </c>
    </row>
    <row r="650">
      <c r="A650" t="n">
        <v>200</v>
      </c>
      <c r="B650" t="n">
        <v>5017</v>
      </c>
    </row>
    <row r="651">
      <c r="A651" t="n">
        <v>200</v>
      </c>
      <c r="B651" t="n">
        <v>4058</v>
      </c>
    </row>
    <row r="652">
      <c r="A652" t="n">
        <v>100</v>
      </c>
      <c r="B652" t="n">
        <v>4270</v>
      </c>
    </row>
    <row r="653">
      <c r="A653" t="n">
        <v>200</v>
      </c>
      <c r="B653" t="n">
        <v>5816</v>
      </c>
    </row>
    <row r="654">
      <c r="A654" t="n">
        <v>200</v>
      </c>
      <c r="B654" t="n">
        <v>3779</v>
      </c>
    </row>
    <row r="655">
      <c r="A655" t="n">
        <v>80</v>
      </c>
      <c r="B655" t="n">
        <v>1438</v>
      </c>
    </row>
    <row r="656">
      <c r="A656" t="n">
        <v>400</v>
      </c>
      <c r="B656" t="n">
        <v>17928</v>
      </c>
    </row>
    <row r="657">
      <c r="A657" t="n">
        <v>300</v>
      </c>
      <c r="B657" t="n">
        <v>12190</v>
      </c>
    </row>
    <row r="658">
      <c r="A658" t="n">
        <v>250</v>
      </c>
      <c r="B658" t="n">
        <v>9990</v>
      </c>
    </row>
    <row r="659">
      <c r="A659" t="n">
        <v>200</v>
      </c>
      <c r="B659" t="n">
        <v>14256</v>
      </c>
    </row>
    <row r="660">
      <c r="A660" t="n">
        <v>400</v>
      </c>
      <c r="B660" t="n">
        <v>13608</v>
      </c>
    </row>
    <row r="661">
      <c r="A661" t="n">
        <v>100</v>
      </c>
      <c r="B661" t="n">
        <v>39980</v>
      </c>
    </row>
    <row r="662">
      <c r="A662" t="n">
        <v>400</v>
      </c>
      <c r="B662" t="n">
        <v>7494</v>
      </c>
    </row>
    <row r="663">
      <c r="A663" t="n">
        <v>250</v>
      </c>
      <c r="B663" t="n">
        <v>6137</v>
      </c>
    </row>
    <row r="664">
      <c r="A664" t="n">
        <v>20</v>
      </c>
      <c r="B664" t="n">
        <v>7700</v>
      </c>
    </row>
    <row r="665">
      <c r="A665" t="n">
        <v>100</v>
      </c>
      <c r="B665" t="n">
        <v>19990</v>
      </c>
    </row>
    <row r="666">
      <c r="A666" t="n">
        <v>150</v>
      </c>
      <c r="B666" t="n">
        <v>3797</v>
      </c>
    </row>
    <row r="667">
      <c r="A667" t="n">
        <v>300</v>
      </c>
      <c r="B667" t="n">
        <v>12190</v>
      </c>
    </row>
    <row r="668">
      <c r="A668" t="n">
        <v>300</v>
      </c>
      <c r="B668" t="n">
        <v>48693</v>
      </c>
    </row>
    <row r="669">
      <c r="A669" t="n">
        <v>400</v>
      </c>
      <c r="B669" t="n">
        <v>6714</v>
      </c>
    </row>
    <row r="670">
      <c r="A670" t="n">
        <v>200</v>
      </c>
      <c r="B670" t="n">
        <v>7490</v>
      </c>
    </row>
    <row r="671">
      <c r="A671" t="n">
        <v>385</v>
      </c>
      <c r="B671" t="n">
        <v>27154</v>
      </c>
    </row>
    <row r="672">
      <c r="A672" t="n">
        <v>100</v>
      </c>
      <c r="B672" t="n">
        <v>9612</v>
      </c>
    </row>
    <row r="673">
      <c r="A673" t="n">
        <v>200</v>
      </c>
      <c r="B673" t="n">
        <v>7490</v>
      </c>
    </row>
    <row r="674">
      <c r="A674" t="n">
        <v>200</v>
      </c>
      <c r="B674" t="n">
        <v>34900</v>
      </c>
    </row>
    <row r="675">
      <c r="A675" t="n">
        <v>750</v>
      </c>
      <c r="B675" t="n">
        <v>19990</v>
      </c>
    </row>
    <row r="676">
      <c r="A676" t="n">
        <v>300</v>
      </c>
      <c r="B676" t="n">
        <v>5692</v>
      </c>
    </row>
    <row r="677">
      <c r="A677" t="n">
        <v>750</v>
      </c>
      <c r="B677" t="n">
        <v>19990</v>
      </c>
    </row>
    <row r="678">
      <c r="A678" t="n">
        <v>400</v>
      </c>
      <c r="B678" t="n">
        <v>12490</v>
      </c>
    </row>
    <row r="679">
      <c r="A679" t="n">
        <v>300</v>
      </c>
      <c r="B679" t="n">
        <v>7273</v>
      </c>
    </row>
    <row r="680">
      <c r="A680" t="n">
        <v>200</v>
      </c>
      <c r="B680" t="n">
        <v>4124</v>
      </c>
    </row>
    <row r="681">
      <c r="A681" t="n">
        <v>400</v>
      </c>
      <c r="B681" t="n">
        <v>10574</v>
      </c>
    </row>
    <row r="682">
      <c r="A682" t="n">
        <v>400</v>
      </c>
      <c r="B682" t="n">
        <v>10574</v>
      </c>
    </row>
    <row r="683">
      <c r="A683" t="n">
        <v>400</v>
      </c>
      <c r="B683" t="n">
        <v>10574</v>
      </c>
    </row>
    <row r="684">
      <c r="A684" t="n">
        <v>415</v>
      </c>
      <c r="B684" t="n">
        <v>11750</v>
      </c>
    </row>
    <row r="685">
      <c r="A685" t="n">
        <v>400</v>
      </c>
      <c r="B685" t="n">
        <v>10574</v>
      </c>
    </row>
    <row r="686">
      <c r="A686" t="n">
        <v>240</v>
      </c>
      <c r="B686" t="n">
        <v>8262</v>
      </c>
    </row>
    <row r="687">
      <c r="A687" t="n">
        <v>300</v>
      </c>
      <c r="B687" t="n">
        <v>11190</v>
      </c>
    </row>
    <row r="688">
      <c r="A688" t="n">
        <v>300</v>
      </c>
      <c r="B688" t="n">
        <v>41400</v>
      </c>
    </row>
    <row r="689">
      <c r="A689" t="n">
        <v>150</v>
      </c>
      <c r="B689" t="n">
        <v>9251</v>
      </c>
    </row>
    <row r="690">
      <c r="A690" t="n">
        <v>300</v>
      </c>
      <c r="B690" t="n">
        <v>12990</v>
      </c>
    </row>
    <row r="691">
      <c r="A691" t="n">
        <v>350</v>
      </c>
      <c r="B691" t="n">
        <v>7990</v>
      </c>
    </row>
    <row r="692">
      <c r="A692" t="n">
        <v>300</v>
      </c>
      <c r="B692" t="n">
        <v>22217</v>
      </c>
    </row>
    <row r="693">
      <c r="A693" t="n">
        <v>300</v>
      </c>
      <c r="B693" t="n">
        <v>22217</v>
      </c>
    </row>
    <row r="694">
      <c r="A694" t="n">
        <v>65</v>
      </c>
      <c r="B694" t="n">
        <v>25238</v>
      </c>
    </row>
    <row r="695">
      <c r="A695" t="n">
        <v>300</v>
      </c>
      <c r="B695" t="n">
        <v>9870</v>
      </c>
    </row>
    <row r="696">
      <c r="A696" t="n">
        <v>145</v>
      </c>
      <c r="B696" t="n">
        <v>21304</v>
      </c>
    </row>
    <row r="697">
      <c r="A697" t="n">
        <v>300</v>
      </c>
      <c r="B697" t="n">
        <v>9870</v>
      </c>
    </row>
    <row r="698">
      <c r="A698" t="n">
        <v>420</v>
      </c>
      <c r="B698" t="n">
        <v>9700</v>
      </c>
    </row>
    <row r="699">
      <c r="A699" t="n">
        <v>400</v>
      </c>
      <c r="B699" t="n">
        <v>7494</v>
      </c>
    </row>
    <row r="700">
      <c r="A700" t="n">
        <v>400</v>
      </c>
      <c r="B700" t="n">
        <v>6137</v>
      </c>
    </row>
    <row r="701">
      <c r="A701" t="n">
        <v>350</v>
      </c>
      <c r="B701" t="n">
        <v>8984</v>
      </c>
    </row>
    <row r="702">
      <c r="A702" t="n">
        <v>400</v>
      </c>
      <c r="B702" t="n">
        <v>6714</v>
      </c>
    </row>
    <row r="703">
      <c r="A703" t="n">
        <v>400</v>
      </c>
      <c r="B703" t="n">
        <v>6714</v>
      </c>
    </row>
    <row r="704">
      <c r="A704" t="n">
        <v>400</v>
      </c>
      <c r="B704" t="n">
        <v>6714</v>
      </c>
    </row>
    <row r="705">
      <c r="A705" t="n">
        <v>400</v>
      </c>
      <c r="B705" t="n">
        <v>5812</v>
      </c>
    </row>
    <row r="706">
      <c r="A706" t="n">
        <v>300</v>
      </c>
      <c r="B706" t="n">
        <v>7273</v>
      </c>
    </row>
    <row r="707">
      <c r="A707" t="n">
        <v>400</v>
      </c>
      <c r="B707" t="n">
        <v>6137</v>
      </c>
    </row>
    <row r="708">
      <c r="A708" t="n">
        <v>750</v>
      </c>
      <c r="B708" t="n">
        <v>10040</v>
      </c>
    </row>
    <row r="709">
      <c r="A709" t="n">
        <v>500</v>
      </c>
      <c r="B709" t="n">
        <v>6574</v>
      </c>
    </row>
    <row r="710">
      <c r="A710" t="n">
        <v>200</v>
      </c>
      <c r="B710" t="n">
        <v>4194</v>
      </c>
    </row>
    <row r="711">
      <c r="A711" t="n">
        <v>400</v>
      </c>
      <c r="B711" t="n">
        <v>6714</v>
      </c>
    </row>
    <row r="712">
      <c r="A712" t="n">
        <v>400</v>
      </c>
      <c r="B712" t="n">
        <v>6714</v>
      </c>
    </row>
    <row r="713">
      <c r="A713" t="n">
        <v>750</v>
      </c>
      <c r="B713" t="n">
        <v>19990</v>
      </c>
    </row>
    <row r="714">
      <c r="A714" t="n">
        <v>510</v>
      </c>
      <c r="B714" t="n">
        <v>10285</v>
      </c>
    </row>
    <row r="715">
      <c r="A715" t="n">
        <v>200</v>
      </c>
      <c r="B715" t="n">
        <v>7490</v>
      </c>
    </row>
    <row r="716">
      <c r="A716" t="n">
        <v>420</v>
      </c>
      <c r="B716" t="n">
        <v>7575</v>
      </c>
    </row>
    <row r="717">
      <c r="A717" t="n">
        <v>500</v>
      </c>
      <c r="B717" t="n">
        <v>6574</v>
      </c>
    </row>
    <row r="718">
      <c r="A718" t="n">
        <v>415</v>
      </c>
      <c r="B718" t="n">
        <v>11750</v>
      </c>
    </row>
    <row r="719">
      <c r="A719" t="n">
        <v>300</v>
      </c>
      <c r="B719" t="n">
        <v>5692</v>
      </c>
    </row>
    <row r="720">
      <c r="A720" t="n">
        <v>300</v>
      </c>
      <c r="B720" t="n">
        <v>7273</v>
      </c>
    </row>
    <row r="721">
      <c r="A721" t="n">
        <v>210</v>
      </c>
      <c r="B721" t="n">
        <v>10392</v>
      </c>
    </row>
    <row r="722">
      <c r="A722" t="n">
        <v>300</v>
      </c>
      <c r="B722" t="n">
        <v>7273</v>
      </c>
    </row>
    <row r="723">
      <c r="A723" t="n">
        <v>300</v>
      </c>
      <c r="B723" t="n">
        <v>7273</v>
      </c>
    </row>
    <row r="724">
      <c r="A724" t="n">
        <v>400</v>
      </c>
      <c r="B724" t="n">
        <v>10574</v>
      </c>
    </row>
    <row r="725">
      <c r="A725" t="n">
        <v>400</v>
      </c>
      <c r="B725" t="n">
        <v>10574</v>
      </c>
    </row>
    <row r="726">
      <c r="A726" t="n">
        <v>350</v>
      </c>
      <c r="B726" t="n">
        <v>7990</v>
      </c>
    </row>
    <row r="727">
      <c r="A727" t="n">
        <v>700</v>
      </c>
      <c r="B727" t="n">
        <v>10040</v>
      </c>
    </row>
    <row r="728">
      <c r="A728" t="n">
        <v>300</v>
      </c>
      <c r="B728" t="n">
        <v>5692</v>
      </c>
    </row>
    <row r="729">
      <c r="A729" t="n">
        <v>300</v>
      </c>
      <c r="B729" t="n">
        <v>5692</v>
      </c>
    </row>
    <row r="730">
      <c r="A730" t="n">
        <v>300</v>
      </c>
      <c r="B730" t="n">
        <v>7264</v>
      </c>
    </row>
    <row r="731">
      <c r="A731" t="n">
        <v>200</v>
      </c>
      <c r="B731" t="n">
        <v>4194</v>
      </c>
    </row>
    <row r="732">
      <c r="A732" t="n">
        <v>385</v>
      </c>
      <c r="B732" t="n">
        <v>27154</v>
      </c>
    </row>
    <row r="733">
      <c r="A733" t="n">
        <v>200</v>
      </c>
      <c r="B733" t="n">
        <v>4540</v>
      </c>
    </row>
    <row r="734">
      <c r="A734" t="n">
        <v>200</v>
      </c>
      <c r="B734" t="n">
        <v>5490</v>
      </c>
    </row>
    <row r="735">
      <c r="A735" t="n">
        <v>350</v>
      </c>
      <c r="B735" t="n">
        <v>10470</v>
      </c>
    </row>
    <row r="736">
      <c r="A736" t="n">
        <v>200</v>
      </c>
      <c r="B736" t="n">
        <v>7011</v>
      </c>
    </row>
    <row r="737">
      <c r="A737" t="n">
        <v>700</v>
      </c>
      <c r="B737" t="n">
        <v>15128</v>
      </c>
    </row>
    <row r="738">
      <c r="A738" t="n">
        <v>200</v>
      </c>
      <c r="B738" t="n">
        <v>3807</v>
      </c>
    </row>
    <row r="739">
      <c r="A739" t="n">
        <v>300</v>
      </c>
      <c r="B739" t="n">
        <v>7264</v>
      </c>
    </row>
    <row r="740">
      <c r="A740" t="n">
        <v>385</v>
      </c>
      <c r="B740" t="n">
        <v>13577</v>
      </c>
    </row>
    <row r="741">
      <c r="A741" t="n">
        <v>250</v>
      </c>
      <c r="B741" t="n">
        <v>22618</v>
      </c>
    </row>
    <row r="742">
      <c r="A742" t="n">
        <v>350</v>
      </c>
      <c r="B742" t="n">
        <v>7990</v>
      </c>
    </row>
    <row r="743">
      <c r="A743" t="n">
        <v>200</v>
      </c>
      <c r="B743" t="n">
        <v>3807</v>
      </c>
    </row>
    <row r="744">
      <c r="A744" t="n">
        <v>200</v>
      </c>
      <c r="B744" t="n">
        <v>3807</v>
      </c>
    </row>
    <row r="745">
      <c r="A745" t="n">
        <v>340</v>
      </c>
      <c r="B745" t="n">
        <v>5837</v>
      </c>
    </row>
    <row r="746">
      <c r="A746" t="n">
        <v>250</v>
      </c>
      <c r="B746" t="n">
        <v>6091</v>
      </c>
    </row>
    <row r="747">
      <c r="A747" t="n">
        <v>250</v>
      </c>
      <c r="B747" t="n">
        <v>6091</v>
      </c>
    </row>
    <row r="748">
      <c r="A748" t="n">
        <v>420</v>
      </c>
      <c r="B748" t="n">
        <v>11000</v>
      </c>
    </row>
    <row r="749">
      <c r="A749" t="n">
        <v>200</v>
      </c>
      <c r="B749" t="n">
        <v>5490</v>
      </c>
    </row>
    <row r="750">
      <c r="A750" t="n">
        <v>350</v>
      </c>
      <c r="B750" t="n">
        <v>7990</v>
      </c>
    </row>
    <row r="751">
      <c r="A751" t="n">
        <v>200</v>
      </c>
      <c r="B751" t="n">
        <v>5490</v>
      </c>
    </row>
    <row r="752">
      <c r="A752" t="n">
        <v>170</v>
      </c>
      <c r="B752" t="n">
        <v>9647</v>
      </c>
    </row>
    <row r="753">
      <c r="A753" t="n">
        <v>750</v>
      </c>
      <c r="B753" t="n">
        <v>17990</v>
      </c>
    </row>
    <row r="754">
      <c r="A754" t="n">
        <v>420</v>
      </c>
      <c r="B754" t="n">
        <v>9700</v>
      </c>
    </row>
    <row r="755">
      <c r="A755" t="n">
        <v>400</v>
      </c>
      <c r="B755" t="n">
        <v>8331</v>
      </c>
    </row>
    <row r="756">
      <c r="A756" t="n">
        <v>250</v>
      </c>
      <c r="B756" t="n">
        <v>17500</v>
      </c>
    </row>
    <row r="757">
      <c r="A757" t="n">
        <v>170</v>
      </c>
      <c r="B757" t="n">
        <v>9647</v>
      </c>
    </row>
    <row r="758">
      <c r="A758" t="n">
        <v>400</v>
      </c>
      <c r="B758" t="n">
        <v>5595</v>
      </c>
    </row>
    <row r="759">
      <c r="A759" t="n">
        <v>400</v>
      </c>
      <c r="B759" t="n">
        <v>10596</v>
      </c>
    </row>
    <row r="760">
      <c r="A760" t="n">
        <v>200</v>
      </c>
      <c r="B760" t="n">
        <v>26000</v>
      </c>
    </row>
    <row r="761">
      <c r="A761" t="n">
        <v>420</v>
      </c>
      <c r="B761" t="n">
        <v>9700</v>
      </c>
    </row>
    <row r="762">
      <c r="A762" t="n">
        <v>200</v>
      </c>
      <c r="B762" t="n">
        <v>8057</v>
      </c>
    </row>
    <row r="763">
      <c r="A763" t="n">
        <v>200</v>
      </c>
      <c r="B763" t="n">
        <v>8250</v>
      </c>
    </row>
    <row r="764">
      <c r="A764" t="n">
        <v>400</v>
      </c>
      <c r="B764" t="n">
        <v>7494</v>
      </c>
    </row>
    <row r="765">
      <c r="A765" t="n">
        <v>400</v>
      </c>
      <c r="B765" t="n">
        <v>5812</v>
      </c>
    </row>
    <row r="766">
      <c r="A766" t="n">
        <v>500</v>
      </c>
      <c r="B766" t="n">
        <v>6574</v>
      </c>
    </row>
    <row r="767">
      <c r="A767" t="n">
        <v>300</v>
      </c>
      <c r="B767" t="n">
        <v>7273</v>
      </c>
    </row>
    <row r="768">
      <c r="A768" t="n">
        <v>500</v>
      </c>
      <c r="B768" t="n">
        <v>6574</v>
      </c>
    </row>
    <row r="769">
      <c r="A769" t="n">
        <v>400</v>
      </c>
      <c r="B769" t="n">
        <v>5812</v>
      </c>
    </row>
    <row r="770">
      <c r="A770" t="n">
        <v>510</v>
      </c>
      <c r="B770" t="n">
        <v>10285</v>
      </c>
    </row>
    <row r="771">
      <c r="A771" t="n">
        <v>400</v>
      </c>
      <c r="B771" t="n">
        <v>6137</v>
      </c>
    </row>
    <row r="772">
      <c r="A772" t="n">
        <v>200</v>
      </c>
      <c r="B772" t="n">
        <v>3807</v>
      </c>
    </row>
    <row r="773">
      <c r="A773" t="n">
        <v>200</v>
      </c>
      <c r="B773" t="n">
        <v>4494</v>
      </c>
    </row>
    <row r="774">
      <c r="A774" t="n">
        <v>415</v>
      </c>
      <c r="B774" t="n">
        <v>11750</v>
      </c>
    </row>
    <row r="775">
      <c r="A775" t="n">
        <v>400</v>
      </c>
      <c r="B775" t="n">
        <v>7169</v>
      </c>
    </row>
    <row r="776">
      <c r="A776" t="n">
        <v>400</v>
      </c>
      <c r="B776" t="n">
        <v>6137</v>
      </c>
    </row>
    <row r="777">
      <c r="A777" t="n">
        <v>200</v>
      </c>
      <c r="B777" t="n">
        <v>4619</v>
      </c>
    </row>
    <row r="778">
      <c r="A778" t="n">
        <v>200</v>
      </c>
      <c r="B778" t="n">
        <v>4194</v>
      </c>
    </row>
    <row r="779">
      <c r="A779" t="n">
        <v>250</v>
      </c>
      <c r="B779" t="n">
        <v>6032</v>
      </c>
    </row>
    <row r="780">
      <c r="A780" t="n">
        <v>750</v>
      </c>
      <c r="B780" t="n">
        <v>19990</v>
      </c>
    </row>
    <row r="781">
      <c r="A781" t="n">
        <v>200</v>
      </c>
      <c r="B781" t="n">
        <v>3807</v>
      </c>
    </row>
    <row r="782">
      <c r="A782" t="n">
        <v>750</v>
      </c>
      <c r="B782" t="n">
        <v>16733</v>
      </c>
    </row>
    <row r="783">
      <c r="A783" t="n">
        <v>350</v>
      </c>
      <c r="B783" t="n">
        <v>13000</v>
      </c>
    </row>
    <row r="784">
      <c r="A784" t="n">
        <v>400</v>
      </c>
      <c r="B784" t="n">
        <v>6137</v>
      </c>
    </row>
    <row r="785">
      <c r="A785" t="n">
        <v>500</v>
      </c>
      <c r="B785" t="n">
        <v>6574</v>
      </c>
    </row>
    <row r="786">
      <c r="A786" t="n">
        <v>300</v>
      </c>
      <c r="B786" t="n">
        <v>5692</v>
      </c>
    </row>
    <row r="787">
      <c r="A787" t="n">
        <v>300</v>
      </c>
      <c r="B787" t="n">
        <v>7264</v>
      </c>
    </row>
    <row r="788">
      <c r="A788" t="n">
        <v>385</v>
      </c>
      <c r="B788" t="n">
        <v>27154</v>
      </c>
    </row>
    <row r="789">
      <c r="A789" t="n">
        <v>300</v>
      </c>
      <c r="B789" t="n">
        <v>7264</v>
      </c>
    </row>
    <row r="790">
      <c r="A790" t="n">
        <v>750</v>
      </c>
      <c r="B790" t="n">
        <v>17990</v>
      </c>
    </row>
    <row r="791">
      <c r="A791" t="n">
        <v>200</v>
      </c>
      <c r="B791" t="n">
        <v>6990</v>
      </c>
    </row>
    <row r="792">
      <c r="A792" t="n">
        <v>410</v>
      </c>
      <c r="B792" t="n">
        <v>9700</v>
      </c>
    </row>
    <row r="793">
      <c r="A793" t="n">
        <v>415</v>
      </c>
      <c r="B793" t="n">
        <v>8225</v>
      </c>
    </row>
    <row r="794">
      <c r="A794" t="n">
        <v>350</v>
      </c>
      <c r="B794" t="n">
        <v>9973</v>
      </c>
    </row>
    <row r="795">
      <c r="A795" t="n">
        <v>350</v>
      </c>
      <c r="B795" t="n">
        <v>7990</v>
      </c>
    </row>
    <row r="796">
      <c r="A796" t="n">
        <v>250</v>
      </c>
      <c r="B796" t="n">
        <v>22398</v>
      </c>
    </row>
    <row r="797">
      <c r="A797" t="n">
        <v>340</v>
      </c>
      <c r="B797" t="n">
        <v>5836</v>
      </c>
    </row>
    <row r="798">
      <c r="A798" t="n">
        <v>200</v>
      </c>
      <c r="B798" t="n">
        <v>5788</v>
      </c>
    </row>
    <row r="799">
      <c r="A799" t="n">
        <v>200</v>
      </c>
      <c r="B799" t="n">
        <v>5018</v>
      </c>
    </row>
    <row r="800">
      <c r="A800" t="n">
        <v>200</v>
      </c>
      <c r="B800" t="n">
        <v>5018</v>
      </c>
    </row>
    <row r="801">
      <c r="A801" t="n">
        <v>340</v>
      </c>
      <c r="B801" t="n">
        <v>5837</v>
      </c>
    </row>
    <row r="802">
      <c r="A802" t="n">
        <v>415</v>
      </c>
      <c r="B802" t="n">
        <v>8225</v>
      </c>
    </row>
    <row r="803">
      <c r="A803" t="n">
        <v>750</v>
      </c>
      <c r="B803" t="n">
        <v>16733</v>
      </c>
    </row>
    <row r="804">
      <c r="A804" t="n">
        <v>200</v>
      </c>
      <c r="B804" t="n">
        <v>3807</v>
      </c>
    </row>
    <row r="805">
      <c r="A805" t="n">
        <v>190</v>
      </c>
      <c r="B805" t="n">
        <v>3907</v>
      </c>
    </row>
    <row r="806">
      <c r="A806" t="n">
        <v>350</v>
      </c>
      <c r="B806" t="n">
        <v>9900</v>
      </c>
    </row>
    <row r="807">
      <c r="A807" t="n">
        <v>420</v>
      </c>
      <c r="B807" t="n">
        <v>9700</v>
      </c>
    </row>
    <row r="808">
      <c r="A808" t="n">
        <v>200</v>
      </c>
      <c r="B808" t="n">
        <v>4697</v>
      </c>
    </row>
    <row r="809">
      <c r="A809" t="n">
        <v>200</v>
      </c>
      <c r="B809" t="n">
        <v>5788</v>
      </c>
    </row>
    <row r="810">
      <c r="A810" t="n">
        <v>340</v>
      </c>
      <c r="B810" t="n">
        <v>5836</v>
      </c>
    </row>
    <row r="811">
      <c r="A811" t="n">
        <v>650</v>
      </c>
      <c r="B811" t="n">
        <v>16218</v>
      </c>
    </row>
    <row r="812">
      <c r="A812" t="n">
        <v>300</v>
      </c>
      <c r="B812" t="n">
        <v>24783</v>
      </c>
    </row>
    <row r="813">
      <c r="A813" t="n">
        <v>250</v>
      </c>
      <c r="B813" t="n">
        <v>17500</v>
      </c>
    </row>
    <row r="814">
      <c r="A814" t="n">
        <v>350</v>
      </c>
      <c r="B814" t="n">
        <v>13000</v>
      </c>
    </row>
    <row r="815">
      <c r="A815" t="n">
        <v>200</v>
      </c>
      <c r="B815" t="n">
        <v>3807</v>
      </c>
    </row>
    <row r="816">
      <c r="A816" t="n">
        <v>400</v>
      </c>
      <c r="B816" t="n">
        <v>14616</v>
      </c>
    </row>
    <row r="817">
      <c r="A817" t="n">
        <v>45</v>
      </c>
      <c r="B817" t="n">
        <v>13508</v>
      </c>
    </row>
    <row r="818">
      <c r="A818" t="n">
        <v>200</v>
      </c>
      <c r="B818" t="n">
        <v>28700</v>
      </c>
    </row>
    <row r="819">
      <c r="A819" t="n">
        <v>340</v>
      </c>
      <c r="B819" t="n">
        <v>5841</v>
      </c>
    </row>
    <row r="820">
      <c r="A820" t="n">
        <v>300</v>
      </c>
      <c r="B820" t="n">
        <v>4301</v>
      </c>
    </row>
    <row r="821">
      <c r="A821" t="n">
        <v>300</v>
      </c>
      <c r="B821" t="n">
        <v>4214</v>
      </c>
    </row>
    <row r="822">
      <c r="A822" t="n">
        <v>100</v>
      </c>
      <c r="B822" t="n">
        <v>11799</v>
      </c>
    </row>
    <row r="823">
      <c r="A823" t="n">
        <v>340</v>
      </c>
      <c r="B823" t="n">
        <v>5836</v>
      </c>
    </row>
    <row r="824">
      <c r="A824" t="n">
        <v>340</v>
      </c>
      <c r="B824" t="n">
        <v>5836</v>
      </c>
    </row>
    <row r="825">
      <c r="A825" t="n">
        <v>200</v>
      </c>
      <c r="B825" t="n">
        <v>7490</v>
      </c>
    </row>
    <row r="826">
      <c r="A826" t="n">
        <v>400</v>
      </c>
      <c r="B826" t="n">
        <v>6137</v>
      </c>
    </row>
    <row r="827">
      <c r="A827" t="n">
        <v>750</v>
      </c>
      <c r="B827" t="n">
        <v>16733</v>
      </c>
    </row>
    <row r="828">
      <c r="A828" t="n">
        <v>700</v>
      </c>
      <c r="B828" t="n">
        <v>10040</v>
      </c>
    </row>
    <row r="829">
      <c r="A829" t="n">
        <v>750</v>
      </c>
      <c r="B829" t="n">
        <v>17990</v>
      </c>
    </row>
    <row r="830">
      <c r="A830" t="n">
        <v>500</v>
      </c>
      <c r="B830" t="n">
        <v>6574</v>
      </c>
    </row>
    <row r="831">
      <c r="A831" t="n">
        <v>300</v>
      </c>
      <c r="B831" t="n">
        <v>36644</v>
      </c>
    </row>
    <row r="832">
      <c r="A832" t="n">
        <v>200</v>
      </c>
      <c r="B832" t="n">
        <v>13176</v>
      </c>
    </row>
    <row r="833">
      <c r="A833" t="n">
        <v>300</v>
      </c>
      <c r="B833" t="n">
        <v>7264</v>
      </c>
    </row>
    <row r="834">
      <c r="A834" t="n">
        <v>400</v>
      </c>
      <c r="B834" t="n">
        <v>6137</v>
      </c>
    </row>
    <row r="835">
      <c r="A835" t="n">
        <v>400</v>
      </c>
      <c r="B835" t="n">
        <v>6714</v>
      </c>
    </row>
    <row r="836">
      <c r="A836" t="n">
        <v>295</v>
      </c>
      <c r="B836" t="n">
        <v>13068</v>
      </c>
    </row>
    <row r="837">
      <c r="A837" t="n">
        <v>200</v>
      </c>
      <c r="B837" t="n">
        <v>14256</v>
      </c>
    </row>
    <row r="838">
      <c r="A838" t="n">
        <v>300</v>
      </c>
      <c r="B838" t="n">
        <v>5692</v>
      </c>
    </row>
    <row r="839">
      <c r="A839" t="n">
        <v>700</v>
      </c>
      <c r="B839" t="n">
        <v>15128</v>
      </c>
    </row>
    <row r="840">
      <c r="A840" t="n">
        <v>200</v>
      </c>
      <c r="B840" t="n">
        <v>3808</v>
      </c>
    </row>
    <row r="841">
      <c r="A841" t="n">
        <v>300</v>
      </c>
      <c r="B841" t="n">
        <v>6032</v>
      </c>
    </row>
    <row r="842">
      <c r="A842" t="n">
        <v>300</v>
      </c>
      <c r="B842" t="n">
        <v>9024</v>
      </c>
    </row>
    <row r="843">
      <c r="A843" t="n">
        <v>750</v>
      </c>
      <c r="B843" t="n">
        <v>16733</v>
      </c>
    </row>
    <row r="844">
      <c r="A844" t="n">
        <v>350</v>
      </c>
      <c r="B844" t="n">
        <v>7990</v>
      </c>
    </row>
    <row r="845">
      <c r="A845" t="n">
        <v>190</v>
      </c>
      <c r="B845" t="n">
        <v>8108</v>
      </c>
    </row>
    <row r="846">
      <c r="A846" t="n">
        <v>750</v>
      </c>
      <c r="B846" t="n">
        <v>19990</v>
      </c>
    </row>
    <row r="847">
      <c r="A847" t="n">
        <v>400</v>
      </c>
      <c r="B847" t="n">
        <v>10574</v>
      </c>
    </row>
    <row r="848">
      <c r="A848" t="n">
        <v>350</v>
      </c>
      <c r="B848" t="n">
        <v>15700</v>
      </c>
    </row>
    <row r="849">
      <c r="A849" t="n">
        <v>300</v>
      </c>
      <c r="B849" t="n">
        <v>20300</v>
      </c>
    </row>
    <row r="850">
      <c r="A850" t="n">
        <v>400</v>
      </c>
      <c r="B850" t="n">
        <v>9247</v>
      </c>
    </row>
    <row r="851">
      <c r="A851" t="n">
        <v>400</v>
      </c>
      <c r="B851" t="n">
        <v>7169</v>
      </c>
    </row>
    <row r="852">
      <c r="A852" t="n">
        <v>240</v>
      </c>
      <c r="B852" t="n">
        <v>8262</v>
      </c>
    </row>
    <row r="853">
      <c r="A853" t="n">
        <v>200</v>
      </c>
      <c r="B853" t="n">
        <v>4619</v>
      </c>
    </row>
    <row r="854">
      <c r="A854" t="n">
        <v>400</v>
      </c>
      <c r="B854" t="n">
        <v>7169</v>
      </c>
    </row>
    <row r="855">
      <c r="A855" t="n">
        <v>400</v>
      </c>
      <c r="B855" t="n">
        <v>8331</v>
      </c>
    </row>
    <row r="856">
      <c r="A856" t="n">
        <v>200</v>
      </c>
      <c r="B856" t="n">
        <v>5018</v>
      </c>
    </row>
    <row r="857">
      <c r="A857" t="n">
        <v>200</v>
      </c>
      <c r="B857" t="n">
        <v>4540</v>
      </c>
    </row>
    <row r="858">
      <c r="A858" t="n">
        <v>350</v>
      </c>
      <c r="B858" t="n">
        <v>13000</v>
      </c>
    </row>
    <row r="859">
      <c r="A859" t="n">
        <v>300</v>
      </c>
      <c r="B859" t="n">
        <v>3437</v>
      </c>
    </row>
    <row r="860">
      <c r="A860" t="n">
        <v>65</v>
      </c>
      <c r="B860" t="n">
        <v>13508</v>
      </c>
    </row>
    <row r="861">
      <c r="A861" t="n">
        <v>200</v>
      </c>
      <c r="B861" t="n">
        <v>5018</v>
      </c>
    </row>
    <row r="862">
      <c r="A862" t="n">
        <v>375</v>
      </c>
      <c r="B862" t="n">
        <v>7895</v>
      </c>
    </row>
    <row r="863">
      <c r="A863" t="n">
        <v>415</v>
      </c>
      <c r="B863" t="n">
        <v>11750</v>
      </c>
    </row>
    <row r="864">
      <c r="A864" t="n">
        <v>300</v>
      </c>
      <c r="B864" t="n">
        <v>11190</v>
      </c>
    </row>
    <row r="865">
      <c r="A865" t="n">
        <v>400</v>
      </c>
      <c r="B865" t="n">
        <v>6714</v>
      </c>
    </row>
    <row r="866">
      <c r="A866" t="n">
        <v>400</v>
      </c>
      <c r="B866" t="n">
        <v>6714</v>
      </c>
    </row>
    <row r="867">
      <c r="A867" t="n">
        <v>400</v>
      </c>
      <c r="B867" t="n">
        <v>7494</v>
      </c>
    </row>
    <row r="868">
      <c r="A868" t="n">
        <v>300</v>
      </c>
      <c r="B868" t="n">
        <v>5595</v>
      </c>
    </row>
    <row r="869">
      <c r="A869" t="n">
        <v>350</v>
      </c>
      <c r="B869" t="n">
        <v>13990</v>
      </c>
    </row>
    <row r="870">
      <c r="A870" t="n">
        <v>300</v>
      </c>
      <c r="B870" t="n">
        <v>18990</v>
      </c>
    </row>
    <row r="871">
      <c r="A871" t="n">
        <v>200</v>
      </c>
      <c r="B871" t="n">
        <v>21000</v>
      </c>
    </row>
    <row r="872">
      <c r="A872" t="n">
        <v>410</v>
      </c>
      <c r="B872" t="n">
        <v>9700</v>
      </c>
    </row>
    <row r="873">
      <c r="A873" t="n">
        <v>400</v>
      </c>
      <c r="B873" t="n">
        <v>7266</v>
      </c>
    </row>
    <row r="874">
      <c r="A874" t="n">
        <v>200</v>
      </c>
      <c r="B874" t="n">
        <v>53488</v>
      </c>
    </row>
    <row r="875">
      <c r="A875" t="n">
        <v>375</v>
      </c>
      <c r="B875" t="n">
        <v>7895</v>
      </c>
    </row>
    <row r="876">
      <c r="A876" t="n">
        <v>180</v>
      </c>
      <c r="B876" t="n">
        <v>4701</v>
      </c>
    </row>
    <row r="877">
      <c r="A877" t="n">
        <v>375</v>
      </c>
      <c r="B877" t="n">
        <v>7895</v>
      </c>
    </row>
    <row r="878">
      <c r="A878" t="n">
        <v>180</v>
      </c>
      <c r="B878" t="n">
        <v>4701</v>
      </c>
    </row>
    <row r="879">
      <c r="A879" t="n">
        <v>200</v>
      </c>
      <c r="B879" t="n">
        <v>53488</v>
      </c>
    </row>
    <row r="880">
      <c r="A880" t="n">
        <v>410</v>
      </c>
      <c r="B880" t="n">
        <v>9700</v>
      </c>
    </row>
    <row r="881">
      <c r="A881" t="n">
        <v>340</v>
      </c>
      <c r="B881" t="n">
        <v>5836</v>
      </c>
    </row>
    <row r="882">
      <c r="A882" t="n">
        <v>340</v>
      </c>
      <c r="B882" t="n">
        <v>5841</v>
      </c>
    </row>
    <row r="883">
      <c r="A883" t="n">
        <v>190</v>
      </c>
      <c r="B883" t="n">
        <v>3907</v>
      </c>
    </row>
    <row r="884">
      <c r="A884" t="n">
        <v>400</v>
      </c>
      <c r="B884" t="n">
        <v>5812</v>
      </c>
    </row>
    <row r="885">
      <c r="A885" t="n">
        <v>400</v>
      </c>
      <c r="B885" t="n">
        <v>5812</v>
      </c>
    </row>
    <row r="886">
      <c r="A886" t="n">
        <v>400</v>
      </c>
      <c r="B886" t="n">
        <v>5812</v>
      </c>
    </row>
    <row r="887">
      <c r="A887" t="n">
        <v>200</v>
      </c>
      <c r="B887" t="n">
        <v>5788</v>
      </c>
    </row>
    <row r="888">
      <c r="A888" t="n">
        <v>340</v>
      </c>
      <c r="B888" t="n">
        <v>5841</v>
      </c>
    </row>
    <row r="889">
      <c r="A889" t="n">
        <v>375</v>
      </c>
      <c r="B889" t="n">
        <v>7895</v>
      </c>
    </row>
    <row r="890">
      <c r="A890" t="n">
        <v>300</v>
      </c>
      <c r="B890" t="n">
        <v>7273</v>
      </c>
    </row>
    <row r="891">
      <c r="A891" t="n">
        <v>400</v>
      </c>
      <c r="B891" t="n">
        <v>5812</v>
      </c>
    </row>
    <row r="892">
      <c r="A892" t="n">
        <v>340</v>
      </c>
      <c r="B892" t="n">
        <v>5836</v>
      </c>
    </row>
    <row r="893">
      <c r="A893" t="n">
        <v>190</v>
      </c>
      <c r="B893" t="n">
        <v>3907</v>
      </c>
    </row>
    <row r="894">
      <c r="A894" t="n">
        <v>200</v>
      </c>
      <c r="B894" t="n">
        <v>5788</v>
      </c>
    </row>
    <row r="895">
      <c r="A895" t="n">
        <v>340</v>
      </c>
      <c r="B895" t="n">
        <v>5841</v>
      </c>
    </row>
    <row r="896">
      <c r="A896" t="n">
        <v>250</v>
      </c>
      <c r="B896" t="n">
        <v>5404</v>
      </c>
    </row>
    <row r="897">
      <c r="A897" t="n">
        <v>400</v>
      </c>
      <c r="B897" t="n">
        <v>5812</v>
      </c>
    </row>
    <row r="898">
      <c r="A898" t="n">
        <v>250</v>
      </c>
      <c r="B898" t="n">
        <v>7490</v>
      </c>
    </row>
    <row r="899">
      <c r="A899" t="n">
        <v>250</v>
      </c>
      <c r="B899" t="n">
        <v>6091</v>
      </c>
    </row>
    <row r="900">
      <c r="A900" t="n">
        <v>20</v>
      </c>
      <c r="B900" t="n">
        <v>1020</v>
      </c>
    </row>
    <row r="901">
      <c r="A901" t="n">
        <v>220</v>
      </c>
      <c r="B901" t="n">
        <v>8294</v>
      </c>
    </row>
    <row r="902">
      <c r="A902" t="n">
        <v>245</v>
      </c>
      <c r="B902" t="n">
        <v>14904</v>
      </c>
    </row>
    <row r="903">
      <c r="A903" t="n">
        <v>20</v>
      </c>
      <c r="B903" t="n">
        <v>1020</v>
      </c>
    </row>
    <row r="904">
      <c r="A904" t="n">
        <v>20</v>
      </c>
      <c r="B904" t="n">
        <v>1020</v>
      </c>
    </row>
    <row r="905">
      <c r="A905" t="n">
        <v>20</v>
      </c>
      <c r="B905" t="n">
        <v>1020</v>
      </c>
    </row>
    <row r="906">
      <c r="A906" t="n">
        <v>150</v>
      </c>
      <c r="B906" t="n">
        <v>4300</v>
      </c>
    </row>
    <row r="907">
      <c r="A907" t="n">
        <v>120</v>
      </c>
      <c r="B907" t="n">
        <v>12381</v>
      </c>
    </row>
    <row r="908">
      <c r="A908" t="n">
        <v>215</v>
      </c>
      <c r="B908" t="n">
        <v>14290</v>
      </c>
    </row>
    <row r="909">
      <c r="A909" t="n">
        <v>20</v>
      </c>
      <c r="B909" t="n">
        <v>900</v>
      </c>
    </row>
    <row r="910">
      <c r="A910" t="n">
        <v>20</v>
      </c>
      <c r="B910" t="n">
        <v>1020</v>
      </c>
    </row>
    <row r="911">
      <c r="A911" t="n">
        <v>20</v>
      </c>
      <c r="B911" t="n">
        <v>1020</v>
      </c>
    </row>
    <row r="912">
      <c r="A912" t="n">
        <v>150</v>
      </c>
      <c r="B912" t="n">
        <v>4300</v>
      </c>
    </row>
    <row r="913">
      <c r="A913" t="n">
        <v>50</v>
      </c>
      <c r="B913" t="n">
        <v>2250</v>
      </c>
    </row>
    <row r="914">
      <c r="A914" t="n">
        <v>20</v>
      </c>
      <c r="B914" t="n">
        <v>1020</v>
      </c>
    </row>
    <row r="915">
      <c r="A915" t="n">
        <v>200</v>
      </c>
      <c r="B915" t="n">
        <v>6210</v>
      </c>
    </row>
    <row r="916">
      <c r="A916" t="n">
        <v>100</v>
      </c>
      <c r="B916" t="n">
        <v>8316</v>
      </c>
    </row>
    <row r="917">
      <c r="A917" t="n">
        <v>50</v>
      </c>
      <c r="B917" t="n">
        <v>2250</v>
      </c>
    </row>
    <row r="918">
      <c r="A918" t="n">
        <v>20</v>
      </c>
      <c r="B918" t="n">
        <v>1020</v>
      </c>
    </row>
    <row r="919">
      <c r="A919" t="n">
        <v>50</v>
      </c>
      <c r="B919" t="n">
        <v>2318</v>
      </c>
    </row>
    <row r="920">
      <c r="A920" t="n">
        <v>170</v>
      </c>
      <c r="B920" t="n">
        <v>3400</v>
      </c>
    </row>
    <row r="921">
      <c r="A921" t="n">
        <v>250</v>
      </c>
      <c r="B921" t="n">
        <v>27678</v>
      </c>
    </row>
    <row r="922">
      <c r="A922" t="n">
        <v>50</v>
      </c>
      <c r="B922" t="n">
        <v>2318</v>
      </c>
    </row>
    <row r="923">
      <c r="A923" t="n">
        <v>50</v>
      </c>
      <c r="B923" t="n">
        <v>1125</v>
      </c>
    </row>
    <row r="924">
      <c r="A924" t="n">
        <v>100</v>
      </c>
      <c r="B924" t="n">
        <v>15400</v>
      </c>
    </row>
    <row r="925">
      <c r="A925" t="n">
        <v>215</v>
      </c>
      <c r="B925" t="n">
        <v>13352</v>
      </c>
    </row>
    <row r="926">
      <c r="A926" t="n">
        <v>15</v>
      </c>
      <c r="B926" t="n">
        <v>4830</v>
      </c>
    </row>
    <row r="927">
      <c r="A927" t="n">
        <v>15</v>
      </c>
      <c r="B927" t="n">
        <v>4830</v>
      </c>
    </row>
    <row r="928">
      <c r="A928" t="n">
        <v>15</v>
      </c>
      <c r="B928" t="n">
        <v>4830</v>
      </c>
    </row>
    <row r="929">
      <c r="A929" t="n">
        <v>15</v>
      </c>
      <c r="B929" t="n">
        <v>4830</v>
      </c>
    </row>
    <row r="930">
      <c r="A930" t="n">
        <v>50</v>
      </c>
      <c r="B930" t="n">
        <v>2250</v>
      </c>
    </row>
    <row r="931">
      <c r="A931" t="n">
        <v>50</v>
      </c>
      <c r="B931" t="n">
        <v>2250</v>
      </c>
    </row>
    <row r="932">
      <c r="A932" t="n">
        <v>50</v>
      </c>
      <c r="B932" t="n">
        <v>2250</v>
      </c>
    </row>
    <row r="933">
      <c r="A933" t="n">
        <v>50</v>
      </c>
      <c r="B933" t="n">
        <v>1125</v>
      </c>
    </row>
    <row r="934">
      <c r="A934" t="n">
        <v>50</v>
      </c>
      <c r="B934" t="n">
        <v>2250</v>
      </c>
    </row>
    <row r="935">
      <c r="A935" t="n">
        <v>300</v>
      </c>
      <c r="B935" t="n">
        <v>9871</v>
      </c>
    </row>
    <row r="936">
      <c r="A936" t="n">
        <v>110</v>
      </c>
      <c r="B936" t="n">
        <v>9810</v>
      </c>
    </row>
    <row r="937">
      <c r="A937" t="n">
        <v>110</v>
      </c>
      <c r="B937" t="n">
        <v>9810</v>
      </c>
    </row>
    <row r="938">
      <c r="A938" t="n">
        <v>300</v>
      </c>
      <c r="B938" t="n">
        <v>9688</v>
      </c>
    </row>
    <row r="939">
      <c r="A939" t="n">
        <v>300</v>
      </c>
      <c r="B939" t="n">
        <v>9688</v>
      </c>
    </row>
    <row r="940">
      <c r="A940" t="n">
        <v>300</v>
      </c>
      <c r="B940" t="n">
        <v>9688</v>
      </c>
    </row>
    <row r="941">
      <c r="A941" t="n">
        <v>300</v>
      </c>
      <c r="B941" t="n">
        <v>9688</v>
      </c>
    </row>
    <row r="942">
      <c r="A942" t="n">
        <v>300</v>
      </c>
      <c r="B942" t="n">
        <v>9688</v>
      </c>
    </row>
    <row r="943">
      <c r="A943" t="n">
        <v>300</v>
      </c>
      <c r="B943" t="n">
        <v>3500</v>
      </c>
    </row>
    <row r="944">
      <c r="A944" t="n">
        <v>250</v>
      </c>
      <c r="B944" t="n">
        <v>16479</v>
      </c>
    </row>
    <row r="945">
      <c r="A945" t="n">
        <v>300</v>
      </c>
      <c r="B945" t="n">
        <v>13490</v>
      </c>
    </row>
    <row r="946">
      <c r="A946" t="n">
        <v>300</v>
      </c>
      <c r="B946" t="n">
        <v>5127</v>
      </c>
    </row>
    <row r="947">
      <c r="A947" t="n">
        <v>300</v>
      </c>
      <c r="B947" t="n">
        <v>11000</v>
      </c>
    </row>
    <row r="948">
      <c r="A948" t="n">
        <v>300</v>
      </c>
      <c r="B948" t="n">
        <v>11000</v>
      </c>
    </row>
    <row r="949">
      <c r="A949" t="n">
        <v>300</v>
      </c>
      <c r="B949" t="n">
        <v>17600</v>
      </c>
    </row>
    <row r="950">
      <c r="A950" t="n">
        <v>300</v>
      </c>
      <c r="B950" t="n">
        <v>16600</v>
      </c>
    </row>
    <row r="951">
      <c r="A951" t="n">
        <v>250</v>
      </c>
      <c r="B951" t="n">
        <v>16479</v>
      </c>
    </row>
    <row r="952">
      <c r="A952" t="n">
        <v>100</v>
      </c>
      <c r="B952" t="n">
        <v>44980</v>
      </c>
    </row>
    <row r="953">
      <c r="A953" t="n">
        <v>100</v>
      </c>
      <c r="B953" t="n">
        <v>44980</v>
      </c>
    </row>
    <row r="954">
      <c r="A954" t="n">
        <v>100</v>
      </c>
      <c r="B954" t="n">
        <v>44980</v>
      </c>
    </row>
    <row r="955">
      <c r="A955" t="n">
        <v>190</v>
      </c>
      <c r="B955" t="n">
        <v>2636</v>
      </c>
    </row>
    <row r="956">
      <c r="A956" t="n">
        <v>200</v>
      </c>
      <c r="B956" t="n">
        <v>31641</v>
      </c>
    </row>
    <row r="957">
      <c r="A957" t="n">
        <v>300</v>
      </c>
      <c r="B957" t="n">
        <v>5127</v>
      </c>
    </row>
    <row r="958">
      <c r="A958" t="n">
        <v>300</v>
      </c>
      <c r="B958" t="n">
        <v>5127</v>
      </c>
    </row>
    <row r="959">
      <c r="A959" t="n">
        <v>125</v>
      </c>
      <c r="B959" t="n">
        <v>7836</v>
      </c>
    </row>
    <row r="960">
      <c r="A960" t="n">
        <v>118</v>
      </c>
      <c r="B960" t="n">
        <v>31640</v>
      </c>
    </row>
    <row r="961">
      <c r="A961" t="n">
        <v>15</v>
      </c>
      <c r="B961" t="n">
        <v>1800</v>
      </c>
    </row>
    <row r="962">
      <c r="A962" t="n">
        <v>95</v>
      </c>
      <c r="B962" t="n">
        <v>14400</v>
      </c>
    </row>
    <row r="963">
      <c r="A963" t="n">
        <v>150</v>
      </c>
      <c r="B963" t="n">
        <v>14796</v>
      </c>
    </row>
    <row r="964">
      <c r="A964" t="n">
        <v>170</v>
      </c>
      <c r="B964" t="n">
        <v>9400</v>
      </c>
    </row>
    <row r="965">
      <c r="A965" t="n">
        <v>150</v>
      </c>
      <c r="B965" t="n">
        <v>10152</v>
      </c>
    </row>
    <row r="966">
      <c r="A966" t="n">
        <v>50</v>
      </c>
      <c r="B966" t="n">
        <v>29000</v>
      </c>
    </row>
    <row r="967">
      <c r="A967" t="n">
        <v>300</v>
      </c>
      <c r="B967" t="n">
        <v>5127</v>
      </c>
    </row>
    <row r="968">
      <c r="A968" t="n">
        <v>180</v>
      </c>
      <c r="B968" t="n">
        <v>39000</v>
      </c>
    </row>
    <row r="969">
      <c r="A969" t="n">
        <v>300</v>
      </c>
      <c r="B969" t="n">
        <v>8983</v>
      </c>
    </row>
    <row r="970">
      <c r="A970" t="n">
        <v>300</v>
      </c>
      <c r="B970" t="n">
        <v>11190</v>
      </c>
    </row>
    <row r="971">
      <c r="A971" t="n">
        <v>150</v>
      </c>
      <c r="B971" t="n">
        <v>11988</v>
      </c>
    </row>
    <row r="972">
      <c r="A972" t="n">
        <v>110</v>
      </c>
      <c r="B972" t="n">
        <v>8464</v>
      </c>
    </row>
    <row r="973">
      <c r="A973" t="n">
        <v>500</v>
      </c>
      <c r="B973" t="n">
        <v>33000</v>
      </c>
    </row>
    <row r="974">
      <c r="A974" t="n">
        <v>52</v>
      </c>
      <c r="B974" t="n">
        <v>25541</v>
      </c>
    </row>
    <row r="975">
      <c r="A975" t="n">
        <v>170</v>
      </c>
      <c r="B975" t="n">
        <v>9400</v>
      </c>
    </row>
    <row r="976">
      <c r="A976" t="n">
        <v>300</v>
      </c>
      <c r="B976" t="n">
        <v>10392</v>
      </c>
    </row>
    <row r="977">
      <c r="A977" t="n">
        <v>30</v>
      </c>
      <c r="B977" t="n">
        <v>18000</v>
      </c>
    </row>
    <row r="978">
      <c r="A978" t="n">
        <v>250</v>
      </c>
      <c r="B978" t="n">
        <v>17600</v>
      </c>
    </row>
    <row r="979">
      <c r="A979" t="n">
        <v>10</v>
      </c>
      <c r="B979" t="n">
        <v>3150</v>
      </c>
    </row>
    <row r="980">
      <c r="A980" t="n">
        <v>10</v>
      </c>
      <c r="B980" t="n">
        <v>3150</v>
      </c>
    </row>
    <row r="981">
      <c r="A981" t="n">
        <v>50</v>
      </c>
      <c r="B981" t="n">
        <v>9400</v>
      </c>
    </row>
    <row r="982">
      <c r="A982" t="n">
        <v>75</v>
      </c>
      <c r="B982" t="n">
        <v>7623</v>
      </c>
    </row>
    <row r="983">
      <c r="A983" t="n">
        <v>300</v>
      </c>
      <c r="B983" t="n">
        <v>10783</v>
      </c>
    </row>
    <row r="984">
      <c r="A984" t="n">
        <v>300</v>
      </c>
      <c r="B984" t="n">
        <v>7273</v>
      </c>
    </row>
    <row r="985">
      <c r="A985" t="n">
        <v>300</v>
      </c>
      <c r="B985" t="n">
        <v>7273</v>
      </c>
    </row>
    <row r="986">
      <c r="A986" t="n">
        <v>30</v>
      </c>
      <c r="B986" t="n">
        <v>8078</v>
      </c>
    </row>
    <row r="987">
      <c r="A987" t="n">
        <v>10</v>
      </c>
      <c r="B987" t="n">
        <v>8800</v>
      </c>
    </row>
    <row r="988">
      <c r="A988" t="n">
        <v>125</v>
      </c>
      <c r="B988" t="n">
        <v>5599</v>
      </c>
    </row>
    <row r="989">
      <c r="A989" t="n">
        <v>50</v>
      </c>
      <c r="B989" t="n">
        <v>5495</v>
      </c>
    </row>
    <row r="990">
      <c r="A990" t="n">
        <v>210</v>
      </c>
      <c r="B990" t="n">
        <v>5395</v>
      </c>
    </row>
    <row r="991">
      <c r="A991" t="n">
        <v>55</v>
      </c>
      <c r="B991" t="n">
        <v>33900</v>
      </c>
    </row>
    <row r="992">
      <c r="A992" t="n">
        <v>250</v>
      </c>
      <c r="B992" t="n">
        <v>42600</v>
      </c>
    </row>
    <row r="993">
      <c r="A993" t="n">
        <v>200</v>
      </c>
      <c r="B993" t="n">
        <v>6418</v>
      </c>
    </row>
    <row r="994">
      <c r="A994" t="n">
        <v>200</v>
      </c>
      <c r="B994" t="n">
        <v>5788</v>
      </c>
    </row>
    <row r="995">
      <c r="A995" t="n">
        <v>250</v>
      </c>
      <c r="B995" t="n">
        <v>6091</v>
      </c>
    </row>
    <row r="996">
      <c r="A996" t="n">
        <v>95</v>
      </c>
      <c r="B996" t="n">
        <v>7200</v>
      </c>
    </row>
    <row r="997">
      <c r="A997" t="n">
        <v>420</v>
      </c>
      <c r="B997" t="n">
        <v>7575</v>
      </c>
    </row>
    <row r="998">
      <c r="A998" t="n">
        <v>420</v>
      </c>
      <c r="B998" t="n">
        <v>10800</v>
      </c>
    </row>
    <row r="999">
      <c r="A999" t="n">
        <v>400</v>
      </c>
      <c r="B999" t="n">
        <v>6453</v>
      </c>
    </row>
    <row r="1000">
      <c r="A1000" t="n">
        <v>400</v>
      </c>
      <c r="B1000" t="n">
        <v>5812</v>
      </c>
    </row>
    <row r="1001">
      <c r="A1001" t="n">
        <v>200</v>
      </c>
      <c r="B1001" t="n">
        <v>5788</v>
      </c>
    </row>
    <row r="1002">
      <c r="A1002" t="n">
        <v>350</v>
      </c>
      <c r="B1002" t="n">
        <v>13990</v>
      </c>
    </row>
    <row r="1003">
      <c r="A1003" t="n">
        <v>300</v>
      </c>
      <c r="B1003" t="n">
        <v>11190</v>
      </c>
    </row>
    <row r="1004">
      <c r="A1004" t="n">
        <v>95</v>
      </c>
      <c r="B1004" t="n">
        <v>20179</v>
      </c>
    </row>
    <row r="1005">
      <c r="A1005" t="n">
        <v>100</v>
      </c>
      <c r="B1005" t="n">
        <v>19990</v>
      </c>
    </row>
    <row r="1006">
      <c r="A1006" t="n">
        <v>300</v>
      </c>
      <c r="B1006" t="n">
        <v>5684</v>
      </c>
    </row>
    <row r="1007">
      <c r="A1007" t="n">
        <v>500</v>
      </c>
      <c r="B1007" t="n">
        <v>6574</v>
      </c>
    </row>
    <row r="1008">
      <c r="A1008" t="n">
        <v>60</v>
      </c>
      <c r="B1008" t="n">
        <v>7914</v>
      </c>
    </row>
    <row r="1009">
      <c r="A1009" t="n">
        <v>100</v>
      </c>
      <c r="B1009" t="n">
        <v>8464</v>
      </c>
    </row>
    <row r="1010">
      <c r="A1010" t="n">
        <v>100</v>
      </c>
      <c r="B1010" t="n">
        <v>19990</v>
      </c>
    </row>
    <row r="1011">
      <c r="A1011" t="n">
        <v>300</v>
      </c>
      <c r="B1011" t="n">
        <v>10631</v>
      </c>
    </row>
    <row r="1012">
      <c r="A1012" t="n">
        <v>300</v>
      </c>
      <c r="B1012" t="n">
        <v>16356</v>
      </c>
    </row>
    <row r="1013">
      <c r="A1013" t="n">
        <v>110</v>
      </c>
      <c r="B1013" t="n">
        <v>17803</v>
      </c>
    </row>
    <row r="1014">
      <c r="A1014" t="n">
        <v>15</v>
      </c>
      <c r="B1014" t="n">
        <v>7900</v>
      </c>
    </row>
    <row r="1015">
      <c r="A1015" t="n">
        <v>250</v>
      </c>
      <c r="B1015" t="n">
        <v>6091</v>
      </c>
    </row>
    <row r="1016">
      <c r="A1016" t="n">
        <v>385</v>
      </c>
      <c r="B1016" t="n">
        <v>31641</v>
      </c>
    </row>
    <row r="1017">
      <c r="A1017" t="n">
        <v>190</v>
      </c>
      <c r="B1017" t="n">
        <v>14200</v>
      </c>
    </row>
    <row r="1018">
      <c r="A1018" t="n">
        <v>200</v>
      </c>
      <c r="B1018" t="n">
        <v>10269</v>
      </c>
    </row>
    <row r="1019">
      <c r="A1019" t="n">
        <v>60</v>
      </c>
      <c r="B1019" t="n">
        <v>16200</v>
      </c>
    </row>
    <row r="1020">
      <c r="A1020" t="n">
        <v>190</v>
      </c>
      <c r="B1020" t="n">
        <v>14200</v>
      </c>
    </row>
    <row r="1021">
      <c r="A1021" t="n">
        <v>125</v>
      </c>
      <c r="B1021" t="n">
        <v>4823</v>
      </c>
    </row>
    <row r="1022">
      <c r="A1022" t="n">
        <v>100</v>
      </c>
      <c r="B1022" t="n">
        <v>16581</v>
      </c>
    </row>
    <row r="1023">
      <c r="A1023" t="n">
        <v>95</v>
      </c>
      <c r="B1023" t="n">
        <v>23485</v>
      </c>
    </row>
    <row r="1024">
      <c r="A1024" t="n">
        <v>15</v>
      </c>
      <c r="B1024" t="n">
        <v>9900</v>
      </c>
    </row>
    <row r="1025">
      <c r="A1025" t="n">
        <v>100</v>
      </c>
      <c r="B1025" t="n">
        <v>13900</v>
      </c>
    </row>
    <row r="1026">
      <c r="A1026" t="n">
        <v>200</v>
      </c>
      <c r="B1026" t="n">
        <v>14880</v>
      </c>
    </row>
    <row r="1027">
      <c r="A1027" t="n">
        <v>300</v>
      </c>
      <c r="B1027" t="n">
        <v>5684</v>
      </c>
    </row>
    <row r="1028">
      <c r="A1028" t="n">
        <v>65</v>
      </c>
      <c r="B1028" t="n">
        <v>19409</v>
      </c>
    </row>
    <row r="1029">
      <c r="A1029" t="n">
        <v>15</v>
      </c>
      <c r="B1029" t="n">
        <v>7482</v>
      </c>
    </row>
    <row r="1030">
      <c r="A1030" t="n">
        <v>300</v>
      </c>
      <c r="B1030" t="n">
        <v>5684</v>
      </c>
    </row>
    <row r="1031">
      <c r="A1031" t="n">
        <v>200</v>
      </c>
      <c r="B1031" t="n">
        <v>29000</v>
      </c>
    </row>
    <row r="1032">
      <c r="A1032" t="n">
        <v>270</v>
      </c>
      <c r="B1032" t="n">
        <v>10225</v>
      </c>
    </row>
    <row r="1033">
      <c r="A1033" t="n">
        <v>190</v>
      </c>
      <c r="B1033" t="n">
        <v>8088</v>
      </c>
    </row>
    <row r="1034">
      <c r="A1034" t="n">
        <v>400</v>
      </c>
      <c r="B1034" t="n">
        <v>6137</v>
      </c>
    </row>
    <row r="1035">
      <c r="A1035" t="n">
        <v>250</v>
      </c>
      <c r="B1035" t="n">
        <v>12312</v>
      </c>
    </row>
    <row r="1036">
      <c r="A1036" t="n">
        <v>250</v>
      </c>
      <c r="B1036" t="n">
        <v>6091</v>
      </c>
    </row>
    <row r="1037">
      <c r="A1037" t="n">
        <v>500</v>
      </c>
      <c r="B1037" t="n">
        <v>6574</v>
      </c>
    </row>
    <row r="1038">
      <c r="A1038" t="n">
        <v>400</v>
      </c>
      <c r="B1038" t="n">
        <v>4399</v>
      </c>
    </row>
    <row r="1039">
      <c r="A1039" t="n">
        <v>90</v>
      </c>
      <c r="B1039" t="n">
        <v>8408</v>
      </c>
    </row>
    <row r="1040">
      <c r="A1040" t="n">
        <v>400</v>
      </c>
      <c r="B1040" t="n">
        <v>6137</v>
      </c>
    </row>
    <row r="1041">
      <c r="A1041" t="n">
        <v>300</v>
      </c>
      <c r="B1041" t="n">
        <v>9024</v>
      </c>
    </row>
    <row r="1042">
      <c r="A1042" t="n">
        <v>510</v>
      </c>
      <c r="B1042" t="n">
        <v>10285</v>
      </c>
    </row>
    <row r="1043">
      <c r="A1043" t="n">
        <v>270</v>
      </c>
      <c r="B1043" t="n">
        <v>10225</v>
      </c>
    </row>
    <row r="1044">
      <c r="A1044" t="n">
        <v>270</v>
      </c>
      <c r="B1044" t="n">
        <v>10225</v>
      </c>
    </row>
    <row r="1045">
      <c r="A1045" t="n">
        <v>510</v>
      </c>
      <c r="B1045" t="n">
        <v>10285</v>
      </c>
    </row>
    <row r="1046">
      <c r="A1046" t="n">
        <v>300</v>
      </c>
      <c r="B1046" t="n">
        <v>9024</v>
      </c>
    </row>
    <row r="1047">
      <c r="A1047" t="n">
        <v>400</v>
      </c>
      <c r="B1047" t="n">
        <v>6137</v>
      </c>
    </row>
    <row r="1048">
      <c r="A1048" t="n">
        <v>200</v>
      </c>
      <c r="B1048" t="n">
        <v>3807</v>
      </c>
    </row>
    <row r="1049">
      <c r="A1049" t="n">
        <v>400</v>
      </c>
      <c r="B1049" t="n">
        <v>6137</v>
      </c>
    </row>
    <row r="1050">
      <c r="A1050" t="n">
        <v>300</v>
      </c>
      <c r="B1050" t="n">
        <v>6032</v>
      </c>
    </row>
    <row r="1051">
      <c r="A1051" t="n">
        <v>700</v>
      </c>
      <c r="B1051" t="n">
        <v>10040</v>
      </c>
    </row>
    <row r="1052">
      <c r="A1052" t="n">
        <v>250</v>
      </c>
      <c r="B1052" t="n">
        <v>6032</v>
      </c>
    </row>
    <row r="1053">
      <c r="A1053" t="n">
        <v>250</v>
      </c>
      <c r="B1053" t="n">
        <v>6032</v>
      </c>
    </row>
    <row r="1054">
      <c r="A1054" t="n">
        <v>400</v>
      </c>
      <c r="B1054" t="n">
        <v>6137</v>
      </c>
    </row>
    <row r="1055">
      <c r="A1055" t="n">
        <v>170</v>
      </c>
      <c r="B1055" t="n">
        <v>9647</v>
      </c>
    </row>
    <row r="1056">
      <c r="A1056" t="n">
        <v>95</v>
      </c>
      <c r="B1056" t="n">
        <v>40357</v>
      </c>
    </row>
    <row r="1057">
      <c r="A1057" t="n">
        <v>750</v>
      </c>
      <c r="B1057" t="n">
        <v>16733</v>
      </c>
    </row>
    <row r="1058">
      <c r="A1058" t="n">
        <v>340</v>
      </c>
      <c r="B1058" t="n">
        <v>5837</v>
      </c>
    </row>
    <row r="1059">
      <c r="A1059" t="n">
        <v>300</v>
      </c>
      <c r="B1059" t="n">
        <v>5684</v>
      </c>
    </row>
    <row r="1060">
      <c r="A1060" t="n">
        <v>300</v>
      </c>
      <c r="B1060" t="n">
        <v>5684</v>
      </c>
    </row>
    <row r="1061">
      <c r="A1061" t="n">
        <v>190</v>
      </c>
      <c r="B1061" t="n">
        <v>1739</v>
      </c>
    </row>
    <row r="1062">
      <c r="A1062" t="n">
        <v>180</v>
      </c>
      <c r="B1062" t="n">
        <v>4701</v>
      </c>
    </row>
    <row r="1063">
      <c r="A1063" t="n">
        <v>180</v>
      </c>
      <c r="B1063" t="n">
        <v>4701</v>
      </c>
    </row>
    <row r="1064">
      <c r="A1064" t="n">
        <v>180</v>
      </c>
      <c r="B1064" t="n">
        <v>4701</v>
      </c>
    </row>
    <row r="1065">
      <c r="A1065" t="n">
        <v>250</v>
      </c>
      <c r="B1065" t="n">
        <v>8990</v>
      </c>
    </row>
    <row r="1066">
      <c r="A1066" t="n">
        <v>250</v>
      </c>
      <c r="B1066" t="n">
        <v>7490</v>
      </c>
    </row>
    <row r="1067">
      <c r="A1067" t="n">
        <v>250</v>
      </c>
      <c r="B1067" t="n">
        <v>3745</v>
      </c>
    </row>
    <row r="1068">
      <c r="A1068" t="n">
        <v>300</v>
      </c>
      <c r="B1068" t="n">
        <v>7273</v>
      </c>
    </row>
    <row r="1069">
      <c r="A1069" t="n">
        <v>200</v>
      </c>
      <c r="B1069" t="n">
        <v>2745</v>
      </c>
    </row>
    <row r="1070">
      <c r="A1070" t="n">
        <v>250</v>
      </c>
      <c r="B1070" t="n">
        <v>7490</v>
      </c>
    </row>
    <row r="1071">
      <c r="A1071" t="n">
        <v>250</v>
      </c>
      <c r="B1071" t="n">
        <v>7490</v>
      </c>
    </row>
    <row r="1072">
      <c r="A1072" t="n">
        <v>300</v>
      </c>
      <c r="B1072" t="n">
        <v>7273</v>
      </c>
    </row>
    <row r="1073">
      <c r="A1073" t="n">
        <v>350</v>
      </c>
      <c r="B1073" t="n">
        <v>13990</v>
      </c>
    </row>
    <row r="1074">
      <c r="A1074" t="n">
        <v>350</v>
      </c>
      <c r="B1074" t="n">
        <v>13990</v>
      </c>
    </row>
    <row r="1075">
      <c r="A1075" t="n">
        <v>350</v>
      </c>
      <c r="B1075" t="n">
        <v>13990</v>
      </c>
    </row>
    <row r="1076">
      <c r="A1076" t="n">
        <v>350</v>
      </c>
      <c r="B1076" t="n">
        <v>13990</v>
      </c>
    </row>
    <row r="1077">
      <c r="A1077" t="n">
        <v>200</v>
      </c>
      <c r="B1077" t="n">
        <v>5490</v>
      </c>
    </row>
    <row r="1078">
      <c r="A1078" t="n">
        <v>350</v>
      </c>
      <c r="B1078" t="n">
        <v>4945</v>
      </c>
    </row>
    <row r="1079">
      <c r="A1079" t="n">
        <v>120</v>
      </c>
      <c r="B1079" t="n">
        <v>7880</v>
      </c>
    </row>
    <row r="1080">
      <c r="A1080" t="n">
        <v>300</v>
      </c>
      <c r="B1080" t="n">
        <v>7568</v>
      </c>
    </row>
    <row r="1081">
      <c r="A1081" t="n">
        <v>60</v>
      </c>
      <c r="B1081" t="n">
        <v>6621</v>
      </c>
    </row>
    <row r="1082">
      <c r="A1082" t="n">
        <v>200</v>
      </c>
      <c r="B1082" t="n">
        <v>12516</v>
      </c>
    </row>
    <row r="1083">
      <c r="A1083" t="n">
        <v>500</v>
      </c>
      <c r="B1083" t="n">
        <v>6574</v>
      </c>
    </row>
    <row r="1084">
      <c r="A1084" t="n">
        <v>300</v>
      </c>
      <c r="B1084" t="n">
        <v>7568</v>
      </c>
    </row>
    <row r="1085">
      <c r="A1085" t="n">
        <v>170</v>
      </c>
      <c r="B1085" t="n">
        <v>12019</v>
      </c>
    </row>
    <row r="1086">
      <c r="A1086" t="n">
        <v>500</v>
      </c>
      <c r="B1086" t="n">
        <v>6574</v>
      </c>
    </row>
    <row r="1087">
      <c r="A1087" t="n">
        <v>367</v>
      </c>
      <c r="B1087" t="n">
        <v>12805</v>
      </c>
    </row>
    <row r="1088">
      <c r="A1088" t="n">
        <v>250</v>
      </c>
      <c r="B1088" t="n">
        <v>6091</v>
      </c>
    </row>
    <row r="1089">
      <c r="A1089" t="n">
        <v>150</v>
      </c>
      <c r="B1089" t="n">
        <v>4512</v>
      </c>
    </row>
    <row r="1090">
      <c r="A1090" t="n">
        <v>300</v>
      </c>
      <c r="B1090" t="n">
        <v>7315</v>
      </c>
    </row>
    <row r="1091">
      <c r="A1091" t="n">
        <v>400</v>
      </c>
      <c r="B1091" t="n">
        <v>6714</v>
      </c>
    </row>
    <row r="1092">
      <c r="A1092" t="n">
        <v>300</v>
      </c>
      <c r="B1092" t="n">
        <v>11190</v>
      </c>
    </row>
    <row r="1093">
      <c r="A1093" t="n">
        <v>400</v>
      </c>
      <c r="B1093" t="n">
        <v>6714</v>
      </c>
    </row>
    <row r="1094">
      <c r="A1094" t="n">
        <v>100</v>
      </c>
      <c r="B1094" t="n">
        <v>19990</v>
      </c>
    </row>
    <row r="1095">
      <c r="A1095" t="n">
        <v>300</v>
      </c>
      <c r="B1095" t="n">
        <v>12190</v>
      </c>
    </row>
    <row r="1096">
      <c r="A1096" t="n">
        <v>200</v>
      </c>
      <c r="B1096" t="n">
        <v>4194</v>
      </c>
    </row>
    <row r="1097">
      <c r="A1097" t="n">
        <v>400</v>
      </c>
      <c r="B1097" t="n">
        <v>6714</v>
      </c>
    </row>
    <row r="1098">
      <c r="A1098" t="n">
        <v>300</v>
      </c>
      <c r="B1098" t="n">
        <v>11190</v>
      </c>
    </row>
    <row r="1099">
      <c r="A1099" t="n">
        <v>400</v>
      </c>
      <c r="B1099" t="n">
        <v>6714</v>
      </c>
    </row>
    <row r="1100">
      <c r="A1100" t="n">
        <v>200</v>
      </c>
      <c r="B1100" t="n">
        <v>6990</v>
      </c>
    </row>
    <row r="1101">
      <c r="A1101" t="n">
        <v>750</v>
      </c>
      <c r="B1101" t="n">
        <v>17990</v>
      </c>
    </row>
    <row r="1102">
      <c r="A1102" t="n">
        <v>200</v>
      </c>
      <c r="B1102" t="n">
        <v>4194</v>
      </c>
    </row>
    <row r="1103">
      <c r="A1103" t="n">
        <v>250</v>
      </c>
      <c r="B1103" t="n">
        <v>8990</v>
      </c>
    </row>
    <row r="1104">
      <c r="A1104" t="n">
        <v>750</v>
      </c>
      <c r="B1104" t="n">
        <v>17990</v>
      </c>
    </row>
    <row r="1105">
      <c r="A1105" t="n">
        <v>750</v>
      </c>
      <c r="B1105" t="n">
        <v>17990</v>
      </c>
    </row>
    <row r="1106">
      <c r="A1106" t="n">
        <v>250</v>
      </c>
      <c r="B1106" t="n">
        <v>9990</v>
      </c>
    </row>
    <row r="1107">
      <c r="A1107" t="n">
        <v>200</v>
      </c>
      <c r="B1107" t="n">
        <v>6990</v>
      </c>
    </row>
    <row r="1108">
      <c r="A1108" t="n">
        <v>750</v>
      </c>
      <c r="B1108" t="n">
        <v>17990</v>
      </c>
    </row>
    <row r="1109">
      <c r="A1109" t="n">
        <v>750</v>
      </c>
      <c r="B1109" t="n">
        <v>17990</v>
      </c>
    </row>
    <row r="1110">
      <c r="A1110" t="n">
        <v>250</v>
      </c>
      <c r="B1110" t="n">
        <v>8990</v>
      </c>
    </row>
    <row r="1111">
      <c r="A1111" t="n">
        <v>400</v>
      </c>
      <c r="B1111" t="n">
        <v>5595</v>
      </c>
    </row>
    <row r="1112">
      <c r="A1112" t="n">
        <v>250</v>
      </c>
      <c r="B1112" t="n">
        <v>9990</v>
      </c>
    </row>
    <row r="1113">
      <c r="A1113" t="n">
        <v>100</v>
      </c>
      <c r="B1113" t="n">
        <v>42980</v>
      </c>
    </row>
    <row r="1114">
      <c r="A1114" t="n">
        <v>200</v>
      </c>
      <c r="B1114" t="n">
        <v>3495</v>
      </c>
    </row>
    <row r="1115">
      <c r="A1115" t="n">
        <v>400</v>
      </c>
      <c r="B1115" t="n">
        <v>11199</v>
      </c>
    </row>
    <row r="1116">
      <c r="A1116" t="n">
        <v>350</v>
      </c>
      <c r="B1116" t="n">
        <v>8750</v>
      </c>
    </row>
    <row r="1117">
      <c r="A1117" t="n">
        <v>650</v>
      </c>
      <c r="B1117" t="n">
        <v>17200</v>
      </c>
    </row>
    <row r="1118">
      <c r="A1118" t="n">
        <v>650</v>
      </c>
      <c r="B1118" t="n">
        <v>17200</v>
      </c>
    </row>
    <row r="1119">
      <c r="A1119" t="n">
        <v>400</v>
      </c>
      <c r="B1119" t="n">
        <v>9150</v>
      </c>
    </row>
    <row r="1120">
      <c r="A1120" t="n">
        <v>420</v>
      </c>
      <c r="B1120" t="n">
        <v>9750</v>
      </c>
    </row>
    <row r="1121">
      <c r="A1121" t="n">
        <v>400</v>
      </c>
      <c r="B1121" t="n">
        <v>17500</v>
      </c>
    </row>
    <row r="1122">
      <c r="A1122" t="n">
        <v>410</v>
      </c>
      <c r="B1122" t="n">
        <v>9750</v>
      </c>
    </row>
    <row r="1123">
      <c r="A1123" t="n">
        <v>350</v>
      </c>
      <c r="B1123" t="n">
        <v>8750</v>
      </c>
    </row>
    <row r="1124">
      <c r="A1124" t="n">
        <v>650</v>
      </c>
      <c r="B1124" t="n">
        <v>17200</v>
      </c>
    </row>
    <row r="1125">
      <c r="A1125" t="n">
        <v>340</v>
      </c>
      <c r="B1125" t="n">
        <v>5950</v>
      </c>
    </row>
    <row r="1126">
      <c r="A1126" t="n">
        <v>400</v>
      </c>
      <c r="B1126" t="n">
        <v>17550</v>
      </c>
    </row>
    <row r="1127">
      <c r="A1127" t="n">
        <v>420</v>
      </c>
      <c r="B1127" t="n">
        <v>9750</v>
      </c>
    </row>
    <row r="1128">
      <c r="A1128" t="n">
        <v>190</v>
      </c>
      <c r="B1128" t="n">
        <v>4050</v>
      </c>
    </row>
    <row r="1129">
      <c r="A1129" t="n">
        <v>650</v>
      </c>
      <c r="B1129" t="n">
        <v>17200</v>
      </c>
    </row>
    <row r="1130">
      <c r="A1130" t="n">
        <v>400</v>
      </c>
      <c r="B1130" t="n">
        <v>17550</v>
      </c>
    </row>
    <row r="1131">
      <c r="A1131" t="n">
        <v>400</v>
      </c>
      <c r="B1131" t="n">
        <v>17550</v>
      </c>
    </row>
    <row r="1132">
      <c r="A1132" t="n">
        <v>400</v>
      </c>
      <c r="B1132" t="n">
        <v>9150</v>
      </c>
    </row>
    <row r="1133">
      <c r="A1133" t="n">
        <v>400</v>
      </c>
      <c r="B1133" t="n">
        <v>9150</v>
      </c>
    </row>
    <row r="1134">
      <c r="A1134" t="n">
        <v>500</v>
      </c>
      <c r="B1134" t="n">
        <v>10750</v>
      </c>
    </row>
    <row r="1135">
      <c r="A1135" t="n">
        <v>400</v>
      </c>
      <c r="B1135" t="n">
        <v>9150</v>
      </c>
    </row>
    <row r="1136">
      <c r="A1136" t="n">
        <v>340</v>
      </c>
      <c r="B1136" t="n">
        <v>5469</v>
      </c>
    </row>
    <row r="1137">
      <c r="A1137" t="n">
        <v>970</v>
      </c>
      <c r="B1137" t="n">
        <v>6500</v>
      </c>
    </row>
    <row r="1138">
      <c r="A1138" t="n">
        <v>750</v>
      </c>
      <c r="B1138" t="n">
        <v>20900</v>
      </c>
    </row>
    <row r="1139">
      <c r="A1139" t="n">
        <v>340</v>
      </c>
      <c r="B1139" t="n">
        <v>5466</v>
      </c>
    </row>
    <row r="1140">
      <c r="A1140" t="n">
        <v>340</v>
      </c>
      <c r="B1140" t="n">
        <v>5466</v>
      </c>
    </row>
    <row r="1141">
      <c r="A1141" t="n">
        <v>500</v>
      </c>
      <c r="B1141" t="n">
        <v>10750</v>
      </c>
    </row>
    <row r="1142">
      <c r="A1142" t="n">
        <v>200</v>
      </c>
      <c r="B1142" t="n">
        <v>7650</v>
      </c>
    </row>
    <row r="1143">
      <c r="A1143" t="n">
        <v>970</v>
      </c>
      <c r="B1143" t="n">
        <v>6500</v>
      </c>
    </row>
    <row r="1144">
      <c r="A1144" t="n">
        <v>650</v>
      </c>
      <c r="B1144" t="n">
        <v>9250</v>
      </c>
    </row>
    <row r="1145">
      <c r="A1145" t="n">
        <v>750</v>
      </c>
      <c r="B1145" t="n">
        <v>19700</v>
      </c>
    </row>
    <row r="1146">
      <c r="A1146" t="n">
        <v>340</v>
      </c>
      <c r="B1146" t="n">
        <v>5950</v>
      </c>
    </row>
    <row r="1147">
      <c r="A1147" t="n">
        <v>250</v>
      </c>
      <c r="B1147" t="n">
        <v>6450</v>
      </c>
    </row>
    <row r="1148">
      <c r="A1148" t="n">
        <v>250</v>
      </c>
      <c r="B1148" t="n">
        <v>6450</v>
      </c>
    </row>
    <row r="1149">
      <c r="A1149" t="n">
        <v>500</v>
      </c>
      <c r="B1149" t="n">
        <v>10750</v>
      </c>
    </row>
    <row r="1150">
      <c r="A1150" t="n">
        <v>400</v>
      </c>
      <c r="B1150" t="n">
        <v>11000</v>
      </c>
    </row>
    <row r="1151">
      <c r="A1151" t="n">
        <v>340</v>
      </c>
      <c r="B1151" t="n">
        <v>5950</v>
      </c>
    </row>
    <row r="1152">
      <c r="A1152" t="n">
        <v>340</v>
      </c>
      <c r="B1152" t="n">
        <v>5950</v>
      </c>
    </row>
    <row r="1153">
      <c r="A1153" t="n">
        <v>200</v>
      </c>
      <c r="B1153" t="n">
        <v>6150</v>
      </c>
    </row>
    <row r="1154">
      <c r="A1154" t="n">
        <v>650</v>
      </c>
      <c r="B1154" t="n">
        <v>9550</v>
      </c>
    </row>
    <row r="1155">
      <c r="A1155" t="n">
        <v>880</v>
      </c>
      <c r="B1155" t="n">
        <v>17050</v>
      </c>
    </row>
    <row r="1156">
      <c r="A1156" t="n">
        <v>410</v>
      </c>
      <c r="B1156" t="n">
        <v>9750</v>
      </c>
    </row>
    <row r="1157">
      <c r="A1157" t="n">
        <v>200</v>
      </c>
      <c r="B1157" t="n">
        <v>7600</v>
      </c>
    </row>
    <row r="1158">
      <c r="A1158" t="n">
        <v>400</v>
      </c>
      <c r="B1158" t="n">
        <v>11000</v>
      </c>
    </row>
    <row r="1159">
      <c r="A1159" t="n">
        <v>375</v>
      </c>
      <c r="B1159" t="n">
        <v>13100</v>
      </c>
    </row>
    <row r="1160">
      <c r="A1160" t="n">
        <v>930</v>
      </c>
      <c r="B1160" t="n">
        <v>4600</v>
      </c>
    </row>
    <row r="1161">
      <c r="A1161" t="n">
        <v>180</v>
      </c>
      <c r="B1161" t="n">
        <v>7900</v>
      </c>
    </row>
    <row r="1162">
      <c r="A1162" t="n">
        <v>350</v>
      </c>
      <c r="B1162" t="n">
        <v>8750</v>
      </c>
    </row>
    <row r="1163">
      <c r="A1163" t="n">
        <v>350</v>
      </c>
      <c r="B1163" t="n">
        <v>9750</v>
      </c>
    </row>
    <row r="1164">
      <c r="A1164" t="n">
        <v>420</v>
      </c>
      <c r="B1164" t="n">
        <v>10950</v>
      </c>
    </row>
    <row r="1165">
      <c r="A1165" t="n">
        <v>375</v>
      </c>
      <c r="B1165" t="n">
        <v>13100</v>
      </c>
    </row>
    <row r="1166">
      <c r="A1166" t="n">
        <v>190</v>
      </c>
      <c r="B1166" t="n">
        <v>3950</v>
      </c>
    </row>
    <row r="1167">
      <c r="A1167" t="n">
        <v>650</v>
      </c>
      <c r="B1167" t="n">
        <v>19950</v>
      </c>
    </row>
    <row r="1168">
      <c r="A1168" t="n">
        <v>400</v>
      </c>
      <c r="B1168" t="n">
        <v>10450</v>
      </c>
    </row>
    <row r="1169">
      <c r="A1169" t="n">
        <v>880</v>
      </c>
      <c r="B1169" t="n">
        <v>17050</v>
      </c>
    </row>
    <row r="1170">
      <c r="A1170" t="n">
        <v>500</v>
      </c>
      <c r="B1170" t="n">
        <v>10750</v>
      </c>
    </row>
    <row r="1171">
      <c r="A1171" t="n">
        <v>400</v>
      </c>
      <c r="B1171" t="n">
        <v>12350</v>
      </c>
    </row>
    <row r="1172">
      <c r="A1172" t="n">
        <v>700</v>
      </c>
      <c r="B1172" t="n">
        <v>5650</v>
      </c>
    </row>
    <row r="1173">
      <c r="A1173" t="n">
        <v>200</v>
      </c>
      <c r="B1173" t="n">
        <v>7650</v>
      </c>
    </row>
    <row r="1174">
      <c r="A1174" t="n">
        <v>180</v>
      </c>
      <c r="B1174" t="n">
        <v>7900</v>
      </c>
    </row>
    <row r="1175">
      <c r="A1175" t="n">
        <v>420</v>
      </c>
      <c r="B1175" t="n">
        <v>9750</v>
      </c>
    </row>
    <row r="1176">
      <c r="A1176" t="n">
        <v>200</v>
      </c>
      <c r="B1176" t="n">
        <v>5950</v>
      </c>
    </row>
    <row r="1177">
      <c r="A1177" t="n">
        <v>180</v>
      </c>
      <c r="B1177" t="n">
        <v>8000</v>
      </c>
    </row>
    <row r="1178">
      <c r="A1178" t="n">
        <v>200</v>
      </c>
      <c r="B1178" t="n">
        <v>6900</v>
      </c>
    </row>
    <row r="1179">
      <c r="A1179" t="n">
        <v>650</v>
      </c>
      <c r="B1179" t="n">
        <v>20250</v>
      </c>
    </row>
    <row r="1180">
      <c r="A1180" t="n">
        <v>650</v>
      </c>
      <c r="B1180" t="n">
        <v>20250</v>
      </c>
    </row>
    <row r="1181">
      <c r="A1181" t="n">
        <v>350</v>
      </c>
      <c r="B1181" t="n">
        <v>3850</v>
      </c>
    </row>
    <row r="1182">
      <c r="A1182" t="n">
        <v>400</v>
      </c>
      <c r="B1182" t="n">
        <v>9220</v>
      </c>
    </row>
    <row r="1183">
      <c r="A1183" t="n">
        <v>340</v>
      </c>
      <c r="B1183" t="n">
        <v>5469</v>
      </c>
    </row>
    <row r="1184">
      <c r="A1184" t="n">
        <v>970</v>
      </c>
      <c r="B1184" t="n">
        <v>6032</v>
      </c>
    </row>
    <row r="1185">
      <c r="A1185" t="n">
        <v>300</v>
      </c>
      <c r="B1185" t="n">
        <v>10550</v>
      </c>
    </row>
    <row r="1186">
      <c r="A1186" t="n">
        <v>400</v>
      </c>
      <c r="B1186" t="n">
        <v>10650</v>
      </c>
    </row>
    <row r="1187">
      <c r="A1187" t="n">
        <v>200</v>
      </c>
      <c r="B1187" t="n">
        <v>6150</v>
      </c>
    </row>
    <row r="1188">
      <c r="A1188" t="n">
        <v>200</v>
      </c>
      <c r="B1188" t="n">
        <v>6800</v>
      </c>
    </row>
    <row r="1189">
      <c r="A1189" t="n">
        <v>650</v>
      </c>
      <c r="B1189" t="n">
        <v>19950</v>
      </c>
    </row>
    <row r="1190">
      <c r="A1190" t="n">
        <v>650</v>
      </c>
      <c r="B1190" t="n">
        <v>20450</v>
      </c>
    </row>
    <row r="1191">
      <c r="A1191" t="n">
        <v>250</v>
      </c>
      <c r="B1191" t="n">
        <v>6450</v>
      </c>
    </row>
    <row r="1192">
      <c r="A1192" t="n">
        <v>300</v>
      </c>
      <c r="B1192" t="n">
        <v>10550</v>
      </c>
    </row>
    <row r="1193">
      <c r="A1193" t="n">
        <v>400</v>
      </c>
      <c r="B1193" t="n">
        <v>11199</v>
      </c>
    </row>
    <row r="1194">
      <c r="A1194" t="n">
        <v>700</v>
      </c>
      <c r="B1194" t="n">
        <v>5550</v>
      </c>
    </row>
    <row r="1195">
      <c r="A1195" t="n">
        <v>200</v>
      </c>
      <c r="B1195" t="n">
        <v>8200</v>
      </c>
    </row>
    <row r="1196">
      <c r="A1196" t="n">
        <v>750</v>
      </c>
      <c r="B1196" t="n">
        <v>21250</v>
      </c>
    </row>
    <row r="1197">
      <c r="A1197" t="n">
        <v>510</v>
      </c>
      <c r="B1197" t="n">
        <v>16900</v>
      </c>
    </row>
    <row r="1198">
      <c r="A1198" t="n">
        <v>750</v>
      </c>
      <c r="B1198" t="n">
        <v>19700</v>
      </c>
    </row>
    <row r="1199">
      <c r="A1199" t="n">
        <v>375</v>
      </c>
      <c r="B1199" t="n">
        <v>13100</v>
      </c>
    </row>
    <row r="1200">
      <c r="A1200" t="n">
        <v>200</v>
      </c>
      <c r="B1200" t="n">
        <v>8200</v>
      </c>
    </row>
    <row r="1201">
      <c r="A1201" t="n">
        <v>400</v>
      </c>
      <c r="B1201" t="n">
        <v>13150</v>
      </c>
    </row>
    <row r="1202">
      <c r="A1202" t="n">
        <v>400</v>
      </c>
      <c r="B1202" t="n">
        <v>13150</v>
      </c>
    </row>
    <row r="1203">
      <c r="A1203" t="n">
        <v>200</v>
      </c>
      <c r="B1203" t="n">
        <v>6800</v>
      </c>
    </row>
    <row r="1204">
      <c r="A1204" t="n">
        <v>200</v>
      </c>
      <c r="B1204" t="n">
        <v>6800</v>
      </c>
    </row>
    <row r="1205">
      <c r="A1205" t="n">
        <v>200</v>
      </c>
      <c r="B1205" t="n">
        <v>7650</v>
      </c>
    </row>
    <row r="1206">
      <c r="A1206" t="n">
        <v>350</v>
      </c>
      <c r="B1206" t="n">
        <v>8650</v>
      </c>
    </row>
    <row r="1207">
      <c r="A1207" t="n">
        <v>750</v>
      </c>
      <c r="B1207" t="n">
        <v>21250</v>
      </c>
    </row>
    <row r="1208">
      <c r="A1208" t="n">
        <v>510</v>
      </c>
      <c r="B1208" t="n">
        <v>16900</v>
      </c>
    </row>
    <row r="1209">
      <c r="A1209" t="n">
        <v>700</v>
      </c>
      <c r="B1209" t="n">
        <v>5650</v>
      </c>
    </row>
    <row r="1210">
      <c r="A1210" t="n">
        <v>400</v>
      </c>
      <c r="B1210" t="n">
        <v>8250</v>
      </c>
    </row>
    <row r="1211">
      <c r="A1211" t="n">
        <v>300</v>
      </c>
      <c r="B1211" t="n">
        <v>10550</v>
      </c>
    </row>
    <row r="1212">
      <c r="A1212" t="n">
        <v>700</v>
      </c>
      <c r="B1212" t="n">
        <v>18050</v>
      </c>
    </row>
    <row r="1213">
      <c r="A1213" t="n">
        <v>750</v>
      </c>
      <c r="B1213" t="n">
        <v>19700</v>
      </c>
    </row>
    <row r="1214">
      <c r="A1214" t="n">
        <v>750</v>
      </c>
      <c r="B1214" t="n">
        <v>19700</v>
      </c>
    </row>
    <row r="1215">
      <c r="A1215" t="n">
        <v>400</v>
      </c>
      <c r="B1215" t="n">
        <v>11199</v>
      </c>
    </row>
    <row r="1216">
      <c r="A1216" t="n">
        <v>750</v>
      </c>
      <c r="B1216" t="n">
        <v>19700</v>
      </c>
    </row>
    <row r="1217">
      <c r="A1217" t="n">
        <v>400</v>
      </c>
      <c r="B1217" t="n">
        <v>11199</v>
      </c>
    </row>
    <row r="1218">
      <c r="A1218" t="n">
        <v>700</v>
      </c>
      <c r="B1218" t="n">
        <v>18050</v>
      </c>
    </row>
    <row r="1219">
      <c r="A1219" t="n">
        <v>340</v>
      </c>
      <c r="B1219" t="n">
        <v>5950</v>
      </c>
    </row>
    <row r="1220">
      <c r="A1220" t="n">
        <v>400</v>
      </c>
      <c r="B1220" t="n">
        <v>12300</v>
      </c>
    </row>
    <row r="1221">
      <c r="A1221" t="n">
        <v>300</v>
      </c>
      <c r="B1221" t="n">
        <v>12300</v>
      </c>
    </row>
    <row r="1222">
      <c r="A1222" t="n">
        <v>200</v>
      </c>
      <c r="B1222" t="n">
        <v>8200</v>
      </c>
    </row>
    <row r="1223">
      <c r="A1223" t="n">
        <v>25</v>
      </c>
      <c r="B1223" t="n">
        <v>5050</v>
      </c>
    </row>
    <row r="1224">
      <c r="A1224" t="n">
        <v>200</v>
      </c>
      <c r="B1224" t="n">
        <v>7450</v>
      </c>
    </row>
    <row r="1225">
      <c r="A1225" t="n">
        <v>400</v>
      </c>
      <c r="B1225" t="n">
        <v>10300</v>
      </c>
    </row>
    <row r="1226">
      <c r="A1226" t="n">
        <v>200</v>
      </c>
      <c r="B1226" t="n">
        <v>7650</v>
      </c>
    </row>
    <row r="1227">
      <c r="A1227" t="n">
        <v>400</v>
      </c>
      <c r="B1227" t="n">
        <v>11199</v>
      </c>
    </row>
    <row r="1228">
      <c r="A1228" t="n">
        <v>375</v>
      </c>
      <c r="B1228" t="n">
        <v>13100</v>
      </c>
    </row>
    <row r="1229">
      <c r="A1229" t="n">
        <v>400</v>
      </c>
      <c r="B1229" t="n">
        <v>11650</v>
      </c>
    </row>
    <row r="1230">
      <c r="A1230" t="n">
        <v>180</v>
      </c>
      <c r="B1230" t="n">
        <v>8000</v>
      </c>
    </row>
    <row r="1231">
      <c r="A1231" t="n">
        <v>25</v>
      </c>
      <c r="B1231" t="n">
        <v>5050</v>
      </c>
    </row>
    <row r="1232">
      <c r="A1232" t="n">
        <v>180</v>
      </c>
      <c r="B1232" t="n">
        <v>7750</v>
      </c>
    </row>
    <row r="1233">
      <c r="A1233" t="n">
        <v>200</v>
      </c>
      <c r="B1233" t="n">
        <v>7950</v>
      </c>
    </row>
    <row r="1234">
      <c r="A1234" t="n">
        <v>350</v>
      </c>
      <c r="B1234" t="n">
        <v>12750</v>
      </c>
    </row>
    <row r="1235">
      <c r="A1235" t="n">
        <v>650</v>
      </c>
      <c r="B1235" t="n">
        <v>20450</v>
      </c>
    </row>
    <row r="1236">
      <c r="A1236" t="n">
        <v>375</v>
      </c>
      <c r="B1236" t="n">
        <v>13100</v>
      </c>
    </row>
    <row r="1237">
      <c r="A1237" t="n">
        <v>180</v>
      </c>
      <c r="B1237" t="n">
        <v>7900</v>
      </c>
    </row>
    <row r="1238">
      <c r="A1238" t="n">
        <v>375</v>
      </c>
      <c r="B1238" t="n">
        <v>13100</v>
      </c>
    </row>
    <row r="1239">
      <c r="A1239" t="n">
        <v>400</v>
      </c>
      <c r="B1239" t="n">
        <v>9505</v>
      </c>
    </row>
    <row r="1240">
      <c r="A1240" t="n">
        <v>700</v>
      </c>
      <c r="B1240" t="n">
        <v>5650</v>
      </c>
    </row>
    <row r="1241">
      <c r="A1241" t="n">
        <v>420</v>
      </c>
      <c r="B1241" t="n">
        <v>10900</v>
      </c>
    </row>
    <row r="1242">
      <c r="A1242" t="n">
        <v>420</v>
      </c>
      <c r="B1242" t="n">
        <v>10900</v>
      </c>
    </row>
    <row r="1243">
      <c r="A1243" t="n">
        <v>420</v>
      </c>
      <c r="B1243" t="n">
        <v>9750</v>
      </c>
    </row>
    <row r="1244">
      <c r="A1244" t="n">
        <v>400</v>
      </c>
      <c r="B1244" t="n">
        <v>9505</v>
      </c>
    </row>
    <row r="1245">
      <c r="A1245" t="n">
        <v>375</v>
      </c>
      <c r="B1245" t="n">
        <v>13100</v>
      </c>
    </row>
    <row r="1246">
      <c r="A1246" t="n">
        <v>180</v>
      </c>
      <c r="B1246" t="n">
        <v>7900</v>
      </c>
    </row>
    <row r="1247">
      <c r="A1247" t="n">
        <v>750</v>
      </c>
      <c r="B1247" t="n">
        <v>19350</v>
      </c>
    </row>
    <row r="1248">
      <c r="A1248" t="n">
        <v>200</v>
      </c>
      <c r="B1248" t="n">
        <v>6650</v>
      </c>
    </row>
    <row r="1249">
      <c r="A1249" t="n">
        <v>375</v>
      </c>
      <c r="B1249" t="n">
        <v>13050</v>
      </c>
    </row>
    <row r="1250">
      <c r="A1250" t="n">
        <v>510</v>
      </c>
      <c r="B1250" t="n">
        <v>16900</v>
      </c>
    </row>
    <row r="1251">
      <c r="A1251" t="n">
        <v>200</v>
      </c>
      <c r="B1251" t="n">
        <v>6750</v>
      </c>
    </row>
    <row r="1252">
      <c r="A1252" t="n">
        <v>500</v>
      </c>
      <c r="B1252" t="n">
        <v>9800</v>
      </c>
    </row>
    <row r="1253">
      <c r="A1253" t="n">
        <v>415</v>
      </c>
      <c r="B1253" t="n">
        <v>11100</v>
      </c>
    </row>
    <row r="1254">
      <c r="A1254" t="n">
        <v>375</v>
      </c>
      <c r="B1254" t="n">
        <v>13000</v>
      </c>
    </row>
    <row r="1255">
      <c r="A1255" t="n">
        <v>650</v>
      </c>
      <c r="B1255" t="n">
        <v>20000</v>
      </c>
    </row>
    <row r="1256">
      <c r="A1256" t="n">
        <v>415</v>
      </c>
      <c r="B1256" t="n">
        <v>12200</v>
      </c>
    </row>
    <row r="1257">
      <c r="A1257" t="n">
        <v>750</v>
      </c>
      <c r="B1257" t="n">
        <v>19700</v>
      </c>
    </row>
    <row r="1258">
      <c r="A1258" t="n">
        <v>180</v>
      </c>
      <c r="B1258" t="n">
        <v>7800</v>
      </c>
    </row>
    <row r="1259">
      <c r="A1259" t="n">
        <v>500</v>
      </c>
      <c r="B1259" t="n">
        <v>8500</v>
      </c>
    </row>
    <row r="1260">
      <c r="A1260" t="n">
        <v>400</v>
      </c>
      <c r="B1260" t="n">
        <v>11000</v>
      </c>
    </row>
    <row r="1261">
      <c r="A1261" t="n">
        <v>400</v>
      </c>
      <c r="B1261" t="n">
        <v>11199</v>
      </c>
    </row>
    <row r="1262">
      <c r="A1262" t="n">
        <v>750</v>
      </c>
      <c r="B1262" t="n">
        <v>18050</v>
      </c>
    </row>
    <row r="1263">
      <c r="A1263" t="n">
        <v>375</v>
      </c>
      <c r="B1263" t="n">
        <v>13100</v>
      </c>
    </row>
    <row r="1264">
      <c r="A1264" t="n">
        <v>375</v>
      </c>
      <c r="B1264" t="n">
        <v>13100</v>
      </c>
    </row>
    <row r="1265">
      <c r="A1265" t="n">
        <v>400</v>
      </c>
      <c r="B1265" t="n">
        <v>11199</v>
      </c>
    </row>
    <row r="1266">
      <c r="A1266" t="n">
        <v>200</v>
      </c>
      <c r="B1266" t="n">
        <v>6650</v>
      </c>
    </row>
    <row r="1267">
      <c r="A1267" t="n">
        <v>400</v>
      </c>
      <c r="B1267" t="n">
        <v>11000</v>
      </c>
    </row>
    <row r="1268">
      <c r="A1268" t="n">
        <v>400</v>
      </c>
      <c r="B1268" t="n">
        <v>11000</v>
      </c>
    </row>
    <row r="1269">
      <c r="A1269" t="n">
        <v>375</v>
      </c>
      <c r="B1269" t="n">
        <v>13100</v>
      </c>
    </row>
    <row r="1270">
      <c r="A1270" t="n">
        <v>180</v>
      </c>
      <c r="B1270" t="n">
        <v>8000</v>
      </c>
    </row>
    <row r="1271">
      <c r="A1271" t="n">
        <v>750</v>
      </c>
      <c r="B1271" t="n">
        <v>21250</v>
      </c>
    </row>
    <row r="1272">
      <c r="A1272" t="n">
        <v>750</v>
      </c>
      <c r="B1272" t="n">
        <v>19700</v>
      </c>
    </row>
    <row r="1273">
      <c r="A1273" t="n">
        <v>200</v>
      </c>
      <c r="B1273" t="n">
        <v>6750</v>
      </c>
    </row>
    <row r="1274">
      <c r="A1274" t="n">
        <v>400</v>
      </c>
      <c r="B1274" t="n">
        <v>12550</v>
      </c>
    </row>
    <row r="1275">
      <c r="A1275" t="n">
        <v>400</v>
      </c>
      <c r="B1275" t="n">
        <v>11000</v>
      </c>
    </row>
    <row r="1276">
      <c r="A1276" t="n">
        <v>170</v>
      </c>
      <c r="B1276" t="n">
        <v>10100</v>
      </c>
    </row>
    <row r="1277">
      <c r="A1277" t="n">
        <v>650</v>
      </c>
      <c r="B1277" t="n">
        <v>17200</v>
      </c>
    </row>
    <row r="1278">
      <c r="A1278" t="n">
        <v>650</v>
      </c>
      <c r="B1278" t="n">
        <v>17200</v>
      </c>
    </row>
    <row r="1279">
      <c r="A1279" t="n">
        <v>420</v>
      </c>
      <c r="B1279" t="n">
        <v>9750</v>
      </c>
    </row>
    <row r="1280">
      <c r="A1280" t="n">
        <v>200</v>
      </c>
      <c r="B1280" t="n">
        <v>5950</v>
      </c>
    </row>
    <row r="1281">
      <c r="A1281" t="n">
        <v>400</v>
      </c>
      <c r="B1281" t="n">
        <v>17500</v>
      </c>
    </row>
    <row r="1282">
      <c r="A1282" t="n">
        <v>400</v>
      </c>
      <c r="B1282" t="n">
        <v>17500</v>
      </c>
    </row>
    <row r="1283">
      <c r="A1283" t="n">
        <v>400</v>
      </c>
      <c r="B1283" t="n">
        <v>9150</v>
      </c>
    </row>
    <row r="1284">
      <c r="A1284" t="n">
        <v>970</v>
      </c>
      <c r="B1284" t="n">
        <v>6500</v>
      </c>
    </row>
    <row r="1285">
      <c r="A1285" t="n">
        <v>400</v>
      </c>
      <c r="B1285" t="n">
        <v>9150</v>
      </c>
    </row>
    <row r="1286">
      <c r="A1286" t="n">
        <v>340</v>
      </c>
      <c r="B1286" t="n">
        <v>5439</v>
      </c>
    </row>
    <row r="1287">
      <c r="A1287" t="n">
        <v>500</v>
      </c>
      <c r="B1287" t="n">
        <v>10900</v>
      </c>
    </row>
    <row r="1288">
      <c r="A1288" t="n">
        <v>340</v>
      </c>
      <c r="B1288" t="n">
        <v>5469</v>
      </c>
    </row>
    <row r="1289">
      <c r="A1289" t="n">
        <v>400</v>
      </c>
      <c r="B1289" t="n">
        <v>10550</v>
      </c>
    </row>
    <row r="1290">
      <c r="A1290" t="n">
        <v>200</v>
      </c>
      <c r="B1290" t="n">
        <v>7450</v>
      </c>
    </row>
    <row r="1291">
      <c r="A1291" t="n">
        <v>340</v>
      </c>
      <c r="B1291" t="n">
        <v>5437</v>
      </c>
    </row>
    <row r="1292">
      <c r="A1292" t="n">
        <v>400</v>
      </c>
      <c r="B1292" t="n">
        <v>11900</v>
      </c>
    </row>
    <row r="1293">
      <c r="A1293" t="n">
        <v>750</v>
      </c>
      <c r="B1293" t="n">
        <v>19150</v>
      </c>
    </row>
    <row r="1294">
      <c r="A1294" t="n">
        <v>650</v>
      </c>
      <c r="B1294" t="n">
        <v>9000</v>
      </c>
    </row>
    <row r="1295">
      <c r="A1295" t="n">
        <v>410</v>
      </c>
      <c r="B1295" t="n">
        <v>9750</v>
      </c>
    </row>
    <row r="1296">
      <c r="A1296" t="n">
        <v>200</v>
      </c>
      <c r="B1296" t="n">
        <v>6150</v>
      </c>
    </row>
    <row r="1297">
      <c r="A1297" t="n">
        <v>400</v>
      </c>
      <c r="B1297" t="n">
        <v>9150</v>
      </c>
    </row>
    <row r="1298">
      <c r="A1298" t="n">
        <v>400</v>
      </c>
      <c r="B1298" t="n">
        <v>12300</v>
      </c>
    </row>
    <row r="1299">
      <c r="A1299" t="n">
        <v>400</v>
      </c>
      <c r="B1299" t="n">
        <v>12300</v>
      </c>
    </row>
    <row r="1300">
      <c r="A1300" t="n">
        <v>400</v>
      </c>
      <c r="B1300" t="n">
        <v>12300</v>
      </c>
    </row>
    <row r="1301">
      <c r="A1301" t="n">
        <v>500</v>
      </c>
      <c r="B1301" t="n">
        <v>10900</v>
      </c>
    </row>
    <row r="1302">
      <c r="A1302" t="n">
        <v>500</v>
      </c>
      <c r="B1302" t="n">
        <v>10900</v>
      </c>
    </row>
    <row r="1303">
      <c r="A1303" t="n">
        <v>340</v>
      </c>
      <c r="B1303" t="n">
        <v>5600</v>
      </c>
    </row>
    <row r="1304">
      <c r="A1304" t="n">
        <v>200</v>
      </c>
      <c r="B1304" t="n">
        <v>7650</v>
      </c>
    </row>
    <row r="1305">
      <c r="A1305" t="n">
        <v>250</v>
      </c>
      <c r="B1305" t="n">
        <v>9550</v>
      </c>
    </row>
    <row r="1306">
      <c r="A1306" t="n">
        <v>250</v>
      </c>
      <c r="B1306" t="n">
        <v>6350</v>
      </c>
    </row>
    <row r="1307">
      <c r="A1307" t="n">
        <v>340</v>
      </c>
      <c r="B1307" t="n">
        <v>5950</v>
      </c>
    </row>
    <row r="1308">
      <c r="A1308" t="n">
        <v>240</v>
      </c>
      <c r="B1308" t="n">
        <v>13500</v>
      </c>
    </row>
    <row r="1309">
      <c r="A1309" t="n">
        <v>500</v>
      </c>
      <c r="B1309" t="n">
        <v>10900</v>
      </c>
    </row>
    <row r="1310">
      <c r="A1310" t="n">
        <v>340</v>
      </c>
      <c r="B1310" t="n">
        <v>5439</v>
      </c>
    </row>
    <row r="1311">
      <c r="A1311" t="n">
        <v>650</v>
      </c>
      <c r="B1311" t="n">
        <v>13150</v>
      </c>
    </row>
    <row r="1312">
      <c r="A1312" t="n">
        <v>510</v>
      </c>
      <c r="B1312" t="n">
        <v>16950</v>
      </c>
    </row>
    <row r="1313">
      <c r="A1313" t="n">
        <v>970</v>
      </c>
      <c r="B1313" t="n">
        <v>6500</v>
      </c>
    </row>
    <row r="1314">
      <c r="A1314" t="n">
        <v>200</v>
      </c>
      <c r="B1314" t="n">
        <v>6150</v>
      </c>
    </row>
    <row r="1315">
      <c r="A1315" t="n">
        <v>340</v>
      </c>
      <c r="B1315" t="n">
        <v>5600</v>
      </c>
    </row>
    <row r="1316">
      <c r="A1316" t="n">
        <v>750</v>
      </c>
      <c r="B1316" t="n">
        <v>16500</v>
      </c>
    </row>
    <row r="1317">
      <c r="A1317" t="n">
        <v>650</v>
      </c>
      <c r="B1317" t="n">
        <v>9550</v>
      </c>
    </row>
    <row r="1318">
      <c r="A1318" t="n">
        <v>350</v>
      </c>
      <c r="B1318" t="n">
        <v>8650</v>
      </c>
    </row>
    <row r="1319">
      <c r="A1319" t="n">
        <v>510</v>
      </c>
      <c r="B1319" t="n">
        <v>16900</v>
      </c>
    </row>
    <row r="1320">
      <c r="A1320" t="n">
        <v>190</v>
      </c>
      <c r="B1320" t="n">
        <v>4000</v>
      </c>
    </row>
    <row r="1321">
      <c r="A1321" t="n">
        <v>250</v>
      </c>
      <c r="B1321" t="n">
        <v>6350</v>
      </c>
    </row>
    <row r="1322">
      <c r="A1322" t="n">
        <v>340</v>
      </c>
      <c r="B1322" t="n">
        <v>5469</v>
      </c>
    </row>
    <row r="1323">
      <c r="A1323" t="n">
        <v>250</v>
      </c>
      <c r="B1323" t="n">
        <v>9550</v>
      </c>
    </row>
    <row r="1324">
      <c r="A1324" t="n">
        <v>200</v>
      </c>
      <c r="B1324" t="n">
        <v>8200</v>
      </c>
    </row>
    <row r="1325">
      <c r="A1325" t="n">
        <v>700</v>
      </c>
      <c r="B1325" t="n">
        <v>5550</v>
      </c>
    </row>
    <row r="1326">
      <c r="A1326" t="n">
        <v>510</v>
      </c>
      <c r="B1326" t="n">
        <v>16950</v>
      </c>
    </row>
    <row r="1327">
      <c r="A1327" t="n">
        <v>200</v>
      </c>
      <c r="B1327" t="n">
        <v>5950</v>
      </c>
    </row>
    <row r="1328">
      <c r="A1328" t="n">
        <v>700</v>
      </c>
      <c r="B1328" t="n">
        <v>5650</v>
      </c>
    </row>
    <row r="1329">
      <c r="A1329" t="n">
        <v>400</v>
      </c>
      <c r="B1329" t="n">
        <v>12300</v>
      </c>
    </row>
    <row r="1330">
      <c r="A1330" t="n">
        <v>400</v>
      </c>
      <c r="B1330" t="n">
        <v>10550</v>
      </c>
    </row>
    <row r="1331">
      <c r="A1331" t="n">
        <v>970</v>
      </c>
      <c r="B1331" t="n">
        <v>6500</v>
      </c>
    </row>
    <row r="1332">
      <c r="A1332" t="n">
        <v>400</v>
      </c>
      <c r="B1332" t="n">
        <v>12300</v>
      </c>
    </row>
    <row r="1333">
      <c r="A1333" t="n">
        <v>420</v>
      </c>
      <c r="B1333" t="n">
        <v>9750</v>
      </c>
    </row>
    <row r="1334">
      <c r="A1334" t="n">
        <v>650</v>
      </c>
      <c r="B1334" t="n">
        <v>17200</v>
      </c>
    </row>
    <row r="1335">
      <c r="A1335" t="n">
        <v>650</v>
      </c>
      <c r="B1335" t="n">
        <v>9550</v>
      </c>
    </row>
    <row r="1336">
      <c r="A1336" t="n">
        <v>200</v>
      </c>
      <c r="B1336" t="n">
        <v>7650</v>
      </c>
    </row>
    <row r="1337">
      <c r="A1337" t="n">
        <v>400</v>
      </c>
      <c r="B1337" t="n">
        <v>13700</v>
      </c>
    </row>
    <row r="1338">
      <c r="A1338" t="n">
        <v>400</v>
      </c>
      <c r="B1338" t="n">
        <v>10550</v>
      </c>
    </row>
    <row r="1339">
      <c r="A1339" t="n">
        <v>200</v>
      </c>
      <c r="B1339" t="n">
        <v>7650</v>
      </c>
    </row>
    <row r="1340">
      <c r="A1340" t="n">
        <v>750</v>
      </c>
      <c r="B1340" t="n">
        <v>21850</v>
      </c>
    </row>
    <row r="1341">
      <c r="A1341" t="n">
        <v>750</v>
      </c>
      <c r="B1341" t="n">
        <v>19150</v>
      </c>
    </row>
    <row r="1342">
      <c r="A1342" t="n">
        <v>350</v>
      </c>
      <c r="B1342" t="n">
        <v>8650</v>
      </c>
    </row>
    <row r="1343">
      <c r="A1343" t="n">
        <v>250</v>
      </c>
      <c r="B1343" t="n">
        <v>10550</v>
      </c>
    </row>
    <row r="1344">
      <c r="A1344" t="n">
        <v>350</v>
      </c>
      <c r="B1344" t="n">
        <v>8500</v>
      </c>
    </row>
    <row r="1345">
      <c r="A1345" t="n">
        <v>750</v>
      </c>
      <c r="B1345" t="n">
        <v>19150</v>
      </c>
    </row>
    <row r="1346">
      <c r="A1346" t="n">
        <v>420</v>
      </c>
      <c r="B1346" t="n">
        <v>10950</v>
      </c>
    </row>
    <row r="1347">
      <c r="A1347" t="n">
        <v>650</v>
      </c>
      <c r="B1347" t="n">
        <v>17200</v>
      </c>
    </row>
    <row r="1348">
      <c r="A1348" t="n">
        <v>700</v>
      </c>
      <c r="B1348" t="n">
        <v>17500</v>
      </c>
    </row>
    <row r="1349">
      <c r="A1349" t="n">
        <v>170</v>
      </c>
      <c r="B1349" t="n">
        <v>10100</v>
      </c>
    </row>
    <row r="1350">
      <c r="A1350" t="n">
        <v>200</v>
      </c>
      <c r="B1350" t="n">
        <v>8550</v>
      </c>
    </row>
    <row r="1351">
      <c r="A1351" t="n">
        <v>750</v>
      </c>
      <c r="B1351" t="n">
        <v>21850</v>
      </c>
    </row>
    <row r="1352">
      <c r="A1352" t="n">
        <v>250</v>
      </c>
      <c r="B1352" t="n">
        <v>10550</v>
      </c>
    </row>
    <row r="1353">
      <c r="A1353" t="n">
        <v>200</v>
      </c>
      <c r="B1353" t="n">
        <v>8200</v>
      </c>
    </row>
    <row r="1354">
      <c r="A1354" t="n">
        <v>200</v>
      </c>
      <c r="B1354" t="n">
        <v>7650</v>
      </c>
    </row>
    <row r="1355">
      <c r="A1355" t="n">
        <v>700</v>
      </c>
      <c r="B1355" t="n">
        <v>5650</v>
      </c>
    </row>
    <row r="1356">
      <c r="A1356" t="n">
        <v>340</v>
      </c>
      <c r="B1356" t="n">
        <v>5950</v>
      </c>
    </row>
    <row r="1357">
      <c r="A1357" t="n">
        <v>750</v>
      </c>
      <c r="B1357" t="n">
        <v>22750</v>
      </c>
    </row>
    <row r="1358">
      <c r="A1358" t="n">
        <v>400</v>
      </c>
      <c r="B1358" t="n">
        <v>13700</v>
      </c>
    </row>
    <row r="1359">
      <c r="A1359" t="n">
        <v>250</v>
      </c>
      <c r="B1359" t="n">
        <v>10950</v>
      </c>
    </row>
    <row r="1360">
      <c r="A1360" t="n">
        <v>400</v>
      </c>
      <c r="B1360" t="n">
        <v>10550</v>
      </c>
    </row>
    <row r="1361">
      <c r="A1361" t="n">
        <v>300</v>
      </c>
      <c r="B1361" t="n">
        <v>12300</v>
      </c>
    </row>
    <row r="1362">
      <c r="A1362" t="n">
        <v>170</v>
      </c>
      <c r="B1362" t="n">
        <v>10100</v>
      </c>
    </row>
    <row r="1363">
      <c r="A1363" t="n">
        <v>650</v>
      </c>
      <c r="B1363" t="n">
        <v>9550</v>
      </c>
    </row>
    <row r="1364">
      <c r="A1364" t="n">
        <v>300</v>
      </c>
      <c r="B1364" t="n">
        <v>12300</v>
      </c>
    </row>
    <row r="1365">
      <c r="A1365" t="n">
        <v>300</v>
      </c>
      <c r="B1365" t="n">
        <v>12450</v>
      </c>
    </row>
    <row r="1366">
      <c r="A1366" t="n">
        <v>750</v>
      </c>
      <c r="B1366" t="n">
        <v>19150</v>
      </c>
    </row>
    <row r="1367">
      <c r="A1367" t="n">
        <v>400</v>
      </c>
      <c r="B1367" t="n">
        <v>12300</v>
      </c>
    </row>
    <row r="1368">
      <c r="A1368" t="n">
        <v>200</v>
      </c>
      <c r="B1368" t="n">
        <v>7450</v>
      </c>
    </row>
    <row r="1369">
      <c r="A1369" t="n">
        <v>200</v>
      </c>
      <c r="B1369" t="n">
        <v>7450</v>
      </c>
    </row>
    <row r="1370">
      <c r="A1370" t="n">
        <v>400</v>
      </c>
      <c r="B1370" t="n">
        <v>9150</v>
      </c>
    </row>
    <row r="1371">
      <c r="A1371" t="n">
        <v>400</v>
      </c>
      <c r="B1371" t="n">
        <v>13400</v>
      </c>
    </row>
    <row r="1372">
      <c r="A1372" t="n">
        <v>350</v>
      </c>
      <c r="B1372" t="n">
        <v>5950</v>
      </c>
    </row>
    <row r="1373">
      <c r="A1373" t="n">
        <v>350</v>
      </c>
      <c r="B1373" t="n">
        <v>12900</v>
      </c>
    </row>
    <row r="1374">
      <c r="A1374" t="n">
        <v>750</v>
      </c>
      <c r="B1374" t="n">
        <v>19150</v>
      </c>
    </row>
    <row r="1375">
      <c r="A1375" t="n">
        <v>400</v>
      </c>
      <c r="B1375" t="n">
        <v>12300</v>
      </c>
    </row>
    <row r="1376">
      <c r="A1376" t="n">
        <v>350</v>
      </c>
      <c r="B1376" t="n">
        <v>8650</v>
      </c>
    </row>
    <row r="1377">
      <c r="A1377" t="n">
        <v>300</v>
      </c>
      <c r="B1377" t="n">
        <v>12450</v>
      </c>
    </row>
    <row r="1378">
      <c r="A1378" t="n">
        <v>400</v>
      </c>
      <c r="B1378" t="n">
        <v>17250</v>
      </c>
    </row>
    <row r="1379">
      <c r="A1379" t="n">
        <v>700</v>
      </c>
      <c r="B1379" t="n">
        <v>7550</v>
      </c>
    </row>
    <row r="1380">
      <c r="A1380" t="n">
        <v>300</v>
      </c>
      <c r="B1380" t="n">
        <v>13200</v>
      </c>
    </row>
    <row r="1381">
      <c r="A1381" t="n">
        <v>95</v>
      </c>
      <c r="B1381" t="n">
        <v>21750</v>
      </c>
    </row>
    <row r="1382">
      <c r="A1382" t="n">
        <v>270</v>
      </c>
      <c r="B1382" t="n">
        <v>10750</v>
      </c>
    </row>
    <row r="1383">
      <c r="A1383" t="n">
        <v>270</v>
      </c>
      <c r="B1383" t="n">
        <v>10750</v>
      </c>
    </row>
    <row r="1384">
      <c r="A1384" t="n">
        <v>270</v>
      </c>
      <c r="B1384" t="n">
        <v>10750</v>
      </c>
    </row>
    <row r="1385">
      <c r="A1385" t="n">
        <v>300</v>
      </c>
      <c r="B1385" t="n">
        <v>6300</v>
      </c>
    </row>
    <row r="1386">
      <c r="A1386" t="n">
        <v>300</v>
      </c>
      <c r="B1386" t="n">
        <v>6300</v>
      </c>
    </row>
    <row r="1387">
      <c r="A1387" t="n">
        <v>300</v>
      </c>
      <c r="B1387" t="n">
        <v>6300</v>
      </c>
    </row>
    <row r="1388">
      <c r="A1388" t="n">
        <v>300</v>
      </c>
      <c r="B1388" t="n">
        <v>5950</v>
      </c>
    </row>
    <row r="1389">
      <c r="A1389" t="n">
        <v>300</v>
      </c>
      <c r="B1389" t="n">
        <v>6300</v>
      </c>
    </row>
    <row r="1390">
      <c r="A1390" t="n">
        <v>250</v>
      </c>
      <c r="B1390" t="n">
        <v>8250</v>
      </c>
    </row>
    <row r="1391">
      <c r="A1391" t="n">
        <v>350</v>
      </c>
      <c r="B1391" t="n">
        <v>15350</v>
      </c>
    </row>
    <row r="1392">
      <c r="A1392" t="n">
        <v>300</v>
      </c>
      <c r="B1392" t="n">
        <v>14050</v>
      </c>
    </row>
    <row r="1393">
      <c r="A1393" t="n">
        <v>350</v>
      </c>
      <c r="B1393" t="n">
        <v>15350</v>
      </c>
    </row>
    <row r="1394">
      <c r="A1394" t="n">
        <v>250</v>
      </c>
      <c r="B1394" t="n">
        <v>8250</v>
      </c>
    </row>
    <row r="1395">
      <c r="A1395" t="n">
        <v>250</v>
      </c>
      <c r="B1395" t="n">
        <v>9850</v>
      </c>
    </row>
    <row r="1396">
      <c r="A1396" t="n">
        <v>100</v>
      </c>
      <c r="B1396" t="n">
        <v>21950</v>
      </c>
    </row>
    <row r="1397">
      <c r="A1397" t="n">
        <v>250</v>
      </c>
      <c r="B1397" t="n">
        <v>9800</v>
      </c>
    </row>
    <row r="1398">
      <c r="A1398" t="n">
        <v>250</v>
      </c>
      <c r="B1398" t="n">
        <v>10950</v>
      </c>
    </row>
    <row r="1399">
      <c r="A1399" t="n">
        <v>300</v>
      </c>
      <c r="B1399" t="n">
        <v>12300</v>
      </c>
    </row>
    <row r="1400">
      <c r="A1400" t="n">
        <v>250</v>
      </c>
      <c r="B1400" t="n">
        <v>9850</v>
      </c>
    </row>
    <row r="1401">
      <c r="A1401" t="n">
        <v>300</v>
      </c>
      <c r="B1401" t="n">
        <v>13900</v>
      </c>
    </row>
    <row r="1402">
      <c r="A1402" t="n">
        <v>100</v>
      </c>
      <c r="B1402" t="n">
        <v>21950</v>
      </c>
    </row>
    <row r="1403">
      <c r="A1403" t="n">
        <v>250</v>
      </c>
      <c r="B1403" t="n">
        <v>10950</v>
      </c>
    </row>
    <row r="1404">
      <c r="A1404" t="n">
        <v>250</v>
      </c>
      <c r="B1404" t="n">
        <v>9850</v>
      </c>
    </row>
    <row r="1405">
      <c r="A1405" t="n">
        <v>250</v>
      </c>
      <c r="B1405" t="n">
        <v>9850</v>
      </c>
    </row>
  </sheetData>
  <mergeCells count="19">
    <mergeCell ref="D46:H46"/>
    <mergeCell ref="A1:H1"/>
    <mergeCell ref="D40:H40"/>
    <mergeCell ref="D36:H36"/>
    <mergeCell ref="D52:H52"/>
    <mergeCell ref="D49:H49"/>
    <mergeCell ref="D41:H41"/>
    <mergeCell ref="A3:B3"/>
    <mergeCell ref="D16:E16"/>
    <mergeCell ref="D53:H53"/>
    <mergeCell ref="D47:H47"/>
    <mergeCell ref="D43:H43"/>
    <mergeCell ref="D37:H37"/>
    <mergeCell ref="D3:E3"/>
    <mergeCell ref="D9:E9"/>
    <mergeCell ref="D23:E23"/>
    <mergeCell ref="D38:H38"/>
    <mergeCell ref="D50:H50"/>
    <mergeCell ref="D44:H4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2026-06-20T05:10:45Z</dcterms:created>
  <dcterms:modified xmlns:dcterms="http://purl.org/dc/terms/" xmlns:xsi="http://www.w3.org/2001/XMLSchema-instance" xsi:type="dcterms:W3CDTF">2026-06-20T05:10:48Z</dcterms:modified>
</cp:coreProperties>
</file>